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ral Ledger Detail"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<sst xmlns="http://schemas.openxmlformats.org/spreadsheetml/2006/main" count="68997" uniqueCount="4652">
  <si>
    <t xml:space="preserve">General Ledger Detail</t>
  </si>
  <si>
    <t xml:space="preserve">SMB SOLUTIONS CLOUD SERVICES PTY LTD</t>
  </si>
  <si>
    <t xml:space="preserve">For the period 1 July 2023 to 30 June 2024</t>
  </si>
  <si>
    <t xml:space="preserve">Date</t>
  </si>
  <si>
    <t xml:space="preserve">Account Code</t>
  </si>
  <si>
    <t xml:space="preserve">Account Type</t>
  </si>
  <si>
    <t xml:space="preserve">Source</t>
  </si>
  <si>
    <t xml:space="preserve">Description</t>
  </si>
  <si>
    <t xml:space="preserve">Reference</t>
  </si>
  <si>
    <t xml:space="preserve">Debit</t>
  </si>
  <si>
    <t xml:space="preserve">Credit</t>
  </si>
  <si>
    <t xml:space="preserve">Running Balance</t>
  </si>
  <si>
    <t xml:space="preserve">GST</t>
  </si>
  <si>
    <t xml:space="preserve">GST Rate</t>
  </si>
  <si>
    <t xml:space="preserve">GST Rate Name</t>
  </si>
  <si>
    <t xml:space="preserve">200 - Australian Revenue</t>
  </si>
  <si>
    <t xml:space="preserve">Opening Balance</t>
  </si>
  <si>
    <t xml:space="preserve">200</t>
  </si>
  <si>
    <t xml:space="preserve">Revenue</t>
  </si>
  <si>
    <t xml:space="preserve">Receivable Invoice</t>
  </si>
  <si>
    <t xml:space="preserve">Clear Pak Australia Pty Ltd - SQL Cloud User</t>
  </si>
  <si>
    <t xml:space="preserve">Clear Pak - September 2023</t>
  </si>
  <si>
    <t xml:space="preserve">GST on Income</t>
  </si>
  <si>
    <t xml:space="preserve">Machine Technology - Private Cloud SQL User</t>
  </si>
  <si>
    <t xml:space="preserve">Machine Technology - September 2023</t>
  </si>
  <si>
    <t xml:space="preserve">Machine Technology - Indirect Access to SAP Business One Cloud hosted by SMB Solutions Cloud Services Pty Ltd in combination with your SAP indirect access user licenses. The article covers all other necessary licenses, provisions and operations.</t>
  </si>
  <si>
    <t xml:space="preserve">Ava Distribution - Managed Services per device per month</t>
  </si>
  <si>
    <t xml:space="preserve">Ava Distribution - MSP September 2023</t>
  </si>
  <si>
    <t xml:space="preserve">FarmFresh Corporation Pty Ltd - HANA Cloud User</t>
  </si>
  <si>
    <t xml:space="preserve">FarmFresh - September 2023 Hosting</t>
  </si>
  <si>
    <t xml:space="preserve">Generational Multi Family Office - Managed Services per device per month</t>
  </si>
  <si>
    <t xml:space="preserve">Gen MFO - September 2023</t>
  </si>
  <si>
    <t xml:space="preserve">Specialty Diagnostix - Managed Services per device per month</t>
  </si>
  <si>
    <t xml:space="preserve">Specialty Diagnostix - MSP - September 2023</t>
  </si>
  <si>
    <t xml:space="preserve">Specialty Diagnostix - Managed Services: Backup</t>
  </si>
  <si>
    <t xml:space="preserve">Specialty Diagnostix - Office 365 License
</t>
  </si>
  <si>
    <t xml:space="preserve">Industrial Air - SQL Cloud User</t>
  </si>
  <si>
    <t xml:space="preserve">Industrial Air - September 2023</t>
  </si>
  <si>
    <t xml:space="preserve">Industrial Air - Additional Database on SAP HANA or on Microsoft SQL for SAP Business One Cloud hosted by SMB Solutions Cloud Services Pty Ltd.</t>
  </si>
  <si>
    <t xml:space="preserve">Industrial Air - Application Server (Small)</t>
  </si>
  <si>
    <t xml:space="preserve">MTI Group - Managed Services per device per month</t>
  </si>
  <si>
    <t xml:space="preserve">MTI MSP - September 2023</t>
  </si>
  <si>
    <t xml:space="preserve">MTI Group - SQL Cloud User</t>
  </si>
  <si>
    <t xml:space="preserve">MTI Cloud Hosting - September 2023</t>
  </si>
  <si>
    <t xml:space="preserve">GST on Expenses</t>
  </si>
  <si>
    <t xml:space="preserve">MTI Group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</si>
  <si>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MTI Group - Application Server Medium - Solid Works</t>
  </si>
  <si>
    <t xml:space="preserve">Brisbane Money Management - Managed Services per device per month</t>
  </si>
  <si>
    <t xml:space="preserve">Brisbane Money Management - September 2023</t>
  </si>
  <si>
    <t xml:space="preserve">Brisbane Money Management - Office 365 License</t>
  </si>
  <si>
    <t xml:space="preserve">Laundry Solutions Australia - Managed Services per device per month</t>
  </si>
  <si>
    <t xml:space="preserve">LSA MSP - September 2023</t>
  </si>
  <si>
    <t xml:space="preserve">IS FAB Pty Ltd - Managed Services per device per month</t>
  </si>
  <si>
    <t xml:space="preserve">ISFAB Pty Ltd MSP - September 2023</t>
  </si>
  <si>
    <t xml:space="preserve">Dulwich Bakery - HANA Cloud User Premium - Dulwich Bakery</t>
  </si>
  <si>
    <t xml:space="preserve">Dulwich Bakery - September 2023</t>
  </si>
  <si>
    <t xml:space="preserve">Dulwich Bakery - Additional Database on SAP HANA or on Microsoft SQL for SAP Business One Cloud hosted by SMB Solutions Cloud Services Pty Ltd.
</t>
  </si>
  <si>
    <t xml:space="preserve">Dulwich Bakery - Application Server Medium - Customer Checkout</t>
  </si>
  <si>
    <t xml:space="preserve">Dulwich Bakery - Application Server Medium</t>
  </si>
  <si>
    <t xml:space="preserve">CCA Management Pty Limited - HANA Private Cloud User</t>
  </si>
  <si>
    <t xml:space="preserve">CCA Management - September 2023</t>
  </si>
  <si>
    <t xml:space="preserve">CCA Management Pty Limited - Additional Company Database and Test Database</t>
  </si>
  <si>
    <t xml:space="preserve">CCA Management Pty Limited - Application Server Large</t>
  </si>
  <si>
    <t xml:space="preserve">CCA Management Pty Limited - HANA Private Cloud User - Additional 1 User added from June - 3mnths</t>
  </si>
  <si>
    <t xml:space="preserve">Speedx Pty Ltd - HANA Cloud User</t>
  </si>
  <si>
    <t xml:space="preserve">SpeeDx - September 2023</t>
  </si>
  <si>
    <t xml:space="preserve">Speedx Pty Ltd - Additional Company Database and Test Database</t>
  </si>
  <si>
    <t xml:space="preserve">Speedx Pty Ltd - Application Server Medium</t>
  </si>
  <si>
    <t xml:space="preserve">Speedx Pty Ltd - Additional Daily Schema Backups</t>
  </si>
  <si>
    <t xml:space="preserve">Micromax Pty Ltd - HANA Cloud User</t>
  </si>
  <si>
    <t xml:space="preserve">Micromax - September 2023</t>
  </si>
  <si>
    <t xml:space="preserve">Bentspoke Brewing Co - SQL Cloud User</t>
  </si>
  <si>
    <t xml:space="preserve">Bentspoke - September 2023</t>
  </si>
  <si>
    <t xml:space="preserve">Bentspoke Brewing Co - Application Server Medium</t>
  </si>
  <si>
    <t xml:space="preserve">Work Arena Pty Ltd - HANA Cloud User</t>
  </si>
  <si>
    <t xml:space="preserve">Work Arena - September 2023</t>
  </si>
  <si>
    <t xml:space="preserve">FUJIFILM Microchannel Services Pty. Limited - HANA Cloud User</t>
  </si>
  <si>
    <t xml:space="preserve">Connector-Tech ALS - September 2023</t>
  </si>
  <si>
    <t xml:space="preserve">FUJIFILM Microchannel Services Pty. Limited - SQL Cloud User</t>
  </si>
  <si>
    <t xml:space="preserve">BJs Manufacturing Pty Ltd - September 2023</t>
  </si>
  <si>
    <t xml:space="preserve">FUJIFILM Microchannel Services Pty. Limited - Additional Company Database and Test Database</t>
  </si>
  <si>
    <t xml:space="preserve">Hanbac Pty Ltd - September 2023</t>
  </si>
  <si>
    <t xml:space="preserve">Components Only Pty Ltd - September 2023</t>
  </si>
  <si>
    <t xml:space="preserve">FUJIFILM Microchannel Services Pty. Limited - Indirect Access to SAP Business One Cloud hosted by SMB Solutions Cloud Services Pty Ltd in combination with your SAP indirect access user licenses.</t>
  </si>
  <si>
    <t xml:space="preserve">FUJIFILM Microchannel Services Pty. Limited - Application Server (Small)</t>
  </si>
  <si>
    <t xml:space="preserve">United Initiators - September 2023</t>
  </si>
  <si>
    <t xml:space="preserve">Odyssey Marine - September 2023</t>
  </si>
  <si>
    <t xml:space="preserve">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</si>
  <si>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Export Tax Free</t>
  </si>
  <si>
    <t xml:space="preserve">FUJIFILM Microchannel Services Pty. Limited - HANA Cloud User - Vollers Pty Ltd</t>
  </si>
  <si>
    <t xml:space="preserve">Vollers - September 2023</t>
  </si>
  <si>
    <t xml:space="preserve">FUJIFILM Microchannel Services Pty. Limited - HANA Cloud User - U-POL Australia Pty Ltd</t>
  </si>
  <si>
    <t xml:space="preserve">UPOL - September 2023</t>
  </si>
  <si>
    <t xml:space="preserve">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</si>
  <si>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FUJIFILM Microchannel Services Pty. Limited - Application Server Medium - UPOL</t>
  </si>
  <si>
    <t xml:space="preserve">FUJIFILM Microchannel Services Pty. Limited - HANA Cloud User - Dickinson's Metalurgical Supplies Pty Ltd</t>
  </si>
  <si>
    <t xml:space="preserve">Dickinsons - September 2023</t>
  </si>
  <si>
    <t xml:space="preserve">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</si>
  <si>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FUJIFILM Microchannel Services Pty. Limited - HANA Cloud User - I-Environmental</t>
  </si>
  <si>
    <t xml:space="preserve">I-Environmental - September 2023</t>
  </si>
  <si>
    <t xml:space="preserve">FUJIFILM Microchannel Services Pty. Limited - SQL Cloud User - Audio Supermarket</t>
  </si>
  <si>
    <t xml:space="preserve">Audio Supermarket - September 2023</t>
  </si>
  <si>
    <t xml:space="preserve">FUJIFILM Microchannel Services Pty. Limited - SQL Cloud User - Fix Plus Australia Pty Ltd</t>
  </si>
  <si>
    <t xml:space="preserve">Fix Plus - September 2023</t>
  </si>
  <si>
    <t xml:space="preserve">FUJIFILM Microchannel Services Pty. Limited - SQL Cloud User - Abrolhos Steel</t>
  </si>
  <si>
    <t xml:space="preserve">Abrolhos Steel - September 2023</t>
  </si>
  <si>
    <t xml:space="preserve">FUJIFILM Microchannel Services Pty. Limited - SQL Cloud User - BeIn Sports</t>
  </si>
  <si>
    <t xml:space="preserve">Bein Sports - September 2023</t>
  </si>
  <si>
    <t xml:space="preserve">FUJIFILM Microchannel Services Pty. Limited - SQL Cloud User - Bacchant Wines</t>
  </si>
  <si>
    <t xml:space="preserve">Bacchant Wines - September 2023</t>
  </si>
  <si>
    <t xml:space="preserve">Murray River Organics Group Limited Receivers and Managers Appointed - HANA Cloud User per month</t>
  </si>
  <si>
    <t xml:space="preserve">MRO - July 2023 Hosting</t>
  </si>
  <si>
    <t xml:space="preserve">Murray River Organics Group Limited Receivers and Managers Appointed - VPN Access</t>
  </si>
  <si>
    <t xml:space="preserve">Murray River Organics Group Limited Receivers and Managers Appointed - Additional Company Database and Test Database</t>
  </si>
  <si>
    <t xml:space="preserve">Murray River Organics Group Limited Receivers and Managers Appointed - Managed Services per user per month</t>
  </si>
  <si>
    <t xml:space="preserve">MRO MSP - July 2023</t>
  </si>
  <si>
    <t xml:space="preserve">Tea Drop Pty Ltd - SQL Cloud User - TeaDrop</t>
  </si>
  <si>
    <t xml:space="preserve">TeaDrop - September 2023</t>
  </si>
  <si>
    <t xml:space="preserve">Tea Drop Pty Ltd - Application Server (Small)</t>
  </si>
  <si>
    <t xml:space="preserve">Key Business Solutions - SQL Cloud User - Fuse Furniture</t>
  </si>
  <si>
    <t xml:space="preserve">Key Business Solutions - September 2023</t>
  </si>
  <si>
    <t xml:space="preserve">Key Business Solutions - SQL Cloud User - Clyde Computers</t>
  </si>
  <si>
    <t xml:space="preserve">Key Business Solutions - SQL Cloud User - Eastern Engineering</t>
  </si>
  <si>
    <t xml:space="preserve">Key Business Solutions - SQL Cloud User - Emrock Building Supplies Pty Ltd</t>
  </si>
  <si>
    <t xml:space="preserve">Key Business Solutions - SQL Cloud User - Specialty Diagnostix</t>
  </si>
  <si>
    <t xml:space="preserve">Key Business Solutions - HANA Cloud User - Christie Engineering</t>
  </si>
  <si>
    <t xml:space="preserve">Key Business Solutions - HANA Cloud User - Christie Engineering Updated Pricing</t>
  </si>
  <si>
    <t xml:space="preserve">Key Business Solutions - SQL Cloud User - Pencars Pty Ltd</t>
  </si>
  <si>
    <t xml:space="preserve">Key Business Solutions - HANA Cloud User - Roma Auto Care</t>
  </si>
  <si>
    <t xml:space="preserve">Key Business Solutions - HANA Cloud User - Biota Ingredients Pty Ltd</t>
  </si>
  <si>
    <t xml:space="preserve">Key Business Solutions - HANA Cloud User - IsFab Pty Ltd</t>
  </si>
  <si>
    <t xml:space="preserve">Key Business Solutions - HANA Cloud User - IsFab Updated Pricing</t>
  </si>
  <si>
    <t xml:space="preserve">Key Business Solutions - Additional Company Database and Test Database - IsFab Pty Ltd</t>
  </si>
  <si>
    <t xml:space="preserve">Key Business Solutions - HANA Cloud User - Orocobre Limited</t>
  </si>
  <si>
    <t xml:space="preserve">Key Business Solutions - Additional Company Database and Test Database - Orocobre Limited</t>
  </si>
  <si>
    <t xml:space="preserve">Key Business Solutions - SQL Cloud User - Markisol Australia Pty Ltd</t>
  </si>
  <si>
    <t xml:space="preserve">Key Business Solutions - JIWA User - Erwins Distribution Pty Ltd</t>
  </si>
  <si>
    <t xml:space="preserve">Key Business Solutions - SQL Cloud User - Mrs Poppins Property Services</t>
  </si>
  <si>
    <t xml:space="preserve">Key Business Solutions - SQL Cloud User - Aurora Bioscience Pty Ltd</t>
  </si>
  <si>
    <t xml:space="preserve">Key Business Solutions - HANA Cloud User - R.C.S Products Pty Ltd</t>
  </si>
  <si>
    <t xml:space="preserve">Key Business Solutions - SQL Cloud User - Immense Prosperity (Star Fluid Power)</t>
  </si>
  <si>
    <t xml:space="preserve">Key Business Solutions - SQL Cloud User - Tasman Water Technologies Pty Ltd</t>
  </si>
  <si>
    <t xml:space="preserve">Key Business Solutions - HANA Cloud User - Selecta Food Group</t>
  </si>
  <si>
    <t xml:space="preserve">Key Business Solutions - HANA Cloud User - Selecta Food Group - Updated Pricing</t>
  </si>
  <si>
    <t xml:space="preserve">Key Business Solutions - SQL Cloud User - Overseas Distributor</t>
  </si>
  <si>
    <t xml:space="preserve">Key Business Solutions - SQL Cloud User - One Blink Pty Ltd</t>
  </si>
  <si>
    <t xml:space="preserve">Key Business Solutions - VPN Access - One Blink Pty Ltd</t>
  </si>
  <si>
    <t xml:space="preserve">Key Business Solutions - HANA Cloud User - SISS Data Services Pty Limited</t>
  </si>
  <si>
    <t xml:space="preserve">Key Business Solutions - SQL Cloud User - Act for Kids</t>
  </si>
  <si>
    <t xml:space="preserve">Key Business Solutions - SQL Cloud User - All Aluminium (AUST) Pty Ltd</t>
  </si>
  <si>
    <t xml:space="preserve">Key Business Solutions - SQL Cloud User - Martin and Robson</t>
  </si>
  <si>
    <t xml:space="preserve">Key Business Solutions - Additional Company Database and Test Database - Martin and Robson</t>
  </si>
  <si>
    <t xml:space="preserve">Key Business Solutions - HANA Cloud User - Southern Model Supplies</t>
  </si>
  <si>
    <t xml:space="preserve">Key Business Solutions - HANA Cloud User - Updated Pricing - Southern Model Supplies</t>
  </si>
  <si>
    <t xml:space="preserve">Key Business Solutions - Application Server (Small) - Southern Model Supplies</t>
  </si>
  <si>
    <t xml:space="preserve">Key Business Solutions - SQL Cloud User - Ava Distribution</t>
  </si>
  <si>
    <t xml:space="preserve">Key Business Solutions - HANA Cloud User - Hugos Chocolate</t>
  </si>
  <si>
    <t xml:space="preserve">Key Business Solutions - HANA Cloud User - Sealing Australia Pty Ltd</t>
  </si>
  <si>
    <t xml:space="preserve">Key Business Solutions - HANA Cloud User - Kingseng Aluminium Australia</t>
  </si>
  <si>
    <t xml:space="preserve">Key Business Solutions - SQL Cloud User - Indigenous Wellbeing Centre</t>
  </si>
  <si>
    <t xml:space="preserve">Key Business Solutions - Duo Tag with Shipping Included - Sealing Australia Pty Ltd</t>
  </si>
  <si>
    <t xml:space="preserve">Key Business Solutions - SQL Cloud User - Indigenous Wellbeing Centre - New Customer from July - 9 users</t>
  </si>
  <si>
    <t xml:space="preserve">Receivable Credit Note</t>
  </si>
  <si>
    <t xml:space="preserve">Key Business Solutions - August 2023 CN</t>
  </si>
  <si>
    <t xml:space="preserve">INV2060 August 2023 Credit Note</t>
  </si>
  <si>
    <t xml:space="preserve">Abrolhos Steel - Duo Security Tag - Shipping Included</t>
  </si>
  <si>
    <t xml:space="preserve">August 2023 Duo Tags</t>
  </si>
  <si>
    <t xml:space="preserve">CCA Management Pty Limited - Additional Company Database and Test Database - August</t>
  </si>
  <si>
    <t xml:space="preserve">CCA Management - Additional Databases from August 2023</t>
  </si>
  <si>
    <t xml:space="preserve">CCA Management Pty Limited - Additional Company Database and Test Database - September</t>
  </si>
  <si>
    <t xml:space="preserve">CCA Management - October 2023</t>
  </si>
  <si>
    <t xml:space="preserve">Complete Machine Tools - HANA Cloud User</t>
  </si>
  <si>
    <t xml:space="preserve">Complete Machine Tools - New Customer from August 2023</t>
  </si>
  <si>
    <t xml:space="preserve">Clear Pak - October 2023</t>
  </si>
  <si>
    <t xml:space="preserve">Machine Technology - October 2023</t>
  </si>
  <si>
    <t xml:space="preserve">Ava Distribution - MSP October 2023</t>
  </si>
  <si>
    <t xml:space="preserve">FarmFresh - October 2023 Hosting</t>
  </si>
  <si>
    <t xml:space="preserve">Gen MFO - October 2023</t>
  </si>
  <si>
    <t xml:space="preserve">Tasman Water Technologies Pty Ltd - Managed Services per device per month</t>
  </si>
  <si>
    <t xml:space="preserve">Tasman Water MSP - Q4 2023</t>
  </si>
  <si>
    <t xml:space="preserve">Tasman Water Technologies Pty Ltd - Office 365 License</t>
  </si>
  <si>
    <t xml:space="preserve">Tasman Water Technologies Pty Ltd - Office 365 License Temp User</t>
  </si>
  <si>
    <t xml:space="preserve">Tasman Water Technologies Pty Ltd - Managed Services per device per month
</t>
  </si>
  <si>
    <t xml:space="preserve">Tasman Water Technologies Pty Ltd - Domain Reneweal - 1 YR ONLY</t>
  </si>
  <si>
    <t xml:space="preserve">Specialty Diagnostix - MSP - October 2023</t>
  </si>
  <si>
    <t xml:space="preserve">Industrial Air - October 2023</t>
  </si>
  <si>
    <t xml:space="preserve">MTI MSP - October 2023</t>
  </si>
  <si>
    <t xml:space="preserve">MTI Cloud Hosting - October 2023</t>
  </si>
  <si>
    <t xml:space="preserve">Brisbane Money Management - October 2023</t>
  </si>
  <si>
    <t xml:space="preserve">Brisbane Money Management - Domain Reneweal - 1 YR ONLY</t>
  </si>
  <si>
    <t xml:space="preserve">GST Free Income</t>
  </si>
  <si>
    <t xml:space="preserve">LSA MSP - October 2023</t>
  </si>
  <si>
    <t xml:space="preserve">Biota Ingredients Pty Ltd - Managed Services per device per month</t>
  </si>
  <si>
    <t xml:space="preserve">MSP - Q4 2023</t>
  </si>
  <si>
    <t xml:space="preserve">ISFAB Pty Ltd MSP - October 2023</t>
  </si>
  <si>
    <t xml:space="preserve">IS FAB Pty Ltd - Annual 3CX Connection Charge</t>
  </si>
  <si>
    <t xml:space="preserve">IS FAB Pty Ltd - 16 Line IP Phone</t>
  </si>
  <si>
    <t xml:space="preserve">Dulwich Bakery - October 2023</t>
  </si>
  <si>
    <t xml:space="preserve">SpeeDx - October 2023</t>
  </si>
  <si>
    <t xml:space="preserve">Speedx Pty Ltd - HANA Cloud User - 3 User added in August</t>
  </si>
  <si>
    <t xml:space="preserve">Micromax - October 2023</t>
  </si>
  <si>
    <t xml:space="preserve">BentSpoke Brewing Co - SQL Cloud User</t>
  </si>
  <si>
    <t xml:space="preserve">BentSpoke - October 2023</t>
  </si>
  <si>
    <t xml:space="preserve">BentSpoke Brewing Co - Application Server Medium</t>
  </si>
  <si>
    <t xml:space="preserve">Work Arena - October 2023</t>
  </si>
  <si>
    <t xml:space="preserve">Connector-Tech ALS - October 2023</t>
  </si>
  <si>
    <t xml:space="preserve">BJs Manufacturing Pty Ltd - October 2023</t>
  </si>
  <si>
    <t xml:space="preserve">Hanbac Pty Ltd - October 2023</t>
  </si>
  <si>
    <t xml:space="preserve">Components Only Pty Ltd - October 2023</t>
  </si>
  <si>
    <t xml:space="preserve">United Initiators - October 2023</t>
  </si>
  <si>
    <t xml:space="preserve">Odyssey Marine - October 2023</t>
  </si>
  <si>
    <t xml:space="preserve">Vollers - October 2023</t>
  </si>
  <si>
    <t xml:space="preserve">UPOL - October 2023</t>
  </si>
  <si>
    <t xml:space="preserve">Dickinsons - October 2023</t>
  </si>
  <si>
    <t xml:space="preserve">I-Environmental - October 2023</t>
  </si>
  <si>
    <t xml:space="preserve">Audio Supermarket - October 2023</t>
  </si>
  <si>
    <t xml:space="preserve">Fix Plus - October 2023</t>
  </si>
  <si>
    <t xml:space="preserve">Abrolhos Steel - October 2023</t>
  </si>
  <si>
    <t xml:space="preserve">Bacchant Wines - October 2023</t>
  </si>
  <si>
    <t xml:space="preserve">MRO - August 2023 Hosting</t>
  </si>
  <si>
    <t xml:space="preserve">MRO MSP - August 2023</t>
  </si>
  <si>
    <t xml:space="preserve">TeaDrop - October 2023</t>
  </si>
  <si>
    <t xml:space="preserve">Key Business Solutions - October 2023</t>
  </si>
  <si>
    <t xml:space="preserve">Key Business Solutions - Hugos Chocolate - Indirect Access to SAP Business One Cloud hosted by SMB Solutions Cloud Services Pty Ltd in combination with your SAP indirect access user licenses. The article covers all other necessary licenses, provisions and operations.</t>
  </si>
  <si>
    <t xml:space="preserve">Key Business Solutions - Hugos Chocolate - 1 Added in August - Indirect Access to SAP Business One Cloud hosted by SMB Solutions Cloud Services Pty Ltd in combination with your SAP indirect access user licenses. The article covers all other necessary licenses, provisions and operations.</t>
  </si>
  <si>
    <t xml:space="preserve">Key Business Solutions - Indigenous Wellbeing Centre - 1 user added in July (Total 10) - SQL Cloud User</t>
  </si>
  <si>
    <t xml:space="preserve">Key Business Solutions - Indigenous Wellbeing Centre - 1 user added in August (Total 11) - SQL Cloud User</t>
  </si>
  <si>
    <t xml:space="preserve">Bein Sports - October 2023</t>
  </si>
  <si>
    <t xml:space="preserve">Complete Machine Tools - 10 August 2023</t>
  </si>
  <si>
    <t xml:space="preserve">Vollers - Duo Security Token - Shipping Included</t>
  </si>
  <si>
    <t xml:space="preserve">Duo Tag - September 2023</t>
  </si>
  <si>
    <t xml:space="preserve">Tiger Brokers (AU) Pty Ltd - SQL Cloud User</t>
  </si>
  <si>
    <t xml:space="preserve">Tiger Brokers - New Customer from September 2023</t>
  </si>
  <si>
    <t xml:space="preserve">Limestone Coast Brewing Pty Ltd - SQL Cloud User</t>
  </si>
  <si>
    <t xml:space="preserve">Limestone Coast Brewing - New Customer from July 2023</t>
  </si>
  <si>
    <t xml:space="preserve">Limestone Coast Brewing Pty Ltd - Additional Company Database and Test Database</t>
  </si>
  <si>
    <t xml:space="preserve">Complete Machine Tools - November 2023</t>
  </si>
  <si>
    <t xml:space="preserve">Clear Pak - November 2023</t>
  </si>
  <si>
    <t xml:space="preserve">Machine Technology - November 2023</t>
  </si>
  <si>
    <t xml:space="preserve">Ava Distribution - MSP November 2023</t>
  </si>
  <si>
    <t xml:space="preserve">FarmFresh - November 2023 Hosting</t>
  </si>
  <si>
    <t xml:space="preserve">Gen MFO - November 2023</t>
  </si>
  <si>
    <t xml:space="preserve">Specialty Diagnostix - MSP - November 2023</t>
  </si>
  <si>
    <t xml:space="preserve">Industrial Air - November 2023</t>
  </si>
  <si>
    <t xml:space="preserve">MTI Cloud Hosting - November 2023</t>
  </si>
  <si>
    <t xml:space="preserve">MTI Group - ISEE Website Annual Hosting Fee</t>
  </si>
  <si>
    <t xml:space="preserve">MTI MSP - November 2023</t>
  </si>
  <si>
    <t xml:space="preserve">Brisbane Money Management - November 2023</t>
  </si>
  <si>
    <t xml:space="preserve">LSA MSP - November 2023</t>
  </si>
  <si>
    <t xml:space="preserve">ISFAB Pty Ltd MSP - November 2023</t>
  </si>
  <si>
    <t xml:space="preserve">Dulwich Bakery - November 2023</t>
  </si>
  <si>
    <t xml:space="preserve">CCA Management - November 2023</t>
  </si>
  <si>
    <t xml:space="preserve">SpeeDx - November 2023</t>
  </si>
  <si>
    <t xml:space="preserve">Micromax - November 2023</t>
  </si>
  <si>
    <t xml:space="preserve">BentSpoke - November 2023</t>
  </si>
  <si>
    <t xml:space="preserve">Work Arena - November 2023</t>
  </si>
  <si>
    <t xml:space="preserve">Work Arena Pty Ltd - HANA Cloud User - August</t>
  </si>
  <si>
    <t xml:space="preserve">Work Arena Pty Ltd - HANA Cloud User - September</t>
  </si>
  <si>
    <t xml:space="preserve">Work Arena Pty Ltd - HANA Cloud User - October</t>
  </si>
  <si>
    <t xml:space="preserve">FUJIFILM Microchannel Services Pty. Limited - Private Cloud Setup</t>
  </si>
  <si>
    <t xml:space="preserve">ANZ Controls Pty Ltd - New Customer from September 2023</t>
  </si>
  <si>
    <t xml:space="preserve">FUJIFILM Microchannel Services Pty. Limited - Private Cloud SQL User</t>
  </si>
  <si>
    <t xml:space="preserve">Connector-Tech ALS - November 2023</t>
  </si>
  <si>
    <t xml:space="preserve">BJs Manufacturing Pty Ltd - November 2023</t>
  </si>
  <si>
    <t xml:space="preserve">Hanbac Pty Ltd - November 2023</t>
  </si>
  <si>
    <t xml:space="preserve">Components Only Pty Ltd - November 2023</t>
  </si>
  <si>
    <t xml:space="preserve">FUJIFILM Microchannel Services Pty. Limited - SQL Cloud User - July</t>
  </si>
  <si>
    <t xml:space="preserve">FUJIFILM Microchannel Services Pty. Limited - SQL Cloud User - August</t>
  </si>
  <si>
    <t xml:space="preserve">FUJIFILM Microchannel Services Pty. Limited - SQL Cloud User - September</t>
  </si>
  <si>
    <t xml:space="preserve">FUJIFILM Microchannel Services Pty. Limited - SQL Cloud User - October</t>
  </si>
  <si>
    <t xml:space="preserve">United Initiators - November 2023</t>
  </si>
  <si>
    <t xml:space="preserve">Odyssey Marine - November 2023</t>
  </si>
  <si>
    <t xml:space="preserve">Vollers - November 2023</t>
  </si>
  <si>
    <t xml:space="preserve">UPOL - November 2023</t>
  </si>
  <si>
    <t xml:space="preserve">Dickinsons - November 2023</t>
  </si>
  <si>
    <t xml:space="preserve">I-Environmental - November 2023</t>
  </si>
  <si>
    <t xml:space="preserve">Audio Supermarket - November 2023</t>
  </si>
  <si>
    <t xml:space="preserve">Fix Plus - November 2023</t>
  </si>
  <si>
    <t xml:space="preserve">Abrolhos Steel - November 2023</t>
  </si>
  <si>
    <t xml:space="preserve">Bein Sports - November 2023</t>
  </si>
  <si>
    <t xml:space="preserve">Bacchant Wines - November 2023</t>
  </si>
  <si>
    <t xml:space="preserve">Key Business Solutions - November 2023</t>
  </si>
  <si>
    <t xml:space="preserve">Key Business Solutions - HANA Cloud User - Doctors Range</t>
  </si>
  <si>
    <t xml:space="preserve">Key Business Solutions - HANA Cloud User - Doctors Range - New customer from September</t>
  </si>
  <si>
    <t xml:space="preserve">Key Business Solutions - HANA Cloud User - Doctors Range - October</t>
  </si>
  <si>
    <t xml:space="preserve">TeaDrop - November 2023</t>
  </si>
  <si>
    <t xml:space="preserve">FUJIFILM Microchannel Services Pty. Limited - Indirect Access to SAP Business One Cloud hosted by SMB Solutions Cloud Services Pty Ltd in combination with your SAP indirect access user licenses. The article covers all other necessary licenses, provisions and operations.</t>
  </si>
  <si>
    <t xml:space="preserve">ANZ Controls Pty Ltd - New Customer from September 2023 - Missing Items</t>
  </si>
  <si>
    <t xml:space="preserve">FUJIFILM Microchannel Services Pty. Limited - VPN Access</t>
  </si>
  <si>
    <t xml:space="preserve">Incorrect Server Charges - September &amp; October 2023</t>
  </si>
  <si>
    <t xml:space="preserve">Tiger Brokers - December 2023</t>
  </si>
  <si>
    <t xml:space="preserve">Limestone Coast Brewing - December 2023</t>
  </si>
  <si>
    <t xml:space="preserve">Complete Machine Tools - December 2023</t>
  </si>
  <si>
    <t xml:space="preserve">Clear Pak - December 2023</t>
  </si>
  <si>
    <t xml:space="preserve">Machine Technology - December 2023</t>
  </si>
  <si>
    <t xml:space="preserve">Ava Distribution - MSP December 2023</t>
  </si>
  <si>
    <t xml:space="preserve">FarmFresh - December 2023 Hosting</t>
  </si>
  <si>
    <t xml:space="preserve">Gen MFO - December 2023</t>
  </si>
  <si>
    <t xml:space="preserve">Specialty Diagnostix - MSP - December 2023</t>
  </si>
  <si>
    <t xml:space="preserve">Industrial Air - December 2023</t>
  </si>
  <si>
    <t xml:space="preserve">MTI MSP - December 2023</t>
  </si>
  <si>
    <t xml:space="preserve">MTI Cloud Hosting - December 2023</t>
  </si>
  <si>
    <t xml:space="preserve">Brisbane Money Management - December 2023</t>
  </si>
  <si>
    <t xml:space="preserve">LSA MSP - December 2023</t>
  </si>
  <si>
    <t xml:space="preserve">ISFAB Pty Ltd MSP - December 2023</t>
  </si>
  <si>
    <t xml:space="preserve">Dulwich Bakery - December 2023</t>
  </si>
  <si>
    <t xml:space="preserve">CCA Management - December 2023</t>
  </si>
  <si>
    <t xml:space="preserve">SpeeDx - December 2023</t>
  </si>
  <si>
    <t xml:space="preserve">Micromax - December 2023</t>
  </si>
  <si>
    <t xml:space="preserve">Work Arena - December 2023</t>
  </si>
  <si>
    <t xml:space="preserve">ANZ Controls Pty Ltd - Duo Security Token - Shipping Included</t>
  </si>
  <si>
    <t xml:space="preserve">Duo Tokens - October 2023</t>
  </si>
  <si>
    <t xml:space="preserve">ANZ Controls Pty Ltd - December 2023</t>
  </si>
  <si>
    <t xml:space="preserve">Connector-Tech ALS - December 2023</t>
  </si>
  <si>
    <t xml:space="preserve">BJs Manufacturing Pty Ltd - December 2023</t>
  </si>
  <si>
    <t xml:space="preserve">Hanbac Pty Ltd - December 2023</t>
  </si>
  <si>
    <t xml:space="preserve">Components Only Pty Ltd - December 2023</t>
  </si>
  <si>
    <t xml:space="preserve">United Initiators - December 2023</t>
  </si>
  <si>
    <t xml:space="preserve">Odyssey Marine - December 2023</t>
  </si>
  <si>
    <t xml:space="preserve">Vollers - December 2023</t>
  </si>
  <si>
    <t xml:space="preserve">UPOL - December 2023</t>
  </si>
  <si>
    <t xml:space="preserve">Dickinsons - December 2023</t>
  </si>
  <si>
    <t xml:space="preserve">I-Environmental - December 2023</t>
  </si>
  <si>
    <t xml:space="preserve">Audio Supermarket - December 2023</t>
  </si>
  <si>
    <t xml:space="preserve">Fix Plus - December 2023</t>
  </si>
  <si>
    <t xml:space="preserve">Abrolhos Steel - December 2023</t>
  </si>
  <si>
    <t xml:space="preserve">Bein Sports - December 2023</t>
  </si>
  <si>
    <t xml:space="preserve">Bacchant Wines - December 2023</t>
  </si>
  <si>
    <t xml:space="preserve">TeaDrop - December 2023</t>
  </si>
  <si>
    <t xml:space="preserve">BentSpoke - December 2023</t>
  </si>
  <si>
    <t xml:space="preserve">Key Business Solutions - December 2023</t>
  </si>
  <si>
    <t xml:space="preserve">ISEE Australia - Support Work - 4hrs of setup and onboarding Email and Sharepoint. 1hr of support.</t>
  </si>
  <si>
    <t xml:space="preserve">ISEE Australia - October 2023</t>
  </si>
  <si>
    <t xml:space="preserve">Tiger Brokers - January 2024</t>
  </si>
  <si>
    <t xml:space="preserve">Limestone Coast Brewing - January 2024</t>
  </si>
  <si>
    <t xml:space="preserve">Complete Machine Tools - January 2024</t>
  </si>
  <si>
    <t xml:space="preserve">Clear Pak - January 2024</t>
  </si>
  <si>
    <t xml:space="preserve">Machine Technology - January 2024</t>
  </si>
  <si>
    <t xml:space="preserve">Ava Distribution - MSP January 2024</t>
  </si>
  <si>
    <t xml:space="preserve">FarmFresh - January 2024 Hosting</t>
  </si>
  <si>
    <t xml:space="preserve">Gen MFO - January 2024</t>
  </si>
  <si>
    <t xml:space="preserve">MH Wirth Pty Ltd - SQL Cloud User x 3</t>
  </si>
  <si>
    <t xml:space="preserve">MH Wirth - 2024</t>
  </si>
  <si>
    <t xml:space="preserve">Tasman Water MSP - Q1 2024</t>
  </si>
  <si>
    <t xml:space="preserve">Specialty Diagnostix - MSP - January 2024</t>
  </si>
  <si>
    <t xml:space="preserve">Industrial Air - January 2024</t>
  </si>
  <si>
    <t xml:space="preserve">Brisbane Money Management - January 2024</t>
  </si>
  <si>
    <t xml:space="preserve">Laundry Solutions Australia - Mobile User</t>
  </si>
  <si>
    <t xml:space="preserve">LSA Cloud Hosting - Additional User Charges November 2023</t>
  </si>
  <si>
    <t xml:space="preserve">LSA MSP - January 2024</t>
  </si>
  <si>
    <t xml:space="preserve">MSP - Q1 2024</t>
  </si>
  <si>
    <t xml:space="preserve">ISFAB Pty Ltd MSP - January 2024</t>
  </si>
  <si>
    <t xml:space="preserve">Dulwich Bakery - January 2024</t>
  </si>
  <si>
    <t xml:space="preserve">SpeeDx - January 2024</t>
  </si>
  <si>
    <t xml:space="preserve">Micromax - January 2024</t>
  </si>
  <si>
    <t xml:space="preserve">BentSpoke - January 2024</t>
  </si>
  <si>
    <t xml:space="preserve">Work Arena - January 2024</t>
  </si>
  <si>
    <t xml:space="preserve">ANZ Controls Pty Ltd - January 2024</t>
  </si>
  <si>
    <t xml:space="preserve">Connector-Tech ALS - January 2024</t>
  </si>
  <si>
    <t xml:space="preserve">BJs Manufacturing Pty Ltd - January 2024</t>
  </si>
  <si>
    <t xml:space="preserve">Hanbac Pty Ltd - January 2024</t>
  </si>
  <si>
    <t xml:space="preserve">United Initiators - January 2024</t>
  </si>
  <si>
    <t xml:space="preserve">Odyssey Marine - January 2024</t>
  </si>
  <si>
    <t xml:space="preserve">Vollers - January 2024</t>
  </si>
  <si>
    <t xml:space="preserve">Dickinsons - January 2024</t>
  </si>
  <si>
    <t xml:space="preserve">I-Environmental - January 2024</t>
  </si>
  <si>
    <t xml:space="preserve">Audio Supermarket - January 2024</t>
  </si>
  <si>
    <t xml:space="preserve">Fix Plus - January 2024</t>
  </si>
  <si>
    <t xml:space="preserve">Abrolhos Steel - January 2024</t>
  </si>
  <si>
    <t xml:space="preserve">Bein Sports - January 2024</t>
  </si>
  <si>
    <t xml:space="preserve">Bacchant Wines - January 2024</t>
  </si>
  <si>
    <t xml:space="preserve">TeaDrop - January 2024</t>
  </si>
  <si>
    <t xml:space="preserve">Key Business Solutions - January 2024</t>
  </si>
  <si>
    <t xml:space="preserve">Key Business Solutions - SQL Cloud User - Flexi Industrial Supplies</t>
  </si>
  <si>
    <t xml:space="preserve">Key Business Solutions - HANA Cloud User - Sealing Australia Pty Ltd - 5 New Users added in November 2023</t>
  </si>
  <si>
    <t xml:space="preserve">Key Business Solutions - SQL Cloud User - Flexi Industrial Supplies - New customer added in November 2023</t>
  </si>
  <si>
    <t xml:space="preserve">CCA Management - January 2024</t>
  </si>
  <si>
    <t xml:space="preserve">UPOL - January 2024</t>
  </si>
  <si>
    <t xml:space="preserve">Components Only Pty Ltd - January 2024</t>
  </si>
  <si>
    <t xml:space="preserve">MTI MSP - January 2024</t>
  </si>
  <si>
    <t xml:space="preserve">MTI Cloud Hosting - January 2024</t>
  </si>
  <si>
    <t xml:space="preserve">EduComIT Pty Ltd - Web Site Development</t>
  </si>
  <si>
    <t xml:space="preserve">BuyTechNow Website - December 2023</t>
  </si>
  <si>
    <t xml:space="preserve">Brisbane Money Management - February 2024</t>
  </si>
  <si>
    <t xml:space="preserve">Tiger Brokers - February 2024</t>
  </si>
  <si>
    <t xml:space="preserve">Limestone Coast Brewing - February 2024</t>
  </si>
  <si>
    <t xml:space="preserve">Complete Machine Tools - February 2024</t>
  </si>
  <si>
    <t xml:space="preserve">Clear Pak - February 2024</t>
  </si>
  <si>
    <t xml:space="preserve">Machine Technology - February 2024</t>
  </si>
  <si>
    <t xml:space="preserve">Ava Distribution - MSP February 2024</t>
  </si>
  <si>
    <t xml:space="preserve">Gen MFO - February 2024</t>
  </si>
  <si>
    <t xml:space="preserve">Specialty Diagnostix - MSP - February 2024</t>
  </si>
  <si>
    <t xml:space="preserve">Industrial Air - February 2024</t>
  </si>
  <si>
    <t xml:space="preserve">MTI MSP - February 2024</t>
  </si>
  <si>
    <t xml:space="preserve">MTI Cloud Hosting - February 2024</t>
  </si>
  <si>
    <t xml:space="preserve">Laundry Solutions Australia - SQL Cloud User</t>
  </si>
  <si>
    <t xml:space="preserve">LSA Cloud Hosting - 2024</t>
  </si>
  <si>
    <t xml:space="preserve">Laundry Solutions Australia - Application Server (Small)</t>
  </si>
  <si>
    <t xml:space="preserve">LSA MSP - February 2024</t>
  </si>
  <si>
    <t xml:space="preserve">ISFAB Pty Ltd MSP - February 2024</t>
  </si>
  <si>
    <t xml:space="preserve">Dulwich Bakery - February 2024</t>
  </si>
  <si>
    <t xml:space="preserve">CCA Management - February 2024</t>
  </si>
  <si>
    <t xml:space="preserve">SpeeDx - February 2024</t>
  </si>
  <si>
    <t xml:space="preserve">Micromax - February 2024</t>
  </si>
  <si>
    <t xml:space="preserve">BentSpoke - February 2024</t>
  </si>
  <si>
    <t xml:space="preserve">Work Arena - February 2024</t>
  </si>
  <si>
    <t xml:space="preserve">ANZ Controls Pty Ltd - February 2024</t>
  </si>
  <si>
    <t xml:space="preserve">Connector-Tech ALS - February 2024</t>
  </si>
  <si>
    <t xml:space="preserve">BJs Manufacturing Pty Ltd - February 2024</t>
  </si>
  <si>
    <t xml:space="preserve">Hanbac Pty Ltd - February 2024</t>
  </si>
  <si>
    <t xml:space="preserve">Components Only Pty Ltd - February 2024</t>
  </si>
  <si>
    <t xml:space="preserve">United Initiators - February 2024</t>
  </si>
  <si>
    <t xml:space="preserve">Odyssey Marine - February 2024</t>
  </si>
  <si>
    <t xml:space="preserve">Vollers - February 2024</t>
  </si>
  <si>
    <t xml:space="preserve">UPOL - February 2024</t>
  </si>
  <si>
    <t xml:space="preserve">Dickinsons - February 2024</t>
  </si>
  <si>
    <t xml:space="preserve">I-Environmental - February 2024</t>
  </si>
  <si>
    <t xml:space="preserve">Audio Supermarket - February 2024</t>
  </si>
  <si>
    <t xml:space="preserve">Fix Plus - February 2024</t>
  </si>
  <si>
    <t xml:space="preserve">Abrolhos Steel - February 2024</t>
  </si>
  <si>
    <t xml:space="preserve">Bein Sports - February 2024</t>
  </si>
  <si>
    <t xml:space="preserve">Bacchant Wines - February 2024</t>
  </si>
  <si>
    <t xml:space="preserve">TeaDrop - February 2024</t>
  </si>
  <si>
    <t xml:space="preserve">FarmFresh - February 2024</t>
  </si>
  <si>
    <t xml:space="preserve">FarmFresh Corporation Pty Ltd - HANA Cloud User - December 2023</t>
  </si>
  <si>
    <t xml:space="preserve">FarmFresh Corporation Pty Ltd - HANA Cloud User - January 2024</t>
  </si>
  <si>
    <t xml:space="preserve">Key Business Solutions - February 2024</t>
  </si>
  <si>
    <t xml:space="preserve">Key Business Solutions - HANA Cloud User - R.C.S Products Pty Ltd - Updated Pricing</t>
  </si>
  <si>
    <t xml:space="preserve">Key Business Solutions - SQL Cloud User - Smartz Operation Pty Ltd</t>
  </si>
  <si>
    <t xml:space="preserve">Key Business Solutions - HANA Cloud User - Icon International</t>
  </si>
  <si>
    <t xml:space="preserve">Key Business Solutions - HANA Cloud User - R.C.S Products Pty Ltd - 1 x New User added from December</t>
  </si>
  <si>
    <t xml:space="preserve">Key Business Solutions - SQL Cloud User - Smartz Operation - New 3 user customer from November</t>
  </si>
  <si>
    <t xml:space="preserve">Key Business Solutions - HANA Cloud User - Icon International - New 2 user customer from December</t>
  </si>
  <si>
    <t xml:space="preserve">Tiger Brokers - March 2024</t>
  </si>
  <si>
    <t xml:space="preserve">Limestone Coast Brewing - March 2024</t>
  </si>
  <si>
    <t xml:space="preserve">Complete Machine Tools - March 2024</t>
  </si>
  <si>
    <t xml:space="preserve">Clear Pak - March 2024</t>
  </si>
  <si>
    <t xml:space="preserve">Machine Technology - March 2024</t>
  </si>
  <si>
    <t xml:space="preserve">Ava Distribution - MSP March 2024</t>
  </si>
  <si>
    <t xml:space="preserve">FarmFresh - March 2024</t>
  </si>
  <si>
    <t xml:space="preserve">Gen MFO - March 2024</t>
  </si>
  <si>
    <t xml:space="preserve">Specialty Diagnostix - MSP - March 2024</t>
  </si>
  <si>
    <t xml:space="preserve">Industrial Air - March 2024</t>
  </si>
  <si>
    <t xml:space="preserve">Brisbane Money Management - March 2024</t>
  </si>
  <si>
    <t xml:space="preserve">LSA MSP - March 2024</t>
  </si>
  <si>
    <t xml:space="preserve">ISFAB Pty Ltd MSP - March 2024</t>
  </si>
  <si>
    <t xml:space="preserve">Dulwich Bakery - March 2024</t>
  </si>
  <si>
    <t xml:space="preserve">CCA Management - March 2024</t>
  </si>
  <si>
    <t xml:space="preserve">SpeeDx - March 2024</t>
  </si>
  <si>
    <t xml:space="preserve">Micromax - March 2024</t>
  </si>
  <si>
    <t xml:space="preserve">BentSpoke - March 2024</t>
  </si>
  <si>
    <t xml:space="preserve">Work Arena - March 2024</t>
  </si>
  <si>
    <t xml:space="preserve">ANZ Controls Pty Ltd - March 2024</t>
  </si>
  <si>
    <t xml:space="preserve">Connector-Tech ALS - March 2024</t>
  </si>
  <si>
    <t xml:space="preserve">BJs Manufacturing Pty Ltd - March 2024</t>
  </si>
  <si>
    <t xml:space="preserve">FUJIFILM Microchannel Services Pty. Limited - SQL Cloud User (2mnths)</t>
  </si>
  <si>
    <t xml:space="preserve">Hanbac Pty Ltd - March 2024</t>
  </si>
  <si>
    <t xml:space="preserve">Components Only Pty Ltd - March 2024</t>
  </si>
  <si>
    <t xml:space="preserve">United Initiators - March 2024</t>
  </si>
  <si>
    <t xml:space="preserve">Odyssey Marine - March 2024</t>
  </si>
  <si>
    <t xml:space="preserve">Vollers - March 2024</t>
  </si>
  <si>
    <t xml:space="preserve">UPOL - March 2024</t>
  </si>
  <si>
    <t xml:space="preserve">Dickinsons - March 2024</t>
  </si>
  <si>
    <t xml:space="preserve">I-Environmental - March 2024</t>
  </si>
  <si>
    <t xml:space="preserve">Audio Supermarket - March 2024</t>
  </si>
  <si>
    <t xml:space="preserve">Fix Plus - March 2024</t>
  </si>
  <si>
    <t xml:space="preserve">Abrolhos Steel - March 2024</t>
  </si>
  <si>
    <t xml:space="preserve">Bein Sports - March 2024</t>
  </si>
  <si>
    <t xml:space="preserve">Bacchant Wines - March 2024</t>
  </si>
  <si>
    <t xml:space="preserve">TeaDrop - March 2024</t>
  </si>
  <si>
    <t xml:space="preserve">Key Business Solutions - March 2024</t>
  </si>
  <si>
    <t xml:space="preserve">Key Business Solutions - SQL Cloud User - Simon Optics</t>
  </si>
  <si>
    <t xml:space="preserve">Key Business Solutions - SQL Cloud User - Simon Optics - New customer from January 2024 (2mnths)</t>
  </si>
  <si>
    <t xml:space="preserve">Incorrect Database Charge from July 2023</t>
  </si>
  <si>
    <t xml:space="preserve">I-BN (I-Business Network) - HANA Cloud User - June</t>
  </si>
  <si>
    <t xml:space="preserve">Storz Medical America Inc - Additional Users from January 2024 (2)</t>
  </si>
  <si>
    <t xml:space="preserve">Tiger Brokers - April 2024</t>
  </si>
  <si>
    <t xml:space="preserve">Complete Machine Tools - April 2024</t>
  </si>
  <si>
    <t xml:space="preserve">Clear Pak - April 2024</t>
  </si>
  <si>
    <t xml:space="preserve">Machine Technology - April 2024</t>
  </si>
  <si>
    <t xml:space="preserve">Machine Technology - Private Cloud SQL User - 1 User added in February</t>
  </si>
  <si>
    <t xml:space="preserve">FarmFresh - April 2024</t>
  </si>
  <si>
    <t xml:space="preserve">FarmFresh Corporation Pty Ltd - Additional Company Database and Test Database</t>
  </si>
  <si>
    <t xml:space="preserve">FarmFresh Corporation Pty Ltd - Additional Company Database and Test Database - Added in December 2023</t>
  </si>
  <si>
    <t xml:space="preserve">Tasman Water MSP - Q2 2024</t>
  </si>
  <si>
    <t xml:space="preserve">Specialty Diagnostix - MSP - April 2024</t>
  </si>
  <si>
    <t xml:space="preserve">Specialty Diagnostix - Office 365 License</t>
  </si>
  <si>
    <t xml:space="preserve">Industrial Air - April 2024</t>
  </si>
  <si>
    <t xml:space="preserve">Brisbane Money Management - April 2024</t>
  </si>
  <si>
    <t xml:space="preserve">LSA MSP - April 2024</t>
  </si>
  <si>
    <t xml:space="preserve">MSP - Q2 2024</t>
  </si>
  <si>
    <t xml:space="preserve">Dulwich Bakery - HANA Cloud User Premium</t>
  </si>
  <si>
    <t xml:space="preserve">Dulwich Bakery - April 2024</t>
  </si>
  <si>
    <t xml:space="preserve">Dulwich Bakery - Additional Database on SAP HANA or on Microsoft SQL for SAP Business One Cloud hosted by SMB Solutions Cloud Services Pty Ltd.</t>
  </si>
  <si>
    <t xml:space="preserve">CCA Management - April 2024</t>
  </si>
  <si>
    <t xml:space="preserve">SpeeDx - April 2024</t>
  </si>
  <si>
    <t xml:space="preserve">Micromax - April 2024</t>
  </si>
  <si>
    <t xml:space="preserve">BentSpoke - April 2024</t>
  </si>
  <si>
    <t xml:space="preserve">Work Arena - April 2024</t>
  </si>
  <si>
    <t xml:space="preserve">FUJIFILM Microchannel Services Pty. Limited - SQL Cloud User - Single Tenant - February</t>
  </si>
  <si>
    <t xml:space="preserve">Precision Calibration and Control - New Customer from February 2024</t>
  </si>
  <si>
    <t xml:space="preserve">FUJIFILM Microchannel Services Pty. Limited - SQL Cloud User - Single Tenant - March</t>
  </si>
  <si>
    <t xml:space="preserve">FUJIFILM Microchannel Services Pty. Limited - SQL Cloud User - Single Tenant - April</t>
  </si>
  <si>
    <t xml:space="preserve">FUJIFILM Microchannel Services Pty. Limited - HANA Cloud User - February</t>
  </si>
  <si>
    <t xml:space="preserve">Upstream Coffee Imports - New Customer from February 2024</t>
  </si>
  <si>
    <t xml:space="preserve">FUJIFILM Microchannel Services Pty. Limited - HANA Cloud User - March</t>
  </si>
  <si>
    <t xml:space="preserve">FUJIFILM Microchannel Services Pty. Limited - HANA Cloud User - April</t>
  </si>
  <si>
    <t xml:space="preserve">ANZ Controls Pty Ltd - April 2024</t>
  </si>
  <si>
    <t xml:space="preserve">Connector-Tech ALS - April 2024</t>
  </si>
  <si>
    <t xml:space="preserve">BJs Manufacturing Pty Ltd - April 2024</t>
  </si>
  <si>
    <t xml:space="preserve">Hanbac Pty Ltd - April 2024</t>
  </si>
  <si>
    <t xml:space="preserve">Components Only Pty Ltd - April 2024</t>
  </si>
  <si>
    <t xml:space="preserve">FUJIFILM Microchannel Services Pty. Limited - SQL Cloud User - 1 User added in February</t>
  </si>
  <si>
    <t xml:space="preserve">FUJIFILM Microchannel Services Pty. Limited - Additional Company Database and Test Database - Database added in July 2023 but incorrectly not added to invoicing - 9 mnths</t>
  </si>
  <si>
    <t xml:space="preserve">United Initiators - April 2024</t>
  </si>
  <si>
    <t xml:space="preserve">Odyssey Marine - April 2024</t>
  </si>
  <si>
    <t xml:space="preserve">Vollers - April 2024</t>
  </si>
  <si>
    <t xml:space="preserve">UPOL - April 2024</t>
  </si>
  <si>
    <t xml:space="preserve">Dickinsons - April 2024</t>
  </si>
  <si>
    <t xml:space="preserve">I-Environmental - April 2024</t>
  </si>
  <si>
    <t xml:space="preserve">Audio Supermarket - April 2024</t>
  </si>
  <si>
    <t xml:space="preserve">Fix Plus - April 2024</t>
  </si>
  <si>
    <t xml:space="preserve">Abrolhos Steel - April 2024</t>
  </si>
  <si>
    <t xml:space="preserve">Bein Sports - April 2024</t>
  </si>
  <si>
    <t xml:space="preserve">Bacchant Wines - April 2024</t>
  </si>
  <si>
    <t xml:space="preserve">TeaDrop - April 2024</t>
  </si>
  <si>
    <t xml:space="preserve">Limestone Coast Brewing - April 2024</t>
  </si>
  <si>
    <t xml:space="preserve">ISFAB Pty Ltd MSP - April 2024</t>
  </si>
  <si>
    <t xml:space="preserve">IS FAB Pty Ltd - Duo Security Token - Shipping Included - Ordered by Tina via phone &amp; sent in February</t>
  </si>
  <si>
    <t xml:space="preserve">Ava Distribution - MSP April 2024</t>
  </si>
  <si>
    <t xml:space="preserve">Ava Distribution - Managed Services per device per month - March</t>
  </si>
  <si>
    <t xml:space="preserve">Key Business Solutions - April 2024</t>
  </si>
  <si>
    <t xml:space="preserve">Key Business Solutions - Additional Company Database and Test Database - Mrs Poppins Property Services</t>
  </si>
  <si>
    <t xml:space="preserve">Key Business Solutions - Additional Company Database and Test Database - Mrs Poppins Property Services - Added in July 2023 (9 mnths)</t>
  </si>
  <si>
    <t xml:space="preserve">Key Business Solutions - SQL Cloud User - Overseas Distributors - 1 User added in February (2 mnths)</t>
  </si>
  <si>
    <t xml:space="preserve">Key Business Solutions - HANA Cloud User - Hugos Chocolate - 1 User added in December (4 mnths)</t>
  </si>
  <si>
    <t xml:space="preserve">Gen MFO - April 2024</t>
  </si>
  <si>
    <t xml:space="preserve">CCA Management - US March/April 2024</t>
  </si>
  <si>
    <t xml:space="preserve">George Fethers &amp; Co - SQL Cloud User - February</t>
  </si>
  <si>
    <t xml:space="preserve">George Fethers &amp; Co - New Customer from February 2024</t>
  </si>
  <si>
    <t xml:space="preserve">George Fethers &amp; Co - SQL Cloud User - March</t>
  </si>
  <si>
    <t xml:space="preserve">George Fethers &amp; Co - SQL Cloud User - April</t>
  </si>
  <si>
    <t xml:space="preserve">SEE PAYMENT ADVICE MTI GROUP PTY LT - Miscellaneous</t>
  </si>
  <si>
    <t xml:space="preserve">INV-2687</t>
  </si>
  <si>
    <t xml:space="preserve">Limestone Coast Brewing - May 2024</t>
  </si>
  <si>
    <t xml:space="preserve">George Fethers &amp; Co - SQL Cloud User</t>
  </si>
  <si>
    <t xml:space="preserve">George Fethers &amp; Co - May 2024</t>
  </si>
  <si>
    <t xml:space="preserve">Tiger Brokers - May 2024</t>
  </si>
  <si>
    <t xml:space="preserve">Complete Machine Tools - May 2024</t>
  </si>
  <si>
    <t xml:space="preserve">Clear Pak - May 2024</t>
  </si>
  <si>
    <t xml:space="preserve">Machine Technology - May 2024</t>
  </si>
  <si>
    <t xml:space="preserve">Ava Distribution - MSP May 2024</t>
  </si>
  <si>
    <t xml:space="preserve">FarmFresh - May 2024</t>
  </si>
  <si>
    <t xml:space="preserve">Gen MFO - May 2024</t>
  </si>
  <si>
    <t xml:space="preserve">Specialty Diagnostix - MSP - May 2024</t>
  </si>
  <si>
    <t xml:space="preserve">Industrial Air - May 2024</t>
  </si>
  <si>
    <t xml:space="preserve">Brisbane Money Management - May 2024</t>
  </si>
  <si>
    <t xml:space="preserve">LSA MSP - May 2024</t>
  </si>
  <si>
    <t xml:space="preserve">ISFAB Pty Ltd MSP - May 2024</t>
  </si>
  <si>
    <t xml:space="preserve">Dulwich Bakery - May 2024</t>
  </si>
  <si>
    <t xml:space="preserve">CCA Management - USS May 2024</t>
  </si>
  <si>
    <t xml:space="preserve">CCA Management - May 2024</t>
  </si>
  <si>
    <t xml:space="preserve">SpeeDx - May 2024</t>
  </si>
  <si>
    <t xml:space="preserve">Micromax - May 2024</t>
  </si>
  <si>
    <t xml:space="preserve">BentSpoke - May 2024</t>
  </si>
  <si>
    <t xml:space="preserve">Work Arena - May 2024</t>
  </si>
  <si>
    <t xml:space="preserve">FUJIFILM Microchannel Services Pty. Limited - SQL Cloud User - Single Tenant</t>
  </si>
  <si>
    <t xml:space="preserve">Precision Calibration and Control - May 2024</t>
  </si>
  <si>
    <t xml:space="preserve">Upstream Coffee Imports - May 2024</t>
  </si>
  <si>
    <t xml:space="preserve">ANZ Controls Pty Ltd - May 2024</t>
  </si>
  <si>
    <t xml:space="preserve">Connector-Tech ALS - May 2024</t>
  </si>
  <si>
    <t xml:space="preserve">Hanbac Pty Ltd - May 2024</t>
  </si>
  <si>
    <t xml:space="preserve">Components Only Pty Ltd - May 2024</t>
  </si>
  <si>
    <t xml:space="preserve">United Initiators - May 2024</t>
  </si>
  <si>
    <t xml:space="preserve">Odyssey Marine - May 2024</t>
  </si>
  <si>
    <t xml:space="preserve">Vollers - May 2024</t>
  </si>
  <si>
    <t xml:space="preserve">UPOL - May 2024</t>
  </si>
  <si>
    <t xml:space="preserve">Dickinsons - May 2024</t>
  </si>
  <si>
    <t xml:space="preserve">FUJIFILM Microchannel Services Pty. Limited - HANA Cloud User - 1 New User added in March</t>
  </si>
  <si>
    <t xml:space="preserve">I-Environmental - May 2024</t>
  </si>
  <si>
    <t xml:space="preserve">Audio Supermarket - May 2024</t>
  </si>
  <si>
    <t xml:space="preserve">Fix Plus - May 2024</t>
  </si>
  <si>
    <t xml:space="preserve">Abrolhos Steel - May 2024</t>
  </si>
  <si>
    <t xml:space="preserve">Bein Sports - May 2024</t>
  </si>
  <si>
    <t xml:space="preserve">Bacchant Wines - May 2024</t>
  </si>
  <si>
    <t xml:space="preserve">TeaDrop - May 2024</t>
  </si>
  <si>
    <t xml:space="preserve">Key Business Solutions - May 2024</t>
  </si>
  <si>
    <t xml:space="preserve">Key Business Solutions - SQL Cloud User - COBO Oceania Pty Ltd</t>
  </si>
  <si>
    <t xml:space="preserve">Key Business Solutions - SQL Cloud User - COBO Oceania Pty Ltd - New multi-tenant customer from March (2 mnths)</t>
  </si>
  <si>
    <t xml:space="preserve">Key Business Solutions - HANA Cloud User - Hugos Chocolate - 3 Users added in March (2 mnths)</t>
  </si>
  <si>
    <t xml:space="preserve">BJs Manufacturing Pty Ltd - May 2024</t>
  </si>
  <si>
    <t xml:space="preserve">BJS Roofing Supplies - Duo Security Token - Shipping Included</t>
  </si>
  <si>
    <t xml:space="preserve">Duo Tokens - March 2024</t>
  </si>
  <si>
    <t xml:space="preserve">Limestone Coast Brewing - June 2024</t>
  </si>
  <si>
    <t xml:space="preserve">Straightsell - HANA Cloud User - March 2024</t>
  </si>
  <si>
    <t xml:space="preserve">Straightsell - New Customer from March 2024</t>
  </si>
  <si>
    <t xml:space="preserve">Straightsell - HANA Cloud User - April</t>
  </si>
  <si>
    <t xml:space="preserve">Straightsell - HANA Cloud User - May</t>
  </si>
  <si>
    <t xml:space="preserve">Straightsell - HANA Cloud User - June</t>
  </si>
  <si>
    <t xml:space="preserve">George Fethers &amp; Co - June 2024</t>
  </si>
  <si>
    <t xml:space="preserve">Tiger Brokers - June 2024</t>
  </si>
  <si>
    <t xml:space="preserve">Complete Machine Tools - June 2024</t>
  </si>
  <si>
    <t xml:space="preserve">Clear Pak - June 2024</t>
  </si>
  <si>
    <t xml:space="preserve">Machine Technology - June 2024</t>
  </si>
  <si>
    <t xml:space="preserve">Ava Distribution - MSP June 2024</t>
  </si>
  <si>
    <t xml:space="preserve">FarmFresh - June 2024</t>
  </si>
  <si>
    <t xml:space="preserve">Gen MFO - June 2024</t>
  </si>
  <si>
    <t xml:space="preserve">Filquip Pty Ltd - SQL Cloud User</t>
  </si>
  <si>
    <t xml:space="preserve">Filquip - June 2024 to May 2025</t>
  </si>
  <si>
    <t xml:space="preserve">Specialty Diagnostix - MSP - June 2024</t>
  </si>
  <si>
    <t xml:space="preserve">Industrial Air - June 2024</t>
  </si>
  <si>
    <t xml:space="preserve">Brisbane Money Management - June 2024</t>
  </si>
  <si>
    <t xml:space="preserve">LSA MSP - June 2024</t>
  </si>
  <si>
    <t xml:space="preserve">ISFAB Pty Ltd MSP - June 2024</t>
  </si>
  <si>
    <t xml:space="preserve">Dulwich Bakery - June 2024</t>
  </si>
  <si>
    <t xml:space="preserve">CCA Management - USS June 2024</t>
  </si>
  <si>
    <t xml:space="preserve">CCA Management - June 2024</t>
  </si>
  <si>
    <t xml:space="preserve">CCA Management Pty Limited - Duo Security Token - Shipping Included</t>
  </si>
  <si>
    <t xml:space="preserve">SpeeDx - June 2024</t>
  </si>
  <si>
    <t xml:space="preserve">Micromax - June 2024</t>
  </si>
  <si>
    <t xml:space="preserve">BentSpoke - June 2024</t>
  </si>
  <si>
    <t xml:space="preserve">Work Arena - June 2024</t>
  </si>
  <si>
    <t xml:space="preserve">Precision Calibration and Control - June 2024</t>
  </si>
  <si>
    <t xml:space="preserve">Upstream Coffee Imports - June 2024</t>
  </si>
  <si>
    <t xml:space="preserve">ANZ Controls Pty Ltd - June 2024</t>
  </si>
  <si>
    <t xml:space="preserve">Connector-Tech ALS - June 2024</t>
  </si>
  <si>
    <t xml:space="preserve">BJs Manufacturing Pty Ltd - June 2024</t>
  </si>
  <si>
    <t xml:space="preserve">Hanbac Pty Ltd - June 2024</t>
  </si>
  <si>
    <t xml:space="preserve">Components Only Pty Ltd - June 2024</t>
  </si>
  <si>
    <t xml:space="preserve">United Initiators - June 2024</t>
  </si>
  <si>
    <t xml:space="preserve">Odyssey Marine - June 2024</t>
  </si>
  <si>
    <t xml:space="preserve">Vollers - June 2024</t>
  </si>
  <si>
    <t xml:space="preserve">UPOL - June 2024</t>
  </si>
  <si>
    <t xml:space="preserve">Dickinsons - June 2024</t>
  </si>
  <si>
    <t xml:space="preserve">I-Environmental - June 2024</t>
  </si>
  <si>
    <t xml:space="preserve">Audio Supermarket - June 2024</t>
  </si>
  <si>
    <t xml:space="preserve">Fix Plus - June 2024</t>
  </si>
  <si>
    <t xml:space="preserve">Abrolhos Steel - June 2024</t>
  </si>
  <si>
    <t xml:space="preserve">Bein Sports - June 2024</t>
  </si>
  <si>
    <t xml:space="preserve">Bacchant Wines - June 2024</t>
  </si>
  <si>
    <t xml:space="preserve">Provincial Distributors - HANA Development Environment - Large (Covering a 12 month period starting June 2024)</t>
  </si>
  <si>
    <t xml:space="preserve">Provincial Distributors - June 2024</t>
  </si>
  <si>
    <t xml:space="preserve">Provincial Distributors - HANA On-Premises Management Fee</t>
  </si>
  <si>
    <t xml:space="preserve">TeaDrop - June 2024</t>
  </si>
  <si>
    <t xml:space="preserve">Key Business Solutions - June 2024</t>
  </si>
  <si>
    <t xml:space="preserve">Key Business Solutions - SQL Cloud User - M&amp;E Equipment Traders</t>
  </si>
  <si>
    <t xml:space="preserve">Key Business Solutions - SQL Cloud User - Electrical One Pty Ltd</t>
  </si>
  <si>
    <t xml:space="preserve">Key Business Solutions - SQL Cloud User - Rainbow Pacific (Rothbay Pty Ltd)</t>
  </si>
  <si>
    <t xml:space="preserve">Key Business Solutions - HANA Cloud User - Meccanica Pty Ltd</t>
  </si>
  <si>
    <t xml:space="preserve">Key Business Solutions - SQL Cloud User - Overseas Distributor - 1 New User added from March (3 mnths)</t>
  </si>
  <si>
    <t xml:space="preserve">Key Business Solutions - SQL Cloud User - M&amp;E Equipment Traders - New 1 User Customer from March (3 mnths)</t>
  </si>
  <si>
    <t xml:space="preserve">Key Business Solutions - SQL Cloud User - M&amp;E Equipment Traders - 1 New User added in April (2 mnths)</t>
  </si>
  <si>
    <t xml:space="preserve">Key Business Solutions - SQL Cloud User - Electrical One Pty Ltd - New 3 User Customer from April (2 mnths)</t>
  </si>
  <si>
    <t xml:space="preserve">Key Business Solutions - SQL Cloud User - Rainbow Pacific (Rothbay Pty Ltd) - New 1 User Customer from April (2 mnths)</t>
  </si>
  <si>
    <t xml:space="preserve">Key Business Solutions - HANA Cloud User - Meccanica Pty Ltd - New 2 User Customer from April (2 mnths)</t>
  </si>
  <si>
    <t xml:space="preserve">FUJIFILM Microchannel Services Pty. Limited - Single Tenant Setup</t>
  </si>
  <si>
    <t xml:space="preserve">Precision Calibration and Control - Missing Items from February to June 2024</t>
  </si>
  <si>
    <t xml:space="preserve">EduComIT Pty Ltd - OPMC INV-0021065</t>
  </si>
  <si>
    <t xml:space="preserve">Educomit.com.au Firewall Invoice February 2024</t>
  </si>
  <si>
    <t xml:space="preserve">Lunar Mining Services Pty Ltd - Managed Services per device per month - April</t>
  </si>
  <si>
    <t xml:space="preserve">Lunar Mining - New MSP Customer from April 2024</t>
  </si>
  <si>
    <t xml:space="preserve">Lunar Mining Services Pty Ltd - Managed Services per device per month - May</t>
  </si>
  <si>
    <t xml:space="preserve">Lunar Mining Services Pty Ltd - Managed Services per device per month - June</t>
  </si>
  <si>
    <t xml:space="preserve">Lunar Mining Services Pty Ltd - Managed Services per device per month - July</t>
  </si>
  <si>
    <t xml:space="preserve">Lunar Mining Services Pty Ltd - Duo Security Token - Shipping Included - Authorised by Jeremy Harris and sent 9/4</t>
  </si>
  <si>
    <t xml:space="preserve">Straightsell - HANA Cloud User</t>
  </si>
  <si>
    <t xml:space="preserve">Straightsell - July 2024</t>
  </si>
  <si>
    <t xml:space="preserve">George Fethers &amp; Co - July 2024</t>
  </si>
  <si>
    <t xml:space="preserve">Tiger Brokers - July 2024</t>
  </si>
  <si>
    <t xml:space="preserve">Complete Machine Tools - July 2024</t>
  </si>
  <si>
    <t xml:space="preserve">The Elastomers Pty Ltd - SQL Cloud User</t>
  </si>
  <si>
    <t xml:space="preserve">The Elastomers Pty Ltd - Annual Invoice 2024</t>
  </si>
  <si>
    <t xml:space="preserve">Clear Pak - July 2024</t>
  </si>
  <si>
    <t xml:space="preserve">Machine Technology - July 2024</t>
  </si>
  <si>
    <t xml:space="preserve">Ava Distribution - MSP July 2024</t>
  </si>
  <si>
    <t xml:space="preserve">FarmFresh - July 2024</t>
  </si>
  <si>
    <t xml:space="preserve">Gen MFO - July 2024</t>
  </si>
  <si>
    <t xml:space="preserve">Tasman Water MSP - Q3 2024</t>
  </si>
  <si>
    <t xml:space="preserve">Tasman Water Technologies Pty Ltd - Domain Renewal - 5yrs - environmentalwarehouse.com</t>
  </si>
  <si>
    <t xml:space="preserve">Tasman Water Technologies Pty Ltd - Domain Renewal - 3yrs - ajmenvironmental.com.au</t>
  </si>
  <si>
    <t xml:space="preserve">Specialty Diagnostix - MSP - July 2024</t>
  </si>
  <si>
    <t xml:space="preserve">Industrial Air - July 2024</t>
  </si>
  <si>
    <t xml:space="preserve">Brisbane Money Management - July 2024</t>
  </si>
  <si>
    <t xml:space="preserve">LSA Cloud Hosting - Additional User Charges May 2024</t>
  </si>
  <si>
    <t xml:space="preserve">LSA MSP - July 2024</t>
  </si>
  <si>
    <t xml:space="preserve">MSP - Q3 2024</t>
  </si>
  <si>
    <t xml:space="preserve">ISFAB Pty Ltd MSP - July 2024</t>
  </si>
  <si>
    <t xml:space="preserve">Dulwich Bakery - July 2024</t>
  </si>
  <si>
    <t xml:space="preserve">CCA Management - USS July 2024</t>
  </si>
  <si>
    <t xml:space="preserve">CCA Management - July 2024</t>
  </si>
  <si>
    <t xml:space="preserve">SpeeDx - July 2024</t>
  </si>
  <si>
    <t xml:space="preserve">Micromax - July 2024</t>
  </si>
  <si>
    <t xml:space="preserve">BentSpoke - July 2024</t>
  </si>
  <si>
    <t xml:space="preserve">Work Arena - July 2024</t>
  </si>
  <si>
    <t xml:space="preserve">Upstream Coffee Imports - July 2024</t>
  </si>
  <si>
    <t xml:space="preserve">ANZ Controls Pty Ltd - July 2024</t>
  </si>
  <si>
    <t xml:space="preserve">Connector-Tech ALS - July 2024</t>
  </si>
  <si>
    <t xml:space="preserve">BJs Manufacturing Pty Ltd - July 2024</t>
  </si>
  <si>
    <t xml:space="preserve">Hanbac Pty Ltd - July 2024</t>
  </si>
  <si>
    <t xml:space="preserve">Components Only Pty Ltd - July 2024</t>
  </si>
  <si>
    <t xml:space="preserve">United Initiators - July 2024</t>
  </si>
  <si>
    <t xml:space="preserve">Odyssey Marine - July 2024</t>
  </si>
  <si>
    <t xml:space="preserve">Vollers - July 2024</t>
  </si>
  <si>
    <t xml:space="preserve">UPOL - July 2024</t>
  </si>
  <si>
    <t xml:space="preserve">Dickinsons - July 2024</t>
  </si>
  <si>
    <t xml:space="preserve">I-Environmental - July 2024</t>
  </si>
  <si>
    <t xml:space="preserve">Audio Supermarket - July 2024</t>
  </si>
  <si>
    <t xml:space="preserve">Fix Plus - July 2024</t>
  </si>
  <si>
    <t xml:space="preserve">Abrolhos Steel - July 2024</t>
  </si>
  <si>
    <t xml:space="preserve">Bein Sports - July 2024</t>
  </si>
  <si>
    <t xml:space="preserve">Bacchant Wines - July 2024</t>
  </si>
  <si>
    <t xml:space="preserve">TeaDrop - July 2024</t>
  </si>
  <si>
    <t xml:space="preserve">Key Business Solutions - July 2024</t>
  </si>
  <si>
    <t xml:space="preserve">Key Business Solutions - SQL Cloud User - Lunar Mining</t>
  </si>
  <si>
    <t xml:space="preserve">Key Business Solutions - HANA Cloud User - BuildSmart</t>
  </si>
  <si>
    <t xml:space="preserve">Key Business Solutions - HANA Cloud User - Selecta Food Group - 1 new user from May (2mnths)</t>
  </si>
  <si>
    <t xml:space="preserve">Key Business Solutions - SQL Cloud User - Overseas Distributor - 2 New Users added from May (2 mnths)</t>
  </si>
  <si>
    <t xml:space="preserve">Key Business Solutions - SQL Cloud User - Lunar Mining - New 6 User Customer from March (4 mnths)</t>
  </si>
  <si>
    <t xml:space="preserve">Key Business Solutions - HANA Cloud User - BuildSmart - New 5 User Customer from May (2mnths)</t>
  </si>
  <si>
    <t xml:space="preserve">Limestone Coast Brewing - July 2024</t>
  </si>
  <si>
    <t xml:space="preserve">Precision Calibration and Control - July 2024</t>
  </si>
  <si>
    <t xml:space="preserve">Limestone Coast Brewing - August 2024</t>
  </si>
  <si>
    <t xml:space="preserve">Key Business Solutions - August 2024</t>
  </si>
  <si>
    <t xml:space="preserve">Key Business Solutions - SQL Cloud User - Venda Group</t>
  </si>
  <si>
    <t xml:space="preserve">Key Business Solutions - SQL Cloud User - Skyzer Pty Ltd</t>
  </si>
  <si>
    <t xml:space="preserve">Key Business Solutions - HANA Cloud User - Southern Model Supplies - 1 new user from June (2mnths)</t>
  </si>
  <si>
    <t xml:space="preserve">Key Business Solutions - Duo Security Token - Shipping Included - Doctors Range - Ordered by Stephen 6/6</t>
  </si>
  <si>
    <t xml:space="preserve">Key Business Solutions - SQL Cloud User - Venda Group - New 1 User Customer from June (2 mnths)</t>
  </si>
  <si>
    <t xml:space="preserve">Key Business Solutions - SQL Cloud User - Skyzer Pty Ltd - New 6 User Customer from July (1 mnth)</t>
  </si>
  <si>
    <t xml:space="preserve">Lunar Mining Services Pty Ltd - Managed Services per device per month</t>
  </si>
  <si>
    <t xml:space="preserve">Lunar Mining - MSP August 2024</t>
  </si>
  <si>
    <t xml:space="preserve">Straightsell - August 2024</t>
  </si>
  <si>
    <t xml:space="preserve">George Fethers &amp; Co - August 2024</t>
  </si>
  <si>
    <t xml:space="preserve">Tiger Brokers - August 2024</t>
  </si>
  <si>
    <t xml:space="preserve">Complete Machine Tools - August 2024</t>
  </si>
  <si>
    <t xml:space="preserve">Clear Pak - August 2024</t>
  </si>
  <si>
    <t xml:space="preserve">Machine Technology - August 2024</t>
  </si>
  <si>
    <t xml:space="preserve">Ava Distribution - MSP August 2024</t>
  </si>
  <si>
    <t xml:space="preserve">FarmFresh - August 2024</t>
  </si>
  <si>
    <t xml:space="preserve">The RIC Group - HANA Cloud User - August 2024</t>
  </si>
  <si>
    <t xml:space="preserve">The RIC Group 2024/25</t>
  </si>
  <si>
    <t xml:space="preserve">The RIC Group - HANA Cloud User - September</t>
  </si>
  <si>
    <t xml:space="preserve">The RIC Group - HANA Cloud User - October</t>
  </si>
  <si>
    <t xml:space="preserve">The RIC Group - HANA Cloud User - November</t>
  </si>
  <si>
    <t xml:space="preserve">The RIC Group - HANA Cloud User - December</t>
  </si>
  <si>
    <t xml:space="preserve">The RIC Group - HANA Cloud User - January 2025</t>
  </si>
  <si>
    <t xml:space="preserve">The RIC Group - HANA Cloud User - February</t>
  </si>
  <si>
    <t xml:space="preserve">The RIC Group - HANA Cloud User - March</t>
  </si>
  <si>
    <t xml:space="preserve">The RIC Group - HANA Cloud User - April</t>
  </si>
  <si>
    <t xml:space="preserve">The RIC Group - HANA Cloud User - May</t>
  </si>
  <si>
    <t xml:space="preserve">The RIC Group - HANA Cloud User - June</t>
  </si>
  <si>
    <t xml:space="preserve">The RIC Group - HANA Cloud User - July 2025</t>
  </si>
  <si>
    <t xml:space="preserve">Specialty Diagnostix - MSP - August 2024</t>
  </si>
  <si>
    <t xml:space="preserve">Industrial Air - August 2024</t>
  </si>
  <si>
    <t xml:space="preserve">Brisbane Money Management - August 2024</t>
  </si>
  <si>
    <t xml:space="preserve">LSA MSP - August 2024</t>
  </si>
  <si>
    <t xml:space="preserve">ISFAB Pty Ltd MSP - August 2024</t>
  </si>
  <si>
    <t xml:space="preserve">Dulwich Bakery - August 2024</t>
  </si>
  <si>
    <t xml:space="preserve">CCA Management - USS August 2024</t>
  </si>
  <si>
    <t xml:space="preserve">CCA Management - August 2024</t>
  </si>
  <si>
    <t xml:space="preserve">SpeeDx - August 2024</t>
  </si>
  <si>
    <t xml:space="preserve">Micromax - August 2024</t>
  </si>
  <si>
    <t xml:space="preserve">BentSpoke - August 2024</t>
  </si>
  <si>
    <t xml:space="preserve">Work Arena - August 2024</t>
  </si>
  <si>
    <t xml:space="preserve">Precision Calibration and Control - August 2024</t>
  </si>
  <si>
    <t xml:space="preserve">Upstream Coffee Imports - August 2024</t>
  </si>
  <si>
    <t xml:space="preserve">ANZ Controls Pty Ltd - August 2024</t>
  </si>
  <si>
    <t xml:space="preserve">Connector-Tech ALS - August 2024</t>
  </si>
  <si>
    <t xml:space="preserve">BJs Manufacturing Pty Ltd - August 2024</t>
  </si>
  <si>
    <t xml:space="preserve">Hanbac Pty Ltd - August 2024</t>
  </si>
  <si>
    <t xml:space="preserve">Components Only Pty Ltd - August 2024</t>
  </si>
  <si>
    <t xml:space="preserve">United Initiators - August 2024</t>
  </si>
  <si>
    <t xml:space="preserve">Odyssey Marine - August 2024</t>
  </si>
  <si>
    <t xml:space="preserve">Vollers - August 2024</t>
  </si>
  <si>
    <t xml:space="preserve">UPOL - August 2024</t>
  </si>
  <si>
    <t xml:space="preserve">Dickinsons - August 2024</t>
  </si>
  <si>
    <t xml:space="preserve">I-Environmental - August 2024</t>
  </si>
  <si>
    <t xml:space="preserve">Audio Supermarket - August 2024</t>
  </si>
  <si>
    <t xml:space="preserve">Fix Plus - August 2024</t>
  </si>
  <si>
    <t xml:space="preserve">Abrolhos Steel - August 2024</t>
  </si>
  <si>
    <t xml:space="preserve">Bein Sports - August 2024</t>
  </si>
  <si>
    <t xml:space="preserve">Bacchant Wines - August 2024</t>
  </si>
  <si>
    <t xml:space="preserve">TeaDrop - August 2024</t>
  </si>
  <si>
    <t xml:space="preserve">Total 200 - Australian Revenue</t>
  </si>
  <si>
    <t xml:space="preserve">Net movement</t>
  </si>
  <si>
    <t xml:space="preserve">Closing Balance</t>
  </si>
  <si>
    <t xml:space="preserve">211 - Asia Pacific Revenue</t>
  </si>
  <si>
    <t xml:space="preserve">211</t>
  </si>
  <si>
    <t xml:space="preserve">Sales</t>
  </si>
  <si>
    <t xml:space="preserve">AFON Technologies Pte Ltd - HANA Cloud User</t>
  </si>
  <si>
    <t xml:space="preserve">Indometal/MIND ID September to December 2023</t>
  </si>
  <si>
    <t xml:space="preserve">AFON Technologies Pte Ltd - VPN Access</t>
  </si>
  <si>
    <t xml:space="preserve">AFON Technologies Pte Ltd - Application Server Medium</t>
  </si>
  <si>
    <t xml:space="preserve">TISI Singapore Pte Ltd - SQL Cloud User</t>
  </si>
  <si>
    <t xml:space="preserve">TISI Singapore - September 2023</t>
  </si>
  <si>
    <t xml:space="preserve">FUJIFILM Microchannel Singapore - SQL Cloud User</t>
  </si>
  <si>
    <t xml:space="preserve">Sunrise Universal - September 2023</t>
  </si>
  <si>
    <t xml:space="preserve">Dynic - September 2023</t>
  </si>
  <si>
    <t xml:space="preserve">Aureus Consult Sdn Bhd - HANA Cloud User</t>
  </si>
  <si>
    <t xml:space="preserve">Excelvite Sdn Bhd - September 2023</t>
  </si>
  <si>
    <t xml:space="preserve">Eng Soon (J) Sdn Bhd - September 2023</t>
  </si>
  <si>
    <t xml:space="preserve">Aureus Consult Sdn Bhd - SQL Cloud User </t>
  </si>
  <si>
    <t xml:space="preserve">Pan Asian Dairies - September 2023</t>
  </si>
  <si>
    <t xml:space="preserve">Aureus Consult Sdn Bhd - SQL Cloud User added in July - Total 9</t>
  </si>
  <si>
    <t xml:space="preserve">Emits Technology - September 2023</t>
  </si>
  <si>
    <t xml:space="preserve">The World Management - HANA Cloud User - Leenson Holdings Pte Ltd</t>
  </si>
  <si>
    <t xml:space="preserve">The World Management - September 2023</t>
  </si>
  <si>
    <t xml:space="preserve">The World Management - Additional Company Database and Test Database - Leenson Holdings Pte Ltd</t>
  </si>
  <si>
    <t xml:space="preserve">TISI Singapore - October 2023</t>
  </si>
  <si>
    <t xml:space="preserve">Sunrise Universal - October 2023</t>
  </si>
  <si>
    <t xml:space="preserve">Dynic - October 2023</t>
  </si>
  <si>
    <t xml:space="preserve">Excelvite Sdn Bhd - October 2023</t>
  </si>
  <si>
    <t xml:space="preserve">Eng Soon (J) Sdn Bhd - October 2023</t>
  </si>
  <si>
    <t xml:space="preserve">Pan Asian Dairies - October 2023</t>
  </si>
  <si>
    <t xml:space="preserve">Emits Technology - October 2023</t>
  </si>
  <si>
    <t xml:space="preserve">AFON Technologies Pte Ltd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</si>
  <si>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Seedling Asset Management previously SHILI Capital Pte Ltd - Additional Databases Extension September 2023</t>
  </si>
  <si>
    <t xml:space="preserve">Artisan Fine Foods - Additional User from July 2023</t>
  </si>
  <si>
    <t xml:space="preserve">The World Management - October 2023</t>
  </si>
  <si>
    <t xml:space="preserve">TISI Singapore - November 2023</t>
  </si>
  <si>
    <t xml:space="preserve">Sunrise Universal - November 2023</t>
  </si>
  <si>
    <t xml:space="preserve">Dynic - November 2023</t>
  </si>
  <si>
    <t xml:space="preserve">Excelvite Sdn Bhd - November 2023</t>
  </si>
  <si>
    <t xml:space="preserve">Eng Soon (J) Sdn Bhd - November 2023</t>
  </si>
  <si>
    <t xml:space="preserve">Pan Asian Dairies - November 2023</t>
  </si>
  <si>
    <t xml:space="preserve">Aureus Consult Sdn Bhd - SQL Cloud User - September </t>
  </si>
  <si>
    <t xml:space="preserve">Aureus Consult Sdn Bhd - SQL Cloud User - October</t>
  </si>
  <si>
    <t xml:space="preserve">Emits Technology - November 2023</t>
  </si>
  <si>
    <t xml:space="preserve">The World Management - November 2023</t>
  </si>
  <si>
    <t xml:space="preserve">TISI Singapore - December 2023</t>
  </si>
  <si>
    <t xml:space="preserve">Sunrise Universal - December 2023</t>
  </si>
  <si>
    <t xml:space="preserve">Dynic - December 2023</t>
  </si>
  <si>
    <t xml:space="preserve">Excelvite Sdn Bhd - December 2023</t>
  </si>
  <si>
    <t xml:space="preserve">Eng Soon (J) Sdn Bhd - December2023</t>
  </si>
  <si>
    <t xml:space="preserve">Pan Asian Dairies - December 2023</t>
  </si>
  <si>
    <t xml:space="preserve">Emits Technology - December 2023</t>
  </si>
  <si>
    <t xml:space="preserve">Seedling Asset Management previously SHILI Capital Pte Ltd - Additional Database from October 2023</t>
  </si>
  <si>
    <t xml:space="preserve">Advanced Urology Associates - December 2023 to November 2024</t>
  </si>
  <si>
    <t xml:space="preserve">The World Management - December 2023</t>
  </si>
  <si>
    <t xml:space="preserve">Hitachi Asia Ltd. - Private Cloud Setup Fee</t>
  </si>
  <si>
    <t xml:space="preserve">Transcosmos Financial Holdings - November 2023-2024</t>
  </si>
  <si>
    <t xml:space="preserve">Hitachi Asia Ltd. - Private HANA User</t>
  </si>
  <si>
    <t xml:space="preserve">Hitachi Asia Ltd. - Additional Company Database and Test Database</t>
  </si>
  <si>
    <t xml:space="preserve">TISI Singapore - January 2024</t>
  </si>
  <si>
    <t xml:space="preserve">Sunrise Universal - January 2024</t>
  </si>
  <si>
    <t xml:space="preserve">Dynic - January 2024</t>
  </si>
  <si>
    <t xml:space="preserve">Eng Soon (J) Sdn Bhd - January 2024</t>
  </si>
  <si>
    <t xml:space="preserve">Pan Asian Dairies - January 2024</t>
  </si>
  <si>
    <t xml:space="preserve">Emits Technology - January 2024</t>
  </si>
  <si>
    <t xml:space="preserve">The World Management - HANA Cloud User</t>
  </si>
  <si>
    <t xml:space="preserve">Aura Prestige 2024</t>
  </si>
  <si>
    <t xml:space="preserve">The World Management - Additional Company Database and Test Database</t>
  </si>
  <si>
    <t xml:space="preserve">The World Management - HANA Cloud User </t>
  </si>
  <si>
    <t xml:space="preserve">The World Management - HANA Cloud User - 2 users</t>
  </si>
  <si>
    <t xml:space="preserve">Leenson Holdings 2024</t>
  </si>
  <si>
    <t xml:space="preserve">The World Management - Additional Company Database and Test Database - 2 databases</t>
  </si>
  <si>
    <t xml:space="preserve">The World Management - SQL Cloud User - 12 months</t>
  </si>
  <si>
    <t xml:space="preserve">Taime 2024</t>
  </si>
  <si>
    <t xml:space="preserve">Artisan Fine Foods 2024</t>
  </si>
  <si>
    <t xml:space="preserve">AFON Technologies Pte Ltd - Additional Company Database and Test Database</t>
  </si>
  <si>
    <t xml:space="preserve">Yaw Ngiap Pte Ltd - New Customer from November 2023</t>
  </si>
  <si>
    <t xml:space="preserve">FUJIFILM Microchannel Singapore - Additional Company Database and Test Database</t>
  </si>
  <si>
    <t xml:space="preserve">Indometal/MIND ID - 2024</t>
  </si>
  <si>
    <t xml:space="preserve">TISI Singapore - February 2024</t>
  </si>
  <si>
    <t xml:space="preserve">Sunrise Universal - February 2024</t>
  </si>
  <si>
    <t xml:space="preserve">Dynic - February 2024</t>
  </si>
  <si>
    <t xml:space="preserve">Eng Soon (J) Sdn Bhd - February 2024</t>
  </si>
  <si>
    <t xml:space="preserve">Pan Asian Dairies - February 2024</t>
  </si>
  <si>
    <t xml:space="preserve">Emits Technology - February 2024</t>
  </si>
  <si>
    <t xml:space="preserve">BIO-ENGRG 2024</t>
  </si>
  <si>
    <t xml:space="preserve">Yaw Ngiap Pte Ltd - February 2024</t>
  </si>
  <si>
    <t xml:space="preserve">KDS Consulting Sdn Bhd - HANA Cloud User</t>
  </si>
  <si>
    <t xml:space="preserve">LSChem Industry Sdn Bhd 2024</t>
  </si>
  <si>
    <t xml:space="preserve">KDS Consulting Sdn Bhd - Additional Company Database and Test Database</t>
  </si>
  <si>
    <t xml:space="preserve">TISI Singapore - March 2024</t>
  </si>
  <si>
    <t xml:space="preserve">Yaw Ngiap Pte Ltd - March 2024</t>
  </si>
  <si>
    <t xml:space="preserve">Sunrise Universal - March 2024</t>
  </si>
  <si>
    <t xml:space="preserve">Dynic - March 2024</t>
  </si>
  <si>
    <t xml:space="preserve">Eng Soon (J) Sdn Bhd - March 2024</t>
  </si>
  <si>
    <t xml:space="preserve">Pan Asian Dairies - March 2024</t>
  </si>
  <si>
    <t xml:space="preserve">Emits Technology - March 2024</t>
  </si>
  <si>
    <t xml:space="preserve">Seedling Asset Management previously SHILI Capital Pte Ltd - March 2024</t>
  </si>
  <si>
    <t xml:space="preserve">TISI Singapore - April 2024</t>
  </si>
  <si>
    <t xml:space="preserve">Yaw Ngiap Pte Ltd - April 2024</t>
  </si>
  <si>
    <t xml:space="preserve">Sunrise Universal - April 2024</t>
  </si>
  <si>
    <t xml:space="preserve">Dynic - April 2024</t>
  </si>
  <si>
    <t xml:space="preserve">Eng Soon (J) Sdn Bhd - April 2024</t>
  </si>
  <si>
    <t xml:space="preserve">Aureus Consult Sdn Bhd - SQL Cloud User</t>
  </si>
  <si>
    <t xml:space="preserve">Pan Asian Dairies - April 2024</t>
  </si>
  <si>
    <t xml:space="preserve">Emits Technology - April 2024</t>
  </si>
  <si>
    <t xml:space="preserve">Mercy Relief - April 2024</t>
  </si>
  <si>
    <t xml:space="preserve">TISI Singapore - May 2024</t>
  </si>
  <si>
    <t xml:space="preserve">Yaw Ngiap Pte Ltd - May 2024</t>
  </si>
  <si>
    <t xml:space="preserve">Sunrise Universal - May 2024</t>
  </si>
  <si>
    <t xml:space="preserve">Dynic - May 2024</t>
  </si>
  <si>
    <t xml:space="preserve">Eng Soon (J) Sdn Bhd - May 2024</t>
  </si>
  <si>
    <t xml:space="preserve">Pan Asian Dairies - May 2024</t>
  </si>
  <si>
    <t xml:space="preserve">Emits Technology - May 2024</t>
  </si>
  <si>
    <t xml:space="preserve">FUJIFILM Microchannel Singapore - HANA Cloud User - March</t>
  </si>
  <si>
    <t xml:space="preserve">NewShore Solutions Pte Ltd - New Customer from March 2024</t>
  </si>
  <si>
    <t xml:space="preserve">FUJIFILM Microchannel Singapore - HANA Cloud User - April</t>
  </si>
  <si>
    <t xml:space="preserve">FUJIFILM Microchannel Singapore - HANA Cloud User - May</t>
  </si>
  <si>
    <t xml:space="preserve">Hitachi Sunway Information Systems (Singapore) Pte. Ltd. - Private Cloud Setup Fee</t>
  </si>
  <si>
    <t xml:space="preserve">Transcosmos Zero - April 2024-2025</t>
  </si>
  <si>
    <t xml:space="preserve">Hitachi Sunway Information Systems (Singapore) Pte. Ltd. - Private HANA User</t>
  </si>
  <si>
    <t xml:space="preserve">Hitachi Sunway Information Systems (Singapore) Pte. Ltd. - Additional Company Database and Test Database</t>
  </si>
  <si>
    <t xml:space="preserve">TISI Singapore - June 2024</t>
  </si>
  <si>
    <t xml:space="preserve">FUJIFILM Microchannel Singapore - HANA Cloud User</t>
  </si>
  <si>
    <t xml:space="preserve">NewShore Solutions Pte Ltd - June 2024</t>
  </si>
  <si>
    <t xml:space="preserve">Yaw Ngiap Pte Ltd - June 2024</t>
  </si>
  <si>
    <t xml:space="preserve">Dynic - June 2024</t>
  </si>
  <si>
    <t xml:space="preserve">Eng Soon (J) Sdn Bhd - June 2024</t>
  </si>
  <si>
    <t xml:space="preserve">Pan Asian Dairies - June 2024</t>
  </si>
  <si>
    <t xml:space="preserve">Emits Technology - June 2024</t>
  </si>
  <si>
    <t xml:space="preserve">TISI Singapore - July 2024</t>
  </si>
  <si>
    <t xml:space="preserve">NewShore Solutions Pte Ltd - July 2024</t>
  </si>
  <si>
    <t xml:space="preserve">Yaw Ngiap Pte Ltd - July 2024</t>
  </si>
  <si>
    <t xml:space="preserve">Dynic - July 2024</t>
  </si>
  <si>
    <t xml:space="preserve">Eng Soon (J) Sdn Bhd - July 2024</t>
  </si>
  <si>
    <t xml:space="preserve">Pan Asian Dairies - July 2024</t>
  </si>
  <si>
    <t xml:space="preserve">Emits Technology - July 2024</t>
  </si>
  <si>
    <t xml:space="preserve">Glorreich 2024-2025</t>
  </si>
  <si>
    <t xml:space="preserve">FUJIFILM Microchannel Singapore - SQL Cloud User - June</t>
  </si>
  <si>
    <t xml:space="preserve">Sunrise Universal - Final Invoice 2024</t>
  </si>
  <si>
    <t xml:space="preserve">FUJIFILM Microchannel Singapore - SQL Cloud User - July</t>
  </si>
  <si>
    <t xml:space="preserve">FUJIFILM Microchannel Singapore - SQL Cloud User - August</t>
  </si>
  <si>
    <t xml:space="preserve">TISI Singapore - August 2024</t>
  </si>
  <si>
    <t xml:space="preserve">NewShore Solutions Pte Ltd - August 2024</t>
  </si>
  <si>
    <t xml:space="preserve">Dynic - August 2024</t>
  </si>
  <si>
    <t xml:space="preserve">Eng Soon (J) Sdn Bhd - August 2024</t>
  </si>
  <si>
    <t xml:space="preserve">Pan Asian Dairies - August 2024</t>
  </si>
  <si>
    <t xml:space="preserve">Emits Technology - August 2024</t>
  </si>
  <si>
    <t xml:space="preserve">The World Management - SQL Cloud User</t>
  </si>
  <si>
    <t xml:space="preserve">Muji Annual Invoice August 2024/2025</t>
  </si>
  <si>
    <t xml:space="preserve">Hotel Grand Pacific - New Customer from May 2024</t>
  </si>
  <si>
    <t xml:space="preserve">FUJIFILM Microchannel Singapore - Duo Security Token - Shipping Included - Ordered by Lokesh 6/6</t>
  </si>
  <si>
    <t xml:space="preserve">Hotel Grand Pacfic - Duo Tokens June 2024</t>
  </si>
  <si>
    <t xml:space="preserve">Total 211 - Asia Pacific Revenue</t>
  </si>
  <si>
    <t xml:space="preserve">212 - International Revenue</t>
  </si>
  <si>
    <t xml:space="preserve">212</t>
  </si>
  <si>
    <t xml:space="preserve">Bitpeople A/S - Hourly Consulting</t>
  </si>
  <si>
    <t xml:space="preserve">BitPeople - Cloud Consulting Services</t>
  </si>
  <si>
    <t xml:space="preserve">I-BN (I-Business Network) - HANA Cloud User - July 2023</t>
  </si>
  <si>
    <t xml:space="preserve">Storz Medica America Inc - New Annual Customer from July 2023</t>
  </si>
  <si>
    <t xml:space="preserve">I-BN (I-Business Network) - HANA Cloud User - August</t>
  </si>
  <si>
    <t xml:space="preserve">I-BN (I-Business Network) - HANA Cloud User - September</t>
  </si>
  <si>
    <t xml:space="preserve">I-BN (I-Business Network) - HANA Cloud User - October</t>
  </si>
  <si>
    <t xml:space="preserve">I-BN (I-Business Network) - HANA Cloud User - November</t>
  </si>
  <si>
    <t xml:space="preserve">I-BN (I-Business Network) - HANA Cloud User - December</t>
  </si>
  <si>
    <t xml:space="preserve">I-BN (I-Business Network) - HANA Cloud User - January 2024</t>
  </si>
  <si>
    <t xml:space="preserve">I-BN (I-Business Network) - HANA Cloud User - February</t>
  </si>
  <si>
    <t xml:space="preserve">I-BN (I-Business Network) - HANA Cloud User - March</t>
  </si>
  <si>
    <t xml:space="preserve">I-BN (I-Business Network) - HANA Cloud User - April</t>
  </si>
  <si>
    <t xml:space="preserve">I-BN (I-Business Network) - HANA Cloud User - May</t>
  </si>
  <si>
    <t xml:space="preserve">I-BN (I-Business Network) - HANA Cloud User - June 2024</t>
  </si>
  <si>
    <t xml:space="preserve">Vantage Specialty Chemicals - SQL Cloud User</t>
  </si>
  <si>
    <t xml:space="preserve">Vantage Specialty Chemicals - September 2023</t>
  </si>
  <si>
    <t xml:space="preserve">Vantage Specialty Chemicals - Additional Company Database and Test Database - including 3 country add-ons and 2 testing</t>
  </si>
  <si>
    <t xml:space="preserve">ExamVision ApS - Veaam Backup &amp; Replication</t>
  </si>
  <si>
    <t xml:space="preserve">ExamVision - New Customer from July 2023</t>
  </si>
  <si>
    <t xml:space="preserve">ExamVision ApS - Sophos Intercept X Advanced with EDR for Servers</t>
  </si>
  <si>
    <t xml:space="preserve">ExamVision ApS - Sophos XG Firewall Virtual Appliance</t>
  </si>
  <si>
    <t xml:space="preserve">ExamVision ApS - Comprehensive Managed Services</t>
  </si>
  <si>
    <t xml:space="preserve">Vantage Specialty Chemicals - October 2023</t>
  </si>
  <si>
    <t xml:space="preserve">InformEtica Consulting - SQL Cloud User</t>
  </si>
  <si>
    <t xml:space="preserve">ELTECH SRL - Q4 2023</t>
  </si>
  <si>
    <t xml:space="preserve">PE&amp;C Srls - Q4 2023</t>
  </si>
  <si>
    <t xml:space="preserve">ExamVision - November 2023</t>
  </si>
  <si>
    <t xml:space="preserve">Vantage Specialty Chemicals - November 2023</t>
  </si>
  <si>
    <t xml:space="preserve">Vantage Specialty Chemicals - SQL Cloud User - September</t>
  </si>
  <si>
    <t xml:space="preserve">Vantage Specialty Chemicals - SQL Cloud User - October</t>
  </si>
  <si>
    <t xml:space="preserve">InnoTech Srl - HANA Cloud User</t>
  </si>
  <si>
    <t xml:space="preserve">Fairchemical Q4 - New Customer from October 2023</t>
  </si>
  <si>
    <t xml:space="preserve">InnoTech Srl - Mobile User</t>
  </si>
  <si>
    <t xml:space="preserve">InnoTech Srl - Additional Company Database and Test Database</t>
  </si>
  <si>
    <t xml:space="preserve">ExamVision - December 2023</t>
  </si>
  <si>
    <t xml:space="preserve">Vantage Specialty Chemicals - December 2023</t>
  </si>
  <si>
    <t xml:space="preserve">Vantage Specialty Chemicals - Duo Security Token - Shipping Included</t>
  </si>
  <si>
    <t xml:space="preserve">Storz Medical America Inc - Additional Users from November 2023</t>
  </si>
  <si>
    <t xml:space="preserve">ExamVision - January 2024</t>
  </si>
  <si>
    <t xml:space="preserve">Vantage Specialty Chemicals - January 2024</t>
  </si>
  <si>
    <t xml:space="preserve">Fairchemical Q1 2024</t>
  </si>
  <si>
    <t xml:space="preserve">ELTECH SRL - Q1 2024</t>
  </si>
  <si>
    <t xml:space="preserve">PE&amp;C Srls - Q1 2024</t>
  </si>
  <si>
    <t xml:space="preserve">Bitpeople A/S - Sophos Intercept X Advanced with EDR for Servers</t>
  </si>
  <si>
    <t xml:space="preserve">BitPeople MSP Services - December 2022 to January 2024</t>
  </si>
  <si>
    <t xml:space="preserve">Bitpeople A/S - Datto RMM License</t>
  </si>
  <si>
    <t xml:space="preserve">BitPeople MSP Services - February 2024</t>
  </si>
  <si>
    <t xml:space="preserve">ExamVision - February 2024</t>
  </si>
  <si>
    <t xml:space="preserve">Vantage Specialty Chemicals - February 2024</t>
  </si>
  <si>
    <t xml:space="preserve">Leben Ingredients - New customer from December 2023</t>
  </si>
  <si>
    <t xml:space="preserve">InnoTech Srl - SQL Cloud User</t>
  </si>
  <si>
    <t xml:space="preserve">Publication Distribuzione Srl - New customer from December 2023</t>
  </si>
  <si>
    <t xml:space="preserve">BitPeople MSP Services - March 2024</t>
  </si>
  <si>
    <t xml:space="preserve">Storz Medical America Inc - Additional Users from January 2024</t>
  </si>
  <si>
    <t xml:space="preserve">ExamVision - March 2024</t>
  </si>
  <si>
    <t xml:space="preserve">Vantage Specialty Chemicals - March 2024</t>
  </si>
  <si>
    <t xml:space="preserve">Minganti Global AB - New Customer Q1</t>
  </si>
  <si>
    <t xml:space="preserve">Publication Distribuzione Srl - March to May 2024</t>
  </si>
  <si>
    <t xml:space="preserve">Leben Ingredients - March to May 2024</t>
  </si>
  <si>
    <t xml:space="preserve">Heat Transfer Research, Inc - Hourly Consulting - Assistance with HANA Configuration</t>
  </si>
  <si>
    <t xml:space="preserve">Specialist Consulting - December 2023</t>
  </si>
  <si>
    <t xml:space="preserve">BitPeople MSP Services - April 2024</t>
  </si>
  <si>
    <t xml:space="preserve">ExamVision - April 2024</t>
  </si>
  <si>
    <t xml:space="preserve">Vantage Specialty Chemicals - April 2024</t>
  </si>
  <si>
    <t xml:space="preserve">Vantage Specialty Chemicals - SQL Cloud User - 4 Users added from February</t>
  </si>
  <si>
    <t xml:space="preserve">Minganti Global AB - Q2 2024</t>
  </si>
  <si>
    <t xml:space="preserve">Fairchemical Q2 2024</t>
  </si>
  <si>
    <t xml:space="preserve">ELTECH SRL - Q2 2024</t>
  </si>
  <si>
    <t xml:space="preserve">PE&amp;C Srls - Q2 2024</t>
  </si>
  <si>
    <t xml:space="preserve">A/S Rolf Schmidt Industri Plast - Server Setup - Labour</t>
  </si>
  <si>
    <t xml:space="preserve">New Customer from February 2024</t>
  </si>
  <si>
    <t xml:space="preserve">A/S Rolf Schmidt Industri Plast - Veaam Backup &amp; Replication</t>
  </si>
  <si>
    <t xml:space="preserve">ExamVision ApS - Hourly Consulting</t>
  </si>
  <si>
    <t xml:space="preserve">ExamVision - Prepaid Consulting February 2024</t>
  </si>
  <si>
    <t xml:space="preserve">N'Ware Technologies Ltd - Private Cloud Setup</t>
  </si>
  <si>
    <t xml:space="preserve">Yates Group Heating Products 2024</t>
  </si>
  <si>
    <t xml:space="preserve">N'Ware Technologies Ltd - Private Cloud SQL User</t>
  </si>
  <si>
    <t xml:space="preserve">Rolf Schmidt - May 2024</t>
  </si>
  <si>
    <t xml:space="preserve">BitPeople MSP Services - May 2024</t>
  </si>
  <si>
    <t xml:space="preserve">ExamVision - May 2024</t>
  </si>
  <si>
    <t xml:space="preserve">Vantage Specialty Chemicals - May 2024</t>
  </si>
  <si>
    <t xml:space="preserve">ZAS Trading - New Customer from Q2 2024</t>
  </si>
  <si>
    <t xml:space="preserve">Rolf Schmidt - June 2024</t>
  </si>
  <si>
    <t xml:space="preserve">BitPeople MSP Services - June 2024</t>
  </si>
  <si>
    <t xml:space="preserve">ExamVision - June 2024</t>
  </si>
  <si>
    <t xml:space="preserve">Vantage Specialty Chemicals - June 2024</t>
  </si>
  <si>
    <t xml:space="preserve">Publication Distribuzione Srl - June to August 2024</t>
  </si>
  <si>
    <t xml:space="preserve">Leben Ingredients - June to August 2024</t>
  </si>
  <si>
    <t xml:space="preserve">Matfer Bourgeat - Private Cloud SQL User - April</t>
  </si>
  <si>
    <t xml:space="preserve">Matfer Bourgeat - New Customer from April 2024</t>
  </si>
  <si>
    <t xml:space="preserve">Matfer Bourgeat - Private Cloud SQL User - May</t>
  </si>
  <si>
    <t xml:space="preserve">Matfer Bourgeat - Private Cloud SQL User - June</t>
  </si>
  <si>
    <t xml:space="preserve">Heat Transfer Research, Inc - Hourly Consulting</t>
  </si>
  <si>
    <t xml:space="preserve">Specialist Consulting - May 2024</t>
  </si>
  <si>
    <t xml:space="preserve">Matfer Bourgeat - Private Cloud SQL User</t>
  </si>
  <si>
    <t xml:space="preserve">Matfer Bourgeat - July 2024</t>
  </si>
  <si>
    <t xml:space="preserve">Matfer Bourgeat - Duo Security Token - Shipping Included</t>
  </si>
  <si>
    <t xml:space="preserve">Rolf Schmidt - July 2024</t>
  </si>
  <si>
    <t xml:space="preserve">BitPeople MSP Services - July 2024</t>
  </si>
  <si>
    <t xml:space="preserve">I-BN (I-Business Network) - HANA Cloud User - July 2024</t>
  </si>
  <si>
    <t xml:space="preserve">Storz Medica America Inc - Annual Invoice July 2024</t>
  </si>
  <si>
    <t xml:space="preserve">I-BN (I-Business Network) - HANA Cloud User - January 2025</t>
  </si>
  <si>
    <t xml:space="preserve">ExamVision - July 2024</t>
  </si>
  <si>
    <t xml:space="preserve">ExamVision ApS - Sophos Intercept X with MDR for Workstations</t>
  </si>
  <si>
    <t xml:space="preserve">ExamVision ApS - Sophos Intercept X Advanced with EDR for Servers - +1 added in May (2 mnths)</t>
  </si>
  <si>
    <t xml:space="preserve">ExamVision ApS - Sophos Intercept X with MDR for Workstations - +53 added from April (3 mnths)</t>
  </si>
  <si>
    <t xml:space="preserve">Vantage Specialty Chemicals - July 2024</t>
  </si>
  <si>
    <t xml:space="preserve">ZAS Trading - Q3 2024</t>
  </si>
  <si>
    <t xml:space="preserve">Minganti Global AB - Q3 2024</t>
  </si>
  <si>
    <t xml:space="preserve">Fairchemical Q3 2024</t>
  </si>
  <si>
    <t xml:space="preserve">ELTECH SRL - Q3 2024</t>
  </si>
  <si>
    <t xml:space="preserve">PE&amp;C Srls - Q3 2024</t>
  </si>
  <si>
    <t xml:space="preserve">Ryans Furniture Manufacturing Limited - Private Cloud Setup</t>
  </si>
  <si>
    <t xml:space="preserve">Ryans Furniture - New Customer from April 2024</t>
  </si>
  <si>
    <t xml:space="preserve">Ryans Furniture Manufacturing Limited - Private Cloud SQL User</t>
  </si>
  <si>
    <t xml:space="preserve">Tecnosignal (Beex) - New Customer from June to August 2024</t>
  </si>
  <si>
    <t xml:space="preserve">Matfer Bourgeat - August 2024</t>
  </si>
  <si>
    <t xml:space="preserve">Rolf Schmidt - August 2024</t>
  </si>
  <si>
    <t xml:space="preserve">BitPeople MSP Services - August 2024</t>
  </si>
  <si>
    <t xml:space="preserve">ExamVision - August 2024</t>
  </si>
  <si>
    <t xml:space="preserve">Vantage Specialty Chemicals - August 2024</t>
  </si>
  <si>
    <t xml:space="preserve">Edmea Srl - New Customer from June to August 2024</t>
  </si>
  <si>
    <t xml:space="preserve">PGB Sports Ltd - Private Cloud Setup</t>
  </si>
  <si>
    <t xml:space="preserve">PGB Sports - New Customer from May - Q2/Q3 2024</t>
  </si>
  <si>
    <t xml:space="preserve">PGB Sports Ltd - Private Cloud SQL User</t>
  </si>
  <si>
    <t xml:space="preserve">PGB Sports Ltd - Application Server Medium</t>
  </si>
  <si>
    <t xml:space="preserve">PGB Sports Ltd - Provision and operation of a VPN connection between SMB Solutions Cloud Services VPN gateway and your on-premise VPN router. The VPN router in your location is not included in the price and must be provided by the customer.</t>
  </si>
  <si>
    <t xml:space="preserve">PGB Sports Ltd - Additional Company Database and Test Database</t>
  </si>
  <si>
    <t xml:space="preserve">Total 212 - International Revenue</t>
  </si>
  <si>
    <t xml:space="preserve">213 - NZ Revenue</t>
  </si>
  <si>
    <t xml:space="preserve">213</t>
  </si>
  <si>
    <t xml:space="preserve">Anagenix Ltd - SQL Cloud User</t>
  </si>
  <si>
    <t xml:space="preserve">Anagenix Ltd - September 2023</t>
  </si>
  <si>
    <t xml:space="preserve">Anagenix Ltd - Additional Company Database and Test Database</t>
  </si>
  <si>
    <t xml:space="preserve">MilkTest NZ - HANA Cloud User</t>
  </si>
  <si>
    <t xml:space="preserve">MilkTest NZ - September 2023</t>
  </si>
  <si>
    <t xml:space="preserve">Ozone IT Limited - Private Cloud SQL User</t>
  </si>
  <si>
    <t xml:space="preserve">Ozone IT - September 2023</t>
  </si>
  <si>
    <t xml:space="preserve">Ozone IT Limited - SQL Cloud User </t>
  </si>
  <si>
    <t xml:space="preserve">Ozone IT Limited - Additional Company Database and Test Database</t>
  </si>
  <si>
    <t xml:space="preserve">Constellation Brands - HANA Cloud User</t>
  </si>
  <si>
    <t xml:space="preserve">Constellation Brands - September 2023</t>
  </si>
  <si>
    <t xml:space="preserve">FUJIFILM Microchannel Ltd - SQL Cloud User</t>
  </si>
  <si>
    <t xml:space="preserve">Land Info Net Ltd - September 2023</t>
  </si>
  <si>
    <t xml:space="preserve">FUJIFILM Microchannel Ltd - HANA Cloud User Private Cloud User</t>
  </si>
  <si>
    <t xml:space="preserve">Ruka Wholesale and Distributors - September 2023</t>
  </si>
  <si>
    <t xml:space="preserve">FUJIFILM Microchannel Ltd - Indirect Access to SAP Business One Cloud hosted by SMB Solutions Cloud Services Pty Ltd in combination with your SAP indirect access user licenses. The article covers all other necessary licenses, provisions and operations.</t>
  </si>
  <si>
    <t xml:space="preserve">FUJIFILM Microchannel Ltd - Mobile User</t>
  </si>
  <si>
    <t xml:space="preserve">FUJIFILM Microchannel Ltd - Application Server (Small)</t>
  </si>
  <si>
    <t xml:space="preserve">FUJIFILM Microchannel Ltd - HANA Cloud User</t>
  </si>
  <si>
    <t xml:space="preserve">KTK - September 2023</t>
  </si>
  <si>
    <t xml:space="preserve">FUJIFILM Microchannel Ltd - HANA Cloud User - Private Cloud</t>
  </si>
  <si>
    <t xml:space="preserve">DBM Medical - September 2023</t>
  </si>
  <si>
    <t xml:space="preserve">FUJIFILM Microchannel Ltd - Additional Company Database and Test Database</t>
  </si>
  <si>
    <t xml:space="preserve">FUJIFILM Microchannel Ltd - VPN Access</t>
  </si>
  <si>
    <t xml:space="preserve">Parrotdog Brewing - September 2023</t>
  </si>
  <si>
    <t xml:space="preserve">FUJIFILM Microchannel Ltd - Indirect Access to SAP Business One Cloud hosted by SMB Solutions Cloud Services Pty Ltd in combination with your SAP indirect access user licenses. The article covers all other necessary licenses, provisions and operations.
</t>
  </si>
  <si>
    <t xml:space="preserve">FUJIFILM Microchannel Ltd - Application Server Large</t>
  </si>
  <si>
    <t xml:space="preserve">Vector Systems Ltd - September 2023</t>
  </si>
  <si>
    <t xml:space="preserve">CPC NZ - September 2023</t>
  </si>
  <si>
    <t xml:space="preserve">FUJIFILM Microchannel Ltd - HANA Cloud User - Updated Pricing</t>
  </si>
  <si>
    <t xml:space="preserve">FUJIFILM Microchannel Ltd - Application Server Medium</t>
  </si>
  <si>
    <t xml:space="preserve">Anagenix Ltd - October 2023</t>
  </si>
  <si>
    <t xml:space="preserve">MilkTest NZ - October 2023</t>
  </si>
  <si>
    <t xml:space="preserve">Ozone IT - October 2023</t>
  </si>
  <si>
    <t xml:space="preserve">Constellation Brands - October 2023</t>
  </si>
  <si>
    <t xml:space="preserve">Business Evolution Group Limited - HANA Cloud User - Natures Flame</t>
  </si>
  <si>
    <t xml:space="preserve">Business Evolution - Q4 2023</t>
  </si>
  <si>
    <t xml:space="preserve">Business Evolution Group Limited - SQL Cloud User - HeatStore NZ Limited</t>
  </si>
  <si>
    <t xml:space="preserve">Business Evolution Group Limited - SQL Cloud User - Capital Management Limited</t>
  </si>
  <si>
    <t xml:space="preserve">Business Evolution Group Limited - Single Tenant Cloud SQL User - Ritchies Transport</t>
  </si>
  <si>
    <t xml:space="preserve">Business Evolution Group Limited - Additional Company Database and Test Database - Ritchies Transport</t>
  </si>
  <si>
    <t xml:space="preserve">Business Evolution Group Limited - Application Server Medium - Ritchies Transport</t>
  </si>
  <si>
    <t xml:space="preserve">Business Evolution Group Limited - Private Cloud Setup</t>
  </si>
  <si>
    <t xml:space="preserve">Business Evolution Group Limited - Single Tenant Cloud SQL User</t>
  </si>
  <si>
    <t xml:space="preserve">Business Evolution Group Limited - Additional Company Database and Test Database</t>
  </si>
  <si>
    <t xml:space="preserve">Business Evolution Group Limited - Application Server Medium</t>
  </si>
  <si>
    <t xml:space="preserve">Land Info Net Ltd - October 2023</t>
  </si>
  <si>
    <t xml:space="preserve">Ruka Wholesale and Distributors - October 2023</t>
  </si>
  <si>
    <t xml:space="preserve">KTK - October 2023</t>
  </si>
  <si>
    <t xml:space="preserve">DBM Medical - October 2023</t>
  </si>
  <si>
    <t xml:space="preserve">Parrotdog Brewing - October 2023</t>
  </si>
  <si>
    <t xml:space="preserve">Vector Systems Ltd - October 2023</t>
  </si>
  <si>
    <t xml:space="preserve">CPC NZ - October 2023</t>
  </si>
  <si>
    <t xml:space="preserve">Business Evolution Group Limited - Application Server Large</t>
  </si>
  <si>
    <t xml:space="preserve">Business Evolution - Ritchies Transport Additional Invoice</t>
  </si>
  <si>
    <t xml:space="preserve">DBM Medical - November 2023</t>
  </si>
  <si>
    <t xml:space="preserve">Anagenix Ltd - November 2023</t>
  </si>
  <si>
    <t xml:space="preserve">MilkTest NZ - November 2023</t>
  </si>
  <si>
    <t xml:space="preserve">Ozone IT - November 2023</t>
  </si>
  <si>
    <t xml:space="preserve">Constellation Brands - November 2023</t>
  </si>
  <si>
    <t xml:space="preserve">Land Info Net Ltd - November 2023</t>
  </si>
  <si>
    <t xml:space="preserve">Ruka Wholesale and Distributors - November 2023</t>
  </si>
  <si>
    <t xml:space="preserve">KTK - November 2023</t>
  </si>
  <si>
    <t xml:space="preserve">Parrotdog Brewing - November 2023</t>
  </si>
  <si>
    <t xml:space="preserve">Vector Systems Ltd - November 2023</t>
  </si>
  <si>
    <t xml:space="preserve">CPC NZ - November 2023</t>
  </si>
  <si>
    <t xml:space="preserve">Business Evolution Group Limited - Application Server Extra Large</t>
  </si>
  <si>
    <t xml:space="preserve">Business Evolution - Ritchies Transport Additional Server Charges October 2023</t>
  </si>
  <si>
    <t xml:space="preserve">Anagenix Ltd - December 2023</t>
  </si>
  <si>
    <t xml:space="preserve">MilkTest NZ - December 2023</t>
  </si>
  <si>
    <t xml:space="preserve">Ozone IT - December 2023</t>
  </si>
  <si>
    <t xml:space="preserve">Ozone IT Limited - Additional Company Database and Test Database - October &amp; November</t>
  </si>
  <si>
    <t xml:space="preserve">Constellation Brands - December2023</t>
  </si>
  <si>
    <t xml:space="preserve">Land Info Net Ltd - December 2023</t>
  </si>
  <si>
    <t xml:space="preserve">Ruka Wholesale and Distributors - December 2023</t>
  </si>
  <si>
    <t xml:space="preserve">KTK - December 2023</t>
  </si>
  <si>
    <t xml:space="preserve">DBM Medical - December 2023</t>
  </si>
  <si>
    <t xml:space="preserve">Parrotdog Brewing - December 2023</t>
  </si>
  <si>
    <t xml:space="preserve">Vector Systems Ltd - December 2023</t>
  </si>
  <si>
    <t xml:space="preserve">CPC NZ - December 2023</t>
  </si>
  <si>
    <t xml:space="preserve">Business Evolution Group Limited - Application Server (Small) - Nature's Flame</t>
  </si>
  <si>
    <t xml:space="preserve">Business Evolution - Additional Charges from October 2023</t>
  </si>
  <si>
    <t xml:space="preserve">Business Evolution Group Limited - Duo Security Token - Shipping Included</t>
  </si>
  <si>
    <t xml:space="preserve">Anagenix Ltd - January 2024</t>
  </si>
  <si>
    <t xml:space="preserve">MilkTest NZ - January 2024</t>
  </si>
  <si>
    <t xml:space="preserve">Ozone IT - January 2024</t>
  </si>
  <si>
    <t xml:space="preserve">Constellation Brands - January 2024</t>
  </si>
  <si>
    <t xml:space="preserve">Land Info Net Ltd - January 2024</t>
  </si>
  <si>
    <t xml:space="preserve">Ruka Wholesale and Distributors - January 2024</t>
  </si>
  <si>
    <t xml:space="preserve">KTK - January 2024</t>
  </si>
  <si>
    <t xml:space="preserve">DBM Medical - January 2024</t>
  </si>
  <si>
    <t xml:space="preserve">Parrotdog Brewing - January 2024</t>
  </si>
  <si>
    <t xml:space="preserve">Vector Systems Ltd - January 2024</t>
  </si>
  <si>
    <t xml:space="preserve">CPC NZ - January 2024</t>
  </si>
  <si>
    <t xml:space="preserve">FUJIFILM Microchannel Ltd - HANA Private Cloud User</t>
  </si>
  <si>
    <t xml:space="preserve">McAlpines - Additional Charges November 2023</t>
  </si>
  <si>
    <t xml:space="preserve">FUJIFILM Microchannel Ltd - Hourly Consulting</t>
  </si>
  <si>
    <t xml:space="preserve">Professional Services Consulting - NZ Riverlands Foods</t>
  </si>
  <si>
    <t xml:space="preserve">Business Evolution - Q1 2024</t>
  </si>
  <si>
    <t xml:space="preserve">Business Evolution Group Limited - Application Server (Small) - Natures Flame</t>
  </si>
  <si>
    <t xml:space="preserve">Business Evolution Group Limited - Application Server Extra Large - Ritchies Transport</t>
  </si>
  <si>
    <t xml:space="preserve">NZ Riverlands Food Limited - New Annual Customer from September 2023</t>
  </si>
  <si>
    <t xml:space="preserve">Anagenix Ltd - February 2024</t>
  </si>
  <si>
    <t xml:space="preserve">MilkTest NZ - February 2024</t>
  </si>
  <si>
    <t xml:space="preserve">Ozone IT - February 2024</t>
  </si>
  <si>
    <t xml:space="preserve">Constellation Brands - February 2024</t>
  </si>
  <si>
    <t xml:space="preserve">Business Evolution - Ritchies Transport - New User from December 2023</t>
  </si>
  <si>
    <t xml:space="preserve">Land Info Net Ltd - February 2024</t>
  </si>
  <si>
    <t xml:space="preserve">Ruka Wholesale and Distributors - February 2024</t>
  </si>
  <si>
    <t xml:space="preserve">KTK - February 2024</t>
  </si>
  <si>
    <t xml:space="preserve">DBM Medical - February 2024</t>
  </si>
  <si>
    <t xml:space="preserve">Parrotdog Brewing - February 2024</t>
  </si>
  <si>
    <t xml:space="preserve">Vector Systems Ltd - February 2024</t>
  </si>
  <si>
    <t xml:space="preserve">CPC NZ - February 2024</t>
  </si>
  <si>
    <t xml:space="preserve">Anagenix Ltd - March 2024</t>
  </si>
  <si>
    <t xml:space="preserve">MilkTest NZ - March 2024</t>
  </si>
  <si>
    <t xml:space="preserve">Ozone IT - March 2024</t>
  </si>
  <si>
    <t xml:space="preserve">Constellation Brands - March 2024</t>
  </si>
  <si>
    <t xml:space="preserve">Business Evolution - Ritchies Transport - New User from January 2024</t>
  </si>
  <si>
    <t xml:space="preserve">Land Info Net Ltd - March 2024</t>
  </si>
  <si>
    <t xml:space="preserve">Ruka Wholesale and Distributors - March 2024</t>
  </si>
  <si>
    <t xml:space="preserve">KTK - March 2024</t>
  </si>
  <si>
    <t xml:space="preserve">FUJIFILM Microchannel Ltd - HANA Cloud User (2mnths)</t>
  </si>
  <si>
    <t xml:space="preserve">DBM Medical - March 2024</t>
  </si>
  <si>
    <t xml:space="preserve">Parrotdog Brewing - March 2024</t>
  </si>
  <si>
    <t xml:space="preserve">Vector Systems Ltd - March 2024</t>
  </si>
  <si>
    <t xml:space="preserve">CPC NZ - March 2024</t>
  </si>
  <si>
    <t xml:space="preserve">Anagenix Ltd - April 2024</t>
  </si>
  <si>
    <t xml:space="preserve">MilkTest NZ - April 2024</t>
  </si>
  <si>
    <t xml:space="preserve">Ozone IT - April 2024</t>
  </si>
  <si>
    <t xml:space="preserve">Ozone IT Limited - SQL Cloud User</t>
  </si>
  <si>
    <t xml:space="preserve">Constellation Brands - April 2024</t>
  </si>
  <si>
    <t xml:space="preserve">Business Evolution - Nature's Flame Additional User February/March 2024</t>
  </si>
  <si>
    <t xml:space="preserve">Business Evolution Group Limited - SQL Cloud User - January 2024</t>
  </si>
  <si>
    <t xml:space="preserve">Lays Fasteners - New Customer from January 2024</t>
  </si>
  <si>
    <t xml:space="preserve">Business Evolution Group Limited - SQL Cloud User - February</t>
  </si>
  <si>
    <t xml:space="preserve">Business Evolution Group Limited - SQL Cloud User - March</t>
  </si>
  <si>
    <t xml:space="preserve">Business Evolution Group Limited - Duo Security Token - Shipping Included - Sent in February</t>
  </si>
  <si>
    <t xml:space="preserve">Business Evolution - Q2 2024</t>
  </si>
  <si>
    <t xml:space="preserve">Business Evolution Group Limited - SQL Cloud User - Lays Fasteners</t>
  </si>
  <si>
    <t xml:space="preserve">Land Info Net Ltd - April 2024</t>
  </si>
  <si>
    <t xml:space="preserve">KTK - April 2024</t>
  </si>
  <si>
    <t xml:space="preserve">Parrotdog Brewing - April 2024</t>
  </si>
  <si>
    <t xml:space="preserve">FUJIFILM Microchannel Ltd - HANA Cloud User - Private Cloud - 1 User added in January</t>
  </si>
  <si>
    <t xml:space="preserve">Vector Systems Ltd - April 2024</t>
  </si>
  <si>
    <t xml:space="preserve">CPC NZ - April 2024</t>
  </si>
  <si>
    <t xml:space="preserve">McAlpines 2024</t>
  </si>
  <si>
    <t xml:space="preserve">Ruka Wholesale and Distributors - April 2024</t>
  </si>
  <si>
    <t xml:space="preserve">DBM Medical - April 2024</t>
  </si>
  <si>
    <t xml:space="preserve">FUJIFILM Microchannel Ltd - HANA Cloud User - Private Cloud - 1 User added in February</t>
  </si>
  <si>
    <t xml:space="preserve">NZ Riverlands Food Limited - Additional Users from September 2023 to February 2024</t>
  </si>
  <si>
    <t xml:space="preserve">Anagenix Ltd - May 2024</t>
  </si>
  <si>
    <t xml:space="preserve">MilkTest NZ - May 2024</t>
  </si>
  <si>
    <t xml:space="preserve">Ozone IT - May 2024</t>
  </si>
  <si>
    <t xml:space="preserve">Constellation Brands - May 2024</t>
  </si>
  <si>
    <t xml:space="preserve">Land Info Net Ltd - May 2024</t>
  </si>
  <si>
    <t xml:space="preserve">Ruka Wholesale and Distributors - May 2024</t>
  </si>
  <si>
    <t xml:space="preserve">KTK - May 2024</t>
  </si>
  <si>
    <t xml:space="preserve">DBM Medical - May 2024</t>
  </si>
  <si>
    <t xml:space="preserve">Parrotdog Brewing - May 2024</t>
  </si>
  <si>
    <t xml:space="preserve">Vector Systems Ltd - May 2024</t>
  </si>
  <si>
    <t xml:space="preserve">CPC NZ - May 2024</t>
  </si>
  <si>
    <t xml:space="preserve">NZ Riverlands Food Limited - Additional Users from March to August 2024</t>
  </si>
  <si>
    <t xml:space="preserve">Business Evolution - Nature's Flame Additional User April 2024</t>
  </si>
  <si>
    <t xml:space="preserve">Anagenix Ltd - June 2024</t>
  </si>
  <si>
    <t xml:space="preserve">MilkTest NZ - June 2024</t>
  </si>
  <si>
    <t xml:space="preserve">Ozone IT - June 2024</t>
  </si>
  <si>
    <t xml:space="preserve">Constellation Brands - June 2024</t>
  </si>
  <si>
    <t xml:space="preserve">Land Info Net Ltd - June 2024</t>
  </si>
  <si>
    <t xml:space="preserve">Ruka Wholesale and Distributors - June 2024</t>
  </si>
  <si>
    <t xml:space="preserve">KTK - June 2024</t>
  </si>
  <si>
    <t xml:space="preserve">DBM Medical - June 2024</t>
  </si>
  <si>
    <t xml:space="preserve">Parrotdog Brewing - June 2024</t>
  </si>
  <si>
    <t xml:space="preserve">Vector Systems Ltd - June 2024</t>
  </si>
  <si>
    <t xml:space="preserve">CPC NZ - June 2024</t>
  </si>
  <si>
    <t xml:space="preserve">Parrotdog Brewing - Temporary Users May 2024</t>
  </si>
  <si>
    <t xml:space="preserve">Anagenix Ltd - July 2024</t>
  </si>
  <si>
    <t xml:space="preserve">MilkTest NZ - July 2024</t>
  </si>
  <si>
    <t xml:space="preserve">Ozone IT - July 2024</t>
  </si>
  <si>
    <t xml:space="preserve">Constellation Brands - July 2024</t>
  </si>
  <si>
    <t xml:space="preserve">Business Evolution - Q3 2024</t>
  </si>
  <si>
    <t xml:space="preserve">Land Info Net Ltd - July 2024</t>
  </si>
  <si>
    <t xml:space="preserve">Ruka Wholesale and Distributors - July 2024</t>
  </si>
  <si>
    <t xml:space="preserve">KTK - July 2024</t>
  </si>
  <si>
    <t xml:space="preserve">Parrotdog Brewing - July 2024</t>
  </si>
  <si>
    <t xml:space="preserve">Vector Systems Ltd - July 2024</t>
  </si>
  <si>
    <t xml:space="preserve">CPC NZ - July 2024</t>
  </si>
  <si>
    <t xml:space="preserve">DBM Medical - July 2024</t>
  </si>
  <si>
    <t xml:space="preserve">Anagenix Ltd - August 2024</t>
  </si>
  <si>
    <t xml:space="preserve">MilkTest NZ - August 2024</t>
  </si>
  <si>
    <t xml:space="preserve">Ozone IT - August 2024</t>
  </si>
  <si>
    <t xml:space="preserve">Constellation Brands - August 2024</t>
  </si>
  <si>
    <t xml:space="preserve">FUJIFILM Microchannel Ltd - Private SQL Cloud User</t>
  </si>
  <si>
    <t xml:space="preserve">Pub Charity Limited - July 2024 Annual Invoice</t>
  </si>
  <si>
    <t xml:space="preserve">Land Info Net Ltd - August 2024</t>
  </si>
  <si>
    <t xml:space="preserve">Ruka Wholesale and Distributors - August 2024</t>
  </si>
  <si>
    <t xml:space="preserve">KTK - August 2024</t>
  </si>
  <si>
    <t xml:space="preserve">Parrotdog Brewing - August 2024</t>
  </si>
  <si>
    <t xml:space="preserve">Vector Systems Ltd - August 2024</t>
  </si>
  <si>
    <t xml:space="preserve">CPC NZ - August 2024</t>
  </si>
  <si>
    <t xml:space="preserve">DBM Medical - August 2024</t>
  </si>
  <si>
    <t xml:space="preserve">Total 213 - NZ Revenue</t>
  </si>
  <si>
    <t xml:space="preserve">271 - Stripe Fees Reimbursement</t>
  </si>
  <si>
    <t xml:space="preserve">271</t>
  </si>
  <si>
    <t xml:space="preserve">Receive Money</t>
  </si>
  <si>
    <t xml:space="preserve">TISI Singapore Pte Ltd - Transaction fees reimbursed for ch_3NP26GCFvvnMJSO21DTRwMmP</t>
  </si>
  <si>
    <t xml:space="preserve">ch_3NP26GCFvvnMJSO21DTRwMmP</t>
  </si>
  <si>
    <t xml:space="preserve">The World Management - Transaction fees reimbursed for ch_3NPgZyCFvvnMJSO20MisJbyZ</t>
  </si>
  <si>
    <t xml:space="preserve">ch_3NPgZyCFvvnMJSO20MisJbyZ</t>
  </si>
  <si>
    <t xml:space="preserve">The World Management - Transaction fees reimbursed for ch_3NUkRXCFvvnMJSO21Ui86Uzi</t>
  </si>
  <si>
    <t xml:space="preserve">ch_3NUkRXCFvvnMJSO21Ui86Uzi</t>
  </si>
  <si>
    <t xml:space="preserve">I-BN (I-Business Network) - Transaction fees reimbursed for ch_3NVOpUCFvvnMJSO21HAFWXDa</t>
  </si>
  <si>
    <t xml:space="preserve">ch_3NVOpUCFvvnMJSO21HAFWXDa</t>
  </si>
  <si>
    <t xml:space="preserve">FarmFresh Corporation Pty Ltd - Transaction fees reimbursed for ch_3NaAulCFvvnMJSO214khqoRV</t>
  </si>
  <si>
    <t xml:space="preserve">ch_3NaAulCFvvnMJSO214khqoRV</t>
  </si>
  <si>
    <t xml:space="preserve">The World Management - Transaction fees reimbursed for ch_3NaWztCFvvnMJSO20AFJuMTU</t>
  </si>
  <si>
    <t xml:space="preserve">ch_3NaWztCFvvnMJSO20AFJuMTU</t>
  </si>
  <si>
    <t xml:space="preserve">TISI Singapore Pte Ltd - Transaction fees reimbursed for ch_3NfFWZCFvvnMJSO20fRyrBc3</t>
  </si>
  <si>
    <t xml:space="preserve">ch_3NfFWZCFvvnMJSO20fRyrBc3</t>
  </si>
  <si>
    <t xml:space="preserve">InformEtica Consulting - Transaction fees reimbursed for ch_3Nkm7VCFvvnMJSO21cCN1Hs9</t>
  </si>
  <si>
    <t xml:space="preserve">ch_3Nkm7VCFvvnMJSO21cCN1Hs9</t>
  </si>
  <si>
    <t xml:space="preserve">InformEtica Consulting - Transaction fees reimbursed for ch_3NkmAmCFvvnMJSO20v740Hgf</t>
  </si>
  <si>
    <t xml:space="preserve">ch_3NkmAmCFvvnMJSO20v740Hgf</t>
  </si>
  <si>
    <t xml:space="preserve">TISI Singapore Pte Ltd - Transaction fees reimbursed for ch_3NlU1XCFvvnMJSO218mXJRhm</t>
  </si>
  <si>
    <t xml:space="preserve">ch_3NlU1XCFvvnMJSO218mXJRhm</t>
  </si>
  <si>
    <t xml:space="preserve">The World Management - Transaction fees reimbursed for ch_3NlkvmCFvvnMJSO20KK2vSOJ</t>
  </si>
  <si>
    <t xml:space="preserve">ch_3NlkvmCFvvnMJSO20KK2vSOJ</t>
  </si>
  <si>
    <t xml:space="preserve">FarmFresh Corporation Pty Ltd - Transaction fees reimbursed for ch_3NmlgwCFvvnMJSO20doT4tID</t>
  </si>
  <si>
    <t xml:space="preserve">ch_3NmlgwCFvvnMJSO20doT4tID</t>
  </si>
  <si>
    <t xml:space="preserve">Vollers - Transaction fees reimbursed for ch_3NuTJ6CFvvnMJSO21jQoWwzH</t>
  </si>
  <si>
    <t xml:space="preserve">ch_3NuTJ6CFvvnMJSO21jQoWwzH</t>
  </si>
  <si>
    <t xml:space="preserve">Limestone Coast Brewing Pty Ltd - Transaction fees reimbursed for ch_3NvD5ACFvvnMJSO210EltNCU</t>
  </si>
  <si>
    <t xml:space="preserve">ch_3NvD5ACFvvnMJSO210EltNCU</t>
  </si>
  <si>
    <t xml:space="preserve">FarmFresh Corporation Pty Ltd - Transaction fees reimbursed for ch_3NvU4OCFvvnMJSO21lLD0N4a</t>
  </si>
  <si>
    <t xml:space="preserve">ch_3NvU4OCFvvnMJSO21lLD0N4a</t>
  </si>
  <si>
    <t xml:space="preserve">The World Management - Transaction fees reimbursed for ch_3NwDepCFvvnMJSO21mTQSxKD</t>
  </si>
  <si>
    <t xml:space="preserve">ch_3NwDepCFvvnMJSO21mTQSxKD</t>
  </si>
  <si>
    <t xml:space="preserve">TISI Singapore Pte Ltd - Transaction fees reimbursed for ch_3NwKLJCFvvnMJSO20i76R9J7</t>
  </si>
  <si>
    <t xml:space="preserve">ch_3NwKLJCFvvnMJSO20i76R9J7</t>
  </si>
  <si>
    <t xml:space="preserve">InnoTech Srl - Transaction fees reimbursed for ch_3NzGurCFvvnMJSO21SzcQYsf</t>
  </si>
  <si>
    <t xml:space="preserve">ch_3NzGurCFvvnMJSO21SzcQYsf</t>
  </si>
  <si>
    <t xml:space="preserve">ANZ Controls Pty Ltd - Transaction fees reimbursed for ch_3O4XlZCFvvnMJSO21F61pay7</t>
  </si>
  <si>
    <t xml:space="preserve">ch_3O4XlZCFvvnMJSO21F61pay7</t>
  </si>
  <si>
    <t xml:space="preserve">FarmFresh Corporation Pty Ltd - Transaction fees reimbursed for ch_3O5cR5CFvvnMJSO21uzNBtES</t>
  </si>
  <si>
    <t xml:space="preserve">ch_3O5cR5CFvvnMJSO21uzNBtES</t>
  </si>
  <si>
    <t xml:space="preserve">TISI Singapore Pte Ltd - Transaction fees reimbursed for ch_3O7Uz1CFvvnMJSO21zJrmpQT</t>
  </si>
  <si>
    <t xml:space="preserve">ch_3O7Uz1CFvvnMJSO21zJrmpQT</t>
  </si>
  <si>
    <t xml:space="preserve">The World Management - Transaction fees reimbursed for ch_3O7VvBCFvvnMJSO21j9sKmXK</t>
  </si>
  <si>
    <t xml:space="preserve">ch_3O7VvBCFvvnMJSO21j9sKmXK</t>
  </si>
  <si>
    <t xml:space="preserve">I-BN (I-Business Network) - Transaction fees reimbursed for ch_3O7fRcCFvvnMJSO20s9W4CFz</t>
  </si>
  <si>
    <t xml:space="preserve">ch_3O7fRcCFvvnMJSO20s9W4CFz</t>
  </si>
  <si>
    <t xml:space="preserve">FarmFresh Corporation Pty Ltd - Transaction fees reimbursed for ch_3OHgryCFvvnMJSO21YIjIke0</t>
  </si>
  <si>
    <t xml:space="preserve">ch_3OHgryCFvvnMJSO21YIjIke0</t>
  </si>
  <si>
    <t xml:space="preserve">TISI Singapore Pte Ltd - Transaction fees reimbursed for ch_3OINzcCFvvnMJSO20nZUfBuh</t>
  </si>
  <si>
    <t xml:space="preserve">ch_3OINzcCFvvnMJSO20nZUfBuh</t>
  </si>
  <si>
    <t xml:space="preserve">InnoTech Srl - Transaction fees reimbursed for ch_3OIZCHCFvvnMJSO21wVc03ge</t>
  </si>
  <si>
    <t xml:space="preserve">ch_3OIZCHCFvvnMJSO21wVc03ge</t>
  </si>
  <si>
    <t xml:space="preserve">InformEtica Consulting - Transaction fees reimbursed for ch_3OMokbCFvvnMJSO20VcnEqIj</t>
  </si>
  <si>
    <t xml:space="preserve">ch_3OMokbCFvvnMJSO20VcnEqIj</t>
  </si>
  <si>
    <t xml:space="preserve">InformEtica Consulting - Transaction fees reimbursed for ch_3OMoqsCFvvnMJSO211ej9SVj</t>
  </si>
  <si>
    <t xml:space="preserve">ch_3OMoqsCFvvnMJSO211ej9SVj</t>
  </si>
  <si>
    <t xml:space="preserve">The World Management - Transaction fees reimbursed for ch_3ONQUdCFvvnMJSO20dZdETwi</t>
  </si>
  <si>
    <t xml:space="preserve">ch_3ONQUdCFvvnMJSO20dZdETwi</t>
  </si>
  <si>
    <t xml:space="preserve">The World Management - Transaction fees reimbursed for ch_3ONQVzCFvvnMJSO21LoZTfvO</t>
  </si>
  <si>
    <t xml:space="preserve">ch_3ONQVzCFvvnMJSO21LoZTfvO</t>
  </si>
  <si>
    <t xml:space="preserve">The World Management - Transaction fees reimbursed for ch_3ONQXTCFvvnMJSO21tZ2F8xr</t>
  </si>
  <si>
    <t xml:space="preserve">ch_3ONQXTCFvvnMJSO21tZ2F8xr</t>
  </si>
  <si>
    <t xml:space="preserve">FarmFresh Corporation Pty Ltd - Transaction fees reimbursed for ch_3OPH2TCFvvnMJSO202R9RwQb</t>
  </si>
  <si>
    <t xml:space="preserve">ch_3OPH2TCFvvnMJSO202R9RwQb</t>
  </si>
  <si>
    <t xml:space="preserve">InnoTech Srl - Transaction fees reimbursed for ch_3OTfoOCFvvnMJSO20r3IKaob</t>
  </si>
  <si>
    <t xml:space="preserve">ch_3OTfoOCFvvnMJSO20r3IKaob</t>
  </si>
  <si>
    <t xml:space="preserve">TISI Singapore Pte Ltd - Transaction fees reimbursed for ch_3OTmbBCFvvnMJSO21KgNuNge</t>
  </si>
  <si>
    <t xml:space="preserve">ch_3OTmbBCFvvnMJSO21KgNuNge</t>
  </si>
  <si>
    <t xml:space="preserve">InnoTech Srl - Transaction fees reimbursed for ch_3OUmmKCFvvnMJSO21bhDYHpi</t>
  </si>
  <si>
    <t xml:space="preserve">ch_3OUmmKCFvvnMJSO21bhDYHpi</t>
  </si>
  <si>
    <t xml:space="preserve">I-BN (I-Business Network) - Transaction fees reimbursed for ch_3Oca0HCFvvnMJSO21XI8PADT</t>
  </si>
  <si>
    <t xml:space="preserve">ch_3Oca0HCFvvnMJSO21XI8PADT</t>
  </si>
  <si>
    <t xml:space="preserve">FarmFresh Corporation Pty Ltd - Transaction fees reimbursed for ch_3OdgirCFvvnMJSO20nVZo9nc</t>
  </si>
  <si>
    <t xml:space="preserve">ch_3OdgirCFvvnMJSO20nVZo9nc</t>
  </si>
  <si>
    <t xml:space="preserve">KDS Consulting Sdn Bhd - Transaction fees reimbursed for ch_3OeE0jS8dd5YK6ED0tE4zUJb</t>
  </si>
  <si>
    <t xml:space="preserve">ch_3OeE0jS8dd5YK6ED0tE4zUJb</t>
  </si>
  <si>
    <t xml:space="preserve">TISI Singapore Pte Ltd - Transaction fees reimbursed for ch_3Oeq5BS8dd5YK6ED0IkAVjLO</t>
  </si>
  <si>
    <t xml:space="preserve">ch_3Oeq5BS8dd5YK6ED0IkAVjLO</t>
  </si>
  <si>
    <t xml:space="preserve">InnoTech Srl - Transaction fees reimbursed for ch_3OexV5S8dd5YK6ED1G2AZr1G</t>
  </si>
  <si>
    <t xml:space="preserve">ch_3OexV5S8dd5YK6ED1G2AZr1G</t>
  </si>
  <si>
    <t xml:space="preserve">I-BN (I-Business Network) - Transaction fees reimbursed for ch_3On3H1S8dd5YK6ED0Pq2xdJC</t>
  </si>
  <si>
    <t xml:space="preserve">ch_3On3H1S8dd5YK6ED0Pq2xdJC</t>
  </si>
  <si>
    <t xml:space="preserve">FarmFresh Corporation Pty Ltd - Transaction fees reimbursed for ch_3OpIUxS8dd5YK6ED1msMPBvT</t>
  </si>
  <si>
    <t xml:space="preserve">ch_3OpIUxS8dd5YK6ED1msMPBvT</t>
  </si>
  <si>
    <t xml:space="preserve">TISI Singapore Pte Ltd - Transaction fees reimbursed for ch_3OpMb6S8dd5YK6ED1kWV7pM4</t>
  </si>
  <si>
    <t xml:space="preserve">ch_3OpMb6S8dd5YK6ED1kWV7pM4</t>
  </si>
  <si>
    <t xml:space="preserve">InnoTech Srl - Transaction fees reimbursed for ch_3OpT2BS8dd5YK6ED1PHEyO8w</t>
  </si>
  <si>
    <t xml:space="preserve">ch_3OpT2BS8dd5YK6ED1PHEyO8w</t>
  </si>
  <si>
    <t xml:space="preserve">InnoTech Srl - Transaction fees reimbursed for ch_3OpTEMS8dd5YK6ED0IU50XQr</t>
  </si>
  <si>
    <t xml:space="preserve">ch_3OpTEMS8dd5YK6ED0IU50XQr</t>
  </si>
  <si>
    <t xml:space="preserve">Matfer Bourgeat - Transaction fees reimbursed for ch_3PBJTXS8dd5YK6ED08VlExMH</t>
  </si>
  <si>
    <t xml:space="preserve">ch_3PBJTXS8dd5YK6ED08VlExMH</t>
  </si>
  <si>
    <t xml:space="preserve">TISI Singapore Pte Ltd - Transaction fees reimbursed for ch_3PBaZPS8dd5YK6ED1fAGbh2G</t>
  </si>
  <si>
    <t xml:space="preserve">ch_3PBaZPS8dd5YK6ED1fAGbh2G</t>
  </si>
  <si>
    <t xml:space="preserve">FarmFresh Corporation Pty Ltd - Transaction fees reimbursed for ch_3PDb4AS8dd5YK6ED1J1dD9ex</t>
  </si>
  <si>
    <t xml:space="preserve">ch_3PDb4AS8dd5YK6ED1J1dD9ex</t>
  </si>
  <si>
    <t xml:space="preserve">Matfer Bourgeat - Transaction fees reimbursed for ch_3PJeefS8dd5YK6ED1mkJcPXH</t>
  </si>
  <si>
    <t xml:space="preserve">ch_3PJeefS8dd5YK6ED1mkJcPXH</t>
  </si>
  <si>
    <t xml:space="preserve">TISI Singapore Pte Ltd - Transaction fees reimbursed for ch_3PMkahS8dd5YK6ED1kYI7TFU</t>
  </si>
  <si>
    <t xml:space="preserve">ch_3PMkahS8dd5YK6ED1kYI7TFU</t>
  </si>
  <si>
    <t xml:space="preserve">FarmFresh Corporation Pty Ltd - Transaction fees reimbursed for ch_3PN8qIS8dd5YK6ED1QYme18j</t>
  </si>
  <si>
    <t xml:space="preserve">ch_3PN8qIS8dd5YK6ED1QYme18j</t>
  </si>
  <si>
    <t xml:space="preserve">Clear Pak Australia Pty Ltd - Transaction fees reimbursed for ch_3PNOWES8dd5YK6ED0sw66ZVl</t>
  </si>
  <si>
    <t xml:space="preserve">ch_3PNOWES8dd5YK6ED0sw66ZVl</t>
  </si>
  <si>
    <t xml:space="preserve">Matfer Bourgeat - Transaction fees reimbursed for ch_3PVzydS8dd5YK6ED0qjG2MXH</t>
  </si>
  <si>
    <t xml:space="preserve">ch_3PVzydS8dd5YK6ED0qjG2MXH</t>
  </si>
  <si>
    <t xml:space="preserve">InnoTech Srl - Transaction fees reimbursed for ch_3PXGWsS8dd5YK6ED0z3xrTtC</t>
  </si>
  <si>
    <t xml:space="preserve">ch_3PXGWsS8dd5YK6ED0z3xrTtC</t>
  </si>
  <si>
    <t xml:space="preserve">InnoTech Srl - Transaction fees reimbursed for ch_3PXGZ2S8dd5YK6ED0JTAdfst</t>
  </si>
  <si>
    <t xml:space="preserve">ch_3PXGZ2S8dd5YK6ED0JTAdfst</t>
  </si>
  <si>
    <t xml:space="preserve">Total 271 - Stripe Fees Reimbursement</t>
  </si>
  <si>
    <t xml:space="preserve">311 - SPLA Software Subscriptions - Infrastructure</t>
  </si>
  <si>
    <t xml:space="preserve">311</t>
  </si>
  <si>
    <t xml:space="preserve">Direct Costs</t>
  </si>
  <si>
    <t xml:space="preserve">Payable Invoice</t>
  </si>
  <si>
    <t xml:space="preserve">rhipe - Microsoft CSP June 2023</t>
  </si>
  <si>
    <t xml:space="preserve">AU256809</t>
  </si>
  <si>
    <t xml:space="preserve">Kaseya - July2023 Backup, Networking, PSA/Service Desk, RMM</t>
  </si>
  <si>
    <t xml:space="preserve">CI_1074367</t>
  </si>
  <si>
    <t xml:space="preserve">Manual Journal</t>
  </si>
  <si>
    <t xml:space="preserve">Reversal of: Holmans: A16 To reconcile LY's Xero with LY's financials</t>
  </si>
  <si>
    <t xml:space="preserve">#23108</t>
  </si>
  <si>
    <t xml:space="preserve">BAS Excluded</t>
  </si>
  <si>
    <t xml:space="preserve">rhipe - Veeam CSP June 2023</t>
  </si>
  <si>
    <t xml:space="preserve">AU258080</t>
  </si>
  <si>
    <t xml:space="preserve">rhipe - Microsoft SPLA June 2023</t>
  </si>
  <si>
    <t xml:space="preserve">AU258364</t>
  </si>
  <si>
    <t xml:space="preserve">Duo 2FA - MSP Charges for Invoice #MSP22070082</t>
  </si>
  <si>
    <t xml:space="preserve">10950882</t>
  </si>
  <si>
    <t xml:space="preserve">GST Free Expenses</t>
  </si>
  <si>
    <t xml:space="preserve">Spend Money</t>
  </si>
  <si>
    <t xml:space="preserve">Bluechip Infotech - Bluechip Infotech June 2023</t>
  </si>
  <si>
    <t xml:space="preserve">June 2023</t>
  </si>
  <si>
    <t xml:space="preserve">Bluechip Infotech - Credit Note MSP Monthly</t>
  </si>
  <si>
    <t xml:space="preserve">Kaseya - Credit Note</t>
  </si>
  <si>
    <t xml:space="preserve">SUSE - Annual SUSE Linux Enterprise Server Renewal x 3 25/07</t>
  </si>
  <si>
    <t xml:space="preserve">Bluechip Infotech - Sophos Central Intercept X July 2023</t>
  </si>
  <si>
    <t xml:space="preserve">SIN973850</t>
  </si>
  <si>
    <t xml:space="preserve">Duo 2FA - Duo Software Subscription July 2023</t>
  </si>
  <si>
    <t xml:space="preserve">#MSP22686381</t>
  </si>
  <si>
    <t xml:space="preserve">rhipe - Microsoft CSP July 2023</t>
  </si>
  <si>
    <t xml:space="preserve">AU262648</t>
  </si>
  <si>
    <t xml:space="preserve">Kaseya - August 2023 Backup, Networking, PSA/Service Desk, RMM</t>
  </si>
  <si>
    <t xml:space="preserve">CI_1095245</t>
  </si>
  <si>
    <t xml:space="preserve">rhipe - Veeam CSP July 2023</t>
  </si>
  <si>
    <t xml:space="preserve">AU263096</t>
  </si>
  <si>
    <t xml:space="preserve">rhipe - Microsoft SPLA July 2023</t>
  </si>
  <si>
    <t xml:space="preserve">AU263851</t>
  </si>
  <si>
    <t xml:space="preserve">Leader Computers (Alloy) - ISFAB 3CX Renewal</t>
  </si>
  <si>
    <t xml:space="preserve">triCerat - MSP July 2023 Usage</t>
  </si>
  <si>
    <t xml:space="preserve">244707</t>
  </si>
  <si>
    <t xml:space="preserve">Bluechip Infotech - Sophos MSP Invoice August 2023</t>
  </si>
  <si>
    <t xml:space="preserve">SIN980417</t>
  </si>
  <si>
    <t xml:space="preserve">rhipe - Microsoft CSP August 2023</t>
  </si>
  <si>
    <t xml:space="preserve">AU266403</t>
  </si>
  <si>
    <t xml:space="preserve">rhipe - Microsoft SPLA August 2023</t>
  </si>
  <si>
    <t xml:space="preserve">AU267444</t>
  </si>
  <si>
    <t xml:space="preserve">rhipe - Veeam CSP August 2023</t>
  </si>
  <si>
    <t xml:space="preserve">AU267665</t>
  </si>
  <si>
    <t xml:space="preserve">Duo 2FA - MSP Charges for Invoice #MSP23305759</t>
  </si>
  <si>
    <t xml:space="preserve">10999564</t>
  </si>
  <si>
    <t xml:space="preserve">Kaseya - #INV2464547295381</t>
  </si>
  <si>
    <t xml:space="preserve">Multiple Invoice Payment</t>
  </si>
  <si>
    <t xml:space="preserve">Kaseya - #INV2464547212030
</t>
  </si>
  <si>
    <t xml:space="preserve">Kaseya - #INV2464547390301
</t>
  </si>
  <si>
    <t xml:space="preserve">Kaseya - #INV2464547397644
</t>
  </si>
  <si>
    <t xml:space="preserve">Bluechip Infotech - Sophos MSP Services September 2023</t>
  </si>
  <si>
    <t xml:space="preserve">SIN987451</t>
  </si>
  <si>
    <t xml:space="preserve">Duo 2FA - Duo Software Subscription MSP September 2023</t>
  </si>
  <si>
    <t xml:space="preserve">MSP23906785</t>
  </si>
  <si>
    <t xml:space="preserve">rhipe - Microsoft CSP September 2023</t>
  </si>
  <si>
    <t xml:space="preserve">AU270798</t>
  </si>
  <si>
    <t xml:space="preserve">rhipe - Microsoft SPLA September 2023</t>
  </si>
  <si>
    <t xml:space="preserve">AU271596</t>
  </si>
  <si>
    <t xml:space="preserve">rhipe - Veeam CSP September 2023</t>
  </si>
  <si>
    <t xml:space="preserve">AU272036</t>
  </si>
  <si>
    <t xml:space="preserve">Kaseya - October 2023 Invoice - Backup, Endpoint Protection, Networking, PSA/Service Desk</t>
  </si>
  <si>
    <t xml:space="preserve">CI_1139852 </t>
  </si>
  <si>
    <t xml:space="preserve">Payable Credit Note</t>
  </si>
  <si>
    <t xml:space="preserve">Duo 2FA - Duo MSP October 2023</t>
  </si>
  <si>
    <t xml:space="preserve">MSP24490609</t>
  </si>
  <si>
    <t xml:space="preserve">Bluechip Infotech - Sophos MSP Services October 2023</t>
  </si>
  <si>
    <t xml:space="preserve">SIN993735</t>
  </si>
  <si>
    <t xml:space="preserve">rhipe - Microsoft CSP October 2023</t>
  </si>
  <si>
    <t xml:space="preserve">AU275364</t>
  </si>
  <si>
    <t xml:space="preserve">rhipe - Microsoft SPLA October 2023</t>
  </si>
  <si>
    <t xml:space="preserve">AU277400</t>
  </si>
  <si>
    <t xml:space="preserve">Kaseya - November 2023 - Backup, EndPoint Protection, Networking, PSA/Service Desk, RMM</t>
  </si>
  <si>
    <t xml:space="preserve">CI_1163591</t>
  </si>
  <si>
    <t xml:space="preserve">rhipe - Veeam CSP October 2023</t>
  </si>
  <si>
    <t xml:space="preserve">AU277601</t>
  </si>
  <si>
    <t xml:space="preserve">Kaseya - Credit Memo - CM0000190119</t>
  </si>
  <si>
    <t xml:space="preserve">Bluechip Infotech - Sophos November 2023</t>
  </si>
  <si>
    <t xml:space="preserve">SIN1000362</t>
  </si>
  <si>
    <t xml:space="preserve">Duo 2FA - Duo Software Subscription November 2023</t>
  </si>
  <si>
    <t xml:space="preserve">MSP25088309</t>
  </si>
  <si>
    <t xml:space="preserve">rhipe - Microsoft CSP November 2023</t>
  </si>
  <si>
    <t xml:space="preserve">AU279873</t>
  </si>
  <si>
    <t xml:space="preserve">Kaseya - Kaseya Backup, Endpoint Protection, Networking, PSA/Service Desk, RMM - December 2023</t>
  </si>
  <si>
    <t xml:space="preserve">CI_1186495</t>
  </si>
  <si>
    <t xml:space="preserve">rhipe - Veeam CSP November 2023</t>
  </si>
  <si>
    <t xml:space="preserve">AU282555</t>
  </si>
  <si>
    <t xml:space="preserve">rhipe - Microsoft SPLA November 2023</t>
  </si>
  <si>
    <t xml:space="preserve">AU282517</t>
  </si>
  <si>
    <t xml:space="preserve">Bluechip Infotech - SPLA for VLM-50 November 2023</t>
  </si>
  <si>
    <t xml:space="preserve">SIN1002481</t>
  </si>
  <si>
    <t xml:space="preserve">Bluechip Infotech - Sophos MSP December 2023</t>
  </si>
  <si>
    <t xml:space="preserve">SIN1005572</t>
  </si>
  <si>
    <t xml:space="preserve">Duo 2FA - Duo Subscription December 2023</t>
  </si>
  <si>
    <t xml:space="preserve">MSP25707058</t>
  </si>
  <si>
    <t xml:space="preserve">rhipe - Microsoft CSP December 2023</t>
  </si>
  <si>
    <t xml:space="preserve">AU284176</t>
  </si>
  <si>
    <t xml:space="preserve">rhipe - Veeam CSP December 2023</t>
  </si>
  <si>
    <t xml:space="preserve">AU285149</t>
  </si>
  <si>
    <t xml:space="preserve">rhipe - Microsoft SPLA December 2023</t>
  </si>
  <si>
    <t xml:space="preserve">AU285137</t>
  </si>
  <si>
    <t xml:space="preserve">cPanel - cPanel Software Subscription</t>
  </si>
  <si>
    <t xml:space="preserve">Kaseya - Backup, Endpoint Protection, Networking, PSA/Service Desk, RMM - January 2024</t>
  </si>
  <si>
    <t xml:space="preserve">CI_1209818</t>
  </si>
  <si>
    <t xml:space="preserve">Bluechip Infotech - 71 x SPLA for VLM-50 December 2023</t>
  </si>
  <si>
    <t xml:space="preserve">SIN-1500371</t>
  </si>
  <si>
    <t xml:space="preserve">NinjaOne - Ninja Professional + Quick Connect November 2024</t>
  </si>
  <si>
    <t xml:space="preserve">INV88147665</t>
  </si>
  <si>
    <t xml:space="preserve">CyberFox - AutoElevate Plan December 2024</t>
  </si>
  <si>
    <t xml:space="preserve">062236</t>
  </si>
  <si>
    <t xml:space="preserve">NinjaOne - Ninja Professional &amp; Quick Connect December 2024</t>
  </si>
  <si>
    <t xml:space="preserve">INV88162784</t>
  </si>
  <si>
    <t xml:space="preserve">Bluechip Infotech - Sophos MSP January 2024</t>
  </si>
  <si>
    <t xml:space="preserve">SIN-1504822</t>
  </si>
  <si>
    <t xml:space="preserve">Duo 2FA - Duo Essentials Subscription January 2024</t>
  </si>
  <si>
    <t xml:space="preserve">MSP26323269</t>
  </si>
  <si>
    <t xml:space="preserve">rhipe - Microsoft CSP January 2024</t>
  </si>
  <si>
    <t xml:space="preserve">AU289450</t>
  </si>
  <si>
    <t xml:space="preserve">cPanel - cPanel Subscription</t>
  </si>
  <si>
    <t xml:space="preserve">rhipe - Microsoft SPLA January 2024</t>
  </si>
  <si>
    <t xml:space="preserve">AU289907</t>
  </si>
  <si>
    <t xml:space="preserve">rhipe - Veeam CSP January 2024</t>
  </si>
  <si>
    <t xml:space="preserve">AU290567</t>
  </si>
  <si>
    <t xml:space="preserve">SUSE - SUSE Linux Enterprise Desktop Annual Renewal</t>
  </si>
  <si>
    <t xml:space="preserve">Kaseya - February 2024 - Backup, Endpoint Protection, Networking, PSA/Service Desk, RMM</t>
  </si>
  <si>
    <t xml:space="preserve">CI_1232155</t>
  </si>
  <si>
    <t xml:space="preserve">Zoho Corporation - Annual Subscription for ManageEngine ADSelfService plus Professional edition for 500 Domain Users</t>
  </si>
  <si>
    <t xml:space="preserve">80100002026</t>
  </si>
  <si>
    <t xml:space="preserve">Bluechip Infotech - Sophos MSP February 2024</t>
  </si>
  <si>
    <t xml:space="preserve">SIN-1510640</t>
  </si>
  <si>
    <t xml:space="preserve">Duo 2FA - Duo Essentials Subscription February 2024</t>
  </si>
  <si>
    <t xml:space="preserve">MSP26891135</t>
  </si>
  <si>
    <t xml:space="preserve">rhipe - Microsoft CSP February 2024</t>
  </si>
  <si>
    <t xml:space="preserve">AU293431</t>
  </si>
  <si>
    <t xml:space="preserve">Bluechip Infotech - SPLA Monthly Fee for VLM-50 February 2024</t>
  </si>
  <si>
    <t xml:space="preserve">SIN-1512171</t>
  </si>
  <si>
    <t xml:space="preserve">Kaseya - March 2024 Backup, Endpoint Protection, Networking, PSA/Service Desk, RMM</t>
  </si>
  <si>
    <t xml:space="preserve">CI_1253842</t>
  </si>
  <si>
    <t xml:space="preserve">rhipe - Microsoft SPLA February 2024</t>
  </si>
  <si>
    <t xml:space="preserve">AU295382</t>
  </si>
  <si>
    <t xml:space="preserve">rhipe - Veeam CSP February 2024</t>
  </si>
  <si>
    <t xml:space="preserve">AU295644</t>
  </si>
  <si>
    <t xml:space="preserve">triCerat - Tricerat February 2024 Usage</t>
  </si>
  <si>
    <t xml:space="preserve">245329</t>
  </si>
  <si>
    <t xml:space="preserve">SMTP2GO</t>
  </si>
  <si>
    <t xml:space="preserve">Bluechip Infotech - Sophos Subscription March 2024</t>
  </si>
  <si>
    <t xml:space="preserve">SIN-1517635</t>
  </si>
  <si>
    <t xml:space="preserve">Duo 2FA - Duo Software Subscription March 2024</t>
  </si>
  <si>
    <t xml:space="preserve">MSP27468725</t>
  </si>
  <si>
    <t xml:space="preserve">rhipe - Microsoft CSP March 2024</t>
  </si>
  <si>
    <t xml:space="preserve">AU297958</t>
  </si>
  <si>
    <t xml:space="preserve">NinjaOne - Ninja Professional/Ninja Quick Connect April 2024</t>
  </si>
  <si>
    <t xml:space="preserve">INV08764169</t>
  </si>
  <si>
    <t xml:space="preserve">rhipe - Microsoft SPLA March 2024</t>
  </si>
  <si>
    <t xml:space="preserve">AU299021</t>
  </si>
  <si>
    <t xml:space="preserve">rhipe - Veeam CSP March 2024</t>
  </si>
  <si>
    <t xml:space="preserve">AU299615</t>
  </si>
  <si>
    <t xml:space="preserve">Kaseya - Backup, Endpoint Protection, PSA/Service Desk, RMM - April 2024</t>
  </si>
  <si>
    <t xml:space="preserve">CI_1275810</t>
  </si>
  <si>
    <t xml:space="preserve">SMTP2GO - SMTP2GO Subscription</t>
  </si>
  <si>
    <t xml:space="preserve">Bluechip Infotech - Sophos MSP April 2024</t>
  </si>
  <si>
    <t xml:space="preserve">SIN-1523627</t>
  </si>
  <si>
    <t xml:space="preserve">Duo 2FA - Duo Software Subscription April 2024</t>
  </si>
  <si>
    <t xml:space="preserve">MSP28040296</t>
  </si>
  <si>
    <t xml:space="preserve">rhipe - Microsoft CSP April 2024</t>
  </si>
  <si>
    <t xml:space="preserve">AU303702</t>
  </si>
  <si>
    <t xml:space="preserve">cPanel - cPanel Pro+ May 2024</t>
  </si>
  <si>
    <t xml:space="preserve">INV-10000234845</t>
  </si>
  <si>
    <t xml:space="preserve">Kaseya - Backup, Endpoint Protection, PSA/Service Desk - May 2024</t>
  </si>
  <si>
    <t xml:space="preserve">CI_1297710</t>
  </si>
  <si>
    <t xml:space="preserve">rhipe - Veeam CSP April 2024</t>
  </si>
  <si>
    <t xml:space="preserve">AU305754</t>
  </si>
  <si>
    <t xml:space="preserve">rhipe - Microsoft SPLA April 2024</t>
  </si>
  <si>
    <t xml:space="preserve">AU305735</t>
  </si>
  <si>
    <t xml:space="preserve">Bluechip Infotech - Sophos Monthly Services May 2024</t>
  </si>
  <si>
    <t xml:space="preserve">SIN-1529545</t>
  </si>
  <si>
    <t xml:space="preserve">Duo 2FA - Duo 2FA Subscription May 2024</t>
  </si>
  <si>
    <t xml:space="preserve">MSP28635144</t>
  </si>
  <si>
    <t xml:space="preserve">rhipe - Microsoft CSP May 2024</t>
  </si>
  <si>
    <t xml:space="preserve">AU308386</t>
  </si>
  <si>
    <t xml:space="preserve">cPanel - cPanel Subscription June 2024</t>
  </si>
  <si>
    <t xml:space="preserve">10000369409</t>
  </si>
  <si>
    <t xml:space="preserve">rhipe - Microsoft SPLA May 2024</t>
  </si>
  <si>
    <t xml:space="preserve">AU309443</t>
  </si>
  <si>
    <t xml:space="preserve">rhipe - Veeam CSP May 2024</t>
  </si>
  <si>
    <t xml:space="preserve">AU309431</t>
  </si>
  <si>
    <t xml:space="preserve">Kaseya - Backup, Endpoint Protection, IT Operations, Security, Unified Backup June 2024</t>
  </si>
  <si>
    <t xml:space="preserve">CI_1319652</t>
  </si>
  <si>
    <t xml:space="preserve">Splashtop Software - Splashtop Subscription</t>
  </si>
  <si>
    <t xml:space="preserve">Bluechip Infotech - Sophos MSP June 2024</t>
  </si>
  <si>
    <t xml:space="preserve">SIN-1536226</t>
  </si>
  <si>
    <t xml:space="preserve">Ubiquiti</t>
  </si>
  <si>
    <t xml:space="preserve">Duo 2FA - Duo 2FA June 2024</t>
  </si>
  <si>
    <t xml:space="preserve">MSP29195621</t>
  </si>
  <si>
    <t xml:space="preserve">Holmans: A7 To reallocate doubled-up a/c in line with PY</t>
  </si>
  <si>
    <t xml:space="preserve">#23336</t>
  </si>
  <si>
    <t xml:space="preserve">Holmans: Jnl 1 to correct prior year comparatives - Holmans: Jnl 1 to correct prior year comparatives</t>
  </si>
  <si>
    <t xml:space="preserve">#29758</t>
  </si>
  <si>
    <t xml:space="preserve">Total 311 - SPLA Software Subscriptions - Infrastructure</t>
  </si>
  <si>
    <t xml:space="preserve">315 - Partner Commissions Paid</t>
  </si>
  <si>
    <t xml:space="preserve">315</t>
  </si>
  <si>
    <t xml:space="preserve">Expense</t>
  </si>
  <si>
    <t xml:space="preserve">I-BN (I-Business Network) - Matfer Bourgeat Hosting Reimbursement - April to September</t>
  </si>
  <si>
    <t xml:space="preserve">30358</t>
  </si>
  <si>
    <t xml:space="preserve">Total 315 - Partner Commissions Paid</t>
  </si>
  <si>
    <t xml:space="preserve">399 - Employee Training</t>
  </si>
  <si>
    <t xml:space="preserve">399</t>
  </si>
  <si>
    <t xml:space="preserve">Open Universities - Subject: Introduction to Creative and Professional Writing</t>
  </si>
  <si>
    <t xml:space="preserve">Total 399 - Employee Training</t>
  </si>
  <si>
    <t xml:space="preserve">400 - Advertising and Marketing</t>
  </si>
  <si>
    <t xml:space="preserve">400</t>
  </si>
  <si>
    <t xml:space="preserve">Tasman Graphics - SAP Partner Summit Sponsorship - Madrid and Phoenix</t>
  </si>
  <si>
    <t xml:space="preserve">PS24SP018/19</t>
  </si>
  <si>
    <t xml:space="preserve">Tasman Graphics - SAP Partner Summit for SME - Madrid Partner Ticket</t>
  </si>
  <si>
    <t xml:space="preserve">PS24EM137</t>
  </si>
  <si>
    <t xml:space="preserve">SAP Conference Fees - Mosche SAP B1 Conference Ticket</t>
  </si>
  <si>
    <t xml:space="preserve">Dirty Loops - T-Shirt</t>
  </si>
  <si>
    <t xml:space="preserve">SAP Solutions - SAP Annual PartnerEdge Program Fee 2024</t>
  </si>
  <si>
    <t xml:space="preserve">6607213398</t>
  </si>
  <si>
    <t xml:space="preserve">Holmans: A8 To reallocate expense from advertising &amp; marketing</t>
  </si>
  <si>
    <t xml:space="preserve">#23016</t>
  </si>
  <si>
    <t xml:space="preserve">Total 400 - Advertising and Marketing</t>
  </si>
  <si>
    <t xml:space="preserve">401 - Contractors</t>
  </si>
  <si>
    <t xml:space="preserve">401</t>
  </si>
  <si>
    <t xml:space="preserve">Alluvia - Educom IT Business Document Tier 1</t>
  </si>
  <si>
    <t xml:space="preserve">17189</t>
  </si>
  <si>
    <t xml:space="preserve">Alluvia - Educom 2nd WooCommerce - Order Download/Order Posting, Organization Sync, Requirements Gathering</t>
  </si>
  <si>
    <t xml:space="preserve">17358</t>
  </si>
  <si>
    <t xml:space="preserve">17521</t>
  </si>
  <si>
    <t xml:space="preserve">Scarlet Studio Digital Agency - 2 Weeks Additional Website Redesign Project Time</t>
  </si>
  <si>
    <t xml:space="preserve">006</t>
  </si>
  <si>
    <t xml:space="preserve">Alluvia - Testing/Validation Services - EducomIT</t>
  </si>
  <si>
    <t xml:space="preserve">17562</t>
  </si>
  <si>
    <t xml:space="preserve">Alluvia - Educom IT Business Document</t>
  </si>
  <si>
    <t xml:space="preserve">17722</t>
  </si>
  <si>
    <t xml:space="preserve">Vince Cordi - Hands On Data Centre Assistance</t>
  </si>
  <si>
    <t xml:space="preserve">17949</t>
  </si>
  <si>
    <t xml:space="preserve">18168</t>
  </si>
  <si>
    <t xml:space="preserve">Alluvia - EducomIT Business Document March 2024</t>
  </si>
  <si>
    <t xml:space="preserve">18407</t>
  </si>
  <si>
    <t xml:space="preserve">Renee Brazel - Corporate Headshots Team &amp; 4 Individuals - Location &amp; Studio</t>
  </si>
  <si>
    <t xml:space="preserve">INV-1383</t>
  </si>
  <si>
    <t xml:space="preserve">Alluvia - EducomIT Business Document April 2024</t>
  </si>
  <si>
    <t xml:space="preserve">18762</t>
  </si>
  <si>
    <t xml:space="preserve">Total 401 - Contractors</t>
  </si>
  <si>
    <t xml:space="preserve">402 - Internet Security</t>
  </si>
  <si>
    <t xml:space="preserve">402</t>
  </si>
  <si>
    <t xml:space="preserve">Siege Cyber - External Penetration Testing</t>
  </si>
  <si>
    <t xml:space="preserve">1390</t>
  </si>
  <si>
    <t xml:space="preserve">Callum Duffy (callum@smbsolutions.com.au) - GoDaddy Online - Tasman Water Domain</t>
  </si>
  <si>
    <t xml:space="preserve">Expense Claims</t>
  </si>
  <si>
    <t xml:space="preserve">Total 402 - Internet Security</t>
  </si>
  <si>
    <t xml:space="preserve">404 - Bank Fees and Bank Interest</t>
  </si>
  <si>
    <t xml:space="preserve">404</t>
  </si>
  <si>
    <t xml:space="preserve">Stripe - Transaction fees for ch_3NP26GCFvvnMJSO21DTRwMmP</t>
  </si>
  <si>
    <t xml:space="preserve">Commonwealth Bank - International Transaction Fee</t>
  </si>
  <si>
    <t xml:space="preserve">Commonwealth Bank - Account Fee</t>
  </si>
  <si>
    <t xml:space="preserve">Stripe - Transaction fees for ch_3NPgZyCFvvnMJSO20MisJbyZ</t>
  </si>
  <si>
    <t xml:space="preserve">Aureus Consult Sdn Bhd - Transaction Fee</t>
  </si>
  <si>
    <t xml:space="preserve">Stripe - Transaction fees for ch_3NUkRXCFvvnMJSO21Ui86Uzi</t>
  </si>
  <si>
    <t xml:space="preserve">Stripe - Transaction fees for ch_3NVOpUCFvvnMJSO21HAFWXDa</t>
  </si>
  <si>
    <t xml:space="preserve">rhipe - Transaction Fee</t>
  </si>
  <si>
    <t xml:space="preserve">Stripe - Transaction fees for ch_3NaAulCFvvnMJSO214khqoRV</t>
  </si>
  <si>
    <t xml:space="preserve">Stripe - Transaction fees for ch_3NaWztCFvvnMJSO20AFJuMTU</t>
  </si>
  <si>
    <t xml:space="preserve">Holmans Accounting &amp; Taxation - Transaction Fee</t>
  </si>
  <si>
    <t xml:space="preserve">18894</t>
  </si>
  <si>
    <t xml:space="preserve">Stripe - Transaction fees for ch_3NfFWZCFvvnMJSO20fRyrBc3</t>
  </si>
  <si>
    <t xml:space="preserve">ATO PAYMENT SYDNEY Card xx8898 - Transaction Fee</t>
  </si>
  <si>
    <t xml:space="preserve">Wells Fargo - Refund Incorrect Bank Fees</t>
  </si>
  <si>
    <t xml:space="preserve">Stripe - Transaction fees for ch_3Nkm7VCFvvnMJSO21cCN1Hs9</t>
  </si>
  <si>
    <t xml:space="preserve">Stripe - Transaction fees for ch_3NkmAmCFvvnMJSO20v740Hgf</t>
  </si>
  <si>
    <t xml:space="preserve">Wells Fargo - Monthly Service Fee</t>
  </si>
  <si>
    <t xml:space="preserve">Stripe - Transaction fees for ch_3NlU1XCFvvnMJSO218mXJRhm</t>
  </si>
  <si>
    <t xml:space="preserve">Commonwealth Bank - Overdraft Line Fee</t>
  </si>
  <si>
    <t xml:space="preserve">Stripe - Transaction fees for ch_3NlkvmCFvvnMJSO20KK2vSOJ</t>
  </si>
  <si>
    <t xml:space="preserve">Stripe - Transaction fees for ch_3NmlgwCFvvnMJSO20doT4tID</t>
  </si>
  <si>
    <t xml:space="preserve">Stripe - Transaction fees for ch_3NuTJ6CFvvnMJSO21jQoWwzH</t>
  </si>
  <si>
    <t xml:space="preserve">Stripe - Transaction fees for ch_3NvD5ACFvvnMJSO210EltNCU</t>
  </si>
  <si>
    <t xml:space="preserve">Stripe - Transaction fees for ch_3NvU4OCFvvnMJSO21lLD0N4a</t>
  </si>
  <si>
    <t xml:space="preserve">Stripe - Transaction fees for ch_3NwDepCFvvnMJSO21mTQSxKD</t>
  </si>
  <si>
    <t xml:space="preserve">Stripe - Transaction fees for ch_3NwKLJCFvvnMJSO20i76R9J7</t>
  </si>
  <si>
    <t xml:space="preserve">Stripe - Transaction fees for ch_3NzGurCFvvnMJSO21SzcQYsf</t>
  </si>
  <si>
    <t xml:space="preserve">Wells Fargo - Overdraft Fee</t>
  </si>
  <si>
    <t xml:space="preserve">Wells Fargo - Wire Transfer Service Charge</t>
  </si>
  <si>
    <t xml:space="preserve">Stripe - Transaction fees for ch_3O4XlZCFvvnMJSO21F61pay7</t>
  </si>
  <si>
    <t xml:space="preserve">Stripe - Transaction fees for ch_3O5cR5CFvvnMJSO21uzNBtES</t>
  </si>
  <si>
    <t xml:space="preserve">Commonwealth Bank - Non CBA ATM Withdrawal Fee</t>
  </si>
  <si>
    <t xml:space="preserve">Stripe - Transaction fees for ch_3O7Uz1CFvvnMJSO21zJrmpQT</t>
  </si>
  <si>
    <t xml:space="preserve">Stripe - Transaction fees for ch_3O7VvBCFvvnMJSO21j9sKmXK</t>
  </si>
  <si>
    <t xml:space="preserve">Stripe - Transaction fees for ch_3O7fRcCFvvnMJSO20s9W4CFz</t>
  </si>
  <si>
    <t xml:space="preserve">Leader Computers (Alloy) - Transaction Fee</t>
  </si>
  <si>
    <t xml:space="preserve">Wells Fargo - Wire Transfer Fee</t>
  </si>
  <si>
    <t xml:space="preserve">Bank Of America - Late Fee Error Correction</t>
  </si>
  <si>
    <t xml:space="preserve">Bank Of America - International Charge Error Correction</t>
  </si>
  <si>
    <t xml:space="preserve">rhipe - Transction Fee</t>
  </si>
  <si>
    <t xml:space="preserve">Stripe - Transaction fees for ch_3OHgryCFvvnMJSO21YIjIke0</t>
  </si>
  <si>
    <t xml:space="preserve">Stripe - Transaction fees for ch_3OINzcCFvvnMJSO20nZUfBuh</t>
  </si>
  <si>
    <t xml:space="preserve">Stripe - Transaction fees for ch_3OIZCHCFvvnMJSO21wVc03ge</t>
  </si>
  <si>
    <t xml:space="preserve">Australian Tax Office - Transaction Fee</t>
  </si>
  <si>
    <t xml:space="preserve">Activity Statement 002 July - September 2023</t>
  </si>
  <si>
    <t xml:space="preserve">Commonwealth Bank - International Transaction Fees</t>
  </si>
  <si>
    <t xml:space="preserve">Stripe - Transaction fees for ch_3OMokbCFvvnMJSO20VcnEqIj</t>
  </si>
  <si>
    <t xml:space="preserve">Stripe - Transaction fees for ch_3OMoqsCFvvnMJSO211ej9SVj</t>
  </si>
  <si>
    <t xml:space="preserve">Stripe - Transaction fees for ch_3ONQUdCFvvnMJSO20dZdETwi</t>
  </si>
  <si>
    <t xml:space="preserve">Stripe - Transaction fees for ch_3ONQVzCFvvnMJSO21LoZTfvO</t>
  </si>
  <si>
    <t xml:space="preserve">Stripe - Transaction fees for ch_3ONQXTCFvvnMJSO21tZ2F8xr</t>
  </si>
  <si>
    <t xml:space="preserve">Commonwealth Bank - ATM Fee</t>
  </si>
  <si>
    <t xml:space="preserve">Australian Tax Office - Transaction Charge</t>
  </si>
  <si>
    <t xml:space="preserve">6048606532</t>
  </si>
  <si>
    <t xml:space="preserve">Stripe - Transaction fees for ch_3OPH2TCFvvnMJSO202R9RwQb</t>
  </si>
  <si>
    <t xml:space="preserve">Commonwealth Bank - ATM Withdrawel Fee</t>
  </si>
  <si>
    <t xml:space="preserve">Stripe - Transaction fees for ch_3OTfoOCFvvnMJSO20r3IKaob</t>
  </si>
  <si>
    <t xml:space="preserve">Stripe - Transaction fees for ch_3OTmbBCFvvnMJSO21KgNuNge</t>
  </si>
  <si>
    <t xml:space="preserve">Stripe - Transaction fees for ch_3OUmmKCFvvnMJSO21bhDYHpi</t>
  </si>
  <si>
    <t xml:space="preserve">Flight Centre - Transaction Fee</t>
  </si>
  <si>
    <t xml:space="preserve">4774131</t>
  </si>
  <si>
    <t xml:space="preserve">triCerat - Ccard Transaction Fee</t>
  </si>
  <si>
    <t xml:space="preserve">Commonwealth Bank - Non CBA ATM Withdrawel Fee</t>
  </si>
  <si>
    <t xml:space="preserve">Commonwealth Bank - International ATM Fee</t>
  </si>
  <si>
    <t xml:space="preserve">Commonwealth Bank - Non-CBA ATM Withdrawal Fee</t>
  </si>
  <si>
    <t xml:space="preserve">Stripe - Transaction Fee</t>
  </si>
  <si>
    <t xml:space="preserve">Stripe - Transaction fees for ch_3Oeq5BS8dd5YK6ED0IkAVjLO</t>
  </si>
  <si>
    <t xml:space="preserve">Stripe - Transaction fees for ch_3OexV5S8dd5YK6ED1G2AZr1G</t>
  </si>
  <si>
    <t xml:space="preserve">triCerat - Transaction Fee</t>
  </si>
  <si>
    <t xml:space="preserve">Stripe - Transaction fees for ch_3On3H1S8dd5YK6ED0Pq2xdJC</t>
  </si>
  <si>
    <t xml:space="preserve">Aureus Consult Sdn Bhd - Bank Fee</t>
  </si>
  <si>
    <t xml:space="preserve">Stripe - Transaction fees for ch_3OpIUxS8dd5YK6ED1msMPBvT</t>
  </si>
  <si>
    <t xml:space="preserve">Stripe - Transaction fees for ch_3OpMb6S8dd5YK6ED1kWV7pM4</t>
  </si>
  <si>
    <t xml:space="preserve">Stripe - Transaction fees for ch_3OpT2BS8dd5YK6ED1PHEyO8w</t>
  </si>
  <si>
    <t xml:space="preserve">Stripe - Transaction fees for ch_3OpTEMS8dd5YK6ED0IU50XQr</t>
  </si>
  <si>
    <t xml:space="preserve">Bank Of America - Interest charge</t>
  </si>
  <si>
    <t xml:space="preserve">triCerat - Card Transaction Fee</t>
  </si>
  <si>
    <t xml:space="preserve">Bank Of America - Annual Bank Fee</t>
  </si>
  <si>
    <t xml:space="preserve">Paypal - Paypal Instant Transfer Fee</t>
  </si>
  <si>
    <t xml:space="preserve">Commonwealth Bank - Interntional Transaction Fee</t>
  </si>
  <si>
    <t xml:space="preserve">Stripe - Transaction fees for ch_3PBJTXS8dd5YK6ED08VlExMH</t>
  </si>
  <si>
    <t xml:space="preserve">Stripe - Transaction fees for ch_3PBaZPS8dd5YK6ED1fAGbh2G</t>
  </si>
  <si>
    <t xml:space="preserve">A/S Rolf Schmidt Industri Plast - International Bank Fee</t>
  </si>
  <si>
    <t xml:space="preserve">Stripe - Transaction fees for ch_3PDb4AS8dd5YK6ED1J1dD9ex</t>
  </si>
  <si>
    <t xml:space="preserve">Leader Systems - Transaction Fee</t>
  </si>
  <si>
    <t xml:space="preserve">Stripe - Transaction fees for ch_3PJeefS8dd5YK6ED1mkJcPXH</t>
  </si>
  <si>
    <t xml:space="preserve">Stripe - Transaction fees for ch_3PMkahS8dd5YK6ED1kYI7TFU</t>
  </si>
  <si>
    <t xml:space="preserve">Stripe - Transaction fees for ch_3PN8qIS8dd5YK6ED1QYme18j</t>
  </si>
  <si>
    <t xml:space="preserve">Stripe - Transaction fees for ch_3PNOWES8dd5YK6ED0sw66ZVl</t>
  </si>
  <si>
    <t xml:space="preserve">Commonwealth Bank - NonCBA ATM Withdrawel Fee</t>
  </si>
  <si>
    <t xml:space="preserve">SAP Solutions - Transaction Fee</t>
  </si>
  <si>
    <t xml:space="preserve">Stripe - Transaction fees for ch_3PVzydS8dd5YK6ED0qjG2MXH</t>
  </si>
  <si>
    <t xml:space="preserve">Holmans Accountants - Transaction Fee</t>
  </si>
  <si>
    <t xml:space="preserve">Stripe - Transaction fees for ch_3PXGWsS8dd5YK6ED0z3xrTtC</t>
  </si>
  <si>
    <t xml:space="preserve">Stripe - Transaction fees for ch_3PXGZ2S8dd5YK6ED0JTAdfst</t>
  </si>
  <si>
    <t xml:space="preserve">Holmans: A4 To reallocate expenses and rounding a/c balance to bank fees</t>
  </si>
  <si>
    <t xml:space="preserve">#23042</t>
  </si>
  <si>
    <t xml:space="preserve">Holmans: A13 To clear historical adjustment balance to bank charges per client reply</t>
  </si>
  <si>
    <t xml:space="preserve">#23104</t>
  </si>
  <si>
    <t xml:space="preserve">Holmans: A16 To round-off GST adjustment</t>
  </si>
  <si>
    <t xml:space="preserve">#23332</t>
  </si>
  <si>
    <t xml:space="preserve">Holmans: Jnl 2 to reallocate transaction fees on accounting expenses - Holmans: Jnl 2 to reallocate transaction fees on accounting expenses</t>
  </si>
  <si>
    <t xml:space="preserve">#29760</t>
  </si>
  <si>
    <t xml:space="preserve">Total 404 - Bank Fees and Bank Interest</t>
  </si>
  <si>
    <t xml:space="preserve">405 - PayPal Fees</t>
  </si>
  <si>
    <t xml:space="preserve">405</t>
  </si>
  <si>
    <t xml:space="preserve">Paypal - Transaction fees for 9PG0936651671891N</t>
  </si>
  <si>
    <t xml:space="preserve">9PG0936651671891N</t>
  </si>
  <si>
    <t xml:space="preserve">Total 405 - PayPal Fees</t>
  </si>
  <si>
    <t xml:space="preserve">409 - Accounting Fees</t>
  </si>
  <si>
    <t xml:space="preserve">409</t>
  </si>
  <si>
    <t xml:space="preserve">Creditor Watch - Creditor Watch Fee</t>
  </si>
  <si>
    <t xml:space="preserve">Holmans Accounting &amp; Taxation - Preparation and lodgment of Financial Statements, Income Tax Return and other supporting
documentations for the year ended 30 June 2023.</t>
  </si>
  <si>
    <t xml:space="preserve">Corporate Fillings LLC - US Business Registry Fees</t>
  </si>
  <si>
    <t xml:space="preserve">ASIC Sydney - 2024 Annual Company Review</t>
  </si>
  <si>
    <t xml:space="preserve">Company Statement</t>
  </si>
  <si>
    <t xml:space="preserve">Holmans Accounting &amp; Taxation - EOFY Tax Preparation Meeting 2024</t>
  </si>
  <si>
    <t xml:space="preserve">INV-23387</t>
  </si>
  <si>
    <t xml:space="preserve">Corporate Fillings LLC - Annual Registered Agent Service in Delaware</t>
  </si>
  <si>
    <t xml:space="preserve">7FBC9CC</t>
  </si>
  <si>
    <t xml:space="preserve">Holmans Accountants - Fee for the professional services rendered including:
Reconciliation of wages payable variances, calculation of adjusted pay run and filing of the same. 
All outlays incurred whilst attending to the above, including attending to file notes where deemed necessary.</t>
  </si>
  <si>
    <t xml:space="preserve">INV-24223</t>
  </si>
  <si>
    <t xml:space="preserve">Holmans: A9 To reallocate filing fees from accounting fees</t>
  </si>
  <si>
    <t xml:space="preserve">#23043</t>
  </si>
  <si>
    <t xml:space="preserve">Holmans: Reversing Jnl to correct accounts payable 2024 FY - Holmans: Reversing Jnl to correct accounts payable 2024 FY</t>
  </si>
  <si>
    <t xml:space="preserve">#24093</t>
  </si>
  <si>
    <t xml:space="preserve">Total 409 - Accounting Fees</t>
  </si>
  <si>
    <t xml:space="preserve">412 - Consulting Fees</t>
  </si>
  <si>
    <t xml:space="preserve">412</t>
  </si>
  <si>
    <t xml:space="preserve">CertPro - SOC 2 Type II Audit and CPA Attestation Services</t>
  </si>
  <si>
    <t xml:space="preserve">INV-CP-0823-225-AU</t>
  </si>
  <si>
    <t xml:space="preserve">Leisure Group North Brisbane - Business Advisory</t>
  </si>
  <si>
    <t xml:space="preserve">Microsoft - Online Commercial Support - Single support incident</t>
  </si>
  <si>
    <t xml:space="preserve">Leisure Group North Brisbane - Consulting Fees</t>
  </si>
  <si>
    <t xml:space="preserve">Factory Direct Shutters - Contractor Fees</t>
  </si>
  <si>
    <t xml:space="preserve">Microsoft - Refund September 2023 - Online Commercial Support - Single support incident</t>
  </si>
  <si>
    <t xml:space="preserve">Microsoft - Online Single Support Incident Refund</t>
  </si>
  <si>
    <t xml:space="preserve">CertPro - SOC 3 Audit and CPA Attestation Services</t>
  </si>
  <si>
    <t xml:space="preserve">INV-CP-0124-444-AU</t>
  </si>
  <si>
    <t xml:space="preserve">Total 412 - Consulting Fees</t>
  </si>
  <si>
    <t xml:space="preserve">416 - Depreciation</t>
  </si>
  <si>
    <t xml:space="preserve">416</t>
  </si>
  <si>
    <t xml:space="preserve">Depreciation of FA-0012 on 31 Jul 2023.</t>
  </si>
  <si>
    <t xml:space="preserve">Depreciation of FA-0019 on 31 Jul 2023.</t>
  </si>
  <si>
    <t xml:space="preserve">Depreciation of FA-0043 on 31 Jul 2023.</t>
  </si>
  <si>
    <t xml:space="preserve">Depreciation of FA-0044 on 31 Jul 2023.</t>
  </si>
  <si>
    <t xml:space="preserve">Depreciation of FA-0046 on 31 Jul 2023.</t>
  </si>
  <si>
    <t xml:space="preserve">Depreciation of FA-0047 on 31 Jul 2023.</t>
  </si>
  <si>
    <t xml:space="preserve">Depreciation of FA-0048 on 31 Jul 2023.</t>
  </si>
  <si>
    <t xml:space="preserve">Depreciation of FA-0049 on 31 Jul 2023.</t>
  </si>
  <si>
    <t xml:space="preserve">Depreciation of FA-0051 on 31 Jul 2023.</t>
  </si>
  <si>
    <t xml:space="preserve">Depreciation of FA-0052 on 31 Jul 2023.</t>
  </si>
  <si>
    <t xml:space="preserve">Depreciation of FA-0074 on 31 Jul 2023.</t>
  </si>
  <si>
    <t xml:space="preserve">Depreciation of FA-0075 on 31 Jul 2023.</t>
  </si>
  <si>
    <t xml:space="preserve">Depreciation of FA-0012 on 31 Aug 2023.</t>
  </si>
  <si>
    <t xml:space="preserve">Depreciation of FA-0019 on 31 Aug 2023.</t>
  </si>
  <si>
    <t xml:space="preserve">Depreciation of FA-0043 on 31 Aug 2023.</t>
  </si>
  <si>
    <t xml:space="preserve">Depreciation of FA-0044 on 31 Aug 2023.</t>
  </si>
  <si>
    <t xml:space="preserve">Depreciation of FA-0046 on 31 Aug 2023.</t>
  </si>
  <si>
    <t xml:space="preserve">Depreciation of FA-0047 on 31 Aug 2023.</t>
  </si>
  <si>
    <t xml:space="preserve">Depreciation of FA-0048 on 31 Aug 2023.</t>
  </si>
  <si>
    <t xml:space="preserve">Depreciation of FA-0049 on 31 Aug 2023.</t>
  </si>
  <si>
    <t xml:space="preserve">Depreciation of FA-0051 on 31 Aug 2023.</t>
  </si>
  <si>
    <t xml:space="preserve">Depreciation of FA-0052 on 31 Aug 2023.</t>
  </si>
  <si>
    <t xml:space="preserve">Depreciation of FA-0074 on 31 Aug 2023.</t>
  </si>
  <si>
    <t xml:space="preserve">Depreciation of FA-0075 on 31 Aug 2023.</t>
  </si>
  <si>
    <t xml:space="preserve">Depreciation of FA-0012 on 30 Sep 2023.</t>
  </si>
  <si>
    <t xml:space="preserve">Depreciation of FA-0019 on 30 Sep 2023.</t>
  </si>
  <si>
    <t xml:space="preserve">Depreciation of FA-0043 on 30 Sep 2023.</t>
  </si>
  <si>
    <t xml:space="preserve">Depreciation of FA-0044 on 30 Sep 2023.</t>
  </si>
  <si>
    <t xml:space="preserve">Depreciation of FA-0046 on 30 Sep 2023.</t>
  </si>
  <si>
    <t xml:space="preserve">Depreciation of FA-0047 on 30 Sep 2023.</t>
  </si>
  <si>
    <t xml:space="preserve">Depreciation of FA-0048 on 30 Sep 2023.</t>
  </si>
  <si>
    <t xml:space="preserve">Depreciation of FA-0049 on 30 Sep 2023.</t>
  </si>
  <si>
    <t xml:space="preserve">Depreciation of FA-0051 on 30 Sep 2023.</t>
  </si>
  <si>
    <t xml:space="preserve">Depreciation of FA-0052 on 30 Sep 2023.</t>
  </si>
  <si>
    <t xml:space="preserve">Depreciation of FA-0074 on 30 Sep 2023.</t>
  </si>
  <si>
    <t xml:space="preserve">Depreciation of FA-0075 on 30 Sep 2023.</t>
  </si>
  <si>
    <t xml:space="preserve">Depreciation of FA-0117 on 30 Sep 2023.</t>
  </si>
  <si>
    <t xml:space="preserve">Depreciation of FA-0012 on 31 Oct 2023.</t>
  </si>
  <si>
    <t xml:space="preserve">Depreciation of FA-0019 on 31 Oct 2023.</t>
  </si>
  <si>
    <t xml:space="preserve">Depreciation of FA-0043 on 31 Oct 2023.</t>
  </si>
  <si>
    <t xml:space="preserve">Depreciation of FA-0044 on 31 Oct 2023.</t>
  </si>
  <si>
    <t xml:space="preserve">Depreciation of FA-0046 on 31 Oct 2023.</t>
  </si>
  <si>
    <t xml:space="preserve">Depreciation of FA-0047 on 31 Oct 2023.</t>
  </si>
  <si>
    <t xml:space="preserve">Depreciation of FA-0048 on 31 Oct 2023.</t>
  </si>
  <si>
    <t xml:space="preserve">Depreciation of FA-0049 on 31 Oct 2023.</t>
  </si>
  <si>
    <t xml:space="preserve">Depreciation of FA-0051 on 31 Oct 2023.</t>
  </si>
  <si>
    <t xml:space="preserve">Depreciation of FA-0052 on 31 Oct 2023.</t>
  </si>
  <si>
    <t xml:space="preserve">Depreciation of FA-0074 on 31 Oct 2023.</t>
  </si>
  <si>
    <t xml:space="preserve">Depreciation of FA-0075 on 31 Oct 2023.</t>
  </si>
  <si>
    <t xml:space="preserve">Depreciation of FA-0113 on 31 Oct 2023.</t>
  </si>
  <si>
    <t xml:space="preserve">Depreciation of FA-0117 on 31 Oct 2023.</t>
  </si>
  <si>
    <t xml:space="preserve">Depreciation of FA-0012 on 30 Nov 2023.</t>
  </si>
  <si>
    <t xml:space="preserve">Depreciation of FA-0019 on 30 Nov 2023.</t>
  </si>
  <si>
    <t xml:space="preserve">Depreciation of FA-0043 on 30 Nov 2023.</t>
  </si>
  <si>
    <t xml:space="preserve">Depreciation of FA-0044 on 30 Nov 2023.</t>
  </si>
  <si>
    <t xml:space="preserve">Depreciation of FA-0046 on 30 Nov 2023.</t>
  </si>
  <si>
    <t xml:space="preserve">Depreciation of FA-0047 on 30 Nov 2023.</t>
  </si>
  <si>
    <t xml:space="preserve">Depreciation of FA-0048 on 30 Nov 2023.</t>
  </si>
  <si>
    <t xml:space="preserve">Depreciation of FA-0049 on 30 Nov 2023.</t>
  </si>
  <si>
    <t xml:space="preserve">Depreciation of FA-0051 on 30 Nov 2023.</t>
  </si>
  <si>
    <t xml:space="preserve">Depreciation of FA-0052 on 30 Nov 2023.</t>
  </si>
  <si>
    <t xml:space="preserve">Depreciation of FA-0074 on 30 Nov 2023.</t>
  </si>
  <si>
    <t xml:space="preserve">Depreciation of FA-0075 on 30 Nov 2023.</t>
  </si>
  <si>
    <t xml:space="preserve">Depreciation of FA-0113 on 30 Nov 2023.</t>
  </si>
  <si>
    <t xml:space="preserve">Depreciation of FA-0114 on 30 Nov 2023.</t>
  </si>
  <si>
    <t xml:space="preserve">Depreciation of FA-0117 on 30 Nov 2023.</t>
  </si>
  <si>
    <t xml:space="preserve">Depreciation of FA-0012 on 31 Dec 2023.</t>
  </si>
  <si>
    <t xml:space="preserve">Depreciation of FA-0019 on 31 Dec 2023.</t>
  </si>
  <si>
    <t xml:space="preserve">Depreciation of FA-0043 on 31 Dec 2023.</t>
  </si>
  <si>
    <t xml:space="preserve">Depreciation of FA-0044 on 31 Dec 2023.</t>
  </si>
  <si>
    <t xml:space="preserve">Depreciation of FA-0046 on 31 Dec 2023.</t>
  </si>
  <si>
    <t xml:space="preserve">Depreciation of FA-0047 on 31 Dec 2023.</t>
  </si>
  <si>
    <t xml:space="preserve">Depreciation of FA-0048 on 31 Dec 2023.</t>
  </si>
  <si>
    <t xml:space="preserve">Depreciation of FA-0049 on 31 Dec 2023.</t>
  </si>
  <si>
    <t xml:space="preserve">Depreciation of FA-0051 on 31 Dec 2023.</t>
  </si>
  <si>
    <t xml:space="preserve">Depreciation of FA-0052 on 31 Dec 2023.</t>
  </si>
  <si>
    <t xml:space="preserve">Depreciation of FA-0074 on 31 Dec 2023.</t>
  </si>
  <si>
    <t xml:space="preserve">Depreciation of FA-0075 on 31 Dec 2023.</t>
  </si>
  <si>
    <t xml:space="preserve">Depreciation of FA-0113 on 31 Dec 2023.</t>
  </si>
  <si>
    <t xml:space="preserve">Depreciation of FA-0114 on 31 Dec 2023.</t>
  </si>
  <si>
    <t xml:space="preserve">Depreciation of FA-0117 on 31 Dec 2023.</t>
  </si>
  <si>
    <t xml:space="preserve">Depreciation of FA-0118 on 31 Dec 2023.</t>
  </si>
  <si>
    <t xml:space="preserve">Depreciation of FA-0012 on 31 Jan 2024.</t>
  </si>
  <si>
    <t xml:space="preserve">Depreciation of FA-0019 on 31 Jan 2024.</t>
  </si>
  <si>
    <t xml:space="preserve">Depreciation of FA-0043 on 31 Jan 2024.</t>
  </si>
  <si>
    <t xml:space="preserve">Depreciation of FA-0044 on 31 Jan 2024.</t>
  </si>
  <si>
    <t xml:space="preserve">Depreciation of FA-0046 on 31 Jan 2024.</t>
  </si>
  <si>
    <t xml:space="preserve">Depreciation of FA-0047 on 31 Jan 2024.</t>
  </si>
  <si>
    <t xml:space="preserve">Depreciation of FA-0048 on 31 Jan 2024.</t>
  </si>
  <si>
    <t xml:space="preserve">Depreciation of FA-0049 on 31 Jan 2024.</t>
  </si>
  <si>
    <t xml:space="preserve">Depreciation of FA-0051 on 31 Jan 2024.</t>
  </si>
  <si>
    <t xml:space="preserve">Depreciation of FA-0052 on 31 Jan 2024.</t>
  </si>
  <si>
    <t xml:space="preserve">Depreciation of FA-0074 on 31 Jan 2024.</t>
  </si>
  <si>
    <t xml:space="preserve">Depreciation of FA-0075 on 31 Jan 2024.</t>
  </si>
  <si>
    <t xml:space="preserve">Depreciation of FA-0113 on 31 Jan 2024.</t>
  </si>
  <si>
    <t xml:space="preserve">Depreciation of FA-0114 on 31 Jan 2024.</t>
  </si>
  <si>
    <t xml:space="preserve">Depreciation of FA-0117 on 31 Jan 2024.</t>
  </si>
  <si>
    <t xml:space="preserve">Depreciation of FA-0118 on 31 Jan 2024.</t>
  </si>
  <si>
    <t xml:space="preserve">Depreciation of FA-0012 on 29 Feb 2024.</t>
  </si>
  <si>
    <t xml:space="preserve">Depreciation of FA-0019 on 29 Feb 2024.</t>
  </si>
  <si>
    <t xml:space="preserve">Depreciation of FA-0043 on 29 Feb 2024.</t>
  </si>
  <si>
    <t xml:space="preserve">Depreciation of FA-0044 on 29 Feb 2024.</t>
  </si>
  <si>
    <t xml:space="preserve">Depreciation of FA-0046 on 29 Feb 2024.</t>
  </si>
  <si>
    <t xml:space="preserve">Depreciation of FA-0047 on 29 Feb 2024.</t>
  </si>
  <si>
    <t xml:space="preserve">Depreciation of FA-0048 on 29 Feb 2024.</t>
  </si>
  <si>
    <t xml:space="preserve">Depreciation of FA-0049 on 29 Feb 2024.</t>
  </si>
  <si>
    <t xml:space="preserve">Depreciation of FA-0051 on 29 Feb 2024.</t>
  </si>
  <si>
    <t xml:space="preserve">Depreciation of FA-0052 on 29 Feb 2024.</t>
  </si>
  <si>
    <t xml:space="preserve">Depreciation of FA-0074 on 29 Feb 2024.</t>
  </si>
  <si>
    <t xml:space="preserve">Depreciation of FA-0075 on 29 Feb 2024.</t>
  </si>
  <si>
    <t xml:space="preserve">Depreciation of FA-0113 on 29 Feb 2024.</t>
  </si>
  <si>
    <t xml:space="preserve">Depreciation of FA-0114 on 29 Feb 2024.</t>
  </si>
  <si>
    <t xml:space="preserve">Depreciation of FA-0115 on 29 Feb 2024.</t>
  </si>
  <si>
    <t xml:space="preserve">Depreciation of FA-0117 on 29 Feb 2024.</t>
  </si>
  <si>
    <t xml:space="preserve">Depreciation of FA-0118 on 29 Feb 2024.</t>
  </si>
  <si>
    <t xml:space="preserve">Depreciation of FA-0012 on 31 Mar 2024.</t>
  </si>
  <si>
    <t xml:space="preserve">Depreciation of FA-0019 on 31 Mar 2024.</t>
  </si>
  <si>
    <t xml:space="preserve">Depreciation of FA-0043 on 31 Mar 2024.</t>
  </si>
  <si>
    <t xml:space="preserve">Depreciation of FA-0044 on 31 Mar 2024.</t>
  </si>
  <si>
    <t xml:space="preserve">Depreciation of FA-0046 on 31 Mar 2024.</t>
  </si>
  <si>
    <t xml:space="preserve">Depreciation of FA-0047 on 31 Mar 2024.</t>
  </si>
  <si>
    <t xml:space="preserve">Depreciation of FA-0048 on 31 Mar 2024.</t>
  </si>
  <si>
    <t xml:space="preserve">Depreciation of FA-0049 on 31 Mar 2024.</t>
  </si>
  <si>
    <t xml:space="preserve">Depreciation of FA-0051 on 31 Mar 2024.</t>
  </si>
  <si>
    <t xml:space="preserve">Depreciation of FA-0052 on 31 Mar 2024.</t>
  </si>
  <si>
    <t xml:space="preserve">Depreciation of FA-0074 on 31 Mar 2024.</t>
  </si>
  <si>
    <t xml:space="preserve">Depreciation of FA-0075 on 31 Mar 2024.</t>
  </si>
  <si>
    <t xml:space="preserve">Depreciation of FA-0111 on 31 Mar 2024.</t>
  </si>
  <si>
    <t xml:space="preserve">Depreciation of FA-0112 on 31 Mar 2024.</t>
  </si>
  <si>
    <t xml:space="preserve">Depreciation of FA-0113 on 31 Mar 2024.</t>
  </si>
  <si>
    <t xml:space="preserve">Depreciation of FA-0114 on 31 Mar 2024.</t>
  </si>
  <si>
    <t xml:space="preserve">Depreciation of FA-0115 on 31 Mar 2024.</t>
  </si>
  <si>
    <t xml:space="preserve">Depreciation of FA-0117 on 31 Mar 2024.</t>
  </si>
  <si>
    <t xml:space="preserve">Depreciation of FA-0118 on 31 Mar 2024.</t>
  </si>
  <si>
    <t xml:space="preserve">Depreciation of FA-0012 on 30 Apr 2024.</t>
  </si>
  <si>
    <t xml:space="preserve">Depreciation of FA-0019 on 30 Apr 2024.</t>
  </si>
  <si>
    <t xml:space="preserve">Depreciation of FA-0043 on 30 Apr 2024.</t>
  </si>
  <si>
    <t xml:space="preserve">Depreciation of FA-0044 on 30 Apr 2024.</t>
  </si>
  <si>
    <t xml:space="preserve">Depreciation of FA-0046 on 30 Apr 2024.</t>
  </si>
  <si>
    <t xml:space="preserve">Depreciation of FA-0047 on 30 Apr 2024.</t>
  </si>
  <si>
    <t xml:space="preserve">Depreciation of FA-0048 on 30 Apr 2024.</t>
  </si>
  <si>
    <t xml:space="preserve">Depreciation of FA-0049 on 30 Apr 2024.</t>
  </si>
  <si>
    <t xml:space="preserve">Depreciation of FA-0051 on 30 Apr 2024.</t>
  </si>
  <si>
    <t xml:space="preserve">Depreciation of FA-0052 on 30 Apr 2024.</t>
  </si>
  <si>
    <t xml:space="preserve">Depreciation of FA-0074 on 30 Apr 2024.</t>
  </si>
  <si>
    <t xml:space="preserve">Depreciation of FA-0075 on 30 Apr 2024.</t>
  </si>
  <si>
    <t xml:space="preserve">Depreciation of FA-0111 on 30 Apr 2024.</t>
  </si>
  <si>
    <t xml:space="preserve">Depreciation of FA-0112 on 30 Apr 2024.</t>
  </si>
  <si>
    <t xml:space="preserve">Depreciation of FA-0113 on 30 Apr 2024.</t>
  </si>
  <si>
    <t xml:space="preserve">Depreciation of FA-0114 on 30 Apr 2024.</t>
  </si>
  <si>
    <t xml:space="preserve">Depreciation of FA-0115 on 30 Apr 2024.</t>
  </si>
  <si>
    <t xml:space="preserve">Depreciation of FA-0117 on 30 Apr 2024.</t>
  </si>
  <si>
    <t xml:space="preserve">Depreciation of FA-0118 on 30 Apr 2024.</t>
  </si>
  <si>
    <t xml:space="preserve">Depreciation of FA-0012 on 31 May 2024.</t>
  </si>
  <si>
    <t xml:space="preserve">Depreciation of FA-0019 on 31 May 2024.</t>
  </si>
  <si>
    <t xml:space="preserve">Depreciation of FA-0043 on 31 May 2024.</t>
  </si>
  <si>
    <t xml:space="preserve">Depreciation of FA-0044 on 31 May 2024.</t>
  </si>
  <si>
    <t xml:space="preserve">Depreciation of FA-0046 on 31 May 2024.</t>
  </si>
  <si>
    <t xml:space="preserve">Depreciation of FA-0047 on 31 May 2024.</t>
  </si>
  <si>
    <t xml:space="preserve">Depreciation of FA-0048 on 31 May 2024.</t>
  </si>
  <si>
    <t xml:space="preserve">Depreciation of FA-0049 on 31 May 2024.</t>
  </si>
  <si>
    <t xml:space="preserve">Depreciation of FA-0051 on 31 May 2024.</t>
  </si>
  <si>
    <t xml:space="preserve">Depreciation of FA-0052 on 31 May 2024.</t>
  </si>
  <si>
    <t xml:space="preserve">Depreciation of FA-0074 on 31 May 2024.</t>
  </si>
  <si>
    <t xml:space="preserve">Depreciation of FA-0075 on 31 May 2024.</t>
  </si>
  <si>
    <t xml:space="preserve">Depreciation of FA-0111 on 31 May 2024.</t>
  </si>
  <si>
    <t xml:space="preserve">Depreciation of FA-0112 on 31 May 2024.</t>
  </si>
  <si>
    <t xml:space="preserve">Depreciation of FA-0113 on 31 May 2024.</t>
  </si>
  <si>
    <t xml:space="preserve">Depreciation of FA-0114 on 31 May 2024.</t>
  </si>
  <si>
    <t xml:space="preserve">Depreciation of FA-0115 on 31 May 2024.</t>
  </si>
  <si>
    <t xml:space="preserve">Depreciation of FA-0117 on 31 May 2024.</t>
  </si>
  <si>
    <t xml:space="preserve">Depreciation of FA-0118 on 31 May 2024.</t>
  </si>
  <si>
    <t xml:space="preserve">Depreciation of FA-0012 on 30 Jun 2024.</t>
  </si>
  <si>
    <t xml:space="preserve">Depreciation of FA-0019 on 30 Jun 2024.</t>
  </si>
  <si>
    <t xml:space="preserve">Depreciation of FA-0043 on 30 Jun 2024.</t>
  </si>
  <si>
    <t xml:space="preserve">Depreciation of FA-0044 on 30 Jun 2024.</t>
  </si>
  <si>
    <t xml:space="preserve">Depreciation of FA-0046 on 30 Jun 2024.</t>
  </si>
  <si>
    <t xml:space="preserve">Depreciation of FA-0047 on 30 Jun 2024.</t>
  </si>
  <si>
    <t xml:space="preserve">Depreciation of FA-0048 on 30 Jun 2024.</t>
  </si>
  <si>
    <t xml:space="preserve">Depreciation of FA-0049 on 30 Jun 2024.</t>
  </si>
  <si>
    <t xml:space="preserve">Depreciation of FA-0051 on 30 Jun 2024.</t>
  </si>
  <si>
    <t xml:space="preserve">Depreciation of FA-0052 on 30 Jun 2024.</t>
  </si>
  <si>
    <t xml:space="preserve">Depreciation of FA-0074 on 30 Jun 2024.</t>
  </si>
  <si>
    <t xml:space="preserve">Depreciation of FA-0075 on 30 Jun 2024.</t>
  </si>
  <si>
    <t xml:space="preserve">Depreciation of FA-0111 on 30 Jun 2024.</t>
  </si>
  <si>
    <t xml:space="preserve">Depreciation of FA-0112 on 30 Jun 2024.</t>
  </si>
  <si>
    <t xml:space="preserve">Depreciation of FA-0113 on 30 Jun 2024.</t>
  </si>
  <si>
    <t xml:space="preserve">Depreciation of FA-0114 on 30 Jun 2024.</t>
  </si>
  <si>
    <t xml:space="preserve">Depreciation of FA-0115 on 30 Jun 2024.</t>
  </si>
  <si>
    <t xml:space="preserve">Depreciation of FA-0116 on 30 Jun 2024.</t>
  </si>
  <si>
    <t xml:space="preserve">Depreciation of FA-0117 on 30 Jun 2024.</t>
  </si>
  <si>
    <t xml:space="preserve">Depreciation of FA-0118 on 30 Jun 2024.</t>
  </si>
  <si>
    <t xml:space="preserve">Depreciation of FA-0119 on 30 Jun 2024.</t>
  </si>
  <si>
    <t xml:space="preserve">Total 416 - Depreciation</t>
  </si>
  <si>
    <t xml:space="preserve">420 - Entertainment</t>
  </si>
  <si>
    <t xml:space="preserve">420</t>
  </si>
  <si>
    <t xml:space="preserve">Sandstone Point Hotel - Meeting Room Costs</t>
  </si>
  <si>
    <t xml:space="preserve">Sandstone Point Hotel - In-Person Meeting Drinks</t>
  </si>
  <si>
    <t xml:space="preserve">Rick Shores - Staff Lunch</t>
  </si>
  <si>
    <t xml:space="preserve">Maya - Staff Lunch</t>
  </si>
  <si>
    <t xml:space="preserve">The Malaya - Staff Dinner SYD</t>
  </si>
  <si>
    <t xml:space="preserve">Kinn - Staff Lunch</t>
  </si>
  <si>
    <t xml:space="preserve">Korilla BBQ - Staff Lunch</t>
  </si>
  <si>
    <t xml:space="preserve">Walters Steakhouse - Staff Xmas</t>
  </si>
  <si>
    <t xml:space="preserve">Games Workshop - Staff Gift Card</t>
  </si>
  <si>
    <t xml:space="preserve">Liam Duffy - Staff Lunch</t>
  </si>
  <si>
    <t xml:space="preserve">Event Cinemas - Team Activity</t>
  </si>
  <si>
    <t xml:space="preserve">Taste of Singapore - Staff Lunch</t>
  </si>
  <si>
    <t xml:space="preserve">Brisbane Brewing Co - Staff Team Meeting Lunch after Photographers</t>
  </si>
  <si>
    <t xml:space="preserve">AXS - LA Concert Ticket </t>
  </si>
  <si>
    <t xml:space="preserve">AXS - Ticket Insurance</t>
  </si>
  <si>
    <t xml:space="preserve">Riceboi - Staff Meeting Lunch</t>
  </si>
  <si>
    <t xml:space="preserve">TicketMaster - Staff Football Picnic Day</t>
  </si>
  <si>
    <t xml:space="preserve">Kinn - Team Lunch</t>
  </si>
  <si>
    <t xml:space="preserve">Holmans: A14 To reverse GST on entertainment transactions</t>
  </si>
  <si>
    <t xml:space="preserve">#23105</t>
  </si>
  <si>
    <t xml:space="preserve">Total 420 - Entertainment</t>
  </si>
  <si>
    <t xml:space="preserve">421 - Employee Reimbursements</t>
  </si>
  <si>
    <t xml:space="preserve">421</t>
  </si>
  <si>
    <t xml:space="preserve">Liam Duffy - Electricity Bill</t>
  </si>
  <si>
    <t xml:space="preserve">Holmans: A10 To reallocate employee reimbursements from rent</t>
  </si>
  <si>
    <t xml:space="preserve">#23065</t>
  </si>
  <si>
    <t xml:space="preserve">Total 421 - Employee Reimbursements</t>
  </si>
  <si>
    <t xml:space="preserve">425 - Freight &amp; Courier</t>
  </si>
  <si>
    <t xml:space="preserve">425</t>
  </si>
  <si>
    <t xml:space="preserve">MYUS - US Freight Charges</t>
  </si>
  <si>
    <t xml:space="preserve">4Cabling - Freight Charges 27/07</t>
  </si>
  <si>
    <t xml:space="preserve">Callum Duffy (callum@smbsolutions.com.au) - Australia Post - Abrolhos Steel DUO Token Postage</t>
  </si>
  <si>
    <t xml:space="preserve">MYUS - MYUS Freight</t>
  </si>
  <si>
    <t xml:space="preserve">AusPost - AU Postage</t>
  </si>
  <si>
    <t xml:space="preserve">AusPost - AusPost Postage Charges</t>
  </si>
  <si>
    <t xml:space="preserve">VAT IT USA - Germany Server Freight, Courier &amp; Import Duties</t>
  </si>
  <si>
    <t xml:space="preserve">Liam Duffy (liam@smbsolutions.com.au) - Australia Post - laptop postage tasman</t>
  </si>
  <si>
    <t xml:space="preserve">MYUS - MyUS Freight Charges</t>
  </si>
  <si>
    <t xml:space="preserve">Liam Duffy (liam@smbsolutions.com.au) - Australia Post - DUO Token Shipping</t>
  </si>
  <si>
    <t xml:space="preserve">Liam Duffy (liam@smbsolutions.com.au) - Australia Post - DUO Token Shipping Germany</t>
  </si>
  <si>
    <t xml:space="preserve">VAT IT USA - Munich Server Freight, Courier &amp; Import Duties</t>
  </si>
  <si>
    <t xml:space="preserve">Liam Duffy (liam@smbsolutions.com.au) - Australian Post - 3 x Postage for DUO Token</t>
  </si>
  <si>
    <t xml:space="preserve">MYUS - US Postage Charges</t>
  </si>
  <si>
    <t xml:space="preserve">ACT Networks - Shipping 4x Dell R840 servers to LA with Fedex</t>
  </si>
  <si>
    <t xml:space="preserve">00023941</t>
  </si>
  <si>
    <t xml:space="preserve">Total 425 - Freight &amp; Courier</t>
  </si>
  <si>
    <t xml:space="preserve">429 - General Expenses</t>
  </si>
  <si>
    <t xml:space="preserve">429</t>
  </si>
  <si>
    <t xml:space="preserve">Sandstone Point Hotel - Booking Fee for In-Person Team Meeting Space</t>
  </si>
  <si>
    <t xml:space="preserve">Dominos - Office Food</t>
  </si>
  <si>
    <t xml:space="preserve">Holmans: A11 To reallocate general expenses in line with PY</t>
  </si>
  <si>
    <t xml:space="preserve">#23066</t>
  </si>
  <si>
    <t xml:space="preserve">Total 429 - General Expenses</t>
  </si>
  <si>
    <t xml:space="preserve">433 - Insurance</t>
  </si>
  <si>
    <t xml:space="preserve">433</t>
  </si>
  <si>
    <t xml:space="preserve">Marsh Advantage Insurance - Business Pack Insurance</t>
  </si>
  <si>
    <t xml:space="preserve">020-1450800</t>
  </si>
  <si>
    <t xml:space="preserve">Marsh Advantage Insurance - Information Technology Annual Renewal</t>
  </si>
  <si>
    <t xml:space="preserve">020-1461815</t>
  </si>
  <si>
    <t xml:space="preserve">Total 433 - Insurance</t>
  </si>
  <si>
    <t xml:space="preserve">434 - Employee Insurance</t>
  </si>
  <si>
    <t xml:space="preserve">434</t>
  </si>
  <si>
    <t xml:space="preserve">Workcover Queensland - Annual Accident Insurance Policy until 30 June 2024</t>
  </si>
  <si>
    <t xml:space="preserve">WSB190679156</t>
  </si>
  <si>
    <t xml:space="preserve">Workcover Queensland - workplace personal injury insurance policy </t>
  </si>
  <si>
    <t xml:space="preserve">Workcover Queensland - Accident Insurance for Managememnt</t>
  </si>
  <si>
    <t xml:space="preserve">Total 434 - Employee Insurance</t>
  </si>
  <si>
    <t xml:space="preserve">437 - Interest Expense</t>
  </si>
  <si>
    <t xml:space="preserve">437</t>
  </si>
  <si>
    <t xml:space="preserve">Duffy Patton Super Fund - Interest Repayment</t>
  </si>
  <si>
    <t xml:space="preserve">Duffy Patton Super Fund - Interest Payment</t>
  </si>
  <si>
    <t xml:space="preserve">Total 437 - Interest Expense</t>
  </si>
  <si>
    <t xml:space="preserve">441 - Filing Fees</t>
  </si>
  <si>
    <t xml:space="preserve">441</t>
  </si>
  <si>
    <t xml:space="preserve">Total 441 - Filing Fees</t>
  </si>
  <si>
    <t xml:space="preserve">449 - Motor Vehicle Expenses</t>
  </si>
  <si>
    <t xml:space="preserve">449</t>
  </si>
  <si>
    <t xml:space="preserve">United - SYD Fuel</t>
  </si>
  <si>
    <t xml:space="preserve">Liam Duffy - Petrol</t>
  </si>
  <si>
    <t xml:space="preserve">Star Car Wash - Car Wash x 2</t>
  </si>
  <si>
    <t xml:space="preserve">Total 449 - Motor Vehicle Expenses</t>
  </si>
  <si>
    <t xml:space="preserve">450 - Software Purchases</t>
  </si>
  <si>
    <t xml:space="preserve">450</t>
  </si>
  <si>
    <t xml:space="preserve">Dart Innovations - Custom MS RDS 2022 Web Access + Web Client Branding with Custom Features</t>
  </si>
  <si>
    <t xml:space="preserve">1262/2023-24</t>
  </si>
  <si>
    <t xml:space="preserve">Total 450 - Software Purchases</t>
  </si>
  <si>
    <t xml:space="preserve">451 - Software Licenses</t>
  </si>
  <si>
    <t xml:space="preserve">451</t>
  </si>
  <si>
    <t xml:space="preserve">Word Press - WPML Wanchai Plugin</t>
  </si>
  <si>
    <t xml:space="preserve">GoDaddy - SAPBUSINESSONECLOUD .APP and .NET Domain Renewals</t>
  </si>
  <si>
    <t xml:space="preserve">GoDaddy - SAPBUSINESSONECLOUD .COM.AU Domain Renewal</t>
  </si>
  <si>
    <t xml:space="preserve">Envato - ThemeForest Avada ThemeFusion License</t>
  </si>
  <si>
    <t xml:space="preserve">Yoast B.V - MyYoast Premium SMBSCS Website</t>
  </si>
  <si>
    <t xml:space="preserve">Notepad++ - Notepad++ Freeware Donation</t>
  </si>
  <si>
    <t xml:space="preserve">Cloud Linux - Cloud Linux Software License</t>
  </si>
  <si>
    <t xml:space="preserve">GoDaddy - SMBCLOUDERP SMBERPCLOUD Domain Renewals</t>
  </si>
  <si>
    <t xml:space="preserve">GoDaddy - sapbusinessonecloud.ai  sapbusinessoneai.com Domain Registration</t>
  </si>
  <si>
    <t xml:space="preserve">GoDaddy - 2YR Domain Renewal  smecloud.ai</t>
  </si>
  <si>
    <t xml:space="preserve">Woo Commerce - Local Pick Up Plus 1yr Renewal</t>
  </si>
  <si>
    <t xml:space="preserve">Woo Commerce - Checkout Field Editor 1yr Renewal</t>
  </si>
  <si>
    <t xml:space="preserve">GoDaddy - ejmenvironmental.com.au 3yr domain renewal - Tasman Waters</t>
  </si>
  <si>
    <t xml:space="preserve">Total 451 - Software Licenses</t>
  </si>
  <si>
    <t xml:space="preserve">453 - Office Expenses</t>
  </si>
  <si>
    <t xml:space="preserve">453</t>
  </si>
  <si>
    <t xml:space="preserve">Coles - Groceries</t>
  </si>
  <si>
    <t xml:space="preserve">Petstock - Treats for office dogs</t>
  </si>
  <si>
    <t xml:space="preserve">Liam Duffy - BNE Office Electricity Payment</t>
  </si>
  <si>
    <t xml:space="preserve">Corporate Work Health Australia - 2 x Remote/Home Ergonomic &amp; Safety Risk Assessment - Liam and Callum new offices</t>
  </si>
  <si>
    <t xml:space="preserve">INV-003902</t>
  </si>
  <si>
    <t xml:space="preserve">Holmans: A1 To make reallocations from office equipment</t>
  </si>
  <si>
    <t xml:space="preserve">#23001</t>
  </si>
  <si>
    <t xml:space="preserve">Holmans: A2 To make reallocations from computer equipment</t>
  </si>
  <si>
    <t xml:space="preserve">#23003</t>
  </si>
  <si>
    <t xml:space="preserve">Total 453 - Office Expenses</t>
  </si>
  <si>
    <t xml:space="preserve">462 - Uniforms &amp; Safety Clothing</t>
  </si>
  <si>
    <t xml:space="preserve">462</t>
  </si>
  <si>
    <t xml:space="preserve">Sunshac - Sunglasses</t>
  </si>
  <si>
    <t xml:space="preserve">Strandbags - Laptop Backpack and Carry on</t>
  </si>
  <si>
    <t xml:space="preserve">Total 462 - Uniforms &amp; Safety Clothing</t>
  </si>
  <si>
    <t xml:space="preserve">469 - Rent</t>
  </si>
  <si>
    <t xml:space="preserve">469</t>
  </si>
  <si>
    <t xml:space="preserve">Payroll Expense</t>
  </si>
  <si>
    <t xml:space="preserve">Reimbursements</t>
  </si>
  <si>
    <t xml:space="preserve">Payroll Expense Journal - PD-278</t>
  </si>
  <si>
    <t xml:space="preserve">Ohana Remax Realty - BNE Office Monthly Rent</t>
  </si>
  <si>
    <t xml:space="preserve">Payroll Expense Journal - PD-279</t>
  </si>
  <si>
    <t xml:space="preserve">Payroll Expense Journal - PD-281</t>
  </si>
  <si>
    <t xml:space="preserve">Payroll Expense Journal - PD-282</t>
  </si>
  <si>
    <t xml:space="preserve">Payroll Expense Journal - PD-283</t>
  </si>
  <si>
    <t xml:space="preserve">Payroll Expense Journal - PD-284</t>
  </si>
  <si>
    <t xml:space="preserve">Payroll Expense Journal - PD-285</t>
  </si>
  <si>
    <t xml:space="preserve">Payroll Expense Journal - PD-286</t>
  </si>
  <si>
    <t xml:space="preserve">Payroll Expense Journal - PD-287</t>
  </si>
  <si>
    <t xml:space="preserve">Payroll Expense Journal - PD-288</t>
  </si>
  <si>
    <t xml:space="preserve">Payroll Expense Journal - PD-289</t>
  </si>
  <si>
    <t xml:space="preserve">Payroll Expense Journal - PD-290</t>
  </si>
  <si>
    <t xml:space="preserve">Payroll Expense Journal - PD-291</t>
  </si>
  <si>
    <t xml:space="preserve">Payroll Expense Journal - PD-292</t>
  </si>
  <si>
    <t xml:space="preserve">Payroll Expense Journal - PD-293</t>
  </si>
  <si>
    <t xml:space="preserve">Payroll Expense Journal - PD-294</t>
  </si>
  <si>
    <t xml:space="preserve">Payroll Expense Journal - PD-295</t>
  </si>
  <si>
    <t xml:space="preserve">Payroll Expense Journal - PD-296</t>
  </si>
  <si>
    <t xml:space="preserve">Ohana Remax Realty - BNE Monthly Office Rent</t>
  </si>
  <si>
    <t xml:space="preserve">Payroll Expense Journal - PD-297</t>
  </si>
  <si>
    <t xml:space="preserve">Payroll Expense Journal - PD-298</t>
  </si>
  <si>
    <t xml:space="preserve">Payroll Expense Journal - PD-299</t>
  </si>
  <si>
    <t xml:space="preserve">Payroll Expense Journal - PD-300</t>
  </si>
  <si>
    <t xml:space="preserve">Payroll Expense Journal - PD-301</t>
  </si>
  <si>
    <t xml:space="preserve">Payroll Expense Journal - PD-302</t>
  </si>
  <si>
    <t xml:space="preserve">Payroll Expense Journal - PD-303</t>
  </si>
  <si>
    <t xml:space="preserve">Payroll Expense Journal - PD-304</t>
  </si>
  <si>
    <t xml:space="preserve">Payroll Expense Journal - PD-305</t>
  </si>
  <si>
    <t xml:space="preserve">Payroll Expense Journal - PD-306</t>
  </si>
  <si>
    <t xml:space="preserve">Payroll Expense Journal - PD-307</t>
  </si>
  <si>
    <t xml:space="preserve">Payroll Expense Journal - PD-308</t>
  </si>
  <si>
    <t xml:space="preserve">Payroll Expense Journal - PD-309</t>
  </si>
  <si>
    <t xml:space="preserve">Payroll Expense Journal - PD-310</t>
  </si>
  <si>
    <t xml:space="preserve">Payroll Expense Journal - PD-311</t>
  </si>
  <si>
    <t xml:space="preserve">Payroll Expense Journal - PD-312</t>
  </si>
  <si>
    <t xml:space="preserve">Payroll Expense Journal - PD-313</t>
  </si>
  <si>
    <t xml:space="preserve">Ohana Remax Realty - Monthly BNE Office Rent</t>
  </si>
  <si>
    <t xml:space="preserve">Payroll Expense Journal - PD-314</t>
  </si>
  <si>
    <t xml:space="preserve">Payroll Expense Journal - PD-315</t>
  </si>
  <si>
    <t xml:space="preserve">Payroll Expense Journal - PD-316</t>
  </si>
  <si>
    <t xml:space="preserve">Payroll Expense Journal - PD-317</t>
  </si>
  <si>
    <t xml:space="preserve">Payroll Expense Journal - PD-318</t>
  </si>
  <si>
    <t xml:space="preserve">Payroll Expense Journal - PD-319</t>
  </si>
  <si>
    <t xml:space="preserve">Payroll Expense Journal - PD-320</t>
  </si>
  <si>
    <t xml:space="preserve">Payroll Expense Journal - PD-321</t>
  </si>
  <si>
    <t xml:space="preserve">Payroll Expense Journal - PD-322</t>
  </si>
  <si>
    <t xml:space="preserve">Payroll Expense Journal - PD-323</t>
  </si>
  <si>
    <t xml:space="preserve">Ohana Remax Realty - BNE Office Final Rent Payment</t>
  </si>
  <si>
    <t xml:space="preserve">Ohana Remax Realty - BNE Office Final Rent</t>
  </si>
  <si>
    <t xml:space="preserve">Total 469 - Rent</t>
  </si>
  <si>
    <t xml:space="preserve">473 - Repairs and Maintenance</t>
  </si>
  <si>
    <t xml:space="preserve">473</t>
  </si>
  <si>
    <t xml:space="preserve">Noosa Auto and Marine - Car Roof Repairs</t>
  </si>
  <si>
    <t xml:space="preserve">Total 473 - Repairs and Maintenance</t>
  </si>
  <si>
    <t xml:space="preserve">477 - Wages and Salaries</t>
  </si>
  <si>
    <t xml:space="preserve">477</t>
  </si>
  <si>
    <t xml:space="preserve">Earnings</t>
  </si>
  <si>
    <t xml:space="preserve">Payroll Expense Journal - PD-280</t>
  </si>
  <si>
    <t xml:space="preserve">Callum Duffy - 2023 FY Tax Payout</t>
  </si>
  <si>
    <t xml:space="preserve">Liam Duffy - 2023 FY Tax Payout</t>
  </si>
  <si>
    <t xml:space="preserve">Liam Duffy - Weekly Pay</t>
  </si>
  <si>
    <t xml:space="preserve">Taylor Pretty - Weekly Pay</t>
  </si>
  <si>
    <t xml:space="preserve">Payroll Expense Journal - PD-324</t>
  </si>
  <si>
    <t xml:space="preserve">Payroll Expense Journal - PD-325</t>
  </si>
  <si>
    <t xml:space="preserve">Payroll Expense Journal - PD-326</t>
  </si>
  <si>
    <t xml:space="preserve">Payroll Expense Journal - PD-327</t>
  </si>
  <si>
    <t xml:space="preserve">Payroll Expense Journal - PD-328</t>
  </si>
  <si>
    <t xml:space="preserve">Payroll Expense Journal - PD-329</t>
  </si>
  <si>
    <t xml:space="preserve">Payroll Expense Journal - PD-330</t>
  </si>
  <si>
    <t xml:space="preserve">Payroll Expense Journal - PD-332</t>
  </si>
  <si>
    <t xml:space="preserve">Payroll Expense Journal - PD-333</t>
  </si>
  <si>
    <t xml:space="preserve">Holmans: A12 To reallocate personal tax from wages</t>
  </si>
  <si>
    <t xml:space="preserve">#23067</t>
  </si>
  <si>
    <t xml:space="preserve">Holmans: A15 To reconcile wages and salaries per payroll</t>
  </si>
  <si>
    <t xml:space="preserve">#23106</t>
  </si>
  <si>
    <t xml:space="preserve">Total 477 - Wages and Salaries</t>
  </si>
  <si>
    <t xml:space="preserve">478 - Superannuation</t>
  </si>
  <si>
    <t xml:space="preserve">478</t>
  </si>
  <si>
    <t xml:space="preserve">Holmans: Jnl to reverse 2023 super creditor against super expense - Holmans: Jnl to reverse 2023 super creditor against super expense </t>
  </si>
  <si>
    <t xml:space="preserve">#23734</t>
  </si>
  <si>
    <t xml:space="preserve">Superannuation Expense</t>
  </si>
  <si>
    <t xml:space="preserve">Total 478 - Superannuation</t>
  </si>
  <si>
    <t xml:space="preserve">485 - Software Subscriptions - Operational</t>
  </si>
  <si>
    <t xml:space="preserve">485</t>
  </si>
  <si>
    <t xml:space="preserve">RDPSoft - RDPSoft Subscription</t>
  </si>
  <si>
    <t xml:space="preserve">Password Link - Password Link Subscription</t>
  </si>
  <si>
    <t xml:space="preserve">Dropbox Australia Pty Ltd - Dropbox Subscription</t>
  </si>
  <si>
    <t xml:space="preserve">Apple - Apple Subscription</t>
  </si>
  <si>
    <t xml:space="preserve">Password Boss - MSP Bronze July 2023</t>
  </si>
  <si>
    <t xml:space="preserve">17900</t>
  </si>
  <si>
    <t xml:space="preserve">Password Boss - Autoelevate Plan July 2023</t>
  </si>
  <si>
    <t xml:space="preserve">18205</t>
  </si>
  <si>
    <t xml:space="preserve">LinkedIn - LinkedIn Subscription</t>
  </si>
  <si>
    <t xml:space="preserve">IStock - iStock Subscription July 2023</t>
  </si>
  <si>
    <t xml:space="preserve">2372310</t>
  </si>
  <si>
    <t xml:space="preserve">Amazon Prime - Amazon Prime Subscription</t>
  </si>
  <si>
    <t xml:space="preserve">GoDaddy - .AU Domain Renewal (smbsolutions.com.au)</t>
  </si>
  <si>
    <t xml:space="preserve">triCerat - May 2023 MSP Monthly Usage</t>
  </si>
  <si>
    <t xml:space="preserve">244498</t>
  </si>
  <si>
    <t xml:space="preserve">Microsoft - Microsoft Subscription wo Receipt</t>
  </si>
  <si>
    <t xml:space="preserve">Audible - Audible Subscription</t>
  </si>
  <si>
    <t xml:space="preserve">Atlassian - Atlassian Statuspage Subscription</t>
  </si>
  <si>
    <t xml:space="preserve">Alluvia - Alluvia Platform Subscription</t>
  </si>
  <si>
    <t xml:space="preserve">Kindle - Kindle Subscription</t>
  </si>
  <si>
    <t xml:space="preserve">Spotify - Spotify Subscription</t>
  </si>
  <si>
    <t xml:space="preserve">triCerat - June 2023 MSP Usage</t>
  </si>
  <si>
    <t xml:space="preserve">244586</t>
  </si>
  <si>
    <t xml:space="preserve">Google - YouTube Premium Subscription</t>
  </si>
  <si>
    <t xml:space="preserve">Kindle - Kindle US Subscription</t>
  </si>
  <si>
    <t xml:space="preserve">Microsoft - Azure Active Directory Premium P2 July/August 2023</t>
  </si>
  <si>
    <t xml:space="preserve">E0800OAOH5</t>
  </si>
  <si>
    <t xml:space="preserve">Microsoft - Office 365 E3 June/July 2023</t>
  </si>
  <si>
    <t xml:space="preserve">E0800OALJI</t>
  </si>
  <si>
    <t xml:space="preserve">Microsoft - Visio Plan 2 July 2023</t>
  </si>
  <si>
    <t xml:space="preserve">E0800OAIY4</t>
  </si>
  <si>
    <t xml:space="preserve">Microsoft - Microsoft 365 Business Premium July 2023</t>
  </si>
  <si>
    <t xml:space="preserve">E0800OAIY3</t>
  </si>
  <si>
    <t xml:space="preserve">Microsoft - Microsoft 365 Apps for enterprise July 2023</t>
  </si>
  <si>
    <t xml:space="preserve">E0800OAFW1</t>
  </si>
  <si>
    <t xml:space="preserve">Microsoft - Exchange Online (Plan 1) June/July 2023</t>
  </si>
  <si>
    <t xml:space="preserve">E0800OAFW0</t>
  </si>
  <si>
    <t xml:space="preserve">Microsoft - Microsoft 365 Business Basic July 2023</t>
  </si>
  <si>
    <t xml:space="preserve">E0800OAFVZ</t>
  </si>
  <si>
    <t xml:space="preserve">Microsoft - Office 365 E5 without Audio Conferencing July 2023</t>
  </si>
  <si>
    <t xml:space="preserve">E0800OADOY</t>
  </si>
  <si>
    <t xml:space="preserve">The Tech Tribe - Tech Tribe Subscription</t>
  </si>
  <si>
    <t xml:space="preserve">GoDaddy - GoDaddy Domain Renewals</t>
  </si>
  <si>
    <t xml:space="preserve">Bandcamp - On Hold Music</t>
  </si>
  <si>
    <t xml:space="preserve">Fairfax - Fairfax Subscription</t>
  </si>
  <si>
    <t xml:space="preserve">ChatGPT - ChatGPT Subscription</t>
  </si>
  <si>
    <t xml:space="preserve">OPMC - EducommIT Firewall</t>
  </si>
  <si>
    <t xml:space="preserve">Netflix - Netflix Subscription AU</t>
  </si>
  <si>
    <t xml:space="preserve">Netflix - Netflix Subscription US</t>
  </si>
  <si>
    <t xml:space="preserve">New York Times - NY Times Subscription</t>
  </si>
  <si>
    <t xml:space="preserve">WP Rocket - WP Rocket Plugin</t>
  </si>
  <si>
    <t xml:space="preserve">Netgear - Armor Security 1yr</t>
  </si>
  <si>
    <t xml:space="preserve">MAUS Software - Complete Business Pack July/August 2023</t>
  </si>
  <si>
    <t xml:space="preserve">Adobe - Adobe product subscription</t>
  </si>
  <si>
    <t xml:space="preserve">Harvey Norman - Bose Portable Black Speaker</t>
  </si>
  <si>
    <t xml:space="preserve">1797280</t>
  </si>
  <si>
    <t xml:space="preserve">Xero Aust Pty Ltd - Xero Subscription</t>
  </si>
  <si>
    <t xml:space="preserve">Content Pros - Content Pros Subscription</t>
  </si>
  <si>
    <t xml:space="preserve">Dropbox Australia Pty Ltd - DropBox Subscription</t>
  </si>
  <si>
    <t xml:space="preserve">Password Link - Password Link Subscription EU</t>
  </si>
  <si>
    <t xml:space="preserve">CyberFox - AutoElevate 100 Agents Plan August 2023</t>
  </si>
  <si>
    <t xml:space="preserve">19585</t>
  </si>
  <si>
    <t xml:space="preserve">CyberFox - MSP Bronze August 2023</t>
  </si>
  <si>
    <t xml:space="preserve">19276</t>
  </si>
  <si>
    <t xml:space="preserve">VentraIP - Brisbane Money Management Annual Domain Renewal</t>
  </si>
  <si>
    <t xml:space="preserve">12401202</t>
  </si>
  <si>
    <t xml:space="preserve">cPanel - CPanel Subscription</t>
  </si>
  <si>
    <t xml:space="preserve">Word Press - WPML Plugin Renewal</t>
  </si>
  <si>
    <t xml:space="preserve">Grammarly - Grammarly Subscription</t>
  </si>
  <si>
    <t xml:space="preserve">OnTheGo Systems - Website Plugin Renewal</t>
  </si>
  <si>
    <t xml:space="preserve">Docusign - Docusign Annual Subscription</t>
  </si>
  <si>
    <t xml:space="preserve">Word Press - WP Forms Elite Annual Renewal</t>
  </si>
  <si>
    <t xml:space="preserve">2567745</t>
  </si>
  <si>
    <t xml:space="preserve">Skype - Skype Subscription</t>
  </si>
  <si>
    <t xml:space="preserve">LivePlan - LivePlan Subscription</t>
  </si>
  <si>
    <t xml:space="preserve">Microsoft - Visio Plan 2 August 2023</t>
  </si>
  <si>
    <t xml:space="preserve">E0800OP3LE</t>
  </si>
  <si>
    <t xml:space="preserve">Microsoft - Microsoft 365 Business Premium August 2023</t>
  </si>
  <si>
    <t xml:space="preserve">E0800OP3LD</t>
  </si>
  <si>
    <t xml:space="preserve">Microsoft - Exchange Online (Plan 1) July/August 2023</t>
  </si>
  <si>
    <t xml:space="preserve">E0800OP23U</t>
  </si>
  <si>
    <t xml:space="preserve">Microsoft - Office 365 E5 without Audio Conferencing August 2023</t>
  </si>
  <si>
    <t xml:space="preserve">E0800OP0W7</t>
  </si>
  <si>
    <t xml:space="preserve">Microsoft - Azure Active Directory Premium P2 August/September 2023</t>
  </si>
  <si>
    <t xml:space="preserve">E0800OP0VK</t>
  </si>
  <si>
    <t xml:space="preserve">Microsoft - Microsoft 365 Business Basic August 2023</t>
  </si>
  <si>
    <t xml:space="preserve">E0800OP0IC</t>
  </si>
  <si>
    <t xml:space="preserve">Microsoft - Office 365 E3 July/August 2023</t>
  </si>
  <si>
    <t xml:space="preserve">E0800OOXXA</t>
  </si>
  <si>
    <t xml:space="preserve">Microsoft - Microsoft 365 Apps for enterprise August 2023</t>
  </si>
  <si>
    <t xml:space="preserve">E0800OOXUB</t>
  </si>
  <si>
    <t xml:space="preserve">The Tech Tribe - The Tech Tribe Subscription</t>
  </si>
  <si>
    <t xml:space="preserve">Techsmith - Camtasia Upgrade Maintenance</t>
  </si>
  <si>
    <t xml:space="preserve">triCerat - Tricerat Overdue Payment</t>
  </si>
  <si>
    <t xml:space="preserve">MAUS Software - Complete Business Pack August/September 2023</t>
  </si>
  <si>
    <t xml:space="preserve">5717</t>
  </si>
  <si>
    <t xml:space="preserve">WP Rocket - WP Rocket Lyon</t>
  </si>
  <si>
    <t xml:space="preserve">WP Rocket - Website Caching</t>
  </si>
  <si>
    <t xml:space="preserve">Xero Australia Pty Ltd - Xero Subscription</t>
  </si>
  <si>
    <t xml:space="preserve">CyberFox - AutoElevate September 2023</t>
  </si>
  <si>
    <t xml:space="preserve">21021</t>
  </si>
  <si>
    <t xml:space="preserve">Word Press - Word Press Software Subscription</t>
  </si>
  <si>
    <t xml:space="preserve">CyberFox - MSP Bronze September 2023</t>
  </si>
  <si>
    <t xml:space="preserve">Avoxi - Avoxi Subscription</t>
  </si>
  <si>
    <t xml:space="preserve">Word Press - WPML Plugin Subscription</t>
  </si>
  <si>
    <t xml:space="preserve">IStock - iStock Subscription</t>
  </si>
  <si>
    <t xml:space="preserve">triCerat - MSP Monthly Usage August 2023</t>
  </si>
  <si>
    <t xml:space="preserve">244766</t>
  </si>
  <si>
    <t xml:space="preserve">Microsoft - Microsoft Entra ID P2</t>
  </si>
  <si>
    <t xml:space="preserve">E0800P3M2X</t>
  </si>
  <si>
    <t xml:space="preserve">Microsoft - Exchange Online (Plan 1) August/September 2023</t>
  </si>
  <si>
    <t xml:space="preserve">E0800P3JT8</t>
  </si>
  <si>
    <t xml:space="preserve">Microsoft - Office 365 E3 August/September 2023</t>
  </si>
  <si>
    <t xml:space="preserve">E0800P3HNJ</t>
  </si>
  <si>
    <t xml:space="preserve">Microsoft - Office 365 E5 without Audio Conferencing August/September 2023</t>
  </si>
  <si>
    <t xml:space="preserve">E0800P3HNI</t>
  </si>
  <si>
    <t xml:space="preserve">Microsoft - Microsoft 365 Apps for enterprise September 2023</t>
  </si>
  <si>
    <t xml:space="preserve">E0800P3HL4</t>
  </si>
  <si>
    <t xml:space="preserve">Microsoft - Visio Plan 2 September 2023</t>
  </si>
  <si>
    <t xml:space="preserve">E0800P3GJJ</t>
  </si>
  <si>
    <t xml:space="preserve">Microsoft - Microsoft 365 Business Basic September 2023</t>
  </si>
  <si>
    <t xml:space="preserve">E0800P3GJI</t>
  </si>
  <si>
    <t xml:space="preserve">Microsoft - Microsoft 365 Business Premium September 2023</t>
  </si>
  <si>
    <t xml:space="preserve">E0800P3GJH</t>
  </si>
  <si>
    <t xml:space="preserve">Splashtop Software - Splashtop Software Subscription</t>
  </si>
  <si>
    <t xml:space="preserve">MAUS Software - Complete Business Pack September/October 2023</t>
  </si>
  <si>
    <t xml:space="preserve">6203</t>
  </si>
  <si>
    <t xml:space="preserve">WP Rocket - WP Rocket Lyon Plugin</t>
  </si>
  <si>
    <t xml:space="preserve">SigmaPlugin - SigmaPlugin Subscriptio</t>
  </si>
  <si>
    <t xml:space="preserve">Woo Commerce - Educom Website Plugin</t>
  </si>
  <si>
    <t xml:space="preserve">Microsoft - Microsoft Subscription w/o Receipt</t>
  </si>
  <si>
    <t xml:space="preserve">CyberFox - AutoElevate Plan October 2023</t>
  </si>
  <si>
    <t xml:space="preserve">22565</t>
  </si>
  <si>
    <t xml:space="preserve">CyberFox - MSP Bronze October 2023</t>
  </si>
  <si>
    <t xml:space="preserve">22223</t>
  </si>
  <si>
    <t xml:space="preserve">IStock - iStock Subscription October 2023</t>
  </si>
  <si>
    <t xml:space="preserve">2409070</t>
  </si>
  <si>
    <t xml:space="preserve">cPanel - cPanel Pro Cloud and Imunify360 October 2023</t>
  </si>
  <si>
    <t xml:space="preserve">2631247091</t>
  </si>
  <si>
    <t xml:space="preserve">Word Press - WordFence Plugin Subscription</t>
  </si>
  <si>
    <t xml:space="preserve">Hootsuite - Annual Professional Plan</t>
  </si>
  <si>
    <t xml:space="preserve">2072861518</t>
  </si>
  <si>
    <t xml:space="preserve">Whats My IP - Whats My IP Subscription</t>
  </si>
  <si>
    <t xml:space="preserve">Google - YouTube Super Subscription</t>
  </si>
  <si>
    <t xml:space="preserve">Microsoft - Exchange Online (Plan 1)  September/October 2023</t>
  </si>
  <si>
    <t xml:space="preserve">E0800PI1VQ</t>
  </si>
  <si>
    <t xml:space="preserve">Microsoft - Microsoft 365 Business Basic October 2023</t>
  </si>
  <si>
    <t xml:space="preserve">E0800PI1TE</t>
  </si>
  <si>
    <t xml:space="preserve">Microsoft - Microsoft Entra ID P2 October/November 2023</t>
  </si>
  <si>
    <t xml:space="preserve">E0800PI01D</t>
  </si>
  <si>
    <t xml:space="preserve">Microsoft - Office 365 E5 without Audio Conferencing October 2023</t>
  </si>
  <si>
    <t xml:space="preserve">E0800PHWDA</t>
  </si>
  <si>
    <t xml:space="preserve">Microsoft - Office 365 E3 September/October 2023</t>
  </si>
  <si>
    <t xml:space="preserve">E0800PHSYR</t>
  </si>
  <si>
    <t xml:space="preserve">Microsoft - Microsoft 365 apps for Enterprise October 2023</t>
  </si>
  <si>
    <t xml:space="preserve">E0800PHSTD</t>
  </si>
  <si>
    <t xml:space="preserve">Microsoft - Visio Plan 2 October 2023</t>
  </si>
  <si>
    <t xml:space="preserve">E0800PHSPE</t>
  </si>
  <si>
    <t xml:space="preserve">Microsoft - Microsoft 365 Business Premium October 2023</t>
  </si>
  <si>
    <t xml:space="preserve">E0800PHSPD</t>
  </si>
  <si>
    <t xml:space="preserve">GoDaddy - GoDaddy Annual Domain Renewal</t>
  </si>
  <si>
    <t xml:space="preserve">MAUS Software - Complete Business Pack October/November 2023</t>
  </si>
  <si>
    <t xml:space="preserve">6680</t>
  </si>
  <si>
    <t xml:space="preserve">SMTP2GO - SMTP2GO email delivery service October 2023</t>
  </si>
  <si>
    <t xml:space="preserve">SMT231022-7135-19104B</t>
  </si>
  <si>
    <t xml:space="preserve">WP Rocket - WP Rocket Basic</t>
  </si>
  <si>
    <t xml:space="preserve">Fairfax - SMH Subscription</t>
  </si>
  <si>
    <t xml:space="preserve">WP Rocket - Basic Rocket</t>
  </si>
  <si>
    <t xml:space="preserve">Content Pros - Monthly Subscription - October 2023</t>
  </si>
  <si>
    <t xml:space="preserve">CP2410</t>
  </si>
  <si>
    <t xml:space="preserve">triCerat - MSP Monthly Usage November 2023</t>
  </si>
  <si>
    <t xml:space="preserve">244926</t>
  </si>
  <si>
    <t xml:space="preserve">CyberFox - MSP Bronze November 2023</t>
  </si>
  <si>
    <t xml:space="preserve">23764</t>
  </si>
  <si>
    <t xml:space="preserve">CyberFox - AutoElevate November 2023</t>
  </si>
  <si>
    <t xml:space="preserve">IStock - iStock Monthly Subscription</t>
  </si>
  <si>
    <t xml:space="preserve">Microsoft - Microsoft Partner Network Action Pack Annual Fee</t>
  </si>
  <si>
    <t xml:space="preserve">Envato - Envato Subscription</t>
  </si>
  <si>
    <t xml:space="preserve">Microsoft - Exchange Online (Plan 1) October/November 2023</t>
  </si>
  <si>
    <t xml:space="preserve">E0800PW6QK</t>
  </si>
  <si>
    <t xml:space="preserve">Microsoft - Microsoft 365 Apps for enterprise November 2023</t>
  </si>
  <si>
    <t xml:space="preserve">E0800PW38N</t>
  </si>
  <si>
    <t xml:space="preserve">Microsoft - Visio Plan 2 November 2023</t>
  </si>
  <si>
    <t xml:space="preserve">E0800PW29W</t>
  </si>
  <si>
    <t xml:space="preserve">Microsoft - Microsoft 365 Business Basic November 2023</t>
  </si>
  <si>
    <t xml:space="preserve">E0800PW29V</t>
  </si>
  <si>
    <t xml:space="preserve">Microsoft - Microsoft 365 Business Premium November 2023</t>
  </si>
  <si>
    <t xml:space="preserve">E0800PW29U</t>
  </si>
  <si>
    <t xml:space="preserve">Microsoft - Microsoft Entra ID P2 November/December 2023</t>
  </si>
  <si>
    <t xml:space="preserve">E0800PVUQV</t>
  </si>
  <si>
    <t xml:space="preserve">Microsoft - Office 365 E3 October/November 2023</t>
  </si>
  <si>
    <t xml:space="preserve">E0800PVSRO</t>
  </si>
  <si>
    <t xml:space="preserve">Microsoft - Office 365 E5 without Audio Conferencing November 2023</t>
  </si>
  <si>
    <t xml:space="preserve">E0800PVSRN</t>
  </si>
  <si>
    <t xml:space="preserve">MAUS Software - Maus Software Subscription</t>
  </si>
  <si>
    <t xml:space="preserve">WP Rocket - WP Rocket Subscription</t>
  </si>
  <si>
    <t xml:space="preserve">WP Rocket - WP Rocket</t>
  </si>
  <si>
    <t xml:space="preserve">CyberFox - AutoElevate Plan December 2023</t>
  </si>
  <si>
    <t xml:space="preserve">033059</t>
  </si>
  <si>
    <t xml:space="preserve">RDPSoft - RDPSoft Subscriptio</t>
  </si>
  <si>
    <t xml:space="preserve">CyberFox - MSP Bronze December 2023</t>
  </si>
  <si>
    <t xml:space="preserve">24442</t>
  </si>
  <si>
    <t xml:space="preserve">Bluechip Infotech - SPLA Monthly Fee for VLM-50</t>
  </si>
  <si>
    <t xml:space="preserve">SIN1001123</t>
  </si>
  <si>
    <t xml:space="preserve">Akismet - Akismet Pro Annual Subscription</t>
  </si>
  <si>
    <t xml:space="preserve">triCerat - MSP Monthly Usage October &amp; November 2023</t>
  </si>
  <si>
    <t xml:space="preserve">245045</t>
  </si>
  <si>
    <t xml:space="preserve">PerfOps - PerfOps Subscription</t>
  </si>
  <si>
    <t xml:space="preserve">CBI Parallels - Parallels Desktop for Mac Pro Edition Upgrade - 12 months</t>
  </si>
  <si>
    <t xml:space="preserve">BKD-73643129919</t>
  </si>
  <si>
    <t xml:space="preserve">CBA Parallels - Parallels Desktop for Mac Pro Edition Upgrade - 12 months</t>
  </si>
  <si>
    <t xml:space="preserve">AKD-736100950750</t>
  </si>
  <si>
    <t xml:space="preserve">Microsoft - Microsoft Entra ID P2 December 2023/January 2024</t>
  </si>
  <si>
    <t xml:space="preserve">E0800Q9SFC</t>
  </si>
  <si>
    <t xml:space="preserve">Microsoft - Visio Plan 2 December 2023/January 2024</t>
  </si>
  <si>
    <t xml:space="preserve">E0800Q9NC5</t>
  </si>
  <si>
    <t xml:space="preserve">Microsoft - Microsoft 365 Business Premium December 2023</t>
  </si>
  <si>
    <t xml:space="preserve">E0800Q9NC4</t>
  </si>
  <si>
    <t xml:space="preserve">Microsoft - Microsoft 365 Apps for enterprise December 2023</t>
  </si>
  <si>
    <t xml:space="preserve">E0800Q9N3P</t>
  </si>
  <si>
    <t xml:space="preserve">Microsoft - Office 365 E3 November/December 2023</t>
  </si>
  <si>
    <t xml:space="preserve">E0800Q9LCU</t>
  </si>
  <si>
    <t xml:space="preserve">Microsoft - Microsoft 365 Business Basic December 2023</t>
  </si>
  <si>
    <t xml:space="preserve">E0800Q9L0L</t>
  </si>
  <si>
    <t xml:space="preserve">Microsoft - Exchange Online (Plan 1) November/December 2023</t>
  </si>
  <si>
    <t xml:space="preserve">E0800Q9JI5</t>
  </si>
  <si>
    <t xml:space="preserve">Microsoft - Office 365 E5 without Audio Conferencing December 2023</t>
  </si>
  <si>
    <t xml:space="preserve">E0800Q9JGX</t>
  </si>
  <si>
    <t xml:space="preserve">The Tech Tribe - Tech Tribe Monthly Subscription</t>
  </si>
  <si>
    <t xml:space="preserve">MAUS Software - Complete Business Pack</t>
  </si>
  <si>
    <t xml:space="preserve">7668</t>
  </si>
  <si>
    <t xml:space="preserve">Content Pros - ContentPros Subscription</t>
  </si>
  <si>
    <t xml:space="preserve">CyberFox - MSP Bronze January 2024</t>
  </si>
  <si>
    <t xml:space="preserve">034100</t>
  </si>
  <si>
    <t xml:space="preserve">CyberFox - AutoElevate Plan January 2024</t>
  </si>
  <si>
    <t xml:space="preserve">034753</t>
  </si>
  <si>
    <t xml:space="preserve">CyberFox - MSP Bronze March 2024</t>
  </si>
  <si>
    <t xml:space="preserve">038678</t>
  </si>
  <si>
    <t xml:space="preserve">CyberFox - AutoElevate 100 Agents Plan March 2024</t>
  </si>
  <si>
    <t xml:space="preserve">039890</t>
  </si>
  <si>
    <t xml:space="preserve">WPML - WPML Translation PAYG Subscription</t>
  </si>
  <si>
    <t xml:space="preserve">Woo Commerce - reCaptcha Subscription</t>
  </si>
  <si>
    <t xml:space="preserve">CyberFox - AutoElevate 100 Agents Plan June 2024</t>
  </si>
  <si>
    <t xml:space="preserve">046891</t>
  </si>
  <si>
    <t xml:space="preserve">CyberFox - MSP Bronze June 2024</t>
  </si>
  <si>
    <t xml:space="preserve">046085</t>
  </si>
  <si>
    <t xml:space="preserve">Atlassian - Atlassian Status Page Subscription</t>
  </si>
  <si>
    <t xml:space="preserve">triCerat - MSP Monthly Usage December 2023</t>
  </si>
  <si>
    <t xml:space="preserve">245141</t>
  </si>
  <si>
    <t xml:space="preserve">Microsoft - Office 365 E3 December 2023/January 2024</t>
  </si>
  <si>
    <t xml:space="preserve">E0800QNGGF</t>
  </si>
  <si>
    <t xml:space="preserve">Microsoft - Office 365 E5 without Audio Conferencing January 2024</t>
  </si>
  <si>
    <t xml:space="preserve">E0800QNGGE</t>
  </si>
  <si>
    <t xml:space="preserve">Microsoft - Microsoft 365 Apps for enterprise January 2024</t>
  </si>
  <si>
    <t xml:space="preserve">E0800QNFK3</t>
  </si>
  <si>
    <t xml:space="preserve">Microsoft - Vision Plan 2 January 2024</t>
  </si>
  <si>
    <t xml:space="preserve">E0800QND79</t>
  </si>
  <si>
    <t xml:space="preserve">Microsoft - Microsoft Business Basic 365 January 2024</t>
  </si>
  <si>
    <t xml:space="preserve">E0800QND78</t>
  </si>
  <si>
    <t xml:space="preserve">Microsoft - Microsoft 365 Business Premium January 2024</t>
  </si>
  <si>
    <t xml:space="preserve">E0800QNC0B</t>
  </si>
  <si>
    <t xml:space="preserve">Microsoft - Microsoft Entra ID P2 January/February 2024</t>
  </si>
  <si>
    <t xml:space="preserve">E0800QN9ZD</t>
  </si>
  <si>
    <t xml:space="preserve">Microsoft - Exchange Online (Plan 1) December 2023/January 2024</t>
  </si>
  <si>
    <t xml:space="preserve">E0800QN8DP</t>
  </si>
  <si>
    <t xml:space="preserve">MAUS Software - Complete Business Pack January/February 2024</t>
  </si>
  <si>
    <t xml:space="preserve">8158</t>
  </si>
  <si>
    <t xml:space="preserve">SMTP2GO - Email Delivery Service Subscription</t>
  </si>
  <si>
    <t xml:space="preserve">IVJY7SYGMUWFF6LKWTEF7N6L6CXE</t>
  </si>
  <si>
    <t xml:space="preserve">WP Rocket - RocketCDN Subscription</t>
  </si>
  <si>
    <t xml:space="preserve">Express VPN - Express VPN</t>
  </si>
  <si>
    <t xml:space="preserve">Ubiquiti - Ubiquiti Subscription</t>
  </si>
  <si>
    <t xml:space="preserve">CyberFox - MSP Bronze February 2024</t>
  </si>
  <si>
    <t xml:space="preserve">36457</t>
  </si>
  <si>
    <t xml:space="preserve">CyberFox - AutoElevate Plan February 2024</t>
  </si>
  <si>
    <t xml:space="preserve">37691</t>
  </si>
  <si>
    <t xml:space="preserve">Bluechip Infotech - SPLA Monthly Fee for VLM-50 January 2024</t>
  </si>
  <si>
    <t xml:space="preserve">SIN-1505381</t>
  </si>
  <si>
    <t xml:space="preserve">Content Pros - Content Pros Refund - Account on Hold</t>
  </si>
  <si>
    <t xml:space="preserve">Atlassian - StatusPage Subscription</t>
  </si>
  <si>
    <t xml:space="preserve">triCerat - MSP Monthly Usage January 2024</t>
  </si>
  <si>
    <t xml:space="preserve">245245</t>
  </si>
  <si>
    <t xml:space="preserve">WPML - WPML Word Top Up</t>
  </si>
  <si>
    <t xml:space="preserve">Adobe - Incorrect Adobe Subscription Refund</t>
  </si>
  <si>
    <t xml:space="preserve">IThemes - Annual Plugin Suite Renewal</t>
  </si>
  <si>
    <t xml:space="preserve">Techsmith - Snagit Upgrade Maintenance</t>
  </si>
  <si>
    <t xml:space="preserve">Adobe - Adobe Subscription</t>
  </si>
  <si>
    <t xml:space="preserve">Microsoft - Microsoft Entra ID P2 February/March 2024</t>
  </si>
  <si>
    <t xml:space="preserve">E0800R17U3</t>
  </si>
  <si>
    <t xml:space="preserve">Microsoft - Microsoft 365 Apps for enterprise February 2024</t>
  </si>
  <si>
    <t xml:space="preserve">E0800R12WJ</t>
  </si>
  <si>
    <t xml:space="preserve">Microsoft - Exchange Online (Plan 1) January/February 2024</t>
  </si>
  <si>
    <t xml:space="preserve">E0800R12WI</t>
  </si>
  <si>
    <t xml:space="preserve">Microsoft - Office 365 E3 January/February 2024</t>
  </si>
  <si>
    <t xml:space="preserve">E0800R0V4E</t>
  </si>
  <si>
    <t xml:space="preserve">Microsoft - Office 365 E5 without Audio Conferencing January/February 2024</t>
  </si>
  <si>
    <t xml:space="preserve">E0800R0V4C</t>
  </si>
  <si>
    <t xml:space="preserve">Microsoft - Visio Plan 2 February 2024</t>
  </si>
  <si>
    <t xml:space="preserve">E0800R0SEK</t>
  </si>
  <si>
    <t xml:space="preserve">Microsoft - Microsoft 365 Business Basic February 2024</t>
  </si>
  <si>
    <t xml:space="preserve">E0800R0SEJ</t>
  </si>
  <si>
    <t xml:space="preserve">Microsoft - Microsoft 365 Business Premium February 2024</t>
  </si>
  <si>
    <t xml:space="preserve">E0800R0SEI</t>
  </si>
  <si>
    <t xml:space="preserve">MAUS Software - Complete Business Pack February/March 2024</t>
  </si>
  <si>
    <t xml:space="preserve">8638</t>
  </si>
  <si>
    <t xml:space="preserve">WP Rocket - WP Rocket CDN Subscription</t>
  </si>
  <si>
    <t xml:space="preserve">Woo Commerce - Educom Website Woo Commerce Subscripion</t>
  </si>
  <si>
    <t xml:space="preserve">SMTP2GO - Email delivery service subscription</t>
  </si>
  <si>
    <t xml:space="preserve">SMT240222-3989-24363B</t>
  </si>
  <si>
    <t xml:space="preserve">OPMC - Website Firewall educomit.com.au</t>
  </si>
  <si>
    <t xml:space="preserve">INV-0019219</t>
  </si>
  <si>
    <t xml:space="preserve">Ubiquiti - UniFi Hosting February/March 2024</t>
  </si>
  <si>
    <t xml:space="preserve">744DCFC30003</t>
  </si>
  <si>
    <t xml:space="preserve">Crikey - Crikey Online Subscription</t>
  </si>
  <si>
    <t xml:space="preserve">Microsoft - Office 365 E3 February/March 2024</t>
  </si>
  <si>
    <t xml:space="preserve">E0800REYZG</t>
  </si>
  <si>
    <t xml:space="preserve">Microsoft - Microsoft Entra ID P2 March/April 2024</t>
  </si>
  <si>
    <t xml:space="preserve">E0800REY2J</t>
  </si>
  <si>
    <t xml:space="preserve">Microsoft - Visio Plan 2 March 2024</t>
  </si>
  <si>
    <t xml:space="preserve">E0800RERZ4</t>
  </si>
  <si>
    <t xml:space="preserve">Microsoft - Microsoft 365 Business Basic March 2024</t>
  </si>
  <si>
    <t xml:space="preserve">E0800RERZ3</t>
  </si>
  <si>
    <t xml:space="preserve">Microsoft - Exchange Online (Plan 1) February/March 2024</t>
  </si>
  <si>
    <t xml:space="preserve">E0800RERWC</t>
  </si>
  <si>
    <t xml:space="preserve">Microsoft - Office 365 E5 without Audio Conferencing March 2024</t>
  </si>
  <si>
    <t xml:space="preserve">E0800RERZ2</t>
  </si>
  <si>
    <t xml:space="preserve">Microsoft - Microsoft 365 Business Premium March 2024</t>
  </si>
  <si>
    <t xml:space="preserve">E0800RERZ1</t>
  </si>
  <si>
    <t xml:space="preserve">Microsoft - Microsoft 365 Apps for enterprise March 2024</t>
  </si>
  <si>
    <t xml:space="preserve">E0800RERWD</t>
  </si>
  <si>
    <t xml:space="preserve">Klaviyo - Klaviyo Subscription March/April 2024</t>
  </si>
  <si>
    <t xml:space="preserve">7300A6240001</t>
  </si>
  <si>
    <t xml:space="preserve">MAUS Software - Complete Business Pack March/April 2024</t>
  </si>
  <si>
    <t xml:space="preserve">9112</t>
  </si>
  <si>
    <t xml:space="preserve">Ubiquiti - UniFi Hosting March/April 2024</t>
  </si>
  <si>
    <t xml:space="preserve">CyberFox - AutoElevate Plan April 2024</t>
  </si>
  <si>
    <t xml:space="preserve">041735</t>
  </si>
  <si>
    <t xml:space="preserve">CyberFox - MSP Bronze April 2024</t>
  </si>
  <si>
    <t xml:space="preserve">041313</t>
  </si>
  <si>
    <t xml:space="preserve">cPanel - cPanel Pro Cloud / Addon / cPanel Premier April 2024</t>
  </si>
  <si>
    <t xml:space="preserve">10000090913</t>
  </si>
  <si>
    <t xml:space="preserve">Devolutions Inc - Remote Desktop Manager Annual Subscription - Ends 30 April 25</t>
  </si>
  <si>
    <t xml:space="preserve">B24-18071</t>
  </si>
  <si>
    <t xml:space="preserve">GoDaddy - smbscs.com and .com.au 1yr Domain Renewal</t>
  </si>
  <si>
    <t xml:space="preserve">WP Engine - WP Engine WP Hosting Subscription</t>
  </si>
  <si>
    <t xml:space="preserve">Netsdk - Netsdk S3 Browser Pro License Annual</t>
  </si>
  <si>
    <t xml:space="preserve">Bluechip Infotech - SPLA Monthly Fee for VLM-50 March 2024</t>
  </si>
  <si>
    <t xml:space="preserve">WPML - WPML Monthly Word Translation</t>
  </si>
  <si>
    <t xml:space="preserve">Techsmith - Screencast.com Pro Annual Invoice</t>
  </si>
  <si>
    <t xml:space="preserve">Canva - Canva Subscription</t>
  </si>
  <si>
    <t xml:space="preserve">Microsoft - Office 365 E3 March/April 2024</t>
  </si>
  <si>
    <t xml:space="preserve">E0800RTEGR</t>
  </si>
  <si>
    <t xml:space="preserve">Microsoft - Exchange Online (Plan 1) March/April 2024</t>
  </si>
  <si>
    <t xml:space="preserve">E0800RTC8Z</t>
  </si>
  <si>
    <t xml:space="preserve">Microsoft - Microsoft Entra ID P2 April/May 2024</t>
  </si>
  <si>
    <t xml:space="preserve">E0800RT7VW</t>
  </si>
  <si>
    <t xml:space="preserve">Microsoft - Visio Plan 2 April/May 2024</t>
  </si>
  <si>
    <t xml:space="preserve">E0800RT5YE</t>
  </si>
  <si>
    <t xml:space="preserve">Klaviyo - Klaviyo Platform April/May 2024</t>
  </si>
  <si>
    <t xml:space="preserve">7300A6240002</t>
  </si>
  <si>
    <t xml:space="preserve">Microsoft - Microsoft Credit Note</t>
  </si>
  <si>
    <t xml:space="preserve">Ubiquiti - UniFi Monthly Hosting</t>
  </si>
  <si>
    <t xml:space="preserve">CyberFox - AutoElevate Plan May 2024</t>
  </si>
  <si>
    <t xml:space="preserve">044404</t>
  </si>
  <si>
    <t xml:space="preserve">CyberFox - MSP Bronze May 2024</t>
  </si>
  <si>
    <t xml:space="preserve">043563</t>
  </si>
  <si>
    <t xml:space="preserve">MyWave - Innovation Hub Master Service for 5 Licenses - May 2024</t>
  </si>
  <si>
    <t xml:space="preserve">INV-0211</t>
  </si>
  <si>
    <t xml:space="preserve">IStock - iStock monthly Subscription</t>
  </si>
  <si>
    <t xml:space="preserve">triCerat - MSP Monthly Usage April 2024</t>
  </si>
  <si>
    <t xml:space="preserve">245516</t>
  </si>
  <si>
    <t xml:space="preserve">Microsoft - Visio Plan 2 May 2024</t>
  </si>
  <si>
    <t xml:space="preserve">E0800S6PLA</t>
  </si>
  <si>
    <t xml:space="preserve">Microsoft - Microsoft Entra ID P2 May/June 2024</t>
  </si>
  <si>
    <t xml:space="preserve">E0800S6FHQ</t>
  </si>
  <si>
    <t xml:space="preserve">Microsoft - Office 365 E3 April/May 2024</t>
  </si>
  <si>
    <t xml:space="preserve">E0800S6DE3</t>
  </si>
  <si>
    <t xml:space="preserve">Microsoft - Exchange Online (Plan 1) April/May 2024</t>
  </si>
  <si>
    <t xml:space="preserve">E0800S6DDN</t>
  </si>
  <si>
    <t xml:space="preserve">Klaviyo - Klaviyo Subscription</t>
  </si>
  <si>
    <t xml:space="preserve">SIN-1528443</t>
  </si>
  <si>
    <t xml:space="preserve">Ubiquiti - Unifi Hosting June 2024</t>
  </si>
  <si>
    <t xml:space="preserve">744DCFC30006</t>
  </si>
  <si>
    <t xml:space="preserve">WP Engine - Growth Plan - Digital Experience Platform June 2024</t>
  </si>
  <si>
    <t xml:space="preserve">INV06700149</t>
  </si>
  <si>
    <t xml:space="preserve">Sprinto - SOC2 Compliance Software</t>
  </si>
  <si>
    <t xml:space="preserve">Microsoft - Office 365 E3 May/June 2024</t>
  </si>
  <si>
    <t xml:space="preserve">E0800SK9OW</t>
  </si>
  <si>
    <t xml:space="preserve">Microsoft - Visio Plan 2 June 2024</t>
  </si>
  <si>
    <t xml:space="preserve">E0800SK3IU</t>
  </si>
  <si>
    <t xml:space="preserve">Microsoft - Microsoft Entra ID P2 June/July 2024</t>
  </si>
  <si>
    <t xml:space="preserve">E0800SJYR2</t>
  </si>
  <si>
    <t xml:space="preserve">Microsoft - Exchange Online (Plan 1) May/June 2024</t>
  </si>
  <si>
    <t xml:space="preserve">E0800SJYBW</t>
  </si>
  <si>
    <t xml:space="preserve">GoDaddy - smbsolutions.com.au Annual Domain Renewal</t>
  </si>
  <si>
    <t xml:space="preserve">MyWave - Innovation Hub Monthly License Fee</t>
  </si>
  <si>
    <t xml:space="preserve">INV-0295</t>
  </si>
  <si>
    <t xml:space="preserve">WP Rocket - Rocket CDN Subscription</t>
  </si>
  <si>
    <t xml:space="preserve">Xero Aust Pty Ltd</t>
  </si>
  <si>
    <t xml:space="preserve">triCerat - MSP Monthly Usage May/June 2024</t>
  </si>
  <si>
    <t xml:space="preserve">245631</t>
  </si>
  <si>
    <t xml:space="preserve">Total 485 - Software Subscriptions - Operational</t>
  </si>
  <si>
    <t xml:space="preserve">486 - Software Subscriptions - Other</t>
  </si>
  <si>
    <t xml:space="preserve">486</t>
  </si>
  <si>
    <t xml:space="preserve">The Saturday Paper - The Saturday Paper Subscription</t>
  </si>
  <si>
    <t xml:space="preserve">Kindle - Kindle Subscription US</t>
  </si>
  <si>
    <t xml:space="preserve">Law Depot - Site Subscription Annual Renewal</t>
  </si>
  <si>
    <t xml:space="preserve">#LWS-080723-032353-842</t>
  </si>
  <si>
    <t xml:space="preserve">IStock - iStock subscription</t>
  </si>
  <si>
    <t xml:space="preserve">NY Times - NY Times Subscription</t>
  </si>
  <si>
    <t xml:space="preserve">Netflix - Netflix AU Subscription</t>
  </si>
  <si>
    <t xml:space="preserve">Netflix - Netflix US Subscription</t>
  </si>
  <si>
    <t xml:space="preserve">Quarterly Essay - Quarterly Essay Journal Subscription</t>
  </si>
  <si>
    <t xml:space="preserve">Netflix - Netflix US</t>
  </si>
  <si>
    <t xml:space="preserve">Amazon Prime - Amazon Prime</t>
  </si>
  <si>
    <t xml:space="preserve">Sirius XM Radio - Sirius XM Subscription</t>
  </si>
  <si>
    <t xml:space="preserve">Klaxon - Klaxon News Subscriptions</t>
  </si>
  <si>
    <t xml:space="preserve">Netflix - Netflix AU</t>
  </si>
  <si>
    <t xml:space="preserve">Spotify - Spotify AU Subscription</t>
  </si>
  <si>
    <t xml:space="preserve">Guardian News - Guardian Newspaper Subscription</t>
  </si>
  <si>
    <t xml:space="preserve">Kindle - Kindle US </t>
  </si>
  <si>
    <t xml:space="preserve">Netflix - Netflix AU Suscription</t>
  </si>
  <si>
    <t xml:space="preserve">Kindle - Book Purchase</t>
  </si>
  <si>
    <t xml:space="preserve">Kindle - Book Purchase EU</t>
  </si>
  <si>
    <t xml:space="preserve">Substack - Substack Annual Newsletter Subscription</t>
  </si>
  <si>
    <t xml:space="preserve">Total 486 - Software Subscriptions - Other</t>
  </si>
  <si>
    <t xml:space="preserve">489 - Telephone &amp; Internet</t>
  </si>
  <si>
    <t xml:space="preserve">489</t>
  </si>
  <si>
    <t xml:space="preserve">Superloop - Noosa Office Internet July 2023</t>
  </si>
  <si>
    <t xml:space="preserve">AINV324061</t>
  </si>
  <si>
    <t xml:space="preserve">Cal4Care - CalnCall SIP Trunk Subscription July 2023 - Final Month</t>
  </si>
  <si>
    <t xml:space="preserve">D4836-20230007</t>
  </si>
  <si>
    <t xml:space="preserve">Avoxi - Avoxi Subscription June 2023</t>
  </si>
  <si>
    <t xml:space="preserve">Optus - Prepaid Sim</t>
  </si>
  <si>
    <t xml:space="preserve">Origin - BNE Office Electricity March to June 2023</t>
  </si>
  <si>
    <t xml:space="preserve">28048079</t>
  </si>
  <si>
    <t xml:space="preserve">Taylor Duffy (taylor@smbsolutions.com.au) - Vodafone - June 2023 Phone Bill</t>
  </si>
  <si>
    <t xml:space="preserve">Superloop - BNE Office Internet</t>
  </si>
  <si>
    <t xml:space="preserve">Mvoice - Mvoice Invoice June-July 2023</t>
  </si>
  <si>
    <t xml:space="preserve">564430</t>
  </si>
  <si>
    <t xml:space="preserve">Telstra - Telstra Bill Payment</t>
  </si>
  <si>
    <t xml:space="preserve">Superloop - Noosa Office Internet August 2023</t>
  </si>
  <si>
    <t xml:space="preserve">AINV401788</t>
  </si>
  <si>
    <t xml:space="preserve">Taylor Duffy (taylor@smbsolutions.com.au) - Vodafone - July 2023 Phone Bill</t>
  </si>
  <si>
    <t xml:space="preserve">Mvoice - Mvoice Invoice July/August 2023</t>
  </si>
  <si>
    <t xml:space="preserve">566664</t>
  </si>
  <si>
    <t xml:space="preserve">Leader Computers (Alloy) - Yealink 5V 2 Amp Power Adapter, Yealink 16 Line IP Phone + Freight</t>
  </si>
  <si>
    <t xml:space="preserve">SI-4307764</t>
  </si>
  <si>
    <t xml:space="preserve">Superloop - Noosa Office Internet September 2023</t>
  </si>
  <si>
    <t xml:space="preserve">AINV535203</t>
  </si>
  <si>
    <t xml:space="preserve">Taylor Duffy (taylor@smbsolutions.com.au) - Vodafone - August 2023 Phone Bill</t>
  </si>
  <si>
    <t xml:space="preserve">Superloop - BNE Office Internet September 2023</t>
  </si>
  <si>
    <t xml:space="preserve">E68678788</t>
  </si>
  <si>
    <t xml:space="preserve">Mvoice - Mvoice Charges August/September 2023</t>
  </si>
  <si>
    <t xml:space="preserve">568877</t>
  </si>
  <si>
    <t xml:space="preserve">Avoxi - Avoxi Charges September 2023</t>
  </si>
  <si>
    <t xml:space="preserve">430148</t>
  </si>
  <si>
    <t xml:space="preserve">Superloop - Brisbane Office Internet October 2023</t>
  </si>
  <si>
    <t xml:space="preserve">E69038705</t>
  </si>
  <si>
    <t xml:space="preserve">Taylor Duffy (taylor@smbsolutions.com.au) - Vodafone - Phone Bill September 2023</t>
  </si>
  <si>
    <t xml:space="preserve">Mvoice - Mvoice September/October 2023</t>
  </si>
  <si>
    <t xml:space="preserve">571078</t>
  </si>
  <si>
    <t xml:space="preserve">Google - Undelivered Product</t>
  </si>
  <si>
    <t xml:space="preserve">Telstra - Telstra Account Payment</t>
  </si>
  <si>
    <t xml:space="preserve">Taylor Duffy (taylor@smbsolutions.com.au) - Vodafone - Vodafone October 2023 Phone Bill</t>
  </si>
  <si>
    <t xml:space="preserve">Superloop - Superloop BNE Office Internet November 2023</t>
  </si>
  <si>
    <t xml:space="preserve">E69412080</t>
  </si>
  <si>
    <t xml:space="preserve">Superloop - Noosa Office Internet</t>
  </si>
  <si>
    <t xml:space="preserve">Optus - Optus 1yr Prepaid Sim</t>
  </si>
  <si>
    <t xml:space="preserve">Telstra - Telstra Invoice Finalisation</t>
  </si>
  <si>
    <t xml:space="preserve">Mvoice - Mvoice October/November 2023</t>
  </si>
  <si>
    <t xml:space="preserve">573256</t>
  </si>
  <si>
    <t xml:space="preserve">Superloop - Noose Office Internet</t>
  </si>
  <si>
    <t xml:space="preserve">Optus - Prepaid Sim x 5</t>
  </si>
  <si>
    <t xml:space="preserve">Avoxi - Avoxi Usage November 2023</t>
  </si>
  <si>
    <t xml:space="preserve">440110</t>
  </si>
  <si>
    <t xml:space="preserve">Superloop - Noosa Office Internet December 2023</t>
  </si>
  <si>
    <t xml:space="preserve">AINV984362</t>
  </si>
  <si>
    <t xml:space="preserve">Taylor Duffy (taylor@smbsolutions.com.au) - Vodafone - Vodafone November 2023</t>
  </si>
  <si>
    <t xml:space="preserve">Mvoice - Mvoice Invoice November/December 2023</t>
  </si>
  <si>
    <t xml:space="preserve">575435</t>
  </si>
  <si>
    <t xml:space="preserve">Telstra - Phone Cases</t>
  </si>
  <si>
    <t xml:space="preserve">Optus - Optus Sim Plan</t>
  </si>
  <si>
    <t xml:space="preserve">Avoxi - Avoxi December 2023 Usage</t>
  </si>
  <si>
    <t xml:space="preserve">445056</t>
  </si>
  <si>
    <t xml:space="preserve">Superloop - Noosa Office Internet January 2024</t>
  </si>
  <si>
    <t xml:space="preserve">AINV1158858</t>
  </si>
  <si>
    <t xml:space="preserve">Taylor Duffy (taylor@smbsolutions.com.au) - Vodafone - December 2023 Phone Bill</t>
  </si>
  <si>
    <t xml:space="preserve">Mvoice - Mvoice December 2023/January 2024</t>
  </si>
  <si>
    <t xml:space="preserve">577595</t>
  </si>
  <si>
    <t xml:space="preserve">T-Mobile - Prepaid Sim EU</t>
  </si>
  <si>
    <t xml:space="preserve">T-Mobile - International HotSpot Charge</t>
  </si>
  <si>
    <t xml:space="preserve">Optus - Prepaid Plan</t>
  </si>
  <si>
    <t xml:space="preserve">Avoxi - Avoxi January 2024 Usage</t>
  </si>
  <si>
    <t xml:space="preserve">449890</t>
  </si>
  <si>
    <t xml:space="preserve">Superloop - Noosa Office Internet February 2024</t>
  </si>
  <si>
    <t xml:space="preserve">AINV1325967</t>
  </si>
  <si>
    <t xml:space="preserve">Taylor Duffy (taylor@smbsolutions.com.au) - Vodafone - Vodafone January 2024 Bill</t>
  </si>
  <si>
    <t xml:space="preserve">3CX - 3CX Annual Renewal</t>
  </si>
  <si>
    <t xml:space="preserve">Mvoice - Mvoice January/February 2024</t>
  </si>
  <si>
    <t xml:space="preserve">579770</t>
  </si>
  <si>
    <t xml:space="preserve">Optus - Optus Plan</t>
  </si>
  <si>
    <t xml:space="preserve">Superloop - Noosa Internet March 2024</t>
  </si>
  <si>
    <t xml:space="preserve">AINV1508578</t>
  </si>
  <si>
    <t xml:space="preserve">Avoxi - Avoxi March 2024 Usage</t>
  </si>
  <si>
    <t xml:space="preserve">Messages On Hold - Phone Audio Production - 3x Messages</t>
  </si>
  <si>
    <t xml:space="preserve">IN002806</t>
  </si>
  <si>
    <t xml:space="preserve">Taylor Duffy (taylor@smbsolutions.com.au) - Vodafone - Vodafone Monthly</t>
  </si>
  <si>
    <t xml:space="preserve">Superloop - BNE Office Internet April 2024</t>
  </si>
  <si>
    <t xml:space="preserve">E71015510</t>
  </si>
  <si>
    <t xml:space="preserve">Mvoice - Mvoice February/March 2024</t>
  </si>
  <si>
    <t xml:space="preserve">581906</t>
  </si>
  <si>
    <t xml:space="preserve">Telstra - Telstra Invoice February/March 2024</t>
  </si>
  <si>
    <t xml:space="preserve">K 966 917 821-5</t>
  </si>
  <si>
    <t xml:space="preserve">Superloop - Superloop Noosa Office April 2024</t>
  </si>
  <si>
    <t xml:space="preserve">AINV1710731</t>
  </si>
  <si>
    <t xml:space="preserve">Avoxi - Avoxi April 2024 Usage</t>
  </si>
  <si>
    <t xml:space="preserve">Optus - Optus Monthly Plan</t>
  </si>
  <si>
    <t xml:space="preserve">Superloop - BNE Office Internet May 2024</t>
  </si>
  <si>
    <t xml:space="preserve">E71443801</t>
  </si>
  <si>
    <t xml:space="preserve">T-Mobile - US Prepaid Sim</t>
  </si>
  <si>
    <t xml:space="preserve">Mvoice - Mvoice Invoice March/April 2024</t>
  </si>
  <si>
    <t xml:space="preserve">584039</t>
  </si>
  <si>
    <t xml:space="preserve">T-Mobile - USA Mobile Credit</t>
  </si>
  <si>
    <t xml:space="preserve">Optus - International Roaming Charge</t>
  </si>
  <si>
    <t xml:space="preserve">Optus - International Roaming</t>
  </si>
  <si>
    <t xml:space="preserve">Optus - Optus Monthly Billing</t>
  </si>
  <si>
    <t xml:space="preserve">Superloop - Noosa Office Internet May 2024</t>
  </si>
  <si>
    <t xml:space="preserve">AINV1903964</t>
  </si>
  <si>
    <t xml:space="preserve">Singtel - Prepaid Singapore Sim Card</t>
  </si>
  <si>
    <t xml:space="preserve">Avoxi - Avoxi May 2024 Usage</t>
  </si>
  <si>
    <t xml:space="preserve">Optus - International Roaming Charges</t>
  </si>
  <si>
    <t xml:space="preserve">E71877993</t>
  </si>
  <si>
    <t xml:space="preserve">Leader Systems - 3CX Annual/Perpetual License Upgrade</t>
  </si>
  <si>
    <t xml:space="preserve">A-SI-5580640</t>
  </si>
  <si>
    <t xml:space="preserve">Leader Systems - 3CX Professional Annual License</t>
  </si>
  <si>
    <t xml:space="preserve">A-SI-5580641</t>
  </si>
  <si>
    <t xml:space="preserve">A-SI-5580642</t>
  </si>
  <si>
    <t xml:space="preserve">Mvoice - Mvoice Invoice April/May 2024</t>
  </si>
  <si>
    <t xml:space="preserve">586150</t>
  </si>
  <si>
    <t xml:space="preserve">Simply Headsets - Yealink Foamy Ear Cushion</t>
  </si>
  <si>
    <t xml:space="preserve">2000156935</t>
  </si>
  <si>
    <t xml:space="preserve">Telstra - CD Office Monthly Internet</t>
  </si>
  <si>
    <t xml:space="preserve">Telstra - April + May 2024 Telstra Bill</t>
  </si>
  <si>
    <t xml:space="preserve">K 240 580 531-6</t>
  </si>
  <si>
    <t xml:space="preserve">Avoxi - Avoxi Usage May 2024</t>
  </si>
  <si>
    <t xml:space="preserve">468707</t>
  </si>
  <si>
    <t xml:space="preserve">Superloop - Noosa Office Internet June2024</t>
  </si>
  <si>
    <t xml:space="preserve">AINV2132339</t>
  </si>
  <si>
    <t xml:space="preserve">Caseway - Mobile Phone Case</t>
  </si>
  <si>
    <t xml:space="preserve">Mvoice - Mvoice Invoice May/June 2024</t>
  </si>
  <si>
    <t xml:space="preserve">588245</t>
  </si>
  <si>
    <t xml:space="preserve">Optus - US Roaming Charge</t>
  </si>
  <si>
    <t xml:space="preserve">Superloop - LD BNE Internet</t>
  </si>
  <si>
    <t xml:space="preserve">Optus</t>
  </si>
  <si>
    <t xml:space="preserve">GoDaddy - Domain Renewals</t>
  </si>
  <si>
    <t xml:space="preserve">Total 489 - Telephone &amp; Internet</t>
  </si>
  <si>
    <t xml:space="preserve">493 - Travel - National</t>
  </si>
  <si>
    <t xml:space="preserve">493</t>
  </si>
  <si>
    <t xml:space="preserve">Virgin Australia - SYD Flights</t>
  </si>
  <si>
    <t xml:space="preserve">Virgin Australia - Inflight Charges</t>
  </si>
  <si>
    <t xml:space="preserve">Richard Duffy - Petty Cash SYD</t>
  </si>
  <si>
    <t xml:space="preserve">Rydges Hotel - SYD Accommodation</t>
  </si>
  <si>
    <t xml:space="preserve">Rydges Hotel - Accommodation Charge</t>
  </si>
  <si>
    <t xml:space="preserve">Rydges Hotel - Accommodation Expense</t>
  </si>
  <si>
    <t xml:space="preserve">Wotif - Rydges World Square Accomm</t>
  </si>
  <si>
    <t xml:space="preserve">Pullman - Food</t>
  </si>
  <si>
    <t xml:space="preserve">The Star - Accommodation</t>
  </si>
  <si>
    <t xml:space="preserve">The Star - Accommodation Expenses</t>
  </si>
  <si>
    <t xml:space="preserve">Virgin Australia - SYD Flight Expense</t>
  </si>
  <si>
    <t xml:space="preserve">Richard Duffy - SYD Petty Cash</t>
  </si>
  <si>
    <t xml:space="preserve">Hertz Car Rental - Car Rental SYD</t>
  </si>
  <si>
    <t xml:space="preserve">Virgin Australia - SYD Return Flights</t>
  </si>
  <si>
    <t xml:space="preserve">Richard Duffy - Petty Cash</t>
  </si>
  <si>
    <t xml:space="preserve">Rydges Hotel - Accommodation SYD</t>
  </si>
  <si>
    <t xml:space="preserve">Rydges Hotel - Accommodation Expenses</t>
  </si>
  <si>
    <t xml:space="preserve">Pullman - SYD Accommodation</t>
  </si>
  <si>
    <t xml:space="preserve">Al Aseel - Food SYD</t>
  </si>
  <si>
    <t xml:space="preserve">Pullman - Accommodation SYD</t>
  </si>
  <si>
    <t xml:space="preserve">Pullman - Accommodation</t>
  </si>
  <si>
    <t xml:space="preserve">Hertz Car Rental - SYD Car Rental</t>
  </si>
  <si>
    <t xml:space="preserve">Noodlebox - Food AU</t>
  </si>
  <si>
    <t xml:space="preserve">Richard Duffy - Petty Cash AU</t>
  </si>
  <si>
    <t xml:space="preserve">Virgin Australia - Sydney Travel</t>
  </si>
  <si>
    <t xml:space="preserve">Total 493 - Travel - National</t>
  </si>
  <si>
    <t xml:space="preserve">494 - Travel - International</t>
  </si>
  <si>
    <t xml:space="preserve">494</t>
  </si>
  <si>
    <t xml:space="preserve">Uber - International Expenses</t>
  </si>
  <si>
    <t xml:space="preserve">POS</t>
  </si>
  <si>
    <t xml:space="preserve">Viking River Cruises - Viking River Cruise Deposit</t>
  </si>
  <si>
    <t xml:space="preserve">American Express - AU Credit</t>
  </si>
  <si>
    <t xml:space="preserve">Flight Centre - Flight Change Fee</t>
  </si>
  <si>
    <t xml:space="preserve">Flight Centre - Germany Data Centre Setup Flights</t>
  </si>
  <si>
    <t xml:space="preserve">WITHDRAWAL</t>
  </si>
  <si>
    <t xml:space="preserve">Trainline - Germany Train Tickets</t>
  </si>
  <si>
    <t xml:space="preserve">Flight Centre - Europe Flight Change to Qatar</t>
  </si>
  <si>
    <t xml:space="preserve">Samsoe Rederi - Ferry Ticket</t>
  </si>
  <si>
    <t xml:space="preserve">Trainline - EU Train Tickets</t>
  </si>
  <si>
    <t xml:space="preserve">Lufthansa - Airline Ticket</t>
  </si>
  <si>
    <t xml:space="preserve">Trainline - EU Incorrect Train Ticket Refund</t>
  </si>
  <si>
    <t xml:space="preserve">Flight Centre - Qatar Flight Charges</t>
  </si>
  <si>
    <t xml:space="preserve">Flight Centre - Singapore Airlines April USA/EU/Singapore Trip</t>
  </si>
  <si>
    <t xml:space="preserve">US Customs - ESTA Visa</t>
  </si>
  <si>
    <t xml:space="preserve">Delta Air Lines Inc. - Flight April LAX JFK</t>
  </si>
  <si>
    <t xml:space="preserve">Richard Duffy - Petty Cash for EU</t>
  </si>
  <si>
    <t xml:space="preserve">Orange Travel - Orange Travel eSim</t>
  </si>
  <si>
    <t xml:space="preserve">Qatar Airways - Inflight Internet </t>
  </si>
  <si>
    <t xml:space="preserve">Richard Duffy - ATM Withdrawel EU Petty Cash</t>
  </si>
  <si>
    <t xml:space="preserve">Sofitel Hotel - Accommodation EU</t>
  </si>
  <si>
    <t xml:space="preserve">Orange Travel - Train/Bus Travel Tickets EU</t>
  </si>
  <si>
    <t xml:space="preserve">Ristorante Da Giovanni - Food EU</t>
  </si>
  <si>
    <t xml:space="preserve">Flight Centre - Refund Singapore Airlines to pay for Qatar EU</t>
  </si>
  <si>
    <t xml:space="preserve">Trainline - EU Trainline Tickets</t>
  </si>
  <si>
    <t xml:space="preserve">Omio - Eu Train/Bus Ticket</t>
  </si>
  <si>
    <t xml:space="preserve">Deutsche Bahn - Train Tickets EU</t>
  </si>
  <si>
    <t xml:space="preserve">McDonalds - Food EU</t>
  </si>
  <si>
    <t xml:space="preserve">Keolis - EU Travel Tickets</t>
  </si>
  <si>
    <t xml:space="preserve">Hotel Atlantic - EU Accommodation</t>
  </si>
  <si>
    <t xml:space="preserve">Richard Duffy - Groceries EU</t>
  </si>
  <si>
    <t xml:space="preserve">OEBB - Train Tickets EU</t>
  </si>
  <si>
    <t xml:space="preserve">Deutsche Bahn - Partial Refund due to Train Strike</t>
  </si>
  <si>
    <t xml:space="preserve">Sheraton Grand Hotel - Accommodation EU</t>
  </si>
  <si>
    <t xml:space="preserve">7-Eleven - Food EU</t>
  </si>
  <si>
    <t xml:space="preserve">Richard Duffy - Food EU</t>
  </si>
  <si>
    <t xml:space="preserve">Moxy Milan - Accommodation EU</t>
  </si>
  <si>
    <t xml:space="preserve">Richard Duffy - Client Expenses EU</t>
  </si>
  <si>
    <t xml:space="preserve">George Prime Steak - Food EU</t>
  </si>
  <si>
    <t xml:space="preserve">Starbucks - Food EU</t>
  </si>
  <si>
    <t xml:space="preserve">Qatar Airways - Inflight WIFI EU</t>
  </si>
  <si>
    <t xml:space="preserve">AOB Airportbus - Airport Bus EU</t>
  </si>
  <si>
    <t xml:space="preserve">Keolis - Airport Bus EU</t>
  </si>
  <si>
    <t xml:space="preserve">Billund - Airport Bus EU</t>
  </si>
  <si>
    <t xml:space="preserve">Flight Centre - Flight Change Fee NY/Frankfurt</t>
  </si>
  <si>
    <t xml:space="preserve">Lufthansa - FRA-BLL Flight</t>
  </si>
  <si>
    <t xml:space="preserve">Lufthansa - BLL-MUC Flight</t>
  </si>
  <si>
    <t xml:space="preserve">Lufthansa - MAD-FRA Flight</t>
  </si>
  <si>
    <t xml:space="preserve">Lufthansa - MUC-MAD Flight</t>
  </si>
  <si>
    <t xml:space="preserve">Starbucks - Food + Coffee USA</t>
  </si>
  <si>
    <t xml:space="preserve">Orange Travel - Bus/Train Ticket Travel EU</t>
  </si>
  <si>
    <t xml:space="preserve">Sheraton Grand Hotel - Food and Hotel Amenities USA</t>
  </si>
  <si>
    <t xml:space="preserve">Target - Clothing USA</t>
  </si>
  <si>
    <t xml:space="preserve">Barrio Cafe - Food Phoenix USA</t>
  </si>
  <si>
    <t xml:space="preserve">Sheraton Grand Hotel - Phoenix Accommodation USA</t>
  </si>
  <si>
    <t xml:space="preserve">Flight Centre - USA Ticket June 2024</t>
  </si>
  <si>
    <t xml:space="preserve">United Airlines - Inflight Wifi UA</t>
  </si>
  <si>
    <t xml:space="preserve">Starbucks - Food USA</t>
  </si>
  <si>
    <t xml:space="preserve">Pepsi Vending Machine - Drink USA</t>
  </si>
  <si>
    <t xml:space="preserve">Scandic Aarhus City - Denmark Accommodation</t>
  </si>
  <si>
    <t xml:space="preserve">Sheraton Grand Hotel - Accommodation Phoenix USA</t>
  </si>
  <si>
    <t xml:space="preserve">7-Eleven - Food USA</t>
  </si>
  <si>
    <t xml:space="preserve">Dominos - Food USA</t>
  </si>
  <si>
    <t xml:space="preserve">Jersey Mikes - Food USA</t>
  </si>
  <si>
    <t xml:space="preserve">Ralphs - Groceries/Toiletries USA</t>
  </si>
  <si>
    <t xml:space="preserve">Way Parking - City Parking USA</t>
  </si>
  <si>
    <t xml:space="preserve">Fonda Theatre - Food USA</t>
  </si>
  <si>
    <t xml:space="preserve">Fonda Theatre - Drinks USA</t>
  </si>
  <si>
    <t xml:space="preserve">Chevron - Fuel USA</t>
  </si>
  <si>
    <t xml:space="preserve">Chevron - Food/Drinks USA</t>
  </si>
  <si>
    <t xml:space="preserve">Hertz Car Rental - Car Hire USA</t>
  </si>
  <si>
    <t xml:space="preserve">Nonstop - Food LAX</t>
  </si>
  <si>
    <t xml:space="preserve">Starbucks - Coffee USA</t>
  </si>
  <si>
    <t xml:space="preserve">Residence Inn - Accommodation USA</t>
  </si>
  <si>
    <t xml:space="preserve">Richard Duffy - Petty Cash EU</t>
  </si>
  <si>
    <t xml:space="preserve">Sixt - Car Rental EU</t>
  </si>
  <si>
    <t xml:space="preserve">Scandic Aarhus City - Accommodation Expenses</t>
  </si>
  <si>
    <t xml:space="preserve">T-Mobile - HotSpot EU</t>
  </si>
  <si>
    <t xml:space="preserve">Starbucks - Coffee EU</t>
  </si>
  <si>
    <t xml:space="preserve">Marriott Hotel - Le Meridien Munich Accommodation EU</t>
  </si>
  <si>
    <t xml:space="preserve">T-Mobile - International Hot Spot EU</t>
  </si>
  <si>
    <t xml:space="preserve">Hotel Silken Puerta Madrid - Accommodation Madrid EU</t>
  </si>
  <si>
    <t xml:space="preserve">Tony Roma's - Food EU</t>
  </si>
  <si>
    <t xml:space="preserve">Eurostar - Eurostar Travel Ticket EU</t>
  </si>
  <si>
    <t xml:space="preserve">Sheraton Grand Hotel - Accommodation Frankfurt EU</t>
  </si>
  <si>
    <t xml:space="preserve">Hotel Silken Puerta Madrid - Hotel Charges EU</t>
  </si>
  <si>
    <t xml:space="preserve">Hotel Silken Puerta Madrid - Accommodation EU</t>
  </si>
  <si>
    <t xml:space="preserve">Moulin Rouge - Entertainment EU</t>
  </si>
  <si>
    <t xml:space="preserve">RC Hotels - Singapore Accommodation</t>
  </si>
  <si>
    <t xml:space="preserve">Viking River Cruises - Drinks Package EU</t>
  </si>
  <si>
    <t xml:space="preserve">Way Parking - USA Parking Fee</t>
  </si>
  <si>
    <t xml:space="preserve">Richard Duffy - Petty Cash USA</t>
  </si>
  <si>
    <t xml:space="preserve">Ralphs - Groceries LA</t>
  </si>
  <si>
    <t xml:space="preserve">McDonalds - Food LA</t>
  </si>
  <si>
    <t xml:space="preserve">Starbucks - Food and Drink LA</t>
  </si>
  <si>
    <t xml:space="preserve">Richard Duffy - Petty Cash LA</t>
  </si>
  <si>
    <t xml:space="preserve">Target - Clothes and Travel Supplies LA</t>
  </si>
  <si>
    <t xml:space="preserve">Ralphs - Food LA</t>
  </si>
  <si>
    <t xml:space="preserve">Residence Inn - Accomodation in LA</t>
  </si>
  <si>
    <t xml:space="preserve">Air France - Amex Points Refund</t>
  </si>
  <si>
    <t xml:space="preserve">Air France - EU Flights</t>
  </si>
  <si>
    <t xml:space="preserve">GNV - Ferry Tickets EU</t>
  </si>
  <si>
    <t xml:space="preserve">Holmans: A3 To clear suspense a/c</t>
  </si>
  <si>
    <t xml:space="preserve">#23004</t>
  </si>
  <si>
    <t xml:space="preserve">Total 494 - Travel - International</t>
  </si>
  <si>
    <t xml:space="preserve">497 - Bank Revaluations</t>
  </si>
  <si>
    <t xml:space="preserve">497</t>
  </si>
  <si>
    <t xml:space="preserve">Currency Adjustment</t>
  </si>
  <si>
    <t xml:space="preserve">Total 497 - Bank Revaluations</t>
  </si>
  <si>
    <t xml:space="preserve">498 - Unrealised Currency Gains/Losses</t>
  </si>
  <si>
    <t xml:space="preserve">498</t>
  </si>
  <si>
    <t xml:space="preserve">Total 498 - Unrealised Currency Gains/Losses</t>
  </si>
  <si>
    <t xml:space="preserve">499 - Realised Currency Gains/Losses</t>
  </si>
  <si>
    <t xml:space="preserve">499</t>
  </si>
  <si>
    <t xml:space="preserve">Receivable Payment</t>
  </si>
  <si>
    <t xml:space="preserve">Payment: TISI Singapore Pte Ltd</t>
  </si>
  <si>
    <t xml:space="preserve">Payment: The World Management</t>
  </si>
  <si>
    <t xml:space="preserve">Payment: Anagenix Ltd</t>
  </si>
  <si>
    <t xml:space="preserve">INV-2117</t>
  </si>
  <si>
    <t xml:space="preserve">Payment: FUJIFILM Microchannel Ltd</t>
  </si>
  <si>
    <t xml:space="preserve">INV-2069</t>
  </si>
  <si>
    <t xml:space="preserve">INV-1994</t>
  </si>
  <si>
    <t xml:space="preserve">Payable Payment</t>
  </si>
  <si>
    <t xml:space="preserve">Payment: Duo 2FA</t>
  </si>
  <si>
    <t xml:space="preserve">10943268</t>
  </si>
  <si>
    <t xml:space="preserve">Payment: MilkTest NZ</t>
  </si>
  <si>
    <t xml:space="preserve">INV-2098</t>
  </si>
  <si>
    <t xml:space="preserve">Payment: triCerat</t>
  </si>
  <si>
    <t xml:space="preserve">Payment: I-BN (I-Business Network)</t>
  </si>
  <si>
    <t xml:space="preserve">Payment: AFON Technologies Pte Ltd</t>
  </si>
  <si>
    <t xml:space="preserve">INV-2029</t>
  </si>
  <si>
    <t xml:space="preserve">INV-2059</t>
  </si>
  <si>
    <t xml:space="preserve">INV-2027</t>
  </si>
  <si>
    <t xml:space="preserve">INV-2030</t>
  </si>
  <si>
    <t xml:space="preserve">INV-2126</t>
  </si>
  <si>
    <t xml:space="preserve">INV-2067</t>
  </si>
  <si>
    <t xml:space="preserve">Payment: Business Evolution Group Limited</t>
  </si>
  <si>
    <t xml:space="preserve">INV-2004</t>
  </si>
  <si>
    <t xml:space="preserve">INV-2163</t>
  </si>
  <si>
    <t xml:space="preserve">INV-2065</t>
  </si>
  <si>
    <t xml:space="preserve">INV-2063</t>
  </si>
  <si>
    <t xml:space="preserve">Payment: Vantage Specialty Chemicals</t>
  </si>
  <si>
    <t xml:space="preserve">INV-2120</t>
  </si>
  <si>
    <t xml:space="preserve">INV-2181</t>
  </si>
  <si>
    <t xml:space="preserve">Payment: FUJIFILM Microchannel Singapore</t>
  </si>
  <si>
    <t xml:space="preserve">INV-2175</t>
  </si>
  <si>
    <t xml:space="preserve">INV-2064</t>
  </si>
  <si>
    <t xml:space="preserve">INV-2133</t>
  </si>
  <si>
    <t xml:space="preserve">INV-2062</t>
  </si>
  <si>
    <t xml:space="preserve">INV-2068</t>
  </si>
  <si>
    <t xml:space="preserve">INV-2134</t>
  </si>
  <si>
    <t xml:space="preserve">INV-2135</t>
  </si>
  <si>
    <t xml:space="preserve">Payment: Word Press</t>
  </si>
  <si>
    <t xml:space="preserve">Payment: Bitpeople A/S</t>
  </si>
  <si>
    <t xml:space="preserve">INV-2125</t>
  </si>
  <si>
    <t xml:space="preserve">INV-2136</t>
  </si>
  <si>
    <t xml:space="preserve">Payment: InformEtica Consulting</t>
  </si>
  <si>
    <t xml:space="preserve">INV-2193</t>
  </si>
  <si>
    <t xml:space="preserve">INV-2131</t>
  </si>
  <si>
    <t xml:space="preserve">INV-2130</t>
  </si>
  <si>
    <t xml:space="preserve">INV-2192</t>
  </si>
  <si>
    <t xml:space="preserve">INV-2244</t>
  </si>
  <si>
    <t xml:space="preserve">Payment: CertPro</t>
  </si>
  <si>
    <t xml:space="preserve">INV-2184</t>
  </si>
  <si>
    <t xml:space="preserve">INV-2249</t>
  </si>
  <si>
    <t xml:space="preserve">INV-2222</t>
  </si>
  <si>
    <t xml:space="preserve">Payment: ExamVision ApS</t>
  </si>
  <si>
    <t xml:space="preserve">INV-2251</t>
  </si>
  <si>
    <t xml:space="preserve">INV-2132</t>
  </si>
  <si>
    <t xml:space="preserve">INV-2194</t>
  </si>
  <si>
    <t xml:space="preserve">Payment: Ozone IT Limited</t>
  </si>
  <si>
    <t xml:space="preserve">INV-2161</t>
  </si>
  <si>
    <t xml:space="preserve">INV-2195</t>
  </si>
  <si>
    <t xml:space="preserve">Payment: Cal4Care</t>
  </si>
  <si>
    <t xml:space="preserve">INV-2237</t>
  </si>
  <si>
    <t xml:space="preserve">INV-2225</t>
  </si>
  <si>
    <t xml:space="preserve">INV-2224</t>
  </si>
  <si>
    <t xml:space="preserve">INV-2199</t>
  </si>
  <si>
    <t xml:space="preserve">INV-2255</t>
  </si>
  <si>
    <t xml:space="preserve">INV-2309</t>
  </si>
  <si>
    <t xml:space="preserve">11017682</t>
  </si>
  <si>
    <t xml:space="preserve">INV-2314</t>
  </si>
  <si>
    <t xml:space="preserve">Payment: Avoxi</t>
  </si>
  <si>
    <t xml:space="preserve">Payment: InnoTech Srl</t>
  </si>
  <si>
    <t xml:space="preserve">INV-2189</t>
  </si>
  <si>
    <t xml:space="preserve">INV-2191</t>
  </si>
  <si>
    <t xml:space="preserve">INV-2190</t>
  </si>
  <si>
    <t xml:space="preserve">INV-2291</t>
  </si>
  <si>
    <t xml:space="preserve">Payment: cPanel</t>
  </si>
  <si>
    <t xml:space="preserve">INV-2289</t>
  </si>
  <si>
    <t xml:space="preserve">INV-2220</t>
  </si>
  <si>
    <t xml:space="preserve">INV-2318</t>
  </si>
  <si>
    <t xml:space="preserve">INV-2264</t>
  </si>
  <si>
    <t xml:space="preserve">INV-2303</t>
  </si>
  <si>
    <t xml:space="preserve">INV-2238</t>
  </si>
  <si>
    <t xml:space="preserve">INV-2176</t>
  </si>
  <si>
    <t xml:space="preserve">INV-2304</t>
  </si>
  <si>
    <t xml:space="preserve">Payment: Hootsuite</t>
  </si>
  <si>
    <t xml:space="preserve">INV-2312</t>
  </si>
  <si>
    <t xml:space="preserve">Payment: SMTP2GO</t>
  </si>
  <si>
    <t xml:space="preserve">INV-2259</t>
  </si>
  <si>
    <t xml:space="preserve">INV-2262</t>
  </si>
  <si>
    <t xml:space="preserve">INV-2263</t>
  </si>
  <si>
    <t xml:space="preserve">INV-2374</t>
  </si>
  <si>
    <t xml:space="preserve">Payment: Content Pros</t>
  </si>
  <si>
    <t xml:space="preserve">INV-2380</t>
  </si>
  <si>
    <t xml:space="preserve">INV-2319</t>
  </si>
  <si>
    <t xml:space="preserve">Payment: Hitachi Asia Ltd.</t>
  </si>
  <si>
    <t xml:space="preserve">INV-2388</t>
  </si>
  <si>
    <t xml:space="preserve">INV-2360</t>
  </si>
  <si>
    <t xml:space="preserve">INV-2385</t>
  </si>
  <si>
    <t xml:space="preserve">INV-2261</t>
  </si>
  <si>
    <t xml:space="preserve">INV-2330</t>
  </si>
  <si>
    <t xml:space="preserve">INV-2260</t>
  </si>
  <si>
    <t xml:space="preserve">INV-2329</t>
  </si>
  <si>
    <t xml:space="preserve">INV-2362</t>
  </si>
  <si>
    <t xml:space="preserve">INV-2363</t>
  </si>
  <si>
    <t xml:space="preserve">INV-2331</t>
  </si>
  <si>
    <t xml:space="preserve">INV-2392</t>
  </si>
  <si>
    <t xml:space="preserve">INV-2455</t>
  </si>
  <si>
    <t xml:space="preserve">INV-2383</t>
  </si>
  <si>
    <t xml:space="preserve">INV-2327</t>
  </si>
  <si>
    <t xml:space="preserve">INV-2325</t>
  </si>
  <si>
    <t xml:space="preserve">INV-2326</t>
  </si>
  <si>
    <t xml:space="preserve">INV-2328</t>
  </si>
  <si>
    <t xml:space="preserve">INV-2466</t>
  </si>
  <si>
    <t xml:space="preserve">INV-2433</t>
  </si>
  <si>
    <t xml:space="preserve">Payment: Alluvia</t>
  </si>
  <si>
    <t xml:space="preserve">INV-2461</t>
  </si>
  <si>
    <t xml:space="preserve">INV-2446</t>
  </si>
  <si>
    <t xml:space="preserve">INV-2469</t>
  </si>
  <si>
    <t xml:space="preserve">Payment: CBA Parallels</t>
  </si>
  <si>
    <t xml:space="preserve">Payment: CBI Parallels</t>
  </si>
  <si>
    <t xml:space="preserve">INV-2334</t>
  </si>
  <si>
    <t xml:space="preserve">INV-2431</t>
  </si>
  <si>
    <t xml:space="preserve">INV-2358</t>
  </si>
  <si>
    <t xml:space="preserve">INV-2393</t>
  </si>
  <si>
    <t xml:space="preserve">INV-2472</t>
  </si>
  <si>
    <t xml:space="preserve">INV-2534</t>
  </si>
  <si>
    <t xml:space="preserve">INV-2511</t>
  </si>
  <si>
    <t xml:space="preserve">INV-2527</t>
  </si>
  <si>
    <t xml:space="preserve">INV-2532</t>
  </si>
  <si>
    <t xml:space="preserve">INV-2463</t>
  </si>
  <si>
    <t xml:space="preserve">INV-2509</t>
  </si>
  <si>
    <t xml:space="preserve">INV-2398</t>
  </si>
  <si>
    <t xml:space="preserve">INV-2399</t>
  </si>
  <si>
    <t xml:space="preserve">INV-2396</t>
  </si>
  <si>
    <t xml:space="preserve">INV-2397</t>
  </si>
  <si>
    <t xml:space="preserve">INV-2400</t>
  </si>
  <si>
    <t xml:space="preserve">INV-2402</t>
  </si>
  <si>
    <t xml:space="preserve">INV-2538</t>
  </si>
  <si>
    <t xml:space="preserve">INV-2408</t>
  </si>
  <si>
    <t xml:space="preserve">INV-2521</t>
  </si>
  <si>
    <t xml:space="preserve">INV-2539</t>
  </si>
  <si>
    <t xml:space="preserve">Payment: Equinix Germany</t>
  </si>
  <si>
    <t xml:space="preserve">159210295616</t>
  </si>
  <si>
    <t xml:space="preserve">INV-2403</t>
  </si>
  <si>
    <t xml:space="preserve">INV-2435</t>
  </si>
  <si>
    <t xml:space="preserve">INV-2436</t>
  </si>
  <si>
    <t xml:space="preserve">INV-2604</t>
  </si>
  <si>
    <t xml:space="preserve">11122644</t>
  </si>
  <si>
    <t xml:space="preserve">INV-2506</t>
  </si>
  <si>
    <t xml:space="preserve">INV-2573</t>
  </si>
  <si>
    <t xml:space="preserve">INV-2592</t>
  </si>
  <si>
    <t xml:space="preserve">Payment: KDS Consulting Sdn Bhd</t>
  </si>
  <si>
    <t xml:space="preserve">INV-2508</t>
  </si>
  <si>
    <t xml:space="preserve">INV-2599</t>
  </si>
  <si>
    <t xml:space="preserve">Payment: Dart Innovations</t>
  </si>
  <si>
    <t xml:space="preserve">Payment: Tasman Graphics</t>
  </si>
  <si>
    <t xml:space="preserve">INV-2522</t>
  </si>
  <si>
    <t xml:space="preserve">INV-2585</t>
  </si>
  <si>
    <t xml:space="preserve">INV-2375</t>
  </si>
  <si>
    <t xml:space="preserve">INV-2447</t>
  </si>
  <si>
    <t xml:space="preserve">INV-2540</t>
  </si>
  <si>
    <t xml:space="preserve">INV-2587</t>
  </si>
  <si>
    <t xml:space="preserve">INV-2546</t>
  </si>
  <si>
    <t xml:space="preserve">Payment: Heat Transfer Research, Inc</t>
  </si>
  <si>
    <t xml:space="preserve">INV-2606</t>
  </si>
  <si>
    <t xml:space="preserve">INV-2575</t>
  </si>
  <si>
    <t xml:space="preserve">Payment: Zutom</t>
  </si>
  <si>
    <t xml:space="preserve">FV-1057/2023</t>
  </si>
  <si>
    <t xml:space="preserve">INV-2478</t>
  </si>
  <si>
    <t xml:space="preserve">INV-2476</t>
  </si>
  <si>
    <t xml:space="preserve">INV-2475</t>
  </si>
  <si>
    <t xml:space="preserve">INV-2477</t>
  </si>
  <si>
    <t xml:space="preserve">INV-2481</t>
  </si>
  <si>
    <t xml:space="preserve">INV-2549</t>
  </si>
  <si>
    <t xml:space="preserve">INV-2401</t>
  </si>
  <si>
    <t xml:space="preserve">INV-2479</t>
  </si>
  <si>
    <t xml:space="preserve">INV-2480</t>
  </si>
  <si>
    <t xml:space="preserve">INV-2548</t>
  </si>
  <si>
    <t xml:space="preserve">INV-2537</t>
  </si>
  <si>
    <t xml:space="preserve">INV-2605</t>
  </si>
  <si>
    <t xml:space="preserve">INV-2543</t>
  </si>
  <si>
    <t xml:space="preserve">INV-2658</t>
  </si>
  <si>
    <t xml:space="preserve">INV-2660</t>
  </si>
  <si>
    <t xml:space="preserve">INV-2545</t>
  </si>
  <si>
    <t xml:space="preserve">INV-2649</t>
  </si>
  <si>
    <t xml:space="preserve">INV-2577</t>
  </si>
  <si>
    <t xml:space="preserve">INV-2544</t>
  </si>
  <si>
    <t xml:space="preserve">INV-2547</t>
  </si>
  <si>
    <t xml:space="preserve">INV-2666</t>
  </si>
  <si>
    <t xml:space="preserve">INV-2601</t>
  </si>
  <si>
    <t xml:space="preserve">INV-2684</t>
  </si>
  <si>
    <t xml:space="preserve">INV-2680</t>
  </si>
  <si>
    <t xml:space="preserve">INV-2673</t>
  </si>
  <si>
    <t xml:space="preserve">INV-2675</t>
  </si>
  <si>
    <t xml:space="preserve">Payment: A/S Rolf Schmidt Industri Plast</t>
  </si>
  <si>
    <t xml:space="preserve">INV-2682</t>
  </si>
  <si>
    <t xml:space="preserve">159210300779</t>
  </si>
  <si>
    <t xml:space="preserve">INV-2647</t>
  </si>
  <si>
    <t xml:space="preserve">INV-2683</t>
  </si>
  <si>
    <t xml:space="preserve">INV-2685</t>
  </si>
  <si>
    <t xml:space="preserve">INV-2614</t>
  </si>
  <si>
    <t xml:space="preserve">INV-2611</t>
  </si>
  <si>
    <t xml:space="preserve">INV-2615</t>
  </si>
  <si>
    <t xml:space="preserve">INV-2639</t>
  </si>
  <si>
    <t xml:space="preserve">Payment: Klaviyo</t>
  </si>
  <si>
    <t xml:space="preserve">159210304896</t>
  </si>
  <si>
    <t xml:space="preserve">INV-2609</t>
  </si>
  <si>
    <t xml:space="preserve">INV-2610</t>
  </si>
  <si>
    <t xml:space="preserve">INV-2741</t>
  </si>
  <si>
    <t xml:space="preserve">INV-2734</t>
  </si>
  <si>
    <t xml:space="preserve">INV-2754</t>
  </si>
  <si>
    <t xml:space="preserve">INV-2736</t>
  </si>
  <si>
    <t xml:space="preserve">INV-2744</t>
  </si>
  <si>
    <t xml:space="preserve">INV-2669</t>
  </si>
  <si>
    <t xml:space="preserve">INV-2668</t>
  </si>
  <si>
    <t xml:space="preserve">INV-2667</t>
  </si>
  <si>
    <t xml:space="preserve">INV-2670</t>
  </si>
  <si>
    <t xml:space="preserve">INV-2742</t>
  </si>
  <si>
    <t xml:space="preserve">INV-2758</t>
  </si>
  <si>
    <t xml:space="preserve">INV-2616</t>
  </si>
  <si>
    <t xml:space="preserve">INV-2482</t>
  </si>
  <si>
    <t xml:space="preserve">INV-2550</t>
  </si>
  <si>
    <t xml:space="preserve">INV-2617</t>
  </si>
  <si>
    <t xml:space="preserve">INV-2618</t>
  </si>
  <si>
    <t xml:space="preserve">INV-2747</t>
  </si>
  <si>
    <t xml:space="preserve">Payment: Devolutions Inc</t>
  </si>
  <si>
    <t xml:space="preserve">INV-2755</t>
  </si>
  <si>
    <t xml:space="preserve">INV-2750</t>
  </si>
  <si>
    <t xml:space="preserve">INV-2725</t>
  </si>
  <si>
    <t xml:space="preserve">INV-2613</t>
  </si>
  <si>
    <t xml:space="preserve">INV-2612</t>
  </si>
  <si>
    <t xml:space="preserve">INV-2693</t>
  </si>
  <si>
    <t xml:space="preserve">INV-2694</t>
  </si>
  <si>
    <t xml:space="preserve">Payment: Matfer Bourgeat</t>
  </si>
  <si>
    <t xml:space="preserve">INV-2696</t>
  </si>
  <si>
    <t xml:space="preserve">INV-2695</t>
  </si>
  <si>
    <t xml:space="preserve">INV-2691</t>
  </si>
  <si>
    <t xml:space="preserve">INV-2697</t>
  </si>
  <si>
    <t xml:space="preserve">INV-2815</t>
  </si>
  <si>
    <t xml:space="preserve">INV-2745</t>
  </si>
  <si>
    <t xml:space="preserve">INV-2586</t>
  </si>
  <si>
    <t xml:space="preserve">INV-2659</t>
  </si>
  <si>
    <t xml:space="preserve">INV-2735</t>
  </si>
  <si>
    <t xml:space="preserve">INV-2826</t>
  </si>
  <si>
    <t xml:space="preserve">INV-2820</t>
  </si>
  <si>
    <t xml:space="preserve">INV-2822</t>
  </si>
  <si>
    <t xml:space="preserve">159210306273</t>
  </si>
  <si>
    <t xml:space="preserve">INV-2766</t>
  </si>
  <si>
    <t xml:space="preserve">INV-2769</t>
  </si>
  <si>
    <t xml:space="preserve">INV-2692</t>
  </si>
  <si>
    <t xml:space="preserve">INV-2756</t>
  </si>
  <si>
    <t xml:space="preserve">INV-2767</t>
  </si>
  <si>
    <t xml:space="preserve">Payment: Equinix USA</t>
  </si>
  <si>
    <t xml:space="preserve">100210567198</t>
  </si>
  <si>
    <t xml:space="preserve">INV-2797</t>
  </si>
  <si>
    <t xml:space="preserve">INV-2806</t>
  </si>
  <si>
    <t xml:space="preserve">INV-2809</t>
  </si>
  <si>
    <t xml:space="preserve">INV-2751</t>
  </si>
  <si>
    <t xml:space="preserve">INV-2833</t>
  </si>
  <si>
    <t xml:space="preserve">Payment: N'Ware Technologies Ltd</t>
  </si>
  <si>
    <t xml:space="preserve">INV-2688</t>
  </si>
  <si>
    <t xml:space="preserve">Payment: Hitachi Sunway Information Systems (Singapore) Pte. Ltd.</t>
  </si>
  <si>
    <t xml:space="preserve">INV-2759</t>
  </si>
  <si>
    <t xml:space="preserve">Payment: Ubiquiti</t>
  </si>
  <si>
    <t xml:space="preserve">US1072373</t>
  </si>
  <si>
    <t xml:space="preserve">INV-2825</t>
  </si>
  <si>
    <t xml:space="preserve">Payment: MyWave</t>
  </si>
  <si>
    <t xml:space="preserve">INV-2645</t>
  </si>
  <si>
    <t xml:space="preserve">INV-2723</t>
  </si>
  <si>
    <t xml:space="preserve">INV-2795</t>
  </si>
  <si>
    <t xml:space="preserve">INV-2888</t>
  </si>
  <si>
    <t xml:space="preserve">INV-2915</t>
  </si>
  <si>
    <t xml:space="preserve">INV-2768</t>
  </si>
  <si>
    <t xml:space="preserve">INV-2765</t>
  </si>
  <si>
    <t xml:space="preserve">INV-2763</t>
  </si>
  <si>
    <t xml:space="preserve">INV-2764</t>
  </si>
  <si>
    <t xml:space="preserve">INV-2894</t>
  </si>
  <si>
    <t xml:space="preserve">INV-2905</t>
  </si>
  <si>
    <t xml:space="preserve">INV-2902</t>
  </si>
  <si>
    <t xml:space="preserve">INV-2872</t>
  </si>
  <si>
    <t xml:space="preserve">INV-2909</t>
  </si>
  <si>
    <t xml:space="preserve">INV-2834</t>
  </si>
  <si>
    <t xml:space="preserve">INV-2817</t>
  </si>
  <si>
    <t xml:space="preserve">INV-2816</t>
  </si>
  <si>
    <t xml:space="preserve">INV-2841</t>
  </si>
  <si>
    <t xml:space="preserve">INV-2842</t>
  </si>
  <si>
    <t xml:space="preserve">INV-2832</t>
  </si>
  <si>
    <t xml:space="preserve">INV-2910</t>
  </si>
  <si>
    <t xml:space="preserve">159210310522</t>
  </si>
  <si>
    <t xml:space="preserve">Total 499 - Realised Currency Gains/Losses</t>
  </si>
  <si>
    <t xml:space="preserve">504 - Data Centre Equipment</t>
  </si>
  <si>
    <t xml:space="preserve">504</t>
  </si>
  <si>
    <t xml:space="preserve">Servers Australia - Rapid SSL Wildcard Annual Charge until 16/07/24</t>
  </si>
  <si>
    <t xml:space="preserve">731011</t>
  </si>
  <si>
    <t xml:space="preserve">4Cabling - Cables and Connectors 27/07</t>
  </si>
  <si>
    <t xml:space="preserve">Dell Australia - Dell Rental Q4 October to December 2023</t>
  </si>
  <si>
    <t xml:space="preserve">5400137372</t>
  </si>
  <si>
    <t xml:space="preserve">Dell Australia - Dell Rental Charges</t>
  </si>
  <si>
    <t xml:space="preserve">Dell Australia - Dell September-November 2023 Rental</t>
  </si>
  <si>
    <t xml:space="preserve">5400143051</t>
  </si>
  <si>
    <t xml:space="preserve">Dell Australia - Dell Rental September-November 2023</t>
  </si>
  <si>
    <t xml:space="preserve">5400143229</t>
  </si>
  <si>
    <t xml:space="preserve">Dell Australia - Dell Rental Q1 2024</t>
  </si>
  <si>
    <t xml:space="preserve">5400146450</t>
  </si>
  <si>
    <t xml:space="preserve">ACT Networks - 2 x DELL R740 168FF / 20 x Dell 3.84TB SSD</t>
  </si>
  <si>
    <t xml:space="preserve">22781</t>
  </si>
  <si>
    <t xml:space="preserve">Rack Solutions - 2x 3U Horizontal Fan Panel / 2x 1U Brush Blanking Panel + Shipping</t>
  </si>
  <si>
    <t xml:space="preserve">6503003</t>
  </si>
  <si>
    <t xml:space="preserve">4Cabling - 1RU 6 Way GPO Rack Mount PDU Power Rail / Ubiquiti UniFi USW-PRO-AGGREGATION 28-port 10G SFP+ &amp; 4-port 25G SFP28 Aggregation Layer 3 Switch</t>
  </si>
  <si>
    <t xml:space="preserve">Ubiquiti - Ubiquiti Switches for Germany</t>
  </si>
  <si>
    <t xml:space="preserve">Ubiquiti - Data Centre - Munich</t>
  </si>
  <si>
    <t xml:space="preserve">Dell Australia - 7 x 1.92TB SSD Cards</t>
  </si>
  <si>
    <t xml:space="preserve">2411728860</t>
  </si>
  <si>
    <t xml:space="preserve">Bluechip Infotech - 5 x Micron 5300PRO 3.84TB SSD</t>
  </si>
  <si>
    <t xml:space="preserve">SIN-1500502</t>
  </si>
  <si>
    <t xml:space="preserve">Scorptec Computers - 5 x Western Digital WD 16TB Red Pro NAS Hard Drive</t>
  </si>
  <si>
    <t xml:space="preserve">2815478</t>
  </si>
  <si>
    <t xml:space="preserve">QNAP - Intel Xeon 9-Bay Rackmount</t>
  </si>
  <si>
    <t xml:space="preserve">Servers Australia - Rapid SSL Wildcard (smbclouderp.com) Annual Invoice 2024</t>
  </si>
  <si>
    <t xml:space="preserve">793791</t>
  </si>
  <si>
    <t xml:space="preserve">Dell Australia - Dell Rental 1/12/23 - 29/2/24</t>
  </si>
  <si>
    <t xml:space="preserve">5400152054</t>
  </si>
  <si>
    <t xml:space="preserve">Servers Australia - RapidSSL Wildcard Annual Charge 2024</t>
  </si>
  <si>
    <t xml:space="preserve">798618</t>
  </si>
  <si>
    <t xml:space="preserve">Dell Australia - Dell Monthly Rental Charges</t>
  </si>
  <si>
    <t xml:space="preserve">ACT Networks - Munich Data Centre Equipment</t>
  </si>
  <si>
    <t xml:space="preserve">Dell Australia - Dell Rental Q2 2024</t>
  </si>
  <si>
    <t xml:space="preserve">Ubiquiti - Munich Data Centre Cables</t>
  </si>
  <si>
    <t xml:space="preserve">Dell Australia - Dell Rental 01/03/24 - 31/05/24</t>
  </si>
  <si>
    <t xml:space="preserve">5400162520</t>
  </si>
  <si>
    <t xml:space="preserve">Dell Australia - Dell Rental March to May 2024</t>
  </si>
  <si>
    <t xml:space="preserve">5400162305</t>
  </si>
  <si>
    <t xml:space="preserve">Dell Australia - DELL Rental 01/07/24 - 30/09/24</t>
  </si>
  <si>
    <t xml:space="preserve">5400166308</t>
  </si>
  <si>
    <t xml:space="preserve">QNAP - Storage Array for US Data Center</t>
  </si>
  <si>
    <t xml:space="preserve">Bluechip Infotech - SEAGATE EXOS ENTERPRISE 20TB, 512E/4KN INTERNAL 3.5"
SATA DRIVE, 6GB/S, 7200RPM x 5</t>
  </si>
  <si>
    <t xml:space="preserve">SIN-1532089</t>
  </si>
  <si>
    <t xml:space="preserve">Bluechip Infotech - Micron 5400PRO 3.84TB ENTERPRISE SSD, SATA 2.5â€ 3D
TLC, TCG Optional, R/W 540-520MB/s, 95K-30K IOPS,TBW
10512TB, DWPD 1.2, MTTF 3M Hrs, 5YR WTY x 5</t>
  </si>
  <si>
    <t xml:space="preserve">SIN-1532087</t>
  </si>
  <si>
    <t xml:space="preserve">Ubiquiti - Cables for US Data Center</t>
  </si>
  <si>
    <t xml:space="preserve">Amazon - Cables for US Data Center</t>
  </si>
  <si>
    <t xml:space="preserve">Home Depot - Tools for US Data Center</t>
  </si>
  <si>
    <t xml:space="preserve">Best Buy - Cables for US Data Center</t>
  </si>
  <si>
    <t xml:space="preserve">ACT Networks - 4 Servers for US Data Center</t>
  </si>
  <si>
    <t xml:space="preserve">Leader Computers (Alloy) - UDM Pro Max</t>
  </si>
  <si>
    <t xml:space="preserve">V-796791</t>
  </si>
  <si>
    <t xml:space="preserve">Total 504 - Data Centre Equipment</t>
  </si>
  <si>
    <t xml:space="preserve">506 - Data Center Co-location Expenses</t>
  </si>
  <si>
    <t xml:space="preserve">506</t>
  </si>
  <si>
    <t xml:space="preserve">Amazon Web ServicesAustralia Pty Ltd - AWS Service Charges June 2023</t>
  </si>
  <si>
    <t xml:space="preserve">AUIN23-1245415</t>
  </si>
  <si>
    <t xml:space="preserve">Servers Australia - Equinix SY3 Charges July-August 2023</t>
  </si>
  <si>
    <t xml:space="preserve">728308</t>
  </si>
  <si>
    <t xml:space="preserve">Servers Australia - Equinix SY4 August 2023</t>
  </si>
  <si>
    <t xml:space="preserve">731980</t>
  </si>
  <si>
    <t xml:space="preserve">Amazon Web ServicesAustralia Pty Ltd - AWS Charges July 2023</t>
  </si>
  <si>
    <t xml:space="preserve">AUIN23-1478945</t>
  </si>
  <si>
    <t xml:space="preserve">Servers Australia - Equinix SY3 August/September 2023</t>
  </si>
  <si>
    <t xml:space="preserve">738980</t>
  </si>
  <si>
    <t xml:space="preserve">Ion Consulting Group PTY LTD - Ticket 2509 &amp; 2512 - Equinix SY4 Equipment Offline Requiring Site Visit</t>
  </si>
  <si>
    <t xml:space="preserve">INV-1948</t>
  </si>
  <si>
    <t xml:space="preserve">Servers Australia - Equinix SY4 September 2023</t>
  </si>
  <si>
    <t xml:space="preserve">742568</t>
  </si>
  <si>
    <t xml:space="preserve">Amazon Web ServicesAustralia Pty Ltd - AWS Service Charges August 2023</t>
  </si>
  <si>
    <t xml:space="preserve">AUIN23-1668080</t>
  </si>
  <si>
    <t xml:space="preserve">Servers Australia - Equinix SY3 September/October 2023</t>
  </si>
  <si>
    <t xml:space="preserve">749505</t>
  </si>
  <si>
    <t xml:space="preserve">Servers Australia - Equinix SY4 October 2023</t>
  </si>
  <si>
    <t xml:space="preserve">753109</t>
  </si>
  <si>
    <t xml:space="preserve">Amazon Web ServicesAustralia Pty Ltd - AWS Service Charges September 2023</t>
  </si>
  <si>
    <t xml:space="preserve">AUIN23-1799931</t>
  </si>
  <si>
    <t xml:space="preserve">Servers Australia - SSL Certificate for Moche - 1yr Renewal October 2023-24</t>
  </si>
  <si>
    <t xml:space="preserve">758457</t>
  </si>
  <si>
    <t xml:space="preserve">Servers Australia - Equinix SY3 October/November 2023</t>
  </si>
  <si>
    <t xml:space="preserve">759997</t>
  </si>
  <si>
    <t xml:space="preserve">Servers Australia - Equinix SY4 November 2023</t>
  </si>
  <si>
    <t xml:space="preserve">763764</t>
  </si>
  <si>
    <t xml:space="preserve">Amazon Web ServicesAustralia Pty Ltd - AWS Services October 2023</t>
  </si>
  <si>
    <t xml:space="preserve">AUIN23-2024113</t>
  </si>
  <si>
    <t xml:space="preserve">Servers Australia - Equinix SY3 November/December 2023</t>
  </si>
  <si>
    <t xml:space="preserve">770620</t>
  </si>
  <si>
    <t xml:space="preserve">Servers Australia - Equinix SY4 December 2023</t>
  </si>
  <si>
    <t xml:space="preserve">774246</t>
  </si>
  <si>
    <t xml:space="preserve">Amazon Web ServicesAustralia Pty Ltd - AWS Charges November 2023</t>
  </si>
  <si>
    <t xml:space="preserve">AUIN23-2246819</t>
  </si>
  <si>
    <t xml:space="preserve">Servers Australia - Equinix SY3 December 2023/January 2024</t>
  </si>
  <si>
    <t xml:space="preserve">780880</t>
  </si>
  <si>
    <t xml:space="preserve">Servers Australia - Equinix SY4 January 2024</t>
  </si>
  <si>
    <t xml:space="preserve">784428</t>
  </si>
  <si>
    <t xml:space="preserve">Amazon Web ServicesAustralia Pty Ltd - AWS Charges December 2023</t>
  </si>
  <si>
    <t xml:space="preserve">AUIN24-172760</t>
  </si>
  <si>
    <t xml:space="preserve">Equinix Australia - Equinix Credit Refund - Transaction #131230009773 June 2023 Credit Memo</t>
  </si>
  <si>
    <t xml:space="preserve">Equinix Credit Refund</t>
  </si>
  <si>
    <t xml:space="preserve">Servers Australia - Equinix SY3 January/February 2024</t>
  </si>
  <si>
    <t xml:space="preserve">791096</t>
  </si>
  <si>
    <t xml:space="preserve">Equinix Germany - January 2024 Hosting Costs minus Credit Memo 159240023504</t>
  </si>
  <si>
    <t xml:space="preserve">Servers Australia - Equinix SY4 February 2024</t>
  </si>
  <si>
    <t xml:space="preserve">794760</t>
  </si>
  <si>
    <t xml:space="preserve">Equinix Germany - Equinix Germany Hosting Charges January 2024</t>
  </si>
  <si>
    <t xml:space="preserve">Amazon Web ServicesAustralia Pty Ltd - AWS Service Charges January 2024</t>
  </si>
  <si>
    <t xml:space="preserve">AUIN24-298266</t>
  </si>
  <si>
    <t xml:space="preserve">Servers Australia - Equinix SY3 February/March 2024</t>
  </si>
  <si>
    <t xml:space="preserve">801778</t>
  </si>
  <si>
    <t xml:space="preserve">Servers Australia - Equinix SY4 March 2024</t>
  </si>
  <si>
    <t xml:space="preserve">805027</t>
  </si>
  <si>
    <t xml:space="preserve">Servers Australia - 7TB Data Pack Pooled Data</t>
  </si>
  <si>
    <t xml:space="preserve">804542</t>
  </si>
  <si>
    <t xml:space="preserve">Equinix Germany - Equinix Munich Hosting Costs March 2024</t>
  </si>
  <si>
    <t xml:space="preserve">Amazon Web ServicesAustralia Pty Ltd - AWS Hosting Charges February 2024</t>
  </si>
  <si>
    <t xml:space="preserve">AUIN24-503291</t>
  </si>
  <si>
    <t xml:space="preserve">Servers Australia - Equinix SY3 March/April 2024</t>
  </si>
  <si>
    <t xml:space="preserve">811872</t>
  </si>
  <si>
    <t xml:space="preserve">Servers Australia - Equinix SY4 April 2024</t>
  </si>
  <si>
    <t xml:space="preserve">815622</t>
  </si>
  <si>
    <t xml:space="preserve">Equinix Germany - Equinix Munich April 2024</t>
  </si>
  <si>
    <t xml:space="preserve">Amazon Web ServicesAustralia Pty Ltd - AWS March 2024 Charges</t>
  </si>
  <si>
    <t xml:space="preserve">AUIN24-754590</t>
  </si>
  <si>
    <t xml:space="preserve">Servers Australia - S3 Compatible Object Storage April/May 2024</t>
  </si>
  <si>
    <t xml:space="preserve">822207</t>
  </si>
  <si>
    <t xml:space="preserve">Servers Australia - Equinix SY3 April/May 2024</t>
  </si>
  <si>
    <t xml:space="preserve">822456</t>
  </si>
  <si>
    <t xml:space="preserve">Servers Australia - Equinix SY4 May 2024</t>
  </si>
  <si>
    <t xml:space="preserve">826027</t>
  </si>
  <si>
    <t xml:space="preserve">Equinix Germany - Equinix Munich May 2024</t>
  </si>
  <si>
    <t xml:space="preserve">Equinix USA - LA3 Services booked by RD 28/3</t>
  </si>
  <si>
    <t xml:space="preserve">Amazon Web ServicesAustralia Pty Ltd - AWS Services April 2024</t>
  </si>
  <si>
    <t xml:space="preserve">AUIN24-861191</t>
  </si>
  <si>
    <t xml:space="preserve">Servers Australia - S3 Compatible Object Storage April 2024</t>
  </si>
  <si>
    <t xml:space="preserve">832420</t>
  </si>
  <si>
    <t xml:space="preserve">Servers Australia - Equinix SY3 May/June 2024</t>
  </si>
  <si>
    <t xml:space="preserve">832646</t>
  </si>
  <si>
    <t xml:space="preserve">Servers Australia - Equinix SY4 June 2024</t>
  </si>
  <si>
    <t xml:space="preserve">836480</t>
  </si>
  <si>
    <t xml:space="preserve">Ubiquiti - Equinix LA3 Supplies + Care products - see attached invoice for details</t>
  </si>
  <si>
    <t xml:space="preserve">Equinix Germany - MU1 June 2024</t>
  </si>
  <si>
    <t xml:space="preserve">159210314783</t>
  </si>
  <si>
    <t xml:space="preserve">Equinix USA - LA3 June 2024</t>
  </si>
  <si>
    <t xml:space="preserve">100210574731</t>
  </si>
  <si>
    <t xml:space="preserve">Amazon Web ServicesAustralia Pty Ltd - AWS Charges May 2024</t>
  </si>
  <si>
    <t xml:space="preserve">AUIN24-1039242</t>
  </si>
  <si>
    <t xml:space="preserve">Servers Australia - S3 Compatible Object Storage June/July 2024</t>
  </si>
  <si>
    <t xml:space="preserve">843274</t>
  </si>
  <si>
    <t xml:space="preserve">Servers Australia - Equinix SY3 June/July 2024</t>
  </si>
  <si>
    <t xml:space="preserve">843508</t>
  </si>
  <si>
    <t xml:space="preserve">Servers Australia - RapidSSL Wildcard smberpcloud.com Annual Renewal</t>
  </si>
  <si>
    <t xml:space="preserve">845324</t>
  </si>
  <si>
    <t xml:space="preserve">Servers Australia - RapidSSL Wildcard smbsolutions.com.au Annual Renewal</t>
  </si>
  <si>
    <t xml:space="preserve">845930</t>
  </si>
  <si>
    <t xml:space="preserve">Servers Australia - Equinix SY4 July 2024</t>
  </si>
  <si>
    <t xml:space="preserve">847294</t>
  </si>
  <si>
    <t xml:space="preserve">Total 506 - Data Center Co-location Expenses</t>
  </si>
  <si>
    <t xml:space="preserve">507 - Charitable Donations</t>
  </si>
  <si>
    <t xml:space="preserve">507</t>
  </si>
  <si>
    <t xml:space="preserve">ACF - ACF Donation</t>
  </si>
  <si>
    <t xml:space="preserve">Pets of the Homeless - Charity Donation</t>
  </si>
  <si>
    <t xml:space="preserve">The Shot - The Shot Donation</t>
  </si>
  <si>
    <t xml:space="preserve">AFMRC - Australians for a Murdoch Royal Commission Donation</t>
  </si>
  <si>
    <t xml:space="preserve">GetUp - GetUp Donation</t>
  </si>
  <si>
    <t xml:space="preserve">The Australia Institute - The Australia Institute Donation</t>
  </si>
  <si>
    <t xml:space="preserve">Mental Health Support (Donation) - Mental Health Support Donation</t>
  </si>
  <si>
    <t xml:space="preserve">MyCause - MyCause Donation</t>
  </si>
  <si>
    <t xml:space="preserve">WikiMedia Foundation</t>
  </si>
  <si>
    <t xml:space="preserve">Total 507 - Charitable Donations</t>
  </si>
  <si>
    <t xml:space="preserve">608 - Employee Amenities</t>
  </si>
  <si>
    <t xml:space="preserve">608</t>
  </si>
  <si>
    <t xml:space="preserve">Benjamin Ladewig - 45 Minute Personal Training - 15/8 and 22/8</t>
  </si>
  <si>
    <t xml:space="preserve">0001</t>
  </si>
  <si>
    <t xml:space="preserve">Benjamin Ladewig - 2 x 45 min PT Sessions - 31/8 and 5/9</t>
  </si>
  <si>
    <t xml:space="preserve">INV-002</t>
  </si>
  <si>
    <t xml:space="preserve">Benjamin Ladewig - 2 x 45 min PT Sessions - 28/9 &amp; 5/10</t>
  </si>
  <si>
    <t xml:space="preserve">INV-003</t>
  </si>
  <si>
    <t xml:space="preserve">Benjamin Ladewig - Personal Training Sessions - 19/10 &amp; 26/10</t>
  </si>
  <si>
    <t xml:space="preserve">INV-004</t>
  </si>
  <si>
    <t xml:space="preserve">Total 608 - Employee Amenities</t>
  </si>
  <si>
    <t xml:space="preserve">610 - Accounts Receivable</t>
  </si>
  <si>
    <t xml:space="preserve">610</t>
  </si>
  <si>
    <t xml:space="preserve">Current Asset</t>
  </si>
  <si>
    <t xml:space="preserve">TISI Singapore - August 2023</t>
  </si>
  <si>
    <t xml:space="preserve">The World Management - August 2023</t>
  </si>
  <si>
    <t xml:space="preserve">Payment: Machine Technology</t>
  </si>
  <si>
    <t xml:space="preserve">Machine Technology - July 2023</t>
  </si>
  <si>
    <t xml:space="preserve">Payment: Murray River Organics Group Limited Receivers and Managers Appointed</t>
  </si>
  <si>
    <t xml:space="preserve">MRO - June 2023 Hosting</t>
  </si>
  <si>
    <t xml:space="preserve">MRO MSP - June 2023</t>
  </si>
  <si>
    <t xml:space="preserve">Payment: Clear Pak Australia Pty Ltd</t>
  </si>
  <si>
    <t xml:space="preserve">Clear Pak - August 2023</t>
  </si>
  <si>
    <t xml:space="preserve">Anagenix Ltd - August 2023</t>
  </si>
  <si>
    <t xml:space="preserve">Bitpeople A/S</t>
  </si>
  <si>
    <t xml:space="preserve">Payment: Key Business Solutions</t>
  </si>
  <si>
    <t xml:space="preserve">Key Business Solutions - July 2023</t>
  </si>
  <si>
    <t xml:space="preserve">Payment: Aureus Consult Sdn Bhd</t>
  </si>
  <si>
    <t xml:space="preserve">Excelvite Sdn Bhd - July 2023</t>
  </si>
  <si>
    <t xml:space="preserve">Pan Asian Dairies - July 2023</t>
  </si>
  <si>
    <t xml:space="preserve">Eng Soon (J) Sdn Bhd - July 2023</t>
  </si>
  <si>
    <t xml:space="preserve">Emits Technology - July 2023</t>
  </si>
  <si>
    <t xml:space="preserve">Payment: Speedx Pty Ltd</t>
  </si>
  <si>
    <t xml:space="preserve">SpeeDx - August 2023</t>
  </si>
  <si>
    <t xml:space="preserve">Payment: IS FAB Pty Ltd</t>
  </si>
  <si>
    <t xml:space="preserve">ISFAB Pty Ltd MSP - August 2023</t>
  </si>
  <si>
    <t xml:space="preserve">Pub Charity Limited - New Annual Customer from July 2023</t>
  </si>
  <si>
    <t xml:space="preserve">CPC NZ - July 2023</t>
  </si>
  <si>
    <t xml:space="preserve">Payment: The Elastomers Pty Ltd</t>
  </si>
  <si>
    <t xml:space="preserve">The Elastomers Pty Ltd - New Annual Customer from July 2023</t>
  </si>
  <si>
    <t xml:space="preserve">Payment: EduComIT Pty Ltd</t>
  </si>
  <si>
    <t xml:space="preserve">Website Operation - 2023</t>
  </si>
  <si>
    <t xml:space="preserve">Payment: Filquip Pty Ltd</t>
  </si>
  <si>
    <t xml:space="preserve">Filquip - Additional User from May 2023</t>
  </si>
  <si>
    <t xml:space="preserve">Payment: Ava Distribution</t>
  </si>
  <si>
    <t xml:space="preserve">Ava Distribution - MSP August 2023</t>
  </si>
  <si>
    <t xml:space="preserve">Payment: FUJIFILM Microchannel Services Pty. Limited</t>
  </si>
  <si>
    <t xml:space="preserve">Audio Supermarket - August 2023</t>
  </si>
  <si>
    <t xml:space="preserve">Fix Plus - August 2023</t>
  </si>
  <si>
    <t xml:space="preserve">Fix Plus - July 2023</t>
  </si>
  <si>
    <t xml:space="preserve">Odyssey Marine - July 2023</t>
  </si>
  <si>
    <t xml:space="preserve">Odyssey Marine - August 2023</t>
  </si>
  <si>
    <t xml:space="preserve">AFON Technologies Pte Ltd</t>
  </si>
  <si>
    <t xml:space="preserve">Payment: Micromax Pty Ltd</t>
  </si>
  <si>
    <t xml:space="preserve">Micromax - August 2023</t>
  </si>
  <si>
    <t xml:space="preserve">MilkTest NZ - August 2023</t>
  </si>
  <si>
    <t xml:space="preserve">Muji Annual Invoice August 2023/2024</t>
  </si>
  <si>
    <t xml:space="preserve">I-BN (I-Business Network)</t>
  </si>
  <si>
    <t xml:space="preserve">Payment: Dulwich Bakery</t>
  </si>
  <si>
    <t xml:space="preserve">Dulwich Bakery - August 2023</t>
  </si>
  <si>
    <t xml:space="preserve">Singa Star Pte Ltd - Additional User from January to August 2023</t>
  </si>
  <si>
    <t xml:space="preserve">Indometal March 2023 Continuation Invoice</t>
  </si>
  <si>
    <t xml:space="preserve">Guava Additional User 2022-2023</t>
  </si>
  <si>
    <t xml:space="preserve">Glorreich 2023-2024</t>
  </si>
  <si>
    <t xml:space="preserve">Ruka Wholesale and Distributors - August 2023</t>
  </si>
  <si>
    <t xml:space="preserve">Vantage Specialty Chemicals</t>
  </si>
  <si>
    <t xml:space="preserve">TISI Singapore Pte Ltd</t>
  </si>
  <si>
    <t xml:space="preserve">Clear Pak Australia Pty Ltd</t>
  </si>
  <si>
    <t xml:space="preserve">Anagenix Ltd</t>
  </si>
  <si>
    <t xml:space="preserve">Machine Technology</t>
  </si>
  <si>
    <t xml:space="preserve">Ava Distribution</t>
  </si>
  <si>
    <t xml:space="preserve">FarmFresh Corporation Pty Ltd</t>
  </si>
  <si>
    <t xml:space="preserve">Generational Multi Family Office</t>
  </si>
  <si>
    <t xml:space="preserve">FUJIFILM Microchannel Singapore</t>
  </si>
  <si>
    <t xml:space="preserve">Specialty Diagnostix</t>
  </si>
  <si>
    <t xml:space="preserve">Industrial Air</t>
  </si>
  <si>
    <t xml:space="preserve">MTI Group</t>
  </si>
  <si>
    <t xml:space="preserve">Brisbane Money Management</t>
  </si>
  <si>
    <t xml:space="preserve">Laundry Solutions Australia</t>
  </si>
  <si>
    <t xml:space="preserve">Aureus Consult Sdn Bhd</t>
  </si>
  <si>
    <t xml:space="preserve">IS FAB Pty Ltd</t>
  </si>
  <si>
    <t xml:space="preserve">MilkTest NZ</t>
  </si>
  <si>
    <t xml:space="preserve">Dulwich Bakery</t>
  </si>
  <si>
    <t xml:space="preserve">Ozone IT Limited</t>
  </si>
  <si>
    <t xml:space="preserve">Constellation Brands</t>
  </si>
  <si>
    <t xml:space="preserve">CCA Management Pty Limited</t>
  </si>
  <si>
    <t xml:space="preserve">Speedx Pty Ltd</t>
  </si>
  <si>
    <t xml:space="preserve">Micromax Pty Ltd</t>
  </si>
  <si>
    <t xml:space="preserve">Bentspoke Brewing Co</t>
  </si>
  <si>
    <t xml:space="preserve">Work Arena Pty Ltd</t>
  </si>
  <si>
    <t xml:space="preserve">FUJIFILM Microchannel Services Pty. Limited</t>
  </si>
  <si>
    <t xml:space="preserve">Murray River Organics Group Limited Receivers and Managers Appointed</t>
  </si>
  <si>
    <t xml:space="preserve">The World Management</t>
  </si>
  <si>
    <t xml:space="preserve">FUJIFILM Microchannel Ltd</t>
  </si>
  <si>
    <t xml:space="preserve">Tea Drop Pty Ltd</t>
  </si>
  <si>
    <t xml:space="preserve">Abrolhos Steel - August 2023</t>
  </si>
  <si>
    <t xml:space="preserve">Payment: Generational Multi Family Office</t>
  </si>
  <si>
    <t xml:space="preserve">Key Business Solutions</t>
  </si>
  <si>
    <t xml:space="preserve">Business Evolution - Q3 2023</t>
  </si>
  <si>
    <t xml:space="preserve">Payment: Laundry Solutions Australia</t>
  </si>
  <si>
    <t xml:space="preserve">Payment: CCA Management Pty Limited</t>
  </si>
  <si>
    <t xml:space="preserve">CCA Management - August 2023</t>
  </si>
  <si>
    <t xml:space="preserve">Payment: Bentspoke Brewing Co</t>
  </si>
  <si>
    <t xml:space="preserve">Payment: MTI Group</t>
  </si>
  <si>
    <t xml:space="preserve">Emits Technology - August 2023</t>
  </si>
  <si>
    <t xml:space="preserve">Pan Asian Dairies - August 2023</t>
  </si>
  <si>
    <t xml:space="preserve">Eng Soon (J) Sdn Bhd - August 2023</t>
  </si>
  <si>
    <t xml:space="preserve">Excelvite Sdn Bhd - August 2023</t>
  </si>
  <si>
    <t xml:space="preserve">Payment: Industrial Air</t>
  </si>
  <si>
    <t xml:space="preserve">Payment: Brisbane Money Management</t>
  </si>
  <si>
    <t xml:space="preserve">Payment: FarmFresh Corporation Pty Ltd</t>
  </si>
  <si>
    <t xml:space="preserve">Key Business Solutions - August 2023</t>
  </si>
  <si>
    <t xml:space="preserve">I-Environmental - August 2023</t>
  </si>
  <si>
    <t xml:space="preserve">Bein Sports - July 2023</t>
  </si>
  <si>
    <t xml:space="preserve">Bein Sports - August 2023</t>
  </si>
  <si>
    <t xml:space="preserve">Payment: Tea Drop Pty Ltd</t>
  </si>
  <si>
    <t xml:space="preserve">TeaDrop - August 2023</t>
  </si>
  <si>
    <t xml:space="preserve">Payment: Specialty Diagnostix</t>
  </si>
  <si>
    <t xml:space="preserve">DBM Medical - August 2023</t>
  </si>
  <si>
    <t xml:space="preserve">Vector Systems Ltd - August 2023</t>
  </si>
  <si>
    <t xml:space="preserve">Receivable Credit Note Allocation</t>
  </si>
  <si>
    <t xml:space="preserve">Vantage Specialty Chemicals - August 2023</t>
  </si>
  <si>
    <t xml:space="preserve">Machine Technology - August 2023</t>
  </si>
  <si>
    <t xml:space="preserve">Payment: Constellation Brands</t>
  </si>
  <si>
    <t xml:space="preserve">Constellation Brands - August 2023</t>
  </si>
  <si>
    <t xml:space="preserve">Payment: Work Arena Pty Ltd</t>
  </si>
  <si>
    <t xml:space="preserve">Abrolhos Steel</t>
  </si>
  <si>
    <t xml:space="preserve">Payment: Abrolhos Steel</t>
  </si>
  <si>
    <t xml:space="preserve">Parrotdog Brewing - August 2023</t>
  </si>
  <si>
    <t xml:space="preserve">CPC NZ - August 2023</t>
  </si>
  <si>
    <t xml:space="preserve">Land Info Net Ltd - August 2023</t>
  </si>
  <si>
    <t xml:space="preserve">Bacchant Wines - August 2023</t>
  </si>
  <si>
    <t xml:space="preserve">ExamVision ApS</t>
  </si>
  <si>
    <t xml:space="preserve">Complete Machine Tools</t>
  </si>
  <si>
    <t xml:space="preserve">InformEtica Consulting</t>
  </si>
  <si>
    <t xml:space="preserve">Tasman Water Technologies Pty Ltd</t>
  </si>
  <si>
    <t xml:space="preserve">Biota Ingredients Pty Ltd</t>
  </si>
  <si>
    <t xml:space="preserve">BentSpoke Brewing Co</t>
  </si>
  <si>
    <t xml:space="preserve">Business Evolution Group Limited</t>
  </si>
  <si>
    <t xml:space="preserve">Payment: Tasman Water Technologies Pty Ltd</t>
  </si>
  <si>
    <t xml:space="preserve">Payment: BentSpoke Brewing Co</t>
  </si>
  <si>
    <t xml:space="preserve">Payment: Biota Ingredients Pty Ltd</t>
  </si>
  <si>
    <t xml:space="preserve">Vollers</t>
  </si>
  <si>
    <t xml:space="preserve">Payment: Vollers</t>
  </si>
  <si>
    <t xml:space="preserve">Tiger Brokers (AU) Pty Ltd</t>
  </si>
  <si>
    <t xml:space="preserve">Limestone Coast Brewing Pty Ltd</t>
  </si>
  <si>
    <t xml:space="preserve">Payment: Limestone Coast Brewing Pty Ltd</t>
  </si>
  <si>
    <t xml:space="preserve">Payment: Complete Machine Tools</t>
  </si>
  <si>
    <t xml:space="preserve">Payment: Tiger Brokers (AU) Pty Ltd</t>
  </si>
  <si>
    <t xml:space="preserve">InnoTech Srl</t>
  </si>
  <si>
    <t xml:space="preserve">BJs Manufacturing Pty Ltd - August 2023</t>
  </si>
  <si>
    <t xml:space="preserve">ANZ Controls Pty Ltd</t>
  </si>
  <si>
    <t xml:space="preserve">Payment: ANZ Controls Pty Ltd</t>
  </si>
  <si>
    <t xml:space="preserve">Hitachi Asia Ltd.</t>
  </si>
  <si>
    <t xml:space="preserve">ISEE Australia</t>
  </si>
  <si>
    <t xml:space="preserve">Payment: ISEE Australia</t>
  </si>
  <si>
    <t xml:space="preserve">MH Wirth Pty Ltd</t>
  </si>
  <si>
    <t xml:space="preserve">EduComIT Pty Ltd</t>
  </si>
  <si>
    <t xml:space="preserve">Payment: MH Wirth Pty Ltd</t>
  </si>
  <si>
    <t xml:space="preserve">KDS Consulting Sdn Bhd</t>
  </si>
  <si>
    <t xml:space="preserve">Equinix Australia</t>
  </si>
  <si>
    <t xml:space="preserve">Payment: Equinix Australia</t>
  </si>
  <si>
    <t xml:space="preserve">Heat Transfer Research, Inc</t>
  </si>
  <si>
    <t xml:space="preserve">A/S Rolf Schmidt Industri Plast</t>
  </si>
  <si>
    <t xml:space="preserve">George Fethers &amp; Co</t>
  </si>
  <si>
    <t xml:space="preserve">SEE PAYMENT ADVICE MTI GROUP PTY LT</t>
  </si>
  <si>
    <t xml:space="preserve">Receivable Overpayment Allocation</t>
  </si>
  <si>
    <t xml:space="preserve">SEE PAYMENT ADVICE MTI GROUP PTY LT - 0880 and 0887 overpaid</t>
  </si>
  <si>
    <t xml:space="preserve">Payment: George Fethers &amp; Co</t>
  </si>
  <si>
    <t xml:space="preserve">N'Ware Technologies Ltd</t>
  </si>
  <si>
    <t xml:space="preserve">BJS Roofing Supplies</t>
  </si>
  <si>
    <t xml:space="preserve">Hitachi Sunway Information Systems (Singapore) Pte. Ltd.</t>
  </si>
  <si>
    <t xml:space="preserve">Payment: BJS Roofing Supplies</t>
  </si>
  <si>
    <t xml:space="preserve">Straightsell</t>
  </si>
  <si>
    <t xml:space="preserve">Filquip Pty Ltd</t>
  </si>
  <si>
    <t xml:space="preserve">Provincial Distributors</t>
  </si>
  <si>
    <t xml:space="preserve">Matfer Bourgeat</t>
  </si>
  <si>
    <t xml:space="preserve">Payment: Straightsell</t>
  </si>
  <si>
    <t xml:space="preserve">Payment: Provincial Distributors</t>
  </si>
  <si>
    <t xml:space="preserve">Lunar Mining Services Pty Ltd</t>
  </si>
  <si>
    <t xml:space="preserve">The Elastomers Pty Ltd</t>
  </si>
  <si>
    <t xml:space="preserve">Ryans Furniture Manufacturing Limited</t>
  </si>
  <si>
    <t xml:space="preserve">Payment: Lunar Mining Services Pty Ltd</t>
  </si>
  <si>
    <t xml:space="preserve">The RIC Group</t>
  </si>
  <si>
    <t xml:space="preserve">Payment: The RIC Group</t>
  </si>
  <si>
    <t xml:space="preserve">PGB Sports Ltd</t>
  </si>
  <si>
    <t xml:space="preserve">Total 610 - Accounts Receivable</t>
  </si>
  <si>
    <t xml:space="preserve">610-1 - Accounts Receivable 1</t>
  </si>
  <si>
    <t xml:space="preserve">610-1</t>
  </si>
  <si>
    <t xml:space="preserve">No transactions within this period</t>
  </si>
  <si>
    <t xml:space="preserve">Total 610-1 - Accounts Receivable 1</t>
  </si>
  <si>
    <t xml:space="preserve">612 - Membership Fees</t>
  </si>
  <si>
    <t xml:space="preserve">612</t>
  </si>
  <si>
    <t xml:space="preserve">Experts Exchange - Annual Premium Services</t>
  </si>
  <si>
    <t xml:space="preserve">CompTIA - CompTIA Annual Membership Fee</t>
  </si>
  <si>
    <t xml:space="preserve">American Express - American Express Annual Membership Fee</t>
  </si>
  <si>
    <t xml:space="preserve">Total 612 - Membership Fees</t>
  </si>
  <si>
    <t xml:space="preserve">710 - Office Equipment</t>
  </si>
  <si>
    <t xml:space="preserve">710</t>
  </si>
  <si>
    <t xml:space="preserve">Fixed Asset</t>
  </si>
  <si>
    <t xml:space="preserve">JB Hi-Fi - Lighting for Noosa Office</t>
  </si>
  <si>
    <t xml:space="preserve">JB Hi-Fi - Noosa Office Lighting</t>
  </si>
  <si>
    <t xml:space="preserve">Callum Duffy (callum@smbsolutions.com.au) - Officeworks - Logitech Keyboard Combo</t>
  </si>
  <si>
    <t xml:space="preserve">Varidesk LLC - Australia - Active Seat</t>
  </si>
  <si>
    <t xml:space="preserve">376779</t>
  </si>
  <si>
    <t xml:space="preserve">Officeworks - Various Office Equipment</t>
  </si>
  <si>
    <t xml:space="preserve">Amazon - Smart Case for Apple Air Pods</t>
  </si>
  <si>
    <t xml:space="preserve">Sunelec Pty Ltd - 2 x Sonnen Batteries supplied and installed</t>
  </si>
  <si>
    <t xml:space="preserve">001233</t>
  </si>
  <si>
    <t xml:space="preserve">Esel Pty Ltd (MWave) - Widescreen Monitor</t>
  </si>
  <si>
    <t xml:space="preserve">Appliances Online - Data projector battery</t>
  </si>
  <si>
    <t xml:space="preserve">Liam Duffy - New Desk Expense</t>
  </si>
  <si>
    <t xml:space="preserve">Apple - Apple Pencil</t>
  </si>
  <si>
    <t xml:space="preserve">Leader Computers (Alloy) - WiFi Donglre for Liams Phone</t>
  </si>
  <si>
    <t xml:space="preserve">Total 710 - Office Equipment</t>
  </si>
  <si>
    <t xml:space="preserve">711 - Less Accumulated Depreciation</t>
  </si>
  <si>
    <t xml:space="preserve">711</t>
  </si>
  <si>
    <t xml:space="preserve">Total 711 - Less Accumulated Depreciation</t>
  </si>
  <si>
    <t xml:space="preserve">720 - Computer Equipment</t>
  </si>
  <si>
    <t xml:space="preserve">720</t>
  </si>
  <si>
    <t xml:space="preserve">Duo 2FA - 10 x Duo Tokens - Stock for customers</t>
  </si>
  <si>
    <t xml:space="preserve">Leader Computers (Alloy) - Yealink 5V 2AMP Power Adapter + Freight</t>
  </si>
  <si>
    <t xml:space="preserve">SI-2644165</t>
  </si>
  <si>
    <t xml:space="preserve">Scorptec Computers - Western Digital WD 22TB Red Pro NAS 3.5" Drive / Model: WD221KFGX</t>
  </si>
  <si>
    <t xml:space="preserve">2686431</t>
  </si>
  <si>
    <t xml:space="preserve">ED'S PCs Toombul - 2TB SSD Drive</t>
  </si>
  <si>
    <t xml:space="preserve">CSI-005854</t>
  </si>
  <si>
    <t xml:space="preserve">Duo 2FA - 10 x Duo Hardware Tokens plus Shipping</t>
  </si>
  <si>
    <t xml:space="preserve">EduComIT Pty Ltd - CTO iMac 24-Inch</t>
  </si>
  <si>
    <t xml:space="preserve">934031245</t>
  </si>
  <si>
    <t xml:space="preserve">Leader Computers (Alloy) - Ubiquiti EdgePower 54V 72W, Ubiquiti UniFi Dream Wall, Overnight Delivery</t>
  </si>
  <si>
    <t xml:space="preserve">SI-4320346</t>
  </si>
  <si>
    <t xml:space="preserve">Leader Computers (Alloy) - Ubiquiti UniFi WiFi 6 Enterprise + Overnight Shipping</t>
  </si>
  <si>
    <t xml:space="preserve">SI-4320964</t>
  </si>
  <si>
    <t xml:space="preserve">Ebay Australia - Replacement Battery</t>
  </si>
  <si>
    <t xml:space="preserve">Ebay Australia - Computer Speaker Replacement</t>
  </si>
  <si>
    <t xml:space="preserve">RamCity - 48 x Samsung 1x 64GB DDR4-2933 RDIMM PC4-23466U-R Dual Rank x4 Module</t>
  </si>
  <si>
    <t xml:space="preserve">5013113</t>
  </si>
  <si>
    <t xml:space="preserve">Total Tools - Screwdriver Set</t>
  </si>
  <si>
    <t xml:space="preserve">4Cabling - Multiple Ubiquiti Items</t>
  </si>
  <si>
    <t xml:space="preserve">2813216</t>
  </si>
  <si>
    <t xml:space="preserve">Duo 2FA - 20 x Duo Hardware Tokens + Shipping</t>
  </si>
  <si>
    <t xml:space="preserve">JB Hi-Fi - Handheld Computer for LD</t>
  </si>
  <si>
    <t xml:space="preserve">JB Hi-Fi - *BOSE - PORTABLE SMART SPEAKER
 CHARGER BK
 408553 39.95
*SAMSUNG - SP-LFF3CLAXXXY
 656401 1195.00
*JB Hi-Fi Extra Care Repair
 7800501 179.25
Comments: Warranty on 656401
*BELKIN - 2M HDMI TO MICRO USB
 ADAPTOR
 357306 49.95
------------------------</t>
  </si>
  <si>
    <t xml:space="preserve">PDA2OX3L38W</t>
  </si>
  <si>
    <t xml:space="preserve">JB Hi-Fi - Samsung The Freestyle Outdoor Case</t>
  </si>
  <si>
    <t xml:space="preserve">#JB-17707082</t>
  </si>
  <si>
    <t xml:space="preserve">Apple - iPad Air + Magic Keyboard for iPad Pro</t>
  </si>
  <si>
    <t xml:space="preserve">025516</t>
  </si>
  <si>
    <t xml:space="preserve">The Good Guys - HDMI Cable + PS Controller</t>
  </si>
  <si>
    <t xml:space="preserve">Leader Computers (Alloy) - 2x Ubiquiti UniFi Express Wifi Access Point</t>
  </si>
  <si>
    <t xml:space="preserve">Total 720 - Computer Equipment</t>
  </si>
  <si>
    <t xml:space="preserve">721 - Less Accumulated Depreciation on Computer Equipment</t>
  </si>
  <si>
    <t xml:space="preserve">721</t>
  </si>
  <si>
    <t xml:space="preserve">Total 721 - Less Accumulated Depreciation on Computer Equipment</t>
  </si>
  <si>
    <t xml:space="preserve">800 - Accounts Payable</t>
  </si>
  <si>
    <t xml:space="preserve">800</t>
  </si>
  <si>
    <t xml:space="preserve">Current Liability</t>
  </si>
  <si>
    <t xml:space="preserve">rhipe</t>
  </si>
  <si>
    <t xml:space="preserve">Payment: Servers Australia</t>
  </si>
  <si>
    <t xml:space="preserve">721286</t>
  </si>
  <si>
    <t xml:space="preserve">Payment: Scarlet Studio Digital Agency</t>
  </si>
  <si>
    <t xml:space="preserve">002</t>
  </si>
  <si>
    <t xml:space="preserve">Password Boss</t>
  </si>
  <si>
    <t xml:space="preserve">Superloop</t>
  </si>
  <si>
    <t xml:space="preserve">Kaseya</t>
  </si>
  <si>
    <t xml:space="preserve">Cal4Care</t>
  </si>
  <si>
    <t xml:space="preserve">Payment: Origin</t>
  </si>
  <si>
    <t xml:space="preserve">Amazon Web ServicesAustralia Pty Ltd</t>
  </si>
  <si>
    <t xml:space="preserve">IStock</t>
  </si>
  <si>
    <t xml:space="preserve">Duo 2FA</t>
  </si>
  <si>
    <t xml:space="preserve">Payment: Password Boss</t>
  </si>
  <si>
    <t xml:space="preserve">Payment: Dell Australia</t>
  </si>
  <si>
    <t xml:space="preserve">2411462739</t>
  </si>
  <si>
    <t xml:space="preserve">Payment: Amazon Web ServicesAustralia Pty Ltd</t>
  </si>
  <si>
    <t xml:space="preserve">Workcover Queensland</t>
  </si>
  <si>
    <t xml:space="preserve">triCerat</t>
  </si>
  <si>
    <t xml:space="preserve">Payment: IStock</t>
  </si>
  <si>
    <t xml:space="preserve">Payment: Workcover Queensland</t>
  </si>
  <si>
    <t xml:space="preserve">Origin</t>
  </si>
  <si>
    <t xml:space="preserve">Payment: Superloop</t>
  </si>
  <si>
    <t xml:space="preserve">Servers Australia</t>
  </si>
  <si>
    <t xml:space="preserve">Taylor Duffy (taylor@smbsolutions.com.au)</t>
  </si>
  <si>
    <t xml:space="preserve">Payment: Taylor Duffy (taylor@smbsolutions.com.au)</t>
  </si>
  <si>
    <t xml:space="preserve">Mvoice</t>
  </si>
  <si>
    <t xml:space="preserve">Microsoft</t>
  </si>
  <si>
    <t xml:space="preserve">Payment: Kaseya</t>
  </si>
  <si>
    <t xml:space="preserve">Payment: Microsoft</t>
  </si>
  <si>
    <t xml:space="preserve">Payment: rhipe</t>
  </si>
  <si>
    <t xml:space="preserve">Harvey Norman</t>
  </si>
  <si>
    <t xml:space="preserve">Bluechip Infotech</t>
  </si>
  <si>
    <t xml:space="preserve">Payment: Mvoice</t>
  </si>
  <si>
    <t xml:space="preserve">Payment: Harvey Norman</t>
  </si>
  <si>
    <t xml:space="preserve">CyberFox</t>
  </si>
  <si>
    <t xml:space="preserve">VentraIP</t>
  </si>
  <si>
    <t xml:space="preserve">Payment: CyberFox</t>
  </si>
  <si>
    <t xml:space="preserve">Siege Cyber</t>
  </si>
  <si>
    <t xml:space="preserve">Payment: Siege Cyber</t>
  </si>
  <si>
    <t xml:space="preserve">Callum Duffy (callum@smbsolutions.com.au)</t>
  </si>
  <si>
    <t xml:space="preserve">Law Depot</t>
  </si>
  <si>
    <t xml:space="preserve">Payment: Bluechip Infotech</t>
  </si>
  <si>
    <t xml:space="preserve">Word Press</t>
  </si>
  <si>
    <t xml:space="preserve">Payment: VentraIP</t>
  </si>
  <si>
    <t xml:space="preserve">Payment: Callum Duffy (callum@smbsolutions.com.au)</t>
  </si>
  <si>
    <t xml:space="preserve">Holmans Accounting &amp; Taxation</t>
  </si>
  <si>
    <t xml:space="preserve">Payment: Law Depot</t>
  </si>
  <si>
    <t xml:space="preserve">Payment: Holmans Accounting &amp; Taxation</t>
  </si>
  <si>
    <t xml:space="preserve">Ion Consulting Group PTY LTD</t>
  </si>
  <si>
    <t xml:space="preserve">Payment: Ion Consulting Group PTY LTD</t>
  </si>
  <si>
    <t xml:space="preserve">Leader Computers (Alloy)</t>
  </si>
  <si>
    <t xml:space="preserve">Payment: Leader Computers (Alloy)</t>
  </si>
  <si>
    <t xml:space="preserve">MAUS Software</t>
  </si>
  <si>
    <t xml:space="preserve">CertPro</t>
  </si>
  <si>
    <t xml:space="preserve">Benjamin Ladewig</t>
  </si>
  <si>
    <t xml:space="preserve">Payment: MAUS Software</t>
  </si>
  <si>
    <t xml:space="preserve">Payment: Benjamin Ladewig</t>
  </si>
  <si>
    <t xml:space="preserve">Dell Australia</t>
  </si>
  <si>
    <t xml:space="preserve">Scorptec Computers</t>
  </si>
  <si>
    <t xml:space="preserve">Payment: Scorptec Computers</t>
  </si>
  <si>
    <t xml:space="preserve">ED'S PCs Toombul</t>
  </si>
  <si>
    <t xml:space="preserve">Payment: ED'S PCs Toombul</t>
  </si>
  <si>
    <t xml:space="preserve">Marsh Advantage Insurance</t>
  </si>
  <si>
    <t xml:space="preserve">Payment: Marsh Advantage Insurance</t>
  </si>
  <si>
    <t xml:space="preserve">Avoxi</t>
  </si>
  <si>
    <t xml:space="preserve">Alluvia</t>
  </si>
  <si>
    <t xml:space="preserve">Payable Credit Note Allocation</t>
  </si>
  <si>
    <t xml:space="preserve">cPanel</t>
  </si>
  <si>
    <t xml:space="preserve">Hootsuite</t>
  </si>
  <si>
    <t xml:space="preserve">Content Pros</t>
  </si>
  <si>
    <t xml:space="preserve">Varidesk LLC - Australia</t>
  </si>
  <si>
    <t xml:space="preserve">Payment: Varidesk LLC - Australia</t>
  </si>
  <si>
    <t xml:space="preserve">Scarlet Studio Digital Agency</t>
  </si>
  <si>
    <t xml:space="preserve">RamCity</t>
  </si>
  <si>
    <t xml:space="preserve">Payment: RamCity</t>
  </si>
  <si>
    <t xml:space="preserve">ACT Networks</t>
  </si>
  <si>
    <t xml:space="preserve">Rack Solutions</t>
  </si>
  <si>
    <t xml:space="preserve">CBI Parallels</t>
  </si>
  <si>
    <t xml:space="preserve">CBA Parallels</t>
  </si>
  <si>
    <t xml:space="preserve">Payment: Rack Solutions</t>
  </si>
  <si>
    <t xml:space="preserve">Payment: 4Cabling</t>
  </si>
  <si>
    <t xml:space="preserve">4Cabling</t>
  </si>
  <si>
    <t xml:space="preserve">Tasman Graphics</t>
  </si>
  <si>
    <t xml:space="preserve">Officeworks</t>
  </si>
  <si>
    <t xml:space="preserve">Payment: Officeworks</t>
  </si>
  <si>
    <t xml:space="preserve">Payment: ACT Networks</t>
  </si>
  <si>
    <t xml:space="preserve">NinjaOne</t>
  </si>
  <si>
    <t xml:space="preserve">Liam Duffy (liam@smbsolutions.com.au)</t>
  </si>
  <si>
    <t xml:space="preserve">Payment: Liam Duffy (liam@smbsolutions.com.au)</t>
  </si>
  <si>
    <t xml:space="preserve">Equinix Germany</t>
  </si>
  <si>
    <t xml:space="preserve">Dart Innovations</t>
  </si>
  <si>
    <t xml:space="preserve">Zoho Corporation</t>
  </si>
  <si>
    <t xml:space="preserve">OPMC</t>
  </si>
  <si>
    <t xml:space="preserve">Messages On Hold</t>
  </si>
  <si>
    <t xml:space="preserve">Payment: Messages On Hold</t>
  </si>
  <si>
    <t xml:space="preserve">Renee Brazel</t>
  </si>
  <si>
    <t xml:space="preserve">Payment: Renee Brazel</t>
  </si>
  <si>
    <t xml:space="preserve">Sunelec Pty Ltd</t>
  </si>
  <si>
    <t xml:space="preserve">Payment: Sunelec Pty Ltd</t>
  </si>
  <si>
    <t xml:space="preserve">Klaviyo</t>
  </si>
  <si>
    <t xml:space="preserve">ASIC Sydney</t>
  </si>
  <si>
    <t xml:space="preserve">JB Hi-Fi</t>
  </si>
  <si>
    <t xml:space="preserve">Payment: ASIC Sydney</t>
  </si>
  <si>
    <t xml:space="preserve">Payment: JB Hi-Fi</t>
  </si>
  <si>
    <t xml:space="preserve">Telstra</t>
  </si>
  <si>
    <t xml:space="preserve">Payment: Telstra</t>
  </si>
  <si>
    <t xml:space="preserve">Devolutions Inc</t>
  </si>
  <si>
    <t xml:space="preserve">Payment: Zoho Corporation</t>
  </si>
  <si>
    <t xml:space="preserve">Payment: NinjaOne</t>
  </si>
  <si>
    <t xml:space="preserve">Payment: OPMC</t>
  </si>
  <si>
    <t xml:space="preserve">Equinix USA</t>
  </si>
  <si>
    <t xml:space="preserve">MyWave</t>
  </si>
  <si>
    <t xml:space="preserve">Leader Systems</t>
  </si>
  <si>
    <t xml:space="preserve">SAP Solutions</t>
  </si>
  <si>
    <t xml:space="preserve">Payment: Leader Systems</t>
  </si>
  <si>
    <t xml:space="preserve">Simply Headsets</t>
  </si>
  <si>
    <t xml:space="preserve">Payment: Simply Headsets</t>
  </si>
  <si>
    <t xml:space="preserve">Corporate Work Health Australia</t>
  </si>
  <si>
    <t xml:space="preserve">WP Engine</t>
  </si>
  <si>
    <t xml:space="preserve">Payment: WP Engine</t>
  </si>
  <si>
    <t xml:space="preserve">Apple</t>
  </si>
  <si>
    <t xml:space="preserve">Payment: Apple</t>
  </si>
  <si>
    <t xml:space="preserve">Payment: SAP Solutions</t>
  </si>
  <si>
    <t xml:space="preserve">Corporate Fillings LLC</t>
  </si>
  <si>
    <t xml:space="preserve">Holmans Accountants</t>
  </si>
  <si>
    <t xml:space="preserve">Payment: Holmans Accountants</t>
  </si>
  <si>
    <t xml:space="preserve">Australian Tax Office</t>
  </si>
  <si>
    <t xml:space="preserve">53962353526</t>
  </si>
  <si>
    <t xml:space="preserve">Total 800 - Accounts Payable</t>
  </si>
  <si>
    <t xml:space="preserve">800-1 - Accounts Payable Adjustment</t>
  </si>
  <si>
    <t xml:space="preserve">800-1</t>
  </si>
  <si>
    <t xml:space="preserve">Holmans: A17 To reconcile ATO-ICA and GST balance</t>
  </si>
  <si>
    <t xml:space="preserve">#23117</t>
  </si>
  <si>
    <t xml:space="preserve">Total 800-1 - Accounts Payable Adjustment</t>
  </si>
  <si>
    <t xml:space="preserve">8011 - Bank of America - Visa</t>
  </si>
  <si>
    <t xml:space="preserve">8011</t>
  </si>
  <si>
    <t xml:space="preserve">Bank</t>
  </si>
  <si>
    <t xml:space="preserve">Bank Transfer</t>
  </si>
  <si>
    <t xml:space="preserve">Bank Transfer from EVERYDAY CHECKING ...3405 to Bank of America - Visa</t>
  </si>
  <si>
    <t xml:space="preserve">BK OF AMER VISA  ONLINE PMT 230703 CKF577799998POS DUFFY,RICHARD                                   </t>
  </si>
  <si>
    <t xml:space="preserve">Audible</t>
  </si>
  <si>
    <t xml:space="preserve">Kindle</t>
  </si>
  <si>
    <t xml:space="preserve">PAYMENT</t>
  </si>
  <si>
    <t xml:space="preserve">Hertz Car Rental</t>
  </si>
  <si>
    <t xml:space="preserve">OnTheGo Systems</t>
  </si>
  <si>
    <t xml:space="preserve">BK OF AMER VISA  ONLINE PMT 230821 CKF577799998POS DUFFY,RICHARD                                   </t>
  </si>
  <si>
    <t xml:space="preserve">BK OF AMER VISA  ONLINE PMT 231030 CKF577799998POS DUFFY,RICHARD                                   </t>
  </si>
  <si>
    <t xml:space="preserve">Sirius XM Radio</t>
  </si>
  <si>
    <t xml:space="preserve">BK OF AMER VISA  ONLINE PMT 231116 CKF577799998POS DUFFY,RICHARD                                   </t>
  </si>
  <si>
    <t xml:space="preserve">Bank Of America</t>
  </si>
  <si>
    <t xml:space="preserve">BK OF AMER VISA  ONLINE PMT 231127 CKF577799998POS DUFFY,RICHARD                                   </t>
  </si>
  <si>
    <t xml:space="preserve">Uber</t>
  </si>
  <si>
    <t xml:space="preserve">BK OF AMER VISA  ONLINE PMT 231211 CKF577799998POS DUFFY,RICHARD                                   </t>
  </si>
  <si>
    <t xml:space="preserve">BK OF AMER VISA  ONLINE PMT 231226 CKF577799998POS DUFFY,RICHARD                                   </t>
  </si>
  <si>
    <t xml:space="preserve">Netflix</t>
  </si>
  <si>
    <t xml:space="preserve">Amazon Prime</t>
  </si>
  <si>
    <t xml:space="preserve">Atlassian</t>
  </si>
  <si>
    <t xml:space="preserve">BK OF AMER VISA  ONLINE PMT 240216 CKF577799998POS DUFFY,RICHARD                                   </t>
  </si>
  <si>
    <t xml:space="preserve">ChatGPT</t>
  </si>
  <si>
    <t xml:space="preserve">BK OF AMER VISA  ONLINE PMT 240311 CKF577799998POS DUFFY,RICHARD                                   </t>
  </si>
  <si>
    <t xml:space="preserve">RDPSoft</t>
  </si>
  <si>
    <t xml:space="preserve">BK OF AMER VISA  ONLINE PMT 240325 CKF577799998POS DUFFY,RICHARD                                   </t>
  </si>
  <si>
    <t xml:space="preserve">Starbucks</t>
  </si>
  <si>
    <t xml:space="preserve">Sheraton Grand Hotel</t>
  </si>
  <si>
    <t xml:space="preserve">Target</t>
  </si>
  <si>
    <t xml:space="preserve">Pepsi Vending Machine</t>
  </si>
  <si>
    <t xml:space="preserve">7-Eleven</t>
  </si>
  <si>
    <t xml:space="preserve">Dominos</t>
  </si>
  <si>
    <t xml:space="preserve">Jersey Mikes</t>
  </si>
  <si>
    <t xml:space="preserve">Ralphs</t>
  </si>
  <si>
    <t xml:space="preserve">Way Parking</t>
  </si>
  <si>
    <t xml:space="preserve">Fonda Theatre</t>
  </si>
  <si>
    <t xml:space="preserve">Chevron</t>
  </si>
  <si>
    <t xml:space="preserve">Dirty Loops</t>
  </si>
  <si>
    <t xml:space="preserve">BK OF AMER VISA  ONLINE PMT 240416 CKF577799998POS DUFFY,RICHARD                                   </t>
  </si>
  <si>
    <t xml:space="preserve">Nonstop</t>
  </si>
  <si>
    <t xml:space="preserve">BK OF AMER VISA  ONLINE PMT 240417 CKF577799998POS DUFFY,RICHARD                                   </t>
  </si>
  <si>
    <t xml:space="preserve">BK OF AMER VISA  ONLINE PMT 240603 CKF577799998POS DUFFY,RICHARD                                   </t>
  </si>
  <si>
    <t xml:space="preserve">Home Depot</t>
  </si>
  <si>
    <t xml:space="preserve">McDonalds</t>
  </si>
  <si>
    <t xml:space="preserve">Best Buy</t>
  </si>
  <si>
    <t xml:space="preserve">Total 8011 - Bank of America - Visa</t>
  </si>
  <si>
    <t xml:space="preserve">8012 - SMB Solutions</t>
  </si>
  <si>
    <t xml:space="preserve">8012</t>
  </si>
  <si>
    <t xml:space="preserve">Paypal</t>
  </si>
  <si>
    <t xml:space="preserve">Total 8012 - SMB Solutions</t>
  </si>
  <si>
    <t xml:space="preserve">8013 - American Express AU</t>
  </si>
  <si>
    <t xml:space="preserve">8013</t>
  </si>
  <si>
    <t xml:space="preserve">LinkedIn</t>
  </si>
  <si>
    <t xml:space="preserve">Adobe</t>
  </si>
  <si>
    <t xml:space="preserve">Bank Transfer from Business Trans Acct to American Express AU</t>
  </si>
  <si>
    <t xml:space="preserve">Viking River Cruises</t>
  </si>
  <si>
    <t xml:space="preserve">Richard Duffy</t>
  </si>
  <si>
    <t xml:space="preserve">American Express</t>
  </si>
  <si>
    <t xml:space="preserve">Flight Centre</t>
  </si>
  <si>
    <t xml:space="preserve">M T</t>
  </si>
  <si>
    <t xml:space="preserve">VAT IT USA</t>
  </si>
  <si>
    <t xml:space="preserve">Lufthansa</t>
  </si>
  <si>
    <t xml:space="preserve">Adjustment</t>
  </si>
  <si>
    <t xml:space="preserve">Reconciliation adjustment</t>
  </si>
  <si>
    <t xml:space="preserve">Delta Air Lines Inc.</t>
  </si>
  <si>
    <t xml:space="preserve">Sofitel Hotel</t>
  </si>
  <si>
    <t xml:space="preserve">Ristorante Da Giovanni</t>
  </si>
  <si>
    <t xml:space="preserve">Deutsche Bahn</t>
  </si>
  <si>
    <t xml:space="preserve">OEBB</t>
  </si>
  <si>
    <t xml:space="preserve">George Prime Steak</t>
  </si>
  <si>
    <t xml:space="preserve">AT240310019000010026897</t>
  </si>
  <si>
    <t xml:space="preserve">AT240440023000010023956</t>
  </si>
  <si>
    <t xml:space="preserve">IThemes</t>
  </si>
  <si>
    <t xml:space="preserve">Techsmith</t>
  </si>
  <si>
    <t xml:space="preserve">Noosa Auto and Marine</t>
  </si>
  <si>
    <t xml:space="preserve">AT240600022000010035687</t>
  </si>
  <si>
    <t xml:space="preserve">AXS</t>
  </si>
  <si>
    <t xml:space="preserve">Coles</t>
  </si>
  <si>
    <t xml:space="preserve">Esel Pty Ltd (MWave)</t>
  </si>
  <si>
    <t xml:space="preserve">AT240800022000010029049</t>
  </si>
  <si>
    <t xml:space="preserve">Petstock</t>
  </si>
  <si>
    <t xml:space="preserve">AT240940023000010030944</t>
  </si>
  <si>
    <t xml:space="preserve">Barrio Cafe</t>
  </si>
  <si>
    <t xml:space="preserve">Scandic Aarhus City</t>
  </si>
  <si>
    <t xml:space="preserve">T-Mobile</t>
  </si>
  <si>
    <t xml:space="preserve">Residence Inn</t>
  </si>
  <si>
    <t xml:space="preserve">Sixt</t>
  </si>
  <si>
    <t xml:space="preserve">Marriott Hotel</t>
  </si>
  <si>
    <t xml:space="preserve">AT241200023000010051304</t>
  </si>
  <si>
    <t xml:space="preserve">Eurostar</t>
  </si>
  <si>
    <t xml:space="preserve">Moulin Rouge</t>
  </si>
  <si>
    <t xml:space="preserve">RC Hotels</t>
  </si>
  <si>
    <t xml:space="preserve">AT241260020000010002899</t>
  </si>
  <si>
    <t xml:space="preserve">Myer</t>
  </si>
  <si>
    <t xml:space="preserve">Ricks Garage</t>
  </si>
  <si>
    <t xml:space="preserve">United</t>
  </si>
  <si>
    <t xml:space="preserve">Espresso Bar</t>
  </si>
  <si>
    <t xml:space="preserve">Louvre</t>
  </si>
  <si>
    <t xml:space="preserve">AT241520022000010027561</t>
  </si>
  <si>
    <t xml:space="preserve">QNAP</t>
  </si>
  <si>
    <t xml:space="preserve">Sprinto</t>
  </si>
  <si>
    <t xml:space="preserve">AT241650022000010032323</t>
  </si>
  <si>
    <t xml:space="preserve">Amazon</t>
  </si>
  <si>
    <t xml:space="preserve">AT241680020000010012247</t>
  </si>
  <si>
    <t xml:space="preserve">Air France</t>
  </si>
  <si>
    <t xml:space="preserve">GNV</t>
  </si>
  <si>
    <t xml:space="preserve">Virgin Australia</t>
  </si>
  <si>
    <t xml:space="preserve">Total 8013 - American Express AU</t>
  </si>
  <si>
    <t xml:space="preserve">8015 - Business Trans Acct</t>
  </si>
  <si>
    <t xml:space="preserve">8015</t>
  </si>
  <si>
    <t xml:space="preserve">Stripe</t>
  </si>
  <si>
    <t xml:space="preserve">Commonwealth Bank</t>
  </si>
  <si>
    <t xml:space="preserve">Password Link</t>
  </si>
  <si>
    <t xml:space="preserve">Dropbox Australia Pty Ltd</t>
  </si>
  <si>
    <t xml:space="preserve">INV-2048</t>
  </si>
  <si>
    <t xml:space="preserve">INV-2073</t>
  </si>
  <si>
    <t xml:space="preserve">INV-2072</t>
  </si>
  <si>
    <t xml:space="preserve">INV-2118</t>
  </si>
  <si>
    <t xml:space="preserve">The Saturday Paper</t>
  </si>
  <si>
    <t xml:space="preserve">INV-1992</t>
  </si>
  <si>
    <t xml:space="preserve">INV-2033</t>
  </si>
  <si>
    <t xml:space="preserve">INV-2031</t>
  </si>
  <si>
    <t xml:space="preserve">INV-2032</t>
  </si>
  <si>
    <t xml:space="preserve">INV-2057</t>
  </si>
  <si>
    <t xml:space="preserve">INV-2093</t>
  </si>
  <si>
    <t xml:space="preserve">INV-2099</t>
  </si>
  <si>
    <t xml:space="preserve">Taylor Pretty</t>
  </si>
  <si>
    <t xml:space="preserve">Callum Duffy</t>
  </si>
  <si>
    <t xml:space="preserve">Liam Duffy</t>
  </si>
  <si>
    <t xml:space="preserve">Kerry Duffy</t>
  </si>
  <si>
    <t xml:space="preserve">GoDaddy</t>
  </si>
  <si>
    <t xml:space="preserve">Activity Statement Ending 30 June 2023</t>
  </si>
  <si>
    <t xml:space="preserve">INV-2124</t>
  </si>
  <si>
    <t xml:space="preserve">INV-2123</t>
  </si>
  <si>
    <t xml:space="preserve">INV-2121</t>
  </si>
  <si>
    <t xml:space="preserve">INV-2115</t>
  </si>
  <si>
    <t xml:space="preserve">Ohana Remax Realty</t>
  </si>
  <si>
    <t xml:space="preserve">Sandstone Point Hotel</t>
  </si>
  <si>
    <t xml:space="preserve">INV-2078</t>
  </si>
  <si>
    <t xml:space="preserve">INV-2077</t>
  </si>
  <si>
    <t xml:space="preserve">INV-2008</t>
  </si>
  <si>
    <t xml:space="preserve">INV-2013</t>
  </si>
  <si>
    <t xml:space="preserve">INV-2083</t>
  </si>
  <si>
    <t xml:space="preserve">INV-2092</t>
  </si>
  <si>
    <t xml:space="preserve">Spotify</t>
  </si>
  <si>
    <t xml:space="preserve">ACF</t>
  </si>
  <si>
    <t xml:space="preserve">Pets of the Homeless</t>
  </si>
  <si>
    <t xml:space="preserve">MYUS</t>
  </si>
  <si>
    <t xml:space="preserve">Google</t>
  </si>
  <si>
    <t xml:space="preserve">The Tech Tribe</t>
  </si>
  <si>
    <t xml:space="preserve">Splashtop Software</t>
  </si>
  <si>
    <t xml:space="preserve">Open Universities</t>
  </si>
  <si>
    <t xml:space="preserve">Creditor Watch</t>
  </si>
  <si>
    <t xml:space="preserve">INV-2097</t>
  </si>
  <si>
    <t xml:space="preserve">Bandcamp</t>
  </si>
  <si>
    <t xml:space="preserve">Fairfax</t>
  </si>
  <si>
    <t xml:space="preserve">INV-2076</t>
  </si>
  <si>
    <t xml:space="preserve">INV-2177</t>
  </si>
  <si>
    <t xml:space="preserve">New York Times</t>
  </si>
  <si>
    <t xml:space="preserve">WP Rocket</t>
  </si>
  <si>
    <t xml:space="preserve">Netgear</t>
  </si>
  <si>
    <t xml:space="preserve">Last Pass</t>
  </si>
  <si>
    <t xml:space="preserve">INV-2169</t>
  </si>
  <si>
    <t xml:space="preserve">INV-2094</t>
  </si>
  <si>
    <t xml:space="preserve">INV-2156</t>
  </si>
  <si>
    <t xml:space="preserve">The Shot</t>
  </si>
  <si>
    <t xml:space="preserve">SUSE</t>
  </si>
  <si>
    <t xml:space="preserve">INV-2172</t>
  </si>
  <si>
    <t xml:space="preserve">INV-2171</t>
  </si>
  <si>
    <t xml:space="preserve">INV-2100</t>
  </si>
  <si>
    <t xml:space="preserve">INV-2101</t>
  </si>
  <si>
    <t xml:space="preserve">INV-2102</t>
  </si>
  <si>
    <t xml:space="preserve">INV-2103</t>
  </si>
  <si>
    <t xml:space="preserve">INV-2173</t>
  </si>
  <si>
    <t xml:space="preserve">INV-2170</t>
  </si>
  <si>
    <t xml:space="preserve">INV-2060</t>
  </si>
  <si>
    <t xml:space="preserve">INV-2141</t>
  </si>
  <si>
    <t xml:space="preserve">INV-2154</t>
  </si>
  <si>
    <t xml:space="preserve">INV-2079</t>
  </si>
  <si>
    <t xml:space="preserve">INV-2144</t>
  </si>
  <si>
    <t xml:space="preserve">INV-2146</t>
  </si>
  <si>
    <t xml:space="preserve">INV-2147</t>
  </si>
  <si>
    <t xml:space="preserve">INV-2006</t>
  </si>
  <si>
    <t xml:space="preserve">INV-2075</t>
  </si>
  <si>
    <t xml:space="preserve">INV-2142</t>
  </si>
  <si>
    <t xml:space="preserve">INV-2145</t>
  </si>
  <si>
    <t xml:space="preserve">INV-2148</t>
  </si>
  <si>
    <t xml:space="preserve">INV-2149</t>
  </si>
  <si>
    <t xml:space="preserve">INV-2151</t>
  </si>
  <si>
    <t xml:space="preserve">INV-2152</t>
  </si>
  <si>
    <t xml:space="preserve">INV-2143</t>
  </si>
  <si>
    <t xml:space="preserve">INV-2150</t>
  </si>
  <si>
    <t xml:space="preserve">INV-2061</t>
  </si>
  <si>
    <t xml:space="preserve">INV-2174</t>
  </si>
  <si>
    <t xml:space="preserve">Rydges Hotel</t>
  </si>
  <si>
    <t xml:space="preserve">INV-2164</t>
  </si>
  <si>
    <t xml:space="preserve">INV-2158</t>
  </si>
  <si>
    <t xml:space="preserve">INV-2116</t>
  </si>
  <si>
    <t xml:space="preserve">INV-2157</t>
  </si>
  <si>
    <t xml:space="preserve">INV-2095</t>
  </si>
  <si>
    <t xml:space="preserve">INV-2155</t>
  </si>
  <si>
    <t xml:space="preserve">INV-2182</t>
  </si>
  <si>
    <t xml:space="preserve">Wotif</t>
  </si>
  <si>
    <t xml:space="preserve">Pullman</t>
  </si>
  <si>
    <t xml:space="preserve">INV-2179</t>
  </si>
  <si>
    <t xml:space="preserve">Grammarly</t>
  </si>
  <si>
    <t xml:space="preserve">Docusign</t>
  </si>
  <si>
    <t xml:space="preserve">INV-2186</t>
  </si>
  <si>
    <t xml:space="preserve">SuperChoice</t>
  </si>
  <si>
    <t xml:space="preserve">Skype</t>
  </si>
  <si>
    <t xml:space="preserve">INV-2162</t>
  </si>
  <si>
    <t xml:space="preserve">INV-2074</t>
  </si>
  <si>
    <t xml:space="preserve">LivePlan</t>
  </si>
  <si>
    <t xml:space="preserve">ATO PAYMENT SYDNEY Card xx8898</t>
  </si>
  <si>
    <t xml:space="preserve">Rick Shores</t>
  </si>
  <si>
    <t xml:space="preserve">NY Times</t>
  </si>
  <si>
    <t xml:space="preserve">The Star</t>
  </si>
  <si>
    <t xml:space="preserve">INV-2240</t>
  </si>
  <si>
    <t xml:space="preserve">INV-2166</t>
  </si>
  <si>
    <t xml:space="preserve">INV-2168</t>
  </si>
  <si>
    <t xml:space="preserve">INV-2165</t>
  </si>
  <si>
    <t xml:space="preserve">INV-2167</t>
  </si>
  <si>
    <t xml:space="preserve">INV-2160</t>
  </si>
  <si>
    <t xml:space="preserve">AusPost</t>
  </si>
  <si>
    <t xml:space="preserve">Xero Australia Pty Ltd</t>
  </si>
  <si>
    <t xml:space="preserve">INV-2198</t>
  </si>
  <si>
    <t xml:space="preserve">INV-2138</t>
  </si>
  <si>
    <t xml:space="preserve">INV-2139</t>
  </si>
  <si>
    <t xml:space="preserve">INV-2197</t>
  </si>
  <si>
    <t xml:space="preserve">INV-2247</t>
  </si>
  <si>
    <t xml:space="preserve">Envato</t>
  </si>
  <si>
    <t xml:space="preserve">Experts Exchange</t>
  </si>
  <si>
    <t xml:space="preserve">INV-2129</t>
  </si>
  <si>
    <t xml:space="preserve">INV-2239</t>
  </si>
  <si>
    <t xml:space="preserve">INV-2216</t>
  </si>
  <si>
    <t xml:space="preserve">INV-2235</t>
  </si>
  <si>
    <t xml:space="preserve">INV-2232</t>
  </si>
  <si>
    <t xml:space="preserve">AFMRC</t>
  </si>
  <si>
    <t xml:space="preserve">INV-2128</t>
  </si>
  <si>
    <t xml:space="preserve">INV-2215</t>
  </si>
  <si>
    <t xml:space="preserve">INV-2217</t>
  </si>
  <si>
    <t xml:space="preserve">INV-2236</t>
  </si>
  <si>
    <t xml:space="preserve">Yoast B.V</t>
  </si>
  <si>
    <t xml:space="preserve">INV-2180</t>
  </si>
  <si>
    <t xml:space="preserve">Leisure Group North Brisbane</t>
  </si>
  <si>
    <t xml:space="preserve">INV-2234</t>
  </si>
  <si>
    <t xml:space="preserve">INV-2233</t>
  </si>
  <si>
    <t xml:space="preserve">INV-2218</t>
  </si>
  <si>
    <t xml:space="preserve">INV-2242</t>
  </si>
  <si>
    <t xml:space="preserve">INV-2231</t>
  </si>
  <si>
    <t xml:space="preserve">INV-2159</t>
  </si>
  <si>
    <t xml:space="preserve">INV-2223</t>
  </si>
  <si>
    <t xml:space="preserve">INV-2221</t>
  </si>
  <si>
    <t xml:space="preserve">Maya</t>
  </si>
  <si>
    <t xml:space="preserve">The Malaya</t>
  </si>
  <si>
    <t xml:space="preserve">GetUp</t>
  </si>
  <si>
    <t xml:space="preserve">Quarterly Essay</t>
  </si>
  <si>
    <t xml:space="preserve">INV-2230</t>
  </si>
  <si>
    <t xml:space="preserve">INV-2253</t>
  </si>
  <si>
    <t xml:space="preserve">INV-2252</t>
  </si>
  <si>
    <t xml:space="preserve">INV-2214</t>
  </si>
  <si>
    <t xml:space="preserve">INV-2210</t>
  </si>
  <si>
    <t xml:space="preserve">INV-2140</t>
  </si>
  <si>
    <t xml:space="preserve">INV-2205</t>
  </si>
  <si>
    <t xml:space="preserve">INV-2209</t>
  </si>
  <si>
    <t xml:space="preserve">INV-2212</t>
  </si>
  <si>
    <t xml:space="preserve">INV-2202</t>
  </si>
  <si>
    <t xml:space="preserve">INV-2206</t>
  </si>
  <si>
    <t xml:space="preserve">INV-2208</t>
  </si>
  <si>
    <t xml:space="preserve">INV-2211</t>
  </si>
  <si>
    <t xml:space="preserve">SigmaPlugin</t>
  </si>
  <si>
    <t xml:space="preserve">Woo Commerce</t>
  </si>
  <si>
    <t xml:space="preserve">INV-2305</t>
  </si>
  <si>
    <t xml:space="preserve">INV-2297</t>
  </si>
  <si>
    <t xml:space="preserve">INV-2313</t>
  </si>
  <si>
    <t xml:space="preserve">INV-2298</t>
  </si>
  <si>
    <t xml:space="preserve">INV-2219</t>
  </si>
  <si>
    <t xml:space="preserve">INV-2188</t>
  </si>
  <si>
    <t xml:space="preserve">INV-2187</t>
  </si>
  <si>
    <t xml:space="preserve">INV-2301</t>
  </si>
  <si>
    <t xml:space="preserve">INV-2302</t>
  </si>
  <si>
    <t xml:space="preserve">INV-2299</t>
  </si>
  <si>
    <t xml:space="preserve">INV-2226</t>
  </si>
  <si>
    <t xml:space="preserve">INV-2228</t>
  </si>
  <si>
    <t xml:space="preserve">INV-2227</t>
  </si>
  <si>
    <t xml:space="preserve">INV-2229</t>
  </si>
  <si>
    <t xml:space="preserve">INV-2316</t>
  </si>
  <si>
    <t xml:space="preserve">INV-2201</t>
  </si>
  <si>
    <t xml:space="preserve">INV-2207</t>
  </si>
  <si>
    <t xml:space="preserve">INV-2203</t>
  </si>
  <si>
    <t xml:space="preserve">INV-2204</t>
  </si>
  <si>
    <t xml:space="preserve">Factory Direct Shutters</t>
  </si>
  <si>
    <t xml:space="preserve">INV-2286</t>
  </si>
  <si>
    <t xml:space="preserve">INV-2300</t>
  </si>
  <si>
    <t xml:space="preserve">INV-2284</t>
  </si>
  <si>
    <t xml:space="preserve">INV-2307</t>
  </si>
  <si>
    <t xml:space="preserve">INV-2250</t>
  </si>
  <si>
    <t xml:space="preserve">INV-2283</t>
  </si>
  <si>
    <t xml:space="preserve">INV-2285</t>
  </si>
  <si>
    <t xml:space="preserve">INV-2310</t>
  </si>
  <si>
    <t xml:space="preserve">INV-2292</t>
  </si>
  <si>
    <t xml:space="preserve">INV-2200</t>
  </si>
  <si>
    <t xml:space="preserve">INV-2321</t>
  </si>
  <si>
    <t xml:space="preserve">INV-2087</t>
  </si>
  <si>
    <t xml:space="preserve">INV-2153</t>
  </si>
  <si>
    <t xml:space="preserve">INV-2213</t>
  </si>
  <si>
    <t xml:space="preserve">INV-2269</t>
  </si>
  <si>
    <t xml:space="preserve">INV-2243</t>
  </si>
  <si>
    <t xml:space="preserve">Bank Transfer from Business Trans Acct to EVERYDAY CHECKING ...3405</t>
  </si>
  <si>
    <t xml:space="preserve">7904</t>
  </si>
  <si>
    <t xml:space="preserve">INV-2376</t>
  </si>
  <si>
    <t xml:space="preserve">Duffy Patton Super Fund</t>
  </si>
  <si>
    <t xml:space="preserve">INV-2387</t>
  </si>
  <si>
    <t xml:space="preserve">INV-2368</t>
  </si>
  <si>
    <t xml:space="preserve">INV-2288</t>
  </si>
  <si>
    <t xml:space="preserve">INV-2352</t>
  </si>
  <si>
    <t xml:space="preserve">INV-2384</t>
  </si>
  <si>
    <t xml:space="preserve">INV-2354</t>
  </si>
  <si>
    <t xml:space="preserve">INV-2369</t>
  </si>
  <si>
    <t xml:space="preserve">The Australia Institute</t>
  </si>
  <si>
    <t xml:space="preserve">Kinn</t>
  </si>
  <si>
    <t xml:space="preserve">INV-2257</t>
  </si>
  <si>
    <t xml:space="preserve">INV-2381</t>
  </si>
  <si>
    <t xml:space="preserve">INV-2373</t>
  </si>
  <si>
    <t xml:space="preserve">INV-2371</t>
  </si>
  <si>
    <t xml:space="preserve">INV-2370</t>
  </si>
  <si>
    <t xml:space="preserve">INV-2258</t>
  </si>
  <si>
    <t xml:space="preserve">INV-2372</t>
  </si>
  <si>
    <t xml:space="preserve">INV-2290</t>
  </si>
  <si>
    <t xml:space="preserve">INV-2268</t>
  </si>
  <si>
    <t xml:space="preserve">INV-2272</t>
  </si>
  <si>
    <t xml:space="preserve">INV-2270</t>
  </si>
  <si>
    <t xml:space="preserve">INV-2355</t>
  </si>
  <si>
    <t xml:space="preserve">INV-2308</t>
  </si>
  <si>
    <t xml:space="preserve">INV-2361</t>
  </si>
  <si>
    <t xml:space="preserve">INV-2353</t>
  </si>
  <si>
    <t xml:space="preserve">INV-2378</t>
  </si>
  <si>
    <t xml:space="preserve">INV-2294</t>
  </si>
  <si>
    <t xml:space="preserve">INV-2293</t>
  </si>
  <si>
    <t xml:space="preserve">INV-2295</t>
  </si>
  <si>
    <t xml:space="preserve">INV-2296</t>
  </si>
  <si>
    <t xml:space="preserve">Klaxon</t>
  </si>
  <si>
    <t xml:space="preserve">INV-2391</t>
  </si>
  <si>
    <t xml:space="preserve">Mental Health Support (Donation)</t>
  </si>
  <si>
    <t xml:space="preserve">Sunshac</t>
  </si>
  <si>
    <t xml:space="preserve">Korilla BBQ</t>
  </si>
  <si>
    <t xml:space="preserve">INV-2274</t>
  </si>
  <si>
    <t xml:space="preserve">INV-2277</t>
  </si>
  <si>
    <t xml:space="preserve">INV-2271</t>
  </si>
  <si>
    <t xml:space="preserve">INV-2273</t>
  </si>
  <si>
    <t xml:space="preserve">INV-2275</t>
  </si>
  <si>
    <t xml:space="preserve">INV-2279</t>
  </si>
  <si>
    <t xml:space="preserve">INV-2276</t>
  </si>
  <si>
    <t xml:space="preserve">INV-2281</t>
  </si>
  <si>
    <t xml:space="preserve">INV-2282</t>
  </si>
  <si>
    <t xml:space="preserve">INV-2287</t>
  </si>
  <si>
    <t xml:space="preserve">INV-2356</t>
  </si>
  <si>
    <t xml:space="preserve">INV-2359</t>
  </si>
  <si>
    <t xml:space="preserve">MyCause</t>
  </si>
  <si>
    <t xml:space="preserve">Ebay Australia</t>
  </si>
  <si>
    <t xml:space="preserve">INV-2450</t>
  </si>
  <si>
    <t xml:space="preserve">INV-2357</t>
  </si>
  <si>
    <t xml:space="preserve">Strandbags</t>
  </si>
  <si>
    <t xml:space="preserve">INV-2440</t>
  </si>
  <si>
    <t xml:space="preserve">INV-2459</t>
  </si>
  <si>
    <t xml:space="preserve">INV-2426</t>
  </si>
  <si>
    <t xml:space="preserve">INV-2366</t>
  </si>
  <si>
    <t xml:space="preserve">INV-2367</t>
  </si>
  <si>
    <t xml:space="preserve">INV-2364</t>
  </si>
  <si>
    <t xml:space="preserve">INV-2365</t>
  </si>
  <si>
    <t xml:space="preserve">INV-2448</t>
  </si>
  <si>
    <t xml:space="preserve">INV-2443</t>
  </si>
  <si>
    <t xml:space="preserve">INV-2465</t>
  </si>
  <si>
    <t xml:space="preserve">INV-2323</t>
  </si>
  <si>
    <t xml:space="preserve">INV-2442</t>
  </si>
  <si>
    <t xml:space="preserve">INV-2441</t>
  </si>
  <si>
    <t xml:space="preserve">INV-2444</t>
  </si>
  <si>
    <t xml:space="preserve">INV-2427</t>
  </si>
  <si>
    <t xml:space="preserve">CompTIA</t>
  </si>
  <si>
    <t xml:space="preserve">INV-2425</t>
  </si>
  <si>
    <t xml:space="preserve">INV-2324</t>
  </si>
  <si>
    <t xml:space="preserve">INV-2432</t>
  </si>
  <si>
    <t xml:space="preserve">INV-2445</t>
  </si>
  <si>
    <t xml:space="preserve">INV-2453</t>
  </si>
  <si>
    <t xml:space="preserve">INV-2434</t>
  </si>
  <si>
    <t xml:space="preserve">Notepad++</t>
  </si>
  <si>
    <t xml:space="preserve">INV-2428</t>
  </si>
  <si>
    <t xml:space="preserve">Akismet</t>
  </si>
  <si>
    <t xml:space="preserve">Trainline</t>
  </si>
  <si>
    <t xml:space="preserve">INV-2467</t>
  </si>
  <si>
    <t xml:space="preserve">INV-2468</t>
  </si>
  <si>
    <t xml:space="preserve">INV-2449</t>
  </si>
  <si>
    <t xml:space="preserve">INV-2470</t>
  </si>
  <si>
    <t xml:space="preserve">Walters Steakhouse</t>
  </si>
  <si>
    <t xml:space="preserve">PerfOps</t>
  </si>
  <si>
    <t xml:space="preserve">INV-2346</t>
  </si>
  <si>
    <t xml:space="preserve">INV-2347</t>
  </si>
  <si>
    <t xml:space="preserve">INV-2335</t>
  </si>
  <si>
    <t xml:space="preserve">INV-2342</t>
  </si>
  <si>
    <t xml:space="preserve">INV-2343</t>
  </si>
  <si>
    <t xml:space="preserve">INV-2350</t>
  </si>
  <si>
    <t xml:space="preserve">INV-2267</t>
  </si>
  <si>
    <t xml:space="preserve">INV-2278</t>
  </si>
  <si>
    <t xml:space="preserve">INV-2337</t>
  </si>
  <si>
    <t xml:space="preserve">INV-2338</t>
  </si>
  <si>
    <t xml:space="preserve">INV-2339</t>
  </si>
  <si>
    <t xml:space="preserve">INV-2340</t>
  </si>
  <si>
    <t xml:space="preserve">INV-2341</t>
  </si>
  <si>
    <t xml:space="preserve">INV-2344</t>
  </si>
  <si>
    <t xml:space="preserve">INV-2336</t>
  </si>
  <si>
    <t xml:space="preserve">INV-2345</t>
  </si>
  <si>
    <t xml:space="preserve">INV-2349</t>
  </si>
  <si>
    <t xml:space="preserve">Total Tools</t>
  </si>
  <si>
    <t xml:space="preserve">Al Aseel</t>
  </si>
  <si>
    <t xml:space="preserve">Vince Cordi</t>
  </si>
  <si>
    <t xml:space="preserve">INV-2523</t>
  </si>
  <si>
    <t xml:space="preserve">INV-2473</t>
  </si>
  <si>
    <t xml:space="preserve">INV-2394</t>
  </si>
  <si>
    <t xml:space="preserve">INV-2437</t>
  </si>
  <si>
    <t xml:space="preserve">INV-2438</t>
  </si>
  <si>
    <t xml:space="preserve">INV-2439</t>
  </si>
  <si>
    <t xml:space="preserve">INV-2462</t>
  </si>
  <si>
    <t xml:space="preserve">INV-2395</t>
  </si>
  <si>
    <t xml:space="preserve">INV-2501</t>
  </si>
  <si>
    <t xml:space="preserve">INV-2530</t>
  </si>
  <si>
    <t xml:space="preserve">INV-2471</t>
  </si>
  <si>
    <t xml:space="preserve">INV-2536</t>
  </si>
  <si>
    <t xml:space="preserve">Games Workshop</t>
  </si>
  <si>
    <t xml:space="preserve">Samsoe Rederi</t>
  </si>
  <si>
    <t xml:space="preserve">INV-2519</t>
  </si>
  <si>
    <t xml:space="preserve">INV-2507</t>
  </si>
  <si>
    <t xml:space="preserve">INV-2514</t>
  </si>
  <si>
    <t xml:space="preserve">INV-2512</t>
  </si>
  <si>
    <t xml:space="preserve">INV-2513</t>
  </si>
  <si>
    <t xml:space="preserve">INV-2510</t>
  </si>
  <si>
    <t xml:space="preserve">INV-2520</t>
  </si>
  <si>
    <t xml:space="preserve">INV-2503</t>
  </si>
  <si>
    <t xml:space="preserve">Cloud Linux</t>
  </si>
  <si>
    <t xml:space="preserve">INV-2516</t>
  </si>
  <si>
    <t xml:space="preserve">INV-2515</t>
  </si>
  <si>
    <t xml:space="preserve">INV-2533</t>
  </si>
  <si>
    <t xml:space="preserve">INV-2430</t>
  </si>
  <si>
    <t xml:space="preserve">657075</t>
  </si>
  <si>
    <t xml:space="preserve">WPML</t>
  </si>
  <si>
    <t xml:space="preserve">US Customs</t>
  </si>
  <si>
    <t xml:space="preserve">Guardian News</t>
  </si>
  <si>
    <t xml:space="preserve">INV-2429</t>
  </si>
  <si>
    <t xml:space="preserve">INV-2525</t>
  </si>
  <si>
    <t xml:space="preserve">INV-2280</t>
  </si>
  <si>
    <t xml:space="preserve">INV-2497</t>
  </si>
  <si>
    <t xml:space="preserve">INV-2414</t>
  </si>
  <si>
    <t xml:space="preserve">INV-2419</t>
  </si>
  <si>
    <t xml:space="preserve">INV-2424</t>
  </si>
  <si>
    <t xml:space="preserve">INV-2495</t>
  </si>
  <si>
    <t xml:space="preserve">INV-2348</t>
  </si>
  <si>
    <t xml:space="preserve">INV-2411</t>
  </si>
  <si>
    <t xml:space="preserve">INV-2417</t>
  </si>
  <si>
    <t xml:space="preserve">INV-2421</t>
  </si>
  <si>
    <t xml:space="preserve">INV-2422</t>
  </si>
  <si>
    <t xml:space="preserve">INV-2423</t>
  </si>
  <si>
    <t xml:space="preserve">INV-2488</t>
  </si>
  <si>
    <t xml:space="preserve">INV-2492</t>
  </si>
  <si>
    <t xml:space="preserve">INV-2418</t>
  </si>
  <si>
    <t xml:space="preserve">INV-2420</t>
  </si>
  <si>
    <t xml:space="preserve">INV-2493</t>
  </si>
  <si>
    <t xml:space="preserve">INV-2500</t>
  </si>
  <si>
    <t xml:space="preserve">INV-2518</t>
  </si>
  <si>
    <t xml:space="preserve">INV-2517</t>
  </si>
  <si>
    <t xml:space="preserve">INV-2379</t>
  </si>
  <si>
    <t xml:space="preserve">INV-2464</t>
  </si>
  <si>
    <t xml:space="preserve">INV-2535</t>
  </si>
  <si>
    <t xml:space="preserve">INV-2386</t>
  </si>
  <si>
    <t xml:space="preserve">Orange Travel</t>
  </si>
  <si>
    <t xml:space="preserve">Qatar Airways</t>
  </si>
  <si>
    <t xml:space="preserve">INV-2502</t>
  </si>
  <si>
    <t xml:space="preserve">Omio</t>
  </si>
  <si>
    <t xml:space="preserve">INV-2416</t>
  </si>
  <si>
    <t xml:space="preserve">INV-2409</t>
  </si>
  <si>
    <t xml:space="preserve">INV-2410</t>
  </si>
  <si>
    <t xml:space="preserve">INV-2415</t>
  </si>
  <si>
    <t xml:space="preserve">INV-2487</t>
  </si>
  <si>
    <t xml:space="preserve">INV-2490</t>
  </si>
  <si>
    <t xml:space="preserve">INV-2413</t>
  </si>
  <si>
    <t xml:space="preserve">INV-2484</t>
  </si>
  <si>
    <t xml:space="preserve">INV-2489</t>
  </si>
  <si>
    <t xml:space="preserve">Keolis</t>
  </si>
  <si>
    <t xml:space="preserve">Hotel Atlantic</t>
  </si>
  <si>
    <t xml:space="preserve">INV-2505</t>
  </si>
  <si>
    <t xml:space="preserve">INV-2588</t>
  </si>
  <si>
    <t xml:space="preserve">Moxy Milan</t>
  </si>
  <si>
    <t xml:space="preserve">Noodlebox</t>
  </si>
  <si>
    <t xml:space="preserve">INV-2582</t>
  </si>
  <si>
    <t xml:space="preserve">AOB Airportbus</t>
  </si>
  <si>
    <t xml:space="preserve">Billund</t>
  </si>
  <si>
    <t xml:space="preserve">INV-2570</t>
  </si>
  <si>
    <t xml:space="preserve">INV-2454</t>
  </si>
  <si>
    <t xml:space="preserve">INV-2583</t>
  </si>
  <si>
    <t xml:space="preserve">INV-2597</t>
  </si>
  <si>
    <t xml:space="preserve">INV-2603</t>
  </si>
  <si>
    <t xml:space="preserve">INV-2589</t>
  </si>
  <si>
    <t xml:space="preserve">INV-2581</t>
  </si>
  <si>
    <t xml:space="preserve">INV-2474</t>
  </si>
  <si>
    <t xml:space="preserve">INV-2568</t>
  </si>
  <si>
    <t xml:space="preserve">INV-2600</t>
  </si>
  <si>
    <t xml:space="preserve">INV-2590</t>
  </si>
  <si>
    <t xml:space="preserve">INV-2584</t>
  </si>
  <si>
    <t xml:space="preserve">INV-2602</t>
  </si>
  <si>
    <t xml:space="preserve">INV-2576</t>
  </si>
  <si>
    <t xml:space="preserve">INV-2569</t>
  </si>
  <si>
    <t xml:space="preserve">INV-2574</t>
  </si>
  <si>
    <t xml:space="preserve">INV-2526</t>
  </si>
  <si>
    <t xml:space="preserve">INV-2558</t>
  </si>
  <si>
    <t xml:space="preserve">INV-2553</t>
  </si>
  <si>
    <t xml:space="preserve">INV-2485</t>
  </si>
  <si>
    <t xml:space="preserve">INV-2560</t>
  </si>
  <si>
    <t xml:space="preserve">INV-2563</t>
  </si>
  <si>
    <t xml:space="preserve">INV-2565</t>
  </si>
  <si>
    <t xml:space="preserve">INV-2412</t>
  </si>
  <si>
    <t xml:space="preserve">INV-2486</t>
  </si>
  <si>
    <t xml:space="preserve">INV-2552</t>
  </si>
  <si>
    <t xml:space="preserve">INV-2554</t>
  </si>
  <si>
    <t xml:space="preserve">INV-2556</t>
  </si>
  <si>
    <t xml:space="preserve">INV-2557</t>
  </si>
  <si>
    <t xml:space="preserve">INV-2561</t>
  </si>
  <si>
    <t xml:space="preserve">INV-2491</t>
  </si>
  <si>
    <t xml:space="preserve">INV-2555</t>
  </si>
  <si>
    <t xml:space="preserve">INV-2559</t>
  </si>
  <si>
    <t xml:space="preserve">INV-2504</t>
  </si>
  <si>
    <t xml:space="preserve">INV-2567</t>
  </si>
  <si>
    <t xml:space="preserve">3CX</t>
  </si>
  <si>
    <t xml:space="preserve">INV-2662</t>
  </si>
  <si>
    <t xml:space="preserve">INV-2498</t>
  </si>
  <si>
    <t xml:space="preserve">INV-2496</t>
  </si>
  <si>
    <t xml:space="preserve">INV-2566</t>
  </si>
  <si>
    <t xml:space="preserve">INV-2564</t>
  </si>
  <si>
    <t xml:space="preserve">INV-2494</t>
  </si>
  <si>
    <t xml:space="preserve">INV-2562</t>
  </si>
  <si>
    <t xml:space="preserve">INV-2580</t>
  </si>
  <si>
    <t xml:space="preserve">INV-2579</t>
  </si>
  <si>
    <t xml:space="preserve">INV-2578</t>
  </si>
  <si>
    <t xml:space="preserve">INV-2541</t>
  </si>
  <si>
    <t xml:space="preserve">INV-2661</t>
  </si>
  <si>
    <t xml:space="preserve">INV-2642</t>
  </si>
  <si>
    <t xml:space="preserve">INV-2655</t>
  </si>
  <si>
    <t xml:space="preserve">INV-2678</t>
  </si>
  <si>
    <t xml:space="preserve">INV-2654</t>
  </si>
  <si>
    <t xml:space="preserve">INV-2656</t>
  </si>
  <si>
    <t xml:space="preserve">INV-2640</t>
  </si>
  <si>
    <t xml:space="preserve">INV-2664</t>
  </si>
  <si>
    <t xml:space="preserve">INV-2653</t>
  </si>
  <si>
    <t xml:space="preserve">INV-2657</t>
  </si>
  <si>
    <t xml:space="preserve">INV-2572</t>
  </si>
  <si>
    <t xml:space="preserve">INV-2638</t>
  </si>
  <si>
    <t xml:space="preserve">INV-2542</t>
  </si>
  <si>
    <t xml:space="preserve">INV-2648</t>
  </si>
  <si>
    <t xml:space="preserve">INV-2674</t>
  </si>
  <si>
    <t xml:space="preserve">INV-2641</t>
  </si>
  <si>
    <t xml:space="preserve">Crikey</t>
  </si>
  <si>
    <t xml:space="preserve">Event Cinemas</t>
  </si>
  <si>
    <t xml:space="preserve">Taste of Singapore</t>
  </si>
  <si>
    <t xml:space="preserve">Brisbane Brewing Co</t>
  </si>
  <si>
    <t xml:space="preserve">Star Car Wash</t>
  </si>
  <si>
    <t xml:space="preserve">INV-2591</t>
  </si>
  <si>
    <t xml:space="preserve">INV-2626</t>
  </si>
  <si>
    <t xml:space="preserve">INV-2635</t>
  </si>
  <si>
    <t xml:space="preserve">INV-2624</t>
  </si>
  <si>
    <t xml:space="preserve">INV-2628</t>
  </si>
  <si>
    <t xml:space="preserve">INV-2629</t>
  </si>
  <si>
    <t xml:space="preserve">INV-2633</t>
  </si>
  <si>
    <t xml:space="preserve">INV-2483</t>
  </si>
  <si>
    <t xml:space="preserve">INV-2621</t>
  </si>
  <si>
    <t xml:space="preserve">INV-2625</t>
  </si>
  <si>
    <t xml:space="preserve">INV-2627</t>
  </si>
  <si>
    <t xml:space="preserve">INV-2631</t>
  </si>
  <si>
    <t xml:space="preserve">INV-2632</t>
  </si>
  <si>
    <t xml:space="preserve">INV-2634</t>
  </si>
  <si>
    <t xml:space="preserve">INV-2686</t>
  </si>
  <si>
    <t xml:space="preserve">SAP Conference Fees</t>
  </si>
  <si>
    <t xml:space="preserve">INV-2646</t>
  </si>
  <si>
    <t xml:space="preserve">INV-2637</t>
  </si>
  <si>
    <t xml:space="preserve">INV-2737</t>
  </si>
  <si>
    <t xml:space="preserve">INV-2681</t>
  </si>
  <si>
    <t xml:space="preserve">INV-2643</t>
  </si>
  <si>
    <t xml:space="preserve">INV-2571</t>
  </si>
  <si>
    <t xml:space="preserve">INV-2719</t>
  </si>
  <si>
    <t xml:space="preserve">INV-2718</t>
  </si>
  <si>
    <t xml:space="preserve">INV-2622</t>
  </si>
  <si>
    <t xml:space="preserve">INV-2623</t>
  </si>
  <si>
    <t xml:space="preserve">INV-2620</t>
  </si>
  <si>
    <t xml:space="preserve">INV-2739</t>
  </si>
  <si>
    <t xml:space="preserve">Substack</t>
  </si>
  <si>
    <t xml:space="preserve">Appliances Online</t>
  </si>
  <si>
    <t xml:space="preserve">INV-2730</t>
  </si>
  <si>
    <t xml:space="preserve">INV-2732</t>
  </si>
  <si>
    <t xml:space="preserve">INV-2717</t>
  </si>
  <si>
    <t xml:space="preserve">INV-2731</t>
  </si>
  <si>
    <t xml:space="preserve">INV-2644</t>
  </si>
  <si>
    <t xml:space="preserve">INV-2551</t>
  </si>
  <si>
    <t xml:space="preserve">INV-2607</t>
  </si>
  <si>
    <t xml:space="preserve">INV-2724</t>
  </si>
  <si>
    <t xml:space="preserve">INV-2733</t>
  </si>
  <si>
    <t xml:space="preserve">INV-2608</t>
  </si>
  <si>
    <t xml:space="preserve">INV-2749</t>
  </si>
  <si>
    <t xml:space="preserve">INV-2746</t>
  </si>
  <si>
    <t xml:space="preserve">INV-2738</t>
  </si>
  <si>
    <t xml:space="preserve">INV-2721</t>
  </si>
  <si>
    <t xml:space="preserve">INV-2720</t>
  </si>
  <si>
    <t xml:space="preserve">INV-2726</t>
  </si>
  <si>
    <t xml:space="preserve">Netsdk</t>
  </si>
  <si>
    <t xml:space="preserve">INV-2716</t>
  </si>
  <si>
    <t xml:space="preserve">INV-2651</t>
  </si>
  <si>
    <t xml:space="preserve">INV-2652</t>
  </si>
  <si>
    <t xml:space="preserve">INV-2650</t>
  </si>
  <si>
    <t xml:space="preserve">INV-2671</t>
  </si>
  <si>
    <t xml:space="preserve">INV-2740</t>
  </si>
  <si>
    <t xml:space="preserve">INV-2715</t>
  </si>
  <si>
    <t xml:space="preserve">INV-2706</t>
  </si>
  <si>
    <t xml:space="preserve">INV-2630</t>
  </si>
  <si>
    <t xml:space="preserve">INV-2701</t>
  </si>
  <si>
    <t xml:space="preserve">INV-2705</t>
  </si>
  <si>
    <t xml:space="preserve">INV-2713</t>
  </si>
  <si>
    <t xml:space="preserve">INV-2699</t>
  </si>
  <si>
    <t xml:space="preserve">INV-2702</t>
  </si>
  <si>
    <t xml:space="preserve">INV-2704</t>
  </si>
  <si>
    <t xml:space="preserve">INV-2707</t>
  </si>
  <si>
    <t xml:space="preserve">INV-2708</t>
  </si>
  <si>
    <t xml:space="preserve">INV-2710</t>
  </si>
  <si>
    <t xml:space="preserve">INV-2711</t>
  </si>
  <si>
    <t xml:space="preserve">INV-2712</t>
  </si>
  <si>
    <t xml:space="preserve">INV-2757</t>
  </si>
  <si>
    <t xml:space="preserve">INV-2729</t>
  </si>
  <si>
    <t xml:space="preserve">INV-2727</t>
  </si>
  <si>
    <t xml:space="preserve">INV-2728</t>
  </si>
  <si>
    <t xml:space="preserve">United Airlines</t>
  </si>
  <si>
    <t xml:space="preserve">Canva</t>
  </si>
  <si>
    <t xml:space="preserve">INV-2700</t>
  </si>
  <si>
    <t xml:space="preserve">INV-2703</t>
  </si>
  <si>
    <t xml:space="preserve">Hotel Silken Puerta Madrid</t>
  </si>
  <si>
    <t xml:space="preserve">INV-2722</t>
  </si>
  <si>
    <t xml:space="preserve">INV-2811</t>
  </si>
  <si>
    <t xml:space="preserve">Tony Roma's</t>
  </si>
  <si>
    <t xml:space="preserve">INV-2714</t>
  </si>
  <si>
    <t xml:space="preserve">INV-2709</t>
  </si>
  <si>
    <t xml:space="preserve">INV-2803</t>
  </si>
  <si>
    <t xml:space="preserve">INV-2689</t>
  </si>
  <si>
    <t xml:space="preserve">INV-2665</t>
  </si>
  <si>
    <t xml:space="preserve">INV-2804</t>
  </si>
  <si>
    <t xml:space="preserve">INV-2830</t>
  </si>
  <si>
    <t xml:space="preserve">INV-2828</t>
  </si>
  <si>
    <t xml:space="preserve">INV-2805</t>
  </si>
  <si>
    <t xml:space="preserve">INV-2824</t>
  </si>
  <si>
    <t xml:space="preserve">INV-2802</t>
  </si>
  <si>
    <t xml:space="preserve">INV-2798</t>
  </si>
  <si>
    <t xml:space="preserve">INV-2789</t>
  </si>
  <si>
    <t xml:space="preserve">INV-2752</t>
  </si>
  <si>
    <t xml:space="preserve">INV-2827</t>
  </si>
  <si>
    <t xml:space="preserve">INV-2813</t>
  </si>
  <si>
    <t xml:space="preserve">Singtel</t>
  </si>
  <si>
    <t xml:space="preserve">INV-2810</t>
  </si>
  <si>
    <t xml:space="preserve">INV-2821</t>
  </si>
  <si>
    <t xml:space="preserve">INV-2818</t>
  </si>
  <si>
    <t xml:space="preserve">INV-2762</t>
  </si>
  <si>
    <t xml:space="preserve">ATO Jan-Mar 24 + Apr PAYG</t>
  </si>
  <si>
    <t xml:space="preserve">INV-2782</t>
  </si>
  <si>
    <t xml:space="preserve">INV-2784</t>
  </si>
  <si>
    <t xml:space="preserve">INV-2619</t>
  </si>
  <si>
    <t xml:space="preserve">INV-2772</t>
  </si>
  <si>
    <t xml:space="preserve">INV-2776</t>
  </si>
  <si>
    <t xml:space="preserve">INV-2779</t>
  </si>
  <si>
    <t xml:space="preserve">INV-2771</t>
  </si>
  <si>
    <t xml:space="preserve">INV-2773</t>
  </si>
  <si>
    <t xml:space="preserve">INV-2774</t>
  </si>
  <si>
    <t xml:space="preserve">INV-2775</t>
  </si>
  <si>
    <t xml:space="preserve">INV-2777</t>
  </si>
  <si>
    <t xml:space="preserve">INV-2785</t>
  </si>
  <si>
    <t xml:space="preserve">INV-2787</t>
  </si>
  <si>
    <t xml:space="preserve">INV-2829</t>
  </si>
  <si>
    <t xml:space="preserve">INV-2778</t>
  </si>
  <si>
    <t xml:space="preserve">INV-2780</t>
  </si>
  <si>
    <t xml:space="preserve">INV-2781</t>
  </si>
  <si>
    <t xml:space="preserve">INV-2783</t>
  </si>
  <si>
    <t xml:space="preserve">INV-2786</t>
  </si>
  <si>
    <t xml:space="preserve">INV-2690</t>
  </si>
  <si>
    <t xml:space="preserve">INV-2788</t>
  </si>
  <si>
    <t xml:space="preserve">INV-2791</t>
  </si>
  <si>
    <t xml:space="preserve">INV-2814</t>
  </si>
  <si>
    <t xml:space="preserve">INV-2796</t>
  </si>
  <si>
    <t xml:space="preserve">INV-2792</t>
  </si>
  <si>
    <t xml:space="preserve">INV-2793</t>
  </si>
  <si>
    <t xml:space="preserve">INV-2790</t>
  </si>
  <si>
    <t xml:space="preserve">Riceboi</t>
  </si>
  <si>
    <t xml:space="preserve">INV-2890</t>
  </si>
  <si>
    <t xml:space="preserve">Noosa Vet</t>
  </si>
  <si>
    <t xml:space="preserve">INV-2878</t>
  </si>
  <si>
    <t xml:space="preserve">INV-2907</t>
  </si>
  <si>
    <t xml:space="preserve">INV-2912</t>
  </si>
  <si>
    <t xml:space="preserve">INV-2889</t>
  </si>
  <si>
    <t xml:space="preserve">INV-2879</t>
  </si>
  <si>
    <t xml:space="preserve">INV-2881</t>
  </si>
  <si>
    <t xml:space="preserve">INV-2864</t>
  </si>
  <si>
    <t xml:space="preserve">INV-2892</t>
  </si>
  <si>
    <t xml:space="preserve">INV-2882</t>
  </si>
  <si>
    <t xml:space="preserve">INV-2794</t>
  </si>
  <si>
    <t xml:space="preserve">INV-2760</t>
  </si>
  <si>
    <t xml:space="preserve">INV-2883</t>
  </si>
  <si>
    <t xml:space="preserve">INV-2858</t>
  </si>
  <si>
    <t xml:space="preserve">INV-2850</t>
  </si>
  <si>
    <t xml:space="preserve">INV-2847</t>
  </si>
  <si>
    <t xml:space="preserve">INV-2857</t>
  </si>
  <si>
    <t xml:space="preserve">INV-2859</t>
  </si>
  <si>
    <t xml:space="preserve">INV-2861</t>
  </si>
  <si>
    <t xml:space="preserve">INV-2849</t>
  </si>
  <si>
    <t xml:space="preserve">INV-2851</t>
  </si>
  <si>
    <t xml:space="preserve">INV-2852</t>
  </si>
  <si>
    <t xml:space="preserve">INV-2853</t>
  </si>
  <si>
    <t xml:space="preserve">INV-2856</t>
  </si>
  <si>
    <t xml:space="preserve">INV-2860</t>
  </si>
  <si>
    <t xml:space="preserve">INV-2862</t>
  </si>
  <si>
    <t xml:space="preserve">INV-2761</t>
  </si>
  <si>
    <t xml:space="preserve">INV-2865</t>
  </si>
  <si>
    <t xml:space="preserve">INV-2866</t>
  </si>
  <si>
    <t xml:space="preserve">INV-2873</t>
  </si>
  <si>
    <t xml:space="preserve">INV-2799</t>
  </si>
  <si>
    <t xml:space="preserve">INV-2800</t>
  </si>
  <si>
    <t xml:space="preserve">INV-2801</t>
  </si>
  <si>
    <t xml:space="preserve">INV-2914</t>
  </si>
  <si>
    <t xml:space="preserve">Caseway</t>
  </si>
  <si>
    <t xml:space="preserve">INV-2904</t>
  </si>
  <si>
    <t xml:space="preserve">INV-2871</t>
  </si>
  <si>
    <t xml:space="preserve">INV-2854</t>
  </si>
  <si>
    <t xml:space="preserve">INV-2698</t>
  </si>
  <si>
    <t xml:space="preserve">TicketMaster</t>
  </si>
  <si>
    <t xml:space="preserve">INV-2875</t>
  </si>
  <si>
    <t xml:space="preserve">INV-2877</t>
  </si>
  <si>
    <t xml:space="preserve">INV-2876</t>
  </si>
  <si>
    <t xml:space="preserve">INV-2868</t>
  </si>
  <si>
    <t xml:space="preserve">INV-2867</t>
  </si>
  <si>
    <t xml:space="preserve">INV-2884</t>
  </si>
  <si>
    <t xml:space="preserve">INV-2846</t>
  </si>
  <si>
    <t xml:space="preserve">INV-2911</t>
  </si>
  <si>
    <t xml:space="preserve">INV-2900</t>
  </si>
  <si>
    <t xml:space="preserve">INV-2969</t>
  </si>
  <si>
    <t xml:space="preserve">INV-2855</t>
  </si>
  <si>
    <t xml:space="preserve">INV-2848</t>
  </si>
  <si>
    <t xml:space="preserve">The Good Guys</t>
  </si>
  <si>
    <t xml:space="preserve">INV-2980</t>
  </si>
  <si>
    <t xml:space="preserve">INV-2950</t>
  </si>
  <si>
    <t xml:space="preserve">INV-2961</t>
  </si>
  <si>
    <t xml:space="preserve">INV-2893</t>
  </si>
  <si>
    <t xml:space="preserve">INV-2948</t>
  </si>
  <si>
    <t xml:space="preserve">INV-2971</t>
  </si>
  <si>
    <t xml:space="preserve">INV-2962</t>
  </si>
  <si>
    <t xml:space="preserve">INV-2869</t>
  </si>
  <si>
    <t xml:space="preserve">INV-2835</t>
  </si>
  <si>
    <t xml:space="preserve">INV-2947</t>
  </si>
  <si>
    <t xml:space="preserve">INV-2963</t>
  </si>
  <si>
    <t xml:space="preserve">INV-2964</t>
  </si>
  <si>
    <t xml:space="preserve">Total 8015 - Business Trans Acct</t>
  </si>
  <si>
    <t xml:space="preserve">8016 - EVERYDAY CHECKING ...3405</t>
  </si>
  <si>
    <t xml:space="preserve">8016</t>
  </si>
  <si>
    <t xml:space="preserve">Wells Fargo</t>
  </si>
  <si>
    <t xml:space="preserve">Whats My IP</t>
  </si>
  <si>
    <t xml:space="preserve">Express VPN</t>
  </si>
  <si>
    <t xml:space="preserve">Casa Zen</t>
  </si>
  <si>
    <t xml:space="preserve">Total 8016 - EVERYDAY CHECKING ...3405</t>
  </si>
  <si>
    <t xml:space="preserve">802 - Other Creditor</t>
  </si>
  <si>
    <t xml:space="preserve">802</t>
  </si>
  <si>
    <t xml:space="preserve">Total 802 - Other Creditor</t>
  </si>
  <si>
    <t xml:space="preserve">804 - Wages Payable - Payroll</t>
  </si>
  <si>
    <t xml:space="preserve">804</t>
  </si>
  <si>
    <t xml:space="preserve">Callum Duffy - Weekly Pay</t>
  </si>
  <si>
    <t xml:space="preserve">Richard Duffy - Weekly Pay</t>
  </si>
  <si>
    <t xml:space="preserve">Wages Payable</t>
  </si>
  <si>
    <t xml:space="preserve">Kerry Duffy - 3 Weeks Pay</t>
  </si>
  <si>
    <t xml:space="preserve">Kerry Duffy - Weekly Pay</t>
  </si>
  <si>
    <t xml:space="preserve">Liam Duffy - Annual Leave Payout</t>
  </si>
  <si>
    <t xml:space="preserve">Taylor Pretty - Backpay August Payrise</t>
  </si>
  <si>
    <t xml:space="preserve">Callum Duffy - Backpay August Payrise</t>
  </si>
  <si>
    <t xml:space="preserve">Liam Duffy - Backpay August Payrise</t>
  </si>
  <si>
    <t xml:space="preserve">Richard Duffy - Backpay August Payrise</t>
  </si>
  <si>
    <t xml:space="preserve">Taylor Pretty - Annual Leave Cashout</t>
  </si>
  <si>
    <t xml:space="preserve">Taylor Pretty - Annual Leave Payout</t>
  </si>
  <si>
    <t xml:space="preserve">Callum Duffy - A/L Cashout</t>
  </si>
  <si>
    <t xml:space="preserve">Taylor Pretty - A/L Payout</t>
  </si>
  <si>
    <t xml:space="preserve">Callum Duffy - Christmas Bonus</t>
  </si>
  <si>
    <t xml:space="preserve">Liam Duffy - Christmas Bonus</t>
  </si>
  <si>
    <t xml:space="preserve">Taylor Pretty - Christmas Bonus</t>
  </si>
  <si>
    <t xml:space="preserve">Liam Duffy - AL Payout x2</t>
  </si>
  <si>
    <t xml:space="preserve">Liam Duffy - Wedding AL Payout x2</t>
  </si>
  <si>
    <t xml:space="preserve">Callum Duffy - EOFY Bonus</t>
  </si>
  <si>
    <t xml:space="preserve">Liam Duffy - EOFY Bonus</t>
  </si>
  <si>
    <t xml:space="preserve">Taylor Pretty - EOFY Bonus</t>
  </si>
  <si>
    <t xml:space="preserve">Holmans: Jnl 19 to clear wages payable to loan account (correction payroll run to correct known overpayments) residual cleared to loan account per client. - Holmans: Jnl 19 to clear wages payable to loan account (correction payroll run to correct known overpayments) residual cleared to loan account per client. </t>
  </si>
  <si>
    <t xml:space="preserve">#23704</t>
  </si>
  <si>
    <t xml:space="preserve">Total 804 - Wages Payable - Payroll</t>
  </si>
  <si>
    <t xml:space="preserve">820 - GST</t>
  </si>
  <si>
    <t xml:space="preserve">820</t>
  </si>
  <si>
    <t xml:space="preserve">Australian Tax Office - GST Payment</t>
  </si>
  <si>
    <t xml:space="preserve">Australian Tax Office - GST</t>
  </si>
  <si>
    <t xml:space="preserve">Australian Tax Office - GST Jan-Mar 24</t>
  </si>
  <si>
    <t xml:space="preserve">Australian Tax Office - Activity Statement for Apr-Jun 2024 - GST</t>
  </si>
  <si>
    <t xml:space="preserve">Holmans: A18 To rectify payment posting of Dec'23 BAS</t>
  </si>
  <si>
    <t xml:space="preserve">#23118</t>
  </si>
  <si>
    <t xml:space="preserve">Total 820 - GST</t>
  </si>
  <si>
    <t xml:space="preserve">821 - GST Adjustments</t>
  </si>
  <si>
    <t xml:space="preserve">821</t>
  </si>
  <si>
    <t xml:space="preserve">Total 821 - GST Adjustments</t>
  </si>
  <si>
    <t xml:space="preserve">825 - PAYG Withholding  Payable</t>
  </si>
  <si>
    <t xml:space="preserve">825</t>
  </si>
  <si>
    <t xml:space="preserve">Australian Tax Office - PAYG Payment</t>
  </si>
  <si>
    <t xml:space="preserve">Tax</t>
  </si>
  <si>
    <t xml:space="preserve">ATO PAYMENT SYDNEY Card xx8898 - July 2023 Period PAYG Tax Withheld</t>
  </si>
  <si>
    <t xml:space="preserve">Australian Tax Office - August 2023 Income tax withheld amount</t>
  </si>
  <si>
    <t xml:space="preserve">Australian Tax Office - October 2023 PAYG Activity Statement</t>
  </si>
  <si>
    <t xml:space="preserve">Australian Tax Office - PAYG Tax Withheld</t>
  </si>
  <si>
    <t xml:space="preserve">Australian Tax Office - PAYG Tax Withheld NOV 23 Period</t>
  </si>
  <si>
    <t xml:space="preserve">Australian Tax Office - PAYG December 2023/January 2024 002</t>
  </si>
  <si>
    <t xml:space="preserve">Australian Tax Office - February 2024 PAYG Tax Withheld</t>
  </si>
  <si>
    <t xml:space="preserve">Australian Tax Office - PAYG Withholding Jan-Mar 24</t>
  </si>
  <si>
    <t xml:space="preserve">Australian Tax Office - PAYG Withholding April 24</t>
  </si>
  <si>
    <t xml:space="preserve">Australian Tax Office - Activity Statement for Apr-Jun 2024 - PAYG tax withheld</t>
  </si>
  <si>
    <t xml:space="preserve">Total 825 - PAYG Withholding  Payable</t>
  </si>
  <si>
    <t xml:space="preserve">826 - Superannuation Payable</t>
  </si>
  <si>
    <t xml:space="preserve">826</t>
  </si>
  <si>
    <t xml:space="preserve">Superannuation Liability</t>
  </si>
  <si>
    <t xml:space="preserve">SuperChoice - July 2023 Super</t>
  </si>
  <si>
    <t xml:space="preserve">SuperChoice - August 2023 Super Payment</t>
  </si>
  <si>
    <t xml:space="preserve">SuperChoice - September 2023 Super Payment</t>
  </si>
  <si>
    <t xml:space="preserve">SuperChoice - October 2023 Super Payment</t>
  </si>
  <si>
    <t xml:space="preserve">SuperChoice - Super Payment November 2023</t>
  </si>
  <si>
    <t xml:space="preserve">SuperChoice - December 2023 Super Payment</t>
  </si>
  <si>
    <t xml:space="preserve">SuperChoice - January 2024 Super Payment</t>
  </si>
  <si>
    <t xml:space="preserve">SuperChoice - February 2024 Super Payment</t>
  </si>
  <si>
    <t xml:space="preserve">SuperChoice - March 2024 Super Payment</t>
  </si>
  <si>
    <t xml:space="preserve">SuperChoice - April 2024 Super Payment</t>
  </si>
  <si>
    <t xml:space="preserve">SuperChoice - May 2024 Super Payment</t>
  </si>
  <si>
    <t xml:space="preserve">Total 826 - Superannuation Payable</t>
  </si>
  <si>
    <t xml:space="preserve">827 - ATO Activity Statement Account</t>
  </si>
  <si>
    <t xml:space="preserve">827</t>
  </si>
  <si>
    <t xml:space="preserve">Total 827 - ATO Activity Statement Account</t>
  </si>
  <si>
    <t xml:space="preserve">840 - Historical Adjustment</t>
  </si>
  <si>
    <t xml:space="preserve">840</t>
  </si>
  <si>
    <t xml:space="preserve">Total 840 - Historical Adjustment</t>
  </si>
  <si>
    <t xml:space="preserve">850 - Suspense</t>
  </si>
  <si>
    <t xml:space="preserve">850</t>
  </si>
  <si>
    <t xml:space="preserve">Last Pass - Incorrect Charge</t>
  </si>
  <si>
    <t xml:space="preserve">Hertz Car Rental - Incorrect Date Booking</t>
  </si>
  <si>
    <t xml:space="preserve">Last Pass - Incorrect Charge Refund</t>
  </si>
  <si>
    <t xml:space="preserve">Hertz Car Rental - Incorrect Charge</t>
  </si>
  <si>
    <t xml:space="preserve">Hertz Car Rental - Refund of Incorrect Charge</t>
  </si>
  <si>
    <t xml:space="preserve">Hertz Car Rental - Incorrect Booking</t>
  </si>
  <si>
    <t xml:space="preserve">Hertz Car Rental - Incorrect Booking Refund</t>
  </si>
  <si>
    <t xml:space="preserve">IS FAB Pty Ltd - Overpayment Requiring Refund</t>
  </si>
  <si>
    <t xml:space="preserve">Liam Duffy - Bond Payment Made Incorrectly from Business Account</t>
  </si>
  <si>
    <t xml:space="preserve">Total 850 - Suspense</t>
  </si>
  <si>
    <t xml:space="preserve">860 - Rounding</t>
  </si>
  <si>
    <t xml:space="preserve">860</t>
  </si>
  <si>
    <t xml:space="preserve">Total 860 - Rounding</t>
  </si>
  <si>
    <t xml:space="preserve">880 - Owner A Drawings</t>
  </si>
  <si>
    <t xml:space="preserve">880</t>
  </si>
  <si>
    <t xml:space="preserve">Holmans: Jnl 18 to consolidate R Duffy loan accounts - Holmans: Jnl 18 to consolidate R Duffy loan accounts</t>
  </si>
  <si>
    <t xml:space="preserve">#23703</t>
  </si>
  <si>
    <t xml:space="preserve">Total 880 - Owner A Drawings</t>
  </si>
  <si>
    <t xml:space="preserve">900 - Loan - R Duffy 2024</t>
  </si>
  <si>
    <t xml:space="preserve">900</t>
  </si>
  <si>
    <t xml:space="preserve">Non-current Liability</t>
  </si>
  <si>
    <t xml:space="preserve">Kerry Duffy - KD Repayment</t>
  </si>
  <si>
    <t xml:space="preserve">Kerry Duffy - KD Loan Repayment</t>
  </si>
  <si>
    <t xml:space="preserve">Richard Duffy - Loan to RD for Personal Tax</t>
  </si>
  <si>
    <t xml:space="preserve">Kerry Duffy - Final Loan Payout</t>
  </si>
  <si>
    <t xml:space="preserve">Viking River Cruises - EU River Cruise</t>
  </si>
  <si>
    <t xml:space="preserve">Total 900 - Loan - R Duffy 2024</t>
  </si>
  <si>
    <t xml:space="preserve">901 - Loan from Richard Duffy</t>
  </si>
  <si>
    <t xml:space="preserve">901</t>
  </si>
  <si>
    <t xml:space="preserve">Richard Duffy - AU Amex Payment</t>
  </si>
  <si>
    <t xml:space="preserve">Richard Duffy - Amex AU Loan</t>
  </si>
  <si>
    <t xml:space="preserve">Total 901 - Loan from Richard Duffy</t>
  </si>
  <si>
    <t xml:space="preserve">903 - Short Term Employee Loans</t>
  </si>
  <si>
    <t xml:space="preserve">903</t>
  </si>
  <si>
    <t xml:space="preserve">Noosa Vet - Noosa Vet RD</t>
  </si>
  <si>
    <t xml:space="preserve">Myer - RD Weekend Withdrawal</t>
  </si>
  <si>
    <t xml:space="preserve">Ricks Garage - RD Weekend Withdrawal</t>
  </si>
  <si>
    <t xml:space="preserve">Target - RD Weekend Withdrawal</t>
  </si>
  <si>
    <t xml:space="preserve">United - RD Weekend Withdrawal</t>
  </si>
  <si>
    <t xml:space="preserve">Espresso Bar - RD Weekend Withdrawal</t>
  </si>
  <si>
    <t xml:space="preserve">Louvre - Louvre Tickets</t>
  </si>
  <si>
    <t xml:space="preserve">Casa Zen - Italy Accommodation Deposit</t>
  </si>
  <si>
    <t xml:space="preserve">Total 903 - Short Term Employee Loans</t>
  </si>
  <si>
    <t xml:space="preserve">910 - Duffy Patton Investments Loan</t>
  </si>
  <si>
    <t xml:space="preserve">910</t>
  </si>
  <si>
    <t xml:space="preserve">Richard Duffy - Loan Repayment</t>
  </si>
  <si>
    <t xml:space="preserve">Total 910 - Duffy Patton Investments Loan</t>
  </si>
  <si>
    <t xml:space="preserve">960 - Retained Earnings</t>
  </si>
  <si>
    <t xml:space="preserve">960</t>
  </si>
  <si>
    <t xml:space="preserve">Equity</t>
  </si>
  <si>
    <t xml:space="preserve">Total 960 - Retained Earnings</t>
  </si>
  <si>
    <t xml:space="preserve">961 - Asset Revaluation Reserve</t>
  </si>
  <si>
    <t xml:space="preserve">961</t>
  </si>
  <si>
    <t xml:space="preserve">Total 961 - Asset Revaluation Reserve</t>
  </si>
  <si>
    <t xml:space="preserve">Total</t>
  </si>
</sst>
</file>

<file path=xl/styles.xml><?xml version="1.0" encoding="utf-8"?>
<styleSheet xmlns="http://schemas.openxmlformats.org/spreadsheetml/2006/main">
  <numFmts count="4">
    <numFmt numFmtId="164" formatCode="General"/>
    <numFmt numFmtId="165" formatCode="#,##0.00;\(#,##0.00\)"/>
    <numFmt numFmtId="166" formatCode="dd\ mmm\ yyyy"/>
    <numFmt numFmtId="167" formatCode="0.00##\%"/>
  </numFmts>
  <fonts count="10">
    <font>
      <sz val="9"/>
      <color theme="1"/>
      <name val="Arial"/>
      <family val="0"/>
      <charset val="1"/>
    </font>
    <font>
      <sz val="10"/>
      <name val="Arial"/>
      <family val="0"/>
    </font>
    <font>
      <sz val="10"/>
      <name val="Arial"/>
      <family val="0"/>
    </font>
    <font>
      <sz val="10"/>
      <name val="Arial"/>
      <family val="0"/>
    </font>
    <font>
      <b val="true"/>
      <sz val="14"/>
      <color theme="1"/>
      <name val="Arial"/>
      <family val="0"/>
      <charset val="1"/>
    </font>
    <font>
      <sz val="14"/>
      <color theme="1"/>
      <name val="Arial"/>
      <family val="0"/>
      <charset val="1"/>
    </font>
    <font>
      <sz val="12"/>
      <color theme="1"/>
      <name val="Arial"/>
      <family val="0"/>
      <charset val="1"/>
    </font>
    <font>
      <b val="true"/>
      <sz val="10"/>
      <color theme="1"/>
      <name val="Arial"/>
      <family val="0"/>
      <charset val="1"/>
    </font>
    <font>
      <sz val="10"/>
      <color theme="1"/>
      <name val="Arial"/>
      <family val="0"/>
      <charset val="1"/>
    </font>
    <font>
      <b val="true"/>
      <sz val="9"/>
      <color theme="1"/>
      <name val="Arial"/>
      <family val="0"/>
      <charset val="1"/>
    </font>
  </fonts>
  <fills count="3">
    <fill>
      <patternFill patternType="none"/>
    </fill>
    <fill>
      <patternFill patternType="gray125"/>
    </fill>
    <fill>
      <patternFill patternType="solid">
        <fgColor rgb="FFF2F2F2"/>
        <bgColor rgb="FFEBEBEB"/>
      </patternFill>
    </fill>
  </fills>
  <borders count="4">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right/>
      <top style="thin">
        <color rgb="FFEBEBE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5" fontId="0" fillId="0" borderId="0" xfId="0" applyFont="true" applyBorder="false" applyAlignment="true" applyProtection="false">
      <alignment horizontal="right" vertical="center" textRotation="0" wrapText="false" indent="0" shrinkToFit="false"/>
      <protection locked="true" hidden="false"/>
    </xf>
    <xf numFmtId="167" fontId="0" fillId="0" borderId="0" xfId="0" applyFont="true" applyBorder="false" applyAlignment="true" applyProtection="false">
      <alignment horizontal="right" vertical="center" textRotation="0" wrapText="false" indent="0" shrinkToFit="false"/>
      <protection locked="true" hidden="false"/>
    </xf>
    <xf numFmtId="166" fontId="0" fillId="0" borderId="3" xfId="0" applyFont="true" applyBorder="true" applyAlignment="true" applyProtection="false">
      <alignment horizontal="left"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5" fontId="0" fillId="0" borderId="3" xfId="0" applyFont="true" applyBorder="true" applyAlignment="true" applyProtection="false">
      <alignment horizontal="right" vertical="center" textRotation="0" wrapText="false" indent="0" shrinkToFit="false"/>
      <protection locked="true" hidden="false"/>
    </xf>
    <xf numFmtId="167" fontId="0" fillId="0" borderId="3" xfId="0" applyFont="true" applyBorder="true" applyAlignment="true" applyProtection="false">
      <alignment horizontal="right"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true" indent="0" shrinkToFit="false"/>
      <protection locked="true" hidden="false"/>
    </xf>
    <xf numFmtId="164" fontId="9" fillId="0" borderId="3" xfId="0" applyFont="true" applyBorder="true" applyAlignment="true" applyProtection="false">
      <alignment horizontal="general" vertical="center" textRotation="0" wrapText="false" indent="0" shrinkToFit="false"/>
      <protection locked="true" hidden="false"/>
    </xf>
    <xf numFmtId="165" fontId="9" fillId="0" borderId="3" xfId="0" applyFont="true" applyBorder="true" applyAlignment="true" applyProtection="false">
      <alignment horizontal="right" vertical="center" textRotation="0" wrapText="false" indent="0" shrinkToFit="false"/>
      <protection locked="true" hidden="false"/>
    </xf>
    <xf numFmtId="164" fontId="9" fillId="2" borderId="2" xfId="0" applyFont="true" applyBorder="true" applyAlignment="true" applyProtection="false">
      <alignment horizontal="general" vertical="center" textRotation="0" wrapText="false" indent="0" shrinkToFit="false"/>
      <protection locked="true" hidden="false"/>
    </xf>
    <xf numFmtId="165" fontId="9" fillId="2"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EBE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000"/>
  <sheetViews>
    <sheetView showFormulas="false" showGridLines="false" showRowColHeaders="true" showZeros="true" rightToLeft="false" tabSelected="true" showOutlineSymbols="true" defaultGridColor="true" view="normal" topLeftCell="A13673" colorId="64" zoomScale="100" zoomScaleNormal="100" zoomScalePageLayoutView="100" workbookViewId="0">
      <selection pane="topLeft" activeCell="A13696" activeCellId="0" sqref="A13693:A13696"/>
    </sheetView>
  </sheetViews>
  <sheetFormatPr defaultColWidth="8.75390625" defaultRowHeight="12.75" zeroHeight="false" outlineLevelRow="0" outlineLevelCol="0"/>
  <cols>
    <col collapsed="false" customWidth="true" hidden="false" outlineLevel="0" max="1" min="1" style="0" width="67"/>
    <col collapsed="false" customWidth="true" hidden="false" outlineLevel="0" max="2" min="2" style="0" width="16"/>
    <col collapsed="false" customWidth="true" hidden="false" outlineLevel="0" max="3" min="3" style="0" width="20.16"/>
    <col collapsed="false" customWidth="true" hidden="false" outlineLevel="0" max="4" min="4" style="0" width="33.33"/>
    <col collapsed="false" customWidth="true" hidden="false" outlineLevel="0" max="6" min="5" style="0" width="100"/>
    <col collapsed="false" customWidth="true" hidden="false" outlineLevel="0" max="8" min="7" style="0" width="11.16"/>
    <col collapsed="false" customWidth="true" hidden="false" outlineLevel="0" max="9" min="9" style="0" width="19.33"/>
    <col collapsed="false" customWidth="true" hidden="false" outlineLevel="0" max="10" min="10" style="0" width="10.5"/>
    <col collapsed="false" customWidth="true" hidden="false" outlineLevel="0" max="11" min="11" style="0" width="11.66"/>
    <col collapsed="false" customWidth="true" hidden="false" outlineLevel="0" max="12" min="12" style="0" width="18.66"/>
  </cols>
  <sheetData>
    <row r="1" s="2" customFormat="true" ht="16.7" hidden="false" customHeight="true" outlineLevel="0" collapsed="false">
      <c r="A1" s="1" t="s">
        <v>0</v>
      </c>
      <c r="B1" s="1"/>
      <c r="C1" s="1"/>
      <c r="D1" s="1"/>
      <c r="E1" s="1"/>
      <c r="F1" s="1"/>
      <c r="G1" s="1"/>
      <c r="H1" s="1"/>
      <c r="I1" s="1"/>
      <c r="J1" s="1"/>
      <c r="K1" s="1"/>
      <c r="L1" s="1"/>
    </row>
    <row r="2" s="4" customFormat="true" ht="14.4" hidden="false" customHeight="true" outlineLevel="0" collapsed="false">
      <c r="A2" s="3" t="s">
        <v>1</v>
      </c>
      <c r="B2" s="3"/>
      <c r="C2" s="3"/>
      <c r="D2" s="3"/>
      <c r="E2" s="3"/>
      <c r="F2" s="3"/>
      <c r="G2" s="3"/>
      <c r="H2" s="3"/>
      <c r="I2" s="3"/>
      <c r="J2" s="3"/>
      <c r="K2" s="3"/>
      <c r="L2" s="3"/>
    </row>
    <row r="3" s="4" customFormat="true" ht="14.4" hidden="false" customHeight="true" outlineLevel="0" collapsed="false">
      <c r="A3" s="3" t="s">
        <v>2</v>
      </c>
      <c r="B3" s="3"/>
      <c r="C3" s="3"/>
      <c r="D3" s="3"/>
      <c r="E3" s="3"/>
      <c r="F3" s="3"/>
      <c r="G3" s="3"/>
      <c r="H3" s="3"/>
      <c r="I3" s="3"/>
      <c r="J3" s="3"/>
      <c r="K3" s="3"/>
      <c r="L3" s="3"/>
    </row>
    <row r="4" customFormat="false" ht="13.35" hidden="false" customHeight="true" outlineLevel="0" collapsed="false"/>
    <row r="5" s="7" customFormat="true" ht="12.1" hidden="false" customHeight="true" outlineLevel="0" collapsed="false">
      <c r="A5" s="5" t="s">
        <v>3</v>
      </c>
      <c r="B5" s="5" t="s">
        <v>4</v>
      </c>
      <c r="C5" s="5" t="s">
        <v>5</v>
      </c>
      <c r="D5" s="5" t="s">
        <v>6</v>
      </c>
      <c r="E5" s="5" t="s">
        <v>7</v>
      </c>
      <c r="F5" s="5" t="s">
        <v>8</v>
      </c>
      <c r="G5" s="6" t="s">
        <v>9</v>
      </c>
      <c r="H5" s="6" t="s">
        <v>10</v>
      </c>
      <c r="I5" s="6" t="s">
        <v>11</v>
      </c>
      <c r="J5" s="6" t="s">
        <v>12</v>
      </c>
      <c r="K5" s="6" t="s">
        <v>13</v>
      </c>
      <c r="L5" s="5" t="s">
        <v>14</v>
      </c>
    </row>
    <row r="6" customFormat="false" ht="13.35" hidden="false" customHeight="true" outlineLevel="0" collapsed="false"/>
    <row r="7" s="7" customFormat="true" ht="12.1" hidden="false" customHeight="true" outlineLevel="0" collapsed="false">
      <c r="A7" s="8" t="s">
        <v>15</v>
      </c>
      <c r="B7" s="8"/>
      <c r="C7" s="8"/>
      <c r="D7" s="8"/>
      <c r="E7" s="8"/>
      <c r="F7" s="8"/>
      <c r="G7" s="8"/>
      <c r="H7" s="8"/>
      <c r="I7" s="8"/>
      <c r="J7" s="8"/>
      <c r="K7" s="8"/>
      <c r="L7" s="8"/>
    </row>
    <row r="8" s="11" customFormat="true" ht="10.95" hidden="false" customHeight="true" outlineLevel="0" collapsed="false">
      <c r="A8" s="9" t="s">
        <v>16</v>
      </c>
      <c r="B8" s="9"/>
      <c r="C8" s="9"/>
      <c r="D8" s="9"/>
      <c r="E8" s="9"/>
      <c r="F8" s="9"/>
      <c r="G8" s="10" t="n">
        <v>0</v>
      </c>
      <c r="H8" s="10" t="n">
        <v>0</v>
      </c>
      <c r="I8" s="10" t="n">
        <f aca="false">(G8 - H8)</f>
        <v>0</v>
      </c>
      <c r="J8" s="10" t="n">
        <v>0</v>
      </c>
      <c r="K8" s="9"/>
      <c r="L8" s="9"/>
    </row>
    <row r="9" s="11" customFormat="true" ht="10.95" hidden="false" customHeight="true" outlineLevel="0" collapsed="false">
      <c r="A9" s="12" t="n">
        <v>45132</v>
      </c>
      <c r="B9" s="13" t="s">
        <v>17</v>
      </c>
      <c r="C9" s="13" t="s">
        <v>18</v>
      </c>
      <c r="D9" s="13" t="s">
        <v>19</v>
      </c>
      <c r="E9" s="13" t="s">
        <v>20</v>
      </c>
      <c r="F9" s="13" t="s">
        <v>21</v>
      </c>
      <c r="G9" s="14" t="n">
        <v>0</v>
      </c>
      <c r="H9" s="14" t="n">
        <v>376</v>
      </c>
      <c r="I9" s="14" t="n">
        <f aca="false">((I8 + G9) - H9)</f>
        <v>-376</v>
      </c>
      <c r="J9" s="14" t="n">
        <v>-37.6</v>
      </c>
      <c r="K9" s="15" t="n">
        <v>10</v>
      </c>
      <c r="L9" s="13" t="s">
        <v>22</v>
      </c>
    </row>
    <row r="10" s="11" customFormat="true" ht="10.95" hidden="false" customHeight="true" outlineLevel="0" collapsed="false">
      <c r="A10" s="16" t="n">
        <v>45132</v>
      </c>
      <c r="B10" s="17" t="s">
        <v>17</v>
      </c>
      <c r="C10" s="17" t="s">
        <v>18</v>
      </c>
      <c r="D10" s="17" t="s">
        <v>19</v>
      </c>
      <c r="E10" s="17" t="s">
        <v>23</v>
      </c>
      <c r="F10" s="17" t="s">
        <v>24</v>
      </c>
      <c r="G10" s="18" t="n">
        <v>0</v>
      </c>
      <c r="H10" s="18" t="n">
        <v>1035</v>
      </c>
      <c r="I10" s="18" t="n">
        <f aca="false">((I9 + G10) - H10)</f>
        <v>-1411</v>
      </c>
      <c r="J10" s="18" t="n">
        <v>-103.5</v>
      </c>
      <c r="K10" s="19" t="n">
        <v>10</v>
      </c>
      <c r="L10" s="17" t="s">
        <v>22</v>
      </c>
    </row>
    <row r="11" s="11" customFormat="true" ht="10.95" hidden="false" customHeight="true" outlineLevel="0" collapsed="false">
      <c r="A11" s="16" t="n">
        <v>45132</v>
      </c>
      <c r="B11" s="17" t="s">
        <v>17</v>
      </c>
      <c r="C11" s="17" t="s">
        <v>18</v>
      </c>
      <c r="D11" s="17" t="s">
        <v>19</v>
      </c>
      <c r="E11" s="17" t="s">
        <v>25</v>
      </c>
      <c r="F11" s="17" t="s">
        <v>24</v>
      </c>
      <c r="G11" s="18" t="n">
        <v>0</v>
      </c>
      <c r="H11" s="18" t="n">
        <v>225</v>
      </c>
      <c r="I11" s="18" t="n">
        <f aca="false">((I10 + G11) - H11)</f>
        <v>-1636</v>
      </c>
      <c r="J11" s="18" t="n">
        <v>-22.5</v>
      </c>
      <c r="K11" s="19" t="n">
        <v>10</v>
      </c>
      <c r="L11" s="17" t="s">
        <v>22</v>
      </c>
    </row>
    <row r="12" s="11" customFormat="true" ht="10.95" hidden="false" customHeight="true" outlineLevel="0" collapsed="false">
      <c r="A12" s="16" t="n">
        <v>45132</v>
      </c>
      <c r="B12" s="17" t="s">
        <v>17</v>
      </c>
      <c r="C12" s="17" t="s">
        <v>18</v>
      </c>
      <c r="D12" s="17" t="s">
        <v>19</v>
      </c>
      <c r="E12" s="17" t="s">
        <v>26</v>
      </c>
      <c r="F12" s="17" t="s">
        <v>27</v>
      </c>
      <c r="G12" s="18" t="n">
        <v>0</v>
      </c>
      <c r="H12" s="18" t="n">
        <v>510</v>
      </c>
      <c r="I12" s="18" t="n">
        <f aca="false">((I11 + G12) - H12)</f>
        <v>-2146</v>
      </c>
      <c r="J12" s="18" t="n">
        <v>-51</v>
      </c>
      <c r="K12" s="19" t="n">
        <v>10</v>
      </c>
      <c r="L12" s="17" t="s">
        <v>22</v>
      </c>
    </row>
    <row r="13" s="11" customFormat="true" ht="10.95" hidden="false" customHeight="true" outlineLevel="0" collapsed="false">
      <c r="A13" s="16" t="n">
        <v>45132</v>
      </c>
      <c r="B13" s="17" t="s">
        <v>17</v>
      </c>
      <c r="C13" s="17" t="s">
        <v>18</v>
      </c>
      <c r="D13" s="17" t="s">
        <v>19</v>
      </c>
      <c r="E13" s="17" t="s">
        <v>28</v>
      </c>
      <c r="F13" s="17" t="s">
        <v>29</v>
      </c>
      <c r="G13" s="18" t="n">
        <v>0</v>
      </c>
      <c r="H13" s="18" t="n">
        <v>836</v>
      </c>
      <c r="I13" s="18" t="n">
        <f aca="false">((I12 + G13) - H13)</f>
        <v>-2982</v>
      </c>
      <c r="J13" s="18" t="n">
        <v>-83.6</v>
      </c>
      <c r="K13" s="19" t="n">
        <v>10</v>
      </c>
      <c r="L13" s="17" t="s">
        <v>22</v>
      </c>
    </row>
    <row r="14" s="11" customFormat="true" ht="10.95" hidden="false" customHeight="true" outlineLevel="0" collapsed="false">
      <c r="A14" s="16" t="n">
        <v>45132</v>
      </c>
      <c r="B14" s="17" t="s">
        <v>17</v>
      </c>
      <c r="C14" s="17" t="s">
        <v>18</v>
      </c>
      <c r="D14" s="17" t="s">
        <v>19</v>
      </c>
      <c r="E14" s="17" t="s">
        <v>30</v>
      </c>
      <c r="F14" s="17" t="s">
        <v>31</v>
      </c>
      <c r="G14" s="18" t="n">
        <v>0</v>
      </c>
      <c r="H14" s="18" t="n">
        <v>85</v>
      </c>
      <c r="I14" s="18" t="n">
        <f aca="false">((I13 + G14) - H14)</f>
        <v>-3067</v>
      </c>
      <c r="J14" s="18" t="n">
        <v>-8.5</v>
      </c>
      <c r="K14" s="19" t="n">
        <v>10</v>
      </c>
      <c r="L14" s="17" t="s">
        <v>22</v>
      </c>
    </row>
    <row r="15" s="11" customFormat="true" ht="10.95" hidden="false" customHeight="true" outlineLevel="0" collapsed="false">
      <c r="A15" s="16" t="n">
        <v>45132</v>
      </c>
      <c r="B15" s="17" t="s">
        <v>17</v>
      </c>
      <c r="C15" s="17" t="s">
        <v>18</v>
      </c>
      <c r="D15" s="17" t="s">
        <v>19</v>
      </c>
      <c r="E15" s="17" t="s">
        <v>32</v>
      </c>
      <c r="F15" s="17" t="s">
        <v>33</v>
      </c>
      <c r="G15" s="18" t="n">
        <v>0</v>
      </c>
      <c r="H15" s="18" t="n">
        <v>195</v>
      </c>
      <c r="I15" s="18" t="n">
        <f aca="false">((I14 + G15) - H15)</f>
        <v>-3262</v>
      </c>
      <c r="J15" s="18" t="n">
        <v>-19.5</v>
      </c>
      <c r="K15" s="19" t="n">
        <v>10</v>
      </c>
      <c r="L15" s="17" t="s">
        <v>22</v>
      </c>
    </row>
    <row r="16" s="11" customFormat="true" ht="10.95" hidden="false" customHeight="true" outlineLevel="0" collapsed="false">
      <c r="A16" s="16" t="n">
        <v>45132</v>
      </c>
      <c r="B16" s="17" t="s">
        <v>17</v>
      </c>
      <c r="C16" s="17" t="s">
        <v>18</v>
      </c>
      <c r="D16" s="17" t="s">
        <v>19</v>
      </c>
      <c r="E16" s="17" t="s">
        <v>34</v>
      </c>
      <c r="F16" s="17" t="s">
        <v>33</v>
      </c>
      <c r="G16" s="18" t="n">
        <v>0</v>
      </c>
      <c r="H16" s="18" t="n">
        <v>30</v>
      </c>
      <c r="I16" s="18" t="n">
        <f aca="false">((I15 + G16) - H16)</f>
        <v>-3292</v>
      </c>
      <c r="J16" s="18" t="n">
        <v>-3</v>
      </c>
      <c r="K16" s="19" t="n">
        <v>10</v>
      </c>
      <c r="L16" s="17" t="s">
        <v>22</v>
      </c>
    </row>
    <row r="17" s="11" customFormat="true" ht="21.3" hidden="false" customHeight="true" outlineLevel="0" collapsed="false">
      <c r="A17" s="16" t="n">
        <v>45132</v>
      </c>
      <c r="B17" s="17" t="s">
        <v>17</v>
      </c>
      <c r="C17" s="17" t="s">
        <v>18</v>
      </c>
      <c r="D17" s="17" t="s">
        <v>19</v>
      </c>
      <c r="E17" s="20" t="s">
        <v>35</v>
      </c>
      <c r="F17" s="17" t="s">
        <v>33</v>
      </c>
      <c r="G17" s="18" t="n">
        <v>0</v>
      </c>
      <c r="H17" s="18" t="n">
        <v>100</v>
      </c>
      <c r="I17" s="18" t="n">
        <f aca="false">((I16 + G17) - H17)</f>
        <v>-3392</v>
      </c>
      <c r="J17" s="18" t="n">
        <v>-10</v>
      </c>
      <c r="K17" s="19" t="n">
        <v>10</v>
      </c>
      <c r="L17" s="17" t="s">
        <v>22</v>
      </c>
    </row>
    <row r="18" s="11" customFormat="true" ht="10.95" hidden="false" customHeight="true" outlineLevel="0" collapsed="false">
      <c r="A18" s="16" t="n">
        <v>45132</v>
      </c>
      <c r="B18" s="17" t="s">
        <v>17</v>
      </c>
      <c r="C18" s="17" t="s">
        <v>18</v>
      </c>
      <c r="D18" s="17" t="s">
        <v>19</v>
      </c>
      <c r="E18" s="17" t="s">
        <v>36</v>
      </c>
      <c r="F18" s="17" t="s">
        <v>37</v>
      </c>
      <c r="G18" s="18" t="n">
        <v>0</v>
      </c>
      <c r="H18" s="18" t="n">
        <v>720</v>
      </c>
      <c r="I18" s="18" t="n">
        <f aca="false">((I17 + G18) - H18)</f>
        <v>-4112</v>
      </c>
      <c r="J18" s="18" t="n">
        <v>-72</v>
      </c>
      <c r="K18" s="19" t="n">
        <v>10</v>
      </c>
      <c r="L18" s="17" t="s">
        <v>22</v>
      </c>
    </row>
    <row r="19" s="11" customFormat="true" ht="10.95" hidden="false" customHeight="true" outlineLevel="0" collapsed="false">
      <c r="A19" s="16" t="n">
        <v>45132</v>
      </c>
      <c r="B19" s="17" t="s">
        <v>17</v>
      </c>
      <c r="C19" s="17" t="s">
        <v>18</v>
      </c>
      <c r="D19" s="17" t="s">
        <v>19</v>
      </c>
      <c r="E19" s="17" t="s">
        <v>38</v>
      </c>
      <c r="F19" s="17" t="s">
        <v>37</v>
      </c>
      <c r="G19" s="18" t="n">
        <v>0</v>
      </c>
      <c r="H19" s="18" t="n">
        <v>110</v>
      </c>
      <c r="I19" s="18" t="n">
        <f aca="false">((I18 + G19) - H19)</f>
        <v>-4222</v>
      </c>
      <c r="J19" s="18" t="n">
        <v>-11</v>
      </c>
      <c r="K19" s="19" t="n">
        <v>10</v>
      </c>
      <c r="L19" s="17" t="s">
        <v>22</v>
      </c>
    </row>
    <row r="20" s="11" customFormat="true" ht="10.95" hidden="false" customHeight="true" outlineLevel="0" collapsed="false">
      <c r="A20" s="16" t="n">
        <v>45132</v>
      </c>
      <c r="B20" s="17" t="s">
        <v>17</v>
      </c>
      <c r="C20" s="17" t="s">
        <v>18</v>
      </c>
      <c r="D20" s="17" t="s">
        <v>19</v>
      </c>
      <c r="E20" s="17" t="s">
        <v>39</v>
      </c>
      <c r="F20" s="17" t="s">
        <v>37</v>
      </c>
      <c r="G20" s="18" t="n">
        <v>0</v>
      </c>
      <c r="H20" s="18" t="n">
        <v>165</v>
      </c>
      <c r="I20" s="18" t="n">
        <f aca="false">((I19 + G20) - H20)</f>
        <v>-4387</v>
      </c>
      <c r="J20" s="18" t="n">
        <v>-16.5</v>
      </c>
      <c r="K20" s="19" t="n">
        <v>10</v>
      </c>
      <c r="L20" s="17" t="s">
        <v>22</v>
      </c>
    </row>
    <row r="21" s="11" customFormat="true" ht="10.95" hidden="false" customHeight="true" outlineLevel="0" collapsed="false">
      <c r="A21" s="16" t="n">
        <v>45132</v>
      </c>
      <c r="B21" s="17" t="s">
        <v>17</v>
      </c>
      <c r="C21" s="17" t="s">
        <v>18</v>
      </c>
      <c r="D21" s="17" t="s">
        <v>19</v>
      </c>
      <c r="E21" s="17" t="s">
        <v>40</v>
      </c>
      <c r="F21" s="17" t="s">
        <v>41</v>
      </c>
      <c r="G21" s="18" t="n">
        <v>0</v>
      </c>
      <c r="H21" s="18" t="n">
        <v>3825</v>
      </c>
      <c r="I21" s="18" t="n">
        <f aca="false">((I20 + G21) - H21)</f>
        <v>-8212</v>
      </c>
      <c r="J21" s="18" t="n">
        <v>-382.5</v>
      </c>
      <c r="K21" s="19" t="n">
        <v>10</v>
      </c>
      <c r="L21" s="17" t="s">
        <v>22</v>
      </c>
    </row>
    <row r="22" s="11" customFormat="true" ht="10.95" hidden="false" customHeight="true" outlineLevel="0" collapsed="false">
      <c r="A22" s="16" t="n">
        <v>45132</v>
      </c>
      <c r="B22" s="17" t="s">
        <v>17</v>
      </c>
      <c r="C22" s="17" t="s">
        <v>18</v>
      </c>
      <c r="D22" s="17" t="s">
        <v>19</v>
      </c>
      <c r="E22" s="17" t="s">
        <v>42</v>
      </c>
      <c r="F22" s="17" t="s">
        <v>43</v>
      </c>
      <c r="G22" s="18" t="n">
        <v>0</v>
      </c>
      <c r="H22" s="18" t="n">
        <v>2592</v>
      </c>
      <c r="I22" s="18" t="n">
        <f aca="false">((I21 + G22) - H22)</f>
        <v>-10804</v>
      </c>
      <c r="J22" s="18" t="n">
        <v>-259.2</v>
      </c>
      <c r="K22" s="19" t="n">
        <v>10</v>
      </c>
      <c r="L22" s="17" t="s">
        <v>44</v>
      </c>
    </row>
    <row r="23" s="11" customFormat="true" ht="10.95" hidden="false" customHeight="true" outlineLevel="0" collapsed="false">
      <c r="A23" s="16" t="n">
        <v>45132</v>
      </c>
      <c r="B23" s="17" t="s">
        <v>17</v>
      </c>
      <c r="C23" s="17" t="s">
        <v>18</v>
      </c>
      <c r="D23" s="17" t="s">
        <v>19</v>
      </c>
      <c r="E23" s="17" t="s">
        <v>45</v>
      </c>
      <c r="F23" s="17" t="s">
        <v>43</v>
      </c>
      <c r="G23" s="18" t="n">
        <v>0</v>
      </c>
      <c r="H23" s="18" t="n">
        <v>990</v>
      </c>
      <c r="I23" s="18" t="n">
        <f aca="false">((I22 + G23) - H23)</f>
        <v>-11794</v>
      </c>
      <c r="J23" s="18" t="n">
        <v>-99</v>
      </c>
      <c r="K23" s="19" t="n">
        <v>10</v>
      </c>
      <c r="L23" s="17" t="s">
        <v>44</v>
      </c>
    </row>
    <row r="24" s="11" customFormat="true" ht="10.95" hidden="false" customHeight="true" outlineLevel="0" collapsed="false">
      <c r="A24" s="16" t="n">
        <v>45132</v>
      </c>
      <c r="B24" s="17" t="s">
        <v>17</v>
      </c>
      <c r="C24" s="17" t="s">
        <v>18</v>
      </c>
      <c r="D24" s="17" t="s">
        <v>19</v>
      </c>
      <c r="E24" s="17" t="s">
        <v>46</v>
      </c>
      <c r="F24" s="17" t="s">
        <v>43</v>
      </c>
      <c r="G24" s="18" t="n">
        <v>0</v>
      </c>
      <c r="H24" s="18" t="n">
        <v>220</v>
      </c>
      <c r="I24" s="18" t="n">
        <f aca="false">((I23 + G24) - H24)</f>
        <v>-12014</v>
      </c>
      <c r="J24" s="18" t="n">
        <v>-22</v>
      </c>
      <c r="K24" s="19" t="n">
        <v>10</v>
      </c>
      <c r="L24" s="17" t="s">
        <v>44</v>
      </c>
    </row>
    <row r="25" s="11" customFormat="true" ht="10.95" hidden="false" customHeight="true" outlineLevel="0" collapsed="false">
      <c r="A25" s="16" t="n">
        <v>45132</v>
      </c>
      <c r="B25" s="17" t="s">
        <v>17</v>
      </c>
      <c r="C25" s="17" t="s">
        <v>18</v>
      </c>
      <c r="D25" s="17" t="s">
        <v>19</v>
      </c>
      <c r="E25" s="17" t="s">
        <v>47</v>
      </c>
      <c r="F25" s="17" t="s">
        <v>48</v>
      </c>
      <c r="G25" s="18" t="n">
        <v>0</v>
      </c>
      <c r="H25" s="18" t="n">
        <v>260</v>
      </c>
      <c r="I25" s="18" t="n">
        <f aca="false">((I24 + G25) - H25)</f>
        <v>-12274</v>
      </c>
      <c r="J25" s="18" t="n">
        <v>-26</v>
      </c>
      <c r="K25" s="19" t="n">
        <v>10</v>
      </c>
      <c r="L25" s="17" t="s">
        <v>22</v>
      </c>
    </row>
    <row r="26" s="11" customFormat="true" ht="10.95" hidden="false" customHeight="true" outlineLevel="0" collapsed="false">
      <c r="A26" s="16" t="n">
        <v>45132</v>
      </c>
      <c r="B26" s="17" t="s">
        <v>17</v>
      </c>
      <c r="C26" s="17" t="s">
        <v>18</v>
      </c>
      <c r="D26" s="17" t="s">
        <v>19</v>
      </c>
      <c r="E26" s="17" t="s">
        <v>49</v>
      </c>
      <c r="F26" s="17" t="s">
        <v>48</v>
      </c>
      <c r="G26" s="18" t="n">
        <v>0</v>
      </c>
      <c r="H26" s="18" t="n">
        <v>100</v>
      </c>
      <c r="I26" s="18" t="n">
        <f aca="false">((I25 + G26) - H26)</f>
        <v>-12374</v>
      </c>
      <c r="J26" s="18" t="n">
        <v>-10</v>
      </c>
      <c r="K26" s="19" t="n">
        <v>10</v>
      </c>
      <c r="L26" s="17" t="s">
        <v>22</v>
      </c>
    </row>
    <row r="27" s="11" customFormat="true" ht="10.95" hidden="false" customHeight="true" outlineLevel="0" collapsed="false">
      <c r="A27" s="16" t="n">
        <v>45132</v>
      </c>
      <c r="B27" s="17" t="s">
        <v>17</v>
      </c>
      <c r="C27" s="17" t="s">
        <v>18</v>
      </c>
      <c r="D27" s="17" t="s">
        <v>19</v>
      </c>
      <c r="E27" s="17" t="s">
        <v>50</v>
      </c>
      <c r="F27" s="17" t="s">
        <v>51</v>
      </c>
      <c r="G27" s="18" t="n">
        <v>0</v>
      </c>
      <c r="H27" s="18" t="n">
        <v>2040</v>
      </c>
      <c r="I27" s="18" t="n">
        <f aca="false">((I26 + G27) - H27)</f>
        <v>-14414</v>
      </c>
      <c r="J27" s="18" t="n">
        <v>-204</v>
      </c>
      <c r="K27" s="19" t="n">
        <v>10</v>
      </c>
      <c r="L27" s="17" t="s">
        <v>22</v>
      </c>
    </row>
    <row r="28" s="11" customFormat="true" ht="10.95" hidden="false" customHeight="true" outlineLevel="0" collapsed="false">
      <c r="A28" s="16" t="n">
        <v>45132</v>
      </c>
      <c r="B28" s="17" t="s">
        <v>17</v>
      </c>
      <c r="C28" s="17" t="s">
        <v>18</v>
      </c>
      <c r="D28" s="17" t="s">
        <v>19</v>
      </c>
      <c r="E28" s="17" t="s">
        <v>52</v>
      </c>
      <c r="F28" s="17" t="s">
        <v>53</v>
      </c>
      <c r="G28" s="18" t="n">
        <v>0</v>
      </c>
      <c r="H28" s="18" t="n">
        <v>1000.05</v>
      </c>
      <c r="I28" s="18" t="n">
        <f aca="false">((I27 + G28) - H28)</f>
        <v>-15414.05</v>
      </c>
      <c r="J28" s="18" t="n">
        <v>-100.01</v>
      </c>
      <c r="K28" s="19" t="n">
        <v>10</v>
      </c>
      <c r="L28" s="17" t="s">
        <v>22</v>
      </c>
    </row>
    <row r="29" s="11" customFormat="true" ht="10.95" hidden="false" customHeight="true" outlineLevel="0" collapsed="false">
      <c r="A29" s="16" t="n">
        <v>45132</v>
      </c>
      <c r="B29" s="17" t="s">
        <v>17</v>
      </c>
      <c r="C29" s="17" t="s">
        <v>18</v>
      </c>
      <c r="D29" s="17" t="s">
        <v>19</v>
      </c>
      <c r="E29" s="17" t="s">
        <v>54</v>
      </c>
      <c r="F29" s="17" t="s">
        <v>55</v>
      </c>
      <c r="G29" s="18" t="n">
        <v>0</v>
      </c>
      <c r="H29" s="18" t="n">
        <v>550</v>
      </c>
      <c r="I29" s="18" t="n">
        <f aca="false">((I28 + G29) - H29)</f>
        <v>-15964.05</v>
      </c>
      <c r="J29" s="18" t="n">
        <v>-55</v>
      </c>
      <c r="K29" s="19" t="n">
        <v>10</v>
      </c>
      <c r="L29" s="17" t="s">
        <v>22</v>
      </c>
    </row>
    <row r="30" s="11" customFormat="true" ht="31.65" hidden="false" customHeight="true" outlineLevel="0" collapsed="false">
      <c r="A30" s="16" t="n">
        <v>45132</v>
      </c>
      <c r="B30" s="17" t="s">
        <v>17</v>
      </c>
      <c r="C30" s="17" t="s">
        <v>18</v>
      </c>
      <c r="D30" s="17" t="s">
        <v>19</v>
      </c>
      <c r="E30" s="20" t="s">
        <v>56</v>
      </c>
      <c r="F30" s="17" t="s">
        <v>55</v>
      </c>
      <c r="G30" s="18" t="n">
        <v>0</v>
      </c>
      <c r="H30" s="18" t="n">
        <v>110</v>
      </c>
      <c r="I30" s="18" t="n">
        <f aca="false">((I29 + G30) - H30)</f>
        <v>-16074.05</v>
      </c>
      <c r="J30" s="18" t="n">
        <v>-11</v>
      </c>
      <c r="K30" s="19" t="n">
        <v>10</v>
      </c>
      <c r="L30" s="17" t="s">
        <v>22</v>
      </c>
    </row>
    <row r="31" s="11" customFormat="true" ht="10.95" hidden="false" customHeight="true" outlineLevel="0" collapsed="false">
      <c r="A31" s="16" t="n">
        <v>45132</v>
      </c>
      <c r="B31" s="17" t="s">
        <v>17</v>
      </c>
      <c r="C31" s="17" t="s">
        <v>18</v>
      </c>
      <c r="D31" s="17" t="s">
        <v>19</v>
      </c>
      <c r="E31" s="17" t="s">
        <v>57</v>
      </c>
      <c r="F31" s="17" t="s">
        <v>55</v>
      </c>
      <c r="G31" s="18" t="n">
        <v>0</v>
      </c>
      <c r="H31" s="18" t="n">
        <v>132</v>
      </c>
      <c r="I31" s="18" t="n">
        <f aca="false">((I30 + G31) - H31)</f>
        <v>-16206.05</v>
      </c>
      <c r="J31" s="18" t="n">
        <v>-13.2</v>
      </c>
      <c r="K31" s="19" t="n">
        <v>10</v>
      </c>
      <c r="L31" s="17" t="s">
        <v>22</v>
      </c>
    </row>
    <row r="32" s="11" customFormat="true" ht="10.95" hidden="false" customHeight="true" outlineLevel="0" collapsed="false">
      <c r="A32" s="16" t="n">
        <v>45132</v>
      </c>
      <c r="B32" s="17" t="s">
        <v>17</v>
      </c>
      <c r="C32" s="17" t="s">
        <v>18</v>
      </c>
      <c r="D32" s="17" t="s">
        <v>19</v>
      </c>
      <c r="E32" s="17" t="s">
        <v>58</v>
      </c>
      <c r="F32" s="17" t="s">
        <v>55</v>
      </c>
      <c r="G32" s="18" t="n">
        <v>0</v>
      </c>
      <c r="H32" s="18" t="n">
        <v>165</v>
      </c>
      <c r="I32" s="18" t="n">
        <f aca="false">((I31 + G32) - H32)</f>
        <v>-16371.05</v>
      </c>
      <c r="J32" s="18" t="n">
        <v>-16.5</v>
      </c>
      <c r="K32" s="19" t="n">
        <v>10</v>
      </c>
      <c r="L32" s="17" t="s">
        <v>22</v>
      </c>
    </row>
    <row r="33" s="11" customFormat="true" ht="10.95" hidden="false" customHeight="true" outlineLevel="0" collapsed="false">
      <c r="A33" s="16" t="n">
        <v>45132</v>
      </c>
      <c r="B33" s="17" t="s">
        <v>17</v>
      </c>
      <c r="C33" s="17" t="s">
        <v>18</v>
      </c>
      <c r="D33" s="17" t="s">
        <v>19</v>
      </c>
      <c r="E33" s="17" t="s">
        <v>59</v>
      </c>
      <c r="F33" s="17" t="s">
        <v>60</v>
      </c>
      <c r="G33" s="18" t="n">
        <v>0</v>
      </c>
      <c r="H33" s="18" t="n">
        <v>4800</v>
      </c>
      <c r="I33" s="18" t="n">
        <f aca="false">((I32 + G33) - H33)</f>
        <v>-21171.05</v>
      </c>
      <c r="J33" s="18" t="n">
        <v>-480</v>
      </c>
      <c r="K33" s="19" t="n">
        <v>10</v>
      </c>
      <c r="L33" s="17" t="s">
        <v>22</v>
      </c>
    </row>
    <row r="34" s="11" customFormat="true" ht="10.95" hidden="false" customHeight="true" outlineLevel="0" collapsed="false">
      <c r="A34" s="16" t="n">
        <v>45132</v>
      </c>
      <c r="B34" s="17" t="s">
        <v>17</v>
      </c>
      <c r="C34" s="17" t="s">
        <v>18</v>
      </c>
      <c r="D34" s="17" t="s">
        <v>19</v>
      </c>
      <c r="E34" s="17" t="s">
        <v>61</v>
      </c>
      <c r="F34" s="17" t="s">
        <v>60</v>
      </c>
      <c r="G34" s="18" t="n">
        <v>0</v>
      </c>
      <c r="H34" s="18" t="n">
        <v>3080</v>
      </c>
      <c r="I34" s="18" t="n">
        <f aca="false">((I33 + G34) - H34)</f>
        <v>-24251.05</v>
      </c>
      <c r="J34" s="18" t="n">
        <v>-308</v>
      </c>
      <c r="K34" s="19" t="n">
        <v>10</v>
      </c>
      <c r="L34" s="17" t="s">
        <v>22</v>
      </c>
    </row>
    <row r="35" s="11" customFormat="true" ht="10.95" hidden="false" customHeight="true" outlineLevel="0" collapsed="false">
      <c r="A35" s="16" t="n">
        <v>45132</v>
      </c>
      <c r="B35" s="17" t="s">
        <v>17</v>
      </c>
      <c r="C35" s="17" t="s">
        <v>18</v>
      </c>
      <c r="D35" s="17" t="s">
        <v>19</v>
      </c>
      <c r="E35" s="17" t="s">
        <v>62</v>
      </c>
      <c r="F35" s="17" t="s">
        <v>60</v>
      </c>
      <c r="G35" s="18" t="n">
        <v>0</v>
      </c>
      <c r="H35" s="18" t="n">
        <v>300</v>
      </c>
      <c r="I35" s="18" t="n">
        <f aca="false">((I34 + G35) - H35)</f>
        <v>-24551.05</v>
      </c>
      <c r="J35" s="18" t="n">
        <v>-30</v>
      </c>
      <c r="K35" s="19" t="n">
        <v>10</v>
      </c>
      <c r="L35" s="17" t="s">
        <v>22</v>
      </c>
    </row>
    <row r="36" s="11" customFormat="true" ht="10.95" hidden="false" customHeight="true" outlineLevel="0" collapsed="false">
      <c r="A36" s="16" t="n">
        <v>45132</v>
      </c>
      <c r="B36" s="17" t="s">
        <v>17</v>
      </c>
      <c r="C36" s="17" t="s">
        <v>18</v>
      </c>
      <c r="D36" s="17" t="s">
        <v>19</v>
      </c>
      <c r="E36" s="17" t="s">
        <v>63</v>
      </c>
      <c r="F36" s="17" t="s">
        <v>60</v>
      </c>
      <c r="G36" s="18" t="n">
        <v>0</v>
      </c>
      <c r="H36" s="18" t="n">
        <v>360</v>
      </c>
      <c r="I36" s="18" t="n">
        <f aca="false">((I35 + G36) - H36)</f>
        <v>-24911.05</v>
      </c>
      <c r="J36" s="18" t="n">
        <v>-36</v>
      </c>
      <c r="K36" s="19" t="n">
        <v>10</v>
      </c>
      <c r="L36" s="17" t="s">
        <v>22</v>
      </c>
    </row>
    <row r="37" s="11" customFormat="true" ht="10.95" hidden="false" customHeight="true" outlineLevel="0" collapsed="false">
      <c r="A37" s="16" t="n">
        <v>45132</v>
      </c>
      <c r="B37" s="17" t="s">
        <v>17</v>
      </c>
      <c r="C37" s="17" t="s">
        <v>18</v>
      </c>
      <c r="D37" s="17" t="s">
        <v>19</v>
      </c>
      <c r="E37" s="17" t="s">
        <v>64</v>
      </c>
      <c r="F37" s="17" t="s">
        <v>65</v>
      </c>
      <c r="G37" s="18" t="n">
        <v>0</v>
      </c>
      <c r="H37" s="18" t="n">
        <v>3410</v>
      </c>
      <c r="I37" s="18" t="n">
        <f aca="false">((I36 + G37) - H37)</f>
        <v>-28321.05</v>
      </c>
      <c r="J37" s="18" t="n">
        <v>-341</v>
      </c>
      <c r="K37" s="19" t="n">
        <v>10</v>
      </c>
      <c r="L37" s="17" t="s">
        <v>22</v>
      </c>
    </row>
    <row r="38" s="11" customFormat="true" ht="10.95" hidden="false" customHeight="true" outlineLevel="0" collapsed="false">
      <c r="A38" s="16" t="n">
        <v>45132</v>
      </c>
      <c r="B38" s="17" t="s">
        <v>17</v>
      </c>
      <c r="C38" s="17" t="s">
        <v>18</v>
      </c>
      <c r="D38" s="17" t="s">
        <v>19</v>
      </c>
      <c r="E38" s="17" t="s">
        <v>66</v>
      </c>
      <c r="F38" s="17" t="s">
        <v>65</v>
      </c>
      <c r="G38" s="18" t="n">
        <v>0</v>
      </c>
      <c r="H38" s="18" t="n">
        <v>220</v>
      </c>
      <c r="I38" s="18" t="n">
        <f aca="false">((I37 + G38) - H38)</f>
        <v>-28541.05</v>
      </c>
      <c r="J38" s="18" t="n">
        <v>-22</v>
      </c>
      <c r="K38" s="19" t="n">
        <v>10</v>
      </c>
      <c r="L38" s="17" t="s">
        <v>22</v>
      </c>
    </row>
    <row r="39" s="11" customFormat="true" ht="10.95" hidden="false" customHeight="true" outlineLevel="0" collapsed="false">
      <c r="A39" s="16" t="n">
        <v>45132</v>
      </c>
      <c r="B39" s="17" t="s">
        <v>17</v>
      </c>
      <c r="C39" s="17" t="s">
        <v>18</v>
      </c>
      <c r="D39" s="17" t="s">
        <v>19</v>
      </c>
      <c r="E39" s="17" t="s">
        <v>67</v>
      </c>
      <c r="F39" s="17" t="s">
        <v>65</v>
      </c>
      <c r="G39" s="18" t="n">
        <v>0</v>
      </c>
      <c r="H39" s="18" t="n">
        <v>220</v>
      </c>
      <c r="I39" s="18" t="n">
        <f aca="false">((I38 + G39) - H39)</f>
        <v>-28761.05</v>
      </c>
      <c r="J39" s="18" t="n">
        <v>-22</v>
      </c>
      <c r="K39" s="19" t="n">
        <v>10</v>
      </c>
      <c r="L39" s="17" t="s">
        <v>22</v>
      </c>
    </row>
    <row r="40" s="11" customFormat="true" ht="10.95" hidden="false" customHeight="true" outlineLevel="0" collapsed="false">
      <c r="A40" s="16" t="n">
        <v>45132</v>
      </c>
      <c r="B40" s="17" t="s">
        <v>17</v>
      </c>
      <c r="C40" s="17" t="s">
        <v>18</v>
      </c>
      <c r="D40" s="17" t="s">
        <v>19</v>
      </c>
      <c r="E40" s="17" t="s">
        <v>68</v>
      </c>
      <c r="F40" s="17" t="s">
        <v>65</v>
      </c>
      <c r="G40" s="18" t="n">
        <v>0</v>
      </c>
      <c r="H40" s="18" t="n">
        <v>250</v>
      </c>
      <c r="I40" s="18" t="n">
        <f aca="false">((I39 + G40) - H40)</f>
        <v>-29011.05</v>
      </c>
      <c r="J40" s="18" t="n">
        <v>-25</v>
      </c>
      <c r="K40" s="19" t="n">
        <v>10</v>
      </c>
      <c r="L40" s="17" t="s">
        <v>22</v>
      </c>
    </row>
    <row r="41" s="11" customFormat="true" ht="10.95" hidden="false" customHeight="true" outlineLevel="0" collapsed="false">
      <c r="A41" s="16" t="n">
        <v>45132</v>
      </c>
      <c r="B41" s="17" t="s">
        <v>17</v>
      </c>
      <c r="C41" s="17" t="s">
        <v>18</v>
      </c>
      <c r="D41" s="17" t="s">
        <v>19</v>
      </c>
      <c r="E41" s="17" t="s">
        <v>69</v>
      </c>
      <c r="F41" s="17" t="s">
        <v>70</v>
      </c>
      <c r="G41" s="18" t="n">
        <v>0</v>
      </c>
      <c r="H41" s="18" t="n">
        <v>880</v>
      </c>
      <c r="I41" s="18" t="n">
        <f aca="false">((I40 + G41) - H41)</f>
        <v>-29891.05</v>
      </c>
      <c r="J41" s="18" t="n">
        <v>-88</v>
      </c>
      <c r="K41" s="19" t="n">
        <v>10</v>
      </c>
      <c r="L41" s="17" t="s">
        <v>22</v>
      </c>
    </row>
    <row r="42" s="11" customFormat="true" ht="10.95" hidden="false" customHeight="true" outlineLevel="0" collapsed="false">
      <c r="A42" s="16" t="n">
        <v>45132</v>
      </c>
      <c r="B42" s="17" t="s">
        <v>17</v>
      </c>
      <c r="C42" s="17" t="s">
        <v>18</v>
      </c>
      <c r="D42" s="17" t="s">
        <v>19</v>
      </c>
      <c r="E42" s="17" t="s">
        <v>71</v>
      </c>
      <c r="F42" s="17" t="s">
        <v>72</v>
      </c>
      <c r="G42" s="18" t="n">
        <v>0</v>
      </c>
      <c r="H42" s="18" t="n">
        <v>1512</v>
      </c>
      <c r="I42" s="18" t="n">
        <f aca="false">((I41 + G42) - H42)</f>
        <v>-31403.05</v>
      </c>
      <c r="J42" s="18" t="n">
        <v>-151.2</v>
      </c>
      <c r="K42" s="19" t="n">
        <v>10</v>
      </c>
      <c r="L42" s="17" t="s">
        <v>22</v>
      </c>
    </row>
    <row r="43" s="11" customFormat="true" ht="10.95" hidden="false" customHeight="true" outlineLevel="0" collapsed="false">
      <c r="A43" s="16" t="n">
        <v>45132</v>
      </c>
      <c r="B43" s="17" t="s">
        <v>17</v>
      </c>
      <c r="C43" s="17" t="s">
        <v>18</v>
      </c>
      <c r="D43" s="17" t="s">
        <v>19</v>
      </c>
      <c r="E43" s="17" t="s">
        <v>73</v>
      </c>
      <c r="F43" s="17" t="s">
        <v>72</v>
      </c>
      <c r="G43" s="18" t="n">
        <v>0</v>
      </c>
      <c r="H43" s="18" t="n">
        <v>110</v>
      </c>
      <c r="I43" s="18" t="n">
        <f aca="false">((I42 + G43) - H43)</f>
        <v>-31513.05</v>
      </c>
      <c r="J43" s="18" t="n">
        <v>-11</v>
      </c>
      <c r="K43" s="19" t="n">
        <v>10</v>
      </c>
      <c r="L43" s="17" t="s">
        <v>22</v>
      </c>
    </row>
    <row r="44" s="11" customFormat="true" ht="10.95" hidden="false" customHeight="true" outlineLevel="0" collapsed="false">
      <c r="A44" s="16" t="n">
        <v>45132</v>
      </c>
      <c r="B44" s="17" t="s">
        <v>17</v>
      </c>
      <c r="C44" s="17" t="s">
        <v>18</v>
      </c>
      <c r="D44" s="17" t="s">
        <v>19</v>
      </c>
      <c r="E44" s="17" t="s">
        <v>74</v>
      </c>
      <c r="F44" s="17" t="s">
        <v>75</v>
      </c>
      <c r="G44" s="18" t="n">
        <v>0</v>
      </c>
      <c r="H44" s="18" t="n">
        <v>1504</v>
      </c>
      <c r="I44" s="18" t="n">
        <f aca="false">((I43 + G44) - H44)</f>
        <v>-33017.05</v>
      </c>
      <c r="J44" s="18" t="n">
        <v>-150.4</v>
      </c>
      <c r="K44" s="19" t="n">
        <v>10</v>
      </c>
      <c r="L44" s="17" t="s">
        <v>22</v>
      </c>
    </row>
    <row r="45" s="11" customFormat="true" ht="10.95" hidden="false" customHeight="true" outlineLevel="0" collapsed="false">
      <c r="A45" s="16" t="n">
        <v>45132</v>
      </c>
      <c r="B45" s="17" t="s">
        <v>17</v>
      </c>
      <c r="C45" s="17" t="s">
        <v>18</v>
      </c>
      <c r="D45" s="17" t="s">
        <v>19</v>
      </c>
      <c r="E45" s="17" t="s">
        <v>76</v>
      </c>
      <c r="F45" s="17" t="s">
        <v>77</v>
      </c>
      <c r="G45" s="18" t="n">
        <v>0</v>
      </c>
      <c r="H45" s="18" t="n">
        <v>752</v>
      </c>
      <c r="I45" s="18" t="n">
        <f aca="false">((I44 + G45) - H45)</f>
        <v>-33769.05</v>
      </c>
      <c r="J45" s="18" t="n">
        <v>-75.2</v>
      </c>
      <c r="K45" s="19" t="n">
        <v>10</v>
      </c>
      <c r="L45" s="17" t="s">
        <v>22</v>
      </c>
    </row>
    <row r="46" s="11" customFormat="true" ht="10.95" hidden="false" customHeight="true" outlineLevel="0" collapsed="false">
      <c r="A46" s="16" t="n">
        <v>45132</v>
      </c>
      <c r="B46" s="17" t="s">
        <v>17</v>
      </c>
      <c r="C46" s="17" t="s">
        <v>18</v>
      </c>
      <c r="D46" s="17" t="s">
        <v>19</v>
      </c>
      <c r="E46" s="17" t="s">
        <v>78</v>
      </c>
      <c r="F46" s="17" t="s">
        <v>79</v>
      </c>
      <c r="G46" s="18" t="n">
        <v>0</v>
      </c>
      <c r="H46" s="18" t="n">
        <v>470</v>
      </c>
      <c r="I46" s="18" t="n">
        <f aca="false">((I45 + G46) - H46)</f>
        <v>-34239.05</v>
      </c>
      <c r="J46" s="18" t="n">
        <v>-47</v>
      </c>
      <c r="K46" s="19" t="n">
        <v>10</v>
      </c>
      <c r="L46" s="17" t="s">
        <v>22</v>
      </c>
    </row>
    <row r="47" s="11" customFormat="true" ht="10.95" hidden="false" customHeight="true" outlineLevel="0" collapsed="false">
      <c r="A47" s="16" t="n">
        <v>45132</v>
      </c>
      <c r="B47" s="17" t="s">
        <v>17</v>
      </c>
      <c r="C47" s="17" t="s">
        <v>18</v>
      </c>
      <c r="D47" s="17" t="s">
        <v>19</v>
      </c>
      <c r="E47" s="17" t="s">
        <v>80</v>
      </c>
      <c r="F47" s="17" t="s">
        <v>79</v>
      </c>
      <c r="G47" s="18" t="n">
        <v>0</v>
      </c>
      <c r="H47" s="18" t="n">
        <v>110</v>
      </c>
      <c r="I47" s="18" t="n">
        <f aca="false">((I46 + G47) - H47)</f>
        <v>-34349.05</v>
      </c>
      <c r="J47" s="18" t="n">
        <v>-11</v>
      </c>
      <c r="K47" s="19" t="n">
        <v>10</v>
      </c>
      <c r="L47" s="17" t="s">
        <v>22</v>
      </c>
    </row>
    <row r="48" s="11" customFormat="true" ht="10.95" hidden="false" customHeight="true" outlineLevel="0" collapsed="false">
      <c r="A48" s="16" t="n">
        <v>45132</v>
      </c>
      <c r="B48" s="17" t="s">
        <v>17</v>
      </c>
      <c r="C48" s="17" t="s">
        <v>18</v>
      </c>
      <c r="D48" s="17" t="s">
        <v>19</v>
      </c>
      <c r="E48" s="17" t="s">
        <v>78</v>
      </c>
      <c r="F48" s="17" t="s">
        <v>81</v>
      </c>
      <c r="G48" s="18" t="n">
        <v>0</v>
      </c>
      <c r="H48" s="18" t="n">
        <v>188</v>
      </c>
      <c r="I48" s="18" t="n">
        <f aca="false">((I47 + G48) - H48)</f>
        <v>-34537.05</v>
      </c>
      <c r="J48" s="18" t="n">
        <v>-18.8</v>
      </c>
      <c r="K48" s="19" t="n">
        <v>10</v>
      </c>
      <c r="L48" s="17" t="s">
        <v>22</v>
      </c>
    </row>
    <row r="49" s="11" customFormat="true" ht="10.95" hidden="false" customHeight="true" outlineLevel="0" collapsed="false">
      <c r="A49" s="16" t="n">
        <v>45132</v>
      </c>
      <c r="B49" s="17" t="s">
        <v>17</v>
      </c>
      <c r="C49" s="17" t="s">
        <v>18</v>
      </c>
      <c r="D49" s="17" t="s">
        <v>19</v>
      </c>
      <c r="E49" s="17" t="s">
        <v>78</v>
      </c>
      <c r="F49" s="17" t="s">
        <v>82</v>
      </c>
      <c r="G49" s="18" t="n">
        <v>0</v>
      </c>
      <c r="H49" s="18" t="n">
        <v>1034</v>
      </c>
      <c r="I49" s="18" t="n">
        <f aca="false">((I48 + G49) - H49)</f>
        <v>-35571.05</v>
      </c>
      <c r="J49" s="18" t="n">
        <v>-103.4</v>
      </c>
      <c r="K49" s="19" t="n">
        <v>10</v>
      </c>
      <c r="L49" s="17" t="s">
        <v>22</v>
      </c>
    </row>
    <row r="50" s="11" customFormat="true" ht="10.95" hidden="false" customHeight="true" outlineLevel="0" collapsed="false">
      <c r="A50" s="16" t="n">
        <v>45132</v>
      </c>
      <c r="B50" s="17" t="s">
        <v>17</v>
      </c>
      <c r="C50" s="17" t="s">
        <v>18</v>
      </c>
      <c r="D50" s="17" t="s">
        <v>19</v>
      </c>
      <c r="E50" s="17" t="s">
        <v>83</v>
      </c>
      <c r="F50" s="17" t="s">
        <v>82</v>
      </c>
      <c r="G50" s="18" t="n">
        <v>0</v>
      </c>
      <c r="H50" s="18" t="n">
        <v>38.5</v>
      </c>
      <c r="I50" s="18" t="n">
        <f aca="false">((I49 + G50) - H50)</f>
        <v>-35609.55</v>
      </c>
      <c r="J50" s="18" t="n">
        <v>-3.85</v>
      </c>
      <c r="K50" s="19" t="n">
        <v>10</v>
      </c>
      <c r="L50" s="17" t="s">
        <v>22</v>
      </c>
    </row>
    <row r="51" s="11" customFormat="true" ht="10.95" hidden="false" customHeight="true" outlineLevel="0" collapsed="false">
      <c r="A51" s="16" t="n">
        <v>45132</v>
      </c>
      <c r="B51" s="17" t="s">
        <v>17</v>
      </c>
      <c r="C51" s="17" t="s">
        <v>18</v>
      </c>
      <c r="D51" s="17" t="s">
        <v>19</v>
      </c>
      <c r="E51" s="17" t="s">
        <v>84</v>
      </c>
      <c r="F51" s="17" t="s">
        <v>82</v>
      </c>
      <c r="G51" s="18" t="n">
        <v>0</v>
      </c>
      <c r="H51" s="18" t="n">
        <v>165</v>
      </c>
      <c r="I51" s="18" t="n">
        <f aca="false">((I50 + G51) - H51)</f>
        <v>-35774.55</v>
      </c>
      <c r="J51" s="18" t="n">
        <v>-16.5</v>
      </c>
      <c r="K51" s="19" t="n">
        <v>10</v>
      </c>
      <c r="L51" s="17" t="s">
        <v>22</v>
      </c>
    </row>
    <row r="52" s="11" customFormat="true" ht="10.95" hidden="false" customHeight="true" outlineLevel="0" collapsed="false">
      <c r="A52" s="16" t="n">
        <v>45132</v>
      </c>
      <c r="B52" s="17" t="s">
        <v>17</v>
      </c>
      <c r="C52" s="17" t="s">
        <v>18</v>
      </c>
      <c r="D52" s="17" t="s">
        <v>19</v>
      </c>
      <c r="E52" s="17" t="s">
        <v>76</v>
      </c>
      <c r="F52" s="17" t="s">
        <v>85</v>
      </c>
      <c r="G52" s="18" t="n">
        <v>0</v>
      </c>
      <c r="H52" s="18" t="n">
        <v>470</v>
      </c>
      <c r="I52" s="18" t="n">
        <f aca="false">((I51 + G52) - H52)</f>
        <v>-36244.55</v>
      </c>
      <c r="J52" s="18" t="n">
        <v>-47</v>
      </c>
      <c r="K52" s="19" t="n">
        <v>10</v>
      </c>
      <c r="L52" s="17" t="s">
        <v>22</v>
      </c>
    </row>
    <row r="53" s="11" customFormat="true" ht="10.95" hidden="false" customHeight="true" outlineLevel="0" collapsed="false">
      <c r="A53" s="16" t="n">
        <v>45132</v>
      </c>
      <c r="B53" s="17" t="s">
        <v>17</v>
      </c>
      <c r="C53" s="17" t="s">
        <v>18</v>
      </c>
      <c r="D53" s="17" t="s">
        <v>19</v>
      </c>
      <c r="E53" s="17" t="s">
        <v>78</v>
      </c>
      <c r="F53" s="17" t="s">
        <v>86</v>
      </c>
      <c r="G53" s="18" t="n">
        <v>0</v>
      </c>
      <c r="H53" s="18" t="n">
        <v>188</v>
      </c>
      <c r="I53" s="18" t="n">
        <f aca="false">((I52 + G53) - H53)</f>
        <v>-36432.55</v>
      </c>
      <c r="J53" s="18" t="n">
        <v>-18.8</v>
      </c>
      <c r="K53" s="19" t="n">
        <v>10</v>
      </c>
      <c r="L53" s="17" t="s">
        <v>22</v>
      </c>
    </row>
    <row r="54" s="11" customFormat="true" ht="10.95" hidden="false" customHeight="true" outlineLevel="0" collapsed="false">
      <c r="A54" s="16" t="n">
        <v>45132</v>
      </c>
      <c r="B54" s="17" t="s">
        <v>17</v>
      </c>
      <c r="C54" s="17" t="s">
        <v>18</v>
      </c>
      <c r="D54" s="17" t="s">
        <v>19</v>
      </c>
      <c r="E54" s="17" t="s">
        <v>87</v>
      </c>
      <c r="F54" s="17" t="s">
        <v>86</v>
      </c>
      <c r="G54" s="18" t="n">
        <v>0</v>
      </c>
      <c r="H54" s="18" t="n">
        <v>110</v>
      </c>
      <c r="I54" s="18" t="n">
        <f aca="false">((I53 + G54) - H54)</f>
        <v>-36542.55</v>
      </c>
      <c r="J54" s="18" t="n">
        <v>0</v>
      </c>
      <c r="K54" s="19" t="n">
        <v>0</v>
      </c>
      <c r="L54" s="17" t="s">
        <v>88</v>
      </c>
    </row>
    <row r="55" s="11" customFormat="true" ht="10.95" hidden="false" customHeight="true" outlineLevel="0" collapsed="false">
      <c r="A55" s="16" t="n">
        <v>45132</v>
      </c>
      <c r="B55" s="17" t="s">
        <v>17</v>
      </c>
      <c r="C55" s="17" t="s">
        <v>18</v>
      </c>
      <c r="D55" s="17" t="s">
        <v>19</v>
      </c>
      <c r="E55" s="17" t="s">
        <v>89</v>
      </c>
      <c r="F55" s="17" t="s">
        <v>90</v>
      </c>
      <c r="G55" s="18" t="n">
        <v>0</v>
      </c>
      <c r="H55" s="18" t="n">
        <v>470</v>
      </c>
      <c r="I55" s="18" t="n">
        <f aca="false">((I54 + G55) - H55)</f>
        <v>-37012.55</v>
      </c>
      <c r="J55" s="18" t="n">
        <v>-47</v>
      </c>
      <c r="K55" s="19" t="n">
        <v>10</v>
      </c>
      <c r="L55" s="17" t="s">
        <v>22</v>
      </c>
    </row>
    <row r="56" s="11" customFormat="true" ht="10.95" hidden="false" customHeight="true" outlineLevel="0" collapsed="false">
      <c r="A56" s="16" t="n">
        <v>45132</v>
      </c>
      <c r="B56" s="17" t="s">
        <v>17</v>
      </c>
      <c r="C56" s="17" t="s">
        <v>18</v>
      </c>
      <c r="D56" s="17" t="s">
        <v>19</v>
      </c>
      <c r="E56" s="17" t="s">
        <v>87</v>
      </c>
      <c r="F56" s="17" t="s">
        <v>90</v>
      </c>
      <c r="G56" s="18" t="n">
        <v>0</v>
      </c>
      <c r="H56" s="18" t="n">
        <v>110</v>
      </c>
      <c r="I56" s="18" t="n">
        <f aca="false">((I55 + G56) - H56)</f>
        <v>-37122.55</v>
      </c>
      <c r="J56" s="18" t="n">
        <v>0</v>
      </c>
      <c r="K56" s="19" t="n">
        <v>0</v>
      </c>
      <c r="L56" s="17" t="s">
        <v>88</v>
      </c>
    </row>
    <row r="57" s="11" customFormat="true" ht="10.95" hidden="false" customHeight="true" outlineLevel="0" collapsed="false">
      <c r="A57" s="16" t="n">
        <v>45132</v>
      </c>
      <c r="B57" s="17" t="s">
        <v>17</v>
      </c>
      <c r="C57" s="17" t="s">
        <v>18</v>
      </c>
      <c r="D57" s="17" t="s">
        <v>19</v>
      </c>
      <c r="E57" s="17" t="s">
        <v>91</v>
      </c>
      <c r="F57" s="17" t="s">
        <v>92</v>
      </c>
      <c r="G57" s="18" t="n">
        <v>0</v>
      </c>
      <c r="H57" s="18" t="n">
        <v>1786</v>
      </c>
      <c r="I57" s="18" t="n">
        <f aca="false">((I56 + G57) - H57)</f>
        <v>-38908.55</v>
      </c>
      <c r="J57" s="18" t="n">
        <v>-178.6</v>
      </c>
      <c r="K57" s="19" t="n">
        <v>10</v>
      </c>
      <c r="L57" s="17" t="s">
        <v>22</v>
      </c>
    </row>
    <row r="58" s="11" customFormat="true" ht="10.95" hidden="false" customHeight="true" outlineLevel="0" collapsed="false">
      <c r="A58" s="16" t="n">
        <v>45132</v>
      </c>
      <c r="B58" s="17" t="s">
        <v>17</v>
      </c>
      <c r="C58" s="17" t="s">
        <v>18</v>
      </c>
      <c r="D58" s="17" t="s">
        <v>19</v>
      </c>
      <c r="E58" s="17" t="s">
        <v>93</v>
      </c>
      <c r="F58" s="17" t="s">
        <v>92</v>
      </c>
      <c r="G58" s="18" t="n">
        <v>0</v>
      </c>
      <c r="H58" s="18" t="n">
        <v>330</v>
      </c>
      <c r="I58" s="18" t="n">
        <f aca="false">((I57 + G58) - H58)</f>
        <v>-39238.55</v>
      </c>
      <c r="J58" s="18" t="n">
        <v>-33</v>
      </c>
      <c r="K58" s="19" t="n">
        <v>10</v>
      </c>
      <c r="L58" s="17" t="s">
        <v>22</v>
      </c>
    </row>
    <row r="59" s="11" customFormat="true" ht="10.95" hidden="false" customHeight="true" outlineLevel="0" collapsed="false">
      <c r="A59" s="16" t="n">
        <v>45132</v>
      </c>
      <c r="B59" s="17" t="s">
        <v>17</v>
      </c>
      <c r="C59" s="17" t="s">
        <v>18</v>
      </c>
      <c r="D59" s="17" t="s">
        <v>19</v>
      </c>
      <c r="E59" s="17" t="s">
        <v>94</v>
      </c>
      <c r="F59" s="17" t="s">
        <v>92</v>
      </c>
      <c r="G59" s="18" t="n">
        <v>0</v>
      </c>
      <c r="H59" s="18" t="n">
        <v>143</v>
      </c>
      <c r="I59" s="18" t="n">
        <f aca="false">((I58 + G59) - H59)</f>
        <v>-39381.55</v>
      </c>
      <c r="J59" s="18" t="n">
        <v>-14.3</v>
      </c>
      <c r="K59" s="19" t="n">
        <v>10</v>
      </c>
      <c r="L59" s="17" t="s">
        <v>22</v>
      </c>
    </row>
    <row r="60" s="11" customFormat="true" ht="10.95" hidden="false" customHeight="true" outlineLevel="0" collapsed="false">
      <c r="A60" s="16" t="n">
        <v>45132</v>
      </c>
      <c r="B60" s="17" t="s">
        <v>17</v>
      </c>
      <c r="C60" s="17" t="s">
        <v>18</v>
      </c>
      <c r="D60" s="17" t="s">
        <v>19</v>
      </c>
      <c r="E60" s="17" t="s">
        <v>95</v>
      </c>
      <c r="F60" s="17" t="s">
        <v>96</v>
      </c>
      <c r="G60" s="18" t="n">
        <v>0</v>
      </c>
      <c r="H60" s="18" t="n">
        <v>1034</v>
      </c>
      <c r="I60" s="18" t="n">
        <f aca="false">((I59 + G60) - H60)</f>
        <v>-40415.55</v>
      </c>
      <c r="J60" s="18" t="n">
        <v>-103.4</v>
      </c>
      <c r="K60" s="19" t="n">
        <v>10</v>
      </c>
      <c r="L60" s="17" t="s">
        <v>22</v>
      </c>
    </row>
    <row r="61" s="11" customFormat="true" ht="10.95" hidden="false" customHeight="true" outlineLevel="0" collapsed="false">
      <c r="A61" s="16" t="n">
        <v>45132</v>
      </c>
      <c r="B61" s="17" t="s">
        <v>17</v>
      </c>
      <c r="C61" s="17" t="s">
        <v>18</v>
      </c>
      <c r="D61" s="17" t="s">
        <v>19</v>
      </c>
      <c r="E61" s="17" t="s">
        <v>97</v>
      </c>
      <c r="F61" s="17" t="s">
        <v>96</v>
      </c>
      <c r="G61" s="18" t="n">
        <v>0</v>
      </c>
      <c r="H61" s="18" t="n">
        <v>110</v>
      </c>
      <c r="I61" s="18" t="n">
        <f aca="false">((I60 + G61) - H61)</f>
        <v>-40525.55</v>
      </c>
      <c r="J61" s="18" t="n">
        <v>-11</v>
      </c>
      <c r="K61" s="19" t="n">
        <v>10</v>
      </c>
      <c r="L61" s="17" t="s">
        <v>22</v>
      </c>
    </row>
    <row r="62" s="11" customFormat="true" ht="10.95" hidden="false" customHeight="true" outlineLevel="0" collapsed="false">
      <c r="A62" s="16" t="n">
        <v>45132</v>
      </c>
      <c r="B62" s="17" t="s">
        <v>17</v>
      </c>
      <c r="C62" s="17" t="s">
        <v>18</v>
      </c>
      <c r="D62" s="17" t="s">
        <v>19</v>
      </c>
      <c r="E62" s="17" t="s">
        <v>98</v>
      </c>
      <c r="F62" s="17" t="s">
        <v>99</v>
      </c>
      <c r="G62" s="18" t="n">
        <v>0</v>
      </c>
      <c r="H62" s="18" t="n">
        <v>282</v>
      </c>
      <c r="I62" s="18" t="n">
        <f aca="false">((I61 + G62) - H62)</f>
        <v>-40807.55</v>
      </c>
      <c r="J62" s="18" t="n">
        <v>-28.2</v>
      </c>
      <c r="K62" s="19" t="n">
        <v>10</v>
      </c>
      <c r="L62" s="17" t="s">
        <v>22</v>
      </c>
    </row>
    <row r="63" s="11" customFormat="true" ht="10.95" hidden="false" customHeight="true" outlineLevel="0" collapsed="false">
      <c r="A63" s="16" t="n">
        <v>45132</v>
      </c>
      <c r="B63" s="17" t="s">
        <v>17</v>
      </c>
      <c r="C63" s="17" t="s">
        <v>18</v>
      </c>
      <c r="D63" s="17" t="s">
        <v>19</v>
      </c>
      <c r="E63" s="17" t="s">
        <v>100</v>
      </c>
      <c r="F63" s="17" t="s">
        <v>101</v>
      </c>
      <c r="G63" s="18" t="n">
        <v>0</v>
      </c>
      <c r="H63" s="18" t="n">
        <v>282</v>
      </c>
      <c r="I63" s="18" t="n">
        <f aca="false">((I62 + G63) - H63)</f>
        <v>-41089.55</v>
      </c>
      <c r="J63" s="18" t="n">
        <v>-28.2</v>
      </c>
      <c r="K63" s="19" t="n">
        <v>10</v>
      </c>
      <c r="L63" s="17" t="s">
        <v>22</v>
      </c>
    </row>
    <row r="64" s="11" customFormat="true" ht="10.95" hidden="false" customHeight="true" outlineLevel="0" collapsed="false">
      <c r="A64" s="16" t="n">
        <v>45132</v>
      </c>
      <c r="B64" s="17" t="s">
        <v>17</v>
      </c>
      <c r="C64" s="17" t="s">
        <v>18</v>
      </c>
      <c r="D64" s="17" t="s">
        <v>19</v>
      </c>
      <c r="E64" s="17" t="s">
        <v>102</v>
      </c>
      <c r="F64" s="17" t="s">
        <v>103</v>
      </c>
      <c r="G64" s="18" t="n">
        <v>0</v>
      </c>
      <c r="H64" s="18" t="n">
        <v>470</v>
      </c>
      <c r="I64" s="18" t="n">
        <f aca="false">((I63 + G64) - H64)</f>
        <v>-41559.55</v>
      </c>
      <c r="J64" s="18" t="n">
        <v>-47</v>
      </c>
      <c r="K64" s="19" t="n">
        <v>10</v>
      </c>
      <c r="L64" s="17" t="s">
        <v>22</v>
      </c>
    </row>
    <row r="65" s="11" customFormat="true" ht="10.95" hidden="false" customHeight="true" outlineLevel="0" collapsed="false">
      <c r="A65" s="16" t="n">
        <v>45132</v>
      </c>
      <c r="B65" s="17" t="s">
        <v>17</v>
      </c>
      <c r="C65" s="17" t="s">
        <v>18</v>
      </c>
      <c r="D65" s="17" t="s">
        <v>19</v>
      </c>
      <c r="E65" s="17" t="s">
        <v>104</v>
      </c>
      <c r="F65" s="17" t="s">
        <v>105</v>
      </c>
      <c r="G65" s="18" t="n">
        <v>0</v>
      </c>
      <c r="H65" s="18" t="n">
        <v>940</v>
      </c>
      <c r="I65" s="18" t="n">
        <f aca="false">((I64 + G65) - H65)</f>
        <v>-42499.55</v>
      </c>
      <c r="J65" s="18" t="n">
        <v>-94</v>
      </c>
      <c r="K65" s="19" t="n">
        <v>10</v>
      </c>
      <c r="L65" s="17" t="s">
        <v>22</v>
      </c>
    </row>
    <row r="66" s="11" customFormat="true" ht="10.95" hidden="false" customHeight="true" outlineLevel="0" collapsed="false">
      <c r="A66" s="16" t="n">
        <v>45132</v>
      </c>
      <c r="B66" s="17" t="s">
        <v>17</v>
      </c>
      <c r="C66" s="17" t="s">
        <v>18</v>
      </c>
      <c r="D66" s="17" t="s">
        <v>19</v>
      </c>
      <c r="E66" s="17" t="s">
        <v>106</v>
      </c>
      <c r="F66" s="17" t="s">
        <v>107</v>
      </c>
      <c r="G66" s="18" t="n">
        <v>0</v>
      </c>
      <c r="H66" s="18" t="n">
        <v>282</v>
      </c>
      <c r="I66" s="18" t="n">
        <f aca="false">((I65 + G66) - H66)</f>
        <v>-42781.55</v>
      </c>
      <c r="J66" s="18" t="n">
        <v>-28.2</v>
      </c>
      <c r="K66" s="19" t="n">
        <v>10</v>
      </c>
      <c r="L66" s="17" t="s">
        <v>22</v>
      </c>
    </row>
    <row r="67" s="11" customFormat="true" ht="10.95" hidden="false" customHeight="true" outlineLevel="0" collapsed="false">
      <c r="A67" s="16" t="n">
        <v>45132</v>
      </c>
      <c r="B67" s="17" t="s">
        <v>17</v>
      </c>
      <c r="C67" s="17" t="s">
        <v>18</v>
      </c>
      <c r="D67" s="17" t="s">
        <v>19</v>
      </c>
      <c r="E67" s="17" t="s">
        <v>108</v>
      </c>
      <c r="F67" s="17" t="s">
        <v>109</v>
      </c>
      <c r="G67" s="18" t="n">
        <v>0</v>
      </c>
      <c r="H67" s="18" t="n">
        <v>846</v>
      </c>
      <c r="I67" s="18" t="n">
        <f aca="false">((I66 + G67) - H67)</f>
        <v>-43627.55</v>
      </c>
      <c r="J67" s="18" t="n">
        <v>-84.6</v>
      </c>
      <c r="K67" s="19" t="n">
        <v>10</v>
      </c>
      <c r="L67" s="17" t="s">
        <v>22</v>
      </c>
    </row>
    <row r="68" s="11" customFormat="true" ht="10.95" hidden="false" customHeight="true" outlineLevel="0" collapsed="false">
      <c r="A68" s="16" t="n">
        <v>45132</v>
      </c>
      <c r="B68" s="17" t="s">
        <v>17</v>
      </c>
      <c r="C68" s="17" t="s">
        <v>18</v>
      </c>
      <c r="D68" s="17" t="s">
        <v>19</v>
      </c>
      <c r="E68" s="17" t="s">
        <v>110</v>
      </c>
      <c r="F68" s="17" t="s">
        <v>111</v>
      </c>
      <c r="G68" s="18" t="n">
        <v>0</v>
      </c>
      <c r="H68" s="18" t="n">
        <v>282</v>
      </c>
      <c r="I68" s="18" t="n">
        <f aca="false">((I67 + G68) - H68)</f>
        <v>-43909.55</v>
      </c>
      <c r="J68" s="18" t="n">
        <v>-28.2</v>
      </c>
      <c r="K68" s="19" t="n">
        <v>10</v>
      </c>
      <c r="L68" s="17" t="s">
        <v>22</v>
      </c>
    </row>
    <row r="69" s="11" customFormat="true" ht="10.95" hidden="false" customHeight="true" outlineLevel="0" collapsed="false">
      <c r="A69" s="16" t="n">
        <v>45132</v>
      </c>
      <c r="B69" s="17" t="s">
        <v>17</v>
      </c>
      <c r="C69" s="17" t="s">
        <v>18</v>
      </c>
      <c r="D69" s="17" t="s">
        <v>19</v>
      </c>
      <c r="E69" s="17" t="s">
        <v>112</v>
      </c>
      <c r="F69" s="17" t="s">
        <v>111</v>
      </c>
      <c r="G69" s="18" t="n">
        <v>0</v>
      </c>
      <c r="H69" s="18" t="n">
        <v>45</v>
      </c>
      <c r="I69" s="18" t="n">
        <f aca="false">((I68 + G69) - H69)</f>
        <v>-43954.55</v>
      </c>
      <c r="J69" s="18" t="n">
        <v>-4.5</v>
      </c>
      <c r="K69" s="19" t="n">
        <v>10</v>
      </c>
      <c r="L69" s="17" t="s">
        <v>22</v>
      </c>
    </row>
    <row r="70" s="11" customFormat="true" ht="10.95" hidden="false" customHeight="true" outlineLevel="0" collapsed="false">
      <c r="A70" s="16" t="n">
        <v>45132</v>
      </c>
      <c r="B70" s="17" t="s">
        <v>17</v>
      </c>
      <c r="C70" s="17" t="s">
        <v>18</v>
      </c>
      <c r="D70" s="17" t="s">
        <v>19</v>
      </c>
      <c r="E70" s="17" t="s">
        <v>113</v>
      </c>
      <c r="F70" s="17" t="s">
        <v>111</v>
      </c>
      <c r="G70" s="18" t="n">
        <v>0</v>
      </c>
      <c r="H70" s="18" t="n">
        <v>110</v>
      </c>
      <c r="I70" s="18" t="n">
        <f aca="false">((I69 + G70) - H70)</f>
        <v>-44064.55</v>
      </c>
      <c r="J70" s="18" t="n">
        <v>-11</v>
      </c>
      <c r="K70" s="19" t="n">
        <v>10</v>
      </c>
      <c r="L70" s="17" t="s">
        <v>22</v>
      </c>
    </row>
    <row r="71" s="11" customFormat="true" ht="10.95" hidden="false" customHeight="true" outlineLevel="0" collapsed="false">
      <c r="A71" s="16" t="n">
        <v>45132</v>
      </c>
      <c r="B71" s="17" t="s">
        <v>17</v>
      </c>
      <c r="C71" s="17" t="s">
        <v>18</v>
      </c>
      <c r="D71" s="17" t="s">
        <v>19</v>
      </c>
      <c r="E71" s="17" t="s">
        <v>114</v>
      </c>
      <c r="F71" s="17" t="s">
        <v>115</v>
      </c>
      <c r="G71" s="18" t="n">
        <v>0</v>
      </c>
      <c r="H71" s="18" t="n">
        <v>255</v>
      </c>
      <c r="I71" s="18" t="n">
        <f aca="false">((I70 + G71) - H71)</f>
        <v>-44319.55</v>
      </c>
      <c r="J71" s="18" t="n">
        <v>-25.5</v>
      </c>
      <c r="K71" s="19" t="n">
        <v>10</v>
      </c>
      <c r="L71" s="17" t="s">
        <v>22</v>
      </c>
    </row>
    <row r="72" s="11" customFormat="true" ht="10.95" hidden="false" customHeight="true" outlineLevel="0" collapsed="false">
      <c r="A72" s="16" t="n">
        <v>45132</v>
      </c>
      <c r="B72" s="17" t="s">
        <v>17</v>
      </c>
      <c r="C72" s="17" t="s">
        <v>18</v>
      </c>
      <c r="D72" s="17" t="s">
        <v>19</v>
      </c>
      <c r="E72" s="17" t="s">
        <v>116</v>
      </c>
      <c r="F72" s="17" t="s">
        <v>117</v>
      </c>
      <c r="G72" s="18" t="n">
        <v>0</v>
      </c>
      <c r="H72" s="18" t="n">
        <v>1162</v>
      </c>
      <c r="I72" s="18" t="n">
        <f aca="false">((I71 + G72) - H72)</f>
        <v>-45481.55</v>
      </c>
      <c r="J72" s="18" t="n">
        <v>-116.2</v>
      </c>
      <c r="K72" s="19" t="n">
        <v>10</v>
      </c>
      <c r="L72" s="17" t="s">
        <v>22</v>
      </c>
    </row>
    <row r="73" s="11" customFormat="true" ht="10.95" hidden="false" customHeight="true" outlineLevel="0" collapsed="false">
      <c r="A73" s="16" t="n">
        <v>45132</v>
      </c>
      <c r="B73" s="17" t="s">
        <v>17</v>
      </c>
      <c r="C73" s="17" t="s">
        <v>18</v>
      </c>
      <c r="D73" s="17" t="s">
        <v>19</v>
      </c>
      <c r="E73" s="17" t="s">
        <v>118</v>
      </c>
      <c r="F73" s="17" t="s">
        <v>117</v>
      </c>
      <c r="G73" s="18" t="n">
        <v>0</v>
      </c>
      <c r="H73" s="18" t="n">
        <v>110</v>
      </c>
      <c r="I73" s="18" t="n">
        <f aca="false">((I72 + G73) - H73)</f>
        <v>-45591.55</v>
      </c>
      <c r="J73" s="18" t="n">
        <v>-11</v>
      </c>
      <c r="K73" s="19" t="n">
        <v>10</v>
      </c>
      <c r="L73" s="17" t="s">
        <v>22</v>
      </c>
    </row>
    <row r="74" s="11" customFormat="true" ht="10.95" hidden="false" customHeight="true" outlineLevel="0" collapsed="false">
      <c r="A74" s="16" t="n">
        <v>45132</v>
      </c>
      <c r="B74" s="17" t="s">
        <v>17</v>
      </c>
      <c r="C74" s="17" t="s">
        <v>18</v>
      </c>
      <c r="D74" s="17" t="s">
        <v>19</v>
      </c>
      <c r="E74" s="17" t="s">
        <v>119</v>
      </c>
      <c r="F74" s="17" t="s">
        <v>120</v>
      </c>
      <c r="G74" s="18" t="n">
        <v>0</v>
      </c>
      <c r="H74" s="18" t="n">
        <v>332</v>
      </c>
      <c r="I74" s="18" t="n">
        <f aca="false">((I73 + G74) - H74)</f>
        <v>-45923.55</v>
      </c>
      <c r="J74" s="18" t="n">
        <v>-33.2</v>
      </c>
      <c r="K74" s="19" t="n">
        <v>10</v>
      </c>
      <c r="L74" s="17" t="s">
        <v>22</v>
      </c>
    </row>
    <row r="75" s="11" customFormat="true" ht="10.95" hidden="false" customHeight="true" outlineLevel="0" collapsed="false">
      <c r="A75" s="16" t="n">
        <v>45132</v>
      </c>
      <c r="B75" s="17" t="s">
        <v>17</v>
      </c>
      <c r="C75" s="17" t="s">
        <v>18</v>
      </c>
      <c r="D75" s="17" t="s">
        <v>19</v>
      </c>
      <c r="E75" s="17" t="s">
        <v>121</v>
      </c>
      <c r="F75" s="17" t="s">
        <v>120</v>
      </c>
      <c r="G75" s="18" t="n">
        <v>0</v>
      </c>
      <c r="H75" s="18" t="n">
        <v>1743</v>
      </c>
      <c r="I75" s="18" t="n">
        <f aca="false">((I74 + G75) - H75)</f>
        <v>-47666.55</v>
      </c>
      <c r="J75" s="18" t="n">
        <v>-174.3</v>
      </c>
      <c r="K75" s="19" t="n">
        <v>10</v>
      </c>
      <c r="L75" s="17" t="s">
        <v>22</v>
      </c>
    </row>
    <row r="76" s="11" customFormat="true" ht="10.95" hidden="false" customHeight="true" outlineLevel="0" collapsed="false">
      <c r="A76" s="16" t="n">
        <v>45132</v>
      </c>
      <c r="B76" s="17" t="s">
        <v>17</v>
      </c>
      <c r="C76" s="17" t="s">
        <v>18</v>
      </c>
      <c r="D76" s="17" t="s">
        <v>19</v>
      </c>
      <c r="E76" s="17" t="s">
        <v>122</v>
      </c>
      <c r="F76" s="17" t="s">
        <v>120</v>
      </c>
      <c r="G76" s="18" t="n">
        <v>0</v>
      </c>
      <c r="H76" s="18" t="n">
        <v>332</v>
      </c>
      <c r="I76" s="18" t="n">
        <f aca="false">((I75 + G76) - H76)</f>
        <v>-47998.55</v>
      </c>
      <c r="J76" s="18" t="n">
        <v>-33.2</v>
      </c>
      <c r="K76" s="19" t="n">
        <v>10</v>
      </c>
      <c r="L76" s="17" t="s">
        <v>22</v>
      </c>
    </row>
    <row r="77" s="11" customFormat="true" ht="10.95" hidden="false" customHeight="true" outlineLevel="0" collapsed="false">
      <c r="A77" s="16" t="n">
        <v>45132</v>
      </c>
      <c r="B77" s="17" t="s">
        <v>17</v>
      </c>
      <c r="C77" s="17" t="s">
        <v>18</v>
      </c>
      <c r="D77" s="17" t="s">
        <v>19</v>
      </c>
      <c r="E77" s="17" t="s">
        <v>123</v>
      </c>
      <c r="F77" s="17" t="s">
        <v>120</v>
      </c>
      <c r="G77" s="18" t="n">
        <v>0</v>
      </c>
      <c r="H77" s="18" t="n">
        <v>581</v>
      </c>
      <c r="I77" s="18" t="n">
        <f aca="false">((I76 + G77) - H77)</f>
        <v>-48579.55</v>
      </c>
      <c r="J77" s="18" t="n">
        <v>-58.1</v>
      </c>
      <c r="K77" s="19" t="n">
        <v>10</v>
      </c>
      <c r="L77" s="17" t="s">
        <v>22</v>
      </c>
    </row>
    <row r="78" s="11" customFormat="true" ht="10.95" hidden="false" customHeight="true" outlineLevel="0" collapsed="false">
      <c r="A78" s="16" t="n">
        <v>45132</v>
      </c>
      <c r="B78" s="17" t="s">
        <v>17</v>
      </c>
      <c r="C78" s="17" t="s">
        <v>18</v>
      </c>
      <c r="D78" s="17" t="s">
        <v>19</v>
      </c>
      <c r="E78" s="17" t="s">
        <v>124</v>
      </c>
      <c r="F78" s="17" t="s">
        <v>120</v>
      </c>
      <c r="G78" s="18" t="n">
        <v>0</v>
      </c>
      <c r="H78" s="18" t="n">
        <v>249</v>
      </c>
      <c r="I78" s="18" t="n">
        <f aca="false">((I77 + G78) - H78)</f>
        <v>-48828.55</v>
      </c>
      <c r="J78" s="18" t="n">
        <v>-24.9</v>
      </c>
      <c r="K78" s="19" t="n">
        <v>10</v>
      </c>
      <c r="L78" s="17" t="s">
        <v>22</v>
      </c>
    </row>
    <row r="79" s="11" customFormat="true" ht="10.95" hidden="false" customHeight="true" outlineLevel="0" collapsed="false">
      <c r="A79" s="16" t="n">
        <v>45132</v>
      </c>
      <c r="B79" s="17" t="s">
        <v>17</v>
      </c>
      <c r="C79" s="17" t="s">
        <v>18</v>
      </c>
      <c r="D79" s="17" t="s">
        <v>19</v>
      </c>
      <c r="E79" s="17" t="s">
        <v>125</v>
      </c>
      <c r="F79" s="17" t="s">
        <v>120</v>
      </c>
      <c r="G79" s="18" t="n">
        <v>0</v>
      </c>
      <c r="H79" s="18" t="n">
        <v>83</v>
      </c>
      <c r="I79" s="18" t="n">
        <f aca="false">((I78 + G79) - H79)</f>
        <v>-48911.55</v>
      </c>
      <c r="J79" s="18" t="n">
        <v>-8.3</v>
      </c>
      <c r="K79" s="19" t="n">
        <v>10</v>
      </c>
      <c r="L79" s="17" t="s">
        <v>22</v>
      </c>
    </row>
    <row r="80" s="11" customFormat="true" ht="10.95" hidden="false" customHeight="true" outlineLevel="0" collapsed="false">
      <c r="A80" s="16" t="n">
        <v>45132</v>
      </c>
      <c r="B80" s="17" t="s">
        <v>17</v>
      </c>
      <c r="C80" s="17" t="s">
        <v>18</v>
      </c>
      <c r="D80" s="17" t="s">
        <v>19</v>
      </c>
      <c r="E80" s="17" t="s">
        <v>126</v>
      </c>
      <c r="F80" s="17" t="s">
        <v>120</v>
      </c>
      <c r="G80" s="18" t="n">
        <v>0</v>
      </c>
      <c r="H80" s="18" t="n">
        <v>94.5</v>
      </c>
      <c r="I80" s="18" t="n">
        <f aca="false">((I79 + G80) - H80)</f>
        <v>-49006.05</v>
      </c>
      <c r="J80" s="18" t="n">
        <v>-9.45</v>
      </c>
      <c r="K80" s="19" t="n">
        <v>10</v>
      </c>
      <c r="L80" s="17" t="s">
        <v>22</v>
      </c>
    </row>
    <row r="81" s="11" customFormat="true" ht="10.95" hidden="false" customHeight="true" outlineLevel="0" collapsed="false">
      <c r="A81" s="16" t="n">
        <v>45132</v>
      </c>
      <c r="B81" s="17" t="s">
        <v>17</v>
      </c>
      <c r="C81" s="17" t="s">
        <v>18</v>
      </c>
      <c r="D81" s="17" t="s">
        <v>19</v>
      </c>
      <c r="E81" s="17" t="s">
        <v>127</v>
      </c>
      <c r="F81" s="17" t="s">
        <v>120</v>
      </c>
      <c r="G81" s="18" t="n">
        <v>0</v>
      </c>
      <c r="H81" s="18" t="n">
        <v>83</v>
      </c>
      <c r="I81" s="18" t="n">
        <f aca="false">((I80 + G81) - H81)</f>
        <v>-49089.05</v>
      </c>
      <c r="J81" s="18" t="n">
        <v>-8.3</v>
      </c>
      <c r="K81" s="19" t="n">
        <v>10</v>
      </c>
      <c r="L81" s="17" t="s">
        <v>22</v>
      </c>
    </row>
    <row r="82" s="11" customFormat="true" ht="10.95" hidden="false" customHeight="true" outlineLevel="0" collapsed="false">
      <c r="A82" s="16" t="n">
        <v>45132</v>
      </c>
      <c r="B82" s="17" t="s">
        <v>17</v>
      </c>
      <c r="C82" s="17" t="s">
        <v>18</v>
      </c>
      <c r="D82" s="17" t="s">
        <v>19</v>
      </c>
      <c r="E82" s="17" t="s">
        <v>128</v>
      </c>
      <c r="F82" s="17" t="s">
        <v>120</v>
      </c>
      <c r="G82" s="18" t="n">
        <v>0</v>
      </c>
      <c r="H82" s="18" t="n">
        <v>83</v>
      </c>
      <c r="I82" s="18" t="n">
        <f aca="false">((I81 + G82) - H82)</f>
        <v>-49172.05</v>
      </c>
      <c r="J82" s="18" t="n">
        <v>-8.3</v>
      </c>
      <c r="K82" s="19" t="n">
        <v>10</v>
      </c>
      <c r="L82" s="17" t="s">
        <v>22</v>
      </c>
    </row>
    <row r="83" s="11" customFormat="true" ht="10.95" hidden="false" customHeight="true" outlineLevel="0" collapsed="false">
      <c r="A83" s="16" t="n">
        <v>45132</v>
      </c>
      <c r="B83" s="17" t="s">
        <v>17</v>
      </c>
      <c r="C83" s="17" t="s">
        <v>18</v>
      </c>
      <c r="D83" s="17" t="s">
        <v>19</v>
      </c>
      <c r="E83" s="17" t="s">
        <v>129</v>
      </c>
      <c r="F83" s="17" t="s">
        <v>120</v>
      </c>
      <c r="G83" s="18" t="n">
        <v>0</v>
      </c>
      <c r="H83" s="18" t="n">
        <v>166</v>
      </c>
      <c r="I83" s="18" t="n">
        <f aca="false">((I82 + G83) - H83)</f>
        <v>-49338.05</v>
      </c>
      <c r="J83" s="18" t="n">
        <v>-16.6</v>
      </c>
      <c r="K83" s="19" t="n">
        <v>10</v>
      </c>
      <c r="L83" s="17" t="s">
        <v>22</v>
      </c>
    </row>
    <row r="84" s="11" customFormat="true" ht="10.95" hidden="false" customHeight="true" outlineLevel="0" collapsed="false">
      <c r="A84" s="16" t="n">
        <v>45132</v>
      </c>
      <c r="B84" s="17" t="s">
        <v>17</v>
      </c>
      <c r="C84" s="17" t="s">
        <v>18</v>
      </c>
      <c r="D84" s="17" t="s">
        <v>19</v>
      </c>
      <c r="E84" s="17" t="s">
        <v>130</v>
      </c>
      <c r="F84" s="17" t="s">
        <v>120</v>
      </c>
      <c r="G84" s="18" t="n">
        <v>0</v>
      </c>
      <c r="H84" s="18" t="n">
        <v>664</v>
      </c>
      <c r="I84" s="18" t="n">
        <f aca="false">((I83 + G84) - H84)</f>
        <v>-50002.05</v>
      </c>
      <c r="J84" s="18" t="n">
        <v>-66.4</v>
      </c>
      <c r="K84" s="19" t="n">
        <v>10</v>
      </c>
      <c r="L84" s="17" t="s">
        <v>22</v>
      </c>
    </row>
    <row r="85" s="11" customFormat="true" ht="10.95" hidden="false" customHeight="true" outlineLevel="0" collapsed="false">
      <c r="A85" s="16" t="n">
        <v>45132</v>
      </c>
      <c r="B85" s="17" t="s">
        <v>17</v>
      </c>
      <c r="C85" s="17" t="s">
        <v>18</v>
      </c>
      <c r="D85" s="17" t="s">
        <v>19</v>
      </c>
      <c r="E85" s="17" t="s">
        <v>131</v>
      </c>
      <c r="F85" s="17" t="s">
        <v>120</v>
      </c>
      <c r="G85" s="18" t="n">
        <v>0</v>
      </c>
      <c r="H85" s="18" t="n">
        <v>94.5</v>
      </c>
      <c r="I85" s="18" t="n">
        <f aca="false">((I84 + G85) - H85)</f>
        <v>-50096.55</v>
      </c>
      <c r="J85" s="18" t="n">
        <v>-9.45</v>
      </c>
      <c r="K85" s="19" t="n">
        <v>10</v>
      </c>
      <c r="L85" s="17" t="s">
        <v>22</v>
      </c>
    </row>
    <row r="86" s="11" customFormat="true" ht="10.95" hidden="false" customHeight="true" outlineLevel="0" collapsed="false">
      <c r="A86" s="16" t="n">
        <v>45132</v>
      </c>
      <c r="B86" s="17" t="s">
        <v>17</v>
      </c>
      <c r="C86" s="17" t="s">
        <v>18</v>
      </c>
      <c r="D86" s="17" t="s">
        <v>19</v>
      </c>
      <c r="E86" s="17" t="s">
        <v>132</v>
      </c>
      <c r="F86" s="17" t="s">
        <v>120</v>
      </c>
      <c r="G86" s="18" t="n">
        <v>0</v>
      </c>
      <c r="H86" s="18" t="n">
        <v>100</v>
      </c>
      <c r="I86" s="18" t="n">
        <f aca="false">((I85 + G86) - H86)</f>
        <v>-50196.55</v>
      </c>
      <c r="J86" s="18" t="n">
        <v>-10</v>
      </c>
      <c r="K86" s="19" t="n">
        <v>10</v>
      </c>
      <c r="L86" s="17" t="s">
        <v>22</v>
      </c>
    </row>
    <row r="87" s="11" customFormat="true" ht="10.95" hidden="false" customHeight="true" outlineLevel="0" collapsed="false">
      <c r="A87" s="16" t="n">
        <v>45132</v>
      </c>
      <c r="B87" s="17" t="s">
        <v>17</v>
      </c>
      <c r="C87" s="17" t="s">
        <v>18</v>
      </c>
      <c r="D87" s="17" t="s">
        <v>19</v>
      </c>
      <c r="E87" s="17" t="s">
        <v>133</v>
      </c>
      <c r="F87" s="17" t="s">
        <v>120</v>
      </c>
      <c r="G87" s="18" t="n">
        <v>0</v>
      </c>
      <c r="H87" s="18" t="n">
        <v>83</v>
      </c>
      <c r="I87" s="18" t="n">
        <f aca="false">((I86 + G87) - H87)</f>
        <v>-50279.55</v>
      </c>
      <c r="J87" s="18" t="n">
        <v>-8.3</v>
      </c>
      <c r="K87" s="19" t="n">
        <v>10</v>
      </c>
      <c r="L87" s="17" t="s">
        <v>22</v>
      </c>
    </row>
    <row r="88" s="11" customFormat="true" ht="10.95" hidden="false" customHeight="true" outlineLevel="0" collapsed="false">
      <c r="A88" s="16" t="n">
        <v>45132</v>
      </c>
      <c r="B88" s="17" t="s">
        <v>17</v>
      </c>
      <c r="C88" s="17" t="s">
        <v>18</v>
      </c>
      <c r="D88" s="17" t="s">
        <v>19</v>
      </c>
      <c r="E88" s="17" t="s">
        <v>134</v>
      </c>
      <c r="F88" s="17" t="s">
        <v>120</v>
      </c>
      <c r="G88" s="18" t="n">
        <v>0</v>
      </c>
      <c r="H88" s="18" t="n">
        <v>100</v>
      </c>
      <c r="I88" s="18" t="n">
        <f aca="false">((I87 + G88) - H88)</f>
        <v>-50379.55</v>
      </c>
      <c r="J88" s="18" t="n">
        <v>-10</v>
      </c>
      <c r="K88" s="19" t="n">
        <v>10</v>
      </c>
      <c r="L88" s="17" t="s">
        <v>22</v>
      </c>
    </row>
    <row r="89" s="11" customFormat="true" ht="10.95" hidden="false" customHeight="true" outlineLevel="0" collapsed="false">
      <c r="A89" s="16" t="n">
        <v>45132</v>
      </c>
      <c r="B89" s="17" t="s">
        <v>17</v>
      </c>
      <c r="C89" s="17" t="s">
        <v>18</v>
      </c>
      <c r="D89" s="17" t="s">
        <v>19</v>
      </c>
      <c r="E89" s="17" t="s">
        <v>135</v>
      </c>
      <c r="F89" s="17" t="s">
        <v>120</v>
      </c>
      <c r="G89" s="18" t="n">
        <v>0</v>
      </c>
      <c r="H89" s="18" t="n">
        <v>332</v>
      </c>
      <c r="I89" s="18" t="n">
        <f aca="false">((I88 + G89) - H89)</f>
        <v>-50711.55</v>
      </c>
      <c r="J89" s="18" t="n">
        <v>-33.2</v>
      </c>
      <c r="K89" s="19" t="n">
        <v>10</v>
      </c>
      <c r="L89" s="17" t="s">
        <v>22</v>
      </c>
    </row>
    <row r="90" s="11" customFormat="true" ht="10.95" hidden="false" customHeight="true" outlineLevel="0" collapsed="false">
      <c r="A90" s="16" t="n">
        <v>45132</v>
      </c>
      <c r="B90" s="17" t="s">
        <v>17</v>
      </c>
      <c r="C90" s="17" t="s">
        <v>18</v>
      </c>
      <c r="D90" s="17" t="s">
        <v>19</v>
      </c>
      <c r="E90" s="17" t="s">
        <v>136</v>
      </c>
      <c r="F90" s="17" t="s">
        <v>120</v>
      </c>
      <c r="G90" s="18" t="n">
        <v>0</v>
      </c>
      <c r="H90" s="18" t="n">
        <v>498</v>
      </c>
      <c r="I90" s="18" t="n">
        <f aca="false">((I89 + G90) - H90)</f>
        <v>-51209.55</v>
      </c>
      <c r="J90" s="18" t="n">
        <v>-49.8</v>
      </c>
      <c r="K90" s="19" t="n">
        <v>10</v>
      </c>
      <c r="L90" s="17" t="s">
        <v>22</v>
      </c>
    </row>
    <row r="91" s="11" customFormat="true" ht="10.95" hidden="false" customHeight="true" outlineLevel="0" collapsed="false">
      <c r="A91" s="16" t="n">
        <v>45132</v>
      </c>
      <c r="B91" s="17" t="s">
        <v>17</v>
      </c>
      <c r="C91" s="17" t="s">
        <v>18</v>
      </c>
      <c r="D91" s="17" t="s">
        <v>19</v>
      </c>
      <c r="E91" s="17" t="s">
        <v>137</v>
      </c>
      <c r="F91" s="17" t="s">
        <v>120</v>
      </c>
      <c r="G91" s="18" t="n">
        <v>0</v>
      </c>
      <c r="H91" s="18" t="n">
        <v>498</v>
      </c>
      <c r="I91" s="18" t="n">
        <f aca="false">((I90 + G91) - H91)</f>
        <v>-51707.55</v>
      </c>
      <c r="J91" s="18" t="n">
        <v>-49.8</v>
      </c>
      <c r="K91" s="19" t="n">
        <v>10</v>
      </c>
      <c r="L91" s="17" t="s">
        <v>22</v>
      </c>
    </row>
    <row r="92" s="11" customFormat="true" ht="10.95" hidden="false" customHeight="true" outlineLevel="0" collapsed="false">
      <c r="A92" s="16" t="n">
        <v>45132</v>
      </c>
      <c r="B92" s="17" t="s">
        <v>17</v>
      </c>
      <c r="C92" s="17" t="s">
        <v>18</v>
      </c>
      <c r="D92" s="17" t="s">
        <v>19</v>
      </c>
      <c r="E92" s="17" t="s">
        <v>138</v>
      </c>
      <c r="F92" s="17" t="s">
        <v>120</v>
      </c>
      <c r="G92" s="18" t="n">
        <v>0</v>
      </c>
      <c r="H92" s="18" t="n">
        <v>166</v>
      </c>
      <c r="I92" s="18" t="n">
        <f aca="false">((I91 + G92) - H92)</f>
        <v>-51873.55</v>
      </c>
      <c r="J92" s="18" t="n">
        <v>-16.6</v>
      </c>
      <c r="K92" s="19" t="n">
        <v>10</v>
      </c>
      <c r="L92" s="17" t="s">
        <v>22</v>
      </c>
    </row>
    <row r="93" s="11" customFormat="true" ht="10.95" hidden="false" customHeight="true" outlineLevel="0" collapsed="false">
      <c r="A93" s="16" t="n">
        <v>45132</v>
      </c>
      <c r="B93" s="17" t="s">
        <v>17</v>
      </c>
      <c r="C93" s="17" t="s">
        <v>18</v>
      </c>
      <c r="D93" s="17" t="s">
        <v>19</v>
      </c>
      <c r="E93" s="17" t="s">
        <v>139</v>
      </c>
      <c r="F93" s="17" t="s">
        <v>120</v>
      </c>
      <c r="G93" s="18" t="n">
        <v>0</v>
      </c>
      <c r="H93" s="18" t="n">
        <v>332</v>
      </c>
      <c r="I93" s="18" t="n">
        <f aca="false">((I92 + G93) - H93)</f>
        <v>-52205.55</v>
      </c>
      <c r="J93" s="18" t="n">
        <v>-33.2</v>
      </c>
      <c r="K93" s="19" t="n">
        <v>10</v>
      </c>
      <c r="L93" s="17" t="s">
        <v>22</v>
      </c>
    </row>
    <row r="94" s="11" customFormat="true" ht="10.95" hidden="false" customHeight="true" outlineLevel="0" collapsed="false">
      <c r="A94" s="16" t="n">
        <v>45132</v>
      </c>
      <c r="B94" s="17" t="s">
        <v>17</v>
      </c>
      <c r="C94" s="17" t="s">
        <v>18</v>
      </c>
      <c r="D94" s="17" t="s">
        <v>19</v>
      </c>
      <c r="E94" s="17" t="s">
        <v>140</v>
      </c>
      <c r="F94" s="17" t="s">
        <v>120</v>
      </c>
      <c r="G94" s="18" t="n">
        <v>0</v>
      </c>
      <c r="H94" s="18" t="n">
        <v>166</v>
      </c>
      <c r="I94" s="18" t="n">
        <f aca="false">((I93 + G94) - H94)</f>
        <v>-52371.55</v>
      </c>
      <c r="J94" s="18" t="n">
        <v>-16.6</v>
      </c>
      <c r="K94" s="19" t="n">
        <v>10</v>
      </c>
      <c r="L94" s="17" t="s">
        <v>22</v>
      </c>
    </row>
    <row r="95" s="11" customFormat="true" ht="10.95" hidden="false" customHeight="true" outlineLevel="0" collapsed="false">
      <c r="A95" s="16" t="n">
        <v>45132</v>
      </c>
      <c r="B95" s="17" t="s">
        <v>17</v>
      </c>
      <c r="C95" s="17" t="s">
        <v>18</v>
      </c>
      <c r="D95" s="17" t="s">
        <v>19</v>
      </c>
      <c r="E95" s="17" t="s">
        <v>141</v>
      </c>
      <c r="F95" s="17" t="s">
        <v>120</v>
      </c>
      <c r="G95" s="18" t="n">
        <v>0</v>
      </c>
      <c r="H95" s="18" t="n">
        <v>249</v>
      </c>
      <c r="I95" s="18" t="n">
        <f aca="false">((I94 + G95) - H95)</f>
        <v>-52620.55</v>
      </c>
      <c r="J95" s="18" t="n">
        <v>-24.9</v>
      </c>
      <c r="K95" s="19" t="n">
        <v>10</v>
      </c>
      <c r="L95" s="17" t="s">
        <v>22</v>
      </c>
    </row>
    <row r="96" s="11" customFormat="true" ht="10.95" hidden="false" customHeight="true" outlineLevel="0" collapsed="false">
      <c r="A96" s="16" t="n">
        <v>45132</v>
      </c>
      <c r="B96" s="17" t="s">
        <v>17</v>
      </c>
      <c r="C96" s="17" t="s">
        <v>18</v>
      </c>
      <c r="D96" s="17" t="s">
        <v>19</v>
      </c>
      <c r="E96" s="17" t="s">
        <v>142</v>
      </c>
      <c r="F96" s="17" t="s">
        <v>120</v>
      </c>
      <c r="G96" s="18" t="n">
        <v>0</v>
      </c>
      <c r="H96" s="18" t="n">
        <v>249</v>
      </c>
      <c r="I96" s="18" t="n">
        <f aca="false">((I95 + G96) - H96)</f>
        <v>-52869.55</v>
      </c>
      <c r="J96" s="18" t="n">
        <v>-24.9</v>
      </c>
      <c r="K96" s="19" t="n">
        <v>10</v>
      </c>
      <c r="L96" s="17" t="s">
        <v>22</v>
      </c>
    </row>
    <row r="97" s="11" customFormat="true" ht="10.95" hidden="false" customHeight="true" outlineLevel="0" collapsed="false">
      <c r="A97" s="16" t="n">
        <v>45132</v>
      </c>
      <c r="B97" s="17" t="s">
        <v>17</v>
      </c>
      <c r="C97" s="17" t="s">
        <v>18</v>
      </c>
      <c r="D97" s="17" t="s">
        <v>19</v>
      </c>
      <c r="E97" s="17" t="s">
        <v>143</v>
      </c>
      <c r="F97" s="17" t="s">
        <v>120</v>
      </c>
      <c r="G97" s="18" t="n">
        <v>0</v>
      </c>
      <c r="H97" s="18" t="n">
        <v>94.5</v>
      </c>
      <c r="I97" s="18" t="n">
        <f aca="false">((I96 + G97) - H97)</f>
        <v>-52964.05</v>
      </c>
      <c r="J97" s="18" t="n">
        <v>-9.45</v>
      </c>
      <c r="K97" s="19" t="n">
        <v>10</v>
      </c>
      <c r="L97" s="17" t="s">
        <v>22</v>
      </c>
    </row>
    <row r="98" s="11" customFormat="true" ht="10.95" hidden="false" customHeight="true" outlineLevel="0" collapsed="false">
      <c r="A98" s="16" t="n">
        <v>45132</v>
      </c>
      <c r="B98" s="17" t="s">
        <v>17</v>
      </c>
      <c r="C98" s="17" t="s">
        <v>18</v>
      </c>
      <c r="D98" s="17" t="s">
        <v>19</v>
      </c>
      <c r="E98" s="17" t="s">
        <v>144</v>
      </c>
      <c r="F98" s="17" t="s">
        <v>120</v>
      </c>
      <c r="G98" s="18" t="n">
        <v>0</v>
      </c>
      <c r="H98" s="18" t="n">
        <v>1660</v>
      </c>
      <c r="I98" s="18" t="n">
        <f aca="false">((I97 + G98) - H98)</f>
        <v>-54624.05</v>
      </c>
      <c r="J98" s="18" t="n">
        <v>-166</v>
      </c>
      <c r="K98" s="19" t="n">
        <v>10</v>
      </c>
      <c r="L98" s="17" t="s">
        <v>22</v>
      </c>
    </row>
    <row r="99" s="11" customFormat="true" ht="10.95" hidden="false" customHeight="true" outlineLevel="0" collapsed="false">
      <c r="A99" s="16" t="n">
        <v>45132</v>
      </c>
      <c r="B99" s="17" t="s">
        <v>17</v>
      </c>
      <c r="C99" s="17" t="s">
        <v>18</v>
      </c>
      <c r="D99" s="17" t="s">
        <v>19</v>
      </c>
      <c r="E99" s="17" t="s">
        <v>145</v>
      </c>
      <c r="F99" s="17" t="s">
        <v>120</v>
      </c>
      <c r="G99" s="18" t="n">
        <v>0</v>
      </c>
      <c r="H99" s="18" t="n">
        <v>166</v>
      </c>
      <c r="I99" s="18" t="n">
        <f aca="false">((I98 + G99) - H99)</f>
        <v>-54790.05</v>
      </c>
      <c r="J99" s="18" t="n">
        <v>-16.6</v>
      </c>
      <c r="K99" s="19" t="n">
        <v>10</v>
      </c>
      <c r="L99" s="17" t="s">
        <v>22</v>
      </c>
    </row>
    <row r="100" s="11" customFormat="true" ht="10.95" hidden="false" customHeight="true" outlineLevel="0" collapsed="false">
      <c r="A100" s="16" t="n">
        <v>45132</v>
      </c>
      <c r="B100" s="17" t="s">
        <v>17</v>
      </c>
      <c r="C100" s="17" t="s">
        <v>18</v>
      </c>
      <c r="D100" s="17" t="s">
        <v>19</v>
      </c>
      <c r="E100" s="17" t="s">
        <v>146</v>
      </c>
      <c r="F100" s="17" t="s">
        <v>120</v>
      </c>
      <c r="G100" s="18" t="n">
        <v>0</v>
      </c>
      <c r="H100" s="18" t="n">
        <v>30</v>
      </c>
      <c r="I100" s="18" t="n">
        <f aca="false">((I99 + G100) - H100)</f>
        <v>-54820.05</v>
      </c>
      <c r="J100" s="18" t="n">
        <v>-3</v>
      </c>
      <c r="K100" s="19" t="n">
        <v>10</v>
      </c>
      <c r="L100" s="17" t="s">
        <v>22</v>
      </c>
    </row>
    <row r="101" s="11" customFormat="true" ht="10.95" hidden="false" customHeight="true" outlineLevel="0" collapsed="false">
      <c r="A101" s="16" t="n">
        <v>45132</v>
      </c>
      <c r="B101" s="17" t="s">
        <v>17</v>
      </c>
      <c r="C101" s="17" t="s">
        <v>18</v>
      </c>
      <c r="D101" s="17" t="s">
        <v>19</v>
      </c>
      <c r="E101" s="17" t="s">
        <v>147</v>
      </c>
      <c r="F101" s="17" t="s">
        <v>120</v>
      </c>
      <c r="G101" s="18" t="n">
        <v>0</v>
      </c>
      <c r="H101" s="18" t="n">
        <v>83</v>
      </c>
      <c r="I101" s="18" t="n">
        <f aca="false">((I100 + G101) - H101)</f>
        <v>-54903.05</v>
      </c>
      <c r="J101" s="18" t="n">
        <v>-8.3</v>
      </c>
      <c r="K101" s="19" t="n">
        <v>10</v>
      </c>
      <c r="L101" s="17" t="s">
        <v>22</v>
      </c>
    </row>
    <row r="102" s="11" customFormat="true" ht="10.95" hidden="false" customHeight="true" outlineLevel="0" collapsed="false">
      <c r="A102" s="16" t="n">
        <v>45132</v>
      </c>
      <c r="B102" s="17" t="s">
        <v>17</v>
      </c>
      <c r="C102" s="17" t="s">
        <v>18</v>
      </c>
      <c r="D102" s="17" t="s">
        <v>19</v>
      </c>
      <c r="E102" s="17" t="s">
        <v>148</v>
      </c>
      <c r="F102" s="17" t="s">
        <v>120</v>
      </c>
      <c r="G102" s="18" t="n">
        <v>0</v>
      </c>
      <c r="H102" s="18" t="n">
        <v>1162</v>
      </c>
      <c r="I102" s="18" t="n">
        <f aca="false">((I101 + G102) - H102)</f>
        <v>-56065.05</v>
      </c>
      <c r="J102" s="18" t="n">
        <v>-116.2</v>
      </c>
      <c r="K102" s="19" t="n">
        <v>10</v>
      </c>
      <c r="L102" s="17" t="s">
        <v>22</v>
      </c>
    </row>
    <row r="103" s="11" customFormat="true" ht="10.95" hidden="false" customHeight="true" outlineLevel="0" collapsed="false">
      <c r="A103" s="16" t="n">
        <v>45132</v>
      </c>
      <c r="B103" s="17" t="s">
        <v>17</v>
      </c>
      <c r="C103" s="17" t="s">
        <v>18</v>
      </c>
      <c r="D103" s="17" t="s">
        <v>19</v>
      </c>
      <c r="E103" s="17" t="s">
        <v>149</v>
      </c>
      <c r="F103" s="17" t="s">
        <v>120</v>
      </c>
      <c r="G103" s="18" t="n">
        <v>0</v>
      </c>
      <c r="H103" s="18" t="n">
        <v>360</v>
      </c>
      <c r="I103" s="18" t="n">
        <f aca="false">((I102 + G103) - H103)</f>
        <v>-56425.05</v>
      </c>
      <c r="J103" s="18" t="n">
        <v>-36</v>
      </c>
      <c r="K103" s="19" t="n">
        <v>10</v>
      </c>
      <c r="L103" s="17" t="s">
        <v>22</v>
      </c>
    </row>
    <row r="104" s="11" customFormat="true" ht="10.95" hidden="false" customHeight="true" outlineLevel="0" collapsed="false">
      <c r="A104" s="16" t="n">
        <v>45132</v>
      </c>
      <c r="B104" s="17" t="s">
        <v>17</v>
      </c>
      <c r="C104" s="17" t="s">
        <v>18</v>
      </c>
      <c r="D104" s="17" t="s">
        <v>19</v>
      </c>
      <c r="E104" s="17" t="s">
        <v>150</v>
      </c>
      <c r="F104" s="17" t="s">
        <v>120</v>
      </c>
      <c r="G104" s="18" t="n">
        <v>0</v>
      </c>
      <c r="H104" s="18" t="n">
        <v>288</v>
      </c>
      <c r="I104" s="18" t="n">
        <f aca="false">((I103 + G104) - H104)</f>
        <v>-56713.05</v>
      </c>
      <c r="J104" s="18" t="n">
        <v>-28.8</v>
      </c>
      <c r="K104" s="19" t="n">
        <v>10</v>
      </c>
      <c r="L104" s="17" t="s">
        <v>22</v>
      </c>
    </row>
    <row r="105" s="11" customFormat="true" ht="10.95" hidden="false" customHeight="true" outlineLevel="0" collapsed="false">
      <c r="A105" s="16" t="n">
        <v>45132</v>
      </c>
      <c r="B105" s="17" t="s">
        <v>17</v>
      </c>
      <c r="C105" s="17" t="s">
        <v>18</v>
      </c>
      <c r="D105" s="17" t="s">
        <v>19</v>
      </c>
      <c r="E105" s="17" t="s">
        <v>151</v>
      </c>
      <c r="F105" s="17" t="s">
        <v>120</v>
      </c>
      <c r="G105" s="18" t="n">
        <v>0</v>
      </c>
      <c r="H105" s="18" t="n">
        <v>100</v>
      </c>
      <c r="I105" s="18" t="n">
        <f aca="false">((I104 + G105) - H105)</f>
        <v>-56813.05</v>
      </c>
      <c r="J105" s="18" t="n">
        <v>-10</v>
      </c>
      <c r="K105" s="19" t="n">
        <v>10</v>
      </c>
      <c r="L105" s="17" t="s">
        <v>22</v>
      </c>
    </row>
    <row r="106" s="11" customFormat="true" ht="10.95" hidden="false" customHeight="true" outlineLevel="0" collapsed="false">
      <c r="A106" s="16" t="n">
        <v>45132</v>
      </c>
      <c r="B106" s="17" t="s">
        <v>17</v>
      </c>
      <c r="C106" s="17" t="s">
        <v>18</v>
      </c>
      <c r="D106" s="17" t="s">
        <v>19</v>
      </c>
      <c r="E106" s="17" t="s">
        <v>152</v>
      </c>
      <c r="F106" s="17" t="s">
        <v>120</v>
      </c>
      <c r="G106" s="18" t="n">
        <v>0</v>
      </c>
      <c r="H106" s="18" t="n">
        <v>1162</v>
      </c>
      <c r="I106" s="18" t="n">
        <f aca="false">((I105 + G106) - H106)</f>
        <v>-57975.05</v>
      </c>
      <c r="J106" s="18" t="n">
        <v>-116.2</v>
      </c>
      <c r="K106" s="19" t="n">
        <v>10</v>
      </c>
      <c r="L106" s="17" t="s">
        <v>22</v>
      </c>
    </row>
    <row r="107" s="11" customFormat="true" ht="10.95" hidden="false" customHeight="true" outlineLevel="0" collapsed="false">
      <c r="A107" s="16" t="n">
        <v>45132</v>
      </c>
      <c r="B107" s="17" t="s">
        <v>17</v>
      </c>
      <c r="C107" s="17" t="s">
        <v>18</v>
      </c>
      <c r="D107" s="17" t="s">
        <v>19</v>
      </c>
      <c r="E107" s="17" t="s">
        <v>153</v>
      </c>
      <c r="F107" s="17" t="s">
        <v>120</v>
      </c>
      <c r="G107" s="18" t="n">
        <v>0</v>
      </c>
      <c r="H107" s="18" t="n">
        <v>283.5</v>
      </c>
      <c r="I107" s="18" t="n">
        <f aca="false">((I106 + G107) - H107)</f>
        <v>-58258.55</v>
      </c>
      <c r="J107" s="18" t="n">
        <v>-28.35</v>
      </c>
      <c r="K107" s="19" t="n">
        <v>10</v>
      </c>
      <c r="L107" s="17" t="s">
        <v>22</v>
      </c>
    </row>
    <row r="108" s="11" customFormat="true" ht="10.95" hidden="false" customHeight="true" outlineLevel="0" collapsed="false">
      <c r="A108" s="16" t="n">
        <v>45132</v>
      </c>
      <c r="B108" s="17" t="s">
        <v>17</v>
      </c>
      <c r="C108" s="17" t="s">
        <v>18</v>
      </c>
      <c r="D108" s="17" t="s">
        <v>19</v>
      </c>
      <c r="E108" s="17" t="s">
        <v>154</v>
      </c>
      <c r="F108" s="17" t="s">
        <v>120</v>
      </c>
      <c r="G108" s="18" t="n">
        <v>0</v>
      </c>
      <c r="H108" s="18" t="n">
        <v>165</v>
      </c>
      <c r="I108" s="18" t="n">
        <f aca="false">((I107 + G108) - H108)</f>
        <v>-58423.55</v>
      </c>
      <c r="J108" s="18" t="n">
        <v>-16.5</v>
      </c>
      <c r="K108" s="19" t="n">
        <v>10</v>
      </c>
      <c r="L108" s="17" t="s">
        <v>22</v>
      </c>
    </row>
    <row r="109" s="11" customFormat="true" ht="10.95" hidden="false" customHeight="true" outlineLevel="0" collapsed="false">
      <c r="A109" s="16" t="n">
        <v>45132</v>
      </c>
      <c r="B109" s="17" t="s">
        <v>17</v>
      </c>
      <c r="C109" s="17" t="s">
        <v>18</v>
      </c>
      <c r="D109" s="17" t="s">
        <v>19</v>
      </c>
      <c r="E109" s="17" t="s">
        <v>155</v>
      </c>
      <c r="F109" s="17" t="s">
        <v>120</v>
      </c>
      <c r="G109" s="18" t="n">
        <v>0</v>
      </c>
      <c r="H109" s="18" t="n">
        <v>432</v>
      </c>
      <c r="I109" s="18" t="n">
        <f aca="false">((I108 + G109) - H109)</f>
        <v>-58855.55</v>
      </c>
      <c r="J109" s="18" t="n">
        <v>-43.2</v>
      </c>
      <c r="K109" s="19" t="n">
        <v>10</v>
      </c>
      <c r="L109" s="17" t="s">
        <v>22</v>
      </c>
    </row>
    <row r="110" s="11" customFormat="true" ht="10.95" hidden="false" customHeight="true" outlineLevel="0" collapsed="false">
      <c r="A110" s="16" t="n">
        <v>45132</v>
      </c>
      <c r="B110" s="17" t="s">
        <v>17</v>
      </c>
      <c r="C110" s="17" t="s">
        <v>18</v>
      </c>
      <c r="D110" s="17" t="s">
        <v>19</v>
      </c>
      <c r="E110" s="17" t="s">
        <v>156</v>
      </c>
      <c r="F110" s="17" t="s">
        <v>120</v>
      </c>
      <c r="G110" s="18" t="n">
        <v>0</v>
      </c>
      <c r="H110" s="18" t="n">
        <v>945</v>
      </c>
      <c r="I110" s="18" t="n">
        <f aca="false">((I109 + G110) - H110)</f>
        <v>-59800.55</v>
      </c>
      <c r="J110" s="18" t="n">
        <v>-94.5</v>
      </c>
      <c r="K110" s="19" t="n">
        <v>10</v>
      </c>
      <c r="L110" s="17" t="s">
        <v>22</v>
      </c>
    </row>
    <row r="111" s="11" customFormat="true" ht="10.95" hidden="false" customHeight="true" outlineLevel="0" collapsed="false">
      <c r="A111" s="16" t="n">
        <v>45132</v>
      </c>
      <c r="B111" s="17" t="s">
        <v>17</v>
      </c>
      <c r="C111" s="17" t="s">
        <v>18</v>
      </c>
      <c r="D111" s="17" t="s">
        <v>19</v>
      </c>
      <c r="E111" s="17" t="s">
        <v>157</v>
      </c>
      <c r="F111" s="17" t="s">
        <v>120</v>
      </c>
      <c r="G111" s="18" t="n">
        <v>0</v>
      </c>
      <c r="H111" s="18" t="n">
        <v>189</v>
      </c>
      <c r="I111" s="18" t="n">
        <f aca="false">((I110 + G111) - H111)</f>
        <v>-59989.55</v>
      </c>
      <c r="J111" s="18" t="n">
        <v>-18.9</v>
      </c>
      <c r="K111" s="19" t="n">
        <v>10</v>
      </c>
      <c r="L111" s="17" t="s">
        <v>22</v>
      </c>
    </row>
    <row r="112" s="11" customFormat="true" ht="10.95" hidden="false" customHeight="true" outlineLevel="0" collapsed="false">
      <c r="A112" s="16" t="n">
        <v>45132</v>
      </c>
      <c r="B112" s="17" t="s">
        <v>17</v>
      </c>
      <c r="C112" s="17" t="s">
        <v>18</v>
      </c>
      <c r="D112" s="17" t="s">
        <v>19</v>
      </c>
      <c r="E112" s="17" t="s">
        <v>158</v>
      </c>
      <c r="F112" s="17" t="s">
        <v>120</v>
      </c>
      <c r="G112" s="18" t="n">
        <v>0</v>
      </c>
      <c r="H112" s="18" t="n">
        <v>94.5</v>
      </c>
      <c r="I112" s="18" t="n">
        <f aca="false">((I111 + G112) - H112)</f>
        <v>-60084.05</v>
      </c>
      <c r="J112" s="18" t="n">
        <v>-9.45</v>
      </c>
      <c r="K112" s="19" t="n">
        <v>10</v>
      </c>
      <c r="L112" s="17" t="s">
        <v>22</v>
      </c>
    </row>
    <row r="113" s="11" customFormat="true" ht="10.95" hidden="false" customHeight="true" outlineLevel="0" collapsed="false">
      <c r="A113" s="16" t="n">
        <v>45132</v>
      </c>
      <c r="B113" s="17" t="s">
        <v>17</v>
      </c>
      <c r="C113" s="17" t="s">
        <v>18</v>
      </c>
      <c r="D113" s="17" t="s">
        <v>19</v>
      </c>
      <c r="E113" s="17" t="s">
        <v>159</v>
      </c>
      <c r="F113" s="17" t="s">
        <v>120</v>
      </c>
      <c r="G113" s="18" t="n">
        <v>0</v>
      </c>
      <c r="H113" s="18" t="n">
        <v>648</v>
      </c>
      <c r="I113" s="18" t="n">
        <f aca="false">((I112 + G113) - H113)</f>
        <v>-60732.05</v>
      </c>
      <c r="J113" s="18" t="n">
        <v>-64.8</v>
      </c>
      <c r="K113" s="19" t="n">
        <v>10</v>
      </c>
      <c r="L113" s="17" t="s">
        <v>22</v>
      </c>
    </row>
    <row r="114" s="11" customFormat="true" ht="10.95" hidden="false" customHeight="true" outlineLevel="0" collapsed="false">
      <c r="A114" s="16" t="n">
        <v>45132</v>
      </c>
      <c r="B114" s="17" t="s">
        <v>17</v>
      </c>
      <c r="C114" s="17" t="s">
        <v>18</v>
      </c>
      <c r="D114" s="17" t="s">
        <v>19</v>
      </c>
      <c r="E114" s="17" t="s">
        <v>160</v>
      </c>
      <c r="F114" s="17" t="s">
        <v>120</v>
      </c>
      <c r="G114" s="18" t="n">
        <v>0</v>
      </c>
      <c r="H114" s="18" t="n">
        <v>160</v>
      </c>
      <c r="I114" s="18" t="n">
        <f aca="false">((I113 + G114) - H114)</f>
        <v>-60892.05</v>
      </c>
      <c r="J114" s="18" t="n">
        <v>-16</v>
      </c>
      <c r="K114" s="19" t="n">
        <v>10</v>
      </c>
      <c r="L114" s="17" t="s">
        <v>22</v>
      </c>
    </row>
    <row r="115" s="11" customFormat="true" ht="10.95" hidden="false" customHeight="true" outlineLevel="0" collapsed="false">
      <c r="A115" s="16" t="n">
        <v>45132</v>
      </c>
      <c r="B115" s="17" t="s">
        <v>17</v>
      </c>
      <c r="C115" s="17" t="s">
        <v>18</v>
      </c>
      <c r="D115" s="17" t="s">
        <v>19</v>
      </c>
      <c r="E115" s="17" t="s">
        <v>161</v>
      </c>
      <c r="F115" s="17" t="s">
        <v>120</v>
      </c>
      <c r="G115" s="18" t="n">
        <v>0</v>
      </c>
      <c r="H115" s="18" t="n">
        <v>1296</v>
      </c>
      <c r="I115" s="18" t="n">
        <f aca="false">((I114 + G115) - H115)</f>
        <v>-62188.05</v>
      </c>
      <c r="J115" s="18" t="n">
        <v>-129.6</v>
      </c>
      <c r="K115" s="19" t="n">
        <v>10</v>
      </c>
      <c r="L115" s="17" t="s">
        <v>22</v>
      </c>
    </row>
    <row r="116" s="11" customFormat="true" ht="10.95" hidden="false" customHeight="true" outlineLevel="0" collapsed="false">
      <c r="A116" s="16" t="n">
        <v>45141</v>
      </c>
      <c r="B116" s="17" t="s">
        <v>17</v>
      </c>
      <c r="C116" s="17" t="s">
        <v>18</v>
      </c>
      <c r="D116" s="17" t="s">
        <v>162</v>
      </c>
      <c r="E116" s="17" t="s">
        <v>163</v>
      </c>
      <c r="F116" s="17" t="s">
        <v>164</v>
      </c>
      <c r="G116" s="18" t="n">
        <v>354</v>
      </c>
      <c r="H116" s="18" t="n">
        <v>0</v>
      </c>
      <c r="I116" s="18" t="n">
        <f aca="false">((I115 + G116) - H116)</f>
        <v>-61834.05</v>
      </c>
      <c r="J116" s="18" t="n">
        <v>35.4</v>
      </c>
      <c r="K116" s="19" t="n">
        <v>10</v>
      </c>
      <c r="L116" s="17" t="s">
        <v>22</v>
      </c>
    </row>
    <row r="117" s="11" customFormat="true" ht="10.95" hidden="false" customHeight="true" outlineLevel="0" collapsed="false">
      <c r="A117" s="16" t="n">
        <v>45147</v>
      </c>
      <c r="B117" s="17" t="s">
        <v>17</v>
      </c>
      <c r="C117" s="17" t="s">
        <v>18</v>
      </c>
      <c r="D117" s="17" t="s">
        <v>19</v>
      </c>
      <c r="E117" s="17" t="s">
        <v>165</v>
      </c>
      <c r="F117" s="17" t="s">
        <v>166</v>
      </c>
      <c r="G117" s="18" t="n">
        <v>0</v>
      </c>
      <c r="H117" s="18" t="n">
        <v>320</v>
      </c>
      <c r="I117" s="18" t="n">
        <f aca="false">((I116 + G117) - H117)</f>
        <v>-62154.05</v>
      </c>
      <c r="J117" s="18" t="n">
        <v>-32</v>
      </c>
      <c r="K117" s="19" t="n">
        <v>10</v>
      </c>
      <c r="L117" s="17" t="s">
        <v>22</v>
      </c>
    </row>
    <row r="118" s="11" customFormat="true" ht="10.95" hidden="false" customHeight="true" outlineLevel="0" collapsed="false">
      <c r="A118" s="16" t="n">
        <v>45161</v>
      </c>
      <c r="B118" s="17" t="s">
        <v>17</v>
      </c>
      <c r="C118" s="17" t="s">
        <v>18</v>
      </c>
      <c r="D118" s="17" t="s">
        <v>19</v>
      </c>
      <c r="E118" s="17" t="s">
        <v>167</v>
      </c>
      <c r="F118" s="17" t="s">
        <v>168</v>
      </c>
      <c r="G118" s="18" t="n">
        <v>0</v>
      </c>
      <c r="H118" s="18" t="n">
        <v>910</v>
      </c>
      <c r="I118" s="18" t="n">
        <f aca="false">((I117 + G118) - H118)</f>
        <v>-63064.05</v>
      </c>
      <c r="J118" s="18" t="n">
        <v>-91</v>
      </c>
      <c r="K118" s="19" t="n">
        <v>10</v>
      </c>
      <c r="L118" s="17" t="s">
        <v>22</v>
      </c>
    </row>
    <row r="119" s="11" customFormat="true" ht="10.95" hidden="false" customHeight="true" outlineLevel="0" collapsed="false">
      <c r="A119" s="16" t="n">
        <v>45161</v>
      </c>
      <c r="B119" s="17" t="s">
        <v>17</v>
      </c>
      <c r="C119" s="17" t="s">
        <v>18</v>
      </c>
      <c r="D119" s="17" t="s">
        <v>19</v>
      </c>
      <c r="E119" s="17" t="s">
        <v>169</v>
      </c>
      <c r="F119" s="17" t="s">
        <v>168</v>
      </c>
      <c r="G119" s="18" t="n">
        <v>0</v>
      </c>
      <c r="H119" s="18" t="n">
        <v>910</v>
      </c>
      <c r="I119" s="18" t="n">
        <f aca="false">((I118 + G119) - H119)</f>
        <v>-63974.05</v>
      </c>
      <c r="J119" s="18" t="n">
        <v>-91</v>
      </c>
      <c r="K119" s="19" t="n">
        <v>10</v>
      </c>
      <c r="L119" s="17" t="s">
        <v>22</v>
      </c>
    </row>
    <row r="120" s="11" customFormat="true" ht="10.95" hidden="false" customHeight="true" outlineLevel="0" collapsed="false">
      <c r="A120" s="16" t="n">
        <v>45161</v>
      </c>
      <c r="B120" s="17" t="s">
        <v>17</v>
      </c>
      <c r="C120" s="17" t="s">
        <v>18</v>
      </c>
      <c r="D120" s="17" t="s">
        <v>19</v>
      </c>
      <c r="E120" s="17" t="s">
        <v>59</v>
      </c>
      <c r="F120" s="17" t="s">
        <v>170</v>
      </c>
      <c r="G120" s="18" t="n">
        <v>0</v>
      </c>
      <c r="H120" s="18" t="n">
        <v>4800</v>
      </c>
      <c r="I120" s="18" t="n">
        <f aca="false">((I119 + G120) - H120)</f>
        <v>-68774.05</v>
      </c>
      <c r="J120" s="18" t="n">
        <v>-480</v>
      </c>
      <c r="K120" s="19" t="n">
        <v>10</v>
      </c>
      <c r="L120" s="17" t="s">
        <v>22</v>
      </c>
    </row>
    <row r="121" s="11" customFormat="true" ht="10.95" hidden="false" customHeight="true" outlineLevel="0" collapsed="false">
      <c r="A121" s="16" t="n">
        <v>45161</v>
      </c>
      <c r="B121" s="17" t="s">
        <v>17</v>
      </c>
      <c r="C121" s="17" t="s">
        <v>18</v>
      </c>
      <c r="D121" s="17" t="s">
        <v>19</v>
      </c>
      <c r="E121" s="17" t="s">
        <v>61</v>
      </c>
      <c r="F121" s="17" t="s">
        <v>170</v>
      </c>
      <c r="G121" s="18" t="n">
        <v>0</v>
      </c>
      <c r="H121" s="18" t="n">
        <v>3990</v>
      </c>
      <c r="I121" s="18" t="n">
        <f aca="false">((I120 + G121) - H121)</f>
        <v>-72764.05</v>
      </c>
      <c r="J121" s="18" t="n">
        <v>-399</v>
      </c>
      <c r="K121" s="19" t="n">
        <v>10</v>
      </c>
      <c r="L121" s="17" t="s">
        <v>22</v>
      </c>
    </row>
    <row r="122" s="11" customFormat="true" ht="10.95" hidden="false" customHeight="true" outlineLevel="0" collapsed="false">
      <c r="A122" s="16" t="n">
        <v>45161</v>
      </c>
      <c r="B122" s="17" t="s">
        <v>17</v>
      </c>
      <c r="C122" s="17" t="s">
        <v>18</v>
      </c>
      <c r="D122" s="17" t="s">
        <v>19</v>
      </c>
      <c r="E122" s="17" t="s">
        <v>62</v>
      </c>
      <c r="F122" s="17" t="s">
        <v>170</v>
      </c>
      <c r="G122" s="18" t="n">
        <v>0</v>
      </c>
      <c r="H122" s="18" t="n">
        <v>300</v>
      </c>
      <c r="I122" s="18" t="n">
        <f aca="false">((I121 + G122) - H122)</f>
        <v>-73064.05</v>
      </c>
      <c r="J122" s="18" t="n">
        <v>-30</v>
      </c>
      <c r="K122" s="19" t="n">
        <v>10</v>
      </c>
      <c r="L122" s="17" t="s">
        <v>22</v>
      </c>
    </row>
    <row r="123" s="11" customFormat="true" ht="10.95" hidden="false" customHeight="true" outlineLevel="0" collapsed="false">
      <c r="A123" s="16" t="n">
        <v>45161</v>
      </c>
      <c r="B123" s="17" t="s">
        <v>17</v>
      </c>
      <c r="C123" s="17" t="s">
        <v>18</v>
      </c>
      <c r="D123" s="17" t="s">
        <v>19</v>
      </c>
      <c r="E123" s="17" t="s">
        <v>171</v>
      </c>
      <c r="F123" s="17" t="s">
        <v>172</v>
      </c>
      <c r="G123" s="18" t="n">
        <v>0</v>
      </c>
      <c r="H123" s="18" t="n">
        <v>940.5</v>
      </c>
      <c r="I123" s="18" t="n">
        <f aca="false">((I122 + G123) - H123)</f>
        <v>-74004.55</v>
      </c>
      <c r="J123" s="18" t="n">
        <v>-94.05</v>
      </c>
      <c r="K123" s="19" t="n">
        <v>10</v>
      </c>
      <c r="L123" s="17" t="s">
        <v>22</v>
      </c>
    </row>
    <row r="124" s="11" customFormat="true" ht="10.95" hidden="false" customHeight="true" outlineLevel="0" collapsed="false">
      <c r="A124" s="16" t="n">
        <v>45161</v>
      </c>
      <c r="B124" s="17" t="s">
        <v>17</v>
      </c>
      <c r="C124" s="17" t="s">
        <v>18</v>
      </c>
      <c r="D124" s="17" t="s">
        <v>19</v>
      </c>
      <c r="E124" s="17" t="s">
        <v>171</v>
      </c>
      <c r="F124" s="17" t="s">
        <v>172</v>
      </c>
      <c r="G124" s="18" t="n">
        <v>0</v>
      </c>
      <c r="H124" s="18" t="n">
        <v>940.5</v>
      </c>
      <c r="I124" s="18" t="n">
        <f aca="false">((I123 + G124) - H124)</f>
        <v>-74945.05</v>
      </c>
      <c r="J124" s="18" t="n">
        <v>-94.05</v>
      </c>
      <c r="K124" s="19" t="n">
        <v>10</v>
      </c>
      <c r="L124" s="17" t="s">
        <v>22</v>
      </c>
    </row>
    <row r="125" s="11" customFormat="true" ht="10.95" hidden="false" customHeight="true" outlineLevel="0" collapsed="false">
      <c r="A125" s="16" t="n">
        <v>45161</v>
      </c>
      <c r="B125" s="17" t="s">
        <v>17</v>
      </c>
      <c r="C125" s="17" t="s">
        <v>18</v>
      </c>
      <c r="D125" s="17" t="s">
        <v>19</v>
      </c>
      <c r="E125" s="17" t="s">
        <v>171</v>
      </c>
      <c r="F125" s="17" t="s">
        <v>172</v>
      </c>
      <c r="G125" s="18" t="n">
        <v>0</v>
      </c>
      <c r="H125" s="18" t="n">
        <v>940.5</v>
      </c>
      <c r="I125" s="18" t="n">
        <f aca="false">((I124 + G125) - H125)</f>
        <v>-75885.55</v>
      </c>
      <c r="J125" s="18" t="n">
        <v>-94.05</v>
      </c>
      <c r="K125" s="19" t="n">
        <v>10</v>
      </c>
      <c r="L125" s="17" t="s">
        <v>22</v>
      </c>
    </row>
    <row r="126" s="11" customFormat="true" ht="10.95" hidden="false" customHeight="true" outlineLevel="0" collapsed="false">
      <c r="A126" s="16" t="n">
        <v>45161</v>
      </c>
      <c r="B126" s="17" t="s">
        <v>17</v>
      </c>
      <c r="C126" s="17" t="s">
        <v>18</v>
      </c>
      <c r="D126" s="17" t="s">
        <v>19</v>
      </c>
      <c r="E126" s="17" t="s">
        <v>20</v>
      </c>
      <c r="F126" s="17" t="s">
        <v>173</v>
      </c>
      <c r="G126" s="18" t="n">
        <v>0</v>
      </c>
      <c r="H126" s="18" t="n">
        <v>376</v>
      </c>
      <c r="I126" s="18" t="n">
        <f aca="false">((I125 + G126) - H126)</f>
        <v>-76261.55</v>
      </c>
      <c r="J126" s="18" t="n">
        <v>-37.6</v>
      </c>
      <c r="K126" s="19" t="n">
        <v>10</v>
      </c>
      <c r="L126" s="17" t="s">
        <v>22</v>
      </c>
    </row>
    <row r="127" s="11" customFormat="true" ht="10.95" hidden="false" customHeight="true" outlineLevel="0" collapsed="false">
      <c r="A127" s="16" t="n">
        <v>45161</v>
      </c>
      <c r="B127" s="17" t="s">
        <v>17</v>
      </c>
      <c r="C127" s="17" t="s">
        <v>18</v>
      </c>
      <c r="D127" s="17" t="s">
        <v>19</v>
      </c>
      <c r="E127" s="17" t="s">
        <v>23</v>
      </c>
      <c r="F127" s="17" t="s">
        <v>174</v>
      </c>
      <c r="G127" s="18" t="n">
        <v>0</v>
      </c>
      <c r="H127" s="18" t="n">
        <v>1035</v>
      </c>
      <c r="I127" s="18" t="n">
        <f aca="false">((I126 + G127) - H127)</f>
        <v>-77296.55</v>
      </c>
      <c r="J127" s="18" t="n">
        <v>-103.5</v>
      </c>
      <c r="K127" s="19" t="n">
        <v>10</v>
      </c>
      <c r="L127" s="17" t="s">
        <v>22</v>
      </c>
    </row>
    <row r="128" s="11" customFormat="true" ht="10.95" hidden="false" customHeight="true" outlineLevel="0" collapsed="false">
      <c r="A128" s="16" t="n">
        <v>45161</v>
      </c>
      <c r="B128" s="17" t="s">
        <v>17</v>
      </c>
      <c r="C128" s="17" t="s">
        <v>18</v>
      </c>
      <c r="D128" s="17" t="s">
        <v>19</v>
      </c>
      <c r="E128" s="17" t="s">
        <v>25</v>
      </c>
      <c r="F128" s="17" t="s">
        <v>174</v>
      </c>
      <c r="G128" s="18" t="n">
        <v>0</v>
      </c>
      <c r="H128" s="18" t="n">
        <v>225</v>
      </c>
      <c r="I128" s="18" t="n">
        <f aca="false">((I127 + G128) - H128)</f>
        <v>-77521.55</v>
      </c>
      <c r="J128" s="18" t="n">
        <v>-22.5</v>
      </c>
      <c r="K128" s="19" t="n">
        <v>10</v>
      </c>
      <c r="L128" s="17" t="s">
        <v>22</v>
      </c>
    </row>
    <row r="129" s="11" customFormat="true" ht="10.95" hidden="false" customHeight="true" outlineLevel="0" collapsed="false">
      <c r="A129" s="16" t="n">
        <v>45161</v>
      </c>
      <c r="B129" s="17" t="s">
        <v>17</v>
      </c>
      <c r="C129" s="17" t="s">
        <v>18</v>
      </c>
      <c r="D129" s="17" t="s">
        <v>19</v>
      </c>
      <c r="E129" s="17" t="s">
        <v>26</v>
      </c>
      <c r="F129" s="17" t="s">
        <v>175</v>
      </c>
      <c r="G129" s="18" t="n">
        <v>0</v>
      </c>
      <c r="H129" s="18" t="n">
        <v>510</v>
      </c>
      <c r="I129" s="18" t="n">
        <f aca="false">((I128 + G129) - H129)</f>
        <v>-78031.55</v>
      </c>
      <c r="J129" s="18" t="n">
        <v>-51</v>
      </c>
      <c r="K129" s="19" t="n">
        <v>10</v>
      </c>
      <c r="L129" s="17" t="s">
        <v>22</v>
      </c>
    </row>
    <row r="130" s="11" customFormat="true" ht="10.95" hidden="false" customHeight="true" outlineLevel="0" collapsed="false">
      <c r="A130" s="16" t="n">
        <v>45161</v>
      </c>
      <c r="B130" s="17" t="s">
        <v>17</v>
      </c>
      <c r="C130" s="17" t="s">
        <v>18</v>
      </c>
      <c r="D130" s="17" t="s">
        <v>19</v>
      </c>
      <c r="E130" s="17" t="s">
        <v>28</v>
      </c>
      <c r="F130" s="17" t="s">
        <v>176</v>
      </c>
      <c r="G130" s="18" t="n">
        <v>0</v>
      </c>
      <c r="H130" s="18" t="n">
        <v>836</v>
      </c>
      <c r="I130" s="18" t="n">
        <f aca="false">((I129 + G130) - H130)</f>
        <v>-78867.55</v>
      </c>
      <c r="J130" s="18" t="n">
        <v>-83.6</v>
      </c>
      <c r="K130" s="19" t="n">
        <v>10</v>
      </c>
      <c r="L130" s="17" t="s">
        <v>22</v>
      </c>
    </row>
    <row r="131" s="11" customFormat="true" ht="10.95" hidden="false" customHeight="true" outlineLevel="0" collapsed="false">
      <c r="A131" s="16" t="n">
        <v>45161</v>
      </c>
      <c r="B131" s="17" t="s">
        <v>17</v>
      </c>
      <c r="C131" s="17" t="s">
        <v>18</v>
      </c>
      <c r="D131" s="17" t="s">
        <v>19</v>
      </c>
      <c r="E131" s="17" t="s">
        <v>30</v>
      </c>
      <c r="F131" s="17" t="s">
        <v>177</v>
      </c>
      <c r="G131" s="18" t="n">
        <v>0</v>
      </c>
      <c r="H131" s="18" t="n">
        <v>85</v>
      </c>
      <c r="I131" s="18" t="n">
        <f aca="false">((I130 + G131) - H131)</f>
        <v>-78952.55</v>
      </c>
      <c r="J131" s="18" t="n">
        <v>-8.5</v>
      </c>
      <c r="K131" s="19" t="n">
        <v>10</v>
      </c>
      <c r="L131" s="17" t="s">
        <v>22</v>
      </c>
    </row>
    <row r="132" s="11" customFormat="true" ht="10.95" hidden="false" customHeight="true" outlineLevel="0" collapsed="false">
      <c r="A132" s="16" t="n">
        <v>45161</v>
      </c>
      <c r="B132" s="17" t="s">
        <v>17</v>
      </c>
      <c r="C132" s="17" t="s">
        <v>18</v>
      </c>
      <c r="D132" s="17" t="s">
        <v>19</v>
      </c>
      <c r="E132" s="17" t="s">
        <v>178</v>
      </c>
      <c r="F132" s="17" t="s">
        <v>179</v>
      </c>
      <c r="G132" s="18" t="n">
        <v>0</v>
      </c>
      <c r="H132" s="18" t="n">
        <v>1105</v>
      </c>
      <c r="I132" s="18" t="n">
        <f aca="false">((I131 + G132) - H132)</f>
        <v>-80057.55</v>
      </c>
      <c r="J132" s="18" t="n">
        <v>-110.5</v>
      </c>
      <c r="K132" s="19" t="n">
        <v>10</v>
      </c>
      <c r="L132" s="17" t="s">
        <v>22</v>
      </c>
    </row>
    <row r="133" s="11" customFormat="true" ht="10.95" hidden="false" customHeight="true" outlineLevel="0" collapsed="false">
      <c r="A133" s="16" t="n">
        <v>45161</v>
      </c>
      <c r="B133" s="17" t="s">
        <v>17</v>
      </c>
      <c r="C133" s="17" t="s">
        <v>18</v>
      </c>
      <c r="D133" s="17" t="s">
        <v>19</v>
      </c>
      <c r="E133" s="17" t="s">
        <v>180</v>
      </c>
      <c r="F133" s="17" t="s">
        <v>179</v>
      </c>
      <c r="G133" s="18" t="n">
        <v>0</v>
      </c>
      <c r="H133" s="18" t="n">
        <v>429</v>
      </c>
      <c r="I133" s="18" t="n">
        <f aca="false">((I132 + G133) - H133)</f>
        <v>-80486.55</v>
      </c>
      <c r="J133" s="18" t="n">
        <v>-42.9</v>
      </c>
      <c r="K133" s="19" t="n">
        <v>10</v>
      </c>
      <c r="L133" s="17" t="s">
        <v>22</v>
      </c>
    </row>
    <row r="134" s="11" customFormat="true" ht="10.95" hidden="false" customHeight="true" outlineLevel="0" collapsed="false">
      <c r="A134" s="16" t="n">
        <v>45161</v>
      </c>
      <c r="B134" s="17" t="s">
        <v>17</v>
      </c>
      <c r="C134" s="17" t="s">
        <v>18</v>
      </c>
      <c r="D134" s="17" t="s">
        <v>19</v>
      </c>
      <c r="E134" s="17" t="s">
        <v>181</v>
      </c>
      <c r="F134" s="17" t="s">
        <v>179</v>
      </c>
      <c r="G134" s="18" t="n">
        <v>0</v>
      </c>
      <c r="H134" s="18" t="n">
        <v>37</v>
      </c>
      <c r="I134" s="18" t="n">
        <f aca="false">((I133 + G134) - H134)</f>
        <v>-80523.55</v>
      </c>
      <c r="J134" s="18" t="n">
        <v>-3.7</v>
      </c>
      <c r="K134" s="19" t="n">
        <v>10</v>
      </c>
      <c r="L134" s="17" t="s">
        <v>22</v>
      </c>
    </row>
    <row r="135" s="11" customFormat="true" ht="10.95" hidden="false" customHeight="true" outlineLevel="0" collapsed="false">
      <c r="A135" s="16" t="n">
        <v>45161</v>
      </c>
      <c r="B135" s="17" t="s">
        <v>17</v>
      </c>
      <c r="C135" s="17" t="s">
        <v>18</v>
      </c>
      <c r="D135" s="17" t="s">
        <v>19</v>
      </c>
      <c r="E135" s="17" t="s">
        <v>178</v>
      </c>
      <c r="F135" s="17" t="s">
        <v>179</v>
      </c>
      <c r="G135" s="18" t="n">
        <v>0</v>
      </c>
      <c r="H135" s="18" t="n">
        <v>1105</v>
      </c>
      <c r="I135" s="18" t="n">
        <f aca="false">((I134 + G135) - H135)</f>
        <v>-81628.55</v>
      </c>
      <c r="J135" s="18" t="n">
        <v>-110.5</v>
      </c>
      <c r="K135" s="19" t="n">
        <v>10</v>
      </c>
      <c r="L135" s="17" t="s">
        <v>22</v>
      </c>
    </row>
    <row r="136" s="11" customFormat="true" ht="10.95" hidden="false" customHeight="true" outlineLevel="0" collapsed="false">
      <c r="A136" s="16" t="n">
        <v>45161</v>
      </c>
      <c r="B136" s="17" t="s">
        <v>17</v>
      </c>
      <c r="C136" s="17" t="s">
        <v>18</v>
      </c>
      <c r="D136" s="17" t="s">
        <v>19</v>
      </c>
      <c r="E136" s="17" t="s">
        <v>180</v>
      </c>
      <c r="F136" s="17" t="s">
        <v>179</v>
      </c>
      <c r="G136" s="18" t="n">
        <v>0</v>
      </c>
      <c r="H136" s="18" t="n">
        <v>429</v>
      </c>
      <c r="I136" s="18" t="n">
        <f aca="false">((I135 + G136) - H136)</f>
        <v>-82057.55</v>
      </c>
      <c r="J136" s="18" t="n">
        <v>-42.9</v>
      </c>
      <c r="K136" s="19" t="n">
        <v>10</v>
      </c>
      <c r="L136" s="17" t="s">
        <v>22</v>
      </c>
    </row>
    <row r="137" s="11" customFormat="true" ht="10.95" hidden="false" customHeight="true" outlineLevel="0" collapsed="false">
      <c r="A137" s="16" t="n">
        <v>45161</v>
      </c>
      <c r="B137" s="17" t="s">
        <v>17</v>
      </c>
      <c r="C137" s="17" t="s">
        <v>18</v>
      </c>
      <c r="D137" s="17" t="s">
        <v>19</v>
      </c>
      <c r="E137" s="17" t="s">
        <v>181</v>
      </c>
      <c r="F137" s="17" t="s">
        <v>179</v>
      </c>
      <c r="G137" s="18" t="n">
        <v>0</v>
      </c>
      <c r="H137" s="18" t="n">
        <v>37</v>
      </c>
      <c r="I137" s="18" t="n">
        <f aca="false">((I136 + G137) - H137)</f>
        <v>-82094.55</v>
      </c>
      <c r="J137" s="18" t="n">
        <v>-3.7</v>
      </c>
      <c r="K137" s="19" t="n">
        <v>10</v>
      </c>
      <c r="L137" s="17" t="s">
        <v>22</v>
      </c>
    </row>
    <row r="138" s="11" customFormat="true" ht="21.3" hidden="false" customHeight="true" outlineLevel="0" collapsed="false">
      <c r="A138" s="16" t="n">
        <v>45161</v>
      </c>
      <c r="B138" s="17" t="s">
        <v>17</v>
      </c>
      <c r="C138" s="17" t="s">
        <v>18</v>
      </c>
      <c r="D138" s="17" t="s">
        <v>19</v>
      </c>
      <c r="E138" s="20" t="s">
        <v>182</v>
      </c>
      <c r="F138" s="17" t="s">
        <v>179</v>
      </c>
      <c r="G138" s="18" t="n">
        <v>0</v>
      </c>
      <c r="H138" s="18" t="n">
        <v>1105</v>
      </c>
      <c r="I138" s="18" t="n">
        <f aca="false">((I137 + G138) - H138)</f>
        <v>-83199.55</v>
      </c>
      <c r="J138" s="18" t="n">
        <v>-110.5</v>
      </c>
      <c r="K138" s="19" t="n">
        <v>10</v>
      </c>
      <c r="L138" s="17" t="s">
        <v>22</v>
      </c>
    </row>
    <row r="139" s="11" customFormat="true" ht="10.95" hidden="false" customHeight="true" outlineLevel="0" collapsed="false">
      <c r="A139" s="16" t="n">
        <v>45161</v>
      </c>
      <c r="B139" s="17" t="s">
        <v>17</v>
      </c>
      <c r="C139" s="17" t="s">
        <v>18</v>
      </c>
      <c r="D139" s="17" t="s">
        <v>19</v>
      </c>
      <c r="E139" s="17" t="s">
        <v>180</v>
      </c>
      <c r="F139" s="17" t="s">
        <v>179</v>
      </c>
      <c r="G139" s="18" t="n">
        <v>0</v>
      </c>
      <c r="H139" s="18" t="n">
        <v>429</v>
      </c>
      <c r="I139" s="18" t="n">
        <f aca="false">((I138 + G139) - H139)</f>
        <v>-83628.55</v>
      </c>
      <c r="J139" s="18" t="n">
        <v>-42.9</v>
      </c>
      <c r="K139" s="19" t="n">
        <v>10</v>
      </c>
      <c r="L139" s="17" t="s">
        <v>22</v>
      </c>
    </row>
    <row r="140" s="11" customFormat="true" ht="10.95" hidden="false" customHeight="true" outlineLevel="0" collapsed="false">
      <c r="A140" s="16" t="n">
        <v>45161</v>
      </c>
      <c r="B140" s="17" t="s">
        <v>17</v>
      </c>
      <c r="C140" s="17" t="s">
        <v>18</v>
      </c>
      <c r="D140" s="17" t="s">
        <v>19</v>
      </c>
      <c r="E140" s="17" t="s">
        <v>181</v>
      </c>
      <c r="F140" s="17" t="s">
        <v>179</v>
      </c>
      <c r="G140" s="18" t="n">
        <v>0</v>
      </c>
      <c r="H140" s="18" t="n">
        <v>37</v>
      </c>
      <c r="I140" s="18" t="n">
        <f aca="false">((I139 + G140) - H140)</f>
        <v>-83665.55</v>
      </c>
      <c r="J140" s="18" t="n">
        <v>-3.7</v>
      </c>
      <c r="K140" s="19" t="n">
        <v>10</v>
      </c>
      <c r="L140" s="17" t="s">
        <v>22</v>
      </c>
    </row>
    <row r="141" s="11" customFormat="true" ht="10.95" hidden="false" customHeight="true" outlineLevel="0" collapsed="false">
      <c r="A141" s="16" t="n">
        <v>45161</v>
      </c>
      <c r="B141" s="17" t="s">
        <v>17</v>
      </c>
      <c r="C141" s="17" t="s">
        <v>18</v>
      </c>
      <c r="D141" s="17" t="s">
        <v>19</v>
      </c>
      <c r="E141" s="17" t="s">
        <v>183</v>
      </c>
      <c r="F141" s="17" t="s">
        <v>179</v>
      </c>
      <c r="G141" s="18" t="n">
        <v>0</v>
      </c>
      <c r="H141" s="18" t="n">
        <v>40</v>
      </c>
      <c r="I141" s="18" t="n">
        <f aca="false">((I140 + G141) - H141)</f>
        <v>-83705.55</v>
      </c>
      <c r="J141" s="18" t="n">
        <v>-4</v>
      </c>
      <c r="K141" s="19" t="n">
        <v>10</v>
      </c>
      <c r="L141" s="17" t="s">
        <v>22</v>
      </c>
    </row>
    <row r="142" s="11" customFormat="true" ht="10.95" hidden="false" customHeight="true" outlineLevel="0" collapsed="false">
      <c r="A142" s="16" t="n">
        <v>45161</v>
      </c>
      <c r="B142" s="17" t="s">
        <v>17</v>
      </c>
      <c r="C142" s="17" t="s">
        <v>18</v>
      </c>
      <c r="D142" s="17" t="s">
        <v>19</v>
      </c>
      <c r="E142" s="17" t="s">
        <v>32</v>
      </c>
      <c r="F142" s="17" t="s">
        <v>184</v>
      </c>
      <c r="G142" s="18" t="n">
        <v>0</v>
      </c>
      <c r="H142" s="18" t="n">
        <v>195</v>
      </c>
      <c r="I142" s="18" t="n">
        <f aca="false">((I141 + G142) - H142)</f>
        <v>-83900.55</v>
      </c>
      <c r="J142" s="18" t="n">
        <v>-19.5</v>
      </c>
      <c r="K142" s="19" t="n">
        <v>10</v>
      </c>
      <c r="L142" s="17" t="s">
        <v>22</v>
      </c>
    </row>
    <row r="143" s="11" customFormat="true" ht="10.95" hidden="false" customHeight="true" outlineLevel="0" collapsed="false">
      <c r="A143" s="16" t="n">
        <v>45161</v>
      </c>
      <c r="B143" s="17" t="s">
        <v>17</v>
      </c>
      <c r="C143" s="17" t="s">
        <v>18</v>
      </c>
      <c r="D143" s="17" t="s">
        <v>19</v>
      </c>
      <c r="E143" s="17" t="s">
        <v>34</v>
      </c>
      <c r="F143" s="17" t="s">
        <v>184</v>
      </c>
      <c r="G143" s="18" t="n">
        <v>0</v>
      </c>
      <c r="H143" s="18" t="n">
        <v>30</v>
      </c>
      <c r="I143" s="18" t="n">
        <f aca="false">((I142 + G143) - H143)</f>
        <v>-83930.55</v>
      </c>
      <c r="J143" s="18" t="n">
        <v>-3</v>
      </c>
      <c r="K143" s="19" t="n">
        <v>10</v>
      </c>
      <c r="L143" s="17" t="s">
        <v>22</v>
      </c>
    </row>
    <row r="144" s="11" customFormat="true" ht="21.3" hidden="false" customHeight="true" outlineLevel="0" collapsed="false">
      <c r="A144" s="16" t="n">
        <v>45161</v>
      </c>
      <c r="B144" s="17" t="s">
        <v>17</v>
      </c>
      <c r="C144" s="17" t="s">
        <v>18</v>
      </c>
      <c r="D144" s="17" t="s">
        <v>19</v>
      </c>
      <c r="E144" s="20" t="s">
        <v>35</v>
      </c>
      <c r="F144" s="17" t="s">
        <v>184</v>
      </c>
      <c r="G144" s="18" t="n">
        <v>0</v>
      </c>
      <c r="H144" s="18" t="n">
        <v>100</v>
      </c>
      <c r="I144" s="18" t="n">
        <f aca="false">((I143 + G144) - H144)</f>
        <v>-84030.55</v>
      </c>
      <c r="J144" s="18" t="n">
        <v>-10</v>
      </c>
      <c r="K144" s="19" t="n">
        <v>10</v>
      </c>
      <c r="L144" s="17" t="s">
        <v>22</v>
      </c>
    </row>
    <row r="145" s="11" customFormat="true" ht="10.95" hidden="false" customHeight="true" outlineLevel="0" collapsed="false">
      <c r="A145" s="16" t="n">
        <v>45161</v>
      </c>
      <c r="B145" s="17" t="s">
        <v>17</v>
      </c>
      <c r="C145" s="17" t="s">
        <v>18</v>
      </c>
      <c r="D145" s="17" t="s">
        <v>19</v>
      </c>
      <c r="E145" s="17" t="s">
        <v>36</v>
      </c>
      <c r="F145" s="17" t="s">
        <v>185</v>
      </c>
      <c r="G145" s="18" t="n">
        <v>0</v>
      </c>
      <c r="H145" s="18" t="n">
        <v>720</v>
      </c>
      <c r="I145" s="18" t="n">
        <f aca="false">((I144 + G145) - H145)</f>
        <v>-84750.55</v>
      </c>
      <c r="J145" s="18" t="n">
        <v>-72</v>
      </c>
      <c r="K145" s="19" t="n">
        <v>10</v>
      </c>
      <c r="L145" s="17" t="s">
        <v>22</v>
      </c>
    </row>
    <row r="146" s="11" customFormat="true" ht="10.95" hidden="false" customHeight="true" outlineLevel="0" collapsed="false">
      <c r="A146" s="16" t="n">
        <v>45161</v>
      </c>
      <c r="B146" s="17" t="s">
        <v>17</v>
      </c>
      <c r="C146" s="17" t="s">
        <v>18</v>
      </c>
      <c r="D146" s="17" t="s">
        <v>19</v>
      </c>
      <c r="E146" s="17" t="s">
        <v>38</v>
      </c>
      <c r="F146" s="17" t="s">
        <v>185</v>
      </c>
      <c r="G146" s="18" t="n">
        <v>0</v>
      </c>
      <c r="H146" s="18" t="n">
        <v>110</v>
      </c>
      <c r="I146" s="18" t="n">
        <f aca="false">((I145 + G146) - H146)</f>
        <v>-84860.55</v>
      </c>
      <c r="J146" s="18" t="n">
        <v>-11</v>
      </c>
      <c r="K146" s="19" t="n">
        <v>10</v>
      </c>
      <c r="L146" s="17" t="s">
        <v>22</v>
      </c>
    </row>
    <row r="147" s="11" customFormat="true" ht="10.95" hidden="false" customHeight="true" outlineLevel="0" collapsed="false">
      <c r="A147" s="16" t="n">
        <v>45161</v>
      </c>
      <c r="B147" s="17" t="s">
        <v>17</v>
      </c>
      <c r="C147" s="17" t="s">
        <v>18</v>
      </c>
      <c r="D147" s="17" t="s">
        <v>19</v>
      </c>
      <c r="E147" s="17" t="s">
        <v>39</v>
      </c>
      <c r="F147" s="17" t="s">
        <v>185</v>
      </c>
      <c r="G147" s="18" t="n">
        <v>0</v>
      </c>
      <c r="H147" s="18" t="n">
        <v>165</v>
      </c>
      <c r="I147" s="18" t="n">
        <f aca="false">((I146 + G147) - H147)</f>
        <v>-85025.55</v>
      </c>
      <c r="J147" s="18" t="n">
        <v>-16.5</v>
      </c>
      <c r="K147" s="19" t="n">
        <v>10</v>
      </c>
      <c r="L147" s="17" t="s">
        <v>22</v>
      </c>
    </row>
    <row r="148" s="11" customFormat="true" ht="10.95" hidden="false" customHeight="true" outlineLevel="0" collapsed="false">
      <c r="A148" s="16" t="n">
        <v>45161</v>
      </c>
      <c r="B148" s="17" t="s">
        <v>17</v>
      </c>
      <c r="C148" s="17" t="s">
        <v>18</v>
      </c>
      <c r="D148" s="17" t="s">
        <v>19</v>
      </c>
      <c r="E148" s="17" t="s">
        <v>40</v>
      </c>
      <c r="F148" s="17" t="s">
        <v>186</v>
      </c>
      <c r="G148" s="18" t="n">
        <v>0</v>
      </c>
      <c r="H148" s="18" t="n">
        <v>3825</v>
      </c>
      <c r="I148" s="18" t="n">
        <f aca="false">((I147 + G148) - H148)</f>
        <v>-88850.55</v>
      </c>
      <c r="J148" s="18" t="n">
        <v>-382.5</v>
      </c>
      <c r="K148" s="19" t="n">
        <v>10</v>
      </c>
      <c r="L148" s="17" t="s">
        <v>22</v>
      </c>
    </row>
    <row r="149" s="11" customFormat="true" ht="10.95" hidden="false" customHeight="true" outlineLevel="0" collapsed="false">
      <c r="A149" s="16" t="n">
        <v>45161</v>
      </c>
      <c r="B149" s="17" t="s">
        <v>17</v>
      </c>
      <c r="C149" s="17" t="s">
        <v>18</v>
      </c>
      <c r="D149" s="17" t="s">
        <v>19</v>
      </c>
      <c r="E149" s="17" t="s">
        <v>42</v>
      </c>
      <c r="F149" s="17" t="s">
        <v>187</v>
      </c>
      <c r="G149" s="18" t="n">
        <v>0</v>
      </c>
      <c r="H149" s="18" t="n">
        <v>2592</v>
      </c>
      <c r="I149" s="18" t="n">
        <f aca="false">((I148 + G149) - H149)</f>
        <v>-91442.55</v>
      </c>
      <c r="J149" s="18" t="n">
        <v>-259.2</v>
      </c>
      <c r="K149" s="19" t="n">
        <v>10</v>
      </c>
      <c r="L149" s="17" t="s">
        <v>44</v>
      </c>
    </row>
    <row r="150" s="11" customFormat="true" ht="10.95" hidden="false" customHeight="true" outlineLevel="0" collapsed="false">
      <c r="A150" s="16" t="n">
        <v>45161</v>
      </c>
      <c r="B150" s="17" t="s">
        <v>17</v>
      </c>
      <c r="C150" s="17" t="s">
        <v>18</v>
      </c>
      <c r="D150" s="17" t="s">
        <v>19</v>
      </c>
      <c r="E150" s="17" t="s">
        <v>45</v>
      </c>
      <c r="F150" s="17" t="s">
        <v>187</v>
      </c>
      <c r="G150" s="18" t="n">
        <v>0</v>
      </c>
      <c r="H150" s="18" t="n">
        <v>990</v>
      </c>
      <c r="I150" s="18" t="n">
        <f aca="false">((I149 + G150) - H150)</f>
        <v>-92432.55</v>
      </c>
      <c r="J150" s="18" t="n">
        <v>-99</v>
      </c>
      <c r="K150" s="19" t="n">
        <v>10</v>
      </c>
      <c r="L150" s="17" t="s">
        <v>44</v>
      </c>
    </row>
    <row r="151" s="11" customFormat="true" ht="10.95" hidden="false" customHeight="true" outlineLevel="0" collapsed="false">
      <c r="A151" s="16" t="n">
        <v>45161</v>
      </c>
      <c r="B151" s="17" t="s">
        <v>17</v>
      </c>
      <c r="C151" s="17" t="s">
        <v>18</v>
      </c>
      <c r="D151" s="17" t="s">
        <v>19</v>
      </c>
      <c r="E151" s="17" t="s">
        <v>46</v>
      </c>
      <c r="F151" s="17" t="s">
        <v>187</v>
      </c>
      <c r="G151" s="18" t="n">
        <v>0</v>
      </c>
      <c r="H151" s="18" t="n">
        <v>220</v>
      </c>
      <c r="I151" s="18" t="n">
        <f aca="false">((I150 + G151) - H151)</f>
        <v>-92652.55</v>
      </c>
      <c r="J151" s="18" t="n">
        <v>-22</v>
      </c>
      <c r="K151" s="19" t="n">
        <v>10</v>
      </c>
      <c r="L151" s="17" t="s">
        <v>44</v>
      </c>
    </row>
    <row r="152" s="11" customFormat="true" ht="10.95" hidden="false" customHeight="true" outlineLevel="0" collapsed="false">
      <c r="A152" s="16" t="n">
        <v>45161</v>
      </c>
      <c r="B152" s="17" t="s">
        <v>17</v>
      </c>
      <c r="C152" s="17" t="s">
        <v>18</v>
      </c>
      <c r="D152" s="17" t="s">
        <v>19</v>
      </c>
      <c r="E152" s="17" t="s">
        <v>47</v>
      </c>
      <c r="F152" s="17" t="s">
        <v>188</v>
      </c>
      <c r="G152" s="18" t="n">
        <v>0</v>
      </c>
      <c r="H152" s="18" t="n">
        <v>260</v>
      </c>
      <c r="I152" s="18" t="n">
        <f aca="false">((I151 + G152) - H152)</f>
        <v>-92912.55</v>
      </c>
      <c r="J152" s="18" t="n">
        <v>-26</v>
      </c>
      <c r="K152" s="19" t="n">
        <v>10</v>
      </c>
      <c r="L152" s="17" t="s">
        <v>22</v>
      </c>
    </row>
    <row r="153" s="11" customFormat="true" ht="10.95" hidden="false" customHeight="true" outlineLevel="0" collapsed="false">
      <c r="A153" s="16" t="n">
        <v>45161</v>
      </c>
      <c r="B153" s="17" t="s">
        <v>17</v>
      </c>
      <c r="C153" s="17" t="s">
        <v>18</v>
      </c>
      <c r="D153" s="17" t="s">
        <v>19</v>
      </c>
      <c r="E153" s="17" t="s">
        <v>49</v>
      </c>
      <c r="F153" s="17" t="s">
        <v>188</v>
      </c>
      <c r="G153" s="18" t="n">
        <v>0</v>
      </c>
      <c r="H153" s="18" t="n">
        <v>100</v>
      </c>
      <c r="I153" s="18" t="n">
        <f aca="false">((I152 + G153) - H153)</f>
        <v>-93012.55</v>
      </c>
      <c r="J153" s="18" t="n">
        <v>-10</v>
      </c>
      <c r="K153" s="19" t="n">
        <v>10</v>
      </c>
      <c r="L153" s="17" t="s">
        <v>22</v>
      </c>
    </row>
    <row r="154" s="11" customFormat="true" ht="10.95" hidden="false" customHeight="true" outlineLevel="0" collapsed="false">
      <c r="A154" s="16" t="n">
        <v>45161</v>
      </c>
      <c r="B154" s="17" t="s">
        <v>17</v>
      </c>
      <c r="C154" s="17" t="s">
        <v>18</v>
      </c>
      <c r="D154" s="17" t="s">
        <v>19</v>
      </c>
      <c r="E154" s="17" t="s">
        <v>189</v>
      </c>
      <c r="F154" s="17" t="s">
        <v>188</v>
      </c>
      <c r="G154" s="18" t="n">
        <v>0</v>
      </c>
      <c r="H154" s="18" t="n">
        <v>20</v>
      </c>
      <c r="I154" s="18" t="n">
        <f aca="false">((I153 + G154) - H154)</f>
        <v>-93032.55</v>
      </c>
      <c r="J154" s="18" t="n">
        <v>0</v>
      </c>
      <c r="K154" s="19" t="n">
        <v>0</v>
      </c>
      <c r="L154" s="17" t="s">
        <v>190</v>
      </c>
    </row>
    <row r="155" s="11" customFormat="true" ht="10.95" hidden="false" customHeight="true" outlineLevel="0" collapsed="false">
      <c r="A155" s="16" t="n">
        <v>45161</v>
      </c>
      <c r="B155" s="17" t="s">
        <v>17</v>
      </c>
      <c r="C155" s="17" t="s">
        <v>18</v>
      </c>
      <c r="D155" s="17" t="s">
        <v>19</v>
      </c>
      <c r="E155" s="17" t="s">
        <v>50</v>
      </c>
      <c r="F155" s="17" t="s">
        <v>191</v>
      </c>
      <c r="G155" s="18" t="n">
        <v>0</v>
      </c>
      <c r="H155" s="18" t="n">
        <v>2040</v>
      </c>
      <c r="I155" s="18" t="n">
        <f aca="false">((I154 + G155) - H155)</f>
        <v>-95072.55</v>
      </c>
      <c r="J155" s="18" t="n">
        <v>-204</v>
      </c>
      <c r="K155" s="19" t="n">
        <v>10</v>
      </c>
      <c r="L155" s="17" t="s">
        <v>22</v>
      </c>
    </row>
    <row r="156" s="11" customFormat="true" ht="10.95" hidden="false" customHeight="true" outlineLevel="0" collapsed="false">
      <c r="A156" s="16" t="n">
        <v>45161</v>
      </c>
      <c r="B156" s="17" t="s">
        <v>17</v>
      </c>
      <c r="C156" s="17" t="s">
        <v>18</v>
      </c>
      <c r="D156" s="17" t="s">
        <v>19</v>
      </c>
      <c r="E156" s="17" t="s">
        <v>192</v>
      </c>
      <c r="F156" s="17" t="s">
        <v>193</v>
      </c>
      <c r="G156" s="18" t="n">
        <v>0</v>
      </c>
      <c r="H156" s="18" t="n">
        <v>170</v>
      </c>
      <c r="I156" s="18" t="n">
        <f aca="false">((I155 + G156) - H156)</f>
        <v>-95242.55</v>
      </c>
      <c r="J156" s="18" t="n">
        <v>-17</v>
      </c>
      <c r="K156" s="19" t="n">
        <v>10</v>
      </c>
      <c r="L156" s="17" t="s">
        <v>22</v>
      </c>
    </row>
    <row r="157" s="11" customFormat="true" ht="10.95" hidden="false" customHeight="true" outlineLevel="0" collapsed="false">
      <c r="A157" s="16" t="n">
        <v>45161</v>
      </c>
      <c r="B157" s="17" t="s">
        <v>17</v>
      </c>
      <c r="C157" s="17" t="s">
        <v>18</v>
      </c>
      <c r="D157" s="17" t="s">
        <v>19</v>
      </c>
      <c r="E157" s="17" t="s">
        <v>192</v>
      </c>
      <c r="F157" s="17" t="s">
        <v>193</v>
      </c>
      <c r="G157" s="18" t="n">
        <v>0</v>
      </c>
      <c r="H157" s="18" t="n">
        <v>170</v>
      </c>
      <c r="I157" s="18" t="n">
        <f aca="false">((I156 + G157) - H157)</f>
        <v>-95412.55</v>
      </c>
      <c r="J157" s="18" t="n">
        <v>-17</v>
      </c>
      <c r="K157" s="19" t="n">
        <v>10</v>
      </c>
      <c r="L157" s="17" t="s">
        <v>22</v>
      </c>
    </row>
    <row r="158" s="11" customFormat="true" ht="10.95" hidden="false" customHeight="true" outlineLevel="0" collapsed="false">
      <c r="A158" s="16" t="n">
        <v>45161</v>
      </c>
      <c r="B158" s="17" t="s">
        <v>17</v>
      </c>
      <c r="C158" s="17" t="s">
        <v>18</v>
      </c>
      <c r="D158" s="17" t="s">
        <v>19</v>
      </c>
      <c r="E158" s="17" t="s">
        <v>192</v>
      </c>
      <c r="F158" s="17" t="s">
        <v>193</v>
      </c>
      <c r="G158" s="18" t="n">
        <v>0</v>
      </c>
      <c r="H158" s="18" t="n">
        <v>170</v>
      </c>
      <c r="I158" s="18" t="n">
        <f aca="false">((I157 + G158) - H158)</f>
        <v>-95582.55</v>
      </c>
      <c r="J158" s="18" t="n">
        <v>-17</v>
      </c>
      <c r="K158" s="19" t="n">
        <v>10</v>
      </c>
      <c r="L158" s="17" t="s">
        <v>22</v>
      </c>
    </row>
    <row r="159" s="11" customFormat="true" ht="10.95" hidden="false" customHeight="true" outlineLevel="0" collapsed="false">
      <c r="A159" s="16" t="n">
        <v>45161</v>
      </c>
      <c r="B159" s="17" t="s">
        <v>17</v>
      </c>
      <c r="C159" s="17" t="s">
        <v>18</v>
      </c>
      <c r="D159" s="17" t="s">
        <v>19</v>
      </c>
      <c r="E159" s="17" t="s">
        <v>52</v>
      </c>
      <c r="F159" s="17" t="s">
        <v>194</v>
      </c>
      <c r="G159" s="18" t="n">
        <v>0</v>
      </c>
      <c r="H159" s="18" t="n">
        <v>1000.05</v>
      </c>
      <c r="I159" s="18" t="n">
        <f aca="false">((I158 + G159) - H159)</f>
        <v>-96582.6</v>
      </c>
      <c r="J159" s="18" t="n">
        <v>-100.01</v>
      </c>
      <c r="K159" s="19" t="n">
        <v>10</v>
      </c>
      <c r="L159" s="17" t="s">
        <v>22</v>
      </c>
    </row>
    <row r="160" s="11" customFormat="true" ht="10.95" hidden="false" customHeight="true" outlineLevel="0" collapsed="false">
      <c r="A160" s="16" t="n">
        <v>45161</v>
      </c>
      <c r="B160" s="17" t="s">
        <v>17</v>
      </c>
      <c r="C160" s="17" t="s">
        <v>18</v>
      </c>
      <c r="D160" s="17" t="s">
        <v>19</v>
      </c>
      <c r="E160" s="17" t="s">
        <v>195</v>
      </c>
      <c r="F160" s="17" t="s">
        <v>194</v>
      </c>
      <c r="G160" s="18" t="n">
        <v>0</v>
      </c>
      <c r="H160" s="18" t="n">
        <v>424.96</v>
      </c>
      <c r="I160" s="18" t="n">
        <f aca="false">((I159 + G160) - H160)</f>
        <v>-97007.56</v>
      </c>
      <c r="J160" s="18" t="n">
        <v>-42.5</v>
      </c>
      <c r="K160" s="19" t="n">
        <v>10</v>
      </c>
      <c r="L160" s="17" t="s">
        <v>22</v>
      </c>
    </row>
    <row r="161" s="11" customFormat="true" ht="10.95" hidden="false" customHeight="true" outlineLevel="0" collapsed="false">
      <c r="A161" s="16" t="n">
        <v>45161</v>
      </c>
      <c r="B161" s="17" t="s">
        <v>17</v>
      </c>
      <c r="C161" s="17" t="s">
        <v>18</v>
      </c>
      <c r="D161" s="17" t="s">
        <v>19</v>
      </c>
      <c r="E161" s="17" t="s">
        <v>196</v>
      </c>
      <c r="F161" s="17" t="s">
        <v>194</v>
      </c>
      <c r="G161" s="18" t="n">
        <v>0</v>
      </c>
      <c r="H161" s="18" t="n">
        <v>463.85</v>
      </c>
      <c r="I161" s="18" t="n">
        <f aca="false">((I160 + G161) - H161)</f>
        <v>-97471.41</v>
      </c>
      <c r="J161" s="18" t="n">
        <v>-46.39</v>
      </c>
      <c r="K161" s="19" t="n">
        <v>10</v>
      </c>
      <c r="L161" s="17" t="s">
        <v>22</v>
      </c>
    </row>
    <row r="162" s="11" customFormat="true" ht="10.95" hidden="false" customHeight="true" outlineLevel="0" collapsed="false">
      <c r="A162" s="16" t="n">
        <v>45161</v>
      </c>
      <c r="B162" s="17" t="s">
        <v>17</v>
      </c>
      <c r="C162" s="17" t="s">
        <v>18</v>
      </c>
      <c r="D162" s="17" t="s">
        <v>19</v>
      </c>
      <c r="E162" s="17" t="s">
        <v>54</v>
      </c>
      <c r="F162" s="17" t="s">
        <v>197</v>
      </c>
      <c r="G162" s="18" t="n">
        <v>0</v>
      </c>
      <c r="H162" s="18" t="n">
        <v>550</v>
      </c>
      <c r="I162" s="18" t="n">
        <f aca="false">((I161 + G162) - H162)</f>
        <v>-98021.41</v>
      </c>
      <c r="J162" s="18" t="n">
        <v>-55</v>
      </c>
      <c r="K162" s="19" t="n">
        <v>10</v>
      </c>
      <c r="L162" s="17" t="s">
        <v>22</v>
      </c>
    </row>
    <row r="163" s="11" customFormat="true" ht="31.65" hidden="false" customHeight="true" outlineLevel="0" collapsed="false">
      <c r="A163" s="16" t="n">
        <v>45161</v>
      </c>
      <c r="B163" s="17" t="s">
        <v>17</v>
      </c>
      <c r="C163" s="17" t="s">
        <v>18</v>
      </c>
      <c r="D163" s="17" t="s">
        <v>19</v>
      </c>
      <c r="E163" s="20" t="s">
        <v>56</v>
      </c>
      <c r="F163" s="17" t="s">
        <v>197</v>
      </c>
      <c r="G163" s="18" t="n">
        <v>0</v>
      </c>
      <c r="H163" s="18" t="n">
        <v>110</v>
      </c>
      <c r="I163" s="18" t="n">
        <f aca="false">((I162 + G163) - H163)</f>
        <v>-98131.41</v>
      </c>
      <c r="J163" s="18" t="n">
        <v>-11</v>
      </c>
      <c r="K163" s="19" t="n">
        <v>10</v>
      </c>
      <c r="L163" s="17" t="s">
        <v>22</v>
      </c>
    </row>
    <row r="164" s="11" customFormat="true" ht="10.95" hidden="false" customHeight="true" outlineLevel="0" collapsed="false">
      <c r="A164" s="16" t="n">
        <v>45161</v>
      </c>
      <c r="B164" s="17" t="s">
        <v>17</v>
      </c>
      <c r="C164" s="17" t="s">
        <v>18</v>
      </c>
      <c r="D164" s="17" t="s">
        <v>19</v>
      </c>
      <c r="E164" s="17" t="s">
        <v>57</v>
      </c>
      <c r="F164" s="17" t="s">
        <v>197</v>
      </c>
      <c r="G164" s="18" t="n">
        <v>0</v>
      </c>
      <c r="H164" s="18" t="n">
        <v>132</v>
      </c>
      <c r="I164" s="18" t="n">
        <f aca="false">((I163 + G164) - H164)</f>
        <v>-98263.41</v>
      </c>
      <c r="J164" s="18" t="n">
        <v>-13.2</v>
      </c>
      <c r="K164" s="19" t="n">
        <v>10</v>
      </c>
      <c r="L164" s="17" t="s">
        <v>22</v>
      </c>
    </row>
    <row r="165" s="11" customFormat="true" ht="10.95" hidden="false" customHeight="true" outlineLevel="0" collapsed="false">
      <c r="A165" s="16" t="n">
        <v>45161</v>
      </c>
      <c r="B165" s="17" t="s">
        <v>17</v>
      </c>
      <c r="C165" s="17" t="s">
        <v>18</v>
      </c>
      <c r="D165" s="17" t="s">
        <v>19</v>
      </c>
      <c r="E165" s="17" t="s">
        <v>58</v>
      </c>
      <c r="F165" s="17" t="s">
        <v>197</v>
      </c>
      <c r="G165" s="18" t="n">
        <v>0</v>
      </c>
      <c r="H165" s="18" t="n">
        <v>165</v>
      </c>
      <c r="I165" s="18" t="n">
        <f aca="false">((I164 + G165) - H165)</f>
        <v>-98428.41</v>
      </c>
      <c r="J165" s="18" t="n">
        <v>-16.5</v>
      </c>
      <c r="K165" s="19" t="n">
        <v>10</v>
      </c>
      <c r="L165" s="17" t="s">
        <v>22</v>
      </c>
    </row>
    <row r="166" s="11" customFormat="true" ht="10.95" hidden="false" customHeight="true" outlineLevel="0" collapsed="false">
      <c r="A166" s="16" t="n">
        <v>45161</v>
      </c>
      <c r="B166" s="17" t="s">
        <v>17</v>
      </c>
      <c r="C166" s="17" t="s">
        <v>18</v>
      </c>
      <c r="D166" s="17" t="s">
        <v>19</v>
      </c>
      <c r="E166" s="17" t="s">
        <v>64</v>
      </c>
      <c r="F166" s="17" t="s">
        <v>198</v>
      </c>
      <c r="G166" s="18" t="n">
        <v>0</v>
      </c>
      <c r="H166" s="18" t="n">
        <v>3740</v>
      </c>
      <c r="I166" s="18" t="n">
        <f aca="false">((I165 + G166) - H166)</f>
        <v>-102168.41</v>
      </c>
      <c r="J166" s="18" t="n">
        <v>-374</v>
      </c>
      <c r="K166" s="19" t="n">
        <v>10</v>
      </c>
      <c r="L166" s="17" t="s">
        <v>22</v>
      </c>
    </row>
    <row r="167" s="11" customFormat="true" ht="10.95" hidden="false" customHeight="true" outlineLevel="0" collapsed="false">
      <c r="A167" s="16" t="n">
        <v>45161</v>
      </c>
      <c r="B167" s="17" t="s">
        <v>17</v>
      </c>
      <c r="C167" s="17" t="s">
        <v>18</v>
      </c>
      <c r="D167" s="17" t="s">
        <v>19</v>
      </c>
      <c r="E167" s="17" t="s">
        <v>66</v>
      </c>
      <c r="F167" s="17" t="s">
        <v>198</v>
      </c>
      <c r="G167" s="18" t="n">
        <v>0</v>
      </c>
      <c r="H167" s="18" t="n">
        <v>220</v>
      </c>
      <c r="I167" s="18" t="n">
        <f aca="false">((I166 + G167) - H167)</f>
        <v>-102388.41</v>
      </c>
      <c r="J167" s="18" t="n">
        <v>-22</v>
      </c>
      <c r="K167" s="19" t="n">
        <v>10</v>
      </c>
      <c r="L167" s="17" t="s">
        <v>22</v>
      </c>
    </row>
    <row r="168" s="11" customFormat="true" ht="10.95" hidden="false" customHeight="true" outlineLevel="0" collapsed="false">
      <c r="A168" s="16" t="n">
        <v>45161</v>
      </c>
      <c r="B168" s="17" t="s">
        <v>17</v>
      </c>
      <c r="C168" s="17" t="s">
        <v>18</v>
      </c>
      <c r="D168" s="17" t="s">
        <v>19</v>
      </c>
      <c r="E168" s="17" t="s">
        <v>67</v>
      </c>
      <c r="F168" s="17" t="s">
        <v>198</v>
      </c>
      <c r="G168" s="18" t="n">
        <v>0</v>
      </c>
      <c r="H168" s="18" t="n">
        <v>220</v>
      </c>
      <c r="I168" s="18" t="n">
        <f aca="false">((I167 + G168) - H168)</f>
        <v>-102608.41</v>
      </c>
      <c r="J168" s="18" t="n">
        <v>-22</v>
      </c>
      <c r="K168" s="19" t="n">
        <v>10</v>
      </c>
      <c r="L168" s="17" t="s">
        <v>22</v>
      </c>
    </row>
    <row r="169" s="11" customFormat="true" ht="10.95" hidden="false" customHeight="true" outlineLevel="0" collapsed="false">
      <c r="A169" s="16" t="n">
        <v>45161</v>
      </c>
      <c r="B169" s="17" t="s">
        <v>17</v>
      </c>
      <c r="C169" s="17" t="s">
        <v>18</v>
      </c>
      <c r="D169" s="17" t="s">
        <v>19</v>
      </c>
      <c r="E169" s="17" t="s">
        <v>68</v>
      </c>
      <c r="F169" s="17" t="s">
        <v>198</v>
      </c>
      <c r="G169" s="18" t="n">
        <v>0</v>
      </c>
      <c r="H169" s="18" t="n">
        <v>250</v>
      </c>
      <c r="I169" s="18" t="n">
        <f aca="false">((I168 + G169) - H169)</f>
        <v>-102858.41</v>
      </c>
      <c r="J169" s="18" t="n">
        <v>-25</v>
      </c>
      <c r="K169" s="19" t="n">
        <v>10</v>
      </c>
      <c r="L169" s="17" t="s">
        <v>22</v>
      </c>
    </row>
    <row r="170" s="11" customFormat="true" ht="10.95" hidden="false" customHeight="true" outlineLevel="0" collapsed="false">
      <c r="A170" s="16" t="n">
        <v>45161</v>
      </c>
      <c r="B170" s="17" t="s">
        <v>17</v>
      </c>
      <c r="C170" s="17" t="s">
        <v>18</v>
      </c>
      <c r="D170" s="17" t="s">
        <v>19</v>
      </c>
      <c r="E170" s="17" t="s">
        <v>199</v>
      </c>
      <c r="F170" s="17" t="s">
        <v>198</v>
      </c>
      <c r="G170" s="18" t="n">
        <v>0</v>
      </c>
      <c r="H170" s="18" t="n">
        <v>660</v>
      </c>
      <c r="I170" s="18" t="n">
        <f aca="false">((I169 + G170) - H170)</f>
        <v>-103518.41</v>
      </c>
      <c r="J170" s="18" t="n">
        <v>-66</v>
      </c>
      <c r="K170" s="19" t="n">
        <v>10</v>
      </c>
      <c r="L170" s="17" t="s">
        <v>22</v>
      </c>
    </row>
    <row r="171" s="11" customFormat="true" ht="10.95" hidden="false" customHeight="true" outlineLevel="0" collapsed="false">
      <c r="A171" s="16" t="n">
        <v>45161</v>
      </c>
      <c r="B171" s="17" t="s">
        <v>17</v>
      </c>
      <c r="C171" s="17" t="s">
        <v>18</v>
      </c>
      <c r="D171" s="17" t="s">
        <v>19</v>
      </c>
      <c r="E171" s="17" t="s">
        <v>69</v>
      </c>
      <c r="F171" s="17" t="s">
        <v>200</v>
      </c>
      <c r="G171" s="18" t="n">
        <v>0</v>
      </c>
      <c r="H171" s="18" t="n">
        <v>880</v>
      </c>
      <c r="I171" s="18" t="n">
        <f aca="false">((I170 + G171) - H171)</f>
        <v>-104398.41</v>
      </c>
      <c r="J171" s="18" t="n">
        <v>-88</v>
      </c>
      <c r="K171" s="19" t="n">
        <v>10</v>
      </c>
      <c r="L171" s="17" t="s">
        <v>22</v>
      </c>
    </row>
    <row r="172" s="11" customFormat="true" ht="10.95" hidden="false" customHeight="true" outlineLevel="0" collapsed="false">
      <c r="A172" s="16" t="n">
        <v>45161</v>
      </c>
      <c r="B172" s="17" t="s">
        <v>17</v>
      </c>
      <c r="C172" s="17" t="s">
        <v>18</v>
      </c>
      <c r="D172" s="17" t="s">
        <v>19</v>
      </c>
      <c r="E172" s="17" t="s">
        <v>201</v>
      </c>
      <c r="F172" s="17" t="s">
        <v>202</v>
      </c>
      <c r="G172" s="18" t="n">
        <v>0</v>
      </c>
      <c r="H172" s="18" t="n">
        <v>1512</v>
      </c>
      <c r="I172" s="18" t="n">
        <f aca="false">((I171 + G172) - H172)</f>
        <v>-105910.41</v>
      </c>
      <c r="J172" s="18" t="n">
        <v>-151.2</v>
      </c>
      <c r="K172" s="19" t="n">
        <v>10</v>
      </c>
      <c r="L172" s="17" t="s">
        <v>22</v>
      </c>
    </row>
    <row r="173" s="11" customFormat="true" ht="10.95" hidden="false" customHeight="true" outlineLevel="0" collapsed="false">
      <c r="A173" s="16" t="n">
        <v>45161</v>
      </c>
      <c r="B173" s="17" t="s">
        <v>17</v>
      </c>
      <c r="C173" s="17" t="s">
        <v>18</v>
      </c>
      <c r="D173" s="17" t="s">
        <v>19</v>
      </c>
      <c r="E173" s="17" t="s">
        <v>203</v>
      </c>
      <c r="F173" s="17" t="s">
        <v>202</v>
      </c>
      <c r="G173" s="18" t="n">
        <v>0</v>
      </c>
      <c r="H173" s="18" t="n">
        <v>110</v>
      </c>
      <c r="I173" s="18" t="n">
        <f aca="false">((I172 + G173) - H173)</f>
        <v>-106020.41</v>
      </c>
      <c r="J173" s="18" t="n">
        <v>-11</v>
      </c>
      <c r="K173" s="19" t="n">
        <v>10</v>
      </c>
      <c r="L173" s="17" t="s">
        <v>22</v>
      </c>
    </row>
    <row r="174" s="11" customFormat="true" ht="10.95" hidden="false" customHeight="true" outlineLevel="0" collapsed="false">
      <c r="A174" s="16" t="n">
        <v>45161</v>
      </c>
      <c r="B174" s="17" t="s">
        <v>17</v>
      </c>
      <c r="C174" s="17" t="s">
        <v>18</v>
      </c>
      <c r="D174" s="17" t="s">
        <v>19</v>
      </c>
      <c r="E174" s="17" t="s">
        <v>74</v>
      </c>
      <c r="F174" s="17" t="s">
        <v>204</v>
      </c>
      <c r="G174" s="18" t="n">
        <v>0</v>
      </c>
      <c r="H174" s="18" t="n">
        <v>1504</v>
      </c>
      <c r="I174" s="18" t="n">
        <f aca="false">((I173 + G174) - H174)</f>
        <v>-107524.41</v>
      </c>
      <c r="J174" s="18" t="n">
        <v>-150.4</v>
      </c>
      <c r="K174" s="19" t="n">
        <v>10</v>
      </c>
      <c r="L174" s="17" t="s">
        <v>22</v>
      </c>
    </row>
    <row r="175" s="11" customFormat="true" ht="10.95" hidden="false" customHeight="true" outlineLevel="0" collapsed="false">
      <c r="A175" s="16" t="n">
        <v>45161</v>
      </c>
      <c r="B175" s="17" t="s">
        <v>17</v>
      </c>
      <c r="C175" s="17" t="s">
        <v>18</v>
      </c>
      <c r="D175" s="17" t="s">
        <v>19</v>
      </c>
      <c r="E175" s="17" t="s">
        <v>76</v>
      </c>
      <c r="F175" s="17" t="s">
        <v>205</v>
      </c>
      <c r="G175" s="18" t="n">
        <v>0</v>
      </c>
      <c r="H175" s="18" t="n">
        <v>752</v>
      </c>
      <c r="I175" s="18" t="n">
        <f aca="false">((I174 + G175) - H175)</f>
        <v>-108276.41</v>
      </c>
      <c r="J175" s="18" t="n">
        <v>-75.2</v>
      </c>
      <c r="K175" s="19" t="n">
        <v>10</v>
      </c>
      <c r="L175" s="17" t="s">
        <v>22</v>
      </c>
    </row>
    <row r="176" s="11" customFormat="true" ht="10.95" hidden="false" customHeight="true" outlineLevel="0" collapsed="false">
      <c r="A176" s="16" t="n">
        <v>45161</v>
      </c>
      <c r="B176" s="17" t="s">
        <v>17</v>
      </c>
      <c r="C176" s="17" t="s">
        <v>18</v>
      </c>
      <c r="D176" s="17" t="s">
        <v>19</v>
      </c>
      <c r="E176" s="17" t="s">
        <v>78</v>
      </c>
      <c r="F176" s="17" t="s">
        <v>206</v>
      </c>
      <c r="G176" s="18" t="n">
        <v>0</v>
      </c>
      <c r="H176" s="18" t="n">
        <v>470</v>
      </c>
      <c r="I176" s="18" t="n">
        <f aca="false">((I175 + G176) - H176)</f>
        <v>-108746.41</v>
      </c>
      <c r="J176" s="18" t="n">
        <v>-47</v>
      </c>
      <c r="K176" s="19" t="n">
        <v>10</v>
      </c>
      <c r="L176" s="17" t="s">
        <v>22</v>
      </c>
    </row>
    <row r="177" s="11" customFormat="true" ht="10.95" hidden="false" customHeight="true" outlineLevel="0" collapsed="false">
      <c r="A177" s="16" t="n">
        <v>45161</v>
      </c>
      <c r="B177" s="17" t="s">
        <v>17</v>
      </c>
      <c r="C177" s="17" t="s">
        <v>18</v>
      </c>
      <c r="D177" s="17" t="s">
        <v>19</v>
      </c>
      <c r="E177" s="17" t="s">
        <v>80</v>
      </c>
      <c r="F177" s="17" t="s">
        <v>206</v>
      </c>
      <c r="G177" s="18" t="n">
        <v>0</v>
      </c>
      <c r="H177" s="18" t="n">
        <v>110</v>
      </c>
      <c r="I177" s="18" t="n">
        <f aca="false">((I176 + G177) - H177)</f>
        <v>-108856.41</v>
      </c>
      <c r="J177" s="18" t="n">
        <v>-11</v>
      </c>
      <c r="K177" s="19" t="n">
        <v>10</v>
      </c>
      <c r="L177" s="17" t="s">
        <v>22</v>
      </c>
    </row>
    <row r="178" s="11" customFormat="true" ht="10.95" hidden="false" customHeight="true" outlineLevel="0" collapsed="false">
      <c r="A178" s="16" t="n">
        <v>45161</v>
      </c>
      <c r="B178" s="17" t="s">
        <v>17</v>
      </c>
      <c r="C178" s="17" t="s">
        <v>18</v>
      </c>
      <c r="D178" s="17" t="s">
        <v>19</v>
      </c>
      <c r="E178" s="17" t="s">
        <v>78</v>
      </c>
      <c r="F178" s="17" t="s">
        <v>207</v>
      </c>
      <c r="G178" s="18" t="n">
        <v>0</v>
      </c>
      <c r="H178" s="18" t="n">
        <v>188</v>
      </c>
      <c r="I178" s="18" t="n">
        <f aca="false">((I177 + G178) - H178)</f>
        <v>-109044.41</v>
      </c>
      <c r="J178" s="18" t="n">
        <v>-18.8</v>
      </c>
      <c r="K178" s="19" t="n">
        <v>10</v>
      </c>
      <c r="L178" s="17" t="s">
        <v>22</v>
      </c>
    </row>
    <row r="179" s="11" customFormat="true" ht="10.95" hidden="false" customHeight="true" outlineLevel="0" collapsed="false">
      <c r="A179" s="16" t="n">
        <v>45161</v>
      </c>
      <c r="B179" s="17" t="s">
        <v>17</v>
      </c>
      <c r="C179" s="17" t="s">
        <v>18</v>
      </c>
      <c r="D179" s="17" t="s">
        <v>19</v>
      </c>
      <c r="E179" s="17" t="s">
        <v>78</v>
      </c>
      <c r="F179" s="17" t="s">
        <v>208</v>
      </c>
      <c r="G179" s="18" t="n">
        <v>0</v>
      </c>
      <c r="H179" s="18" t="n">
        <v>1034</v>
      </c>
      <c r="I179" s="18" t="n">
        <f aca="false">((I178 + G179) - H179)</f>
        <v>-110078.41</v>
      </c>
      <c r="J179" s="18" t="n">
        <v>-103.4</v>
      </c>
      <c r="K179" s="19" t="n">
        <v>10</v>
      </c>
      <c r="L179" s="17" t="s">
        <v>22</v>
      </c>
    </row>
    <row r="180" s="11" customFormat="true" ht="10.95" hidden="false" customHeight="true" outlineLevel="0" collapsed="false">
      <c r="A180" s="16" t="n">
        <v>45161</v>
      </c>
      <c r="B180" s="17" t="s">
        <v>17</v>
      </c>
      <c r="C180" s="17" t="s">
        <v>18</v>
      </c>
      <c r="D180" s="17" t="s">
        <v>19</v>
      </c>
      <c r="E180" s="17" t="s">
        <v>83</v>
      </c>
      <c r="F180" s="17" t="s">
        <v>208</v>
      </c>
      <c r="G180" s="18" t="n">
        <v>0</v>
      </c>
      <c r="H180" s="18" t="n">
        <v>38.5</v>
      </c>
      <c r="I180" s="18" t="n">
        <f aca="false">((I179 + G180) - H180)</f>
        <v>-110116.91</v>
      </c>
      <c r="J180" s="18" t="n">
        <v>-3.85</v>
      </c>
      <c r="K180" s="19" t="n">
        <v>10</v>
      </c>
      <c r="L180" s="17" t="s">
        <v>22</v>
      </c>
    </row>
    <row r="181" s="11" customFormat="true" ht="10.95" hidden="false" customHeight="true" outlineLevel="0" collapsed="false">
      <c r="A181" s="16" t="n">
        <v>45161</v>
      </c>
      <c r="B181" s="17" t="s">
        <v>17</v>
      </c>
      <c r="C181" s="17" t="s">
        <v>18</v>
      </c>
      <c r="D181" s="17" t="s">
        <v>19</v>
      </c>
      <c r="E181" s="17" t="s">
        <v>84</v>
      </c>
      <c r="F181" s="17" t="s">
        <v>208</v>
      </c>
      <c r="G181" s="18" t="n">
        <v>0</v>
      </c>
      <c r="H181" s="18" t="n">
        <v>165</v>
      </c>
      <c r="I181" s="18" t="n">
        <f aca="false">((I180 + G181) - H181)</f>
        <v>-110281.91</v>
      </c>
      <c r="J181" s="18" t="n">
        <v>-16.5</v>
      </c>
      <c r="K181" s="19" t="n">
        <v>10</v>
      </c>
      <c r="L181" s="17" t="s">
        <v>22</v>
      </c>
    </row>
    <row r="182" s="11" customFormat="true" ht="10.95" hidden="false" customHeight="true" outlineLevel="0" collapsed="false">
      <c r="A182" s="16" t="n">
        <v>45161</v>
      </c>
      <c r="B182" s="17" t="s">
        <v>17</v>
      </c>
      <c r="C182" s="17" t="s">
        <v>18</v>
      </c>
      <c r="D182" s="17" t="s">
        <v>19</v>
      </c>
      <c r="E182" s="17" t="s">
        <v>76</v>
      </c>
      <c r="F182" s="17" t="s">
        <v>209</v>
      </c>
      <c r="G182" s="18" t="n">
        <v>0</v>
      </c>
      <c r="H182" s="18" t="n">
        <v>470</v>
      </c>
      <c r="I182" s="18" t="n">
        <f aca="false">((I181 + G182) - H182)</f>
        <v>-110751.91</v>
      </c>
      <c r="J182" s="18" t="n">
        <v>-47</v>
      </c>
      <c r="K182" s="19" t="n">
        <v>10</v>
      </c>
      <c r="L182" s="17" t="s">
        <v>22</v>
      </c>
    </row>
    <row r="183" s="11" customFormat="true" ht="10.95" hidden="false" customHeight="true" outlineLevel="0" collapsed="false">
      <c r="A183" s="16" t="n">
        <v>45161</v>
      </c>
      <c r="B183" s="17" t="s">
        <v>17</v>
      </c>
      <c r="C183" s="17" t="s">
        <v>18</v>
      </c>
      <c r="D183" s="17" t="s">
        <v>19</v>
      </c>
      <c r="E183" s="17" t="s">
        <v>78</v>
      </c>
      <c r="F183" s="17" t="s">
        <v>210</v>
      </c>
      <c r="G183" s="18" t="n">
        <v>0</v>
      </c>
      <c r="H183" s="18" t="n">
        <v>188</v>
      </c>
      <c r="I183" s="18" t="n">
        <f aca="false">((I182 + G183) - H183)</f>
        <v>-110939.91</v>
      </c>
      <c r="J183" s="18" t="n">
        <v>-18.8</v>
      </c>
      <c r="K183" s="19" t="n">
        <v>10</v>
      </c>
      <c r="L183" s="17" t="s">
        <v>22</v>
      </c>
    </row>
    <row r="184" s="11" customFormat="true" ht="10.95" hidden="false" customHeight="true" outlineLevel="0" collapsed="false">
      <c r="A184" s="16" t="n">
        <v>45161</v>
      </c>
      <c r="B184" s="17" t="s">
        <v>17</v>
      </c>
      <c r="C184" s="17" t="s">
        <v>18</v>
      </c>
      <c r="D184" s="17" t="s">
        <v>19</v>
      </c>
      <c r="E184" s="17" t="s">
        <v>87</v>
      </c>
      <c r="F184" s="17" t="s">
        <v>210</v>
      </c>
      <c r="G184" s="18" t="n">
        <v>0</v>
      </c>
      <c r="H184" s="18" t="n">
        <v>110</v>
      </c>
      <c r="I184" s="18" t="n">
        <f aca="false">((I183 + G184) - H184)</f>
        <v>-111049.91</v>
      </c>
      <c r="J184" s="18" t="n">
        <v>0</v>
      </c>
      <c r="K184" s="19" t="n">
        <v>0</v>
      </c>
      <c r="L184" s="17" t="s">
        <v>88</v>
      </c>
    </row>
    <row r="185" s="11" customFormat="true" ht="10.95" hidden="false" customHeight="true" outlineLevel="0" collapsed="false">
      <c r="A185" s="16" t="n">
        <v>45161</v>
      </c>
      <c r="B185" s="17" t="s">
        <v>17</v>
      </c>
      <c r="C185" s="17" t="s">
        <v>18</v>
      </c>
      <c r="D185" s="17" t="s">
        <v>19</v>
      </c>
      <c r="E185" s="17" t="s">
        <v>89</v>
      </c>
      <c r="F185" s="17" t="s">
        <v>211</v>
      </c>
      <c r="G185" s="18" t="n">
        <v>0</v>
      </c>
      <c r="H185" s="18" t="n">
        <v>470</v>
      </c>
      <c r="I185" s="18" t="n">
        <f aca="false">((I184 + G185) - H185)</f>
        <v>-111519.91</v>
      </c>
      <c r="J185" s="18" t="n">
        <v>-47</v>
      </c>
      <c r="K185" s="19" t="n">
        <v>10</v>
      </c>
      <c r="L185" s="17" t="s">
        <v>22</v>
      </c>
    </row>
    <row r="186" s="11" customFormat="true" ht="10.95" hidden="false" customHeight="true" outlineLevel="0" collapsed="false">
      <c r="A186" s="16" t="n">
        <v>45161</v>
      </c>
      <c r="B186" s="17" t="s">
        <v>17</v>
      </c>
      <c r="C186" s="17" t="s">
        <v>18</v>
      </c>
      <c r="D186" s="17" t="s">
        <v>19</v>
      </c>
      <c r="E186" s="17" t="s">
        <v>87</v>
      </c>
      <c r="F186" s="17" t="s">
        <v>211</v>
      </c>
      <c r="G186" s="18" t="n">
        <v>0</v>
      </c>
      <c r="H186" s="18" t="n">
        <v>110</v>
      </c>
      <c r="I186" s="18" t="n">
        <f aca="false">((I185 + G186) - H186)</f>
        <v>-111629.91</v>
      </c>
      <c r="J186" s="18" t="n">
        <v>0</v>
      </c>
      <c r="K186" s="19" t="n">
        <v>0</v>
      </c>
      <c r="L186" s="17" t="s">
        <v>88</v>
      </c>
    </row>
    <row r="187" s="11" customFormat="true" ht="10.95" hidden="false" customHeight="true" outlineLevel="0" collapsed="false">
      <c r="A187" s="16" t="n">
        <v>45161</v>
      </c>
      <c r="B187" s="17" t="s">
        <v>17</v>
      </c>
      <c r="C187" s="17" t="s">
        <v>18</v>
      </c>
      <c r="D187" s="17" t="s">
        <v>19</v>
      </c>
      <c r="E187" s="17" t="s">
        <v>91</v>
      </c>
      <c r="F187" s="17" t="s">
        <v>212</v>
      </c>
      <c r="G187" s="18" t="n">
        <v>0</v>
      </c>
      <c r="H187" s="18" t="n">
        <v>1786</v>
      </c>
      <c r="I187" s="18" t="n">
        <f aca="false">((I186 + G187) - H187)</f>
        <v>-113415.91</v>
      </c>
      <c r="J187" s="18" t="n">
        <v>-178.6</v>
      </c>
      <c r="K187" s="19" t="n">
        <v>10</v>
      </c>
      <c r="L187" s="17" t="s">
        <v>22</v>
      </c>
    </row>
    <row r="188" s="11" customFormat="true" ht="10.95" hidden="false" customHeight="true" outlineLevel="0" collapsed="false">
      <c r="A188" s="16" t="n">
        <v>45161</v>
      </c>
      <c r="B188" s="17" t="s">
        <v>17</v>
      </c>
      <c r="C188" s="17" t="s">
        <v>18</v>
      </c>
      <c r="D188" s="17" t="s">
        <v>19</v>
      </c>
      <c r="E188" s="17" t="s">
        <v>93</v>
      </c>
      <c r="F188" s="17" t="s">
        <v>212</v>
      </c>
      <c r="G188" s="18" t="n">
        <v>0</v>
      </c>
      <c r="H188" s="18" t="n">
        <v>330</v>
      </c>
      <c r="I188" s="18" t="n">
        <f aca="false">((I187 + G188) - H188)</f>
        <v>-113745.91</v>
      </c>
      <c r="J188" s="18" t="n">
        <v>-33</v>
      </c>
      <c r="K188" s="19" t="n">
        <v>10</v>
      </c>
      <c r="L188" s="17" t="s">
        <v>22</v>
      </c>
    </row>
    <row r="189" s="11" customFormat="true" ht="10.95" hidden="false" customHeight="true" outlineLevel="0" collapsed="false">
      <c r="A189" s="16" t="n">
        <v>45161</v>
      </c>
      <c r="B189" s="17" t="s">
        <v>17</v>
      </c>
      <c r="C189" s="17" t="s">
        <v>18</v>
      </c>
      <c r="D189" s="17" t="s">
        <v>19</v>
      </c>
      <c r="E189" s="17" t="s">
        <v>94</v>
      </c>
      <c r="F189" s="17" t="s">
        <v>212</v>
      </c>
      <c r="G189" s="18" t="n">
        <v>0</v>
      </c>
      <c r="H189" s="18" t="n">
        <v>143</v>
      </c>
      <c r="I189" s="18" t="n">
        <f aca="false">((I188 + G189) - H189)</f>
        <v>-113888.91</v>
      </c>
      <c r="J189" s="18" t="n">
        <v>-14.3</v>
      </c>
      <c r="K189" s="19" t="n">
        <v>10</v>
      </c>
      <c r="L189" s="17" t="s">
        <v>22</v>
      </c>
    </row>
    <row r="190" s="11" customFormat="true" ht="10.95" hidden="false" customHeight="true" outlineLevel="0" collapsed="false">
      <c r="A190" s="16" t="n">
        <v>45161</v>
      </c>
      <c r="B190" s="17" t="s">
        <v>17</v>
      </c>
      <c r="C190" s="17" t="s">
        <v>18</v>
      </c>
      <c r="D190" s="17" t="s">
        <v>19</v>
      </c>
      <c r="E190" s="17" t="s">
        <v>95</v>
      </c>
      <c r="F190" s="17" t="s">
        <v>213</v>
      </c>
      <c r="G190" s="18" t="n">
        <v>0</v>
      </c>
      <c r="H190" s="18" t="n">
        <v>1034</v>
      </c>
      <c r="I190" s="18" t="n">
        <f aca="false">((I189 + G190) - H190)</f>
        <v>-114922.91</v>
      </c>
      <c r="J190" s="18" t="n">
        <v>-103.4</v>
      </c>
      <c r="K190" s="19" t="n">
        <v>10</v>
      </c>
      <c r="L190" s="17" t="s">
        <v>22</v>
      </c>
    </row>
    <row r="191" s="11" customFormat="true" ht="10.95" hidden="false" customHeight="true" outlineLevel="0" collapsed="false">
      <c r="A191" s="16" t="n">
        <v>45161</v>
      </c>
      <c r="B191" s="17" t="s">
        <v>17</v>
      </c>
      <c r="C191" s="17" t="s">
        <v>18</v>
      </c>
      <c r="D191" s="17" t="s">
        <v>19</v>
      </c>
      <c r="E191" s="17" t="s">
        <v>97</v>
      </c>
      <c r="F191" s="17" t="s">
        <v>213</v>
      </c>
      <c r="G191" s="18" t="n">
        <v>0</v>
      </c>
      <c r="H191" s="18" t="n">
        <v>110</v>
      </c>
      <c r="I191" s="18" t="n">
        <f aca="false">((I190 + G191) - H191)</f>
        <v>-115032.91</v>
      </c>
      <c r="J191" s="18" t="n">
        <v>-11</v>
      </c>
      <c r="K191" s="19" t="n">
        <v>10</v>
      </c>
      <c r="L191" s="17" t="s">
        <v>22</v>
      </c>
    </row>
    <row r="192" s="11" customFormat="true" ht="10.95" hidden="false" customHeight="true" outlineLevel="0" collapsed="false">
      <c r="A192" s="16" t="n">
        <v>45161</v>
      </c>
      <c r="B192" s="17" t="s">
        <v>17</v>
      </c>
      <c r="C192" s="17" t="s">
        <v>18</v>
      </c>
      <c r="D192" s="17" t="s">
        <v>19</v>
      </c>
      <c r="E192" s="17" t="s">
        <v>98</v>
      </c>
      <c r="F192" s="17" t="s">
        <v>214</v>
      </c>
      <c r="G192" s="18" t="n">
        <v>0</v>
      </c>
      <c r="H192" s="18" t="n">
        <v>282</v>
      </c>
      <c r="I192" s="18" t="n">
        <f aca="false">((I191 + G192) - H192)</f>
        <v>-115314.91</v>
      </c>
      <c r="J192" s="18" t="n">
        <v>-28.2</v>
      </c>
      <c r="K192" s="19" t="n">
        <v>10</v>
      </c>
      <c r="L192" s="17" t="s">
        <v>22</v>
      </c>
    </row>
    <row r="193" s="11" customFormat="true" ht="10.95" hidden="false" customHeight="true" outlineLevel="0" collapsed="false">
      <c r="A193" s="16" t="n">
        <v>45161</v>
      </c>
      <c r="B193" s="17" t="s">
        <v>17</v>
      </c>
      <c r="C193" s="17" t="s">
        <v>18</v>
      </c>
      <c r="D193" s="17" t="s">
        <v>19</v>
      </c>
      <c r="E193" s="17" t="s">
        <v>100</v>
      </c>
      <c r="F193" s="17" t="s">
        <v>215</v>
      </c>
      <c r="G193" s="18" t="n">
        <v>0</v>
      </c>
      <c r="H193" s="18" t="n">
        <v>282</v>
      </c>
      <c r="I193" s="18" t="n">
        <f aca="false">((I192 + G193) - H193)</f>
        <v>-115596.91</v>
      </c>
      <c r="J193" s="18" t="n">
        <v>-28.2</v>
      </c>
      <c r="K193" s="19" t="n">
        <v>10</v>
      </c>
      <c r="L193" s="17" t="s">
        <v>22</v>
      </c>
    </row>
    <row r="194" s="11" customFormat="true" ht="10.95" hidden="false" customHeight="true" outlineLevel="0" collapsed="false">
      <c r="A194" s="16" t="n">
        <v>45161</v>
      </c>
      <c r="B194" s="17" t="s">
        <v>17</v>
      </c>
      <c r="C194" s="17" t="s">
        <v>18</v>
      </c>
      <c r="D194" s="17" t="s">
        <v>19</v>
      </c>
      <c r="E194" s="17" t="s">
        <v>102</v>
      </c>
      <c r="F194" s="17" t="s">
        <v>216</v>
      </c>
      <c r="G194" s="18" t="n">
        <v>0</v>
      </c>
      <c r="H194" s="18" t="n">
        <v>470</v>
      </c>
      <c r="I194" s="18" t="n">
        <f aca="false">((I193 + G194) - H194)</f>
        <v>-116066.91</v>
      </c>
      <c r="J194" s="18" t="n">
        <v>-47</v>
      </c>
      <c r="K194" s="19" t="n">
        <v>10</v>
      </c>
      <c r="L194" s="17" t="s">
        <v>22</v>
      </c>
    </row>
    <row r="195" s="11" customFormat="true" ht="10.95" hidden="false" customHeight="true" outlineLevel="0" collapsed="false">
      <c r="A195" s="16" t="n">
        <v>45161</v>
      </c>
      <c r="B195" s="17" t="s">
        <v>17</v>
      </c>
      <c r="C195" s="17" t="s">
        <v>18</v>
      </c>
      <c r="D195" s="17" t="s">
        <v>19</v>
      </c>
      <c r="E195" s="17" t="s">
        <v>104</v>
      </c>
      <c r="F195" s="17" t="s">
        <v>217</v>
      </c>
      <c r="G195" s="18" t="n">
        <v>0</v>
      </c>
      <c r="H195" s="18" t="n">
        <v>940</v>
      </c>
      <c r="I195" s="18" t="n">
        <f aca="false">((I194 + G195) - H195)</f>
        <v>-117006.91</v>
      </c>
      <c r="J195" s="18" t="n">
        <v>-94</v>
      </c>
      <c r="K195" s="19" t="n">
        <v>10</v>
      </c>
      <c r="L195" s="17" t="s">
        <v>22</v>
      </c>
    </row>
    <row r="196" s="11" customFormat="true" ht="10.95" hidden="false" customHeight="true" outlineLevel="0" collapsed="false">
      <c r="A196" s="16" t="n">
        <v>45161</v>
      </c>
      <c r="B196" s="17" t="s">
        <v>17</v>
      </c>
      <c r="C196" s="17" t="s">
        <v>18</v>
      </c>
      <c r="D196" s="17" t="s">
        <v>19</v>
      </c>
      <c r="E196" s="17" t="s">
        <v>108</v>
      </c>
      <c r="F196" s="17" t="s">
        <v>218</v>
      </c>
      <c r="G196" s="18" t="n">
        <v>0</v>
      </c>
      <c r="H196" s="18" t="n">
        <v>658</v>
      </c>
      <c r="I196" s="18" t="n">
        <f aca="false">((I195 + G196) - H196)</f>
        <v>-117664.91</v>
      </c>
      <c r="J196" s="18" t="n">
        <v>-65.8</v>
      </c>
      <c r="K196" s="19" t="n">
        <v>10</v>
      </c>
      <c r="L196" s="17" t="s">
        <v>22</v>
      </c>
    </row>
    <row r="197" s="11" customFormat="true" ht="10.95" hidden="false" customHeight="true" outlineLevel="0" collapsed="false">
      <c r="A197" s="16" t="n">
        <v>45161</v>
      </c>
      <c r="B197" s="17" t="s">
        <v>17</v>
      </c>
      <c r="C197" s="17" t="s">
        <v>18</v>
      </c>
      <c r="D197" s="17" t="s">
        <v>19</v>
      </c>
      <c r="E197" s="17" t="s">
        <v>110</v>
      </c>
      <c r="F197" s="17" t="s">
        <v>219</v>
      </c>
      <c r="G197" s="18" t="n">
        <v>0</v>
      </c>
      <c r="H197" s="18" t="n">
        <v>282</v>
      </c>
      <c r="I197" s="18" t="n">
        <f aca="false">((I196 + G197) - H197)</f>
        <v>-117946.91</v>
      </c>
      <c r="J197" s="18" t="n">
        <v>-28.2</v>
      </c>
      <c r="K197" s="19" t="n">
        <v>10</v>
      </c>
      <c r="L197" s="17" t="s">
        <v>22</v>
      </c>
    </row>
    <row r="198" s="11" customFormat="true" ht="10.95" hidden="false" customHeight="true" outlineLevel="0" collapsed="false">
      <c r="A198" s="16" t="n">
        <v>45161</v>
      </c>
      <c r="B198" s="17" t="s">
        <v>17</v>
      </c>
      <c r="C198" s="17" t="s">
        <v>18</v>
      </c>
      <c r="D198" s="17" t="s">
        <v>19</v>
      </c>
      <c r="E198" s="17" t="s">
        <v>112</v>
      </c>
      <c r="F198" s="17" t="s">
        <v>219</v>
      </c>
      <c r="G198" s="18" t="n">
        <v>0</v>
      </c>
      <c r="H198" s="18" t="n">
        <v>45</v>
      </c>
      <c r="I198" s="18" t="n">
        <f aca="false">((I197 + G198) - H198)</f>
        <v>-117991.91</v>
      </c>
      <c r="J198" s="18" t="n">
        <v>-4.5</v>
      </c>
      <c r="K198" s="19" t="n">
        <v>10</v>
      </c>
      <c r="L198" s="17" t="s">
        <v>22</v>
      </c>
    </row>
    <row r="199" s="11" customFormat="true" ht="10.95" hidden="false" customHeight="true" outlineLevel="0" collapsed="false">
      <c r="A199" s="16" t="n">
        <v>45161</v>
      </c>
      <c r="B199" s="17" t="s">
        <v>17</v>
      </c>
      <c r="C199" s="17" t="s">
        <v>18</v>
      </c>
      <c r="D199" s="17" t="s">
        <v>19</v>
      </c>
      <c r="E199" s="17" t="s">
        <v>113</v>
      </c>
      <c r="F199" s="17" t="s">
        <v>219</v>
      </c>
      <c r="G199" s="18" t="n">
        <v>0</v>
      </c>
      <c r="H199" s="18" t="n">
        <v>110</v>
      </c>
      <c r="I199" s="18" t="n">
        <f aca="false">((I198 + G199) - H199)</f>
        <v>-118101.91</v>
      </c>
      <c r="J199" s="18" t="n">
        <v>-11</v>
      </c>
      <c r="K199" s="19" t="n">
        <v>10</v>
      </c>
      <c r="L199" s="17" t="s">
        <v>22</v>
      </c>
    </row>
    <row r="200" s="11" customFormat="true" ht="10.95" hidden="false" customHeight="true" outlineLevel="0" collapsed="false">
      <c r="A200" s="16" t="n">
        <v>45161</v>
      </c>
      <c r="B200" s="17" t="s">
        <v>17</v>
      </c>
      <c r="C200" s="17" t="s">
        <v>18</v>
      </c>
      <c r="D200" s="17" t="s">
        <v>19</v>
      </c>
      <c r="E200" s="17" t="s">
        <v>114</v>
      </c>
      <c r="F200" s="17" t="s">
        <v>220</v>
      </c>
      <c r="G200" s="18" t="n">
        <v>0</v>
      </c>
      <c r="H200" s="18" t="n">
        <v>255</v>
      </c>
      <c r="I200" s="18" t="n">
        <f aca="false">((I199 + G200) - H200)</f>
        <v>-118356.91</v>
      </c>
      <c r="J200" s="18" t="n">
        <v>-25.5</v>
      </c>
      <c r="K200" s="19" t="n">
        <v>10</v>
      </c>
      <c r="L200" s="17" t="s">
        <v>22</v>
      </c>
    </row>
    <row r="201" s="11" customFormat="true" ht="10.95" hidden="false" customHeight="true" outlineLevel="0" collapsed="false">
      <c r="A201" s="16" t="n">
        <v>45161</v>
      </c>
      <c r="B201" s="17" t="s">
        <v>17</v>
      </c>
      <c r="C201" s="17" t="s">
        <v>18</v>
      </c>
      <c r="D201" s="17" t="s">
        <v>19</v>
      </c>
      <c r="E201" s="17" t="s">
        <v>116</v>
      </c>
      <c r="F201" s="17" t="s">
        <v>221</v>
      </c>
      <c r="G201" s="18" t="n">
        <v>0</v>
      </c>
      <c r="H201" s="18" t="n">
        <v>1162</v>
      </c>
      <c r="I201" s="18" t="n">
        <f aca="false">((I200 + G201) - H201)</f>
        <v>-119518.91</v>
      </c>
      <c r="J201" s="18" t="n">
        <v>-116.2</v>
      </c>
      <c r="K201" s="19" t="n">
        <v>10</v>
      </c>
      <c r="L201" s="17" t="s">
        <v>22</v>
      </c>
    </row>
    <row r="202" s="11" customFormat="true" ht="10.95" hidden="false" customHeight="true" outlineLevel="0" collapsed="false">
      <c r="A202" s="16" t="n">
        <v>45161</v>
      </c>
      <c r="B202" s="17" t="s">
        <v>17</v>
      </c>
      <c r="C202" s="17" t="s">
        <v>18</v>
      </c>
      <c r="D202" s="17" t="s">
        <v>19</v>
      </c>
      <c r="E202" s="17" t="s">
        <v>118</v>
      </c>
      <c r="F202" s="17" t="s">
        <v>221</v>
      </c>
      <c r="G202" s="18" t="n">
        <v>0</v>
      </c>
      <c r="H202" s="18" t="n">
        <v>110</v>
      </c>
      <c r="I202" s="18" t="n">
        <f aca="false">((I201 + G202) - H202)</f>
        <v>-119628.91</v>
      </c>
      <c r="J202" s="18" t="n">
        <v>-11</v>
      </c>
      <c r="K202" s="19" t="n">
        <v>10</v>
      </c>
      <c r="L202" s="17" t="s">
        <v>22</v>
      </c>
    </row>
    <row r="203" s="11" customFormat="true" ht="10.95" hidden="false" customHeight="true" outlineLevel="0" collapsed="false">
      <c r="A203" s="16" t="n">
        <v>45161</v>
      </c>
      <c r="B203" s="17" t="s">
        <v>17</v>
      </c>
      <c r="C203" s="17" t="s">
        <v>18</v>
      </c>
      <c r="D203" s="17" t="s">
        <v>19</v>
      </c>
      <c r="E203" s="17" t="s">
        <v>119</v>
      </c>
      <c r="F203" s="17" t="s">
        <v>222</v>
      </c>
      <c r="G203" s="18" t="n">
        <v>0</v>
      </c>
      <c r="H203" s="18" t="n">
        <v>332</v>
      </c>
      <c r="I203" s="18" t="n">
        <f aca="false">((I202 + G203) - H203)</f>
        <v>-119960.91</v>
      </c>
      <c r="J203" s="18" t="n">
        <v>-33.2</v>
      </c>
      <c r="K203" s="19" t="n">
        <v>10</v>
      </c>
      <c r="L203" s="17" t="s">
        <v>22</v>
      </c>
    </row>
    <row r="204" s="11" customFormat="true" ht="10.95" hidden="false" customHeight="true" outlineLevel="0" collapsed="false">
      <c r="A204" s="16" t="n">
        <v>45161</v>
      </c>
      <c r="B204" s="17" t="s">
        <v>17</v>
      </c>
      <c r="C204" s="17" t="s">
        <v>18</v>
      </c>
      <c r="D204" s="17" t="s">
        <v>19</v>
      </c>
      <c r="E204" s="17" t="s">
        <v>121</v>
      </c>
      <c r="F204" s="17" t="s">
        <v>222</v>
      </c>
      <c r="G204" s="18" t="n">
        <v>0</v>
      </c>
      <c r="H204" s="18" t="n">
        <v>1743</v>
      </c>
      <c r="I204" s="18" t="n">
        <f aca="false">((I203 + G204) - H204)</f>
        <v>-121703.91</v>
      </c>
      <c r="J204" s="18" t="n">
        <v>-174.3</v>
      </c>
      <c r="K204" s="19" t="n">
        <v>10</v>
      </c>
      <c r="L204" s="17" t="s">
        <v>22</v>
      </c>
    </row>
    <row r="205" s="11" customFormat="true" ht="10.95" hidden="false" customHeight="true" outlineLevel="0" collapsed="false">
      <c r="A205" s="16" t="n">
        <v>45161</v>
      </c>
      <c r="B205" s="17" t="s">
        <v>17</v>
      </c>
      <c r="C205" s="17" t="s">
        <v>18</v>
      </c>
      <c r="D205" s="17" t="s">
        <v>19</v>
      </c>
      <c r="E205" s="17" t="s">
        <v>122</v>
      </c>
      <c r="F205" s="17" t="s">
        <v>222</v>
      </c>
      <c r="G205" s="18" t="n">
        <v>0</v>
      </c>
      <c r="H205" s="18" t="n">
        <v>332</v>
      </c>
      <c r="I205" s="18" t="n">
        <f aca="false">((I204 + G205) - H205)</f>
        <v>-122035.91</v>
      </c>
      <c r="J205" s="18" t="n">
        <v>-33.2</v>
      </c>
      <c r="K205" s="19" t="n">
        <v>10</v>
      </c>
      <c r="L205" s="17" t="s">
        <v>22</v>
      </c>
    </row>
    <row r="206" s="11" customFormat="true" ht="10.95" hidden="false" customHeight="true" outlineLevel="0" collapsed="false">
      <c r="A206" s="16" t="n">
        <v>45161</v>
      </c>
      <c r="B206" s="17" t="s">
        <v>17</v>
      </c>
      <c r="C206" s="17" t="s">
        <v>18</v>
      </c>
      <c r="D206" s="17" t="s">
        <v>19</v>
      </c>
      <c r="E206" s="17" t="s">
        <v>123</v>
      </c>
      <c r="F206" s="17" t="s">
        <v>222</v>
      </c>
      <c r="G206" s="18" t="n">
        <v>0</v>
      </c>
      <c r="H206" s="18" t="n">
        <v>581</v>
      </c>
      <c r="I206" s="18" t="n">
        <f aca="false">((I205 + G206) - H206)</f>
        <v>-122616.91</v>
      </c>
      <c r="J206" s="18" t="n">
        <v>-58.1</v>
      </c>
      <c r="K206" s="19" t="n">
        <v>10</v>
      </c>
      <c r="L206" s="17" t="s">
        <v>22</v>
      </c>
    </row>
    <row r="207" s="11" customFormat="true" ht="10.95" hidden="false" customHeight="true" outlineLevel="0" collapsed="false">
      <c r="A207" s="16" t="n">
        <v>45161</v>
      </c>
      <c r="B207" s="17" t="s">
        <v>17</v>
      </c>
      <c r="C207" s="17" t="s">
        <v>18</v>
      </c>
      <c r="D207" s="17" t="s">
        <v>19</v>
      </c>
      <c r="E207" s="17" t="s">
        <v>124</v>
      </c>
      <c r="F207" s="17" t="s">
        <v>222</v>
      </c>
      <c r="G207" s="18" t="n">
        <v>0</v>
      </c>
      <c r="H207" s="18" t="n">
        <v>249</v>
      </c>
      <c r="I207" s="18" t="n">
        <f aca="false">((I206 + G207) - H207)</f>
        <v>-122865.91</v>
      </c>
      <c r="J207" s="18" t="n">
        <v>-24.9</v>
      </c>
      <c r="K207" s="19" t="n">
        <v>10</v>
      </c>
      <c r="L207" s="17" t="s">
        <v>22</v>
      </c>
    </row>
    <row r="208" s="11" customFormat="true" ht="10.95" hidden="false" customHeight="true" outlineLevel="0" collapsed="false">
      <c r="A208" s="16" t="n">
        <v>45161</v>
      </c>
      <c r="B208" s="17" t="s">
        <v>17</v>
      </c>
      <c r="C208" s="17" t="s">
        <v>18</v>
      </c>
      <c r="D208" s="17" t="s">
        <v>19</v>
      </c>
      <c r="E208" s="17" t="s">
        <v>125</v>
      </c>
      <c r="F208" s="17" t="s">
        <v>222</v>
      </c>
      <c r="G208" s="18" t="n">
        <v>0</v>
      </c>
      <c r="H208" s="18" t="n">
        <v>83</v>
      </c>
      <c r="I208" s="18" t="n">
        <f aca="false">((I207 + G208) - H208)</f>
        <v>-122948.91</v>
      </c>
      <c r="J208" s="18" t="n">
        <v>-8.3</v>
      </c>
      <c r="K208" s="19" t="n">
        <v>10</v>
      </c>
      <c r="L208" s="17" t="s">
        <v>22</v>
      </c>
    </row>
    <row r="209" s="11" customFormat="true" ht="10.95" hidden="false" customHeight="true" outlineLevel="0" collapsed="false">
      <c r="A209" s="16" t="n">
        <v>45161</v>
      </c>
      <c r="B209" s="17" t="s">
        <v>17</v>
      </c>
      <c r="C209" s="17" t="s">
        <v>18</v>
      </c>
      <c r="D209" s="17" t="s">
        <v>19</v>
      </c>
      <c r="E209" s="17" t="s">
        <v>126</v>
      </c>
      <c r="F209" s="17" t="s">
        <v>222</v>
      </c>
      <c r="G209" s="18" t="n">
        <v>0</v>
      </c>
      <c r="H209" s="18" t="n">
        <v>94.5</v>
      </c>
      <c r="I209" s="18" t="n">
        <f aca="false">((I208 + G209) - H209)</f>
        <v>-123043.41</v>
      </c>
      <c r="J209" s="18" t="n">
        <v>-9.45</v>
      </c>
      <c r="K209" s="19" t="n">
        <v>10</v>
      </c>
      <c r="L209" s="17" t="s">
        <v>22</v>
      </c>
    </row>
    <row r="210" s="11" customFormat="true" ht="10.95" hidden="false" customHeight="true" outlineLevel="0" collapsed="false">
      <c r="A210" s="16" t="n">
        <v>45161</v>
      </c>
      <c r="B210" s="17" t="s">
        <v>17</v>
      </c>
      <c r="C210" s="17" t="s">
        <v>18</v>
      </c>
      <c r="D210" s="17" t="s">
        <v>19</v>
      </c>
      <c r="E210" s="17" t="s">
        <v>127</v>
      </c>
      <c r="F210" s="17" t="s">
        <v>222</v>
      </c>
      <c r="G210" s="18" t="n">
        <v>0</v>
      </c>
      <c r="H210" s="18" t="n">
        <v>83</v>
      </c>
      <c r="I210" s="18" t="n">
        <f aca="false">((I209 + G210) - H210)</f>
        <v>-123126.41</v>
      </c>
      <c r="J210" s="18" t="n">
        <v>-8.3</v>
      </c>
      <c r="K210" s="19" t="n">
        <v>10</v>
      </c>
      <c r="L210" s="17" t="s">
        <v>22</v>
      </c>
    </row>
    <row r="211" s="11" customFormat="true" ht="10.95" hidden="false" customHeight="true" outlineLevel="0" collapsed="false">
      <c r="A211" s="16" t="n">
        <v>45161</v>
      </c>
      <c r="B211" s="17" t="s">
        <v>17</v>
      </c>
      <c r="C211" s="17" t="s">
        <v>18</v>
      </c>
      <c r="D211" s="17" t="s">
        <v>19</v>
      </c>
      <c r="E211" s="17" t="s">
        <v>128</v>
      </c>
      <c r="F211" s="17" t="s">
        <v>222</v>
      </c>
      <c r="G211" s="18" t="n">
        <v>0</v>
      </c>
      <c r="H211" s="18" t="n">
        <v>83</v>
      </c>
      <c r="I211" s="18" t="n">
        <f aca="false">((I210 + G211) - H211)</f>
        <v>-123209.41</v>
      </c>
      <c r="J211" s="18" t="n">
        <v>-8.3</v>
      </c>
      <c r="K211" s="19" t="n">
        <v>10</v>
      </c>
      <c r="L211" s="17" t="s">
        <v>22</v>
      </c>
    </row>
    <row r="212" s="11" customFormat="true" ht="10.95" hidden="false" customHeight="true" outlineLevel="0" collapsed="false">
      <c r="A212" s="16" t="n">
        <v>45161</v>
      </c>
      <c r="B212" s="17" t="s">
        <v>17</v>
      </c>
      <c r="C212" s="17" t="s">
        <v>18</v>
      </c>
      <c r="D212" s="17" t="s">
        <v>19</v>
      </c>
      <c r="E212" s="17" t="s">
        <v>129</v>
      </c>
      <c r="F212" s="17" t="s">
        <v>222</v>
      </c>
      <c r="G212" s="18" t="n">
        <v>0</v>
      </c>
      <c r="H212" s="18" t="n">
        <v>166</v>
      </c>
      <c r="I212" s="18" t="n">
        <f aca="false">((I211 + G212) - H212)</f>
        <v>-123375.41</v>
      </c>
      <c r="J212" s="18" t="n">
        <v>-16.6</v>
      </c>
      <c r="K212" s="19" t="n">
        <v>10</v>
      </c>
      <c r="L212" s="17" t="s">
        <v>22</v>
      </c>
    </row>
    <row r="213" s="11" customFormat="true" ht="10.95" hidden="false" customHeight="true" outlineLevel="0" collapsed="false">
      <c r="A213" s="16" t="n">
        <v>45161</v>
      </c>
      <c r="B213" s="17" t="s">
        <v>17</v>
      </c>
      <c r="C213" s="17" t="s">
        <v>18</v>
      </c>
      <c r="D213" s="17" t="s">
        <v>19</v>
      </c>
      <c r="E213" s="17" t="s">
        <v>130</v>
      </c>
      <c r="F213" s="17" t="s">
        <v>222</v>
      </c>
      <c r="G213" s="18" t="n">
        <v>0</v>
      </c>
      <c r="H213" s="18" t="n">
        <v>664</v>
      </c>
      <c r="I213" s="18" t="n">
        <f aca="false">((I212 + G213) - H213)</f>
        <v>-124039.41</v>
      </c>
      <c r="J213" s="18" t="n">
        <v>-66.4</v>
      </c>
      <c r="K213" s="19" t="n">
        <v>10</v>
      </c>
      <c r="L213" s="17" t="s">
        <v>22</v>
      </c>
    </row>
    <row r="214" s="11" customFormat="true" ht="10.95" hidden="false" customHeight="true" outlineLevel="0" collapsed="false">
      <c r="A214" s="16" t="n">
        <v>45161</v>
      </c>
      <c r="B214" s="17" t="s">
        <v>17</v>
      </c>
      <c r="C214" s="17" t="s">
        <v>18</v>
      </c>
      <c r="D214" s="17" t="s">
        <v>19</v>
      </c>
      <c r="E214" s="17" t="s">
        <v>131</v>
      </c>
      <c r="F214" s="17" t="s">
        <v>222</v>
      </c>
      <c r="G214" s="18" t="n">
        <v>0</v>
      </c>
      <c r="H214" s="18" t="n">
        <v>94.5</v>
      </c>
      <c r="I214" s="18" t="n">
        <f aca="false">((I213 + G214) - H214)</f>
        <v>-124133.91</v>
      </c>
      <c r="J214" s="18" t="n">
        <v>-9.45</v>
      </c>
      <c r="K214" s="19" t="n">
        <v>10</v>
      </c>
      <c r="L214" s="17" t="s">
        <v>22</v>
      </c>
    </row>
    <row r="215" s="11" customFormat="true" ht="10.95" hidden="false" customHeight="true" outlineLevel="0" collapsed="false">
      <c r="A215" s="16" t="n">
        <v>45161</v>
      </c>
      <c r="B215" s="17" t="s">
        <v>17</v>
      </c>
      <c r="C215" s="17" t="s">
        <v>18</v>
      </c>
      <c r="D215" s="17" t="s">
        <v>19</v>
      </c>
      <c r="E215" s="17" t="s">
        <v>132</v>
      </c>
      <c r="F215" s="17" t="s">
        <v>222</v>
      </c>
      <c r="G215" s="18" t="n">
        <v>0</v>
      </c>
      <c r="H215" s="18" t="n">
        <v>100</v>
      </c>
      <c r="I215" s="18" t="n">
        <f aca="false">((I214 + G215) - H215)</f>
        <v>-124233.91</v>
      </c>
      <c r="J215" s="18" t="n">
        <v>-10</v>
      </c>
      <c r="K215" s="19" t="n">
        <v>10</v>
      </c>
      <c r="L215" s="17" t="s">
        <v>22</v>
      </c>
    </row>
    <row r="216" s="11" customFormat="true" ht="10.95" hidden="false" customHeight="true" outlineLevel="0" collapsed="false">
      <c r="A216" s="16" t="n">
        <v>45161</v>
      </c>
      <c r="B216" s="17" t="s">
        <v>17</v>
      </c>
      <c r="C216" s="17" t="s">
        <v>18</v>
      </c>
      <c r="D216" s="17" t="s">
        <v>19</v>
      </c>
      <c r="E216" s="17" t="s">
        <v>133</v>
      </c>
      <c r="F216" s="17" t="s">
        <v>222</v>
      </c>
      <c r="G216" s="18" t="n">
        <v>0</v>
      </c>
      <c r="H216" s="18" t="n">
        <v>83</v>
      </c>
      <c r="I216" s="18" t="n">
        <f aca="false">((I215 + G216) - H216)</f>
        <v>-124316.91</v>
      </c>
      <c r="J216" s="18" t="n">
        <v>-8.3</v>
      </c>
      <c r="K216" s="19" t="n">
        <v>10</v>
      </c>
      <c r="L216" s="17" t="s">
        <v>22</v>
      </c>
    </row>
    <row r="217" s="11" customFormat="true" ht="10.95" hidden="false" customHeight="true" outlineLevel="0" collapsed="false">
      <c r="A217" s="16" t="n">
        <v>45161</v>
      </c>
      <c r="B217" s="17" t="s">
        <v>17</v>
      </c>
      <c r="C217" s="17" t="s">
        <v>18</v>
      </c>
      <c r="D217" s="17" t="s">
        <v>19</v>
      </c>
      <c r="E217" s="17" t="s">
        <v>134</v>
      </c>
      <c r="F217" s="17" t="s">
        <v>222</v>
      </c>
      <c r="G217" s="18" t="n">
        <v>0</v>
      </c>
      <c r="H217" s="18" t="n">
        <v>100</v>
      </c>
      <c r="I217" s="18" t="n">
        <f aca="false">((I216 + G217) - H217)</f>
        <v>-124416.91</v>
      </c>
      <c r="J217" s="18" t="n">
        <v>-10</v>
      </c>
      <c r="K217" s="19" t="n">
        <v>10</v>
      </c>
      <c r="L217" s="17" t="s">
        <v>22</v>
      </c>
    </row>
    <row r="218" s="11" customFormat="true" ht="10.95" hidden="false" customHeight="true" outlineLevel="0" collapsed="false">
      <c r="A218" s="16" t="n">
        <v>45161</v>
      </c>
      <c r="B218" s="17" t="s">
        <v>17</v>
      </c>
      <c r="C218" s="17" t="s">
        <v>18</v>
      </c>
      <c r="D218" s="17" t="s">
        <v>19</v>
      </c>
      <c r="E218" s="17" t="s">
        <v>135</v>
      </c>
      <c r="F218" s="17" t="s">
        <v>222</v>
      </c>
      <c r="G218" s="18" t="n">
        <v>0</v>
      </c>
      <c r="H218" s="18" t="n">
        <v>332</v>
      </c>
      <c r="I218" s="18" t="n">
        <f aca="false">((I217 + G218) - H218)</f>
        <v>-124748.91</v>
      </c>
      <c r="J218" s="18" t="n">
        <v>-33.2</v>
      </c>
      <c r="K218" s="19" t="n">
        <v>10</v>
      </c>
      <c r="L218" s="17" t="s">
        <v>22</v>
      </c>
    </row>
    <row r="219" s="11" customFormat="true" ht="10.95" hidden="false" customHeight="true" outlineLevel="0" collapsed="false">
      <c r="A219" s="16" t="n">
        <v>45161</v>
      </c>
      <c r="B219" s="17" t="s">
        <v>17</v>
      </c>
      <c r="C219" s="17" t="s">
        <v>18</v>
      </c>
      <c r="D219" s="17" t="s">
        <v>19</v>
      </c>
      <c r="E219" s="17" t="s">
        <v>136</v>
      </c>
      <c r="F219" s="17" t="s">
        <v>222</v>
      </c>
      <c r="G219" s="18" t="n">
        <v>0</v>
      </c>
      <c r="H219" s="18" t="n">
        <v>498</v>
      </c>
      <c r="I219" s="18" t="n">
        <f aca="false">((I218 + G219) - H219)</f>
        <v>-125246.91</v>
      </c>
      <c r="J219" s="18" t="n">
        <v>-49.8</v>
      </c>
      <c r="K219" s="19" t="n">
        <v>10</v>
      </c>
      <c r="L219" s="17" t="s">
        <v>22</v>
      </c>
    </row>
    <row r="220" s="11" customFormat="true" ht="10.95" hidden="false" customHeight="true" outlineLevel="0" collapsed="false">
      <c r="A220" s="16" t="n">
        <v>45161</v>
      </c>
      <c r="B220" s="17" t="s">
        <v>17</v>
      </c>
      <c r="C220" s="17" t="s">
        <v>18</v>
      </c>
      <c r="D220" s="17" t="s">
        <v>19</v>
      </c>
      <c r="E220" s="17" t="s">
        <v>137</v>
      </c>
      <c r="F220" s="17" t="s">
        <v>222</v>
      </c>
      <c r="G220" s="18" t="n">
        <v>0</v>
      </c>
      <c r="H220" s="18" t="n">
        <v>498</v>
      </c>
      <c r="I220" s="18" t="n">
        <f aca="false">((I219 + G220) - H220)</f>
        <v>-125744.91</v>
      </c>
      <c r="J220" s="18" t="n">
        <v>-49.8</v>
      </c>
      <c r="K220" s="19" t="n">
        <v>10</v>
      </c>
      <c r="L220" s="17" t="s">
        <v>22</v>
      </c>
    </row>
    <row r="221" s="11" customFormat="true" ht="10.95" hidden="false" customHeight="true" outlineLevel="0" collapsed="false">
      <c r="A221" s="16" t="n">
        <v>45161</v>
      </c>
      <c r="B221" s="17" t="s">
        <v>17</v>
      </c>
      <c r="C221" s="17" t="s">
        <v>18</v>
      </c>
      <c r="D221" s="17" t="s">
        <v>19</v>
      </c>
      <c r="E221" s="17" t="s">
        <v>138</v>
      </c>
      <c r="F221" s="17" t="s">
        <v>222</v>
      </c>
      <c r="G221" s="18" t="n">
        <v>0</v>
      </c>
      <c r="H221" s="18" t="n">
        <v>166</v>
      </c>
      <c r="I221" s="18" t="n">
        <f aca="false">((I220 + G221) - H221)</f>
        <v>-125910.91</v>
      </c>
      <c r="J221" s="18" t="n">
        <v>-16.6</v>
      </c>
      <c r="K221" s="19" t="n">
        <v>10</v>
      </c>
      <c r="L221" s="17" t="s">
        <v>22</v>
      </c>
    </row>
    <row r="222" s="11" customFormat="true" ht="10.95" hidden="false" customHeight="true" outlineLevel="0" collapsed="false">
      <c r="A222" s="16" t="n">
        <v>45161</v>
      </c>
      <c r="B222" s="17" t="s">
        <v>17</v>
      </c>
      <c r="C222" s="17" t="s">
        <v>18</v>
      </c>
      <c r="D222" s="17" t="s">
        <v>19</v>
      </c>
      <c r="E222" s="17" t="s">
        <v>139</v>
      </c>
      <c r="F222" s="17" t="s">
        <v>222</v>
      </c>
      <c r="G222" s="18" t="n">
        <v>0</v>
      </c>
      <c r="H222" s="18" t="n">
        <v>332</v>
      </c>
      <c r="I222" s="18" t="n">
        <f aca="false">((I221 + G222) - H222)</f>
        <v>-126242.91</v>
      </c>
      <c r="J222" s="18" t="n">
        <v>-33.2</v>
      </c>
      <c r="K222" s="19" t="n">
        <v>10</v>
      </c>
      <c r="L222" s="17" t="s">
        <v>22</v>
      </c>
    </row>
    <row r="223" s="11" customFormat="true" ht="10.95" hidden="false" customHeight="true" outlineLevel="0" collapsed="false">
      <c r="A223" s="16" t="n">
        <v>45161</v>
      </c>
      <c r="B223" s="17" t="s">
        <v>17</v>
      </c>
      <c r="C223" s="17" t="s">
        <v>18</v>
      </c>
      <c r="D223" s="17" t="s">
        <v>19</v>
      </c>
      <c r="E223" s="17" t="s">
        <v>140</v>
      </c>
      <c r="F223" s="17" t="s">
        <v>222</v>
      </c>
      <c r="G223" s="18" t="n">
        <v>0</v>
      </c>
      <c r="H223" s="18" t="n">
        <v>166</v>
      </c>
      <c r="I223" s="18" t="n">
        <f aca="false">((I222 + G223) - H223)</f>
        <v>-126408.91</v>
      </c>
      <c r="J223" s="18" t="n">
        <v>-16.6</v>
      </c>
      <c r="K223" s="19" t="n">
        <v>10</v>
      </c>
      <c r="L223" s="17" t="s">
        <v>22</v>
      </c>
    </row>
    <row r="224" s="11" customFormat="true" ht="10.95" hidden="false" customHeight="true" outlineLevel="0" collapsed="false">
      <c r="A224" s="16" t="n">
        <v>45161</v>
      </c>
      <c r="B224" s="17" t="s">
        <v>17</v>
      </c>
      <c r="C224" s="17" t="s">
        <v>18</v>
      </c>
      <c r="D224" s="17" t="s">
        <v>19</v>
      </c>
      <c r="E224" s="17" t="s">
        <v>141</v>
      </c>
      <c r="F224" s="17" t="s">
        <v>222</v>
      </c>
      <c r="G224" s="18" t="n">
        <v>0</v>
      </c>
      <c r="H224" s="18" t="n">
        <v>249</v>
      </c>
      <c r="I224" s="18" t="n">
        <f aca="false">((I223 + G224) - H224)</f>
        <v>-126657.91</v>
      </c>
      <c r="J224" s="18" t="n">
        <v>-24.9</v>
      </c>
      <c r="K224" s="19" t="n">
        <v>10</v>
      </c>
      <c r="L224" s="17" t="s">
        <v>22</v>
      </c>
    </row>
    <row r="225" s="11" customFormat="true" ht="10.95" hidden="false" customHeight="true" outlineLevel="0" collapsed="false">
      <c r="A225" s="16" t="n">
        <v>45161</v>
      </c>
      <c r="B225" s="17" t="s">
        <v>17</v>
      </c>
      <c r="C225" s="17" t="s">
        <v>18</v>
      </c>
      <c r="D225" s="17" t="s">
        <v>19</v>
      </c>
      <c r="E225" s="17" t="s">
        <v>142</v>
      </c>
      <c r="F225" s="17" t="s">
        <v>222</v>
      </c>
      <c r="G225" s="18" t="n">
        <v>0</v>
      </c>
      <c r="H225" s="18" t="n">
        <v>249</v>
      </c>
      <c r="I225" s="18" t="n">
        <f aca="false">((I224 + G225) - H225)</f>
        <v>-126906.91</v>
      </c>
      <c r="J225" s="18" t="n">
        <v>-24.9</v>
      </c>
      <c r="K225" s="19" t="n">
        <v>10</v>
      </c>
      <c r="L225" s="17" t="s">
        <v>22</v>
      </c>
    </row>
    <row r="226" s="11" customFormat="true" ht="10.95" hidden="false" customHeight="true" outlineLevel="0" collapsed="false">
      <c r="A226" s="16" t="n">
        <v>45161</v>
      </c>
      <c r="B226" s="17" t="s">
        <v>17</v>
      </c>
      <c r="C226" s="17" t="s">
        <v>18</v>
      </c>
      <c r="D226" s="17" t="s">
        <v>19</v>
      </c>
      <c r="E226" s="17" t="s">
        <v>143</v>
      </c>
      <c r="F226" s="17" t="s">
        <v>222</v>
      </c>
      <c r="G226" s="18" t="n">
        <v>0</v>
      </c>
      <c r="H226" s="18" t="n">
        <v>94.5</v>
      </c>
      <c r="I226" s="18" t="n">
        <f aca="false">((I225 + G226) - H226)</f>
        <v>-127001.41</v>
      </c>
      <c r="J226" s="18" t="n">
        <v>-9.45</v>
      </c>
      <c r="K226" s="19" t="n">
        <v>10</v>
      </c>
      <c r="L226" s="17" t="s">
        <v>22</v>
      </c>
    </row>
    <row r="227" s="11" customFormat="true" ht="10.95" hidden="false" customHeight="true" outlineLevel="0" collapsed="false">
      <c r="A227" s="16" t="n">
        <v>45161</v>
      </c>
      <c r="B227" s="17" t="s">
        <v>17</v>
      </c>
      <c r="C227" s="17" t="s">
        <v>18</v>
      </c>
      <c r="D227" s="17" t="s">
        <v>19</v>
      </c>
      <c r="E227" s="17" t="s">
        <v>144</v>
      </c>
      <c r="F227" s="17" t="s">
        <v>222</v>
      </c>
      <c r="G227" s="18" t="n">
        <v>0</v>
      </c>
      <c r="H227" s="18" t="n">
        <v>1660</v>
      </c>
      <c r="I227" s="18" t="n">
        <f aca="false">((I226 + G227) - H227)</f>
        <v>-128661.41</v>
      </c>
      <c r="J227" s="18" t="n">
        <v>-166</v>
      </c>
      <c r="K227" s="19" t="n">
        <v>10</v>
      </c>
      <c r="L227" s="17" t="s">
        <v>22</v>
      </c>
    </row>
    <row r="228" s="11" customFormat="true" ht="10.95" hidden="false" customHeight="true" outlineLevel="0" collapsed="false">
      <c r="A228" s="16" t="n">
        <v>45161</v>
      </c>
      <c r="B228" s="17" t="s">
        <v>17</v>
      </c>
      <c r="C228" s="17" t="s">
        <v>18</v>
      </c>
      <c r="D228" s="17" t="s">
        <v>19</v>
      </c>
      <c r="E228" s="17" t="s">
        <v>145</v>
      </c>
      <c r="F228" s="17" t="s">
        <v>222</v>
      </c>
      <c r="G228" s="18" t="n">
        <v>0</v>
      </c>
      <c r="H228" s="18" t="n">
        <v>166</v>
      </c>
      <c r="I228" s="18" t="n">
        <f aca="false">((I227 + G228) - H228)</f>
        <v>-128827.41</v>
      </c>
      <c r="J228" s="18" t="n">
        <v>-16.6</v>
      </c>
      <c r="K228" s="19" t="n">
        <v>10</v>
      </c>
      <c r="L228" s="17" t="s">
        <v>22</v>
      </c>
    </row>
    <row r="229" s="11" customFormat="true" ht="10.95" hidden="false" customHeight="true" outlineLevel="0" collapsed="false">
      <c r="A229" s="16" t="n">
        <v>45161</v>
      </c>
      <c r="B229" s="17" t="s">
        <v>17</v>
      </c>
      <c r="C229" s="17" t="s">
        <v>18</v>
      </c>
      <c r="D229" s="17" t="s">
        <v>19</v>
      </c>
      <c r="E229" s="17" t="s">
        <v>146</v>
      </c>
      <c r="F229" s="17" t="s">
        <v>222</v>
      </c>
      <c r="G229" s="18" t="n">
        <v>0</v>
      </c>
      <c r="H229" s="18" t="n">
        <v>30</v>
      </c>
      <c r="I229" s="18" t="n">
        <f aca="false">((I228 + G229) - H229)</f>
        <v>-128857.41</v>
      </c>
      <c r="J229" s="18" t="n">
        <v>-3</v>
      </c>
      <c r="K229" s="19" t="n">
        <v>10</v>
      </c>
      <c r="L229" s="17" t="s">
        <v>22</v>
      </c>
    </row>
    <row r="230" s="11" customFormat="true" ht="10.95" hidden="false" customHeight="true" outlineLevel="0" collapsed="false">
      <c r="A230" s="16" t="n">
        <v>45161</v>
      </c>
      <c r="B230" s="17" t="s">
        <v>17</v>
      </c>
      <c r="C230" s="17" t="s">
        <v>18</v>
      </c>
      <c r="D230" s="17" t="s">
        <v>19</v>
      </c>
      <c r="E230" s="17" t="s">
        <v>147</v>
      </c>
      <c r="F230" s="17" t="s">
        <v>222</v>
      </c>
      <c r="G230" s="18" t="n">
        <v>0</v>
      </c>
      <c r="H230" s="18" t="n">
        <v>83</v>
      </c>
      <c r="I230" s="18" t="n">
        <f aca="false">((I229 + G230) - H230)</f>
        <v>-128940.41</v>
      </c>
      <c r="J230" s="18" t="n">
        <v>-8.3</v>
      </c>
      <c r="K230" s="19" t="n">
        <v>10</v>
      </c>
      <c r="L230" s="17" t="s">
        <v>22</v>
      </c>
    </row>
    <row r="231" s="11" customFormat="true" ht="10.95" hidden="false" customHeight="true" outlineLevel="0" collapsed="false">
      <c r="A231" s="16" t="n">
        <v>45161</v>
      </c>
      <c r="B231" s="17" t="s">
        <v>17</v>
      </c>
      <c r="C231" s="17" t="s">
        <v>18</v>
      </c>
      <c r="D231" s="17" t="s">
        <v>19</v>
      </c>
      <c r="E231" s="17" t="s">
        <v>148</v>
      </c>
      <c r="F231" s="17" t="s">
        <v>222</v>
      </c>
      <c r="G231" s="18" t="n">
        <v>0</v>
      </c>
      <c r="H231" s="18" t="n">
        <v>1162</v>
      </c>
      <c r="I231" s="18" t="n">
        <f aca="false">((I230 + G231) - H231)</f>
        <v>-130102.41</v>
      </c>
      <c r="J231" s="18" t="n">
        <v>-116.2</v>
      </c>
      <c r="K231" s="19" t="n">
        <v>10</v>
      </c>
      <c r="L231" s="17" t="s">
        <v>22</v>
      </c>
    </row>
    <row r="232" s="11" customFormat="true" ht="10.95" hidden="false" customHeight="true" outlineLevel="0" collapsed="false">
      <c r="A232" s="16" t="n">
        <v>45161</v>
      </c>
      <c r="B232" s="17" t="s">
        <v>17</v>
      </c>
      <c r="C232" s="17" t="s">
        <v>18</v>
      </c>
      <c r="D232" s="17" t="s">
        <v>19</v>
      </c>
      <c r="E232" s="17" t="s">
        <v>149</v>
      </c>
      <c r="F232" s="17" t="s">
        <v>222</v>
      </c>
      <c r="G232" s="18" t="n">
        <v>0</v>
      </c>
      <c r="H232" s="18" t="n">
        <v>360</v>
      </c>
      <c r="I232" s="18" t="n">
        <f aca="false">((I231 + G232) - H232)</f>
        <v>-130462.41</v>
      </c>
      <c r="J232" s="18" t="n">
        <v>-36</v>
      </c>
      <c r="K232" s="19" t="n">
        <v>10</v>
      </c>
      <c r="L232" s="17" t="s">
        <v>22</v>
      </c>
    </row>
    <row r="233" s="11" customFormat="true" ht="10.95" hidden="false" customHeight="true" outlineLevel="0" collapsed="false">
      <c r="A233" s="16" t="n">
        <v>45161</v>
      </c>
      <c r="B233" s="17" t="s">
        <v>17</v>
      </c>
      <c r="C233" s="17" t="s">
        <v>18</v>
      </c>
      <c r="D233" s="17" t="s">
        <v>19</v>
      </c>
      <c r="E233" s="17" t="s">
        <v>150</v>
      </c>
      <c r="F233" s="17" t="s">
        <v>222</v>
      </c>
      <c r="G233" s="18" t="n">
        <v>0</v>
      </c>
      <c r="H233" s="18" t="n">
        <v>288</v>
      </c>
      <c r="I233" s="18" t="n">
        <f aca="false">((I232 + G233) - H233)</f>
        <v>-130750.41</v>
      </c>
      <c r="J233" s="18" t="n">
        <v>-28.8</v>
      </c>
      <c r="K233" s="19" t="n">
        <v>10</v>
      </c>
      <c r="L233" s="17" t="s">
        <v>22</v>
      </c>
    </row>
    <row r="234" s="11" customFormat="true" ht="10.95" hidden="false" customHeight="true" outlineLevel="0" collapsed="false">
      <c r="A234" s="16" t="n">
        <v>45161</v>
      </c>
      <c r="B234" s="17" t="s">
        <v>17</v>
      </c>
      <c r="C234" s="17" t="s">
        <v>18</v>
      </c>
      <c r="D234" s="17" t="s">
        <v>19</v>
      </c>
      <c r="E234" s="17" t="s">
        <v>151</v>
      </c>
      <c r="F234" s="17" t="s">
        <v>222</v>
      </c>
      <c r="G234" s="18" t="n">
        <v>0</v>
      </c>
      <c r="H234" s="18" t="n">
        <v>100</v>
      </c>
      <c r="I234" s="18" t="n">
        <f aca="false">((I233 + G234) - H234)</f>
        <v>-130850.41</v>
      </c>
      <c r="J234" s="18" t="n">
        <v>-10</v>
      </c>
      <c r="K234" s="19" t="n">
        <v>10</v>
      </c>
      <c r="L234" s="17" t="s">
        <v>22</v>
      </c>
    </row>
    <row r="235" s="11" customFormat="true" ht="10.95" hidden="false" customHeight="true" outlineLevel="0" collapsed="false">
      <c r="A235" s="16" t="n">
        <v>45161</v>
      </c>
      <c r="B235" s="17" t="s">
        <v>17</v>
      </c>
      <c r="C235" s="17" t="s">
        <v>18</v>
      </c>
      <c r="D235" s="17" t="s">
        <v>19</v>
      </c>
      <c r="E235" s="17" t="s">
        <v>152</v>
      </c>
      <c r="F235" s="17" t="s">
        <v>222</v>
      </c>
      <c r="G235" s="18" t="n">
        <v>0</v>
      </c>
      <c r="H235" s="18" t="n">
        <v>1162</v>
      </c>
      <c r="I235" s="18" t="n">
        <f aca="false">((I234 + G235) - H235)</f>
        <v>-132012.41</v>
      </c>
      <c r="J235" s="18" t="n">
        <v>-116.2</v>
      </c>
      <c r="K235" s="19" t="n">
        <v>10</v>
      </c>
      <c r="L235" s="17" t="s">
        <v>22</v>
      </c>
    </row>
    <row r="236" s="11" customFormat="true" ht="10.95" hidden="false" customHeight="true" outlineLevel="0" collapsed="false">
      <c r="A236" s="16" t="n">
        <v>45161</v>
      </c>
      <c r="B236" s="17" t="s">
        <v>17</v>
      </c>
      <c r="C236" s="17" t="s">
        <v>18</v>
      </c>
      <c r="D236" s="17" t="s">
        <v>19</v>
      </c>
      <c r="E236" s="17" t="s">
        <v>153</v>
      </c>
      <c r="F236" s="17" t="s">
        <v>222</v>
      </c>
      <c r="G236" s="18" t="n">
        <v>0</v>
      </c>
      <c r="H236" s="18" t="n">
        <v>283.5</v>
      </c>
      <c r="I236" s="18" t="n">
        <f aca="false">((I235 + G236) - H236)</f>
        <v>-132295.91</v>
      </c>
      <c r="J236" s="18" t="n">
        <v>-28.35</v>
      </c>
      <c r="K236" s="19" t="n">
        <v>10</v>
      </c>
      <c r="L236" s="17" t="s">
        <v>22</v>
      </c>
    </row>
    <row r="237" s="11" customFormat="true" ht="10.95" hidden="false" customHeight="true" outlineLevel="0" collapsed="false">
      <c r="A237" s="16" t="n">
        <v>45161</v>
      </c>
      <c r="B237" s="17" t="s">
        <v>17</v>
      </c>
      <c r="C237" s="17" t="s">
        <v>18</v>
      </c>
      <c r="D237" s="17" t="s">
        <v>19</v>
      </c>
      <c r="E237" s="17" t="s">
        <v>154</v>
      </c>
      <c r="F237" s="17" t="s">
        <v>222</v>
      </c>
      <c r="G237" s="18" t="n">
        <v>0</v>
      </c>
      <c r="H237" s="18" t="n">
        <v>165</v>
      </c>
      <c r="I237" s="18" t="n">
        <f aca="false">((I236 + G237) - H237)</f>
        <v>-132460.91</v>
      </c>
      <c r="J237" s="18" t="n">
        <v>-16.5</v>
      </c>
      <c r="K237" s="19" t="n">
        <v>10</v>
      </c>
      <c r="L237" s="17" t="s">
        <v>22</v>
      </c>
    </row>
    <row r="238" s="11" customFormat="true" ht="10.95" hidden="false" customHeight="true" outlineLevel="0" collapsed="false">
      <c r="A238" s="16" t="n">
        <v>45161</v>
      </c>
      <c r="B238" s="17" t="s">
        <v>17</v>
      </c>
      <c r="C238" s="17" t="s">
        <v>18</v>
      </c>
      <c r="D238" s="17" t="s">
        <v>19</v>
      </c>
      <c r="E238" s="17" t="s">
        <v>155</v>
      </c>
      <c r="F238" s="17" t="s">
        <v>222</v>
      </c>
      <c r="G238" s="18" t="n">
        <v>0</v>
      </c>
      <c r="H238" s="18" t="n">
        <v>432</v>
      </c>
      <c r="I238" s="18" t="n">
        <f aca="false">((I237 + G238) - H238)</f>
        <v>-132892.91</v>
      </c>
      <c r="J238" s="18" t="n">
        <v>-43.2</v>
      </c>
      <c r="K238" s="19" t="n">
        <v>10</v>
      </c>
      <c r="L238" s="17" t="s">
        <v>22</v>
      </c>
    </row>
    <row r="239" s="11" customFormat="true" ht="10.95" hidden="false" customHeight="true" outlineLevel="0" collapsed="false">
      <c r="A239" s="16" t="n">
        <v>45161</v>
      </c>
      <c r="B239" s="17" t="s">
        <v>17</v>
      </c>
      <c r="C239" s="17" t="s">
        <v>18</v>
      </c>
      <c r="D239" s="17" t="s">
        <v>19</v>
      </c>
      <c r="E239" s="17" t="s">
        <v>156</v>
      </c>
      <c r="F239" s="17" t="s">
        <v>222</v>
      </c>
      <c r="G239" s="18" t="n">
        <v>0</v>
      </c>
      <c r="H239" s="18" t="n">
        <v>945</v>
      </c>
      <c r="I239" s="18" t="n">
        <f aca="false">((I238 + G239) - H239)</f>
        <v>-133837.91</v>
      </c>
      <c r="J239" s="18" t="n">
        <v>-94.5</v>
      </c>
      <c r="K239" s="19" t="n">
        <v>10</v>
      </c>
      <c r="L239" s="17" t="s">
        <v>22</v>
      </c>
    </row>
    <row r="240" s="11" customFormat="true" ht="10.95" hidden="false" customHeight="true" outlineLevel="0" collapsed="false">
      <c r="A240" s="16" t="n">
        <v>45161</v>
      </c>
      <c r="B240" s="17" t="s">
        <v>17</v>
      </c>
      <c r="C240" s="17" t="s">
        <v>18</v>
      </c>
      <c r="D240" s="17" t="s">
        <v>19</v>
      </c>
      <c r="E240" s="17" t="s">
        <v>223</v>
      </c>
      <c r="F240" s="17" t="s">
        <v>222</v>
      </c>
      <c r="G240" s="18" t="n">
        <v>0</v>
      </c>
      <c r="H240" s="18" t="n">
        <v>34.65</v>
      </c>
      <c r="I240" s="18" t="n">
        <f aca="false">((I239 + G240) - H240)</f>
        <v>-133872.56</v>
      </c>
      <c r="J240" s="18" t="n">
        <v>-3.47</v>
      </c>
      <c r="K240" s="19" t="n">
        <v>10</v>
      </c>
      <c r="L240" s="17" t="s">
        <v>22</v>
      </c>
    </row>
    <row r="241" s="11" customFormat="true" ht="10.95" hidden="false" customHeight="true" outlineLevel="0" collapsed="false">
      <c r="A241" s="16" t="n">
        <v>45161</v>
      </c>
      <c r="B241" s="17" t="s">
        <v>17</v>
      </c>
      <c r="C241" s="17" t="s">
        <v>18</v>
      </c>
      <c r="D241" s="17" t="s">
        <v>19</v>
      </c>
      <c r="E241" s="17" t="s">
        <v>157</v>
      </c>
      <c r="F241" s="17" t="s">
        <v>222</v>
      </c>
      <c r="G241" s="18" t="n">
        <v>0</v>
      </c>
      <c r="H241" s="18" t="n">
        <v>189</v>
      </c>
      <c r="I241" s="18" t="n">
        <f aca="false">((I240 + G241) - H241)</f>
        <v>-134061.56</v>
      </c>
      <c r="J241" s="18" t="n">
        <v>-18.9</v>
      </c>
      <c r="K241" s="19" t="n">
        <v>10</v>
      </c>
      <c r="L241" s="17" t="s">
        <v>22</v>
      </c>
    </row>
    <row r="242" s="11" customFormat="true" ht="10.95" hidden="false" customHeight="true" outlineLevel="0" collapsed="false">
      <c r="A242" s="16" t="n">
        <v>45161</v>
      </c>
      <c r="B242" s="17" t="s">
        <v>17</v>
      </c>
      <c r="C242" s="17" t="s">
        <v>18</v>
      </c>
      <c r="D242" s="17" t="s">
        <v>19</v>
      </c>
      <c r="E242" s="17" t="s">
        <v>158</v>
      </c>
      <c r="F242" s="17" t="s">
        <v>222</v>
      </c>
      <c r="G242" s="18" t="n">
        <v>0</v>
      </c>
      <c r="H242" s="18" t="n">
        <v>94.5</v>
      </c>
      <c r="I242" s="18" t="n">
        <f aca="false">((I241 + G242) - H242)</f>
        <v>-134156.06</v>
      </c>
      <c r="J242" s="18" t="n">
        <v>-9.45</v>
      </c>
      <c r="K242" s="19" t="n">
        <v>10</v>
      </c>
      <c r="L242" s="17" t="s">
        <v>22</v>
      </c>
    </row>
    <row r="243" s="11" customFormat="true" ht="10.95" hidden="false" customHeight="true" outlineLevel="0" collapsed="false">
      <c r="A243" s="16" t="n">
        <v>45161</v>
      </c>
      <c r="B243" s="17" t="s">
        <v>17</v>
      </c>
      <c r="C243" s="17" t="s">
        <v>18</v>
      </c>
      <c r="D243" s="17" t="s">
        <v>19</v>
      </c>
      <c r="E243" s="17" t="s">
        <v>159</v>
      </c>
      <c r="F243" s="17" t="s">
        <v>222</v>
      </c>
      <c r="G243" s="18" t="n">
        <v>0</v>
      </c>
      <c r="H243" s="18" t="n">
        <v>792</v>
      </c>
      <c r="I243" s="18" t="n">
        <f aca="false">((I242 + G243) - H243)</f>
        <v>-134948.06</v>
      </c>
      <c r="J243" s="18" t="n">
        <v>-79.2</v>
      </c>
      <c r="K243" s="19" t="n">
        <v>10</v>
      </c>
      <c r="L243" s="17" t="s">
        <v>22</v>
      </c>
    </row>
    <row r="244" s="11" customFormat="true" ht="10.95" hidden="false" customHeight="true" outlineLevel="0" collapsed="false">
      <c r="A244" s="16" t="n">
        <v>45161</v>
      </c>
      <c r="B244" s="17" t="s">
        <v>17</v>
      </c>
      <c r="C244" s="17" t="s">
        <v>18</v>
      </c>
      <c r="D244" s="17" t="s">
        <v>19</v>
      </c>
      <c r="E244" s="17" t="s">
        <v>224</v>
      </c>
      <c r="F244" s="17" t="s">
        <v>222</v>
      </c>
      <c r="G244" s="18" t="n">
        <v>0</v>
      </c>
      <c r="H244" s="18" t="n">
        <v>69.3</v>
      </c>
      <c r="I244" s="18" t="n">
        <f aca="false">((I243 + G244) - H244)</f>
        <v>-135017.36</v>
      </c>
      <c r="J244" s="18" t="n">
        <v>-6.93</v>
      </c>
      <c r="K244" s="19" t="n">
        <v>10</v>
      </c>
      <c r="L244" s="17" t="s">
        <v>22</v>
      </c>
    </row>
    <row r="245" s="11" customFormat="true" ht="10.95" hidden="false" customHeight="true" outlineLevel="0" collapsed="false">
      <c r="A245" s="16" t="n">
        <v>45161</v>
      </c>
      <c r="B245" s="17" t="s">
        <v>17</v>
      </c>
      <c r="C245" s="17" t="s">
        <v>18</v>
      </c>
      <c r="D245" s="17" t="s">
        <v>19</v>
      </c>
      <c r="E245" s="17" t="s">
        <v>225</v>
      </c>
      <c r="F245" s="17" t="s">
        <v>222</v>
      </c>
      <c r="G245" s="18" t="n">
        <v>0</v>
      </c>
      <c r="H245" s="18" t="n">
        <v>216</v>
      </c>
      <c r="I245" s="18" t="n">
        <f aca="false">((I244 + G245) - H245)</f>
        <v>-135233.36</v>
      </c>
      <c r="J245" s="18" t="n">
        <v>-21.6</v>
      </c>
      <c r="K245" s="19" t="n">
        <v>10</v>
      </c>
      <c r="L245" s="17" t="s">
        <v>22</v>
      </c>
    </row>
    <row r="246" s="11" customFormat="true" ht="10.95" hidden="false" customHeight="true" outlineLevel="0" collapsed="false">
      <c r="A246" s="16" t="n">
        <v>45161</v>
      </c>
      <c r="B246" s="17" t="s">
        <v>17</v>
      </c>
      <c r="C246" s="17" t="s">
        <v>18</v>
      </c>
      <c r="D246" s="17" t="s">
        <v>19</v>
      </c>
      <c r="E246" s="17" t="s">
        <v>226</v>
      </c>
      <c r="F246" s="17" t="s">
        <v>222</v>
      </c>
      <c r="G246" s="18" t="n">
        <v>0</v>
      </c>
      <c r="H246" s="18" t="n">
        <v>144</v>
      </c>
      <c r="I246" s="18" t="n">
        <f aca="false">((I245 + G246) - H246)</f>
        <v>-135377.36</v>
      </c>
      <c r="J246" s="18" t="n">
        <v>-14.4</v>
      </c>
      <c r="K246" s="19" t="n">
        <v>10</v>
      </c>
      <c r="L246" s="17" t="s">
        <v>22</v>
      </c>
    </row>
    <row r="247" s="11" customFormat="true" ht="10.95" hidden="false" customHeight="true" outlineLevel="0" collapsed="false">
      <c r="A247" s="16" t="n">
        <v>45161</v>
      </c>
      <c r="B247" s="17" t="s">
        <v>17</v>
      </c>
      <c r="C247" s="17" t="s">
        <v>18</v>
      </c>
      <c r="D247" s="17" t="s">
        <v>19</v>
      </c>
      <c r="E247" s="17" t="s">
        <v>106</v>
      </c>
      <c r="F247" s="17" t="s">
        <v>227</v>
      </c>
      <c r="G247" s="18" t="n">
        <v>0</v>
      </c>
      <c r="H247" s="18" t="n">
        <v>94</v>
      </c>
      <c r="I247" s="18" t="n">
        <f aca="false">((I246 + G247) - H247)</f>
        <v>-135471.36</v>
      </c>
      <c r="J247" s="18" t="n">
        <v>-9.4</v>
      </c>
      <c r="K247" s="19" t="n">
        <v>10</v>
      </c>
      <c r="L247" s="17" t="s">
        <v>22</v>
      </c>
    </row>
    <row r="248" s="11" customFormat="true" ht="10.95" hidden="false" customHeight="true" outlineLevel="0" collapsed="false">
      <c r="A248" s="16" t="n">
        <v>45166</v>
      </c>
      <c r="B248" s="17" t="s">
        <v>17</v>
      </c>
      <c r="C248" s="17" t="s">
        <v>18</v>
      </c>
      <c r="D248" s="17" t="s">
        <v>162</v>
      </c>
      <c r="E248" s="17" t="s">
        <v>171</v>
      </c>
      <c r="F248" s="17" t="s">
        <v>228</v>
      </c>
      <c r="G248" s="18" t="n">
        <v>273</v>
      </c>
      <c r="H248" s="18" t="n">
        <v>0</v>
      </c>
      <c r="I248" s="18" t="n">
        <f aca="false">((I247 + G248) - H248)</f>
        <v>-135198.36</v>
      </c>
      <c r="J248" s="18" t="n">
        <v>27.3</v>
      </c>
      <c r="K248" s="19" t="n">
        <v>10</v>
      </c>
      <c r="L248" s="17" t="s">
        <v>22</v>
      </c>
    </row>
    <row r="249" s="11" customFormat="true" ht="10.95" hidden="false" customHeight="true" outlineLevel="0" collapsed="false">
      <c r="A249" s="16" t="n">
        <v>45195</v>
      </c>
      <c r="B249" s="17" t="s">
        <v>17</v>
      </c>
      <c r="C249" s="17" t="s">
        <v>18</v>
      </c>
      <c r="D249" s="17" t="s">
        <v>19</v>
      </c>
      <c r="E249" s="17" t="s">
        <v>229</v>
      </c>
      <c r="F249" s="17" t="s">
        <v>230</v>
      </c>
      <c r="G249" s="18" t="n">
        <v>0</v>
      </c>
      <c r="H249" s="18" t="n">
        <v>80</v>
      </c>
      <c r="I249" s="18" t="n">
        <f aca="false">((I248 + G249) - H249)</f>
        <v>-135278.36</v>
      </c>
      <c r="J249" s="18" t="n">
        <v>-8</v>
      </c>
      <c r="K249" s="19" t="n">
        <v>10</v>
      </c>
      <c r="L249" s="17" t="s">
        <v>22</v>
      </c>
    </row>
    <row r="250" s="11" customFormat="true" ht="10.95" hidden="false" customHeight="true" outlineLevel="0" collapsed="false">
      <c r="A250" s="16" t="n">
        <v>45196</v>
      </c>
      <c r="B250" s="17" t="s">
        <v>17</v>
      </c>
      <c r="C250" s="17" t="s">
        <v>18</v>
      </c>
      <c r="D250" s="17" t="s">
        <v>19</v>
      </c>
      <c r="E250" s="17" t="s">
        <v>231</v>
      </c>
      <c r="F250" s="17" t="s">
        <v>232</v>
      </c>
      <c r="G250" s="18" t="n">
        <v>0</v>
      </c>
      <c r="H250" s="18" t="n">
        <v>143</v>
      </c>
      <c r="I250" s="18" t="n">
        <f aca="false">((I249 + G250) - H250)</f>
        <v>-135421.36</v>
      </c>
      <c r="J250" s="18" t="n">
        <v>-14.3</v>
      </c>
      <c r="K250" s="19" t="n">
        <v>10</v>
      </c>
      <c r="L250" s="17" t="s">
        <v>22</v>
      </c>
    </row>
    <row r="251" s="11" customFormat="true" ht="10.95" hidden="false" customHeight="true" outlineLevel="0" collapsed="false">
      <c r="A251" s="16" t="n">
        <v>45196</v>
      </c>
      <c r="B251" s="17" t="s">
        <v>17</v>
      </c>
      <c r="C251" s="17" t="s">
        <v>18</v>
      </c>
      <c r="D251" s="17" t="s">
        <v>19</v>
      </c>
      <c r="E251" s="17" t="s">
        <v>231</v>
      </c>
      <c r="F251" s="17" t="s">
        <v>232</v>
      </c>
      <c r="G251" s="18" t="n">
        <v>0</v>
      </c>
      <c r="H251" s="18" t="n">
        <v>143</v>
      </c>
      <c r="I251" s="18" t="n">
        <f aca="false">((I250 + G251) - H251)</f>
        <v>-135564.36</v>
      </c>
      <c r="J251" s="18" t="n">
        <v>-14.3</v>
      </c>
      <c r="K251" s="19" t="n">
        <v>10</v>
      </c>
      <c r="L251" s="17" t="s">
        <v>22</v>
      </c>
    </row>
    <row r="252" s="11" customFormat="true" ht="10.95" hidden="false" customHeight="true" outlineLevel="0" collapsed="false">
      <c r="A252" s="16" t="n">
        <v>45196</v>
      </c>
      <c r="B252" s="17" t="s">
        <v>17</v>
      </c>
      <c r="C252" s="17" t="s">
        <v>18</v>
      </c>
      <c r="D252" s="17" t="s">
        <v>19</v>
      </c>
      <c r="E252" s="17" t="s">
        <v>231</v>
      </c>
      <c r="F252" s="17" t="s">
        <v>232</v>
      </c>
      <c r="G252" s="18" t="n">
        <v>0</v>
      </c>
      <c r="H252" s="18" t="n">
        <v>143</v>
      </c>
      <c r="I252" s="18" t="n">
        <f aca="false">((I251 + G252) - H252)</f>
        <v>-135707.36</v>
      </c>
      <c r="J252" s="18" t="n">
        <v>-14.3</v>
      </c>
      <c r="K252" s="19" t="n">
        <v>10</v>
      </c>
      <c r="L252" s="17" t="s">
        <v>22</v>
      </c>
    </row>
    <row r="253" s="11" customFormat="true" ht="10.95" hidden="false" customHeight="true" outlineLevel="0" collapsed="false">
      <c r="A253" s="16" t="n">
        <v>45196</v>
      </c>
      <c r="B253" s="17" t="s">
        <v>17</v>
      </c>
      <c r="C253" s="17" t="s">
        <v>18</v>
      </c>
      <c r="D253" s="17" t="s">
        <v>19</v>
      </c>
      <c r="E253" s="17" t="s">
        <v>233</v>
      </c>
      <c r="F253" s="17" t="s">
        <v>234</v>
      </c>
      <c r="G253" s="18" t="n">
        <v>0</v>
      </c>
      <c r="H253" s="18" t="n">
        <v>71.5</v>
      </c>
      <c r="I253" s="18" t="n">
        <f aca="false">((I252 + G253) - H253)</f>
        <v>-135778.86</v>
      </c>
      <c r="J253" s="18" t="n">
        <v>-7.15</v>
      </c>
      <c r="K253" s="19" t="n">
        <v>10</v>
      </c>
      <c r="L253" s="17" t="s">
        <v>22</v>
      </c>
    </row>
    <row r="254" s="11" customFormat="true" ht="10.95" hidden="false" customHeight="true" outlineLevel="0" collapsed="false">
      <c r="A254" s="16" t="n">
        <v>45196</v>
      </c>
      <c r="B254" s="17" t="s">
        <v>17</v>
      </c>
      <c r="C254" s="17" t="s">
        <v>18</v>
      </c>
      <c r="D254" s="17" t="s">
        <v>19</v>
      </c>
      <c r="E254" s="17" t="s">
        <v>235</v>
      </c>
      <c r="F254" s="17" t="s">
        <v>234</v>
      </c>
      <c r="G254" s="18" t="n">
        <v>0</v>
      </c>
      <c r="H254" s="18" t="n">
        <v>110</v>
      </c>
      <c r="I254" s="18" t="n">
        <f aca="false">((I253 + G254) - H254)</f>
        <v>-135888.86</v>
      </c>
      <c r="J254" s="18" t="n">
        <v>-11</v>
      </c>
      <c r="K254" s="19" t="n">
        <v>10</v>
      </c>
      <c r="L254" s="17" t="s">
        <v>22</v>
      </c>
    </row>
    <row r="255" s="11" customFormat="true" ht="10.95" hidden="false" customHeight="true" outlineLevel="0" collapsed="false">
      <c r="A255" s="16" t="n">
        <v>45196</v>
      </c>
      <c r="B255" s="17" t="s">
        <v>17</v>
      </c>
      <c r="C255" s="17" t="s">
        <v>18</v>
      </c>
      <c r="D255" s="17" t="s">
        <v>19</v>
      </c>
      <c r="E255" s="17" t="s">
        <v>233</v>
      </c>
      <c r="F255" s="17" t="s">
        <v>234</v>
      </c>
      <c r="G255" s="18" t="n">
        <v>0</v>
      </c>
      <c r="H255" s="18" t="n">
        <v>71.5</v>
      </c>
      <c r="I255" s="18" t="n">
        <f aca="false">((I254 + G255) - H255)</f>
        <v>-135960.36</v>
      </c>
      <c r="J255" s="18" t="n">
        <v>-7.15</v>
      </c>
      <c r="K255" s="19" t="n">
        <v>10</v>
      </c>
      <c r="L255" s="17" t="s">
        <v>22</v>
      </c>
    </row>
    <row r="256" s="11" customFormat="true" ht="10.95" hidden="false" customHeight="true" outlineLevel="0" collapsed="false">
      <c r="A256" s="16" t="n">
        <v>45196</v>
      </c>
      <c r="B256" s="17" t="s">
        <v>17</v>
      </c>
      <c r="C256" s="17" t="s">
        <v>18</v>
      </c>
      <c r="D256" s="17" t="s">
        <v>19</v>
      </c>
      <c r="E256" s="17" t="s">
        <v>235</v>
      </c>
      <c r="F256" s="17" t="s">
        <v>234</v>
      </c>
      <c r="G256" s="18" t="n">
        <v>0</v>
      </c>
      <c r="H256" s="18" t="n">
        <v>110</v>
      </c>
      <c r="I256" s="18" t="n">
        <f aca="false">((I255 + G256) - H256)</f>
        <v>-136070.36</v>
      </c>
      <c r="J256" s="18" t="n">
        <v>-11</v>
      </c>
      <c r="K256" s="19" t="n">
        <v>10</v>
      </c>
      <c r="L256" s="17" t="s">
        <v>22</v>
      </c>
    </row>
    <row r="257" s="11" customFormat="true" ht="10.95" hidden="false" customHeight="true" outlineLevel="0" collapsed="false">
      <c r="A257" s="16" t="n">
        <v>45196</v>
      </c>
      <c r="B257" s="17" t="s">
        <v>17</v>
      </c>
      <c r="C257" s="17" t="s">
        <v>18</v>
      </c>
      <c r="D257" s="17" t="s">
        <v>19</v>
      </c>
      <c r="E257" s="17" t="s">
        <v>233</v>
      </c>
      <c r="F257" s="17" t="s">
        <v>234</v>
      </c>
      <c r="G257" s="18" t="n">
        <v>0</v>
      </c>
      <c r="H257" s="18" t="n">
        <v>71.5</v>
      </c>
      <c r="I257" s="18" t="n">
        <f aca="false">((I256 + G257) - H257)</f>
        <v>-136141.86</v>
      </c>
      <c r="J257" s="18" t="n">
        <v>-7.15</v>
      </c>
      <c r="K257" s="19" t="n">
        <v>10</v>
      </c>
      <c r="L257" s="17" t="s">
        <v>22</v>
      </c>
    </row>
    <row r="258" s="11" customFormat="true" ht="10.95" hidden="false" customHeight="true" outlineLevel="0" collapsed="false">
      <c r="A258" s="16" t="n">
        <v>45196</v>
      </c>
      <c r="B258" s="17" t="s">
        <v>17</v>
      </c>
      <c r="C258" s="17" t="s">
        <v>18</v>
      </c>
      <c r="D258" s="17" t="s">
        <v>19</v>
      </c>
      <c r="E258" s="17" t="s">
        <v>235</v>
      </c>
      <c r="F258" s="17" t="s">
        <v>234</v>
      </c>
      <c r="G258" s="18" t="n">
        <v>0</v>
      </c>
      <c r="H258" s="18" t="n">
        <v>110</v>
      </c>
      <c r="I258" s="18" t="n">
        <f aca="false">((I257 + G258) - H258)</f>
        <v>-136251.86</v>
      </c>
      <c r="J258" s="18" t="n">
        <v>-11</v>
      </c>
      <c r="K258" s="19" t="n">
        <v>10</v>
      </c>
      <c r="L258" s="17" t="s">
        <v>22</v>
      </c>
    </row>
    <row r="259" s="11" customFormat="true" ht="10.95" hidden="false" customHeight="true" outlineLevel="0" collapsed="false">
      <c r="A259" s="16" t="n">
        <v>45196</v>
      </c>
      <c r="B259" s="17" t="s">
        <v>17</v>
      </c>
      <c r="C259" s="17" t="s">
        <v>18</v>
      </c>
      <c r="D259" s="17" t="s">
        <v>19</v>
      </c>
      <c r="E259" s="17" t="s">
        <v>233</v>
      </c>
      <c r="F259" s="17" t="s">
        <v>234</v>
      </c>
      <c r="G259" s="18" t="n">
        <v>0</v>
      </c>
      <c r="H259" s="18" t="n">
        <v>71.5</v>
      </c>
      <c r="I259" s="18" t="n">
        <f aca="false">((I258 + G259) - H259)</f>
        <v>-136323.36</v>
      </c>
      <c r="J259" s="18" t="n">
        <v>-7.15</v>
      </c>
      <c r="K259" s="19" t="n">
        <v>10</v>
      </c>
      <c r="L259" s="17" t="s">
        <v>22</v>
      </c>
    </row>
    <row r="260" s="11" customFormat="true" ht="10.95" hidden="false" customHeight="true" outlineLevel="0" collapsed="false">
      <c r="A260" s="16" t="n">
        <v>45196</v>
      </c>
      <c r="B260" s="17" t="s">
        <v>17</v>
      </c>
      <c r="C260" s="17" t="s">
        <v>18</v>
      </c>
      <c r="D260" s="17" t="s">
        <v>19</v>
      </c>
      <c r="E260" s="17" t="s">
        <v>235</v>
      </c>
      <c r="F260" s="17" t="s">
        <v>234</v>
      </c>
      <c r="G260" s="18" t="n">
        <v>0</v>
      </c>
      <c r="H260" s="18" t="n">
        <v>110</v>
      </c>
      <c r="I260" s="18" t="n">
        <f aca="false">((I259 + G260) - H260)</f>
        <v>-136433.36</v>
      </c>
      <c r="J260" s="18" t="n">
        <v>-11</v>
      </c>
      <c r="K260" s="19" t="n">
        <v>10</v>
      </c>
      <c r="L260" s="17" t="s">
        <v>22</v>
      </c>
    </row>
    <row r="261" s="11" customFormat="true" ht="10.95" hidden="false" customHeight="true" outlineLevel="0" collapsed="false">
      <c r="A261" s="16" t="n">
        <v>45196</v>
      </c>
      <c r="B261" s="17" t="s">
        <v>17</v>
      </c>
      <c r="C261" s="17" t="s">
        <v>18</v>
      </c>
      <c r="D261" s="17" t="s">
        <v>19</v>
      </c>
      <c r="E261" s="17" t="s">
        <v>233</v>
      </c>
      <c r="F261" s="17" t="s">
        <v>234</v>
      </c>
      <c r="G261" s="18" t="n">
        <v>0</v>
      </c>
      <c r="H261" s="18" t="n">
        <v>71.5</v>
      </c>
      <c r="I261" s="18" t="n">
        <f aca="false">((I260 + G261) - H261)</f>
        <v>-136504.86</v>
      </c>
      <c r="J261" s="18" t="n">
        <v>-7.15</v>
      </c>
      <c r="K261" s="19" t="n">
        <v>10</v>
      </c>
      <c r="L261" s="17" t="s">
        <v>22</v>
      </c>
    </row>
    <row r="262" s="11" customFormat="true" ht="10.95" hidden="false" customHeight="true" outlineLevel="0" collapsed="false">
      <c r="A262" s="16" t="n">
        <v>45196</v>
      </c>
      <c r="B262" s="17" t="s">
        <v>17</v>
      </c>
      <c r="C262" s="17" t="s">
        <v>18</v>
      </c>
      <c r="D262" s="17" t="s">
        <v>19</v>
      </c>
      <c r="E262" s="17" t="s">
        <v>235</v>
      </c>
      <c r="F262" s="17" t="s">
        <v>234</v>
      </c>
      <c r="G262" s="18" t="n">
        <v>0</v>
      </c>
      <c r="H262" s="18" t="n">
        <v>110</v>
      </c>
      <c r="I262" s="18" t="n">
        <f aca="false">((I261 + G262) - H262)</f>
        <v>-136614.86</v>
      </c>
      <c r="J262" s="18" t="n">
        <v>-11</v>
      </c>
      <c r="K262" s="19" t="n">
        <v>10</v>
      </c>
      <c r="L262" s="17" t="s">
        <v>22</v>
      </c>
    </row>
    <row r="263" s="11" customFormat="true" ht="10.95" hidden="false" customHeight="true" outlineLevel="0" collapsed="false">
      <c r="A263" s="16" t="n">
        <v>45196</v>
      </c>
      <c r="B263" s="17" t="s">
        <v>17</v>
      </c>
      <c r="C263" s="17" t="s">
        <v>18</v>
      </c>
      <c r="D263" s="17" t="s">
        <v>19</v>
      </c>
      <c r="E263" s="17" t="s">
        <v>171</v>
      </c>
      <c r="F263" s="17" t="s">
        <v>236</v>
      </c>
      <c r="G263" s="18" t="n">
        <v>0</v>
      </c>
      <c r="H263" s="18" t="n">
        <v>940.5</v>
      </c>
      <c r="I263" s="18" t="n">
        <f aca="false">((I262 + G263) - H263)</f>
        <v>-137555.36</v>
      </c>
      <c r="J263" s="18" t="n">
        <v>-94.05</v>
      </c>
      <c r="K263" s="19" t="n">
        <v>10</v>
      </c>
      <c r="L263" s="17" t="s">
        <v>22</v>
      </c>
    </row>
    <row r="264" s="11" customFormat="true" ht="10.95" hidden="false" customHeight="true" outlineLevel="0" collapsed="false">
      <c r="A264" s="16" t="n">
        <v>45196</v>
      </c>
      <c r="B264" s="17" t="s">
        <v>17</v>
      </c>
      <c r="C264" s="17" t="s">
        <v>18</v>
      </c>
      <c r="D264" s="17" t="s">
        <v>19</v>
      </c>
      <c r="E264" s="17" t="s">
        <v>20</v>
      </c>
      <c r="F264" s="17" t="s">
        <v>237</v>
      </c>
      <c r="G264" s="18" t="n">
        <v>0</v>
      </c>
      <c r="H264" s="18" t="n">
        <v>376</v>
      </c>
      <c r="I264" s="18" t="n">
        <f aca="false">((I263 + G264) - H264)</f>
        <v>-137931.36</v>
      </c>
      <c r="J264" s="18" t="n">
        <v>-37.6</v>
      </c>
      <c r="K264" s="19" t="n">
        <v>10</v>
      </c>
      <c r="L264" s="17" t="s">
        <v>22</v>
      </c>
    </row>
    <row r="265" s="11" customFormat="true" ht="10.95" hidden="false" customHeight="true" outlineLevel="0" collapsed="false">
      <c r="A265" s="16" t="n">
        <v>45196</v>
      </c>
      <c r="B265" s="17" t="s">
        <v>17</v>
      </c>
      <c r="C265" s="17" t="s">
        <v>18</v>
      </c>
      <c r="D265" s="17" t="s">
        <v>19</v>
      </c>
      <c r="E265" s="17" t="s">
        <v>23</v>
      </c>
      <c r="F265" s="17" t="s">
        <v>238</v>
      </c>
      <c r="G265" s="18" t="n">
        <v>0</v>
      </c>
      <c r="H265" s="18" t="n">
        <v>1035</v>
      </c>
      <c r="I265" s="18" t="n">
        <f aca="false">((I264 + G265) - H265)</f>
        <v>-138966.36</v>
      </c>
      <c r="J265" s="18" t="n">
        <v>-103.5</v>
      </c>
      <c r="K265" s="19" t="n">
        <v>10</v>
      </c>
      <c r="L265" s="17" t="s">
        <v>22</v>
      </c>
    </row>
    <row r="266" s="11" customFormat="true" ht="10.95" hidden="false" customHeight="true" outlineLevel="0" collapsed="false">
      <c r="A266" s="16" t="n">
        <v>45196</v>
      </c>
      <c r="B266" s="17" t="s">
        <v>17</v>
      </c>
      <c r="C266" s="17" t="s">
        <v>18</v>
      </c>
      <c r="D266" s="17" t="s">
        <v>19</v>
      </c>
      <c r="E266" s="17" t="s">
        <v>25</v>
      </c>
      <c r="F266" s="17" t="s">
        <v>238</v>
      </c>
      <c r="G266" s="18" t="n">
        <v>0</v>
      </c>
      <c r="H266" s="18" t="n">
        <v>225</v>
      </c>
      <c r="I266" s="18" t="n">
        <f aca="false">((I265 + G266) - H266)</f>
        <v>-139191.36</v>
      </c>
      <c r="J266" s="18" t="n">
        <v>-22.5</v>
      </c>
      <c r="K266" s="19" t="n">
        <v>10</v>
      </c>
      <c r="L266" s="17" t="s">
        <v>22</v>
      </c>
    </row>
    <row r="267" s="11" customFormat="true" ht="10.95" hidden="false" customHeight="true" outlineLevel="0" collapsed="false">
      <c r="A267" s="16" t="n">
        <v>45196</v>
      </c>
      <c r="B267" s="17" t="s">
        <v>17</v>
      </c>
      <c r="C267" s="17" t="s">
        <v>18</v>
      </c>
      <c r="D267" s="17" t="s">
        <v>19</v>
      </c>
      <c r="E267" s="17" t="s">
        <v>26</v>
      </c>
      <c r="F267" s="17" t="s">
        <v>239</v>
      </c>
      <c r="G267" s="18" t="n">
        <v>0</v>
      </c>
      <c r="H267" s="18" t="n">
        <v>510</v>
      </c>
      <c r="I267" s="18" t="n">
        <f aca="false">((I266 + G267) - H267)</f>
        <v>-139701.36</v>
      </c>
      <c r="J267" s="18" t="n">
        <v>-51</v>
      </c>
      <c r="K267" s="19" t="n">
        <v>10</v>
      </c>
      <c r="L267" s="17" t="s">
        <v>22</v>
      </c>
    </row>
    <row r="268" s="11" customFormat="true" ht="10.95" hidden="false" customHeight="true" outlineLevel="0" collapsed="false">
      <c r="A268" s="16" t="n">
        <v>45196</v>
      </c>
      <c r="B268" s="17" t="s">
        <v>17</v>
      </c>
      <c r="C268" s="17" t="s">
        <v>18</v>
      </c>
      <c r="D268" s="17" t="s">
        <v>19</v>
      </c>
      <c r="E268" s="17" t="s">
        <v>28</v>
      </c>
      <c r="F268" s="17" t="s">
        <v>240</v>
      </c>
      <c r="G268" s="18" t="n">
        <v>0</v>
      </c>
      <c r="H268" s="18" t="n">
        <v>836</v>
      </c>
      <c r="I268" s="18" t="n">
        <f aca="false">((I267 + G268) - H268)</f>
        <v>-140537.36</v>
      </c>
      <c r="J268" s="18" t="n">
        <v>-83.6</v>
      </c>
      <c r="K268" s="19" t="n">
        <v>10</v>
      </c>
      <c r="L268" s="17" t="s">
        <v>22</v>
      </c>
    </row>
    <row r="269" s="11" customFormat="true" ht="10.95" hidden="false" customHeight="true" outlineLevel="0" collapsed="false">
      <c r="A269" s="16" t="n">
        <v>45196</v>
      </c>
      <c r="B269" s="17" t="s">
        <v>17</v>
      </c>
      <c r="C269" s="17" t="s">
        <v>18</v>
      </c>
      <c r="D269" s="17" t="s">
        <v>19</v>
      </c>
      <c r="E269" s="17" t="s">
        <v>30</v>
      </c>
      <c r="F269" s="17" t="s">
        <v>241</v>
      </c>
      <c r="G269" s="18" t="n">
        <v>0</v>
      </c>
      <c r="H269" s="18" t="n">
        <v>85</v>
      </c>
      <c r="I269" s="18" t="n">
        <f aca="false">((I268 + G269) - H269)</f>
        <v>-140622.36</v>
      </c>
      <c r="J269" s="18" t="n">
        <v>-8.5</v>
      </c>
      <c r="K269" s="19" t="n">
        <v>10</v>
      </c>
      <c r="L269" s="17" t="s">
        <v>22</v>
      </c>
    </row>
    <row r="270" s="11" customFormat="true" ht="10.95" hidden="false" customHeight="true" outlineLevel="0" collapsed="false">
      <c r="A270" s="16" t="n">
        <v>45196</v>
      </c>
      <c r="B270" s="17" t="s">
        <v>17</v>
      </c>
      <c r="C270" s="17" t="s">
        <v>18</v>
      </c>
      <c r="D270" s="17" t="s">
        <v>19</v>
      </c>
      <c r="E270" s="17" t="s">
        <v>32</v>
      </c>
      <c r="F270" s="17" t="s">
        <v>242</v>
      </c>
      <c r="G270" s="18" t="n">
        <v>0</v>
      </c>
      <c r="H270" s="18" t="n">
        <v>195</v>
      </c>
      <c r="I270" s="18" t="n">
        <f aca="false">((I269 + G270) - H270)</f>
        <v>-140817.36</v>
      </c>
      <c r="J270" s="18" t="n">
        <v>-19.5</v>
      </c>
      <c r="K270" s="19" t="n">
        <v>10</v>
      </c>
      <c r="L270" s="17" t="s">
        <v>22</v>
      </c>
    </row>
    <row r="271" s="11" customFormat="true" ht="10.95" hidden="false" customHeight="true" outlineLevel="0" collapsed="false">
      <c r="A271" s="16" t="n">
        <v>45196</v>
      </c>
      <c r="B271" s="17" t="s">
        <v>17</v>
      </c>
      <c r="C271" s="17" t="s">
        <v>18</v>
      </c>
      <c r="D271" s="17" t="s">
        <v>19</v>
      </c>
      <c r="E271" s="17" t="s">
        <v>34</v>
      </c>
      <c r="F271" s="17" t="s">
        <v>242</v>
      </c>
      <c r="G271" s="18" t="n">
        <v>0</v>
      </c>
      <c r="H271" s="18" t="n">
        <v>30</v>
      </c>
      <c r="I271" s="18" t="n">
        <f aca="false">((I270 + G271) - H271)</f>
        <v>-140847.36</v>
      </c>
      <c r="J271" s="18" t="n">
        <v>-3</v>
      </c>
      <c r="K271" s="19" t="n">
        <v>10</v>
      </c>
      <c r="L271" s="17" t="s">
        <v>22</v>
      </c>
    </row>
    <row r="272" s="11" customFormat="true" ht="21.3" hidden="false" customHeight="true" outlineLevel="0" collapsed="false">
      <c r="A272" s="16" t="n">
        <v>45196</v>
      </c>
      <c r="B272" s="17" t="s">
        <v>17</v>
      </c>
      <c r="C272" s="17" t="s">
        <v>18</v>
      </c>
      <c r="D272" s="17" t="s">
        <v>19</v>
      </c>
      <c r="E272" s="20" t="s">
        <v>35</v>
      </c>
      <c r="F272" s="17" t="s">
        <v>242</v>
      </c>
      <c r="G272" s="18" t="n">
        <v>0</v>
      </c>
      <c r="H272" s="18" t="n">
        <v>100</v>
      </c>
      <c r="I272" s="18" t="n">
        <f aca="false">((I271 + G272) - H272)</f>
        <v>-140947.36</v>
      </c>
      <c r="J272" s="18" t="n">
        <v>-10</v>
      </c>
      <c r="K272" s="19" t="n">
        <v>10</v>
      </c>
      <c r="L272" s="17" t="s">
        <v>22</v>
      </c>
    </row>
    <row r="273" s="11" customFormat="true" ht="10.95" hidden="false" customHeight="true" outlineLevel="0" collapsed="false">
      <c r="A273" s="16" t="n">
        <v>45196</v>
      </c>
      <c r="B273" s="17" t="s">
        <v>17</v>
      </c>
      <c r="C273" s="17" t="s">
        <v>18</v>
      </c>
      <c r="D273" s="17" t="s">
        <v>19</v>
      </c>
      <c r="E273" s="17" t="s">
        <v>36</v>
      </c>
      <c r="F273" s="17" t="s">
        <v>243</v>
      </c>
      <c r="G273" s="18" t="n">
        <v>0</v>
      </c>
      <c r="H273" s="18" t="n">
        <v>720</v>
      </c>
      <c r="I273" s="18" t="n">
        <f aca="false">((I272 + G273) - H273)</f>
        <v>-141667.36</v>
      </c>
      <c r="J273" s="18" t="n">
        <v>-72</v>
      </c>
      <c r="K273" s="19" t="n">
        <v>10</v>
      </c>
      <c r="L273" s="17" t="s">
        <v>22</v>
      </c>
    </row>
    <row r="274" s="11" customFormat="true" ht="10.95" hidden="false" customHeight="true" outlineLevel="0" collapsed="false">
      <c r="A274" s="16" t="n">
        <v>45196</v>
      </c>
      <c r="B274" s="17" t="s">
        <v>17</v>
      </c>
      <c r="C274" s="17" t="s">
        <v>18</v>
      </c>
      <c r="D274" s="17" t="s">
        <v>19</v>
      </c>
      <c r="E274" s="17" t="s">
        <v>38</v>
      </c>
      <c r="F274" s="17" t="s">
        <v>243</v>
      </c>
      <c r="G274" s="18" t="n">
        <v>0</v>
      </c>
      <c r="H274" s="18" t="n">
        <v>110</v>
      </c>
      <c r="I274" s="18" t="n">
        <f aca="false">((I273 + G274) - H274)</f>
        <v>-141777.36</v>
      </c>
      <c r="J274" s="18" t="n">
        <v>-11</v>
      </c>
      <c r="K274" s="19" t="n">
        <v>10</v>
      </c>
      <c r="L274" s="17" t="s">
        <v>22</v>
      </c>
    </row>
    <row r="275" s="11" customFormat="true" ht="10.95" hidden="false" customHeight="true" outlineLevel="0" collapsed="false">
      <c r="A275" s="16" t="n">
        <v>45196</v>
      </c>
      <c r="B275" s="17" t="s">
        <v>17</v>
      </c>
      <c r="C275" s="17" t="s">
        <v>18</v>
      </c>
      <c r="D275" s="17" t="s">
        <v>19</v>
      </c>
      <c r="E275" s="17" t="s">
        <v>39</v>
      </c>
      <c r="F275" s="17" t="s">
        <v>243</v>
      </c>
      <c r="G275" s="18" t="n">
        <v>0</v>
      </c>
      <c r="H275" s="18" t="n">
        <v>165</v>
      </c>
      <c r="I275" s="18" t="n">
        <f aca="false">((I274 + G275) - H275)</f>
        <v>-141942.36</v>
      </c>
      <c r="J275" s="18" t="n">
        <v>-16.5</v>
      </c>
      <c r="K275" s="19" t="n">
        <v>10</v>
      </c>
      <c r="L275" s="17" t="s">
        <v>22</v>
      </c>
    </row>
    <row r="276" s="11" customFormat="true" ht="10.95" hidden="false" customHeight="true" outlineLevel="0" collapsed="false">
      <c r="A276" s="16" t="n">
        <v>45196</v>
      </c>
      <c r="B276" s="17" t="s">
        <v>17</v>
      </c>
      <c r="C276" s="17" t="s">
        <v>18</v>
      </c>
      <c r="D276" s="17" t="s">
        <v>19</v>
      </c>
      <c r="E276" s="17" t="s">
        <v>42</v>
      </c>
      <c r="F276" s="17" t="s">
        <v>244</v>
      </c>
      <c r="G276" s="18" t="n">
        <v>0</v>
      </c>
      <c r="H276" s="18" t="n">
        <v>2592</v>
      </c>
      <c r="I276" s="18" t="n">
        <f aca="false">((I275 + G276) - H276)</f>
        <v>-144534.36</v>
      </c>
      <c r="J276" s="18" t="n">
        <v>-259.2</v>
      </c>
      <c r="K276" s="19" t="n">
        <v>10</v>
      </c>
      <c r="L276" s="17" t="s">
        <v>22</v>
      </c>
    </row>
    <row r="277" s="11" customFormat="true" ht="10.95" hidden="false" customHeight="true" outlineLevel="0" collapsed="false">
      <c r="A277" s="16" t="n">
        <v>45196</v>
      </c>
      <c r="B277" s="17" t="s">
        <v>17</v>
      </c>
      <c r="C277" s="17" t="s">
        <v>18</v>
      </c>
      <c r="D277" s="17" t="s">
        <v>19</v>
      </c>
      <c r="E277" s="17" t="s">
        <v>45</v>
      </c>
      <c r="F277" s="17" t="s">
        <v>244</v>
      </c>
      <c r="G277" s="18" t="n">
        <v>0</v>
      </c>
      <c r="H277" s="18" t="n">
        <v>990</v>
      </c>
      <c r="I277" s="18" t="n">
        <f aca="false">((I276 + G277) - H277)</f>
        <v>-145524.36</v>
      </c>
      <c r="J277" s="18" t="n">
        <v>-99</v>
      </c>
      <c r="K277" s="19" t="n">
        <v>10</v>
      </c>
      <c r="L277" s="17" t="s">
        <v>22</v>
      </c>
    </row>
    <row r="278" s="11" customFormat="true" ht="10.95" hidden="false" customHeight="true" outlineLevel="0" collapsed="false">
      <c r="A278" s="16" t="n">
        <v>45196</v>
      </c>
      <c r="B278" s="17" t="s">
        <v>17</v>
      </c>
      <c r="C278" s="17" t="s">
        <v>18</v>
      </c>
      <c r="D278" s="17" t="s">
        <v>19</v>
      </c>
      <c r="E278" s="17" t="s">
        <v>46</v>
      </c>
      <c r="F278" s="17" t="s">
        <v>244</v>
      </c>
      <c r="G278" s="18" t="n">
        <v>0</v>
      </c>
      <c r="H278" s="18" t="n">
        <v>220</v>
      </c>
      <c r="I278" s="18" t="n">
        <f aca="false">((I277 + G278) - H278)</f>
        <v>-145744.36</v>
      </c>
      <c r="J278" s="18" t="n">
        <v>-22</v>
      </c>
      <c r="K278" s="19" t="n">
        <v>10</v>
      </c>
      <c r="L278" s="17" t="s">
        <v>22</v>
      </c>
    </row>
    <row r="279" s="11" customFormat="true" ht="10.95" hidden="false" customHeight="true" outlineLevel="0" collapsed="false">
      <c r="A279" s="16" t="n">
        <v>45196</v>
      </c>
      <c r="B279" s="17" t="s">
        <v>17</v>
      </c>
      <c r="C279" s="17" t="s">
        <v>18</v>
      </c>
      <c r="D279" s="17" t="s">
        <v>19</v>
      </c>
      <c r="E279" s="17" t="s">
        <v>245</v>
      </c>
      <c r="F279" s="17" t="s">
        <v>244</v>
      </c>
      <c r="G279" s="18" t="n">
        <v>0</v>
      </c>
      <c r="H279" s="18" t="n">
        <v>450</v>
      </c>
      <c r="I279" s="18" t="n">
        <f aca="false">((I278 + G279) - H279)</f>
        <v>-146194.36</v>
      </c>
      <c r="J279" s="18" t="n">
        <v>-45</v>
      </c>
      <c r="K279" s="19" t="n">
        <v>10</v>
      </c>
      <c r="L279" s="17" t="s">
        <v>22</v>
      </c>
    </row>
    <row r="280" s="11" customFormat="true" ht="10.95" hidden="false" customHeight="true" outlineLevel="0" collapsed="false">
      <c r="A280" s="16" t="n">
        <v>45196</v>
      </c>
      <c r="B280" s="17" t="s">
        <v>17</v>
      </c>
      <c r="C280" s="17" t="s">
        <v>18</v>
      </c>
      <c r="D280" s="17" t="s">
        <v>19</v>
      </c>
      <c r="E280" s="17" t="s">
        <v>40</v>
      </c>
      <c r="F280" s="17" t="s">
        <v>246</v>
      </c>
      <c r="G280" s="18" t="n">
        <v>0</v>
      </c>
      <c r="H280" s="18" t="n">
        <v>3825</v>
      </c>
      <c r="I280" s="18" t="n">
        <f aca="false">((I279 + G280) - H280)</f>
        <v>-150019.36</v>
      </c>
      <c r="J280" s="18" t="n">
        <v>-382.5</v>
      </c>
      <c r="K280" s="19" t="n">
        <v>10</v>
      </c>
      <c r="L280" s="17" t="s">
        <v>22</v>
      </c>
    </row>
    <row r="281" s="11" customFormat="true" ht="10.95" hidden="false" customHeight="true" outlineLevel="0" collapsed="false">
      <c r="A281" s="16" t="n">
        <v>45196</v>
      </c>
      <c r="B281" s="17" t="s">
        <v>17</v>
      </c>
      <c r="C281" s="17" t="s">
        <v>18</v>
      </c>
      <c r="D281" s="17" t="s">
        <v>19</v>
      </c>
      <c r="E281" s="17" t="s">
        <v>47</v>
      </c>
      <c r="F281" s="17" t="s">
        <v>247</v>
      </c>
      <c r="G281" s="18" t="n">
        <v>0</v>
      </c>
      <c r="H281" s="18" t="n">
        <v>260</v>
      </c>
      <c r="I281" s="18" t="n">
        <f aca="false">((I280 + G281) - H281)</f>
        <v>-150279.36</v>
      </c>
      <c r="J281" s="18" t="n">
        <v>-26</v>
      </c>
      <c r="K281" s="19" t="n">
        <v>10</v>
      </c>
      <c r="L281" s="17" t="s">
        <v>22</v>
      </c>
    </row>
    <row r="282" s="11" customFormat="true" ht="10.95" hidden="false" customHeight="true" outlineLevel="0" collapsed="false">
      <c r="A282" s="16" t="n">
        <v>45196</v>
      </c>
      <c r="B282" s="17" t="s">
        <v>17</v>
      </c>
      <c r="C282" s="17" t="s">
        <v>18</v>
      </c>
      <c r="D282" s="17" t="s">
        <v>19</v>
      </c>
      <c r="E282" s="17" t="s">
        <v>49</v>
      </c>
      <c r="F282" s="17" t="s">
        <v>247</v>
      </c>
      <c r="G282" s="18" t="n">
        <v>0</v>
      </c>
      <c r="H282" s="18" t="n">
        <v>100</v>
      </c>
      <c r="I282" s="18" t="n">
        <f aca="false">((I281 + G282) - H282)</f>
        <v>-150379.36</v>
      </c>
      <c r="J282" s="18" t="n">
        <v>-10</v>
      </c>
      <c r="K282" s="19" t="n">
        <v>10</v>
      </c>
      <c r="L282" s="17" t="s">
        <v>22</v>
      </c>
    </row>
    <row r="283" s="11" customFormat="true" ht="10.95" hidden="false" customHeight="true" outlineLevel="0" collapsed="false">
      <c r="A283" s="16" t="n">
        <v>45196</v>
      </c>
      <c r="B283" s="17" t="s">
        <v>17</v>
      </c>
      <c r="C283" s="17" t="s">
        <v>18</v>
      </c>
      <c r="D283" s="17" t="s">
        <v>19</v>
      </c>
      <c r="E283" s="17" t="s">
        <v>50</v>
      </c>
      <c r="F283" s="17" t="s">
        <v>248</v>
      </c>
      <c r="G283" s="18" t="n">
        <v>0</v>
      </c>
      <c r="H283" s="18" t="n">
        <v>2040</v>
      </c>
      <c r="I283" s="18" t="n">
        <f aca="false">((I282 + G283) - H283)</f>
        <v>-152419.36</v>
      </c>
      <c r="J283" s="18" t="n">
        <v>-204</v>
      </c>
      <c r="K283" s="19" t="n">
        <v>10</v>
      </c>
      <c r="L283" s="17" t="s">
        <v>22</v>
      </c>
    </row>
    <row r="284" s="11" customFormat="true" ht="10.95" hidden="false" customHeight="true" outlineLevel="0" collapsed="false">
      <c r="A284" s="16" t="n">
        <v>45196</v>
      </c>
      <c r="B284" s="17" t="s">
        <v>17</v>
      </c>
      <c r="C284" s="17" t="s">
        <v>18</v>
      </c>
      <c r="D284" s="17" t="s">
        <v>19</v>
      </c>
      <c r="E284" s="17" t="s">
        <v>52</v>
      </c>
      <c r="F284" s="17" t="s">
        <v>249</v>
      </c>
      <c r="G284" s="18" t="n">
        <v>0</v>
      </c>
      <c r="H284" s="18" t="n">
        <v>1000.05</v>
      </c>
      <c r="I284" s="18" t="n">
        <f aca="false">((I283 + G284) - H284)</f>
        <v>-153419.41</v>
      </c>
      <c r="J284" s="18" t="n">
        <v>-100.01</v>
      </c>
      <c r="K284" s="19" t="n">
        <v>10</v>
      </c>
      <c r="L284" s="17" t="s">
        <v>44</v>
      </c>
    </row>
    <row r="285" s="11" customFormat="true" ht="10.95" hidden="false" customHeight="true" outlineLevel="0" collapsed="false">
      <c r="A285" s="16" t="n">
        <v>45196</v>
      </c>
      <c r="B285" s="17" t="s">
        <v>17</v>
      </c>
      <c r="C285" s="17" t="s">
        <v>18</v>
      </c>
      <c r="D285" s="17" t="s">
        <v>19</v>
      </c>
      <c r="E285" s="17" t="s">
        <v>54</v>
      </c>
      <c r="F285" s="17" t="s">
        <v>250</v>
      </c>
      <c r="G285" s="18" t="n">
        <v>0</v>
      </c>
      <c r="H285" s="18" t="n">
        <v>550</v>
      </c>
      <c r="I285" s="18" t="n">
        <f aca="false">((I284 + G285) - H285)</f>
        <v>-153969.41</v>
      </c>
      <c r="J285" s="18" t="n">
        <v>-55</v>
      </c>
      <c r="K285" s="19" t="n">
        <v>10</v>
      </c>
      <c r="L285" s="17" t="s">
        <v>22</v>
      </c>
    </row>
    <row r="286" s="11" customFormat="true" ht="31.65" hidden="false" customHeight="true" outlineLevel="0" collapsed="false">
      <c r="A286" s="16" t="n">
        <v>45196</v>
      </c>
      <c r="B286" s="17" t="s">
        <v>17</v>
      </c>
      <c r="C286" s="17" t="s">
        <v>18</v>
      </c>
      <c r="D286" s="17" t="s">
        <v>19</v>
      </c>
      <c r="E286" s="20" t="s">
        <v>56</v>
      </c>
      <c r="F286" s="17" t="s">
        <v>250</v>
      </c>
      <c r="G286" s="18" t="n">
        <v>0</v>
      </c>
      <c r="H286" s="18" t="n">
        <v>110</v>
      </c>
      <c r="I286" s="18" t="n">
        <f aca="false">((I285 + G286) - H286)</f>
        <v>-154079.41</v>
      </c>
      <c r="J286" s="18" t="n">
        <v>-11</v>
      </c>
      <c r="K286" s="19" t="n">
        <v>10</v>
      </c>
      <c r="L286" s="17" t="s">
        <v>22</v>
      </c>
    </row>
    <row r="287" s="11" customFormat="true" ht="10.95" hidden="false" customHeight="true" outlineLevel="0" collapsed="false">
      <c r="A287" s="16" t="n">
        <v>45196</v>
      </c>
      <c r="B287" s="17" t="s">
        <v>17</v>
      </c>
      <c r="C287" s="17" t="s">
        <v>18</v>
      </c>
      <c r="D287" s="17" t="s">
        <v>19</v>
      </c>
      <c r="E287" s="17" t="s">
        <v>57</v>
      </c>
      <c r="F287" s="17" t="s">
        <v>250</v>
      </c>
      <c r="G287" s="18" t="n">
        <v>0</v>
      </c>
      <c r="H287" s="18" t="n">
        <v>132</v>
      </c>
      <c r="I287" s="18" t="n">
        <f aca="false">((I286 + G287) - H287)</f>
        <v>-154211.41</v>
      </c>
      <c r="J287" s="18" t="n">
        <v>-13.2</v>
      </c>
      <c r="K287" s="19" t="n">
        <v>10</v>
      </c>
      <c r="L287" s="17" t="s">
        <v>22</v>
      </c>
    </row>
    <row r="288" s="11" customFormat="true" ht="10.95" hidden="false" customHeight="true" outlineLevel="0" collapsed="false">
      <c r="A288" s="16" t="n">
        <v>45196</v>
      </c>
      <c r="B288" s="17" t="s">
        <v>17</v>
      </c>
      <c r="C288" s="17" t="s">
        <v>18</v>
      </c>
      <c r="D288" s="17" t="s">
        <v>19</v>
      </c>
      <c r="E288" s="17" t="s">
        <v>58</v>
      </c>
      <c r="F288" s="17" t="s">
        <v>250</v>
      </c>
      <c r="G288" s="18" t="n">
        <v>0</v>
      </c>
      <c r="H288" s="18" t="n">
        <v>165</v>
      </c>
      <c r="I288" s="18" t="n">
        <f aca="false">((I287 + G288) - H288)</f>
        <v>-154376.41</v>
      </c>
      <c r="J288" s="18" t="n">
        <v>-16.5</v>
      </c>
      <c r="K288" s="19" t="n">
        <v>10</v>
      </c>
      <c r="L288" s="17" t="s">
        <v>22</v>
      </c>
    </row>
    <row r="289" s="11" customFormat="true" ht="10.95" hidden="false" customHeight="true" outlineLevel="0" collapsed="false">
      <c r="A289" s="16" t="n">
        <v>45196</v>
      </c>
      <c r="B289" s="17" t="s">
        <v>17</v>
      </c>
      <c r="C289" s="17" t="s">
        <v>18</v>
      </c>
      <c r="D289" s="17" t="s">
        <v>19</v>
      </c>
      <c r="E289" s="17" t="s">
        <v>59</v>
      </c>
      <c r="F289" s="17" t="s">
        <v>251</v>
      </c>
      <c r="G289" s="18" t="n">
        <v>0</v>
      </c>
      <c r="H289" s="18" t="n">
        <v>4800</v>
      </c>
      <c r="I289" s="18" t="n">
        <f aca="false">((I288 + G289) - H289)</f>
        <v>-159176.41</v>
      </c>
      <c r="J289" s="18" t="n">
        <v>-480</v>
      </c>
      <c r="K289" s="19" t="n">
        <v>10</v>
      </c>
      <c r="L289" s="17" t="s">
        <v>22</v>
      </c>
    </row>
    <row r="290" s="11" customFormat="true" ht="10.95" hidden="false" customHeight="true" outlineLevel="0" collapsed="false">
      <c r="A290" s="16" t="n">
        <v>45196</v>
      </c>
      <c r="B290" s="17" t="s">
        <v>17</v>
      </c>
      <c r="C290" s="17" t="s">
        <v>18</v>
      </c>
      <c r="D290" s="17" t="s">
        <v>19</v>
      </c>
      <c r="E290" s="17" t="s">
        <v>61</v>
      </c>
      <c r="F290" s="17" t="s">
        <v>251</v>
      </c>
      <c r="G290" s="18" t="n">
        <v>0</v>
      </c>
      <c r="H290" s="18" t="n">
        <v>3990</v>
      </c>
      <c r="I290" s="18" t="n">
        <f aca="false">((I289 + G290) - H290)</f>
        <v>-163166.41</v>
      </c>
      <c r="J290" s="18" t="n">
        <v>-399</v>
      </c>
      <c r="K290" s="19" t="n">
        <v>10</v>
      </c>
      <c r="L290" s="17" t="s">
        <v>22</v>
      </c>
    </row>
    <row r="291" s="11" customFormat="true" ht="10.95" hidden="false" customHeight="true" outlineLevel="0" collapsed="false">
      <c r="A291" s="16" t="n">
        <v>45196</v>
      </c>
      <c r="B291" s="17" t="s">
        <v>17</v>
      </c>
      <c r="C291" s="17" t="s">
        <v>18</v>
      </c>
      <c r="D291" s="17" t="s">
        <v>19</v>
      </c>
      <c r="E291" s="17" t="s">
        <v>62</v>
      </c>
      <c r="F291" s="17" t="s">
        <v>251</v>
      </c>
      <c r="G291" s="18" t="n">
        <v>0</v>
      </c>
      <c r="H291" s="18" t="n">
        <v>300</v>
      </c>
      <c r="I291" s="18" t="n">
        <f aca="false">((I290 + G291) - H291)</f>
        <v>-163466.41</v>
      </c>
      <c r="J291" s="18" t="n">
        <v>-30</v>
      </c>
      <c r="K291" s="19" t="n">
        <v>10</v>
      </c>
      <c r="L291" s="17" t="s">
        <v>22</v>
      </c>
    </row>
    <row r="292" s="11" customFormat="true" ht="10.95" hidden="false" customHeight="true" outlineLevel="0" collapsed="false">
      <c r="A292" s="16" t="n">
        <v>45196</v>
      </c>
      <c r="B292" s="17" t="s">
        <v>17</v>
      </c>
      <c r="C292" s="17" t="s">
        <v>18</v>
      </c>
      <c r="D292" s="17" t="s">
        <v>19</v>
      </c>
      <c r="E292" s="17" t="s">
        <v>64</v>
      </c>
      <c r="F292" s="17" t="s">
        <v>252</v>
      </c>
      <c r="G292" s="18" t="n">
        <v>0</v>
      </c>
      <c r="H292" s="18" t="n">
        <v>3740</v>
      </c>
      <c r="I292" s="18" t="n">
        <f aca="false">((I291 + G292) - H292)</f>
        <v>-167206.41</v>
      </c>
      <c r="J292" s="18" t="n">
        <v>-374</v>
      </c>
      <c r="K292" s="19" t="n">
        <v>10</v>
      </c>
      <c r="L292" s="17" t="s">
        <v>22</v>
      </c>
    </row>
    <row r="293" s="11" customFormat="true" ht="10.95" hidden="false" customHeight="true" outlineLevel="0" collapsed="false">
      <c r="A293" s="16" t="n">
        <v>45196</v>
      </c>
      <c r="B293" s="17" t="s">
        <v>17</v>
      </c>
      <c r="C293" s="17" t="s">
        <v>18</v>
      </c>
      <c r="D293" s="17" t="s">
        <v>19</v>
      </c>
      <c r="E293" s="17" t="s">
        <v>66</v>
      </c>
      <c r="F293" s="17" t="s">
        <v>252</v>
      </c>
      <c r="G293" s="18" t="n">
        <v>0</v>
      </c>
      <c r="H293" s="18" t="n">
        <v>220</v>
      </c>
      <c r="I293" s="18" t="n">
        <f aca="false">((I292 + G293) - H293)</f>
        <v>-167426.41</v>
      </c>
      <c r="J293" s="18" t="n">
        <v>-22</v>
      </c>
      <c r="K293" s="19" t="n">
        <v>10</v>
      </c>
      <c r="L293" s="17" t="s">
        <v>22</v>
      </c>
    </row>
    <row r="294" s="11" customFormat="true" ht="10.95" hidden="false" customHeight="true" outlineLevel="0" collapsed="false">
      <c r="A294" s="16" t="n">
        <v>45196</v>
      </c>
      <c r="B294" s="17" t="s">
        <v>17</v>
      </c>
      <c r="C294" s="17" t="s">
        <v>18</v>
      </c>
      <c r="D294" s="17" t="s">
        <v>19</v>
      </c>
      <c r="E294" s="17" t="s">
        <v>67</v>
      </c>
      <c r="F294" s="17" t="s">
        <v>252</v>
      </c>
      <c r="G294" s="18" t="n">
        <v>0</v>
      </c>
      <c r="H294" s="18" t="n">
        <v>220</v>
      </c>
      <c r="I294" s="18" t="n">
        <f aca="false">((I293 + G294) - H294)</f>
        <v>-167646.41</v>
      </c>
      <c r="J294" s="18" t="n">
        <v>-22</v>
      </c>
      <c r="K294" s="19" t="n">
        <v>10</v>
      </c>
      <c r="L294" s="17" t="s">
        <v>22</v>
      </c>
    </row>
    <row r="295" s="11" customFormat="true" ht="10.95" hidden="false" customHeight="true" outlineLevel="0" collapsed="false">
      <c r="A295" s="16" t="n">
        <v>45196</v>
      </c>
      <c r="B295" s="17" t="s">
        <v>17</v>
      </c>
      <c r="C295" s="17" t="s">
        <v>18</v>
      </c>
      <c r="D295" s="17" t="s">
        <v>19</v>
      </c>
      <c r="E295" s="17" t="s">
        <v>68</v>
      </c>
      <c r="F295" s="17" t="s">
        <v>252</v>
      </c>
      <c r="G295" s="18" t="n">
        <v>0</v>
      </c>
      <c r="H295" s="18" t="n">
        <v>250</v>
      </c>
      <c r="I295" s="18" t="n">
        <f aca="false">((I294 + G295) - H295)</f>
        <v>-167896.41</v>
      </c>
      <c r="J295" s="18" t="n">
        <v>-25</v>
      </c>
      <c r="K295" s="19" t="n">
        <v>10</v>
      </c>
      <c r="L295" s="17" t="s">
        <v>22</v>
      </c>
    </row>
    <row r="296" s="11" customFormat="true" ht="10.95" hidden="false" customHeight="true" outlineLevel="0" collapsed="false">
      <c r="A296" s="16" t="n">
        <v>45196</v>
      </c>
      <c r="B296" s="17" t="s">
        <v>17</v>
      </c>
      <c r="C296" s="17" t="s">
        <v>18</v>
      </c>
      <c r="D296" s="17" t="s">
        <v>19</v>
      </c>
      <c r="E296" s="17" t="s">
        <v>69</v>
      </c>
      <c r="F296" s="17" t="s">
        <v>253</v>
      </c>
      <c r="G296" s="18" t="n">
        <v>0</v>
      </c>
      <c r="H296" s="18" t="n">
        <v>880</v>
      </c>
      <c r="I296" s="18" t="n">
        <f aca="false">((I295 + G296) - H296)</f>
        <v>-168776.41</v>
      </c>
      <c r="J296" s="18" t="n">
        <v>-88</v>
      </c>
      <c r="K296" s="19" t="n">
        <v>10</v>
      </c>
      <c r="L296" s="17" t="s">
        <v>22</v>
      </c>
    </row>
    <row r="297" s="11" customFormat="true" ht="10.95" hidden="false" customHeight="true" outlineLevel="0" collapsed="false">
      <c r="A297" s="16" t="n">
        <v>45196</v>
      </c>
      <c r="B297" s="17" t="s">
        <v>17</v>
      </c>
      <c r="C297" s="17" t="s">
        <v>18</v>
      </c>
      <c r="D297" s="17" t="s">
        <v>19</v>
      </c>
      <c r="E297" s="17" t="s">
        <v>201</v>
      </c>
      <c r="F297" s="17" t="s">
        <v>254</v>
      </c>
      <c r="G297" s="18" t="n">
        <v>0</v>
      </c>
      <c r="H297" s="18" t="n">
        <v>1512</v>
      </c>
      <c r="I297" s="18" t="n">
        <f aca="false">((I296 + G297) - H297)</f>
        <v>-170288.41</v>
      </c>
      <c r="J297" s="18" t="n">
        <v>-151.2</v>
      </c>
      <c r="K297" s="19" t="n">
        <v>10</v>
      </c>
      <c r="L297" s="17" t="s">
        <v>44</v>
      </c>
    </row>
    <row r="298" s="11" customFormat="true" ht="10.95" hidden="false" customHeight="true" outlineLevel="0" collapsed="false">
      <c r="A298" s="16" t="n">
        <v>45196</v>
      </c>
      <c r="B298" s="17" t="s">
        <v>17</v>
      </c>
      <c r="C298" s="17" t="s">
        <v>18</v>
      </c>
      <c r="D298" s="17" t="s">
        <v>19</v>
      </c>
      <c r="E298" s="17" t="s">
        <v>203</v>
      </c>
      <c r="F298" s="17" t="s">
        <v>254</v>
      </c>
      <c r="G298" s="18" t="n">
        <v>0</v>
      </c>
      <c r="H298" s="18" t="n">
        <v>110</v>
      </c>
      <c r="I298" s="18" t="n">
        <f aca="false">((I297 + G298) - H298)</f>
        <v>-170398.41</v>
      </c>
      <c r="J298" s="18" t="n">
        <v>-11</v>
      </c>
      <c r="K298" s="19" t="n">
        <v>10</v>
      </c>
      <c r="L298" s="17" t="s">
        <v>44</v>
      </c>
    </row>
    <row r="299" s="11" customFormat="true" ht="10.95" hidden="false" customHeight="true" outlineLevel="0" collapsed="false">
      <c r="A299" s="16" t="n">
        <v>45196</v>
      </c>
      <c r="B299" s="17" t="s">
        <v>17</v>
      </c>
      <c r="C299" s="17" t="s">
        <v>18</v>
      </c>
      <c r="D299" s="17" t="s">
        <v>19</v>
      </c>
      <c r="E299" s="17" t="s">
        <v>74</v>
      </c>
      <c r="F299" s="17" t="s">
        <v>255</v>
      </c>
      <c r="G299" s="18" t="n">
        <v>0</v>
      </c>
      <c r="H299" s="18" t="n">
        <v>1598</v>
      </c>
      <c r="I299" s="18" t="n">
        <f aca="false">((I298 + G299) - H299)</f>
        <v>-171996.41</v>
      </c>
      <c r="J299" s="18" t="n">
        <v>-159.8</v>
      </c>
      <c r="K299" s="19" t="n">
        <v>10</v>
      </c>
      <c r="L299" s="17" t="s">
        <v>22</v>
      </c>
    </row>
    <row r="300" s="11" customFormat="true" ht="10.95" hidden="false" customHeight="true" outlineLevel="0" collapsed="false">
      <c r="A300" s="16" t="n">
        <v>45196</v>
      </c>
      <c r="B300" s="17" t="s">
        <v>17</v>
      </c>
      <c r="C300" s="17" t="s">
        <v>18</v>
      </c>
      <c r="D300" s="17" t="s">
        <v>19</v>
      </c>
      <c r="E300" s="17" t="s">
        <v>256</v>
      </c>
      <c r="F300" s="17" t="s">
        <v>255</v>
      </c>
      <c r="G300" s="18" t="n">
        <v>0</v>
      </c>
      <c r="H300" s="18" t="n">
        <v>94</v>
      </c>
      <c r="I300" s="18" t="n">
        <f aca="false">((I299 + G300) - H300)</f>
        <v>-172090.41</v>
      </c>
      <c r="J300" s="18" t="n">
        <v>-9.4</v>
      </c>
      <c r="K300" s="19" t="n">
        <v>10</v>
      </c>
      <c r="L300" s="17" t="s">
        <v>22</v>
      </c>
    </row>
    <row r="301" s="11" customFormat="true" ht="10.95" hidden="false" customHeight="true" outlineLevel="0" collapsed="false">
      <c r="A301" s="16" t="n">
        <v>45196</v>
      </c>
      <c r="B301" s="17" t="s">
        <v>17</v>
      </c>
      <c r="C301" s="17" t="s">
        <v>18</v>
      </c>
      <c r="D301" s="17" t="s">
        <v>19</v>
      </c>
      <c r="E301" s="17" t="s">
        <v>257</v>
      </c>
      <c r="F301" s="17" t="s">
        <v>255</v>
      </c>
      <c r="G301" s="18" t="n">
        <v>0</v>
      </c>
      <c r="H301" s="18" t="n">
        <v>94</v>
      </c>
      <c r="I301" s="18" t="n">
        <f aca="false">((I300 + G301) - H301)</f>
        <v>-172184.41</v>
      </c>
      <c r="J301" s="18" t="n">
        <v>-9.4</v>
      </c>
      <c r="K301" s="19" t="n">
        <v>10</v>
      </c>
      <c r="L301" s="17" t="s">
        <v>22</v>
      </c>
    </row>
    <row r="302" s="11" customFormat="true" ht="10.95" hidden="false" customHeight="true" outlineLevel="0" collapsed="false">
      <c r="A302" s="16" t="n">
        <v>45196</v>
      </c>
      <c r="B302" s="17" t="s">
        <v>17</v>
      </c>
      <c r="C302" s="17" t="s">
        <v>18</v>
      </c>
      <c r="D302" s="17" t="s">
        <v>19</v>
      </c>
      <c r="E302" s="17" t="s">
        <v>258</v>
      </c>
      <c r="F302" s="17" t="s">
        <v>255</v>
      </c>
      <c r="G302" s="18" t="n">
        <v>0</v>
      </c>
      <c r="H302" s="18" t="n">
        <v>94</v>
      </c>
      <c r="I302" s="18" t="n">
        <f aca="false">((I301 + G302) - H302)</f>
        <v>-172278.41</v>
      </c>
      <c r="J302" s="18" t="n">
        <v>-9.4</v>
      </c>
      <c r="K302" s="19" t="n">
        <v>10</v>
      </c>
      <c r="L302" s="17" t="s">
        <v>22</v>
      </c>
    </row>
    <row r="303" s="11" customFormat="true" ht="10.95" hidden="false" customHeight="true" outlineLevel="0" collapsed="false">
      <c r="A303" s="16" t="n">
        <v>45196</v>
      </c>
      <c r="B303" s="17" t="s">
        <v>17</v>
      </c>
      <c r="C303" s="17" t="s">
        <v>18</v>
      </c>
      <c r="D303" s="17" t="s">
        <v>19</v>
      </c>
      <c r="E303" s="17" t="s">
        <v>259</v>
      </c>
      <c r="F303" s="17" t="s">
        <v>260</v>
      </c>
      <c r="G303" s="18" t="n">
        <v>0</v>
      </c>
      <c r="H303" s="18" t="n">
        <v>1760</v>
      </c>
      <c r="I303" s="18" t="n">
        <f aca="false">((I302 + G303) - H303)</f>
        <v>-174038.41</v>
      </c>
      <c r="J303" s="18" t="n">
        <v>-176</v>
      </c>
      <c r="K303" s="19" t="n">
        <v>10</v>
      </c>
      <c r="L303" s="17" t="s">
        <v>22</v>
      </c>
    </row>
    <row r="304" s="11" customFormat="true" ht="10.95" hidden="false" customHeight="true" outlineLevel="0" collapsed="false">
      <c r="A304" s="16" t="n">
        <v>45196</v>
      </c>
      <c r="B304" s="17" t="s">
        <v>17</v>
      </c>
      <c r="C304" s="17" t="s">
        <v>18</v>
      </c>
      <c r="D304" s="17" t="s">
        <v>19</v>
      </c>
      <c r="E304" s="17" t="s">
        <v>261</v>
      </c>
      <c r="F304" s="17" t="s">
        <v>260</v>
      </c>
      <c r="G304" s="18" t="n">
        <v>0</v>
      </c>
      <c r="H304" s="18" t="n">
        <v>522.5</v>
      </c>
      <c r="I304" s="18" t="n">
        <f aca="false">((I303 + G304) - H304)</f>
        <v>-174560.91</v>
      </c>
      <c r="J304" s="18" t="n">
        <v>-52.25</v>
      </c>
      <c r="K304" s="19" t="n">
        <v>10</v>
      </c>
      <c r="L304" s="17" t="s">
        <v>22</v>
      </c>
    </row>
    <row r="305" s="11" customFormat="true" ht="10.95" hidden="false" customHeight="true" outlineLevel="0" collapsed="false">
      <c r="A305" s="16" t="n">
        <v>45196</v>
      </c>
      <c r="B305" s="17" t="s">
        <v>17</v>
      </c>
      <c r="C305" s="17" t="s">
        <v>18</v>
      </c>
      <c r="D305" s="17" t="s">
        <v>19</v>
      </c>
      <c r="E305" s="17" t="s">
        <v>261</v>
      </c>
      <c r="F305" s="17" t="s">
        <v>260</v>
      </c>
      <c r="G305" s="18" t="n">
        <v>0</v>
      </c>
      <c r="H305" s="18" t="n">
        <v>522.5</v>
      </c>
      <c r="I305" s="18" t="n">
        <f aca="false">((I304 + G305) - H305)</f>
        <v>-175083.41</v>
      </c>
      <c r="J305" s="18" t="n">
        <v>-52.25</v>
      </c>
      <c r="K305" s="19" t="n">
        <v>10</v>
      </c>
      <c r="L305" s="17" t="s">
        <v>22</v>
      </c>
    </row>
    <row r="306" s="11" customFormat="true" ht="10.95" hidden="false" customHeight="true" outlineLevel="0" collapsed="false">
      <c r="A306" s="16" t="n">
        <v>45196</v>
      </c>
      <c r="B306" s="17" t="s">
        <v>17</v>
      </c>
      <c r="C306" s="17" t="s">
        <v>18</v>
      </c>
      <c r="D306" s="17" t="s">
        <v>19</v>
      </c>
      <c r="E306" s="17" t="s">
        <v>261</v>
      </c>
      <c r="F306" s="17" t="s">
        <v>260</v>
      </c>
      <c r="G306" s="18" t="n">
        <v>0</v>
      </c>
      <c r="H306" s="18" t="n">
        <v>522.5</v>
      </c>
      <c r="I306" s="18" t="n">
        <f aca="false">((I305 + G306) - H306)</f>
        <v>-175605.91</v>
      </c>
      <c r="J306" s="18" t="n">
        <v>-52.25</v>
      </c>
      <c r="K306" s="19" t="n">
        <v>10</v>
      </c>
      <c r="L306" s="17" t="s">
        <v>22</v>
      </c>
    </row>
    <row r="307" s="11" customFormat="true" ht="10.95" hidden="false" customHeight="true" outlineLevel="0" collapsed="false">
      <c r="A307" s="16" t="n">
        <v>45196</v>
      </c>
      <c r="B307" s="17" t="s">
        <v>17</v>
      </c>
      <c r="C307" s="17" t="s">
        <v>18</v>
      </c>
      <c r="D307" s="17" t="s">
        <v>19</v>
      </c>
      <c r="E307" s="17" t="s">
        <v>76</v>
      </c>
      <c r="F307" s="17" t="s">
        <v>262</v>
      </c>
      <c r="G307" s="18" t="n">
        <v>0</v>
      </c>
      <c r="H307" s="18" t="n">
        <v>752</v>
      </c>
      <c r="I307" s="18" t="n">
        <f aca="false">((I306 + G307) - H307)</f>
        <v>-176357.91</v>
      </c>
      <c r="J307" s="18" t="n">
        <v>-75.2</v>
      </c>
      <c r="K307" s="19" t="n">
        <v>10</v>
      </c>
      <c r="L307" s="17" t="s">
        <v>22</v>
      </c>
    </row>
    <row r="308" s="11" customFormat="true" ht="10.95" hidden="false" customHeight="true" outlineLevel="0" collapsed="false">
      <c r="A308" s="16" t="n">
        <v>45196</v>
      </c>
      <c r="B308" s="17" t="s">
        <v>17</v>
      </c>
      <c r="C308" s="17" t="s">
        <v>18</v>
      </c>
      <c r="D308" s="17" t="s">
        <v>19</v>
      </c>
      <c r="E308" s="17" t="s">
        <v>78</v>
      </c>
      <c r="F308" s="17" t="s">
        <v>263</v>
      </c>
      <c r="G308" s="18" t="n">
        <v>0</v>
      </c>
      <c r="H308" s="18" t="n">
        <v>470</v>
      </c>
      <c r="I308" s="18" t="n">
        <f aca="false">((I307 + G308) - H308)</f>
        <v>-176827.91</v>
      </c>
      <c r="J308" s="18" t="n">
        <v>-47</v>
      </c>
      <c r="K308" s="19" t="n">
        <v>10</v>
      </c>
      <c r="L308" s="17" t="s">
        <v>22</v>
      </c>
    </row>
    <row r="309" s="11" customFormat="true" ht="10.95" hidden="false" customHeight="true" outlineLevel="0" collapsed="false">
      <c r="A309" s="16" t="n">
        <v>45196</v>
      </c>
      <c r="B309" s="17" t="s">
        <v>17</v>
      </c>
      <c r="C309" s="17" t="s">
        <v>18</v>
      </c>
      <c r="D309" s="17" t="s">
        <v>19</v>
      </c>
      <c r="E309" s="17" t="s">
        <v>80</v>
      </c>
      <c r="F309" s="17" t="s">
        <v>263</v>
      </c>
      <c r="G309" s="18" t="n">
        <v>0</v>
      </c>
      <c r="H309" s="18" t="n">
        <v>110</v>
      </c>
      <c r="I309" s="18" t="n">
        <f aca="false">((I308 + G309) - H309)</f>
        <v>-176937.91</v>
      </c>
      <c r="J309" s="18" t="n">
        <v>-11</v>
      </c>
      <c r="K309" s="19" t="n">
        <v>10</v>
      </c>
      <c r="L309" s="17" t="s">
        <v>22</v>
      </c>
    </row>
    <row r="310" s="11" customFormat="true" ht="10.95" hidden="false" customHeight="true" outlineLevel="0" collapsed="false">
      <c r="A310" s="16" t="n">
        <v>45196</v>
      </c>
      <c r="B310" s="17" t="s">
        <v>17</v>
      </c>
      <c r="C310" s="17" t="s">
        <v>18</v>
      </c>
      <c r="D310" s="17" t="s">
        <v>19</v>
      </c>
      <c r="E310" s="17" t="s">
        <v>78</v>
      </c>
      <c r="F310" s="17" t="s">
        <v>264</v>
      </c>
      <c r="G310" s="18" t="n">
        <v>0</v>
      </c>
      <c r="H310" s="18" t="n">
        <v>188</v>
      </c>
      <c r="I310" s="18" t="n">
        <f aca="false">((I309 + G310) - H310)</f>
        <v>-177125.91</v>
      </c>
      <c r="J310" s="18" t="n">
        <v>-18.8</v>
      </c>
      <c r="K310" s="19" t="n">
        <v>10</v>
      </c>
      <c r="L310" s="17" t="s">
        <v>22</v>
      </c>
    </row>
    <row r="311" s="11" customFormat="true" ht="10.95" hidden="false" customHeight="true" outlineLevel="0" collapsed="false">
      <c r="A311" s="16" t="n">
        <v>45196</v>
      </c>
      <c r="B311" s="17" t="s">
        <v>17</v>
      </c>
      <c r="C311" s="17" t="s">
        <v>18</v>
      </c>
      <c r="D311" s="17" t="s">
        <v>19</v>
      </c>
      <c r="E311" s="17" t="s">
        <v>78</v>
      </c>
      <c r="F311" s="17" t="s">
        <v>265</v>
      </c>
      <c r="G311" s="18" t="n">
        <v>0</v>
      </c>
      <c r="H311" s="18" t="n">
        <v>1128</v>
      </c>
      <c r="I311" s="18" t="n">
        <f aca="false">((I310 + G311) - H311)</f>
        <v>-178253.91</v>
      </c>
      <c r="J311" s="18" t="n">
        <v>-112.8</v>
      </c>
      <c r="K311" s="19" t="n">
        <v>10</v>
      </c>
      <c r="L311" s="17" t="s">
        <v>22</v>
      </c>
    </row>
    <row r="312" s="11" customFormat="true" ht="10.95" hidden="false" customHeight="true" outlineLevel="0" collapsed="false">
      <c r="A312" s="16" t="n">
        <v>45196</v>
      </c>
      <c r="B312" s="17" t="s">
        <v>17</v>
      </c>
      <c r="C312" s="17" t="s">
        <v>18</v>
      </c>
      <c r="D312" s="17" t="s">
        <v>19</v>
      </c>
      <c r="E312" s="17" t="s">
        <v>83</v>
      </c>
      <c r="F312" s="17" t="s">
        <v>265</v>
      </c>
      <c r="G312" s="18" t="n">
        <v>0</v>
      </c>
      <c r="H312" s="18" t="n">
        <v>38.5</v>
      </c>
      <c r="I312" s="18" t="n">
        <f aca="false">((I311 + G312) - H312)</f>
        <v>-178292.41</v>
      </c>
      <c r="J312" s="18" t="n">
        <v>-3.85</v>
      </c>
      <c r="K312" s="19" t="n">
        <v>10</v>
      </c>
      <c r="L312" s="17" t="s">
        <v>22</v>
      </c>
    </row>
    <row r="313" s="11" customFormat="true" ht="10.95" hidden="false" customHeight="true" outlineLevel="0" collapsed="false">
      <c r="A313" s="16" t="n">
        <v>45196</v>
      </c>
      <c r="B313" s="17" t="s">
        <v>17</v>
      </c>
      <c r="C313" s="17" t="s">
        <v>18</v>
      </c>
      <c r="D313" s="17" t="s">
        <v>19</v>
      </c>
      <c r="E313" s="17" t="s">
        <v>84</v>
      </c>
      <c r="F313" s="17" t="s">
        <v>265</v>
      </c>
      <c r="G313" s="18" t="n">
        <v>0</v>
      </c>
      <c r="H313" s="18" t="n">
        <v>165</v>
      </c>
      <c r="I313" s="18" t="n">
        <f aca="false">((I312 + G313) - H313)</f>
        <v>-178457.41</v>
      </c>
      <c r="J313" s="18" t="n">
        <v>-16.5</v>
      </c>
      <c r="K313" s="19" t="n">
        <v>10</v>
      </c>
      <c r="L313" s="17" t="s">
        <v>22</v>
      </c>
    </row>
    <row r="314" s="11" customFormat="true" ht="10.95" hidden="false" customHeight="true" outlineLevel="0" collapsed="false">
      <c r="A314" s="16" t="n">
        <v>45196</v>
      </c>
      <c r="B314" s="17" t="s">
        <v>17</v>
      </c>
      <c r="C314" s="17" t="s">
        <v>18</v>
      </c>
      <c r="D314" s="17" t="s">
        <v>19</v>
      </c>
      <c r="E314" s="17" t="s">
        <v>266</v>
      </c>
      <c r="F314" s="17" t="s">
        <v>265</v>
      </c>
      <c r="G314" s="18" t="n">
        <v>0</v>
      </c>
      <c r="H314" s="18" t="n">
        <v>94</v>
      </c>
      <c r="I314" s="18" t="n">
        <f aca="false">((I313 + G314) - H314)</f>
        <v>-178551.41</v>
      </c>
      <c r="J314" s="18" t="n">
        <v>-9.4</v>
      </c>
      <c r="K314" s="19" t="n">
        <v>10</v>
      </c>
      <c r="L314" s="17" t="s">
        <v>22</v>
      </c>
    </row>
    <row r="315" s="11" customFormat="true" ht="10.95" hidden="false" customHeight="true" outlineLevel="0" collapsed="false">
      <c r="A315" s="16" t="n">
        <v>45196</v>
      </c>
      <c r="B315" s="17" t="s">
        <v>17</v>
      </c>
      <c r="C315" s="17" t="s">
        <v>18</v>
      </c>
      <c r="D315" s="17" t="s">
        <v>19</v>
      </c>
      <c r="E315" s="17" t="s">
        <v>267</v>
      </c>
      <c r="F315" s="17" t="s">
        <v>265</v>
      </c>
      <c r="G315" s="18" t="n">
        <v>0</v>
      </c>
      <c r="H315" s="18" t="n">
        <v>94</v>
      </c>
      <c r="I315" s="18" t="n">
        <f aca="false">((I314 + G315) - H315)</f>
        <v>-178645.41</v>
      </c>
      <c r="J315" s="18" t="n">
        <v>-9.4</v>
      </c>
      <c r="K315" s="19" t="n">
        <v>10</v>
      </c>
      <c r="L315" s="17" t="s">
        <v>22</v>
      </c>
    </row>
    <row r="316" s="11" customFormat="true" ht="10.95" hidden="false" customHeight="true" outlineLevel="0" collapsed="false">
      <c r="A316" s="16" t="n">
        <v>45196</v>
      </c>
      <c r="B316" s="17" t="s">
        <v>17</v>
      </c>
      <c r="C316" s="17" t="s">
        <v>18</v>
      </c>
      <c r="D316" s="17" t="s">
        <v>19</v>
      </c>
      <c r="E316" s="17" t="s">
        <v>268</v>
      </c>
      <c r="F316" s="17" t="s">
        <v>265</v>
      </c>
      <c r="G316" s="18" t="n">
        <v>0</v>
      </c>
      <c r="H316" s="18" t="n">
        <v>94</v>
      </c>
      <c r="I316" s="18" t="n">
        <f aca="false">((I315 + G316) - H316)</f>
        <v>-178739.41</v>
      </c>
      <c r="J316" s="18" t="n">
        <v>-9.4</v>
      </c>
      <c r="K316" s="19" t="n">
        <v>10</v>
      </c>
      <c r="L316" s="17" t="s">
        <v>22</v>
      </c>
    </row>
    <row r="317" s="11" customFormat="true" ht="10.95" hidden="false" customHeight="true" outlineLevel="0" collapsed="false">
      <c r="A317" s="16" t="n">
        <v>45196</v>
      </c>
      <c r="B317" s="17" t="s">
        <v>17</v>
      </c>
      <c r="C317" s="17" t="s">
        <v>18</v>
      </c>
      <c r="D317" s="17" t="s">
        <v>19</v>
      </c>
      <c r="E317" s="17" t="s">
        <v>269</v>
      </c>
      <c r="F317" s="17" t="s">
        <v>265</v>
      </c>
      <c r="G317" s="18" t="n">
        <v>0</v>
      </c>
      <c r="H317" s="18" t="n">
        <v>94</v>
      </c>
      <c r="I317" s="18" t="n">
        <f aca="false">((I316 + G317) - H317)</f>
        <v>-178833.41</v>
      </c>
      <c r="J317" s="18" t="n">
        <v>-9.4</v>
      </c>
      <c r="K317" s="19" t="n">
        <v>10</v>
      </c>
      <c r="L317" s="17" t="s">
        <v>22</v>
      </c>
    </row>
    <row r="318" s="11" customFormat="true" ht="10.95" hidden="false" customHeight="true" outlineLevel="0" collapsed="false">
      <c r="A318" s="16" t="n">
        <v>45196</v>
      </c>
      <c r="B318" s="17" t="s">
        <v>17</v>
      </c>
      <c r="C318" s="17" t="s">
        <v>18</v>
      </c>
      <c r="D318" s="17" t="s">
        <v>19</v>
      </c>
      <c r="E318" s="17" t="s">
        <v>76</v>
      </c>
      <c r="F318" s="17" t="s">
        <v>270</v>
      </c>
      <c r="G318" s="18" t="n">
        <v>0</v>
      </c>
      <c r="H318" s="18" t="n">
        <v>470</v>
      </c>
      <c r="I318" s="18" t="n">
        <f aca="false">((I317 + G318) - H318)</f>
        <v>-179303.41</v>
      </c>
      <c r="J318" s="18" t="n">
        <v>-47</v>
      </c>
      <c r="K318" s="19" t="n">
        <v>10</v>
      </c>
      <c r="L318" s="17" t="s">
        <v>22</v>
      </c>
    </row>
    <row r="319" s="11" customFormat="true" ht="10.95" hidden="false" customHeight="true" outlineLevel="0" collapsed="false">
      <c r="A319" s="16" t="n">
        <v>45196</v>
      </c>
      <c r="B319" s="17" t="s">
        <v>17</v>
      </c>
      <c r="C319" s="17" t="s">
        <v>18</v>
      </c>
      <c r="D319" s="17" t="s">
        <v>19</v>
      </c>
      <c r="E319" s="17" t="s">
        <v>78</v>
      </c>
      <c r="F319" s="17" t="s">
        <v>271</v>
      </c>
      <c r="G319" s="18" t="n">
        <v>0</v>
      </c>
      <c r="H319" s="18" t="n">
        <v>188</v>
      </c>
      <c r="I319" s="18" t="n">
        <f aca="false">((I318 + G319) - H319)</f>
        <v>-179491.41</v>
      </c>
      <c r="J319" s="18" t="n">
        <v>-18.8</v>
      </c>
      <c r="K319" s="19" t="n">
        <v>10</v>
      </c>
      <c r="L319" s="17" t="s">
        <v>22</v>
      </c>
    </row>
    <row r="320" s="11" customFormat="true" ht="10.95" hidden="false" customHeight="true" outlineLevel="0" collapsed="false">
      <c r="A320" s="16" t="n">
        <v>45196</v>
      </c>
      <c r="B320" s="17" t="s">
        <v>17</v>
      </c>
      <c r="C320" s="17" t="s">
        <v>18</v>
      </c>
      <c r="D320" s="17" t="s">
        <v>19</v>
      </c>
      <c r="E320" s="17" t="s">
        <v>87</v>
      </c>
      <c r="F320" s="17" t="s">
        <v>271</v>
      </c>
      <c r="G320" s="18" t="n">
        <v>0</v>
      </c>
      <c r="H320" s="18" t="n">
        <v>110</v>
      </c>
      <c r="I320" s="18" t="n">
        <f aca="false">((I319 + G320) - H320)</f>
        <v>-179601.41</v>
      </c>
      <c r="J320" s="18" t="n">
        <v>0</v>
      </c>
      <c r="K320" s="19" t="n">
        <v>0</v>
      </c>
      <c r="L320" s="17" t="s">
        <v>88</v>
      </c>
    </row>
    <row r="321" s="11" customFormat="true" ht="10.95" hidden="false" customHeight="true" outlineLevel="0" collapsed="false">
      <c r="A321" s="16" t="n">
        <v>45196</v>
      </c>
      <c r="B321" s="17" t="s">
        <v>17</v>
      </c>
      <c r="C321" s="17" t="s">
        <v>18</v>
      </c>
      <c r="D321" s="17" t="s">
        <v>19</v>
      </c>
      <c r="E321" s="17" t="s">
        <v>89</v>
      </c>
      <c r="F321" s="17" t="s">
        <v>272</v>
      </c>
      <c r="G321" s="18" t="n">
        <v>0</v>
      </c>
      <c r="H321" s="18" t="n">
        <v>470</v>
      </c>
      <c r="I321" s="18" t="n">
        <f aca="false">((I320 + G321) - H321)</f>
        <v>-180071.41</v>
      </c>
      <c r="J321" s="18" t="n">
        <v>-47</v>
      </c>
      <c r="K321" s="19" t="n">
        <v>10</v>
      </c>
      <c r="L321" s="17" t="s">
        <v>22</v>
      </c>
    </row>
    <row r="322" s="11" customFormat="true" ht="10.95" hidden="false" customHeight="true" outlineLevel="0" collapsed="false">
      <c r="A322" s="16" t="n">
        <v>45196</v>
      </c>
      <c r="B322" s="17" t="s">
        <v>17</v>
      </c>
      <c r="C322" s="17" t="s">
        <v>18</v>
      </c>
      <c r="D322" s="17" t="s">
        <v>19</v>
      </c>
      <c r="E322" s="17" t="s">
        <v>87</v>
      </c>
      <c r="F322" s="17" t="s">
        <v>272</v>
      </c>
      <c r="G322" s="18" t="n">
        <v>0</v>
      </c>
      <c r="H322" s="18" t="n">
        <v>110</v>
      </c>
      <c r="I322" s="18" t="n">
        <f aca="false">((I321 + G322) - H322)</f>
        <v>-180181.41</v>
      </c>
      <c r="J322" s="18" t="n">
        <v>0</v>
      </c>
      <c r="K322" s="19" t="n">
        <v>0</v>
      </c>
      <c r="L322" s="17" t="s">
        <v>88</v>
      </c>
    </row>
    <row r="323" s="11" customFormat="true" ht="10.95" hidden="false" customHeight="true" outlineLevel="0" collapsed="false">
      <c r="A323" s="16" t="n">
        <v>45196</v>
      </c>
      <c r="B323" s="17" t="s">
        <v>17</v>
      </c>
      <c r="C323" s="17" t="s">
        <v>18</v>
      </c>
      <c r="D323" s="17" t="s">
        <v>19</v>
      </c>
      <c r="E323" s="17" t="s">
        <v>91</v>
      </c>
      <c r="F323" s="17" t="s">
        <v>273</v>
      </c>
      <c r="G323" s="18" t="n">
        <v>0</v>
      </c>
      <c r="H323" s="18" t="n">
        <v>1786</v>
      </c>
      <c r="I323" s="18" t="n">
        <f aca="false">((I322 + G323) - H323)</f>
        <v>-181967.41</v>
      </c>
      <c r="J323" s="18" t="n">
        <v>-178.6</v>
      </c>
      <c r="K323" s="19" t="n">
        <v>10</v>
      </c>
      <c r="L323" s="17" t="s">
        <v>22</v>
      </c>
    </row>
    <row r="324" s="11" customFormat="true" ht="10.95" hidden="false" customHeight="true" outlineLevel="0" collapsed="false">
      <c r="A324" s="16" t="n">
        <v>45196</v>
      </c>
      <c r="B324" s="17" t="s">
        <v>17</v>
      </c>
      <c r="C324" s="17" t="s">
        <v>18</v>
      </c>
      <c r="D324" s="17" t="s">
        <v>19</v>
      </c>
      <c r="E324" s="17" t="s">
        <v>93</v>
      </c>
      <c r="F324" s="17" t="s">
        <v>273</v>
      </c>
      <c r="G324" s="18" t="n">
        <v>0</v>
      </c>
      <c r="H324" s="18" t="n">
        <v>330</v>
      </c>
      <c r="I324" s="18" t="n">
        <f aca="false">((I323 + G324) - H324)</f>
        <v>-182297.41</v>
      </c>
      <c r="J324" s="18" t="n">
        <v>-33</v>
      </c>
      <c r="K324" s="19" t="n">
        <v>10</v>
      </c>
      <c r="L324" s="17" t="s">
        <v>22</v>
      </c>
    </row>
    <row r="325" s="11" customFormat="true" ht="10.95" hidden="false" customHeight="true" outlineLevel="0" collapsed="false">
      <c r="A325" s="16" t="n">
        <v>45196</v>
      </c>
      <c r="B325" s="17" t="s">
        <v>17</v>
      </c>
      <c r="C325" s="17" t="s">
        <v>18</v>
      </c>
      <c r="D325" s="17" t="s">
        <v>19</v>
      </c>
      <c r="E325" s="17" t="s">
        <v>94</v>
      </c>
      <c r="F325" s="17" t="s">
        <v>273</v>
      </c>
      <c r="G325" s="18" t="n">
        <v>0</v>
      </c>
      <c r="H325" s="18" t="n">
        <v>143</v>
      </c>
      <c r="I325" s="18" t="n">
        <f aca="false">((I324 + G325) - H325)</f>
        <v>-182440.41</v>
      </c>
      <c r="J325" s="18" t="n">
        <v>-14.3</v>
      </c>
      <c r="K325" s="19" t="n">
        <v>10</v>
      </c>
      <c r="L325" s="17" t="s">
        <v>22</v>
      </c>
    </row>
    <row r="326" s="11" customFormat="true" ht="10.95" hidden="false" customHeight="true" outlineLevel="0" collapsed="false">
      <c r="A326" s="16" t="n">
        <v>45196</v>
      </c>
      <c r="B326" s="17" t="s">
        <v>17</v>
      </c>
      <c r="C326" s="17" t="s">
        <v>18</v>
      </c>
      <c r="D326" s="17" t="s">
        <v>19</v>
      </c>
      <c r="E326" s="17" t="s">
        <v>95</v>
      </c>
      <c r="F326" s="17" t="s">
        <v>274</v>
      </c>
      <c r="G326" s="18" t="n">
        <v>0</v>
      </c>
      <c r="H326" s="18" t="n">
        <v>1034</v>
      </c>
      <c r="I326" s="18" t="n">
        <f aca="false">((I325 + G326) - H326)</f>
        <v>-183474.41</v>
      </c>
      <c r="J326" s="18" t="n">
        <v>-103.4</v>
      </c>
      <c r="K326" s="19" t="n">
        <v>10</v>
      </c>
      <c r="L326" s="17" t="s">
        <v>22</v>
      </c>
    </row>
    <row r="327" s="11" customFormat="true" ht="10.95" hidden="false" customHeight="true" outlineLevel="0" collapsed="false">
      <c r="A327" s="16" t="n">
        <v>45196</v>
      </c>
      <c r="B327" s="17" t="s">
        <v>17</v>
      </c>
      <c r="C327" s="17" t="s">
        <v>18</v>
      </c>
      <c r="D327" s="17" t="s">
        <v>19</v>
      </c>
      <c r="E327" s="17" t="s">
        <v>97</v>
      </c>
      <c r="F327" s="17" t="s">
        <v>274</v>
      </c>
      <c r="G327" s="18" t="n">
        <v>0</v>
      </c>
      <c r="H327" s="18" t="n">
        <v>110</v>
      </c>
      <c r="I327" s="18" t="n">
        <f aca="false">((I326 + G327) - H327)</f>
        <v>-183584.41</v>
      </c>
      <c r="J327" s="18" t="n">
        <v>-11</v>
      </c>
      <c r="K327" s="19" t="n">
        <v>10</v>
      </c>
      <c r="L327" s="17" t="s">
        <v>22</v>
      </c>
    </row>
    <row r="328" s="11" customFormat="true" ht="10.95" hidden="false" customHeight="true" outlineLevel="0" collapsed="false">
      <c r="A328" s="16" t="n">
        <v>45196</v>
      </c>
      <c r="B328" s="17" t="s">
        <v>17</v>
      </c>
      <c r="C328" s="17" t="s">
        <v>18</v>
      </c>
      <c r="D328" s="17" t="s">
        <v>19</v>
      </c>
      <c r="E328" s="17" t="s">
        <v>98</v>
      </c>
      <c r="F328" s="17" t="s">
        <v>275</v>
      </c>
      <c r="G328" s="18" t="n">
        <v>0</v>
      </c>
      <c r="H328" s="18" t="n">
        <v>282</v>
      </c>
      <c r="I328" s="18" t="n">
        <f aca="false">((I327 + G328) - H328)</f>
        <v>-183866.41</v>
      </c>
      <c r="J328" s="18" t="n">
        <v>-28.2</v>
      </c>
      <c r="K328" s="19" t="n">
        <v>10</v>
      </c>
      <c r="L328" s="17" t="s">
        <v>22</v>
      </c>
    </row>
    <row r="329" s="11" customFormat="true" ht="10.95" hidden="false" customHeight="true" outlineLevel="0" collapsed="false">
      <c r="A329" s="16" t="n">
        <v>45196</v>
      </c>
      <c r="B329" s="17" t="s">
        <v>17</v>
      </c>
      <c r="C329" s="17" t="s">
        <v>18</v>
      </c>
      <c r="D329" s="17" t="s">
        <v>19</v>
      </c>
      <c r="E329" s="17" t="s">
        <v>100</v>
      </c>
      <c r="F329" s="17" t="s">
        <v>276</v>
      </c>
      <c r="G329" s="18" t="n">
        <v>0</v>
      </c>
      <c r="H329" s="18" t="n">
        <v>282</v>
      </c>
      <c r="I329" s="18" t="n">
        <f aca="false">((I328 + G329) - H329)</f>
        <v>-184148.41</v>
      </c>
      <c r="J329" s="18" t="n">
        <v>-28.2</v>
      </c>
      <c r="K329" s="19" t="n">
        <v>10</v>
      </c>
      <c r="L329" s="17" t="s">
        <v>22</v>
      </c>
    </row>
    <row r="330" s="11" customFormat="true" ht="10.95" hidden="false" customHeight="true" outlineLevel="0" collapsed="false">
      <c r="A330" s="16" t="n">
        <v>45196</v>
      </c>
      <c r="B330" s="17" t="s">
        <v>17</v>
      </c>
      <c r="C330" s="17" t="s">
        <v>18</v>
      </c>
      <c r="D330" s="17" t="s">
        <v>19</v>
      </c>
      <c r="E330" s="17" t="s">
        <v>102</v>
      </c>
      <c r="F330" s="17" t="s">
        <v>277</v>
      </c>
      <c r="G330" s="18" t="n">
        <v>0</v>
      </c>
      <c r="H330" s="18" t="n">
        <v>470</v>
      </c>
      <c r="I330" s="18" t="n">
        <f aca="false">((I329 + G330) - H330)</f>
        <v>-184618.41</v>
      </c>
      <c r="J330" s="18" t="n">
        <v>-47</v>
      </c>
      <c r="K330" s="19" t="n">
        <v>10</v>
      </c>
      <c r="L330" s="17" t="s">
        <v>22</v>
      </c>
    </row>
    <row r="331" s="11" customFormat="true" ht="10.95" hidden="false" customHeight="true" outlineLevel="0" collapsed="false">
      <c r="A331" s="16" t="n">
        <v>45196</v>
      </c>
      <c r="B331" s="17" t="s">
        <v>17</v>
      </c>
      <c r="C331" s="17" t="s">
        <v>18</v>
      </c>
      <c r="D331" s="17" t="s">
        <v>19</v>
      </c>
      <c r="E331" s="17" t="s">
        <v>104</v>
      </c>
      <c r="F331" s="17" t="s">
        <v>278</v>
      </c>
      <c r="G331" s="18" t="n">
        <v>0</v>
      </c>
      <c r="H331" s="18" t="n">
        <v>1034</v>
      </c>
      <c r="I331" s="18" t="n">
        <f aca="false">((I330 + G331) - H331)</f>
        <v>-185652.41</v>
      </c>
      <c r="J331" s="18" t="n">
        <v>-103.4</v>
      </c>
      <c r="K331" s="19" t="n">
        <v>10</v>
      </c>
      <c r="L331" s="17" t="s">
        <v>22</v>
      </c>
    </row>
    <row r="332" s="11" customFormat="true" ht="10.95" hidden="false" customHeight="true" outlineLevel="0" collapsed="false">
      <c r="A332" s="16" t="n">
        <v>45196</v>
      </c>
      <c r="B332" s="17" t="s">
        <v>17</v>
      </c>
      <c r="C332" s="17" t="s">
        <v>18</v>
      </c>
      <c r="D332" s="17" t="s">
        <v>19</v>
      </c>
      <c r="E332" s="17" t="s">
        <v>268</v>
      </c>
      <c r="F332" s="17" t="s">
        <v>278</v>
      </c>
      <c r="G332" s="18" t="n">
        <v>0</v>
      </c>
      <c r="H332" s="18" t="n">
        <v>94</v>
      </c>
      <c r="I332" s="18" t="n">
        <f aca="false">((I331 + G332) - H332)</f>
        <v>-185746.41</v>
      </c>
      <c r="J332" s="18" t="n">
        <v>-9.4</v>
      </c>
      <c r="K332" s="19" t="n">
        <v>10</v>
      </c>
      <c r="L332" s="17" t="s">
        <v>22</v>
      </c>
    </row>
    <row r="333" s="11" customFormat="true" ht="10.95" hidden="false" customHeight="true" outlineLevel="0" collapsed="false">
      <c r="A333" s="16" t="n">
        <v>45196</v>
      </c>
      <c r="B333" s="17" t="s">
        <v>17</v>
      </c>
      <c r="C333" s="17" t="s">
        <v>18</v>
      </c>
      <c r="D333" s="17" t="s">
        <v>19</v>
      </c>
      <c r="E333" s="17" t="s">
        <v>269</v>
      </c>
      <c r="F333" s="17" t="s">
        <v>278</v>
      </c>
      <c r="G333" s="18" t="n">
        <v>0</v>
      </c>
      <c r="H333" s="18" t="n">
        <v>94</v>
      </c>
      <c r="I333" s="18" t="n">
        <f aca="false">((I332 + G333) - H333)</f>
        <v>-185840.41</v>
      </c>
      <c r="J333" s="18" t="n">
        <v>-9.4</v>
      </c>
      <c r="K333" s="19" t="n">
        <v>10</v>
      </c>
      <c r="L333" s="17" t="s">
        <v>22</v>
      </c>
    </row>
    <row r="334" s="11" customFormat="true" ht="10.95" hidden="false" customHeight="true" outlineLevel="0" collapsed="false">
      <c r="A334" s="16" t="n">
        <v>45196</v>
      </c>
      <c r="B334" s="17" t="s">
        <v>17</v>
      </c>
      <c r="C334" s="17" t="s">
        <v>18</v>
      </c>
      <c r="D334" s="17" t="s">
        <v>19</v>
      </c>
      <c r="E334" s="17" t="s">
        <v>106</v>
      </c>
      <c r="F334" s="17" t="s">
        <v>279</v>
      </c>
      <c r="G334" s="18" t="n">
        <v>0</v>
      </c>
      <c r="H334" s="18" t="n">
        <v>94</v>
      </c>
      <c r="I334" s="18" t="n">
        <f aca="false">((I333 + G334) - H334)</f>
        <v>-185934.41</v>
      </c>
      <c r="J334" s="18" t="n">
        <v>-9.4</v>
      </c>
      <c r="K334" s="19" t="n">
        <v>10</v>
      </c>
      <c r="L334" s="17" t="s">
        <v>22</v>
      </c>
    </row>
    <row r="335" s="11" customFormat="true" ht="10.95" hidden="false" customHeight="true" outlineLevel="0" collapsed="false">
      <c r="A335" s="16" t="n">
        <v>45196</v>
      </c>
      <c r="B335" s="17" t="s">
        <v>17</v>
      </c>
      <c r="C335" s="17" t="s">
        <v>18</v>
      </c>
      <c r="D335" s="17" t="s">
        <v>19</v>
      </c>
      <c r="E335" s="17" t="s">
        <v>108</v>
      </c>
      <c r="F335" s="17" t="s">
        <v>280</v>
      </c>
      <c r="G335" s="18" t="n">
        <v>0</v>
      </c>
      <c r="H335" s="18" t="n">
        <v>658</v>
      </c>
      <c r="I335" s="18" t="n">
        <f aca="false">((I334 + G335) - H335)</f>
        <v>-186592.41</v>
      </c>
      <c r="J335" s="18" t="n">
        <v>-65.8</v>
      </c>
      <c r="K335" s="19" t="n">
        <v>10</v>
      </c>
      <c r="L335" s="17" t="s">
        <v>22</v>
      </c>
    </row>
    <row r="336" s="11" customFormat="true" ht="10.95" hidden="false" customHeight="true" outlineLevel="0" collapsed="false">
      <c r="A336" s="16" t="n">
        <v>45196</v>
      </c>
      <c r="B336" s="17" t="s">
        <v>17</v>
      </c>
      <c r="C336" s="17" t="s">
        <v>18</v>
      </c>
      <c r="D336" s="17" t="s">
        <v>19</v>
      </c>
      <c r="E336" s="17" t="s">
        <v>119</v>
      </c>
      <c r="F336" s="17" t="s">
        <v>281</v>
      </c>
      <c r="G336" s="18" t="n">
        <v>0</v>
      </c>
      <c r="H336" s="18" t="n">
        <v>332</v>
      </c>
      <c r="I336" s="18" t="n">
        <f aca="false">((I335 + G336) - H336)</f>
        <v>-186924.41</v>
      </c>
      <c r="J336" s="18" t="n">
        <v>-33.2</v>
      </c>
      <c r="K336" s="19" t="n">
        <v>10</v>
      </c>
      <c r="L336" s="17" t="s">
        <v>22</v>
      </c>
    </row>
    <row r="337" s="11" customFormat="true" ht="10.95" hidden="false" customHeight="true" outlineLevel="0" collapsed="false">
      <c r="A337" s="16" t="n">
        <v>45196</v>
      </c>
      <c r="B337" s="17" t="s">
        <v>17</v>
      </c>
      <c r="C337" s="17" t="s">
        <v>18</v>
      </c>
      <c r="D337" s="17" t="s">
        <v>19</v>
      </c>
      <c r="E337" s="17" t="s">
        <v>121</v>
      </c>
      <c r="F337" s="17" t="s">
        <v>281</v>
      </c>
      <c r="G337" s="18" t="n">
        <v>0</v>
      </c>
      <c r="H337" s="18" t="n">
        <v>1743</v>
      </c>
      <c r="I337" s="18" t="n">
        <f aca="false">((I336 + G337) - H337)</f>
        <v>-188667.41</v>
      </c>
      <c r="J337" s="18" t="n">
        <v>-174.3</v>
      </c>
      <c r="K337" s="19" t="n">
        <v>10</v>
      </c>
      <c r="L337" s="17" t="s">
        <v>22</v>
      </c>
    </row>
    <row r="338" s="11" customFormat="true" ht="10.95" hidden="false" customHeight="true" outlineLevel="0" collapsed="false">
      <c r="A338" s="16" t="n">
        <v>45196</v>
      </c>
      <c r="B338" s="17" t="s">
        <v>17</v>
      </c>
      <c r="C338" s="17" t="s">
        <v>18</v>
      </c>
      <c r="D338" s="17" t="s">
        <v>19</v>
      </c>
      <c r="E338" s="17" t="s">
        <v>122</v>
      </c>
      <c r="F338" s="17" t="s">
        <v>281</v>
      </c>
      <c r="G338" s="18" t="n">
        <v>0</v>
      </c>
      <c r="H338" s="18" t="n">
        <v>332</v>
      </c>
      <c r="I338" s="18" t="n">
        <f aca="false">((I337 + G338) - H338)</f>
        <v>-188999.41</v>
      </c>
      <c r="J338" s="18" t="n">
        <v>-33.2</v>
      </c>
      <c r="K338" s="19" t="n">
        <v>10</v>
      </c>
      <c r="L338" s="17" t="s">
        <v>22</v>
      </c>
    </row>
    <row r="339" s="11" customFormat="true" ht="10.95" hidden="false" customHeight="true" outlineLevel="0" collapsed="false">
      <c r="A339" s="16" t="n">
        <v>45196</v>
      </c>
      <c r="B339" s="17" t="s">
        <v>17</v>
      </c>
      <c r="C339" s="17" t="s">
        <v>18</v>
      </c>
      <c r="D339" s="17" t="s">
        <v>19</v>
      </c>
      <c r="E339" s="17" t="s">
        <v>123</v>
      </c>
      <c r="F339" s="17" t="s">
        <v>281</v>
      </c>
      <c r="G339" s="18" t="n">
        <v>0</v>
      </c>
      <c r="H339" s="18" t="n">
        <v>581</v>
      </c>
      <c r="I339" s="18" t="n">
        <f aca="false">((I338 + G339) - H339)</f>
        <v>-189580.41</v>
      </c>
      <c r="J339" s="18" t="n">
        <v>-58.1</v>
      </c>
      <c r="K339" s="19" t="n">
        <v>10</v>
      </c>
      <c r="L339" s="17" t="s">
        <v>22</v>
      </c>
    </row>
    <row r="340" s="11" customFormat="true" ht="10.95" hidden="false" customHeight="true" outlineLevel="0" collapsed="false">
      <c r="A340" s="16" t="n">
        <v>45196</v>
      </c>
      <c r="B340" s="17" t="s">
        <v>17</v>
      </c>
      <c r="C340" s="17" t="s">
        <v>18</v>
      </c>
      <c r="D340" s="17" t="s">
        <v>19</v>
      </c>
      <c r="E340" s="17" t="s">
        <v>124</v>
      </c>
      <c r="F340" s="17" t="s">
        <v>281</v>
      </c>
      <c r="G340" s="18" t="n">
        <v>0</v>
      </c>
      <c r="H340" s="18" t="n">
        <v>249</v>
      </c>
      <c r="I340" s="18" t="n">
        <f aca="false">((I339 + G340) - H340)</f>
        <v>-189829.41</v>
      </c>
      <c r="J340" s="18" t="n">
        <v>-24.9</v>
      </c>
      <c r="K340" s="19" t="n">
        <v>10</v>
      </c>
      <c r="L340" s="17" t="s">
        <v>22</v>
      </c>
    </row>
    <row r="341" s="11" customFormat="true" ht="10.95" hidden="false" customHeight="true" outlineLevel="0" collapsed="false">
      <c r="A341" s="16" t="n">
        <v>45196</v>
      </c>
      <c r="B341" s="17" t="s">
        <v>17</v>
      </c>
      <c r="C341" s="17" t="s">
        <v>18</v>
      </c>
      <c r="D341" s="17" t="s">
        <v>19</v>
      </c>
      <c r="E341" s="17" t="s">
        <v>125</v>
      </c>
      <c r="F341" s="17" t="s">
        <v>281</v>
      </c>
      <c r="G341" s="18" t="n">
        <v>0</v>
      </c>
      <c r="H341" s="18" t="n">
        <v>83</v>
      </c>
      <c r="I341" s="18" t="n">
        <f aca="false">((I340 + G341) - H341)</f>
        <v>-189912.41</v>
      </c>
      <c r="J341" s="18" t="n">
        <v>-8.3</v>
      </c>
      <c r="K341" s="19" t="n">
        <v>10</v>
      </c>
      <c r="L341" s="17" t="s">
        <v>22</v>
      </c>
    </row>
    <row r="342" s="11" customFormat="true" ht="10.95" hidden="false" customHeight="true" outlineLevel="0" collapsed="false">
      <c r="A342" s="16" t="n">
        <v>45196</v>
      </c>
      <c r="B342" s="17" t="s">
        <v>17</v>
      </c>
      <c r="C342" s="17" t="s">
        <v>18</v>
      </c>
      <c r="D342" s="17" t="s">
        <v>19</v>
      </c>
      <c r="E342" s="17" t="s">
        <v>126</v>
      </c>
      <c r="F342" s="17" t="s">
        <v>281</v>
      </c>
      <c r="G342" s="18" t="n">
        <v>0</v>
      </c>
      <c r="H342" s="18" t="n">
        <v>94.5</v>
      </c>
      <c r="I342" s="18" t="n">
        <f aca="false">((I341 + G342) - H342)</f>
        <v>-190006.91</v>
      </c>
      <c r="J342" s="18" t="n">
        <v>-9.45</v>
      </c>
      <c r="K342" s="19" t="n">
        <v>10</v>
      </c>
      <c r="L342" s="17" t="s">
        <v>22</v>
      </c>
    </row>
    <row r="343" s="11" customFormat="true" ht="10.95" hidden="false" customHeight="true" outlineLevel="0" collapsed="false">
      <c r="A343" s="16" t="n">
        <v>45196</v>
      </c>
      <c r="B343" s="17" t="s">
        <v>17</v>
      </c>
      <c r="C343" s="17" t="s">
        <v>18</v>
      </c>
      <c r="D343" s="17" t="s">
        <v>19</v>
      </c>
      <c r="E343" s="17" t="s">
        <v>127</v>
      </c>
      <c r="F343" s="17" t="s">
        <v>281</v>
      </c>
      <c r="G343" s="18" t="n">
        <v>0</v>
      </c>
      <c r="H343" s="18" t="n">
        <v>83</v>
      </c>
      <c r="I343" s="18" t="n">
        <f aca="false">((I342 + G343) - H343)</f>
        <v>-190089.91</v>
      </c>
      <c r="J343" s="18" t="n">
        <v>-8.3</v>
      </c>
      <c r="K343" s="19" t="n">
        <v>10</v>
      </c>
      <c r="L343" s="17" t="s">
        <v>22</v>
      </c>
    </row>
    <row r="344" s="11" customFormat="true" ht="10.95" hidden="false" customHeight="true" outlineLevel="0" collapsed="false">
      <c r="A344" s="16" t="n">
        <v>45196</v>
      </c>
      <c r="B344" s="17" t="s">
        <v>17</v>
      </c>
      <c r="C344" s="17" t="s">
        <v>18</v>
      </c>
      <c r="D344" s="17" t="s">
        <v>19</v>
      </c>
      <c r="E344" s="17" t="s">
        <v>128</v>
      </c>
      <c r="F344" s="17" t="s">
        <v>281</v>
      </c>
      <c r="G344" s="18" t="n">
        <v>0</v>
      </c>
      <c r="H344" s="18" t="n">
        <v>83</v>
      </c>
      <c r="I344" s="18" t="n">
        <f aca="false">((I343 + G344) - H344)</f>
        <v>-190172.91</v>
      </c>
      <c r="J344" s="18" t="n">
        <v>-8.3</v>
      </c>
      <c r="K344" s="19" t="n">
        <v>10</v>
      </c>
      <c r="L344" s="17" t="s">
        <v>22</v>
      </c>
    </row>
    <row r="345" s="11" customFormat="true" ht="10.95" hidden="false" customHeight="true" outlineLevel="0" collapsed="false">
      <c r="A345" s="16" t="n">
        <v>45196</v>
      </c>
      <c r="B345" s="17" t="s">
        <v>17</v>
      </c>
      <c r="C345" s="17" t="s">
        <v>18</v>
      </c>
      <c r="D345" s="17" t="s">
        <v>19</v>
      </c>
      <c r="E345" s="17" t="s">
        <v>129</v>
      </c>
      <c r="F345" s="17" t="s">
        <v>281</v>
      </c>
      <c r="G345" s="18" t="n">
        <v>0</v>
      </c>
      <c r="H345" s="18" t="n">
        <v>166</v>
      </c>
      <c r="I345" s="18" t="n">
        <f aca="false">((I344 + G345) - H345)</f>
        <v>-190338.91</v>
      </c>
      <c r="J345" s="18" t="n">
        <v>-16.6</v>
      </c>
      <c r="K345" s="19" t="n">
        <v>10</v>
      </c>
      <c r="L345" s="17" t="s">
        <v>22</v>
      </c>
    </row>
    <row r="346" s="11" customFormat="true" ht="10.95" hidden="false" customHeight="true" outlineLevel="0" collapsed="false">
      <c r="A346" s="16" t="n">
        <v>45196</v>
      </c>
      <c r="B346" s="17" t="s">
        <v>17</v>
      </c>
      <c r="C346" s="17" t="s">
        <v>18</v>
      </c>
      <c r="D346" s="17" t="s">
        <v>19</v>
      </c>
      <c r="E346" s="17" t="s">
        <v>130</v>
      </c>
      <c r="F346" s="17" t="s">
        <v>281</v>
      </c>
      <c r="G346" s="18" t="n">
        <v>0</v>
      </c>
      <c r="H346" s="18" t="n">
        <v>664</v>
      </c>
      <c r="I346" s="18" t="n">
        <f aca="false">((I345 + G346) - H346)</f>
        <v>-191002.91</v>
      </c>
      <c r="J346" s="18" t="n">
        <v>-66.4</v>
      </c>
      <c r="K346" s="19" t="n">
        <v>10</v>
      </c>
      <c r="L346" s="17" t="s">
        <v>22</v>
      </c>
    </row>
    <row r="347" s="11" customFormat="true" ht="10.95" hidden="false" customHeight="true" outlineLevel="0" collapsed="false">
      <c r="A347" s="16" t="n">
        <v>45196</v>
      </c>
      <c r="B347" s="17" t="s">
        <v>17</v>
      </c>
      <c r="C347" s="17" t="s">
        <v>18</v>
      </c>
      <c r="D347" s="17" t="s">
        <v>19</v>
      </c>
      <c r="E347" s="17" t="s">
        <v>131</v>
      </c>
      <c r="F347" s="17" t="s">
        <v>281</v>
      </c>
      <c r="G347" s="18" t="n">
        <v>0</v>
      </c>
      <c r="H347" s="18" t="n">
        <v>94.5</v>
      </c>
      <c r="I347" s="18" t="n">
        <f aca="false">((I346 + G347) - H347)</f>
        <v>-191097.41</v>
      </c>
      <c r="J347" s="18" t="n">
        <v>-9.45</v>
      </c>
      <c r="K347" s="19" t="n">
        <v>10</v>
      </c>
      <c r="L347" s="17" t="s">
        <v>22</v>
      </c>
    </row>
    <row r="348" s="11" customFormat="true" ht="10.95" hidden="false" customHeight="true" outlineLevel="0" collapsed="false">
      <c r="A348" s="16" t="n">
        <v>45196</v>
      </c>
      <c r="B348" s="17" t="s">
        <v>17</v>
      </c>
      <c r="C348" s="17" t="s">
        <v>18</v>
      </c>
      <c r="D348" s="17" t="s">
        <v>19</v>
      </c>
      <c r="E348" s="17" t="s">
        <v>132</v>
      </c>
      <c r="F348" s="17" t="s">
        <v>281</v>
      </c>
      <c r="G348" s="18" t="n">
        <v>0</v>
      </c>
      <c r="H348" s="18" t="n">
        <v>100</v>
      </c>
      <c r="I348" s="18" t="n">
        <f aca="false">((I347 + G348) - H348)</f>
        <v>-191197.41</v>
      </c>
      <c r="J348" s="18" t="n">
        <v>-10</v>
      </c>
      <c r="K348" s="19" t="n">
        <v>10</v>
      </c>
      <c r="L348" s="17" t="s">
        <v>22</v>
      </c>
    </row>
    <row r="349" s="11" customFormat="true" ht="10.95" hidden="false" customHeight="true" outlineLevel="0" collapsed="false">
      <c r="A349" s="16" t="n">
        <v>45196</v>
      </c>
      <c r="B349" s="17" t="s">
        <v>17</v>
      </c>
      <c r="C349" s="17" t="s">
        <v>18</v>
      </c>
      <c r="D349" s="17" t="s">
        <v>19</v>
      </c>
      <c r="E349" s="17" t="s">
        <v>133</v>
      </c>
      <c r="F349" s="17" t="s">
        <v>281</v>
      </c>
      <c r="G349" s="18" t="n">
        <v>0</v>
      </c>
      <c r="H349" s="18" t="n">
        <v>83</v>
      </c>
      <c r="I349" s="18" t="n">
        <f aca="false">((I348 + G349) - H349)</f>
        <v>-191280.41</v>
      </c>
      <c r="J349" s="18" t="n">
        <v>-8.3</v>
      </c>
      <c r="K349" s="19" t="n">
        <v>10</v>
      </c>
      <c r="L349" s="17" t="s">
        <v>22</v>
      </c>
    </row>
    <row r="350" s="11" customFormat="true" ht="10.95" hidden="false" customHeight="true" outlineLevel="0" collapsed="false">
      <c r="A350" s="16" t="n">
        <v>45196</v>
      </c>
      <c r="B350" s="17" t="s">
        <v>17</v>
      </c>
      <c r="C350" s="17" t="s">
        <v>18</v>
      </c>
      <c r="D350" s="17" t="s">
        <v>19</v>
      </c>
      <c r="E350" s="17" t="s">
        <v>134</v>
      </c>
      <c r="F350" s="17" t="s">
        <v>281</v>
      </c>
      <c r="G350" s="18" t="n">
        <v>0</v>
      </c>
      <c r="H350" s="18" t="n">
        <v>100</v>
      </c>
      <c r="I350" s="18" t="n">
        <f aca="false">((I349 + G350) - H350)</f>
        <v>-191380.41</v>
      </c>
      <c r="J350" s="18" t="n">
        <v>-10</v>
      </c>
      <c r="K350" s="19" t="n">
        <v>10</v>
      </c>
      <c r="L350" s="17" t="s">
        <v>22</v>
      </c>
    </row>
    <row r="351" s="11" customFormat="true" ht="10.95" hidden="false" customHeight="true" outlineLevel="0" collapsed="false">
      <c r="A351" s="16" t="n">
        <v>45196</v>
      </c>
      <c r="B351" s="17" t="s">
        <v>17</v>
      </c>
      <c r="C351" s="17" t="s">
        <v>18</v>
      </c>
      <c r="D351" s="17" t="s">
        <v>19</v>
      </c>
      <c r="E351" s="17" t="s">
        <v>136</v>
      </c>
      <c r="F351" s="17" t="s">
        <v>281</v>
      </c>
      <c r="G351" s="18" t="n">
        <v>0</v>
      </c>
      <c r="H351" s="18" t="n">
        <v>498</v>
      </c>
      <c r="I351" s="18" t="n">
        <f aca="false">((I350 + G351) - H351)</f>
        <v>-191878.41</v>
      </c>
      <c r="J351" s="18" t="n">
        <v>-49.8</v>
      </c>
      <c r="K351" s="19" t="n">
        <v>10</v>
      </c>
      <c r="L351" s="17" t="s">
        <v>22</v>
      </c>
    </row>
    <row r="352" s="11" customFormat="true" ht="10.95" hidden="false" customHeight="true" outlineLevel="0" collapsed="false">
      <c r="A352" s="16" t="n">
        <v>45196</v>
      </c>
      <c r="B352" s="17" t="s">
        <v>17</v>
      </c>
      <c r="C352" s="17" t="s">
        <v>18</v>
      </c>
      <c r="D352" s="17" t="s">
        <v>19</v>
      </c>
      <c r="E352" s="17" t="s">
        <v>137</v>
      </c>
      <c r="F352" s="17" t="s">
        <v>281</v>
      </c>
      <c r="G352" s="18" t="n">
        <v>0</v>
      </c>
      <c r="H352" s="18" t="n">
        <v>498</v>
      </c>
      <c r="I352" s="18" t="n">
        <f aca="false">((I351 + G352) - H352)</f>
        <v>-192376.41</v>
      </c>
      <c r="J352" s="18" t="n">
        <v>-49.8</v>
      </c>
      <c r="K352" s="19" t="n">
        <v>10</v>
      </c>
      <c r="L352" s="17" t="s">
        <v>22</v>
      </c>
    </row>
    <row r="353" s="11" customFormat="true" ht="10.95" hidden="false" customHeight="true" outlineLevel="0" collapsed="false">
      <c r="A353" s="16" t="n">
        <v>45196</v>
      </c>
      <c r="B353" s="17" t="s">
        <v>17</v>
      </c>
      <c r="C353" s="17" t="s">
        <v>18</v>
      </c>
      <c r="D353" s="17" t="s">
        <v>19</v>
      </c>
      <c r="E353" s="17" t="s">
        <v>138</v>
      </c>
      <c r="F353" s="17" t="s">
        <v>281</v>
      </c>
      <c r="G353" s="18" t="n">
        <v>0</v>
      </c>
      <c r="H353" s="18" t="n">
        <v>166</v>
      </c>
      <c r="I353" s="18" t="n">
        <f aca="false">((I352 + G353) - H353)</f>
        <v>-192542.41</v>
      </c>
      <c r="J353" s="18" t="n">
        <v>-16.6</v>
      </c>
      <c r="K353" s="19" t="n">
        <v>10</v>
      </c>
      <c r="L353" s="17" t="s">
        <v>22</v>
      </c>
    </row>
    <row r="354" s="11" customFormat="true" ht="10.95" hidden="false" customHeight="true" outlineLevel="0" collapsed="false">
      <c r="A354" s="16" t="n">
        <v>45196</v>
      </c>
      <c r="B354" s="17" t="s">
        <v>17</v>
      </c>
      <c r="C354" s="17" t="s">
        <v>18</v>
      </c>
      <c r="D354" s="17" t="s">
        <v>19</v>
      </c>
      <c r="E354" s="17" t="s">
        <v>139</v>
      </c>
      <c r="F354" s="17" t="s">
        <v>281</v>
      </c>
      <c r="G354" s="18" t="n">
        <v>0</v>
      </c>
      <c r="H354" s="18" t="n">
        <v>332</v>
      </c>
      <c r="I354" s="18" t="n">
        <f aca="false">((I353 + G354) - H354)</f>
        <v>-192874.41</v>
      </c>
      <c r="J354" s="18" t="n">
        <v>-33.2</v>
      </c>
      <c r="K354" s="19" t="n">
        <v>10</v>
      </c>
      <c r="L354" s="17" t="s">
        <v>22</v>
      </c>
    </row>
    <row r="355" s="11" customFormat="true" ht="10.95" hidden="false" customHeight="true" outlineLevel="0" collapsed="false">
      <c r="A355" s="16" t="n">
        <v>45196</v>
      </c>
      <c r="B355" s="17" t="s">
        <v>17</v>
      </c>
      <c r="C355" s="17" t="s">
        <v>18</v>
      </c>
      <c r="D355" s="17" t="s">
        <v>19</v>
      </c>
      <c r="E355" s="17" t="s">
        <v>140</v>
      </c>
      <c r="F355" s="17" t="s">
        <v>281</v>
      </c>
      <c r="G355" s="18" t="n">
        <v>0</v>
      </c>
      <c r="H355" s="18" t="n">
        <v>166</v>
      </c>
      <c r="I355" s="18" t="n">
        <f aca="false">((I354 + G355) - H355)</f>
        <v>-193040.41</v>
      </c>
      <c r="J355" s="18" t="n">
        <v>-16.6</v>
      </c>
      <c r="K355" s="19" t="n">
        <v>10</v>
      </c>
      <c r="L355" s="17" t="s">
        <v>22</v>
      </c>
    </row>
    <row r="356" s="11" customFormat="true" ht="10.95" hidden="false" customHeight="true" outlineLevel="0" collapsed="false">
      <c r="A356" s="16" t="n">
        <v>45196</v>
      </c>
      <c r="B356" s="17" t="s">
        <v>17</v>
      </c>
      <c r="C356" s="17" t="s">
        <v>18</v>
      </c>
      <c r="D356" s="17" t="s">
        <v>19</v>
      </c>
      <c r="E356" s="17" t="s">
        <v>141</v>
      </c>
      <c r="F356" s="17" t="s">
        <v>281</v>
      </c>
      <c r="G356" s="18" t="n">
        <v>0</v>
      </c>
      <c r="H356" s="18" t="n">
        <v>249</v>
      </c>
      <c r="I356" s="18" t="n">
        <f aca="false">((I355 + G356) - H356)</f>
        <v>-193289.41</v>
      </c>
      <c r="J356" s="18" t="n">
        <v>-24.9</v>
      </c>
      <c r="K356" s="19" t="n">
        <v>10</v>
      </c>
      <c r="L356" s="17" t="s">
        <v>22</v>
      </c>
    </row>
    <row r="357" s="11" customFormat="true" ht="10.95" hidden="false" customHeight="true" outlineLevel="0" collapsed="false">
      <c r="A357" s="16" t="n">
        <v>45196</v>
      </c>
      <c r="B357" s="17" t="s">
        <v>17</v>
      </c>
      <c r="C357" s="17" t="s">
        <v>18</v>
      </c>
      <c r="D357" s="17" t="s">
        <v>19</v>
      </c>
      <c r="E357" s="17" t="s">
        <v>142</v>
      </c>
      <c r="F357" s="17" t="s">
        <v>281</v>
      </c>
      <c r="G357" s="18" t="n">
        <v>0</v>
      </c>
      <c r="H357" s="18" t="n">
        <v>249</v>
      </c>
      <c r="I357" s="18" t="n">
        <f aca="false">((I356 + G357) - H357)</f>
        <v>-193538.41</v>
      </c>
      <c r="J357" s="18" t="n">
        <v>-24.9</v>
      </c>
      <c r="K357" s="19" t="n">
        <v>10</v>
      </c>
      <c r="L357" s="17" t="s">
        <v>22</v>
      </c>
    </row>
    <row r="358" s="11" customFormat="true" ht="10.95" hidden="false" customHeight="true" outlineLevel="0" collapsed="false">
      <c r="A358" s="16" t="n">
        <v>45196</v>
      </c>
      <c r="B358" s="17" t="s">
        <v>17</v>
      </c>
      <c r="C358" s="17" t="s">
        <v>18</v>
      </c>
      <c r="D358" s="17" t="s">
        <v>19</v>
      </c>
      <c r="E358" s="17" t="s">
        <v>143</v>
      </c>
      <c r="F358" s="17" t="s">
        <v>281</v>
      </c>
      <c r="G358" s="18" t="n">
        <v>0</v>
      </c>
      <c r="H358" s="18" t="n">
        <v>94.5</v>
      </c>
      <c r="I358" s="18" t="n">
        <f aca="false">((I357 + G358) - H358)</f>
        <v>-193632.91</v>
      </c>
      <c r="J358" s="18" t="n">
        <v>-9.45</v>
      </c>
      <c r="K358" s="19" t="n">
        <v>10</v>
      </c>
      <c r="L358" s="17" t="s">
        <v>22</v>
      </c>
    </row>
    <row r="359" s="11" customFormat="true" ht="10.95" hidden="false" customHeight="true" outlineLevel="0" collapsed="false">
      <c r="A359" s="16" t="n">
        <v>45196</v>
      </c>
      <c r="B359" s="17" t="s">
        <v>17</v>
      </c>
      <c r="C359" s="17" t="s">
        <v>18</v>
      </c>
      <c r="D359" s="17" t="s">
        <v>19</v>
      </c>
      <c r="E359" s="17" t="s">
        <v>144</v>
      </c>
      <c r="F359" s="17" t="s">
        <v>281</v>
      </c>
      <c r="G359" s="18" t="n">
        <v>0</v>
      </c>
      <c r="H359" s="18" t="n">
        <v>1660</v>
      </c>
      <c r="I359" s="18" t="n">
        <f aca="false">((I358 + G359) - H359)</f>
        <v>-195292.91</v>
      </c>
      <c r="J359" s="18" t="n">
        <v>-166</v>
      </c>
      <c r="K359" s="19" t="n">
        <v>10</v>
      </c>
      <c r="L359" s="17" t="s">
        <v>22</v>
      </c>
    </row>
    <row r="360" s="11" customFormat="true" ht="10.95" hidden="false" customHeight="true" outlineLevel="0" collapsed="false">
      <c r="A360" s="16" t="n">
        <v>45196</v>
      </c>
      <c r="B360" s="17" t="s">
        <v>17</v>
      </c>
      <c r="C360" s="17" t="s">
        <v>18</v>
      </c>
      <c r="D360" s="17" t="s">
        <v>19</v>
      </c>
      <c r="E360" s="17" t="s">
        <v>145</v>
      </c>
      <c r="F360" s="17" t="s">
        <v>281</v>
      </c>
      <c r="G360" s="18" t="n">
        <v>0</v>
      </c>
      <c r="H360" s="18" t="n">
        <v>166</v>
      </c>
      <c r="I360" s="18" t="n">
        <f aca="false">((I359 + G360) - H360)</f>
        <v>-195458.91</v>
      </c>
      <c r="J360" s="18" t="n">
        <v>-16.6</v>
      </c>
      <c r="K360" s="19" t="n">
        <v>10</v>
      </c>
      <c r="L360" s="17" t="s">
        <v>22</v>
      </c>
    </row>
    <row r="361" s="11" customFormat="true" ht="10.95" hidden="false" customHeight="true" outlineLevel="0" collapsed="false">
      <c r="A361" s="16" t="n">
        <v>45196</v>
      </c>
      <c r="B361" s="17" t="s">
        <v>17</v>
      </c>
      <c r="C361" s="17" t="s">
        <v>18</v>
      </c>
      <c r="D361" s="17" t="s">
        <v>19</v>
      </c>
      <c r="E361" s="17" t="s">
        <v>146</v>
      </c>
      <c r="F361" s="17" t="s">
        <v>281</v>
      </c>
      <c r="G361" s="18" t="n">
        <v>0</v>
      </c>
      <c r="H361" s="18" t="n">
        <v>30</v>
      </c>
      <c r="I361" s="18" t="n">
        <f aca="false">((I360 + G361) - H361)</f>
        <v>-195488.91</v>
      </c>
      <c r="J361" s="18" t="n">
        <v>-3</v>
      </c>
      <c r="K361" s="19" t="n">
        <v>10</v>
      </c>
      <c r="L361" s="17" t="s">
        <v>22</v>
      </c>
    </row>
    <row r="362" s="11" customFormat="true" ht="10.95" hidden="false" customHeight="true" outlineLevel="0" collapsed="false">
      <c r="A362" s="16" t="n">
        <v>45196</v>
      </c>
      <c r="B362" s="17" t="s">
        <v>17</v>
      </c>
      <c r="C362" s="17" t="s">
        <v>18</v>
      </c>
      <c r="D362" s="17" t="s">
        <v>19</v>
      </c>
      <c r="E362" s="17" t="s">
        <v>147</v>
      </c>
      <c r="F362" s="17" t="s">
        <v>281</v>
      </c>
      <c r="G362" s="18" t="n">
        <v>0</v>
      </c>
      <c r="H362" s="18" t="n">
        <v>83</v>
      </c>
      <c r="I362" s="18" t="n">
        <f aca="false">((I361 + G362) - H362)</f>
        <v>-195571.91</v>
      </c>
      <c r="J362" s="18" t="n">
        <v>-8.3</v>
      </c>
      <c r="K362" s="19" t="n">
        <v>10</v>
      </c>
      <c r="L362" s="17" t="s">
        <v>22</v>
      </c>
    </row>
    <row r="363" s="11" customFormat="true" ht="10.95" hidden="false" customHeight="true" outlineLevel="0" collapsed="false">
      <c r="A363" s="16" t="n">
        <v>45196</v>
      </c>
      <c r="B363" s="17" t="s">
        <v>17</v>
      </c>
      <c r="C363" s="17" t="s">
        <v>18</v>
      </c>
      <c r="D363" s="17" t="s">
        <v>19</v>
      </c>
      <c r="E363" s="17" t="s">
        <v>148</v>
      </c>
      <c r="F363" s="17" t="s">
        <v>281</v>
      </c>
      <c r="G363" s="18" t="n">
        <v>0</v>
      </c>
      <c r="H363" s="18" t="n">
        <v>1162</v>
      </c>
      <c r="I363" s="18" t="n">
        <f aca="false">((I362 + G363) - H363)</f>
        <v>-196733.91</v>
      </c>
      <c r="J363" s="18" t="n">
        <v>-116.2</v>
      </c>
      <c r="K363" s="19" t="n">
        <v>10</v>
      </c>
      <c r="L363" s="17" t="s">
        <v>22</v>
      </c>
    </row>
    <row r="364" s="11" customFormat="true" ht="10.95" hidden="false" customHeight="true" outlineLevel="0" collapsed="false">
      <c r="A364" s="16" t="n">
        <v>45196</v>
      </c>
      <c r="B364" s="17" t="s">
        <v>17</v>
      </c>
      <c r="C364" s="17" t="s">
        <v>18</v>
      </c>
      <c r="D364" s="17" t="s">
        <v>19</v>
      </c>
      <c r="E364" s="17" t="s">
        <v>149</v>
      </c>
      <c r="F364" s="17" t="s">
        <v>281</v>
      </c>
      <c r="G364" s="18" t="n">
        <v>0</v>
      </c>
      <c r="H364" s="18" t="n">
        <v>360</v>
      </c>
      <c r="I364" s="18" t="n">
        <f aca="false">((I363 + G364) - H364)</f>
        <v>-197093.91</v>
      </c>
      <c r="J364" s="18" t="n">
        <v>-36</v>
      </c>
      <c r="K364" s="19" t="n">
        <v>10</v>
      </c>
      <c r="L364" s="17" t="s">
        <v>22</v>
      </c>
    </row>
    <row r="365" s="11" customFormat="true" ht="10.95" hidden="false" customHeight="true" outlineLevel="0" collapsed="false">
      <c r="A365" s="16" t="n">
        <v>45196</v>
      </c>
      <c r="B365" s="17" t="s">
        <v>17</v>
      </c>
      <c r="C365" s="17" t="s">
        <v>18</v>
      </c>
      <c r="D365" s="17" t="s">
        <v>19</v>
      </c>
      <c r="E365" s="17" t="s">
        <v>150</v>
      </c>
      <c r="F365" s="17" t="s">
        <v>281</v>
      </c>
      <c r="G365" s="18" t="n">
        <v>0</v>
      </c>
      <c r="H365" s="18" t="n">
        <v>288</v>
      </c>
      <c r="I365" s="18" t="n">
        <f aca="false">((I364 + G365) - H365)</f>
        <v>-197381.91</v>
      </c>
      <c r="J365" s="18" t="n">
        <v>-28.8</v>
      </c>
      <c r="K365" s="19" t="n">
        <v>10</v>
      </c>
      <c r="L365" s="17" t="s">
        <v>22</v>
      </c>
    </row>
    <row r="366" s="11" customFormat="true" ht="10.95" hidden="false" customHeight="true" outlineLevel="0" collapsed="false">
      <c r="A366" s="16" t="n">
        <v>45196</v>
      </c>
      <c r="B366" s="17" t="s">
        <v>17</v>
      </c>
      <c r="C366" s="17" t="s">
        <v>18</v>
      </c>
      <c r="D366" s="17" t="s">
        <v>19</v>
      </c>
      <c r="E366" s="17" t="s">
        <v>151</v>
      </c>
      <c r="F366" s="17" t="s">
        <v>281</v>
      </c>
      <c r="G366" s="18" t="n">
        <v>0</v>
      </c>
      <c r="H366" s="18" t="n">
        <v>100</v>
      </c>
      <c r="I366" s="18" t="n">
        <f aca="false">((I365 + G366) - H366)</f>
        <v>-197481.91</v>
      </c>
      <c r="J366" s="18" t="n">
        <v>-10</v>
      </c>
      <c r="K366" s="19" t="n">
        <v>10</v>
      </c>
      <c r="L366" s="17" t="s">
        <v>22</v>
      </c>
    </row>
    <row r="367" s="11" customFormat="true" ht="10.95" hidden="false" customHeight="true" outlineLevel="0" collapsed="false">
      <c r="A367" s="16" t="n">
        <v>45196</v>
      </c>
      <c r="B367" s="17" t="s">
        <v>17</v>
      </c>
      <c r="C367" s="17" t="s">
        <v>18</v>
      </c>
      <c r="D367" s="17" t="s">
        <v>19</v>
      </c>
      <c r="E367" s="17" t="s">
        <v>152</v>
      </c>
      <c r="F367" s="17" t="s">
        <v>281</v>
      </c>
      <c r="G367" s="18" t="n">
        <v>0</v>
      </c>
      <c r="H367" s="18" t="n">
        <v>1162</v>
      </c>
      <c r="I367" s="18" t="n">
        <f aca="false">((I366 + G367) - H367)</f>
        <v>-198643.91</v>
      </c>
      <c r="J367" s="18" t="n">
        <v>-116.2</v>
      </c>
      <c r="K367" s="19" t="n">
        <v>10</v>
      </c>
      <c r="L367" s="17" t="s">
        <v>22</v>
      </c>
    </row>
    <row r="368" s="11" customFormat="true" ht="10.95" hidden="false" customHeight="true" outlineLevel="0" collapsed="false">
      <c r="A368" s="16" t="n">
        <v>45196</v>
      </c>
      <c r="B368" s="17" t="s">
        <v>17</v>
      </c>
      <c r="C368" s="17" t="s">
        <v>18</v>
      </c>
      <c r="D368" s="17" t="s">
        <v>19</v>
      </c>
      <c r="E368" s="17" t="s">
        <v>153</v>
      </c>
      <c r="F368" s="17" t="s">
        <v>281</v>
      </c>
      <c r="G368" s="18" t="n">
        <v>0</v>
      </c>
      <c r="H368" s="18" t="n">
        <v>283.5</v>
      </c>
      <c r="I368" s="18" t="n">
        <f aca="false">((I367 + G368) - H368)</f>
        <v>-198927.41</v>
      </c>
      <c r="J368" s="18" t="n">
        <v>-28.35</v>
      </c>
      <c r="K368" s="19" t="n">
        <v>10</v>
      </c>
      <c r="L368" s="17" t="s">
        <v>22</v>
      </c>
    </row>
    <row r="369" s="11" customFormat="true" ht="10.95" hidden="false" customHeight="true" outlineLevel="0" collapsed="false">
      <c r="A369" s="16" t="n">
        <v>45196</v>
      </c>
      <c r="B369" s="17" t="s">
        <v>17</v>
      </c>
      <c r="C369" s="17" t="s">
        <v>18</v>
      </c>
      <c r="D369" s="17" t="s">
        <v>19</v>
      </c>
      <c r="E369" s="17" t="s">
        <v>154</v>
      </c>
      <c r="F369" s="17" t="s">
        <v>281</v>
      </c>
      <c r="G369" s="18" t="n">
        <v>0</v>
      </c>
      <c r="H369" s="18" t="n">
        <v>165</v>
      </c>
      <c r="I369" s="18" t="n">
        <f aca="false">((I368 + G369) - H369)</f>
        <v>-199092.41</v>
      </c>
      <c r="J369" s="18" t="n">
        <v>-16.5</v>
      </c>
      <c r="K369" s="19" t="n">
        <v>10</v>
      </c>
      <c r="L369" s="17" t="s">
        <v>22</v>
      </c>
    </row>
    <row r="370" s="11" customFormat="true" ht="10.95" hidden="false" customHeight="true" outlineLevel="0" collapsed="false">
      <c r="A370" s="16" t="n">
        <v>45196</v>
      </c>
      <c r="B370" s="17" t="s">
        <v>17</v>
      </c>
      <c r="C370" s="17" t="s">
        <v>18</v>
      </c>
      <c r="D370" s="17" t="s">
        <v>19</v>
      </c>
      <c r="E370" s="17" t="s">
        <v>155</v>
      </c>
      <c r="F370" s="17" t="s">
        <v>281</v>
      </c>
      <c r="G370" s="18" t="n">
        <v>0</v>
      </c>
      <c r="H370" s="18" t="n">
        <v>432</v>
      </c>
      <c r="I370" s="18" t="n">
        <f aca="false">((I369 + G370) - H370)</f>
        <v>-199524.41</v>
      </c>
      <c r="J370" s="18" t="n">
        <v>-43.2</v>
      </c>
      <c r="K370" s="19" t="n">
        <v>10</v>
      </c>
      <c r="L370" s="17" t="s">
        <v>22</v>
      </c>
    </row>
    <row r="371" s="11" customFormat="true" ht="10.95" hidden="false" customHeight="true" outlineLevel="0" collapsed="false">
      <c r="A371" s="16" t="n">
        <v>45196</v>
      </c>
      <c r="B371" s="17" t="s">
        <v>17</v>
      </c>
      <c r="C371" s="17" t="s">
        <v>18</v>
      </c>
      <c r="D371" s="17" t="s">
        <v>19</v>
      </c>
      <c r="E371" s="17" t="s">
        <v>156</v>
      </c>
      <c r="F371" s="17" t="s">
        <v>281</v>
      </c>
      <c r="G371" s="18" t="n">
        <v>0</v>
      </c>
      <c r="H371" s="18" t="n">
        <v>945</v>
      </c>
      <c r="I371" s="18" t="n">
        <f aca="false">((I370 + G371) - H371)</f>
        <v>-200469.41</v>
      </c>
      <c r="J371" s="18" t="n">
        <v>-94.5</v>
      </c>
      <c r="K371" s="19" t="n">
        <v>10</v>
      </c>
      <c r="L371" s="17" t="s">
        <v>22</v>
      </c>
    </row>
    <row r="372" s="11" customFormat="true" ht="10.95" hidden="false" customHeight="true" outlineLevel="0" collapsed="false">
      <c r="A372" s="16" t="n">
        <v>45196</v>
      </c>
      <c r="B372" s="17" t="s">
        <v>17</v>
      </c>
      <c r="C372" s="17" t="s">
        <v>18</v>
      </c>
      <c r="D372" s="17" t="s">
        <v>19</v>
      </c>
      <c r="E372" s="17" t="s">
        <v>223</v>
      </c>
      <c r="F372" s="17" t="s">
        <v>281</v>
      </c>
      <c r="G372" s="18" t="n">
        <v>0</v>
      </c>
      <c r="H372" s="18" t="n">
        <v>34.65</v>
      </c>
      <c r="I372" s="18" t="n">
        <f aca="false">((I371 + G372) - H372)</f>
        <v>-200504.06</v>
      </c>
      <c r="J372" s="18" t="n">
        <v>-3.47</v>
      </c>
      <c r="K372" s="19" t="n">
        <v>10</v>
      </c>
      <c r="L372" s="17" t="s">
        <v>22</v>
      </c>
    </row>
    <row r="373" s="11" customFormat="true" ht="10.95" hidden="false" customHeight="true" outlineLevel="0" collapsed="false">
      <c r="A373" s="16" t="n">
        <v>45196</v>
      </c>
      <c r="B373" s="17" t="s">
        <v>17</v>
      </c>
      <c r="C373" s="17" t="s">
        <v>18</v>
      </c>
      <c r="D373" s="17" t="s">
        <v>19</v>
      </c>
      <c r="E373" s="17" t="s">
        <v>157</v>
      </c>
      <c r="F373" s="17" t="s">
        <v>281</v>
      </c>
      <c r="G373" s="18" t="n">
        <v>0</v>
      </c>
      <c r="H373" s="18" t="n">
        <v>189</v>
      </c>
      <c r="I373" s="18" t="n">
        <f aca="false">((I372 + G373) - H373)</f>
        <v>-200693.06</v>
      </c>
      <c r="J373" s="18" t="n">
        <v>-18.9</v>
      </c>
      <c r="K373" s="19" t="n">
        <v>10</v>
      </c>
      <c r="L373" s="17" t="s">
        <v>22</v>
      </c>
    </row>
    <row r="374" s="11" customFormat="true" ht="10.95" hidden="false" customHeight="true" outlineLevel="0" collapsed="false">
      <c r="A374" s="16" t="n">
        <v>45196</v>
      </c>
      <c r="B374" s="17" t="s">
        <v>17</v>
      </c>
      <c r="C374" s="17" t="s">
        <v>18</v>
      </c>
      <c r="D374" s="17" t="s">
        <v>19</v>
      </c>
      <c r="E374" s="17" t="s">
        <v>158</v>
      </c>
      <c r="F374" s="17" t="s">
        <v>281</v>
      </c>
      <c r="G374" s="18" t="n">
        <v>0</v>
      </c>
      <c r="H374" s="18" t="n">
        <v>94.5</v>
      </c>
      <c r="I374" s="18" t="n">
        <f aca="false">((I373 + G374) - H374)</f>
        <v>-200787.56</v>
      </c>
      <c r="J374" s="18" t="n">
        <v>-9.45</v>
      </c>
      <c r="K374" s="19" t="n">
        <v>10</v>
      </c>
      <c r="L374" s="17" t="s">
        <v>22</v>
      </c>
    </row>
    <row r="375" s="11" customFormat="true" ht="10.95" hidden="false" customHeight="true" outlineLevel="0" collapsed="false">
      <c r="A375" s="16" t="n">
        <v>45196</v>
      </c>
      <c r="B375" s="17" t="s">
        <v>17</v>
      </c>
      <c r="C375" s="17" t="s">
        <v>18</v>
      </c>
      <c r="D375" s="17" t="s">
        <v>19</v>
      </c>
      <c r="E375" s="17" t="s">
        <v>159</v>
      </c>
      <c r="F375" s="17" t="s">
        <v>281</v>
      </c>
      <c r="G375" s="18" t="n">
        <v>0</v>
      </c>
      <c r="H375" s="18" t="n">
        <v>792</v>
      </c>
      <c r="I375" s="18" t="n">
        <f aca="false">((I374 + G375) - H375)</f>
        <v>-201579.56</v>
      </c>
      <c r="J375" s="18" t="n">
        <v>-79.2</v>
      </c>
      <c r="K375" s="19" t="n">
        <v>10</v>
      </c>
      <c r="L375" s="17" t="s">
        <v>22</v>
      </c>
    </row>
    <row r="376" s="11" customFormat="true" ht="10.95" hidden="false" customHeight="true" outlineLevel="0" collapsed="false">
      <c r="A376" s="16" t="n">
        <v>45196</v>
      </c>
      <c r="B376" s="17" t="s">
        <v>17</v>
      </c>
      <c r="C376" s="17" t="s">
        <v>18</v>
      </c>
      <c r="D376" s="17" t="s">
        <v>19</v>
      </c>
      <c r="E376" s="17" t="s">
        <v>282</v>
      </c>
      <c r="F376" s="17" t="s">
        <v>281</v>
      </c>
      <c r="G376" s="18" t="n">
        <v>0</v>
      </c>
      <c r="H376" s="18" t="n">
        <v>94.5</v>
      </c>
      <c r="I376" s="18" t="n">
        <f aca="false">((I375 + G376) - H376)</f>
        <v>-201674.06</v>
      </c>
      <c r="J376" s="18" t="n">
        <v>-9.45</v>
      </c>
      <c r="K376" s="19" t="n">
        <v>10</v>
      </c>
      <c r="L376" s="17" t="s">
        <v>22</v>
      </c>
    </row>
    <row r="377" s="11" customFormat="true" ht="10.95" hidden="false" customHeight="true" outlineLevel="0" collapsed="false">
      <c r="A377" s="16" t="n">
        <v>45196</v>
      </c>
      <c r="B377" s="17" t="s">
        <v>17</v>
      </c>
      <c r="C377" s="17" t="s">
        <v>18</v>
      </c>
      <c r="D377" s="17" t="s">
        <v>19</v>
      </c>
      <c r="E377" s="17" t="s">
        <v>283</v>
      </c>
      <c r="F377" s="17" t="s">
        <v>281</v>
      </c>
      <c r="G377" s="18" t="n">
        <v>0</v>
      </c>
      <c r="H377" s="18" t="n">
        <v>94.5</v>
      </c>
      <c r="I377" s="18" t="n">
        <f aca="false">((I376 + G377) - H377)</f>
        <v>-201768.56</v>
      </c>
      <c r="J377" s="18" t="n">
        <v>-9.45</v>
      </c>
      <c r="K377" s="19" t="n">
        <v>10</v>
      </c>
      <c r="L377" s="17" t="s">
        <v>22</v>
      </c>
    </row>
    <row r="378" s="11" customFormat="true" ht="10.95" hidden="false" customHeight="true" outlineLevel="0" collapsed="false">
      <c r="A378" s="16" t="n">
        <v>45196</v>
      </c>
      <c r="B378" s="17" t="s">
        <v>17</v>
      </c>
      <c r="C378" s="17" t="s">
        <v>18</v>
      </c>
      <c r="D378" s="17" t="s">
        <v>19</v>
      </c>
      <c r="E378" s="17" t="s">
        <v>284</v>
      </c>
      <c r="F378" s="17" t="s">
        <v>281</v>
      </c>
      <c r="G378" s="18" t="n">
        <v>0</v>
      </c>
      <c r="H378" s="18" t="n">
        <v>94.5</v>
      </c>
      <c r="I378" s="18" t="n">
        <f aca="false">((I377 + G378) - H378)</f>
        <v>-201863.06</v>
      </c>
      <c r="J378" s="18" t="n">
        <v>-9.45</v>
      </c>
      <c r="K378" s="19" t="n">
        <v>10</v>
      </c>
      <c r="L378" s="17" t="s">
        <v>22</v>
      </c>
    </row>
    <row r="379" s="11" customFormat="true" ht="10.95" hidden="false" customHeight="true" outlineLevel="0" collapsed="false">
      <c r="A379" s="16" t="n">
        <v>45196</v>
      </c>
      <c r="B379" s="17" t="s">
        <v>17</v>
      </c>
      <c r="C379" s="17" t="s">
        <v>18</v>
      </c>
      <c r="D379" s="17" t="s">
        <v>19</v>
      </c>
      <c r="E379" s="17" t="s">
        <v>116</v>
      </c>
      <c r="F379" s="17" t="s">
        <v>285</v>
      </c>
      <c r="G379" s="18" t="n">
        <v>0</v>
      </c>
      <c r="H379" s="18" t="n">
        <v>1162</v>
      </c>
      <c r="I379" s="18" t="n">
        <f aca="false">((I378 + G379) - H379)</f>
        <v>-203025.06</v>
      </c>
      <c r="J379" s="18" t="n">
        <v>-116.2</v>
      </c>
      <c r="K379" s="19" t="n">
        <v>10</v>
      </c>
      <c r="L379" s="17" t="s">
        <v>22</v>
      </c>
    </row>
    <row r="380" s="11" customFormat="true" ht="10.95" hidden="false" customHeight="true" outlineLevel="0" collapsed="false">
      <c r="A380" s="16" t="n">
        <v>45209</v>
      </c>
      <c r="B380" s="17" t="s">
        <v>17</v>
      </c>
      <c r="C380" s="17" t="s">
        <v>18</v>
      </c>
      <c r="D380" s="17" t="s">
        <v>19</v>
      </c>
      <c r="E380" s="17" t="s">
        <v>286</v>
      </c>
      <c r="F380" s="17" t="s">
        <v>287</v>
      </c>
      <c r="G380" s="18" t="n">
        <v>0</v>
      </c>
      <c r="H380" s="18" t="n">
        <v>38.5</v>
      </c>
      <c r="I380" s="18" t="n">
        <f aca="false">((I379 + G380) - H380)</f>
        <v>-203063.56</v>
      </c>
      <c r="J380" s="18" t="n">
        <v>-3.85</v>
      </c>
      <c r="K380" s="19" t="n">
        <v>10</v>
      </c>
      <c r="L380" s="17" t="s">
        <v>22</v>
      </c>
    </row>
    <row r="381" s="11" customFormat="true" ht="10.95" hidden="false" customHeight="true" outlineLevel="0" collapsed="false">
      <c r="A381" s="16" t="n">
        <v>45209</v>
      </c>
      <c r="B381" s="17" t="s">
        <v>17</v>
      </c>
      <c r="C381" s="17" t="s">
        <v>18</v>
      </c>
      <c r="D381" s="17" t="s">
        <v>19</v>
      </c>
      <c r="E381" s="17" t="s">
        <v>288</v>
      </c>
      <c r="F381" s="17" t="s">
        <v>287</v>
      </c>
      <c r="G381" s="18" t="n">
        <v>0</v>
      </c>
      <c r="H381" s="18" t="n">
        <v>5</v>
      </c>
      <c r="I381" s="18" t="n">
        <f aca="false">((I380 + G381) - H381)</f>
        <v>-203068.56</v>
      </c>
      <c r="J381" s="18" t="n">
        <v>-0.5</v>
      </c>
      <c r="K381" s="19" t="n">
        <v>10</v>
      </c>
      <c r="L381" s="17" t="s">
        <v>22</v>
      </c>
    </row>
    <row r="382" s="11" customFormat="true" ht="10.95" hidden="false" customHeight="true" outlineLevel="0" collapsed="false">
      <c r="A382" s="16" t="n">
        <v>45209</v>
      </c>
      <c r="B382" s="17" t="s">
        <v>17</v>
      </c>
      <c r="C382" s="17" t="s">
        <v>18</v>
      </c>
      <c r="D382" s="17" t="s">
        <v>19</v>
      </c>
      <c r="E382" s="17" t="s">
        <v>286</v>
      </c>
      <c r="F382" s="17" t="s">
        <v>287</v>
      </c>
      <c r="G382" s="18" t="n">
        <v>0</v>
      </c>
      <c r="H382" s="18" t="n">
        <v>38.5</v>
      </c>
      <c r="I382" s="18" t="n">
        <f aca="false">((I381 + G382) - H382)</f>
        <v>-203107.06</v>
      </c>
      <c r="J382" s="18" t="n">
        <v>-3.85</v>
      </c>
      <c r="K382" s="19" t="n">
        <v>10</v>
      </c>
      <c r="L382" s="17" t="s">
        <v>22</v>
      </c>
    </row>
    <row r="383" s="11" customFormat="true" ht="10.95" hidden="false" customHeight="true" outlineLevel="0" collapsed="false">
      <c r="A383" s="16" t="n">
        <v>45209</v>
      </c>
      <c r="B383" s="17" t="s">
        <v>17</v>
      </c>
      <c r="C383" s="17" t="s">
        <v>18</v>
      </c>
      <c r="D383" s="17" t="s">
        <v>19</v>
      </c>
      <c r="E383" s="17" t="s">
        <v>288</v>
      </c>
      <c r="F383" s="17" t="s">
        <v>287</v>
      </c>
      <c r="G383" s="18" t="n">
        <v>0</v>
      </c>
      <c r="H383" s="18" t="n">
        <v>5</v>
      </c>
      <c r="I383" s="18" t="n">
        <f aca="false">((I382 + G383) - H383)</f>
        <v>-203112.06</v>
      </c>
      <c r="J383" s="18" t="n">
        <v>-0.5</v>
      </c>
      <c r="K383" s="19" t="n">
        <v>10</v>
      </c>
      <c r="L383" s="17" t="s">
        <v>22</v>
      </c>
    </row>
    <row r="384" s="11" customFormat="true" ht="10.95" hidden="false" customHeight="true" outlineLevel="0" collapsed="false">
      <c r="A384" s="16" t="n">
        <v>45209</v>
      </c>
      <c r="B384" s="17" t="s">
        <v>17</v>
      </c>
      <c r="C384" s="17" t="s">
        <v>18</v>
      </c>
      <c r="D384" s="17" t="s">
        <v>19</v>
      </c>
      <c r="E384" s="17" t="s">
        <v>286</v>
      </c>
      <c r="F384" s="17" t="s">
        <v>287</v>
      </c>
      <c r="G384" s="18" t="n">
        <v>0</v>
      </c>
      <c r="H384" s="18" t="n">
        <v>38.5</v>
      </c>
      <c r="I384" s="18" t="n">
        <f aca="false">((I383 + G384) - H384)</f>
        <v>-203150.56</v>
      </c>
      <c r="J384" s="18" t="n">
        <v>-3.85</v>
      </c>
      <c r="K384" s="19" t="n">
        <v>10</v>
      </c>
      <c r="L384" s="17" t="s">
        <v>22</v>
      </c>
    </row>
    <row r="385" s="11" customFormat="true" ht="10.95" hidden="false" customHeight="true" outlineLevel="0" collapsed="false">
      <c r="A385" s="16" t="n">
        <v>45209</v>
      </c>
      <c r="B385" s="17" t="s">
        <v>17</v>
      </c>
      <c r="C385" s="17" t="s">
        <v>18</v>
      </c>
      <c r="D385" s="17" t="s">
        <v>19</v>
      </c>
      <c r="E385" s="17" t="s">
        <v>288</v>
      </c>
      <c r="F385" s="17" t="s">
        <v>287</v>
      </c>
      <c r="G385" s="18" t="n">
        <v>0</v>
      </c>
      <c r="H385" s="18" t="n">
        <v>5</v>
      </c>
      <c r="I385" s="18" t="n">
        <f aca="false">((I384 + G385) - H385)</f>
        <v>-203155.56</v>
      </c>
      <c r="J385" s="18" t="n">
        <v>-0.5</v>
      </c>
      <c r="K385" s="19" t="n">
        <v>10</v>
      </c>
      <c r="L385" s="17" t="s">
        <v>22</v>
      </c>
    </row>
    <row r="386" s="11" customFormat="true" ht="10.95" hidden="false" customHeight="true" outlineLevel="0" collapsed="false">
      <c r="A386" s="16" t="n">
        <v>45209</v>
      </c>
      <c r="B386" s="17" t="s">
        <v>17</v>
      </c>
      <c r="C386" s="17" t="s">
        <v>18</v>
      </c>
      <c r="D386" s="17" t="s">
        <v>162</v>
      </c>
      <c r="E386" s="17" t="s">
        <v>118</v>
      </c>
      <c r="F386" s="17" t="s">
        <v>289</v>
      </c>
      <c r="G386" s="18" t="n">
        <v>220</v>
      </c>
      <c r="H386" s="18" t="n">
        <v>0</v>
      </c>
      <c r="I386" s="18" t="n">
        <f aca="false">((I385 + G386) - H386)</f>
        <v>-202935.56</v>
      </c>
      <c r="J386" s="18" t="n">
        <v>22</v>
      </c>
      <c r="K386" s="19" t="n">
        <v>10</v>
      </c>
      <c r="L386" s="17" t="s">
        <v>22</v>
      </c>
    </row>
    <row r="387" s="11" customFormat="true" ht="10.95" hidden="false" customHeight="true" outlineLevel="0" collapsed="false">
      <c r="A387" s="16" t="n">
        <v>45222</v>
      </c>
      <c r="B387" s="17" t="s">
        <v>17</v>
      </c>
      <c r="C387" s="17" t="s">
        <v>18</v>
      </c>
      <c r="D387" s="17" t="s">
        <v>19</v>
      </c>
      <c r="E387" s="17" t="s">
        <v>231</v>
      </c>
      <c r="F387" s="17" t="s">
        <v>290</v>
      </c>
      <c r="G387" s="18" t="n">
        <v>0</v>
      </c>
      <c r="H387" s="18" t="n">
        <v>143</v>
      </c>
      <c r="I387" s="18" t="n">
        <f aca="false">((I386 + G387) - H387)</f>
        <v>-203078.56</v>
      </c>
      <c r="J387" s="18" t="n">
        <v>-14.3</v>
      </c>
      <c r="K387" s="19" t="n">
        <v>10</v>
      </c>
      <c r="L387" s="17" t="s">
        <v>22</v>
      </c>
    </row>
    <row r="388" s="11" customFormat="true" ht="10.95" hidden="false" customHeight="true" outlineLevel="0" collapsed="false">
      <c r="A388" s="16" t="n">
        <v>45222</v>
      </c>
      <c r="B388" s="17" t="s">
        <v>17</v>
      </c>
      <c r="C388" s="17" t="s">
        <v>18</v>
      </c>
      <c r="D388" s="17" t="s">
        <v>19</v>
      </c>
      <c r="E388" s="17" t="s">
        <v>233</v>
      </c>
      <c r="F388" s="17" t="s">
        <v>291</v>
      </c>
      <c r="G388" s="18" t="n">
        <v>0</v>
      </c>
      <c r="H388" s="18" t="n">
        <v>71.5</v>
      </c>
      <c r="I388" s="18" t="n">
        <f aca="false">((I387 + G388) - H388)</f>
        <v>-203150.06</v>
      </c>
      <c r="J388" s="18" t="n">
        <v>-7.15</v>
      </c>
      <c r="K388" s="19" t="n">
        <v>10</v>
      </c>
      <c r="L388" s="17" t="s">
        <v>22</v>
      </c>
    </row>
    <row r="389" s="11" customFormat="true" ht="10.95" hidden="false" customHeight="true" outlineLevel="0" collapsed="false">
      <c r="A389" s="16" t="n">
        <v>45222</v>
      </c>
      <c r="B389" s="17" t="s">
        <v>17</v>
      </c>
      <c r="C389" s="17" t="s">
        <v>18</v>
      </c>
      <c r="D389" s="17" t="s">
        <v>19</v>
      </c>
      <c r="E389" s="17" t="s">
        <v>235</v>
      </c>
      <c r="F389" s="17" t="s">
        <v>291</v>
      </c>
      <c r="G389" s="18" t="n">
        <v>0</v>
      </c>
      <c r="H389" s="18" t="n">
        <v>110</v>
      </c>
      <c r="I389" s="18" t="n">
        <f aca="false">((I388 + G389) - H389)</f>
        <v>-203260.06</v>
      </c>
      <c r="J389" s="18" t="n">
        <v>-11</v>
      </c>
      <c r="K389" s="19" t="n">
        <v>10</v>
      </c>
      <c r="L389" s="17" t="s">
        <v>22</v>
      </c>
    </row>
    <row r="390" s="11" customFormat="true" ht="10.95" hidden="false" customHeight="true" outlineLevel="0" collapsed="false">
      <c r="A390" s="16" t="n">
        <v>45222</v>
      </c>
      <c r="B390" s="17" t="s">
        <v>17</v>
      </c>
      <c r="C390" s="17" t="s">
        <v>18</v>
      </c>
      <c r="D390" s="17" t="s">
        <v>19</v>
      </c>
      <c r="E390" s="17" t="s">
        <v>171</v>
      </c>
      <c r="F390" s="17" t="s">
        <v>292</v>
      </c>
      <c r="G390" s="18" t="n">
        <v>0</v>
      </c>
      <c r="H390" s="18" t="n">
        <v>940.5</v>
      </c>
      <c r="I390" s="18" t="n">
        <f aca="false">((I389 + G390) - H390)</f>
        <v>-204200.56</v>
      </c>
      <c r="J390" s="18" t="n">
        <v>-94.05</v>
      </c>
      <c r="K390" s="19" t="n">
        <v>10</v>
      </c>
      <c r="L390" s="17" t="s">
        <v>22</v>
      </c>
    </row>
    <row r="391" s="11" customFormat="true" ht="10.95" hidden="false" customHeight="true" outlineLevel="0" collapsed="false">
      <c r="A391" s="16" t="n">
        <v>45222</v>
      </c>
      <c r="B391" s="17" t="s">
        <v>17</v>
      </c>
      <c r="C391" s="17" t="s">
        <v>18</v>
      </c>
      <c r="D391" s="17" t="s">
        <v>19</v>
      </c>
      <c r="E391" s="17" t="s">
        <v>20</v>
      </c>
      <c r="F391" s="17" t="s">
        <v>293</v>
      </c>
      <c r="G391" s="18" t="n">
        <v>0</v>
      </c>
      <c r="H391" s="18" t="n">
        <v>376</v>
      </c>
      <c r="I391" s="18" t="n">
        <f aca="false">((I390 + G391) - H391)</f>
        <v>-204576.56</v>
      </c>
      <c r="J391" s="18" t="n">
        <v>-37.6</v>
      </c>
      <c r="K391" s="19" t="n">
        <v>10</v>
      </c>
      <c r="L391" s="17" t="s">
        <v>22</v>
      </c>
    </row>
    <row r="392" s="11" customFormat="true" ht="10.95" hidden="false" customHeight="true" outlineLevel="0" collapsed="false">
      <c r="A392" s="16" t="n">
        <v>45222</v>
      </c>
      <c r="B392" s="17" t="s">
        <v>17</v>
      </c>
      <c r="C392" s="17" t="s">
        <v>18</v>
      </c>
      <c r="D392" s="17" t="s">
        <v>19</v>
      </c>
      <c r="E392" s="17" t="s">
        <v>23</v>
      </c>
      <c r="F392" s="17" t="s">
        <v>294</v>
      </c>
      <c r="G392" s="18" t="n">
        <v>0</v>
      </c>
      <c r="H392" s="18" t="n">
        <v>1035</v>
      </c>
      <c r="I392" s="18" t="n">
        <f aca="false">((I391 + G392) - H392)</f>
        <v>-205611.56</v>
      </c>
      <c r="J392" s="18" t="n">
        <v>-103.5</v>
      </c>
      <c r="K392" s="19" t="n">
        <v>10</v>
      </c>
      <c r="L392" s="17" t="s">
        <v>22</v>
      </c>
    </row>
    <row r="393" s="11" customFormat="true" ht="10.95" hidden="false" customHeight="true" outlineLevel="0" collapsed="false">
      <c r="A393" s="16" t="n">
        <v>45222</v>
      </c>
      <c r="B393" s="17" t="s">
        <v>17</v>
      </c>
      <c r="C393" s="17" t="s">
        <v>18</v>
      </c>
      <c r="D393" s="17" t="s">
        <v>19</v>
      </c>
      <c r="E393" s="17" t="s">
        <v>25</v>
      </c>
      <c r="F393" s="17" t="s">
        <v>294</v>
      </c>
      <c r="G393" s="18" t="n">
        <v>0</v>
      </c>
      <c r="H393" s="18" t="n">
        <v>225</v>
      </c>
      <c r="I393" s="18" t="n">
        <f aca="false">((I392 + G393) - H393)</f>
        <v>-205836.56</v>
      </c>
      <c r="J393" s="18" t="n">
        <v>-22.5</v>
      </c>
      <c r="K393" s="19" t="n">
        <v>10</v>
      </c>
      <c r="L393" s="17" t="s">
        <v>22</v>
      </c>
    </row>
    <row r="394" s="11" customFormat="true" ht="10.95" hidden="false" customHeight="true" outlineLevel="0" collapsed="false">
      <c r="A394" s="16" t="n">
        <v>45222</v>
      </c>
      <c r="B394" s="17" t="s">
        <v>17</v>
      </c>
      <c r="C394" s="17" t="s">
        <v>18</v>
      </c>
      <c r="D394" s="17" t="s">
        <v>19</v>
      </c>
      <c r="E394" s="17" t="s">
        <v>26</v>
      </c>
      <c r="F394" s="17" t="s">
        <v>295</v>
      </c>
      <c r="G394" s="18" t="n">
        <v>0</v>
      </c>
      <c r="H394" s="18" t="n">
        <v>510</v>
      </c>
      <c r="I394" s="18" t="n">
        <f aca="false">((I393 + G394) - H394)</f>
        <v>-206346.56</v>
      </c>
      <c r="J394" s="18" t="n">
        <v>-51</v>
      </c>
      <c r="K394" s="19" t="n">
        <v>10</v>
      </c>
      <c r="L394" s="17" t="s">
        <v>22</v>
      </c>
    </row>
    <row r="395" s="11" customFormat="true" ht="10.95" hidden="false" customHeight="true" outlineLevel="0" collapsed="false">
      <c r="A395" s="16" t="n">
        <v>45222</v>
      </c>
      <c r="B395" s="17" t="s">
        <v>17</v>
      </c>
      <c r="C395" s="17" t="s">
        <v>18</v>
      </c>
      <c r="D395" s="17" t="s">
        <v>19</v>
      </c>
      <c r="E395" s="17" t="s">
        <v>28</v>
      </c>
      <c r="F395" s="17" t="s">
        <v>296</v>
      </c>
      <c r="G395" s="18" t="n">
        <v>0</v>
      </c>
      <c r="H395" s="18" t="n">
        <v>836</v>
      </c>
      <c r="I395" s="18" t="n">
        <f aca="false">((I394 + G395) - H395)</f>
        <v>-207182.56</v>
      </c>
      <c r="J395" s="18" t="n">
        <v>-83.6</v>
      </c>
      <c r="K395" s="19" t="n">
        <v>10</v>
      </c>
      <c r="L395" s="17" t="s">
        <v>22</v>
      </c>
    </row>
    <row r="396" s="11" customFormat="true" ht="10.95" hidden="false" customHeight="true" outlineLevel="0" collapsed="false">
      <c r="A396" s="16" t="n">
        <v>45222</v>
      </c>
      <c r="B396" s="17" t="s">
        <v>17</v>
      </c>
      <c r="C396" s="17" t="s">
        <v>18</v>
      </c>
      <c r="D396" s="17" t="s">
        <v>19</v>
      </c>
      <c r="E396" s="17" t="s">
        <v>30</v>
      </c>
      <c r="F396" s="17" t="s">
        <v>297</v>
      </c>
      <c r="G396" s="18" t="n">
        <v>0</v>
      </c>
      <c r="H396" s="18" t="n">
        <v>85</v>
      </c>
      <c r="I396" s="18" t="n">
        <f aca="false">((I395 + G396) - H396)</f>
        <v>-207267.56</v>
      </c>
      <c r="J396" s="18" t="n">
        <v>-8.5</v>
      </c>
      <c r="K396" s="19" t="n">
        <v>10</v>
      </c>
      <c r="L396" s="17" t="s">
        <v>22</v>
      </c>
    </row>
    <row r="397" s="11" customFormat="true" ht="10.95" hidden="false" customHeight="true" outlineLevel="0" collapsed="false">
      <c r="A397" s="16" t="n">
        <v>45222</v>
      </c>
      <c r="B397" s="17" t="s">
        <v>17</v>
      </c>
      <c r="C397" s="17" t="s">
        <v>18</v>
      </c>
      <c r="D397" s="17" t="s">
        <v>19</v>
      </c>
      <c r="E397" s="17" t="s">
        <v>32</v>
      </c>
      <c r="F397" s="17" t="s">
        <v>298</v>
      </c>
      <c r="G397" s="18" t="n">
        <v>0</v>
      </c>
      <c r="H397" s="18" t="n">
        <v>195</v>
      </c>
      <c r="I397" s="18" t="n">
        <f aca="false">((I396 + G397) - H397)</f>
        <v>-207462.56</v>
      </c>
      <c r="J397" s="18" t="n">
        <v>-19.5</v>
      </c>
      <c r="K397" s="19" t="n">
        <v>10</v>
      </c>
      <c r="L397" s="17" t="s">
        <v>22</v>
      </c>
    </row>
    <row r="398" s="11" customFormat="true" ht="10.95" hidden="false" customHeight="true" outlineLevel="0" collapsed="false">
      <c r="A398" s="16" t="n">
        <v>45222</v>
      </c>
      <c r="B398" s="17" t="s">
        <v>17</v>
      </c>
      <c r="C398" s="17" t="s">
        <v>18</v>
      </c>
      <c r="D398" s="17" t="s">
        <v>19</v>
      </c>
      <c r="E398" s="17" t="s">
        <v>34</v>
      </c>
      <c r="F398" s="17" t="s">
        <v>298</v>
      </c>
      <c r="G398" s="18" t="n">
        <v>0</v>
      </c>
      <c r="H398" s="18" t="n">
        <v>30</v>
      </c>
      <c r="I398" s="18" t="n">
        <f aca="false">((I397 + G398) - H398)</f>
        <v>-207492.56</v>
      </c>
      <c r="J398" s="18" t="n">
        <v>-3</v>
      </c>
      <c r="K398" s="19" t="n">
        <v>10</v>
      </c>
      <c r="L398" s="17" t="s">
        <v>22</v>
      </c>
    </row>
    <row r="399" s="11" customFormat="true" ht="21.3" hidden="false" customHeight="true" outlineLevel="0" collapsed="false">
      <c r="A399" s="16" t="n">
        <v>45222</v>
      </c>
      <c r="B399" s="17" t="s">
        <v>17</v>
      </c>
      <c r="C399" s="17" t="s">
        <v>18</v>
      </c>
      <c r="D399" s="17" t="s">
        <v>19</v>
      </c>
      <c r="E399" s="20" t="s">
        <v>35</v>
      </c>
      <c r="F399" s="17" t="s">
        <v>298</v>
      </c>
      <c r="G399" s="18" t="n">
        <v>0</v>
      </c>
      <c r="H399" s="18" t="n">
        <v>100</v>
      </c>
      <c r="I399" s="18" t="n">
        <f aca="false">((I398 + G399) - H399)</f>
        <v>-207592.56</v>
      </c>
      <c r="J399" s="18" t="n">
        <v>-10</v>
      </c>
      <c r="K399" s="19" t="n">
        <v>10</v>
      </c>
      <c r="L399" s="17" t="s">
        <v>22</v>
      </c>
    </row>
    <row r="400" s="11" customFormat="true" ht="10.95" hidden="false" customHeight="true" outlineLevel="0" collapsed="false">
      <c r="A400" s="16" t="n">
        <v>45222</v>
      </c>
      <c r="B400" s="17" t="s">
        <v>17</v>
      </c>
      <c r="C400" s="17" t="s">
        <v>18</v>
      </c>
      <c r="D400" s="17" t="s">
        <v>19</v>
      </c>
      <c r="E400" s="17" t="s">
        <v>36</v>
      </c>
      <c r="F400" s="17" t="s">
        <v>299</v>
      </c>
      <c r="G400" s="18" t="n">
        <v>0</v>
      </c>
      <c r="H400" s="18" t="n">
        <v>720</v>
      </c>
      <c r="I400" s="18" t="n">
        <f aca="false">((I399 + G400) - H400)</f>
        <v>-208312.56</v>
      </c>
      <c r="J400" s="18" t="n">
        <v>-72</v>
      </c>
      <c r="K400" s="19" t="n">
        <v>10</v>
      </c>
      <c r="L400" s="17" t="s">
        <v>22</v>
      </c>
    </row>
    <row r="401" s="11" customFormat="true" ht="10.95" hidden="false" customHeight="true" outlineLevel="0" collapsed="false">
      <c r="A401" s="16" t="n">
        <v>45222</v>
      </c>
      <c r="B401" s="17" t="s">
        <v>17</v>
      </c>
      <c r="C401" s="17" t="s">
        <v>18</v>
      </c>
      <c r="D401" s="17" t="s">
        <v>19</v>
      </c>
      <c r="E401" s="17" t="s">
        <v>38</v>
      </c>
      <c r="F401" s="17" t="s">
        <v>299</v>
      </c>
      <c r="G401" s="18" t="n">
        <v>0</v>
      </c>
      <c r="H401" s="18" t="n">
        <v>110</v>
      </c>
      <c r="I401" s="18" t="n">
        <f aca="false">((I400 + G401) - H401)</f>
        <v>-208422.56</v>
      </c>
      <c r="J401" s="18" t="n">
        <v>-11</v>
      </c>
      <c r="K401" s="19" t="n">
        <v>10</v>
      </c>
      <c r="L401" s="17" t="s">
        <v>22</v>
      </c>
    </row>
    <row r="402" s="11" customFormat="true" ht="10.95" hidden="false" customHeight="true" outlineLevel="0" collapsed="false">
      <c r="A402" s="16" t="n">
        <v>45222</v>
      </c>
      <c r="B402" s="17" t="s">
        <v>17</v>
      </c>
      <c r="C402" s="17" t="s">
        <v>18</v>
      </c>
      <c r="D402" s="17" t="s">
        <v>19</v>
      </c>
      <c r="E402" s="17" t="s">
        <v>39</v>
      </c>
      <c r="F402" s="17" t="s">
        <v>299</v>
      </c>
      <c r="G402" s="18" t="n">
        <v>0</v>
      </c>
      <c r="H402" s="18" t="n">
        <v>165</v>
      </c>
      <c r="I402" s="18" t="n">
        <f aca="false">((I401 + G402) - H402)</f>
        <v>-208587.56</v>
      </c>
      <c r="J402" s="18" t="n">
        <v>-16.5</v>
      </c>
      <c r="K402" s="19" t="n">
        <v>10</v>
      </c>
      <c r="L402" s="17" t="s">
        <v>22</v>
      </c>
    </row>
    <row r="403" s="11" customFormat="true" ht="10.95" hidden="false" customHeight="true" outlineLevel="0" collapsed="false">
      <c r="A403" s="16" t="n">
        <v>45222</v>
      </c>
      <c r="B403" s="17" t="s">
        <v>17</v>
      </c>
      <c r="C403" s="17" t="s">
        <v>18</v>
      </c>
      <c r="D403" s="17" t="s">
        <v>19</v>
      </c>
      <c r="E403" s="17" t="s">
        <v>40</v>
      </c>
      <c r="F403" s="17" t="s">
        <v>300</v>
      </c>
      <c r="G403" s="18" t="n">
        <v>0</v>
      </c>
      <c r="H403" s="18" t="n">
        <v>3825</v>
      </c>
      <c r="I403" s="18" t="n">
        <f aca="false">((I402 + G403) - H403)</f>
        <v>-212412.56</v>
      </c>
      <c r="J403" s="18" t="n">
        <v>-382.5</v>
      </c>
      <c r="K403" s="19" t="n">
        <v>10</v>
      </c>
      <c r="L403" s="17" t="s">
        <v>22</v>
      </c>
    </row>
    <row r="404" s="11" customFormat="true" ht="10.95" hidden="false" customHeight="true" outlineLevel="0" collapsed="false">
      <c r="A404" s="16" t="n">
        <v>45222</v>
      </c>
      <c r="B404" s="17" t="s">
        <v>17</v>
      </c>
      <c r="C404" s="17" t="s">
        <v>18</v>
      </c>
      <c r="D404" s="17" t="s">
        <v>19</v>
      </c>
      <c r="E404" s="17" t="s">
        <v>42</v>
      </c>
      <c r="F404" s="17" t="s">
        <v>301</v>
      </c>
      <c r="G404" s="18" t="n">
        <v>0</v>
      </c>
      <c r="H404" s="18" t="n">
        <v>2592</v>
      </c>
      <c r="I404" s="18" t="n">
        <f aca="false">((I403 + G404) - H404)</f>
        <v>-215004.56</v>
      </c>
      <c r="J404" s="18" t="n">
        <v>-259.2</v>
      </c>
      <c r="K404" s="19" t="n">
        <v>10</v>
      </c>
      <c r="L404" s="17" t="s">
        <v>44</v>
      </c>
    </row>
    <row r="405" s="11" customFormat="true" ht="10.95" hidden="false" customHeight="true" outlineLevel="0" collapsed="false">
      <c r="A405" s="16" t="n">
        <v>45222</v>
      </c>
      <c r="B405" s="17" t="s">
        <v>17</v>
      </c>
      <c r="C405" s="17" t="s">
        <v>18</v>
      </c>
      <c r="D405" s="17" t="s">
        <v>19</v>
      </c>
      <c r="E405" s="17" t="s">
        <v>45</v>
      </c>
      <c r="F405" s="17" t="s">
        <v>301</v>
      </c>
      <c r="G405" s="18" t="n">
        <v>0</v>
      </c>
      <c r="H405" s="18" t="n">
        <v>990</v>
      </c>
      <c r="I405" s="18" t="n">
        <f aca="false">((I404 + G405) - H405)</f>
        <v>-215994.56</v>
      </c>
      <c r="J405" s="18" t="n">
        <v>-99</v>
      </c>
      <c r="K405" s="19" t="n">
        <v>10</v>
      </c>
      <c r="L405" s="17" t="s">
        <v>44</v>
      </c>
    </row>
    <row r="406" s="11" customFormat="true" ht="10.95" hidden="false" customHeight="true" outlineLevel="0" collapsed="false">
      <c r="A406" s="16" t="n">
        <v>45222</v>
      </c>
      <c r="B406" s="17" t="s">
        <v>17</v>
      </c>
      <c r="C406" s="17" t="s">
        <v>18</v>
      </c>
      <c r="D406" s="17" t="s">
        <v>19</v>
      </c>
      <c r="E406" s="17" t="s">
        <v>46</v>
      </c>
      <c r="F406" s="17" t="s">
        <v>301</v>
      </c>
      <c r="G406" s="18" t="n">
        <v>0</v>
      </c>
      <c r="H406" s="18" t="n">
        <v>220</v>
      </c>
      <c r="I406" s="18" t="n">
        <f aca="false">((I405 + G406) - H406)</f>
        <v>-216214.56</v>
      </c>
      <c r="J406" s="18" t="n">
        <v>-22</v>
      </c>
      <c r="K406" s="19" t="n">
        <v>10</v>
      </c>
      <c r="L406" s="17" t="s">
        <v>44</v>
      </c>
    </row>
    <row r="407" s="11" customFormat="true" ht="10.95" hidden="false" customHeight="true" outlineLevel="0" collapsed="false">
      <c r="A407" s="16" t="n">
        <v>45222</v>
      </c>
      <c r="B407" s="17" t="s">
        <v>17</v>
      </c>
      <c r="C407" s="17" t="s">
        <v>18</v>
      </c>
      <c r="D407" s="17" t="s">
        <v>19</v>
      </c>
      <c r="E407" s="17" t="s">
        <v>47</v>
      </c>
      <c r="F407" s="17" t="s">
        <v>302</v>
      </c>
      <c r="G407" s="18" t="n">
        <v>0</v>
      </c>
      <c r="H407" s="18" t="n">
        <v>260</v>
      </c>
      <c r="I407" s="18" t="n">
        <f aca="false">((I406 + G407) - H407)</f>
        <v>-216474.56</v>
      </c>
      <c r="J407" s="18" t="n">
        <v>-26</v>
      </c>
      <c r="K407" s="19" t="n">
        <v>10</v>
      </c>
      <c r="L407" s="17" t="s">
        <v>22</v>
      </c>
    </row>
    <row r="408" s="11" customFormat="true" ht="10.95" hidden="false" customHeight="true" outlineLevel="0" collapsed="false">
      <c r="A408" s="16" t="n">
        <v>45222</v>
      </c>
      <c r="B408" s="17" t="s">
        <v>17</v>
      </c>
      <c r="C408" s="17" t="s">
        <v>18</v>
      </c>
      <c r="D408" s="17" t="s">
        <v>19</v>
      </c>
      <c r="E408" s="17" t="s">
        <v>49</v>
      </c>
      <c r="F408" s="17" t="s">
        <v>302</v>
      </c>
      <c r="G408" s="18" t="n">
        <v>0</v>
      </c>
      <c r="H408" s="18" t="n">
        <v>100</v>
      </c>
      <c r="I408" s="18" t="n">
        <f aca="false">((I407 + G408) - H408)</f>
        <v>-216574.56</v>
      </c>
      <c r="J408" s="18" t="n">
        <v>-10</v>
      </c>
      <c r="K408" s="19" t="n">
        <v>10</v>
      </c>
      <c r="L408" s="17" t="s">
        <v>22</v>
      </c>
    </row>
    <row r="409" s="11" customFormat="true" ht="10.95" hidden="false" customHeight="true" outlineLevel="0" collapsed="false">
      <c r="A409" s="16" t="n">
        <v>45222</v>
      </c>
      <c r="B409" s="17" t="s">
        <v>17</v>
      </c>
      <c r="C409" s="17" t="s">
        <v>18</v>
      </c>
      <c r="D409" s="17" t="s">
        <v>19</v>
      </c>
      <c r="E409" s="17" t="s">
        <v>50</v>
      </c>
      <c r="F409" s="17" t="s">
        <v>303</v>
      </c>
      <c r="G409" s="18" t="n">
        <v>0</v>
      </c>
      <c r="H409" s="18" t="n">
        <v>2040</v>
      </c>
      <c r="I409" s="18" t="n">
        <f aca="false">((I408 + G409) - H409)</f>
        <v>-218614.56</v>
      </c>
      <c r="J409" s="18" t="n">
        <v>-204</v>
      </c>
      <c r="K409" s="19" t="n">
        <v>10</v>
      </c>
      <c r="L409" s="17" t="s">
        <v>22</v>
      </c>
    </row>
    <row r="410" s="11" customFormat="true" ht="10.95" hidden="false" customHeight="true" outlineLevel="0" collapsed="false">
      <c r="A410" s="16" t="n">
        <v>45222</v>
      </c>
      <c r="B410" s="17" t="s">
        <v>17</v>
      </c>
      <c r="C410" s="17" t="s">
        <v>18</v>
      </c>
      <c r="D410" s="17" t="s">
        <v>19</v>
      </c>
      <c r="E410" s="17" t="s">
        <v>52</v>
      </c>
      <c r="F410" s="17" t="s">
        <v>304</v>
      </c>
      <c r="G410" s="18" t="n">
        <v>0</v>
      </c>
      <c r="H410" s="18" t="n">
        <v>1000.05</v>
      </c>
      <c r="I410" s="18" t="n">
        <f aca="false">((I409 + G410) - H410)</f>
        <v>-219614.61</v>
      </c>
      <c r="J410" s="18" t="n">
        <v>-100.01</v>
      </c>
      <c r="K410" s="19" t="n">
        <v>10</v>
      </c>
      <c r="L410" s="17" t="s">
        <v>22</v>
      </c>
    </row>
    <row r="411" s="11" customFormat="true" ht="10.95" hidden="false" customHeight="true" outlineLevel="0" collapsed="false">
      <c r="A411" s="16" t="n">
        <v>45222</v>
      </c>
      <c r="B411" s="17" t="s">
        <v>17</v>
      </c>
      <c r="C411" s="17" t="s">
        <v>18</v>
      </c>
      <c r="D411" s="17" t="s">
        <v>19</v>
      </c>
      <c r="E411" s="17" t="s">
        <v>54</v>
      </c>
      <c r="F411" s="17" t="s">
        <v>305</v>
      </c>
      <c r="G411" s="18" t="n">
        <v>0</v>
      </c>
      <c r="H411" s="18" t="n">
        <v>550</v>
      </c>
      <c r="I411" s="18" t="n">
        <f aca="false">((I410 + G411) - H411)</f>
        <v>-220164.61</v>
      </c>
      <c r="J411" s="18" t="n">
        <v>-55</v>
      </c>
      <c r="K411" s="19" t="n">
        <v>10</v>
      </c>
      <c r="L411" s="17" t="s">
        <v>22</v>
      </c>
    </row>
    <row r="412" s="11" customFormat="true" ht="31.65" hidden="false" customHeight="true" outlineLevel="0" collapsed="false">
      <c r="A412" s="16" t="n">
        <v>45222</v>
      </c>
      <c r="B412" s="17" t="s">
        <v>17</v>
      </c>
      <c r="C412" s="17" t="s">
        <v>18</v>
      </c>
      <c r="D412" s="17" t="s">
        <v>19</v>
      </c>
      <c r="E412" s="20" t="s">
        <v>56</v>
      </c>
      <c r="F412" s="17" t="s">
        <v>305</v>
      </c>
      <c r="G412" s="18" t="n">
        <v>0</v>
      </c>
      <c r="H412" s="18" t="n">
        <v>110</v>
      </c>
      <c r="I412" s="18" t="n">
        <f aca="false">((I411 + G412) - H412)</f>
        <v>-220274.61</v>
      </c>
      <c r="J412" s="18" t="n">
        <v>-11</v>
      </c>
      <c r="K412" s="19" t="n">
        <v>10</v>
      </c>
      <c r="L412" s="17" t="s">
        <v>22</v>
      </c>
    </row>
    <row r="413" s="11" customFormat="true" ht="10.95" hidden="false" customHeight="true" outlineLevel="0" collapsed="false">
      <c r="A413" s="16" t="n">
        <v>45222</v>
      </c>
      <c r="B413" s="17" t="s">
        <v>17</v>
      </c>
      <c r="C413" s="17" t="s">
        <v>18</v>
      </c>
      <c r="D413" s="17" t="s">
        <v>19</v>
      </c>
      <c r="E413" s="17" t="s">
        <v>57</v>
      </c>
      <c r="F413" s="17" t="s">
        <v>305</v>
      </c>
      <c r="G413" s="18" t="n">
        <v>0</v>
      </c>
      <c r="H413" s="18" t="n">
        <v>132</v>
      </c>
      <c r="I413" s="18" t="n">
        <f aca="false">((I412 + G413) - H413)</f>
        <v>-220406.61</v>
      </c>
      <c r="J413" s="18" t="n">
        <v>-13.2</v>
      </c>
      <c r="K413" s="19" t="n">
        <v>10</v>
      </c>
      <c r="L413" s="17" t="s">
        <v>22</v>
      </c>
    </row>
    <row r="414" s="11" customFormat="true" ht="10.95" hidden="false" customHeight="true" outlineLevel="0" collapsed="false">
      <c r="A414" s="16" t="n">
        <v>45222</v>
      </c>
      <c r="B414" s="17" t="s">
        <v>17</v>
      </c>
      <c r="C414" s="17" t="s">
        <v>18</v>
      </c>
      <c r="D414" s="17" t="s">
        <v>19</v>
      </c>
      <c r="E414" s="17" t="s">
        <v>58</v>
      </c>
      <c r="F414" s="17" t="s">
        <v>305</v>
      </c>
      <c r="G414" s="18" t="n">
        <v>0</v>
      </c>
      <c r="H414" s="18" t="n">
        <v>165</v>
      </c>
      <c r="I414" s="18" t="n">
        <f aca="false">((I413 + G414) - H414)</f>
        <v>-220571.61</v>
      </c>
      <c r="J414" s="18" t="n">
        <v>-16.5</v>
      </c>
      <c r="K414" s="19" t="n">
        <v>10</v>
      </c>
      <c r="L414" s="17" t="s">
        <v>22</v>
      </c>
    </row>
    <row r="415" s="11" customFormat="true" ht="10.95" hidden="false" customHeight="true" outlineLevel="0" collapsed="false">
      <c r="A415" s="16" t="n">
        <v>45222</v>
      </c>
      <c r="B415" s="17" t="s">
        <v>17</v>
      </c>
      <c r="C415" s="17" t="s">
        <v>18</v>
      </c>
      <c r="D415" s="17" t="s">
        <v>19</v>
      </c>
      <c r="E415" s="17" t="s">
        <v>59</v>
      </c>
      <c r="F415" s="17" t="s">
        <v>306</v>
      </c>
      <c r="G415" s="18" t="n">
        <v>0</v>
      </c>
      <c r="H415" s="18" t="n">
        <v>4800</v>
      </c>
      <c r="I415" s="18" t="n">
        <f aca="false">((I414 + G415) - H415)</f>
        <v>-225371.61</v>
      </c>
      <c r="J415" s="18" t="n">
        <v>-480</v>
      </c>
      <c r="K415" s="19" t="n">
        <v>10</v>
      </c>
      <c r="L415" s="17" t="s">
        <v>22</v>
      </c>
    </row>
    <row r="416" s="11" customFormat="true" ht="10.95" hidden="false" customHeight="true" outlineLevel="0" collapsed="false">
      <c r="A416" s="16" t="n">
        <v>45222</v>
      </c>
      <c r="B416" s="17" t="s">
        <v>17</v>
      </c>
      <c r="C416" s="17" t="s">
        <v>18</v>
      </c>
      <c r="D416" s="17" t="s">
        <v>19</v>
      </c>
      <c r="E416" s="17" t="s">
        <v>61</v>
      </c>
      <c r="F416" s="17" t="s">
        <v>306</v>
      </c>
      <c r="G416" s="18" t="n">
        <v>0</v>
      </c>
      <c r="H416" s="18" t="n">
        <v>3990</v>
      </c>
      <c r="I416" s="18" t="n">
        <f aca="false">((I415 + G416) - H416)</f>
        <v>-229361.61</v>
      </c>
      <c r="J416" s="18" t="n">
        <v>-399</v>
      </c>
      <c r="K416" s="19" t="n">
        <v>10</v>
      </c>
      <c r="L416" s="17" t="s">
        <v>22</v>
      </c>
    </row>
    <row r="417" s="11" customFormat="true" ht="10.95" hidden="false" customHeight="true" outlineLevel="0" collapsed="false">
      <c r="A417" s="16" t="n">
        <v>45222</v>
      </c>
      <c r="B417" s="17" t="s">
        <v>17</v>
      </c>
      <c r="C417" s="17" t="s">
        <v>18</v>
      </c>
      <c r="D417" s="17" t="s">
        <v>19</v>
      </c>
      <c r="E417" s="17" t="s">
        <v>62</v>
      </c>
      <c r="F417" s="17" t="s">
        <v>306</v>
      </c>
      <c r="G417" s="18" t="n">
        <v>0</v>
      </c>
      <c r="H417" s="18" t="n">
        <v>300</v>
      </c>
      <c r="I417" s="18" t="n">
        <f aca="false">((I416 + G417) - H417)</f>
        <v>-229661.61</v>
      </c>
      <c r="J417" s="18" t="n">
        <v>-30</v>
      </c>
      <c r="K417" s="19" t="n">
        <v>10</v>
      </c>
      <c r="L417" s="17" t="s">
        <v>22</v>
      </c>
    </row>
    <row r="418" s="11" customFormat="true" ht="10.95" hidden="false" customHeight="true" outlineLevel="0" collapsed="false">
      <c r="A418" s="16" t="n">
        <v>45222</v>
      </c>
      <c r="B418" s="17" t="s">
        <v>17</v>
      </c>
      <c r="C418" s="17" t="s">
        <v>18</v>
      </c>
      <c r="D418" s="17" t="s">
        <v>19</v>
      </c>
      <c r="E418" s="17" t="s">
        <v>64</v>
      </c>
      <c r="F418" s="17" t="s">
        <v>307</v>
      </c>
      <c r="G418" s="18" t="n">
        <v>0</v>
      </c>
      <c r="H418" s="18" t="n">
        <v>3740</v>
      </c>
      <c r="I418" s="18" t="n">
        <f aca="false">((I417 + G418) - H418)</f>
        <v>-233401.61</v>
      </c>
      <c r="J418" s="18" t="n">
        <v>-374</v>
      </c>
      <c r="K418" s="19" t="n">
        <v>10</v>
      </c>
      <c r="L418" s="17" t="s">
        <v>22</v>
      </c>
    </row>
    <row r="419" s="11" customFormat="true" ht="10.95" hidden="false" customHeight="true" outlineLevel="0" collapsed="false">
      <c r="A419" s="16" t="n">
        <v>45222</v>
      </c>
      <c r="B419" s="17" t="s">
        <v>17</v>
      </c>
      <c r="C419" s="17" t="s">
        <v>18</v>
      </c>
      <c r="D419" s="17" t="s">
        <v>19</v>
      </c>
      <c r="E419" s="17" t="s">
        <v>66</v>
      </c>
      <c r="F419" s="17" t="s">
        <v>307</v>
      </c>
      <c r="G419" s="18" t="n">
        <v>0</v>
      </c>
      <c r="H419" s="18" t="n">
        <v>220</v>
      </c>
      <c r="I419" s="18" t="n">
        <f aca="false">((I418 + G419) - H419)</f>
        <v>-233621.61</v>
      </c>
      <c r="J419" s="18" t="n">
        <v>-22</v>
      </c>
      <c r="K419" s="19" t="n">
        <v>10</v>
      </c>
      <c r="L419" s="17" t="s">
        <v>22</v>
      </c>
    </row>
    <row r="420" s="11" customFormat="true" ht="10.95" hidden="false" customHeight="true" outlineLevel="0" collapsed="false">
      <c r="A420" s="16" t="n">
        <v>45222</v>
      </c>
      <c r="B420" s="17" t="s">
        <v>17</v>
      </c>
      <c r="C420" s="17" t="s">
        <v>18</v>
      </c>
      <c r="D420" s="17" t="s">
        <v>19</v>
      </c>
      <c r="E420" s="17" t="s">
        <v>67</v>
      </c>
      <c r="F420" s="17" t="s">
        <v>307</v>
      </c>
      <c r="G420" s="18" t="n">
        <v>0</v>
      </c>
      <c r="H420" s="18" t="n">
        <v>220</v>
      </c>
      <c r="I420" s="18" t="n">
        <f aca="false">((I419 + G420) - H420)</f>
        <v>-233841.61</v>
      </c>
      <c r="J420" s="18" t="n">
        <v>-22</v>
      </c>
      <c r="K420" s="19" t="n">
        <v>10</v>
      </c>
      <c r="L420" s="17" t="s">
        <v>22</v>
      </c>
    </row>
    <row r="421" s="11" customFormat="true" ht="10.95" hidden="false" customHeight="true" outlineLevel="0" collapsed="false">
      <c r="A421" s="16" t="n">
        <v>45222</v>
      </c>
      <c r="B421" s="17" t="s">
        <v>17</v>
      </c>
      <c r="C421" s="17" t="s">
        <v>18</v>
      </c>
      <c r="D421" s="17" t="s">
        <v>19</v>
      </c>
      <c r="E421" s="17" t="s">
        <v>68</v>
      </c>
      <c r="F421" s="17" t="s">
        <v>307</v>
      </c>
      <c r="G421" s="18" t="n">
        <v>0</v>
      </c>
      <c r="H421" s="18" t="n">
        <v>250</v>
      </c>
      <c r="I421" s="18" t="n">
        <f aca="false">((I420 + G421) - H421)</f>
        <v>-234091.61</v>
      </c>
      <c r="J421" s="18" t="n">
        <v>-25</v>
      </c>
      <c r="K421" s="19" t="n">
        <v>10</v>
      </c>
      <c r="L421" s="17" t="s">
        <v>22</v>
      </c>
    </row>
    <row r="422" s="11" customFormat="true" ht="10.95" hidden="false" customHeight="true" outlineLevel="0" collapsed="false">
      <c r="A422" s="16" t="n">
        <v>45222</v>
      </c>
      <c r="B422" s="17" t="s">
        <v>17</v>
      </c>
      <c r="C422" s="17" t="s">
        <v>18</v>
      </c>
      <c r="D422" s="17" t="s">
        <v>19</v>
      </c>
      <c r="E422" s="17" t="s">
        <v>69</v>
      </c>
      <c r="F422" s="17" t="s">
        <v>308</v>
      </c>
      <c r="G422" s="18" t="n">
        <v>0</v>
      </c>
      <c r="H422" s="18" t="n">
        <v>880</v>
      </c>
      <c r="I422" s="18" t="n">
        <f aca="false">((I421 + G422) - H422)</f>
        <v>-234971.61</v>
      </c>
      <c r="J422" s="18" t="n">
        <v>-88</v>
      </c>
      <c r="K422" s="19" t="n">
        <v>10</v>
      </c>
      <c r="L422" s="17" t="s">
        <v>22</v>
      </c>
    </row>
    <row r="423" s="11" customFormat="true" ht="10.95" hidden="false" customHeight="true" outlineLevel="0" collapsed="false">
      <c r="A423" s="16" t="n">
        <v>45222</v>
      </c>
      <c r="B423" s="17" t="s">
        <v>17</v>
      </c>
      <c r="C423" s="17" t="s">
        <v>18</v>
      </c>
      <c r="D423" s="17" t="s">
        <v>19</v>
      </c>
      <c r="E423" s="17" t="s">
        <v>74</v>
      </c>
      <c r="F423" s="17" t="s">
        <v>309</v>
      </c>
      <c r="G423" s="18" t="n">
        <v>0</v>
      </c>
      <c r="H423" s="18" t="n">
        <v>1692</v>
      </c>
      <c r="I423" s="18" t="n">
        <f aca="false">((I422 + G423) - H423)</f>
        <v>-236663.61</v>
      </c>
      <c r="J423" s="18" t="n">
        <v>-169.2</v>
      </c>
      <c r="K423" s="19" t="n">
        <v>10</v>
      </c>
      <c r="L423" s="17" t="s">
        <v>22</v>
      </c>
    </row>
    <row r="424" s="11" customFormat="true" ht="10.95" hidden="false" customHeight="true" outlineLevel="0" collapsed="false">
      <c r="A424" s="16" t="n">
        <v>45222</v>
      </c>
      <c r="B424" s="17" t="s">
        <v>17</v>
      </c>
      <c r="C424" s="17" t="s">
        <v>18</v>
      </c>
      <c r="D424" s="17" t="s">
        <v>19</v>
      </c>
      <c r="E424" s="17" t="s">
        <v>74</v>
      </c>
      <c r="F424" s="17" t="s">
        <v>309</v>
      </c>
      <c r="G424" s="18" t="n">
        <v>0</v>
      </c>
      <c r="H424" s="18" t="n">
        <v>188</v>
      </c>
      <c r="I424" s="18" t="n">
        <f aca="false">((I423 + G424) - H424)</f>
        <v>-236851.61</v>
      </c>
      <c r="J424" s="18" t="n">
        <v>-18.8</v>
      </c>
      <c r="K424" s="19" t="n">
        <v>10</v>
      </c>
      <c r="L424" s="17" t="s">
        <v>22</v>
      </c>
    </row>
    <row r="425" s="11" customFormat="true" ht="10.95" hidden="false" customHeight="true" outlineLevel="0" collapsed="false">
      <c r="A425" s="16" t="n">
        <v>45222</v>
      </c>
      <c r="B425" s="17" t="s">
        <v>17</v>
      </c>
      <c r="C425" s="17" t="s">
        <v>18</v>
      </c>
      <c r="D425" s="17" t="s">
        <v>19</v>
      </c>
      <c r="E425" s="17" t="s">
        <v>310</v>
      </c>
      <c r="F425" s="17" t="s">
        <v>311</v>
      </c>
      <c r="G425" s="18" t="n">
        <v>0</v>
      </c>
      <c r="H425" s="18" t="n">
        <v>240</v>
      </c>
      <c r="I425" s="18" t="n">
        <f aca="false">((I424 + G425) - H425)</f>
        <v>-237091.61</v>
      </c>
      <c r="J425" s="18" t="n">
        <v>-24</v>
      </c>
      <c r="K425" s="19" t="n">
        <v>10</v>
      </c>
      <c r="L425" s="17" t="s">
        <v>22</v>
      </c>
    </row>
    <row r="426" s="11" customFormat="true" ht="10.95" hidden="false" customHeight="true" outlineLevel="0" collapsed="false">
      <c r="A426" s="16" t="n">
        <v>45222</v>
      </c>
      <c r="B426" s="17" t="s">
        <v>17</v>
      </c>
      <c r="C426" s="17" t="s">
        <v>18</v>
      </c>
      <c r="D426" s="17" t="s">
        <v>19</v>
      </c>
      <c r="E426" s="17" t="s">
        <v>261</v>
      </c>
      <c r="F426" s="17" t="s">
        <v>312</v>
      </c>
      <c r="G426" s="18" t="n">
        <v>0</v>
      </c>
      <c r="H426" s="18" t="n">
        <v>522.5</v>
      </c>
      <c r="I426" s="18" t="n">
        <f aca="false">((I425 + G426) - H426)</f>
        <v>-237614.11</v>
      </c>
      <c r="J426" s="18" t="n">
        <v>-52.25</v>
      </c>
      <c r="K426" s="19" t="n">
        <v>10</v>
      </c>
      <c r="L426" s="17" t="s">
        <v>22</v>
      </c>
    </row>
    <row r="427" s="11" customFormat="true" ht="10.95" hidden="false" customHeight="true" outlineLevel="0" collapsed="false">
      <c r="A427" s="16" t="n">
        <v>45222</v>
      </c>
      <c r="B427" s="17" t="s">
        <v>17</v>
      </c>
      <c r="C427" s="17" t="s">
        <v>18</v>
      </c>
      <c r="D427" s="17" t="s">
        <v>19</v>
      </c>
      <c r="E427" s="17" t="s">
        <v>286</v>
      </c>
      <c r="F427" s="17" t="s">
        <v>312</v>
      </c>
      <c r="G427" s="18" t="n">
        <v>0</v>
      </c>
      <c r="H427" s="18" t="n">
        <v>38.5</v>
      </c>
      <c r="I427" s="18" t="n">
        <f aca="false">((I426 + G427) - H427)</f>
        <v>-237652.61</v>
      </c>
      <c r="J427" s="18" t="n">
        <v>0</v>
      </c>
      <c r="K427" s="19" t="n">
        <v>0</v>
      </c>
      <c r="L427" s="17" t="s">
        <v>88</v>
      </c>
    </row>
    <row r="428" s="11" customFormat="true" ht="10.95" hidden="false" customHeight="true" outlineLevel="0" collapsed="false">
      <c r="A428" s="16" t="n">
        <v>45222</v>
      </c>
      <c r="B428" s="17" t="s">
        <v>17</v>
      </c>
      <c r="C428" s="17" t="s">
        <v>18</v>
      </c>
      <c r="D428" s="17" t="s">
        <v>19</v>
      </c>
      <c r="E428" s="17" t="s">
        <v>288</v>
      </c>
      <c r="F428" s="17" t="s">
        <v>312</v>
      </c>
      <c r="G428" s="18" t="n">
        <v>0</v>
      </c>
      <c r="H428" s="18" t="n">
        <v>5</v>
      </c>
      <c r="I428" s="18" t="n">
        <f aca="false">((I427 + G428) - H428)</f>
        <v>-237657.61</v>
      </c>
      <c r="J428" s="18" t="n">
        <v>-0.5</v>
      </c>
      <c r="K428" s="19" t="n">
        <v>10</v>
      </c>
      <c r="L428" s="17" t="s">
        <v>22</v>
      </c>
    </row>
    <row r="429" s="11" customFormat="true" ht="10.95" hidden="false" customHeight="true" outlineLevel="0" collapsed="false">
      <c r="A429" s="16" t="n">
        <v>45222</v>
      </c>
      <c r="B429" s="17" t="s">
        <v>17</v>
      </c>
      <c r="C429" s="17" t="s">
        <v>18</v>
      </c>
      <c r="D429" s="17" t="s">
        <v>19</v>
      </c>
      <c r="E429" s="17" t="s">
        <v>76</v>
      </c>
      <c r="F429" s="17" t="s">
        <v>313</v>
      </c>
      <c r="G429" s="18" t="n">
        <v>0</v>
      </c>
      <c r="H429" s="18" t="n">
        <v>752</v>
      </c>
      <c r="I429" s="18" t="n">
        <f aca="false">((I428 + G429) - H429)</f>
        <v>-238409.61</v>
      </c>
      <c r="J429" s="18" t="n">
        <v>-75.2</v>
      </c>
      <c r="K429" s="19" t="n">
        <v>10</v>
      </c>
      <c r="L429" s="17" t="s">
        <v>22</v>
      </c>
    </row>
    <row r="430" s="11" customFormat="true" ht="10.95" hidden="false" customHeight="true" outlineLevel="0" collapsed="false">
      <c r="A430" s="16" t="n">
        <v>45222</v>
      </c>
      <c r="B430" s="17" t="s">
        <v>17</v>
      </c>
      <c r="C430" s="17" t="s">
        <v>18</v>
      </c>
      <c r="D430" s="17" t="s">
        <v>19</v>
      </c>
      <c r="E430" s="17" t="s">
        <v>78</v>
      </c>
      <c r="F430" s="17" t="s">
        <v>314</v>
      </c>
      <c r="G430" s="18" t="n">
        <v>0</v>
      </c>
      <c r="H430" s="18" t="n">
        <v>470</v>
      </c>
      <c r="I430" s="18" t="n">
        <f aca="false">((I429 + G430) - H430)</f>
        <v>-238879.61</v>
      </c>
      <c r="J430" s="18" t="n">
        <v>-47</v>
      </c>
      <c r="K430" s="19" t="n">
        <v>10</v>
      </c>
      <c r="L430" s="17" t="s">
        <v>22</v>
      </c>
    </row>
    <row r="431" s="11" customFormat="true" ht="10.95" hidden="false" customHeight="true" outlineLevel="0" collapsed="false">
      <c r="A431" s="16" t="n">
        <v>45222</v>
      </c>
      <c r="B431" s="17" t="s">
        <v>17</v>
      </c>
      <c r="C431" s="17" t="s">
        <v>18</v>
      </c>
      <c r="D431" s="17" t="s">
        <v>19</v>
      </c>
      <c r="E431" s="17" t="s">
        <v>80</v>
      </c>
      <c r="F431" s="17" t="s">
        <v>314</v>
      </c>
      <c r="G431" s="18" t="n">
        <v>0</v>
      </c>
      <c r="H431" s="18" t="n">
        <v>110</v>
      </c>
      <c r="I431" s="18" t="n">
        <f aca="false">((I430 + G431) - H431)</f>
        <v>-238989.61</v>
      </c>
      <c r="J431" s="18" t="n">
        <v>-11</v>
      </c>
      <c r="K431" s="19" t="n">
        <v>10</v>
      </c>
      <c r="L431" s="17" t="s">
        <v>22</v>
      </c>
    </row>
    <row r="432" s="11" customFormat="true" ht="10.95" hidden="false" customHeight="true" outlineLevel="0" collapsed="false">
      <c r="A432" s="16" t="n">
        <v>45222</v>
      </c>
      <c r="B432" s="17" t="s">
        <v>17</v>
      </c>
      <c r="C432" s="17" t="s">
        <v>18</v>
      </c>
      <c r="D432" s="17" t="s">
        <v>19</v>
      </c>
      <c r="E432" s="17" t="s">
        <v>78</v>
      </c>
      <c r="F432" s="17" t="s">
        <v>315</v>
      </c>
      <c r="G432" s="18" t="n">
        <v>0</v>
      </c>
      <c r="H432" s="18" t="n">
        <v>188</v>
      </c>
      <c r="I432" s="18" t="n">
        <f aca="false">((I431 + G432) - H432)</f>
        <v>-239177.61</v>
      </c>
      <c r="J432" s="18" t="n">
        <v>-18.8</v>
      </c>
      <c r="K432" s="19" t="n">
        <v>10</v>
      </c>
      <c r="L432" s="17" t="s">
        <v>22</v>
      </c>
    </row>
    <row r="433" s="11" customFormat="true" ht="10.95" hidden="false" customHeight="true" outlineLevel="0" collapsed="false">
      <c r="A433" s="16" t="n">
        <v>45222</v>
      </c>
      <c r="B433" s="17" t="s">
        <v>17</v>
      </c>
      <c r="C433" s="17" t="s">
        <v>18</v>
      </c>
      <c r="D433" s="17" t="s">
        <v>19</v>
      </c>
      <c r="E433" s="17" t="s">
        <v>78</v>
      </c>
      <c r="F433" s="17" t="s">
        <v>316</v>
      </c>
      <c r="G433" s="18" t="n">
        <v>0</v>
      </c>
      <c r="H433" s="18" t="n">
        <v>1128</v>
      </c>
      <c r="I433" s="18" t="n">
        <f aca="false">((I432 + G433) - H433)</f>
        <v>-240305.61</v>
      </c>
      <c r="J433" s="18" t="n">
        <v>-112.8</v>
      </c>
      <c r="K433" s="19" t="n">
        <v>10</v>
      </c>
      <c r="L433" s="17" t="s">
        <v>22</v>
      </c>
    </row>
    <row r="434" s="11" customFormat="true" ht="10.95" hidden="false" customHeight="true" outlineLevel="0" collapsed="false">
      <c r="A434" s="16" t="n">
        <v>45222</v>
      </c>
      <c r="B434" s="17" t="s">
        <v>17</v>
      </c>
      <c r="C434" s="17" t="s">
        <v>18</v>
      </c>
      <c r="D434" s="17" t="s">
        <v>19</v>
      </c>
      <c r="E434" s="17" t="s">
        <v>83</v>
      </c>
      <c r="F434" s="17" t="s">
        <v>316</v>
      </c>
      <c r="G434" s="18" t="n">
        <v>0</v>
      </c>
      <c r="H434" s="18" t="n">
        <v>38.5</v>
      </c>
      <c r="I434" s="18" t="n">
        <f aca="false">((I433 + G434) - H434)</f>
        <v>-240344.11</v>
      </c>
      <c r="J434" s="18" t="n">
        <v>-3.85</v>
      </c>
      <c r="K434" s="19" t="n">
        <v>10</v>
      </c>
      <c r="L434" s="17" t="s">
        <v>22</v>
      </c>
    </row>
    <row r="435" s="11" customFormat="true" ht="10.95" hidden="false" customHeight="true" outlineLevel="0" collapsed="false">
      <c r="A435" s="16" t="n">
        <v>45222</v>
      </c>
      <c r="B435" s="17" t="s">
        <v>17</v>
      </c>
      <c r="C435" s="17" t="s">
        <v>18</v>
      </c>
      <c r="D435" s="17" t="s">
        <v>19</v>
      </c>
      <c r="E435" s="17" t="s">
        <v>84</v>
      </c>
      <c r="F435" s="17" t="s">
        <v>316</v>
      </c>
      <c r="G435" s="18" t="n">
        <v>0</v>
      </c>
      <c r="H435" s="18" t="n">
        <v>165</v>
      </c>
      <c r="I435" s="18" t="n">
        <f aca="false">((I434 + G435) - H435)</f>
        <v>-240509.11</v>
      </c>
      <c r="J435" s="18" t="n">
        <v>-16.5</v>
      </c>
      <c r="K435" s="19" t="n">
        <v>10</v>
      </c>
      <c r="L435" s="17" t="s">
        <v>22</v>
      </c>
    </row>
    <row r="436" s="11" customFormat="true" ht="10.95" hidden="false" customHeight="true" outlineLevel="0" collapsed="false">
      <c r="A436" s="16" t="n">
        <v>45222</v>
      </c>
      <c r="B436" s="17" t="s">
        <v>17</v>
      </c>
      <c r="C436" s="17" t="s">
        <v>18</v>
      </c>
      <c r="D436" s="17" t="s">
        <v>19</v>
      </c>
      <c r="E436" s="17" t="s">
        <v>76</v>
      </c>
      <c r="F436" s="17" t="s">
        <v>317</v>
      </c>
      <c r="G436" s="18" t="n">
        <v>0</v>
      </c>
      <c r="H436" s="18" t="n">
        <v>470</v>
      </c>
      <c r="I436" s="18" t="n">
        <f aca="false">((I435 + G436) - H436)</f>
        <v>-240979.11</v>
      </c>
      <c r="J436" s="18" t="n">
        <v>-47</v>
      </c>
      <c r="K436" s="19" t="n">
        <v>10</v>
      </c>
      <c r="L436" s="17" t="s">
        <v>22</v>
      </c>
    </row>
    <row r="437" s="11" customFormat="true" ht="10.95" hidden="false" customHeight="true" outlineLevel="0" collapsed="false">
      <c r="A437" s="16" t="n">
        <v>45222</v>
      </c>
      <c r="B437" s="17" t="s">
        <v>17</v>
      </c>
      <c r="C437" s="17" t="s">
        <v>18</v>
      </c>
      <c r="D437" s="17" t="s">
        <v>19</v>
      </c>
      <c r="E437" s="17" t="s">
        <v>78</v>
      </c>
      <c r="F437" s="17" t="s">
        <v>318</v>
      </c>
      <c r="G437" s="18" t="n">
        <v>0</v>
      </c>
      <c r="H437" s="18" t="n">
        <v>188</v>
      </c>
      <c r="I437" s="18" t="n">
        <f aca="false">((I436 + G437) - H437)</f>
        <v>-241167.11</v>
      </c>
      <c r="J437" s="18" t="n">
        <v>-18.8</v>
      </c>
      <c r="K437" s="19" t="n">
        <v>10</v>
      </c>
      <c r="L437" s="17" t="s">
        <v>22</v>
      </c>
    </row>
    <row r="438" s="11" customFormat="true" ht="10.95" hidden="false" customHeight="true" outlineLevel="0" collapsed="false">
      <c r="A438" s="16" t="n">
        <v>45222</v>
      </c>
      <c r="B438" s="17" t="s">
        <v>17</v>
      </c>
      <c r="C438" s="17" t="s">
        <v>18</v>
      </c>
      <c r="D438" s="17" t="s">
        <v>19</v>
      </c>
      <c r="E438" s="17" t="s">
        <v>87</v>
      </c>
      <c r="F438" s="17" t="s">
        <v>318</v>
      </c>
      <c r="G438" s="18" t="n">
        <v>0</v>
      </c>
      <c r="H438" s="18" t="n">
        <v>110</v>
      </c>
      <c r="I438" s="18" t="n">
        <f aca="false">((I437 + G438) - H438)</f>
        <v>-241277.11</v>
      </c>
      <c r="J438" s="18" t="n">
        <v>0</v>
      </c>
      <c r="K438" s="19" t="n">
        <v>0</v>
      </c>
      <c r="L438" s="17" t="s">
        <v>88</v>
      </c>
    </row>
    <row r="439" s="11" customFormat="true" ht="10.95" hidden="false" customHeight="true" outlineLevel="0" collapsed="false">
      <c r="A439" s="16" t="n">
        <v>45222</v>
      </c>
      <c r="B439" s="17" t="s">
        <v>17</v>
      </c>
      <c r="C439" s="17" t="s">
        <v>18</v>
      </c>
      <c r="D439" s="17" t="s">
        <v>19</v>
      </c>
      <c r="E439" s="17" t="s">
        <v>89</v>
      </c>
      <c r="F439" s="17" t="s">
        <v>319</v>
      </c>
      <c r="G439" s="18" t="n">
        <v>0</v>
      </c>
      <c r="H439" s="18" t="n">
        <v>470</v>
      </c>
      <c r="I439" s="18" t="n">
        <f aca="false">((I438 + G439) - H439)</f>
        <v>-241747.11</v>
      </c>
      <c r="J439" s="18" t="n">
        <v>-47</v>
      </c>
      <c r="K439" s="19" t="n">
        <v>10</v>
      </c>
      <c r="L439" s="17" t="s">
        <v>22</v>
      </c>
    </row>
    <row r="440" s="11" customFormat="true" ht="10.95" hidden="false" customHeight="true" outlineLevel="0" collapsed="false">
      <c r="A440" s="16" t="n">
        <v>45222</v>
      </c>
      <c r="B440" s="17" t="s">
        <v>17</v>
      </c>
      <c r="C440" s="17" t="s">
        <v>18</v>
      </c>
      <c r="D440" s="17" t="s">
        <v>19</v>
      </c>
      <c r="E440" s="17" t="s">
        <v>87</v>
      </c>
      <c r="F440" s="17" t="s">
        <v>319</v>
      </c>
      <c r="G440" s="18" t="n">
        <v>0</v>
      </c>
      <c r="H440" s="18" t="n">
        <v>110</v>
      </c>
      <c r="I440" s="18" t="n">
        <f aca="false">((I439 + G440) - H440)</f>
        <v>-241857.11</v>
      </c>
      <c r="J440" s="18" t="n">
        <v>0</v>
      </c>
      <c r="K440" s="19" t="n">
        <v>0</v>
      </c>
      <c r="L440" s="17" t="s">
        <v>88</v>
      </c>
    </row>
    <row r="441" s="11" customFormat="true" ht="10.95" hidden="false" customHeight="true" outlineLevel="0" collapsed="false">
      <c r="A441" s="16" t="n">
        <v>45222</v>
      </c>
      <c r="B441" s="17" t="s">
        <v>17</v>
      </c>
      <c r="C441" s="17" t="s">
        <v>18</v>
      </c>
      <c r="D441" s="17" t="s">
        <v>19</v>
      </c>
      <c r="E441" s="17" t="s">
        <v>91</v>
      </c>
      <c r="F441" s="17" t="s">
        <v>320</v>
      </c>
      <c r="G441" s="18" t="n">
        <v>0</v>
      </c>
      <c r="H441" s="18" t="n">
        <v>1786</v>
      </c>
      <c r="I441" s="18" t="n">
        <f aca="false">((I440 + G441) - H441)</f>
        <v>-243643.11</v>
      </c>
      <c r="J441" s="18" t="n">
        <v>-178.6</v>
      </c>
      <c r="K441" s="19" t="n">
        <v>10</v>
      </c>
      <c r="L441" s="17" t="s">
        <v>22</v>
      </c>
    </row>
    <row r="442" s="11" customFormat="true" ht="10.95" hidden="false" customHeight="true" outlineLevel="0" collapsed="false">
      <c r="A442" s="16" t="n">
        <v>45222</v>
      </c>
      <c r="B442" s="17" t="s">
        <v>17</v>
      </c>
      <c r="C442" s="17" t="s">
        <v>18</v>
      </c>
      <c r="D442" s="17" t="s">
        <v>19</v>
      </c>
      <c r="E442" s="17" t="s">
        <v>93</v>
      </c>
      <c r="F442" s="17" t="s">
        <v>320</v>
      </c>
      <c r="G442" s="18" t="n">
        <v>0</v>
      </c>
      <c r="H442" s="18" t="n">
        <v>330</v>
      </c>
      <c r="I442" s="18" t="n">
        <f aca="false">((I441 + G442) - H442)</f>
        <v>-243973.11</v>
      </c>
      <c r="J442" s="18" t="n">
        <v>-33</v>
      </c>
      <c r="K442" s="19" t="n">
        <v>10</v>
      </c>
      <c r="L442" s="17" t="s">
        <v>22</v>
      </c>
    </row>
    <row r="443" s="11" customFormat="true" ht="10.95" hidden="false" customHeight="true" outlineLevel="0" collapsed="false">
      <c r="A443" s="16" t="n">
        <v>45222</v>
      </c>
      <c r="B443" s="17" t="s">
        <v>17</v>
      </c>
      <c r="C443" s="17" t="s">
        <v>18</v>
      </c>
      <c r="D443" s="17" t="s">
        <v>19</v>
      </c>
      <c r="E443" s="17" t="s">
        <v>94</v>
      </c>
      <c r="F443" s="17" t="s">
        <v>320</v>
      </c>
      <c r="G443" s="18" t="n">
        <v>0</v>
      </c>
      <c r="H443" s="18" t="n">
        <v>143</v>
      </c>
      <c r="I443" s="18" t="n">
        <f aca="false">((I442 + G443) - H443)</f>
        <v>-244116.11</v>
      </c>
      <c r="J443" s="18" t="n">
        <v>-14.3</v>
      </c>
      <c r="K443" s="19" t="n">
        <v>10</v>
      </c>
      <c r="L443" s="17" t="s">
        <v>22</v>
      </c>
    </row>
    <row r="444" s="11" customFormat="true" ht="10.95" hidden="false" customHeight="true" outlineLevel="0" collapsed="false">
      <c r="A444" s="16" t="n">
        <v>45222</v>
      </c>
      <c r="B444" s="17" t="s">
        <v>17</v>
      </c>
      <c r="C444" s="17" t="s">
        <v>18</v>
      </c>
      <c r="D444" s="17" t="s">
        <v>19</v>
      </c>
      <c r="E444" s="17" t="s">
        <v>95</v>
      </c>
      <c r="F444" s="17" t="s">
        <v>321</v>
      </c>
      <c r="G444" s="18" t="n">
        <v>0</v>
      </c>
      <c r="H444" s="18" t="n">
        <v>1034</v>
      </c>
      <c r="I444" s="18" t="n">
        <f aca="false">((I443 + G444) - H444)</f>
        <v>-245150.11</v>
      </c>
      <c r="J444" s="18" t="n">
        <v>-103.4</v>
      </c>
      <c r="K444" s="19" t="n">
        <v>10</v>
      </c>
      <c r="L444" s="17" t="s">
        <v>22</v>
      </c>
    </row>
    <row r="445" s="11" customFormat="true" ht="10.95" hidden="false" customHeight="true" outlineLevel="0" collapsed="false">
      <c r="A445" s="16" t="n">
        <v>45222</v>
      </c>
      <c r="B445" s="17" t="s">
        <v>17</v>
      </c>
      <c r="C445" s="17" t="s">
        <v>18</v>
      </c>
      <c r="D445" s="17" t="s">
        <v>19</v>
      </c>
      <c r="E445" s="17" t="s">
        <v>97</v>
      </c>
      <c r="F445" s="17" t="s">
        <v>321</v>
      </c>
      <c r="G445" s="18" t="n">
        <v>0</v>
      </c>
      <c r="H445" s="18" t="n">
        <v>110</v>
      </c>
      <c r="I445" s="18" t="n">
        <f aca="false">((I444 + G445) - H445)</f>
        <v>-245260.11</v>
      </c>
      <c r="J445" s="18" t="n">
        <v>-11</v>
      </c>
      <c r="K445" s="19" t="n">
        <v>10</v>
      </c>
      <c r="L445" s="17" t="s">
        <v>22</v>
      </c>
    </row>
    <row r="446" s="11" customFormat="true" ht="10.95" hidden="false" customHeight="true" outlineLevel="0" collapsed="false">
      <c r="A446" s="16" t="n">
        <v>45222</v>
      </c>
      <c r="B446" s="17" t="s">
        <v>17</v>
      </c>
      <c r="C446" s="17" t="s">
        <v>18</v>
      </c>
      <c r="D446" s="17" t="s">
        <v>19</v>
      </c>
      <c r="E446" s="17" t="s">
        <v>98</v>
      </c>
      <c r="F446" s="17" t="s">
        <v>322</v>
      </c>
      <c r="G446" s="18" t="n">
        <v>0</v>
      </c>
      <c r="H446" s="18" t="n">
        <v>282</v>
      </c>
      <c r="I446" s="18" t="n">
        <f aca="false">((I445 + G446) - H446)</f>
        <v>-245542.11</v>
      </c>
      <c r="J446" s="18" t="n">
        <v>-28.2</v>
      </c>
      <c r="K446" s="19" t="n">
        <v>10</v>
      </c>
      <c r="L446" s="17" t="s">
        <v>22</v>
      </c>
    </row>
    <row r="447" s="11" customFormat="true" ht="10.95" hidden="false" customHeight="true" outlineLevel="0" collapsed="false">
      <c r="A447" s="16" t="n">
        <v>45222</v>
      </c>
      <c r="B447" s="17" t="s">
        <v>17</v>
      </c>
      <c r="C447" s="17" t="s">
        <v>18</v>
      </c>
      <c r="D447" s="17" t="s">
        <v>19</v>
      </c>
      <c r="E447" s="17" t="s">
        <v>100</v>
      </c>
      <c r="F447" s="17" t="s">
        <v>323</v>
      </c>
      <c r="G447" s="18" t="n">
        <v>0</v>
      </c>
      <c r="H447" s="18" t="n">
        <v>282</v>
      </c>
      <c r="I447" s="18" t="n">
        <f aca="false">((I446 + G447) - H447)</f>
        <v>-245824.11</v>
      </c>
      <c r="J447" s="18" t="n">
        <v>-28.2</v>
      </c>
      <c r="K447" s="19" t="n">
        <v>10</v>
      </c>
      <c r="L447" s="17" t="s">
        <v>22</v>
      </c>
    </row>
    <row r="448" s="11" customFormat="true" ht="10.95" hidden="false" customHeight="true" outlineLevel="0" collapsed="false">
      <c r="A448" s="16" t="n">
        <v>45222</v>
      </c>
      <c r="B448" s="17" t="s">
        <v>17</v>
      </c>
      <c r="C448" s="17" t="s">
        <v>18</v>
      </c>
      <c r="D448" s="17" t="s">
        <v>19</v>
      </c>
      <c r="E448" s="17" t="s">
        <v>102</v>
      </c>
      <c r="F448" s="17" t="s">
        <v>324</v>
      </c>
      <c r="G448" s="18" t="n">
        <v>0</v>
      </c>
      <c r="H448" s="18" t="n">
        <v>564</v>
      </c>
      <c r="I448" s="18" t="n">
        <f aca="false">((I447 + G448) - H448)</f>
        <v>-246388.11</v>
      </c>
      <c r="J448" s="18" t="n">
        <v>-56.4</v>
      </c>
      <c r="K448" s="19" t="n">
        <v>10</v>
      </c>
      <c r="L448" s="17" t="s">
        <v>22</v>
      </c>
    </row>
    <row r="449" s="11" customFormat="true" ht="10.95" hidden="false" customHeight="true" outlineLevel="0" collapsed="false">
      <c r="A449" s="16" t="n">
        <v>45222</v>
      </c>
      <c r="B449" s="17" t="s">
        <v>17</v>
      </c>
      <c r="C449" s="17" t="s">
        <v>18</v>
      </c>
      <c r="D449" s="17" t="s">
        <v>19</v>
      </c>
      <c r="E449" s="17" t="s">
        <v>78</v>
      </c>
      <c r="F449" s="17" t="s">
        <v>324</v>
      </c>
      <c r="G449" s="18" t="n">
        <v>0</v>
      </c>
      <c r="H449" s="18" t="n">
        <v>188</v>
      </c>
      <c r="I449" s="18" t="n">
        <f aca="false">((I448 + G449) - H449)</f>
        <v>-246576.11</v>
      </c>
      <c r="J449" s="18" t="n">
        <v>-18.8</v>
      </c>
      <c r="K449" s="19" t="n">
        <v>10</v>
      </c>
      <c r="L449" s="17" t="s">
        <v>22</v>
      </c>
    </row>
    <row r="450" s="11" customFormat="true" ht="10.95" hidden="false" customHeight="true" outlineLevel="0" collapsed="false">
      <c r="A450" s="16" t="n">
        <v>45222</v>
      </c>
      <c r="B450" s="17" t="s">
        <v>17</v>
      </c>
      <c r="C450" s="17" t="s">
        <v>18</v>
      </c>
      <c r="D450" s="17" t="s">
        <v>19</v>
      </c>
      <c r="E450" s="17" t="s">
        <v>104</v>
      </c>
      <c r="F450" s="17" t="s">
        <v>325</v>
      </c>
      <c r="G450" s="18" t="n">
        <v>0</v>
      </c>
      <c r="H450" s="18" t="n">
        <v>1034</v>
      </c>
      <c r="I450" s="18" t="n">
        <f aca="false">((I449 + G450) - H450)</f>
        <v>-247610.11</v>
      </c>
      <c r="J450" s="18" t="n">
        <v>-103.4</v>
      </c>
      <c r="K450" s="19" t="n">
        <v>10</v>
      </c>
      <c r="L450" s="17" t="s">
        <v>22</v>
      </c>
    </row>
    <row r="451" s="11" customFormat="true" ht="10.95" hidden="false" customHeight="true" outlineLevel="0" collapsed="false">
      <c r="A451" s="16" t="n">
        <v>45222</v>
      </c>
      <c r="B451" s="17" t="s">
        <v>17</v>
      </c>
      <c r="C451" s="17" t="s">
        <v>18</v>
      </c>
      <c r="D451" s="17" t="s">
        <v>19</v>
      </c>
      <c r="E451" s="17" t="s">
        <v>106</v>
      </c>
      <c r="F451" s="17" t="s">
        <v>326</v>
      </c>
      <c r="G451" s="18" t="n">
        <v>0</v>
      </c>
      <c r="H451" s="18" t="n">
        <v>94</v>
      </c>
      <c r="I451" s="18" t="n">
        <f aca="false">((I450 + G451) - H451)</f>
        <v>-247704.11</v>
      </c>
      <c r="J451" s="18" t="n">
        <v>-9.4</v>
      </c>
      <c r="K451" s="19" t="n">
        <v>10</v>
      </c>
      <c r="L451" s="17" t="s">
        <v>22</v>
      </c>
    </row>
    <row r="452" s="11" customFormat="true" ht="10.95" hidden="false" customHeight="true" outlineLevel="0" collapsed="false">
      <c r="A452" s="16" t="n">
        <v>45222</v>
      </c>
      <c r="B452" s="17" t="s">
        <v>17</v>
      </c>
      <c r="C452" s="17" t="s">
        <v>18</v>
      </c>
      <c r="D452" s="17" t="s">
        <v>19</v>
      </c>
      <c r="E452" s="17" t="s">
        <v>108</v>
      </c>
      <c r="F452" s="17" t="s">
        <v>327</v>
      </c>
      <c r="G452" s="18" t="n">
        <v>0</v>
      </c>
      <c r="H452" s="18" t="n">
        <v>658</v>
      </c>
      <c r="I452" s="18" t="n">
        <f aca="false">((I451 + G452) - H452)</f>
        <v>-248362.11</v>
      </c>
      <c r="J452" s="18" t="n">
        <v>-65.8</v>
      </c>
      <c r="K452" s="19" t="n">
        <v>10</v>
      </c>
      <c r="L452" s="17" t="s">
        <v>22</v>
      </c>
    </row>
    <row r="453" s="11" customFormat="true" ht="10.95" hidden="false" customHeight="true" outlineLevel="0" collapsed="false">
      <c r="A453" s="16" t="n">
        <v>45222</v>
      </c>
      <c r="B453" s="17" t="s">
        <v>17</v>
      </c>
      <c r="C453" s="17" t="s">
        <v>18</v>
      </c>
      <c r="D453" s="17" t="s">
        <v>19</v>
      </c>
      <c r="E453" s="17" t="s">
        <v>116</v>
      </c>
      <c r="F453" s="17" t="s">
        <v>328</v>
      </c>
      <c r="G453" s="18" t="n">
        <v>0</v>
      </c>
      <c r="H453" s="18" t="n">
        <v>1162</v>
      </c>
      <c r="I453" s="18" t="n">
        <f aca="false">((I452 + G453) - H453)</f>
        <v>-249524.11</v>
      </c>
      <c r="J453" s="18" t="n">
        <v>-116.2</v>
      </c>
      <c r="K453" s="19" t="n">
        <v>10</v>
      </c>
      <c r="L453" s="17" t="s">
        <v>22</v>
      </c>
    </row>
    <row r="454" s="11" customFormat="true" ht="10.95" hidden="false" customHeight="true" outlineLevel="0" collapsed="false">
      <c r="A454" s="16" t="n">
        <v>45222</v>
      </c>
      <c r="B454" s="17" t="s">
        <v>17</v>
      </c>
      <c r="C454" s="17" t="s">
        <v>18</v>
      </c>
      <c r="D454" s="17" t="s">
        <v>19</v>
      </c>
      <c r="E454" s="17" t="s">
        <v>201</v>
      </c>
      <c r="F454" s="17" t="s">
        <v>329</v>
      </c>
      <c r="G454" s="18" t="n">
        <v>0</v>
      </c>
      <c r="H454" s="18" t="n">
        <v>864</v>
      </c>
      <c r="I454" s="18" t="n">
        <f aca="false">((I453 + G454) - H454)</f>
        <v>-250388.11</v>
      </c>
      <c r="J454" s="18" t="n">
        <v>-86.4</v>
      </c>
      <c r="K454" s="19" t="n">
        <v>10</v>
      </c>
      <c r="L454" s="17" t="s">
        <v>22</v>
      </c>
    </row>
    <row r="455" s="11" customFormat="true" ht="10.95" hidden="false" customHeight="true" outlineLevel="0" collapsed="false">
      <c r="A455" s="16" t="n">
        <v>45222</v>
      </c>
      <c r="B455" s="17" t="s">
        <v>17</v>
      </c>
      <c r="C455" s="17" t="s">
        <v>18</v>
      </c>
      <c r="D455" s="17" t="s">
        <v>19</v>
      </c>
      <c r="E455" s="17" t="s">
        <v>203</v>
      </c>
      <c r="F455" s="17" t="s">
        <v>329</v>
      </c>
      <c r="G455" s="18" t="n">
        <v>0</v>
      </c>
      <c r="H455" s="18" t="n">
        <v>110</v>
      </c>
      <c r="I455" s="18" t="n">
        <f aca="false">((I454 + G455) - H455)</f>
        <v>-250498.11</v>
      </c>
      <c r="J455" s="18" t="n">
        <v>-11</v>
      </c>
      <c r="K455" s="19" t="n">
        <v>10</v>
      </c>
      <c r="L455" s="17" t="s">
        <v>22</v>
      </c>
    </row>
    <row r="456" s="11" customFormat="true" ht="10.95" hidden="false" customHeight="true" outlineLevel="0" collapsed="false">
      <c r="A456" s="16" t="n">
        <v>45222</v>
      </c>
      <c r="B456" s="17" t="s">
        <v>17</v>
      </c>
      <c r="C456" s="17" t="s">
        <v>18</v>
      </c>
      <c r="D456" s="17" t="s">
        <v>19</v>
      </c>
      <c r="E456" s="17" t="s">
        <v>119</v>
      </c>
      <c r="F456" s="17" t="s">
        <v>330</v>
      </c>
      <c r="G456" s="18" t="n">
        <v>0</v>
      </c>
      <c r="H456" s="18" t="n">
        <v>332</v>
      </c>
      <c r="I456" s="18" t="n">
        <f aca="false">((I455 + G456) - H456)</f>
        <v>-250830.11</v>
      </c>
      <c r="J456" s="18" t="n">
        <v>-33.2</v>
      </c>
      <c r="K456" s="19" t="n">
        <v>10</v>
      </c>
      <c r="L456" s="17" t="s">
        <v>22</v>
      </c>
    </row>
    <row r="457" s="11" customFormat="true" ht="10.95" hidden="false" customHeight="true" outlineLevel="0" collapsed="false">
      <c r="A457" s="16" t="n">
        <v>45222</v>
      </c>
      <c r="B457" s="17" t="s">
        <v>17</v>
      </c>
      <c r="C457" s="17" t="s">
        <v>18</v>
      </c>
      <c r="D457" s="17" t="s">
        <v>19</v>
      </c>
      <c r="E457" s="17" t="s">
        <v>121</v>
      </c>
      <c r="F457" s="17" t="s">
        <v>330</v>
      </c>
      <c r="G457" s="18" t="n">
        <v>0</v>
      </c>
      <c r="H457" s="18" t="n">
        <v>1743</v>
      </c>
      <c r="I457" s="18" t="n">
        <f aca="false">((I456 + G457) - H457)</f>
        <v>-252573.11</v>
      </c>
      <c r="J457" s="18" t="n">
        <v>-174.3</v>
      </c>
      <c r="K457" s="19" t="n">
        <v>10</v>
      </c>
      <c r="L457" s="17" t="s">
        <v>22</v>
      </c>
    </row>
    <row r="458" s="11" customFormat="true" ht="10.95" hidden="false" customHeight="true" outlineLevel="0" collapsed="false">
      <c r="A458" s="16" t="n">
        <v>45222</v>
      </c>
      <c r="B458" s="17" t="s">
        <v>17</v>
      </c>
      <c r="C458" s="17" t="s">
        <v>18</v>
      </c>
      <c r="D458" s="17" t="s">
        <v>19</v>
      </c>
      <c r="E458" s="17" t="s">
        <v>122</v>
      </c>
      <c r="F458" s="17" t="s">
        <v>330</v>
      </c>
      <c r="G458" s="18" t="n">
        <v>0</v>
      </c>
      <c r="H458" s="18" t="n">
        <v>332</v>
      </c>
      <c r="I458" s="18" t="n">
        <f aca="false">((I457 + G458) - H458)</f>
        <v>-252905.11</v>
      </c>
      <c r="J458" s="18" t="n">
        <v>-33.2</v>
      </c>
      <c r="K458" s="19" t="n">
        <v>10</v>
      </c>
      <c r="L458" s="17" t="s">
        <v>22</v>
      </c>
    </row>
    <row r="459" s="11" customFormat="true" ht="10.95" hidden="false" customHeight="true" outlineLevel="0" collapsed="false">
      <c r="A459" s="16" t="n">
        <v>45222</v>
      </c>
      <c r="B459" s="17" t="s">
        <v>17</v>
      </c>
      <c r="C459" s="17" t="s">
        <v>18</v>
      </c>
      <c r="D459" s="17" t="s">
        <v>19</v>
      </c>
      <c r="E459" s="17" t="s">
        <v>123</v>
      </c>
      <c r="F459" s="17" t="s">
        <v>330</v>
      </c>
      <c r="G459" s="18" t="n">
        <v>0</v>
      </c>
      <c r="H459" s="18" t="n">
        <v>581</v>
      </c>
      <c r="I459" s="18" t="n">
        <f aca="false">((I458 + G459) - H459)</f>
        <v>-253486.11</v>
      </c>
      <c r="J459" s="18" t="n">
        <v>-58.1</v>
      </c>
      <c r="K459" s="19" t="n">
        <v>10</v>
      </c>
      <c r="L459" s="17" t="s">
        <v>22</v>
      </c>
    </row>
    <row r="460" s="11" customFormat="true" ht="10.95" hidden="false" customHeight="true" outlineLevel="0" collapsed="false">
      <c r="A460" s="16" t="n">
        <v>45222</v>
      </c>
      <c r="B460" s="17" t="s">
        <v>17</v>
      </c>
      <c r="C460" s="17" t="s">
        <v>18</v>
      </c>
      <c r="D460" s="17" t="s">
        <v>19</v>
      </c>
      <c r="E460" s="17" t="s">
        <v>124</v>
      </c>
      <c r="F460" s="17" t="s">
        <v>330</v>
      </c>
      <c r="G460" s="18" t="n">
        <v>0</v>
      </c>
      <c r="H460" s="18" t="n">
        <v>249</v>
      </c>
      <c r="I460" s="18" t="n">
        <f aca="false">((I459 + G460) - H460)</f>
        <v>-253735.11</v>
      </c>
      <c r="J460" s="18" t="n">
        <v>-24.9</v>
      </c>
      <c r="K460" s="19" t="n">
        <v>10</v>
      </c>
      <c r="L460" s="17" t="s">
        <v>22</v>
      </c>
    </row>
    <row r="461" s="11" customFormat="true" ht="10.95" hidden="false" customHeight="true" outlineLevel="0" collapsed="false">
      <c r="A461" s="16" t="n">
        <v>45222</v>
      </c>
      <c r="B461" s="17" t="s">
        <v>17</v>
      </c>
      <c r="C461" s="17" t="s">
        <v>18</v>
      </c>
      <c r="D461" s="17" t="s">
        <v>19</v>
      </c>
      <c r="E461" s="17" t="s">
        <v>125</v>
      </c>
      <c r="F461" s="17" t="s">
        <v>330</v>
      </c>
      <c r="G461" s="18" t="n">
        <v>0</v>
      </c>
      <c r="H461" s="18" t="n">
        <v>83</v>
      </c>
      <c r="I461" s="18" t="n">
        <f aca="false">((I460 + G461) - H461)</f>
        <v>-253818.11</v>
      </c>
      <c r="J461" s="18" t="n">
        <v>-8.3</v>
      </c>
      <c r="K461" s="19" t="n">
        <v>10</v>
      </c>
      <c r="L461" s="17" t="s">
        <v>22</v>
      </c>
    </row>
    <row r="462" s="11" customFormat="true" ht="10.95" hidden="false" customHeight="true" outlineLevel="0" collapsed="false">
      <c r="A462" s="16" t="n">
        <v>45222</v>
      </c>
      <c r="B462" s="17" t="s">
        <v>17</v>
      </c>
      <c r="C462" s="17" t="s">
        <v>18</v>
      </c>
      <c r="D462" s="17" t="s">
        <v>19</v>
      </c>
      <c r="E462" s="17" t="s">
        <v>126</v>
      </c>
      <c r="F462" s="17" t="s">
        <v>330</v>
      </c>
      <c r="G462" s="18" t="n">
        <v>0</v>
      </c>
      <c r="H462" s="18" t="n">
        <v>94.5</v>
      </c>
      <c r="I462" s="18" t="n">
        <f aca="false">((I461 + G462) - H462)</f>
        <v>-253912.61</v>
      </c>
      <c r="J462" s="18" t="n">
        <v>-9.45</v>
      </c>
      <c r="K462" s="19" t="n">
        <v>10</v>
      </c>
      <c r="L462" s="17" t="s">
        <v>22</v>
      </c>
    </row>
    <row r="463" s="11" customFormat="true" ht="10.95" hidden="false" customHeight="true" outlineLevel="0" collapsed="false">
      <c r="A463" s="16" t="n">
        <v>45222</v>
      </c>
      <c r="B463" s="17" t="s">
        <v>17</v>
      </c>
      <c r="C463" s="17" t="s">
        <v>18</v>
      </c>
      <c r="D463" s="17" t="s">
        <v>19</v>
      </c>
      <c r="E463" s="17" t="s">
        <v>127</v>
      </c>
      <c r="F463" s="17" t="s">
        <v>330</v>
      </c>
      <c r="G463" s="18" t="n">
        <v>0</v>
      </c>
      <c r="H463" s="18" t="n">
        <v>83</v>
      </c>
      <c r="I463" s="18" t="n">
        <f aca="false">((I462 + G463) - H463)</f>
        <v>-253995.61</v>
      </c>
      <c r="J463" s="18" t="n">
        <v>-8.3</v>
      </c>
      <c r="K463" s="19" t="n">
        <v>10</v>
      </c>
      <c r="L463" s="17" t="s">
        <v>22</v>
      </c>
    </row>
    <row r="464" s="11" customFormat="true" ht="10.95" hidden="false" customHeight="true" outlineLevel="0" collapsed="false">
      <c r="A464" s="16" t="n">
        <v>45222</v>
      </c>
      <c r="B464" s="17" t="s">
        <v>17</v>
      </c>
      <c r="C464" s="17" t="s">
        <v>18</v>
      </c>
      <c r="D464" s="17" t="s">
        <v>19</v>
      </c>
      <c r="E464" s="17" t="s">
        <v>128</v>
      </c>
      <c r="F464" s="17" t="s">
        <v>330</v>
      </c>
      <c r="G464" s="18" t="n">
        <v>0</v>
      </c>
      <c r="H464" s="18" t="n">
        <v>83</v>
      </c>
      <c r="I464" s="18" t="n">
        <f aca="false">((I463 + G464) - H464)</f>
        <v>-254078.61</v>
      </c>
      <c r="J464" s="18" t="n">
        <v>-8.3</v>
      </c>
      <c r="K464" s="19" t="n">
        <v>10</v>
      </c>
      <c r="L464" s="17" t="s">
        <v>22</v>
      </c>
    </row>
    <row r="465" s="11" customFormat="true" ht="10.95" hidden="false" customHeight="true" outlineLevel="0" collapsed="false">
      <c r="A465" s="16" t="n">
        <v>45222</v>
      </c>
      <c r="B465" s="17" t="s">
        <v>17</v>
      </c>
      <c r="C465" s="17" t="s">
        <v>18</v>
      </c>
      <c r="D465" s="17" t="s">
        <v>19</v>
      </c>
      <c r="E465" s="17" t="s">
        <v>129</v>
      </c>
      <c r="F465" s="17" t="s">
        <v>330</v>
      </c>
      <c r="G465" s="18" t="n">
        <v>0</v>
      </c>
      <c r="H465" s="18" t="n">
        <v>166</v>
      </c>
      <c r="I465" s="18" t="n">
        <f aca="false">((I464 + G465) - H465)</f>
        <v>-254244.61</v>
      </c>
      <c r="J465" s="18" t="n">
        <v>-16.6</v>
      </c>
      <c r="K465" s="19" t="n">
        <v>10</v>
      </c>
      <c r="L465" s="17" t="s">
        <v>22</v>
      </c>
    </row>
    <row r="466" s="11" customFormat="true" ht="10.95" hidden="false" customHeight="true" outlineLevel="0" collapsed="false">
      <c r="A466" s="16" t="n">
        <v>45222</v>
      </c>
      <c r="B466" s="17" t="s">
        <v>17</v>
      </c>
      <c r="C466" s="17" t="s">
        <v>18</v>
      </c>
      <c r="D466" s="17" t="s">
        <v>19</v>
      </c>
      <c r="E466" s="17" t="s">
        <v>130</v>
      </c>
      <c r="F466" s="17" t="s">
        <v>330</v>
      </c>
      <c r="G466" s="18" t="n">
        <v>0</v>
      </c>
      <c r="H466" s="18" t="n">
        <v>664</v>
      </c>
      <c r="I466" s="18" t="n">
        <f aca="false">((I465 + G466) - H466)</f>
        <v>-254908.61</v>
      </c>
      <c r="J466" s="18" t="n">
        <v>-66.4</v>
      </c>
      <c r="K466" s="19" t="n">
        <v>10</v>
      </c>
      <c r="L466" s="17" t="s">
        <v>22</v>
      </c>
    </row>
    <row r="467" s="11" customFormat="true" ht="10.95" hidden="false" customHeight="true" outlineLevel="0" collapsed="false">
      <c r="A467" s="16" t="n">
        <v>45222</v>
      </c>
      <c r="B467" s="17" t="s">
        <v>17</v>
      </c>
      <c r="C467" s="17" t="s">
        <v>18</v>
      </c>
      <c r="D467" s="17" t="s">
        <v>19</v>
      </c>
      <c r="E467" s="17" t="s">
        <v>131</v>
      </c>
      <c r="F467" s="17" t="s">
        <v>330</v>
      </c>
      <c r="G467" s="18" t="n">
        <v>0</v>
      </c>
      <c r="H467" s="18" t="n">
        <v>94.5</v>
      </c>
      <c r="I467" s="18" t="n">
        <f aca="false">((I466 + G467) - H467)</f>
        <v>-255003.11</v>
      </c>
      <c r="J467" s="18" t="n">
        <v>-9.45</v>
      </c>
      <c r="K467" s="19" t="n">
        <v>10</v>
      </c>
      <c r="L467" s="17" t="s">
        <v>22</v>
      </c>
    </row>
    <row r="468" s="11" customFormat="true" ht="10.95" hidden="false" customHeight="true" outlineLevel="0" collapsed="false">
      <c r="A468" s="16" t="n">
        <v>45222</v>
      </c>
      <c r="B468" s="17" t="s">
        <v>17</v>
      </c>
      <c r="C468" s="17" t="s">
        <v>18</v>
      </c>
      <c r="D468" s="17" t="s">
        <v>19</v>
      </c>
      <c r="E468" s="17" t="s">
        <v>132</v>
      </c>
      <c r="F468" s="17" t="s">
        <v>330</v>
      </c>
      <c r="G468" s="18" t="n">
        <v>0</v>
      </c>
      <c r="H468" s="18" t="n">
        <v>100</v>
      </c>
      <c r="I468" s="18" t="n">
        <f aca="false">((I467 + G468) - H468)</f>
        <v>-255103.11</v>
      </c>
      <c r="J468" s="18" t="n">
        <v>-10</v>
      </c>
      <c r="K468" s="19" t="n">
        <v>10</v>
      </c>
      <c r="L468" s="17" t="s">
        <v>22</v>
      </c>
    </row>
    <row r="469" s="11" customFormat="true" ht="10.95" hidden="false" customHeight="true" outlineLevel="0" collapsed="false">
      <c r="A469" s="16" t="n">
        <v>45222</v>
      </c>
      <c r="B469" s="17" t="s">
        <v>17</v>
      </c>
      <c r="C469" s="17" t="s">
        <v>18</v>
      </c>
      <c r="D469" s="17" t="s">
        <v>19</v>
      </c>
      <c r="E469" s="17" t="s">
        <v>133</v>
      </c>
      <c r="F469" s="17" t="s">
        <v>330</v>
      </c>
      <c r="G469" s="18" t="n">
        <v>0</v>
      </c>
      <c r="H469" s="18" t="n">
        <v>83</v>
      </c>
      <c r="I469" s="18" t="n">
        <f aca="false">((I468 + G469) - H469)</f>
        <v>-255186.11</v>
      </c>
      <c r="J469" s="18" t="n">
        <v>-8.3</v>
      </c>
      <c r="K469" s="19" t="n">
        <v>10</v>
      </c>
      <c r="L469" s="17" t="s">
        <v>22</v>
      </c>
    </row>
    <row r="470" s="11" customFormat="true" ht="10.95" hidden="false" customHeight="true" outlineLevel="0" collapsed="false">
      <c r="A470" s="16" t="n">
        <v>45222</v>
      </c>
      <c r="B470" s="17" t="s">
        <v>17</v>
      </c>
      <c r="C470" s="17" t="s">
        <v>18</v>
      </c>
      <c r="D470" s="17" t="s">
        <v>19</v>
      </c>
      <c r="E470" s="17" t="s">
        <v>134</v>
      </c>
      <c r="F470" s="17" t="s">
        <v>330</v>
      </c>
      <c r="G470" s="18" t="n">
        <v>0</v>
      </c>
      <c r="H470" s="18" t="n">
        <v>100</v>
      </c>
      <c r="I470" s="18" t="n">
        <f aca="false">((I469 + G470) - H470)</f>
        <v>-255286.11</v>
      </c>
      <c r="J470" s="18" t="n">
        <v>-10</v>
      </c>
      <c r="K470" s="19" t="n">
        <v>10</v>
      </c>
      <c r="L470" s="17" t="s">
        <v>22</v>
      </c>
    </row>
    <row r="471" s="11" customFormat="true" ht="10.95" hidden="false" customHeight="true" outlineLevel="0" collapsed="false">
      <c r="A471" s="16" t="n">
        <v>45222</v>
      </c>
      <c r="B471" s="17" t="s">
        <v>17</v>
      </c>
      <c r="C471" s="17" t="s">
        <v>18</v>
      </c>
      <c r="D471" s="17" t="s">
        <v>19</v>
      </c>
      <c r="E471" s="17" t="s">
        <v>136</v>
      </c>
      <c r="F471" s="17" t="s">
        <v>330</v>
      </c>
      <c r="G471" s="18" t="n">
        <v>0</v>
      </c>
      <c r="H471" s="18" t="n">
        <v>249</v>
      </c>
      <c r="I471" s="18" t="n">
        <f aca="false">((I470 + G471) - H471)</f>
        <v>-255535.11</v>
      </c>
      <c r="J471" s="18" t="n">
        <v>-24.9</v>
      </c>
      <c r="K471" s="19" t="n">
        <v>10</v>
      </c>
      <c r="L471" s="17" t="s">
        <v>22</v>
      </c>
    </row>
    <row r="472" s="11" customFormat="true" ht="10.95" hidden="false" customHeight="true" outlineLevel="0" collapsed="false">
      <c r="A472" s="16" t="n">
        <v>45222</v>
      </c>
      <c r="B472" s="17" t="s">
        <v>17</v>
      </c>
      <c r="C472" s="17" t="s">
        <v>18</v>
      </c>
      <c r="D472" s="17" t="s">
        <v>19</v>
      </c>
      <c r="E472" s="17" t="s">
        <v>137</v>
      </c>
      <c r="F472" s="17" t="s">
        <v>330</v>
      </c>
      <c r="G472" s="18" t="n">
        <v>0</v>
      </c>
      <c r="H472" s="18" t="n">
        <v>498</v>
      </c>
      <c r="I472" s="18" t="n">
        <f aca="false">((I471 + G472) - H472)</f>
        <v>-256033.11</v>
      </c>
      <c r="J472" s="18" t="n">
        <v>-49.8</v>
      </c>
      <c r="K472" s="19" t="n">
        <v>10</v>
      </c>
      <c r="L472" s="17" t="s">
        <v>22</v>
      </c>
    </row>
    <row r="473" s="11" customFormat="true" ht="10.95" hidden="false" customHeight="true" outlineLevel="0" collapsed="false">
      <c r="A473" s="16" t="n">
        <v>45222</v>
      </c>
      <c r="B473" s="17" t="s">
        <v>17</v>
      </c>
      <c r="C473" s="17" t="s">
        <v>18</v>
      </c>
      <c r="D473" s="17" t="s">
        <v>19</v>
      </c>
      <c r="E473" s="17" t="s">
        <v>138</v>
      </c>
      <c r="F473" s="17" t="s">
        <v>330</v>
      </c>
      <c r="G473" s="18" t="n">
        <v>0</v>
      </c>
      <c r="H473" s="18" t="n">
        <v>166</v>
      </c>
      <c r="I473" s="18" t="n">
        <f aca="false">((I472 + G473) - H473)</f>
        <v>-256199.11</v>
      </c>
      <c r="J473" s="18" t="n">
        <v>-16.6</v>
      </c>
      <c r="K473" s="19" t="n">
        <v>10</v>
      </c>
      <c r="L473" s="17" t="s">
        <v>22</v>
      </c>
    </row>
    <row r="474" s="11" customFormat="true" ht="10.95" hidden="false" customHeight="true" outlineLevel="0" collapsed="false">
      <c r="A474" s="16" t="n">
        <v>45222</v>
      </c>
      <c r="B474" s="17" t="s">
        <v>17</v>
      </c>
      <c r="C474" s="17" t="s">
        <v>18</v>
      </c>
      <c r="D474" s="17" t="s">
        <v>19</v>
      </c>
      <c r="E474" s="17" t="s">
        <v>139</v>
      </c>
      <c r="F474" s="17" t="s">
        <v>330</v>
      </c>
      <c r="G474" s="18" t="n">
        <v>0</v>
      </c>
      <c r="H474" s="18" t="n">
        <v>332</v>
      </c>
      <c r="I474" s="18" t="n">
        <f aca="false">((I473 + G474) - H474)</f>
        <v>-256531.11</v>
      </c>
      <c r="J474" s="18" t="n">
        <v>-33.2</v>
      </c>
      <c r="K474" s="19" t="n">
        <v>10</v>
      </c>
      <c r="L474" s="17" t="s">
        <v>22</v>
      </c>
    </row>
    <row r="475" s="11" customFormat="true" ht="10.95" hidden="false" customHeight="true" outlineLevel="0" collapsed="false">
      <c r="A475" s="16" t="n">
        <v>45222</v>
      </c>
      <c r="B475" s="17" t="s">
        <v>17</v>
      </c>
      <c r="C475" s="17" t="s">
        <v>18</v>
      </c>
      <c r="D475" s="17" t="s">
        <v>19</v>
      </c>
      <c r="E475" s="17" t="s">
        <v>140</v>
      </c>
      <c r="F475" s="17" t="s">
        <v>330</v>
      </c>
      <c r="G475" s="18" t="n">
        <v>0</v>
      </c>
      <c r="H475" s="18" t="n">
        <v>166</v>
      </c>
      <c r="I475" s="18" t="n">
        <f aca="false">((I474 + G475) - H475)</f>
        <v>-256697.11</v>
      </c>
      <c r="J475" s="18" t="n">
        <v>-16.6</v>
      </c>
      <c r="K475" s="19" t="n">
        <v>10</v>
      </c>
      <c r="L475" s="17" t="s">
        <v>22</v>
      </c>
    </row>
    <row r="476" s="11" customFormat="true" ht="10.95" hidden="false" customHeight="true" outlineLevel="0" collapsed="false">
      <c r="A476" s="16" t="n">
        <v>45222</v>
      </c>
      <c r="B476" s="17" t="s">
        <v>17</v>
      </c>
      <c r="C476" s="17" t="s">
        <v>18</v>
      </c>
      <c r="D476" s="17" t="s">
        <v>19</v>
      </c>
      <c r="E476" s="17" t="s">
        <v>141</v>
      </c>
      <c r="F476" s="17" t="s">
        <v>330</v>
      </c>
      <c r="G476" s="18" t="n">
        <v>0</v>
      </c>
      <c r="H476" s="18" t="n">
        <v>249</v>
      </c>
      <c r="I476" s="18" t="n">
        <f aca="false">((I475 + G476) - H476)</f>
        <v>-256946.11</v>
      </c>
      <c r="J476" s="18" t="n">
        <v>-24.9</v>
      </c>
      <c r="K476" s="19" t="n">
        <v>10</v>
      </c>
      <c r="L476" s="17" t="s">
        <v>22</v>
      </c>
    </row>
    <row r="477" s="11" customFormat="true" ht="10.95" hidden="false" customHeight="true" outlineLevel="0" collapsed="false">
      <c r="A477" s="16" t="n">
        <v>45222</v>
      </c>
      <c r="B477" s="17" t="s">
        <v>17</v>
      </c>
      <c r="C477" s="17" t="s">
        <v>18</v>
      </c>
      <c r="D477" s="17" t="s">
        <v>19</v>
      </c>
      <c r="E477" s="17" t="s">
        <v>142</v>
      </c>
      <c r="F477" s="17" t="s">
        <v>330</v>
      </c>
      <c r="G477" s="18" t="n">
        <v>0</v>
      </c>
      <c r="H477" s="18" t="n">
        <v>249</v>
      </c>
      <c r="I477" s="18" t="n">
        <f aca="false">((I476 + G477) - H477)</f>
        <v>-257195.11</v>
      </c>
      <c r="J477" s="18" t="n">
        <v>-24.9</v>
      </c>
      <c r="K477" s="19" t="n">
        <v>10</v>
      </c>
      <c r="L477" s="17" t="s">
        <v>22</v>
      </c>
    </row>
    <row r="478" s="11" customFormat="true" ht="10.95" hidden="false" customHeight="true" outlineLevel="0" collapsed="false">
      <c r="A478" s="16" t="n">
        <v>45222</v>
      </c>
      <c r="B478" s="17" t="s">
        <v>17</v>
      </c>
      <c r="C478" s="17" t="s">
        <v>18</v>
      </c>
      <c r="D478" s="17" t="s">
        <v>19</v>
      </c>
      <c r="E478" s="17" t="s">
        <v>143</v>
      </c>
      <c r="F478" s="17" t="s">
        <v>330</v>
      </c>
      <c r="G478" s="18" t="n">
        <v>0</v>
      </c>
      <c r="H478" s="18" t="n">
        <v>94.5</v>
      </c>
      <c r="I478" s="18" t="n">
        <f aca="false">((I477 + G478) - H478)</f>
        <v>-257289.61</v>
      </c>
      <c r="J478" s="18" t="n">
        <v>-9.45</v>
      </c>
      <c r="K478" s="19" t="n">
        <v>10</v>
      </c>
      <c r="L478" s="17" t="s">
        <v>22</v>
      </c>
    </row>
    <row r="479" s="11" customFormat="true" ht="10.95" hidden="false" customHeight="true" outlineLevel="0" collapsed="false">
      <c r="A479" s="16" t="n">
        <v>45222</v>
      </c>
      <c r="B479" s="17" t="s">
        <v>17</v>
      </c>
      <c r="C479" s="17" t="s">
        <v>18</v>
      </c>
      <c r="D479" s="17" t="s">
        <v>19</v>
      </c>
      <c r="E479" s="17" t="s">
        <v>144</v>
      </c>
      <c r="F479" s="17" t="s">
        <v>330</v>
      </c>
      <c r="G479" s="18" t="n">
        <v>0</v>
      </c>
      <c r="H479" s="18" t="n">
        <v>1660</v>
      </c>
      <c r="I479" s="18" t="n">
        <f aca="false">((I478 + G479) - H479)</f>
        <v>-258949.61</v>
      </c>
      <c r="J479" s="18" t="n">
        <v>-166</v>
      </c>
      <c r="K479" s="19" t="n">
        <v>10</v>
      </c>
      <c r="L479" s="17" t="s">
        <v>22</v>
      </c>
    </row>
    <row r="480" s="11" customFormat="true" ht="10.95" hidden="false" customHeight="true" outlineLevel="0" collapsed="false">
      <c r="A480" s="16" t="n">
        <v>45222</v>
      </c>
      <c r="B480" s="17" t="s">
        <v>17</v>
      </c>
      <c r="C480" s="17" t="s">
        <v>18</v>
      </c>
      <c r="D480" s="17" t="s">
        <v>19</v>
      </c>
      <c r="E480" s="17" t="s">
        <v>145</v>
      </c>
      <c r="F480" s="17" t="s">
        <v>330</v>
      </c>
      <c r="G480" s="18" t="n">
        <v>0</v>
      </c>
      <c r="H480" s="18" t="n">
        <v>166</v>
      </c>
      <c r="I480" s="18" t="n">
        <f aca="false">((I479 + G480) - H480)</f>
        <v>-259115.61</v>
      </c>
      <c r="J480" s="18" t="n">
        <v>-16.6</v>
      </c>
      <c r="K480" s="19" t="n">
        <v>10</v>
      </c>
      <c r="L480" s="17" t="s">
        <v>22</v>
      </c>
    </row>
    <row r="481" s="11" customFormat="true" ht="10.95" hidden="false" customHeight="true" outlineLevel="0" collapsed="false">
      <c r="A481" s="16" t="n">
        <v>45222</v>
      </c>
      <c r="B481" s="17" t="s">
        <v>17</v>
      </c>
      <c r="C481" s="17" t="s">
        <v>18</v>
      </c>
      <c r="D481" s="17" t="s">
        <v>19</v>
      </c>
      <c r="E481" s="17" t="s">
        <v>146</v>
      </c>
      <c r="F481" s="17" t="s">
        <v>330</v>
      </c>
      <c r="G481" s="18" t="n">
        <v>0</v>
      </c>
      <c r="H481" s="18" t="n">
        <v>30</v>
      </c>
      <c r="I481" s="18" t="n">
        <f aca="false">((I480 + G481) - H481)</f>
        <v>-259145.61</v>
      </c>
      <c r="J481" s="18" t="n">
        <v>-3</v>
      </c>
      <c r="K481" s="19" t="n">
        <v>10</v>
      </c>
      <c r="L481" s="17" t="s">
        <v>22</v>
      </c>
    </row>
    <row r="482" s="11" customFormat="true" ht="10.95" hidden="false" customHeight="true" outlineLevel="0" collapsed="false">
      <c r="A482" s="16" t="n">
        <v>45222</v>
      </c>
      <c r="B482" s="17" t="s">
        <v>17</v>
      </c>
      <c r="C482" s="17" t="s">
        <v>18</v>
      </c>
      <c r="D482" s="17" t="s">
        <v>19</v>
      </c>
      <c r="E482" s="17" t="s">
        <v>147</v>
      </c>
      <c r="F482" s="17" t="s">
        <v>330</v>
      </c>
      <c r="G482" s="18" t="n">
        <v>0</v>
      </c>
      <c r="H482" s="18" t="n">
        <v>83</v>
      </c>
      <c r="I482" s="18" t="n">
        <f aca="false">((I481 + G482) - H482)</f>
        <v>-259228.61</v>
      </c>
      <c r="J482" s="18" t="n">
        <v>-8.3</v>
      </c>
      <c r="K482" s="19" t="n">
        <v>10</v>
      </c>
      <c r="L482" s="17" t="s">
        <v>22</v>
      </c>
    </row>
    <row r="483" s="11" customFormat="true" ht="10.95" hidden="false" customHeight="true" outlineLevel="0" collapsed="false">
      <c r="A483" s="16" t="n">
        <v>45222</v>
      </c>
      <c r="B483" s="17" t="s">
        <v>17</v>
      </c>
      <c r="C483" s="17" t="s">
        <v>18</v>
      </c>
      <c r="D483" s="17" t="s">
        <v>19</v>
      </c>
      <c r="E483" s="17" t="s">
        <v>148</v>
      </c>
      <c r="F483" s="17" t="s">
        <v>330</v>
      </c>
      <c r="G483" s="18" t="n">
        <v>0</v>
      </c>
      <c r="H483" s="18" t="n">
        <v>1162</v>
      </c>
      <c r="I483" s="18" t="n">
        <f aca="false">((I482 + G483) - H483)</f>
        <v>-260390.61</v>
      </c>
      <c r="J483" s="18" t="n">
        <v>-116.2</v>
      </c>
      <c r="K483" s="19" t="n">
        <v>10</v>
      </c>
      <c r="L483" s="17" t="s">
        <v>22</v>
      </c>
    </row>
    <row r="484" s="11" customFormat="true" ht="10.95" hidden="false" customHeight="true" outlineLevel="0" collapsed="false">
      <c r="A484" s="16" t="n">
        <v>45222</v>
      </c>
      <c r="B484" s="17" t="s">
        <v>17</v>
      </c>
      <c r="C484" s="17" t="s">
        <v>18</v>
      </c>
      <c r="D484" s="17" t="s">
        <v>19</v>
      </c>
      <c r="E484" s="17" t="s">
        <v>149</v>
      </c>
      <c r="F484" s="17" t="s">
        <v>330</v>
      </c>
      <c r="G484" s="18" t="n">
        <v>0</v>
      </c>
      <c r="H484" s="18" t="n">
        <v>360</v>
      </c>
      <c r="I484" s="18" t="n">
        <f aca="false">((I483 + G484) - H484)</f>
        <v>-260750.61</v>
      </c>
      <c r="J484" s="18" t="n">
        <v>-36</v>
      </c>
      <c r="K484" s="19" t="n">
        <v>10</v>
      </c>
      <c r="L484" s="17" t="s">
        <v>22</v>
      </c>
    </row>
    <row r="485" s="11" customFormat="true" ht="10.95" hidden="false" customHeight="true" outlineLevel="0" collapsed="false">
      <c r="A485" s="16" t="n">
        <v>45222</v>
      </c>
      <c r="B485" s="17" t="s">
        <v>17</v>
      </c>
      <c r="C485" s="17" t="s">
        <v>18</v>
      </c>
      <c r="D485" s="17" t="s">
        <v>19</v>
      </c>
      <c r="E485" s="17" t="s">
        <v>150</v>
      </c>
      <c r="F485" s="17" t="s">
        <v>330</v>
      </c>
      <c r="G485" s="18" t="n">
        <v>0</v>
      </c>
      <c r="H485" s="18" t="n">
        <v>288</v>
      </c>
      <c r="I485" s="18" t="n">
        <f aca="false">((I484 + G485) - H485)</f>
        <v>-261038.61</v>
      </c>
      <c r="J485" s="18" t="n">
        <v>-28.8</v>
      </c>
      <c r="K485" s="19" t="n">
        <v>10</v>
      </c>
      <c r="L485" s="17" t="s">
        <v>22</v>
      </c>
    </row>
    <row r="486" s="11" customFormat="true" ht="10.95" hidden="false" customHeight="true" outlineLevel="0" collapsed="false">
      <c r="A486" s="16" t="n">
        <v>45222</v>
      </c>
      <c r="B486" s="17" t="s">
        <v>17</v>
      </c>
      <c r="C486" s="17" t="s">
        <v>18</v>
      </c>
      <c r="D486" s="17" t="s">
        <v>19</v>
      </c>
      <c r="E486" s="17" t="s">
        <v>151</v>
      </c>
      <c r="F486" s="17" t="s">
        <v>330</v>
      </c>
      <c r="G486" s="18" t="n">
        <v>0</v>
      </c>
      <c r="H486" s="18" t="n">
        <v>100</v>
      </c>
      <c r="I486" s="18" t="n">
        <f aca="false">((I485 + G486) - H486)</f>
        <v>-261138.61</v>
      </c>
      <c r="J486" s="18" t="n">
        <v>-10</v>
      </c>
      <c r="K486" s="19" t="n">
        <v>10</v>
      </c>
      <c r="L486" s="17" t="s">
        <v>22</v>
      </c>
    </row>
    <row r="487" s="11" customFormat="true" ht="10.95" hidden="false" customHeight="true" outlineLevel="0" collapsed="false">
      <c r="A487" s="16" t="n">
        <v>45222</v>
      </c>
      <c r="B487" s="17" t="s">
        <v>17</v>
      </c>
      <c r="C487" s="17" t="s">
        <v>18</v>
      </c>
      <c r="D487" s="17" t="s">
        <v>19</v>
      </c>
      <c r="E487" s="17" t="s">
        <v>152</v>
      </c>
      <c r="F487" s="17" t="s">
        <v>330</v>
      </c>
      <c r="G487" s="18" t="n">
        <v>0</v>
      </c>
      <c r="H487" s="18" t="n">
        <v>1162</v>
      </c>
      <c r="I487" s="18" t="n">
        <f aca="false">((I486 + G487) - H487)</f>
        <v>-262300.61</v>
      </c>
      <c r="J487" s="18" t="n">
        <v>-116.2</v>
      </c>
      <c r="K487" s="19" t="n">
        <v>10</v>
      </c>
      <c r="L487" s="17" t="s">
        <v>22</v>
      </c>
    </row>
    <row r="488" s="11" customFormat="true" ht="10.95" hidden="false" customHeight="true" outlineLevel="0" collapsed="false">
      <c r="A488" s="16" t="n">
        <v>45222</v>
      </c>
      <c r="B488" s="17" t="s">
        <v>17</v>
      </c>
      <c r="C488" s="17" t="s">
        <v>18</v>
      </c>
      <c r="D488" s="17" t="s">
        <v>19</v>
      </c>
      <c r="E488" s="17" t="s">
        <v>153</v>
      </c>
      <c r="F488" s="17" t="s">
        <v>330</v>
      </c>
      <c r="G488" s="18" t="n">
        <v>0</v>
      </c>
      <c r="H488" s="18" t="n">
        <v>283.5</v>
      </c>
      <c r="I488" s="18" t="n">
        <f aca="false">((I487 + G488) - H488)</f>
        <v>-262584.11</v>
      </c>
      <c r="J488" s="18" t="n">
        <v>-28.35</v>
      </c>
      <c r="K488" s="19" t="n">
        <v>10</v>
      </c>
      <c r="L488" s="17" t="s">
        <v>22</v>
      </c>
    </row>
    <row r="489" s="11" customFormat="true" ht="10.95" hidden="false" customHeight="true" outlineLevel="0" collapsed="false">
      <c r="A489" s="16" t="n">
        <v>45222</v>
      </c>
      <c r="B489" s="17" t="s">
        <v>17</v>
      </c>
      <c r="C489" s="17" t="s">
        <v>18</v>
      </c>
      <c r="D489" s="17" t="s">
        <v>19</v>
      </c>
      <c r="E489" s="17" t="s">
        <v>154</v>
      </c>
      <c r="F489" s="17" t="s">
        <v>330</v>
      </c>
      <c r="G489" s="18" t="n">
        <v>0</v>
      </c>
      <c r="H489" s="18" t="n">
        <v>165</v>
      </c>
      <c r="I489" s="18" t="n">
        <f aca="false">((I488 + G489) - H489)</f>
        <v>-262749.11</v>
      </c>
      <c r="J489" s="18" t="n">
        <v>-16.5</v>
      </c>
      <c r="K489" s="19" t="n">
        <v>10</v>
      </c>
      <c r="L489" s="17" t="s">
        <v>22</v>
      </c>
    </row>
    <row r="490" s="11" customFormat="true" ht="10.95" hidden="false" customHeight="true" outlineLevel="0" collapsed="false">
      <c r="A490" s="16" t="n">
        <v>45222</v>
      </c>
      <c r="B490" s="17" t="s">
        <v>17</v>
      </c>
      <c r="C490" s="17" t="s">
        <v>18</v>
      </c>
      <c r="D490" s="17" t="s">
        <v>19</v>
      </c>
      <c r="E490" s="17" t="s">
        <v>155</v>
      </c>
      <c r="F490" s="17" t="s">
        <v>330</v>
      </c>
      <c r="G490" s="18" t="n">
        <v>0</v>
      </c>
      <c r="H490" s="18" t="n">
        <v>432</v>
      </c>
      <c r="I490" s="18" t="n">
        <f aca="false">((I489 + G490) - H490)</f>
        <v>-263181.11</v>
      </c>
      <c r="J490" s="18" t="n">
        <v>-43.2</v>
      </c>
      <c r="K490" s="19" t="n">
        <v>10</v>
      </c>
      <c r="L490" s="17" t="s">
        <v>22</v>
      </c>
    </row>
    <row r="491" s="11" customFormat="true" ht="10.95" hidden="false" customHeight="true" outlineLevel="0" collapsed="false">
      <c r="A491" s="16" t="n">
        <v>45222</v>
      </c>
      <c r="B491" s="17" t="s">
        <v>17</v>
      </c>
      <c r="C491" s="17" t="s">
        <v>18</v>
      </c>
      <c r="D491" s="17" t="s">
        <v>19</v>
      </c>
      <c r="E491" s="17" t="s">
        <v>156</v>
      </c>
      <c r="F491" s="17" t="s">
        <v>330</v>
      </c>
      <c r="G491" s="18" t="n">
        <v>0</v>
      </c>
      <c r="H491" s="18" t="n">
        <v>945</v>
      </c>
      <c r="I491" s="18" t="n">
        <f aca="false">((I490 + G491) - H491)</f>
        <v>-264126.11</v>
      </c>
      <c r="J491" s="18" t="n">
        <v>-94.5</v>
      </c>
      <c r="K491" s="19" t="n">
        <v>10</v>
      </c>
      <c r="L491" s="17" t="s">
        <v>22</v>
      </c>
    </row>
    <row r="492" s="11" customFormat="true" ht="10.95" hidden="false" customHeight="true" outlineLevel="0" collapsed="false">
      <c r="A492" s="16" t="n">
        <v>45222</v>
      </c>
      <c r="B492" s="17" t="s">
        <v>17</v>
      </c>
      <c r="C492" s="17" t="s">
        <v>18</v>
      </c>
      <c r="D492" s="17" t="s">
        <v>19</v>
      </c>
      <c r="E492" s="17" t="s">
        <v>223</v>
      </c>
      <c r="F492" s="17" t="s">
        <v>330</v>
      </c>
      <c r="G492" s="18" t="n">
        <v>0</v>
      </c>
      <c r="H492" s="18" t="n">
        <v>34.65</v>
      </c>
      <c r="I492" s="18" t="n">
        <f aca="false">((I491 + G492) - H492)</f>
        <v>-264160.76</v>
      </c>
      <c r="J492" s="18" t="n">
        <v>-3.47</v>
      </c>
      <c r="K492" s="19" t="n">
        <v>10</v>
      </c>
      <c r="L492" s="17" t="s">
        <v>22</v>
      </c>
    </row>
    <row r="493" s="11" customFormat="true" ht="10.95" hidden="false" customHeight="true" outlineLevel="0" collapsed="false">
      <c r="A493" s="16" t="n">
        <v>45222</v>
      </c>
      <c r="B493" s="17" t="s">
        <v>17</v>
      </c>
      <c r="C493" s="17" t="s">
        <v>18</v>
      </c>
      <c r="D493" s="17" t="s">
        <v>19</v>
      </c>
      <c r="E493" s="17" t="s">
        <v>157</v>
      </c>
      <c r="F493" s="17" t="s">
        <v>330</v>
      </c>
      <c r="G493" s="18" t="n">
        <v>0</v>
      </c>
      <c r="H493" s="18" t="n">
        <v>189</v>
      </c>
      <c r="I493" s="18" t="n">
        <f aca="false">((I492 + G493) - H493)</f>
        <v>-264349.76</v>
      </c>
      <c r="J493" s="18" t="n">
        <v>-18.9</v>
      </c>
      <c r="K493" s="19" t="n">
        <v>10</v>
      </c>
      <c r="L493" s="17" t="s">
        <v>22</v>
      </c>
    </row>
    <row r="494" s="11" customFormat="true" ht="10.95" hidden="false" customHeight="true" outlineLevel="0" collapsed="false">
      <c r="A494" s="16" t="n">
        <v>45222</v>
      </c>
      <c r="B494" s="17" t="s">
        <v>17</v>
      </c>
      <c r="C494" s="17" t="s">
        <v>18</v>
      </c>
      <c r="D494" s="17" t="s">
        <v>19</v>
      </c>
      <c r="E494" s="17" t="s">
        <v>158</v>
      </c>
      <c r="F494" s="17" t="s">
        <v>330</v>
      </c>
      <c r="G494" s="18" t="n">
        <v>0</v>
      </c>
      <c r="H494" s="18" t="n">
        <v>94.5</v>
      </c>
      <c r="I494" s="18" t="n">
        <f aca="false">((I493 + G494) - H494)</f>
        <v>-264444.26</v>
      </c>
      <c r="J494" s="18" t="n">
        <v>-9.45</v>
      </c>
      <c r="K494" s="19" t="n">
        <v>10</v>
      </c>
      <c r="L494" s="17" t="s">
        <v>22</v>
      </c>
    </row>
    <row r="495" s="11" customFormat="true" ht="10.95" hidden="false" customHeight="true" outlineLevel="0" collapsed="false">
      <c r="A495" s="16" t="n">
        <v>45222</v>
      </c>
      <c r="B495" s="17" t="s">
        <v>17</v>
      </c>
      <c r="C495" s="17" t="s">
        <v>18</v>
      </c>
      <c r="D495" s="17" t="s">
        <v>19</v>
      </c>
      <c r="E495" s="17" t="s">
        <v>159</v>
      </c>
      <c r="F495" s="17" t="s">
        <v>330</v>
      </c>
      <c r="G495" s="18" t="n">
        <v>0</v>
      </c>
      <c r="H495" s="18" t="n">
        <v>792</v>
      </c>
      <c r="I495" s="18" t="n">
        <f aca="false">((I494 + G495) - H495)</f>
        <v>-265236.26</v>
      </c>
      <c r="J495" s="18" t="n">
        <v>-79.2</v>
      </c>
      <c r="K495" s="19" t="n">
        <v>10</v>
      </c>
      <c r="L495" s="17" t="s">
        <v>22</v>
      </c>
    </row>
    <row r="496" s="11" customFormat="true" ht="10.95" hidden="false" customHeight="true" outlineLevel="0" collapsed="false">
      <c r="A496" s="16" t="n">
        <v>45222</v>
      </c>
      <c r="B496" s="17" t="s">
        <v>17</v>
      </c>
      <c r="C496" s="17" t="s">
        <v>18</v>
      </c>
      <c r="D496" s="17" t="s">
        <v>19</v>
      </c>
      <c r="E496" s="17" t="s">
        <v>282</v>
      </c>
      <c r="F496" s="17" t="s">
        <v>330</v>
      </c>
      <c r="G496" s="18" t="n">
        <v>0</v>
      </c>
      <c r="H496" s="18" t="n">
        <v>94.5</v>
      </c>
      <c r="I496" s="18" t="n">
        <f aca="false">((I495 + G496) - H496)</f>
        <v>-265330.76</v>
      </c>
      <c r="J496" s="18" t="n">
        <v>-9.45</v>
      </c>
      <c r="K496" s="19" t="n">
        <v>10</v>
      </c>
      <c r="L496" s="17" t="s">
        <v>22</v>
      </c>
    </row>
    <row r="497" s="11" customFormat="true" ht="10.95" hidden="false" customHeight="true" outlineLevel="0" collapsed="false">
      <c r="A497" s="16" t="n">
        <v>45231</v>
      </c>
      <c r="B497" s="17" t="s">
        <v>17</v>
      </c>
      <c r="C497" s="17" t="s">
        <v>18</v>
      </c>
      <c r="D497" s="17" t="s">
        <v>19</v>
      </c>
      <c r="E497" s="17" t="s">
        <v>331</v>
      </c>
      <c r="F497" s="17" t="s">
        <v>332</v>
      </c>
      <c r="G497" s="18" t="n">
        <v>0</v>
      </c>
      <c r="H497" s="18" t="n">
        <v>700</v>
      </c>
      <c r="I497" s="18" t="n">
        <f aca="false">((I496 + G497) - H497)</f>
        <v>-266030.76</v>
      </c>
      <c r="J497" s="18" t="n">
        <v>-70</v>
      </c>
      <c r="K497" s="19" t="n">
        <v>10</v>
      </c>
      <c r="L497" s="17" t="s">
        <v>22</v>
      </c>
    </row>
    <row r="498" s="11" customFormat="true" ht="10.95" hidden="false" customHeight="true" outlineLevel="0" collapsed="false">
      <c r="A498" s="16" t="n">
        <v>45253</v>
      </c>
      <c r="B498" s="17" t="s">
        <v>17</v>
      </c>
      <c r="C498" s="17" t="s">
        <v>18</v>
      </c>
      <c r="D498" s="17" t="s">
        <v>19</v>
      </c>
      <c r="E498" s="17" t="s">
        <v>231</v>
      </c>
      <c r="F498" s="17" t="s">
        <v>333</v>
      </c>
      <c r="G498" s="18" t="n">
        <v>0</v>
      </c>
      <c r="H498" s="18" t="n">
        <v>143</v>
      </c>
      <c r="I498" s="18" t="n">
        <f aca="false">((I497 + G498) - H498)</f>
        <v>-266173.76</v>
      </c>
      <c r="J498" s="18" t="n">
        <v>-14.3</v>
      </c>
      <c r="K498" s="19" t="n">
        <v>10</v>
      </c>
      <c r="L498" s="17" t="s">
        <v>22</v>
      </c>
    </row>
    <row r="499" s="11" customFormat="true" ht="10.95" hidden="false" customHeight="true" outlineLevel="0" collapsed="false">
      <c r="A499" s="16" t="n">
        <v>45253</v>
      </c>
      <c r="B499" s="17" t="s">
        <v>17</v>
      </c>
      <c r="C499" s="17" t="s">
        <v>18</v>
      </c>
      <c r="D499" s="17" t="s">
        <v>19</v>
      </c>
      <c r="E499" s="17" t="s">
        <v>233</v>
      </c>
      <c r="F499" s="17" t="s">
        <v>334</v>
      </c>
      <c r="G499" s="18" t="n">
        <v>0</v>
      </c>
      <c r="H499" s="18" t="n">
        <v>71.5</v>
      </c>
      <c r="I499" s="18" t="n">
        <f aca="false">((I498 + G499) - H499)</f>
        <v>-266245.26</v>
      </c>
      <c r="J499" s="18" t="n">
        <v>-7.15</v>
      </c>
      <c r="K499" s="19" t="n">
        <v>10</v>
      </c>
      <c r="L499" s="17" t="s">
        <v>22</v>
      </c>
    </row>
    <row r="500" s="11" customFormat="true" ht="10.95" hidden="false" customHeight="true" outlineLevel="0" collapsed="false">
      <c r="A500" s="16" t="n">
        <v>45253</v>
      </c>
      <c r="B500" s="17" t="s">
        <v>17</v>
      </c>
      <c r="C500" s="17" t="s">
        <v>18</v>
      </c>
      <c r="D500" s="17" t="s">
        <v>19</v>
      </c>
      <c r="E500" s="17" t="s">
        <v>235</v>
      </c>
      <c r="F500" s="17" t="s">
        <v>334</v>
      </c>
      <c r="G500" s="18" t="n">
        <v>0</v>
      </c>
      <c r="H500" s="18" t="n">
        <v>110</v>
      </c>
      <c r="I500" s="18" t="n">
        <f aca="false">((I499 + G500) - H500)</f>
        <v>-266355.26</v>
      </c>
      <c r="J500" s="18" t="n">
        <v>-11</v>
      </c>
      <c r="K500" s="19" t="n">
        <v>10</v>
      </c>
      <c r="L500" s="17" t="s">
        <v>22</v>
      </c>
    </row>
    <row r="501" s="11" customFormat="true" ht="10.95" hidden="false" customHeight="true" outlineLevel="0" collapsed="false">
      <c r="A501" s="16" t="n">
        <v>45253</v>
      </c>
      <c r="B501" s="17" t="s">
        <v>17</v>
      </c>
      <c r="C501" s="17" t="s">
        <v>18</v>
      </c>
      <c r="D501" s="17" t="s">
        <v>19</v>
      </c>
      <c r="E501" s="17" t="s">
        <v>171</v>
      </c>
      <c r="F501" s="17" t="s">
        <v>335</v>
      </c>
      <c r="G501" s="18" t="n">
        <v>0</v>
      </c>
      <c r="H501" s="18" t="n">
        <v>940.5</v>
      </c>
      <c r="I501" s="18" t="n">
        <f aca="false">((I500 + G501) - H501)</f>
        <v>-267295.76</v>
      </c>
      <c r="J501" s="18" t="n">
        <v>-94.05</v>
      </c>
      <c r="K501" s="19" t="n">
        <v>10</v>
      </c>
      <c r="L501" s="17" t="s">
        <v>22</v>
      </c>
    </row>
    <row r="502" s="11" customFormat="true" ht="10.95" hidden="false" customHeight="true" outlineLevel="0" collapsed="false">
      <c r="A502" s="16" t="n">
        <v>45253</v>
      </c>
      <c r="B502" s="17" t="s">
        <v>17</v>
      </c>
      <c r="C502" s="17" t="s">
        <v>18</v>
      </c>
      <c r="D502" s="17" t="s">
        <v>19</v>
      </c>
      <c r="E502" s="17" t="s">
        <v>20</v>
      </c>
      <c r="F502" s="17" t="s">
        <v>336</v>
      </c>
      <c r="G502" s="18" t="n">
        <v>0</v>
      </c>
      <c r="H502" s="18" t="n">
        <v>376</v>
      </c>
      <c r="I502" s="18" t="n">
        <f aca="false">((I501 + G502) - H502)</f>
        <v>-267671.76</v>
      </c>
      <c r="J502" s="18" t="n">
        <v>-37.6</v>
      </c>
      <c r="K502" s="19" t="n">
        <v>10</v>
      </c>
      <c r="L502" s="17" t="s">
        <v>22</v>
      </c>
    </row>
    <row r="503" s="11" customFormat="true" ht="10.95" hidden="false" customHeight="true" outlineLevel="0" collapsed="false">
      <c r="A503" s="16" t="n">
        <v>45253</v>
      </c>
      <c r="B503" s="17" t="s">
        <v>17</v>
      </c>
      <c r="C503" s="17" t="s">
        <v>18</v>
      </c>
      <c r="D503" s="17" t="s">
        <v>19</v>
      </c>
      <c r="E503" s="17" t="s">
        <v>23</v>
      </c>
      <c r="F503" s="17" t="s">
        <v>337</v>
      </c>
      <c r="G503" s="18" t="n">
        <v>0</v>
      </c>
      <c r="H503" s="18" t="n">
        <v>1035</v>
      </c>
      <c r="I503" s="18" t="n">
        <f aca="false">((I502 + G503) - H503)</f>
        <v>-268706.76</v>
      </c>
      <c r="J503" s="18" t="n">
        <v>-103.5</v>
      </c>
      <c r="K503" s="19" t="n">
        <v>10</v>
      </c>
      <c r="L503" s="17" t="s">
        <v>22</v>
      </c>
    </row>
    <row r="504" s="11" customFormat="true" ht="10.95" hidden="false" customHeight="true" outlineLevel="0" collapsed="false">
      <c r="A504" s="16" t="n">
        <v>45253</v>
      </c>
      <c r="B504" s="17" t="s">
        <v>17</v>
      </c>
      <c r="C504" s="17" t="s">
        <v>18</v>
      </c>
      <c r="D504" s="17" t="s">
        <v>19</v>
      </c>
      <c r="E504" s="17" t="s">
        <v>25</v>
      </c>
      <c r="F504" s="17" t="s">
        <v>337</v>
      </c>
      <c r="G504" s="18" t="n">
        <v>0</v>
      </c>
      <c r="H504" s="18" t="n">
        <v>225</v>
      </c>
      <c r="I504" s="18" t="n">
        <f aca="false">((I503 + G504) - H504)</f>
        <v>-268931.76</v>
      </c>
      <c r="J504" s="18" t="n">
        <v>-22.5</v>
      </c>
      <c r="K504" s="19" t="n">
        <v>10</v>
      </c>
      <c r="L504" s="17" t="s">
        <v>22</v>
      </c>
    </row>
    <row r="505" s="11" customFormat="true" ht="10.95" hidden="false" customHeight="true" outlineLevel="0" collapsed="false">
      <c r="A505" s="16" t="n">
        <v>45253</v>
      </c>
      <c r="B505" s="17" t="s">
        <v>17</v>
      </c>
      <c r="C505" s="17" t="s">
        <v>18</v>
      </c>
      <c r="D505" s="17" t="s">
        <v>19</v>
      </c>
      <c r="E505" s="17" t="s">
        <v>26</v>
      </c>
      <c r="F505" s="17" t="s">
        <v>338</v>
      </c>
      <c r="G505" s="18" t="n">
        <v>0</v>
      </c>
      <c r="H505" s="18" t="n">
        <v>510</v>
      </c>
      <c r="I505" s="18" t="n">
        <f aca="false">((I504 + G505) - H505)</f>
        <v>-269441.76</v>
      </c>
      <c r="J505" s="18" t="n">
        <v>-51</v>
      </c>
      <c r="K505" s="19" t="n">
        <v>10</v>
      </c>
      <c r="L505" s="17" t="s">
        <v>22</v>
      </c>
    </row>
    <row r="506" s="11" customFormat="true" ht="10.95" hidden="false" customHeight="true" outlineLevel="0" collapsed="false">
      <c r="A506" s="16" t="n">
        <v>45253</v>
      </c>
      <c r="B506" s="17" t="s">
        <v>17</v>
      </c>
      <c r="C506" s="17" t="s">
        <v>18</v>
      </c>
      <c r="D506" s="17" t="s">
        <v>19</v>
      </c>
      <c r="E506" s="17" t="s">
        <v>28</v>
      </c>
      <c r="F506" s="17" t="s">
        <v>339</v>
      </c>
      <c r="G506" s="18" t="n">
        <v>0</v>
      </c>
      <c r="H506" s="18" t="n">
        <v>836</v>
      </c>
      <c r="I506" s="18" t="n">
        <f aca="false">((I505 + G506) - H506)</f>
        <v>-270277.76</v>
      </c>
      <c r="J506" s="18" t="n">
        <v>-83.6</v>
      </c>
      <c r="K506" s="19" t="n">
        <v>10</v>
      </c>
      <c r="L506" s="17" t="s">
        <v>22</v>
      </c>
    </row>
    <row r="507" s="11" customFormat="true" ht="10.95" hidden="false" customHeight="true" outlineLevel="0" collapsed="false">
      <c r="A507" s="16" t="n">
        <v>45253</v>
      </c>
      <c r="B507" s="17" t="s">
        <v>17</v>
      </c>
      <c r="C507" s="17" t="s">
        <v>18</v>
      </c>
      <c r="D507" s="17" t="s">
        <v>19</v>
      </c>
      <c r="E507" s="17" t="s">
        <v>30</v>
      </c>
      <c r="F507" s="17" t="s">
        <v>340</v>
      </c>
      <c r="G507" s="18" t="n">
        <v>0</v>
      </c>
      <c r="H507" s="18" t="n">
        <v>85</v>
      </c>
      <c r="I507" s="18" t="n">
        <f aca="false">((I506 + G507) - H507)</f>
        <v>-270362.76</v>
      </c>
      <c r="J507" s="18" t="n">
        <v>-8.5</v>
      </c>
      <c r="K507" s="19" t="n">
        <v>10</v>
      </c>
      <c r="L507" s="17" t="s">
        <v>22</v>
      </c>
    </row>
    <row r="508" s="11" customFormat="true" ht="10.95" hidden="false" customHeight="true" outlineLevel="0" collapsed="false">
      <c r="A508" s="16" t="n">
        <v>45253</v>
      </c>
      <c r="B508" s="17" t="s">
        <v>17</v>
      </c>
      <c r="C508" s="17" t="s">
        <v>18</v>
      </c>
      <c r="D508" s="17" t="s">
        <v>19</v>
      </c>
      <c r="E508" s="17" t="s">
        <v>341</v>
      </c>
      <c r="F508" s="17" t="s">
        <v>342</v>
      </c>
      <c r="G508" s="18" t="n">
        <v>0</v>
      </c>
      <c r="H508" s="18" t="n">
        <v>2316.6</v>
      </c>
      <c r="I508" s="18" t="n">
        <f aca="false">((I507 + G508) - H508)</f>
        <v>-272679.36</v>
      </c>
      <c r="J508" s="18" t="n">
        <v>-231.66</v>
      </c>
      <c r="K508" s="19" t="n">
        <v>10</v>
      </c>
      <c r="L508" s="17" t="s">
        <v>22</v>
      </c>
    </row>
    <row r="509" s="11" customFormat="true" ht="10.95" hidden="false" customHeight="true" outlineLevel="0" collapsed="false">
      <c r="A509" s="16" t="n">
        <v>45253</v>
      </c>
      <c r="B509" s="17" t="s">
        <v>17</v>
      </c>
      <c r="C509" s="17" t="s">
        <v>18</v>
      </c>
      <c r="D509" s="17" t="s">
        <v>19</v>
      </c>
      <c r="E509" s="17" t="s">
        <v>178</v>
      </c>
      <c r="F509" s="17" t="s">
        <v>343</v>
      </c>
      <c r="G509" s="18" t="n">
        <v>0</v>
      </c>
      <c r="H509" s="18" t="n">
        <v>1105</v>
      </c>
      <c r="I509" s="18" t="n">
        <f aca="false">((I508 + G509) - H509)</f>
        <v>-273784.36</v>
      </c>
      <c r="J509" s="18" t="n">
        <v>-110.5</v>
      </c>
      <c r="K509" s="19" t="n">
        <v>10</v>
      </c>
      <c r="L509" s="17" t="s">
        <v>22</v>
      </c>
    </row>
    <row r="510" s="11" customFormat="true" ht="10.95" hidden="false" customHeight="true" outlineLevel="0" collapsed="false">
      <c r="A510" s="16" t="n">
        <v>45253</v>
      </c>
      <c r="B510" s="17" t="s">
        <v>17</v>
      </c>
      <c r="C510" s="17" t="s">
        <v>18</v>
      </c>
      <c r="D510" s="17" t="s">
        <v>19</v>
      </c>
      <c r="E510" s="17" t="s">
        <v>180</v>
      </c>
      <c r="F510" s="17" t="s">
        <v>343</v>
      </c>
      <c r="G510" s="18" t="n">
        <v>0</v>
      </c>
      <c r="H510" s="18" t="n">
        <v>429</v>
      </c>
      <c r="I510" s="18" t="n">
        <f aca="false">((I509 + G510) - H510)</f>
        <v>-274213.36</v>
      </c>
      <c r="J510" s="18" t="n">
        <v>-42.9</v>
      </c>
      <c r="K510" s="19" t="n">
        <v>10</v>
      </c>
      <c r="L510" s="17" t="s">
        <v>22</v>
      </c>
    </row>
    <row r="511" s="11" customFormat="true" ht="10.95" hidden="false" customHeight="true" outlineLevel="0" collapsed="false">
      <c r="A511" s="16" t="n">
        <v>45253</v>
      </c>
      <c r="B511" s="17" t="s">
        <v>17</v>
      </c>
      <c r="C511" s="17" t="s">
        <v>18</v>
      </c>
      <c r="D511" s="17" t="s">
        <v>19</v>
      </c>
      <c r="E511" s="17" t="s">
        <v>181</v>
      </c>
      <c r="F511" s="17" t="s">
        <v>343</v>
      </c>
      <c r="G511" s="18" t="n">
        <v>0</v>
      </c>
      <c r="H511" s="18" t="n">
        <v>37</v>
      </c>
      <c r="I511" s="18" t="n">
        <f aca="false">((I510 + G511) - H511)</f>
        <v>-274250.36</v>
      </c>
      <c r="J511" s="18" t="n">
        <v>-3.7</v>
      </c>
      <c r="K511" s="19" t="n">
        <v>10</v>
      </c>
      <c r="L511" s="17" t="s">
        <v>22</v>
      </c>
    </row>
    <row r="512" s="11" customFormat="true" ht="10.95" hidden="false" customHeight="true" outlineLevel="0" collapsed="false">
      <c r="A512" s="16" t="n">
        <v>45253</v>
      </c>
      <c r="B512" s="17" t="s">
        <v>17</v>
      </c>
      <c r="C512" s="17" t="s">
        <v>18</v>
      </c>
      <c r="D512" s="17" t="s">
        <v>19</v>
      </c>
      <c r="E512" s="17" t="s">
        <v>178</v>
      </c>
      <c r="F512" s="17" t="s">
        <v>343</v>
      </c>
      <c r="G512" s="18" t="n">
        <v>0</v>
      </c>
      <c r="H512" s="18" t="n">
        <v>1105</v>
      </c>
      <c r="I512" s="18" t="n">
        <f aca="false">((I511 + G512) - H512)</f>
        <v>-275355.36</v>
      </c>
      <c r="J512" s="18" t="n">
        <v>-110.5</v>
      </c>
      <c r="K512" s="19" t="n">
        <v>10</v>
      </c>
      <c r="L512" s="17" t="s">
        <v>22</v>
      </c>
    </row>
    <row r="513" s="11" customFormat="true" ht="10.95" hidden="false" customHeight="true" outlineLevel="0" collapsed="false">
      <c r="A513" s="16" t="n">
        <v>45253</v>
      </c>
      <c r="B513" s="17" t="s">
        <v>17</v>
      </c>
      <c r="C513" s="17" t="s">
        <v>18</v>
      </c>
      <c r="D513" s="17" t="s">
        <v>19</v>
      </c>
      <c r="E513" s="17" t="s">
        <v>180</v>
      </c>
      <c r="F513" s="17" t="s">
        <v>343</v>
      </c>
      <c r="G513" s="18" t="n">
        <v>0</v>
      </c>
      <c r="H513" s="18" t="n">
        <v>429</v>
      </c>
      <c r="I513" s="18" t="n">
        <f aca="false">((I512 + G513) - H513)</f>
        <v>-275784.36</v>
      </c>
      <c r="J513" s="18" t="n">
        <v>-42.9</v>
      </c>
      <c r="K513" s="19" t="n">
        <v>10</v>
      </c>
      <c r="L513" s="17" t="s">
        <v>22</v>
      </c>
    </row>
    <row r="514" s="11" customFormat="true" ht="10.95" hidden="false" customHeight="true" outlineLevel="0" collapsed="false">
      <c r="A514" s="16" t="n">
        <v>45253</v>
      </c>
      <c r="B514" s="17" t="s">
        <v>17</v>
      </c>
      <c r="C514" s="17" t="s">
        <v>18</v>
      </c>
      <c r="D514" s="17" t="s">
        <v>19</v>
      </c>
      <c r="E514" s="17" t="s">
        <v>181</v>
      </c>
      <c r="F514" s="17" t="s">
        <v>343</v>
      </c>
      <c r="G514" s="18" t="n">
        <v>0</v>
      </c>
      <c r="H514" s="18" t="n">
        <v>37</v>
      </c>
      <c r="I514" s="18" t="n">
        <f aca="false">((I513 + G514) - H514)</f>
        <v>-275821.36</v>
      </c>
      <c r="J514" s="18" t="n">
        <v>-3.7</v>
      </c>
      <c r="K514" s="19" t="n">
        <v>10</v>
      </c>
      <c r="L514" s="17" t="s">
        <v>22</v>
      </c>
    </row>
    <row r="515" s="11" customFormat="true" ht="21.3" hidden="false" customHeight="true" outlineLevel="0" collapsed="false">
      <c r="A515" s="16" t="n">
        <v>45253</v>
      </c>
      <c r="B515" s="17" t="s">
        <v>17</v>
      </c>
      <c r="C515" s="17" t="s">
        <v>18</v>
      </c>
      <c r="D515" s="17" t="s">
        <v>19</v>
      </c>
      <c r="E515" s="20" t="s">
        <v>182</v>
      </c>
      <c r="F515" s="17" t="s">
        <v>343</v>
      </c>
      <c r="G515" s="18" t="n">
        <v>0</v>
      </c>
      <c r="H515" s="18" t="n">
        <v>1105</v>
      </c>
      <c r="I515" s="18" t="n">
        <f aca="false">((I514 + G515) - H515)</f>
        <v>-276926.36</v>
      </c>
      <c r="J515" s="18" t="n">
        <v>-110.5</v>
      </c>
      <c r="K515" s="19" t="n">
        <v>10</v>
      </c>
      <c r="L515" s="17" t="s">
        <v>22</v>
      </c>
    </row>
    <row r="516" s="11" customFormat="true" ht="10.95" hidden="false" customHeight="true" outlineLevel="0" collapsed="false">
      <c r="A516" s="16" t="n">
        <v>45253</v>
      </c>
      <c r="B516" s="17" t="s">
        <v>17</v>
      </c>
      <c r="C516" s="17" t="s">
        <v>18</v>
      </c>
      <c r="D516" s="17" t="s">
        <v>19</v>
      </c>
      <c r="E516" s="17" t="s">
        <v>180</v>
      </c>
      <c r="F516" s="17" t="s">
        <v>343</v>
      </c>
      <c r="G516" s="18" t="n">
        <v>0</v>
      </c>
      <c r="H516" s="18" t="n">
        <v>429</v>
      </c>
      <c r="I516" s="18" t="n">
        <f aca="false">((I515 + G516) - H516)</f>
        <v>-277355.36</v>
      </c>
      <c r="J516" s="18" t="n">
        <v>-42.9</v>
      </c>
      <c r="K516" s="19" t="n">
        <v>10</v>
      </c>
      <c r="L516" s="17" t="s">
        <v>22</v>
      </c>
    </row>
    <row r="517" s="11" customFormat="true" ht="10.95" hidden="false" customHeight="true" outlineLevel="0" collapsed="false">
      <c r="A517" s="16" t="n">
        <v>45253</v>
      </c>
      <c r="B517" s="17" t="s">
        <v>17</v>
      </c>
      <c r="C517" s="17" t="s">
        <v>18</v>
      </c>
      <c r="D517" s="17" t="s">
        <v>19</v>
      </c>
      <c r="E517" s="17" t="s">
        <v>181</v>
      </c>
      <c r="F517" s="17" t="s">
        <v>343</v>
      </c>
      <c r="G517" s="18" t="n">
        <v>0</v>
      </c>
      <c r="H517" s="18" t="n">
        <v>37</v>
      </c>
      <c r="I517" s="18" t="n">
        <f aca="false">((I516 + G517) - H517)</f>
        <v>-277392.36</v>
      </c>
      <c r="J517" s="18" t="n">
        <v>-3.7</v>
      </c>
      <c r="K517" s="19" t="n">
        <v>10</v>
      </c>
      <c r="L517" s="17" t="s">
        <v>22</v>
      </c>
    </row>
    <row r="518" s="11" customFormat="true" ht="10.95" hidden="false" customHeight="true" outlineLevel="0" collapsed="false">
      <c r="A518" s="16" t="n">
        <v>45253</v>
      </c>
      <c r="B518" s="17" t="s">
        <v>17</v>
      </c>
      <c r="C518" s="17" t="s">
        <v>18</v>
      </c>
      <c r="D518" s="17" t="s">
        <v>19</v>
      </c>
      <c r="E518" s="17" t="s">
        <v>32</v>
      </c>
      <c r="F518" s="17" t="s">
        <v>344</v>
      </c>
      <c r="G518" s="18" t="n">
        <v>0</v>
      </c>
      <c r="H518" s="18" t="n">
        <v>195</v>
      </c>
      <c r="I518" s="18" t="n">
        <f aca="false">((I517 + G518) - H518)</f>
        <v>-277587.36</v>
      </c>
      <c r="J518" s="18" t="n">
        <v>-19.5</v>
      </c>
      <c r="K518" s="19" t="n">
        <v>10</v>
      </c>
      <c r="L518" s="17" t="s">
        <v>22</v>
      </c>
    </row>
    <row r="519" s="11" customFormat="true" ht="10.95" hidden="false" customHeight="true" outlineLevel="0" collapsed="false">
      <c r="A519" s="16" t="n">
        <v>45253</v>
      </c>
      <c r="B519" s="17" t="s">
        <v>17</v>
      </c>
      <c r="C519" s="17" t="s">
        <v>18</v>
      </c>
      <c r="D519" s="17" t="s">
        <v>19</v>
      </c>
      <c r="E519" s="17" t="s">
        <v>34</v>
      </c>
      <c r="F519" s="17" t="s">
        <v>344</v>
      </c>
      <c r="G519" s="18" t="n">
        <v>0</v>
      </c>
      <c r="H519" s="18" t="n">
        <v>30</v>
      </c>
      <c r="I519" s="18" t="n">
        <f aca="false">((I518 + G519) - H519)</f>
        <v>-277617.36</v>
      </c>
      <c r="J519" s="18" t="n">
        <v>-3</v>
      </c>
      <c r="K519" s="19" t="n">
        <v>10</v>
      </c>
      <c r="L519" s="17" t="s">
        <v>22</v>
      </c>
    </row>
    <row r="520" s="11" customFormat="true" ht="21.3" hidden="false" customHeight="true" outlineLevel="0" collapsed="false">
      <c r="A520" s="16" t="n">
        <v>45253</v>
      </c>
      <c r="B520" s="17" t="s">
        <v>17</v>
      </c>
      <c r="C520" s="17" t="s">
        <v>18</v>
      </c>
      <c r="D520" s="17" t="s">
        <v>19</v>
      </c>
      <c r="E520" s="20" t="s">
        <v>35</v>
      </c>
      <c r="F520" s="17" t="s">
        <v>344</v>
      </c>
      <c r="G520" s="18" t="n">
        <v>0</v>
      </c>
      <c r="H520" s="18" t="n">
        <v>100</v>
      </c>
      <c r="I520" s="18" t="n">
        <f aca="false">((I519 + G520) - H520)</f>
        <v>-277717.36</v>
      </c>
      <c r="J520" s="18" t="n">
        <v>-10</v>
      </c>
      <c r="K520" s="19" t="n">
        <v>10</v>
      </c>
      <c r="L520" s="17" t="s">
        <v>22</v>
      </c>
    </row>
    <row r="521" s="11" customFormat="true" ht="10.95" hidden="false" customHeight="true" outlineLevel="0" collapsed="false">
      <c r="A521" s="16" t="n">
        <v>45253</v>
      </c>
      <c r="B521" s="17" t="s">
        <v>17</v>
      </c>
      <c r="C521" s="17" t="s">
        <v>18</v>
      </c>
      <c r="D521" s="17" t="s">
        <v>19</v>
      </c>
      <c r="E521" s="17" t="s">
        <v>36</v>
      </c>
      <c r="F521" s="17" t="s">
        <v>345</v>
      </c>
      <c r="G521" s="18" t="n">
        <v>0</v>
      </c>
      <c r="H521" s="18" t="n">
        <v>720</v>
      </c>
      <c r="I521" s="18" t="n">
        <f aca="false">((I520 + G521) - H521)</f>
        <v>-278437.36</v>
      </c>
      <c r="J521" s="18" t="n">
        <v>-72</v>
      </c>
      <c r="K521" s="19" t="n">
        <v>10</v>
      </c>
      <c r="L521" s="17" t="s">
        <v>22</v>
      </c>
    </row>
    <row r="522" s="11" customFormat="true" ht="10.95" hidden="false" customHeight="true" outlineLevel="0" collapsed="false">
      <c r="A522" s="16" t="n">
        <v>45253</v>
      </c>
      <c r="B522" s="17" t="s">
        <v>17</v>
      </c>
      <c r="C522" s="17" t="s">
        <v>18</v>
      </c>
      <c r="D522" s="17" t="s">
        <v>19</v>
      </c>
      <c r="E522" s="17" t="s">
        <v>38</v>
      </c>
      <c r="F522" s="17" t="s">
        <v>345</v>
      </c>
      <c r="G522" s="18" t="n">
        <v>0</v>
      </c>
      <c r="H522" s="18" t="n">
        <v>110</v>
      </c>
      <c r="I522" s="18" t="n">
        <f aca="false">((I521 + G522) - H522)</f>
        <v>-278547.36</v>
      </c>
      <c r="J522" s="18" t="n">
        <v>-11</v>
      </c>
      <c r="K522" s="19" t="n">
        <v>10</v>
      </c>
      <c r="L522" s="17" t="s">
        <v>22</v>
      </c>
    </row>
    <row r="523" s="11" customFormat="true" ht="10.95" hidden="false" customHeight="true" outlineLevel="0" collapsed="false">
      <c r="A523" s="16" t="n">
        <v>45253</v>
      </c>
      <c r="B523" s="17" t="s">
        <v>17</v>
      </c>
      <c r="C523" s="17" t="s">
        <v>18</v>
      </c>
      <c r="D523" s="17" t="s">
        <v>19</v>
      </c>
      <c r="E523" s="17" t="s">
        <v>39</v>
      </c>
      <c r="F523" s="17" t="s">
        <v>345</v>
      </c>
      <c r="G523" s="18" t="n">
        <v>0</v>
      </c>
      <c r="H523" s="18" t="n">
        <v>165</v>
      </c>
      <c r="I523" s="18" t="n">
        <f aca="false">((I522 + G523) - H523)</f>
        <v>-278712.36</v>
      </c>
      <c r="J523" s="18" t="n">
        <v>-16.5</v>
      </c>
      <c r="K523" s="19" t="n">
        <v>10</v>
      </c>
      <c r="L523" s="17" t="s">
        <v>22</v>
      </c>
    </row>
    <row r="524" s="11" customFormat="true" ht="10.95" hidden="false" customHeight="true" outlineLevel="0" collapsed="false">
      <c r="A524" s="16" t="n">
        <v>45253</v>
      </c>
      <c r="B524" s="17" t="s">
        <v>17</v>
      </c>
      <c r="C524" s="17" t="s">
        <v>18</v>
      </c>
      <c r="D524" s="17" t="s">
        <v>19</v>
      </c>
      <c r="E524" s="17" t="s">
        <v>47</v>
      </c>
      <c r="F524" s="17" t="s">
        <v>346</v>
      </c>
      <c r="G524" s="18" t="n">
        <v>0</v>
      </c>
      <c r="H524" s="18" t="n">
        <v>260</v>
      </c>
      <c r="I524" s="18" t="n">
        <f aca="false">((I523 + G524) - H524)</f>
        <v>-278972.36</v>
      </c>
      <c r="J524" s="18" t="n">
        <v>-26</v>
      </c>
      <c r="K524" s="19" t="n">
        <v>10</v>
      </c>
      <c r="L524" s="17" t="s">
        <v>22</v>
      </c>
    </row>
    <row r="525" s="11" customFormat="true" ht="10.95" hidden="false" customHeight="true" outlineLevel="0" collapsed="false">
      <c r="A525" s="16" t="n">
        <v>45253</v>
      </c>
      <c r="B525" s="17" t="s">
        <v>17</v>
      </c>
      <c r="C525" s="17" t="s">
        <v>18</v>
      </c>
      <c r="D525" s="17" t="s">
        <v>19</v>
      </c>
      <c r="E525" s="17" t="s">
        <v>49</v>
      </c>
      <c r="F525" s="17" t="s">
        <v>346</v>
      </c>
      <c r="G525" s="18" t="n">
        <v>0</v>
      </c>
      <c r="H525" s="18" t="n">
        <v>100</v>
      </c>
      <c r="I525" s="18" t="n">
        <f aca="false">((I524 + G525) - H525)</f>
        <v>-279072.36</v>
      </c>
      <c r="J525" s="18" t="n">
        <v>-10</v>
      </c>
      <c r="K525" s="19" t="n">
        <v>10</v>
      </c>
      <c r="L525" s="17" t="s">
        <v>22</v>
      </c>
    </row>
    <row r="526" s="11" customFormat="true" ht="10.95" hidden="false" customHeight="true" outlineLevel="0" collapsed="false">
      <c r="A526" s="16" t="n">
        <v>45253</v>
      </c>
      <c r="B526" s="17" t="s">
        <v>17</v>
      </c>
      <c r="C526" s="17" t="s">
        <v>18</v>
      </c>
      <c r="D526" s="17" t="s">
        <v>19</v>
      </c>
      <c r="E526" s="17" t="s">
        <v>347</v>
      </c>
      <c r="F526" s="17" t="s">
        <v>348</v>
      </c>
      <c r="G526" s="18" t="n">
        <v>0</v>
      </c>
      <c r="H526" s="18" t="n">
        <v>10.45</v>
      </c>
      <c r="I526" s="18" t="n">
        <f aca="false">((I525 + G526) - H526)</f>
        <v>-279082.81</v>
      </c>
      <c r="J526" s="18" t="n">
        <v>-1.05</v>
      </c>
      <c r="K526" s="19" t="n">
        <v>10</v>
      </c>
      <c r="L526" s="17" t="s">
        <v>22</v>
      </c>
    </row>
    <row r="527" s="11" customFormat="true" ht="10.95" hidden="false" customHeight="true" outlineLevel="0" collapsed="false">
      <c r="A527" s="16" t="n">
        <v>45253</v>
      </c>
      <c r="B527" s="17" t="s">
        <v>17</v>
      </c>
      <c r="C527" s="17" t="s">
        <v>18</v>
      </c>
      <c r="D527" s="17" t="s">
        <v>19</v>
      </c>
      <c r="E527" s="17" t="s">
        <v>347</v>
      </c>
      <c r="F527" s="17" t="s">
        <v>348</v>
      </c>
      <c r="G527" s="18" t="n">
        <v>0</v>
      </c>
      <c r="H527" s="18" t="n">
        <v>10.45</v>
      </c>
      <c r="I527" s="18" t="n">
        <f aca="false">((I526 + G527) - H527)</f>
        <v>-279093.26</v>
      </c>
      <c r="J527" s="18" t="n">
        <v>-1.05</v>
      </c>
      <c r="K527" s="19" t="n">
        <v>10</v>
      </c>
      <c r="L527" s="17" t="s">
        <v>22</v>
      </c>
    </row>
    <row r="528" s="11" customFormat="true" ht="10.95" hidden="false" customHeight="true" outlineLevel="0" collapsed="false">
      <c r="A528" s="16" t="n">
        <v>45253</v>
      </c>
      <c r="B528" s="17" t="s">
        <v>17</v>
      </c>
      <c r="C528" s="17" t="s">
        <v>18</v>
      </c>
      <c r="D528" s="17" t="s">
        <v>19</v>
      </c>
      <c r="E528" s="17" t="s">
        <v>347</v>
      </c>
      <c r="F528" s="17" t="s">
        <v>348</v>
      </c>
      <c r="G528" s="18" t="n">
        <v>0</v>
      </c>
      <c r="H528" s="18" t="n">
        <v>10.45</v>
      </c>
      <c r="I528" s="18" t="n">
        <f aca="false">((I527 + G528) - H528)</f>
        <v>-279103.71</v>
      </c>
      <c r="J528" s="18" t="n">
        <v>-1.05</v>
      </c>
      <c r="K528" s="19" t="n">
        <v>10</v>
      </c>
      <c r="L528" s="17" t="s">
        <v>22</v>
      </c>
    </row>
    <row r="529" s="11" customFormat="true" ht="10.95" hidden="false" customHeight="true" outlineLevel="0" collapsed="false">
      <c r="A529" s="16" t="n">
        <v>45253</v>
      </c>
      <c r="B529" s="17" t="s">
        <v>17</v>
      </c>
      <c r="C529" s="17" t="s">
        <v>18</v>
      </c>
      <c r="D529" s="17" t="s">
        <v>19</v>
      </c>
      <c r="E529" s="17" t="s">
        <v>50</v>
      </c>
      <c r="F529" s="17" t="s">
        <v>349</v>
      </c>
      <c r="G529" s="18" t="n">
        <v>0</v>
      </c>
      <c r="H529" s="18" t="n">
        <v>2040</v>
      </c>
      <c r="I529" s="18" t="n">
        <f aca="false">((I528 + G529) - H529)</f>
        <v>-281143.71</v>
      </c>
      <c r="J529" s="18" t="n">
        <v>-204</v>
      </c>
      <c r="K529" s="19" t="n">
        <v>10</v>
      </c>
      <c r="L529" s="17" t="s">
        <v>22</v>
      </c>
    </row>
    <row r="530" s="11" customFormat="true" ht="10.95" hidden="false" customHeight="true" outlineLevel="0" collapsed="false">
      <c r="A530" s="16" t="n">
        <v>45253</v>
      </c>
      <c r="B530" s="17" t="s">
        <v>17</v>
      </c>
      <c r="C530" s="17" t="s">
        <v>18</v>
      </c>
      <c r="D530" s="17" t="s">
        <v>19</v>
      </c>
      <c r="E530" s="17" t="s">
        <v>192</v>
      </c>
      <c r="F530" s="17" t="s">
        <v>350</v>
      </c>
      <c r="G530" s="18" t="n">
        <v>0</v>
      </c>
      <c r="H530" s="18" t="n">
        <v>170</v>
      </c>
      <c r="I530" s="18" t="n">
        <f aca="false">((I529 + G530) - H530)</f>
        <v>-281313.71</v>
      </c>
      <c r="J530" s="18" t="n">
        <v>-17</v>
      </c>
      <c r="K530" s="19" t="n">
        <v>10</v>
      </c>
      <c r="L530" s="17" t="s">
        <v>22</v>
      </c>
    </row>
    <row r="531" s="11" customFormat="true" ht="10.95" hidden="false" customHeight="true" outlineLevel="0" collapsed="false">
      <c r="A531" s="16" t="n">
        <v>45253</v>
      </c>
      <c r="B531" s="17" t="s">
        <v>17</v>
      </c>
      <c r="C531" s="17" t="s">
        <v>18</v>
      </c>
      <c r="D531" s="17" t="s">
        <v>19</v>
      </c>
      <c r="E531" s="17" t="s">
        <v>192</v>
      </c>
      <c r="F531" s="17" t="s">
        <v>350</v>
      </c>
      <c r="G531" s="18" t="n">
        <v>0</v>
      </c>
      <c r="H531" s="18" t="n">
        <v>170</v>
      </c>
      <c r="I531" s="18" t="n">
        <f aca="false">((I530 + G531) - H531)</f>
        <v>-281483.71</v>
      </c>
      <c r="J531" s="18" t="n">
        <v>-17</v>
      </c>
      <c r="K531" s="19" t="n">
        <v>10</v>
      </c>
      <c r="L531" s="17" t="s">
        <v>22</v>
      </c>
    </row>
    <row r="532" s="11" customFormat="true" ht="10.95" hidden="false" customHeight="true" outlineLevel="0" collapsed="false">
      <c r="A532" s="16" t="n">
        <v>45253</v>
      </c>
      <c r="B532" s="17" t="s">
        <v>17</v>
      </c>
      <c r="C532" s="17" t="s">
        <v>18</v>
      </c>
      <c r="D532" s="17" t="s">
        <v>19</v>
      </c>
      <c r="E532" s="17" t="s">
        <v>192</v>
      </c>
      <c r="F532" s="17" t="s">
        <v>350</v>
      </c>
      <c r="G532" s="18" t="n">
        <v>0</v>
      </c>
      <c r="H532" s="18" t="n">
        <v>170</v>
      </c>
      <c r="I532" s="18" t="n">
        <f aca="false">((I531 + G532) - H532)</f>
        <v>-281653.71</v>
      </c>
      <c r="J532" s="18" t="n">
        <v>-17</v>
      </c>
      <c r="K532" s="19" t="n">
        <v>10</v>
      </c>
      <c r="L532" s="17" t="s">
        <v>22</v>
      </c>
    </row>
    <row r="533" s="11" customFormat="true" ht="10.95" hidden="false" customHeight="true" outlineLevel="0" collapsed="false">
      <c r="A533" s="16" t="n">
        <v>45253</v>
      </c>
      <c r="B533" s="17" t="s">
        <v>17</v>
      </c>
      <c r="C533" s="17" t="s">
        <v>18</v>
      </c>
      <c r="D533" s="17" t="s">
        <v>19</v>
      </c>
      <c r="E533" s="17" t="s">
        <v>52</v>
      </c>
      <c r="F533" s="17" t="s">
        <v>351</v>
      </c>
      <c r="G533" s="18" t="n">
        <v>0</v>
      </c>
      <c r="H533" s="18" t="n">
        <v>1000.05</v>
      </c>
      <c r="I533" s="18" t="n">
        <f aca="false">((I532 + G533) - H533)</f>
        <v>-282653.76</v>
      </c>
      <c r="J533" s="18" t="n">
        <v>-100.01</v>
      </c>
      <c r="K533" s="19" t="n">
        <v>10</v>
      </c>
      <c r="L533" s="17" t="s">
        <v>22</v>
      </c>
    </row>
    <row r="534" s="11" customFormat="true" ht="10.95" hidden="false" customHeight="true" outlineLevel="0" collapsed="false">
      <c r="A534" s="16" t="n">
        <v>45253</v>
      </c>
      <c r="B534" s="17" t="s">
        <v>17</v>
      </c>
      <c r="C534" s="17" t="s">
        <v>18</v>
      </c>
      <c r="D534" s="17" t="s">
        <v>19</v>
      </c>
      <c r="E534" s="17" t="s">
        <v>54</v>
      </c>
      <c r="F534" s="17" t="s">
        <v>352</v>
      </c>
      <c r="G534" s="18" t="n">
        <v>0</v>
      </c>
      <c r="H534" s="18" t="n">
        <v>550</v>
      </c>
      <c r="I534" s="18" t="n">
        <f aca="false">((I533 + G534) - H534)</f>
        <v>-283203.76</v>
      </c>
      <c r="J534" s="18" t="n">
        <v>-55</v>
      </c>
      <c r="K534" s="19" t="n">
        <v>10</v>
      </c>
      <c r="L534" s="17" t="s">
        <v>22</v>
      </c>
    </row>
    <row r="535" s="11" customFormat="true" ht="31.65" hidden="false" customHeight="true" outlineLevel="0" collapsed="false">
      <c r="A535" s="16" t="n">
        <v>45253</v>
      </c>
      <c r="B535" s="17" t="s">
        <v>17</v>
      </c>
      <c r="C535" s="17" t="s">
        <v>18</v>
      </c>
      <c r="D535" s="17" t="s">
        <v>19</v>
      </c>
      <c r="E535" s="20" t="s">
        <v>56</v>
      </c>
      <c r="F535" s="17" t="s">
        <v>352</v>
      </c>
      <c r="G535" s="18" t="n">
        <v>0</v>
      </c>
      <c r="H535" s="18" t="n">
        <v>110</v>
      </c>
      <c r="I535" s="18" t="n">
        <f aca="false">((I534 + G535) - H535)</f>
        <v>-283313.76</v>
      </c>
      <c r="J535" s="18" t="n">
        <v>-11</v>
      </c>
      <c r="K535" s="19" t="n">
        <v>10</v>
      </c>
      <c r="L535" s="17" t="s">
        <v>22</v>
      </c>
    </row>
    <row r="536" s="11" customFormat="true" ht="10.95" hidden="false" customHeight="true" outlineLevel="0" collapsed="false">
      <c r="A536" s="16" t="n">
        <v>45253</v>
      </c>
      <c r="B536" s="17" t="s">
        <v>17</v>
      </c>
      <c r="C536" s="17" t="s">
        <v>18</v>
      </c>
      <c r="D536" s="17" t="s">
        <v>19</v>
      </c>
      <c r="E536" s="17" t="s">
        <v>57</v>
      </c>
      <c r="F536" s="17" t="s">
        <v>352</v>
      </c>
      <c r="G536" s="18" t="n">
        <v>0</v>
      </c>
      <c r="H536" s="18" t="n">
        <v>132</v>
      </c>
      <c r="I536" s="18" t="n">
        <f aca="false">((I535 + G536) - H536)</f>
        <v>-283445.76</v>
      </c>
      <c r="J536" s="18" t="n">
        <v>-13.2</v>
      </c>
      <c r="K536" s="19" t="n">
        <v>10</v>
      </c>
      <c r="L536" s="17" t="s">
        <v>22</v>
      </c>
    </row>
    <row r="537" s="11" customFormat="true" ht="10.95" hidden="false" customHeight="true" outlineLevel="0" collapsed="false">
      <c r="A537" s="16" t="n">
        <v>45253</v>
      </c>
      <c r="B537" s="17" t="s">
        <v>17</v>
      </c>
      <c r="C537" s="17" t="s">
        <v>18</v>
      </c>
      <c r="D537" s="17" t="s">
        <v>19</v>
      </c>
      <c r="E537" s="17" t="s">
        <v>58</v>
      </c>
      <c r="F537" s="17" t="s">
        <v>352</v>
      </c>
      <c r="G537" s="18" t="n">
        <v>0</v>
      </c>
      <c r="H537" s="18" t="n">
        <v>165</v>
      </c>
      <c r="I537" s="18" t="n">
        <f aca="false">((I536 + G537) - H537)</f>
        <v>-283610.76</v>
      </c>
      <c r="J537" s="18" t="n">
        <v>-16.5</v>
      </c>
      <c r="K537" s="19" t="n">
        <v>10</v>
      </c>
      <c r="L537" s="17" t="s">
        <v>22</v>
      </c>
    </row>
    <row r="538" s="11" customFormat="true" ht="10.95" hidden="false" customHeight="true" outlineLevel="0" collapsed="false">
      <c r="A538" s="16" t="n">
        <v>45253</v>
      </c>
      <c r="B538" s="17" t="s">
        <v>17</v>
      </c>
      <c r="C538" s="17" t="s">
        <v>18</v>
      </c>
      <c r="D538" s="17" t="s">
        <v>19</v>
      </c>
      <c r="E538" s="17" t="s">
        <v>64</v>
      </c>
      <c r="F538" s="17" t="s">
        <v>353</v>
      </c>
      <c r="G538" s="18" t="n">
        <v>0</v>
      </c>
      <c r="H538" s="18" t="n">
        <v>3850</v>
      </c>
      <c r="I538" s="18" t="n">
        <f aca="false">((I537 + G538) - H538)</f>
        <v>-287460.76</v>
      </c>
      <c r="J538" s="18" t="n">
        <v>-385</v>
      </c>
      <c r="K538" s="19" t="n">
        <v>10</v>
      </c>
      <c r="L538" s="17" t="s">
        <v>22</v>
      </c>
    </row>
    <row r="539" s="11" customFormat="true" ht="10.95" hidden="false" customHeight="true" outlineLevel="0" collapsed="false">
      <c r="A539" s="16" t="n">
        <v>45253</v>
      </c>
      <c r="B539" s="17" t="s">
        <v>17</v>
      </c>
      <c r="C539" s="17" t="s">
        <v>18</v>
      </c>
      <c r="D539" s="17" t="s">
        <v>19</v>
      </c>
      <c r="E539" s="17" t="s">
        <v>66</v>
      </c>
      <c r="F539" s="17" t="s">
        <v>353</v>
      </c>
      <c r="G539" s="18" t="n">
        <v>0</v>
      </c>
      <c r="H539" s="18" t="n">
        <v>220</v>
      </c>
      <c r="I539" s="18" t="n">
        <f aca="false">((I538 + G539) - H539)</f>
        <v>-287680.76</v>
      </c>
      <c r="J539" s="18" t="n">
        <v>-22</v>
      </c>
      <c r="K539" s="19" t="n">
        <v>10</v>
      </c>
      <c r="L539" s="17" t="s">
        <v>22</v>
      </c>
    </row>
    <row r="540" s="11" customFormat="true" ht="10.95" hidden="false" customHeight="true" outlineLevel="0" collapsed="false">
      <c r="A540" s="16" t="n">
        <v>45253</v>
      </c>
      <c r="B540" s="17" t="s">
        <v>17</v>
      </c>
      <c r="C540" s="17" t="s">
        <v>18</v>
      </c>
      <c r="D540" s="17" t="s">
        <v>19</v>
      </c>
      <c r="E540" s="17" t="s">
        <v>67</v>
      </c>
      <c r="F540" s="17" t="s">
        <v>353</v>
      </c>
      <c r="G540" s="18" t="n">
        <v>0</v>
      </c>
      <c r="H540" s="18" t="n">
        <v>220</v>
      </c>
      <c r="I540" s="18" t="n">
        <f aca="false">((I539 + G540) - H540)</f>
        <v>-287900.76</v>
      </c>
      <c r="J540" s="18" t="n">
        <v>-22</v>
      </c>
      <c r="K540" s="19" t="n">
        <v>10</v>
      </c>
      <c r="L540" s="17" t="s">
        <v>22</v>
      </c>
    </row>
    <row r="541" s="11" customFormat="true" ht="10.95" hidden="false" customHeight="true" outlineLevel="0" collapsed="false">
      <c r="A541" s="16" t="n">
        <v>45253</v>
      </c>
      <c r="B541" s="17" t="s">
        <v>17</v>
      </c>
      <c r="C541" s="17" t="s">
        <v>18</v>
      </c>
      <c r="D541" s="17" t="s">
        <v>19</v>
      </c>
      <c r="E541" s="17" t="s">
        <v>68</v>
      </c>
      <c r="F541" s="17" t="s">
        <v>353</v>
      </c>
      <c r="G541" s="18" t="n">
        <v>0</v>
      </c>
      <c r="H541" s="18" t="n">
        <v>250</v>
      </c>
      <c r="I541" s="18" t="n">
        <f aca="false">((I540 + G541) - H541)</f>
        <v>-288150.76</v>
      </c>
      <c r="J541" s="18" t="n">
        <v>-25</v>
      </c>
      <c r="K541" s="19" t="n">
        <v>10</v>
      </c>
      <c r="L541" s="17" t="s">
        <v>22</v>
      </c>
    </row>
    <row r="542" s="11" customFormat="true" ht="10.95" hidden="false" customHeight="true" outlineLevel="0" collapsed="false">
      <c r="A542" s="16" t="n">
        <v>45253</v>
      </c>
      <c r="B542" s="17" t="s">
        <v>17</v>
      </c>
      <c r="C542" s="17" t="s">
        <v>18</v>
      </c>
      <c r="D542" s="17" t="s">
        <v>19</v>
      </c>
      <c r="E542" s="17" t="s">
        <v>64</v>
      </c>
      <c r="F542" s="17" t="s">
        <v>353</v>
      </c>
      <c r="G542" s="18" t="n">
        <v>0</v>
      </c>
      <c r="H542" s="18" t="n">
        <v>220</v>
      </c>
      <c r="I542" s="18" t="n">
        <f aca="false">((I541 + G542) - H542)</f>
        <v>-288370.76</v>
      </c>
      <c r="J542" s="18" t="n">
        <v>-22</v>
      </c>
      <c r="K542" s="19" t="n">
        <v>10</v>
      </c>
      <c r="L542" s="17" t="s">
        <v>22</v>
      </c>
    </row>
    <row r="543" s="11" customFormat="true" ht="10.95" hidden="false" customHeight="true" outlineLevel="0" collapsed="false">
      <c r="A543" s="16" t="n">
        <v>45253</v>
      </c>
      <c r="B543" s="17" t="s">
        <v>17</v>
      </c>
      <c r="C543" s="17" t="s">
        <v>18</v>
      </c>
      <c r="D543" s="17" t="s">
        <v>19</v>
      </c>
      <c r="E543" s="17" t="s">
        <v>69</v>
      </c>
      <c r="F543" s="17" t="s">
        <v>354</v>
      </c>
      <c r="G543" s="18" t="n">
        <v>0</v>
      </c>
      <c r="H543" s="18" t="n">
        <v>880</v>
      </c>
      <c r="I543" s="18" t="n">
        <f aca="false">((I542 + G543) - H543)</f>
        <v>-289250.76</v>
      </c>
      <c r="J543" s="18" t="n">
        <v>-88</v>
      </c>
      <c r="K543" s="19" t="n">
        <v>10</v>
      </c>
      <c r="L543" s="17" t="s">
        <v>22</v>
      </c>
    </row>
    <row r="544" s="11" customFormat="true" ht="10.95" hidden="false" customHeight="true" outlineLevel="0" collapsed="false">
      <c r="A544" s="16" t="n">
        <v>45253</v>
      </c>
      <c r="B544" s="17" t="s">
        <v>17</v>
      </c>
      <c r="C544" s="17" t="s">
        <v>18</v>
      </c>
      <c r="D544" s="17" t="s">
        <v>19</v>
      </c>
      <c r="E544" s="17" t="s">
        <v>201</v>
      </c>
      <c r="F544" s="17" t="s">
        <v>355</v>
      </c>
      <c r="G544" s="18" t="n">
        <v>0</v>
      </c>
      <c r="H544" s="18" t="n">
        <v>864</v>
      </c>
      <c r="I544" s="18" t="n">
        <f aca="false">((I543 + G544) - H544)</f>
        <v>-290114.76</v>
      </c>
      <c r="J544" s="18" t="n">
        <v>-86.4</v>
      </c>
      <c r="K544" s="19" t="n">
        <v>10</v>
      </c>
      <c r="L544" s="17" t="s">
        <v>22</v>
      </c>
    </row>
    <row r="545" s="11" customFormat="true" ht="10.95" hidden="false" customHeight="true" outlineLevel="0" collapsed="false">
      <c r="A545" s="16" t="n">
        <v>45253</v>
      </c>
      <c r="B545" s="17" t="s">
        <v>17</v>
      </c>
      <c r="C545" s="17" t="s">
        <v>18</v>
      </c>
      <c r="D545" s="17" t="s">
        <v>19</v>
      </c>
      <c r="E545" s="17" t="s">
        <v>203</v>
      </c>
      <c r="F545" s="17" t="s">
        <v>355</v>
      </c>
      <c r="G545" s="18" t="n">
        <v>0</v>
      </c>
      <c r="H545" s="18" t="n">
        <v>110</v>
      </c>
      <c r="I545" s="18" t="n">
        <f aca="false">((I544 + G545) - H545)</f>
        <v>-290224.76</v>
      </c>
      <c r="J545" s="18" t="n">
        <v>-11</v>
      </c>
      <c r="K545" s="19" t="n">
        <v>10</v>
      </c>
      <c r="L545" s="17" t="s">
        <v>22</v>
      </c>
    </row>
    <row r="546" s="11" customFormat="true" ht="10.95" hidden="false" customHeight="true" outlineLevel="0" collapsed="false">
      <c r="A546" s="16" t="n">
        <v>45253</v>
      </c>
      <c r="B546" s="17" t="s">
        <v>17</v>
      </c>
      <c r="C546" s="17" t="s">
        <v>18</v>
      </c>
      <c r="D546" s="17" t="s">
        <v>19</v>
      </c>
      <c r="E546" s="17" t="s">
        <v>74</v>
      </c>
      <c r="F546" s="17" t="s">
        <v>356</v>
      </c>
      <c r="G546" s="18" t="n">
        <v>0</v>
      </c>
      <c r="H546" s="18" t="n">
        <v>1692</v>
      </c>
      <c r="I546" s="18" t="n">
        <f aca="false">((I545 + G546) - H546)</f>
        <v>-291916.76</v>
      </c>
      <c r="J546" s="18" t="n">
        <v>-169.2</v>
      </c>
      <c r="K546" s="19" t="n">
        <v>10</v>
      </c>
      <c r="L546" s="17" t="s">
        <v>22</v>
      </c>
    </row>
    <row r="547" s="11" customFormat="true" ht="10.95" hidden="false" customHeight="true" outlineLevel="0" collapsed="false">
      <c r="A547" s="16" t="n">
        <v>45253</v>
      </c>
      <c r="B547" s="17" t="s">
        <v>17</v>
      </c>
      <c r="C547" s="17" t="s">
        <v>18</v>
      </c>
      <c r="D547" s="17" t="s">
        <v>19</v>
      </c>
      <c r="E547" s="17" t="s">
        <v>261</v>
      </c>
      <c r="F547" s="17" t="s">
        <v>357</v>
      </c>
      <c r="G547" s="18" t="n">
        <v>0</v>
      </c>
      <c r="H547" s="18" t="n">
        <v>522.5</v>
      </c>
      <c r="I547" s="18" t="n">
        <f aca="false">((I546 + G547) - H547)</f>
        <v>-292439.26</v>
      </c>
      <c r="J547" s="18" t="n">
        <v>-52.25</v>
      </c>
      <c r="K547" s="19" t="n">
        <v>10</v>
      </c>
      <c r="L547" s="17" t="s">
        <v>22</v>
      </c>
    </row>
    <row r="548" s="11" customFormat="true" ht="10.95" hidden="false" customHeight="true" outlineLevel="0" collapsed="false">
      <c r="A548" s="16" t="n">
        <v>45253</v>
      </c>
      <c r="B548" s="17" t="s">
        <v>17</v>
      </c>
      <c r="C548" s="17" t="s">
        <v>18</v>
      </c>
      <c r="D548" s="17" t="s">
        <v>19</v>
      </c>
      <c r="E548" s="17" t="s">
        <v>286</v>
      </c>
      <c r="F548" s="17" t="s">
        <v>357</v>
      </c>
      <c r="G548" s="18" t="n">
        <v>0</v>
      </c>
      <c r="H548" s="18" t="n">
        <v>38.5</v>
      </c>
      <c r="I548" s="18" t="n">
        <f aca="false">((I547 + G548) - H548)</f>
        <v>-292477.76</v>
      </c>
      <c r="J548" s="18" t="n">
        <v>0</v>
      </c>
      <c r="K548" s="19" t="n">
        <v>0</v>
      </c>
      <c r="L548" s="17" t="s">
        <v>88</v>
      </c>
    </row>
    <row r="549" s="11" customFormat="true" ht="10.95" hidden="false" customHeight="true" outlineLevel="0" collapsed="false">
      <c r="A549" s="16" t="n">
        <v>45253</v>
      </c>
      <c r="B549" s="17" t="s">
        <v>17</v>
      </c>
      <c r="C549" s="17" t="s">
        <v>18</v>
      </c>
      <c r="D549" s="17" t="s">
        <v>19</v>
      </c>
      <c r="E549" s="17" t="s">
        <v>288</v>
      </c>
      <c r="F549" s="17" t="s">
        <v>357</v>
      </c>
      <c r="G549" s="18" t="n">
        <v>0</v>
      </c>
      <c r="H549" s="18" t="n">
        <v>5</v>
      </c>
      <c r="I549" s="18" t="n">
        <f aca="false">((I548 + G549) - H549)</f>
        <v>-292482.76</v>
      </c>
      <c r="J549" s="18" t="n">
        <v>-0.5</v>
      </c>
      <c r="K549" s="19" t="n">
        <v>10</v>
      </c>
      <c r="L549" s="17" t="s">
        <v>22</v>
      </c>
    </row>
    <row r="550" s="11" customFormat="true" ht="10.95" hidden="false" customHeight="true" outlineLevel="0" collapsed="false">
      <c r="A550" s="16" t="n">
        <v>45253</v>
      </c>
      <c r="B550" s="17" t="s">
        <v>17</v>
      </c>
      <c r="C550" s="17" t="s">
        <v>18</v>
      </c>
      <c r="D550" s="17" t="s">
        <v>19</v>
      </c>
      <c r="E550" s="17" t="s">
        <v>76</v>
      </c>
      <c r="F550" s="17" t="s">
        <v>358</v>
      </c>
      <c r="G550" s="18" t="n">
        <v>0</v>
      </c>
      <c r="H550" s="18" t="n">
        <v>752</v>
      </c>
      <c r="I550" s="18" t="n">
        <f aca="false">((I549 + G550) - H550)</f>
        <v>-293234.76</v>
      </c>
      <c r="J550" s="18" t="n">
        <v>-75.2</v>
      </c>
      <c r="K550" s="19" t="n">
        <v>10</v>
      </c>
      <c r="L550" s="17" t="s">
        <v>22</v>
      </c>
    </row>
    <row r="551" s="11" customFormat="true" ht="10.95" hidden="false" customHeight="true" outlineLevel="0" collapsed="false">
      <c r="A551" s="16" t="n">
        <v>45253</v>
      </c>
      <c r="B551" s="17" t="s">
        <v>17</v>
      </c>
      <c r="C551" s="17" t="s">
        <v>18</v>
      </c>
      <c r="D551" s="17" t="s">
        <v>19</v>
      </c>
      <c r="E551" s="17" t="s">
        <v>78</v>
      </c>
      <c r="F551" s="17" t="s">
        <v>359</v>
      </c>
      <c r="G551" s="18" t="n">
        <v>0</v>
      </c>
      <c r="H551" s="18" t="n">
        <v>470</v>
      </c>
      <c r="I551" s="18" t="n">
        <f aca="false">((I550 + G551) - H551)</f>
        <v>-293704.76</v>
      </c>
      <c r="J551" s="18" t="n">
        <v>-47</v>
      </c>
      <c r="K551" s="19" t="n">
        <v>10</v>
      </c>
      <c r="L551" s="17" t="s">
        <v>22</v>
      </c>
    </row>
    <row r="552" s="11" customFormat="true" ht="10.95" hidden="false" customHeight="true" outlineLevel="0" collapsed="false">
      <c r="A552" s="16" t="n">
        <v>45253</v>
      </c>
      <c r="B552" s="17" t="s">
        <v>17</v>
      </c>
      <c r="C552" s="17" t="s">
        <v>18</v>
      </c>
      <c r="D552" s="17" t="s">
        <v>19</v>
      </c>
      <c r="E552" s="17" t="s">
        <v>80</v>
      </c>
      <c r="F552" s="17" t="s">
        <v>359</v>
      </c>
      <c r="G552" s="18" t="n">
        <v>0</v>
      </c>
      <c r="H552" s="18" t="n">
        <v>110</v>
      </c>
      <c r="I552" s="18" t="n">
        <f aca="false">((I551 + G552) - H552)</f>
        <v>-293814.76</v>
      </c>
      <c r="J552" s="18" t="n">
        <v>-11</v>
      </c>
      <c r="K552" s="19" t="n">
        <v>10</v>
      </c>
      <c r="L552" s="17" t="s">
        <v>22</v>
      </c>
    </row>
    <row r="553" s="11" customFormat="true" ht="10.95" hidden="false" customHeight="true" outlineLevel="0" collapsed="false">
      <c r="A553" s="16" t="n">
        <v>45253</v>
      </c>
      <c r="B553" s="17" t="s">
        <v>17</v>
      </c>
      <c r="C553" s="17" t="s">
        <v>18</v>
      </c>
      <c r="D553" s="17" t="s">
        <v>19</v>
      </c>
      <c r="E553" s="17" t="s">
        <v>78</v>
      </c>
      <c r="F553" s="17" t="s">
        <v>360</v>
      </c>
      <c r="G553" s="18" t="n">
        <v>0</v>
      </c>
      <c r="H553" s="18" t="n">
        <v>188</v>
      </c>
      <c r="I553" s="18" t="n">
        <f aca="false">((I552 + G553) - H553)</f>
        <v>-294002.76</v>
      </c>
      <c r="J553" s="18" t="n">
        <v>-18.8</v>
      </c>
      <c r="K553" s="19" t="n">
        <v>10</v>
      </c>
      <c r="L553" s="17" t="s">
        <v>22</v>
      </c>
    </row>
    <row r="554" s="11" customFormat="true" ht="10.95" hidden="false" customHeight="true" outlineLevel="0" collapsed="false">
      <c r="A554" s="16" t="n">
        <v>45253</v>
      </c>
      <c r="B554" s="17" t="s">
        <v>17</v>
      </c>
      <c r="C554" s="17" t="s">
        <v>18</v>
      </c>
      <c r="D554" s="17" t="s">
        <v>19</v>
      </c>
      <c r="E554" s="17" t="s">
        <v>76</v>
      </c>
      <c r="F554" s="17" t="s">
        <v>361</v>
      </c>
      <c r="G554" s="18" t="n">
        <v>0</v>
      </c>
      <c r="H554" s="18" t="n">
        <v>470</v>
      </c>
      <c r="I554" s="18" t="n">
        <f aca="false">((I553 + G554) - H554)</f>
        <v>-294472.76</v>
      </c>
      <c r="J554" s="18" t="n">
        <v>-47</v>
      </c>
      <c r="K554" s="19" t="n">
        <v>10</v>
      </c>
      <c r="L554" s="17" t="s">
        <v>22</v>
      </c>
    </row>
    <row r="555" s="11" customFormat="true" ht="10.95" hidden="false" customHeight="true" outlineLevel="0" collapsed="false">
      <c r="A555" s="16" t="n">
        <v>45253</v>
      </c>
      <c r="B555" s="17" t="s">
        <v>17</v>
      </c>
      <c r="C555" s="17" t="s">
        <v>18</v>
      </c>
      <c r="D555" s="17" t="s">
        <v>19</v>
      </c>
      <c r="E555" s="17" t="s">
        <v>78</v>
      </c>
      <c r="F555" s="17" t="s">
        <v>362</v>
      </c>
      <c r="G555" s="18" t="n">
        <v>0</v>
      </c>
      <c r="H555" s="18" t="n">
        <v>188</v>
      </c>
      <c r="I555" s="18" t="n">
        <f aca="false">((I554 + G555) - H555)</f>
        <v>-294660.76</v>
      </c>
      <c r="J555" s="18" t="n">
        <v>-18.8</v>
      </c>
      <c r="K555" s="19" t="n">
        <v>10</v>
      </c>
      <c r="L555" s="17" t="s">
        <v>22</v>
      </c>
    </row>
    <row r="556" s="11" customFormat="true" ht="10.95" hidden="false" customHeight="true" outlineLevel="0" collapsed="false">
      <c r="A556" s="16" t="n">
        <v>45253</v>
      </c>
      <c r="B556" s="17" t="s">
        <v>17</v>
      </c>
      <c r="C556" s="17" t="s">
        <v>18</v>
      </c>
      <c r="D556" s="17" t="s">
        <v>19</v>
      </c>
      <c r="E556" s="17" t="s">
        <v>87</v>
      </c>
      <c r="F556" s="17" t="s">
        <v>362</v>
      </c>
      <c r="G556" s="18" t="n">
        <v>0</v>
      </c>
      <c r="H556" s="18" t="n">
        <v>110</v>
      </c>
      <c r="I556" s="18" t="n">
        <f aca="false">((I555 + G556) - H556)</f>
        <v>-294770.76</v>
      </c>
      <c r="J556" s="18" t="n">
        <v>0</v>
      </c>
      <c r="K556" s="19" t="n">
        <v>0</v>
      </c>
      <c r="L556" s="17" t="s">
        <v>88</v>
      </c>
    </row>
    <row r="557" s="11" customFormat="true" ht="10.95" hidden="false" customHeight="true" outlineLevel="0" collapsed="false">
      <c r="A557" s="16" t="n">
        <v>45253</v>
      </c>
      <c r="B557" s="17" t="s">
        <v>17</v>
      </c>
      <c r="C557" s="17" t="s">
        <v>18</v>
      </c>
      <c r="D557" s="17" t="s">
        <v>19</v>
      </c>
      <c r="E557" s="17" t="s">
        <v>89</v>
      </c>
      <c r="F557" s="17" t="s">
        <v>363</v>
      </c>
      <c r="G557" s="18" t="n">
        <v>0</v>
      </c>
      <c r="H557" s="18" t="n">
        <v>470</v>
      </c>
      <c r="I557" s="18" t="n">
        <f aca="false">((I556 + G557) - H557)</f>
        <v>-295240.76</v>
      </c>
      <c r="J557" s="18" t="n">
        <v>-47</v>
      </c>
      <c r="K557" s="19" t="n">
        <v>10</v>
      </c>
      <c r="L557" s="17" t="s">
        <v>22</v>
      </c>
    </row>
    <row r="558" s="11" customFormat="true" ht="10.95" hidden="false" customHeight="true" outlineLevel="0" collapsed="false">
      <c r="A558" s="16" t="n">
        <v>45253</v>
      </c>
      <c r="B558" s="17" t="s">
        <v>17</v>
      </c>
      <c r="C558" s="17" t="s">
        <v>18</v>
      </c>
      <c r="D558" s="17" t="s">
        <v>19</v>
      </c>
      <c r="E558" s="17" t="s">
        <v>87</v>
      </c>
      <c r="F558" s="17" t="s">
        <v>363</v>
      </c>
      <c r="G558" s="18" t="n">
        <v>0</v>
      </c>
      <c r="H558" s="18" t="n">
        <v>110</v>
      </c>
      <c r="I558" s="18" t="n">
        <f aca="false">((I557 + G558) - H558)</f>
        <v>-295350.76</v>
      </c>
      <c r="J558" s="18" t="n">
        <v>0</v>
      </c>
      <c r="K558" s="19" t="n">
        <v>0</v>
      </c>
      <c r="L558" s="17" t="s">
        <v>88</v>
      </c>
    </row>
    <row r="559" s="11" customFormat="true" ht="10.95" hidden="false" customHeight="true" outlineLevel="0" collapsed="false">
      <c r="A559" s="16" t="n">
        <v>45253</v>
      </c>
      <c r="B559" s="17" t="s">
        <v>17</v>
      </c>
      <c r="C559" s="17" t="s">
        <v>18</v>
      </c>
      <c r="D559" s="17" t="s">
        <v>19</v>
      </c>
      <c r="E559" s="17" t="s">
        <v>95</v>
      </c>
      <c r="F559" s="17" t="s">
        <v>364</v>
      </c>
      <c r="G559" s="18" t="n">
        <v>0</v>
      </c>
      <c r="H559" s="18" t="n">
        <v>1034</v>
      </c>
      <c r="I559" s="18" t="n">
        <f aca="false">((I558 + G559) - H559)</f>
        <v>-296384.76</v>
      </c>
      <c r="J559" s="18" t="n">
        <v>-103.4</v>
      </c>
      <c r="K559" s="19" t="n">
        <v>10</v>
      </c>
      <c r="L559" s="17" t="s">
        <v>22</v>
      </c>
    </row>
    <row r="560" s="11" customFormat="true" ht="10.95" hidden="false" customHeight="true" outlineLevel="0" collapsed="false">
      <c r="A560" s="16" t="n">
        <v>45253</v>
      </c>
      <c r="B560" s="17" t="s">
        <v>17</v>
      </c>
      <c r="C560" s="17" t="s">
        <v>18</v>
      </c>
      <c r="D560" s="17" t="s">
        <v>19</v>
      </c>
      <c r="E560" s="17" t="s">
        <v>97</v>
      </c>
      <c r="F560" s="17" t="s">
        <v>364</v>
      </c>
      <c r="G560" s="18" t="n">
        <v>0</v>
      </c>
      <c r="H560" s="18" t="n">
        <v>110</v>
      </c>
      <c r="I560" s="18" t="n">
        <f aca="false">((I559 + G560) - H560)</f>
        <v>-296494.76</v>
      </c>
      <c r="J560" s="18" t="n">
        <v>-11</v>
      </c>
      <c r="K560" s="19" t="n">
        <v>10</v>
      </c>
      <c r="L560" s="17" t="s">
        <v>22</v>
      </c>
    </row>
    <row r="561" s="11" customFormat="true" ht="10.95" hidden="false" customHeight="true" outlineLevel="0" collapsed="false">
      <c r="A561" s="16" t="n">
        <v>45253</v>
      </c>
      <c r="B561" s="17" t="s">
        <v>17</v>
      </c>
      <c r="C561" s="17" t="s">
        <v>18</v>
      </c>
      <c r="D561" s="17" t="s">
        <v>19</v>
      </c>
      <c r="E561" s="17" t="s">
        <v>98</v>
      </c>
      <c r="F561" s="17" t="s">
        <v>365</v>
      </c>
      <c r="G561" s="18" t="n">
        <v>0</v>
      </c>
      <c r="H561" s="18" t="n">
        <v>282</v>
      </c>
      <c r="I561" s="18" t="n">
        <f aca="false">((I560 + G561) - H561)</f>
        <v>-296776.76</v>
      </c>
      <c r="J561" s="18" t="n">
        <v>-28.2</v>
      </c>
      <c r="K561" s="19" t="n">
        <v>10</v>
      </c>
      <c r="L561" s="17" t="s">
        <v>22</v>
      </c>
    </row>
    <row r="562" s="11" customFormat="true" ht="10.95" hidden="false" customHeight="true" outlineLevel="0" collapsed="false">
      <c r="A562" s="16" t="n">
        <v>45253</v>
      </c>
      <c r="B562" s="17" t="s">
        <v>17</v>
      </c>
      <c r="C562" s="17" t="s">
        <v>18</v>
      </c>
      <c r="D562" s="17" t="s">
        <v>19</v>
      </c>
      <c r="E562" s="17" t="s">
        <v>100</v>
      </c>
      <c r="F562" s="17" t="s">
        <v>366</v>
      </c>
      <c r="G562" s="18" t="n">
        <v>0</v>
      </c>
      <c r="H562" s="18" t="n">
        <v>282</v>
      </c>
      <c r="I562" s="18" t="n">
        <f aca="false">((I561 + G562) - H562)</f>
        <v>-297058.76</v>
      </c>
      <c r="J562" s="18" t="n">
        <v>-28.2</v>
      </c>
      <c r="K562" s="19" t="n">
        <v>10</v>
      </c>
      <c r="L562" s="17" t="s">
        <v>22</v>
      </c>
    </row>
    <row r="563" s="11" customFormat="true" ht="10.95" hidden="false" customHeight="true" outlineLevel="0" collapsed="false">
      <c r="A563" s="16" t="n">
        <v>45253</v>
      </c>
      <c r="B563" s="17" t="s">
        <v>17</v>
      </c>
      <c r="C563" s="17" t="s">
        <v>18</v>
      </c>
      <c r="D563" s="17" t="s">
        <v>19</v>
      </c>
      <c r="E563" s="17" t="s">
        <v>102</v>
      </c>
      <c r="F563" s="17" t="s">
        <v>367</v>
      </c>
      <c r="G563" s="18" t="n">
        <v>0</v>
      </c>
      <c r="H563" s="18" t="n">
        <v>564</v>
      </c>
      <c r="I563" s="18" t="n">
        <f aca="false">((I562 + G563) - H563)</f>
        <v>-297622.76</v>
      </c>
      <c r="J563" s="18" t="n">
        <v>-56.4</v>
      </c>
      <c r="K563" s="19" t="n">
        <v>10</v>
      </c>
      <c r="L563" s="17" t="s">
        <v>22</v>
      </c>
    </row>
    <row r="564" s="11" customFormat="true" ht="10.95" hidden="false" customHeight="true" outlineLevel="0" collapsed="false">
      <c r="A564" s="16" t="n">
        <v>45253</v>
      </c>
      <c r="B564" s="17" t="s">
        <v>17</v>
      </c>
      <c r="C564" s="17" t="s">
        <v>18</v>
      </c>
      <c r="D564" s="17" t="s">
        <v>19</v>
      </c>
      <c r="E564" s="17" t="s">
        <v>104</v>
      </c>
      <c r="F564" s="17" t="s">
        <v>368</v>
      </c>
      <c r="G564" s="18" t="n">
        <v>0</v>
      </c>
      <c r="H564" s="18" t="n">
        <v>1034</v>
      </c>
      <c r="I564" s="18" t="n">
        <f aca="false">((I563 + G564) - H564)</f>
        <v>-298656.76</v>
      </c>
      <c r="J564" s="18" t="n">
        <v>-103.4</v>
      </c>
      <c r="K564" s="19" t="n">
        <v>10</v>
      </c>
      <c r="L564" s="17" t="s">
        <v>22</v>
      </c>
    </row>
    <row r="565" s="11" customFormat="true" ht="10.95" hidden="false" customHeight="true" outlineLevel="0" collapsed="false">
      <c r="A565" s="16" t="n">
        <v>45253</v>
      </c>
      <c r="B565" s="17" t="s">
        <v>17</v>
      </c>
      <c r="C565" s="17" t="s">
        <v>18</v>
      </c>
      <c r="D565" s="17" t="s">
        <v>19</v>
      </c>
      <c r="E565" s="17" t="s">
        <v>106</v>
      </c>
      <c r="F565" s="17" t="s">
        <v>369</v>
      </c>
      <c r="G565" s="18" t="n">
        <v>0</v>
      </c>
      <c r="H565" s="18" t="n">
        <v>94</v>
      </c>
      <c r="I565" s="18" t="n">
        <f aca="false">((I564 + G565) - H565)</f>
        <v>-298750.76</v>
      </c>
      <c r="J565" s="18" t="n">
        <v>-9.4</v>
      </c>
      <c r="K565" s="19" t="n">
        <v>10</v>
      </c>
      <c r="L565" s="17" t="s">
        <v>22</v>
      </c>
    </row>
    <row r="566" s="11" customFormat="true" ht="10.95" hidden="false" customHeight="true" outlineLevel="0" collapsed="false">
      <c r="A566" s="16" t="n">
        <v>45253</v>
      </c>
      <c r="B566" s="17" t="s">
        <v>17</v>
      </c>
      <c r="C566" s="17" t="s">
        <v>18</v>
      </c>
      <c r="D566" s="17" t="s">
        <v>19</v>
      </c>
      <c r="E566" s="17" t="s">
        <v>108</v>
      </c>
      <c r="F566" s="17" t="s">
        <v>370</v>
      </c>
      <c r="G566" s="18" t="n">
        <v>0</v>
      </c>
      <c r="H566" s="18" t="n">
        <v>658</v>
      </c>
      <c r="I566" s="18" t="n">
        <f aca="false">((I565 + G566) - H566)</f>
        <v>-299408.76</v>
      </c>
      <c r="J566" s="18" t="n">
        <v>-65.8</v>
      </c>
      <c r="K566" s="19" t="n">
        <v>10</v>
      </c>
      <c r="L566" s="17" t="s">
        <v>22</v>
      </c>
    </row>
    <row r="567" s="11" customFormat="true" ht="10.95" hidden="false" customHeight="true" outlineLevel="0" collapsed="false">
      <c r="A567" s="16" t="n">
        <v>45253</v>
      </c>
      <c r="B567" s="17" t="s">
        <v>17</v>
      </c>
      <c r="C567" s="17" t="s">
        <v>18</v>
      </c>
      <c r="D567" s="17" t="s">
        <v>19</v>
      </c>
      <c r="E567" s="17" t="s">
        <v>116</v>
      </c>
      <c r="F567" s="17" t="s">
        <v>371</v>
      </c>
      <c r="G567" s="18" t="n">
        <v>0</v>
      </c>
      <c r="H567" s="18" t="n">
        <v>1162</v>
      </c>
      <c r="I567" s="18" t="n">
        <f aca="false">((I566 + G567) - H567)</f>
        <v>-300570.76</v>
      </c>
      <c r="J567" s="18" t="n">
        <v>-116.2</v>
      </c>
      <c r="K567" s="19" t="n">
        <v>10</v>
      </c>
      <c r="L567" s="17" t="s">
        <v>22</v>
      </c>
    </row>
    <row r="568" s="11" customFormat="true" ht="10.95" hidden="false" customHeight="true" outlineLevel="0" collapsed="false">
      <c r="A568" s="16" t="n">
        <v>45253</v>
      </c>
      <c r="B568" s="17" t="s">
        <v>17</v>
      </c>
      <c r="C568" s="17" t="s">
        <v>18</v>
      </c>
      <c r="D568" s="17" t="s">
        <v>19</v>
      </c>
      <c r="E568" s="17" t="s">
        <v>119</v>
      </c>
      <c r="F568" s="17" t="s">
        <v>372</v>
      </c>
      <c r="G568" s="18" t="n">
        <v>0</v>
      </c>
      <c r="H568" s="18" t="n">
        <v>332</v>
      </c>
      <c r="I568" s="18" t="n">
        <f aca="false">((I567 + G568) - H568)</f>
        <v>-300902.76</v>
      </c>
      <c r="J568" s="18" t="n">
        <v>-33.2</v>
      </c>
      <c r="K568" s="19" t="n">
        <v>10</v>
      </c>
      <c r="L568" s="17" t="s">
        <v>22</v>
      </c>
    </row>
    <row r="569" s="11" customFormat="true" ht="10.95" hidden="false" customHeight="true" outlineLevel="0" collapsed="false">
      <c r="A569" s="16" t="n">
        <v>45253</v>
      </c>
      <c r="B569" s="17" t="s">
        <v>17</v>
      </c>
      <c r="C569" s="17" t="s">
        <v>18</v>
      </c>
      <c r="D569" s="17" t="s">
        <v>19</v>
      </c>
      <c r="E569" s="17" t="s">
        <v>121</v>
      </c>
      <c r="F569" s="17" t="s">
        <v>372</v>
      </c>
      <c r="G569" s="18" t="n">
        <v>0</v>
      </c>
      <c r="H569" s="18" t="n">
        <v>1743</v>
      </c>
      <c r="I569" s="18" t="n">
        <f aca="false">((I568 + G569) - H569)</f>
        <v>-302645.76</v>
      </c>
      <c r="J569" s="18" t="n">
        <v>-174.3</v>
      </c>
      <c r="K569" s="19" t="n">
        <v>10</v>
      </c>
      <c r="L569" s="17" t="s">
        <v>22</v>
      </c>
    </row>
    <row r="570" s="11" customFormat="true" ht="10.95" hidden="false" customHeight="true" outlineLevel="0" collapsed="false">
      <c r="A570" s="16" t="n">
        <v>45253</v>
      </c>
      <c r="B570" s="17" t="s">
        <v>17</v>
      </c>
      <c r="C570" s="17" t="s">
        <v>18</v>
      </c>
      <c r="D570" s="17" t="s">
        <v>19</v>
      </c>
      <c r="E570" s="17" t="s">
        <v>122</v>
      </c>
      <c r="F570" s="17" t="s">
        <v>372</v>
      </c>
      <c r="G570" s="18" t="n">
        <v>0</v>
      </c>
      <c r="H570" s="18" t="n">
        <v>332</v>
      </c>
      <c r="I570" s="18" t="n">
        <f aca="false">((I569 + G570) - H570)</f>
        <v>-302977.76</v>
      </c>
      <c r="J570" s="18" t="n">
        <v>-33.2</v>
      </c>
      <c r="K570" s="19" t="n">
        <v>10</v>
      </c>
      <c r="L570" s="17" t="s">
        <v>22</v>
      </c>
    </row>
    <row r="571" s="11" customFormat="true" ht="10.95" hidden="false" customHeight="true" outlineLevel="0" collapsed="false">
      <c r="A571" s="16" t="n">
        <v>45253</v>
      </c>
      <c r="B571" s="17" t="s">
        <v>17</v>
      </c>
      <c r="C571" s="17" t="s">
        <v>18</v>
      </c>
      <c r="D571" s="17" t="s">
        <v>19</v>
      </c>
      <c r="E571" s="17" t="s">
        <v>123</v>
      </c>
      <c r="F571" s="17" t="s">
        <v>372</v>
      </c>
      <c r="G571" s="18" t="n">
        <v>0</v>
      </c>
      <c r="H571" s="18" t="n">
        <v>581</v>
      </c>
      <c r="I571" s="18" t="n">
        <f aca="false">((I570 + G571) - H571)</f>
        <v>-303558.76</v>
      </c>
      <c r="J571" s="18" t="n">
        <v>-58.1</v>
      </c>
      <c r="K571" s="19" t="n">
        <v>10</v>
      </c>
      <c r="L571" s="17" t="s">
        <v>22</v>
      </c>
    </row>
    <row r="572" s="11" customFormat="true" ht="10.95" hidden="false" customHeight="true" outlineLevel="0" collapsed="false">
      <c r="A572" s="16" t="n">
        <v>45253</v>
      </c>
      <c r="B572" s="17" t="s">
        <v>17</v>
      </c>
      <c r="C572" s="17" t="s">
        <v>18</v>
      </c>
      <c r="D572" s="17" t="s">
        <v>19</v>
      </c>
      <c r="E572" s="17" t="s">
        <v>124</v>
      </c>
      <c r="F572" s="17" t="s">
        <v>372</v>
      </c>
      <c r="G572" s="18" t="n">
        <v>0</v>
      </c>
      <c r="H572" s="18" t="n">
        <v>249</v>
      </c>
      <c r="I572" s="18" t="n">
        <f aca="false">((I571 + G572) - H572)</f>
        <v>-303807.76</v>
      </c>
      <c r="J572" s="18" t="n">
        <v>-24.9</v>
      </c>
      <c r="K572" s="19" t="n">
        <v>10</v>
      </c>
      <c r="L572" s="17" t="s">
        <v>22</v>
      </c>
    </row>
    <row r="573" s="11" customFormat="true" ht="10.95" hidden="false" customHeight="true" outlineLevel="0" collapsed="false">
      <c r="A573" s="16" t="n">
        <v>45253</v>
      </c>
      <c r="B573" s="17" t="s">
        <v>17</v>
      </c>
      <c r="C573" s="17" t="s">
        <v>18</v>
      </c>
      <c r="D573" s="17" t="s">
        <v>19</v>
      </c>
      <c r="E573" s="17" t="s">
        <v>125</v>
      </c>
      <c r="F573" s="17" t="s">
        <v>372</v>
      </c>
      <c r="G573" s="18" t="n">
        <v>0</v>
      </c>
      <c r="H573" s="18" t="n">
        <v>83</v>
      </c>
      <c r="I573" s="18" t="n">
        <f aca="false">((I572 + G573) - H573)</f>
        <v>-303890.76</v>
      </c>
      <c r="J573" s="18" t="n">
        <v>-8.3</v>
      </c>
      <c r="K573" s="19" t="n">
        <v>10</v>
      </c>
      <c r="L573" s="17" t="s">
        <v>22</v>
      </c>
    </row>
    <row r="574" s="11" customFormat="true" ht="10.95" hidden="false" customHeight="true" outlineLevel="0" collapsed="false">
      <c r="A574" s="16" t="n">
        <v>45253</v>
      </c>
      <c r="B574" s="17" t="s">
        <v>17</v>
      </c>
      <c r="C574" s="17" t="s">
        <v>18</v>
      </c>
      <c r="D574" s="17" t="s">
        <v>19</v>
      </c>
      <c r="E574" s="17" t="s">
        <v>126</v>
      </c>
      <c r="F574" s="17" t="s">
        <v>372</v>
      </c>
      <c r="G574" s="18" t="n">
        <v>0</v>
      </c>
      <c r="H574" s="18" t="n">
        <v>94.5</v>
      </c>
      <c r="I574" s="18" t="n">
        <f aca="false">((I573 + G574) - H574)</f>
        <v>-303985.26</v>
      </c>
      <c r="J574" s="18" t="n">
        <v>-9.45</v>
      </c>
      <c r="K574" s="19" t="n">
        <v>10</v>
      </c>
      <c r="L574" s="17" t="s">
        <v>22</v>
      </c>
    </row>
    <row r="575" s="11" customFormat="true" ht="10.95" hidden="false" customHeight="true" outlineLevel="0" collapsed="false">
      <c r="A575" s="16" t="n">
        <v>45253</v>
      </c>
      <c r="B575" s="17" t="s">
        <v>17</v>
      </c>
      <c r="C575" s="17" t="s">
        <v>18</v>
      </c>
      <c r="D575" s="17" t="s">
        <v>19</v>
      </c>
      <c r="E575" s="17" t="s">
        <v>127</v>
      </c>
      <c r="F575" s="17" t="s">
        <v>372</v>
      </c>
      <c r="G575" s="18" t="n">
        <v>0</v>
      </c>
      <c r="H575" s="18" t="n">
        <v>83</v>
      </c>
      <c r="I575" s="18" t="n">
        <f aca="false">((I574 + G575) - H575)</f>
        <v>-304068.26</v>
      </c>
      <c r="J575" s="18" t="n">
        <v>-8.3</v>
      </c>
      <c r="K575" s="19" t="n">
        <v>10</v>
      </c>
      <c r="L575" s="17" t="s">
        <v>22</v>
      </c>
    </row>
    <row r="576" s="11" customFormat="true" ht="10.95" hidden="false" customHeight="true" outlineLevel="0" collapsed="false">
      <c r="A576" s="16" t="n">
        <v>45253</v>
      </c>
      <c r="B576" s="17" t="s">
        <v>17</v>
      </c>
      <c r="C576" s="17" t="s">
        <v>18</v>
      </c>
      <c r="D576" s="17" t="s">
        <v>19</v>
      </c>
      <c r="E576" s="17" t="s">
        <v>128</v>
      </c>
      <c r="F576" s="17" t="s">
        <v>372</v>
      </c>
      <c r="G576" s="18" t="n">
        <v>0</v>
      </c>
      <c r="H576" s="18" t="n">
        <v>83</v>
      </c>
      <c r="I576" s="18" t="n">
        <f aca="false">((I575 + G576) - H576)</f>
        <v>-304151.26</v>
      </c>
      <c r="J576" s="18" t="n">
        <v>-8.3</v>
      </c>
      <c r="K576" s="19" t="n">
        <v>10</v>
      </c>
      <c r="L576" s="17" t="s">
        <v>22</v>
      </c>
    </row>
    <row r="577" s="11" customFormat="true" ht="10.95" hidden="false" customHeight="true" outlineLevel="0" collapsed="false">
      <c r="A577" s="16" t="n">
        <v>45253</v>
      </c>
      <c r="B577" s="17" t="s">
        <v>17</v>
      </c>
      <c r="C577" s="17" t="s">
        <v>18</v>
      </c>
      <c r="D577" s="17" t="s">
        <v>19</v>
      </c>
      <c r="E577" s="17" t="s">
        <v>129</v>
      </c>
      <c r="F577" s="17" t="s">
        <v>372</v>
      </c>
      <c r="G577" s="18" t="n">
        <v>0</v>
      </c>
      <c r="H577" s="18" t="n">
        <v>166</v>
      </c>
      <c r="I577" s="18" t="n">
        <f aca="false">((I576 + G577) - H577)</f>
        <v>-304317.26</v>
      </c>
      <c r="J577" s="18" t="n">
        <v>-16.6</v>
      </c>
      <c r="K577" s="19" t="n">
        <v>10</v>
      </c>
      <c r="L577" s="17" t="s">
        <v>22</v>
      </c>
    </row>
    <row r="578" s="11" customFormat="true" ht="10.95" hidden="false" customHeight="true" outlineLevel="0" collapsed="false">
      <c r="A578" s="16" t="n">
        <v>45253</v>
      </c>
      <c r="B578" s="17" t="s">
        <v>17</v>
      </c>
      <c r="C578" s="17" t="s">
        <v>18</v>
      </c>
      <c r="D578" s="17" t="s">
        <v>19</v>
      </c>
      <c r="E578" s="17" t="s">
        <v>130</v>
      </c>
      <c r="F578" s="17" t="s">
        <v>372</v>
      </c>
      <c r="G578" s="18" t="n">
        <v>0</v>
      </c>
      <c r="H578" s="18" t="n">
        <v>664</v>
      </c>
      <c r="I578" s="18" t="n">
        <f aca="false">((I577 + G578) - H578)</f>
        <v>-304981.26</v>
      </c>
      <c r="J578" s="18" t="n">
        <v>-66.4</v>
      </c>
      <c r="K578" s="19" t="n">
        <v>10</v>
      </c>
      <c r="L578" s="17" t="s">
        <v>22</v>
      </c>
    </row>
    <row r="579" s="11" customFormat="true" ht="10.95" hidden="false" customHeight="true" outlineLevel="0" collapsed="false">
      <c r="A579" s="16" t="n">
        <v>45253</v>
      </c>
      <c r="B579" s="17" t="s">
        <v>17</v>
      </c>
      <c r="C579" s="17" t="s">
        <v>18</v>
      </c>
      <c r="D579" s="17" t="s">
        <v>19</v>
      </c>
      <c r="E579" s="17" t="s">
        <v>131</v>
      </c>
      <c r="F579" s="17" t="s">
        <v>372</v>
      </c>
      <c r="G579" s="18" t="n">
        <v>0</v>
      </c>
      <c r="H579" s="18" t="n">
        <v>94.5</v>
      </c>
      <c r="I579" s="18" t="n">
        <f aca="false">((I578 + G579) - H579)</f>
        <v>-305075.76</v>
      </c>
      <c r="J579" s="18" t="n">
        <v>-9.45</v>
      </c>
      <c r="K579" s="19" t="n">
        <v>10</v>
      </c>
      <c r="L579" s="17" t="s">
        <v>22</v>
      </c>
    </row>
    <row r="580" s="11" customFormat="true" ht="10.95" hidden="false" customHeight="true" outlineLevel="0" collapsed="false">
      <c r="A580" s="16" t="n">
        <v>45253</v>
      </c>
      <c r="B580" s="17" t="s">
        <v>17</v>
      </c>
      <c r="C580" s="17" t="s">
        <v>18</v>
      </c>
      <c r="D580" s="17" t="s">
        <v>19</v>
      </c>
      <c r="E580" s="17" t="s">
        <v>132</v>
      </c>
      <c r="F580" s="17" t="s">
        <v>372</v>
      </c>
      <c r="G580" s="18" t="n">
        <v>0</v>
      </c>
      <c r="H580" s="18" t="n">
        <v>100</v>
      </c>
      <c r="I580" s="18" t="n">
        <f aca="false">((I579 + G580) - H580)</f>
        <v>-305175.76</v>
      </c>
      <c r="J580" s="18" t="n">
        <v>-10</v>
      </c>
      <c r="K580" s="19" t="n">
        <v>10</v>
      </c>
      <c r="L580" s="17" t="s">
        <v>22</v>
      </c>
    </row>
    <row r="581" s="11" customFormat="true" ht="10.95" hidden="false" customHeight="true" outlineLevel="0" collapsed="false">
      <c r="A581" s="16" t="n">
        <v>45253</v>
      </c>
      <c r="B581" s="17" t="s">
        <v>17</v>
      </c>
      <c r="C581" s="17" t="s">
        <v>18</v>
      </c>
      <c r="D581" s="17" t="s">
        <v>19</v>
      </c>
      <c r="E581" s="17" t="s">
        <v>133</v>
      </c>
      <c r="F581" s="17" t="s">
        <v>372</v>
      </c>
      <c r="G581" s="18" t="n">
        <v>0</v>
      </c>
      <c r="H581" s="18" t="n">
        <v>83</v>
      </c>
      <c r="I581" s="18" t="n">
        <f aca="false">((I580 + G581) - H581)</f>
        <v>-305258.76</v>
      </c>
      <c r="J581" s="18" t="n">
        <v>-8.3</v>
      </c>
      <c r="K581" s="19" t="n">
        <v>10</v>
      </c>
      <c r="L581" s="17" t="s">
        <v>22</v>
      </c>
    </row>
    <row r="582" s="11" customFormat="true" ht="10.95" hidden="false" customHeight="true" outlineLevel="0" collapsed="false">
      <c r="A582" s="16" t="n">
        <v>45253</v>
      </c>
      <c r="B582" s="17" t="s">
        <v>17</v>
      </c>
      <c r="C582" s="17" t="s">
        <v>18</v>
      </c>
      <c r="D582" s="17" t="s">
        <v>19</v>
      </c>
      <c r="E582" s="17" t="s">
        <v>134</v>
      </c>
      <c r="F582" s="17" t="s">
        <v>372</v>
      </c>
      <c r="G582" s="18" t="n">
        <v>0</v>
      </c>
      <c r="H582" s="18" t="n">
        <v>100</v>
      </c>
      <c r="I582" s="18" t="n">
        <f aca="false">((I581 + G582) - H582)</f>
        <v>-305358.76</v>
      </c>
      <c r="J582" s="18" t="n">
        <v>-10</v>
      </c>
      <c r="K582" s="19" t="n">
        <v>10</v>
      </c>
      <c r="L582" s="17" t="s">
        <v>22</v>
      </c>
    </row>
    <row r="583" s="11" customFormat="true" ht="10.95" hidden="false" customHeight="true" outlineLevel="0" collapsed="false">
      <c r="A583" s="16" t="n">
        <v>45253</v>
      </c>
      <c r="B583" s="17" t="s">
        <v>17</v>
      </c>
      <c r="C583" s="17" t="s">
        <v>18</v>
      </c>
      <c r="D583" s="17" t="s">
        <v>19</v>
      </c>
      <c r="E583" s="17" t="s">
        <v>136</v>
      </c>
      <c r="F583" s="17" t="s">
        <v>372</v>
      </c>
      <c r="G583" s="18" t="n">
        <v>0</v>
      </c>
      <c r="H583" s="18" t="n">
        <v>249</v>
      </c>
      <c r="I583" s="18" t="n">
        <f aca="false">((I582 + G583) - H583)</f>
        <v>-305607.76</v>
      </c>
      <c r="J583" s="18" t="n">
        <v>-24.9</v>
      </c>
      <c r="K583" s="19" t="n">
        <v>10</v>
      </c>
      <c r="L583" s="17" t="s">
        <v>22</v>
      </c>
    </row>
    <row r="584" s="11" customFormat="true" ht="10.95" hidden="false" customHeight="true" outlineLevel="0" collapsed="false">
      <c r="A584" s="16" t="n">
        <v>45253</v>
      </c>
      <c r="B584" s="17" t="s">
        <v>17</v>
      </c>
      <c r="C584" s="17" t="s">
        <v>18</v>
      </c>
      <c r="D584" s="17" t="s">
        <v>19</v>
      </c>
      <c r="E584" s="17" t="s">
        <v>137</v>
      </c>
      <c r="F584" s="17" t="s">
        <v>372</v>
      </c>
      <c r="G584" s="18" t="n">
        <v>0</v>
      </c>
      <c r="H584" s="18" t="n">
        <v>498</v>
      </c>
      <c r="I584" s="18" t="n">
        <f aca="false">((I583 + G584) - H584)</f>
        <v>-306105.76</v>
      </c>
      <c r="J584" s="18" t="n">
        <v>-49.8</v>
      </c>
      <c r="K584" s="19" t="n">
        <v>10</v>
      </c>
      <c r="L584" s="17" t="s">
        <v>22</v>
      </c>
    </row>
    <row r="585" s="11" customFormat="true" ht="10.95" hidden="false" customHeight="true" outlineLevel="0" collapsed="false">
      <c r="A585" s="16" t="n">
        <v>45253</v>
      </c>
      <c r="B585" s="17" t="s">
        <v>17</v>
      </c>
      <c r="C585" s="17" t="s">
        <v>18</v>
      </c>
      <c r="D585" s="17" t="s">
        <v>19</v>
      </c>
      <c r="E585" s="17" t="s">
        <v>138</v>
      </c>
      <c r="F585" s="17" t="s">
        <v>372</v>
      </c>
      <c r="G585" s="18" t="n">
        <v>0</v>
      </c>
      <c r="H585" s="18" t="n">
        <v>166</v>
      </c>
      <c r="I585" s="18" t="n">
        <f aca="false">((I584 + G585) - H585)</f>
        <v>-306271.76</v>
      </c>
      <c r="J585" s="18" t="n">
        <v>-16.6</v>
      </c>
      <c r="K585" s="19" t="n">
        <v>10</v>
      </c>
      <c r="L585" s="17" t="s">
        <v>22</v>
      </c>
    </row>
    <row r="586" s="11" customFormat="true" ht="10.95" hidden="false" customHeight="true" outlineLevel="0" collapsed="false">
      <c r="A586" s="16" t="n">
        <v>45253</v>
      </c>
      <c r="B586" s="17" t="s">
        <v>17</v>
      </c>
      <c r="C586" s="17" t="s">
        <v>18</v>
      </c>
      <c r="D586" s="17" t="s">
        <v>19</v>
      </c>
      <c r="E586" s="17" t="s">
        <v>139</v>
      </c>
      <c r="F586" s="17" t="s">
        <v>372</v>
      </c>
      <c r="G586" s="18" t="n">
        <v>0</v>
      </c>
      <c r="H586" s="18" t="n">
        <v>332</v>
      </c>
      <c r="I586" s="18" t="n">
        <f aca="false">((I585 + G586) - H586)</f>
        <v>-306603.76</v>
      </c>
      <c r="J586" s="18" t="n">
        <v>-33.2</v>
      </c>
      <c r="K586" s="19" t="n">
        <v>10</v>
      </c>
      <c r="L586" s="17" t="s">
        <v>22</v>
      </c>
    </row>
    <row r="587" s="11" customFormat="true" ht="10.95" hidden="false" customHeight="true" outlineLevel="0" collapsed="false">
      <c r="A587" s="16" t="n">
        <v>45253</v>
      </c>
      <c r="B587" s="17" t="s">
        <v>17</v>
      </c>
      <c r="C587" s="17" t="s">
        <v>18</v>
      </c>
      <c r="D587" s="17" t="s">
        <v>19</v>
      </c>
      <c r="E587" s="17" t="s">
        <v>140</v>
      </c>
      <c r="F587" s="17" t="s">
        <v>372</v>
      </c>
      <c r="G587" s="18" t="n">
        <v>0</v>
      </c>
      <c r="H587" s="18" t="n">
        <v>166</v>
      </c>
      <c r="I587" s="18" t="n">
        <f aca="false">((I586 + G587) - H587)</f>
        <v>-306769.76</v>
      </c>
      <c r="J587" s="18" t="n">
        <v>-16.6</v>
      </c>
      <c r="K587" s="19" t="n">
        <v>10</v>
      </c>
      <c r="L587" s="17" t="s">
        <v>22</v>
      </c>
    </row>
    <row r="588" s="11" customFormat="true" ht="10.95" hidden="false" customHeight="true" outlineLevel="0" collapsed="false">
      <c r="A588" s="16" t="n">
        <v>45253</v>
      </c>
      <c r="B588" s="17" t="s">
        <v>17</v>
      </c>
      <c r="C588" s="17" t="s">
        <v>18</v>
      </c>
      <c r="D588" s="17" t="s">
        <v>19</v>
      </c>
      <c r="E588" s="17" t="s">
        <v>141</v>
      </c>
      <c r="F588" s="17" t="s">
        <v>372</v>
      </c>
      <c r="G588" s="18" t="n">
        <v>0</v>
      </c>
      <c r="H588" s="18" t="n">
        <v>249</v>
      </c>
      <c r="I588" s="18" t="n">
        <f aca="false">((I587 + G588) - H588)</f>
        <v>-307018.76</v>
      </c>
      <c r="J588" s="18" t="n">
        <v>-24.9</v>
      </c>
      <c r="K588" s="19" t="n">
        <v>10</v>
      </c>
      <c r="L588" s="17" t="s">
        <v>22</v>
      </c>
    </row>
    <row r="589" s="11" customFormat="true" ht="10.95" hidden="false" customHeight="true" outlineLevel="0" collapsed="false">
      <c r="A589" s="16" t="n">
        <v>45253</v>
      </c>
      <c r="B589" s="17" t="s">
        <v>17</v>
      </c>
      <c r="C589" s="17" t="s">
        <v>18</v>
      </c>
      <c r="D589" s="17" t="s">
        <v>19</v>
      </c>
      <c r="E589" s="17" t="s">
        <v>142</v>
      </c>
      <c r="F589" s="17" t="s">
        <v>372</v>
      </c>
      <c r="G589" s="18" t="n">
        <v>0</v>
      </c>
      <c r="H589" s="18" t="n">
        <v>249</v>
      </c>
      <c r="I589" s="18" t="n">
        <f aca="false">((I588 + G589) - H589)</f>
        <v>-307267.76</v>
      </c>
      <c r="J589" s="18" t="n">
        <v>-24.9</v>
      </c>
      <c r="K589" s="19" t="n">
        <v>10</v>
      </c>
      <c r="L589" s="17" t="s">
        <v>22</v>
      </c>
    </row>
    <row r="590" s="11" customFormat="true" ht="10.95" hidden="false" customHeight="true" outlineLevel="0" collapsed="false">
      <c r="A590" s="16" t="n">
        <v>45253</v>
      </c>
      <c r="B590" s="17" t="s">
        <v>17</v>
      </c>
      <c r="C590" s="17" t="s">
        <v>18</v>
      </c>
      <c r="D590" s="17" t="s">
        <v>19</v>
      </c>
      <c r="E590" s="17" t="s">
        <v>143</v>
      </c>
      <c r="F590" s="17" t="s">
        <v>372</v>
      </c>
      <c r="G590" s="18" t="n">
        <v>0</v>
      </c>
      <c r="H590" s="18" t="n">
        <v>94.5</v>
      </c>
      <c r="I590" s="18" t="n">
        <f aca="false">((I589 + G590) - H590)</f>
        <v>-307362.26</v>
      </c>
      <c r="J590" s="18" t="n">
        <v>-9.45</v>
      </c>
      <c r="K590" s="19" t="n">
        <v>10</v>
      </c>
      <c r="L590" s="17" t="s">
        <v>22</v>
      </c>
    </row>
    <row r="591" s="11" customFormat="true" ht="10.95" hidden="false" customHeight="true" outlineLevel="0" collapsed="false">
      <c r="A591" s="16" t="n">
        <v>45253</v>
      </c>
      <c r="B591" s="17" t="s">
        <v>17</v>
      </c>
      <c r="C591" s="17" t="s">
        <v>18</v>
      </c>
      <c r="D591" s="17" t="s">
        <v>19</v>
      </c>
      <c r="E591" s="17" t="s">
        <v>144</v>
      </c>
      <c r="F591" s="17" t="s">
        <v>372</v>
      </c>
      <c r="G591" s="18" t="n">
        <v>0</v>
      </c>
      <c r="H591" s="18" t="n">
        <v>1660</v>
      </c>
      <c r="I591" s="18" t="n">
        <f aca="false">((I590 + G591) - H591)</f>
        <v>-309022.26</v>
      </c>
      <c r="J591" s="18" t="n">
        <v>-166</v>
      </c>
      <c r="K591" s="19" t="n">
        <v>10</v>
      </c>
      <c r="L591" s="17" t="s">
        <v>22</v>
      </c>
    </row>
    <row r="592" s="11" customFormat="true" ht="10.95" hidden="false" customHeight="true" outlineLevel="0" collapsed="false">
      <c r="A592" s="16" t="n">
        <v>45253</v>
      </c>
      <c r="B592" s="17" t="s">
        <v>17</v>
      </c>
      <c r="C592" s="17" t="s">
        <v>18</v>
      </c>
      <c r="D592" s="17" t="s">
        <v>19</v>
      </c>
      <c r="E592" s="17" t="s">
        <v>145</v>
      </c>
      <c r="F592" s="17" t="s">
        <v>372</v>
      </c>
      <c r="G592" s="18" t="n">
        <v>0</v>
      </c>
      <c r="H592" s="18" t="n">
        <v>166</v>
      </c>
      <c r="I592" s="18" t="n">
        <f aca="false">((I591 + G592) - H592)</f>
        <v>-309188.26</v>
      </c>
      <c r="J592" s="18" t="n">
        <v>-16.6</v>
      </c>
      <c r="K592" s="19" t="n">
        <v>10</v>
      </c>
      <c r="L592" s="17" t="s">
        <v>22</v>
      </c>
    </row>
    <row r="593" s="11" customFormat="true" ht="10.95" hidden="false" customHeight="true" outlineLevel="0" collapsed="false">
      <c r="A593" s="16" t="n">
        <v>45253</v>
      </c>
      <c r="B593" s="17" t="s">
        <v>17</v>
      </c>
      <c r="C593" s="17" t="s">
        <v>18</v>
      </c>
      <c r="D593" s="17" t="s">
        <v>19</v>
      </c>
      <c r="E593" s="17" t="s">
        <v>146</v>
      </c>
      <c r="F593" s="17" t="s">
        <v>372</v>
      </c>
      <c r="G593" s="18" t="n">
        <v>0</v>
      </c>
      <c r="H593" s="18" t="n">
        <v>30</v>
      </c>
      <c r="I593" s="18" t="n">
        <f aca="false">((I592 + G593) - H593)</f>
        <v>-309218.26</v>
      </c>
      <c r="J593" s="18" t="n">
        <v>-3</v>
      </c>
      <c r="K593" s="19" t="n">
        <v>10</v>
      </c>
      <c r="L593" s="17" t="s">
        <v>22</v>
      </c>
    </row>
    <row r="594" s="11" customFormat="true" ht="10.95" hidden="false" customHeight="true" outlineLevel="0" collapsed="false">
      <c r="A594" s="16" t="n">
        <v>45253</v>
      </c>
      <c r="B594" s="17" t="s">
        <v>17</v>
      </c>
      <c r="C594" s="17" t="s">
        <v>18</v>
      </c>
      <c r="D594" s="17" t="s">
        <v>19</v>
      </c>
      <c r="E594" s="17" t="s">
        <v>147</v>
      </c>
      <c r="F594" s="17" t="s">
        <v>372</v>
      </c>
      <c r="G594" s="18" t="n">
        <v>0</v>
      </c>
      <c r="H594" s="18" t="n">
        <v>83</v>
      </c>
      <c r="I594" s="18" t="n">
        <f aca="false">((I593 + G594) - H594)</f>
        <v>-309301.26</v>
      </c>
      <c r="J594" s="18" t="n">
        <v>-8.3</v>
      </c>
      <c r="K594" s="19" t="n">
        <v>10</v>
      </c>
      <c r="L594" s="17" t="s">
        <v>22</v>
      </c>
    </row>
    <row r="595" s="11" customFormat="true" ht="10.95" hidden="false" customHeight="true" outlineLevel="0" collapsed="false">
      <c r="A595" s="16" t="n">
        <v>45253</v>
      </c>
      <c r="B595" s="17" t="s">
        <v>17</v>
      </c>
      <c r="C595" s="17" t="s">
        <v>18</v>
      </c>
      <c r="D595" s="17" t="s">
        <v>19</v>
      </c>
      <c r="E595" s="17" t="s">
        <v>148</v>
      </c>
      <c r="F595" s="17" t="s">
        <v>372</v>
      </c>
      <c r="G595" s="18" t="n">
        <v>0</v>
      </c>
      <c r="H595" s="18" t="n">
        <v>1162</v>
      </c>
      <c r="I595" s="18" t="n">
        <f aca="false">((I594 + G595) - H595)</f>
        <v>-310463.26</v>
      </c>
      <c r="J595" s="18" t="n">
        <v>-116.2</v>
      </c>
      <c r="K595" s="19" t="n">
        <v>10</v>
      </c>
      <c r="L595" s="17" t="s">
        <v>22</v>
      </c>
    </row>
    <row r="596" s="11" customFormat="true" ht="10.95" hidden="false" customHeight="true" outlineLevel="0" collapsed="false">
      <c r="A596" s="16" t="n">
        <v>45253</v>
      </c>
      <c r="B596" s="17" t="s">
        <v>17</v>
      </c>
      <c r="C596" s="17" t="s">
        <v>18</v>
      </c>
      <c r="D596" s="17" t="s">
        <v>19</v>
      </c>
      <c r="E596" s="17" t="s">
        <v>149</v>
      </c>
      <c r="F596" s="17" t="s">
        <v>372</v>
      </c>
      <c r="G596" s="18" t="n">
        <v>0</v>
      </c>
      <c r="H596" s="18" t="n">
        <v>360</v>
      </c>
      <c r="I596" s="18" t="n">
        <f aca="false">((I595 + G596) - H596)</f>
        <v>-310823.26</v>
      </c>
      <c r="J596" s="18" t="n">
        <v>-36</v>
      </c>
      <c r="K596" s="19" t="n">
        <v>10</v>
      </c>
      <c r="L596" s="17" t="s">
        <v>22</v>
      </c>
    </row>
    <row r="597" s="11" customFormat="true" ht="10.95" hidden="false" customHeight="true" outlineLevel="0" collapsed="false">
      <c r="A597" s="16" t="n">
        <v>45253</v>
      </c>
      <c r="B597" s="17" t="s">
        <v>17</v>
      </c>
      <c r="C597" s="17" t="s">
        <v>18</v>
      </c>
      <c r="D597" s="17" t="s">
        <v>19</v>
      </c>
      <c r="E597" s="17" t="s">
        <v>150</v>
      </c>
      <c r="F597" s="17" t="s">
        <v>372</v>
      </c>
      <c r="G597" s="18" t="n">
        <v>0</v>
      </c>
      <c r="H597" s="18" t="n">
        <v>288</v>
      </c>
      <c r="I597" s="18" t="n">
        <f aca="false">((I596 + G597) - H597)</f>
        <v>-311111.26</v>
      </c>
      <c r="J597" s="18" t="n">
        <v>-28.8</v>
      </c>
      <c r="K597" s="19" t="n">
        <v>10</v>
      </c>
      <c r="L597" s="17" t="s">
        <v>22</v>
      </c>
    </row>
    <row r="598" s="11" customFormat="true" ht="10.95" hidden="false" customHeight="true" outlineLevel="0" collapsed="false">
      <c r="A598" s="16" t="n">
        <v>45253</v>
      </c>
      <c r="B598" s="17" t="s">
        <v>17</v>
      </c>
      <c r="C598" s="17" t="s">
        <v>18</v>
      </c>
      <c r="D598" s="17" t="s">
        <v>19</v>
      </c>
      <c r="E598" s="17" t="s">
        <v>151</v>
      </c>
      <c r="F598" s="17" t="s">
        <v>372</v>
      </c>
      <c r="G598" s="18" t="n">
        <v>0</v>
      </c>
      <c r="H598" s="18" t="n">
        <v>100</v>
      </c>
      <c r="I598" s="18" t="n">
        <f aca="false">((I597 + G598) - H598)</f>
        <v>-311211.26</v>
      </c>
      <c r="J598" s="18" t="n">
        <v>-10</v>
      </c>
      <c r="K598" s="19" t="n">
        <v>10</v>
      </c>
      <c r="L598" s="17" t="s">
        <v>22</v>
      </c>
    </row>
    <row r="599" s="11" customFormat="true" ht="10.95" hidden="false" customHeight="true" outlineLevel="0" collapsed="false">
      <c r="A599" s="16" t="n">
        <v>45253</v>
      </c>
      <c r="B599" s="17" t="s">
        <v>17</v>
      </c>
      <c r="C599" s="17" t="s">
        <v>18</v>
      </c>
      <c r="D599" s="17" t="s">
        <v>19</v>
      </c>
      <c r="E599" s="17" t="s">
        <v>152</v>
      </c>
      <c r="F599" s="17" t="s">
        <v>372</v>
      </c>
      <c r="G599" s="18" t="n">
        <v>0</v>
      </c>
      <c r="H599" s="18" t="n">
        <v>1162</v>
      </c>
      <c r="I599" s="18" t="n">
        <f aca="false">((I598 + G599) - H599)</f>
        <v>-312373.26</v>
      </c>
      <c r="J599" s="18" t="n">
        <v>-116.2</v>
      </c>
      <c r="K599" s="19" t="n">
        <v>10</v>
      </c>
      <c r="L599" s="17" t="s">
        <v>22</v>
      </c>
    </row>
    <row r="600" s="11" customFormat="true" ht="10.95" hidden="false" customHeight="true" outlineLevel="0" collapsed="false">
      <c r="A600" s="16" t="n">
        <v>45253</v>
      </c>
      <c r="B600" s="17" t="s">
        <v>17</v>
      </c>
      <c r="C600" s="17" t="s">
        <v>18</v>
      </c>
      <c r="D600" s="17" t="s">
        <v>19</v>
      </c>
      <c r="E600" s="17" t="s">
        <v>153</v>
      </c>
      <c r="F600" s="17" t="s">
        <v>372</v>
      </c>
      <c r="G600" s="18" t="n">
        <v>0</v>
      </c>
      <c r="H600" s="18" t="n">
        <v>283.5</v>
      </c>
      <c r="I600" s="18" t="n">
        <f aca="false">((I599 + G600) - H600)</f>
        <v>-312656.76</v>
      </c>
      <c r="J600" s="18" t="n">
        <v>-28.35</v>
      </c>
      <c r="K600" s="19" t="n">
        <v>10</v>
      </c>
      <c r="L600" s="17" t="s">
        <v>22</v>
      </c>
    </row>
    <row r="601" s="11" customFormat="true" ht="10.95" hidden="false" customHeight="true" outlineLevel="0" collapsed="false">
      <c r="A601" s="16" t="n">
        <v>45253</v>
      </c>
      <c r="B601" s="17" t="s">
        <v>17</v>
      </c>
      <c r="C601" s="17" t="s">
        <v>18</v>
      </c>
      <c r="D601" s="17" t="s">
        <v>19</v>
      </c>
      <c r="E601" s="17" t="s">
        <v>154</v>
      </c>
      <c r="F601" s="17" t="s">
        <v>372</v>
      </c>
      <c r="G601" s="18" t="n">
        <v>0</v>
      </c>
      <c r="H601" s="18" t="n">
        <v>165</v>
      </c>
      <c r="I601" s="18" t="n">
        <f aca="false">((I600 + G601) - H601)</f>
        <v>-312821.76</v>
      </c>
      <c r="J601" s="18" t="n">
        <v>-16.5</v>
      </c>
      <c r="K601" s="19" t="n">
        <v>10</v>
      </c>
      <c r="L601" s="17" t="s">
        <v>22</v>
      </c>
    </row>
    <row r="602" s="11" customFormat="true" ht="10.95" hidden="false" customHeight="true" outlineLevel="0" collapsed="false">
      <c r="A602" s="16" t="n">
        <v>45253</v>
      </c>
      <c r="B602" s="17" t="s">
        <v>17</v>
      </c>
      <c r="C602" s="17" t="s">
        <v>18</v>
      </c>
      <c r="D602" s="17" t="s">
        <v>19</v>
      </c>
      <c r="E602" s="17" t="s">
        <v>155</v>
      </c>
      <c r="F602" s="17" t="s">
        <v>372</v>
      </c>
      <c r="G602" s="18" t="n">
        <v>0</v>
      </c>
      <c r="H602" s="18" t="n">
        <v>432</v>
      </c>
      <c r="I602" s="18" t="n">
        <f aca="false">((I601 + G602) - H602)</f>
        <v>-313253.76</v>
      </c>
      <c r="J602" s="18" t="n">
        <v>-43.2</v>
      </c>
      <c r="K602" s="19" t="n">
        <v>10</v>
      </c>
      <c r="L602" s="17" t="s">
        <v>22</v>
      </c>
    </row>
    <row r="603" s="11" customFormat="true" ht="10.95" hidden="false" customHeight="true" outlineLevel="0" collapsed="false">
      <c r="A603" s="16" t="n">
        <v>45253</v>
      </c>
      <c r="B603" s="17" t="s">
        <v>17</v>
      </c>
      <c r="C603" s="17" t="s">
        <v>18</v>
      </c>
      <c r="D603" s="17" t="s">
        <v>19</v>
      </c>
      <c r="E603" s="17" t="s">
        <v>156</v>
      </c>
      <c r="F603" s="17" t="s">
        <v>372</v>
      </c>
      <c r="G603" s="18" t="n">
        <v>0</v>
      </c>
      <c r="H603" s="18" t="n">
        <v>945</v>
      </c>
      <c r="I603" s="18" t="n">
        <f aca="false">((I602 + G603) - H603)</f>
        <v>-314198.76</v>
      </c>
      <c r="J603" s="18" t="n">
        <v>-94.5</v>
      </c>
      <c r="K603" s="19" t="n">
        <v>10</v>
      </c>
      <c r="L603" s="17" t="s">
        <v>22</v>
      </c>
    </row>
    <row r="604" s="11" customFormat="true" ht="10.95" hidden="false" customHeight="true" outlineLevel="0" collapsed="false">
      <c r="A604" s="16" t="n">
        <v>45253</v>
      </c>
      <c r="B604" s="17" t="s">
        <v>17</v>
      </c>
      <c r="C604" s="17" t="s">
        <v>18</v>
      </c>
      <c r="D604" s="17" t="s">
        <v>19</v>
      </c>
      <c r="E604" s="17" t="s">
        <v>223</v>
      </c>
      <c r="F604" s="17" t="s">
        <v>372</v>
      </c>
      <c r="G604" s="18" t="n">
        <v>0</v>
      </c>
      <c r="H604" s="18" t="n">
        <v>34.65</v>
      </c>
      <c r="I604" s="18" t="n">
        <f aca="false">((I603 + G604) - H604)</f>
        <v>-314233.41</v>
      </c>
      <c r="J604" s="18" t="n">
        <v>-3.47</v>
      </c>
      <c r="K604" s="19" t="n">
        <v>10</v>
      </c>
      <c r="L604" s="17" t="s">
        <v>22</v>
      </c>
    </row>
    <row r="605" s="11" customFormat="true" ht="10.95" hidden="false" customHeight="true" outlineLevel="0" collapsed="false">
      <c r="A605" s="16" t="n">
        <v>45253</v>
      </c>
      <c r="B605" s="17" t="s">
        <v>17</v>
      </c>
      <c r="C605" s="17" t="s">
        <v>18</v>
      </c>
      <c r="D605" s="17" t="s">
        <v>19</v>
      </c>
      <c r="E605" s="17" t="s">
        <v>157</v>
      </c>
      <c r="F605" s="17" t="s">
        <v>372</v>
      </c>
      <c r="G605" s="18" t="n">
        <v>0</v>
      </c>
      <c r="H605" s="18" t="n">
        <v>661.5</v>
      </c>
      <c r="I605" s="18" t="n">
        <f aca="false">((I604 + G605) - H605)</f>
        <v>-314894.91</v>
      </c>
      <c r="J605" s="18" t="n">
        <v>-66.15</v>
      </c>
      <c r="K605" s="19" t="n">
        <v>10</v>
      </c>
      <c r="L605" s="17" t="s">
        <v>22</v>
      </c>
    </row>
    <row r="606" s="11" customFormat="true" ht="10.95" hidden="false" customHeight="true" outlineLevel="0" collapsed="false">
      <c r="A606" s="16" t="n">
        <v>45253</v>
      </c>
      <c r="B606" s="17" t="s">
        <v>17</v>
      </c>
      <c r="C606" s="17" t="s">
        <v>18</v>
      </c>
      <c r="D606" s="17" t="s">
        <v>19</v>
      </c>
      <c r="E606" s="17" t="s">
        <v>158</v>
      </c>
      <c r="F606" s="17" t="s">
        <v>372</v>
      </c>
      <c r="G606" s="18" t="n">
        <v>0</v>
      </c>
      <c r="H606" s="18" t="n">
        <v>94.5</v>
      </c>
      <c r="I606" s="18" t="n">
        <f aca="false">((I605 + G606) - H606)</f>
        <v>-314989.41</v>
      </c>
      <c r="J606" s="18" t="n">
        <v>-9.45</v>
      </c>
      <c r="K606" s="19" t="n">
        <v>10</v>
      </c>
      <c r="L606" s="17" t="s">
        <v>22</v>
      </c>
    </row>
    <row r="607" s="11" customFormat="true" ht="10.95" hidden="false" customHeight="true" outlineLevel="0" collapsed="false">
      <c r="A607" s="16" t="n">
        <v>45253</v>
      </c>
      <c r="B607" s="17" t="s">
        <v>17</v>
      </c>
      <c r="C607" s="17" t="s">
        <v>18</v>
      </c>
      <c r="D607" s="17" t="s">
        <v>19</v>
      </c>
      <c r="E607" s="17" t="s">
        <v>159</v>
      </c>
      <c r="F607" s="17" t="s">
        <v>372</v>
      </c>
      <c r="G607" s="18" t="n">
        <v>0</v>
      </c>
      <c r="H607" s="18" t="n">
        <v>792</v>
      </c>
      <c r="I607" s="18" t="n">
        <f aca="false">((I606 + G607) - H607)</f>
        <v>-315781.41</v>
      </c>
      <c r="J607" s="18" t="n">
        <v>-79.2</v>
      </c>
      <c r="K607" s="19" t="n">
        <v>10</v>
      </c>
      <c r="L607" s="17" t="s">
        <v>22</v>
      </c>
    </row>
    <row r="608" s="11" customFormat="true" ht="10.95" hidden="false" customHeight="true" outlineLevel="0" collapsed="false">
      <c r="A608" s="16" t="n">
        <v>45253</v>
      </c>
      <c r="B608" s="17" t="s">
        <v>17</v>
      </c>
      <c r="C608" s="17" t="s">
        <v>18</v>
      </c>
      <c r="D608" s="17" t="s">
        <v>19</v>
      </c>
      <c r="E608" s="17" t="s">
        <v>282</v>
      </c>
      <c r="F608" s="17" t="s">
        <v>372</v>
      </c>
      <c r="G608" s="18" t="n">
        <v>0</v>
      </c>
      <c r="H608" s="18" t="n">
        <v>94.5</v>
      </c>
      <c r="I608" s="18" t="n">
        <f aca="false">((I607 + G608) - H608)</f>
        <v>-315875.91</v>
      </c>
      <c r="J608" s="18" t="n">
        <v>-9.45</v>
      </c>
      <c r="K608" s="19" t="n">
        <v>10</v>
      </c>
      <c r="L608" s="17" t="s">
        <v>22</v>
      </c>
    </row>
    <row r="609" s="11" customFormat="true" ht="10.95" hidden="false" customHeight="true" outlineLevel="0" collapsed="false">
      <c r="A609" s="16" t="n">
        <v>45253</v>
      </c>
      <c r="B609" s="17" t="s">
        <v>17</v>
      </c>
      <c r="C609" s="17" t="s">
        <v>18</v>
      </c>
      <c r="D609" s="17" t="s">
        <v>19</v>
      </c>
      <c r="E609" s="17" t="s">
        <v>373</v>
      </c>
      <c r="F609" s="17" t="s">
        <v>372</v>
      </c>
      <c r="G609" s="18" t="n">
        <v>0</v>
      </c>
      <c r="H609" s="18" t="n">
        <v>72</v>
      </c>
      <c r="I609" s="18" t="n">
        <f aca="false">((I608 + G609) - H609)</f>
        <v>-315947.91</v>
      </c>
      <c r="J609" s="18" t="n">
        <v>-7.2</v>
      </c>
      <c r="K609" s="19" t="n">
        <v>10</v>
      </c>
      <c r="L609" s="17" t="s">
        <v>22</v>
      </c>
    </row>
    <row r="610" s="11" customFormat="true" ht="10.95" hidden="false" customHeight="true" outlineLevel="0" collapsed="false">
      <c r="A610" s="16" t="n">
        <v>45253</v>
      </c>
      <c r="B610" s="17" t="s">
        <v>17</v>
      </c>
      <c r="C610" s="17" t="s">
        <v>18</v>
      </c>
      <c r="D610" s="17" t="s">
        <v>19</v>
      </c>
      <c r="E610" s="17" t="s">
        <v>374</v>
      </c>
      <c r="F610" s="17" t="s">
        <v>372</v>
      </c>
      <c r="G610" s="18" t="n">
        <v>0</v>
      </c>
      <c r="H610" s="18" t="n">
        <v>945</v>
      </c>
      <c r="I610" s="18" t="n">
        <f aca="false">((I609 + G610) - H610)</f>
        <v>-316892.91</v>
      </c>
      <c r="J610" s="18" t="n">
        <v>-94.5</v>
      </c>
      <c r="K610" s="19" t="n">
        <v>10</v>
      </c>
      <c r="L610" s="17" t="s">
        <v>22</v>
      </c>
    </row>
    <row r="611" s="11" customFormat="true" ht="10.95" hidden="false" customHeight="true" outlineLevel="0" collapsed="false">
      <c r="A611" s="16" t="n">
        <v>45253</v>
      </c>
      <c r="B611" s="17" t="s">
        <v>17</v>
      </c>
      <c r="C611" s="17" t="s">
        <v>18</v>
      </c>
      <c r="D611" s="17" t="s">
        <v>19</v>
      </c>
      <c r="E611" s="17" t="s">
        <v>375</v>
      </c>
      <c r="F611" s="17" t="s">
        <v>372</v>
      </c>
      <c r="G611" s="18" t="n">
        <v>0</v>
      </c>
      <c r="H611" s="18" t="n">
        <v>144</v>
      </c>
      <c r="I611" s="18" t="n">
        <f aca="false">((I610 + G611) - H611)</f>
        <v>-317036.91</v>
      </c>
      <c r="J611" s="18" t="n">
        <v>-14.4</v>
      </c>
      <c r="K611" s="19" t="n">
        <v>10</v>
      </c>
      <c r="L611" s="17" t="s">
        <v>22</v>
      </c>
    </row>
    <row r="612" s="11" customFormat="true" ht="10.95" hidden="false" customHeight="true" outlineLevel="0" collapsed="false">
      <c r="A612" s="16" t="n">
        <v>45253</v>
      </c>
      <c r="B612" s="17" t="s">
        <v>17</v>
      </c>
      <c r="C612" s="17" t="s">
        <v>18</v>
      </c>
      <c r="D612" s="17" t="s">
        <v>19</v>
      </c>
      <c r="E612" s="17" t="s">
        <v>59</v>
      </c>
      <c r="F612" s="17" t="s">
        <v>376</v>
      </c>
      <c r="G612" s="18" t="n">
        <v>0</v>
      </c>
      <c r="H612" s="18" t="n">
        <v>4800</v>
      </c>
      <c r="I612" s="18" t="n">
        <f aca="false">((I611 + G612) - H612)</f>
        <v>-321836.91</v>
      </c>
      <c r="J612" s="18" t="n">
        <v>-480</v>
      </c>
      <c r="K612" s="19" t="n">
        <v>10</v>
      </c>
      <c r="L612" s="17" t="s">
        <v>22</v>
      </c>
    </row>
    <row r="613" s="11" customFormat="true" ht="10.95" hidden="false" customHeight="true" outlineLevel="0" collapsed="false">
      <c r="A613" s="16" t="n">
        <v>45253</v>
      </c>
      <c r="B613" s="17" t="s">
        <v>17</v>
      </c>
      <c r="C613" s="17" t="s">
        <v>18</v>
      </c>
      <c r="D613" s="17" t="s">
        <v>19</v>
      </c>
      <c r="E613" s="17" t="s">
        <v>61</v>
      </c>
      <c r="F613" s="17" t="s">
        <v>376</v>
      </c>
      <c r="G613" s="18" t="n">
        <v>0</v>
      </c>
      <c r="H613" s="18" t="n">
        <v>3990</v>
      </c>
      <c r="I613" s="18" t="n">
        <f aca="false">((I612 + G613) - H613)</f>
        <v>-325826.91</v>
      </c>
      <c r="J613" s="18" t="n">
        <v>-399</v>
      </c>
      <c r="K613" s="19" t="n">
        <v>10</v>
      </c>
      <c r="L613" s="17" t="s">
        <v>22</v>
      </c>
    </row>
    <row r="614" s="11" customFormat="true" ht="10.95" hidden="false" customHeight="true" outlineLevel="0" collapsed="false">
      <c r="A614" s="16" t="n">
        <v>45253</v>
      </c>
      <c r="B614" s="17" t="s">
        <v>17</v>
      </c>
      <c r="C614" s="17" t="s">
        <v>18</v>
      </c>
      <c r="D614" s="17" t="s">
        <v>19</v>
      </c>
      <c r="E614" s="17" t="s">
        <v>62</v>
      </c>
      <c r="F614" s="17" t="s">
        <v>376</v>
      </c>
      <c r="G614" s="18" t="n">
        <v>0</v>
      </c>
      <c r="H614" s="18" t="n">
        <v>300</v>
      </c>
      <c r="I614" s="18" t="n">
        <f aca="false">((I613 + G614) - H614)</f>
        <v>-326126.91</v>
      </c>
      <c r="J614" s="18" t="n">
        <v>-30</v>
      </c>
      <c r="K614" s="19" t="n">
        <v>10</v>
      </c>
      <c r="L614" s="17" t="s">
        <v>22</v>
      </c>
    </row>
    <row r="615" s="11" customFormat="true" ht="10.95" hidden="false" customHeight="true" outlineLevel="0" collapsed="false">
      <c r="A615" s="16" t="n">
        <v>45253</v>
      </c>
      <c r="B615" s="17" t="s">
        <v>17</v>
      </c>
      <c r="C615" s="17" t="s">
        <v>18</v>
      </c>
      <c r="D615" s="17" t="s">
        <v>19</v>
      </c>
      <c r="E615" s="17" t="s">
        <v>91</v>
      </c>
      <c r="F615" s="17" t="s">
        <v>377</v>
      </c>
      <c r="G615" s="18" t="n">
        <v>0</v>
      </c>
      <c r="H615" s="18" t="n">
        <v>1316</v>
      </c>
      <c r="I615" s="18" t="n">
        <f aca="false">((I614 + G615) - H615)</f>
        <v>-327442.91</v>
      </c>
      <c r="J615" s="18" t="n">
        <v>-131.6</v>
      </c>
      <c r="K615" s="19" t="n">
        <v>10</v>
      </c>
      <c r="L615" s="17" t="s">
        <v>22</v>
      </c>
    </row>
    <row r="616" s="11" customFormat="true" ht="10.95" hidden="false" customHeight="true" outlineLevel="0" collapsed="false">
      <c r="A616" s="16" t="n">
        <v>45253</v>
      </c>
      <c r="B616" s="17" t="s">
        <v>17</v>
      </c>
      <c r="C616" s="17" t="s">
        <v>18</v>
      </c>
      <c r="D616" s="17" t="s">
        <v>19</v>
      </c>
      <c r="E616" s="17" t="s">
        <v>93</v>
      </c>
      <c r="F616" s="17" t="s">
        <v>377</v>
      </c>
      <c r="G616" s="18" t="n">
        <v>0</v>
      </c>
      <c r="H616" s="18" t="n">
        <v>330</v>
      </c>
      <c r="I616" s="18" t="n">
        <f aca="false">((I615 + G616) - H616)</f>
        <v>-327772.91</v>
      </c>
      <c r="J616" s="18" t="n">
        <v>-33</v>
      </c>
      <c r="K616" s="19" t="n">
        <v>10</v>
      </c>
      <c r="L616" s="17" t="s">
        <v>22</v>
      </c>
    </row>
    <row r="617" s="11" customFormat="true" ht="10.95" hidden="false" customHeight="true" outlineLevel="0" collapsed="false">
      <c r="A617" s="16" t="n">
        <v>45253</v>
      </c>
      <c r="B617" s="17" t="s">
        <v>17</v>
      </c>
      <c r="C617" s="17" t="s">
        <v>18</v>
      </c>
      <c r="D617" s="17" t="s">
        <v>19</v>
      </c>
      <c r="E617" s="17" t="s">
        <v>94</v>
      </c>
      <c r="F617" s="17" t="s">
        <v>377</v>
      </c>
      <c r="G617" s="18" t="n">
        <v>0</v>
      </c>
      <c r="H617" s="18" t="n">
        <v>143</v>
      </c>
      <c r="I617" s="18" t="n">
        <f aca="false">((I616 + G617) - H617)</f>
        <v>-327915.91</v>
      </c>
      <c r="J617" s="18" t="n">
        <v>-14.3</v>
      </c>
      <c r="K617" s="19" t="n">
        <v>10</v>
      </c>
      <c r="L617" s="17" t="s">
        <v>22</v>
      </c>
    </row>
    <row r="618" s="11" customFormat="true" ht="10.95" hidden="false" customHeight="true" outlineLevel="0" collapsed="false">
      <c r="A618" s="16" t="n">
        <v>45253</v>
      </c>
      <c r="B618" s="17" t="s">
        <v>17</v>
      </c>
      <c r="C618" s="17" t="s">
        <v>18</v>
      </c>
      <c r="D618" s="17" t="s">
        <v>19</v>
      </c>
      <c r="E618" s="17" t="s">
        <v>78</v>
      </c>
      <c r="F618" s="17" t="s">
        <v>378</v>
      </c>
      <c r="G618" s="18" t="n">
        <v>0</v>
      </c>
      <c r="H618" s="18" t="n">
        <v>1222</v>
      </c>
      <c r="I618" s="18" t="n">
        <f aca="false">((I617 + G618) - H618)</f>
        <v>-329137.91</v>
      </c>
      <c r="J618" s="18" t="n">
        <v>-122.2</v>
      </c>
      <c r="K618" s="19" t="n">
        <v>10</v>
      </c>
      <c r="L618" s="17" t="s">
        <v>22</v>
      </c>
    </row>
    <row r="619" s="11" customFormat="true" ht="10.95" hidden="false" customHeight="true" outlineLevel="0" collapsed="false">
      <c r="A619" s="16" t="n">
        <v>45253</v>
      </c>
      <c r="B619" s="17" t="s">
        <v>17</v>
      </c>
      <c r="C619" s="17" t="s">
        <v>18</v>
      </c>
      <c r="D619" s="17" t="s">
        <v>19</v>
      </c>
      <c r="E619" s="17" t="s">
        <v>83</v>
      </c>
      <c r="F619" s="17" t="s">
        <v>378</v>
      </c>
      <c r="G619" s="18" t="n">
        <v>0</v>
      </c>
      <c r="H619" s="18" t="n">
        <v>38.5</v>
      </c>
      <c r="I619" s="18" t="n">
        <f aca="false">((I618 + G619) - H619)</f>
        <v>-329176.41</v>
      </c>
      <c r="J619" s="18" t="n">
        <v>-3.85</v>
      </c>
      <c r="K619" s="19" t="n">
        <v>10</v>
      </c>
      <c r="L619" s="17" t="s">
        <v>22</v>
      </c>
    </row>
    <row r="620" s="11" customFormat="true" ht="10.95" hidden="false" customHeight="true" outlineLevel="0" collapsed="false">
      <c r="A620" s="16" t="n">
        <v>45253</v>
      </c>
      <c r="B620" s="17" t="s">
        <v>17</v>
      </c>
      <c r="C620" s="17" t="s">
        <v>18</v>
      </c>
      <c r="D620" s="17" t="s">
        <v>19</v>
      </c>
      <c r="E620" s="17" t="s">
        <v>84</v>
      </c>
      <c r="F620" s="17" t="s">
        <v>378</v>
      </c>
      <c r="G620" s="18" t="n">
        <v>0</v>
      </c>
      <c r="H620" s="18" t="n">
        <v>165</v>
      </c>
      <c r="I620" s="18" t="n">
        <f aca="false">((I619 + G620) - H620)</f>
        <v>-329341.41</v>
      </c>
      <c r="J620" s="18" t="n">
        <v>-16.5</v>
      </c>
      <c r="K620" s="19" t="n">
        <v>10</v>
      </c>
      <c r="L620" s="17" t="s">
        <v>22</v>
      </c>
    </row>
    <row r="621" s="11" customFormat="true" ht="10.95" hidden="false" customHeight="true" outlineLevel="0" collapsed="false">
      <c r="A621" s="16" t="n">
        <v>45264</v>
      </c>
      <c r="B621" s="17" t="s">
        <v>17</v>
      </c>
      <c r="C621" s="17" t="s">
        <v>18</v>
      </c>
      <c r="D621" s="17" t="s">
        <v>19</v>
      </c>
      <c r="E621" s="17" t="s">
        <v>40</v>
      </c>
      <c r="F621" s="17" t="s">
        <v>379</v>
      </c>
      <c r="G621" s="18" t="n">
        <v>0</v>
      </c>
      <c r="H621" s="18" t="n">
        <v>3825</v>
      </c>
      <c r="I621" s="18" t="n">
        <f aca="false">((I620 + G621) - H621)</f>
        <v>-333166.41</v>
      </c>
      <c r="J621" s="18" t="n">
        <v>-382.5</v>
      </c>
      <c r="K621" s="19" t="n">
        <v>10</v>
      </c>
      <c r="L621" s="17" t="s">
        <v>22</v>
      </c>
    </row>
    <row r="622" s="11" customFormat="true" ht="10.95" hidden="false" customHeight="true" outlineLevel="0" collapsed="false">
      <c r="A622" s="16" t="n">
        <v>45264</v>
      </c>
      <c r="B622" s="17" t="s">
        <v>17</v>
      </c>
      <c r="C622" s="17" t="s">
        <v>18</v>
      </c>
      <c r="D622" s="17" t="s">
        <v>19</v>
      </c>
      <c r="E622" s="17" t="s">
        <v>42</v>
      </c>
      <c r="F622" s="17" t="s">
        <v>380</v>
      </c>
      <c r="G622" s="18" t="n">
        <v>0</v>
      </c>
      <c r="H622" s="18" t="n">
        <v>2592</v>
      </c>
      <c r="I622" s="18" t="n">
        <f aca="false">((I621 + G622) - H622)</f>
        <v>-335758.41</v>
      </c>
      <c r="J622" s="18" t="n">
        <v>-259.2</v>
      </c>
      <c r="K622" s="19" t="n">
        <v>10</v>
      </c>
      <c r="L622" s="17" t="s">
        <v>22</v>
      </c>
    </row>
    <row r="623" s="11" customFormat="true" ht="10.95" hidden="false" customHeight="true" outlineLevel="0" collapsed="false">
      <c r="A623" s="16" t="n">
        <v>45264</v>
      </c>
      <c r="B623" s="17" t="s">
        <v>17</v>
      </c>
      <c r="C623" s="17" t="s">
        <v>18</v>
      </c>
      <c r="D623" s="17" t="s">
        <v>19</v>
      </c>
      <c r="E623" s="17" t="s">
        <v>45</v>
      </c>
      <c r="F623" s="17" t="s">
        <v>380</v>
      </c>
      <c r="G623" s="18" t="n">
        <v>0</v>
      </c>
      <c r="H623" s="18" t="n">
        <v>990</v>
      </c>
      <c r="I623" s="18" t="n">
        <f aca="false">((I622 + G623) - H623)</f>
        <v>-336748.41</v>
      </c>
      <c r="J623" s="18" t="n">
        <v>-99</v>
      </c>
      <c r="K623" s="19" t="n">
        <v>10</v>
      </c>
      <c r="L623" s="17" t="s">
        <v>22</v>
      </c>
    </row>
    <row r="624" s="11" customFormat="true" ht="10.95" hidden="false" customHeight="true" outlineLevel="0" collapsed="false">
      <c r="A624" s="16" t="n">
        <v>45264</v>
      </c>
      <c r="B624" s="17" t="s">
        <v>17</v>
      </c>
      <c r="C624" s="17" t="s">
        <v>18</v>
      </c>
      <c r="D624" s="17" t="s">
        <v>19</v>
      </c>
      <c r="E624" s="17" t="s">
        <v>46</v>
      </c>
      <c r="F624" s="17" t="s">
        <v>380</v>
      </c>
      <c r="G624" s="18" t="n">
        <v>0</v>
      </c>
      <c r="H624" s="18" t="n">
        <v>220</v>
      </c>
      <c r="I624" s="18" t="n">
        <f aca="false">((I623 + G624) - H624)</f>
        <v>-336968.41</v>
      </c>
      <c r="J624" s="18" t="n">
        <v>-22</v>
      </c>
      <c r="K624" s="19" t="n">
        <v>10</v>
      </c>
      <c r="L624" s="17" t="s">
        <v>22</v>
      </c>
    </row>
    <row r="625" s="11" customFormat="true" ht="10.95" hidden="false" customHeight="true" outlineLevel="0" collapsed="false">
      <c r="A625" s="16" t="n">
        <v>45264</v>
      </c>
      <c r="B625" s="17" t="s">
        <v>17</v>
      </c>
      <c r="C625" s="17" t="s">
        <v>18</v>
      </c>
      <c r="D625" s="17" t="s">
        <v>19</v>
      </c>
      <c r="E625" s="17" t="s">
        <v>381</v>
      </c>
      <c r="F625" s="17" t="s">
        <v>382</v>
      </c>
      <c r="G625" s="18" t="n">
        <v>0</v>
      </c>
      <c r="H625" s="18" t="n">
        <v>2500</v>
      </c>
      <c r="I625" s="18" t="n">
        <f aca="false">((I624 + G625) - H625)</f>
        <v>-339468.41</v>
      </c>
      <c r="J625" s="18" t="n">
        <v>-250</v>
      </c>
      <c r="K625" s="19" t="n">
        <v>10</v>
      </c>
      <c r="L625" s="17" t="s">
        <v>22</v>
      </c>
    </row>
    <row r="626" s="11" customFormat="true" ht="10.95" hidden="false" customHeight="true" outlineLevel="0" collapsed="false">
      <c r="A626" s="16" t="n">
        <v>45271</v>
      </c>
      <c r="B626" s="17" t="s">
        <v>17</v>
      </c>
      <c r="C626" s="17" t="s">
        <v>18</v>
      </c>
      <c r="D626" s="17" t="s">
        <v>19</v>
      </c>
      <c r="E626" s="17" t="s">
        <v>47</v>
      </c>
      <c r="F626" s="17" t="s">
        <v>383</v>
      </c>
      <c r="G626" s="18" t="n">
        <v>0</v>
      </c>
      <c r="H626" s="18" t="n">
        <v>260</v>
      </c>
      <c r="I626" s="18" t="n">
        <f aca="false">((I625 + G626) - H626)</f>
        <v>-339728.41</v>
      </c>
      <c r="J626" s="18" t="n">
        <v>-26</v>
      </c>
      <c r="K626" s="19" t="n">
        <v>10</v>
      </c>
      <c r="L626" s="17" t="s">
        <v>22</v>
      </c>
    </row>
    <row r="627" s="11" customFormat="true" ht="10.95" hidden="false" customHeight="true" outlineLevel="0" collapsed="false">
      <c r="A627" s="16" t="n">
        <v>45271</v>
      </c>
      <c r="B627" s="17" t="s">
        <v>17</v>
      </c>
      <c r="C627" s="17" t="s">
        <v>18</v>
      </c>
      <c r="D627" s="17" t="s">
        <v>19</v>
      </c>
      <c r="E627" s="17" t="s">
        <v>49</v>
      </c>
      <c r="F627" s="17" t="s">
        <v>383</v>
      </c>
      <c r="G627" s="18" t="n">
        <v>0</v>
      </c>
      <c r="H627" s="18" t="n">
        <v>100</v>
      </c>
      <c r="I627" s="18" t="n">
        <f aca="false">((I626 + G627) - H627)</f>
        <v>-339828.41</v>
      </c>
      <c r="J627" s="18" t="n">
        <v>-10</v>
      </c>
      <c r="K627" s="19" t="n">
        <v>10</v>
      </c>
      <c r="L627" s="17" t="s">
        <v>22</v>
      </c>
    </row>
    <row r="628" s="11" customFormat="true" ht="10.95" hidden="false" customHeight="true" outlineLevel="0" collapsed="false">
      <c r="A628" s="16" t="n">
        <v>45280</v>
      </c>
      <c r="B628" s="17" t="s">
        <v>17</v>
      </c>
      <c r="C628" s="17" t="s">
        <v>18</v>
      </c>
      <c r="D628" s="17" t="s">
        <v>19</v>
      </c>
      <c r="E628" s="17" t="s">
        <v>231</v>
      </c>
      <c r="F628" s="17" t="s">
        <v>384</v>
      </c>
      <c r="G628" s="18" t="n">
        <v>0</v>
      </c>
      <c r="H628" s="18" t="n">
        <v>143</v>
      </c>
      <c r="I628" s="18" t="n">
        <f aca="false">((I627 + G628) - H628)</f>
        <v>-339971.41</v>
      </c>
      <c r="J628" s="18" t="n">
        <v>-14.3</v>
      </c>
      <c r="K628" s="19" t="n">
        <v>10</v>
      </c>
      <c r="L628" s="17" t="s">
        <v>22</v>
      </c>
    </row>
    <row r="629" s="11" customFormat="true" ht="10.95" hidden="false" customHeight="true" outlineLevel="0" collapsed="false">
      <c r="A629" s="16" t="n">
        <v>45280</v>
      </c>
      <c r="B629" s="17" t="s">
        <v>17</v>
      </c>
      <c r="C629" s="17" t="s">
        <v>18</v>
      </c>
      <c r="D629" s="17" t="s">
        <v>19</v>
      </c>
      <c r="E629" s="17" t="s">
        <v>233</v>
      </c>
      <c r="F629" s="17" t="s">
        <v>385</v>
      </c>
      <c r="G629" s="18" t="n">
        <v>0</v>
      </c>
      <c r="H629" s="18" t="n">
        <v>71.5</v>
      </c>
      <c r="I629" s="18" t="n">
        <f aca="false">((I628 + G629) - H629)</f>
        <v>-340042.91</v>
      </c>
      <c r="J629" s="18" t="n">
        <v>-7.15</v>
      </c>
      <c r="K629" s="19" t="n">
        <v>10</v>
      </c>
      <c r="L629" s="17" t="s">
        <v>22</v>
      </c>
    </row>
    <row r="630" s="11" customFormat="true" ht="10.95" hidden="false" customHeight="true" outlineLevel="0" collapsed="false">
      <c r="A630" s="16" t="n">
        <v>45280</v>
      </c>
      <c r="B630" s="17" t="s">
        <v>17</v>
      </c>
      <c r="C630" s="17" t="s">
        <v>18</v>
      </c>
      <c r="D630" s="17" t="s">
        <v>19</v>
      </c>
      <c r="E630" s="17" t="s">
        <v>235</v>
      </c>
      <c r="F630" s="17" t="s">
        <v>385</v>
      </c>
      <c r="G630" s="18" t="n">
        <v>0</v>
      </c>
      <c r="H630" s="18" t="n">
        <v>110</v>
      </c>
      <c r="I630" s="18" t="n">
        <f aca="false">((I629 + G630) - H630)</f>
        <v>-340152.91</v>
      </c>
      <c r="J630" s="18" t="n">
        <v>-11</v>
      </c>
      <c r="K630" s="19" t="n">
        <v>10</v>
      </c>
      <c r="L630" s="17" t="s">
        <v>22</v>
      </c>
    </row>
    <row r="631" s="11" customFormat="true" ht="10.95" hidden="false" customHeight="true" outlineLevel="0" collapsed="false">
      <c r="A631" s="16" t="n">
        <v>45280</v>
      </c>
      <c r="B631" s="17" t="s">
        <v>17</v>
      </c>
      <c r="C631" s="17" t="s">
        <v>18</v>
      </c>
      <c r="D631" s="17" t="s">
        <v>19</v>
      </c>
      <c r="E631" s="17" t="s">
        <v>171</v>
      </c>
      <c r="F631" s="17" t="s">
        <v>386</v>
      </c>
      <c r="G631" s="18" t="n">
        <v>0</v>
      </c>
      <c r="H631" s="18" t="n">
        <v>940.5</v>
      </c>
      <c r="I631" s="18" t="n">
        <f aca="false">((I630 + G631) - H631)</f>
        <v>-341093.41</v>
      </c>
      <c r="J631" s="18" t="n">
        <v>-94.05</v>
      </c>
      <c r="K631" s="19" t="n">
        <v>10</v>
      </c>
      <c r="L631" s="17" t="s">
        <v>22</v>
      </c>
    </row>
    <row r="632" s="11" customFormat="true" ht="10.95" hidden="false" customHeight="true" outlineLevel="0" collapsed="false">
      <c r="A632" s="16" t="n">
        <v>45280</v>
      </c>
      <c r="B632" s="17" t="s">
        <v>17</v>
      </c>
      <c r="C632" s="17" t="s">
        <v>18</v>
      </c>
      <c r="D632" s="17" t="s">
        <v>19</v>
      </c>
      <c r="E632" s="17" t="s">
        <v>20</v>
      </c>
      <c r="F632" s="17" t="s">
        <v>387</v>
      </c>
      <c r="G632" s="18" t="n">
        <v>0</v>
      </c>
      <c r="H632" s="18" t="n">
        <v>376</v>
      </c>
      <c r="I632" s="18" t="n">
        <f aca="false">((I631 + G632) - H632)</f>
        <v>-341469.41</v>
      </c>
      <c r="J632" s="18" t="n">
        <v>-37.6</v>
      </c>
      <c r="K632" s="19" t="n">
        <v>10</v>
      </c>
      <c r="L632" s="17" t="s">
        <v>22</v>
      </c>
    </row>
    <row r="633" s="11" customFormat="true" ht="10.95" hidden="false" customHeight="true" outlineLevel="0" collapsed="false">
      <c r="A633" s="16" t="n">
        <v>45280</v>
      </c>
      <c r="B633" s="17" t="s">
        <v>17</v>
      </c>
      <c r="C633" s="17" t="s">
        <v>18</v>
      </c>
      <c r="D633" s="17" t="s">
        <v>19</v>
      </c>
      <c r="E633" s="17" t="s">
        <v>23</v>
      </c>
      <c r="F633" s="17" t="s">
        <v>388</v>
      </c>
      <c r="G633" s="18" t="n">
        <v>0</v>
      </c>
      <c r="H633" s="18" t="n">
        <v>1035</v>
      </c>
      <c r="I633" s="18" t="n">
        <f aca="false">((I632 + G633) - H633)</f>
        <v>-342504.41</v>
      </c>
      <c r="J633" s="18" t="n">
        <v>-103.5</v>
      </c>
      <c r="K633" s="19" t="n">
        <v>10</v>
      </c>
      <c r="L633" s="17" t="s">
        <v>22</v>
      </c>
    </row>
    <row r="634" s="11" customFormat="true" ht="10.95" hidden="false" customHeight="true" outlineLevel="0" collapsed="false">
      <c r="A634" s="16" t="n">
        <v>45280</v>
      </c>
      <c r="B634" s="17" t="s">
        <v>17</v>
      </c>
      <c r="C634" s="17" t="s">
        <v>18</v>
      </c>
      <c r="D634" s="17" t="s">
        <v>19</v>
      </c>
      <c r="E634" s="17" t="s">
        <v>25</v>
      </c>
      <c r="F634" s="17" t="s">
        <v>388</v>
      </c>
      <c r="G634" s="18" t="n">
        <v>0</v>
      </c>
      <c r="H634" s="18" t="n">
        <v>225</v>
      </c>
      <c r="I634" s="18" t="n">
        <f aca="false">((I633 + G634) - H634)</f>
        <v>-342729.41</v>
      </c>
      <c r="J634" s="18" t="n">
        <v>-22.5</v>
      </c>
      <c r="K634" s="19" t="n">
        <v>10</v>
      </c>
      <c r="L634" s="17" t="s">
        <v>22</v>
      </c>
    </row>
    <row r="635" s="11" customFormat="true" ht="10.95" hidden="false" customHeight="true" outlineLevel="0" collapsed="false">
      <c r="A635" s="16" t="n">
        <v>45280</v>
      </c>
      <c r="B635" s="17" t="s">
        <v>17</v>
      </c>
      <c r="C635" s="17" t="s">
        <v>18</v>
      </c>
      <c r="D635" s="17" t="s">
        <v>19</v>
      </c>
      <c r="E635" s="17" t="s">
        <v>26</v>
      </c>
      <c r="F635" s="17" t="s">
        <v>389</v>
      </c>
      <c r="G635" s="18" t="n">
        <v>0</v>
      </c>
      <c r="H635" s="18" t="n">
        <v>510</v>
      </c>
      <c r="I635" s="18" t="n">
        <f aca="false">((I634 + G635) - H635)</f>
        <v>-343239.41</v>
      </c>
      <c r="J635" s="18" t="n">
        <v>-51</v>
      </c>
      <c r="K635" s="19" t="n">
        <v>10</v>
      </c>
      <c r="L635" s="17" t="s">
        <v>22</v>
      </c>
    </row>
    <row r="636" s="11" customFormat="true" ht="10.95" hidden="false" customHeight="true" outlineLevel="0" collapsed="false">
      <c r="A636" s="16" t="n">
        <v>45280</v>
      </c>
      <c r="B636" s="17" t="s">
        <v>17</v>
      </c>
      <c r="C636" s="17" t="s">
        <v>18</v>
      </c>
      <c r="D636" s="17" t="s">
        <v>19</v>
      </c>
      <c r="E636" s="17" t="s">
        <v>30</v>
      </c>
      <c r="F636" s="17" t="s">
        <v>390</v>
      </c>
      <c r="G636" s="18" t="n">
        <v>0</v>
      </c>
      <c r="H636" s="18" t="n">
        <v>85</v>
      </c>
      <c r="I636" s="18" t="n">
        <f aca="false">((I635 + G636) - H636)</f>
        <v>-343324.41</v>
      </c>
      <c r="J636" s="18" t="n">
        <v>-8.5</v>
      </c>
      <c r="K636" s="19" t="n">
        <v>10</v>
      </c>
      <c r="L636" s="17" t="s">
        <v>22</v>
      </c>
    </row>
    <row r="637" s="11" customFormat="true" ht="10.95" hidden="false" customHeight="true" outlineLevel="0" collapsed="false">
      <c r="A637" s="16" t="n">
        <v>45280</v>
      </c>
      <c r="B637" s="17" t="s">
        <v>17</v>
      </c>
      <c r="C637" s="17" t="s">
        <v>18</v>
      </c>
      <c r="D637" s="17" t="s">
        <v>19</v>
      </c>
      <c r="E637" s="17" t="s">
        <v>32</v>
      </c>
      <c r="F637" s="17" t="s">
        <v>391</v>
      </c>
      <c r="G637" s="18" t="n">
        <v>0</v>
      </c>
      <c r="H637" s="18" t="n">
        <v>195</v>
      </c>
      <c r="I637" s="18" t="n">
        <f aca="false">((I636 + G637) - H637)</f>
        <v>-343519.41</v>
      </c>
      <c r="J637" s="18" t="n">
        <v>-19.5</v>
      </c>
      <c r="K637" s="19" t="n">
        <v>10</v>
      </c>
      <c r="L637" s="17" t="s">
        <v>22</v>
      </c>
    </row>
    <row r="638" s="11" customFormat="true" ht="10.95" hidden="false" customHeight="true" outlineLevel="0" collapsed="false">
      <c r="A638" s="16" t="n">
        <v>45280</v>
      </c>
      <c r="B638" s="17" t="s">
        <v>17</v>
      </c>
      <c r="C638" s="17" t="s">
        <v>18</v>
      </c>
      <c r="D638" s="17" t="s">
        <v>19</v>
      </c>
      <c r="E638" s="17" t="s">
        <v>34</v>
      </c>
      <c r="F638" s="17" t="s">
        <v>391</v>
      </c>
      <c r="G638" s="18" t="n">
        <v>0</v>
      </c>
      <c r="H638" s="18" t="n">
        <v>30</v>
      </c>
      <c r="I638" s="18" t="n">
        <f aca="false">((I637 + G638) - H638)</f>
        <v>-343549.41</v>
      </c>
      <c r="J638" s="18" t="n">
        <v>-3</v>
      </c>
      <c r="K638" s="19" t="n">
        <v>10</v>
      </c>
      <c r="L638" s="17" t="s">
        <v>22</v>
      </c>
    </row>
    <row r="639" s="11" customFormat="true" ht="21.3" hidden="false" customHeight="true" outlineLevel="0" collapsed="false">
      <c r="A639" s="16" t="n">
        <v>45280</v>
      </c>
      <c r="B639" s="17" t="s">
        <v>17</v>
      </c>
      <c r="C639" s="17" t="s">
        <v>18</v>
      </c>
      <c r="D639" s="17" t="s">
        <v>19</v>
      </c>
      <c r="E639" s="20" t="s">
        <v>35</v>
      </c>
      <c r="F639" s="17" t="s">
        <v>391</v>
      </c>
      <c r="G639" s="18" t="n">
        <v>0</v>
      </c>
      <c r="H639" s="18" t="n">
        <v>100</v>
      </c>
      <c r="I639" s="18" t="n">
        <f aca="false">((I638 + G639) - H639)</f>
        <v>-343649.41</v>
      </c>
      <c r="J639" s="18" t="n">
        <v>-10</v>
      </c>
      <c r="K639" s="19" t="n">
        <v>10</v>
      </c>
      <c r="L639" s="17" t="s">
        <v>22</v>
      </c>
    </row>
    <row r="640" s="11" customFormat="true" ht="10.95" hidden="false" customHeight="true" outlineLevel="0" collapsed="false">
      <c r="A640" s="16" t="n">
        <v>45280</v>
      </c>
      <c r="B640" s="17" t="s">
        <v>17</v>
      </c>
      <c r="C640" s="17" t="s">
        <v>18</v>
      </c>
      <c r="D640" s="17" t="s">
        <v>19</v>
      </c>
      <c r="E640" s="17" t="s">
        <v>36</v>
      </c>
      <c r="F640" s="17" t="s">
        <v>392</v>
      </c>
      <c r="G640" s="18" t="n">
        <v>0</v>
      </c>
      <c r="H640" s="18" t="n">
        <v>720</v>
      </c>
      <c r="I640" s="18" t="n">
        <f aca="false">((I639 + G640) - H640)</f>
        <v>-344369.41</v>
      </c>
      <c r="J640" s="18" t="n">
        <v>-72</v>
      </c>
      <c r="K640" s="19" t="n">
        <v>10</v>
      </c>
      <c r="L640" s="17" t="s">
        <v>22</v>
      </c>
    </row>
    <row r="641" s="11" customFormat="true" ht="10.95" hidden="false" customHeight="true" outlineLevel="0" collapsed="false">
      <c r="A641" s="16" t="n">
        <v>45280</v>
      </c>
      <c r="B641" s="17" t="s">
        <v>17</v>
      </c>
      <c r="C641" s="17" t="s">
        <v>18</v>
      </c>
      <c r="D641" s="17" t="s">
        <v>19</v>
      </c>
      <c r="E641" s="17" t="s">
        <v>38</v>
      </c>
      <c r="F641" s="17" t="s">
        <v>392</v>
      </c>
      <c r="G641" s="18" t="n">
        <v>0</v>
      </c>
      <c r="H641" s="18" t="n">
        <v>110</v>
      </c>
      <c r="I641" s="18" t="n">
        <f aca="false">((I640 + G641) - H641)</f>
        <v>-344479.41</v>
      </c>
      <c r="J641" s="18" t="n">
        <v>-11</v>
      </c>
      <c r="K641" s="19" t="n">
        <v>10</v>
      </c>
      <c r="L641" s="17" t="s">
        <v>22</v>
      </c>
    </row>
    <row r="642" s="11" customFormat="true" ht="10.95" hidden="false" customHeight="true" outlineLevel="0" collapsed="false">
      <c r="A642" s="16" t="n">
        <v>45280</v>
      </c>
      <c r="B642" s="17" t="s">
        <v>17</v>
      </c>
      <c r="C642" s="17" t="s">
        <v>18</v>
      </c>
      <c r="D642" s="17" t="s">
        <v>19</v>
      </c>
      <c r="E642" s="17" t="s">
        <v>39</v>
      </c>
      <c r="F642" s="17" t="s">
        <v>392</v>
      </c>
      <c r="G642" s="18" t="n">
        <v>0</v>
      </c>
      <c r="H642" s="18" t="n">
        <v>165</v>
      </c>
      <c r="I642" s="18" t="n">
        <f aca="false">((I641 + G642) - H642)</f>
        <v>-344644.41</v>
      </c>
      <c r="J642" s="18" t="n">
        <v>-16.5</v>
      </c>
      <c r="K642" s="19" t="n">
        <v>10</v>
      </c>
      <c r="L642" s="17" t="s">
        <v>22</v>
      </c>
    </row>
    <row r="643" s="11" customFormat="true" ht="10.95" hidden="false" customHeight="true" outlineLevel="0" collapsed="false">
      <c r="A643" s="16" t="n">
        <v>45280</v>
      </c>
      <c r="B643" s="17" t="s">
        <v>17</v>
      </c>
      <c r="C643" s="17" t="s">
        <v>18</v>
      </c>
      <c r="D643" s="17" t="s">
        <v>19</v>
      </c>
      <c r="E643" s="17" t="s">
        <v>40</v>
      </c>
      <c r="F643" s="17" t="s">
        <v>393</v>
      </c>
      <c r="G643" s="18" t="n">
        <v>0</v>
      </c>
      <c r="H643" s="18" t="n">
        <v>3825</v>
      </c>
      <c r="I643" s="18" t="n">
        <f aca="false">((I642 + G643) - H643)</f>
        <v>-348469.41</v>
      </c>
      <c r="J643" s="18" t="n">
        <v>-382.5</v>
      </c>
      <c r="K643" s="19" t="n">
        <v>10</v>
      </c>
      <c r="L643" s="17" t="s">
        <v>22</v>
      </c>
    </row>
    <row r="644" s="11" customFormat="true" ht="10.95" hidden="false" customHeight="true" outlineLevel="0" collapsed="false">
      <c r="A644" s="16" t="n">
        <v>45280</v>
      </c>
      <c r="B644" s="17" t="s">
        <v>17</v>
      </c>
      <c r="C644" s="17" t="s">
        <v>18</v>
      </c>
      <c r="D644" s="17" t="s">
        <v>19</v>
      </c>
      <c r="E644" s="17" t="s">
        <v>42</v>
      </c>
      <c r="F644" s="17" t="s">
        <v>394</v>
      </c>
      <c r="G644" s="18" t="n">
        <v>0</v>
      </c>
      <c r="H644" s="18" t="n">
        <v>2592</v>
      </c>
      <c r="I644" s="18" t="n">
        <f aca="false">((I643 + G644) - H644)</f>
        <v>-351061.41</v>
      </c>
      <c r="J644" s="18" t="n">
        <v>-259.2</v>
      </c>
      <c r="K644" s="19" t="n">
        <v>10</v>
      </c>
      <c r="L644" s="17" t="s">
        <v>22</v>
      </c>
    </row>
    <row r="645" s="11" customFormat="true" ht="10.95" hidden="false" customHeight="true" outlineLevel="0" collapsed="false">
      <c r="A645" s="16" t="n">
        <v>45280</v>
      </c>
      <c r="B645" s="17" t="s">
        <v>17</v>
      </c>
      <c r="C645" s="17" t="s">
        <v>18</v>
      </c>
      <c r="D645" s="17" t="s">
        <v>19</v>
      </c>
      <c r="E645" s="17" t="s">
        <v>45</v>
      </c>
      <c r="F645" s="17" t="s">
        <v>394</v>
      </c>
      <c r="G645" s="18" t="n">
        <v>0</v>
      </c>
      <c r="H645" s="18" t="n">
        <v>990</v>
      </c>
      <c r="I645" s="18" t="n">
        <f aca="false">((I644 + G645) - H645)</f>
        <v>-352051.41</v>
      </c>
      <c r="J645" s="18" t="n">
        <v>-99</v>
      </c>
      <c r="K645" s="19" t="n">
        <v>10</v>
      </c>
      <c r="L645" s="17" t="s">
        <v>22</v>
      </c>
    </row>
    <row r="646" s="11" customFormat="true" ht="10.95" hidden="false" customHeight="true" outlineLevel="0" collapsed="false">
      <c r="A646" s="16" t="n">
        <v>45280</v>
      </c>
      <c r="B646" s="17" t="s">
        <v>17</v>
      </c>
      <c r="C646" s="17" t="s">
        <v>18</v>
      </c>
      <c r="D646" s="17" t="s">
        <v>19</v>
      </c>
      <c r="E646" s="17" t="s">
        <v>46</v>
      </c>
      <c r="F646" s="17" t="s">
        <v>394</v>
      </c>
      <c r="G646" s="18" t="n">
        <v>0</v>
      </c>
      <c r="H646" s="18" t="n">
        <v>220</v>
      </c>
      <c r="I646" s="18" t="n">
        <f aca="false">((I645 + G646) - H646)</f>
        <v>-352271.41</v>
      </c>
      <c r="J646" s="18" t="n">
        <v>-22</v>
      </c>
      <c r="K646" s="19" t="n">
        <v>10</v>
      </c>
      <c r="L646" s="17" t="s">
        <v>22</v>
      </c>
    </row>
    <row r="647" s="11" customFormat="true" ht="10.95" hidden="false" customHeight="true" outlineLevel="0" collapsed="false">
      <c r="A647" s="16" t="n">
        <v>45280</v>
      </c>
      <c r="B647" s="17" t="s">
        <v>17</v>
      </c>
      <c r="C647" s="17" t="s">
        <v>18</v>
      </c>
      <c r="D647" s="17" t="s">
        <v>19</v>
      </c>
      <c r="E647" s="17" t="s">
        <v>395</v>
      </c>
      <c r="F647" s="17" t="s">
        <v>396</v>
      </c>
      <c r="G647" s="18" t="n">
        <v>0</v>
      </c>
      <c r="H647" s="18" t="n">
        <v>1846.8</v>
      </c>
      <c r="I647" s="18" t="n">
        <f aca="false">((I646 + G647) - H647)</f>
        <v>-354118.21</v>
      </c>
      <c r="J647" s="18" t="n">
        <v>-184.68</v>
      </c>
      <c r="K647" s="19" t="n">
        <v>10</v>
      </c>
      <c r="L647" s="17" t="s">
        <v>22</v>
      </c>
    </row>
    <row r="648" s="11" customFormat="true" ht="10.95" hidden="false" customHeight="true" outlineLevel="0" collapsed="false">
      <c r="A648" s="16" t="n">
        <v>45280</v>
      </c>
      <c r="B648" s="17" t="s">
        <v>17</v>
      </c>
      <c r="C648" s="17" t="s">
        <v>18</v>
      </c>
      <c r="D648" s="17" t="s">
        <v>19</v>
      </c>
      <c r="E648" s="17" t="s">
        <v>397</v>
      </c>
      <c r="F648" s="17" t="s">
        <v>396</v>
      </c>
      <c r="G648" s="18" t="n">
        <v>0</v>
      </c>
      <c r="H648" s="18" t="n">
        <v>156.75</v>
      </c>
      <c r="I648" s="18" t="n">
        <f aca="false">((I647 + G648) - H648)</f>
        <v>-354274.96</v>
      </c>
      <c r="J648" s="18" t="n">
        <v>-15.68</v>
      </c>
      <c r="K648" s="19" t="n">
        <v>10</v>
      </c>
      <c r="L648" s="17" t="s">
        <v>22</v>
      </c>
    </row>
    <row r="649" s="11" customFormat="true" ht="10.95" hidden="false" customHeight="true" outlineLevel="0" collapsed="false">
      <c r="A649" s="16" t="n">
        <v>45280</v>
      </c>
      <c r="B649" s="17" t="s">
        <v>17</v>
      </c>
      <c r="C649" s="17" t="s">
        <v>18</v>
      </c>
      <c r="D649" s="17" t="s">
        <v>19</v>
      </c>
      <c r="E649" s="17" t="s">
        <v>347</v>
      </c>
      <c r="F649" s="17" t="s">
        <v>396</v>
      </c>
      <c r="G649" s="18" t="n">
        <v>0</v>
      </c>
      <c r="H649" s="18" t="n">
        <v>156.75</v>
      </c>
      <c r="I649" s="18" t="n">
        <f aca="false">((I648 + G649) - H649)</f>
        <v>-354431.71</v>
      </c>
      <c r="J649" s="18" t="n">
        <v>-15.68</v>
      </c>
      <c r="K649" s="19" t="n">
        <v>10</v>
      </c>
      <c r="L649" s="17" t="s">
        <v>22</v>
      </c>
    </row>
    <row r="650" s="11" customFormat="true" ht="10.95" hidden="false" customHeight="true" outlineLevel="0" collapsed="false">
      <c r="A650" s="16" t="n">
        <v>45280</v>
      </c>
      <c r="B650" s="17" t="s">
        <v>17</v>
      </c>
      <c r="C650" s="17" t="s">
        <v>18</v>
      </c>
      <c r="D650" s="17" t="s">
        <v>19</v>
      </c>
      <c r="E650" s="17" t="s">
        <v>395</v>
      </c>
      <c r="F650" s="17" t="s">
        <v>396</v>
      </c>
      <c r="G650" s="18" t="n">
        <v>0</v>
      </c>
      <c r="H650" s="18" t="n">
        <v>1846.8</v>
      </c>
      <c r="I650" s="18" t="n">
        <f aca="false">((I649 + G650) - H650)</f>
        <v>-356278.51</v>
      </c>
      <c r="J650" s="18" t="n">
        <v>-184.68</v>
      </c>
      <c r="K650" s="19" t="n">
        <v>10</v>
      </c>
      <c r="L650" s="17" t="s">
        <v>22</v>
      </c>
    </row>
    <row r="651" s="11" customFormat="true" ht="10.95" hidden="false" customHeight="true" outlineLevel="0" collapsed="false">
      <c r="A651" s="16" t="n">
        <v>45280</v>
      </c>
      <c r="B651" s="17" t="s">
        <v>17</v>
      </c>
      <c r="C651" s="17" t="s">
        <v>18</v>
      </c>
      <c r="D651" s="17" t="s">
        <v>19</v>
      </c>
      <c r="E651" s="17" t="s">
        <v>397</v>
      </c>
      <c r="F651" s="17" t="s">
        <v>396</v>
      </c>
      <c r="G651" s="18" t="n">
        <v>0</v>
      </c>
      <c r="H651" s="18" t="n">
        <v>156.75</v>
      </c>
      <c r="I651" s="18" t="n">
        <f aca="false">((I650 + G651) - H651)</f>
        <v>-356435.26</v>
      </c>
      <c r="J651" s="18" t="n">
        <v>-15.68</v>
      </c>
      <c r="K651" s="19" t="n">
        <v>10</v>
      </c>
      <c r="L651" s="17" t="s">
        <v>22</v>
      </c>
    </row>
    <row r="652" s="11" customFormat="true" ht="10.95" hidden="false" customHeight="true" outlineLevel="0" collapsed="false">
      <c r="A652" s="16" t="n">
        <v>45280</v>
      </c>
      <c r="B652" s="17" t="s">
        <v>17</v>
      </c>
      <c r="C652" s="17" t="s">
        <v>18</v>
      </c>
      <c r="D652" s="17" t="s">
        <v>19</v>
      </c>
      <c r="E652" s="17" t="s">
        <v>347</v>
      </c>
      <c r="F652" s="17" t="s">
        <v>396</v>
      </c>
      <c r="G652" s="18" t="n">
        <v>0</v>
      </c>
      <c r="H652" s="18" t="n">
        <v>156.75</v>
      </c>
      <c r="I652" s="18" t="n">
        <f aca="false">((I651 + G652) - H652)</f>
        <v>-356592.01</v>
      </c>
      <c r="J652" s="18" t="n">
        <v>-15.68</v>
      </c>
      <c r="K652" s="19" t="n">
        <v>10</v>
      </c>
      <c r="L652" s="17" t="s">
        <v>22</v>
      </c>
    </row>
    <row r="653" s="11" customFormat="true" ht="10.95" hidden="false" customHeight="true" outlineLevel="0" collapsed="false">
      <c r="A653" s="16" t="n">
        <v>45280</v>
      </c>
      <c r="B653" s="17" t="s">
        <v>17</v>
      </c>
      <c r="C653" s="17" t="s">
        <v>18</v>
      </c>
      <c r="D653" s="17" t="s">
        <v>19</v>
      </c>
      <c r="E653" s="17" t="s">
        <v>395</v>
      </c>
      <c r="F653" s="17" t="s">
        <v>396</v>
      </c>
      <c r="G653" s="18" t="n">
        <v>0</v>
      </c>
      <c r="H653" s="18" t="n">
        <v>1846.8</v>
      </c>
      <c r="I653" s="18" t="n">
        <f aca="false">((I652 + G653) - H653)</f>
        <v>-358438.81</v>
      </c>
      <c r="J653" s="18" t="n">
        <v>-184.68</v>
      </c>
      <c r="K653" s="19" t="n">
        <v>10</v>
      </c>
      <c r="L653" s="17" t="s">
        <v>22</v>
      </c>
    </row>
    <row r="654" s="11" customFormat="true" ht="10.95" hidden="false" customHeight="true" outlineLevel="0" collapsed="false">
      <c r="A654" s="16" t="n">
        <v>45280</v>
      </c>
      <c r="B654" s="17" t="s">
        <v>17</v>
      </c>
      <c r="C654" s="17" t="s">
        <v>18</v>
      </c>
      <c r="D654" s="17" t="s">
        <v>19</v>
      </c>
      <c r="E654" s="17" t="s">
        <v>397</v>
      </c>
      <c r="F654" s="17" t="s">
        <v>396</v>
      </c>
      <c r="G654" s="18" t="n">
        <v>0</v>
      </c>
      <c r="H654" s="18" t="n">
        <v>156.75</v>
      </c>
      <c r="I654" s="18" t="n">
        <f aca="false">((I653 + G654) - H654)</f>
        <v>-358595.56</v>
      </c>
      <c r="J654" s="18" t="n">
        <v>-15.68</v>
      </c>
      <c r="K654" s="19" t="n">
        <v>10</v>
      </c>
      <c r="L654" s="17" t="s">
        <v>22</v>
      </c>
    </row>
    <row r="655" s="11" customFormat="true" ht="10.95" hidden="false" customHeight="true" outlineLevel="0" collapsed="false">
      <c r="A655" s="16" t="n">
        <v>45280</v>
      </c>
      <c r="B655" s="17" t="s">
        <v>17</v>
      </c>
      <c r="C655" s="17" t="s">
        <v>18</v>
      </c>
      <c r="D655" s="17" t="s">
        <v>19</v>
      </c>
      <c r="E655" s="17" t="s">
        <v>347</v>
      </c>
      <c r="F655" s="17" t="s">
        <v>396</v>
      </c>
      <c r="G655" s="18" t="n">
        <v>0</v>
      </c>
      <c r="H655" s="18" t="n">
        <v>156.75</v>
      </c>
      <c r="I655" s="18" t="n">
        <f aca="false">((I654 + G655) - H655)</f>
        <v>-358752.31</v>
      </c>
      <c r="J655" s="18" t="n">
        <v>-15.68</v>
      </c>
      <c r="K655" s="19" t="n">
        <v>10</v>
      </c>
      <c r="L655" s="17" t="s">
        <v>22</v>
      </c>
    </row>
    <row r="656" s="11" customFormat="true" ht="10.95" hidden="false" customHeight="true" outlineLevel="0" collapsed="false">
      <c r="A656" s="16" t="n">
        <v>45280</v>
      </c>
      <c r="B656" s="17" t="s">
        <v>17</v>
      </c>
      <c r="C656" s="17" t="s">
        <v>18</v>
      </c>
      <c r="D656" s="17" t="s">
        <v>19</v>
      </c>
      <c r="E656" s="17" t="s">
        <v>395</v>
      </c>
      <c r="F656" s="17" t="s">
        <v>396</v>
      </c>
      <c r="G656" s="18" t="n">
        <v>0</v>
      </c>
      <c r="H656" s="18" t="n">
        <v>1846.8</v>
      </c>
      <c r="I656" s="18" t="n">
        <f aca="false">((I655 + G656) - H656)</f>
        <v>-360599.11</v>
      </c>
      <c r="J656" s="18" t="n">
        <v>-184.68</v>
      </c>
      <c r="K656" s="19" t="n">
        <v>10</v>
      </c>
      <c r="L656" s="17" t="s">
        <v>22</v>
      </c>
    </row>
    <row r="657" s="11" customFormat="true" ht="10.95" hidden="false" customHeight="true" outlineLevel="0" collapsed="false">
      <c r="A657" s="16" t="n">
        <v>45280</v>
      </c>
      <c r="B657" s="17" t="s">
        <v>17</v>
      </c>
      <c r="C657" s="17" t="s">
        <v>18</v>
      </c>
      <c r="D657" s="17" t="s">
        <v>19</v>
      </c>
      <c r="E657" s="17" t="s">
        <v>397</v>
      </c>
      <c r="F657" s="17" t="s">
        <v>396</v>
      </c>
      <c r="G657" s="18" t="n">
        <v>0</v>
      </c>
      <c r="H657" s="18" t="n">
        <v>156.75</v>
      </c>
      <c r="I657" s="18" t="n">
        <f aca="false">((I656 + G657) - H657)</f>
        <v>-360755.86</v>
      </c>
      <c r="J657" s="18" t="n">
        <v>-15.68</v>
      </c>
      <c r="K657" s="19" t="n">
        <v>10</v>
      </c>
      <c r="L657" s="17" t="s">
        <v>22</v>
      </c>
    </row>
    <row r="658" s="11" customFormat="true" ht="10.95" hidden="false" customHeight="true" outlineLevel="0" collapsed="false">
      <c r="A658" s="16" t="n">
        <v>45280</v>
      </c>
      <c r="B658" s="17" t="s">
        <v>17</v>
      </c>
      <c r="C658" s="17" t="s">
        <v>18</v>
      </c>
      <c r="D658" s="17" t="s">
        <v>19</v>
      </c>
      <c r="E658" s="17" t="s">
        <v>347</v>
      </c>
      <c r="F658" s="17" t="s">
        <v>396</v>
      </c>
      <c r="G658" s="18" t="n">
        <v>0</v>
      </c>
      <c r="H658" s="18" t="n">
        <v>156.75</v>
      </c>
      <c r="I658" s="18" t="n">
        <f aca="false">((I657 + G658) - H658)</f>
        <v>-360912.61</v>
      </c>
      <c r="J658" s="18" t="n">
        <v>-15.68</v>
      </c>
      <c r="K658" s="19" t="n">
        <v>10</v>
      </c>
      <c r="L658" s="17" t="s">
        <v>22</v>
      </c>
    </row>
    <row r="659" s="11" customFormat="true" ht="10.95" hidden="false" customHeight="true" outlineLevel="0" collapsed="false">
      <c r="A659" s="16" t="n">
        <v>45280</v>
      </c>
      <c r="B659" s="17" t="s">
        <v>17</v>
      </c>
      <c r="C659" s="17" t="s">
        <v>18</v>
      </c>
      <c r="D659" s="17" t="s">
        <v>19</v>
      </c>
      <c r="E659" s="17" t="s">
        <v>395</v>
      </c>
      <c r="F659" s="17" t="s">
        <v>396</v>
      </c>
      <c r="G659" s="18" t="n">
        <v>0</v>
      </c>
      <c r="H659" s="18" t="n">
        <v>1846.8</v>
      </c>
      <c r="I659" s="18" t="n">
        <f aca="false">((I658 + G659) - H659)</f>
        <v>-362759.41</v>
      </c>
      <c r="J659" s="18" t="n">
        <v>-184.68</v>
      </c>
      <c r="K659" s="19" t="n">
        <v>10</v>
      </c>
      <c r="L659" s="17" t="s">
        <v>22</v>
      </c>
    </row>
    <row r="660" s="11" customFormat="true" ht="10.95" hidden="false" customHeight="true" outlineLevel="0" collapsed="false">
      <c r="A660" s="16" t="n">
        <v>45280</v>
      </c>
      <c r="B660" s="17" t="s">
        <v>17</v>
      </c>
      <c r="C660" s="17" t="s">
        <v>18</v>
      </c>
      <c r="D660" s="17" t="s">
        <v>19</v>
      </c>
      <c r="E660" s="17" t="s">
        <v>397</v>
      </c>
      <c r="F660" s="17" t="s">
        <v>396</v>
      </c>
      <c r="G660" s="18" t="n">
        <v>0</v>
      </c>
      <c r="H660" s="18" t="n">
        <v>156.75</v>
      </c>
      <c r="I660" s="18" t="n">
        <f aca="false">((I659 + G660) - H660)</f>
        <v>-362916.16</v>
      </c>
      <c r="J660" s="18" t="n">
        <v>-15.68</v>
      </c>
      <c r="K660" s="19" t="n">
        <v>10</v>
      </c>
      <c r="L660" s="17" t="s">
        <v>22</v>
      </c>
    </row>
    <row r="661" s="11" customFormat="true" ht="10.95" hidden="false" customHeight="true" outlineLevel="0" collapsed="false">
      <c r="A661" s="16" t="n">
        <v>45280</v>
      </c>
      <c r="B661" s="17" t="s">
        <v>17</v>
      </c>
      <c r="C661" s="17" t="s">
        <v>18</v>
      </c>
      <c r="D661" s="17" t="s">
        <v>19</v>
      </c>
      <c r="E661" s="17" t="s">
        <v>347</v>
      </c>
      <c r="F661" s="17" t="s">
        <v>396</v>
      </c>
      <c r="G661" s="18" t="n">
        <v>0</v>
      </c>
      <c r="H661" s="18" t="n">
        <v>156.75</v>
      </c>
      <c r="I661" s="18" t="n">
        <f aca="false">((I660 + G661) - H661)</f>
        <v>-363072.91</v>
      </c>
      <c r="J661" s="18" t="n">
        <v>-15.68</v>
      </c>
      <c r="K661" s="19" t="n">
        <v>10</v>
      </c>
      <c r="L661" s="17" t="s">
        <v>22</v>
      </c>
    </row>
    <row r="662" s="11" customFormat="true" ht="10.95" hidden="false" customHeight="true" outlineLevel="0" collapsed="false">
      <c r="A662" s="16" t="n">
        <v>45280</v>
      </c>
      <c r="B662" s="17" t="s">
        <v>17</v>
      </c>
      <c r="C662" s="17" t="s">
        <v>18</v>
      </c>
      <c r="D662" s="17" t="s">
        <v>19</v>
      </c>
      <c r="E662" s="17" t="s">
        <v>395</v>
      </c>
      <c r="F662" s="17" t="s">
        <v>396</v>
      </c>
      <c r="G662" s="18" t="n">
        <v>0</v>
      </c>
      <c r="H662" s="18" t="n">
        <v>1846.8</v>
      </c>
      <c r="I662" s="18" t="n">
        <f aca="false">((I661 + G662) - H662)</f>
        <v>-364919.71</v>
      </c>
      <c r="J662" s="18" t="n">
        <v>-184.68</v>
      </c>
      <c r="K662" s="19" t="n">
        <v>10</v>
      </c>
      <c r="L662" s="17" t="s">
        <v>22</v>
      </c>
    </row>
    <row r="663" s="11" customFormat="true" ht="10.95" hidden="false" customHeight="true" outlineLevel="0" collapsed="false">
      <c r="A663" s="16" t="n">
        <v>45280</v>
      </c>
      <c r="B663" s="17" t="s">
        <v>17</v>
      </c>
      <c r="C663" s="17" t="s">
        <v>18</v>
      </c>
      <c r="D663" s="17" t="s">
        <v>19</v>
      </c>
      <c r="E663" s="17" t="s">
        <v>397</v>
      </c>
      <c r="F663" s="17" t="s">
        <v>396</v>
      </c>
      <c r="G663" s="18" t="n">
        <v>0</v>
      </c>
      <c r="H663" s="18" t="n">
        <v>156.75</v>
      </c>
      <c r="I663" s="18" t="n">
        <f aca="false">((I662 + G663) - H663)</f>
        <v>-365076.46</v>
      </c>
      <c r="J663" s="18" t="n">
        <v>-15.68</v>
      </c>
      <c r="K663" s="19" t="n">
        <v>10</v>
      </c>
      <c r="L663" s="17" t="s">
        <v>22</v>
      </c>
    </row>
    <row r="664" s="11" customFormat="true" ht="10.95" hidden="false" customHeight="true" outlineLevel="0" collapsed="false">
      <c r="A664" s="16" t="n">
        <v>45280</v>
      </c>
      <c r="B664" s="17" t="s">
        <v>17</v>
      </c>
      <c r="C664" s="17" t="s">
        <v>18</v>
      </c>
      <c r="D664" s="17" t="s">
        <v>19</v>
      </c>
      <c r="E664" s="17" t="s">
        <v>347</v>
      </c>
      <c r="F664" s="17" t="s">
        <v>396</v>
      </c>
      <c r="G664" s="18" t="n">
        <v>0</v>
      </c>
      <c r="H664" s="18" t="n">
        <v>156.75</v>
      </c>
      <c r="I664" s="18" t="n">
        <f aca="false">((I663 + G664) - H664)</f>
        <v>-365233.21</v>
      </c>
      <c r="J664" s="18" t="n">
        <v>-15.68</v>
      </c>
      <c r="K664" s="19" t="n">
        <v>10</v>
      </c>
      <c r="L664" s="17" t="s">
        <v>22</v>
      </c>
    </row>
    <row r="665" s="11" customFormat="true" ht="10.95" hidden="false" customHeight="true" outlineLevel="0" collapsed="false">
      <c r="A665" s="16" t="n">
        <v>45280</v>
      </c>
      <c r="B665" s="17" t="s">
        <v>17</v>
      </c>
      <c r="C665" s="17" t="s">
        <v>18</v>
      </c>
      <c r="D665" s="17" t="s">
        <v>19</v>
      </c>
      <c r="E665" s="17" t="s">
        <v>395</v>
      </c>
      <c r="F665" s="17" t="s">
        <v>396</v>
      </c>
      <c r="G665" s="18" t="n">
        <v>0</v>
      </c>
      <c r="H665" s="18" t="n">
        <v>1846.8</v>
      </c>
      <c r="I665" s="18" t="n">
        <f aca="false">((I664 + G665) - H665)</f>
        <v>-367080.01</v>
      </c>
      <c r="J665" s="18" t="n">
        <v>-184.68</v>
      </c>
      <c r="K665" s="19" t="n">
        <v>10</v>
      </c>
      <c r="L665" s="17" t="s">
        <v>22</v>
      </c>
    </row>
    <row r="666" s="11" customFormat="true" ht="10.95" hidden="false" customHeight="true" outlineLevel="0" collapsed="false">
      <c r="A666" s="16" t="n">
        <v>45280</v>
      </c>
      <c r="B666" s="17" t="s">
        <v>17</v>
      </c>
      <c r="C666" s="17" t="s">
        <v>18</v>
      </c>
      <c r="D666" s="17" t="s">
        <v>19</v>
      </c>
      <c r="E666" s="17" t="s">
        <v>397</v>
      </c>
      <c r="F666" s="17" t="s">
        <v>396</v>
      </c>
      <c r="G666" s="18" t="n">
        <v>0</v>
      </c>
      <c r="H666" s="18" t="n">
        <v>156.75</v>
      </c>
      <c r="I666" s="18" t="n">
        <f aca="false">((I665 + G666) - H666)</f>
        <v>-367236.76</v>
      </c>
      <c r="J666" s="18" t="n">
        <v>-15.68</v>
      </c>
      <c r="K666" s="19" t="n">
        <v>10</v>
      </c>
      <c r="L666" s="17" t="s">
        <v>22</v>
      </c>
    </row>
    <row r="667" s="11" customFormat="true" ht="10.95" hidden="false" customHeight="true" outlineLevel="0" collapsed="false">
      <c r="A667" s="16" t="n">
        <v>45280</v>
      </c>
      <c r="B667" s="17" t="s">
        <v>17</v>
      </c>
      <c r="C667" s="17" t="s">
        <v>18</v>
      </c>
      <c r="D667" s="17" t="s">
        <v>19</v>
      </c>
      <c r="E667" s="17" t="s">
        <v>347</v>
      </c>
      <c r="F667" s="17" t="s">
        <v>396</v>
      </c>
      <c r="G667" s="18" t="n">
        <v>0</v>
      </c>
      <c r="H667" s="18" t="n">
        <v>156.75</v>
      </c>
      <c r="I667" s="18" t="n">
        <f aca="false">((I666 + G667) - H667)</f>
        <v>-367393.51</v>
      </c>
      <c r="J667" s="18" t="n">
        <v>-15.68</v>
      </c>
      <c r="K667" s="19" t="n">
        <v>10</v>
      </c>
      <c r="L667" s="17" t="s">
        <v>22</v>
      </c>
    </row>
    <row r="668" s="11" customFormat="true" ht="10.95" hidden="false" customHeight="true" outlineLevel="0" collapsed="false">
      <c r="A668" s="16" t="n">
        <v>45280</v>
      </c>
      <c r="B668" s="17" t="s">
        <v>17</v>
      </c>
      <c r="C668" s="17" t="s">
        <v>18</v>
      </c>
      <c r="D668" s="17" t="s">
        <v>19</v>
      </c>
      <c r="E668" s="17" t="s">
        <v>395</v>
      </c>
      <c r="F668" s="17" t="s">
        <v>396</v>
      </c>
      <c r="G668" s="18" t="n">
        <v>0</v>
      </c>
      <c r="H668" s="18" t="n">
        <v>1846.8</v>
      </c>
      <c r="I668" s="18" t="n">
        <f aca="false">((I667 + G668) - H668)</f>
        <v>-369240.31</v>
      </c>
      <c r="J668" s="18" t="n">
        <v>-184.68</v>
      </c>
      <c r="K668" s="19" t="n">
        <v>10</v>
      </c>
      <c r="L668" s="17" t="s">
        <v>22</v>
      </c>
    </row>
    <row r="669" s="11" customFormat="true" ht="10.95" hidden="false" customHeight="true" outlineLevel="0" collapsed="false">
      <c r="A669" s="16" t="n">
        <v>45280</v>
      </c>
      <c r="B669" s="17" t="s">
        <v>17</v>
      </c>
      <c r="C669" s="17" t="s">
        <v>18</v>
      </c>
      <c r="D669" s="17" t="s">
        <v>19</v>
      </c>
      <c r="E669" s="17" t="s">
        <v>397</v>
      </c>
      <c r="F669" s="17" t="s">
        <v>396</v>
      </c>
      <c r="G669" s="18" t="n">
        <v>0</v>
      </c>
      <c r="H669" s="18" t="n">
        <v>156.75</v>
      </c>
      <c r="I669" s="18" t="n">
        <f aca="false">((I668 + G669) - H669)</f>
        <v>-369397.06</v>
      </c>
      <c r="J669" s="18" t="n">
        <v>-15.68</v>
      </c>
      <c r="K669" s="19" t="n">
        <v>10</v>
      </c>
      <c r="L669" s="17" t="s">
        <v>22</v>
      </c>
    </row>
    <row r="670" s="11" customFormat="true" ht="10.95" hidden="false" customHeight="true" outlineLevel="0" collapsed="false">
      <c r="A670" s="16" t="n">
        <v>45280</v>
      </c>
      <c r="B670" s="17" t="s">
        <v>17</v>
      </c>
      <c r="C670" s="17" t="s">
        <v>18</v>
      </c>
      <c r="D670" s="17" t="s">
        <v>19</v>
      </c>
      <c r="E670" s="17" t="s">
        <v>347</v>
      </c>
      <c r="F670" s="17" t="s">
        <v>396</v>
      </c>
      <c r="G670" s="18" t="n">
        <v>0</v>
      </c>
      <c r="H670" s="18" t="n">
        <v>156.75</v>
      </c>
      <c r="I670" s="18" t="n">
        <f aca="false">((I669 + G670) - H670)</f>
        <v>-369553.81</v>
      </c>
      <c r="J670" s="18" t="n">
        <v>-15.68</v>
      </c>
      <c r="K670" s="19" t="n">
        <v>10</v>
      </c>
      <c r="L670" s="17" t="s">
        <v>22</v>
      </c>
    </row>
    <row r="671" s="11" customFormat="true" ht="10.95" hidden="false" customHeight="true" outlineLevel="0" collapsed="false">
      <c r="A671" s="16" t="n">
        <v>45280</v>
      </c>
      <c r="B671" s="17" t="s">
        <v>17</v>
      </c>
      <c r="C671" s="17" t="s">
        <v>18</v>
      </c>
      <c r="D671" s="17" t="s">
        <v>19</v>
      </c>
      <c r="E671" s="17" t="s">
        <v>395</v>
      </c>
      <c r="F671" s="17" t="s">
        <v>396</v>
      </c>
      <c r="G671" s="18" t="n">
        <v>0</v>
      </c>
      <c r="H671" s="18" t="n">
        <v>1846.8</v>
      </c>
      <c r="I671" s="18" t="n">
        <f aca="false">((I670 + G671) - H671)</f>
        <v>-371400.61</v>
      </c>
      <c r="J671" s="18" t="n">
        <v>-184.68</v>
      </c>
      <c r="K671" s="19" t="n">
        <v>10</v>
      </c>
      <c r="L671" s="17" t="s">
        <v>22</v>
      </c>
    </row>
    <row r="672" s="11" customFormat="true" ht="10.95" hidden="false" customHeight="true" outlineLevel="0" collapsed="false">
      <c r="A672" s="16" t="n">
        <v>45280</v>
      </c>
      <c r="B672" s="17" t="s">
        <v>17</v>
      </c>
      <c r="C672" s="17" t="s">
        <v>18</v>
      </c>
      <c r="D672" s="17" t="s">
        <v>19</v>
      </c>
      <c r="E672" s="17" t="s">
        <v>397</v>
      </c>
      <c r="F672" s="17" t="s">
        <v>396</v>
      </c>
      <c r="G672" s="18" t="n">
        <v>0</v>
      </c>
      <c r="H672" s="18" t="n">
        <v>156.75</v>
      </c>
      <c r="I672" s="18" t="n">
        <f aca="false">((I671 + G672) - H672)</f>
        <v>-371557.36</v>
      </c>
      <c r="J672" s="18" t="n">
        <v>-15.68</v>
      </c>
      <c r="K672" s="19" t="n">
        <v>10</v>
      </c>
      <c r="L672" s="17" t="s">
        <v>22</v>
      </c>
    </row>
    <row r="673" s="11" customFormat="true" ht="10.95" hidden="false" customHeight="true" outlineLevel="0" collapsed="false">
      <c r="A673" s="16" t="n">
        <v>45280</v>
      </c>
      <c r="B673" s="17" t="s">
        <v>17</v>
      </c>
      <c r="C673" s="17" t="s">
        <v>18</v>
      </c>
      <c r="D673" s="17" t="s">
        <v>19</v>
      </c>
      <c r="E673" s="17" t="s">
        <v>347</v>
      </c>
      <c r="F673" s="17" t="s">
        <v>396</v>
      </c>
      <c r="G673" s="18" t="n">
        <v>0</v>
      </c>
      <c r="H673" s="18" t="n">
        <v>156.75</v>
      </c>
      <c r="I673" s="18" t="n">
        <f aca="false">((I672 + G673) - H673)</f>
        <v>-371714.11</v>
      </c>
      <c r="J673" s="18" t="n">
        <v>-15.68</v>
      </c>
      <c r="K673" s="19" t="n">
        <v>10</v>
      </c>
      <c r="L673" s="17" t="s">
        <v>22</v>
      </c>
    </row>
    <row r="674" s="11" customFormat="true" ht="10.95" hidden="false" customHeight="true" outlineLevel="0" collapsed="false">
      <c r="A674" s="16" t="n">
        <v>45280</v>
      </c>
      <c r="B674" s="17" t="s">
        <v>17</v>
      </c>
      <c r="C674" s="17" t="s">
        <v>18</v>
      </c>
      <c r="D674" s="17" t="s">
        <v>19</v>
      </c>
      <c r="E674" s="17" t="s">
        <v>395</v>
      </c>
      <c r="F674" s="17" t="s">
        <v>396</v>
      </c>
      <c r="G674" s="18" t="n">
        <v>0</v>
      </c>
      <c r="H674" s="18" t="n">
        <v>1846.8</v>
      </c>
      <c r="I674" s="18" t="n">
        <f aca="false">((I673 + G674) - H674)</f>
        <v>-373560.91</v>
      </c>
      <c r="J674" s="18" t="n">
        <v>-184.68</v>
      </c>
      <c r="K674" s="19" t="n">
        <v>10</v>
      </c>
      <c r="L674" s="17" t="s">
        <v>22</v>
      </c>
    </row>
    <row r="675" s="11" customFormat="true" ht="10.95" hidden="false" customHeight="true" outlineLevel="0" collapsed="false">
      <c r="A675" s="16" t="n">
        <v>45280</v>
      </c>
      <c r="B675" s="17" t="s">
        <v>17</v>
      </c>
      <c r="C675" s="17" t="s">
        <v>18</v>
      </c>
      <c r="D675" s="17" t="s">
        <v>19</v>
      </c>
      <c r="E675" s="17" t="s">
        <v>397</v>
      </c>
      <c r="F675" s="17" t="s">
        <v>396</v>
      </c>
      <c r="G675" s="18" t="n">
        <v>0</v>
      </c>
      <c r="H675" s="18" t="n">
        <v>156.75</v>
      </c>
      <c r="I675" s="18" t="n">
        <f aca="false">((I674 + G675) - H675)</f>
        <v>-373717.66</v>
      </c>
      <c r="J675" s="18" t="n">
        <v>-15.68</v>
      </c>
      <c r="K675" s="19" t="n">
        <v>10</v>
      </c>
      <c r="L675" s="17" t="s">
        <v>22</v>
      </c>
    </row>
    <row r="676" s="11" customFormat="true" ht="10.95" hidden="false" customHeight="true" outlineLevel="0" collapsed="false">
      <c r="A676" s="16" t="n">
        <v>45280</v>
      </c>
      <c r="B676" s="17" t="s">
        <v>17</v>
      </c>
      <c r="C676" s="17" t="s">
        <v>18</v>
      </c>
      <c r="D676" s="17" t="s">
        <v>19</v>
      </c>
      <c r="E676" s="17" t="s">
        <v>347</v>
      </c>
      <c r="F676" s="17" t="s">
        <v>396</v>
      </c>
      <c r="G676" s="18" t="n">
        <v>0</v>
      </c>
      <c r="H676" s="18" t="n">
        <v>156.75</v>
      </c>
      <c r="I676" s="18" t="n">
        <f aca="false">((I675 + G676) - H676)</f>
        <v>-373874.41</v>
      </c>
      <c r="J676" s="18" t="n">
        <v>-15.68</v>
      </c>
      <c r="K676" s="19" t="n">
        <v>10</v>
      </c>
      <c r="L676" s="17" t="s">
        <v>22</v>
      </c>
    </row>
    <row r="677" s="11" customFormat="true" ht="10.95" hidden="false" customHeight="true" outlineLevel="0" collapsed="false">
      <c r="A677" s="16" t="n">
        <v>45280</v>
      </c>
      <c r="B677" s="17" t="s">
        <v>17</v>
      </c>
      <c r="C677" s="17" t="s">
        <v>18</v>
      </c>
      <c r="D677" s="17" t="s">
        <v>19</v>
      </c>
      <c r="E677" s="17" t="s">
        <v>395</v>
      </c>
      <c r="F677" s="17" t="s">
        <v>396</v>
      </c>
      <c r="G677" s="18" t="n">
        <v>0</v>
      </c>
      <c r="H677" s="18" t="n">
        <v>1846.8</v>
      </c>
      <c r="I677" s="18" t="n">
        <f aca="false">((I676 + G677) - H677)</f>
        <v>-375721.21</v>
      </c>
      <c r="J677" s="18" t="n">
        <v>-184.68</v>
      </c>
      <c r="K677" s="19" t="n">
        <v>10</v>
      </c>
      <c r="L677" s="17" t="s">
        <v>22</v>
      </c>
    </row>
    <row r="678" s="11" customFormat="true" ht="10.95" hidden="false" customHeight="true" outlineLevel="0" collapsed="false">
      <c r="A678" s="16" t="n">
        <v>45280</v>
      </c>
      <c r="B678" s="17" t="s">
        <v>17</v>
      </c>
      <c r="C678" s="17" t="s">
        <v>18</v>
      </c>
      <c r="D678" s="17" t="s">
        <v>19</v>
      </c>
      <c r="E678" s="17" t="s">
        <v>397</v>
      </c>
      <c r="F678" s="17" t="s">
        <v>396</v>
      </c>
      <c r="G678" s="18" t="n">
        <v>0</v>
      </c>
      <c r="H678" s="18" t="n">
        <v>156.75</v>
      </c>
      <c r="I678" s="18" t="n">
        <f aca="false">((I677 + G678) - H678)</f>
        <v>-375877.96</v>
      </c>
      <c r="J678" s="18" t="n">
        <v>-15.68</v>
      </c>
      <c r="K678" s="19" t="n">
        <v>10</v>
      </c>
      <c r="L678" s="17" t="s">
        <v>22</v>
      </c>
    </row>
    <row r="679" s="11" customFormat="true" ht="10.95" hidden="false" customHeight="true" outlineLevel="0" collapsed="false">
      <c r="A679" s="16" t="n">
        <v>45280</v>
      </c>
      <c r="B679" s="17" t="s">
        <v>17</v>
      </c>
      <c r="C679" s="17" t="s">
        <v>18</v>
      </c>
      <c r="D679" s="17" t="s">
        <v>19</v>
      </c>
      <c r="E679" s="17" t="s">
        <v>347</v>
      </c>
      <c r="F679" s="17" t="s">
        <v>396</v>
      </c>
      <c r="G679" s="18" t="n">
        <v>0</v>
      </c>
      <c r="H679" s="18" t="n">
        <v>156.75</v>
      </c>
      <c r="I679" s="18" t="n">
        <f aca="false">((I678 + G679) - H679)</f>
        <v>-376034.71</v>
      </c>
      <c r="J679" s="18" t="n">
        <v>-15.68</v>
      </c>
      <c r="K679" s="19" t="n">
        <v>10</v>
      </c>
      <c r="L679" s="17" t="s">
        <v>22</v>
      </c>
    </row>
    <row r="680" s="11" customFormat="true" ht="10.95" hidden="false" customHeight="true" outlineLevel="0" collapsed="false">
      <c r="A680" s="16" t="n">
        <v>45280</v>
      </c>
      <c r="B680" s="17" t="s">
        <v>17</v>
      </c>
      <c r="C680" s="17" t="s">
        <v>18</v>
      </c>
      <c r="D680" s="17" t="s">
        <v>19</v>
      </c>
      <c r="E680" s="17" t="s">
        <v>395</v>
      </c>
      <c r="F680" s="17" t="s">
        <v>396</v>
      </c>
      <c r="G680" s="18" t="n">
        <v>0</v>
      </c>
      <c r="H680" s="18" t="n">
        <v>1846.8</v>
      </c>
      <c r="I680" s="18" t="n">
        <f aca="false">((I679 + G680) - H680)</f>
        <v>-377881.51</v>
      </c>
      <c r="J680" s="18" t="n">
        <v>-184.68</v>
      </c>
      <c r="K680" s="19" t="n">
        <v>10</v>
      </c>
      <c r="L680" s="17" t="s">
        <v>22</v>
      </c>
    </row>
    <row r="681" s="11" customFormat="true" ht="10.95" hidden="false" customHeight="true" outlineLevel="0" collapsed="false">
      <c r="A681" s="16" t="n">
        <v>45280</v>
      </c>
      <c r="B681" s="17" t="s">
        <v>17</v>
      </c>
      <c r="C681" s="17" t="s">
        <v>18</v>
      </c>
      <c r="D681" s="17" t="s">
        <v>19</v>
      </c>
      <c r="E681" s="17" t="s">
        <v>397</v>
      </c>
      <c r="F681" s="17" t="s">
        <v>396</v>
      </c>
      <c r="G681" s="18" t="n">
        <v>0</v>
      </c>
      <c r="H681" s="18" t="n">
        <v>156.75</v>
      </c>
      <c r="I681" s="18" t="n">
        <f aca="false">((I680 + G681) - H681)</f>
        <v>-378038.26</v>
      </c>
      <c r="J681" s="18" t="n">
        <v>-15.68</v>
      </c>
      <c r="K681" s="19" t="n">
        <v>10</v>
      </c>
      <c r="L681" s="17" t="s">
        <v>22</v>
      </c>
    </row>
    <row r="682" s="11" customFormat="true" ht="10.95" hidden="false" customHeight="true" outlineLevel="0" collapsed="false">
      <c r="A682" s="16" t="n">
        <v>45280</v>
      </c>
      <c r="B682" s="17" t="s">
        <v>17</v>
      </c>
      <c r="C682" s="17" t="s">
        <v>18</v>
      </c>
      <c r="D682" s="17" t="s">
        <v>19</v>
      </c>
      <c r="E682" s="17" t="s">
        <v>347</v>
      </c>
      <c r="F682" s="17" t="s">
        <v>396</v>
      </c>
      <c r="G682" s="18" t="n">
        <v>0</v>
      </c>
      <c r="H682" s="18" t="n">
        <v>156.75</v>
      </c>
      <c r="I682" s="18" t="n">
        <f aca="false">((I681 + G682) - H682)</f>
        <v>-378195.01</v>
      </c>
      <c r="J682" s="18" t="n">
        <v>-15.68</v>
      </c>
      <c r="K682" s="19" t="n">
        <v>10</v>
      </c>
      <c r="L682" s="17" t="s">
        <v>22</v>
      </c>
    </row>
    <row r="683" s="11" customFormat="true" ht="10.95" hidden="false" customHeight="true" outlineLevel="0" collapsed="false">
      <c r="A683" s="16" t="n">
        <v>45280</v>
      </c>
      <c r="B683" s="17" t="s">
        <v>17</v>
      </c>
      <c r="C683" s="17" t="s">
        <v>18</v>
      </c>
      <c r="D683" s="17" t="s">
        <v>19</v>
      </c>
      <c r="E683" s="17" t="s">
        <v>50</v>
      </c>
      <c r="F683" s="17" t="s">
        <v>398</v>
      </c>
      <c r="G683" s="18" t="n">
        <v>0</v>
      </c>
      <c r="H683" s="18" t="n">
        <v>2040</v>
      </c>
      <c r="I683" s="18" t="n">
        <f aca="false">((I682 + G683) - H683)</f>
        <v>-380235.01</v>
      </c>
      <c r="J683" s="18" t="n">
        <v>-204</v>
      </c>
      <c r="K683" s="19" t="n">
        <v>10</v>
      </c>
      <c r="L683" s="17" t="s">
        <v>22</v>
      </c>
    </row>
    <row r="684" s="11" customFormat="true" ht="10.95" hidden="false" customHeight="true" outlineLevel="0" collapsed="false">
      <c r="A684" s="16" t="n">
        <v>45280</v>
      </c>
      <c r="B684" s="17" t="s">
        <v>17</v>
      </c>
      <c r="C684" s="17" t="s">
        <v>18</v>
      </c>
      <c r="D684" s="17" t="s">
        <v>19</v>
      </c>
      <c r="E684" s="17" t="s">
        <v>52</v>
      </c>
      <c r="F684" s="17" t="s">
        <v>399</v>
      </c>
      <c r="G684" s="18" t="n">
        <v>0</v>
      </c>
      <c r="H684" s="18" t="n">
        <v>1000.05</v>
      </c>
      <c r="I684" s="18" t="n">
        <f aca="false">((I683 + G684) - H684)</f>
        <v>-381235.06</v>
      </c>
      <c r="J684" s="18" t="n">
        <v>-100.01</v>
      </c>
      <c r="K684" s="19" t="n">
        <v>10</v>
      </c>
      <c r="L684" s="17" t="s">
        <v>22</v>
      </c>
    </row>
    <row r="685" s="11" customFormat="true" ht="10.95" hidden="false" customHeight="true" outlineLevel="0" collapsed="false">
      <c r="A685" s="16" t="n">
        <v>45280</v>
      </c>
      <c r="B685" s="17" t="s">
        <v>17</v>
      </c>
      <c r="C685" s="17" t="s">
        <v>18</v>
      </c>
      <c r="D685" s="17" t="s">
        <v>19</v>
      </c>
      <c r="E685" s="17" t="s">
        <v>54</v>
      </c>
      <c r="F685" s="17" t="s">
        <v>400</v>
      </c>
      <c r="G685" s="18" t="n">
        <v>0</v>
      </c>
      <c r="H685" s="18" t="n">
        <v>550</v>
      </c>
      <c r="I685" s="18" t="n">
        <f aca="false">((I684 + G685) - H685)</f>
        <v>-381785.06</v>
      </c>
      <c r="J685" s="18" t="n">
        <v>-55</v>
      </c>
      <c r="K685" s="19" t="n">
        <v>10</v>
      </c>
      <c r="L685" s="17" t="s">
        <v>22</v>
      </c>
    </row>
    <row r="686" s="11" customFormat="true" ht="31.65" hidden="false" customHeight="true" outlineLevel="0" collapsed="false">
      <c r="A686" s="16" t="n">
        <v>45280</v>
      </c>
      <c r="B686" s="17" t="s">
        <v>17</v>
      </c>
      <c r="C686" s="17" t="s">
        <v>18</v>
      </c>
      <c r="D686" s="17" t="s">
        <v>19</v>
      </c>
      <c r="E686" s="20" t="s">
        <v>56</v>
      </c>
      <c r="F686" s="17" t="s">
        <v>400</v>
      </c>
      <c r="G686" s="18" t="n">
        <v>0</v>
      </c>
      <c r="H686" s="18" t="n">
        <v>110</v>
      </c>
      <c r="I686" s="18" t="n">
        <f aca="false">((I685 + G686) - H686)</f>
        <v>-381895.06</v>
      </c>
      <c r="J686" s="18" t="n">
        <v>-11</v>
      </c>
      <c r="K686" s="19" t="n">
        <v>10</v>
      </c>
      <c r="L686" s="17" t="s">
        <v>22</v>
      </c>
    </row>
    <row r="687" s="11" customFormat="true" ht="10.95" hidden="false" customHeight="true" outlineLevel="0" collapsed="false">
      <c r="A687" s="16" t="n">
        <v>45280</v>
      </c>
      <c r="B687" s="17" t="s">
        <v>17</v>
      </c>
      <c r="C687" s="17" t="s">
        <v>18</v>
      </c>
      <c r="D687" s="17" t="s">
        <v>19</v>
      </c>
      <c r="E687" s="17" t="s">
        <v>57</v>
      </c>
      <c r="F687" s="17" t="s">
        <v>400</v>
      </c>
      <c r="G687" s="18" t="n">
        <v>0</v>
      </c>
      <c r="H687" s="18" t="n">
        <v>132</v>
      </c>
      <c r="I687" s="18" t="n">
        <f aca="false">((I686 + G687) - H687)</f>
        <v>-382027.06</v>
      </c>
      <c r="J687" s="18" t="n">
        <v>-13.2</v>
      </c>
      <c r="K687" s="19" t="n">
        <v>10</v>
      </c>
      <c r="L687" s="17" t="s">
        <v>22</v>
      </c>
    </row>
    <row r="688" s="11" customFormat="true" ht="10.95" hidden="false" customHeight="true" outlineLevel="0" collapsed="false">
      <c r="A688" s="16" t="n">
        <v>45280</v>
      </c>
      <c r="B688" s="17" t="s">
        <v>17</v>
      </c>
      <c r="C688" s="17" t="s">
        <v>18</v>
      </c>
      <c r="D688" s="17" t="s">
        <v>19</v>
      </c>
      <c r="E688" s="17" t="s">
        <v>58</v>
      </c>
      <c r="F688" s="17" t="s">
        <v>400</v>
      </c>
      <c r="G688" s="18" t="n">
        <v>0</v>
      </c>
      <c r="H688" s="18" t="n">
        <v>165</v>
      </c>
      <c r="I688" s="18" t="n">
        <f aca="false">((I687 + G688) - H688)</f>
        <v>-382192.06</v>
      </c>
      <c r="J688" s="18" t="n">
        <v>-16.5</v>
      </c>
      <c r="K688" s="19" t="n">
        <v>10</v>
      </c>
      <c r="L688" s="17" t="s">
        <v>22</v>
      </c>
    </row>
    <row r="689" s="11" customFormat="true" ht="10.95" hidden="false" customHeight="true" outlineLevel="0" collapsed="false">
      <c r="A689" s="16" t="n">
        <v>45280</v>
      </c>
      <c r="B689" s="17" t="s">
        <v>17</v>
      </c>
      <c r="C689" s="17" t="s">
        <v>18</v>
      </c>
      <c r="D689" s="17" t="s">
        <v>19</v>
      </c>
      <c r="E689" s="17" t="s">
        <v>59</v>
      </c>
      <c r="F689" s="17" t="s">
        <v>401</v>
      </c>
      <c r="G689" s="18" t="n">
        <v>0</v>
      </c>
      <c r="H689" s="18" t="n">
        <v>4800</v>
      </c>
      <c r="I689" s="18" t="n">
        <f aca="false">((I688 + G689) - H689)</f>
        <v>-386992.06</v>
      </c>
      <c r="J689" s="18" t="n">
        <v>-480</v>
      </c>
      <c r="K689" s="19" t="n">
        <v>10</v>
      </c>
      <c r="L689" s="17" t="s">
        <v>22</v>
      </c>
    </row>
    <row r="690" s="11" customFormat="true" ht="10.95" hidden="false" customHeight="true" outlineLevel="0" collapsed="false">
      <c r="A690" s="16" t="n">
        <v>45280</v>
      </c>
      <c r="B690" s="17" t="s">
        <v>17</v>
      </c>
      <c r="C690" s="17" t="s">
        <v>18</v>
      </c>
      <c r="D690" s="17" t="s">
        <v>19</v>
      </c>
      <c r="E690" s="17" t="s">
        <v>61</v>
      </c>
      <c r="F690" s="17" t="s">
        <v>401</v>
      </c>
      <c r="G690" s="18" t="n">
        <v>0</v>
      </c>
      <c r="H690" s="18" t="n">
        <v>3990</v>
      </c>
      <c r="I690" s="18" t="n">
        <f aca="false">((I689 + G690) - H690)</f>
        <v>-390982.06</v>
      </c>
      <c r="J690" s="18" t="n">
        <v>-399</v>
      </c>
      <c r="K690" s="19" t="n">
        <v>10</v>
      </c>
      <c r="L690" s="17" t="s">
        <v>22</v>
      </c>
    </row>
    <row r="691" s="11" customFormat="true" ht="10.95" hidden="false" customHeight="true" outlineLevel="0" collapsed="false">
      <c r="A691" s="16" t="n">
        <v>45280</v>
      </c>
      <c r="B691" s="17" t="s">
        <v>17</v>
      </c>
      <c r="C691" s="17" t="s">
        <v>18</v>
      </c>
      <c r="D691" s="17" t="s">
        <v>19</v>
      </c>
      <c r="E691" s="17" t="s">
        <v>62</v>
      </c>
      <c r="F691" s="17" t="s">
        <v>401</v>
      </c>
      <c r="G691" s="18" t="n">
        <v>0</v>
      </c>
      <c r="H691" s="18" t="n">
        <v>300</v>
      </c>
      <c r="I691" s="18" t="n">
        <f aca="false">((I690 + G691) - H691)</f>
        <v>-391282.06</v>
      </c>
      <c r="J691" s="18" t="n">
        <v>-30</v>
      </c>
      <c r="K691" s="19" t="n">
        <v>10</v>
      </c>
      <c r="L691" s="17" t="s">
        <v>22</v>
      </c>
    </row>
    <row r="692" s="11" customFormat="true" ht="10.95" hidden="false" customHeight="true" outlineLevel="0" collapsed="false">
      <c r="A692" s="16" t="n">
        <v>45280</v>
      </c>
      <c r="B692" s="17" t="s">
        <v>17</v>
      </c>
      <c r="C692" s="17" t="s">
        <v>18</v>
      </c>
      <c r="D692" s="17" t="s">
        <v>19</v>
      </c>
      <c r="E692" s="17" t="s">
        <v>64</v>
      </c>
      <c r="F692" s="17" t="s">
        <v>402</v>
      </c>
      <c r="G692" s="18" t="n">
        <v>0</v>
      </c>
      <c r="H692" s="18" t="n">
        <v>3850</v>
      </c>
      <c r="I692" s="18" t="n">
        <f aca="false">((I691 + G692) - H692)</f>
        <v>-395132.06</v>
      </c>
      <c r="J692" s="18" t="n">
        <v>-385</v>
      </c>
      <c r="K692" s="19" t="n">
        <v>10</v>
      </c>
      <c r="L692" s="17" t="s">
        <v>22</v>
      </c>
    </row>
    <row r="693" s="11" customFormat="true" ht="10.95" hidden="false" customHeight="true" outlineLevel="0" collapsed="false">
      <c r="A693" s="16" t="n">
        <v>45280</v>
      </c>
      <c r="B693" s="17" t="s">
        <v>17</v>
      </c>
      <c r="C693" s="17" t="s">
        <v>18</v>
      </c>
      <c r="D693" s="17" t="s">
        <v>19</v>
      </c>
      <c r="E693" s="17" t="s">
        <v>66</v>
      </c>
      <c r="F693" s="17" t="s">
        <v>402</v>
      </c>
      <c r="G693" s="18" t="n">
        <v>0</v>
      </c>
      <c r="H693" s="18" t="n">
        <v>220</v>
      </c>
      <c r="I693" s="18" t="n">
        <f aca="false">((I692 + G693) - H693)</f>
        <v>-395352.06</v>
      </c>
      <c r="J693" s="18" t="n">
        <v>-22</v>
      </c>
      <c r="K693" s="19" t="n">
        <v>10</v>
      </c>
      <c r="L693" s="17" t="s">
        <v>22</v>
      </c>
    </row>
    <row r="694" s="11" customFormat="true" ht="10.95" hidden="false" customHeight="true" outlineLevel="0" collapsed="false">
      <c r="A694" s="16" t="n">
        <v>45280</v>
      </c>
      <c r="B694" s="17" t="s">
        <v>17</v>
      </c>
      <c r="C694" s="17" t="s">
        <v>18</v>
      </c>
      <c r="D694" s="17" t="s">
        <v>19</v>
      </c>
      <c r="E694" s="17" t="s">
        <v>67</v>
      </c>
      <c r="F694" s="17" t="s">
        <v>402</v>
      </c>
      <c r="G694" s="18" t="n">
        <v>0</v>
      </c>
      <c r="H694" s="18" t="n">
        <v>220</v>
      </c>
      <c r="I694" s="18" t="n">
        <f aca="false">((I693 + G694) - H694)</f>
        <v>-395572.06</v>
      </c>
      <c r="J694" s="18" t="n">
        <v>-22</v>
      </c>
      <c r="K694" s="19" t="n">
        <v>10</v>
      </c>
      <c r="L694" s="17" t="s">
        <v>22</v>
      </c>
    </row>
    <row r="695" s="11" customFormat="true" ht="10.95" hidden="false" customHeight="true" outlineLevel="0" collapsed="false">
      <c r="A695" s="16" t="n">
        <v>45280</v>
      </c>
      <c r="B695" s="17" t="s">
        <v>17</v>
      </c>
      <c r="C695" s="17" t="s">
        <v>18</v>
      </c>
      <c r="D695" s="17" t="s">
        <v>19</v>
      </c>
      <c r="E695" s="17" t="s">
        <v>68</v>
      </c>
      <c r="F695" s="17" t="s">
        <v>402</v>
      </c>
      <c r="G695" s="18" t="n">
        <v>0</v>
      </c>
      <c r="H695" s="18" t="n">
        <v>250</v>
      </c>
      <c r="I695" s="18" t="n">
        <f aca="false">((I694 + G695) - H695)</f>
        <v>-395822.06</v>
      </c>
      <c r="J695" s="18" t="n">
        <v>-25</v>
      </c>
      <c r="K695" s="19" t="n">
        <v>10</v>
      </c>
      <c r="L695" s="17" t="s">
        <v>22</v>
      </c>
    </row>
    <row r="696" s="11" customFormat="true" ht="10.95" hidden="false" customHeight="true" outlineLevel="0" collapsed="false">
      <c r="A696" s="16" t="n">
        <v>45280</v>
      </c>
      <c r="B696" s="17" t="s">
        <v>17</v>
      </c>
      <c r="C696" s="17" t="s">
        <v>18</v>
      </c>
      <c r="D696" s="17" t="s">
        <v>19</v>
      </c>
      <c r="E696" s="17" t="s">
        <v>69</v>
      </c>
      <c r="F696" s="17" t="s">
        <v>403</v>
      </c>
      <c r="G696" s="18" t="n">
        <v>0</v>
      </c>
      <c r="H696" s="18" t="n">
        <v>880</v>
      </c>
      <c r="I696" s="18" t="n">
        <f aca="false">((I695 + G696) - H696)</f>
        <v>-396702.06</v>
      </c>
      <c r="J696" s="18" t="n">
        <v>-88</v>
      </c>
      <c r="K696" s="19" t="n">
        <v>10</v>
      </c>
      <c r="L696" s="17" t="s">
        <v>22</v>
      </c>
    </row>
    <row r="697" s="11" customFormat="true" ht="10.95" hidden="false" customHeight="true" outlineLevel="0" collapsed="false">
      <c r="A697" s="16" t="n">
        <v>45280</v>
      </c>
      <c r="B697" s="17" t="s">
        <v>17</v>
      </c>
      <c r="C697" s="17" t="s">
        <v>18</v>
      </c>
      <c r="D697" s="17" t="s">
        <v>19</v>
      </c>
      <c r="E697" s="17" t="s">
        <v>201</v>
      </c>
      <c r="F697" s="17" t="s">
        <v>404</v>
      </c>
      <c r="G697" s="18" t="n">
        <v>0</v>
      </c>
      <c r="H697" s="18" t="n">
        <v>864</v>
      </c>
      <c r="I697" s="18" t="n">
        <f aca="false">((I696 + G697) - H697)</f>
        <v>-397566.06</v>
      </c>
      <c r="J697" s="18" t="n">
        <v>-86.4</v>
      </c>
      <c r="K697" s="19" t="n">
        <v>10</v>
      </c>
      <c r="L697" s="17" t="s">
        <v>22</v>
      </c>
    </row>
    <row r="698" s="11" customFormat="true" ht="10.95" hidden="false" customHeight="true" outlineLevel="0" collapsed="false">
      <c r="A698" s="16" t="n">
        <v>45280</v>
      </c>
      <c r="B698" s="17" t="s">
        <v>17</v>
      </c>
      <c r="C698" s="17" t="s">
        <v>18</v>
      </c>
      <c r="D698" s="17" t="s">
        <v>19</v>
      </c>
      <c r="E698" s="17" t="s">
        <v>203</v>
      </c>
      <c r="F698" s="17" t="s">
        <v>404</v>
      </c>
      <c r="G698" s="18" t="n">
        <v>0</v>
      </c>
      <c r="H698" s="18" t="n">
        <v>110</v>
      </c>
      <c r="I698" s="18" t="n">
        <f aca="false">((I697 + G698) - H698)</f>
        <v>-397676.06</v>
      </c>
      <c r="J698" s="18" t="n">
        <v>-11</v>
      </c>
      <c r="K698" s="19" t="n">
        <v>10</v>
      </c>
      <c r="L698" s="17" t="s">
        <v>22</v>
      </c>
    </row>
    <row r="699" s="11" customFormat="true" ht="10.95" hidden="false" customHeight="true" outlineLevel="0" collapsed="false">
      <c r="A699" s="16" t="n">
        <v>45280</v>
      </c>
      <c r="B699" s="17" t="s">
        <v>17</v>
      </c>
      <c r="C699" s="17" t="s">
        <v>18</v>
      </c>
      <c r="D699" s="17" t="s">
        <v>19</v>
      </c>
      <c r="E699" s="17" t="s">
        <v>74</v>
      </c>
      <c r="F699" s="17" t="s">
        <v>405</v>
      </c>
      <c r="G699" s="18" t="n">
        <v>0</v>
      </c>
      <c r="H699" s="18" t="n">
        <v>1692</v>
      </c>
      <c r="I699" s="18" t="n">
        <f aca="false">((I698 + G699) - H699)</f>
        <v>-399368.06</v>
      </c>
      <c r="J699" s="18" t="n">
        <v>-169.2</v>
      </c>
      <c r="K699" s="19" t="n">
        <v>10</v>
      </c>
      <c r="L699" s="17" t="s">
        <v>22</v>
      </c>
    </row>
    <row r="700" s="11" customFormat="true" ht="10.95" hidden="false" customHeight="true" outlineLevel="0" collapsed="false">
      <c r="A700" s="16" t="n">
        <v>45280</v>
      </c>
      <c r="B700" s="17" t="s">
        <v>17</v>
      </c>
      <c r="C700" s="17" t="s">
        <v>18</v>
      </c>
      <c r="D700" s="17" t="s">
        <v>19</v>
      </c>
      <c r="E700" s="17" t="s">
        <v>261</v>
      </c>
      <c r="F700" s="17" t="s">
        <v>406</v>
      </c>
      <c r="G700" s="18" t="n">
        <v>0</v>
      </c>
      <c r="H700" s="18" t="n">
        <v>522.5</v>
      </c>
      <c r="I700" s="18" t="n">
        <f aca="false">((I699 + G700) - H700)</f>
        <v>-399890.56</v>
      </c>
      <c r="J700" s="18" t="n">
        <v>-52.25</v>
      </c>
      <c r="K700" s="19" t="n">
        <v>10</v>
      </c>
      <c r="L700" s="17" t="s">
        <v>22</v>
      </c>
    </row>
    <row r="701" s="11" customFormat="true" ht="10.95" hidden="false" customHeight="true" outlineLevel="0" collapsed="false">
      <c r="A701" s="16" t="n">
        <v>45280</v>
      </c>
      <c r="B701" s="17" t="s">
        <v>17</v>
      </c>
      <c r="C701" s="17" t="s">
        <v>18</v>
      </c>
      <c r="D701" s="17" t="s">
        <v>19</v>
      </c>
      <c r="E701" s="17" t="s">
        <v>286</v>
      </c>
      <c r="F701" s="17" t="s">
        <v>406</v>
      </c>
      <c r="G701" s="18" t="n">
        <v>0</v>
      </c>
      <c r="H701" s="18" t="n">
        <v>38.5</v>
      </c>
      <c r="I701" s="18" t="n">
        <f aca="false">((I700 + G701) - H701)</f>
        <v>-399929.06</v>
      </c>
      <c r="J701" s="18" t="n">
        <v>0</v>
      </c>
      <c r="K701" s="19" t="n">
        <v>0</v>
      </c>
      <c r="L701" s="17" t="s">
        <v>88</v>
      </c>
    </row>
    <row r="702" s="11" customFormat="true" ht="10.95" hidden="false" customHeight="true" outlineLevel="0" collapsed="false">
      <c r="A702" s="16" t="n">
        <v>45280</v>
      </c>
      <c r="B702" s="17" t="s">
        <v>17</v>
      </c>
      <c r="C702" s="17" t="s">
        <v>18</v>
      </c>
      <c r="D702" s="17" t="s">
        <v>19</v>
      </c>
      <c r="E702" s="17" t="s">
        <v>288</v>
      </c>
      <c r="F702" s="17" t="s">
        <v>406</v>
      </c>
      <c r="G702" s="18" t="n">
        <v>0</v>
      </c>
      <c r="H702" s="18" t="n">
        <v>5</v>
      </c>
      <c r="I702" s="18" t="n">
        <f aca="false">((I701 + G702) - H702)</f>
        <v>-399934.06</v>
      </c>
      <c r="J702" s="18" t="n">
        <v>-0.5</v>
      </c>
      <c r="K702" s="19" t="n">
        <v>10</v>
      </c>
      <c r="L702" s="17" t="s">
        <v>22</v>
      </c>
    </row>
    <row r="703" s="11" customFormat="true" ht="10.95" hidden="false" customHeight="true" outlineLevel="0" collapsed="false">
      <c r="A703" s="16" t="n">
        <v>45280</v>
      </c>
      <c r="B703" s="17" t="s">
        <v>17</v>
      </c>
      <c r="C703" s="17" t="s">
        <v>18</v>
      </c>
      <c r="D703" s="17" t="s">
        <v>19</v>
      </c>
      <c r="E703" s="17" t="s">
        <v>76</v>
      </c>
      <c r="F703" s="17" t="s">
        <v>407</v>
      </c>
      <c r="G703" s="18" t="n">
        <v>0</v>
      </c>
      <c r="H703" s="18" t="n">
        <v>752</v>
      </c>
      <c r="I703" s="18" t="n">
        <f aca="false">((I702 + G703) - H703)</f>
        <v>-400686.06</v>
      </c>
      <c r="J703" s="18" t="n">
        <v>-75.2</v>
      </c>
      <c r="K703" s="19" t="n">
        <v>10</v>
      </c>
      <c r="L703" s="17" t="s">
        <v>22</v>
      </c>
    </row>
    <row r="704" s="11" customFormat="true" ht="10.95" hidden="false" customHeight="true" outlineLevel="0" collapsed="false">
      <c r="A704" s="16" t="n">
        <v>45280</v>
      </c>
      <c r="B704" s="17" t="s">
        <v>17</v>
      </c>
      <c r="C704" s="17" t="s">
        <v>18</v>
      </c>
      <c r="D704" s="17" t="s">
        <v>19</v>
      </c>
      <c r="E704" s="17" t="s">
        <v>78</v>
      </c>
      <c r="F704" s="17" t="s">
        <v>408</v>
      </c>
      <c r="G704" s="18" t="n">
        <v>0</v>
      </c>
      <c r="H704" s="18" t="n">
        <v>470</v>
      </c>
      <c r="I704" s="18" t="n">
        <f aca="false">((I703 + G704) - H704)</f>
        <v>-401156.06</v>
      </c>
      <c r="J704" s="18" t="n">
        <v>-47</v>
      </c>
      <c r="K704" s="19" t="n">
        <v>10</v>
      </c>
      <c r="L704" s="17" t="s">
        <v>22</v>
      </c>
    </row>
    <row r="705" s="11" customFormat="true" ht="10.95" hidden="false" customHeight="true" outlineLevel="0" collapsed="false">
      <c r="A705" s="16" t="n">
        <v>45280</v>
      </c>
      <c r="B705" s="17" t="s">
        <v>17</v>
      </c>
      <c r="C705" s="17" t="s">
        <v>18</v>
      </c>
      <c r="D705" s="17" t="s">
        <v>19</v>
      </c>
      <c r="E705" s="17" t="s">
        <v>80</v>
      </c>
      <c r="F705" s="17" t="s">
        <v>408</v>
      </c>
      <c r="G705" s="18" t="n">
        <v>0</v>
      </c>
      <c r="H705" s="18" t="n">
        <v>110</v>
      </c>
      <c r="I705" s="18" t="n">
        <f aca="false">((I704 + G705) - H705)</f>
        <v>-401266.06</v>
      </c>
      <c r="J705" s="18" t="n">
        <v>-11</v>
      </c>
      <c r="K705" s="19" t="n">
        <v>10</v>
      </c>
      <c r="L705" s="17" t="s">
        <v>22</v>
      </c>
    </row>
    <row r="706" s="11" customFormat="true" ht="10.95" hidden="false" customHeight="true" outlineLevel="0" collapsed="false">
      <c r="A706" s="16" t="n">
        <v>45280</v>
      </c>
      <c r="B706" s="17" t="s">
        <v>17</v>
      </c>
      <c r="C706" s="17" t="s">
        <v>18</v>
      </c>
      <c r="D706" s="17" t="s">
        <v>19</v>
      </c>
      <c r="E706" s="17" t="s">
        <v>78</v>
      </c>
      <c r="F706" s="17" t="s">
        <v>409</v>
      </c>
      <c r="G706" s="18" t="n">
        <v>0</v>
      </c>
      <c r="H706" s="18" t="n">
        <v>188</v>
      </c>
      <c r="I706" s="18" t="n">
        <f aca="false">((I705 + G706) - H706)</f>
        <v>-401454.06</v>
      </c>
      <c r="J706" s="18" t="n">
        <v>-18.8</v>
      </c>
      <c r="K706" s="19" t="n">
        <v>10</v>
      </c>
      <c r="L706" s="17" t="s">
        <v>22</v>
      </c>
    </row>
    <row r="707" s="11" customFormat="true" ht="10.95" hidden="false" customHeight="true" outlineLevel="0" collapsed="false">
      <c r="A707" s="16" t="n">
        <v>45280</v>
      </c>
      <c r="B707" s="17" t="s">
        <v>17</v>
      </c>
      <c r="C707" s="17" t="s">
        <v>18</v>
      </c>
      <c r="D707" s="17" t="s">
        <v>19</v>
      </c>
      <c r="E707" s="17" t="s">
        <v>78</v>
      </c>
      <c r="F707" s="17" t="s">
        <v>410</v>
      </c>
      <c r="G707" s="18" t="n">
        <v>0</v>
      </c>
      <c r="H707" s="18" t="n">
        <v>1222</v>
      </c>
      <c r="I707" s="18" t="n">
        <f aca="false">((I706 + G707) - H707)</f>
        <v>-402676.06</v>
      </c>
      <c r="J707" s="18" t="n">
        <v>-122.2</v>
      </c>
      <c r="K707" s="19" t="n">
        <v>10</v>
      </c>
      <c r="L707" s="17" t="s">
        <v>22</v>
      </c>
    </row>
    <row r="708" s="11" customFormat="true" ht="10.95" hidden="false" customHeight="true" outlineLevel="0" collapsed="false">
      <c r="A708" s="16" t="n">
        <v>45280</v>
      </c>
      <c r="B708" s="17" t="s">
        <v>17</v>
      </c>
      <c r="C708" s="17" t="s">
        <v>18</v>
      </c>
      <c r="D708" s="17" t="s">
        <v>19</v>
      </c>
      <c r="E708" s="17" t="s">
        <v>83</v>
      </c>
      <c r="F708" s="17" t="s">
        <v>410</v>
      </c>
      <c r="G708" s="18" t="n">
        <v>0</v>
      </c>
      <c r="H708" s="18" t="n">
        <v>38.5</v>
      </c>
      <c r="I708" s="18" t="n">
        <f aca="false">((I707 + G708) - H708)</f>
        <v>-402714.56</v>
      </c>
      <c r="J708" s="18" t="n">
        <v>-3.85</v>
      </c>
      <c r="K708" s="19" t="n">
        <v>10</v>
      </c>
      <c r="L708" s="17" t="s">
        <v>22</v>
      </c>
    </row>
    <row r="709" s="11" customFormat="true" ht="10.95" hidden="false" customHeight="true" outlineLevel="0" collapsed="false">
      <c r="A709" s="16" t="n">
        <v>45280</v>
      </c>
      <c r="B709" s="17" t="s">
        <v>17</v>
      </c>
      <c r="C709" s="17" t="s">
        <v>18</v>
      </c>
      <c r="D709" s="17" t="s">
        <v>19</v>
      </c>
      <c r="E709" s="17" t="s">
        <v>84</v>
      </c>
      <c r="F709" s="17" t="s">
        <v>410</v>
      </c>
      <c r="G709" s="18" t="n">
        <v>0</v>
      </c>
      <c r="H709" s="18" t="n">
        <v>165</v>
      </c>
      <c r="I709" s="18" t="n">
        <f aca="false">((I708 + G709) - H709)</f>
        <v>-402879.56</v>
      </c>
      <c r="J709" s="18" t="n">
        <v>-16.5</v>
      </c>
      <c r="K709" s="19" t="n">
        <v>10</v>
      </c>
      <c r="L709" s="17" t="s">
        <v>22</v>
      </c>
    </row>
    <row r="710" s="11" customFormat="true" ht="10.95" hidden="false" customHeight="true" outlineLevel="0" collapsed="false">
      <c r="A710" s="16" t="n">
        <v>45280</v>
      </c>
      <c r="B710" s="17" t="s">
        <v>17</v>
      </c>
      <c r="C710" s="17" t="s">
        <v>18</v>
      </c>
      <c r="D710" s="17" t="s">
        <v>19</v>
      </c>
      <c r="E710" s="17" t="s">
        <v>76</v>
      </c>
      <c r="F710" s="17" t="s">
        <v>411</v>
      </c>
      <c r="G710" s="18" t="n">
        <v>0</v>
      </c>
      <c r="H710" s="18" t="n">
        <v>470</v>
      </c>
      <c r="I710" s="18" t="n">
        <f aca="false">((I709 + G710) - H710)</f>
        <v>-403349.56</v>
      </c>
      <c r="J710" s="18" t="n">
        <v>-47</v>
      </c>
      <c r="K710" s="19" t="n">
        <v>10</v>
      </c>
      <c r="L710" s="17" t="s">
        <v>22</v>
      </c>
    </row>
    <row r="711" s="11" customFormat="true" ht="10.95" hidden="false" customHeight="true" outlineLevel="0" collapsed="false">
      <c r="A711" s="16" t="n">
        <v>45280</v>
      </c>
      <c r="B711" s="17" t="s">
        <v>17</v>
      </c>
      <c r="C711" s="17" t="s">
        <v>18</v>
      </c>
      <c r="D711" s="17" t="s">
        <v>19</v>
      </c>
      <c r="E711" s="17" t="s">
        <v>78</v>
      </c>
      <c r="F711" s="17" t="s">
        <v>412</v>
      </c>
      <c r="G711" s="18" t="n">
        <v>0</v>
      </c>
      <c r="H711" s="18" t="n">
        <v>188</v>
      </c>
      <c r="I711" s="18" t="n">
        <f aca="false">((I710 + G711) - H711)</f>
        <v>-403537.56</v>
      </c>
      <c r="J711" s="18" t="n">
        <v>-18.8</v>
      </c>
      <c r="K711" s="19" t="n">
        <v>10</v>
      </c>
      <c r="L711" s="17" t="s">
        <v>22</v>
      </c>
    </row>
    <row r="712" s="11" customFormat="true" ht="10.95" hidden="false" customHeight="true" outlineLevel="0" collapsed="false">
      <c r="A712" s="16" t="n">
        <v>45280</v>
      </c>
      <c r="B712" s="17" t="s">
        <v>17</v>
      </c>
      <c r="C712" s="17" t="s">
        <v>18</v>
      </c>
      <c r="D712" s="17" t="s">
        <v>19</v>
      </c>
      <c r="E712" s="17" t="s">
        <v>87</v>
      </c>
      <c r="F712" s="17" t="s">
        <v>412</v>
      </c>
      <c r="G712" s="18" t="n">
        <v>0</v>
      </c>
      <c r="H712" s="18" t="n">
        <v>110</v>
      </c>
      <c r="I712" s="18" t="n">
        <f aca="false">((I711 + G712) - H712)</f>
        <v>-403647.56</v>
      </c>
      <c r="J712" s="18" t="n">
        <v>0</v>
      </c>
      <c r="K712" s="19" t="n">
        <v>0</v>
      </c>
      <c r="L712" s="17" t="s">
        <v>88</v>
      </c>
    </row>
    <row r="713" s="11" customFormat="true" ht="10.95" hidden="false" customHeight="true" outlineLevel="0" collapsed="false">
      <c r="A713" s="16" t="n">
        <v>45280</v>
      </c>
      <c r="B713" s="17" t="s">
        <v>17</v>
      </c>
      <c r="C713" s="17" t="s">
        <v>18</v>
      </c>
      <c r="D713" s="17" t="s">
        <v>19</v>
      </c>
      <c r="E713" s="17" t="s">
        <v>89</v>
      </c>
      <c r="F713" s="17" t="s">
        <v>413</v>
      </c>
      <c r="G713" s="18" t="n">
        <v>0</v>
      </c>
      <c r="H713" s="18" t="n">
        <v>470</v>
      </c>
      <c r="I713" s="18" t="n">
        <f aca="false">((I712 + G713) - H713)</f>
        <v>-404117.56</v>
      </c>
      <c r="J713" s="18" t="n">
        <v>-47</v>
      </c>
      <c r="K713" s="19" t="n">
        <v>10</v>
      </c>
      <c r="L713" s="17" t="s">
        <v>22</v>
      </c>
    </row>
    <row r="714" s="11" customFormat="true" ht="10.95" hidden="false" customHeight="true" outlineLevel="0" collapsed="false">
      <c r="A714" s="16" t="n">
        <v>45280</v>
      </c>
      <c r="B714" s="17" t="s">
        <v>17</v>
      </c>
      <c r="C714" s="17" t="s">
        <v>18</v>
      </c>
      <c r="D714" s="17" t="s">
        <v>19</v>
      </c>
      <c r="E714" s="17" t="s">
        <v>87</v>
      </c>
      <c r="F714" s="17" t="s">
        <v>413</v>
      </c>
      <c r="G714" s="18" t="n">
        <v>0</v>
      </c>
      <c r="H714" s="18" t="n">
        <v>110</v>
      </c>
      <c r="I714" s="18" t="n">
        <f aca="false">((I713 + G714) - H714)</f>
        <v>-404227.56</v>
      </c>
      <c r="J714" s="18" t="n">
        <v>0</v>
      </c>
      <c r="K714" s="19" t="n">
        <v>0</v>
      </c>
      <c r="L714" s="17" t="s">
        <v>88</v>
      </c>
    </row>
    <row r="715" s="11" customFormat="true" ht="10.95" hidden="false" customHeight="true" outlineLevel="0" collapsed="false">
      <c r="A715" s="16" t="n">
        <v>45280</v>
      </c>
      <c r="B715" s="17" t="s">
        <v>17</v>
      </c>
      <c r="C715" s="17" t="s">
        <v>18</v>
      </c>
      <c r="D715" s="17" t="s">
        <v>19</v>
      </c>
      <c r="E715" s="17" t="s">
        <v>91</v>
      </c>
      <c r="F715" s="17" t="s">
        <v>414</v>
      </c>
      <c r="G715" s="18" t="n">
        <v>0</v>
      </c>
      <c r="H715" s="18" t="n">
        <v>1316</v>
      </c>
      <c r="I715" s="18" t="n">
        <f aca="false">((I714 + G715) - H715)</f>
        <v>-405543.56</v>
      </c>
      <c r="J715" s="18" t="n">
        <v>-131.6</v>
      </c>
      <c r="K715" s="19" t="n">
        <v>10</v>
      </c>
      <c r="L715" s="17" t="s">
        <v>22</v>
      </c>
    </row>
    <row r="716" s="11" customFormat="true" ht="10.95" hidden="false" customHeight="true" outlineLevel="0" collapsed="false">
      <c r="A716" s="16" t="n">
        <v>45280</v>
      </c>
      <c r="B716" s="17" t="s">
        <v>17</v>
      </c>
      <c r="C716" s="17" t="s">
        <v>18</v>
      </c>
      <c r="D716" s="17" t="s">
        <v>19</v>
      </c>
      <c r="E716" s="17" t="s">
        <v>93</v>
      </c>
      <c r="F716" s="17" t="s">
        <v>414</v>
      </c>
      <c r="G716" s="18" t="n">
        <v>0</v>
      </c>
      <c r="H716" s="18" t="n">
        <v>330</v>
      </c>
      <c r="I716" s="18" t="n">
        <f aca="false">((I715 + G716) - H716)</f>
        <v>-405873.56</v>
      </c>
      <c r="J716" s="18" t="n">
        <v>-33</v>
      </c>
      <c r="K716" s="19" t="n">
        <v>10</v>
      </c>
      <c r="L716" s="17" t="s">
        <v>22</v>
      </c>
    </row>
    <row r="717" s="11" customFormat="true" ht="10.95" hidden="false" customHeight="true" outlineLevel="0" collapsed="false">
      <c r="A717" s="16" t="n">
        <v>45280</v>
      </c>
      <c r="B717" s="17" t="s">
        <v>17</v>
      </c>
      <c r="C717" s="17" t="s">
        <v>18</v>
      </c>
      <c r="D717" s="17" t="s">
        <v>19</v>
      </c>
      <c r="E717" s="17" t="s">
        <v>94</v>
      </c>
      <c r="F717" s="17" t="s">
        <v>414</v>
      </c>
      <c r="G717" s="18" t="n">
        <v>0</v>
      </c>
      <c r="H717" s="18" t="n">
        <v>143</v>
      </c>
      <c r="I717" s="18" t="n">
        <f aca="false">((I716 + G717) - H717)</f>
        <v>-406016.56</v>
      </c>
      <c r="J717" s="18" t="n">
        <v>-14.3</v>
      </c>
      <c r="K717" s="19" t="n">
        <v>10</v>
      </c>
      <c r="L717" s="17" t="s">
        <v>22</v>
      </c>
    </row>
    <row r="718" s="11" customFormat="true" ht="10.95" hidden="false" customHeight="true" outlineLevel="0" collapsed="false">
      <c r="A718" s="16" t="n">
        <v>45280</v>
      </c>
      <c r="B718" s="17" t="s">
        <v>17</v>
      </c>
      <c r="C718" s="17" t="s">
        <v>18</v>
      </c>
      <c r="D718" s="17" t="s">
        <v>19</v>
      </c>
      <c r="E718" s="17" t="s">
        <v>95</v>
      </c>
      <c r="F718" s="17" t="s">
        <v>415</v>
      </c>
      <c r="G718" s="18" t="n">
        <v>0</v>
      </c>
      <c r="H718" s="18" t="n">
        <v>1034</v>
      </c>
      <c r="I718" s="18" t="n">
        <f aca="false">((I717 + G718) - H718)</f>
        <v>-407050.56</v>
      </c>
      <c r="J718" s="18" t="n">
        <v>-103.4</v>
      </c>
      <c r="K718" s="19" t="n">
        <v>10</v>
      </c>
      <c r="L718" s="17" t="s">
        <v>22</v>
      </c>
    </row>
    <row r="719" s="11" customFormat="true" ht="10.95" hidden="false" customHeight="true" outlineLevel="0" collapsed="false">
      <c r="A719" s="16" t="n">
        <v>45280</v>
      </c>
      <c r="B719" s="17" t="s">
        <v>17</v>
      </c>
      <c r="C719" s="17" t="s">
        <v>18</v>
      </c>
      <c r="D719" s="17" t="s">
        <v>19</v>
      </c>
      <c r="E719" s="17" t="s">
        <v>97</v>
      </c>
      <c r="F719" s="17" t="s">
        <v>415</v>
      </c>
      <c r="G719" s="18" t="n">
        <v>0</v>
      </c>
      <c r="H719" s="18" t="n">
        <v>110</v>
      </c>
      <c r="I719" s="18" t="n">
        <f aca="false">((I718 + G719) - H719)</f>
        <v>-407160.56</v>
      </c>
      <c r="J719" s="18" t="n">
        <v>-11</v>
      </c>
      <c r="K719" s="19" t="n">
        <v>10</v>
      </c>
      <c r="L719" s="17" t="s">
        <v>22</v>
      </c>
    </row>
    <row r="720" s="11" customFormat="true" ht="10.95" hidden="false" customHeight="true" outlineLevel="0" collapsed="false">
      <c r="A720" s="16" t="n">
        <v>45280</v>
      </c>
      <c r="B720" s="17" t="s">
        <v>17</v>
      </c>
      <c r="C720" s="17" t="s">
        <v>18</v>
      </c>
      <c r="D720" s="17" t="s">
        <v>19</v>
      </c>
      <c r="E720" s="17" t="s">
        <v>98</v>
      </c>
      <c r="F720" s="17" t="s">
        <v>416</v>
      </c>
      <c r="G720" s="18" t="n">
        <v>0</v>
      </c>
      <c r="H720" s="18" t="n">
        <v>282</v>
      </c>
      <c r="I720" s="18" t="n">
        <f aca="false">((I719 + G720) - H720)</f>
        <v>-407442.56</v>
      </c>
      <c r="J720" s="18" t="n">
        <v>-28.2</v>
      </c>
      <c r="K720" s="19" t="n">
        <v>10</v>
      </c>
      <c r="L720" s="17" t="s">
        <v>22</v>
      </c>
    </row>
    <row r="721" s="11" customFormat="true" ht="10.95" hidden="false" customHeight="true" outlineLevel="0" collapsed="false">
      <c r="A721" s="16" t="n">
        <v>45280</v>
      </c>
      <c r="B721" s="17" t="s">
        <v>17</v>
      </c>
      <c r="C721" s="17" t="s">
        <v>18</v>
      </c>
      <c r="D721" s="17" t="s">
        <v>19</v>
      </c>
      <c r="E721" s="17" t="s">
        <v>100</v>
      </c>
      <c r="F721" s="17" t="s">
        <v>417</v>
      </c>
      <c r="G721" s="18" t="n">
        <v>0</v>
      </c>
      <c r="H721" s="18" t="n">
        <v>282</v>
      </c>
      <c r="I721" s="18" t="n">
        <f aca="false">((I720 + G721) - H721)</f>
        <v>-407724.56</v>
      </c>
      <c r="J721" s="18" t="n">
        <v>-28.2</v>
      </c>
      <c r="K721" s="19" t="n">
        <v>10</v>
      </c>
      <c r="L721" s="17" t="s">
        <v>22</v>
      </c>
    </row>
    <row r="722" s="11" customFormat="true" ht="10.95" hidden="false" customHeight="true" outlineLevel="0" collapsed="false">
      <c r="A722" s="16" t="n">
        <v>45280</v>
      </c>
      <c r="B722" s="17" t="s">
        <v>17</v>
      </c>
      <c r="C722" s="17" t="s">
        <v>18</v>
      </c>
      <c r="D722" s="17" t="s">
        <v>19</v>
      </c>
      <c r="E722" s="17" t="s">
        <v>102</v>
      </c>
      <c r="F722" s="17" t="s">
        <v>418</v>
      </c>
      <c r="G722" s="18" t="n">
        <v>0</v>
      </c>
      <c r="H722" s="18" t="n">
        <v>564</v>
      </c>
      <c r="I722" s="18" t="n">
        <f aca="false">((I721 + G722) - H722)</f>
        <v>-408288.56</v>
      </c>
      <c r="J722" s="18" t="n">
        <v>-56.4</v>
      </c>
      <c r="K722" s="19" t="n">
        <v>10</v>
      </c>
      <c r="L722" s="17" t="s">
        <v>22</v>
      </c>
    </row>
    <row r="723" s="11" customFormat="true" ht="10.95" hidden="false" customHeight="true" outlineLevel="0" collapsed="false">
      <c r="A723" s="16" t="n">
        <v>45280</v>
      </c>
      <c r="B723" s="17" t="s">
        <v>17</v>
      </c>
      <c r="C723" s="17" t="s">
        <v>18</v>
      </c>
      <c r="D723" s="17" t="s">
        <v>19</v>
      </c>
      <c r="E723" s="17" t="s">
        <v>104</v>
      </c>
      <c r="F723" s="17" t="s">
        <v>419</v>
      </c>
      <c r="G723" s="18" t="n">
        <v>0</v>
      </c>
      <c r="H723" s="18" t="n">
        <v>1034</v>
      </c>
      <c r="I723" s="18" t="n">
        <f aca="false">((I722 + G723) - H723)</f>
        <v>-409322.56</v>
      </c>
      <c r="J723" s="18" t="n">
        <v>-103.4</v>
      </c>
      <c r="K723" s="19" t="n">
        <v>10</v>
      </c>
      <c r="L723" s="17" t="s">
        <v>22</v>
      </c>
    </row>
    <row r="724" s="11" customFormat="true" ht="10.95" hidden="false" customHeight="true" outlineLevel="0" collapsed="false">
      <c r="A724" s="16" t="n">
        <v>45280</v>
      </c>
      <c r="B724" s="17" t="s">
        <v>17</v>
      </c>
      <c r="C724" s="17" t="s">
        <v>18</v>
      </c>
      <c r="D724" s="17" t="s">
        <v>19</v>
      </c>
      <c r="E724" s="17" t="s">
        <v>106</v>
      </c>
      <c r="F724" s="17" t="s">
        <v>420</v>
      </c>
      <c r="G724" s="18" t="n">
        <v>0</v>
      </c>
      <c r="H724" s="18" t="n">
        <v>94</v>
      </c>
      <c r="I724" s="18" t="n">
        <f aca="false">((I723 + G724) - H724)</f>
        <v>-409416.56</v>
      </c>
      <c r="J724" s="18" t="n">
        <v>-9.4</v>
      </c>
      <c r="K724" s="19" t="n">
        <v>10</v>
      </c>
      <c r="L724" s="17" t="s">
        <v>22</v>
      </c>
    </row>
    <row r="725" s="11" customFormat="true" ht="10.95" hidden="false" customHeight="true" outlineLevel="0" collapsed="false">
      <c r="A725" s="16" t="n">
        <v>45280</v>
      </c>
      <c r="B725" s="17" t="s">
        <v>17</v>
      </c>
      <c r="C725" s="17" t="s">
        <v>18</v>
      </c>
      <c r="D725" s="17" t="s">
        <v>19</v>
      </c>
      <c r="E725" s="17" t="s">
        <v>108</v>
      </c>
      <c r="F725" s="17" t="s">
        <v>421</v>
      </c>
      <c r="G725" s="18" t="n">
        <v>0</v>
      </c>
      <c r="H725" s="18" t="n">
        <v>658</v>
      </c>
      <c r="I725" s="18" t="n">
        <f aca="false">((I724 + G725) - H725)</f>
        <v>-410074.56</v>
      </c>
      <c r="J725" s="18" t="n">
        <v>-65.8</v>
      </c>
      <c r="K725" s="19" t="n">
        <v>10</v>
      </c>
      <c r="L725" s="17" t="s">
        <v>22</v>
      </c>
    </row>
    <row r="726" s="11" customFormat="true" ht="10.95" hidden="false" customHeight="true" outlineLevel="0" collapsed="false">
      <c r="A726" s="16" t="n">
        <v>45280</v>
      </c>
      <c r="B726" s="17" t="s">
        <v>17</v>
      </c>
      <c r="C726" s="17" t="s">
        <v>18</v>
      </c>
      <c r="D726" s="17" t="s">
        <v>19</v>
      </c>
      <c r="E726" s="17" t="s">
        <v>116</v>
      </c>
      <c r="F726" s="17" t="s">
        <v>422</v>
      </c>
      <c r="G726" s="18" t="n">
        <v>0</v>
      </c>
      <c r="H726" s="18" t="n">
        <v>1162</v>
      </c>
      <c r="I726" s="18" t="n">
        <f aca="false">((I725 + G726) - H726)</f>
        <v>-411236.56</v>
      </c>
      <c r="J726" s="18" t="n">
        <v>-116.2</v>
      </c>
      <c r="K726" s="19" t="n">
        <v>10</v>
      </c>
      <c r="L726" s="17" t="s">
        <v>22</v>
      </c>
    </row>
    <row r="727" s="11" customFormat="true" ht="10.95" hidden="false" customHeight="true" outlineLevel="0" collapsed="false">
      <c r="A727" s="16" t="n">
        <v>45280</v>
      </c>
      <c r="B727" s="17" t="s">
        <v>17</v>
      </c>
      <c r="C727" s="17" t="s">
        <v>18</v>
      </c>
      <c r="D727" s="17" t="s">
        <v>19</v>
      </c>
      <c r="E727" s="17" t="s">
        <v>28</v>
      </c>
      <c r="F727" s="17" t="s">
        <v>423</v>
      </c>
      <c r="G727" s="18" t="n">
        <v>0</v>
      </c>
      <c r="H727" s="18" t="n">
        <v>1149.5</v>
      </c>
      <c r="I727" s="18" t="n">
        <f aca="false">((I726 + G727) - H727)</f>
        <v>-412386.06</v>
      </c>
      <c r="J727" s="18" t="n">
        <v>-114.95</v>
      </c>
      <c r="K727" s="19" t="n">
        <v>10</v>
      </c>
      <c r="L727" s="17" t="s">
        <v>22</v>
      </c>
    </row>
    <row r="728" s="11" customFormat="true" ht="10.95" hidden="false" customHeight="true" outlineLevel="0" collapsed="false">
      <c r="A728" s="16" t="n">
        <v>45280</v>
      </c>
      <c r="B728" s="17" t="s">
        <v>17</v>
      </c>
      <c r="C728" s="17" t="s">
        <v>18</v>
      </c>
      <c r="D728" s="17" t="s">
        <v>19</v>
      </c>
      <c r="E728" s="17" t="s">
        <v>424</v>
      </c>
      <c r="F728" s="17" t="s">
        <v>423</v>
      </c>
      <c r="G728" s="18" t="n">
        <v>0</v>
      </c>
      <c r="H728" s="18" t="n">
        <v>313.5</v>
      </c>
      <c r="I728" s="18" t="n">
        <f aca="false">((I727 + G728) - H728)</f>
        <v>-412699.56</v>
      </c>
      <c r="J728" s="18" t="n">
        <v>-31.35</v>
      </c>
      <c r="K728" s="19" t="n">
        <v>10</v>
      </c>
      <c r="L728" s="17" t="s">
        <v>22</v>
      </c>
    </row>
    <row r="729" s="11" customFormat="true" ht="10.95" hidden="false" customHeight="true" outlineLevel="0" collapsed="false">
      <c r="A729" s="16" t="n">
        <v>45280</v>
      </c>
      <c r="B729" s="17" t="s">
        <v>17</v>
      </c>
      <c r="C729" s="17" t="s">
        <v>18</v>
      </c>
      <c r="D729" s="17" t="s">
        <v>19</v>
      </c>
      <c r="E729" s="17" t="s">
        <v>425</v>
      </c>
      <c r="F729" s="17" t="s">
        <v>423</v>
      </c>
      <c r="G729" s="18" t="n">
        <v>0</v>
      </c>
      <c r="H729" s="18" t="n">
        <v>313.5</v>
      </c>
      <c r="I729" s="18" t="n">
        <f aca="false">((I728 + G729) - H729)</f>
        <v>-413013.06</v>
      </c>
      <c r="J729" s="18" t="n">
        <v>-31.35</v>
      </c>
      <c r="K729" s="19" t="n">
        <v>10</v>
      </c>
      <c r="L729" s="17" t="s">
        <v>22</v>
      </c>
    </row>
    <row r="730" s="11" customFormat="true" ht="10.95" hidden="false" customHeight="true" outlineLevel="0" collapsed="false">
      <c r="A730" s="16" t="n">
        <v>45280</v>
      </c>
      <c r="B730" s="17" t="s">
        <v>17</v>
      </c>
      <c r="C730" s="17" t="s">
        <v>18</v>
      </c>
      <c r="D730" s="17" t="s">
        <v>19</v>
      </c>
      <c r="E730" s="17" t="s">
        <v>119</v>
      </c>
      <c r="F730" s="17" t="s">
        <v>426</v>
      </c>
      <c r="G730" s="18" t="n">
        <v>0</v>
      </c>
      <c r="H730" s="18" t="n">
        <v>332</v>
      </c>
      <c r="I730" s="18" t="n">
        <f aca="false">((I729 + G730) - H730)</f>
        <v>-413345.06</v>
      </c>
      <c r="J730" s="18" t="n">
        <v>-33.2</v>
      </c>
      <c r="K730" s="19" t="n">
        <v>10</v>
      </c>
      <c r="L730" s="17" t="s">
        <v>22</v>
      </c>
    </row>
    <row r="731" s="11" customFormat="true" ht="10.95" hidden="false" customHeight="true" outlineLevel="0" collapsed="false">
      <c r="A731" s="16" t="n">
        <v>45280</v>
      </c>
      <c r="B731" s="17" t="s">
        <v>17</v>
      </c>
      <c r="C731" s="17" t="s">
        <v>18</v>
      </c>
      <c r="D731" s="17" t="s">
        <v>19</v>
      </c>
      <c r="E731" s="17" t="s">
        <v>121</v>
      </c>
      <c r="F731" s="17" t="s">
        <v>426</v>
      </c>
      <c r="G731" s="18" t="n">
        <v>0</v>
      </c>
      <c r="H731" s="18" t="n">
        <v>1743</v>
      </c>
      <c r="I731" s="18" t="n">
        <f aca="false">((I730 + G731) - H731)</f>
        <v>-415088.06</v>
      </c>
      <c r="J731" s="18" t="n">
        <v>-174.3</v>
      </c>
      <c r="K731" s="19" t="n">
        <v>10</v>
      </c>
      <c r="L731" s="17" t="s">
        <v>22</v>
      </c>
    </row>
    <row r="732" s="11" customFormat="true" ht="10.95" hidden="false" customHeight="true" outlineLevel="0" collapsed="false">
      <c r="A732" s="16" t="n">
        <v>45280</v>
      </c>
      <c r="B732" s="17" t="s">
        <v>17</v>
      </c>
      <c r="C732" s="17" t="s">
        <v>18</v>
      </c>
      <c r="D732" s="17" t="s">
        <v>19</v>
      </c>
      <c r="E732" s="17" t="s">
        <v>122</v>
      </c>
      <c r="F732" s="17" t="s">
        <v>426</v>
      </c>
      <c r="G732" s="18" t="n">
        <v>0</v>
      </c>
      <c r="H732" s="18" t="n">
        <v>332</v>
      </c>
      <c r="I732" s="18" t="n">
        <f aca="false">((I731 + G732) - H732)</f>
        <v>-415420.06</v>
      </c>
      <c r="J732" s="18" t="n">
        <v>-33.2</v>
      </c>
      <c r="K732" s="19" t="n">
        <v>10</v>
      </c>
      <c r="L732" s="17" t="s">
        <v>22</v>
      </c>
    </row>
    <row r="733" s="11" customFormat="true" ht="10.95" hidden="false" customHeight="true" outlineLevel="0" collapsed="false">
      <c r="A733" s="16" t="n">
        <v>45280</v>
      </c>
      <c r="B733" s="17" t="s">
        <v>17</v>
      </c>
      <c r="C733" s="17" t="s">
        <v>18</v>
      </c>
      <c r="D733" s="17" t="s">
        <v>19</v>
      </c>
      <c r="E733" s="17" t="s">
        <v>123</v>
      </c>
      <c r="F733" s="17" t="s">
        <v>426</v>
      </c>
      <c r="G733" s="18" t="n">
        <v>0</v>
      </c>
      <c r="H733" s="18" t="n">
        <v>581</v>
      </c>
      <c r="I733" s="18" t="n">
        <f aca="false">((I732 + G733) - H733)</f>
        <v>-416001.06</v>
      </c>
      <c r="J733" s="18" t="n">
        <v>-58.1</v>
      </c>
      <c r="K733" s="19" t="n">
        <v>10</v>
      </c>
      <c r="L733" s="17" t="s">
        <v>22</v>
      </c>
    </row>
    <row r="734" s="11" customFormat="true" ht="10.95" hidden="false" customHeight="true" outlineLevel="0" collapsed="false">
      <c r="A734" s="16" t="n">
        <v>45280</v>
      </c>
      <c r="B734" s="17" t="s">
        <v>17</v>
      </c>
      <c r="C734" s="17" t="s">
        <v>18</v>
      </c>
      <c r="D734" s="17" t="s">
        <v>19</v>
      </c>
      <c r="E734" s="17" t="s">
        <v>124</v>
      </c>
      <c r="F734" s="17" t="s">
        <v>426</v>
      </c>
      <c r="G734" s="18" t="n">
        <v>0</v>
      </c>
      <c r="H734" s="18" t="n">
        <v>249</v>
      </c>
      <c r="I734" s="18" t="n">
        <f aca="false">((I733 + G734) - H734)</f>
        <v>-416250.06</v>
      </c>
      <c r="J734" s="18" t="n">
        <v>-24.9</v>
      </c>
      <c r="K734" s="19" t="n">
        <v>10</v>
      </c>
      <c r="L734" s="17" t="s">
        <v>22</v>
      </c>
    </row>
    <row r="735" s="11" customFormat="true" ht="10.95" hidden="false" customHeight="true" outlineLevel="0" collapsed="false">
      <c r="A735" s="16" t="n">
        <v>45280</v>
      </c>
      <c r="B735" s="17" t="s">
        <v>17</v>
      </c>
      <c r="C735" s="17" t="s">
        <v>18</v>
      </c>
      <c r="D735" s="17" t="s">
        <v>19</v>
      </c>
      <c r="E735" s="17" t="s">
        <v>125</v>
      </c>
      <c r="F735" s="17" t="s">
        <v>426</v>
      </c>
      <c r="G735" s="18" t="n">
        <v>0</v>
      </c>
      <c r="H735" s="18" t="n">
        <v>83</v>
      </c>
      <c r="I735" s="18" t="n">
        <f aca="false">((I734 + G735) - H735)</f>
        <v>-416333.06</v>
      </c>
      <c r="J735" s="18" t="n">
        <v>-8.3</v>
      </c>
      <c r="K735" s="19" t="n">
        <v>10</v>
      </c>
      <c r="L735" s="17" t="s">
        <v>22</v>
      </c>
    </row>
    <row r="736" s="11" customFormat="true" ht="10.95" hidden="false" customHeight="true" outlineLevel="0" collapsed="false">
      <c r="A736" s="16" t="n">
        <v>45280</v>
      </c>
      <c r="B736" s="17" t="s">
        <v>17</v>
      </c>
      <c r="C736" s="17" t="s">
        <v>18</v>
      </c>
      <c r="D736" s="17" t="s">
        <v>19</v>
      </c>
      <c r="E736" s="17" t="s">
        <v>126</v>
      </c>
      <c r="F736" s="17" t="s">
        <v>426</v>
      </c>
      <c r="G736" s="18" t="n">
        <v>0</v>
      </c>
      <c r="H736" s="18" t="n">
        <v>94.5</v>
      </c>
      <c r="I736" s="18" t="n">
        <f aca="false">((I735 + G736) - H736)</f>
        <v>-416427.56</v>
      </c>
      <c r="J736" s="18" t="n">
        <v>-9.45</v>
      </c>
      <c r="K736" s="19" t="n">
        <v>10</v>
      </c>
      <c r="L736" s="17" t="s">
        <v>22</v>
      </c>
    </row>
    <row r="737" s="11" customFormat="true" ht="10.95" hidden="false" customHeight="true" outlineLevel="0" collapsed="false">
      <c r="A737" s="16" t="n">
        <v>45280</v>
      </c>
      <c r="B737" s="17" t="s">
        <v>17</v>
      </c>
      <c r="C737" s="17" t="s">
        <v>18</v>
      </c>
      <c r="D737" s="17" t="s">
        <v>19</v>
      </c>
      <c r="E737" s="17" t="s">
        <v>127</v>
      </c>
      <c r="F737" s="17" t="s">
        <v>426</v>
      </c>
      <c r="G737" s="18" t="n">
        <v>0</v>
      </c>
      <c r="H737" s="18" t="n">
        <v>83</v>
      </c>
      <c r="I737" s="18" t="n">
        <f aca="false">((I736 + G737) - H737)</f>
        <v>-416510.56</v>
      </c>
      <c r="J737" s="18" t="n">
        <v>-8.3</v>
      </c>
      <c r="K737" s="19" t="n">
        <v>10</v>
      </c>
      <c r="L737" s="17" t="s">
        <v>22</v>
      </c>
    </row>
    <row r="738" s="11" customFormat="true" ht="10.95" hidden="false" customHeight="true" outlineLevel="0" collapsed="false">
      <c r="A738" s="16" t="n">
        <v>45280</v>
      </c>
      <c r="B738" s="17" t="s">
        <v>17</v>
      </c>
      <c r="C738" s="17" t="s">
        <v>18</v>
      </c>
      <c r="D738" s="17" t="s">
        <v>19</v>
      </c>
      <c r="E738" s="17" t="s">
        <v>128</v>
      </c>
      <c r="F738" s="17" t="s">
        <v>426</v>
      </c>
      <c r="G738" s="18" t="n">
        <v>0</v>
      </c>
      <c r="H738" s="18" t="n">
        <v>83</v>
      </c>
      <c r="I738" s="18" t="n">
        <f aca="false">((I737 + G738) - H738)</f>
        <v>-416593.56</v>
      </c>
      <c r="J738" s="18" t="n">
        <v>-8.3</v>
      </c>
      <c r="K738" s="19" t="n">
        <v>10</v>
      </c>
      <c r="L738" s="17" t="s">
        <v>22</v>
      </c>
    </row>
    <row r="739" s="11" customFormat="true" ht="10.95" hidden="false" customHeight="true" outlineLevel="0" collapsed="false">
      <c r="A739" s="16" t="n">
        <v>45280</v>
      </c>
      <c r="B739" s="17" t="s">
        <v>17</v>
      </c>
      <c r="C739" s="17" t="s">
        <v>18</v>
      </c>
      <c r="D739" s="17" t="s">
        <v>19</v>
      </c>
      <c r="E739" s="17" t="s">
        <v>129</v>
      </c>
      <c r="F739" s="17" t="s">
        <v>426</v>
      </c>
      <c r="G739" s="18" t="n">
        <v>0</v>
      </c>
      <c r="H739" s="18" t="n">
        <v>166</v>
      </c>
      <c r="I739" s="18" t="n">
        <f aca="false">((I738 + G739) - H739)</f>
        <v>-416759.56</v>
      </c>
      <c r="J739" s="18" t="n">
        <v>-16.6</v>
      </c>
      <c r="K739" s="19" t="n">
        <v>10</v>
      </c>
      <c r="L739" s="17" t="s">
        <v>22</v>
      </c>
    </row>
    <row r="740" s="11" customFormat="true" ht="10.95" hidden="false" customHeight="true" outlineLevel="0" collapsed="false">
      <c r="A740" s="16" t="n">
        <v>45280</v>
      </c>
      <c r="B740" s="17" t="s">
        <v>17</v>
      </c>
      <c r="C740" s="17" t="s">
        <v>18</v>
      </c>
      <c r="D740" s="17" t="s">
        <v>19</v>
      </c>
      <c r="E740" s="17" t="s">
        <v>130</v>
      </c>
      <c r="F740" s="17" t="s">
        <v>426</v>
      </c>
      <c r="G740" s="18" t="n">
        <v>0</v>
      </c>
      <c r="H740" s="18" t="n">
        <v>664</v>
      </c>
      <c r="I740" s="18" t="n">
        <f aca="false">((I739 + G740) - H740)</f>
        <v>-417423.56</v>
      </c>
      <c r="J740" s="18" t="n">
        <v>-66.4</v>
      </c>
      <c r="K740" s="19" t="n">
        <v>10</v>
      </c>
      <c r="L740" s="17" t="s">
        <v>22</v>
      </c>
    </row>
    <row r="741" s="11" customFormat="true" ht="10.95" hidden="false" customHeight="true" outlineLevel="0" collapsed="false">
      <c r="A741" s="16" t="n">
        <v>45280</v>
      </c>
      <c r="B741" s="17" t="s">
        <v>17</v>
      </c>
      <c r="C741" s="17" t="s">
        <v>18</v>
      </c>
      <c r="D741" s="17" t="s">
        <v>19</v>
      </c>
      <c r="E741" s="17" t="s">
        <v>131</v>
      </c>
      <c r="F741" s="17" t="s">
        <v>426</v>
      </c>
      <c r="G741" s="18" t="n">
        <v>0</v>
      </c>
      <c r="H741" s="18" t="n">
        <v>94.5</v>
      </c>
      <c r="I741" s="18" t="n">
        <f aca="false">((I740 + G741) - H741)</f>
        <v>-417518.06</v>
      </c>
      <c r="J741" s="18" t="n">
        <v>-9.45</v>
      </c>
      <c r="K741" s="19" t="n">
        <v>10</v>
      </c>
      <c r="L741" s="17" t="s">
        <v>22</v>
      </c>
    </row>
    <row r="742" s="11" customFormat="true" ht="10.95" hidden="false" customHeight="true" outlineLevel="0" collapsed="false">
      <c r="A742" s="16" t="n">
        <v>45280</v>
      </c>
      <c r="B742" s="17" t="s">
        <v>17</v>
      </c>
      <c r="C742" s="17" t="s">
        <v>18</v>
      </c>
      <c r="D742" s="17" t="s">
        <v>19</v>
      </c>
      <c r="E742" s="17" t="s">
        <v>132</v>
      </c>
      <c r="F742" s="17" t="s">
        <v>426</v>
      </c>
      <c r="G742" s="18" t="n">
        <v>0</v>
      </c>
      <c r="H742" s="18" t="n">
        <v>100</v>
      </c>
      <c r="I742" s="18" t="n">
        <f aca="false">((I741 + G742) - H742)</f>
        <v>-417618.06</v>
      </c>
      <c r="J742" s="18" t="n">
        <v>-10</v>
      </c>
      <c r="K742" s="19" t="n">
        <v>10</v>
      </c>
      <c r="L742" s="17" t="s">
        <v>22</v>
      </c>
    </row>
    <row r="743" s="11" customFormat="true" ht="10.95" hidden="false" customHeight="true" outlineLevel="0" collapsed="false">
      <c r="A743" s="16" t="n">
        <v>45280</v>
      </c>
      <c r="B743" s="17" t="s">
        <v>17</v>
      </c>
      <c r="C743" s="17" t="s">
        <v>18</v>
      </c>
      <c r="D743" s="17" t="s">
        <v>19</v>
      </c>
      <c r="E743" s="17" t="s">
        <v>133</v>
      </c>
      <c r="F743" s="17" t="s">
        <v>426</v>
      </c>
      <c r="G743" s="18" t="n">
        <v>0</v>
      </c>
      <c r="H743" s="18" t="n">
        <v>83</v>
      </c>
      <c r="I743" s="18" t="n">
        <f aca="false">((I742 + G743) - H743)</f>
        <v>-417701.06</v>
      </c>
      <c r="J743" s="18" t="n">
        <v>-8.3</v>
      </c>
      <c r="K743" s="19" t="n">
        <v>10</v>
      </c>
      <c r="L743" s="17" t="s">
        <v>22</v>
      </c>
    </row>
    <row r="744" s="11" customFormat="true" ht="10.95" hidden="false" customHeight="true" outlineLevel="0" collapsed="false">
      <c r="A744" s="16" t="n">
        <v>45280</v>
      </c>
      <c r="B744" s="17" t="s">
        <v>17</v>
      </c>
      <c r="C744" s="17" t="s">
        <v>18</v>
      </c>
      <c r="D744" s="17" t="s">
        <v>19</v>
      </c>
      <c r="E744" s="17" t="s">
        <v>134</v>
      </c>
      <c r="F744" s="17" t="s">
        <v>426</v>
      </c>
      <c r="G744" s="18" t="n">
        <v>0</v>
      </c>
      <c r="H744" s="18" t="n">
        <v>100</v>
      </c>
      <c r="I744" s="18" t="n">
        <f aca="false">((I743 + G744) - H744)</f>
        <v>-417801.06</v>
      </c>
      <c r="J744" s="18" t="n">
        <v>-10</v>
      </c>
      <c r="K744" s="19" t="n">
        <v>10</v>
      </c>
      <c r="L744" s="17" t="s">
        <v>22</v>
      </c>
    </row>
    <row r="745" s="11" customFormat="true" ht="10.95" hidden="false" customHeight="true" outlineLevel="0" collapsed="false">
      <c r="A745" s="16" t="n">
        <v>45280</v>
      </c>
      <c r="B745" s="17" t="s">
        <v>17</v>
      </c>
      <c r="C745" s="17" t="s">
        <v>18</v>
      </c>
      <c r="D745" s="17" t="s">
        <v>19</v>
      </c>
      <c r="E745" s="17" t="s">
        <v>136</v>
      </c>
      <c r="F745" s="17" t="s">
        <v>426</v>
      </c>
      <c r="G745" s="18" t="n">
        <v>0</v>
      </c>
      <c r="H745" s="18" t="n">
        <v>249</v>
      </c>
      <c r="I745" s="18" t="n">
        <f aca="false">((I744 + G745) - H745)</f>
        <v>-418050.06</v>
      </c>
      <c r="J745" s="18" t="n">
        <v>-24.9</v>
      </c>
      <c r="K745" s="19" t="n">
        <v>10</v>
      </c>
      <c r="L745" s="17" t="s">
        <v>22</v>
      </c>
    </row>
    <row r="746" s="11" customFormat="true" ht="10.95" hidden="false" customHeight="true" outlineLevel="0" collapsed="false">
      <c r="A746" s="16" t="n">
        <v>45280</v>
      </c>
      <c r="B746" s="17" t="s">
        <v>17</v>
      </c>
      <c r="C746" s="17" t="s">
        <v>18</v>
      </c>
      <c r="D746" s="17" t="s">
        <v>19</v>
      </c>
      <c r="E746" s="17" t="s">
        <v>137</v>
      </c>
      <c r="F746" s="17" t="s">
        <v>426</v>
      </c>
      <c r="G746" s="18" t="n">
        <v>0</v>
      </c>
      <c r="H746" s="18" t="n">
        <v>498</v>
      </c>
      <c r="I746" s="18" t="n">
        <f aca="false">((I745 + G746) - H746)</f>
        <v>-418548.06</v>
      </c>
      <c r="J746" s="18" t="n">
        <v>-49.8</v>
      </c>
      <c r="K746" s="19" t="n">
        <v>10</v>
      </c>
      <c r="L746" s="17" t="s">
        <v>22</v>
      </c>
    </row>
    <row r="747" s="11" customFormat="true" ht="10.95" hidden="false" customHeight="true" outlineLevel="0" collapsed="false">
      <c r="A747" s="16" t="n">
        <v>45280</v>
      </c>
      <c r="B747" s="17" t="s">
        <v>17</v>
      </c>
      <c r="C747" s="17" t="s">
        <v>18</v>
      </c>
      <c r="D747" s="17" t="s">
        <v>19</v>
      </c>
      <c r="E747" s="17" t="s">
        <v>138</v>
      </c>
      <c r="F747" s="17" t="s">
        <v>426</v>
      </c>
      <c r="G747" s="18" t="n">
        <v>0</v>
      </c>
      <c r="H747" s="18" t="n">
        <v>166</v>
      </c>
      <c r="I747" s="18" t="n">
        <f aca="false">((I746 + G747) - H747)</f>
        <v>-418714.06</v>
      </c>
      <c r="J747" s="18" t="n">
        <v>-16.6</v>
      </c>
      <c r="K747" s="19" t="n">
        <v>10</v>
      </c>
      <c r="L747" s="17" t="s">
        <v>22</v>
      </c>
    </row>
    <row r="748" s="11" customFormat="true" ht="10.95" hidden="false" customHeight="true" outlineLevel="0" collapsed="false">
      <c r="A748" s="16" t="n">
        <v>45280</v>
      </c>
      <c r="B748" s="17" t="s">
        <v>17</v>
      </c>
      <c r="C748" s="17" t="s">
        <v>18</v>
      </c>
      <c r="D748" s="17" t="s">
        <v>19</v>
      </c>
      <c r="E748" s="17" t="s">
        <v>139</v>
      </c>
      <c r="F748" s="17" t="s">
        <v>426</v>
      </c>
      <c r="G748" s="18" t="n">
        <v>0</v>
      </c>
      <c r="H748" s="18" t="n">
        <v>332</v>
      </c>
      <c r="I748" s="18" t="n">
        <f aca="false">((I747 + G748) - H748)</f>
        <v>-419046.06</v>
      </c>
      <c r="J748" s="18" t="n">
        <v>-33.2</v>
      </c>
      <c r="K748" s="19" t="n">
        <v>10</v>
      </c>
      <c r="L748" s="17" t="s">
        <v>22</v>
      </c>
    </row>
    <row r="749" s="11" customFormat="true" ht="10.95" hidden="false" customHeight="true" outlineLevel="0" collapsed="false">
      <c r="A749" s="16" t="n">
        <v>45280</v>
      </c>
      <c r="B749" s="17" t="s">
        <v>17</v>
      </c>
      <c r="C749" s="17" t="s">
        <v>18</v>
      </c>
      <c r="D749" s="17" t="s">
        <v>19</v>
      </c>
      <c r="E749" s="17" t="s">
        <v>427</v>
      </c>
      <c r="F749" s="17" t="s">
        <v>426</v>
      </c>
      <c r="G749" s="18" t="n">
        <v>0</v>
      </c>
      <c r="H749" s="18" t="n">
        <v>94.5</v>
      </c>
      <c r="I749" s="18" t="n">
        <f aca="false">((I748 + G749) - H749)</f>
        <v>-419140.56</v>
      </c>
      <c r="J749" s="18" t="n">
        <v>-9.45</v>
      </c>
      <c r="K749" s="19" t="n">
        <v>10</v>
      </c>
      <c r="L749" s="17" t="s">
        <v>22</v>
      </c>
    </row>
    <row r="750" s="11" customFormat="true" ht="10.95" hidden="false" customHeight="true" outlineLevel="0" collapsed="false">
      <c r="A750" s="16" t="n">
        <v>45280</v>
      </c>
      <c r="B750" s="17" t="s">
        <v>17</v>
      </c>
      <c r="C750" s="17" t="s">
        <v>18</v>
      </c>
      <c r="D750" s="17" t="s">
        <v>19</v>
      </c>
      <c r="E750" s="17" t="s">
        <v>140</v>
      </c>
      <c r="F750" s="17" t="s">
        <v>426</v>
      </c>
      <c r="G750" s="18" t="n">
        <v>0</v>
      </c>
      <c r="H750" s="18" t="n">
        <v>166</v>
      </c>
      <c r="I750" s="18" t="n">
        <f aca="false">((I749 + G750) - H750)</f>
        <v>-419306.56</v>
      </c>
      <c r="J750" s="18" t="n">
        <v>-16.6</v>
      </c>
      <c r="K750" s="19" t="n">
        <v>10</v>
      </c>
      <c r="L750" s="17" t="s">
        <v>22</v>
      </c>
    </row>
    <row r="751" s="11" customFormat="true" ht="10.95" hidden="false" customHeight="true" outlineLevel="0" collapsed="false">
      <c r="A751" s="16" t="n">
        <v>45280</v>
      </c>
      <c r="B751" s="17" t="s">
        <v>17</v>
      </c>
      <c r="C751" s="17" t="s">
        <v>18</v>
      </c>
      <c r="D751" s="17" t="s">
        <v>19</v>
      </c>
      <c r="E751" s="17" t="s">
        <v>141</v>
      </c>
      <c r="F751" s="17" t="s">
        <v>426</v>
      </c>
      <c r="G751" s="18" t="n">
        <v>0</v>
      </c>
      <c r="H751" s="18" t="n">
        <v>249</v>
      </c>
      <c r="I751" s="18" t="n">
        <f aca="false">((I750 + G751) - H751)</f>
        <v>-419555.56</v>
      </c>
      <c r="J751" s="18" t="n">
        <v>-24.9</v>
      </c>
      <c r="K751" s="19" t="n">
        <v>10</v>
      </c>
      <c r="L751" s="17" t="s">
        <v>22</v>
      </c>
    </row>
    <row r="752" s="11" customFormat="true" ht="10.95" hidden="false" customHeight="true" outlineLevel="0" collapsed="false">
      <c r="A752" s="16" t="n">
        <v>45280</v>
      </c>
      <c r="B752" s="17" t="s">
        <v>17</v>
      </c>
      <c r="C752" s="17" t="s">
        <v>18</v>
      </c>
      <c r="D752" s="17" t="s">
        <v>19</v>
      </c>
      <c r="E752" s="17" t="s">
        <v>142</v>
      </c>
      <c r="F752" s="17" t="s">
        <v>426</v>
      </c>
      <c r="G752" s="18" t="n">
        <v>0</v>
      </c>
      <c r="H752" s="18" t="n">
        <v>249</v>
      </c>
      <c r="I752" s="18" t="n">
        <f aca="false">((I751 + G752) - H752)</f>
        <v>-419804.56</v>
      </c>
      <c r="J752" s="18" t="n">
        <v>-24.9</v>
      </c>
      <c r="K752" s="19" t="n">
        <v>10</v>
      </c>
      <c r="L752" s="17" t="s">
        <v>22</v>
      </c>
    </row>
    <row r="753" s="11" customFormat="true" ht="10.95" hidden="false" customHeight="true" outlineLevel="0" collapsed="false">
      <c r="A753" s="16" t="n">
        <v>45280</v>
      </c>
      <c r="B753" s="17" t="s">
        <v>17</v>
      </c>
      <c r="C753" s="17" t="s">
        <v>18</v>
      </c>
      <c r="D753" s="17" t="s">
        <v>19</v>
      </c>
      <c r="E753" s="17" t="s">
        <v>143</v>
      </c>
      <c r="F753" s="17" t="s">
        <v>426</v>
      </c>
      <c r="G753" s="18" t="n">
        <v>0</v>
      </c>
      <c r="H753" s="18" t="n">
        <v>94.5</v>
      </c>
      <c r="I753" s="18" t="n">
        <f aca="false">((I752 + G753) - H753)</f>
        <v>-419899.06</v>
      </c>
      <c r="J753" s="18" t="n">
        <v>-9.45</v>
      </c>
      <c r="K753" s="19" t="n">
        <v>10</v>
      </c>
      <c r="L753" s="17" t="s">
        <v>22</v>
      </c>
    </row>
    <row r="754" s="11" customFormat="true" ht="10.95" hidden="false" customHeight="true" outlineLevel="0" collapsed="false">
      <c r="A754" s="16" t="n">
        <v>45280</v>
      </c>
      <c r="B754" s="17" t="s">
        <v>17</v>
      </c>
      <c r="C754" s="17" t="s">
        <v>18</v>
      </c>
      <c r="D754" s="17" t="s">
        <v>19</v>
      </c>
      <c r="E754" s="17" t="s">
        <v>144</v>
      </c>
      <c r="F754" s="17" t="s">
        <v>426</v>
      </c>
      <c r="G754" s="18" t="n">
        <v>0</v>
      </c>
      <c r="H754" s="18" t="n">
        <v>1660</v>
      </c>
      <c r="I754" s="18" t="n">
        <f aca="false">((I753 + G754) - H754)</f>
        <v>-421559.06</v>
      </c>
      <c r="J754" s="18" t="n">
        <v>-166</v>
      </c>
      <c r="K754" s="19" t="n">
        <v>10</v>
      </c>
      <c r="L754" s="17" t="s">
        <v>22</v>
      </c>
    </row>
    <row r="755" s="11" customFormat="true" ht="10.95" hidden="false" customHeight="true" outlineLevel="0" collapsed="false">
      <c r="A755" s="16" t="n">
        <v>45280</v>
      </c>
      <c r="B755" s="17" t="s">
        <v>17</v>
      </c>
      <c r="C755" s="17" t="s">
        <v>18</v>
      </c>
      <c r="D755" s="17" t="s">
        <v>19</v>
      </c>
      <c r="E755" s="17" t="s">
        <v>145</v>
      </c>
      <c r="F755" s="17" t="s">
        <v>426</v>
      </c>
      <c r="G755" s="18" t="n">
        <v>0</v>
      </c>
      <c r="H755" s="18" t="n">
        <v>166</v>
      </c>
      <c r="I755" s="18" t="n">
        <f aca="false">((I754 + G755) - H755)</f>
        <v>-421725.06</v>
      </c>
      <c r="J755" s="18" t="n">
        <v>-16.6</v>
      </c>
      <c r="K755" s="19" t="n">
        <v>10</v>
      </c>
      <c r="L755" s="17" t="s">
        <v>22</v>
      </c>
    </row>
    <row r="756" s="11" customFormat="true" ht="10.95" hidden="false" customHeight="true" outlineLevel="0" collapsed="false">
      <c r="A756" s="16" t="n">
        <v>45280</v>
      </c>
      <c r="B756" s="17" t="s">
        <v>17</v>
      </c>
      <c r="C756" s="17" t="s">
        <v>18</v>
      </c>
      <c r="D756" s="17" t="s">
        <v>19</v>
      </c>
      <c r="E756" s="17" t="s">
        <v>146</v>
      </c>
      <c r="F756" s="17" t="s">
        <v>426</v>
      </c>
      <c r="G756" s="18" t="n">
        <v>0</v>
      </c>
      <c r="H756" s="18" t="n">
        <v>30</v>
      </c>
      <c r="I756" s="18" t="n">
        <f aca="false">((I755 + G756) - H756)</f>
        <v>-421755.06</v>
      </c>
      <c r="J756" s="18" t="n">
        <v>-3</v>
      </c>
      <c r="K756" s="19" t="n">
        <v>10</v>
      </c>
      <c r="L756" s="17" t="s">
        <v>22</v>
      </c>
    </row>
    <row r="757" s="11" customFormat="true" ht="10.95" hidden="false" customHeight="true" outlineLevel="0" collapsed="false">
      <c r="A757" s="16" t="n">
        <v>45280</v>
      </c>
      <c r="B757" s="17" t="s">
        <v>17</v>
      </c>
      <c r="C757" s="17" t="s">
        <v>18</v>
      </c>
      <c r="D757" s="17" t="s">
        <v>19</v>
      </c>
      <c r="E757" s="17" t="s">
        <v>147</v>
      </c>
      <c r="F757" s="17" t="s">
        <v>426</v>
      </c>
      <c r="G757" s="18" t="n">
        <v>0</v>
      </c>
      <c r="H757" s="18" t="n">
        <v>83</v>
      </c>
      <c r="I757" s="18" t="n">
        <f aca="false">((I756 + G757) - H757)</f>
        <v>-421838.06</v>
      </c>
      <c r="J757" s="18" t="n">
        <v>-8.3</v>
      </c>
      <c r="K757" s="19" t="n">
        <v>10</v>
      </c>
      <c r="L757" s="17" t="s">
        <v>22</v>
      </c>
    </row>
    <row r="758" s="11" customFormat="true" ht="10.95" hidden="false" customHeight="true" outlineLevel="0" collapsed="false">
      <c r="A758" s="16" t="n">
        <v>45280</v>
      </c>
      <c r="B758" s="17" t="s">
        <v>17</v>
      </c>
      <c r="C758" s="17" t="s">
        <v>18</v>
      </c>
      <c r="D758" s="17" t="s">
        <v>19</v>
      </c>
      <c r="E758" s="17" t="s">
        <v>148</v>
      </c>
      <c r="F758" s="17" t="s">
        <v>426</v>
      </c>
      <c r="G758" s="18" t="n">
        <v>0</v>
      </c>
      <c r="H758" s="18" t="n">
        <v>1162</v>
      </c>
      <c r="I758" s="18" t="n">
        <f aca="false">((I757 + G758) - H758)</f>
        <v>-423000.06</v>
      </c>
      <c r="J758" s="18" t="n">
        <v>-116.2</v>
      </c>
      <c r="K758" s="19" t="n">
        <v>10</v>
      </c>
      <c r="L758" s="17" t="s">
        <v>22</v>
      </c>
    </row>
    <row r="759" s="11" customFormat="true" ht="10.95" hidden="false" customHeight="true" outlineLevel="0" collapsed="false">
      <c r="A759" s="16" t="n">
        <v>45280</v>
      </c>
      <c r="B759" s="17" t="s">
        <v>17</v>
      </c>
      <c r="C759" s="17" t="s">
        <v>18</v>
      </c>
      <c r="D759" s="17" t="s">
        <v>19</v>
      </c>
      <c r="E759" s="17" t="s">
        <v>149</v>
      </c>
      <c r="F759" s="17" t="s">
        <v>426</v>
      </c>
      <c r="G759" s="18" t="n">
        <v>0</v>
      </c>
      <c r="H759" s="18" t="n">
        <v>360</v>
      </c>
      <c r="I759" s="18" t="n">
        <f aca="false">((I758 + G759) - H759)</f>
        <v>-423360.06</v>
      </c>
      <c r="J759" s="18" t="n">
        <v>-36</v>
      </c>
      <c r="K759" s="19" t="n">
        <v>10</v>
      </c>
      <c r="L759" s="17" t="s">
        <v>22</v>
      </c>
    </row>
    <row r="760" s="11" customFormat="true" ht="10.95" hidden="false" customHeight="true" outlineLevel="0" collapsed="false">
      <c r="A760" s="16" t="n">
        <v>45280</v>
      </c>
      <c r="B760" s="17" t="s">
        <v>17</v>
      </c>
      <c r="C760" s="17" t="s">
        <v>18</v>
      </c>
      <c r="D760" s="17" t="s">
        <v>19</v>
      </c>
      <c r="E760" s="17" t="s">
        <v>150</v>
      </c>
      <c r="F760" s="17" t="s">
        <v>426</v>
      </c>
      <c r="G760" s="18" t="n">
        <v>0</v>
      </c>
      <c r="H760" s="18" t="n">
        <v>288</v>
      </c>
      <c r="I760" s="18" t="n">
        <f aca="false">((I759 + G760) - H760)</f>
        <v>-423648.06</v>
      </c>
      <c r="J760" s="18" t="n">
        <v>-28.8</v>
      </c>
      <c r="K760" s="19" t="n">
        <v>10</v>
      </c>
      <c r="L760" s="17" t="s">
        <v>22</v>
      </c>
    </row>
    <row r="761" s="11" customFormat="true" ht="10.95" hidden="false" customHeight="true" outlineLevel="0" collapsed="false">
      <c r="A761" s="16" t="n">
        <v>45280</v>
      </c>
      <c r="B761" s="17" t="s">
        <v>17</v>
      </c>
      <c r="C761" s="17" t="s">
        <v>18</v>
      </c>
      <c r="D761" s="17" t="s">
        <v>19</v>
      </c>
      <c r="E761" s="17" t="s">
        <v>151</v>
      </c>
      <c r="F761" s="17" t="s">
        <v>426</v>
      </c>
      <c r="G761" s="18" t="n">
        <v>0</v>
      </c>
      <c r="H761" s="18" t="n">
        <v>100</v>
      </c>
      <c r="I761" s="18" t="n">
        <f aca="false">((I760 + G761) - H761)</f>
        <v>-423748.06</v>
      </c>
      <c r="J761" s="18" t="n">
        <v>-10</v>
      </c>
      <c r="K761" s="19" t="n">
        <v>10</v>
      </c>
      <c r="L761" s="17" t="s">
        <v>22</v>
      </c>
    </row>
    <row r="762" s="11" customFormat="true" ht="10.95" hidden="false" customHeight="true" outlineLevel="0" collapsed="false">
      <c r="A762" s="16" t="n">
        <v>45280</v>
      </c>
      <c r="B762" s="17" t="s">
        <v>17</v>
      </c>
      <c r="C762" s="17" t="s">
        <v>18</v>
      </c>
      <c r="D762" s="17" t="s">
        <v>19</v>
      </c>
      <c r="E762" s="17" t="s">
        <v>152</v>
      </c>
      <c r="F762" s="17" t="s">
        <v>426</v>
      </c>
      <c r="G762" s="18" t="n">
        <v>0</v>
      </c>
      <c r="H762" s="18" t="n">
        <v>1162</v>
      </c>
      <c r="I762" s="18" t="n">
        <f aca="false">((I761 + G762) - H762)</f>
        <v>-424910.06</v>
      </c>
      <c r="J762" s="18" t="n">
        <v>-116.2</v>
      </c>
      <c r="K762" s="19" t="n">
        <v>10</v>
      </c>
      <c r="L762" s="17" t="s">
        <v>22</v>
      </c>
    </row>
    <row r="763" s="11" customFormat="true" ht="10.95" hidden="false" customHeight="true" outlineLevel="0" collapsed="false">
      <c r="A763" s="16" t="n">
        <v>45280</v>
      </c>
      <c r="B763" s="17" t="s">
        <v>17</v>
      </c>
      <c r="C763" s="17" t="s">
        <v>18</v>
      </c>
      <c r="D763" s="17" t="s">
        <v>19</v>
      </c>
      <c r="E763" s="17" t="s">
        <v>153</v>
      </c>
      <c r="F763" s="17" t="s">
        <v>426</v>
      </c>
      <c r="G763" s="18" t="n">
        <v>0</v>
      </c>
      <c r="H763" s="18" t="n">
        <v>283.5</v>
      </c>
      <c r="I763" s="18" t="n">
        <f aca="false">((I762 + G763) - H763)</f>
        <v>-425193.56</v>
      </c>
      <c r="J763" s="18" t="n">
        <v>-28.35</v>
      </c>
      <c r="K763" s="19" t="n">
        <v>10</v>
      </c>
      <c r="L763" s="17" t="s">
        <v>22</v>
      </c>
    </row>
    <row r="764" s="11" customFormat="true" ht="10.95" hidden="false" customHeight="true" outlineLevel="0" collapsed="false">
      <c r="A764" s="16" t="n">
        <v>45280</v>
      </c>
      <c r="B764" s="17" t="s">
        <v>17</v>
      </c>
      <c r="C764" s="17" t="s">
        <v>18</v>
      </c>
      <c r="D764" s="17" t="s">
        <v>19</v>
      </c>
      <c r="E764" s="17" t="s">
        <v>154</v>
      </c>
      <c r="F764" s="17" t="s">
        <v>426</v>
      </c>
      <c r="G764" s="18" t="n">
        <v>0</v>
      </c>
      <c r="H764" s="18" t="n">
        <v>165</v>
      </c>
      <c r="I764" s="18" t="n">
        <f aca="false">((I763 + G764) - H764)</f>
        <v>-425358.56</v>
      </c>
      <c r="J764" s="18" t="n">
        <v>-16.5</v>
      </c>
      <c r="K764" s="19" t="n">
        <v>10</v>
      </c>
      <c r="L764" s="17" t="s">
        <v>22</v>
      </c>
    </row>
    <row r="765" s="11" customFormat="true" ht="10.95" hidden="false" customHeight="true" outlineLevel="0" collapsed="false">
      <c r="A765" s="16" t="n">
        <v>45280</v>
      </c>
      <c r="B765" s="17" t="s">
        <v>17</v>
      </c>
      <c r="C765" s="17" t="s">
        <v>18</v>
      </c>
      <c r="D765" s="17" t="s">
        <v>19</v>
      </c>
      <c r="E765" s="17" t="s">
        <v>155</v>
      </c>
      <c r="F765" s="17" t="s">
        <v>426</v>
      </c>
      <c r="G765" s="18" t="n">
        <v>0</v>
      </c>
      <c r="H765" s="18" t="n">
        <v>432</v>
      </c>
      <c r="I765" s="18" t="n">
        <f aca="false">((I764 + G765) - H765)</f>
        <v>-425790.56</v>
      </c>
      <c r="J765" s="18" t="n">
        <v>-43.2</v>
      </c>
      <c r="K765" s="19" t="n">
        <v>10</v>
      </c>
      <c r="L765" s="17" t="s">
        <v>22</v>
      </c>
    </row>
    <row r="766" s="11" customFormat="true" ht="10.95" hidden="false" customHeight="true" outlineLevel="0" collapsed="false">
      <c r="A766" s="16" t="n">
        <v>45280</v>
      </c>
      <c r="B766" s="17" t="s">
        <v>17</v>
      </c>
      <c r="C766" s="17" t="s">
        <v>18</v>
      </c>
      <c r="D766" s="17" t="s">
        <v>19</v>
      </c>
      <c r="E766" s="17" t="s">
        <v>156</v>
      </c>
      <c r="F766" s="17" t="s">
        <v>426</v>
      </c>
      <c r="G766" s="18" t="n">
        <v>0</v>
      </c>
      <c r="H766" s="18" t="n">
        <v>945</v>
      </c>
      <c r="I766" s="18" t="n">
        <f aca="false">((I765 + G766) - H766)</f>
        <v>-426735.56</v>
      </c>
      <c r="J766" s="18" t="n">
        <v>-94.5</v>
      </c>
      <c r="K766" s="19" t="n">
        <v>10</v>
      </c>
      <c r="L766" s="17" t="s">
        <v>22</v>
      </c>
    </row>
    <row r="767" s="11" customFormat="true" ht="10.95" hidden="false" customHeight="true" outlineLevel="0" collapsed="false">
      <c r="A767" s="16" t="n">
        <v>45280</v>
      </c>
      <c r="B767" s="17" t="s">
        <v>17</v>
      </c>
      <c r="C767" s="17" t="s">
        <v>18</v>
      </c>
      <c r="D767" s="17" t="s">
        <v>19</v>
      </c>
      <c r="E767" s="17" t="s">
        <v>223</v>
      </c>
      <c r="F767" s="17" t="s">
        <v>426</v>
      </c>
      <c r="G767" s="18" t="n">
        <v>0</v>
      </c>
      <c r="H767" s="18" t="n">
        <v>34.65</v>
      </c>
      <c r="I767" s="18" t="n">
        <f aca="false">((I766 + G767) - H767)</f>
        <v>-426770.21</v>
      </c>
      <c r="J767" s="18" t="n">
        <v>-3.47</v>
      </c>
      <c r="K767" s="19" t="n">
        <v>10</v>
      </c>
      <c r="L767" s="17" t="s">
        <v>22</v>
      </c>
    </row>
    <row r="768" s="11" customFormat="true" ht="10.95" hidden="false" customHeight="true" outlineLevel="0" collapsed="false">
      <c r="A768" s="16" t="n">
        <v>45280</v>
      </c>
      <c r="B768" s="17" t="s">
        <v>17</v>
      </c>
      <c r="C768" s="17" t="s">
        <v>18</v>
      </c>
      <c r="D768" s="17" t="s">
        <v>19</v>
      </c>
      <c r="E768" s="17" t="s">
        <v>157</v>
      </c>
      <c r="F768" s="17" t="s">
        <v>426</v>
      </c>
      <c r="G768" s="18" t="n">
        <v>0</v>
      </c>
      <c r="H768" s="18" t="n">
        <v>661.5</v>
      </c>
      <c r="I768" s="18" t="n">
        <f aca="false">((I767 + G768) - H768)</f>
        <v>-427431.71</v>
      </c>
      <c r="J768" s="18" t="n">
        <v>-66.15</v>
      </c>
      <c r="K768" s="19" t="n">
        <v>10</v>
      </c>
      <c r="L768" s="17" t="s">
        <v>22</v>
      </c>
    </row>
    <row r="769" s="11" customFormat="true" ht="10.95" hidden="false" customHeight="true" outlineLevel="0" collapsed="false">
      <c r="A769" s="16" t="n">
        <v>45280</v>
      </c>
      <c r="B769" s="17" t="s">
        <v>17</v>
      </c>
      <c r="C769" s="17" t="s">
        <v>18</v>
      </c>
      <c r="D769" s="17" t="s">
        <v>19</v>
      </c>
      <c r="E769" s="17" t="s">
        <v>158</v>
      </c>
      <c r="F769" s="17" t="s">
        <v>426</v>
      </c>
      <c r="G769" s="18" t="n">
        <v>0</v>
      </c>
      <c r="H769" s="18" t="n">
        <v>94.5</v>
      </c>
      <c r="I769" s="18" t="n">
        <f aca="false">((I768 + G769) - H769)</f>
        <v>-427526.21</v>
      </c>
      <c r="J769" s="18" t="n">
        <v>-9.45</v>
      </c>
      <c r="K769" s="19" t="n">
        <v>10</v>
      </c>
      <c r="L769" s="17" t="s">
        <v>22</v>
      </c>
    </row>
    <row r="770" s="11" customFormat="true" ht="10.95" hidden="false" customHeight="true" outlineLevel="0" collapsed="false">
      <c r="A770" s="16" t="n">
        <v>45280</v>
      </c>
      <c r="B770" s="17" t="s">
        <v>17</v>
      </c>
      <c r="C770" s="17" t="s">
        <v>18</v>
      </c>
      <c r="D770" s="17" t="s">
        <v>19</v>
      </c>
      <c r="E770" s="17" t="s">
        <v>159</v>
      </c>
      <c r="F770" s="17" t="s">
        <v>426</v>
      </c>
      <c r="G770" s="18" t="n">
        <v>0</v>
      </c>
      <c r="H770" s="18" t="n">
        <v>792</v>
      </c>
      <c r="I770" s="18" t="n">
        <f aca="false">((I769 + G770) - H770)</f>
        <v>-428318.21</v>
      </c>
      <c r="J770" s="18" t="n">
        <v>-79.2</v>
      </c>
      <c r="K770" s="19" t="n">
        <v>10</v>
      </c>
      <c r="L770" s="17" t="s">
        <v>22</v>
      </c>
    </row>
    <row r="771" s="11" customFormat="true" ht="10.95" hidden="false" customHeight="true" outlineLevel="0" collapsed="false">
      <c r="A771" s="16" t="n">
        <v>45280</v>
      </c>
      <c r="B771" s="17" t="s">
        <v>17</v>
      </c>
      <c r="C771" s="17" t="s">
        <v>18</v>
      </c>
      <c r="D771" s="17" t="s">
        <v>19</v>
      </c>
      <c r="E771" s="17" t="s">
        <v>282</v>
      </c>
      <c r="F771" s="17" t="s">
        <v>426</v>
      </c>
      <c r="G771" s="18" t="n">
        <v>0</v>
      </c>
      <c r="H771" s="18" t="n">
        <v>94.5</v>
      </c>
      <c r="I771" s="18" t="n">
        <f aca="false">((I770 + G771) - H771)</f>
        <v>-428412.71</v>
      </c>
      <c r="J771" s="18" t="n">
        <v>-9.45</v>
      </c>
      <c r="K771" s="19" t="n">
        <v>10</v>
      </c>
      <c r="L771" s="17" t="s">
        <v>22</v>
      </c>
    </row>
    <row r="772" s="11" customFormat="true" ht="10.95" hidden="false" customHeight="true" outlineLevel="0" collapsed="false">
      <c r="A772" s="16" t="n">
        <v>45280</v>
      </c>
      <c r="B772" s="17" t="s">
        <v>17</v>
      </c>
      <c r="C772" s="17" t="s">
        <v>18</v>
      </c>
      <c r="D772" s="17" t="s">
        <v>19</v>
      </c>
      <c r="E772" s="17" t="s">
        <v>373</v>
      </c>
      <c r="F772" s="17" t="s">
        <v>426</v>
      </c>
      <c r="G772" s="18" t="n">
        <v>0</v>
      </c>
      <c r="H772" s="18" t="n">
        <v>72</v>
      </c>
      <c r="I772" s="18" t="n">
        <f aca="false">((I771 + G772) - H772)</f>
        <v>-428484.71</v>
      </c>
      <c r="J772" s="18" t="n">
        <v>-7.2</v>
      </c>
      <c r="K772" s="19" t="n">
        <v>10</v>
      </c>
      <c r="L772" s="17" t="s">
        <v>22</v>
      </c>
    </row>
    <row r="773" s="11" customFormat="true" ht="10.95" hidden="false" customHeight="true" outlineLevel="0" collapsed="false">
      <c r="A773" s="16" t="n">
        <v>45280</v>
      </c>
      <c r="B773" s="17" t="s">
        <v>17</v>
      </c>
      <c r="C773" s="17" t="s">
        <v>18</v>
      </c>
      <c r="D773" s="17" t="s">
        <v>19</v>
      </c>
      <c r="E773" s="17" t="s">
        <v>428</v>
      </c>
      <c r="F773" s="17" t="s">
        <v>426</v>
      </c>
      <c r="G773" s="18" t="n">
        <v>0</v>
      </c>
      <c r="H773" s="18" t="n">
        <v>216</v>
      </c>
      <c r="I773" s="18" t="n">
        <f aca="false">((I772 + G773) - H773)</f>
        <v>-428700.71</v>
      </c>
      <c r="J773" s="18" t="n">
        <v>-21.6</v>
      </c>
      <c r="K773" s="19" t="n">
        <v>10</v>
      </c>
      <c r="L773" s="17" t="s">
        <v>22</v>
      </c>
    </row>
    <row r="774" s="11" customFormat="true" ht="10.95" hidden="false" customHeight="true" outlineLevel="0" collapsed="false">
      <c r="A774" s="16" t="n">
        <v>45280</v>
      </c>
      <c r="B774" s="17" t="s">
        <v>17</v>
      </c>
      <c r="C774" s="17" t="s">
        <v>18</v>
      </c>
      <c r="D774" s="17" t="s">
        <v>19</v>
      </c>
      <c r="E774" s="17" t="s">
        <v>429</v>
      </c>
      <c r="F774" s="17" t="s">
        <v>426</v>
      </c>
      <c r="G774" s="18" t="n">
        <v>0</v>
      </c>
      <c r="H774" s="18" t="n">
        <v>189</v>
      </c>
      <c r="I774" s="18" t="n">
        <f aca="false">((I773 + G774) - H774)</f>
        <v>-428889.71</v>
      </c>
      <c r="J774" s="18" t="n">
        <v>-18.9</v>
      </c>
      <c r="K774" s="19" t="n">
        <v>10</v>
      </c>
      <c r="L774" s="17" t="s">
        <v>22</v>
      </c>
    </row>
    <row r="775" s="11" customFormat="true" ht="10.95" hidden="false" customHeight="true" outlineLevel="0" collapsed="false">
      <c r="A775" s="16" t="n">
        <v>45280</v>
      </c>
      <c r="B775" s="17" t="s">
        <v>17</v>
      </c>
      <c r="C775" s="17" t="s">
        <v>18</v>
      </c>
      <c r="D775" s="17" t="s">
        <v>19</v>
      </c>
      <c r="E775" s="17" t="s">
        <v>430</v>
      </c>
      <c r="F775" s="17" t="s">
        <v>426</v>
      </c>
      <c r="G775" s="18" t="n">
        <v>0</v>
      </c>
      <c r="H775" s="18" t="n">
        <v>189</v>
      </c>
      <c r="I775" s="18" t="n">
        <f aca="false">((I774 + G775) - H775)</f>
        <v>-429078.71</v>
      </c>
      <c r="J775" s="18" t="n">
        <v>-18.9</v>
      </c>
      <c r="K775" s="19" t="n">
        <v>10</v>
      </c>
      <c r="L775" s="17" t="s">
        <v>22</v>
      </c>
    </row>
    <row r="776" s="11" customFormat="true" ht="10.95" hidden="false" customHeight="true" outlineLevel="0" collapsed="false">
      <c r="A776" s="16" t="n">
        <v>45280</v>
      </c>
      <c r="B776" s="17" t="s">
        <v>17</v>
      </c>
      <c r="C776" s="17" t="s">
        <v>18</v>
      </c>
      <c r="D776" s="17" t="s">
        <v>19</v>
      </c>
      <c r="E776" s="17" t="s">
        <v>431</v>
      </c>
      <c r="F776" s="17" t="s">
        <v>426</v>
      </c>
      <c r="G776" s="18" t="n">
        <v>0</v>
      </c>
      <c r="H776" s="18" t="n">
        <v>648</v>
      </c>
      <c r="I776" s="18" t="n">
        <f aca="false">((I775 + G776) - H776)</f>
        <v>-429726.71</v>
      </c>
      <c r="J776" s="18" t="n">
        <v>-64.8</v>
      </c>
      <c r="K776" s="19" t="n">
        <v>10</v>
      </c>
      <c r="L776" s="17" t="s">
        <v>22</v>
      </c>
    </row>
    <row r="777" s="11" customFormat="true" ht="10.95" hidden="false" customHeight="true" outlineLevel="0" collapsed="false">
      <c r="A777" s="16" t="n">
        <v>45280</v>
      </c>
      <c r="B777" s="17" t="s">
        <v>17</v>
      </c>
      <c r="C777" s="17" t="s">
        <v>18</v>
      </c>
      <c r="D777" s="17" t="s">
        <v>19</v>
      </c>
      <c r="E777" s="17" t="s">
        <v>432</v>
      </c>
      <c r="F777" s="17" t="s">
        <v>426</v>
      </c>
      <c r="G777" s="18" t="n">
        <v>0</v>
      </c>
      <c r="H777" s="18" t="n">
        <v>378</v>
      </c>
      <c r="I777" s="18" t="n">
        <f aca="false">((I776 + G777) - H777)</f>
        <v>-430104.71</v>
      </c>
      <c r="J777" s="18" t="n">
        <v>-37.8</v>
      </c>
      <c r="K777" s="19" t="n">
        <v>10</v>
      </c>
      <c r="L777" s="17" t="s">
        <v>22</v>
      </c>
    </row>
    <row r="778" s="11" customFormat="true" ht="10.95" hidden="false" customHeight="true" outlineLevel="0" collapsed="false">
      <c r="A778" s="16" t="n">
        <v>45316</v>
      </c>
      <c r="B778" s="17" t="s">
        <v>17</v>
      </c>
      <c r="C778" s="17" t="s">
        <v>18</v>
      </c>
      <c r="D778" s="17" t="s">
        <v>19</v>
      </c>
      <c r="E778" s="17" t="s">
        <v>231</v>
      </c>
      <c r="F778" s="17" t="s">
        <v>433</v>
      </c>
      <c r="G778" s="18" t="n">
        <v>0</v>
      </c>
      <c r="H778" s="18" t="n">
        <v>143</v>
      </c>
      <c r="I778" s="18" t="n">
        <f aca="false">((I777 + G778) - H778)</f>
        <v>-430247.71</v>
      </c>
      <c r="J778" s="18" t="n">
        <v>-14.3</v>
      </c>
      <c r="K778" s="19" t="n">
        <v>10</v>
      </c>
      <c r="L778" s="17" t="s">
        <v>22</v>
      </c>
    </row>
    <row r="779" s="11" customFormat="true" ht="10.95" hidden="false" customHeight="true" outlineLevel="0" collapsed="false">
      <c r="A779" s="16" t="n">
        <v>45316</v>
      </c>
      <c r="B779" s="17" t="s">
        <v>17</v>
      </c>
      <c r="C779" s="17" t="s">
        <v>18</v>
      </c>
      <c r="D779" s="17" t="s">
        <v>19</v>
      </c>
      <c r="E779" s="17" t="s">
        <v>233</v>
      </c>
      <c r="F779" s="17" t="s">
        <v>434</v>
      </c>
      <c r="G779" s="18" t="n">
        <v>0</v>
      </c>
      <c r="H779" s="18" t="n">
        <v>71.5</v>
      </c>
      <c r="I779" s="18" t="n">
        <f aca="false">((I778 + G779) - H779)</f>
        <v>-430319.21</v>
      </c>
      <c r="J779" s="18" t="n">
        <v>-7.15</v>
      </c>
      <c r="K779" s="19" t="n">
        <v>10</v>
      </c>
      <c r="L779" s="17" t="s">
        <v>22</v>
      </c>
    </row>
    <row r="780" s="11" customFormat="true" ht="10.95" hidden="false" customHeight="true" outlineLevel="0" collapsed="false">
      <c r="A780" s="16" t="n">
        <v>45316</v>
      </c>
      <c r="B780" s="17" t="s">
        <v>17</v>
      </c>
      <c r="C780" s="17" t="s">
        <v>18</v>
      </c>
      <c r="D780" s="17" t="s">
        <v>19</v>
      </c>
      <c r="E780" s="17" t="s">
        <v>235</v>
      </c>
      <c r="F780" s="17" t="s">
        <v>434</v>
      </c>
      <c r="G780" s="18" t="n">
        <v>0</v>
      </c>
      <c r="H780" s="18" t="n">
        <v>110</v>
      </c>
      <c r="I780" s="18" t="n">
        <f aca="false">((I779 + G780) - H780)</f>
        <v>-430429.21</v>
      </c>
      <c r="J780" s="18" t="n">
        <v>-11</v>
      </c>
      <c r="K780" s="19" t="n">
        <v>10</v>
      </c>
      <c r="L780" s="17" t="s">
        <v>22</v>
      </c>
    </row>
    <row r="781" s="11" customFormat="true" ht="10.95" hidden="false" customHeight="true" outlineLevel="0" collapsed="false">
      <c r="A781" s="16" t="n">
        <v>45316</v>
      </c>
      <c r="B781" s="17" t="s">
        <v>17</v>
      </c>
      <c r="C781" s="17" t="s">
        <v>18</v>
      </c>
      <c r="D781" s="17" t="s">
        <v>19</v>
      </c>
      <c r="E781" s="17" t="s">
        <v>171</v>
      </c>
      <c r="F781" s="17" t="s">
        <v>435</v>
      </c>
      <c r="G781" s="18" t="n">
        <v>0</v>
      </c>
      <c r="H781" s="18" t="n">
        <v>940.5</v>
      </c>
      <c r="I781" s="18" t="n">
        <f aca="false">((I780 + G781) - H781)</f>
        <v>-431369.71</v>
      </c>
      <c r="J781" s="18" t="n">
        <v>-94.05</v>
      </c>
      <c r="K781" s="19" t="n">
        <v>10</v>
      </c>
      <c r="L781" s="17" t="s">
        <v>22</v>
      </c>
    </row>
    <row r="782" s="11" customFormat="true" ht="10.95" hidden="false" customHeight="true" outlineLevel="0" collapsed="false">
      <c r="A782" s="16" t="n">
        <v>45316</v>
      </c>
      <c r="B782" s="17" t="s">
        <v>17</v>
      </c>
      <c r="C782" s="17" t="s">
        <v>18</v>
      </c>
      <c r="D782" s="17" t="s">
        <v>19</v>
      </c>
      <c r="E782" s="17" t="s">
        <v>20</v>
      </c>
      <c r="F782" s="17" t="s">
        <v>436</v>
      </c>
      <c r="G782" s="18" t="n">
        <v>0</v>
      </c>
      <c r="H782" s="18" t="n">
        <v>376</v>
      </c>
      <c r="I782" s="18" t="n">
        <f aca="false">((I781 + G782) - H782)</f>
        <v>-431745.71</v>
      </c>
      <c r="J782" s="18" t="n">
        <v>-37.6</v>
      </c>
      <c r="K782" s="19" t="n">
        <v>10</v>
      </c>
      <c r="L782" s="17" t="s">
        <v>22</v>
      </c>
    </row>
    <row r="783" s="11" customFormat="true" ht="10.95" hidden="false" customHeight="true" outlineLevel="0" collapsed="false">
      <c r="A783" s="16" t="n">
        <v>45316</v>
      </c>
      <c r="B783" s="17" t="s">
        <v>17</v>
      </c>
      <c r="C783" s="17" t="s">
        <v>18</v>
      </c>
      <c r="D783" s="17" t="s">
        <v>19</v>
      </c>
      <c r="E783" s="17" t="s">
        <v>23</v>
      </c>
      <c r="F783" s="17" t="s">
        <v>437</v>
      </c>
      <c r="G783" s="18" t="n">
        <v>0</v>
      </c>
      <c r="H783" s="18" t="n">
        <v>1035</v>
      </c>
      <c r="I783" s="18" t="n">
        <f aca="false">((I782 + G783) - H783)</f>
        <v>-432780.71</v>
      </c>
      <c r="J783" s="18" t="n">
        <v>-103.5</v>
      </c>
      <c r="K783" s="19" t="n">
        <v>10</v>
      </c>
      <c r="L783" s="17" t="s">
        <v>22</v>
      </c>
    </row>
    <row r="784" s="11" customFormat="true" ht="10.95" hidden="false" customHeight="true" outlineLevel="0" collapsed="false">
      <c r="A784" s="16" t="n">
        <v>45316</v>
      </c>
      <c r="B784" s="17" t="s">
        <v>17</v>
      </c>
      <c r="C784" s="17" t="s">
        <v>18</v>
      </c>
      <c r="D784" s="17" t="s">
        <v>19</v>
      </c>
      <c r="E784" s="17" t="s">
        <v>25</v>
      </c>
      <c r="F784" s="17" t="s">
        <v>437</v>
      </c>
      <c r="G784" s="18" t="n">
        <v>0</v>
      </c>
      <c r="H784" s="18" t="n">
        <v>225</v>
      </c>
      <c r="I784" s="18" t="n">
        <f aca="false">((I783 + G784) - H784)</f>
        <v>-433005.71</v>
      </c>
      <c r="J784" s="18" t="n">
        <v>-22.5</v>
      </c>
      <c r="K784" s="19" t="n">
        <v>10</v>
      </c>
      <c r="L784" s="17" t="s">
        <v>22</v>
      </c>
    </row>
    <row r="785" s="11" customFormat="true" ht="10.95" hidden="false" customHeight="true" outlineLevel="0" collapsed="false">
      <c r="A785" s="16" t="n">
        <v>45316</v>
      </c>
      <c r="B785" s="17" t="s">
        <v>17</v>
      </c>
      <c r="C785" s="17" t="s">
        <v>18</v>
      </c>
      <c r="D785" s="17" t="s">
        <v>19</v>
      </c>
      <c r="E785" s="17" t="s">
        <v>26</v>
      </c>
      <c r="F785" s="17" t="s">
        <v>438</v>
      </c>
      <c r="G785" s="18" t="n">
        <v>0</v>
      </c>
      <c r="H785" s="18" t="n">
        <v>510</v>
      </c>
      <c r="I785" s="18" t="n">
        <f aca="false">((I784 + G785) - H785)</f>
        <v>-433515.71</v>
      </c>
      <c r="J785" s="18" t="n">
        <v>-51</v>
      </c>
      <c r="K785" s="19" t="n">
        <v>10</v>
      </c>
      <c r="L785" s="17" t="s">
        <v>22</v>
      </c>
    </row>
    <row r="786" s="11" customFormat="true" ht="10.95" hidden="false" customHeight="true" outlineLevel="0" collapsed="false">
      <c r="A786" s="16" t="n">
        <v>45316</v>
      </c>
      <c r="B786" s="17" t="s">
        <v>17</v>
      </c>
      <c r="C786" s="17" t="s">
        <v>18</v>
      </c>
      <c r="D786" s="17" t="s">
        <v>19</v>
      </c>
      <c r="E786" s="17" t="s">
        <v>28</v>
      </c>
      <c r="F786" s="17" t="s">
        <v>439</v>
      </c>
      <c r="G786" s="18" t="n">
        <v>0</v>
      </c>
      <c r="H786" s="18" t="n">
        <v>1149.5</v>
      </c>
      <c r="I786" s="18" t="n">
        <f aca="false">((I785 + G786) - H786)</f>
        <v>-434665.21</v>
      </c>
      <c r="J786" s="18" t="n">
        <v>-114.95</v>
      </c>
      <c r="K786" s="19" t="n">
        <v>10</v>
      </c>
      <c r="L786" s="17" t="s">
        <v>22</v>
      </c>
    </row>
    <row r="787" s="11" customFormat="true" ht="10.95" hidden="false" customHeight="true" outlineLevel="0" collapsed="false">
      <c r="A787" s="16" t="n">
        <v>45316</v>
      </c>
      <c r="B787" s="17" t="s">
        <v>17</v>
      </c>
      <c r="C787" s="17" t="s">
        <v>18</v>
      </c>
      <c r="D787" s="17" t="s">
        <v>19</v>
      </c>
      <c r="E787" s="17" t="s">
        <v>30</v>
      </c>
      <c r="F787" s="17" t="s">
        <v>440</v>
      </c>
      <c r="G787" s="18" t="n">
        <v>0</v>
      </c>
      <c r="H787" s="18" t="n">
        <v>85</v>
      </c>
      <c r="I787" s="18" t="n">
        <f aca="false">((I786 + G787) - H787)</f>
        <v>-434750.21</v>
      </c>
      <c r="J787" s="18" t="n">
        <v>-8.5</v>
      </c>
      <c r="K787" s="19" t="n">
        <v>10</v>
      </c>
      <c r="L787" s="17" t="s">
        <v>22</v>
      </c>
    </row>
    <row r="788" s="11" customFormat="true" ht="10.95" hidden="false" customHeight="true" outlineLevel="0" collapsed="false">
      <c r="A788" s="16" t="n">
        <v>45316</v>
      </c>
      <c r="B788" s="17" t="s">
        <v>17</v>
      </c>
      <c r="C788" s="17" t="s">
        <v>18</v>
      </c>
      <c r="D788" s="17" t="s">
        <v>19</v>
      </c>
      <c r="E788" s="17" t="s">
        <v>32</v>
      </c>
      <c r="F788" s="17" t="s">
        <v>441</v>
      </c>
      <c r="G788" s="18" t="n">
        <v>0</v>
      </c>
      <c r="H788" s="18" t="n">
        <v>195</v>
      </c>
      <c r="I788" s="18" t="n">
        <f aca="false">((I787 + G788) - H788)</f>
        <v>-434945.21</v>
      </c>
      <c r="J788" s="18" t="n">
        <v>-19.5</v>
      </c>
      <c r="K788" s="19" t="n">
        <v>10</v>
      </c>
      <c r="L788" s="17" t="s">
        <v>22</v>
      </c>
    </row>
    <row r="789" s="11" customFormat="true" ht="10.95" hidden="false" customHeight="true" outlineLevel="0" collapsed="false">
      <c r="A789" s="16" t="n">
        <v>45316</v>
      </c>
      <c r="B789" s="17" t="s">
        <v>17</v>
      </c>
      <c r="C789" s="17" t="s">
        <v>18</v>
      </c>
      <c r="D789" s="17" t="s">
        <v>19</v>
      </c>
      <c r="E789" s="17" t="s">
        <v>34</v>
      </c>
      <c r="F789" s="17" t="s">
        <v>441</v>
      </c>
      <c r="G789" s="18" t="n">
        <v>0</v>
      </c>
      <c r="H789" s="18" t="n">
        <v>30</v>
      </c>
      <c r="I789" s="18" t="n">
        <f aca="false">((I788 + G789) - H789)</f>
        <v>-434975.21</v>
      </c>
      <c r="J789" s="18" t="n">
        <v>-3</v>
      </c>
      <c r="K789" s="19" t="n">
        <v>10</v>
      </c>
      <c r="L789" s="17" t="s">
        <v>22</v>
      </c>
    </row>
    <row r="790" s="11" customFormat="true" ht="21.3" hidden="false" customHeight="true" outlineLevel="0" collapsed="false">
      <c r="A790" s="16" t="n">
        <v>45316</v>
      </c>
      <c r="B790" s="17" t="s">
        <v>17</v>
      </c>
      <c r="C790" s="17" t="s">
        <v>18</v>
      </c>
      <c r="D790" s="17" t="s">
        <v>19</v>
      </c>
      <c r="E790" s="20" t="s">
        <v>35</v>
      </c>
      <c r="F790" s="17" t="s">
        <v>441</v>
      </c>
      <c r="G790" s="18" t="n">
        <v>0</v>
      </c>
      <c r="H790" s="18" t="n">
        <v>100</v>
      </c>
      <c r="I790" s="18" t="n">
        <f aca="false">((I789 + G790) - H790)</f>
        <v>-435075.21</v>
      </c>
      <c r="J790" s="18" t="n">
        <v>-10</v>
      </c>
      <c r="K790" s="19" t="n">
        <v>10</v>
      </c>
      <c r="L790" s="17" t="s">
        <v>22</v>
      </c>
    </row>
    <row r="791" s="11" customFormat="true" ht="10.95" hidden="false" customHeight="true" outlineLevel="0" collapsed="false">
      <c r="A791" s="16" t="n">
        <v>45316</v>
      </c>
      <c r="B791" s="17" t="s">
        <v>17</v>
      </c>
      <c r="C791" s="17" t="s">
        <v>18</v>
      </c>
      <c r="D791" s="17" t="s">
        <v>19</v>
      </c>
      <c r="E791" s="17" t="s">
        <v>36</v>
      </c>
      <c r="F791" s="17" t="s">
        <v>442</v>
      </c>
      <c r="G791" s="18" t="n">
        <v>0</v>
      </c>
      <c r="H791" s="18" t="n">
        <v>720</v>
      </c>
      <c r="I791" s="18" t="n">
        <f aca="false">((I790 + G791) - H791)</f>
        <v>-435795.21</v>
      </c>
      <c r="J791" s="18" t="n">
        <v>-72</v>
      </c>
      <c r="K791" s="19" t="n">
        <v>10</v>
      </c>
      <c r="L791" s="17" t="s">
        <v>22</v>
      </c>
    </row>
    <row r="792" s="11" customFormat="true" ht="10.95" hidden="false" customHeight="true" outlineLevel="0" collapsed="false">
      <c r="A792" s="16" t="n">
        <v>45316</v>
      </c>
      <c r="B792" s="17" t="s">
        <v>17</v>
      </c>
      <c r="C792" s="17" t="s">
        <v>18</v>
      </c>
      <c r="D792" s="17" t="s">
        <v>19</v>
      </c>
      <c r="E792" s="17" t="s">
        <v>38</v>
      </c>
      <c r="F792" s="17" t="s">
        <v>442</v>
      </c>
      <c r="G792" s="18" t="n">
        <v>0</v>
      </c>
      <c r="H792" s="18" t="n">
        <v>110</v>
      </c>
      <c r="I792" s="18" t="n">
        <f aca="false">((I791 + G792) - H792)</f>
        <v>-435905.21</v>
      </c>
      <c r="J792" s="18" t="n">
        <v>-11</v>
      </c>
      <c r="K792" s="19" t="n">
        <v>10</v>
      </c>
      <c r="L792" s="17" t="s">
        <v>22</v>
      </c>
    </row>
    <row r="793" s="11" customFormat="true" ht="10.95" hidden="false" customHeight="true" outlineLevel="0" collapsed="false">
      <c r="A793" s="16" t="n">
        <v>45316</v>
      </c>
      <c r="B793" s="17" t="s">
        <v>17</v>
      </c>
      <c r="C793" s="17" t="s">
        <v>18</v>
      </c>
      <c r="D793" s="17" t="s">
        <v>19</v>
      </c>
      <c r="E793" s="17" t="s">
        <v>39</v>
      </c>
      <c r="F793" s="17" t="s">
        <v>442</v>
      </c>
      <c r="G793" s="18" t="n">
        <v>0</v>
      </c>
      <c r="H793" s="18" t="n">
        <v>165</v>
      </c>
      <c r="I793" s="18" t="n">
        <f aca="false">((I792 + G793) - H793)</f>
        <v>-436070.21</v>
      </c>
      <c r="J793" s="18" t="n">
        <v>-16.5</v>
      </c>
      <c r="K793" s="19" t="n">
        <v>10</v>
      </c>
      <c r="L793" s="17" t="s">
        <v>22</v>
      </c>
    </row>
    <row r="794" s="11" customFormat="true" ht="10.95" hidden="false" customHeight="true" outlineLevel="0" collapsed="false">
      <c r="A794" s="16" t="n">
        <v>45316</v>
      </c>
      <c r="B794" s="17" t="s">
        <v>17</v>
      </c>
      <c r="C794" s="17" t="s">
        <v>18</v>
      </c>
      <c r="D794" s="17" t="s">
        <v>19</v>
      </c>
      <c r="E794" s="17" t="s">
        <v>47</v>
      </c>
      <c r="F794" s="17" t="s">
        <v>443</v>
      </c>
      <c r="G794" s="18" t="n">
        <v>0</v>
      </c>
      <c r="H794" s="18" t="n">
        <v>260</v>
      </c>
      <c r="I794" s="18" t="n">
        <f aca="false">((I793 + G794) - H794)</f>
        <v>-436330.21</v>
      </c>
      <c r="J794" s="18" t="n">
        <v>-26</v>
      </c>
      <c r="K794" s="19" t="n">
        <v>10</v>
      </c>
      <c r="L794" s="17" t="s">
        <v>22</v>
      </c>
    </row>
    <row r="795" s="11" customFormat="true" ht="10.95" hidden="false" customHeight="true" outlineLevel="0" collapsed="false">
      <c r="A795" s="16" t="n">
        <v>45316</v>
      </c>
      <c r="B795" s="17" t="s">
        <v>17</v>
      </c>
      <c r="C795" s="17" t="s">
        <v>18</v>
      </c>
      <c r="D795" s="17" t="s">
        <v>19</v>
      </c>
      <c r="E795" s="17" t="s">
        <v>49</v>
      </c>
      <c r="F795" s="17" t="s">
        <v>443</v>
      </c>
      <c r="G795" s="18" t="n">
        <v>0</v>
      </c>
      <c r="H795" s="18" t="n">
        <v>100</v>
      </c>
      <c r="I795" s="18" t="n">
        <f aca="false">((I794 + G795) - H795)</f>
        <v>-436430.21</v>
      </c>
      <c r="J795" s="18" t="n">
        <v>-10</v>
      </c>
      <c r="K795" s="19" t="n">
        <v>10</v>
      </c>
      <c r="L795" s="17" t="s">
        <v>22</v>
      </c>
    </row>
    <row r="796" s="11" customFormat="true" ht="10.95" hidden="false" customHeight="true" outlineLevel="0" collapsed="false">
      <c r="A796" s="16" t="n">
        <v>45316</v>
      </c>
      <c r="B796" s="17" t="s">
        <v>17</v>
      </c>
      <c r="C796" s="17" t="s">
        <v>18</v>
      </c>
      <c r="D796" s="17" t="s">
        <v>19</v>
      </c>
      <c r="E796" s="17" t="s">
        <v>50</v>
      </c>
      <c r="F796" s="17" t="s">
        <v>444</v>
      </c>
      <c r="G796" s="18" t="n">
        <v>0</v>
      </c>
      <c r="H796" s="18" t="n">
        <v>2040</v>
      </c>
      <c r="I796" s="18" t="n">
        <f aca="false">((I795 + G796) - H796)</f>
        <v>-438470.21</v>
      </c>
      <c r="J796" s="18" t="n">
        <v>-204</v>
      </c>
      <c r="K796" s="19" t="n">
        <v>10</v>
      </c>
      <c r="L796" s="17" t="s">
        <v>22</v>
      </c>
    </row>
    <row r="797" s="11" customFormat="true" ht="10.95" hidden="false" customHeight="true" outlineLevel="0" collapsed="false">
      <c r="A797" s="16" t="n">
        <v>45316</v>
      </c>
      <c r="B797" s="17" t="s">
        <v>17</v>
      </c>
      <c r="C797" s="17" t="s">
        <v>18</v>
      </c>
      <c r="D797" s="17" t="s">
        <v>19</v>
      </c>
      <c r="E797" s="17" t="s">
        <v>52</v>
      </c>
      <c r="F797" s="17" t="s">
        <v>445</v>
      </c>
      <c r="G797" s="18" t="n">
        <v>0</v>
      </c>
      <c r="H797" s="18" t="n">
        <v>1000.05</v>
      </c>
      <c r="I797" s="18" t="n">
        <f aca="false">((I796 + G797) - H797)</f>
        <v>-439470.26</v>
      </c>
      <c r="J797" s="18" t="n">
        <v>-100.01</v>
      </c>
      <c r="K797" s="19" t="n">
        <v>10</v>
      </c>
      <c r="L797" s="17" t="s">
        <v>22</v>
      </c>
    </row>
    <row r="798" s="11" customFormat="true" ht="10.95" hidden="false" customHeight="true" outlineLevel="0" collapsed="false">
      <c r="A798" s="16" t="n">
        <v>45316</v>
      </c>
      <c r="B798" s="17" t="s">
        <v>17</v>
      </c>
      <c r="C798" s="17" t="s">
        <v>18</v>
      </c>
      <c r="D798" s="17" t="s">
        <v>19</v>
      </c>
      <c r="E798" s="17" t="s">
        <v>54</v>
      </c>
      <c r="F798" s="17" t="s">
        <v>446</v>
      </c>
      <c r="G798" s="18" t="n">
        <v>0</v>
      </c>
      <c r="H798" s="18" t="n">
        <v>550</v>
      </c>
      <c r="I798" s="18" t="n">
        <f aca="false">((I797 + G798) - H798)</f>
        <v>-440020.26</v>
      </c>
      <c r="J798" s="18" t="n">
        <v>-55</v>
      </c>
      <c r="K798" s="19" t="n">
        <v>10</v>
      </c>
      <c r="L798" s="17" t="s">
        <v>22</v>
      </c>
    </row>
    <row r="799" s="11" customFormat="true" ht="31.65" hidden="false" customHeight="true" outlineLevel="0" collapsed="false">
      <c r="A799" s="16" t="n">
        <v>45316</v>
      </c>
      <c r="B799" s="17" t="s">
        <v>17</v>
      </c>
      <c r="C799" s="17" t="s">
        <v>18</v>
      </c>
      <c r="D799" s="17" t="s">
        <v>19</v>
      </c>
      <c r="E799" s="20" t="s">
        <v>56</v>
      </c>
      <c r="F799" s="17" t="s">
        <v>446</v>
      </c>
      <c r="G799" s="18" t="n">
        <v>0</v>
      </c>
      <c r="H799" s="18" t="n">
        <v>110</v>
      </c>
      <c r="I799" s="18" t="n">
        <f aca="false">((I798 + G799) - H799)</f>
        <v>-440130.26</v>
      </c>
      <c r="J799" s="18" t="n">
        <v>-11</v>
      </c>
      <c r="K799" s="19" t="n">
        <v>10</v>
      </c>
      <c r="L799" s="17" t="s">
        <v>22</v>
      </c>
    </row>
    <row r="800" s="11" customFormat="true" ht="10.95" hidden="false" customHeight="true" outlineLevel="0" collapsed="false">
      <c r="A800" s="16" t="n">
        <v>45316</v>
      </c>
      <c r="B800" s="17" t="s">
        <v>17</v>
      </c>
      <c r="C800" s="17" t="s">
        <v>18</v>
      </c>
      <c r="D800" s="17" t="s">
        <v>19</v>
      </c>
      <c r="E800" s="17" t="s">
        <v>57</v>
      </c>
      <c r="F800" s="17" t="s">
        <v>446</v>
      </c>
      <c r="G800" s="18" t="n">
        <v>0</v>
      </c>
      <c r="H800" s="18" t="n">
        <v>132</v>
      </c>
      <c r="I800" s="18" t="n">
        <f aca="false">((I799 + G800) - H800)</f>
        <v>-440262.26</v>
      </c>
      <c r="J800" s="18" t="n">
        <v>-13.2</v>
      </c>
      <c r="K800" s="19" t="n">
        <v>10</v>
      </c>
      <c r="L800" s="17" t="s">
        <v>22</v>
      </c>
    </row>
    <row r="801" s="11" customFormat="true" ht="10.95" hidden="false" customHeight="true" outlineLevel="0" collapsed="false">
      <c r="A801" s="16" t="n">
        <v>45316</v>
      </c>
      <c r="B801" s="17" t="s">
        <v>17</v>
      </c>
      <c r="C801" s="17" t="s">
        <v>18</v>
      </c>
      <c r="D801" s="17" t="s">
        <v>19</v>
      </c>
      <c r="E801" s="17" t="s">
        <v>58</v>
      </c>
      <c r="F801" s="17" t="s">
        <v>446</v>
      </c>
      <c r="G801" s="18" t="n">
        <v>0</v>
      </c>
      <c r="H801" s="18" t="n">
        <v>165</v>
      </c>
      <c r="I801" s="18" t="n">
        <f aca="false">((I800 + G801) - H801)</f>
        <v>-440427.26</v>
      </c>
      <c r="J801" s="18" t="n">
        <v>-16.5</v>
      </c>
      <c r="K801" s="19" t="n">
        <v>10</v>
      </c>
      <c r="L801" s="17" t="s">
        <v>22</v>
      </c>
    </row>
    <row r="802" s="11" customFormat="true" ht="10.95" hidden="false" customHeight="true" outlineLevel="0" collapsed="false">
      <c r="A802" s="16" t="n">
        <v>45316</v>
      </c>
      <c r="B802" s="17" t="s">
        <v>17</v>
      </c>
      <c r="C802" s="17" t="s">
        <v>18</v>
      </c>
      <c r="D802" s="17" t="s">
        <v>19</v>
      </c>
      <c r="E802" s="17" t="s">
        <v>59</v>
      </c>
      <c r="F802" s="17" t="s">
        <v>447</v>
      </c>
      <c r="G802" s="18" t="n">
        <v>0</v>
      </c>
      <c r="H802" s="18" t="n">
        <v>4800</v>
      </c>
      <c r="I802" s="18" t="n">
        <f aca="false">((I801 + G802) - H802)</f>
        <v>-445227.26</v>
      </c>
      <c r="J802" s="18" t="n">
        <v>-480</v>
      </c>
      <c r="K802" s="19" t="n">
        <v>10</v>
      </c>
      <c r="L802" s="17" t="s">
        <v>22</v>
      </c>
    </row>
    <row r="803" s="11" customFormat="true" ht="10.95" hidden="false" customHeight="true" outlineLevel="0" collapsed="false">
      <c r="A803" s="16" t="n">
        <v>45316</v>
      </c>
      <c r="B803" s="17" t="s">
        <v>17</v>
      </c>
      <c r="C803" s="17" t="s">
        <v>18</v>
      </c>
      <c r="D803" s="17" t="s">
        <v>19</v>
      </c>
      <c r="E803" s="17" t="s">
        <v>61</v>
      </c>
      <c r="F803" s="17" t="s">
        <v>447</v>
      </c>
      <c r="G803" s="18" t="n">
        <v>0</v>
      </c>
      <c r="H803" s="18" t="n">
        <v>3990</v>
      </c>
      <c r="I803" s="18" t="n">
        <f aca="false">((I802 + G803) - H803)</f>
        <v>-449217.26</v>
      </c>
      <c r="J803" s="18" t="n">
        <v>-399</v>
      </c>
      <c r="K803" s="19" t="n">
        <v>10</v>
      </c>
      <c r="L803" s="17" t="s">
        <v>22</v>
      </c>
    </row>
    <row r="804" s="11" customFormat="true" ht="10.95" hidden="false" customHeight="true" outlineLevel="0" collapsed="false">
      <c r="A804" s="16" t="n">
        <v>45316</v>
      </c>
      <c r="B804" s="17" t="s">
        <v>17</v>
      </c>
      <c r="C804" s="17" t="s">
        <v>18</v>
      </c>
      <c r="D804" s="17" t="s">
        <v>19</v>
      </c>
      <c r="E804" s="17" t="s">
        <v>62</v>
      </c>
      <c r="F804" s="17" t="s">
        <v>447</v>
      </c>
      <c r="G804" s="18" t="n">
        <v>0</v>
      </c>
      <c r="H804" s="18" t="n">
        <v>300</v>
      </c>
      <c r="I804" s="18" t="n">
        <f aca="false">((I803 + G804) - H804)</f>
        <v>-449517.26</v>
      </c>
      <c r="J804" s="18" t="n">
        <v>-30</v>
      </c>
      <c r="K804" s="19" t="n">
        <v>10</v>
      </c>
      <c r="L804" s="17" t="s">
        <v>22</v>
      </c>
    </row>
    <row r="805" s="11" customFormat="true" ht="10.95" hidden="false" customHeight="true" outlineLevel="0" collapsed="false">
      <c r="A805" s="16" t="n">
        <v>45316</v>
      </c>
      <c r="B805" s="17" t="s">
        <v>17</v>
      </c>
      <c r="C805" s="17" t="s">
        <v>18</v>
      </c>
      <c r="D805" s="17" t="s">
        <v>19</v>
      </c>
      <c r="E805" s="17" t="s">
        <v>64</v>
      </c>
      <c r="F805" s="17" t="s">
        <v>448</v>
      </c>
      <c r="G805" s="18" t="n">
        <v>0</v>
      </c>
      <c r="H805" s="18" t="n">
        <v>3850</v>
      </c>
      <c r="I805" s="18" t="n">
        <f aca="false">((I804 + G805) - H805)</f>
        <v>-453367.26</v>
      </c>
      <c r="J805" s="18" t="n">
        <v>-385</v>
      </c>
      <c r="K805" s="19" t="n">
        <v>10</v>
      </c>
      <c r="L805" s="17" t="s">
        <v>22</v>
      </c>
    </row>
    <row r="806" s="11" customFormat="true" ht="10.95" hidden="false" customHeight="true" outlineLevel="0" collapsed="false">
      <c r="A806" s="16" t="n">
        <v>45316</v>
      </c>
      <c r="B806" s="17" t="s">
        <v>17</v>
      </c>
      <c r="C806" s="17" t="s">
        <v>18</v>
      </c>
      <c r="D806" s="17" t="s">
        <v>19</v>
      </c>
      <c r="E806" s="17" t="s">
        <v>66</v>
      </c>
      <c r="F806" s="17" t="s">
        <v>448</v>
      </c>
      <c r="G806" s="18" t="n">
        <v>0</v>
      </c>
      <c r="H806" s="18" t="n">
        <v>220</v>
      </c>
      <c r="I806" s="18" t="n">
        <f aca="false">((I805 + G806) - H806)</f>
        <v>-453587.26</v>
      </c>
      <c r="J806" s="18" t="n">
        <v>-22</v>
      </c>
      <c r="K806" s="19" t="n">
        <v>10</v>
      </c>
      <c r="L806" s="17" t="s">
        <v>22</v>
      </c>
    </row>
    <row r="807" s="11" customFormat="true" ht="10.95" hidden="false" customHeight="true" outlineLevel="0" collapsed="false">
      <c r="A807" s="16" t="n">
        <v>45316</v>
      </c>
      <c r="B807" s="17" t="s">
        <v>17</v>
      </c>
      <c r="C807" s="17" t="s">
        <v>18</v>
      </c>
      <c r="D807" s="17" t="s">
        <v>19</v>
      </c>
      <c r="E807" s="17" t="s">
        <v>67</v>
      </c>
      <c r="F807" s="17" t="s">
        <v>448</v>
      </c>
      <c r="G807" s="18" t="n">
        <v>0</v>
      </c>
      <c r="H807" s="18" t="n">
        <v>220</v>
      </c>
      <c r="I807" s="18" t="n">
        <f aca="false">((I806 + G807) - H807)</f>
        <v>-453807.26</v>
      </c>
      <c r="J807" s="18" t="n">
        <v>-22</v>
      </c>
      <c r="K807" s="19" t="n">
        <v>10</v>
      </c>
      <c r="L807" s="17" t="s">
        <v>22</v>
      </c>
    </row>
    <row r="808" s="11" customFormat="true" ht="10.95" hidden="false" customHeight="true" outlineLevel="0" collapsed="false">
      <c r="A808" s="16" t="n">
        <v>45316</v>
      </c>
      <c r="B808" s="17" t="s">
        <v>17</v>
      </c>
      <c r="C808" s="17" t="s">
        <v>18</v>
      </c>
      <c r="D808" s="17" t="s">
        <v>19</v>
      </c>
      <c r="E808" s="17" t="s">
        <v>68</v>
      </c>
      <c r="F808" s="17" t="s">
        <v>448</v>
      </c>
      <c r="G808" s="18" t="n">
        <v>0</v>
      </c>
      <c r="H808" s="18" t="n">
        <v>250</v>
      </c>
      <c r="I808" s="18" t="n">
        <f aca="false">((I807 + G808) - H808)</f>
        <v>-454057.26</v>
      </c>
      <c r="J808" s="18" t="n">
        <v>-25</v>
      </c>
      <c r="K808" s="19" t="n">
        <v>10</v>
      </c>
      <c r="L808" s="17" t="s">
        <v>22</v>
      </c>
    </row>
    <row r="809" s="11" customFormat="true" ht="10.95" hidden="false" customHeight="true" outlineLevel="0" collapsed="false">
      <c r="A809" s="16" t="n">
        <v>45316</v>
      </c>
      <c r="B809" s="17" t="s">
        <v>17</v>
      </c>
      <c r="C809" s="17" t="s">
        <v>18</v>
      </c>
      <c r="D809" s="17" t="s">
        <v>19</v>
      </c>
      <c r="E809" s="17" t="s">
        <v>69</v>
      </c>
      <c r="F809" s="17" t="s">
        <v>449</v>
      </c>
      <c r="G809" s="18" t="n">
        <v>0</v>
      </c>
      <c r="H809" s="18" t="n">
        <v>880</v>
      </c>
      <c r="I809" s="18" t="n">
        <f aca="false">((I808 + G809) - H809)</f>
        <v>-454937.26</v>
      </c>
      <c r="J809" s="18" t="n">
        <v>-88</v>
      </c>
      <c r="K809" s="19" t="n">
        <v>10</v>
      </c>
      <c r="L809" s="17" t="s">
        <v>22</v>
      </c>
    </row>
    <row r="810" s="11" customFormat="true" ht="10.95" hidden="false" customHeight="true" outlineLevel="0" collapsed="false">
      <c r="A810" s="16" t="n">
        <v>45316</v>
      </c>
      <c r="B810" s="17" t="s">
        <v>17</v>
      </c>
      <c r="C810" s="17" t="s">
        <v>18</v>
      </c>
      <c r="D810" s="17" t="s">
        <v>19</v>
      </c>
      <c r="E810" s="17" t="s">
        <v>201</v>
      </c>
      <c r="F810" s="17" t="s">
        <v>450</v>
      </c>
      <c r="G810" s="18" t="n">
        <v>0</v>
      </c>
      <c r="H810" s="18" t="n">
        <v>864</v>
      </c>
      <c r="I810" s="18" t="n">
        <f aca="false">((I809 + G810) - H810)</f>
        <v>-455801.26</v>
      </c>
      <c r="J810" s="18" t="n">
        <v>-86.4</v>
      </c>
      <c r="K810" s="19" t="n">
        <v>10</v>
      </c>
      <c r="L810" s="17" t="s">
        <v>22</v>
      </c>
    </row>
    <row r="811" s="11" customFormat="true" ht="10.95" hidden="false" customHeight="true" outlineLevel="0" collapsed="false">
      <c r="A811" s="16" t="n">
        <v>45316</v>
      </c>
      <c r="B811" s="17" t="s">
        <v>17</v>
      </c>
      <c r="C811" s="17" t="s">
        <v>18</v>
      </c>
      <c r="D811" s="17" t="s">
        <v>19</v>
      </c>
      <c r="E811" s="17" t="s">
        <v>203</v>
      </c>
      <c r="F811" s="17" t="s">
        <v>450</v>
      </c>
      <c r="G811" s="18" t="n">
        <v>0</v>
      </c>
      <c r="H811" s="18" t="n">
        <v>110</v>
      </c>
      <c r="I811" s="18" t="n">
        <f aca="false">((I810 + G811) - H811)</f>
        <v>-455911.26</v>
      </c>
      <c r="J811" s="18" t="n">
        <v>-11</v>
      </c>
      <c r="K811" s="19" t="n">
        <v>10</v>
      </c>
      <c r="L811" s="17" t="s">
        <v>22</v>
      </c>
    </row>
    <row r="812" s="11" customFormat="true" ht="10.95" hidden="false" customHeight="true" outlineLevel="0" collapsed="false">
      <c r="A812" s="16" t="n">
        <v>45316</v>
      </c>
      <c r="B812" s="17" t="s">
        <v>17</v>
      </c>
      <c r="C812" s="17" t="s">
        <v>18</v>
      </c>
      <c r="D812" s="17" t="s">
        <v>19</v>
      </c>
      <c r="E812" s="17" t="s">
        <v>74</v>
      </c>
      <c r="F812" s="17" t="s">
        <v>451</v>
      </c>
      <c r="G812" s="18" t="n">
        <v>0</v>
      </c>
      <c r="H812" s="18" t="n">
        <v>1692</v>
      </c>
      <c r="I812" s="18" t="n">
        <f aca="false">((I811 + G812) - H812)</f>
        <v>-457603.26</v>
      </c>
      <c r="J812" s="18" t="n">
        <v>-169.2</v>
      </c>
      <c r="K812" s="19" t="n">
        <v>10</v>
      </c>
      <c r="L812" s="17" t="s">
        <v>22</v>
      </c>
    </row>
    <row r="813" s="11" customFormat="true" ht="10.95" hidden="false" customHeight="true" outlineLevel="0" collapsed="false">
      <c r="A813" s="16" t="n">
        <v>45316</v>
      </c>
      <c r="B813" s="17" t="s">
        <v>17</v>
      </c>
      <c r="C813" s="17" t="s">
        <v>18</v>
      </c>
      <c r="D813" s="17" t="s">
        <v>19</v>
      </c>
      <c r="E813" s="17" t="s">
        <v>261</v>
      </c>
      <c r="F813" s="17" t="s">
        <v>452</v>
      </c>
      <c r="G813" s="18" t="n">
        <v>0</v>
      </c>
      <c r="H813" s="18" t="n">
        <v>522.5</v>
      </c>
      <c r="I813" s="18" t="n">
        <f aca="false">((I812 + G813) - H813)</f>
        <v>-458125.76</v>
      </c>
      <c r="J813" s="18" t="n">
        <v>-52.25</v>
      </c>
      <c r="K813" s="19" t="n">
        <v>10</v>
      </c>
      <c r="L813" s="17" t="s">
        <v>22</v>
      </c>
    </row>
    <row r="814" s="11" customFormat="true" ht="10.95" hidden="false" customHeight="true" outlineLevel="0" collapsed="false">
      <c r="A814" s="16" t="n">
        <v>45316</v>
      </c>
      <c r="B814" s="17" t="s">
        <v>17</v>
      </c>
      <c r="C814" s="17" t="s">
        <v>18</v>
      </c>
      <c r="D814" s="17" t="s">
        <v>19</v>
      </c>
      <c r="E814" s="17" t="s">
        <v>286</v>
      </c>
      <c r="F814" s="17" t="s">
        <v>452</v>
      </c>
      <c r="G814" s="18" t="n">
        <v>0</v>
      </c>
      <c r="H814" s="18" t="n">
        <v>38.5</v>
      </c>
      <c r="I814" s="18" t="n">
        <f aca="false">((I813 + G814) - H814)</f>
        <v>-458164.26</v>
      </c>
      <c r="J814" s="18" t="n">
        <v>0</v>
      </c>
      <c r="K814" s="19" t="n">
        <v>0</v>
      </c>
      <c r="L814" s="17" t="s">
        <v>88</v>
      </c>
    </row>
    <row r="815" s="11" customFormat="true" ht="10.95" hidden="false" customHeight="true" outlineLevel="0" collapsed="false">
      <c r="A815" s="16" t="n">
        <v>45316</v>
      </c>
      <c r="B815" s="17" t="s">
        <v>17</v>
      </c>
      <c r="C815" s="17" t="s">
        <v>18</v>
      </c>
      <c r="D815" s="17" t="s">
        <v>19</v>
      </c>
      <c r="E815" s="17" t="s">
        <v>288</v>
      </c>
      <c r="F815" s="17" t="s">
        <v>452</v>
      </c>
      <c r="G815" s="18" t="n">
        <v>0</v>
      </c>
      <c r="H815" s="18" t="n">
        <v>5</v>
      </c>
      <c r="I815" s="18" t="n">
        <f aca="false">((I814 + G815) - H815)</f>
        <v>-458169.26</v>
      </c>
      <c r="J815" s="18" t="n">
        <v>-0.5</v>
      </c>
      <c r="K815" s="19" t="n">
        <v>10</v>
      </c>
      <c r="L815" s="17" t="s">
        <v>22</v>
      </c>
    </row>
    <row r="816" s="11" customFormat="true" ht="10.95" hidden="false" customHeight="true" outlineLevel="0" collapsed="false">
      <c r="A816" s="16" t="n">
        <v>45316</v>
      </c>
      <c r="B816" s="17" t="s">
        <v>17</v>
      </c>
      <c r="C816" s="17" t="s">
        <v>18</v>
      </c>
      <c r="D816" s="17" t="s">
        <v>19</v>
      </c>
      <c r="E816" s="17" t="s">
        <v>76</v>
      </c>
      <c r="F816" s="17" t="s">
        <v>453</v>
      </c>
      <c r="G816" s="18" t="n">
        <v>0</v>
      </c>
      <c r="H816" s="18" t="n">
        <v>752</v>
      </c>
      <c r="I816" s="18" t="n">
        <f aca="false">((I815 + G816) - H816)</f>
        <v>-458921.26</v>
      </c>
      <c r="J816" s="18" t="n">
        <v>-75.2</v>
      </c>
      <c r="K816" s="19" t="n">
        <v>10</v>
      </c>
      <c r="L816" s="17" t="s">
        <v>22</v>
      </c>
    </row>
    <row r="817" s="11" customFormat="true" ht="10.95" hidden="false" customHeight="true" outlineLevel="0" collapsed="false">
      <c r="A817" s="16" t="n">
        <v>45316</v>
      </c>
      <c r="B817" s="17" t="s">
        <v>17</v>
      </c>
      <c r="C817" s="17" t="s">
        <v>18</v>
      </c>
      <c r="D817" s="17" t="s">
        <v>19</v>
      </c>
      <c r="E817" s="17" t="s">
        <v>78</v>
      </c>
      <c r="F817" s="17" t="s">
        <v>454</v>
      </c>
      <c r="G817" s="18" t="n">
        <v>0</v>
      </c>
      <c r="H817" s="18" t="n">
        <v>564</v>
      </c>
      <c r="I817" s="18" t="n">
        <f aca="false">((I816 + G817) - H817)</f>
        <v>-459485.26</v>
      </c>
      <c r="J817" s="18" t="n">
        <v>-56.4</v>
      </c>
      <c r="K817" s="19" t="n">
        <v>10</v>
      </c>
      <c r="L817" s="17" t="s">
        <v>22</v>
      </c>
    </row>
    <row r="818" s="11" customFormat="true" ht="10.95" hidden="false" customHeight="true" outlineLevel="0" collapsed="false">
      <c r="A818" s="16" t="n">
        <v>45316</v>
      </c>
      <c r="B818" s="17" t="s">
        <v>17</v>
      </c>
      <c r="C818" s="17" t="s">
        <v>18</v>
      </c>
      <c r="D818" s="17" t="s">
        <v>19</v>
      </c>
      <c r="E818" s="17" t="s">
        <v>80</v>
      </c>
      <c r="F818" s="17" t="s">
        <v>454</v>
      </c>
      <c r="G818" s="18" t="n">
        <v>0</v>
      </c>
      <c r="H818" s="18" t="n">
        <v>110</v>
      </c>
      <c r="I818" s="18" t="n">
        <f aca="false">((I817 + G818) - H818)</f>
        <v>-459595.26</v>
      </c>
      <c r="J818" s="18" t="n">
        <v>-11</v>
      </c>
      <c r="K818" s="19" t="n">
        <v>10</v>
      </c>
      <c r="L818" s="17" t="s">
        <v>22</v>
      </c>
    </row>
    <row r="819" s="11" customFormat="true" ht="10.95" hidden="false" customHeight="true" outlineLevel="0" collapsed="false">
      <c r="A819" s="16" t="n">
        <v>45316</v>
      </c>
      <c r="B819" s="17" t="s">
        <v>17</v>
      </c>
      <c r="C819" s="17" t="s">
        <v>18</v>
      </c>
      <c r="D819" s="17" t="s">
        <v>19</v>
      </c>
      <c r="E819" s="17" t="s">
        <v>455</v>
      </c>
      <c r="F819" s="17" t="s">
        <v>454</v>
      </c>
      <c r="G819" s="18" t="n">
        <v>0</v>
      </c>
      <c r="H819" s="18" t="n">
        <v>188</v>
      </c>
      <c r="I819" s="18" t="n">
        <f aca="false">((I818 + G819) - H819)</f>
        <v>-459783.26</v>
      </c>
      <c r="J819" s="18" t="n">
        <v>-18.8</v>
      </c>
      <c r="K819" s="19" t="n">
        <v>10</v>
      </c>
      <c r="L819" s="17" t="s">
        <v>22</v>
      </c>
    </row>
    <row r="820" s="11" customFormat="true" ht="10.95" hidden="false" customHeight="true" outlineLevel="0" collapsed="false">
      <c r="A820" s="16" t="n">
        <v>45316</v>
      </c>
      <c r="B820" s="17" t="s">
        <v>17</v>
      </c>
      <c r="C820" s="17" t="s">
        <v>18</v>
      </c>
      <c r="D820" s="17" t="s">
        <v>19</v>
      </c>
      <c r="E820" s="17" t="s">
        <v>78</v>
      </c>
      <c r="F820" s="17" t="s">
        <v>456</v>
      </c>
      <c r="G820" s="18" t="n">
        <v>0</v>
      </c>
      <c r="H820" s="18" t="n">
        <v>188</v>
      </c>
      <c r="I820" s="18" t="n">
        <f aca="false">((I819 + G820) - H820)</f>
        <v>-459971.26</v>
      </c>
      <c r="J820" s="18" t="n">
        <v>-18.8</v>
      </c>
      <c r="K820" s="19" t="n">
        <v>10</v>
      </c>
      <c r="L820" s="17" t="s">
        <v>22</v>
      </c>
    </row>
    <row r="821" s="11" customFormat="true" ht="10.95" hidden="false" customHeight="true" outlineLevel="0" collapsed="false">
      <c r="A821" s="16" t="n">
        <v>45316</v>
      </c>
      <c r="B821" s="17" t="s">
        <v>17</v>
      </c>
      <c r="C821" s="17" t="s">
        <v>18</v>
      </c>
      <c r="D821" s="17" t="s">
        <v>19</v>
      </c>
      <c r="E821" s="17" t="s">
        <v>78</v>
      </c>
      <c r="F821" s="17" t="s">
        <v>457</v>
      </c>
      <c r="G821" s="18" t="n">
        <v>0</v>
      </c>
      <c r="H821" s="18" t="n">
        <v>1222</v>
      </c>
      <c r="I821" s="18" t="n">
        <f aca="false">((I820 + G821) - H821)</f>
        <v>-461193.26</v>
      </c>
      <c r="J821" s="18" t="n">
        <v>-122.2</v>
      </c>
      <c r="K821" s="19" t="n">
        <v>10</v>
      </c>
      <c r="L821" s="17" t="s">
        <v>22</v>
      </c>
    </row>
    <row r="822" s="11" customFormat="true" ht="10.95" hidden="false" customHeight="true" outlineLevel="0" collapsed="false">
      <c r="A822" s="16" t="n">
        <v>45316</v>
      </c>
      <c r="B822" s="17" t="s">
        <v>17</v>
      </c>
      <c r="C822" s="17" t="s">
        <v>18</v>
      </c>
      <c r="D822" s="17" t="s">
        <v>19</v>
      </c>
      <c r="E822" s="17" t="s">
        <v>83</v>
      </c>
      <c r="F822" s="17" t="s">
        <v>457</v>
      </c>
      <c r="G822" s="18" t="n">
        <v>0</v>
      </c>
      <c r="H822" s="18" t="n">
        <v>38.5</v>
      </c>
      <c r="I822" s="18" t="n">
        <f aca="false">((I821 + G822) - H822)</f>
        <v>-461231.76</v>
      </c>
      <c r="J822" s="18" t="n">
        <v>-3.85</v>
      </c>
      <c r="K822" s="19" t="n">
        <v>10</v>
      </c>
      <c r="L822" s="17" t="s">
        <v>22</v>
      </c>
    </row>
    <row r="823" s="11" customFormat="true" ht="10.95" hidden="false" customHeight="true" outlineLevel="0" collapsed="false">
      <c r="A823" s="16" t="n">
        <v>45316</v>
      </c>
      <c r="B823" s="17" t="s">
        <v>17</v>
      </c>
      <c r="C823" s="17" t="s">
        <v>18</v>
      </c>
      <c r="D823" s="17" t="s">
        <v>19</v>
      </c>
      <c r="E823" s="17" t="s">
        <v>84</v>
      </c>
      <c r="F823" s="17" t="s">
        <v>457</v>
      </c>
      <c r="G823" s="18" t="n">
        <v>0</v>
      </c>
      <c r="H823" s="18" t="n">
        <v>165</v>
      </c>
      <c r="I823" s="18" t="n">
        <f aca="false">((I822 + G823) - H823)</f>
        <v>-461396.76</v>
      </c>
      <c r="J823" s="18" t="n">
        <v>-16.5</v>
      </c>
      <c r="K823" s="19" t="n">
        <v>10</v>
      </c>
      <c r="L823" s="17" t="s">
        <v>22</v>
      </c>
    </row>
    <row r="824" s="11" customFormat="true" ht="10.95" hidden="false" customHeight="true" outlineLevel="0" collapsed="false">
      <c r="A824" s="16" t="n">
        <v>45316</v>
      </c>
      <c r="B824" s="17" t="s">
        <v>17</v>
      </c>
      <c r="C824" s="17" t="s">
        <v>18</v>
      </c>
      <c r="D824" s="17" t="s">
        <v>19</v>
      </c>
      <c r="E824" s="17" t="s">
        <v>76</v>
      </c>
      <c r="F824" s="17" t="s">
        <v>458</v>
      </c>
      <c r="G824" s="18" t="n">
        <v>0</v>
      </c>
      <c r="H824" s="18" t="n">
        <v>470</v>
      </c>
      <c r="I824" s="18" t="n">
        <f aca="false">((I823 + G824) - H824)</f>
        <v>-461866.76</v>
      </c>
      <c r="J824" s="18" t="n">
        <v>-47</v>
      </c>
      <c r="K824" s="19" t="n">
        <v>10</v>
      </c>
      <c r="L824" s="17" t="s">
        <v>22</v>
      </c>
    </row>
    <row r="825" s="11" customFormat="true" ht="10.95" hidden="false" customHeight="true" outlineLevel="0" collapsed="false">
      <c r="A825" s="16" t="n">
        <v>45316</v>
      </c>
      <c r="B825" s="17" t="s">
        <v>17</v>
      </c>
      <c r="C825" s="17" t="s">
        <v>18</v>
      </c>
      <c r="D825" s="17" t="s">
        <v>19</v>
      </c>
      <c r="E825" s="17" t="s">
        <v>78</v>
      </c>
      <c r="F825" s="17" t="s">
        <v>459</v>
      </c>
      <c r="G825" s="18" t="n">
        <v>0</v>
      </c>
      <c r="H825" s="18" t="n">
        <v>188</v>
      </c>
      <c r="I825" s="18" t="n">
        <f aca="false">((I824 + G825) - H825)</f>
        <v>-462054.76</v>
      </c>
      <c r="J825" s="18" t="n">
        <v>-18.8</v>
      </c>
      <c r="K825" s="19" t="n">
        <v>10</v>
      </c>
      <c r="L825" s="17" t="s">
        <v>22</v>
      </c>
    </row>
    <row r="826" s="11" customFormat="true" ht="10.95" hidden="false" customHeight="true" outlineLevel="0" collapsed="false">
      <c r="A826" s="16" t="n">
        <v>45316</v>
      </c>
      <c r="B826" s="17" t="s">
        <v>17</v>
      </c>
      <c r="C826" s="17" t="s">
        <v>18</v>
      </c>
      <c r="D826" s="17" t="s">
        <v>19</v>
      </c>
      <c r="E826" s="17" t="s">
        <v>87</v>
      </c>
      <c r="F826" s="17" t="s">
        <v>459</v>
      </c>
      <c r="G826" s="18" t="n">
        <v>0</v>
      </c>
      <c r="H826" s="18" t="n">
        <v>110</v>
      </c>
      <c r="I826" s="18" t="n">
        <f aca="false">((I825 + G826) - H826)</f>
        <v>-462164.76</v>
      </c>
      <c r="J826" s="18" t="n">
        <v>0</v>
      </c>
      <c r="K826" s="19" t="n">
        <v>0</v>
      </c>
      <c r="L826" s="17" t="s">
        <v>88</v>
      </c>
    </row>
    <row r="827" s="11" customFormat="true" ht="10.95" hidden="false" customHeight="true" outlineLevel="0" collapsed="false">
      <c r="A827" s="16" t="n">
        <v>45316</v>
      </c>
      <c r="B827" s="17" t="s">
        <v>17</v>
      </c>
      <c r="C827" s="17" t="s">
        <v>18</v>
      </c>
      <c r="D827" s="17" t="s">
        <v>19</v>
      </c>
      <c r="E827" s="17" t="s">
        <v>89</v>
      </c>
      <c r="F827" s="17" t="s">
        <v>460</v>
      </c>
      <c r="G827" s="18" t="n">
        <v>0</v>
      </c>
      <c r="H827" s="18" t="n">
        <v>470</v>
      </c>
      <c r="I827" s="18" t="n">
        <f aca="false">((I826 + G827) - H827)</f>
        <v>-462634.76</v>
      </c>
      <c r="J827" s="18" t="n">
        <v>-47</v>
      </c>
      <c r="K827" s="19" t="n">
        <v>10</v>
      </c>
      <c r="L827" s="17" t="s">
        <v>22</v>
      </c>
    </row>
    <row r="828" s="11" customFormat="true" ht="10.95" hidden="false" customHeight="true" outlineLevel="0" collapsed="false">
      <c r="A828" s="16" t="n">
        <v>45316</v>
      </c>
      <c r="B828" s="17" t="s">
        <v>17</v>
      </c>
      <c r="C828" s="17" t="s">
        <v>18</v>
      </c>
      <c r="D828" s="17" t="s">
        <v>19</v>
      </c>
      <c r="E828" s="17" t="s">
        <v>87</v>
      </c>
      <c r="F828" s="17" t="s">
        <v>460</v>
      </c>
      <c r="G828" s="18" t="n">
        <v>0</v>
      </c>
      <c r="H828" s="18" t="n">
        <v>110</v>
      </c>
      <c r="I828" s="18" t="n">
        <f aca="false">((I827 + G828) - H828)</f>
        <v>-462744.76</v>
      </c>
      <c r="J828" s="18" t="n">
        <v>0</v>
      </c>
      <c r="K828" s="19" t="n">
        <v>0</v>
      </c>
      <c r="L828" s="17" t="s">
        <v>88</v>
      </c>
    </row>
    <row r="829" s="11" customFormat="true" ht="10.95" hidden="false" customHeight="true" outlineLevel="0" collapsed="false">
      <c r="A829" s="16" t="n">
        <v>45316</v>
      </c>
      <c r="B829" s="17" t="s">
        <v>17</v>
      </c>
      <c r="C829" s="17" t="s">
        <v>18</v>
      </c>
      <c r="D829" s="17" t="s">
        <v>19</v>
      </c>
      <c r="E829" s="17" t="s">
        <v>91</v>
      </c>
      <c r="F829" s="17" t="s">
        <v>461</v>
      </c>
      <c r="G829" s="18" t="n">
        <v>0</v>
      </c>
      <c r="H829" s="18" t="n">
        <v>1316</v>
      </c>
      <c r="I829" s="18" t="n">
        <f aca="false">((I828 + G829) - H829)</f>
        <v>-464060.76</v>
      </c>
      <c r="J829" s="18" t="n">
        <v>-131.6</v>
      </c>
      <c r="K829" s="19" t="n">
        <v>10</v>
      </c>
      <c r="L829" s="17" t="s">
        <v>22</v>
      </c>
    </row>
    <row r="830" s="11" customFormat="true" ht="10.95" hidden="false" customHeight="true" outlineLevel="0" collapsed="false">
      <c r="A830" s="16" t="n">
        <v>45316</v>
      </c>
      <c r="B830" s="17" t="s">
        <v>17</v>
      </c>
      <c r="C830" s="17" t="s">
        <v>18</v>
      </c>
      <c r="D830" s="17" t="s">
        <v>19</v>
      </c>
      <c r="E830" s="17" t="s">
        <v>93</v>
      </c>
      <c r="F830" s="17" t="s">
        <v>461</v>
      </c>
      <c r="G830" s="18" t="n">
        <v>0</v>
      </c>
      <c r="H830" s="18" t="n">
        <v>330</v>
      </c>
      <c r="I830" s="18" t="n">
        <f aca="false">((I829 + G830) - H830)</f>
        <v>-464390.76</v>
      </c>
      <c r="J830" s="18" t="n">
        <v>-33</v>
      </c>
      <c r="K830" s="19" t="n">
        <v>10</v>
      </c>
      <c r="L830" s="17" t="s">
        <v>22</v>
      </c>
    </row>
    <row r="831" s="11" customFormat="true" ht="10.95" hidden="false" customHeight="true" outlineLevel="0" collapsed="false">
      <c r="A831" s="16" t="n">
        <v>45316</v>
      </c>
      <c r="B831" s="17" t="s">
        <v>17</v>
      </c>
      <c r="C831" s="17" t="s">
        <v>18</v>
      </c>
      <c r="D831" s="17" t="s">
        <v>19</v>
      </c>
      <c r="E831" s="17" t="s">
        <v>94</v>
      </c>
      <c r="F831" s="17" t="s">
        <v>461</v>
      </c>
      <c r="G831" s="18" t="n">
        <v>0</v>
      </c>
      <c r="H831" s="18" t="n">
        <v>143</v>
      </c>
      <c r="I831" s="18" t="n">
        <f aca="false">((I830 + G831) - H831)</f>
        <v>-464533.76</v>
      </c>
      <c r="J831" s="18" t="n">
        <v>-14.3</v>
      </c>
      <c r="K831" s="19" t="n">
        <v>10</v>
      </c>
      <c r="L831" s="17" t="s">
        <v>22</v>
      </c>
    </row>
    <row r="832" s="11" customFormat="true" ht="10.95" hidden="false" customHeight="true" outlineLevel="0" collapsed="false">
      <c r="A832" s="16" t="n">
        <v>45316</v>
      </c>
      <c r="B832" s="17" t="s">
        <v>17</v>
      </c>
      <c r="C832" s="17" t="s">
        <v>18</v>
      </c>
      <c r="D832" s="17" t="s">
        <v>19</v>
      </c>
      <c r="E832" s="17" t="s">
        <v>95</v>
      </c>
      <c r="F832" s="17" t="s">
        <v>462</v>
      </c>
      <c r="G832" s="18" t="n">
        <v>0</v>
      </c>
      <c r="H832" s="18" t="n">
        <v>1034</v>
      </c>
      <c r="I832" s="18" t="n">
        <f aca="false">((I831 + G832) - H832)</f>
        <v>-465567.76</v>
      </c>
      <c r="J832" s="18" t="n">
        <v>-103.4</v>
      </c>
      <c r="K832" s="19" t="n">
        <v>10</v>
      </c>
      <c r="L832" s="17" t="s">
        <v>22</v>
      </c>
    </row>
    <row r="833" s="11" customFormat="true" ht="10.95" hidden="false" customHeight="true" outlineLevel="0" collapsed="false">
      <c r="A833" s="16" t="n">
        <v>45316</v>
      </c>
      <c r="B833" s="17" t="s">
        <v>17</v>
      </c>
      <c r="C833" s="17" t="s">
        <v>18</v>
      </c>
      <c r="D833" s="17" t="s">
        <v>19</v>
      </c>
      <c r="E833" s="17" t="s">
        <v>97</v>
      </c>
      <c r="F833" s="17" t="s">
        <v>462</v>
      </c>
      <c r="G833" s="18" t="n">
        <v>0</v>
      </c>
      <c r="H833" s="18" t="n">
        <v>110</v>
      </c>
      <c r="I833" s="18" t="n">
        <f aca="false">((I832 + G833) - H833)</f>
        <v>-465677.76</v>
      </c>
      <c r="J833" s="18" t="n">
        <v>-11</v>
      </c>
      <c r="K833" s="19" t="n">
        <v>10</v>
      </c>
      <c r="L833" s="17" t="s">
        <v>22</v>
      </c>
    </row>
    <row r="834" s="11" customFormat="true" ht="10.95" hidden="false" customHeight="true" outlineLevel="0" collapsed="false">
      <c r="A834" s="16" t="n">
        <v>45316</v>
      </c>
      <c r="B834" s="17" t="s">
        <v>17</v>
      </c>
      <c r="C834" s="17" t="s">
        <v>18</v>
      </c>
      <c r="D834" s="17" t="s">
        <v>19</v>
      </c>
      <c r="E834" s="17" t="s">
        <v>98</v>
      </c>
      <c r="F834" s="17" t="s">
        <v>463</v>
      </c>
      <c r="G834" s="18" t="n">
        <v>0</v>
      </c>
      <c r="H834" s="18" t="n">
        <v>282</v>
      </c>
      <c r="I834" s="18" t="n">
        <f aca="false">((I833 + G834) - H834)</f>
        <v>-465959.76</v>
      </c>
      <c r="J834" s="18" t="n">
        <v>-28.2</v>
      </c>
      <c r="K834" s="19" t="n">
        <v>10</v>
      </c>
      <c r="L834" s="17" t="s">
        <v>22</v>
      </c>
    </row>
    <row r="835" s="11" customFormat="true" ht="10.95" hidden="false" customHeight="true" outlineLevel="0" collapsed="false">
      <c r="A835" s="16" t="n">
        <v>45316</v>
      </c>
      <c r="B835" s="17" t="s">
        <v>17</v>
      </c>
      <c r="C835" s="17" t="s">
        <v>18</v>
      </c>
      <c r="D835" s="17" t="s">
        <v>19</v>
      </c>
      <c r="E835" s="17" t="s">
        <v>100</v>
      </c>
      <c r="F835" s="17" t="s">
        <v>464</v>
      </c>
      <c r="G835" s="18" t="n">
        <v>0</v>
      </c>
      <c r="H835" s="18" t="n">
        <v>282</v>
      </c>
      <c r="I835" s="18" t="n">
        <f aca="false">((I834 + G835) - H835)</f>
        <v>-466241.76</v>
      </c>
      <c r="J835" s="18" t="n">
        <v>-28.2</v>
      </c>
      <c r="K835" s="19" t="n">
        <v>10</v>
      </c>
      <c r="L835" s="17" t="s">
        <v>22</v>
      </c>
    </row>
    <row r="836" s="11" customFormat="true" ht="10.95" hidden="false" customHeight="true" outlineLevel="0" collapsed="false">
      <c r="A836" s="16" t="n">
        <v>45316</v>
      </c>
      <c r="B836" s="17" t="s">
        <v>17</v>
      </c>
      <c r="C836" s="17" t="s">
        <v>18</v>
      </c>
      <c r="D836" s="17" t="s">
        <v>19</v>
      </c>
      <c r="E836" s="17" t="s">
        <v>102</v>
      </c>
      <c r="F836" s="17" t="s">
        <v>465</v>
      </c>
      <c r="G836" s="18" t="n">
        <v>0</v>
      </c>
      <c r="H836" s="18" t="n">
        <v>564</v>
      </c>
      <c r="I836" s="18" t="n">
        <f aca="false">((I835 + G836) - H836)</f>
        <v>-466805.76</v>
      </c>
      <c r="J836" s="18" t="n">
        <v>-56.4</v>
      </c>
      <c r="K836" s="19" t="n">
        <v>10</v>
      </c>
      <c r="L836" s="17" t="s">
        <v>22</v>
      </c>
    </row>
    <row r="837" s="11" customFormat="true" ht="10.95" hidden="false" customHeight="true" outlineLevel="0" collapsed="false">
      <c r="A837" s="16" t="n">
        <v>45316</v>
      </c>
      <c r="B837" s="17" t="s">
        <v>17</v>
      </c>
      <c r="C837" s="17" t="s">
        <v>18</v>
      </c>
      <c r="D837" s="17" t="s">
        <v>19</v>
      </c>
      <c r="E837" s="17" t="s">
        <v>104</v>
      </c>
      <c r="F837" s="17" t="s">
        <v>466</v>
      </c>
      <c r="G837" s="18" t="n">
        <v>0</v>
      </c>
      <c r="H837" s="18" t="n">
        <v>1034</v>
      </c>
      <c r="I837" s="18" t="n">
        <f aca="false">((I836 + G837) - H837)</f>
        <v>-467839.76</v>
      </c>
      <c r="J837" s="18" t="n">
        <v>-103.4</v>
      </c>
      <c r="K837" s="19" t="n">
        <v>10</v>
      </c>
      <c r="L837" s="17" t="s">
        <v>22</v>
      </c>
    </row>
    <row r="838" s="11" customFormat="true" ht="10.95" hidden="false" customHeight="true" outlineLevel="0" collapsed="false">
      <c r="A838" s="16" t="n">
        <v>45316</v>
      </c>
      <c r="B838" s="17" t="s">
        <v>17</v>
      </c>
      <c r="C838" s="17" t="s">
        <v>18</v>
      </c>
      <c r="D838" s="17" t="s">
        <v>19</v>
      </c>
      <c r="E838" s="17" t="s">
        <v>106</v>
      </c>
      <c r="F838" s="17" t="s">
        <v>467</v>
      </c>
      <c r="G838" s="18" t="n">
        <v>0</v>
      </c>
      <c r="H838" s="18" t="n">
        <v>94</v>
      </c>
      <c r="I838" s="18" t="n">
        <f aca="false">((I837 + G838) - H838)</f>
        <v>-467933.76</v>
      </c>
      <c r="J838" s="18" t="n">
        <v>-9.4</v>
      </c>
      <c r="K838" s="19" t="n">
        <v>10</v>
      </c>
      <c r="L838" s="17" t="s">
        <v>22</v>
      </c>
    </row>
    <row r="839" s="11" customFormat="true" ht="10.95" hidden="false" customHeight="true" outlineLevel="0" collapsed="false">
      <c r="A839" s="16" t="n">
        <v>45316</v>
      </c>
      <c r="B839" s="17" t="s">
        <v>17</v>
      </c>
      <c r="C839" s="17" t="s">
        <v>18</v>
      </c>
      <c r="D839" s="17" t="s">
        <v>19</v>
      </c>
      <c r="E839" s="17" t="s">
        <v>108</v>
      </c>
      <c r="F839" s="17" t="s">
        <v>468</v>
      </c>
      <c r="G839" s="18" t="n">
        <v>0</v>
      </c>
      <c r="H839" s="18" t="n">
        <v>658</v>
      </c>
      <c r="I839" s="18" t="n">
        <f aca="false">((I838 + G839) - H839)</f>
        <v>-468591.76</v>
      </c>
      <c r="J839" s="18" t="n">
        <v>-65.8</v>
      </c>
      <c r="K839" s="19" t="n">
        <v>10</v>
      </c>
      <c r="L839" s="17" t="s">
        <v>22</v>
      </c>
    </row>
    <row r="840" s="11" customFormat="true" ht="10.95" hidden="false" customHeight="true" outlineLevel="0" collapsed="false">
      <c r="A840" s="16" t="n">
        <v>45316</v>
      </c>
      <c r="B840" s="17" t="s">
        <v>17</v>
      </c>
      <c r="C840" s="17" t="s">
        <v>18</v>
      </c>
      <c r="D840" s="17" t="s">
        <v>19</v>
      </c>
      <c r="E840" s="17" t="s">
        <v>116</v>
      </c>
      <c r="F840" s="17" t="s">
        <v>469</v>
      </c>
      <c r="G840" s="18" t="n">
        <v>0</v>
      </c>
      <c r="H840" s="18" t="n">
        <v>1162</v>
      </c>
      <c r="I840" s="18" t="n">
        <f aca="false">((I839 + G840) - H840)</f>
        <v>-469753.76</v>
      </c>
      <c r="J840" s="18" t="n">
        <v>-116.2</v>
      </c>
      <c r="K840" s="19" t="n">
        <v>10</v>
      </c>
      <c r="L840" s="17" t="s">
        <v>22</v>
      </c>
    </row>
    <row r="841" s="11" customFormat="true" ht="10.95" hidden="false" customHeight="true" outlineLevel="0" collapsed="false">
      <c r="A841" s="16" t="n">
        <v>45316</v>
      </c>
      <c r="B841" s="17" t="s">
        <v>17</v>
      </c>
      <c r="C841" s="17" t="s">
        <v>18</v>
      </c>
      <c r="D841" s="17" t="s">
        <v>19</v>
      </c>
      <c r="E841" s="17" t="s">
        <v>119</v>
      </c>
      <c r="F841" s="17" t="s">
        <v>470</v>
      </c>
      <c r="G841" s="18" t="n">
        <v>0</v>
      </c>
      <c r="H841" s="18" t="n">
        <v>332</v>
      </c>
      <c r="I841" s="18" t="n">
        <f aca="false">((I840 + G841) - H841)</f>
        <v>-470085.76</v>
      </c>
      <c r="J841" s="18" t="n">
        <v>-33.2</v>
      </c>
      <c r="K841" s="19" t="n">
        <v>10</v>
      </c>
      <c r="L841" s="17" t="s">
        <v>22</v>
      </c>
    </row>
    <row r="842" s="11" customFormat="true" ht="10.95" hidden="false" customHeight="true" outlineLevel="0" collapsed="false">
      <c r="A842" s="16" t="n">
        <v>45316</v>
      </c>
      <c r="B842" s="17" t="s">
        <v>17</v>
      </c>
      <c r="C842" s="17" t="s">
        <v>18</v>
      </c>
      <c r="D842" s="17" t="s">
        <v>19</v>
      </c>
      <c r="E842" s="17" t="s">
        <v>121</v>
      </c>
      <c r="F842" s="17" t="s">
        <v>470</v>
      </c>
      <c r="G842" s="18" t="n">
        <v>0</v>
      </c>
      <c r="H842" s="18" t="n">
        <v>1743</v>
      </c>
      <c r="I842" s="18" t="n">
        <f aca="false">((I841 + G842) - H842)</f>
        <v>-471828.76</v>
      </c>
      <c r="J842" s="18" t="n">
        <v>-174.3</v>
      </c>
      <c r="K842" s="19" t="n">
        <v>10</v>
      </c>
      <c r="L842" s="17" t="s">
        <v>22</v>
      </c>
    </row>
    <row r="843" s="11" customFormat="true" ht="10.95" hidden="false" customHeight="true" outlineLevel="0" collapsed="false">
      <c r="A843" s="16" t="n">
        <v>45316</v>
      </c>
      <c r="B843" s="17" t="s">
        <v>17</v>
      </c>
      <c r="C843" s="17" t="s">
        <v>18</v>
      </c>
      <c r="D843" s="17" t="s">
        <v>19</v>
      </c>
      <c r="E843" s="17" t="s">
        <v>122</v>
      </c>
      <c r="F843" s="17" t="s">
        <v>470</v>
      </c>
      <c r="G843" s="18" t="n">
        <v>0</v>
      </c>
      <c r="H843" s="18" t="n">
        <v>83</v>
      </c>
      <c r="I843" s="18" t="n">
        <f aca="false">((I842 + G843) - H843)</f>
        <v>-471911.76</v>
      </c>
      <c r="J843" s="18" t="n">
        <v>-8.3</v>
      </c>
      <c r="K843" s="19" t="n">
        <v>10</v>
      </c>
      <c r="L843" s="17" t="s">
        <v>22</v>
      </c>
    </row>
    <row r="844" s="11" customFormat="true" ht="10.95" hidden="false" customHeight="true" outlineLevel="0" collapsed="false">
      <c r="A844" s="16" t="n">
        <v>45316</v>
      </c>
      <c r="B844" s="17" t="s">
        <v>17</v>
      </c>
      <c r="C844" s="17" t="s">
        <v>18</v>
      </c>
      <c r="D844" s="17" t="s">
        <v>19</v>
      </c>
      <c r="E844" s="17" t="s">
        <v>124</v>
      </c>
      <c r="F844" s="17" t="s">
        <v>470</v>
      </c>
      <c r="G844" s="18" t="n">
        <v>0</v>
      </c>
      <c r="H844" s="18" t="n">
        <v>249</v>
      </c>
      <c r="I844" s="18" t="n">
        <f aca="false">((I843 + G844) - H844)</f>
        <v>-472160.76</v>
      </c>
      <c r="J844" s="18" t="n">
        <v>-24.9</v>
      </c>
      <c r="K844" s="19" t="n">
        <v>10</v>
      </c>
      <c r="L844" s="17" t="s">
        <v>22</v>
      </c>
    </row>
    <row r="845" s="11" customFormat="true" ht="10.95" hidden="false" customHeight="true" outlineLevel="0" collapsed="false">
      <c r="A845" s="16" t="n">
        <v>45316</v>
      </c>
      <c r="B845" s="17" t="s">
        <v>17</v>
      </c>
      <c r="C845" s="17" t="s">
        <v>18</v>
      </c>
      <c r="D845" s="17" t="s">
        <v>19</v>
      </c>
      <c r="E845" s="17" t="s">
        <v>125</v>
      </c>
      <c r="F845" s="17" t="s">
        <v>470</v>
      </c>
      <c r="G845" s="18" t="n">
        <v>0</v>
      </c>
      <c r="H845" s="18" t="n">
        <v>83</v>
      </c>
      <c r="I845" s="18" t="n">
        <f aca="false">((I844 + G845) - H845)</f>
        <v>-472243.76</v>
      </c>
      <c r="J845" s="18" t="n">
        <v>-8.3</v>
      </c>
      <c r="K845" s="19" t="n">
        <v>10</v>
      </c>
      <c r="L845" s="17" t="s">
        <v>22</v>
      </c>
    </row>
    <row r="846" s="11" customFormat="true" ht="10.95" hidden="false" customHeight="true" outlineLevel="0" collapsed="false">
      <c r="A846" s="16" t="n">
        <v>45316</v>
      </c>
      <c r="B846" s="17" t="s">
        <v>17</v>
      </c>
      <c r="C846" s="17" t="s">
        <v>18</v>
      </c>
      <c r="D846" s="17" t="s">
        <v>19</v>
      </c>
      <c r="E846" s="17" t="s">
        <v>126</v>
      </c>
      <c r="F846" s="17" t="s">
        <v>470</v>
      </c>
      <c r="G846" s="18" t="n">
        <v>0</v>
      </c>
      <c r="H846" s="18" t="n">
        <v>94.5</v>
      </c>
      <c r="I846" s="18" t="n">
        <f aca="false">((I845 + G846) - H846)</f>
        <v>-472338.26</v>
      </c>
      <c r="J846" s="18" t="n">
        <v>-9.45</v>
      </c>
      <c r="K846" s="19" t="n">
        <v>10</v>
      </c>
      <c r="L846" s="17" t="s">
        <v>22</v>
      </c>
    </row>
    <row r="847" s="11" customFormat="true" ht="10.95" hidden="false" customHeight="true" outlineLevel="0" collapsed="false">
      <c r="A847" s="16" t="n">
        <v>45316</v>
      </c>
      <c r="B847" s="17" t="s">
        <v>17</v>
      </c>
      <c r="C847" s="17" t="s">
        <v>18</v>
      </c>
      <c r="D847" s="17" t="s">
        <v>19</v>
      </c>
      <c r="E847" s="17" t="s">
        <v>127</v>
      </c>
      <c r="F847" s="17" t="s">
        <v>470</v>
      </c>
      <c r="G847" s="18" t="n">
        <v>0</v>
      </c>
      <c r="H847" s="18" t="n">
        <v>83</v>
      </c>
      <c r="I847" s="18" t="n">
        <f aca="false">((I846 + G847) - H847)</f>
        <v>-472421.26</v>
      </c>
      <c r="J847" s="18" t="n">
        <v>-8.3</v>
      </c>
      <c r="K847" s="19" t="n">
        <v>10</v>
      </c>
      <c r="L847" s="17" t="s">
        <v>22</v>
      </c>
    </row>
    <row r="848" s="11" customFormat="true" ht="10.95" hidden="false" customHeight="true" outlineLevel="0" collapsed="false">
      <c r="A848" s="16" t="n">
        <v>45316</v>
      </c>
      <c r="B848" s="17" t="s">
        <v>17</v>
      </c>
      <c r="C848" s="17" t="s">
        <v>18</v>
      </c>
      <c r="D848" s="17" t="s">
        <v>19</v>
      </c>
      <c r="E848" s="17" t="s">
        <v>128</v>
      </c>
      <c r="F848" s="17" t="s">
        <v>470</v>
      </c>
      <c r="G848" s="18" t="n">
        <v>0</v>
      </c>
      <c r="H848" s="18" t="n">
        <v>83</v>
      </c>
      <c r="I848" s="18" t="n">
        <f aca="false">((I847 + G848) - H848)</f>
        <v>-472504.26</v>
      </c>
      <c r="J848" s="18" t="n">
        <v>-8.3</v>
      </c>
      <c r="K848" s="19" t="n">
        <v>10</v>
      </c>
      <c r="L848" s="17" t="s">
        <v>22</v>
      </c>
    </row>
    <row r="849" s="11" customFormat="true" ht="10.95" hidden="false" customHeight="true" outlineLevel="0" collapsed="false">
      <c r="A849" s="16" t="n">
        <v>45316</v>
      </c>
      <c r="B849" s="17" t="s">
        <v>17</v>
      </c>
      <c r="C849" s="17" t="s">
        <v>18</v>
      </c>
      <c r="D849" s="17" t="s">
        <v>19</v>
      </c>
      <c r="E849" s="17" t="s">
        <v>129</v>
      </c>
      <c r="F849" s="17" t="s">
        <v>470</v>
      </c>
      <c r="G849" s="18" t="n">
        <v>0</v>
      </c>
      <c r="H849" s="18" t="n">
        <v>166</v>
      </c>
      <c r="I849" s="18" t="n">
        <f aca="false">((I848 + G849) - H849)</f>
        <v>-472670.26</v>
      </c>
      <c r="J849" s="18" t="n">
        <v>-16.6</v>
      </c>
      <c r="K849" s="19" t="n">
        <v>10</v>
      </c>
      <c r="L849" s="17" t="s">
        <v>22</v>
      </c>
    </row>
    <row r="850" s="11" customFormat="true" ht="10.95" hidden="false" customHeight="true" outlineLevel="0" collapsed="false">
      <c r="A850" s="16" t="n">
        <v>45316</v>
      </c>
      <c r="B850" s="17" t="s">
        <v>17</v>
      </c>
      <c r="C850" s="17" t="s">
        <v>18</v>
      </c>
      <c r="D850" s="17" t="s">
        <v>19</v>
      </c>
      <c r="E850" s="17" t="s">
        <v>130</v>
      </c>
      <c r="F850" s="17" t="s">
        <v>470</v>
      </c>
      <c r="G850" s="18" t="n">
        <v>0</v>
      </c>
      <c r="H850" s="18" t="n">
        <v>664</v>
      </c>
      <c r="I850" s="18" t="n">
        <f aca="false">((I849 + G850) - H850)</f>
        <v>-473334.26</v>
      </c>
      <c r="J850" s="18" t="n">
        <v>-66.4</v>
      </c>
      <c r="K850" s="19" t="n">
        <v>10</v>
      </c>
      <c r="L850" s="17" t="s">
        <v>22</v>
      </c>
    </row>
    <row r="851" s="11" customFormat="true" ht="10.95" hidden="false" customHeight="true" outlineLevel="0" collapsed="false">
      <c r="A851" s="16" t="n">
        <v>45316</v>
      </c>
      <c r="B851" s="17" t="s">
        <v>17</v>
      </c>
      <c r="C851" s="17" t="s">
        <v>18</v>
      </c>
      <c r="D851" s="17" t="s">
        <v>19</v>
      </c>
      <c r="E851" s="17" t="s">
        <v>131</v>
      </c>
      <c r="F851" s="17" t="s">
        <v>470</v>
      </c>
      <c r="G851" s="18" t="n">
        <v>0</v>
      </c>
      <c r="H851" s="18" t="n">
        <v>94.5</v>
      </c>
      <c r="I851" s="18" t="n">
        <f aca="false">((I850 + G851) - H851)</f>
        <v>-473428.76</v>
      </c>
      <c r="J851" s="18" t="n">
        <v>-9.45</v>
      </c>
      <c r="K851" s="19" t="n">
        <v>10</v>
      </c>
      <c r="L851" s="17" t="s">
        <v>22</v>
      </c>
    </row>
    <row r="852" s="11" customFormat="true" ht="10.95" hidden="false" customHeight="true" outlineLevel="0" collapsed="false">
      <c r="A852" s="16" t="n">
        <v>45316</v>
      </c>
      <c r="B852" s="17" t="s">
        <v>17</v>
      </c>
      <c r="C852" s="17" t="s">
        <v>18</v>
      </c>
      <c r="D852" s="17" t="s">
        <v>19</v>
      </c>
      <c r="E852" s="17" t="s">
        <v>132</v>
      </c>
      <c r="F852" s="17" t="s">
        <v>470</v>
      </c>
      <c r="G852" s="18" t="n">
        <v>0</v>
      </c>
      <c r="H852" s="18" t="n">
        <v>100</v>
      </c>
      <c r="I852" s="18" t="n">
        <f aca="false">((I851 + G852) - H852)</f>
        <v>-473528.76</v>
      </c>
      <c r="J852" s="18" t="n">
        <v>-10</v>
      </c>
      <c r="K852" s="19" t="n">
        <v>10</v>
      </c>
      <c r="L852" s="17" t="s">
        <v>22</v>
      </c>
    </row>
    <row r="853" s="11" customFormat="true" ht="10.95" hidden="false" customHeight="true" outlineLevel="0" collapsed="false">
      <c r="A853" s="16" t="n">
        <v>45316</v>
      </c>
      <c r="B853" s="17" t="s">
        <v>17</v>
      </c>
      <c r="C853" s="17" t="s">
        <v>18</v>
      </c>
      <c r="D853" s="17" t="s">
        <v>19</v>
      </c>
      <c r="E853" s="17" t="s">
        <v>133</v>
      </c>
      <c r="F853" s="17" t="s">
        <v>470</v>
      </c>
      <c r="G853" s="18" t="n">
        <v>0</v>
      </c>
      <c r="H853" s="18" t="n">
        <v>83</v>
      </c>
      <c r="I853" s="18" t="n">
        <f aca="false">((I852 + G853) - H853)</f>
        <v>-473611.76</v>
      </c>
      <c r="J853" s="18" t="n">
        <v>-8.3</v>
      </c>
      <c r="K853" s="19" t="n">
        <v>10</v>
      </c>
      <c r="L853" s="17" t="s">
        <v>22</v>
      </c>
    </row>
    <row r="854" s="11" customFormat="true" ht="10.95" hidden="false" customHeight="true" outlineLevel="0" collapsed="false">
      <c r="A854" s="16" t="n">
        <v>45316</v>
      </c>
      <c r="B854" s="17" t="s">
        <v>17</v>
      </c>
      <c r="C854" s="17" t="s">
        <v>18</v>
      </c>
      <c r="D854" s="17" t="s">
        <v>19</v>
      </c>
      <c r="E854" s="17" t="s">
        <v>134</v>
      </c>
      <c r="F854" s="17" t="s">
        <v>470</v>
      </c>
      <c r="G854" s="18" t="n">
        <v>0</v>
      </c>
      <c r="H854" s="18" t="n">
        <v>100</v>
      </c>
      <c r="I854" s="18" t="n">
        <f aca="false">((I853 + G854) - H854)</f>
        <v>-473711.76</v>
      </c>
      <c r="J854" s="18" t="n">
        <v>-10</v>
      </c>
      <c r="K854" s="19" t="n">
        <v>10</v>
      </c>
      <c r="L854" s="17" t="s">
        <v>22</v>
      </c>
    </row>
    <row r="855" s="11" customFormat="true" ht="10.95" hidden="false" customHeight="true" outlineLevel="0" collapsed="false">
      <c r="A855" s="16" t="n">
        <v>45316</v>
      </c>
      <c r="B855" s="17" t="s">
        <v>17</v>
      </c>
      <c r="C855" s="17" t="s">
        <v>18</v>
      </c>
      <c r="D855" s="17" t="s">
        <v>19</v>
      </c>
      <c r="E855" s="17" t="s">
        <v>136</v>
      </c>
      <c r="F855" s="17" t="s">
        <v>470</v>
      </c>
      <c r="G855" s="18" t="n">
        <v>0</v>
      </c>
      <c r="H855" s="18" t="n">
        <v>249</v>
      </c>
      <c r="I855" s="18" t="n">
        <f aca="false">((I854 + G855) - H855)</f>
        <v>-473960.76</v>
      </c>
      <c r="J855" s="18" t="n">
        <v>-24.9</v>
      </c>
      <c r="K855" s="19" t="n">
        <v>10</v>
      </c>
      <c r="L855" s="17" t="s">
        <v>22</v>
      </c>
    </row>
    <row r="856" s="11" customFormat="true" ht="10.95" hidden="false" customHeight="true" outlineLevel="0" collapsed="false">
      <c r="A856" s="16" t="n">
        <v>45316</v>
      </c>
      <c r="B856" s="17" t="s">
        <v>17</v>
      </c>
      <c r="C856" s="17" t="s">
        <v>18</v>
      </c>
      <c r="D856" s="17" t="s">
        <v>19</v>
      </c>
      <c r="E856" s="17" t="s">
        <v>137</v>
      </c>
      <c r="F856" s="17" t="s">
        <v>470</v>
      </c>
      <c r="G856" s="18" t="n">
        <v>0</v>
      </c>
      <c r="H856" s="18" t="n">
        <v>498</v>
      </c>
      <c r="I856" s="18" t="n">
        <f aca="false">((I855 + G856) - H856)</f>
        <v>-474458.76</v>
      </c>
      <c r="J856" s="18" t="n">
        <v>-49.8</v>
      </c>
      <c r="K856" s="19" t="n">
        <v>10</v>
      </c>
      <c r="L856" s="17" t="s">
        <v>22</v>
      </c>
    </row>
    <row r="857" s="11" customFormat="true" ht="10.95" hidden="false" customHeight="true" outlineLevel="0" collapsed="false">
      <c r="A857" s="16" t="n">
        <v>45316</v>
      </c>
      <c r="B857" s="17" t="s">
        <v>17</v>
      </c>
      <c r="C857" s="17" t="s">
        <v>18</v>
      </c>
      <c r="D857" s="17" t="s">
        <v>19</v>
      </c>
      <c r="E857" s="17" t="s">
        <v>138</v>
      </c>
      <c r="F857" s="17" t="s">
        <v>470</v>
      </c>
      <c r="G857" s="18" t="n">
        <v>0</v>
      </c>
      <c r="H857" s="18" t="n">
        <v>166</v>
      </c>
      <c r="I857" s="18" t="n">
        <f aca="false">((I856 + G857) - H857)</f>
        <v>-474624.76</v>
      </c>
      <c r="J857" s="18" t="n">
        <v>-16.6</v>
      </c>
      <c r="K857" s="19" t="n">
        <v>10</v>
      </c>
      <c r="L857" s="17" t="s">
        <v>22</v>
      </c>
    </row>
    <row r="858" s="11" customFormat="true" ht="10.95" hidden="false" customHeight="true" outlineLevel="0" collapsed="false">
      <c r="A858" s="16" t="n">
        <v>45316</v>
      </c>
      <c r="B858" s="17" t="s">
        <v>17</v>
      </c>
      <c r="C858" s="17" t="s">
        <v>18</v>
      </c>
      <c r="D858" s="17" t="s">
        <v>19</v>
      </c>
      <c r="E858" s="17" t="s">
        <v>139</v>
      </c>
      <c r="F858" s="17" t="s">
        <v>470</v>
      </c>
      <c r="G858" s="18" t="n">
        <v>0</v>
      </c>
      <c r="H858" s="18" t="n">
        <v>332</v>
      </c>
      <c r="I858" s="18" t="n">
        <f aca="false">((I857 + G858) - H858)</f>
        <v>-474956.76</v>
      </c>
      <c r="J858" s="18" t="n">
        <v>-33.2</v>
      </c>
      <c r="K858" s="19" t="n">
        <v>10</v>
      </c>
      <c r="L858" s="17" t="s">
        <v>22</v>
      </c>
    </row>
    <row r="859" s="11" customFormat="true" ht="10.95" hidden="false" customHeight="true" outlineLevel="0" collapsed="false">
      <c r="A859" s="16" t="n">
        <v>45316</v>
      </c>
      <c r="B859" s="17" t="s">
        <v>17</v>
      </c>
      <c r="C859" s="17" t="s">
        <v>18</v>
      </c>
      <c r="D859" s="17" t="s">
        <v>19</v>
      </c>
      <c r="E859" s="17" t="s">
        <v>427</v>
      </c>
      <c r="F859" s="17" t="s">
        <v>470</v>
      </c>
      <c r="G859" s="18" t="n">
        <v>0</v>
      </c>
      <c r="H859" s="18" t="n">
        <v>94.5</v>
      </c>
      <c r="I859" s="18" t="n">
        <f aca="false">((I858 + G859) - H859)</f>
        <v>-475051.26</v>
      </c>
      <c r="J859" s="18" t="n">
        <v>-9.45</v>
      </c>
      <c r="K859" s="19" t="n">
        <v>10</v>
      </c>
      <c r="L859" s="17" t="s">
        <v>22</v>
      </c>
    </row>
    <row r="860" s="11" customFormat="true" ht="10.95" hidden="false" customHeight="true" outlineLevel="0" collapsed="false">
      <c r="A860" s="16" t="n">
        <v>45316</v>
      </c>
      <c r="B860" s="17" t="s">
        <v>17</v>
      </c>
      <c r="C860" s="17" t="s">
        <v>18</v>
      </c>
      <c r="D860" s="17" t="s">
        <v>19</v>
      </c>
      <c r="E860" s="17" t="s">
        <v>140</v>
      </c>
      <c r="F860" s="17" t="s">
        <v>470</v>
      </c>
      <c r="G860" s="18" t="n">
        <v>0</v>
      </c>
      <c r="H860" s="18" t="n">
        <v>166</v>
      </c>
      <c r="I860" s="18" t="n">
        <f aca="false">((I859 + G860) - H860)</f>
        <v>-475217.26</v>
      </c>
      <c r="J860" s="18" t="n">
        <v>-16.6</v>
      </c>
      <c r="K860" s="19" t="n">
        <v>10</v>
      </c>
      <c r="L860" s="17" t="s">
        <v>22</v>
      </c>
    </row>
    <row r="861" s="11" customFormat="true" ht="10.95" hidden="false" customHeight="true" outlineLevel="0" collapsed="false">
      <c r="A861" s="16" t="n">
        <v>45316</v>
      </c>
      <c r="B861" s="17" t="s">
        <v>17</v>
      </c>
      <c r="C861" s="17" t="s">
        <v>18</v>
      </c>
      <c r="D861" s="17" t="s">
        <v>19</v>
      </c>
      <c r="E861" s="17" t="s">
        <v>141</v>
      </c>
      <c r="F861" s="17" t="s">
        <v>470</v>
      </c>
      <c r="G861" s="18" t="n">
        <v>0</v>
      </c>
      <c r="H861" s="18" t="n">
        <v>249</v>
      </c>
      <c r="I861" s="18" t="n">
        <f aca="false">((I860 + G861) - H861)</f>
        <v>-475466.26</v>
      </c>
      <c r="J861" s="18" t="n">
        <v>-24.9</v>
      </c>
      <c r="K861" s="19" t="n">
        <v>10</v>
      </c>
      <c r="L861" s="17" t="s">
        <v>22</v>
      </c>
    </row>
    <row r="862" s="11" customFormat="true" ht="10.95" hidden="false" customHeight="true" outlineLevel="0" collapsed="false">
      <c r="A862" s="16" t="n">
        <v>45316</v>
      </c>
      <c r="B862" s="17" t="s">
        <v>17</v>
      </c>
      <c r="C862" s="17" t="s">
        <v>18</v>
      </c>
      <c r="D862" s="17" t="s">
        <v>19</v>
      </c>
      <c r="E862" s="17" t="s">
        <v>142</v>
      </c>
      <c r="F862" s="17" t="s">
        <v>470</v>
      </c>
      <c r="G862" s="18" t="n">
        <v>0</v>
      </c>
      <c r="H862" s="18" t="n">
        <v>249</v>
      </c>
      <c r="I862" s="18" t="n">
        <f aca="false">((I861 + G862) - H862)</f>
        <v>-475715.26</v>
      </c>
      <c r="J862" s="18" t="n">
        <v>-24.9</v>
      </c>
      <c r="K862" s="19" t="n">
        <v>10</v>
      </c>
      <c r="L862" s="17" t="s">
        <v>22</v>
      </c>
    </row>
    <row r="863" s="11" customFormat="true" ht="10.95" hidden="false" customHeight="true" outlineLevel="0" collapsed="false">
      <c r="A863" s="16" t="n">
        <v>45316</v>
      </c>
      <c r="B863" s="17" t="s">
        <v>17</v>
      </c>
      <c r="C863" s="17" t="s">
        <v>18</v>
      </c>
      <c r="D863" s="17" t="s">
        <v>19</v>
      </c>
      <c r="E863" s="17" t="s">
        <v>143</v>
      </c>
      <c r="F863" s="17" t="s">
        <v>470</v>
      </c>
      <c r="G863" s="18" t="n">
        <v>0</v>
      </c>
      <c r="H863" s="18" t="n">
        <v>94.5</v>
      </c>
      <c r="I863" s="18" t="n">
        <f aca="false">((I862 + G863) - H863)</f>
        <v>-475809.76</v>
      </c>
      <c r="J863" s="18" t="n">
        <v>-9.45</v>
      </c>
      <c r="K863" s="19" t="n">
        <v>10</v>
      </c>
      <c r="L863" s="17" t="s">
        <v>22</v>
      </c>
    </row>
    <row r="864" s="11" customFormat="true" ht="10.95" hidden="false" customHeight="true" outlineLevel="0" collapsed="false">
      <c r="A864" s="16" t="n">
        <v>45316</v>
      </c>
      <c r="B864" s="17" t="s">
        <v>17</v>
      </c>
      <c r="C864" s="17" t="s">
        <v>18</v>
      </c>
      <c r="D864" s="17" t="s">
        <v>19</v>
      </c>
      <c r="E864" s="17" t="s">
        <v>144</v>
      </c>
      <c r="F864" s="17" t="s">
        <v>470</v>
      </c>
      <c r="G864" s="18" t="n">
        <v>0</v>
      </c>
      <c r="H864" s="18" t="n">
        <v>1660</v>
      </c>
      <c r="I864" s="18" t="n">
        <f aca="false">((I863 + G864) - H864)</f>
        <v>-477469.76</v>
      </c>
      <c r="J864" s="18" t="n">
        <v>-166</v>
      </c>
      <c r="K864" s="19" t="n">
        <v>10</v>
      </c>
      <c r="L864" s="17" t="s">
        <v>22</v>
      </c>
    </row>
    <row r="865" s="11" customFormat="true" ht="10.95" hidden="false" customHeight="true" outlineLevel="0" collapsed="false">
      <c r="A865" s="16" t="n">
        <v>45316</v>
      </c>
      <c r="B865" s="17" t="s">
        <v>17</v>
      </c>
      <c r="C865" s="17" t="s">
        <v>18</v>
      </c>
      <c r="D865" s="17" t="s">
        <v>19</v>
      </c>
      <c r="E865" s="17" t="s">
        <v>145</v>
      </c>
      <c r="F865" s="17" t="s">
        <v>470</v>
      </c>
      <c r="G865" s="18" t="n">
        <v>0</v>
      </c>
      <c r="H865" s="18" t="n">
        <v>166</v>
      </c>
      <c r="I865" s="18" t="n">
        <f aca="false">((I864 + G865) - H865)</f>
        <v>-477635.76</v>
      </c>
      <c r="J865" s="18" t="n">
        <v>-16.6</v>
      </c>
      <c r="K865" s="19" t="n">
        <v>10</v>
      </c>
      <c r="L865" s="17" t="s">
        <v>22</v>
      </c>
    </row>
    <row r="866" s="11" customFormat="true" ht="10.95" hidden="false" customHeight="true" outlineLevel="0" collapsed="false">
      <c r="A866" s="16" t="n">
        <v>45316</v>
      </c>
      <c r="B866" s="17" t="s">
        <v>17</v>
      </c>
      <c r="C866" s="17" t="s">
        <v>18</v>
      </c>
      <c r="D866" s="17" t="s">
        <v>19</v>
      </c>
      <c r="E866" s="17" t="s">
        <v>146</v>
      </c>
      <c r="F866" s="17" t="s">
        <v>470</v>
      </c>
      <c r="G866" s="18" t="n">
        <v>0</v>
      </c>
      <c r="H866" s="18" t="n">
        <v>30</v>
      </c>
      <c r="I866" s="18" t="n">
        <f aca="false">((I865 + G866) - H866)</f>
        <v>-477665.76</v>
      </c>
      <c r="J866" s="18" t="n">
        <v>-3</v>
      </c>
      <c r="K866" s="19" t="n">
        <v>10</v>
      </c>
      <c r="L866" s="17" t="s">
        <v>22</v>
      </c>
    </row>
    <row r="867" s="11" customFormat="true" ht="10.95" hidden="false" customHeight="true" outlineLevel="0" collapsed="false">
      <c r="A867" s="16" t="n">
        <v>45316</v>
      </c>
      <c r="B867" s="17" t="s">
        <v>17</v>
      </c>
      <c r="C867" s="17" t="s">
        <v>18</v>
      </c>
      <c r="D867" s="17" t="s">
        <v>19</v>
      </c>
      <c r="E867" s="17" t="s">
        <v>147</v>
      </c>
      <c r="F867" s="17" t="s">
        <v>470</v>
      </c>
      <c r="G867" s="18" t="n">
        <v>0</v>
      </c>
      <c r="H867" s="18" t="n">
        <v>83</v>
      </c>
      <c r="I867" s="18" t="n">
        <f aca="false">((I866 + G867) - H867)</f>
        <v>-477748.76</v>
      </c>
      <c r="J867" s="18" t="n">
        <v>-8.3</v>
      </c>
      <c r="K867" s="19" t="n">
        <v>10</v>
      </c>
      <c r="L867" s="17" t="s">
        <v>22</v>
      </c>
    </row>
    <row r="868" s="11" customFormat="true" ht="10.95" hidden="false" customHeight="true" outlineLevel="0" collapsed="false">
      <c r="A868" s="16" t="n">
        <v>45316</v>
      </c>
      <c r="B868" s="17" t="s">
        <v>17</v>
      </c>
      <c r="C868" s="17" t="s">
        <v>18</v>
      </c>
      <c r="D868" s="17" t="s">
        <v>19</v>
      </c>
      <c r="E868" s="17" t="s">
        <v>148</v>
      </c>
      <c r="F868" s="17" t="s">
        <v>470</v>
      </c>
      <c r="G868" s="18" t="n">
        <v>0</v>
      </c>
      <c r="H868" s="18" t="n">
        <v>1162</v>
      </c>
      <c r="I868" s="18" t="n">
        <f aca="false">((I867 + G868) - H868)</f>
        <v>-478910.76</v>
      </c>
      <c r="J868" s="18" t="n">
        <v>-116.2</v>
      </c>
      <c r="K868" s="19" t="n">
        <v>10</v>
      </c>
      <c r="L868" s="17" t="s">
        <v>22</v>
      </c>
    </row>
    <row r="869" s="11" customFormat="true" ht="10.95" hidden="false" customHeight="true" outlineLevel="0" collapsed="false">
      <c r="A869" s="16" t="n">
        <v>45316</v>
      </c>
      <c r="B869" s="17" t="s">
        <v>17</v>
      </c>
      <c r="C869" s="17" t="s">
        <v>18</v>
      </c>
      <c r="D869" s="17" t="s">
        <v>19</v>
      </c>
      <c r="E869" s="17" t="s">
        <v>149</v>
      </c>
      <c r="F869" s="17" t="s">
        <v>470</v>
      </c>
      <c r="G869" s="18" t="n">
        <v>0</v>
      </c>
      <c r="H869" s="18" t="n">
        <v>360</v>
      </c>
      <c r="I869" s="18" t="n">
        <f aca="false">((I868 + G869) - H869)</f>
        <v>-479270.76</v>
      </c>
      <c r="J869" s="18" t="n">
        <v>-36</v>
      </c>
      <c r="K869" s="19" t="n">
        <v>10</v>
      </c>
      <c r="L869" s="17" t="s">
        <v>22</v>
      </c>
    </row>
    <row r="870" s="11" customFormat="true" ht="10.95" hidden="false" customHeight="true" outlineLevel="0" collapsed="false">
      <c r="A870" s="16" t="n">
        <v>45316</v>
      </c>
      <c r="B870" s="17" t="s">
        <v>17</v>
      </c>
      <c r="C870" s="17" t="s">
        <v>18</v>
      </c>
      <c r="D870" s="17" t="s">
        <v>19</v>
      </c>
      <c r="E870" s="17" t="s">
        <v>150</v>
      </c>
      <c r="F870" s="17" t="s">
        <v>470</v>
      </c>
      <c r="G870" s="18" t="n">
        <v>0</v>
      </c>
      <c r="H870" s="18" t="n">
        <v>144</v>
      </c>
      <c r="I870" s="18" t="n">
        <f aca="false">((I869 + G870) - H870)</f>
        <v>-479414.76</v>
      </c>
      <c r="J870" s="18" t="n">
        <v>-14.4</v>
      </c>
      <c r="K870" s="19" t="n">
        <v>10</v>
      </c>
      <c r="L870" s="17" t="s">
        <v>22</v>
      </c>
    </row>
    <row r="871" s="11" customFormat="true" ht="10.95" hidden="false" customHeight="true" outlineLevel="0" collapsed="false">
      <c r="A871" s="16" t="n">
        <v>45316</v>
      </c>
      <c r="B871" s="17" t="s">
        <v>17</v>
      </c>
      <c r="C871" s="17" t="s">
        <v>18</v>
      </c>
      <c r="D871" s="17" t="s">
        <v>19</v>
      </c>
      <c r="E871" s="17" t="s">
        <v>151</v>
      </c>
      <c r="F871" s="17" t="s">
        <v>470</v>
      </c>
      <c r="G871" s="18" t="n">
        <v>0</v>
      </c>
      <c r="H871" s="18" t="n">
        <v>100</v>
      </c>
      <c r="I871" s="18" t="n">
        <f aca="false">((I870 + G871) - H871)</f>
        <v>-479514.76</v>
      </c>
      <c r="J871" s="18" t="n">
        <v>-10</v>
      </c>
      <c r="K871" s="19" t="n">
        <v>10</v>
      </c>
      <c r="L871" s="17" t="s">
        <v>22</v>
      </c>
    </row>
    <row r="872" s="11" customFormat="true" ht="10.95" hidden="false" customHeight="true" outlineLevel="0" collapsed="false">
      <c r="A872" s="16" t="n">
        <v>45316</v>
      </c>
      <c r="B872" s="17" t="s">
        <v>17</v>
      </c>
      <c r="C872" s="17" t="s">
        <v>18</v>
      </c>
      <c r="D872" s="17" t="s">
        <v>19</v>
      </c>
      <c r="E872" s="17" t="s">
        <v>152</v>
      </c>
      <c r="F872" s="17" t="s">
        <v>470</v>
      </c>
      <c r="G872" s="18" t="n">
        <v>0</v>
      </c>
      <c r="H872" s="18" t="n">
        <v>1162</v>
      </c>
      <c r="I872" s="18" t="n">
        <f aca="false">((I871 + G872) - H872)</f>
        <v>-480676.76</v>
      </c>
      <c r="J872" s="18" t="n">
        <v>-116.2</v>
      </c>
      <c r="K872" s="19" t="n">
        <v>10</v>
      </c>
      <c r="L872" s="17" t="s">
        <v>22</v>
      </c>
    </row>
    <row r="873" s="11" customFormat="true" ht="10.95" hidden="false" customHeight="true" outlineLevel="0" collapsed="false">
      <c r="A873" s="16" t="n">
        <v>45316</v>
      </c>
      <c r="B873" s="17" t="s">
        <v>17</v>
      </c>
      <c r="C873" s="17" t="s">
        <v>18</v>
      </c>
      <c r="D873" s="17" t="s">
        <v>19</v>
      </c>
      <c r="E873" s="17" t="s">
        <v>153</v>
      </c>
      <c r="F873" s="17" t="s">
        <v>470</v>
      </c>
      <c r="G873" s="18" t="n">
        <v>0</v>
      </c>
      <c r="H873" s="18" t="n">
        <v>283.5</v>
      </c>
      <c r="I873" s="18" t="n">
        <f aca="false">((I872 + G873) - H873)</f>
        <v>-480960.26</v>
      </c>
      <c r="J873" s="18" t="n">
        <v>-28.35</v>
      </c>
      <c r="K873" s="19" t="n">
        <v>10</v>
      </c>
      <c r="L873" s="17" t="s">
        <v>22</v>
      </c>
    </row>
    <row r="874" s="11" customFormat="true" ht="10.95" hidden="false" customHeight="true" outlineLevel="0" collapsed="false">
      <c r="A874" s="16" t="n">
        <v>45316</v>
      </c>
      <c r="B874" s="17" t="s">
        <v>17</v>
      </c>
      <c r="C874" s="17" t="s">
        <v>18</v>
      </c>
      <c r="D874" s="17" t="s">
        <v>19</v>
      </c>
      <c r="E874" s="17" t="s">
        <v>154</v>
      </c>
      <c r="F874" s="17" t="s">
        <v>470</v>
      </c>
      <c r="G874" s="18" t="n">
        <v>0</v>
      </c>
      <c r="H874" s="18" t="n">
        <v>165</v>
      </c>
      <c r="I874" s="18" t="n">
        <f aca="false">((I873 + G874) - H874)</f>
        <v>-481125.26</v>
      </c>
      <c r="J874" s="18" t="n">
        <v>-16.5</v>
      </c>
      <c r="K874" s="19" t="n">
        <v>10</v>
      </c>
      <c r="L874" s="17" t="s">
        <v>22</v>
      </c>
    </row>
    <row r="875" s="11" customFormat="true" ht="10.95" hidden="false" customHeight="true" outlineLevel="0" collapsed="false">
      <c r="A875" s="16" t="n">
        <v>45316</v>
      </c>
      <c r="B875" s="17" t="s">
        <v>17</v>
      </c>
      <c r="C875" s="17" t="s">
        <v>18</v>
      </c>
      <c r="D875" s="17" t="s">
        <v>19</v>
      </c>
      <c r="E875" s="17" t="s">
        <v>155</v>
      </c>
      <c r="F875" s="17" t="s">
        <v>470</v>
      </c>
      <c r="G875" s="18" t="n">
        <v>0</v>
      </c>
      <c r="H875" s="18" t="n">
        <v>432</v>
      </c>
      <c r="I875" s="18" t="n">
        <f aca="false">((I874 + G875) - H875)</f>
        <v>-481557.26</v>
      </c>
      <c r="J875" s="18" t="n">
        <v>-43.2</v>
      </c>
      <c r="K875" s="19" t="n">
        <v>10</v>
      </c>
      <c r="L875" s="17" t="s">
        <v>22</v>
      </c>
    </row>
    <row r="876" s="11" customFormat="true" ht="10.95" hidden="false" customHeight="true" outlineLevel="0" collapsed="false">
      <c r="A876" s="16" t="n">
        <v>45316</v>
      </c>
      <c r="B876" s="17" t="s">
        <v>17</v>
      </c>
      <c r="C876" s="17" t="s">
        <v>18</v>
      </c>
      <c r="D876" s="17" t="s">
        <v>19</v>
      </c>
      <c r="E876" s="17" t="s">
        <v>156</v>
      </c>
      <c r="F876" s="17" t="s">
        <v>470</v>
      </c>
      <c r="G876" s="18" t="n">
        <v>0</v>
      </c>
      <c r="H876" s="18" t="n">
        <v>945</v>
      </c>
      <c r="I876" s="18" t="n">
        <f aca="false">((I875 + G876) - H876)</f>
        <v>-482502.26</v>
      </c>
      <c r="J876" s="18" t="n">
        <v>-94.5</v>
      </c>
      <c r="K876" s="19" t="n">
        <v>10</v>
      </c>
      <c r="L876" s="17" t="s">
        <v>22</v>
      </c>
    </row>
    <row r="877" s="11" customFormat="true" ht="10.95" hidden="false" customHeight="true" outlineLevel="0" collapsed="false">
      <c r="A877" s="16" t="n">
        <v>45316</v>
      </c>
      <c r="B877" s="17" t="s">
        <v>17</v>
      </c>
      <c r="C877" s="17" t="s">
        <v>18</v>
      </c>
      <c r="D877" s="17" t="s">
        <v>19</v>
      </c>
      <c r="E877" s="17" t="s">
        <v>223</v>
      </c>
      <c r="F877" s="17" t="s">
        <v>470</v>
      </c>
      <c r="G877" s="18" t="n">
        <v>0</v>
      </c>
      <c r="H877" s="18" t="n">
        <v>34.65</v>
      </c>
      <c r="I877" s="18" t="n">
        <f aca="false">((I876 + G877) - H877)</f>
        <v>-482536.91</v>
      </c>
      <c r="J877" s="18" t="n">
        <v>-3.47</v>
      </c>
      <c r="K877" s="19" t="n">
        <v>10</v>
      </c>
      <c r="L877" s="17" t="s">
        <v>22</v>
      </c>
    </row>
    <row r="878" s="11" customFormat="true" ht="10.95" hidden="false" customHeight="true" outlineLevel="0" collapsed="false">
      <c r="A878" s="16" t="n">
        <v>45316</v>
      </c>
      <c r="B878" s="17" t="s">
        <v>17</v>
      </c>
      <c r="C878" s="17" t="s">
        <v>18</v>
      </c>
      <c r="D878" s="17" t="s">
        <v>19</v>
      </c>
      <c r="E878" s="17" t="s">
        <v>157</v>
      </c>
      <c r="F878" s="17" t="s">
        <v>470</v>
      </c>
      <c r="G878" s="18" t="n">
        <v>0</v>
      </c>
      <c r="H878" s="18" t="n">
        <v>661.5</v>
      </c>
      <c r="I878" s="18" t="n">
        <f aca="false">((I877 + G878) - H878)</f>
        <v>-483198.41</v>
      </c>
      <c r="J878" s="18" t="n">
        <v>-66.15</v>
      </c>
      <c r="K878" s="19" t="n">
        <v>10</v>
      </c>
      <c r="L878" s="17" t="s">
        <v>22</v>
      </c>
    </row>
    <row r="879" s="11" customFormat="true" ht="10.95" hidden="false" customHeight="true" outlineLevel="0" collapsed="false">
      <c r="A879" s="16" t="n">
        <v>45316</v>
      </c>
      <c r="B879" s="17" t="s">
        <v>17</v>
      </c>
      <c r="C879" s="17" t="s">
        <v>18</v>
      </c>
      <c r="D879" s="17" t="s">
        <v>19</v>
      </c>
      <c r="E879" s="17" t="s">
        <v>158</v>
      </c>
      <c r="F879" s="17" t="s">
        <v>470</v>
      </c>
      <c r="G879" s="18" t="n">
        <v>0</v>
      </c>
      <c r="H879" s="18" t="n">
        <v>94.5</v>
      </c>
      <c r="I879" s="18" t="n">
        <f aca="false">((I878 + G879) - H879)</f>
        <v>-483292.91</v>
      </c>
      <c r="J879" s="18" t="n">
        <v>-9.45</v>
      </c>
      <c r="K879" s="19" t="n">
        <v>10</v>
      </c>
      <c r="L879" s="17" t="s">
        <v>22</v>
      </c>
    </row>
    <row r="880" s="11" customFormat="true" ht="10.95" hidden="false" customHeight="true" outlineLevel="0" collapsed="false">
      <c r="A880" s="16" t="n">
        <v>45316</v>
      </c>
      <c r="B880" s="17" t="s">
        <v>17</v>
      </c>
      <c r="C880" s="17" t="s">
        <v>18</v>
      </c>
      <c r="D880" s="17" t="s">
        <v>19</v>
      </c>
      <c r="E880" s="17" t="s">
        <v>159</v>
      </c>
      <c r="F880" s="17" t="s">
        <v>470</v>
      </c>
      <c r="G880" s="18" t="n">
        <v>0</v>
      </c>
      <c r="H880" s="18" t="n">
        <v>792</v>
      </c>
      <c r="I880" s="18" t="n">
        <f aca="false">((I879 + G880) - H880)</f>
        <v>-484084.91</v>
      </c>
      <c r="J880" s="18" t="n">
        <v>-79.2</v>
      </c>
      <c r="K880" s="19" t="n">
        <v>10</v>
      </c>
      <c r="L880" s="17" t="s">
        <v>22</v>
      </c>
    </row>
    <row r="881" s="11" customFormat="true" ht="10.95" hidden="false" customHeight="true" outlineLevel="0" collapsed="false">
      <c r="A881" s="16" t="n">
        <v>45316</v>
      </c>
      <c r="B881" s="17" t="s">
        <v>17</v>
      </c>
      <c r="C881" s="17" t="s">
        <v>18</v>
      </c>
      <c r="D881" s="17" t="s">
        <v>19</v>
      </c>
      <c r="E881" s="17" t="s">
        <v>282</v>
      </c>
      <c r="F881" s="17" t="s">
        <v>470</v>
      </c>
      <c r="G881" s="18" t="n">
        <v>0</v>
      </c>
      <c r="H881" s="18" t="n">
        <v>94.5</v>
      </c>
      <c r="I881" s="18" t="n">
        <f aca="false">((I880 + G881) - H881)</f>
        <v>-484179.41</v>
      </c>
      <c r="J881" s="18" t="n">
        <v>-9.45</v>
      </c>
      <c r="K881" s="19" t="n">
        <v>10</v>
      </c>
      <c r="L881" s="17" t="s">
        <v>22</v>
      </c>
    </row>
    <row r="882" s="11" customFormat="true" ht="10.95" hidden="false" customHeight="true" outlineLevel="0" collapsed="false">
      <c r="A882" s="16" t="n">
        <v>45316</v>
      </c>
      <c r="B882" s="17" t="s">
        <v>17</v>
      </c>
      <c r="C882" s="17" t="s">
        <v>18</v>
      </c>
      <c r="D882" s="17" t="s">
        <v>19</v>
      </c>
      <c r="E882" s="17" t="s">
        <v>373</v>
      </c>
      <c r="F882" s="17" t="s">
        <v>470</v>
      </c>
      <c r="G882" s="18" t="n">
        <v>0</v>
      </c>
      <c r="H882" s="18" t="n">
        <v>72</v>
      </c>
      <c r="I882" s="18" t="n">
        <f aca="false">((I881 + G882) - H882)</f>
        <v>-484251.41</v>
      </c>
      <c r="J882" s="18" t="n">
        <v>-7.2</v>
      </c>
      <c r="K882" s="19" t="n">
        <v>10</v>
      </c>
      <c r="L882" s="17" t="s">
        <v>22</v>
      </c>
    </row>
    <row r="883" s="11" customFormat="true" ht="10.95" hidden="false" customHeight="true" outlineLevel="0" collapsed="false">
      <c r="A883" s="16" t="n">
        <v>45316</v>
      </c>
      <c r="B883" s="17" t="s">
        <v>17</v>
      </c>
      <c r="C883" s="17" t="s">
        <v>18</v>
      </c>
      <c r="D883" s="17" t="s">
        <v>19</v>
      </c>
      <c r="E883" s="17" t="s">
        <v>428</v>
      </c>
      <c r="F883" s="17" t="s">
        <v>470</v>
      </c>
      <c r="G883" s="18" t="n">
        <v>0</v>
      </c>
      <c r="H883" s="18" t="n">
        <v>216</v>
      </c>
      <c r="I883" s="18" t="n">
        <f aca="false">((I882 + G883) - H883)</f>
        <v>-484467.41</v>
      </c>
      <c r="J883" s="18" t="n">
        <v>-21.6</v>
      </c>
      <c r="K883" s="19" t="n">
        <v>10</v>
      </c>
      <c r="L883" s="17" t="s">
        <v>22</v>
      </c>
    </row>
    <row r="884" s="11" customFormat="true" ht="10.95" hidden="false" customHeight="true" outlineLevel="0" collapsed="false">
      <c r="A884" s="16" t="n">
        <v>45316</v>
      </c>
      <c r="B884" s="17" t="s">
        <v>17</v>
      </c>
      <c r="C884" s="17" t="s">
        <v>18</v>
      </c>
      <c r="D884" s="17" t="s">
        <v>19</v>
      </c>
      <c r="E884" s="17" t="s">
        <v>429</v>
      </c>
      <c r="F884" s="17" t="s">
        <v>470</v>
      </c>
      <c r="G884" s="18" t="n">
        <v>0</v>
      </c>
      <c r="H884" s="18" t="n">
        <v>189</v>
      </c>
      <c r="I884" s="18" t="n">
        <f aca="false">((I883 + G884) - H884)</f>
        <v>-484656.41</v>
      </c>
      <c r="J884" s="18" t="n">
        <v>-18.9</v>
      </c>
      <c r="K884" s="19" t="n">
        <v>10</v>
      </c>
      <c r="L884" s="17" t="s">
        <v>22</v>
      </c>
    </row>
    <row r="885" s="11" customFormat="true" ht="10.95" hidden="false" customHeight="true" outlineLevel="0" collapsed="false">
      <c r="A885" s="16" t="n">
        <v>45316</v>
      </c>
      <c r="B885" s="17" t="s">
        <v>17</v>
      </c>
      <c r="C885" s="17" t="s">
        <v>18</v>
      </c>
      <c r="D885" s="17" t="s">
        <v>19</v>
      </c>
      <c r="E885" s="17" t="s">
        <v>471</v>
      </c>
      <c r="F885" s="17" t="s">
        <v>470</v>
      </c>
      <c r="G885" s="18" t="n">
        <v>0</v>
      </c>
      <c r="H885" s="18" t="n">
        <v>216</v>
      </c>
      <c r="I885" s="18" t="n">
        <f aca="false">((I884 + G885) - H885)</f>
        <v>-484872.41</v>
      </c>
      <c r="J885" s="18" t="n">
        <v>-21.6</v>
      </c>
      <c r="K885" s="19" t="n">
        <v>10</v>
      </c>
      <c r="L885" s="17" t="s">
        <v>22</v>
      </c>
    </row>
    <row r="886" s="11" customFormat="true" ht="10.95" hidden="false" customHeight="true" outlineLevel="0" collapsed="false">
      <c r="A886" s="16" t="n">
        <v>45316</v>
      </c>
      <c r="B886" s="17" t="s">
        <v>17</v>
      </c>
      <c r="C886" s="17" t="s">
        <v>18</v>
      </c>
      <c r="D886" s="17" t="s">
        <v>19</v>
      </c>
      <c r="E886" s="17" t="s">
        <v>472</v>
      </c>
      <c r="F886" s="17" t="s">
        <v>470</v>
      </c>
      <c r="G886" s="18" t="n">
        <v>0</v>
      </c>
      <c r="H886" s="18" t="n">
        <v>432</v>
      </c>
      <c r="I886" s="18" t="n">
        <f aca="false">((I885 + G886) - H886)</f>
        <v>-485304.41</v>
      </c>
      <c r="J886" s="18" t="n">
        <v>-43.2</v>
      </c>
      <c r="K886" s="19" t="n">
        <v>10</v>
      </c>
      <c r="L886" s="17" t="s">
        <v>22</v>
      </c>
    </row>
    <row r="887" s="11" customFormat="true" ht="10.95" hidden="false" customHeight="true" outlineLevel="0" collapsed="false">
      <c r="A887" s="16" t="n">
        <v>45343</v>
      </c>
      <c r="B887" s="17" t="s">
        <v>17</v>
      </c>
      <c r="C887" s="17" t="s">
        <v>18</v>
      </c>
      <c r="D887" s="17" t="s">
        <v>162</v>
      </c>
      <c r="E887" s="17" t="s">
        <v>235</v>
      </c>
      <c r="F887" s="17" t="s">
        <v>473</v>
      </c>
      <c r="G887" s="18" t="n">
        <v>990</v>
      </c>
      <c r="H887" s="18" t="n">
        <v>0</v>
      </c>
      <c r="I887" s="18" t="n">
        <f aca="false">((I886 + G887) - H887)</f>
        <v>-484314.41</v>
      </c>
      <c r="J887" s="18" t="n">
        <v>99</v>
      </c>
      <c r="K887" s="19" t="n">
        <v>10</v>
      </c>
      <c r="L887" s="17" t="s">
        <v>22</v>
      </c>
    </row>
    <row r="888" s="11" customFormat="true" ht="10.95" hidden="false" customHeight="true" outlineLevel="0" collapsed="false">
      <c r="A888" s="16" t="n">
        <v>45343</v>
      </c>
      <c r="B888" s="17" t="s">
        <v>17</v>
      </c>
      <c r="C888" s="17" t="s">
        <v>18</v>
      </c>
      <c r="D888" s="17" t="s">
        <v>19</v>
      </c>
      <c r="E888" s="17" t="s">
        <v>474</v>
      </c>
      <c r="F888" s="17" t="s">
        <v>475</v>
      </c>
      <c r="G888" s="18" t="n">
        <v>0</v>
      </c>
      <c r="H888" s="18" t="n">
        <v>304.41</v>
      </c>
      <c r="I888" s="18" t="n">
        <f aca="false">((I887 + G888) - H888)</f>
        <v>-484618.82</v>
      </c>
      <c r="J888" s="18" t="n">
        <v>-30.44</v>
      </c>
      <c r="K888" s="19" t="n">
        <v>10</v>
      </c>
      <c r="L888" s="17" t="s">
        <v>22</v>
      </c>
    </row>
    <row r="889" s="11" customFormat="true" ht="10.95" hidden="false" customHeight="true" outlineLevel="0" collapsed="false">
      <c r="A889" s="16" t="n">
        <v>45343</v>
      </c>
      <c r="B889" s="17" t="s">
        <v>17</v>
      </c>
      <c r="C889" s="17" t="s">
        <v>18</v>
      </c>
      <c r="D889" s="17" t="s">
        <v>19</v>
      </c>
      <c r="E889" s="17" t="s">
        <v>231</v>
      </c>
      <c r="F889" s="17" t="s">
        <v>476</v>
      </c>
      <c r="G889" s="18" t="n">
        <v>0</v>
      </c>
      <c r="H889" s="18" t="n">
        <v>143</v>
      </c>
      <c r="I889" s="18" t="n">
        <f aca="false">((I888 + G889) - H889)</f>
        <v>-484761.82</v>
      </c>
      <c r="J889" s="18" t="n">
        <v>-14.3</v>
      </c>
      <c r="K889" s="19" t="n">
        <v>10</v>
      </c>
      <c r="L889" s="17" t="s">
        <v>22</v>
      </c>
    </row>
    <row r="890" s="11" customFormat="true" ht="10.95" hidden="false" customHeight="true" outlineLevel="0" collapsed="false">
      <c r="A890" s="16" t="n">
        <v>45343</v>
      </c>
      <c r="B890" s="17" t="s">
        <v>17</v>
      </c>
      <c r="C890" s="17" t="s">
        <v>18</v>
      </c>
      <c r="D890" s="17" t="s">
        <v>19</v>
      </c>
      <c r="E890" s="17" t="s">
        <v>171</v>
      </c>
      <c r="F890" s="17" t="s">
        <v>477</v>
      </c>
      <c r="G890" s="18" t="n">
        <v>0</v>
      </c>
      <c r="H890" s="18" t="n">
        <v>940.5</v>
      </c>
      <c r="I890" s="18" t="n">
        <f aca="false">((I889 + G890) - H890)</f>
        <v>-485702.32</v>
      </c>
      <c r="J890" s="18" t="n">
        <v>-94.05</v>
      </c>
      <c r="K890" s="19" t="n">
        <v>10</v>
      </c>
      <c r="L890" s="17" t="s">
        <v>22</v>
      </c>
    </row>
    <row r="891" s="11" customFormat="true" ht="10.95" hidden="false" customHeight="true" outlineLevel="0" collapsed="false">
      <c r="A891" s="16" t="n">
        <v>45343</v>
      </c>
      <c r="B891" s="17" t="s">
        <v>17</v>
      </c>
      <c r="C891" s="17" t="s">
        <v>18</v>
      </c>
      <c r="D891" s="17" t="s">
        <v>19</v>
      </c>
      <c r="E891" s="17" t="s">
        <v>20</v>
      </c>
      <c r="F891" s="17" t="s">
        <v>478</v>
      </c>
      <c r="G891" s="18" t="n">
        <v>0</v>
      </c>
      <c r="H891" s="18" t="n">
        <v>376</v>
      </c>
      <c r="I891" s="18" t="n">
        <f aca="false">((I890 + G891) - H891)</f>
        <v>-486078.32</v>
      </c>
      <c r="J891" s="18" t="n">
        <v>-37.6</v>
      </c>
      <c r="K891" s="19" t="n">
        <v>10</v>
      </c>
      <c r="L891" s="17" t="s">
        <v>22</v>
      </c>
    </row>
    <row r="892" s="11" customFormat="true" ht="10.95" hidden="false" customHeight="true" outlineLevel="0" collapsed="false">
      <c r="A892" s="16" t="n">
        <v>45343</v>
      </c>
      <c r="B892" s="17" t="s">
        <v>17</v>
      </c>
      <c r="C892" s="17" t="s">
        <v>18</v>
      </c>
      <c r="D892" s="17" t="s">
        <v>19</v>
      </c>
      <c r="E892" s="17" t="s">
        <v>23</v>
      </c>
      <c r="F892" s="17" t="s">
        <v>479</v>
      </c>
      <c r="G892" s="18" t="n">
        <v>0</v>
      </c>
      <c r="H892" s="18" t="n">
        <v>1150</v>
      </c>
      <c r="I892" s="18" t="n">
        <f aca="false">((I891 + G892) - H892)</f>
        <v>-487228.32</v>
      </c>
      <c r="J892" s="18" t="n">
        <v>-115</v>
      </c>
      <c r="K892" s="19" t="n">
        <v>10</v>
      </c>
      <c r="L892" s="17" t="s">
        <v>22</v>
      </c>
    </row>
    <row r="893" s="11" customFormat="true" ht="10.95" hidden="false" customHeight="true" outlineLevel="0" collapsed="false">
      <c r="A893" s="16" t="n">
        <v>45343</v>
      </c>
      <c r="B893" s="17" t="s">
        <v>17</v>
      </c>
      <c r="C893" s="17" t="s">
        <v>18</v>
      </c>
      <c r="D893" s="17" t="s">
        <v>19</v>
      </c>
      <c r="E893" s="17" t="s">
        <v>25</v>
      </c>
      <c r="F893" s="17" t="s">
        <v>479</v>
      </c>
      <c r="G893" s="18" t="n">
        <v>0</v>
      </c>
      <c r="H893" s="18" t="n">
        <v>225</v>
      </c>
      <c r="I893" s="18" t="n">
        <f aca="false">((I892 + G893) - H893)</f>
        <v>-487453.32</v>
      </c>
      <c r="J893" s="18" t="n">
        <v>-22.5</v>
      </c>
      <c r="K893" s="19" t="n">
        <v>10</v>
      </c>
      <c r="L893" s="17" t="s">
        <v>22</v>
      </c>
    </row>
    <row r="894" s="11" customFormat="true" ht="10.95" hidden="false" customHeight="true" outlineLevel="0" collapsed="false">
      <c r="A894" s="16" t="n">
        <v>45343</v>
      </c>
      <c r="B894" s="17" t="s">
        <v>17</v>
      </c>
      <c r="C894" s="17" t="s">
        <v>18</v>
      </c>
      <c r="D894" s="17" t="s">
        <v>19</v>
      </c>
      <c r="E894" s="17" t="s">
        <v>480</v>
      </c>
      <c r="F894" s="17" t="s">
        <v>479</v>
      </c>
      <c r="G894" s="18" t="n">
        <v>0</v>
      </c>
      <c r="H894" s="18" t="n">
        <v>230</v>
      </c>
      <c r="I894" s="18" t="n">
        <f aca="false">((I893 + G894) - H894)</f>
        <v>-487683.32</v>
      </c>
      <c r="J894" s="18" t="n">
        <v>-23</v>
      </c>
      <c r="K894" s="19" t="n">
        <v>10</v>
      </c>
      <c r="L894" s="17" t="s">
        <v>22</v>
      </c>
    </row>
    <row r="895" s="11" customFormat="true" ht="10.95" hidden="false" customHeight="true" outlineLevel="0" collapsed="false">
      <c r="A895" s="16" t="n">
        <v>45343</v>
      </c>
      <c r="B895" s="17" t="s">
        <v>17</v>
      </c>
      <c r="C895" s="17" t="s">
        <v>18</v>
      </c>
      <c r="D895" s="17" t="s">
        <v>19</v>
      </c>
      <c r="E895" s="17" t="s">
        <v>28</v>
      </c>
      <c r="F895" s="17" t="s">
        <v>481</v>
      </c>
      <c r="G895" s="18" t="n">
        <v>0</v>
      </c>
      <c r="H895" s="18" t="n">
        <v>1149.5</v>
      </c>
      <c r="I895" s="18" t="n">
        <f aca="false">((I894 + G895) - H895)</f>
        <v>-488832.82</v>
      </c>
      <c r="J895" s="18" t="n">
        <v>-114.95</v>
      </c>
      <c r="K895" s="19" t="n">
        <v>10</v>
      </c>
      <c r="L895" s="17" t="s">
        <v>22</v>
      </c>
    </row>
    <row r="896" s="11" customFormat="true" ht="10.95" hidden="false" customHeight="true" outlineLevel="0" collapsed="false">
      <c r="A896" s="16" t="n">
        <v>45343</v>
      </c>
      <c r="B896" s="17" t="s">
        <v>17</v>
      </c>
      <c r="C896" s="17" t="s">
        <v>18</v>
      </c>
      <c r="D896" s="17" t="s">
        <v>19</v>
      </c>
      <c r="E896" s="17" t="s">
        <v>482</v>
      </c>
      <c r="F896" s="17" t="s">
        <v>481</v>
      </c>
      <c r="G896" s="18" t="n">
        <v>0</v>
      </c>
      <c r="H896" s="18" t="n">
        <v>110</v>
      </c>
      <c r="I896" s="18" t="n">
        <f aca="false">((I895 + G896) - H896)</f>
        <v>-488942.82</v>
      </c>
      <c r="J896" s="18" t="n">
        <v>-11</v>
      </c>
      <c r="K896" s="19" t="n">
        <v>10</v>
      </c>
      <c r="L896" s="17" t="s">
        <v>22</v>
      </c>
    </row>
    <row r="897" s="11" customFormat="true" ht="10.95" hidden="false" customHeight="true" outlineLevel="0" collapsed="false">
      <c r="A897" s="16" t="n">
        <v>45343</v>
      </c>
      <c r="B897" s="17" t="s">
        <v>17</v>
      </c>
      <c r="C897" s="17" t="s">
        <v>18</v>
      </c>
      <c r="D897" s="17" t="s">
        <v>19</v>
      </c>
      <c r="E897" s="17" t="s">
        <v>483</v>
      </c>
      <c r="F897" s="17" t="s">
        <v>481</v>
      </c>
      <c r="G897" s="18" t="n">
        <v>0</v>
      </c>
      <c r="H897" s="18" t="n">
        <v>440</v>
      </c>
      <c r="I897" s="18" t="n">
        <f aca="false">((I896 + G897) - H897)</f>
        <v>-489382.82</v>
      </c>
      <c r="J897" s="18" t="n">
        <v>-44</v>
      </c>
      <c r="K897" s="19" t="n">
        <v>10</v>
      </c>
      <c r="L897" s="17" t="s">
        <v>22</v>
      </c>
    </row>
    <row r="898" s="11" customFormat="true" ht="10.95" hidden="false" customHeight="true" outlineLevel="0" collapsed="false">
      <c r="A898" s="16" t="n">
        <v>45343</v>
      </c>
      <c r="B898" s="17" t="s">
        <v>17</v>
      </c>
      <c r="C898" s="17" t="s">
        <v>18</v>
      </c>
      <c r="D898" s="17" t="s">
        <v>19</v>
      </c>
      <c r="E898" s="17" t="s">
        <v>178</v>
      </c>
      <c r="F898" s="17" t="s">
        <v>484</v>
      </c>
      <c r="G898" s="18" t="n">
        <v>0</v>
      </c>
      <c r="H898" s="18" t="n">
        <v>1105</v>
      </c>
      <c r="I898" s="18" t="n">
        <f aca="false">((I897 + G898) - H898)</f>
        <v>-490487.82</v>
      </c>
      <c r="J898" s="18" t="n">
        <v>-110.5</v>
      </c>
      <c r="K898" s="19" t="n">
        <v>10</v>
      </c>
      <c r="L898" s="17" t="s">
        <v>22</v>
      </c>
    </row>
    <row r="899" s="11" customFormat="true" ht="10.95" hidden="false" customHeight="true" outlineLevel="0" collapsed="false">
      <c r="A899" s="16" t="n">
        <v>45343</v>
      </c>
      <c r="B899" s="17" t="s">
        <v>17</v>
      </c>
      <c r="C899" s="17" t="s">
        <v>18</v>
      </c>
      <c r="D899" s="17" t="s">
        <v>19</v>
      </c>
      <c r="E899" s="17" t="s">
        <v>180</v>
      </c>
      <c r="F899" s="17" t="s">
        <v>484</v>
      </c>
      <c r="G899" s="18" t="n">
        <v>0</v>
      </c>
      <c r="H899" s="18" t="n">
        <v>429</v>
      </c>
      <c r="I899" s="18" t="n">
        <f aca="false">((I898 + G899) - H899)</f>
        <v>-490916.82</v>
      </c>
      <c r="J899" s="18" t="n">
        <v>-42.9</v>
      </c>
      <c r="K899" s="19" t="n">
        <v>10</v>
      </c>
      <c r="L899" s="17" t="s">
        <v>22</v>
      </c>
    </row>
    <row r="900" s="11" customFormat="true" ht="10.95" hidden="false" customHeight="true" outlineLevel="0" collapsed="false">
      <c r="A900" s="16" t="n">
        <v>45343</v>
      </c>
      <c r="B900" s="17" t="s">
        <v>17</v>
      </c>
      <c r="C900" s="17" t="s">
        <v>18</v>
      </c>
      <c r="D900" s="17" t="s">
        <v>19</v>
      </c>
      <c r="E900" s="17" t="s">
        <v>181</v>
      </c>
      <c r="F900" s="17" t="s">
        <v>484</v>
      </c>
      <c r="G900" s="18" t="n">
        <v>0</v>
      </c>
      <c r="H900" s="18" t="n">
        <v>37</v>
      </c>
      <c r="I900" s="18" t="n">
        <f aca="false">((I899 + G900) - H900)</f>
        <v>-490953.82</v>
      </c>
      <c r="J900" s="18" t="n">
        <v>-3.7</v>
      </c>
      <c r="K900" s="19" t="n">
        <v>10</v>
      </c>
      <c r="L900" s="17" t="s">
        <v>22</v>
      </c>
    </row>
    <row r="901" s="11" customFormat="true" ht="10.95" hidden="false" customHeight="true" outlineLevel="0" collapsed="false">
      <c r="A901" s="16" t="n">
        <v>45343</v>
      </c>
      <c r="B901" s="17" t="s">
        <v>17</v>
      </c>
      <c r="C901" s="17" t="s">
        <v>18</v>
      </c>
      <c r="D901" s="17" t="s">
        <v>19</v>
      </c>
      <c r="E901" s="17" t="s">
        <v>178</v>
      </c>
      <c r="F901" s="17" t="s">
        <v>484</v>
      </c>
      <c r="G901" s="18" t="n">
        <v>0</v>
      </c>
      <c r="H901" s="18" t="n">
        <v>1105</v>
      </c>
      <c r="I901" s="18" t="n">
        <f aca="false">((I900 + G901) - H901)</f>
        <v>-492058.82</v>
      </c>
      <c r="J901" s="18" t="n">
        <v>-110.5</v>
      </c>
      <c r="K901" s="19" t="n">
        <v>10</v>
      </c>
      <c r="L901" s="17" t="s">
        <v>22</v>
      </c>
    </row>
    <row r="902" s="11" customFormat="true" ht="10.95" hidden="false" customHeight="true" outlineLevel="0" collapsed="false">
      <c r="A902" s="16" t="n">
        <v>45343</v>
      </c>
      <c r="B902" s="17" t="s">
        <v>17</v>
      </c>
      <c r="C902" s="17" t="s">
        <v>18</v>
      </c>
      <c r="D902" s="17" t="s">
        <v>19</v>
      </c>
      <c r="E902" s="17" t="s">
        <v>180</v>
      </c>
      <c r="F902" s="17" t="s">
        <v>484</v>
      </c>
      <c r="G902" s="18" t="n">
        <v>0</v>
      </c>
      <c r="H902" s="18" t="n">
        <v>429</v>
      </c>
      <c r="I902" s="18" t="n">
        <f aca="false">((I901 + G902) - H902)</f>
        <v>-492487.82</v>
      </c>
      <c r="J902" s="18" t="n">
        <v>-42.9</v>
      </c>
      <c r="K902" s="19" t="n">
        <v>10</v>
      </c>
      <c r="L902" s="17" t="s">
        <v>22</v>
      </c>
    </row>
    <row r="903" s="11" customFormat="true" ht="10.95" hidden="false" customHeight="true" outlineLevel="0" collapsed="false">
      <c r="A903" s="16" t="n">
        <v>45343</v>
      </c>
      <c r="B903" s="17" t="s">
        <v>17</v>
      </c>
      <c r="C903" s="17" t="s">
        <v>18</v>
      </c>
      <c r="D903" s="17" t="s">
        <v>19</v>
      </c>
      <c r="E903" s="17" t="s">
        <v>181</v>
      </c>
      <c r="F903" s="17" t="s">
        <v>484</v>
      </c>
      <c r="G903" s="18" t="n">
        <v>0</v>
      </c>
      <c r="H903" s="18" t="n">
        <v>37</v>
      </c>
      <c r="I903" s="18" t="n">
        <f aca="false">((I902 + G903) - H903)</f>
        <v>-492524.82</v>
      </c>
      <c r="J903" s="18" t="n">
        <v>-3.7</v>
      </c>
      <c r="K903" s="19" t="n">
        <v>10</v>
      </c>
      <c r="L903" s="17" t="s">
        <v>22</v>
      </c>
    </row>
    <row r="904" s="11" customFormat="true" ht="10.95" hidden="false" customHeight="true" outlineLevel="0" collapsed="false">
      <c r="A904" s="16" t="n">
        <v>45343</v>
      </c>
      <c r="B904" s="17" t="s">
        <v>17</v>
      </c>
      <c r="C904" s="17" t="s">
        <v>18</v>
      </c>
      <c r="D904" s="17" t="s">
        <v>19</v>
      </c>
      <c r="E904" s="17" t="s">
        <v>178</v>
      </c>
      <c r="F904" s="17" t="s">
        <v>484</v>
      </c>
      <c r="G904" s="18" t="n">
        <v>0</v>
      </c>
      <c r="H904" s="18" t="n">
        <v>1105</v>
      </c>
      <c r="I904" s="18" t="n">
        <f aca="false">((I903 + G904) - H904)</f>
        <v>-493629.82</v>
      </c>
      <c r="J904" s="18" t="n">
        <v>-110.5</v>
      </c>
      <c r="K904" s="19" t="n">
        <v>10</v>
      </c>
      <c r="L904" s="17" t="s">
        <v>22</v>
      </c>
    </row>
    <row r="905" s="11" customFormat="true" ht="10.95" hidden="false" customHeight="true" outlineLevel="0" collapsed="false">
      <c r="A905" s="16" t="n">
        <v>45343</v>
      </c>
      <c r="B905" s="17" t="s">
        <v>17</v>
      </c>
      <c r="C905" s="17" t="s">
        <v>18</v>
      </c>
      <c r="D905" s="17" t="s">
        <v>19</v>
      </c>
      <c r="E905" s="17" t="s">
        <v>180</v>
      </c>
      <c r="F905" s="17" t="s">
        <v>484</v>
      </c>
      <c r="G905" s="18" t="n">
        <v>0</v>
      </c>
      <c r="H905" s="18" t="n">
        <v>429</v>
      </c>
      <c r="I905" s="18" t="n">
        <f aca="false">((I904 + G905) - H905)</f>
        <v>-494058.82</v>
      </c>
      <c r="J905" s="18" t="n">
        <v>-42.9</v>
      </c>
      <c r="K905" s="19" t="n">
        <v>10</v>
      </c>
      <c r="L905" s="17" t="s">
        <v>22</v>
      </c>
    </row>
    <row r="906" s="11" customFormat="true" ht="10.95" hidden="false" customHeight="true" outlineLevel="0" collapsed="false">
      <c r="A906" s="16" t="n">
        <v>45343</v>
      </c>
      <c r="B906" s="17" t="s">
        <v>17</v>
      </c>
      <c r="C906" s="17" t="s">
        <v>18</v>
      </c>
      <c r="D906" s="17" t="s">
        <v>19</v>
      </c>
      <c r="E906" s="17" t="s">
        <v>181</v>
      </c>
      <c r="F906" s="17" t="s">
        <v>484</v>
      </c>
      <c r="G906" s="18" t="n">
        <v>0</v>
      </c>
      <c r="H906" s="18" t="n">
        <v>37</v>
      </c>
      <c r="I906" s="18" t="n">
        <f aca="false">((I905 + G906) - H906)</f>
        <v>-494095.82</v>
      </c>
      <c r="J906" s="18" t="n">
        <v>-3.7</v>
      </c>
      <c r="K906" s="19" t="n">
        <v>10</v>
      </c>
      <c r="L906" s="17" t="s">
        <v>22</v>
      </c>
    </row>
    <row r="907" s="11" customFormat="true" ht="10.95" hidden="false" customHeight="true" outlineLevel="0" collapsed="false">
      <c r="A907" s="16" t="n">
        <v>45343</v>
      </c>
      <c r="B907" s="17" t="s">
        <v>17</v>
      </c>
      <c r="C907" s="17" t="s">
        <v>18</v>
      </c>
      <c r="D907" s="17" t="s">
        <v>19</v>
      </c>
      <c r="E907" s="17" t="s">
        <v>32</v>
      </c>
      <c r="F907" s="17" t="s">
        <v>485</v>
      </c>
      <c r="G907" s="18" t="n">
        <v>0</v>
      </c>
      <c r="H907" s="18" t="n">
        <v>195</v>
      </c>
      <c r="I907" s="18" t="n">
        <f aca="false">((I906 + G907) - H907)</f>
        <v>-494290.82</v>
      </c>
      <c r="J907" s="18" t="n">
        <v>-19.5</v>
      </c>
      <c r="K907" s="19" t="n">
        <v>10</v>
      </c>
      <c r="L907" s="17" t="s">
        <v>22</v>
      </c>
    </row>
    <row r="908" s="11" customFormat="true" ht="10.95" hidden="false" customHeight="true" outlineLevel="0" collapsed="false">
      <c r="A908" s="16" t="n">
        <v>45343</v>
      </c>
      <c r="B908" s="17" t="s">
        <v>17</v>
      </c>
      <c r="C908" s="17" t="s">
        <v>18</v>
      </c>
      <c r="D908" s="17" t="s">
        <v>19</v>
      </c>
      <c r="E908" s="17" t="s">
        <v>34</v>
      </c>
      <c r="F908" s="17" t="s">
        <v>485</v>
      </c>
      <c r="G908" s="18" t="n">
        <v>0</v>
      </c>
      <c r="H908" s="18" t="n">
        <v>30</v>
      </c>
      <c r="I908" s="18" t="n">
        <f aca="false">((I907 + G908) - H908)</f>
        <v>-494320.82</v>
      </c>
      <c r="J908" s="18" t="n">
        <v>-3</v>
      </c>
      <c r="K908" s="19" t="n">
        <v>10</v>
      </c>
      <c r="L908" s="17" t="s">
        <v>22</v>
      </c>
    </row>
    <row r="909" s="11" customFormat="true" ht="10.95" hidden="false" customHeight="true" outlineLevel="0" collapsed="false">
      <c r="A909" s="16" t="n">
        <v>45343</v>
      </c>
      <c r="B909" s="17" t="s">
        <v>17</v>
      </c>
      <c r="C909" s="17" t="s">
        <v>18</v>
      </c>
      <c r="D909" s="17" t="s">
        <v>19</v>
      </c>
      <c r="E909" s="17" t="s">
        <v>486</v>
      </c>
      <c r="F909" s="17" t="s">
        <v>485</v>
      </c>
      <c r="G909" s="18" t="n">
        <v>0</v>
      </c>
      <c r="H909" s="18" t="n">
        <v>100</v>
      </c>
      <c r="I909" s="18" t="n">
        <f aca="false">((I908 + G909) - H909)</f>
        <v>-494420.82</v>
      </c>
      <c r="J909" s="18" t="n">
        <v>-10</v>
      </c>
      <c r="K909" s="19" t="n">
        <v>10</v>
      </c>
      <c r="L909" s="17" t="s">
        <v>22</v>
      </c>
    </row>
    <row r="910" s="11" customFormat="true" ht="10.95" hidden="false" customHeight="true" outlineLevel="0" collapsed="false">
      <c r="A910" s="16" t="n">
        <v>45343</v>
      </c>
      <c r="B910" s="17" t="s">
        <v>17</v>
      </c>
      <c r="C910" s="17" t="s">
        <v>18</v>
      </c>
      <c r="D910" s="17" t="s">
        <v>19</v>
      </c>
      <c r="E910" s="17" t="s">
        <v>36</v>
      </c>
      <c r="F910" s="17" t="s">
        <v>487</v>
      </c>
      <c r="G910" s="18" t="n">
        <v>0</v>
      </c>
      <c r="H910" s="18" t="n">
        <v>720</v>
      </c>
      <c r="I910" s="18" t="n">
        <f aca="false">((I909 + G910) - H910)</f>
        <v>-495140.82</v>
      </c>
      <c r="J910" s="18" t="n">
        <v>-72</v>
      </c>
      <c r="K910" s="19" t="n">
        <v>10</v>
      </c>
      <c r="L910" s="17" t="s">
        <v>22</v>
      </c>
    </row>
    <row r="911" s="11" customFormat="true" ht="10.95" hidden="false" customHeight="true" outlineLevel="0" collapsed="false">
      <c r="A911" s="16" t="n">
        <v>45343</v>
      </c>
      <c r="B911" s="17" t="s">
        <v>17</v>
      </c>
      <c r="C911" s="17" t="s">
        <v>18</v>
      </c>
      <c r="D911" s="17" t="s">
        <v>19</v>
      </c>
      <c r="E911" s="17" t="s">
        <v>38</v>
      </c>
      <c r="F911" s="17" t="s">
        <v>487</v>
      </c>
      <c r="G911" s="18" t="n">
        <v>0</v>
      </c>
      <c r="H911" s="18" t="n">
        <v>110</v>
      </c>
      <c r="I911" s="18" t="n">
        <f aca="false">((I910 + G911) - H911)</f>
        <v>-495250.82</v>
      </c>
      <c r="J911" s="18" t="n">
        <v>-11</v>
      </c>
      <c r="K911" s="19" t="n">
        <v>10</v>
      </c>
      <c r="L911" s="17" t="s">
        <v>22</v>
      </c>
    </row>
    <row r="912" s="11" customFormat="true" ht="10.95" hidden="false" customHeight="true" outlineLevel="0" collapsed="false">
      <c r="A912" s="16" t="n">
        <v>45343</v>
      </c>
      <c r="B912" s="17" t="s">
        <v>17</v>
      </c>
      <c r="C912" s="17" t="s">
        <v>18</v>
      </c>
      <c r="D912" s="17" t="s">
        <v>19</v>
      </c>
      <c r="E912" s="17" t="s">
        <v>39</v>
      </c>
      <c r="F912" s="17" t="s">
        <v>487</v>
      </c>
      <c r="G912" s="18" t="n">
        <v>0</v>
      </c>
      <c r="H912" s="18" t="n">
        <v>165</v>
      </c>
      <c r="I912" s="18" t="n">
        <f aca="false">((I911 + G912) - H912)</f>
        <v>-495415.82</v>
      </c>
      <c r="J912" s="18" t="n">
        <v>-16.5</v>
      </c>
      <c r="K912" s="19" t="n">
        <v>10</v>
      </c>
      <c r="L912" s="17" t="s">
        <v>22</v>
      </c>
    </row>
    <row r="913" s="11" customFormat="true" ht="10.95" hidden="false" customHeight="true" outlineLevel="0" collapsed="false">
      <c r="A913" s="16" t="n">
        <v>45343</v>
      </c>
      <c r="B913" s="17" t="s">
        <v>17</v>
      </c>
      <c r="C913" s="17" t="s">
        <v>18</v>
      </c>
      <c r="D913" s="17" t="s">
        <v>19</v>
      </c>
      <c r="E913" s="17" t="s">
        <v>47</v>
      </c>
      <c r="F913" s="17" t="s">
        <v>488</v>
      </c>
      <c r="G913" s="18" t="n">
        <v>0</v>
      </c>
      <c r="H913" s="18" t="n">
        <v>260</v>
      </c>
      <c r="I913" s="18" t="n">
        <f aca="false">((I912 + G913) - H913)</f>
        <v>-495675.82</v>
      </c>
      <c r="J913" s="18" t="n">
        <v>-26</v>
      </c>
      <c r="K913" s="19" t="n">
        <v>10</v>
      </c>
      <c r="L913" s="17" t="s">
        <v>22</v>
      </c>
    </row>
    <row r="914" s="11" customFormat="true" ht="10.95" hidden="false" customHeight="true" outlineLevel="0" collapsed="false">
      <c r="A914" s="16" t="n">
        <v>45343</v>
      </c>
      <c r="B914" s="17" t="s">
        <v>17</v>
      </c>
      <c r="C914" s="17" t="s">
        <v>18</v>
      </c>
      <c r="D914" s="17" t="s">
        <v>19</v>
      </c>
      <c r="E914" s="17" t="s">
        <v>49</v>
      </c>
      <c r="F914" s="17" t="s">
        <v>488</v>
      </c>
      <c r="G914" s="18" t="n">
        <v>0</v>
      </c>
      <c r="H914" s="18" t="n">
        <v>100</v>
      </c>
      <c r="I914" s="18" t="n">
        <f aca="false">((I913 + G914) - H914)</f>
        <v>-495775.82</v>
      </c>
      <c r="J914" s="18" t="n">
        <v>-10</v>
      </c>
      <c r="K914" s="19" t="n">
        <v>10</v>
      </c>
      <c r="L914" s="17" t="s">
        <v>22</v>
      </c>
    </row>
    <row r="915" s="11" customFormat="true" ht="10.95" hidden="false" customHeight="true" outlineLevel="0" collapsed="false">
      <c r="A915" s="16" t="n">
        <v>45343</v>
      </c>
      <c r="B915" s="17" t="s">
        <v>17</v>
      </c>
      <c r="C915" s="17" t="s">
        <v>18</v>
      </c>
      <c r="D915" s="17" t="s">
        <v>19</v>
      </c>
      <c r="E915" s="17" t="s">
        <v>50</v>
      </c>
      <c r="F915" s="17" t="s">
        <v>489</v>
      </c>
      <c r="G915" s="18" t="n">
        <v>0</v>
      </c>
      <c r="H915" s="18" t="n">
        <v>2040</v>
      </c>
      <c r="I915" s="18" t="n">
        <f aca="false">((I914 + G915) - H915)</f>
        <v>-497815.82</v>
      </c>
      <c r="J915" s="18" t="n">
        <v>-204</v>
      </c>
      <c r="K915" s="19" t="n">
        <v>10</v>
      </c>
      <c r="L915" s="17" t="s">
        <v>22</v>
      </c>
    </row>
    <row r="916" s="11" customFormat="true" ht="10.95" hidden="false" customHeight="true" outlineLevel="0" collapsed="false">
      <c r="A916" s="16" t="n">
        <v>45343</v>
      </c>
      <c r="B916" s="17" t="s">
        <v>17</v>
      </c>
      <c r="C916" s="17" t="s">
        <v>18</v>
      </c>
      <c r="D916" s="17" t="s">
        <v>19</v>
      </c>
      <c r="E916" s="17" t="s">
        <v>192</v>
      </c>
      <c r="F916" s="17" t="s">
        <v>490</v>
      </c>
      <c r="G916" s="18" t="n">
        <v>0</v>
      </c>
      <c r="H916" s="18" t="n">
        <v>170</v>
      </c>
      <c r="I916" s="18" t="n">
        <f aca="false">((I915 + G916) - H916)</f>
        <v>-497985.82</v>
      </c>
      <c r="J916" s="18" t="n">
        <v>-17</v>
      </c>
      <c r="K916" s="19" t="n">
        <v>10</v>
      </c>
      <c r="L916" s="17" t="s">
        <v>22</v>
      </c>
    </row>
    <row r="917" s="11" customFormat="true" ht="10.95" hidden="false" customHeight="true" outlineLevel="0" collapsed="false">
      <c r="A917" s="16" t="n">
        <v>45343</v>
      </c>
      <c r="B917" s="17" t="s">
        <v>17</v>
      </c>
      <c r="C917" s="17" t="s">
        <v>18</v>
      </c>
      <c r="D917" s="17" t="s">
        <v>19</v>
      </c>
      <c r="E917" s="17" t="s">
        <v>192</v>
      </c>
      <c r="F917" s="17" t="s">
        <v>490</v>
      </c>
      <c r="G917" s="18" t="n">
        <v>0</v>
      </c>
      <c r="H917" s="18" t="n">
        <v>170</v>
      </c>
      <c r="I917" s="18" t="n">
        <f aca="false">((I916 + G917) - H917)</f>
        <v>-498155.82</v>
      </c>
      <c r="J917" s="18" t="n">
        <v>-17</v>
      </c>
      <c r="K917" s="19" t="n">
        <v>10</v>
      </c>
      <c r="L917" s="17" t="s">
        <v>22</v>
      </c>
    </row>
    <row r="918" s="11" customFormat="true" ht="10.95" hidden="false" customHeight="true" outlineLevel="0" collapsed="false">
      <c r="A918" s="16" t="n">
        <v>45343</v>
      </c>
      <c r="B918" s="17" t="s">
        <v>17</v>
      </c>
      <c r="C918" s="17" t="s">
        <v>18</v>
      </c>
      <c r="D918" s="17" t="s">
        <v>19</v>
      </c>
      <c r="E918" s="17" t="s">
        <v>192</v>
      </c>
      <c r="F918" s="17" t="s">
        <v>490</v>
      </c>
      <c r="G918" s="18" t="n">
        <v>0</v>
      </c>
      <c r="H918" s="18" t="n">
        <v>170</v>
      </c>
      <c r="I918" s="18" t="n">
        <f aca="false">((I917 + G918) - H918)</f>
        <v>-498325.82</v>
      </c>
      <c r="J918" s="18" t="n">
        <v>-17</v>
      </c>
      <c r="K918" s="19" t="n">
        <v>10</v>
      </c>
      <c r="L918" s="17" t="s">
        <v>22</v>
      </c>
    </row>
    <row r="919" s="11" customFormat="true" ht="10.95" hidden="false" customHeight="true" outlineLevel="0" collapsed="false">
      <c r="A919" s="16" t="n">
        <v>45343</v>
      </c>
      <c r="B919" s="17" t="s">
        <v>17</v>
      </c>
      <c r="C919" s="17" t="s">
        <v>18</v>
      </c>
      <c r="D919" s="17" t="s">
        <v>19</v>
      </c>
      <c r="E919" s="17" t="s">
        <v>491</v>
      </c>
      <c r="F919" s="17" t="s">
        <v>492</v>
      </c>
      <c r="G919" s="18" t="n">
        <v>0</v>
      </c>
      <c r="H919" s="18" t="n">
        <v>550</v>
      </c>
      <c r="I919" s="18" t="n">
        <f aca="false">((I918 + G919) - H919)</f>
        <v>-498875.82</v>
      </c>
      <c r="J919" s="18" t="n">
        <v>-55</v>
      </c>
      <c r="K919" s="19" t="n">
        <v>10</v>
      </c>
      <c r="L919" s="17" t="s">
        <v>22</v>
      </c>
    </row>
    <row r="920" s="11" customFormat="true" ht="10.95" hidden="false" customHeight="true" outlineLevel="0" collapsed="false">
      <c r="A920" s="16" t="n">
        <v>45343</v>
      </c>
      <c r="B920" s="17" t="s">
        <v>17</v>
      </c>
      <c r="C920" s="17" t="s">
        <v>18</v>
      </c>
      <c r="D920" s="17" t="s">
        <v>19</v>
      </c>
      <c r="E920" s="17" t="s">
        <v>493</v>
      </c>
      <c r="F920" s="17" t="s">
        <v>492</v>
      </c>
      <c r="G920" s="18" t="n">
        <v>0</v>
      </c>
      <c r="H920" s="18" t="n">
        <v>110</v>
      </c>
      <c r="I920" s="18" t="n">
        <f aca="false">((I919 + G920) - H920)</f>
        <v>-498985.82</v>
      </c>
      <c r="J920" s="18" t="n">
        <v>-11</v>
      </c>
      <c r="K920" s="19" t="n">
        <v>10</v>
      </c>
      <c r="L920" s="17" t="s">
        <v>22</v>
      </c>
    </row>
    <row r="921" s="11" customFormat="true" ht="10.95" hidden="false" customHeight="true" outlineLevel="0" collapsed="false">
      <c r="A921" s="16" t="n">
        <v>45343</v>
      </c>
      <c r="B921" s="17" t="s">
        <v>17</v>
      </c>
      <c r="C921" s="17" t="s">
        <v>18</v>
      </c>
      <c r="D921" s="17" t="s">
        <v>19</v>
      </c>
      <c r="E921" s="17" t="s">
        <v>57</v>
      </c>
      <c r="F921" s="17" t="s">
        <v>492</v>
      </c>
      <c r="G921" s="18" t="n">
        <v>0</v>
      </c>
      <c r="H921" s="18" t="n">
        <v>132</v>
      </c>
      <c r="I921" s="18" t="n">
        <f aca="false">((I920 + G921) - H921)</f>
        <v>-499117.82</v>
      </c>
      <c r="J921" s="18" t="n">
        <v>-13.2</v>
      </c>
      <c r="K921" s="19" t="n">
        <v>10</v>
      </c>
      <c r="L921" s="17" t="s">
        <v>22</v>
      </c>
    </row>
    <row r="922" s="11" customFormat="true" ht="10.95" hidden="false" customHeight="true" outlineLevel="0" collapsed="false">
      <c r="A922" s="16" t="n">
        <v>45343</v>
      </c>
      <c r="B922" s="17" t="s">
        <v>17</v>
      </c>
      <c r="C922" s="17" t="s">
        <v>18</v>
      </c>
      <c r="D922" s="17" t="s">
        <v>19</v>
      </c>
      <c r="E922" s="17" t="s">
        <v>58</v>
      </c>
      <c r="F922" s="17" t="s">
        <v>492</v>
      </c>
      <c r="G922" s="18" t="n">
        <v>0</v>
      </c>
      <c r="H922" s="18" t="n">
        <v>165</v>
      </c>
      <c r="I922" s="18" t="n">
        <f aca="false">((I921 + G922) - H922)</f>
        <v>-499282.82</v>
      </c>
      <c r="J922" s="18" t="n">
        <v>-16.5</v>
      </c>
      <c r="K922" s="19" t="n">
        <v>10</v>
      </c>
      <c r="L922" s="17" t="s">
        <v>22</v>
      </c>
    </row>
    <row r="923" s="11" customFormat="true" ht="10.95" hidden="false" customHeight="true" outlineLevel="0" collapsed="false">
      <c r="A923" s="16" t="n">
        <v>45343</v>
      </c>
      <c r="B923" s="17" t="s">
        <v>17</v>
      </c>
      <c r="C923" s="17" t="s">
        <v>18</v>
      </c>
      <c r="D923" s="17" t="s">
        <v>19</v>
      </c>
      <c r="E923" s="17" t="s">
        <v>59</v>
      </c>
      <c r="F923" s="17" t="s">
        <v>494</v>
      </c>
      <c r="G923" s="18" t="n">
        <v>0</v>
      </c>
      <c r="H923" s="18" t="n">
        <v>4800</v>
      </c>
      <c r="I923" s="18" t="n">
        <f aca="false">((I922 + G923) - H923)</f>
        <v>-504082.82</v>
      </c>
      <c r="J923" s="18" t="n">
        <v>-480</v>
      </c>
      <c r="K923" s="19" t="n">
        <v>10</v>
      </c>
      <c r="L923" s="17" t="s">
        <v>22</v>
      </c>
    </row>
    <row r="924" s="11" customFormat="true" ht="10.95" hidden="false" customHeight="true" outlineLevel="0" collapsed="false">
      <c r="A924" s="16" t="n">
        <v>45343</v>
      </c>
      <c r="B924" s="17" t="s">
        <v>17</v>
      </c>
      <c r="C924" s="17" t="s">
        <v>18</v>
      </c>
      <c r="D924" s="17" t="s">
        <v>19</v>
      </c>
      <c r="E924" s="17" t="s">
        <v>61</v>
      </c>
      <c r="F924" s="17" t="s">
        <v>494</v>
      </c>
      <c r="G924" s="18" t="n">
        <v>0</v>
      </c>
      <c r="H924" s="18" t="n">
        <v>3990</v>
      </c>
      <c r="I924" s="18" t="n">
        <f aca="false">((I923 + G924) - H924)</f>
        <v>-508072.82</v>
      </c>
      <c r="J924" s="18" t="n">
        <v>-399</v>
      </c>
      <c r="K924" s="19" t="n">
        <v>10</v>
      </c>
      <c r="L924" s="17" t="s">
        <v>22</v>
      </c>
    </row>
    <row r="925" s="11" customFormat="true" ht="10.95" hidden="false" customHeight="true" outlineLevel="0" collapsed="false">
      <c r="A925" s="16" t="n">
        <v>45343</v>
      </c>
      <c r="B925" s="17" t="s">
        <v>17</v>
      </c>
      <c r="C925" s="17" t="s">
        <v>18</v>
      </c>
      <c r="D925" s="17" t="s">
        <v>19</v>
      </c>
      <c r="E925" s="17" t="s">
        <v>62</v>
      </c>
      <c r="F925" s="17" t="s">
        <v>494</v>
      </c>
      <c r="G925" s="18" t="n">
        <v>0</v>
      </c>
      <c r="H925" s="18" t="n">
        <v>300</v>
      </c>
      <c r="I925" s="18" t="n">
        <f aca="false">((I924 + G925) - H925)</f>
        <v>-508372.82</v>
      </c>
      <c r="J925" s="18" t="n">
        <v>-30</v>
      </c>
      <c r="K925" s="19" t="n">
        <v>10</v>
      </c>
      <c r="L925" s="17" t="s">
        <v>22</v>
      </c>
    </row>
    <row r="926" s="11" customFormat="true" ht="10.95" hidden="false" customHeight="true" outlineLevel="0" collapsed="false">
      <c r="A926" s="16" t="n">
        <v>45343</v>
      </c>
      <c r="B926" s="17" t="s">
        <v>17</v>
      </c>
      <c r="C926" s="17" t="s">
        <v>18</v>
      </c>
      <c r="D926" s="17" t="s">
        <v>19</v>
      </c>
      <c r="E926" s="17" t="s">
        <v>64</v>
      </c>
      <c r="F926" s="17" t="s">
        <v>495</v>
      </c>
      <c r="G926" s="18" t="n">
        <v>0</v>
      </c>
      <c r="H926" s="18" t="n">
        <v>3850</v>
      </c>
      <c r="I926" s="18" t="n">
        <f aca="false">((I925 + G926) - H926)</f>
        <v>-512222.82</v>
      </c>
      <c r="J926" s="18" t="n">
        <v>-385</v>
      </c>
      <c r="K926" s="19" t="n">
        <v>10</v>
      </c>
      <c r="L926" s="17" t="s">
        <v>22</v>
      </c>
    </row>
    <row r="927" s="11" customFormat="true" ht="10.95" hidden="false" customHeight="true" outlineLevel="0" collapsed="false">
      <c r="A927" s="16" t="n">
        <v>45343</v>
      </c>
      <c r="B927" s="17" t="s">
        <v>17</v>
      </c>
      <c r="C927" s="17" t="s">
        <v>18</v>
      </c>
      <c r="D927" s="17" t="s">
        <v>19</v>
      </c>
      <c r="E927" s="17" t="s">
        <v>66</v>
      </c>
      <c r="F927" s="17" t="s">
        <v>495</v>
      </c>
      <c r="G927" s="18" t="n">
        <v>0</v>
      </c>
      <c r="H927" s="18" t="n">
        <v>220</v>
      </c>
      <c r="I927" s="18" t="n">
        <f aca="false">((I926 + G927) - H927)</f>
        <v>-512442.82</v>
      </c>
      <c r="J927" s="18" t="n">
        <v>-22</v>
      </c>
      <c r="K927" s="19" t="n">
        <v>10</v>
      </c>
      <c r="L927" s="17" t="s">
        <v>22</v>
      </c>
    </row>
    <row r="928" s="11" customFormat="true" ht="10.95" hidden="false" customHeight="true" outlineLevel="0" collapsed="false">
      <c r="A928" s="16" t="n">
        <v>45343</v>
      </c>
      <c r="B928" s="17" t="s">
        <v>17</v>
      </c>
      <c r="C928" s="17" t="s">
        <v>18</v>
      </c>
      <c r="D928" s="17" t="s">
        <v>19</v>
      </c>
      <c r="E928" s="17" t="s">
        <v>67</v>
      </c>
      <c r="F928" s="17" t="s">
        <v>495</v>
      </c>
      <c r="G928" s="18" t="n">
        <v>0</v>
      </c>
      <c r="H928" s="18" t="n">
        <v>220</v>
      </c>
      <c r="I928" s="18" t="n">
        <f aca="false">((I927 + G928) - H928)</f>
        <v>-512662.82</v>
      </c>
      <c r="J928" s="18" t="n">
        <v>-22</v>
      </c>
      <c r="K928" s="19" t="n">
        <v>10</v>
      </c>
      <c r="L928" s="17" t="s">
        <v>22</v>
      </c>
    </row>
    <row r="929" s="11" customFormat="true" ht="10.95" hidden="false" customHeight="true" outlineLevel="0" collapsed="false">
      <c r="A929" s="16" t="n">
        <v>45343</v>
      </c>
      <c r="B929" s="17" t="s">
        <v>17</v>
      </c>
      <c r="C929" s="17" t="s">
        <v>18</v>
      </c>
      <c r="D929" s="17" t="s">
        <v>19</v>
      </c>
      <c r="E929" s="17" t="s">
        <v>68</v>
      </c>
      <c r="F929" s="17" t="s">
        <v>495</v>
      </c>
      <c r="G929" s="18" t="n">
        <v>0</v>
      </c>
      <c r="H929" s="18" t="n">
        <v>250</v>
      </c>
      <c r="I929" s="18" t="n">
        <f aca="false">((I928 + G929) - H929)</f>
        <v>-512912.82</v>
      </c>
      <c r="J929" s="18" t="n">
        <v>-25</v>
      </c>
      <c r="K929" s="19" t="n">
        <v>10</v>
      </c>
      <c r="L929" s="17" t="s">
        <v>22</v>
      </c>
    </row>
    <row r="930" s="11" customFormat="true" ht="10.95" hidden="false" customHeight="true" outlineLevel="0" collapsed="false">
      <c r="A930" s="16" t="n">
        <v>45343</v>
      </c>
      <c r="B930" s="17" t="s">
        <v>17</v>
      </c>
      <c r="C930" s="17" t="s">
        <v>18</v>
      </c>
      <c r="D930" s="17" t="s">
        <v>19</v>
      </c>
      <c r="E930" s="17" t="s">
        <v>69</v>
      </c>
      <c r="F930" s="17" t="s">
        <v>496</v>
      </c>
      <c r="G930" s="18" t="n">
        <v>0</v>
      </c>
      <c r="H930" s="18" t="n">
        <v>880</v>
      </c>
      <c r="I930" s="18" t="n">
        <f aca="false">((I929 + G930) - H930)</f>
        <v>-513792.82</v>
      </c>
      <c r="J930" s="18" t="n">
        <v>-88</v>
      </c>
      <c r="K930" s="19" t="n">
        <v>10</v>
      </c>
      <c r="L930" s="17" t="s">
        <v>22</v>
      </c>
    </row>
    <row r="931" s="11" customFormat="true" ht="10.95" hidden="false" customHeight="true" outlineLevel="0" collapsed="false">
      <c r="A931" s="16" t="n">
        <v>45343</v>
      </c>
      <c r="B931" s="17" t="s">
        <v>17</v>
      </c>
      <c r="C931" s="17" t="s">
        <v>18</v>
      </c>
      <c r="D931" s="17" t="s">
        <v>19</v>
      </c>
      <c r="E931" s="17" t="s">
        <v>201</v>
      </c>
      <c r="F931" s="17" t="s">
        <v>497</v>
      </c>
      <c r="G931" s="18" t="n">
        <v>0</v>
      </c>
      <c r="H931" s="18" t="n">
        <v>720</v>
      </c>
      <c r="I931" s="18" t="n">
        <f aca="false">((I930 + G931) - H931)</f>
        <v>-514512.82</v>
      </c>
      <c r="J931" s="18" t="n">
        <v>-72</v>
      </c>
      <c r="K931" s="19" t="n">
        <v>10</v>
      </c>
      <c r="L931" s="17" t="s">
        <v>44</v>
      </c>
    </row>
    <row r="932" s="11" customFormat="true" ht="10.95" hidden="false" customHeight="true" outlineLevel="0" collapsed="false">
      <c r="A932" s="16" t="n">
        <v>45343</v>
      </c>
      <c r="B932" s="17" t="s">
        <v>17</v>
      </c>
      <c r="C932" s="17" t="s">
        <v>18</v>
      </c>
      <c r="D932" s="17" t="s">
        <v>19</v>
      </c>
      <c r="E932" s="17" t="s">
        <v>203</v>
      </c>
      <c r="F932" s="17" t="s">
        <v>497</v>
      </c>
      <c r="G932" s="18" t="n">
        <v>0</v>
      </c>
      <c r="H932" s="18" t="n">
        <v>110</v>
      </c>
      <c r="I932" s="18" t="n">
        <f aca="false">((I931 + G932) - H932)</f>
        <v>-514622.82</v>
      </c>
      <c r="J932" s="18" t="n">
        <v>-11</v>
      </c>
      <c r="K932" s="19" t="n">
        <v>10</v>
      </c>
      <c r="L932" s="17" t="s">
        <v>44</v>
      </c>
    </row>
    <row r="933" s="11" customFormat="true" ht="10.95" hidden="false" customHeight="true" outlineLevel="0" collapsed="false">
      <c r="A933" s="16" t="n">
        <v>45343</v>
      </c>
      <c r="B933" s="17" t="s">
        <v>17</v>
      </c>
      <c r="C933" s="17" t="s">
        <v>18</v>
      </c>
      <c r="D933" s="17" t="s">
        <v>19</v>
      </c>
      <c r="E933" s="17" t="s">
        <v>74</v>
      </c>
      <c r="F933" s="17" t="s">
        <v>498</v>
      </c>
      <c r="G933" s="18" t="n">
        <v>0</v>
      </c>
      <c r="H933" s="18" t="n">
        <v>1692</v>
      </c>
      <c r="I933" s="18" t="n">
        <f aca="false">((I932 + G933) - H933)</f>
        <v>-516314.82</v>
      </c>
      <c r="J933" s="18" t="n">
        <v>-169.2</v>
      </c>
      <c r="K933" s="19" t="n">
        <v>10</v>
      </c>
      <c r="L933" s="17" t="s">
        <v>22</v>
      </c>
    </row>
    <row r="934" s="11" customFormat="true" ht="10.95" hidden="false" customHeight="true" outlineLevel="0" collapsed="false">
      <c r="A934" s="16" t="n">
        <v>45343</v>
      </c>
      <c r="B934" s="17" t="s">
        <v>17</v>
      </c>
      <c r="C934" s="17" t="s">
        <v>18</v>
      </c>
      <c r="D934" s="17" t="s">
        <v>19</v>
      </c>
      <c r="E934" s="17" t="s">
        <v>499</v>
      </c>
      <c r="F934" s="17" t="s">
        <v>500</v>
      </c>
      <c r="G934" s="18" t="n">
        <v>0</v>
      </c>
      <c r="H934" s="18" t="n">
        <v>209</v>
      </c>
      <c r="I934" s="18" t="n">
        <f aca="false">((I933 + G934) - H934)</f>
        <v>-516523.82</v>
      </c>
      <c r="J934" s="18" t="n">
        <v>-20.9</v>
      </c>
      <c r="K934" s="19" t="n">
        <v>10</v>
      </c>
      <c r="L934" s="17" t="s">
        <v>22</v>
      </c>
    </row>
    <row r="935" s="11" customFormat="true" ht="10.95" hidden="false" customHeight="true" outlineLevel="0" collapsed="false">
      <c r="A935" s="16" t="n">
        <v>45343</v>
      </c>
      <c r="B935" s="17" t="s">
        <v>17</v>
      </c>
      <c r="C935" s="17" t="s">
        <v>18</v>
      </c>
      <c r="D935" s="17" t="s">
        <v>19</v>
      </c>
      <c r="E935" s="17" t="s">
        <v>501</v>
      </c>
      <c r="F935" s="17" t="s">
        <v>500</v>
      </c>
      <c r="G935" s="18" t="n">
        <v>0</v>
      </c>
      <c r="H935" s="18" t="n">
        <v>209</v>
      </c>
      <c r="I935" s="18" t="n">
        <f aca="false">((I934 + G935) - H935)</f>
        <v>-516732.82</v>
      </c>
      <c r="J935" s="18" t="n">
        <v>-20.9</v>
      </c>
      <c r="K935" s="19" t="n">
        <v>10</v>
      </c>
      <c r="L935" s="17" t="s">
        <v>22</v>
      </c>
    </row>
    <row r="936" s="11" customFormat="true" ht="10.95" hidden="false" customHeight="true" outlineLevel="0" collapsed="false">
      <c r="A936" s="16" t="n">
        <v>45343</v>
      </c>
      <c r="B936" s="17" t="s">
        <v>17</v>
      </c>
      <c r="C936" s="17" t="s">
        <v>18</v>
      </c>
      <c r="D936" s="17" t="s">
        <v>19</v>
      </c>
      <c r="E936" s="17" t="s">
        <v>502</v>
      </c>
      <c r="F936" s="17" t="s">
        <v>500</v>
      </c>
      <c r="G936" s="18" t="n">
        <v>0</v>
      </c>
      <c r="H936" s="18" t="n">
        <v>209</v>
      </c>
      <c r="I936" s="18" t="n">
        <f aca="false">((I935 + G936) - H936)</f>
        <v>-516941.82</v>
      </c>
      <c r="J936" s="18" t="n">
        <v>-20.9</v>
      </c>
      <c r="K936" s="19" t="n">
        <v>10</v>
      </c>
      <c r="L936" s="17" t="s">
        <v>22</v>
      </c>
    </row>
    <row r="937" s="11" customFormat="true" ht="10.95" hidden="false" customHeight="true" outlineLevel="0" collapsed="false">
      <c r="A937" s="16" t="n">
        <v>45343</v>
      </c>
      <c r="B937" s="17" t="s">
        <v>17</v>
      </c>
      <c r="C937" s="17" t="s">
        <v>18</v>
      </c>
      <c r="D937" s="17" t="s">
        <v>19</v>
      </c>
      <c r="E937" s="17" t="s">
        <v>503</v>
      </c>
      <c r="F937" s="17" t="s">
        <v>504</v>
      </c>
      <c r="G937" s="18" t="n">
        <v>0</v>
      </c>
      <c r="H937" s="18" t="n">
        <v>104.5</v>
      </c>
      <c r="I937" s="18" t="n">
        <f aca="false">((I936 + G937) - H937)</f>
        <v>-517046.32</v>
      </c>
      <c r="J937" s="18" t="n">
        <v>-10.45</v>
      </c>
      <c r="K937" s="19" t="n">
        <v>10</v>
      </c>
      <c r="L937" s="17" t="s">
        <v>22</v>
      </c>
    </row>
    <row r="938" s="11" customFormat="true" ht="10.95" hidden="false" customHeight="true" outlineLevel="0" collapsed="false">
      <c r="A938" s="16" t="n">
        <v>45343</v>
      </c>
      <c r="B938" s="17" t="s">
        <v>17</v>
      </c>
      <c r="C938" s="17" t="s">
        <v>18</v>
      </c>
      <c r="D938" s="17" t="s">
        <v>19</v>
      </c>
      <c r="E938" s="17" t="s">
        <v>505</v>
      </c>
      <c r="F938" s="17" t="s">
        <v>504</v>
      </c>
      <c r="G938" s="18" t="n">
        <v>0</v>
      </c>
      <c r="H938" s="18" t="n">
        <v>104.5</v>
      </c>
      <c r="I938" s="18" t="n">
        <f aca="false">((I937 + G938) - H938)</f>
        <v>-517150.82</v>
      </c>
      <c r="J938" s="18" t="n">
        <v>-10.45</v>
      </c>
      <c r="K938" s="19" t="n">
        <v>10</v>
      </c>
      <c r="L938" s="17" t="s">
        <v>22</v>
      </c>
    </row>
    <row r="939" s="11" customFormat="true" ht="10.95" hidden="false" customHeight="true" outlineLevel="0" collapsed="false">
      <c r="A939" s="16" t="n">
        <v>45343</v>
      </c>
      <c r="B939" s="17" t="s">
        <v>17</v>
      </c>
      <c r="C939" s="17" t="s">
        <v>18</v>
      </c>
      <c r="D939" s="17" t="s">
        <v>19</v>
      </c>
      <c r="E939" s="17" t="s">
        <v>506</v>
      </c>
      <c r="F939" s="17" t="s">
        <v>504</v>
      </c>
      <c r="G939" s="18" t="n">
        <v>0</v>
      </c>
      <c r="H939" s="18" t="n">
        <v>104.5</v>
      </c>
      <c r="I939" s="18" t="n">
        <f aca="false">((I938 + G939) - H939)</f>
        <v>-517255.32</v>
      </c>
      <c r="J939" s="18" t="n">
        <v>-10.45</v>
      </c>
      <c r="K939" s="19" t="n">
        <v>10</v>
      </c>
      <c r="L939" s="17" t="s">
        <v>22</v>
      </c>
    </row>
    <row r="940" s="11" customFormat="true" ht="10.95" hidden="false" customHeight="true" outlineLevel="0" collapsed="false">
      <c r="A940" s="16" t="n">
        <v>45343</v>
      </c>
      <c r="B940" s="17" t="s">
        <v>17</v>
      </c>
      <c r="C940" s="17" t="s">
        <v>18</v>
      </c>
      <c r="D940" s="17" t="s">
        <v>19</v>
      </c>
      <c r="E940" s="17" t="s">
        <v>261</v>
      </c>
      <c r="F940" s="17" t="s">
        <v>507</v>
      </c>
      <c r="G940" s="18" t="n">
        <v>0</v>
      </c>
      <c r="H940" s="18" t="n">
        <v>522.5</v>
      </c>
      <c r="I940" s="18" t="n">
        <f aca="false">((I939 + G940) - H940)</f>
        <v>-517777.82</v>
      </c>
      <c r="J940" s="18" t="n">
        <v>-52.25</v>
      </c>
      <c r="K940" s="19" t="n">
        <v>10</v>
      </c>
      <c r="L940" s="17" t="s">
        <v>22</v>
      </c>
    </row>
    <row r="941" s="11" customFormat="true" ht="10.95" hidden="false" customHeight="true" outlineLevel="0" collapsed="false">
      <c r="A941" s="16" t="n">
        <v>45343</v>
      </c>
      <c r="B941" s="17" t="s">
        <v>17</v>
      </c>
      <c r="C941" s="17" t="s">
        <v>18</v>
      </c>
      <c r="D941" s="17" t="s">
        <v>19</v>
      </c>
      <c r="E941" s="17" t="s">
        <v>286</v>
      </c>
      <c r="F941" s="17" t="s">
        <v>507</v>
      </c>
      <c r="G941" s="18" t="n">
        <v>0</v>
      </c>
      <c r="H941" s="18" t="n">
        <v>38.5</v>
      </c>
      <c r="I941" s="18" t="n">
        <f aca="false">((I940 + G941) - H941)</f>
        <v>-517816.32</v>
      </c>
      <c r="J941" s="18" t="n">
        <v>0</v>
      </c>
      <c r="K941" s="19" t="n">
        <v>0</v>
      </c>
      <c r="L941" s="17" t="s">
        <v>88</v>
      </c>
    </row>
    <row r="942" s="11" customFormat="true" ht="10.95" hidden="false" customHeight="true" outlineLevel="0" collapsed="false">
      <c r="A942" s="16" t="n">
        <v>45343</v>
      </c>
      <c r="B942" s="17" t="s">
        <v>17</v>
      </c>
      <c r="C942" s="17" t="s">
        <v>18</v>
      </c>
      <c r="D942" s="17" t="s">
        <v>19</v>
      </c>
      <c r="E942" s="17" t="s">
        <v>288</v>
      </c>
      <c r="F942" s="17" t="s">
        <v>507</v>
      </c>
      <c r="G942" s="18" t="n">
        <v>0</v>
      </c>
      <c r="H942" s="18" t="n">
        <v>5</v>
      </c>
      <c r="I942" s="18" t="n">
        <f aca="false">((I941 + G942) - H942)</f>
        <v>-517821.32</v>
      </c>
      <c r="J942" s="18" t="n">
        <v>-0.5</v>
      </c>
      <c r="K942" s="19" t="n">
        <v>10</v>
      </c>
      <c r="L942" s="17" t="s">
        <v>22</v>
      </c>
    </row>
    <row r="943" s="11" customFormat="true" ht="10.95" hidden="false" customHeight="true" outlineLevel="0" collapsed="false">
      <c r="A943" s="16" t="n">
        <v>45343</v>
      </c>
      <c r="B943" s="17" t="s">
        <v>17</v>
      </c>
      <c r="C943" s="17" t="s">
        <v>18</v>
      </c>
      <c r="D943" s="17" t="s">
        <v>19</v>
      </c>
      <c r="E943" s="17" t="s">
        <v>76</v>
      </c>
      <c r="F943" s="17" t="s">
        <v>508</v>
      </c>
      <c r="G943" s="18" t="n">
        <v>0</v>
      </c>
      <c r="H943" s="18" t="n">
        <v>752</v>
      </c>
      <c r="I943" s="18" t="n">
        <f aca="false">((I942 + G943) - H943)</f>
        <v>-518573.32</v>
      </c>
      <c r="J943" s="18" t="n">
        <v>-75.2</v>
      </c>
      <c r="K943" s="19" t="n">
        <v>10</v>
      </c>
      <c r="L943" s="17" t="s">
        <v>22</v>
      </c>
    </row>
    <row r="944" s="11" customFormat="true" ht="10.95" hidden="false" customHeight="true" outlineLevel="0" collapsed="false">
      <c r="A944" s="16" t="n">
        <v>45343</v>
      </c>
      <c r="B944" s="17" t="s">
        <v>17</v>
      </c>
      <c r="C944" s="17" t="s">
        <v>18</v>
      </c>
      <c r="D944" s="17" t="s">
        <v>19</v>
      </c>
      <c r="E944" s="17" t="s">
        <v>78</v>
      </c>
      <c r="F944" s="17" t="s">
        <v>509</v>
      </c>
      <c r="G944" s="18" t="n">
        <v>0</v>
      </c>
      <c r="H944" s="18" t="n">
        <v>564</v>
      </c>
      <c r="I944" s="18" t="n">
        <f aca="false">((I943 + G944) - H944)</f>
        <v>-519137.32</v>
      </c>
      <c r="J944" s="18" t="n">
        <v>-56.4</v>
      </c>
      <c r="K944" s="19" t="n">
        <v>10</v>
      </c>
      <c r="L944" s="17" t="s">
        <v>22</v>
      </c>
    </row>
    <row r="945" s="11" customFormat="true" ht="10.95" hidden="false" customHeight="true" outlineLevel="0" collapsed="false">
      <c r="A945" s="16" t="n">
        <v>45343</v>
      </c>
      <c r="B945" s="17" t="s">
        <v>17</v>
      </c>
      <c r="C945" s="17" t="s">
        <v>18</v>
      </c>
      <c r="D945" s="17" t="s">
        <v>19</v>
      </c>
      <c r="E945" s="17" t="s">
        <v>80</v>
      </c>
      <c r="F945" s="17" t="s">
        <v>509</v>
      </c>
      <c r="G945" s="18" t="n">
        <v>0</v>
      </c>
      <c r="H945" s="18" t="n">
        <v>110</v>
      </c>
      <c r="I945" s="18" t="n">
        <f aca="false">((I944 + G945) - H945)</f>
        <v>-519247.32</v>
      </c>
      <c r="J945" s="18" t="n">
        <v>-11</v>
      </c>
      <c r="K945" s="19" t="n">
        <v>10</v>
      </c>
      <c r="L945" s="17" t="s">
        <v>22</v>
      </c>
    </row>
    <row r="946" s="11" customFormat="true" ht="10.95" hidden="false" customHeight="true" outlineLevel="0" collapsed="false">
      <c r="A946" s="16" t="n">
        <v>45343</v>
      </c>
      <c r="B946" s="17" t="s">
        <v>17</v>
      </c>
      <c r="C946" s="17" t="s">
        <v>18</v>
      </c>
      <c r="D946" s="17" t="s">
        <v>19</v>
      </c>
      <c r="E946" s="17" t="s">
        <v>78</v>
      </c>
      <c r="F946" s="17" t="s">
        <v>510</v>
      </c>
      <c r="G946" s="18" t="n">
        <v>0</v>
      </c>
      <c r="H946" s="18" t="n">
        <v>188</v>
      </c>
      <c r="I946" s="18" t="n">
        <f aca="false">((I945 + G946) - H946)</f>
        <v>-519435.32</v>
      </c>
      <c r="J946" s="18" t="n">
        <v>-18.8</v>
      </c>
      <c r="K946" s="19" t="n">
        <v>10</v>
      </c>
      <c r="L946" s="17" t="s">
        <v>22</v>
      </c>
    </row>
    <row r="947" s="11" customFormat="true" ht="10.95" hidden="false" customHeight="true" outlineLevel="0" collapsed="false">
      <c r="A947" s="16" t="n">
        <v>45343</v>
      </c>
      <c r="B947" s="17" t="s">
        <v>17</v>
      </c>
      <c r="C947" s="17" t="s">
        <v>18</v>
      </c>
      <c r="D947" s="17" t="s">
        <v>19</v>
      </c>
      <c r="E947" s="17" t="s">
        <v>78</v>
      </c>
      <c r="F947" s="17" t="s">
        <v>511</v>
      </c>
      <c r="G947" s="18" t="n">
        <v>0</v>
      </c>
      <c r="H947" s="18" t="n">
        <v>1316</v>
      </c>
      <c r="I947" s="18" t="n">
        <f aca="false">((I946 + G947) - H947)</f>
        <v>-520751.32</v>
      </c>
      <c r="J947" s="18" t="n">
        <v>-131.6</v>
      </c>
      <c r="K947" s="19" t="n">
        <v>10</v>
      </c>
      <c r="L947" s="17" t="s">
        <v>22</v>
      </c>
    </row>
    <row r="948" s="11" customFormat="true" ht="10.95" hidden="false" customHeight="true" outlineLevel="0" collapsed="false">
      <c r="A948" s="16" t="n">
        <v>45343</v>
      </c>
      <c r="B948" s="17" t="s">
        <v>17</v>
      </c>
      <c r="C948" s="17" t="s">
        <v>18</v>
      </c>
      <c r="D948" s="17" t="s">
        <v>19</v>
      </c>
      <c r="E948" s="17" t="s">
        <v>83</v>
      </c>
      <c r="F948" s="17" t="s">
        <v>511</v>
      </c>
      <c r="G948" s="18" t="n">
        <v>0</v>
      </c>
      <c r="H948" s="18" t="n">
        <v>38.5</v>
      </c>
      <c r="I948" s="18" t="n">
        <f aca="false">((I947 + G948) - H948)</f>
        <v>-520789.82</v>
      </c>
      <c r="J948" s="18" t="n">
        <v>-3.85</v>
      </c>
      <c r="K948" s="19" t="n">
        <v>10</v>
      </c>
      <c r="L948" s="17" t="s">
        <v>22</v>
      </c>
    </row>
    <row r="949" s="11" customFormat="true" ht="10.95" hidden="false" customHeight="true" outlineLevel="0" collapsed="false">
      <c r="A949" s="16" t="n">
        <v>45343</v>
      </c>
      <c r="B949" s="17" t="s">
        <v>17</v>
      </c>
      <c r="C949" s="17" t="s">
        <v>18</v>
      </c>
      <c r="D949" s="17" t="s">
        <v>19</v>
      </c>
      <c r="E949" s="17" t="s">
        <v>84</v>
      </c>
      <c r="F949" s="17" t="s">
        <v>511</v>
      </c>
      <c r="G949" s="18" t="n">
        <v>0</v>
      </c>
      <c r="H949" s="18" t="n">
        <v>165</v>
      </c>
      <c r="I949" s="18" t="n">
        <f aca="false">((I948 + G949) - H949)</f>
        <v>-520954.82</v>
      </c>
      <c r="J949" s="18" t="n">
        <v>-16.5</v>
      </c>
      <c r="K949" s="19" t="n">
        <v>10</v>
      </c>
      <c r="L949" s="17" t="s">
        <v>22</v>
      </c>
    </row>
    <row r="950" s="11" customFormat="true" ht="10.95" hidden="false" customHeight="true" outlineLevel="0" collapsed="false">
      <c r="A950" s="16" t="n">
        <v>45343</v>
      </c>
      <c r="B950" s="17" t="s">
        <v>17</v>
      </c>
      <c r="C950" s="17" t="s">
        <v>18</v>
      </c>
      <c r="D950" s="17" t="s">
        <v>19</v>
      </c>
      <c r="E950" s="17" t="s">
        <v>80</v>
      </c>
      <c r="F950" s="17" t="s">
        <v>511</v>
      </c>
      <c r="G950" s="18" t="n">
        <v>0</v>
      </c>
      <c r="H950" s="18" t="n">
        <v>110</v>
      </c>
      <c r="I950" s="18" t="n">
        <f aca="false">((I949 + G950) - H950)</f>
        <v>-521064.82</v>
      </c>
      <c r="J950" s="18" t="n">
        <v>-11</v>
      </c>
      <c r="K950" s="19" t="n">
        <v>10</v>
      </c>
      <c r="L950" s="17" t="s">
        <v>22</v>
      </c>
    </row>
    <row r="951" s="11" customFormat="true" ht="10.95" hidden="false" customHeight="true" outlineLevel="0" collapsed="false">
      <c r="A951" s="16" t="n">
        <v>45343</v>
      </c>
      <c r="B951" s="17" t="s">
        <v>17</v>
      </c>
      <c r="C951" s="17" t="s">
        <v>18</v>
      </c>
      <c r="D951" s="17" t="s">
        <v>19</v>
      </c>
      <c r="E951" s="17" t="s">
        <v>512</v>
      </c>
      <c r="F951" s="17" t="s">
        <v>511</v>
      </c>
      <c r="G951" s="18" t="n">
        <v>0</v>
      </c>
      <c r="H951" s="18" t="n">
        <v>188</v>
      </c>
      <c r="I951" s="18" t="n">
        <f aca="false">((I950 + G951) - H951)</f>
        <v>-521252.82</v>
      </c>
      <c r="J951" s="18" t="n">
        <v>-18.8</v>
      </c>
      <c r="K951" s="19" t="n">
        <v>10</v>
      </c>
      <c r="L951" s="17" t="s">
        <v>22</v>
      </c>
    </row>
    <row r="952" s="11" customFormat="true" ht="10.95" hidden="false" customHeight="true" outlineLevel="0" collapsed="false">
      <c r="A952" s="16" t="n">
        <v>45343</v>
      </c>
      <c r="B952" s="17" t="s">
        <v>17</v>
      </c>
      <c r="C952" s="17" t="s">
        <v>18</v>
      </c>
      <c r="D952" s="17" t="s">
        <v>19</v>
      </c>
      <c r="E952" s="17" t="s">
        <v>513</v>
      </c>
      <c r="F952" s="17" t="s">
        <v>511</v>
      </c>
      <c r="G952" s="18" t="n">
        <v>0</v>
      </c>
      <c r="H952" s="18" t="n">
        <v>990</v>
      </c>
      <c r="I952" s="18" t="n">
        <f aca="false">((I951 + G952) - H952)</f>
        <v>-522242.82</v>
      </c>
      <c r="J952" s="18" t="n">
        <v>-99</v>
      </c>
      <c r="K952" s="19" t="n">
        <v>10</v>
      </c>
      <c r="L952" s="17" t="s">
        <v>22</v>
      </c>
    </row>
    <row r="953" s="11" customFormat="true" ht="10.95" hidden="false" customHeight="true" outlineLevel="0" collapsed="false">
      <c r="A953" s="16" t="n">
        <v>45343</v>
      </c>
      <c r="B953" s="17" t="s">
        <v>17</v>
      </c>
      <c r="C953" s="17" t="s">
        <v>18</v>
      </c>
      <c r="D953" s="17" t="s">
        <v>19</v>
      </c>
      <c r="E953" s="17" t="s">
        <v>76</v>
      </c>
      <c r="F953" s="17" t="s">
        <v>514</v>
      </c>
      <c r="G953" s="18" t="n">
        <v>0</v>
      </c>
      <c r="H953" s="18" t="n">
        <v>470</v>
      </c>
      <c r="I953" s="18" t="n">
        <f aca="false">((I952 + G953) - H953)</f>
        <v>-522712.82</v>
      </c>
      <c r="J953" s="18" t="n">
        <v>-47</v>
      </c>
      <c r="K953" s="19" t="n">
        <v>10</v>
      </c>
      <c r="L953" s="17" t="s">
        <v>22</v>
      </c>
    </row>
    <row r="954" s="11" customFormat="true" ht="10.95" hidden="false" customHeight="true" outlineLevel="0" collapsed="false">
      <c r="A954" s="16" t="n">
        <v>45343</v>
      </c>
      <c r="B954" s="17" t="s">
        <v>17</v>
      </c>
      <c r="C954" s="17" t="s">
        <v>18</v>
      </c>
      <c r="D954" s="17" t="s">
        <v>19</v>
      </c>
      <c r="E954" s="17" t="s">
        <v>78</v>
      </c>
      <c r="F954" s="17" t="s">
        <v>515</v>
      </c>
      <c r="G954" s="18" t="n">
        <v>0</v>
      </c>
      <c r="H954" s="18" t="n">
        <v>188</v>
      </c>
      <c r="I954" s="18" t="n">
        <f aca="false">((I953 + G954) - H954)</f>
        <v>-522900.82</v>
      </c>
      <c r="J954" s="18" t="n">
        <v>-18.8</v>
      </c>
      <c r="K954" s="19" t="n">
        <v>10</v>
      </c>
      <c r="L954" s="17" t="s">
        <v>22</v>
      </c>
    </row>
    <row r="955" s="11" customFormat="true" ht="10.95" hidden="false" customHeight="true" outlineLevel="0" collapsed="false">
      <c r="A955" s="16" t="n">
        <v>45343</v>
      </c>
      <c r="B955" s="17" t="s">
        <v>17</v>
      </c>
      <c r="C955" s="17" t="s">
        <v>18</v>
      </c>
      <c r="D955" s="17" t="s">
        <v>19</v>
      </c>
      <c r="E955" s="17" t="s">
        <v>87</v>
      </c>
      <c r="F955" s="17" t="s">
        <v>515</v>
      </c>
      <c r="G955" s="18" t="n">
        <v>0</v>
      </c>
      <c r="H955" s="18" t="n">
        <v>110</v>
      </c>
      <c r="I955" s="18" t="n">
        <f aca="false">((I954 + G955) - H955)</f>
        <v>-523010.82</v>
      </c>
      <c r="J955" s="18" t="n">
        <v>0</v>
      </c>
      <c r="K955" s="19" t="n">
        <v>0</v>
      </c>
      <c r="L955" s="17" t="s">
        <v>88</v>
      </c>
    </row>
    <row r="956" s="11" customFormat="true" ht="10.95" hidden="false" customHeight="true" outlineLevel="0" collapsed="false">
      <c r="A956" s="16" t="n">
        <v>45343</v>
      </c>
      <c r="B956" s="17" t="s">
        <v>17</v>
      </c>
      <c r="C956" s="17" t="s">
        <v>18</v>
      </c>
      <c r="D956" s="17" t="s">
        <v>19</v>
      </c>
      <c r="E956" s="17" t="s">
        <v>89</v>
      </c>
      <c r="F956" s="17" t="s">
        <v>516</v>
      </c>
      <c r="G956" s="18" t="n">
        <v>0</v>
      </c>
      <c r="H956" s="18" t="n">
        <v>470</v>
      </c>
      <c r="I956" s="18" t="n">
        <f aca="false">((I955 + G956) - H956)</f>
        <v>-523480.82</v>
      </c>
      <c r="J956" s="18" t="n">
        <v>-47</v>
      </c>
      <c r="K956" s="19" t="n">
        <v>10</v>
      </c>
      <c r="L956" s="17" t="s">
        <v>22</v>
      </c>
    </row>
    <row r="957" s="11" customFormat="true" ht="10.95" hidden="false" customHeight="true" outlineLevel="0" collapsed="false">
      <c r="A957" s="16" t="n">
        <v>45343</v>
      </c>
      <c r="B957" s="17" t="s">
        <v>17</v>
      </c>
      <c r="C957" s="17" t="s">
        <v>18</v>
      </c>
      <c r="D957" s="17" t="s">
        <v>19</v>
      </c>
      <c r="E957" s="17" t="s">
        <v>87</v>
      </c>
      <c r="F957" s="17" t="s">
        <v>516</v>
      </c>
      <c r="G957" s="18" t="n">
        <v>0</v>
      </c>
      <c r="H957" s="18" t="n">
        <v>110</v>
      </c>
      <c r="I957" s="18" t="n">
        <f aca="false">((I956 + G957) - H957)</f>
        <v>-523590.82</v>
      </c>
      <c r="J957" s="18" t="n">
        <v>0</v>
      </c>
      <c r="K957" s="19" t="n">
        <v>0</v>
      </c>
      <c r="L957" s="17" t="s">
        <v>88</v>
      </c>
    </row>
    <row r="958" s="11" customFormat="true" ht="10.95" hidden="false" customHeight="true" outlineLevel="0" collapsed="false">
      <c r="A958" s="16" t="n">
        <v>45343</v>
      </c>
      <c r="B958" s="17" t="s">
        <v>17</v>
      </c>
      <c r="C958" s="17" t="s">
        <v>18</v>
      </c>
      <c r="D958" s="17" t="s">
        <v>19</v>
      </c>
      <c r="E958" s="17" t="s">
        <v>91</v>
      </c>
      <c r="F958" s="17" t="s">
        <v>517</v>
      </c>
      <c r="G958" s="18" t="n">
        <v>0</v>
      </c>
      <c r="H958" s="18" t="n">
        <v>1316</v>
      </c>
      <c r="I958" s="18" t="n">
        <f aca="false">((I957 + G958) - H958)</f>
        <v>-524906.82</v>
      </c>
      <c r="J958" s="18" t="n">
        <v>-131.6</v>
      </c>
      <c r="K958" s="19" t="n">
        <v>10</v>
      </c>
      <c r="L958" s="17" t="s">
        <v>22</v>
      </c>
    </row>
    <row r="959" s="11" customFormat="true" ht="10.95" hidden="false" customHeight="true" outlineLevel="0" collapsed="false">
      <c r="A959" s="16" t="n">
        <v>45343</v>
      </c>
      <c r="B959" s="17" t="s">
        <v>17</v>
      </c>
      <c r="C959" s="17" t="s">
        <v>18</v>
      </c>
      <c r="D959" s="17" t="s">
        <v>19</v>
      </c>
      <c r="E959" s="17" t="s">
        <v>93</v>
      </c>
      <c r="F959" s="17" t="s">
        <v>517</v>
      </c>
      <c r="G959" s="18" t="n">
        <v>0</v>
      </c>
      <c r="H959" s="18" t="n">
        <v>330</v>
      </c>
      <c r="I959" s="18" t="n">
        <f aca="false">((I958 + G959) - H959)</f>
        <v>-525236.82</v>
      </c>
      <c r="J959" s="18" t="n">
        <v>-33</v>
      </c>
      <c r="K959" s="19" t="n">
        <v>10</v>
      </c>
      <c r="L959" s="17" t="s">
        <v>22</v>
      </c>
    </row>
    <row r="960" s="11" customFormat="true" ht="10.95" hidden="false" customHeight="true" outlineLevel="0" collapsed="false">
      <c r="A960" s="16" t="n">
        <v>45343</v>
      </c>
      <c r="B960" s="17" t="s">
        <v>17</v>
      </c>
      <c r="C960" s="17" t="s">
        <v>18</v>
      </c>
      <c r="D960" s="17" t="s">
        <v>19</v>
      </c>
      <c r="E960" s="17" t="s">
        <v>94</v>
      </c>
      <c r="F960" s="17" t="s">
        <v>517</v>
      </c>
      <c r="G960" s="18" t="n">
        <v>0</v>
      </c>
      <c r="H960" s="18" t="n">
        <v>143</v>
      </c>
      <c r="I960" s="18" t="n">
        <f aca="false">((I959 + G960) - H960)</f>
        <v>-525379.82</v>
      </c>
      <c r="J960" s="18" t="n">
        <v>-14.3</v>
      </c>
      <c r="K960" s="19" t="n">
        <v>10</v>
      </c>
      <c r="L960" s="17" t="s">
        <v>22</v>
      </c>
    </row>
    <row r="961" s="11" customFormat="true" ht="10.95" hidden="false" customHeight="true" outlineLevel="0" collapsed="false">
      <c r="A961" s="16" t="n">
        <v>45343</v>
      </c>
      <c r="B961" s="17" t="s">
        <v>17</v>
      </c>
      <c r="C961" s="17" t="s">
        <v>18</v>
      </c>
      <c r="D961" s="17" t="s">
        <v>19</v>
      </c>
      <c r="E961" s="17" t="s">
        <v>95</v>
      </c>
      <c r="F961" s="17" t="s">
        <v>518</v>
      </c>
      <c r="G961" s="18" t="n">
        <v>0</v>
      </c>
      <c r="H961" s="18" t="n">
        <v>1034</v>
      </c>
      <c r="I961" s="18" t="n">
        <f aca="false">((I960 + G961) - H961)</f>
        <v>-526413.82</v>
      </c>
      <c r="J961" s="18" t="n">
        <v>-103.4</v>
      </c>
      <c r="K961" s="19" t="n">
        <v>10</v>
      </c>
      <c r="L961" s="17" t="s">
        <v>22</v>
      </c>
    </row>
    <row r="962" s="11" customFormat="true" ht="10.95" hidden="false" customHeight="true" outlineLevel="0" collapsed="false">
      <c r="A962" s="16" t="n">
        <v>45343</v>
      </c>
      <c r="B962" s="17" t="s">
        <v>17</v>
      </c>
      <c r="C962" s="17" t="s">
        <v>18</v>
      </c>
      <c r="D962" s="17" t="s">
        <v>19</v>
      </c>
      <c r="E962" s="17" t="s">
        <v>97</v>
      </c>
      <c r="F962" s="17" t="s">
        <v>518</v>
      </c>
      <c r="G962" s="18" t="n">
        <v>0</v>
      </c>
      <c r="H962" s="18" t="n">
        <v>110</v>
      </c>
      <c r="I962" s="18" t="n">
        <f aca="false">((I961 + G962) - H962)</f>
        <v>-526523.82</v>
      </c>
      <c r="J962" s="18" t="n">
        <v>-11</v>
      </c>
      <c r="K962" s="19" t="n">
        <v>10</v>
      </c>
      <c r="L962" s="17" t="s">
        <v>22</v>
      </c>
    </row>
    <row r="963" s="11" customFormat="true" ht="10.95" hidden="false" customHeight="true" outlineLevel="0" collapsed="false">
      <c r="A963" s="16" t="n">
        <v>45343</v>
      </c>
      <c r="B963" s="17" t="s">
        <v>17</v>
      </c>
      <c r="C963" s="17" t="s">
        <v>18</v>
      </c>
      <c r="D963" s="17" t="s">
        <v>19</v>
      </c>
      <c r="E963" s="17" t="s">
        <v>98</v>
      </c>
      <c r="F963" s="17" t="s">
        <v>519</v>
      </c>
      <c r="G963" s="18" t="n">
        <v>0</v>
      </c>
      <c r="H963" s="18" t="n">
        <v>282</v>
      </c>
      <c r="I963" s="18" t="n">
        <f aca="false">((I962 + G963) - H963)</f>
        <v>-526805.82</v>
      </c>
      <c r="J963" s="18" t="n">
        <v>-28.2</v>
      </c>
      <c r="K963" s="19" t="n">
        <v>10</v>
      </c>
      <c r="L963" s="17" t="s">
        <v>22</v>
      </c>
    </row>
    <row r="964" s="11" customFormat="true" ht="10.95" hidden="false" customHeight="true" outlineLevel="0" collapsed="false">
      <c r="A964" s="16" t="n">
        <v>45343</v>
      </c>
      <c r="B964" s="17" t="s">
        <v>17</v>
      </c>
      <c r="C964" s="17" t="s">
        <v>18</v>
      </c>
      <c r="D964" s="17" t="s">
        <v>19</v>
      </c>
      <c r="E964" s="17" t="s">
        <v>100</v>
      </c>
      <c r="F964" s="17" t="s">
        <v>520</v>
      </c>
      <c r="G964" s="18" t="n">
        <v>0</v>
      </c>
      <c r="H964" s="18" t="n">
        <v>282</v>
      </c>
      <c r="I964" s="18" t="n">
        <f aca="false">((I963 + G964) - H964)</f>
        <v>-527087.82</v>
      </c>
      <c r="J964" s="18" t="n">
        <v>-28.2</v>
      </c>
      <c r="K964" s="19" t="n">
        <v>10</v>
      </c>
      <c r="L964" s="17" t="s">
        <v>22</v>
      </c>
    </row>
    <row r="965" s="11" customFormat="true" ht="10.95" hidden="false" customHeight="true" outlineLevel="0" collapsed="false">
      <c r="A965" s="16" t="n">
        <v>45343</v>
      </c>
      <c r="B965" s="17" t="s">
        <v>17</v>
      </c>
      <c r="C965" s="17" t="s">
        <v>18</v>
      </c>
      <c r="D965" s="17" t="s">
        <v>19</v>
      </c>
      <c r="E965" s="17" t="s">
        <v>102</v>
      </c>
      <c r="F965" s="17" t="s">
        <v>521</v>
      </c>
      <c r="G965" s="18" t="n">
        <v>0</v>
      </c>
      <c r="H965" s="18" t="n">
        <v>564</v>
      </c>
      <c r="I965" s="18" t="n">
        <f aca="false">((I964 + G965) - H965)</f>
        <v>-527651.82</v>
      </c>
      <c r="J965" s="18" t="n">
        <v>-56.4</v>
      </c>
      <c r="K965" s="19" t="n">
        <v>10</v>
      </c>
      <c r="L965" s="17" t="s">
        <v>22</v>
      </c>
    </row>
    <row r="966" s="11" customFormat="true" ht="10.95" hidden="false" customHeight="true" outlineLevel="0" collapsed="false">
      <c r="A966" s="16" t="n">
        <v>45343</v>
      </c>
      <c r="B966" s="17" t="s">
        <v>17</v>
      </c>
      <c r="C966" s="17" t="s">
        <v>18</v>
      </c>
      <c r="D966" s="17" t="s">
        <v>19</v>
      </c>
      <c r="E966" s="17" t="s">
        <v>104</v>
      </c>
      <c r="F966" s="17" t="s">
        <v>522</v>
      </c>
      <c r="G966" s="18" t="n">
        <v>0</v>
      </c>
      <c r="H966" s="18" t="n">
        <v>1034</v>
      </c>
      <c r="I966" s="18" t="n">
        <f aca="false">((I965 + G966) - H966)</f>
        <v>-528685.82</v>
      </c>
      <c r="J966" s="18" t="n">
        <v>-103.4</v>
      </c>
      <c r="K966" s="19" t="n">
        <v>10</v>
      </c>
      <c r="L966" s="17" t="s">
        <v>22</v>
      </c>
    </row>
    <row r="967" s="11" customFormat="true" ht="10.95" hidden="false" customHeight="true" outlineLevel="0" collapsed="false">
      <c r="A967" s="16" t="n">
        <v>45343</v>
      </c>
      <c r="B967" s="17" t="s">
        <v>17</v>
      </c>
      <c r="C967" s="17" t="s">
        <v>18</v>
      </c>
      <c r="D967" s="17" t="s">
        <v>19</v>
      </c>
      <c r="E967" s="17" t="s">
        <v>106</v>
      </c>
      <c r="F967" s="17" t="s">
        <v>523</v>
      </c>
      <c r="G967" s="18" t="n">
        <v>0</v>
      </c>
      <c r="H967" s="18" t="n">
        <v>94</v>
      </c>
      <c r="I967" s="18" t="n">
        <f aca="false">((I966 + G967) - H967)</f>
        <v>-528779.82</v>
      </c>
      <c r="J967" s="18" t="n">
        <v>-9.4</v>
      </c>
      <c r="K967" s="19" t="n">
        <v>10</v>
      </c>
      <c r="L967" s="17" t="s">
        <v>22</v>
      </c>
    </row>
    <row r="968" s="11" customFormat="true" ht="10.95" hidden="false" customHeight="true" outlineLevel="0" collapsed="false">
      <c r="A968" s="16" t="n">
        <v>45343</v>
      </c>
      <c r="B968" s="17" t="s">
        <v>17</v>
      </c>
      <c r="C968" s="17" t="s">
        <v>18</v>
      </c>
      <c r="D968" s="17" t="s">
        <v>19</v>
      </c>
      <c r="E968" s="17" t="s">
        <v>108</v>
      </c>
      <c r="F968" s="17" t="s">
        <v>524</v>
      </c>
      <c r="G968" s="18" t="n">
        <v>0</v>
      </c>
      <c r="H968" s="18" t="n">
        <v>658</v>
      </c>
      <c r="I968" s="18" t="n">
        <f aca="false">((I967 + G968) - H968)</f>
        <v>-529437.82</v>
      </c>
      <c r="J968" s="18" t="n">
        <v>-65.8</v>
      </c>
      <c r="K968" s="19" t="n">
        <v>10</v>
      </c>
      <c r="L968" s="17" t="s">
        <v>22</v>
      </c>
    </row>
    <row r="969" s="11" customFormat="true" ht="10.95" hidden="false" customHeight="true" outlineLevel="0" collapsed="false">
      <c r="A969" s="16" t="n">
        <v>45343</v>
      </c>
      <c r="B969" s="17" t="s">
        <v>17</v>
      </c>
      <c r="C969" s="17" t="s">
        <v>18</v>
      </c>
      <c r="D969" s="17" t="s">
        <v>19</v>
      </c>
      <c r="E969" s="17" t="s">
        <v>116</v>
      </c>
      <c r="F969" s="17" t="s">
        <v>525</v>
      </c>
      <c r="G969" s="18" t="n">
        <v>0</v>
      </c>
      <c r="H969" s="18" t="n">
        <v>1162</v>
      </c>
      <c r="I969" s="18" t="n">
        <f aca="false">((I968 + G969) - H969)</f>
        <v>-530599.82</v>
      </c>
      <c r="J969" s="18" t="n">
        <v>-116.2</v>
      </c>
      <c r="K969" s="19" t="n">
        <v>10</v>
      </c>
      <c r="L969" s="17" t="s">
        <v>22</v>
      </c>
    </row>
    <row r="970" s="11" customFormat="true" ht="10.95" hidden="false" customHeight="true" outlineLevel="0" collapsed="false">
      <c r="A970" s="16" t="n">
        <v>45343</v>
      </c>
      <c r="B970" s="17" t="s">
        <v>17</v>
      </c>
      <c r="C970" s="17" t="s">
        <v>18</v>
      </c>
      <c r="D970" s="17" t="s">
        <v>19</v>
      </c>
      <c r="E970" s="17" t="s">
        <v>233</v>
      </c>
      <c r="F970" s="17" t="s">
        <v>526</v>
      </c>
      <c r="G970" s="18" t="n">
        <v>0</v>
      </c>
      <c r="H970" s="18" t="n">
        <v>71.5</v>
      </c>
      <c r="I970" s="18" t="n">
        <f aca="false">((I969 + G970) - H970)</f>
        <v>-530671.32</v>
      </c>
      <c r="J970" s="18" t="n">
        <v>-7.15</v>
      </c>
      <c r="K970" s="19" t="n">
        <v>10</v>
      </c>
      <c r="L970" s="17" t="s">
        <v>22</v>
      </c>
    </row>
    <row r="971" s="11" customFormat="true" ht="10.95" hidden="false" customHeight="true" outlineLevel="0" collapsed="false">
      <c r="A971" s="16" t="n">
        <v>45343</v>
      </c>
      <c r="B971" s="17" t="s">
        <v>17</v>
      </c>
      <c r="C971" s="17" t="s">
        <v>18</v>
      </c>
      <c r="D971" s="17" t="s">
        <v>19</v>
      </c>
      <c r="E971" s="17" t="s">
        <v>52</v>
      </c>
      <c r="F971" s="17" t="s">
        <v>527</v>
      </c>
      <c r="G971" s="18" t="n">
        <v>0</v>
      </c>
      <c r="H971" s="18" t="n">
        <v>1000.05</v>
      </c>
      <c r="I971" s="18" t="n">
        <f aca="false">((I970 + G971) - H971)</f>
        <v>-531671.37</v>
      </c>
      <c r="J971" s="18" t="n">
        <v>-100.01</v>
      </c>
      <c r="K971" s="19" t="n">
        <v>10</v>
      </c>
      <c r="L971" s="17" t="s">
        <v>22</v>
      </c>
    </row>
    <row r="972" s="11" customFormat="true" ht="10.95" hidden="false" customHeight="true" outlineLevel="0" collapsed="false">
      <c r="A972" s="16" t="n">
        <v>45343</v>
      </c>
      <c r="B972" s="17" t="s">
        <v>17</v>
      </c>
      <c r="C972" s="17" t="s">
        <v>18</v>
      </c>
      <c r="D972" s="17" t="s">
        <v>19</v>
      </c>
      <c r="E972" s="17" t="s">
        <v>528</v>
      </c>
      <c r="F972" s="17" t="s">
        <v>527</v>
      </c>
      <c r="G972" s="18" t="n">
        <v>0</v>
      </c>
      <c r="H972" s="18" t="n">
        <v>80</v>
      </c>
      <c r="I972" s="18" t="n">
        <f aca="false">((I971 + G972) - H972)</f>
        <v>-531751.37</v>
      </c>
      <c r="J972" s="18" t="n">
        <v>-8</v>
      </c>
      <c r="K972" s="19" t="n">
        <v>10</v>
      </c>
      <c r="L972" s="17" t="s">
        <v>22</v>
      </c>
    </row>
    <row r="973" s="11" customFormat="true" ht="10.95" hidden="false" customHeight="true" outlineLevel="0" collapsed="false">
      <c r="A973" s="16" t="n">
        <v>45343</v>
      </c>
      <c r="B973" s="17" t="s">
        <v>17</v>
      </c>
      <c r="C973" s="17" t="s">
        <v>18</v>
      </c>
      <c r="D973" s="17" t="s">
        <v>19</v>
      </c>
      <c r="E973" s="17" t="s">
        <v>26</v>
      </c>
      <c r="F973" s="17" t="s">
        <v>529</v>
      </c>
      <c r="G973" s="18" t="n">
        <v>0</v>
      </c>
      <c r="H973" s="18" t="n">
        <v>595</v>
      </c>
      <c r="I973" s="18" t="n">
        <f aca="false">((I972 + G973) - H973)</f>
        <v>-532346.37</v>
      </c>
      <c r="J973" s="18" t="n">
        <v>-59.5</v>
      </c>
      <c r="K973" s="19" t="n">
        <v>10</v>
      </c>
      <c r="L973" s="17" t="s">
        <v>22</v>
      </c>
    </row>
    <row r="974" s="11" customFormat="true" ht="10.95" hidden="false" customHeight="true" outlineLevel="0" collapsed="false">
      <c r="A974" s="16" t="n">
        <v>45343</v>
      </c>
      <c r="B974" s="17" t="s">
        <v>17</v>
      </c>
      <c r="C974" s="17" t="s">
        <v>18</v>
      </c>
      <c r="D974" s="17" t="s">
        <v>19</v>
      </c>
      <c r="E974" s="17" t="s">
        <v>530</v>
      </c>
      <c r="F974" s="17" t="s">
        <v>529</v>
      </c>
      <c r="G974" s="18" t="n">
        <v>0</v>
      </c>
      <c r="H974" s="18" t="n">
        <v>85</v>
      </c>
      <c r="I974" s="18" t="n">
        <f aca="false">((I973 + G974) - H974)</f>
        <v>-532431.37</v>
      </c>
      <c r="J974" s="18" t="n">
        <v>-8.5</v>
      </c>
      <c r="K974" s="19" t="n">
        <v>10</v>
      </c>
      <c r="L974" s="17" t="s">
        <v>22</v>
      </c>
    </row>
    <row r="975" s="11" customFormat="true" ht="10.95" hidden="false" customHeight="true" outlineLevel="0" collapsed="false">
      <c r="A975" s="16" t="n">
        <v>45343</v>
      </c>
      <c r="B975" s="17" t="s">
        <v>17</v>
      </c>
      <c r="C975" s="17" t="s">
        <v>18</v>
      </c>
      <c r="D975" s="17" t="s">
        <v>19</v>
      </c>
      <c r="E975" s="17" t="s">
        <v>119</v>
      </c>
      <c r="F975" s="17" t="s">
        <v>531</v>
      </c>
      <c r="G975" s="18" t="n">
        <v>0</v>
      </c>
      <c r="H975" s="18" t="n">
        <v>332</v>
      </c>
      <c r="I975" s="18" t="n">
        <f aca="false">((I974 + G975) - H975)</f>
        <v>-532763.37</v>
      </c>
      <c r="J975" s="18" t="n">
        <v>-33.2</v>
      </c>
      <c r="K975" s="19" t="n">
        <v>10</v>
      </c>
      <c r="L975" s="17" t="s">
        <v>22</v>
      </c>
    </row>
    <row r="976" s="11" customFormat="true" ht="10.95" hidden="false" customHeight="true" outlineLevel="0" collapsed="false">
      <c r="A976" s="16" t="n">
        <v>45343</v>
      </c>
      <c r="B976" s="17" t="s">
        <v>17</v>
      </c>
      <c r="C976" s="17" t="s">
        <v>18</v>
      </c>
      <c r="D976" s="17" t="s">
        <v>19</v>
      </c>
      <c r="E976" s="17" t="s">
        <v>121</v>
      </c>
      <c r="F976" s="17" t="s">
        <v>531</v>
      </c>
      <c r="G976" s="18" t="n">
        <v>0</v>
      </c>
      <c r="H976" s="18" t="n">
        <v>1743</v>
      </c>
      <c r="I976" s="18" t="n">
        <f aca="false">((I975 + G976) - H976)</f>
        <v>-534506.37</v>
      </c>
      <c r="J976" s="18" t="n">
        <v>-174.3</v>
      </c>
      <c r="K976" s="19" t="n">
        <v>10</v>
      </c>
      <c r="L976" s="17" t="s">
        <v>22</v>
      </c>
    </row>
    <row r="977" s="11" customFormat="true" ht="10.95" hidden="false" customHeight="true" outlineLevel="0" collapsed="false">
      <c r="A977" s="16" t="n">
        <v>45343</v>
      </c>
      <c r="B977" s="17" t="s">
        <v>17</v>
      </c>
      <c r="C977" s="17" t="s">
        <v>18</v>
      </c>
      <c r="D977" s="17" t="s">
        <v>19</v>
      </c>
      <c r="E977" s="17" t="s">
        <v>122</v>
      </c>
      <c r="F977" s="17" t="s">
        <v>531</v>
      </c>
      <c r="G977" s="18" t="n">
        <v>0</v>
      </c>
      <c r="H977" s="18" t="n">
        <v>83</v>
      </c>
      <c r="I977" s="18" t="n">
        <f aca="false">((I976 + G977) - H977)</f>
        <v>-534589.37</v>
      </c>
      <c r="J977" s="18" t="n">
        <v>-8.3</v>
      </c>
      <c r="K977" s="19" t="n">
        <v>10</v>
      </c>
      <c r="L977" s="17" t="s">
        <v>22</v>
      </c>
    </row>
    <row r="978" s="11" customFormat="true" ht="10.95" hidden="false" customHeight="true" outlineLevel="0" collapsed="false">
      <c r="A978" s="16" t="n">
        <v>45343</v>
      </c>
      <c r="B978" s="17" t="s">
        <v>17</v>
      </c>
      <c r="C978" s="17" t="s">
        <v>18</v>
      </c>
      <c r="D978" s="17" t="s">
        <v>19</v>
      </c>
      <c r="E978" s="17" t="s">
        <v>124</v>
      </c>
      <c r="F978" s="17" t="s">
        <v>531</v>
      </c>
      <c r="G978" s="18" t="n">
        <v>0</v>
      </c>
      <c r="H978" s="18" t="n">
        <v>249</v>
      </c>
      <c r="I978" s="18" t="n">
        <f aca="false">((I977 + G978) - H978)</f>
        <v>-534838.37</v>
      </c>
      <c r="J978" s="18" t="n">
        <v>-24.9</v>
      </c>
      <c r="K978" s="19" t="n">
        <v>10</v>
      </c>
      <c r="L978" s="17" t="s">
        <v>22</v>
      </c>
    </row>
    <row r="979" s="11" customFormat="true" ht="10.95" hidden="false" customHeight="true" outlineLevel="0" collapsed="false">
      <c r="A979" s="16" t="n">
        <v>45343</v>
      </c>
      <c r="B979" s="17" t="s">
        <v>17</v>
      </c>
      <c r="C979" s="17" t="s">
        <v>18</v>
      </c>
      <c r="D979" s="17" t="s">
        <v>19</v>
      </c>
      <c r="E979" s="17" t="s">
        <v>125</v>
      </c>
      <c r="F979" s="17" t="s">
        <v>531</v>
      </c>
      <c r="G979" s="18" t="n">
        <v>0</v>
      </c>
      <c r="H979" s="18" t="n">
        <v>83</v>
      </c>
      <c r="I979" s="18" t="n">
        <f aca="false">((I978 + G979) - H979)</f>
        <v>-534921.37</v>
      </c>
      <c r="J979" s="18" t="n">
        <v>-8.3</v>
      </c>
      <c r="K979" s="19" t="n">
        <v>10</v>
      </c>
      <c r="L979" s="17" t="s">
        <v>22</v>
      </c>
    </row>
    <row r="980" s="11" customFormat="true" ht="10.95" hidden="false" customHeight="true" outlineLevel="0" collapsed="false">
      <c r="A980" s="16" t="n">
        <v>45343</v>
      </c>
      <c r="B980" s="17" t="s">
        <v>17</v>
      </c>
      <c r="C980" s="17" t="s">
        <v>18</v>
      </c>
      <c r="D980" s="17" t="s">
        <v>19</v>
      </c>
      <c r="E980" s="17" t="s">
        <v>126</v>
      </c>
      <c r="F980" s="17" t="s">
        <v>531</v>
      </c>
      <c r="G980" s="18" t="n">
        <v>0</v>
      </c>
      <c r="H980" s="18" t="n">
        <v>94.5</v>
      </c>
      <c r="I980" s="18" t="n">
        <f aca="false">((I979 + G980) - H980)</f>
        <v>-535015.87</v>
      </c>
      <c r="J980" s="18" t="n">
        <v>-9.45</v>
      </c>
      <c r="K980" s="19" t="n">
        <v>10</v>
      </c>
      <c r="L980" s="17" t="s">
        <v>22</v>
      </c>
    </row>
    <row r="981" s="11" customFormat="true" ht="10.95" hidden="false" customHeight="true" outlineLevel="0" collapsed="false">
      <c r="A981" s="16" t="n">
        <v>45343</v>
      </c>
      <c r="B981" s="17" t="s">
        <v>17</v>
      </c>
      <c r="C981" s="17" t="s">
        <v>18</v>
      </c>
      <c r="D981" s="17" t="s">
        <v>19</v>
      </c>
      <c r="E981" s="17" t="s">
        <v>127</v>
      </c>
      <c r="F981" s="17" t="s">
        <v>531</v>
      </c>
      <c r="G981" s="18" t="n">
        <v>0</v>
      </c>
      <c r="H981" s="18" t="n">
        <v>83</v>
      </c>
      <c r="I981" s="18" t="n">
        <f aca="false">((I980 + G981) - H981)</f>
        <v>-535098.87</v>
      </c>
      <c r="J981" s="18" t="n">
        <v>-8.3</v>
      </c>
      <c r="K981" s="19" t="n">
        <v>10</v>
      </c>
      <c r="L981" s="17" t="s">
        <v>22</v>
      </c>
    </row>
    <row r="982" s="11" customFormat="true" ht="10.95" hidden="false" customHeight="true" outlineLevel="0" collapsed="false">
      <c r="A982" s="16" t="n">
        <v>45343</v>
      </c>
      <c r="B982" s="17" t="s">
        <v>17</v>
      </c>
      <c r="C982" s="17" t="s">
        <v>18</v>
      </c>
      <c r="D982" s="17" t="s">
        <v>19</v>
      </c>
      <c r="E982" s="17" t="s">
        <v>128</v>
      </c>
      <c r="F982" s="17" t="s">
        <v>531</v>
      </c>
      <c r="G982" s="18" t="n">
        <v>0</v>
      </c>
      <c r="H982" s="18" t="n">
        <v>83</v>
      </c>
      <c r="I982" s="18" t="n">
        <f aca="false">((I981 + G982) - H982)</f>
        <v>-535181.87</v>
      </c>
      <c r="J982" s="18" t="n">
        <v>-8.3</v>
      </c>
      <c r="K982" s="19" t="n">
        <v>10</v>
      </c>
      <c r="L982" s="17" t="s">
        <v>22</v>
      </c>
    </row>
    <row r="983" s="11" customFormat="true" ht="10.95" hidden="false" customHeight="true" outlineLevel="0" collapsed="false">
      <c r="A983" s="16" t="n">
        <v>45343</v>
      </c>
      <c r="B983" s="17" t="s">
        <v>17</v>
      </c>
      <c r="C983" s="17" t="s">
        <v>18</v>
      </c>
      <c r="D983" s="17" t="s">
        <v>19</v>
      </c>
      <c r="E983" s="17" t="s">
        <v>129</v>
      </c>
      <c r="F983" s="17" t="s">
        <v>531</v>
      </c>
      <c r="G983" s="18" t="n">
        <v>0</v>
      </c>
      <c r="H983" s="18" t="n">
        <v>166</v>
      </c>
      <c r="I983" s="18" t="n">
        <f aca="false">((I982 + G983) - H983)</f>
        <v>-535347.87</v>
      </c>
      <c r="J983" s="18" t="n">
        <v>-16.6</v>
      </c>
      <c r="K983" s="19" t="n">
        <v>10</v>
      </c>
      <c r="L983" s="17" t="s">
        <v>22</v>
      </c>
    </row>
    <row r="984" s="11" customFormat="true" ht="10.95" hidden="false" customHeight="true" outlineLevel="0" collapsed="false">
      <c r="A984" s="16" t="n">
        <v>45343</v>
      </c>
      <c r="B984" s="17" t="s">
        <v>17</v>
      </c>
      <c r="C984" s="17" t="s">
        <v>18</v>
      </c>
      <c r="D984" s="17" t="s">
        <v>19</v>
      </c>
      <c r="E984" s="17" t="s">
        <v>130</v>
      </c>
      <c r="F984" s="17" t="s">
        <v>531</v>
      </c>
      <c r="G984" s="18" t="n">
        <v>0</v>
      </c>
      <c r="H984" s="18" t="n">
        <v>664</v>
      </c>
      <c r="I984" s="18" t="n">
        <f aca="false">((I983 + G984) - H984)</f>
        <v>-536011.87</v>
      </c>
      <c r="J984" s="18" t="n">
        <v>-66.4</v>
      </c>
      <c r="K984" s="19" t="n">
        <v>10</v>
      </c>
      <c r="L984" s="17" t="s">
        <v>22</v>
      </c>
    </row>
    <row r="985" s="11" customFormat="true" ht="10.95" hidden="false" customHeight="true" outlineLevel="0" collapsed="false">
      <c r="A985" s="16" t="n">
        <v>45343</v>
      </c>
      <c r="B985" s="17" t="s">
        <v>17</v>
      </c>
      <c r="C985" s="17" t="s">
        <v>18</v>
      </c>
      <c r="D985" s="17" t="s">
        <v>19</v>
      </c>
      <c r="E985" s="17" t="s">
        <v>131</v>
      </c>
      <c r="F985" s="17" t="s">
        <v>531</v>
      </c>
      <c r="G985" s="18" t="n">
        <v>0</v>
      </c>
      <c r="H985" s="18" t="n">
        <v>94.5</v>
      </c>
      <c r="I985" s="18" t="n">
        <f aca="false">((I984 + G985) - H985)</f>
        <v>-536106.37</v>
      </c>
      <c r="J985" s="18" t="n">
        <v>-9.45</v>
      </c>
      <c r="K985" s="19" t="n">
        <v>10</v>
      </c>
      <c r="L985" s="17" t="s">
        <v>22</v>
      </c>
    </row>
    <row r="986" s="11" customFormat="true" ht="10.95" hidden="false" customHeight="true" outlineLevel="0" collapsed="false">
      <c r="A986" s="16" t="n">
        <v>45343</v>
      </c>
      <c r="B986" s="17" t="s">
        <v>17</v>
      </c>
      <c r="C986" s="17" t="s">
        <v>18</v>
      </c>
      <c r="D986" s="17" t="s">
        <v>19</v>
      </c>
      <c r="E986" s="17" t="s">
        <v>132</v>
      </c>
      <c r="F986" s="17" t="s">
        <v>531</v>
      </c>
      <c r="G986" s="18" t="n">
        <v>0</v>
      </c>
      <c r="H986" s="18" t="n">
        <v>100</v>
      </c>
      <c r="I986" s="18" t="n">
        <f aca="false">((I985 + G986) - H986)</f>
        <v>-536206.37</v>
      </c>
      <c r="J986" s="18" t="n">
        <v>-10</v>
      </c>
      <c r="K986" s="19" t="n">
        <v>10</v>
      </c>
      <c r="L986" s="17" t="s">
        <v>22</v>
      </c>
    </row>
    <row r="987" s="11" customFormat="true" ht="10.95" hidden="false" customHeight="true" outlineLevel="0" collapsed="false">
      <c r="A987" s="16" t="n">
        <v>45343</v>
      </c>
      <c r="B987" s="17" t="s">
        <v>17</v>
      </c>
      <c r="C987" s="17" t="s">
        <v>18</v>
      </c>
      <c r="D987" s="17" t="s">
        <v>19</v>
      </c>
      <c r="E987" s="17" t="s">
        <v>133</v>
      </c>
      <c r="F987" s="17" t="s">
        <v>531</v>
      </c>
      <c r="G987" s="18" t="n">
        <v>0</v>
      </c>
      <c r="H987" s="18" t="n">
        <v>83</v>
      </c>
      <c r="I987" s="18" t="n">
        <f aca="false">((I986 + G987) - H987)</f>
        <v>-536289.37</v>
      </c>
      <c r="J987" s="18" t="n">
        <v>-8.3</v>
      </c>
      <c r="K987" s="19" t="n">
        <v>10</v>
      </c>
      <c r="L987" s="17" t="s">
        <v>22</v>
      </c>
    </row>
    <row r="988" s="11" customFormat="true" ht="10.95" hidden="false" customHeight="true" outlineLevel="0" collapsed="false">
      <c r="A988" s="16" t="n">
        <v>45343</v>
      </c>
      <c r="B988" s="17" t="s">
        <v>17</v>
      </c>
      <c r="C988" s="17" t="s">
        <v>18</v>
      </c>
      <c r="D988" s="17" t="s">
        <v>19</v>
      </c>
      <c r="E988" s="17" t="s">
        <v>134</v>
      </c>
      <c r="F988" s="17" t="s">
        <v>531</v>
      </c>
      <c r="G988" s="18" t="n">
        <v>0</v>
      </c>
      <c r="H988" s="18" t="n">
        <v>100</v>
      </c>
      <c r="I988" s="18" t="n">
        <f aca="false">((I987 + G988) - H988)</f>
        <v>-536389.37</v>
      </c>
      <c r="J988" s="18" t="n">
        <v>-10</v>
      </c>
      <c r="K988" s="19" t="n">
        <v>10</v>
      </c>
      <c r="L988" s="17" t="s">
        <v>22</v>
      </c>
    </row>
    <row r="989" s="11" customFormat="true" ht="10.95" hidden="false" customHeight="true" outlineLevel="0" collapsed="false">
      <c r="A989" s="16" t="n">
        <v>45343</v>
      </c>
      <c r="B989" s="17" t="s">
        <v>17</v>
      </c>
      <c r="C989" s="17" t="s">
        <v>18</v>
      </c>
      <c r="D989" s="17" t="s">
        <v>19</v>
      </c>
      <c r="E989" s="17" t="s">
        <v>136</v>
      </c>
      <c r="F989" s="17" t="s">
        <v>531</v>
      </c>
      <c r="G989" s="18" t="n">
        <v>0</v>
      </c>
      <c r="H989" s="18" t="n">
        <v>249</v>
      </c>
      <c r="I989" s="18" t="n">
        <f aca="false">((I988 + G989) - H989)</f>
        <v>-536638.37</v>
      </c>
      <c r="J989" s="18" t="n">
        <v>-24.9</v>
      </c>
      <c r="K989" s="19" t="n">
        <v>10</v>
      </c>
      <c r="L989" s="17" t="s">
        <v>22</v>
      </c>
    </row>
    <row r="990" s="11" customFormat="true" ht="10.95" hidden="false" customHeight="true" outlineLevel="0" collapsed="false">
      <c r="A990" s="16" t="n">
        <v>45343</v>
      </c>
      <c r="B990" s="17" t="s">
        <v>17</v>
      </c>
      <c r="C990" s="17" t="s">
        <v>18</v>
      </c>
      <c r="D990" s="17" t="s">
        <v>19</v>
      </c>
      <c r="E990" s="17" t="s">
        <v>137</v>
      </c>
      <c r="F990" s="17" t="s">
        <v>531</v>
      </c>
      <c r="G990" s="18" t="n">
        <v>0</v>
      </c>
      <c r="H990" s="18" t="n">
        <v>498</v>
      </c>
      <c r="I990" s="18" t="n">
        <f aca="false">((I989 + G990) - H990)</f>
        <v>-537136.37</v>
      </c>
      <c r="J990" s="18" t="n">
        <v>-49.8</v>
      </c>
      <c r="K990" s="19" t="n">
        <v>10</v>
      </c>
      <c r="L990" s="17" t="s">
        <v>22</v>
      </c>
    </row>
    <row r="991" s="11" customFormat="true" ht="10.95" hidden="false" customHeight="true" outlineLevel="0" collapsed="false">
      <c r="A991" s="16" t="n">
        <v>45343</v>
      </c>
      <c r="B991" s="17" t="s">
        <v>17</v>
      </c>
      <c r="C991" s="17" t="s">
        <v>18</v>
      </c>
      <c r="D991" s="17" t="s">
        <v>19</v>
      </c>
      <c r="E991" s="17" t="s">
        <v>532</v>
      </c>
      <c r="F991" s="17" t="s">
        <v>531</v>
      </c>
      <c r="G991" s="18" t="n">
        <v>0</v>
      </c>
      <c r="H991" s="18" t="n">
        <v>99</v>
      </c>
      <c r="I991" s="18" t="n">
        <f aca="false">((I990 + G991) - H991)</f>
        <v>-537235.37</v>
      </c>
      <c r="J991" s="18" t="n">
        <v>-9.9</v>
      </c>
      <c r="K991" s="19" t="n">
        <v>10</v>
      </c>
      <c r="L991" s="17" t="s">
        <v>22</v>
      </c>
    </row>
    <row r="992" s="11" customFormat="true" ht="10.95" hidden="false" customHeight="true" outlineLevel="0" collapsed="false">
      <c r="A992" s="16" t="n">
        <v>45343</v>
      </c>
      <c r="B992" s="17" t="s">
        <v>17</v>
      </c>
      <c r="C992" s="17" t="s">
        <v>18</v>
      </c>
      <c r="D992" s="17" t="s">
        <v>19</v>
      </c>
      <c r="E992" s="17" t="s">
        <v>138</v>
      </c>
      <c r="F992" s="17" t="s">
        <v>531</v>
      </c>
      <c r="G992" s="18" t="n">
        <v>0</v>
      </c>
      <c r="H992" s="18" t="n">
        <v>166</v>
      </c>
      <c r="I992" s="18" t="n">
        <f aca="false">((I991 + G992) - H992)</f>
        <v>-537401.37</v>
      </c>
      <c r="J992" s="18" t="n">
        <v>-16.6</v>
      </c>
      <c r="K992" s="19" t="n">
        <v>10</v>
      </c>
      <c r="L992" s="17" t="s">
        <v>22</v>
      </c>
    </row>
    <row r="993" s="11" customFormat="true" ht="10.95" hidden="false" customHeight="true" outlineLevel="0" collapsed="false">
      <c r="A993" s="16" t="n">
        <v>45343</v>
      </c>
      <c r="B993" s="17" t="s">
        <v>17</v>
      </c>
      <c r="C993" s="17" t="s">
        <v>18</v>
      </c>
      <c r="D993" s="17" t="s">
        <v>19</v>
      </c>
      <c r="E993" s="17" t="s">
        <v>139</v>
      </c>
      <c r="F993" s="17" t="s">
        <v>531</v>
      </c>
      <c r="G993" s="18" t="n">
        <v>0</v>
      </c>
      <c r="H993" s="18" t="n">
        <v>332</v>
      </c>
      <c r="I993" s="18" t="n">
        <f aca="false">((I992 + G993) - H993)</f>
        <v>-537733.37</v>
      </c>
      <c r="J993" s="18" t="n">
        <v>-33.2</v>
      </c>
      <c r="K993" s="19" t="n">
        <v>10</v>
      </c>
      <c r="L993" s="17" t="s">
        <v>22</v>
      </c>
    </row>
    <row r="994" s="11" customFormat="true" ht="10.95" hidden="false" customHeight="true" outlineLevel="0" collapsed="false">
      <c r="A994" s="16" t="n">
        <v>45343</v>
      </c>
      <c r="B994" s="17" t="s">
        <v>17</v>
      </c>
      <c r="C994" s="17" t="s">
        <v>18</v>
      </c>
      <c r="D994" s="17" t="s">
        <v>19</v>
      </c>
      <c r="E994" s="17" t="s">
        <v>427</v>
      </c>
      <c r="F994" s="17" t="s">
        <v>531</v>
      </c>
      <c r="G994" s="18" t="n">
        <v>0</v>
      </c>
      <c r="H994" s="18" t="n">
        <v>94.5</v>
      </c>
      <c r="I994" s="18" t="n">
        <f aca="false">((I993 + G994) - H994)</f>
        <v>-537827.87</v>
      </c>
      <c r="J994" s="18" t="n">
        <v>-9.45</v>
      </c>
      <c r="K994" s="19" t="n">
        <v>10</v>
      </c>
      <c r="L994" s="17" t="s">
        <v>22</v>
      </c>
    </row>
    <row r="995" s="11" customFormat="true" ht="10.95" hidden="false" customHeight="true" outlineLevel="0" collapsed="false">
      <c r="A995" s="16" t="n">
        <v>45343</v>
      </c>
      <c r="B995" s="17" t="s">
        <v>17</v>
      </c>
      <c r="C995" s="17" t="s">
        <v>18</v>
      </c>
      <c r="D995" s="17" t="s">
        <v>19</v>
      </c>
      <c r="E995" s="17" t="s">
        <v>140</v>
      </c>
      <c r="F995" s="17" t="s">
        <v>531</v>
      </c>
      <c r="G995" s="18" t="n">
        <v>0</v>
      </c>
      <c r="H995" s="18" t="n">
        <v>166</v>
      </c>
      <c r="I995" s="18" t="n">
        <f aca="false">((I994 + G995) - H995)</f>
        <v>-537993.87</v>
      </c>
      <c r="J995" s="18" t="n">
        <v>-16.6</v>
      </c>
      <c r="K995" s="19" t="n">
        <v>10</v>
      </c>
      <c r="L995" s="17" t="s">
        <v>22</v>
      </c>
    </row>
    <row r="996" s="11" customFormat="true" ht="10.95" hidden="false" customHeight="true" outlineLevel="0" collapsed="false">
      <c r="A996" s="16" t="n">
        <v>45343</v>
      </c>
      <c r="B996" s="17" t="s">
        <v>17</v>
      </c>
      <c r="C996" s="17" t="s">
        <v>18</v>
      </c>
      <c r="D996" s="17" t="s">
        <v>19</v>
      </c>
      <c r="E996" s="17" t="s">
        <v>141</v>
      </c>
      <c r="F996" s="17" t="s">
        <v>531</v>
      </c>
      <c r="G996" s="18" t="n">
        <v>0</v>
      </c>
      <c r="H996" s="18" t="n">
        <v>249</v>
      </c>
      <c r="I996" s="18" t="n">
        <f aca="false">((I995 + G996) - H996)</f>
        <v>-538242.87</v>
      </c>
      <c r="J996" s="18" t="n">
        <v>-24.9</v>
      </c>
      <c r="K996" s="19" t="n">
        <v>10</v>
      </c>
      <c r="L996" s="17" t="s">
        <v>22</v>
      </c>
    </row>
    <row r="997" s="11" customFormat="true" ht="10.95" hidden="false" customHeight="true" outlineLevel="0" collapsed="false">
      <c r="A997" s="16" t="n">
        <v>45343</v>
      </c>
      <c r="B997" s="17" t="s">
        <v>17</v>
      </c>
      <c r="C997" s="17" t="s">
        <v>18</v>
      </c>
      <c r="D997" s="17" t="s">
        <v>19</v>
      </c>
      <c r="E997" s="17" t="s">
        <v>142</v>
      </c>
      <c r="F997" s="17" t="s">
        <v>531</v>
      </c>
      <c r="G997" s="18" t="n">
        <v>0</v>
      </c>
      <c r="H997" s="18" t="n">
        <v>249</v>
      </c>
      <c r="I997" s="18" t="n">
        <f aca="false">((I996 + G997) - H997)</f>
        <v>-538491.87</v>
      </c>
      <c r="J997" s="18" t="n">
        <v>-24.9</v>
      </c>
      <c r="K997" s="19" t="n">
        <v>10</v>
      </c>
      <c r="L997" s="17" t="s">
        <v>22</v>
      </c>
    </row>
    <row r="998" s="11" customFormat="true" ht="10.95" hidden="false" customHeight="true" outlineLevel="0" collapsed="false">
      <c r="A998" s="16" t="n">
        <v>45343</v>
      </c>
      <c r="B998" s="17" t="s">
        <v>17</v>
      </c>
      <c r="C998" s="17" t="s">
        <v>18</v>
      </c>
      <c r="D998" s="17" t="s">
        <v>19</v>
      </c>
      <c r="E998" s="17" t="s">
        <v>143</v>
      </c>
      <c r="F998" s="17" t="s">
        <v>531</v>
      </c>
      <c r="G998" s="18" t="n">
        <v>0</v>
      </c>
      <c r="H998" s="18" t="n">
        <v>94.5</v>
      </c>
      <c r="I998" s="18" t="n">
        <f aca="false">((I997 + G998) - H998)</f>
        <v>-538586.37</v>
      </c>
      <c r="J998" s="18" t="n">
        <v>-9.45</v>
      </c>
      <c r="K998" s="19" t="n">
        <v>10</v>
      </c>
      <c r="L998" s="17" t="s">
        <v>22</v>
      </c>
    </row>
    <row r="999" s="11" customFormat="true" ht="10.95" hidden="false" customHeight="true" outlineLevel="0" collapsed="false">
      <c r="A999" s="16" t="n">
        <v>45343</v>
      </c>
      <c r="B999" s="17" t="s">
        <v>17</v>
      </c>
      <c r="C999" s="17" t="s">
        <v>18</v>
      </c>
      <c r="D999" s="17" t="s">
        <v>19</v>
      </c>
      <c r="E999" s="17" t="s">
        <v>144</v>
      </c>
      <c r="F999" s="17" t="s">
        <v>531</v>
      </c>
      <c r="G999" s="18" t="n">
        <v>0</v>
      </c>
      <c r="H999" s="18" t="n">
        <v>1743</v>
      </c>
      <c r="I999" s="18" t="n">
        <f aca="false">((I998 + G999) - H999)</f>
        <v>-540329.37</v>
      </c>
      <c r="J999" s="18" t="n">
        <v>-174.3</v>
      </c>
      <c r="K999" s="19" t="n">
        <v>10</v>
      </c>
      <c r="L999" s="17" t="s">
        <v>22</v>
      </c>
    </row>
    <row r="1000" s="11" customFormat="true" ht="10.95" hidden="false" customHeight="true" outlineLevel="0" collapsed="false">
      <c r="A1000" s="16" t="n">
        <v>45343</v>
      </c>
      <c r="B1000" s="17" t="s">
        <v>17</v>
      </c>
      <c r="C1000" s="17" t="s">
        <v>18</v>
      </c>
      <c r="D1000" s="17" t="s">
        <v>19</v>
      </c>
      <c r="E1000" s="17" t="s">
        <v>145</v>
      </c>
      <c r="F1000" s="17" t="s">
        <v>531</v>
      </c>
      <c r="G1000" s="18" t="n">
        <v>0</v>
      </c>
      <c r="H1000" s="18" t="n">
        <v>166</v>
      </c>
      <c r="I1000" s="18" t="n">
        <f aca="false">((I999 + G1000) - H1000)</f>
        <v>-540495.37</v>
      </c>
      <c r="J1000" s="18" t="n">
        <v>-16.6</v>
      </c>
      <c r="K1000" s="19" t="n">
        <v>10</v>
      </c>
      <c r="L1000" s="17" t="s">
        <v>22</v>
      </c>
    </row>
    <row r="1001" s="11" customFormat="true" ht="10.95" hidden="false" customHeight="true" outlineLevel="0" collapsed="false">
      <c r="A1001" s="16" t="n">
        <v>45343</v>
      </c>
      <c r="B1001" s="17" t="s">
        <v>17</v>
      </c>
      <c r="C1001" s="17" t="s">
        <v>18</v>
      </c>
      <c r="D1001" s="17" t="s">
        <v>19</v>
      </c>
      <c r="E1001" s="17" t="s">
        <v>146</v>
      </c>
      <c r="F1001" s="17" t="s">
        <v>531</v>
      </c>
      <c r="G1001" s="18" t="n">
        <v>0</v>
      </c>
      <c r="H1001" s="18" t="n">
        <v>30</v>
      </c>
      <c r="I1001" s="18" t="n">
        <f aca="false">((I1000 + G1001) - H1001)</f>
        <v>-540525.37</v>
      </c>
      <c r="J1001" s="18" t="n">
        <v>-3</v>
      </c>
      <c r="K1001" s="19" t="n">
        <v>10</v>
      </c>
      <c r="L1001" s="17" t="s">
        <v>22</v>
      </c>
    </row>
    <row r="1002" s="11" customFormat="true" ht="10.95" hidden="false" customHeight="true" outlineLevel="0" collapsed="false">
      <c r="A1002" s="16" t="n">
        <v>45343</v>
      </c>
      <c r="B1002" s="17" t="s">
        <v>17</v>
      </c>
      <c r="C1002" s="17" t="s">
        <v>18</v>
      </c>
      <c r="D1002" s="17" t="s">
        <v>19</v>
      </c>
      <c r="E1002" s="17" t="s">
        <v>147</v>
      </c>
      <c r="F1002" s="17" t="s">
        <v>531</v>
      </c>
      <c r="G1002" s="18" t="n">
        <v>0</v>
      </c>
      <c r="H1002" s="18" t="n">
        <v>83</v>
      </c>
      <c r="I1002" s="18" t="n">
        <f aca="false">((I1001 + G1002) - H1002)</f>
        <v>-540608.37</v>
      </c>
      <c r="J1002" s="18" t="n">
        <v>-8.3</v>
      </c>
      <c r="K1002" s="19" t="n">
        <v>10</v>
      </c>
      <c r="L1002" s="17" t="s">
        <v>22</v>
      </c>
    </row>
    <row r="1003" s="11" customFormat="true" ht="10.95" hidden="false" customHeight="true" outlineLevel="0" collapsed="false">
      <c r="A1003" s="16" t="n">
        <v>45343</v>
      </c>
      <c r="B1003" s="17" t="s">
        <v>17</v>
      </c>
      <c r="C1003" s="17" t="s">
        <v>18</v>
      </c>
      <c r="D1003" s="17" t="s">
        <v>19</v>
      </c>
      <c r="E1003" s="17" t="s">
        <v>148</v>
      </c>
      <c r="F1003" s="17" t="s">
        <v>531</v>
      </c>
      <c r="G1003" s="18" t="n">
        <v>0</v>
      </c>
      <c r="H1003" s="18" t="n">
        <v>1162</v>
      </c>
      <c r="I1003" s="18" t="n">
        <f aca="false">((I1002 + G1003) - H1003)</f>
        <v>-541770.37</v>
      </c>
      <c r="J1003" s="18" t="n">
        <v>-116.2</v>
      </c>
      <c r="K1003" s="19" t="n">
        <v>10</v>
      </c>
      <c r="L1003" s="17" t="s">
        <v>22</v>
      </c>
    </row>
    <row r="1004" s="11" customFormat="true" ht="10.95" hidden="false" customHeight="true" outlineLevel="0" collapsed="false">
      <c r="A1004" s="16" t="n">
        <v>45343</v>
      </c>
      <c r="B1004" s="17" t="s">
        <v>17</v>
      </c>
      <c r="C1004" s="17" t="s">
        <v>18</v>
      </c>
      <c r="D1004" s="17" t="s">
        <v>19</v>
      </c>
      <c r="E1004" s="17" t="s">
        <v>149</v>
      </c>
      <c r="F1004" s="17" t="s">
        <v>531</v>
      </c>
      <c r="G1004" s="18" t="n">
        <v>0</v>
      </c>
      <c r="H1004" s="18" t="n">
        <v>360</v>
      </c>
      <c r="I1004" s="18" t="n">
        <f aca="false">((I1003 + G1004) - H1004)</f>
        <v>-542130.37</v>
      </c>
      <c r="J1004" s="18" t="n">
        <v>-36</v>
      </c>
      <c r="K1004" s="19" t="n">
        <v>10</v>
      </c>
      <c r="L1004" s="17" t="s">
        <v>22</v>
      </c>
    </row>
    <row r="1005" s="11" customFormat="true" ht="10.95" hidden="false" customHeight="true" outlineLevel="0" collapsed="false">
      <c r="A1005" s="16" t="n">
        <v>45343</v>
      </c>
      <c r="B1005" s="17" t="s">
        <v>17</v>
      </c>
      <c r="C1005" s="17" t="s">
        <v>18</v>
      </c>
      <c r="D1005" s="17" t="s">
        <v>19</v>
      </c>
      <c r="E1005" s="17" t="s">
        <v>150</v>
      </c>
      <c r="F1005" s="17" t="s">
        <v>531</v>
      </c>
      <c r="G1005" s="18" t="n">
        <v>0</v>
      </c>
      <c r="H1005" s="18" t="n">
        <v>144</v>
      </c>
      <c r="I1005" s="18" t="n">
        <f aca="false">((I1004 + G1005) - H1005)</f>
        <v>-542274.37</v>
      </c>
      <c r="J1005" s="18" t="n">
        <v>-14.4</v>
      </c>
      <c r="K1005" s="19" t="n">
        <v>10</v>
      </c>
      <c r="L1005" s="17" t="s">
        <v>22</v>
      </c>
    </row>
    <row r="1006" s="11" customFormat="true" ht="10.95" hidden="false" customHeight="true" outlineLevel="0" collapsed="false">
      <c r="A1006" s="16" t="n">
        <v>45343</v>
      </c>
      <c r="B1006" s="17" t="s">
        <v>17</v>
      </c>
      <c r="C1006" s="17" t="s">
        <v>18</v>
      </c>
      <c r="D1006" s="17" t="s">
        <v>19</v>
      </c>
      <c r="E1006" s="17" t="s">
        <v>151</v>
      </c>
      <c r="F1006" s="17" t="s">
        <v>531</v>
      </c>
      <c r="G1006" s="18" t="n">
        <v>0</v>
      </c>
      <c r="H1006" s="18" t="n">
        <v>100</v>
      </c>
      <c r="I1006" s="18" t="n">
        <f aca="false">((I1005 + G1006) - H1006)</f>
        <v>-542374.37</v>
      </c>
      <c r="J1006" s="18" t="n">
        <v>-10</v>
      </c>
      <c r="K1006" s="19" t="n">
        <v>10</v>
      </c>
      <c r="L1006" s="17" t="s">
        <v>22</v>
      </c>
    </row>
    <row r="1007" s="11" customFormat="true" ht="10.95" hidden="false" customHeight="true" outlineLevel="0" collapsed="false">
      <c r="A1007" s="16" t="n">
        <v>45343</v>
      </c>
      <c r="B1007" s="17" t="s">
        <v>17</v>
      </c>
      <c r="C1007" s="17" t="s">
        <v>18</v>
      </c>
      <c r="D1007" s="17" t="s">
        <v>19</v>
      </c>
      <c r="E1007" s="17" t="s">
        <v>152</v>
      </c>
      <c r="F1007" s="17" t="s">
        <v>531</v>
      </c>
      <c r="G1007" s="18" t="n">
        <v>0</v>
      </c>
      <c r="H1007" s="18" t="n">
        <v>1079</v>
      </c>
      <c r="I1007" s="18" t="n">
        <f aca="false">((I1006 + G1007) - H1007)</f>
        <v>-543453.37</v>
      </c>
      <c r="J1007" s="18" t="n">
        <v>-107.9</v>
      </c>
      <c r="K1007" s="19" t="n">
        <v>10</v>
      </c>
      <c r="L1007" s="17" t="s">
        <v>22</v>
      </c>
    </row>
    <row r="1008" s="11" customFormat="true" ht="10.95" hidden="false" customHeight="true" outlineLevel="0" collapsed="false">
      <c r="A1008" s="16" t="n">
        <v>45343</v>
      </c>
      <c r="B1008" s="17" t="s">
        <v>17</v>
      </c>
      <c r="C1008" s="17" t="s">
        <v>18</v>
      </c>
      <c r="D1008" s="17" t="s">
        <v>19</v>
      </c>
      <c r="E1008" s="17" t="s">
        <v>153</v>
      </c>
      <c r="F1008" s="17" t="s">
        <v>531</v>
      </c>
      <c r="G1008" s="18" t="n">
        <v>0</v>
      </c>
      <c r="H1008" s="18" t="n">
        <v>283.5</v>
      </c>
      <c r="I1008" s="18" t="n">
        <f aca="false">((I1007 + G1008) - H1008)</f>
        <v>-543736.87</v>
      </c>
      <c r="J1008" s="18" t="n">
        <v>-28.35</v>
      </c>
      <c r="K1008" s="19" t="n">
        <v>10</v>
      </c>
      <c r="L1008" s="17" t="s">
        <v>22</v>
      </c>
    </row>
    <row r="1009" s="11" customFormat="true" ht="10.95" hidden="false" customHeight="true" outlineLevel="0" collapsed="false">
      <c r="A1009" s="16" t="n">
        <v>45343</v>
      </c>
      <c r="B1009" s="17" t="s">
        <v>17</v>
      </c>
      <c r="C1009" s="17" t="s">
        <v>18</v>
      </c>
      <c r="D1009" s="17" t="s">
        <v>19</v>
      </c>
      <c r="E1009" s="17" t="s">
        <v>154</v>
      </c>
      <c r="F1009" s="17" t="s">
        <v>531</v>
      </c>
      <c r="G1009" s="18" t="n">
        <v>0</v>
      </c>
      <c r="H1009" s="18" t="n">
        <v>165</v>
      </c>
      <c r="I1009" s="18" t="n">
        <f aca="false">((I1008 + G1009) - H1009)</f>
        <v>-543901.87</v>
      </c>
      <c r="J1009" s="18" t="n">
        <v>-16.5</v>
      </c>
      <c r="K1009" s="19" t="n">
        <v>10</v>
      </c>
      <c r="L1009" s="17" t="s">
        <v>22</v>
      </c>
    </row>
    <row r="1010" s="11" customFormat="true" ht="10.95" hidden="false" customHeight="true" outlineLevel="0" collapsed="false">
      <c r="A1010" s="16" t="n">
        <v>45343</v>
      </c>
      <c r="B1010" s="17" t="s">
        <v>17</v>
      </c>
      <c r="C1010" s="17" t="s">
        <v>18</v>
      </c>
      <c r="D1010" s="17" t="s">
        <v>19</v>
      </c>
      <c r="E1010" s="17" t="s">
        <v>155</v>
      </c>
      <c r="F1010" s="17" t="s">
        <v>531</v>
      </c>
      <c r="G1010" s="18" t="n">
        <v>0</v>
      </c>
      <c r="H1010" s="18" t="n">
        <v>432</v>
      </c>
      <c r="I1010" s="18" t="n">
        <f aca="false">((I1009 + G1010) - H1010)</f>
        <v>-544333.87</v>
      </c>
      <c r="J1010" s="18" t="n">
        <v>-43.2</v>
      </c>
      <c r="K1010" s="19" t="n">
        <v>10</v>
      </c>
      <c r="L1010" s="17" t="s">
        <v>22</v>
      </c>
    </row>
    <row r="1011" s="11" customFormat="true" ht="10.95" hidden="false" customHeight="true" outlineLevel="0" collapsed="false">
      <c r="A1011" s="16" t="n">
        <v>45343</v>
      </c>
      <c r="B1011" s="17" t="s">
        <v>17</v>
      </c>
      <c r="C1011" s="17" t="s">
        <v>18</v>
      </c>
      <c r="D1011" s="17" t="s">
        <v>19</v>
      </c>
      <c r="E1011" s="17" t="s">
        <v>156</v>
      </c>
      <c r="F1011" s="17" t="s">
        <v>531</v>
      </c>
      <c r="G1011" s="18" t="n">
        <v>0</v>
      </c>
      <c r="H1011" s="18" t="n">
        <v>1039.5</v>
      </c>
      <c r="I1011" s="18" t="n">
        <f aca="false">((I1010 + G1011) - H1011)</f>
        <v>-545373.37</v>
      </c>
      <c r="J1011" s="18" t="n">
        <v>-103.95</v>
      </c>
      <c r="K1011" s="19" t="n">
        <v>10</v>
      </c>
      <c r="L1011" s="17" t="s">
        <v>22</v>
      </c>
    </row>
    <row r="1012" s="11" customFormat="true" ht="10.95" hidden="false" customHeight="true" outlineLevel="0" collapsed="false">
      <c r="A1012" s="16" t="n">
        <v>45343</v>
      </c>
      <c r="B1012" s="17" t="s">
        <v>17</v>
      </c>
      <c r="C1012" s="17" t="s">
        <v>18</v>
      </c>
      <c r="D1012" s="17" t="s">
        <v>19</v>
      </c>
      <c r="E1012" s="17" t="s">
        <v>223</v>
      </c>
      <c r="F1012" s="17" t="s">
        <v>531</v>
      </c>
      <c r="G1012" s="18" t="n">
        <v>0</v>
      </c>
      <c r="H1012" s="18" t="n">
        <v>34.65</v>
      </c>
      <c r="I1012" s="18" t="n">
        <f aca="false">((I1011 + G1012) - H1012)</f>
        <v>-545408.02</v>
      </c>
      <c r="J1012" s="18" t="n">
        <v>-3.47</v>
      </c>
      <c r="K1012" s="19" t="n">
        <v>10</v>
      </c>
      <c r="L1012" s="17" t="s">
        <v>22</v>
      </c>
    </row>
    <row r="1013" s="11" customFormat="true" ht="10.95" hidden="false" customHeight="true" outlineLevel="0" collapsed="false">
      <c r="A1013" s="16" t="n">
        <v>45343</v>
      </c>
      <c r="B1013" s="17" t="s">
        <v>17</v>
      </c>
      <c r="C1013" s="17" t="s">
        <v>18</v>
      </c>
      <c r="D1013" s="17" t="s">
        <v>19</v>
      </c>
      <c r="E1013" s="17" t="s">
        <v>157</v>
      </c>
      <c r="F1013" s="17" t="s">
        <v>531</v>
      </c>
      <c r="G1013" s="18" t="n">
        <v>0</v>
      </c>
      <c r="H1013" s="18" t="n">
        <v>661.5</v>
      </c>
      <c r="I1013" s="18" t="n">
        <f aca="false">((I1012 + G1013) - H1013)</f>
        <v>-546069.52</v>
      </c>
      <c r="J1013" s="18" t="n">
        <v>-66.15</v>
      </c>
      <c r="K1013" s="19" t="n">
        <v>10</v>
      </c>
      <c r="L1013" s="17" t="s">
        <v>22</v>
      </c>
    </row>
    <row r="1014" s="11" customFormat="true" ht="10.95" hidden="false" customHeight="true" outlineLevel="0" collapsed="false">
      <c r="A1014" s="16" t="n">
        <v>45343</v>
      </c>
      <c r="B1014" s="17" t="s">
        <v>17</v>
      </c>
      <c r="C1014" s="17" t="s">
        <v>18</v>
      </c>
      <c r="D1014" s="17" t="s">
        <v>19</v>
      </c>
      <c r="E1014" s="17" t="s">
        <v>158</v>
      </c>
      <c r="F1014" s="17" t="s">
        <v>531</v>
      </c>
      <c r="G1014" s="18" t="n">
        <v>0</v>
      </c>
      <c r="H1014" s="18" t="n">
        <v>94.5</v>
      </c>
      <c r="I1014" s="18" t="n">
        <f aca="false">((I1013 + G1014) - H1014)</f>
        <v>-546164.02</v>
      </c>
      <c r="J1014" s="18" t="n">
        <v>-9.45</v>
      </c>
      <c r="K1014" s="19" t="n">
        <v>10</v>
      </c>
      <c r="L1014" s="17" t="s">
        <v>22</v>
      </c>
    </row>
    <row r="1015" s="11" customFormat="true" ht="10.95" hidden="false" customHeight="true" outlineLevel="0" collapsed="false">
      <c r="A1015" s="16" t="n">
        <v>45343</v>
      </c>
      <c r="B1015" s="17" t="s">
        <v>17</v>
      </c>
      <c r="C1015" s="17" t="s">
        <v>18</v>
      </c>
      <c r="D1015" s="17" t="s">
        <v>19</v>
      </c>
      <c r="E1015" s="17" t="s">
        <v>159</v>
      </c>
      <c r="F1015" s="17" t="s">
        <v>531</v>
      </c>
      <c r="G1015" s="18" t="n">
        <v>0</v>
      </c>
      <c r="H1015" s="18" t="n">
        <v>792</v>
      </c>
      <c r="I1015" s="18" t="n">
        <f aca="false">((I1014 + G1015) - H1015)</f>
        <v>-546956.02</v>
      </c>
      <c r="J1015" s="18" t="n">
        <v>-79.2</v>
      </c>
      <c r="K1015" s="19" t="n">
        <v>10</v>
      </c>
      <c r="L1015" s="17" t="s">
        <v>22</v>
      </c>
    </row>
    <row r="1016" s="11" customFormat="true" ht="10.95" hidden="false" customHeight="true" outlineLevel="0" collapsed="false">
      <c r="A1016" s="16" t="n">
        <v>45343</v>
      </c>
      <c r="B1016" s="17" t="s">
        <v>17</v>
      </c>
      <c r="C1016" s="17" t="s">
        <v>18</v>
      </c>
      <c r="D1016" s="17" t="s">
        <v>19</v>
      </c>
      <c r="E1016" s="17" t="s">
        <v>282</v>
      </c>
      <c r="F1016" s="17" t="s">
        <v>531</v>
      </c>
      <c r="G1016" s="18" t="n">
        <v>0</v>
      </c>
      <c r="H1016" s="18" t="n">
        <v>94.5</v>
      </c>
      <c r="I1016" s="18" t="n">
        <f aca="false">((I1015 + G1016) - H1016)</f>
        <v>-547050.52</v>
      </c>
      <c r="J1016" s="18" t="n">
        <v>-9.45</v>
      </c>
      <c r="K1016" s="19" t="n">
        <v>10</v>
      </c>
      <c r="L1016" s="17" t="s">
        <v>22</v>
      </c>
    </row>
    <row r="1017" s="11" customFormat="true" ht="10.95" hidden="false" customHeight="true" outlineLevel="0" collapsed="false">
      <c r="A1017" s="16" t="n">
        <v>45343</v>
      </c>
      <c r="B1017" s="17" t="s">
        <v>17</v>
      </c>
      <c r="C1017" s="17" t="s">
        <v>18</v>
      </c>
      <c r="D1017" s="17" t="s">
        <v>19</v>
      </c>
      <c r="E1017" s="17" t="s">
        <v>373</v>
      </c>
      <c r="F1017" s="17" t="s">
        <v>531</v>
      </c>
      <c r="G1017" s="18" t="n">
        <v>0</v>
      </c>
      <c r="H1017" s="18" t="n">
        <v>72</v>
      </c>
      <c r="I1017" s="18" t="n">
        <f aca="false">((I1016 + G1017) - H1017)</f>
        <v>-547122.52</v>
      </c>
      <c r="J1017" s="18" t="n">
        <v>-7.2</v>
      </c>
      <c r="K1017" s="19" t="n">
        <v>10</v>
      </c>
      <c r="L1017" s="17" t="s">
        <v>22</v>
      </c>
    </row>
    <row r="1018" s="11" customFormat="true" ht="10.95" hidden="false" customHeight="true" outlineLevel="0" collapsed="false">
      <c r="A1018" s="16" t="n">
        <v>45343</v>
      </c>
      <c r="B1018" s="17" t="s">
        <v>17</v>
      </c>
      <c r="C1018" s="17" t="s">
        <v>18</v>
      </c>
      <c r="D1018" s="17" t="s">
        <v>19</v>
      </c>
      <c r="E1018" s="17" t="s">
        <v>428</v>
      </c>
      <c r="F1018" s="17" t="s">
        <v>531</v>
      </c>
      <c r="G1018" s="18" t="n">
        <v>0</v>
      </c>
      <c r="H1018" s="18" t="n">
        <v>216</v>
      </c>
      <c r="I1018" s="18" t="n">
        <f aca="false">((I1017 + G1018) - H1018)</f>
        <v>-547338.52</v>
      </c>
      <c r="J1018" s="18" t="n">
        <v>-21.6</v>
      </c>
      <c r="K1018" s="19" t="n">
        <v>10</v>
      </c>
      <c r="L1018" s="17" t="s">
        <v>22</v>
      </c>
    </row>
    <row r="1019" s="11" customFormat="true" ht="10.95" hidden="false" customHeight="true" outlineLevel="0" collapsed="false">
      <c r="A1019" s="16" t="n">
        <v>45343</v>
      </c>
      <c r="B1019" s="17" t="s">
        <v>17</v>
      </c>
      <c r="C1019" s="17" t="s">
        <v>18</v>
      </c>
      <c r="D1019" s="17" t="s">
        <v>19</v>
      </c>
      <c r="E1019" s="17" t="s">
        <v>429</v>
      </c>
      <c r="F1019" s="17" t="s">
        <v>531</v>
      </c>
      <c r="G1019" s="18" t="n">
        <v>0</v>
      </c>
      <c r="H1019" s="18" t="n">
        <v>189</v>
      </c>
      <c r="I1019" s="18" t="n">
        <f aca="false">((I1018 + G1019) - H1019)</f>
        <v>-547527.52</v>
      </c>
      <c r="J1019" s="18" t="n">
        <v>-18.9</v>
      </c>
      <c r="K1019" s="19" t="n">
        <v>10</v>
      </c>
      <c r="L1019" s="17" t="s">
        <v>22</v>
      </c>
    </row>
    <row r="1020" s="11" customFormat="true" ht="10.95" hidden="false" customHeight="true" outlineLevel="0" collapsed="false">
      <c r="A1020" s="16" t="n">
        <v>45343</v>
      </c>
      <c r="B1020" s="17" t="s">
        <v>17</v>
      </c>
      <c r="C1020" s="17" t="s">
        <v>18</v>
      </c>
      <c r="D1020" s="17" t="s">
        <v>19</v>
      </c>
      <c r="E1020" s="17" t="s">
        <v>471</v>
      </c>
      <c r="F1020" s="17" t="s">
        <v>531</v>
      </c>
      <c r="G1020" s="18" t="n">
        <v>0</v>
      </c>
      <c r="H1020" s="18" t="n">
        <v>216</v>
      </c>
      <c r="I1020" s="18" t="n">
        <f aca="false">((I1019 + G1020) - H1020)</f>
        <v>-547743.52</v>
      </c>
      <c r="J1020" s="18" t="n">
        <v>-21.6</v>
      </c>
      <c r="K1020" s="19" t="n">
        <v>10</v>
      </c>
      <c r="L1020" s="17" t="s">
        <v>22</v>
      </c>
    </row>
    <row r="1021" s="11" customFormat="true" ht="10.95" hidden="false" customHeight="true" outlineLevel="0" collapsed="false">
      <c r="A1021" s="16" t="n">
        <v>45343</v>
      </c>
      <c r="B1021" s="17" t="s">
        <v>17</v>
      </c>
      <c r="C1021" s="17" t="s">
        <v>18</v>
      </c>
      <c r="D1021" s="17" t="s">
        <v>19</v>
      </c>
      <c r="E1021" s="17" t="s">
        <v>533</v>
      </c>
      <c r="F1021" s="17" t="s">
        <v>531</v>
      </c>
      <c r="G1021" s="18" t="n">
        <v>0</v>
      </c>
      <c r="H1021" s="18" t="n">
        <v>891</v>
      </c>
      <c r="I1021" s="18" t="n">
        <f aca="false">((I1020 + G1021) - H1021)</f>
        <v>-548634.52</v>
      </c>
      <c r="J1021" s="18" t="n">
        <v>-89.1</v>
      </c>
      <c r="K1021" s="19" t="n">
        <v>10</v>
      </c>
      <c r="L1021" s="17" t="s">
        <v>22</v>
      </c>
    </row>
    <row r="1022" s="11" customFormat="true" ht="10.95" hidden="false" customHeight="true" outlineLevel="0" collapsed="false">
      <c r="A1022" s="16" t="n">
        <v>45343</v>
      </c>
      <c r="B1022" s="17" t="s">
        <v>17</v>
      </c>
      <c r="C1022" s="17" t="s">
        <v>18</v>
      </c>
      <c r="D1022" s="17" t="s">
        <v>19</v>
      </c>
      <c r="E1022" s="17" t="s">
        <v>534</v>
      </c>
      <c r="F1022" s="17" t="s">
        <v>531</v>
      </c>
      <c r="G1022" s="18" t="n">
        <v>0</v>
      </c>
      <c r="H1022" s="18" t="n">
        <v>166</v>
      </c>
      <c r="I1022" s="18" t="n">
        <f aca="false">((I1021 + G1022) - H1022)</f>
        <v>-548800.52</v>
      </c>
      <c r="J1022" s="18" t="n">
        <v>-16.6</v>
      </c>
      <c r="K1022" s="19" t="n">
        <v>10</v>
      </c>
      <c r="L1022" s="17" t="s">
        <v>22</v>
      </c>
    </row>
    <row r="1023" s="11" customFormat="true" ht="10.95" hidden="false" customHeight="true" outlineLevel="0" collapsed="false">
      <c r="A1023" s="16" t="n">
        <v>45343</v>
      </c>
      <c r="B1023" s="17" t="s">
        <v>17</v>
      </c>
      <c r="C1023" s="17" t="s">
        <v>18</v>
      </c>
      <c r="D1023" s="17" t="s">
        <v>19</v>
      </c>
      <c r="E1023" s="17" t="s">
        <v>535</v>
      </c>
      <c r="F1023" s="17" t="s">
        <v>531</v>
      </c>
      <c r="G1023" s="18" t="n">
        <v>0</v>
      </c>
      <c r="H1023" s="18" t="n">
        <v>378</v>
      </c>
      <c r="I1023" s="18" t="n">
        <f aca="false">((I1022 + G1023) - H1023)</f>
        <v>-549178.52</v>
      </c>
      <c r="J1023" s="18" t="n">
        <v>-37.8</v>
      </c>
      <c r="K1023" s="19" t="n">
        <v>10</v>
      </c>
      <c r="L1023" s="17" t="s">
        <v>22</v>
      </c>
    </row>
    <row r="1024" s="11" customFormat="true" ht="10.95" hidden="false" customHeight="true" outlineLevel="0" collapsed="false">
      <c r="A1024" s="16" t="n">
        <v>45343</v>
      </c>
      <c r="B1024" s="17" t="s">
        <v>17</v>
      </c>
      <c r="C1024" s="17" t="s">
        <v>18</v>
      </c>
      <c r="D1024" s="17" t="s">
        <v>19</v>
      </c>
      <c r="E1024" s="17" t="s">
        <v>30</v>
      </c>
      <c r="F1024" s="17" t="s">
        <v>536</v>
      </c>
      <c r="G1024" s="18" t="n">
        <v>0</v>
      </c>
      <c r="H1024" s="18" t="n">
        <v>85</v>
      </c>
      <c r="I1024" s="18" t="n">
        <f aca="false">((I1023 + G1024) - H1024)</f>
        <v>-549263.52</v>
      </c>
      <c r="J1024" s="18" t="n">
        <v>-8.5</v>
      </c>
      <c r="K1024" s="19" t="n">
        <v>10</v>
      </c>
      <c r="L1024" s="17" t="s">
        <v>22</v>
      </c>
    </row>
    <row r="1025" s="11" customFormat="true" ht="10.95" hidden="false" customHeight="true" outlineLevel="0" collapsed="false">
      <c r="A1025" s="16" t="n">
        <v>45344</v>
      </c>
      <c r="B1025" s="17" t="s">
        <v>17</v>
      </c>
      <c r="C1025" s="17" t="s">
        <v>18</v>
      </c>
      <c r="D1025" s="17" t="s">
        <v>19</v>
      </c>
      <c r="E1025" s="17" t="s">
        <v>59</v>
      </c>
      <c r="F1025" s="17" t="s">
        <v>537</v>
      </c>
      <c r="G1025" s="18" t="n">
        <v>0</v>
      </c>
      <c r="H1025" s="18" t="n">
        <v>4800</v>
      </c>
      <c r="I1025" s="18" t="n">
        <f aca="false">((I1024 + G1025) - H1025)</f>
        <v>-554063.52</v>
      </c>
      <c r="J1025" s="18" t="n">
        <v>-480</v>
      </c>
      <c r="K1025" s="19" t="n">
        <v>10</v>
      </c>
      <c r="L1025" s="17" t="s">
        <v>22</v>
      </c>
    </row>
    <row r="1026" s="11" customFormat="true" ht="10.95" hidden="false" customHeight="true" outlineLevel="0" collapsed="false">
      <c r="A1026" s="16" t="n">
        <v>45344</v>
      </c>
      <c r="B1026" s="17" t="s">
        <v>17</v>
      </c>
      <c r="C1026" s="17" t="s">
        <v>18</v>
      </c>
      <c r="D1026" s="17" t="s">
        <v>19</v>
      </c>
      <c r="E1026" s="17" t="s">
        <v>61</v>
      </c>
      <c r="F1026" s="17" t="s">
        <v>537</v>
      </c>
      <c r="G1026" s="18" t="n">
        <v>0</v>
      </c>
      <c r="H1026" s="18" t="n">
        <v>3990</v>
      </c>
      <c r="I1026" s="18" t="n">
        <f aca="false">((I1025 + G1026) - H1026)</f>
        <v>-558053.52</v>
      </c>
      <c r="J1026" s="18" t="n">
        <v>-399</v>
      </c>
      <c r="K1026" s="19" t="n">
        <v>10</v>
      </c>
      <c r="L1026" s="17" t="s">
        <v>22</v>
      </c>
    </row>
    <row r="1027" s="11" customFormat="true" ht="10.95" hidden="false" customHeight="true" outlineLevel="0" collapsed="false">
      <c r="A1027" s="16" t="n">
        <v>45344</v>
      </c>
      <c r="B1027" s="17" t="s">
        <v>17</v>
      </c>
      <c r="C1027" s="17" t="s">
        <v>18</v>
      </c>
      <c r="D1027" s="17" t="s">
        <v>19</v>
      </c>
      <c r="E1027" s="17" t="s">
        <v>62</v>
      </c>
      <c r="F1027" s="17" t="s">
        <v>537</v>
      </c>
      <c r="G1027" s="18" t="n">
        <v>0</v>
      </c>
      <c r="H1027" s="18" t="n">
        <v>300</v>
      </c>
      <c r="I1027" s="18" t="n">
        <f aca="false">((I1026 + G1027) - H1027)</f>
        <v>-558353.52</v>
      </c>
      <c r="J1027" s="18" t="n">
        <v>-30</v>
      </c>
      <c r="K1027" s="19" t="n">
        <v>10</v>
      </c>
      <c r="L1027" s="17" t="s">
        <v>22</v>
      </c>
    </row>
    <row r="1028" s="11" customFormat="true" ht="10.95" hidden="false" customHeight="true" outlineLevel="0" collapsed="false">
      <c r="A1028" s="16" t="n">
        <v>45344</v>
      </c>
      <c r="B1028" s="17" t="s">
        <v>17</v>
      </c>
      <c r="C1028" s="17" t="s">
        <v>18</v>
      </c>
      <c r="D1028" s="17" t="s">
        <v>19</v>
      </c>
      <c r="E1028" s="17" t="s">
        <v>59</v>
      </c>
      <c r="F1028" s="17" t="s">
        <v>537</v>
      </c>
      <c r="G1028" s="18" t="n">
        <v>0</v>
      </c>
      <c r="H1028" s="18" t="n">
        <v>4800</v>
      </c>
      <c r="I1028" s="18" t="n">
        <f aca="false">((I1027 + G1028) - H1028)</f>
        <v>-563153.52</v>
      </c>
      <c r="J1028" s="18" t="n">
        <v>-480</v>
      </c>
      <c r="K1028" s="19" t="n">
        <v>10</v>
      </c>
      <c r="L1028" s="17" t="s">
        <v>22</v>
      </c>
    </row>
    <row r="1029" s="11" customFormat="true" ht="10.95" hidden="false" customHeight="true" outlineLevel="0" collapsed="false">
      <c r="A1029" s="16" t="n">
        <v>45344</v>
      </c>
      <c r="B1029" s="17" t="s">
        <v>17</v>
      </c>
      <c r="C1029" s="17" t="s">
        <v>18</v>
      </c>
      <c r="D1029" s="17" t="s">
        <v>19</v>
      </c>
      <c r="E1029" s="17" t="s">
        <v>61</v>
      </c>
      <c r="F1029" s="17" t="s">
        <v>537</v>
      </c>
      <c r="G1029" s="18" t="n">
        <v>0</v>
      </c>
      <c r="H1029" s="18" t="n">
        <v>3990</v>
      </c>
      <c r="I1029" s="18" t="n">
        <f aca="false">((I1028 + G1029) - H1029)</f>
        <v>-567143.52</v>
      </c>
      <c r="J1029" s="18" t="n">
        <v>-399</v>
      </c>
      <c r="K1029" s="19" t="n">
        <v>10</v>
      </c>
      <c r="L1029" s="17" t="s">
        <v>22</v>
      </c>
    </row>
    <row r="1030" s="11" customFormat="true" ht="10.95" hidden="false" customHeight="true" outlineLevel="0" collapsed="false">
      <c r="A1030" s="16" t="n">
        <v>45344</v>
      </c>
      <c r="B1030" s="17" t="s">
        <v>17</v>
      </c>
      <c r="C1030" s="17" t="s">
        <v>18</v>
      </c>
      <c r="D1030" s="17" t="s">
        <v>19</v>
      </c>
      <c r="E1030" s="17" t="s">
        <v>62</v>
      </c>
      <c r="F1030" s="17" t="s">
        <v>537</v>
      </c>
      <c r="G1030" s="18" t="n">
        <v>0</v>
      </c>
      <c r="H1030" s="18" t="n">
        <v>300</v>
      </c>
      <c r="I1030" s="18" t="n">
        <f aca="false">((I1029 + G1030) - H1030)</f>
        <v>-567443.52</v>
      </c>
      <c r="J1030" s="18" t="n">
        <v>-30</v>
      </c>
      <c r="K1030" s="19" t="n">
        <v>10</v>
      </c>
      <c r="L1030" s="17" t="s">
        <v>22</v>
      </c>
    </row>
    <row r="1031" s="11" customFormat="true" ht="10.95" hidden="false" customHeight="true" outlineLevel="0" collapsed="false">
      <c r="A1031" s="16" t="n">
        <v>45355</v>
      </c>
      <c r="B1031" s="17" t="s">
        <v>17</v>
      </c>
      <c r="C1031" s="17" t="s">
        <v>18</v>
      </c>
      <c r="D1031" s="17" t="s">
        <v>19</v>
      </c>
      <c r="E1031" s="17" t="s">
        <v>538</v>
      </c>
      <c r="F1031" s="17" t="s">
        <v>539</v>
      </c>
      <c r="G1031" s="18" t="n">
        <v>0</v>
      </c>
      <c r="H1031" s="18" t="n">
        <v>648</v>
      </c>
      <c r="I1031" s="18" t="n">
        <f aca="false">((I1030 + G1031) - H1031)</f>
        <v>-568091.52</v>
      </c>
      <c r="J1031" s="18" t="n">
        <v>-64.8</v>
      </c>
      <c r="K1031" s="19" t="n">
        <v>10</v>
      </c>
      <c r="L1031" s="17" t="s">
        <v>22</v>
      </c>
    </row>
    <row r="1032" s="11" customFormat="true" ht="10.95" hidden="false" customHeight="true" outlineLevel="0" collapsed="false">
      <c r="A1032" s="16" t="n">
        <v>45355</v>
      </c>
      <c r="B1032" s="17" t="s">
        <v>17</v>
      </c>
      <c r="C1032" s="17" t="s">
        <v>18</v>
      </c>
      <c r="D1032" s="17" t="s">
        <v>19</v>
      </c>
      <c r="E1032" s="17" t="s">
        <v>540</v>
      </c>
      <c r="F1032" s="17" t="s">
        <v>539</v>
      </c>
      <c r="G1032" s="18" t="n">
        <v>0</v>
      </c>
      <c r="H1032" s="18" t="n">
        <v>648</v>
      </c>
      <c r="I1032" s="18" t="n">
        <f aca="false">((I1031 + G1032) - H1032)</f>
        <v>-568739.52</v>
      </c>
      <c r="J1032" s="18" t="n">
        <v>-64.8</v>
      </c>
      <c r="K1032" s="19" t="n">
        <v>10</v>
      </c>
      <c r="L1032" s="17" t="s">
        <v>22</v>
      </c>
    </row>
    <row r="1033" s="11" customFormat="true" ht="10.95" hidden="false" customHeight="true" outlineLevel="0" collapsed="false">
      <c r="A1033" s="16" t="n">
        <v>45355</v>
      </c>
      <c r="B1033" s="17" t="s">
        <v>17</v>
      </c>
      <c r="C1033" s="17" t="s">
        <v>18</v>
      </c>
      <c r="D1033" s="17" t="s">
        <v>19</v>
      </c>
      <c r="E1033" s="17" t="s">
        <v>541</v>
      </c>
      <c r="F1033" s="17" t="s">
        <v>539</v>
      </c>
      <c r="G1033" s="18" t="n">
        <v>0</v>
      </c>
      <c r="H1033" s="18" t="n">
        <v>648</v>
      </c>
      <c r="I1033" s="18" t="n">
        <f aca="false">((I1032 + G1033) - H1033)</f>
        <v>-569387.52</v>
      </c>
      <c r="J1033" s="18" t="n">
        <v>-64.8</v>
      </c>
      <c r="K1033" s="19" t="n">
        <v>10</v>
      </c>
      <c r="L1033" s="17" t="s">
        <v>22</v>
      </c>
    </row>
    <row r="1034" s="11" customFormat="true" ht="10.95" hidden="false" customHeight="true" outlineLevel="0" collapsed="false">
      <c r="A1034" s="16" t="n">
        <v>45356</v>
      </c>
      <c r="B1034" s="17" t="s">
        <v>17</v>
      </c>
      <c r="C1034" s="17" t="s">
        <v>18</v>
      </c>
      <c r="D1034" s="17" t="s">
        <v>19</v>
      </c>
      <c r="E1034" s="17" t="s">
        <v>542</v>
      </c>
      <c r="F1034" s="17" t="s">
        <v>543</v>
      </c>
      <c r="G1034" s="18" t="n">
        <v>0</v>
      </c>
      <c r="H1034" s="18" t="n">
        <v>6206</v>
      </c>
      <c r="I1034" s="18" t="n">
        <f aca="false">((I1033 + G1034) - H1034)</f>
        <v>-575593.52</v>
      </c>
      <c r="J1034" s="18" t="n">
        <v>-620.6</v>
      </c>
      <c r="K1034" s="19" t="n">
        <v>10</v>
      </c>
      <c r="L1034" s="17" t="s">
        <v>22</v>
      </c>
    </row>
    <row r="1035" s="11" customFormat="true" ht="10.95" hidden="false" customHeight="true" outlineLevel="0" collapsed="false">
      <c r="A1035" s="16" t="n">
        <v>45372</v>
      </c>
      <c r="B1035" s="17" t="s">
        <v>17</v>
      </c>
      <c r="C1035" s="17" t="s">
        <v>18</v>
      </c>
      <c r="D1035" s="17" t="s">
        <v>19</v>
      </c>
      <c r="E1035" s="17" t="s">
        <v>233</v>
      </c>
      <c r="F1035" s="17" t="s">
        <v>544</v>
      </c>
      <c r="G1035" s="18" t="n">
        <v>0</v>
      </c>
      <c r="H1035" s="18" t="n">
        <v>71.5</v>
      </c>
      <c r="I1035" s="18" t="n">
        <f aca="false">((I1034 + G1035) - H1035)</f>
        <v>-575665.02</v>
      </c>
      <c r="J1035" s="18" t="n">
        <v>-7.15</v>
      </c>
      <c r="K1035" s="19" t="n">
        <v>10</v>
      </c>
      <c r="L1035" s="17" t="s">
        <v>22</v>
      </c>
    </row>
    <row r="1036" s="11" customFormat="true" ht="10.95" hidden="false" customHeight="true" outlineLevel="0" collapsed="false">
      <c r="A1036" s="16" t="n">
        <v>45372</v>
      </c>
      <c r="B1036" s="17" t="s">
        <v>17</v>
      </c>
      <c r="C1036" s="17" t="s">
        <v>18</v>
      </c>
      <c r="D1036" s="17" t="s">
        <v>19</v>
      </c>
      <c r="E1036" s="17" t="s">
        <v>545</v>
      </c>
      <c r="F1036" s="17" t="s">
        <v>546</v>
      </c>
      <c r="G1036" s="18" t="n">
        <v>0</v>
      </c>
      <c r="H1036" s="18" t="n">
        <v>648</v>
      </c>
      <c r="I1036" s="18" t="n">
        <f aca="false">((I1035 + G1036) - H1036)</f>
        <v>-576313.02</v>
      </c>
      <c r="J1036" s="18" t="n">
        <v>-64.8</v>
      </c>
      <c r="K1036" s="19" t="n">
        <v>10</v>
      </c>
      <c r="L1036" s="17" t="s">
        <v>22</v>
      </c>
    </row>
    <row r="1037" s="11" customFormat="true" ht="10.95" hidden="false" customHeight="true" outlineLevel="0" collapsed="false">
      <c r="A1037" s="16" t="n">
        <v>45372</v>
      </c>
      <c r="B1037" s="17" t="s">
        <v>17</v>
      </c>
      <c r="C1037" s="17" t="s">
        <v>18</v>
      </c>
      <c r="D1037" s="17" t="s">
        <v>19</v>
      </c>
      <c r="E1037" s="17" t="s">
        <v>231</v>
      </c>
      <c r="F1037" s="17" t="s">
        <v>547</v>
      </c>
      <c r="G1037" s="18" t="n">
        <v>0</v>
      </c>
      <c r="H1037" s="18" t="n">
        <v>143</v>
      </c>
      <c r="I1037" s="18" t="n">
        <f aca="false">((I1036 + G1037) - H1037)</f>
        <v>-576456.02</v>
      </c>
      <c r="J1037" s="18" t="n">
        <v>-14.3</v>
      </c>
      <c r="K1037" s="19" t="n">
        <v>10</v>
      </c>
      <c r="L1037" s="17" t="s">
        <v>22</v>
      </c>
    </row>
    <row r="1038" s="11" customFormat="true" ht="10.95" hidden="false" customHeight="true" outlineLevel="0" collapsed="false">
      <c r="A1038" s="16" t="n">
        <v>45372</v>
      </c>
      <c r="B1038" s="17" t="s">
        <v>17</v>
      </c>
      <c r="C1038" s="17" t="s">
        <v>18</v>
      </c>
      <c r="D1038" s="17" t="s">
        <v>19</v>
      </c>
      <c r="E1038" s="17" t="s">
        <v>171</v>
      </c>
      <c r="F1038" s="17" t="s">
        <v>548</v>
      </c>
      <c r="G1038" s="18" t="n">
        <v>0</v>
      </c>
      <c r="H1038" s="18" t="n">
        <v>940.5</v>
      </c>
      <c r="I1038" s="18" t="n">
        <f aca="false">((I1037 + G1038) - H1038)</f>
        <v>-577396.52</v>
      </c>
      <c r="J1038" s="18" t="n">
        <v>-94.05</v>
      </c>
      <c r="K1038" s="19" t="n">
        <v>10</v>
      </c>
      <c r="L1038" s="17" t="s">
        <v>22</v>
      </c>
    </row>
    <row r="1039" s="11" customFormat="true" ht="10.95" hidden="false" customHeight="true" outlineLevel="0" collapsed="false">
      <c r="A1039" s="16" t="n">
        <v>45372</v>
      </c>
      <c r="B1039" s="17" t="s">
        <v>17</v>
      </c>
      <c r="C1039" s="17" t="s">
        <v>18</v>
      </c>
      <c r="D1039" s="17" t="s">
        <v>19</v>
      </c>
      <c r="E1039" s="17" t="s">
        <v>20</v>
      </c>
      <c r="F1039" s="17" t="s">
        <v>549</v>
      </c>
      <c r="G1039" s="18" t="n">
        <v>0</v>
      </c>
      <c r="H1039" s="18" t="n">
        <v>376</v>
      </c>
      <c r="I1039" s="18" t="n">
        <f aca="false">((I1038 + G1039) - H1039)</f>
        <v>-577772.52</v>
      </c>
      <c r="J1039" s="18" t="n">
        <v>-37.6</v>
      </c>
      <c r="K1039" s="19" t="n">
        <v>10</v>
      </c>
      <c r="L1039" s="17" t="s">
        <v>22</v>
      </c>
    </row>
    <row r="1040" s="11" customFormat="true" ht="10.95" hidden="false" customHeight="true" outlineLevel="0" collapsed="false">
      <c r="A1040" s="16" t="n">
        <v>45372</v>
      </c>
      <c r="B1040" s="17" t="s">
        <v>17</v>
      </c>
      <c r="C1040" s="17" t="s">
        <v>18</v>
      </c>
      <c r="D1040" s="17" t="s">
        <v>19</v>
      </c>
      <c r="E1040" s="17" t="s">
        <v>23</v>
      </c>
      <c r="F1040" s="17" t="s">
        <v>550</v>
      </c>
      <c r="G1040" s="18" t="n">
        <v>0</v>
      </c>
      <c r="H1040" s="18" t="n">
        <v>1150</v>
      </c>
      <c r="I1040" s="18" t="n">
        <f aca="false">((I1039 + G1040) - H1040)</f>
        <v>-578922.52</v>
      </c>
      <c r="J1040" s="18" t="n">
        <v>-115</v>
      </c>
      <c r="K1040" s="19" t="n">
        <v>10</v>
      </c>
      <c r="L1040" s="17" t="s">
        <v>22</v>
      </c>
    </row>
    <row r="1041" s="11" customFormat="true" ht="10.95" hidden="false" customHeight="true" outlineLevel="0" collapsed="false">
      <c r="A1041" s="16" t="n">
        <v>45372</v>
      </c>
      <c r="B1041" s="17" t="s">
        <v>17</v>
      </c>
      <c r="C1041" s="17" t="s">
        <v>18</v>
      </c>
      <c r="D1041" s="17" t="s">
        <v>19</v>
      </c>
      <c r="E1041" s="17" t="s">
        <v>25</v>
      </c>
      <c r="F1041" s="17" t="s">
        <v>550</v>
      </c>
      <c r="G1041" s="18" t="n">
        <v>0</v>
      </c>
      <c r="H1041" s="18" t="n">
        <v>225</v>
      </c>
      <c r="I1041" s="18" t="n">
        <f aca="false">((I1040 + G1041) - H1041)</f>
        <v>-579147.52</v>
      </c>
      <c r="J1041" s="18" t="n">
        <v>-22.5</v>
      </c>
      <c r="K1041" s="19" t="n">
        <v>10</v>
      </c>
      <c r="L1041" s="17" t="s">
        <v>22</v>
      </c>
    </row>
    <row r="1042" s="11" customFormat="true" ht="10.95" hidden="false" customHeight="true" outlineLevel="0" collapsed="false">
      <c r="A1042" s="16" t="n">
        <v>45372</v>
      </c>
      <c r="B1042" s="17" t="s">
        <v>17</v>
      </c>
      <c r="C1042" s="17" t="s">
        <v>18</v>
      </c>
      <c r="D1042" s="17" t="s">
        <v>19</v>
      </c>
      <c r="E1042" s="17" t="s">
        <v>26</v>
      </c>
      <c r="F1042" s="17" t="s">
        <v>551</v>
      </c>
      <c r="G1042" s="18" t="n">
        <v>0</v>
      </c>
      <c r="H1042" s="18" t="n">
        <v>595</v>
      </c>
      <c r="I1042" s="18" t="n">
        <f aca="false">((I1041 + G1042) - H1042)</f>
        <v>-579742.52</v>
      </c>
      <c r="J1042" s="18" t="n">
        <v>-59.5</v>
      </c>
      <c r="K1042" s="19" t="n">
        <v>10</v>
      </c>
      <c r="L1042" s="17" t="s">
        <v>22</v>
      </c>
    </row>
    <row r="1043" s="11" customFormat="true" ht="10.95" hidden="false" customHeight="true" outlineLevel="0" collapsed="false">
      <c r="A1043" s="16" t="n">
        <v>45372</v>
      </c>
      <c r="B1043" s="17" t="s">
        <v>17</v>
      </c>
      <c r="C1043" s="17" t="s">
        <v>18</v>
      </c>
      <c r="D1043" s="17" t="s">
        <v>19</v>
      </c>
      <c r="E1043" s="17" t="s">
        <v>28</v>
      </c>
      <c r="F1043" s="17" t="s">
        <v>552</v>
      </c>
      <c r="G1043" s="18" t="n">
        <v>0</v>
      </c>
      <c r="H1043" s="18" t="n">
        <v>1149.5</v>
      </c>
      <c r="I1043" s="18" t="n">
        <f aca="false">((I1042 + G1043) - H1043)</f>
        <v>-580892.02</v>
      </c>
      <c r="J1043" s="18" t="n">
        <v>-114.95</v>
      </c>
      <c r="K1043" s="19" t="n">
        <v>10</v>
      </c>
      <c r="L1043" s="17" t="s">
        <v>22</v>
      </c>
    </row>
    <row r="1044" s="11" customFormat="true" ht="10.95" hidden="false" customHeight="true" outlineLevel="0" collapsed="false">
      <c r="A1044" s="16" t="n">
        <v>45372</v>
      </c>
      <c r="B1044" s="17" t="s">
        <v>17</v>
      </c>
      <c r="C1044" s="17" t="s">
        <v>18</v>
      </c>
      <c r="D1044" s="17" t="s">
        <v>19</v>
      </c>
      <c r="E1044" s="17" t="s">
        <v>482</v>
      </c>
      <c r="F1044" s="17" t="s">
        <v>552</v>
      </c>
      <c r="G1044" s="18" t="n">
        <v>0</v>
      </c>
      <c r="H1044" s="18" t="n">
        <v>110</v>
      </c>
      <c r="I1044" s="18" t="n">
        <f aca="false">((I1043 + G1044) - H1044)</f>
        <v>-581002.02</v>
      </c>
      <c r="J1044" s="18" t="n">
        <v>-11</v>
      </c>
      <c r="K1044" s="19" t="n">
        <v>10</v>
      </c>
      <c r="L1044" s="17" t="s">
        <v>22</v>
      </c>
    </row>
    <row r="1045" s="11" customFormat="true" ht="10.95" hidden="false" customHeight="true" outlineLevel="0" collapsed="false">
      <c r="A1045" s="16" t="n">
        <v>45372</v>
      </c>
      <c r="B1045" s="17" t="s">
        <v>17</v>
      </c>
      <c r="C1045" s="17" t="s">
        <v>18</v>
      </c>
      <c r="D1045" s="17" t="s">
        <v>19</v>
      </c>
      <c r="E1045" s="17" t="s">
        <v>30</v>
      </c>
      <c r="F1045" s="17" t="s">
        <v>553</v>
      </c>
      <c r="G1045" s="18" t="n">
        <v>0</v>
      </c>
      <c r="H1045" s="18" t="n">
        <v>85</v>
      </c>
      <c r="I1045" s="18" t="n">
        <f aca="false">((I1044 + G1045) - H1045)</f>
        <v>-581087.02</v>
      </c>
      <c r="J1045" s="18" t="n">
        <v>-8.5</v>
      </c>
      <c r="K1045" s="19" t="n">
        <v>10</v>
      </c>
      <c r="L1045" s="17" t="s">
        <v>22</v>
      </c>
    </row>
    <row r="1046" s="11" customFormat="true" ht="10.95" hidden="false" customHeight="true" outlineLevel="0" collapsed="false">
      <c r="A1046" s="16" t="n">
        <v>45372</v>
      </c>
      <c r="B1046" s="17" t="s">
        <v>17</v>
      </c>
      <c r="C1046" s="17" t="s">
        <v>18</v>
      </c>
      <c r="D1046" s="17" t="s">
        <v>19</v>
      </c>
      <c r="E1046" s="17" t="s">
        <v>32</v>
      </c>
      <c r="F1046" s="17" t="s">
        <v>554</v>
      </c>
      <c r="G1046" s="18" t="n">
        <v>0</v>
      </c>
      <c r="H1046" s="18" t="n">
        <v>195</v>
      </c>
      <c r="I1046" s="18" t="n">
        <f aca="false">((I1045 + G1046) - H1046)</f>
        <v>-581282.02</v>
      </c>
      <c r="J1046" s="18" t="n">
        <v>-19.5</v>
      </c>
      <c r="K1046" s="19" t="n">
        <v>10</v>
      </c>
      <c r="L1046" s="17" t="s">
        <v>22</v>
      </c>
    </row>
    <row r="1047" s="11" customFormat="true" ht="10.95" hidden="false" customHeight="true" outlineLevel="0" collapsed="false">
      <c r="A1047" s="16" t="n">
        <v>45372</v>
      </c>
      <c r="B1047" s="17" t="s">
        <v>17</v>
      </c>
      <c r="C1047" s="17" t="s">
        <v>18</v>
      </c>
      <c r="D1047" s="17" t="s">
        <v>19</v>
      </c>
      <c r="E1047" s="17" t="s">
        <v>34</v>
      </c>
      <c r="F1047" s="17" t="s">
        <v>554</v>
      </c>
      <c r="G1047" s="18" t="n">
        <v>0</v>
      </c>
      <c r="H1047" s="18" t="n">
        <v>30</v>
      </c>
      <c r="I1047" s="18" t="n">
        <f aca="false">((I1046 + G1047) - H1047)</f>
        <v>-581312.02</v>
      </c>
      <c r="J1047" s="18" t="n">
        <v>-3</v>
      </c>
      <c r="K1047" s="19" t="n">
        <v>10</v>
      </c>
      <c r="L1047" s="17" t="s">
        <v>22</v>
      </c>
    </row>
    <row r="1048" s="11" customFormat="true" ht="10.95" hidden="false" customHeight="true" outlineLevel="0" collapsed="false">
      <c r="A1048" s="16" t="n">
        <v>45372</v>
      </c>
      <c r="B1048" s="17" t="s">
        <v>17</v>
      </c>
      <c r="C1048" s="17" t="s">
        <v>18</v>
      </c>
      <c r="D1048" s="17" t="s">
        <v>19</v>
      </c>
      <c r="E1048" s="17" t="s">
        <v>486</v>
      </c>
      <c r="F1048" s="17" t="s">
        <v>554</v>
      </c>
      <c r="G1048" s="18" t="n">
        <v>0</v>
      </c>
      <c r="H1048" s="18" t="n">
        <v>100</v>
      </c>
      <c r="I1048" s="18" t="n">
        <f aca="false">((I1047 + G1048) - H1048)</f>
        <v>-581412.02</v>
      </c>
      <c r="J1048" s="18" t="n">
        <v>-10</v>
      </c>
      <c r="K1048" s="19" t="n">
        <v>10</v>
      </c>
      <c r="L1048" s="17" t="s">
        <v>22</v>
      </c>
    </row>
    <row r="1049" s="11" customFormat="true" ht="10.95" hidden="false" customHeight="true" outlineLevel="0" collapsed="false">
      <c r="A1049" s="16" t="n">
        <v>45372</v>
      </c>
      <c r="B1049" s="17" t="s">
        <v>17</v>
      </c>
      <c r="C1049" s="17" t="s">
        <v>18</v>
      </c>
      <c r="D1049" s="17" t="s">
        <v>19</v>
      </c>
      <c r="E1049" s="17" t="s">
        <v>36</v>
      </c>
      <c r="F1049" s="17" t="s">
        <v>555</v>
      </c>
      <c r="G1049" s="18" t="n">
        <v>0</v>
      </c>
      <c r="H1049" s="18" t="n">
        <v>720</v>
      </c>
      <c r="I1049" s="18" t="n">
        <f aca="false">((I1048 + G1049) - H1049)</f>
        <v>-582132.02</v>
      </c>
      <c r="J1049" s="18" t="n">
        <v>-72</v>
      </c>
      <c r="K1049" s="19" t="n">
        <v>10</v>
      </c>
      <c r="L1049" s="17" t="s">
        <v>22</v>
      </c>
    </row>
    <row r="1050" s="11" customFormat="true" ht="10.95" hidden="false" customHeight="true" outlineLevel="0" collapsed="false">
      <c r="A1050" s="16" t="n">
        <v>45372</v>
      </c>
      <c r="B1050" s="17" t="s">
        <v>17</v>
      </c>
      <c r="C1050" s="17" t="s">
        <v>18</v>
      </c>
      <c r="D1050" s="17" t="s">
        <v>19</v>
      </c>
      <c r="E1050" s="17" t="s">
        <v>38</v>
      </c>
      <c r="F1050" s="17" t="s">
        <v>555</v>
      </c>
      <c r="G1050" s="18" t="n">
        <v>0</v>
      </c>
      <c r="H1050" s="18" t="n">
        <v>110</v>
      </c>
      <c r="I1050" s="18" t="n">
        <f aca="false">((I1049 + G1050) - H1050)</f>
        <v>-582242.02</v>
      </c>
      <c r="J1050" s="18" t="n">
        <v>-11</v>
      </c>
      <c r="K1050" s="19" t="n">
        <v>10</v>
      </c>
      <c r="L1050" s="17" t="s">
        <v>22</v>
      </c>
    </row>
    <row r="1051" s="11" customFormat="true" ht="10.95" hidden="false" customHeight="true" outlineLevel="0" collapsed="false">
      <c r="A1051" s="16" t="n">
        <v>45372</v>
      </c>
      <c r="B1051" s="17" t="s">
        <v>17</v>
      </c>
      <c r="C1051" s="17" t="s">
        <v>18</v>
      </c>
      <c r="D1051" s="17" t="s">
        <v>19</v>
      </c>
      <c r="E1051" s="17" t="s">
        <v>39</v>
      </c>
      <c r="F1051" s="17" t="s">
        <v>555</v>
      </c>
      <c r="G1051" s="18" t="n">
        <v>0</v>
      </c>
      <c r="H1051" s="18" t="n">
        <v>165</v>
      </c>
      <c r="I1051" s="18" t="n">
        <f aca="false">((I1050 + G1051) - H1051)</f>
        <v>-582407.02</v>
      </c>
      <c r="J1051" s="18" t="n">
        <v>-16.5</v>
      </c>
      <c r="K1051" s="19" t="n">
        <v>10</v>
      </c>
      <c r="L1051" s="17" t="s">
        <v>22</v>
      </c>
    </row>
    <row r="1052" s="11" customFormat="true" ht="10.95" hidden="false" customHeight="true" outlineLevel="0" collapsed="false">
      <c r="A1052" s="16" t="n">
        <v>45372</v>
      </c>
      <c r="B1052" s="17" t="s">
        <v>17</v>
      </c>
      <c r="C1052" s="17" t="s">
        <v>18</v>
      </c>
      <c r="D1052" s="17" t="s">
        <v>19</v>
      </c>
      <c r="E1052" s="17" t="s">
        <v>47</v>
      </c>
      <c r="F1052" s="17" t="s">
        <v>556</v>
      </c>
      <c r="G1052" s="18" t="n">
        <v>0</v>
      </c>
      <c r="H1052" s="18" t="n">
        <v>260</v>
      </c>
      <c r="I1052" s="18" t="n">
        <f aca="false">((I1051 + G1052) - H1052)</f>
        <v>-582667.02</v>
      </c>
      <c r="J1052" s="18" t="n">
        <v>-26</v>
      </c>
      <c r="K1052" s="19" t="n">
        <v>10</v>
      </c>
      <c r="L1052" s="17" t="s">
        <v>22</v>
      </c>
    </row>
    <row r="1053" s="11" customFormat="true" ht="10.95" hidden="false" customHeight="true" outlineLevel="0" collapsed="false">
      <c r="A1053" s="16" t="n">
        <v>45372</v>
      </c>
      <c r="B1053" s="17" t="s">
        <v>17</v>
      </c>
      <c r="C1053" s="17" t="s">
        <v>18</v>
      </c>
      <c r="D1053" s="17" t="s">
        <v>19</v>
      </c>
      <c r="E1053" s="17" t="s">
        <v>49</v>
      </c>
      <c r="F1053" s="17" t="s">
        <v>556</v>
      </c>
      <c r="G1053" s="18" t="n">
        <v>0</v>
      </c>
      <c r="H1053" s="18" t="n">
        <v>100</v>
      </c>
      <c r="I1053" s="18" t="n">
        <f aca="false">((I1052 + G1053) - H1053)</f>
        <v>-582767.02</v>
      </c>
      <c r="J1053" s="18" t="n">
        <v>-10</v>
      </c>
      <c r="K1053" s="19" t="n">
        <v>10</v>
      </c>
      <c r="L1053" s="17" t="s">
        <v>22</v>
      </c>
    </row>
    <row r="1054" s="11" customFormat="true" ht="10.95" hidden="false" customHeight="true" outlineLevel="0" collapsed="false">
      <c r="A1054" s="16" t="n">
        <v>45372</v>
      </c>
      <c r="B1054" s="17" t="s">
        <v>17</v>
      </c>
      <c r="C1054" s="17" t="s">
        <v>18</v>
      </c>
      <c r="D1054" s="17" t="s">
        <v>19</v>
      </c>
      <c r="E1054" s="17" t="s">
        <v>50</v>
      </c>
      <c r="F1054" s="17" t="s">
        <v>557</v>
      </c>
      <c r="G1054" s="18" t="n">
        <v>0</v>
      </c>
      <c r="H1054" s="18" t="n">
        <v>2040</v>
      </c>
      <c r="I1054" s="18" t="n">
        <f aca="false">((I1053 + G1054) - H1054)</f>
        <v>-584807.02</v>
      </c>
      <c r="J1054" s="18" t="n">
        <v>-204</v>
      </c>
      <c r="K1054" s="19" t="n">
        <v>10</v>
      </c>
      <c r="L1054" s="17" t="s">
        <v>22</v>
      </c>
    </row>
    <row r="1055" s="11" customFormat="true" ht="10.95" hidden="false" customHeight="true" outlineLevel="0" collapsed="false">
      <c r="A1055" s="16" t="n">
        <v>45372</v>
      </c>
      <c r="B1055" s="17" t="s">
        <v>17</v>
      </c>
      <c r="C1055" s="17" t="s">
        <v>18</v>
      </c>
      <c r="D1055" s="17" t="s">
        <v>19</v>
      </c>
      <c r="E1055" s="17" t="s">
        <v>52</v>
      </c>
      <c r="F1055" s="17" t="s">
        <v>558</v>
      </c>
      <c r="G1055" s="18" t="n">
        <v>0</v>
      </c>
      <c r="H1055" s="18" t="n">
        <v>1000.05</v>
      </c>
      <c r="I1055" s="18" t="n">
        <f aca="false">((I1054 + G1055) - H1055)</f>
        <v>-585807.07</v>
      </c>
      <c r="J1055" s="18" t="n">
        <v>-100.01</v>
      </c>
      <c r="K1055" s="19" t="n">
        <v>10</v>
      </c>
      <c r="L1055" s="17" t="s">
        <v>22</v>
      </c>
    </row>
    <row r="1056" s="11" customFormat="true" ht="10.95" hidden="false" customHeight="true" outlineLevel="0" collapsed="false">
      <c r="A1056" s="16" t="n">
        <v>45372</v>
      </c>
      <c r="B1056" s="17" t="s">
        <v>17</v>
      </c>
      <c r="C1056" s="17" t="s">
        <v>18</v>
      </c>
      <c r="D1056" s="17" t="s">
        <v>19</v>
      </c>
      <c r="E1056" s="17" t="s">
        <v>491</v>
      </c>
      <c r="F1056" s="17" t="s">
        <v>559</v>
      </c>
      <c r="G1056" s="18" t="n">
        <v>0</v>
      </c>
      <c r="H1056" s="18" t="n">
        <v>550</v>
      </c>
      <c r="I1056" s="18" t="n">
        <f aca="false">((I1055 + G1056) - H1056)</f>
        <v>-586357.07</v>
      </c>
      <c r="J1056" s="18" t="n">
        <v>-55</v>
      </c>
      <c r="K1056" s="19" t="n">
        <v>10</v>
      </c>
      <c r="L1056" s="17" t="s">
        <v>22</v>
      </c>
    </row>
    <row r="1057" s="11" customFormat="true" ht="10.95" hidden="false" customHeight="true" outlineLevel="0" collapsed="false">
      <c r="A1057" s="16" t="n">
        <v>45372</v>
      </c>
      <c r="B1057" s="17" t="s">
        <v>17</v>
      </c>
      <c r="C1057" s="17" t="s">
        <v>18</v>
      </c>
      <c r="D1057" s="17" t="s">
        <v>19</v>
      </c>
      <c r="E1057" s="17" t="s">
        <v>493</v>
      </c>
      <c r="F1057" s="17" t="s">
        <v>559</v>
      </c>
      <c r="G1057" s="18" t="n">
        <v>0</v>
      </c>
      <c r="H1057" s="18" t="n">
        <v>110</v>
      </c>
      <c r="I1057" s="18" t="n">
        <f aca="false">((I1056 + G1057) - H1057)</f>
        <v>-586467.07</v>
      </c>
      <c r="J1057" s="18" t="n">
        <v>-11</v>
      </c>
      <c r="K1057" s="19" t="n">
        <v>10</v>
      </c>
      <c r="L1057" s="17" t="s">
        <v>22</v>
      </c>
    </row>
    <row r="1058" s="11" customFormat="true" ht="10.95" hidden="false" customHeight="true" outlineLevel="0" collapsed="false">
      <c r="A1058" s="16" t="n">
        <v>45372</v>
      </c>
      <c r="B1058" s="17" t="s">
        <v>17</v>
      </c>
      <c r="C1058" s="17" t="s">
        <v>18</v>
      </c>
      <c r="D1058" s="17" t="s">
        <v>19</v>
      </c>
      <c r="E1058" s="17" t="s">
        <v>57</v>
      </c>
      <c r="F1058" s="17" t="s">
        <v>559</v>
      </c>
      <c r="G1058" s="18" t="n">
        <v>0</v>
      </c>
      <c r="H1058" s="18" t="n">
        <v>132</v>
      </c>
      <c r="I1058" s="18" t="n">
        <f aca="false">((I1057 + G1058) - H1058)</f>
        <v>-586599.07</v>
      </c>
      <c r="J1058" s="18" t="n">
        <v>-13.2</v>
      </c>
      <c r="K1058" s="19" t="n">
        <v>10</v>
      </c>
      <c r="L1058" s="17" t="s">
        <v>22</v>
      </c>
    </row>
    <row r="1059" s="11" customFormat="true" ht="10.95" hidden="false" customHeight="true" outlineLevel="0" collapsed="false">
      <c r="A1059" s="16" t="n">
        <v>45372</v>
      </c>
      <c r="B1059" s="17" t="s">
        <v>17</v>
      </c>
      <c r="C1059" s="17" t="s">
        <v>18</v>
      </c>
      <c r="D1059" s="17" t="s">
        <v>19</v>
      </c>
      <c r="E1059" s="17" t="s">
        <v>58</v>
      </c>
      <c r="F1059" s="17" t="s">
        <v>559</v>
      </c>
      <c r="G1059" s="18" t="n">
        <v>0</v>
      </c>
      <c r="H1059" s="18" t="n">
        <v>165</v>
      </c>
      <c r="I1059" s="18" t="n">
        <f aca="false">((I1058 + G1059) - H1059)</f>
        <v>-586764.07</v>
      </c>
      <c r="J1059" s="18" t="n">
        <v>-16.5</v>
      </c>
      <c r="K1059" s="19" t="n">
        <v>10</v>
      </c>
      <c r="L1059" s="17" t="s">
        <v>22</v>
      </c>
    </row>
    <row r="1060" s="11" customFormat="true" ht="10.95" hidden="false" customHeight="true" outlineLevel="0" collapsed="false">
      <c r="A1060" s="16" t="n">
        <v>45372</v>
      </c>
      <c r="B1060" s="17" t="s">
        <v>17</v>
      </c>
      <c r="C1060" s="17" t="s">
        <v>18</v>
      </c>
      <c r="D1060" s="17" t="s">
        <v>19</v>
      </c>
      <c r="E1060" s="17" t="s">
        <v>59</v>
      </c>
      <c r="F1060" s="17" t="s">
        <v>560</v>
      </c>
      <c r="G1060" s="18" t="n">
        <v>0</v>
      </c>
      <c r="H1060" s="18" t="n">
        <v>4800</v>
      </c>
      <c r="I1060" s="18" t="n">
        <f aca="false">((I1059 + G1060) - H1060)</f>
        <v>-591564.07</v>
      </c>
      <c r="J1060" s="18" t="n">
        <v>-480</v>
      </c>
      <c r="K1060" s="19" t="n">
        <v>10</v>
      </c>
      <c r="L1060" s="17" t="s">
        <v>22</v>
      </c>
    </row>
    <row r="1061" s="11" customFormat="true" ht="10.95" hidden="false" customHeight="true" outlineLevel="0" collapsed="false">
      <c r="A1061" s="16" t="n">
        <v>45372</v>
      </c>
      <c r="B1061" s="17" t="s">
        <v>17</v>
      </c>
      <c r="C1061" s="17" t="s">
        <v>18</v>
      </c>
      <c r="D1061" s="17" t="s">
        <v>19</v>
      </c>
      <c r="E1061" s="17" t="s">
        <v>61</v>
      </c>
      <c r="F1061" s="17" t="s">
        <v>560</v>
      </c>
      <c r="G1061" s="18" t="n">
        <v>0</v>
      </c>
      <c r="H1061" s="18" t="n">
        <v>3990</v>
      </c>
      <c r="I1061" s="18" t="n">
        <f aca="false">((I1060 + G1061) - H1061)</f>
        <v>-595554.07</v>
      </c>
      <c r="J1061" s="18" t="n">
        <v>-399</v>
      </c>
      <c r="K1061" s="19" t="n">
        <v>10</v>
      </c>
      <c r="L1061" s="17" t="s">
        <v>22</v>
      </c>
    </row>
    <row r="1062" s="11" customFormat="true" ht="10.95" hidden="false" customHeight="true" outlineLevel="0" collapsed="false">
      <c r="A1062" s="16" t="n">
        <v>45372</v>
      </c>
      <c r="B1062" s="17" t="s">
        <v>17</v>
      </c>
      <c r="C1062" s="17" t="s">
        <v>18</v>
      </c>
      <c r="D1062" s="17" t="s">
        <v>19</v>
      </c>
      <c r="E1062" s="17" t="s">
        <v>62</v>
      </c>
      <c r="F1062" s="17" t="s">
        <v>560</v>
      </c>
      <c r="G1062" s="18" t="n">
        <v>0</v>
      </c>
      <c r="H1062" s="18" t="n">
        <v>300</v>
      </c>
      <c r="I1062" s="18" t="n">
        <f aca="false">((I1061 + G1062) - H1062)</f>
        <v>-595854.07</v>
      </c>
      <c r="J1062" s="18" t="n">
        <v>-30</v>
      </c>
      <c r="K1062" s="19" t="n">
        <v>10</v>
      </c>
      <c r="L1062" s="17" t="s">
        <v>22</v>
      </c>
    </row>
    <row r="1063" s="11" customFormat="true" ht="10.95" hidden="false" customHeight="true" outlineLevel="0" collapsed="false">
      <c r="A1063" s="16" t="n">
        <v>45372</v>
      </c>
      <c r="B1063" s="17" t="s">
        <v>17</v>
      </c>
      <c r="C1063" s="17" t="s">
        <v>18</v>
      </c>
      <c r="D1063" s="17" t="s">
        <v>19</v>
      </c>
      <c r="E1063" s="17" t="s">
        <v>59</v>
      </c>
      <c r="F1063" s="17" t="s">
        <v>561</v>
      </c>
      <c r="G1063" s="18" t="n">
        <v>0</v>
      </c>
      <c r="H1063" s="18" t="n">
        <v>4800</v>
      </c>
      <c r="I1063" s="18" t="n">
        <f aca="false">((I1062 + G1063) - H1063)</f>
        <v>-600654.07</v>
      </c>
      <c r="J1063" s="18" t="n">
        <v>-480</v>
      </c>
      <c r="K1063" s="19" t="n">
        <v>10</v>
      </c>
      <c r="L1063" s="17" t="s">
        <v>22</v>
      </c>
    </row>
    <row r="1064" s="11" customFormat="true" ht="10.95" hidden="false" customHeight="true" outlineLevel="0" collapsed="false">
      <c r="A1064" s="16" t="n">
        <v>45372</v>
      </c>
      <c r="B1064" s="17" t="s">
        <v>17</v>
      </c>
      <c r="C1064" s="17" t="s">
        <v>18</v>
      </c>
      <c r="D1064" s="17" t="s">
        <v>19</v>
      </c>
      <c r="E1064" s="17" t="s">
        <v>61</v>
      </c>
      <c r="F1064" s="17" t="s">
        <v>561</v>
      </c>
      <c r="G1064" s="18" t="n">
        <v>0</v>
      </c>
      <c r="H1064" s="18" t="n">
        <v>3990</v>
      </c>
      <c r="I1064" s="18" t="n">
        <f aca="false">((I1063 + G1064) - H1064)</f>
        <v>-604644.07</v>
      </c>
      <c r="J1064" s="18" t="n">
        <v>-399</v>
      </c>
      <c r="K1064" s="19" t="n">
        <v>10</v>
      </c>
      <c r="L1064" s="17" t="s">
        <v>22</v>
      </c>
    </row>
    <row r="1065" s="11" customFormat="true" ht="10.95" hidden="false" customHeight="true" outlineLevel="0" collapsed="false">
      <c r="A1065" s="16" t="n">
        <v>45372</v>
      </c>
      <c r="B1065" s="17" t="s">
        <v>17</v>
      </c>
      <c r="C1065" s="17" t="s">
        <v>18</v>
      </c>
      <c r="D1065" s="17" t="s">
        <v>19</v>
      </c>
      <c r="E1065" s="17" t="s">
        <v>62</v>
      </c>
      <c r="F1065" s="17" t="s">
        <v>561</v>
      </c>
      <c r="G1065" s="18" t="n">
        <v>0</v>
      </c>
      <c r="H1065" s="18" t="n">
        <v>300</v>
      </c>
      <c r="I1065" s="18" t="n">
        <f aca="false">((I1064 + G1065) - H1065)</f>
        <v>-604944.07</v>
      </c>
      <c r="J1065" s="18" t="n">
        <v>-30</v>
      </c>
      <c r="K1065" s="19" t="n">
        <v>10</v>
      </c>
      <c r="L1065" s="17" t="s">
        <v>22</v>
      </c>
    </row>
    <row r="1066" s="11" customFormat="true" ht="10.95" hidden="false" customHeight="true" outlineLevel="0" collapsed="false">
      <c r="A1066" s="16" t="n">
        <v>45372</v>
      </c>
      <c r="B1066" s="17" t="s">
        <v>17</v>
      </c>
      <c r="C1066" s="17" t="s">
        <v>18</v>
      </c>
      <c r="D1066" s="17" t="s">
        <v>19</v>
      </c>
      <c r="E1066" s="17" t="s">
        <v>64</v>
      </c>
      <c r="F1066" s="17" t="s">
        <v>562</v>
      </c>
      <c r="G1066" s="18" t="n">
        <v>0</v>
      </c>
      <c r="H1066" s="18" t="n">
        <v>3850</v>
      </c>
      <c r="I1066" s="18" t="n">
        <f aca="false">((I1065 + G1066) - H1066)</f>
        <v>-608794.07</v>
      </c>
      <c r="J1066" s="18" t="n">
        <v>-385</v>
      </c>
      <c r="K1066" s="19" t="n">
        <v>10</v>
      </c>
      <c r="L1066" s="17" t="s">
        <v>22</v>
      </c>
    </row>
    <row r="1067" s="11" customFormat="true" ht="10.95" hidden="false" customHeight="true" outlineLevel="0" collapsed="false">
      <c r="A1067" s="16" t="n">
        <v>45372</v>
      </c>
      <c r="B1067" s="17" t="s">
        <v>17</v>
      </c>
      <c r="C1067" s="17" t="s">
        <v>18</v>
      </c>
      <c r="D1067" s="17" t="s">
        <v>19</v>
      </c>
      <c r="E1067" s="17" t="s">
        <v>66</v>
      </c>
      <c r="F1067" s="17" t="s">
        <v>562</v>
      </c>
      <c r="G1067" s="18" t="n">
        <v>0</v>
      </c>
      <c r="H1067" s="18" t="n">
        <v>220</v>
      </c>
      <c r="I1067" s="18" t="n">
        <f aca="false">((I1066 + G1067) - H1067)</f>
        <v>-609014.07</v>
      </c>
      <c r="J1067" s="18" t="n">
        <v>-22</v>
      </c>
      <c r="K1067" s="19" t="n">
        <v>10</v>
      </c>
      <c r="L1067" s="17" t="s">
        <v>22</v>
      </c>
    </row>
    <row r="1068" s="11" customFormat="true" ht="10.95" hidden="false" customHeight="true" outlineLevel="0" collapsed="false">
      <c r="A1068" s="16" t="n">
        <v>45372</v>
      </c>
      <c r="B1068" s="17" t="s">
        <v>17</v>
      </c>
      <c r="C1068" s="17" t="s">
        <v>18</v>
      </c>
      <c r="D1068" s="17" t="s">
        <v>19</v>
      </c>
      <c r="E1068" s="17" t="s">
        <v>67</v>
      </c>
      <c r="F1068" s="17" t="s">
        <v>562</v>
      </c>
      <c r="G1068" s="18" t="n">
        <v>0</v>
      </c>
      <c r="H1068" s="18" t="n">
        <v>220</v>
      </c>
      <c r="I1068" s="18" t="n">
        <f aca="false">((I1067 + G1068) - H1068)</f>
        <v>-609234.07</v>
      </c>
      <c r="J1068" s="18" t="n">
        <v>-22</v>
      </c>
      <c r="K1068" s="19" t="n">
        <v>10</v>
      </c>
      <c r="L1068" s="17" t="s">
        <v>22</v>
      </c>
    </row>
    <row r="1069" s="11" customFormat="true" ht="10.95" hidden="false" customHeight="true" outlineLevel="0" collapsed="false">
      <c r="A1069" s="16" t="n">
        <v>45372</v>
      </c>
      <c r="B1069" s="17" t="s">
        <v>17</v>
      </c>
      <c r="C1069" s="17" t="s">
        <v>18</v>
      </c>
      <c r="D1069" s="17" t="s">
        <v>19</v>
      </c>
      <c r="E1069" s="17" t="s">
        <v>68</v>
      </c>
      <c r="F1069" s="17" t="s">
        <v>562</v>
      </c>
      <c r="G1069" s="18" t="n">
        <v>0</v>
      </c>
      <c r="H1069" s="18" t="n">
        <v>250</v>
      </c>
      <c r="I1069" s="18" t="n">
        <f aca="false">((I1068 + G1069) - H1069)</f>
        <v>-609484.07</v>
      </c>
      <c r="J1069" s="18" t="n">
        <v>-25</v>
      </c>
      <c r="K1069" s="19" t="n">
        <v>10</v>
      </c>
      <c r="L1069" s="17" t="s">
        <v>22</v>
      </c>
    </row>
    <row r="1070" s="11" customFormat="true" ht="10.95" hidden="false" customHeight="true" outlineLevel="0" collapsed="false">
      <c r="A1070" s="16" t="n">
        <v>45372</v>
      </c>
      <c r="B1070" s="17" t="s">
        <v>17</v>
      </c>
      <c r="C1070" s="17" t="s">
        <v>18</v>
      </c>
      <c r="D1070" s="17" t="s">
        <v>19</v>
      </c>
      <c r="E1070" s="17" t="s">
        <v>69</v>
      </c>
      <c r="F1070" s="17" t="s">
        <v>563</v>
      </c>
      <c r="G1070" s="18" t="n">
        <v>0</v>
      </c>
      <c r="H1070" s="18" t="n">
        <v>880</v>
      </c>
      <c r="I1070" s="18" t="n">
        <f aca="false">((I1069 + G1070) - H1070)</f>
        <v>-610364.07</v>
      </c>
      <c r="J1070" s="18" t="n">
        <v>-88</v>
      </c>
      <c r="K1070" s="19" t="n">
        <v>10</v>
      </c>
      <c r="L1070" s="17" t="s">
        <v>22</v>
      </c>
    </row>
    <row r="1071" s="11" customFormat="true" ht="10.95" hidden="false" customHeight="true" outlineLevel="0" collapsed="false">
      <c r="A1071" s="16" t="n">
        <v>45372</v>
      </c>
      <c r="B1071" s="17" t="s">
        <v>17</v>
      </c>
      <c r="C1071" s="17" t="s">
        <v>18</v>
      </c>
      <c r="D1071" s="17" t="s">
        <v>19</v>
      </c>
      <c r="E1071" s="17" t="s">
        <v>201</v>
      </c>
      <c r="F1071" s="17" t="s">
        <v>564</v>
      </c>
      <c r="G1071" s="18" t="n">
        <v>0</v>
      </c>
      <c r="H1071" s="18" t="n">
        <v>720</v>
      </c>
      <c r="I1071" s="18" t="n">
        <f aca="false">((I1070 + G1071) - H1071)</f>
        <v>-611084.07</v>
      </c>
      <c r="J1071" s="18" t="n">
        <v>-72</v>
      </c>
      <c r="K1071" s="19" t="n">
        <v>10</v>
      </c>
      <c r="L1071" s="17" t="s">
        <v>22</v>
      </c>
    </row>
    <row r="1072" s="11" customFormat="true" ht="10.95" hidden="false" customHeight="true" outlineLevel="0" collapsed="false">
      <c r="A1072" s="16" t="n">
        <v>45372</v>
      </c>
      <c r="B1072" s="17" t="s">
        <v>17</v>
      </c>
      <c r="C1072" s="17" t="s">
        <v>18</v>
      </c>
      <c r="D1072" s="17" t="s">
        <v>19</v>
      </c>
      <c r="E1072" s="17" t="s">
        <v>203</v>
      </c>
      <c r="F1072" s="17" t="s">
        <v>564</v>
      </c>
      <c r="G1072" s="18" t="n">
        <v>0</v>
      </c>
      <c r="H1072" s="18" t="n">
        <v>110</v>
      </c>
      <c r="I1072" s="18" t="n">
        <f aca="false">((I1071 + G1072) - H1072)</f>
        <v>-611194.07</v>
      </c>
      <c r="J1072" s="18" t="n">
        <v>-11</v>
      </c>
      <c r="K1072" s="19" t="n">
        <v>10</v>
      </c>
      <c r="L1072" s="17" t="s">
        <v>22</v>
      </c>
    </row>
    <row r="1073" s="11" customFormat="true" ht="10.95" hidden="false" customHeight="true" outlineLevel="0" collapsed="false">
      <c r="A1073" s="16" t="n">
        <v>45372</v>
      </c>
      <c r="B1073" s="17" t="s">
        <v>17</v>
      </c>
      <c r="C1073" s="17" t="s">
        <v>18</v>
      </c>
      <c r="D1073" s="17" t="s">
        <v>19</v>
      </c>
      <c r="E1073" s="17" t="s">
        <v>74</v>
      </c>
      <c r="F1073" s="17" t="s">
        <v>565</v>
      </c>
      <c r="G1073" s="18" t="n">
        <v>0</v>
      </c>
      <c r="H1073" s="18" t="n">
        <v>1692</v>
      </c>
      <c r="I1073" s="18" t="n">
        <f aca="false">((I1072 + G1073) - H1073)</f>
        <v>-612886.07</v>
      </c>
      <c r="J1073" s="18" t="n">
        <v>-169.2</v>
      </c>
      <c r="K1073" s="19" t="n">
        <v>10</v>
      </c>
      <c r="L1073" s="17" t="s">
        <v>22</v>
      </c>
    </row>
    <row r="1074" s="11" customFormat="true" ht="10.95" hidden="false" customHeight="true" outlineLevel="0" collapsed="false">
      <c r="A1074" s="16" t="n">
        <v>45372</v>
      </c>
      <c r="B1074" s="17" t="s">
        <v>17</v>
      </c>
      <c r="C1074" s="17" t="s">
        <v>18</v>
      </c>
      <c r="D1074" s="17" t="s">
        <v>19</v>
      </c>
      <c r="E1074" s="17" t="s">
        <v>566</v>
      </c>
      <c r="F1074" s="17" t="s">
        <v>567</v>
      </c>
      <c r="G1074" s="18" t="n">
        <v>0</v>
      </c>
      <c r="H1074" s="18" t="n">
        <v>209</v>
      </c>
      <c r="I1074" s="18" t="n">
        <f aca="false">((I1073 + G1074) - H1074)</f>
        <v>-613095.07</v>
      </c>
      <c r="J1074" s="18" t="n">
        <v>-20.9</v>
      </c>
      <c r="K1074" s="19" t="n">
        <v>10</v>
      </c>
      <c r="L1074" s="17" t="s">
        <v>22</v>
      </c>
    </row>
    <row r="1075" s="11" customFormat="true" ht="10.95" hidden="false" customHeight="true" outlineLevel="0" collapsed="false">
      <c r="A1075" s="16" t="n">
        <v>45372</v>
      </c>
      <c r="B1075" s="17" t="s">
        <v>17</v>
      </c>
      <c r="C1075" s="17" t="s">
        <v>18</v>
      </c>
      <c r="D1075" s="17" t="s">
        <v>19</v>
      </c>
      <c r="E1075" s="17" t="s">
        <v>76</v>
      </c>
      <c r="F1075" s="17" t="s">
        <v>568</v>
      </c>
      <c r="G1075" s="18" t="n">
        <v>0</v>
      </c>
      <c r="H1075" s="18" t="n">
        <v>104.5</v>
      </c>
      <c r="I1075" s="18" t="n">
        <f aca="false">((I1074 + G1075) - H1075)</f>
        <v>-613199.57</v>
      </c>
      <c r="J1075" s="18" t="n">
        <v>-10.45</v>
      </c>
      <c r="K1075" s="19" t="n">
        <v>10</v>
      </c>
      <c r="L1075" s="17" t="s">
        <v>22</v>
      </c>
    </row>
    <row r="1076" s="11" customFormat="true" ht="10.95" hidden="false" customHeight="true" outlineLevel="0" collapsed="false">
      <c r="A1076" s="16" t="n">
        <v>45372</v>
      </c>
      <c r="B1076" s="17" t="s">
        <v>17</v>
      </c>
      <c r="C1076" s="17" t="s">
        <v>18</v>
      </c>
      <c r="D1076" s="17" t="s">
        <v>19</v>
      </c>
      <c r="E1076" s="17" t="s">
        <v>261</v>
      </c>
      <c r="F1076" s="17" t="s">
        <v>569</v>
      </c>
      <c r="G1076" s="18" t="n">
        <v>0</v>
      </c>
      <c r="H1076" s="18" t="n">
        <v>522.5</v>
      </c>
      <c r="I1076" s="18" t="n">
        <f aca="false">((I1075 + G1076) - H1076)</f>
        <v>-613722.07</v>
      </c>
      <c r="J1076" s="18" t="n">
        <v>-52.25</v>
      </c>
      <c r="K1076" s="19" t="n">
        <v>10</v>
      </c>
      <c r="L1076" s="17" t="s">
        <v>22</v>
      </c>
    </row>
    <row r="1077" s="11" customFormat="true" ht="10.95" hidden="false" customHeight="true" outlineLevel="0" collapsed="false">
      <c r="A1077" s="16" t="n">
        <v>45372</v>
      </c>
      <c r="B1077" s="17" t="s">
        <v>17</v>
      </c>
      <c r="C1077" s="17" t="s">
        <v>18</v>
      </c>
      <c r="D1077" s="17" t="s">
        <v>19</v>
      </c>
      <c r="E1077" s="17" t="s">
        <v>286</v>
      </c>
      <c r="F1077" s="17" t="s">
        <v>569</v>
      </c>
      <c r="G1077" s="18" t="n">
        <v>0</v>
      </c>
      <c r="H1077" s="18" t="n">
        <v>38.5</v>
      </c>
      <c r="I1077" s="18" t="n">
        <f aca="false">((I1076 + G1077) - H1077)</f>
        <v>-613760.57</v>
      </c>
      <c r="J1077" s="18" t="n">
        <v>0</v>
      </c>
      <c r="K1077" s="19" t="n">
        <v>0</v>
      </c>
      <c r="L1077" s="17" t="s">
        <v>88</v>
      </c>
    </row>
    <row r="1078" s="11" customFormat="true" ht="10.95" hidden="false" customHeight="true" outlineLevel="0" collapsed="false">
      <c r="A1078" s="16" t="n">
        <v>45372</v>
      </c>
      <c r="B1078" s="17" t="s">
        <v>17</v>
      </c>
      <c r="C1078" s="17" t="s">
        <v>18</v>
      </c>
      <c r="D1078" s="17" t="s">
        <v>19</v>
      </c>
      <c r="E1078" s="17" t="s">
        <v>288</v>
      </c>
      <c r="F1078" s="17" t="s">
        <v>569</v>
      </c>
      <c r="G1078" s="18" t="n">
        <v>0</v>
      </c>
      <c r="H1078" s="18" t="n">
        <v>5</v>
      </c>
      <c r="I1078" s="18" t="n">
        <f aca="false">((I1077 + G1078) - H1078)</f>
        <v>-613765.57</v>
      </c>
      <c r="J1078" s="18" t="n">
        <v>-0.5</v>
      </c>
      <c r="K1078" s="19" t="n">
        <v>10</v>
      </c>
      <c r="L1078" s="17" t="s">
        <v>22</v>
      </c>
    </row>
    <row r="1079" s="11" customFormat="true" ht="10.95" hidden="false" customHeight="true" outlineLevel="0" collapsed="false">
      <c r="A1079" s="16" t="n">
        <v>45372</v>
      </c>
      <c r="B1079" s="17" t="s">
        <v>17</v>
      </c>
      <c r="C1079" s="17" t="s">
        <v>18</v>
      </c>
      <c r="D1079" s="17" t="s">
        <v>19</v>
      </c>
      <c r="E1079" s="17" t="s">
        <v>76</v>
      </c>
      <c r="F1079" s="17" t="s">
        <v>570</v>
      </c>
      <c r="G1079" s="18" t="n">
        <v>0</v>
      </c>
      <c r="H1079" s="18" t="n">
        <v>752</v>
      </c>
      <c r="I1079" s="18" t="n">
        <f aca="false">((I1078 + G1079) - H1079)</f>
        <v>-614517.57</v>
      </c>
      <c r="J1079" s="18" t="n">
        <v>-75.2</v>
      </c>
      <c r="K1079" s="19" t="n">
        <v>10</v>
      </c>
      <c r="L1079" s="17" t="s">
        <v>22</v>
      </c>
    </row>
    <row r="1080" s="11" customFormat="true" ht="10.95" hidden="false" customHeight="true" outlineLevel="0" collapsed="false">
      <c r="A1080" s="16" t="n">
        <v>45372</v>
      </c>
      <c r="B1080" s="17" t="s">
        <v>17</v>
      </c>
      <c r="C1080" s="17" t="s">
        <v>18</v>
      </c>
      <c r="D1080" s="17" t="s">
        <v>19</v>
      </c>
      <c r="E1080" s="17" t="s">
        <v>78</v>
      </c>
      <c r="F1080" s="17" t="s">
        <v>571</v>
      </c>
      <c r="G1080" s="18" t="n">
        <v>0</v>
      </c>
      <c r="H1080" s="18" t="n">
        <v>188</v>
      </c>
      <c r="I1080" s="18" t="n">
        <f aca="false">((I1079 + G1080) - H1080)</f>
        <v>-614705.57</v>
      </c>
      <c r="J1080" s="18" t="n">
        <v>-18.8</v>
      </c>
      <c r="K1080" s="19" t="n">
        <v>10</v>
      </c>
      <c r="L1080" s="17" t="s">
        <v>22</v>
      </c>
    </row>
    <row r="1081" s="11" customFormat="true" ht="10.95" hidden="false" customHeight="true" outlineLevel="0" collapsed="false">
      <c r="A1081" s="16" t="n">
        <v>45372</v>
      </c>
      <c r="B1081" s="17" t="s">
        <v>17</v>
      </c>
      <c r="C1081" s="17" t="s">
        <v>18</v>
      </c>
      <c r="D1081" s="17" t="s">
        <v>19</v>
      </c>
      <c r="E1081" s="17" t="s">
        <v>78</v>
      </c>
      <c r="F1081" s="17" t="s">
        <v>572</v>
      </c>
      <c r="G1081" s="18" t="n">
        <v>0</v>
      </c>
      <c r="H1081" s="18" t="n">
        <v>1316</v>
      </c>
      <c r="I1081" s="18" t="n">
        <f aca="false">((I1080 + G1081) - H1081)</f>
        <v>-616021.57</v>
      </c>
      <c r="J1081" s="18" t="n">
        <v>-131.6</v>
      </c>
      <c r="K1081" s="19" t="n">
        <v>10</v>
      </c>
      <c r="L1081" s="17" t="s">
        <v>22</v>
      </c>
    </row>
    <row r="1082" s="11" customFormat="true" ht="10.95" hidden="false" customHeight="true" outlineLevel="0" collapsed="false">
      <c r="A1082" s="16" t="n">
        <v>45372</v>
      </c>
      <c r="B1082" s="17" t="s">
        <v>17</v>
      </c>
      <c r="C1082" s="17" t="s">
        <v>18</v>
      </c>
      <c r="D1082" s="17" t="s">
        <v>19</v>
      </c>
      <c r="E1082" s="17" t="s">
        <v>83</v>
      </c>
      <c r="F1082" s="17" t="s">
        <v>572</v>
      </c>
      <c r="G1082" s="18" t="n">
        <v>0</v>
      </c>
      <c r="H1082" s="18" t="n">
        <v>38.5</v>
      </c>
      <c r="I1082" s="18" t="n">
        <f aca="false">((I1081 + G1082) - H1082)</f>
        <v>-616060.07</v>
      </c>
      <c r="J1082" s="18" t="n">
        <v>-3.85</v>
      </c>
      <c r="K1082" s="19" t="n">
        <v>10</v>
      </c>
      <c r="L1082" s="17" t="s">
        <v>22</v>
      </c>
    </row>
    <row r="1083" s="11" customFormat="true" ht="10.95" hidden="false" customHeight="true" outlineLevel="0" collapsed="false">
      <c r="A1083" s="16" t="n">
        <v>45372</v>
      </c>
      <c r="B1083" s="17" t="s">
        <v>17</v>
      </c>
      <c r="C1083" s="17" t="s">
        <v>18</v>
      </c>
      <c r="D1083" s="17" t="s">
        <v>19</v>
      </c>
      <c r="E1083" s="17" t="s">
        <v>84</v>
      </c>
      <c r="F1083" s="17" t="s">
        <v>572</v>
      </c>
      <c r="G1083" s="18" t="n">
        <v>0</v>
      </c>
      <c r="H1083" s="18" t="n">
        <v>165</v>
      </c>
      <c r="I1083" s="18" t="n">
        <f aca="false">((I1082 + G1083) - H1083)</f>
        <v>-616225.07</v>
      </c>
      <c r="J1083" s="18" t="n">
        <v>-16.5</v>
      </c>
      <c r="K1083" s="19" t="n">
        <v>10</v>
      </c>
      <c r="L1083" s="17" t="s">
        <v>22</v>
      </c>
    </row>
    <row r="1084" s="11" customFormat="true" ht="10.95" hidden="false" customHeight="true" outlineLevel="0" collapsed="false">
      <c r="A1084" s="16" t="n">
        <v>45372</v>
      </c>
      <c r="B1084" s="17" t="s">
        <v>17</v>
      </c>
      <c r="C1084" s="17" t="s">
        <v>18</v>
      </c>
      <c r="D1084" s="17" t="s">
        <v>19</v>
      </c>
      <c r="E1084" s="17" t="s">
        <v>80</v>
      </c>
      <c r="F1084" s="17" t="s">
        <v>572</v>
      </c>
      <c r="G1084" s="18" t="n">
        <v>0</v>
      </c>
      <c r="H1084" s="18" t="n">
        <v>110</v>
      </c>
      <c r="I1084" s="18" t="n">
        <f aca="false">((I1083 + G1084) - H1084)</f>
        <v>-616335.07</v>
      </c>
      <c r="J1084" s="18" t="n">
        <v>-11</v>
      </c>
      <c r="K1084" s="19" t="n">
        <v>10</v>
      </c>
      <c r="L1084" s="17" t="s">
        <v>22</v>
      </c>
    </row>
    <row r="1085" s="11" customFormat="true" ht="10.95" hidden="false" customHeight="true" outlineLevel="0" collapsed="false">
      <c r="A1085" s="16" t="n">
        <v>45372</v>
      </c>
      <c r="B1085" s="17" t="s">
        <v>17</v>
      </c>
      <c r="C1085" s="17" t="s">
        <v>18</v>
      </c>
      <c r="D1085" s="17" t="s">
        <v>19</v>
      </c>
      <c r="E1085" s="17" t="s">
        <v>76</v>
      </c>
      <c r="F1085" s="17" t="s">
        <v>573</v>
      </c>
      <c r="G1085" s="18" t="n">
        <v>0</v>
      </c>
      <c r="H1085" s="18" t="n">
        <v>470</v>
      </c>
      <c r="I1085" s="18" t="n">
        <f aca="false">((I1084 + G1085) - H1085)</f>
        <v>-616805.07</v>
      </c>
      <c r="J1085" s="18" t="n">
        <v>-47</v>
      </c>
      <c r="K1085" s="19" t="n">
        <v>10</v>
      </c>
      <c r="L1085" s="17" t="s">
        <v>22</v>
      </c>
    </row>
    <row r="1086" s="11" customFormat="true" ht="10.95" hidden="false" customHeight="true" outlineLevel="0" collapsed="false">
      <c r="A1086" s="16" t="n">
        <v>45372</v>
      </c>
      <c r="B1086" s="17" t="s">
        <v>17</v>
      </c>
      <c r="C1086" s="17" t="s">
        <v>18</v>
      </c>
      <c r="D1086" s="17" t="s">
        <v>19</v>
      </c>
      <c r="E1086" s="17" t="s">
        <v>78</v>
      </c>
      <c r="F1086" s="17" t="s">
        <v>574</v>
      </c>
      <c r="G1086" s="18" t="n">
        <v>0</v>
      </c>
      <c r="H1086" s="18" t="n">
        <v>188</v>
      </c>
      <c r="I1086" s="18" t="n">
        <f aca="false">((I1085 + G1086) - H1086)</f>
        <v>-616993.07</v>
      </c>
      <c r="J1086" s="18" t="n">
        <v>-18.8</v>
      </c>
      <c r="K1086" s="19" t="n">
        <v>10</v>
      </c>
      <c r="L1086" s="17" t="s">
        <v>22</v>
      </c>
    </row>
    <row r="1087" s="11" customFormat="true" ht="10.95" hidden="false" customHeight="true" outlineLevel="0" collapsed="false">
      <c r="A1087" s="16" t="n">
        <v>45372</v>
      </c>
      <c r="B1087" s="17" t="s">
        <v>17</v>
      </c>
      <c r="C1087" s="17" t="s">
        <v>18</v>
      </c>
      <c r="D1087" s="17" t="s">
        <v>19</v>
      </c>
      <c r="E1087" s="17" t="s">
        <v>87</v>
      </c>
      <c r="F1087" s="17" t="s">
        <v>574</v>
      </c>
      <c r="G1087" s="18" t="n">
        <v>0</v>
      </c>
      <c r="H1087" s="18" t="n">
        <v>110</v>
      </c>
      <c r="I1087" s="18" t="n">
        <f aca="false">((I1086 + G1087) - H1087)</f>
        <v>-617103.07</v>
      </c>
      <c r="J1087" s="18" t="n">
        <v>0</v>
      </c>
      <c r="K1087" s="19" t="n">
        <v>0</v>
      </c>
      <c r="L1087" s="17" t="s">
        <v>88</v>
      </c>
    </row>
    <row r="1088" s="11" customFormat="true" ht="10.95" hidden="false" customHeight="true" outlineLevel="0" collapsed="false">
      <c r="A1088" s="16" t="n">
        <v>45372</v>
      </c>
      <c r="B1088" s="17" t="s">
        <v>17</v>
      </c>
      <c r="C1088" s="17" t="s">
        <v>18</v>
      </c>
      <c r="D1088" s="17" t="s">
        <v>19</v>
      </c>
      <c r="E1088" s="17" t="s">
        <v>89</v>
      </c>
      <c r="F1088" s="17" t="s">
        <v>575</v>
      </c>
      <c r="G1088" s="18" t="n">
        <v>0</v>
      </c>
      <c r="H1088" s="18" t="n">
        <v>470</v>
      </c>
      <c r="I1088" s="18" t="n">
        <f aca="false">((I1087 + G1088) - H1088)</f>
        <v>-617573.07</v>
      </c>
      <c r="J1088" s="18" t="n">
        <v>-47</v>
      </c>
      <c r="K1088" s="19" t="n">
        <v>10</v>
      </c>
      <c r="L1088" s="17" t="s">
        <v>22</v>
      </c>
    </row>
    <row r="1089" s="11" customFormat="true" ht="10.95" hidden="false" customHeight="true" outlineLevel="0" collapsed="false">
      <c r="A1089" s="16" t="n">
        <v>45372</v>
      </c>
      <c r="B1089" s="17" t="s">
        <v>17</v>
      </c>
      <c r="C1089" s="17" t="s">
        <v>18</v>
      </c>
      <c r="D1089" s="17" t="s">
        <v>19</v>
      </c>
      <c r="E1089" s="17" t="s">
        <v>87</v>
      </c>
      <c r="F1089" s="17" t="s">
        <v>575</v>
      </c>
      <c r="G1089" s="18" t="n">
        <v>0</v>
      </c>
      <c r="H1089" s="18" t="n">
        <v>110</v>
      </c>
      <c r="I1089" s="18" t="n">
        <f aca="false">((I1088 + G1089) - H1089)</f>
        <v>-617683.07</v>
      </c>
      <c r="J1089" s="18" t="n">
        <v>0</v>
      </c>
      <c r="K1089" s="19" t="n">
        <v>0</v>
      </c>
      <c r="L1089" s="17" t="s">
        <v>88</v>
      </c>
    </row>
    <row r="1090" s="11" customFormat="true" ht="10.95" hidden="false" customHeight="true" outlineLevel="0" collapsed="false">
      <c r="A1090" s="16" t="n">
        <v>45372</v>
      </c>
      <c r="B1090" s="17" t="s">
        <v>17</v>
      </c>
      <c r="C1090" s="17" t="s">
        <v>18</v>
      </c>
      <c r="D1090" s="17" t="s">
        <v>19</v>
      </c>
      <c r="E1090" s="17" t="s">
        <v>91</v>
      </c>
      <c r="F1090" s="17" t="s">
        <v>576</v>
      </c>
      <c r="G1090" s="18" t="n">
        <v>0</v>
      </c>
      <c r="H1090" s="18" t="n">
        <v>1316</v>
      </c>
      <c r="I1090" s="18" t="n">
        <f aca="false">((I1089 + G1090) - H1090)</f>
        <v>-618999.07</v>
      </c>
      <c r="J1090" s="18" t="n">
        <v>-131.6</v>
      </c>
      <c r="K1090" s="19" t="n">
        <v>10</v>
      </c>
      <c r="L1090" s="17" t="s">
        <v>22</v>
      </c>
    </row>
    <row r="1091" s="11" customFormat="true" ht="10.95" hidden="false" customHeight="true" outlineLevel="0" collapsed="false">
      <c r="A1091" s="16" t="n">
        <v>45372</v>
      </c>
      <c r="B1091" s="17" t="s">
        <v>17</v>
      </c>
      <c r="C1091" s="17" t="s">
        <v>18</v>
      </c>
      <c r="D1091" s="17" t="s">
        <v>19</v>
      </c>
      <c r="E1091" s="17" t="s">
        <v>93</v>
      </c>
      <c r="F1091" s="17" t="s">
        <v>576</v>
      </c>
      <c r="G1091" s="18" t="n">
        <v>0</v>
      </c>
      <c r="H1091" s="18" t="n">
        <v>330</v>
      </c>
      <c r="I1091" s="18" t="n">
        <f aca="false">((I1090 + G1091) - H1091)</f>
        <v>-619329.07</v>
      </c>
      <c r="J1091" s="18" t="n">
        <v>-33</v>
      </c>
      <c r="K1091" s="19" t="n">
        <v>10</v>
      </c>
      <c r="L1091" s="17" t="s">
        <v>22</v>
      </c>
    </row>
    <row r="1092" s="11" customFormat="true" ht="10.95" hidden="false" customHeight="true" outlineLevel="0" collapsed="false">
      <c r="A1092" s="16" t="n">
        <v>45372</v>
      </c>
      <c r="B1092" s="17" t="s">
        <v>17</v>
      </c>
      <c r="C1092" s="17" t="s">
        <v>18</v>
      </c>
      <c r="D1092" s="17" t="s">
        <v>19</v>
      </c>
      <c r="E1092" s="17" t="s">
        <v>94</v>
      </c>
      <c r="F1092" s="17" t="s">
        <v>576</v>
      </c>
      <c r="G1092" s="18" t="n">
        <v>0</v>
      </c>
      <c r="H1092" s="18" t="n">
        <v>143</v>
      </c>
      <c r="I1092" s="18" t="n">
        <f aca="false">((I1091 + G1092) - H1092)</f>
        <v>-619472.07</v>
      </c>
      <c r="J1092" s="18" t="n">
        <v>-14.3</v>
      </c>
      <c r="K1092" s="19" t="n">
        <v>10</v>
      </c>
      <c r="L1092" s="17" t="s">
        <v>22</v>
      </c>
    </row>
    <row r="1093" s="11" customFormat="true" ht="10.95" hidden="false" customHeight="true" outlineLevel="0" collapsed="false">
      <c r="A1093" s="16" t="n">
        <v>45372</v>
      </c>
      <c r="B1093" s="17" t="s">
        <v>17</v>
      </c>
      <c r="C1093" s="17" t="s">
        <v>18</v>
      </c>
      <c r="D1093" s="17" t="s">
        <v>19</v>
      </c>
      <c r="E1093" s="17" t="s">
        <v>95</v>
      </c>
      <c r="F1093" s="17" t="s">
        <v>577</v>
      </c>
      <c r="G1093" s="18" t="n">
        <v>0</v>
      </c>
      <c r="H1093" s="18" t="n">
        <v>1128</v>
      </c>
      <c r="I1093" s="18" t="n">
        <f aca="false">((I1092 + G1093) - H1093)</f>
        <v>-620600.07</v>
      </c>
      <c r="J1093" s="18" t="n">
        <v>-112.8</v>
      </c>
      <c r="K1093" s="19" t="n">
        <v>10</v>
      </c>
      <c r="L1093" s="17" t="s">
        <v>22</v>
      </c>
    </row>
    <row r="1094" s="11" customFormat="true" ht="10.95" hidden="false" customHeight="true" outlineLevel="0" collapsed="false">
      <c r="A1094" s="16" t="n">
        <v>45372</v>
      </c>
      <c r="B1094" s="17" t="s">
        <v>17</v>
      </c>
      <c r="C1094" s="17" t="s">
        <v>18</v>
      </c>
      <c r="D1094" s="17" t="s">
        <v>19</v>
      </c>
      <c r="E1094" s="17" t="s">
        <v>97</v>
      </c>
      <c r="F1094" s="17" t="s">
        <v>577</v>
      </c>
      <c r="G1094" s="18" t="n">
        <v>0</v>
      </c>
      <c r="H1094" s="18" t="n">
        <v>110</v>
      </c>
      <c r="I1094" s="18" t="n">
        <f aca="false">((I1093 + G1094) - H1094)</f>
        <v>-620710.07</v>
      </c>
      <c r="J1094" s="18" t="n">
        <v>-11</v>
      </c>
      <c r="K1094" s="19" t="n">
        <v>10</v>
      </c>
      <c r="L1094" s="17" t="s">
        <v>22</v>
      </c>
    </row>
    <row r="1095" s="11" customFormat="true" ht="10.95" hidden="false" customHeight="true" outlineLevel="0" collapsed="false">
      <c r="A1095" s="16" t="n">
        <v>45372</v>
      </c>
      <c r="B1095" s="17" t="s">
        <v>17</v>
      </c>
      <c r="C1095" s="17" t="s">
        <v>18</v>
      </c>
      <c r="D1095" s="17" t="s">
        <v>19</v>
      </c>
      <c r="E1095" s="17" t="s">
        <v>578</v>
      </c>
      <c r="F1095" s="17" t="s">
        <v>577</v>
      </c>
      <c r="G1095" s="18" t="n">
        <v>0</v>
      </c>
      <c r="H1095" s="18" t="n">
        <v>188</v>
      </c>
      <c r="I1095" s="18" t="n">
        <f aca="false">((I1094 + G1095) - H1095)</f>
        <v>-620898.07</v>
      </c>
      <c r="J1095" s="18" t="n">
        <v>-18.8</v>
      </c>
      <c r="K1095" s="19" t="n">
        <v>10</v>
      </c>
      <c r="L1095" s="17" t="s">
        <v>22</v>
      </c>
    </row>
    <row r="1096" s="11" customFormat="true" ht="10.95" hidden="false" customHeight="true" outlineLevel="0" collapsed="false">
      <c r="A1096" s="16" t="n">
        <v>45372</v>
      </c>
      <c r="B1096" s="17" t="s">
        <v>17</v>
      </c>
      <c r="C1096" s="17" t="s">
        <v>18</v>
      </c>
      <c r="D1096" s="17" t="s">
        <v>19</v>
      </c>
      <c r="E1096" s="17" t="s">
        <v>98</v>
      </c>
      <c r="F1096" s="17" t="s">
        <v>579</v>
      </c>
      <c r="G1096" s="18" t="n">
        <v>0</v>
      </c>
      <c r="H1096" s="18" t="n">
        <v>282</v>
      </c>
      <c r="I1096" s="18" t="n">
        <f aca="false">((I1095 + G1096) - H1096)</f>
        <v>-621180.07</v>
      </c>
      <c r="J1096" s="18" t="n">
        <v>-28.2</v>
      </c>
      <c r="K1096" s="19" t="n">
        <v>10</v>
      </c>
      <c r="L1096" s="17" t="s">
        <v>22</v>
      </c>
    </row>
    <row r="1097" s="11" customFormat="true" ht="10.95" hidden="false" customHeight="true" outlineLevel="0" collapsed="false">
      <c r="A1097" s="16" t="n">
        <v>45372</v>
      </c>
      <c r="B1097" s="17" t="s">
        <v>17</v>
      </c>
      <c r="C1097" s="17" t="s">
        <v>18</v>
      </c>
      <c r="D1097" s="17" t="s">
        <v>19</v>
      </c>
      <c r="E1097" s="17" t="s">
        <v>100</v>
      </c>
      <c r="F1097" s="17" t="s">
        <v>580</v>
      </c>
      <c r="G1097" s="18" t="n">
        <v>0</v>
      </c>
      <c r="H1097" s="18" t="n">
        <v>282</v>
      </c>
      <c r="I1097" s="18" t="n">
        <f aca="false">((I1096 + G1097) - H1097)</f>
        <v>-621462.07</v>
      </c>
      <c r="J1097" s="18" t="n">
        <v>-28.2</v>
      </c>
      <c r="K1097" s="19" t="n">
        <v>10</v>
      </c>
      <c r="L1097" s="17" t="s">
        <v>22</v>
      </c>
    </row>
    <row r="1098" s="11" customFormat="true" ht="10.95" hidden="false" customHeight="true" outlineLevel="0" collapsed="false">
      <c r="A1098" s="16" t="n">
        <v>45372</v>
      </c>
      <c r="B1098" s="17" t="s">
        <v>17</v>
      </c>
      <c r="C1098" s="17" t="s">
        <v>18</v>
      </c>
      <c r="D1098" s="17" t="s">
        <v>19</v>
      </c>
      <c r="E1098" s="17" t="s">
        <v>102</v>
      </c>
      <c r="F1098" s="17" t="s">
        <v>581</v>
      </c>
      <c r="G1098" s="18" t="n">
        <v>0</v>
      </c>
      <c r="H1098" s="18" t="n">
        <v>564</v>
      </c>
      <c r="I1098" s="18" t="n">
        <f aca="false">((I1097 + G1098) - H1098)</f>
        <v>-622026.07</v>
      </c>
      <c r="J1098" s="18" t="n">
        <v>-56.4</v>
      </c>
      <c r="K1098" s="19" t="n">
        <v>10</v>
      </c>
      <c r="L1098" s="17" t="s">
        <v>22</v>
      </c>
    </row>
    <row r="1099" s="11" customFormat="true" ht="10.95" hidden="false" customHeight="true" outlineLevel="0" collapsed="false">
      <c r="A1099" s="16" t="n">
        <v>45372</v>
      </c>
      <c r="B1099" s="17" t="s">
        <v>17</v>
      </c>
      <c r="C1099" s="17" t="s">
        <v>18</v>
      </c>
      <c r="D1099" s="17" t="s">
        <v>19</v>
      </c>
      <c r="E1099" s="17" t="s">
        <v>104</v>
      </c>
      <c r="F1099" s="17" t="s">
        <v>582</v>
      </c>
      <c r="G1099" s="18" t="n">
        <v>0</v>
      </c>
      <c r="H1099" s="18" t="n">
        <v>1034</v>
      </c>
      <c r="I1099" s="18" t="n">
        <f aca="false">((I1098 + G1099) - H1099)</f>
        <v>-623060.07</v>
      </c>
      <c r="J1099" s="18" t="n">
        <v>-103.4</v>
      </c>
      <c r="K1099" s="19" t="n">
        <v>10</v>
      </c>
      <c r="L1099" s="17" t="s">
        <v>22</v>
      </c>
    </row>
    <row r="1100" s="11" customFormat="true" ht="10.95" hidden="false" customHeight="true" outlineLevel="0" collapsed="false">
      <c r="A1100" s="16" t="n">
        <v>45372</v>
      </c>
      <c r="B1100" s="17" t="s">
        <v>17</v>
      </c>
      <c r="C1100" s="17" t="s">
        <v>18</v>
      </c>
      <c r="D1100" s="17" t="s">
        <v>19</v>
      </c>
      <c r="E1100" s="17" t="s">
        <v>106</v>
      </c>
      <c r="F1100" s="17" t="s">
        <v>583</v>
      </c>
      <c r="G1100" s="18" t="n">
        <v>0</v>
      </c>
      <c r="H1100" s="18" t="n">
        <v>94</v>
      </c>
      <c r="I1100" s="18" t="n">
        <f aca="false">((I1099 + G1100) - H1100)</f>
        <v>-623154.07</v>
      </c>
      <c r="J1100" s="18" t="n">
        <v>-9.4</v>
      </c>
      <c r="K1100" s="19" t="n">
        <v>10</v>
      </c>
      <c r="L1100" s="17" t="s">
        <v>22</v>
      </c>
    </row>
    <row r="1101" s="11" customFormat="true" ht="10.95" hidden="false" customHeight="true" outlineLevel="0" collapsed="false">
      <c r="A1101" s="16" t="n">
        <v>45372</v>
      </c>
      <c r="B1101" s="17" t="s">
        <v>17</v>
      </c>
      <c r="C1101" s="17" t="s">
        <v>18</v>
      </c>
      <c r="D1101" s="17" t="s">
        <v>19</v>
      </c>
      <c r="E1101" s="17" t="s">
        <v>108</v>
      </c>
      <c r="F1101" s="17" t="s">
        <v>584</v>
      </c>
      <c r="G1101" s="18" t="n">
        <v>0</v>
      </c>
      <c r="H1101" s="18" t="n">
        <v>658</v>
      </c>
      <c r="I1101" s="18" t="n">
        <f aca="false">((I1100 + G1101) - H1101)</f>
        <v>-623812.07</v>
      </c>
      <c r="J1101" s="18" t="n">
        <v>-65.8</v>
      </c>
      <c r="K1101" s="19" t="n">
        <v>10</v>
      </c>
      <c r="L1101" s="17" t="s">
        <v>22</v>
      </c>
    </row>
    <row r="1102" s="11" customFormat="true" ht="10.95" hidden="false" customHeight="true" outlineLevel="0" collapsed="false">
      <c r="A1102" s="16" t="n">
        <v>45372</v>
      </c>
      <c r="B1102" s="17" t="s">
        <v>17</v>
      </c>
      <c r="C1102" s="17" t="s">
        <v>18</v>
      </c>
      <c r="D1102" s="17" t="s">
        <v>19</v>
      </c>
      <c r="E1102" s="17" t="s">
        <v>116</v>
      </c>
      <c r="F1102" s="17" t="s">
        <v>585</v>
      </c>
      <c r="G1102" s="18" t="n">
        <v>0</v>
      </c>
      <c r="H1102" s="18" t="n">
        <v>1162</v>
      </c>
      <c r="I1102" s="18" t="n">
        <f aca="false">((I1101 + G1102) - H1102)</f>
        <v>-624974.07</v>
      </c>
      <c r="J1102" s="18" t="n">
        <v>-116.2</v>
      </c>
      <c r="K1102" s="19" t="n">
        <v>10</v>
      </c>
      <c r="L1102" s="17" t="s">
        <v>22</v>
      </c>
    </row>
    <row r="1103" s="11" customFormat="true" ht="10.95" hidden="false" customHeight="true" outlineLevel="0" collapsed="false">
      <c r="A1103" s="16" t="n">
        <v>45372</v>
      </c>
      <c r="B1103" s="17" t="s">
        <v>17</v>
      </c>
      <c r="C1103" s="17" t="s">
        <v>18</v>
      </c>
      <c r="D1103" s="17" t="s">
        <v>19</v>
      </c>
      <c r="E1103" s="17" t="s">
        <v>119</v>
      </c>
      <c r="F1103" s="17" t="s">
        <v>586</v>
      </c>
      <c r="G1103" s="18" t="n">
        <v>0</v>
      </c>
      <c r="H1103" s="18" t="n">
        <v>332</v>
      </c>
      <c r="I1103" s="18" t="n">
        <f aca="false">((I1102 + G1103) - H1103)</f>
        <v>-625306.07</v>
      </c>
      <c r="J1103" s="18" t="n">
        <v>-33.2</v>
      </c>
      <c r="K1103" s="19" t="n">
        <v>10</v>
      </c>
      <c r="L1103" s="17" t="s">
        <v>22</v>
      </c>
    </row>
    <row r="1104" s="11" customFormat="true" ht="10.95" hidden="false" customHeight="true" outlineLevel="0" collapsed="false">
      <c r="A1104" s="16" t="n">
        <v>45372</v>
      </c>
      <c r="B1104" s="17" t="s">
        <v>17</v>
      </c>
      <c r="C1104" s="17" t="s">
        <v>18</v>
      </c>
      <c r="D1104" s="17" t="s">
        <v>19</v>
      </c>
      <c r="E1104" s="17" t="s">
        <v>121</v>
      </c>
      <c r="F1104" s="17" t="s">
        <v>586</v>
      </c>
      <c r="G1104" s="18" t="n">
        <v>0</v>
      </c>
      <c r="H1104" s="18" t="n">
        <v>1743</v>
      </c>
      <c r="I1104" s="18" t="n">
        <f aca="false">((I1103 + G1104) - H1104)</f>
        <v>-627049.07</v>
      </c>
      <c r="J1104" s="18" t="n">
        <v>-174.3</v>
      </c>
      <c r="K1104" s="19" t="n">
        <v>10</v>
      </c>
      <c r="L1104" s="17" t="s">
        <v>22</v>
      </c>
    </row>
    <row r="1105" s="11" customFormat="true" ht="10.95" hidden="false" customHeight="true" outlineLevel="0" collapsed="false">
      <c r="A1105" s="16" t="n">
        <v>45372</v>
      </c>
      <c r="B1105" s="17" t="s">
        <v>17</v>
      </c>
      <c r="C1105" s="17" t="s">
        <v>18</v>
      </c>
      <c r="D1105" s="17" t="s">
        <v>19</v>
      </c>
      <c r="E1105" s="17" t="s">
        <v>122</v>
      </c>
      <c r="F1105" s="17" t="s">
        <v>586</v>
      </c>
      <c r="G1105" s="18" t="n">
        <v>0</v>
      </c>
      <c r="H1105" s="18" t="n">
        <v>83</v>
      </c>
      <c r="I1105" s="18" t="n">
        <f aca="false">((I1104 + G1105) - H1105)</f>
        <v>-627132.07</v>
      </c>
      <c r="J1105" s="18" t="n">
        <v>-8.3</v>
      </c>
      <c r="K1105" s="19" t="n">
        <v>10</v>
      </c>
      <c r="L1105" s="17" t="s">
        <v>22</v>
      </c>
    </row>
    <row r="1106" s="11" customFormat="true" ht="10.95" hidden="false" customHeight="true" outlineLevel="0" collapsed="false">
      <c r="A1106" s="16" t="n">
        <v>45372</v>
      </c>
      <c r="B1106" s="17" t="s">
        <v>17</v>
      </c>
      <c r="C1106" s="17" t="s">
        <v>18</v>
      </c>
      <c r="D1106" s="17" t="s">
        <v>19</v>
      </c>
      <c r="E1106" s="17" t="s">
        <v>124</v>
      </c>
      <c r="F1106" s="17" t="s">
        <v>586</v>
      </c>
      <c r="G1106" s="18" t="n">
        <v>0</v>
      </c>
      <c r="H1106" s="18" t="n">
        <v>249</v>
      </c>
      <c r="I1106" s="18" t="n">
        <f aca="false">((I1105 + G1106) - H1106)</f>
        <v>-627381.07</v>
      </c>
      <c r="J1106" s="18" t="n">
        <v>-24.9</v>
      </c>
      <c r="K1106" s="19" t="n">
        <v>10</v>
      </c>
      <c r="L1106" s="17" t="s">
        <v>22</v>
      </c>
    </row>
    <row r="1107" s="11" customFormat="true" ht="10.95" hidden="false" customHeight="true" outlineLevel="0" collapsed="false">
      <c r="A1107" s="16" t="n">
        <v>45372</v>
      </c>
      <c r="B1107" s="17" t="s">
        <v>17</v>
      </c>
      <c r="C1107" s="17" t="s">
        <v>18</v>
      </c>
      <c r="D1107" s="17" t="s">
        <v>19</v>
      </c>
      <c r="E1107" s="17" t="s">
        <v>125</v>
      </c>
      <c r="F1107" s="17" t="s">
        <v>586</v>
      </c>
      <c r="G1107" s="18" t="n">
        <v>0</v>
      </c>
      <c r="H1107" s="18" t="n">
        <v>83</v>
      </c>
      <c r="I1107" s="18" t="n">
        <f aca="false">((I1106 + G1107) - H1107)</f>
        <v>-627464.07</v>
      </c>
      <c r="J1107" s="18" t="n">
        <v>-8.3</v>
      </c>
      <c r="K1107" s="19" t="n">
        <v>10</v>
      </c>
      <c r="L1107" s="17" t="s">
        <v>22</v>
      </c>
    </row>
    <row r="1108" s="11" customFormat="true" ht="10.95" hidden="false" customHeight="true" outlineLevel="0" collapsed="false">
      <c r="A1108" s="16" t="n">
        <v>45372</v>
      </c>
      <c r="B1108" s="17" t="s">
        <v>17</v>
      </c>
      <c r="C1108" s="17" t="s">
        <v>18</v>
      </c>
      <c r="D1108" s="17" t="s">
        <v>19</v>
      </c>
      <c r="E1108" s="17" t="s">
        <v>126</v>
      </c>
      <c r="F1108" s="17" t="s">
        <v>586</v>
      </c>
      <c r="G1108" s="18" t="n">
        <v>0</v>
      </c>
      <c r="H1108" s="18" t="n">
        <v>94.5</v>
      </c>
      <c r="I1108" s="18" t="n">
        <f aca="false">((I1107 + G1108) - H1108)</f>
        <v>-627558.57</v>
      </c>
      <c r="J1108" s="18" t="n">
        <v>-9.45</v>
      </c>
      <c r="K1108" s="19" t="n">
        <v>10</v>
      </c>
      <c r="L1108" s="17" t="s">
        <v>22</v>
      </c>
    </row>
    <row r="1109" s="11" customFormat="true" ht="10.95" hidden="false" customHeight="true" outlineLevel="0" collapsed="false">
      <c r="A1109" s="16" t="n">
        <v>45372</v>
      </c>
      <c r="B1109" s="17" t="s">
        <v>17</v>
      </c>
      <c r="C1109" s="17" t="s">
        <v>18</v>
      </c>
      <c r="D1109" s="17" t="s">
        <v>19</v>
      </c>
      <c r="E1109" s="17" t="s">
        <v>127</v>
      </c>
      <c r="F1109" s="17" t="s">
        <v>586</v>
      </c>
      <c r="G1109" s="18" t="n">
        <v>0</v>
      </c>
      <c r="H1109" s="18" t="n">
        <v>83</v>
      </c>
      <c r="I1109" s="18" t="n">
        <f aca="false">((I1108 + G1109) - H1109)</f>
        <v>-627641.57</v>
      </c>
      <c r="J1109" s="18" t="n">
        <v>-8.3</v>
      </c>
      <c r="K1109" s="19" t="n">
        <v>10</v>
      </c>
      <c r="L1109" s="17" t="s">
        <v>22</v>
      </c>
    </row>
    <row r="1110" s="11" customFormat="true" ht="10.95" hidden="false" customHeight="true" outlineLevel="0" collapsed="false">
      <c r="A1110" s="16" t="n">
        <v>45372</v>
      </c>
      <c r="B1110" s="17" t="s">
        <v>17</v>
      </c>
      <c r="C1110" s="17" t="s">
        <v>18</v>
      </c>
      <c r="D1110" s="17" t="s">
        <v>19</v>
      </c>
      <c r="E1110" s="17" t="s">
        <v>128</v>
      </c>
      <c r="F1110" s="17" t="s">
        <v>586</v>
      </c>
      <c r="G1110" s="18" t="n">
        <v>0</v>
      </c>
      <c r="H1110" s="18" t="n">
        <v>83</v>
      </c>
      <c r="I1110" s="18" t="n">
        <f aca="false">((I1109 + G1110) - H1110)</f>
        <v>-627724.57</v>
      </c>
      <c r="J1110" s="18" t="n">
        <v>-8.3</v>
      </c>
      <c r="K1110" s="19" t="n">
        <v>10</v>
      </c>
      <c r="L1110" s="17" t="s">
        <v>22</v>
      </c>
    </row>
    <row r="1111" s="11" customFormat="true" ht="10.95" hidden="false" customHeight="true" outlineLevel="0" collapsed="false">
      <c r="A1111" s="16" t="n">
        <v>45372</v>
      </c>
      <c r="B1111" s="17" t="s">
        <v>17</v>
      </c>
      <c r="C1111" s="17" t="s">
        <v>18</v>
      </c>
      <c r="D1111" s="17" t="s">
        <v>19</v>
      </c>
      <c r="E1111" s="17" t="s">
        <v>129</v>
      </c>
      <c r="F1111" s="17" t="s">
        <v>586</v>
      </c>
      <c r="G1111" s="18" t="n">
        <v>0</v>
      </c>
      <c r="H1111" s="18" t="n">
        <v>166</v>
      </c>
      <c r="I1111" s="18" t="n">
        <f aca="false">((I1110 + G1111) - H1111)</f>
        <v>-627890.57</v>
      </c>
      <c r="J1111" s="18" t="n">
        <v>-16.6</v>
      </c>
      <c r="K1111" s="19" t="n">
        <v>10</v>
      </c>
      <c r="L1111" s="17" t="s">
        <v>22</v>
      </c>
    </row>
    <row r="1112" s="11" customFormat="true" ht="10.95" hidden="false" customHeight="true" outlineLevel="0" collapsed="false">
      <c r="A1112" s="16" t="n">
        <v>45372</v>
      </c>
      <c r="B1112" s="17" t="s">
        <v>17</v>
      </c>
      <c r="C1112" s="17" t="s">
        <v>18</v>
      </c>
      <c r="D1112" s="17" t="s">
        <v>19</v>
      </c>
      <c r="E1112" s="17" t="s">
        <v>130</v>
      </c>
      <c r="F1112" s="17" t="s">
        <v>586</v>
      </c>
      <c r="G1112" s="18" t="n">
        <v>0</v>
      </c>
      <c r="H1112" s="18" t="n">
        <v>664</v>
      </c>
      <c r="I1112" s="18" t="n">
        <f aca="false">((I1111 + G1112) - H1112)</f>
        <v>-628554.57</v>
      </c>
      <c r="J1112" s="18" t="n">
        <v>-66.4</v>
      </c>
      <c r="K1112" s="19" t="n">
        <v>10</v>
      </c>
      <c r="L1112" s="17" t="s">
        <v>22</v>
      </c>
    </row>
    <row r="1113" s="11" customFormat="true" ht="10.95" hidden="false" customHeight="true" outlineLevel="0" collapsed="false">
      <c r="A1113" s="16" t="n">
        <v>45372</v>
      </c>
      <c r="B1113" s="17" t="s">
        <v>17</v>
      </c>
      <c r="C1113" s="17" t="s">
        <v>18</v>
      </c>
      <c r="D1113" s="17" t="s">
        <v>19</v>
      </c>
      <c r="E1113" s="17" t="s">
        <v>131</v>
      </c>
      <c r="F1113" s="17" t="s">
        <v>586</v>
      </c>
      <c r="G1113" s="18" t="n">
        <v>0</v>
      </c>
      <c r="H1113" s="18" t="n">
        <v>94.5</v>
      </c>
      <c r="I1113" s="18" t="n">
        <f aca="false">((I1112 + G1113) - H1113)</f>
        <v>-628649.07</v>
      </c>
      <c r="J1113" s="18" t="n">
        <v>-9.45</v>
      </c>
      <c r="K1113" s="19" t="n">
        <v>10</v>
      </c>
      <c r="L1113" s="17" t="s">
        <v>22</v>
      </c>
    </row>
    <row r="1114" s="11" customFormat="true" ht="10.95" hidden="false" customHeight="true" outlineLevel="0" collapsed="false">
      <c r="A1114" s="16" t="n">
        <v>45372</v>
      </c>
      <c r="B1114" s="17" t="s">
        <v>17</v>
      </c>
      <c r="C1114" s="17" t="s">
        <v>18</v>
      </c>
      <c r="D1114" s="17" t="s">
        <v>19</v>
      </c>
      <c r="E1114" s="17" t="s">
        <v>132</v>
      </c>
      <c r="F1114" s="17" t="s">
        <v>586</v>
      </c>
      <c r="G1114" s="18" t="n">
        <v>0</v>
      </c>
      <c r="H1114" s="18" t="n">
        <v>100</v>
      </c>
      <c r="I1114" s="18" t="n">
        <f aca="false">((I1113 + G1114) - H1114)</f>
        <v>-628749.07</v>
      </c>
      <c r="J1114" s="18" t="n">
        <v>-10</v>
      </c>
      <c r="K1114" s="19" t="n">
        <v>10</v>
      </c>
      <c r="L1114" s="17" t="s">
        <v>22</v>
      </c>
    </row>
    <row r="1115" s="11" customFormat="true" ht="10.95" hidden="false" customHeight="true" outlineLevel="0" collapsed="false">
      <c r="A1115" s="16" t="n">
        <v>45372</v>
      </c>
      <c r="B1115" s="17" t="s">
        <v>17</v>
      </c>
      <c r="C1115" s="17" t="s">
        <v>18</v>
      </c>
      <c r="D1115" s="17" t="s">
        <v>19</v>
      </c>
      <c r="E1115" s="17" t="s">
        <v>133</v>
      </c>
      <c r="F1115" s="17" t="s">
        <v>586</v>
      </c>
      <c r="G1115" s="18" t="n">
        <v>0</v>
      </c>
      <c r="H1115" s="18" t="n">
        <v>83</v>
      </c>
      <c r="I1115" s="18" t="n">
        <f aca="false">((I1114 + G1115) - H1115)</f>
        <v>-628832.07</v>
      </c>
      <c r="J1115" s="18" t="n">
        <v>-8.3</v>
      </c>
      <c r="K1115" s="19" t="n">
        <v>10</v>
      </c>
      <c r="L1115" s="17" t="s">
        <v>22</v>
      </c>
    </row>
    <row r="1116" s="11" customFormat="true" ht="10.95" hidden="false" customHeight="true" outlineLevel="0" collapsed="false">
      <c r="A1116" s="16" t="n">
        <v>45372</v>
      </c>
      <c r="B1116" s="17" t="s">
        <v>17</v>
      </c>
      <c r="C1116" s="17" t="s">
        <v>18</v>
      </c>
      <c r="D1116" s="17" t="s">
        <v>19</v>
      </c>
      <c r="E1116" s="17" t="s">
        <v>134</v>
      </c>
      <c r="F1116" s="17" t="s">
        <v>586</v>
      </c>
      <c r="G1116" s="18" t="n">
        <v>0</v>
      </c>
      <c r="H1116" s="18" t="n">
        <v>100</v>
      </c>
      <c r="I1116" s="18" t="n">
        <f aca="false">((I1115 + G1116) - H1116)</f>
        <v>-628932.07</v>
      </c>
      <c r="J1116" s="18" t="n">
        <v>-10</v>
      </c>
      <c r="K1116" s="19" t="n">
        <v>10</v>
      </c>
      <c r="L1116" s="17" t="s">
        <v>22</v>
      </c>
    </row>
    <row r="1117" s="11" customFormat="true" ht="10.95" hidden="false" customHeight="true" outlineLevel="0" collapsed="false">
      <c r="A1117" s="16" t="n">
        <v>45372</v>
      </c>
      <c r="B1117" s="17" t="s">
        <v>17</v>
      </c>
      <c r="C1117" s="17" t="s">
        <v>18</v>
      </c>
      <c r="D1117" s="17" t="s">
        <v>19</v>
      </c>
      <c r="E1117" s="17" t="s">
        <v>136</v>
      </c>
      <c r="F1117" s="17" t="s">
        <v>586</v>
      </c>
      <c r="G1117" s="18" t="n">
        <v>0</v>
      </c>
      <c r="H1117" s="18" t="n">
        <v>249</v>
      </c>
      <c r="I1117" s="18" t="n">
        <f aca="false">((I1116 + G1117) - H1117)</f>
        <v>-629181.07</v>
      </c>
      <c r="J1117" s="18" t="n">
        <v>-24.9</v>
      </c>
      <c r="K1117" s="19" t="n">
        <v>10</v>
      </c>
      <c r="L1117" s="17" t="s">
        <v>22</v>
      </c>
    </row>
    <row r="1118" s="11" customFormat="true" ht="10.95" hidden="false" customHeight="true" outlineLevel="0" collapsed="false">
      <c r="A1118" s="16" t="n">
        <v>45372</v>
      </c>
      <c r="B1118" s="17" t="s">
        <v>17</v>
      </c>
      <c r="C1118" s="17" t="s">
        <v>18</v>
      </c>
      <c r="D1118" s="17" t="s">
        <v>19</v>
      </c>
      <c r="E1118" s="17" t="s">
        <v>137</v>
      </c>
      <c r="F1118" s="17" t="s">
        <v>586</v>
      </c>
      <c r="G1118" s="18" t="n">
        <v>0</v>
      </c>
      <c r="H1118" s="18" t="n">
        <v>498</v>
      </c>
      <c r="I1118" s="18" t="n">
        <f aca="false">((I1117 + G1118) - H1118)</f>
        <v>-629679.07</v>
      </c>
      <c r="J1118" s="18" t="n">
        <v>-49.8</v>
      </c>
      <c r="K1118" s="19" t="n">
        <v>10</v>
      </c>
      <c r="L1118" s="17" t="s">
        <v>22</v>
      </c>
    </row>
    <row r="1119" s="11" customFormat="true" ht="10.95" hidden="false" customHeight="true" outlineLevel="0" collapsed="false">
      <c r="A1119" s="16" t="n">
        <v>45372</v>
      </c>
      <c r="B1119" s="17" t="s">
        <v>17</v>
      </c>
      <c r="C1119" s="17" t="s">
        <v>18</v>
      </c>
      <c r="D1119" s="17" t="s">
        <v>19</v>
      </c>
      <c r="E1119" s="17" t="s">
        <v>532</v>
      </c>
      <c r="F1119" s="17" t="s">
        <v>586</v>
      </c>
      <c r="G1119" s="18" t="n">
        <v>0</v>
      </c>
      <c r="H1119" s="18" t="n">
        <v>99</v>
      </c>
      <c r="I1119" s="18" t="n">
        <f aca="false">((I1118 + G1119) - H1119)</f>
        <v>-629778.07</v>
      </c>
      <c r="J1119" s="18" t="n">
        <v>-9.9</v>
      </c>
      <c r="K1119" s="19" t="n">
        <v>10</v>
      </c>
      <c r="L1119" s="17" t="s">
        <v>22</v>
      </c>
    </row>
    <row r="1120" s="11" customFormat="true" ht="10.95" hidden="false" customHeight="true" outlineLevel="0" collapsed="false">
      <c r="A1120" s="16" t="n">
        <v>45372</v>
      </c>
      <c r="B1120" s="17" t="s">
        <v>17</v>
      </c>
      <c r="C1120" s="17" t="s">
        <v>18</v>
      </c>
      <c r="D1120" s="17" t="s">
        <v>19</v>
      </c>
      <c r="E1120" s="17" t="s">
        <v>138</v>
      </c>
      <c r="F1120" s="17" t="s">
        <v>586</v>
      </c>
      <c r="G1120" s="18" t="n">
        <v>0</v>
      </c>
      <c r="H1120" s="18" t="n">
        <v>166</v>
      </c>
      <c r="I1120" s="18" t="n">
        <f aca="false">((I1119 + G1120) - H1120)</f>
        <v>-629944.07</v>
      </c>
      <c r="J1120" s="18" t="n">
        <v>-16.6</v>
      </c>
      <c r="K1120" s="19" t="n">
        <v>10</v>
      </c>
      <c r="L1120" s="17" t="s">
        <v>22</v>
      </c>
    </row>
    <row r="1121" s="11" customFormat="true" ht="10.95" hidden="false" customHeight="true" outlineLevel="0" collapsed="false">
      <c r="A1121" s="16" t="n">
        <v>45372</v>
      </c>
      <c r="B1121" s="17" t="s">
        <v>17</v>
      </c>
      <c r="C1121" s="17" t="s">
        <v>18</v>
      </c>
      <c r="D1121" s="17" t="s">
        <v>19</v>
      </c>
      <c r="E1121" s="17" t="s">
        <v>139</v>
      </c>
      <c r="F1121" s="17" t="s">
        <v>586</v>
      </c>
      <c r="G1121" s="18" t="n">
        <v>0</v>
      </c>
      <c r="H1121" s="18" t="n">
        <v>332</v>
      </c>
      <c r="I1121" s="18" t="n">
        <f aca="false">((I1120 + G1121) - H1121)</f>
        <v>-630276.07</v>
      </c>
      <c r="J1121" s="18" t="n">
        <v>-33.2</v>
      </c>
      <c r="K1121" s="19" t="n">
        <v>10</v>
      </c>
      <c r="L1121" s="17" t="s">
        <v>22</v>
      </c>
    </row>
    <row r="1122" s="11" customFormat="true" ht="10.95" hidden="false" customHeight="true" outlineLevel="0" collapsed="false">
      <c r="A1122" s="16" t="n">
        <v>45372</v>
      </c>
      <c r="B1122" s="17" t="s">
        <v>17</v>
      </c>
      <c r="C1122" s="17" t="s">
        <v>18</v>
      </c>
      <c r="D1122" s="17" t="s">
        <v>19</v>
      </c>
      <c r="E1122" s="17" t="s">
        <v>427</v>
      </c>
      <c r="F1122" s="17" t="s">
        <v>586</v>
      </c>
      <c r="G1122" s="18" t="n">
        <v>0</v>
      </c>
      <c r="H1122" s="18" t="n">
        <v>94.5</v>
      </c>
      <c r="I1122" s="18" t="n">
        <f aca="false">((I1121 + G1122) - H1122)</f>
        <v>-630370.57</v>
      </c>
      <c r="J1122" s="18" t="n">
        <v>-9.45</v>
      </c>
      <c r="K1122" s="19" t="n">
        <v>10</v>
      </c>
      <c r="L1122" s="17" t="s">
        <v>22</v>
      </c>
    </row>
    <row r="1123" s="11" customFormat="true" ht="10.95" hidden="false" customHeight="true" outlineLevel="0" collapsed="false">
      <c r="A1123" s="16" t="n">
        <v>45372</v>
      </c>
      <c r="B1123" s="17" t="s">
        <v>17</v>
      </c>
      <c r="C1123" s="17" t="s">
        <v>18</v>
      </c>
      <c r="D1123" s="17" t="s">
        <v>19</v>
      </c>
      <c r="E1123" s="17" t="s">
        <v>140</v>
      </c>
      <c r="F1123" s="17" t="s">
        <v>586</v>
      </c>
      <c r="G1123" s="18" t="n">
        <v>0</v>
      </c>
      <c r="H1123" s="18" t="n">
        <v>166</v>
      </c>
      <c r="I1123" s="18" t="n">
        <f aca="false">((I1122 + G1123) - H1123)</f>
        <v>-630536.57</v>
      </c>
      <c r="J1123" s="18" t="n">
        <v>-16.6</v>
      </c>
      <c r="K1123" s="19" t="n">
        <v>10</v>
      </c>
      <c r="L1123" s="17" t="s">
        <v>22</v>
      </c>
    </row>
    <row r="1124" s="11" customFormat="true" ht="10.95" hidden="false" customHeight="true" outlineLevel="0" collapsed="false">
      <c r="A1124" s="16" t="n">
        <v>45372</v>
      </c>
      <c r="B1124" s="17" t="s">
        <v>17</v>
      </c>
      <c r="C1124" s="17" t="s">
        <v>18</v>
      </c>
      <c r="D1124" s="17" t="s">
        <v>19</v>
      </c>
      <c r="E1124" s="17" t="s">
        <v>141</v>
      </c>
      <c r="F1124" s="17" t="s">
        <v>586</v>
      </c>
      <c r="G1124" s="18" t="n">
        <v>0</v>
      </c>
      <c r="H1124" s="18" t="n">
        <v>249</v>
      </c>
      <c r="I1124" s="18" t="n">
        <f aca="false">((I1123 + G1124) - H1124)</f>
        <v>-630785.57</v>
      </c>
      <c r="J1124" s="18" t="n">
        <v>-24.9</v>
      </c>
      <c r="K1124" s="19" t="n">
        <v>10</v>
      </c>
      <c r="L1124" s="17" t="s">
        <v>22</v>
      </c>
    </row>
    <row r="1125" s="11" customFormat="true" ht="10.95" hidden="false" customHeight="true" outlineLevel="0" collapsed="false">
      <c r="A1125" s="16" t="n">
        <v>45372</v>
      </c>
      <c r="B1125" s="17" t="s">
        <v>17</v>
      </c>
      <c r="C1125" s="17" t="s">
        <v>18</v>
      </c>
      <c r="D1125" s="17" t="s">
        <v>19</v>
      </c>
      <c r="E1125" s="17" t="s">
        <v>142</v>
      </c>
      <c r="F1125" s="17" t="s">
        <v>586</v>
      </c>
      <c r="G1125" s="18" t="n">
        <v>0</v>
      </c>
      <c r="H1125" s="18" t="n">
        <v>249</v>
      </c>
      <c r="I1125" s="18" t="n">
        <f aca="false">((I1124 + G1125) - H1125)</f>
        <v>-631034.57</v>
      </c>
      <c r="J1125" s="18" t="n">
        <v>-24.9</v>
      </c>
      <c r="K1125" s="19" t="n">
        <v>10</v>
      </c>
      <c r="L1125" s="17" t="s">
        <v>22</v>
      </c>
    </row>
    <row r="1126" s="11" customFormat="true" ht="10.95" hidden="false" customHeight="true" outlineLevel="0" collapsed="false">
      <c r="A1126" s="16" t="n">
        <v>45372</v>
      </c>
      <c r="B1126" s="17" t="s">
        <v>17</v>
      </c>
      <c r="C1126" s="17" t="s">
        <v>18</v>
      </c>
      <c r="D1126" s="17" t="s">
        <v>19</v>
      </c>
      <c r="E1126" s="17" t="s">
        <v>143</v>
      </c>
      <c r="F1126" s="17" t="s">
        <v>586</v>
      </c>
      <c r="G1126" s="18" t="n">
        <v>0</v>
      </c>
      <c r="H1126" s="18" t="n">
        <v>94.5</v>
      </c>
      <c r="I1126" s="18" t="n">
        <f aca="false">((I1125 + G1126) - H1126)</f>
        <v>-631129.07</v>
      </c>
      <c r="J1126" s="18" t="n">
        <v>-9.45</v>
      </c>
      <c r="K1126" s="19" t="n">
        <v>10</v>
      </c>
      <c r="L1126" s="17" t="s">
        <v>22</v>
      </c>
    </row>
    <row r="1127" s="11" customFormat="true" ht="10.95" hidden="false" customHeight="true" outlineLevel="0" collapsed="false">
      <c r="A1127" s="16" t="n">
        <v>45372</v>
      </c>
      <c r="B1127" s="17" t="s">
        <v>17</v>
      </c>
      <c r="C1127" s="17" t="s">
        <v>18</v>
      </c>
      <c r="D1127" s="17" t="s">
        <v>19</v>
      </c>
      <c r="E1127" s="17" t="s">
        <v>144</v>
      </c>
      <c r="F1127" s="17" t="s">
        <v>586</v>
      </c>
      <c r="G1127" s="18" t="n">
        <v>0</v>
      </c>
      <c r="H1127" s="18" t="n">
        <v>1826</v>
      </c>
      <c r="I1127" s="18" t="n">
        <f aca="false">((I1126 + G1127) - H1127)</f>
        <v>-632955.07</v>
      </c>
      <c r="J1127" s="18" t="n">
        <v>-182.6</v>
      </c>
      <c r="K1127" s="19" t="n">
        <v>10</v>
      </c>
      <c r="L1127" s="17" t="s">
        <v>22</v>
      </c>
    </row>
    <row r="1128" s="11" customFormat="true" ht="10.95" hidden="false" customHeight="true" outlineLevel="0" collapsed="false">
      <c r="A1128" s="16" t="n">
        <v>45372</v>
      </c>
      <c r="B1128" s="17" t="s">
        <v>17</v>
      </c>
      <c r="C1128" s="17" t="s">
        <v>18</v>
      </c>
      <c r="D1128" s="17" t="s">
        <v>19</v>
      </c>
      <c r="E1128" s="17" t="s">
        <v>145</v>
      </c>
      <c r="F1128" s="17" t="s">
        <v>586</v>
      </c>
      <c r="G1128" s="18" t="n">
        <v>0</v>
      </c>
      <c r="H1128" s="18" t="n">
        <v>166</v>
      </c>
      <c r="I1128" s="18" t="n">
        <f aca="false">((I1127 + G1128) - H1128)</f>
        <v>-633121.07</v>
      </c>
      <c r="J1128" s="18" t="n">
        <v>-16.6</v>
      </c>
      <c r="K1128" s="19" t="n">
        <v>10</v>
      </c>
      <c r="L1128" s="17" t="s">
        <v>22</v>
      </c>
    </row>
    <row r="1129" s="11" customFormat="true" ht="10.95" hidden="false" customHeight="true" outlineLevel="0" collapsed="false">
      <c r="A1129" s="16" t="n">
        <v>45372</v>
      </c>
      <c r="B1129" s="17" t="s">
        <v>17</v>
      </c>
      <c r="C1129" s="17" t="s">
        <v>18</v>
      </c>
      <c r="D1129" s="17" t="s">
        <v>19</v>
      </c>
      <c r="E1129" s="17" t="s">
        <v>146</v>
      </c>
      <c r="F1129" s="17" t="s">
        <v>586</v>
      </c>
      <c r="G1129" s="18" t="n">
        <v>0</v>
      </c>
      <c r="H1129" s="18" t="n">
        <v>30</v>
      </c>
      <c r="I1129" s="18" t="n">
        <f aca="false">((I1128 + G1129) - H1129)</f>
        <v>-633151.07</v>
      </c>
      <c r="J1129" s="18" t="n">
        <v>-3</v>
      </c>
      <c r="K1129" s="19" t="n">
        <v>10</v>
      </c>
      <c r="L1129" s="17" t="s">
        <v>22</v>
      </c>
    </row>
    <row r="1130" s="11" customFormat="true" ht="10.95" hidden="false" customHeight="true" outlineLevel="0" collapsed="false">
      <c r="A1130" s="16" t="n">
        <v>45372</v>
      </c>
      <c r="B1130" s="17" t="s">
        <v>17</v>
      </c>
      <c r="C1130" s="17" t="s">
        <v>18</v>
      </c>
      <c r="D1130" s="17" t="s">
        <v>19</v>
      </c>
      <c r="E1130" s="17" t="s">
        <v>147</v>
      </c>
      <c r="F1130" s="17" t="s">
        <v>586</v>
      </c>
      <c r="G1130" s="18" t="n">
        <v>0</v>
      </c>
      <c r="H1130" s="18" t="n">
        <v>83</v>
      </c>
      <c r="I1130" s="18" t="n">
        <f aca="false">((I1129 + G1130) - H1130)</f>
        <v>-633234.07</v>
      </c>
      <c r="J1130" s="18" t="n">
        <v>-8.3</v>
      </c>
      <c r="K1130" s="19" t="n">
        <v>10</v>
      </c>
      <c r="L1130" s="17" t="s">
        <v>22</v>
      </c>
    </row>
    <row r="1131" s="11" customFormat="true" ht="10.95" hidden="false" customHeight="true" outlineLevel="0" collapsed="false">
      <c r="A1131" s="16" t="n">
        <v>45372</v>
      </c>
      <c r="B1131" s="17" t="s">
        <v>17</v>
      </c>
      <c r="C1131" s="17" t="s">
        <v>18</v>
      </c>
      <c r="D1131" s="17" t="s">
        <v>19</v>
      </c>
      <c r="E1131" s="17" t="s">
        <v>148</v>
      </c>
      <c r="F1131" s="17" t="s">
        <v>586</v>
      </c>
      <c r="G1131" s="18" t="n">
        <v>0</v>
      </c>
      <c r="H1131" s="18" t="n">
        <v>1162</v>
      </c>
      <c r="I1131" s="18" t="n">
        <f aca="false">((I1130 + G1131) - H1131)</f>
        <v>-634396.07</v>
      </c>
      <c r="J1131" s="18" t="n">
        <v>-116.2</v>
      </c>
      <c r="K1131" s="19" t="n">
        <v>10</v>
      </c>
      <c r="L1131" s="17" t="s">
        <v>22</v>
      </c>
    </row>
    <row r="1132" s="11" customFormat="true" ht="10.95" hidden="false" customHeight="true" outlineLevel="0" collapsed="false">
      <c r="A1132" s="16" t="n">
        <v>45372</v>
      </c>
      <c r="B1132" s="17" t="s">
        <v>17</v>
      </c>
      <c r="C1132" s="17" t="s">
        <v>18</v>
      </c>
      <c r="D1132" s="17" t="s">
        <v>19</v>
      </c>
      <c r="E1132" s="17" t="s">
        <v>149</v>
      </c>
      <c r="F1132" s="17" t="s">
        <v>586</v>
      </c>
      <c r="G1132" s="18" t="n">
        <v>0</v>
      </c>
      <c r="H1132" s="18" t="n">
        <v>360</v>
      </c>
      <c r="I1132" s="18" t="n">
        <f aca="false">((I1131 + G1132) - H1132)</f>
        <v>-634756.07</v>
      </c>
      <c r="J1132" s="18" t="n">
        <v>-36</v>
      </c>
      <c r="K1132" s="19" t="n">
        <v>10</v>
      </c>
      <c r="L1132" s="17" t="s">
        <v>22</v>
      </c>
    </row>
    <row r="1133" s="11" customFormat="true" ht="10.95" hidden="false" customHeight="true" outlineLevel="0" collapsed="false">
      <c r="A1133" s="16" t="n">
        <v>45372</v>
      </c>
      <c r="B1133" s="17" t="s">
        <v>17</v>
      </c>
      <c r="C1133" s="17" t="s">
        <v>18</v>
      </c>
      <c r="D1133" s="17" t="s">
        <v>19</v>
      </c>
      <c r="E1133" s="17" t="s">
        <v>150</v>
      </c>
      <c r="F1133" s="17" t="s">
        <v>586</v>
      </c>
      <c r="G1133" s="18" t="n">
        <v>0</v>
      </c>
      <c r="H1133" s="18" t="n">
        <v>144</v>
      </c>
      <c r="I1133" s="18" t="n">
        <f aca="false">((I1132 + G1133) - H1133)</f>
        <v>-634900.07</v>
      </c>
      <c r="J1133" s="18" t="n">
        <v>-14.4</v>
      </c>
      <c r="K1133" s="19" t="n">
        <v>10</v>
      </c>
      <c r="L1133" s="17" t="s">
        <v>22</v>
      </c>
    </row>
    <row r="1134" s="11" customFormat="true" ht="10.95" hidden="false" customHeight="true" outlineLevel="0" collapsed="false">
      <c r="A1134" s="16" t="n">
        <v>45372</v>
      </c>
      <c r="B1134" s="17" t="s">
        <v>17</v>
      </c>
      <c r="C1134" s="17" t="s">
        <v>18</v>
      </c>
      <c r="D1134" s="17" t="s">
        <v>19</v>
      </c>
      <c r="E1134" s="17" t="s">
        <v>151</v>
      </c>
      <c r="F1134" s="17" t="s">
        <v>586</v>
      </c>
      <c r="G1134" s="18" t="n">
        <v>0</v>
      </c>
      <c r="H1134" s="18" t="n">
        <v>100</v>
      </c>
      <c r="I1134" s="18" t="n">
        <f aca="false">((I1133 + G1134) - H1134)</f>
        <v>-635000.07</v>
      </c>
      <c r="J1134" s="18" t="n">
        <v>-10</v>
      </c>
      <c r="K1134" s="19" t="n">
        <v>10</v>
      </c>
      <c r="L1134" s="17" t="s">
        <v>22</v>
      </c>
    </row>
    <row r="1135" s="11" customFormat="true" ht="10.95" hidden="false" customHeight="true" outlineLevel="0" collapsed="false">
      <c r="A1135" s="16" t="n">
        <v>45372</v>
      </c>
      <c r="B1135" s="17" t="s">
        <v>17</v>
      </c>
      <c r="C1135" s="17" t="s">
        <v>18</v>
      </c>
      <c r="D1135" s="17" t="s">
        <v>19</v>
      </c>
      <c r="E1135" s="17" t="s">
        <v>152</v>
      </c>
      <c r="F1135" s="17" t="s">
        <v>586</v>
      </c>
      <c r="G1135" s="18" t="n">
        <v>0</v>
      </c>
      <c r="H1135" s="18" t="n">
        <v>1079</v>
      </c>
      <c r="I1135" s="18" t="n">
        <f aca="false">((I1134 + G1135) - H1135)</f>
        <v>-636079.07</v>
      </c>
      <c r="J1135" s="18" t="n">
        <v>-107.9</v>
      </c>
      <c r="K1135" s="19" t="n">
        <v>10</v>
      </c>
      <c r="L1135" s="17" t="s">
        <v>22</v>
      </c>
    </row>
    <row r="1136" s="11" customFormat="true" ht="10.95" hidden="false" customHeight="true" outlineLevel="0" collapsed="false">
      <c r="A1136" s="16" t="n">
        <v>45372</v>
      </c>
      <c r="B1136" s="17" t="s">
        <v>17</v>
      </c>
      <c r="C1136" s="17" t="s">
        <v>18</v>
      </c>
      <c r="D1136" s="17" t="s">
        <v>19</v>
      </c>
      <c r="E1136" s="17" t="s">
        <v>153</v>
      </c>
      <c r="F1136" s="17" t="s">
        <v>586</v>
      </c>
      <c r="G1136" s="18" t="n">
        <v>0</v>
      </c>
      <c r="H1136" s="18" t="n">
        <v>283.5</v>
      </c>
      <c r="I1136" s="18" t="n">
        <f aca="false">((I1135 + G1136) - H1136)</f>
        <v>-636362.57</v>
      </c>
      <c r="J1136" s="18" t="n">
        <v>-28.35</v>
      </c>
      <c r="K1136" s="19" t="n">
        <v>10</v>
      </c>
      <c r="L1136" s="17" t="s">
        <v>22</v>
      </c>
    </row>
    <row r="1137" s="11" customFormat="true" ht="10.95" hidden="false" customHeight="true" outlineLevel="0" collapsed="false">
      <c r="A1137" s="16" t="n">
        <v>45372</v>
      </c>
      <c r="B1137" s="17" t="s">
        <v>17</v>
      </c>
      <c r="C1137" s="17" t="s">
        <v>18</v>
      </c>
      <c r="D1137" s="17" t="s">
        <v>19</v>
      </c>
      <c r="E1137" s="17" t="s">
        <v>154</v>
      </c>
      <c r="F1137" s="17" t="s">
        <v>586</v>
      </c>
      <c r="G1137" s="18" t="n">
        <v>0</v>
      </c>
      <c r="H1137" s="18" t="n">
        <v>165</v>
      </c>
      <c r="I1137" s="18" t="n">
        <f aca="false">((I1136 + G1137) - H1137)</f>
        <v>-636527.57</v>
      </c>
      <c r="J1137" s="18" t="n">
        <v>-16.5</v>
      </c>
      <c r="K1137" s="19" t="n">
        <v>10</v>
      </c>
      <c r="L1137" s="17" t="s">
        <v>22</v>
      </c>
    </row>
    <row r="1138" s="11" customFormat="true" ht="10.95" hidden="false" customHeight="true" outlineLevel="0" collapsed="false">
      <c r="A1138" s="16" t="n">
        <v>45372</v>
      </c>
      <c r="B1138" s="17" t="s">
        <v>17</v>
      </c>
      <c r="C1138" s="17" t="s">
        <v>18</v>
      </c>
      <c r="D1138" s="17" t="s">
        <v>19</v>
      </c>
      <c r="E1138" s="17" t="s">
        <v>155</v>
      </c>
      <c r="F1138" s="17" t="s">
        <v>586</v>
      </c>
      <c r="G1138" s="18" t="n">
        <v>0</v>
      </c>
      <c r="H1138" s="18" t="n">
        <v>432</v>
      </c>
      <c r="I1138" s="18" t="n">
        <f aca="false">((I1137 + G1138) - H1138)</f>
        <v>-636959.57</v>
      </c>
      <c r="J1138" s="18" t="n">
        <v>-43.2</v>
      </c>
      <c r="K1138" s="19" t="n">
        <v>10</v>
      </c>
      <c r="L1138" s="17" t="s">
        <v>22</v>
      </c>
    </row>
    <row r="1139" s="11" customFormat="true" ht="10.95" hidden="false" customHeight="true" outlineLevel="0" collapsed="false">
      <c r="A1139" s="16" t="n">
        <v>45372</v>
      </c>
      <c r="B1139" s="17" t="s">
        <v>17</v>
      </c>
      <c r="C1139" s="17" t="s">
        <v>18</v>
      </c>
      <c r="D1139" s="17" t="s">
        <v>19</v>
      </c>
      <c r="E1139" s="17" t="s">
        <v>156</v>
      </c>
      <c r="F1139" s="17" t="s">
        <v>586</v>
      </c>
      <c r="G1139" s="18" t="n">
        <v>0</v>
      </c>
      <c r="H1139" s="18" t="n">
        <v>1323</v>
      </c>
      <c r="I1139" s="18" t="n">
        <f aca="false">((I1138 + G1139) - H1139)</f>
        <v>-638282.57</v>
      </c>
      <c r="J1139" s="18" t="n">
        <v>-132.3</v>
      </c>
      <c r="K1139" s="19" t="n">
        <v>10</v>
      </c>
      <c r="L1139" s="17" t="s">
        <v>22</v>
      </c>
    </row>
    <row r="1140" s="11" customFormat="true" ht="10.95" hidden="false" customHeight="true" outlineLevel="0" collapsed="false">
      <c r="A1140" s="16" t="n">
        <v>45372</v>
      </c>
      <c r="B1140" s="17" t="s">
        <v>17</v>
      </c>
      <c r="C1140" s="17" t="s">
        <v>18</v>
      </c>
      <c r="D1140" s="17" t="s">
        <v>19</v>
      </c>
      <c r="E1140" s="17" t="s">
        <v>223</v>
      </c>
      <c r="F1140" s="17" t="s">
        <v>586</v>
      </c>
      <c r="G1140" s="18" t="n">
        <v>0</v>
      </c>
      <c r="H1140" s="18" t="n">
        <v>34.65</v>
      </c>
      <c r="I1140" s="18" t="n">
        <f aca="false">((I1139 + G1140) - H1140)</f>
        <v>-638317.22</v>
      </c>
      <c r="J1140" s="18" t="n">
        <v>-3.47</v>
      </c>
      <c r="K1140" s="19" t="n">
        <v>10</v>
      </c>
      <c r="L1140" s="17" t="s">
        <v>22</v>
      </c>
    </row>
    <row r="1141" s="11" customFormat="true" ht="10.95" hidden="false" customHeight="true" outlineLevel="0" collapsed="false">
      <c r="A1141" s="16" t="n">
        <v>45372</v>
      </c>
      <c r="B1141" s="17" t="s">
        <v>17</v>
      </c>
      <c r="C1141" s="17" t="s">
        <v>18</v>
      </c>
      <c r="D1141" s="17" t="s">
        <v>19</v>
      </c>
      <c r="E1141" s="17" t="s">
        <v>157</v>
      </c>
      <c r="F1141" s="17" t="s">
        <v>586</v>
      </c>
      <c r="G1141" s="18" t="n">
        <v>0</v>
      </c>
      <c r="H1141" s="18" t="n">
        <v>661.5</v>
      </c>
      <c r="I1141" s="18" t="n">
        <f aca="false">((I1140 + G1141) - H1141)</f>
        <v>-638978.72</v>
      </c>
      <c r="J1141" s="18" t="n">
        <v>-66.15</v>
      </c>
      <c r="K1141" s="19" t="n">
        <v>10</v>
      </c>
      <c r="L1141" s="17" t="s">
        <v>22</v>
      </c>
    </row>
    <row r="1142" s="11" customFormat="true" ht="10.95" hidden="false" customHeight="true" outlineLevel="0" collapsed="false">
      <c r="A1142" s="16" t="n">
        <v>45372</v>
      </c>
      <c r="B1142" s="17" t="s">
        <v>17</v>
      </c>
      <c r="C1142" s="17" t="s">
        <v>18</v>
      </c>
      <c r="D1142" s="17" t="s">
        <v>19</v>
      </c>
      <c r="E1142" s="17" t="s">
        <v>158</v>
      </c>
      <c r="F1142" s="17" t="s">
        <v>586</v>
      </c>
      <c r="G1142" s="18" t="n">
        <v>0</v>
      </c>
      <c r="H1142" s="18" t="n">
        <v>94.5</v>
      </c>
      <c r="I1142" s="18" t="n">
        <f aca="false">((I1141 + G1142) - H1142)</f>
        <v>-639073.22</v>
      </c>
      <c r="J1142" s="18" t="n">
        <v>-9.45</v>
      </c>
      <c r="K1142" s="19" t="n">
        <v>10</v>
      </c>
      <c r="L1142" s="17" t="s">
        <v>22</v>
      </c>
    </row>
    <row r="1143" s="11" customFormat="true" ht="10.95" hidden="false" customHeight="true" outlineLevel="0" collapsed="false">
      <c r="A1143" s="16" t="n">
        <v>45372</v>
      </c>
      <c r="B1143" s="17" t="s">
        <v>17</v>
      </c>
      <c r="C1143" s="17" t="s">
        <v>18</v>
      </c>
      <c r="D1143" s="17" t="s">
        <v>19</v>
      </c>
      <c r="E1143" s="17" t="s">
        <v>159</v>
      </c>
      <c r="F1143" s="17" t="s">
        <v>586</v>
      </c>
      <c r="G1143" s="18" t="n">
        <v>0</v>
      </c>
      <c r="H1143" s="18" t="n">
        <v>792</v>
      </c>
      <c r="I1143" s="18" t="n">
        <f aca="false">((I1142 + G1143) - H1143)</f>
        <v>-639865.22</v>
      </c>
      <c r="J1143" s="18" t="n">
        <v>-79.2</v>
      </c>
      <c r="K1143" s="19" t="n">
        <v>10</v>
      </c>
      <c r="L1143" s="17" t="s">
        <v>22</v>
      </c>
    </row>
    <row r="1144" s="11" customFormat="true" ht="10.95" hidden="false" customHeight="true" outlineLevel="0" collapsed="false">
      <c r="A1144" s="16" t="n">
        <v>45372</v>
      </c>
      <c r="B1144" s="17" t="s">
        <v>17</v>
      </c>
      <c r="C1144" s="17" t="s">
        <v>18</v>
      </c>
      <c r="D1144" s="17" t="s">
        <v>19</v>
      </c>
      <c r="E1144" s="17" t="s">
        <v>282</v>
      </c>
      <c r="F1144" s="17" t="s">
        <v>586</v>
      </c>
      <c r="G1144" s="18" t="n">
        <v>0</v>
      </c>
      <c r="H1144" s="18" t="n">
        <v>94.5</v>
      </c>
      <c r="I1144" s="18" t="n">
        <f aca="false">((I1143 + G1144) - H1144)</f>
        <v>-639959.72</v>
      </c>
      <c r="J1144" s="18" t="n">
        <v>-9.45</v>
      </c>
      <c r="K1144" s="19" t="n">
        <v>10</v>
      </c>
      <c r="L1144" s="17" t="s">
        <v>22</v>
      </c>
    </row>
    <row r="1145" s="11" customFormat="true" ht="10.95" hidden="false" customHeight="true" outlineLevel="0" collapsed="false">
      <c r="A1145" s="16" t="n">
        <v>45372</v>
      </c>
      <c r="B1145" s="17" t="s">
        <v>17</v>
      </c>
      <c r="C1145" s="17" t="s">
        <v>18</v>
      </c>
      <c r="D1145" s="17" t="s">
        <v>19</v>
      </c>
      <c r="E1145" s="17" t="s">
        <v>373</v>
      </c>
      <c r="F1145" s="17" t="s">
        <v>586</v>
      </c>
      <c r="G1145" s="18" t="n">
        <v>0</v>
      </c>
      <c r="H1145" s="18" t="n">
        <v>72</v>
      </c>
      <c r="I1145" s="18" t="n">
        <f aca="false">((I1144 + G1145) - H1145)</f>
        <v>-640031.72</v>
      </c>
      <c r="J1145" s="18" t="n">
        <v>-7.2</v>
      </c>
      <c r="K1145" s="19" t="n">
        <v>10</v>
      </c>
      <c r="L1145" s="17" t="s">
        <v>22</v>
      </c>
    </row>
    <row r="1146" s="11" customFormat="true" ht="10.95" hidden="false" customHeight="true" outlineLevel="0" collapsed="false">
      <c r="A1146" s="16" t="n">
        <v>45372</v>
      </c>
      <c r="B1146" s="17" t="s">
        <v>17</v>
      </c>
      <c r="C1146" s="17" t="s">
        <v>18</v>
      </c>
      <c r="D1146" s="17" t="s">
        <v>19</v>
      </c>
      <c r="E1146" s="17" t="s">
        <v>428</v>
      </c>
      <c r="F1146" s="17" t="s">
        <v>586</v>
      </c>
      <c r="G1146" s="18" t="n">
        <v>0</v>
      </c>
      <c r="H1146" s="18" t="n">
        <v>216</v>
      </c>
      <c r="I1146" s="18" t="n">
        <f aca="false">((I1145 + G1146) - H1146)</f>
        <v>-640247.72</v>
      </c>
      <c r="J1146" s="18" t="n">
        <v>-21.6</v>
      </c>
      <c r="K1146" s="19" t="n">
        <v>10</v>
      </c>
      <c r="L1146" s="17" t="s">
        <v>22</v>
      </c>
    </row>
    <row r="1147" s="11" customFormat="true" ht="10.95" hidden="false" customHeight="true" outlineLevel="0" collapsed="false">
      <c r="A1147" s="16" t="n">
        <v>45372</v>
      </c>
      <c r="B1147" s="17" t="s">
        <v>17</v>
      </c>
      <c r="C1147" s="17" t="s">
        <v>18</v>
      </c>
      <c r="D1147" s="17" t="s">
        <v>19</v>
      </c>
      <c r="E1147" s="17" t="s">
        <v>429</v>
      </c>
      <c r="F1147" s="17" t="s">
        <v>586</v>
      </c>
      <c r="G1147" s="18" t="n">
        <v>0</v>
      </c>
      <c r="H1147" s="18" t="n">
        <v>189</v>
      </c>
      <c r="I1147" s="18" t="n">
        <f aca="false">((I1146 + G1147) - H1147)</f>
        <v>-640436.72</v>
      </c>
      <c r="J1147" s="18" t="n">
        <v>-18.9</v>
      </c>
      <c r="K1147" s="19" t="n">
        <v>10</v>
      </c>
      <c r="L1147" s="17" t="s">
        <v>22</v>
      </c>
    </row>
    <row r="1148" s="11" customFormat="true" ht="10.95" hidden="false" customHeight="true" outlineLevel="0" collapsed="false">
      <c r="A1148" s="16" t="n">
        <v>45372</v>
      </c>
      <c r="B1148" s="17" t="s">
        <v>17</v>
      </c>
      <c r="C1148" s="17" t="s">
        <v>18</v>
      </c>
      <c r="D1148" s="17" t="s">
        <v>19</v>
      </c>
      <c r="E1148" s="17" t="s">
        <v>471</v>
      </c>
      <c r="F1148" s="17" t="s">
        <v>586</v>
      </c>
      <c r="G1148" s="18" t="n">
        <v>0</v>
      </c>
      <c r="H1148" s="18" t="n">
        <v>216</v>
      </c>
      <c r="I1148" s="18" t="n">
        <f aca="false">((I1147 + G1148) - H1148)</f>
        <v>-640652.72</v>
      </c>
      <c r="J1148" s="18" t="n">
        <v>-21.6</v>
      </c>
      <c r="K1148" s="19" t="n">
        <v>10</v>
      </c>
      <c r="L1148" s="17" t="s">
        <v>22</v>
      </c>
    </row>
    <row r="1149" s="11" customFormat="true" ht="10.95" hidden="false" customHeight="true" outlineLevel="0" collapsed="false">
      <c r="A1149" s="16" t="n">
        <v>45372</v>
      </c>
      <c r="B1149" s="17" t="s">
        <v>17</v>
      </c>
      <c r="C1149" s="17" t="s">
        <v>18</v>
      </c>
      <c r="D1149" s="17" t="s">
        <v>19</v>
      </c>
      <c r="E1149" s="17" t="s">
        <v>587</v>
      </c>
      <c r="F1149" s="17" t="s">
        <v>586</v>
      </c>
      <c r="G1149" s="18" t="n">
        <v>0</v>
      </c>
      <c r="H1149" s="18" t="n">
        <v>144</v>
      </c>
      <c r="I1149" s="18" t="n">
        <f aca="false">((I1148 + G1149) - H1149)</f>
        <v>-640796.72</v>
      </c>
      <c r="J1149" s="18" t="n">
        <v>-14.4</v>
      </c>
      <c r="K1149" s="19" t="n">
        <v>10</v>
      </c>
      <c r="L1149" s="17" t="s">
        <v>22</v>
      </c>
    </row>
    <row r="1150" s="11" customFormat="true" ht="10.95" hidden="false" customHeight="true" outlineLevel="0" collapsed="false">
      <c r="A1150" s="16" t="n">
        <v>45372</v>
      </c>
      <c r="B1150" s="17" t="s">
        <v>17</v>
      </c>
      <c r="C1150" s="17" t="s">
        <v>18</v>
      </c>
      <c r="D1150" s="17" t="s">
        <v>19</v>
      </c>
      <c r="E1150" s="17" t="s">
        <v>588</v>
      </c>
      <c r="F1150" s="17" t="s">
        <v>586</v>
      </c>
      <c r="G1150" s="18" t="n">
        <v>0</v>
      </c>
      <c r="H1150" s="18" t="n">
        <v>288</v>
      </c>
      <c r="I1150" s="18" t="n">
        <f aca="false">((I1149 + G1150) - H1150)</f>
        <v>-641084.72</v>
      </c>
      <c r="J1150" s="18" t="n">
        <v>-28.8</v>
      </c>
      <c r="K1150" s="19" t="n">
        <v>10</v>
      </c>
      <c r="L1150" s="17" t="s">
        <v>22</v>
      </c>
    </row>
    <row r="1151" s="11" customFormat="true" ht="10.95" hidden="false" customHeight="true" outlineLevel="0" collapsed="false">
      <c r="A1151" s="16" t="n">
        <v>45372</v>
      </c>
      <c r="B1151" s="17" t="s">
        <v>17</v>
      </c>
      <c r="C1151" s="17" t="s">
        <v>18</v>
      </c>
      <c r="D1151" s="17" t="s">
        <v>19</v>
      </c>
      <c r="E1151" s="17" t="s">
        <v>589</v>
      </c>
      <c r="F1151" s="17" t="s">
        <v>586</v>
      </c>
      <c r="G1151" s="18" t="n">
        <v>0</v>
      </c>
      <c r="H1151" s="18" t="n">
        <v>567</v>
      </c>
      <c r="I1151" s="18" t="n">
        <f aca="false">((I1150 + G1151) - H1151)</f>
        <v>-641651.72</v>
      </c>
      <c r="J1151" s="18" t="n">
        <v>-56.7</v>
      </c>
      <c r="K1151" s="19" t="n">
        <v>10</v>
      </c>
      <c r="L1151" s="17" t="s">
        <v>22</v>
      </c>
    </row>
    <row r="1152" s="11" customFormat="true" ht="10.95" hidden="false" customHeight="true" outlineLevel="0" collapsed="false">
      <c r="A1152" s="16" t="n">
        <v>45372</v>
      </c>
      <c r="B1152" s="17" t="s">
        <v>17</v>
      </c>
      <c r="C1152" s="17" t="s">
        <v>18</v>
      </c>
      <c r="D1152" s="17" t="s">
        <v>19</v>
      </c>
      <c r="E1152" s="17" t="s">
        <v>78</v>
      </c>
      <c r="F1152" s="17" t="s">
        <v>590</v>
      </c>
      <c r="G1152" s="18" t="n">
        <v>0</v>
      </c>
      <c r="H1152" s="18" t="n">
        <v>564</v>
      </c>
      <c r="I1152" s="18" t="n">
        <f aca="false">((I1151 + G1152) - H1152)</f>
        <v>-642215.72</v>
      </c>
      <c r="J1152" s="18" t="n">
        <v>-56.4</v>
      </c>
      <c r="K1152" s="19" t="n">
        <v>10</v>
      </c>
      <c r="L1152" s="17" t="s">
        <v>22</v>
      </c>
    </row>
    <row r="1153" s="11" customFormat="true" ht="10.95" hidden="false" customHeight="true" outlineLevel="0" collapsed="false">
      <c r="A1153" s="16" t="n">
        <v>45372</v>
      </c>
      <c r="B1153" s="17" t="s">
        <v>17</v>
      </c>
      <c r="C1153" s="17" t="s">
        <v>18</v>
      </c>
      <c r="D1153" s="17" t="s">
        <v>19</v>
      </c>
      <c r="E1153" s="17" t="s">
        <v>80</v>
      </c>
      <c r="F1153" s="17" t="s">
        <v>590</v>
      </c>
      <c r="G1153" s="18" t="n">
        <v>0</v>
      </c>
      <c r="H1153" s="18" t="n">
        <v>110</v>
      </c>
      <c r="I1153" s="18" t="n">
        <f aca="false">((I1152 + G1153) - H1153)</f>
        <v>-642325.72</v>
      </c>
      <c r="J1153" s="18" t="n">
        <v>-11</v>
      </c>
      <c r="K1153" s="19" t="n">
        <v>10</v>
      </c>
      <c r="L1153" s="17" t="s">
        <v>22</v>
      </c>
    </row>
    <row r="1154" s="11" customFormat="true" ht="10.95" hidden="false" customHeight="true" outlineLevel="0" collapsed="false">
      <c r="A1154" s="16" t="n">
        <v>45384</v>
      </c>
      <c r="B1154" s="17" t="s">
        <v>17</v>
      </c>
      <c r="C1154" s="17" t="s">
        <v>18</v>
      </c>
      <c r="D1154" s="17" t="s">
        <v>19</v>
      </c>
      <c r="E1154" s="17" t="s">
        <v>591</v>
      </c>
      <c r="F1154" s="17" t="s">
        <v>592</v>
      </c>
      <c r="G1154" s="18" t="n">
        <v>0</v>
      </c>
      <c r="H1154" s="18" t="n">
        <v>160</v>
      </c>
      <c r="I1154" s="18" t="n">
        <f aca="false">((I1153 + G1154) - H1154)</f>
        <v>-642485.72</v>
      </c>
      <c r="J1154" s="18" t="n">
        <v>-16</v>
      </c>
      <c r="K1154" s="19" t="n">
        <v>10</v>
      </c>
      <c r="L1154" s="17" t="s">
        <v>22</v>
      </c>
    </row>
    <row r="1155" s="11" customFormat="true" ht="10.95" hidden="false" customHeight="true" outlineLevel="0" collapsed="false">
      <c r="A1155" s="16" t="n">
        <v>45408</v>
      </c>
      <c r="B1155" s="17" t="s">
        <v>17</v>
      </c>
      <c r="C1155" s="17" t="s">
        <v>18</v>
      </c>
      <c r="D1155" s="17" t="s">
        <v>19</v>
      </c>
      <c r="E1155" s="17" t="s">
        <v>233</v>
      </c>
      <c r="F1155" s="17" t="s">
        <v>593</v>
      </c>
      <c r="G1155" s="18" t="n">
        <v>0</v>
      </c>
      <c r="H1155" s="18" t="n">
        <v>71.5</v>
      </c>
      <c r="I1155" s="18" t="n">
        <f aca="false">((I1154 + G1155) - H1155)</f>
        <v>-642557.22</v>
      </c>
      <c r="J1155" s="18" t="n">
        <v>-7.15</v>
      </c>
      <c r="K1155" s="19" t="n">
        <v>10</v>
      </c>
      <c r="L1155" s="17" t="s">
        <v>22</v>
      </c>
    </row>
    <row r="1156" s="11" customFormat="true" ht="10.95" hidden="false" customHeight="true" outlineLevel="0" collapsed="false">
      <c r="A1156" s="16" t="n">
        <v>45408</v>
      </c>
      <c r="B1156" s="17" t="s">
        <v>17</v>
      </c>
      <c r="C1156" s="17" t="s">
        <v>18</v>
      </c>
      <c r="D1156" s="17" t="s">
        <v>19</v>
      </c>
      <c r="E1156" s="17" t="s">
        <v>594</v>
      </c>
      <c r="F1156" s="17" t="s">
        <v>595</v>
      </c>
      <c r="G1156" s="18" t="n">
        <v>0</v>
      </c>
      <c r="H1156" s="18" t="n">
        <v>104.5</v>
      </c>
      <c r="I1156" s="18" t="n">
        <f aca="false">((I1155 + G1156) - H1156)</f>
        <v>-642661.72</v>
      </c>
      <c r="J1156" s="18" t="n">
        <v>-10.45</v>
      </c>
      <c r="K1156" s="19" t="n">
        <v>10</v>
      </c>
      <c r="L1156" s="17" t="s">
        <v>22</v>
      </c>
    </row>
    <row r="1157" s="11" customFormat="true" ht="10.95" hidden="false" customHeight="true" outlineLevel="0" collapsed="false">
      <c r="A1157" s="16" t="n">
        <v>45408</v>
      </c>
      <c r="B1157" s="17" t="s">
        <v>17</v>
      </c>
      <c r="C1157" s="17" t="s">
        <v>18</v>
      </c>
      <c r="D1157" s="17" t="s">
        <v>19</v>
      </c>
      <c r="E1157" s="17" t="s">
        <v>596</v>
      </c>
      <c r="F1157" s="17" t="s">
        <v>595</v>
      </c>
      <c r="G1157" s="18" t="n">
        <v>0</v>
      </c>
      <c r="H1157" s="18" t="n">
        <v>104.5</v>
      </c>
      <c r="I1157" s="18" t="n">
        <f aca="false">((I1156 + G1157) - H1157)</f>
        <v>-642766.22</v>
      </c>
      <c r="J1157" s="18" t="n">
        <v>-10.45</v>
      </c>
      <c r="K1157" s="19" t="n">
        <v>10</v>
      </c>
      <c r="L1157" s="17" t="s">
        <v>22</v>
      </c>
    </row>
    <row r="1158" s="11" customFormat="true" ht="10.95" hidden="false" customHeight="true" outlineLevel="0" collapsed="false">
      <c r="A1158" s="16" t="n">
        <v>45408</v>
      </c>
      <c r="B1158" s="17" t="s">
        <v>17</v>
      </c>
      <c r="C1158" s="17" t="s">
        <v>18</v>
      </c>
      <c r="D1158" s="17" t="s">
        <v>19</v>
      </c>
      <c r="E1158" s="17" t="s">
        <v>597</v>
      </c>
      <c r="F1158" s="17" t="s">
        <v>595</v>
      </c>
      <c r="G1158" s="18" t="n">
        <v>0</v>
      </c>
      <c r="H1158" s="18" t="n">
        <v>104.5</v>
      </c>
      <c r="I1158" s="18" t="n">
        <f aca="false">((I1157 + G1158) - H1158)</f>
        <v>-642870.72</v>
      </c>
      <c r="J1158" s="18" t="n">
        <v>-10.45</v>
      </c>
      <c r="K1158" s="19" t="n">
        <v>10</v>
      </c>
      <c r="L1158" s="17" t="s">
        <v>22</v>
      </c>
    </row>
    <row r="1159" s="11" customFormat="true" ht="10.95" hidden="false" customHeight="true" outlineLevel="0" collapsed="false">
      <c r="A1159" s="16" t="n">
        <v>45408</v>
      </c>
      <c r="B1159" s="17" t="s">
        <v>17</v>
      </c>
      <c r="C1159" s="17" t="s">
        <v>18</v>
      </c>
      <c r="D1159" s="17" t="s">
        <v>19</v>
      </c>
      <c r="E1159" s="17" t="s">
        <v>598</v>
      </c>
      <c r="F1159" s="17" t="s">
        <v>595</v>
      </c>
      <c r="G1159" s="18" t="n">
        <v>0</v>
      </c>
      <c r="H1159" s="18" t="n">
        <v>104.5</v>
      </c>
      <c r="I1159" s="18" t="n">
        <f aca="false">((I1158 + G1159) - H1159)</f>
        <v>-642975.22</v>
      </c>
      <c r="J1159" s="18" t="n">
        <v>-10.45</v>
      </c>
      <c r="K1159" s="19" t="n">
        <v>10</v>
      </c>
      <c r="L1159" s="17" t="s">
        <v>22</v>
      </c>
    </row>
    <row r="1160" s="11" customFormat="true" ht="10.95" hidden="false" customHeight="true" outlineLevel="0" collapsed="false">
      <c r="A1160" s="16" t="n">
        <v>45408</v>
      </c>
      <c r="B1160" s="17" t="s">
        <v>17</v>
      </c>
      <c r="C1160" s="17" t="s">
        <v>18</v>
      </c>
      <c r="D1160" s="17" t="s">
        <v>19</v>
      </c>
      <c r="E1160" s="17" t="s">
        <v>545</v>
      </c>
      <c r="F1160" s="17" t="s">
        <v>599</v>
      </c>
      <c r="G1160" s="18" t="n">
        <v>0</v>
      </c>
      <c r="H1160" s="18" t="n">
        <v>648</v>
      </c>
      <c r="I1160" s="18" t="n">
        <f aca="false">((I1159 + G1160) - H1160)</f>
        <v>-643623.22</v>
      </c>
      <c r="J1160" s="18" t="n">
        <v>-64.8</v>
      </c>
      <c r="K1160" s="19" t="n">
        <v>10</v>
      </c>
      <c r="L1160" s="17" t="s">
        <v>22</v>
      </c>
    </row>
    <row r="1161" s="11" customFormat="true" ht="10.95" hidden="false" customHeight="true" outlineLevel="0" collapsed="false">
      <c r="A1161" s="16" t="n">
        <v>45408</v>
      </c>
      <c r="B1161" s="17" t="s">
        <v>17</v>
      </c>
      <c r="C1161" s="17" t="s">
        <v>18</v>
      </c>
      <c r="D1161" s="17" t="s">
        <v>19</v>
      </c>
      <c r="E1161" s="17" t="s">
        <v>231</v>
      </c>
      <c r="F1161" s="17" t="s">
        <v>600</v>
      </c>
      <c r="G1161" s="18" t="n">
        <v>0</v>
      </c>
      <c r="H1161" s="18" t="n">
        <v>143</v>
      </c>
      <c r="I1161" s="18" t="n">
        <f aca="false">((I1160 + G1161) - H1161)</f>
        <v>-643766.22</v>
      </c>
      <c r="J1161" s="18" t="n">
        <v>-14.3</v>
      </c>
      <c r="K1161" s="19" t="n">
        <v>10</v>
      </c>
      <c r="L1161" s="17" t="s">
        <v>22</v>
      </c>
    </row>
    <row r="1162" s="11" customFormat="true" ht="10.95" hidden="false" customHeight="true" outlineLevel="0" collapsed="false">
      <c r="A1162" s="16" t="n">
        <v>45408</v>
      </c>
      <c r="B1162" s="17" t="s">
        <v>17</v>
      </c>
      <c r="C1162" s="17" t="s">
        <v>18</v>
      </c>
      <c r="D1162" s="17" t="s">
        <v>19</v>
      </c>
      <c r="E1162" s="17" t="s">
        <v>171</v>
      </c>
      <c r="F1162" s="17" t="s">
        <v>601</v>
      </c>
      <c r="G1162" s="18" t="n">
        <v>0</v>
      </c>
      <c r="H1162" s="18" t="n">
        <v>940.5</v>
      </c>
      <c r="I1162" s="18" t="n">
        <f aca="false">((I1161 + G1162) - H1162)</f>
        <v>-644706.72</v>
      </c>
      <c r="J1162" s="18" t="n">
        <v>-94.05</v>
      </c>
      <c r="K1162" s="19" t="n">
        <v>10</v>
      </c>
      <c r="L1162" s="17" t="s">
        <v>22</v>
      </c>
    </row>
    <row r="1163" s="11" customFormat="true" ht="10.95" hidden="false" customHeight="true" outlineLevel="0" collapsed="false">
      <c r="A1163" s="16" t="n">
        <v>45408</v>
      </c>
      <c r="B1163" s="17" t="s">
        <v>17</v>
      </c>
      <c r="C1163" s="17" t="s">
        <v>18</v>
      </c>
      <c r="D1163" s="17" t="s">
        <v>19</v>
      </c>
      <c r="E1163" s="17" t="s">
        <v>20</v>
      </c>
      <c r="F1163" s="17" t="s">
        <v>602</v>
      </c>
      <c r="G1163" s="18" t="n">
        <v>0</v>
      </c>
      <c r="H1163" s="18" t="n">
        <v>376</v>
      </c>
      <c r="I1163" s="18" t="n">
        <f aca="false">((I1162 + G1163) - H1163)</f>
        <v>-645082.72</v>
      </c>
      <c r="J1163" s="18" t="n">
        <v>-37.6</v>
      </c>
      <c r="K1163" s="19" t="n">
        <v>10</v>
      </c>
      <c r="L1163" s="17" t="s">
        <v>22</v>
      </c>
    </row>
    <row r="1164" s="11" customFormat="true" ht="10.95" hidden="false" customHeight="true" outlineLevel="0" collapsed="false">
      <c r="A1164" s="16" t="n">
        <v>45408</v>
      </c>
      <c r="B1164" s="17" t="s">
        <v>17</v>
      </c>
      <c r="C1164" s="17" t="s">
        <v>18</v>
      </c>
      <c r="D1164" s="17" t="s">
        <v>19</v>
      </c>
      <c r="E1164" s="17" t="s">
        <v>23</v>
      </c>
      <c r="F1164" s="17" t="s">
        <v>603</v>
      </c>
      <c r="G1164" s="18" t="n">
        <v>0</v>
      </c>
      <c r="H1164" s="18" t="n">
        <v>1150</v>
      </c>
      <c r="I1164" s="18" t="n">
        <f aca="false">((I1163 + G1164) - H1164)</f>
        <v>-646232.72</v>
      </c>
      <c r="J1164" s="18" t="n">
        <v>-115</v>
      </c>
      <c r="K1164" s="19" t="n">
        <v>10</v>
      </c>
      <c r="L1164" s="17" t="s">
        <v>22</v>
      </c>
    </row>
    <row r="1165" s="11" customFormat="true" ht="10.95" hidden="false" customHeight="true" outlineLevel="0" collapsed="false">
      <c r="A1165" s="16" t="n">
        <v>45408</v>
      </c>
      <c r="B1165" s="17" t="s">
        <v>17</v>
      </c>
      <c r="C1165" s="17" t="s">
        <v>18</v>
      </c>
      <c r="D1165" s="17" t="s">
        <v>19</v>
      </c>
      <c r="E1165" s="17" t="s">
        <v>25</v>
      </c>
      <c r="F1165" s="17" t="s">
        <v>603</v>
      </c>
      <c r="G1165" s="18" t="n">
        <v>0</v>
      </c>
      <c r="H1165" s="18" t="n">
        <v>225</v>
      </c>
      <c r="I1165" s="18" t="n">
        <f aca="false">((I1164 + G1165) - H1165)</f>
        <v>-646457.72</v>
      </c>
      <c r="J1165" s="18" t="n">
        <v>-22.5</v>
      </c>
      <c r="K1165" s="19" t="n">
        <v>10</v>
      </c>
      <c r="L1165" s="17" t="s">
        <v>22</v>
      </c>
    </row>
    <row r="1166" s="11" customFormat="true" ht="10.95" hidden="false" customHeight="true" outlineLevel="0" collapsed="false">
      <c r="A1166" s="16" t="n">
        <v>45408</v>
      </c>
      <c r="B1166" s="17" t="s">
        <v>17</v>
      </c>
      <c r="C1166" s="17" t="s">
        <v>18</v>
      </c>
      <c r="D1166" s="17" t="s">
        <v>19</v>
      </c>
      <c r="E1166" s="17" t="s">
        <v>26</v>
      </c>
      <c r="F1166" s="17" t="s">
        <v>604</v>
      </c>
      <c r="G1166" s="18" t="n">
        <v>0</v>
      </c>
      <c r="H1166" s="18" t="n">
        <v>595</v>
      </c>
      <c r="I1166" s="18" t="n">
        <f aca="false">((I1165 + G1166) - H1166)</f>
        <v>-647052.72</v>
      </c>
      <c r="J1166" s="18" t="n">
        <v>-59.5</v>
      </c>
      <c r="K1166" s="19" t="n">
        <v>10</v>
      </c>
      <c r="L1166" s="17" t="s">
        <v>22</v>
      </c>
    </row>
    <row r="1167" s="11" customFormat="true" ht="10.95" hidden="false" customHeight="true" outlineLevel="0" collapsed="false">
      <c r="A1167" s="16" t="n">
        <v>45408</v>
      </c>
      <c r="B1167" s="17" t="s">
        <v>17</v>
      </c>
      <c r="C1167" s="17" t="s">
        <v>18</v>
      </c>
      <c r="D1167" s="17" t="s">
        <v>19</v>
      </c>
      <c r="E1167" s="17" t="s">
        <v>28</v>
      </c>
      <c r="F1167" s="17" t="s">
        <v>605</v>
      </c>
      <c r="G1167" s="18" t="n">
        <v>0</v>
      </c>
      <c r="H1167" s="18" t="n">
        <v>1149.5</v>
      </c>
      <c r="I1167" s="18" t="n">
        <f aca="false">((I1166 + G1167) - H1167)</f>
        <v>-648202.22</v>
      </c>
      <c r="J1167" s="18" t="n">
        <v>-114.95</v>
      </c>
      <c r="K1167" s="19" t="n">
        <v>10</v>
      </c>
      <c r="L1167" s="17" t="s">
        <v>22</v>
      </c>
    </row>
    <row r="1168" s="11" customFormat="true" ht="10.95" hidden="false" customHeight="true" outlineLevel="0" collapsed="false">
      <c r="A1168" s="16" t="n">
        <v>45408</v>
      </c>
      <c r="B1168" s="17" t="s">
        <v>17</v>
      </c>
      <c r="C1168" s="17" t="s">
        <v>18</v>
      </c>
      <c r="D1168" s="17" t="s">
        <v>19</v>
      </c>
      <c r="E1168" s="17" t="s">
        <v>482</v>
      </c>
      <c r="F1168" s="17" t="s">
        <v>605</v>
      </c>
      <c r="G1168" s="18" t="n">
        <v>0</v>
      </c>
      <c r="H1168" s="18" t="n">
        <v>110</v>
      </c>
      <c r="I1168" s="18" t="n">
        <f aca="false">((I1167 + G1168) - H1168)</f>
        <v>-648312.22</v>
      </c>
      <c r="J1168" s="18" t="n">
        <v>-11</v>
      </c>
      <c r="K1168" s="19" t="n">
        <v>10</v>
      </c>
      <c r="L1168" s="17" t="s">
        <v>22</v>
      </c>
    </row>
    <row r="1169" s="11" customFormat="true" ht="10.95" hidden="false" customHeight="true" outlineLevel="0" collapsed="false">
      <c r="A1169" s="16" t="n">
        <v>45408</v>
      </c>
      <c r="B1169" s="17" t="s">
        <v>17</v>
      </c>
      <c r="C1169" s="17" t="s">
        <v>18</v>
      </c>
      <c r="D1169" s="17" t="s">
        <v>19</v>
      </c>
      <c r="E1169" s="17" t="s">
        <v>30</v>
      </c>
      <c r="F1169" s="17" t="s">
        <v>606</v>
      </c>
      <c r="G1169" s="18" t="n">
        <v>0</v>
      </c>
      <c r="H1169" s="18" t="n">
        <v>85</v>
      </c>
      <c r="I1169" s="18" t="n">
        <f aca="false">((I1168 + G1169) - H1169)</f>
        <v>-648397.22</v>
      </c>
      <c r="J1169" s="18" t="n">
        <v>-8.5</v>
      </c>
      <c r="K1169" s="19" t="n">
        <v>10</v>
      </c>
      <c r="L1169" s="17" t="s">
        <v>22</v>
      </c>
    </row>
    <row r="1170" s="11" customFormat="true" ht="10.95" hidden="false" customHeight="true" outlineLevel="0" collapsed="false">
      <c r="A1170" s="16" t="n">
        <v>45408</v>
      </c>
      <c r="B1170" s="17" t="s">
        <v>17</v>
      </c>
      <c r="C1170" s="17" t="s">
        <v>18</v>
      </c>
      <c r="D1170" s="17" t="s">
        <v>19</v>
      </c>
      <c r="E1170" s="17" t="s">
        <v>607</v>
      </c>
      <c r="F1170" s="17" t="s">
        <v>608</v>
      </c>
      <c r="G1170" s="18" t="n">
        <v>0</v>
      </c>
      <c r="H1170" s="18" t="n">
        <v>715</v>
      </c>
      <c r="I1170" s="18" t="n">
        <f aca="false">((I1169 + G1170) - H1170)</f>
        <v>-649112.22</v>
      </c>
      <c r="J1170" s="18" t="n">
        <v>-71.5</v>
      </c>
      <c r="K1170" s="19" t="n">
        <v>10</v>
      </c>
      <c r="L1170" s="17" t="s">
        <v>22</v>
      </c>
    </row>
    <row r="1171" s="11" customFormat="true" ht="10.95" hidden="false" customHeight="true" outlineLevel="0" collapsed="false">
      <c r="A1171" s="16" t="n">
        <v>45408</v>
      </c>
      <c r="B1171" s="17" t="s">
        <v>17</v>
      </c>
      <c r="C1171" s="17" t="s">
        <v>18</v>
      </c>
      <c r="D1171" s="17" t="s">
        <v>19</v>
      </c>
      <c r="E1171" s="17" t="s">
        <v>607</v>
      </c>
      <c r="F1171" s="17" t="s">
        <v>608</v>
      </c>
      <c r="G1171" s="18" t="n">
        <v>0</v>
      </c>
      <c r="H1171" s="18" t="n">
        <v>715</v>
      </c>
      <c r="I1171" s="18" t="n">
        <f aca="false">((I1170 + G1171) - H1171)</f>
        <v>-649827.22</v>
      </c>
      <c r="J1171" s="18" t="n">
        <v>-71.5</v>
      </c>
      <c r="K1171" s="19" t="n">
        <v>10</v>
      </c>
      <c r="L1171" s="17" t="s">
        <v>22</v>
      </c>
    </row>
    <row r="1172" s="11" customFormat="true" ht="10.95" hidden="false" customHeight="true" outlineLevel="0" collapsed="false">
      <c r="A1172" s="16" t="n">
        <v>45408</v>
      </c>
      <c r="B1172" s="17" t="s">
        <v>17</v>
      </c>
      <c r="C1172" s="17" t="s">
        <v>18</v>
      </c>
      <c r="D1172" s="17" t="s">
        <v>19</v>
      </c>
      <c r="E1172" s="17" t="s">
        <v>607</v>
      </c>
      <c r="F1172" s="17" t="s">
        <v>608</v>
      </c>
      <c r="G1172" s="18" t="n">
        <v>0</v>
      </c>
      <c r="H1172" s="18" t="n">
        <v>715</v>
      </c>
      <c r="I1172" s="18" t="n">
        <f aca="false">((I1171 + G1172) - H1172)</f>
        <v>-650542.22</v>
      </c>
      <c r="J1172" s="18" t="n">
        <v>-71.5</v>
      </c>
      <c r="K1172" s="19" t="n">
        <v>10</v>
      </c>
      <c r="L1172" s="17" t="s">
        <v>22</v>
      </c>
    </row>
    <row r="1173" s="11" customFormat="true" ht="10.95" hidden="false" customHeight="true" outlineLevel="0" collapsed="false">
      <c r="A1173" s="16" t="n">
        <v>45408</v>
      </c>
      <c r="B1173" s="17" t="s">
        <v>17</v>
      </c>
      <c r="C1173" s="17" t="s">
        <v>18</v>
      </c>
      <c r="D1173" s="17" t="s">
        <v>19</v>
      </c>
      <c r="E1173" s="17" t="s">
        <v>607</v>
      </c>
      <c r="F1173" s="17" t="s">
        <v>608</v>
      </c>
      <c r="G1173" s="18" t="n">
        <v>0</v>
      </c>
      <c r="H1173" s="18" t="n">
        <v>715</v>
      </c>
      <c r="I1173" s="18" t="n">
        <f aca="false">((I1172 + G1173) - H1173)</f>
        <v>-651257.22</v>
      </c>
      <c r="J1173" s="18" t="n">
        <v>-71.5</v>
      </c>
      <c r="K1173" s="19" t="n">
        <v>10</v>
      </c>
      <c r="L1173" s="17" t="s">
        <v>22</v>
      </c>
    </row>
    <row r="1174" s="11" customFormat="true" ht="10.95" hidden="false" customHeight="true" outlineLevel="0" collapsed="false">
      <c r="A1174" s="16" t="n">
        <v>45408</v>
      </c>
      <c r="B1174" s="17" t="s">
        <v>17</v>
      </c>
      <c r="C1174" s="17" t="s">
        <v>18</v>
      </c>
      <c r="D1174" s="17" t="s">
        <v>19</v>
      </c>
      <c r="E1174" s="17" t="s">
        <v>607</v>
      </c>
      <c r="F1174" s="17" t="s">
        <v>608</v>
      </c>
      <c r="G1174" s="18" t="n">
        <v>0</v>
      </c>
      <c r="H1174" s="18" t="n">
        <v>715</v>
      </c>
      <c r="I1174" s="18" t="n">
        <f aca="false">((I1173 + G1174) - H1174)</f>
        <v>-651972.22</v>
      </c>
      <c r="J1174" s="18" t="n">
        <v>-71.5</v>
      </c>
      <c r="K1174" s="19" t="n">
        <v>10</v>
      </c>
      <c r="L1174" s="17" t="s">
        <v>22</v>
      </c>
    </row>
    <row r="1175" s="11" customFormat="true" ht="10.95" hidden="false" customHeight="true" outlineLevel="0" collapsed="false">
      <c r="A1175" s="16" t="n">
        <v>45408</v>
      </c>
      <c r="B1175" s="17" t="s">
        <v>17</v>
      </c>
      <c r="C1175" s="17" t="s">
        <v>18</v>
      </c>
      <c r="D1175" s="17" t="s">
        <v>19</v>
      </c>
      <c r="E1175" s="17" t="s">
        <v>607</v>
      </c>
      <c r="F1175" s="17" t="s">
        <v>608</v>
      </c>
      <c r="G1175" s="18" t="n">
        <v>0</v>
      </c>
      <c r="H1175" s="18" t="n">
        <v>715</v>
      </c>
      <c r="I1175" s="18" t="n">
        <f aca="false">((I1174 + G1175) - H1175)</f>
        <v>-652687.22</v>
      </c>
      <c r="J1175" s="18" t="n">
        <v>-71.5</v>
      </c>
      <c r="K1175" s="19" t="n">
        <v>10</v>
      </c>
      <c r="L1175" s="17" t="s">
        <v>22</v>
      </c>
    </row>
    <row r="1176" s="11" customFormat="true" ht="10.95" hidden="false" customHeight="true" outlineLevel="0" collapsed="false">
      <c r="A1176" s="16" t="n">
        <v>45408</v>
      </c>
      <c r="B1176" s="17" t="s">
        <v>17</v>
      </c>
      <c r="C1176" s="17" t="s">
        <v>18</v>
      </c>
      <c r="D1176" s="17" t="s">
        <v>19</v>
      </c>
      <c r="E1176" s="17" t="s">
        <v>607</v>
      </c>
      <c r="F1176" s="17" t="s">
        <v>608</v>
      </c>
      <c r="G1176" s="18" t="n">
        <v>0</v>
      </c>
      <c r="H1176" s="18" t="n">
        <v>715</v>
      </c>
      <c r="I1176" s="18" t="n">
        <f aca="false">((I1175 + G1176) - H1176)</f>
        <v>-653402.22</v>
      </c>
      <c r="J1176" s="18" t="n">
        <v>-71.5</v>
      </c>
      <c r="K1176" s="19" t="n">
        <v>10</v>
      </c>
      <c r="L1176" s="17" t="s">
        <v>22</v>
      </c>
    </row>
    <row r="1177" s="11" customFormat="true" ht="10.95" hidden="false" customHeight="true" outlineLevel="0" collapsed="false">
      <c r="A1177" s="16" t="n">
        <v>45408</v>
      </c>
      <c r="B1177" s="17" t="s">
        <v>17</v>
      </c>
      <c r="C1177" s="17" t="s">
        <v>18</v>
      </c>
      <c r="D1177" s="17" t="s">
        <v>19</v>
      </c>
      <c r="E1177" s="17" t="s">
        <v>607</v>
      </c>
      <c r="F1177" s="17" t="s">
        <v>608</v>
      </c>
      <c r="G1177" s="18" t="n">
        <v>0</v>
      </c>
      <c r="H1177" s="18" t="n">
        <v>715</v>
      </c>
      <c r="I1177" s="18" t="n">
        <f aca="false">((I1176 + G1177) - H1177)</f>
        <v>-654117.22</v>
      </c>
      <c r="J1177" s="18" t="n">
        <v>-71.5</v>
      </c>
      <c r="K1177" s="19" t="n">
        <v>10</v>
      </c>
      <c r="L1177" s="17" t="s">
        <v>22</v>
      </c>
    </row>
    <row r="1178" s="11" customFormat="true" ht="10.95" hidden="false" customHeight="true" outlineLevel="0" collapsed="false">
      <c r="A1178" s="16" t="n">
        <v>45408</v>
      </c>
      <c r="B1178" s="17" t="s">
        <v>17</v>
      </c>
      <c r="C1178" s="17" t="s">
        <v>18</v>
      </c>
      <c r="D1178" s="17" t="s">
        <v>19</v>
      </c>
      <c r="E1178" s="17" t="s">
        <v>607</v>
      </c>
      <c r="F1178" s="17" t="s">
        <v>608</v>
      </c>
      <c r="G1178" s="18" t="n">
        <v>0</v>
      </c>
      <c r="H1178" s="18" t="n">
        <v>715</v>
      </c>
      <c r="I1178" s="18" t="n">
        <f aca="false">((I1177 + G1178) - H1178)</f>
        <v>-654832.22</v>
      </c>
      <c r="J1178" s="18" t="n">
        <v>-71.5</v>
      </c>
      <c r="K1178" s="19" t="n">
        <v>10</v>
      </c>
      <c r="L1178" s="17" t="s">
        <v>22</v>
      </c>
    </row>
    <row r="1179" s="11" customFormat="true" ht="10.95" hidden="false" customHeight="true" outlineLevel="0" collapsed="false">
      <c r="A1179" s="16" t="n">
        <v>45408</v>
      </c>
      <c r="B1179" s="17" t="s">
        <v>17</v>
      </c>
      <c r="C1179" s="17" t="s">
        <v>18</v>
      </c>
      <c r="D1179" s="17" t="s">
        <v>19</v>
      </c>
      <c r="E1179" s="17" t="s">
        <v>607</v>
      </c>
      <c r="F1179" s="17" t="s">
        <v>608</v>
      </c>
      <c r="G1179" s="18" t="n">
        <v>0</v>
      </c>
      <c r="H1179" s="18" t="n">
        <v>715</v>
      </c>
      <c r="I1179" s="18" t="n">
        <f aca="false">((I1178 + G1179) - H1179)</f>
        <v>-655547.22</v>
      </c>
      <c r="J1179" s="18" t="n">
        <v>-71.5</v>
      </c>
      <c r="K1179" s="19" t="n">
        <v>10</v>
      </c>
      <c r="L1179" s="17" t="s">
        <v>22</v>
      </c>
    </row>
    <row r="1180" s="11" customFormat="true" ht="10.95" hidden="false" customHeight="true" outlineLevel="0" collapsed="false">
      <c r="A1180" s="16" t="n">
        <v>45408</v>
      </c>
      <c r="B1180" s="17" t="s">
        <v>17</v>
      </c>
      <c r="C1180" s="17" t="s">
        <v>18</v>
      </c>
      <c r="D1180" s="17" t="s">
        <v>19</v>
      </c>
      <c r="E1180" s="17" t="s">
        <v>607</v>
      </c>
      <c r="F1180" s="17" t="s">
        <v>608</v>
      </c>
      <c r="G1180" s="18" t="n">
        <v>0</v>
      </c>
      <c r="H1180" s="18" t="n">
        <v>715</v>
      </c>
      <c r="I1180" s="18" t="n">
        <f aca="false">((I1179 + G1180) - H1180)</f>
        <v>-656262.22</v>
      </c>
      <c r="J1180" s="18" t="n">
        <v>-71.5</v>
      </c>
      <c r="K1180" s="19" t="n">
        <v>10</v>
      </c>
      <c r="L1180" s="17" t="s">
        <v>22</v>
      </c>
    </row>
    <row r="1181" s="11" customFormat="true" ht="10.95" hidden="false" customHeight="true" outlineLevel="0" collapsed="false">
      <c r="A1181" s="16" t="n">
        <v>45408</v>
      </c>
      <c r="B1181" s="17" t="s">
        <v>17</v>
      </c>
      <c r="C1181" s="17" t="s">
        <v>18</v>
      </c>
      <c r="D1181" s="17" t="s">
        <v>19</v>
      </c>
      <c r="E1181" s="17" t="s">
        <v>607</v>
      </c>
      <c r="F1181" s="17" t="s">
        <v>608</v>
      </c>
      <c r="G1181" s="18" t="n">
        <v>0</v>
      </c>
      <c r="H1181" s="18" t="n">
        <v>715</v>
      </c>
      <c r="I1181" s="18" t="n">
        <f aca="false">((I1180 + G1181) - H1181)</f>
        <v>-656977.22</v>
      </c>
      <c r="J1181" s="18" t="n">
        <v>-71.5</v>
      </c>
      <c r="K1181" s="19" t="n">
        <v>10</v>
      </c>
      <c r="L1181" s="17" t="s">
        <v>22</v>
      </c>
    </row>
    <row r="1182" s="11" customFormat="true" ht="10.95" hidden="false" customHeight="true" outlineLevel="0" collapsed="false">
      <c r="A1182" s="16" t="n">
        <v>45408</v>
      </c>
      <c r="B1182" s="17" t="s">
        <v>17</v>
      </c>
      <c r="C1182" s="17" t="s">
        <v>18</v>
      </c>
      <c r="D1182" s="17" t="s">
        <v>19</v>
      </c>
      <c r="E1182" s="17" t="s">
        <v>32</v>
      </c>
      <c r="F1182" s="17" t="s">
        <v>609</v>
      </c>
      <c r="G1182" s="18" t="n">
        <v>0</v>
      </c>
      <c r="H1182" s="18" t="n">
        <v>195</v>
      </c>
      <c r="I1182" s="18" t="n">
        <f aca="false">((I1181 + G1182) - H1182)</f>
        <v>-657172.22</v>
      </c>
      <c r="J1182" s="18" t="n">
        <v>-19.5</v>
      </c>
      <c r="K1182" s="19" t="n">
        <v>10</v>
      </c>
      <c r="L1182" s="17" t="s">
        <v>22</v>
      </c>
    </row>
    <row r="1183" s="11" customFormat="true" ht="10.95" hidden="false" customHeight="true" outlineLevel="0" collapsed="false">
      <c r="A1183" s="16" t="n">
        <v>45408</v>
      </c>
      <c r="B1183" s="17" t="s">
        <v>17</v>
      </c>
      <c r="C1183" s="17" t="s">
        <v>18</v>
      </c>
      <c r="D1183" s="17" t="s">
        <v>19</v>
      </c>
      <c r="E1183" s="17" t="s">
        <v>34</v>
      </c>
      <c r="F1183" s="17" t="s">
        <v>609</v>
      </c>
      <c r="G1183" s="18" t="n">
        <v>0</v>
      </c>
      <c r="H1183" s="18" t="n">
        <v>30</v>
      </c>
      <c r="I1183" s="18" t="n">
        <f aca="false">((I1182 + G1183) - H1183)</f>
        <v>-657202.22</v>
      </c>
      <c r="J1183" s="18" t="n">
        <v>-3</v>
      </c>
      <c r="K1183" s="19" t="n">
        <v>10</v>
      </c>
      <c r="L1183" s="17" t="s">
        <v>22</v>
      </c>
    </row>
    <row r="1184" s="11" customFormat="true" ht="10.95" hidden="false" customHeight="true" outlineLevel="0" collapsed="false">
      <c r="A1184" s="16" t="n">
        <v>45408</v>
      </c>
      <c r="B1184" s="17" t="s">
        <v>17</v>
      </c>
      <c r="C1184" s="17" t="s">
        <v>18</v>
      </c>
      <c r="D1184" s="17" t="s">
        <v>19</v>
      </c>
      <c r="E1184" s="17" t="s">
        <v>486</v>
      </c>
      <c r="F1184" s="17" t="s">
        <v>609</v>
      </c>
      <c r="G1184" s="18" t="n">
        <v>0</v>
      </c>
      <c r="H1184" s="18" t="n">
        <v>100</v>
      </c>
      <c r="I1184" s="18" t="n">
        <f aca="false">((I1183 + G1184) - H1184)</f>
        <v>-657302.22</v>
      </c>
      <c r="J1184" s="18" t="n">
        <v>-10</v>
      </c>
      <c r="K1184" s="19" t="n">
        <v>10</v>
      </c>
      <c r="L1184" s="17" t="s">
        <v>22</v>
      </c>
    </row>
    <row r="1185" s="11" customFormat="true" ht="10.95" hidden="false" customHeight="true" outlineLevel="0" collapsed="false">
      <c r="A1185" s="16" t="n">
        <v>45408</v>
      </c>
      <c r="B1185" s="17" t="s">
        <v>17</v>
      </c>
      <c r="C1185" s="17" t="s">
        <v>18</v>
      </c>
      <c r="D1185" s="17" t="s">
        <v>19</v>
      </c>
      <c r="E1185" s="17" t="s">
        <v>36</v>
      </c>
      <c r="F1185" s="17" t="s">
        <v>610</v>
      </c>
      <c r="G1185" s="18" t="n">
        <v>0</v>
      </c>
      <c r="H1185" s="18" t="n">
        <v>720</v>
      </c>
      <c r="I1185" s="18" t="n">
        <f aca="false">((I1184 + G1185) - H1185)</f>
        <v>-658022.22</v>
      </c>
      <c r="J1185" s="18" t="n">
        <v>-72</v>
      </c>
      <c r="K1185" s="19" t="n">
        <v>10</v>
      </c>
      <c r="L1185" s="17" t="s">
        <v>22</v>
      </c>
    </row>
    <row r="1186" s="11" customFormat="true" ht="10.95" hidden="false" customHeight="true" outlineLevel="0" collapsed="false">
      <c r="A1186" s="16" t="n">
        <v>45408</v>
      </c>
      <c r="B1186" s="17" t="s">
        <v>17</v>
      </c>
      <c r="C1186" s="17" t="s">
        <v>18</v>
      </c>
      <c r="D1186" s="17" t="s">
        <v>19</v>
      </c>
      <c r="E1186" s="17" t="s">
        <v>38</v>
      </c>
      <c r="F1186" s="17" t="s">
        <v>610</v>
      </c>
      <c r="G1186" s="18" t="n">
        <v>0</v>
      </c>
      <c r="H1186" s="18" t="n">
        <v>110</v>
      </c>
      <c r="I1186" s="18" t="n">
        <f aca="false">((I1185 + G1186) - H1186)</f>
        <v>-658132.22</v>
      </c>
      <c r="J1186" s="18" t="n">
        <v>-11</v>
      </c>
      <c r="K1186" s="19" t="n">
        <v>10</v>
      </c>
      <c r="L1186" s="17" t="s">
        <v>22</v>
      </c>
    </row>
    <row r="1187" s="11" customFormat="true" ht="10.95" hidden="false" customHeight="true" outlineLevel="0" collapsed="false">
      <c r="A1187" s="16" t="n">
        <v>45408</v>
      </c>
      <c r="B1187" s="17" t="s">
        <v>17</v>
      </c>
      <c r="C1187" s="17" t="s">
        <v>18</v>
      </c>
      <c r="D1187" s="17" t="s">
        <v>19</v>
      </c>
      <c r="E1187" s="17" t="s">
        <v>39</v>
      </c>
      <c r="F1187" s="17" t="s">
        <v>610</v>
      </c>
      <c r="G1187" s="18" t="n">
        <v>0</v>
      </c>
      <c r="H1187" s="18" t="n">
        <v>165</v>
      </c>
      <c r="I1187" s="18" t="n">
        <f aca="false">((I1186 + G1187) - H1187)</f>
        <v>-658297.22</v>
      </c>
      <c r="J1187" s="18" t="n">
        <v>-16.5</v>
      </c>
      <c r="K1187" s="19" t="n">
        <v>10</v>
      </c>
      <c r="L1187" s="17" t="s">
        <v>22</v>
      </c>
    </row>
    <row r="1188" s="11" customFormat="true" ht="10.95" hidden="false" customHeight="true" outlineLevel="0" collapsed="false">
      <c r="A1188" s="16" t="n">
        <v>45408</v>
      </c>
      <c r="B1188" s="17" t="s">
        <v>17</v>
      </c>
      <c r="C1188" s="17" t="s">
        <v>18</v>
      </c>
      <c r="D1188" s="17" t="s">
        <v>19</v>
      </c>
      <c r="E1188" s="17" t="s">
        <v>47</v>
      </c>
      <c r="F1188" s="17" t="s">
        <v>611</v>
      </c>
      <c r="G1188" s="18" t="n">
        <v>0</v>
      </c>
      <c r="H1188" s="18" t="n">
        <v>260</v>
      </c>
      <c r="I1188" s="18" t="n">
        <f aca="false">((I1187 + G1188) - H1188)</f>
        <v>-658557.22</v>
      </c>
      <c r="J1188" s="18" t="n">
        <v>-26</v>
      </c>
      <c r="K1188" s="19" t="n">
        <v>10</v>
      </c>
      <c r="L1188" s="17" t="s">
        <v>22</v>
      </c>
    </row>
    <row r="1189" s="11" customFormat="true" ht="10.95" hidden="false" customHeight="true" outlineLevel="0" collapsed="false">
      <c r="A1189" s="16" t="n">
        <v>45408</v>
      </c>
      <c r="B1189" s="17" t="s">
        <v>17</v>
      </c>
      <c r="C1189" s="17" t="s">
        <v>18</v>
      </c>
      <c r="D1189" s="17" t="s">
        <v>19</v>
      </c>
      <c r="E1189" s="17" t="s">
        <v>49</v>
      </c>
      <c r="F1189" s="17" t="s">
        <v>611</v>
      </c>
      <c r="G1189" s="18" t="n">
        <v>0</v>
      </c>
      <c r="H1189" s="18" t="n">
        <v>100</v>
      </c>
      <c r="I1189" s="18" t="n">
        <f aca="false">((I1188 + G1189) - H1189)</f>
        <v>-658657.22</v>
      </c>
      <c r="J1189" s="18" t="n">
        <v>-10</v>
      </c>
      <c r="K1189" s="19" t="n">
        <v>10</v>
      </c>
      <c r="L1189" s="17" t="s">
        <v>22</v>
      </c>
    </row>
    <row r="1190" s="11" customFormat="true" ht="10.95" hidden="false" customHeight="true" outlineLevel="0" collapsed="false">
      <c r="A1190" s="16" t="n">
        <v>45408</v>
      </c>
      <c r="B1190" s="17" t="s">
        <v>17</v>
      </c>
      <c r="C1190" s="17" t="s">
        <v>18</v>
      </c>
      <c r="D1190" s="17" t="s">
        <v>19</v>
      </c>
      <c r="E1190" s="17" t="s">
        <v>50</v>
      </c>
      <c r="F1190" s="17" t="s">
        <v>612</v>
      </c>
      <c r="G1190" s="18" t="n">
        <v>0</v>
      </c>
      <c r="H1190" s="18" t="n">
        <v>2040</v>
      </c>
      <c r="I1190" s="18" t="n">
        <f aca="false">((I1189 + G1190) - H1190)</f>
        <v>-660697.22</v>
      </c>
      <c r="J1190" s="18" t="n">
        <v>-204</v>
      </c>
      <c r="K1190" s="19" t="n">
        <v>10</v>
      </c>
      <c r="L1190" s="17" t="s">
        <v>22</v>
      </c>
    </row>
    <row r="1191" s="11" customFormat="true" ht="10.95" hidden="false" customHeight="true" outlineLevel="0" collapsed="false">
      <c r="A1191" s="16" t="n">
        <v>45408</v>
      </c>
      <c r="B1191" s="17" t="s">
        <v>17</v>
      </c>
      <c r="C1191" s="17" t="s">
        <v>18</v>
      </c>
      <c r="D1191" s="17" t="s">
        <v>19</v>
      </c>
      <c r="E1191" s="17" t="s">
        <v>52</v>
      </c>
      <c r="F1191" s="17" t="s">
        <v>613</v>
      </c>
      <c r="G1191" s="18" t="n">
        <v>0</v>
      </c>
      <c r="H1191" s="18" t="n">
        <v>1000.05</v>
      </c>
      <c r="I1191" s="18" t="n">
        <f aca="false">((I1190 + G1191) - H1191)</f>
        <v>-661697.27</v>
      </c>
      <c r="J1191" s="18" t="n">
        <v>-100.01</v>
      </c>
      <c r="K1191" s="19" t="n">
        <v>10</v>
      </c>
      <c r="L1191" s="17" t="s">
        <v>22</v>
      </c>
    </row>
    <row r="1192" s="11" customFormat="true" ht="10.95" hidden="false" customHeight="true" outlineLevel="0" collapsed="false">
      <c r="A1192" s="16" t="n">
        <v>45408</v>
      </c>
      <c r="B1192" s="17" t="s">
        <v>17</v>
      </c>
      <c r="C1192" s="17" t="s">
        <v>18</v>
      </c>
      <c r="D1192" s="17" t="s">
        <v>19</v>
      </c>
      <c r="E1192" s="17" t="s">
        <v>491</v>
      </c>
      <c r="F1192" s="17" t="s">
        <v>614</v>
      </c>
      <c r="G1192" s="18" t="n">
        <v>0</v>
      </c>
      <c r="H1192" s="18" t="n">
        <v>550</v>
      </c>
      <c r="I1192" s="18" t="n">
        <f aca="false">((I1191 + G1192) - H1192)</f>
        <v>-662247.27</v>
      </c>
      <c r="J1192" s="18" t="n">
        <v>-55</v>
      </c>
      <c r="K1192" s="19" t="n">
        <v>10</v>
      </c>
      <c r="L1192" s="17" t="s">
        <v>22</v>
      </c>
    </row>
    <row r="1193" s="11" customFormat="true" ht="10.95" hidden="false" customHeight="true" outlineLevel="0" collapsed="false">
      <c r="A1193" s="16" t="n">
        <v>45408</v>
      </c>
      <c r="B1193" s="17" t="s">
        <v>17</v>
      </c>
      <c r="C1193" s="17" t="s">
        <v>18</v>
      </c>
      <c r="D1193" s="17" t="s">
        <v>19</v>
      </c>
      <c r="E1193" s="17" t="s">
        <v>493</v>
      </c>
      <c r="F1193" s="17" t="s">
        <v>614</v>
      </c>
      <c r="G1193" s="18" t="n">
        <v>0</v>
      </c>
      <c r="H1193" s="18" t="n">
        <v>110</v>
      </c>
      <c r="I1193" s="18" t="n">
        <f aca="false">((I1192 + G1193) - H1193)</f>
        <v>-662357.27</v>
      </c>
      <c r="J1193" s="18" t="n">
        <v>-11</v>
      </c>
      <c r="K1193" s="19" t="n">
        <v>10</v>
      </c>
      <c r="L1193" s="17" t="s">
        <v>22</v>
      </c>
    </row>
    <row r="1194" s="11" customFormat="true" ht="10.95" hidden="false" customHeight="true" outlineLevel="0" collapsed="false">
      <c r="A1194" s="16" t="n">
        <v>45408</v>
      </c>
      <c r="B1194" s="17" t="s">
        <v>17</v>
      </c>
      <c r="C1194" s="17" t="s">
        <v>18</v>
      </c>
      <c r="D1194" s="17" t="s">
        <v>19</v>
      </c>
      <c r="E1194" s="17" t="s">
        <v>57</v>
      </c>
      <c r="F1194" s="17" t="s">
        <v>614</v>
      </c>
      <c r="G1194" s="18" t="n">
        <v>0</v>
      </c>
      <c r="H1194" s="18" t="n">
        <v>132</v>
      </c>
      <c r="I1194" s="18" t="n">
        <f aca="false">((I1193 + G1194) - H1194)</f>
        <v>-662489.27</v>
      </c>
      <c r="J1194" s="18" t="n">
        <v>-13.2</v>
      </c>
      <c r="K1194" s="19" t="n">
        <v>10</v>
      </c>
      <c r="L1194" s="17" t="s">
        <v>22</v>
      </c>
    </row>
    <row r="1195" s="11" customFormat="true" ht="10.95" hidden="false" customHeight="true" outlineLevel="0" collapsed="false">
      <c r="A1195" s="16" t="n">
        <v>45408</v>
      </c>
      <c r="B1195" s="17" t="s">
        <v>17</v>
      </c>
      <c r="C1195" s="17" t="s">
        <v>18</v>
      </c>
      <c r="D1195" s="17" t="s">
        <v>19</v>
      </c>
      <c r="E1195" s="17" t="s">
        <v>58</v>
      </c>
      <c r="F1195" s="17" t="s">
        <v>614</v>
      </c>
      <c r="G1195" s="18" t="n">
        <v>0</v>
      </c>
      <c r="H1195" s="18" t="n">
        <v>165</v>
      </c>
      <c r="I1195" s="18" t="n">
        <f aca="false">((I1194 + G1195) - H1195)</f>
        <v>-662654.27</v>
      </c>
      <c r="J1195" s="18" t="n">
        <v>-16.5</v>
      </c>
      <c r="K1195" s="19" t="n">
        <v>10</v>
      </c>
      <c r="L1195" s="17" t="s">
        <v>22</v>
      </c>
    </row>
    <row r="1196" s="11" customFormat="true" ht="10.95" hidden="false" customHeight="true" outlineLevel="0" collapsed="false">
      <c r="A1196" s="16" t="n">
        <v>45408</v>
      </c>
      <c r="B1196" s="17" t="s">
        <v>17</v>
      </c>
      <c r="C1196" s="17" t="s">
        <v>18</v>
      </c>
      <c r="D1196" s="17" t="s">
        <v>19</v>
      </c>
      <c r="E1196" s="17" t="s">
        <v>59</v>
      </c>
      <c r="F1196" s="17" t="s">
        <v>615</v>
      </c>
      <c r="G1196" s="18" t="n">
        <v>0</v>
      </c>
      <c r="H1196" s="18" t="n">
        <v>4800</v>
      </c>
      <c r="I1196" s="18" t="n">
        <f aca="false">((I1195 + G1196) - H1196)</f>
        <v>-667454.27</v>
      </c>
      <c r="J1196" s="18" t="n">
        <v>-480</v>
      </c>
      <c r="K1196" s="19" t="n">
        <v>10</v>
      </c>
      <c r="L1196" s="17" t="s">
        <v>22</v>
      </c>
    </row>
    <row r="1197" s="11" customFormat="true" ht="10.95" hidden="false" customHeight="true" outlineLevel="0" collapsed="false">
      <c r="A1197" s="16" t="n">
        <v>45408</v>
      </c>
      <c r="B1197" s="17" t="s">
        <v>17</v>
      </c>
      <c r="C1197" s="17" t="s">
        <v>18</v>
      </c>
      <c r="D1197" s="17" t="s">
        <v>19</v>
      </c>
      <c r="E1197" s="17" t="s">
        <v>61</v>
      </c>
      <c r="F1197" s="17" t="s">
        <v>615</v>
      </c>
      <c r="G1197" s="18" t="n">
        <v>0</v>
      </c>
      <c r="H1197" s="18" t="n">
        <v>3990</v>
      </c>
      <c r="I1197" s="18" t="n">
        <f aca="false">((I1196 + G1197) - H1197)</f>
        <v>-671444.27</v>
      </c>
      <c r="J1197" s="18" t="n">
        <v>-399</v>
      </c>
      <c r="K1197" s="19" t="n">
        <v>10</v>
      </c>
      <c r="L1197" s="17" t="s">
        <v>22</v>
      </c>
    </row>
    <row r="1198" s="11" customFormat="true" ht="10.95" hidden="false" customHeight="true" outlineLevel="0" collapsed="false">
      <c r="A1198" s="16" t="n">
        <v>45408</v>
      </c>
      <c r="B1198" s="17" t="s">
        <v>17</v>
      </c>
      <c r="C1198" s="17" t="s">
        <v>18</v>
      </c>
      <c r="D1198" s="17" t="s">
        <v>19</v>
      </c>
      <c r="E1198" s="17" t="s">
        <v>62</v>
      </c>
      <c r="F1198" s="17" t="s">
        <v>615</v>
      </c>
      <c r="G1198" s="18" t="n">
        <v>0</v>
      </c>
      <c r="H1198" s="18" t="n">
        <v>300</v>
      </c>
      <c r="I1198" s="18" t="n">
        <f aca="false">((I1197 + G1198) - H1198)</f>
        <v>-671744.27</v>
      </c>
      <c r="J1198" s="18" t="n">
        <v>-30</v>
      </c>
      <c r="K1198" s="19" t="n">
        <v>10</v>
      </c>
      <c r="L1198" s="17" t="s">
        <v>22</v>
      </c>
    </row>
    <row r="1199" s="11" customFormat="true" ht="10.95" hidden="false" customHeight="true" outlineLevel="0" collapsed="false">
      <c r="A1199" s="16" t="n">
        <v>45408</v>
      </c>
      <c r="B1199" s="17" t="s">
        <v>17</v>
      </c>
      <c r="C1199" s="17" t="s">
        <v>18</v>
      </c>
      <c r="D1199" s="17" t="s">
        <v>19</v>
      </c>
      <c r="E1199" s="17" t="s">
        <v>59</v>
      </c>
      <c r="F1199" s="17" t="s">
        <v>616</v>
      </c>
      <c r="G1199" s="18" t="n">
        <v>0</v>
      </c>
      <c r="H1199" s="18" t="n">
        <v>4800</v>
      </c>
      <c r="I1199" s="18" t="n">
        <f aca="false">((I1198 + G1199) - H1199)</f>
        <v>-676544.27</v>
      </c>
      <c r="J1199" s="18" t="n">
        <v>-480</v>
      </c>
      <c r="K1199" s="19" t="n">
        <v>10</v>
      </c>
      <c r="L1199" s="17" t="s">
        <v>22</v>
      </c>
    </row>
    <row r="1200" s="11" customFormat="true" ht="10.95" hidden="false" customHeight="true" outlineLevel="0" collapsed="false">
      <c r="A1200" s="16" t="n">
        <v>45408</v>
      </c>
      <c r="B1200" s="17" t="s">
        <v>17</v>
      </c>
      <c r="C1200" s="17" t="s">
        <v>18</v>
      </c>
      <c r="D1200" s="17" t="s">
        <v>19</v>
      </c>
      <c r="E1200" s="17" t="s">
        <v>61</v>
      </c>
      <c r="F1200" s="17" t="s">
        <v>616</v>
      </c>
      <c r="G1200" s="18" t="n">
        <v>0</v>
      </c>
      <c r="H1200" s="18" t="n">
        <v>3990</v>
      </c>
      <c r="I1200" s="18" t="n">
        <f aca="false">((I1199 + G1200) - H1200)</f>
        <v>-680534.27</v>
      </c>
      <c r="J1200" s="18" t="n">
        <v>-399</v>
      </c>
      <c r="K1200" s="19" t="n">
        <v>10</v>
      </c>
      <c r="L1200" s="17" t="s">
        <v>22</v>
      </c>
    </row>
    <row r="1201" s="11" customFormat="true" ht="10.95" hidden="false" customHeight="true" outlineLevel="0" collapsed="false">
      <c r="A1201" s="16" t="n">
        <v>45408</v>
      </c>
      <c r="B1201" s="17" t="s">
        <v>17</v>
      </c>
      <c r="C1201" s="17" t="s">
        <v>18</v>
      </c>
      <c r="D1201" s="17" t="s">
        <v>19</v>
      </c>
      <c r="E1201" s="17" t="s">
        <v>62</v>
      </c>
      <c r="F1201" s="17" t="s">
        <v>616</v>
      </c>
      <c r="G1201" s="18" t="n">
        <v>0</v>
      </c>
      <c r="H1201" s="18" t="n">
        <v>300</v>
      </c>
      <c r="I1201" s="18" t="n">
        <f aca="false">((I1200 + G1201) - H1201)</f>
        <v>-680834.27</v>
      </c>
      <c r="J1201" s="18" t="n">
        <v>-30</v>
      </c>
      <c r="K1201" s="19" t="n">
        <v>10</v>
      </c>
      <c r="L1201" s="17" t="s">
        <v>22</v>
      </c>
    </row>
    <row r="1202" s="11" customFormat="true" ht="10.95" hidden="false" customHeight="true" outlineLevel="0" collapsed="false">
      <c r="A1202" s="16" t="n">
        <v>45408</v>
      </c>
      <c r="B1202" s="17" t="s">
        <v>17</v>
      </c>
      <c r="C1202" s="17" t="s">
        <v>18</v>
      </c>
      <c r="D1202" s="17" t="s">
        <v>19</v>
      </c>
      <c r="E1202" s="17" t="s">
        <v>617</v>
      </c>
      <c r="F1202" s="17" t="s">
        <v>616</v>
      </c>
      <c r="G1202" s="18" t="n">
        <v>0</v>
      </c>
      <c r="H1202" s="18" t="n">
        <v>80</v>
      </c>
      <c r="I1202" s="18" t="n">
        <f aca="false">((I1201 + G1202) - H1202)</f>
        <v>-680914.27</v>
      </c>
      <c r="J1202" s="18" t="n">
        <v>-8</v>
      </c>
      <c r="K1202" s="19" t="n">
        <v>10</v>
      </c>
      <c r="L1202" s="17" t="s">
        <v>22</v>
      </c>
    </row>
    <row r="1203" s="11" customFormat="true" ht="10.95" hidden="false" customHeight="true" outlineLevel="0" collapsed="false">
      <c r="A1203" s="16" t="n">
        <v>45408</v>
      </c>
      <c r="B1203" s="17" t="s">
        <v>17</v>
      </c>
      <c r="C1203" s="17" t="s">
        <v>18</v>
      </c>
      <c r="D1203" s="17" t="s">
        <v>19</v>
      </c>
      <c r="E1203" s="17" t="s">
        <v>64</v>
      </c>
      <c r="F1203" s="17" t="s">
        <v>618</v>
      </c>
      <c r="G1203" s="18" t="n">
        <v>0</v>
      </c>
      <c r="H1203" s="18" t="n">
        <v>3850</v>
      </c>
      <c r="I1203" s="18" t="n">
        <f aca="false">((I1202 + G1203) - H1203)</f>
        <v>-684764.27</v>
      </c>
      <c r="J1203" s="18" t="n">
        <v>-385</v>
      </c>
      <c r="K1203" s="19" t="n">
        <v>10</v>
      </c>
      <c r="L1203" s="17" t="s">
        <v>22</v>
      </c>
    </row>
    <row r="1204" s="11" customFormat="true" ht="10.95" hidden="false" customHeight="true" outlineLevel="0" collapsed="false">
      <c r="A1204" s="16" t="n">
        <v>45408</v>
      </c>
      <c r="B1204" s="17" t="s">
        <v>17</v>
      </c>
      <c r="C1204" s="17" t="s">
        <v>18</v>
      </c>
      <c r="D1204" s="17" t="s">
        <v>19</v>
      </c>
      <c r="E1204" s="17" t="s">
        <v>66</v>
      </c>
      <c r="F1204" s="17" t="s">
        <v>618</v>
      </c>
      <c r="G1204" s="18" t="n">
        <v>0</v>
      </c>
      <c r="H1204" s="18" t="n">
        <v>220</v>
      </c>
      <c r="I1204" s="18" t="n">
        <f aca="false">((I1203 + G1204) - H1204)</f>
        <v>-684984.27</v>
      </c>
      <c r="J1204" s="18" t="n">
        <v>-22</v>
      </c>
      <c r="K1204" s="19" t="n">
        <v>10</v>
      </c>
      <c r="L1204" s="17" t="s">
        <v>22</v>
      </c>
    </row>
    <row r="1205" s="11" customFormat="true" ht="10.95" hidden="false" customHeight="true" outlineLevel="0" collapsed="false">
      <c r="A1205" s="16" t="n">
        <v>45408</v>
      </c>
      <c r="B1205" s="17" t="s">
        <v>17</v>
      </c>
      <c r="C1205" s="17" t="s">
        <v>18</v>
      </c>
      <c r="D1205" s="17" t="s">
        <v>19</v>
      </c>
      <c r="E1205" s="17" t="s">
        <v>67</v>
      </c>
      <c r="F1205" s="17" t="s">
        <v>618</v>
      </c>
      <c r="G1205" s="18" t="n">
        <v>0</v>
      </c>
      <c r="H1205" s="18" t="n">
        <v>220</v>
      </c>
      <c r="I1205" s="18" t="n">
        <f aca="false">((I1204 + G1205) - H1205)</f>
        <v>-685204.27</v>
      </c>
      <c r="J1205" s="18" t="n">
        <v>-22</v>
      </c>
      <c r="K1205" s="19" t="n">
        <v>10</v>
      </c>
      <c r="L1205" s="17" t="s">
        <v>22</v>
      </c>
    </row>
    <row r="1206" s="11" customFormat="true" ht="10.95" hidden="false" customHeight="true" outlineLevel="0" collapsed="false">
      <c r="A1206" s="16" t="n">
        <v>45408</v>
      </c>
      <c r="B1206" s="17" t="s">
        <v>17</v>
      </c>
      <c r="C1206" s="17" t="s">
        <v>18</v>
      </c>
      <c r="D1206" s="17" t="s">
        <v>19</v>
      </c>
      <c r="E1206" s="17" t="s">
        <v>68</v>
      </c>
      <c r="F1206" s="17" t="s">
        <v>618</v>
      </c>
      <c r="G1206" s="18" t="n">
        <v>0</v>
      </c>
      <c r="H1206" s="18" t="n">
        <v>250</v>
      </c>
      <c r="I1206" s="18" t="n">
        <f aca="false">((I1205 + G1206) - H1206)</f>
        <v>-685454.27</v>
      </c>
      <c r="J1206" s="18" t="n">
        <v>-25</v>
      </c>
      <c r="K1206" s="19" t="n">
        <v>10</v>
      </c>
      <c r="L1206" s="17" t="s">
        <v>22</v>
      </c>
    </row>
    <row r="1207" s="11" customFormat="true" ht="10.95" hidden="false" customHeight="true" outlineLevel="0" collapsed="false">
      <c r="A1207" s="16" t="n">
        <v>45408</v>
      </c>
      <c r="B1207" s="17" t="s">
        <v>17</v>
      </c>
      <c r="C1207" s="17" t="s">
        <v>18</v>
      </c>
      <c r="D1207" s="17" t="s">
        <v>19</v>
      </c>
      <c r="E1207" s="17" t="s">
        <v>69</v>
      </c>
      <c r="F1207" s="17" t="s">
        <v>619</v>
      </c>
      <c r="G1207" s="18" t="n">
        <v>0</v>
      </c>
      <c r="H1207" s="18" t="n">
        <v>880</v>
      </c>
      <c r="I1207" s="18" t="n">
        <f aca="false">((I1206 + G1207) - H1207)</f>
        <v>-686334.27</v>
      </c>
      <c r="J1207" s="18" t="n">
        <v>-88</v>
      </c>
      <c r="K1207" s="19" t="n">
        <v>10</v>
      </c>
      <c r="L1207" s="17" t="s">
        <v>22</v>
      </c>
    </row>
    <row r="1208" s="11" customFormat="true" ht="10.95" hidden="false" customHeight="true" outlineLevel="0" collapsed="false">
      <c r="A1208" s="16" t="n">
        <v>45408</v>
      </c>
      <c r="B1208" s="17" t="s">
        <v>17</v>
      </c>
      <c r="C1208" s="17" t="s">
        <v>18</v>
      </c>
      <c r="D1208" s="17" t="s">
        <v>19</v>
      </c>
      <c r="E1208" s="17" t="s">
        <v>201</v>
      </c>
      <c r="F1208" s="17" t="s">
        <v>620</v>
      </c>
      <c r="G1208" s="18" t="n">
        <v>0</v>
      </c>
      <c r="H1208" s="18" t="n">
        <v>720</v>
      </c>
      <c r="I1208" s="18" t="n">
        <f aca="false">((I1207 + G1208) - H1208)</f>
        <v>-687054.27</v>
      </c>
      <c r="J1208" s="18" t="n">
        <v>-72</v>
      </c>
      <c r="K1208" s="19" t="n">
        <v>10</v>
      </c>
      <c r="L1208" s="17" t="s">
        <v>22</v>
      </c>
    </row>
    <row r="1209" s="11" customFormat="true" ht="10.95" hidden="false" customHeight="true" outlineLevel="0" collapsed="false">
      <c r="A1209" s="16" t="n">
        <v>45408</v>
      </c>
      <c r="B1209" s="17" t="s">
        <v>17</v>
      </c>
      <c r="C1209" s="17" t="s">
        <v>18</v>
      </c>
      <c r="D1209" s="17" t="s">
        <v>19</v>
      </c>
      <c r="E1209" s="17" t="s">
        <v>203</v>
      </c>
      <c r="F1209" s="17" t="s">
        <v>620</v>
      </c>
      <c r="G1209" s="18" t="n">
        <v>0</v>
      </c>
      <c r="H1209" s="18" t="n">
        <v>110</v>
      </c>
      <c r="I1209" s="18" t="n">
        <f aca="false">((I1208 + G1209) - H1209)</f>
        <v>-687164.27</v>
      </c>
      <c r="J1209" s="18" t="n">
        <v>-11</v>
      </c>
      <c r="K1209" s="19" t="n">
        <v>10</v>
      </c>
      <c r="L1209" s="17" t="s">
        <v>22</v>
      </c>
    </row>
    <row r="1210" s="11" customFormat="true" ht="10.95" hidden="false" customHeight="true" outlineLevel="0" collapsed="false">
      <c r="A1210" s="16" t="n">
        <v>45408</v>
      </c>
      <c r="B1210" s="17" t="s">
        <v>17</v>
      </c>
      <c r="C1210" s="17" t="s">
        <v>18</v>
      </c>
      <c r="D1210" s="17" t="s">
        <v>19</v>
      </c>
      <c r="E1210" s="17" t="s">
        <v>74</v>
      </c>
      <c r="F1210" s="17" t="s">
        <v>621</v>
      </c>
      <c r="G1210" s="18" t="n">
        <v>0</v>
      </c>
      <c r="H1210" s="18" t="n">
        <v>1692</v>
      </c>
      <c r="I1210" s="18" t="n">
        <f aca="false">((I1209 + G1210) - H1210)</f>
        <v>-688856.27</v>
      </c>
      <c r="J1210" s="18" t="n">
        <v>-169.2</v>
      </c>
      <c r="K1210" s="19" t="n">
        <v>10</v>
      </c>
      <c r="L1210" s="17" t="s">
        <v>22</v>
      </c>
    </row>
    <row r="1211" s="11" customFormat="true" ht="10.95" hidden="false" customHeight="true" outlineLevel="0" collapsed="false">
      <c r="A1211" s="16" t="n">
        <v>45408</v>
      </c>
      <c r="B1211" s="17" t="s">
        <v>17</v>
      </c>
      <c r="C1211" s="17" t="s">
        <v>18</v>
      </c>
      <c r="D1211" s="17" t="s">
        <v>19</v>
      </c>
      <c r="E1211" s="17" t="s">
        <v>566</v>
      </c>
      <c r="F1211" s="17" t="s">
        <v>622</v>
      </c>
      <c r="G1211" s="18" t="n">
        <v>0</v>
      </c>
      <c r="H1211" s="18" t="n">
        <v>209</v>
      </c>
      <c r="I1211" s="18" t="n">
        <f aca="false">((I1210 + G1211) - H1211)</f>
        <v>-689065.27</v>
      </c>
      <c r="J1211" s="18" t="n">
        <v>-20.9</v>
      </c>
      <c r="K1211" s="19" t="n">
        <v>10</v>
      </c>
      <c r="L1211" s="17" t="s">
        <v>22</v>
      </c>
    </row>
    <row r="1212" s="11" customFormat="true" ht="10.95" hidden="false" customHeight="true" outlineLevel="0" collapsed="false">
      <c r="A1212" s="16" t="n">
        <v>45408</v>
      </c>
      <c r="B1212" s="17" t="s">
        <v>17</v>
      </c>
      <c r="C1212" s="17" t="s">
        <v>18</v>
      </c>
      <c r="D1212" s="17" t="s">
        <v>19</v>
      </c>
      <c r="E1212" s="17" t="s">
        <v>76</v>
      </c>
      <c r="F1212" s="17" t="s">
        <v>623</v>
      </c>
      <c r="G1212" s="18" t="n">
        <v>0</v>
      </c>
      <c r="H1212" s="18" t="n">
        <v>104.5</v>
      </c>
      <c r="I1212" s="18" t="n">
        <f aca="false">((I1211 + G1212) - H1212)</f>
        <v>-689169.77</v>
      </c>
      <c r="J1212" s="18" t="n">
        <v>-10.45</v>
      </c>
      <c r="K1212" s="19" t="n">
        <v>10</v>
      </c>
      <c r="L1212" s="17" t="s">
        <v>22</v>
      </c>
    </row>
    <row r="1213" s="11" customFormat="true" ht="10.95" hidden="false" customHeight="true" outlineLevel="0" collapsed="false">
      <c r="A1213" s="16" t="n">
        <v>45408</v>
      </c>
      <c r="B1213" s="17" t="s">
        <v>17</v>
      </c>
      <c r="C1213" s="17" t="s">
        <v>18</v>
      </c>
      <c r="D1213" s="17" t="s">
        <v>19</v>
      </c>
      <c r="E1213" s="17" t="s">
        <v>261</v>
      </c>
      <c r="F1213" s="17" t="s">
        <v>624</v>
      </c>
      <c r="G1213" s="18" t="n">
        <v>0</v>
      </c>
      <c r="H1213" s="18" t="n">
        <v>522.5</v>
      </c>
      <c r="I1213" s="18" t="n">
        <f aca="false">((I1212 + G1213) - H1213)</f>
        <v>-689692.27</v>
      </c>
      <c r="J1213" s="18" t="n">
        <v>-52.25</v>
      </c>
      <c r="K1213" s="19" t="n">
        <v>10</v>
      </c>
      <c r="L1213" s="17" t="s">
        <v>22</v>
      </c>
    </row>
    <row r="1214" s="11" customFormat="true" ht="10.95" hidden="false" customHeight="true" outlineLevel="0" collapsed="false">
      <c r="A1214" s="16" t="n">
        <v>45408</v>
      </c>
      <c r="B1214" s="17" t="s">
        <v>17</v>
      </c>
      <c r="C1214" s="17" t="s">
        <v>18</v>
      </c>
      <c r="D1214" s="17" t="s">
        <v>19</v>
      </c>
      <c r="E1214" s="17" t="s">
        <v>286</v>
      </c>
      <c r="F1214" s="17" t="s">
        <v>624</v>
      </c>
      <c r="G1214" s="18" t="n">
        <v>0</v>
      </c>
      <c r="H1214" s="18" t="n">
        <v>38.5</v>
      </c>
      <c r="I1214" s="18" t="n">
        <f aca="false">((I1213 + G1214) - H1214)</f>
        <v>-689730.77</v>
      </c>
      <c r="J1214" s="18" t="n">
        <v>0</v>
      </c>
      <c r="K1214" s="19" t="n">
        <v>0</v>
      </c>
      <c r="L1214" s="17" t="s">
        <v>88</v>
      </c>
    </row>
    <row r="1215" s="11" customFormat="true" ht="10.95" hidden="false" customHeight="true" outlineLevel="0" collapsed="false">
      <c r="A1215" s="16" t="n">
        <v>45408</v>
      </c>
      <c r="B1215" s="17" t="s">
        <v>17</v>
      </c>
      <c r="C1215" s="17" t="s">
        <v>18</v>
      </c>
      <c r="D1215" s="17" t="s">
        <v>19</v>
      </c>
      <c r="E1215" s="17" t="s">
        <v>288</v>
      </c>
      <c r="F1215" s="17" t="s">
        <v>624</v>
      </c>
      <c r="G1215" s="18" t="n">
        <v>0</v>
      </c>
      <c r="H1215" s="18" t="n">
        <v>5</v>
      </c>
      <c r="I1215" s="18" t="n">
        <f aca="false">((I1214 + G1215) - H1215)</f>
        <v>-689735.77</v>
      </c>
      <c r="J1215" s="18" t="n">
        <v>-0.5</v>
      </c>
      <c r="K1215" s="19" t="n">
        <v>10</v>
      </c>
      <c r="L1215" s="17" t="s">
        <v>22</v>
      </c>
    </row>
    <row r="1216" s="11" customFormat="true" ht="10.95" hidden="false" customHeight="true" outlineLevel="0" collapsed="false">
      <c r="A1216" s="16" t="n">
        <v>45408</v>
      </c>
      <c r="B1216" s="17" t="s">
        <v>17</v>
      </c>
      <c r="C1216" s="17" t="s">
        <v>18</v>
      </c>
      <c r="D1216" s="17" t="s">
        <v>19</v>
      </c>
      <c r="E1216" s="17" t="s">
        <v>76</v>
      </c>
      <c r="F1216" s="17" t="s">
        <v>625</v>
      </c>
      <c r="G1216" s="18" t="n">
        <v>0</v>
      </c>
      <c r="H1216" s="18" t="n">
        <v>752</v>
      </c>
      <c r="I1216" s="18" t="n">
        <f aca="false">((I1215 + G1216) - H1216)</f>
        <v>-690487.77</v>
      </c>
      <c r="J1216" s="18" t="n">
        <v>-75.2</v>
      </c>
      <c r="K1216" s="19" t="n">
        <v>10</v>
      </c>
      <c r="L1216" s="17" t="s">
        <v>22</v>
      </c>
    </row>
    <row r="1217" s="11" customFormat="true" ht="10.95" hidden="false" customHeight="true" outlineLevel="0" collapsed="false">
      <c r="A1217" s="16" t="n">
        <v>45408</v>
      </c>
      <c r="B1217" s="17" t="s">
        <v>17</v>
      </c>
      <c r="C1217" s="17" t="s">
        <v>18</v>
      </c>
      <c r="D1217" s="17" t="s">
        <v>19</v>
      </c>
      <c r="E1217" s="17" t="s">
        <v>78</v>
      </c>
      <c r="F1217" s="17" t="s">
        <v>626</v>
      </c>
      <c r="G1217" s="18" t="n">
        <v>0</v>
      </c>
      <c r="H1217" s="18" t="n">
        <v>564</v>
      </c>
      <c r="I1217" s="18" t="n">
        <f aca="false">((I1216 + G1217) - H1217)</f>
        <v>-691051.77</v>
      </c>
      <c r="J1217" s="18" t="n">
        <v>-56.4</v>
      </c>
      <c r="K1217" s="19" t="n">
        <v>10</v>
      </c>
      <c r="L1217" s="17" t="s">
        <v>22</v>
      </c>
    </row>
    <row r="1218" s="11" customFormat="true" ht="10.95" hidden="false" customHeight="true" outlineLevel="0" collapsed="false">
      <c r="A1218" s="16" t="n">
        <v>45408</v>
      </c>
      <c r="B1218" s="17" t="s">
        <v>17</v>
      </c>
      <c r="C1218" s="17" t="s">
        <v>18</v>
      </c>
      <c r="D1218" s="17" t="s">
        <v>19</v>
      </c>
      <c r="E1218" s="17" t="s">
        <v>80</v>
      </c>
      <c r="F1218" s="17" t="s">
        <v>626</v>
      </c>
      <c r="G1218" s="18" t="n">
        <v>0</v>
      </c>
      <c r="H1218" s="18" t="n">
        <v>110</v>
      </c>
      <c r="I1218" s="18" t="n">
        <f aca="false">((I1217 + G1218) - H1218)</f>
        <v>-691161.77</v>
      </c>
      <c r="J1218" s="18" t="n">
        <v>-11</v>
      </c>
      <c r="K1218" s="19" t="n">
        <v>10</v>
      </c>
      <c r="L1218" s="17" t="s">
        <v>22</v>
      </c>
    </row>
    <row r="1219" s="11" customFormat="true" ht="10.95" hidden="false" customHeight="true" outlineLevel="0" collapsed="false">
      <c r="A1219" s="16" t="n">
        <v>45408</v>
      </c>
      <c r="B1219" s="17" t="s">
        <v>17</v>
      </c>
      <c r="C1219" s="17" t="s">
        <v>18</v>
      </c>
      <c r="D1219" s="17" t="s">
        <v>19</v>
      </c>
      <c r="E1219" s="17" t="s">
        <v>78</v>
      </c>
      <c r="F1219" s="17" t="s">
        <v>627</v>
      </c>
      <c r="G1219" s="18" t="n">
        <v>0</v>
      </c>
      <c r="H1219" s="18" t="n">
        <v>188</v>
      </c>
      <c r="I1219" s="18" t="n">
        <f aca="false">((I1218 + G1219) - H1219)</f>
        <v>-691349.77</v>
      </c>
      <c r="J1219" s="18" t="n">
        <v>-18.8</v>
      </c>
      <c r="K1219" s="19" t="n">
        <v>10</v>
      </c>
      <c r="L1219" s="17" t="s">
        <v>22</v>
      </c>
    </row>
    <row r="1220" s="11" customFormat="true" ht="10.95" hidden="false" customHeight="true" outlineLevel="0" collapsed="false">
      <c r="A1220" s="16" t="n">
        <v>45408</v>
      </c>
      <c r="B1220" s="17" t="s">
        <v>17</v>
      </c>
      <c r="C1220" s="17" t="s">
        <v>18</v>
      </c>
      <c r="D1220" s="17" t="s">
        <v>19</v>
      </c>
      <c r="E1220" s="17" t="s">
        <v>78</v>
      </c>
      <c r="F1220" s="17" t="s">
        <v>628</v>
      </c>
      <c r="G1220" s="18" t="n">
        <v>0</v>
      </c>
      <c r="H1220" s="18" t="n">
        <v>1316</v>
      </c>
      <c r="I1220" s="18" t="n">
        <f aca="false">((I1219 + G1220) - H1220)</f>
        <v>-692665.77</v>
      </c>
      <c r="J1220" s="18" t="n">
        <v>-131.6</v>
      </c>
      <c r="K1220" s="19" t="n">
        <v>10</v>
      </c>
      <c r="L1220" s="17" t="s">
        <v>22</v>
      </c>
    </row>
    <row r="1221" s="11" customFormat="true" ht="10.95" hidden="false" customHeight="true" outlineLevel="0" collapsed="false">
      <c r="A1221" s="16" t="n">
        <v>45408</v>
      </c>
      <c r="B1221" s="17" t="s">
        <v>17</v>
      </c>
      <c r="C1221" s="17" t="s">
        <v>18</v>
      </c>
      <c r="D1221" s="17" t="s">
        <v>19</v>
      </c>
      <c r="E1221" s="17" t="s">
        <v>83</v>
      </c>
      <c r="F1221" s="17" t="s">
        <v>628</v>
      </c>
      <c r="G1221" s="18" t="n">
        <v>0</v>
      </c>
      <c r="H1221" s="18" t="n">
        <v>38.5</v>
      </c>
      <c r="I1221" s="18" t="n">
        <f aca="false">((I1220 + G1221) - H1221)</f>
        <v>-692704.27</v>
      </c>
      <c r="J1221" s="18" t="n">
        <v>-3.85</v>
      </c>
      <c r="K1221" s="19" t="n">
        <v>10</v>
      </c>
      <c r="L1221" s="17" t="s">
        <v>22</v>
      </c>
    </row>
    <row r="1222" s="11" customFormat="true" ht="10.95" hidden="false" customHeight="true" outlineLevel="0" collapsed="false">
      <c r="A1222" s="16" t="n">
        <v>45408</v>
      </c>
      <c r="B1222" s="17" t="s">
        <v>17</v>
      </c>
      <c r="C1222" s="17" t="s">
        <v>18</v>
      </c>
      <c r="D1222" s="17" t="s">
        <v>19</v>
      </c>
      <c r="E1222" s="17" t="s">
        <v>84</v>
      </c>
      <c r="F1222" s="17" t="s">
        <v>628</v>
      </c>
      <c r="G1222" s="18" t="n">
        <v>0</v>
      </c>
      <c r="H1222" s="18" t="n">
        <v>165</v>
      </c>
      <c r="I1222" s="18" t="n">
        <f aca="false">((I1221 + G1222) - H1222)</f>
        <v>-692869.27</v>
      </c>
      <c r="J1222" s="18" t="n">
        <v>-16.5</v>
      </c>
      <c r="K1222" s="19" t="n">
        <v>10</v>
      </c>
      <c r="L1222" s="17" t="s">
        <v>22</v>
      </c>
    </row>
    <row r="1223" s="11" customFormat="true" ht="10.95" hidden="false" customHeight="true" outlineLevel="0" collapsed="false">
      <c r="A1223" s="16" t="n">
        <v>45408</v>
      </c>
      <c r="B1223" s="17" t="s">
        <v>17</v>
      </c>
      <c r="C1223" s="17" t="s">
        <v>18</v>
      </c>
      <c r="D1223" s="17" t="s">
        <v>19</v>
      </c>
      <c r="E1223" s="17" t="s">
        <v>80</v>
      </c>
      <c r="F1223" s="17" t="s">
        <v>628</v>
      </c>
      <c r="G1223" s="18" t="n">
        <v>0</v>
      </c>
      <c r="H1223" s="18" t="n">
        <v>110</v>
      </c>
      <c r="I1223" s="18" t="n">
        <f aca="false">((I1222 + G1223) - H1223)</f>
        <v>-692979.27</v>
      </c>
      <c r="J1223" s="18" t="n">
        <v>-11</v>
      </c>
      <c r="K1223" s="19" t="n">
        <v>10</v>
      </c>
      <c r="L1223" s="17" t="s">
        <v>22</v>
      </c>
    </row>
    <row r="1224" s="11" customFormat="true" ht="10.95" hidden="false" customHeight="true" outlineLevel="0" collapsed="false">
      <c r="A1224" s="16" t="n">
        <v>45408</v>
      </c>
      <c r="B1224" s="17" t="s">
        <v>17</v>
      </c>
      <c r="C1224" s="17" t="s">
        <v>18</v>
      </c>
      <c r="D1224" s="17" t="s">
        <v>19</v>
      </c>
      <c r="E1224" s="17" t="s">
        <v>76</v>
      </c>
      <c r="F1224" s="17" t="s">
        <v>629</v>
      </c>
      <c r="G1224" s="18" t="n">
        <v>0</v>
      </c>
      <c r="H1224" s="18" t="n">
        <v>470</v>
      </c>
      <c r="I1224" s="18" t="n">
        <f aca="false">((I1223 + G1224) - H1224)</f>
        <v>-693449.27</v>
      </c>
      <c r="J1224" s="18" t="n">
        <v>-47</v>
      </c>
      <c r="K1224" s="19" t="n">
        <v>10</v>
      </c>
      <c r="L1224" s="17" t="s">
        <v>22</v>
      </c>
    </row>
    <row r="1225" s="11" customFormat="true" ht="10.95" hidden="false" customHeight="true" outlineLevel="0" collapsed="false">
      <c r="A1225" s="16" t="n">
        <v>45408</v>
      </c>
      <c r="B1225" s="17" t="s">
        <v>17</v>
      </c>
      <c r="C1225" s="17" t="s">
        <v>18</v>
      </c>
      <c r="D1225" s="17" t="s">
        <v>19</v>
      </c>
      <c r="E1225" s="17" t="s">
        <v>78</v>
      </c>
      <c r="F1225" s="17" t="s">
        <v>630</v>
      </c>
      <c r="G1225" s="18" t="n">
        <v>0</v>
      </c>
      <c r="H1225" s="18" t="n">
        <v>188</v>
      </c>
      <c r="I1225" s="18" t="n">
        <f aca="false">((I1224 + G1225) - H1225)</f>
        <v>-693637.27</v>
      </c>
      <c r="J1225" s="18" t="n">
        <v>-18.8</v>
      </c>
      <c r="K1225" s="19" t="n">
        <v>10</v>
      </c>
      <c r="L1225" s="17" t="s">
        <v>22</v>
      </c>
    </row>
    <row r="1226" s="11" customFormat="true" ht="10.95" hidden="false" customHeight="true" outlineLevel="0" collapsed="false">
      <c r="A1226" s="16" t="n">
        <v>45408</v>
      </c>
      <c r="B1226" s="17" t="s">
        <v>17</v>
      </c>
      <c r="C1226" s="17" t="s">
        <v>18</v>
      </c>
      <c r="D1226" s="17" t="s">
        <v>19</v>
      </c>
      <c r="E1226" s="17" t="s">
        <v>87</v>
      </c>
      <c r="F1226" s="17" t="s">
        <v>630</v>
      </c>
      <c r="G1226" s="18" t="n">
        <v>0</v>
      </c>
      <c r="H1226" s="18" t="n">
        <v>110</v>
      </c>
      <c r="I1226" s="18" t="n">
        <f aca="false">((I1225 + G1226) - H1226)</f>
        <v>-693747.27</v>
      </c>
      <c r="J1226" s="18" t="n">
        <v>0</v>
      </c>
      <c r="K1226" s="19" t="n">
        <v>0</v>
      </c>
      <c r="L1226" s="17" t="s">
        <v>88</v>
      </c>
    </row>
    <row r="1227" s="11" customFormat="true" ht="10.95" hidden="false" customHeight="true" outlineLevel="0" collapsed="false">
      <c r="A1227" s="16" t="n">
        <v>45408</v>
      </c>
      <c r="B1227" s="17" t="s">
        <v>17</v>
      </c>
      <c r="C1227" s="17" t="s">
        <v>18</v>
      </c>
      <c r="D1227" s="17" t="s">
        <v>19</v>
      </c>
      <c r="E1227" s="17" t="s">
        <v>89</v>
      </c>
      <c r="F1227" s="17" t="s">
        <v>631</v>
      </c>
      <c r="G1227" s="18" t="n">
        <v>0</v>
      </c>
      <c r="H1227" s="18" t="n">
        <v>470</v>
      </c>
      <c r="I1227" s="18" t="n">
        <f aca="false">((I1226 + G1227) - H1227)</f>
        <v>-694217.27</v>
      </c>
      <c r="J1227" s="18" t="n">
        <v>-47</v>
      </c>
      <c r="K1227" s="19" t="n">
        <v>10</v>
      </c>
      <c r="L1227" s="17" t="s">
        <v>22</v>
      </c>
    </row>
    <row r="1228" s="11" customFormat="true" ht="10.95" hidden="false" customHeight="true" outlineLevel="0" collapsed="false">
      <c r="A1228" s="16" t="n">
        <v>45408</v>
      </c>
      <c r="B1228" s="17" t="s">
        <v>17</v>
      </c>
      <c r="C1228" s="17" t="s">
        <v>18</v>
      </c>
      <c r="D1228" s="17" t="s">
        <v>19</v>
      </c>
      <c r="E1228" s="17" t="s">
        <v>87</v>
      </c>
      <c r="F1228" s="17" t="s">
        <v>631</v>
      </c>
      <c r="G1228" s="18" t="n">
        <v>0</v>
      </c>
      <c r="H1228" s="18" t="n">
        <v>110</v>
      </c>
      <c r="I1228" s="18" t="n">
        <f aca="false">((I1227 + G1228) - H1228)</f>
        <v>-694327.27</v>
      </c>
      <c r="J1228" s="18" t="n">
        <v>0</v>
      </c>
      <c r="K1228" s="19" t="n">
        <v>0</v>
      </c>
      <c r="L1228" s="17" t="s">
        <v>88</v>
      </c>
    </row>
    <row r="1229" s="11" customFormat="true" ht="10.95" hidden="false" customHeight="true" outlineLevel="0" collapsed="false">
      <c r="A1229" s="16" t="n">
        <v>45408</v>
      </c>
      <c r="B1229" s="17" t="s">
        <v>17</v>
      </c>
      <c r="C1229" s="17" t="s">
        <v>18</v>
      </c>
      <c r="D1229" s="17" t="s">
        <v>19</v>
      </c>
      <c r="E1229" s="17" t="s">
        <v>91</v>
      </c>
      <c r="F1229" s="17" t="s">
        <v>632</v>
      </c>
      <c r="G1229" s="18" t="n">
        <v>0</v>
      </c>
      <c r="H1229" s="18" t="n">
        <v>1316</v>
      </c>
      <c r="I1229" s="18" t="n">
        <f aca="false">((I1228 + G1229) - H1229)</f>
        <v>-695643.27</v>
      </c>
      <c r="J1229" s="18" t="n">
        <v>-131.6</v>
      </c>
      <c r="K1229" s="19" t="n">
        <v>10</v>
      </c>
      <c r="L1229" s="17" t="s">
        <v>22</v>
      </c>
    </row>
    <row r="1230" s="11" customFormat="true" ht="10.95" hidden="false" customHeight="true" outlineLevel="0" collapsed="false">
      <c r="A1230" s="16" t="n">
        <v>45408</v>
      </c>
      <c r="B1230" s="17" t="s">
        <v>17</v>
      </c>
      <c r="C1230" s="17" t="s">
        <v>18</v>
      </c>
      <c r="D1230" s="17" t="s">
        <v>19</v>
      </c>
      <c r="E1230" s="17" t="s">
        <v>93</v>
      </c>
      <c r="F1230" s="17" t="s">
        <v>632</v>
      </c>
      <c r="G1230" s="18" t="n">
        <v>0</v>
      </c>
      <c r="H1230" s="18" t="n">
        <v>330</v>
      </c>
      <c r="I1230" s="18" t="n">
        <f aca="false">((I1229 + G1230) - H1230)</f>
        <v>-695973.27</v>
      </c>
      <c r="J1230" s="18" t="n">
        <v>-33</v>
      </c>
      <c r="K1230" s="19" t="n">
        <v>10</v>
      </c>
      <c r="L1230" s="17" t="s">
        <v>22</v>
      </c>
    </row>
    <row r="1231" s="11" customFormat="true" ht="10.95" hidden="false" customHeight="true" outlineLevel="0" collapsed="false">
      <c r="A1231" s="16" t="n">
        <v>45408</v>
      </c>
      <c r="B1231" s="17" t="s">
        <v>17</v>
      </c>
      <c r="C1231" s="17" t="s">
        <v>18</v>
      </c>
      <c r="D1231" s="17" t="s">
        <v>19</v>
      </c>
      <c r="E1231" s="17" t="s">
        <v>94</v>
      </c>
      <c r="F1231" s="17" t="s">
        <v>632</v>
      </c>
      <c r="G1231" s="18" t="n">
        <v>0</v>
      </c>
      <c r="H1231" s="18" t="n">
        <v>143</v>
      </c>
      <c r="I1231" s="18" t="n">
        <f aca="false">((I1230 + G1231) - H1231)</f>
        <v>-696116.27</v>
      </c>
      <c r="J1231" s="18" t="n">
        <v>-14.3</v>
      </c>
      <c r="K1231" s="19" t="n">
        <v>10</v>
      </c>
      <c r="L1231" s="17" t="s">
        <v>22</v>
      </c>
    </row>
    <row r="1232" s="11" customFormat="true" ht="10.95" hidden="false" customHeight="true" outlineLevel="0" collapsed="false">
      <c r="A1232" s="16" t="n">
        <v>45408</v>
      </c>
      <c r="B1232" s="17" t="s">
        <v>17</v>
      </c>
      <c r="C1232" s="17" t="s">
        <v>18</v>
      </c>
      <c r="D1232" s="17" t="s">
        <v>19</v>
      </c>
      <c r="E1232" s="17" t="s">
        <v>95</v>
      </c>
      <c r="F1232" s="17" t="s">
        <v>633</v>
      </c>
      <c r="G1232" s="18" t="n">
        <v>0</v>
      </c>
      <c r="H1232" s="18" t="n">
        <v>1128</v>
      </c>
      <c r="I1232" s="18" t="n">
        <f aca="false">((I1231 + G1232) - H1232)</f>
        <v>-697244.27</v>
      </c>
      <c r="J1232" s="18" t="n">
        <v>-112.8</v>
      </c>
      <c r="K1232" s="19" t="n">
        <v>10</v>
      </c>
      <c r="L1232" s="17" t="s">
        <v>22</v>
      </c>
    </row>
    <row r="1233" s="11" customFormat="true" ht="10.95" hidden="false" customHeight="true" outlineLevel="0" collapsed="false">
      <c r="A1233" s="16" t="n">
        <v>45408</v>
      </c>
      <c r="B1233" s="17" t="s">
        <v>17</v>
      </c>
      <c r="C1233" s="17" t="s">
        <v>18</v>
      </c>
      <c r="D1233" s="17" t="s">
        <v>19</v>
      </c>
      <c r="E1233" s="17" t="s">
        <v>97</v>
      </c>
      <c r="F1233" s="17" t="s">
        <v>633</v>
      </c>
      <c r="G1233" s="18" t="n">
        <v>0</v>
      </c>
      <c r="H1233" s="18" t="n">
        <v>110</v>
      </c>
      <c r="I1233" s="18" t="n">
        <f aca="false">((I1232 + G1233) - H1233)</f>
        <v>-697354.27</v>
      </c>
      <c r="J1233" s="18" t="n">
        <v>-11</v>
      </c>
      <c r="K1233" s="19" t="n">
        <v>10</v>
      </c>
      <c r="L1233" s="17" t="s">
        <v>22</v>
      </c>
    </row>
    <row r="1234" s="11" customFormat="true" ht="10.95" hidden="false" customHeight="true" outlineLevel="0" collapsed="false">
      <c r="A1234" s="16" t="n">
        <v>45408</v>
      </c>
      <c r="B1234" s="17" t="s">
        <v>17</v>
      </c>
      <c r="C1234" s="17" t="s">
        <v>18</v>
      </c>
      <c r="D1234" s="17" t="s">
        <v>19</v>
      </c>
      <c r="E1234" s="17" t="s">
        <v>98</v>
      </c>
      <c r="F1234" s="17" t="s">
        <v>634</v>
      </c>
      <c r="G1234" s="18" t="n">
        <v>0</v>
      </c>
      <c r="H1234" s="18" t="n">
        <v>282</v>
      </c>
      <c r="I1234" s="18" t="n">
        <f aca="false">((I1233 + G1234) - H1234)</f>
        <v>-697636.27</v>
      </c>
      <c r="J1234" s="18" t="n">
        <v>-28.2</v>
      </c>
      <c r="K1234" s="19" t="n">
        <v>10</v>
      </c>
      <c r="L1234" s="17" t="s">
        <v>22</v>
      </c>
    </row>
    <row r="1235" s="11" customFormat="true" ht="10.95" hidden="false" customHeight="true" outlineLevel="0" collapsed="false">
      <c r="A1235" s="16" t="n">
        <v>45408</v>
      </c>
      <c r="B1235" s="17" t="s">
        <v>17</v>
      </c>
      <c r="C1235" s="17" t="s">
        <v>18</v>
      </c>
      <c r="D1235" s="17" t="s">
        <v>19</v>
      </c>
      <c r="E1235" s="17" t="s">
        <v>100</v>
      </c>
      <c r="F1235" s="17" t="s">
        <v>635</v>
      </c>
      <c r="G1235" s="18" t="n">
        <v>0</v>
      </c>
      <c r="H1235" s="18" t="n">
        <v>282</v>
      </c>
      <c r="I1235" s="18" t="n">
        <f aca="false">((I1234 + G1235) - H1235)</f>
        <v>-697918.27</v>
      </c>
      <c r="J1235" s="18" t="n">
        <v>-28.2</v>
      </c>
      <c r="K1235" s="19" t="n">
        <v>10</v>
      </c>
      <c r="L1235" s="17" t="s">
        <v>22</v>
      </c>
    </row>
    <row r="1236" s="11" customFormat="true" ht="10.95" hidden="false" customHeight="true" outlineLevel="0" collapsed="false">
      <c r="A1236" s="16" t="n">
        <v>45408</v>
      </c>
      <c r="B1236" s="17" t="s">
        <v>17</v>
      </c>
      <c r="C1236" s="17" t="s">
        <v>18</v>
      </c>
      <c r="D1236" s="17" t="s">
        <v>19</v>
      </c>
      <c r="E1236" s="17" t="s">
        <v>102</v>
      </c>
      <c r="F1236" s="17" t="s">
        <v>636</v>
      </c>
      <c r="G1236" s="18" t="n">
        <v>0</v>
      </c>
      <c r="H1236" s="18" t="n">
        <v>564</v>
      </c>
      <c r="I1236" s="18" t="n">
        <f aca="false">((I1235 + G1236) - H1236)</f>
        <v>-698482.27</v>
      </c>
      <c r="J1236" s="18" t="n">
        <v>-56.4</v>
      </c>
      <c r="K1236" s="19" t="n">
        <v>10</v>
      </c>
      <c r="L1236" s="17" t="s">
        <v>22</v>
      </c>
    </row>
    <row r="1237" s="11" customFormat="true" ht="10.95" hidden="false" customHeight="true" outlineLevel="0" collapsed="false">
      <c r="A1237" s="16" t="n">
        <v>45408</v>
      </c>
      <c r="B1237" s="17" t="s">
        <v>17</v>
      </c>
      <c r="C1237" s="17" t="s">
        <v>18</v>
      </c>
      <c r="D1237" s="17" t="s">
        <v>19</v>
      </c>
      <c r="E1237" s="17" t="s">
        <v>104</v>
      </c>
      <c r="F1237" s="17" t="s">
        <v>637</v>
      </c>
      <c r="G1237" s="18" t="n">
        <v>0</v>
      </c>
      <c r="H1237" s="18" t="n">
        <v>1034</v>
      </c>
      <c r="I1237" s="18" t="n">
        <f aca="false">((I1236 + G1237) - H1237)</f>
        <v>-699516.27</v>
      </c>
      <c r="J1237" s="18" t="n">
        <v>-103.4</v>
      </c>
      <c r="K1237" s="19" t="n">
        <v>10</v>
      </c>
      <c r="L1237" s="17" t="s">
        <v>22</v>
      </c>
    </row>
    <row r="1238" s="11" customFormat="true" ht="10.95" hidden="false" customHeight="true" outlineLevel="0" collapsed="false">
      <c r="A1238" s="16" t="n">
        <v>45408</v>
      </c>
      <c r="B1238" s="17" t="s">
        <v>17</v>
      </c>
      <c r="C1238" s="17" t="s">
        <v>18</v>
      </c>
      <c r="D1238" s="17" t="s">
        <v>19</v>
      </c>
      <c r="E1238" s="17" t="s">
        <v>106</v>
      </c>
      <c r="F1238" s="17" t="s">
        <v>638</v>
      </c>
      <c r="G1238" s="18" t="n">
        <v>0</v>
      </c>
      <c r="H1238" s="18" t="n">
        <v>94</v>
      </c>
      <c r="I1238" s="18" t="n">
        <f aca="false">((I1237 + G1238) - H1238)</f>
        <v>-699610.27</v>
      </c>
      <c r="J1238" s="18" t="n">
        <v>-9.4</v>
      </c>
      <c r="K1238" s="19" t="n">
        <v>10</v>
      </c>
      <c r="L1238" s="17" t="s">
        <v>22</v>
      </c>
    </row>
    <row r="1239" s="11" customFormat="true" ht="10.95" hidden="false" customHeight="true" outlineLevel="0" collapsed="false">
      <c r="A1239" s="16" t="n">
        <v>45408</v>
      </c>
      <c r="B1239" s="17" t="s">
        <v>17</v>
      </c>
      <c r="C1239" s="17" t="s">
        <v>18</v>
      </c>
      <c r="D1239" s="17" t="s">
        <v>19</v>
      </c>
      <c r="E1239" s="17" t="s">
        <v>108</v>
      </c>
      <c r="F1239" s="17" t="s">
        <v>639</v>
      </c>
      <c r="G1239" s="18" t="n">
        <v>0</v>
      </c>
      <c r="H1239" s="18" t="n">
        <v>658</v>
      </c>
      <c r="I1239" s="18" t="n">
        <f aca="false">((I1238 + G1239) - H1239)</f>
        <v>-700268.27</v>
      </c>
      <c r="J1239" s="18" t="n">
        <v>-65.8</v>
      </c>
      <c r="K1239" s="19" t="n">
        <v>10</v>
      </c>
      <c r="L1239" s="17" t="s">
        <v>22</v>
      </c>
    </row>
    <row r="1240" s="11" customFormat="true" ht="10.95" hidden="false" customHeight="true" outlineLevel="0" collapsed="false">
      <c r="A1240" s="16" t="n">
        <v>45408</v>
      </c>
      <c r="B1240" s="17" t="s">
        <v>17</v>
      </c>
      <c r="C1240" s="17" t="s">
        <v>18</v>
      </c>
      <c r="D1240" s="17" t="s">
        <v>19</v>
      </c>
      <c r="E1240" s="17" t="s">
        <v>640</v>
      </c>
      <c r="F1240" s="17" t="s">
        <v>641</v>
      </c>
      <c r="G1240" s="18" t="n">
        <v>0</v>
      </c>
      <c r="H1240" s="18" t="n">
        <v>12000</v>
      </c>
      <c r="I1240" s="18" t="n">
        <f aca="false">((I1239 + G1240) - H1240)</f>
        <v>-712268.27</v>
      </c>
      <c r="J1240" s="18" t="n">
        <v>-1200</v>
      </c>
      <c r="K1240" s="19" t="n">
        <v>10</v>
      </c>
      <c r="L1240" s="17" t="s">
        <v>22</v>
      </c>
    </row>
    <row r="1241" s="11" customFormat="true" ht="10.95" hidden="false" customHeight="true" outlineLevel="0" collapsed="false">
      <c r="A1241" s="16" t="n">
        <v>45408</v>
      </c>
      <c r="B1241" s="17" t="s">
        <v>17</v>
      </c>
      <c r="C1241" s="17" t="s">
        <v>18</v>
      </c>
      <c r="D1241" s="17" t="s">
        <v>19</v>
      </c>
      <c r="E1241" s="17" t="s">
        <v>642</v>
      </c>
      <c r="F1241" s="17" t="s">
        <v>641</v>
      </c>
      <c r="G1241" s="18" t="n">
        <v>0</v>
      </c>
      <c r="H1241" s="18" t="n">
        <v>3120</v>
      </c>
      <c r="I1241" s="18" t="n">
        <f aca="false">((I1240 + G1241) - H1241)</f>
        <v>-715388.27</v>
      </c>
      <c r="J1241" s="18" t="n">
        <v>-312</v>
      </c>
      <c r="K1241" s="19" t="n">
        <v>10</v>
      </c>
      <c r="L1241" s="17" t="s">
        <v>22</v>
      </c>
    </row>
    <row r="1242" s="11" customFormat="true" ht="10.95" hidden="false" customHeight="true" outlineLevel="0" collapsed="false">
      <c r="A1242" s="16" t="n">
        <v>45408</v>
      </c>
      <c r="B1242" s="17" t="s">
        <v>17</v>
      </c>
      <c r="C1242" s="17" t="s">
        <v>18</v>
      </c>
      <c r="D1242" s="17" t="s">
        <v>19</v>
      </c>
      <c r="E1242" s="17" t="s">
        <v>116</v>
      </c>
      <c r="F1242" s="17" t="s">
        <v>643</v>
      </c>
      <c r="G1242" s="18" t="n">
        <v>0</v>
      </c>
      <c r="H1242" s="18" t="n">
        <v>1162</v>
      </c>
      <c r="I1242" s="18" t="n">
        <f aca="false">((I1241 + G1242) - H1242)</f>
        <v>-716550.27</v>
      </c>
      <c r="J1242" s="18" t="n">
        <v>-116.2</v>
      </c>
      <c r="K1242" s="19" t="n">
        <v>10</v>
      </c>
      <c r="L1242" s="17" t="s">
        <v>22</v>
      </c>
    </row>
    <row r="1243" s="11" customFormat="true" ht="10.95" hidden="false" customHeight="true" outlineLevel="0" collapsed="false">
      <c r="A1243" s="16" t="n">
        <v>45408</v>
      </c>
      <c r="B1243" s="17" t="s">
        <v>17</v>
      </c>
      <c r="C1243" s="17" t="s">
        <v>18</v>
      </c>
      <c r="D1243" s="17" t="s">
        <v>19</v>
      </c>
      <c r="E1243" s="17" t="s">
        <v>119</v>
      </c>
      <c r="F1243" s="17" t="s">
        <v>644</v>
      </c>
      <c r="G1243" s="18" t="n">
        <v>0</v>
      </c>
      <c r="H1243" s="18" t="n">
        <v>332</v>
      </c>
      <c r="I1243" s="18" t="n">
        <f aca="false">((I1242 + G1243) - H1243)</f>
        <v>-716882.27</v>
      </c>
      <c r="J1243" s="18" t="n">
        <v>-33.2</v>
      </c>
      <c r="K1243" s="19" t="n">
        <v>10</v>
      </c>
      <c r="L1243" s="17" t="s">
        <v>22</v>
      </c>
    </row>
    <row r="1244" s="11" customFormat="true" ht="10.95" hidden="false" customHeight="true" outlineLevel="0" collapsed="false">
      <c r="A1244" s="16" t="n">
        <v>45408</v>
      </c>
      <c r="B1244" s="17" t="s">
        <v>17</v>
      </c>
      <c r="C1244" s="17" t="s">
        <v>18</v>
      </c>
      <c r="D1244" s="17" t="s">
        <v>19</v>
      </c>
      <c r="E1244" s="17" t="s">
        <v>121</v>
      </c>
      <c r="F1244" s="17" t="s">
        <v>644</v>
      </c>
      <c r="G1244" s="18" t="n">
        <v>0</v>
      </c>
      <c r="H1244" s="18" t="n">
        <v>1743</v>
      </c>
      <c r="I1244" s="18" t="n">
        <f aca="false">((I1243 + G1244) - H1244)</f>
        <v>-718625.27</v>
      </c>
      <c r="J1244" s="18" t="n">
        <v>-174.3</v>
      </c>
      <c r="K1244" s="19" t="n">
        <v>10</v>
      </c>
      <c r="L1244" s="17" t="s">
        <v>22</v>
      </c>
    </row>
    <row r="1245" s="11" customFormat="true" ht="10.95" hidden="false" customHeight="true" outlineLevel="0" collapsed="false">
      <c r="A1245" s="16" t="n">
        <v>45408</v>
      </c>
      <c r="B1245" s="17" t="s">
        <v>17</v>
      </c>
      <c r="C1245" s="17" t="s">
        <v>18</v>
      </c>
      <c r="D1245" s="17" t="s">
        <v>19</v>
      </c>
      <c r="E1245" s="17" t="s">
        <v>122</v>
      </c>
      <c r="F1245" s="17" t="s">
        <v>644</v>
      </c>
      <c r="G1245" s="18" t="n">
        <v>0</v>
      </c>
      <c r="H1245" s="18" t="n">
        <v>83</v>
      </c>
      <c r="I1245" s="18" t="n">
        <f aca="false">((I1244 + G1245) - H1245)</f>
        <v>-718708.27</v>
      </c>
      <c r="J1245" s="18" t="n">
        <v>-8.3</v>
      </c>
      <c r="K1245" s="19" t="n">
        <v>10</v>
      </c>
      <c r="L1245" s="17" t="s">
        <v>22</v>
      </c>
    </row>
    <row r="1246" s="11" customFormat="true" ht="10.95" hidden="false" customHeight="true" outlineLevel="0" collapsed="false">
      <c r="A1246" s="16" t="n">
        <v>45408</v>
      </c>
      <c r="B1246" s="17" t="s">
        <v>17</v>
      </c>
      <c r="C1246" s="17" t="s">
        <v>18</v>
      </c>
      <c r="D1246" s="17" t="s">
        <v>19</v>
      </c>
      <c r="E1246" s="17" t="s">
        <v>124</v>
      </c>
      <c r="F1246" s="17" t="s">
        <v>644</v>
      </c>
      <c r="G1246" s="18" t="n">
        <v>0</v>
      </c>
      <c r="H1246" s="18" t="n">
        <v>249</v>
      </c>
      <c r="I1246" s="18" t="n">
        <f aca="false">((I1245 + G1246) - H1246)</f>
        <v>-718957.27</v>
      </c>
      <c r="J1246" s="18" t="n">
        <v>-24.9</v>
      </c>
      <c r="K1246" s="19" t="n">
        <v>10</v>
      </c>
      <c r="L1246" s="17" t="s">
        <v>22</v>
      </c>
    </row>
    <row r="1247" s="11" customFormat="true" ht="10.95" hidden="false" customHeight="true" outlineLevel="0" collapsed="false">
      <c r="A1247" s="16" t="n">
        <v>45408</v>
      </c>
      <c r="B1247" s="17" t="s">
        <v>17</v>
      </c>
      <c r="C1247" s="17" t="s">
        <v>18</v>
      </c>
      <c r="D1247" s="17" t="s">
        <v>19</v>
      </c>
      <c r="E1247" s="17" t="s">
        <v>125</v>
      </c>
      <c r="F1247" s="17" t="s">
        <v>644</v>
      </c>
      <c r="G1247" s="18" t="n">
        <v>0</v>
      </c>
      <c r="H1247" s="18" t="n">
        <v>83</v>
      </c>
      <c r="I1247" s="18" t="n">
        <f aca="false">((I1246 + G1247) - H1247)</f>
        <v>-719040.27</v>
      </c>
      <c r="J1247" s="18" t="n">
        <v>-8.3</v>
      </c>
      <c r="K1247" s="19" t="n">
        <v>10</v>
      </c>
      <c r="L1247" s="17" t="s">
        <v>22</v>
      </c>
    </row>
    <row r="1248" s="11" customFormat="true" ht="10.95" hidden="false" customHeight="true" outlineLevel="0" collapsed="false">
      <c r="A1248" s="16" t="n">
        <v>45408</v>
      </c>
      <c r="B1248" s="17" t="s">
        <v>17</v>
      </c>
      <c r="C1248" s="17" t="s">
        <v>18</v>
      </c>
      <c r="D1248" s="17" t="s">
        <v>19</v>
      </c>
      <c r="E1248" s="17" t="s">
        <v>126</v>
      </c>
      <c r="F1248" s="17" t="s">
        <v>644</v>
      </c>
      <c r="G1248" s="18" t="n">
        <v>0</v>
      </c>
      <c r="H1248" s="18" t="n">
        <v>94.5</v>
      </c>
      <c r="I1248" s="18" t="n">
        <f aca="false">((I1247 + G1248) - H1248)</f>
        <v>-719134.77</v>
      </c>
      <c r="J1248" s="18" t="n">
        <v>-9.45</v>
      </c>
      <c r="K1248" s="19" t="n">
        <v>10</v>
      </c>
      <c r="L1248" s="17" t="s">
        <v>22</v>
      </c>
    </row>
    <row r="1249" s="11" customFormat="true" ht="10.95" hidden="false" customHeight="true" outlineLevel="0" collapsed="false">
      <c r="A1249" s="16" t="n">
        <v>45408</v>
      </c>
      <c r="B1249" s="17" t="s">
        <v>17</v>
      </c>
      <c r="C1249" s="17" t="s">
        <v>18</v>
      </c>
      <c r="D1249" s="17" t="s">
        <v>19</v>
      </c>
      <c r="E1249" s="17" t="s">
        <v>127</v>
      </c>
      <c r="F1249" s="17" t="s">
        <v>644</v>
      </c>
      <c r="G1249" s="18" t="n">
        <v>0</v>
      </c>
      <c r="H1249" s="18" t="n">
        <v>83</v>
      </c>
      <c r="I1249" s="18" t="n">
        <f aca="false">((I1248 + G1249) - H1249)</f>
        <v>-719217.77</v>
      </c>
      <c r="J1249" s="18" t="n">
        <v>-8.3</v>
      </c>
      <c r="K1249" s="19" t="n">
        <v>10</v>
      </c>
      <c r="L1249" s="17" t="s">
        <v>22</v>
      </c>
    </row>
    <row r="1250" s="11" customFormat="true" ht="10.95" hidden="false" customHeight="true" outlineLevel="0" collapsed="false">
      <c r="A1250" s="16" t="n">
        <v>45408</v>
      </c>
      <c r="B1250" s="17" t="s">
        <v>17</v>
      </c>
      <c r="C1250" s="17" t="s">
        <v>18</v>
      </c>
      <c r="D1250" s="17" t="s">
        <v>19</v>
      </c>
      <c r="E1250" s="17" t="s">
        <v>128</v>
      </c>
      <c r="F1250" s="17" t="s">
        <v>644</v>
      </c>
      <c r="G1250" s="18" t="n">
        <v>0</v>
      </c>
      <c r="H1250" s="18" t="n">
        <v>83</v>
      </c>
      <c r="I1250" s="18" t="n">
        <f aca="false">((I1249 + G1250) - H1250)</f>
        <v>-719300.77</v>
      </c>
      <c r="J1250" s="18" t="n">
        <v>-8.3</v>
      </c>
      <c r="K1250" s="19" t="n">
        <v>10</v>
      </c>
      <c r="L1250" s="17" t="s">
        <v>22</v>
      </c>
    </row>
    <row r="1251" s="11" customFormat="true" ht="10.95" hidden="false" customHeight="true" outlineLevel="0" collapsed="false">
      <c r="A1251" s="16" t="n">
        <v>45408</v>
      </c>
      <c r="B1251" s="17" t="s">
        <v>17</v>
      </c>
      <c r="C1251" s="17" t="s">
        <v>18</v>
      </c>
      <c r="D1251" s="17" t="s">
        <v>19</v>
      </c>
      <c r="E1251" s="17" t="s">
        <v>129</v>
      </c>
      <c r="F1251" s="17" t="s">
        <v>644</v>
      </c>
      <c r="G1251" s="18" t="n">
        <v>0</v>
      </c>
      <c r="H1251" s="18" t="n">
        <v>166</v>
      </c>
      <c r="I1251" s="18" t="n">
        <f aca="false">((I1250 + G1251) - H1251)</f>
        <v>-719466.77</v>
      </c>
      <c r="J1251" s="18" t="n">
        <v>-16.6</v>
      </c>
      <c r="K1251" s="19" t="n">
        <v>10</v>
      </c>
      <c r="L1251" s="17" t="s">
        <v>22</v>
      </c>
    </row>
    <row r="1252" s="11" customFormat="true" ht="10.95" hidden="false" customHeight="true" outlineLevel="0" collapsed="false">
      <c r="A1252" s="16" t="n">
        <v>45408</v>
      </c>
      <c r="B1252" s="17" t="s">
        <v>17</v>
      </c>
      <c r="C1252" s="17" t="s">
        <v>18</v>
      </c>
      <c r="D1252" s="17" t="s">
        <v>19</v>
      </c>
      <c r="E1252" s="17" t="s">
        <v>130</v>
      </c>
      <c r="F1252" s="17" t="s">
        <v>644</v>
      </c>
      <c r="G1252" s="18" t="n">
        <v>0</v>
      </c>
      <c r="H1252" s="18" t="n">
        <v>664</v>
      </c>
      <c r="I1252" s="18" t="n">
        <f aca="false">((I1251 + G1252) - H1252)</f>
        <v>-720130.77</v>
      </c>
      <c r="J1252" s="18" t="n">
        <v>-66.4</v>
      </c>
      <c r="K1252" s="19" t="n">
        <v>10</v>
      </c>
      <c r="L1252" s="17" t="s">
        <v>22</v>
      </c>
    </row>
    <row r="1253" s="11" customFormat="true" ht="10.95" hidden="false" customHeight="true" outlineLevel="0" collapsed="false">
      <c r="A1253" s="16" t="n">
        <v>45408</v>
      </c>
      <c r="B1253" s="17" t="s">
        <v>17</v>
      </c>
      <c r="C1253" s="17" t="s">
        <v>18</v>
      </c>
      <c r="D1253" s="17" t="s">
        <v>19</v>
      </c>
      <c r="E1253" s="17" t="s">
        <v>131</v>
      </c>
      <c r="F1253" s="17" t="s">
        <v>644</v>
      </c>
      <c r="G1253" s="18" t="n">
        <v>0</v>
      </c>
      <c r="H1253" s="18" t="n">
        <v>94.5</v>
      </c>
      <c r="I1253" s="18" t="n">
        <f aca="false">((I1252 + G1253) - H1253)</f>
        <v>-720225.27</v>
      </c>
      <c r="J1253" s="18" t="n">
        <v>-9.45</v>
      </c>
      <c r="K1253" s="19" t="n">
        <v>10</v>
      </c>
      <c r="L1253" s="17" t="s">
        <v>22</v>
      </c>
    </row>
    <row r="1254" s="11" customFormat="true" ht="10.95" hidden="false" customHeight="true" outlineLevel="0" collapsed="false">
      <c r="A1254" s="16" t="n">
        <v>45408</v>
      </c>
      <c r="B1254" s="17" t="s">
        <v>17</v>
      </c>
      <c r="C1254" s="17" t="s">
        <v>18</v>
      </c>
      <c r="D1254" s="17" t="s">
        <v>19</v>
      </c>
      <c r="E1254" s="17" t="s">
        <v>132</v>
      </c>
      <c r="F1254" s="17" t="s">
        <v>644</v>
      </c>
      <c r="G1254" s="18" t="n">
        <v>0</v>
      </c>
      <c r="H1254" s="18" t="n">
        <v>100</v>
      </c>
      <c r="I1254" s="18" t="n">
        <f aca="false">((I1253 + G1254) - H1254)</f>
        <v>-720325.27</v>
      </c>
      <c r="J1254" s="18" t="n">
        <v>-10</v>
      </c>
      <c r="K1254" s="19" t="n">
        <v>10</v>
      </c>
      <c r="L1254" s="17" t="s">
        <v>22</v>
      </c>
    </row>
    <row r="1255" s="11" customFormat="true" ht="10.95" hidden="false" customHeight="true" outlineLevel="0" collapsed="false">
      <c r="A1255" s="16" t="n">
        <v>45408</v>
      </c>
      <c r="B1255" s="17" t="s">
        <v>17</v>
      </c>
      <c r="C1255" s="17" t="s">
        <v>18</v>
      </c>
      <c r="D1255" s="17" t="s">
        <v>19</v>
      </c>
      <c r="E1255" s="17" t="s">
        <v>133</v>
      </c>
      <c r="F1255" s="17" t="s">
        <v>644</v>
      </c>
      <c r="G1255" s="18" t="n">
        <v>0</v>
      </c>
      <c r="H1255" s="18" t="n">
        <v>83</v>
      </c>
      <c r="I1255" s="18" t="n">
        <f aca="false">((I1254 + G1255) - H1255)</f>
        <v>-720408.27</v>
      </c>
      <c r="J1255" s="18" t="n">
        <v>-8.3</v>
      </c>
      <c r="K1255" s="19" t="n">
        <v>10</v>
      </c>
      <c r="L1255" s="17" t="s">
        <v>22</v>
      </c>
    </row>
    <row r="1256" s="11" customFormat="true" ht="10.95" hidden="false" customHeight="true" outlineLevel="0" collapsed="false">
      <c r="A1256" s="16" t="n">
        <v>45408</v>
      </c>
      <c r="B1256" s="17" t="s">
        <v>17</v>
      </c>
      <c r="C1256" s="17" t="s">
        <v>18</v>
      </c>
      <c r="D1256" s="17" t="s">
        <v>19</v>
      </c>
      <c r="E1256" s="17" t="s">
        <v>134</v>
      </c>
      <c r="F1256" s="17" t="s">
        <v>644</v>
      </c>
      <c r="G1256" s="18" t="n">
        <v>0</v>
      </c>
      <c r="H1256" s="18" t="n">
        <v>100</v>
      </c>
      <c r="I1256" s="18" t="n">
        <f aca="false">((I1255 + G1256) - H1256)</f>
        <v>-720508.27</v>
      </c>
      <c r="J1256" s="18" t="n">
        <v>-10</v>
      </c>
      <c r="K1256" s="19" t="n">
        <v>10</v>
      </c>
      <c r="L1256" s="17" t="s">
        <v>22</v>
      </c>
    </row>
    <row r="1257" s="11" customFormat="true" ht="10.95" hidden="false" customHeight="true" outlineLevel="0" collapsed="false">
      <c r="A1257" s="16" t="n">
        <v>45408</v>
      </c>
      <c r="B1257" s="17" t="s">
        <v>17</v>
      </c>
      <c r="C1257" s="17" t="s">
        <v>18</v>
      </c>
      <c r="D1257" s="17" t="s">
        <v>19</v>
      </c>
      <c r="E1257" s="17" t="s">
        <v>136</v>
      </c>
      <c r="F1257" s="17" t="s">
        <v>644</v>
      </c>
      <c r="G1257" s="18" t="n">
        <v>0</v>
      </c>
      <c r="H1257" s="18" t="n">
        <v>249</v>
      </c>
      <c r="I1257" s="18" t="n">
        <f aca="false">((I1256 + G1257) - H1257)</f>
        <v>-720757.27</v>
      </c>
      <c r="J1257" s="18" t="n">
        <v>-24.9</v>
      </c>
      <c r="K1257" s="19" t="n">
        <v>10</v>
      </c>
      <c r="L1257" s="17" t="s">
        <v>22</v>
      </c>
    </row>
    <row r="1258" s="11" customFormat="true" ht="10.95" hidden="false" customHeight="true" outlineLevel="0" collapsed="false">
      <c r="A1258" s="16" t="n">
        <v>45408</v>
      </c>
      <c r="B1258" s="17" t="s">
        <v>17</v>
      </c>
      <c r="C1258" s="17" t="s">
        <v>18</v>
      </c>
      <c r="D1258" s="17" t="s">
        <v>19</v>
      </c>
      <c r="E1258" s="17" t="s">
        <v>137</v>
      </c>
      <c r="F1258" s="17" t="s">
        <v>644</v>
      </c>
      <c r="G1258" s="18" t="n">
        <v>0</v>
      </c>
      <c r="H1258" s="18" t="n">
        <v>498</v>
      </c>
      <c r="I1258" s="18" t="n">
        <f aca="false">((I1257 + G1258) - H1258)</f>
        <v>-721255.27</v>
      </c>
      <c r="J1258" s="18" t="n">
        <v>-49.8</v>
      </c>
      <c r="K1258" s="19" t="n">
        <v>10</v>
      </c>
      <c r="L1258" s="17" t="s">
        <v>22</v>
      </c>
    </row>
    <row r="1259" s="11" customFormat="true" ht="10.95" hidden="false" customHeight="true" outlineLevel="0" collapsed="false">
      <c r="A1259" s="16" t="n">
        <v>45408</v>
      </c>
      <c r="B1259" s="17" t="s">
        <v>17</v>
      </c>
      <c r="C1259" s="17" t="s">
        <v>18</v>
      </c>
      <c r="D1259" s="17" t="s">
        <v>19</v>
      </c>
      <c r="E1259" s="17" t="s">
        <v>532</v>
      </c>
      <c r="F1259" s="17" t="s">
        <v>644</v>
      </c>
      <c r="G1259" s="18" t="n">
        <v>0</v>
      </c>
      <c r="H1259" s="18" t="n">
        <v>99</v>
      </c>
      <c r="I1259" s="18" t="n">
        <f aca="false">((I1258 + G1259) - H1259)</f>
        <v>-721354.27</v>
      </c>
      <c r="J1259" s="18" t="n">
        <v>-9.9</v>
      </c>
      <c r="K1259" s="19" t="n">
        <v>10</v>
      </c>
      <c r="L1259" s="17" t="s">
        <v>22</v>
      </c>
    </row>
    <row r="1260" s="11" customFormat="true" ht="10.95" hidden="false" customHeight="true" outlineLevel="0" collapsed="false">
      <c r="A1260" s="16" t="n">
        <v>45408</v>
      </c>
      <c r="B1260" s="17" t="s">
        <v>17</v>
      </c>
      <c r="C1260" s="17" t="s">
        <v>18</v>
      </c>
      <c r="D1260" s="17" t="s">
        <v>19</v>
      </c>
      <c r="E1260" s="17" t="s">
        <v>138</v>
      </c>
      <c r="F1260" s="17" t="s">
        <v>644</v>
      </c>
      <c r="G1260" s="18" t="n">
        <v>0</v>
      </c>
      <c r="H1260" s="18" t="n">
        <v>166</v>
      </c>
      <c r="I1260" s="18" t="n">
        <f aca="false">((I1259 + G1260) - H1260)</f>
        <v>-721520.27</v>
      </c>
      <c r="J1260" s="18" t="n">
        <v>-16.6</v>
      </c>
      <c r="K1260" s="19" t="n">
        <v>10</v>
      </c>
      <c r="L1260" s="17" t="s">
        <v>22</v>
      </c>
    </row>
    <row r="1261" s="11" customFormat="true" ht="10.95" hidden="false" customHeight="true" outlineLevel="0" collapsed="false">
      <c r="A1261" s="16" t="n">
        <v>45408</v>
      </c>
      <c r="B1261" s="17" t="s">
        <v>17</v>
      </c>
      <c r="C1261" s="17" t="s">
        <v>18</v>
      </c>
      <c r="D1261" s="17" t="s">
        <v>19</v>
      </c>
      <c r="E1261" s="17" t="s">
        <v>139</v>
      </c>
      <c r="F1261" s="17" t="s">
        <v>644</v>
      </c>
      <c r="G1261" s="18" t="n">
        <v>0</v>
      </c>
      <c r="H1261" s="18" t="n">
        <v>332</v>
      </c>
      <c r="I1261" s="18" t="n">
        <f aca="false">((I1260 + G1261) - H1261)</f>
        <v>-721852.27</v>
      </c>
      <c r="J1261" s="18" t="n">
        <v>-33.2</v>
      </c>
      <c r="K1261" s="19" t="n">
        <v>10</v>
      </c>
      <c r="L1261" s="17" t="s">
        <v>22</v>
      </c>
    </row>
    <row r="1262" s="11" customFormat="true" ht="10.95" hidden="false" customHeight="true" outlineLevel="0" collapsed="false">
      <c r="A1262" s="16" t="n">
        <v>45408</v>
      </c>
      <c r="B1262" s="17" t="s">
        <v>17</v>
      </c>
      <c r="C1262" s="17" t="s">
        <v>18</v>
      </c>
      <c r="D1262" s="17" t="s">
        <v>19</v>
      </c>
      <c r="E1262" s="17" t="s">
        <v>427</v>
      </c>
      <c r="F1262" s="17" t="s">
        <v>644</v>
      </c>
      <c r="G1262" s="18" t="n">
        <v>0</v>
      </c>
      <c r="H1262" s="18" t="n">
        <v>94.5</v>
      </c>
      <c r="I1262" s="18" t="n">
        <f aca="false">((I1261 + G1262) - H1262)</f>
        <v>-721946.77</v>
      </c>
      <c r="J1262" s="18" t="n">
        <v>-9.45</v>
      </c>
      <c r="K1262" s="19" t="n">
        <v>10</v>
      </c>
      <c r="L1262" s="17" t="s">
        <v>22</v>
      </c>
    </row>
    <row r="1263" s="11" customFormat="true" ht="10.95" hidden="false" customHeight="true" outlineLevel="0" collapsed="false">
      <c r="A1263" s="16" t="n">
        <v>45408</v>
      </c>
      <c r="B1263" s="17" t="s">
        <v>17</v>
      </c>
      <c r="C1263" s="17" t="s">
        <v>18</v>
      </c>
      <c r="D1263" s="17" t="s">
        <v>19</v>
      </c>
      <c r="E1263" s="17" t="s">
        <v>140</v>
      </c>
      <c r="F1263" s="17" t="s">
        <v>644</v>
      </c>
      <c r="G1263" s="18" t="n">
        <v>0</v>
      </c>
      <c r="H1263" s="18" t="n">
        <v>166</v>
      </c>
      <c r="I1263" s="18" t="n">
        <f aca="false">((I1262 + G1263) - H1263)</f>
        <v>-722112.77</v>
      </c>
      <c r="J1263" s="18" t="n">
        <v>-16.6</v>
      </c>
      <c r="K1263" s="19" t="n">
        <v>10</v>
      </c>
      <c r="L1263" s="17" t="s">
        <v>22</v>
      </c>
    </row>
    <row r="1264" s="11" customFormat="true" ht="10.95" hidden="false" customHeight="true" outlineLevel="0" collapsed="false">
      <c r="A1264" s="16" t="n">
        <v>45408</v>
      </c>
      <c r="B1264" s="17" t="s">
        <v>17</v>
      </c>
      <c r="C1264" s="17" t="s">
        <v>18</v>
      </c>
      <c r="D1264" s="17" t="s">
        <v>19</v>
      </c>
      <c r="E1264" s="17" t="s">
        <v>141</v>
      </c>
      <c r="F1264" s="17" t="s">
        <v>644</v>
      </c>
      <c r="G1264" s="18" t="n">
        <v>0</v>
      </c>
      <c r="H1264" s="18" t="n">
        <v>249</v>
      </c>
      <c r="I1264" s="18" t="n">
        <f aca="false">((I1263 + G1264) - H1264)</f>
        <v>-722361.77</v>
      </c>
      <c r="J1264" s="18" t="n">
        <v>-24.9</v>
      </c>
      <c r="K1264" s="19" t="n">
        <v>10</v>
      </c>
      <c r="L1264" s="17" t="s">
        <v>22</v>
      </c>
    </row>
    <row r="1265" s="11" customFormat="true" ht="10.95" hidden="false" customHeight="true" outlineLevel="0" collapsed="false">
      <c r="A1265" s="16" t="n">
        <v>45408</v>
      </c>
      <c r="B1265" s="17" t="s">
        <v>17</v>
      </c>
      <c r="C1265" s="17" t="s">
        <v>18</v>
      </c>
      <c r="D1265" s="17" t="s">
        <v>19</v>
      </c>
      <c r="E1265" s="17" t="s">
        <v>142</v>
      </c>
      <c r="F1265" s="17" t="s">
        <v>644</v>
      </c>
      <c r="G1265" s="18" t="n">
        <v>0</v>
      </c>
      <c r="H1265" s="18" t="n">
        <v>249</v>
      </c>
      <c r="I1265" s="18" t="n">
        <f aca="false">((I1264 + G1265) - H1265)</f>
        <v>-722610.77</v>
      </c>
      <c r="J1265" s="18" t="n">
        <v>-24.9</v>
      </c>
      <c r="K1265" s="19" t="n">
        <v>10</v>
      </c>
      <c r="L1265" s="17" t="s">
        <v>22</v>
      </c>
    </row>
    <row r="1266" s="11" customFormat="true" ht="10.95" hidden="false" customHeight="true" outlineLevel="0" collapsed="false">
      <c r="A1266" s="16" t="n">
        <v>45408</v>
      </c>
      <c r="B1266" s="17" t="s">
        <v>17</v>
      </c>
      <c r="C1266" s="17" t="s">
        <v>18</v>
      </c>
      <c r="D1266" s="17" t="s">
        <v>19</v>
      </c>
      <c r="E1266" s="17" t="s">
        <v>143</v>
      </c>
      <c r="F1266" s="17" t="s">
        <v>644</v>
      </c>
      <c r="G1266" s="18" t="n">
        <v>0</v>
      </c>
      <c r="H1266" s="18" t="n">
        <v>94.5</v>
      </c>
      <c r="I1266" s="18" t="n">
        <f aca="false">((I1265 + G1266) - H1266)</f>
        <v>-722705.27</v>
      </c>
      <c r="J1266" s="18" t="n">
        <v>-9.45</v>
      </c>
      <c r="K1266" s="19" t="n">
        <v>10</v>
      </c>
      <c r="L1266" s="17" t="s">
        <v>22</v>
      </c>
    </row>
    <row r="1267" s="11" customFormat="true" ht="10.95" hidden="false" customHeight="true" outlineLevel="0" collapsed="false">
      <c r="A1267" s="16" t="n">
        <v>45408</v>
      </c>
      <c r="B1267" s="17" t="s">
        <v>17</v>
      </c>
      <c r="C1267" s="17" t="s">
        <v>18</v>
      </c>
      <c r="D1267" s="17" t="s">
        <v>19</v>
      </c>
      <c r="E1267" s="17" t="s">
        <v>144</v>
      </c>
      <c r="F1267" s="17" t="s">
        <v>644</v>
      </c>
      <c r="G1267" s="18" t="n">
        <v>0</v>
      </c>
      <c r="H1267" s="18" t="n">
        <v>1909</v>
      </c>
      <c r="I1267" s="18" t="n">
        <f aca="false">((I1266 + G1267) - H1267)</f>
        <v>-724614.27</v>
      </c>
      <c r="J1267" s="18" t="n">
        <v>-190.9</v>
      </c>
      <c r="K1267" s="19" t="n">
        <v>10</v>
      </c>
      <c r="L1267" s="17" t="s">
        <v>22</v>
      </c>
    </row>
    <row r="1268" s="11" customFormat="true" ht="10.95" hidden="false" customHeight="true" outlineLevel="0" collapsed="false">
      <c r="A1268" s="16" t="n">
        <v>45408</v>
      </c>
      <c r="B1268" s="17" t="s">
        <v>17</v>
      </c>
      <c r="C1268" s="17" t="s">
        <v>18</v>
      </c>
      <c r="D1268" s="17" t="s">
        <v>19</v>
      </c>
      <c r="E1268" s="17" t="s">
        <v>147</v>
      </c>
      <c r="F1268" s="17" t="s">
        <v>644</v>
      </c>
      <c r="G1268" s="18" t="n">
        <v>0</v>
      </c>
      <c r="H1268" s="18" t="n">
        <v>83</v>
      </c>
      <c r="I1268" s="18" t="n">
        <f aca="false">((I1267 + G1268) - H1268)</f>
        <v>-724697.27</v>
      </c>
      <c r="J1268" s="18" t="n">
        <v>-8.3</v>
      </c>
      <c r="K1268" s="19" t="n">
        <v>10</v>
      </c>
      <c r="L1268" s="17" t="s">
        <v>22</v>
      </c>
    </row>
    <row r="1269" s="11" customFormat="true" ht="10.95" hidden="false" customHeight="true" outlineLevel="0" collapsed="false">
      <c r="A1269" s="16" t="n">
        <v>45408</v>
      </c>
      <c r="B1269" s="17" t="s">
        <v>17</v>
      </c>
      <c r="C1269" s="17" t="s">
        <v>18</v>
      </c>
      <c r="D1269" s="17" t="s">
        <v>19</v>
      </c>
      <c r="E1269" s="17" t="s">
        <v>148</v>
      </c>
      <c r="F1269" s="17" t="s">
        <v>644</v>
      </c>
      <c r="G1269" s="18" t="n">
        <v>0</v>
      </c>
      <c r="H1269" s="18" t="n">
        <v>1162</v>
      </c>
      <c r="I1269" s="18" t="n">
        <f aca="false">((I1268 + G1269) - H1269)</f>
        <v>-725859.27</v>
      </c>
      <c r="J1269" s="18" t="n">
        <v>-116.2</v>
      </c>
      <c r="K1269" s="19" t="n">
        <v>10</v>
      </c>
      <c r="L1269" s="17" t="s">
        <v>22</v>
      </c>
    </row>
    <row r="1270" s="11" customFormat="true" ht="10.95" hidden="false" customHeight="true" outlineLevel="0" collapsed="false">
      <c r="A1270" s="16" t="n">
        <v>45408</v>
      </c>
      <c r="B1270" s="17" t="s">
        <v>17</v>
      </c>
      <c r="C1270" s="17" t="s">
        <v>18</v>
      </c>
      <c r="D1270" s="17" t="s">
        <v>19</v>
      </c>
      <c r="E1270" s="17" t="s">
        <v>149</v>
      </c>
      <c r="F1270" s="17" t="s">
        <v>644</v>
      </c>
      <c r="G1270" s="18" t="n">
        <v>0</v>
      </c>
      <c r="H1270" s="18" t="n">
        <v>360</v>
      </c>
      <c r="I1270" s="18" t="n">
        <f aca="false">((I1269 + G1270) - H1270)</f>
        <v>-726219.27</v>
      </c>
      <c r="J1270" s="18" t="n">
        <v>-36</v>
      </c>
      <c r="K1270" s="19" t="n">
        <v>10</v>
      </c>
      <c r="L1270" s="17" t="s">
        <v>22</v>
      </c>
    </row>
    <row r="1271" s="11" customFormat="true" ht="10.95" hidden="false" customHeight="true" outlineLevel="0" collapsed="false">
      <c r="A1271" s="16" t="n">
        <v>45408</v>
      </c>
      <c r="B1271" s="17" t="s">
        <v>17</v>
      </c>
      <c r="C1271" s="17" t="s">
        <v>18</v>
      </c>
      <c r="D1271" s="17" t="s">
        <v>19</v>
      </c>
      <c r="E1271" s="17" t="s">
        <v>150</v>
      </c>
      <c r="F1271" s="17" t="s">
        <v>644</v>
      </c>
      <c r="G1271" s="18" t="n">
        <v>0</v>
      </c>
      <c r="H1271" s="18" t="n">
        <v>144</v>
      </c>
      <c r="I1271" s="18" t="n">
        <f aca="false">((I1270 + G1271) - H1271)</f>
        <v>-726363.27</v>
      </c>
      <c r="J1271" s="18" t="n">
        <v>-14.4</v>
      </c>
      <c r="K1271" s="19" t="n">
        <v>10</v>
      </c>
      <c r="L1271" s="17" t="s">
        <v>22</v>
      </c>
    </row>
    <row r="1272" s="11" customFormat="true" ht="10.95" hidden="false" customHeight="true" outlineLevel="0" collapsed="false">
      <c r="A1272" s="16" t="n">
        <v>45408</v>
      </c>
      <c r="B1272" s="17" t="s">
        <v>17</v>
      </c>
      <c r="C1272" s="17" t="s">
        <v>18</v>
      </c>
      <c r="D1272" s="17" t="s">
        <v>19</v>
      </c>
      <c r="E1272" s="17" t="s">
        <v>151</v>
      </c>
      <c r="F1272" s="17" t="s">
        <v>644</v>
      </c>
      <c r="G1272" s="18" t="n">
        <v>0</v>
      </c>
      <c r="H1272" s="18" t="n">
        <v>100</v>
      </c>
      <c r="I1272" s="18" t="n">
        <f aca="false">((I1271 + G1272) - H1272)</f>
        <v>-726463.27</v>
      </c>
      <c r="J1272" s="18" t="n">
        <v>-10</v>
      </c>
      <c r="K1272" s="19" t="n">
        <v>10</v>
      </c>
      <c r="L1272" s="17" t="s">
        <v>22</v>
      </c>
    </row>
    <row r="1273" s="11" customFormat="true" ht="10.95" hidden="false" customHeight="true" outlineLevel="0" collapsed="false">
      <c r="A1273" s="16" t="n">
        <v>45408</v>
      </c>
      <c r="B1273" s="17" t="s">
        <v>17</v>
      </c>
      <c r="C1273" s="17" t="s">
        <v>18</v>
      </c>
      <c r="D1273" s="17" t="s">
        <v>19</v>
      </c>
      <c r="E1273" s="17" t="s">
        <v>152</v>
      </c>
      <c r="F1273" s="17" t="s">
        <v>644</v>
      </c>
      <c r="G1273" s="18" t="n">
        <v>0</v>
      </c>
      <c r="H1273" s="18" t="n">
        <v>1079</v>
      </c>
      <c r="I1273" s="18" t="n">
        <f aca="false">((I1272 + G1273) - H1273)</f>
        <v>-727542.27</v>
      </c>
      <c r="J1273" s="18" t="n">
        <v>-107.9</v>
      </c>
      <c r="K1273" s="19" t="n">
        <v>10</v>
      </c>
      <c r="L1273" s="17" t="s">
        <v>22</v>
      </c>
    </row>
    <row r="1274" s="11" customFormat="true" ht="10.95" hidden="false" customHeight="true" outlineLevel="0" collapsed="false">
      <c r="A1274" s="16" t="n">
        <v>45408</v>
      </c>
      <c r="B1274" s="17" t="s">
        <v>17</v>
      </c>
      <c r="C1274" s="17" t="s">
        <v>18</v>
      </c>
      <c r="D1274" s="17" t="s">
        <v>19</v>
      </c>
      <c r="E1274" s="17" t="s">
        <v>153</v>
      </c>
      <c r="F1274" s="17" t="s">
        <v>644</v>
      </c>
      <c r="G1274" s="18" t="n">
        <v>0</v>
      </c>
      <c r="H1274" s="18" t="n">
        <v>283.5</v>
      </c>
      <c r="I1274" s="18" t="n">
        <f aca="false">((I1273 + G1274) - H1274)</f>
        <v>-727825.77</v>
      </c>
      <c r="J1274" s="18" t="n">
        <v>-28.35</v>
      </c>
      <c r="K1274" s="19" t="n">
        <v>10</v>
      </c>
      <c r="L1274" s="17" t="s">
        <v>22</v>
      </c>
    </row>
    <row r="1275" s="11" customFormat="true" ht="10.95" hidden="false" customHeight="true" outlineLevel="0" collapsed="false">
      <c r="A1275" s="16" t="n">
        <v>45408</v>
      </c>
      <c r="B1275" s="17" t="s">
        <v>17</v>
      </c>
      <c r="C1275" s="17" t="s">
        <v>18</v>
      </c>
      <c r="D1275" s="17" t="s">
        <v>19</v>
      </c>
      <c r="E1275" s="17" t="s">
        <v>154</v>
      </c>
      <c r="F1275" s="17" t="s">
        <v>644</v>
      </c>
      <c r="G1275" s="18" t="n">
        <v>0</v>
      </c>
      <c r="H1275" s="18" t="n">
        <v>165</v>
      </c>
      <c r="I1275" s="18" t="n">
        <f aca="false">((I1274 + G1275) - H1275)</f>
        <v>-727990.77</v>
      </c>
      <c r="J1275" s="18" t="n">
        <v>-16.5</v>
      </c>
      <c r="K1275" s="19" t="n">
        <v>10</v>
      </c>
      <c r="L1275" s="17" t="s">
        <v>22</v>
      </c>
    </row>
    <row r="1276" s="11" customFormat="true" ht="10.95" hidden="false" customHeight="true" outlineLevel="0" collapsed="false">
      <c r="A1276" s="16" t="n">
        <v>45408</v>
      </c>
      <c r="B1276" s="17" t="s">
        <v>17</v>
      </c>
      <c r="C1276" s="17" t="s">
        <v>18</v>
      </c>
      <c r="D1276" s="17" t="s">
        <v>19</v>
      </c>
      <c r="E1276" s="17" t="s">
        <v>155</v>
      </c>
      <c r="F1276" s="17" t="s">
        <v>644</v>
      </c>
      <c r="G1276" s="18" t="n">
        <v>0</v>
      </c>
      <c r="H1276" s="18" t="n">
        <v>432</v>
      </c>
      <c r="I1276" s="18" t="n">
        <f aca="false">((I1275 + G1276) - H1276)</f>
        <v>-728422.77</v>
      </c>
      <c r="J1276" s="18" t="n">
        <v>-43.2</v>
      </c>
      <c r="K1276" s="19" t="n">
        <v>10</v>
      </c>
      <c r="L1276" s="17" t="s">
        <v>22</v>
      </c>
    </row>
    <row r="1277" s="11" customFormat="true" ht="10.95" hidden="false" customHeight="true" outlineLevel="0" collapsed="false">
      <c r="A1277" s="16" t="n">
        <v>45408</v>
      </c>
      <c r="B1277" s="17" t="s">
        <v>17</v>
      </c>
      <c r="C1277" s="17" t="s">
        <v>18</v>
      </c>
      <c r="D1277" s="17" t="s">
        <v>19</v>
      </c>
      <c r="E1277" s="17" t="s">
        <v>156</v>
      </c>
      <c r="F1277" s="17" t="s">
        <v>644</v>
      </c>
      <c r="G1277" s="18" t="n">
        <v>0</v>
      </c>
      <c r="H1277" s="18" t="n">
        <v>1323</v>
      </c>
      <c r="I1277" s="18" t="n">
        <f aca="false">((I1276 + G1277) - H1277)</f>
        <v>-729745.77</v>
      </c>
      <c r="J1277" s="18" t="n">
        <v>-132.3</v>
      </c>
      <c r="K1277" s="19" t="n">
        <v>10</v>
      </c>
      <c r="L1277" s="17" t="s">
        <v>22</v>
      </c>
    </row>
    <row r="1278" s="11" customFormat="true" ht="10.95" hidden="false" customHeight="true" outlineLevel="0" collapsed="false">
      <c r="A1278" s="16" t="n">
        <v>45408</v>
      </c>
      <c r="B1278" s="17" t="s">
        <v>17</v>
      </c>
      <c r="C1278" s="17" t="s">
        <v>18</v>
      </c>
      <c r="D1278" s="17" t="s">
        <v>19</v>
      </c>
      <c r="E1278" s="17" t="s">
        <v>223</v>
      </c>
      <c r="F1278" s="17" t="s">
        <v>644</v>
      </c>
      <c r="G1278" s="18" t="n">
        <v>0</v>
      </c>
      <c r="H1278" s="18" t="n">
        <v>34.65</v>
      </c>
      <c r="I1278" s="18" t="n">
        <f aca="false">((I1277 + G1278) - H1278)</f>
        <v>-729780.42</v>
      </c>
      <c r="J1278" s="18" t="n">
        <v>-3.47</v>
      </c>
      <c r="K1278" s="19" t="n">
        <v>10</v>
      </c>
      <c r="L1278" s="17" t="s">
        <v>22</v>
      </c>
    </row>
    <row r="1279" s="11" customFormat="true" ht="10.95" hidden="false" customHeight="true" outlineLevel="0" collapsed="false">
      <c r="A1279" s="16" t="n">
        <v>45408</v>
      </c>
      <c r="B1279" s="17" t="s">
        <v>17</v>
      </c>
      <c r="C1279" s="17" t="s">
        <v>18</v>
      </c>
      <c r="D1279" s="17" t="s">
        <v>19</v>
      </c>
      <c r="E1279" s="17" t="s">
        <v>157</v>
      </c>
      <c r="F1279" s="17" t="s">
        <v>644</v>
      </c>
      <c r="G1279" s="18" t="n">
        <v>0</v>
      </c>
      <c r="H1279" s="18" t="n">
        <v>661.5</v>
      </c>
      <c r="I1279" s="18" t="n">
        <f aca="false">((I1278 + G1279) - H1279)</f>
        <v>-730441.92</v>
      </c>
      <c r="J1279" s="18" t="n">
        <v>-66.15</v>
      </c>
      <c r="K1279" s="19" t="n">
        <v>10</v>
      </c>
      <c r="L1279" s="17" t="s">
        <v>22</v>
      </c>
    </row>
    <row r="1280" s="11" customFormat="true" ht="10.95" hidden="false" customHeight="true" outlineLevel="0" collapsed="false">
      <c r="A1280" s="16" t="n">
        <v>45408</v>
      </c>
      <c r="B1280" s="17" t="s">
        <v>17</v>
      </c>
      <c r="C1280" s="17" t="s">
        <v>18</v>
      </c>
      <c r="D1280" s="17" t="s">
        <v>19</v>
      </c>
      <c r="E1280" s="17" t="s">
        <v>158</v>
      </c>
      <c r="F1280" s="17" t="s">
        <v>644</v>
      </c>
      <c r="G1280" s="18" t="n">
        <v>0</v>
      </c>
      <c r="H1280" s="18" t="n">
        <v>94.5</v>
      </c>
      <c r="I1280" s="18" t="n">
        <f aca="false">((I1279 + G1280) - H1280)</f>
        <v>-730536.42</v>
      </c>
      <c r="J1280" s="18" t="n">
        <v>-9.45</v>
      </c>
      <c r="K1280" s="19" t="n">
        <v>10</v>
      </c>
      <c r="L1280" s="17" t="s">
        <v>22</v>
      </c>
    </row>
    <row r="1281" s="11" customFormat="true" ht="10.95" hidden="false" customHeight="true" outlineLevel="0" collapsed="false">
      <c r="A1281" s="16" t="n">
        <v>45408</v>
      </c>
      <c r="B1281" s="17" t="s">
        <v>17</v>
      </c>
      <c r="C1281" s="17" t="s">
        <v>18</v>
      </c>
      <c r="D1281" s="17" t="s">
        <v>19</v>
      </c>
      <c r="E1281" s="17" t="s">
        <v>159</v>
      </c>
      <c r="F1281" s="17" t="s">
        <v>644</v>
      </c>
      <c r="G1281" s="18" t="n">
        <v>0</v>
      </c>
      <c r="H1281" s="18" t="n">
        <v>792</v>
      </c>
      <c r="I1281" s="18" t="n">
        <f aca="false">((I1280 + G1281) - H1281)</f>
        <v>-731328.42</v>
      </c>
      <c r="J1281" s="18" t="n">
        <v>-79.2</v>
      </c>
      <c r="K1281" s="19" t="n">
        <v>10</v>
      </c>
      <c r="L1281" s="17" t="s">
        <v>22</v>
      </c>
    </row>
    <row r="1282" s="11" customFormat="true" ht="10.95" hidden="false" customHeight="true" outlineLevel="0" collapsed="false">
      <c r="A1282" s="16" t="n">
        <v>45408</v>
      </c>
      <c r="B1282" s="17" t="s">
        <v>17</v>
      </c>
      <c r="C1282" s="17" t="s">
        <v>18</v>
      </c>
      <c r="D1282" s="17" t="s">
        <v>19</v>
      </c>
      <c r="E1282" s="17" t="s">
        <v>282</v>
      </c>
      <c r="F1282" s="17" t="s">
        <v>644</v>
      </c>
      <c r="G1282" s="18" t="n">
        <v>0</v>
      </c>
      <c r="H1282" s="18" t="n">
        <v>94.5</v>
      </c>
      <c r="I1282" s="18" t="n">
        <f aca="false">((I1281 + G1282) - H1282)</f>
        <v>-731422.92</v>
      </c>
      <c r="J1282" s="18" t="n">
        <v>-9.45</v>
      </c>
      <c r="K1282" s="19" t="n">
        <v>10</v>
      </c>
      <c r="L1282" s="17" t="s">
        <v>22</v>
      </c>
    </row>
    <row r="1283" s="11" customFormat="true" ht="10.95" hidden="false" customHeight="true" outlineLevel="0" collapsed="false">
      <c r="A1283" s="16" t="n">
        <v>45408</v>
      </c>
      <c r="B1283" s="17" t="s">
        <v>17</v>
      </c>
      <c r="C1283" s="17" t="s">
        <v>18</v>
      </c>
      <c r="D1283" s="17" t="s">
        <v>19</v>
      </c>
      <c r="E1283" s="17" t="s">
        <v>373</v>
      </c>
      <c r="F1283" s="17" t="s">
        <v>644</v>
      </c>
      <c r="G1283" s="18" t="n">
        <v>0</v>
      </c>
      <c r="H1283" s="18" t="n">
        <v>72</v>
      </c>
      <c r="I1283" s="18" t="n">
        <f aca="false">((I1282 + G1283) - H1283)</f>
        <v>-731494.92</v>
      </c>
      <c r="J1283" s="18" t="n">
        <v>-7.2</v>
      </c>
      <c r="K1283" s="19" t="n">
        <v>10</v>
      </c>
      <c r="L1283" s="17" t="s">
        <v>22</v>
      </c>
    </row>
    <row r="1284" s="11" customFormat="true" ht="10.95" hidden="false" customHeight="true" outlineLevel="0" collapsed="false">
      <c r="A1284" s="16" t="n">
        <v>45408</v>
      </c>
      <c r="B1284" s="17" t="s">
        <v>17</v>
      </c>
      <c r="C1284" s="17" t="s">
        <v>18</v>
      </c>
      <c r="D1284" s="17" t="s">
        <v>19</v>
      </c>
      <c r="E1284" s="17" t="s">
        <v>428</v>
      </c>
      <c r="F1284" s="17" t="s">
        <v>644</v>
      </c>
      <c r="G1284" s="18" t="n">
        <v>0</v>
      </c>
      <c r="H1284" s="18" t="n">
        <v>216</v>
      </c>
      <c r="I1284" s="18" t="n">
        <f aca="false">((I1283 + G1284) - H1284)</f>
        <v>-731710.92</v>
      </c>
      <c r="J1284" s="18" t="n">
        <v>-21.6</v>
      </c>
      <c r="K1284" s="19" t="n">
        <v>10</v>
      </c>
      <c r="L1284" s="17" t="s">
        <v>22</v>
      </c>
    </row>
    <row r="1285" s="11" customFormat="true" ht="10.95" hidden="false" customHeight="true" outlineLevel="0" collapsed="false">
      <c r="A1285" s="16" t="n">
        <v>45408</v>
      </c>
      <c r="B1285" s="17" t="s">
        <v>17</v>
      </c>
      <c r="C1285" s="17" t="s">
        <v>18</v>
      </c>
      <c r="D1285" s="17" t="s">
        <v>19</v>
      </c>
      <c r="E1285" s="17" t="s">
        <v>429</v>
      </c>
      <c r="F1285" s="17" t="s">
        <v>644</v>
      </c>
      <c r="G1285" s="18" t="n">
        <v>0</v>
      </c>
      <c r="H1285" s="18" t="n">
        <v>189</v>
      </c>
      <c r="I1285" s="18" t="n">
        <f aca="false">((I1284 + G1285) - H1285)</f>
        <v>-731899.92</v>
      </c>
      <c r="J1285" s="18" t="n">
        <v>-18.9</v>
      </c>
      <c r="K1285" s="19" t="n">
        <v>10</v>
      </c>
      <c r="L1285" s="17" t="s">
        <v>22</v>
      </c>
    </row>
    <row r="1286" s="11" customFormat="true" ht="10.95" hidden="false" customHeight="true" outlineLevel="0" collapsed="false">
      <c r="A1286" s="16" t="n">
        <v>45408</v>
      </c>
      <c r="B1286" s="17" t="s">
        <v>17</v>
      </c>
      <c r="C1286" s="17" t="s">
        <v>18</v>
      </c>
      <c r="D1286" s="17" t="s">
        <v>19</v>
      </c>
      <c r="E1286" s="17" t="s">
        <v>471</v>
      </c>
      <c r="F1286" s="17" t="s">
        <v>644</v>
      </c>
      <c r="G1286" s="18" t="n">
        <v>0</v>
      </c>
      <c r="H1286" s="18" t="n">
        <v>216</v>
      </c>
      <c r="I1286" s="18" t="n">
        <f aca="false">((I1285 + G1286) - H1286)</f>
        <v>-732115.92</v>
      </c>
      <c r="J1286" s="18" t="n">
        <v>-21.6</v>
      </c>
      <c r="K1286" s="19" t="n">
        <v>10</v>
      </c>
      <c r="L1286" s="17" t="s">
        <v>22</v>
      </c>
    </row>
    <row r="1287" s="11" customFormat="true" ht="10.95" hidden="false" customHeight="true" outlineLevel="0" collapsed="false">
      <c r="A1287" s="16" t="n">
        <v>45408</v>
      </c>
      <c r="B1287" s="17" t="s">
        <v>17</v>
      </c>
      <c r="C1287" s="17" t="s">
        <v>18</v>
      </c>
      <c r="D1287" s="17" t="s">
        <v>19</v>
      </c>
      <c r="E1287" s="17" t="s">
        <v>587</v>
      </c>
      <c r="F1287" s="17" t="s">
        <v>644</v>
      </c>
      <c r="G1287" s="18" t="n">
        <v>0</v>
      </c>
      <c r="H1287" s="18" t="n">
        <v>144</v>
      </c>
      <c r="I1287" s="18" t="n">
        <f aca="false">((I1286 + G1287) - H1287)</f>
        <v>-732259.92</v>
      </c>
      <c r="J1287" s="18" t="n">
        <v>-14.4</v>
      </c>
      <c r="K1287" s="19" t="n">
        <v>10</v>
      </c>
      <c r="L1287" s="17" t="s">
        <v>22</v>
      </c>
    </row>
    <row r="1288" s="11" customFormat="true" ht="10.95" hidden="false" customHeight="true" outlineLevel="0" collapsed="false">
      <c r="A1288" s="16" t="n">
        <v>45408</v>
      </c>
      <c r="B1288" s="17" t="s">
        <v>17</v>
      </c>
      <c r="C1288" s="17" t="s">
        <v>18</v>
      </c>
      <c r="D1288" s="17" t="s">
        <v>19</v>
      </c>
      <c r="E1288" s="17" t="s">
        <v>645</v>
      </c>
      <c r="F1288" s="17" t="s">
        <v>644</v>
      </c>
      <c r="G1288" s="18" t="n">
        <v>0</v>
      </c>
      <c r="H1288" s="18" t="n">
        <v>144</v>
      </c>
      <c r="I1288" s="18" t="n">
        <f aca="false">((I1287 + G1288) - H1288)</f>
        <v>-732403.92</v>
      </c>
      <c r="J1288" s="18" t="n">
        <v>-14.4</v>
      </c>
      <c r="K1288" s="19" t="n">
        <v>10</v>
      </c>
      <c r="L1288" s="17" t="s">
        <v>22</v>
      </c>
    </row>
    <row r="1289" s="11" customFormat="true" ht="10.95" hidden="false" customHeight="true" outlineLevel="0" collapsed="false">
      <c r="A1289" s="16" t="n">
        <v>45408</v>
      </c>
      <c r="B1289" s="17" t="s">
        <v>17</v>
      </c>
      <c r="C1289" s="17" t="s">
        <v>18</v>
      </c>
      <c r="D1289" s="17" t="s">
        <v>19</v>
      </c>
      <c r="E1289" s="17" t="s">
        <v>646</v>
      </c>
      <c r="F1289" s="17" t="s">
        <v>644</v>
      </c>
      <c r="G1289" s="18" t="n">
        <v>0</v>
      </c>
      <c r="H1289" s="18" t="n">
        <v>216</v>
      </c>
      <c r="I1289" s="18" t="n">
        <f aca="false">((I1288 + G1289) - H1289)</f>
        <v>-732619.92</v>
      </c>
      <c r="J1289" s="18" t="n">
        <v>-21.6</v>
      </c>
      <c r="K1289" s="19" t="n">
        <v>10</v>
      </c>
      <c r="L1289" s="17" t="s">
        <v>22</v>
      </c>
    </row>
    <row r="1290" s="11" customFormat="true" ht="10.95" hidden="false" customHeight="true" outlineLevel="0" collapsed="false">
      <c r="A1290" s="16" t="n">
        <v>45408</v>
      </c>
      <c r="B1290" s="17" t="s">
        <v>17</v>
      </c>
      <c r="C1290" s="17" t="s">
        <v>18</v>
      </c>
      <c r="D1290" s="17" t="s">
        <v>19</v>
      </c>
      <c r="E1290" s="17" t="s">
        <v>647</v>
      </c>
      <c r="F1290" s="17" t="s">
        <v>644</v>
      </c>
      <c r="G1290" s="18" t="n">
        <v>0</v>
      </c>
      <c r="H1290" s="18" t="n">
        <v>72</v>
      </c>
      <c r="I1290" s="18" t="n">
        <f aca="false">((I1289 + G1290) - H1290)</f>
        <v>-732691.92</v>
      </c>
      <c r="J1290" s="18" t="n">
        <v>-7.2</v>
      </c>
      <c r="K1290" s="19" t="n">
        <v>10</v>
      </c>
      <c r="L1290" s="17" t="s">
        <v>22</v>
      </c>
    </row>
    <row r="1291" s="11" customFormat="true" ht="10.95" hidden="false" customHeight="true" outlineLevel="0" collapsed="false">
      <c r="A1291" s="16" t="n">
        <v>45408</v>
      </c>
      <c r="B1291" s="17" t="s">
        <v>17</v>
      </c>
      <c r="C1291" s="17" t="s">
        <v>18</v>
      </c>
      <c r="D1291" s="17" t="s">
        <v>19</v>
      </c>
      <c r="E1291" s="17" t="s">
        <v>648</v>
      </c>
      <c r="F1291" s="17" t="s">
        <v>644</v>
      </c>
      <c r="G1291" s="18" t="n">
        <v>0</v>
      </c>
      <c r="H1291" s="18" t="n">
        <v>189</v>
      </c>
      <c r="I1291" s="18" t="n">
        <f aca="false">((I1290 + G1291) - H1291)</f>
        <v>-732880.92</v>
      </c>
      <c r="J1291" s="18" t="n">
        <v>-18.9</v>
      </c>
      <c r="K1291" s="19" t="n">
        <v>10</v>
      </c>
      <c r="L1291" s="17" t="s">
        <v>22</v>
      </c>
    </row>
    <row r="1292" s="11" customFormat="true" ht="10.95" hidden="false" customHeight="true" outlineLevel="0" collapsed="false">
      <c r="A1292" s="16" t="n">
        <v>45408</v>
      </c>
      <c r="B1292" s="17" t="s">
        <v>17</v>
      </c>
      <c r="C1292" s="17" t="s">
        <v>18</v>
      </c>
      <c r="D1292" s="17" t="s">
        <v>19</v>
      </c>
      <c r="E1292" s="17" t="s">
        <v>649</v>
      </c>
      <c r="F1292" s="17" t="s">
        <v>644</v>
      </c>
      <c r="G1292" s="18" t="n">
        <v>0</v>
      </c>
      <c r="H1292" s="18" t="n">
        <v>249</v>
      </c>
      <c r="I1292" s="18" t="n">
        <f aca="false">((I1291 + G1292) - H1292)</f>
        <v>-733129.92</v>
      </c>
      <c r="J1292" s="18" t="n">
        <v>-24.9</v>
      </c>
      <c r="K1292" s="19" t="n">
        <v>10</v>
      </c>
      <c r="L1292" s="17" t="s">
        <v>22</v>
      </c>
    </row>
    <row r="1293" s="11" customFormat="true" ht="10.95" hidden="false" customHeight="true" outlineLevel="0" collapsed="false">
      <c r="A1293" s="16" t="n">
        <v>45408</v>
      </c>
      <c r="B1293" s="17" t="s">
        <v>17</v>
      </c>
      <c r="C1293" s="17" t="s">
        <v>18</v>
      </c>
      <c r="D1293" s="17" t="s">
        <v>19</v>
      </c>
      <c r="E1293" s="17" t="s">
        <v>650</v>
      </c>
      <c r="F1293" s="17" t="s">
        <v>644</v>
      </c>
      <c r="G1293" s="18" t="n">
        <v>0</v>
      </c>
      <c r="H1293" s="18" t="n">
        <v>216</v>
      </c>
      <c r="I1293" s="18" t="n">
        <f aca="false">((I1292 + G1293) - H1293)</f>
        <v>-733345.92</v>
      </c>
      <c r="J1293" s="18" t="n">
        <v>-21.6</v>
      </c>
      <c r="K1293" s="19" t="n">
        <v>10</v>
      </c>
      <c r="L1293" s="17" t="s">
        <v>22</v>
      </c>
    </row>
    <row r="1294" s="11" customFormat="true" ht="10.95" hidden="false" customHeight="true" outlineLevel="0" collapsed="false">
      <c r="A1294" s="16" t="n">
        <v>45408</v>
      </c>
      <c r="B1294" s="17" t="s">
        <v>17</v>
      </c>
      <c r="C1294" s="17" t="s">
        <v>18</v>
      </c>
      <c r="D1294" s="17" t="s">
        <v>19</v>
      </c>
      <c r="E1294" s="17" t="s">
        <v>651</v>
      </c>
      <c r="F1294" s="17" t="s">
        <v>644</v>
      </c>
      <c r="G1294" s="18" t="n">
        <v>0</v>
      </c>
      <c r="H1294" s="18" t="n">
        <v>144</v>
      </c>
      <c r="I1294" s="18" t="n">
        <f aca="false">((I1293 + G1294) - H1294)</f>
        <v>-733489.92</v>
      </c>
      <c r="J1294" s="18" t="n">
        <v>-14.4</v>
      </c>
      <c r="K1294" s="19" t="n">
        <v>10</v>
      </c>
      <c r="L1294" s="17" t="s">
        <v>22</v>
      </c>
    </row>
    <row r="1295" s="11" customFormat="true" ht="10.95" hidden="false" customHeight="true" outlineLevel="0" collapsed="false">
      <c r="A1295" s="16" t="n">
        <v>45408</v>
      </c>
      <c r="B1295" s="17" t="s">
        <v>17</v>
      </c>
      <c r="C1295" s="17" t="s">
        <v>18</v>
      </c>
      <c r="D1295" s="17" t="s">
        <v>19</v>
      </c>
      <c r="E1295" s="17" t="s">
        <v>652</v>
      </c>
      <c r="F1295" s="17" t="s">
        <v>644</v>
      </c>
      <c r="G1295" s="18" t="n">
        <v>0</v>
      </c>
      <c r="H1295" s="18" t="n">
        <v>432</v>
      </c>
      <c r="I1295" s="18" t="n">
        <f aca="false">((I1294 + G1295) - H1295)</f>
        <v>-733921.92</v>
      </c>
      <c r="J1295" s="18" t="n">
        <v>-43.2</v>
      </c>
      <c r="K1295" s="19" t="n">
        <v>10</v>
      </c>
      <c r="L1295" s="17" t="s">
        <v>22</v>
      </c>
    </row>
    <row r="1296" s="11" customFormat="true" ht="10.95" hidden="false" customHeight="true" outlineLevel="0" collapsed="false">
      <c r="A1296" s="16" t="n">
        <v>45408</v>
      </c>
      <c r="B1296" s="17" t="s">
        <v>17</v>
      </c>
      <c r="C1296" s="17" t="s">
        <v>18</v>
      </c>
      <c r="D1296" s="17" t="s">
        <v>19</v>
      </c>
      <c r="E1296" s="17" t="s">
        <v>653</v>
      </c>
      <c r="F1296" s="17" t="s">
        <v>644</v>
      </c>
      <c r="G1296" s="18" t="n">
        <v>0</v>
      </c>
      <c r="H1296" s="18" t="n">
        <v>144</v>
      </c>
      <c r="I1296" s="18" t="n">
        <f aca="false">((I1295 + G1296) - H1296)</f>
        <v>-734065.92</v>
      </c>
      <c r="J1296" s="18" t="n">
        <v>-14.4</v>
      </c>
      <c r="K1296" s="19" t="n">
        <v>10</v>
      </c>
      <c r="L1296" s="17" t="s">
        <v>22</v>
      </c>
    </row>
    <row r="1297" s="11" customFormat="true" ht="10.95" hidden="false" customHeight="true" outlineLevel="0" collapsed="false">
      <c r="A1297" s="16" t="n">
        <v>45408</v>
      </c>
      <c r="B1297" s="17" t="s">
        <v>17</v>
      </c>
      <c r="C1297" s="17" t="s">
        <v>18</v>
      </c>
      <c r="D1297" s="17" t="s">
        <v>19</v>
      </c>
      <c r="E1297" s="17" t="s">
        <v>654</v>
      </c>
      <c r="F1297" s="17" t="s">
        <v>644</v>
      </c>
      <c r="G1297" s="18" t="n">
        <v>0</v>
      </c>
      <c r="H1297" s="18" t="n">
        <v>378</v>
      </c>
      <c r="I1297" s="18" t="n">
        <f aca="false">((I1296 + G1297) - H1297)</f>
        <v>-734443.92</v>
      </c>
      <c r="J1297" s="18" t="n">
        <v>-37.8</v>
      </c>
      <c r="K1297" s="19" t="n">
        <v>10</v>
      </c>
      <c r="L1297" s="17" t="s">
        <v>22</v>
      </c>
    </row>
    <row r="1298" s="11" customFormat="true" ht="10.95" hidden="false" customHeight="true" outlineLevel="0" collapsed="false">
      <c r="A1298" s="16" t="n">
        <v>45411</v>
      </c>
      <c r="B1298" s="17" t="s">
        <v>17</v>
      </c>
      <c r="C1298" s="17" t="s">
        <v>18</v>
      </c>
      <c r="D1298" s="17" t="s">
        <v>19</v>
      </c>
      <c r="E1298" s="17" t="s">
        <v>655</v>
      </c>
      <c r="F1298" s="17" t="s">
        <v>656</v>
      </c>
      <c r="G1298" s="18" t="n">
        <v>0</v>
      </c>
      <c r="H1298" s="18" t="n">
        <v>1760</v>
      </c>
      <c r="I1298" s="18" t="n">
        <f aca="false">((I1297 + G1298) - H1298)</f>
        <v>-736203.92</v>
      </c>
      <c r="J1298" s="18" t="n">
        <v>-176</v>
      </c>
      <c r="K1298" s="19" t="n">
        <v>10</v>
      </c>
      <c r="L1298" s="17" t="s">
        <v>22</v>
      </c>
    </row>
    <row r="1299" s="11" customFormat="true" ht="10.95" hidden="false" customHeight="true" outlineLevel="0" collapsed="false">
      <c r="A1299" s="16" t="n">
        <v>45411</v>
      </c>
      <c r="B1299" s="17" t="s">
        <v>17</v>
      </c>
      <c r="C1299" s="17" t="s">
        <v>18</v>
      </c>
      <c r="D1299" s="17" t="s">
        <v>19</v>
      </c>
      <c r="E1299" s="17" t="s">
        <v>286</v>
      </c>
      <c r="F1299" s="17" t="s">
        <v>656</v>
      </c>
      <c r="G1299" s="18" t="n">
        <v>0</v>
      </c>
      <c r="H1299" s="18" t="n">
        <v>38.5</v>
      </c>
      <c r="I1299" s="18" t="n">
        <f aca="false">((I1298 + G1299) - H1299)</f>
        <v>-736242.42</v>
      </c>
      <c r="J1299" s="18" t="n">
        <v>0</v>
      </c>
      <c r="K1299" s="19" t="n">
        <v>0</v>
      </c>
      <c r="L1299" s="17" t="s">
        <v>88</v>
      </c>
    </row>
    <row r="1300" s="11" customFormat="true" ht="10.95" hidden="false" customHeight="true" outlineLevel="0" collapsed="false">
      <c r="A1300" s="16" t="n">
        <v>45411</v>
      </c>
      <c r="B1300" s="17" t="s">
        <v>17</v>
      </c>
      <c r="C1300" s="17" t="s">
        <v>18</v>
      </c>
      <c r="D1300" s="17" t="s">
        <v>19</v>
      </c>
      <c r="E1300" s="17" t="s">
        <v>288</v>
      </c>
      <c r="F1300" s="17" t="s">
        <v>656</v>
      </c>
      <c r="G1300" s="18" t="n">
        <v>0</v>
      </c>
      <c r="H1300" s="18" t="n">
        <v>5</v>
      </c>
      <c r="I1300" s="18" t="n">
        <f aca="false">((I1299 + G1300) - H1300)</f>
        <v>-736247.42</v>
      </c>
      <c r="J1300" s="18" t="n">
        <v>-0.5</v>
      </c>
      <c r="K1300" s="19" t="n">
        <v>10</v>
      </c>
      <c r="L1300" s="17" t="s">
        <v>22</v>
      </c>
    </row>
    <row r="1301" s="11" customFormat="true" ht="10.95" hidden="false" customHeight="true" outlineLevel="0" collapsed="false">
      <c r="A1301" s="16" t="n">
        <v>45411</v>
      </c>
      <c r="B1301" s="17" t="s">
        <v>17</v>
      </c>
      <c r="C1301" s="17" t="s">
        <v>18</v>
      </c>
      <c r="D1301" s="17" t="s">
        <v>19</v>
      </c>
      <c r="E1301" s="17" t="s">
        <v>84</v>
      </c>
      <c r="F1301" s="17" t="s">
        <v>656</v>
      </c>
      <c r="G1301" s="18" t="n">
        <v>0</v>
      </c>
      <c r="H1301" s="18" t="n">
        <v>165</v>
      </c>
      <c r="I1301" s="18" t="n">
        <f aca="false">((I1300 + G1301) - H1301)</f>
        <v>-736412.42</v>
      </c>
      <c r="J1301" s="18" t="n">
        <v>-16.5</v>
      </c>
      <c r="K1301" s="19" t="n">
        <v>10</v>
      </c>
      <c r="L1301" s="17" t="s">
        <v>22</v>
      </c>
    </row>
    <row r="1302" s="11" customFormat="true" ht="10.95" hidden="false" customHeight="true" outlineLevel="0" collapsed="false">
      <c r="A1302" s="16" t="n">
        <v>45411</v>
      </c>
      <c r="B1302" s="17" t="s">
        <v>17</v>
      </c>
      <c r="C1302" s="17" t="s">
        <v>18</v>
      </c>
      <c r="D1302" s="17" t="s">
        <v>19</v>
      </c>
      <c r="E1302" s="17" t="s">
        <v>286</v>
      </c>
      <c r="F1302" s="17" t="s">
        <v>656</v>
      </c>
      <c r="G1302" s="18" t="n">
        <v>0</v>
      </c>
      <c r="H1302" s="18" t="n">
        <v>38.5</v>
      </c>
      <c r="I1302" s="18" t="n">
        <f aca="false">((I1301 + G1302) - H1302)</f>
        <v>-736450.92</v>
      </c>
      <c r="J1302" s="18" t="n">
        <v>0</v>
      </c>
      <c r="K1302" s="19" t="n">
        <v>0</v>
      </c>
      <c r="L1302" s="17" t="s">
        <v>88</v>
      </c>
    </row>
    <row r="1303" s="11" customFormat="true" ht="10.95" hidden="false" customHeight="true" outlineLevel="0" collapsed="false">
      <c r="A1303" s="16" t="n">
        <v>45411</v>
      </c>
      <c r="B1303" s="17" t="s">
        <v>17</v>
      </c>
      <c r="C1303" s="17" t="s">
        <v>18</v>
      </c>
      <c r="D1303" s="17" t="s">
        <v>19</v>
      </c>
      <c r="E1303" s="17" t="s">
        <v>288</v>
      </c>
      <c r="F1303" s="17" t="s">
        <v>656</v>
      </c>
      <c r="G1303" s="18" t="n">
        <v>0</v>
      </c>
      <c r="H1303" s="18" t="n">
        <v>5</v>
      </c>
      <c r="I1303" s="18" t="n">
        <f aca="false">((I1302 + G1303) - H1303)</f>
        <v>-736455.92</v>
      </c>
      <c r="J1303" s="18" t="n">
        <v>-0.5</v>
      </c>
      <c r="K1303" s="19" t="n">
        <v>10</v>
      </c>
      <c r="L1303" s="17" t="s">
        <v>22</v>
      </c>
    </row>
    <row r="1304" s="11" customFormat="true" ht="10.95" hidden="false" customHeight="true" outlineLevel="0" collapsed="false">
      <c r="A1304" s="16" t="n">
        <v>45411</v>
      </c>
      <c r="B1304" s="17" t="s">
        <v>17</v>
      </c>
      <c r="C1304" s="17" t="s">
        <v>18</v>
      </c>
      <c r="D1304" s="17" t="s">
        <v>19</v>
      </c>
      <c r="E1304" s="17" t="s">
        <v>84</v>
      </c>
      <c r="F1304" s="17" t="s">
        <v>656</v>
      </c>
      <c r="G1304" s="18" t="n">
        <v>0</v>
      </c>
      <c r="H1304" s="18" t="n">
        <v>165</v>
      </c>
      <c r="I1304" s="18" t="n">
        <f aca="false">((I1303 + G1304) - H1304)</f>
        <v>-736620.92</v>
      </c>
      <c r="J1304" s="18" t="n">
        <v>-16.5</v>
      </c>
      <c r="K1304" s="19" t="n">
        <v>10</v>
      </c>
      <c r="L1304" s="17" t="s">
        <v>22</v>
      </c>
    </row>
    <row r="1305" s="11" customFormat="true" ht="10.95" hidden="false" customHeight="true" outlineLevel="0" collapsed="false">
      <c r="A1305" s="16" t="n">
        <v>45411</v>
      </c>
      <c r="B1305" s="17" t="s">
        <v>17</v>
      </c>
      <c r="C1305" s="17" t="s">
        <v>18</v>
      </c>
      <c r="D1305" s="17" t="s">
        <v>19</v>
      </c>
      <c r="E1305" s="17" t="s">
        <v>286</v>
      </c>
      <c r="F1305" s="17" t="s">
        <v>656</v>
      </c>
      <c r="G1305" s="18" t="n">
        <v>0</v>
      </c>
      <c r="H1305" s="18" t="n">
        <v>38.5</v>
      </c>
      <c r="I1305" s="18" t="n">
        <f aca="false">((I1304 + G1305) - H1305)</f>
        <v>-736659.42</v>
      </c>
      <c r="J1305" s="18" t="n">
        <v>0</v>
      </c>
      <c r="K1305" s="19" t="n">
        <v>0</v>
      </c>
      <c r="L1305" s="17" t="s">
        <v>88</v>
      </c>
    </row>
    <row r="1306" s="11" customFormat="true" ht="10.95" hidden="false" customHeight="true" outlineLevel="0" collapsed="false">
      <c r="A1306" s="16" t="n">
        <v>45411</v>
      </c>
      <c r="B1306" s="17" t="s">
        <v>17</v>
      </c>
      <c r="C1306" s="17" t="s">
        <v>18</v>
      </c>
      <c r="D1306" s="17" t="s">
        <v>19</v>
      </c>
      <c r="E1306" s="17" t="s">
        <v>288</v>
      </c>
      <c r="F1306" s="17" t="s">
        <v>656</v>
      </c>
      <c r="G1306" s="18" t="n">
        <v>0</v>
      </c>
      <c r="H1306" s="18" t="n">
        <v>5</v>
      </c>
      <c r="I1306" s="18" t="n">
        <f aca="false">((I1305 + G1306) - H1306)</f>
        <v>-736664.42</v>
      </c>
      <c r="J1306" s="18" t="n">
        <v>-0.5</v>
      </c>
      <c r="K1306" s="19" t="n">
        <v>10</v>
      </c>
      <c r="L1306" s="17" t="s">
        <v>22</v>
      </c>
    </row>
    <row r="1307" s="11" customFormat="true" ht="10.95" hidden="false" customHeight="true" outlineLevel="0" collapsed="false">
      <c r="A1307" s="16" t="n">
        <v>45411</v>
      </c>
      <c r="B1307" s="17" t="s">
        <v>17</v>
      </c>
      <c r="C1307" s="17" t="s">
        <v>18</v>
      </c>
      <c r="D1307" s="17" t="s">
        <v>19</v>
      </c>
      <c r="E1307" s="17" t="s">
        <v>84</v>
      </c>
      <c r="F1307" s="17" t="s">
        <v>656</v>
      </c>
      <c r="G1307" s="18" t="n">
        <v>0</v>
      </c>
      <c r="H1307" s="18" t="n">
        <v>165</v>
      </c>
      <c r="I1307" s="18" t="n">
        <f aca="false">((I1306 + G1307) - H1307)</f>
        <v>-736829.42</v>
      </c>
      <c r="J1307" s="18" t="n">
        <v>-16.5</v>
      </c>
      <c r="K1307" s="19" t="n">
        <v>10</v>
      </c>
      <c r="L1307" s="17" t="s">
        <v>22</v>
      </c>
    </row>
    <row r="1308" s="11" customFormat="true" ht="10.95" hidden="false" customHeight="true" outlineLevel="0" collapsed="false">
      <c r="A1308" s="16" t="n">
        <v>45411</v>
      </c>
      <c r="B1308" s="17" t="s">
        <v>17</v>
      </c>
      <c r="C1308" s="17" t="s">
        <v>18</v>
      </c>
      <c r="D1308" s="17" t="s">
        <v>19</v>
      </c>
      <c r="E1308" s="17" t="s">
        <v>286</v>
      </c>
      <c r="F1308" s="17" t="s">
        <v>656</v>
      </c>
      <c r="G1308" s="18" t="n">
        <v>0</v>
      </c>
      <c r="H1308" s="18" t="n">
        <v>38.5</v>
      </c>
      <c r="I1308" s="18" t="n">
        <f aca="false">((I1307 + G1308) - H1308)</f>
        <v>-736867.92</v>
      </c>
      <c r="J1308" s="18" t="n">
        <v>0</v>
      </c>
      <c r="K1308" s="19" t="n">
        <v>0</v>
      </c>
      <c r="L1308" s="17" t="s">
        <v>88</v>
      </c>
    </row>
    <row r="1309" s="11" customFormat="true" ht="10.95" hidden="false" customHeight="true" outlineLevel="0" collapsed="false">
      <c r="A1309" s="16" t="n">
        <v>45411</v>
      </c>
      <c r="B1309" s="17" t="s">
        <v>17</v>
      </c>
      <c r="C1309" s="17" t="s">
        <v>18</v>
      </c>
      <c r="D1309" s="17" t="s">
        <v>19</v>
      </c>
      <c r="E1309" s="17" t="s">
        <v>288</v>
      </c>
      <c r="F1309" s="17" t="s">
        <v>656</v>
      </c>
      <c r="G1309" s="18" t="n">
        <v>0</v>
      </c>
      <c r="H1309" s="18" t="n">
        <v>5</v>
      </c>
      <c r="I1309" s="18" t="n">
        <f aca="false">((I1308 + G1309) - H1309)</f>
        <v>-736872.92</v>
      </c>
      <c r="J1309" s="18" t="n">
        <v>-0.5</v>
      </c>
      <c r="K1309" s="19" t="n">
        <v>10</v>
      </c>
      <c r="L1309" s="17" t="s">
        <v>22</v>
      </c>
    </row>
    <row r="1310" s="11" customFormat="true" ht="10.95" hidden="false" customHeight="true" outlineLevel="0" collapsed="false">
      <c r="A1310" s="16" t="n">
        <v>45411</v>
      </c>
      <c r="B1310" s="17" t="s">
        <v>17</v>
      </c>
      <c r="C1310" s="17" t="s">
        <v>18</v>
      </c>
      <c r="D1310" s="17" t="s">
        <v>19</v>
      </c>
      <c r="E1310" s="17" t="s">
        <v>84</v>
      </c>
      <c r="F1310" s="17" t="s">
        <v>656</v>
      </c>
      <c r="G1310" s="18" t="n">
        <v>0</v>
      </c>
      <c r="H1310" s="18" t="n">
        <v>165</v>
      </c>
      <c r="I1310" s="18" t="n">
        <f aca="false">((I1309 + G1310) - H1310)</f>
        <v>-737037.92</v>
      </c>
      <c r="J1310" s="18" t="n">
        <v>-16.5</v>
      </c>
      <c r="K1310" s="19" t="n">
        <v>10</v>
      </c>
      <c r="L1310" s="17" t="s">
        <v>22</v>
      </c>
    </row>
    <row r="1311" s="11" customFormat="true" ht="10.95" hidden="false" customHeight="true" outlineLevel="0" collapsed="false">
      <c r="A1311" s="16" t="n">
        <v>45411</v>
      </c>
      <c r="B1311" s="17" t="s">
        <v>17</v>
      </c>
      <c r="C1311" s="17" t="s">
        <v>18</v>
      </c>
      <c r="D1311" s="17" t="s">
        <v>19</v>
      </c>
      <c r="E1311" s="17" t="s">
        <v>286</v>
      </c>
      <c r="F1311" s="17" t="s">
        <v>656</v>
      </c>
      <c r="G1311" s="18" t="n">
        <v>0</v>
      </c>
      <c r="H1311" s="18" t="n">
        <v>38.5</v>
      </c>
      <c r="I1311" s="18" t="n">
        <f aca="false">((I1310 + G1311) - H1311)</f>
        <v>-737076.42</v>
      </c>
      <c r="J1311" s="18" t="n">
        <v>0</v>
      </c>
      <c r="K1311" s="19" t="n">
        <v>0</v>
      </c>
      <c r="L1311" s="17" t="s">
        <v>88</v>
      </c>
    </row>
    <row r="1312" s="11" customFormat="true" ht="10.95" hidden="false" customHeight="true" outlineLevel="0" collapsed="false">
      <c r="A1312" s="16" t="n">
        <v>45411</v>
      </c>
      <c r="B1312" s="17" t="s">
        <v>17</v>
      </c>
      <c r="C1312" s="17" t="s">
        <v>18</v>
      </c>
      <c r="D1312" s="17" t="s">
        <v>19</v>
      </c>
      <c r="E1312" s="17" t="s">
        <v>288</v>
      </c>
      <c r="F1312" s="17" t="s">
        <v>656</v>
      </c>
      <c r="G1312" s="18" t="n">
        <v>0</v>
      </c>
      <c r="H1312" s="18" t="n">
        <v>5</v>
      </c>
      <c r="I1312" s="18" t="n">
        <f aca="false">((I1311 + G1312) - H1312)</f>
        <v>-737081.42</v>
      </c>
      <c r="J1312" s="18" t="n">
        <v>-0.5</v>
      </c>
      <c r="K1312" s="19" t="n">
        <v>10</v>
      </c>
      <c r="L1312" s="17" t="s">
        <v>22</v>
      </c>
    </row>
    <row r="1313" s="11" customFormat="true" ht="10.95" hidden="false" customHeight="true" outlineLevel="0" collapsed="false">
      <c r="A1313" s="16" t="n">
        <v>45411</v>
      </c>
      <c r="B1313" s="17" t="s">
        <v>17</v>
      </c>
      <c r="C1313" s="17" t="s">
        <v>18</v>
      </c>
      <c r="D1313" s="17" t="s">
        <v>19</v>
      </c>
      <c r="E1313" s="17" t="s">
        <v>84</v>
      </c>
      <c r="F1313" s="17" t="s">
        <v>656</v>
      </c>
      <c r="G1313" s="18" t="n">
        <v>0</v>
      </c>
      <c r="H1313" s="18" t="n">
        <v>165</v>
      </c>
      <c r="I1313" s="18" t="n">
        <f aca="false">((I1312 + G1313) - H1313)</f>
        <v>-737246.42</v>
      </c>
      <c r="J1313" s="18" t="n">
        <v>-16.5</v>
      </c>
      <c r="K1313" s="19" t="n">
        <v>10</v>
      </c>
      <c r="L1313" s="17" t="s">
        <v>22</v>
      </c>
    </row>
    <row r="1314" s="11" customFormat="true" ht="10.95" hidden="false" customHeight="true" outlineLevel="0" collapsed="false">
      <c r="A1314" s="16" t="n">
        <v>45411</v>
      </c>
      <c r="B1314" s="17" t="s">
        <v>17</v>
      </c>
      <c r="C1314" s="17" t="s">
        <v>18</v>
      </c>
      <c r="D1314" s="17" t="s">
        <v>19</v>
      </c>
      <c r="E1314" s="17" t="s">
        <v>657</v>
      </c>
      <c r="F1314" s="17" t="s">
        <v>658</v>
      </c>
      <c r="G1314" s="18" t="n">
        <v>0</v>
      </c>
      <c r="H1314" s="18" t="n">
        <v>540</v>
      </c>
      <c r="I1314" s="18" t="n">
        <f aca="false">((I1313 + G1314) - H1314)</f>
        <v>-737786.42</v>
      </c>
      <c r="J1314" s="18" t="n">
        <v>-54</v>
      </c>
      <c r="K1314" s="19" t="n">
        <v>10</v>
      </c>
      <c r="L1314" s="17" t="s">
        <v>22</v>
      </c>
    </row>
    <row r="1315" s="11" customFormat="true" ht="10.95" hidden="false" customHeight="true" outlineLevel="0" collapsed="false">
      <c r="A1315" s="16" t="n">
        <v>45435</v>
      </c>
      <c r="B1315" s="17" t="s">
        <v>17</v>
      </c>
      <c r="C1315" s="17" t="s">
        <v>18</v>
      </c>
      <c r="D1315" s="17" t="s">
        <v>19</v>
      </c>
      <c r="E1315" s="17" t="s">
        <v>659</v>
      </c>
      <c r="F1315" s="17" t="s">
        <v>660</v>
      </c>
      <c r="G1315" s="18" t="n">
        <v>0</v>
      </c>
      <c r="H1315" s="18" t="n">
        <v>765</v>
      </c>
      <c r="I1315" s="18" t="n">
        <f aca="false">((I1314 + G1315) - H1315)</f>
        <v>-738551.42</v>
      </c>
      <c r="J1315" s="18" t="n">
        <v>-76.5</v>
      </c>
      <c r="K1315" s="19" t="n">
        <v>10</v>
      </c>
      <c r="L1315" s="17" t="s">
        <v>22</v>
      </c>
    </row>
    <row r="1316" s="11" customFormat="true" ht="10.95" hidden="false" customHeight="true" outlineLevel="0" collapsed="false">
      <c r="A1316" s="16" t="n">
        <v>45435</v>
      </c>
      <c r="B1316" s="17" t="s">
        <v>17</v>
      </c>
      <c r="C1316" s="17" t="s">
        <v>18</v>
      </c>
      <c r="D1316" s="17" t="s">
        <v>19</v>
      </c>
      <c r="E1316" s="17" t="s">
        <v>661</v>
      </c>
      <c r="F1316" s="17" t="s">
        <v>660</v>
      </c>
      <c r="G1316" s="18" t="n">
        <v>0</v>
      </c>
      <c r="H1316" s="18" t="n">
        <v>765</v>
      </c>
      <c r="I1316" s="18" t="n">
        <f aca="false">((I1315 + G1316) - H1316)</f>
        <v>-739316.42</v>
      </c>
      <c r="J1316" s="18" t="n">
        <v>-76.5</v>
      </c>
      <c r="K1316" s="19" t="n">
        <v>10</v>
      </c>
      <c r="L1316" s="17" t="s">
        <v>22</v>
      </c>
    </row>
    <row r="1317" s="11" customFormat="true" ht="10.95" hidden="false" customHeight="true" outlineLevel="0" collapsed="false">
      <c r="A1317" s="16" t="n">
        <v>45435</v>
      </c>
      <c r="B1317" s="17" t="s">
        <v>17</v>
      </c>
      <c r="C1317" s="17" t="s">
        <v>18</v>
      </c>
      <c r="D1317" s="17" t="s">
        <v>19</v>
      </c>
      <c r="E1317" s="17" t="s">
        <v>662</v>
      </c>
      <c r="F1317" s="17" t="s">
        <v>660</v>
      </c>
      <c r="G1317" s="18" t="n">
        <v>0</v>
      </c>
      <c r="H1317" s="18" t="n">
        <v>765</v>
      </c>
      <c r="I1317" s="18" t="n">
        <f aca="false">((I1316 + G1317) - H1317)</f>
        <v>-740081.42</v>
      </c>
      <c r="J1317" s="18" t="n">
        <v>-76.5</v>
      </c>
      <c r="K1317" s="19" t="n">
        <v>10</v>
      </c>
      <c r="L1317" s="17" t="s">
        <v>22</v>
      </c>
    </row>
    <row r="1318" s="11" customFormat="true" ht="10.95" hidden="false" customHeight="true" outlineLevel="0" collapsed="false">
      <c r="A1318" s="16" t="n">
        <v>45435</v>
      </c>
      <c r="B1318" s="17" t="s">
        <v>17</v>
      </c>
      <c r="C1318" s="17" t="s">
        <v>18</v>
      </c>
      <c r="D1318" s="17" t="s">
        <v>19</v>
      </c>
      <c r="E1318" s="17" t="s">
        <v>663</v>
      </c>
      <c r="F1318" s="17" t="s">
        <v>660</v>
      </c>
      <c r="G1318" s="18" t="n">
        <v>0</v>
      </c>
      <c r="H1318" s="18" t="n">
        <v>765</v>
      </c>
      <c r="I1318" s="18" t="n">
        <f aca="false">((I1317 + G1318) - H1318)</f>
        <v>-740846.42</v>
      </c>
      <c r="J1318" s="18" t="n">
        <v>-76.5</v>
      </c>
      <c r="K1318" s="19" t="n">
        <v>10</v>
      </c>
      <c r="L1318" s="17" t="s">
        <v>22</v>
      </c>
    </row>
    <row r="1319" s="11" customFormat="true" ht="10.95" hidden="false" customHeight="true" outlineLevel="0" collapsed="false">
      <c r="A1319" s="16" t="n">
        <v>45435</v>
      </c>
      <c r="B1319" s="17" t="s">
        <v>17</v>
      </c>
      <c r="C1319" s="17" t="s">
        <v>18</v>
      </c>
      <c r="D1319" s="17" t="s">
        <v>19</v>
      </c>
      <c r="E1319" s="17" t="s">
        <v>664</v>
      </c>
      <c r="F1319" s="17" t="s">
        <v>660</v>
      </c>
      <c r="G1319" s="18" t="n">
        <v>0</v>
      </c>
      <c r="H1319" s="18" t="n">
        <v>80</v>
      </c>
      <c r="I1319" s="18" t="n">
        <f aca="false">((I1318 + G1319) - H1319)</f>
        <v>-740926.42</v>
      </c>
      <c r="J1319" s="18" t="n">
        <v>-8</v>
      </c>
      <c r="K1319" s="19" t="n">
        <v>10</v>
      </c>
      <c r="L1319" s="17" t="s">
        <v>22</v>
      </c>
    </row>
    <row r="1320" s="11" customFormat="true" ht="10.95" hidden="false" customHeight="true" outlineLevel="0" collapsed="false">
      <c r="A1320" s="16" t="n">
        <v>45435</v>
      </c>
      <c r="B1320" s="17" t="s">
        <v>17</v>
      </c>
      <c r="C1320" s="17" t="s">
        <v>18</v>
      </c>
      <c r="D1320" s="17" t="s">
        <v>19</v>
      </c>
      <c r="E1320" s="17" t="s">
        <v>665</v>
      </c>
      <c r="F1320" s="17" t="s">
        <v>666</v>
      </c>
      <c r="G1320" s="18" t="n">
        <v>0</v>
      </c>
      <c r="H1320" s="18" t="n">
        <v>104.5</v>
      </c>
      <c r="I1320" s="18" t="n">
        <f aca="false">((I1319 + G1320) - H1320)</f>
        <v>-741030.92</v>
      </c>
      <c r="J1320" s="18" t="n">
        <v>-10.45</v>
      </c>
      <c r="K1320" s="19" t="n">
        <v>10</v>
      </c>
      <c r="L1320" s="17" t="s">
        <v>22</v>
      </c>
    </row>
    <row r="1321" s="11" customFormat="true" ht="10.95" hidden="false" customHeight="true" outlineLevel="0" collapsed="false">
      <c r="A1321" s="16" t="n">
        <v>45435</v>
      </c>
      <c r="B1321" s="17" t="s">
        <v>17</v>
      </c>
      <c r="C1321" s="17" t="s">
        <v>18</v>
      </c>
      <c r="D1321" s="17" t="s">
        <v>19</v>
      </c>
      <c r="E1321" s="17" t="s">
        <v>545</v>
      </c>
      <c r="F1321" s="17" t="s">
        <v>667</v>
      </c>
      <c r="G1321" s="18" t="n">
        <v>0</v>
      </c>
      <c r="H1321" s="18" t="n">
        <v>648</v>
      </c>
      <c r="I1321" s="18" t="n">
        <f aca="false">((I1320 + G1321) - H1321)</f>
        <v>-741678.92</v>
      </c>
      <c r="J1321" s="18" t="n">
        <v>-64.8</v>
      </c>
      <c r="K1321" s="19" t="n">
        <v>10</v>
      </c>
      <c r="L1321" s="17" t="s">
        <v>22</v>
      </c>
    </row>
    <row r="1322" s="11" customFormat="true" ht="10.95" hidden="false" customHeight="true" outlineLevel="0" collapsed="false">
      <c r="A1322" s="16" t="n">
        <v>45435</v>
      </c>
      <c r="B1322" s="17" t="s">
        <v>17</v>
      </c>
      <c r="C1322" s="17" t="s">
        <v>18</v>
      </c>
      <c r="D1322" s="17" t="s">
        <v>19</v>
      </c>
      <c r="E1322" s="17" t="s">
        <v>231</v>
      </c>
      <c r="F1322" s="17" t="s">
        <v>668</v>
      </c>
      <c r="G1322" s="18" t="n">
        <v>0</v>
      </c>
      <c r="H1322" s="18" t="n">
        <v>143</v>
      </c>
      <c r="I1322" s="18" t="n">
        <f aca="false">((I1321 + G1322) - H1322)</f>
        <v>-741821.92</v>
      </c>
      <c r="J1322" s="18" t="n">
        <v>-14.3</v>
      </c>
      <c r="K1322" s="19" t="n">
        <v>10</v>
      </c>
      <c r="L1322" s="17" t="s">
        <v>22</v>
      </c>
    </row>
    <row r="1323" s="11" customFormat="true" ht="10.95" hidden="false" customHeight="true" outlineLevel="0" collapsed="false">
      <c r="A1323" s="16" t="n">
        <v>45435</v>
      </c>
      <c r="B1323" s="17" t="s">
        <v>17</v>
      </c>
      <c r="C1323" s="17" t="s">
        <v>18</v>
      </c>
      <c r="D1323" s="17" t="s">
        <v>19</v>
      </c>
      <c r="E1323" s="17" t="s">
        <v>171</v>
      </c>
      <c r="F1323" s="17" t="s">
        <v>669</v>
      </c>
      <c r="G1323" s="18" t="n">
        <v>0</v>
      </c>
      <c r="H1323" s="18" t="n">
        <v>940.5</v>
      </c>
      <c r="I1323" s="18" t="n">
        <f aca="false">((I1322 + G1323) - H1323)</f>
        <v>-742762.42</v>
      </c>
      <c r="J1323" s="18" t="n">
        <v>-94.05</v>
      </c>
      <c r="K1323" s="19" t="n">
        <v>10</v>
      </c>
      <c r="L1323" s="17" t="s">
        <v>22</v>
      </c>
    </row>
    <row r="1324" s="11" customFormat="true" ht="10.95" hidden="false" customHeight="true" outlineLevel="0" collapsed="false">
      <c r="A1324" s="16" t="n">
        <v>45435</v>
      </c>
      <c r="B1324" s="17" t="s">
        <v>17</v>
      </c>
      <c r="C1324" s="17" t="s">
        <v>18</v>
      </c>
      <c r="D1324" s="17" t="s">
        <v>19</v>
      </c>
      <c r="E1324" s="17" t="s">
        <v>670</v>
      </c>
      <c r="F1324" s="17" t="s">
        <v>671</v>
      </c>
      <c r="G1324" s="18" t="n">
        <v>0</v>
      </c>
      <c r="H1324" s="18" t="n">
        <v>514.8</v>
      </c>
      <c r="I1324" s="18" t="n">
        <f aca="false">((I1323 + G1324) - H1324)</f>
        <v>-743277.22</v>
      </c>
      <c r="J1324" s="18" t="n">
        <v>-51.48</v>
      </c>
      <c r="K1324" s="19" t="n">
        <v>10</v>
      </c>
      <c r="L1324" s="17" t="s">
        <v>22</v>
      </c>
    </row>
    <row r="1325" s="11" customFormat="true" ht="10.95" hidden="false" customHeight="true" outlineLevel="0" collapsed="false">
      <c r="A1325" s="16" t="n">
        <v>45435</v>
      </c>
      <c r="B1325" s="17" t="s">
        <v>17</v>
      </c>
      <c r="C1325" s="17" t="s">
        <v>18</v>
      </c>
      <c r="D1325" s="17" t="s">
        <v>19</v>
      </c>
      <c r="E1325" s="17" t="s">
        <v>670</v>
      </c>
      <c r="F1325" s="17" t="s">
        <v>671</v>
      </c>
      <c r="G1325" s="18" t="n">
        <v>0</v>
      </c>
      <c r="H1325" s="18" t="n">
        <v>514.8</v>
      </c>
      <c r="I1325" s="18" t="n">
        <f aca="false">((I1324 + G1325) - H1325)</f>
        <v>-743792.02</v>
      </c>
      <c r="J1325" s="18" t="n">
        <v>-51.48</v>
      </c>
      <c r="K1325" s="19" t="n">
        <v>10</v>
      </c>
      <c r="L1325" s="17" t="s">
        <v>22</v>
      </c>
    </row>
    <row r="1326" s="11" customFormat="true" ht="10.95" hidden="false" customHeight="true" outlineLevel="0" collapsed="false">
      <c r="A1326" s="16" t="n">
        <v>45435</v>
      </c>
      <c r="B1326" s="17" t="s">
        <v>17</v>
      </c>
      <c r="C1326" s="17" t="s">
        <v>18</v>
      </c>
      <c r="D1326" s="17" t="s">
        <v>19</v>
      </c>
      <c r="E1326" s="17" t="s">
        <v>670</v>
      </c>
      <c r="F1326" s="17" t="s">
        <v>671</v>
      </c>
      <c r="G1326" s="18" t="n">
        <v>0</v>
      </c>
      <c r="H1326" s="18" t="n">
        <v>514.8</v>
      </c>
      <c r="I1326" s="18" t="n">
        <f aca="false">((I1325 + G1326) - H1326)</f>
        <v>-744306.82</v>
      </c>
      <c r="J1326" s="18" t="n">
        <v>-51.48</v>
      </c>
      <c r="K1326" s="19" t="n">
        <v>10</v>
      </c>
      <c r="L1326" s="17" t="s">
        <v>22</v>
      </c>
    </row>
    <row r="1327" s="11" customFormat="true" ht="10.95" hidden="false" customHeight="true" outlineLevel="0" collapsed="false">
      <c r="A1327" s="16" t="n">
        <v>45435</v>
      </c>
      <c r="B1327" s="17" t="s">
        <v>17</v>
      </c>
      <c r="C1327" s="17" t="s">
        <v>18</v>
      </c>
      <c r="D1327" s="17" t="s">
        <v>19</v>
      </c>
      <c r="E1327" s="17" t="s">
        <v>670</v>
      </c>
      <c r="F1327" s="17" t="s">
        <v>671</v>
      </c>
      <c r="G1327" s="18" t="n">
        <v>0</v>
      </c>
      <c r="H1327" s="18" t="n">
        <v>514.8</v>
      </c>
      <c r="I1327" s="18" t="n">
        <f aca="false">((I1326 + G1327) - H1327)</f>
        <v>-744821.62</v>
      </c>
      <c r="J1327" s="18" t="n">
        <v>-51.48</v>
      </c>
      <c r="K1327" s="19" t="n">
        <v>10</v>
      </c>
      <c r="L1327" s="17" t="s">
        <v>22</v>
      </c>
    </row>
    <row r="1328" s="11" customFormat="true" ht="10.95" hidden="false" customHeight="true" outlineLevel="0" collapsed="false">
      <c r="A1328" s="16" t="n">
        <v>45435</v>
      </c>
      <c r="B1328" s="17" t="s">
        <v>17</v>
      </c>
      <c r="C1328" s="17" t="s">
        <v>18</v>
      </c>
      <c r="D1328" s="17" t="s">
        <v>19</v>
      </c>
      <c r="E1328" s="17" t="s">
        <v>670</v>
      </c>
      <c r="F1328" s="17" t="s">
        <v>671</v>
      </c>
      <c r="G1328" s="18" t="n">
        <v>0</v>
      </c>
      <c r="H1328" s="18" t="n">
        <v>514.8</v>
      </c>
      <c r="I1328" s="18" t="n">
        <f aca="false">((I1327 + G1328) - H1328)</f>
        <v>-745336.42</v>
      </c>
      <c r="J1328" s="18" t="n">
        <v>-51.48</v>
      </c>
      <c r="K1328" s="19" t="n">
        <v>10</v>
      </c>
      <c r="L1328" s="17" t="s">
        <v>22</v>
      </c>
    </row>
    <row r="1329" s="11" customFormat="true" ht="10.95" hidden="false" customHeight="true" outlineLevel="0" collapsed="false">
      <c r="A1329" s="16" t="n">
        <v>45435</v>
      </c>
      <c r="B1329" s="17" t="s">
        <v>17</v>
      </c>
      <c r="C1329" s="17" t="s">
        <v>18</v>
      </c>
      <c r="D1329" s="17" t="s">
        <v>19</v>
      </c>
      <c r="E1329" s="17" t="s">
        <v>670</v>
      </c>
      <c r="F1329" s="17" t="s">
        <v>671</v>
      </c>
      <c r="G1329" s="18" t="n">
        <v>0</v>
      </c>
      <c r="H1329" s="18" t="n">
        <v>514.8</v>
      </c>
      <c r="I1329" s="18" t="n">
        <f aca="false">((I1328 + G1329) - H1329)</f>
        <v>-745851.22</v>
      </c>
      <c r="J1329" s="18" t="n">
        <v>-51.48</v>
      </c>
      <c r="K1329" s="19" t="n">
        <v>10</v>
      </c>
      <c r="L1329" s="17" t="s">
        <v>22</v>
      </c>
    </row>
    <row r="1330" s="11" customFormat="true" ht="10.95" hidden="false" customHeight="true" outlineLevel="0" collapsed="false">
      <c r="A1330" s="16" t="n">
        <v>45435</v>
      </c>
      <c r="B1330" s="17" t="s">
        <v>17</v>
      </c>
      <c r="C1330" s="17" t="s">
        <v>18</v>
      </c>
      <c r="D1330" s="17" t="s">
        <v>19</v>
      </c>
      <c r="E1330" s="17" t="s">
        <v>670</v>
      </c>
      <c r="F1330" s="17" t="s">
        <v>671</v>
      </c>
      <c r="G1330" s="18" t="n">
        <v>0</v>
      </c>
      <c r="H1330" s="18" t="n">
        <v>514.8</v>
      </c>
      <c r="I1330" s="18" t="n">
        <f aca="false">((I1329 + G1330) - H1330)</f>
        <v>-746366.02</v>
      </c>
      <c r="J1330" s="18" t="n">
        <v>-51.48</v>
      </c>
      <c r="K1330" s="19" t="n">
        <v>10</v>
      </c>
      <c r="L1330" s="17" t="s">
        <v>22</v>
      </c>
    </row>
    <row r="1331" s="11" customFormat="true" ht="10.95" hidden="false" customHeight="true" outlineLevel="0" collapsed="false">
      <c r="A1331" s="16" t="n">
        <v>45435</v>
      </c>
      <c r="B1331" s="17" t="s">
        <v>17</v>
      </c>
      <c r="C1331" s="17" t="s">
        <v>18</v>
      </c>
      <c r="D1331" s="17" t="s">
        <v>19</v>
      </c>
      <c r="E1331" s="17" t="s">
        <v>670</v>
      </c>
      <c r="F1331" s="17" t="s">
        <v>671</v>
      </c>
      <c r="G1331" s="18" t="n">
        <v>0</v>
      </c>
      <c r="H1331" s="18" t="n">
        <v>514.8</v>
      </c>
      <c r="I1331" s="18" t="n">
        <f aca="false">((I1330 + G1331) - H1331)</f>
        <v>-746880.82</v>
      </c>
      <c r="J1331" s="18" t="n">
        <v>-51.48</v>
      </c>
      <c r="K1331" s="19" t="n">
        <v>10</v>
      </c>
      <c r="L1331" s="17" t="s">
        <v>22</v>
      </c>
    </row>
    <row r="1332" s="11" customFormat="true" ht="10.95" hidden="false" customHeight="true" outlineLevel="0" collapsed="false">
      <c r="A1332" s="16" t="n">
        <v>45435</v>
      </c>
      <c r="B1332" s="17" t="s">
        <v>17</v>
      </c>
      <c r="C1332" s="17" t="s">
        <v>18</v>
      </c>
      <c r="D1332" s="17" t="s">
        <v>19</v>
      </c>
      <c r="E1332" s="17" t="s">
        <v>670</v>
      </c>
      <c r="F1332" s="17" t="s">
        <v>671</v>
      </c>
      <c r="G1332" s="18" t="n">
        <v>0</v>
      </c>
      <c r="H1332" s="18" t="n">
        <v>514.8</v>
      </c>
      <c r="I1332" s="18" t="n">
        <f aca="false">((I1331 + G1332) - H1332)</f>
        <v>-747395.620000001</v>
      </c>
      <c r="J1332" s="18" t="n">
        <v>-51.48</v>
      </c>
      <c r="K1332" s="19" t="n">
        <v>10</v>
      </c>
      <c r="L1332" s="17" t="s">
        <v>22</v>
      </c>
    </row>
    <row r="1333" s="11" customFormat="true" ht="10.95" hidden="false" customHeight="true" outlineLevel="0" collapsed="false">
      <c r="A1333" s="16" t="n">
        <v>45435</v>
      </c>
      <c r="B1333" s="17" t="s">
        <v>17</v>
      </c>
      <c r="C1333" s="17" t="s">
        <v>18</v>
      </c>
      <c r="D1333" s="17" t="s">
        <v>19</v>
      </c>
      <c r="E1333" s="17" t="s">
        <v>670</v>
      </c>
      <c r="F1333" s="17" t="s">
        <v>671</v>
      </c>
      <c r="G1333" s="18" t="n">
        <v>0</v>
      </c>
      <c r="H1333" s="18" t="n">
        <v>514.8</v>
      </c>
      <c r="I1333" s="18" t="n">
        <f aca="false">((I1332 + G1333) - H1333)</f>
        <v>-747910.420000001</v>
      </c>
      <c r="J1333" s="18" t="n">
        <v>-51.48</v>
      </c>
      <c r="K1333" s="19" t="n">
        <v>10</v>
      </c>
      <c r="L1333" s="17" t="s">
        <v>22</v>
      </c>
    </row>
    <row r="1334" s="11" customFormat="true" ht="10.95" hidden="false" customHeight="true" outlineLevel="0" collapsed="false">
      <c r="A1334" s="16" t="n">
        <v>45435</v>
      </c>
      <c r="B1334" s="17" t="s">
        <v>17</v>
      </c>
      <c r="C1334" s="17" t="s">
        <v>18</v>
      </c>
      <c r="D1334" s="17" t="s">
        <v>19</v>
      </c>
      <c r="E1334" s="17" t="s">
        <v>670</v>
      </c>
      <c r="F1334" s="17" t="s">
        <v>671</v>
      </c>
      <c r="G1334" s="18" t="n">
        <v>0</v>
      </c>
      <c r="H1334" s="18" t="n">
        <v>514.8</v>
      </c>
      <c r="I1334" s="18" t="n">
        <f aca="false">((I1333 + G1334) - H1334)</f>
        <v>-748425.220000001</v>
      </c>
      <c r="J1334" s="18" t="n">
        <v>-51.48</v>
      </c>
      <c r="K1334" s="19" t="n">
        <v>10</v>
      </c>
      <c r="L1334" s="17" t="s">
        <v>22</v>
      </c>
    </row>
    <row r="1335" s="11" customFormat="true" ht="10.95" hidden="false" customHeight="true" outlineLevel="0" collapsed="false">
      <c r="A1335" s="16" t="n">
        <v>45435</v>
      </c>
      <c r="B1335" s="17" t="s">
        <v>17</v>
      </c>
      <c r="C1335" s="17" t="s">
        <v>18</v>
      </c>
      <c r="D1335" s="17" t="s">
        <v>19</v>
      </c>
      <c r="E1335" s="17" t="s">
        <v>670</v>
      </c>
      <c r="F1335" s="17" t="s">
        <v>671</v>
      </c>
      <c r="G1335" s="18" t="n">
        <v>0</v>
      </c>
      <c r="H1335" s="18" t="n">
        <v>514.8</v>
      </c>
      <c r="I1335" s="18" t="n">
        <f aca="false">((I1334 + G1335) - H1335)</f>
        <v>-748940.020000001</v>
      </c>
      <c r="J1335" s="18" t="n">
        <v>-51.48</v>
      </c>
      <c r="K1335" s="19" t="n">
        <v>10</v>
      </c>
      <c r="L1335" s="17" t="s">
        <v>22</v>
      </c>
    </row>
    <row r="1336" s="11" customFormat="true" ht="10.95" hidden="false" customHeight="true" outlineLevel="0" collapsed="false">
      <c r="A1336" s="16" t="n">
        <v>45435</v>
      </c>
      <c r="B1336" s="17" t="s">
        <v>17</v>
      </c>
      <c r="C1336" s="17" t="s">
        <v>18</v>
      </c>
      <c r="D1336" s="17" t="s">
        <v>19</v>
      </c>
      <c r="E1336" s="17" t="s">
        <v>20</v>
      </c>
      <c r="F1336" s="17" t="s">
        <v>672</v>
      </c>
      <c r="G1336" s="18" t="n">
        <v>0</v>
      </c>
      <c r="H1336" s="18" t="n">
        <v>376</v>
      </c>
      <c r="I1336" s="18" t="n">
        <f aca="false">((I1335 + G1336) - H1336)</f>
        <v>-749316.020000001</v>
      </c>
      <c r="J1336" s="18" t="n">
        <v>-37.6</v>
      </c>
      <c r="K1336" s="19" t="n">
        <v>10</v>
      </c>
      <c r="L1336" s="17" t="s">
        <v>22</v>
      </c>
    </row>
    <row r="1337" s="11" customFormat="true" ht="10.95" hidden="false" customHeight="true" outlineLevel="0" collapsed="false">
      <c r="A1337" s="16" t="n">
        <v>45435</v>
      </c>
      <c r="B1337" s="17" t="s">
        <v>17</v>
      </c>
      <c r="C1337" s="17" t="s">
        <v>18</v>
      </c>
      <c r="D1337" s="17" t="s">
        <v>19</v>
      </c>
      <c r="E1337" s="17" t="s">
        <v>23</v>
      </c>
      <c r="F1337" s="17" t="s">
        <v>673</v>
      </c>
      <c r="G1337" s="18" t="n">
        <v>0</v>
      </c>
      <c r="H1337" s="18" t="n">
        <v>1150</v>
      </c>
      <c r="I1337" s="18" t="n">
        <f aca="false">((I1336 + G1337) - H1337)</f>
        <v>-750466.020000001</v>
      </c>
      <c r="J1337" s="18" t="n">
        <v>-115</v>
      </c>
      <c r="K1337" s="19" t="n">
        <v>10</v>
      </c>
      <c r="L1337" s="17" t="s">
        <v>22</v>
      </c>
    </row>
    <row r="1338" s="11" customFormat="true" ht="10.95" hidden="false" customHeight="true" outlineLevel="0" collapsed="false">
      <c r="A1338" s="16" t="n">
        <v>45435</v>
      </c>
      <c r="B1338" s="17" t="s">
        <v>17</v>
      </c>
      <c r="C1338" s="17" t="s">
        <v>18</v>
      </c>
      <c r="D1338" s="17" t="s">
        <v>19</v>
      </c>
      <c r="E1338" s="17" t="s">
        <v>25</v>
      </c>
      <c r="F1338" s="17" t="s">
        <v>673</v>
      </c>
      <c r="G1338" s="18" t="n">
        <v>0</v>
      </c>
      <c r="H1338" s="18" t="n">
        <v>225</v>
      </c>
      <c r="I1338" s="18" t="n">
        <f aca="false">((I1337 + G1338) - H1338)</f>
        <v>-750691.020000001</v>
      </c>
      <c r="J1338" s="18" t="n">
        <v>-22.5</v>
      </c>
      <c r="K1338" s="19" t="n">
        <v>10</v>
      </c>
      <c r="L1338" s="17" t="s">
        <v>22</v>
      </c>
    </row>
    <row r="1339" s="11" customFormat="true" ht="10.95" hidden="false" customHeight="true" outlineLevel="0" collapsed="false">
      <c r="A1339" s="16" t="n">
        <v>45435</v>
      </c>
      <c r="B1339" s="17" t="s">
        <v>17</v>
      </c>
      <c r="C1339" s="17" t="s">
        <v>18</v>
      </c>
      <c r="D1339" s="17" t="s">
        <v>19</v>
      </c>
      <c r="E1339" s="17" t="s">
        <v>26</v>
      </c>
      <c r="F1339" s="17" t="s">
        <v>674</v>
      </c>
      <c r="G1339" s="18" t="n">
        <v>0</v>
      </c>
      <c r="H1339" s="18" t="n">
        <v>595</v>
      </c>
      <c r="I1339" s="18" t="n">
        <f aca="false">((I1338 + G1339) - H1339)</f>
        <v>-751286.020000001</v>
      </c>
      <c r="J1339" s="18" t="n">
        <v>-59.5</v>
      </c>
      <c r="K1339" s="19" t="n">
        <v>10</v>
      </c>
      <c r="L1339" s="17" t="s">
        <v>22</v>
      </c>
    </row>
    <row r="1340" s="11" customFormat="true" ht="10.95" hidden="false" customHeight="true" outlineLevel="0" collapsed="false">
      <c r="A1340" s="16" t="n">
        <v>45435</v>
      </c>
      <c r="B1340" s="17" t="s">
        <v>17</v>
      </c>
      <c r="C1340" s="17" t="s">
        <v>18</v>
      </c>
      <c r="D1340" s="17" t="s">
        <v>19</v>
      </c>
      <c r="E1340" s="17" t="s">
        <v>28</v>
      </c>
      <c r="F1340" s="17" t="s">
        <v>675</v>
      </c>
      <c r="G1340" s="18" t="n">
        <v>0</v>
      </c>
      <c r="H1340" s="18" t="n">
        <v>1149.5</v>
      </c>
      <c r="I1340" s="18" t="n">
        <f aca="false">((I1339 + G1340) - H1340)</f>
        <v>-752435.520000001</v>
      </c>
      <c r="J1340" s="18" t="n">
        <v>-114.95</v>
      </c>
      <c r="K1340" s="19" t="n">
        <v>10</v>
      </c>
      <c r="L1340" s="17" t="s">
        <v>22</v>
      </c>
    </row>
    <row r="1341" s="11" customFormat="true" ht="10.95" hidden="false" customHeight="true" outlineLevel="0" collapsed="false">
      <c r="A1341" s="16" t="n">
        <v>45435</v>
      </c>
      <c r="B1341" s="17" t="s">
        <v>17</v>
      </c>
      <c r="C1341" s="17" t="s">
        <v>18</v>
      </c>
      <c r="D1341" s="17" t="s">
        <v>19</v>
      </c>
      <c r="E1341" s="17" t="s">
        <v>482</v>
      </c>
      <c r="F1341" s="17" t="s">
        <v>675</v>
      </c>
      <c r="G1341" s="18" t="n">
        <v>0</v>
      </c>
      <c r="H1341" s="18" t="n">
        <v>110</v>
      </c>
      <c r="I1341" s="18" t="n">
        <f aca="false">((I1340 + G1341) - H1341)</f>
        <v>-752545.520000001</v>
      </c>
      <c r="J1341" s="18" t="n">
        <v>-11</v>
      </c>
      <c r="K1341" s="19" t="n">
        <v>10</v>
      </c>
      <c r="L1341" s="17" t="s">
        <v>22</v>
      </c>
    </row>
    <row r="1342" s="11" customFormat="true" ht="10.95" hidden="false" customHeight="true" outlineLevel="0" collapsed="false">
      <c r="A1342" s="16" t="n">
        <v>45435</v>
      </c>
      <c r="B1342" s="17" t="s">
        <v>17</v>
      </c>
      <c r="C1342" s="17" t="s">
        <v>18</v>
      </c>
      <c r="D1342" s="17" t="s">
        <v>19</v>
      </c>
      <c r="E1342" s="17" t="s">
        <v>30</v>
      </c>
      <c r="F1342" s="17" t="s">
        <v>676</v>
      </c>
      <c r="G1342" s="18" t="n">
        <v>0</v>
      </c>
      <c r="H1342" s="18" t="n">
        <v>85</v>
      </c>
      <c r="I1342" s="18" t="n">
        <f aca="false">((I1341 + G1342) - H1342)</f>
        <v>-752630.520000001</v>
      </c>
      <c r="J1342" s="18" t="n">
        <v>-8.5</v>
      </c>
      <c r="K1342" s="19" t="n">
        <v>10</v>
      </c>
      <c r="L1342" s="17" t="s">
        <v>22</v>
      </c>
    </row>
    <row r="1343" s="11" customFormat="true" ht="10.95" hidden="false" customHeight="true" outlineLevel="0" collapsed="false">
      <c r="A1343" s="16" t="n">
        <v>45435</v>
      </c>
      <c r="B1343" s="17" t="s">
        <v>17</v>
      </c>
      <c r="C1343" s="17" t="s">
        <v>18</v>
      </c>
      <c r="D1343" s="17" t="s">
        <v>19</v>
      </c>
      <c r="E1343" s="17" t="s">
        <v>178</v>
      </c>
      <c r="F1343" s="17" t="s">
        <v>677</v>
      </c>
      <c r="G1343" s="18" t="n">
        <v>0</v>
      </c>
      <c r="H1343" s="18" t="n">
        <v>1105</v>
      </c>
      <c r="I1343" s="18" t="n">
        <f aca="false">((I1342 + G1343) - H1343)</f>
        <v>-753735.520000001</v>
      </c>
      <c r="J1343" s="18" t="n">
        <v>-110.5</v>
      </c>
      <c r="K1343" s="19" t="n">
        <v>10</v>
      </c>
      <c r="L1343" s="17" t="s">
        <v>22</v>
      </c>
    </row>
    <row r="1344" s="11" customFormat="true" ht="10.95" hidden="false" customHeight="true" outlineLevel="0" collapsed="false">
      <c r="A1344" s="16" t="n">
        <v>45435</v>
      </c>
      <c r="B1344" s="17" t="s">
        <v>17</v>
      </c>
      <c r="C1344" s="17" t="s">
        <v>18</v>
      </c>
      <c r="D1344" s="17" t="s">
        <v>19</v>
      </c>
      <c r="E1344" s="17" t="s">
        <v>180</v>
      </c>
      <c r="F1344" s="17" t="s">
        <v>677</v>
      </c>
      <c r="G1344" s="18" t="n">
        <v>0</v>
      </c>
      <c r="H1344" s="18" t="n">
        <v>429</v>
      </c>
      <c r="I1344" s="18" t="n">
        <f aca="false">((I1343 + G1344) - H1344)</f>
        <v>-754164.520000001</v>
      </c>
      <c r="J1344" s="18" t="n">
        <v>-42.9</v>
      </c>
      <c r="K1344" s="19" t="n">
        <v>10</v>
      </c>
      <c r="L1344" s="17" t="s">
        <v>22</v>
      </c>
    </row>
    <row r="1345" s="11" customFormat="true" ht="10.95" hidden="false" customHeight="true" outlineLevel="0" collapsed="false">
      <c r="A1345" s="16" t="n">
        <v>45435</v>
      </c>
      <c r="B1345" s="17" t="s">
        <v>17</v>
      </c>
      <c r="C1345" s="17" t="s">
        <v>18</v>
      </c>
      <c r="D1345" s="17" t="s">
        <v>19</v>
      </c>
      <c r="E1345" s="17" t="s">
        <v>181</v>
      </c>
      <c r="F1345" s="17" t="s">
        <v>677</v>
      </c>
      <c r="G1345" s="18" t="n">
        <v>0</v>
      </c>
      <c r="H1345" s="18" t="n">
        <v>37</v>
      </c>
      <c r="I1345" s="18" t="n">
        <f aca="false">((I1344 + G1345) - H1345)</f>
        <v>-754201.520000001</v>
      </c>
      <c r="J1345" s="18" t="n">
        <v>-3.7</v>
      </c>
      <c r="K1345" s="19" t="n">
        <v>10</v>
      </c>
      <c r="L1345" s="17" t="s">
        <v>22</v>
      </c>
    </row>
    <row r="1346" s="11" customFormat="true" ht="10.95" hidden="false" customHeight="true" outlineLevel="0" collapsed="false">
      <c r="A1346" s="16" t="n">
        <v>45435</v>
      </c>
      <c r="B1346" s="17" t="s">
        <v>17</v>
      </c>
      <c r="C1346" s="17" t="s">
        <v>18</v>
      </c>
      <c r="D1346" s="17" t="s">
        <v>19</v>
      </c>
      <c r="E1346" s="17" t="s">
        <v>178</v>
      </c>
      <c r="F1346" s="17" t="s">
        <v>677</v>
      </c>
      <c r="G1346" s="18" t="n">
        <v>0</v>
      </c>
      <c r="H1346" s="18" t="n">
        <v>1105</v>
      </c>
      <c r="I1346" s="18" t="n">
        <f aca="false">((I1345 + G1346) - H1346)</f>
        <v>-755306.520000001</v>
      </c>
      <c r="J1346" s="18" t="n">
        <v>-110.5</v>
      </c>
      <c r="K1346" s="19" t="n">
        <v>10</v>
      </c>
      <c r="L1346" s="17" t="s">
        <v>22</v>
      </c>
    </row>
    <row r="1347" s="11" customFormat="true" ht="10.95" hidden="false" customHeight="true" outlineLevel="0" collapsed="false">
      <c r="A1347" s="16" t="n">
        <v>45435</v>
      </c>
      <c r="B1347" s="17" t="s">
        <v>17</v>
      </c>
      <c r="C1347" s="17" t="s">
        <v>18</v>
      </c>
      <c r="D1347" s="17" t="s">
        <v>19</v>
      </c>
      <c r="E1347" s="17" t="s">
        <v>180</v>
      </c>
      <c r="F1347" s="17" t="s">
        <v>677</v>
      </c>
      <c r="G1347" s="18" t="n">
        <v>0</v>
      </c>
      <c r="H1347" s="18" t="n">
        <v>429</v>
      </c>
      <c r="I1347" s="18" t="n">
        <f aca="false">((I1346 + G1347) - H1347)</f>
        <v>-755735.520000001</v>
      </c>
      <c r="J1347" s="18" t="n">
        <v>-42.9</v>
      </c>
      <c r="K1347" s="19" t="n">
        <v>10</v>
      </c>
      <c r="L1347" s="17" t="s">
        <v>22</v>
      </c>
    </row>
    <row r="1348" s="11" customFormat="true" ht="10.95" hidden="false" customHeight="true" outlineLevel="0" collapsed="false">
      <c r="A1348" s="16" t="n">
        <v>45435</v>
      </c>
      <c r="B1348" s="17" t="s">
        <v>17</v>
      </c>
      <c r="C1348" s="17" t="s">
        <v>18</v>
      </c>
      <c r="D1348" s="17" t="s">
        <v>19</v>
      </c>
      <c r="E1348" s="17" t="s">
        <v>181</v>
      </c>
      <c r="F1348" s="17" t="s">
        <v>677</v>
      </c>
      <c r="G1348" s="18" t="n">
        <v>0</v>
      </c>
      <c r="H1348" s="18" t="n">
        <v>37</v>
      </c>
      <c r="I1348" s="18" t="n">
        <f aca="false">((I1347 + G1348) - H1348)</f>
        <v>-755772.520000001</v>
      </c>
      <c r="J1348" s="18" t="n">
        <v>-3.7</v>
      </c>
      <c r="K1348" s="19" t="n">
        <v>10</v>
      </c>
      <c r="L1348" s="17" t="s">
        <v>22</v>
      </c>
    </row>
    <row r="1349" s="11" customFormat="true" ht="10.95" hidden="false" customHeight="true" outlineLevel="0" collapsed="false">
      <c r="A1349" s="16" t="n">
        <v>45435</v>
      </c>
      <c r="B1349" s="17" t="s">
        <v>17</v>
      </c>
      <c r="C1349" s="17" t="s">
        <v>18</v>
      </c>
      <c r="D1349" s="17" t="s">
        <v>19</v>
      </c>
      <c r="E1349" s="17" t="s">
        <v>178</v>
      </c>
      <c r="F1349" s="17" t="s">
        <v>677</v>
      </c>
      <c r="G1349" s="18" t="n">
        <v>0</v>
      </c>
      <c r="H1349" s="18" t="n">
        <v>1105</v>
      </c>
      <c r="I1349" s="18" t="n">
        <f aca="false">((I1348 + G1349) - H1349)</f>
        <v>-756877.520000001</v>
      </c>
      <c r="J1349" s="18" t="n">
        <v>-110.5</v>
      </c>
      <c r="K1349" s="19" t="n">
        <v>10</v>
      </c>
      <c r="L1349" s="17" t="s">
        <v>22</v>
      </c>
    </row>
    <row r="1350" s="11" customFormat="true" ht="10.95" hidden="false" customHeight="true" outlineLevel="0" collapsed="false">
      <c r="A1350" s="16" t="n">
        <v>45435</v>
      </c>
      <c r="B1350" s="17" t="s">
        <v>17</v>
      </c>
      <c r="C1350" s="17" t="s">
        <v>18</v>
      </c>
      <c r="D1350" s="17" t="s">
        <v>19</v>
      </c>
      <c r="E1350" s="17" t="s">
        <v>180</v>
      </c>
      <c r="F1350" s="17" t="s">
        <v>677</v>
      </c>
      <c r="G1350" s="18" t="n">
        <v>0</v>
      </c>
      <c r="H1350" s="18" t="n">
        <v>429</v>
      </c>
      <c r="I1350" s="18" t="n">
        <f aca="false">((I1349 + G1350) - H1350)</f>
        <v>-757306.520000001</v>
      </c>
      <c r="J1350" s="18" t="n">
        <v>-42.9</v>
      </c>
      <c r="K1350" s="19" t="n">
        <v>10</v>
      </c>
      <c r="L1350" s="17" t="s">
        <v>22</v>
      </c>
    </row>
    <row r="1351" s="11" customFormat="true" ht="10.95" hidden="false" customHeight="true" outlineLevel="0" collapsed="false">
      <c r="A1351" s="16" t="n">
        <v>45435</v>
      </c>
      <c r="B1351" s="17" t="s">
        <v>17</v>
      </c>
      <c r="C1351" s="17" t="s">
        <v>18</v>
      </c>
      <c r="D1351" s="17" t="s">
        <v>19</v>
      </c>
      <c r="E1351" s="17" t="s">
        <v>181</v>
      </c>
      <c r="F1351" s="17" t="s">
        <v>677</v>
      </c>
      <c r="G1351" s="18" t="n">
        <v>0</v>
      </c>
      <c r="H1351" s="18" t="n">
        <v>37</v>
      </c>
      <c r="I1351" s="18" t="n">
        <f aca="false">((I1350 + G1351) - H1351)</f>
        <v>-757343.520000001</v>
      </c>
      <c r="J1351" s="18" t="n">
        <v>-3.7</v>
      </c>
      <c r="K1351" s="19" t="n">
        <v>10</v>
      </c>
      <c r="L1351" s="17" t="s">
        <v>22</v>
      </c>
    </row>
    <row r="1352" s="11" customFormat="true" ht="10.95" hidden="false" customHeight="true" outlineLevel="0" collapsed="false">
      <c r="A1352" s="16" t="n">
        <v>45435</v>
      </c>
      <c r="B1352" s="17" t="s">
        <v>17</v>
      </c>
      <c r="C1352" s="17" t="s">
        <v>18</v>
      </c>
      <c r="D1352" s="17" t="s">
        <v>19</v>
      </c>
      <c r="E1352" s="17" t="s">
        <v>678</v>
      </c>
      <c r="F1352" s="17" t="s">
        <v>677</v>
      </c>
      <c r="G1352" s="18" t="n">
        <v>0</v>
      </c>
      <c r="H1352" s="18" t="n">
        <v>161</v>
      </c>
      <c r="I1352" s="18" t="n">
        <f aca="false">((I1351 + G1352) - H1352)</f>
        <v>-757504.520000001</v>
      </c>
      <c r="J1352" s="18" t="n">
        <v>-16.1</v>
      </c>
      <c r="K1352" s="19" t="n">
        <v>10</v>
      </c>
      <c r="L1352" s="17" t="s">
        <v>22</v>
      </c>
    </row>
    <row r="1353" s="11" customFormat="true" ht="10.95" hidden="false" customHeight="true" outlineLevel="0" collapsed="false">
      <c r="A1353" s="16" t="n">
        <v>45435</v>
      </c>
      <c r="B1353" s="17" t="s">
        <v>17</v>
      </c>
      <c r="C1353" s="17" t="s">
        <v>18</v>
      </c>
      <c r="D1353" s="17" t="s">
        <v>19</v>
      </c>
      <c r="E1353" s="17" t="s">
        <v>679</v>
      </c>
      <c r="F1353" s="17" t="s">
        <v>677</v>
      </c>
      <c r="G1353" s="18" t="n">
        <v>0</v>
      </c>
      <c r="H1353" s="18" t="n">
        <v>47.91</v>
      </c>
      <c r="I1353" s="18" t="n">
        <f aca="false">((I1352 + G1353) - H1353)</f>
        <v>-757552.430000001</v>
      </c>
      <c r="J1353" s="18" t="n">
        <v>-4.79</v>
      </c>
      <c r="K1353" s="19" t="n">
        <v>10</v>
      </c>
      <c r="L1353" s="17" t="s">
        <v>22</v>
      </c>
    </row>
    <row r="1354" s="11" customFormat="true" ht="10.95" hidden="false" customHeight="true" outlineLevel="0" collapsed="false">
      <c r="A1354" s="16" t="n">
        <v>45435</v>
      </c>
      <c r="B1354" s="17" t="s">
        <v>17</v>
      </c>
      <c r="C1354" s="17" t="s">
        <v>18</v>
      </c>
      <c r="D1354" s="17" t="s">
        <v>19</v>
      </c>
      <c r="E1354" s="17" t="s">
        <v>32</v>
      </c>
      <c r="F1354" s="17" t="s">
        <v>680</v>
      </c>
      <c r="G1354" s="18" t="n">
        <v>0</v>
      </c>
      <c r="H1354" s="18" t="n">
        <v>195</v>
      </c>
      <c r="I1354" s="18" t="n">
        <f aca="false">((I1353 + G1354) - H1354)</f>
        <v>-757747.430000001</v>
      </c>
      <c r="J1354" s="18" t="n">
        <v>-19.5</v>
      </c>
      <c r="K1354" s="19" t="n">
        <v>10</v>
      </c>
      <c r="L1354" s="17" t="s">
        <v>22</v>
      </c>
    </row>
    <row r="1355" s="11" customFormat="true" ht="10.95" hidden="false" customHeight="true" outlineLevel="0" collapsed="false">
      <c r="A1355" s="16" t="n">
        <v>45435</v>
      </c>
      <c r="B1355" s="17" t="s">
        <v>17</v>
      </c>
      <c r="C1355" s="17" t="s">
        <v>18</v>
      </c>
      <c r="D1355" s="17" t="s">
        <v>19</v>
      </c>
      <c r="E1355" s="17" t="s">
        <v>34</v>
      </c>
      <c r="F1355" s="17" t="s">
        <v>680</v>
      </c>
      <c r="G1355" s="18" t="n">
        <v>0</v>
      </c>
      <c r="H1355" s="18" t="n">
        <v>30</v>
      </c>
      <c r="I1355" s="18" t="n">
        <f aca="false">((I1354 + G1355) - H1355)</f>
        <v>-757777.430000001</v>
      </c>
      <c r="J1355" s="18" t="n">
        <v>-3</v>
      </c>
      <c r="K1355" s="19" t="n">
        <v>10</v>
      </c>
      <c r="L1355" s="17" t="s">
        <v>22</v>
      </c>
    </row>
    <row r="1356" s="11" customFormat="true" ht="10.95" hidden="false" customHeight="true" outlineLevel="0" collapsed="false">
      <c r="A1356" s="16" t="n">
        <v>45435</v>
      </c>
      <c r="B1356" s="17" t="s">
        <v>17</v>
      </c>
      <c r="C1356" s="17" t="s">
        <v>18</v>
      </c>
      <c r="D1356" s="17" t="s">
        <v>19</v>
      </c>
      <c r="E1356" s="17" t="s">
        <v>486</v>
      </c>
      <c r="F1356" s="17" t="s">
        <v>680</v>
      </c>
      <c r="G1356" s="18" t="n">
        <v>0</v>
      </c>
      <c r="H1356" s="18" t="n">
        <v>100</v>
      </c>
      <c r="I1356" s="18" t="n">
        <f aca="false">((I1355 + G1356) - H1356)</f>
        <v>-757877.430000001</v>
      </c>
      <c r="J1356" s="18" t="n">
        <v>-10</v>
      </c>
      <c r="K1356" s="19" t="n">
        <v>10</v>
      </c>
      <c r="L1356" s="17" t="s">
        <v>22</v>
      </c>
    </row>
    <row r="1357" s="11" customFormat="true" ht="10.95" hidden="false" customHeight="true" outlineLevel="0" collapsed="false">
      <c r="A1357" s="16" t="n">
        <v>45435</v>
      </c>
      <c r="B1357" s="17" t="s">
        <v>17</v>
      </c>
      <c r="C1357" s="17" t="s">
        <v>18</v>
      </c>
      <c r="D1357" s="17" t="s">
        <v>19</v>
      </c>
      <c r="E1357" s="17" t="s">
        <v>36</v>
      </c>
      <c r="F1357" s="17" t="s">
        <v>681</v>
      </c>
      <c r="G1357" s="18" t="n">
        <v>0</v>
      </c>
      <c r="H1357" s="18" t="n">
        <v>720</v>
      </c>
      <c r="I1357" s="18" t="n">
        <f aca="false">((I1356 + G1357) - H1357)</f>
        <v>-758597.430000001</v>
      </c>
      <c r="J1357" s="18" t="n">
        <v>-72</v>
      </c>
      <c r="K1357" s="19" t="n">
        <v>10</v>
      </c>
      <c r="L1357" s="17" t="s">
        <v>22</v>
      </c>
    </row>
    <row r="1358" s="11" customFormat="true" ht="10.95" hidden="false" customHeight="true" outlineLevel="0" collapsed="false">
      <c r="A1358" s="16" t="n">
        <v>45435</v>
      </c>
      <c r="B1358" s="17" t="s">
        <v>17</v>
      </c>
      <c r="C1358" s="17" t="s">
        <v>18</v>
      </c>
      <c r="D1358" s="17" t="s">
        <v>19</v>
      </c>
      <c r="E1358" s="17" t="s">
        <v>38</v>
      </c>
      <c r="F1358" s="17" t="s">
        <v>681</v>
      </c>
      <c r="G1358" s="18" t="n">
        <v>0</v>
      </c>
      <c r="H1358" s="18" t="n">
        <v>110</v>
      </c>
      <c r="I1358" s="18" t="n">
        <f aca="false">((I1357 + G1358) - H1358)</f>
        <v>-758707.430000001</v>
      </c>
      <c r="J1358" s="18" t="n">
        <v>-11</v>
      </c>
      <c r="K1358" s="19" t="n">
        <v>10</v>
      </c>
      <c r="L1358" s="17" t="s">
        <v>22</v>
      </c>
    </row>
    <row r="1359" s="11" customFormat="true" ht="10.95" hidden="false" customHeight="true" outlineLevel="0" collapsed="false">
      <c r="A1359" s="16" t="n">
        <v>45435</v>
      </c>
      <c r="B1359" s="17" t="s">
        <v>17</v>
      </c>
      <c r="C1359" s="17" t="s">
        <v>18</v>
      </c>
      <c r="D1359" s="17" t="s">
        <v>19</v>
      </c>
      <c r="E1359" s="17" t="s">
        <v>39</v>
      </c>
      <c r="F1359" s="17" t="s">
        <v>681</v>
      </c>
      <c r="G1359" s="18" t="n">
        <v>0</v>
      </c>
      <c r="H1359" s="18" t="n">
        <v>165</v>
      </c>
      <c r="I1359" s="18" t="n">
        <f aca="false">((I1358 + G1359) - H1359)</f>
        <v>-758872.430000001</v>
      </c>
      <c r="J1359" s="18" t="n">
        <v>-16.5</v>
      </c>
      <c r="K1359" s="19" t="n">
        <v>10</v>
      </c>
      <c r="L1359" s="17" t="s">
        <v>22</v>
      </c>
    </row>
    <row r="1360" s="11" customFormat="true" ht="10.95" hidden="false" customHeight="true" outlineLevel="0" collapsed="false">
      <c r="A1360" s="16" t="n">
        <v>45435</v>
      </c>
      <c r="B1360" s="17" t="s">
        <v>17</v>
      </c>
      <c r="C1360" s="17" t="s">
        <v>18</v>
      </c>
      <c r="D1360" s="17" t="s">
        <v>19</v>
      </c>
      <c r="E1360" s="17" t="s">
        <v>47</v>
      </c>
      <c r="F1360" s="17" t="s">
        <v>682</v>
      </c>
      <c r="G1360" s="18" t="n">
        <v>0</v>
      </c>
      <c r="H1360" s="18" t="n">
        <v>260</v>
      </c>
      <c r="I1360" s="18" t="n">
        <f aca="false">((I1359 + G1360) - H1360)</f>
        <v>-759132.430000001</v>
      </c>
      <c r="J1360" s="18" t="n">
        <v>-26</v>
      </c>
      <c r="K1360" s="19" t="n">
        <v>10</v>
      </c>
      <c r="L1360" s="17" t="s">
        <v>22</v>
      </c>
    </row>
    <row r="1361" s="11" customFormat="true" ht="10.95" hidden="false" customHeight="true" outlineLevel="0" collapsed="false">
      <c r="A1361" s="16" t="n">
        <v>45435</v>
      </c>
      <c r="B1361" s="17" t="s">
        <v>17</v>
      </c>
      <c r="C1361" s="17" t="s">
        <v>18</v>
      </c>
      <c r="D1361" s="17" t="s">
        <v>19</v>
      </c>
      <c r="E1361" s="17" t="s">
        <v>49</v>
      </c>
      <c r="F1361" s="17" t="s">
        <v>682</v>
      </c>
      <c r="G1361" s="18" t="n">
        <v>0</v>
      </c>
      <c r="H1361" s="18" t="n">
        <v>100</v>
      </c>
      <c r="I1361" s="18" t="n">
        <f aca="false">((I1360 + G1361) - H1361)</f>
        <v>-759232.430000001</v>
      </c>
      <c r="J1361" s="18" t="n">
        <v>-10</v>
      </c>
      <c r="K1361" s="19" t="n">
        <v>10</v>
      </c>
      <c r="L1361" s="17" t="s">
        <v>22</v>
      </c>
    </row>
    <row r="1362" s="11" customFormat="true" ht="10.95" hidden="false" customHeight="true" outlineLevel="0" collapsed="false">
      <c r="A1362" s="16" t="n">
        <v>45435</v>
      </c>
      <c r="B1362" s="17" t="s">
        <v>17</v>
      </c>
      <c r="C1362" s="17" t="s">
        <v>18</v>
      </c>
      <c r="D1362" s="17" t="s">
        <v>19</v>
      </c>
      <c r="E1362" s="17" t="s">
        <v>347</v>
      </c>
      <c r="F1362" s="17" t="s">
        <v>683</v>
      </c>
      <c r="G1362" s="18" t="n">
        <v>0</v>
      </c>
      <c r="H1362" s="18" t="n">
        <v>10.45</v>
      </c>
      <c r="I1362" s="18" t="n">
        <f aca="false">((I1361 + G1362) - H1362)</f>
        <v>-759242.880000001</v>
      </c>
      <c r="J1362" s="18" t="n">
        <v>-1.05</v>
      </c>
      <c r="K1362" s="19" t="n">
        <v>10</v>
      </c>
      <c r="L1362" s="17" t="s">
        <v>22</v>
      </c>
    </row>
    <row r="1363" s="11" customFormat="true" ht="10.95" hidden="false" customHeight="true" outlineLevel="0" collapsed="false">
      <c r="A1363" s="16" t="n">
        <v>45435</v>
      </c>
      <c r="B1363" s="17" t="s">
        <v>17</v>
      </c>
      <c r="C1363" s="17" t="s">
        <v>18</v>
      </c>
      <c r="D1363" s="17" t="s">
        <v>19</v>
      </c>
      <c r="E1363" s="17" t="s">
        <v>347</v>
      </c>
      <c r="F1363" s="17" t="s">
        <v>683</v>
      </c>
      <c r="G1363" s="18" t="n">
        <v>0</v>
      </c>
      <c r="H1363" s="18" t="n">
        <v>10.45</v>
      </c>
      <c r="I1363" s="18" t="n">
        <f aca="false">((I1362 + G1363) - H1363)</f>
        <v>-759253.330000001</v>
      </c>
      <c r="J1363" s="18" t="n">
        <v>-1.05</v>
      </c>
      <c r="K1363" s="19" t="n">
        <v>10</v>
      </c>
      <c r="L1363" s="17" t="s">
        <v>22</v>
      </c>
    </row>
    <row r="1364" s="11" customFormat="true" ht="10.95" hidden="false" customHeight="true" outlineLevel="0" collapsed="false">
      <c r="A1364" s="16" t="n">
        <v>45435</v>
      </c>
      <c r="B1364" s="17" t="s">
        <v>17</v>
      </c>
      <c r="C1364" s="17" t="s">
        <v>18</v>
      </c>
      <c r="D1364" s="17" t="s">
        <v>19</v>
      </c>
      <c r="E1364" s="17" t="s">
        <v>347</v>
      </c>
      <c r="F1364" s="17" t="s">
        <v>683</v>
      </c>
      <c r="G1364" s="18" t="n">
        <v>0</v>
      </c>
      <c r="H1364" s="18" t="n">
        <v>10.45</v>
      </c>
      <c r="I1364" s="18" t="n">
        <f aca="false">((I1363 + G1364) - H1364)</f>
        <v>-759263.780000001</v>
      </c>
      <c r="J1364" s="18" t="n">
        <v>-1.05</v>
      </c>
      <c r="K1364" s="19" t="n">
        <v>10</v>
      </c>
      <c r="L1364" s="17" t="s">
        <v>22</v>
      </c>
    </row>
    <row r="1365" s="11" customFormat="true" ht="10.95" hidden="false" customHeight="true" outlineLevel="0" collapsed="false">
      <c r="A1365" s="16" t="n">
        <v>45435</v>
      </c>
      <c r="B1365" s="17" t="s">
        <v>17</v>
      </c>
      <c r="C1365" s="17" t="s">
        <v>18</v>
      </c>
      <c r="D1365" s="17" t="s">
        <v>19</v>
      </c>
      <c r="E1365" s="17" t="s">
        <v>347</v>
      </c>
      <c r="F1365" s="17" t="s">
        <v>683</v>
      </c>
      <c r="G1365" s="18" t="n">
        <v>0</v>
      </c>
      <c r="H1365" s="18" t="n">
        <v>10.45</v>
      </c>
      <c r="I1365" s="18" t="n">
        <f aca="false">((I1364 + G1365) - H1365)</f>
        <v>-759274.23</v>
      </c>
      <c r="J1365" s="18" t="n">
        <v>-1.05</v>
      </c>
      <c r="K1365" s="19" t="n">
        <v>10</v>
      </c>
      <c r="L1365" s="17" t="s">
        <v>22</v>
      </c>
    </row>
    <row r="1366" s="11" customFormat="true" ht="10.95" hidden="false" customHeight="true" outlineLevel="0" collapsed="false">
      <c r="A1366" s="16" t="n">
        <v>45435</v>
      </c>
      <c r="B1366" s="17" t="s">
        <v>17</v>
      </c>
      <c r="C1366" s="17" t="s">
        <v>18</v>
      </c>
      <c r="D1366" s="17" t="s">
        <v>19</v>
      </c>
      <c r="E1366" s="17" t="s">
        <v>347</v>
      </c>
      <c r="F1366" s="17" t="s">
        <v>683</v>
      </c>
      <c r="G1366" s="18" t="n">
        <v>0</v>
      </c>
      <c r="H1366" s="18" t="n">
        <v>10.45</v>
      </c>
      <c r="I1366" s="18" t="n">
        <f aca="false">((I1365 + G1366) - H1366)</f>
        <v>-759284.68</v>
      </c>
      <c r="J1366" s="18" t="n">
        <v>-1.05</v>
      </c>
      <c r="K1366" s="19" t="n">
        <v>10</v>
      </c>
      <c r="L1366" s="17" t="s">
        <v>22</v>
      </c>
    </row>
    <row r="1367" s="11" customFormat="true" ht="10.95" hidden="false" customHeight="true" outlineLevel="0" collapsed="false">
      <c r="A1367" s="16" t="n">
        <v>45435</v>
      </c>
      <c r="B1367" s="17" t="s">
        <v>17</v>
      </c>
      <c r="C1367" s="17" t="s">
        <v>18</v>
      </c>
      <c r="D1367" s="17" t="s">
        <v>19</v>
      </c>
      <c r="E1367" s="17" t="s">
        <v>347</v>
      </c>
      <c r="F1367" s="17" t="s">
        <v>683</v>
      </c>
      <c r="G1367" s="18" t="n">
        <v>0</v>
      </c>
      <c r="H1367" s="18" t="n">
        <v>10.45</v>
      </c>
      <c r="I1367" s="18" t="n">
        <f aca="false">((I1366 + G1367) - H1367)</f>
        <v>-759295.13</v>
      </c>
      <c r="J1367" s="18" t="n">
        <v>-1.05</v>
      </c>
      <c r="K1367" s="19" t="n">
        <v>10</v>
      </c>
      <c r="L1367" s="17" t="s">
        <v>22</v>
      </c>
    </row>
    <row r="1368" s="11" customFormat="true" ht="10.95" hidden="false" customHeight="true" outlineLevel="0" collapsed="false">
      <c r="A1368" s="16" t="n">
        <v>45435</v>
      </c>
      <c r="B1368" s="17" t="s">
        <v>17</v>
      </c>
      <c r="C1368" s="17" t="s">
        <v>18</v>
      </c>
      <c r="D1368" s="17" t="s">
        <v>19</v>
      </c>
      <c r="E1368" s="17" t="s">
        <v>347</v>
      </c>
      <c r="F1368" s="17" t="s">
        <v>683</v>
      </c>
      <c r="G1368" s="18" t="n">
        <v>0</v>
      </c>
      <c r="H1368" s="18" t="n">
        <v>10.45</v>
      </c>
      <c r="I1368" s="18" t="n">
        <f aca="false">((I1367 + G1368) - H1368)</f>
        <v>-759305.58</v>
      </c>
      <c r="J1368" s="18" t="n">
        <v>-1.05</v>
      </c>
      <c r="K1368" s="19" t="n">
        <v>10</v>
      </c>
      <c r="L1368" s="17" t="s">
        <v>22</v>
      </c>
    </row>
    <row r="1369" s="11" customFormat="true" ht="10.95" hidden="false" customHeight="true" outlineLevel="0" collapsed="false">
      <c r="A1369" s="16" t="n">
        <v>45435</v>
      </c>
      <c r="B1369" s="17" t="s">
        <v>17</v>
      </c>
      <c r="C1369" s="17" t="s">
        <v>18</v>
      </c>
      <c r="D1369" s="17" t="s">
        <v>19</v>
      </c>
      <c r="E1369" s="17" t="s">
        <v>347</v>
      </c>
      <c r="F1369" s="17" t="s">
        <v>683</v>
      </c>
      <c r="G1369" s="18" t="n">
        <v>0</v>
      </c>
      <c r="H1369" s="18" t="n">
        <v>10.45</v>
      </c>
      <c r="I1369" s="18" t="n">
        <f aca="false">((I1368 + G1369) - H1369)</f>
        <v>-759316.03</v>
      </c>
      <c r="J1369" s="18" t="n">
        <v>-1.05</v>
      </c>
      <c r="K1369" s="19" t="n">
        <v>10</v>
      </c>
      <c r="L1369" s="17" t="s">
        <v>22</v>
      </c>
    </row>
    <row r="1370" s="11" customFormat="true" ht="10.95" hidden="false" customHeight="true" outlineLevel="0" collapsed="false">
      <c r="A1370" s="16" t="n">
        <v>45435</v>
      </c>
      <c r="B1370" s="17" t="s">
        <v>17</v>
      </c>
      <c r="C1370" s="17" t="s">
        <v>18</v>
      </c>
      <c r="D1370" s="17" t="s">
        <v>19</v>
      </c>
      <c r="E1370" s="17" t="s">
        <v>347</v>
      </c>
      <c r="F1370" s="17" t="s">
        <v>683</v>
      </c>
      <c r="G1370" s="18" t="n">
        <v>0</v>
      </c>
      <c r="H1370" s="18" t="n">
        <v>10.45</v>
      </c>
      <c r="I1370" s="18" t="n">
        <f aca="false">((I1369 + G1370) - H1370)</f>
        <v>-759326.48</v>
      </c>
      <c r="J1370" s="18" t="n">
        <v>-1.05</v>
      </c>
      <c r="K1370" s="19" t="n">
        <v>10</v>
      </c>
      <c r="L1370" s="17" t="s">
        <v>22</v>
      </c>
    </row>
    <row r="1371" s="11" customFormat="true" ht="10.95" hidden="false" customHeight="true" outlineLevel="0" collapsed="false">
      <c r="A1371" s="16" t="n">
        <v>45435</v>
      </c>
      <c r="B1371" s="17" t="s">
        <v>17</v>
      </c>
      <c r="C1371" s="17" t="s">
        <v>18</v>
      </c>
      <c r="D1371" s="17" t="s">
        <v>19</v>
      </c>
      <c r="E1371" s="17" t="s">
        <v>50</v>
      </c>
      <c r="F1371" s="17" t="s">
        <v>684</v>
      </c>
      <c r="G1371" s="18" t="n">
        <v>0</v>
      </c>
      <c r="H1371" s="18" t="n">
        <v>2040</v>
      </c>
      <c r="I1371" s="18" t="n">
        <f aca="false">((I1370 + G1371) - H1371)</f>
        <v>-761366.48</v>
      </c>
      <c r="J1371" s="18" t="n">
        <v>-204</v>
      </c>
      <c r="K1371" s="19" t="n">
        <v>10</v>
      </c>
      <c r="L1371" s="17" t="s">
        <v>22</v>
      </c>
    </row>
    <row r="1372" s="11" customFormat="true" ht="10.95" hidden="false" customHeight="true" outlineLevel="0" collapsed="false">
      <c r="A1372" s="16" t="n">
        <v>45435</v>
      </c>
      <c r="B1372" s="17" t="s">
        <v>17</v>
      </c>
      <c r="C1372" s="17" t="s">
        <v>18</v>
      </c>
      <c r="D1372" s="17" t="s">
        <v>19</v>
      </c>
      <c r="E1372" s="17" t="s">
        <v>192</v>
      </c>
      <c r="F1372" s="17" t="s">
        <v>685</v>
      </c>
      <c r="G1372" s="18" t="n">
        <v>0</v>
      </c>
      <c r="H1372" s="18" t="n">
        <v>170</v>
      </c>
      <c r="I1372" s="18" t="n">
        <f aca="false">((I1371 + G1372) - H1372)</f>
        <v>-761536.48</v>
      </c>
      <c r="J1372" s="18" t="n">
        <v>-17</v>
      </c>
      <c r="K1372" s="19" t="n">
        <v>10</v>
      </c>
      <c r="L1372" s="17" t="s">
        <v>22</v>
      </c>
    </row>
    <row r="1373" s="11" customFormat="true" ht="10.95" hidden="false" customHeight="true" outlineLevel="0" collapsed="false">
      <c r="A1373" s="16" t="n">
        <v>45435</v>
      </c>
      <c r="B1373" s="17" t="s">
        <v>17</v>
      </c>
      <c r="C1373" s="17" t="s">
        <v>18</v>
      </c>
      <c r="D1373" s="17" t="s">
        <v>19</v>
      </c>
      <c r="E1373" s="17" t="s">
        <v>192</v>
      </c>
      <c r="F1373" s="17" t="s">
        <v>685</v>
      </c>
      <c r="G1373" s="18" t="n">
        <v>0</v>
      </c>
      <c r="H1373" s="18" t="n">
        <v>170</v>
      </c>
      <c r="I1373" s="18" t="n">
        <f aca="false">((I1372 + G1373) - H1373)</f>
        <v>-761706.48</v>
      </c>
      <c r="J1373" s="18" t="n">
        <v>-17</v>
      </c>
      <c r="K1373" s="19" t="n">
        <v>10</v>
      </c>
      <c r="L1373" s="17" t="s">
        <v>22</v>
      </c>
    </row>
    <row r="1374" s="11" customFormat="true" ht="10.95" hidden="false" customHeight="true" outlineLevel="0" collapsed="false">
      <c r="A1374" s="16" t="n">
        <v>45435</v>
      </c>
      <c r="B1374" s="17" t="s">
        <v>17</v>
      </c>
      <c r="C1374" s="17" t="s">
        <v>18</v>
      </c>
      <c r="D1374" s="17" t="s">
        <v>19</v>
      </c>
      <c r="E1374" s="17" t="s">
        <v>192</v>
      </c>
      <c r="F1374" s="17" t="s">
        <v>685</v>
      </c>
      <c r="G1374" s="18" t="n">
        <v>0</v>
      </c>
      <c r="H1374" s="18" t="n">
        <v>170</v>
      </c>
      <c r="I1374" s="18" t="n">
        <f aca="false">((I1373 + G1374) - H1374)</f>
        <v>-761876.48</v>
      </c>
      <c r="J1374" s="18" t="n">
        <v>-17</v>
      </c>
      <c r="K1374" s="19" t="n">
        <v>10</v>
      </c>
      <c r="L1374" s="17" t="s">
        <v>22</v>
      </c>
    </row>
    <row r="1375" s="11" customFormat="true" ht="10.95" hidden="false" customHeight="true" outlineLevel="0" collapsed="false">
      <c r="A1375" s="16" t="n">
        <v>45435</v>
      </c>
      <c r="B1375" s="17" t="s">
        <v>17</v>
      </c>
      <c r="C1375" s="17" t="s">
        <v>18</v>
      </c>
      <c r="D1375" s="17" t="s">
        <v>19</v>
      </c>
      <c r="E1375" s="17" t="s">
        <v>52</v>
      </c>
      <c r="F1375" s="17" t="s">
        <v>686</v>
      </c>
      <c r="G1375" s="18" t="n">
        <v>0</v>
      </c>
      <c r="H1375" s="18" t="n">
        <v>1000.05</v>
      </c>
      <c r="I1375" s="18" t="n">
        <f aca="false">((I1374 + G1375) - H1375)</f>
        <v>-762876.53</v>
      </c>
      <c r="J1375" s="18" t="n">
        <v>-100.01</v>
      </c>
      <c r="K1375" s="19" t="n">
        <v>10</v>
      </c>
      <c r="L1375" s="17" t="s">
        <v>22</v>
      </c>
    </row>
    <row r="1376" s="11" customFormat="true" ht="10.95" hidden="false" customHeight="true" outlineLevel="0" collapsed="false">
      <c r="A1376" s="16" t="n">
        <v>45435</v>
      </c>
      <c r="B1376" s="17" t="s">
        <v>17</v>
      </c>
      <c r="C1376" s="17" t="s">
        <v>18</v>
      </c>
      <c r="D1376" s="17" t="s">
        <v>19</v>
      </c>
      <c r="E1376" s="17" t="s">
        <v>491</v>
      </c>
      <c r="F1376" s="17" t="s">
        <v>687</v>
      </c>
      <c r="G1376" s="18" t="n">
        <v>0</v>
      </c>
      <c r="H1376" s="18" t="n">
        <v>550</v>
      </c>
      <c r="I1376" s="18" t="n">
        <f aca="false">((I1375 + G1376) - H1376)</f>
        <v>-763426.53</v>
      </c>
      <c r="J1376" s="18" t="n">
        <v>-55</v>
      </c>
      <c r="K1376" s="19" t="n">
        <v>10</v>
      </c>
      <c r="L1376" s="17" t="s">
        <v>22</v>
      </c>
    </row>
    <row r="1377" s="11" customFormat="true" ht="10.95" hidden="false" customHeight="true" outlineLevel="0" collapsed="false">
      <c r="A1377" s="16" t="n">
        <v>45435</v>
      </c>
      <c r="B1377" s="17" t="s">
        <v>17</v>
      </c>
      <c r="C1377" s="17" t="s">
        <v>18</v>
      </c>
      <c r="D1377" s="17" t="s">
        <v>19</v>
      </c>
      <c r="E1377" s="17" t="s">
        <v>493</v>
      </c>
      <c r="F1377" s="17" t="s">
        <v>687</v>
      </c>
      <c r="G1377" s="18" t="n">
        <v>0</v>
      </c>
      <c r="H1377" s="18" t="n">
        <v>110</v>
      </c>
      <c r="I1377" s="18" t="n">
        <f aca="false">((I1376 + G1377) - H1377)</f>
        <v>-763536.53</v>
      </c>
      <c r="J1377" s="18" t="n">
        <v>-11</v>
      </c>
      <c r="K1377" s="19" t="n">
        <v>10</v>
      </c>
      <c r="L1377" s="17" t="s">
        <v>22</v>
      </c>
    </row>
    <row r="1378" s="11" customFormat="true" ht="10.95" hidden="false" customHeight="true" outlineLevel="0" collapsed="false">
      <c r="A1378" s="16" t="n">
        <v>45435</v>
      </c>
      <c r="B1378" s="17" t="s">
        <v>17</v>
      </c>
      <c r="C1378" s="17" t="s">
        <v>18</v>
      </c>
      <c r="D1378" s="17" t="s">
        <v>19</v>
      </c>
      <c r="E1378" s="17" t="s">
        <v>57</v>
      </c>
      <c r="F1378" s="17" t="s">
        <v>687</v>
      </c>
      <c r="G1378" s="18" t="n">
        <v>0</v>
      </c>
      <c r="H1378" s="18" t="n">
        <v>132</v>
      </c>
      <c r="I1378" s="18" t="n">
        <f aca="false">((I1377 + G1378) - H1378)</f>
        <v>-763668.53</v>
      </c>
      <c r="J1378" s="18" t="n">
        <v>-13.2</v>
      </c>
      <c r="K1378" s="19" t="n">
        <v>10</v>
      </c>
      <c r="L1378" s="17" t="s">
        <v>22</v>
      </c>
    </row>
    <row r="1379" s="11" customFormat="true" ht="10.95" hidden="false" customHeight="true" outlineLevel="0" collapsed="false">
      <c r="A1379" s="16" t="n">
        <v>45435</v>
      </c>
      <c r="B1379" s="17" t="s">
        <v>17</v>
      </c>
      <c r="C1379" s="17" t="s">
        <v>18</v>
      </c>
      <c r="D1379" s="17" t="s">
        <v>19</v>
      </c>
      <c r="E1379" s="17" t="s">
        <v>58</v>
      </c>
      <c r="F1379" s="17" t="s">
        <v>687</v>
      </c>
      <c r="G1379" s="18" t="n">
        <v>0</v>
      </c>
      <c r="H1379" s="18" t="n">
        <v>165</v>
      </c>
      <c r="I1379" s="18" t="n">
        <f aca="false">((I1378 + G1379) - H1379)</f>
        <v>-763833.53</v>
      </c>
      <c r="J1379" s="18" t="n">
        <v>-16.5</v>
      </c>
      <c r="K1379" s="19" t="n">
        <v>10</v>
      </c>
      <c r="L1379" s="17" t="s">
        <v>22</v>
      </c>
    </row>
    <row r="1380" s="11" customFormat="true" ht="10.95" hidden="false" customHeight="true" outlineLevel="0" collapsed="false">
      <c r="A1380" s="16" t="n">
        <v>45435</v>
      </c>
      <c r="B1380" s="17" t="s">
        <v>17</v>
      </c>
      <c r="C1380" s="17" t="s">
        <v>18</v>
      </c>
      <c r="D1380" s="17" t="s">
        <v>19</v>
      </c>
      <c r="E1380" s="17" t="s">
        <v>59</v>
      </c>
      <c r="F1380" s="17" t="s">
        <v>688</v>
      </c>
      <c r="G1380" s="18" t="n">
        <v>0</v>
      </c>
      <c r="H1380" s="18" t="n">
        <v>4800</v>
      </c>
      <c r="I1380" s="18" t="n">
        <f aca="false">((I1379 + G1380) - H1380)</f>
        <v>-768633.53</v>
      </c>
      <c r="J1380" s="18" t="n">
        <v>-480</v>
      </c>
      <c r="K1380" s="19" t="n">
        <v>10</v>
      </c>
      <c r="L1380" s="17" t="s">
        <v>22</v>
      </c>
    </row>
    <row r="1381" s="11" customFormat="true" ht="10.95" hidden="false" customHeight="true" outlineLevel="0" collapsed="false">
      <c r="A1381" s="16" t="n">
        <v>45435</v>
      </c>
      <c r="B1381" s="17" t="s">
        <v>17</v>
      </c>
      <c r="C1381" s="17" t="s">
        <v>18</v>
      </c>
      <c r="D1381" s="17" t="s">
        <v>19</v>
      </c>
      <c r="E1381" s="17" t="s">
        <v>61</v>
      </c>
      <c r="F1381" s="17" t="s">
        <v>688</v>
      </c>
      <c r="G1381" s="18" t="n">
        <v>0</v>
      </c>
      <c r="H1381" s="18" t="n">
        <v>3990</v>
      </c>
      <c r="I1381" s="18" t="n">
        <f aca="false">((I1380 + G1381) - H1381)</f>
        <v>-772623.53</v>
      </c>
      <c r="J1381" s="18" t="n">
        <v>-399</v>
      </c>
      <c r="K1381" s="19" t="n">
        <v>10</v>
      </c>
      <c r="L1381" s="17" t="s">
        <v>22</v>
      </c>
    </row>
    <row r="1382" s="11" customFormat="true" ht="10.95" hidden="false" customHeight="true" outlineLevel="0" collapsed="false">
      <c r="A1382" s="16" t="n">
        <v>45435</v>
      </c>
      <c r="B1382" s="17" t="s">
        <v>17</v>
      </c>
      <c r="C1382" s="17" t="s">
        <v>18</v>
      </c>
      <c r="D1382" s="17" t="s">
        <v>19</v>
      </c>
      <c r="E1382" s="17" t="s">
        <v>62</v>
      </c>
      <c r="F1382" s="17" t="s">
        <v>688</v>
      </c>
      <c r="G1382" s="18" t="n">
        <v>0</v>
      </c>
      <c r="H1382" s="18" t="n">
        <v>300</v>
      </c>
      <c r="I1382" s="18" t="n">
        <f aca="false">((I1381 + G1382) - H1382)</f>
        <v>-772923.53</v>
      </c>
      <c r="J1382" s="18" t="n">
        <v>-30</v>
      </c>
      <c r="K1382" s="19" t="n">
        <v>10</v>
      </c>
      <c r="L1382" s="17" t="s">
        <v>22</v>
      </c>
    </row>
    <row r="1383" s="11" customFormat="true" ht="10.95" hidden="false" customHeight="true" outlineLevel="0" collapsed="false">
      <c r="A1383" s="16" t="n">
        <v>45435</v>
      </c>
      <c r="B1383" s="17" t="s">
        <v>17</v>
      </c>
      <c r="C1383" s="17" t="s">
        <v>18</v>
      </c>
      <c r="D1383" s="17" t="s">
        <v>19</v>
      </c>
      <c r="E1383" s="17" t="s">
        <v>59</v>
      </c>
      <c r="F1383" s="17" t="s">
        <v>689</v>
      </c>
      <c r="G1383" s="18" t="n">
        <v>0</v>
      </c>
      <c r="H1383" s="18" t="n">
        <v>4800</v>
      </c>
      <c r="I1383" s="18" t="n">
        <f aca="false">((I1382 + G1383) - H1383)</f>
        <v>-777723.53</v>
      </c>
      <c r="J1383" s="18" t="n">
        <v>-480</v>
      </c>
      <c r="K1383" s="19" t="n">
        <v>10</v>
      </c>
      <c r="L1383" s="17" t="s">
        <v>22</v>
      </c>
    </row>
    <row r="1384" s="11" customFormat="true" ht="10.95" hidden="false" customHeight="true" outlineLevel="0" collapsed="false">
      <c r="A1384" s="16" t="n">
        <v>45435</v>
      </c>
      <c r="B1384" s="17" t="s">
        <v>17</v>
      </c>
      <c r="C1384" s="17" t="s">
        <v>18</v>
      </c>
      <c r="D1384" s="17" t="s">
        <v>19</v>
      </c>
      <c r="E1384" s="17" t="s">
        <v>61</v>
      </c>
      <c r="F1384" s="17" t="s">
        <v>689</v>
      </c>
      <c r="G1384" s="18" t="n">
        <v>0</v>
      </c>
      <c r="H1384" s="18" t="n">
        <v>3990</v>
      </c>
      <c r="I1384" s="18" t="n">
        <f aca="false">((I1383 + G1384) - H1384)</f>
        <v>-781713.53</v>
      </c>
      <c r="J1384" s="18" t="n">
        <v>-399</v>
      </c>
      <c r="K1384" s="19" t="n">
        <v>10</v>
      </c>
      <c r="L1384" s="17" t="s">
        <v>22</v>
      </c>
    </row>
    <row r="1385" s="11" customFormat="true" ht="10.95" hidden="false" customHeight="true" outlineLevel="0" collapsed="false">
      <c r="A1385" s="16" t="n">
        <v>45435</v>
      </c>
      <c r="B1385" s="17" t="s">
        <v>17</v>
      </c>
      <c r="C1385" s="17" t="s">
        <v>18</v>
      </c>
      <c r="D1385" s="17" t="s">
        <v>19</v>
      </c>
      <c r="E1385" s="17" t="s">
        <v>62</v>
      </c>
      <c r="F1385" s="17" t="s">
        <v>689</v>
      </c>
      <c r="G1385" s="18" t="n">
        <v>0</v>
      </c>
      <c r="H1385" s="18" t="n">
        <v>300</v>
      </c>
      <c r="I1385" s="18" t="n">
        <f aca="false">((I1384 + G1385) - H1385)</f>
        <v>-782013.53</v>
      </c>
      <c r="J1385" s="18" t="n">
        <v>-30</v>
      </c>
      <c r="K1385" s="19" t="n">
        <v>10</v>
      </c>
      <c r="L1385" s="17" t="s">
        <v>22</v>
      </c>
    </row>
    <row r="1386" s="11" customFormat="true" ht="10.95" hidden="false" customHeight="true" outlineLevel="0" collapsed="false">
      <c r="A1386" s="16" t="n">
        <v>45435</v>
      </c>
      <c r="B1386" s="17" t="s">
        <v>17</v>
      </c>
      <c r="C1386" s="17" t="s">
        <v>18</v>
      </c>
      <c r="D1386" s="17" t="s">
        <v>19</v>
      </c>
      <c r="E1386" s="17" t="s">
        <v>64</v>
      </c>
      <c r="F1386" s="17" t="s">
        <v>690</v>
      </c>
      <c r="G1386" s="18" t="n">
        <v>0</v>
      </c>
      <c r="H1386" s="18" t="n">
        <v>3850</v>
      </c>
      <c r="I1386" s="18" t="n">
        <f aca="false">((I1385 + G1386) - H1386)</f>
        <v>-785863.53</v>
      </c>
      <c r="J1386" s="18" t="n">
        <v>-385</v>
      </c>
      <c r="K1386" s="19" t="n">
        <v>10</v>
      </c>
      <c r="L1386" s="17" t="s">
        <v>22</v>
      </c>
    </row>
    <row r="1387" s="11" customFormat="true" ht="10.95" hidden="false" customHeight="true" outlineLevel="0" collapsed="false">
      <c r="A1387" s="16" t="n">
        <v>45435</v>
      </c>
      <c r="B1387" s="17" t="s">
        <v>17</v>
      </c>
      <c r="C1387" s="17" t="s">
        <v>18</v>
      </c>
      <c r="D1387" s="17" t="s">
        <v>19</v>
      </c>
      <c r="E1387" s="17" t="s">
        <v>66</v>
      </c>
      <c r="F1387" s="17" t="s">
        <v>690</v>
      </c>
      <c r="G1387" s="18" t="n">
        <v>0</v>
      </c>
      <c r="H1387" s="18" t="n">
        <v>220</v>
      </c>
      <c r="I1387" s="18" t="n">
        <f aca="false">((I1386 + G1387) - H1387)</f>
        <v>-786083.53</v>
      </c>
      <c r="J1387" s="18" t="n">
        <v>-22</v>
      </c>
      <c r="K1387" s="19" t="n">
        <v>10</v>
      </c>
      <c r="L1387" s="17" t="s">
        <v>22</v>
      </c>
    </row>
    <row r="1388" s="11" customFormat="true" ht="10.95" hidden="false" customHeight="true" outlineLevel="0" collapsed="false">
      <c r="A1388" s="16" t="n">
        <v>45435</v>
      </c>
      <c r="B1388" s="17" t="s">
        <v>17</v>
      </c>
      <c r="C1388" s="17" t="s">
        <v>18</v>
      </c>
      <c r="D1388" s="17" t="s">
        <v>19</v>
      </c>
      <c r="E1388" s="17" t="s">
        <v>67</v>
      </c>
      <c r="F1388" s="17" t="s">
        <v>690</v>
      </c>
      <c r="G1388" s="18" t="n">
        <v>0</v>
      </c>
      <c r="H1388" s="18" t="n">
        <v>220</v>
      </c>
      <c r="I1388" s="18" t="n">
        <f aca="false">((I1387 + G1388) - H1388)</f>
        <v>-786303.53</v>
      </c>
      <c r="J1388" s="18" t="n">
        <v>-22</v>
      </c>
      <c r="K1388" s="19" t="n">
        <v>10</v>
      </c>
      <c r="L1388" s="17" t="s">
        <v>22</v>
      </c>
    </row>
    <row r="1389" s="11" customFormat="true" ht="10.95" hidden="false" customHeight="true" outlineLevel="0" collapsed="false">
      <c r="A1389" s="16" t="n">
        <v>45435</v>
      </c>
      <c r="B1389" s="17" t="s">
        <v>17</v>
      </c>
      <c r="C1389" s="17" t="s">
        <v>18</v>
      </c>
      <c r="D1389" s="17" t="s">
        <v>19</v>
      </c>
      <c r="E1389" s="17" t="s">
        <v>68</v>
      </c>
      <c r="F1389" s="17" t="s">
        <v>690</v>
      </c>
      <c r="G1389" s="18" t="n">
        <v>0</v>
      </c>
      <c r="H1389" s="18" t="n">
        <v>250</v>
      </c>
      <c r="I1389" s="18" t="n">
        <f aca="false">((I1388 + G1389) - H1389)</f>
        <v>-786553.53</v>
      </c>
      <c r="J1389" s="18" t="n">
        <v>-25</v>
      </c>
      <c r="K1389" s="19" t="n">
        <v>10</v>
      </c>
      <c r="L1389" s="17" t="s">
        <v>22</v>
      </c>
    </row>
    <row r="1390" s="11" customFormat="true" ht="10.95" hidden="false" customHeight="true" outlineLevel="0" collapsed="false">
      <c r="A1390" s="16" t="n">
        <v>45435</v>
      </c>
      <c r="B1390" s="17" t="s">
        <v>17</v>
      </c>
      <c r="C1390" s="17" t="s">
        <v>18</v>
      </c>
      <c r="D1390" s="17" t="s">
        <v>19</v>
      </c>
      <c r="E1390" s="17" t="s">
        <v>69</v>
      </c>
      <c r="F1390" s="17" t="s">
        <v>691</v>
      </c>
      <c r="G1390" s="18" t="n">
        <v>0</v>
      </c>
      <c r="H1390" s="18" t="n">
        <v>880</v>
      </c>
      <c r="I1390" s="18" t="n">
        <f aca="false">((I1389 + G1390) - H1390)</f>
        <v>-787433.53</v>
      </c>
      <c r="J1390" s="18" t="n">
        <v>-88</v>
      </c>
      <c r="K1390" s="19" t="n">
        <v>10</v>
      </c>
      <c r="L1390" s="17" t="s">
        <v>22</v>
      </c>
    </row>
    <row r="1391" s="11" customFormat="true" ht="10.95" hidden="false" customHeight="true" outlineLevel="0" collapsed="false">
      <c r="A1391" s="16" t="n">
        <v>45435</v>
      </c>
      <c r="B1391" s="17" t="s">
        <v>17</v>
      </c>
      <c r="C1391" s="17" t="s">
        <v>18</v>
      </c>
      <c r="D1391" s="17" t="s">
        <v>19</v>
      </c>
      <c r="E1391" s="17" t="s">
        <v>201</v>
      </c>
      <c r="F1391" s="17" t="s">
        <v>692</v>
      </c>
      <c r="G1391" s="18" t="n">
        <v>0</v>
      </c>
      <c r="H1391" s="18" t="n">
        <v>720</v>
      </c>
      <c r="I1391" s="18" t="n">
        <f aca="false">((I1390 + G1391) - H1391)</f>
        <v>-788153.53</v>
      </c>
      <c r="J1391" s="18" t="n">
        <v>-72</v>
      </c>
      <c r="K1391" s="19" t="n">
        <v>10</v>
      </c>
      <c r="L1391" s="17" t="s">
        <v>22</v>
      </c>
    </row>
    <row r="1392" s="11" customFormat="true" ht="10.95" hidden="false" customHeight="true" outlineLevel="0" collapsed="false">
      <c r="A1392" s="16" t="n">
        <v>45435</v>
      </c>
      <c r="B1392" s="17" t="s">
        <v>17</v>
      </c>
      <c r="C1392" s="17" t="s">
        <v>18</v>
      </c>
      <c r="D1392" s="17" t="s">
        <v>19</v>
      </c>
      <c r="E1392" s="17" t="s">
        <v>203</v>
      </c>
      <c r="F1392" s="17" t="s">
        <v>692</v>
      </c>
      <c r="G1392" s="18" t="n">
        <v>0</v>
      </c>
      <c r="H1392" s="18" t="n">
        <v>110</v>
      </c>
      <c r="I1392" s="18" t="n">
        <f aca="false">((I1391 + G1392) - H1392)</f>
        <v>-788263.53</v>
      </c>
      <c r="J1392" s="18" t="n">
        <v>-11</v>
      </c>
      <c r="K1392" s="19" t="n">
        <v>10</v>
      </c>
      <c r="L1392" s="17" t="s">
        <v>22</v>
      </c>
    </row>
    <row r="1393" s="11" customFormat="true" ht="10.95" hidden="false" customHeight="true" outlineLevel="0" collapsed="false">
      <c r="A1393" s="16" t="n">
        <v>45435</v>
      </c>
      <c r="B1393" s="17" t="s">
        <v>17</v>
      </c>
      <c r="C1393" s="17" t="s">
        <v>18</v>
      </c>
      <c r="D1393" s="17" t="s">
        <v>19</v>
      </c>
      <c r="E1393" s="17" t="s">
        <v>74</v>
      </c>
      <c r="F1393" s="17" t="s">
        <v>693</v>
      </c>
      <c r="G1393" s="18" t="n">
        <v>0</v>
      </c>
      <c r="H1393" s="18" t="n">
        <v>1692</v>
      </c>
      <c r="I1393" s="18" t="n">
        <f aca="false">((I1392 + G1393) - H1393)</f>
        <v>-789955.53</v>
      </c>
      <c r="J1393" s="18" t="n">
        <v>-169.2</v>
      </c>
      <c r="K1393" s="19" t="n">
        <v>10</v>
      </c>
      <c r="L1393" s="17" t="s">
        <v>22</v>
      </c>
    </row>
    <row r="1394" s="11" customFormat="true" ht="10.95" hidden="false" customHeight="true" outlineLevel="0" collapsed="false">
      <c r="A1394" s="16" t="n">
        <v>45435</v>
      </c>
      <c r="B1394" s="17" t="s">
        <v>17</v>
      </c>
      <c r="C1394" s="17" t="s">
        <v>18</v>
      </c>
      <c r="D1394" s="17" t="s">
        <v>19</v>
      </c>
      <c r="E1394" s="17" t="s">
        <v>76</v>
      </c>
      <c r="F1394" s="17" t="s">
        <v>694</v>
      </c>
      <c r="G1394" s="18" t="n">
        <v>0</v>
      </c>
      <c r="H1394" s="18" t="n">
        <v>104.5</v>
      </c>
      <c r="I1394" s="18" t="n">
        <f aca="false">((I1393 + G1394) - H1394)</f>
        <v>-790060.03</v>
      </c>
      <c r="J1394" s="18" t="n">
        <v>-10.45</v>
      </c>
      <c r="K1394" s="19" t="n">
        <v>10</v>
      </c>
      <c r="L1394" s="17" t="s">
        <v>22</v>
      </c>
    </row>
    <row r="1395" s="11" customFormat="true" ht="10.95" hidden="false" customHeight="true" outlineLevel="0" collapsed="false">
      <c r="A1395" s="16" t="n">
        <v>45435</v>
      </c>
      <c r="B1395" s="17" t="s">
        <v>17</v>
      </c>
      <c r="C1395" s="17" t="s">
        <v>18</v>
      </c>
      <c r="D1395" s="17" t="s">
        <v>19</v>
      </c>
      <c r="E1395" s="17" t="s">
        <v>261</v>
      </c>
      <c r="F1395" s="17" t="s">
        <v>695</v>
      </c>
      <c r="G1395" s="18" t="n">
        <v>0</v>
      </c>
      <c r="H1395" s="18" t="n">
        <v>522.5</v>
      </c>
      <c r="I1395" s="18" t="n">
        <f aca="false">((I1394 + G1395) - H1395)</f>
        <v>-790582.53</v>
      </c>
      <c r="J1395" s="18" t="n">
        <v>-52.25</v>
      </c>
      <c r="K1395" s="19" t="n">
        <v>10</v>
      </c>
      <c r="L1395" s="17" t="s">
        <v>22</v>
      </c>
    </row>
    <row r="1396" s="11" customFormat="true" ht="10.95" hidden="false" customHeight="true" outlineLevel="0" collapsed="false">
      <c r="A1396" s="16" t="n">
        <v>45435</v>
      </c>
      <c r="B1396" s="17" t="s">
        <v>17</v>
      </c>
      <c r="C1396" s="17" t="s">
        <v>18</v>
      </c>
      <c r="D1396" s="17" t="s">
        <v>19</v>
      </c>
      <c r="E1396" s="17" t="s">
        <v>286</v>
      </c>
      <c r="F1396" s="17" t="s">
        <v>695</v>
      </c>
      <c r="G1396" s="18" t="n">
        <v>0</v>
      </c>
      <c r="H1396" s="18" t="n">
        <v>38.5</v>
      </c>
      <c r="I1396" s="18" t="n">
        <f aca="false">((I1395 + G1396) - H1396)</f>
        <v>-790621.03</v>
      </c>
      <c r="J1396" s="18" t="n">
        <v>0</v>
      </c>
      <c r="K1396" s="19" t="n">
        <v>0</v>
      </c>
      <c r="L1396" s="17" t="s">
        <v>88</v>
      </c>
    </row>
    <row r="1397" s="11" customFormat="true" ht="10.95" hidden="false" customHeight="true" outlineLevel="0" collapsed="false">
      <c r="A1397" s="16" t="n">
        <v>45435</v>
      </c>
      <c r="B1397" s="17" t="s">
        <v>17</v>
      </c>
      <c r="C1397" s="17" t="s">
        <v>18</v>
      </c>
      <c r="D1397" s="17" t="s">
        <v>19</v>
      </c>
      <c r="E1397" s="17" t="s">
        <v>288</v>
      </c>
      <c r="F1397" s="17" t="s">
        <v>695</v>
      </c>
      <c r="G1397" s="18" t="n">
        <v>0</v>
      </c>
      <c r="H1397" s="18" t="n">
        <v>5</v>
      </c>
      <c r="I1397" s="18" t="n">
        <f aca="false">((I1396 + G1397) - H1397)</f>
        <v>-790626.03</v>
      </c>
      <c r="J1397" s="18" t="n">
        <v>-0.5</v>
      </c>
      <c r="K1397" s="19" t="n">
        <v>10</v>
      </c>
      <c r="L1397" s="17" t="s">
        <v>22</v>
      </c>
    </row>
    <row r="1398" s="11" customFormat="true" ht="10.95" hidden="false" customHeight="true" outlineLevel="0" collapsed="false">
      <c r="A1398" s="16" t="n">
        <v>45435</v>
      </c>
      <c r="B1398" s="17" t="s">
        <v>17</v>
      </c>
      <c r="C1398" s="17" t="s">
        <v>18</v>
      </c>
      <c r="D1398" s="17" t="s">
        <v>19</v>
      </c>
      <c r="E1398" s="17" t="s">
        <v>76</v>
      </c>
      <c r="F1398" s="17" t="s">
        <v>696</v>
      </c>
      <c r="G1398" s="18" t="n">
        <v>0</v>
      </c>
      <c r="H1398" s="18" t="n">
        <v>752</v>
      </c>
      <c r="I1398" s="18" t="n">
        <f aca="false">((I1397 + G1398) - H1398)</f>
        <v>-791378.03</v>
      </c>
      <c r="J1398" s="18" t="n">
        <v>-75.2</v>
      </c>
      <c r="K1398" s="19" t="n">
        <v>10</v>
      </c>
      <c r="L1398" s="17" t="s">
        <v>22</v>
      </c>
    </row>
    <row r="1399" s="11" customFormat="true" ht="10.95" hidden="false" customHeight="true" outlineLevel="0" collapsed="false">
      <c r="A1399" s="16" t="n">
        <v>45435</v>
      </c>
      <c r="B1399" s="17" t="s">
        <v>17</v>
      </c>
      <c r="C1399" s="17" t="s">
        <v>18</v>
      </c>
      <c r="D1399" s="17" t="s">
        <v>19</v>
      </c>
      <c r="E1399" s="17" t="s">
        <v>78</v>
      </c>
      <c r="F1399" s="17" t="s">
        <v>697</v>
      </c>
      <c r="G1399" s="18" t="n">
        <v>0</v>
      </c>
      <c r="H1399" s="18" t="n">
        <v>564</v>
      </c>
      <c r="I1399" s="18" t="n">
        <f aca="false">((I1398 + G1399) - H1399)</f>
        <v>-791942.03</v>
      </c>
      <c r="J1399" s="18" t="n">
        <v>-56.4</v>
      </c>
      <c r="K1399" s="19" t="n">
        <v>10</v>
      </c>
      <c r="L1399" s="17" t="s">
        <v>22</v>
      </c>
    </row>
    <row r="1400" s="11" customFormat="true" ht="10.95" hidden="false" customHeight="true" outlineLevel="0" collapsed="false">
      <c r="A1400" s="16" t="n">
        <v>45435</v>
      </c>
      <c r="B1400" s="17" t="s">
        <v>17</v>
      </c>
      <c r="C1400" s="17" t="s">
        <v>18</v>
      </c>
      <c r="D1400" s="17" t="s">
        <v>19</v>
      </c>
      <c r="E1400" s="17" t="s">
        <v>80</v>
      </c>
      <c r="F1400" s="17" t="s">
        <v>697</v>
      </c>
      <c r="G1400" s="18" t="n">
        <v>0</v>
      </c>
      <c r="H1400" s="18" t="n">
        <v>110</v>
      </c>
      <c r="I1400" s="18" t="n">
        <f aca="false">((I1399 + G1400) - H1400)</f>
        <v>-792052.03</v>
      </c>
      <c r="J1400" s="18" t="n">
        <v>-11</v>
      </c>
      <c r="K1400" s="19" t="n">
        <v>10</v>
      </c>
      <c r="L1400" s="17" t="s">
        <v>22</v>
      </c>
    </row>
    <row r="1401" s="11" customFormat="true" ht="10.95" hidden="false" customHeight="true" outlineLevel="0" collapsed="false">
      <c r="A1401" s="16" t="n">
        <v>45435</v>
      </c>
      <c r="B1401" s="17" t="s">
        <v>17</v>
      </c>
      <c r="C1401" s="17" t="s">
        <v>18</v>
      </c>
      <c r="D1401" s="17" t="s">
        <v>19</v>
      </c>
      <c r="E1401" s="17" t="s">
        <v>78</v>
      </c>
      <c r="F1401" s="17" t="s">
        <v>698</v>
      </c>
      <c r="G1401" s="18" t="n">
        <v>0</v>
      </c>
      <c r="H1401" s="18" t="n">
        <v>188</v>
      </c>
      <c r="I1401" s="18" t="n">
        <f aca="false">((I1400 + G1401) - H1401)</f>
        <v>-792240.03</v>
      </c>
      <c r="J1401" s="18" t="n">
        <v>-18.8</v>
      </c>
      <c r="K1401" s="19" t="n">
        <v>10</v>
      </c>
      <c r="L1401" s="17" t="s">
        <v>22</v>
      </c>
    </row>
    <row r="1402" s="11" customFormat="true" ht="10.95" hidden="false" customHeight="true" outlineLevel="0" collapsed="false">
      <c r="A1402" s="16" t="n">
        <v>45435</v>
      </c>
      <c r="B1402" s="17" t="s">
        <v>17</v>
      </c>
      <c r="C1402" s="17" t="s">
        <v>18</v>
      </c>
      <c r="D1402" s="17" t="s">
        <v>19</v>
      </c>
      <c r="E1402" s="17" t="s">
        <v>78</v>
      </c>
      <c r="F1402" s="17" t="s">
        <v>699</v>
      </c>
      <c r="G1402" s="18" t="n">
        <v>0</v>
      </c>
      <c r="H1402" s="18" t="n">
        <v>1316</v>
      </c>
      <c r="I1402" s="18" t="n">
        <f aca="false">((I1401 + G1402) - H1402)</f>
        <v>-793556.03</v>
      </c>
      <c r="J1402" s="18" t="n">
        <v>-131.6</v>
      </c>
      <c r="K1402" s="19" t="n">
        <v>10</v>
      </c>
      <c r="L1402" s="17" t="s">
        <v>22</v>
      </c>
    </row>
    <row r="1403" s="11" customFormat="true" ht="10.95" hidden="false" customHeight="true" outlineLevel="0" collapsed="false">
      <c r="A1403" s="16" t="n">
        <v>45435</v>
      </c>
      <c r="B1403" s="17" t="s">
        <v>17</v>
      </c>
      <c r="C1403" s="17" t="s">
        <v>18</v>
      </c>
      <c r="D1403" s="17" t="s">
        <v>19</v>
      </c>
      <c r="E1403" s="17" t="s">
        <v>83</v>
      </c>
      <c r="F1403" s="17" t="s">
        <v>699</v>
      </c>
      <c r="G1403" s="18" t="n">
        <v>0</v>
      </c>
      <c r="H1403" s="18" t="n">
        <v>38.5</v>
      </c>
      <c r="I1403" s="18" t="n">
        <f aca="false">((I1402 + G1403) - H1403)</f>
        <v>-793594.53</v>
      </c>
      <c r="J1403" s="18" t="n">
        <v>-3.85</v>
      </c>
      <c r="K1403" s="19" t="n">
        <v>10</v>
      </c>
      <c r="L1403" s="17" t="s">
        <v>22</v>
      </c>
    </row>
    <row r="1404" s="11" customFormat="true" ht="10.95" hidden="false" customHeight="true" outlineLevel="0" collapsed="false">
      <c r="A1404" s="16" t="n">
        <v>45435</v>
      </c>
      <c r="B1404" s="17" t="s">
        <v>17</v>
      </c>
      <c r="C1404" s="17" t="s">
        <v>18</v>
      </c>
      <c r="D1404" s="17" t="s">
        <v>19</v>
      </c>
      <c r="E1404" s="17" t="s">
        <v>84</v>
      </c>
      <c r="F1404" s="17" t="s">
        <v>699</v>
      </c>
      <c r="G1404" s="18" t="n">
        <v>0</v>
      </c>
      <c r="H1404" s="18" t="n">
        <v>165</v>
      </c>
      <c r="I1404" s="18" t="n">
        <f aca="false">((I1403 + G1404) - H1404)</f>
        <v>-793759.53</v>
      </c>
      <c r="J1404" s="18" t="n">
        <v>-16.5</v>
      </c>
      <c r="K1404" s="19" t="n">
        <v>10</v>
      </c>
      <c r="L1404" s="17" t="s">
        <v>22</v>
      </c>
    </row>
    <row r="1405" s="11" customFormat="true" ht="10.95" hidden="false" customHeight="true" outlineLevel="0" collapsed="false">
      <c r="A1405" s="16" t="n">
        <v>45435</v>
      </c>
      <c r="B1405" s="17" t="s">
        <v>17</v>
      </c>
      <c r="C1405" s="17" t="s">
        <v>18</v>
      </c>
      <c r="D1405" s="17" t="s">
        <v>19</v>
      </c>
      <c r="E1405" s="17" t="s">
        <v>80</v>
      </c>
      <c r="F1405" s="17" t="s">
        <v>699</v>
      </c>
      <c r="G1405" s="18" t="n">
        <v>0</v>
      </c>
      <c r="H1405" s="18" t="n">
        <v>110</v>
      </c>
      <c r="I1405" s="18" t="n">
        <f aca="false">((I1404 + G1405) - H1405)</f>
        <v>-793869.53</v>
      </c>
      <c r="J1405" s="18" t="n">
        <v>-11</v>
      </c>
      <c r="K1405" s="19" t="n">
        <v>10</v>
      </c>
      <c r="L1405" s="17" t="s">
        <v>22</v>
      </c>
    </row>
    <row r="1406" s="11" customFormat="true" ht="10.95" hidden="false" customHeight="true" outlineLevel="0" collapsed="false">
      <c r="A1406" s="16" t="n">
        <v>45435</v>
      </c>
      <c r="B1406" s="17" t="s">
        <v>17</v>
      </c>
      <c r="C1406" s="17" t="s">
        <v>18</v>
      </c>
      <c r="D1406" s="17" t="s">
        <v>19</v>
      </c>
      <c r="E1406" s="17" t="s">
        <v>76</v>
      </c>
      <c r="F1406" s="17" t="s">
        <v>700</v>
      </c>
      <c r="G1406" s="18" t="n">
        <v>0</v>
      </c>
      <c r="H1406" s="18" t="n">
        <v>470</v>
      </c>
      <c r="I1406" s="18" t="n">
        <f aca="false">((I1405 + G1406) - H1406)</f>
        <v>-794339.53</v>
      </c>
      <c r="J1406" s="18" t="n">
        <v>-47</v>
      </c>
      <c r="K1406" s="19" t="n">
        <v>10</v>
      </c>
      <c r="L1406" s="17" t="s">
        <v>22</v>
      </c>
    </row>
    <row r="1407" s="11" customFormat="true" ht="10.95" hidden="false" customHeight="true" outlineLevel="0" collapsed="false">
      <c r="A1407" s="16" t="n">
        <v>45435</v>
      </c>
      <c r="B1407" s="17" t="s">
        <v>17</v>
      </c>
      <c r="C1407" s="17" t="s">
        <v>18</v>
      </c>
      <c r="D1407" s="17" t="s">
        <v>19</v>
      </c>
      <c r="E1407" s="17" t="s">
        <v>78</v>
      </c>
      <c r="F1407" s="17" t="s">
        <v>701</v>
      </c>
      <c r="G1407" s="18" t="n">
        <v>0</v>
      </c>
      <c r="H1407" s="18" t="n">
        <v>188</v>
      </c>
      <c r="I1407" s="18" t="n">
        <f aca="false">((I1406 + G1407) - H1407)</f>
        <v>-794527.53</v>
      </c>
      <c r="J1407" s="18" t="n">
        <v>-18.8</v>
      </c>
      <c r="K1407" s="19" t="n">
        <v>10</v>
      </c>
      <c r="L1407" s="17" t="s">
        <v>22</v>
      </c>
    </row>
    <row r="1408" s="11" customFormat="true" ht="10.95" hidden="false" customHeight="true" outlineLevel="0" collapsed="false">
      <c r="A1408" s="16" t="n">
        <v>45435</v>
      </c>
      <c r="B1408" s="17" t="s">
        <v>17</v>
      </c>
      <c r="C1408" s="17" t="s">
        <v>18</v>
      </c>
      <c r="D1408" s="17" t="s">
        <v>19</v>
      </c>
      <c r="E1408" s="17" t="s">
        <v>87</v>
      </c>
      <c r="F1408" s="17" t="s">
        <v>701</v>
      </c>
      <c r="G1408" s="18" t="n">
        <v>0</v>
      </c>
      <c r="H1408" s="18" t="n">
        <v>110</v>
      </c>
      <c r="I1408" s="18" t="n">
        <f aca="false">((I1407 + G1408) - H1408)</f>
        <v>-794637.53</v>
      </c>
      <c r="J1408" s="18" t="n">
        <v>0</v>
      </c>
      <c r="K1408" s="19" t="n">
        <v>0</v>
      </c>
      <c r="L1408" s="17" t="s">
        <v>88</v>
      </c>
    </row>
    <row r="1409" s="11" customFormat="true" ht="10.95" hidden="false" customHeight="true" outlineLevel="0" collapsed="false">
      <c r="A1409" s="16" t="n">
        <v>45435</v>
      </c>
      <c r="B1409" s="17" t="s">
        <v>17</v>
      </c>
      <c r="C1409" s="17" t="s">
        <v>18</v>
      </c>
      <c r="D1409" s="17" t="s">
        <v>19</v>
      </c>
      <c r="E1409" s="17" t="s">
        <v>89</v>
      </c>
      <c r="F1409" s="17" t="s">
        <v>702</v>
      </c>
      <c r="G1409" s="18" t="n">
        <v>0</v>
      </c>
      <c r="H1409" s="18" t="n">
        <v>470</v>
      </c>
      <c r="I1409" s="18" t="n">
        <f aca="false">((I1408 + G1409) - H1409)</f>
        <v>-795107.53</v>
      </c>
      <c r="J1409" s="18" t="n">
        <v>-47</v>
      </c>
      <c r="K1409" s="19" t="n">
        <v>10</v>
      </c>
      <c r="L1409" s="17" t="s">
        <v>22</v>
      </c>
    </row>
    <row r="1410" s="11" customFormat="true" ht="10.95" hidden="false" customHeight="true" outlineLevel="0" collapsed="false">
      <c r="A1410" s="16" t="n">
        <v>45435</v>
      </c>
      <c r="B1410" s="17" t="s">
        <v>17</v>
      </c>
      <c r="C1410" s="17" t="s">
        <v>18</v>
      </c>
      <c r="D1410" s="17" t="s">
        <v>19</v>
      </c>
      <c r="E1410" s="17" t="s">
        <v>87</v>
      </c>
      <c r="F1410" s="17" t="s">
        <v>702</v>
      </c>
      <c r="G1410" s="18" t="n">
        <v>0</v>
      </c>
      <c r="H1410" s="18" t="n">
        <v>110</v>
      </c>
      <c r="I1410" s="18" t="n">
        <f aca="false">((I1409 + G1410) - H1410)</f>
        <v>-795217.53</v>
      </c>
      <c r="J1410" s="18" t="n">
        <v>0</v>
      </c>
      <c r="K1410" s="19" t="n">
        <v>0</v>
      </c>
      <c r="L1410" s="17" t="s">
        <v>88</v>
      </c>
    </row>
    <row r="1411" s="11" customFormat="true" ht="10.95" hidden="false" customHeight="true" outlineLevel="0" collapsed="false">
      <c r="A1411" s="16" t="n">
        <v>45435</v>
      </c>
      <c r="B1411" s="17" t="s">
        <v>17</v>
      </c>
      <c r="C1411" s="17" t="s">
        <v>18</v>
      </c>
      <c r="D1411" s="17" t="s">
        <v>19</v>
      </c>
      <c r="E1411" s="17" t="s">
        <v>91</v>
      </c>
      <c r="F1411" s="17" t="s">
        <v>703</v>
      </c>
      <c r="G1411" s="18" t="n">
        <v>0</v>
      </c>
      <c r="H1411" s="18" t="n">
        <v>1316</v>
      </c>
      <c r="I1411" s="18" t="n">
        <f aca="false">((I1410 + G1411) - H1411)</f>
        <v>-796533.53</v>
      </c>
      <c r="J1411" s="18" t="n">
        <v>-131.6</v>
      </c>
      <c r="K1411" s="19" t="n">
        <v>10</v>
      </c>
      <c r="L1411" s="17" t="s">
        <v>22</v>
      </c>
    </row>
    <row r="1412" s="11" customFormat="true" ht="10.95" hidden="false" customHeight="true" outlineLevel="0" collapsed="false">
      <c r="A1412" s="16" t="n">
        <v>45435</v>
      </c>
      <c r="B1412" s="17" t="s">
        <v>17</v>
      </c>
      <c r="C1412" s="17" t="s">
        <v>18</v>
      </c>
      <c r="D1412" s="17" t="s">
        <v>19</v>
      </c>
      <c r="E1412" s="17" t="s">
        <v>93</v>
      </c>
      <c r="F1412" s="17" t="s">
        <v>703</v>
      </c>
      <c r="G1412" s="18" t="n">
        <v>0</v>
      </c>
      <c r="H1412" s="18" t="n">
        <v>330</v>
      </c>
      <c r="I1412" s="18" t="n">
        <f aca="false">((I1411 + G1412) - H1412)</f>
        <v>-796863.53</v>
      </c>
      <c r="J1412" s="18" t="n">
        <v>-33</v>
      </c>
      <c r="K1412" s="19" t="n">
        <v>10</v>
      </c>
      <c r="L1412" s="17" t="s">
        <v>22</v>
      </c>
    </row>
    <row r="1413" s="11" customFormat="true" ht="10.95" hidden="false" customHeight="true" outlineLevel="0" collapsed="false">
      <c r="A1413" s="16" t="n">
        <v>45435</v>
      </c>
      <c r="B1413" s="17" t="s">
        <v>17</v>
      </c>
      <c r="C1413" s="17" t="s">
        <v>18</v>
      </c>
      <c r="D1413" s="17" t="s">
        <v>19</v>
      </c>
      <c r="E1413" s="17" t="s">
        <v>94</v>
      </c>
      <c r="F1413" s="17" t="s">
        <v>703</v>
      </c>
      <c r="G1413" s="18" t="n">
        <v>0</v>
      </c>
      <c r="H1413" s="18" t="n">
        <v>143</v>
      </c>
      <c r="I1413" s="18" t="n">
        <f aca="false">((I1412 + G1413) - H1413)</f>
        <v>-797006.53</v>
      </c>
      <c r="J1413" s="18" t="n">
        <v>-14.3</v>
      </c>
      <c r="K1413" s="19" t="n">
        <v>10</v>
      </c>
      <c r="L1413" s="17" t="s">
        <v>22</v>
      </c>
    </row>
    <row r="1414" s="11" customFormat="true" ht="10.95" hidden="false" customHeight="true" outlineLevel="0" collapsed="false">
      <c r="A1414" s="16" t="n">
        <v>45435</v>
      </c>
      <c r="B1414" s="17" t="s">
        <v>17</v>
      </c>
      <c r="C1414" s="17" t="s">
        <v>18</v>
      </c>
      <c r="D1414" s="17" t="s">
        <v>19</v>
      </c>
      <c r="E1414" s="17" t="s">
        <v>95</v>
      </c>
      <c r="F1414" s="17" t="s">
        <v>704</v>
      </c>
      <c r="G1414" s="18" t="n">
        <v>0</v>
      </c>
      <c r="H1414" s="18" t="n">
        <v>1128</v>
      </c>
      <c r="I1414" s="18" t="n">
        <f aca="false">((I1413 + G1414) - H1414)</f>
        <v>-798134.53</v>
      </c>
      <c r="J1414" s="18" t="n">
        <v>-112.8</v>
      </c>
      <c r="K1414" s="19" t="n">
        <v>10</v>
      </c>
      <c r="L1414" s="17" t="s">
        <v>22</v>
      </c>
    </row>
    <row r="1415" s="11" customFormat="true" ht="10.95" hidden="false" customHeight="true" outlineLevel="0" collapsed="false">
      <c r="A1415" s="16" t="n">
        <v>45435</v>
      </c>
      <c r="B1415" s="17" t="s">
        <v>17</v>
      </c>
      <c r="C1415" s="17" t="s">
        <v>18</v>
      </c>
      <c r="D1415" s="17" t="s">
        <v>19</v>
      </c>
      <c r="E1415" s="17" t="s">
        <v>97</v>
      </c>
      <c r="F1415" s="17" t="s">
        <v>704</v>
      </c>
      <c r="G1415" s="18" t="n">
        <v>0</v>
      </c>
      <c r="H1415" s="18" t="n">
        <v>110</v>
      </c>
      <c r="I1415" s="18" t="n">
        <f aca="false">((I1414 + G1415) - H1415)</f>
        <v>-798244.53</v>
      </c>
      <c r="J1415" s="18" t="n">
        <v>-11</v>
      </c>
      <c r="K1415" s="19" t="n">
        <v>10</v>
      </c>
      <c r="L1415" s="17" t="s">
        <v>22</v>
      </c>
    </row>
    <row r="1416" s="11" customFormat="true" ht="10.95" hidden="false" customHeight="true" outlineLevel="0" collapsed="false">
      <c r="A1416" s="16" t="n">
        <v>45435</v>
      </c>
      <c r="B1416" s="17" t="s">
        <v>17</v>
      </c>
      <c r="C1416" s="17" t="s">
        <v>18</v>
      </c>
      <c r="D1416" s="17" t="s">
        <v>19</v>
      </c>
      <c r="E1416" s="17" t="s">
        <v>98</v>
      </c>
      <c r="F1416" s="17" t="s">
        <v>705</v>
      </c>
      <c r="G1416" s="18" t="n">
        <v>0</v>
      </c>
      <c r="H1416" s="18" t="n">
        <v>282</v>
      </c>
      <c r="I1416" s="18" t="n">
        <f aca="false">((I1415 + G1416) - H1416)</f>
        <v>-798526.53</v>
      </c>
      <c r="J1416" s="18" t="n">
        <v>-28.2</v>
      </c>
      <c r="K1416" s="19" t="n">
        <v>10</v>
      </c>
      <c r="L1416" s="17" t="s">
        <v>22</v>
      </c>
    </row>
    <row r="1417" s="11" customFormat="true" ht="10.95" hidden="false" customHeight="true" outlineLevel="0" collapsed="false">
      <c r="A1417" s="16" t="n">
        <v>45435</v>
      </c>
      <c r="B1417" s="17" t="s">
        <v>17</v>
      </c>
      <c r="C1417" s="17" t="s">
        <v>18</v>
      </c>
      <c r="D1417" s="17" t="s">
        <v>19</v>
      </c>
      <c r="E1417" s="17" t="s">
        <v>100</v>
      </c>
      <c r="F1417" s="17" t="s">
        <v>706</v>
      </c>
      <c r="G1417" s="18" t="n">
        <v>0</v>
      </c>
      <c r="H1417" s="18" t="n">
        <v>282</v>
      </c>
      <c r="I1417" s="18" t="n">
        <f aca="false">((I1416 + G1417) - H1417)</f>
        <v>-798808.53</v>
      </c>
      <c r="J1417" s="18" t="n">
        <v>-28.2</v>
      </c>
      <c r="K1417" s="19" t="n">
        <v>10</v>
      </c>
      <c r="L1417" s="17" t="s">
        <v>22</v>
      </c>
    </row>
    <row r="1418" s="11" customFormat="true" ht="10.95" hidden="false" customHeight="true" outlineLevel="0" collapsed="false">
      <c r="A1418" s="16" t="n">
        <v>45435</v>
      </c>
      <c r="B1418" s="17" t="s">
        <v>17</v>
      </c>
      <c r="C1418" s="17" t="s">
        <v>18</v>
      </c>
      <c r="D1418" s="17" t="s">
        <v>19</v>
      </c>
      <c r="E1418" s="17" t="s">
        <v>102</v>
      </c>
      <c r="F1418" s="17" t="s">
        <v>707</v>
      </c>
      <c r="G1418" s="18" t="n">
        <v>0</v>
      </c>
      <c r="H1418" s="18" t="n">
        <v>564</v>
      </c>
      <c r="I1418" s="18" t="n">
        <f aca="false">((I1417 + G1418) - H1418)</f>
        <v>-799372.53</v>
      </c>
      <c r="J1418" s="18" t="n">
        <v>-56.4</v>
      </c>
      <c r="K1418" s="19" t="n">
        <v>10</v>
      </c>
      <c r="L1418" s="17" t="s">
        <v>22</v>
      </c>
    </row>
    <row r="1419" s="11" customFormat="true" ht="10.95" hidden="false" customHeight="true" outlineLevel="0" collapsed="false">
      <c r="A1419" s="16" t="n">
        <v>45435</v>
      </c>
      <c r="B1419" s="17" t="s">
        <v>17</v>
      </c>
      <c r="C1419" s="17" t="s">
        <v>18</v>
      </c>
      <c r="D1419" s="17" t="s">
        <v>19</v>
      </c>
      <c r="E1419" s="17" t="s">
        <v>104</v>
      </c>
      <c r="F1419" s="17" t="s">
        <v>708</v>
      </c>
      <c r="G1419" s="18" t="n">
        <v>0</v>
      </c>
      <c r="H1419" s="18" t="n">
        <v>1034</v>
      </c>
      <c r="I1419" s="18" t="n">
        <f aca="false">((I1418 + G1419) - H1419)</f>
        <v>-800406.53</v>
      </c>
      <c r="J1419" s="18" t="n">
        <v>-103.4</v>
      </c>
      <c r="K1419" s="19" t="n">
        <v>10</v>
      </c>
      <c r="L1419" s="17" t="s">
        <v>22</v>
      </c>
    </row>
    <row r="1420" s="11" customFormat="true" ht="10.95" hidden="false" customHeight="true" outlineLevel="0" collapsed="false">
      <c r="A1420" s="16" t="n">
        <v>45435</v>
      </c>
      <c r="B1420" s="17" t="s">
        <v>17</v>
      </c>
      <c r="C1420" s="17" t="s">
        <v>18</v>
      </c>
      <c r="D1420" s="17" t="s">
        <v>19</v>
      </c>
      <c r="E1420" s="17" t="s">
        <v>106</v>
      </c>
      <c r="F1420" s="17" t="s">
        <v>709</v>
      </c>
      <c r="G1420" s="18" t="n">
        <v>0</v>
      </c>
      <c r="H1420" s="18" t="n">
        <v>94</v>
      </c>
      <c r="I1420" s="18" t="n">
        <f aca="false">((I1419 + G1420) - H1420)</f>
        <v>-800500.53</v>
      </c>
      <c r="J1420" s="18" t="n">
        <v>-9.4</v>
      </c>
      <c r="K1420" s="19" t="n">
        <v>10</v>
      </c>
      <c r="L1420" s="17" t="s">
        <v>22</v>
      </c>
    </row>
    <row r="1421" s="11" customFormat="true" ht="10.95" hidden="false" customHeight="true" outlineLevel="0" collapsed="false">
      <c r="A1421" s="16" t="n">
        <v>45435</v>
      </c>
      <c r="B1421" s="17" t="s">
        <v>17</v>
      </c>
      <c r="C1421" s="17" t="s">
        <v>18</v>
      </c>
      <c r="D1421" s="17" t="s">
        <v>19</v>
      </c>
      <c r="E1421" s="17" t="s">
        <v>108</v>
      </c>
      <c r="F1421" s="17" t="s">
        <v>710</v>
      </c>
      <c r="G1421" s="18" t="n">
        <v>0</v>
      </c>
      <c r="H1421" s="18" t="n">
        <v>658</v>
      </c>
      <c r="I1421" s="18" t="n">
        <f aca="false">((I1420 + G1421) - H1421)</f>
        <v>-801158.53</v>
      </c>
      <c r="J1421" s="18" t="n">
        <v>-65.8</v>
      </c>
      <c r="K1421" s="19" t="n">
        <v>10</v>
      </c>
      <c r="L1421" s="17" t="s">
        <v>22</v>
      </c>
    </row>
    <row r="1422" s="11" customFormat="true" ht="10.95" hidden="false" customHeight="true" outlineLevel="0" collapsed="false">
      <c r="A1422" s="16" t="n">
        <v>45435</v>
      </c>
      <c r="B1422" s="17" t="s">
        <v>17</v>
      </c>
      <c r="C1422" s="17" t="s">
        <v>18</v>
      </c>
      <c r="D1422" s="17" t="s">
        <v>19</v>
      </c>
      <c r="E1422" s="17" t="s">
        <v>116</v>
      </c>
      <c r="F1422" s="17" t="s">
        <v>711</v>
      </c>
      <c r="G1422" s="18" t="n">
        <v>0</v>
      </c>
      <c r="H1422" s="18" t="n">
        <v>1162</v>
      </c>
      <c r="I1422" s="18" t="n">
        <f aca="false">((I1421 + G1422) - H1422)</f>
        <v>-802320.53</v>
      </c>
      <c r="J1422" s="18" t="n">
        <v>-116.2</v>
      </c>
      <c r="K1422" s="19" t="n">
        <v>10</v>
      </c>
      <c r="L1422" s="17" t="s">
        <v>22</v>
      </c>
    </row>
    <row r="1423" s="11" customFormat="true" ht="10.95" hidden="false" customHeight="true" outlineLevel="0" collapsed="false">
      <c r="A1423" s="16" t="n">
        <v>45435</v>
      </c>
      <c r="B1423" s="17" t="s">
        <v>17</v>
      </c>
      <c r="C1423" s="17" t="s">
        <v>18</v>
      </c>
      <c r="D1423" s="17" t="s">
        <v>19</v>
      </c>
      <c r="E1423" s="17" t="s">
        <v>119</v>
      </c>
      <c r="F1423" s="17" t="s">
        <v>712</v>
      </c>
      <c r="G1423" s="18" t="n">
        <v>0</v>
      </c>
      <c r="H1423" s="18" t="n">
        <v>332</v>
      </c>
      <c r="I1423" s="18" t="n">
        <f aca="false">((I1422 + G1423) - H1423)</f>
        <v>-802652.53</v>
      </c>
      <c r="J1423" s="18" t="n">
        <v>-33.2</v>
      </c>
      <c r="K1423" s="19" t="n">
        <v>10</v>
      </c>
      <c r="L1423" s="17" t="s">
        <v>22</v>
      </c>
    </row>
    <row r="1424" s="11" customFormat="true" ht="10.95" hidden="false" customHeight="true" outlineLevel="0" collapsed="false">
      <c r="A1424" s="16" t="n">
        <v>45435</v>
      </c>
      <c r="B1424" s="17" t="s">
        <v>17</v>
      </c>
      <c r="C1424" s="17" t="s">
        <v>18</v>
      </c>
      <c r="D1424" s="17" t="s">
        <v>19</v>
      </c>
      <c r="E1424" s="17" t="s">
        <v>121</v>
      </c>
      <c r="F1424" s="17" t="s">
        <v>712</v>
      </c>
      <c r="G1424" s="18" t="n">
        <v>0</v>
      </c>
      <c r="H1424" s="18" t="n">
        <v>1743</v>
      </c>
      <c r="I1424" s="18" t="n">
        <f aca="false">((I1423 + G1424) - H1424)</f>
        <v>-804395.53</v>
      </c>
      <c r="J1424" s="18" t="n">
        <v>-174.3</v>
      </c>
      <c r="K1424" s="19" t="n">
        <v>10</v>
      </c>
      <c r="L1424" s="17" t="s">
        <v>22</v>
      </c>
    </row>
    <row r="1425" s="11" customFormat="true" ht="10.95" hidden="false" customHeight="true" outlineLevel="0" collapsed="false">
      <c r="A1425" s="16" t="n">
        <v>45435</v>
      </c>
      <c r="B1425" s="17" t="s">
        <v>17</v>
      </c>
      <c r="C1425" s="17" t="s">
        <v>18</v>
      </c>
      <c r="D1425" s="17" t="s">
        <v>19</v>
      </c>
      <c r="E1425" s="17" t="s">
        <v>122</v>
      </c>
      <c r="F1425" s="17" t="s">
        <v>712</v>
      </c>
      <c r="G1425" s="18" t="n">
        <v>0</v>
      </c>
      <c r="H1425" s="18" t="n">
        <v>83</v>
      </c>
      <c r="I1425" s="18" t="n">
        <f aca="false">((I1424 + G1425) - H1425)</f>
        <v>-804478.53</v>
      </c>
      <c r="J1425" s="18" t="n">
        <v>-8.3</v>
      </c>
      <c r="K1425" s="19" t="n">
        <v>10</v>
      </c>
      <c r="L1425" s="17" t="s">
        <v>22</v>
      </c>
    </row>
    <row r="1426" s="11" customFormat="true" ht="10.95" hidden="false" customHeight="true" outlineLevel="0" collapsed="false">
      <c r="A1426" s="16" t="n">
        <v>45435</v>
      </c>
      <c r="B1426" s="17" t="s">
        <v>17</v>
      </c>
      <c r="C1426" s="17" t="s">
        <v>18</v>
      </c>
      <c r="D1426" s="17" t="s">
        <v>19</v>
      </c>
      <c r="E1426" s="17" t="s">
        <v>124</v>
      </c>
      <c r="F1426" s="17" t="s">
        <v>712</v>
      </c>
      <c r="G1426" s="18" t="n">
        <v>0</v>
      </c>
      <c r="H1426" s="18" t="n">
        <v>249</v>
      </c>
      <c r="I1426" s="18" t="n">
        <f aca="false">((I1425 + G1426) - H1426)</f>
        <v>-804727.53</v>
      </c>
      <c r="J1426" s="18" t="n">
        <v>-24.9</v>
      </c>
      <c r="K1426" s="19" t="n">
        <v>10</v>
      </c>
      <c r="L1426" s="17" t="s">
        <v>22</v>
      </c>
    </row>
    <row r="1427" s="11" customFormat="true" ht="10.95" hidden="false" customHeight="true" outlineLevel="0" collapsed="false">
      <c r="A1427" s="16" t="n">
        <v>45435</v>
      </c>
      <c r="B1427" s="17" t="s">
        <v>17</v>
      </c>
      <c r="C1427" s="17" t="s">
        <v>18</v>
      </c>
      <c r="D1427" s="17" t="s">
        <v>19</v>
      </c>
      <c r="E1427" s="17" t="s">
        <v>125</v>
      </c>
      <c r="F1427" s="17" t="s">
        <v>712</v>
      </c>
      <c r="G1427" s="18" t="n">
        <v>0</v>
      </c>
      <c r="H1427" s="18" t="n">
        <v>83</v>
      </c>
      <c r="I1427" s="18" t="n">
        <f aca="false">((I1426 + G1427) - H1427)</f>
        <v>-804810.53</v>
      </c>
      <c r="J1427" s="18" t="n">
        <v>-8.3</v>
      </c>
      <c r="K1427" s="19" t="n">
        <v>10</v>
      </c>
      <c r="L1427" s="17" t="s">
        <v>22</v>
      </c>
    </row>
    <row r="1428" s="11" customFormat="true" ht="10.95" hidden="false" customHeight="true" outlineLevel="0" collapsed="false">
      <c r="A1428" s="16" t="n">
        <v>45435</v>
      </c>
      <c r="B1428" s="17" t="s">
        <v>17</v>
      </c>
      <c r="C1428" s="17" t="s">
        <v>18</v>
      </c>
      <c r="D1428" s="17" t="s">
        <v>19</v>
      </c>
      <c r="E1428" s="17" t="s">
        <v>126</v>
      </c>
      <c r="F1428" s="17" t="s">
        <v>712</v>
      </c>
      <c r="G1428" s="18" t="n">
        <v>0</v>
      </c>
      <c r="H1428" s="18" t="n">
        <v>94.5</v>
      </c>
      <c r="I1428" s="18" t="n">
        <f aca="false">((I1427 + G1428) - H1428)</f>
        <v>-804905.03</v>
      </c>
      <c r="J1428" s="18" t="n">
        <v>-9.45</v>
      </c>
      <c r="K1428" s="19" t="n">
        <v>10</v>
      </c>
      <c r="L1428" s="17" t="s">
        <v>22</v>
      </c>
    </row>
    <row r="1429" s="11" customFormat="true" ht="10.95" hidden="false" customHeight="true" outlineLevel="0" collapsed="false">
      <c r="A1429" s="16" t="n">
        <v>45435</v>
      </c>
      <c r="B1429" s="17" t="s">
        <v>17</v>
      </c>
      <c r="C1429" s="17" t="s">
        <v>18</v>
      </c>
      <c r="D1429" s="17" t="s">
        <v>19</v>
      </c>
      <c r="E1429" s="17" t="s">
        <v>127</v>
      </c>
      <c r="F1429" s="17" t="s">
        <v>712</v>
      </c>
      <c r="G1429" s="18" t="n">
        <v>0</v>
      </c>
      <c r="H1429" s="18" t="n">
        <v>83</v>
      </c>
      <c r="I1429" s="18" t="n">
        <f aca="false">((I1428 + G1429) - H1429)</f>
        <v>-804988.03</v>
      </c>
      <c r="J1429" s="18" t="n">
        <v>-8.3</v>
      </c>
      <c r="K1429" s="19" t="n">
        <v>10</v>
      </c>
      <c r="L1429" s="17" t="s">
        <v>22</v>
      </c>
    </row>
    <row r="1430" s="11" customFormat="true" ht="10.95" hidden="false" customHeight="true" outlineLevel="0" collapsed="false">
      <c r="A1430" s="16" t="n">
        <v>45435</v>
      </c>
      <c r="B1430" s="17" t="s">
        <v>17</v>
      </c>
      <c r="C1430" s="17" t="s">
        <v>18</v>
      </c>
      <c r="D1430" s="17" t="s">
        <v>19</v>
      </c>
      <c r="E1430" s="17" t="s">
        <v>128</v>
      </c>
      <c r="F1430" s="17" t="s">
        <v>712</v>
      </c>
      <c r="G1430" s="18" t="n">
        <v>0</v>
      </c>
      <c r="H1430" s="18" t="n">
        <v>83</v>
      </c>
      <c r="I1430" s="18" t="n">
        <f aca="false">((I1429 + G1430) - H1430)</f>
        <v>-805071.03</v>
      </c>
      <c r="J1430" s="18" t="n">
        <v>-8.3</v>
      </c>
      <c r="K1430" s="19" t="n">
        <v>10</v>
      </c>
      <c r="L1430" s="17" t="s">
        <v>22</v>
      </c>
    </row>
    <row r="1431" s="11" customFormat="true" ht="10.95" hidden="false" customHeight="true" outlineLevel="0" collapsed="false">
      <c r="A1431" s="16" t="n">
        <v>45435</v>
      </c>
      <c r="B1431" s="17" t="s">
        <v>17</v>
      </c>
      <c r="C1431" s="17" t="s">
        <v>18</v>
      </c>
      <c r="D1431" s="17" t="s">
        <v>19</v>
      </c>
      <c r="E1431" s="17" t="s">
        <v>129</v>
      </c>
      <c r="F1431" s="17" t="s">
        <v>712</v>
      </c>
      <c r="G1431" s="18" t="n">
        <v>0</v>
      </c>
      <c r="H1431" s="18" t="n">
        <v>166</v>
      </c>
      <c r="I1431" s="18" t="n">
        <f aca="false">((I1430 + G1431) - H1431)</f>
        <v>-805237.03</v>
      </c>
      <c r="J1431" s="18" t="n">
        <v>-16.6</v>
      </c>
      <c r="K1431" s="19" t="n">
        <v>10</v>
      </c>
      <c r="L1431" s="17" t="s">
        <v>22</v>
      </c>
    </row>
    <row r="1432" s="11" customFormat="true" ht="10.95" hidden="false" customHeight="true" outlineLevel="0" collapsed="false">
      <c r="A1432" s="16" t="n">
        <v>45435</v>
      </c>
      <c r="B1432" s="17" t="s">
        <v>17</v>
      </c>
      <c r="C1432" s="17" t="s">
        <v>18</v>
      </c>
      <c r="D1432" s="17" t="s">
        <v>19</v>
      </c>
      <c r="E1432" s="17" t="s">
        <v>130</v>
      </c>
      <c r="F1432" s="17" t="s">
        <v>712</v>
      </c>
      <c r="G1432" s="18" t="n">
        <v>0</v>
      </c>
      <c r="H1432" s="18" t="n">
        <v>664</v>
      </c>
      <c r="I1432" s="18" t="n">
        <f aca="false">((I1431 + G1432) - H1432)</f>
        <v>-805901.03</v>
      </c>
      <c r="J1432" s="18" t="n">
        <v>-66.4</v>
      </c>
      <c r="K1432" s="19" t="n">
        <v>10</v>
      </c>
      <c r="L1432" s="17" t="s">
        <v>22</v>
      </c>
    </row>
    <row r="1433" s="11" customFormat="true" ht="10.95" hidden="false" customHeight="true" outlineLevel="0" collapsed="false">
      <c r="A1433" s="16" t="n">
        <v>45435</v>
      </c>
      <c r="B1433" s="17" t="s">
        <v>17</v>
      </c>
      <c r="C1433" s="17" t="s">
        <v>18</v>
      </c>
      <c r="D1433" s="17" t="s">
        <v>19</v>
      </c>
      <c r="E1433" s="17" t="s">
        <v>131</v>
      </c>
      <c r="F1433" s="17" t="s">
        <v>712</v>
      </c>
      <c r="G1433" s="18" t="n">
        <v>0</v>
      </c>
      <c r="H1433" s="18" t="n">
        <v>94.5</v>
      </c>
      <c r="I1433" s="18" t="n">
        <f aca="false">((I1432 + G1433) - H1433)</f>
        <v>-805995.53</v>
      </c>
      <c r="J1433" s="18" t="n">
        <v>-9.45</v>
      </c>
      <c r="K1433" s="19" t="n">
        <v>10</v>
      </c>
      <c r="L1433" s="17" t="s">
        <v>22</v>
      </c>
    </row>
    <row r="1434" s="11" customFormat="true" ht="10.95" hidden="false" customHeight="true" outlineLevel="0" collapsed="false">
      <c r="A1434" s="16" t="n">
        <v>45435</v>
      </c>
      <c r="B1434" s="17" t="s">
        <v>17</v>
      </c>
      <c r="C1434" s="17" t="s">
        <v>18</v>
      </c>
      <c r="D1434" s="17" t="s">
        <v>19</v>
      </c>
      <c r="E1434" s="17" t="s">
        <v>132</v>
      </c>
      <c r="F1434" s="17" t="s">
        <v>712</v>
      </c>
      <c r="G1434" s="18" t="n">
        <v>0</v>
      </c>
      <c r="H1434" s="18" t="n">
        <v>100</v>
      </c>
      <c r="I1434" s="18" t="n">
        <f aca="false">((I1433 + G1434) - H1434)</f>
        <v>-806095.53</v>
      </c>
      <c r="J1434" s="18" t="n">
        <v>-10</v>
      </c>
      <c r="K1434" s="19" t="n">
        <v>10</v>
      </c>
      <c r="L1434" s="17" t="s">
        <v>22</v>
      </c>
    </row>
    <row r="1435" s="11" customFormat="true" ht="10.95" hidden="false" customHeight="true" outlineLevel="0" collapsed="false">
      <c r="A1435" s="16" t="n">
        <v>45435</v>
      </c>
      <c r="B1435" s="17" t="s">
        <v>17</v>
      </c>
      <c r="C1435" s="17" t="s">
        <v>18</v>
      </c>
      <c r="D1435" s="17" t="s">
        <v>19</v>
      </c>
      <c r="E1435" s="17" t="s">
        <v>133</v>
      </c>
      <c r="F1435" s="17" t="s">
        <v>712</v>
      </c>
      <c r="G1435" s="18" t="n">
        <v>0</v>
      </c>
      <c r="H1435" s="18" t="n">
        <v>83</v>
      </c>
      <c r="I1435" s="18" t="n">
        <f aca="false">((I1434 + G1435) - H1435)</f>
        <v>-806178.53</v>
      </c>
      <c r="J1435" s="18" t="n">
        <v>-8.3</v>
      </c>
      <c r="K1435" s="19" t="n">
        <v>10</v>
      </c>
      <c r="L1435" s="17" t="s">
        <v>22</v>
      </c>
    </row>
    <row r="1436" s="11" customFormat="true" ht="10.95" hidden="false" customHeight="true" outlineLevel="0" collapsed="false">
      <c r="A1436" s="16" t="n">
        <v>45435</v>
      </c>
      <c r="B1436" s="17" t="s">
        <v>17</v>
      </c>
      <c r="C1436" s="17" t="s">
        <v>18</v>
      </c>
      <c r="D1436" s="17" t="s">
        <v>19</v>
      </c>
      <c r="E1436" s="17" t="s">
        <v>134</v>
      </c>
      <c r="F1436" s="17" t="s">
        <v>712</v>
      </c>
      <c r="G1436" s="18" t="n">
        <v>0</v>
      </c>
      <c r="H1436" s="18" t="n">
        <v>100</v>
      </c>
      <c r="I1436" s="18" t="n">
        <f aca="false">((I1435 + G1436) - H1436)</f>
        <v>-806278.53</v>
      </c>
      <c r="J1436" s="18" t="n">
        <v>-10</v>
      </c>
      <c r="K1436" s="19" t="n">
        <v>10</v>
      </c>
      <c r="L1436" s="17" t="s">
        <v>22</v>
      </c>
    </row>
    <row r="1437" s="11" customFormat="true" ht="10.95" hidden="false" customHeight="true" outlineLevel="0" collapsed="false">
      <c r="A1437" s="16" t="n">
        <v>45435</v>
      </c>
      <c r="B1437" s="17" t="s">
        <v>17</v>
      </c>
      <c r="C1437" s="17" t="s">
        <v>18</v>
      </c>
      <c r="D1437" s="17" t="s">
        <v>19</v>
      </c>
      <c r="E1437" s="17" t="s">
        <v>136</v>
      </c>
      <c r="F1437" s="17" t="s">
        <v>712</v>
      </c>
      <c r="G1437" s="18" t="n">
        <v>0</v>
      </c>
      <c r="H1437" s="18" t="n">
        <v>249</v>
      </c>
      <c r="I1437" s="18" t="n">
        <f aca="false">((I1436 + G1437) - H1437)</f>
        <v>-806527.53</v>
      </c>
      <c r="J1437" s="18" t="n">
        <v>-24.9</v>
      </c>
      <c r="K1437" s="19" t="n">
        <v>10</v>
      </c>
      <c r="L1437" s="17" t="s">
        <v>22</v>
      </c>
    </row>
    <row r="1438" s="11" customFormat="true" ht="10.95" hidden="false" customHeight="true" outlineLevel="0" collapsed="false">
      <c r="A1438" s="16" t="n">
        <v>45435</v>
      </c>
      <c r="B1438" s="17" t="s">
        <v>17</v>
      </c>
      <c r="C1438" s="17" t="s">
        <v>18</v>
      </c>
      <c r="D1438" s="17" t="s">
        <v>19</v>
      </c>
      <c r="E1438" s="17" t="s">
        <v>137</v>
      </c>
      <c r="F1438" s="17" t="s">
        <v>712</v>
      </c>
      <c r="G1438" s="18" t="n">
        <v>0</v>
      </c>
      <c r="H1438" s="18" t="n">
        <v>498</v>
      </c>
      <c r="I1438" s="18" t="n">
        <f aca="false">((I1437 + G1438) - H1438)</f>
        <v>-807025.53</v>
      </c>
      <c r="J1438" s="18" t="n">
        <v>-49.8</v>
      </c>
      <c r="K1438" s="19" t="n">
        <v>10</v>
      </c>
      <c r="L1438" s="17" t="s">
        <v>22</v>
      </c>
    </row>
    <row r="1439" s="11" customFormat="true" ht="10.95" hidden="false" customHeight="true" outlineLevel="0" collapsed="false">
      <c r="A1439" s="16" t="n">
        <v>45435</v>
      </c>
      <c r="B1439" s="17" t="s">
        <v>17</v>
      </c>
      <c r="C1439" s="17" t="s">
        <v>18</v>
      </c>
      <c r="D1439" s="17" t="s">
        <v>19</v>
      </c>
      <c r="E1439" s="17" t="s">
        <v>532</v>
      </c>
      <c r="F1439" s="17" t="s">
        <v>712</v>
      </c>
      <c r="G1439" s="18" t="n">
        <v>0</v>
      </c>
      <c r="H1439" s="18" t="n">
        <v>99</v>
      </c>
      <c r="I1439" s="18" t="n">
        <f aca="false">((I1438 + G1439) - H1439)</f>
        <v>-807124.53</v>
      </c>
      <c r="J1439" s="18" t="n">
        <v>-9.9</v>
      </c>
      <c r="K1439" s="19" t="n">
        <v>10</v>
      </c>
      <c r="L1439" s="17" t="s">
        <v>22</v>
      </c>
    </row>
    <row r="1440" s="11" customFormat="true" ht="10.95" hidden="false" customHeight="true" outlineLevel="0" collapsed="false">
      <c r="A1440" s="16" t="n">
        <v>45435</v>
      </c>
      <c r="B1440" s="17" t="s">
        <v>17</v>
      </c>
      <c r="C1440" s="17" t="s">
        <v>18</v>
      </c>
      <c r="D1440" s="17" t="s">
        <v>19</v>
      </c>
      <c r="E1440" s="17" t="s">
        <v>138</v>
      </c>
      <c r="F1440" s="17" t="s">
        <v>712</v>
      </c>
      <c r="G1440" s="18" t="n">
        <v>0</v>
      </c>
      <c r="H1440" s="18" t="n">
        <v>166</v>
      </c>
      <c r="I1440" s="18" t="n">
        <f aca="false">((I1439 + G1440) - H1440)</f>
        <v>-807290.53</v>
      </c>
      <c r="J1440" s="18" t="n">
        <v>-16.6</v>
      </c>
      <c r="K1440" s="19" t="n">
        <v>10</v>
      </c>
      <c r="L1440" s="17" t="s">
        <v>22</v>
      </c>
    </row>
    <row r="1441" s="11" customFormat="true" ht="10.95" hidden="false" customHeight="true" outlineLevel="0" collapsed="false">
      <c r="A1441" s="16" t="n">
        <v>45435</v>
      </c>
      <c r="B1441" s="17" t="s">
        <v>17</v>
      </c>
      <c r="C1441" s="17" t="s">
        <v>18</v>
      </c>
      <c r="D1441" s="17" t="s">
        <v>19</v>
      </c>
      <c r="E1441" s="17" t="s">
        <v>139</v>
      </c>
      <c r="F1441" s="17" t="s">
        <v>712</v>
      </c>
      <c r="G1441" s="18" t="n">
        <v>0</v>
      </c>
      <c r="H1441" s="18" t="n">
        <v>332</v>
      </c>
      <c r="I1441" s="18" t="n">
        <f aca="false">((I1440 + G1441) - H1441)</f>
        <v>-807622.53</v>
      </c>
      <c r="J1441" s="18" t="n">
        <v>-33.2</v>
      </c>
      <c r="K1441" s="19" t="n">
        <v>10</v>
      </c>
      <c r="L1441" s="17" t="s">
        <v>22</v>
      </c>
    </row>
    <row r="1442" s="11" customFormat="true" ht="10.95" hidden="false" customHeight="true" outlineLevel="0" collapsed="false">
      <c r="A1442" s="16" t="n">
        <v>45435</v>
      </c>
      <c r="B1442" s="17" t="s">
        <v>17</v>
      </c>
      <c r="C1442" s="17" t="s">
        <v>18</v>
      </c>
      <c r="D1442" s="17" t="s">
        <v>19</v>
      </c>
      <c r="E1442" s="17" t="s">
        <v>427</v>
      </c>
      <c r="F1442" s="17" t="s">
        <v>712</v>
      </c>
      <c r="G1442" s="18" t="n">
        <v>0</v>
      </c>
      <c r="H1442" s="18" t="n">
        <v>94.5</v>
      </c>
      <c r="I1442" s="18" t="n">
        <f aca="false">((I1441 + G1442) - H1442)</f>
        <v>-807717.03</v>
      </c>
      <c r="J1442" s="18" t="n">
        <v>-9.45</v>
      </c>
      <c r="K1442" s="19" t="n">
        <v>10</v>
      </c>
      <c r="L1442" s="17" t="s">
        <v>22</v>
      </c>
    </row>
    <row r="1443" s="11" customFormat="true" ht="10.95" hidden="false" customHeight="true" outlineLevel="0" collapsed="false">
      <c r="A1443" s="16" t="n">
        <v>45435</v>
      </c>
      <c r="B1443" s="17" t="s">
        <v>17</v>
      </c>
      <c r="C1443" s="17" t="s">
        <v>18</v>
      </c>
      <c r="D1443" s="17" t="s">
        <v>19</v>
      </c>
      <c r="E1443" s="17" t="s">
        <v>140</v>
      </c>
      <c r="F1443" s="17" t="s">
        <v>712</v>
      </c>
      <c r="G1443" s="18" t="n">
        <v>0</v>
      </c>
      <c r="H1443" s="18" t="n">
        <v>166</v>
      </c>
      <c r="I1443" s="18" t="n">
        <f aca="false">((I1442 + G1443) - H1443)</f>
        <v>-807883.03</v>
      </c>
      <c r="J1443" s="18" t="n">
        <v>-16.6</v>
      </c>
      <c r="K1443" s="19" t="n">
        <v>10</v>
      </c>
      <c r="L1443" s="17" t="s">
        <v>22</v>
      </c>
    </row>
    <row r="1444" s="11" customFormat="true" ht="10.95" hidden="false" customHeight="true" outlineLevel="0" collapsed="false">
      <c r="A1444" s="16" t="n">
        <v>45435</v>
      </c>
      <c r="B1444" s="17" t="s">
        <v>17</v>
      </c>
      <c r="C1444" s="17" t="s">
        <v>18</v>
      </c>
      <c r="D1444" s="17" t="s">
        <v>19</v>
      </c>
      <c r="E1444" s="17" t="s">
        <v>141</v>
      </c>
      <c r="F1444" s="17" t="s">
        <v>712</v>
      </c>
      <c r="G1444" s="18" t="n">
        <v>0</v>
      </c>
      <c r="H1444" s="18" t="n">
        <v>249</v>
      </c>
      <c r="I1444" s="18" t="n">
        <f aca="false">((I1443 + G1444) - H1444)</f>
        <v>-808132.03</v>
      </c>
      <c r="J1444" s="18" t="n">
        <v>-24.9</v>
      </c>
      <c r="K1444" s="19" t="n">
        <v>10</v>
      </c>
      <c r="L1444" s="17" t="s">
        <v>22</v>
      </c>
    </row>
    <row r="1445" s="11" customFormat="true" ht="10.95" hidden="false" customHeight="true" outlineLevel="0" collapsed="false">
      <c r="A1445" s="16" t="n">
        <v>45435</v>
      </c>
      <c r="B1445" s="17" t="s">
        <v>17</v>
      </c>
      <c r="C1445" s="17" t="s">
        <v>18</v>
      </c>
      <c r="D1445" s="17" t="s">
        <v>19</v>
      </c>
      <c r="E1445" s="17" t="s">
        <v>142</v>
      </c>
      <c r="F1445" s="17" t="s">
        <v>712</v>
      </c>
      <c r="G1445" s="18" t="n">
        <v>0</v>
      </c>
      <c r="H1445" s="18" t="n">
        <v>249</v>
      </c>
      <c r="I1445" s="18" t="n">
        <f aca="false">((I1444 + G1445) - H1445)</f>
        <v>-808381.03</v>
      </c>
      <c r="J1445" s="18" t="n">
        <v>-24.9</v>
      </c>
      <c r="K1445" s="19" t="n">
        <v>10</v>
      </c>
      <c r="L1445" s="17" t="s">
        <v>22</v>
      </c>
    </row>
    <row r="1446" s="11" customFormat="true" ht="10.95" hidden="false" customHeight="true" outlineLevel="0" collapsed="false">
      <c r="A1446" s="16" t="n">
        <v>45435</v>
      </c>
      <c r="B1446" s="17" t="s">
        <v>17</v>
      </c>
      <c r="C1446" s="17" t="s">
        <v>18</v>
      </c>
      <c r="D1446" s="17" t="s">
        <v>19</v>
      </c>
      <c r="E1446" s="17" t="s">
        <v>143</v>
      </c>
      <c r="F1446" s="17" t="s">
        <v>712</v>
      </c>
      <c r="G1446" s="18" t="n">
        <v>0</v>
      </c>
      <c r="H1446" s="18" t="n">
        <v>189</v>
      </c>
      <c r="I1446" s="18" t="n">
        <f aca="false">((I1445 + G1446) - H1446)</f>
        <v>-808570.03</v>
      </c>
      <c r="J1446" s="18" t="n">
        <v>-18.9</v>
      </c>
      <c r="K1446" s="19" t="n">
        <v>10</v>
      </c>
      <c r="L1446" s="17" t="s">
        <v>22</v>
      </c>
    </row>
    <row r="1447" s="11" customFormat="true" ht="10.95" hidden="false" customHeight="true" outlineLevel="0" collapsed="false">
      <c r="A1447" s="16" t="n">
        <v>45435</v>
      </c>
      <c r="B1447" s="17" t="s">
        <v>17</v>
      </c>
      <c r="C1447" s="17" t="s">
        <v>18</v>
      </c>
      <c r="D1447" s="17" t="s">
        <v>19</v>
      </c>
      <c r="E1447" s="17" t="s">
        <v>144</v>
      </c>
      <c r="F1447" s="17" t="s">
        <v>712</v>
      </c>
      <c r="G1447" s="18" t="n">
        <v>0</v>
      </c>
      <c r="H1447" s="18" t="n">
        <v>2075</v>
      </c>
      <c r="I1447" s="18" t="n">
        <f aca="false">((I1446 + G1447) - H1447)</f>
        <v>-810645.03</v>
      </c>
      <c r="J1447" s="18" t="n">
        <v>-207.5</v>
      </c>
      <c r="K1447" s="19" t="n">
        <v>10</v>
      </c>
      <c r="L1447" s="17" t="s">
        <v>22</v>
      </c>
    </row>
    <row r="1448" s="11" customFormat="true" ht="10.95" hidden="false" customHeight="true" outlineLevel="0" collapsed="false">
      <c r="A1448" s="16" t="n">
        <v>45435</v>
      </c>
      <c r="B1448" s="17" t="s">
        <v>17</v>
      </c>
      <c r="C1448" s="17" t="s">
        <v>18</v>
      </c>
      <c r="D1448" s="17" t="s">
        <v>19</v>
      </c>
      <c r="E1448" s="17" t="s">
        <v>147</v>
      </c>
      <c r="F1448" s="17" t="s">
        <v>712</v>
      </c>
      <c r="G1448" s="18" t="n">
        <v>0</v>
      </c>
      <c r="H1448" s="18" t="n">
        <v>83</v>
      </c>
      <c r="I1448" s="18" t="n">
        <f aca="false">((I1447 + G1448) - H1448)</f>
        <v>-810728.03</v>
      </c>
      <c r="J1448" s="18" t="n">
        <v>-8.3</v>
      </c>
      <c r="K1448" s="19" t="n">
        <v>10</v>
      </c>
      <c r="L1448" s="17" t="s">
        <v>22</v>
      </c>
    </row>
    <row r="1449" s="11" customFormat="true" ht="10.95" hidden="false" customHeight="true" outlineLevel="0" collapsed="false">
      <c r="A1449" s="16" t="n">
        <v>45435</v>
      </c>
      <c r="B1449" s="17" t="s">
        <v>17</v>
      </c>
      <c r="C1449" s="17" t="s">
        <v>18</v>
      </c>
      <c r="D1449" s="17" t="s">
        <v>19</v>
      </c>
      <c r="E1449" s="17" t="s">
        <v>148</v>
      </c>
      <c r="F1449" s="17" t="s">
        <v>712</v>
      </c>
      <c r="G1449" s="18" t="n">
        <v>0</v>
      </c>
      <c r="H1449" s="18" t="n">
        <v>1162</v>
      </c>
      <c r="I1449" s="18" t="n">
        <f aca="false">((I1448 + G1449) - H1449)</f>
        <v>-811890.03</v>
      </c>
      <c r="J1449" s="18" t="n">
        <v>-116.2</v>
      </c>
      <c r="K1449" s="19" t="n">
        <v>10</v>
      </c>
      <c r="L1449" s="17" t="s">
        <v>22</v>
      </c>
    </row>
    <row r="1450" s="11" customFormat="true" ht="10.95" hidden="false" customHeight="true" outlineLevel="0" collapsed="false">
      <c r="A1450" s="16" t="n">
        <v>45435</v>
      </c>
      <c r="B1450" s="17" t="s">
        <v>17</v>
      </c>
      <c r="C1450" s="17" t="s">
        <v>18</v>
      </c>
      <c r="D1450" s="17" t="s">
        <v>19</v>
      </c>
      <c r="E1450" s="17" t="s">
        <v>149</v>
      </c>
      <c r="F1450" s="17" t="s">
        <v>712</v>
      </c>
      <c r="G1450" s="18" t="n">
        <v>0</v>
      </c>
      <c r="H1450" s="18" t="n">
        <v>360</v>
      </c>
      <c r="I1450" s="18" t="n">
        <f aca="false">((I1449 + G1450) - H1450)</f>
        <v>-812250.03</v>
      </c>
      <c r="J1450" s="18" t="n">
        <v>-36</v>
      </c>
      <c r="K1450" s="19" t="n">
        <v>10</v>
      </c>
      <c r="L1450" s="17" t="s">
        <v>22</v>
      </c>
    </row>
    <row r="1451" s="11" customFormat="true" ht="10.95" hidden="false" customHeight="true" outlineLevel="0" collapsed="false">
      <c r="A1451" s="16" t="n">
        <v>45435</v>
      </c>
      <c r="B1451" s="17" t="s">
        <v>17</v>
      </c>
      <c r="C1451" s="17" t="s">
        <v>18</v>
      </c>
      <c r="D1451" s="17" t="s">
        <v>19</v>
      </c>
      <c r="E1451" s="17" t="s">
        <v>150</v>
      </c>
      <c r="F1451" s="17" t="s">
        <v>712</v>
      </c>
      <c r="G1451" s="18" t="n">
        <v>0</v>
      </c>
      <c r="H1451" s="18" t="n">
        <v>144</v>
      </c>
      <c r="I1451" s="18" t="n">
        <f aca="false">((I1450 + G1451) - H1451)</f>
        <v>-812394.03</v>
      </c>
      <c r="J1451" s="18" t="n">
        <v>-14.4</v>
      </c>
      <c r="K1451" s="19" t="n">
        <v>10</v>
      </c>
      <c r="L1451" s="17" t="s">
        <v>22</v>
      </c>
    </row>
    <row r="1452" s="11" customFormat="true" ht="10.95" hidden="false" customHeight="true" outlineLevel="0" collapsed="false">
      <c r="A1452" s="16" t="n">
        <v>45435</v>
      </c>
      <c r="B1452" s="17" t="s">
        <v>17</v>
      </c>
      <c r="C1452" s="17" t="s">
        <v>18</v>
      </c>
      <c r="D1452" s="17" t="s">
        <v>19</v>
      </c>
      <c r="E1452" s="17" t="s">
        <v>151</v>
      </c>
      <c r="F1452" s="17" t="s">
        <v>712</v>
      </c>
      <c r="G1452" s="18" t="n">
        <v>0</v>
      </c>
      <c r="H1452" s="18" t="n">
        <v>100</v>
      </c>
      <c r="I1452" s="18" t="n">
        <f aca="false">((I1451 + G1452) - H1452)</f>
        <v>-812494.03</v>
      </c>
      <c r="J1452" s="18" t="n">
        <v>-10</v>
      </c>
      <c r="K1452" s="19" t="n">
        <v>10</v>
      </c>
      <c r="L1452" s="17" t="s">
        <v>22</v>
      </c>
    </row>
    <row r="1453" s="11" customFormat="true" ht="10.95" hidden="false" customHeight="true" outlineLevel="0" collapsed="false">
      <c r="A1453" s="16" t="n">
        <v>45435</v>
      </c>
      <c r="B1453" s="17" t="s">
        <v>17</v>
      </c>
      <c r="C1453" s="17" t="s">
        <v>18</v>
      </c>
      <c r="D1453" s="17" t="s">
        <v>19</v>
      </c>
      <c r="E1453" s="17" t="s">
        <v>152</v>
      </c>
      <c r="F1453" s="17" t="s">
        <v>712</v>
      </c>
      <c r="G1453" s="18" t="n">
        <v>0</v>
      </c>
      <c r="H1453" s="18" t="n">
        <v>1079</v>
      </c>
      <c r="I1453" s="18" t="n">
        <f aca="false">((I1452 + G1453) - H1453)</f>
        <v>-813573.03</v>
      </c>
      <c r="J1453" s="18" t="n">
        <v>-107.9</v>
      </c>
      <c r="K1453" s="19" t="n">
        <v>10</v>
      </c>
      <c r="L1453" s="17" t="s">
        <v>22</v>
      </c>
    </row>
    <row r="1454" s="11" customFormat="true" ht="10.95" hidden="false" customHeight="true" outlineLevel="0" collapsed="false">
      <c r="A1454" s="16" t="n">
        <v>45435</v>
      </c>
      <c r="B1454" s="17" t="s">
        <v>17</v>
      </c>
      <c r="C1454" s="17" t="s">
        <v>18</v>
      </c>
      <c r="D1454" s="17" t="s">
        <v>19</v>
      </c>
      <c r="E1454" s="17" t="s">
        <v>153</v>
      </c>
      <c r="F1454" s="17" t="s">
        <v>712</v>
      </c>
      <c r="G1454" s="18" t="n">
        <v>0</v>
      </c>
      <c r="H1454" s="18" t="n">
        <v>283.5</v>
      </c>
      <c r="I1454" s="18" t="n">
        <f aca="false">((I1453 + G1454) - H1454)</f>
        <v>-813856.53</v>
      </c>
      <c r="J1454" s="18" t="n">
        <v>-28.35</v>
      </c>
      <c r="K1454" s="19" t="n">
        <v>10</v>
      </c>
      <c r="L1454" s="17" t="s">
        <v>22</v>
      </c>
    </row>
    <row r="1455" s="11" customFormat="true" ht="10.95" hidden="false" customHeight="true" outlineLevel="0" collapsed="false">
      <c r="A1455" s="16" t="n">
        <v>45435</v>
      </c>
      <c r="B1455" s="17" t="s">
        <v>17</v>
      </c>
      <c r="C1455" s="17" t="s">
        <v>18</v>
      </c>
      <c r="D1455" s="17" t="s">
        <v>19</v>
      </c>
      <c r="E1455" s="17" t="s">
        <v>154</v>
      </c>
      <c r="F1455" s="17" t="s">
        <v>712</v>
      </c>
      <c r="G1455" s="18" t="n">
        <v>0</v>
      </c>
      <c r="H1455" s="18" t="n">
        <v>165</v>
      </c>
      <c r="I1455" s="18" t="n">
        <f aca="false">((I1454 + G1455) - H1455)</f>
        <v>-814021.53</v>
      </c>
      <c r="J1455" s="18" t="n">
        <v>-16.5</v>
      </c>
      <c r="K1455" s="19" t="n">
        <v>10</v>
      </c>
      <c r="L1455" s="17" t="s">
        <v>22</v>
      </c>
    </row>
    <row r="1456" s="11" customFormat="true" ht="10.95" hidden="false" customHeight="true" outlineLevel="0" collapsed="false">
      <c r="A1456" s="16" t="n">
        <v>45435</v>
      </c>
      <c r="B1456" s="17" t="s">
        <v>17</v>
      </c>
      <c r="C1456" s="17" t="s">
        <v>18</v>
      </c>
      <c r="D1456" s="17" t="s">
        <v>19</v>
      </c>
      <c r="E1456" s="17" t="s">
        <v>155</v>
      </c>
      <c r="F1456" s="17" t="s">
        <v>712</v>
      </c>
      <c r="G1456" s="18" t="n">
        <v>0</v>
      </c>
      <c r="H1456" s="18" t="n">
        <v>432</v>
      </c>
      <c r="I1456" s="18" t="n">
        <f aca="false">((I1455 + G1456) - H1456)</f>
        <v>-814453.53</v>
      </c>
      <c r="J1456" s="18" t="n">
        <v>-43.2</v>
      </c>
      <c r="K1456" s="19" t="n">
        <v>10</v>
      </c>
      <c r="L1456" s="17" t="s">
        <v>22</v>
      </c>
    </row>
    <row r="1457" s="11" customFormat="true" ht="10.95" hidden="false" customHeight="true" outlineLevel="0" collapsed="false">
      <c r="A1457" s="16" t="n">
        <v>45435</v>
      </c>
      <c r="B1457" s="17" t="s">
        <v>17</v>
      </c>
      <c r="C1457" s="17" t="s">
        <v>18</v>
      </c>
      <c r="D1457" s="17" t="s">
        <v>19</v>
      </c>
      <c r="E1457" s="17" t="s">
        <v>156</v>
      </c>
      <c r="F1457" s="17" t="s">
        <v>712</v>
      </c>
      <c r="G1457" s="18" t="n">
        <v>0</v>
      </c>
      <c r="H1457" s="18" t="n">
        <v>1323</v>
      </c>
      <c r="I1457" s="18" t="n">
        <f aca="false">((I1456 + G1457) - H1457)</f>
        <v>-815776.53</v>
      </c>
      <c r="J1457" s="18" t="n">
        <v>-132.3</v>
      </c>
      <c r="K1457" s="19" t="n">
        <v>10</v>
      </c>
      <c r="L1457" s="17" t="s">
        <v>22</v>
      </c>
    </row>
    <row r="1458" s="11" customFormat="true" ht="10.95" hidden="false" customHeight="true" outlineLevel="0" collapsed="false">
      <c r="A1458" s="16" t="n">
        <v>45435</v>
      </c>
      <c r="B1458" s="17" t="s">
        <v>17</v>
      </c>
      <c r="C1458" s="17" t="s">
        <v>18</v>
      </c>
      <c r="D1458" s="17" t="s">
        <v>19</v>
      </c>
      <c r="E1458" s="17" t="s">
        <v>223</v>
      </c>
      <c r="F1458" s="17" t="s">
        <v>712</v>
      </c>
      <c r="G1458" s="18" t="n">
        <v>0</v>
      </c>
      <c r="H1458" s="18" t="n">
        <v>34.65</v>
      </c>
      <c r="I1458" s="18" t="n">
        <f aca="false">((I1457 + G1458) - H1458)</f>
        <v>-815811.18</v>
      </c>
      <c r="J1458" s="18" t="n">
        <v>-3.47</v>
      </c>
      <c r="K1458" s="19" t="n">
        <v>10</v>
      </c>
      <c r="L1458" s="17" t="s">
        <v>22</v>
      </c>
    </row>
    <row r="1459" s="11" customFormat="true" ht="10.95" hidden="false" customHeight="true" outlineLevel="0" collapsed="false">
      <c r="A1459" s="16" t="n">
        <v>45435</v>
      </c>
      <c r="B1459" s="17" t="s">
        <v>17</v>
      </c>
      <c r="C1459" s="17" t="s">
        <v>18</v>
      </c>
      <c r="D1459" s="17" t="s">
        <v>19</v>
      </c>
      <c r="E1459" s="17" t="s">
        <v>157</v>
      </c>
      <c r="F1459" s="17" t="s">
        <v>712</v>
      </c>
      <c r="G1459" s="18" t="n">
        <v>0</v>
      </c>
      <c r="H1459" s="18" t="n">
        <v>661.5</v>
      </c>
      <c r="I1459" s="18" t="n">
        <f aca="false">((I1458 + G1459) - H1459)</f>
        <v>-816472.68</v>
      </c>
      <c r="J1459" s="18" t="n">
        <v>-66.15</v>
      </c>
      <c r="K1459" s="19" t="n">
        <v>10</v>
      </c>
      <c r="L1459" s="17" t="s">
        <v>22</v>
      </c>
    </row>
    <row r="1460" s="11" customFormat="true" ht="10.95" hidden="false" customHeight="true" outlineLevel="0" collapsed="false">
      <c r="A1460" s="16" t="n">
        <v>45435</v>
      </c>
      <c r="B1460" s="17" t="s">
        <v>17</v>
      </c>
      <c r="C1460" s="17" t="s">
        <v>18</v>
      </c>
      <c r="D1460" s="17" t="s">
        <v>19</v>
      </c>
      <c r="E1460" s="17" t="s">
        <v>158</v>
      </c>
      <c r="F1460" s="17" t="s">
        <v>712</v>
      </c>
      <c r="G1460" s="18" t="n">
        <v>0</v>
      </c>
      <c r="H1460" s="18" t="n">
        <v>94.5</v>
      </c>
      <c r="I1460" s="18" t="n">
        <f aca="false">((I1459 + G1460) - H1460)</f>
        <v>-816567.18</v>
      </c>
      <c r="J1460" s="18" t="n">
        <v>-9.45</v>
      </c>
      <c r="K1460" s="19" t="n">
        <v>10</v>
      </c>
      <c r="L1460" s="17" t="s">
        <v>22</v>
      </c>
    </row>
    <row r="1461" s="11" customFormat="true" ht="10.95" hidden="false" customHeight="true" outlineLevel="0" collapsed="false">
      <c r="A1461" s="16" t="n">
        <v>45435</v>
      </c>
      <c r="B1461" s="17" t="s">
        <v>17</v>
      </c>
      <c r="C1461" s="17" t="s">
        <v>18</v>
      </c>
      <c r="D1461" s="17" t="s">
        <v>19</v>
      </c>
      <c r="E1461" s="17" t="s">
        <v>159</v>
      </c>
      <c r="F1461" s="17" t="s">
        <v>712</v>
      </c>
      <c r="G1461" s="18" t="n">
        <v>0</v>
      </c>
      <c r="H1461" s="18" t="n">
        <v>792</v>
      </c>
      <c r="I1461" s="18" t="n">
        <f aca="false">((I1460 + G1461) - H1461)</f>
        <v>-817359.18</v>
      </c>
      <c r="J1461" s="18" t="n">
        <v>-79.2</v>
      </c>
      <c r="K1461" s="19" t="n">
        <v>10</v>
      </c>
      <c r="L1461" s="17" t="s">
        <v>22</v>
      </c>
    </row>
    <row r="1462" s="11" customFormat="true" ht="10.95" hidden="false" customHeight="true" outlineLevel="0" collapsed="false">
      <c r="A1462" s="16" t="n">
        <v>45435</v>
      </c>
      <c r="B1462" s="17" t="s">
        <v>17</v>
      </c>
      <c r="C1462" s="17" t="s">
        <v>18</v>
      </c>
      <c r="D1462" s="17" t="s">
        <v>19</v>
      </c>
      <c r="E1462" s="17" t="s">
        <v>282</v>
      </c>
      <c r="F1462" s="17" t="s">
        <v>712</v>
      </c>
      <c r="G1462" s="18" t="n">
        <v>0</v>
      </c>
      <c r="H1462" s="18" t="n">
        <v>94.5</v>
      </c>
      <c r="I1462" s="18" t="n">
        <f aca="false">((I1461 + G1462) - H1462)</f>
        <v>-817453.68</v>
      </c>
      <c r="J1462" s="18" t="n">
        <v>-9.45</v>
      </c>
      <c r="K1462" s="19" t="n">
        <v>10</v>
      </c>
      <c r="L1462" s="17" t="s">
        <v>22</v>
      </c>
    </row>
    <row r="1463" s="11" customFormat="true" ht="10.95" hidden="false" customHeight="true" outlineLevel="0" collapsed="false">
      <c r="A1463" s="16" t="n">
        <v>45435</v>
      </c>
      <c r="B1463" s="17" t="s">
        <v>17</v>
      </c>
      <c r="C1463" s="17" t="s">
        <v>18</v>
      </c>
      <c r="D1463" s="17" t="s">
        <v>19</v>
      </c>
      <c r="E1463" s="17" t="s">
        <v>373</v>
      </c>
      <c r="F1463" s="17" t="s">
        <v>712</v>
      </c>
      <c r="G1463" s="18" t="n">
        <v>0</v>
      </c>
      <c r="H1463" s="18" t="n">
        <v>72</v>
      </c>
      <c r="I1463" s="18" t="n">
        <f aca="false">((I1462 + G1463) - H1463)</f>
        <v>-817525.68</v>
      </c>
      <c r="J1463" s="18" t="n">
        <v>-7.2</v>
      </c>
      <c r="K1463" s="19" t="n">
        <v>10</v>
      </c>
      <c r="L1463" s="17" t="s">
        <v>22</v>
      </c>
    </row>
    <row r="1464" s="11" customFormat="true" ht="10.95" hidden="false" customHeight="true" outlineLevel="0" collapsed="false">
      <c r="A1464" s="16" t="n">
        <v>45435</v>
      </c>
      <c r="B1464" s="17" t="s">
        <v>17</v>
      </c>
      <c r="C1464" s="17" t="s">
        <v>18</v>
      </c>
      <c r="D1464" s="17" t="s">
        <v>19</v>
      </c>
      <c r="E1464" s="17" t="s">
        <v>428</v>
      </c>
      <c r="F1464" s="17" t="s">
        <v>712</v>
      </c>
      <c r="G1464" s="18" t="n">
        <v>0</v>
      </c>
      <c r="H1464" s="18" t="n">
        <v>216</v>
      </c>
      <c r="I1464" s="18" t="n">
        <f aca="false">((I1463 + G1464) - H1464)</f>
        <v>-817741.68</v>
      </c>
      <c r="J1464" s="18" t="n">
        <v>-21.6</v>
      </c>
      <c r="K1464" s="19" t="n">
        <v>10</v>
      </c>
      <c r="L1464" s="17" t="s">
        <v>22</v>
      </c>
    </row>
    <row r="1465" s="11" customFormat="true" ht="10.95" hidden="false" customHeight="true" outlineLevel="0" collapsed="false">
      <c r="A1465" s="16" t="n">
        <v>45435</v>
      </c>
      <c r="B1465" s="17" t="s">
        <v>17</v>
      </c>
      <c r="C1465" s="17" t="s">
        <v>18</v>
      </c>
      <c r="D1465" s="17" t="s">
        <v>19</v>
      </c>
      <c r="E1465" s="17" t="s">
        <v>429</v>
      </c>
      <c r="F1465" s="17" t="s">
        <v>712</v>
      </c>
      <c r="G1465" s="18" t="n">
        <v>0</v>
      </c>
      <c r="H1465" s="18" t="n">
        <v>189</v>
      </c>
      <c r="I1465" s="18" t="n">
        <f aca="false">((I1464 + G1465) - H1465)</f>
        <v>-817930.68</v>
      </c>
      <c r="J1465" s="18" t="n">
        <v>-18.9</v>
      </c>
      <c r="K1465" s="19" t="n">
        <v>10</v>
      </c>
      <c r="L1465" s="17" t="s">
        <v>22</v>
      </c>
    </row>
    <row r="1466" s="11" customFormat="true" ht="10.95" hidden="false" customHeight="true" outlineLevel="0" collapsed="false">
      <c r="A1466" s="16" t="n">
        <v>45435</v>
      </c>
      <c r="B1466" s="17" t="s">
        <v>17</v>
      </c>
      <c r="C1466" s="17" t="s">
        <v>18</v>
      </c>
      <c r="D1466" s="17" t="s">
        <v>19</v>
      </c>
      <c r="E1466" s="17" t="s">
        <v>471</v>
      </c>
      <c r="F1466" s="17" t="s">
        <v>712</v>
      </c>
      <c r="G1466" s="18" t="n">
        <v>0</v>
      </c>
      <c r="H1466" s="18" t="n">
        <v>216</v>
      </c>
      <c r="I1466" s="18" t="n">
        <f aca="false">((I1465 + G1466) - H1466)</f>
        <v>-818146.68</v>
      </c>
      <c r="J1466" s="18" t="n">
        <v>-21.6</v>
      </c>
      <c r="K1466" s="19" t="n">
        <v>10</v>
      </c>
      <c r="L1466" s="17" t="s">
        <v>22</v>
      </c>
    </row>
    <row r="1467" s="11" customFormat="true" ht="10.95" hidden="false" customHeight="true" outlineLevel="0" collapsed="false">
      <c r="A1467" s="16" t="n">
        <v>45435</v>
      </c>
      <c r="B1467" s="17" t="s">
        <v>17</v>
      </c>
      <c r="C1467" s="17" t="s">
        <v>18</v>
      </c>
      <c r="D1467" s="17" t="s">
        <v>19</v>
      </c>
      <c r="E1467" s="17" t="s">
        <v>587</v>
      </c>
      <c r="F1467" s="17" t="s">
        <v>712</v>
      </c>
      <c r="G1467" s="18" t="n">
        <v>0</v>
      </c>
      <c r="H1467" s="18" t="n">
        <v>144</v>
      </c>
      <c r="I1467" s="18" t="n">
        <f aca="false">((I1466 + G1467) - H1467)</f>
        <v>-818290.68</v>
      </c>
      <c r="J1467" s="18" t="n">
        <v>-14.4</v>
      </c>
      <c r="K1467" s="19" t="n">
        <v>10</v>
      </c>
      <c r="L1467" s="17" t="s">
        <v>22</v>
      </c>
    </row>
    <row r="1468" s="11" customFormat="true" ht="10.95" hidden="false" customHeight="true" outlineLevel="0" collapsed="false">
      <c r="A1468" s="16" t="n">
        <v>45435</v>
      </c>
      <c r="B1468" s="17" t="s">
        <v>17</v>
      </c>
      <c r="C1468" s="17" t="s">
        <v>18</v>
      </c>
      <c r="D1468" s="17" t="s">
        <v>19</v>
      </c>
      <c r="E1468" s="17" t="s">
        <v>645</v>
      </c>
      <c r="F1468" s="17" t="s">
        <v>712</v>
      </c>
      <c r="G1468" s="18" t="n">
        <v>0</v>
      </c>
      <c r="H1468" s="18" t="n">
        <v>144</v>
      </c>
      <c r="I1468" s="18" t="n">
        <f aca="false">((I1467 + G1468) - H1468)</f>
        <v>-818434.68</v>
      </c>
      <c r="J1468" s="18" t="n">
        <v>-14.4</v>
      </c>
      <c r="K1468" s="19" t="n">
        <v>10</v>
      </c>
      <c r="L1468" s="17" t="s">
        <v>22</v>
      </c>
    </row>
    <row r="1469" s="11" customFormat="true" ht="10.95" hidden="false" customHeight="true" outlineLevel="0" collapsed="false">
      <c r="A1469" s="16" t="n">
        <v>45435</v>
      </c>
      <c r="B1469" s="17" t="s">
        <v>17</v>
      </c>
      <c r="C1469" s="17" t="s">
        <v>18</v>
      </c>
      <c r="D1469" s="17" t="s">
        <v>19</v>
      </c>
      <c r="E1469" s="17" t="s">
        <v>646</v>
      </c>
      <c r="F1469" s="17" t="s">
        <v>712</v>
      </c>
      <c r="G1469" s="18" t="n">
        <v>0</v>
      </c>
      <c r="H1469" s="18" t="n">
        <v>216</v>
      </c>
      <c r="I1469" s="18" t="n">
        <f aca="false">((I1468 + G1469) - H1469)</f>
        <v>-818650.68</v>
      </c>
      <c r="J1469" s="18" t="n">
        <v>-21.6</v>
      </c>
      <c r="K1469" s="19" t="n">
        <v>10</v>
      </c>
      <c r="L1469" s="17" t="s">
        <v>22</v>
      </c>
    </row>
    <row r="1470" s="11" customFormat="true" ht="10.95" hidden="false" customHeight="true" outlineLevel="0" collapsed="false">
      <c r="A1470" s="16" t="n">
        <v>45435</v>
      </c>
      <c r="B1470" s="17" t="s">
        <v>17</v>
      </c>
      <c r="C1470" s="17" t="s">
        <v>18</v>
      </c>
      <c r="D1470" s="17" t="s">
        <v>19</v>
      </c>
      <c r="E1470" s="17" t="s">
        <v>647</v>
      </c>
      <c r="F1470" s="17" t="s">
        <v>712</v>
      </c>
      <c r="G1470" s="18" t="n">
        <v>0</v>
      </c>
      <c r="H1470" s="18" t="n">
        <v>72</v>
      </c>
      <c r="I1470" s="18" t="n">
        <f aca="false">((I1469 + G1470) - H1470)</f>
        <v>-818722.68</v>
      </c>
      <c r="J1470" s="18" t="n">
        <v>-7.2</v>
      </c>
      <c r="K1470" s="19" t="n">
        <v>10</v>
      </c>
      <c r="L1470" s="17" t="s">
        <v>22</v>
      </c>
    </row>
    <row r="1471" s="11" customFormat="true" ht="10.95" hidden="false" customHeight="true" outlineLevel="0" collapsed="false">
      <c r="A1471" s="16" t="n">
        <v>45435</v>
      </c>
      <c r="B1471" s="17" t="s">
        <v>17</v>
      </c>
      <c r="C1471" s="17" t="s">
        <v>18</v>
      </c>
      <c r="D1471" s="17" t="s">
        <v>19</v>
      </c>
      <c r="E1471" s="17" t="s">
        <v>648</v>
      </c>
      <c r="F1471" s="17" t="s">
        <v>712</v>
      </c>
      <c r="G1471" s="18" t="n">
        <v>0</v>
      </c>
      <c r="H1471" s="18" t="n">
        <v>189</v>
      </c>
      <c r="I1471" s="18" t="n">
        <f aca="false">((I1470 + G1471) - H1471)</f>
        <v>-818911.68</v>
      </c>
      <c r="J1471" s="18" t="n">
        <v>-18.9</v>
      </c>
      <c r="K1471" s="19" t="n">
        <v>10</v>
      </c>
      <c r="L1471" s="17" t="s">
        <v>22</v>
      </c>
    </row>
    <row r="1472" s="11" customFormat="true" ht="10.95" hidden="false" customHeight="true" outlineLevel="0" collapsed="false">
      <c r="A1472" s="16" t="n">
        <v>45435</v>
      </c>
      <c r="B1472" s="17" t="s">
        <v>17</v>
      </c>
      <c r="C1472" s="17" t="s">
        <v>18</v>
      </c>
      <c r="D1472" s="17" t="s">
        <v>19</v>
      </c>
      <c r="E1472" s="17" t="s">
        <v>713</v>
      </c>
      <c r="F1472" s="17" t="s">
        <v>712</v>
      </c>
      <c r="G1472" s="18" t="n">
        <v>0</v>
      </c>
      <c r="H1472" s="18" t="n">
        <v>432</v>
      </c>
      <c r="I1472" s="18" t="n">
        <f aca="false">((I1471 + G1472) - H1472)</f>
        <v>-819343.68</v>
      </c>
      <c r="J1472" s="18" t="n">
        <v>-43.2</v>
      </c>
      <c r="K1472" s="19" t="n">
        <v>10</v>
      </c>
      <c r="L1472" s="17" t="s">
        <v>22</v>
      </c>
    </row>
    <row r="1473" s="11" customFormat="true" ht="10.95" hidden="false" customHeight="true" outlineLevel="0" collapsed="false">
      <c r="A1473" s="16" t="n">
        <v>45435</v>
      </c>
      <c r="B1473" s="17" t="s">
        <v>17</v>
      </c>
      <c r="C1473" s="17" t="s">
        <v>18</v>
      </c>
      <c r="D1473" s="17" t="s">
        <v>19</v>
      </c>
      <c r="E1473" s="17" t="s">
        <v>714</v>
      </c>
      <c r="F1473" s="17" t="s">
        <v>712</v>
      </c>
      <c r="G1473" s="18" t="n">
        <v>0</v>
      </c>
      <c r="H1473" s="18" t="n">
        <v>472.5</v>
      </c>
      <c r="I1473" s="18" t="n">
        <f aca="false">((I1472 + G1473) - H1473)</f>
        <v>-819816.18</v>
      </c>
      <c r="J1473" s="18" t="n">
        <v>-47.25</v>
      </c>
      <c r="K1473" s="19" t="n">
        <v>10</v>
      </c>
      <c r="L1473" s="17" t="s">
        <v>22</v>
      </c>
    </row>
    <row r="1474" s="11" customFormat="true" ht="10.95" hidden="false" customHeight="true" outlineLevel="0" collapsed="false">
      <c r="A1474" s="16" t="n">
        <v>45435</v>
      </c>
      <c r="B1474" s="17" t="s">
        <v>17</v>
      </c>
      <c r="C1474" s="17" t="s">
        <v>18</v>
      </c>
      <c r="D1474" s="17" t="s">
        <v>19</v>
      </c>
      <c r="E1474" s="17" t="s">
        <v>715</v>
      </c>
      <c r="F1474" s="17" t="s">
        <v>712</v>
      </c>
      <c r="G1474" s="18" t="n">
        <v>0</v>
      </c>
      <c r="H1474" s="18" t="n">
        <v>189</v>
      </c>
      <c r="I1474" s="18" t="n">
        <f aca="false">((I1473 + G1474) - H1474)</f>
        <v>-820005.18</v>
      </c>
      <c r="J1474" s="18" t="n">
        <v>-18.9</v>
      </c>
      <c r="K1474" s="19" t="n">
        <v>10</v>
      </c>
      <c r="L1474" s="17" t="s">
        <v>22</v>
      </c>
    </row>
    <row r="1475" s="11" customFormat="true" ht="10.95" hidden="false" customHeight="true" outlineLevel="0" collapsed="false">
      <c r="A1475" s="16" t="n">
        <v>45435</v>
      </c>
      <c r="B1475" s="17" t="s">
        <v>17</v>
      </c>
      <c r="C1475" s="17" t="s">
        <v>18</v>
      </c>
      <c r="D1475" s="17" t="s">
        <v>19</v>
      </c>
      <c r="E1475" s="17" t="s">
        <v>716</v>
      </c>
      <c r="F1475" s="17" t="s">
        <v>712</v>
      </c>
      <c r="G1475" s="18" t="n">
        <v>0</v>
      </c>
      <c r="H1475" s="18" t="n">
        <v>332</v>
      </c>
      <c r="I1475" s="18" t="n">
        <f aca="false">((I1474 + G1475) - H1475)</f>
        <v>-820337.18</v>
      </c>
      <c r="J1475" s="18" t="n">
        <v>-33.2</v>
      </c>
      <c r="K1475" s="19" t="n">
        <v>10</v>
      </c>
      <c r="L1475" s="17" t="s">
        <v>22</v>
      </c>
    </row>
    <row r="1476" s="11" customFormat="true" ht="10.95" hidden="false" customHeight="true" outlineLevel="0" collapsed="false">
      <c r="A1476" s="16" t="n">
        <v>45435</v>
      </c>
      <c r="B1476" s="17" t="s">
        <v>17</v>
      </c>
      <c r="C1476" s="17" t="s">
        <v>18</v>
      </c>
      <c r="D1476" s="17" t="s">
        <v>19</v>
      </c>
      <c r="E1476" s="17" t="s">
        <v>717</v>
      </c>
      <c r="F1476" s="17" t="s">
        <v>712</v>
      </c>
      <c r="G1476" s="18" t="n">
        <v>0</v>
      </c>
      <c r="H1476" s="18" t="n">
        <v>1728</v>
      </c>
      <c r="I1476" s="18" t="n">
        <f aca="false">((I1475 + G1476) - H1476)</f>
        <v>-822065.18</v>
      </c>
      <c r="J1476" s="18" t="n">
        <v>-172.8</v>
      </c>
      <c r="K1476" s="19" t="n">
        <v>10</v>
      </c>
      <c r="L1476" s="17" t="s">
        <v>22</v>
      </c>
    </row>
    <row r="1477" s="11" customFormat="true" ht="10.95" hidden="false" customHeight="true" outlineLevel="0" collapsed="false">
      <c r="A1477" s="16" t="n">
        <v>45435</v>
      </c>
      <c r="B1477" s="17" t="s">
        <v>17</v>
      </c>
      <c r="C1477" s="17" t="s">
        <v>18</v>
      </c>
      <c r="D1477" s="17" t="s">
        <v>19</v>
      </c>
      <c r="E1477" s="17" t="s">
        <v>718</v>
      </c>
      <c r="F1477" s="17" t="s">
        <v>712</v>
      </c>
      <c r="G1477" s="18" t="n">
        <v>0</v>
      </c>
      <c r="H1477" s="18" t="n">
        <v>945</v>
      </c>
      <c r="I1477" s="18" t="n">
        <f aca="false">((I1476 + G1477) - H1477)</f>
        <v>-823010.18</v>
      </c>
      <c r="J1477" s="18" t="n">
        <v>-94.5</v>
      </c>
      <c r="K1477" s="19" t="n">
        <v>10</v>
      </c>
      <c r="L1477" s="17" t="s">
        <v>22</v>
      </c>
    </row>
    <row r="1478" s="11" customFormat="true" ht="10.95" hidden="false" customHeight="true" outlineLevel="0" collapsed="false">
      <c r="A1478" s="16" t="n">
        <v>45435</v>
      </c>
      <c r="B1478" s="17" t="s">
        <v>17</v>
      </c>
      <c r="C1478" s="17" t="s">
        <v>18</v>
      </c>
      <c r="D1478" s="17" t="s">
        <v>19</v>
      </c>
      <c r="E1478" s="17" t="s">
        <v>233</v>
      </c>
      <c r="F1478" s="17" t="s">
        <v>719</v>
      </c>
      <c r="G1478" s="18" t="n">
        <v>0</v>
      </c>
      <c r="H1478" s="18" t="n">
        <v>71.5</v>
      </c>
      <c r="I1478" s="18" t="n">
        <f aca="false">((I1477 + G1478) - H1478)</f>
        <v>-823081.68</v>
      </c>
      <c r="J1478" s="18" t="n">
        <v>-7.15</v>
      </c>
      <c r="K1478" s="19" t="n">
        <v>10</v>
      </c>
      <c r="L1478" s="17" t="s">
        <v>22</v>
      </c>
    </row>
    <row r="1479" s="11" customFormat="true" ht="10.95" hidden="false" customHeight="true" outlineLevel="0" collapsed="false">
      <c r="A1479" s="16" t="n">
        <v>45435</v>
      </c>
      <c r="B1479" s="17" t="s">
        <v>17</v>
      </c>
      <c r="C1479" s="17" t="s">
        <v>18</v>
      </c>
      <c r="D1479" s="17" t="s">
        <v>19</v>
      </c>
      <c r="E1479" s="17" t="s">
        <v>566</v>
      </c>
      <c r="F1479" s="17" t="s">
        <v>720</v>
      </c>
      <c r="G1479" s="18" t="n">
        <v>0</v>
      </c>
      <c r="H1479" s="18" t="n">
        <v>209</v>
      </c>
      <c r="I1479" s="18" t="n">
        <f aca="false">((I1478 + G1479) - H1479)</f>
        <v>-823290.68</v>
      </c>
      <c r="J1479" s="18" t="n">
        <v>-20.9</v>
      </c>
      <c r="K1479" s="19" t="n">
        <v>10</v>
      </c>
      <c r="L1479" s="17" t="s">
        <v>22</v>
      </c>
    </row>
    <row r="1480" s="11" customFormat="true" ht="10.95" hidden="false" customHeight="true" outlineLevel="0" collapsed="false">
      <c r="A1480" s="16" t="n">
        <v>45435</v>
      </c>
      <c r="B1480" s="17" t="s">
        <v>17</v>
      </c>
      <c r="C1480" s="17" t="s">
        <v>18</v>
      </c>
      <c r="D1480" s="17" t="s">
        <v>19</v>
      </c>
      <c r="E1480" s="17" t="s">
        <v>286</v>
      </c>
      <c r="F1480" s="17" t="s">
        <v>720</v>
      </c>
      <c r="G1480" s="18" t="n">
        <v>0</v>
      </c>
      <c r="H1480" s="18" t="n">
        <v>38.5</v>
      </c>
      <c r="I1480" s="18" t="n">
        <f aca="false">((I1479 + G1480) - H1480)</f>
        <v>-823329.18</v>
      </c>
      <c r="J1480" s="18" t="n">
        <v>0</v>
      </c>
      <c r="K1480" s="19" t="n">
        <v>0</v>
      </c>
      <c r="L1480" s="17" t="s">
        <v>88</v>
      </c>
    </row>
    <row r="1481" s="11" customFormat="true" ht="10.95" hidden="false" customHeight="true" outlineLevel="0" collapsed="false">
      <c r="A1481" s="16" t="n">
        <v>45435</v>
      </c>
      <c r="B1481" s="17" t="s">
        <v>17</v>
      </c>
      <c r="C1481" s="17" t="s">
        <v>18</v>
      </c>
      <c r="D1481" s="17" t="s">
        <v>19</v>
      </c>
      <c r="E1481" s="17" t="s">
        <v>288</v>
      </c>
      <c r="F1481" s="17" t="s">
        <v>720</v>
      </c>
      <c r="G1481" s="18" t="n">
        <v>0</v>
      </c>
      <c r="H1481" s="18" t="n">
        <v>5</v>
      </c>
      <c r="I1481" s="18" t="n">
        <f aca="false">((I1480 + G1481) - H1481)</f>
        <v>-823334.18</v>
      </c>
      <c r="J1481" s="18" t="n">
        <v>-0.5</v>
      </c>
      <c r="K1481" s="19" t="n">
        <v>10</v>
      </c>
      <c r="L1481" s="17" t="s">
        <v>22</v>
      </c>
    </row>
    <row r="1482" s="11" customFormat="true" ht="10.95" hidden="false" customHeight="true" outlineLevel="0" collapsed="false">
      <c r="A1482" s="16" t="n">
        <v>45435</v>
      </c>
      <c r="B1482" s="17" t="s">
        <v>17</v>
      </c>
      <c r="C1482" s="17" t="s">
        <v>18</v>
      </c>
      <c r="D1482" s="17" t="s">
        <v>19</v>
      </c>
      <c r="E1482" s="17" t="s">
        <v>84</v>
      </c>
      <c r="F1482" s="17" t="s">
        <v>720</v>
      </c>
      <c r="G1482" s="18" t="n">
        <v>0</v>
      </c>
      <c r="H1482" s="18" t="n">
        <v>165</v>
      </c>
      <c r="I1482" s="18" t="n">
        <f aca="false">((I1481 + G1482) - H1482)</f>
        <v>-823499.18</v>
      </c>
      <c r="J1482" s="18" t="n">
        <v>-16.5</v>
      </c>
      <c r="K1482" s="19" t="n">
        <v>10</v>
      </c>
      <c r="L1482" s="17" t="s">
        <v>22</v>
      </c>
    </row>
    <row r="1483" s="11" customFormat="true" ht="10.95" hidden="false" customHeight="true" outlineLevel="0" collapsed="false">
      <c r="A1483" s="16" t="n">
        <v>45462</v>
      </c>
      <c r="B1483" s="17" t="s">
        <v>17</v>
      </c>
      <c r="C1483" s="17" t="s">
        <v>18</v>
      </c>
      <c r="D1483" s="17" t="s">
        <v>19</v>
      </c>
      <c r="E1483" s="17" t="s">
        <v>233</v>
      </c>
      <c r="F1483" s="17" t="s">
        <v>721</v>
      </c>
      <c r="G1483" s="18" t="n">
        <v>0</v>
      </c>
      <c r="H1483" s="18" t="n">
        <v>71.5</v>
      </c>
      <c r="I1483" s="18" t="n">
        <f aca="false">((I1482 + G1483) - H1483)</f>
        <v>-823570.68</v>
      </c>
      <c r="J1483" s="18" t="n">
        <v>-7.15</v>
      </c>
      <c r="K1483" s="19" t="n">
        <v>10</v>
      </c>
      <c r="L1483" s="17" t="s">
        <v>22</v>
      </c>
    </row>
    <row r="1484" s="11" customFormat="true" ht="10.95" hidden="false" customHeight="true" outlineLevel="0" collapsed="false">
      <c r="A1484" s="16" t="n">
        <v>45462</v>
      </c>
      <c r="B1484" s="17" t="s">
        <v>17</v>
      </c>
      <c r="C1484" s="17" t="s">
        <v>18</v>
      </c>
      <c r="D1484" s="17" t="s">
        <v>19</v>
      </c>
      <c r="E1484" s="17" t="s">
        <v>119</v>
      </c>
      <c r="F1484" s="17" t="s">
        <v>722</v>
      </c>
      <c r="G1484" s="18" t="n">
        <v>0</v>
      </c>
      <c r="H1484" s="18" t="n">
        <v>332</v>
      </c>
      <c r="I1484" s="18" t="n">
        <f aca="false">((I1483 + G1484) - H1484)</f>
        <v>-823902.68</v>
      </c>
      <c r="J1484" s="18" t="n">
        <v>-33.2</v>
      </c>
      <c r="K1484" s="19" t="n">
        <v>10</v>
      </c>
      <c r="L1484" s="17" t="s">
        <v>22</v>
      </c>
    </row>
    <row r="1485" s="11" customFormat="true" ht="10.95" hidden="false" customHeight="true" outlineLevel="0" collapsed="false">
      <c r="A1485" s="16" t="n">
        <v>45462</v>
      </c>
      <c r="B1485" s="17" t="s">
        <v>17</v>
      </c>
      <c r="C1485" s="17" t="s">
        <v>18</v>
      </c>
      <c r="D1485" s="17" t="s">
        <v>19</v>
      </c>
      <c r="E1485" s="17" t="s">
        <v>121</v>
      </c>
      <c r="F1485" s="17" t="s">
        <v>722</v>
      </c>
      <c r="G1485" s="18" t="n">
        <v>0</v>
      </c>
      <c r="H1485" s="18" t="n">
        <v>1743</v>
      </c>
      <c r="I1485" s="18" t="n">
        <f aca="false">((I1484 + G1485) - H1485)</f>
        <v>-825645.68</v>
      </c>
      <c r="J1485" s="18" t="n">
        <v>-174.3</v>
      </c>
      <c r="K1485" s="19" t="n">
        <v>10</v>
      </c>
      <c r="L1485" s="17" t="s">
        <v>22</v>
      </c>
    </row>
    <row r="1486" s="11" customFormat="true" ht="10.95" hidden="false" customHeight="true" outlineLevel="0" collapsed="false">
      <c r="A1486" s="16" t="n">
        <v>45462</v>
      </c>
      <c r="B1486" s="17" t="s">
        <v>17</v>
      </c>
      <c r="C1486" s="17" t="s">
        <v>18</v>
      </c>
      <c r="D1486" s="17" t="s">
        <v>19</v>
      </c>
      <c r="E1486" s="17" t="s">
        <v>122</v>
      </c>
      <c r="F1486" s="17" t="s">
        <v>722</v>
      </c>
      <c r="G1486" s="18" t="n">
        <v>0</v>
      </c>
      <c r="H1486" s="18" t="n">
        <v>83</v>
      </c>
      <c r="I1486" s="18" t="n">
        <f aca="false">((I1485 + G1486) - H1486)</f>
        <v>-825728.68</v>
      </c>
      <c r="J1486" s="18" t="n">
        <v>-8.3</v>
      </c>
      <c r="K1486" s="19" t="n">
        <v>10</v>
      </c>
      <c r="L1486" s="17" t="s">
        <v>22</v>
      </c>
    </row>
    <row r="1487" s="11" customFormat="true" ht="10.95" hidden="false" customHeight="true" outlineLevel="0" collapsed="false">
      <c r="A1487" s="16" t="n">
        <v>45462</v>
      </c>
      <c r="B1487" s="17" t="s">
        <v>17</v>
      </c>
      <c r="C1487" s="17" t="s">
        <v>18</v>
      </c>
      <c r="D1487" s="17" t="s">
        <v>19</v>
      </c>
      <c r="E1487" s="17" t="s">
        <v>124</v>
      </c>
      <c r="F1487" s="17" t="s">
        <v>722</v>
      </c>
      <c r="G1487" s="18" t="n">
        <v>0</v>
      </c>
      <c r="H1487" s="18" t="n">
        <v>249</v>
      </c>
      <c r="I1487" s="18" t="n">
        <f aca="false">((I1486 + G1487) - H1487)</f>
        <v>-825977.68</v>
      </c>
      <c r="J1487" s="18" t="n">
        <v>-24.9</v>
      </c>
      <c r="K1487" s="19" t="n">
        <v>10</v>
      </c>
      <c r="L1487" s="17" t="s">
        <v>22</v>
      </c>
    </row>
    <row r="1488" s="11" customFormat="true" ht="10.95" hidden="false" customHeight="true" outlineLevel="0" collapsed="false">
      <c r="A1488" s="16" t="n">
        <v>45462</v>
      </c>
      <c r="B1488" s="17" t="s">
        <v>17</v>
      </c>
      <c r="C1488" s="17" t="s">
        <v>18</v>
      </c>
      <c r="D1488" s="17" t="s">
        <v>19</v>
      </c>
      <c r="E1488" s="17" t="s">
        <v>125</v>
      </c>
      <c r="F1488" s="17" t="s">
        <v>722</v>
      </c>
      <c r="G1488" s="18" t="n">
        <v>0</v>
      </c>
      <c r="H1488" s="18" t="n">
        <v>83</v>
      </c>
      <c r="I1488" s="18" t="n">
        <f aca="false">((I1487 + G1488) - H1488)</f>
        <v>-826060.68</v>
      </c>
      <c r="J1488" s="18" t="n">
        <v>-8.3</v>
      </c>
      <c r="K1488" s="19" t="n">
        <v>10</v>
      </c>
      <c r="L1488" s="17" t="s">
        <v>22</v>
      </c>
    </row>
    <row r="1489" s="11" customFormat="true" ht="10.95" hidden="false" customHeight="true" outlineLevel="0" collapsed="false">
      <c r="A1489" s="16" t="n">
        <v>45462</v>
      </c>
      <c r="B1489" s="17" t="s">
        <v>17</v>
      </c>
      <c r="C1489" s="17" t="s">
        <v>18</v>
      </c>
      <c r="D1489" s="17" t="s">
        <v>19</v>
      </c>
      <c r="E1489" s="17" t="s">
        <v>126</v>
      </c>
      <c r="F1489" s="17" t="s">
        <v>722</v>
      </c>
      <c r="G1489" s="18" t="n">
        <v>0</v>
      </c>
      <c r="H1489" s="18" t="n">
        <v>94.5</v>
      </c>
      <c r="I1489" s="18" t="n">
        <f aca="false">((I1488 + G1489) - H1489)</f>
        <v>-826155.18</v>
      </c>
      <c r="J1489" s="18" t="n">
        <v>-9.45</v>
      </c>
      <c r="K1489" s="19" t="n">
        <v>10</v>
      </c>
      <c r="L1489" s="17" t="s">
        <v>22</v>
      </c>
    </row>
    <row r="1490" s="11" customFormat="true" ht="10.95" hidden="false" customHeight="true" outlineLevel="0" collapsed="false">
      <c r="A1490" s="16" t="n">
        <v>45462</v>
      </c>
      <c r="B1490" s="17" t="s">
        <v>17</v>
      </c>
      <c r="C1490" s="17" t="s">
        <v>18</v>
      </c>
      <c r="D1490" s="17" t="s">
        <v>19</v>
      </c>
      <c r="E1490" s="17" t="s">
        <v>127</v>
      </c>
      <c r="F1490" s="17" t="s">
        <v>722</v>
      </c>
      <c r="G1490" s="18" t="n">
        <v>0</v>
      </c>
      <c r="H1490" s="18" t="n">
        <v>83</v>
      </c>
      <c r="I1490" s="18" t="n">
        <f aca="false">((I1489 + G1490) - H1490)</f>
        <v>-826238.18</v>
      </c>
      <c r="J1490" s="18" t="n">
        <v>-8.3</v>
      </c>
      <c r="K1490" s="19" t="n">
        <v>10</v>
      </c>
      <c r="L1490" s="17" t="s">
        <v>22</v>
      </c>
    </row>
    <row r="1491" s="11" customFormat="true" ht="10.95" hidden="false" customHeight="true" outlineLevel="0" collapsed="false">
      <c r="A1491" s="16" t="n">
        <v>45462</v>
      </c>
      <c r="B1491" s="17" t="s">
        <v>17</v>
      </c>
      <c r="C1491" s="17" t="s">
        <v>18</v>
      </c>
      <c r="D1491" s="17" t="s">
        <v>19</v>
      </c>
      <c r="E1491" s="17" t="s">
        <v>128</v>
      </c>
      <c r="F1491" s="17" t="s">
        <v>722</v>
      </c>
      <c r="G1491" s="18" t="n">
        <v>0</v>
      </c>
      <c r="H1491" s="18" t="n">
        <v>83</v>
      </c>
      <c r="I1491" s="18" t="n">
        <f aca="false">((I1490 + G1491) - H1491)</f>
        <v>-826321.18</v>
      </c>
      <c r="J1491" s="18" t="n">
        <v>-8.3</v>
      </c>
      <c r="K1491" s="19" t="n">
        <v>10</v>
      </c>
      <c r="L1491" s="17" t="s">
        <v>22</v>
      </c>
    </row>
    <row r="1492" s="11" customFormat="true" ht="10.95" hidden="false" customHeight="true" outlineLevel="0" collapsed="false">
      <c r="A1492" s="16" t="n">
        <v>45462</v>
      </c>
      <c r="B1492" s="17" t="s">
        <v>17</v>
      </c>
      <c r="C1492" s="17" t="s">
        <v>18</v>
      </c>
      <c r="D1492" s="17" t="s">
        <v>19</v>
      </c>
      <c r="E1492" s="17" t="s">
        <v>129</v>
      </c>
      <c r="F1492" s="17" t="s">
        <v>722</v>
      </c>
      <c r="G1492" s="18" t="n">
        <v>0</v>
      </c>
      <c r="H1492" s="18" t="n">
        <v>166</v>
      </c>
      <c r="I1492" s="18" t="n">
        <f aca="false">((I1491 + G1492) - H1492)</f>
        <v>-826487.18</v>
      </c>
      <c r="J1492" s="18" t="n">
        <v>-16.6</v>
      </c>
      <c r="K1492" s="19" t="n">
        <v>10</v>
      </c>
      <c r="L1492" s="17" t="s">
        <v>22</v>
      </c>
    </row>
    <row r="1493" s="11" customFormat="true" ht="10.95" hidden="false" customHeight="true" outlineLevel="0" collapsed="false">
      <c r="A1493" s="16" t="n">
        <v>45462</v>
      </c>
      <c r="B1493" s="17" t="s">
        <v>17</v>
      </c>
      <c r="C1493" s="17" t="s">
        <v>18</v>
      </c>
      <c r="D1493" s="17" t="s">
        <v>19</v>
      </c>
      <c r="E1493" s="17" t="s">
        <v>130</v>
      </c>
      <c r="F1493" s="17" t="s">
        <v>722</v>
      </c>
      <c r="G1493" s="18" t="n">
        <v>0</v>
      </c>
      <c r="H1493" s="18" t="n">
        <v>664</v>
      </c>
      <c r="I1493" s="18" t="n">
        <f aca="false">((I1492 + G1493) - H1493)</f>
        <v>-827151.18</v>
      </c>
      <c r="J1493" s="18" t="n">
        <v>-66.4</v>
      </c>
      <c r="K1493" s="19" t="n">
        <v>10</v>
      </c>
      <c r="L1493" s="17" t="s">
        <v>22</v>
      </c>
    </row>
    <row r="1494" s="11" customFormat="true" ht="10.95" hidden="false" customHeight="true" outlineLevel="0" collapsed="false">
      <c r="A1494" s="16" t="n">
        <v>45462</v>
      </c>
      <c r="B1494" s="17" t="s">
        <v>17</v>
      </c>
      <c r="C1494" s="17" t="s">
        <v>18</v>
      </c>
      <c r="D1494" s="17" t="s">
        <v>19</v>
      </c>
      <c r="E1494" s="17" t="s">
        <v>131</v>
      </c>
      <c r="F1494" s="17" t="s">
        <v>722</v>
      </c>
      <c r="G1494" s="18" t="n">
        <v>0</v>
      </c>
      <c r="H1494" s="18" t="n">
        <v>94.5</v>
      </c>
      <c r="I1494" s="18" t="n">
        <f aca="false">((I1493 + G1494) - H1494)</f>
        <v>-827245.68</v>
      </c>
      <c r="J1494" s="18" t="n">
        <v>-9.45</v>
      </c>
      <c r="K1494" s="19" t="n">
        <v>10</v>
      </c>
      <c r="L1494" s="17" t="s">
        <v>22</v>
      </c>
    </row>
    <row r="1495" s="11" customFormat="true" ht="10.95" hidden="false" customHeight="true" outlineLevel="0" collapsed="false">
      <c r="A1495" s="16" t="n">
        <v>45462</v>
      </c>
      <c r="B1495" s="17" t="s">
        <v>17</v>
      </c>
      <c r="C1495" s="17" t="s">
        <v>18</v>
      </c>
      <c r="D1495" s="17" t="s">
        <v>19</v>
      </c>
      <c r="E1495" s="17" t="s">
        <v>132</v>
      </c>
      <c r="F1495" s="17" t="s">
        <v>722</v>
      </c>
      <c r="G1495" s="18" t="n">
        <v>0</v>
      </c>
      <c r="H1495" s="18" t="n">
        <v>100</v>
      </c>
      <c r="I1495" s="18" t="n">
        <f aca="false">((I1494 + G1495) - H1495)</f>
        <v>-827345.68</v>
      </c>
      <c r="J1495" s="18" t="n">
        <v>-10</v>
      </c>
      <c r="K1495" s="19" t="n">
        <v>10</v>
      </c>
      <c r="L1495" s="17" t="s">
        <v>22</v>
      </c>
    </row>
    <row r="1496" s="11" customFormat="true" ht="10.95" hidden="false" customHeight="true" outlineLevel="0" collapsed="false">
      <c r="A1496" s="16" t="n">
        <v>45462</v>
      </c>
      <c r="B1496" s="17" t="s">
        <v>17</v>
      </c>
      <c r="C1496" s="17" t="s">
        <v>18</v>
      </c>
      <c r="D1496" s="17" t="s">
        <v>19</v>
      </c>
      <c r="E1496" s="17" t="s">
        <v>133</v>
      </c>
      <c r="F1496" s="17" t="s">
        <v>722</v>
      </c>
      <c r="G1496" s="18" t="n">
        <v>0</v>
      </c>
      <c r="H1496" s="18" t="n">
        <v>83</v>
      </c>
      <c r="I1496" s="18" t="n">
        <f aca="false">((I1495 + G1496) - H1496)</f>
        <v>-827428.68</v>
      </c>
      <c r="J1496" s="18" t="n">
        <v>-8.3</v>
      </c>
      <c r="K1496" s="19" t="n">
        <v>10</v>
      </c>
      <c r="L1496" s="17" t="s">
        <v>22</v>
      </c>
    </row>
    <row r="1497" s="11" customFormat="true" ht="10.95" hidden="false" customHeight="true" outlineLevel="0" collapsed="false">
      <c r="A1497" s="16" t="n">
        <v>45462</v>
      </c>
      <c r="B1497" s="17" t="s">
        <v>17</v>
      </c>
      <c r="C1497" s="17" t="s">
        <v>18</v>
      </c>
      <c r="D1497" s="17" t="s">
        <v>19</v>
      </c>
      <c r="E1497" s="17" t="s">
        <v>134</v>
      </c>
      <c r="F1497" s="17" t="s">
        <v>722</v>
      </c>
      <c r="G1497" s="18" t="n">
        <v>0</v>
      </c>
      <c r="H1497" s="18" t="n">
        <v>100</v>
      </c>
      <c r="I1497" s="18" t="n">
        <f aca="false">((I1496 + G1497) - H1497)</f>
        <v>-827528.68</v>
      </c>
      <c r="J1497" s="18" t="n">
        <v>-10</v>
      </c>
      <c r="K1497" s="19" t="n">
        <v>10</v>
      </c>
      <c r="L1497" s="17" t="s">
        <v>22</v>
      </c>
    </row>
    <row r="1498" s="11" customFormat="true" ht="10.95" hidden="false" customHeight="true" outlineLevel="0" collapsed="false">
      <c r="A1498" s="16" t="n">
        <v>45462</v>
      </c>
      <c r="B1498" s="17" t="s">
        <v>17</v>
      </c>
      <c r="C1498" s="17" t="s">
        <v>18</v>
      </c>
      <c r="D1498" s="17" t="s">
        <v>19</v>
      </c>
      <c r="E1498" s="17" t="s">
        <v>136</v>
      </c>
      <c r="F1498" s="17" t="s">
        <v>722</v>
      </c>
      <c r="G1498" s="18" t="n">
        <v>0</v>
      </c>
      <c r="H1498" s="18" t="n">
        <v>249</v>
      </c>
      <c r="I1498" s="18" t="n">
        <f aca="false">((I1497 + G1498) - H1498)</f>
        <v>-827777.68</v>
      </c>
      <c r="J1498" s="18" t="n">
        <v>-24.9</v>
      </c>
      <c r="K1498" s="19" t="n">
        <v>10</v>
      </c>
      <c r="L1498" s="17" t="s">
        <v>22</v>
      </c>
    </row>
    <row r="1499" s="11" customFormat="true" ht="10.95" hidden="false" customHeight="true" outlineLevel="0" collapsed="false">
      <c r="A1499" s="16" t="n">
        <v>45462</v>
      </c>
      <c r="B1499" s="17" t="s">
        <v>17</v>
      </c>
      <c r="C1499" s="17" t="s">
        <v>18</v>
      </c>
      <c r="D1499" s="17" t="s">
        <v>19</v>
      </c>
      <c r="E1499" s="17" t="s">
        <v>137</v>
      </c>
      <c r="F1499" s="17" t="s">
        <v>722</v>
      </c>
      <c r="G1499" s="18" t="n">
        <v>0</v>
      </c>
      <c r="H1499" s="18" t="n">
        <v>498</v>
      </c>
      <c r="I1499" s="18" t="n">
        <f aca="false">((I1498 + G1499) - H1499)</f>
        <v>-828275.68</v>
      </c>
      <c r="J1499" s="18" t="n">
        <v>-49.8</v>
      </c>
      <c r="K1499" s="19" t="n">
        <v>10</v>
      </c>
      <c r="L1499" s="17" t="s">
        <v>22</v>
      </c>
    </row>
    <row r="1500" s="11" customFormat="true" ht="10.95" hidden="false" customHeight="true" outlineLevel="0" collapsed="false">
      <c r="A1500" s="16" t="n">
        <v>45462</v>
      </c>
      <c r="B1500" s="17" t="s">
        <v>17</v>
      </c>
      <c r="C1500" s="17" t="s">
        <v>18</v>
      </c>
      <c r="D1500" s="17" t="s">
        <v>19</v>
      </c>
      <c r="E1500" s="17" t="s">
        <v>532</v>
      </c>
      <c r="F1500" s="17" t="s">
        <v>722</v>
      </c>
      <c r="G1500" s="18" t="n">
        <v>0</v>
      </c>
      <c r="H1500" s="18" t="n">
        <v>99</v>
      </c>
      <c r="I1500" s="18" t="n">
        <f aca="false">((I1499 + G1500) - H1500)</f>
        <v>-828374.68</v>
      </c>
      <c r="J1500" s="18" t="n">
        <v>-9.9</v>
      </c>
      <c r="K1500" s="19" t="n">
        <v>10</v>
      </c>
      <c r="L1500" s="17" t="s">
        <v>22</v>
      </c>
    </row>
    <row r="1501" s="11" customFormat="true" ht="10.95" hidden="false" customHeight="true" outlineLevel="0" collapsed="false">
      <c r="A1501" s="16" t="n">
        <v>45462</v>
      </c>
      <c r="B1501" s="17" t="s">
        <v>17</v>
      </c>
      <c r="C1501" s="17" t="s">
        <v>18</v>
      </c>
      <c r="D1501" s="17" t="s">
        <v>19</v>
      </c>
      <c r="E1501" s="17" t="s">
        <v>138</v>
      </c>
      <c r="F1501" s="17" t="s">
        <v>722</v>
      </c>
      <c r="G1501" s="18" t="n">
        <v>0</v>
      </c>
      <c r="H1501" s="18" t="n">
        <v>166</v>
      </c>
      <c r="I1501" s="18" t="n">
        <f aca="false">((I1500 + G1501) - H1501)</f>
        <v>-828540.68</v>
      </c>
      <c r="J1501" s="18" t="n">
        <v>-16.6</v>
      </c>
      <c r="K1501" s="19" t="n">
        <v>10</v>
      </c>
      <c r="L1501" s="17" t="s">
        <v>22</v>
      </c>
    </row>
    <row r="1502" s="11" customFormat="true" ht="10.95" hidden="false" customHeight="true" outlineLevel="0" collapsed="false">
      <c r="A1502" s="16" t="n">
        <v>45462</v>
      </c>
      <c r="B1502" s="17" t="s">
        <v>17</v>
      </c>
      <c r="C1502" s="17" t="s">
        <v>18</v>
      </c>
      <c r="D1502" s="17" t="s">
        <v>19</v>
      </c>
      <c r="E1502" s="17" t="s">
        <v>139</v>
      </c>
      <c r="F1502" s="17" t="s">
        <v>722</v>
      </c>
      <c r="G1502" s="18" t="n">
        <v>0</v>
      </c>
      <c r="H1502" s="18" t="n">
        <v>332</v>
      </c>
      <c r="I1502" s="18" t="n">
        <f aca="false">((I1501 + G1502) - H1502)</f>
        <v>-828872.68</v>
      </c>
      <c r="J1502" s="18" t="n">
        <v>-33.2</v>
      </c>
      <c r="K1502" s="19" t="n">
        <v>10</v>
      </c>
      <c r="L1502" s="17" t="s">
        <v>22</v>
      </c>
    </row>
    <row r="1503" s="11" customFormat="true" ht="10.95" hidden="false" customHeight="true" outlineLevel="0" collapsed="false">
      <c r="A1503" s="16" t="n">
        <v>45462</v>
      </c>
      <c r="B1503" s="17" t="s">
        <v>17</v>
      </c>
      <c r="C1503" s="17" t="s">
        <v>18</v>
      </c>
      <c r="D1503" s="17" t="s">
        <v>19</v>
      </c>
      <c r="E1503" s="17" t="s">
        <v>427</v>
      </c>
      <c r="F1503" s="17" t="s">
        <v>722</v>
      </c>
      <c r="G1503" s="18" t="n">
        <v>0</v>
      </c>
      <c r="H1503" s="18" t="n">
        <v>94.5</v>
      </c>
      <c r="I1503" s="18" t="n">
        <f aca="false">((I1502 + G1503) - H1503)</f>
        <v>-828967.18</v>
      </c>
      <c r="J1503" s="18" t="n">
        <v>-9.45</v>
      </c>
      <c r="K1503" s="19" t="n">
        <v>10</v>
      </c>
      <c r="L1503" s="17" t="s">
        <v>22</v>
      </c>
    </row>
    <row r="1504" s="11" customFormat="true" ht="10.95" hidden="false" customHeight="true" outlineLevel="0" collapsed="false">
      <c r="A1504" s="16" t="n">
        <v>45462</v>
      </c>
      <c r="B1504" s="17" t="s">
        <v>17</v>
      </c>
      <c r="C1504" s="17" t="s">
        <v>18</v>
      </c>
      <c r="D1504" s="17" t="s">
        <v>19</v>
      </c>
      <c r="E1504" s="17" t="s">
        <v>140</v>
      </c>
      <c r="F1504" s="17" t="s">
        <v>722</v>
      </c>
      <c r="G1504" s="18" t="n">
        <v>0</v>
      </c>
      <c r="H1504" s="18" t="n">
        <v>166</v>
      </c>
      <c r="I1504" s="18" t="n">
        <f aca="false">((I1503 + G1504) - H1504)</f>
        <v>-829133.18</v>
      </c>
      <c r="J1504" s="18" t="n">
        <v>-16.6</v>
      </c>
      <c r="K1504" s="19" t="n">
        <v>10</v>
      </c>
      <c r="L1504" s="17" t="s">
        <v>22</v>
      </c>
    </row>
    <row r="1505" s="11" customFormat="true" ht="10.95" hidden="false" customHeight="true" outlineLevel="0" collapsed="false">
      <c r="A1505" s="16" t="n">
        <v>45462</v>
      </c>
      <c r="B1505" s="17" t="s">
        <v>17</v>
      </c>
      <c r="C1505" s="17" t="s">
        <v>18</v>
      </c>
      <c r="D1505" s="17" t="s">
        <v>19</v>
      </c>
      <c r="E1505" s="17" t="s">
        <v>141</v>
      </c>
      <c r="F1505" s="17" t="s">
        <v>722</v>
      </c>
      <c r="G1505" s="18" t="n">
        <v>0</v>
      </c>
      <c r="H1505" s="18" t="n">
        <v>249</v>
      </c>
      <c r="I1505" s="18" t="n">
        <f aca="false">((I1504 + G1505) - H1505)</f>
        <v>-829382.18</v>
      </c>
      <c r="J1505" s="18" t="n">
        <v>-24.9</v>
      </c>
      <c r="K1505" s="19" t="n">
        <v>10</v>
      </c>
      <c r="L1505" s="17" t="s">
        <v>22</v>
      </c>
    </row>
    <row r="1506" s="11" customFormat="true" ht="10.95" hidden="false" customHeight="true" outlineLevel="0" collapsed="false">
      <c r="A1506" s="16" t="n">
        <v>45462</v>
      </c>
      <c r="B1506" s="17" t="s">
        <v>17</v>
      </c>
      <c r="C1506" s="17" t="s">
        <v>18</v>
      </c>
      <c r="D1506" s="17" t="s">
        <v>19</v>
      </c>
      <c r="E1506" s="17" t="s">
        <v>142</v>
      </c>
      <c r="F1506" s="17" t="s">
        <v>722</v>
      </c>
      <c r="G1506" s="18" t="n">
        <v>0</v>
      </c>
      <c r="H1506" s="18" t="n">
        <v>249</v>
      </c>
      <c r="I1506" s="18" t="n">
        <f aca="false">((I1505 + G1506) - H1506)</f>
        <v>-829631.18</v>
      </c>
      <c r="J1506" s="18" t="n">
        <v>-24.9</v>
      </c>
      <c r="K1506" s="19" t="n">
        <v>10</v>
      </c>
      <c r="L1506" s="17" t="s">
        <v>22</v>
      </c>
    </row>
    <row r="1507" s="11" customFormat="true" ht="10.95" hidden="false" customHeight="true" outlineLevel="0" collapsed="false">
      <c r="A1507" s="16" t="n">
        <v>45462</v>
      </c>
      <c r="B1507" s="17" t="s">
        <v>17</v>
      </c>
      <c r="C1507" s="17" t="s">
        <v>18</v>
      </c>
      <c r="D1507" s="17" t="s">
        <v>19</v>
      </c>
      <c r="E1507" s="17" t="s">
        <v>143</v>
      </c>
      <c r="F1507" s="17" t="s">
        <v>722</v>
      </c>
      <c r="G1507" s="18" t="n">
        <v>0</v>
      </c>
      <c r="H1507" s="18" t="n">
        <v>189</v>
      </c>
      <c r="I1507" s="18" t="n">
        <f aca="false">((I1506 + G1507) - H1507)</f>
        <v>-829820.18</v>
      </c>
      <c r="J1507" s="18" t="n">
        <v>-18.9</v>
      </c>
      <c r="K1507" s="19" t="n">
        <v>10</v>
      </c>
      <c r="L1507" s="17" t="s">
        <v>22</v>
      </c>
    </row>
    <row r="1508" s="11" customFormat="true" ht="10.95" hidden="false" customHeight="true" outlineLevel="0" collapsed="false">
      <c r="A1508" s="16" t="n">
        <v>45462</v>
      </c>
      <c r="B1508" s="17" t="s">
        <v>17</v>
      </c>
      <c r="C1508" s="17" t="s">
        <v>18</v>
      </c>
      <c r="D1508" s="17" t="s">
        <v>19</v>
      </c>
      <c r="E1508" s="17" t="s">
        <v>144</v>
      </c>
      <c r="F1508" s="17" t="s">
        <v>722</v>
      </c>
      <c r="G1508" s="18" t="n">
        <v>0</v>
      </c>
      <c r="H1508" s="18" t="n">
        <v>2075</v>
      </c>
      <c r="I1508" s="18" t="n">
        <f aca="false">((I1507 + G1508) - H1508)</f>
        <v>-831895.18</v>
      </c>
      <c r="J1508" s="18" t="n">
        <v>-207.5</v>
      </c>
      <c r="K1508" s="19" t="n">
        <v>10</v>
      </c>
      <c r="L1508" s="17" t="s">
        <v>22</v>
      </c>
    </row>
    <row r="1509" s="11" customFormat="true" ht="10.95" hidden="false" customHeight="true" outlineLevel="0" collapsed="false">
      <c r="A1509" s="16" t="n">
        <v>45462</v>
      </c>
      <c r="B1509" s="17" t="s">
        <v>17</v>
      </c>
      <c r="C1509" s="17" t="s">
        <v>18</v>
      </c>
      <c r="D1509" s="17" t="s">
        <v>19</v>
      </c>
      <c r="E1509" s="17" t="s">
        <v>147</v>
      </c>
      <c r="F1509" s="17" t="s">
        <v>722</v>
      </c>
      <c r="G1509" s="18" t="n">
        <v>0</v>
      </c>
      <c r="H1509" s="18" t="n">
        <v>83</v>
      </c>
      <c r="I1509" s="18" t="n">
        <f aca="false">((I1508 + G1509) - H1509)</f>
        <v>-831978.18</v>
      </c>
      <c r="J1509" s="18" t="n">
        <v>-8.3</v>
      </c>
      <c r="K1509" s="19" t="n">
        <v>10</v>
      </c>
      <c r="L1509" s="17" t="s">
        <v>22</v>
      </c>
    </row>
    <row r="1510" s="11" customFormat="true" ht="10.95" hidden="false" customHeight="true" outlineLevel="0" collapsed="false">
      <c r="A1510" s="16" t="n">
        <v>45462</v>
      </c>
      <c r="B1510" s="17" t="s">
        <v>17</v>
      </c>
      <c r="C1510" s="17" t="s">
        <v>18</v>
      </c>
      <c r="D1510" s="17" t="s">
        <v>19</v>
      </c>
      <c r="E1510" s="17" t="s">
        <v>148</v>
      </c>
      <c r="F1510" s="17" t="s">
        <v>722</v>
      </c>
      <c r="G1510" s="18" t="n">
        <v>0</v>
      </c>
      <c r="H1510" s="18" t="n">
        <v>1162</v>
      </c>
      <c r="I1510" s="18" t="n">
        <f aca="false">((I1509 + G1510) - H1510)</f>
        <v>-833140.18</v>
      </c>
      <c r="J1510" s="18" t="n">
        <v>-116.2</v>
      </c>
      <c r="K1510" s="19" t="n">
        <v>10</v>
      </c>
      <c r="L1510" s="17" t="s">
        <v>22</v>
      </c>
    </row>
    <row r="1511" s="11" customFormat="true" ht="10.95" hidden="false" customHeight="true" outlineLevel="0" collapsed="false">
      <c r="A1511" s="16" t="n">
        <v>45462</v>
      </c>
      <c r="B1511" s="17" t="s">
        <v>17</v>
      </c>
      <c r="C1511" s="17" t="s">
        <v>18</v>
      </c>
      <c r="D1511" s="17" t="s">
        <v>19</v>
      </c>
      <c r="E1511" s="17" t="s">
        <v>149</v>
      </c>
      <c r="F1511" s="17" t="s">
        <v>722</v>
      </c>
      <c r="G1511" s="18" t="n">
        <v>0</v>
      </c>
      <c r="H1511" s="18" t="n">
        <v>360</v>
      </c>
      <c r="I1511" s="18" t="n">
        <f aca="false">((I1510 + G1511) - H1511)</f>
        <v>-833500.18</v>
      </c>
      <c r="J1511" s="18" t="n">
        <v>-36</v>
      </c>
      <c r="K1511" s="19" t="n">
        <v>10</v>
      </c>
      <c r="L1511" s="17" t="s">
        <v>22</v>
      </c>
    </row>
    <row r="1512" s="11" customFormat="true" ht="10.95" hidden="false" customHeight="true" outlineLevel="0" collapsed="false">
      <c r="A1512" s="16" t="n">
        <v>45462</v>
      </c>
      <c r="B1512" s="17" t="s">
        <v>17</v>
      </c>
      <c r="C1512" s="17" t="s">
        <v>18</v>
      </c>
      <c r="D1512" s="17" t="s">
        <v>19</v>
      </c>
      <c r="E1512" s="17" t="s">
        <v>150</v>
      </c>
      <c r="F1512" s="17" t="s">
        <v>722</v>
      </c>
      <c r="G1512" s="18" t="n">
        <v>0</v>
      </c>
      <c r="H1512" s="18" t="n">
        <v>144</v>
      </c>
      <c r="I1512" s="18" t="n">
        <f aca="false">((I1511 + G1512) - H1512)</f>
        <v>-833644.18</v>
      </c>
      <c r="J1512" s="18" t="n">
        <v>-14.4</v>
      </c>
      <c r="K1512" s="19" t="n">
        <v>10</v>
      </c>
      <c r="L1512" s="17" t="s">
        <v>22</v>
      </c>
    </row>
    <row r="1513" s="11" customFormat="true" ht="10.95" hidden="false" customHeight="true" outlineLevel="0" collapsed="false">
      <c r="A1513" s="16" t="n">
        <v>45462</v>
      </c>
      <c r="B1513" s="17" t="s">
        <v>17</v>
      </c>
      <c r="C1513" s="17" t="s">
        <v>18</v>
      </c>
      <c r="D1513" s="17" t="s">
        <v>19</v>
      </c>
      <c r="E1513" s="17" t="s">
        <v>151</v>
      </c>
      <c r="F1513" s="17" t="s">
        <v>722</v>
      </c>
      <c r="G1513" s="18" t="n">
        <v>0</v>
      </c>
      <c r="H1513" s="18" t="n">
        <v>100</v>
      </c>
      <c r="I1513" s="18" t="n">
        <f aca="false">((I1512 + G1513) - H1513)</f>
        <v>-833744.18</v>
      </c>
      <c r="J1513" s="18" t="n">
        <v>-10</v>
      </c>
      <c r="K1513" s="19" t="n">
        <v>10</v>
      </c>
      <c r="L1513" s="17" t="s">
        <v>22</v>
      </c>
    </row>
    <row r="1514" s="11" customFormat="true" ht="10.95" hidden="false" customHeight="true" outlineLevel="0" collapsed="false">
      <c r="A1514" s="16" t="n">
        <v>45462</v>
      </c>
      <c r="B1514" s="17" t="s">
        <v>17</v>
      </c>
      <c r="C1514" s="17" t="s">
        <v>18</v>
      </c>
      <c r="D1514" s="17" t="s">
        <v>19</v>
      </c>
      <c r="E1514" s="17" t="s">
        <v>152</v>
      </c>
      <c r="F1514" s="17" t="s">
        <v>722</v>
      </c>
      <c r="G1514" s="18" t="n">
        <v>0</v>
      </c>
      <c r="H1514" s="18" t="n">
        <v>1162</v>
      </c>
      <c r="I1514" s="18" t="n">
        <f aca="false">((I1513 + G1514) - H1514)</f>
        <v>-834906.18</v>
      </c>
      <c r="J1514" s="18" t="n">
        <v>-116.2</v>
      </c>
      <c r="K1514" s="19" t="n">
        <v>10</v>
      </c>
      <c r="L1514" s="17" t="s">
        <v>22</v>
      </c>
    </row>
    <row r="1515" s="11" customFormat="true" ht="10.95" hidden="false" customHeight="true" outlineLevel="0" collapsed="false">
      <c r="A1515" s="16" t="n">
        <v>45462</v>
      </c>
      <c r="B1515" s="17" t="s">
        <v>17</v>
      </c>
      <c r="C1515" s="17" t="s">
        <v>18</v>
      </c>
      <c r="D1515" s="17" t="s">
        <v>19</v>
      </c>
      <c r="E1515" s="17" t="s">
        <v>153</v>
      </c>
      <c r="F1515" s="17" t="s">
        <v>722</v>
      </c>
      <c r="G1515" s="18" t="n">
        <v>0</v>
      </c>
      <c r="H1515" s="18" t="n">
        <v>378</v>
      </c>
      <c r="I1515" s="18" t="n">
        <f aca="false">((I1514 + G1515) - H1515)</f>
        <v>-835284.18</v>
      </c>
      <c r="J1515" s="18" t="n">
        <v>-37.8</v>
      </c>
      <c r="K1515" s="19" t="n">
        <v>10</v>
      </c>
      <c r="L1515" s="17" t="s">
        <v>22</v>
      </c>
    </row>
    <row r="1516" s="11" customFormat="true" ht="10.95" hidden="false" customHeight="true" outlineLevel="0" collapsed="false">
      <c r="A1516" s="16" t="n">
        <v>45462</v>
      </c>
      <c r="B1516" s="17" t="s">
        <v>17</v>
      </c>
      <c r="C1516" s="17" t="s">
        <v>18</v>
      </c>
      <c r="D1516" s="17" t="s">
        <v>19</v>
      </c>
      <c r="E1516" s="17" t="s">
        <v>154</v>
      </c>
      <c r="F1516" s="17" t="s">
        <v>722</v>
      </c>
      <c r="G1516" s="18" t="n">
        <v>0</v>
      </c>
      <c r="H1516" s="18" t="n">
        <v>165</v>
      </c>
      <c r="I1516" s="18" t="n">
        <f aca="false">((I1515 + G1516) - H1516)</f>
        <v>-835449.18</v>
      </c>
      <c r="J1516" s="18" t="n">
        <v>-16.5</v>
      </c>
      <c r="K1516" s="19" t="n">
        <v>10</v>
      </c>
      <c r="L1516" s="17" t="s">
        <v>22</v>
      </c>
    </row>
    <row r="1517" s="11" customFormat="true" ht="10.95" hidden="false" customHeight="true" outlineLevel="0" collapsed="false">
      <c r="A1517" s="16" t="n">
        <v>45462</v>
      </c>
      <c r="B1517" s="17" t="s">
        <v>17</v>
      </c>
      <c r="C1517" s="17" t="s">
        <v>18</v>
      </c>
      <c r="D1517" s="17" t="s">
        <v>19</v>
      </c>
      <c r="E1517" s="17" t="s">
        <v>155</v>
      </c>
      <c r="F1517" s="17" t="s">
        <v>722</v>
      </c>
      <c r="G1517" s="18" t="n">
        <v>0</v>
      </c>
      <c r="H1517" s="18" t="n">
        <v>432</v>
      </c>
      <c r="I1517" s="18" t="n">
        <f aca="false">((I1516 + G1517) - H1517)</f>
        <v>-835881.18</v>
      </c>
      <c r="J1517" s="18" t="n">
        <v>-43.2</v>
      </c>
      <c r="K1517" s="19" t="n">
        <v>10</v>
      </c>
      <c r="L1517" s="17" t="s">
        <v>22</v>
      </c>
    </row>
    <row r="1518" s="11" customFormat="true" ht="10.95" hidden="false" customHeight="true" outlineLevel="0" collapsed="false">
      <c r="A1518" s="16" t="n">
        <v>45462</v>
      </c>
      <c r="B1518" s="17" t="s">
        <v>17</v>
      </c>
      <c r="C1518" s="17" t="s">
        <v>18</v>
      </c>
      <c r="D1518" s="17" t="s">
        <v>19</v>
      </c>
      <c r="E1518" s="17" t="s">
        <v>156</v>
      </c>
      <c r="F1518" s="17" t="s">
        <v>722</v>
      </c>
      <c r="G1518" s="18" t="n">
        <v>0</v>
      </c>
      <c r="H1518" s="18" t="n">
        <v>1323</v>
      </c>
      <c r="I1518" s="18" t="n">
        <f aca="false">((I1517 + G1518) - H1518)</f>
        <v>-837204.18</v>
      </c>
      <c r="J1518" s="18" t="n">
        <v>-132.3</v>
      </c>
      <c r="K1518" s="19" t="n">
        <v>10</v>
      </c>
      <c r="L1518" s="17" t="s">
        <v>22</v>
      </c>
    </row>
    <row r="1519" s="11" customFormat="true" ht="10.95" hidden="false" customHeight="true" outlineLevel="0" collapsed="false">
      <c r="A1519" s="16" t="n">
        <v>45462</v>
      </c>
      <c r="B1519" s="17" t="s">
        <v>17</v>
      </c>
      <c r="C1519" s="17" t="s">
        <v>18</v>
      </c>
      <c r="D1519" s="17" t="s">
        <v>19</v>
      </c>
      <c r="E1519" s="17" t="s">
        <v>223</v>
      </c>
      <c r="F1519" s="17" t="s">
        <v>722</v>
      </c>
      <c r="G1519" s="18" t="n">
        <v>0</v>
      </c>
      <c r="H1519" s="18" t="n">
        <v>34.65</v>
      </c>
      <c r="I1519" s="18" t="n">
        <f aca="false">((I1518 + G1519) - H1519)</f>
        <v>-837238.83</v>
      </c>
      <c r="J1519" s="18" t="n">
        <v>-3.47</v>
      </c>
      <c r="K1519" s="19" t="n">
        <v>10</v>
      </c>
      <c r="L1519" s="17" t="s">
        <v>22</v>
      </c>
    </row>
    <row r="1520" s="11" customFormat="true" ht="10.95" hidden="false" customHeight="true" outlineLevel="0" collapsed="false">
      <c r="A1520" s="16" t="n">
        <v>45462</v>
      </c>
      <c r="B1520" s="17" t="s">
        <v>17</v>
      </c>
      <c r="C1520" s="17" t="s">
        <v>18</v>
      </c>
      <c r="D1520" s="17" t="s">
        <v>19</v>
      </c>
      <c r="E1520" s="17" t="s">
        <v>157</v>
      </c>
      <c r="F1520" s="17" t="s">
        <v>722</v>
      </c>
      <c r="G1520" s="18" t="n">
        <v>0</v>
      </c>
      <c r="H1520" s="18" t="n">
        <v>661.5</v>
      </c>
      <c r="I1520" s="18" t="n">
        <f aca="false">((I1519 + G1520) - H1520)</f>
        <v>-837900.33</v>
      </c>
      <c r="J1520" s="18" t="n">
        <v>-66.15</v>
      </c>
      <c r="K1520" s="19" t="n">
        <v>10</v>
      </c>
      <c r="L1520" s="17" t="s">
        <v>22</v>
      </c>
    </row>
    <row r="1521" s="11" customFormat="true" ht="10.95" hidden="false" customHeight="true" outlineLevel="0" collapsed="false">
      <c r="A1521" s="16" t="n">
        <v>45462</v>
      </c>
      <c r="B1521" s="17" t="s">
        <v>17</v>
      </c>
      <c r="C1521" s="17" t="s">
        <v>18</v>
      </c>
      <c r="D1521" s="17" t="s">
        <v>19</v>
      </c>
      <c r="E1521" s="17" t="s">
        <v>158</v>
      </c>
      <c r="F1521" s="17" t="s">
        <v>722</v>
      </c>
      <c r="G1521" s="18" t="n">
        <v>0</v>
      </c>
      <c r="H1521" s="18" t="n">
        <v>94.5</v>
      </c>
      <c r="I1521" s="18" t="n">
        <f aca="false">((I1520 + G1521) - H1521)</f>
        <v>-837994.83</v>
      </c>
      <c r="J1521" s="18" t="n">
        <v>-9.45</v>
      </c>
      <c r="K1521" s="19" t="n">
        <v>10</v>
      </c>
      <c r="L1521" s="17" t="s">
        <v>22</v>
      </c>
    </row>
    <row r="1522" s="11" customFormat="true" ht="10.95" hidden="false" customHeight="true" outlineLevel="0" collapsed="false">
      <c r="A1522" s="16" t="n">
        <v>45462</v>
      </c>
      <c r="B1522" s="17" t="s">
        <v>17</v>
      </c>
      <c r="C1522" s="17" t="s">
        <v>18</v>
      </c>
      <c r="D1522" s="17" t="s">
        <v>19</v>
      </c>
      <c r="E1522" s="17" t="s">
        <v>159</v>
      </c>
      <c r="F1522" s="17" t="s">
        <v>722</v>
      </c>
      <c r="G1522" s="18" t="n">
        <v>0</v>
      </c>
      <c r="H1522" s="18" t="n">
        <v>792</v>
      </c>
      <c r="I1522" s="18" t="n">
        <f aca="false">((I1521 + G1522) - H1522)</f>
        <v>-838786.83</v>
      </c>
      <c r="J1522" s="18" t="n">
        <v>-79.2</v>
      </c>
      <c r="K1522" s="19" t="n">
        <v>10</v>
      </c>
      <c r="L1522" s="17" t="s">
        <v>22</v>
      </c>
    </row>
    <row r="1523" s="11" customFormat="true" ht="10.95" hidden="false" customHeight="true" outlineLevel="0" collapsed="false">
      <c r="A1523" s="16" t="n">
        <v>45462</v>
      </c>
      <c r="B1523" s="17" t="s">
        <v>17</v>
      </c>
      <c r="C1523" s="17" t="s">
        <v>18</v>
      </c>
      <c r="D1523" s="17" t="s">
        <v>19</v>
      </c>
      <c r="E1523" s="17" t="s">
        <v>282</v>
      </c>
      <c r="F1523" s="17" t="s">
        <v>722</v>
      </c>
      <c r="G1523" s="18" t="n">
        <v>0</v>
      </c>
      <c r="H1523" s="18" t="n">
        <v>94.5</v>
      </c>
      <c r="I1523" s="18" t="n">
        <f aca="false">((I1522 + G1523) - H1523)</f>
        <v>-838881.33</v>
      </c>
      <c r="J1523" s="18" t="n">
        <v>-9.45</v>
      </c>
      <c r="K1523" s="19" t="n">
        <v>10</v>
      </c>
      <c r="L1523" s="17" t="s">
        <v>22</v>
      </c>
    </row>
    <row r="1524" s="11" customFormat="true" ht="10.95" hidden="false" customHeight="true" outlineLevel="0" collapsed="false">
      <c r="A1524" s="16" t="n">
        <v>45462</v>
      </c>
      <c r="B1524" s="17" t="s">
        <v>17</v>
      </c>
      <c r="C1524" s="17" t="s">
        <v>18</v>
      </c>
      <c r="D1524" s="17" t="s">
        <v>19</v>
      </c>
      <c r="E1524" s="17" t="s">
        <v>373</v>
      </c>
      <c r="F1524" s="17" t="s">
        <v>722</v>
      </c>
      <c r="G1524" s="18" t="n">
        <v>0</v>
      </c>
      <c r="H1524" s="18" t="n">
        <v>72</v>
      </c>
      <c r="I1524" s="18" t="n">
        <f aca="false">((I1523 + G1524) - H1524)</f>
        <v>-838953.33</v>
      </c>
      <c r="J1524" s="18" t="n">
        <v>-7.2</v>
      </c>
      <c r="K1524" s="19" t="n">
        <v>10</v>
      </c>
      <c r="L1524" s="17" t="s">
        <v>22</v>
      </c>
    </row>
    <row r="1525" s="11" customFormat="true" ht="10.95" hidden="false" customHeight="true" outlineLevel="0" collapsed="false">
      <c r="A1525" s="16" t="n">
        <v>45462</v>
      </c>
      <c r="B1525" s="17" t="s">
        <v>17</v>
      </c>
      <c r="C1525" s="17" t="s">
        <v>18</v>
      </c>
      <c r="D1525" s="17" t="s">
        <v>19</v>
      </c>
      <c r="E1525" s="17" t="s">
        <v>428</v>
      </c>
      <c r="F1525" s="17" t="s">
        <v>722</v>
      </c>
      <c r="G1525" s="18" t="n">
        <v>0</v>
      </c>
      <c r="H1525" s="18" t="n">
        <v>216</v>
      </c>
      <c r="I1525" s="18" t="n">
        <f aca="false">((I1524 + G1525) - H1525)</f>
        <v>-839169.33</v>
      </c>
      <c r="J1525" s="18" t="n">
        <v>-21.6</v>
      </c>
      <c r="K1525" s="19" t="n">
        <v>10</v>
      </c>
      <c r="L1525" s="17" t="s">
        <v>22</v>
      </c>
    </row>
    <row r="1526" s="11" customFormat="true" ht="10.95" hidden="false" customHeight="true" outlineLevel="0" collapsed="false">
      <c r="A1526" s="16" t="n">
        <v>45462</v>
      </c>
      <c r="B1526" s="17" t="s">
        <v>17</v>
      </c>
      <c r="C1526" s="17" t="s">
        <v>18</v>
      </c>
      <c r="D1526" s="17" t="s">
        <v>19</v>
      </c>
      <c r="E1526" s="17" t="s">
        <v>429</v>
      </c>
      <c r="F1526" s="17" t="s">
        <v>722</v>
      </c>
      <c r="G1526" s="18" t="n">
        <v>0</v>
      </c>
      <c r="H1526" s="18" t="n">
        <v>189</v>
      </c>
      <c r="I1526" s="18" t="n">
        <f aca="false">((I1525 + G1526) - H1526)</f>
        <v>-839358.33</v>
      </c>
      <c r="J1526" s="18" t="n">
        <v>-18.9</v>
      </c>
      <c r="K1526" s="19" t="n">
        <v>10</v>
      </c>
      <c r="L1526" s="17" t="s">
        <v>22</v>
      </c>
    </row>
    <row r="1527" s="11" customFormat="true" ht="10.95" hidden="false" customHeight="true" outlineLevel="0" collapsed="false">
      <c r="A1527" s="16" t="n">
        <v>45462</v>
      </c>
      <c r="B1527" s="17" t="s">
        <v>17</v>
      </c>
      <c r="C1527" s="17" t="s">
        <v>18</v>
      </c>
      <c r="D1527" s="17" t="s">
        <v>19</v>
      </c>
      <c r="E1527" s="17" t="s">
        <v>471</v>
      </c>
      <c r="F1527" s="17" t="s">
        <v>722</v>
      </c>
      <c r="G1527" s="18" t="n">
        <v>0</v>
      </c>
      <c r="H1527" s="18" t="n">
        <v>216</v>
      </c>
      <c r="I1527" s="18" t="n">
        <f aca="false">((I1526 + G1527) - H1527)</f>
        <v>-839574.33</v>
      </c>
      <c r="J1527" s="18" t="n">
        <v>-21.6</v>
      </c>
      <c r="K1527" s="19" t="n">
        <v>10</v>
      </c>
      <c r="L1527" s="17" t="s">
        <v>22</v>
      </c>
    </row>
    <row r="1528" s="11" customFormat="true" ht="10.95" hidden="false" customHeight="true" outlineLevel="0" collapsed="false">
      <c r="A1528" s="16" t="n">
        <v>45462</v>
      </c>
      <c r="B1528" s="17" t="s">
        <v>17</v>
      </c>
      <c r="C1528" s="17" t="s">
        <v>18</v>
      </c>
      <c r="D1528" s="17" t="s">
        <v>19</v>
      </c>
      <c r="E1528" s="17" t="s">
        <v>587</v>
      </c>
      <c r="F1528" s="17" t="s">
        <v>722</v>
      </c>
      <c r="G1528" s="18" t="n">
        <v>0</v>
      </c>
      <c r="H1528" s="18" t="n">
        <v>144</v>
      </c>
      <c r="I1528" s="18" t="n">
        <f aca="false">((I1527 + G1528) - H1528)</f>
        <v>-839718.33</v>
      </c>
      <c r="J1528" s="18" t="n">
        <v>-14.4</v>
      </c>
      <c r="K1528" s="19" t="n">
        <v>10</v>
      </c>
      <c r="L1528" s="17" t="s">
        <v>22</v>
      </c>
    </row>
    <row r="1529" s="11" customFormat="true" ht="10.95" hidden="false" customHeight="true" outlineLevel="0" collapsed="false">
      <c r="A1529" s="16" t="n">
        <v>45462</v>
      </c>
      <c r="B1529" s="17" t="s">
        <v>17</v>
      </c>
      <c r="C1529" s="17" t="s">
        <v>18</v>
      </c>
      <c r="D1529" s="17" t="s">
        <v>19</v>
      </c>
      <c r="E1529" s="17" t="s">
        <v>645</v>
      </c>
      <c r="F1529" s="17" t="s">
        <v>722</v>
      </c>
      <c r="G1529" s="18" t="n">
        <v>0</v>
      </c>
      <c r="H1529" s="18" t="n">
        <v>144</v>
      </c>
      <c r="I1529" s="18" t="n">
        <f aca="false">((I1528 + G1529) - H1529)</f>
        <v>-839862.33</v>
      </c>
      <c r="J1529" s="18" t="n">
        <v>-14.4</v>
      </c>
      <c r="K1529" s="19" t="n">
        <v>10</v>
      </c>
      <c r="L1529" s="17" t="s">
        <v>22</v>
      </c>
    </row>
    <row r="1530" s="11" customFormat="true" ht="10.95" hidden="false" customHeight="true" outlineLevel="0" collapsed="false">
      <c r="A1530" s="16" t="n">
        <v>45462</v>
      </c>
      <c r="B1530" s="17" t="s">
        <v>17</v>
      </c>
      <c r="C1530" s="17" t="s">
        <v>18</v>
      </c>
      <c r="D1530" s="17" t="s">
        <v>19</v>
      </c>
      <c r="E1530" s="17" t="s">
        <v>646</v>
      </c>
      <c r="F1530" s="17" t="s">
        <v>722</v>
      </c>
      <c r="G1530" s="18" t="n">
        <v>0</v>
      </c>
      <c r="H1530" s="18" t="n">
        <v>216</v>
      </c>
      <c r="I1530" s="18" t="n">
        <f aca="false">((I1529 + G1530) - H1530)</f>
        <v>-840078.33</v>
      </c>
      <c r="J1530" s="18" t="n">
        <v>-21.6</v>
      </c>
      <c r="K1530" s="19" t="n">
        <v>10</v>
      </c>
      <c r="L1530" s="17" t="s">
        <v>22</v>
      </c>
    </row>
    <row r="1531" s="11" customFormat="true" ht="10.95" hidden="false" customHeight="true" outlineLevel="0" collapsed="false">
      <c r="A1531" s="16" t="n">
        <v>45462</v>
      </c>
      <c r="B1531" s="17" t="s">
        <v>17</v>
      </c>
      <c r="C1531" s="17" t="s">
        <v>18</v>
      </c>
      <c r="D1531" s="17" t="s">
        <v>19</v>
      </c>
      <c r="E1531" s="17" t="s">
        <v>647</v>
      </c>
      <c r="F1531" s="17" t="s">
        <v>722</v>
      </c>
      <c r="G1531" s="18" t="n">
        <v>0</v>
      </c>
      <c r="H1531" s="18" t="n">
        <v>72</v>
      </c>
      <c r="I1531" s="18" t="n">
        <f aca="false">((I1530 + G1531) - H1531)</f>
        <v>-840150.33</v>
      </c>
      <c r="J1531" s="18" t="n">
        <v>-7.2</v>
      </c>
      <c r="K1531" s="19" t="n">
        <v>10</v>
      </c>
      <c r="L1531" s="17" t="s">
        <v>22</v>
      </c>
    </row>
    <row r="1532" s="11" customFormat="true" ht="10.95" hidden="false" customHeight="true" outlineLevel="0" collapsed="false">
      <c r="A1532" s="16" t="n">
        <v>45462</v>
      </c>
      <c r="B1532" s="17" t="s">
        <v>17</v>
      </c>
      <c r="C1532" s="17" t="s">
        <v>18</v>
      </c>
      <c r="D1532" s="17" t="s">
        <v>19</v>
      </c>
      <c r="E1532" s="17" t="s">
        <v>648</v>
      </c>
      <c r="F1532" s="17" t="s">
        <v>722</v>
      </c>
      <c r="G1532" s="18" t="n">
        <v>0</v>
      </c>
      <c r="H1532" s="18" t="n">
        <v>189</v>
      </c>
      <c r="I1532" s="18" t="n">
        <f aca="false">((I1531 + G1532) - H1532)</f>
        <v>-840339.33</v>
      </c>
      <c r="J1532" s="18" t="n">
        <v>-18.9</v>
      </c>
      <c r="K1532" s="19" t="n">
        <v>10</v>
      </c>
      <c r="L1532" s="17" t="s">
        <v>22</v>
      </c>
    </row>
    <row r="1533" s="11" customFormat="true" ht="10.95" hidden="false" customHeight="true" outlineLevel="0" collapsed="false">
      <c r="A1533" s="16" t="n">
        <v>45462</v>
      </c>
      <c r="B1533" s="17" t="s">
        <v>17</v>
      </c>
      <c r="C1533" s="17" t="s">
        <v>18</v>
      </c>
      <c r="D1533" s="17" t="s">
        <v>19</v>
      </c>
      <c r="E1533" s="17" t="s">
        <v>713</v>
      </c>
      <c r="F1533" s="17" t="s">
        <v>722</v>
      </c>
      <c r="G1533" s="18" t="n">
        <v>0</v>
      </c>
      <c r="H1533" s="18" t="n">
        <v>432</v>
      </c>
      <c r="I1533" s="18" t="n">
        <f aca="false">((I1532 + G1533) - H1533)</f>
        <v>-840771.33</v>
      </c>
      <c r="J1533" s="18" t="n">
        <v>-43.2</v>
      </c>
      <c r="K1533" s="19" t="n">
        <v>10</v>
      </c>
      <c r="L1533" s="17" t="s">
        <v>22</v>
      </c>
    </row>
    <row r="1534" s="11" customFormat="true" ht="10.95" hidden="false" customHeight="true" outlineLevel="0" collapsed="false">
      <c r="A1534" s="16" t="n">
        <v>45462</v>
      </c>
      <c r="B1534" s="17" t="s">
        <v>17</v>
      </c>
      <c r="C1534" s="17" t="s">
        <v>18</v>
      </c>
      <c r="D1534" s="17" t="s">
        <v>19</v>
      </c>
      <c r="E1534" s="17" t="s">
        <v>714</v>
      </c>
      <c r="F1534" s="17" t="s">
        <v>722</v>
      </c>
      <c r="G1534" s="18" t="n">
        <v>0</v>
      </c>
      <c r="H1534" s="18" t="n">
        <v>472.5</v>
      </c>
      <c r="I1534" s="18" t="n">
        <f aca="false">((I1533 + G1534) - H1534)</f>
        <v>-841243.83</v>
      </c>
      <c r="J1534" s="18" t="n">
        <v>-47.25</v>
      </c>
      <c r="K1534" s="19" t="n">
        <v>10</v>
      </c>
      <c r="L1534" s="17" t="s">
        <v>22</v>
      </c>
    </row>
    <row r="1535" s="11" customFormat="true" ht="10.95" hidden="false" customHeight="true" outlineLevel="0" collapsed="false">
      <c r="A1535" s="16" t="n">
        <v>45462</v>
      </c>
      <c r="B1535" s="17" t="s">
        <v>17</v>
      </c>
      <c r="C1535" s="17" t="s">
        <v>18</v>
      </c>
      <c r="D1535" s="17" t="s">
        <v>19</v>
      </c>
      <c r="E1535" s="17" t="s">
        <v>723</v>
      </c>
      <c r="F1535" s="17" t="s">
        <v>722</v>
      </c>
      <c r="G1535" s="18" t="n">
        <v>0</v>
      </c>
      <c r="H1535" s="18" t="n">
        <v>72</v>
      </c>
      <c r="I1535" s="18" t="n">
        <f aca="false">((I1534 + G1535) - H1535)</f>
        <v>-841315.83</v>
      </c>
      <c r="J1535" s="18" t="n">
        <v>-7.2</v>
      </c>
      <c r="K1535" s="19" t="n">
        <v>10</v>
      </c>
      <c r="L1535" s="17" t="s">
        <v>22</v>
      </c>
    </row>
    <row r="1536" s="11" customFormat="true" ht="10.95" hidden="false" customHeight="true" outlineLevel="0" collapsed="false">
      <c r="A1536" s="16" t="n">
        <v>45462</v>
      </c>
      <c r="B1536" s="17" t="s">
        <v>17</v>
      </c>
      <c r="C1536" s="17" t="s">
        <v>18</v>
      </c>
      <c r="D1536" s="17" t="s">
        <v>19</v>
      </c>
      <c r="E1536" s="17" t="s">
        <v>724</v>
      </c>
      <c r="F1536" s="17" t="s">
        <v>722</v>
      </c>
      <c r="G1536" s="18" t="n">
        <v>0</v>
      </c>
      <c r="H1536" s="18" t="n">
        <v>432</v>
      </c>
      <c r="I1536" s="18" t="n">
        <f aca="false">((I1535 + G1536) - H1536)</f>
        <v>-841747.83</v>
      </c>
      <c r="J1536" s="18" t="n">
        <v>-43.2</v>
      </c>
      <c r="K1536" s="19" t="n">
        <v>10</v>
      </c>
      <c r="L1536" s="17" t="s">
        <v>22</v>
      </c>
    </row>
    <row r="1537" s="11" customFormat="true" ht="10.95" hidden="false" customHeight="true" outlineLevel="0" collapsed="false">
      <c r="A1537" s="16" t="n">
        <v>45462</v>
      </c>
      <c r="B1537" s="17" t="s">
        <v>17</v>
      </c>
      <c r="C1537" s="17" t="s">
        <v>18</v>
      </c>
      <c r="D1537" s="17" t="s">
        <v>19</v>
      </c>
      <c r="E1537" s="17" t="s">
        <v>725</v>
      </c>
      <c r="F1537" s="17" t="s">
        <v>722</v>
      </c>
      <c r="G1537" s="18" t="n">
        <v>0</v>
      </c>
      <c r="H1537" s="18" t="n">
        <v>189</v>
      </c>
      <c r="I1537" s="18" t="n">
        <f aca="false">((I1536 + G1537) - H1537)</f>
        <v>-841936.83</v>
      </c>
      <c r="J1537" s="18" t="n">
        <v>-18.9</v>
      </c>
      <c r="K1537" s="19" t="n">
        <v>10</v>
      </c>
      <c r="L1537" s="17" t="s">
        <v>22</v>
      </c>
    </row>
    <row r="1538" s="11" customFormat="true" ht="10.95" hidden="false" customHeight="true" outlineLevel="0" collapsed="false">
      <c r="A1538" s="16" t="n">
        <v>45462</v>
      </c>
      <c r="B1538" s="17" t="s">
        <v>17</v>
      </c>
      <c r="C1538" s="17" t="s">
        <v>18</v>
      </c>
      <c r="D1538" s="17" t="s">
        <v>19</v>
      </c>
      <c r="E1538" s="17" t="s">
        <v>726</v>
      </c>
      <c r="F1538" s="17" t="s">
        <v>722</v>
      </c>
      <c r="G1538" s="18" t="n">
        <v>0</v>
      </c>
      <c r="H1538" s="18" t="n">
        <v>80</v>
      </c>
      <c r="I1538" s="18" t="n">
        <f aca="false">((I1537 + G1538) - H1538)</f>
        <v>-842016.83</v>
      </c>
      <c r="J1538" s="18" t="n">
        <v>-8</v>
      </c>
      <c r="K1538" s="19" t="n">
        <v>10</v>
      </c>
      <c r="L1538" s="17" t="s">
        <v>22</v>
      </c>
    </row>
    <row r="1539" s="11" customFormat="true" ht="10.95" hidden="false" customHeight="true" outlineLevel="0" collapsed="false">
      <c r="A1539" s="16" t="n">
        <v>45462</v>
      </c>
      <c r="B1539" s="17" t="s">
        <v>17</v>
      </c>
      <c r="C1539" s="17" t="s">
        <v>18</v>
      </c>
      <c r="D1539" s="17" t="s">
        <v>19</v>
      </c>
      <c r="E1539" s="17" t="s">
        <v>727</v>
      </c>
      <c r="F1539" s="17" t="s">
        <v>722</v>
      </c>
      <c r="G1539" s="18" t="n">
        <v>0</v>
      </c>
      <c r="H1539" s="18" t="n">
        <v>144</v>
      </c>
      <c r="I1539" s="18" t="n">
        <f aca="false">((I1538 + G1539) - H1539)</f>
        <v>-842160.83</v>
      </c>
      <c r="J1539" s="18" t="n">
        <v>-14.4</v>
      </c>
      <c r="K1539" s="19" t="n">
        <v>10</v>
      </c>
      <c r="L1539" s="17" t="s">
        <v>22</v>
      </c>
    </row>
    <row r="1540" s="11" customFormat="true" ht="10.95" hidden="false" customHeight="true" outlineLevel="0" collapsed="false">
      <c r="A1540" s="16" t="n">
        <v>45462</v>
      </c>
      <c r="B1540" s="17" t="s">
        <v>17</v>
      </c>
      <c r="C1540" s="17" t="s">
        <v>18</v>
      </c>
      <c r="D1540" s="17" t="s">
        <v>19</v>
      </c>
      <c r="E1540" s="17" t="s">
        <v>728</v>
      </c>
      <c r="F1540" s="17" t="s">
        <v>722</v>
      </c>
      <c r="G1540" s="18" t="n">
        <v>0</v>
      </c>
      <c r="H1540" s="18" t="n">
        <v>432</v>
      </c>
      <c r="I1540" s="18" t="n">
        <f aca="false">((I1539 + G1540) - H1540)</f>
        <v>-842592.83</v>
      </c>
      <c r="J1540" s="18" t="n">
        <v>-43.2</v>
      </c>
      <c r="K1540" s="19" t="n">
        <v>10</v>
      </c>
      <c r="L1540" s="17" t="s">
        <v>22</v>
      </c>
    </row>
    <row r="1541" s="11" customFormat="true" ht="10.95" hidden="false" customHeight="true" outlineLevel="0" collapsed="false">
      <c r="A1541" s="16" t="n">
        <v>45462</v>
      </c>
      <c r="B1541" s="17" t="s">
        <v>17</v>
      </c>
      <c r="C1541" s="17" t="s">
        <v>18</v>
      </c>
      <c r="D1541" s="17" t="s">
        <v>19</v>
      </c>
      <c r="E1541" s="17" t="s">
        <v>729</v>
      </c>
      <c r="F1541" s="17" t="s">
        <v>730</v>
      </c>
      <c r="G1541" s="18" t="n">
        <v>0</v>
      </c>
      <c r="H1541" s="18" t="n">
        <v>765</v>
      </c>
      <c r="I1541" s="18" t="n">
        <f aca="false">((I1540 + G1541) - H1541)</f>
        <v>-843357.83</v>
      </c>
      <c r="J1541" s="18" t="n">
        <v>-76.5</v>
      </c>
      <c r="K1541" s="19" t="n">
        <v>10</v>
      </c>
      <c r="L1541" s="17" t="s">
        <v>22</v>
      </c>
    </row>
    <row r="1542" s="11" customFormat="true" ht="10.95" hidden="false" customHeight="true" outlineLevel="0" collapsed="false">
      <c r="A1542" s="16" t="n">
        <v>45462</v>
      </c>
      <c r="B1542" s="17" t="s">
        <v>17</v>
      </c>
      <c r="C1542" s="17" t="s">
        <v>18</v>
      </c>
      <c r="D1542" s="17" t="s">
        <v>19</v>
      </c>
      <c r="E1542" s="17" t="s">
        <v>665</v>
      </c>
      <c r="F1542" s="17" t="s">
        <v>731</v>
      </c>
      <c r="G1542" s="18" t="n">
        <v>0</v>
      </c>
      <c r="H1542" s="18" t="n">
        <v>104.5</v>
      </c>
      <c r="I1542" s="18" t="n">
        <f aca="false">((I1541 + G1542) - H1542)</f>
        <v>-843462.33</v>
      </c>
      <c r="J1542" s="18" t="n">
        <v>-10.45</v>
      </c>
      <c r="K1542" s="19" t="n">
        <v>10</v>
      </c>
      <c r="L1542" s="17" t="s">
        <v>22</v>
      </c>
    </row>
    <row r="1543" s="11" customFormat="true" ht="10.95" hidden="false" customHeight="true" outlineLevel="0" collapsed="false">
      <c r="A1543" s="16" t="n">
        <v>45462</v>
      </c>
      <c r="B1543" s="17" t="s">
        <v>17</v>
      </c>
      <c r="C1543" s="17" t="s">
        <v>18</v>
      </c>
      <c r="D1543" s="17" t="s">
        <v>19</v>
      </c>
      <c r="E1543" s="17" t="s">
        <v>545</v>
      </c>
      <c r="F1543" s="17" t="s">
        <v>732</v>
      </c>
      <c r="G1543" s="18" t="n">
        <v>0</v>
      </c>
      <c r="H1543" s="18" t="n">
        <v>648</v>
      </c>
      <c r="I1543" s="18" t="n">
        <f aca="false">((I1542 + G1543) - H1543)</f>
        <v>-844110.33</v>
      </c>
      <c r="J1543" s="18" t="n">
        <v>-64.8</v>
      </c>
      <c r="K1543" s="19" t="n">
        <v>10</v>
      </c>
      <c r="L1543" s="17" t="s">
        <v>22</v>
      </c>
    </row>
    <row r="1544" s="11" customFormat="true" ht="10.95" hidden="false" customHeight="true" outlineLevel="0" collapsed="false">
      <c r="A1544" s="16" t="n">
        <v>45462</v>
      </c>
      <c r="B1544" s="17" t="s">
        <v>17</v>
      </c>
      <c r="C1544" s="17" t="s">
        <v>18</v>
      </c>
      <c r="D1544" s="17" t="s">
        <v>19</v>
      </c>
      <c r="E1544" s="17" t="s">
        <v>231</v>
      </c>
      <c r="F1544" s="17" t="s">
        <v>733</v>
      </c>
      <c r="G1544" s="18" t="n">
        <v>0</v>
      </c>
      <c r="H1544" s="18" t="n">
        <v>143</v>
      </c>
      <c r="I1544" s="18" t="n">
        <f aca="false">((I1543 + G1544) - H1544)</f>
        <v>-844253.33</v>
      </c>
      <c r="J1544" s="18" t="n">
        <v>-14.3</v>
      </c>
      <c r="K1544" s="19" t="n">
        <v>10</v>
      </c>
      <c r="L1544" s="17" t="s">
        <v>22</v>
      </c>
    </row>
    <row r="1545" s="11" customFormat="true" ht="10.95" hidden="false" customHeight="true" outlineLevel="0" collapsed="false">
      <c r="A1545" s="16" t="n">
        <v>45462</v>
      </c>
      <c r="B1545" s="17" t="s">
        <v>17</v>
      </c>
      <c r="C1545" s="17" t="s">
        <v>18</v>
      </c>
      <c r="D1545" s="17" t="s">
        <v>19</v>
      </c>
      <c r="E1545" s="17" t="s">
        <v>171</v>
      </c>
      <c r="F1545" s="17" t="s">
        <v>734</v>
      </c>
      <c r="G1545" s="18" t="n">
        <v>0</v>
      </c>
      <c r="H1545" s="18" t="n">
        <v>940.5</v>
      </c>
      <c r="I1545" s="18" t="n">
        <f aca="false">((I1544 + G1545) - H1545)</f>
        <v>-845193.83</v>
      </c>
      <c r="J1545" s="18" t="n">
        <v>-94.05</v>
      </c>
      <c r="K1545" s="19" t="n">
        <v>10</v>
      </c>
      <c r="L1545" s="17" t="s">
        <v>22</v>
      </c>
    </row>
    <row r="1546" s="11" customFormat="true" ht="10.95" hidden="false" customHeight="true" outlineLevel="0" collapsed="false">
      <c r="A1546" s="16" t="n">
        <v>45462</v>
      </c>
      <c r="B1546" s="17" t="s">
        <v>17</v>
      </c>
      <c r="C1546" s="17" t="s">
        <v>18</v>
      </c>
      <c r="D1546" s="17" t="s">
        <v>19</v>
      </c>
      <c r="E1546" s="17" t="s">
        <v>20</v>
      </c>
      <c r="F1546" s="17" t="s">
        <v>735</v>
      </c>
      <c r="G1546" s="18" t="n">
        <v>0</v>
      </c>
      <c r="H1546" s="18" t="n">
        <v>376</v>
      </c>
      <c r="I1546" s="18" t="n">
        <f aca="false">((I1545 + G1546) - H1546)</f>
        <v>-845569.83</v>
      </c>
      <c r="J1546" s="18" t="n">
        <v>-37.6</v>
      </c>
      <c r="K1546" s="19" t="n">
        <v>10</v>
      </c>
      <c r="L1546" s="17" t="s">
        <v>22</v>
      </c>
    </row>
    <row r="1547" s="11" customFormat="true" ht="10.95" hidden="false" customHeight="true" outlineLevel="0" collapsed="false">
      <c r="A1547" s="16" t="n">
        <v>45462</v>
      </c>
      <c r="B1547" s="17" t="s">
        <v>17</v>
      </c>
      <c r="C1547" s="17" t="s">
        <v>18</v>
      </c>
      <c r="D1547" s="17" t="s">
        <v>19</v>
      </c>
      <c r="E1547" s="17" t="s">
        <v>23</v>
      </c>
      <c r="F1547" s="17" t="s">
        <v>736</v>
      </c>
      <c r="G1547" s="18" t="n">
        <v>0</v>
      </c>
      <c r="H1547" s="18" t="n">
        <v>1150</v>
      </c>
      <c r="I1547" s="18" t="n">
        <f aca="false">((I1546 + G1547) - H1547)</f>
        <v>-846719.83</v>
      </c>
      <c r="J1547" s="18" t="n">
        <v>-115</v>
      </c>
      <c r="K1547" s="19" t="n">
        <v>10</v>
      </c>
      <c r="L1547" s="17" t="s">
        <v>22</v>
      </c>
    </row>
    <row r="1548" s="11" customFormat="true" ht="10.95" hidden="false" customHeight="true" outlineLevel="0" collapsed="false">
      <c r="A1548" s="16" t="n">
        <v>45462</v>
      </c>
      <c r="B1548" s="17" t="s">
        <v>17</v>
      </c>
      <c r="C1548" s="17" t="s">
        <v>18</v>
      </c>
      <c r="D1548" s="17" t="s">
        <v>19</v>
      </c>
      <c r="E1548" s="17" t="s">
        <v>25</v>
      </c>
      <c r="F1548" s="17" t="s">
        <v>736</v>
      </c>
      <c r="G1548" s="18" t="n">
        <v>0</v>
      </c>
      <c r="H1548" s="18" t="n">
        <v>225</v>
      </c>
      <c r="I1548" s="18" t="n">
        <f aca="false">((I1547 + G1548) - H1548)</f>
        <v>-846944.83</v>
      </c>
      <c r="J1548" s="18" t="n">
        <v>-22.5</v>
      </c>
      <c r="K1548" s="19" t="n">
        <v>10</v>
      </c>
      <c r="L1548" s="17" t="s">
        <v>22</v>
      </c>
    </row>
    <row r="1549" s="11" customFormat="true" ht="10.95" hidden="false" customHeight="true" outlineLevel="0" collapsed="false">
      <c r="A1549" s="16" t="n">
        <v>45462</v>
      </c>
      <c r="B1549" s="17" t="s">
        <v>17</v>
      </c>
      <c r="C1549" s="17" t="s">
        <v>18</v>
      </c>
      <c r="D1549" s="17" t="s">
        <v>19</v>
      </c>
      <c r="E1549" s="17" t="s">
        <v>26</v>
      </c>
      <c r="F1549" s="17" t="s">
        <v>737</v>
      </c>
      <c r="G1549" s="18" t="n">
        <v>0</v>
      </c>
      <c r="H1549" s="18" t="n">
        <v>595</v>
      </c>
      <c r="I1549" s="18" t="n">
        <f aca="false">((I1548 + G1549) - H1549)</f>
        <v>-847539.83</v>
      </c>
      <c r="J1549" s="18" t="n">
        <v>-59.5</v>
      </c>
      <c r="K1549" s="19" t="n">
        <v>10</v>
      </c>
      <c r="L1549" s="17" t="s">
        <v>22</v>
      </c>
    </row>
    <row r="1550" s="11" customFormat="true" ht="10.95" hidden="false" customHeight="true" outlineLevel="0" collapsed="false">
      <c r="A1550" s="16" t="n">
        <v>45462</v>
      </c>
      <c r="B1550" s="17" t="s">
        <v>17</v>
      </c>
      <c r="C1550" s="17" t="s">
        <v>18</v>
      </c>
      <c r="D1550" s="17" t="s">
        <v>19</v>
      </c>
      <c r="E1550" s="17" t="s">
        <v>28</v>
      </c>
      <c r="F1550" s="17" t="s">
        <v>738</v>
      </c>
      <c r="G1550" s="18" t="n">
        <v>0</v>
      </c>
      <c r="H1550" s="18" t="n">
        <v>1149.5</v>
      </c>
      <c r="I1550" s="18" t="n">
        <f aca="false">((I1549 + G1550) - H1550)</f>
        <v>-848689.33</v>
      </c>
      <c r="J1550" s="18" t="n">
        <v>-114.95</v>
      </c>
      <c r="K1550" s="19" t="n">
        <v>10</v>
      </c>
      <c r="L1550" s="17" t="s">
        <v>22</v>
      </c>
    </row>
    <row r="1551" s="11" customFormat="true" ht="10.95" hidden="false" customHeight="true" outlineLevel="0" collapsed="false">
      <c r="A1551" s="16" t="n">
        <v>45462</v>
      </c>
      <c r="B1551" s="17" t="s">
        <v>17</v>
      </c>
      <c r="C1551" s="17" t="s">
        <v>18</v>
      </c>
      <c r="D1551" s="17" t="s">
        <v>19</v>
      </c>
      <c r="E1551" s="17" t="s">
        <v>482</v>
      </c>
      <c r="F1551" s="17" t="s">
        <v>738</v>
      </c>
      <c r="G1551" s="18" t="n">
        <v>0</v>
      </c>
      <c r="H1551" s="18" t="n">
        <v>110</v>
      </c>
      <c r="I1551" s="18" t="n">
        <f aca="false">((I1550 + G1551) - H1551)</f>
        <v>-848799.33</v>
      </c>
      <c r="J1551" s="18" t="n">
        <v>-11</v>
      </c>
      <c r="K1551" s="19" t="n">
        <v>10</v>
      </c>
      <c r="L1551" s="17" t="s">
        <v>22</v>
      </c>
    </row>
    <row r="1552" s="11" customFormat="true" ht="10.95" hidden="false" customHeight="true" outlineLevel="0" collapsed="false">
      <c r="A1552" s="16" t="n">
        <v>45462</v>
      </c>
      <c r="B1552" s="17" t="s">
        <v>17</v>
      </c>
      <c r="C1552" s="17" t="s">
        <v>18</v>
      </c>
      <c r="D1552" s="17" t="s">
        <v>19</v>
      </c>
      <c r="E1552" s="17" t="s">
        <v>739</v>
      </c>
      <c r="F1552" s="17" t="s">
        <v>740</v>
      </c>
      <c r="G1552" s="18" t="n">
        <v>0</v>
      </c>
      <c r="H1552" s="18" t="n">
        <v>104.5</v>
      </c>
      <c r="I1552" s="18" t="n">
        <f aca="false">((I1551 + G1552) - H1552)</f>
        <v>-848903.83</v>
      </c>
      <c r="J1552" s="18" t="n">
        <v>-10.45</v>
      </c>
      <c r="K1552" s="19" t="n">
        <v>10</v>
      </c>
      <c r="L1552" s="17" t="s">
        <v>22</v>
      </c>
    </row>
    <row r="1553" s="11" customFormat="true" ht="10.95" hidden="false" customHeight="true" outlineLevel="0" collapsed="false">
      <c r="A1553" s="16" t="n">
        <v>45462</v>
      </c>
      <c r="B1553" s="17" t="s">
        <v>17</v>
      </c>
      <c r="C1553" s="17" t="s">
        <v>18</v>
      </c>
      <c r="D1553" s="17" t="s">
        <v>19</v>
      </c>
      <c r="E1553" s="17" t="s">
        <v>741</v>
      </c>
      <c r="F1553" s="17" t="s">
        <v>740</v>
      </c>
      <c r="G1553" s="18" t="n">
        <v>0</v>
      </c>
      <c r="H1553" s="18" t="n">
        <v>104.5</v>
      </c>
      <c r="I1553" s="18" t="n">
        <f aca="false">((I1552 + G1553) - H1553)</f>
        <v>-849008.33</v>
      </c>
      <c r="J1553" s="18" t="n">
        <v>-10.45</v>
      </c>
      <c r="K1553" s="19" t="n">
        <v>10</v>
      </c>
      <c r="L1553" s="17" t="s">
        <v>22</v>
      </c>
    </row>
    <row r="1554" s="11" customFormat="true" ht="10.95" hidden="false" customHeight="true" outlineLevel="0" collapsed="false">
      <c r="A1554" s="16" t="n">
        <v>45462</v>
      </c>
      <c r="B1554" s="17" t="s">
        <v>17</v>
      </c>
      <c r="C1554" s="17" t="s">
        <v>18</v>
      </c>
      <c r="D1554" s="17" t="s">
        <v>19</v>
      </c>
      <c r="E1554" s="17" t="s">
        <v>742</v>
      </c>
      <c r="F1554" s="17" t="s">
        <v>740</v>
      </c>
      <c r="G1554" s="18" t="n">
        <v>0</v>
      </c>
      <c r="H1554" s="18" t="n">
        <v>104.5</v>
      </c>
      <c r="I1554" s="18" t="n">
        <f aca="false">((I1553 + G1554) - H1554)</f>
        <v>-849112.83</v>
      </c>
      <c r="J1554" s="18" t="n">
        <v>-10.45</v>
      </c>
      <c r="K1554" s="19" t="n">
        <v>10</v>
      </c>
      <c r="L1554" s="17" t="s">
        <v>22</v>
      </c>
    </row>
    <row r="1555" s="11" customFormat="true" ht="10.95" hidden="false" customHeight="true" outlineLevel="0" collapsed="false">
      <c r="A1555" s="16" t="n">
        <v>45462</v>
      </c>
      <c r="B1555" s="17" t="s">
        <v>17</v>
      </c>
      <c r="C1555" s="17" t="s">
        <v>18</v>
      </c>
      <c r="D1555" s="17" t="s">
        <v>19</v>
      </c>
      <c r="E1555" s="17" t="s">
        <v>743</v>
      </c>
      <c r="F1555" s="17" t="s">
        <v>740</v>
      </c>
      <c r="G1555" s="18" t="n">
        <v>0</v>
      </c>
      <c r="H1555" s="18" t="n">
        <v>104.5</v>
      </c>
      <c r="I1555" s="18" t="n">
        <f aca="false">((I1554 + G1555) - H1555)</f>
        <v>-849217.33</v>
      </c>
      <c r="J1555" s="18" t="n">
        <v>-10.45</v>
      </c>
      <c r="K1555" s="19" t="n">
        <v>10</v>
      </c>
      <c r="L1555" s="17" t="s">
        <v>22</v>
      </c>
    </row>
    <row r="1556" s="11" customFormat="true" ht="10.95" hidden="false" customHeight="true" outlineLevel="0" collapsed="false">
      <c r="A1556" s="16" t="n">
        <v>45462</v>
      </c>
      <c r="B1556" s="17" t="s">
        <v>17</v>
      </c>
      <c r="C1556" s="17" t="s">
        <v>18</v>
      </c>
      <c r="D1556" s="17" t="s">
        <v>19</v>
      </c>
      <c r="E1556" s="17" t="s">
        <v>744</v>
      </c>
      <c r="F1556" s="17" t="s">
        <v>740</v>
      </c>
      <c r="G1556" s="18" t="n">
        <v>0</v>
      </c>
      <c r="H1556" s="18" t="n">
        <v>104.5</v>
      </c>
      <c r="I1556" s="18" t="n">
        <f aca="false">((I1555 + G1556) - H1556)</f>
        <v>-849321.83</v>
      </c>
      <c r="J1556" s="18" t="n">
        <v>-10.45</v>
      </c>
      <c r="K1556" s="19" t="n">
        <v>10</v>
      </c>
      <c r="L1556" s="17" t="s">
        <v>22</v>
      </c>
    </row>
    <row r="1557" s="11" customFormat="true" ht="10.95" hidden="false" customHeight="true" outlineLevel="0" collapsed="false">
      <c r="A1557" s="16" t="n">
        <v>45462</v>
      </c>
      <c r="B1557" s="17" t="s">
        <v>17</v>
      </c>
      <c r="C1557" s="17" t="s">
        <v>18</v>
      </c>
      <c r="D1557" s="17" t="s">
        <v>19</v>
      </c>
      <c r="E1557" s="17" t="s">
        <v>745</v>
      </c>
      <c r="F1557" s="17" t="s">
        <v>740</v>
      </c>
      <c r="G1557" s="18" t="n">
        <v>0</v>
      </c>
      <c r="H1557" s="18" t="n">
        <v>104.5</v>
      </c>
      <c r="I1557" s="18" t="n">
        <f aca="false">((I1556 + G1557) - H1557)</f>
        <v>-849426.33</v>
      </c>
      <c r="J1557" s="18" t="n">
        <v>-10.45</v>
      </c>
      <c r="K1557" s="19" t="n">
        <v>10</v>
      </c>
      <c r="L1557" s="17" t="s">
        <v>22</v>
      </c>
    </row>
    <row r="1558" s="11" customFormat="true" ht="10.95" hidden="false" customHeight="true" outlineLevel="0" collapsed="false">
      <c r="A1558" s="16" t="n">
        <v>45462</v>
      </c>
      <c r="B1558" s="17" t="s">
        <v>17</v>
      </c>
      <c r="C1558" s="17" t="s">
        <v>18</v>
      </c>
      <c r="D1558" s="17" t="s">
        <v>19</v>
      </c>
      <c r="E1558" s="17" t="s">
        <v>746</v>
      </c>
      <c r="F1558" s="17" t="s">
        <v>740</v>
      </c>
      <c r="G1558" s="18" t="n">
        <v>0</v>
      </c>
      <c r="H1558" s="18" t="n">
        <v>104.5</v>
      </c>
      <c r="I1558" s="18" t="n">
        <f aca="false">((I1557 + G1558) - H1558)</f>
        <v>-849530.83</v>
      </c>
      <c r="J1558" s="18" t="n">
        <v>-10.45</v>
      </c>
      <c r="K1558" s="19" t="n">
        <v>10</v>
      </c>
      <c r="L1558" s="17" t="s">
        <v>22</v>
      </c>
    </row>
    <row r="1559" s="11" customFormat="true" ht="10.95" hidden="false" customHeight="true" outlineLevel="0" collapsed="false">
      <c r="A1559" s="16" t="n">
        <v>45462</v>
      </c>
      <c r="B1559" s="17" t="s">
        <v>17</v>
      </c>
      <c r="C1559" s="17" t="s">
        <v>18</v>
      </c>
      <c r="D1559" s="17" t="s">
        <v>19</v>
      </c>
      <c r="E1559" s="17" t="s">
        <v>747</v>
      </c>
      <c r="F1559" s="17" t="s">
        <v>740</v>
      </c>
      <c r="G1559" s="18" t="n">
        <v>0</v>
      </c>
      <c r="H1559" s="18" t="n">
        <v>104.5</v>
      </c>
      <c r="I1559" s="18" t="n">
        <f aca="false">((I1558 + G1559) - H1559)</f>
        <v>-849635.33</v>
      </c>
      <c r="J1559" s="18" t="n">
        <v>-10.45</v>
      </c>
      <c r="K1559" s="19" t="n">
        <v>10</v>
      </c>
      <c r="L1559" s="17" t="s">
        <v>22</v>
      </c>
    </row>
    <row r="1560" s="11" customFormat="true" ht="10.95" hidden="false" customHeight="true" outlineLevel="0" collapsed="false">
      <c r="A1560" s="16" t="n">
        <v>45462</v>
      </c>
      <c r="B1560" s="17" t="s">
        <v>17</v>
      </c>
      <c r="C1560" s="17" t="s">
        <v>18</v>
      </c>
      <c r="D1560" s="17" t="s">
        <v>19</v>
      </c>
      <c r="E1560" s="17" t="s">
        <v>748</v>
      </c>
      <c r="F1560" s="17" t="s">
        <v>740</v>
      </c>
      <c r="G1560" s="18" t="n">
        <v>0</v>
      </c>
      <c r="H1560" s="18" t="n">
        <v>104.5</v>
      </c>
      <c r="I1560" s="18" t="n">
        <f aca="false">((I1559 + G1560) - H1560)</f>
        <v>-849739.83</v>
      </c>
      <c r="J1560" s="18" t="n">
        <v>-10.45</v>
      </c>
      <c r="K1560" s="19" t="n">
        <v>10</v>
      </c>
      <c r="L1560" s="17" t="s">
        <v>22</v>
      </c>
    </row>
    <row r="1561" s="11" customFormat="true" ht="10.95" hidden="false" customHeight="true" outlineLevel="0" collapsed="false">
      <c r="A1561" s="16" t="n">
        <v>45462</v>
      </c>
      <c r="B1561" s="17" t="s">
        <v>17</v>
      </c>
      <c r="C1561" s="17" t="s">
        <v>18</v>
      </c>
      <c r="D1561" s="17" t="s">
        <v>19</v>
      </c>
      <c r="E1561" s="17" t="s">
        <v>749</v>
      </c>
      <c r="F1561" s="17" t="s">
        <v>740</v>
      </c>
      <c r="G1561" s="18" t="n">
        <v>0</v>
      </c>
      <c r="H1561" s="18" t="n">
        <v>104.5</v>
      </c>
      <c r="I1561" s="18" t="n">
        <f aca="false">((I1560 + G1561) - H1561)</f>
        <v>-849844.33</v>
      </c>
      <c r="J1561" s="18" t="n">
        <v>-10.45</v>
      </c>
      <c r="K1561" s="19" t="n">
        <v>10</v>
      </c>
      <c r="L1561" s="17" t="s">
        <v>22</v>
      </c>
    </row>
    <row r="1562" s="11" customFormat="true" ht="10.95" hidden="false" customHeight="true" outlineLevel="0" collapsed="false">
      <c r="A1562" s="16" t="n">
        <v>45462</v>
      </c>
      <c r="B1562" s="17" t="s">
        <v>17</v>
      </c>
      <c r="C1562" s="17" t="s">
        <v>18</v>
      </c>
      <c r="D1562" s="17" t="s">
        <v>19</v>
      </c>
      <c r="E1562" s="17" t="s">
        <v>750</v>
      </c>
      <c r="F1562" s="17" t="s">
        <v>740</v>
      </c>
      <c r="G1562" s="18" t="n">
        <v>0</v>
      </c>
      <c r="H1562" s="18" t="n">
        <v>104.5</v>
      </c>
      <c r="I1562" s="18" t="n">
        <f aca="false">((I1561 + G1562) - H1562)</f>
        <v>-849948.83</v>
      </c>
      <c r="J1562" s="18" t="n">
        <v>-10.45</v>
      </c>
      <c r="K1562" s="19" t="n">
        <v>10</v>
      </c>
      <c r="L1562" s="17" t="s">
        <v>22</v>
      </c>
    </row>
    <row r="1563" s="11" customFormat="true" ht="10.95" hidden="false" customHeight="true" outlineLevel="0" collapsed="false">
      <c r="A1563" s="16" t="n">
        <v>45462</v>
      </c>
      <c r="B1563" s="17" t="s">
        <v>17</v>
      </c>
      <c r="C1563" s="17" t="s">
        <v>18</v>
      </c>
      <c r="D1563" s="17" t="s">
        <v>19</v>
      </c>
      <c r="E1563" s="17" t="s">
        <v>751</v>
      </c>
      <c r="F1563" s="17" t="s">
        <v>740</v>
      </c>
      <c r="G1563" s="18" t="n">
        <v>0</v>
      </c>
      <c r="H1563" s="18" t="n">
        <v>104.5</v>
      </c>
      <c r="I1563" s="18" t="n">
        <f aca="false">((I1562 + G1563) - H1563)</f>
        <v>-850053.33</v>
      </c>
      <c r="J1563" s="18" t="n">
        <v>-10.45</v>
      </c>
      <c r="K1563" s="19" t="n">
        <v>10</v>
      </c>
      <c r="L1563" s="17" t="s">
        <v>22</v>
      </c>
    </row>
    <row r="1564" s="11" customFormat="true" ht="10.95" hidden="false" customHeight="true" outlineLevel="0" collapsed="false">
      <c r="A1564" s="16" t="n">
        <v>45462</v>
      </c>
      <c r="B1564" s="17" t="s">
        <v>17</v>
      </c>
      <c r="C1564" s="17" t="s">
        <v>18</v>
      </c>
      <c r="D1564" s="17" t="s">
        <v>19</v>
      </c>
      <c r="E1564" s="17" t="s">
        <v>32</v>
      </c>
      <c r="F1564" s="17" t="s">
        <v>752</v>
      </c>
      <c r="G1564" s="18" t="n">
        <v>0</v>
      </c>
      <c r="H1564" s="18" t="n">
        <v>195</v>
      </c>
      <c r="I1564" s="18" t="n">
        <f aca="false">((I1563 + G1564) - H1564)</f>
        <v>-850248.33</v>
      </c>
      <c r="J1564" s="18" t="n">
        <v>-19.5</v>
      </c>
      <c r="K1564" s="19" t="n">
        <v>10</v>
      </c>
      <c r="L1564" s="17" t="s">
        <v>22</v>
      </c>
    </row>
    <row r="1565" s="11" customFormat="true" ht="10.95" hidden="false" customHeight="true" outlineLevel="0" collapsed="false">
      <c r="A1565" s="16" t="n">
        <v>45462</v>
      </c>
      <c r="B1565" s="17" t="s">
        <v>17</v>
      </c>
      <c r="C1565" s="17" t="s">
        <v>18</v>
      </c>
      <c r="D1565" s="17" t="s">
        <v>19</v>
      </c>
      <c r="E1565" s="17" t="s">
        <v>34</v>
      </c>
      <c r="F1565" s="17" t="s">
        <v>752</v>
      </c>
      <c r="G1565" s="18" t="n">
        <v>0</v>
      </c>
      <c r="H1565" s="18" t="n">
        <v>30</v>
      </c>
      <c r="I1565" s="18" t="n">
        <f aca="false">((I1564 + G1565) - H1565)</f>
        <v>-850278.33</v>
      </c>
      <c r="J1565" s="18" t="n">
        <v>-3</v>
      </c>
      <c r="K1565" s="19" t="n">
        <v>10</v>
      </c>
      <c r="L1565" s="17" t="s">
        <v>22</v>
      </c>
    </row>
    <row r="1566" s="11" customFormat="true" ht="10.95" hidden="false" customHeight="true" outlineLevel="0" collapsed="false">
      <c r="A1566" s="16" t="n">
        <v>45462</v>
      </c>
      <c r="B1566" s="17" t="s">
        <v>17</v>
      </c>
      <c r="C1566" s="17" t="s">
        <v>18</v>
      </c>
      <c r="D1566" s="17" t="s">
        <v>19</v>
      </c>
      <c r="E1566" s="17" t="s">
        <v>486</v>
      </c>
      <c r="F1566" s="17" t="s">
        <v>752</v>
      </c>
      <c r="G1566" s="18" t="n">
        <v>0</v>
      </c>
      <c r="H1566" s="18" t="n">
        <v>100</v>
      </c>
      <c r="I1566" s="18" t="n">
        <f aca="false">((I1565 + G1566) - H1566)</f>
        <v>-850378.33</v>
      </c>
      <c r="J1566" s="18" t="n">
        <v>-10</v>
      </c>
      <c r="K1566" s="19" t="n">
        <v>10</v>
      </c>
      <c r="L1566" s="17" t="s">
        <v>22</v>
      </c>
    </row>
    <row r="1567" s="11" customFormat="true" ht="10.95" hidden="false" customHeight="true" outlineLevel="0" collapsed="false">
      <c r="A1567" s="16" t="n">
        <v>45462</v>
      </c>
      <c r="B1567" s="17" t="s">
        <v>17</v>
      </c>
      <c r="C1567" s="17" t="s">
        <v>18</v>
      </c>
      <c r="D1567" s="17" t="s">
        <v>19</v>
      </c>
      <c r="E1567" s="17" t="s">
        <v>36</v>
      </c>
      <c r="F1567" s="17" t="s">
        <v>753</v>
      </c>
      <c r="G1567" s="18" t="n">
        <v>0</v>
      </c>
      <c r="H1567" s="18" t="n">
        <v>720</v>
      </c>
      <c r="I1567" s="18" t="n">
        <f aca="false">((I1566 + G1567) - H1567)</f>
        <v>-851098.33</v>
      </c>
      <c r="J1567" s="18" t="n">
        <v>-72</v>
      </c>
      <c r="K1567" s="19" t="n">
        <v>10</v>
      </c>
      <c r="L1567" s="17" t="s">
        <v>22</v>
      </c>
    </row>
    <row r="1568" s="11" customFormat="true" ht="10.95" hidden="false" customHeight="true" outlineLevel="0" collapsed="false">
      <c r="A1568" s="16" t="n">
        <v>45462</v>
      </c>
      <c r="B1568" s="17" t="s">
        <v>17</v>
      </c>
      <c r="C1568" s="17" t="s">
        <v>18</v>
      </c>
      <c r="D1568" s="17" t="s">
        <v>19</v>
      </c>
      <c r="E1568" s="17" t="s">
        <v>38</v>
      </c>
      <c r="F1568" s="17" t="s">
        <v>753</v>
      </c>
      <c r="G1568" s="18" t="n">
        <v>0</v>
      </c>
      <c r="H1568" s="18" t="n">
        <v>110</v>
      </c>
      <c r="I1568" s="18" t="n">
        <f aca="false">((I1567 + G1568) - H1568)</f>
        <v>-851208.33</v>
      </c>
      <c r="J1568" s="18" t="n">
        <v>-11</v>
      </c>
      <c r="K1568" s="19" t="n">
        <v>10</v>
      </c>
      <c r="L1568" s="17" t="s">
        <v>22</v>
      </c>
    </row>
    <row r="1569" s="11" customFormat="true" ht="10.95" hidden="false" customHeight="true" outlineLevel="0" collapsed="false">
      <c r="A1569" s="16" t="n">
        <v>45462</v>
      </c>
      <c r="B1569" s="17" t="s">
        <v>17</v>
      </c>
      <c r="C1569" s="17" t="s">
        <v>18</v>
      </c>
      <c r="D1569" s="17" t="s">
        <v>19</v>
      </c>
      <c r="E1569" s="17" t="s">
        <v>39</v>
      </c>
      <c r="F1569" s="17" t="s">
        <v>753</v>
      </c>
      <c r="G1569" s="18" t="n">
        <v>0</v>
      </c>
      <c r="H1569" s="18" t="n">
        <v>165</v>
      </c>
      <c r="I1569" s="18" t="n">
        <f aca="false">((I1568 + G1569) - H1569)</f>
        <v>-851373.33</v>
      </c>
      <c r="J1569" s="18" t="n">
        <v>-16.5</v>
      </c>
      <c r="K1569" s="19" t="n">
        <v>10</v>
      </c>
      <c r="L1569" s="17" t="s">
        <v>22</v>
      </c>
    </row>
    <row r="1570" s="11" customFormat="true" ht="10.95" hidden="false" customHeight="true" outlineLevel="0" collapsed="false">
      <c r="A1570" s="16" t="n">
        <v>45462</v>
      </c>
      <c r="B1570" s="17" t="s">
        <v>17</v>
      </c>
      <c r="C1570" s="17" t="s">
        <v>18</v>
      </c>
      <c r="D1570" s="17" t="s">
        <v>19</v>
      </c>
      <c r="E1570" s="17" t="s">
        <v>47</v>
      </c>
      <c r="F1570" s="17" t="s">
        <v>754</v>
      </c>
      <c r="G1570" s="18" t="n">
        <v>0</v>
      </c>
      <c r="H1570" s="18" t="n">
        <v>260</v>
      </c>
      <c r="I1570" s="18" t="n">
        <f aca="false">((I1569 + G1570) - H1570)</f>
        <v>-851633.33</v>
      </c>
      <c r="J1570" s="18" t="n">
        <v>-26</v>
      </c>
      <c r="K1570" s="19" t="n">
        <v>10</v>
      </c>
      <c r="L1570" s="17" t="s">
        <v>22</v>
      </c>
    </row>
    <row r="1571" s="11" customFormat="true" ht="10.95" hidden="false" customHeight="true" outlineLevel="0" collapsed="false">
      <c r="A1571" s="16" t="n">
        <v>45462</v>
      </c>
      <c r="B1571" s="17" t="s">
        <v>17</v>
      </c>
      <c r="C1571" s="17" t="s">
        <v>18</v>
      </c>
      <c r="D1571" s="17" t="s">
        <v>19</v>
      </c>
      <c r="E1571" s="17" t="s">
        <v>49</v>
      </c>
      <c r="F1571" s="17" t="s">
        <v>754</v>
      </c>
      <c r="G1571" s="18" t="n">
        <v>0</v>
      </c>
      <c r="H1571" s="18" t="n">
        <v>100</v>
      </c>
      <c r="I1571" s="18" t="n">
        <f aca="false">((I1570 + G1571) - H1571)</f>
        <v>-851733.33</v>
      </c>
      <c r="J1571" s="18" t="n">
        <v>-10</v>
      </c>
      <c r="K1571" s="19" t="n">
        <v>10</v>
      </c>
      <c r="L1571" s="17" t="s">
        <v>22</v>
      </c>
    </row>
    <row r="1572" s="11" customFormat="true" ht="10.95" hidden="false" customHeight="true" outlineLevel="0" collapsed="false">
      <c r="A1572" s="16" t="n">
        <v>45462</v>
      </c>
      <c r="B1572" s="17" t="s">
        <v>17</v>
      </c>
      <c r="C1572" s="17" t="s">
        <v>18</v>
      </c>
      <c r="D1572" s="17" t="s">
        <v>19</v>
      </c>
      <c r="E1572" s="17" t="s">
        <v>50</v>
      </c>
      <c r="F1572" s="17" t="s">
        <v>755</v>
      </c>
      <c r="G1572" s="18" t="n">
        <v>0</v>
      </c>
      <c r="H1572" s="18" t="n">
        <v>2040</v>
      </c>
      <c r="I1572" s="18" t="n">
        <f aca="false">((I1571 + G1572) - H1572)</f>
        <v>-853773.33</v>
      </c>
      <c r="J1572" s="18" t="n">
        <v>-204</v>
      </c>
      <c r="K1572" s="19" t="n">
        <v>10</v>
      </c>
      <c r="L1572" s="17" t="s">
        <v>22</v>
      </c>
    </row>
    <row r="1573" s="11" customFormat="true" ht="10.95" hidden="false" customHeight="true" outlineLevel="0" collapsed="false">
      <c r="A1573" s="16" t="n">
        <v>45462</v>
      </c>
      <c r="B1573" s="17" t="s">
        <v>17</v>
      </c>
      <c r="C1573" s="17" t="s">
        <v>18</v>
      </c>
      <c r="D1573" s="17" t="s">
        <v>19</v>
      </c>
      <c r="E1573" s="17" t="s">
        <v>52</v>
      </c>
      <c r="F1573" s="17" t="s">
        <v>756</v>
      </c>
      <c r="G1573" s="18" t="n">
        <v>0</v>
      </c>
      <c r="H1573" s="18" t="n">
        <v>1000.05</v>
      </c>
      <c r="I1573" s="18" t="n">
        <f aca="false">((I1572 + G1573) - H1573)</f>
        <v>-854773.38</v>
      </c>
      <c r="J1573" s="18" t="n">
        <v>-100.01</v>
      </c>
      <c r="K1573" s="19" t="n">
        <v>10</v>
      </c>
      <c r="L1573" s="17" t="s">
        <v>22</v>
      </c>
    </row>
    <row r="1574" s="11" customFormat="true" ht="10.95" hidden="false" customHeight="true" outlineLevel="0" collapsed="false">
      <c r="A1574" s="16" t="n">
        <v>45462</v>
      </c>
      <c r="B1574" s="17" t="s">
        <v>17</v>
      </c>
      <c r="C1574" s="17" t="s">
        <v>18</v>
      </c>
      <c r="D1574" s="17" t="s">
        <v>19</v>
      </c>
      <c r="E1574" s="17" t="s">
        <v>491</v>
      </c>
      <c r="F1574" s="17" t="s">
        <v>757</v>
      </c>
      <c r="G1574" s="18" t="n">
        <v>0</v>
      </c>
      <c r="H1574" s="18" t="n">
        <v>550</v>
      </c>
      <c r="I1574" s="18" t="n">
        <f aca="false">((I1573 + G1574) - H1574)</f>
        <v>-855323.38</v>
      </c>
      <c r="J1574" s="18" t="n">
        <v>-55</v>
      </c>
      <c r="K1574" s="19" t="n">
        <v>10</v>
      </c>
      <c r="L1574" s="17" t="s">
        <v>22</v>
      </c>
    </row>
    <row r="1575" s="11" customFormat="true" ht="10.95" hidden="false" customHeight="true" outlineLevel="0" collapsed="false">
      <c r="A1575" s="16" t="n">
        <v>45462</v>
      </c>
      <c r="B1575" s="17" t="s">
        <v>17</v>
      </c>
      <c r="C1575" s="17" t="s">
        <v>18</v>
      </c>
      <c r="D1575" s="17" t="s">
        <v>19</v>
      </c>
      <c r="E1575" s="17" t="s">
        <v>493</v>
      </c>
      <c r="F1575" s="17" t="s">
        <v>757</v>
      </c>
      <c r="G1575" s="18" t="n">
        <v>0</v>
      </c>
      <c r="H1575" s="18" t="n">
        <v>110</v>
      </c>
      <c r="I1575" s="18" t="n">
        <f aca="false">((I1574 + G1575) - H1575)</f>
        <v>-855433.38</v>
      </c>
      <c r="J1575" s="18" t="n">
        <v>-11</v>
      </c>
      <c r="K1575" s="19" t="n">
        <v>10</v>
      </c>
      <c r="L1575" s="17" t="s">
        <v>22</v>
      </c>
    </row>
    <row r="1576" s="11" customFormat="true" ht="10.95" hidden="false" customHeight="true" outlineLevel="0" collapsed="false">
      <c r="A1576" s="16" t="n">
        <v>45462</v>
      </c>
      <c r="B1576" s="17" t="s">
        <v>17</v>
      </c>
      <c r="C1576" s="17" t="s">
        <v>18</v>
      </c>
      <c r="D1576" s="17" t="s">
        <v>19</v>
      </c>
      <c r="E1576" s="17" t="s">
        <v>57</v>
      </c>
      <c r="F1576" s="17" t="s">
        <v>757</v>
      </c>
      <c r="G1576" s="18" t="n">
        <v>0</v>
      </c>
      <c r="H1576" s="18" t="n">
        <v>132</v>
      </c>
      <c r="I1576" s="18" t="n">
        <f aca="false">((I1575 + G1576) - H1576)</f>
        <v>-855565.38</v>
      </c>
      <c r="J1576" s="18" t="n">
        <v>-13.2</v>
      </c>
      <c r="K1576" s="19" t="n">
        <v>10</v>
      </c>
      <c r="L1576" s="17" t="s">
        <v>22</v>
      </c>
    </row>
    <row r="1577" s="11" customFormat="true" ht="10.95" hidden="false" customHeight="true" outlineLevel="0" collapsed="false">
      <c r="A1577" s="16" t="n">
        <v>45462</v>
      </c>
      <c r="B1577" s="17" t="s">
        <v>17</v>
      </c>
      <c r="C1577" s="17" t="s">
        <v>18</v>
      </c>
      <c r="D1577" s="17" t="s">
        <v>19</v>
      </c>
      <c r="E1577" s="17" t="s">
        <v>58</v>
      </c>
      <c r="F1577" s="17" t="s">
        <v>757</v>
      </c>
      <c r="G1577" s="18" t="n">
        <v>0</v>
      </c>
      <c r="H1577" s="18" t="n">
        <v>165</v>
      </c>
      <c r="I1577" s="18" t="n">
        <f aca="false">((I1576 + G1577) - H1577)</f>
        <v>-855730.38</v>
      </c>
      <c r="J1577" s="18" t="n">
        <v>-16.5</v>
      </c>
      <c r="K1577" s="19" t="n">
        <v>10</v>
      </c>
      <c r="L1577" s="17" t="s">
        <v>22</v>
      </c>
    </row>
    <row r="1578" s="11" customFormat="true" ht="10.95" hidden="false" customHeight="true" outlineLevel="0" collapsed="false">
      <c r="A1578" s="16" t="n">
        <v>45462</v>
      </c>
      <c r="B1578" s="17" t="s">
        <v>17</v>
      </c>
      <c r="C1578" s="17" t="s">
        <v>18</v>
      </c>
      <c r="D1578" s="17" t="s">
        <v>19</v>
      </c>
      <c r="E1578" s="17" t="s">
        <v>59</v>
      </c>
      <c r="F1578" s="17" t="s">
        <v>758</v>
      </c>
      <c r="G1578" s="18" t="n">
        <v>0</v>
      </c>
      <c r="H1578" s="18" t="n">
        <v>4800</v>
      </c>
      <c r="I1578" s="18" t="n">
        <f aca="false">((I1577 + G1578) - H1578)</f>
        <v>-860530.38</v>
      </c>
      <c r="J1578" s="18" t="n">
        <v>-480</v>
      </c>
      <c r="K1578" s="19" t="n">
        <v>10</v>
      </c>
      <c r="L1578" s="17" t="s">
        <v>22</v>
      </c>
    </row>
    <row r="1579" s="11" customFormat="true" ht="10.95" hidden="false" customHeight="true" outlineLevel="0" collapsed="false">
      <c r="A1579" s="16" t="n">
        <v>45462</v>
      </c>
      <c r="B1579" s="17" t="s">
        <v>17</v>
      </c>
      <c r="C1579" s="17" t="s">
        <v>18</v>
      </c>
      <c r="D1579" s="17" t="s">
        <v>19</v>
      </c>
      <c r="E1579" s="17" t="s">
        <v>61</v>
      </c>
      <c r="F1579" s="17" t="s">
        <v>758</v>
      </c>
      <c r="G1579" s="18" t="n">
        <v>0</v>
      </c>
      <c r="H1579" s="18" t="n">
        <v>3990</v>
      </c>
      <c r="I1579" s="18" t="n">
        <f aca="false">((I1578 + G1579) - H1579)</f>
        <v>-864520.38</v>
      </c>
      <c r="J1579" s="18" t="n">
        <v>-399</v>
      </c>
      <c r="K1579" s="19" t="n">
        <v>10</v>
      </c>
      <c r="L1579" s="17" t="s">
        <v>22</v>
      </c>
    </row>
    <row r="1580" s="11" customFormat="true" ht="10.95" hidden="false" customHeight="true" outlineLevel="0" collapsed="false">
      <c r="A1580" s="16" t="n">
        <v>45462</v>
      </c>
      <c r="B1580" s="17" t="s">
        <v>17</v>
      </c>
      <c r="C1580" s="17" t="s">
        <v>18</v>
      </c>
      <c r="D1580" s="17" t="s">
        <v>19</v>
      </c>
      <c r="E1580" s="17" t="s">
        <v>62</v>
      </c>
      <c r="F1580" s="17" t="s">
        <v>758</v>
      </c>
      <c r="G1580" s="18" t="n">
        <v>0</v>
      </c>
      <c r="H1580" s="18" t="n">
        <v>300</v>
      </c>
      <c r="I1580" s="18" t="n">
        <f aca="false">((I1579 + G1580) - H1580)</f>
        <v>-864820.38</v>
      </c>
      <c r="J1580" s="18" t="n">
        <v>-30</v>
      </c>
      <c r="K1580" s="19" t="n">
        <v>10</v>
      </c>
      <c r="L1580" s="17" t="s">
        <v>22</v>
      </c>
    </row>
    <row r="1581" s="11" customFormat="true" ht="10.95" hidden="false" customHeight="true" outlineLevel="0" collapsed="false">
      <c r="A1581" s="16" t="n">
        <v>45462</v>
      </c>
      <c r="B1581" s="17" t="s">
        <v>17</v>
      </c>
      <c r="C1581" s="17" t="s">
        <v>18</v>
      </c>
      <c r="D1581" s="17" t="s">
        <v>19</v>
      </c>
      <c r="E1581" s="17" t="s">
        <v>59</v>
      </c>
      <c r="F1581" s="17" t="s">
        <v>759</v>
      </c>
      <c r="G1581" s="18" t="n">
        <v>0</v>
      </c>
      <c r="H1581" s="18" t="n">
        <v>4800</v>
      </c>
      <c r="I1581" s="18" t="n">
        <f aca="false">((I1580 + G1581) - H1581)</f>
        <v>-869620.38</v>
      </c>
      <c r="J1581" s="18" t="n">
        <v>-480</v>
      </c>
      <c r="K1581" s="19" t="n">
        <v>10</v>
      </c>
      <c r="L1581" s="17" t="s">
        <v>22</v>
      </c>
    </row>
    <row r="1582" s="11" customFormat="true" ht="10.95" hidden="false" customHeight="true" outlineLevel="0" collapsed="false">
      <c r="A1582" s="16" t="n">
        <v>45462</v>
      </c>
      <c r="B1582" s="17" t="s">
        <v>17</v>
      </c>
      <c r="C1582" s="17" t="s">
        <v>18</v>
      </c>
      <c r="D1582" s="17" t="s">
        <v>19</v>
      </c>
      <c r="E1582" s="17" t="s">
        <v>61</v>
      </c>
      <c r="F1582" s="17" t="s">
        <v>759</v>
      </c>
      <c r="G1582" s="18" t="n">
        <v>0</v>
      </c>
      <c r="H1582" s="18" t="n">
        <v>3990</v>
      </c>
      <c r="I1582" s="18" t="n">
        <f aca="false">((I1581 + G1582) - H1582)</f>
        <v>-873610.38</v>
      </c>
      <c r="J1582" s="18" t="n">
        <v>-399</v>
      </c>
      <c r="K1582" s="19" t="n">
        <v>10</v>
      </c>
      <c r="L1582" s="17" t="s">
        <v>22</v>
      </c>
    </row>
    <row r="1583" s="11" customFormat="true" ht="10.95" hidden="false" customHeight="true" outlineLevel="0" collapsed="false">
      <c r="A1583" s="16" t="n">
        <v>45462</v>
      </c>
      <c r="B1583" s="17" t="s">
        <v>17</v>
      </c>
      <c r="C1583" s="17" t="s">
        <v>18</v>
      </c>
      <c r="D1583" s="17" t="s">
        <v>19</v>
      </c>
      <c r="E1583" s="17" t="s">
        <v>62</v>
      </c>
      <c r="F1583" s="17" t="s">
        <v>759</v>
      </c>
      <c r="G1583" s="18" t="n">
        <v>0</v>
      </c>
      <c r="H1583" s="18" t="n">
        <v>300</v>
      </c>
      <c r="I1583" s="18" t="n">
        <f aca="false">((I1582 + G1583) - H1583)</f>
        <v>-873910.38</v>
      </c>
      <c r="J1583" s="18" t="n">
        <v>-30</v>
      </c>
      <c r="K1583" s="19" t="n">
        <v>10</v>
      </c>
      <c r="L1583" s="17" t="s">
        <v>22</v>
      </c>
    </row>
    <row r="1584" s="11" customFormat="true" ht="10.95" hidden="false" customHeight="true" outlineLevel="0" collapsed="false">
      <c r="A1584" s="16" t="n">
        <v>45462</v>
      </c>
      <c r="B1584" s="17" t="s">
        <v>17</v>
      </c>
      <c r="C1584" s="17" t="s">
        <v>18</v>
      </c>
      <c r="D1584" s="17" t="s">
        <v>19</v>
      </c>
      <c r="E1584" s="17" t="s">
        <v>64</v>
      </c>
      <c r="F1584" s="17" t="s">
        <v>760</v>
      </c>
      <c r="G1584" s="18" t="n">
        <v>0</v>
      </c>
      <c r="H1584" s="18" t="n">
        <v>3850</v>
      </c>
      <c r="I1584" s="18" t="n">
        <f aca="false">((I1583 + G1584) - H1584)</f>
        <v>-877760.38</v>
      </c>
      <c r="J1584" s="18" t="n">
        <v>-385</v>
      </c>
      <c r="K1584" s="19" t="n">
        <v>10</v>
      </c>
      <c r="L1584" s="17" t="s">
        <v>22</v>
      </c>
    </row>
    <row r="1585" s="11" customFormat="true" ht="10.95" hidden="false" customHeight="true" outlineLevel="0" collapsed="false">
      <c r="A1585" s="16" t="n">
        <v>45462</v>
      </c>
      <c r="B1585" s="17" t="s">
        <v>17</v>
      </c>
      <c r="C1585" s="17" t="s">
        <v>18</v>
      </c>
      <c r="D1585" s="17" t="s">
        <v>19</v>
      </c>
      <c r="E1585" s="17" t="s">
        <v>66</v>
      </c>
      <c r="F1585" s="17" t="s">
        <v>760</v>
      </c>
      <c r="G1585" s="18" t="n">
        <v>0</v>
      </c>
      <c r="H1585" s="18" t="n">
        <v>220</v>
      </c>
      <c r="I1585" s="18" t="n">
        <f aca="false">((I1584 + G1585) - H1585)</f>
        <v>-877980.38</v>
      </c>
      <c r="J1585" s="18" t="n">
        <v>-22</v>
      </c>
      <c r="K1585" s="19" t="n">
        <v>10</v>
      </c>
      <c r="L1585" s="17" t="s">
        <v>22</v>
      </c>
    </row>
    <row r="1586" s="11" customFormat="true" ht="10.95" hidden="false" customHeight="true" outlineLevel="0" collapsed="false">
      <c r="A1586" s="16" t="n">
        <v>45462</v>
      </c>
      <c r="B1586" s="17" t="s">
        <v>17</v>
      </c>
      <c r="C1586" s="17" t="s">
        <v>18</v>
      </c>
      <c r="D1586" s="17" t="s">
        <v>19</v>
      </c>
      <c r="E1586" s="17" t="s">
        <v>67</v>
      </c>
      <c r="F1586" s="17" t="s">
        <v>760</v>
      </c>
      <c r="G1586" s="18" t="n">
        <v>0</v>
      </c>
      <c r="H1586" s="18" t="n">
        <v>220</v>
      </c>
      <c r="I1586" s="18" t="n">
        <f aca="false">((I1585 + G1586) - H1586)</f>
        <v>-878200.38</v>
      </c>
      <c r="J1586" s="18" t="n">
        <v>-22</v>
      </c>
      <c r="K1586" s="19" t="n">
        <v>10</v>
      </c>
      <c r="L1586" s="17" t="s">
        <v>22</v>
      </c>
    </row>
    <row r="1587" s="11" customFormat="true" ht="10.95" hidden="false" customHeight="true" outlineLevel="0" collapsed="false">
      <c r="A1587" s="16" t="n">
        <v>45462</v>
      </c>
      <c r="B1587" s="17" t="s">
        <v>17</v>
      </c>
      <c r="C1587" s="17" t="s">
        <v>18</v>
      </c>
      <c r="D1587" s="17" t="s">
        <v>19</v>
      </c>
      <c r="E1587" s="17" t="s">
        <v>68</v>
      </c>
      <c r="F1587" s="17" t="s">
        <v>760</v>
      </c>
      <c r="G1587" s="18" t="n">
        <v>0</v>
      </c>
      <c r="H1587" s="18" t="n">
        <v>250</v>
      </c>
      <c r="I1587" s="18" t="n">
        <f aca="false">((I1586 + G1587) - H1587)</f>
        <v>-878450.38</v>
      </c>
      <c r="J1587" s="18" t="n">
        <v>-25</v>
      </c>
      <c r="K1587" s="19" t="n">
        <v>10</v>
      </c>
      <c r="L1587" s="17" t="s">
        <v>22</v>
      </c>
    </row>
    <row r="1588" s="11" customFormat="true" ht="10.95" hidden="false" customHeight="true" outlineLevel="0" collapsed="false">
      <c r="A1588" s="16" t="n">
        <v>45462</v>
      </c>
      <c r="B1588" s="17" t="s">
        <v>17</v>
      </c>
      <c r="C1588" s="17" t="s">
        <v>18</v>
      </c>
      <c r="D1588" s="17" t="s">
        <v>19</v>
      </c>
      <c r="E1588" s="17" t="s">
        <v>69</v>
      </c>
      <c r="F1588" s="17" t="s">
        <v>761</v>
      </c>
      <c r="G1588" s="18" t="n">
        <v>0</v>
      </c>
      <c r="H1588" s="18" t="n">
        <v>880</v>
      </c>
      <c r="I1588" s="18" t="n">
        <f aca="false">((I1587 + G1588) - H1588)</f>
        <v>-879330.38</v>
      </c>
      <c r="J1588" s="18" t="n">
        <v>-88</v>
      </c>
      <c r="K1588" s="19" t="n">
        <v>10</v>
      </c>
      <c r="L1588" s="17" t="s">
        <v>22</v>
      </c>
    </row>
    <row r="1589" s="11" customFormat="true" ht="10.95" hidden="false" customHeight="true" outlineLevel="0" collapsed="false">
      <c r="A1589" s="16" t="n">
        <v>45462</v>
      </c>
      <c r="B1589" s="17" t="s">
        <v>17</v>
      </c>
      <c r="C1589" s="17" t="s">
        <v>18</v>
      </c>
      <c r="D1589" s="17" t="s">
        <v>19</v>
      </c>
      <c r="E1589" s="17" t="s">
        <v>201</v>
      </c>
      <c r="F1589" s="17" t="s">
        <v>762</v>
      </c>
      <c r="G1589" s="18" t="n">
        <v>0</v>
      </c>
      <c r="H1589" s="18" t="n">
        <v>720</v>
      </c>
      <c r="I1589" s="18" t="n">
        <f aca="false">((I1588 + G1589) - H1589)</f>
        <v>-880050.38</v>
      </c>
      <c r="J1589" s="18" t="n">
        <v>-72</v>
      </c>
      <c r="K1589" s="19" t="n">
        <v>10</v>
      </c>
      <c r="L1589" s="17" t="s">
        <v>22</v>
      </c>
    </row>
    <row r="1590" s="11" customFormat="true" ht="10.95" hidden="false" customHeight="true" outlineLevel="0" collapsed="false">
      <c r="A1590" s="16" t="n">
        <v>45462</v>
      </c>
      <c r="B1590" s="17" t="s">
        <v>17</v>
      </c>
      <c r="C1590" s="17" t="s">
        <v>18</v>
      </c>
      <c r="D1590" s="17" t="s">
        <v>19</v>
      </c>
      <c r="E1590" s="17" t="s">
        <v>203</v>
      </c>
      <c r="F1590" s="17" t="s">
        <v>762</v>
      </c>
      <c r="G1590" s="18" t="n">
        <v>0</v>
      </c>
      <c r="H1590" s="18" t="n">
        <v>110</v>
      </c>
      <c r="I1590" s="18" t="n">
        <f aca="false">((I1589 + G1590) - H1590)</f>
        <v>-880160.38</v>
      </c>
      <c r="J1590" s="18" t="n">
        <v>-11</v>
      </c>
      <c r="K1590" s="19" t="n">
        <v>10</v>
      </c>
      <c r="L1590" s="17" t="s">
        <v>22</v>
      </c>
    </row>
    <row r="1591" s="11" customFormat="true" ht="10.95" hidden="false" customHeight="true" outlineLevel="0" collapsed="false">
      <c r="A1591" s="16" t="n">
        <v>45462</v>
      </c>
      <c r="B1591" s="17" t="s">
        <v>17</v>
      </c>
      <c r="C1591" s="17" t="s">
        <v>18</v>
      </c>
      <c r="D1591" s="17" t="s">
        <v>19</v>
      </c>
      <c r="E1591" s="17" t="s">
        <v>74</v>
      </c>
      <c r="F1591" s="17" t="s">
        <v>763</v>
      </c>
      <c r="G1591" s="18" t="n">
        <v>0</v>
      </c>
      <c r="H1591" s="18" t="n">
        <v>1692</v>
      </c>
      <c r="I1591" s="18" t="n">
        <f aca="false">((I1590 + G1591) - H1591)</f>
        <v>-881852.38</v>
      </c>
      <c r="J1591" s="18" t="n">
        <v>-169.2</v>
      </c>
      <c r="K1591" s="19" t="n">
        <v>10</v>
      </c>
      <c r="L1591" s="17" t="s">
        <v>22</v>
      </c>
    </row>
    <row r="1592" s="11" customFormat="true" ht="10.95" hidden="false" customHeight="true" outlineLevel="0" collapsed="false">
      <c r="A1592" s="16" t="n">
        <v>45462</v>
      </c>
      <c r="B1592" s="17" t="s">
        <v>17</v>
      </c>
      <c r="C1592" s="17" t="s">
        <v>18</v>
      </c>
      <c r="D1592" s="17" t="s">
        <v>19</v>
      </c>
      <c r="E1592" s="17" t="s">
        <v>566</v>
      </c>
      <c r="F1592" s="17" t="s">
        <v>764</v>
      </c>
      <c r="G1592" s="18" t="n">
        <v>0</v>
      </c>
      <c r="H1592" s="18" t="n">
        <v>209</v>
      </c>
      <c r="I1592" s="18" t="n">
        <f aca="false">((I1591 + G1592) - H1592)</f>
        <v>-882061.38</v>
      </c>
      <c r="J1592" s="18" t="n">
        <v>-20.9</v>
      </c>
      <c r="K1592" s="19" t="n">
        <v>10</v>
      </c>
      <c r="L1592" s="17" t="s">
        <v>22</v>
      </c>
    </row>
    <row r="1593" s="11" customFormat="true" ht="10.95" hidden="false" customHeight="true" outlineLevel="0" collapsed="false">
      <c r="A1593" s="16" t="n">
        <v>45462</v>
      </c>
      <c r="B1593" s="17" t="s">
        <v>17</v>
      </c>
      <c r="C1593" s="17" t="s">
        <v>18</v>
      </c>
      <c r="D1593" s="17" t="s">
        <v>19</v>
      </c>
      <c r="E1593" s="17" t="s">
        <v>286</v>
      </c>
      <c r="F1593" s="17" t="s">
        <v>764</v>
      </c>
      <c r="G1593" s="18" t="n">
        <v>0</v>
      </c>
      <c r="H1593" s="18" t="n">
        <v>38.5</v>
      </c>
      <c r="I1593" s="18" t="n">
        <f aca="false">((I1592 + G1593) - H1593)</f>
        <v>-882099.88</v>
      </c>
      <c r="J1593" s="18" t="n">
        <v>0</v>
      </c>
      <c r="K1593" s="19" t="n">
        <v>0</v>
      </c>
      <c r="L1593" s="17" t="s">
        <v>88</v>
      </c>
    </row>
    <row r="1594" s="11" customFormat="true" ht="10.95" hidden="false" customHeight="true" outlineLevel="0" collapsed="false">
      <c r="A1594" s="16" t="n">
        <v>45462</v>
      </c>
      <c r="B1594" s="17" t="s">
        <v>17</v>
      </c>
      <c r="C1594" s="17" t="s">
        <v>18</v>
      </c>
      <c r="D1594" s="17" t="s">
        <v>19</v>
      </c>
      <c r="E1594" s="17" t="s">
        <v>288</v>
      </c>
      <c r="F1594" s="17" t="s">
        <v>764</v>
      </c>
      <c r="G1594" s="18" t="n">
        <v>0</v>
      </c>
      <c r="H1594" s="18" t="n">
        <v>5</v>
      </c>
      <c r="I1594" s="18" t="n">
        <f aca="false">((I1593 + G1594) - H1594)</f>
        <v>-882104.88</v>
      </c>
      <c r="J1594" s="18" t="n">
        <v>-0.5</v>
      </c>
      <c r="K1594" s="19" t="n">
        <v>10</v>
      </c>
      <c r="L1594" s="17" t="s">
        <v>22</v>
      </c>
    </row>
    <row r="1595" s="11" customFormat="true" ht="10.95" hidden="false" customHeight="true" outlineLevel="0" collapsed="false">
      <c r="A1595" s="16" t="n">
        <v>45462</v>
      </c>
      <c r="B1595" s="17" t="s">
        <v>17</v>
      </c>
      <c r="C1595" s="17" t="s">
        <v>18</v>
      </c>
      <c r="D1595" s="17" t="s">
        <v>19</v>
      </c>
      <c r="E1595" s="17" t="s">
        <v>84</v>
      </c>
      <c r="F1595" s="17" t="s">
        <v>764</v>
      </c>
      <c r="G1595" s="18" t="n">
        <v>0</v>
      </c>
      <c r="H1595" s="18" t="n">
        <v>165</v>
      </c>
      <c r="I1595" s="18" t="n">
        <f aca="false">((I1594 + G1595) - H1595)</f>
        <v>-882269.88</v>
      </c>
      <c r="J1595" s="18" t="n">
        <v>-16.5</v>
      </c>
      <c r="K1595" s="19" t="n">
        <v>10</v>
      </c>
      <c r="L1595" s="17" t="s">
        <v>22</v>
      </c>
    </row>
    <row r="1596" s="11" customFormat="true" ht="10.95" hidden="false" customHeight="true" outlineLevel="0" collapsed="false">
      <c r="A1596" s="16" t="n">
        <v>45462</v>
      </c>
      <c r="B1596" s="17" t="s">
        <v>17</v>
      </c>
      <c r="C1596" s="17" t="s">
        <v>18</v>
      </c>
      <c r="D1596" s="17" t="s">
        <v>19</v>
      </c>
      <c r="E1596" s="17" t="s">
        <v>76</v>
      </c>
      <c r="F1596" s="17" t="s">
        <v>765</v>
      </c>
      <c r="G1596" s="18" t="n">
        <v>0</v>
      </c>
      <c r="H1596" s="18" t="n">
        <v>104.5</v>
      </c>
      <c r="I1596" s="18" t="n">
        <f aca="false">((I1595 + G1596) - H1596)</f>
        <v>-882374.38</v>
      </c>
      <c r="J1596" s="18" t="n">
        <v>-10.45</v>
      </c>
      <c r="K1596" s="19" t="n">
        <v>10</v>
      </c>
      <c r="L1596" s="17" t="s">
        <v>22</v>
      </c>
    </row>
    <row r="1597" s="11" customFormat="true" ht="10.95" hidden="false" customHeight="true" outlineLevel="0" collapsed="false">
      <c r="A1597" s="16" t="n">
        <v>45462</v>
      </c>
      <c r="B1597" s="17" t="s">
        <v>17</v>
      </c>
      <c r="C1597" s="17" t="s">
        <v>18</v>
      </c>
      <c r="D1597" s="17" t="s">
        <v>19</v>
      </c>
      <c r="E1597" s="17" t="s">
        <v>261</v>
      </c>
      <c r="F1597" s="17" t="s">
        <v>766</v>
      </c>
      <c r="G1597" s="18" t="n">
        <v>0</v>
      </c>
      <c r="H1597" s="18" t="n">
        <v>522.5</v>
      </c>
      <c r="I1597" s="18" t="n">
        <f aca="false">((I1596 + G1597) - H1597)</f>
        <v>-882896.88</v>
      </c>
      <c r="J1597" s="18" t="n">
        <v>-52.25</v>
      </c>
      <c r="K1597" s="19" t="n">
        <v>10</v>
      </c>
      <c r="L1597" s="17" t="s">
        <v>22</v>
      </c>
    </row>
    <row r="1598" s="11" customFormat="true" ht="10.95" hidden="false" customHeight="true" outlineLevel="0" collapsed="false">
      <c r="A1598" s="16" t="n">
        <v>45462</v>
      </c>
      <c r="B1598" s="17" t="s">
        <v>17</v>
      </c>
      <c r="C1598" s="17" t="s">
        <v>18</v>
      </c>
      <c r="D1598" s="17" t="s">
        <v>19</v>
      </c>
      <c r="E1598" s="17" t="s">
        <v>286</v>
      </c>
      <c r="F1598" s="17" t="s">
        <v>766</v>
      </c>
      <c r="G1598" s="18" t="n">
        <v>0</v>
      </c>
      <c r="H1598" s="18" t="n">
        <v>38.5</v>
      </c>
      <c r="I1598" s="18" t="n">
        <f aca="false">((I1597 + G1598) - H1598)</f>
        <v>-882935.38</v>
      </c>
      <c r="J1598" s="18" t="n">
        <v>0</v>
      </c>
      <c r="K1598" s="19" t="n">
        <v>0</v>
      </c>
      <c r="L1598" s="17" t="s">
        <v>88</v>
      </c>
    </row>
    <row r="1599" s="11" customFormat="true" ht="10.95" hidden="false" customHeight="true" outlineLevel="0" collapsed="false">
      <c r="A1599" s="16" t="n">
        <v>45462</v>
      </c>
      <c r="B1599" s="17" t="s">
        <v>17</v>
      </c>
      <c r="C1599" s="17" t="s">
        <v>18</v>
      </c>
      <c r="D1599" s="17" t="s">
        <v>19</v>
      </c>
      <c r="E1599" s="17" t="s">
        <v>288</v>
      </c>
      <c r="F1599" s="17" t="s">
        <v>766</v>
      </c>
      <c r="G1599" s="18" t="n">
        <v>0</v>
      </c>
      <c r="H1599" s="18" t="n">
        <v>5</v>
      </c>
      <c r="I1599" s="18" t="n">
        <f aca="false">((I1598 + G1599) - H1599)</f>
        <v>-882940.38</v>
      </c>
      <c r="J1599" s="18" t="n">
        <v>-0.5</v>
      </c>
      <c r="K1599" s="19" t="n">
        <v>10</v>
      </c>
      <c r="L1599" s="17" t="s">
        <v>22</v>
      </c>
    </row>
    <row r="1600" s="11" customFormat="true" ht="10.95" hidden="false" customHeight="true" outlineLevel="0" collapsed="false">
      <c r="A1600" s="16" t="n">
        <v>45462</v>
      </c>
      <c r="B1600" s="17" t="s">
        <v>17</v>
      </c>
      <c r="C1600" s="17" t="s">
        <v>18</v>
      </c>
      <c r="D1600" s="17" t="s">
        <v>19</v>
      </c>
      <c r="E1600" s="17" t="s">
        <v>76</v>
      </c>
      <c r="F1600" s="17" t="s">
        <v>767</v>
      </c>
      <c r="G1600" s="18" t="n">
        <v>0</v>
      </c>
      <c r="H1600" s="18" t="n">
        <v>752</v>
      </c>
      <c r="I1600" s="18" t="n">
        <f aca="false">((I1599 + G1600) - H1600)</f>
        <v>-883692.38</v>
      </c>
      <c r="J1600" s="18" t="n">
        <v>-75.2</v>
      </c>
      <c r="K1600" s="19" t="n">
        <v>10</v>
      </c>
      <c r="L1600" s="17" t="s">
        <v>22</v>
      </c>
    </row>
    <row r="1601" s="11" customFormat="true" ht="10.95" hidden="false" customHeight="true" outlineLevel="0" collapsed="false">
      <c r="A1601" s="16" t="n">
        <v>45462</v>
      </c>
      <c r="B1601" s="17" t="s">
        <v>17</v>
      </c>
      <c r="C1601" s="17" t="s">
        <v>18</v>
      </c>
      <c r="D1601" s="17" t="s">
        <v>19</v>
      </c>
      <c r="E1601" s="17" t="s">
        <v>78</v>
      </c>
      <c r="F1601" s="17" t="s">
        <v>768</v>
      </c>
      <c r="G1601" s="18" t="n">
        <v>0</v>
      </c>
      <c r="H1601" s="18" t="n">
        <v>564</v>
      </c>
      <c r="I1601" s="18" t="n">
        <f aca="false">((I1600 + G1601) - H1601)</f>
        <v>-884256.38</v>
      </c>
      <c r="J1601" s="18" t="n">
        <v>-56.4</v>
      </c>
      <c r="K1601" s="19" t="n">
        <v>10</v>
      </c>
      <c r="L1601" s="17" t="s">
        <v>22</v>
      </c>
    </row>
    <row r="1602" s="11" customFormat="true" ht="10.95" hidden="false" customHeight="true" outlineLevel="0" collapsed="false">
      <c r="A1602" s="16" t="n">
        <v>45462</v>
      </c>
      <c r="B1602" s="17" t="s">
        <v>17</v>
      </c>
      <c r="C1602" s="17" t="s">
        <v>18</v>
      </c>
      <c r="D1602" s="17" t="s">
        <v>19</v>
      </c>
      <c r="E1602" s="17" t="s">
        <v>80</v>
      </c>
      <c r="F1602" s="17" t="s">
        <v>768</v>
      </c>
      <c r="G1602" s="18" t="n">
        <v>0</v>
      </c>
      <c r="H1602" s="18" t="n">
        <v>110</v>
      </c>
      <c r="I1602" s="18" t="n">
        <f aca="false">((I1601 + G1602) - H1602)</f>
        <v>-884366.38</v>
      </c>
      <c r="J1602" s="18" t="n">
        <v>-11</v>
      </c>
      <c r="K1602" s="19" t="n">
        <v>10</v>
      </c>
      <c r="L1602" s="17" t="s">
        <v>22</v>
      </c>
    </row>
    <row r="1603" s="11" customFormat="true" ht="10.95" hidden="false" customHeight="true" outlineLevel="0" collapsed="false">
      <c r="A1603" s="16" t="n">
        <v>45462</v>
      </c>
      <c r="B1603" s="17" t="s">
        <v>17</v>
      </c>
      <c r="C1603" s="17" t="s">
        <v>18</v>
      </c>
      <c r="D1603" s="17" t="s">
        <v>19</v>
      </c>
      <c r="E1603" s="17" t="s">
        <v>78</v>
      </c>
      <c r="F1603" s="17" t="s">
        <v>769</v>
      </c>
      <c r="G1603" s="18" t="n">
        <v>0</v>
      </c>
      <c r="H1603" s="18" t="n">
        <v>188</v>
      </c>
      <c r="I1603" s="18" t="n">
        <f aca="false">((I1602 + G1603) - H1603)</f>
        <v>-884554.38</v>
      </c>
      <c r="J1603" s="18" t="n">
        <v>-18.8</v>
      </c>
      <c r="K1603" s="19" t="n">
        <v>10</v>
      </c>
      <c r="L1603" s="17" t="s">
        <v>22</v>
      </c>
    </row>
    <row r="1604" s="11" customFormat="true" ht="10.95" hidden="false" customHeight="true" outlineLevel="0" collapsed="false">
      <c r="A1604" s="16" t="n">
        <v>45462</v>
      </c>
      <c r="B1604" s="17" t="s">
        <v>17</v>
      </c>
      <c r="C1604" s="17" t="s">
        <v>18</v>
      </c>
      <c r="D1604" s="17" t="s">
        <v>19</v>
      </c>
      <c r="E1604" s="17" t="s">
        <v>78</v>
      </c>
      <c r="F1604" s="17" t="s">
        <v>770</v>
      </c>
      <c r="G1604" s="18" t="n">
        <v>0</v>
      </c>
      <c r="H1604" s="18" t="n">
        <v>1316</v>
      </c>
      <c r="I1604" s="18" t="n">
        <f aca="false">((I1603 + G1604) - H1604)</f>
        <v>-885870.38</v>
      </c>
      <c r="J1604" s="18" t="n">
        <v>-131.6</v>
      </c>
      <c r="K1604" s="19" t="n">
        <v>10</v>
      </c>
      <c r="L1604" s="17" t="s">
        <v>22</v>
      </c>
    </row>
    <row r="1605" s="11" customFormat="true" ht="10.95" hidden="false" customHeight="true" outlineLevel="0" collapsed="false">
      <c r="A1605" s="16" t="n">
        <v>45462</v>
      </c>
      <c r="B1605" s="17" t="s">
        <v>17</v>
      </c>
      <c r="C1605" s="17" t="s">
        <v>18</v>
      </c>
      <c r="D1605" s="17" t="s">
        <v>19</v>
      </c>
      <c r="E1605" s="17" t="s">
        <v>83</v>
      </c>
      <c r="F1605" s="17" t="s">
        <v>770</v>
      </c>
      <c r="G1605" s="18" t="n">
        <v>0</v>
      </c>
      <c r="H1605" s="18" t="n">
        <v>38.5</v>
      </c>
      <c r="I1605" s="18" t="n">
        <f aca="false">((I1604 + G1605) - H1605)</f>
        <v>-885908.88</v>
      </c>
      <c r="J1605" s="18" t="n">
        <v>-3.85</v>
      </c>
      <c r="K1605" s="19" t="n">
        <v>10</v>
      </c>
      <c r="L1605" s="17" t="s">
        <v>22</v>
      </c>
    </row>
    <row r="1606" s="11" customFormat="true" ht="10.95" hidden="false" customHeight="true" outlineLevel="0" collapsed="false">
      <c r="A1606" s="16" t="n">
        <v>45462</v>
      </c>
      <c r="B1606" s="17" t="s">
        <v>17</v>
      </c>
      <c r="C1606" s="17" t="s">
        <v>18</v>
      </c>
      <c r="D1606" s="17" t="s">
        <v>19</v>
      </c>
      <c r="E1606" s="17" t="s">
        <v>84</v>
      </c>
      <c r="F1606" s="17" t="s">
        <v>770</v>
      </c>
      <c r="G1606" s="18" t="n">
        <v>0</v>
      </c>
      <c r="H1606" s="18" t="n">
        <v>165</v>
      </c>
      <c r="I1606" s="18" t="n">
        <f aca="false">((I1605 + G1606) - H1606)</f>
        <v>-886073.88</v>
      </c>
      <c r="J1606" s="18" t="n">
        <v>-16.5</v>
      </c>
      <c r="K1606" s="19" t="n">
        <v>10</v>
      </c>
      <c r="L1606" s="17" t="s">
        <v>22</v>
      </c>
    </row>
    <row r="1607" s="11" customFormat="true" ht="10.95" hidden="false" customHeight="true" outlineLevel="0" collapsed="false">
      <c r="A1607" s="16" t="n">
        <v>45462</v>
      </c>
      <c r="B1607" s="17" t="s">
        <v>17</v>
      </c>
      <c r="C1607" s="17" t="s">
        <v>18</v>
      </c>
      <c r="D1607" s="17" t="s">
        <v>19</v>
      </c>
      <c r="E1607" s="17" t="s">
        <v>80</v>
      </c>
      <c r="F1607" s="17" t="s">
        <v>770</v>
      </c>
      <c r="G1607" s="18" t="n">
        <v>0</v>
      </c>
      <c r="H1607" s="18" t="n">
        <v>110</v>
      </c>
      <c r="I1607" s="18" t="n">
        <f aca="false">((I1606 + G1607) - H1607)</f>
        <v>-886183.88</v>
      </c>
      <c r="J1607" s="18" t="n">
        <v>-11</v>
      </c>
      <c r="K1607" s="19" t="n">
        <v>10</v>
      </c>
      <c r="L1607" s="17" t="s">
        <v>22</v>
      </c>
    </row>
    <row r="1608" s="11" customFormat="true" ht="10.95" hidden="false" customHeight="true" outlineLevel="0" collapsed="false">
      <c r="A1608" s="16" t="n">
        <v>45462</v>
      </c>
      <c r="B1608" s="17" t="s">
        <v>17</v>
      </c>
      <c r="C1608" s="17" t="s">
        <v>18</v>
      </c>
      <c r="D1608" s="17" t="s">
        <v>19</v>
      </c>
      <c r="E1608" s="17" t="s">
        <v>76</v>
      </c>
      <c r="F1608" s="17" t="s">
        <v>771</v>
      </c>
      <c r="G1608" s="18" t="n">
        <v>0</v>
      </c>
      <c r="H1608" s="18" t="n">
        <v>470</v>
      </c>
      <c r="I1608" s="18" t="n">
        <f aca="false">((I1607 + G1608) - H1608)</f>
        <v>-886653.88</v>
      </c>
      <c r="J1608" s="18" t="n">
        <v>-47</v>
      </c>
      <c r="K1608" s="19" t="n">
        <v>10</v>
      </c>
      <c r="L1608" s="17" t="s">
        <v>22</v>
      </c>
    </row>
    <row r="1609" s="11" customFormat="true" ht="10.95" hidden="false" customHeight="true" outlineLevel="0" collapsed="false">
      <c r="A1609" s="16" t="n">
        <v>45462</v>
      </c>
      <c r="B1609" s="17" t="s">
        <v>17</v>
      </c>
      <c r="C1609" s="17" t="s">
        <v>18</v>
      </c>
      <c r="D1609" s="17" t="s">
        <v>19</v>
      </c>
      <c r="E1609" s="17" t="s">
        <v>78</v>
      </c>
      <c r="F1609" s="17" t="s">
        <v>772</v>
      </c>
      <c r="G1609" s="18" t="n">
        <v>0</v>
      </c>
      <c r="H1609" s="18" t="n">
        <v>188</v>
      </c>
      <c r="I1609" s="18" t="n">
        <f aca="false">((I1608 + G1609) - H1609)</f>
        <v>-886841.88</v>
      </c>
      <c r="J1609" s="18" t="n">
        <v>-18.8</v>
      </c>
      <c r="K1609" s="19" t="n">
        <v>10</v>
      </c>
      <c r="L1609" s="17" t="s">
        <v>22</v>
      </c>
    </row>
    <row r="1610" s="11" customFormat="true" ht="10.95" hidden="false" customHeight="true" outlineLevel="0" collapsed="false">
      <c r="A1610" s="16" t="n">
        <v>45462</v>
      </c>
      <c r="B1610" s="17" t="s">
        <v>17</v>
      </c>
      <c r="C1610" s="17" t="s">
        <v>18</v>
      </c>
      <c r="D1610" s="17" t="s">
        <v>19</v>
      </c>
      <c r="E1610" s="17" t="s">
        <v>87</v>
      </c>
      <c r="F1610" s="17" t="s">
        <v>772</v>
      </c>
      <c r="G1610" s="18" t="n">
        <v>0</v>
      </c>
      <c r="H1610" s="18" t="n">
        <v>110</v>
      </c>
      <c r="I1610" s="18" t="n">
        <f aca="false">((I1609 + G1610) - H1610)</f>
        <v>-886951.88</v>
      </c>
      <c r="J1610" s="18" t="n">
        <v>0</v>
      </c>
      <c r="K1610" s="19" t="n">
        <v>0</v>
      </c>
      <c r="L1610" s="17" t="s">
        <v>88</v>
      </c>
    </row>
    <row r="1611" s="11" customFormat="true" ht="10.95" hidden="false" customHeight="true" outlineLevel="0" collapsed="false">
      <c r="A1611" s="16" t="n">
        <v>45462</v>
      </c>
      <c r="B1611" s="17" t="s">
        <v>17</v>
      </c>
      <c r="C1611" s="17" t="s">
        <v>18</v>
      </c>
      <c r="D1611" s="17" t="s">
        <v>19</v>
      </c>
      <c r="E1611" s="17" t="s">
        <v>89</v>
      </c>
      <c r="F1611" s="17" t="s">
        <v>773</v>
      </c>
      <c r="G1611" s="18" t="n">
        <v>0</v>
      </c>
      <c r="H1611" s="18" t="n">
        <v>470</v>
      </c>
      <c r="I1611" s="18" t="n">
        <f aca="false">((I1610 + G1611) - H1611)</f>
        <v>-887421.88</v>
      </c>
      <c r="J1611" s="18" t="n">
        <v>-47</v>
      </c>
      <c r="K1611" s="19" t="n">
        <v>10</v>
      </c>
      <c r="L1611" s="17" t="s">
        <v>22</v>
      </c>
    </row>
    <row r="1612" s="11" customFormat="true" ht="10.95" hidden="false" customHeight="true" outlineLevel="0" collapsed="false">
      <c r="A1612" s="16" t="n">
        <v>45462</v>
      </c>
      <c r="B1612" s="17" t="s">
        <v>17</v>
      </c>
      <c r="C1612" s="17" t="s">
        <v>18</v>
      </c>
      <c r="D1612" s="17" t="s">
        <v>19</v>
      </c>
      <c r="E1612" s="17" t="s">
        <v>87</v>
      </c>
      <c r="F1612" s="17" t="s">
        <v>773</v>
      </c>
      <c r="G1612" s="18" t="n">
        <v>0</v>
      </c>
      <c r="H1612" s="18" t="n">
        <v>110</v>
      </c>
      <c r="I1612" s="18" t="n">
        <f aca="false">((I1611 + G1612) - H1612)</f>
        <v>-887531.88</v>
      </c>
      <c r="J1612" s="18" t="n">
        <v>0</v>
      </c>
      <c r="K1612" s="19" t="n">
        <v>0</v>
      </c>
      <c r="L1612" s="17" t="s">
        <v>88</v>
      </c>
    </row>
    <row r="1613" s="11" customFormat="true" ht="10.95" hidden="false" customHeight="true" outlineLevel="0" collapsed="false">
      <c r="A1613" s="16" t="n">
        <v>45462</v>
      </c>
      <c r="B1613" s="17" t="s">
        <v>17</v>
      </c>
      <c r="C1613" s="17" t="s">
        <v>18</v>
      </c>
      <c r="D1613" s="17" t="s">
        <v>19</v>
      </c>
      <c r="E1613" s="17" t="s">
        <v>91</v>
      </c>
      <c r="F1613" s="17" t="s">
        <v>774</v>
      </c>
      <c r="G1613" s="18" t="n">
        <v>0</v>
      </c>
      <c r="H1613" s="18" t="n">
        <v>1316</v>
      </c>
      <c r="I1613" s="18" t="n">
        <f aca="false">((I1612 + G1613) - H1613)</f>
        <v>-888847.88</v>
      </c>
      <c r="J1613" s="18" t="n">
        <v>-131.6</v>
      </c>
      <c r="K1613" s="19" t="n">
        <v>10</v>
      </c>
      <c r="L1613" s="17" t="s">
        <v>22</v>
      </c>
    </row>
    <row r="1614" s="11" customFormat="true" ht="10.95" hidden="false" customHeight="true" outlineLevel="0" collapsed="false">
      <c r="A1614" s="16" t="n">
        <v>45462</v>
      </c>
      <c r="B1614" s="17" t="s">
        <v>17</v>
      </c>
      <c r="C1614" s="17" t="s">
        <v>18</v>
      </c>
      <c r="D1614" s="17" t="s">
        <v>19</v>
      </c>
      <c r="E1614" s="17" t="s">
        <v>93</v>
      </c>
      <c r="F1614" s="17" t="s">
        <v>774</v>
      </c>
      <c r="G1614" s="18" t="n">
        <v>0</v>
      </c>
      <c r="H1614" s="18" t="n">
        <v>330</v>
      </c>
      <c r="I1614" s="18" t="n">
        <f aca="false">((I1613 + G1614) - H1614)</f>
        <v>-889177.88</v>
      </c>
      <c r="J1614" s="18" t="n">
        <v>-33</v>
      </c>
      <c r="K1614" s="19" t="n">
        <v>10</v>
      </c>
      <c r="L1614" s="17" t="s">
        <v>22</v>
      </c>
    </row>
    <row r="1615" s="11" customFormat="true" ht="10.95" hidden="false" customHeight="true" outlineLevel="0" collapsed="false">
      <c r="A1615" s="16" t="n">
        <v>45462</v>
      </c>
      <c r="B1615" s="17" t="s">
        <v>17</v>
      </c>
      <c r="C1615" s="17" t="s">
        <v>18</v>
      </c>
      <c r="D1615" s="17" t="s">
        <v>19</v>
      </c>
      <c r="E1615" s="17" t="s">
        <v>94</v>
      </c>
      <c r="F1615" s="17" t="s">
        <v>774</v>
      </c>
      <c r="G1615" s="18" t="n">
        <v>0</v>
      </c>
      <c r="H1615" s="18" t="n">
        <v>143</v>
      </c>
      <c r="I1615" s="18" t="n">
        <f aca="false">((I1614 + G1615) - H1615)</f>
        <v>-889320.88</v>
      </c>
      <c r="J1615" s="18" t="n">
        <v>-14.3</v>
      </c>
      <c r="K1615" s="19" t="n">
        <v>10</v>
      </c>
      <c r="L1615" s="17" t="s">
        <v>22</v>
      </c>
    </row>
    <row r="1616" s="11" customFormat="true" ht="10.95" hidden="false" customHeight="true" outlineLevel="0" collapsed="false">
      <c r="A1616" s="16" t="n">
        <v>45462</v>
      </c>
      <c r="B1616" s="17" t="s">
        <v>17</v>
      </c>
      <c r="C1616" s="17" t="s">
        <v>18</v>
      </c>
      <c r="D1616" s="17" t="s">
        <v>19</v>
      </c>
      <c r="E1616" s="17" t="s">
        <v>95</v>
      </c>
      <c r="F1616" s="17" t="s">
        <v>775</v>
      </c>
      <c r="G1616" s="18" t="n">
        <v>0</v>
      </c>
      <c r="H1616" s="18" t="n">
        <v>1128</v>
      </c>
      <c r="I1616" s="18" t="n">
        <f aca="false">((I1615 + G1616) - H1616)</f>
        <v>-890448.88</v>
      </c>
      <c r="J1616" s="18" t="n">
        <v>-112.8</v>
      </c>
      <c r="K1616" s="19" t="n">
        <v>10</v>
      </c>
      <c r="L1616" s="17" t="s">
        <v>22</v>
      </c>
    </row>
    <row r="1617" s="11" customFormat="true" ht="10.95" hidden="false" customHeight="true" outlineLevel="0" collapsed="false">
      <c r="A1617" s="16" t="n">
        <v>45462</v>
      </c>
      <c r="B1617" s="17" t="s">
        <v>17</v>
      </c>
      <c r="C1617" s="17" t="s">
        <v>18</v>
      </c>
      <c r="D1617" s="17" t="s">
        <v>19</v>
      </c>
      <c r="E1617" s="17" t="s">
        <v>97</v>
      </c>
      <c r="F1617" s="17" t="s">
        <v>775</v>
      </c>
      <c r="G1617" s="18" t="n">
        <v>0</v>
      </c>
      <c r="H1617" s="18" t="n">
        <v>110</v>
      </c>
      <c r="I1617" s="18" t="n">
        <f aca="false">((I1616 + G1617) - H1617)</f>
        <v>-890558.88</v>
      </c>
      <c r="J1617" s="18" t="n">
        <v>-11</v>
      </c>
      <c r="K1617" s="19" t="n">
        <v>10</v>
      </c>
      <c r="L1617" s="17" t="s">
        <v>22</v>
      </c>
    </row>
    <row r="1618" s="11" customFormat="true" ht="10.95" hidden="false" customHeight="true" outlineLevel="0" collapsed="false">
      <c r="A1618" s="16" t="n">
        <v>45462</v>
      </c>
      <c r="B1618" s="17" t="s">
        <v>17</v>
      </c>
      <c r="C1618" s="17" t="s">
        <v>18</v>
      </c>
      <c r="D1618" s="17" t="s">
        <v>19</v>
      </c>
      <c r="E1618" s="17" t="s">
        <v>98</v>
      </c>
      <c r="F1618" s="17" t="s">
        <v>776</v>
      </c>
      <c r="G1618" s="18" t="n">
        <v>0</v>
      </c>
      <c r="H1618" s="18" t="n">
        <v>282</v>
      </c>
      <c r="I1618" s="18" t="n">
        <f aca="false">((I1617 + G1618) - H1618)</f>
        <v>-890840.88</v>
      </c>
      <c r="J1618" s="18" t="n">
        <v>-28.2</v>
      </c>
      <c r="K1618" s="19" t="n">
        <v>10</v>
      </c>
      <c r="L1618" s="17" t="s">
        <v>22</v>
      </c>
    </row>
    <row r="1619" s="11" customFormat="true" ht="10.95" hidden="false" customHeight="true" outlineLevel="0" collapsed="false">
      <c r="A1619" s="16" t="n">
        <v>45462</v>
      </c>
      <c r="B1619" s="17" t="s">
        <v>17</v>
      </c>
      <c r="C1619" s="17" t="s">
        <v>18</v>
      </c>
      <c r="D1619" s="17" t="s">
        <v>19</v>
      </c>
      <c r="E1619" s="17" t="s">
        <v>100</v>
      </c>
      <c r="F1619" s="17" t="s">
        <v>777</v>
      </c>
      <c r="G1619" s="18" t="n">
        <v>0</v>
      </c>
      <c r="H1619" s="18" t="n">
        <v>282</v>
      </c>
      <c r="I1619" s="18" t="n">
        <f aca="false">((I1618 + G1619) - H1619)</f>
        <v>-891122.88</v>
      </c>
      <c r="J1619" s="18" t="n">
        <v>-28.2</v>
      </c>
      <c r="K1619" s="19" t="n">
        <v>10</v>
      </c>
      <c r="L1619" s="17" t="s">
        <v>22</v>
      </c>
    </row>
    <row r="1620" s="11" customFormat="true" ht="10.95" hidden="false" customHeight="true" outlineLevel="0" collapsed="false">
      <c r="A1620" s="16" t="n">
        <v>45462</v>
      </c>
      <c r="B1620" s="17" t="s">
        <v>17</v>
      </c>
      <c r="C1620" s="17" t="s">
        <v>18</v>
      </c>
      <c r="D1620" s="17" t="s">
        <v>19</v>
      </c>
      <c r="E1620" s="17" t="s">
        <v>102</v>
      </c>
      <c r="F1620" s="17" t="s">
        <v>778</v>
      </c>
      <c r="G1620" s="18" t="n">
        <v>0</v>
      </c>
      <c r="H1620" s="18" t="n">
        <v>564</v>
      </c>
      <c r="I1620" s="18" t="n">
        <f aca="false">((I1619 + G1620) - H1620)</f>
        <v>-891686.88</v>
      </c>
      <c r="J1620" s="18" t="n">
        <v>-56.4</v>
      </c>
      <c r="K1620" s="19" t="n">
        <v>10</v>
      </c>
      <c r="L1620" s="17" t="s">
        <v>22</v>
      </c>
    </row>
    <row r="1621" s="11" customFormat="true" ht="10.95" hidden="false" customHeight="true" outlineLevel="0" collapsed="false">
      <c r="A1621" s="16" t="n">
        <v>45462</v>
      </c>
      <c r="B1621" s="17" t="s">
        <v>17</v>
      </c>
      <c r="C1621" s="17" t="s">
        <v>18</v>
      </c>
      <c r="D1621" s="17" t="s">
        <v>19</v>
      </c>
      <c r="E1621" s="17" t="s">
        <v>104</v>
      </c>
      <c r="F1621" s="17" t="s">
        <v>779</v>
      </c>
      <c r="G1621" s="18" t="n">
        <v>0</v>
      </c>
      <c r="H1621" s="18" t="n">
        <v>1034</v>
      </c>
      <c r="I1621" s="18" t="n">
        <f aca="false">((I1620 + G1621) - H1621)</f>
        <v>-892720.88</v>
      </c>
      <c r="J1621" s="18" t="n">
        <v>-103.4</v>
      </c>
      <c r="K1621" s="19" t="n">
        <v>10</v>
      </c>
      <c r="L1621" s="17" t="s">
        <v>22</v>
      </c>
    </row>
    <row r="1622" s="11" customFormat="true" ht="10.95" hidden="false" customHeight="true" outlineLevel="0" collapsed="false">
      <c r="A1622" s="16" t="n">
        <v>45462</v>
      </c>
      <c r="B1622" s="17" t="s">
        <v>17</v>
      </c>
      <c r="C1622" s="17" t="s">
        <v>18</v>
      </c>
      <c r="D1622" s="17" t="s">
        <v>19</v>
      </c>
      <c r="E1622" s="17" t="s">
        <v>106</v>
      </c>
      <c r="F1622" s="17" t="s">
        <v>780</v>
      </c>
      <c r="G1622" s="18" t="n">
        <v>0</v>
      </c>
      <c r="H1622" s="18" t="n">
        <v>94</v>
      </c>
      <c r="I1622" s="18" t="n">
        <f aca="false">((I1621 + G1622) - H1622)</f>
        <v>-892814.88</v>
      </c>
      <c r="J1622" s="18" t="n">
        <v>-9.4</v>
      </c>
      <c r="K1622" s="19" t="n">
        <v>10</v>
      </c>
      <c r="L1622" s="17" t="s">
        <v>22</v>
      </c>
    </row>
    <row r="1623" s="11" customFormat="true" ht="10.95" hidden="false" customHeight="true" outlineLevel="0" collapsed="false">
      <c r="A1623" s="16" t="n">
        <v>45462</v>
      </c>
      <c r="B1623" s="17" t="s">
        <v>17</v>
      </c>
      <c r="C1623" s="17" t="s">
        <v>18</v>
      </c>
      <c r="D1623" s="17" t="s">
        <v>19</v>
      </c>
      <c r="E1623" s="17" t="s">
        <v>108</v>
      </c>
      <c r="F1623" s="17" t="s">
        <v>781</v>
      </c>
      <c r="G1623" s="18" t="n">
        <v>0</v>
      </c>
      <c r="H1623" s="18" t="n">
        <v>658</v>
      </c>
      <c r="I1623" s="18" t="n">
        <f aca="false">((I1622 + G1623) - H1623)</f>
        <v>-893472.88</v>
      </c>
      <c r="J1623" s="18" t="n">
        <v>-65.8</v>
      </c>
      <c r="K1623" s="19" t="n">
        <v>10</v>
      </c>
      <c r="L1623" s="17" t="s">
        <v>22</v>
      </c>
    </row>
    <row r="1624" s="11" customFormat="true" ht="10.95" hidden="false" customHeight="true" outlineLevel="0" collapsed="false">
      <c r="A1624" s="16" t="n">
        <v>45462</v>
      </c>
      <c r="B1624" s="17" t="s">
        <v>17</v>
      </c>
      <c r="C1624" s="17" t="s">
        <v>18</v>
      </c>
      <c r="D1624" s="17" t="s">
        <v>19</v>
      </c>
      <c r="E1624" s="17" t="s">
        <v>116</v>
      </c>
      <c r="F1624" s="17" t="s">
        <v>782</v>
      </c>
      <c r="G1624" s="18" t="n">
        <v>0</v>
      </c>
      <c r="H1624" s="18" t="n">
        <v>1162</v>
      </c>
      <c r="I1624" s="18" t="n">
        <f aca="false">((I1623 + G1624) - H1624)</f>
        <v>-894634.88</v>
      </c>
      <c r="J1624" s="18" t="n">
        <v>-116.2</v>
      </c>
      <c r="K1624" s="19" t="n">
        <v>10</v>
      </c>
      <c r="L1624" s="17" t="s">
        <v>22</v>
      </c>
    </row>
    <row r="1625" s="11" customFormat="true" ht="10.95" hidden="false" customHeight="true" outlineLevel="0" collapsed="false">
      <c r="A1625" s="21" t="s">
        <v>783</v>
      </c>
      <c r="B1625" s="21"/>
      <c r="C1625" s="21"/>
      <c r="D1625" s="21"/>
      <c r="E1625" s="21"/>
      <c r="F1625" s="21"/>
      <c r="G1625" s="22" t="n">
        <f aca="false">SUM(G9:G1624)</f>
        <v>1837</v>
      </c>
      <c r="H1625" s="22" t="n">
        <f aca="false">SUM(H9:H1624)</f>
        <v>896471.88</v>
      </c>
      <c r="I1625" s="22" t="n">
        <f aca="false">I1624</f>
        <v>-894634.88</v>
      </c>
      <c r="J1625" s="22" t="n">
        <f aca="false">SUM(J9:J1624)</f>
        <v>-89136.19</v>
      </c>
      <c r="K1625" s="21"/>
      <c r="L1625" s="21"/>
    </row>
    <row r="1626" s="11" customFormat="true" ht="10.95" hidden="false" customHeight="true" outlineLevel="0" collapsed="false">
      <c r="A1626" s="21" t="s">
        <v>784</v>
      </c>
      <c r="B1626" s="21"/>
      <c r="C1626" s="21"/>
      <c r="D1626" s="21"/>
      <c r="E1626" s="21"/>
      <c r="F1626" s="21"/>
      <c r="G1626" s="22" t="n">
        <v>0</v>
      </c>
      <c r="H1626" s="22" t="n">
        <v>894634.88</v>
      </c>
      <c r="I1626" s="22" t="n">
        <v>0</v>
      </c>
      <c r="J1626" s="22" t="n">
        <v>0</v>
      </c>
      <c r="K1626" s="21"/>
      <c r="L1626" s="21"/>
    </row>
    <row r="1627" s="11" customFormat="true" ht="10.95" hidden="false" customHeight="true" outlineLevel="0" collapsed="false">
      <c r="A1627" s="9" t="s">
        <v>785</v>
      </c>
      <c r="B1627" s="9"/>
      <c r="C1627" s="9"/>
      <c r="D1627" s="9"/>
      <c r="E1627" s="9"/>
      <c r="F1627" s="9"/>
      <c r="G1627" s="10" t="n">
        <v>0</v>
      </c>
      <c r="H1627" s="10" t="n">
        <v>894634.88</v>
      </c>
      <c r="I1627" s="10" t="n">
        <f aca="false">I1624</f>
        <v>-894634.88</v>
      </c>
      <c r="J1627" s="10" t="n">
        <v>0</v>
      </c>
      <c r="K1627" s="9"/>
      <c r="L1627" s="9"/>
    </row>
    <row r="1628" customFormat="false" ht="13.35" hidden="false" customHeight="true" outlineLevel="0" collapsed="false"/>
    <row r="1629" s="7" customFormat="true" ht="12.1" hidden="false" customHeight="true" outlineLevel="0" collapsed="false">
      <c r="A1629" s="8" t="s">
        <v>786</v>
      </c>
      <c r="B1629" s="8"/>
      <c r="C1629" s="8"/>
      <c r="D1629" s="8"/>
      <c r="E1629" s="8"/>
      <c r="F1629" s="8"/>
      <c r="G1629" s="8"/>
      <c r="H1629" s="8"/>
      <c r="I1629" s="8"/>
      <c r="J1629" s="8"/>
      <c r="K1629" s="8"/>
      <c r="L1629" s="8"/>
    </row>
    <row r="1630" s="11" customFormat="true" ht="10.95" hidden="false" customHeight="true" outlineLevel="0" collapsed="false">
      <c r="A1630" s="9" t="s">
        <v>16</v>
      </c>
      <c r="B1630" s="9"/>
      <c r="C1630" s="9"/>
      <c r="D1630" s="9"/>
      <c r="E1630" s="9"/>
      <c r="F1630" s="9"/>
      <c r="G1630" s="10" t="n">
        <v>0</v>
      </c>
      <c r="H1630" s="10" t="n">
        <v>0</v>
      </c>
      <c r="I1630" s="10" t="n">
        <f aca="false">(G1630 - H1630)</f>
        <v>0</v>
      </c>
      <c r="J1630" s="10" t="n">
        <v>0</v>
      </c>
      <c r="K1630" s="9"/>
      <c r="L1630" s="9"/>
    </row>
    <row r="1631" s="11" customFormat="true" ht="10.95" hidden="false" customHeight="true" outlineLevel="0" collapsed="false">
      <c r="A1631" s="12" t="n">
        <v>45118</v>
      </c>
      <c r="B1631" s="13" t="s">
        <v>787</v>
      </c>
      <c r="C1631" s="13" t="s">
        <v>788</v>
      </c>
      <c r="D1631" s="13" t="s">
        <v>19</v>
      </c>
      <c r="E1631" s="13" t="s">
        <v>789</v>
      </c>
      <c r="F1631" s="13" t="s">
        <v>790</v>
      </c>
      <c r="G1631" s="14" t="n">
        <v>0</v>
      </c>
      <c r="H1631" s="14" t="n">
        <v>2560.83</v>
      </c>
      <c r="I1631" s="14" t="n">
        <f aca="false">((I1630 + G1631) - H1631)</f>
        <v>-2560.83</v>
      </c>
      <c r="J1631" s="14" t="n">
        <v>0</v>
      </c>
      <c r="K1631" s="15" t="n">
        <v>0</v>
      </c>
      <c r="L1631" s="13" t="s">
        <v>88</v>
      </c>
    </row>
    <row r="1632" s="11" customFormat="true" ht="10.95" hidden="false" customHeight="true" outlineLevel="0" collapsed="false">
      <c r="A1632" s="16" t="n">
        <v>45118</v>
      </c>
      <c r="B1632" s="17" t="s">
        <v>787</v>
      </c>
      <c r="C1632" s="17" t="s">
        <v>788</v>
      </c>
      <c r="D1632" s="17" t="s">
        <v>19</v>
      </c>
      <c r="E1632" s="17" t="s">
        <v>791</v>
      </c>
      <c r="F1632" s="17" t="s">
        <v>790</v>
      </c>
      <c r="G1632" s="18" t="n">
        <v>0</v>
      </c>
      <c r="H1632" s="18" t="n">
        <v>66.83</v>
      </c>
      <c r="I1632" s="18" t="n">
        <f aca="false">((I1631 + G1632) - H1632)</f>
        <v>-2627.66</v>
      </c>
      <c r="J1632" s="18" t="n">
        <v>0</v>
      </c>
      <c r="K1632" s="19" t="n">
        <v>0</v>
      </c>
      <c r="L1632" s="17" t="s">
        <v>88</v>
      </c>
    </row>
    <row r="1633" s="11" customFormat="true" ht="10.95" hidden="false" customHeight="true" outlineLevel="0" collapsed="false">
      <c r="A1633" s="16" t="n">
        <v>45118</v>
      </c>
      <c r="B1633" s="17" t="s">
        <v>787</v>
      </c>
      <c r="C1633" s="17" t="s">
        <v>788</v>
      </c>
      <c r="D1633" s="17" t="s">
        <v>19</v>
      </c>
      <c r="E1633" s="17" t="s">
        <v>792</v>
      </c>
      <c r="F1633" s="17" t="s">
        <v>790</v>
      </c>
      <c r="G1633" s="18" t="n">
        <v>0</v>
      </c>
      <c r="H1633" s="18" t="n">
        <v>245.06</v>
      </c>
      <c r="I1633" s="18" t="n">
        <f aca="false">((I1632 + G1633) - H1633)</f>
        <v>-2872.72</v>
      </c>
      <c r="J1633" s="18" t="n">
        <v>0</v>
      </c>
      <c r="K1633" s="19" t="n">
        <v>0</v>
      </c>
      <c r="L1633" s="17" t="s">
        <v>88</v>
      </c>
    </row>
    <row r="1634" s="11" customFormat="true" ht="10.95" hidden="false" customHeight="true" outlineLevel="0" collapsed="false">
      <c r="A1634" s="16" t="n">
        <v>45118</v>
      </c>
      <c r="B1634" s="17" t="s">
        <v>787</v>
      </c>
      <c r="C1634" s="17" t="s">
        <v>788</v>
      </c>
      <c r="D1634" s="17" t="s">
        <v>19</v>
      </c>
      <c r="E1634" s="17" t="s">
        <v>789</v>
      </c>
      <c r="F1634" s="17" t="s">
        <v>790</v>
      </c>
      <c r="G1634" s="18" t="n">
        <v>0</v>
      </c>
      <c r="H1634" s="18" t="n">
        <v>2677.25</v>
      </c>
      <c r="I1634" s="18" t="n">
        <f aca="false">((I1633 + G1634) - H1634)</f>
        <v>-5549.97</v>
      </c>
      <c r="J1634" s="18" t="n">
        <v>0</v>
      </c>
      <c r="K1634" s="19" t="n">
        <v>0</v>
      </c>
      <c r="L1634" s="17" t="s">
        <v>88</v>
      </c>
    </row>
    <row r="1635" s="11" customFormat="true" ht="10.95" hidden="false" customHeight="true" outlineLevel="0" collapsed="false">
      <c r="A1635" s="16" t="n">
        <v>45118</v>
      </c>
      <c r="B1635" s="17" t="s">
        <v>787</v>
      </c>
      <c r="C1635" s="17" t="s">
        <v>788</v>
      </c>
      <c r="D1635" s="17" t="s">
        <v>19</v>
      </c>
      <c r="E1635" s="17" t="s">
        <v>791</v>
      </c>
      <c r="F1635" s="17" t="s">
        <v>790</v>
      </c>
      <c r="G1635" s="18" t="n">
        <v>0</v>
      </c>
      <c r="H1635" s="18" t="n">
        <v>66.83</v>
      </c>
      <c r="I1635" s="18" t="n">
        <f aca="false">((I1634 + G1635) - H1635)</f>
        <v>-5616.8</v>
      </c>
      <c r="J1635" s="18" t="n">
        <v>0</v>
      </c>
      <c r="K1635" s="19" t="n">
        <v>0</v>
      </c>
      <c r="L1635" s="17" t="s">
        <v>88</v>
      </c>
    </row>
    <row r="1636" s="11" customFormat="true" ht="10.95" hidden="false" customHeight="true" outlineLevel="0" collapsed="false">
      <c r="A1636" s="16" t="n">
        <v>45118</v>
      </c>
      <c r="B1636" s="17" t="s">
        <v>787</v>
      </c>
      <c r="C1636" s="17" t="s">
        <v>788</v>
      </c>
      <c r="D1636" s="17" t="s">
        <v>19</v>
      </c>
      <c r="E1636" s="17" t="s">
        <v>792</v>
      </c>
      <c r="F1636" s="17" t="s">
        <v>790</v>
      </c>
      <c r="G1636" s="18" t="n">
        <v>0</v>
      </c>
      <c r="H1636" s="18" t="n">
        <v>245.06</v>
      </c>
      <c r="I1636" s="18" t="n">
        <f aca="false">((I1635 + G1636) - H1636)</f>
        <v>-5861.86</v>
      </c>
      <c r="J1636" s="18" t="n">
        <v>0</v>
      </c>
      <c r="K1636" s="19" t="n">
        <v>0</v>
      </c>
      <c r="L1636" s="17" t="s">
        <v>88</v>
      </c>
    </row>
    <row r="1637" s="11" customFormat="true" ht="10.95" hidden="false" customHeight="true" outlineLevel="0" collapsed="false">
      <c r="A1637" s="16" t="n">
        <v>45118</v>
      </c>
      <c r="B1637" s="17" t="s">
        <v>787</v>
      </c>
      <c r="C1637" s="17" t="s">
        <v>788</v>
      </c>
      <c r="D1637" s="17" t="s">
        <v>19</v>
      </c>
      <c r="E1637" s="17" t="s">
        <v>789</v>
      </c>
      <c r="F1637" s="17" t="s">
        <v>790</v>
      </c>
      <c r="G1637" s="18" t="n">
        <v>0</v>
      </c>
      <c r="H1637" s="18" t="n">
        <v>2677.25</v>
      </c>
      <c r="I1637" s="18" t="n">
        <f aca="false">((I1636 + G1637) - H1637)</f>
        <v>-8539.11</v>
      </c>
      <c r="J1637" s="18" t="n">
        <v>0</v>
      </c>
      <c r="K1637" s="19" t="n">
        <v>0</v>
      </c>
      <c r="L1637" s="17" t="s">
        <v>88</v>
      </c>
    </row>
    <row r="1638" s="11" customFormat="true" ht="10.95" hidden="false" customHeight="true" outlineLevel="0" collapsed="false">
      <c r="A1638" s="16" t="n">
        <v>45118</v>
      </c>
      <c r="B1638" s="17" t="s">
        <v>787</v>
      </c>
      <c r="C1638" s="17" t="s">
        <v>788</v>
      </c>
      <c r="D1638" s="17" t="s">
        <v>19</v>
      </c>
      <c r="E1638" s="17" t="s">
        <v>791</v>
      </c>
      <c r="F1638" s="17" t="s">
        <v>790</v>
      </c>
      <c r="G1638" s="18" t="n">
        <v>0</v>
      </c>
      <c r="H1638" s="18" t="n">
        <v>66.83</v>
      </c>
      <c r="I1638" s="18" t="n">
        <f aca="false">((I1637 + G1638) - H1638)</f>
        <v>-8605.94</v>
      </c>
      <c r="J1638" s="18" t="n">
        <v>0</v>
      </c>
      <c r="K1638" s="19" t="n">
        <v>0</v>
      </c>
      <c r="L1638" s="17" t="s">
        <v>88</v>
      </c>
    </row>
    <row r="1639" s="11" customFormat="true" ht="10.95" hidden="false" customHeight="true" outlineLevel="0" collapsed="false">
      <c r="A1639" s="16" t="n">
        <v>45118</v>
      </c>
      <c r="B1639" s="17" t="s">
        <v>787</v>
      </c>
      <c r="C1639" s="17" t="s">
        <v>788</v>
      </c>
      <c r="D1639" s="17" t="s">
        <v>19</v>
      </c>
      <c r="E1639" s="17" t="s">
        <v>792</v>
      </c>
      <c r="F1639" s="17" t="s">
        <v>790</v>
      </c>
      <c r="G1639" s="18" t="n">
        <v>0</v>
      </c>
      <c r="H1639" s="18" t="n">
        <v>245.06</v>
      </c>
      <c r="I1639" s="18" t="n">
        <f aca="false">((I1638 + G1639) - H1639)</f>
        <v>-8851</v>
      </c>
      <c r="J1639" s="18" t="n">
        <v>0</v>
      </c>
      <c r="K1639" s="19" t="n">
        <v>0</v>
      </c>
      <c r="L1639" s="17" t="s">
        <v>88</v>
      </c>
    </row>
    <row r="1640" s="11" customFormat="true" ht="10.95" hidden="false" customHeight="true" outlineLevel="0" collapsed="false">
      <c r="A1640" s="16" t="n">
        <v>45118</v>
      </c>
      <c r="B1640" s="17" t="s">
        <v>787</v>
      </c>
      <c r="C1640" s="17" t="s">
        <v>788</v>
      </c>
      <c r="D1640" s="17" t="s">
        <v>19</v>
      </c>
      <c r="E1640" s="17" t="s">
        <v>789</v>
      </c>
      <c r="F1640" s="17" t="s">
        <v>790</v>
      </c>
      <c r="G1640" s="18" t="n">
        <v>0</v>
      </c>
      <c r="H1640" s="18" t="n">
        <v>2677.25</v>
      </c>
      <c r="I1640" s="18" t="n">
        <f aca="false">((I1639 + G1640) - H1640)</f>
        <v>-11528.25</v>
      </c>
      <c r="J1640" s="18" t="n">
        <v>0</v>
      </c>
      <c r="K1640" s="19" t="n">
        <v>0</v>
      </c>
      <c r="L1640" s="17" t="s">
        <v>88</v>
      </c>
    </row>
    <row r="1641" s="11" customFormat="true" ht="10.95" hidden="false" customHeight="true" outlineLevel="0" collapsed="false">
      <c r="A1641" s="16" t="n">
        <v>45118</v>
      </c>
      <c r="B1641" s="17" t="s">
        <v>787</v>
      </c>
      <c r="C1641" s="17" t="s">
        <v>788</v>
      </c>
      <c r="D1641" s="17" t="s">
        <v>19</v>
      </c>
      <c r="E1641" s="17" t="s">
        <v>791</v>
      </c>
      <c r="F1641" s="17" t="s">
        <v>790</v>
      </c>
      <c r="G1641" s="18" t="n">
        <v>0</v>
      </c>
      <c r="H1641" s="18" t="n">
        <v>66.83</v>
      </c>
      <c r="I1641" s="18" t="n">
        <f aca="false">((I1640 + G1641) - H1641)</f>
        <v>-11595.08</v>
      </c>
      <c r="J1641" s="18" t="n">
        <v>0</v>
      </c>
      <c r="K1641" s="19" t="n">
        <v>0</v>
      </c>
      <c r="L1641" s="17" t="s">
        <v>88</v>
      </c>
    </row>
    <row r="1642" s="11" customFormat="true" ht="10.95" hidden="false" customHeight="true" outlineLevel="0" collapsed="false">
      <c r="A1642" s="16" t="n">
        <v>45118</v>
      </c>
      <c r="B1642" s="17" t="s">
        <v>787</v>
      </c>
      <c r="C1642" s="17" t="s">
        <v>788</v>
      </c>
      <c r="D1642" s="17" t="s">
        <v>19</v>
      </c>
      <c r="E1642" s="17" t="s">
        <v>792</v>
      </c>
      <c r="F1642" s="17" t="s">
        <v>790</v>
      </c>
      <c r="G1642" s="18" t="n">
        <v>0</v>
      </c>
      <c r="H1642" s="18" t="n">
        <v>245.06</v>
      </c>
      <c r="I1642" s="18" t="n">
        <f aca="false">((I1641 + G1642) - H1642)</f>
        <v>-11840.14</v>
      </c>
      <c r="J1642" s="18" t="n">
        <v>0</v>
      </c>
      <c r="K1642" s="19" t="n">
        <v>0</v>
      </c>
      <c r="L1642" s="17" t="s">
        <v>88</v>
      </c>
    </row>
    <row r="1643" s="11" customFormat="true" ht="10.95" hidden="false" customHeight="true" outlineLevel="0" collapsed="false">
      <c r="A1643" s="16" t="n">
        <v>45132</v>
      </c>
      <c r="B1643" s="17" t="s">
        <v>787</v>
      </c>
      <c r="C1643" s="17" t="s">
        <v>788</v>
      </c>
      <c r="D1643" s="17" t="s">
        <v>19</v>
      </c>
      <c r="E1643" s="17" t="s">
        <v>793</v>
      </c>
      <c r="F1643" s="17" t="s">
        <v>794</v>
      </c>
      <c r="G1643" s="18" t="n">
        <v>0</v>
      </c>
      <c r="H1643" s="18" t="n">
        <v>89.22</v>
      </c>
      <c r="I1643" s="18" t="n">
        <f aca="false">((I1642 + G1643) - H1643)</f>
        <v>-11929.36</v>
      </c>
      <c r="J1643" s="18" t="n">
        <v>0</v>
      </c>
      <c r="K1643" s="19" t="n">
        <v>0</v>
      </c>
      <c r="L1643" s="17" t="s">
        <v>88</v>
      </c>
    </row>
    <row r="1644" s="11" customFormat="true" ht="10.95" hidden="false" customHeight="true" outlineLevel="0" collapsed="false">
      <c r="A1644" s="16" t="n">
        <v>45132</v>
      </c>
      <c r="B1644" s="17" t="s">
        <v>787</v>
      </c>
      <c r="C1644" s="17" t="s">
        <v>788</v>
      </c>
      <c r="D1644" s="17" t="s">
        <v>19</v>
      </c>
      <c r="E1644" s="17" t="s">
        <v>795</v>
      </c>
      <c r="F1644" s="17" t="s">
        <v>796</v>
      </c>
      <c r="G1644" s="18" t="n">
        <v>0</v>
      </c>
      <c r="H1644" s="18" t="n">
        <v>478.42</v>
      </c>
      <c r="I1644" s="18" t="n">
        <f aca="false">((I1643 + G1644) - H1644)</f>
        <v>-12407.78</v>
      </c>
      <c r="J1644" s="18" t="n">
        <v>0</v>
      </c>
      <c r="K1644" s="19" t="n">
        <v>0</v>
      </c>
      <c r="L1644" s="17" t="s">
        <v>88</v>
      </c>
    </row>
    <row r="1645" s="11" customFormat="true" ht="10.95" hidden="false" customHeight="true" outlineLevel="0" collapsed="false">
      <c r="A1645" s="16" t="n">
        <v>45132</v>
      </c>
      <c r="B1645" s="17" t="s">
        <v>787</v>
      </c>
      <c r="C1645" s="17" t="s">
        <v>788</v>
      </c>
      <c r="D1645" s="17" t="s">
        <v>19</v>
      </c>
      <c r="E1645" s="17" t="s">
        <v>795</v>
      </c>
      <c r="F1645" s="17" t="s">
        <v>797</v>
      </c>
      <c r="G1645" s="18" t="n">
        <v>0</v>
      </c>
      <c r="H1645" s="18" t="n">
        <v>318.94</v>
      </c>
      <c r="I1645" s="18" t="n">
        <f aca="false">((I1644 + G1645) - H1645)</f>
        <v>-12726.72</v>
      </c>
      <c r="J1645" s="18" t="n">
        <v>0</v>
      </c>
      <c r="K1645" s="19" t="n">
        <v>0</v>
      </c>
      <c r="L1645" s="17" t="s">
        <v>88</v>
      </c>
    </row>
    <row r="1646" s="11" customFormat="true" ht="10.95" hidden="false" customHeight="true" outlineLevel="0" collapsed="false">
      <c r="A1646" s="16" t="n">
        <v>45132</v>
      </c>
      <c r="B1646" s="17" t="s">
        <v>787</v>
      </c>
      <c r="C1646" s="17" t="s">
        <v>788</v>
      </c>
      <c r="D1646" s="17" t="s">
        <v>19</v>
      </c>
      <c r="E1646" s="17" t="s">
        <v>798</v>
      </c>
      <c r="F1646" s="17" t="s">
        <v>799</v>
      </c>
      <c r="G1646" s="18" t="n">
        <v>0</v>
      </c>
      <c r="H1646" s="18" t="n">
        <v>2821.5</v>
      </c>
      <c r="I1646" s="18" t="n">
        <f aca="false">((I1645 + G1646) - H1646)</f>
        <v>-15548.22</v>
      </c>
      <c r="J1646" s="18" t="n">
        <v>0</v>
      </c>
      <c r="K1646" s="19" t="n">
        <v>0</v>
      </c>
      <c r="L1646" s="17" t="s">
        <v>88</v>
      </c>
    </row>
    <row r="1647" s="11" customFormat="true" ht="10.95" hidden="false" customHeight="true" outlineLevel="0" collapsed="false">
      <c r="A1647" s="16" t="n">
        <v>45132</v>
      </c>
      <c r="B1647" s="17" t="s">
        <v>787</v>
      </c>
      <c r="C1647" s="17" t="s">
        <v>788</v>
      </c>
      <c r="D1647" s="17" t="s">
        <v>19</v>
      </c>
      <c r="E1647" s="17" t="s">
        <v>798</v>
      </c>
      <c r="F1647" s="17" t="s">
        <v>800</v>
      </c>
      <c r="G1647" s="18" t="n">
        <v>0</v>
      </c>
      <c r="H1647" s="18" t="n">
        <v>2194.5</v>
      </c>
      <c r="I1647" s="18" t="n">
        <f aca="false">((I1646 + G1647) - H1647)</f>
        <v>-17742.72</v>
      </c>
      <c r="J1647" s="18" t="n">
        <v>0</v>
      </c>
      <c r="K1647" s="19" t="n">
        <v>0</v>
      </c>
      <c r="L1647" s="17" t="s">
        <v>88</v>
      </c>
    </row>
    <row r="1648" s="11" customFormat="true" ht="10.95" hidden="false" customHeight="true" outlineLevel="0" collapsed="false">
      <c r="A1648" s="16" t="n">
        <v>45132</v>
      </c>
      <c r="B1648" s="17" t="s">
        <v>787</v>
      </c>
      <c r="C1648" s="17" t="s">
        <v>788</v>
      </c>
      <c r="D1648" s="17" t="s">
        <v>19</v>
      </c>
      <c r="E1648" s="17" t="s">
        <v>801</v>
      </c>
      <c r="F1648" s="17" t="s">
        <v>802</v>
      </c>
      <c r="G1648" s="18" t="n">
        <v>0</v>
      </c>
      <c r="H1648" s="18" t="n">
        <v>643.5</v>
      </c>
      <c r="I1648" s="18" t="n">
        <f aca="false">((I1647 + G1648) - H1648)</f>
        <v>-18386.22</v>
      </c>
      <c r="J1648" s="18" t="n">
        <v>0</v>
      </c>
      <c r="K1648" s="19" t="n">
        <v>0</v>
      </c>
      <c r="L1648" s="17" t="s">
        <v>88</v>
      </c>
    </row>
    <row r="1649" s="11" customFormat="true" ht="10.95" hidden="false" customHeight="true" outlineLevel="0" collapsed="false">
      <c r="A1649" s="16" t="n">
        <v>45132</v>
      </c>
      <c r="B1649" s="17" t="s">
        <v>787</v>
      </c>
      <c r="C1649" s="17" t="s">
        <v>788</v>
      </c>
      <c r="D1649" s="17" t="s">
        <v>19</v>
      </c>
      <c r="E1649" s="17" t="s">
        <v>803</v>
      </c>
      <c r="F1649" s="17" t="s">
        <v>802</v>
      </c>
      <c r="G1649" s="18" t="n">
        <v>0</v>
      </c>
      <c r="H1649" s="18" t="n">
        <v>143</v>
      </c>
      <c r="I1649" s="18" t="n">
        <f aca="false">((I1648 + G1649) - H1649)</f>
        <v>-18529.22</v>
      </c>
      <c r="J1649" s="18" t="n">
        <v>0</v>
      </c>
      <c r="K1649" s="19" t="n">
        <v>0</v>
      </c>
      <c r="L1649" s="17" t="s">
        <v>88</v>
      </c>
    </row>
    <row r="1650" s="11" customFormat="true" ht="10.95" hidden="false" customHeight="true" outlineLevel="0" collapsed="false">
      <c r="A1650" s="16" t="n">
        <v>45132</v>
      </c>
      <c r="B1650" s="17" t="s">
        <v>787</v>
      </c>
      <c r="C1650" s="17" t="s">
        <v>788</v>
      </c>
      <c r="D1650" s="17" t="s">
        <v>19</v>
      </c>
      <c r="E1650" s="17" t="s">
        <v>798</v>
      </c>
      <c r="F1650" s="17" t="s">
        <v>804</v>
      </c>
      <c r="G1650" s="18" t="n">
        <v>0</v>
      </c>
      <c r="H1650" s="18" t="n">
        <v>1672</v>
      </c>
      <c r="I1650" s="18" t="n">
        <f aca="false">((I1649 + G1650) - H1650)</f>
        <v>-20201.22</v>
      </c>
      <c r="J1650" s="18" t="n">
        <v>0</v>
      </c>
      <c r="K1650" s="19" t="n">
        <v>0</v>
      </c>
      <c r="L1650" s="17" t="s">
        <v>88</v>
      </c>
    </row>
    <row r="1651" s="11" customFormat="true" ht="10.95" hidden="false" customHeight="true" outlineLevel="0" collapsed="false">
      <c r="A1651" s="16" t="n">
        <v>45132</v>
      </c>
      <c r="B1651" s="17" t="s">
        <v>787</v>
      </c>
      <c r="C1651" s="17" t="s">
        <v>788</v>
      </c>
      <c r="D1651" s="17" t="s">
        <v>19</v>
      </c>
      <c r="E1651" s="17" t="s">
        <v>805</v>
      </c>
      <c r="F1651" s="17" t="s">
        <v>806</v>
      </c>
      <c r="G1651" s="18" t="n">
        <v>0</v>
      </c>
      <c r="H1651" s="18" t="n">
        <v>349.4</v>
      </c>
      <c r="I1651" s="18" t="n">
        <f aca="false">((I1650 + G1651) - H1651)</f>
        <v>-20550.62</v>
      </c>
      <c r="J1651" s="18" t="n">
        <v>0</v>
      </c>
      <c r="K1651" s="19" t="n">
        <v>0</v>
      </c>
      <c r="L1651" s="17" t="s">
        <v>88</v>
      </c>
    </row>
    <row r="1652" s="11" customFormat="true" ht="10.95" hidden="false" customHeight="true" outlineLevel="0" collapsed="false">
      <c r="A1652" s="16" t="n">
        <v>45132</v>
      </c>
      <c r="B1652" s="17" t="s">
        <v>787</v>
      </c>
      <c r="C1652" s="17" t="s">
        <v>788</v>
      </c>
      <c r="D1652" s="17" t="s">
        <v>19</v>
      </c>
      <c r="E1652" s="17" t="s">
        <v>807</v>
      </c>
      <c r="F1652" s="17" t="s">
        <v>806</v>
      </c>
      <c r="G1652" s="18" t="n">
        <v>0</v>
      </c>
      <c r="H1652" s="18" t="n">
        <v>245.19</v>
      </c>
      <c r="I1652" s="18" t="n">
        <f aca="false">((I1651 + G1652) - H1652)</f>
        <v>-20795.81</v>
      </c>
      <c r="J1652" s="18" t="n">
        <v>0</v>
      </c>
      <c r="K1652" s="19" t="n">
        <v>0</v>
      </c>
      <c r="L1652" s="17" t="s">
        <v>88</v>
      </c>
    </row>
    <row r="1653" s="11" customFormat="true" ht="10.95" hidden="false" customHeight="true" outlineLevel="0" collapsed="false">
      <c r="A1653" s="16" t="n">
        <v>45161</v>
      </c>
      <c r="B1653" s="17" t="s">
        <v>787</v>
      </c>
      <c r="C1653" s="17" t="s">
        <v>788</v>
      </c>
      <c r="D1653" s="17" t="s">
        <v>19</v>
      </c>
      <c r="E1653" s="17" t="s">
        <v>793</v>
      </c>
      <c r="F1653" s="17" t="s">
        <v>808</v>
      </c>
      <c r="G1653" s="18" t="n">
        <v>0</v>
      </c>
      <c r="H1653" s="18" t="n">
        <v>91.72</v>
      </c>
      <c r="I1653" s="18" t="n">
        <f aca="false">((I1652 + G1653) - H1653)</f>
        <v>-20887.53</v>
      </c>
      <c r="J1653" s="18" t="n">
        <v>0</v>
      </c>
      <c r="K1653" s="19" t="n">
        <v>0</v>
      </c>
      <c r="L1653" s="17" t="s">
        <v>88</v>
      </c>
    </row>
    <row r="1654" s="11" customFormat="true" ht="10.95" hidden="false" customHeight="true" outlineLevel="0" collapsed="false">
      <c r="A1654" s="16" t="n">
        <v>45161</v>
      </c>
      <c r="B1654" s="17" t="s">
        <v>787</v>
      </c>
      <c r="C1654" s="17" t="s">
        <v>788</v>
      </c>
      <c r="D1654" s="17" t="s">
        <v>19</v>
      </c>
      <c r="E1654" s="17" t="s">
        <v>795</v>
      </c>
      <c r="F1654" s="17" t="s">
        <v>809</v>
      </c>
      <c r="G1654" s="18" t="n">
        <v>0</v>
      </c>
      <c r="H1654" s="18" t="n">
        <v>491.82</v>
      </c>
      <c r="I1654" s="18" t="n">
        <f aca="false">((I1653 + G1654) - H1654)</f>
        <v>-21379.35</v>
      </c>
      <c r="J1654" s="18" t="n">
        <v>0</v>
      </c>
      <c r="K1654" s="19" t="n">
        <v>0</v>
      </c>
      <c r="L1654" s="17" t="s">
        <v>88</v>
      </c>
    </row>
    <row r="1655" s="11" customFormat="true" ht="10.95" hidden="false" customHeight="true" outlineLevel="0" collapsed="false">
      <c r="A1655" s="16" t="n">
        <v>45161</v>
      </c>
      <c r="B1655" s="17" t="s">
        <v>787</v>
      </c>
      <c r="C1655" s="17" t="s">
        <v>788</v>
      </c>
      <c r="D1655" s="17" t="s">
        <v>19</v>
      </c>
      <c r="E1655" s="17" t="s">
        <v>795</v>
      </c>
      <c r="F1655" s="17" t="s">
        <v>810</v>
      </c>
      <c r="G1655" s="18" t="n">
        <v>0</v>
      </c>
      <c r="H1655" s="18" t="n">
        <v>327.88</v>
      </c>
      <c r="I1655" s="18" t="n">
        <f aca="false">((I1654 + G1655) - H1655)</f>
        <v>-21707.23</v>
      </c>
      <c r="J1655" s="18" t="n">
        <v>0</v>
      </c>
      <c r="K1655" s="19" t="n">
        <v>0</v>
      </c>
      <c r="L1655" s="17" t="s">
        <v>88</v>
      </c>
    </row>
    <row r="1656" s="11" customFormat="true" ht="10.95" hidden="false" customHeight="true" outlineLevel="0" collapsed="false">
      <c r="A1656" s="16" t="n">
        <v>45161</v>
      </c>
      <c r="B1656" s="17" t="s">
        <v>787</v>
      </c>
      <c r="C1656" s="17" t="s">
        <v>788</v>
      </c>
      <c r="D1656" s="17" t="s">
        <v>19</v>
      </c>
      <c r="E1656" s="17" t="s">
        <v>798</v>
      </c>
      <c r="F1656" s="17" t="s">
        <v>811</v>
      </c>
      <c r="G1656" s="18" t="n">
        <v>0</v>
      </c>
      <c r="H1656" s="18" t="n">
        <v>2821.5</v>
      </c>
      <c r="I1656" s="18" t="n">
        <f aca="false">((I1655 + G1656) - H1656)</f>
        <v>-24528.73</v>
      </c>
      <c r="J1656" s="18" t="n">
        <v>0</v>
      </c>
      <c r="K1656" s="19" t="n">
        <v>0</v>
      </c>
      <c r="L1656" s="17" t="s">
        <v>88</v>
      </c>
    </row>
    <row r="1657" s="11" customFormat="true" ht="10.95" hidden="false" customHeight="true" outlineLevel="0" collapsed="false">
      <c r="A1657" s="16" t="n">
        <v>45161</v>
      </c>
      <c r="B1657" s="17" t="s">
        <v>787</v>
      </c>
      <c r="C1657" s="17" t="s">
        <v>788</v>
      </c>
      <c r="D1657" s="17" t="s">
        <v>19</v>
      </c>
      <c r="E1657" s="17" t="s">
        <v>798</v>
      </c>
      <c r="F1657" s="17" t="s">
        <v>812</v>
      </c>
      <c r="G1657" s="18" t="n">
        <v>0</v>
      </c>
      <c r="H1657" s="18" t="n">
        <v>2194.5</v>
      </c>
      <c r="I1657" s="18" t="n">
        <f aca="false">((I1656 + G1657) - H1657)</f>
        <v>-26723.23</v>
      </c>
      <c r="J1657" s="18" t="n">
        <v>0</v>
      </c>
      <c r="K1657" s="19" t="n">
        <v>0</v>
      </c>
      <c r="L1657" s="17" t="s">
        <v>88</v>
      </c>
    </row>
    <row r="1658" s="11" customFormat="true" ht="10.95" hidden="false" customHeight="true" outlineLevel="0" collapsed="false">
      <c r="A1658" s="16" t="n">
        <v>45161</v>
      </c>
      <c r="B1658" s="17" t="s">
        <v>787</v>
      </c>
      <c r="C1658" s="17" t="s">
        <v>788</v>
      </c>
      <c r="D1658" s="17" t="s">
        <v>19</v>
      </c>
      <c r="E1658" s="17" t="s">
        <v>801</v>
      </c>
      <c r="F1658" s="17" t="s">
        <v>813</v>
      </c>
      <c r="G1658" s="18" t="n">
        <v>0</v>
      </c>
      <c r="H1658" s="18" t="n">
        <v>643.5</v>
      </c>
      <c r="I1658" s="18" t="n">
        <f aca="false">((I1657 + G1658) - H1658)</f>
        <v>-27366.73</v>
      </c>
      <c r="J1658" s="18" t="n">
        <v>0</v>
      </c>
      <c r="K1658" s="19" t="n">
        <v>0</v>
      </c>
      <c r="L1658" s="17" t="s">
        <v>88</v>
      </c>
    </row>
    <row r="1659" s="11" customFormat="true" ht="10.95" hidden="false" customHeight="true" outlineLevel="0" collapsed="false">
      <c r="A1659" s="16" t="n">
        <v>45161</v>
      </c>
      <c r="B1659" s="17" t="s">
        <v>787</v>
      </c>
      <c r="C1659" s="17" t="s">
        <v>788</v>
      </c>
      <c r="D1659" s="17" t="s">
        <v>19</v>
      </c>
      <c r="E1659" s="17" t="s">
        <v>798</v>
      </c>
      <c r="F1659" s="17" t="s">
        <v>814</v>
      </c>
      <c r="G1659" s="18" t="n">
        <v>0</v>
      </c>
      <c r="H1659" s="18" t="n">
        <v>1672</v>
      </c>
      <c r="I1659" s="18" t="n">
        <f aca="false">((I1658 + G1659) - H1659)</f>
        <v>-29038.73</v>
      </c>
      <c r="J1659" s="18" t="n">
        <v>0</v>
      </c>
      <c r="K1659" s="19" t="n">
        <v>0</v>
      </c>
      <c r="L1659" s="17" t="s">
        <v>88</v>
      </c>
    </row>
    <row r="1660" s="11" customFormat="true" ht="10.95" hidden="false" customHeight="true" outlineLevel="0" collapsed="false">
      <c r="A1660" s="16" t="n">
        <v>45161</v>
      </c>
      <c r="B1660" s="17" t="s">
        <v>787</v>
      </c>
      <c r="C1660" s="17" t="s">
        <v>788</v>
      </c>
      <c r="D1660" s="17" t="s">
        <v>19</v>
      </c>
      <c r="E1660" s="17" t="s">
        <v>815</v>
      </c>
      <c r="F1660" s="17" t="s">
        <v>816</v>
      </c>
      <c r="G1660" s="18" t="n">
        <v>0</v>
      </c>
      <c r="H1660" s="18" t="n">
        <v>504.44</v>
      </c>
      <c r="I1660" s="18" t="n">
        <f aca="false">((I1659 + G1660) - H1660)</f>
        <v>-29543.17</v>
      </c>
      <c r="J1660" s="18" t="n">
        <v>0</v>
      </c>
      <c r="K1660" s="19" t="n">
        <v>0</v>
      </c>
      <c r="L1660" s="17" t="s">
        <v>88</v>
      </c>
    </row>
    <row r="1661" s="11" customFormat="true" ht="10.95" hidden="false" customHeight="true" outlineLevel="0" collapsed="false">
      <c r="A1661" s="16" t="n">
        <v>45161</v>
      </c>
      <c r="B1661" s="17" t="s">
        <v>787</v>
      </c>
      <c r="C1661" s="17" t="s">
        <v>788</v>
      </c>
      <c r="D1661" s="17" t="s">
        <v>19</v>
      </c>
      <c r="E1661" s="17" t="s">
        <v>815</v>
      </c>
      <c r="F1661" s="17" t="s">
        <v>816</v>
      </c>
      <c r="G1661" s="18" t="n">
        <v>0</v>
      </c>
      <c r="H1661" s="18" t="n">
        <v>504.44</v>
      </c>
      <c r="I1661" s="18" t="n">
        <f aca="false">((I1660 + G1661) - H1661)</f>
        <v>-30047.61</v>
      </c>
      <c r="J1661" s="18" t="n">
        <v>0</v>
      </c>
      <c r="K1661" s="19" t="n">
        <v>0</v>
      </c>
      <c r="L1661" s="17" t="s">
        <v>88</v>
      </c>
    </row>
    <row r="1662" s="11" customFormat="true" ht="10.95" hidden="false" customHeight="true" outlineLevel="0" collapsed="false">
      <c r="A1662" s="16" t="n">
        <v>45161</v>
      </c>
      <c r="B1662" s="17" t="s">
        <v>787</v>
      </c>
      <c r="C1662" s="17" t="s">
        <v>788</v>
      </c>
      <c r="D1662" s="17" t="s">
        <v>19</v>
      </c>
      <c r="E1662" s="17" t="s">
        <v>815</v>
      </c>
      <c r="F1662" s="17" t="s">
        <v>816</v>
      </c>
      <c r="G1662" s="18" t="n">
        <v>0</v>
      </c>
      <c r="H1662" s="18" t="n">
        <v>504.43</v>
      </c>
      <c r="I1662" s="18" t="n">
        <f aca="false">((I1661 + G1662) - H1662)</f>
        <v>-30552.04</v>
      </c>
      <c r="J1662" s="18" t="n">
        <v>0</v>
      </c>
      <c r="K1662" s="19" t="n">
        <v>0</v>
      </c>
      <c r="L1662" s="17" t="s">
        <v>88</v>
      </c>
    </row>
    <row r="1663" s="11" customFormat="true" ht="10.95" hidden="false" customHeight="true" outlineLevel="0" collapsed="false">
      <c r="A1663" s="16" t="n">
        <v>45161</v>
      </c>
      <c r="B1663" s="17" t="s">
        <v>787</v>
      </c>
      <c r="C1663" s="17" t="s">
        <v>788</v>
      </c>
      <c r="D1663" s="17" t="s">
        <v>19</v>
      </c>
      <c r="E1663" s="17" t="s">
        <v>815</v>
      </c>
      <c r="F1663" s="17" t="s">
        <v>816</v>
      </c>
      <c r="G1663" s="18" t="n">
        <v>0</v>
      </c>
      <c r="H1663" s="18" t="n">
        <v>504.43</v>
      </c>
      <c r="I1663" s="18" t="n">
        <f aca="false">((I1662 + G1663) - H1663)</f>
        <v>-31056.47</v>
      </c>
      <c r="J1663" s="18" t="n">
        <v>0</v>
      </c>
      <c r="K1663" s="19" t="n">
        <v>0</v>
      </c>
      <c r="L1663" s="17" t="s">
        <v>88</v>
      </c>
    </row>
    <row r="1664" s="11" customFormat="true" ht="10.95" hidden="false" customHeight="true" outlineLevel="0" collapsed="false">
      <c r="A1664" s="16" t="n">
        <v>45161</v>
      </c>
      <c r="B1664" s="17" t="s">
        <v>787</v>
      </c>
      <c r="C1664" s="17" t="s">
        <v>788</v>
      </c>
      <c r="D1664" s="17" t="s">
        <v>19</v>
      </c>
      <c r="E1664" s="17" t="s">
        <v>815</v>
      </c>
      <c r="F1664" s="17" t="s">
        <v>816</v>
      </c>
      <c r="G1664" s="18" t="n">
        <v>0</v>
      </c>
      <c r="H1664" s="18" t="n">
        <v>504.43</v>
      </c>
      <c r="I1664" s="18" t="n">
        <f aca="false">((I1663 + G1664) - H1664)</f>
        <v>-31560.9</v>
      </c>
      <c r="J1664" s="18" t="n">
        <v>0</v>
      </c>
      <c r="K1664" s="19" t="n">
        <v>0</v>
      </c>
      <c r="L1664" s="17" t="s">
        <v>88</v>
      </c>
    </row>
    <row r="1665" s="11" customFormat="true" ht="10.95" hidden="false" customHeight="true" outlineLevel="0" collapsed="false">
      <c r="A1665" s="16" t="n">
        <v>45161</v>
      </c>
      <c r="B1665" s="17" t="s">
        <v>787</v>
      </c>
      <c r="C1665" s="17" t="s">
        <v>788</v>
      </c>
      <c r="D1665" s="17" t="s">
        <v>19</v>
      </c>
      <c r="E1665" s="17" t="s">
        <v>815</v>
      </c>
      <c r="F1665" s="17" t="s">
        <v>816</v>
      </c>
      <c r="G1665" s="18" t="n">
        <v>0</v>
      </c>
      <c r="H1665" s="18" t="n">
        <v>504.43</v>
      </c>
      <c r="I1665" s="18" t="n">
        <f aca="false">((I1664 + G1665) - H1665)</f>
        <v>-32065.33</v>
      </c>
      <c r="J1665" s="18" t="n">
        <v>0</v>
      </c>
      <c r="K1665" s="19" t="n">
        <v>0</v>
      </c>
      <c r="L1665" s="17" t="s">
        <v>88</v>
      </c>
    </row>
    <row r="1666" s="11" customFormat="true" ht="10.95" hidden="false" customHeight="true" outlineLevel="0" collapsed="false">
      <c r="A1666" s="16" t="n">
        <v>45161</v>
      </c>
      <c r="B1666" s="17" t="s">
        <v>787</v>
      </c>
      <c r="C1666" s="17" t="s">
        <v>788</v>
      </c>
      <c r="D1666" s="17" t="s">
        <v>19</v>
      </c>
      <c r="E1666" s="17" t="s">
        <v>789</v>
      </c>
      <c r="F1666" s="17" t="s">
        <v>817</v>
      </c>
      <c r="G1666" s="18" t="n">
        <v>0</v>
      </c>
      <c r="H1666" s="18" t="n">
        <v>107.83</v>
      </c>
      <c r="I1666" s="18" t="n">
        <f aca="false">((I1665 + G1666) - H1666)</f>
        <v>-32173.16</v>
      </c>
      <c r="J1666" s="18" t="n">
        <v>0</v>
      </c>
      <c r="K1666" s="19" t="n">
        <v>0</v>
      </c>
      <c r="L1666" s="17" t="s">
        <v>88</v>
      </c>
    </row>
    <row r="1667" s="11" customFormat="true" ht="10.95" hidden="false" customHeight="true" outlineLevel="0" collapsed="false">
      <c r="A1667" s="16" t="n">
        <v>45161</v>
      </c>
      <c r="B1667" s="17" t="s">
        <v>787</v>
      </c>
      <c r="C1667" s="17" t="s">
        <v>788</v>
      </c>
      <c r="D1667" s="17" t="s">
        <v>19</v>
      </c>
      <c r="E1667" s="17" t="s">
        <v>789</v>
      </c>
      <c r="F1667" s="17" t="s">
        <v>817</v>
      </c>
      <c r="G1667" s="18" t="n">
        <v>0</v>
      </c>
      <c r="H1667" s="18" t="n">
        <v>107.83</v>
      </c>
      <c r="I1667" s="18" t="n">
        <f aca="false">((I1666 + G1667) - H1667)</f>
        <v>-32280.99</v>
      </c>
      <c r="J1667" s="18" t="n">
        <v>0</v>
      </c>
      <c r="K1667" s="19" t="n">
        <v>0</v>
      </c>
      <c r="L1667" s="17" t="s">
        <v>88</v>
      </c>
    </row>
    <row r="1668" s="11" customFormat="true" ht="10.95" hidden="false" customHeight="true" outlineLevel="0" collapsed="false">
      <c r="A1668" s="16" t="n">
        <v>45161</v>
      </c>
      <c r="B1668" s="17" t="s">
        <v>787</v>
      </c>
      <c r="C1668" s="17" t="s">
        <v>788</v>
      </c>
      <c r="D1668" s="17" t="s">
        <v>19</v>
      </c>
      <c r="E1668" s="17" t="s">
        <v>789</v>
      </c>
      <c r="F1668" s="17" t="s">
        <v>817</v>
      </c>
      <c r="G1668" s="18" t="n">
        <v>0</v>
      </c>
      <c r="H1668" s="18" t="n">
        <v>107.82</v>
      </c>
      <c r="I1668" s="18" t="n">
        <f aca="false">((I1667 + G1668) - H1668)</f>
        <v>-32388.81</v>
      </c>
      <c r="J1668" s="18" t="n">
        <v>0</v>
      </c>
      <c r="K1668" s="19" t="n">
        <v>0</v>
      </c>
      <c r="L1668" s="17" t="s">
        <v>88</v>
      </c>
    </row>
    <row r="1669" s="11" customFormat="true" ht="10.95" hidden="false" customHeight="true" outlineLevel="0" collapsed="false">
      <c r="A1669" s="16" t="n">
        <v>45161</v>
      </c>
      <c r="B1669" s="17" t="s">
        <v>787</v>
      </c>
      <c r="C1669" s="17" t="s">
        <v>788</v>
      </c>
      <c r="D1669" s="17" t="s">
        <v>19</v>
      </c>
      <c r="E1669" s="17" t="s">
        <v>789</v>
      </c>
      <c r="F1669" s="17" t="s">
        <v>817</v>
      </c>
      <c r="G1669" s="18" t="n">
        <v>0</v>
      </c>
      <c r="H1669" s="18" t="n">
        <v>107.82</v>
      </c>
      <c r="I1669" s="18" t="n">
        <f aca="false">((I1668 + G1669) - H1669)</f>
        <v>-32496.63</v>
      </c>
      <c r="J1669" s="18" t="n">
        <v>0</v>
      </c>
      <c r="K1669" s="19" t="n">
        <v>0</v>
      </c>
      <c r="L1669" s="17" t="s">
        <v>88</v>
      </c>
    </row>
    <row r="1670" s="11" customFormat="true" ht="10.95" hidden="false" customHeight="true" outlineLevel="0" collapsed="false">
      <c r="A1670" s="16" t="n">
        <v>45161</v>
      </c>
      <c r="B1670" s="17" t="s">
        <v>787</v>
      </c>
      <c r="C1670" s="17" t="s">
        <v>788</v>
      </c>
      <c r="D1670" s="17" t="s">
        <v>19</v>
      </c>
      <c r="E1670" s="17" t="s">
        <v>789</v>
      </c>
      <c r="F1670" s="17" t="s">
        <v>817</v>
      </c>
      <c r="G1670" s="18" t="n">
        <v>0</v>
      </c>
      <c r="H1670" s="18" t="n">
        <v>107.82</v>
      </c>
      <c r="I1670" s="18" t="n">
        <f aca="false">((I1669 + G1670) - H1670)</f>
        <v>-32604.45</v>
      </c>
      <c r="J1670" s="18" t="n">
        <v>0</v>
      </c>
      <c r="K1670" s="19" t="n">
        <v>0</v>
      </c>
      <c r="L1670" s="17" t="s">
        <v>88</v>
      </c>
    </row>
    <row r="1671" s="11" customFormat="true" ht="10.95" hidden="false" customHeight="true" outlineLevel="0" collapsed="false">
      <c r="A1671" s="16" t="n">
        <v>45161</v>
      </c>
      <c r="B1671" s="17" t="s">
        <v>787</v>
      </c>
      <c r="C1671" s="17" t="s">
        <v>788</v>
      </c>
      <c r="D1671" s="17" t="s">
        <v>19</v>
      </c>
      <c r="E1671" s="17" t="s">
        <v>789</v>
      </c>
      <c r="F1671" s="17" t="s">
        <v>817</v>
      </c>
      <c r="G1671" s="18" t="n">
        <v>0</v>
      </c>
      <c r="H1671" s="18" t="n">
        <v>107.82</v>
      </c>
      <c r="I1671" s="18" t="n">
        <f aca="false">((I1670 + G1671) - H1671)</f>
        <v>-32712.27</v>
      </c>
      <c r="J1671" s="18" t="n">
        <v>0</v>
      </c>
      <c r="K1671" s="19" t="n">
        <v>0</v>
      </c>
      <c r="L1671" s="17" t="s">
        <v>88</v>
      </c>
    </row>
    <row r="1672" s="11" customFormat="true" ht="10.95" hidden="false" customHeight="true" outlineLevel="0" collapsed="false">
      <c r="A1672" s="16" t="n">
        <v>45161</v>
      </c>
      <c r="B1672" s="17" t="s">
        <v>787</v>
      </c>
      <c r="C1672" s="17" t="s">
        <v>788</v>
      </c>
      <c r="D1672" s="17" t="s">
        <v>19</v>
      </c>
      <c r="E1672" s="17" t="s">
        <v>805</v>
      </c>
      <c r="F1672" s="17" t="s">
        <v>818</v>
      </c>
      <c r="G1672" s="18" t="n">
        <v>0</v>
      </c>
      <c r="H1672" s="18" t="n">
        <v>359.44</v>
      </c>
      <c r="I1672" s="18" t="n">
        <f aca="false">((I1671 + G1672) - H1672)</f>
        <v>-33071.71</v>
      </c>
      <c r="J1672" s="18" t="n">
        <v>0</v>
      </c>
      <c r="K1672" s="19" t="n">
        <v>0</v>
      </c>
      <c r="L1672" s="17" t="s">
        <v>88</v>
      </c>
    </row>
    <row r="1673" s="11" customFormat="true" ht="10.95" hidden="false" customHeight="true" outlineLevel="0" collapsed="false">
      <c r="A1673" s="16" t="n">
        <v>45161</v>
      </c>
      <c r="B1673" s="17" t="s">
        <v>787</v>
      </c>
      <c r="C1673" s="17" t="s">
        <v>788</v>
      </c>
      <c r="D1673" s="17" t="s">
        <v>19</v>
      </c>
      <c r="E1673" s="17" t="s">
        <v>807</v>
      </c>
      <c r="F1673" s="17" t="s">
        <v>818</v>
      </c>
      <c r="G1673" s="18" t="n">
        <v>0</v>
      </c>
      <c r="H1673" s="18" t="n">
        <v>252.23</v>
      </c>
      <c r="I1673" s="18" t="n">
        <f aca="false">((I1672 + G1673) - H1673)</f>
        <v>-33323.94</v>
      </c>
      <c r="J1673" s="18" t="n">
        <v>0</v>
      </c>
      <c r="K1673" s="19" t="n">
        <v>0</v>
      </c>
      <c r="L1673" s="17" t="s">
        <v>88</v>
      </c>
    </row>
    <row r="1674" s="11" customFormat="true" ht="10.95" hidden="false" customHeight="true" outlineLevel="0" collapsed="false">
      <c r="A1674" s="16" t="n">
        <v>45196</v>
      </c>
      <c r="B1674" s="17" t="s">
        <v>787</v>
      </c>
      <c r="C1674" s="17" t="s">
        <v>788</v>
      </c>
      <c r="D1674" s="17" t="s">
        <v>19</v>
      </c>
      <c r="E1674" s="17" t="s">
        <v>793</v>
      </c>
      <c r="F1674" s="17" t="s">
        <v>819</v>
      </c>
      <c r="G1674" s="18" t="n">
        <v>0</v>
      </c>
      <c r="H1674" s="18" t="n">
        <v>91.24</v>
      </c>
      <c r="I1674" s="18" t="n">
        <f aca="false">((I1673 + G1674) - H1674)</f>
        <v>-33415.18</v>
      </c>
      <c r="J1674" s="18" t="n">
        <v>0</v>
      </c>
      <c r="K1674" s="19" t="n">
        <v>0</v>
      </c>
      <c r="L1674" s="17" t="s">
        <v>88</v>
      </c>
    </row>
    <row r="1675" s="11" customFormat="true" ht="10.95" hidden="false" customHeight="true" outlineLevel="0" collapsed="false">
      <c r="A1675" s="16" t="n">
        <v>45196</v>
      </c>
      <c r="B1675" s="17" t="s">
        <v>787</v>
      </c>
      <c r="C1675" s="17" t="s">
        <v>788</v>
      </c>
      <c r="D1675" s="17" t="s">
        <v>19</v>
      </c>
      <c r="E1675" s="17" t="s">
        <v>795</v>
      </c>
      <c r="F1675" s="17" t="s">
        <v>820</v>
      </c>
      <c r="G1675" s="18" t="n">
        <v>0</v>
      </c>
      <c r="H1675" s="18" t="n">
        <v>489.25</v>
      </c>
      <c r="I1675" s="18" t="n">
        <f aca="false">((I1674 + G1675) - H1675)</f>
        <v>-33904.43</v>
      </c>
      <c r="J1675" s="18" t="n">
        <v>0</v>
      </c>
      <c r="K1675" s="19" t="n">
        <v>0</v>
      </c>
      <c r="L1675" s="17" t="s">
        <v>88</v>
      </c>
    </row>
    <row r="1676" s="11" customFormat="true" ht="10.95" hidden="false" customHeight="true" outlineLevel="0" collapsed="false">
      <c r="A1676" s="16" t="n">
        <v>45196</v>
      </c>
      <c r="B1676" s="17" t="s">
        <v>787</v>
      </c>
      <c r="C1676" s="17" t="s">
        <v>788</v>
      </c>
      <c r="D1676" s="17" t="s">
        <v>19</v>
      </c>
      <c r="E1676" s="17" t="s">
        <v>795</v>
      </c>
      <c r="F1676" s="17" t="s">
        <v>821</v>
      </c>
      <c r="G1676" s="18" t="n">
        <v>0</v>
      </c>
      <c r="H1676" s="18" t="n">
        <v>326.17</v>
      </c>
      <c r="I1676" s="18" t="n">
        <f aca="false">((I1675 + G1676) - H1676)</f>
        <v>-34230.6</v>
      </c>
      <c r="J1676" s="18" t="n">
        <v>0</v>
      </c>
      <c r="K1676" s="19" t="n">
        <v>0</v>
      </c>
      <c r="L1676" s="17" t="s">
        <v>88</v>
      </c>
    </row>
    <row r="1677" s="11" customFormat="true" ht="10.95" hidden="false" customHeight="true" outlineLevel="0" collapsed="false">
      <c r="A1677" s="16" t="n">
        <v>45196</v>
      </c>
      <c r="B1677" s="17" t="s">
        <v>787</v>
      </c>
      <c r="C1677" s="17" t="s">
        <v>788</v>
      </c>
      <c r="D1677" s="17" t="s">
        <v>19</v>
      </c>
      <c r="E1677" s="17" t="s">
        <v>798</v>
      </c>
      <c r="F1677" s="17" t="s">
        <v>822</v>
      </c>
      <c r="G1677" s="18" t="n">
        <v>0</v>
      </c>
      <c r="H1677" s="18" t="n">
        <v>2821.5</v>
      </c>
      <c r="I1677" s="18" t="n">
        <f aca="false">((I1676 + G1677) - H1677)</f>
        <v>-37052.1</v>
      </c>
      <c r="J1677" s="18" t="n">
        <v>0</v>
      </c>
      <c r="K1677" s="19" t="n">
        <v>0</v>
      </c>
      <c r="L1677" s="17" t="s">
        <v>88</v>
      </c>
    </row>
    <row r="1678" s="11" customFormat="true" ht="10.95" hidden="false" customHeight="true" outlineLevel="0" collapsed="false">
      <c r="A1678" s="16" t="n">
        <v>45196</v>
      </c>
      <c r="B1678" s="17" t="s">
        <v>787</v>
      </c>
      <c r="C1678" s="17" t="s">
        <v>788</v>
      </c>
      <c r="D1678" s="17" t="s">
        <v>19</v>
      </c>
      <c r="E1678" s="17" t="s">
        <v>798</v>
      </c>
      <c r="F1678" s="17" t="s">
        <v>823</v>
      </c>
      <c r="G1678" s="18" t="n">
        <v>0</v>
      </c>
      <c r="H1678" s="18" t="n">
        <v>2194.5</v>
      </c>
      <c r="I1678" s="18" t="n">
        <f aca="false">((I1677 + G1678) - H1678)</f>
        <v>-39246.6</v>
      </c>
      <c r="J1678" s="18" t="n">
        <v>0</v>
      </c>
      <c r="K1678" s="19" t="n">
        <v>0</v>
      </c>
      <c r="L1678" s="17" t="s">
        <v>88</v>
      </c>
    </row>
    <row r="1679" s="11" customFormat="true" ht="10.95" hidden="false" customHeight="true" outlineLevel="0" collapsed="false">
      <c r="A1679" s="16" t="n">
        <v>45196</v>
      </c>
      <c r="B1679" s="17" t="s">
        <v>787</v>
      </c>
      <c r="C1679" s="17" t="s">
        <v>788</v>
      </c>
      <c r="D1679" s="17" t="s">
        <v>19</v>
      </c>
      <c r="E1679" s="17" t="s">
        <v>801</v>
      </c>
      <c r="F1679" s="17" t="s">
        <v>824</v>
      </c>
      <c r="G1679" s="18" t="n">
        <v>0</v>
      </c>
      <c r="H1679" s="18" t="n">
        <v>1001</v>
      </c>
      <c r="I1679" s="18" t="n">
        <f aca="false">((I1678 + G1679) - H1679)</f>
        <v>-40247.6</v>
      </c>
      <c r="J1679" s="18" t="n">
        <v>0</v>
      </c>
      <c r="K1679" s="19" t="n">
        <v>0</v>
      </c>
      <c r="L1679" s="17" t="s">
        <v>88</v>
      </c>
    </row>
    <row r="1680" s="11" customFormat="true" ht="10.95" hidden="false" customHeight="true" outlineLevel="0" collapsed="false">
      <c r="A1680" s="16" t="n">
        <v>45196</v>
      </c>
      <c r="B1680" s="17" t="s">
        <v>787</v>
      </c>
      <c r="C1680" s="17" t="s">
        <v>788</v>
      </c>
      <c r="D1680" s="17" t="s">
        <v>19</v>
      </c>
      <c r="E1680" s="17" t="s">
        <v>825</v>
      </c>
      <c r="F1680" s="17" t="s">
        <v>824</v>
      </c>
      <c r="G1680" s="18" t="n">
        <v>0</v>
      </c>
      <c r="H1680" s="18" t="n">
        <v>357.5</v>
      </c>
      <c r="I1680" s="18" t="n">
        <f aca="false">((I1679 + G1680) - H1680)</f>
        <v>-40605.1</v>
      </c>
      <c r="J1680" s="18" t="n">
        <v>0</v>
      </c>
      <c r="K1680" s="19" t="n">
        <v>0</v>
      </c>
      <c r="L1680" s="17" t="s">
        <v>88</v>
      </c>
    </row>
    <row r="1681" s="11" customFormat="true" ht="10.95" hidden="false" customHeight="true" outlineLevel="0" collapsed="false">
      <c r="A1681" s="16" t="n">
        <v>45196</v>
      </c>
      <c r="B1681" s="17" t="s">
        <v>787</v>
      </c>
      <c r="C1681" s="17" t="s">
        <v>788</v>
      </c>
      <c r="D1681" s="17" t="s">
        <v>19</v>
      </c>
      <c r="E1681" s="17" t="s">
        <v>826</v>
      </c>
      <c r="F1681" s="17" t="s">
        <v>824</v>
      </c>
      <c r="G1681" s="18" t="n">
        <v>0</v>
      </c>
      <c r="H1681" s="18" t="n">
        <v>357.5</v>
      </c>
      <c r="I1681" s="18" t="n">
        <f aca="false">((I1680 + G1681) - H1681)</f>
        <v>-40962.6</v>
      </c>
      <c r="J1681" s="18" t="n">
        <v>0</v>
      </c>
      <c r="K1681" s="19" t="n">
        <v>0</v>
      </c>
      <c r="L1681" s="17" t="s">
        <v>88</v>
      </c>
    </row>
    <row r="1682" s="11" customFormat="true" ht="10.95" hidden="false" customHeight="true" outlineLevel="0" collapsed="false">
      <c r="A1682" s="16" t="n">
        <v>45196</v>
      </c>
      <c r="B1682" s="17" t="s">
        <v>787</v>
      </c>
      <c r="C1682" s="17" t="s">
        <v>788</v>
      </c>
      <c r="D1682" s="17" t="s">
        <v>19</v>
      </c>
      <c r="E1682" s="17" t="s">
        <v>798</v>
      </c>
      <c r="F1682" s="17" t="s">
        <v>827</v>
      </c>
      <c r="G1682" s="18" t="n">
        <v>0</v>
      </c>
      <c r="H1682" s="18" t="n">
        <v>1672</v>
      </c>
      <c r="I1682" s="18" t="n">
        <f aca="false">((I1681 + G1682) - H1682)</f>
        <v>-42634.6</v>
      </c>
      <c r="J1682" s="18" t="n">
        <v>0</v>
      </c>
      <c r="K1682" s="19" t="n">
        <v>0</v>
      </c>
      <c r="L1682" s="17" t="s">
        <v>88</v>
      </c>
    </row>
    <row r="1683" s="11" customFormat="true" ht="10.95" hidden="false" customHeight="true" outlineLevel="0" collapsed="false">
      <c r="A1683" s="16" t="n">
        <v>45196</v>
      </c>
      <c r="B1683" s="17" t="s">
        <v>787</v>
      </c>
      <c r="C1683" s="17" t="s">
        <v>788</v>
      </c>
      <c r="D1683" s="17" t="s">
        <v>19</v>
      </c>
      <c r="E1683" s="17" t="s">
        <v>805</v>
      </c>
      <c r="F1683" s="17" t="s">
        <v>828</v>
      </c>
      <c r="G1683" s="18" t="n">
        <v>0</v>
      </c>
      <c r="H1683" s="18" t="n">
        <v>357.94</v>
      </c>
      <c r="I1683" s="18" t="n">
        <f aca="false">((I1682 + G1683) - H1683)</f>
        <v>-42992.54</v>
      </c>
      <c r="J1683" s="18" t="n">
        <v>0</v>
      </c>
      <c r="K1683" s="19" t="n">
        <v>0</v>
      </c>
      <c r="L1683" s="17" t="s">
        <v>88</v>
      </c>
    </row>
    <row r="1684" s="11" customFormat="true" ht="10.95" hidden="false" customHeight="true" outlineLevel="0" collapsed="false">
      <c r="A1684" s="16" t="n">
        <v>45196</v>
      </c>
      <c r="B1684" s="17" t="s">
        <v>787</v>
      </c>
      <c r="C1684" s="17" t="s">
        <v>788</v>
      </c>
      <c r="D1684" s="17" t="s">
        <v>19</v>
      </c>
      <c r="E1684" s="17" t="s">
        <v>807</v>
      </c>
      <c r="F1684" s="17" t="s">
        <v>828</v>
      </c>
      <c r="G1684" s="18" t="n">
        <v>0</v>
      </c>
      <c r="H1684" s="18" t="n">
        <v>251.18</v>
      </c>
      <c r="I1684" s="18" t="n">
        <f aca="false">((I1683 + G1684) - H1684)</f>
        <v>-43243.72</v>
      </c>
      <c r="J1684" s="18" t="n">
        <v>0</v>
      </c>
      <c r="K1684" s="19" t="n">
        <v>0</v>
      </c>
      <c r="L1684" s="17" t="s">
        <v>88</v>
      </c>
    </row>
    <row r="1685" s="11" customFormat="true" ht="10.95" hidden="false" customHeight="true" outlineLevel="0" collapsed="false">
      <c r="A1685" s="16" t="n">
        <v>45222</v>
      </c>
      <c r="B1685" s="17" t="s">
        <v>787</v>
      </c>
      <c r="C1685" s="17" t="s">
        <v>788</v>
      </c>
      <c r="D1685" s="17" t="s">
        <v>19</v>
      </c>
      <c r="E1685" s="17" t="s">
        <v>793</v>
      </c>
      <c r="F1685" s="17" t="s">
        <v>829</v>
      </c>
      <c r="G1685" s="18" t="n">
        <v>0</v>
      </c>
      <c r="H1685" s="18" t="n">
        <v>92.31</v>
      </c>
      <c r="I1685" s="18" t="n">
        <f aca="false">((I1684 + G1685) - H1685)</f>
        <v>-43336.03</v>
      </c>
      <c r="J1685" s="18" t="n">
        <v>0</v>
      </c>
      <c r="K1685" s="19" t="n">
        <v>0</v>
      </c>
      <c r="L1685" s="17" t="s">
        <v>88</v>
      </c>
    </row>
    <row r="1686" s="11" customFormat="true" ht="10.95" hidden="false" customHeight="true" outlineLevel="0" collapsed="false">
      <c r="A1686" s="16" t="n">
        <v>45222</v>
      </c>
      <c r="B1686" s="17" t="s">
        <v>787</v>
      </c>
      <c r="C1686" s="17" t="s">
        <v>788</v>
      </c>
      <c r="D1686" s="17" t="s">
        <v>19</v>
      </c>
      <c r="E1686" s="17" t="s">
        <v>795</v>
      </c>
      <c r="F1686" s="17" t="s">
        <v>830</v>
      </c>
      <c r="G1686" s="18" t="n">
        <v>0</v>
      </c>
      <c r="H1686" s="18" t="n">
        <v>495.01</v>
      </c>
      <c r="I1686" s="18" t="n">
        <f aca="false">((I1685 + G1686) - H1686)</f>
        <v>-43831.04</v>
      </c>
      <c r="J1686" s="18" t="n">
        <v>0</v>
      </c>
      <c r="K1686" s="19" t="n">
        <v>0</v>
      </c>
      <c r="L1686" s="17" t="s">
        <v>88</v>
      </c>
    </row>
    <row r="1687" s="11" customFormat="true" ht="10.95" hidden="false" customHeight="true" outlineLevel="0" collapsed="false">
      <c r="A1687" s="16" t="n">
        <v>45222</v>
      </c>
      <c r="B1687" s="17" t="s">
        <v>787</v>
      </c>
      <c r="C1687" s="17" t="s">
        <v>788</v>
      </c>
      <c r="D1687" s="17" t="s">
        <v>19</v>
      </c>
      <c r="E1687" s="17" t="s">
        <v>795</v>
      </c>
      <c r="F1687" s="17" t="s">
        <v>831</v>
      </c>
      <c r="G1687" s="18" t="n">
        <v>0</v>
      </c>
      <c r="H1687" s="18" t="n">
        <v>330.01</v>
      </c>
      <c r="I1687" s="18" t="n">
        <f aca="false">((I1686 + G1687) - H1687)</f>
        <v>-44161.05</v>
      </c>
      <c r="J1687" s="18" t="n">
        <v>0</v>
      </c>
      <c r="K1687" s="19" t="n">
        <v>0</v>
      </c>
      <c r="L1687" s="17" t="s">
        <v>88</v>
      </c>
    </row>
    <row r="1688" s="11" customFormat="true" ht="10.95" hidden="false" customHeight="true" outlineLevel="0" collapsed="false">
      <c r="A1688" s="16" t="n">
        <v>45222</v>
      </c>
      <c r="B1688" s="17" t="s">
        <v>787</v>
      </c>
      <c r="C1688" s="17" t="s">
        <v>788</v>
      </c>
      <c r="D1688" s="17" t="s">
        <v>19</v>
      </c>
      <c r="E1688" s="17" t="s">
        <v>798</v>
      </c>
      <c r="F1688" s="17" t="s">
        <v>832</v>
      </c>
      <c r="G1688" s="18" t="n">
        <v>0</v>
      </c>
      <c r="H1688" s="18" t="n">
        <v>2821.5</v>
      </c>
      <c r="I1688" s="18" t="n">
        <f aca="false">((I1687 + G1688) - H1688)</f>
        <v>-46982.55</v>
      </c>
      <c r="J1688" s="18" t="n">
        <v>0</v>
      </c>
      <c r="K1688" s="19" t="n">
        <v>0</v>
      </c>
      <c r="L1688" s="17" t="s">
        <v>88</v>
      </c>
    </row>
    <row r="1689" s="11" customFormat="true" ht="10.95" hidden="false" customHeight="true" outlineLevel="0" collapsed="false">
      <c r="A1689" s="16" t="n">
        <v>45222</v>
      </c>
      <c r="B1689" s="17" t="s">
        <v>787</v>
      </c>
      <c r="C1689" s="17" t="s">
        <v>788</v>
      </c>
      <c r="D1689" s="17" t="s">
        <v>19</v>
      </c>
      <c r="E1689" s="17" t="s">
        <v>798</v>
      </c>
      <c r="F1689" s="17" t="s">
        <v>833</v>
      </c>
      <c r="G1689" s="18" t="n">
        <v>0</v>
      </c>
      <c r="H1689" s="18" t="n">
        <v>2194.5</v>
      </c>
      <c r="I1689" s="18" t="n">
        <f aca="false">((I1688 + G1689) - H1689)</f>
        <v>-49177.05</v>
      </c>
      <c r="J1689" s="18" t="n">
        <v>0</v>
      </c>
      <c r="K1689" s="19" t="n">
        <v>0</v>
      </c>
      <c r="L1689" s="17" t="s">
        <v>88</v>
      </c>
    </row>
    <row r="1690" s="11" customFormat="true" ht="10.95" hidden="false" customHeight="true" outlineLevel="0" collapsed="false">
      <c r="A1690" s="16" t="n">
        <v>45222</v>
      </c>
      <c r="B1690" s="17" t="s">
        <v>787</v>
      </c>
      <c r="C1690" s="17" t="s">
        <v>788</v>
      </c>
      <c r="D1690" s="17" t="s">
        <v>19</v>
      </c>
      <c r="E1690" s="17" t="s">
        <v>801</v>
      </c>
      <c r="F1690" s="17" t="s">
        <v>834</v>
      </c>
      <c r="G1690" s="18" t="n">
        <v>0</v>
      </c>
      <c r="H1690" s="18" t="n">
        <v>1001</v>
      </c>
      <c r="I1690" s="18" t="n">
        <f aca="false">((I1689 + G1690) - H1690)</f>
        <v>-50178.05</v>
      </c>
      <c r="J1690" s="18" t="n">
        <v>0</v>
      </c>
      <c r="K1690" s="19" t="n">
        <v>0</v>
      </c>
      <c r="L1690" s="17" t="s">
        <v>88</v>
      </c>
    </row>
    <row r="1691" s="11" customFormat="true" ht="10.95" hidden="false" customHeight="true" outlineLevel="0" collapsed="false">
      <c r="A1691" s="16" t="n">
        <v>45222</v>
      </c>
      <c r="B1691" s="17" t="s">
        <v>787</v>
      </c>
      <c r="C1691" s="17" t="s">
        <v>788</v>
      </c>
      <c r="D1691" s="17" t="s">
        <v>19</v>
      </c>
      <c r="E1691" s="17" t="s">
        <v>798</v>
      </c>
      <c r="F1691" s="17" t="s">
        <v>835</v>
      </c>
      <c r="G1691" s="18" t="n">
        <v>0</v>
      </c>
      <c r="H1691" s="18" t="n">
        <v>1672</v>
      </c>
      <c r="I1691" s="18" t="n">
        <f aca="false">((I1690 + G1691) - H1691)</f>
        <v>-51850.05</v>
      </c>
      <c r="J1691" s="18" t="n">
        <v>0</v>
      </c>
      <c r="K1691" s="19" t="n">
        <v>0</v>
      </c>
      <c r="L1691" s="17" t="s">
        <v>88</v>
      </c>
    </row>
    <row r="1692" s="11" customFormat="true" ht="10.95" hidden="false" customHeight="true" outlineLevel="0" collapsed="false">
      <c r="A1692" s="16" t="n">
        <v>45222</v>
      </c>
      <c r="B1692" s="17" t="s">
        <v>787</v>
      </c>
      <c r="C1692" s="17" t="s">
        <v>788</v>
      </c>
      <c r="D1692" s="17" t="s">
        <v>19</v>
      </c>
      <c r="E1692" s="17" t="s">
        <v>815</v>
      </c>
      <c r="F1692" s="17" t="s">
        <v>836</v>
      </c>
      <c r="G1692" s="18" t="n">
        <v>0</v>
      </c>
      <c r="H1692" s="18" t="n">
        <v>114.24</v>
      </c>
      <c r="I1692" s="18" t="n">
        <f aca="false">((I1691 + G1692) - H1692)</f>
        <v>-51964.29</v>
      </c>
      <c r="J1692" s="18" t="n">
        <v>0</v>
      </c>
      <c r="K1692" s="19" t="n">
        <v>0</v>
      </c>
      <c r="L1692" s="17" t="s">
        <v>88</v>
      </c>
    </row>
    <row r="1693" s="11" customFormat="true" ht="10.95" hidden="false" customHeight="true" outlineLevel="0" collapsed="false">
      <c r="A1693" s="16" t="n">
        <v>45222</v>
      </c>
      <c r="B1693" s="17" t="s">
        <v>787</v>
      </c>
      <c r="C1693" s="17" t="s">
        <v>788</v>
      </c>
      <c r="D1693" s="17" t="s">
        <v>19</v>
      </c>
      <c r="E1693" s="17" t="s">
        <v>815</v>
      </c>
      <c r="F1693" s="17" t="s">
        <v>836</v>
      </c>
      <c r="G1693" s="18" t="n">
        <v>0</v>
      </c>
      <c r="H1693" s="18" t="n">
        <v>114.24</v>
      </c>
      <c r="I1693" s="18" t="n">
        <f aca="false">((I1692 + G1693) - H1693)</f>
        <v>-52078.53</v>
      </c>
      <c r="J1693" s="18" t="n">
        <v>0</v>
      </c>
      <c r="K1693" s="19" t="n">
        <v>0</v>
      </c>
      <c r="L1693" s="17" t="s">
        <v>88</v>
      </c>
    </row>
    <row r="1694" s="11" customFormat="true" ht="10.95" hidden="false" customHeight="true" outlineLevel="0" collapsed="false">
      <c r="A1694" s="16" t="n">
        <v>45222</v>
      </c>
      <c r="B1694" s="17" t="s">
        <v>787</v>
      </c>
      <c r="C1694" s="17" t="s">
        <v>788</v>
      </c>
      <c r="D1694" s="17" t="s">
        <v>19</v>
      </c>
      <c r="E1694" s="17" t="s">
        <v>815</v>
      </c>
      <c r="F1694" s="17" t="s">
        <v>836</v>
      </c>
      <c r="G1694" s="18" t="n">
        <v>0</v>
      </c>
      <c r="H1694" s="18" t="n">
        <v>114.23</v>
      </c>
      <c r="I1694" s="18" t="n">
        <f aca="false">((I1693 + G1694) - H1694)</f>
        <v>-52192.76</v>
      </c>
      <c r="J1694" s="18" t="n">
        <v>0</v>
      </c>
      <c r="K1694" s="19" t="n">
        <v>0</v>
      </c>
      <c r="L1694" s="17" t="s">
        <v>88</v>
      </c>
    </row>
    <row r="1695" s="11" customFormat="true" ht="10.95" hidden="false" customHeight="true" outlineLevel="0" collapsed="false">
      <c r="A1695" s="16" t="n">
        <v>45222</v>
      </c>
      <c r="B1695" s="17" t="s">
        <v>787</v>
      </c>
      <c r="C1695" s="17" t="s">
        <v>788</v>
      </c>
      <c r="D1695" s="17" t="s">
        <v>19</v>
      </c>
      <c r="E1695" s="17" t="s">
        <v>815</v>
      </c>
      <c r="F1695" s="17" t="s">
        <v>836</v>
      </c>
      <c r="G1695" s="18" t="n">
        <v>0</v>
      </c>
      <c r="H1695" s="18" t="n">
        <v>114.23</v>
      </c>
      <c r="I1695" s="18" t="n">
        <f aca="false">((I1694 + G1695) - H1695)</f>
        <v>-52306.99</v>
      </c>
      <c r="J1695" s="18" t="n">
        <v>0</v>
      </c>
      <c r="K1695" s="19" t="n">
        <v>0</v>
      </c>
      <c r="L1695" s="17" t="s">
        <v>88</v>
      </c>
    </row>
    <row r="1696" s="11" customFormat="true" ht="10.95" hidden="false" customHeight="true" outlineLevel="0" collapsed="false">
      <c r="A1696" s="16" t="n">
        <v>45222</v>
      </c>
      <c r="B1696" s="17" t="s">
        <v>787</v>
      </c>
      <c r="C1696" s="17" t="s">
        <v>788</v>
      </c>
      <c r="D1696" s="17" t="s">
        <v>19</v>
      </c>
      <c r="E1696" s="17" t="s">
        <v>815</v>
      </c>
      <c r="F1696" s="17" t="s">
        <v>836</v>
      </c>
      <c r="G1696" s="18" t="n">
        <v>0</v>
      </c>
      <c r="H1696" s="18" t="n">
        <v>114.23</v>
      </c>
      <c r="I1696" s="18" t="n">
        <f aca="false">((I1695 + G1696) - H1696)</f>
        <v>-52421.22</v>
      </c>
      <c r="J1696" s="18" t="n">
        <v>0</v>
      </c>
      <c r="K1696" s="19" t="n">
        <v>0</v>
      </c>
      <c r="L1696" s="17" t="s">
        <v>88</v>
      </c>
    </row>
    <row r="1697" s="11" customFormat="true" ht="10.95" hidden="false" customHeight="true" outlineLevel="0" collapsed="false">
      <c r="A1697" s="16" t="n">
        <v>45222</v>
      </c>
      <c r="B1697" s="17" t="s">
        <v>787</v>
      </c>
      <c r="C1697" s="17" t="s">
        <v>788</v>
      </c>
      <c r="D1697" s="17" t="s">
        <v>19</v>
      </c>
      <c r="E1697" s="17" t="s">
        <v>789</v>
      </c>
      <c r="F1697" s="17" t="s">
        <v>837</v>
      </c>
      <c r="G1697" s="18" t="n">
        <v>0</v>
      </c>
      <c r="H1697" s="18" t="n">
        <v>325.56</v>
      </c>
      <c r="I1697" s="18" t="n">
        <f aca="false">((I1696 + G1697) - H1697)</f>
        <v>-52746.78</v>
      </c>
      <c r="J1697" s="18" t="n">
        <v>0</v>
      </c>
      <c r="K1697" s="19" t="n">
        <v>0</v>
      </c>
      <c r="L1697" s="17" t="s">
        <v>88</v>
      </c>
    </row>
    <row r="1698" s="11" customFormat="true" ht="10.95" hidden="false" customHeight="true" outlineLevel="0" collapsed="false">
      <c r="A1698" s="16" t="n">
        <v>45222</v>
      </c>
      <c r="B1698" s="17" t="s">
        <v>787</v>
      </c>
      <c r="C1698" s="17" t="s">
        <v>788</v>
      </c>
      <c r="D1698" s="17" t="s">
        <v>19</v>
      </c>
      <c r="E1698" s="17" t="s">
        <v>789</v>
      </c>
      <c r="F1698" s="17" t="s">
        <v>837</v>
      </c>
      <c r="G1698" s="18" t="n">
        <v>0</v>
      </c>
      <c r="H1698" s="18" t="n">
        <v>325.56</v>
      </c>
      <c r="I1698" s="18" t="n">
        <f aca="false">((I1697 + G1698) - H1698)</f>
        <v>-53072.34</v>
      </c>
      <c r="J1698" s="18" t="n">
        <v>0</v>
      </c>
      <c r="K1698" s="19" t="n">
        <v>0</v>
      </c>
      <c r="L1698" s="17" t="s">
        <v>88</v>
      </c>
    </row>
    <row r="1699" s="11" customFormat="true" ht="10.95" hidden="false" customHeight="true" outlineLevel="0" collapsed="false">
      <c r="A1699" s="16" t="n">
        <v>45222</v>
      </c>
      <c r="B1699" s="17" t="s">
        <v>787</v>
      </c>
      <c r="C1699" s="17" t="s">
        <v>788</v>
      </c>
      <c r="D1699" s="17" t="s">
        <v>19</v>
      </c>
      <c r="E1699" s="17" t="s">
        <v>789</v>
      </c>
      <c r="F1699" s="17" t="s">
        <v>837</v>
      </c>
      <c r="G1699" s="18" t="n">
        <v>0</v>
      </c>
      <c r="H1699" s="18" t="n">
        <v>325.56</v>
      </c>
      <c r="I1699" s="18" t="n">
        <f aca="false">((I1698 + G1699) - H1699)</f>
        <v>-53397.9</v>
      </c>
      <c r="J1699" s="18" t="n">
        <v>0</v>
      </c>
      <c r="K1699" s="19" t="n">
        <v>0</v>
      </c>
      <c r="L1699" s="17" t="s">
        <v>88</v>
      </c>
    </row>
    <row r="1700" s="11" customFormat="true" ht="10.95" hidden="false" customHeight="true" outlineLevel="0" collapsed="false">
      <c r="A1700" s="16" t="n">
        <v>45222</v>
      </c>
      <c r="B1700" s="17" t="s">
        <v>787</v>
      </c>
      <c r="C1700" s="17" t="s">
        <v>788</v>
      </c>
      <c r="D1700" s="17" t="s">
        <v>19</v>
      </c>
      <c r="E1700" s="17" t="s">
        <v>789</v>
      </c>
      <c r="F1700" s="17" t="s">
        <v>837</v>
      </c>
      <c r="G1700" s="18" t="n">
        <v>0</v>
      </c>
      <c r="H1700" s="18" t="n">
        <v>325.56</v>
      </c>
      <c r="I1700" s="18" t="n">
        <f aca="false">((I1699 + G1700) - H1700)</f>
        <v>-53723.46</v>
      </c>
      <c r="J1700" s="18" t="n">
        <v>0</v>
      </c>
      <c r="K1700" s="19" t="n">
        <v>0</v>
      </c>
      <c r="L1700" s="17" t="s">
        <v>88</v>
      </c>
    </row>
    <row r="1701" s="11" customFormat="true" ht="10.95" hidden="false" customHeight="true" outlineLevel="0" collapsed="false">
      <c r="A1701" s="16" t="n">
        <v>45222</v>
      </c>
      <c r="B1701" s="17" t="s">
        <v>787</v>
      </c>
      <c r="C1701" s="17" t="s">
        <v>788</v>
      </c>
      <c r="D1701" s="17" t="s">
        <v>19</v>
      </c>
      <c r="E1701" s="17" t="s">
        <v>789</v>
      </c>
      <c r="F1701" s="17" t="s">
        <v>837</v>
      </c>
      <c r="G1701" s="18" t="n">
        <v>0</v>
      </c>
      <c r="H1701" s="18" t="n">
        <v>325.56</v>
      </c>
      <c r="I1701" s="18" t="n">
        <f aca="false">((I1700 + G1701) - H1701)</f>
        <v>-54049.02</v>
      </c>
      <c r="J1701" s="18" t="n">
        <v>0</v>
      </c>
      <c r="K1701" s="19" t="n">
        <v>0</v>
      </c>
      <c r="L1701" s="17" t="s">
        <v>88</v>
      </c>
    </row>
    <row r="1702" s="11" customFormat="true" ht="10.95" hidden="false" customHeight="true" outlineLevel="0" collapsed="false">
      <c r="A1702" s="16" t="n">
        <v>45222</v>
      </c>
      <c r="B1702" s="17" t="s">
        <v>787</v>
      </c>
      <c r="C1702" s="17" t="s">
        <v>788</v>
      </c>
      <c r="D1702" s="17" t="s">
        <v>19</v>
      </c>
      <c r="E1702" s="17" t="s">
        <v>789</v>
      </c>
      <c r="F1702" s="17" t="s">
        <v>837</v>
      </c>
      <c r="G1702" s="18" t="n">
        <v>0</v>
      </c>
      <c r="H1702" s="18" t="n">
        <v>325.57</v>
      </c>
      <c r="I1702" s="18" t="n">
        <f aca="false">((I1701 + G1702) - H1702)</f>
        <v>-54374.59</v>
      </c>
      <c r="J1702" s="18" t="n">
        <v>0</v>
      </c>
      <c r="K1702" s="19" t="n">
        <v>0</v>
      </c>
      <c r="L1702" s="17" t="s">
        <v>88</v>
      </c>
    </row>
    <row r="1703" s="11" customFormat="true" ht="10.95" hidden="false" customHeight="true" outlineLevel="0" collapsed="false">
      <c r="A1703" s="16" t="n">
        <v>45222</v>
      </c>
      <c r="B1703" s="17" t="s">
        <v>787</v>
      </c>
      <c r="C1703" s="17" t="s">
        <v>788</v>
      </c>
      <c r="D1703" s="17" t="s">
        <v>19</v>
      </c>
      <c r="E1703" s="17" t="s">
        <v>789</v>
      </c>
      <c r="F1703" s="17" t="s">
        <v>837</v>
      </c>
      <c r="G1703" s="18" t="n">
        <v>0</v>
      </c>
      <c r="H1703" s="18" t="n">
        <v>325.57</v>
      </c>
      <c r="I1703" s="18" t="n">
        <f aca="false">((I1702 + G1703) - H1703)</f>
        <v>-54700.16</v>
      </c>
      <c r="J1703" s="18" t="n">
        <v>0</v>
      </c>
      <c r="K1703" s="19" t="n">
        <v>0</v>
      </c>
      <c r="L1703" s="17" t="s">
        <v>88</v>
      </c>
    </row>
    <row r="1704" s="11" customFormat="true" ht="10.95" hidden="false" customHeight="true" outlineLevel="0" collapsed="false">
      <c r="A1704" s="16" t="n">
        <v>45222</v>
      </c>
      <c r="B1704" s="17" t="s">
        <v>787</v>
      </c>
      <c r="C1704" s="17" t="s">
        <v>788</v>
      </c>
      <c r="D1704" s="17" t="s">
        <v>19</v>
      </c>
      <c r="E1704" s="17" t="s">
        <v>789</v>
      </c>
      <c r="F1704" s="17" t="s">
        <v>837</v>
      </c>
      <c r="G1704" s="18" t="n">
        <v>0</v>
      </c>
      <c r="H1704" s="18" t="n">
        <v>325.57</v>
      </c>
      <c r="I1704" s="18" t="n">
        <f aca="false">((I1703 + G1704) - H1704)</f>
        <v>-55025.73</v>
      </c>
      <c r="J1704" s="18" t="n">
        <v>0</v>
      </c>
      <c r="K1704" s="19" t="n">
        <v>0</v>
      </c>
      <c r="L1704" s="17" t="s">
        <v>88</v>
      </c>
    </row>
    <row r="1705" s="11" customFormat="true" ht="10.95" hidden="false" customHeight="true" outlineLevel="0" collapsed="false">
      <c r="A1705" s="16" t="n">
        <v>45222</v>
      </c>
      <c r="B1705" s="17" t="s">
        <v>787</v>
      </c>
      <c r="C1705" s="17" t="s">
        <v>788</v>
      </c>
      <c r="D1705" s="17" t="s">
        <v>19</v>
      </c>
      <c r="E1705" s="17" t="s">
        <v>789</v>
      </c>
      <c r="F1705" s="17" t="s">
        <v>837</v>
      </c>
      <c r="G1705" s="18" t="n">
        <v>0</v>
      </c>
      <c r="H1705" s="18" t="n">
        <v>325.57</v>
      </c>
      <c r="I1705" s="18" t="n">
        <f aca="false">((I1704 + G1705) - H1705)</f>
        <v>-55351.3</v>
      </c>
      <c r="J1705" s="18" t="n">
        <v>0</v>
      </c>
      <c r="K1705" s="19" t="n">
        <v>0</v>
      </c>
      <c r="L1705" s="17" t="s">
        <v>88</v>
      </c>
    </row>
    <row r="1706" s="11" customFormat="true" ht="10.95" hidden="false" customHeight="true" outlineLevel="0" collapsed="false">
      <c r="A1706" s="16" t="n">
        <v>45222</v>
      </c>
      <c r="B1706" s="17" t="s">
        <v>787</v>
      </c>
      <c r="C1706" s="17" t="s">
        <v>788</v>
      </c>
      <c r="D1706" s="17" t="s">
        <v>19</v>
      </c>
      <c r="E1706" s="17" t="s">
        <v>789</v>
      </c>
      <c r="F1706" s="17" t="s">
        <v>837</v>
      </c>
      <c r="G1706" s="18" t="n">
        <v>0</v>
      </c>
      <c r="H1706" s="18" t="n">
        <v>325.57</v>
      </c>
      <c r="I1706" s="18" t="n">
        <f aca="false">((I1705 + G1706) - H1706)</f>
        <v>-55676.87</v>
      </c>
      <c r="J1706" s="18" t="n">
        <v>0</v>
      </c>
      <c r="K1706" s="19" t="n">
        <v>0</v>
      </c>
      <c r="L1706" s="17" t="s">
        <v>88</v>
      </c>
    </row>
    <row r="1707" s="11" customFormat="true" ht="10.95" hidden="false" customHeight="true" outlineLevel="0" collapsed="false">
      <c r="A1707" s="16" t="n">
        <v>45222</v>
      </c>
      <c r="B1707" s="17" t="s">
        <v>787</v>
      </c>
      <c r="C1707" s="17" t="s">
        <v>788</v>
      </c>
      <c r="D1707" s="17" t="s">
        <v>19</v>
      </c>
      <c r="E1707" s="17" t="s">
        <v>789</v>
      </c>
      <c r="F1707" s="17" t="s">
        <v>837</v>
      </c>
      <c r="G1707" s="18" t="n">
        <v>0</v>
      </c>
      <c r="H1707" s="18" t="n">
        <v>325.57</v>
      </c>
      <c r="I1707" s="18" t="n">
        <f aca="false">((I1706 + G1707) - H1707)</f>
        <v>-56002.44</v>
      </c>
      <c r="J1707" s="18" t="n">
        <v>0</v>
      </c>
      <c r="K1707" s="19" t="n">
        <v>0</v>
      </c>
      <c r="L1707" s="17" t="s">
        <v>88</v>
      </c>
    </row>
    <row r="1708" s="11" customFormat="true" ht="10.95" hidden="false" customHeight="true" outlineLevel="0" collapsed="false">
      <c r="A1708" s="16" t="n">
        <v>45222</v>
      </c>
      <c r="B1708" s="17" t="s">
        <v>787</v>
      </c>
      <c r="C1708" s="17" t="s">
        <v>788</v>
      </c>
      <c r="D1708" s="17" t="s">
        <v>19</v>
      </c>
      <c r="E1708" s="17" t="s">
        <v>789</v>
      </c>
      <c r="F1708" s="17" t="s">
        <v>837</v>
      </c>
      <c r="G1708" s="18" t="n">
        <v>0</v>
      </c>
      <c r="H1708" s="18" t="n">
        <v>325.57</v>
      </c>
      <c r="I1708" s="18" t="n">
        <f aca="false">((I1707 + G1708) - H1708)</f>
        <v>-56328.01</v>
      </c>
      <c r="J1708" s="18" t="n">
        <v>0</v>
      </c>
      <c r="K1708" s="19" t="n">
        <v>0</v>
      </c>
      <c r="L1708" s="17" t="s">
        <v>88</v>
      </c>
    </row>
    <row r="1709" s="11" customFormat="true" ht="10.95" hidden="false" customHeight="true" outlineLevel="0" collapsed="false">
      <c r="A1709" s="16" t="n">
        <v>45222</v>
      </c>
      <c r="B1709" s="17" t="s">
        <v>787</v>
      </c>
      <c r="C1709" s="17" t="s">
        <v>788</v>
      </c>
      <c r="D1709" s="17" t="s">
        <v>19</v>
      </c>
      <c r="E1709" s="17" t="s">
        <v>805</v>
      </c>
      <c r="F1709" s="17" t="s">
        <v>838</v>
      </c>
      <c r="G1709" s="18" t="n">
        <v>0</v>
      </c>
      <c r="H1709" s="18" t="n">
        <v>361.36</v>
      </c>
      <c r="I1709" s="18" t="n">
        <f aca="false">((I1708 + G1709) - H1709)</f>
        <v>-56689.37</v>
      </c>
      <c r="J1709" s="18" t="n">
        <v>0</v>
      </c>
      <c r="K1709" s="19" t="n">
        <v>0</v>
      </c>
      <c r="L1709" s="17" t="s">
        <v>88</v>
      </c>
    </row>
    <row r="1710" s="11" customFormat="true" ht="10.95" hidden="false" customHeight="true" outlineLevel="0" collapsed="false">
      <c r="A1710" s="16" t="n">
        <v>45222</v>
      </c>
      <c r="B1710" s="17" t="s">
        <v>787</v>
      </c>
      <c r="C1710" s="17" t="s">
        <v>788</v>
      </c>
      <c r="D1710" s="17" t="s">
        <v>19</v>
      </c>
      <c r="E1710" s="17" t="s">
        <v>807</v>
      </c>
      <c r="F1710" s="17" t="s">
        <v>838</v>
      </c>
      <c r="G1710" s="18" t="n">
        <v>0</v>
      </c>
      <c r="H1710" s="18" t="n">
        <v>253.59</v>
      </c>
      <c r="I1710" s="18" t="n">
        <f aca="false">((I1709 + G1710) - H1710)</f>
        <v>-56942.96</v>
      </c>
      <c r="J1710" s="18" t="n">
        <v>0</v>
      </c>
      <c r="K1710" s="19" t="n">
        <v>0</v>
      </c>
      <c r="L1710" s="17" t="s">
        <v>88</v>
      </c>
    </row>
    <row r="1711" s="11" customFormat="true" ht="10.95" hidden="false" customHeight="true" outlineLevel="0" collapsed="false">
      <c r="A1711" s="16" t="n">
        <v>45224</v>
      </c>
      <c r="B1711" s="17" t="s">
        <v>787</v>
      </c>
      <c r="C1711" s="17" t="s">
        <v>788</v>
      </c>
      <c r="D1711" s="17" t="s">
        <v>19</v>
      </c>
      <c r="E1711" s="17" t="s">
        <v>839</v>
      </c>
      <c r="F1711" s="17" t="s">
        <v>840</v>
      </c>
      <c r="G1711" s="18" t="n">
        <v>0</v>
      </c>
      <c r="H1711" s="18" t="n">
        <v>1520.51</v>
      </c>
      <c r="I1711" s="18" t="n">
        <f aca="false">((I1710 + G1711) - H1711)</f>
        <v>-58463.47</v>
      </c>
      <c r="J1711" s="18" t="n">
        <v>0</v>
      </c>
      <c r="K1711" s="19" t="n">
        <v>0</v>
      </c>
      <c r="L1711" s="17" t="s">
        <v>88</v>
      </c>
    </row>
    <row r="1712" s="11" customFormat="true" ht="10.95" hidden="false" customHeight="true" outlineLevel="0" collapsed="false">
      <c r="A1712" s="16" t="n">
        <v>45224</v>
      </c>
      <c r="B1712" s="17" t="s">
        <v>787</v>
      </c>
      <c r="C1712" s="17" t="s">
        <v>788</v>
      </c>
      <c r="D1712" s="17" t="s">
        <v>19</v>
      </c>
      <c r="E1712" s="17" t="s">
        <v>841</v>
      </c>
      <c r="F1712" s="17" t="s">
        <v>840</v>
      </c>
      <c r="G1712" s="18" t="n">
        <v>0</v>
      </c>
      <c r="H1712" s="18" t="n">
        <v>327.87</v>
      </c>
      <c r="I1712" s="18" t="n">
        <f aca="false">((I1711 + G1712) - H1712)</f>
        <v>-58791.34</v>
      </c>
      <c r="J1712" s="18" t="n">
        <v>0</v>
      </c>
      <c r="K1712" s="19" t="n">
        <v>0</v>
      </c>
      <c r="L1712" s="17" t="s">
        <v>88</v>
      </c>
    </row>
    <row r="1713" s="11" customFormat="true" ht="10.95" hidden="false" customHeight="true" outlineLevel="0" collapsed="false">
      <c r="A1713" s="16" t="n">
        <v>45224</v>
      </c>
      <c r="B1713" s="17" t="s">
        <v>787</v>
      </c>
      <c r="C1713" s="17" t="s">
        <v>788</v>
      </c>
      <c r="D1713" s="17" t="s">
        <v>19</v>
      </c>
      <c r="E1713" s="17" t="s">
        <v>842</v>
      </c>
      <c r="F1713" s="17" t="s">
        <v>840</v>
      </c>
      <c r="G1713" s="18" t="n">
        <v>0</v>
      </c>
      <c r="H1713" s="18" t="n">
        <v>95.04</v>
      </c>
      <c r="I1713" s="18" t="n">
        <f aca="false">((I1712 + G1713) - H1713)</f>
        <v>-58886.38</v>
      </c>
      <c r="J1713" s="18" t="n">
        <v>0</v>
      </c>
      <c r="K1713" s="19" t="n">
        <v>0</v>
      </c>
      <c r="L1713" s="17" t="s">
        <v>88</v>
      </c>
    </row>
    <row r="1714" s="11" customFormat="true" ht="10.95" hidden="false" customHeight="true" outlineLevel="0" collapsed="false">
      <c r="A1714" s="16" t="n">
        <v>45224</v>
      </c>
      <c r="B1714" s="17" t="s">
        <v>787</v>
      </c>
      <c r="C1714" s="17" t="s">
        <v>788</v>
      </c>
      <c r="D1714" s="17" t="s">
        <v>19</v>
      </c>
      <c r="E1714" s="17" t="s">
        <v>841</v>
      </c>
      <c r="F1714" s="17" t="s">
        <v>840</v>
      </c>
      <c r="G1714" s="18" t="n">
        <v>0</v>
      </c>
      <c r="H1714" s="18" t="n">
        <v>327.87</v>
      </c>
      <c r="I1714" s="18" t="n">
        <f aca="false">((I1713 + G1714) - H1714)</f>
        <v>-59214.25</v>
      </c>
      <c r="J1714" s="18" t="n">
        <v>0</v>
      </c>
      <c r="K1714" s="19" t="n">
        <v>0</v>
      </c>
      <c r="L1714" s="17" t="s">
        <v>88</v>
      </c>
    </row>
    <row r="1715" s="11" customFormat="true" ht="10.95" hidden="false" customHeight="true" outlineLevel="0" collapsed="false">
      <c r="A1715" s="16" t="n">
        <v>45224</v>
      </c>
      <c r="B1715" s="17" t="s">
        <v>787</v>
      </c>
      <c r="C1715" s="17" t="s">
        <v>788</v>
      </c>
      <c r="D1715" s="17" t="s">
        <v>19</v>
      </c>
      <c r="E1715" s="17" t="s">
        <v>842</v>
      </c>
      <c r="F1715" s="17" t="s">
        <v>840</v>
      </c>
      <c r="G1715" s="18" t="n">
        <v>0</v>
      </c>
      <c r="H1715" s="18" t="n">
        <v>95.04</v>
      </c>
      <c r="I1715" s="18" t="n">
        <f aca="false">((I1714 + G1715) - H1715)</f>
        <v>-59309.29</v>
      </c>
      <c r="J1715" s="18" t="n">
        <v>0</v>
      </c>
      <c r="K1715" s="19" t="n">
        <v>0</v>
      </c>
      <c r="L1715" s="17" t="s">
        <v>88</v>
      </c>
    </row>
    <row r="1716" s="11" customFormat="true" ht="10.95" hidden="false" customHeight="true" outlineLevel="0" collapsed="false">
      <c r="A1716" s="16" t="n">
        <v>45224</v>
      </c>
      <c r="B1716" s="17" t="s">
        <v>787</v>
      </c>
      <c r="C1716" s="17" t="s">
        <v>788</v>
      </c>
      <c r="D1716" s="17" t="s">
        <v>19</v>
      </c>
      <c r="E1716" s="17" t="s">
        <v>841</v>
      </c>
      <c r="F1716" s="17" t="s">
        <v>840</v>
      </c>
      <c r="G1716" s="18" t="n">
        <v>0</v>
      </c>
      <c r="H1716" s="18" t="n">
        <v>327.86</v>
      </c>
      <c r="I1716" s="18" t="n">
        <f aca="false">((I1715 + G1716) - H1716)</f>
        <v>-59637.15</v>
      </c>
      <c r="J1716" s="18" t="n">
        <v>0</v>
      </c>
      <c r="K1716" s="19" t="n">
        <v>0</v>
      </c>
      <c r="L1716" s="17" t="s">
        <v>88</v>
      </c>
    </row>
    <row r="1717" s="11" customFormat="true" ht="10.95" hidden="false" customHeight="true" outlineLevel="0" collapsed="false">
      <c r="A1717" s="16" t="n">
        <v>45224</v>
      </c>
      <c r="B1717" s="17" t="s">
        <v>787</v>
      </c>
      <c r="C1717" s="17" t="s">
        <v>788</v>
      </c>
      <c r="D1717" s="17" t="s">
        <v>19</v>
      </c>
      <c r="E1717" s="17" t="s">
        <v>842</v>
      </c>
      <c r="F1717" s="17" t="s">
        <v>840</v>
      </c>
      <c r="G1717" s="18" t="n">
        <v>0</v>
      </c>
      <c r="H1717" s="18" t="n">
        <v>95.03</v>
      </c>
      <c r="I1717" s="18" t="n">
        <f aca="false">((I1716 + G1717) - H1717)</f>
        <v>-59732.18</v>
      </c>
      <c r="J1717" s="18" t="n">
        <v>0</v>
      </c>
      <c r="K1717" s="19" t="n">
        <v>0</v>
      </c>
      <c r="L1717" s="17" t="s">
        <v>88</v>
      </c>
    </row>
    <row r="1718" s="11" customFormat="true" ht="10.95" hidden="false" customHeight="true" outlineLevel="0" collapsed="false">
      <c r="A1718" s="16" t="n">
        <v>45224</v>
      </c>
      <c r="B1718" s="17" t="s">
        <v>787</v>
      </c>
      <c r="C1718" s="17" t="s">
        <v>788</v>
      </c>
      <c r="D1718" s="17" t="s">
        <v>19</v>
      </c>
      <c r="E1718" s="17" t="s">
        <v>841</v>
      </c>
      <c r="F1718" s="17" t="s">
        <v>840</v>
      </c>
      <c r="G1718" s="18" t="n">
        <v>0</v>
      </c>
      <c r="H1718" s="18" t="n">
        <v>327.86</v>
      </c>
      <c r="I1718" s="18" t="n">
        <f aca="false">((I1717 + G1718) - H1718)</f>
        <v>-60060.04</v>
      </c>
      <c r="J1718" s="18" t="n">
        <v>0</v>
      </c>
      <c r="K1718" s="19" t="n">
        <v>0</v>
      </c>
      <c r="L1718" s="17" t="s">
        <v>88</v>
      </c>
    </row>
    <row r="1719" s="11" customFormat="true" ht="10.95" hidden="false" customHeight="true" outlineLevel="0" collapsed="false">
      <c r="A1719" s="16" t="n">
        <v>45224</v>
      </c>
      <c r="B1719" s="17" t="s">
        <v>787</v>
      </c>
      <c r="C1719" s="17" t="s">
        <v>788</v>
      </c>
      <c r="D1719" s="17" t="s">
        <v>19</v>
      </c>
      <c r="E1719" s="17" t="s">
        <v>842</v>
      </c>
      <c r="F1719" s="17" t="s">
        <v>840</v>
      </c>
      <c r="G1719" s="18" t="n">
        <v>0</v>
      </c>
      <c r="H1719" s="18" t="n">
        <v>95.03</v>
      </c>
      <c r="I1719" s="18" t="n">
        <f aca="false">((I1718 + G1719) - H1719)</f>
        <v>-60155.07</v>
      </c>
      <c r="J1719" s="18" t="n">
        <v>0</v>
      </c>
      <c r="K1719" s="19" t="n">
        <v>0</v>
      </c>
      <c r="L1719" s="17" t="s">
        <v>88</v>
      </c>
    </row>
    <row r="1720" s="11" customFormat="true" ht="10.95" hidden="false" customHeight="true" outlineLevel="0" collapsed="false">
      <c r="A1720" s="16" t="n">
        <v>45224</v>
      </c>
      <c r="B1720" s="17" t="s">
        <v>787</v>
      </c>
      <c r="C1720" s="17" t="s">
        <v>788</v>
      </c>
      <c r="D1720" s="17" t="s">
        <v>19</v>
      </c>
      <c r="E1720" s="17" t="s">
        <v>841</v>
      </c>
      <c r="F1720" s="17" t="s">
        <v>840</v>
      </c>
      <c r="G1720" s="18" t="n">
        <v>0</v>
      </c>
      <c r="H1720" s="18" t="n">
        <v>327.86</v>
      </c>
      <c r="I1720" s="18" t="n">
        <f aca="false">((I1719 + G1720) - H1720)</f>
        <v>-60482.93</v>
      </c>
      <c r="J1720" s="18" t="n">
        <v>0</v>
      </c>
      <c r="K1720" s="19" t="n">
        <v>0</v>
      </c>
      <c r="L1720" s="17" t="s">
        <v>88</v>
      </c>
    </row>
    <row r="1721" s="11" customFormat="true" ht="10.95" hidden="false" customHeight="true" outlineLevel="0" collapsed="false">
      <c r="A1721" s="16" t="n">
        <v>45224</v>
      </c>
      <c r="B1721" s="17" t="s">
        <v>787</v>
      </c>
      <c r="C1721" s="17" t="s">
        <v>788</v>
      </c>
      <c r="D1721" s="17" t="s">
        <v>19</v>
      </c>
      <c r="E1721" s="17" t="s">
        <v>842</v>
      </c>
      <c r="F1721" s="17" t="s">
        <v>840</v>
      </c>
      <c r="G1721" s="18" t="n">
        <v>0</v>
      </c>
      <c r="H1721" s="18" t="n">
        <v>95.03</v>
      </c>
      <c r="I1721" s="18" t="n">
        <f aca="false">((I1720 + G1721) - H1721)</f>
        <v>-60577.96</v>
      </c>
      <c r="J1721" s="18" t="n">
        <v>0</v>
      </c>
      <c r="K1721" s="19" t="n">
        <v>0</v>
      </c>
      <c r="L1721" s="17" t="s">
        <v>88</v>
      </c>
    </row>
    <row r="1722" s="11" customFormat="true" ht="10.95" hidden="false" customHeight="true" outlineLevel="0" collapsed="false">
      <c r="A1722" s="16" t="n">
        <v>45224</v>
      </c>
      <c r="B1722" s="17" t="s">
        <v>787</v>
      </c>
      <c r="C1722" s="17" t="s">
        <v>788</v>
      </c>
      <c r="D1722" s="17" t="s">
        <v>19</v>
      </c>
      <c r="E1722" s="17" t="s">
        <v>841</v>
      </c>
      <c r="F1722" s="17" t="s">
        <v>840</v>
      </c>
      <c r="G1722" s="18" t="n">
        <v>0</v>
      </c>
      <c r="H1722" s="18" t="n">
        <v>327.86</v>
      </c>
      <c r="I1722" s="18" t="n">
        <f aca="false">((I1721 + G1722) - H1722)</f>
        <v>-60905.82</v>
      </c>
      <c r="J1722" s="18" t="n">
        <v>0</v>
      </c>
      <c r="K1722" s="19" t="n">
        <v>0</v>
      </c>
      <c r="L1722" s="17" t="s">
        <v>88</v>
      </c>
    </row>
    <row r="1723" s="11" customFormat="true" ht="10.95" hidden="false" customHeight="true" outlineLevel="0" collapsed="false">
      <c r="A1723" s="16" t="n">
        <v>45224</v>
      </c>
      <c r="B1723" s="17" t="s">
        <v>787</v>
      </c>
      <c r="C1723" s="17" t="s">
        <v>788</v>
      </c>
      <c r="D1723" s="17" t="s">
        <v>19</v>
      </c>
      <c r="E1723" s="17" t="s">
        <v>842</v>
      </c>
      <c r="F1723" s="17" t="s">
        <v>840</v>
      </c>
      <c r="G1723" s="18" t="n">
        <v>0</v>
      </c>
      <c r="H1723" s="18" t="n">
        <v>95.03</v>
      </c>
      <c r="I1723" s="18" t="n">
        <f aca="false">((I1722 + G1723) - H1723)</f>
        <v>-61000.85</v>
      </c>
      <c r="J1723" s="18" t="n">
        <v>0</v>
      </c>
      <c r="K1723" s="19" t="n">
        <v>0</v>
      </c>
      <c r="L1723" s="17" t="s">
        <v>88</v>
      </c>
    </row>
    <row r="1724" s="11" customFormat="true" ht="10.95" hidden="false" customHeight="true" outlineLevel="0" collapsed="false">
      <c r="A1724" s="16" t="n">
        <v>45224</v>
      </c>
      <c r="B1724" s="17" t="s">
        <v>787</v>
      </c>
      <c r="C1724" s="17" t="s">
        <v>788</v>
      </c>
      <c r="D1724" s="17" t="s">
        <v>19</v>
      </c>
      <c r="E1724" s="17" t="s">
        <v>841</v>
      </c>
      <c r="F1724" s="17" t="s">
        <v>840</v>
      </c>
      <c r="G1724" s="18" t="n">
        <v>0</v>
      </c>
      <c r="H1724" s="18" t="n">
        <v>327.86</v>
      </c>
      <c r="I1724" s="18" t="n">
        <f aca="false">((I1723 + G1724) - H1724)</f>
        <v>-61328.71</v>
      </c>
      <c r="J1724" s="18" t="n">
        <v>0</v>
      </c>
      <c r="K1724" s="19" t="n">
        <v>0</v>
      </c>
      <c r="L1724" s="17" t="s">
        <v>88</v>
      </c>
    </row>
    <row r="1725" s="11" customFormat="true" ht="10.95" hidden="false" customHeight="true" outlineLevel="0" collapsed="false">
      <c r="A1725" s="16" t="n">
        <v>45224</v>
      </c>
      <c r="B1725" s="17" t="s">
        <v>787</v>
      </c>
      <c r="C1725" s="17" t="s">
        <v>788</v>
      </c>
      <c r="D1725" s="17" t="s">
        <v>19</v>
      </c>
      <c r="E1725" s="17" t="s">
        <v>842</v>
      </c>
      <c r="F1725" s="17" t="s">
        <v>840</v>
      </c>
      <c r="G1725" s="18" t="n">
        <v>0</v>
      </c>
      <c r="H1725" s="18" t="n">
        <v>95.03</v>
      </c>
      <c r="I1725" s="18" t="n">
        <f aca="false">((I1724 + G1725) - H1725)</f>
        <v>-61423.74</v>
      </c>
      <c r="J1725" s="18" t="n">
        <v>0</v>
      </c>
      <c r="K1725" s="19" t="n">
        <v>0</v>
      </c>
      <c r="L1725" s="17" t="s">
        <v>88</v>
      </c>
    </row>
    <row r="1726" s="11" customFormat="true" ht="10.95" hidden="false" customHeight="true" outlineLevel="0" collapsed="false">
      <c r="A1726" s="16" t="n">
        <v>45224</v>
      </c>
      <c r="B1726" s="17" t="s">
        <v>787</v>
      </c>
      <c r="C1726" s="17" t="s">
        <v>788</v>
      </c>
      <c r="D1726" s="17" t="s">
        <v>19</v>
      </c>
      <c r="E1726" s="17" t="s">
        <v>841</v>
      </c>
      <c r="F1726" s="17" t="s">
        <v>840</v>
      </c>
      <c r="G1726" s="18" t="n">
        <v>0</v>
      </c>
      <c r="H1726" s="18" t="n">
        <v>327.86</v>
      </c>
      <c r="I1726" s="18" t="n">
        <f aca="false">((I1725 + G1726) - H1726)</f>
        <v>-61751.6</v>
      </c>
      <c r="J1726" s="18" t="n">
        <v>0</v>
      </c>
      <c r="K1726" s="19" t="n">
        <v>0</v>
      </c>
      <c r="L1726" s="17" t="s">
        <v>88</v>
      </c>
    </row>
    <row r="1727" s="11" customFormat="true" ht="10.95" hidden="false" customHeight="true" outlineLevel="0" collapsed="false">
      <c r="A1727" s="16" t="n">
        <v>45224</v>
      </c>
      <c r="B1727" s="17" t="s">
        <v>787</v>
      </c>
      <c r="C1727" s="17" t="s">
        <v>788</v>
      </c>
      <c r="D1727" s="17" t="s">
        <v>19</v>
      </c>
      <c r="E1727" s="17" t="s">
        <v>842</v>
      </c>
      <c r="F1727" s="17" t="s">
        <v>840</v>
      </c>
      <c r="G1727" s="18" t="n">
        <v>0</v>
      </c>
      <c r="H1727" s="18" t="n">
        <v>95.03</v>
      </c>
      <c r="I1727" s="18" t="n">
        <f aca="false">((I1726 + G1727) - H1727)</f>
        <v>-61846.63</v>
      </c>
      <c r="J1727" s="18" t="n">
        <v>0</v>
      </c>
      <c r="K1727" s="19" t="n">
        <v>0</v>
      </c>
      <c r="L1727" s="17" t="s">
        <v>88</v>
      </c>
    </row>
    <row r="1728" s="11" customFormat="true" ht="10.95" hidden="false" customHeight="true" outlineLevel="0" collapsed="false">
      <c r="A1728" s="16" t="n">
        <v>45224</v>
      </c>
      <c r="B1728" s="17" t="s">
        <v>787</v>
      </c>
      <c r="C1728" s="17" t="s">
        <v>788</v>
      </c>
      <c r="D1728" s="17" t="s">
        <v>19</v>
      </c>
      <c r="E1728" s="17" t="s">
        <v>841</v>
      </c>
      <c r="F1728" s="17" t="s">
        <v>840</v>
      </c>
      <c r="G1728" s="18" t="n">
        <v>0</v>
      </c>
      <c r="H1728" s="18" t="n">
        <v>327.86</v>
      </c>
      <c r="I1728" s="18" t="n">
        <f aca="false">((I1727 + G1728) - H1728)</f>
        <v>-62174.49</v>
      </c>
      <c r="J1728" s="18" t="n">
        <v>0</v>
      </c>
      <c r="K1728" s="19" t="n">
        <v>0</v>
      </c>
      <c r="L1728" s="17" t="s">
        <v>88</v>
      </c>
    </row>
    <row r="1729" s="11" customFormat="true" ht="10.95" hidden="false" customHeight="true" outlineLevel="0" collapsed="false">
      <c r="A1729" s="16" t="n">
        <v>45224</v>
      </c>
      <c r="B1729" s="17" t="s">
        <v>787</v>
      </c>
      <c r="C1729" s="17" t="s">
        <v>788</v>
      </c>
      <c r="D1729" s="17" t="s">
        <v>19</v>
      </c>
      <c r="E1729" s="17" t="s">
        <v>842</v>
      </c>
      <c r="F1729" s="17" t="s">
        <v>840</v>
      </c>
      <c r="G1729" s="18" t="n">
        <v>0</v>
      </c>
      <c r="H1729" s="18" t="n">
        <v>95.03</v>
      </c>
      <c r="I1729" s="18" t="n">
        <f aca="false">((I1728 + G1729) - H1729)</f>
        <v>-62269.52</v>
      </c>
      <c r="J1729" s="18" t="n">
        <v>0</v>
      </c>
      <c r="K1729" s="19" t="n">
        <v>0</v>
      </c>
      <c r="L1729" s="17" t="s">
        <v>88</v>
      </c>
    </row>
    <row r="1730" s="11" customFormat="true" ht="10.95" hidden="false" customHeight="true" outlineLevel="0" collapsed="false">
      <c r="A1730" s="16" t="n">
        <v>45224</v>
      </c>
      <c r="B1730" s="17" t="s">
        <v>787</v>
      </c>
      <c r="C1730" s="17" t="s">
        <v>788</v>
      </c>
      <c r="D1730" s="17" t="s">
        <v>19</v>
      </c>
      <c r="E1730" s="17" t="s">
        <v>841</v>
      </c>
      <c r="F1730" s="17" t="s">
        <v>840</v>
      </c>
      <c r="G1730" s="18" t="n">
        <v>0</v>
      </c>
      <c r="H1730" s="18" t="n">
        <v>327.86</v>
      </c>
      <c r="I1730" s="18" t="n">
        <f aca="false">((I1729 + G1730) - H1730)</f>
        <v>-62597.38</v>
      </c>
      <c r="J1730" s="18" t="n">
        <v>0</v>
      </c>
      <c r="K1730" s="19" t="n">
        <v>0</v>
      </c>
      <c r="L1730" s="17" t="s">
        <v>88</v>
      </c>
    </row>
    <row r="1731" s="11" customFormat="true" ht="10.95" hidden="false" customHeight="true" outlineLevel="0" collapsed="false">
      <c r="A1731" s="16" t="n">
        <v>45224</v>
      </c>
      <c r="B1731" s="17" t="s">
        <v>787</v>
      </c>
      <c r="C1731" s="17" t="s">
        <v>788</v>
      </c>
      <c r="D1731" s="17" t="s">
        <v>19</v>
      </c>
      <c r="E1731" s="17" t="s">
        <v>842</v>
      </c>
      <c r="F1731" s="17" t="s">
        <v>840</v>
      </c>
      <c r="G1731" s="18" t="n">
        <v>0</v>
      </c>
      <c r="H1731" s="18" t="n">
        <v>95.03</v>
      </c>
      <c r="I1731" s="18" t="n">
        <f aca="false">((I1730 + G1731) - H1731)</f>
        <v>-62692.41</v>
      </c>
      <c r="J1731" s="18" t="n">
        <v>0</v>
      </c>
      <c r="K1731" s="19" t="n">
        <v>0</v>
      </c>
      <c r="L1731" s="17" t="s">
        <v>88</v>
      </c>
    </row>
    <row r="1732" s="11" customFormat="true" ht="10.95" hidden="false" customHeight="true" outlineLevel="0" collapsed="false">
      <c r="A1732" s="16" t="n">
        <v>45224</v>
      </c>
      <c r="B1732" s="17" t="s">
        <v>787</v>
      </c>
      <c r="C1732" s="17" t="s">
        <v>788</v>
      </c>
      <c r="D1732" s="17" t="s">
        <v>19</v>
      </c>
      <c r="E1732" s="17" t="s">
        <v>841</v>
      </c>
      <c r="F1732" s="17" t="s">
        <v>840</v>
      </c>
      <c r="G1732" s="18" t="n">
        <v>0</v>
      </c>
      <c r="H1732" s="18" t="n">
        <v>327.86</v>
      </c>
      <c r="I1732" s="18" t="n">
        <f aca="false">((I1731 + G1732) - H1732)</f>
        <v>-63020.27</v>
      </c>
      <c r="J1732" s="18" t="n">
        <v>0</v>
      </c>
      <c r="K1732" s="19" t="n">
        <v>0</v>
      </c>
      <c r="L1732" s="17" t="s">
        <v>88</v>
      </c>
    </row>
    <row r="1733" s="11" customFormat="true" ht="10.95" hidden="false" customHeight="true" outlineLevel="0" collapsed="false">
      <c r="A1733" s="16" t="n">
        <v>45224</v>
      </c>
      <c r="B1733" s="17" t="s">
        <v>787</v>
      </c>
      <c r="C1733" s="17" t="s">
        <v>788</v>
      </c>
      <c r="D1733" s="17" t="s">
        <v>19</v>
      </c>
      <c r="E1733" s="17" t="s">
        <v>842</v>
      </c>
      <c r="F1733" s="17" t="s">
        <v>840</v>
      </c>
      <c r="G1733" s="18" t="n">
        <v>0</v>
      </c>
      <c r="H1733" s="18" t="n">
        <v>95.03</v>
      </c>
      <c r="I1733" s="18" t="n">
        <f aca="false">((I1732 + G1733) - H1733)</f>
        <v>-63115.3</v>
      </c>
      <c r="J1733" s="18" t="n">
        <v>0</v>
      </c>
      <c r="K1733" s="19" t="n">
        <v>0</v>
      </c>
      <c r="L1733" s="17" t="s">
        <v>88</v>
      </c>
    </row>
    <row r="1734" s="11" customFormat="true" ht="10.95" hidden="false" customHeight="true" outlineLevel="0" collapsed="false">
      <c r="A1734" s="16" t="n">
        <v>45224</v>
      </c>
      <c r="B1734" s="17" t="s">
        <v>787</v>
      </c>
      <c r="C1734" s="17" t="s">
        <v>788</v>
      </c>
      <c r="D1734" s="17" t="s">
        <v>19</v>
      </c>
      <c r="E1734" s="17" t="s">
        <v>841</v>
      </c>
      <c r="F1734" s="17" t="s">
        <v>840</v>
      </c>
      <c r="G1734" s="18" t="n">
        <v>0</v>
      </c>
      <c r="H1734" s="18" t="n">
        <v>327.86</v>
      </c>
      <c r="I1734" s="18" t="n">
        <f aca="false">((I1733 + G1734) - H1734)</f>
        <v>-63443.16</v>
      </c>
      <c r="J1734" s="18" t="n">
        <v>0</v>
      </c>
      <c r="K1734" s="19" t="n">
        <v>0</v>
      </c>
      <c r="L1734" s="17" t="s">
        <v>88</v>
      </c>
    </row>
    <row r="1735" s="11" customFormat="true" ht="10.95" hidden="false" customHeight="true" outlineLevel="0" collapsed="false">
      <c r="A1735" s="16" t="n">
        <v>45224</v>
      </c>
      <c r="B1735" s="17" t="s">
        <v>787</v>
      </c>
      <c r="C1735" s="17" t="s">
        <v>788</v>
      </c>
      <c r="D1735" s="17" t="s">
        <v>19</v>
      </c>
      <c r="E1735" s="17" t="s">
        <v>842</v>
      </c>
      <c r="F1735" s="17" t="s">
        <v>840</v>
      </c>
      <c r="G1735" s="18" t="n">
        <v>0</v>
      </c>
      <c r="H1735" s="18" t="n">
        <v>95.03</v>
      </c>
      <c r="I1735" s="18" t="n">
        <f aca="false">((I1734 + G1735) - H1735)</f>
        <v>-63538.19</v>
      </c>
      <c r="J1735" s="18" t="n">
        <v>0</v>
      </c>
      <c r="K1735" s="19" t="n">
        <v>0</v>
      </c>
      <c r="L1735" s="17" t="s">
        <v>88</v>
      </c>
    </row>
    <row r="1736" s="11" customFormat="true" ht="10.95" hidden="false" customHeight="true" outlineLevel="0" collapsed="false">
      <c r="A1736" s="16" t="n">
        <v>45253</v>
      </c>
      <c r="B1736" s="17" t="s">
        <v>787</v>
      </c>
      <c r="C1736" s="17" t="s">
        <v>788</v>
      </c>
      <c r="D1736" s="17" t="s">
        <v>19</v>
      </c>
      <c r="E1736" s="17" t="s">
        <v>793</v>
      </c>
      <c r="F1736" s="17" t="s">
        <v>843</v>
      </c>
      <c r="G1736" s="18" t="n">
        <v>0</v>
      </c>
      <c r="H1736" s="18" t="n">
        <v>91.11</v>
      </c>
      <c r="I1736" s="18" t="n">
        <f aca="false">((I1735 + G1736) - H1736)</f>
        <v>-63629.3</v>
      </c>
      <c r="J1736" s="18" t="n">
        <v>0</v>
      </c>
      <c r="K1736" s="19" t="n">
        <v>0</v>
      </c>
      <c r="L1736" s="17" t="s">
        <v>88</v>
      </c>
    </row>
    <row r="1737" s="11" customFormat="true" ht="10.95" hidden="false" customHeight="true" outlineLevel="0" collapsed="false">
      <c r="A1737" s="16" t="n">
        <v>45253</v>
      </c>
      <c r="B1737" s="17" t="s">
        <v>787</v>
      </c>
      <c r="C1737" s="17" t="s">
        <v>788</v>
      </c>
      <c r="D1737" s="17" t="s">
        <v>19</v>
      </c>
      <c r="E1737" s="17" t="s">
        <v>795</v>
      </c>
      <c r="F1737" s="17" t="s">
        <v>844</v>
      </c>
      <c r="G1737" s="18" t="n">
        <v>0</v>
      </c>
      <c r="H1737" s="18" t="n">
        <v>488.57</v>
      </c>
      <c r="I1737" s="18" t="n">
        <f aca="false">((I1736 + G1737) - H1737)</f>
        <v>-64117.87</v>
      </c>
      <c r="J1737" s="18" t="n">
        <v>0</v>
      </c>
      <c r="K1737" s="19" t="n">
        <v>0</v>
      </c>
      <c r="L1737" s="17" t="s">
        <v>88</v>
      </c>
    </row>
    <row r="1738" s="11" customFormat="true" ht="10.95" hidden="false" customHeight="true" outlineLevel="0" collapsed="false">
      <c r="A1738" s="16" t="n">
        <v>45253</v>
      </c>
      <c r="B1738" s="17" t="s">
        <v>787</v>
      </c>
      <c r="C1738" s="17" t="s">
        <v>788</v>
      </c>
      <c r="D1738" s="17" t="s">
        <v>19</v>
      </c>
      <c r="E1738" s="17" t="s">
        <v>795</v>
      </c>
      <c r="F1738" s="17" t="s">
        <v>845</v>
      </c>
      <c r="G1738" s="18" t="n">
        <v>0</v>
      </c>
      <c r="H1738" s="18" t="n">
        <v>325.71</v>
      </c>
      <c r="I1738" s="18" t="n">
        <f aca="false">((I1737 + G1738) - H1738)</f>
        <v>-64443.58</v>
      </c>
      <c r="J1738" s="18" t="n">
        <v>0</v>
      </c>
      <c r="K1738" s="19" t="n">
        <v>0</v>
      </c>
      <c r="L1738" s="17" t="s">
        <v>88</v>
      </c>
    </row>
    <row r="1739" s="11" customFormat="true" ht="10.95" hidden="false" customHeight="true" outlineLevel="0" collapsed="false">
      <c r="A1739" s="16" t="n">
        <v>45253</v>
      </c>
      <c r="B1739" s="17" t="s">
        <v>787</v>
      </c>
      <c r="C1739" s="17" t="s">
        <v>788</v>
      </c>
      <c r="D1739" s="17" t="s">
        <v>19</v>
      </c>
      <c r="E1739" s="17" t="s">
        <v>798</v>
      </c>
      <c r="F1739" s="17" t="s">
        <v>846</v>
      </c>
      <c r="G1739" s="18" t="n">
        <v>0</v>
      </c>
      <c r="H1739" s="18" t="n">
        <v>2403.5</v>
      </c>
      <c r="I1739" s="18" t="n">
        <f aca="false">((I1738 + G1739) - H1739)</f>
        <v>-66847.08</v>
      </c>
      <c r="J1739" s="18" t="n">
        <v>0</v>
      </c>
      <c r="K1739" s="19" t="n">
        <v>0</v>
      </c>
      <c r="L1739" s="17" t="s">
        <v>88</v>
      </c>
    </row>
    <row r="1740" s="11" customFormat="true" ht="10.95" hidden="false" customHeight="true" outlineLevel="0" collapsed="false">
      <c r="A1740" s="16" t="n">
        <v>45253</v>
      </c>
      <c r="B1740" s="17" t="s">
        <v>787</v>
      </c>
      <c r="C1740" s="17" t="s">
        <v>788</v>
      </c>
      <c r="D1740" s="17" t="s">
        <v>19</v>
      </c>
      <c r="E1740" s="17" t="s">
        <v>798</v>
      </c>
      <c r="F1740" s="17" t="s">
        <v>846</v>
      </c>
      <c r="G1740" s="18" t="n">
        <v>0</v>
      </c>
      <c r="H1740" s="18" t="n">
        <v>418</v>
      </c>
      <c r="I1740" s="18" t="n">
        <f aca="false">((I1739 + G1740) - H1740)</f>
        <v>-67265.08</v>
      </c>
      <c r="J1740" s="18" t="n">
        <v>0</v>
      </c>
      <c r="K1740" s="19" t="n">
        <v>0</v>
      </c>
      <c r="L1740" s="17" t="s">
        <v>88</v>
      </c>
    </row>
    <row r="1741" s="11" customFormat="true" ht="10.95" hidden="false" customHeight="true" outlineLevel="0" collapsed="false">
      <c r="A1741" s="16" t="n">
        <v>45253</v>
      </c>
      <c r="B1741" s="17" t="s">
        <v>787</v>
      </c>
      <c r="C1741" s="17" t="s">
        <v>788</v>
      </c>
      <c r="D1741" s="17" t="s">
        <v>19</v>
      </c>
      <c r="E1741" s="17" t="s">
        <v>801</v>
      </c>
      <c r="F1741" s="17" t="s">
        <v>847</v>
      </c>
      <c r="G1741" s="18" t="n">
        <v>0</v>
      </c>
      <c r="H1741" s="18" t="n">
        <v>1001</v>
      </c>
      <c r="I1741" s="18" t="n">
        <f aca="false">((I1740 + G1741) - H1741)</f>
        <v>-68266.08</v>
      </c>
      <c r="J1741" s="18" t="n">
        <v>0</v>
      </c>
      <c r="K1741" s="19" t="n">
        <v>0</v>
      </c>
      <c r="L1741" s="17" t="s">
        <v>88</v>
      </c>
    </row>
    <row r="1742" s="11" customFormat="true" ht="10.95" hidden="false" customHeight="true" outlineLevel="0" collapsed="false">
      <c r="A1742" s="16" t="n">
        <v>45253</v>
      </c>
      <c r="B1742" s="17" t="s">
        <v>787</v>
      </c>
      <c r="C1742" s="17" t="s">
        <v>788</v>
      </c>
      <c r="D1742" s="17" t="s">
        <v>19</v>
      </c>
      <c r="E1742" s="17" t="s">
        <v>798</v>
      </c>
      <c r="F1742" s="17" t="s">
        <v>848</v>
      </c>
      <c r="G1742" s="18" t="n">
        <v>0</v>
      </c>
      <c r="H1742" s="18" t="n">
        <v>1672</v>
      </c>
      <c r="I1742" s="18" t="n">
        <f aca="false">((I1741 + G1742) - H1742)</f>
        <v>-69938.08</v>
      </c>
      <c r="J1742" s="18" t="n">
        <v>0</v>
      </c>
      <c r="K1742" s="19" t="n">
        <v>0</v>
      </c>
      <c r="L1742" s="17" t="s">
        <v>88</v>
      </c>
    </row>
    <row r="1743" s="11" customFormat="true" ht="10.95" hidden="false" customHeight="true" outlineLevel="0" collapsed="false">
      <c r="A1743" s="16" t="n">
        <v>45253</v>
      </c>
      <c r="B1743" s="17" t="s">
        <v>787</v>
      </c>
      <c r="C1743" s="17" t="s">
        <v>788</v>
      </c>
      <c r="D1743" s="17" t="s">
        <v>19</v>
      </c>
      <c r="E1743" s="17" t="s">
        <v>849</v>
      </c>
      <c r="F1743" s="17" t="s">
        <v>850</v>
      </c>
      <c r="G1743" s="18" t="n">
        <v>0</v>
      </c>
      <c r="H1743" s="18" t="n">
        <v>642.69</v>
      </c>
      <c r="I1743" s="18" t="n">
        <f aca="false">((I1742 + G1743) - H1743)</f>
        <v>-70580.77</v>
      </c>
      <c r="J1743" s="18" t="n">
        <v>0</v>
      </c>
      <c r="K1743" s="19" t="n">
        <v>0</v>
      </c>
      <c r="L1743" s="17" t="s">
        <v>88</v>
      </c>
    </row>
    <row r="1744" s="11" customFormat="true" ht="10.95" hidden="false" customHeight="true" outlineLevel="0" collapsed="false">
      <c r="A1744" s="16" t="n">
        <v>45253</v>
      </c>
      <c r="B1744" s="17" t="s">
        <v>787</v>
      </c>
      <c r="C1744" s="17" t="s">
        <v>788</v>
      </c>
      <c r="D1744" s="17" t="s">
        <v>19</v>
      </c>
      <c r="E1744" s="17" t="s">
        <v>851</v>
      </c>
      <c r="F1744" s="17" t="s">
        <v>850</v>
      </c>
      <c r="G1744" s="18" t="n">
        <v>0</v>
      </c>
      <c r="H1744" s="18" t="n">
        <v>225.5</v>
      </c>
      <c r="I1744" s="18" t="n">
        <f aca="false">((I1743 + G1744) - H1744)</f>
        <v>-70806.27</v>
      </c>
      <c r="J1744" s="18" t="n">
        <v>0</v>
      </c>
      <c r="K1744" s="19" t="n">
        <v>0</v>
      </c>
      <c r="L1744" s="17" t="s">
        <v>88</v>
      </c>
    </row>
    <row r="1745" s="11" customFormat="true" ht="10.95" hidden="false" customHeight="true" outlineLevel="0" collapsed="false">
      <c r="A1745" s="16" t="n">
        <v>45253</v>
      </c>
      <c r="B1745" s="17" t="s">
        <v>787</v>
      </c>
      <c r="C1745" s="17" t="s">
        <v>788</v>
      </c>
      <c r="D1745" s="17" t="s">
        <v>19</v>
      </c>
      <c r="E1745" s="17" t="s">
        <v>852</v>
      </c>
      <c r="F1745" s="17" t="s">
        <v>850</v>
      </c>
      <c r="G1745" s="18" t="n">
        <v>0</v>
      </c>
      <c r="H1745" s="18" t="n">
        <v>642.69</v>
      </c>
      <c r="I1745" s="18" t="n">
        <f aca="false">((I1744 + G1745) - H1745)</f>
        <v>-71448.96</v>
      </c>
      <c r="J1745" s="18" t="n">
        <v>0</v>
      </c>
      <c r="K1745" s="19" t="n">
        <v>0</v>
      </c>
      <c r="L1745" s="17" t="s">
        <v>88</v>
      </c>
    </row>
    <row r="1746" s="11" customFormat="true" ht="10.95" hidden="false" customHeight="true" outlineLevel="0" collapsed="false">
      <c r="A1746" s="16" t="n">
        <v>45253</v>
      </c>
      <c r="B1746" s="17" t="s">
        <v>787</v>
      </c>
      <c r="C1746" s="17" t="s">
        <v>788</v>
      </c>
      <c r="D1746" s="17" t="s">
        <v>19</v>
      </c>
      <c r="E1746" s="17" t="s">
        <v>851</v>
      </c>
      <c r="F1746" s="17" t="s">
        <v>850</v>
      </c>
      <c r="G1746" s="18" t="n">
        <v>0</v>
      </c>
      <c r="H1746" s="18" t="n">
        <v>225.5</v>
      </c>
      <c r="I1746" s="18" t="n">
        <f aca="false">((I1745 + G1746) - H1746)</f>
        <v>-71674.46</v>
      </c>
      <c r="J1746" s="18" t="n">
        <v>0</v>
      </c>
      <c r="K1746" s="19" t="n">
        <v>0</v>
      </c>
      <c r="L1746" s="17" t="s">
        <v>88</v>
      </c>
    </row>
    <row r="1747" s="11" customFormat="true" ht="10.95" hidden="false" customHeight="true" outlineLevel="0" collapsed="false">
      <c r="A1747" s="16" t="n">
        <v>45253</v>
      </c>
      <c r="B1747" s="17" t="s">
        <v>787</v>
      </c>
      <c r="C1747" s="17" t="s">
        <v>788</v>
      </c>
      <c r="D1747" s="17" t="s">
        <v>19</v>
      </c>
      <c r="E1747" s="17" t="s">
        <v>849</v>
      </c>
      <c r="F1747" s="17" t="s">
        <v>850</v>
      </c>
      <c r="G1747" s="18" t="n">
        <v>0</v>
      </c>
      <c r="H1747" s="18" t="n">
        <v>642.69</v>
      </c>
      <c r="I1747" s="18" t="n">
        <f aca="false">((I1746 + G1747) - H1747)</f>
        <v>-72317.15</v>
      </c>
      <c r="J1747" s="18" t="n">
        <v>0</v>
      </c>
      <c r="K1747" s="19" t="n">
        <v>0</v>
      </c>
      <c r="L1747" s="17" t="s">
        <v>88</v>
      </c>
    </row>
    <row r="1748" s="11" customFormat="true" ht="10.95" hidden="false" customHeight="true" outlineLevel="0" collapsed="false">
      <c r="A1748" s="16" t="n">
        <v>45253</v>
      </c>
      <c r="B1748" s="17" t="s">
        <v>787</v>
      </c>
      <c r="C1748" s="17" t="s">
        <v>788</v>
      </c>
      <c r="D1748" s="17" t="s">
        <v>19</v>
      </c>
      <c r="E1748" s="17" t="s">
        <v>851</v>
      </c>
      <c r="F1748" s="17" t="s">
        <v>850</v>
      </c>
      <c r="G1748" s="18" t="n">
        <v>0</v>
      </c>
      <c r="H1748" s="18" t="n">
        <v>225.5</v>
      </c>
      <c r="I1748" s="18" t="n">
        <f aca="false">((I1747 + G1748) - H1748)</f>
        <v>-72542.65</v>
      </c>
      <c r="J1748" s="18" t="n">
        <v>0</v>
      </c>
      <c r="K1748" s="19" t="n">
        <v>0</v>
      </c>
      <c r="L1748" s="17" t="s">
        <v>88</v>
      </c>
    </row>
    <row r="1749" s="11" customFormat="true" ht="10.95" hidden="false" customHeight="true" outlineLevel="0" collapsed="false">
      <c r="A1749" s="16" t="n">
        <v>45253</v>
      </c>
      <c r="B1749" s="17" t="s">
        <v>787</v>
      </c>
      <c r="C1749" s="17" t="s">
        <v>788</v>
      </c>
      <c r="D1749" s="17" t="s">
        <v>19</v>
      </c>
      <c r="E1749" s="17" t="s">
        <v>852</v>
      </c>
      <c r="F1749" s="17" t="s">
        <v>850</v>
      </c>
      <c r="G1749" s="18" t="n">
        <v>0</v>
      </c>
      <c r="H1749" s="18" t="n">
        <v>642.69</v>
      </c>
      <c r="I1749" s="18" t="n">
        <f aca="false">((I1748 + G1749) - H1749)</f>
        <v>-73185.34</v>
      </c>
      <c r="J1749" s="18" t="n">
        <v>0</v>
      </c>
      <c r="K1749" s="19" t="n">
        <v>0</v>
      </c>
      <c r="L1749" s="17" t="s">
        <v>88</v>
      </c>
    </row>
    <row r="1750" s="11" customFormat="true" ht="10.95" hidden="false" customHeight="true" outlineLevel="0" collapsed="false">
      <c r="A1750" s="16" t="n">
        <v>45253</v>
      </c>
      <c r="B1750" s="17" t="s">
        <v>787</v>
      </c>
      <c r="C1750" s="17" t="s">
        <v>788</v>
      </c>
      <c r="D1750" s="17" t="s">
        <v>19</v>
      </c>
      <c r="E1750" s="17" t="s">
        <v>851</v>
      </c>
      <c r="F1750" s="17" t="s">
        <v>850</v>
      </c>
      <c r="G1750" s="18" t="n">
        <v>0</v>
      </c>
      <c r="H1750" s="18" t="n">
        <v>225.5</v>
      </c>
      <c r="I1750" s="18" t="n">
        <f aca="false">((I1749 + G1750) - H1750)</f>
        <v>-73410.84</v>
      </c>
      <c r="J1750" s="18" t="n">
        <v>0</v>
      </c>
      <c r="K1750" s="19" t="n">
        <v>0</v>
      </c>
      <c r="L1750" s="17" t="s">
        <v>88</v>
      </c>
    </row>
    <row r="1751" s="11" customFormat="true" ht="10.95" hidden="false" customHeight="true" outlineLevel="0" collapsed="false">
      <c r="A1751" s="16" t="n">
        <v>45253</v>
      </c>
      <c r="B1751" s="17" t="s">
        <v>787</v>
      </c>
      <c r="C1751" s="17" t="s">
        <v>788</v>
      </c>
      <c r="D1751" s="17" t="s">
        <v>19</v>
      </c>
      <c r="E1751" s="17" t="s">
        <v>852</v>
      </c>
      <c r="F1751" s="17" t="s">
        <v>850</v>
      </c>
      <c r="G1751" s="18" t="n">
        <v>0</v>
      </c>
      <c r="H1751" s="18" t="n">
        <v>642.7</v>
      </c>
      <c r="I1751" s="18" t="n">
        <f aca="false">((I1750 + G1751) - H1751)</f>
        <v>-74053.54</v>
      </c>
      <c r="J1751" s="18" t="n">
        <v>0</v>
      </c>
      <c r="K1751" s="19" t="n">
        <v>0</v>
      </c>
      <c r="L1751" s="17" t="s">
        <v>88</v>
      </c>
    </row>
    <row r="1752" s="11" customFormat="true" ht="10.95" hidden="false" customHeight="true" outlineLevel="0" collapsed="false">
      <c r="A1752" s="16" t="n">
        <v>45253</v>
      </c>
      <c r="B1752" s="17" t="s">
        <v>787</v>
      </c>
      <c r="C1752" s="17" t="s">
        <v>788</v>
      </c>
      <c r="D1752" s="17" t="s">
        <v>19</v>
      </c>
      <c r="E1752" s="17" t="s">
        <v>851</v>
      </c>
      <c r="F1752" s="17" t="s">
        <v>850</v>
      </c>
      <c r="G1752" s="18" t="n">
        <v>0</v>
      </c>
      <c r="H1752" s="18" t="n">
        <v>225.51</v>
      </c>
      <c r="I1752" s="18" t="n">
        <f aca="false">((I1751 + G1752) - H1752)</f>
        <v>-74279.05</v>
      </c>
      <c r="J1752" s="18" t="n">
        <v>0</v>
      </c>
      <c r="K1752" s="19" t="n">
        <v>0</v>
      </c>
      <c r="L1752" s="17" t="s">
        <v>88</v>
      </c>
    </row>
    <row r="1753" s="11" customFormat="true" ht="10.95" hidden="false" customHeight="true" outlineLevel="0" collapsed="false">
      <c r="A1753" s="16" t="n">
        <v>45253</v>
      </c>
      <c r="B1753" s="17" t="s">
        <v>787</v>
      </c>
      <c r="C1753" s="17" t="s">
        <v>788</v>
      </c>
      <c r="D1753" s="17" t="s">
        <v>19</v>
      </c>
      <c r="E1753" s="17" t="s">
        <v>849</v>
      </c>
      <c r="F1753" s="17" t="s">
        <v>850</v>
      </c>
      <c r="G1753" s="18" t="n">
        <v>0</v>
      </c>
      <c r="H1753" s="18" t="n">
        <v>642.7</v>
      </c>
      <c r="I1753" s="18" t="n">
        <f aca="false">((I1752 + G1753) - H1753)</f>
        <v>-74921.75</v>
      </c>
      <c r="J1753" s="18" t="n">
        <v>0</v>
      </c>
      <c r="K1753" s="19" t="n">
        <v>0</v>
      </c>
      <c r="L1753" s="17" t="s">
        <v>88</v>
      </c>
    </row>
    <row r="1754" s="11" customFormat="true" ht="10.95" hidden="false" customHeight="true" outlineLevel="0" collapsed="false">
      <c r="A1754" s="16" t="n">
        <v>45253</v>
      </c>
      <c r="B1754" s="17" t="s">
        <v>787</v>
      </c>
      <c r="C1754" s="17" t="s">
        <v>788</v>
      </c>
      <c r="D1754" s="17" t="s">
        <v>19</v>
      </c>
      <c r="E1754" s="17" t="s">
        <v>851</v>
      </c>
      <c r="F1754" s="17" t="s">
        <v>850</v>
      </c>
      <c r="G1754" s="18" t="n">
        <v>0</v>
      </c>
      <c r="H1754" s="18" t="n">
        <v>225.51</v>
      </c>
      <c r="I1754" s="18" t="n">
        <f aca="false">((I1753 + G1754) - H1754)</f>
        <v>-75147.26</v>
      </c>
      <c r="J1754" s="18" t="n">
        <v>0</v>
      </c>
      <c r="K1754" s="19" t="n">
        <v>0</v>
      </c>
      <c r="L1754" s="17" t="s">
        <v>88</v>
      </c>
    </row>
    <row r="1755" s="11" customFormat="true" ht="10.95" hidden="false" customHeight="true" outlineLevel="0" collapsed="false">
      <c r="A1755" s="16" t="n">
        <v>45253</v>
      </c>
      <c r="B1755" s="17" t="s">
        <v>787</v>
      </c>
      <c r="C1755" s="17" t="s">
        <v>788</v>
      </c>
      <c r="D1755" s="17" t="s">
        <v>19</v>
      </c>
      <c r="E1755" s="17" t="s">
        <v>852</v>
      </c>
      <c r="F1755" s="17" t="s">
        <v>850</v>
      </c>
      <c r="G1755" s="18" t="n">
        <v>0</v>
      </c>
      <c r="H1755" s="18" t="n">
        <v>642.7</v>
      </c>
      <c r="I1755" s="18" t="n">
        <f aca="false">((I1754 + G1755) - H1755)</f>
        <v>-75789.96</v>
      </c>
      <c r="J1755" s="18" t="n">
        <v>0</v>
      </c>
      <c r="K1755" s="19" t="n">
        <v>0</v>
      </c>
      <c r="L1755" s="17" t="s">
        <v>88</v>
      </c>
    </row>
    <row r="1756" s="11" customFormat="true" ht="10.95" hidden="false" customHeight="true" outlineLevel="0" collapsed="false">
      <c r="A1756" s="16" t="n">
        <v>45253</v>
      </c>
      <c r="B1756" s="17" t="s">
        <v>787</v>
      </c>
      <c r="C1756" s="17" t="s">
        <v>788</v>
      </c>
      <c r="D1756" s="17" t="s">
        <v>19</v>
      </c>
      <c r="E1756" s="17" t="s">
        <v>851</v>
      </c>
      <c r="F1756" s="17" t="s">
        <v>850</v>
      </c>
      <c r="G1756" s="18" t="n">
        <v>0</v>
      </c>
      <c r="H1756" s="18" t="n">
        <v>225.51</v>
      </c>
      <c r="I1756" s="18" t="n">
        <f aca="false">((I1755 + G1756) - H1756)</f>
        <v>-76015.47</v>
      </c>
      <c r="J1756" s="18" t="n">
        <v>0</v>
      </c>
      <c r="K1756" s="19" t="n">
        <v>0</v>
      </c>
      <c r="L1756" s="17" t="s">
        <v>88</v>
      </c>
    </row>
    <row r="1757" s="11" customFormat="true" ht="10.95" hidden="false" customHeight="true" outlineLevel="0" collapsed="false">
      <c r="A1757" s="16" t="n">
        <v>45253</v>
      </c>
      <c r="B1757" s="17" t="s">
        <v>787</v>
      </c>
      <c r="C1757" s="17" t="s">
        <v>788</v>
      </c>
      <c r="D1757" s="17" t="s">
        <v>19</v>
      </c>
      <c r="E1757" s="17" t="s">
        <v>849</v>
      </c>
      <c r="F1757" s="17" t="s">
        <v>850</v>
      </c>
      <c r="G1757" s="18" t="n">
        <v>0</v>
      </c>
      <c r="H1757" s="18" t="n">
        <v>642.7</v>
      </c>
      <c r="I1757" s="18" t="n">
        <f aca="false">((I1756 + G1757) - H1757)</f>
        <v>-76658.17</v>
      </c>
      <c r="J1757" s="18" t="n">
        <v>0</v>
      </c>
      <c r="K1757" s="19" t="n">
        <v>0</v>
      </c>
      <c r="L1757" s="17" t="s">
        <v>88</v>
      </c>
    </row>
    <row r="1758" s="11" customFormat="true" ht="10.95" hidden="false" customHeight="true" outlineLevel="0" collapsed="false">
      <c r="A1758" s="16" t="n">
        <v>45253</v>
      </c>
      <c r="B1758" s="17" t="s">
        <v>787</v>
      </c>
      <c r="C1758" s="17" t="s">
        <v>788</v>
      </c>
      <c r="D1758" s="17" t="s">
        <v>19</v>
      </c>
      <c r="E1758" s="17" t="s">
        <v>851</v>
      </c>
      <c r="F1758" s="17" t="s">
        <v>850</v>
      </c>
      <c r="G1758" s="18" t="n">
        <v>0</v>
      </c>
      <c r="H1758" s="18" t="n">
        <v>225.51</v>
      </c>
      <c r="I1758" s="18" t="n">
        <f aca="false">((I1757 + G1758) - H1758)</f>
        <v>-76883.68</v>
      </c>
      <c r="J1758" s="18" t="n">
        <v>0</v>
      </c>
      <c r="K1758" s="19" t="n">
        <v>0</v>
      </c>
      <c r="L1758" s="17" t="s">
        <v>88</v>
      </c>
    </row>
    <row r="1759" s="11" customFormat="true" ht="10.95" hidden="false" customHeight="true" outlineLevel="0" collapsed="false">
      <c r="A1759" s="16" t="n">
        <v>45253</v>
      </c>
      <c r="B1759" s="17" t="s">
        <v>787</v>
      </c>
      <c r="C1759" s="17" t="s">
        <v>788</v>
      </c>
      <c r="D1759" s="17" t="s">
        <v>19</v>
      </c>
      <c r="E1759" s="17" t="s">
        <v>849</v>
      </c>
      <c r="F1759" s="17" t="s">
        <v>850</v>
      </c>
      <c r="G1759" s="18" t="n">
        <v>0</v>
      </c>
      <c r="H1759" s="18" t="n">
        <v>642.7</v>
      </c>
      <c r="I1759" s="18" t="n">
        <f aca="false">((I1758 + G1759) - H1759)</f>
        <v>-77526.38</v>
      </c>
      <c r="J1759" s="18" t="n">
        <v>0</v>
      </c>
      <c r="K1759" s="19" t="n">
        <v>0</v>
      </c>
      <c r="L1759" s="17" t="s">
        <v>88</v>
      </c>
    </row>
    <row r="1760" s="11" customFormat="true" ht="10.95" hidden="false" customHeight="true" outlineLevel="0" collapsed="false">
      <c r="A1760" s="16" t="n">
        <v>45253</v>
      </c>
      <c r="B1760" s="17" t="s">
        <v>787</v>
      </c>
      <c r="C1760" s="17" t="s">
        <v>788</v>
      </c>
      <c r="D1760" s="17" t="s">
        <v>19</v>
      </c>
      <c r="E1760" s="17" t="s">
        <v>851</v>
      </c>
      <c r="F1760" s="17" t="s">
        <v>850</v>
      </c>
      <c r="G1760" s="18" t="n">
        <v>0</v>
      </c>
      <c r="H1760" s="18" t="n">
        <v>225.51</v>
      </c>
      <c r="I1760" s="18" t="n">
        <f aca="false">((I1759 + G1760) - H1760)</f>
        <v>-77751.89</v>
      </c>
      <c r="J1760" s="18" t="n">
        <v>0</v>
      </c>
      <c r="K1760" s="19" t="n">
        <v>0</v>
      </c>
      <c r="L1760" s="17" t="s">
        <v>88</v>
      </c>
    </row>
    <row r="1761" s="11" customFormat="true" ht="10.95" hidden="false" customHeight="true" outlineLevel="0" collapsed="false">
      <c r="A1761" s="16" t="n">
        <v>45253</v>
      </c>
      <c r="B1761" s="17" t="s">
        <v>787</v>
      </c>
      <c r="C1761" s="17" t="s">
        <v>788</v>
      </c>
      <c r="D1761" s="17" t="s">
        <v>19</v>
      </c>
      <c r="E1761" s="17" t="s">
        <v>849</v>
      </c>
      <c r="F1761" s="17" t="s">
        <v>850</v>
      </c>
      <c r="G1761" s="18" t="n">
        <v>0</v>
      </c>
      <c r="H1761" s="18" t="n">
        <v>642.7</v>
      </c>
      <c r="I1761" s="18" t="n">
        <f aca="false">((I1760 + G1761) - H1761)</f>
        <v>-78394.59</v>
      </c>
      <c r="J1761" s="18" t="n">
        <v>0</v>
      </c>
      <c r="K1761" s="19" t="n">
        <v>0</v>
      </c>
      <c r="L1761" s="17" t="s">
        <v>88</v>
      </c>
    </row>
    <row r="1762" s="11" customFormat="true" ht="10.95" hidden="false" customHeight="true" outlineLevel="0" collapsed="false">
      <c r="A1762" s="16" t="n">
        <v>45253</v>
      </c>
      <c r="B1762" s="17" t="s">
        <v>787</v>
      </c>
      <c r="C1762" s="17" t="s">
        <v>788</v>
      </c>
      <c r="D1762" s="17" t="s">
        <v>19</v>
      </c>
      <c r="E1762" s="17" t="s">
        <v>851</v>
      </c>
      <c r="F1762" s="17" t="s">
        <v>850</v>
      </c>
      <c r="G1762" s="18" t="n">
        <v>0</v>
      </c>
      <c r="H1762" s="18" t="n">
        <v>225.51</v>
      </c>
      <c r="I1762" s="18" t="n">
        <f aca="false">((I1761 + G1762) - H1762)</f>
        <v>-78620.1</v>
      </c>
      <c r="J1762" s="18" t="n">
        <v>0</v>
      </c>
      <c r="K1762" s="19" t="n">
        <v>0</v>
      </c>
      <c r="L1762" s="17" t="s">
        <v>88</v>
      </c>
    </row>
    <row r="1763" s="11" customFormat="true" ht="10.95" hidden="false" customHeight="true" outlineLevel="0" collapsed="false">
      <c r="A1763" s="16" t="n">
        <v>45253</v>
      </c>
      <c r="B1763" s="17" t="s">
        <v>787</v>
      </c>
      <c r="C1763" s="17" t="s">
        <v>788</v>
      </c>
      <c r="D1763" s="17" t="s">
        <v>19</v>
      </c>
      <c r="E1763" s="17" t="s">
        <v>849</v>
      </c>
      <c r="F1763" s="17" t="s">
        <v>850</v>
      </c>
      <c r="G1763" s="18" t="n">
        <v>0</v>
      </c>
      <c r="H1763" s="18" t="n">
        <v>642.7</v>
      </c>
      <c r="I1763" s="18" t="n">
        <f aca="false">((I1762 + G1763) - H1763)</f>
        <v>-79262.8</v>
      </c>
      <c r="J1763" s="18" t="n">
        <v>0</v>
      </c>
      <c r="K1763" s="19" t="n">
        <v>0</v>
      </c>
      <c r="L1763" s="17" t="s">
        <v>88</v>
      </c>
    </row>
    <row r="1764" s="11" customFormat="true" ht="10.95" hidden="false" customHeight="true" outlineLevel="0" collapsed="false">
      <c r="A1764" s="16" t="n">
        <v>45253</v>
      </c>
      <c r="B1764" s="17" t="s">
        <v>787</v>
      </c>
      <c r="C1764" s="17" t="s">
        <v>788</v>
      </c>
      <c r="D1764" s="17" t="s">
        <v>19</v>
      </c>
      <c r="E1764" s="17" t="s">
        <v>851</v>
      </c>
      <c r="F1764" s="17" t="s">
        <v>850</v>
      </c>
      <c r="G1764" s="18" t="n">
        <v>0</v>
      </c>
      <c r="H1764" s="18" t="n">
        <v>225.51</v>
      </c>
      <c r="I1764" s="18" t="n">
        <f aca="false">((I1763 + G1764) - H1764)</f>
        <v>-79488.31</v>
      </c>
      <c r="J1764" s="18" t="n">
        <v>0</v>
      </c>
      <c r="K1764" s="19" t="n">
        <v>0</v>
      </c>
      <c r="L1764" s="17" t="s">
        <v>88</v>
      </c>
    </row>
    <row r="1765" s="11" customFormat="true" ht="10.95" hidden="false" customHeight="true" outlineLevel="0" collapsed="false">
      <c r="A1765" s="16" t="n">
        <v>45253</v>
      </c>
      <c r="B1765" s="17" t="s">
        <v>787</v>
      </c>
      <c r="C1765" s="17" t="s">
        <v>788</v>
      </c>
      <c r="D1765" s="17" t="s">
        <v>19</v>
      </c>
      <c r="E1765" s="17" t="s">
        <v>849</v>
      </c>
      <c r="F1765" s="17" t="s">
        <v>850</v>
      </c>
      <c r="G1765" s="18" t="n">
        <v>0</v>
      </c>
      <c r="H1765" s="18" t="n">
        <v>642.7</v>
      </c>
      <c r="I1765" s="18" t="n">
        <f aca="false">((I1764 + G1765) - H1765)</f>
        <v>-80131.01</v>
      </c>
      <c r="J1765" s="18" t="n">
        <v>0</v>
      </c>
      <c r="K1765" s="19" t="n">
        <v>0</v>
      </c>
      <c r="L1765" s="17" t="s">
        <v>88</v>
      </c>
    </row>
    <row r="1766" s="11" customFormat="true" ht="10.95" hidden="false" customHeight="true" outlineLevel="0" collapsed="false">
      <c r="A1766" s="16" t="n">
        <v>45253</v>
      </c>
      <c r="B1766" s="17" t="s">
        <v>787</v>
      </c>
      <c r="C1766" s="17" t="s">
        <v>788</v>
      </c>
      <c r="D1766" s="17" t="s">
        <v>19</v>
      </c>
      <c r="E1766" s="17" t="s">
        <v>851</v>
      </c>
      <c r="F1766" s="17" t="s">
        <v>850</v>
      </c>
      <c r="G1766" s="18" t="n">
        <v>0</v>
      </c>
      <c r="H1766" s="18" t="n">
        <v>225.51</v>
      </c>
      <c r="I1766" s="18" t="n">
        <f aca="false">((I1765 + G1766) - H1766)</f>
        <v>-80356.52</v>
      </c>
      <c r="J1766" s="18" t="n">
        <v>0</v>
      </c>
      <c r="K1766" s="19" t="n">
        <v>0</v>
      </c>
      <c r="L1766" s="17" t="s">
        <v>88</v>
      </c>
    </row>
    <row r="1767" s="11" customFormat="true" ht="10.95" hidden="false" customHeight="true" outlineLevel="0" collapsed="false">
      <c r="A1767" s="16" t="n">
        <v>45253</v>
      </c>
      <c r="B1767" s="17" t="s">
        <v>787</v>
      </c>
      <c r="C1767" s="17" t="s">
        <v>788</v>
      </c>
      <c r="D1767" s="17" t="s">
        <v>19</v>
      </c>
      <c r="E1767" s="17" t="s">
        <v>853</v>
      </c>
      <c r="F1767" s="17" t="s">
        <v>854</v>
      </c>
      <c r="G1767" s="18" t="n">
        <v>0</v>
      </c>
      <c r="H1767" s="18" t="n">
        <v>2570.63</v>
      </c>
      <c r="I1767" s="18" t="n">
        <f aca="false">((I1766 + G1767) - H1767)</f>
        <v>-82927.15</v>
      </c>
      <c r="J1767" s="18" t="n">
        <v>0</v>
      </c>
      <c r="K1767" s="19" t="n">
        <v>0</v>
      </c>
      <c r="L1767" s="17" t="s">
        <v>88</v>
      </c>
    </row>
    <row r="1768" s="11" customFormat="true" ht="10.95" hidden="false" customHeight="true" outlineLevel="0" collapsed="false">
      <c r="A1768" s="16" t="n">
        <v>45253</v>
      </c>
      <c r="B1768" s="17" t="s">
        <v>787</v>
      </c>
      <c r="C1768" s="17" t="s">
        <v>788</v>
      </c>
      <c r="D1768" s="17" t="s">
        <v>19</v>
      </c>
      <c r="E1768" s="17" t="s">
        <v>855</v>
      </c>
      <c r="F1768" s="17" t="s">
        <v>854</v>
      </c>
      <c r="G1768" s="18" t="n">
        <v>0</v>
      </c>
      <c r="H1768" s="18" t="n">
        <v>2705.92</v>
      </c>
      <c r="I1768" s="18" t="n">
        <f aca="false">((I1767 + G1768) - H1768)</f>
        <v>-85633.07</v>
      </c>
      <c r="J1768" s="18" t="n">
        <v>0</v>
      </c>
      <c r="K1768" s="19" t="n">
        <v>0</v>
      </c>
      <c r="L1768" s="17" t="s">
        <v>88</v>
      </c>
    </row>
    <row r="1769" s="11" customFormat="true" ht="10.95" hidden="false" customHeight="true" outlineLevel="0" collapsed="false">
      <c r="A1769" s="16" t="n">
        <v>45253</v>
      </c>
      <c r="B1769" s="17" t="s">
        <v>787</v>
      </c>
      <c r="C1769" s="17" t="s">
        <v>788</v>
      </c>
      <c r="D1769" s="17" t="s">
        <v>19</v>
      </c>
      <c r="E1769" s="17" t="s">
        <v>856</v>
      </c>
      <c r="F1769" s="17" t="s">
        <v>857</v>
      </c>
      <c r="G1769" s="18" t="n">
        <v>0</v>
      </c>
      <c r="H1769" s="18" t="n">
        <v>1758.85</v>
      </c>
      <c r="I1769" s="18" t="n">
        <f aca="false">((I1768 + G1769) - H1769)</f>
        <v>-87391.92</v>
      </c>
      <c r="J1769" s="18" t="n">
        <v>0</v>
      </c>
      <c r="K1769" s="19" t="n">
        <v>0</v>
      </c>
      <c r="L1769" s="17" t="s">
        <v>88</v>
      </c>
    </row>
    <row r="1770" s="11" customFormat="true" ht="10.95" hidden="false" customHeight="true" outlineLevel="0" collapsed="false">
      <c r="A1770" s="16" t="n">
        <v>45253</v>
      </c>
      <c r="B1770" s="17" t="s">
        <v>787</v>
      </c>
      <c r="C1770" s="17" t="s">
        <v>788</v>
      </c>
      <c r="D1770" s="17" t="s">
        <v>19</v>
      </c>
      <c r="E1770" s="17" t="s">
        <v>789</v>
      </c>
      <c r="F1770" s="17" t="s">
        <v>858</v>
      </c>
      <c r="G1770" s="18" t="n">
        <v>0</v>
      </c>
      <c r="H1770" s="18" t="n">
        <v>1282.64</v>
      </c>
      <c r="I1770" s="18" t="n">
        <f aca="false">((I1769 + G1770) - H1770)</f>
        <v>-88674.56</v>
      </c>
      <c r="J1770" s="18" t="n">
        <v>0</v>
      </c>
      <c r="K1770" s="19" t="n">
        <v>0</v>
      </c>
      <c r="L1770" s="17" t="s">
        <v>88</v>
      </c>
    </row>
    <row r="1771" s="11" customFormat="true" ht="10.95" hidden="false" customHeight="true" outlineLevel="0" collapsed="false">
      <c r="A1771" s="16" t="n">
        <v>45253</v>
      </c>
      <c r="B1771" s="17" t="s">
        <v>787</v>
      </c>
      <c r="C1771" s="17" t="s">
        <v>788</v>
      </c>
      <c r="D1771" s="17" t="s">
        <v>19</v>
      </c>
      <c r="E1771" s="17" t="s">
        <v>859</v>
      </c>
      <c r="F1771" s="17" t="s">
        <v>858</v>
      </c>
      <c r="G1771" s="18" t="n">
        <v>0</v>
      </c>
      <c r="H1771" s="18" t="n">
        <v>112.5</v>
      </c>
      <c r="I1771" s="18" t="n">
        <f aca="false">((I1770 + G1771) - H1771)</f>
        <v>-88787.06</v>
      </c>
      <c r="J1771" s="18" t="n">
        <v>0</v>
      </c>
      <c r="K1771" s="19" t="n">
        <v>0</v>
      </c>
      <c r="L1771" s="17" t="s">
        <v>88</v>
      </c>
    </row>
    <row r="1772" s="11" customFormat="true" ht="10.95" hidden="false" customHeight="true" outlineLevel="0" collapsed="false">
      <c r="A1772" s="16" t="n">
        <v>45253</v>
      </c>
      <c r="B1772" s="17" t="s">
        <v>787</v>
      </c>
      <c r="C1772" s="17" t="s">
        <v>788</v>
      </c>
      <c r="D1772" s="17" t="s">
        <v>19</v>
      </c>
      <c r="E1772" s="17" t="s">
        <v>789</v>
      </c>
      <c r="F1772" s="17" t="s">
        <v>858</v>
      </c>
      <c r="G1772" s="18" t="n">
        <v>0</v>
      </c>
      <c r="H1772" s="18" t="n">
        <v>1282.65</v>
      </c>
      <c r="I1772" s="18" t="n">
        <f aca="false">((I1771 + G1772) - H1772)</f>
        <v>-90069.71</v>
      </c>
      <c r="J1772" s="18" t="n">
        <v>0</v>
      </c>
      <c r="K1772" s="19" t="n">
        <v>0</v>
      </c>
      <c r="L1772" s="17" t="s">
        <v>88</v>
      </c>
    </row>
    <row r="1773" s="11" customFormat="true" ht="10.95" hidden="false" customHeight="true" outlineLevel="0" collapsed="false">
      <c r="A1773" s="16" t="n">
        <v>45253</v>
      </c>
      <c r="B1773" s="17" t="s">
        <v>787</v>
      </c>
      <c r="C1773" s="17" t="s">
        <v>788</v>
      </c>
      <c r="D1773" s="17" t="s">
        <v>19</v>
      </c>
      <c r="E1773" s="17" t="s">
        <v>859</v>
      </c>
      <c r="F1773" s="17" t="s">
        <v>858</v>
      </c>
      <c r="G1773" s="18" t="n">
        <v>0</v>
      </c>
      <c r="H1773" s="18" t="n">
        <v>112.51</v>
      </c>
      <c r="I1773" s="18" t="n">
        <f aca="false">((I1772 + G1773) - H1773)</f>
        <v>-90182.2199999999</v>
      </c>
      <c r="J1773" s="18" t="n">
        <v>0</v>
      </c>
      <c r="K1773" s="19" t="n">
        <v>0</v>
      </c>
      <c r="L1773" s="17" t="s">
        <v>88</v>
      </c>
    </row>
    <row r="1774" s="11" customFormat="true" ht="10.95" hidden="false" customHeight="true" outlineLevel="0" collapsed="false">
      <c r="A1774" s="16" t="n">
        <v>45253</v>
      </c>
      <c r="B1774" s="17" t="s">
        <v>787</v>
      </c>
      <c r="C1774" s="17" t="s">
        <v>788</v>
      </c>
      <c r="D1774" s="17" t="s">
        <v>19</v>
      </c>
      <c r="E1774" s="17" t="s">
        <v>789</v>
      </c>
      <c r="F1774" s="17" t="s">
        <v>858</v>
      </c>
      <c r="G1774" s="18" t="n">
        <v>0</v>
      </c>
      <c r="H1774" s="18" t="n">
        <v>1282.65</v>
      </c>
      <c r="I1774" s="18" t="n">
        <f aca="false">((I1773 + G1774) - H1774)</f>
        <v>-91464.8699999999</v>
      </c>
      <c r="J1774" s="18" t="n">
        <v>0</v>
      </c>
      <c r="K1774" s="19" t="n">
        <v>0</v>
      </c>
      <c r="L1774" s="17" t="s">
        <v>88</v>
      </c>
    </row>
    <row r="1775" s="11" customFormat="true" ht="10.95" hidden="false" customHeight="true" outlineLevel="0" collapsed="false">
      <c r="A1775" s="16" t="n">
        <v>45253</v>
      </c>
      <c r="B1775" s="17" t="s">
        <v>787</v>
      </c>
      <c r="C1775" s="17" t="s">
        <v>788</v>
      </c>
      <c r="D1775" s="17" t="s">
        <v>19</v>
      </c>
      <c r="E1775" s="17" t="s">
        <v>859</v>
      </c>
      <c r="F1775" s="17" t="s">
        <v>858</v>
      </c>
      <c r="G1775" s="18" t="n">
        <v>0</v>
      </c>
      <c r="H1775" s="18" t="n">
        <v>112.51</v>
      </c>
      <c r="I1775" s="18" t="n">
        <f aca="false">((I1774 + G1775) - H1775)</f>
        <v>-91577.3799999999</v>
      </c>
      <c r="J1775" s="18" t="n">
        <v>0</v>
      </c>
      <c r="K1775" s="19" t="n">
        <v>0</v>
      </c>
      <c r="L1775" s="17" t="s">
        <v>88</v>
      </c>
    </row>
    <row r="1776" s="11" customFormat="true" ht="10.95" hidden="false" customHeight="true" outlineLevel="0" collapsed="false">
      <c r="A1776" s="16" t="n">
        <v>45253</v>
      </c>
      <c r="B1776" s="17" t="s">
        <v>787</v>
      </c>
      <c r="C1776" s="17" t="s">
        <v>788</v>
      </c>
      <c r="D1776" s="17" t="s">
        <v>19</v>
      </c>
      <c r="E1776" s="17" t="s">
        <v>789</v>
      </c>
      <c r="F1776" s="17" t="s">
        <v>858</v>
      </c>
      <c r="G1776" s="18" t="n">
        <v>0</v>
      </c>
      <c r="H1776" s="18" t="n">
        <v>1282.65</v>
      </c>
      <c r="I1776" s="18" t="n">
        <f aca="false">((I1775 + G1776) - H1776)</f>
        <v>-92860.0299999999</v>
      </c>
      <c r="J1776" s="18" t="n">
        <v>0</v>
      </c>
      <c r="K1776" s="19" t="n">
        <v>0</v>
      </c>
      <c r="L1776" s="17" t="s">
        <v>88</v>
      </c>
    </row>
    <row r="1777" s="11" customFormat="true" ht="10.95" hidden="false" customHeight="true" outlineLevel="0" collapsed="false">
      <c r="A1777" s="16" t="n">
        <v>45253</v>
      </c>
      <c r="B1777" s="17" t="s">
        <v>787</v>
      </c>
      <c r="C1777" s="17" t="s">
        <v>788</v>
      </c>
      <c r="D1777" s="17" t="s">
        <v>19</v>
      </c>
      <c r="E1777" s="17" t="s">
        <v>859</v>
      </c>
      <c r="F1777" s="17" t="s">
        <v>858</v>
      </c>
      <c r="G1777" s="18" t="n">
        <v>0</v>
      </c>
      <c r="H1777" s="18" t="n">
        <v>112.51</v>
      </c>
      <c r="I1777" s="18" t="n">
        <f aca="false">((I1776 + G1777) - H1777)</f>
        <v>-92972.5399999999</v>
      </c>
      <c r="J1777" s="18" t="n">
        <v>0</v>
      </c>
      <c r="K1777" s="19" t="n">
        <v>0</v>
      </c>
      <c r="L1777" s="17" t="s">
        <v>88</v>
      </c>
    </row>
    <row r="1778" s="11" customFormat="true" ht="10.95" hidden="false" customHeight="true" outlineLevel="0" collapsed="false">
      <c r="A1778" s="16" t="n">
        <v>45253</v>
      </c>
      <c r="B1778" s="17" t="s">
        <v>787</v>
      </c>
      <c r="C1778" s="17" t="s">
        <v>788</v>
      </c>
      <c r="D1778" s="17" t="s">
        <v>19</v>
      </c>
      <c r="E1778" s="17" t="s">
        <v>789</v>
      </c>
      <c r="F1778" s="17" t="s">
        <v>858</v>
      </c>
      <c r="G1778" s="18" t="n">
        <v>0</v>
      </c>
      <c r="H1778" s="18" t="n">
        <v>1282.65</v>
      </c>
      <c r="I1778" s="18" t="n">
        <f aca="false">((I1777 + G1778) - H1778)</f>
        <v>-94255.1899999999</v>
      </c>
      <c r="J1778" s="18" t="n">
        <v>0</v>
      </c>
      <c r="K1778" s="19" t="n">
        <v>0</v>
      </c>
      <c r="L1778" s="17" t="s">
        <v>88</v>
      </c>
    </row>
    <row r="1779" s="11" customFormat="true" ht="10.95" hidden="false" customHeight="true" outlineLevel="0" collapsed="false">
      <c r="A1779" s="16" t="n">
        <v>45253</v>
      </c>
      <c r="B1779" s="17" t="s">
        <v>787</v>
      </c>
      <c r="C1779" s="17" t="s">
        <v>788</v>
      </c>
      <c r="D1779" s="17" t="s">
        <v>19</v>
      </c>
      <c r="E1779" s="17" t="s">
        <v>859</v>
      </c>
      <c r="F1779" s="17" t="s">
        <v>858</v>
      </c>
      <c r="G1779" s="18" t="n">
        <v>0</v>
      </c>
      <c r="H1779" s="18" t="n">
        <v>112.51</v>
      </c>
      <c r="I1779" s="18" t="n">
        <f aca="false">((I1778 + G1779) - H1779)</f>
        <v>-94367.6999999999</v>
      </c>
      <c r="J1779" s="18" t="n">
        <v>0</v>
      </c>
      <c r="K1779" s="19" t="n">
        <v>0</v>
      </c>
      <c r="L1779" s="17" t="s">
        <v>88</v>
      </c>
    </row>
    <row r="1780" s="11" customFormat="true" ht="10.95" hidden="false" customHeight="true" outlineLevel="0" collapsed="false">
      <c r="A1780" s="16" t="n">
        <v>45253</v>
      </c>
      <c r="B1780" s="17" t="s">
        <v>787</v>
      </c>
      <c r="C1780" s="17" t="s">
        <v>788</v>
      </c>
      <c r="D1780" s="17" t="s">
        <v>19</v>
      </c>
      <c r="E1780" s="17" t="s">
        <v>789</v>
      </c>
      <c r="F1780" s="17" t="s">
        <v>858</v>
      </c>
      <c r="G1780" s="18" t="n">
        <v>0</v>
      </c>
      <c r="H1780" s="18" t="n">
        <v>1282.65</v>
      </c>
      <c r="I1780" s="18" t="n">
        <f aca="false">((I1779 + G1780) - H1780)</f>
        <v>-95650.3499999999</v>
      </c>
      <c r="J1780" s="18" t="n">
        <v>0</v>
      </c>
      <c r="K1780" s="19" t="n">
        <v>0</v>
      </c>
      <c r="L1780" s="17" t="s">
        <v>88</v>
      </c>
    </row>
    <row r="1781" s="11" customFormat="true" ht="10.95" hidden="false" customHeight="true" outlineLevel="0" collapsed="false">
      <c r="A1781" s="16" t="n">
        <v>45253</v>
      </c>
      <c r="B1781" s="17" t="s">
        <v>787</v>
      </c>
      <c r="C1781" s="17" t="s">
        <v>788</v>
      </c>
      <c r="D1781" s="17" t="s">
        <v>19</v>
      </c>
      <c r="E1781" s="17" t="s">
        <v>859</v>
      </c>
      <c r="F1781" s="17" t="s">
        <v>858</v>
      </c>
      <c r="G1781" s="18" t="n">
        <v>0</v>
      </c>
      <c r="H1781" s="18" t="n">
        <v>112.51</v>
      </c>
      <c r="I1781" s="18" t="n">
        <f aca="false">((I1780 + G1781) - H1781)</f>
        <v>-95762.8599999999</v>
      </c>
      <c r="J1781" s="18" t="n">
        <v>0</v>
      </c>
      <c r="K1781" s="19" t="n">
        <v>0</v>
      </c>
      <c r="L1781" s="17" t="s">
        <v>88</v>
      </c>
    </row>
    <row r="1782" s="11" customFormat="true" ht="10.95" hidden="false" customHeight="true" outlineLevel="0" collapsed="false">
      <c r="A1782" s="16" t="n">
        <v>45253</v>
      </c>
      <c r="B1782" s="17" t="s">
        <v>787</v>
      </c>
      <c r="C1782" s="17" t="s">
        <v>788</v>
      </c>
      <c r="D1782" s="17" t="s">
        <v>19</v>
      </c>
      <c r="E1782" s="17" t="s">
        <v>789</v>
      </c>
      <c r="F1782" s="17" t="s">
        <v>858</v>
      </c>
      <c r="G1782" s="18" t="n">
        <v>0</v>
      </c>
      <c r="H1782" s="18" t="n">
        <v>1282.65</v>
      </c>
      <c r="I1782" s="18" t="n">
        <f aca="false">((I1781 + G1782) - H1782)</f>
        <v>-97045.5099999999</v>
      </c>
      <c r="J1782" s="18" t="n">
        <v>0</v>
      </c>
      <c r="K1782" s="19" t="n">
        <v>0</v>
      </c>
      <c r="L1782" s="17" t="s">
        <v>88</v>
      </c>
    </row>
    <row r="1783" s="11" customFormat="true" ht="10.95" hidden="false" customHeight="true" outlineLevel="0" collapsed="false">
      <c r="A1783" s="16" t="n">
        <v>45253</v>
      </c>
      <c r="B1783" s="17" t="s">
        <v>787</v>
      </c>
      <c r="C1783" s="17" t="s">
        <v>788</v>
      </c>
      <c r="D1783" s="17" t="s">
        <v>19</v>
      </c>
      <c r="E1783" s="17" t="s">
        <v>859</v>
      </c>
      <c r="F1783" s="17" t="s">
        <v>858</v>
      </c>
      <c r="G1783" s="18" t="n">
        <v>0</v>
      </c>
      <c r="H1783" s="18" t="n">
        <v>112.51</v>
      </c>
      <c r="I1783" s="18" t="n">
        <f aca="false">((I1782 + G1783) - H1783)</f>
        <v>-97158.0199999999</v>
      </c>
      <c r="J1783" s="18" t="n">
        <v>0</v>
      </c>
      <c r="K1783" s="19" t="n">
        <v>0</v>
      </c>
      <c r="L1783" s="17" t="s">
        <v>88</v>
      </c>
    </row>
    <row r="1784" s="11" customFormat="true" ht="10.95" hidden="false" customHeight="true" outlineLevel="0" collapsed="false">
      <c r="A1784" s="16" t="n">
        <v>45253</v>
      </c>
      <c r="B1784" s="17" t="s">
        <v>787</v>
      </c>
      <c r="C1784" s="17" t="s">
        <v>788</v>
      </c>
      <c r="D1784" s="17" t="s">
        <v>19</v>
      </c>
      <c r="E1784" s="17" t="s">
        <v>789</v>
      </c>
      <c r="F1784" s="17" t="s">
        <v>858</v>
      </c>
      <c r="G1784" s="18" t="n">
        <v>0</v>
      </c>
      <c r="H1784" s="18" t="n">
        <v>1282.65</v>
      </c>
      <c r="I1784" s="18" t="n">
        <f aca="false">((I1783 + G1784) - H1784)</f>
        <v>-98440.6699999999</v>
      </c>
      <c r="J1784" s="18" t="n">
        <v>0</v>
      </c>
      <c r="K1784" s="19" t="n">
        <v>0</v>
      </c>
      <c r="L1784" s="17" t="s">
        <v>88</v>
      </c>
    </row>
    <row r="1785" s="11" customFormat="true" ht="10.95" hidden="false" customHeight="true" outlineLevel="0" collapsed="false">
      <c r="A1785" s="16" t="n">
        <v>45253</v>
      </c>
      <c r="B1785" s="17" t="s">
        <v>787</v>
      </c>
      <c r="C1785" s="17" t="s">
        <v>788</v>
      </c>
      <c r="D1785" s="17" t="s">
        <v>19</v>
      </c>
      <c r="E1785" s="17" t="s">
        <v>859</v>
      </c>
      <c r="F1785" s="17" t="s">
        <v>858</v>
      </c>
      <c r="G1785" s="18" t="n">
        <v>0</v>
      </c>
      <c r="H1785" s="18" t="n">
        <v>112.51</v>
      </c>
      <c r="I1785" s="18" t="n">
        <f aca="false">((I1784 + G1785) - H1785)</f>
        <v>-98553.1799999999</v>
      </c>
      <c r="J1785" s="18" t="n">
        <v>0</v>
      </c>
      <c r="K1785" s="19" t="n">
        <v>0</v>
      </c>
      <c r="L1785" s="17" t="s">
        <v>88</v>
      </c>
    </row>
    <row r="1786" s="11" customFormat="true" ht="10.95" hidden="false" customHeight="true" outlineLevel="0" collapsed="false">
      <c r="A1786" s="16" t="n">
        <v>45253</v>
      </c>
      <c r="B1786" s="17" t="s">
        <v>787</v>
      </c>
      <c r="C1786" s="17" t="s">
        <v>788</v>
      </c>
      <c r="D1786" s="17" t="s">
        <v>19</v>
      </c>
      <c r="E1786" s="17" t="s">
        <v>789</v>
      </c>
      <c r="F1786" s="17" t="s">
        <v>858</v>
      </c>
      <c r="G1786" s="18" t="n">
        <v>0</v>
      </c>
      <c r="H1786" s="18" t="n">
        <v>1282.65</v>
      </c>
      <c r="I1786" s="18" t="n">
        <f aca="false">((I1785 + G1786) - H1786)</f>
        <v>-99835.8299999999</v>
      </c>
      <c r="J1786" s="18" t="n">
        <v>0</v>
      </c>
      <c r="K1786" s="19" t="n">
        <v>0</v>
      </c>
      <c r="L1786" s="17" t="s">
        <v>88</v>
      </c>
    </row>
    <row r="1787" s="11" customFormat="true" ht="10.95" hidden="false" customHeight="true" outlineLevel="0" collapsed="false">
      <c r="A1787" s="16" t="n">
        <v>45253</v>
      </c>
      <c r="B1787" s="17" t="s">
        <v>787</v>
      </c>
      <c r="C1787" s="17" t="s">
        <v>788</v>
      </c>
      <c r="D1787" s="17" t="s">
        <v>19</v>
      </c>
      <c r="E1787" s="17" t="s">
        <v>859</v>
      </c>
      <c r="F1787" s="17" t="s">
        <v>858</v>
      </c>
      <c r="G1787" s="18" t="n">
        <v>0</v>
      </c>
      <c r="H1787" s="18" t="n">
        <v>112.51</v>
      </c>
      <c r="I1787" s="18" t="n">
        <f aca="false">((I1786 + G1787) - H1787)</f>
        <v>-99948.3399999999</v>
      </c>
      <c r="J1787" s="18" t="n">
        <v>0</v>
      </c>
      <c r="K1787" s="19" t="n">
        <v>0</v>
      </c>
      <c r="L1787" s="17" t="s">
        <v>88</v>
      </c>
    </row>
    <row r="1788" s="11" customFormat="true" ht="10.95" hidden="false" customHeight="true" outlineLevel="0" collapsed="false">
      <c r="A1788" s="16" t="n">
        <v>45253</v>
      </c>
      <c r="B1788" s="17" t="s">
        <v>787</v>
      </c>
      <c r="C1788" s="17" t="s">
        <v>788</v>
      </c>
      <c r="D1788" s="17" t="s">
        <v>19</v>
      </c>
      <c r="E1788" s="17" t="s">
        <v>789</v>
      </c>
      <c r="F1788" s="17" t="s">
        <v>858</v>
      </c>
      <c r="G1788" s="18" t="n">
        <v>0</v>
      </c>
      <c r="H1788" s="18" t="n">
        <v>1282.65</v>
      </c>
      <c r="I1788" s="18" t="n">
        <f aca="false">((I1787 + G1788) - H1788)</f>
        <v>-101230.99</v>
      </c>
      <c r="J1788" s="18" t="n">
        <v>0</v>
      </c>
      <c r="K1788" s="19" t="n">
        <v>0</v>
      </c>
      <c r="L1788" s="17" t="s">
        <v>88</v>
      </c>
    </row>
    <row r="1789" s="11" customFormat="true" ht="10.95" hidden="false" customHeight="true" outlineLevel="0" collapsed="false">
      <c r="A1789" s="16" t="n">
        <v>45253</v>
      </c>
      <c r="B1789" s="17" t="s">
        <v>787</v>
      </c>
      <c r="C1789" s="17" t="s">
        <v>788</v>
      </c>
      <c r="D1789" s="17" t="s">
        <v>19</v>
      </c>
      <c r="E1789" s="17" t="s">
        <v>859</v>
      </c>
      <c r="F1789" s="17" t="s">
        <v>858</v>
      </c>
      <c r="G1789" s="18" t="n">
        <v>0</v>
      </c>
      <c r="H1789" s="18" t="n">
        <v>112.51</v>
      </c>
      <c r="I1789" s="18" t="n">
        <f aca="false">((I1788 + G1789) - H1789)</f>
        <v>-101343.5</v>
      </c>
      <c r="J1789" s="18" t="n">
        <v>0</v>
      </c>
      <c r="K1789" s="19" t="n">
        <v>0</v>
      </c>
      <c r="L1789" s="17" t="s">
        <v>88</v>
      </c>
    </row>
    <row r="1790" s="11" customFormat="true" ht="10.95" hidden="false" customHeight="true" outlineLevel="0" collapsed="false">
      <c r="A1790" s="16" t="n">
        <v>45253</v>
      </c>
      <c r="B1790" s="17" t="s">
        <v>787</v>
      </c>
      <c r="C1790" s="17" t="s">
        <v>788</v>
      </c>
      <c r="D1790" s="17" t="s">
        <v>19</v>
      </c>
      <c r="E1790" s="17" t="s">
        <v>789</v>
      </c>
      <c r="F1790" s="17" t="s">
        <v>858</v>
      </c>
      <c r="G1790" s="18" t="n">
        <v>0</v>
      </c>
      <c r="H1790" s="18" t="n">
        <v>1282.65</v>
      </c>
      <c r="I1790" s="18" t="n">
        <f aca="false">((I1789 + G1790) - H1790)</f>
        <v>-102626.15</v>
      </c>
      <c r="J1790" s="18" t="n">
        <v>0</v>
      </c>
      <c r="K1790" s="19" t="n">
        <v>0</v>
      </c>
      <c r="L1790" s="17" t="s">
        <v>88</v>
      </c>
    </row>
    <row r="1791" s="11" customFormat="true" ht="10.95" hidden="false" customHeight="true" outlineLevel="0" collapsed="false">
      <c r="A1791" s="16" t="n">
        <v>45253</v>
      </c>
      <c r="B1791" s="17" t="s">
        <v>787</v>
      </c>
      <c r="C1791" s="17" t="s">
        <v>788</v>
      </c>
      <c r="D1791" s="17" t="s">
        <v>19</v>
      </c>
      <c r="E1791" s="17" t="s">
        <v>859</v>
      </c>
      <c r="F1791" s="17" t="s">
        <v>858</v>
      </c>
      <c r="G1791" s="18" t="n">
        <v>0</v>
      </c>
      <c r="H1791" s="18" t="n">
        <v>112.51</v>
      </c>
      <c r="I1791" s="18" t="n">
        <f aca="false">((I1790 + G1791) - H1791)</f>
        <v>-102738.66</v>
      </c>
      <c r="J1791" s="18" t="n">
        <v>0</v>
      </c>
      <c r="K1791" s="19" t="n">
        <v>0</v>
      </c>
      <c r="L1791" s="17" t="s">
        <v>88</v>
      </c>
    </row>
    <row r="1792" s="11" customFormat="true" ht="10.95" hidden="false" customHeight="true" outlineLevel="0" collapsed="false">
      <c r="A1792" s="16" t="n">
        <v>45253</v>
      </c>
      <c r="B1792" s="17" t="s">
        <v>787</v>
      </c>
      <c r="C1792" s="17" t="s">
        <v>788</v>
      </c>
      <c r="D1792" s="17" t="s">
        <v>19</v>
      </c>
      <c r="E1792" s="17" t="s">
        <v>789</v>
      </c>
      <c r="F1792" s="17" t="s">
        <v>858</v>
      </c>
      <c r="G1792" s="18" t="n">
        <v>0</v>
      </c>
      <c r="H1792" s="18" t="n">
        <v>1282.65</v>
      </c>
      <c r="I1792" s="18" t="n">
        <f aca="false">((I1791 + G1792) - H1792)</f>
        <v>-104021.31</v>
      </c>
      <c r="J1792" s="18" t="n">
        <v>0</v>
      </c>
      <c r="K1792" s="19" t="n">
        <v>0</v>
      </c>
      <c r="L1792" s="17" t="s">
        <v>88</v>
      </c>
    </row>
    <row r="1793" s="11" customFormat="true" ht="10.95" hidden="false" customHeight="true" outlineLevel="0" collapsed="false">
      <c r="A1793" s="16" t="n">
        <v>45253</v>
      </c>
      <c r="B1793" s="17" t="s">
        <v>787</v>
      </c>
      <c r="C1793" s="17" t="s">
        <v>788</v>
      </c>
      <c r="D1793" s="17" t="s">
        <v>19</v>
      </c>
      <c r="E1793" s="17" t="s">
        <v>859</v>
      </c>
      <c r="F1793" s="17" t="s">
        <v>858</v>
      </c>
      <c r="G1793" s="18" t="n">
        <v>0</v>
      </c>
      <c r="H1793" s="18" t="n">
        <v>112.51</v>
      </c>
      <c r="I1793" s="18" t="n">
        <f aca="false">((I1792 + G1793) - H1793)</f>
        <v>-104133.82</v>
      </c>
      <c r="J1793" s="18" t="n">
        <v>0</v>
      </c>
      <c r="K1793" s="19" t="n">
        <v>0</v>
      </c>
      <c r="L1793" s="17" t="s">
        <v>88</v>
      </c>
    </row>
    <row r="1794" s="11" customFormat="true" ht="10.95" hidden="false" customHeight="true" outlineLevel="0" collapsed="false">
      <c r="A1794" s="16" t="n">
        <v>45253</v>
      </c>
      <c r="B1794" s="17" t="s">
        <v>787</v>
      </c>
      <c r="C1794" s="17" t="s">
        <v>788</v>
      </c>
      <c r="D1794" s="17" t="s">
        <v>19</v>
      </c>
      <c r="E1794" s="17" t="s">
        <v>795</v>
      </c>
      <c r="F1794" s="17" t="s">
        <v>860</v>
      </c>
      <c r="G1794" s="18" t="n">
        <v>0</v>
      </c>
      <c r="H1794" s="18" t="n">
        <v>487.56</v>
      </c>
      <c r="I1794" s="18" t="n">
        <f aca="false">((I1793 + G1794) - H1794)</f>
        <v>-104621.38</v>
      </c>
      <c r="J1794" s="18" t="n">
        <v>0</v>
      </c>
      <c r="K1794" s="19" t="n">
        <v>0</v>
      </c>
      <c r="L1794" s="17" t="s">
        <v>88</v>
      </c>
    </row>
    <row r="1795" s="11" customFormat="true" ht="10.95" hidden="false" customHeight="true" outlineLevel="0" collapsed="false">
      <c r="A1795" s="16" t="n">
        <v>45253</v>
      </c>
      <c r="B1795" s="17" t="s">
        <v>787</v>
      </c>
      <c r="C1795" s="17" t="s">
        <v>788</v>
      </c>
      <c r="D1795" s="17" t="s">
        <v>19</v>
      </c>
      <c r="E1795" s="17" t="s">
        <v>861</v>
      </c>
      <c r="F1795" s="17" t="s">
        <v>860</v>
      </c>
      <c r="G1795" s="18" t="n">
        <v>0</v>
      </c>
      <c r="H1795" s="18" t="n">
        <v>125.01</v>
      </c>
      <c r="I1795" s="18" t="n">
        <f aca="false">((I1794 + G1795) - H1795)</f>
        <v>-104746.39</v>
      </c>
      <c r="J1795" s="18" t="n">
        <v>0</v>
      </c>
      <c r="K1795" s="19" t="n">
        <v>0</v>
      </c>
      <c r="L1795" s="17" t="s">
        <v>88</v>
      </c>
    </row>
    <row r="1796" s="11" customFormat="true" ht="10.95" hidden="false" customHeight="true" outlineLevel="0" collapsed="false">
      <c r="A1796" s="16" t="n">
        <v>45253</v>
      </c>
      <c r="B1796" s="17" t="s">
        <v>787</v>
      </c>
      <c r="C1796" s="17" t="s">
        <v>788</v>
      </c>
      <c r="D1796" s="17" t="s">
        <v>19</v>
      </c>
      <c r="E1796" s="17" t="s">
        <v>795</v>
      </c>
      <c r="F1796" s="17" t="s">
        <v>860</v>
      </c>
      <c r="G1796" s="18" t="n">
        <v>0</v>
      </c>
      <c r="H1796" s="18" t="n">
        <v>487.56</v>
      </c>
      <c r="I1796" s="18" t="n">
        <f aca="false">((I1795 + G1796) - H1796)</f>
        <v>-105233.95</v>
      </c>
      <c r="J1796" s="18" t="n">
        <v>0</v>
      </c>
      <c r="K1796" s="19" t="n">
        <v>0</v>
      </c>
      <c r="L1796" s="17" t="s">
        <v>88</v>
      </c>
    </row>
    <row r="1797" s="11" customFormat="true" ht="10.95" hidden="false" customHeight="true" outlineLevel="0" collapsed="false">
      <c r="A1797" s="16" t="n">
        <v>45253</v>
      </c>
      <c r="B1797" s="17" t="s">
        <v>787</v>
      </c>
      <c r="C1797" s="17" t="s">
        <v>788</v>
      </c>
      <c r="D1797" s="17" t="s">
        <v>19</v>
      </c>
      <c r="E1797" s="17" t="s">
        <v>861</v>
      </c>
      <c r="F1797" s="17" t="s">
        <v>860</v>
      </c>
      <c r="G1797" s="18" t="n">
        <v>0</v>
      </c>
      <c r="H1797" s="18" t="n">
        <v>125.01</v>
      </c>
      <c r="I1797" s="18" t="n">
        <f aca="false">((I1796 + G1797) - H1797)</f>
        <v>-105358.96</v>
      </c>
      <c r="J1797" s="18" t="n">
        <v>0</v>
      </c>
      <c r="K1797" s="19" t="n">
        <v>0</v>
      </c>
      <c r="L1797" s="17" t="s">
        <v>88</v>
      </c>
    </row>
    <row r="1798" s="11" customFormat="true" ht="10.95" hidden="false" customHeight="true" outlineLevel="0" collapsed="false">
      <c r="A1798" s="16" t="n">
        <v>45253</v>
      </c>
      <c r="B1798" s="17" t="s">
        <v>787</v>
      </c>
      <c r="C1798" s="17" t="s">
        <v>788</v>
      </c>
      <c r="D1798" s="17" t="s">
        <v>19</v>
      </c>
      <c r="E1798" s="17" t="s">
        <v>795</v>
      </c>
      <c r="F1798" s="17" t="s">
        <v>860</v>
      </c>
      <c r="G1798" s="18" t="n">
        <v>0</v>
      </c>
      <c r="H1798" s="18" t="n">
        <v>487.56</v>
      </c>
      <c r="I1798" s="18" t="n">
        <f aca="false">((I1797 + G1798) - H1798)</f>
        <v>-105846.52</v>
      </c>
      <c r="J1798" s="18" t="n">
        <v>0</v>
      </c>
      <c r="K1798" s="19" t="n">
        <v>0</v>
      </c>
      <c r="L1798" s="17" t="s">
        <v>88</v>
      </c>
    </row>
    <row r="1799" s="11" customFormat="true" ht="10.95" hidden="false" customHeight="true" outlineLevel="0" collapsed="false">
      <c r="A1799" s="16" t="n">
        <v>45253</v>
      </c>
      <c r="B1799" s="17" t="s">
        <v>787</v>
      </c>
      <c r="C1799" s="17" t="s">
        <v>788</v>
      </c>
      <c r="D1799" s="17" t="s">
        <v>19</v>
      </c>
      <c r="E1799" s="17" t="s">
        <v>861</v>
      </c>
      <c r="F1799" s="17" t="s">
        <v>860</v>
      </c>
      <c r="G1799" s="18" t="n">
        <v>0</v>
      </c>
      <c r="H1799" s="18" t="n">
        <v>125.01</v>
      </c>
      <c r="I1799" s="18" t="n">
        <f aca="false">((I1798 + G1799) - H1799)</f>
        <v>-105971.53</v>
      </c>
      <c r="J1799" s="18" t="n">
        <v>0</v>
      </c>
      <c r="K1799" s="19" t="n">
        <v>0</v>
      </c>
      <c r="L1799" s="17" t="s">
        <v>88</v>
      </c>
    </row>
    <row r="1800" s="11" customFormat="true" ht="10.95" hidden="false" customHeight="true" outlineLevel="0" collapsed="false">
      <c r="A1800" s="16" t="n">
        <v>45253</v>
      </c>
      <c r="B1800" s="17" t="s">
        <v>787</v>
      </c>
      <c r="C1800" s="17" t="s">
        <v>788</v>
      </c>
      <c r="D1800" s="17" t="s">
        <v>19</v>
      </c>
      <c r="E1800" s="17" t="s">
        <v>789</v>
      </c>
      <c r="F1800" s="17" t="s">
        <v>862</v>
      </c>
      <c r="G1800" s="18" t="n">
        <v>0</v>
      </c>
      <c r="H1800" s="18" t="n">
        <v>2458.41</v>
      </c>
      <c r="I1800" s="18" t="n">
        <f aca="false">((I1799 + G1800) - H1800)</f>
        <v>-108429.94</v>
      </c>
      <c r="J1800" s="18" t="n">
        <v>0</v>
      </c>
      <c r="K1800" s="19" t="n">
        <v>0</v>
      </c>
      <c r="L1800" s="17" t="s">
        <v>88</v>
      </c>
    </row>
    <row r="1801" s="11" customFormat="true" ht="10.95" hidden="false" customHeight="true" outlineLevel="0" collapsed="false">
      <c r="A1801" s="16" t="n">
        <v>45253</v>
      </c>
      <c r="B1801" s="17" t="s">
        <v>787</v>
      </c>
      <c r="C1801" s="17" t="s">
        <v>788</v>
      </c>
      <c r="D1801" s="17" t="s">
        <v>19</v>
      </c>
      <c r="E1801" s="17" t="s">
        <v>791</v>
      </c>
      <c r="F1801" s="17" t="s">
        <v>862</v>
      </c>
      <c r="G1801" s="18" t="n">
        <v>0</v>
      </c>
      <c r="H1801" s="18" t="n">
        <v>61.37</v>
      </c>
      <c r="I1801" s="18" t="n">
        <f aca="false">((I1800 + G1801) - H1801)</f>
        <v>-108491.31</v>
      </c>
      <c r="J1801" s="18" t="n">
        <v>0</v>
      </c>
      <c r="K1801" s="19" t="n">
        <v>0</v>
      </c>
      <c r="L1801" s="17" t="s">
        <v>88</v>
      </c>
    </row>
    <row r="1802" s="11" customFormat="true" ht="10.95" hidden="false" customHeight="true" outlineLevel="0" collapsed="false">
      <c r="A1802" s="16" t="n">
        <v>45253</v>
      </c>
      <c r="B1802" s="17" t="s">
        <v>787</v>
      </c>
      <c r="C1802" s="17" t="s">
        <v>788</v>
      </c>
      <c r="D1802" s="17" t="s">
        <v>19</v>
      </c>
      <c r="E1802" s="17" t="s">
        <v>792</v>
      </c>
      <c r="F1802" s="17" t="s">
        <v>862</v>
      </c>
      <c r="G1802" s="18" t="n">
        <v>0</v>
      </c>
      <c r="H1802" s="18" t="n">
        <v>225.03</v>
      </c>
      <c r="I1802" s="18" t="n">
        <f aca="false">((I1801 + G1802) - H1802)</f>
        <v>-108716.34</v>
      </c>
      <c r="J1802" s="18" t="n">
        <v>0</v>
      </c>
      <c r="K1802" s="19" t="n">
        <v>0</v>
      </c>
      <c r="L1802" s="17" t="s">
        <v>88</v>
      </c>
    </row>
    <row r="1803" s="11" customFormat="true" ht="10.95" hidden="false" customHeight="true" outlineLevel="0" collapsed="false">
      <c r="A1803" s="16" t="n">
        <v>45253</v>
      </c>
      <c r="B1803" s="17" t="s">
        <v>787</v>
      </c>
      <c r="C1803" s="17" t="s">
        <v>788</v>
      </c>
      <c r="D1803" s="17" t="s">
        <v>19</v>
      </c>
      <c r="E1803" s="17" t="s">
        <v>789</v>
      </c>
      <c r="F1803" s="17" t="s">
        <v>862</v>
      </c>
      <c r="G1803" s="18" t="n">
        <v>0</v>
      </c>
      <c r="H1803" s="18" t="n">
        <v>2458.4</v>
      </c>
      <c r="I1803" s="18" t="n">
        <f aca="false">((I1802 + G1803) - H1803)</f>
        <v>-111174.74</v>
      </c>
      <c r="J1803" s="18" t="n">
        <v>0</v>
      </c>
      <c r="K1803" s="19" t="n">
        <v>0</v>
      </c>
      <c r="L1803" s="17" t="s">
        <v>88</v>
      </c>
    </row>
    <row r="1804" s="11" customFormat="true" ht="10.95" hidden="false" customHeight="true" outlineLevel="0" collapsed="false">
      <c r="A1804" s="16" t="n">
        <v>45253</v>
      </c>
      <c r="B1804" s="17" t="s">
        <v>787</v>
      </c>
      <c r="C1804" s="17" t="s">
        <v>788</v>
      </c>
      <c r="D1804" s="17" t="s">
        <v>19</v>
      </c>
      <c r="E1804" s="17" t="s">
        <v>791</v>
      </c>
      <c r="F1804" s="17" t="s">
        <v>862</v>
      </c>
      <c r="G1804" s="18" t="n">
        <v>0</v>
      </c>
      <c r="H1804" s="18" t="n">
        <v>61.37</v>
      </c>
      <c r="I1804" s="18" t="n">
        <f aca="false">((I1803 + G1804) - H1804)</f>
        <v>-111236.11</v>
      </c>
      <c r="J1804" s="18" t="n">
        <v>0</v>
      </c>
      <c r="K1804" s="19" t="n">
        <v>0</v>
      </c>
      <c r="L1804" s="17" t="s">
        <v>88</v>
      </c>
    </row>
    <row r="1805" s="11" customFormat="true" ht="10.95" hidden="false" customHeight="true" outlineLevel="0" collapsed="false">
      <c r="A1805" s="16" t="n">
        <v>45253</v>
      </c>
      <c r="B1805" s="17" t="s">
        <v>787</v>
      </c>
      <c r="C1805" s="17" t="s">
        <v>788</v>
      </c>
      <c r="D1805" s="17" t="s">
        <v>19</v>
      </c>
      <c r="E1805" s="17" t="s">
        <v>792</v>
      </c>
      <c r="F1805" s="17" t="s">
        <v>862</v>
      </c>
      <c r="G1805" s="18" t="n">
        <v>0</v>
      </c>
      <c r="H1805" s="18" t="n">
        <v>225.03</v>
      </c>
      <c r="I1805" s="18" t="n">
        <f aca="false">((I1804 + G1805) - H1805)</f>
        <v>-111461.14</v>
      </c>
      <c r="J1805" s="18" t="n">
        <v>0</v>
      </c>
      <c r="K1805" s="19" t="n">
        <v>0</v>
      </c>
      <c r="L1805" s="17" t="s">
        <v>88</v>
      </c>
    </row>
    <row r="1806" s="11" customFormat="true" ht="10.95" hidden="false" customHeight="true" outlineLevel="0" collapsed="false">
      <c r="A1806" s="16" t="n">
        <v>45253</v>
      </c>
      <c r="B1806" s="17" t="s">
        <v>787</v>
      </c>
      <c r="C1806" s="17" t="s">
        <v>788</v>
      </c>
      <c r="D1806" s="17" t="s">
        <v>19</v>
      </c>
      <c r="E1806" s="17" t="s">
        <v>789</v>
      </c>
      <c r="F1806" s="17" t="s">
        <v>862</v>
      </c>
      <c r="G1806" s="18" t="n">
        <v>0</v>
      </c>
      <c r="H1806" s="18" t="n">
        <v>2458.4</v>
      </c>
      <c r="I1806" s="18" t="n">
        <f aca="false">((I1805 + G1806) - H1806)</f>
        <v>-113919.54</v>
      </c>
      <c r="J1806" s="18" t="n">
        <v>0</v>
      </c>
      <c r="K1806" s="19" t="n">
        <v>0</v>
      </c>
      <c r="L1806" s="17" t="s">
        <v>88</v>
      </c>
    </row>
    <row r="1807" s="11" customFormat="true" ht="10.95" hidden="false" customHeight="true" outlineLevel="0" collapsed="false">
      <c r="A1807" s="16" t="n">
        <v>45253</v>
      </c>
      <c r="B1807" s="17" t="s">
        <v>787</v>
      </c>
      <c r="C1807" s="17" t="s">
        <v>788</v>
      </c>
      <c r="D1807" s="17" t="s">
        <v>19</v>
      </c>
      <c r="E1807" s="17" t="s">
        <v>791</v>
      </c>
      <c r="F1807" s="17" t="s">
        <v>862</v>
      </c>
      <c r="G1807" s="18" t="n">
        <v>0</v>
      </c>
      <c r="H1807" s="18" t="n">
        <v>61.37</v>
      </c>
      <c r="I1807" s="18" t="n">
        <f aca="false">((I1806 + G1807) - H1807)</f>
        <v>-113980.91</v>
      </c>
      <c r="J1807" s="18" t="n">
        <v>0</v>
      </c>
      <c r="K1807" s="19" t="n">
        <v>0</v>
      </c>
      <c r="L1807" s="17" t="s">
        <v>88</v>
      </c>
    </row>
    <row r="1808" s="11" customFormat="true" ht="10.95" hidden="false" customHeight="true" outlineLevel="0" collapsed="false">
      <c r="A1808" s="16" t="n">
        <v>45253</v>
      </c>
      <c r="B1808" s="17" t="s">
        <v>787</v>
      </c>
      <c r="C1808" s="17" t="s">
        <v>788</v>
      </c>
      <c r="D1808" s="17" t="s">
        <v>19</v>
      </c>
      <c r="E1808" s="17" t="s">
        <v>792</v>
      </c>
      <c r="F1808" s="17" t="s">
        <v>862</v>
      </c>
      <c r="G1808" s="18" t="n">
        <v>0</v>
      </c>
      <c r="H1808" s="18" t="n">
        <v>225.03</v>
      </c>
      <c r="I1808" s="18" t="n">
        <f aca="false">((I1807 + G1808) - H1808)</f>
        <v>-114205.94</v>
      </c>
      <c r="J1808" s="18" t="n">
        <v>0</v>
      </c>
      <c r="K1808" s="19" t="n">
        <v>0</v>
      </c>
      <c r="L1808" s="17" t="s">
        <v>88</v>
      </c>
    </row>
    <row r="1809" s="11" customFormat="true" ht="10.95" hidden="false" customHeight="true" outlineLevel="0" collapsed="false">
      <c r="A1809" s="16" t="n">
        <v>45253</v>
      </c>
      <c r="B1809" s="17" t="s">
        <v>787</v>
      </c>
      <c r="C1809" s="17" t="s">
        <v>788</v>
      </c>
      <c r="D1809" s="17" t="s">
        <v>19</v>
      </c>
      <c r="E1809" s="17" t="s">
        <v>789</v>
      </c>
      <c r="F1809" s="17" t="s">
        <v>862</v>
      </c>
      <c r="G1809" s="18" t="n">
        <v>0</v>
      </c>
      <c r="H1809" s="18" t="n">
        <v>2458.4</v>
      </c>
      <c r="I1809" s="18" t="n">
        <f aca="false">((I1808 + G1809) - H1809)</f>
        <v>-116664.34</v>
      </c>
      <c r="J1809" s="18" t="n">
        <v>0</v>
      </c>
      <c r="K1809" s="19" t="n">
        <v>0</v>
      </c>
      <c r="L1809" s="17" t="s">
        <v>88</v>
      </c>
    </row>
    <row r="1810" s="11" customFormat="true" ht="10.95" hidden="false" customHeight="true" outlineLevel="0" collapsed="false">
      <c r="A1810" s="16" t="n">
        <v>45253</v>
      </c>
      <c r="B1810" s="17" t="s">
        <v>787</v>
      </c>
      <c r="C1810" s="17" t="s">
        <v>788</v>
      </c>
      <c r="D1810" s="17" t="s">
        <v>19</v>
      </c>
      <c r="E1810" s="17" t="s">
        <v>791</v>
      </c>
      <c r="F1810" s="17" t="s">
        <v>862</v>
      </c>
      <c r="G1810" s="18" t="n">
        <v>0</v>
      </c>
      <c r="H1810" s="18" t="n">
        <v>61.37</v>
      </c>
      <c r="I1810" s="18" t="n">
        <f aca="false">((I1809 + G1810) - H1810)</f>
        <v>-116725.71</v>
      </c>
      <c r="J1810" s="18" t="n">
        <v>0</v>
      </c>
      <c r="K1810" s="19" t="n">
        <v>0</v>
      </c>
      <c r="L1810" s="17" t="s">
        <v>88</v>
      </c>
    </row>
    <row r="1811" s="11" customFormat="true" ht="10.95" hidden="false" customHeight="true" outlineLevel="0" collapsed="false">
      <c r="A1811" s="16" t="n">
        <v>45253</v>
      </c>
      <c r="B1811" s="17" t="s">
        <v>787</v>
      </c>
      <c r="C1811" s="17" t="s">
        <v>788</v>
      </c>
      <c r="D1811" s="17" t="s">
        <v>19</v>
      </c>
      <c r="E1811" s="17" t="s">
        <v>792</v>
      </c>
      <c r="F1811" s="17" t="s">
        <v>862</v>
      </c>
      <c r="G1811" s="18" t="n">
        <v>0</v>
      </c>
      <c r="H1811" s="18" t="n">
        <v>225.03</v>
      </c>
      <c r="I1811" s="18" t="n">
        <f aca="false">((I1810 + G1811) - H1811)</f>
        <v>-116950.74</v>
      </c>
      <c r="J1811" s="18" t="n">
        <v>0</v>
      </c>
      <c r="K1811" s="19" t="n">
        <v>0</v>
      </c>
      <c r="L1811" s="17" t="s">
        <v>88</v>
      </c>
    </row>
    <row r="1812" s="11" customFormat="true" ht="10.95" hidden="false" customHeight="true" outlineLevel="0" collapsed="false">
      <c r="A1812" s="16" t="n">
        <v>45253</v>
      </c>
      <c r="B1812" s="17" t="s">
        <v>787</v>
      </c>
      <c r="C1812" s="17" t="s">
        <v>788</v>
      </c>
      <c r="D1812" s="17" t="s">
        <v>19</v>
      </c>
      <c r="E1812" s="17" t="s">
        <v>789</v>
      </c>
      <c r="F1812" s="17" t="s">
        <v>862</v>
      </c>
      <c r="G1812" s="18" t="n">
        <v>0</v>
      </c>
      <c r="H1812" s="18" t="n">
        <v>2458.4</v>
      </c>
      <c r="I1812" s="18" t="n">
        <f aca="false">((I1811 + G1812) - H1812)</f>
        <v>-119409.14</v>
      </c>
      <c r="J1812" s="18" t="n">
        <v>0</v>
      </c>
      <c r="K1812" s="19" t="n">
        <v>0</v>
      </c>
      <c r="L1812" s="17" t="s">
        <v>88</v>
      </c>
    </row>
    <row r="1813" s="11" customFormat="true" ht="10.95" hidden="false" customHeight="true" outlineLevel="0" collapsed="false">
      <c r="A1813" s="16" t="n">
        <v>45253</v>
      </c>
      <c r="B1813" s="17" t="s">
        <v>787</v>
      </c>
      <c r="C1813" s="17" t="s">
        <v>788</v>
      </c>
      <c r="D1813" s="17" t="s">
        <v>19</v>
      </c>
      <c r="E1813" s="17" t="s">
        <v>791</v>
      </c>
      <c r="F1813" s="17" t="s">
        <v>862</v>
      </c>
      <c r="G1813" s="18" t="n">
        <v>0</v>
      </c>
      <c r="H1813" s="18" t="n">
        <v>61.37</v>
      </c>
      <c r="I1813" s="18" t="n">
        <f aca="false">((I1812 + G1813) - H1813)</f>
        <v>-119470.51</v>
      </c>
      <c r="J1813" s="18" t="n">
        <v>0</v>
      </c>
      <c r="K1813" s="19" t="n">
        <v>0</v>
      </c>
      <c r="L1813" s="17" t="s">
        <v>88</v>
      </c>
    </row>
    <row r="1814" s="11" customFormat="true" ht="10.95" hidden="false" customHeight="true" outlineLevel="0" collapsed="false">
      <c r="A1814" s="16" t="n">
        <v>45253</v>
      </c>
      <c r="B1814" s="17" t="s">
        <v>787</v>
      </c>
      <c r="C1814" s="17" t="s">
        <v>788</v>
      </c>
      <c r="D1814" s="17" t="s">
        <v>19</v>
      </c>
      <c r="E1814" s="17" t="s">
        <v>792</v>
      </c>
      <c r="F1814" s="17" t="s">
        <v>862</v>
      </c>
      <c r="G1814" s="18" t="n">
        <v>0</v>
      </c>
      <c r="H1814" s="18" t="n">
        <v>225.03</v>
      </c>
      <c r="I1814" s="18" t="n">
        <f aca="false">((I1813 + G1814) - H1814)</f>
        <v>-119695.54</v>
      </c>
      <c r="J1814" s="18" t="n">
        <v>0</v>
      </c>
      <c r="K1814" s="19" t="n">
        <v>0</v>
      </c>
      <c r="L1814" s="17" t="s">
        <v>88</v>
      </c>
    </row>
    <row r="1815" s="11" customFormat="true" ht="10.95" hidden="false" customHeight="true" outlineLevel="0" collapsed="false">
      <c r="A1815" s="16" t="n">
        <v>45253</v>
      </c>
      <c r="B1815" s="17" t="s">
        <v>787</v>
      </c>
      <c r="C1815" s="17" t="s">
        <v>788</v>
      </c>
      <c r="D1815" s="17" t="s">
        <v>19</v>
      </c>
      <c r="E1815" s="17" t="s">
        <v>789</v>
      </c>
      <c r="F1815" s="17" t="s">
        <v>862</v>
      </c>
      <c r="G1815" s="18" t="n">
        <v>0</v>
      </c>
      <c r="H1815" s="18" t="n">
        <v>2458.4</v>
      </c>
      <c r="I1815" s="18" t="n">
        <f aca="false">((I1814 + G1815) - H1815)</f>
        <v>-122153.94</v>
      </c>
      <c r="J1815" s="18" t="n">
        <v>0</v>
      </c>
      <c r="K1815" s="19" t="n">
        <v>0</v>
      </c>
      <c r="L1815" s="17" t="s">
        <v>88</v>
      </c>
    </row>
    <row r="1816" s="11" customFormat="true" ht="10.95" hidden="false" customHeight="true" outlineLevel="0" collapsed="false">
      <c r="A1816" s="16" t="n">
        <v>45253</v>
      </c>
      <c r="B1816" s="17" t="s">
        <v>787</v>
      </c>
      <c r="C1816" s="17" t="s">
        <v>788</v>
      </c>
      <c r="D1816" s="17" t="s">
        <v>19</v>
      </c>
      <c r="E1816" s="17" t="s">
        <v>791</v>
      </c>
      <c r="F1816" s="17" t="s">
        <v>862</v>
      </c>
      <c r="G1816" s="18" t="n">
        <v>0</v>
      </c>
      <c r="H1816" s="18" t="n">
        <v>61.37</v>
      </c>
      <c r="I1816" s="18" t="n">
        <f aca="false">((I1815 + G1816) - H1816)</f>
        <v>-122215.31</v>
      </c>
      <c r="J1816" s="18" t="n">
        <v>0</v>
      </c>
      <c r="K1816" s="19" t="n">
        <v>0</v>
      </c>
      <c r="L1816" s="17" t="s">
        <v>88</v>
      </c>
    </row>
    <row r="1817" s="11" customFormat="true" ht="10.95" hidden="false" customHeight="true" outlineLevel="0" collapsed="false">
      <c r="A1817" s="16" t="n">
        <v>45253</v>
      </c>
      <c r="B1817" s="17" t="s">
        <v>787</v>
      </c>
      <c r="C1817" s="17" t="s">
        <v>788</v>
      </c>
      <c r="D1817" s="17" t="s">
        <v>19</v>
      </c>
      <c r="E1817" s="17" t="s">
        <v>792</v>
      </c>
      <c r="F1817" s="17" t="s">
        <v>862</v>
      </c>
      <c r="G1817" s="18" t="n">
        <v>0</v>
      </c>
      <c r="H1817" s="18" t="n">
        <v>225.03</v>
      </c>
      <c r="I1817" s="18" t="n">
        <f aca="false">((I1816 + G1817) - H1817)</f>
        <v>-122440.34</v>
      </c>
      <c r="J1817" s="18" t="n">
        <v>0</v>
      </c>
      <c r="K1817" s="19" t="n">
        <v>0</v>
      </c>
      <c r="L1817" s="17" t="s">
        <v>88</v>
      </c>
    </row>
    <row r="1818" s="11" customFormat="true" ht="10.95" hidden="false" customHeight="true" outlineLevel="0" collapsed="false">
      <c r="A1818" s="16" t="n">
        <v>45253</v>
      </c>
      <c r="B1818" s="17" t="s">
        <v>787</v>
      </c>
      <c r="C1818" s="17" t="s">
        <v>788</v>
      </c>
      <c r="D1818" s="17" t="s">
        <v>19</v>
      </c>
      <c r="E1818" s="17" t="s">
        <v>789</v>
      </c>
      <c r="F1818" s="17" t="s">
        <v>862</v>
      </c>
      <c r="G1818" s="18" t="n">
        <v>0</v>
      </c>
      <c r="H1818" s="18" t="n">
        <v>2458.4</v>
      </c>
      <c r="I1818" s="18" t="n">
        <f aca="false">((I1817 + G1818) - H1818)</f>
        <v>-124898.74</v>
      </c>
      <c r="J1818" s="18" t="n">
        <v>0</v>
      </c>
      <c r="K1818" s="19" t="n">
        <v>0</v>
      </c>
      <c r="L1818" s="17" t="s">
        <v>88</v>
      </c>
    </row>
    <row r="1819" s="11" customFormat="true" ht="10.95" hidden="false" customHeight="true" outlineLevel="0" collapsed="false">
      <c r="A1819" s="16" t="n">
        <v>45253</v>
      </c>
      <c r="B1819" s="17" t="s">
        <v>787</v>
      </c>
      <c r="C1819" s="17" t="s">
        <v>788</v>
      </c>
      <c r="D1819" s="17" t="s">
        <v>19</v>
      </c>
      <c r="E1819" s="17" t="s">
        <v>791</v>
      </c>
      <c r="F1819" s="17" t="s">
        <v>862</v>
      </c>
      <c r="G1819" s="18" t="n">
        <v>0</v>
      </c>
      <c r="H1819" s="18" t="n">
        <v>61.37</v>
      </c>
      <c r="I1819" s="18" t="n">
        <f aca="false">((I1818 + G1819) - H1819)</f>
        <v>-124960.11</v>
      </c>
      <c r="J1819" s="18" t="n">
        <v>0</v>
      </c>
      <c r="K1819" s="19" t="n">
        <v>0</v>
      </c>
      <c r="L1819" s="17" t="s">
        <v>88</v>
      </c>
    </row>
    <row r="1820" s="11" customFormat="true" ht="10.95" hidden="false" customHeight="true" outlineLevel="0" collapsed="false">
      <c r="A1820" s="16" t="n">
        <v>45253</v>
      </c>
      <c r="B1820" s="17" t="s">
        <v>787</v>
      </c>
      <c r="C1820" s="17" t="s">
        <v>788</v>
      </c>
      <c r="D1820" s="17" t="s">
        <v>19</v>
      </c>
      <c r="E1820" s="17" t="s">
        <v>792</v>
      </c>
      <c r="F1820" s="17" t="s">
        <v>862</v>
      </c>
      <c r="G1820" s="18" t="n">
        <v>0</v>
      </c>
      <c r="H1820" s="18" t="n">
        <v>225.03</v>
      </c>
      <c r="I1820" s="18" t="n">
        <f aca="false">((I1819 + G1820) - H1820)</f>
        <v>-125185.14</v>
      </c>
      <c r="J1820" s="18" t="n">
        <v>0</v>
      </c>
      <c r="K1820" s="19" t="n">
        <v>0</v>
      </c>
      <c r="L1820" s="17" t="s">
        <v>88</v>
      </c>
    </row>
    <row r="1821" s="11" customFormat="true" ht="10.95" hidden="false" customHeight="true" outlineLevel="0" collapsed="false">
      <c r="A1821" s="16" t="n">
        <v>45253</v>
      </c>
      <c r="B1821" s="17" t="s">
        <v>787</v>
      </c>
      <c r="C1821" s="17" t="s">
        <v>788</v>
      </c>
      <c r="D1821" s="17" t="s">
        <v>19</v>
      </c>
      <c r="E1821" s="17" t="s">
        <v>789</v>
      </c>
      <c r="F1821" s="17" t="s">
        <v>862</v>
      </c>
      <c r="G1821" s="18" t="n">
        <v>0</v>
      </c>
      <c r="H1821" s="18" t="n">
        <v>2458.4</v>
      </c>
      <c r="I1821" s="18" t="n">
        <f aca="false">((I1820 + G1821) - H1821)</f>
        <v>-127643.54</v>
      </c>
      <c r="J1821" s="18" t="n">
        <v>0</v>
      </c>
      <c r="K1821" s="19" t="n">
        <v>0</v>
      </c>
      <c r="L1821" s="17" t="s">
        <v>88</v>
      </c>
    </row>
    <row r="1822" s="11" customFormat="true" ht="10.95" hidden="false" customHeight="true" outlineLevel="0" collapsed="false">
      <c r="A1822" s="16" t="n">
        <v>45253</v>
      </c>
      <c r="B1822" s="17" t="s">
        <v>787</v>
      </c>
      <c r="C1822" s="17" t="s">
        <v>788</v>
      </c>
      <c r="D1822" s="17" t="s">
        <v>19</v>
      </c>
      <c r="E1822" s="17" t="s">
        <v>791</v>
      </c>
      <c r="F1822" s="17" t="s">
        <v>862</v>
      </c>
      <c r="G1822" s="18" t="n">
        <v>0</v>
      </c>
      <c r="H1822" s="18" t="n">
        <v>61.37</v>
      </c>
      <c r="I1822" s="18" t="n">
        <f aca="false">((I1821 + G1822) - H1822)</f>
        <v>-127704.91</v>
      </c>
      <c r="J1822" s="18" t="n">
        <v>0</v>
      </c>
      <c r="K1822" s="19" t="n">
        <v>0</v>
      </c>
      <c r="L1822" s="17" t="s">
        <v>88</v>
      </c>
    </row>
    <row r="1823" s="11" customFormat="true" ht="10.95" hidden="false" customHeight="true" outlineLevel="0" collapsed="false">
      <c r="A1823" s="16" t="n">
        <v>45253</v>
      </c>
      <c r="B1823" s="17" t="s">
        <v>787</v>
      </c>
      <c r="C1823" s="17" t="s">
        <v>788</v>
      </c>
      <c r="D1823" s="17" t="s">
        <v>19</v>
      </c>
      <c r="E1823" s="17" t="s">
        <v>792</v>
      </c>
      <c r="F1823" s="17" t="s">
        <v>862</v>
      </c>
      <c r="G1823" s="18" t="n">
        <v>0</v>
      </c>
      <c r="H1823" s="18" t="n">
        <v>225.03</v>
      </c>
      <c r="I1823" s="18" t="n">
        <f aca="false">((I1822 + G1823) - H1823)</f>
        <v>-127929.94</v>
      </c>
      <c r="J1823" s="18" t="n">
        <v>0</v>
      </c>
      <c r="K1823" s="19" t="n">
        <v>0</v>
      </c>
      <c r="L1823" s="17" t="s">
        <v>88</v>
      </c>
    </row>
    <row r="1824" s="11" customFormat="true" ht="10.95" hidden="false" customHeight="true" outlineLevel="0" collapsed="false">
      <c r="A1824" s="16" t="n">
        <v>45253</v>
      </c>
      <c r="B1824" s="17" t="s">
        <v>787</v>
      </c>
      <c r="C1824" s="17" t="s">
        <v>788</v>
      </c>
      <c r="D1824" s="17" t="s">
        <v>19</v>
      </c>
      <c r="E1824" s="17" t="s">
        <v>789</v>
      </c>
      <c r="F1824" s="17" t="s">
        <v>862</v>
      </c>
      <c r="G1824" s="18" t="n">
        <v>0</v>
      </c>
      <c r="H1824" s="18" t="n">
        <v>2458.4</v>
      </c>
      <c r="I1824" s="18" t="n">
        <f aca="false">((I1823 + G1824) - H1824)</f>
        <v>-130388.34</v>
      </c>
      <c r="J1824" s="18" t="n">
        <v>0</v>
      </c>
      <c r="K1824" s="19" t="n">
        <v>0</v>
      </c>
      <c r="L1824" s="17" t="s">
        <v>88</v>
      </c>
    </row>
    <row r="1825" s="11" customFormat="true" ht="10.95" hidden="false" customHeight="true" outlineLevel="0" collapsed="false">
      <c r="A1825" s="16" t="n">
        <v>45253</v>
      </c>
      <c r="B1825" s="17" t="s">
        <v>787</v>
      </c>
      <c r="C1825" s="17" t="s">
        <v>788</v>
      </c>
      <c r="D1825" s="17" t="s">
        <v>19</v>
      </c>
      <c r="E1825" s="17" t="s">
        <v>791</v>
      </c>
      <c r="F1825" s="17" t="s">
        <v>862</v>
      </c>
      <c r="G1825" s="18" t="n">
        <v>0</v>
      </c>
      <c r="H1825" s="18" t="n">
        <v>61.37</v>
      </c>
      <c r="I1825" s="18" t="n">
        <f aca="false">((I1824 + G1825) - H1825)</f>
        <v>-130449.71</v>
      </c>
      <c r="J1825" s="18" t="n">
        <v>0</v>
      </c>
      <c r="K1825" s="19" t="n">
        <v>0</v>
      </c>
      <c r="L1825" s="17" t="s">
        <v>88</v>
      </c>
    </row>
    <row r="1826" s="11" customFormat="true" ht="10.95" hidden="false" customHeight="true" outlineLevel="0" collapsed="false">
      <c r="A1826" s="16" t="n">
        <v>45253</v>
      </c>
      <c r="B1826" s="17" t="s">
        <v>787</v>
      </c>
      <c r="C1826" s="17" t="s">
        <v>788</v>
      </c>
      <c r="D1826" s="17" t="s">
        <v>19</v>
      </c>
      <c r="E1826" s="17" t="s">
        <v>792</v>
      </c>
      <c r="F1826" s="17" t="s">
        <v>862</v>
      </c>
      <c r="G1826" s="18" t="n">
        <v>0</v>
      </c>
      <c r="H1826" s="18" t="n">
        <v>225.03</v>
      </c>
      <c r="I1826" s="18" t="n">
        <f aca="false">((I1825 + G1826) - H1826)</f>
        <v>-130674.74</v>
      </c>
      <c r="J1826" s="18" t="n">
        <v>0</v>
      </c>
      <c r="K1826" s="19" t="n">
        <v>0</v>
      </c>
      <c r="L1826" s="17" t="s">
        <v>88</v>
      </c>
    </row>
    <row r="1827" s="11" customFormat="true" ht="10.95" hidden="false" customHeight="true" outlineLevel="0" collapsed="false">
      <c r="A1827" s="16" t="n">
        <v>45253</v>
      </c>
      <c r="B1827" s="17" t="s">
        <v>787</v>
      </c>
      <c r="C1827" s="17" t="s">
        <v>788</v>
      </c>
      <c r="D1827" s="17" t="s">
        <v>19</v>
      </c>
      <c r="E1827" s="17" t="s">
        <v>789</v>
      </c>
      <c r="F1827" s="17" t="s">
        <v>862</v>
      </c>
      <c r="G1827" s="18" t="n">
        <v>0</v>
      </c>
      <c r="H1827" s="18" t="n">
        <v>2458.4</v>
      </c>
      <c r="I1827" s="18" t="n">
        <f aca="false">((I1826 + G1827) - H1827)</f>
        <v>-133133.14</v>
      </c>
      <c r="J1827" s="18" t="n">
        <v>0</v>
      </c>
      <c r="K1827" s="19" t="n">
        <v>0</v>
      </c>
      <c r="L1827" s="17" t="s">
        <v>88</v>
      </c>
    </row>
    <row r="1828" s="11" customFormat="true" ht="10.95" hidden="false" customHeight="true" outlineLevel="0" collapsed="false">
      <c r="A1828" s="16" t="n">
        <v>45253</v>
      </c>
      <c r="B1828" s="17" t="s">
        <v>787</v>
      </c>
      <c r="C1828" s="17" t="s">
        <v>788</v>
      </c>
      <c r="D1828" s="17" t="s">
        <v>19</v>
      </c>
      <c r="E1828" s="17" t="s">
        <v>791</v>
      </c>
      <c r="F1828" s="17" t="s">
        <v>862</v>
      </c>
      <c r="G1828" s="18" t="n">
        <v>0</v>
      </c>
      <c r="H1828" s="18" t="n">
        <v>61.37</v>
      </c>
      <c r="I1828" s="18" t="n">
        <f aca="false">((I1827 + G1828) - H1828)</f>
        <v>-133194.51</v>
      </c>
      <c r="J1828" s="18" t="n">
        <v>0</v>
      </c>
      <c r="K1828" s="19" t="n">
        <v>0</v>
      </c>
      <c r="L1828" s="17" t="s">
        <v>88</v>
      </c>
    </row>
    <row r="1829" s="11" customFormat="true" ht="10.95" hidden="false" customHeight="true" outlineLevel="0" collapsed="false">
      <c r="A1829" s="16" t="n">
        <v>45253</v>
      </c>
      <c r="B1829" s="17" t="s">
        <v>787</v>
      </c>
      <c r="C1829" s="17" t="s">
        <v>788</v>
      </c>
      <c r="D1829" s="17" t="s">
        <v>19</v>
      </c>
      <c r="E1829" s="17" t="s">
        <v>792</v>
      </c>
      <c r="F1829" s="17" t="s">
        <v>862</v>
      </c>
      <c r="G1829" s="18" t="n">
        <v>0</v>
      </c>
      <c r="H1829" s="18" t="n">
        <v>225.03</v>
      </c>
      <c r="I1829" s="18" t="n">
        <f aca="false">((I1828 + G1829) - H1829)</f>
        <v>-133419.54</v>
      </c>
      <c r="J1829" s="18" t="n">
        <v>0</v>
      </c>
      <c r="K1829" s="19" t="n">
        <v>0</v>
      </c>
      <c r="L1829" s="17" t="s">
        <v>88</v>
      </c>
    </row>
    <row r="1830" s="11" customFormat="true" ht="10.95" hidden="false" customHeight="true" outlineLevel="0" collapsed="false">
      <c r="A1830" s="16" t="n">
        <v>45253</v>
      </c>
      <c r="B1830" s="17" t="s">
        <v>787</v>
      </c>
      <c r="C1830" s="17" t="s">
        <v>788</v>
      </c>
      <c r="D1830" s="17" t="s">
        <v>19</v>
      </c>
      <c r="E1830" s="17" t="s">
        <v>789</v>
      </c>
      <c r="F1830" s="17" t="s">
        <v>862</v>
      </c>
      <c r="G1830" s="18" t="n">
        <v>0</v>
      </c>
      <c r="H1830" s="18" t="n">
        <v>2458.4</v>
      </c>
      <c r="I1830" s="18" t="n">
        <f aca="false">((I1829 + G1830) - H1830)</f>
        <v>-135877.94</v>
      </c>
      <c r="J1830" s="18" t="n">
        <v>0</v>
      </c>
      <c r="K1830" s="19" t="n">
        <v>0</v>
      </c>
      <c r="L1830" s="17" t="s">
        <v>88</v>
      </c>
    </row>
    <row r="1831" s="11" customFormat="true" ht="10.95" hidden="false" customHeight="true" outlineLevel="0" collapsed="false">
      <c r="A1831" s="16" t="n">
        <v>45253</v>
      </c>
      <c r="B1831" s="17" t="s">
        <v>787</v>
      </c>
      <c r="C1831" s="17" t="s">
        <v>788</v>
      </c>
      <c r="D1831" s="17" t="s">
        <v>19</v>
      </c>
      <c r="E1831" s="17" t="s">
        <v>791</v>
      </c>
      <c r="F1831" s="17" t="s">
        <v>862</v>
      </c>
      <c r="G1831" s="18" t="n">
        <v>0</v>
      </c>
      <c r="H1831" s="18" t="n">
        <v>61.37</v>
      </c>
      <c r="I1831" s="18" t="n">
        <f aca="false">((I1830 + G1831) - H1831)</f>
        <v>-135939.31</v>
      </c>
      <c r="J1831" s="18" t="n">
        <v>0</v>
      </c>
      <c r="K1831" s="19" t="n">
        <v>0</v>
      </c>
      <c r="L1831" s="17" t="s">
        <v>88</v>
      </c>
    </row>
    <row r="1832" s="11" customFormat="true" ht="10.95" hidden="false" customHeight="true" outlineLevel="0" collapsed="false">
      <c r="A1832" s="16" t="n">
        <v>45253</v>
      </c>
      <c r="B1832" s="17" t="s">
        <v>787</v>
      </c>
      <c r="C1832" s="17" t="s">
        <v>788</v>
      </c>
      <c r="D1832" s="17" t="s">
        <v>19</v>
      </c>
      <c r="E1832" s="17" t="s">
        <v>792</v>
      </c>
      <c r="F1832" s="17" t="s">
        <v>862</v>
      </c>
      <c r="G1832" s="18" t="n">
        <v>0</v>
      </c>
      <c r="H1832" s="18" t="n">
        <v>225.03</v>
      </c>
      <c r="I1832" s="18" t="n">
        <f aca="false">((I1831 + G1832) - H1832)</f>
        <v>-136164.34</v>
      </c>
      <c r="J1832" s="18" t="n">
        <v>0</v>
      </c>
      <c r="K1832" s="19" t="n">
        <v>0</v>
      </c>
      <c r="L1832" s="17" t="s">
        <v>88</v>
      </c>
    </row>
    <row r="1833" s="11" customFormat="true" ht="10.95" hidden="false" customHeight="true" outlineLevel="0" collapsed="false">
      <c r="A1833" s="16" t="n">
        <v>45253</v>
      </c>
      <c r="B1833" s="17" t="s">
        <v>787</v>
      </c>
      <c r="C1833" s="17" t="s">
        <v>788</v>
      </c>
      <c r="D1833" s="17" t="s">
        <v>19</v>
      </c>
      <c r="E1833" s="17" t="s">
        <v>789</v>
      </c>
      <c r="F1833" s="17" t="s">
        <v>862</v>
      </c>
      <c r="G1833" s="18" t="n">
        <v>0</v>
      </c>
      <c r="H1833" s="18" t="n">
        <v>2458.4</v>
      </c>
      <c r="I1833" s="18" t="n">
        <f aca="false">((I1832 + G1833) - H1833)</f>
        <v>-138622.74</v>
      </c>
      <c r="J1833" s="18" t="n">
        <v>0</v>
      </c>
      <c r="K1833" s="19" t="n">
        <v>0</v>
      </c>
      <c r="L1833" s="17" t="s">
        <v>88</v>
      </c>
    </row>
    <row r="1834" s="11" customFormat="true" ht="10.95" hidden="false" customHeight="true" outlineLevel="0" collapsed="false">
      <c r="A1834" s="16" t="n">
        <v>45253</v>
      </c>
      <c r="B1834" s="17" t="s">
        <v>787</v>
      </c>
      <c r="C1834" s="17" t="s">
        <v>788</v>
      </c>
      <c r="D1834" s="17" t="s">
        <v>19</v>
      </c>
      <c r="E1834" s="17" t="s">
        <v>791</v>
      </c>
      <c r="F1834" s="17" t="s">
        <v>862</v>
      </c>
      <c r="G1834" s="18" t="n">
        <v>0</v>
      </c>
      <c r="H1834" s="18" t="n">
        <v>61.37</v>
      </c>
      <c r="I1834" s="18" t="n">
        <f aca="false">((I1833 + G1834) - H1834)</f>
        <v>-138684.11</v>
      </c>
      <c r="J1834" s="18" t="n">
        <v>0</v>
      </c>
      <c r="K1834" s="19" t="n">
        <v>0</v>
      </c>
      <c r="L1834" s="17" t="s">
        <v>88</v>
      </c>
    </row>
    <row r="1835" s="11" customFormat="true" ht="10.95" hidden="false" customHeight="true" outlineLevel="0" collapsed="false">
      <c r="A1835" s="16" t="n">
        <v>45253</v>
      </c>
      <c r="B1835" s="17" t="s">
        <v>787</v>
      </c>
      <c r="C1835" s="17" t="s">
        <v>788</v>
      </c>
      <c r="D1835" s="17" t="s">
        <v>19</v>
      </c>
      <c r="E1835" s="17" t="s">
        <v>792</v>
      </c>
      <c r="F1835" s="17" t="s">
        <v>862</v>
      </c>
      <c r="G1835" s="18" t="n">
        <v>0</v>
      </c>
      <c r="H1835" s="18" t="n">
        <v>225.03</v>
      </c>
      <c r="I1835" s="18" t="n">
        <f aca="false">((I1834 + G1835) - H1835)</f>
        <v>-138909.14</v>
      </c>
      <c r="J1835" s="18" t="n">
        <v>0</v>
      </c>
      <c r="K1835" s="19" t="n">
        <v>0</v>
      </c>
      <c r="L1835" s="17" t="s">
        <v>88</v>
      </c>
    </row>
    <row r="1836" s="11" customFormat="true" ht="10.95" hidden="false" customHeight="true" outlineLevel="0" collapsed="false">
      <c r="A1836" s="16" t="n">
        <v>45280</v>
      </c>
      <c r="B1836" s="17" t="s">
        <v>787</v>
      </c>
      <c r="C1836" s="17" t="s">
        <v>788</v>
      </c>
      <c r="D1836" s="17" t="s">
        <v>19</v>
      </c>
      <c r="E1836" s="17" t="s">
        <v>793</v>
      </c>
      <c r="F1836" s="17" t="s">
        <v>863</v>
      </c>
      <c r="G1836" s="18" t="n">
        <v>0</v>
      </c>
      <c r="H1836" s="18" t="n">
        <v>88.96</v>
      </c>
      <c r="I1836" s="18" t="n">
        <f aca="false">((I1835 + G1836) - H1836)</f>
        <v>-138998.1</v>
      </c>
      <c r="J1836" s="18" t="n">
        <v>0</v>
      </c>
      <c r="K1836" s="19" t="n">
        <v>0</v>
      </c>
      <c r="L1836" s="17" t="s">
        <v>88</v>
      </c>
    </row>
    <row r="1837" s="11" customFormat="true" ht="10.95" hidden="false" customHeight="true" outlineLevel="0" collapsed="false">
      <c r="A1837" s="16" t="n">
        <v>45280</v>
      </c>
      <c r="B1837" s="17" t="s">
        <v>787</v>
      </c>
      <c r="C1837" s="17" t="s">
        <v>788</v>
      </c>
      <c r="D1837" s="17" t="s">
        <v>19</v>
      </c>
      <c r="E1837" s="17" t="s">
        <v>795</v>
      </c>
      <c r="F1837" s="17" t="s">
        <v>864</v>
      </c>
      <c r="G1837" s="18" t="n">
        <v>0</v>
      </c>
      <c r="H1837" s="18" t="n">
        <v>477.04</v>
      </c>
      <c r="I1837" s="18" t="n">
        <f aca="false">((I1836 + G1837) - H1837)</f>
        <v>-139475.14</v>
      </c>
      <c r="J1837" s="18" t="n">
        <v>0</v>
      </c>
      <c r="K1837" s="19" t="n">
        <v>0</v>
      </c>
      <c r="L1837" s="17" t="s">
        <v>88</v>
      </c>
    </row>
    <row r="1838" s="11" customFormat="true" ht="10.95" hidden="false" customHeight="true" outlineLevel="0" collapsed="false">
      <c r="A1838" s="16" t="n">
        <v>45280</v>
      </c>
      <c r="B1838" s="17" t="s">
        <v>787</v>
      </c>
      <c r="C1838" s="17" t="s">
        <v>788</v>
      </c>
      <c r="D1838" s="17" t="s">
        <v>19</v>
      </c>
      <c r="E1838" s="17" t="s">
        <v>795</v>
      </c>
      <c r="F1838" s="17" t="s">
        <v>865</v>
      </c>
      <c r="G1838" s="18" t="n">
        <v>0</v>
      </c>
      <c r="H1838" s="18" t="n">
        <v>318.03</v>
      </c>
      <c r="I1838" s="18" t="n">
        <f aca="false">((I1837 + G1838) - H1838)</f>
        <v>-139793.17</v>
      </c>
      <c r="J1838" s="18" t="n">
        <v>0</v>
      </c>
      <c r="K1838" s="19" t="n">
        <v>0</v>
      </c>
      <c r="L1838" s="17" t="s">
        <v>88</v>
      </c>
    </row>
    <row r="1839" s="11" customFormat="true" ht="10.95" hidden="false" customHeight="true" outlineLevel="0" collapsed="false">
      <c r="A1839" s="16" t="n">
        <v>45280</v>
      </c>
      <c r="B1839" s="17" t="s">
        <v>787</v>
      </c>
      <c r="C1839" s="17" t="s">
        <v>788</v>
      </c>
      <c r="D1839" s="17" t="s">
        <v>19</v>
      </c>
      <c r="E1839" s="17" t="s">
        <v>798</v>
      </c>
      <c r="F1839" s="17" t="s">
        <v>866</v>
      </c>
      <c r="G1839" s="18" t="n">
        <v>0</v>
      </c>
      <c r="H1839" s="18" t="n">
        <v>2403.5</v>
      </c>
      <c r="I1839" s="18" t="n">
        <f aca="false">((I1838 + G1839) - H1839)</f>
        <v>-142196.67</v>
      </c>
      <c r="J1839" s="18" t="n">
        <v>0</v>
      </c>
      <c r="K1839" s="19" t="n">
        <v>0</v>
      </c>
      <c r="L1839" s="17" t="s">
        <v>88</v>
      </c>
    </row>
    <row r="1840" s="11" customFormat="true" ht="10.95" hidden="false" customHeight="true" outlineLevel="0" collapsed="false">
      <c r="A1840" s="16" t="n">
        <v>45280</v>
      </c>
      <c r="B1840" s="17" t="s">
        <v>787</v>
      </c>
      <c r="C1840" s="17" t="s">
        <v>788</v>
      </c>
      <c r="D1840" s="17" t="s">
        <v>19</v>
      </c>
      <c r="E1840" s="17" t="s">
        <v>801</v>
      </c>
      <c r="F1840" s="17" t="s">
        <v>867</v>
      </c>
      <c r="G1840" s="18" t="n">
        <v>0</v>
      </c>
      <c r="H1840" s="18" t="n">
        <v>1001</v>
      </c>
      <c r="I1840" s="18" t="n">
        <f aca="false">((I1839 + G1840) - H1840)</f>
        <v>-143197.67</v>
      </c>
      <c r="J1840" s="18" t="n">
        <v>0</v>
      </c>
      <c r="K1840" s="19" t="n">
        <v>0</v>
      </c>
      <c r="L1840" s="17" t="s">
        <v>88</v>
      </c>
    </row>
    <row r="1841" s="11" customFormat="true" ht="10.95" hidden="false" customHeight="true" outlineLevel="0" collapsed="false">
      <c r="A1841" s="16" t="n">
        <v>45280</v>
      </c>
      <c r="B1841" s="17" t="s">
        <v>787</v>
      </c>
      <c r="C1841" s="17" t="s">
        <v>788</v>
      </c>
      <c r="D1841" s="17" t="s">
        <v>19</v>
      </c>
      <c r="E1841" s="17" t="s">
        <v>798</v>
      </c>
      <c r="F1841" s="17" t="s">
        <v>868</v>
      </c>
      <c r="G1841" s="18" t="n">
        <v>0</v>
      </c>
      <c r="H1841" s="18" t="n">
        <v>1672</v>
      </c>
      <c r="I1841" s="18" t="n">
        <f aca="false">((I1840 + G1841) - H1841)</f>
        <v>-144869.67</v>
      </c>
      <c r="J1841" s="18" t="n">
        <v>0</v>
      </c>
      <c r="K1841" s="19" t="n">
        <v>0</v>
      </c>
      <c r="L1841" s="17" t="s">
        <v>88</v>
      </c>
    </row>
    <row r="1842" s="11" customFormat="true" ht="10.95" hidden="false" customHeight="true" outlineLevel="0" collapsed="false">
      <c r="A1842" s="16" t="n">
        <v>45280</v>
      </c>
      <c r="B1842" s="17" t="s">
        <v>787</v>
      </c>
      <c r="C1842" s="17" t="s">
        <v>788</v>
      </c>
      <c r="D1842" s="17" t="s">
        <v>19</v>
      </c>
      <c r="E1842" s="17" t="s">
        <v>789</v>
      </c>
      <c r="F1842" s="17" t="s">
        <v>869</v>
      </c>
      <c r="G1842" s="18" t="n">
        <v>0</v>
      </c>
      <c r="H1842" s="18" t="n">
        <v>209.59</v>
      </c>
      <c r="I1842" s="18" t="n">
        <f aca="false">((I1841 + G1842) - H1842)</f>
        <v>-145079.26</v>
      </c>
      <c r="J1842" s="18" t="n">
        <v>0</v>
      </c>
      <c r="K1842" s="19" t="n">
        <v>0</v>
      </c>
      <c r="L1842" s="17" t="s">
        <v>88</v>
      </c>
    </row>
    <row r="1843" s="11" customFormat="true" ht="10.95" hidden="false" customHeight="true" outlineLevel="0" collapsed="false">
      <c r="A1843" s="16" t="n">
        <v>45280</v>
      </c>
      <c r="B1843" s="17" t="s">
        <v>787</v>
      </c>
      <c r="C1843" s="17" t="s">
        <v>788</v>
      </c>
      <c r="D1843" s="17" t="s">
        <v>19</v>
      </c>
      <c r="E1843" s="17" t="s">
        <v>789</v>
      </c>
      <c r="F1843" s="17" t="s">
        <v>869</v>
      </c>
      <c r="G1843" s="18" t="n">
        <v>0</v>
      </c>
      <c r="H1843" s="18" t="n">
        <v>209.59</v>
      </c>
      <c r="I1843" s="18" t="n">
        <f aca="false">((I1842 + G1843) - H1843)</f>
        <v>-145288.85</v>
      </c>
      <c r="J1843" s="18" t="n">
        <v>0</v>
      </c>
      <c r="K1843" s="19" t="n">
        <v>0</v>
      </c>
      <c r="L1843" s="17" t="s">
        <v>88</v>
      </c>
    </row>
    <row r="1844" s="11" customFormat="true" ht="10.95" hidden="false" customHeight="true" outlineLevel="0" collapsed="false">
      <c r="A1844" s="16" t="n">
        <v>45280</v>
      </c>
      <c r="B1844" s="17" t="s">
        <v>787</v>
      </c>
      <c r="C1844" s="17" t="s">
        <v>788</v>
      </c>
      <c r="D1844" s="17" t="s">
        <v>19</v>
      </c>
      <c r="E1844" s="17" t="s">
        <v>789</v>
      </c>
      <c r="F1844" s="17" t="s">
        <v>869</v>
      </c>
      <c r="G1844" s="18" t="n">
        <v>0</v>
      </c>
      <c r="H1844" s="18" t="n">
        <v>209.59</v>
      </c>
      <c r="I1844" s="18" t="n">
        <f aca="false">((I1843 + G1844) - H1844)</f>
        <v>-145498.44</v>
      </c>
      <c r="J1844" s="18" t="n">
        <v>0</v>
      </c>
      <c r="K1844" s="19" t="n">
        <v>0</v>
      </c>
      <c r="L1844" s="17" t="s">
        <v>88</v>
      </c>
    </row>
    <row r="1845" s="11" customFormat="true" ht="10.95" hidden="false" customHeight="true" outlineLevel="0" collapsed="false">
      <c r="A1845" s="16" t="n">
        <v>45280</v>
      </c>
      <c r="B1845" s="17" t="s">
        <v>787</v>
      </c>
      <c r="C1845" s="17" t="s">
        <v>788</v>
      </c>
      <c r="D1845" s="17" t="s">
        <v>19</v>
      </c>
      <c r="E1845" s="17" t="s">
        <v>789</v>
      </c>
      <c r="F1845" s="17" t="s">
        <v>869</v>
      </c>
      <c r="G1845" s="18" t="n">
        <v>0</v>
      </c>
      <c r="H1845" s="18" t="n">
        <v>209.59</v>
      </c>
      <c r="I1845" s="18" t="n">
        <f aca="false">((I1844 + G1845) - H1845)</f>
        <v>-145708.03</v>
      </c>
      <c r="J1845" s="18" t="n">
        <v>0</v>
      </c>
      <c r="K1845" s="19" t="n">
        <v>0</v>
      </c>
      <c r="L1845" s="17" t="s">
        <v>88</v>
      </c>
    </row>
    <row r="1846" s="11" customFormat="true" ht="10.95" hidden="false" customHeight="true" outlineLevel="0" collapsed="false">
      <c r="A1846" s="16" t="n">
        <v>45280</v>
      </c>
      <c r="B1846" s="17" t="s">
        <v>787</v>
      </c>
      <c r="C1846" s="17" t="s">
        <v>788</v>
      </c>
      <c r="D1846" s="17" t="s">
        <v>19</v>
      </c>
      <c r="E1846" s="17" t="s">
        <v>789</v>
      </c>
      <c r="F1846" s="17" t="s">
        <v>869</v>
      </c>
      <c r="G1846" s="18" t="n">
        <v>0</v>
      </c>
      <c r="H1846" s="18" t="n">
        <v>209.59</v>
      </c>
      <c r="I1846" s="18" t="n">
        <f aca="false">((I1845 + G1846) - H1846)</f>
        <v>-145917.62</v>
      </c>
      <c r="J1846" s="18" t="n">
        <v>0</v>
      </c>
      <c r="K1846" s="19" t="n">
        <v>0</v>
      </c>
      <c r="L1846" s="17" t="s">
        <v>88</v>
      </c>
    </row>
    <row r="1847" s="11" customFormat="true" ht="10.95" hidden="false" customHeight="true" outlineLevel="0" collapsed="false">
      <c r="A1847" s="16" t="n">
        <v>45280</v>
      </c>
      <c r="B1847" s="17" t="s">
        <v>787</v>
      </c>
      <c r="C1847" s="17" t="s">
        <v>788</v>
      </c>
      <c r="D1847" s="17" t="s">
        <v>19</v>
      </c>
      <c r="E1847" s="17" t="s">
        <v>789</v>
      </c>
      <c r="F1847" s="17" t="s">
        <v>869</v>
      </c>
      <c r="G1847" s="18" t="n">
        <v>0</v>
      </c>
      <c r="H1847" s="18" t="n">
        <v>209.6</v>
      </c>
      <c r="I1847" s="18" t="n">
        <f aca="false">((I1846 + G1847) - H1847)</f>
        <v>-146127.22</v>
      </c>
      <c r="J1847" s="18" t="n">
        <v>0</v>
      </c>
      <c r="K1847" s="19" t="n">
        <v>0</v>
      </c>
      <c r="L1847" s="17" t="s">
        <v>88</v>
      </c>
    </row>
    <row r="1848" s="11" customFormat="true" ht="10.95" hidden="false" customHeight="true" outlineLevel="0" collapsed="false">
      <c r="A1848" s="16" t="n">
        <v>45280</v>
      </c>
      <c r="B1848" s="17" t="s">
        <v>787</v>
      </c>
      <c r="C1848" s="17" t="s">
        <v>788</v>
      </c>
      <c r="D1848" s="17" t="s">
        <v>19</v>
      </c>
      <c r="E1848" s="17" t="s">
        <v>789</v>
      </c>
      <c r="F1848" s="17" t="s">
        <v>869</v>
      </c>
      <c r="G1848" s="18" t="n">
        <v>0</v>
      </c>
      <c r="H1848" s="18" t="n">
        <v>209.6</v>
      </c>
      <c r="I1848" s="18" t="n">
        <f aca="false">((I1847 + G1848) - H1848)</f>
        <v>-146336.82</v>
      </c>
      <c r="J1848" s="18" t="n">
        <v>0</v>
      </c>
      <c r="K1848" s="19" t="n">
        <v>0</v>
      </c>
      <c r="L1848" s="17" t="s">
        <v>88</v>
      </c>
    </row>
    <row r="1849" s="11" customFormat="true" ht="10.95" hidden="false" customHeight="true" outlineLevel="0" collapsed="false">
      <c r="A1849" s="16" t="n">
        <v>45280</v>
      </c>
      <c r="B1849" s="17" t="s">
        <v>787</v>
      </c>
      <c r="C1849" s="17" t="s">
        <v>788</v>
      </c>
      <c r="D1849" s="17" t="s">
        <v>19</v>
      </c>
      <c r="E1849" s="17" t="s">
        <v>789</v>
      </c>
      <c r="F1849" s="17" t="s">
        <v>869</v>
      </c>
      <c r="G1849" s="18" t="n">
        <v>0</v>
      </c>
      <c r="H1849" s="18" t="n">
        <v>209.6</v>
      </c>
      <c r="I1849" s="18" t="n">
        <f aca="false">((I1848 + G1849) - H1849)</f>
        <v>-146546.42</v>
      </c>
      <c r="J1849" s="18" t="n">
        <v>0</v>
      </c>
      <c r="K1849" s="19" t="n">
        <v>0</v>
      </c>
      <c r="L1849" s="17" t="s">
        <v>88</v>
      </c>
    </row>
    <row r="1850" s="11" customFormat="true" ht="10.95" hidden="false" customHeight="true" outlineLevel="0" collapsed="false">
      <c r="A1850" s="16" t="n">
        <v>45280</v>
      </c>
      <c r="B1850" s="17" t="s">
        <v>787</v>
      </c>
      <c r="C1850" s="17" t="s">
        <v>788</v>
      </c>
      <c r="D1850" s="17" t="s">
        <v>19</v>
      </c>
      <c r="E1850" s="17" t="s">
        <v>789</v>
      </c>
      <c r="F1850" s="17" t="s">
        <v>869</v>
      </c>
      <c r="G1850" s="18" t="n">
        <v>0</v>
      </c>
      <c r="H1850" s="18" t="n">
        <v>209.6</v>
      </c>
      <c r="I1850" s="18" t="n">
        <f aca="false">((I1849 + G1850) - H1850)</f>
        <v>-146756.02</v>
      </c>
      <c r="J1850" s="18" t="n">
        <v>0</v>
      </c>
      <c r="K1850" s="19" t="n">
        <v>0</v>
      </c>
      <c r="L1850" s="17" t="s">
        <v>88</v>
      </c>
    </row>
    <row r="1851" s="11" customFormat="true" ht="10.95" hidden="false" customHeight="true" outlineLevel="0" collapsed="false">
      <c r="A1851" s="16" t="n">
        <v>45280</v>
      </c>
      <c r="B1851" s="17" t="s">
        <v>787</v>
      </c>
      <c r="C1851" s="17" t="s">
        <v>788</v>
      </c>
      <c r="D1851" s="17" t="s">
        <v>19</v>
      </c>
      <c r="E1851" s="17" t="s">
        <v>789</v>
      </c>
      <c r="F1851" s="17" t="s">
        <v>869</v>
      </c>
      <c r="G1851" s="18" t="n">
        <v>0</v>
      </c>
      <c r="H1851" s="18" t="n">
        <v>209.6</v>
      </c>
      <c r="I1851" s="18" t="n">
        <f aca="false">((I1850 + G1851) - H1851)</f>
        <v>-146965.62</v>
      </c>
      <c r="J1851" s="18" t="n">
        <v>0</v>
      </c>
      <c r="K1851" s="19" t="n">
        <v>0</v>
      </c>
      <c r="L1851" s="17" t="s">
        <v>88</v>
      </c>
    </row>
    <row r="1852" s="11" customFormat="true" ht="10.95" hidden="false" customHeight="true" outlineLevel="0" collapsed="false">
      <c r="A1852" s="16" t="n">
        <v>45280</v>
      </c>
      <c r="B1852" s="17" t="s">
        <v>787</v>
      </c>
      <c r="C1852" s="17" t="s">
        <v>788</v>
      </c>
      <c r="D1852" s="17" t="s">
        <v>19</v>
      </c>
      <c r="E1852" s="17" t="s">
        <v>789</v>
      </c>
      <c r="F1852" s="17" t="s">
        <v>869</v>
      </c>
      <c r="G1852" s="18" t="n">
        <v>0</v>
      </c>
      <c r="H1852" s="18" t="n">
        <v>209.6</v>
      </c>
      <c r="I1852" s="18" t="n">
        <f aca="false">((I1851 + G1852) - H1852)</f>
        <v>-147175.22</v>
      </c>
      <c r="J1852" s="18" t="n">
        <v>0</v>
      </c>
      <c r="K1852" s="19" t="n">
        <v>0</v>
      </c>
      <c r="L1852" s="17" t="s">
        <v>88</v>
      </c>
    </row>
    <row r="1853" s="11" customFormat="true" ht="10.95" hidden="false" customHeight="true" outlineLevel="0" collapsed="false">
      <c r="A1853" s="16" t="n">
        <v>45280</v>
      </c>
      <c r="B1853" s="17" t="s">
        <v>787</v>
      </c>
      <c r="C1853" s="17" t="s">
        <v>788</v>
      </c>
      <c r="D1853" s="17" t="s">
        <v>19</v>
      </c>
      <c r="E1853" s="17" t="s">
        <v>789</v>
      </c>
      <c r="F1853" s="17" t="s">
        <v>869</v>
      </c>
      <c r="G1853" s="18" t="n">
        <v>0</v>
      </c>
      <c r="H1853" s="18" t="n">
        <v>209.6</v>
      </c>
      <c r="I1853" s="18" t="n">
        <f aca="false">((I1852 + G1853) - H1853)</f>
        <v>-147384.82</v>
      </c>
      <c r="J1853" s="18" t="n">
        <v>0</v>
      </c>
      <c r="K1853" s="19" t="n">
        <v>0</v>
      </c>
      <c r="L1853" s="17" t="s">
        <v>88</v>
      </c>
    </row>
    <row r="1854" s="11" customFormat="true" ht="10.95" hidden="false" customHeight="true" outlineLevel="0" collapsed="false">
      <c r="A1854" s="16" t="n">
        <v>45280</v>
      </c>
      <c r="B1854" s="17" t="s">
        <v>787</v>
      </c>
      <c r="C1854" s="17" t="s">
        <v>788</v>
      </c>
      <c r="D1854" s="17" t="s">
        <v>19</v>
      </c>
      <c r="E1854" s="17" t="s">
        <v>795</v>
      </c>
      <c r="F1854" s="17" t="s">
        <v>870</v>
      </c>
      <c r="G1854" s="18" t="n">
        <v>0</v>
      </c>
      <c r="H1854" s="18" t="n">
        <v>476.29</v>
      </c>
      <c r="I1854" s="18" t="n">
        <f aca="false">((I1853 + G1854) - H1854)</f>
        <v>-147861.11</v>
      </c>
      <c r="J1854" s="18" t="n">
        <v>0</v>
      </c>
      <c r="K1854" s="19" t="n">
        <v>0</v>
      </c>
      <c r="L1854" s="17" t="s">
        <v>88</v>
      </c>
    </row>
    <row r="1855" s="11" customFormat="true" ht="10.95" hidden="false" customHeight="true" outlineLevel="0" collapsed="false">
      <c r="A1855" s="16" t="n">
        <v>45280</v>
      </c>
      <c r="B1855" s="17" t="s">
        <v>787</v>
      </c>
      <c r="C1855" s="17" t="s">
        <v>788</v>
      </c>
      <c r="D1855" s="17" t="s">
        <v>19</v>
      </c>
      <c r="E1855" s="17" t="s">
        <v>861</v>
      </c>
      <c r="F1855" s="17" t="s">
        <v>870</v>
      </c>
      <c r="G1855" s="18" t="n">
        <v>0</v>
      </c>
      <c r="H1855" s="18" t="n">
        <v>122.13</v>
      </c>
      <c r="I1855" s="18" t="n">
        <f aca="false">((I1854 + G1855) - H1855)</f>
        <v>-147983.24</v>
      </c>
      <c r="J1855" s="18" t="n">
        <v>0</v>
      </c>
      <c r="K1855" s="19" t="n">
        <v>0</v>
      </c>
      <c r="L1855" s="17" t="s">
        <v>88</v>
      </c>
    </row>
    <row r="1856" s="11" customFormat="true" ht="10.95" hidden="false" customHeight="true" outlineLevel="0" collapsed="false">
      <c r="A1856" s="16" t="n">
        <v>45280</v>
      </c>
      <c r="B1856" s="17" t="s">
        <v>787</v>
      </c>
      <c r="C1856" s="17" t="s">
        <v>788</v>
      </c>
      <c r="D1856" s="17" t="s">
        <v>19</v>
      </c>
      <c r="E1856" s="17" t="s">
        <v>871</v>
      </c>
      <c r="F1856" s="17" t="s">
        <v>872</v>
      </c>
      <c r="G1856" s="18" t="n">
        <v>0</v>
      </c>
      <c r="H1856" s="18" t="n">
        <v>265.42</v>
      </c>
      <c r="I1856" s="18" t="n">
        <f aca="false">((I1855 + G1856) - H1856)</f>
        <v>-148248.66</v>
      </c>
      <c r="J1856" s="18" t="n">
        <v>0</v>
      </c>
      <c r="K1856" s="19" t="n">
        <v>0</v>
      </c>
      <c r="L1856" s="17" t="s">
        <v>88</v>
      </c>
    </row>
    <row r="1857" s="11" customFormat="true" ht="10.95" hidden="false" customHeight="true" outlineLevel="0" collapsed="false">
      <c r="A1857" s="16" t="n">
        <v>45280</v>
      </c>
      <c r="B1857" s="17" t="s">
        <v>787</v>
      </c>
      <c r="C1857" s="17" t="s">
        <v>788</v>
      </c>
      <c r="D1857" s="17" t="s">
        <v>19</v>
      </c>
      <c r="E1857" s="17" t="s">
        <v>873</v>
      </c>
      <c r="F1857" s="17" t="s">
        <v>872</v>
      </c>
      <c r="G1857" s="18" t="n">
        <v>0</v>
      </c>
      <c r="H1857" s="18" t="n">
        <v>93.04</v>
      </c>
      <c r="I1857" s="18" t="n">
        <f aca="false">((I1856 + G1857) - H1857)</f>
        <v>-148341.7</v>
      </c>
      <c r="J1857" s="18" t="n">
        <v>0</v>
      </c>
      <c r="K1857" s="19" t="n">
        <v>0</v>
      </c>
      <c r="L1857" s="17" t="s">
        <v>88</v>
      </c>
    </row>
    <row r="1858" s="11" customFormat="true" ht="10.95" hidden="false" customHeight="true" outlineLevel="0" collapsed="false">
      <c r="A1858" s="16" t="n">
        <v>45280</v>
      </c>
      <c r="B1858" s="17" t="s">
        <v>787</v>
      </c>
      <c r="C1858" s="17" t="s">
        <v>788</v>
      </c>
      <c r="D1858" s="17" t="s">
        <v>19</v>
      </c>
      <c r="E1858" s="17" t="s">
        <v>871</v>
      </c>
      <c r="F1858" s="17" t="s">
        <v>872</v>
      </c>
      <c r="G1858" s="18" t="n">
        <v>0</v>
      </c>
      <c r="H1858" s="18" t="n">
        <v>265.41</v>
      </c>
      <c r="I1858" s="18" t="n">
        <f aca="false">((I1857 + G1858) - H1858)</f>
        <v>-148607.11</v>
      </c>
      <c r="J1858" s="18" t="n">
        <v>0</v>
      </c>
      <c r="K1858" s="19" t="n">
        <v>0</v>
      </c>
      <c r="L1858" s="17" t="s">
        <v>88</v>
      </c>
    </row>
    <row r="1859" s="11" customFormat="true" ht="10.95" hidden="false" customHeight="true" outlineLevel="0" collapsed="false">
      <c r="A1859" s="16" t="n">
        <v>45280</v>
      </c>
      <c r="B1859" s="17" t="s">
        <v>787</v>
      </c>
      <c r="C1859" s="17" t="s">
        <v>788</v>
      </c>
      <c r="D1859" s="17" t="s">
        <v>19</v>
      </c>
      <c r="E1859" s="17" t="s">
        <v>873</v>
      </c>
      <c r="F1859" s="17" t="s">
        <v>872</v>
      </c>
      <c r="G1859" s="18" t="n">
        <v>0</v>
      </c>
      <c r="H1859" s="18" t="n">
        <v>93.04</v>
      </c>
      <c r="I1859" s="18" t="n">
        <f aca="false">((I1858 + G1859) - H1859)</f>
        <v>-148700.15</v>
      </c>
      <c r="J1859" s="18" t="n">
        <v>0</v>
      </c>
      <c r="K1859" s="19" t="n">
        <v>0</v>
      </c>
      <c r="L1859" s="17" t="s">
        <v>88</v>
      </c>
    </row>
    <row r="1860" s="11" customFormat="true" ht="10.95" hidden="false" customHeight="true" outlineLevel="0" collapsed="false">
      <c r="A1860" s="16" t="n">
        <v>45280</v>
      </c>
      <c r="B1860" s="17" t="s">
        <v>787</v>
      </c>
      <c r="C1860" s="17" t="s">
        <v>788</v>
      </c>
      <c r="D1860" s="17" t="s">
        <v>19</v>
      </c>
      <c r="E1860" s="17" t="s">
        <v>871</v>
      </c>
      <c r="F1860" s="17" t="s">
        <v>872</v>
      </c>
      <c r="G1860" s="18" t="n">
        <v>0</v>
      </c>
      <c r="H1860" s="18" t="n">
        <v>265.41</v>
      </c>
      <c r="I1860" s="18" t="n">
        <f aca="false">((I1859 + G1860) - H1860)</f>
        <v>-148965.56</v>
      </c>
      <c r="J1860" s="18" t="n">
        <v>0</v>
      </c>
      <c r="K1860" s="19" t="n">
        <v>0</v>
      </c>
      <c r="L1860" s="17" t="s">
        <v>88</v>
      </c>
    </row>
    <row r="1861" s="11" customFormat="true" ht="10.95" hidden="false" customHeight="true" outlineLevel="0" collapsed="false">
      <c r="A1861" s="16" t="n">
        <v>45280</v>
      </c>
      <c r="B1861" s="17" t="s">
        <v>787</v>
      </c>
      <c r="C1861" s="17" t="s">
        <v>788</v>
      </c>
      <c r="D1861" s="17" t="s">
        <v>19</v>
      </c>
      <c r="E1861" s="17" t="s">
        <v>873</v>
      </c>
      <c r="F1861" s="17" t="s">
        <v>872</v>
      </c>
      <c r="G1861" s="18" t="n">
        <v>0</v>
      </c>
      <c r="H1861" s="18" t="n">
        <v>93.04</v>
      </c>
      <c r="I1861" s="18" t="n">
        <f aca="false">((I1860 + G1861) - H1861)</f>
        <v>-149058.6</v>
      </c>
      <c r="J1861" s="18" t="n">
        <v>0</v>
      </c>
      <c r="K1861" s="19" t="n">
        <v>0</v>
      </c>
      <c r="L1861" s="17" t="s">
        <v>88</v>
      </c>
    </row>
    <row r="1862" s="11" customFormat="true" ht="10.95" hidden="false" customHeight="true" outlineLevel="0" collapsed="false">
      <c r="A1862" s="16" t="n">
        <v>45280</v>
      </c>
      <c r="B1862" s="17" t="s">
        <v>787</v>
      </c>
      <c r="C1862" s="17" t="s">
        <v>788</v>
      </c>
      <c r="D1862" s="17" t="s">
        <v>19</v>
      </c>
      <c r="E1862" s="17" t="s">
        <v>871</v>
      </c>
      <c r="F1862" s="17" t="s">
        <v>872</v>
      </c>
      <c r="G1862" s="18" t="n">
        <v>0</v>
      </c>
      <c r="H1862" s="18" t="n">
        <v>265.41</v>
      </c>
      <c r="I1862" s="18" t="n">
        <f aca="false">((I1861 + G1862) - H1862)</f>
        <v>-149324.01</v>
      </c>
      <c r="J1862" s="18" t="n">
        <v>0</v>
      </c>
      <c r="K1862" s="19" t="n">
        <v>0</v>
      </c>
      <c r="L1862" s="17" t="s">
        <v>88</v>
      </c>
    </row>
    <row r="1863" s="11" customFormat="true" ht="10.95" hidden="false" customHeight="true" outlineLevel="0" collapsed="false">
      <c r="A1863" s="16" t="n">
        <v>45280</v>
      </c>
      <c r="B1863" s="17" t="s">
        <v>787</v>
      </c>
      <c r="C1863" s="17" t="s">
        <v>788</v>
      </c>
      <c r="D1863" s="17" t="s">
        <v>19</v>
      </c>
      <c r="E1863" s="17" t="s">
        <v>873</v>
      </c>
      <c r="F1863" s="17" t="s">
        <v>872</v>
      </c>
      <c r="G1863" s="18" t="n">
        <v>0</v>
      </c>
      <c r="H1863" s="18" t="n">
        <v>93.04</v>
      </c>
      <c r="I1863" s="18" t="n">
        <f aca="false">((I1862 + G1863) - H1863)</f>
        <v>-149417.05</v>
      </c>
      <c r="J1863" s="18" t="n">
        <v>0</v>
      </c>
      <c r="K1863" s="19" t="n">
        <v>0</v>
      </c>
      <c r="L1863" s="17" t="s">
        <v>88</v>
      </c>
    </row>
    <row r="1864" s="11" customFormat="true" ht="10.95" hidden="false" customHeight="true" outlineLevel="0" collapsed="false">
      <c r="A1864" s="16" t="n">
        <v>45280</v>
      </c>
      <c r="B1864" s="17" t="s">
        <v>787</v>
      </c>
      <c r="C1864" s="17" t="s">
        <v>788</v>
      </c>
      <c r="D1864" s="17" t="s">
        <v>19</v>
      </c>
      <c r="E1864" s="17" t="s">
        <v>871</v>
      </c>
      <c r="F1864" s="17" t="s">
        <v>872</v>
      </c>
      <c r="G1864" s="18" t="n">
        <v>0</v>
      </c>
      <c r="H1864" s="18" t="n">
        <v>265.41</v>
      </c>
      <c r="I1864" s="18" t="n">
        <f aca="false">((I1863 + G1864) - H1864)</f>
        <v>-149682.46</v>
      </c>
      <c r="J1864" s="18" t="n">
        <v>0</v>
      </c>
      <c r="K1864" s="19" t="n">
        <v>0</v>
      </c>
      <c r="L1864" s="17" t="s">
        <v>88</v>
      </c>
    </row>
    <row r="1865" s="11" customFormat="true" ht="10.95" hidden="false" customHeight="true" outlineLevel="0" collapsed="false">
      <c r="A1865" s="16" t="n">
        <v>45280</v>
      </c>
      <c r="B1865" s="17" t="s">
        <v>787</v>
      </c>
      <c r="C1865" s="17" t="s">
        <v>788</v>
      </c>
      <c r="D1865" s="17" t="s">
        <v>19</v>
      </c>
      <c r="E1865" s="17" t="s">
        <v>873</v>
      </c>
      <c r="F1865" s="17" t="s">
        <v>872</v>
      </c>
      <c r="G1865" s="18" t="n">
        <v>0</v>
      </c>
      <c r="H1865" s="18" t="n">
        <v>93.04</v>
      </c>
      <c r="I1865" s="18" t="n">
        <f aca="false">((I1864 + G1865) - H1865)</f>
        <v>-149775.5</v>
      </c>
      <c r="J1865" s="18" t="n">
        <v>0</v>
      </c>
      <c r="K1865" s="19" t="n">
        <v>0</v>
      </c>
      <c r="L1865" s="17" t="s">
        <v>88</v>
      </c>
    </row>
    <row r="1866" s="11" customFormat="true" ht="10.95" hidden="false" customHeight="true" outlineLevel="0" collapsed="false">
      <c r="A1866" s="16" t="n">
        <v>45280</v>
      </c>
      <c r="B1866" s="17" t="s">
        <v>787</v>
      </c>
      <c r="C1866" s="17" t="s">
        <v>788</v>
      </c>
      <c r="D1866" s="17" t="s">
        <v>19</v>
      </c>
      <c r="E1866" s="17" t="s">
        <v>871</v>
      </c>
      <c r="F1866" s="17" t="s">
        <v>872</v>
      </c>
      <c r="G1866" s="18" t="n">
        <v>0</v>
      </c>
      <c r="H1866" s="18" t="n">
        <v>265.41</v>
      </c>
      <c r="I1866" s="18" t="n">
        <f aca="false">((I1865 + G1866) - H1866)</f>
        <v>-150040.91</v>
      </c>
      <c r="J1866" s="18" t="n">
        <v>0</v>
      </c>
      <c r="K1866" s="19" t="n">
        <v>0</v>
      </c>
      <c r="L1866" s="17" t="s">
        <v>88</v>
      </c>
    </row>
    <row r="1867" s="11" customFormat="true" ht="10.95" hidden="false" customHeight="true" outlineLevel="0" collapsed="false">
      <c r="A1867" s="16" t="n">
        <v>45280</v>
      </c>
      <c r="B1867" s="17" t="s">
        <v>787</v>
      </c>
      <c r="C1867" s="17" t="s">
        <v>788</v>
      </c>
      <c r="D1867" s="17" t="s">
        <v>19</v>
      </c>
      <c r="E1867" s="17" t="s">
        <v>873</v>
      </c>
      <c r="F1867" s="17" t="s">
        <v>872</v>
      </c>
      <c r="G1867" s="18" t="n">
        <v>0</v>
      </c>
      <c r="H1867" s="18" t="n">
        <v>93.04</v>
      </c>
      <c r="I1867" s="18" t="n">
        <f aca="false">((I1866 + G1867) - H1867)</f>
        <v>-150133.95</v>
      </c>
      <c r="J1867" s="18" t="n">
        <v>0</v>
      </c>
      <c r="K1867" s="19" t="n">
        <v>0</v>
      </c>
      <c r="L1867" s="17" t="s">
        <v>88</v>
      </c>
    </row>
    <row r="1868" s="11" customFormat="true" ht="10.95" hidden="false" customHeight="true" outlineLevel="0" collapsed="false">
      <c r="A1868" s="16" t="n">
        <v>45280</v>
      </c>
      <c r="B1868" s="17" t="s">
        <v>787</v>
      </c>
      <c r="C1868" s="17" t="s">
        <v>788</v>
      </c>
      <c r="D1868" s="17" t="s">
        <v>19</v>
      </c>
      <c r="E1868" s="17" t="s">
        <v>871</v>
      </c>
      <c r="F1868" s="17" t="s">
        <v>872</v>
      </c>
      <c r="G1868" s="18" t="n">
        <v>0</v>
      </c>
      <c r="H1868" s="18" t="n">
        <v>265.41</v>
      </c>
      <c r="I1868" s="18" t="n">
        <f aca="false">((I1867 + G1868) - H1868)</f>
        <v>-150399.36</v>
      </c>
      <c r="J1868" s="18" t="n">
        <v>0</v>
      </c>
      <c r="K1868" s="19" t="n">
        <v>0</v>
      </c>
      <c r="L1868" s="17" t="s">
        <v>88</v>
      </c>
    </row>
    <row r="1869" s="11" customFormat="true" ht="10.95" hidden="false" customHeight="true" outlineLevel="0" collapsed="false">
      <c r="A1869" s="16" t="n">
        <v>45280</v>
      </c>
      <c r="B1869" s="17" t="s">
        <v>787</v>
      </c>
      <c r="C1869" s="17" t="s">
        <v>788</v>
      </c>
      <c r="D1869" s="17" t="s">
        <v>19</v>
      </c>
      <c r="E1869" s="17" t="s">
        <v>873</v>
      </c>
      <c r="F1869" s="17" t="s">
        <v>872</v>
      </c>
      <c r="G1869" s="18" t="n">
        <v>0</v>
      </c>
      <c r="H1869" s="18" t="n">
        <v>93.04</v>
      </c>
      <c r="I1869" s="18" t="n">
        <f aca="false">((I1868 + G1869) - H1869)</f>
        <v>-150492.4</v>
      </c>
      <c r="J1869" s="18" t="n">
        <v>0</v>
      </c>
      <c r="K1869" s="19" t="n">
        <v>0</v>
      </c>
      <c r="L1869" s="17" t="s">
        <v>88</v>
      </c>
    </row>
    <row r="1870" s="11" customFormat="true" ht="10.95" hidden="false" customHeight="true" outlineLevel="0" collapsed="false">
      <c r="A1870" s="16" t="n">
        <v>45280</v>
      </c>
      <c r="B1870" s="17" t="s">
        <v>787</v>
      </c>
      <c r="C1870" s="17" t="s">
        <v>788</v>
      </c>
      <c r="D1870" s="17" t="s">
        <v>19</v>
      </c>
      <c r="E1870" s="17" t="s">
        <v>871</v>
      </c>
      <c r="F1870" s="17" t="s">
        <v>872</v>
      </c>
      <c r="G1870" s="18" t="n">
        <v>0</v>
      </c>
      <c r="H1870" s="18" t="n">
        <v>265.41</v>
      </c>
      <c r="I1870" s="18" t="n">
        <f aca="false">((I1869 + G1870) - H1870)</f>
        <v>-150757.81</v>
      </c>
      <c r="J1870" s="18" t="n">
        <v>0</v>
      </c>
      <c r="K1870" s="19" t="n">
        <v>0</v>
      </c>
      <c r="L1870" s="17" t="s">
        <v>88</v>
      </c>
    </row>
    <row r="1871" s="11" customFormat="true" ht="10.95" hidden="false" customHeight="true" outlineLevel="0" collapsed="false">
      <c r="A1871" s="16" t="n">
        <v>45280</v>
      </c>
      <c r="B1871" s="17" t="s">
        <v>787</v>
      </c>
      <c r="C1871" s="17" t="s">
        <v>788</v>
      </c>
      <c r="D1871" s="17" t="s">
        <v>19</v>
      </c>
      <c r="E1871" s="17" t="s">
        <v>873</v>
      </c>
      <c r="F1871" s="17" t="s">
        <v>872</v>
      </c>
      <c r="G1871" s="18" t="n">
        <v>0</v>
      </c>
      <c r="H1871" s="18" t="n">
        <v>93.04</v>
      </c>
      <c r="I1871" s="18" t="n">
        <f aca="false">((I1870 + G1871) - H1871)</f>
        <v>-150850.85</v>
      </c>
      <c r="J1871" s="18" t="n">
        <v>0</v>
      </c>
      <c r="K1871" s="19" t="n">
        <v>0</v>
      </c>
      <c r="L1871" s="17" t="s">
        <v>88</v>
      </c>
    </row>
    <row r="1872" s="11" customFormat="true" ht="10.95" hidden="false" customHeight="true" outlineLevel="0" collapsed="false">
      <c r="A1872" s="16" t="n">
        <v>45280</v>
      </c>
      <c r="B1872" s="17" t="s">
        <v>787</v>
      </c>
      <c r="C1872" s="17" t="s">
        <v>788</v>
      </c>
      <c r="D1872" s="17" t="s">
        <v>19</v>
      </c>
      <c r="E1872" s="17" t="s">
        <v>871</v>
      </c>
      <c r="F1872" s="17" t="s">
        <v>872</v>
      </c>
      <c r="G1872" s="18" t="n">
        <v>0</v>
      </c>
      <c r="H1872" s="18" t="n">
        <v>265.41</v>
      </c>
      <c r="I1872" s="18" t="n">
        <f aca="false">((I1871 + G1872) - H1872)</f>
        <v>-151116.26</v>
      </c>
      <c r="J1872" s="18" t="n">
        <v>0</v>
      </c>
      <c r="K1872" s="19" t="n">
        <v>0</v>
      </c>
      <c r="L1872" s="17" t="s">
        <v>88</v>
      </c>
    </row>
    <row r="1873" s="11" customFormat="true" ht="10.95" hidden="false" customHeight="true" outlineLevel="0" collapsed="false">
      <c r="A1873" s="16" t="n">
        <v>45280</v>
      </c>
      <c r="B1873" s="17" t="s">
        <v>787</v>
      </c>
      <c r="C1873" s="17" t="s">
        <v>788</v>
      </c>
      <c r="D1873" s="17" t="s">
        <v>19</v>
      </c>
      <c r="E1873" s="17" t="s">
        <v>873</v>
      </c>
      <c r="F1873" s="17" t="s">
        <v>872</v>
      </c>
      <c r="G1873" s="18" t="n">
        <v>0</v>
      </c>
      <c r="H1873" s="18" t="n">
        <v>93.04</v>
      </c>
      <c r="I1873" s="18" t="n">
        <f aca="false">((I1872 + G1873) - H1873)</f>
        <v>-151209.3</v>
      </c>
      <c r="J1873" s="18" t="n">
        <v>0</v>
      </c>
      <c r="K1873" s="19" t="n">
        <v>0</v>
      </c>
      <c r="L1873" s="17" t="s">
        <v>88</v>
      </c>
    </row>
    <row r="1874" s="11" customFormat="true" ht="10.95" hidden="false" customHeight="true" outlineLevel="0" collapsed="false">
      <c r="A1874" s="16" t="n">
        <v>45280</v>
      </c>
      <c r="B1874" s="17" t="s">
        <v>787</v>
      </c>
      <c r="C1874" s="17" t="s">
        <v>788</v>
      </c>
      <c r="D1874" s="17" t="s">
        <v>19</v>
      </c>
      <c r="E1874" s="17" t="s">
        <v>871</v>
      </c>
      <c r="F1874" s="17" t="s">
        <v>872</v>
      </c>
      <c r="G1874" s="18" t="n">
        <v>0</v>
      </c>
      <c r="H1874" s="18" t="n">
        <v>265.41</v>
      </c>
      <c r="I1874" s="18" t="n">
        <f aca="false">((I1873 + G1874) - H1874)</f>
        <v>-151474.71</v>
      </c>
      <c r="J1874" s="18" t="n">
        <v>0</v>
      </c>
      <c r="K1874" s="19" t="n">
        <v>0</v>
      </c>
      <c r="L1874" s="17" t="s">
        <v>88</v>
      </c>
    </row>
    <row r="1875" s="11" customFormat="true" ht="10.95" hidden="false" customHeight="true" outlineLevel="0" collapsed="false">
      <c r="A1875" s="16" t="n">
        <v>45280</v>
      </c>
      <c r="B1875" s="17" t="s">
        <v>787</v>
      </c>
      <c r="C1875" s="17" t="s">
        <v>788</v>
      </c>
      <c r="D1875" s="17" t="s">
        <v>19</v>
      </c>
      <c r="E1875" s="17" t="s">
        <v>873</v>
      </c>
      <c r="F1875" s="17" t="s">
        <v>872</v>
      </c>
      <c r="G1875" s="18" t="n">
        <v>0</v>
      </c>
      <c r="H1875" s="18" t="n">
        <v>93.04</v>
      </c>
      <c r="I1875" s="18" t="n">
        <f aca="false">((I1874 + G1875) - H1875)</f>
        <v>-151567.75</v>
      </c>
      <c r="J1875" s="18" t="n">
        <v>0</v>
      </c>
      <c r="K1875" s="19" t="n">
        <v>0</v>
      </c>
      <c r="L1875" s="17" t="s">
        <v>88</v>
      </c>
    </row>
    <row r="1876" s="11" customFormat="true" ht="10.95" hidden="false" customHeight="true" outlineLevel="0" collapsed="false">
      <c r="A1876" s="16" t="n">
        <v>45280</v>
      </c>
      <c r="B1876" s="17" t="s">
        <v>787</v>
      </c>
      <c r="C1876" s="17" t="s">
        <v>788</v>
      </c>
      <c r="D1876" s="17" t="s">
        <v>19</v>
      </c>
      <c r="E1876" s="17" t="s">
        <v>871</v>
      </c>
      <c r="F1876" s="17" t="s">
        <v>872</v>
      </c>
      <c r="G1876" s="18" t="n">
        <v>0</v>
      </c>
      <c r="H1876" s="18" t="n">
        <v>265.41</v>
      </c>
      <c r="I1876" s="18" t="n">
        <f aca="false">((I1875 + G1876) - H1876)</f>
        <v>-151833.16</v>
      </c>
      <c r="J1876" s="18" t="n">
        <v>0</v>
      </c>
      <c r="K1876" s="19" t="n">
        <v>0</v>
      </c>
      <c r="L1876" s="17" t="s">
        <v>88</v>
      </c>
    </row>
    <row r="1877" s="11" customFormat="true" ht="10.95" hidden="false" customHeight="true" outlineLevel="0" collapsed="false">
      <c r="A1877" s="16" t="n">
        <v>45280</v>
      </c>
      <c r="B1877" s="17" t="s">
        <v>787</v>
      </c>
      <c r="C1877" s="17" t="s">
        <v>788</v>
      </c>
      <c r="D1877" s="17" t="s">
        <v>19</v>
      </c>
      <c r="E1877" s="17" t="s">
        <v>873</v>
      </c>
      <c r="F1877" s="17" t="s">
        <v>872</v>
      </c>
      <c r="G1877" s="18" t="n">
        <v>0</v>
      </c>
      <c r="H1877" s="18" t="n">
        <v>93.04</v>
      </c>
      <c r="I1877" s="18" t="n">
        <f aca="false">((I1876 + G1877) - H1877)</f>
        <v>-151926.2</v>
      </c>
      <c r="J1877" s="18" t="n">
        <v>0</v>
      </c>
      <c r="K1877" s="19" t="n">
        <v>0</v>
      </c>
      <c r="L1877" s="17" t="s">
        <v>88</v>
      </c>
    </row>
    <row r="1878" s="11" customFormat="true" ht="10.95" hidden="false" customHeight="true" outlineLevel="0" collapsed="false">
      <c r="A1878" s="16" t="n">
        <v>45280</v>
      </c>
      <c r="B1878" s="17" t="s">
        <v>787</v>
      </c>
      <c r="C1878" s="17" t="s">
        <v>788</v>
      </c>
      <c r="D1878" s="17" t="s">
        <v>19</v>
      </c>
      <c r="E1878" s="17" t="s">
        <v>871</v>
      </c>
      <c r="F1878" s="17" t="s">
        <v>872</v>
      </c>
      <c r="G1878" s="18" t="n">
        <v>0</v>
      </c>
      <c r="H1878" s="18" t="n">
        <v>265.41</v>
      </c>
      <c r="I1878" s="18" t="n">
        <f aca="false">((I1877 + G1878) - H1878)</f>
        <v>-152191.61</v>
      </c>
      <c r="J1878" s="18" t="n">
        <v>0</v>
      </c>
      <c r="K1878" s="19" t="n">
        <v>0</v>
      </c>
      <c r="L1878" s="17" t="s">
        <v>88</v>
      </c>
    </row>
    <row r="1879" s="11" customFormat="true" ht="10.95" hidden="false" customHeight="true" outlineLevel="0" collapsed="false">
      <c r="A1879" s="16" t="n">
        <v>45280</v>
      </c>
      <c r="B1879" s="17" t="s">
        <v>787</v>
      </c>
      <c r="C1879" s="17" t="s">
        <v>788</v>
      </c>
      <c r="D1879" s="17" t="s">
        <v>19</v>
      </c>
      <c r="E1879" s="17" t="s">
        <v>873</v>
      </c>
      <c r="F1879" s="17" t="s">
        <v>872</v>
      </c>
      <c r="G1879" s="18" t="n">
        <v>0</v>
      </c>
      <c r="H1879" s="18" t="n">
        <v>93.04</v>
      </c>
      <c r="I1879" s="18" t="n">
        <f aca="false">((I1878 + G1879) - H1879)</f>
        <v>-152284.65</v>
      </c>
      <c r="J1879" s="18" t="n">
        <v>0</v>
      </c>
      <c r="K1879" s="19" t="n">
        <v>0</v>
      </c>
      <c r="L1879" s="17" t="s">
        <v>88</v>
      </c>
    </row>
    <row r="1880" s="11" customFormat="true" ht="10.95" hidden="false" customHeight="true" outlineLevel="0" collapsed="false">
      <c r="A1880" s="16" t="n">
        <v>45316</v>
      </c>
      <c r="B1880" s="17" t="s">
        <v>787</v>
      </c>
      <c r="C1880" s="17" t="s">
        <v>788</v>
      </c>
      <c r="D1880" s="17" t="s">
        <v>19</v>
      </c>
      <c r="E1880" s="17" t="s">
        <v>793</v>
      </c>
      <c r="F1880" s="17" t="s">
        <v>874</v>
      </c>
      <c r="G1880" s="18" t="n">
        <v>0</v>
      </c>
      <c r="H1880" s="18" t="n">
        <v>90.81</v>
      </c>
      <c r="I1880" s="18" t="n">
        <f aca="false">((I1879 + G1880) - H1880)</f>
        <v>-152375.46</v>
      </c>
      <c r="J1880" s="18" t="n">
        <v>0</v>
      </c>
      <c r="K1880" s="19" t="n">
        <v>0</v>
      </c>
      <c r="L1880" s="17" t="s">
        <v>88</v>
      </c>
    </row>
    <row r="1881" s="11" customFormat="true" ht="10.95" hidden="false" customHeight="true" outlineLevel="0" collapsed="false">
      <c r="A1881" s="16" t="n">
        <v>45316</v>
      </c>
      <c r="B1881" s="17" t="s">
        <v>787</v>
      </c>
      <c r="C1881" s="17" t="s">
        <v>788</v>
      </c>
      <c r="D1881" s="17" t="s">
        <v>19</v>
      </c>
      <c r="E1881" s="17" t="s">
        <v>795</v>
      </c>
      <c r="F1881" s="17" t="s">
        <v>875</v>
      </c>
      <c r="G1881" s="18" t="n">
        <v>0</v>
      </c>
      <c r="H1881" s="18" t="n">
        <v>486.96</v>
      </c>
      <c r="I1881" s="18" t="n">
        <f aca="false">((I1880 + G1881) - H1881)</f>
        <v>-152862.42</v>
      </c>
      <c r="J1881" s="18" t="n">
        <v>0</v>
      </c>
      <c r="K1881" s="19" t="n">
        <v>0</v>
      </c>
      <c r="L1881" s="17" t="s">
        <v>88</v>
      </c>
    </row>
    <row r="1882" s="11" customFormat="true" ht="10.95" hidden="false" customHeight="true" outlineLevel="0" collapsed="false">
      <c r="A1882" s="16" t="n">
        <v>45316</v>
      </c>
      <c r="B1882" s="17" t="s">
        <v>787</v>
      </c>
      <c r="C1882" s="17" t="s">
        <v>788</v>
      </c>
      <c r="D1882" s="17" t="s">
        <v>19</v>
      </c>
      <c r="E1882" s="17" t="s">
        <v>861</v>
      </c>
      <c r="F1882" s="17" t="s">
        <v>875</v>
      </c>
      <c r="G1882" s="18" t="n">
        <v>0</v>
      </c>
      <c r="H1882" s="18" t="n">
        <v>124.86</v>
      </c>
      <c r="I1882" s="18" t="n">
        <f aca="false">((I1881 + G1882) - H1882)</f>
        <v>-152987.28</v>
      </c>
      <c r="J1882" s="18" t="n">
        <v>0</v>
      </c>
      <c r="K1882" s="19" t="n">
        <v>0</v>
      </c>
      <c r="L1882" s="17" t="s">
        <v>88</v>
      </c>
    </row>
    <row r="1883" s="11" customFormat="true" ht="10.95" hidden="false" customHeight="true" outlineLevel="0" collapsed="false">
      <c r="A1883" s="16" t="n">
        <v>45316</v>
      </c>
      <c r="B1883" s="17" t="s">
        <v>787</v>
      </c>
      <c r="C1883" s="17" t="s">
        <v>788</v>
      </c>
      <c r="D1883" s="17" t="s">
        <v>19</v>
      </c>
      <c r="E1883" s="17" t="s">
        <v>795</v>
      </c>
      <c r="F1883" s="17" t="s">
        <v>876</v>
      </c>
      <c r="G1883" s="18" t="n">
        <v>0</v>
      </c>
      <c r="H1883" s="18" t="n">
        <v>486.96</v>
      </c>
      <c r="I1883" s="18" t="n">
        <f aca="false">((I1882 + G1883) - H1883)</f>
        <v>-153474.24</v>
      </c>
      <c r="J1883" s="18" t="n">
        <v>0</v>
      </c>
      <c r="K1883" s="19" t="n">
        <v>0</v>
      </c>
      <c r="L1883" s="17" t="s">
        <v>88</v>
      </c>
    </row>
    <row r="1884" s="11" customFormat="true" ht="10.95" hidden="false" customHeight="true" outlineLevel="0" collapsed="false">
      <c r="A1884" s="16" t="n">
        <v>45316</v>
      </c>
      <c r="B1884" s="17" t="s">
        <v>787</v>
      </c>
      <c r="C1884" s="17" t="s">
        <v>788</v>
      </c>
      <c r="D1884" s="17" t="s">
        <v>19</v>
      </c>
      <c r="E1884" s="17" t="s">
        <v>795</v>
      </c>
      <c r="F1884" s="17" t="s">
        <v>877</v>
      </c>
      <c r="G1884" s="18" t="n">
        <v>0</v>
      </c>
      <c r="H1884" s="18" t="n">
        <v>324.64</v>
      </c>
      <c r="I1884" s="18" t="n">
        <f aca="false">((I1883 + G1884) - H1884)</f>
        <v>-153798.88</v>
      </c>
      <c r="J1884" s="18" t="n">
        <v>0</v>
      </c>
      <c r="K1884" s="19" t="n">
        <v>0</v>
      </c>
      <c r="L1884" s="17" t="s">
        <v>88</v>
      </c>
    </row>
    <row r="1885" s="11" customFormat="true" ht="10.95" hidden="false" customHeight="true" outlineLevel="0" collapsed="false">
      <c r="A1885" s="16" t="n">
        <v>45316</v>
      </c>
      <c r="B1885" s="17" t="s">
        <v>787</v>
      </c>
      <c r="C1885" s="17" t="s">
        <v>788</v>
      </c>
      <c r="D1885" s="17" t="s">
        <v>19</v>
      </c>
      <c r="E1885" s="17" t="s">
        <v>798</v>
      </c>
      <c r="F1885" s="17" t="s">
        <v>878</v>
      </c>
      <c r="G1885" s="18" t="n">
        <v>0</v>
      </c>
      <c r="H1885" s="18" t="n">
        <v>2403.5</v>
      </c>
      <c r="I1885" s="18" t="n">
        <f aca="false">((I1884 + G1885) - H1885)</f>
        <v>-156202.38</v>
      </c>
      <c r="J1885" s="18" t="n">
        <v>0</v>
      </c>
      <c r="K1885" s="19" t="n">
        <v>0</v>
      </c>
      <c r="L1885" s="17" t="s">
        <v>88</v>
      </c>
    </row>
    <row r="1886" s="11" customFormat="true" ht="10.95" hidden="false" customHeight="true" outlineLevel="0" collapsed="false">
      <c r="A1886" s="16" t="n">
        <v>45316</v>
      </c>
      <c r="B1886" s="17" t="s">
        <v>787</v>
      </c>
      <c r="C1886" s="17" t="s">
        <v>788</v>
      </c>
      <c r="D1886" s="17" t="s">
        <v>19</v>
      </c>
      <c r="E1886" s="17" t="s">
        <v>801</v>
      </c>
      <c r="F1886" s="17" t="s">
        <v>879</v>
      </c>
      <c r="G1886" s="18" t="n">
        <v>0</v>
      </c>
      <c r="H1886" s="18" t="n">
        <v>1001</v>
      </c>
      <c r="I1886" s="18" t="n">
        <f aca="false">((I1885 + G1886) - H1886)</f>
        <v>-157203.38</v>
      </c>
      <c r="J1886" s="18" t="n">
        <v>0</v>
      </c>
      <c r="K1886" s="19" t="n">
        <v>0</v>
      </c>
      <c r="L1886" s="17" t="s">
        <v>88</v>
      </c>
    </row>
    <row r="1887" s="11" customFormat="true" ht="10.95" hidden="false" customHeight="true" outlineLevel="0" collapsed="false">
      <c r="A1887" s="16" t="n">
        <v>45316</v>
      </c>
      <c r="B1887" s="17" t="s">
        <v>787</v>
      </c>
      <c r="C1887" s="17" t="s">
        <v>788</v>
      </c>
      <c r="D1887" s="17" t="s">
        <v>19</v>
      </c>
      <c r="E1887" s="17" t="s">
        <v>798</v>
      </c>
      <c r="F1887" s="17" t="s">
        <v>880</v>
      </c>
      <c r="G1887" s="18" t="n">
        <v>0</v>
      </c>
      <c r="H1887" s="18" t="n">
        <v>1672</v>
      </c>
      <c r="I1887" s="18" t="n">
        <f aca="false">((I1886 + G1887) - H1887)</f>
        <v>-158875.38</v>
      </c>
      <c r="J1887" s="18" t="n">
        <v>0</v>
      </c>
      <c r="K1887" s="19" t="n">
        <v>0</v>
      </c>
      <c r="L1887" s="17" t="s">
        <v>88</v>
      </c>
    </row>
    <row r="1888" s="11" customFormat="true" ht="10.95" hidden="false" customHeight="true" outlineLevel="0" collapsed="false">
      <c r="A1888" s="16" t="n">
        <v>45316</v>
      </c>
      <c r="B1888" s="17" t="s">
        <v>787</v>
      </c>
      <c r="C1888" s="17" t="s">
        <v>788</v>
      </c>
      <c r="D1888" s="17" t="s">
        <v>19</v>
      </c>
      <c r="E1888" s="17" t="s">
        <v>789</v>
      </c>
      <c r="F1888" s="17" t="s">
        <v>881</v>
      </c>
      <c r="G1888" s="18" t="n">
        <v>0</v>
      </c>
      <c r="H1888" s="18" t="n">
        <v>213.51</v>
      </c>
      <c r="I1888" s="18" t="n">
        <f aca="false">((I1887 + G1888) - H1888)</f>
        <v>-159088.89</v>
      </c>
      <c r="J1888" s="18" t="n">
        <v>0</v>
      </c>
      <c r="K1888" s="19" t="n">
        <v>0</v>
      </c>
      <c r="L1888" s="17" t="s">
        <v>88</v>
      </c>
    </row>
    <row r="1889" s="11" customFormat="true" ht="10.95" hidden="false" customHeight="true" outlineLevel="0" collapsed="false">
      <c r="A1889" s="16" t="n">
        <v>45316</v>
      </c>
      <c r="B1889" s="17" t="s">
        <v>787</v>
      </c>
      <c r="C1889" s="17" t="s">
        <v>788</v>
      </c>
      <c r="D1889" s="17" t="s">
        <v>19</v>
      </c>
      <c r="E1889" s="17" t="s">
        <v>815</v>
      </c>
      <c r="F1889" s="17" t="s">
        <v>881</v>
      </c>
      <c r="G1889" s="18" t="n">
        <v>0</v>
      </c>
      <c r="H1889" s="18" t="n">
        <v>561.88</v>
      </c>
      <c r="I1889" s="18" t="n">
        <f aca="false">((I1888 + G1889) - H1889)</f>
        <v>-159650.77</v>
      </c>
      <c r="J1889" s="18" t="n">
        <v>0</v>
      </c>
      <c r="K1889" s="19" t="n">
        <v>0</v>
      </c>
      <c r="L1889" s="17" t="s">
        <v>88</v>
      </c>
    </row>
    <row r="1890" s="11" customFormat="true" ht="10.95" hidden="false" customHeight="true" outlineLevel="0" collapsed="false">
      <c r="A1890" s="16" t="n">
        <v>45316</v>
      </c>
      <c r="B1890" s="17" t="s">
        <v>787</v>
      </c>
      <c r="C1890" s="17" t="s">
        <v>788</v>
      </c>
      <c r="D1890" s="17" t="s">
        <v>19</v>
      </c>
      <c r="E1890" s="17" t="s">
        <v>789</v>
      </c>
      <c r="F1890" s="17" t="s">
        <v>881</v>
      </c>
      <c r="G1890" s="18" t="n">
        <v>0</v>
      </c>
      <c r="H1890" s="18" t="n">
        <v>213.51</v>
      </c>
      <c r="I1890" s="18" t="n">
        <f aca="false">((I1889 + G1890) - H1890)</f>
        <v>-159864.28</v>
      </c>
      <c r="J1890" s="18" t="n">
        <v>0</v>
      </c>
      <c r="K1890" s="19" t="n">
        <v>0</v>
      </c>
      <c r="L1890" s="17" t="s">
        <v>88</v>
      </c>
    </row>
    <row r="1891" s="11" customFormat="true" ht="10.95" hidden="false" customHeight="true" outlineLevel="0" collapsed="false">
      <c r="A1891" s="16" t="n">
        <v>45316</v>
      </c>
      <c r="B1891" s="17" t="s">
        <v>787</v>
      </c>
      <c r="C1891" s="17" t="s">
        <v>788</v>
      </c>
      <c r="D1891" s="17" t="s">
        <v>19</v>
      </c>
      <c r="E1891" s="17" t="s">
        <v>815</v>
      </c>
      <c r="F1891" s="17" t="s">
        <v>881</v>
      </c>
      <c r="G1891" s="18" t="n">
        <v>0</v>
      </c>
      <c r="H1891" s="18" t="n">
        <v>561.88</v>
      </c>
      <c r="I1891" s="18" t="n">
        <f aca="false">((I1890 + G1891) - H1891)</f>
        <v>-160426.16</v>
      </c>
      <c r="J1891" s="18" t="n">
        <v>0</v>
      </c>
      <c r="K1891" s="19" t="n">
        <v>0</v>
      </c>
      <c r="L1891" s="17" t="s">
        <v>88</v>
      </c>
    </row>
    <row r="1892" s="11" customFormat="true" ht="10.95" hidden="false" customHeight="true" outlineLevel="0" collapsed="false">
      <c r="A1892" s="16" t="n">
        <v>45316</v>
      </c>
      <c r="B1892" s="17" t="s">
        <v>787</v>
      </c>
      <c r="C1892" s="17" t="s">
        <v>788</v>
      </c>
      <c r="D1892" s="17" t="s">
        <v>19</v>
      </c>
      <c r="E1892" s="17" t="s">
        <v>789</v>
      </c>
      <c r="F1892" s="17" t="s">
        <v>881</v>
      </c>
      <c r="G1892" s="18" t="n">
        <v>0</v>
      </c>
      <c r="H1892" s="18" t="n">
        <v>213.51</v>
      </c>
      <c r="I1892" s="18" t="n">
        <f aca="false">((I1891 + G1892) - H1892)</f>
        <v>-160639.67</v>
      </c>
      <c r="J1892" s="18" t="n">
        <v>0</v>
      </c>
      <c r="K1892" s="19" t="n">
        <v>0</v>
      </c>
      <c r="L1892" s="17" t="s">
        <v>88</v>
      </c>
    </row>
    <row r="1893" s="11" customFormat="true" ht="10.95" hidden="false" customHeight="true" outlineLevel="0" collapsed="false">
      <c r="A1893" s="16" t="n">
        <v>45316</v>
      </c>
      <c r="B1893" s="17" t="s">
        <v>787</v>
      </c>
      <c r="C1893" s="17" t="s">
        <v>788</v>
      </c>
      <c r="D1893" s="17" t="s">
        <v>19</v>
      </c>
      <c r="E1893" s="17" t="s">
        <v>815</v>
      </c>
      <c r="F1893" s="17" t="s">
        <v>881</v>
      </c>
      <c r="G1893" s="18" t="n">
        <v>0</v>
      </c>
      <c r="H1893" s="18" t="n">
        <v>561.88</v>
      </c>
      <c r="I1893" s="18" t="n">
        <f aca="false">((I1892 + G1893) - H1893)</f>
        <v>-161201.55</v>
      </c>
      <c r="J1893" s="18" t="n">
        <v>0</v>
      </c>
      <c r="K1893" s="19" t="n">
        <v>0</v>
      </c>
      <c r="L1893" s="17" t="s">
        <v>88</v>
      </c>
    </row>
    <row r="1894" s="11" customFormat="true" ht="10.95" hidden="false" customHeight="true" outlineLevel="0" collapsed="false">
      <c r="A1894" s="16" t="n">
        <v>45316</v>
      </c>
      <c r="B1894" s="17" t="s">
        <v>787</v>
      </c>
      <c r="C1894" s="17" t="s">
        <v>788</v>
      </c>
      <c r="D1894" s="17" t="s">
        <v>19</v>
      </c>
      <c r="E1894" s="17" t="s">
        <v>789</v>
      </c>
      <c r="F1894" s="17" t="s">
        <v>881</v>
      </c>
      <c r="G1894" s="18" t="n">
        <v>0</v>
      </c>
      <c r="H1894" s="18" t="n">
        <v>213.51</v>
      </c>
      <c r="I1894" s="18" t="n">
        <f aca="false">((I1893 + G1894) - H1894)</f>
        <v>-161415.06</v>
      </c>
      <c r="J1894" s="18" t="n">
        <v>0</v>
      </c>
      <c r="K1894" s="19" t="n">
        <v>0</v>
      </c>
      <c r="L1894" s="17" t="s">
        <v>88</v>
      </c>
    </row>
    <row r="1895" s="11" customFormat="true" ht="10.95" hidden="false" customHeight="true" outlineLevel="0" collapsed="false">
      <c r="A1895" s="16" t="n">
        <v>45316</v>
      </c>
      <c r="B1895" s="17" t="s">
        <v>787</v>
      </c>
      <c r="C1895" s="17" t="s">
        <v>788</v>
      </c>
      <c r="D1895" s="17" t="s">
        <v>19</v>
      </c>
      <c r="E1895" s="17" t="s">
        <v>815</v>
      </c>
      <c r="F1895" s="17" t="s">
        <v>881</v>
      </c>
      <c r="G1895" s="18" t="n">
        <v>0</v>
      </c>
      <c r="H1895" s="18" t="n">
        <v>561.88</v>
      </c>
      <c r="I1895" s="18" t="n">
        <f aca="false">((I1894 + G1895) - H1895)</f>
        <v>-161976.94</v>
      </c>
      <c r="J1895" s="18" t="n">
        <v>0</v>
      </c>
      <c r="K1895" s="19" t="n">
        <v>0</v>
      </c>
      <c r="L1895" s="17" t="s">
        <v>88</v>
      </c>
    </row>
    <row r="1896" s="11" customFormat="true" ht="10.95" hidden="false" customHeight="true" outlineLevel="0" collapsed="false">
      <c r="A1896" s="16" t="n">
        <v>45316</v>
      </c>
      <c r="B1896" s="17" t="s">
        <v>787</v>
      </c>
      <c r="C1896" s="17" t="s">
        <v>788</v>
      </c>
      <c r="D1896" s="17" t="s">
        <v>19</v>
      </c>
      <c r="E1896" s="17" t="s">
        <v>789</v>
      </c>
      <c r="F1896" s="17" t="s">
        <v>881</v>
      </c>
      <c r="G1896" s="18" t="n">
        <v>0</v>
      </c>
      <c r="H1896" s="18" t="n">
        <v>213.51</v>
      </c>
      <c r="I1896" s="18" t="n">
        <f aca="false">((I1895 + G1896) - H1896)</f>
        <v>-162190.45</v>
      </c>
      <c r="J1896" s="18" t="n">
        <v>0</v>
      </c>
      <c r="K1896" s="19" t="n">
        <v>0</v>
      </c>
      <c r="L1896" s="17" t="s">
        <v>88</v>
      </c>
    </row>
    <row r="1897" s="11" customFormat="true" ht="10.95" hidden="false" customHeight="true" outlineLevel="0" collapsed="false">
      <c r="A1897" s="16" t="n">
        <v>45316</v>
      </c>
      <c r="B1897" s="17" t="s">
        <v>787</v>
      </c>
      <c r="C1897" s="17" t="s">
        <v>788</v>
      </c>
      <c r="D1897" s="17" t="s">
        <v>19</v>
      </c>
      <c r="E1897" s="17" t="s">
        <v>815</v>
      </c>
      <c r="F1897" s="17" t="s">
        <v>881</v>
      </c>
      <c r="G1897" s="18" t="n">
        <v>0</v>
      </c>
      <c r="H1897" s="18" t="n">
        <v>561.88</v>
      </c>
      <c r="I1897" s="18" t="n">
        <f aca="false">((I1896 + G1897) - H1897)</f>
        <v>-162752.33</v>
      </c>
      <c r="J1897" s="18" t="n">
        <v>0</v>
      </c>
      <c r="K1897" s="19" t="n">
        <v>0</v>
      </c>
      <c r="L1897" s="17" t="s">
        <v>88</v>
      </c>
    </row>
    <row r="1898" s="11" customFormat="true" ht="10.95" hidden="false" customHeight="true" outlineLevel="0" collapsed="false">
      <c r="A1898" s="16" t="n">
        <v>45316</v>
      </c>
      <c r="B1898" s="17" t="s">
        <v>787</v>
      </c>
      <c r="C1898" s="17" t="s">
        <v>788</v>
      </c>
      <c r="D1898" s="17" t="s">
        <v>19</v>
      </c>
      <c r="E1898" s="17" t="s">
        <v>789</v>
      </c>
      <c r="F1898" s="17" t="s">
        <v>881</v>
      </c>
      <c r="G1898" s="18" t="n">
        <v>0</v>
      </c>
      <c r="H1898" s="18" t="n">
        <v>213.51</v>
      </c>
      <c r="I1898" s="18" t="n">
        <f aca="false">((I1897 + G1898) - H1898)</f>
        <v>-162965.84</v>
      </c>
      <c r="J1898" s="18" t="n">
        <v>0</v>
      </c>
      <c r="K1898" s="19" t="n">
        <v>0</v>
      </c>
      <c r="L1898" s="17" t="s">
        <v>88</v>
      </c>
    </row>
    <row r="1899" s="11" customFormat="true" ht="10.95" hidden="false" customHeight="true" outlineLevel="0" collapsed="false">
      <c r="A1899" s="16" t="n">
        <v>45316</v>
      </c>
      <c r="B1899" s="17" t="s">
        <v>787</v>
      </c>
      <c r="C1899" s="17" t="s">
        <v>788</v>
      </c>
      <c r="D1899" s="17" t="s">
        <v>19</v>
      </c>
      <c r="E1899" s="17" t="s">
        <v>815</v>
      </c>
      <c r="F1899" s="17" t="s">
        <v>881</v>
      </c>
      <c r="G1899" s="18" t="n">
        <v>0</v>
      </c>
      <c r="H1899" s="18" t="n">
        <v>561.88</v>
      </c>
      <c r="I1899" s="18" t="n">
        <f aca="false">((I1898 + G1899) - H1899)</f>
        <v>-163527.72</v>
      </c>
      <c r="J1899" s="18" t="n">
        <v>0</v>
      </c>
      <c r="K1899" s="19" t="n">
        <v>0</v>
      </c>
      <c r="L1899" s="17" t="s">
        <v>88</v>
      </c>
    </row>
    <row r="1900" s="11" customFormat="true" ht="10.95" hidden="false" customHeight="true" outlineLevel="0" collapsed="false">
      <c r="A1900" s="16" t="n">
        <v>45316</v>
      </c>
      <c r="B1900" s="17" t="s">
        <v>787</v>
      </c>
      <c r="C1900" s="17" t="s">
        <v>788</v>
      </c>
      <c r="D1900" s="17" t="s">
        <v>19</v>
      </c>
      <c r="E1900" s="17" t="s">
        <v>789</v>
      </c>
      <c r="F1900" s="17" t="s">
        <v>881</v>
      </c>
      <c r="G1900" s="18" t="n">
        <v>0</v>
      </c>
      <c r="H1900" s="18" t="n">
        <v>213.51</v>
      </c>
      <c r="I1900" s="18" t="n">
        <f aca="false">((I1899 + G1900) - H1900)</f>
        <v>-163741.23</v>
      </c>
      <c r="J1900" s="18" t="n">
        <v>0</v>
      </c>
      <c r="K1900" s="19" t="n">
        <v>0</v>
      </c>
      <c r="L1900" s="17" t="s">
        <v>88</v>
      </c>
    </row>
    <row r="1901" s="11" customFormat="true" ht="10.95" hidden="false" customHeight="true" outlineLevel="0" collapsed="false">
      <c r="A1901" s="16" t="n">
        <v>45316</v>
      </c>
      <c r="B1901" s="17" t="s">
        <v>787</v>
      </c>
      <c r="C1901" s="17" t="s">
        <v>788</v>
      </c>
      <c r="D1901" s="17" t="s">
        <v>19</v>
      </c>
      <c r="E1901" s="17" t="s">
        <v>815</v>
      </c>
      <c r="F1901" s="17" t="s">
        <v>881</v>
      </c>
      <c r="G1901" s="18" t="n">
        <v>0</v>
      </c>
      <c r="H1901" s="18" t="n">
        <v>561.88</v>
      </c>
      <c r="I1901" s="18" t="n">
        <f aca="false">((I1900 + G1901) - H1901)</f>
        <v>-164303.11</v>
      </c>
      <c r="J1901" s="18" t="n">
        <v>0</v>
      </c>
      <c r="K1901" s="19" t="n">
        <v>0</v>
      </c>
      <c r="L1901" s="17" t="s">
        <v>88</v>
      </c>
    </row>
    <row r="1902" s="11" customFormat="true" ht="10.95" hidden="false" customHeight="true" outlineLevel="0" collapsed="false">
      <c r="A1902" s="16" t="n">
        <v>45316</v>
      </c>
      <c r="B1902" s="17" t="s">
        <v>787</v>
      </c>
      <c r="C1902" s="17" t="s">
        <v>788</v>
      </c>
      <c r="D1902" s="17" t="s">
        <v>19</v>
      </c>
      <c r="E1902" s="17" t="s">
        <v>789</v>
      </c>
      <c r="F1902" s="17" t="s">
        <v>881</v>
      </c>
      <c r="G1902" s="18" t="n">
        <v>0</v>
      </c>
      <c r="H1902" s="18" t="n">
        <v>213.51</v>
      </c>
      <c r="I1902" s="18" t="n">
        <f aca="false">((I1901 + G1902) - H1902)</f>
        <v>-164516.62</v>
      </c>
      <c r="J1902" s="18" t="n">
        <v>0</v>
      </c>
      <c r="K1902" s="19" t="n">
        <v>0</v>
      </c>
      <c r="L1902" s="17" t="s">
        <v>88</v>
      </c>
    </row>
    <row r="1903" s="11" customFormat="true" ht="10.95" hidden="false" customHeight="true" outlineLevel="0" collapsed="false">
      <c r="A1903" s="16" t="n">
        <v>45316</v>
      </c>
      <c r="B1903" s="17" t="s">
        <v>787</v>
      </c>
      <c r="C1903" s="17" t="s">
        <v>788</v>
      </c>
      <c r="D1903" s="17" t="s">
        <v>19</v>
      </c>
      <c r="E1903" s="17" t="s">
        <v>815</v>
      </c>
      <c r="F1903" s="17" t="s">
        <v>881</v>
      </c>
      <c r="G1903" s="18" t="n">
        <v>0</v>
      </c>
      <c r="H1903" s="18" t="n">
        <v>561.88</v>
      </c>
      <c r="I1903" s="18" t="n">
        <f aca="false">((I1902 + G1903) - H1903)</f>
        <v>-165078.5</v>
      </c>
      <c r="J1903" s="18" t="n">
        <v>0</v>
      </c>
      <c r="K1903" s="19" t="n">
        <v>0</v>
      </c>
      <c r="L1903" s="17" t="s">
        <v>88</v>
      </c>
    </row>
    <row r="1904" s="11" customFormat="true" ht="10.95" hidden="false" customHeight="true" outlineLevel="0" collapsed="false">
      <c r="A1904" s="16" t="n">
        <v>45316</v>
      </c>
      <c r="B1904" s="17" t="s">
        <v>787</v>
      </c>
      <c r="C1904" s="17" t="s">
        <v>788</v>
      </c>
      <c r="D1904" s="17" t="s">
        <v>19</v>
      </c>
      <c r="E1904" s="17" t="s">
        <v>789</v>
      </c>
      <c r="F1904" s="17" t="s">
        <v>881</v>
      </c>
      <c r="G1904" s="18" t="n">
        <v>0</v>
      </c>
      <c r="H1904" s="18" t="n">
        <v>213.51</v>
      </c>
      <c r="I1904" s="18" t="n">
        <f aca="false">((I1903 + G1904) - H1904)</f>
        <v>-165292.01</v>
      </c>
      <c r="J1904" s="18" t="n">
        <v>0</v>
      </c>
      <c r="K1904" s="19" t="n">
        <v>0</v>
      </c>
      <c r="L1904" s="17" t="s">
        <v>88</v>
      </c>
    </row>
    <row r="1905" s="11" customFormat="true" ht="10.95" hidden="false" customHeight="true" outlineLevel="0" collapsed="false">
      <c r="A1905" s="16" t="n">
        <v>45316</v>
      </c>
      <c r="B1905" s="17" t="s">
        <v>787</v>
      </c>
      <c r="C1905" s="17" t="s">
        <v>788</v>
      </c>
      <c r="D1905" s="17" t="s">
        <v>19</v>
      </c>
      <c r="E1905" s="17" t="s">
        <v>815</v>
      </c>
      <c r="F1905" s="17" t="s">
        <v>881</v>
      </c>
      <c r="G1905" s="18" t="n">
        <v>0</v>
      </c>
      <c r="H1905" s="18" t="n">
        <v>561.88</v>
      </c>
      <c r="I1905" s="18" t="n">
        <f aca="false">((I1904 + G1905) - H1905)</f>
        <v>-165853.89</v>
      </c>
      <c r="J1905" s="18" t="n">
        <v>0</v>
      </c>
      <c r="K1905" s="19" t="n">
        <v>0</v>
      </c>
      <c r="L1905" s="17" t="s">
        <v>88</v>
      </c>
    </row>
    <row r="1906" s="11" customFormat="true" ht="10.95" hidden="false" customHeight="true" outlineLevel="0" collapsed="false">
      <c r="A1906" s="16" t="n">
        <v>45316</v>
      </c>
      <c r="B1906" s="17" t="s">
        <v>787</v>
      </c>
      <c r="C1906" s="17" t="s">
        <v>788</v>
      </c>
      <c r="D1906" s="17" t="s">
        <v>19</v>
      </c>
      <c r="E1906" s="17" t="s">
        <v>789</v>
      </c>
      <c r="F1906" s="17" t="s">
        <v>881</v>
      </c>
      <c r="G1906" s="18" t="n">
        <v>0</v>
      </c>
      <c r="H1906" s="18" t="n">
        <v>213.51</v>
      </c>
      <c r="I1906" s="18" t="n">
        <f aca="false">((I1905 + G1906) - H1906)</f>
        <v>-166067.4</v>
      </c>
      <c r="J1906" s="18" t="n">
        <v>0</v>
      </c>
      <c r="K1906" s="19" t="n">
        <v>0</v>
      </c>
      <c r="L1906" s="17" t="s">
        <v>88</v>
      </c>
    </row>
    <row r="1907" s="11" customFormat="true" ht="10.95" hidden="false" customHeight="true" outlineLevel="0" collapsed="false">
      <c r="A1907" s="16" t="n">
        <v>45316</v>
      </c>
      <c r="B1907" s="17" t="s">
        <v>787</v>
      </c>
      <c r="C1907" s="17" t="s">
        <v>788</v>
      </c>
      <c r="D1907" s="17" t="s">
        <v>19</v>
      </c>
      <c r="E1907" s="17" t="s">
        <v>815</v>
      </c>
      <c r="F1907" s="17" t="s">
        <v>881</v>
      </c>
      <c r="G1907" s="18" t="n">
        <v>0</v>
      </c>
      <c r="H1907" s="18" t="n">
        <v>561.88</v>
      </c>
      <c r="I1907" s="18" t="n">
        <f aca="false">((I1906 + G1907) - H1907)</f>
        <v>-166629.28</v>
      </c>
      <c r="J1907" s="18" t="n">
        <v>0</v>
      </c>
      <c r="K1907" s="19" t="n">
        <v>0</v>
      </c>
      <c r="L1907" s="17" t="s">
        <v>88</v>
      </c>
    </row>
    <row r="1908" s="11" customFormat="true" ht="10.95" hidden="false" customHeight="true" outlineLevel="0" collapsed="false">
      <c r="A1908" s="16" t="n">
        <v>45316</v>
      </c>
      <c r="B1908" s="17" t="s">
        <v>787</v>
      </c>
      <c r="C1908" s="17" t="s">
        <v>788</v>
      </c>
      <c r="D1908" s="17" t="s">
        <v>19</v>
      </c>
      <c r="E1908" s="17" t="s">
        <v>789</v>
      </c>
      <c r="F1908" s="17" t="s">
        <v>881</v>
      </c>
      <c r="G1908" s="18" t="n">
        <v>0</v>
      </c>
      <c r="H1908" s="18" t="n">
        <v>213.51</v>
      </c>
      <c r="I1908" s="18" t="n">
        <f aca="false">((I1907 + G1908) - H1908)</f>
        <v>-166842.79</v>
      </c>
      <c r="J1908" s="18" t="n">
        <v>0</v>
      </c>
      <c r="K1908" s="19" t="n">
        <v>0</v>
      </c>
      <c r="L1908" s="17" t="s">
        <v>88</v>
      </c>
    </row>
    <row r="1909" s="11" customFormat="true" ht="10.95" hidden="false" customHeight="true" outlineLevel="0" collapsed="false">
      <c r="A1909" s="16" t="n">
        <v>45316</v>
      </c>
      <c r="B1909" s="17" t="s">
        <v>787</v>
      </c>
      <c r="C1909" s="17" t="s">
        <v>788</v>
      </c>
      <c r="D1909" s="17" t="s">
        <v>19</v>
      </c>
      <c r="E1909" s="17" t="s">
        <v>815</v>
      </c>
      <c r="F1909" s="17" t="s">
        <v>881</v>
      </c>
      <c r="G1909" s="18" t="n">
        <v>0</v>
      </c>
      <c r="H1909" s="18" t="n">
        <v>561.88</v>
      </c>
      <c r="I1909" s="18" t="n">
        <f aca="false">((I1908 + G1909) - H1909)</f>
        <v>-167404.67</v>
      </c>
      <c r="J1909" s="18" t="n">
        <v>0</v>
      </c>
      <c r="K1909" s="19" t="n">
        <v>0</v>
      </c>
      <c r="L1909" s="17" t="s">
        <v>88</v>
      </c>
    </row>
    <row r="1910" s="11" customFormat="true" ht="10.95" hidden="false" customHeight="true" outlineLevel="0" collapsed="false">
      <c r="A1910" s="16" t="n">
        <v>45316</v>
      </c>
      <c r="B1910" s="17" t="s">
        <v>787</v>
      </c>
      <c r="C1910" s="17" t="s">
        <v>788</v>
      </c>
      <c r="D1910" s="17" t="s">
        <v>19</v>
      </c>
      <c r="E1910" s="17" t="s">
        <v>789</v>
      </c>
      <c r="F1910" s="17" t="s">
        <v>881</v>
      </c>
      <c r="G1910" s="18" t="n">
        <v>0</v>
      </c>
      <c r="H1910" s="18" t="n">
        <v>213.51</v>
      </c>
      <c r="I1910" s="18" t="n">
        <f aca="false">((I1909 + G1910) - H1910)</f>
        <v>-167618.18</v>
      </c>
      <c r="J1910" s="18" t="n">
        <v>0</v>
      </c>
      <c r="K1910" s="19" t="n">
        <v>0</v>
      </c>
      <c r="L1910" s="17" t="s">
        <v>88</v>
      </c>
    </row>
    <row r="1911" s="11" customFormat="true" ht="10.95" hidden="false" customHeight="true" outlineLevel="0" collapsed="false">
      <c r="A1911" s="16" t="n">
        <v>45316</v>
      </c>
      <c r="B1911" s="17" t="s">
        <v>787</v>
      </c>
      <c r="C1911" s="17" t="s">
        <v>788</v>
      </c>
      <c r="D1911" s="17" t="s">
        <v>19</v>
      </c>
      <c r="E1911" s="17" t="s">
        <v>815</v>
      </c>
      <c r="F1911" s="17" t="s">
        <v>881</v>
      </c>
      <c r="G1911" s="18" t="n">
        <v>0</v>
      </c>
      <c r="H1911" s="18" t="n">
        <v>561.88</v>
      </c>
      <c r="I1911" s="18" t="n">
        <f aca="false">((I1910 + G1911) - H1911)</f>
        <v>-168180.06</v>
      </c>
      <c r="J1911" s="18" t="n">
        <v>0</v>
      </c>
      <c r="K1911" s="19" t="n">
        <v>0</v>
      </c>
      <c r="L1911" s="17" t="s">
        <v>88</v>
      </c>
    </row>
    <row r="1912" s="11" customFormat="true" ht="10.95" hidden="false" customHeight="true" outlineLevel="0" collapsed="false">
      <c r="A1912" s="16" t="n">
        <v>45343</v>
      </c>
      <c r="B1912" s="17" t="s">
        <v>787</v>
      </c>
      <c r="C1912" s="17" t="s">
        <v>788</v>
      </c>
      <c r="D1912" s="17" t="s">
        <v>19</v>
      </c>
      <c r="E1912" s="17" t="s">
        <v>793</v>
      </c>
      <c r="F1912" s="17" t="s">
        <v>882</v>
      </c>
      <c r="G1912" s="18" t="n">
        <v>0</v>
      </c>
      <c r="H1912" s="18" t="n">
        <v>90.73</v>
      </c>
      <c r="I1912" s="18" t="n">
        <f aca="false">((I1911 + G1912) - H1912)</f>
        <v>-168270.79</v>
      </c>
      <c r="J1912" s="18" t="n">
        <v>0</v>
      </c>
      <c r="K1912" s="19" t="n">
        <v>0</v>
      </c>
      <c r="L1912" s="17" t="s">
        <v>88</v>
      </c>
    </row>
    <row r="1913" s="11" customFormat="true" ht="10.95" hidden="false" customHeight="true" outlineLevel="0" collapsed="false">
      <c r="A1913" s="16" t="n">
        <v>45343</v>
      </c>
      <c r="B1913" s="17" t="s">
        <v>787</v>
      </c>
      <c r="C1913" s="17" t="s">
        <v>788</v>
      </c>
      <c r="D1913" s="17" t="s">
        <v>19</v>
      </c>
      <c r="E1913" s="17" t="s">
        <v>795</v>
      </c>
      <c r="F1913" s="17" t="s">
        <v>883</v>
      </c>
      <c r="G1913" s="18" t="n">
        <v>0</v>
      </c>
      <c r="H1913" s="18" t="n">
        <v>486.52</v>
      </c>
      <c r="I1913" s="18" t="n">
        <f aca="false">((I1912 + G1913) - H1913)</f>
        <v>-168757.31</v>
      </c>
      <c r="J1913" s="18" t="n">
        <v>0</v>
      </c>
      <c r="K1913" s="19" t="n">
        <v>0</v>
      </c>
      <c r="L1913" s="17" t="s">
        <v>88</v>
      </c>
    </row>
    <row r="1914" s="11" customFormat="true" ht="10.95" hidden="false" customHeight="true" outlineLevel="0" collapsed="false">
      <c r="A1914" s="16" t="n">
        <v>45343</v>
      </c>
      <c r="B1914" s="17" t="s">
        <v>787</v>
      </c>
      <c r="C1914" s="17" t="s">
        <v>788</v>
      </c>
      <c r="D1914" s="17" t="s">
        <v>19</v>
      </c>
      <c r="E1914" s="17" t="s">
        <v>861</v>
      </c>
      <c r="F1914" s="17" t="s">
        <v>883</v>
      </c>
      <c r="G1914" s="18" t="n">
        <v>0</v>
      </c>
      <c r="H1914" s="18" t="n">
        <v>124.75</v>
      </c>
      <c r="I1914" s="18" t="n">
        <f aca="false">((I1913 + G1914) - H1914)</f>
        <v>-168882.06</v>
      </c>
      <c r="J1914" s="18" t="n">
        <v>0</v>
      </c>
      <c r="K1914" s="19" t="n">
        <v>0</v>
      </c>
      <c r="L1914" s="17" t="s">
        <v>88</v>
      </c>
    </row>
    <row r="1915" s="11" customFormat="true" ht="10.95" hidden="false" customHeight="true" outlineLevel="0" collapsed="false">
      <c r="A1915" s="16" t="n">
        <v>45343</v>
      </c>
      <c r="B1915" s="17" t="s">
        <v>787</v>
      </c>
      <c r="C1915" s="17" t="s">
        <v>788</v>
      </c>
      <c r="D1915" s="17" t="s">
        <v>19</v>
      </c>
      <c r="E1915" s="17" t="s">
        <v>795</v>
      </c>
      <c r="F1915" s="17" t="s">
        <v>884</v>
      </c>
      <c r="G1915" s="18" t="n">
        <v>0</v>
      </c>
      <c r="H1915" s="18" t="n">
        <v>486.52</v>
      </c>
      <c r="I1915" s="18" t="n">
        <f aca="false">((I1914 + G1915) - H1915)</f>
        <v>-169368.58</v>
      </c>
      <c r="J1915" s="18" t="n">
        <v>0</v>
      </c>
      <c r="K1915" s="19" t="n">
        <v>0</v>
      </c>
      <c r="L1915" s="17" t="s">
        <v>88</v>
      </c>
    </row>
    <row r="1916" s="11" customFormat="true" ht="10.95" hidden="false" customHeight="true" outlineLevel="0" collapsed="false">
      <c r="A1916" s="16" t="n">
        <v>45343</v>
      </c>
      <c r="B1916" s="17" t="s">
        <v>787</v>
      </c>
      <c r="C1916" s="17" t="s">
        <v>788</v>
      </c>
      <c r="D1916" s="17" t="s">
        <v>19</v>
      </c>
      <c r="E1916" s="17" t="s">
        <v>795</v>
      </c>
      <c r="F1916" s="17" t="s">
        <v>885</v>
      </c>
      <c r="G1916" s="18" t="n">
        <v>0</v>
      </c>
      <c r="H1916" s="18" t="n">
        <v>324.35</v>
      </c>
      <c r="I1916" s="18" t="n">
        <f aca="false">((I1915 + G1916) - H1916)</f>
        <v>-169692.93</v>
      </c>
      <c r="J1916" s="18" t="n">
        <v>0</v>
      </c>
      <c r="K1916" s="19" t="n">
        <v>0</v>
      </c>
      <c r="L1916" s="17" t="s">
        <v>88</v>
      </c>
    </row>
    <row r="1917" s="11" customFormat="true" ht="10.95" hidden="false" customHeight="true" outlineLevel="0" collapsed="false">
      <c r="A1917" s="16" t="n">
        <v>45343</v>
      </c>
      <c r="B1917" s="17" t="s">
        <v>787</v>
      </c>
      <c r="C1917" s="17" t="s">
        <v>788</v>
      </c>
      <c r="D1917" s="17" t="s">
        <v>19</v>
      </c>
      <c r="E1917" s="17" t="s">
        <v>798</v>
      </c>
      <c r="F1917" s="17" t="s">
        <v>886</v>
      </c>
      <c r="G1917" s="18" t="n">
        <v>0</v>
      </c>
      <c r="H1917" s="18" t="n">
        <v>2403.5</v>
      </c>
      <c r="I1917" s="18" t="n">
        <f aca="false">((I1916 + G1917) - H1917)</f>
        <v>-172096.43</v>
      </c>
      <c r="J1917" s="18" t="n">
        <v>0</v>
      </c>
      <c r="K1917" s="19" t="n">
        <v>0</v>
      </c>
      <c r="L1917" s="17" t="s">
        <v>88</v>
      </c>
    </row>
    <row r="1918" s="11" customFormat="true" ht="10.95" hidden="false" customHeight="true" outlineLevel="0" collapsed="false">
      <c r="A1918" s="16" t="n">
        <v>45343</v>
      </c>
      <c r="B1918" s="17" t="s">
        <v>787</v>
      </c>
      <c r="C1918" s="17" t="s">
        <v>788</v>
      </c>
      <c r="D1918" s="17" t="s">
        <v>19</v>
      </c>
      <c r="E1918" s="17" t="s">
        <v>887</v>
      </c>
      <c r="F1918" s="17" t="s">
        <v>888</v>
      </c>
      <c r="G1918" s="18" t="n">
        <v>0</v>
      </c>
      <c r="H1918" s="18" t="n">
        <v>1001</v>
      </c>
      <c r="I1918" s="18" t="n">
        <f aca="false">((I1917 + G1918) - H1918)</f>
        <v>-173097.43</v>
      </c>
      <c r="J1918" s="18" t="n">
        <v>0</v>
      </c>
      <c r="K1918" s="19" t="n">
        <v>0</v>
      </c>
      <c r="L1918" s="17" t="s">
        <v>88</v>
      </c>
    </row>
    <row r="1919" s="11" customFormat="true" ht="10.95" hidden="false" customHeight="true" outlineLevel="0" collapsed="false">
      <c r="A1919" s="16" t="n">
        <v>45343</v>
      </c>
      <c r="B1919" s="17" t="s">
        <v>787</v>
      </c>
      <c r="C1919" s="17" t="s">
        <v>788</v>
      </c>
      <c r="D1919" s="17" t="s">
        <v>19</v>
      </c>
      <c r="E1919" s="17" t="s">
        <v>798</v>
      </c>
      <c r="F1919" s="17" t="s">
        <v>889</v>
      </c>
      <c r="G1919" s="18" t="n">
        <v>0</v>
      </c>
      <c r="H1919" s="18" t="n">
        <v>1672</v>
      </c>
      <c r="I1919" s="18" t="n">
        <f aca="false">((I1918 + G1919) - H1919)</f>
        <v>-174769.43</v>
      </c>
      <c r="J1919" s="18" t="n">
        <v>0</v>
      </c>
      <c r="K1919" s="19" t="n">
        <v>0</v>
      </c>
      <c r="L1919" s="17" t="s">
        <v>88</v>
      </c>
    </row>
    <row r="1920" s="11" customFormat="true" ht="10.95" hidden="false" customHeight="true" outlineLevel="0" collapsed="false">
      <c r="A1920" s="16" t="n">
        <v>45343</v>
      </c>
      <c r="B1920" s="17" t="s">
        <v>787</v>
      </c>
      <c r="C1920" s="17" t="s">
        <v>788</v>
      </c>
      <c r="D1920" s="17" t="s">
        <v>19</v>
      </c>
      <c r="E1920" s="17" t="s">
        <v>789</v>
      </c>
      <c r="F1920" s="17" t="s">
        <v>890</v>
      </c>
      <c r="G1920" s="18" t="n">
        <v>0</v>
      </c>
      <c r="H1920" s="18" t="n">
        <v>106.75</v>
      </c>
      <c r="I1920" s="18" t="n">
        <f aca="false">((I1919 + G1920) - H1920)</f>
        <v>-174876.18</v>
      </c>
      <c r="J1920" s="18" t="n">
        <v>0</v>
      </c>
      <c r="K1920" s="19" t="n">
        <v>0</v>
      </c>
      <c r="L1920" s="17" t="s">
        <v>88</v>
      </c>
    </row>
    <row r="1921" s="11" customFormat="true" ht="10.95" hidden="false" customHeight="true" outlineLevel="0" collapsed="false">
      <c r="A1921" s="16" t="n">
        <v>45343</v>
      </c>
      <c r="B1921" s="17" t="s">
        <v>787</v>
      </c>
      <c r="C1921" s="17" t="s">
        <v>788</v>
      </c>
      <c r="D1921" s="17" t="s">
        <v>19</v>
      </c>
      <c r="E1921" s="17" t="s">
        <v>789</v>
      </c>
      <c r="F1921" s="17" t="s">
        <v>890</v>
      </c>
      <c r="G1921" s="18" t="n">
        <v>0</v>
      </c>
      <c r="H1921" s="18" t="n">
        <v>106.75</v>
      </c>
      <c r="I1921" s="18" t="n">
        <f aca="false">((I1920 + G1921) - H1921)</f>
        <v>-174982.93</v>
      </c>
      <c r="J1921" s="18" t="n">
        <v>0</v>
      </c>
      <c r="K1921" s="19" t="n">
        <v>0</v>
      </c>
      <c r="L1921" s="17" t="s">
        <v>88</v>
      </c>
    </row>
    <row r="1922" s="11" customFormat="true" ht="10.95" hidden="false" customHeight="true" outlineLevel="0" collapsed="false">
      <c r="A1922" s="16" t="n">
        <v>45343</v>
      </c>
      <c r="B1922" s="17" t="s">
        <v>787</v>
      </c>
      <c r="C1922" s="17" t="s">
        <v>788</v>
      </c>
      <c r="D1922" s="17" t="s">
        <v>19</v>
      </c>
      <c r="E1922" s="17" t="s">
        <v>789</v>
      </c>
      <c r="F1922" s="17" t="s">
        <v>890</v>
      </c>
      <c r="G1922" s="18" t="n">
        <v>0</v>
      </c>
      <c r="H1922" s="18" t="n">
        <v>106.75</v>
      </c>
      <c r="I1922" s="18" t="n">
        <f aca="false">((I1921 + G1922) - H1922)</f>
        <v>-175089.68</v>
      </c>
      <c r="J1922" s="18" t="n">
        <v>0</v>
      </c>
      <c r="K1922" s="19" t="n">
        <v>0</v>
      </c>
      <c r="L1922" s="17" t="s">
        <v>88</v>
      </c>
    </row>
    <row r="1923" s="11" customFormat="true" ht="10.95" hidden="false" customHeight="true" outlineLevel="0" collapsed="false">
      <c r="A1923" s="16" t="n">
        <v>45343</v>
      </c>
      <c r="B1923" s="17" t="s">
        <v>787</v>
      </c>
      <c r="C1923" s="17" t="s">
        <v>788</v>
      </c>
      <c r="D1923" s="17" t="s">
        <v>19</v>
      </c>
      <c r="E1923" s="17" t="s">
        <v>789</v>
      </c>
      <c r="F1923" s="17" t="s">
        <v>890</v>
      </c>
      <c r="G1923" s="18" t="n">
        <v>0</v>
      </c>
      <c r="H1923" s="18" t="n">
        <v>106.75</v>
      </c>
      <c r="I1923" s="18" t="n">
        <f aca="false">((I1922 + G1923) - H1923)</f>
        <v>-175196.43</v>
      </c>
      <c r="J1923" s="18" t="n">
        <v>0</v>
      </c>
      <c r="K1923" s="19" t="n">
        <v>0</v>
      </c>
      <c r="L1923" s="17" t="s">
        <v>88</v>
      </c>
    </row>
    <row r="1924" s="11" customFormat="true" ht="10.95" hidden="false" customHeight="true" outlineLevel="0" collapsed="false">
      <c r="A1924" s="16" t="n">
        <v>45343</v>
      </c>
      <c r="B1924" s="17" t="s">
        <v>787</v>
      </c>
      <c r="C1924" s="17" t="s">
        <v>788</v>
      </c>
      <c r="D1924" s="17" t="s">
        <v>19</v>
      </c>
      <c r="E1924" s="17" t="s">
        <v>789</v>
      </c>
      <c r="F1924" s="17" t="s">
        <v>890</v>
      </c>
      <c r="G1924" s="18" t="n">
        <v>0</v>
      </c>
      <c r="H1924" s="18" t="n">
        <v>106.76</v>
      </c>
      <c r="I1924" s="18" t="n">
        <f aca="false">((I1923 + G1924) - H1924)</f>
        <v>-175303.19</v>
      </c>
      <c r="J1924" s="18" t="n">
        <v>0</v>
      </c>
      <c r="K1924" s="19" t="n">
        <v>0</v>
      </c>
      <c r="L1924" s="17" t="s">
        <v>88</v>
      </c>
    </row>
    <row r="1925" s="11" customFormat="true" ht="10.95" hidden="false" customHeight="true" outlineLevel="0" collapsed="false">
      <c r="A1925" s="16" t="n">
        <v>45343</v>
      </c>
      <c r="B1925" s="17" t="s">
        <v>787</v>
      </c>
      <c r="C1925" s="17" t="s">
        <v>788</v>
      </c>
      <c r="D1925" s="17" t="s">
        <v>19</v>
      </c>
      <c r="E1925" s="17" t="s">
        <v>789</v>
      </c>
      <c r="F1925" s="17" t="s">
        <v>890</v>
      </c>
      <c r="G1925" s="18" t="n">
        <v>0</v>
      </c>
      <c r="H1925" s="18" t="n">
        <v>106.76</v>
      </c>
      <c r="I1925" s="18" t="n">
        <f aca="false">((I1924 + G1925) - H1925)</f>
        <v>-175409.95</v>
      </c>
      <c r="J1925" s="18" t="n">
        <v>0</v>
      </c>
      <c r="K1925" s="19" t="n">
        <v>0</v>
      </c>
      <c r="L1925" s="17" t="s">
        <v>88</v>
      </c>
    </row>
    <row r="1926" s="11" customFormat="true" ht="10.95" hidden="false" customHeight="true" outlineLevel="0" collapsed="false">
      <c r="A1926" s="16" t="n">
        <v>45343</v>
      </c>
      <c r="B1926" s="17" t="s">
        <v>787</v>
      </c>
      <c r="C1926" s="17" t="s">
        <v>788</v>
      </c>
      <c r="D1926" s="17" t="s">
        <v>19</v>
      </c>
      <c r="E1926" s="17" t="s">
        <v>789</v>
      </c>
      <c r="F1926" s="17" t="s">
        <v>890</v>
      </c>
      <c r="G1926" s="18" t="n">
        <v>0</v>
      </c>
      <c r="H1926" s="18" t="n">
        <v>106.76</v>
      </c>
      <c r="I1926" s="18" t="n">
        <f aca="false">((I1925 + G1926) - H1926)</f>
        <v>-175516.71</v>
      </c>
      <c r="J1926" s="18" t="n">
        <v>0</v>
      </c>
      <c r="K1926" s="19" t="n">
        <v>0</v>
      </c>
      <c r="L1926" s="17" t="s">
        <v>88</v>
      </c>
    </row>
    <row r="1927" s="11" customFormat="true" ht="10.95" hidden="false" customHeight="true" outlineLevel="0" collapsed="false">
      <c r="A1927" s="16" t="n">
        <v>45343</v>
      </c>
      <c r="B1927" s="17" t="s">
        <v>787</v>
      </c>
      <c r="C1927" s="17" t="s">
        <v>788</v>
      </c>
      <c r="D1927" s="17" t="s">
        <v>19</v>
      </c>
      <c r="E1927" s="17" t="s">
        <v>789</v>
      </c>
      <c r="F1927" s="17" t="s">
        <v>890</v>
      </c>
      <c r="G1927" s="18" t="n">
        <v>0</v>
      </c>
      <c r="H1927" s="18" t="n">
        <v>106.76</v>
      </c>
      <c r="I1927" s="18" t="n">
        <f aca="false">((I1926 + G1927) - H1927)</f>
        <v>-175623.47</v>
      </c>
      <c r="J1927" s="18" t="n">
        <v>0</v>
      </c>
      <c r="K1927" s="19" t="n">
        <v>0</v>
      </c>
      <c r="L1927" s="17" t="s">
        <v>88</v>
      </c>
    </row>
    <row r="1928" s="11" customFormat="true" ht="10.95" hidden="false" customHeight="true" outlineLevel="0" collapsed="false">
      <c r="A1928" s="16" t="n">
        <v>45343</v>
      </c>
      <c r="B1928" s="17" t="s">
        <v>787</v>
      </c>
      <c r="C1928" s="17" t="s">
        <v>788</v>
      </c>
      <c r="D1928" s="17" t="s">
        <v>19</v>
      </c>
      <c r="E1928" s="17" t="s">
        <v>789</v>
      </c>
      <c r="F1928" s="17" t="s">
        <v>890</v>
      </c>
      <c r="G1928" s="18" t="n">
        <v>0</v>
      </c>
      <c r="H1928" s="18" t="n">
        <v>106.76</v>
      </c>
      <c r="I1928" s="18" t="n">
        <f aca="false">((I1927 + G1928) - H1928)</f>
        <v>-175730.23</v>
      </c>
      <c r="J1928" s="18" t="n">
        <v>0</v>
      </c>
      <c r="K1928" s="19" t="n">
        <v>0</v>
      </c>
      <c r="L1928" s="17" t="s">
        <v>88</v>
      </c>
    </row>
    <row r="1929" s="11" customFormat="true" ht="10.95" hidden="false" customHeight="true" outlineLevel="0" collapsed="false">
      <c r="A1929" s="16" t="n">
        <v>45343</v>
      </c>
      <c r="B1929" s="17" t="s">
        <v>787</v>
      </c>
      <c r="C1929" s="17" t="s">
        <v>788</v>
      </c>
      <c r="D1929" s="17" t="s">
        <v>19</v>
      </c>
      <c r="E1929" s="17" t="s">
        <v>789</v>
      </c>
      <c r="F1929" s="17" t="s">
        <v>890</v>
      </c>
      <c r="G1929" s="18" t="n">
        <v>0</v>
      </c>
      <c r="H1929" s="18" t="n">
        <v>106.76</v>
      </c>
      <c r="I1929" s="18" t="n">
        <f aca="false">((I1928 + G1929) - H1929)</f>
        <v>-175836.99</v>
      </c>
      <c r="J1929" s="18" t="n">
        <v>0</v>
      </c>
      <c r="K1929" s="19" t="n">
        <v>0</v>
      </c>
      <c r="L1929" s="17" t="s">
        <v>88</v>
      </c>
    </row>
    <row r="1930" s="11" customFormat="true" ht="10.95" hidden="false" customHeight="true" outlineLevel="0" collapsed="false">
      <c r="A1930" s="16" t="n">
        <v>45343</v>
      </c>
      <c r="B1930" s="17" t="s">
        <v>787</v>
      </c>
      <c r="C1930" s="17" t="s">
        <v>788</v>
      </c>
      <c r="D1930" s="17" t="s">
        <v>19</v>
      </c>
      <c r="E1930" s="17" t="s">
        <v>789</v>
      </c>
      <c r="F1930" s="17" t="s">
        <v>890</v>
      </c>
      <c r="G1930" s="18" t="n">
        <v>0</v>
      </c>
      <c r="H1930" s="18" t="n">
        <v>106.76</v>
      </c>
      <c r="I1930" s="18" t="n">
        <f aca="false">((I1929 + G1930) - H1930)</f>
        <v>-175943.75</v>
      </c>
      <c r="J1930" s="18" t="n">
        <v>0</v>
      </c>
      <c r="K1930" s="19" t="n">
        <v>0</v>
      </c>
      <c r="L1930" s="17" t="s">
        <v>88</v>
      </c>
    </row>
    <row r="1931" s="11" customFormat="true" ht="10.95" hidden="false" customHeight="true" outlineLevel="0" collapsed="false">
      <c r="A1931" s="16" t="n">
        <v>45343</v>
      </c>
      <c r="B1931" s="17" t="s">
        <v>787</v>
      </c>
      <c r="C1931" s="17" t="s">
        <v>788</v>
      </c>
      <c r="D1931" s="17" t="s">
        <v>19</v>
      </c>
      <c r="E1931" s="17" t="s">
        <v>789</v>
      </c>
      <c r="F1931" s="17" t="s">
        <v>890</v>
      </c>
      <c r="G1931" s="18" t="n">
        <v>0</v>
      </c>
      <c r="H1931" s="18" t="n">
        <v>106.76</v>
      </c>
      <c r="I1931" s="18" t="n">
        <f aca="false">((I1930 + G1931) - H1931)</f>
        <v>-176050.51</v>
      </c>
      <c r="J1931" s="18" t="n">
        <v>0</v>
      </c>
      <c r="K1931" s="19" t="n">
        <v>0</v>
      </c>
      <c r="L1931" s="17" t="s">
        <v>88</v>
      </c>
    </row>
    <row r="1932" s="11" customFormat="true" ht="10.95" hidden="false" customHeight="true" outlineLevel="0" collapsed="false">
      <c r="A1932" s="16" t="n">
        <v>45372</v>
      </c>
      <c r="B1932" s="17" t="s">
        <v>787</v>
      </c>
      <c r="C1932" s="17" t="s">
        <v>788</v>
      </c>
      <c r="D1932" s="17" t="s">
        <v>19</v>
      </c>
      <c r="E1932" s="17" t="s">
        <v>793</v>
      </c>
      <c r="F1932" s="17" t="s">
        <v>891</v>
      </c>
      <c r="G1932" s="18" t="n">
        <v>0</v>
      </c>
      <c r="H1932" s="18" t="n">
        <v>90.42</v>
      </c>
      <c r="I1932" s="18" t="n">
        <f aca="false">((I1931 + G1932) - H1932)</f>
        <v>-176140.93</v>
      </c>
      <c r="J1932" s="18" t="n">
        <v>0</v>
      </c>
      <c r="K1932" s="19" t="n">
        <v>0</v>
      </c>
      <c r="L1932" s="17" t="s">
        <v>88</v>
      </c>
    </row>
    <row r="1933" s="11" customFormat="true" ht="10.95" hidden="false" customHeight="true" outlineLevel="0" collapsed="false">
      <c r="A1933" s="16" t="n">
        <v>45372</v>
      </c>
      <c r="B1933" s="17" t="s">
        <v>787</v>
      </c>
      <c r="C1933" s="17" t="s">
        <v>788</v>
      </c>
      <c r="D1933" s="17" t="s">
        <v>19</v>
      </c>
      <c r="E1933" s="17" t="s">
        <v>795</v>
      </c>
      <c r="F1933" s="17" t="s">
        <v>892</v>
      </c>
      <c r="G1933" s="18" t="n">
        <v>0</v>
      </c>
      <c r="H1933" s="18" t="n">
        <v>484.88</v>
      </c>
      <c r="I1933" s="18" t="n">
        <f aca="false">((I1932 + G1933) - H1933)</f>
        <v>-176625.81</v>
      </c>
      <c r="J1933" s="18" t="n">
        <v>0</v>
      </c>
      <c r="K1933" s="19" t="n">
        <v>0</v>
      </c>
      <c r="L1933" s="17" t="s">
        <v>88</v>
      </c>
    </row>
    <row r="1934" s="11" customFormat="true" ht="10.95" hidden="false" customHeight="true" outlineLevel="0" collapsed="false">
      <c r="A1934" s="16" t="n">
        <v>45372</v>
      </c>
      <c r="B1934" s="17" t="s">
        <v>787</v>
      </c>
      <c r="C1934" s="17" t="s">
        <v>788</v>
      </c>
      <c r="D1934" s="17" t="s">
        <v>19</v>
      </c>
      <c r="E1934" s="17" t="s">
        <v>861</v>
      </c>
      <c r="F1934" s="17" t="s">
        <v>892</v>
      </c>
      <c r="G1934" s="18" t="n">
        <v>0</v>
      </c>
      <c r="H1934" s="18" t="n">
        <v>124.33</v>
      </c>
      <c r="I1934" s="18" t="n">
        <f aca="false">((I1933 + G1934) - H1934)</f>
        <v>-176750.14</v>
      </c>
      <c r="J1934" s="18" t="n">
        <v>0</v>
      </c>
      <c r="K1934" s="19" t="n">
        <v>0</v>
      </c>
      <c r="L1934" s="17" t="s">
        <v>88</v>
      </c>
    </row>
    <row r="1935" s="11" customFormat="true" ht="10.95" hidden="false" customHeight="true" outlineLevel="0" collapsed="false">
      <c r="A1935" s="16" t="n">
        <v>45372</v>
      </c>
      <c r="B1935" s="17" t="s">
        <v>787</v>
      </c>
      <c r="C1935" s="17" t="s">
        <v>788</v>
      </c>
      <c r="D1935" s="17" t="s">
        <v>19</v>
      </c>
      <c r="E1935" s="17" t="s">
        <v>795</v>
      </c>
      <c r="F1935" s="17" t="s">
        <v>893</v>
      </c>
      <c r="G1935" s="18" t="n">
        <v>0</v>
      </c>
      <c r="H1935" s="18" t="n">
        <v>484.88</v>
      </c>
      <c r="I1935" s="18" t="n">
        <f aca="false">((I1934 + G1935) - H1935)</f>
        <v>-177235.02</v>
      </c>
      <c r="J1935" s="18" t="n">
        <v>0</v>
      </c>
      <c r="K1935" s="19" t="n">
        <v>0</v>
      </c>
      <c r="L1935" s="17" t="s">
        <v>88</v>
      </c>
    </row>
    <row r="1936" s="11" customFormat="true" ht="10.95" hidden="false" customHeight="true" outlineLevel="0" collapsed="false">
      <c r="A1936" s="16" t="n">
        <v>45372</v>
      </c>
      <c r="B1936" s="17" t="s">
        <v>787</v>
      </c>
      <c r="C1936" s="17" t="s">
        <v>788</v>
      </c>
      <c r="D1936" s="17" t="s">
        <v>19</v>
      </c>
      <c r="E1936" s="17" t="s">
        <v>795</v>
      </c>
      <c r="F1936" s="17" t="s">
        <v>894</v>
      </c>
      <c r="G1936" s="18" t="n">
        <v>0</v>
      </c>
      <c r="H1936" s="18" t="n">
        <v>323.25</v>
      </c>
      <c r="I1936" s="18" t="n">
        <f aca="false">((I1935 + G1936) - H1936)</f>
        <v>-177558.27</v>
      </c>
      <c r="J1936" s="18" t="n">
        <v>0</v>
      </c>
      <c r="K1936" s="19" t="n">
        <v>0</v>
      </c>
      <c r="L1936" s="17" t="s">
        <v>88</v>
      </c>
    </row>
    <row r="1937" s="11" customFormat="true" ht="10.95" hidden="false" customHeight="true" outlineLevel="0" collapsed="false">
      <c r="A1937" s="16" t="n">
        <v>45372</v>
      </c>
      <c r="B1937" s="17" t="s">
        <v>787</v>
      </c>
      <c r="C1937" s="17" t="s">
        <v>788</v>
      </c>
      <c r="D1937" s="17" t="s">
        <v>19</v>
      </c>
      <c r="E1937" s="17" t="s">
        <v>798</v>
      </c>
      <c r="F1937" s="17" t="s">
        <v>895</v>
      </c>
      <c r="G1937" s="18" t="n">
        <v>0</v>
      </c>
      <c r="H1937" s="18" t="n">
        <v>2403.5</v>
      </c>
      <c r="I1937" s="18" t="n">
        <f aca="false">((I1936 + G1937) - H1937)</f>
        <v>-179961.77</v>
      </c>
      <c r="J1937" s="18" t="n">
        <v>0</v>
      </c>
      <c r="K1937" s="19" t="n">
        <v>0</v>
      </c>
      <c r="L1937" s="17" t="s">
        <v>88</v>
      </c>
    </row>
    <row r="1938" s="11" customFormat="true" ht="10.95" hidden="false" customHeight="true" outlineLevel="0" collapsed="false">
      <c r="A1938" s="16" t="n">
        <v>45372</v>
      </c>
      <c r="B1938" s="17" t="s">
        <v>787</v>
      </c>
      <c r="C1938" s="17" t="s">
        <v>788</v>
      </c>
      <c r="D1938" s="17" t="s">
        <v>19</v>
      </c>
      <c r="E1938" s="17" t="s">
        <v>887</v>
      </c>
      <c r="F1938" s="17" t="s">
        <v>896</v>
      </c>
      <c r="G1938" s="18" t="n">
        <v>0</v>
      </c>
      <c r="H1938" s="18" t="n">
        <v>1001</v>
      </c>
      <c r="I1938" s="18" t="n">
        <f aca="false">((I1937 + G1938) - H1938)</f>
        <v>-180962.77</v>
      </c>
      <c r="J1938" s="18" t="n">
        <v>0</v>
      </c>
      <c r="K1938" s="19" t="n">
        <v>0</v>
      </c>
      <c r="L1938" s="17" t="s">
        <v>88</v>
      </c>
    </row>
    <row r="1939" s="11" customFormat="true" ht="10.95" hidden="false" customHeight="true" outlineLevel="0" collapsed="false">
      <c r="A1939" s="16" t="n">
        <v>45372</v>
      </c>
      <c r="B1939" s="17" t="s">
        <v>787</v>
      </c>
      <c r="C1939" s="17" t="s">
        <v>788</v>
      </c>
      <c r="D1939" s="17" t="s">
        <v>19</v>
      </c>
      <c r="E1939" s="17" t="s">
        <v>798</v>
      </c>
      <c r="F1939" s="17" t="s">
        <v>897</v>
      </c>
      <c r="G1939" s="18" t="n">
        <v>0</v>
      </c>
      <c r="H1939" s="18" t="n">
        <v>1672</v>
      </c>
      <c r="I1939" s="18" t="n">
        <f aca="false">((I1938 + G1939) - H1939)</f>
        <v>-182634.77</v>
      </c>
      <c r="J1939" s="18" t="n">
        <v>0</v>
      </c>
      <c r="K1939" s="19" t="n">
        <v>0</v>
      </c>
      <c r="L1939" s="17" t="s">
        <v>88</v>
      </c>
    </row>
    <row r="1940" s="11" customFormat="true" ht="10.95" hidden="false" customHeight="true" outlineLevel="0" collapsed="false">
      <c r="A1940" s="16" t="n">
        <v>45376</v>
      </c>
      <c r="B1940" s="17" t="s">
        <v>787</v>
      </c>
      <c r="C1940" s="17" t="s">
        <v>788</v>
      </c>
      <c r="D1940" s="17" t="s">
        <v>19</v>
      </c>
      <c r="E1940" s="17" t="s">
        <v>898</v>
      </c>
      <c r="F1940" s="17" t="s">
        <v>899</v>
      </c>
      <c r="G1940" s="18" t="n">
        <v>0</v>
      </c>
      <c r="H1940" s="18" t="n">
        <v>118.86</v>
      </c>
      <c r="I1940" s="18" t="n">
        <f aca="false">((I1939 + G1940) - H1940)</f>
        <v>-182753.63</v>
      </c>
      <c r="J1940" s="18" t="n">
        <v>0</v>
      </c>
      <c r="K1940" s="19" t="n">
        <v>0</v>
      </c>
      <c r="L1940" s="17" t="s">
        <v>88</v>
      </c>
    </row>
    <row r="1941" s="11" customFormat="true" ht="10.95" hidden="false" customHeight="true" outlineLevel="0" collapsed="false">
      <c r="A1941" s="16" t="n">
        <v>45376</v>
      </c>
      <c r="B1941" s="17" t="s">
        <v>787</v>
      </c>
      <c r="C1941" s="17" t="s">
        <v>788</v>
      </c>
      <c r="D1941" s="17" t="s">
        <v>19</v>
      </c>
      <c r="E1941" s="17" t="s">
        <v>900</v>
      </c>
      <c r="F1941" s="17" t="s">
        <v>899</v>
      </c>
      <c r="G1941" s="18" t="n">
        <v>0</v>
      </c>
      <c r="H1941" s="18" t="n">
        <v>118.86</v>
      </c>
      <c r="I1941" s="18" t="n">
        <f aca="false">((I1940 + G1941) - H1941)</f>
        <v>-182872.49</v>
      </c>
      <c r="J1941" s="18" t="n">
        <v>0</v>
      </c>
      <c r="K1941" s="19" t="n">
        <v>0</v>
      </c>
      <c r="L1941" s="17" t="s">
        <v>88</v>
      </c>
    </row>
    <row r="1942" s="11" customFormat="true" ht="10.95" hidden="false" customHeight="true" outlineLevel="0" collapsed="false">
      <c r="A1942" s="16" t="n">
        <v>45376</v>
      </c>
      <c r="B1942" s="17" t="s">
        <v>787</v>
      </c>
      <c r="C1942" s="17" t="s">
        <v>788</v>
      </c>
      <c r="D1942" s="17" t="s">
        <v>19</v>
      </c>
      <c r="E1942" s="17" t="s">
        <v>901</v>
      </c>
      <c r="F1942" s="17" t="s">
        <v>899</v>
      </c>
      <c r="G1942" s="18" t="n">
        <v>0</v>
      </c>
      <c r="H1942" s="18" t="n">
        <v>118.86</v>
      </c>
      <c r="I1942" s="18" t="n">
        <f aca="false">((I1941 + G1942) - H1942)</f>
        <v>-182991.35</v>
      </c>
      <c r="J1942" s="18" t="n">
        <v>0</v>
      </c>
      <c r="K1942" s="19" t="n">
        <v>0</v>
      </c>
      <c r="L1942" s="17" t="s">
        <v>88</v>
      </c>
    </row>
    <row r="1943" s="11" customFormat="true" ht="10.95" hidden="false" customHeight="true" outlineLevel="0" collapsed="false">
      <c r="A1943" s="16" t="n">
        <v>45387</v>
      </c>
      <c r="B1943" s="17" t="s">
        <v>787</v>
      </c>
      <c r="C1943" s="17" t="s">
        <v>788</v>
      </c>
      <c r="D1943" s="17" t="s">
        <v>19</v>
      </c>
      <c r="E1943" s="17" t="s">
        <v>902</v>
      </c>
      <c r="F1943" s="17" t="s">
        <v>903</v>
      </c>
      <c r="G1943" s="18" t="n">
        <v>0</v>
      </c>
      <c r="H1943" s="18" t="n">
        <v>1487.43</v>
      </c>
      <c r="I1943" s="18" t="n">
        <f aca="false">((I1942 + G1943) - H1943)</f>
        <v>-184478.78</v>
      </c>
      <c r="J1943" s="18" t="n">
        <v>0</v>
      </c>
      <c r="K1943" s="19" t="n">
        <v>0</v>
      </c>
      <c r="L1943" s="17" t="s">
        <v>88</v>
      </c>
    </row>
    <row r="1944" s="11" customFormat="true" ht="10.95" hidden="false" customHeight="true" outlineLevel="0" collapsed="false">
      <c r="A1944" s="16" t="n">
        <v>45387</v>
      </c>
      <c r="B1944" s="17" t="s">
        <v>787</v>
      </c>
      <c r="C1944" s="17" t="s">
        <v>788</v>
      </c>
      <c r="D1944" s="17" t="s">
        <v>19</v>
      </c>
      <c r="E1944" s="17" t="s">
        <v>904</v>
      </c>
      <c r="F1944" s="17" t="s">
        <v>903</v>
      </c>
      <c r="G1944" s="18" t="n">
        <v>0</v>
      </c>
      <c r="H1944" s="18" t="n">
        <v>320.74</v>
      </c>
      <c r="I1944" s="18" t="n">
        <f aca="false">((I1943 + G1944) - H1944)</f>
        <v>-184799.52</v>
      </c>
      <c r="J1944" s="18" t="n">
        <v>0</v>
      </c>
      <c r="K1944" s="19" t="n">
        <v>0</v>
      </c>
      <c r="L1944" s="17" t="s">
        <v>88</v>
      </c>
    </row>
    <row r="1945" s="11" customFormat="true" ht="10.95" hidden="false" customHeight="true" outlineLevel="0" collapsed="false">
      <c r="A1945" s="16" t="n">
        <v>45387</v>
      </c>
      <c r="B1945" s="17" t="s">
        <v>787</v>
      </c>
      <c r="C1945" s="17" t="s">
        <v>788</v>
      </c>
      <c r="D1945" s="17" t="s">
        <v>19</v>
      </c>
      <c r="E1945" s="17" t="s">
        <v>905</v>
      </c>
      <c r="F1945" s="17" t="s">
        <v>903</v>
      </c>
      <c r="G1945" s="18" t="n">
        <v>0</v>
      </c>
      <c r="H1945" s="18" t="n">
        <v>92.97</v>
      </c>
      <c r="I1945" s="18" t="n">
        <f aca="false">((I1944 + G1945) - H1945)</f>
        <v>-184892.49</v>
      </c>
      <c r="J1945" s="18" t="n">
        <v>0</v>
      </c>
      <c r="K1945" s="19" t="n">
        <v>0</v>
      </c>
      <c r="L1945" s="17" t="s">
        <v>88</v>
      </c>
    </row>
    <row r="1946" s="11" customFormat="true" ht="10.95" hidden="false" customHeight="true" outlineLevel="0" collapsed="false">
      <c r="A1946" s="16" t="n">
        <v>45387</v>
      </c>
      <c r="B1946" s="17" t="s">
        <v>787</v>
      </c>
      <c r="C1946" s="17" t="s">
        <v>788</v>
      </c>
      <c r="D1946" s="17" t="s">
        <v>19</v>
      </c>
      <c r="E1946" s="17" t="s">
        <v>904</v>
      </c>
      <c r="F1946" s="17" t="s">
        <v>903</v>
      </c>
      <c r="G1946" s="18" t="n">
        <v>0</v>
      </c>
      <c r="H1946" s="18" t="n">
        <v>320.74</v>
      </c>
      <c r="I1946" s="18" t="n">
        <f aca="false">((I1945 + G1946) - H1946)</f>
        <v>-185213.23</v>
      </c>
      <c r="J1946" s="18" t="n">
        <v>0</v>
      </c>
      <c r="K1946" s="19" t="n">
        <v>0</v>
      </c>
      <c r="L1946" s="17" t="s">
        <v>88</v>
      </c>
    </row>
    <row r="1947" s="11" customFormat="true" ht="10.95" hidden="false" customHeight="true" outlineLevel="0" collapsed="false">
      <c r="A1947" s="16" t="n">
        <v>45387</v>
      </c>
      <c r="B1947" s="17" t="s">
        <v>787</v>
      </c>
      <c r="C1947" s="17" t="s">
        <v>788</v>
      </c>
      <c r="D1947" s="17" t="s">
        <v>19</v>
      </c>
      <c r="E1947" s="17" t="s">
        <v>905</v>
      </c>
      <c r="F1947" s="17" t="s">
        <v>903</v>
      </c>
      <c r="G1947" s="18" t="n">
        <v>0</v>
      </c>
      <c r="H1947" s="18" t="n">
        <v>92.96</v>
      </c>
      <c r="I1947" s="18" t="n">
        <f aca="false">((I1946 + G1947) - H1947)</f>
        <v>-185306.19</v>
      </c>
      <c r="J1947" s="18" t="n">
        <v>0</v>
      </c>
      <c r="K1947" s="19" t="n">
        <v>0</v>
      </c>
      <c r="L1947" s="17" t="s">
        <v>88</v>
      </c>
    </row>
    <row r="1948" s="11" customFormat="true" ht="10.95" hidden="false" customHeight="true" outlineLevel="0" collapsed="false">
      <c r="A1948" s="16" t="n">
        <v>45387</v>
      </c>
      <c r="B1948" s="17" t="s">
        <v>787</v>
      </c>
      <c r="C1948" s="17" t="s">
        <v>788</v>
      </c>
      <c r="D1948" s="17" t="s">
        <v>19</v>
      </c>
      <c r="E1948" s="17" t="s">
        <v>904</v>
      </c>
      <c r="F1948" s="17" t="s">
        <v>903</v>
      </c>
      <c r="G1948" s="18" t="n">
        <v>0</v>
      </c>
      <c r="H1948" s="18" t="n">
        <v>320.73</v>
      </c>
      <c r="I1948" s="18" t="n">
        <f aca="false">((I1947 + G1948) - H1948)</f>
        <v>-185626.92</v>
      </c>
      <c r="J1948" s="18" t="n">
        <v>0</v>
      </c>
      <c r="K1948" s="19" t="n">
        <v>0</v>
      </c>
      <c r="L1948" s="17" t="s">
        <v>88</v>
      </c>
    </row>
    <row r="1949" s="11" customFormat="true" ht="10.95" hidden="false" customHeight="true" outlineLevel="0" collapsed="false">
      <c r="A1949" s="16" t="n">
        <v>45387</v>
      </c>
      <c r="B1949" s="17" t="s">
        <v>787</v>
      </c>
      <c r="C1949" s="17" t="s">
        <v>788</v>
      </c>
      <c r="D1949" s="17" t="s">
        <v>19</v>
      </c>
      <c r="E1949" s="17" t="s">
        <v>905</v>
      </c>
      <c r="F1949" s="17" t="s">
        <v>903</v>
      </c>
      <c r="G1949" s="18" t="n">
        <v>0</v>
      </c>
      <c r="H1949" s="18" t="n">
        <v>92.96</v>
      </c>
      <c r="I1949" s="18" t="n">
        <f aca="false">((I1948 + G1949) - H1949)</f>
        <v>-185719.88</v>
      </c>
      <c r="J1949" s="18" t="n">
        <v>0</v>
      </c>
      <c r="K1949" s="19" t="n">
        <v>0</v>
      </c>
      <c r="L1949" s="17" t="s">
        <v>88</v>
      </c>
    </row>
    <row r="1950" s="11" customFormat="true" ht="10.95" hidden="false" customHeight="true" outlineLevel="0" collapsed="false">
      <c r="A1950" s="16" t="n">
        <v>45387</v>
      </c>
      <c r="B1950" s="17" t="s">
        <v>787</v>
      </c>
      <c r="C1950" s="17" t="s">
        <v>788</v>
      </c>
      <c r="D1950" s="17" t="s">
        <v>19</v>
      </c>
      <c r="E1950" s="17" t="s">
        <v>904</v>
      </c>
      <c r="F1950" s="17" t="s">
        <v>903</v>
      </c>
      <c r="G1950" s="18" t="n">
        <v>0</v>
      </c>
      <c r="H1950" s="18" t="n">
        <v>320.73</v>
      </c>
      <c r="I1950" s="18" t="n">
        <f aca="false">((I1949 + G1950) - H1950)</f>
        <v>-186040.61</v>
      </c>
      <c r="J1950" s="18" t="n">
        <v>0</v>
      </c>
      <c r="K1950" s="19" t="n">
        <v>0</v>
      </c>
      <c r="L1950" s="17" t="s">
        <v>88</v>
      </c>
    </row>
    <row r="1951" s="11" customFormat="true" ht="10.95" hidden="false" customHeight="true" outlineLevel="0" collapsed="false">
      <c r="A1951" s="16" t="n">
        <v>45387</v>
      </c>
      <c r="B1951" s="17" t="s">
        <v>787</v>
      </c>
      <c r="C1951" s="17" t="s">
        <v>788</v>
      </c>
      <c r="D1951" s="17" t="s">
        <v>19</v>
      </c>
      <c r="E1951" s="17" t="s">
        <v>905</v>
      </c>
      <c r="F1951" s="17" t="s">
        <v>903</v>
      </c>
      <c r="G1951" s="18" t="n">
        <v>0</v>
      </c>
      <c r="H1951" s="18" t="n">
        <v>92.96</v>
      </c>
      <c r="I1951" s="18" t="n">
        <f aca="false">((I1950 + G1951) - H1951)</f>
        <v>-186133.57</v>
      </c>
      <c r="J1951" s="18" t="n">
        <v>0</v>
      </c>
      <c r="K1951" s="19" t="n">
        <v>0</v>
      </c>
      <c r="L1951" s="17" t="s">
        <v>88</v>
      </c>
    </row>
    <row r="1952" s="11" customFormat="true" ht="10.95" hidden="false" customHeight="true" outlineLevel="0" collapsed="false">
      <c r="A1952" s="16" t="n">
        <v>45387</v>
      </c>
      <c r="B1952" s="17" t="s">
        <v>787</v>
      </c>
      <c r="C1952" s="17" t="s">
        <v>788</v>
      </c>
      <c r="D1952" s="17" t="s">
        <v>19</v>
      </c>
      <c r="E1952" s="17" t="s">
        <v>904</v>
      </c>
      <c r="F1952" s="17" t="s">
        <v>903</v>
      </c>
      <c r="G1952" s="18" t="n">
        <v>0</v>
      </c>
      <c r="H1952" s="18" t="n">
        <v>320.73</v>
      </c>
      <c r="I1952" s="18" t="n">
        <f aca="false">((I1951 + G1952) - H1952)</f>
        <v>-186454.3</v>
      </c>
      <c r="J1952" s="18" t="n">
        <v>0</v>
      </c>
      <c r="K1952" s="19" t="n">
        <v>0</v>
      </c>
      <c r="L1952" s="17" t="s">
        <v>88</v>
      </c>
    </row>
    <row r="1953" s="11" customFormat="true" ht="10.95" hidden="false" customHeight="true" outlineLevel="0" collapsed="false">
      <c r="A1953" s="16" t="n">
        <v>45387</v>
      </c>
      <c r="B1953" s="17" t="s">
        <v>787</v>
      </c>
      <c r="C1953" s="17" t="s">
        <v>788</v>
      </c>
      <c r="D1953" s="17" t="s">
        <v>19</v>
      </c>
      <c r="E1953" s="17" t="s">
        <v>905</v>
      </c>
      <c r="F1953" s="17" t="s">
        <v>903</v>
      </c>
      <c r="G1953" s="18" t="n">
        <v>0</v>
      </c>
      <c r="H1953" s="18" t="n">
        <v>92.96</v>
      </c>
      <c r="I1953" s="18" t="n">
        <f aca="false">((I1952 + G1953) - H1953)</f>
        <v>-186547.26</v>
      </c>
      <c r="J1953" s="18" t="n">
        <v>0</v>
      </c>
      <c r="K1953" s="19" t="n">
        <v>0</v>
      </c>
      <c r="L1953" s="17" t="s">
        <v>88</v>
      </c>
    </row>
    <row r="1954" s="11" customFormat="true" ht="10.95" hidden="false" customHeight="true" outlineLevel="0" collapsed="false">
      <c r="A1954" s="16" t="n">
        <v>45387</v>
      </c>
      <c r="B1954" s="17" t="s">
        <v>787</v>
      </c>
      <c r="C1954" s="17" t="s">
        <v>788</v>
      </c>
      <c r="D1954" s="17" t="s">
        <v>19</v>
      </c>
      <c r="E1954" s="17" t="s">
        <v>904</v>
      </c>
      <c r="F1954" s="17" t="s">
        <v>903</v>
      </c>
      <c r="G1954" s="18" t="n">
        <v>0</v>
      </c>
      <c r="H1954" s="18" t="n">
        <v>320.73</v>
      </c>
      <c r="I1954" s="18" t="n">
        <f aca="false">((I1953 + G1954) - H1954)</f>
        <v>-186867.99</v>
      </c>
      <c r="J1954" s="18" t="n">
        <v>0</v>
      </c>
      <c r="K1954" s="19" t="n">
        <v>0</v>
      </c>
      <c r="L1954" s="17" t="s">
        <v>88</v>
      </c>
    </row>
    <row r="1955" s="11" customFormat="true" ht="10.95" hidden="false" customHeight="true" outlineLevel="0" collapsed="false">
      <c r="A1955" s="16" t="n">
        <v>45387</v>
      </c>
      <c r="B1955" s="17" t="s">
        <v>787</v>
      </c>
      <c r="C1955" s="17" t="s">
        <v>788</v>
      </c>
      <c r="D1955" s="17" t="s">
        <v>19</v>
      </c>
      <c r="E1955" s="17" t="s">
        <v>905</v>
      </c>
      <c r="F1955" s="17" t="s">
        <v>903</v>
      </c>
      <c r="G1955" s="18" t="n">
        <v>0</v>
      </c>
      <c r="H1955" s="18" t="n">
        <v>92.96</v>
      </c>
      <c r="I1955" s="18" t="n">
        <f aca="false">((I1954 + G1955) - H1955)</f>
        <v>-186960.95</v>
      </c>
      <c r="J1955" s="18" t="n">
        <v>0</v>
      </c>
      <c r="K1955" s="19" t="n">
        <v>0</v>
      </c>
      <c r="L1955" s="17" t="s">
        <v>88</v>
      </c>
    </row>
    <row r="1956" s="11" customFormat="true" ht="10.95" hidden="false" customHeight="true" outlineLevel="0" collapsed="false">
      <c r="A1956" s="16" t="n">
        <v>45387</v>
      </c>
      <c r="B1956" s="17" t="s">
        <v>787</v>
      </c>
      <c r="C1956" s="17" t="s">
        <v>788</v>
      </c>
      <c r="D1956" s="17" t="s">
        <v>19</v>
      </c>
      <c r="E1956" s="17" t="s">
        <v>904</v>
      </c>
      <c r="F1956" s="17" t="s">
        <v>903</v>
      </c>
      <c r="G1956" s="18" t="n">
        <v>0</v>
      </c>
      <c r="H1956" s="18" t="n">
        <v>320.73</v>
      </c>
      <c r="I1956" s="18" t="n">
        <f aca="false">((I1955 + G1956) - H1956)</f>
        <v>-187281.68</v>
      </c>
      <c r="J1956" s="18" t="n">
        <v>0</v>
      </c>
      <c r="K1956" s="19" t="n">
        <v>0</v>
      </c>
      <c r="L1956" s="17" t="s">
        <v>88</v>
      </c>
    </row>
    <row r="1957" s="11" customFormat="true" ht="10.95" hidden="false" customHeight="true" outlineLevel="0" collapsed="false">
      <c r="A1957" s="16" t="n">
        <v>45387</v>
      </c>
      <c r="B1957" s="17" t="s">
        <v>787</v>
      </c>
      <c r="C1957" s="17" t="s">
        <v>788</v>
      </c>
      <c r="D1957" s="17" t="s">
        <v>19</v>
      </c>
      <c r="E1957" s="17" t="s">
        <v>905</v>
      </c>
      <c r="F1957" s="17" t="s">
        <v>903</v>
      </c>
      <c r="G1957" s="18" t="n">
        <v>0</v>
      </c>
      <c r="H1957" s="18" t="n">
        <v>92.96</v>
      </c>
      <c r="I1957" s="18" t="n">
        <f aca="false">((I1956 + G1957) - H1957)</f>
        <v>-187374.64</v>
      </c>
      <c r="J1957" s="18" t="n">
        <v>0</v>
      </c>
      <c r="K1957" s="19" t="n">
        <v>0</v>
      </c>
      <c r="L1957" s="17" t="s">
        <v>88</v>
      </c>
    </row>
    <row r="1958" s="11" customFormat="true" ht="10.95" hidden="false" customHeight="true" outlineLevel="0" collapsed="false">
      <c r="A1958" s="16" t="n">
        <v>45387</v>
      </c>
      <c r="B1958" s="17" t="s">
        <v>787</v>
      </c>
      <c r="C1958" s="17" t="s">
        <v>788</v>
      </c>
      <c r="D1958" s="17" t="s">
        <v>19</v>
      </c>
      <c r="E1958" s="17" t="s">
        <v>904</v>
      </c>
      <c r="F1958" s="17" t="s">
        <v>903</v>
      </c>
      <c r="G1958" s="18" t="n">
        <v>0</v>
      </c>
      <c r="H1958" s="18" t="n">
        <v>320.73</v>
      </c>
      <c r="I1958" s="18" t="n">
        <f aca="false">((I1957 + G1958) - H1958)</f>
        <v>-187695.37</v>
      </c>
      <c r="J1958" s="18" t="n">
        <v>0</v>
      </c>
      <c r="K1958" s="19" t="n">
        <v>0</v>
      </c>
      <c r="L1958" s="17" t="s">
        <v>88</v>
      </c>
    </row>
    <row r="1959" s="11" customFormat="true" ht="10.95" hidden="false" customHeight="true" outlineLevel="0" collapsed="false">
      <c r="A1959" s="16" t="n">
        <v>45387</v>
      </c>
      <c r="B1959" s="17" t="s">
        <v>787</v>
      </c>
      <c r="C1959" s="17" t="s">
        <v>788</v>
      </c>
      <c r="D1959" s="17" t="s">
        <v>19</v>
      </c>
      <c r="E1959" s="17" t="s">
        <v>905</v>
      </c>
      <c r="F1959" s="17" t="s">
        <v>903</v>
      </c>
      <c r="G1959" s="18" t="n">
        <v>0</v>
      </c>
      <c r="H1959" s="18" t="n">
        <v>92.96</v>
      </c>
      <c r="I1959" s="18" t="n">
        <f aca="false">((I1958 + G1959) - H1959)</f>
        <v>-187788.33</v>
      </c>
      <c r="J1959" s="18" t="n">
        <v>0</v>
      </c>
      <c r="K1959" s="19" t="n">
        <v>0</v>
      </c>
      <c r="L1959" s="17" t="s">
        <v>88</v>
      </c>
    </row>
    <row r="1960" s="11" customFormat="true" ht="10.95" hidden="false" customHeight="true" outlineLevel="0" collapsed="false">
      <c r="A1960" s="16" t="n">
        <v>45387</v>
      </c>
      <c r="B1960" s="17" t="s">
        <v>787</v>
      </c>
      <c r="C1960" s="17" t="s">
        <v>788</v>
      </c>
      <c r="D1960" s="17" t="s">
        <v>19</v>
      </c>
      <c r="E1960" s="17" t="s">
        <v>904</v>
      </c>
      <c r="F1960" s="17" t="s">
        <v>903</v>
      </c>
      <c r="G1960" s="18" t="n">
        <v>0</v>
      </c>
      <c r="H1960" s="18" t="n">
        <v>320.73</v>
      </c>
      <c r="I1960" s="18" t="n">
        <f aca="false">((I1959 + G1960) - H1960)</f>
        <v>-188109.06</v>
      </c>
      <c r="J1960" s="18" t="n">
        <v>0</v>
      </c>
      <c r="K1960" s="19" t="n">
        <v>0</v>
      </c>
      <c r="L1960" s="17" t="s">
        <v>88</v>
      </c>
    </row>
    <row r="1961" s="11" customFormat="true" ht="10.95" hidden="false" customHeight="true" outlineLevel="0" collapsed="false">
      <c r="A1961" s="16" t="n">
        <v>45387</v>
      </c>
      <c r="B1961" s="17" t="s">
        <v>787</v>
      </c>
      <c r="C1961" s="17" t="s">
        <v>788</v>
      </c>
      <c r="D1961" s="17" t="s">
        <v>19</v>
      </c>
      <c r="E1961" s="17" t="s">
        <v>905</v>
      </c>
      <c r="F1961" s="17" t="s">
        <v>903</v>
      </c>
      <c r="G1961" s="18" t="n">
        <v>0</v>
      </c>
      <c r="H1961" s="18" t="n">
        <v>92.96</v>
      </c>
      <c r="I1961" s="18" t="n">
        <f aca="false">((I1960 + G1961) - H1961)</f>
        <v>-188202.02</v>
      </c>
      <c r="J1961" s="18" t="n">
        <v>0</v>
      </c>
      <c r="K1961" s="19" t="n">
        <v>0</v>
      </c>
      <c r="L1961" s="17" t="s">
        <v>88</v>
      </c>
    </row>
    <row r="1962" s="11" customFormat="true" ht="10.95" hidden="false" customHeight="true" outlineLevel="0" collapsed="false">
      <c r="A1962" s="16" t="n">
        <v>45387</v>
      </c>
      <c r="B1962" s="17" t="s">
        <v>787</v>
      </c>
      <c r="C1962" s="17" t="s">
        <v>788</v>
      </c>
      <c r="D1962" s="17" t="s">
        <v>19</v>
      </c>
      <c r="E1962" s="17" t="s">
        <v>904</v>
      </c>
      <c r="F1962" s="17" t="s">
        <v>903</v>
      </c>
      <c r="G1962" s="18" t="n">
        <v>0</v>
      </c>
      <c r="H1962" s="18" t="n">
        <v>320.73</v>
      </c>
      <c r="I1962" s="18" t="n">
        <f aca="false">((I1961 + G1962) - H1962)</f>
        <v>-188522.75</v>
      </c>
      <c r="J1962" s="18" t="n">
        <v>0</v>
      </c>
      <c r="K1962" s="19" t="n">
        <v>0</v>
      </c>
      <c r="L1962" s="17" t="s">
        <v>88</v>
      </c>
    </row>
    <row r="1963" s="11" customFormat="true" ht="10.95" hidden="false" customHeight="true" outlineLevel="0" collapsed="false">
      <c r="A1963" s="16" t="n">
        <v>45387</v>
      </c>
      <c r="B1963" s="17" t="s">
        <v>787</v>
      </c>
      <c r="C1963" s="17" t="s">
        <v>788</v>
      </c>
      <c r="D1963" s="17" t="s">
        <v>19</v>
      </c>
      <c r="E1963" s="17" t="s">
        <v>905</v>
      </c>
      <c r="F1963" s="17" t="s">
        <v>903</v>
      </c>
      <c r="G1963" s="18" t="n">
        <v>0</v>
      </c>
      <c r="H1963" s="18" t="n">
        <v>92.96</v>
      </c>
      <c r="I1963" s="18" t="n">
        <f aca="false">((I1962 + G1963) - H1963)</f>
        <v>-188615.71</v>
      </c>
      <c r="J1963" s="18" t="n">
        <v>0</v>
      </c>
      <c r="K1963" s="19" t="n">
        <v>0</v>
      </c>
      <c r="L1963" s="17" t="s">
        <v>88</v>
      </c>
    </row>
    <row r="1964" s="11" customFormat="true" ht="10.95" hidden="false" customHeight="true" outlineLevel="0" collapsed="false">
      <c r="A1964" s="16" t="n">
        <v>45387</v>
      </c>
      <c r="B1964" s="17" t="s">
        <v>787</v>
      </c>
      <c r="C1964" s="17" t="s">
        <v>788</v>
      </c>
      <c r="D1964" s="17" t="s">
        <v>19</v>
      </c>
      <c r="E1964" s="17" t="s">
        <v>904</v>
      </c>
      <c r="F1964" s="17" t="s">
        <v>903</v>
      </c>
      <c r="G1964" s="18" t="n">
        <v>0</v>
      </c>
      <c r="H1964" s="18" t="n">
        <v>320.73</v>
      </c>
      <c r="I1964" s="18" t="n">
        <f aca="false">((I1963 + G1964) - H1964)</f>
        <v>-188936.44</v>
      </c>
      <c r="J1964" s="18" t="n">
        <v>0</v>
      </c>
      <c r="K1964" s="19" t="n">
        <v>0</v>
      </c>
      <c r="L1964" s="17" t="s">
        <v>88</v>
      </c>
    </row>
    <row r="1965" s="11" customFormat="true" ht="10.95" hidden="false" customHeight="true" outlineLevel="0" collapsed="false">
      <c r="A1965" s="16" t="n">
        <v>45387</v>
      </c>
      <c r="B1965" s="17" t="s">
        <v>787</v>
      </c>
      <c r="C1965" s="17" t="s">
        <v>788</v>
      </c>
      <c r="D1965" s="17" t="s">
        <v>19</v>
      </c>
      <c r="E1965" s="17" t="s">
        <v>905</v>
      </c>
      <c r="F1965" s="17" t="s">
        <v>903</v>
      </c>
      <c r="G1965" s="18" t="n">
        <v>0</v>
      </c>
      <c r="H1965" s="18" t="n">
        <v>92.96</v>
      </c>
      <c r="I1965" s="18" t="n">
        <f aca="false">((I1964 + G1965) - H1965)</f>
        <v>-189029.4</v>
      </c>
      <c r="J1965" s="18" t="n">
        <v>0</v>
      </c>
      <c r="K1965" s="19" t="n">
        <v>0</v>
      </c>
      <c r="L1965" s="17" t="s">
        <v>88</v>
      </c>
    </row>
    <row r="1966" s="11" customFormat="true" ht="10.95" hidden="false" customHeight="true" outlineLevel="0" collapsed="false">
      <c r="A1966" s="16" t="n">
        <v>45387</v>
      </c>
      <c r="B1966" s="17" t="s">
        <v>787</v>
      </c>
      <c r="C1966" s="17" t="s">
        <v>788</v>
      </c>
      <c r="D1966" s="17" t="s">
        <v>19</v>
      </c>
      <c r="E1966" s="17" t="s">
        <v>904</v>
      </c>
      <c r="F1966" s="17" t="s">
        <v>903</v>
      </c>
      <c r="G1966" s="18" t="n">
        <v>0</v>
      </c>
      <c r="H1966" s="18" t="n">
        <v>320.73</v>
      </c>
      <c r="I1966" s="18" t="n">
        <f aca="false">((I1965 + G1966) - H1966)</f>
        <v>-189350.13</v>
      </c>
      <c r="J1966" s="18" t="n">
        <v>0</v>
      </c>
      <c r="K1966" s="19" t="n">
        <v>0</v>
      </c>
      <c r="L1966" s="17" t="s">
        <v>88</v>
      </c>
    </row>
    <row r="1967" s="11" customFormat="true" ht="10.95" hidden="false" customHeight="true" outlineLevel="0" collapsed="false">
      <c r="A1967" s="16" t="n">
        <v>45387</v>
      </c>
      <c r="B1967" s="17" t="s">
        <v>787</v>
      </c>
      <c r="C1967" s="17" t="s">
        <v>788</v>
      </c>
      <c r="D1967" s="17" t="s">
        <v>19</v>
      </c>
      <c r="E1967" s="17" t="s">
        <v>905</v>
      </c>
      <c r="F1967" s="17" t="s">
        <v>903</v>
      </c>
      <c r="G1967" s="18" t="n">
        <v>0</v>
      </c>
      <c r="H1967" s="18" t="n">
        <v>92.96</v>
      </c>
      <c r="I1967" s="18" t="n">
        <f aca="false">((I1966 + G1967) - H1967)</f>
        <v>-189443.09</v>
      </c>
      <c r="J1967" s="18" t="n">
        <v>0</v>
      </c>
      <c r="K1967" s="19" t="n">
        <v>0</v>
      </c>
      <c r="L1967" s="17" t="s">
        <v>88</v>
      </c>
    </row>
    <row r="1968" s="11" customFormat="true" ht="10.95" hidden="false" customHeight="true" outlineLevel="0" collapsed="false">
      <c r="A1968" s="16" t="n">
        <v>45408</v>
      </c>
      <c r="B1968" s="17" t="s">
        <v>787</v>
      </c>
      <c r="C1968" s="17" t="s">
        <v>788</v>
      </c>
      <c r="D1968" s="17" t="s">
        <v>19</v>
      </c>
      <c r="E1968" s="17" t="s">
        <v>793</v>
      </c>
      <c r="F1968" s="17" t="s">
        <v>906</v>
      </c>
      <c r="G1968" s="18" t="n">
        <v>0</v>
      </c>
      <c r="H1968" s="18" t="n">
        <v>90.24</v>
      </c>
      <c r="I1968" s="18" t="n">
        <f aca="false">((I1967 + G1968) - H1968)</f>
        <v>-189533.33</v>
      </c>
      <c r="J1968" s="18" t="n">
        <v>0</v>
      </c>
      <c r="K1968" s="19" t="n">
        <v>0</v>
      </c>
      <c r="L1968" s="17" t="s">
        <v>88</v>
      </c>
    </row>
    <row r="1969" s="11" customFormat="true" ht="10.95" hidden="false" customHeight="true" outlineLevel="0" collapsed="false">
      <c r="A1969" s="16" t="n">
        <v>45408</v>
      </c>
      <c r="B1969" s="17" t="s">
        <v>787</v>
      </c>
      <c r="C1969" s="17" t="s">
        <v>788</v>
      </c>
      <c r="D1969" s="17" t="s">
        <v>19</v>
      </c>
      <c r="E1969" s="17" t="s">
        <v>907</v>
      </c>
      <c r="F1969" s="17" t="s">
        <v>908</v>
      </c>
      <c r="G1969" s="18" t="n">
        <v>0</v>
      </c>
      <c r="H1969" s="18" t="n">
        <v>117.88</v>
      </c>
      <c r="I1969" s="18" t="n">
        <f aca="false">((I1968 + G1969) - H1969)</f>
        <v>-189651.21</v>
      </c>
      <c r="J1969" s="18" t="n">
        <v>0</v>
      </c>
      <c r="K1969" s="19" t="n">
        <v>0</v>
      </c>
      <c r="L1969" s="17" t="s">
        <v>88</v>
      </c>
    </row>
    <row r="1970" s="11" customFormat="true" ht="10.95" hidden="false" customHeight="true" outlineLevel="0" collapsed="false">
      <c r="A1970" s="16" t="n">
        <v>45408</v>
      </c>
      <c r="B1970" s="17" t="s">
        <v>787</v>
      </c>
      <c r="C1970" s="17" t="s">
        <v>788</v>
      </c>
      <c r="D1970" s="17" t="s">
        <v>19</v>
      </c>
      <c r="E1970" s="17" t="s">
        <v>795</v>
      </c>
      <c r="F1970" s="17" t="s">
        <v>909</v>
      </c>
      <c r="G1970" s="18" t="n">
        <v>0</v>
      </c>
      <c r="H1970" s="18" t="n">
        <v>483.93</v>
      </c>
      <c r="I1970" s="18" t="n">
        <f aca="false">((I1969 + G1970) - H1970)</f>
        <v>-190135.14</v>
      </c>
      <c r="J1970" s="18" t="n">
        <v>0</v>
      </c>
      <c r="K1970" s="19" t="n">
        <v>0</v>
      </c>
      <c r="L1970" s="17" t="s">
        <v>88</v>
      </c>
    </row>
    <row r="1971" s="11" customFormat="true" ht="10.95" hidden="false" customHeight="true" outlineLevel="0" collapsed="false">
      <c r="A1971" s="16" t="n">
        <v>45408</v>
      </c>
      <c r="B1971" s="17" t="s">
        <v>787</v>
      </c>
      <c r="C1971" s="17" t="s">
        <v>788</v>
      </c>
      <c r="D1971" s="17" t="s">
        <v>19</v>
      </c>
      <c r="E1971" s="17" t="s">
        <v>861</v>
      </c>
      <c r="F1971" s="17" t="s">
        <v>909</v>
      </c>
      <c r="G1971" s="18" t="n">
        <v>0</v>
      </c>
      <c r="H1971" s="18" t="n">
        <v>124.09</v>
      </c>
      <c r="I1971" s="18" t="n">
        <f aca="false">((I1970 + G1971) - H1971)</f>
        <v>-190259.23</v>
      </c>
      <c r="J1971" s="18" t="n">
        <v>0</v>
      </c>
      <c r="K1971" s="19" t="n">
        <v>0</v>
      </c>
      <c r="L1971" s="17" t="s">
        <v>88</v>
      </c>
    </row>
    <row r="1972" s="11" customFormat="true" ht="10.95" hidden="false" customHeight="true" outlineLevel="0" collapsed="false">
      <c r="A1972" s="16" t="n">
        <v>45408</v>
      </c>
      <c r="B1972" s="17" t="s">
        <v>787</v>
      </c>
      <c r="C1972" s="17" t="s">
        <v>788</v>
      </c>
      <c r="D1972" s="17" t="s">
        <v>19</v>
      </c>
      <c r="E1972" s="17" t="s">
        <v>795</v>
      </c>
      <c r="F1972" s="17" t="s">
        <v>910</v>
      </c>
      <c r="G1972" s="18" t="n">
        <v>0</v>
      </c>
      <c r="H1972" s="18" t="n">
        <v>322.62</v>
      </c>
      <c r="I1972" s="18" t="n">
        <f aca="false">((I1971 + G1972) - H1972)</f>
        <v>-190581.85</v>
      </c>
      <c r="J1972" s="18" t="n">
        <v>0</v>
      </c>
      <c r="K1972" s="19" t="n">
        <v>0</v>
      </c>
      <c r="L1972" s="17" t="s">
        <v>88</v>
      </c>
    </row>
    <row r="1973" s="11" customFormat="true" ht="10.95" hidden="false" customHeight="true" outlineLevel="0" collapsed="false">
      <c r="A1973" s="16" t="n">
        <v>45408</v>
      </c>
      <c r="B1973" s="17" t="s">
        <v>787</v>
      </c>
      <c r="C1973" s="17" t="s">
        <v>788</v>
      </c>
      <c r="D1973" s="17" t="s">
        <v>19</v>
      </c>
      <c r="E1973" s="17" t="s">
        <v>798</v>
      </c>
      <c r="F1973" s="17" t="s">
        <v>911</v>
      </c>
      <c r="G1973" s="18" t="n">
        <v>0</v>
      </c>
      <c r="H1973" s="18" t="n">
        <v>2403.5</v>
      </c>
      <c r="I1973" s="18" t="n">
        <f aca="false">((I1972 + G1973) - H1973)</f>
        <v>-192985.35</v>
      </c>
      <c r="J1973" s="18" t="n">
        <v>0</v>
      </c>
      <c r="K1973" s="19" t="n">
        <v>0</v>
      </c>
      <c r="L1973" s="17" t="s">
        <v>88</v>
      </c>
    </row>
    <row r="1974" s="11" customFormat="true" ht="10.95" hidden="false" customHeight="true" outlineLevel="0" collapsed="false">
      <c r="A1974" s="16" t="n">
        <v>45408</v>
      </c>
      <c r="B1974" s="17" t="s">
        <v>787</v>
      </c>
      <c r="C1974" s="17" t="s">
        <v>788</v>
      </c>
      <c r="D1974" s="17" t="s">
        <v>19</v>
      </c>
      <c r="E1974" s="17" t="s">
        <v>887</v>
      </c>
      <c r="F1974" s="17" t="s">
        <v>912</v>
      </c>
      <c r="G1974" s="18" t="n">
        <v>0</v>
      </c>
      <c r="H1974" s="18" t="n">
        <v>1001</v>
      </c>
      <c r="I1974" s="18" t="n">
        <f aca="false">((I1973 + G1974) - H1974)</f>
        <v>-193986.35</v>
      </c>
      <c r="J1974" s="18" t="n">
        <v>0</v>
      </c>
      <c r="K1974" s="19" t="n">
        <v>0</v>
      </c>
      <c r="L1974" s="17" t="s">
        <v>88</v>
      </c>
    </row>
    <row r="1975" s="11" customFormat="true" ht="10.95" hidden="false" customHeight="true" outlineLevel="0" collapsed="false">
      <c r="A1975" s="16" t="n">
        <v>45408</v>
      </c>
      <c r="B1975" s="17" t="s">
        <v>787</v>
      </c>
      <c r="C1975" s="17" t="s">
        <v>788</v>
      </c>
      <c r="D1975" s="17" t="s">
        <v>19</v>
      </c>
      <c r="E1975" s="17" t="s">
        <v>798</v>
      </c>
      <c r="F1975" s="17" t="s">
        <v>913</v>
      </c>
      <c r="G1975" s="18" t="n">
        <v>0</v>
      </c>
      <c r="H1975" s="18" t="n">
        <v>1672</v>
      </c>
      <c r="I1975" s="18" t="n">
        <f aca="false">((I1974 + G1975) - H1975)</f>
        <v>-195658.35</v>
      </c>
      <c r="J1975" s="18" t="n">
        <v>0</v>
      </c>
      <c r="K1975" s="19" t="n">
        <v>0</v>
      </c>
      <c r="L1975" s="17" t="s">
        <v>88</v>
      </c>
    </row>
    <row r="1976" s="11" customFormat="true" ht="10.95" hidden="false" customHeight="true" outlineLevel="0" collapsed="false">
      <c r="A1976" s="16" t="n">
        <v>45435</v>
      </c>
      <c r="B1976" s="17" t="s">
        <v>787</v>
      </c>
      <c r="C1976" s="17" t="s">
        <v>788</v>
      </c>
      <c r="D1976" s="17" t="s">
        <v>19</v>
      </c>
      <c r="E1976" s="17" t="s">
        <v>793</v>
      </c>
      <c r="F1976" s="17" t="s">
        <v>914</v>
      </c>
      <c r="G1976" s="18" t="n">
        <v>0</v>
      </c>
      <c r="H1976" s="18" t="n">
        <v>89.44</v>
      </c>
      <c r="I1976" s="18" t="n">
        <f aca="false">((I1975 + G1976) - H1976)</f>
        <v>-195747.79</v>
      </c>
      <c r="J1976" s="18" t="n">
        <v>0</v>
      </c>
      <c r="K1976" s="19" t="n">
        <v>0</v>
      </c>
      <c r="L1976" s="17" t="s">
        <v>88</v>
      </c>
    </row>
    <row r="1977" s="11" customFormat="true" ht="10.95" hidden="false" customHeight="true" outlineLevel="0" collapsed="false">
      <c r="A1977" s="16" t="n">
        <v>45435</v>
      </c>
      <c r="B1977" s="17" t="s">
        <v>787</v>
      </c>
      <c r="C1977" s="17" t="s">
        <v>788</v>
      </c>
      <c r="D1977" s="17" t="s">
        <v>19</v>
      </c>
      <c r="E1977" s="17" t="s">
        <v>907</v>
      </c>
      <c r="F1977" s="17" t="s">
        <v>915</v>
      </c>
      <c r="G1977" s="18" t="n">
        <v>0</v>
      </c>
      <c r="H1977" s="18" t="n">
        <v>116.83</v>
      </c>
      <c r="I1977" s="18" t="n">
        <f aca="false">((I1976 + G1977) - H1977)</f>
        <v>-195864.62</v>
      </c>
      <c r="J1977" s="18" t="n">
        <v>0</v>
      </c>
      <c r="K1977" s="19" t="n">
        <v>0</v>
      </c>
      <c r="L1977" s="17" t="s">
        <v>88</v>
      </c>
    </row>
    <row r="1978" s="11" customFormat="true" ht="10.95" hidden="false" customHeight="true" outlineLevel="0" collapsed="false">
      <c r="A1978" s="16" t="n">
        <v>45435</v>
      </c>
      <c r="B1978" s="17" t="s">
        <v>787</v>
      </c>
      <c r="C1978" s="17" t="s">
        <v>788</v>
      </c>
      <c r="D1978" s="17" t="s">
        <v>19</v>
      </c>
      <c r="E1978" s="17" t="s">
        <v>795</v>
      </c>
      <c r="F1978" s="17" t="s">
        <v>916</v>
      </c>
      <c r="G1978" s="18" t="n">
        <v>0</v>
      </c>
      <c r="H1978" s="18" t="n">
        <v>479.61</v>
      </c>
      <c r="I1978" s="18" t="n">
        <f aca="false">((I1977 + G1978) - H1978)</f>
        <v>-196344.23</v>
      </c>
      <c r="J1978" s="18" t="n">
        <v>0</v>
      </c>
      <c r="K1978" s="19" t="n">
        <v>0</v>
      </c>
      <c r="L1978" s="17" t="s">
        <v>88</v>
      </c>
    </row>
    <row r="1979" s="11" customFormat="true" ht="10.95" hidden="false" customHeight="true" outlineLevel="0" collapsed="false">
      <c r="A1979" s="16" t="n">
        <v>45435</v>
      </c>
      <c r="B1979" s="17" t="s">
        <v>787</v>
      </c>
      <c r="C1979" s="17" t="s">
        <v>788</v>
      </c>
      <c r="D1979" s="17" t="s">
        <v>19</v>
      </c>
      <c r="E1979" s="17" t="s">
        <v>861</v>
      </c>
      <c r="F1979" s="17" t="s">
        <v>916</v>
      </c>
      <c r="G1979" s="18" t="n">
        <v>0</v>
      </c>
      <c r="H1979" s="18" t="n">
        <v>122.98</v>
      </c>
      <c r="I1979" s="18" t="n">
        <f aca="false">((I1978 + G1979) - H1979)</f>
        <v>-196467.21</v>
      </c>
      <c r="J1979" s="18" t="n">
        <v>0</v>
      </c>
      <c r="K1979" s="19" t="n">
        <v>0</v>
      </c>
      <c r="L1979" s="17" t="s">
        <v>88</v>
      </c>
    </row>
    <row r="1980" s="11" customFormat="true" ht="10.95" hidden="false" customHeight="true" outlineLevel="0" collapsed="false">
      <c r="A1980" s="16" t="n">
        <v>45435</v>
      </c>
      <c r="B1980" s="17" t="s">
        <v>787</v>
      </c>
      <c r="C1980" s="17" t="s">
        <v>788</v>
      </c>
      <c r="D1980" s="17" t="s">
        <v>19</v>
      </c>
      <c r="E1980" s="17" t="s">
        <v>795</v>
      </c>
      <c r="F1980" s="17" t="s">
        <v>917</v>
      </c>
      <c r="G1980" s="18" t="n">
        <v>0</v>
      </c>
      <c r="H1980" s="18" t="n">
        <v>319.74</v>
      </c>
      <c r="I1980" s="18" t="n">
        <f aca="false">((I1979 + G1980) - H1980)</f>
        <v>-196786.95</v>
      </c>
      <c r="J1980" s="18" t="n">
        <v>0</v>
      </c>
      <c r="K1980" s="19" t="n">
        <v>0</v>
      </c>
      <c r="L1980" s="17" t="s">
        <v>88</v>
      </c>
    </row>
    <row r="1981" s="11" customFormat="true" ht="10.95" hidden="false" customHeight="true" outlineLevel="0" collapsed="false">
      <c r="A1981" s="16" t="n">
        <v>45435</v>
      </c>
      <c r="B1981" s="17" t="s">
        <v>787</v>
      </c>
      <c r="C1981" s="17" t="s">
        <v>788</v>
      </c>
      <c r="D1981" s="17" t="s">
        <v>19</v>
      </c>
      <c r="E1981" s="17" t="s">
        <v>798</v>
      </c>
      <c r="F1981" s="17" t="s">
        <v>918</v>
      </c>
      <c r="G1981" s="18" t="n">
        <v>0</v>
      </c>
      <c r="H1981" s="18" t="n">
        <v>2403.5</v>
      </c>
      <c r="I1981" s="18" t="n">
        <f aca="false">((I1980 + G1981) - H1981)</f>
        <v>-199190.45</v>
      </c>
      <c r="J1981" s="18" t="n">
        <v>0</v>
      </c>
      <c r="K1981" s="19" t="n">
        <v>0</v>
      </c>
      <c r="L1981" s="17" t="s">
        <v>88</v>
      </c>
    </row>
    <row r="1982" s="11" customFormat="true" ht="10.95" hidden="false" customHeight="true" outlineLevel="0" collapsed="false">
      <c r="A1982" s="16" t="n">
        <v>45435</v>
      </c>
      <c r="B1982" s="17" t="s">
        <v>787</v>
      </c>
      <c r="C1982" s="17" t="s">
        <v>788</v>
      </c>
      <c r="D1982" s="17" t="s">
        <v>19</v>
      </c>
      <c r="E1982" s="17" t="s">
        <v>887</v>
      </c>
      <c r="F1982" s="17" t="s">
        <v>919</v>
      </c>
      <c r="G1982" s="18" t="n">
        <v>0</v>
      </c>
      <c r="H1982" s="18" t="n">
        <v>1001</v>
      </c>
      <c r="I1982" s="18" t="n">
        <f aca="false">((I1981 + G1982) - H1982)</f>
        <v>-200191.45</v>
      </c>
      <c r="J1982" s="18" t="n">
        <v>0</v>
      </c>
      <c r="K1982" s="19" t="n">
        <v>0</v>
      </c>
      <c r="L1982" s="17" t="s">
        <v>88</v>
      </c>
    </row>
    <row r="1983" s="11" customFormat="true" ht="10.95" hidden="false" customHeight="true" outlineLevel="0" collapsed="false">
      <c r="A1983" s="16" t="n">
        <v>45435</v>
      </c>
      <c r="B1983" s="17" t="s">
        <v>787</v>
      </c>
      <c r="C1983" s="17" t="s">
        <v>788</v>
      </c>
      <c r="D1983" s="17" t="s">
        <v>19</v>
      </c>
      <c r="E1983" s="17" t="s">
        <v>798</v>
      </c>
      <c r="F1983" s="17" t="s">
        <v>920</v>
      </c>
      <c r="G1983" s="18" t="n">
        <v>0</v>
      </c>
      <c r="H1983" s="18" t="n">
        <v>1672</v>
      </c>
      <c r="I1983" s="18" t="n">
        <f aca="false">((I1982 + G1983) - H1983)</f>
        <v>-201863.45</v>
      </c>
      <c r="J1983" s="18" t="n">
        <v>0</v>
      </c>
      <c r="K1983" s="19" t="n">
        <v>0</v>
      </c>
      <c r="L1983" s="17" t="s">
        <v>88</v>
      </c>
    </row>
    <row r="1984" s="11" customFormat="true" ht="10.95" hidden="false" customHeight="true" outlineLevel="0" collapsed="false">
      <c r="A1984" s="16" t="n">
        <v>45435</v>
      </c>
      <c r="B1984" s="17" t="s">
        <v>787</v>
      </c>
      <c r="C1984" s="17" t="s">
        <v>788</v>
      </c>
      <c r="D1984" s="17" t="s">
        <v>19</v>
      </c>
      <c r="E1984" s="17" t="s">
        <v>789</v>
      </c>
      <c r="F1984" s="17" t="s">
        <v>921</v>
      </c>
      <c r="G1984" s="18" t="n">
        <v>0</v>
      </c>
      <c r="H1984" s="18" t="n">
        <v>314.88</v>
      </c>
      <c r="I1984" s="18" t="n">
        <f aca="false">((I1983 + G1984) - H1984)</f>
        <v>-202178.33</v>
      </c>
      <c r="J1984" s="18" t="n">
        <v>0</v>
      </c>
      <c r="K1984" s="19" t="n">
        <v>0</v>
      </c>
      <c r="L1984" s="17" t="s">
        <v>88</v>
      </c>
    </row>
    <row r="1985" s="11" customFormat="true" ht="10.95" hidden="false" customHeight="true" outlineLevel="0" collapsed="false">
      <c r="A1985" s="16" t="n">
        <v>45435</v>
      </c>
      <c r="B1985" s="17" t="s">
        <v>787</v>
      </c>
      <c r="C1985" s="17" t="s">
        <v>788</v>
      </c>
      <c r="D1985" s="17" t="s">
        <v>19</v>
      </c>
      <c r="E1985" s="17" t="s">
        <v>789</v>
      </c>
      <c r="F1985" s="17" t="s">
        <v>921</v>
      </c>
      <c r="G1985" s="18" t="n">
        <v>0</v>
      </c>
      <c r="H1985" s="18" t="n">
        <v>314.88</v>
      </c>
      <c r="I1985" s="18" t="n">
        <f aca="false">((I1984 + G1985) - H1985)</f>
        <v>-202493.21</v>
      </c>
      <c r="J1985" s="18" t="n">
        <v>0</v>
      </c>
      <c r="K1985" s="19" t="n">
        <v>0</v>
      </c>
      <c r="L1985" s="17" t="s">
        <v>88</v>
      </c>
    </row>
    <row r="1986" s="11" customFormat="true" ht="10.95" hidden="false" customHeight="true" outlineLevel="0" collapsed="false">
      <c r="A1986" s="16" t="n">
        <v>45435</v>
      </c>
      <c r="B1986" s="17" t="s">
        <v>787</v>
      </c>
      <c r="C1986" s="17" t="s">
        <v>788</v>
      </c>
      <c r="D1986" s="17" t="s">
        <v>19</v>
      </c>
      <c r="E1986" s="17" t="s">
        <v>789</v>
      </c>
      <c r="F1986" s="17" t="s">
        <v>921</v>
      </c>
      <c r="G1986" s="18" t="n">
        <v>0</v>
      </c>
      <c r="H1986" s="18" t="n">
        <v>314.88</v>
      </c>
      <c r="I1986" s="18" t="n">
        <f aca="false">((I1985 + G1986) - H1986)</f>
        <v>-202808.09</v>
      </c>
      <c r="J1986" s="18" t="n">
        <v>0</v>
      </c>
      <c r="K1986" s="19" t="n">
        <v>0</v>
      </c>
      <c r="L1986" s="17" t="s">
        <v>88</v>
      </c>
    </row>
    <row r="1987" s="11" customFormat="true" ht="10.95" hidden="false" customHeight="true" outlineLevel="0" collapsed="false">
      <c r="A1987" s="16" t="n">
        <v>45435</v>
      </c>
      <c r="B1987" s="17" t="s">
        <v>787</v>
      </c>
      <c r="C1987" s="17" t="s">
        <v>788</v>
      </c>
      <c r="D1987" s="17" t="s">
        <v>19</v>
      </c>
      <c r="E1987" s="17" t="s">
        <v>789</v>
      </c>
      <c r="F1987" s="17" t="s">
        <v>921</v>
      </c>
      <c r="G1987" s="18" t="n">
        <v>0</v>
      </c>
      <c r="H1987" s="18" t="n">
        <v>314.88</v>
      </c>
      <c r="I1987" s="18" t="n">
        <f aca="false">((I1986 + G1987) - H1987)</f>
        <v>-203122.97</v>
      </c>
      <c r="J1987" s="18" t="n">
        <v>0</v>
      </c>
      <c r="K1987" s="19" t="n">
        <v>0</v>
      </c>
      <c r="L1987" s="17" t="s">
        <v>88</v>
      </c>
    </row>
    <row r="1988" s="11" customFormat="true" ht="10.95" hidden="false" customHeight="true" outlineLevel="0" collapsed="false">
      <c r="A1988" s="16" t="n">
        <v>45435</v>
      </c>
      <c r="B1988" s="17" t="s">
        <v>787</v>
      </c>
      <c r="C1988" s="17" t="s">
        <v>788</v>
      </c>
      <c r="D1988" s="17" t="s">
        <v>19</v>
      </c>
      <c r="E1988" s="17" t="s">
        <v>789</v>
      </c>
      <c r="F1988" s="17" t="s">
        <v>921</v>
      </c>
      <c r="G1988" s="18" t="n">
        <v>0</v>
      </c>
      <c r="H1988" s="18" t="n">
        <v>314.87</v>
      </c>
      <c r="I1988" s="18" t="n">
        <f aca="false">((I1987 + G1988) - H1988)</f>
        <v>-203437.84</v>
      </c>
      <c r="J1988" s="18" t="n">
        <v>0</v>
      </c>
      <c r="K1988" s="19" t="n">
        <v>0</v>
      </c>
      <c r="L1988" s="17" t="s">
        <v>88</v>
      </c>
    </row>
    <row r="1989" s="11" customFormat="true" ht="10.95" hidden="false" customHeight="true" outlineLevel="0" collapsed="false">
      <c r="A1989" s="16" t="n">
        <v>45435</v>
      </c>
      <c r="B1989" s="17" t="s">
        <v>787</v>
      </c>
      <c r="C1989" s="17" t="s">
        <v>788</v>
      </c>
      <c r="D1989" s="17" t="s">
        <v>19</v>
      </c>
      <c r="E1989" s="17" t="s">
        <v>789</v>
      </c>
      <c r="F1989" s="17" t="s">
        <v>921</v>
      </c>
      <c r="G1989" s="18" t="n">
        <v>0</v>
      </c>
      <c r="H1989" s="18" t="n">
        <v>314.87</v>
      </c>
      <c r="I1989" s="18" t="n">
        <f aca="false">((I1988 + G1989) - H1989)</f>
        <v>-203752.71</v>
      </c>
      <c r="J1989" s="18" t="n">
        <v>0</v>
      </c>
      <c r="K1989" s="19" t="n">
        <v>0</v>
      </c>
      <c r="L1989" s="17" t="s">
        <v>88</v>
      </c>
    </row>
    <row r="1990" s="11" customFormat="true" ht="10.95" hidden="false" customHeight="true" outlineLevel="0" collapsed="false">
      <c r="A1990" s="16" t="n">
        <v>45435</v>
      </c>
      <c r="B1990" s="17" t="s">
        <v>787</v>
      </c>
      <c r="C1990" s="17" t="s">
        <v>788</v>
      </c>
      <c r="D1990" s="17" t="s">
        <v>19</v>
      </c>
      <c r="E1990" s="17" t="s">
        <v>789</v>
      </c>
      <c r="F1990" s="17" t="s">
        <v>921</v>
      </c>
      <c r="G1990" s="18" t="n">
        <v>0</v>
      </c>
      <c r="H1990" s="18" t="n">
        <v>314.87</v>
      </c>
      <c r="I1990" s="18" t="n">
        <f aca="false">((I1989 + G1990) - H1990)</f>
        <v>-204067.58</v>
      </c>
      <c r="J1990" s="18" t="n">
        <v>0</v>
      </c>
      <c r="K1990" s="19" t="n">
        <v>0</v>
      </c>
      <c r="L1990" s="17" t="s">
        <v>88</v>
      </c>
    </row>
    <row r="1991" s="11" customFormat="true" ht="10.95" hidden="false" customHeight="true" outlineLevel="0" collapsed="false">
      <c r="A1991" s="16" t="n">
        <v>45435</v>
      </c>
      <c r="B1991" s="17" t="s">
        <v>787</v>
      </c>
      <c r="C1991" s="17" t="s">
        <v>788</v>
      </c>
      <c r="D1991" s="17" t="s">
        <v>19</v>
      </c>
      <c r="E1991" s="17" t="s">
        <v>789</v>
      </c>
      <c r="F1991" s="17" t="s">
        <v>921</v>
      </c>
      <c r="G1991" s="18" t="n">
        <v>0</v>
      </c>
      <c r="H1991" s="18" t="n">
        <v>314.87</v>
      </c>
      <c r="I1991" s="18" t="n">
        <f aca="false">((I1990 + G1991) - H1991)</f>
        <v>-204382.45</v>
      </c>
      <c r="J1991" s="18" t="n">
        <v>0</v>
      </c>
      <c r="K1991" s="19" t="n">
        <v>0</v>
      </c>
      <c r="L1991" s="17" t="s">
        <v>88</v>
      </c>
    </row>
    <row r="1992" s="11" customFormat="true" ht="10.95" hidden="false" customHeight="true" outlineLevel="0" collapsed="false">
      <c r="A1992" s="16" t="n">
        <v>45435</v>
      </c>
      <c r="B1992" s="17" t="s">
        <v>787</v>
      </c>
      <c r="C1992" s="17" t="s">
        <v>788</v>
      </c>
      <c r="D1992" s="17" t="s">
        <v>19</v>
      </c>
      <c r="E1992" s="17" t="s">
        <v>789</v>
      </c>
      <c r="F1992" s="17" t="s">
        <v>921</v>
      </c>
      <c r="G1992" s="18" t="n">
        <v>0</v>
      </c>
      <c r="H1992" s="18" t="n">
        <v>314.87</v>
      </c>
      <c r="I1992" s="18" t="n">
        <f aca="false">((I1991 + G1992) - H1992)</f>
        <v>-204697.32</v>
      </c>
      <c r="J1992" s="18" t="n">
        <v>0</v>
      </c>
      <c r="K1992" s="19" t="n">
        <v>0</v>
      </c>
      <c r="L1992" s="17" t="s">
        <v>88</v>
      </c>
    </row>
    <row r="1993" s="11" customFormat="true" ht="10.95" hidden="false" customHeight="true" outlineLevel="0" collapsed="false">
      <c r="A1993" s="16" t="n">
        <v>45435</v>
      </c>
      <c r="B1993" s="17" t="s">
        <v>787</v>
      </c>
      <c r="C1993" s="17" t="s">
        <v>788</v>
      </c>
      <c r="D1993" s="17" t="s">
        <v>19</v>
      </c>
      <c r="E1993" s="17" t="s">
        <v>789</v>
      </c>
      <c r="F1993" s="17" t="s">
        <v>921</v>
      </c>
      <c r="G1993" s="18" t="n">
        <v>0</v>
      </c>
      <c r="H1993" s="18" t="n">
        <v>314.87</v>
      </c>
      <c r="I1993" s="18" t="n">
        <f aca="false">((I1992 + G1993) - H1993)</f>
        <v>-205012.19</v>
      </c>
      <c r="J1993" s="18" t="n">
        <v>0</v>
      </c>
      <c r="K1993" s="19" t="n">
        <v>0</v>
      </c>
      <c r="L1993" s="17" t="s">
        <v>88</v>
      </c>
    </row>
    <row r="1994" s="11" customFormat="true" ht="10.95" hidden="false" customHeight="true" outlineLevel="0" collapsed="false">
      <c r="A1994" s="16" t="n">
        <v>45435</v>
      </c>
      <c r="B1994" s="17" t="s">
        <v>787</v>
      </c>
      <c r="C1994" s="17" t="s">
        <v>788</v>
      </c>
      <c r="D1994" s="17" t="s">
        <v>19</v>
      </c>
      <c r="E1994" s="17" t="s">
        <v>789</v>
      </c>
      <c r="F1994" s="17" t="s">
        <v>921</v>
      </c>
      <c r="G1994" s="18" t="n">
        <v>0</v>
      </c>
      <c r="H1994" s="18" t="n">
        <v>314.87</v>
      </c>
      <c r="I1994" s="18" t="n">
        <f aca="false">((I1993 + G1994) - H1994)</f>
        <v>-205327.06</v>
      </c>
      <c r="J1994" s="18" t="n">
        <v>0</v>
      </c>
      <c r="K1994" s="19" t="n">
        <v>0</v>
      </c>
      <c r="L1994" s="17" t="s">
        <v>88</v>
      </c>
    </row>
    <row r="1995" s="11" customFormat="true" ht="10.95" hidden="false" customHeight="true" outlineLevel="0" collapsed="false">
      <c r="A1995" s="16" t="n">
        <v>45435</v>
      </c>
      <c r="B1995" s="17" t="s">
        <v>787</v>
      </c>
      <c r="C1995" s="17" t="s">
        <v>788</v>
      </c>
      <c r="D1995" s="17" t="s">
        <v>19</v>
      </c>
      <c r="E1995" s="17" t="s">
        <v>789</v>
      </c>
      <c r="F1995" s="17" t="s">
        <v>921</v>
      </c>
      <c r="G1995" s="18" t="n">
        <v>0</v>
      </c>
      <c r="H1995" s="18" t="n">
        <v>314.87</v>
      </c>
      <c r="I1995" s="18" t="n">
        <f aca="false">((I1994 + G1995) - H1995)</f>
        <v>-205641.93</v>
      </c>
      <c r="J1995" s="18" t="n">
        <v>0</v>
      </c>
      <c r="K1995" s="19" t="n">
        <v>0</v>
      </c>
      <c r="L1995" s="17" t="s">
        <v>88</v>
      </c>
    </row>
    <row r="1996" s="11" customFormat="true" ht="10.95" hidden="false" customHeight="true" outlineLevel="0" collapsed="false">
      <c r="A1996" s="16" t="n">
        <v>45443</v>
      </c>
      <c r="B1996" s="17" t="s">
        <v>787</v>
      </c>
      <c r="C1996" s="17" t="s">
        <v>788</v>
      </c>
      <c r="D1996" s="17" t="s">
        <v>19</v>
      </c>
      <c r="E1996" s="17" t="s">
        <v>922</v>
      </c>
      <c r="F1996" s="17" t="s">
        <v>923</v>
      </c>
      <c r="G1996" s="18" t="n">
        <v>0</v>
      </c>
      <c r="H1996" s="18" t="n">
        <v>479.09</v>
      </c>
      <c r="I1996" s="18" t="n">
        <f aca="false">((I1995 + G1996) - H1996)</f>
        <v>-206121.02</v>
      </c>
      <c r="J1996" s="18" t="n">
        <v>0</v>
      </c>
      <c r="K1996" s="19" t="n">
        <v>0</v>
      </c>
      <c r="L1996" s="17" t="s">
        <v>88</v>
      </c>
    </row>
    <row r="1997" s="11" customFormat="true" ht="10.95" hidden="false" customHeight="true" outlineLevel="0" collapsed="false">
      <c r="A1997" s="16" t="n">
        <v>45443</v>
      </c>
      <c r="B1997" s="17" t="s">
        <v>787</v>
      </c>
      <c r="C1997" s="17" t="s">
        <v>788</v>
      </c>
      <c r="D1997" s="17" t="s">
        <v>19</v>
      </c>
      <c r="E1997" s="17" t="s">
        <v>924</v>
      </c>
      <c r="F1997" s="17" t="s">
        <v>923</v>
      </c>
      <c r="G1997" s="18" t="n">
        <v>0</v>
      </c>
      <c r="H1997" s="18" t="n">
        <v>479.08</v>
      </c>
      <c r="I1997" s="18" t="n">
        <f aca="false">((I1996 + G1997) - H1997)</f>
        <v>-206600.1</v>
      </c>
      <c r="J1997" s="18" t="n">
        <v>0</v>
      </c>
      <c r="K1997" s="19" t="n">
        <v>0</v>
      </c>
      <c r="L1997" s="17" t="s">
        <v>88</v>
      </c>
    </row>
    <row r="1998" s="11" customFormat="true" ht="10.95" hidden="false" customHeight="true" outlineLevel="0" collapsed="false">
      <c r="A1998" s="16" t="n">
        <v>45443</v>
      </c>
      <c r="B1998" s="17" t="s">
        <v>787</v>
      </c>
      <c r="C1998" s="17" t="s">
        <v>788</v>
      </c>
      <c r="D1998" s="17" t="s">
        <v>19</v>
      </c>
      <c r="E1998" s="17" t="s">
        <v>925</v>
      </c>
      <c r="F1998" s="17" t="s">
        <v>923</v>
      </c>
      <c r="G1998" s="18" t="n">
        <v>0</v>
      </c>
      <c r="H1998" s="18" t="n">
        <v>479.08</v>
      </c>
      <c r="I1998" s="18" t="n">
        <f aca="false">((I1997 + G1998) - H1998)</f>
        <v>-207079.18</v>
      </c>
      <c r="J1998" s="18" t="n">
        <v>0</v>
      </c>
      <c r="K1998" s="19" t="n">
        <v>0</v>
      </c>
      <c r="L1998" s="17" t="s">
        <v>88</v>
      </c>
    </row>
    <row r="1999" s="11" customFormat="true" ht="10.95" hidden="false" customHeight="true" outlineLevel="0" collapsed="false">
      <c r="A1999" s="16" t="n">
        <v>45462</v>
      </c>
      <c r="B1999" s="17" t="s">
        <v>787</v>
      </c>
      <c r="C1999" s="17" t="s">
        <v>788</v>
      </c>
      <c r="D1999" s="17" t="s">
        <v>19</v>
      </c>
      <c r="E1999" s="17" t="s">
        <v>793</v>
      </c>
      <c r="F1999" s="17" t="s">
        <v>926</v>
      </c>
      <c r="G1999" s="18" t="n">
        <v>0</v>
      </c>
      <c r="H1999" s="18" t="n">
        <v>88.88</v>
      </c>
      <c r="I1999" s="18" t="n">
        <f aca="false">((I1998 + G1999) - H1999)</f>
        <v>-207168.06</v>
      </c>
      <c r="J1999" s="18" t="n">
        <v>0</v>
      </c>
      <c r="K1999" s="19" t="n">
        <v>0</v>
      </c>
      <c r="L1999" s="17" t="s">
        <v>88</v>
      </c>
    </row>
    <row r="2000" s="11" customFormat="true" ht="10.95" hidden="false" customHeight="true" outlineLevel="0" collapsed="false">
      <c r="A2000" s="16" t="n">
        <v>45462</v>
      </c>
      <c r="B2000" s="17" t="s">
        <v>787</v>
      </c>
      <c r="C2000" s="17" t="s">
        <v>788</v>
      </c>
      <c r="D2000" s="17" t="s">
        <v>19</v>
      </c>
      <c r="E2000" s="17" t="s">
        <v>907</v>
      </c>
      <c r="F2000" s="17" t="s">
        <v>927</v>
      </c>
      <c r="G2000" s="18" t="n">
        <v>0</v>
      </c>
      <c r="H2000" s="18" t="n">
        <v>116.1</v>
      </c>
      <c r="I2000" s="18" t="n">
        <f aca="false">((I1999 + G2000) - H2000)</f>
        <v>-207284.16</v>
      </c>
      <c r="J2000" s="18" t="n">
        <v>0</v>
      </c>
      <c r="K2000" s="19" t="n">
        <v>0</v>
      </c>
      <c r="L2000" s="17" t="s">
        <v>88</v>
      </c>
    </row>
    <row r="2001" s="11" customFormat="true" ht="10.95" hidden="false" customHeight="true" outlineLevel="0" collapsed="false">
      <c r="A2001" s="16" t="n">
        <v>45462</v>
      </c>
      <c r="B2001" s="17" t="s">
        <v>787</v>
      </c>
      <c r="C2001" s="17" t="s">
        <v>788</v>
      </c>
      <c r="D2001" s="17" t="s">
        <v>19</v>
      </c>
      <c r="E2001" s="17" t="s">
        <v>795</v>
      </c>
      <c r="F2001" s="17" t="s">
        <v>928</v>
      </c>
      <c r="G2001" s="18" t="n">
        <v>0</v>
      </c>
      <c r="H2001" s="18" t="n">
        <v>317.76</v>
      </c>
      <c r="I2001" s="18" t="n">
        <f aca="false">((I2000 + G2001) - H2001)</f>
        <v>-207601.92</v>
      </c>
      <c r="J2001" s="18" t="n">
        <v>0</v>
      </c>
      <c r="K2001" s="19" t="n">
        <v>0</v>
      </c>
      <c r="L2001" s="17" t="s">
        <v>88</v>
      </c>
    </row>
    <row r="2002" s="11" customFormat="true" ht="10.95" hidden="false" customHeight="true" outlineLevel="0" collapsed="false">
      <c r="A2002" s="16" t="n">
        <v>45462</v>
      </c>
      <c r="B2002" s="17" t="s">
        <v>787</v>
      </c>
      <c r="C2002" s="17" t="s">
        <v>788</v>
      </c>
      <c r="D2002" s="17" t="s">
        <v>19</v>
      </c>
      <c r="E2002" s="17" t="s">
        <v>798</v>
      </c>
      <c r="F2002" s="17" t="s">
        <v>929</v>
      </c>
      <c r="G2002" s="18" t="n">
        <v>0</v>
      </c>
      <c r="H2002" s="18" t="n">
        <v>2508</v>
      </c>
      <c r="I2002" s="18" t="n">
        <f aca="false">((I2001 + G2002) - H2002)</f>
        <v>-210109.92</v>
      </c>
      <c r="J2002" s="18" t="n">
        <v>0</v>
      </c>
      <c r="K2002" s="19" t="n">
        <v>0</v>
      </c>
      <c r="L2002" s="17" t="s">
        <v>88</v>
      </c>
    </row>
    <row r="2003" s="11" customFormat="true" ht="10.95" hidden="false" customHeight="true" outlineLevel="0" collapsed="false">
      <c r="A2003" s="16" t="n">
        <v>45462</v>
      </c>
      <c r="B2003" s="17" t="s">
        <v>787</v>
      </c>
      <c r="C2003" s="17" t="s">
        <v>788</v>
      </c>
      <c r="D2003" s="17" t="s">
        <v>19</v>
      </c>
      <c r="E2003" s="17" t="s">
        <v>798</v>
      </c>
      <c r="F2003" s="17" t="s">
        <v>929</v>
      </c>
      <c r="G2003" s="18" t="n">
        <v>0</v>
      </c>
      <c r="H2003" s="18" t="n">
        <v>209</v>
      </c>
      <c r="I2003" s="18" t="n">
        <f aca="false">((I2002 + G2003) - H2003)</f>
        <v>-210318.92</v>
      </c>
      <c r="J2003" s="18" t="n">
        <v>0</v>
      </c>
      <c r="K2003" s="19" t="n">
        <v>0</v>
      </c>
      <c r="L2003" s="17" t="s">
        <v>88</v>
      </c>
    </row>
    <row r="2004" s="11" customFormat="true" ht="10.95" hidden="false" customHeight="true" outlineLevel="0" collapsed="false">
      <c r="A2004" s="16" t="n">
        <v>45462</v>
      </c>
      <c r="B2004" s="17" t="s">
        <v>787</v>
      </c>
      <c r="C2004" s="17" t="s">
        <v>788</v>
      </c>
      <c r="D2004" s="17" t="s">
        <v>19</v>
      </c>
      <c r="E2004" s="17" t="s">
        <v>887</v>
      </c>
      <c r="F2004" s="17" t="s">
        <v>930</v>
      </c>
      <c r="G2004" s="18" t="n">
        <v>0</v>
      </c>
      <c r="H2004" s="18" t="n">
        <v>1001</v>
      </c>
      <c r="I2004" s="18" t="n">
        <f aca="false">((I2003 + G2004) - H2004)</f>
        <v>-211319.92</v>
      </c>
      <c r="J2004" s="18" t="n">
        <v>0</v>
      </c>
      <c r="K2004" s="19" t="n">
        <v>0</v>
      </c>
      <c r="L2004" s="17" t="s">
        <v>88</v>
      </c>
    </row>
    <row r="2005" s="11" customFormat="true" ht="10.95" hidden="false" customHeight="true" outlineLevel="0" collapsed="false">
      <c r="A2005" s="16" t="n">
        <v>45462</v>
      </c>
      <c r="B2005" s="17" t="s">
        <v>787</v>
      </c>
      <c r="C2005" s="17" t="s">
        <v>788</v>
      </c>
      <c r="D2005" s="17" t="s">
        <v>19</v>
      </c>
      <c r="E2005" s="17" t="s">
        <v>798</v>
      </c>
      <c r="F2005" s="17" t="s">
        <v>931</v>
      </c>
      <c r="G2005" s="18" t="n">
        <v>0</v>
      </c>
      <c r="H2005" s="18" t="n">
        <v>1567.5</v>
      </c>
      <c r="I2005" s="18" t="n">
        <f aca="false">((I2004 + G2005) - H2005)</f>
        <v>-212887.42</v>
      </c>
      <c r="J2005" s="18" t="n">
        <v>0</v>
      </c>
      <c r="K2005" s="19" t="n">
        <v>0</v>
      </c>
      <c r="L2005" s="17" t="s">
        <v>88</v>
      </c>
    </row>
    <row r="2006" s="11" customFormat="true" ht="10.95" hidden="false" customHeight="true" outlineLevel="0" collapsed="false">
      <c r="A2006" s="16" t="n">
        <v>45462</v>
      </c>
      <c r="B2006" s="17" t="s">
        <v>787</v>
      </c>
      <c r="C2006" s="17" t="s">
        <v>788</v>
      </c>
      <c r="D2006" s="17" t="s">
        <v>19</v>
      </c>
      <c r="E2006" s="17" t="s">
        <v>932</v>
      </c>
      <c r="F2006" s="17" t="s">
        <v>933</v>
      </c>
      <c r="G2006" s="18" t="n">
        <v>0</v>
      </c>
      <c r="H2006" s="18" t="n">
        <v>143.94</v>
      </c>
      <c r="I2006" s="18" t="n">
        <f aca="false">((I2005 + G2006) - H2006)</f>
        <v>-213031.36</v>
      </c>
      <c r="J2006" s="18" t="n">
        <v>0</v>
      </c>
      <c r="K2006" s="19" t="n">
        <v>0</v>
      </c>
      <c r="L2006" s="17" t="s">
        <v>88</v>
      </c>
    </row>
    <row r="2007" s="11" customFormat="true" ht="10.95" hidden="false" customHeight="true" outlineLevel="0" collapsed="false">
      <c r="A2007" s="16" t="n">
        <v>45462</v>
      </c>
      <c r="B2007" s="17" t="s">
        <v>787</v>
      </c>
      <c r="C2007" s="17" t="s">
        <v>788</v>
      </c>
      <c r="D2007" s="17" t="s">
        <v>19</v>
      </c>
      <c r="E2007" s="17" t="s">
        <v>932</v>
      </c>
      <c r="F2007" s="17" t="s">
        <v>933</v>
      </c>
      <c r="G2007" s="18" t="n">
        <v>0</v>
      </c>
      <c r="H2007" s="18" t="n">
        <v>143.94</v>
      </c>
      <c r="I2007" s="18" t="n">
        <f aca="false">((I2006 + G2007) - H2007)</f>
        <v>-213175.3</v>
      </c>
      <c r="J2007" s="18" t="n">
        <v>0</v>
      </c>
      <c r="K2007" s="19" t="n">
        <v>0</v>
      </c>
      <c r="L2007" s="17" t="s">
        <v>88</v>
      </c>
    </row>
    <row r="2008" s="11" customFormat="true" ht="10.95" hidden="false" customHeight="true" outlineLevel="0" collapsed="false">
      <c r="A2008" s="16" t="n">
        <v>45462</v>
      </c>
      <c r="B2008" s="17" t="s">
        <v>787</v>
      </c>
      <c r="C2008" s="17" t="s">
        <v>788</v>
      </c>
      <c r="D2008" s="17" t="s">
        <v>19</v>
      </c>
      <c r="E2008" s="17" t="s">
        <v>932</v>
      </c>
      <c r="F2008" s="17" t="s">
        <v>933</v>
      </c>
      <c r="G2008" s="18" t="n">
        <v>0</v>
      </c>
      <c r="H2008" s="18" t="n">
        <v>143.94</v>
      </c>
      <c r="I2008" s="18" t="n">
        <f aca="false">((I2007 + G2008) - H2008)</f>
        <v>-213319.24</v>
      </c>
      <c r="J2008" s="18" t="n">
        <v>0</v>
      </c>
      <c r="K2008" s="19" t="n">
        <v>0</v>
      </c>
      <c r="L2008" s="17" t="s">
        <v>88</v>
      </c>
    </row>
    <row r="2009" s="11" customFormat="true" ht="10.95" hidden="false" customHeight="true" outlineLevel="0" collapsed="false">
      <c r="A2009" s="16" t="n">
        <v>45462</v>
      </c>
      <c r="B2009" s="17" t="s">
        <v>787</v>
      </c>
      <c r="C2009" s="17" t="s">
        <v>788</v>
      </c>
      <c r="D2009" s="17" t="s">
        <v>19</v>
      </c>
      <c r="E2009" s="17" t="s">
        <v>932</v>
      </c>
      <c r="F2009" s="17" t="s">
        <v>933</v>
      </c>
      <c r="G2009" s="18" t="n">
        <v>0</v>
      </c>
      <c r="H2009" s="18" t="n">
        <v>143.93</v>
      </c>
      <c r="I2009" s="18" t="n">
        <f aca="false">((I2008 + G2009) - H2009)</f>
        <v>-213463.17</v>
      </c>
      <c r="J2009" s="18" t="n">
        <v>0</v>
      </c>
      <c r="K2009" s="19" t="n">
        <v>0</v>
      </c>
      <c r="L2009" s="17" t="s">
        <v>88</v>
      </c>
    </row>
    <row r="2010" s="11" customFormat="true" ht="10.95" hidden="false" customHeight="true" outlineLevel="0" collapsed="false">
      <c r="A2010" s="16" t="n">
        <v>45462</v>
      </c>
      <c r="B2010" s="17" t="s">
        <v>787</v>
      </c>
      <c r="C2010" s="17" t="s">
        <v>788</v>
      </c>
      <c r="D2010" s="17" t="s">
        <v>19</v>
      </c>
      <c r="E2010" s="17" t="s">
        <v>932</v>
      </c>
      <c r="F2010" s="17" t="s">
        <v>933</v>
      </c>
      <c r="G2010" s="18" t="n">
        <v>0</v>
      </c>
      <c r="H2010" s="18" t="n">
        <v>143.93</v>
      </c>
      <c r="I2010" s="18" t="n">
        <f aca="false">((I2009 + G2010) - H2010)</f>
        <v>-213607.1</v>
      </c>
      <c r="J2010" s="18" t="n">
        <v>0</v>
      </c>
      <c r="K2010" s="19" t="n">
        <v>0</v>
      </c>
      <c r="L2010" s="17" t="s">
        <v>88</v>
      </c>
    </row>
    <row r="2011" s="11" customFormat="true" ht="10.95" hidden="false" customHeight="true" outlineLevel="0" collapsed="false">
      <c r="A2011" s="16" t="n">
        <v>45462</v>
      </c>
      <c r="B2011" s="17" t="s">
        <v>787</v>
      </c>
      <c r="C2011" s="17" t="s">
        <v>788</v>
      </c>
      <c r="D2011" s="17" t="s">
        <v>19</v>
      </c>
      <c r="E2011" s="17" t="s">
        <v>932</v>
      </c>
      <c r="F2011" s="17" t="s">
        <v>933</v>
      </c>
      <c r="G2011" s="18" t="n">
        <v>0</v>
      </c>
      <c r="H2011" s="18" t="n">
        <v>143.93</v>
      </c>
      <c r="I2011" s="18" t="n">
        <f aca="false">((I2010 + G2011) - H2011)</f>
        <v>-213751.03</v>
      </c>
      <c r="J2011" s="18" t="n">
        <v>0</v>
      </c>
      <c r="K2011" s="19" t="n">
        <v>0</v>
      </c>
      <c r="L2011" s="17" t="s">
        <v>88</v>
      </c>
    </row>
    <row r="2012" s="11" customFormat="true" ht="10.95" hidden="false" customHeight="true" outlineLevel="0" collapsed="false">
      <c r="A2012" s="16" t="n">
        <v>45462</v>
      </c>
      <c r="B2012" s="17" t="s">
        <v>787</v>
      </c>
      <c r="C2012" s="17" t="s">
        <v>788</v>
      </c>
      <c r="D2012" s="17" t="s">
        <v>19</v>
      </c>
      <c r="E2012" s="17" t="s">
        <v>932</v>
      </c>
      <c r="F2012" s="17" t="s">
        <v>933</v>
      </c>
      <c r="G2012" s="18" t="n">
        <v>0</v>
      </c>
      <c r="H2012" s="18" t="n">
        <v>143.93</v>
      </c>
      <c r="I2012" s="18" t="n">
        <f aca="false">((I2011 + G2012) - H2012)</f>
        <v>-213894.96</v>
      </c>
      <c r="J2012" s="18" t="n">
        <v>0</v>
      </c>
      <c r="K2012" s="19" t="n">
        <v>0</v>
      </c>
      <c r="L2012" s="17" t="s">
        <v>88</v>
      </c>
    </row>
    <row r="2013" s="11" customFormat="true" ht="10.95" hidden="false" customHeight="true" outlineLevel="0" collapsed="false">
      <c r="A2013" s="16" t="n">
        <v>45462</v>
      </c>
      <c r="B2013" s="17" t="s">
        <v>787</v>
      </c>
      <c r="C2013" s="17" t="s">
        <v>788</v>
      </c>
      <c r="D2013" s="17" t="s">
        <v>19</v>
      </c>
      <c r="E2013" s="17" t="s">
        <v>932</v>
      </c>
      <c r="F2013" s="17" t="s">
        <v>933</v>
      </c>
      <c r="G2013" s="18" t="n">
        <v>0</v>
      </c>
      <c r="H2013" s="18" t="n">
        <v>143.93</v>
      </c>
      <c r="I2013" s="18" t="n">
        <f aca="false">((I2012 + G2013) - H2013)</f>
        <v>-214038.89</v>
      </c>
      <c r="J2013" s="18" t="n">
        <v>0</v>
      </c>
      <c r="K2013" s="19" t="n">
        <v>0</v>
      </c>
      <c r="L2013" s="17" t="s">
        <v>88</v>
      </c>
    </row>
    <row r="2014" s="11" customFormat="true" ht="10.95" hidden="false" customHeight="true" outlineLevel="0" collapsed="false">
      <c r="A2014" s="16" t="n">
        <v>45462</v>
      </c>
      <c r="B2014" s="17" t="s">
        <v>787</v>
      </c>
      <c r="C2014" s="17" t="s">
        <v>788</v>
      </c>
      <c r="D2014" s="17" t="s">
        <v>19</v>
      </c>
      <c r="E2014" s="17" t="s">
        <v>932</v>
      </c>
      <c r="F2014" s="17" t="s">
        <v>933</v>
      </c>
      <c r="G2014" s="18" t="n">
        <v>0</v>
      </c>
      <c r="H2014" s="18" t="n">
        <v>143.93</v>
      </c>
      <c r="I2014" s="18" t="n">
        <f aca="false">((I2013 + G2014) - H2014)</f>
        <v>-214182.82</v>
      </c>
      <c r="J2014" s="18" t="n">
        <v>0</v>
      </c>
      <c r="K2014" s="19" t="n">
        <v>0</v>
      </c>
      <c r="L2014" s="17" t="s">
        <v>88</v>
      </c>
    </row>
    <row r="2015" s="11" customFormat="true" ht="10.95" hidden="false" customHeight="true" outlineLevel="0" collapsed="false">
      <c r="A2015" s="16" t="n">
        <v>45462</v>
      </c>
      <c r="B2015" s="17" t="s">
        <v>787</v>
      </c>
      <c r="C2015" s="17" t="s">
        <v>788</v>
      </c>
      <c r="D2015" s="17" t="s">
        <v>19</v>
      </c>
      <c r="E2015" s="17" t="s">
        <v>932</v>
      </c>
      <c r="F2015" s="17" t="s">
        <v>933</v>
      </c>
      <c r="G2015" s="18" t="n">
        <v>0</v>
      </c>
      <c r="H2015" s="18" t="n">
        <v>143.93</v>
      </c>
      <c r="I2015" s="18" t="n">
        <f aca="false">((I2014 + G2015) - H2015)</f>
        <v>-214326.75</v>
      </c>
      <c r="J2015" s="18" t="n">
        <v>0</v>
      </c>
      <c r="K2015" s="19" t="n">
        <v>0</v>
      </c>
      <c r="L2015" s="17" t="s">
        <v>88</v>
      </c>
    </row>
    <row r="2016" s="11" customFormat="true" ht="10.95" hidden="false" customHeight="true" outlineLevel="0" collapsed="false">
      <c r="A2016" s="16" t="n">
        <v>45462</v>
      </c>
      <c r="B2016" s="17" t="s">
        <v>787</v>
      </c>
      <c r="C2016" s="17" t="s">
        <v>788</v>
      </c>
      <c r="D2016" s="17" t="s">
        <v>19</v>
      </c>
      <c r="E2016" s="17" t="s">
        <v>932</v>
      </c>
      <c r="F2016" s="17" t="s">
        <v>933</v>
      </c>
      <c r="G2016" s="18" t="n">
        <v>0</v>
      </c>
      <c r="H2016" s="18" t="n">
        <v>143.93</v>
      </c>
      <c r="I2016" s="18" t="n">
        <f aca="false">((I2015 + G2016) - H2016)</f>
        <v>-214470.68</v>
      </c>
      <c r="J2016" s="18" t="n">
        <v>0</v>
      </c>
      <c r="K2016" s="19" t="n">
        <v>0</v>
      </c>
      <c r="L2016" s="17" t="s">
        <v>88</v>
      </c>
    </row>
    <row r="2017" s="11" customFormat="true" ht="10.95" hidden="false" customHeight="true" outlineLevel="0" collapsed="false">
      <c r="A2017" s="16" t="n">
        <v>45462</v>
      </c>
      <c r="B2017" s="17" t="s">
        <v>787</v>
      </c>
      <c r="C2017" s="17" t="s">
        <v>788</v>
      </c>
      <c r="D2017" s="17" t="s">
        <v>19</v>
      </c>
      <c r="E2017" s="17" t="s">
        <v>932</v>
      </c>
      <c r="F2017" s="17" t="s">
        <v>933</v>
      </c>
      <c r="G2017" s="18" t="n">
        <v>0</v>
      </c>
      <c r="H2017" s="18" t="n">
        <v>143.93</v>
      </c>
      <c r="I2017" s="18" t="n">
        <f aca="false">((I2016 + G2017) - H2017)</f>
        <v>-214614.61</v>
      </c>
      <c r="J2017" s="18" t="n">
        <v>0</v>
      </c>
      <c r="K2017" s="19" t="n">
        <v>0</v>
      </c>
      <c r="L2017" s="17" t="s">
        <v>88</v>
      </c>
    </row>
    <row r="2018" s="11" customFormat="true" ht="10.95" hidden="false" customHeight="true" outlineLevel="0" collapsed="false">
      <c r="A2018" s="16" t="n">
        <v>45462</v>
      </c>
      <c r="B2018" s="17" t="s">
        <v>787</v>
      </c>
      <c r="C2018" s="17" t="s">
        <v>788</v>
      </c>
      <c r="D2018" s="17" t="s">
        <v>19</v>
      </c>
      <c r="E2018" s="17" t="s">
        <v>907</v>
      </c>
      <c r="F2018" s="17" t="s">
        <v>934</v>
      </c>
      <c r="G2018" s="18" t="n">
        <v>0</v>
      </c>
      <c r="H2018" s="18" t="n">
        <v>927.82</v>
      </c>
      <c r="I2018" s="18" t="n">
        <f aca="false">((I2017 + G2018) - H2018)</f>
        <v>-215542.43</v>
      </c>
      <c r="J2018" s="18" t="n">
        <v>0</v>
      </c>
      <c r="K2018" s="19" t="n">
        <v>0</v>
      </c>
      <c r="L2018" s="17" t="s">
        <v>88</v>
      </c>
    </row>
    <row r="2019" s="11" customFormat="true" ht="10.95" hidden="false" customHeight="true" outlineLevel="0" collapsed="false">
      <c r="A2019" s="16" t="n">
        <v>45462</v>
      </c>
      <c r="B2019" s="17" t="s">
        <v>787</v>
      </c>
      <c r="C2019" s="17" t="s">
        <v>788</v>
      </c>
      <c r="D2019" s="17" t="s">
        <v>19</v>
      </c>
      <c r="E2019" s="17" t="s">
        <v>907</v>
      </c>
      <c r="F2019" s="17" t="s">
        <v>934</v>
      </c>
      <c r="G2019" s="18" t="n">
        <v>0</v>
      </c>
      <c r="H2019" s="18" t="n">
        <v>927.83</v>
      </c>
      <c r="I2019" s="18" t="n">
        <f aca="false">((I2018 + G2019) - H2019)</f>
        <v>-216470.26</v>
      </c>
      <c r="J2019" s="18" t="n">
        <v>0</v>
      </c>
      <c r="K2019" s="19" t="n">
        <v>0</v>
      </c>
      <c r="L2019" s="17" t="s">
        <v>88</v>
      </c>
    </row>
    <row r="2020" s="11" customFormat="true" ht="10.95" hidden="false" customHeight="true" outlineLevel="0" collapsed="false">
      <c r="A2020" s="16" t="n">
        <v>45462</v>
      </c>
      <c r="B2020" s="17" t="s">
        <v>787</v>
      </c>
      <c r="C2020" s="17" t="s">
        <v>788</v>
      </c>
      <c r="D2020" s="17" t="s">
        <v>19</v>
      </c>
      <c r="E2020" s="17" t="s">
        <v>907</v>
      </c>
      <c r="F2020" s="17" t="s">
        <v>934</v>
      </c>
      <c r="G2020" s="18" t="n">
        <v>0</v>
      </c>
      <c r="H2020" s="18" t="n">
        <v>927.83</v>
      </c>
      <c r="I2020" s="18" t="n">
        <f aca="false">((I2019 + G2020) - H2020)</f>
        <v>-217398.09</v>
      </c>
      <c r="J2020" s="18" t="n">
        <v>0</v>
      </c>
      <c r="K2020" s="19" t="n">
        <v>0</v>
      </c>
      <c r="L2020" s="17" t="s">
        <v>88</v>
      </c>
    </row>
    <row r="2021" s="11" customFormat="true" ht="10.95" hidden="false" customHeight="true" outlineLevel="0" collapsed="false">
      <c r="A2021" s="16" t="n">
        <v>45462</v>
      </c>
      <c r="B2021" s="17" t="s">
        <v>787</v>
      </c>
      <c r="C2021" s="17" t="s">
        <v>788</v>
      </c>
      <c r="D2021" s="17" t="s">
        <v>19</v>
      </c>
      <c r="E2021" s="17" t="s">
        <v>907</v>
      </c>
      <c r="F2021" s="17" t="s">
        <v>934</v>
      </c>
      <c r="G2021" s="18" t="n">
        <v>0</v>
      </c>
      <c r="H2021" s="18" t="n">
        <v>927.83</v>
      </c>
      <c r="I2021" s="18" t="n">
        <f aca="false">((I2020 + G2021) - H2021)</f>
        <v>-218325.92</v>
      </c>
      <c r="J2021" s="18" t="n">
        <v>0</v>
      </c>
      <c r="K2021" s="19" t="n">
        <v>0</v>
      </c>
      <c r="L2021" s="17" t="s">
        <v>88</v>
      </c>
    </row>
    <row r="2022" s="11" customFormat="true" ht="10.95" hidden="false" customHeight="true" outlineLevel="0" collapsed="false">
      <c r="A2022" s="16" t="n">
        <v>45467</v>
      </c>
      <c r="B2022" s="17" t="s">
        <v>787</v>
      </c>
      <c r="C2022" s="17" t="s">
        <v>788</v>
      </c>
      <c r="D2022" s="17" t="s">
        <v>19</v>
      </c>
      <c r="E2022" s="17" t="s">
        <v>935</v>
      </c>
      <c r="F2022" s="17" t="s">
        <v>936</v>
      </c>
      <c r="G2022" s="18" t="n">
        <v>0</v>
      </c>
      <c r="H2022" s="18" t="n">
        <v>533.8</v>
      </c>
      <c r="I2022" s="18" t="n">
        <f aca="false">((I2021 + G2022) - H2022)</f>
        <v>-218859.72</v>
      </c>
      <c r="J2022" s="18" t="n">
        <v>0</v>
      </c>
      <c r="K2022" s="19" t="n">
        <v>0</v>
      </c>
      <c r="L2022" s="17" t="s">
        <v>88</v>
      </c>
    </row>
    <row r="2023" s="11" customFormat="true" ht="10.95" hidden="false" customHeight="true" outlineLevel="0" collapsed="false">
      <c r="A2023" s="21" t="s">
        <v>937</v>
      </c>
      <c r="B2023" s="21"/>
      <c r="C2023" s="21"/>
      <c r="D2023" s="21"/>
      <c r="E2023" s="21"/>
      <c r="F2023" s="21"/>
      <c r="G2023" s="22" t="n">
        <f aca="false">SUM(G1631:G2022)</f>
        <v>0</v>
      </c>
      <c r="H2023" s="22" t="n">
        <f aca="false">SUM(H1631:H2022)</f>
        <v>218859.72</v>
      </c>
      <c r="I2023" s="22" t="n">
        <f aca="false">I2022</f>
        <v>-218859.72</v>
      </c>
      <c r="J2023" s="22" t="n">
        <f aca="false">SUM(J1631:J2022)</f>
        <v>0</v>
      </c>
      <c r="K2023" s="21"/>
      <c r="L2023" s="21"/>
    </row>
    <row r="2024" s="11" customFormat="true" ht="10.95" hidden="false" customHeight="true" outlineLevel="0" collapsed="false">
      <c r="A2024" s="21" t="s">
        <v>784</v>
      </c>
      <c r="B2024" s="21"/>
      <c r="C2024" s="21"/>
      <c r="D2024" s="21"/>
      <c r="E2024" s="21"/>
      <c r="F2024" s="21"/>
      <c r="G2024" s="22" t="n">
        <v>0</v>
      </c>
      <c r="H2024" s="22" t="n">
        <v>218859.72</v>
      </c>
      <c r="I2024" s="22" t="n">
        <v>0</v>
      </c>
      <c r="J2024" s="22" t="n">
        <v>0</v>
      </c>
      <c r="K2024" s="21"/>
      <c r="L2024" s="21"/>
    </row>
    <row r="2025" s="11" customFormat="true" ht="10.95" hidden="false" customHeight="true" outlineLevel="0" collapsed="false">
      <c r="A2025" s="9" t="s">
        <v>785</v>
      </c>
      <c r="B2025" s="9"/>
      <c r="C2025" s="9"/>
      <c r="D2025" s="9"/>
      <c r="E2025" s="9"/>
      <c r="F2025" s="9"/>
      <c r="G2025" s="10" t="n">
        <v>0</v>
      </c>
      <c r="H2025" s="10" t="n">
        <v>218859.72</v>
      </c>
      <c r="I2025" s="10" t="n">
        <f aca="false">I2022</f>
        <v>-218859.72</v>
      </c>
      <c r="J2025" s="10" t="n">
        <v>0</v>
      </c>
      <c r="K2025" s="9"/>
      <c r="L2025" s="9"/>
    </row>
    <row r="2026" customFormat="false" ht="13.35" hidden="false" customHeight="true" outlineLevel="0" collapsed="false"/>
    <row r="2027" s="7" customFormat="true" ht="12.1" hidden="false" customHeight="true" outlineLevel="0" collapsed="false">
      <c r="A2027" s="8" t="s">
        <v>938</v>
      </c>
      <c r="B2027" s="8"/>
      <c r="C2027" s="8"/>
      <c r="D2027" s="8"/>
      <c r="E2027" s="8"/>
      <c r="F2027" s="8"/>
      <c r="G2027" s="8"/>
      <c r="H2027" s="8"/>
      <c r="I2027" s="8"/>
      <c r="J2027" s="8"/>
      <c r="K2027" s="8"/>
      <c r="L2027" s="8"/>
    </row>
    <row r="2028" s="11" customFormat="true" ht="10.95" hidden="false" customHeight="true" outlineLevel="0" collapsed="false">
      <c r="A2028" s="9" t="s">
        <v>16</v>
      </c>
      <c r="B2028" s="9"/>
      <c r="C2028" s="9"/>
      <c r="D2028" s="9"/>
      <c r="E2028" s="9"/>
      <c r="F2028" s="9"/>
      <c r="G2028" s="10" t="n">
        <v>0</v>
      </c>
      <c r="H2028" s="10" t="n">
        <v>0</v>
      </c>
      <c r="I2028" s="10" t="n">
        <f aca="false">(G2028 - H2028)</f>
        <v>0</v>
      </c>
      <c r="J2028" s="10" t="n">
        <v>0</v>
      </c>
      <c r="K2028" s="9"/>
      <c r="L2028" s="9"/>
    </row>
    <row r="2029" s="11" customFormat="true" ht="10.95" hidden="false" customHeight="true" outlineLevel="0" collapsed="false">
      <c r="A2029" s="12" t="n">
        <v>45112</v>
      </c>
      <c r="B2029" s="13" t="s">
        <v>939</v>
      </c>
      <c r="C2029" s="13" t="s">
        <v>788</v>
      </c>
      <c r="D2029" s="13" t="s">
        <v>19</v>
      </c>
      <c r="E2029" s="13" t="s">
        <v>940</v>
      </c>
      <c r="F2029" s="13" t="s">
        <v>941</v>
      </c>
      <c r="G2029" s="14" t="n">
        <v>0</v>
      </c>
      <c r="H2029" s="14" t="n">
        <v>5852.3</v>
      </c>
      <c r="I2029" s="14" t="n">
        <f aca="false">((I2028 + G2029) - H2029)</f>
        <v>-5852.3</v>
      </c>
      <c r="J2029" s="14" t="n">
        <v>0</v>
      </c>
      <c r="K2029" s="15" t="n">
        <v>0</v>
      </c>
      <c r="L2029" s="13" t="s">
        <v>88</v>
      </c>
    </row>
    <row r="2030" s="11" customFormat="true" ht="10.95" hidden="false" customHeight="true" outlineLevel="0" collapsed="false">
      <c r="A2030" s="16" t="n">
        <v>45126</v>
      </c>
      <c r="B2030" s="17" t="s">
        <v>939</v>
      </c>
      <c r="C2030" s="17" t="s">
        <v>788</v>
      </c>
      <c r="D2030" s="17" t="s">
        <v>19</v>
      </c>
      <c r="E2030" s="17" t="s">
        <v>942</v>
      </c>
      <c r="F2030" s="17" t="s">
        <v>943</v>
      </c>
      <c r="G2030" s="18" t="n">
        <v>0</v>
      </c>
      <c r="H2030" s="18" t="n">
        <v>410.59</v>
      </c>
      <c r="I2030" s="18" t="n">
        <f aca="false">((I2029 + G2030) - H2030)</f>
        <v>-6262.89</v>
      </c>
      <c r="J2030" s="18" t="n">
        <v>0</v>
      </c>
      <c r="K2030" s="19" t="n">
        <v>0</v>
      </c>
      <c r="L2030" s="17" t="s">
        <v>88</v>
      </c>
    </row>
    <row r="2031" s="11" customFormat="true" ht="10.95" hidden="false" customHeight="true" outlineLevel="0" collapsed="false">
      <c r="A2031" s="16" t="n">
        <v>45126</v>
      </c>
      <c r="B2031" s="17" t="s">
        <v>939</v>
      </c>
      <c r="C2031" s="17" t="s">
        <v>788</v>
      </c>
      <c r="D2031" s="17" t="s">
        <v>19</v>
      </c>
      <c r="E2031" s="17" t="s">
        <v>944</v>
      </c>
      <c r="F2031" s="17" t="s">
        <v>943</v>
      </c>
      <c r="G2031" s="18" t="n">
        <v>0</v>
      </c>
      <c r="H2031" s="18" t="n">
        <v>410.59</v>
      </c>
      <c r="I2031" s="18" t="n">
        <f aca="false">((I2030 + G2031) - H2031)</f>
        <v>-6673.48</v>
      </c>
      <c r="J2031" s="18" t="n">
        <v>0</v>
      </c>
      <c r="K2031" s="19" t="n">
        <v>0</v>
      </c>
      <c r="L2031" s="17" t="s">
        <v>88</v>
      </c>
    </row>
    <row r="2032" s="11" customFormat="true" ht="10.95" hidden="false" customHeight="true" outlineLevel="0" collapsed="false">
      <c r="A2032" s="16" t="n">
        <v>45126</v>
      </c>
      <c r="B2032" s="17" t="s">
        <v>939</v>
      </c>
      <c r="C2032" s="17" t="s">
        <v>788</v>
      </c>
      <c r="D2032" s="17" t="s">
        <v>19</v>
      </c>
      <c r="E2032" s="17" t="s">
        <v>945</v>
      </c>
      <c r="F2032" s="17" t="s">
        <v>943</v>
      </c>
      <c r="G2032" s="18" t="n">
        <v>0</v>
      </c>
      <c r="H2032" s="18" t="n">
        <v>410.59</v>
      </c>
      <c r="I2032" s="18" t="n">
        <f aca="false">((I2031 + G2032) - H2032)</f>
        <v>-7084.07</v>
      </c>
      <c r="J2032" s="18" t="n">
        <v>0</v>
      </c>
      <c r="K2032" s="19" t="n">
        <v>0</v>
      </c>
      <c r="L2032" s="17" t="s">
        <v>88</v>
      </c>
    </row>
    <row r="2033" s="11" customFormat="true" ht="10.95" hidden="false" customHeight="true" outlineLevel="0" collapsed="false">
      <c r="A2033" s="16" t="n">
        <v>45126</v>
      </c>
      <c r="B2033" s="17" t="s">
        <v>939</v>
      </c>
      <c r="C2033" s="17" t="s">
        <v>788</v>
      </c>
      <c r="D2033" s="17" t="s">
        <v>19</v>
      </c>
      <c r="E2033" s="17" t="s">
        <v>946</v>
      </c>
      <c r="F2033" s="17" t="s">
        <v>943</v>
      </c>
      <c r="G2033" s="18" t="n">
        <v>0</v>
      </c>
      <c r="H2033" s="18" t="n">
        <v>410.59</v>
      </c>
      <c r="I2033" s="18" t="n">
        <f aca="false">((I2032 + G2033) - H2033)</f>
        <v>-7494.66</v>
      </c>
      <c r="J2033" s="18" t="n">
        <v>0</v>
      </c>
      <c r="K2033" s="19" t="n">
        <v>0</v>
      </c>
      <c r="L2033" s="17" t="s">
        <v>88</v>
      </c>
    </row>
    <row r="2034" s="11" customFormat="true" ht="10.95" hidden="false" customHeight="true" outlineLevel="0" collapsed="false">
      <c r="A2034" s="16" t="n">
        <v>45126</v>
      </c>
      <c r="B2034" s="17" t="s">
        <v>939</v>
      </c>
      <c r="C2034" s="17" t="s">
        <v>788</v>
      </c>
      <c r="D2034" s="17" t="s">
        <v>19</v>
      </c>
      <c r="E2034" s="17" t="s">
        <v>947</v>
      </c>
      <c r="F2034" s="17" t="s">
        <v>943</v>
      </c>
      <c r="G2034" s="18" t="n">
        <v>0</v>
      </c>
      <c r="H2034" s="18" t="n">
        <v>410.58</v>
      </c>
      <c r="I2034" s="18" t="n">
        <f aca="false">((I2033 + G2034) - H2034)</f>
        <v>-7905.24</v>
      </c>
      <c r="J2034" s="18" t="n">
        <v>0</v>
      </c>
      <c r="K2034" s="19" t="n">
        <v>0</v>
      </c>
      <c r="L2034" s="17" t="s">
        <v>88</v>
      </c>
    </row>
    <row r="2035" s="11" customFormat="true" ht="10.95" hidden="false" customHeight="true" outlineLevel="0" collapsed="false">
      <c r="A2035" s="16" t="n">
        <v>45126</v>
      </c>
      <c r="B2035" s="17" t="s">
        <v>939</v>
      </c>
      <c r="C2035" s="17" t="s">
        <v>788</v>
      </c>
      <c r="D2035" s="17" t="s">
        <v>19</v>
      </c>
      <c r="E2035" s="17" t="s">
        <v>948</v>
      </c>
      <c r="F2035" s="17" t="s">
        <v>943</v>
      </c>
      <c r="G2035" s="18" t="n">
        <v>0</v>
      </c>
      <c r="H2035" s="18" t="n">
        <v>410.58</v>
      </c>
      <c r="I2035" s="18" t="n">
        <f aca="false">((I2034 + G2035) - H2035)</f>
        <v>-8315.82</v>
      </c>
      <c r="J2035" s="18" t="n">
        <v>0</v>
      </c>
      <c r="K2035" s="19" t="n">
        <v>0</v>
      </c>
      <c r="L2035" s="17" t="s">
        <v>88</v>
      </c>
    </row>
    <row r="2036" s="11" customFormat="true" ht="10.95" hidden="false" customHeight="true" outlineLevel="0" collapsed="false">
      <c r="A2036" s="16" t="n">
        <v>45126</v>
      </c>
      <c r="B2036" s="17" t="s">
        <v>939</v>
      </c>
      <c r="C2036" s="17" t="s">
        <v>788</v>
      </c>
      <c r="D2036" s="17" t="s">
        <v>19</v>
      </c>
      <c r="E2036" s="17" t="s">
        <v>949</v>
      </c>
      <c r="F2036" s="17" t="s">
        <v>943</v>
      </c>
      <c r="G2036" s="18" t="n">
        <v>0</v>
      </c>
      <c r="H2036" s="18" t="n">
        <v>410.58</v>
      </c>
      <c r="I2036" s="18" t="n">
        <f aca="false">((I2035 + G2036) - H2036)</f>
        <v>-8726.4</v>
      </c>
      <c r="J2036" s="18" t="n">
        <v>0</v>
      </c>
      <c r="K2036" s="19" t="n">
        <v>0</v>
      </c>
      <c r="L2036" s="17" t="s">
        <v>88</v>
      </c>
    </row>
    <row r="2037" s="11" customFormat="true" ht="10.95" hidden="false" customHeight="true" outlineLevel="0" collapsed="false">
      <c r="A2037" s="16" t="n">
        <v>45126</v>
      </c>
      <c r="B2037" s="17" t="s">
        <v>939</v>
      </c>
      <c r="C2037" s="17" t="s">
        <v>788</v>
      </c>
      <c r="D2037" s="17" t="s">
        <v>19</v>
      </c>
      <c r="E2037" s="17" t="s">
        <v>950</v>
      </c>
      <c r="F2037" s="17" t="s">
        <v>943</v>
      </c>
      <c r="G2037" s="18" t="n">
        <v>0</v>
      </c>
      <c r="H2037" s="18" t="n">
        <v>410.58</v>
      </c>
      <c r="I2037" s="18" t="n">
        <f aca="false">((I2036 + G2037) - H2037)</f>
        <v>-9136.98</v>
      </c>
      <c r="J2037" s="18" t="n">
        <v>0</v>
      </c>
      <c r="K2037" s="19" t="n">
        <v>0</v>
      </c>
      <c r="L2037" s="17" t="s">
        <v>88</v>
      </c>
    </row>
    <row r="2038" s="11" customFormat="true" ht="10.95" hidden="false" customHeight="true" outlineLevel="0" collapsed="false">
      <c r="A2038" s="16" t="n">
        <v>45126</v>
      </c>
      <c r="B2038" s="17" t="s">
        <v>939</v>
      </c>
      <c r="C2038" s="17" t="s">
        <v>788</v>
      </c>
      <c r="D2038" s="17" t="s">
        <v>19</v>
      </c>
      <c r="E2038" s="17" t="s">
        <v>951</v>
      </c>
      <c r="F2038" s="17" t="s">
        <v>943</v>
      </c>
      <c r="G2038" s="18" t="n">
        <v>0</v>
      </c>
      <c r="H2038" s="18" t="n">
        <v>410.58</v>
      </c>
      <c r="I2038" s="18" t="n">
        <f aca="false">((I2037 + G2038) - H2038)</f>
        <v>-9547.56</v>
      </c>
      <c r="J2038" s="18" t="n">
        <v>0</v>
      </c>
      <c r="K2038" s="19" t="n">
        <v>0</v>
      </c>
      <c r="L2038" s="17" t="s">
        <v>88</v>
      </c>
    </row>
    <row r="2039" s="11" customFormat="true" ht="10.95" hidden="false" customHeight="true" outlineLevel="0" collapsed="false">
      <c r="A2039" s="16" t="n">
        <v>45126</v>
      </c>
      <c r="B2039" s="17" t="s">
        <v>939</v>
      </c>
      <c r="C2039" s="17" t="s">
        <v>788</v>
      </c>
      <c r="D2039" s="17" t="s">
        <v>19</v>
      </c>
      <c r="E2039" s="17" t="s">
        <v>952</v>
      </c>
      <c r="F2039" s="17" t="s">
        <v>943</v>
      </c>
      <c r="G2039" s="18" t="n">
        <v>0</v>
      </c>
      <c r="H2039" s="18" t="n">
        <v>410.58</v>
      </c>
      <c r="I2039" s="18" t="n">
        <f aca="false">((I2038 + G2039) - H2039)</f>
        <v>-9958.14</v>
      </c>
      <c r="J2039" s="18" t="n">
        <v>0</v>
      </c>
      <c r="K2039" s="19" t="n">
        <v>0</v>
      </c>
      <c r="L2039" s="17" t="s">
        <v>88</v>
      </c>
    </row>
    <row r="2040" s="11" customFormat="true" ht="10.95" hidden="false" customHeight="true" outlineLevel="0" collapsed="false">
      <c r="A2040" s="16" t="n">
        <v>45126</v>
      </c>
      <c r="B2040" s="17" t="s">
        <v>939</v>
      </c>
      <c r="C2040" s="17" t="s">
        <v>788</v>
      </c>
      <c r="D2040" s="17" t="s">
        <v>19</v>
      </c>
      <c r="E2040" s="17" t="s">
        <v>953</v>
      </c>
      <c r="F2040" s="17" t="s">
        <v>943</v>
      </c>
      <c r="G2040" s="18" t="n">
        <v>0</v>
      </c>
      <c r="H2040" s="18" t="n">
        <v>410.58</v>
      </c>
      <c r="I2040" s="18" t="n">
        <f aca="false">((I2039 + G2040) - H2040)</f>
        <v>-10368.72</v>
      </c>
      <c r="J2040" s="18" t="n">
        <v>0</v>
      </c>
      <c r="K2040" s="19" t="n">
        <v>0</v>
      </c>
      <c r="L2040" s="17" t="s">
        <v>88</v>
      </c>
    </row>
    <row r="2041" s="11" customFormat="true" ht="10.95" hidden="false" customHeight="true" outlineLevel="0" collapsed="false">
      <c r="A2041" s="16" t="n">
        <v>45126</v>
      </c>
      <c r="B2041" s="17" t="s">
        <v>939</v>
      </c>
      <c r="C2041" s="17" t="s">
        <v>788</v>
      </c>
      <c r="D2041" s="17" t="s">
        <v>19</v>
      </c>
      <c r="E2041" s="17" t="s">
        <v>954</v>
      </c>
      <c r="F2041" s="17" t="s">
        <v>943</v>
      </c>
      <c r="G2041" s="18" t="n">
        <v>0</v>
      </c>
      <c r="H2041" s="18" t="n">
        <v>410.58</v>
      </c>
      <c r="I2041" s="18" t="n">
        <f aca="false">((I2040 + G2041) - H2041)</f>
        <v>-10779.3</v>
      </c>
      <c r="J2041" s="18" t="n">
        <v>0</v>
      </c>
      <c r="K2041" s="19" t="n">
        <v>0</v>
      </c>
      <c r="L2041" s="17" t="s">
        <v>88</v>
      </c>
    </row>
    <row r="2042" s="11" customFormat="true" ht="10.95" hidden="false" customHeight="true" outlineLevel="0" collapsed="false">
      <c r="A2042" s="16" t="n">
        <v>45132</v>
      </c>
      <c r="B2042" s="17" t="s">
        <v>939</v>
      </c>
      <c r="C2042" s="17" t="s">
        <v>788</v>
      </c>
      <c r="D2042" s="17" t="s">
        <v>19</v>
      </c>
      <c r="E2042" s="17" t="s">
        <v>955</v>
      </c>
      <c r="F2042" s="17" t="s">
        <v>956</v>
      </c>
      <c r="G2042" s="18" t="n">
        <v>0</v>
      </c>
      <c r="H2042" s="18" t="n">
        <v>5421.42</v>
      </c>
      <c r="I2042" s="18" t="n">
        <f aca="false">((I2041 + G2042) - H2042)</f>
        <v>-16200.72</v>
      </c>
      <c r="J2042" s="18" t="n">
        <v>0</v>
      </c>
      <c r="K2042" s="19" t="n">
        <v>0</v>
      </c>
      <c r="L2042" s="17" t="s">
        <v>88</v>
      </c>
    </row>
    <row r="2043" s="11" customFormat="true" ht="10.95" hidden="false" customHeight="true" outlineLevel="0" collapsed="false">
      <c r="A2043" s="16" t="n">
        <v>45132</v>
      </c>
      <c r="B2043" s="17" t="s">
        <v>939</v>
      </c>
      <c r="C2043" s="17" t="s">
        <v>788</v>
      </c>
      <c r="D2043" s="17" t="s">
        <v>19</v>
      </c>
      <c r="E2043" s="17" t="s">
        <v>957</v>
      </c>
      <c r="F2043" s="17" t="s">
        <v>956</v>
      </c>
      <c r="G2043" s="18" t="n">
        <v>0</v>
      </c>
      <c r="H2043" s="18" t="n">
        <v>1782.38</v>
      </c>
      <c r="I2043" s="18" t="n">
        <f aca="false">((I2042 + G2043) - H2043)</f>
        <v>-17983.1</v>
      </c>
      <c r="J2043" s="18" t="n">
        <v>0</v>
      </c>
      <c r="K2043" s="19" t="n">
        <v>0</v>
      </c>
      <c r="L2043" s="17" t="s">
        <v>88</v>
      </c>
    </row>
    <row r="2044" s="11" customFormat="true" ht="10.95" hidden="false" customHeight="true" outlineLevel="0" collapsed="false">
      <c r="A2044" s="16" t="n">
        <v>45161</v>
      </c>
      <c r="B2044" s="17" t="s">
        <v>939</v>
      </c>
      <c r="C2044" s="17" t="s">
        <v>788</v>
      </c>
      <c r="D2044" s="17" t="s">
        <v>19</v>
      </c>
      <c r="E2044" s="17" t="s">
        <v>958</v>
      </c>
      <c r="F2044" s="17" t="s">
        <v>959</v>
      </c>
      <c r="G2044" s="18" t="n">
        <v>0</v>
      </c>
      <c r="H2044" s="18" t="n">
        <v>379.06</v>
      </c>
      <c r="I2044" s="18" t="n">
        <f aca="false">((I2043 + G2044) - H2044)</f>
        <v>-18362.16</v>
      </c>
      <c r="J2044" s="18" t="n">
        <v>0</v>
      </c>
      <c r="K2044" s="19" t="n">
        <v>0</v>
      </c>
      <c r="L2044" s="17" t="s">
        <v>88</v>
      </c>
    </row>
    <row r="2045" s="11" customFormat="true" ht="10.95" hidden="false" customHeight="true" outlineLevel="0" collapsed="false">
      <c r="A2045" s="16" t="n">
        <v>45161</v>
      </c>
      <c r="B2045" s="17" t="s">
        <v>939</v>
      </c>
      <c r="C2045" s="17" t="s">
        <v>788</v>
      </c>
      <c r="D2045" s="17" t="s">
        <v>19</v>
      </c>
      <c r="E2045" s="17" t="s">
        <v>960</v>
      </c>
      <c r="F2045" s="17" t="s">
        <v>959</v>
      </c>
      <c r="G2045" s="18" t="n">
        <v>0</v>
      </c>
      <c r="H2045" s="18" t="n">
        <v>84.24</v>
      </c>
      <c r="I2045" s="18" t="n">
        <f aca="false">((I2044 + G2045) - H2045)</f>
        <v>-18446.4</v>
      </c>
      <c r="J2045" s="18" t="n">
        <v>0</v>
      </c>
      <c r="K2045" s="19" t="n">
        <v>0</v>
      </c>
      <c r="L2045" s="17" t="s">
        <v>88</v>
      </c>
    </row>
    <row r="2046" s="11" customFormat="true" ht="10.95" hidden="false" customHeight="true" outlineLevel="0" collapsed="false">
      <c r="A2046" s="16" t="n">
        <v>45161</v>
      </c>
      <c r="B2046" s="17" t="s">
        <v>939</v>
      </c>
      <c r="C2046" s="17" t="s">
        <v>788</v>
      </c>
      <c r="D2046" s="17" t="s">
        <v>19</v>
      </c>
      <c r="E2046" s="17" t="s">
        <v>961</v>
      </c>
      <c r="F2046" s="17" t="s">
        <v>959</v>
      </c>
      <c r="G2046" s="18" t="n">
        <v>0</v>
      </c>
      <c r="H2046" s="18" t="n">
        <v>682.3</v>
      </c>
      <c r="I2046" s="18" t="n">
        <f aca="false">((I2045 + G2046) - H2046)</f>
        <v>-19128.7</v>
      </c>
      <c r="J2046" s="18" t="n">
        <v>0</v>
      </c>
      <c r="K2046" s="19" t="n">
        <v>0</v>
      </c>
      <c r="L2046" s="17" t="s">
        <v>88</v>
      </c>
    </row>
    <row r="2047" s="11" customFormat="true" ht="10.95" hidden="false" customHeight="true" outlineLevel="0" collapsed="false">
      <c r="A2047" s="16" t="n">
        <v>45161</v>
      </c>
      <c r="B2047" s="17" t="s">
        <v>939</v>
      </c>
      <c r="C2047" s="17" t="s">
        <v>788</v>
      </c>
      <c r="D2047" s="17" t="s">
        <v>19</v>
      </c>
      <c r="E2047" s="17" t="s">
        <v>962</v>
      </c>
      <c r="F2047" s="17" t="s">
        <v>959</v>
      </c>
      <c r="G2047" s="18" t="n">
        <v>0</v>
      </c>
      <c r="H2047" s="18" t="n">
        <v>715.98</v>
      </c>
      <c r="I2047" s="18" t="n">
        <f aca="false">((I2046 + G2047) - H2047)</f>
        <v>-19844.68</v>
      </c>
      <c r="J2047" s="18" t="n">
        <v>0</v>
      </c>
      <c r="K2047" s="19" t="n">
        <v>0</v>
      </c>
      <c r="L2047" s="17" t="s">
        <v>88</v>
      </c>
    </row>
    <row r="2048" s="11" customFormat="true" ht="10.95" hidden="false" customHeight="true" outlineLevel="0" collapsed="false">
      <c r="A2048" s="16" t="n">
        <v>45161</v>
      </c>
      <c r="B2048" s="17" t="s">
        <v>939</v>
      </c>
      <c r="C2048" s="17" t="s">
        <v>788</v>
      </c>
      <c r="D2048" s="17" t="s">
        <v>19</v>
      </c>
      <c r="E2048" s="17" t="s">
        <v>958</v>
      </c>
      <c r="F2048" s="17" t="s">
        <v>959</v>
      </c>
      <c r="G2048" s="18" t="n">
        <v>0</v>
      </c>
      <c r="H2048" s="18" t="n">
        <v>379.05</v>
      </c>
      <c r="I2048" s="18" t="n">
        <f aca="false">((I2047 + G2048) - H2048)</f>
        <v>-20223.73</v>
      </c>
      <c r="J2048" s="18" t="n">
        <v>0</v>
      </c>
      <c r="K2048" s="19" t="n">
        <v>0</v>
      </c>
      <c r="L2048" s="17" t="s">
        <v>88</v>
      </c>
    </row>
    <row r="2049" s="11" customFormat="true" ht="10.95" hidden="false" customHeight="true" outlineLevel="0" collapsed="false">
      <c r="A2049" s="16" t="n">
        <v>45161</v>
      </c>
      <c r="B2049" s="17" t="s">
        <v>939</v>
      </c>
      <c r="C2049" s="17" t="s">
        <v>788</v>
      </c>
      <c r="D2049" s="17" t="s">
        <v>19</v>
      </c>
      <c r="E2049" s="17" t="s">
        <v>960</v>
      </c>
      <c r="F2049" s="17" t="s">
        <v>959</v>
      </c>
      <c r="G2049" s="18" t="n">
        <v>0</v>
      </c>
      <c r="H2049" s="18" t="n">
        <v>84.23</v>
      </c>
      <c r="I2049" s="18" t="n">
        <f aca="false">((I2048 + G2049) - H2049)</f>
        <v>-20307.96</v>
      </c>
      <c r="J2049" s="18" t="n">
        <v>0</v>
      </c>
      <c r="K2049" s="19" t="n">
        <v>0</v>
      </c>
      <c r="L2049" s="17" t="s">
        <v>88</v>
      </c>
    </row>
    <row r="2050" s="11" customFormat="true" ht="10.95" hidden="false" customHeight="true" outlineLevel="0" collapsed="false">
      <c r="A2050" s="16" t="n">
        <v>45161</v>
      </c>
      <c r="B2050" s="17" t="s">
        <v>939</v>
      </c>
      <c r="C2050" s="17" t="s">
        <v>788</v>
      </c>
      <c r="D2050" s="17" t="s">
        <v>19</v>
      </c>
      <c r="E2050" s="17" t="s">
        <v>961</v>
      </c>
      <c r="F2050" s="17" t="s">
        <v>959</v>
      </c>
      <c r="G2050" s="18" t="n">
        <v>0</v>
      </c>
      <c r="H2050" s="18" t="n">
        <v>682.29</v>
      </c>
      <c r="I2050" s="18" t="n">
        <f aca="false">((I2049 + G2050) - H2050)</f>
        <v>-20990.25</v>
      </c>
      <c r="J2050" s="18" t="n">
        <v>0</v>
      </c>
      <c r="K2050" s="19" t="n">
        <v>0</v>
      </c>
      <c r="L2050" s="17" t="s">
        <v>88</v>
      </c>
    </row>
    <row r="2051" s="11" customFormat="true" ht="10.95" hidden="false" customHeight="true" outlineLevel="0" collapsed="false">
      <c r="A2051" s="16" t="n">
        <v>45161</v>
      </c>
      <c r="B2051" s="17" t="s">
        <v>939</v>
      </c>
      <c r="C2051" s="17" t="s">
        <v>788</v>
      </c>
      <c r="D2051" s="17" t="s">
        <v>19</v>
      </c>
      <c r="E2051" s="17" t="s">
        <v>962</v>
      </c>
      <c r="F2051" s="17" t="s">
        <v>959</v>
      </c>
      <c r="G2051" s="18" t="n">
        <v>0</v>
      </c>
      <c r="H2051" s="18" t="n">
        <v>715.98</v>
      </c>
      <c r="I2051" s="18" t="n">
        <f aca="false">((I2050 + G2051) - H2051)</f>
        <v>-21706.23</v>
      </c>
      <c r="J2051" s="18" t="n">
        <v>0</v>
      </c>
      <c r="K2051" s="19" t="n">
        <v>0</v>
      </c>
      <c r="L2051" s="17" t="s">
        <v>88</v>
      </c>
    </row>
    <row r="2052" s="11" customFormat="true" ht="10.95" hidden="false" customHeight="true" outlineLevel="0" collapsed="false">
      <c r="A2052" s="16" t="n">
        <v>45161</v>
      </c>
      <c r="B2052" s="17" t="s">
        <v>939</v>
      </c>
      <c r="C2052" s="17" t="s">
        <v>788</v>
      </c>
      <c r="D2052" s="17" t="s">
        <v>19</v>
      </c>
      <c r="E2052" s="17" t="s">
        <v>958</v>
      </c>
      <c r="F2052" s="17" t="s">
        <v>959</v>
      </c>
      <c r="G2052" s="18" t="n">
        <v>0</v>
      </c>
      <c r="H2052" s="18" t="n">
        <v>379.05</v>
      </c>
      <c r="I2052" s="18" t="n">
        <f aca="false">((I2051 + G2052) - H2052)</f>
        <v>-22085.28</v>
      </c>
      <c r="J2052" s="18" t="n">
        <v>0</v>
      </c>
      <c r="K2052" s="19" t="n">
        <v>0</v>
      </c>
      <c r="L2052" s="17" t="s">
        <v>88</v>
      </c>
    </row>
    <row r="2053" s="11" customFormat="true" ht="10.95" hidden="false" customHeight="true" outlineLevel="0" collapsed="false">
      <c r="A2053" s="16" t="n">
        <v>45161</v>
      </c>
      <c r="B2053" s="17" t="s">
        <v>939</v>
      </c>
      <c r="C2053" s="17" t="s">
        <v>788</v>
      </c>
      <c r="D2053" s="17" t="s">
        <v>19</v>
      </c>
      <c r="E2053" s="17" t="s">
        <v>960</v>
      </c>
      <c r="F2053" s="17" t="s">
        <v>959</v>
      </c>
      <c r="G2053" s="18" t="n">
        <v>0</v>
      </c>
      <c r="H2053" s="18" t="n">
        <v>84.23</v>
      </c>
      <c r="I2053" s="18" t="n">
        <f aca="false">((I2052 + G2053) - H2053)</f>
        <v>-22169.51</v>
      </c>
      <c r="J2053" s="18" t="n">
        <v>0</v>
      </c>
      <c r="K2053" s="19" t="n">
        <v>0</v>
      </c>
      <c r="L2053" s="17" t="s">
        <v>88</v>
      </c>
    </row>
    <row r="2054" s="11" customFormat="true" ht="10.95" hidden="false" customHeight="true" outlineLevel="0" collapsed="false">
      <c r="A2054" s="16" t="n">
        <v>45161</v>
      </c>
      <c r="B2054" s="17" t="s">
        <v>939</v>
      </c>
      <c r="C2054" s="17" t="s">
        <v>788</v>
      </c>
      <c r="D2054" s="17" t="s">
        <v>19</v>
      </c>
      <c r="E2054" s="17" t="s">
        <v>961</v>
      </c>
      <c r="F2054" s="17" t="s">
        <v>959</v>
      </c>
      <c r="G2054" s="18" t="n">
        <v>0</v>
      </c>
      <c r="H2054" s="18" t="n">
        <v>682.29</v>
      </c>
      <c r="I2054" s="18" t="n">
        <f aca="false">((I2053 + G2054) - H2054)</f>
        <v>-22851.8</v>
      </c>
      <c r="J2054" s="18" t="n">
        <v>0</v>
      </c>
      <c r="K2054" s="19" t="n">
        <v>0</v>
      </c>
      <c r="L2054" s="17" t="s">
        <v>88</v>
      </c>
    </row>
    <row r="2055" s="11" customFormat="true" ht="10.95" hidden="false" customHeight="true" outlineLevel="0" collapsed="false">
      <c r="A2055" s="16" t="n">
        <v>45161</v>
      </c>
      <c r="B2055" s="17" t="s">
        <v>939</v>
      </c>
      <c r="C2055" s="17" t="s">
        <v>788</v>
      </c>
      <c r="D2055" s="17" t="s">
        <v>19</v>
      </c>
      <c r="E2055" s="17" t="s">
        <v>962</v>
      </c>
      <c r="F2055" s="17" t="s">
        <v>959</v>
      </c>
      <c r="G2055" s="18" t="n">
        <v>0</v>
      </c>
      <c r="H2055" s="18" t="n">
        <v>715.98</v>
      </c>
      <c r="I2055" s="18" t="n">
        <f aca="false">((I2054 + G2055) - H2055)</f>
        <v>-23567.78</v>
      </c>
      <c r="J2055" s="18" t="n">
        <v>0</v>
      </c>
      <c r="K2055" s="19" t="n">
        <v>0</v>
      </c>
      <c r="L2055" s="17" t="s">
        <v>88</v>
      </c>
    </row>
    <row r="2056" s="11" customFormat="true" ht="10.95" hidden="false" customHeight="true" outlineLevel="0" collapsed="false">
      <c r="A2056" s="16" t="n">
        <v>45161</v>
      </c>
      <c r="B2056" s="17" t="s">
        <v>939</v>
      </c>
      <c r="C2056" s="17" t="s">
        <v>788</v>
      </c>
      <c r="D2056" s="17" t="s">
        <v>19</v>
      </c>
      <c r="E2056" s="17" t="s">
        <v>958</v>
      </c>
      <c r="F2056" s="17" t="s">
        <v>959</v>
      </c>
      <c r="G2056" s="18" t="n">
        <v>0</v>
      </c>
      <c r="H2056" s="18" t="n">
        <v>379.05</v>
      </c>
      <c r="I2056" s="18" t="n">
        <f aca="false">((I2055 + G2056) - H2056)</f>
        <v>-23946.83</v>
      </c>
      <c r="J2056" s="18" t="n">
        <v>0</v>
      </c>
      <c r="K2056" s="19" t="n">
        <v>0</v>
      </c>
      <c r="L2056" s="17" t="s">
        <v>88</v>
      </c>
    </row>
    <row r="2057" s="11" customFormat="true" ht="10.95" hidden="false" customHeight="true" outlineLevel="0" collapsed="false">
      <c r="A2057" s="16" t="n">
        <v>45161</v>
      </c>
      <c r="B2057" s="17" t="s">
        <v>939</v>
      </c>
      <c r="C2057" s="17" t="s">
        <v>788</v>
      </c>
      <c r="D2057" s="17" t="s">
        <v>19</v>
      </c>
      <c r="E2057" s="17" t="s">
        <v>960</v>
      </c>
      <c r="F2057" s="17" t="s">
        <v>959</v>
      </c>
      <c r="G2057" s="18" t="n">
        <v>0</v>
      </c>
      <c r="H2057" s="18" t="n">
        <v>84.23</v>
      </c>
      <c r="I2057" s="18" t="n">
        <f aca="false">((I2056 + G2057) - H2057)</f>
        <v>-24031.06</v>
      </c>
      <c r="J2057" s="18" t="n">
        <v>0</v>
      </c>
      <c r="K2057" s="19" t="n">
        <v>0</v>
      </c>
      <c r="L2057" s="17" t="s">
        <v>88</v>
      </c>
    </row>
    <row r="2058" s="11" customFormat="true" ht="10.95" hidden="false" customHeight="true" outlineLevel="0" collapsed="false">
      <c r="A2058" s="16" t="n">
        <v>45161</v>
      </c>
      <c r="B2058" s="17" t="s">
        <v>939</v>
      </c>
      <c r="C2058" s="17" t="s">
        <v>788</v>
      </c>
      <c r="D2058" s="17" t="s">
        <v>19</v>
      </c>
      <c r="E2058" s="17" t="s">
        <v>961</v>
      </c>
      <c r="F2058" s="17" t="s">
        <v>959</v>
      </c>
      <c r="G2058" s="18" t="n">
        <v>0</v>
      </c>
      <c r="H2058" s="18" t="n">
        <v>682.29</v>
      </c>
      <c r="I2058" s="18" t="n">
        <f aca="false">((I2057 + G2058) - H2058)</f>
        <v>-24713.35</v>
      </c>
      <c r="J2058" s="18" t="n">
        <v>0</v>
      </c>
      <c r="K2058" s="19" t="n">
        <v>0</v>
      </c>
      <c r="L2058" s="17" t="s">
        <v>88</v>
      </c>
    </row>
    <row r="2059" s="11" customFormat="true" ht="10.95" hidden="false" customHeight="true" outlineLevel="0" collapsed="false">
      <c r="A2059" s="16" t="n">
        <v>45161</v>
      </c>
      <c r="B2059" s="17" t="s">
        <v>939</v>
      </c>
      <c r="C2059" s="17" t="s">
        <v>788</v>
      </c>
      <c r="D2059" s="17" t="s">
        <v>19</v>
      </c>
      <c r="E2059" s="17" t="s">
        <v>962</v>
      </c>
      <c r="F2059" s="17" t="s">
        <v>959</v>
      </c>
      <c r="G2059" s="18" t="n">
        <v>0</v>
      </c>
      <c r="H2059" s="18" t="n">
        <v>715.98</v>
      </c>
      <c r="I2059" s="18" t="n">
        <f aca="false">((I2058 + G2059) - H2059)</f>
        <v>-25429.33</v>
      </c>
      <c r="J2059" s="18" t="n">
        <v>0</v>
      </c>
      <c r="K2059" s="19" t="n">
        <v>0</v>
      </c>
      <c r="L2059" s="17" t="s">
        <v>88</v>
      </c>
    </row>
    <row r="2060" s="11" customFormat="true" ht="10.95" hidden="false" customHeight="true" outlineLevel="0" collapsed="false">
      <c r="A2060" s="16" t="n">
        <v>45161</v>
      </c>
      <c r="B2060" s="17" t="s">
        <v>939</v>
      </c>
      <c r="C2060" s="17" t="s">
        <v>788</v>
      </c>
      <c r="D2060" s="17" t="s">
        <v>19</v>
      </c>
      <c r="E2060" s="17" t="s">
        <v>955</v>
      </c>
      <c r="F2060" s="17" t="s">
        <v>963</v>
      </c>
      <c r="G2060" s="18" t="n">
        <v>0</v>
      </c>
      <c r="H2060" s="18" t="n">
        <v>5673.78</v>
      </c>
      <c r="I2060" s="18" t="n">
        <f aca="false">((I2059 + G2060) - H2060)</f>
        <v>-31103.11</v>
      </c>
      <c r="J2060" s="18" t="n">
        <v>0</v>
      </c>
      <c r="K2060" s="19" t="n">
        <v>0</v>
      </c>
      <c r="L2060" s="17" t="s">
        <v>88</v>
      </c>
    </row>
    <row r="2061" s="11" customFormat="true" ht="10.95" hidden="false" customHeight="true" outlineLevel="0" collapsed="false">
      <c r="A2061" s="16" t="n">
        <v>45161</v>
      </c>
      <c r="B2061" s="17" t="s">
        <v>939</v>
      </c>
      <c r="C2061" s="17" t="s">
        <v>788</v>
      </c>
      <c r="D2061" s="17" t="s">
        <v>19</v>
      </c>
      <c r="E2061" s="17" t="s">
        <v>957</v>
      </c>
      <c r="F2061" s="17" t="s">
        <v>963</v>
      </c>
      <c r="G2061" s="18" t="n">
        <v>0</v>
      </c>
      <c r="H2061" s="18" t="n">
        <v>1865.35</v>
      </c>
      <c r="I2061" s="18" t="n">
        <f aca="false">((I2060 + G2061) - H2061)</f>
        <v>-32968.46</v>
      </c>
      <c r="J2061" s="18" t="n">
        <v>0</v>
      </c>
      <c r="K2061" s="19" t="n">
        <v>0</v>
      </c>
      <c r="L2061" s="17" t="s">
        <v>88</v>
      </c>
    </row>
    <row r="2062" s="11" customFormat="true" ht="10.95" hidden="false" customHeight="true" outlineLevel="0" collapsed="false">
      <c r="A2062" s="16" t="n">
        <v>45161</v>
      </c>
      <c r="B2062" s="17" t="s">
        <v>939</v>
      </c>
      <c r="C2062" s="17" t="s">
        <v>788</v>
      </c>
      <c r="D2062" s="17" t="s">
        <v>19</v>
      </c>
      <c r="E2062" s="17" t="s">
        <v>964</v>
      </c>
      <c r="F2062" s="17" t="s">
        <v>965</v>
      </c>
      <c r="G2062" s="18" t="n">
        <v>0</v>
      </c>
      <c r="H2062" s="18" t="n">
        <v>177.28</v>
      </c>
      <c r="I2062" s="18" t="n">
        <f aca="false">((I2061 + G2062) - H2062)</f>
        <v>-33145.74</v>
      </c>
      <c r="J2062" s="18" t="n">
        <v>0</v>
      </c>
      <c r="K2062" s="19" t="n">
        <v>0</v>
      </c>
      <c r="L2062" s="17" t="s">
        <v>88</v>
      </c>
    </row>
    <row r="2063" s="11" customFormat="true" ht="10.95" hidden="false" customHeight="true" outlineLevel="0" collapsed="false">
      <c r="A2063" s="16" t="n">
        <v>45161</v>
      </c>
      <c r="B2063" s="17" t="s">
        <v>939</v>
      </c>
      <c r="C2063" s="17" t="s">
        <v>788</v>
      </c>
      <c r="D2063" s="17" t="s">
        <v>19</v>
      </c>
      <c r="E2063" s="17" t="s">
        <v>964</v>
      </c>
      <c r="F2063" s="17" t="s">
        <v>965</v>
      </c>
      <c r="G2063" s="18" t="n">
        <v>0</v>
      </c>
      <c r="H2063" s="18" t="n">
        <v>177.27</v>
      </c>
      <c r="I2063" s="18" t="n">
        <f aca="false">((I2062 + G2063) - H2063)</f>
        <v>-33323.01</v>
      </c>
      <c r="J2063" s="18" t="n">
        <v>0</v>
      </c>
      <c r="K2063" s="19" t="n">
        <v>0</v>
      </c>
      <c r="L2063" s="17" t="s">
        <v>88</v>
      </c>
    </row>
    <row r="2064" s="11" customFormat="true" ht="10.95" hidden="false" customHeight="true" outlineLevel="0" collapsed="false">
      <c r="A2064" s="16" t="n">
        <v>45161</v>
      </c>
      <c r="B2064" s="17" t="s">
        <v>939</v>
      </c>
      <c r="C2064" s="17" t="s">
        <v>788</v>
      </c>
      <c r="D2064" s="17" t="s">
        <v>19</v>
      </c>
      <c r="E2064" s="17" t="s">
        <v>964</v>
      </c>
      <c r="F2064" s="17" t="s">
        <v>965</v>
      </c>
      <c r="G2064" s="18" t="n">
        <v>0</v>
      </c>
      <c r="H2064" s="18" t="n">
        <v>177.27</v>
      </c>
      <c r="I2064" s="18" t="n">
        <f aca="false">((I2063 + G2064) - H2064)</f>
        <v>-33500.28</v>
      </c>
      <c r="J2064" s="18" t="n">
        <v>0</v>
      </c>
      <c r="K2064" s="19" t="n">
        <v>0</v>
      </c>
      <c r="L2064" s="17" t="s">
        <v>88</v>
      </c>
    </row>
    <row r="2065" s="11" customFormat="true" ht="10.95" hidden="false" customHeight="true" outlineLevel="0" collapsed="false">
      <c r="A2065" s="16" t="n">
        <v>45161</v>
      </c>
      <c r="B2065" s="17" t="s">
        <v>939</v>
      </c>
      <c r="C2065" s="17" t="s">
        <v>788</v>
      </c>
      <c r="D2065" s="17" t="s">
        <v>19</v>
      </c>
      <c r="E2065" s="17" t="s">
        <v>964</v>
      </c>
      <c r="F2065" s="17" t="s">
        <v>966</v>
      </c>
      <c r="G2065" s="18" t="n">
        <v>0</v>
      </c>
      <c r="H2065" s="18" t="n">
        <v>118.18</v>
      </c>
      <c r="I2065" s="18" t="n">
        <f aca="false">((I2064 + G2065) - H2065)</f>
        <v>-33618.46</v>
      </c>
      <c r="J2065" s="18" t="n">
        <v>0</v>
      </c>
      <c r="K2065" s="19" t="n">
        <v>0</v>
      </c>
      <c r="L2065" s="17" t="s">
        <v>88</v>
      </c>
    </row>
    <row r="2066" s="11" customFormat="true" ht="10.95" hidden="false" customHeight="true" outlineLevel="0" collapsed="false">
      <c r="A2066" s="16" t="n">
        <v>45161</v>
      </c>
      <c r="B2066" s="17" t="s">
        <v>939</v>
      </c>
      <c r="C2066" s="17" t="s">
        <v>788</v>
      </c>
      <c r="D2066" s="17" t="s">
        <v>19</v>
      </c>
      <c r="E2066" s="17" t="s">
        <v>964</v>
      </c>
      <c r="F2066" s="17" t="s">
        <v>966</v>
      </c>
      <c r="G2066" s="18" t="n">
        <v>0</v>
      </c>
      <c r="H2066" s="18" t="n">
        <v>118.18</v>
      </c>
      <c r="I2066" s="18" t="n">
        <f aca="false">((I2065 + G2066) - H2066)</f>
        <v>-33736.64</v>
      </c>
      <c r="J2066" s="18" t="n">
        <v>0</v>
      </c>
      <c r="K2066" s="19" t="n">
        <v>0</v>
      </c>
      <c r="L2066" s="17" t="s">
        <v>88</v>
      </c>
    </row>
    <row r="2067" s="11" customFormat="true" ht="10.95" hidden="false" customHeight="true" outlineLevel="0" collapsed="false">
      <c r="A2067" s="16" t="n">
        <v>45161</v>
      </c>
      <c r="B2067" s="17" t="s">
        <v>939</v>
      </c>
      <c r="C2067" s="17" t="s">
        <v>788</v>
      </c>
      <c r="D2067" s="17" t="s">
        <v>19</v>
      </c>
      <c r="E2067" s="17" t="s">
        <v>964</v>
      </c>
      <c r="F2067" s="17" t="s">
        <v>966</v>
      </c>
      <c r="G2067" s="18" t="n">
        <v>0</v>
      </c>
      <c r="H2067" s="18" t="n">
        <v>118.18</v>
      </c>
      <c r="I2067" s="18" t="n">
        <f aca="false">((I2066 + G2067) - H2067)</f>
        <v>-33854.82</v>
      </c>
      <c r="J2067" s="18" t="n">
        <v>0</v>
      </c>
      <c r="K2067" s="19" t="n">
        <v>0</v>
      </c>
      <c r="L2067" s="17" t="s">
        <v>88</v>
      </c>
    </row>
    <row r="2068" s="11" customFormat="true" ht="10.95" hidden="false" customHeight="true" outlineLevel="0" collapsed="false">
      <c r="A2068" s="16" t="n">
        <v>45196</v>
      </c>
      <c r="B2068" s="17" t="s">
        <v>939</v>
      </c>
      <c r="C2068" s="17" t="s">
        <v>788</v>
      </c>
      <c r="D2068" s="17" t="s">
        <v>19</v>
      </c>
      <c r="E2068" s="17" t="s">
        <v>958</v>
      </c>
      <c r="F2068" s="17" t="s">
        <v>967</v>
      </c>
      <c r="G2068" s="18" t="n">
        <v>0</v>
      </c>
      <c r="H2068" s="18" t="n">
        <v>371.23</v>
      </c>
      <c r="I2068" s="18" t="n">
        <f aca="false">((I2067 + G2068) - H2068)</f>
        <v>-34226.05</v>
      </c>
      <c r="J2068" s="18" t="n">
        <v>0</v>
      </c>
      <c r="K2068" s="19" t="n">
        <v>0</v>
      </c>
      <c r="L2068" s="17" t="s">
        <v>88</v>
      </c>
    </row>
    <row r="2069" s="11" customFormat="true" ht="10.95" hidden="false" customHeight="true" outlineLevel="0" collapsed="false">
      <c r="A2069" s="16" t="n">
        <v>45196</v>
      </c>
      <c r="B2069" s="17" t="s">
        <v>939</v>
      </c>
      <c r="C2069" s="17" t="s">
        <v>788</v>
      </c>
      <c r="D2069" s="17" t="s">
        <v>19</v>
      </c>
      <c r="E2069" s="17" t="s">
        <v>960</v>
      </c>
      <c r="F2069" s="17" t="s">
        <v>967</v>
      </c>
      <c r="G2069" s="18" t="n">
        <v>0</v>
      </c>
      <c r="H2069" s="18" t="n">
        <v>82.49</v>
      </c>
      <c r="I2069" s="18" t="n">
        <f aca="false">((I2068 + G2069) - H2069)</f>
        <v>-34308.54</v>
      </c>
      <c r="J2069" s="18" t="n">
        <v>0</v>
      </c>
      <c r="K2069" s="19" t="n">
        <v>0</v>
      </c>
      <c r="L2069" s="17" t="s">
        <v>88</v>
      </c>
    </row>
    <row r="2070" s="11" customFormat="true" ht="10.95" hidden="false" customHeight="true" outlineLevel="0" collapsed="false">
      <c r="A2070" s="16" t="n">
        <v>45196</v>
      </c>
      <c r="B2070" s="17" t="s">
        <v>939</v>
      </c>
      <c r="C2070" s="17" t="s">
        <v>788</v>
      </c>
      <c r="D2070" s="17" t="s">
        <v>19</v>
      </c>
      <c r="E2070" s="17" t="s">
        <v>961</v>
      </c>
      <c r="F2070" s="17" t="s">
        <v>967</v>
      </c>
      <c r="G2070" s="18" t="n">
        <v>0</v>
      </c>
      <c r="H2070" s="18" t="n">
        <v>668.21</v>
      </c>
      <c r="I2070" s="18" t="n">
        <f aca="false">((I2069 + G2070) - H2070)</f>
        <v>-34976.75</v>
      </c>
      <c r="J2070" s="18" t="n">
        <v>0</v>
      </c>
      <c r="K2070" s="19" t="n">
        <v>0</v>
      </c>
      <c r="L2070" s="17" t="s">
        <v>88</v>
      </c>
    </row>
    <row r="2071" s="11" customFormat="true" ht="10.95" hidden="false" customHeight="true" outlineLevel="0" collapsed="false">
      <c r="A2071" s="16" t="n">
        <v>45196</v>
      </c>
      <c r="B2071" s="17" t="s">
        <v>939</v>
      </c>
      <c r="C2071" s="17" t="s">
        <v>788</v>
      </c>
      <c r="D2071" s="17" t="s">
        <v>19</v>
      </c>
      <c r="E2071" s="17" t="s">
        <v>962</v>
      </c>
      <c r="F2071" s="17" t="s">
        <v>967</v>
      </c>
      <c r="G2071" s="18" t="n">
        <v>0</v>
      </c>
      <c r="H2071" s="18" t="n">
        <v>701.2</v>
      </c>
      <c r="I2071" s="18" t="n">
        <f aca="false">((I2070 + G2071) - H2071)</f>
        <v>-35677.95</v>
      </c>
      <c r="J2071" s="18" t="n">
        <v>0</v>
      </c>
      <c r="K2071" s="19" t="n">
        <v>0</v>
      </c>
      <c r="L2071" s="17" t="s">
        <v>88</v>
      </c>
    </row>
    <row r="2072" s="11" customFormat="true" ht="10.95" hidden="false" customHeight="true" outlineLevel="0" collapsed="false">
      <c r="A2072" s="16" t="n">
        <v>45196</v>
      </c>
      <c r="B2072" s="17" t="s">
        <v>939</v>
      </c>
      <c r="C2072" s="17" t="s">
        <v>788</v>
      </c>
      <c r="D2072" s="17" t="s">
        <v>19</v>
      </c>
      <c r="E2072" s="17" t="s">
        <v>955</v>
      </c>
      <c r="F2072" s="17" t="s">
        <v>968</v>
      </c>
      <c r="G2072" s="18" t="n">
        <v>0</v>
      </c>
      <c r="H2072" s="18" t="n">
        <v>7598.87</v>
      </c>
      <c r="I2072" s="18" t="n">
        <f aca="false">((I2071 + G2072) - H2072)</f>
        <v>-43276.82</v>
      </c>
      <c r="J2072" s="18" t="n">
        <v>0</v>
      </c>
      <c r="K2072" s="19" t="n">
        <v>0</v>
      </c>
      <c r="L2072" s="17" t="s">
        <v>88</v>
      </c>
    </row>
    <row r="2073" s="11" customFormat="true" ht="10.95" hidden="false" customHeight="true" outlineLevel="0" collapsed="false">
      <c r="A2073" s="16" t="n">
        <v>45196</v>
      </c>
      <c r="B2073" s="17" t="s">
        <v>939</v>
      </c>
      <c r="C2073" s="17" t="s">
        <v>788</v>
      </c>
      <c r="D2073" s="17" t="s">
        <v>19</v>
      </c>
      <c r="E2073" s="17" t="s">
        <v>957</v>
      </c>
      <c r="F2073" s="17" t="s">
        <v>968</v>
      </c>
      <c r="G2073" s="18" t="n">
        <v>0</v>
      </c>
      <c r="H2073" s="18" t="n">
        <v>1880.13</v>
      </c>
      <c r="I2073" s="18" t="n">
        <f aca="false">((I2072 + G2073) - H2073)</f>
        <v>-45156.95</v>
      </c>
      <c r="J2073" s="18" t="n">
        <v>0</v>
      </c>
      <c r="K2073" s="19" t="n">
        <v>0</v>
      </c>
      <c r="L2073" s="17" t="s">
        <v>88</v>
      </c>
    </row>
    <row r="2074" s="11" customFormat="true" ht="10.95" hidden="false" customHeight="true" outlineLevel="0" collapsed="false">
      <c r="A2074" s="16" t="n">
        <v>45196</v>
      </c>
      <c r="B2074" s="17" t="s">
        <v>939</v>
      </c>
      <c r="C2074" s="17" t="s">
        <v>788</v>
      </c>
      <c r="D2074" s="17" t="s">
        <v>19</v>
      </c>
      <c r="E2074" s="17" t="s">
        <v>969</v>
      </c>
      <c r="F2074" s="17" t="s">
        <v>968</v>
      </c>
      <c r="G2074" s="18" t="n">
        <v>0</v>
      </c>
      <c r="H2074" s="18" t="n">
        <v>1880.14</v>
      </c>
      <c r="I2074" s="18" t="n">
        <f aca="false">((I2073 + G2074) - H2074)</f>
        <v>-47037.09</v>
      </c>
      <c r="J2074" s="18" t="n">
        <v>0</v>
      </c>
      <c r="K2074" s="19" t="n">
        <v>0</v>
      </c>
      <c r="L2074" s="17" t="s">
        <v>88</v>
      </c>
    </row>
    <row r="2075" s="11" customFormat="true" ht="10.95" hidden="false" customHeight="true" outlineLevel="0" collapsed="false">
      <c r="A2075" s="16" t="n">
        <v>45196</v>
      </c>
      <c r="B2075" s="17" t="s">
        <v>939</v>
      </c>
      <c r="C2075" s="17" t="s">
        <v>788</v>
      </c>
      <c r="D2075" s="17" t="s">
        <v>19</v>
      </c>
      <c r="E2075" s="17" t="s">
        <v>970</v>
      </c>
      <c r="F2075" s="17" t="s">
        <v>968</v>
      </c>
      <c r="G2075" s="18" t="n">
        <v>0</v>
      </c>
      <c r="H2075" s="18" t="n">
        <v>1880.14</v>
      </c>
      <c r="I2075" s="18" t="n">
        <f aca="false">((I2074 + G2075) - H2075)</f>
        <v>-48917.23</v>
      </c>
      <c r="J2075" s="18" t="n">
        <v>0</v>
      </c>
      <c r="K2075" s="19" t="n">
        <v>0</v>
      </c>
      <c r="L2075" s="17" t="s">
        <v>88</v>
      </c>
    </row>
    <row r="2076" s="11" customFormat="true" ht="10.95" hidden="false" customHeight="true" outlineLevel="0" collapsed="false">
      <c r="A2076" s="16" t="n">
        <v>45203</v>
      </c>
      <c r="B2076" s="17" t="s">
        <v>939</v>
      </c>
      <c r="C2076" s="17" t="s">
        <v>788</v>
      </c>
      <c r="D2076" s="17" t="s">
        <v>19</v>
      </c>
      <c r="E2076" s="17" t="s">
        <v>971</v>
      </c>
      <c r="F2076" s="17" t="s">
        <v>972</v>
      </c>
      <c r="G2076" s="18" t="n">
        <v>0</v>
      </c>
      <c r="H2076" s="18" t="n">
        <v>434.82</v>
      </c>
      <c r="I2076" s="18" t="n">
        <f aca="false">((I2075 + G2076) - H2076)</f>
        <v>-49352.05</v>
      </c>
      <c r="J2076" s="18" t="n">
        <v>0</v>
      </c>
      <c r="K2076" s="19" t="n">
        <v>0</v>
      </c>
      <c r="L2076" s="17" t="s">
        <v>88</v>
      </c>
    </row>
    <row r="2077" s="11" customFormat="true" ht="10.95" hidden="false" customHeight="true" outlineLevel="0" collapsed="false">
      <c r="A2077" s="16" t="n">
        <v>45203</v>
      </c>
      <c r="B2077" s="17" t="s">
        <v>939</v>
      </c>
      <c r="C2077" s="17" t="s">
        <v>788</v>
      </c>
      <c r="D2077" s="17" t="s">
        <v>19</v>
      </c>
      <c r="E2077" s="17" t="s">
        <v>973</v>
      </c>
      <c r="F2077" s="17" t="s">
        <v>972</v>
      </c>
      <c r="G2077" s="18" t="n">
        <v>0</v>
      </c>
      <c r="H2077" s="18" t="n">
        <v>9.28</v>
      </c>
      <c r="I2077" s="18" t="n">
        <f aca="false">((I2076 + G2077) - H2077)</f>
        <v>-49361.33</v>
      </c>
      <c r="J2077" s="18" t="n">
        <v>0</v>
      </c>
      <c r="K2077" s="19" t="n">
        <v>0</v>
      </c>
      <c r="L2077" s="17" t="s">
        <v>88</v>
      </c>
    </row>
    <row r="2078" s="11" customFormat="true" ht="10.95" hidden="false" customHeight="true" outlineLevel="0" collapsed="false">
      <c r="A2078" s="16" t="n">
        <v>45203</v>
      </c>
      <c r="B2078" s="17" t="s">
        <v>939</v>
      </c>
      <c r="C2078" s="17" t="s">
        <v>788</v>
      </c>
      <c r="D2078" s="17" t="s">
        <v>19</v>
      </c>
      <c r="E2078" s="17" t="s">
        <v>974</v>
      </c>
      <c r="F2078" s="17" t="s">
        <v>972</v>
      </c>
      <c r="G2078" s="18" t="n">
        <v>0</v>
      </c>
      <c r="H2078" s="18" t="n">
        <v>86.97</v>
      </c>
      <c r="I2078" s="18" t="n">
        <f aca="false">((I2077 + G2078) - H2078)</f>
        <v>-49448.3</v>
      </c>
      <c r="J2078" s="18" t="n">
        <v>0</v>
      </c>
      <c r="K2078" s="19" t="n">
        <v>0</v>
      </c>
      <c r="L2078" s="17" t="s">
        <v>88</v>
      </c>
    </row>
    <row r="2079" s="11" customFormat="true" ht="10.95" hidden="false" customHeight="true" outlineLevel="0" collapsed="false">
      <c r="A2079" s="16" t="n">
        <v>45203</v>
      </c>
      <c r="B2079" s="17" t="s">
        <v>939</v>
      </c>
      <c r="C2079" s="17" t="s">
        <v>788</v>
      </c>
      <c r="D2079" s="17" t="s">
        <v>19</v>
      </c>
      <c r="E2079" s="17" t="s">
        <v>971</v>
      </c>
      <c r="F2079" s="17" t="s">
        <v>972</v>
      </c>
      <c r="G2079" s="18" t="n">
        <v>0</v>
      </c>
      <c r="H2079" s="18" t="n">
        <v>434.83</v>
      </c>
      <c r="I2079" s="18" t="n">
        <f aca="false">((I2078 + G2079) - H2079)</f>
        <v>-49883.13</v>
      </c>
      <c r="J2079" s="18" t="n">
        <v>0</v>
      </c>
      <c r="K2079" s="19" t="n">
        <v>0</v>
      </c>
      <c r="L2079" s="17" t="s">
        <v>88</v>
      </c>
    </row>
    <row r="2080" s="11" customFormat="true" ht="10.95" hidden="false" customHeight="true" outlineLevel="0" collapsed="false">
      <c r="A2080" s="16" t="n">
        <v>45203</v>
      </c>
      <c r="B2080" s="17" t="s">
        <v>939</v>
      </c>
      <c r="C2080" s="17" t="s">
        <v>788</v>
      </c>
      <c r="D2080" s="17" t="s">
        <v>19</v>
      </c>
      <c r="E2080" s="17" t="s">
        <v>973</v>
      </c>
      <c r="F2080" s="17" t="s">
        <v>972</v>
      </c>
      <c r="G2080" s="18" t="n">
        <v>0</v>
      </c>
      <c r="H2080" s="18" t="n">
        <v>9.28</v>
      </c>
      <c r="I2080" s="18" t="n">
        <f aca="false">((I2079 + G2080) - H2080)</f>
        <v>-49892.41</v>
      </c>
      <c r="J2080" s="18" t="n">
        <v>0</v>
      </c>
      <c r="K2080" s="19" t="n">
        <v>0</v>
      </c>
      <c r="L2080" s="17" t="s">
        <v>88</v>
      </c>
    </row>
    <row r="2081" s="11" customFormat="true" ht="10.95" hidden="false" customHeight="true" outlineLevel="0" collapsed="false">
      <c r="A2081" s="16" t="n">
        <v>45203</v>
      </c>
      <c r="B2081" s="17" t="s">
        <v>939</v>
      </c>
      <c r="C2081" s="17" t="s">
        <v>788</v>
      </c>
      <c r="D2081" s="17" t="s">
        <v>19</v>
      </c>
      <c r="E2081" s="17" t="s">
        <v>974</v>
      </c>
      <c r="F2081" s="17" t="s">
        <v>972</v>
      </c>
      <c r="G2081" s="18" t="n">
        <v>0</v>
      </c>
      <c r="H2081" s="18" t="n">
        <v>86.97</v>
      </c>
      <c r="I2081" s="18" t="n">
        <f aca="false">((I2080 + G2081) - H2081)</f>
        <v>-49979.38</v>
      </c>
      <c r="J2081" s="18" t="n">
        <v>0</v>
      </c>
      <c r="K2081" s="19" t="n">
        <v>0</v>
      </c>
      <c r="L2081" s="17" t="s">
        <v>88</v>
      </c>
    </row>
    <row r="2082" s="11" customFormat="true" ht="10.95" hidden="false" customHeight="true" outlineLevel="0" collapsed="false">
      <c r="A2082" s="16" t="n">
        <v>45203</v>
      </c>
      <c r="B2082" s="17" t="s">
        <v>939</v>
      </c>
      <c r="C2082" s="17" t="s">
        <v>788</v>
      </c>
      <c r="D2082" s="17" t="s">
        <v>19</v>
      </c>
      <c r="E2082" s="17" t="s">
        <v>971</v>
      </c>
      <c r="F2082" s="17" t="s">
        <v>972</v>
      </c>
      <c r="G2082" s="18" t="n">
        <v>0</v>
      </c>
      <c r="H2082" s="18" t="n">
        <v>434.83</v>
      </c>
      <c r="I2082" s="18" t="n">
        <f aca="false">((I2081 + G2082) - H2082)</f>
        <v>-50414.21</v>
      </c>
      <c r="J2082" s="18" t="n">
        <v>0</v>
      </c>
      <c r="K2082" s="19" t="n">
        <v>0</v>
      </c>
      <c r="L2082" s="17" t="s">
        <v>88</v>
      </c>
    </row>
    <row r="2083" s="11" customFormat="true" ht="10.95" hidden="false" customHeight="true" outlineLevel="0" collapsed="false">
      <c r="A2083" s="16" t="n">
        <v>45203</v>
      </c>
      <c r="B2083" s="17" t="s">
        <v>939</v>
      </c>
      <c r="C2083" s="17" t="s">
        <v>788</v>
      </c>
      <c r="D2083" s="17" t="s">
        <v>19</v>
      </c>
      <c r="E2083" s="17" t="s">
        <v>973</v>
      </c>
      <c r="F2083" s="17" t="s">
        <v>972</v>
      </c>
      <c r="G2083" s="18" t="n">
        <v>0</v>
      </c>
      <c r="H2083" s="18" t="n">
        <v>9.28</v>
      </c>
      <c r="I2083" s="18" t="n">
        <f aca="false">((I2082 + G2083) - H2083)</f>
        <v>-50423.49</v>
      </c>
      <c r="J2083" s="18" t="n">
        <v>0</v>
      </c>
      <c r="K2083" s="19" t="n">
        <v>0</v>
      </c>
      <c r="L2083" s="17" t="s">
        <v>88</v>
      </c>
    </row>
    <row r="2084" s="11" customFormat="true" ht="10.95" hidden="false" customHeight="true" outlineLevel="0" collapsed="false">
      <c r="A2084" s="16" t="n">
        <v>45203</v>
      </c>
      <c r="B2084" s="17" t="s">
        <v>939</v>
      </c>
      <c r="C2084" s="17" t="s">
        <v>788</v>
      </c>
      <c r="D2084" s="17" t="s">
        <v>19</v>
      </c>
      <c r="E2084" s="17" t="s">
        <v>974</v>
      </c>
      <c r="F2084" s="17" t="s">
        <v>972</v>
      </c>
      <c r="G2084" s="18" t="n">
        <v>0</v>
      </c>
      <c r="H2084" s="18" t="n">
        <v>86.97</v>
      </c>
      <c r="I2084" s="18" t="n">
        <f aca="false">((I2083 + G2084) - H2084)</f>
        <v>-50510.46</v>
      </c>
      <c r="J2084" s="18" t="n">
        <v>0</v>
      </c>
      <c r="K2084" s="19" t="n">
        <v>0</v>
      </c>
      <c r="L2084" s="17" t="s">
        <v>88</v>
      </c>
    </row>
    <row r="2085" s="11" customFormat="true" ht="10.95" hidden="false" customHeight="true" outlineLevel="0" collapsed="false">
      <c r="A2085" s="16" t="n">
        <v>45222</v>
      </c>
      <c r="B2085" s="17" t="s">
        <v>939</v>
      </c>
      <c r="C2085" s="17" t="s">
        <v>788</v>
      </c>
      <c r="D2085" s="17" t="s">
        <v>19</v>
      </c>
      <c r="E2085" s="17" t="s">
        <v>958</v>
      </c>
      <c r="F2085" s="17" t="s">
        <v>975</v>
      </c>
      <c r="G2085" s="18" t="n">
        <v>0</v>
      </c>
      <c r="H2085" s="18" t="n">
        <v>377.4</v>
      </c>
      <c r="I2085" s="18" t="n">
        <f aca="false">((I2084 + G2085) - H2085)</f>
        <v>-50887.86</v>
      </c>
      <c r="J2085" s="18" t="n">
        <v>0</v>
      </c>
      <c r="K2085" s="19" t="n">
        <v>0</v>
      </c>
      <c r="L2085" s="17" t="s">
        <v>88</v>
      </c>
    </row>
    <row r="2086" s="11" customFormat="true" ht="10.95" hidden="false" customHeight="true" outlineLevel="0" collapsed="false">
      <c r="A2086" s="16" t="n">
        <v>45222</v>
      </c>
      <c r="B2086" s="17" t="s">
        <v>939</v>
      </c>
      <c r="C2086" s="17" t="s">
        <v>788</v>
      </c>
      <c r="D2086" s="17" t="s">
        <v>19</v>
      </c>
      <c r="E2086" s="17" t="s">
        <v>960</v>
      </c>
      <c r="F2086" s="17" t="s">
        <v>975</v>
      </c>
      <c r="G2086" s="18" t="n">
        <v>0</v>
      </c>
      <c r="H2086" s="18" t="n">
        <v>83.87</v>
      </c>
      <c r="I2086" s="18" t="n">
        <f aca="false">((I2085 + G2086) - H2086)</f>
        <v>-50971.73</v>
      </c>
      <c r="J2086" s="18" t="n">
        <v>0</v>
      </c>
      <c r="K2086" s="19" t="n">
        <v>0</v>
      </c>
      <c r="L2086" s="17" t="s">
        <v>88</v>
      </c>
    </row>
    <row r="2087" s="11" customFormat="true" ht="10.95" hidden="false" customHeight="true" outlineLevel="0" collapsed="false">
      <c r="A2087" s="16" t="n">
        <v>45222</v>
      </c>
      <c r="B2087" s="17" t="s">
        <v>939</v>
      </c>
      <c r="C2087" s="17" t="s">
        <v>788</v>
      </c>
      <c r="D2087" s="17" t="s">
        <v>19</v>
      </c>
      <c r="E2087" s="17" t="s">
        <v>961</v>
      </c>
      <c r="F2087" s="17" t="s">
        <v>975</v>
      </c>
      <c r="G2087" s="18" t="n">
        <v>0</v>
      </c>
      <c r="H2087" s="18" t="n">
        <v>679.33</v>
      </c>
      <c r="I2087" s="18" t="n">
        <f aca="false">((I2086 + G2087) - H2087)</f>
        <v>-51651.06</v>
      </c>
      <c r="J2087" s="18" t="n">
        <v>0</v>
      </c>
      <c r="K2087" s="19" t="n">
        <v>0</v>
      </c>
      <c r="L2087" s="17" t="s">
        <v>88</v>
      </c>
    </row>
    <row r="2088" s="11" customFormat="true" ht="10.95" hidden="false" customHeight="true" outlineLevel="0" collapsed="false">
      <c r="A2088" s="16" t="n">
        <v>45222</v>
      </c>
      <c r="B2088" s="17" t="s">
        <v>939</v>
      </c>
      <c r="C2088" s="17" t="s">
        <v>788</v>
      </c>
      <c r="D2088" s="17" t="s">
        <v>19</v>
      </c>
      <c r="E2088" s="17" t="s">
        <v>962</v>
      </c>
      <c r="F2088" s="17" t="s">
        <v>975</v>
      </c>
      <c r="G2088" s="18" t="n">
        <v>0</v>
      </c>
      <c r="H2088" s="18" t="n">
        <v>712.87</v>
      </c>
      <c r="I2088" s="18" t="n">
        <f aca="false">((I2087 + G2088) - H2088)</f>
        <v>-52363.93</v>
      </c>
      <c r="J2088" s="18" t="n">
        <v>0</v>
      </c>
      <c r="K2088" s="19" t="n">
        <v>0</v>
      </c>
      <c r="L2088" s="17" t="s">
        <v>88</v>
      </c>
    </row>
    <row r="2089" s="11" customFormat="true" ht="10.95" hidden="false" customHeight="true" outlineLevel="0" collapsed="false">
      <c r="A2089" s="16" t="n">
        <v>45222</v>
      </c>
      <c r="B2089" s="17" t="s">
        <v>939</v>
      </c>
      <c r="C2089" s="17" t="s">
        <v>788</v>
      </c>
      <c r="D2089" s="17" t="s">
        <v>19</v>
      </c>
      <c r="E2089" s="17" t="s">
        <v>955</v>
      </c>
      <c r="F2089" s="17" t="s">
        <v>976</v>
      </c>
      <c r="G2089" s="18" t="n">
        <v>0</v>
      </c>
      <c r="H2089" s="18" t="n">
        <v>7683.6</v>
      </c>
      <c r="I2089" s="18" t="n">
        <f aca="false">((I2088 + G2089) - H2089)</f>
        <v>-60047.53</v>
      </c>
      <c r="J2089" s="18" t="n">
        <v>0</v>
      </c>
      <c r="K2089" s="19" t="n">
        <v>0</v>
      </c>
      <c r="L2089" s="17" t="s">
        <v>88</v>
      </c>
    </row>
    <row r="2090" s="11" customFormat="true" ht="10.95" hidden="false" customHeight="true" outlineLevel="0" collapsed="false">
      <c r="A2090" s="16" t="n">
        <v>45222</v>
      </c>
      <c r="B2090" s="17" t="s">
        <v>939</v>
      </c>
      <c r="C2090" s="17" t="s">
        <v>788</v>
      </c>
      <c r="D2090" s="17" t="s">
        <v>19</v>
      </c>
      <c r="E2090" s="17" t="s">
        <v>957</v>
      </c>
      <c r="F2090" s="17" t="s">
        <v>976</v>
      </c>
      <c r="G2090" s="18" t="n">
        <v>0</v>
      </c>
      <c r="H2090" s="18" t="n">
        <v>1901.1</v>
      </c>
      <c r="I2090" s="18" t="n">
        <f aca="false">((I2089 + G2090) - H2090)</f>
        <v>-61948.63</v>
      </c>
      <c r="J2090" s="18" t="n">
        <v>0</v>
      </c>
      <c r="K2090" s="19" t="n">
        <v>0</v>
      </c>
      <c r="L2090" s="17" t="s">
        <v>88</v>
      </c>
    </row>
    <row r="2091" s="11" customFormat="true" ht="10.95" hidden="false" customHeight="true" outlineLevel="0" collapsed="false">
      <c r="A2091" s="16" t="n">
        <v>45222</v>
      </c>
      <c r="B2091" s="17" t="s">
        <v>939</v>
      </c>
      <c r="C2091" s="17" t="s">
        <v>788</v>
      </c>
      <c r="D2091" s="17" t="s">
        <v>19</v>
      </c>
      <c r="E2091" s="17" t="s">
        <v>977</v>
      </c>
      <c r="F2091" s="17" t="s">
        <v>976</v>
      </c>
      <c r="G2091" s="18" t="n">
        <v>0</v>
      </c>
      <c r="H2091" s="18" t="n">
        <v>633.7</v>
      </c>
      <c r="I2091" s="18" t="n">
        <f aca="false">((I2090 + G2091) - H2091)</f>
        <v>-62582.33</v>
      </c>
      <c r="J2091" s="18" t="n">
        <v>0</v>
      </c>
      <c r="K2091" s="19" t="n">
        <v>0</v>
      </c>
      <c r="L2091" s="17" t="s">
        <v>88</v>
      </c>
    </row>
    <row r="2092" s="11" customFormat="true" ht="10.95" hidden="false" customHeight="true" outlineLevel="0" collapsed="false">
      <c r="A2092" s="16" t="n">
        <v>45230</v>
      </c>
      <c r="B2092" s="17" t="s">
        <v>939</v>
      </c>
      <c r="C2092" s="17" t="s">
        <v>788</v>
      </c>
      <c r="D2092" s="17" t="s">
        <v>19</v>
      </c>
      <c r="E2092" s="17" t="s">
        <v>947</v>
      </c>
      <c r="F2092" s="17" t="s">
        <v>978</v>
      </c>
      <c r="G2092" s="18" t="n">
        <v>0</v>
      </c>
      <c r="H2092" s="18" t="n">
        <v>188.77</v>
      </c>
      <c r="I2092" s="18" t="n">
        <f aca="false">((I2091 + G2092) - H2092)</f>
        <v>-62771.1</v>
      </c>
      <c r="J2092" s="18" t="n">
        <v>0</v>
      </c>
      <c r="K2092" s="19" t="n">
        <v>0</v>
      </c>
      <c r="L2092" s="17" t="s">
        <v>88</v>
      </c>
    </row>
    <row r="2093" s="11" customFormat="true" ht="10.95" hidden="false" customHeight="true" outlineLevel="0" collapsed="false">
      <c r="A2093" s="16" t="n">
        <v>45230</v>
      </c>
      <c r="B2093" s="17" t="s">
        <v>939</v>
      </c>
      <c r="C2093" s="17" t="s">
        <v>788</v>
      </c>
      <c r="D2093" s="17" t="s">
        <v>19</v>
      </c>
      <c r="E2093" s="17" t="s">
        <v>948</v>
      </c>
      <c r="F2093" s="17" t="s">
        <v>978</v>
      </c>
      <c r="G2093" s="18" t="n">
        <v>0</v>
      </c>
      <c r="H2093" s="18" t="n">
        <v>188.77</v>
      </c>
      <c r="I2093" s="18" t="n">
        <f aca="false">((I2092 + G2093) - H2093)</f>
        <v>-62959.87</v>
      </c>
      <c r="J2093" s="18" t="n">
        <v>0</v>
      </c>
      <c r="K2093" s="19" t="n">
        <v>0</v>
      </c>
      <c r="L2093" s="17" t="s">
        <v>88</v>
      </c>
    </row>
    <row r="2094" s="11" customFormat="true" ht="10.95" hidden="false" customHeight="true" outlineLevel="0" collapsed="false">
      <c r="A2094" s="16" t="n">
        <v>45230</v>
      </c>
      <c r="B2094" s="17" t="s">
        <v>939</v>
      </c>
      <c r="C2094" s="17" t="s">
        <v>788</v>
      </c>
      <c r="D2094" s="17" t="s">
        <v>19</v>
      </c>
      <c r="E2094" s="17" t="s">
        <v>949</v>
      </c>
      <c r="F2094" s="17" t="s">
        <v>978</v>
      </c>
      <c r="G2094" s="18" t="n">
        <v>0</v>
      </c>
      <c r="H2094" s="18" t="n">
        <v>188.77</v>
      </c>
      <c r="I2094" s="18" t="n">
        <f aca="false">((I2093 + G2094) - H2094)</f>
        <v>-63148.64</v>
      </c>
      <c r="J2094" s="18" t="n">
        <v>0</v>
      </c>
      <c r="K2094" s="19" t="n">
        <v>0</v>
      </c>
      <c r="L2094" s="17" t="s">
        <v>88</v>
      </c>
    </row>
    <row r="2095" s="11" customFormat="true" ht="10.95" hidden="false" customHeight="true" outlineLevel="0" collapsed="false">
      <c r="A2095" s="16" t="n">
        <v>45230</v>
      </c>
      <c r="B2095" s="17" t="s">
        <v>939</v>
      </c>
      <c r="C2095" s="17" t="s">
        <v>788</v>
      </c>
      <c r="D2095" s="17" t="s">
        <v>19</v>
      </c>
      <c r="E2095" s="17" t="s">
        <v>950</v>
      </c>
      <c r="F2095" s="17" t="s">
        <v>978</v>
      </c>
      <c r="G2095" s="18" t="n">
        <v>0</v>
      </c>
      <c r="H2095" s="18" t="n">
        <v>188.77</v>
      </c>
      <c r="I2095" s="18" t="n">
        <f aca="false">((I2094 + G2095) - H2095)</f>
        <v>-63337.41</v>
      </c>
      <c r="J2095" s="18" t="n">
        <v>0</v>
      </c>
      <c r="K2095" s="19" t="n">
        <v>0</v>
      </c>
      <c r="L2095" s="17" t="s">
        <v>88</v>
      </c>
    </row>
    <row r="2096" s="11" customFormat="true" ht="10.95" hidden="false" customHeight="true" outlineLevel="0" collapsed="false">
      <c r="A2096" s="16" t="n">
        <v>45230</v>
      </c>
      <c r="B2096" s="17" t="s">
        <v>939</v>
      </c>
      <c r="C2096" s="17" t="s">
        <v>788</v>
      </c>
      <c r="D2096" s="17" t="s">
        <v>19</v>
      </c>
      <c r="E2096" s="17" t="s">
        <v>951</v>
      </c>
      <c r="F2096" s="17" t="s">
        <v>978</v>
      </c>
      <c r="G2096" s="18" t="n">
        <v>0</v>
      </c>
      <c r="H2096" s="18" t="n">
        <v>188.77</v>
      </c>
      <c r="I2096" s="18" t="n">
        <f aca="false">((I2095 + G2096) - H2096)</f>
        <v>-63526.18</v>
      </c>
      <c r="J2096" s="18" t="n">
        <v>0</v>
      </c>
      <c r="K2096" s="19" t="n">
        <v>0</v>
      </c>
      <c r="L2096" s="17" t="s">
        <v>88</v>
      </c>
    </row>
    <row r="2097" s="11" customFormat="true" ht="10.95" hidden="false" customHeight="true" outlineLevel="0" collapsed="false">
      <c r="A2097" s="16" t="n">
        <v>45230</v>
      </c>
      <c r="B2097" s="17" t="s">
        <v>939</v>
      </c>
      <c r="C2097" s="17" t="s">
        <v>788</v>
      </c>
      <c r="D2097" s="17" t="s">
        <v>19</v>
      </c>
      <c r="E2097" s="17" t="s">
        <v>952</v>
      </c>
      <c r="F2097" s="17" t="s">
        <v>978</v>
      </c>
      <c r="G2097" s="18" t="n">
        <v>0</v>
      </c>
      <c r="H2097" s="18" t="n">
        <v>188.77</v>
      </c>
      <c r="I2097" s="18" t="n">
        <f aca="false">((I2096 + G2097) - H2097)</f>
        <v>-63714.95</v>
      </c>
      <c r="J2097" s="18" t="n">
        <v>0</v>
      </c>
      <c r="K2097" s="19" t="n">
        <v>0</v>
      </c>
      <c r="L2097" s="17" t="s">
        <v>88</v>
      </c>
    </row>
    <row r="2098" s="11" customFormat="true" ht="10.95" hidden="false" customHeight="true" outlineLevel="0" collapsed="false">
      <c r="A2098" s="16" t="n">
        <v>45230</v>
      </c>
      <c r="B2098" s="17" t="s">
        <v>939</v>
      </c>
      <c r="C2098" s="17" t="s">
        <v>788</v>
      </c>
      <c r="D2098" s="17" t="s">
        <v>19</v>
      </c>
      <c r="E2098" s="17" t="s">
        <v>953</v>
      </c>
      <c r="F2098" s="17" t="s">
        <v>978</v>
      </c>
      <c r="G2098" s="18" t="n">
        <v>0</v>
      </c>
      <c r="H2098" s="18" t="n">
        <v>188.77</v>
      </c>
      <c r="I2098" s="18" t="n">
        <f aca="false">((I2097 + G2098) - H2098)</f>
        <v>-63903.72</v>
      </c>
      <c r="J2098" s="18" t="n">
        <v>0</v>
      </c>
      <c r="K2098" s="19" t="n">
        <v>0</v>
      </c>
      <c r="L2098" s="17" t="s">
        <v>88</v>
      </c>
    </row>
    <row r="2099" s="11" customFormat="true" ht="10.95" hidden="false" customHeight="true" outlineLevel="0" collapsed="false">
      <c r="A2099" s="16" t="n">
        <v>45230</v>
      </c>
      <c r="B2099" s="17" t="s">
        <v>939</v>
      </c>
      <c r="C2099" s="17" t="s">
        <v>788</v>
      </c>
      <c r="D2099" s="17" t="s">
        <v>19</v>
      </c>
      <c r="E2099" s="17" t="s">
        <v>474</v>
      </c>
      <c r="F2099" s="17" t="s">
        <v>978</v>
      </c>
      <c r="G2099" s="18" t="n">
        <v>0</v>
      </c>
      <c r="H2099" s="18" t="n">
        <v>188.77</v>
      </c>
      <c r="I2099" s="18" t="n">
        <f aca="false">((I2098 + G2099) - H2099)</f>
        <v>-64092.49</v>
      </c>
      <c r="J2099" s="18" t="n">
        <v>0</v>
      </c>
      <c r="K2099" s="19" t="n">
        <v>0</v>
      </c>
      <c r="L2099" s="17" t="s">
        <v>88</v>
      </c>
    </row>
    <row r="2100" s="11" customFormat="true" ht="10.95" hidden="false" customHeight="true" outlineLevel="0" collapsed="false">
      <c r="A2100" s="16" t="n">
        <v>45244</v>
      </c>
      <c r="B2100" s="17" t="s">
        <v>939</v>
      </c>
      <c r="C2100" s="17" t="s">
        <v>788</v>
      </c>
      <c r="D2100" s="17" t="s">
        <v>19</v>
      </c>
      <c r="E2100" s="17" t="s">
        <v>940</v>
      </c>
      <c r="F2100" s="17" t="s">
        <v>941</v>
      </c>
      <c r="G2100" s="18" t="n">
        <v>0</v>
      </c>
      <c r="H2100" s="18" t="n">
        <v>3019.33</v>
      </c>
      <c r="I2100" s="18" t="n">
        <f aca="false">((I2099 + G2100) - H2100)</f>
        <v>-67111.82</v>
      </c>
      <c r="J2100" s="18" t="n">
        <v>0</v>
      </c>
      <c r="K2100" s="19" t="n">
        <v>0</v>
      </c>
      <c r="L2100" s="17" t="s">
        <v>88</v>
      </c>
    </row>
    <row r="2101" s="11" customFormat="true" ht="10.95" hidden="false" customHeight="true" outlineLevel="0" collapsed="false">
      <c r="A2101" s="16" t="n">
        <v>45253</v>
      </c>
      <c r="B2101" s="17" t="s">
        <v>939</v>
      </c>
      <c r="C2101" s="17" t="s">
        <v>788</v>
      </c>
      <c r="D2101" s="17" t="s">
        <v>19</v>
      </c>
      <c r="E2101" s="17" t="s">
        <v>958</v>
      </c>
      <c r="F2101" s="17" t="s">
        <v>979</v>
      </c>
      <c r="G2101" s="18" t="n">
        <v>0</v>
      </c>
      <c r="H2101" s="18" t="n">
        <v>374.45</v>
      </c>
      <c r="I2101" s="18" t="n">
        <f aca="false">((I2100 + G2101) - H2101)</f>
        <v>-67486.27</v>
      </c>
      <c r="J2101" s="18" t="n">
        <v>0</v>
      </c>
      <c r="K2101" s="19" t="n">
        <v>0</v>
      </c>
      <c r="L2101" s="17" t="s">
        <v>88</v>
      </c>
    </row>
    <row r="2102" s="11" customFormat="true" ht="10.95" hidden="false" customHeight="true" outlineLevel="0" collapsed="false">
      <c r="A2102" s="16" t="n">
        <v>45253</v>
      </c>
      <c r="B2102" s="17" t="s">
        <v>939</v>
      </c>
      <c r="C2102" s="17" t="s">
        <v>788</v>
      </c>
      <c r="D2102" s="17" t="s">
        <v>19</v>
      </c>
      <c r="E2102" s="17" t="s">
        <v>960</v>
      </c>
      <c r="F2102" s="17" t="s">
        <v>979</v>
      </c>
      <c r="G2102" s="18" t="n">
        <v>0</v>
      </c>
      <c r="H2102" s="18" t="n">
        <v>83.21</v>
      </c>
      <c r="I2102" s="18" t="n">
        <f aca="false">((I2101 + G2102) - H2102)</f>
        <v>-67569.48</v>
      </c>
      <c r="J2102" s="18" t="n">
        <v>0</v>
      </c>
      <c r="K2102" s="19" t="n">
        <v>0</v>
      </c>
      <c r="L2102" s="17" t="s">
        <v>88</v>
      </c>
    </row>
    <row r="2103" s="11" customFormat="true" ht="10.95" hidden="false" customHeight="true" outlineLevel="0" collapsed="false">
      <c r="A2103" s="16" t="n">
        <v>45253</v>
      </c>
      <c r="B2103" s="17" t="s">
        <v>939</v>
      </c>
      <c r="C2103" s="17" t="s">
        <v>788</v>
      </c>
      <c r="D2103" s="17" t="s">
        <v>19</v>
      </c>
      <c r="E2103" s="17" t="s">
        <v>961</v>
      </c>
      <c r="F2103" s="17" t="s">
        <v>979</v>
      </c>
      <c r="G2103" s="18" t="n">
        <v>0</v>
      </c>
      <c r="H2103" s="18" t="n">
        <v>674.01</v>
      </c>
      <c r="I2103" s="18" t="n">
        <f aca="false">((I2102 + G2103) - H2103)</f>
        <v>-68243.49</v>
      </c>
      <c r="J2103" s="18" t="n">
        <v>0</v>
      </c>
      <c r="K2103" s="19" t="n">
        <v>0</v>
      </c>
      <c r="L2103" s="17" t="s">
        <v>88</v>
      </c>
    </row>
    <row r="2104" s="11" customFormat="true" ht="10.95" hidden="false" customHeight="true" outlineLevel="0" collapsed="false">
      <c r="A2104" s="16" t="n">
        <v>45253</v>
      </c>
      <c r="B2104" s="17" t="s">
        <v>939</v>
      </c>
      <c r="C2104" s="17" t="s">
        <v>788</v>
      </c>
      <c r="D2104" s="17" t="s">
        <v>19</v>
      </c>
      <c r="E2104" s="17" t="s">
        <v>962</v>
      </c>
      <c r="F2104" s="17" t="s">
        <v>979</v>
      </c>
      <c r="G2104" s="18" t="n">
        <v>0</v>
      </c>
      <c r="H2104" s="18" t="n">
        <v>707.29</v>
      </c>
      <c r="I2104" s="18" t="n">
        <f aca="false">((I2103 + G2104) - H2104)</f>
        <v>-68950.78</v>
      </c>
      <c r="J2104" s="18" t="n">
        <v>0</v>
      </c>
      <c r="K2104" s="19" t="n">
        <v>0</v>
      </c>
      <c r="L2104" s="17" t="s">
        <v>88</v>
      </c>
    </row>
    <row r="2105" s="11" customFormat="true" ht="10.95" hidden="false" customHeight="true" outlineLevel="0" collapsed="false">
      <c r="A2105" s="16" t="n">
        <v>45253</v>
      </c>
      <c r="B2105" s="17" t="s">
        <v>939</v>
      </c>
      <c r="C2105" s="17" t="s">
        <v>788</v>
      </c>
      <c r="D2105" s="17" t="s">
        <v>19</v>
      </c>
      <c r="E2105" s="17" t="s">
        <v>955</v>
      </c>
      <c r="F2105" s="17" t="s">
        <v>980</v>
      </c>
      <c r="G2105" s="18" t="n">
        <v>0</v>
      </c>
      <c r="H2105" s="18" t="n">
        <v>7413.08</v>
      </c>
      <c r="I2105" s="18" t="n">
        <f aca="false">((I2104 + G2105) - H2105)</f>
        <v>-76363.86</v>
      </c>
      <c r="J2105" s="18" t="n">
        <v>0</v>
      </c>
      <c r="K2105" s="19" t="n">
        <v>0</v>
      </c>
      <c r="L2105" s="17" t="s">
        <v>88</v>
      </c>
    </row>
    <row r="2106" s="11" customFormat="true" ht="10.95" hidden="false" customHeight="true" outlineLevel="0" collapsed="false">
      <c r="A2106" s="16" t="n">
        <v>45253</v>
      </c>
      <c r="B2106" s="17" t="s">
        <v>939</v>
      </c>
      <c r="C2106" s="17" t="s">
        <v>788</v>
      </c>
      <c r="D2106" s="17" t="s">
        <v>19</v>
      </c>
      <c r="E2106" s="17" t="s">
        <v>957</v>
      </c>
      <c r="F2106" s="17" t="s">
        <v>980</v>
      </c>
      <c r="G2106" s="18" t="n">
        <v>0</v>
      </c>
      <c r="H2106" s="18" t="n">
        <v>1834.16</v>
      </c>
      <c r="I2106" s="18" t="n">
        <f aca="false">((I2105 + G2106) - H2106)</f>
        <v>-78198.02</v>
      </c>
      <c r="J2106" s="18" t="n">
        <v>0</v>
      </c>
      <c r="K2106" s="19" t="n">
        <v>0</v>
      </c>
      <c r="L2106" s="17" t="s">
        <v>88</v>
      </c>
    </row>
    <row r="2107" s="11" customFormat="true" ht="10.95" hidden="false" customHeight="true" outlineLevel="0" collapsed="false">
      <c r="A2107" s="16" t="n">
        <v>45253</v>
      </c>
      <c r="B2107" s="17" t="s">
        <v>939</v>
      </c>
      <c r="C2107" s="17" t="s">
        <v>788</v>
      </c>
      <c r="D2107" s="17" t="s">
        <v>19</v>
      </c>
      <c r="E2107" s="17" t="s">
        <v>971</v>
      </c>
      <c r="F2107" s="17" t="s">
        <v>981</v>
      </c>
      <c r="G2107" s="18" t="n">
        <v>0</v>
      </c>
      <c r="H2107" s="18" t="n">
        <v>436.85</v>
      </c>
      <c r="I2107" s="18" t="n">
        <f aca="false">((I2106 + G2107) - H2107)</f>
        <v>-78634.87</v>
      </c>
      <c r="J2107" s="18" t="n">
        <v>0</v>
      </c>
      <c r="K2107" s="19" t="n">
        <v>0</v>
      </c>
      <c r="L2107" s="17" t="s">
        <v>88</v>
      </c>
    </row>
    <row r="2108" s="11" customFormat="true" ht="10.95" hidden="false" customHeight="true" outlineLevel="0" collapsed="false">
      <c r="A2108" s="16" t="n">
        <v>45253</v>
      </c>
      <c r="B2108" s="17" t="s">
        <v>939</v>
      </c>
      <c r="C2108" s="17" t="s">
        <v>788</v>
      </c>
      <c r="D2108" s="17" t="s">
        <v>19</v>
      </c>
      <c r="E2108" s="17" t="s">
        <v>973</v>
      </c>
      <c r="F2108" s="17" t="s">
        <v>981</v>
      </c>
      <c r="G2108" s="18" t="n">
        <v>0</v>
      </c>
      <c r="H2108" s="18" t="n">
        <v>9.32</v>
      </c>
      <c r="I2108" s="18" t="n">
        <f aca="false">((I2107 + G2108) - H2108)</f>
        <v>-78644.19</v>
      </c>
      <c r="J2108" s="18" t="n">
        <v>0</v>
      </c>
      <c r="K2108" s="19" t="n">
        <v>0</v>
      </c>
      <c r="L2108" s="17" t="s">
        <v>88</v>
      </c>
    </row>
    <row r="2109" s="11" customFormat="true" ht="10.95" hidden="false" customHeight="true" outlineLevel="0" collapsed="false">
      <c r="A2109" s="16" t="n">
        <v>45253</v>
      </c>
      <c r="B2109" s="17" t="s">
        <v>939</v>
      </c>
      <c r="C2109" s="17" t="s">
        <v>788</v>
      </c>
      <c r="D2109" s="17" t="s">
        <v>19</v>
      </c>
      <c r="E2109" s="17" t="s">
        <v>974</v>
      </c>
      <c r="F2109" s="17" t="s">
        <v>981</v>
      </c>
      <c r="G2109" s="18" t="n">
        <v>0</v>
      </c>
      <c r="H2109" s="18" t="n">
        <v>87.37</v>
      </c>
      <c r="I2109" s="18" t="n">
        <f aca="false">((I2108 + G2109) - H2109)</f>
        <v>-78731.56</v>
      </c>
      <c r="J2109" s="18" t="n">
        <v>0</v>
      </c>
      <c r="K2109" s="19" t="n">
        <v>0</v>
      </c>
      <c r="L2109" s="17" t="s">
        <v>88</v>
      </c>
    </row>
    <row r="2110" s="11" customFormat="true" ht="10.95" hidden="false" customHeight="true" outlineLevel="0" collapsed="false">
      <c r="A2110" s="16" t="n">
        <v>45253</v>
      </c>
      <c r="B2110" s="17" t="s">
        <v>939</v>
      </c>
      <c r="C2110" s="17" t="s">
        <v>788</v>
      </c>
      <c r="D2110" s="17" t="s">
        <v>19</v>
      </c>
      <c r="E2110" s="17" t="s">
        <v>971</v>
      </c>
      <c r="F2110" s="17" t="s">
        <v>981</v>
      </c>
      <c r="G2110" s="18" t="n">
        <v>0</v>
      </c>
      <c r="H2110" s="18" t="n">
        <v>436.86</v>
      </c>
      <c r="I2110" s="18" t="n">
        <f aca="false">((I2109 + G2110) - H2110)</f>
        <v>-79168.42</v>
      </c>
      <c r="J2110" s="18" t="n">
        <v>0</v>
      </c>
      <c r="K2110" s="19" t="n">
        <v>0</v>
      </c>
      <c r="L2110" s="17" t="s">
        <v>88</v>
      </c>
    </row>
    <row r="2111" s="11" customFormat="true" ht="10.95" hidden="false" customHeight="true" outlineLevel="0" collapsed="false">
      <c r="A2111" s="16" t="n">
        <v>45253</v>
      </c>
      <c r="B2111" s="17" t="s">
        <v>939</v>
      </c>
      <c r="C2111" s="17" t="s">
        <v>788</v>
      </c>
      <c r="D2111" s="17" t="s">
        <v>19</v>
      </c>
      <c r="E2111" s="17" t="s">
        <v>973</v>
      </c>
      <c r="F2111" s="17" t="s">
        <v>981</v>
      </c>
      <c r="G2111" s="18" t="n">
        <v>0</v>
      </c>
      <c r="H2111" s="18" t="n">
        <v>9.32</v>
      </c>
      <c r="I2111" s="18" t="n">
        <f aca="false">((I2110 + G2111) - H2111)</f>
        <v>-79177.74</v>
      </c>
      <c r="J2111" s="18" t="n">
        <v>0</v>
      </c>
      <c r="K2111" s="19" t="n">
        <v>0</v>
      </c>
      <c r="L2111" s="17" t="s">
        <v>88</v>
      </c>
    </row>
    <row r="2112" s="11" customFormat="true" ht="10.95" hidden="false" customHeight="true" outlineLevel="0" collapsed="false">
      <c r="A2112" s="16" t="n">
        <v>45253</v>
      </c>
      <c r="B2112" s="17" t="s">
        <v>939</v>
      </c>
      <c r="C2112" s="17" t="s">
        <v>788</v>
      </c>
      <c r="D2112" s="17" t="s">
        <v>19</v>
      </c>
      <c r="E2112" s="17" t="s">
        <v>974</v>
      </c>
      <c r="F2112" s="17" t="s">
        <v>981</v>
      </c>
      <c r="G2112" s="18" t="n">
        <v>0</v>
      </c>
      <c r="H2112" s="18" t="n">
        <v>87.37</v>
      </c>
      <c r="I2112" s="18" t="n">
        <f aca="false">((I2111 + G2112) - H2112)</f>
        <v>-79265.11</v>
      </c>
      <c r="J2112" s="18" t="n">
        <v>0</v>
      </c>
      <c r="K2112" s="19" t="n">
        <v>0</v>
      </c>
      <c r="L2112" s="17" t="s">
        <v>88</v>
      </c>
    </row>
    <row r="2113" s="11" customFormat="true" ht="10.95" hidden="false" customHeight="true" outlineLevel="0" collapsed="false">
      <c r="A2113" s="16" t="n">
        <v>45253</v>
      </c>
      <c r="B2113" s="17" t="s">
        <v>939</v>
      </c>
      <c r="C2113" s="17" t="s">
        <v>788</v>
      </c>
      <c r="D2113" s="17" t="s">
        <v>19</v>
      </c>
      <c r="E2113" s="17" t="s">
        <v>971</v>
      </c>
      <c r="F2113" s="17" t="s">
        <v>981</v>
      </c>
      <c r="G2113" s="18" t="n">
        <v>0</v>
      </c>
      <c r="H2113" s="18" t="n">
        <v>436.86</v>
      </c>
      <c r="I2113" s="18" t="n">
        <f aca="false">((I2112 + G2113) - H2113)</f>
        <v>-79701.97</v>
      </c>
      <c r="J2113" s="18" t="n">
        <v>0</v>
      </c>
      <c r="K2113" s="19" t="n">
        <v>0</v>
      </c>
      <c r="L2113" s="17" t="s">
        <v>88</v>
      </c>
    </row>
    <row r="2114" s="11" customFormat="true" ht="10.95" hidden="false" customHeight="true" outlineLevel="0" collapsed="false">
      <c r="A2114" s="16" t="n">
        <v>45253</v>
      </c>
      <c r="B2114" s="17" t="s">
        <v>939</v>
      </c>
      <c r="C2114" s="17" t="s">
        <v>788</v>
      </c>
      <c r="D2114" s="17" t="s">
        <v>19</v>
      </c>
      <c r="E2114" s="17" t="s">
        <v>973</v>
      </c>
      <c r="F2114" s="17" t="s">
        <v>981</v>
      </c>
      <c r="G2114" s="18" t="n">
        <v>0</v>
      </c>
      <c r="H2114" s="18" t="n">
        <v>9.32</v>
      </c>
      <c r="I2114" s="18" t="n">
        <f aca="false">((I2113 + G2114) - H2114)</f>
        <v>-79711.29</v>
      </c>
      <c r="J2114" s="18" t="n">
        <v>0</v>
      </c>
      <c r="K2114" s="19" t="n">
        <v>0</v>
      </c>
      <c r="L2114" s="17" t="s">
        <v>88</v>
      </c>
    </row>
    <row r="2115" s="11" customFormat="true" ht="10.95" hidden="false" customHeight="true" outlineLevel="0" collapsed="false">
      <c r="A2115" s="16" t="n">
        <v>45253</v>
      </c>
      <c r="B2115" s="17" t="s">
        <v>939</v>
      </c>
      <c r="C2115" s="17" t="s">
        <v>788</v>
      </c>
      <c r="D2115" s="17" t="s">
        <v>19</v>
      </c>
      <c r="E2115" s="17" t="s">
        <v>974</v>
      </c>
      <c r="F2115" s="17" t="s">
        <v>981</v>
      </c>
      <c r="G2115" s="18" t="n">
        <v>0</v>
      </c>
      <c r="H2115" s="18" t="n">
        <v>87.37</v>
      </c>
      <c r="I2115" s="18" t="n">
        <f aca="false">((I2114 + G2115) - H2115)</f>
        <v>-79798.66</v>
      </c>
      <c r="J2115" s="18" t="n">
        <v>0</v>
      </c>
      <c r="K2115" s="19" t="n">
        <v>0</v>
      </c>
      <c r="L2115" s="17" t="s">
        <v>88</v>
      </c>
    </row>
    <row r="2116" s="11" customFormat="true" ht="10.95" hidden="false" customHeight="true" outlineLevel="0" collapsed="false">
      <c r="A2116" s="16" t="n">
        <v>45253</v>
      </c>
      <c r="B2116" s="17" t="s">
        <v>939</v>
      </c>
      <c r="C2116" s="17" t="s">
        <v>788</v>
      </c>
      <c r="D2116" s="17" t="s">
        <v>19</v>
      </c>
      <c r="E2116" s="17" t="s">
        <v>964</v>
      </c>
      <c r="F2116" s="17" t="s">
        <v>982</v>
      </c>
      <c r="G2116" s="18" t="n">
        <v>0</v>
      </c>
      <c r="H2116" s="18" t="n">
        <v>174.75</v>
      </c>
      <c r="I2116" s="18" t="n">
        <f aca="false">((I2115 + G2116) - H2116)</f>
        <v>-79973.41</v>
      </c>
      <c r="J2116" s="18" t="n">
        <v>0</v>
      </c>
      <c r="K2116" s="19" t="n">
        <v>0</v>
      </c>
      <c r="L2116" s="17" t="s">
        <v>88</v>
      </c>
    </row>
    <row r="2117" s="11" customFormat="true" ht="10.95" hidden="false" customHeight="true" outlineLevel="0" collapsed="false">
      <c r="A2117" s="16" t="n">
        <v>45253</v>
      </c>
      <c r="B2117" s="17" t="s">
        <v>939</v>
      </c>
      <c r="C2117" s="17" t="s">
        <v>788</v>
      </c>
      <c r="D2117" s="17" t="s">
        <v>19</v>
      </c>
      <c r="E2117" s="17" t="s">
        <v>964</v>
      </c>
      <c r="F2117" s="17" t="s">
        <v>982</v>
      </c>
      <c r="G2117" s="18" t="n">
        <v>0</v>
      </c>
      <c r="H2117" s="18" t="n">
        <v>174.74</v>
      </c>
      <c r="I2117" s="18" t="n">
        <f aca="false">((I2116 + G2117) - H2117)</f>
        <v>-80148.15</v>
      </c>
      <c r="J2117" s="18" t="n">
        <v>0</v>
      </c>
      <c r="K2117" s="19" t="n">
        <v>0</v>
      </c>
      <c r="L2117" s="17" t="s">
        <v>88</v>
      </c>
    </row>
    <row r="2118" s="11" customFormat="true" ht="10.95" hidden="false" customHeight="true" outlineLevel="0" collapsed="false">
      <c r="A2118" s="16" t="n">
        <v>45253</v>
      </c>
      <c r="B2118" s="17" t="s">
        <v>939</v>
      </c>
      <c r="C2118" s="17" t="s">
        <v>788</v>
      </c>
      <c r="D2118" s="17" t="s">
        <v>19</v>
      </c>
      <c r="E2118" s="17" t="s">
        <v>964</v>
      </c>
      <c r="F2118" s="17" t="s">
        <v>982</v>
      </c>
      <c r="G2118" s="18" t="n">
        <v>0</v>
      </c>
      <c r="H2118" s="18" t="n">
        <v>174.74</v>
      </c>
      <c r="I2118" s="18" t="n">
        <f aca="false">((I2117 + G2118) - H2118)</f>
        <v>-80322.89</v>
      </c>
      <c r="J2118" s="18" t="n">
        <v>0</v>
      </c>
      <c r="K2118" s="19" t="n">
        <v>0</v>
      </c>
      <c r="L2118" s="17" t="s">
        <v>88</v>
      </c>
    </row>
    <row r="2119" s="11" customFormat="true" ht="10.95" hidden="false" customHeight="true" outlineLevel="0" collapsed="false">
      <c r="A2119" s="16" t="n">
        <v>45253</v>
      </c>
      <c r="B2119" s="17" t="s">
        <v>939</v>
      </c>
      <c r="C2119" s="17" t="s">
        <v>788</v>
      </c>
      <c r="D2119" s="17" t="s">
        <v>19</v>
      </c>
      <c r="E2119" s="17" t="s">
        <v>964</v>
      </c>
      <c r="F2119" s="17" t="s">
        <v>983</v>
      </c>
      <c r="G2119" s="18" t="n">
        <v>0</v>
      </c>
      <c r="H2119" s="18" t="n">
        <v>116.49</v>
      </c>
      <c r="I2119" s="18" t="n">
        <f aca="false">((I2118 + G2119) - H2119)</f>
        <v>-80439.38</v>
      </c>
      <c r="J2119" s="18" t="n">
        <v>0</v>
      </c>
      <c r="K2119" s="19" t="n">
        <v>0</v>
      </c>
      <c r="L2119" s="17" t="s">
        <v>88</v>
      </c>
    </row>
    <row r="2120" s="11" customFormat="true" ht="10.95" hidden="false" customHeight="true" outlineLevel="0" collapsed="false">
      <c r="A2120" s="16" t="n">
        <v>45253</v>
      </c>
      <c r="B2120" s="17" t="s">
        <v>939</v>
      </c>
      <c r="C2120" s="17" t="s">
        <v>788</v>
      </c>
      <c r="D2120" s="17" t="s">
        <v>19</v>
      </c>
      <c r="E2120" s="17" t="s">
        <v>964</v>
      </c>
      <c r="F2120" s="17" t="s">
        <v>983</v>
      </c>
      <c r="G2120" s="18" t="n">
        <v>0</v>
      </c>
      <c r="H2120" s="18" t="n">
        <v>116.5</v>
      </c>
      <c r="I2120" s="18" t="n">
        <f aca="false">((I2119 + G2120) - H2120)</f>
        <v>-80555.88</v>
      </c>
      <c r="J2120" s="18" t="n">
        <v>0</v>
      </c>
      <c r="K2120" s="19" t="n">
        <v>0</v>
      </c>
      <c r="L2120" s="17" t="s">
        <v>88</v>
      </c>
    </row>
    <row r="2121" s="11" customFormat="true" ht="10.95" hidden="false" customHeight="true" outlineLevel="0" collapsed="false">
      <c r="A2121" s="16" t="n">
        <v>45253</v>
      </c>
      <c r="B2121" s="17" t="s">
        <v>939</v>
      </c>
      <c r="C2121" s="17" t="s">
        <v>788</v>
      </c>
      <c r="D2121" s="17" t="s">
        <v>19</v>
      </c>
      <c r="E2121" s="17" t="s">
        <v>964</v>
      </c>
      <c r="F2121" s="17" t="s">
        <v>983</v>
      </c>
      <c r="G2121" s="18" t="n">
        <v>0</v>
      </c>
      <c r="H2121" s="18" t="n">
        <v>116.5</v>
      </c>
      <c r="I2121" s="18" t="n">
        <f aca="false">((I2120 + G2121) - H2121)</f>
        <v>-80672.38</v>
      </c>
      <c r="J2121" s="18" t="n">
        <v>0</v>
      </c>
      <c r="K2121" s="19" t="n">
        <v>0</v>
      </c>
      <c r="L2121" s="17" t="s">
        <v>88</v>
      </c>
    </row>
    <row r="2122" s="11" customFormat="true" ht="10.95" hidden="false" customHeight="true" outlineLevel="0" collapsed="false">
      <c r="A2122" s="16" t="n">
        <v>45254</v>
      </c>
      <c r="B2122" s="17" t="s">
        <v>939</v>
      </c>
      <c r="C2122" s="17" t="s">
        <v>788</v>
      </c>
      <c r="D2122" s="17" t="s">
        <v>19</v>
      </c>
      <c r="E2122" s="17" t="s">
        <v>940</v>
      </c>
      <c r="F2122" s="17" t="s">
        <v>941</v>
      </c>
      <c r="G2122" s="18" t="n">
        <v>0</v>
      </c>
      <c r="H2122" s="18" t="n">
        <v>5986.78</v>
      </c>
      <c r="I2122" s="18" t="n">
        <f aca="false">((I2121 + G2122) - H2122)</f>
        <v>-86659.16</v>
      </c>
      <c r="J2122" s="18" t="n">
        <v>0</v>
      </c>
      <c r="K2122" s="19" t="n">
        <v>0</v>
      </c>
      <c r="L2122" s="17" t="s">
        <v>88</v>
      </c>
    </row>
    <row r="2123" s="11" customFormat="true" ht="10.95" hidden="false" customHeight="true" outlineLevel="0" collapsed="false">
      <c r="A2123" s="16" t="n">
        <v>45264</v>
      </c>
      <c r="B2123" s="17" t="s">
        <v>939</v>
      </c>
      <c r="C2123" s="17" t="s">
        <v>788</v>
      </c>
      <c r="D2123" s="17" t="s">
        <v>19</v>
      </c>
      <c r="E2123" s="17" t="s">
        <v>984</v>
      </c>
      <c r="F2123" s="17" t="s">
        <v>985</v>
      </c>
      <c r="G2123" s="18" t="n">
        <v>0</v>
      </c>
      <c r="H2123" s="18" t="n">
        <v>709.86</v>
      </c>
      <c r="I2123" s="18" t="n">
        <f aca="false">((I2122 + G2123) - H2123)</f>
        <v>-87369.02</v>
      </c>
      <c r="J2123" s="18" t="n">
        <v>0</v>
      </c>
      <c r="K2123" s="19" t="n">
        <v>0</v>
      </c>
      <c r="L2123" s="17" t="s">
        <v>88</v>
      </c>
    </row>
    <row r="2124" s="11" customFormat="true" ht="10.95" hidden="false" customHeight="true" outlineLevel="0" collapsed="false">
      <c r="A2124" s="16" t="n">
        <v>45264</v>
      </c>
      <c r="B2124" s="17" t="s">
        <v>939</v>
      </c>
      <c r="C2124" s="17" t="s">
        <v>788</v>
      </c>
      <c r="D2124" s="17" t="s">
        <v>19</v>
      </c>
      <c r="E2124" s="17" t="s">
        <v>986</v>
      </c>
      <c r="F2124" s="17" t="s">
        <v>985</v>
      </c>
      <c r="G2124" s="18" t="n">
        <v>0</v>
      </c>
      <c r="H2124" s="18" t="n">
        <v>187.67</v>
      </c>
      <c r="I2124" s="18" t="n">
        <f aca="false">((I2123 + G2124) - H2124)</f>
        <v>-87556.69</v>
      </c>
      <c r="J2124" s="18" t="n">
        <v>0</v>
      </c>
      <c r="K2124" s="19" t="n">
        <v>0</v>
      </c>
      <c r="L2124" s="17" t="s">
        <v>88</v>
      </c>
    </row>
    <row r="2125" s="11" customFormat="true" ht="10.95" hidden="false" customHeight="true" outlineLevel="0" collapsed="false">
      <c r="A2125" s="16" t="n">
        <v>45264</v>
      </c>
      <c r="B2125" s="17" t="s">
        <v>939</v>
      </c>
      <c r="C2125" s="17" t="s">
        <v>788</v>
      </c>
      <c r="D2125" s="17" t="s">
        <v>19</v>
      </c>
      <c r="E2125" s="17" t="s">
        <v>984</v>
      </c>
      <c r="F2125" s="17" t="s">
        <v>985</v>
      </c>
      <c r="G2125" s="18" t="n">
        <v>0</v>
      </c>
      <c r="H2125" s="18" t="n">
        <v>709.86</v>
      </c>
      <c r="I2125" s="18" t="n">
        <f aca="false">((I2124 + G2125) - H2125)</f>
        <v>-88266.55</v>
      </c>
      <c r="J2125" s="18" t="n">
        <v>0</v>
      </c>
      <c r="K2125" s="19" t="n">
        <v>0</v>
      </c>
      <c r="L2125" s="17" t="s">
        <v>88</v>
      </c>
    </row>
    <row r="2126" s="11" customFormat="true" ht="10.95" hidden="false" customHeight="true" outlineLevel="0" collapsed="false">
      <c r="A2126" s="16" t="n">
        <v>45264</v>
      </c>
      <c r="B2126" s="17" t="s">
        <v>939</v>
      </c>
      <c r="C2126" s="17" t="s">
        <v>788</v>
      </c>
      <c r="D2126" s="17" t="s">
        <v>19</v>
      </c>
      <c r="E2126" s="17" t="s">
        <v>986</v>
      </c>
      <c r="F2126" s="17" t="s">
        <v>985</v>
      </c>
      <c r="G2126" s="18" t="n">
        <v>0</v>
      </c>
      <c r="H2126" s="18" t="n">
        <v>187.67</v>
      </c>
      <c r="I2126" s="18" t="n">
        <f aca="false">((I2125 + G2126) - H2126)</f>
        <v>-88454.22</v>
      </c>
      <c r="J2126" s="18" t="n">
        <v>0</v>
      </c>
      <c r="K2126" s="19" t="n">
        <v>0</v>
      </c>
      <c r="L2126" s="17" t="s">
        <v>88</v>
      </c>
    </row>
    <row r="2127" s="11" customFormat="true" ht="10.95" hidden="false" customHeight="true" outlineLevel="0" collapsed="false">
      <c r="A2127" s="16" t="n">
        <v>45264</v>
      </c>
      <c r="B2127" s="17" t="s">
        <v>939</v>
      </c>
      <c r="C2127" s="17" t="s">
        <v>788</v>
      </c>
      <c r="D2127" s="17" t="s">
        <v>19</v>
      </c>
      <c r="E2127" s="17" t="s">
        <v>984</v>
      </c>
      <c r="F2127" s="17" t="s">
        <v>985</v>
      </c>
      <c r="G2127" s="18" t="n">
        <v>0</v>
      </c>
      <c r="H2127" s="18" t="n">
        <v>709.86</v>
      </c>
      <c r="I2127" s="18" t="n">
        <f aca="false">((I2126 + G2127) - H2127)</f>
        <v>-89164.08</v>
      </c>
      <c r="J2127" s="18" t="n">
        <v>0</v>
      </c>
      <c r="K2127" s="19" t="n">
        <v>0</v>
      </c>
      <c r="L2127" s="17" t="s">
        <v>88</v>
      </c>
    </row>
    <row r="2128" s="11" customFormat="true" ht="10.95" hidden="false" customHeight="true" outlineLevel="0" collapsed="false">
      <c r="A2128" s="16" t="n">
        <v>45264</v>
      </c>
      <c r="B2128" s="17" t="s">
        <v>939</v>
      </c>
      <c r="C2128" s="17" t="s">
        <v>788</v>
      </c>
      <c r="D2128" s="17" t="s">
        <v>19</v>
      </c>
      <c r="E2128" s="17" t="s">
        <v>986</v>
      </c>
      <c r="F2128" s="17" t="s">
        <v>985</v>
      </c>
      <c r="G2128" s="18" t="n">
        <v>0</v>
      </c>
      <c r="H2128" s="18" t="n">
        <v>187.67</v>
      </c>
      <c r="I2128" s="18" t="n">
        <f aca="false">((I2127 + G2128) - H2128)</f>
        <v>-89351.75</v>
      </c>
      <c r="J2128" s="18" t="n">
        <v>0</v>
      </c>
      <c r="K2128" s="19" t="n">
        <v>0</v>
      </c>
      <c r="L2128" s="17" t="s">
        <v>88</v>
      </c>
    </row>
    <row r="2129" s="11" customFormat="true" ht="10.95" hidden="false" customHeight="true" outlineLevel="0" collapsed="false">
      <c r="A2129" s="16" t="n">
        <v>45264</v>
      </c>
      <c r="B2129" s="17" t="s">
        <v>939</v>
      </c>
      <c r="C2129" s="17" t="s">
        <v>788</v>
      </c>
      <c r="D2129" s="17" t="s">
        <v>19</v>
      </c>
      <c r="E2129" s="17" t="s">
        <v>984</v>
      </c>
      <c r="F2129" s="17" t="s">
        <v>985</v>
      </c>
      <c r="G2129" s="18" t="n">
        <v>0</v>
      </c>
      <c r="H2129" s="18" t="n">
        <v>709.86</v>
      </c>
      <c r="I2129" s="18" t="n">
        <f aca="false">((I2128 + G2129) - H2129)</f>
        <v>-90061.61</v>
      </c>
      <c r="J2129" s="18" t="n">
        <v>0</v>
      </c>
      <c r="K2129" s="19" t="n">
        <v>0</v>
      </c>
      <c r="L2129" s="17" t="s">
        <v>88</v>
      </c>
    </row>
    <row r="2130" s="11" customFormat="true" ht="10.95" hidden="false" customHeight="true" outlineLevel="0" collapsed="false">
      <c r="A2130" s="16" t="n">
        <v>45264</v>
      </c>
      <c r="B2130" s="17" t="s">
        <v>939</v>
      </c>
      <c r="C2130" s="17" t="s">
        <v>788</v>
      </c>
      <c r="D2130" s="17" t="s">
        <v>19</v>
      </c>
      <c r="E2130" s="17" t="s">
        <v>986</v>
      </c>
      <c r="F2130" s="17" t="s">
        <v>985</v>
      </c>
      <c r="G2130" s="18" t="n">
        <v>0</v>
      </c>
      <c r="H2130" s="18" t="n">
        <v>187.67</v>
      </c>
      <c r="I2130" s="18" t="n">
        <f aca="false">((I2129 + G2130) - H2130)</f>
        <v>-90249.28</v>
      </c>
      <c r="J2130" s="18" t="n">
        <v>0</v>
      </c>
      <c r="K2130" s="19" t="n">
        <v>0</v>
      </c>
      <c r="L2130" s="17" t="s">
        <v>88</v>
      </c>
    </row>
    <row r="2131" s="11" customFormat="true" ht="10.95" hidden="false" customHeight="true" outlineLevel="0" collapsed="false">
      <c r="A2131" s="16" t="n">
        <v>45264</v>
      </c>
      <c r="B2131" s="17" t="s">
        <v>939</v>
      </c>
      <c r="C2131" s="17" t="s">
        <v>788</v>
      </c>
      <c r="D2131" s="17" t="s">
        <v>19</v>
      </c>
      <c r="E2131" s="17" t="s">
        <v>984</v>
      </c>
      <c r="F2131" s="17" t="s">
        <v>985</v>
      </c>
      <c r="G2131" s="18" t="n">
        <v>0</v>
      </c>
      <c r="H2131" s="18" t="n">
        <v>709.86</v>
      </c>
      <c r="I2131" s="18" t="n">
        <f aca="false">((I2130 + G2131) - H2131)</f>
        <v>-90959.14</v>
      </c>
      <c r="J2131" s="18" t="n">
        <v>0</v>
      </c>
      <c r="K2131" s="19" t="n">
        <v>0</v>
      </c>
      <c r="L2131" s="17" t="s">
        <v>88</v>
      </c>
    </row>
    <row r="2132" s="11" customFormat="true" ht="10.95" hidden="false" customHeight="true" outlineLevel="0" collapsed="false">
      <c r="A2132" s="16" t="n">
        <v>45264</v>
      </c>
      <c r="B2132" s="17" t="s">
        <v>939</v>
      </c>
      <c r="C2132" s="17" t="s">
        <v>788</v>
      </c>
      <c r="D2132" s="17" t="s">
        <v>19</v>
      </c>
      <c r="E2132" s="17" t="s">
        <v>986</v>
      </c>
      <c r="F2132" s="17" t="s">
        <v>985</v>
      </c>
      <c r="G2132" s="18" t="n">
        <v>0</v>
      </c>
      <c r="H2132" s="18" t="n">
        <v>187.67</v>
      </c>
      <c r="I2132" s="18" t="n">
        <f aca="false">((I2131 + G2132) - H2132)</f>
        <v>-91146.81</v>
      </c>
      <c r="J2132" s="18" t="n">
        <v>0</v>
      </c>
      <c r="K2132" s="19" t="n">
        <v>0</v>
      </c>
      <c r="L2132" s="17" t="s">
        <v>88</v>
      </c>
    </row>
    <row r="2133" s="11" customFormat="true" ht="10.95" hidden="false" customHeight="true" outlineLevel="0" collapsed="false">
      <c r="A2133" s="16" t="n">
        <v>45264</v>
      </c>
      <c r="B2133" s="17" t="s">
        <v>939</v>
      </c>
      <c r="C2133" s="17" t="s">
        <v>788</v>
      </c>
      <c r="D2133" s="17" t="s">
        <v>19</v>
      </c>
      <c r="E2133" s="17" t="s">
        <v>984</v>
      </c>
      <c r="F2133" s="17" t="s">
        <v>985</v>
      </c>
      <c r="G2133" s="18" t="n">
        <v>0</v>
      </c>
      <c r="H2133" s="18" t="n">
        <v>709.86</v>
      </c>
      <c r="I2133" s="18" t="n">
        <f aca="false">((I2132 + G2133) - H2133)</f>
        <v>-91856.67</v>
      </c>
      <c r="J2133" s="18" t="n">
        <v>0</v>
      </c>
      <c r="K2133" s="19" t="n">
        <v>0</v>
      </c>
      <c r="L2133" s="17" t="s">
        <v>88</v>
      </c>
    </row>
    <row r="2134" s="11" customFormat="true" ht="10.95" hidden="false" customHeight="true" outlineLevel="0" collapsed="false">
      <c r="A2134" s="16" t="n">
        <v>45264</v>
      </c>
      <c r="B2134" s="17" t="s">
        <v>939</v>
      </c>
      <c r="C2134" s="17" t="s">
        <v>788</v>
      </c>
      <c r="D2134" s="17" t="s">
        <v>19</v>
      </c>
      <c r="E2134" s="17" t="s">
        <v>986</v>
      </c>
      <c r="F2134" s="17" t="s">
        <v>985</v>
      </c>
      <c r="G2134" s="18" t="n">
        <v>0</v>
      </c>
      <c r="H2134" s="18" t="n">
        <v>187.67</v>
      </c>
      <c r="I2134" s="18" t="n">
        <f aca="false">((I2133 + G2134) - H2134)</f>
        <v>-92044.34</v>
      </c>
      <c r="J2134" s="18" t="n">
        <v>0</v>
      </c>
      <c r="K2134" s="19" t="n">
        <v>0</v>
      </c>
      <c r="L2134" s="17" t="s">
        <v>88</v>
      </c>
    </row>
    <row r="2135" s="11" customFormat="true" ht="10.95" hidden="false" customHeight="true" outlineLevel="0" collapsed="false">
      <c r="A2135" s="16" t="n">
        <v>45264</v>
      </c>
      <c r="B2135" s="17" t="s">
        <v>939</v>
      </c>
      <c r="C2135" s="17" t="s">
        <v>788</v>
      </c>
      <c r="D2135" s="17" t="s">
        <v>19</v>
      </c>
      <c r="E2135" s="17" t="s">
        <v>984</v>
      </c>
      <c r="F2135" s="17" t="s">
        <v>985</v>
      </c>
      <c r="G2135" s="18" t="n">
        <v>0</v>
      </c>
      <c r="H2135" s="18" t="n">
        <v>709.86</v>
      </c>
      <c r="I2135" s="18" t="n">
        <f aca="false">((I2134 + G2135) - H2135)</f>
        <v>-92754.2</v>
      </c>
      <c r="J2135" s="18" t="n">
        <v>0</v>
      </c>
      <c r="K2135" s="19" t="n">
        <v>0</v>
      </c>
      <c r="L2135" s="17" t="s">
        <v>88</v>
      </c>
    </row>
    <row r="2136" s="11" customFormat="true" ht="10.95" hidden="false" customHeight="true" outlineLevel="0" collapsed="false">
      <c r="A2136" s="16" t="n">
        <v>45264</v>
      </c>
      <c r="B2136" s="17" t="s">
        <v>939</v>
      </c>
      <c r="C2136" s="17" t="s">
        <v>788</v>
      </c>
      <c r="D2136" s="17" t="s">
        <v>19</v>
      </c>
      <c r="E2136" s="17" t="s">
        <v>986</v>
      </c>
      <c r="F2136" s="17" t="s">
        <v>985</v>
      </c>
      <c r="G2136" s="18" t="n">
        <v>0</v>
      </c>
      <c r="H2136" s="18" t="n">
        <v>187.67</v>
      </c>
      <c r="I2136" s="18" t="n">
        <f aca="false">((I2135 + G2136) - H2136)</f>
        <v>-92941.87</v>
      </c>
      <c r="J2136" s="18" t="n">
        <v>0</v>
      </c>
      <c r="K2136" s="19" t="n">
        <v>0</v>
      </c>
      <c r="L2136" s="17" t="s">
        <v>88</v>
      </c>
    </row>
    <row r="2137" s="11" customFormat="true" ht="10.95" hidden="false" customHeight="true" outlineLevel="0" collapsed="false">
      <c r="A2137" s="16" t="n">
        <v>45264</v>
      </c>
      <c r="B2137" s="17" t="s">
        <v>939</v>
      </c>
      <c r="C2137" s="17" t="s">
        <v>788</v>
      </c>
      <c r="D2137" s="17" t="s">
        <v>19</v>
      </c>
      <c r="E2137" s="17" t="s">
        <v>984</v>
      </c>
      <c r="F2137" s="17" t="s">
        <v>985</v>
      </c>
      <c r="G2137" s="18" t="n">
        <v>0</v>
      </c>
      <c r="H2137" s="18" t="n">
        <v>709.86</v>
      </c>
      <c r="I2137" s="18" t="n">
        <f aca="false">((I2136 + G2137) - H2137)</f>
        <v>-93651.73</v>
      </c>
      <c r="J2137" s="18" t="n">
        <v>0</v>
      </c>
      <c r="K2137" s="19" t="n">
        <v>0</v>
      </c>
      <c r="L2137" s="17" t="s">
        <v>88</v>
      </c>
    </row>
    <row r="2138" s="11" customFormat="true" ht="10.95" hidden="false" customHeight="true" outlineLevel="0" collapsed="false">
      <c r="A2138" s="16" t="n">
        <v>45264</v>
      </c>
      <c r="B2138" s="17" t="s">
        <v>939</v>
      </c>
      <c r="C2138" s="17" t="s">
        <v>788</v>
      </c>
      <c r="D2138" s="17" t="s">
        <v>19</v>
      </c>
      <c r="E2138" s="17" t="s">
        <v>986</v>
      </c>
      <c r="F2138" s="17" t="s">
        <v>985</v>
      </c>
      <c r="G2138" s="18" t="n">
        <v>0</v>
      </c>
      <c r="H2138" s="18" t="n">
        <v>187.67</v>
      </c>
      <c r="I2138" s="18" t="n">
        <f aca="false">((I2137 + G2138) - H2138)</f>
        <v>-93839.4</v>
      </c>
      <c r="J2138" s="18" t="n">
        <v>0</v>
      </c>
      <c r="K2138" s="19" t="n">
        <v>0</v>
      </c>
      <c r="L2138" s="17" t="s">
        <v>88</v>
      </c>
    </row>
    <row r="2139" s="11" customFormat="true" ht="10.95" hidden="false" customHeight="true" outlineLevel="0" collapsed="false">
      <c r="A2139" s="16" t="n">
        <v>45264</v>
      </c>
      <c r="B2139" s="17" t="s">
        <v>939</v>
      </c>
      <c r="C2139" s="17" t="s">
        <v>788</v>
      </c>
      <c r="D2139" s="17" t="s">
        <v>19</v>
      </c>
      <c r="E2139" s="17" t="s">
        <v>984</v>
      </c>
      <c r="F2139" s="17" t="s">
        <v>985</v>
      </c>
      <c r="G2139" s="18" t="n">
        <v>0</v>
      </c>
      <c r="H2139" s="18" t="n">
        <v>709.86</v>
      </c>
      <c r="I2139" s="18" t="n">
        <f aca="false">((I2138 + G2139) - H2139)</f>
        <v>-94549.26</v>
      </c>
      <c r="J2139" s="18" t="n">
        <v>0</v>
      </c>
      <c r="K2139" s="19" t="n">
        <v>0</v>
      </c>
      <c r="L2139" s="17" t="s">
        <v>88</v>
      </c>
    </row>
    <row r="2140" s="11" customFormat="true" ht="10.95" hidden="false" customHeight="true" outlineLevel="0" collapsed="false">
      <c r="A2140" s="16" t="n">
        <v>45264</v>
      </c>
      <c r="B2140" s="17" t="s">
        <v>939</v>
      </c>
      <c r="C2140" s="17" t="s">
        <v>788</v>
      </c>
      <c r="D2140" s="17" t="s">
        <v>19</v>
      </c>
      <c r="E2140" s="17" t="s">
        <v>986</v>
      </c>
      <c r="F2140" s="17" t="s">
        <v>985</v>
      </c>
      <c r="G2140" s="18" t="n">
        <v>0</v>
      </c>
      <c r="H2140" s="18" t="n">
        <v>187.67</v>
      </c>
      <c r="I2140" s="18" t="n">
        <f aca="false">((I2139 + G2140) - H2140)</f>
        <v>-94736.93</v>
      </c>
      <c r="J2140" s="18" t="n">
        <v>0</v>
      </c>
      <c r="K2140" s="19" t="n">
        <v>0</v>
      </c>
      <c r="L2140" s="17" t="s">
        <v>88</v>
      </c>
    </row>
    <row r="2141" s="11" customFormat="true" ht="10.95" hidden="false" customHeight="true" outlineLevel="0" collapsed="false">
      <c r="A2141" s="16" t="n">
        <v>45264</v>
      </c>
      <c r="B2141" s="17" t="s">
        <v>939</v>
      </c>
      <c r="C2141" s="17" t="s">
        <v>788</v>
      </c>
      <c r="D2141" s="17" t="s">
        <v>19</v>
      </c>
      <c r="E2141" s="17" t="s">
        <v>984</v>
      </c>
      <c r="F2141" s="17" t="s">
        <v>985</v>
      </c>
      <c r="G2141" s="18" t="n">
        <v>0</v>
      </c>
      <c r="H2141" s="18" t="n">
        <v>709.86</v>
      </c>
      <c r="I2141" s="18" t="n">
        <f aca="false">((I2140 + G2141) - H2141)</f>
        <v>-95446.79</v>
      </c>
      <c r="J2141" s="18" t="n">
        <v>0</v>
      </c>
      <c r="K2141" s="19" t="n">
        <v>0</v>
      </c>
      <c r="L2141" s="17" t="s">
        <v>88</v>
      </c>
    </row>
    <row r="2142" s="11" customFormat="true" ht="10.95" hidden="false" customHeight="true" outlineLevel="0" collapsed="false">
      <c r="A2142" s="16" t="n">
        <v>45264</v>
      </c>
      <c r="B2142" s="17" t="s">
        <v>939</v>
      </c>
      <c r="C2142" s="17" t="s">
        <v>788</v>
      </c>
      <c r="D2142" s="17" t="s">
        <v>19</v>
      </c>
      <c r="E2142" s="17" t="s">
        <v>986</v>
      </c>
      <c r="F2142" s="17" t="s">
        <v>985</v>
      </c>
      <c r="G2142" s="18" t="n">
        <v>0</v>
      </c>
      <c r="H2142" s="18" t="n">
        <v>187.67</v>
      </c>
      <c r="I2142" s="18" t="n">
        <f aca="false">((I2141 + G2142) - H2142)</f>
        <v>-95634.46</v>
      </c>
      <c r="J2142" s="18" t="n">
        <v>0</v>
      </c>
      <c r="K2142" s="19" t="n">
        <v>0</v>
      </c>
      <c r="L2142" s="17" t="s">
        <v>88</v>
      </c>
    </row>
    <row r="2143" s="11" customFormat="true" ht="10.95" hidden="false" customHeight="true" outlineLevel="0" collapsed="false">
      <c r="A2143" s="16" t="n">
        <v>45264</v>
      </c>
      <c r="B2143" s="17" t="s">
        <v>939</v>
      </c>
      <c r="C2143" s="17" t="s">
        <v>788</v>
      </c>
      <c r="D2143" s="17" t="s">
        <v>19</v>
      </c>
      <c r="E2143" s="17" t="s">
        <v>984</v>
      </c>
      <c r="F2143" s="17" t="s">
        <v>985</v>
      </c>
      <c r="G2143" s="18" t="n">
        <v>0</v>
      </c>
      <c r="H2143" s="18" t="n">
        <v>709.86</v>
      </c>
      <c r="I2143" s="18" t="n">
        <f aca="false">((I2142 + G2143) - H2143)</f>
        <v>-96344.32</v>
      </c>
      <c r="J2143" s="18" t="n">
        <v>0</v>
      </c>
      <c r="K2143" s="19" t="n">
        <v>0</v>
      </c>
      <c r="L2143" s="17" t="s">
        <v>88</v>
      </c>
    </row>
    <row r="2144" s="11" customFormat="true" ht="10.95" hidden="false" customHeight="true" outlineLevel="0" collapsed="false">
      <c r="A2144" s="16" t="n">
        <v>45264</v>
      </c>
      <c r="B2144" s="17" t="s">
        <v>939</v>
      </c>
      <c r="C2144" s="17" t="s">
        <v>788</v>
      </c>
      <c r="D2144" s="17" t="s">
        <v>19</v>
      </c>
      <c r="E2144" s="17" t="s">
        <v>986</v>
      </c>
      <c r="F2144" s="17" t="s">
        <v>985</v>
      </c>
      <c r="G2144" s="18" t="n">
        <v>0</v>
      </c>
      <c r="H2144" s="18" t="n">
        <v>187.67</v>
      </c>
      <c r="I2144" s="18" t="n">
        <f aca="false">((I2143 + G2144) - H2144)</f>
        <v>-96531.99</v>
      </c>
      <c r="J2144" s="18" t="n">
        <v>0</v>
      </c>
      <c r="K2144" s="19" t="n">
        <v>0</v>
      </c>
      <c r="L2144" s="17" t="s">
        <v>88</v>
      </c>
    </row>
    <row r="2145" s="11" customFormat="true" ht="10.95" hidden="false" customHeight="true" outlineLevel="0" collapsed="false">
      <c r="A2145" s="16" t="n">
        <v>45264</v>
      </c>
      <c r="B2145" s="17" t="s">
        <v>939</v>
      </c>
      <c r="C2145" s="17" t="s">
        <v>788</v>
      </c>
      <c r="D2145" s="17" t="s">
        <v>19</v>
      </c>
      <c r="E2145" s="17" t="s">
        <v>984</v>
      </c>
      <c r="F2145" s="17" t="s">
        <v>985</v>
      </c>
      <c r="G2145" s="18" t="n">
        <v>0</v>
      </c>
      <c r="H2145" s="18" t="n">
        <v>709.86</v>
      </c>
      <c r="I2145" s="18" t="n">
        <f aca="false">((I2144 + G2145) - H2145)</f>
        <v>-97241.85</v>
      </c>
      <c r="J2145" s="18" t="n">
        <v>0</v>
      </c>
      <c r="K2145" s="19" t="n">
        <v>0</v>
      </c>
      <c r="L2145" s="17" t="s">
        <v>88</v>
      </c>
    </row>
    <row r="2146" s="11" customFormat="true" ht="10.95" hidden="false" customHeight="true" outlineLevel="0" collapsed="false">
      <c r="A2146" s="16" t="n">
        <v>45264</v>
      </c>
      <c r="B2146" s="17" t="s">
        <v>939</v>
      </c>
      <c r="C2146" s="17" t="s">
        <v>788</v>
      </c>
      <c r="D2146" s="17" t="s">
        <v>19</v>
      </c>
      <c r="E2146" s="17" t="s">
        <v>986</v>
      </c>
      <c r="F2146" s="17" t="s">
        <v>985</v>
      </c>
      <c r="G2146" s="18" t="n">
        <v>0</v>
      </c>
      <c r="H2146" s="18" t="n">
        <v>187.67</v>
      </c>
      <c r="I2146" s="18" t="n">
        <f aca="false">((I2145 + G2146) - H2146)</f>
        <v>-97429.52</v>
      </c>
      <c r="J2146" s="18" t="n">
        <v>0</v>
      </c>
      <c r="K2146" s="19" t="n">
        <v>0</v>
      </c>
      <c r="L2146" s="17" t="s">
        <v>88</v>
      </c>
    </row>
    <row r="2147" s="11" customFormat="true" ht="10.95" hidden="false" customHeight="true" outlineLevel="0" collapsed="false">
      <c r="A2147" s="16" t="n">
        <v>45264</v>
      </c>
      <c r="B2147" s="17" t="s">
        <v>939</v>
      </c>
      <c r="C2147" s="17" t="s">
        <v>788</v>
      </c>
      <c r="D2147" s="17" t="s">
        <v>19</v>
      </c>
      <c r="E2147" s="17" t="s">
        <v>984</v>
      </c>
      <c r="F2147" s="17" t="s">
        <v>985</v>
      </c>
      <c r="G2147" s="18" t="n">
        <v>0</v>
      </c>
      <c r="H2147" s="18" t="n">
        <v>709.86</v>
      </c>
      <c r="I2147" s="18" t="n">
        <f aca="false">((I2146 + G2147) - H2147)</f>
        <v>-98139.38</v>
      </c>
      <c r="J2147" s="18" t="n">
        <v>0</v>
      </c>
      <c r="K2147" s="19" t="n">
        <v>0</v>
      </c>
      <c r="L2147" s="17" t="s">
        <v>88</v>
      </c>
    </row>
    <row r="2148" s="11" customFormat="true" ht="10.95" hidden="false" customHeight="true" outlineLevel="0" collapsed="false">
      <c r="A2148" s="16" t="n">
        <v>45264</v>
      </c>
      <c r="B2148" s="17" t="s">
        <v>939</v>
      </c>
      <c r="C2148" s="17" t="s">
        <v>788</v>
      </c>
      <c r="D2148" s="17" t="s">
        <v>19</v>
      </c>
      <c r="E2148" s="17" t="s">
        <v>986</v>
      </c>
      <c r="F2148" s="17" t="s">
        <v>985</v>
      </c>
      <c r="G2148" s="18" t="n">
        <v>0</v>
      </c>
      <c r="H2148" s="18" t="n">
        <v>187.67</v>
      </c>
      <c r="I2148" s="18" t="n">
        <f aca="false">((I2147 + G2148) - H2148)</f>
        <v>-98327.05</v>
      </c>
      <c r="J2148" s="18" t="n">
        <v>0</v>
      </c>
      <c r="K2148" s="19" t="n">
        <v>0</v>
      </c>
      <c r="L2148" s="17" t="s">
        <v>88</v>
      </c>
    </row>
    <row r="2149" s="11" customFormat="true" ht="10.95" hidden="false" customHeight="true" outlineLevel="0" collapsed="false">
      <c r="A2149" s="16" t="n">
        <v>45264</v>
      </c>
      <c r="B2149" s="17" t="s">
        <v>939</v>
      </c>
      <c r="C2149" s="17" t="s">
        <v>788</v>
      </c>
      <c r="D2149" s="17" t="s">
        <v>19</v>
      </c>
      <c r="E2149" s="17" t="s">
        <v>984</v>
      </c>
      <c r="F2149" s="17" t="s">
        <v>985</v>
      </c>
      <c r="G2149" s="18" t="n">
        <v>0</v>
      </c>
      <c r="H2149" s="18" t="n">
        <v>709.86</v>
      </c>
      <c r="I2149" s="18" t="n">
        <f aca="false">((I2148 + G2149) - H2149)</f>
        <v>-99036.91</v>
      </c>
      <c r="J2149" s="18" t="n">
        <v>0</v>
      </c>
      <c r="K2149" s="19" t="n">
        <v>0</v>
      </c>
      <c r="L2149" s="17" t="s">
        <v>88</v>
      </c>
    </row>
    <row r="2150" s="11" customFormat="true" ht="10.95" hidden="false" customHeight="true" outlineLevel="0" collapsed="false">
      <c r="A2150" s="16" t="n">
        <v>45264</v>
      </c>
      <c r="B2150" s="17" t="s">
        <v>939</v>
      </c>
      <c r="C2150" s="17" t="s">
        <v>788</v>
      </c>
      <c r="D2150" s="17" t="s">
        <v>19</v>
      </c>
      <c r="E2150" s="17" t="s">
        <v>986</v>
      </c>
      <c r="F2150" s="17" t="s">
        <v>985</v>
      </c>
      <c r="G2150" s="18" t="n">
        <v>0</v>
      </c>
      <c r="H2150" s="18" t="n">
        <v>187.67</v>
      </c>
      <c r="I2150" s="18" t="n">
        <f aca="false">((I2149 + G2150) - H2150)</f>
        <v>-99224.58</v>
      </c>
      <c r="J2150" s="18" t="n">
        <v>0</v>
      </c>
      <c r="K2150" s="19" t="n">
        <v>0</v>
      </c>
      <c r="L2150" s="17" t="s">
        <v>88</v>
      </c>
    </row>
    <row r="2151" s="11" customFormat="true" ht="10.95" hidden="false" customHeight="true" outlineLevel="0" collapsed="false">
      <c r="A2151" s="16" t="n">
        <v>45280</v>
      </c>
      <c r="B2151" s="17" t="s">
        <v>939</v>
      </c>
      <c r="C2151" s="17" t="s">
        <v>788</v>
      </c>
      <c r="D2151" s="17" t="s">
        <v>19</v>
      </c>
      <c r="E2151" s="17" t="s">
        <v>984</v>
      </c>
      <c r="F2151" s="17" t="s">
        <v>987</v>
      </c>
      <c r="G2151" s="18" t="n">
        <v>0</v>
      </c>
      <c r="H2151" s="18" t="n">
        <v>705.4</v>
      </c>
      <c r="I2151" s="18" t="n">
        <f aca="false">((I2150 + G2151) - H2151)</f>
        <v>-99929.98</v>
      </c>
      <c r="J2151" s="18" t="n">
        <v>0</v>
      </c>
      <c r="K2151" s="19" t="n">
        <v>0</v>
      </c>
      <c r="L2151" s="17" t="s">
        <v>88</v>
      </c>
    </row>
    <row r="2152" s="11" customFormat="true" ht="10.95" hidden="false" customHeight="true" outlineLevel="0" collapsed="false">
      <c r="A2152" s="16" t="n">
        <v>45280</v>
      </c>
      <c r="B2152" s="17" t="s">
        <v>939</v>
      </c>
      <c r="C2152" s="17" t="s">
        <v>788</v>
      </c>
      <c r="D2152" s="17" t="s">
        <v>19</v>
      </c>
      <c r="E2152" s="17" t="s">
        <v>986</v>
      </c>
      <c r="F2152" s="17" t="s">
        <v>987</v>
      </c>
      <c r="G2152" s="18" t="n">
        <v>0</v>
      </c>
      <c r="H2152" s="18" t="n">
        <v>186.49</v>
      </c>
      <c r="I2152" s="18" t="n">
        <f aca="false">((I2151 + G2152) - H2152)</f>
        <v>-100116.47</v>
      </c>
      <c r="J2152" s="18" t="n">
        <v>0</v>
      </c>
      <c r="K2152" s="19" t="n">
        <v>0</v>
      </c>
      <c r="L2152" s="17" t="s">
        <v>88</v>
      </c>
    </row>
    <row r="2153" s="11" customFormat="true" ht="10.95" hidden="false" customHeight="true" outlineLevel="0" collapsed="false">
      <c r="A2153" s="16" t="n">
        <v>45280</v>
      </c>
      <c r="B2153" s="17" t="s">
        <v>939</v>
      </c>
      <c r="C2153" s="17" t="s">
        <v>788</v>
      </c>
      <c r="D2153" s="17" t="s">
        <v>19</v>
      </c>
      <c r="E2153" s="17" t="s">
        <v>958</v>
      </c>
      <c r="F2153" s="17" t="s">
        <v>988</v>
      </c>
      <c r="G2153" s="18" t="n">
        <v>0</v>
      </c>
      <c r="H2153" s="18" t="n">
        <v>364.86</v>
      </c>
      <c r="I2153" s="18" t="n">
        <f aca="false">((I2152 + G2153) - H2153)</f>
        <v>-100481.33</v>
      </c>
      <c r="J2153" s="18" t="n">
        <v>0</v>
      </c>
      <c r="K2153" s="19" t="n">
        <v>0</v>
      </c>
      <c r="L2153" s="17" t="s">
        <v>88</v>
      </c>
    </row>
    <row r="2154" s="11" customFormat="true" ht="10.95" hidden="false" customHeight="true" outlineLevel="0" collapsed="false">
      <c r="A2154" s="16" t="n">
        <v>45280</v>
      </c>
      <c r="B2154" s="17" t="s">
        <v>939</v>
      </c>
      <c r="C2154" s="17" t="s">
        <v>788</v>
      </c>
      <c r="D2154" s="17" t="s">
        <v>19</v>
      </c>
      <c r="E2154" s="17" t="s">
        <v>960</v>
      </c>
      <c r="F2154" s="17" t="s">
        <v>988</v>
      </c>
      <c r="G2154" s="18" t="n">
        <v>0</v>
      </c>
      <c r="H2154" s="18" t="n">
        <v>81.08</v>
      </c>
      <c r="I2154" s="18" t="n">
        <f aca="false">((I2153 + G2154) - H2154)</f>
        <v>-100562.41</v>
      </c>
      <c r="J2154" s="18" t="n">
        <v>0</v>
      </c>
      <c r="K2154" s="19" t="n">
        <v>0</v>
      </c>
      <c r="L2154" s="17" t="s">
        <v>88</v>
      </c>
    </row>
    <row r="2155" s="11" customFormat="true" ht="10.95" hidden="false" customHeight="true" outlineLevel="0" collapsed="false">
      <c r="A2155" s="16" t="n">
        <v>45280</v>
      </c>
      <c r="B2155" s="17" t="s">
        <v>939</v>
      </c>
      <c r="C2155" s="17" t="s">
        <v>788</v>
      </c>
      <c r="D2155" s="17" t="s">
        <v>19</v>
      </c>
      <c r="E2155" s="17" t="s">
        <v>961</v>
      </c>
      <c r="F2155" s="17" t="s">
        <v>988</v>
      </c>
      <c r="G2155" s="18" t="n">
        <v>0</v>
      </c>
      <c r="H2155" s="18" t="n">
        <v>656.76</v>
      </c>
      <c r="I2155" s="18" t="n">
        <f aca="false">((I2154 + G2155) - H2155)</f>
        <v>-101219.17</v>
      </c>
      <c r="J2155" s="18" t="n">
        <v>0</v>
      </c>
      <c r="K2155" s="19" t="n">
        <v>0</v>
      </c>
      <c r="L2155" s="17" t="s">
        <v>88</v>
      </c>
    </row>
    <row r="2156" s="11" customFormat="true" ht="10.95" hidden="false" customHeight="true" outlineLevel="0" collapsed="false">
      <c r="A2156" s="16" t="n">
        <v>45280</v>
      </c>
      <c r="B2156" s="17" t="s">
        <v>939</v>
      </c>
      <c r="C2156" s="17" t="s">
        <v>788</v>
      </c>
      <c r="D2156" s="17" t="s">
        <v>19</v>
      </c>
      <c r="E2156" s="17" t="s">
        <v>962</v>
      </c>
      <c r="F2156" s="17" t="s">
        <v>988</v>
      </c>
      <c r="G2156" s="18" t="n">
        <v>0</v>
      </c>
      <c r="H2156" s="18" t="n">
        <v>689.19</v>
      </c>
      <c r="I2156" s="18" t="n">
        <f aca="false">((I2155 + G2156) - H2156)</f>
        <v>-101908.36</v>
      </c>
      <c r="J2156" s="18" t="n">
        <v>0</v>
      </c>
      <c r="K2156" s="19" t="n">
        <v>0</v>
      </c>
      <c r="L2156" s="17" t="s">
        <v>88</v>
      </c>
    </row>
    <row r="2157" s="11" customFormat="true" ht="10.95" hidden="false" customHeight="true" outlineLevel="0" collapsed="false">
      <c r="A2157" s="16" t="n">
        <v>45280</v>
      </c>
      <c r="B2157" s="17" t="s">
        <v>939</v>
      </c>
      <c r="C2157" s="17" t="s">
        <v>788</v>
      </c>
      <c r="D2157" s="17" t="s">
        <v>19</v>
      </c>
      <c r="E2157" s="17" t="s">
        <v>955</v>
      </c>
      <c r="F2157" s="17" t="s">
        <v>989</v>
      </c>
      <c r="G2157" s="18" t="n">
        <v>0</v>
      </c>
      <c r="H2157" s="18" t="n">
        <v>7243.08</v>
      </c>
      <c r="I2157" s="18" t="n">
        <f aca="false">((I2156 + G2157) - H2157)</f>
        <v>-109151.44</v>
      </c>
      <c r="J2157" s="18" t="n">
        <v>0</v>
      </c>
      <c r="K2157" s="19" t="n">
        <v>0</v>
      </c>
      <c r="L2157" s="17" t="s">
        <v>88</v>
      </c>
    </row>
    <row r="2158" s="11" customFormat="true" ht="10.95" hidden="false" customHeight="true" outlineLevel="0" collapsed="false">
      <c r="A2158" s="16" t="n">
        <v>45280</v>
      </c>
      <c r="B2158" s="17" t="s">
        <v>939</v>
      </c>
      <c r="C2158" s="17" t="s">
        <v>788</v>
      </c>
      <c r="D2158" s="17" t="s">
        <v>19</v>
      </c>
      <c r="E2158" s="17" t="s">
        <v>957</v>
      </c>
      <c r="F2158" s="17" t="s">
        <v>989</v>
      </c>
      <c r="G2158" s="18" t="n">
        <v>0</v>
      </c>
      <c r="H2158" s="18" t="n">
        <v>1773.81</v>
      </c>
      <c r="I2158" s="18" t="n">
        <f aca="false">((I2157 + G2158) - H2158)</f>
        <v>-110925.25</v>
      </c>
      <c r="J2158" s="18" t="n">
        <v>0</v>
      </c>
      <c r="K2158" s="19" t="n">
        <v>0</v>
      </c>
      <c r="L2158" s="17" t="s">
        <v>88</v>
      </c>
    </row>
    <row r="2159" s="11" customFormat="true" ht="10.95" hidden="false" customHeight="true" outlineLevel="0" collapsed="false">
      <c r="A2159" s="16" t="n">
        <v>45280</v>
      </c>
      <c r="B2159" s="17" t="s">
        <v>939</v>
      </c>
      <c r="C2159" s="17" t="s">
        <v>788</v>
      </c>
      <c r="D2159" s="17" t="s">
        <v>19</v>
      </c>
      <c r="E2159" s="17" t="s">
        <v>955</v>
      </c>
      <c r="F2159" s="17" t="s">
        <v>989</v>
      </c>
      <c r="G2159" s="18" t="n">
        <v>0</v>
      </c>
      <c r="H2159" s="18" t="n">
        <v>221.73</v>
      </c>
      <c r="I2159" s="18" t="n">
        <f aca="false">((I2158 + G2159) - H2159)</f>
        <v>-111146.98</v>
      </c>
      <c r="J2159" s="18" t="n">
        <v>0</v>
      </c>
      <c r="K2159" s="19" t="n">
        <v>0</v>
      </c>
      <c r="L2159" s="17" t="s">
        <v>88</v>
      </c>
    </row>
    <row r="2160" s="11" customFormat="true" ht="10.95" hidden="false" customHeight="true" outlineLevel="0" collapsed="false">
      <c r="A2160" s="16" t="n">
        <v>45280</v>
      </c>
      <c r="B2160" s="17" t="s">
        <v>939</v>
      </c>
      <c r="C2160" s="17" t="s">
        <v>788</v>
      </c>
      <c r="D2160" s="17" t="s">
        <v>19</v>
      </c>
      <c r="E2160" s="17" t="s">
        <v>971</v>
      </c>
      <c r="F2160" s="17" t="s">
        <v>990</v>
      </c>
      <c r="G2160" s="18" t="n">
        <v>0</v>
      </c>
      <c r="H2160" s="18" t="n">
        <v>1192.01</v>
      </c>
      <c r="I2160" s="18" t="n">
        <f aca="false">((I2159 + G2160) - H2160)</f>
        <v>-112338.99</v>
      </c>
      <c r="J2160" s="18" t="n">
        <v>0</v>
      </c>
      <c r="K2160" s="19" t="n">
        <v>0</v>
      </c>
      <c r="L2160" s="17" t="s">
        <v>88</v>
      </c>
    </row>
    <row r="2161" s="11" customFormat="true" ht="10.95" hidden="false" customHeight="true" outlineLevel="0" collapsed="false">
      <c r="A2161" s="16" t="n">
        <v>45280</v>
      </c>
      <c r="B2161" s="17" t="s">
        <v>939</v>
      </c>
      <c r="C2161" s="17" t="s">
        <v>788</v>
      </c>
      <c r="D2161" s="17" t="s">
        <v>19</v>
      </c>
      <c r="E2161" s="17" t="s">
        <v>974</v>
      </c>
      <c r="F2161" s="17" t="s">
        <v>990</v>
      </c>
      <c r="G2161" s="18" t="n">
        <v>0</v>
      </c>
      <c r="H2161" s="18" t="n">
        <v>85.14</v>
      </c>
      <c r="I2161" s="18" t="n">
        <f aca="false">((I2160 + G2161) - H2161)</f>
        <v>-112424.13</v>
      </c>
      <c r="J2161" s="18" t="n">
        <v>0</v>
      </c>
      <c r="K2161" s="19" t="n">
        <v>0</v>
      </c>
      <c r="L2161" s="17" t="s">
        <v>88</v>
      </c>
    </row>
    <row r="2162" s="11" customFormat="true" ht="10.95" hidden="false" customHeight="true" outlineLevel="0" collapsed="false">
      <c r="A2162" s="16" t="n">
        <v>45280</v>
      </c>
      <c r="B2162" s="17" t="s">
        <v>939</v>
      </c>
      <c r="C2162" s="17" t="s">
        <v>788</v>
      </c>
      <c r="D2162" s="17" t="s">
        <v>19</v>
      </c>
      <c r="E2162" s="17" t="s">
        <v>971</v>
      </c>
      <c r="F2162" s="17" t="s">
        <v>990</v>
      </c>
      <c r="G2162" s="18" t="n">
        <v>0</v>
      </c>
      <c r="H2162" s="18" t="n">
        <v>1192.01</v>
      </c>
      <c r="I2162" s="18" t="n">
        <f aca="false">((I2161 + G2162) - H2162)</f>
        <v>-113616.14</v>
      </c>
      <c r="J2162" s="18" t="n">
        <v>0</v>
      </c>
      <c r="K2162" s="19" t="n">
        <v>0</v>
      </c>
      <c r="L2162" s="17" t="s">
        <v>88</v>
      </c>
    </row>
    <row r="2163" s="11" customFormat="true" ht="10.95" hidden="false" customHeight="true" outlineLevel="0" collapsed="false">
      <c r="A2163" s="16" t="n">
        <v>45280</v>
      </c>
      <c r="B2163" s="17" t="s">
        <v>939</v>
      </c>
      <c r="C2163" s="17" t="s">
        <v>788</v>
      </c>
      <c r="D2163" s="17" t="s">
        <v>19</v>
      </c>
      <c r="E2163" s="17" t="s">
        <v>974</v>
      </c>
      <c r="F2163" s="17" t="s">
        <v>990</v>
      </c>
      <c r="G2163" s="18" t="n">
        <v>0</v>
      </c>
      <c r="H2163" s="18" t="n">
        <v>85.14</v>
      </c>
      <c r="I2163" s="18" t="n">
        <f aca="false">((I2162 + G2163) - H2163)</f>
        <v>-113701.28</v>
      </c>
      <c r="J2163" s="18" t="n">
        <v>0</v>
      </c>
      <c r="K2163" s="19" t="n">
        <v>0</v>
      </c>
      <c r="L2163" s="17" t="s">
        <v>88</v>
      </c>
    </row>
    <row r="2164" s="11" customFormat="true" ht="10.95" hidden="false" customHeight="true" outlineLevel="0" collapsed="false">
      <c r="A2164" s="16" t="n">
        <v>45280</v>
      </c>
      <c r="B2164" s="17" t="s">
        <v>939</v>
      </c>
      <c r="C2164" s="17" t="s">
        <v>788</v>
      </c>
      <c r="D2164" s="17" t="s">
        <v>19</v>
      </c>
      <c r="E2164" s="17" t="s">
        <v>971</v>
      </c>
      <c r="F2164" s="17" t="s">
        <v>990</v>
      </c>
      <c r="G2164" s="18" t="n">
        <v>0</v>
      </c>
      <c r="H2164" s="18" t="n">
        <v>1192.01</v>
      </c>
      <c r="I2164" s="18" t="n">
        <f aca="false">((I2163 + G2164) - H2164)</f>
        <v>-114893.29</v>
      </c>
      <c r="J2164" s="18" t="n">
        <v>0</v>
      </c>
      <c r="K2164" s="19" t="n">
        <v>0</v>
      </c>
      <c r="L2164" s="17" t="s">
        <v>88</v>
      </c>
    </row>
    <row r="2165" s="11" customFormat="true" ht="10.95" hidden="false" customHeight="true" outlineLevel="0" collapsed="false">
      <c r="A2165" s="16" t="n">
        <v>45280</v>
      </c>
      <c r="B2165" s="17" t="s">
        <v>939</v>
      </c>
      <c r="C2165" s="17" t="s">
        <v>788</v>
      </c>
      <c r="D2165" s="17" t="s">
        <v>19</v>
      </c>
      <c r="E2165" s="17" t="s">
        <v>974</v>
      </c>
      <c r="F2165" s="17" t="s">
        <v>990</v>
      </c>
      <c r="G2165" s="18" t="n">
        <v>0</v>
      </c>
      <c r="H2165" s="18" t="n">
        <v>85.14</v>
      </c>
      <c r="I2165" s="18" t="n">
        <f aca="false">((I2164 + G2165) - H2165)</f>
        <v>-114978.43</v>
      </c>
      <c r="J2165" s="18" t="n">
        <v>0</v>
      </c>
      <c r="K2165" s="19" t="n">
        <v>0</v>
      </c>
      <c r="L2165" s="17" t="s">
        <v>88</v>
      </c>
    </row>
    <row r="2166" s="11" customFormat="true" ht="10.95" hidden="false" customHeight="true" outlineLevel="0" collapsed="false">
      <c r="A2166" s="16" t="n">
        <v>45280</v>
      </c>
      <c r="B2166" s="17" t="s">
        <v>939</v>
      </c>
      <c r="C2166" s="17" t="s">
        <v>788</v>
      </c>
      <c r="D2166" s="17" t="s">
        <v>19</v>
      </c>
      <c r="E2166" s="17" t="s">
        <v>991</v>
      </c>
      <c r="F2166" s="17" t="s">
        <v>992</v>
      </c>
      <c r="G2166" s="18" t="n">
        <v>0</v>
      </c>
      <c r="H2166" s="18" t="n">
        <v>254.44</v>
      </c>
      <c r="I2166" s="18" t="n">
        <f aca="false">((I2165 + G2166) - H2166)</f>
        <v>-115232.87</v>
      </c>
      <c r="J2166" s="18" t="n">
        <v>0</v>
      </c>
      <c r="K2166" s="19" t="n">
        <v>0</v>
      </c>
      <c r="L2166" s="17" t="s">
        <v>88</v>
      </c>
    </row>
    <row r="2167" s="11" customFormat="true" ht="10.95" hidden="false" customHeight="true" outlineLevel="0" collapsed="false">
      <c r="A2167" s="16" t="n">
        <v>45280</v>
      </c>
      <c r="B2167" s="17" t="s">
        <v>939</v>
      </c>
      <c r="C2167" s="17" t="s">
        <v>788</v>
      </c>
      <c r="D2167" s="17" t="s">
        <v>19</v>
      </c>
      <c r="E2167" s="17" t="s">
        <v>991</v>
      </c>
      <c r="F2167" s="17" t="s">
        <v>992</v>
      </c>
      <c r="G2167" s="18" t="n">
        <v>0</v>
      </c>
      <c r="H2167" s="18" t="n">
        <v>254.45</v>
      </c>
      <c r="I2167" s="18" t="n">
        <f aca="false">((I2166 + G2167) - H2167)</f>
        <v>-115487.32</v>
      </c>
      <c r="J2167" s="18" t="n">
        <v>0</v>
      </c>
      <c r="K2167" s="19" t="n">
        <v>0</v>
      </c>
      <c r="L2167" s="17" t="s">
        <v>88</v>
      </c>
    </row>
    <row r="2168" s="11" customFormat="true" ht="10.95" hidden="false" customHeight="true" outlineLevel="0" collapsed="false">
      <c r="A2168" s="16" t="n">
        <v>45280</v>
      </c>
      <c r="B2168" s="17" t="s">
        <v>939</v>
      </c>
      <c r="C2168" s="17" t="s">
        <v>788</v>
      </c>
      <c r="D2168" s="17" t="s">
        <v>19</v>
      </c>
      <c r="E2168" s="17" t="s">
        <v>991</v>
      </c>
      <c r="F2168" s="17" t="s">
        <v>992</v>
      </c>
      <c r="G2168" s="18" t="n">
        <v>0</v>
      </c>
      <c r="H2168" s="18" t="n">
        <v>254.45</v>
      </c>
      <c r="I2168" s="18" t="n">
        <f aca="false">((I2167 + G2168) - H2168)</f>
        <v>-115741.77</v>
      </c>
      <c r="J2168" s="18" t="n">
        <v>0</v>
      </c>
      <c r="K2168" s="19" t="n">
        <v>0</v>
      </c>
      <c r="L2168" s="17" t="s">
        <v>88</v>
      </c>
    </row>
    <row r="2169" s="11" customFormat="true" ht="10.95" hidden="false" customHeight="true" outlineLevel="0" collapsed="false">
      <c r="A2169" s="16" t="n">
        <v>45281</v>
      </c>
      <c r="B2169" s="17" t="s">
        <v>939</v>
      </c>
      <c r="C2169" s="17" t="s">
        <v>788</v>
      </c>
      <c r="D2169" s="17" t="s">
        <v>19</v>
      </c>
      <c r="E2169" s="17" t="s">
        <v>940</v>
      </c>
      <c r="F2169" s="17" t="s">
        <v>941</v>
      </c>
      <c r="G2169" s="18" t="n">
        <v>0</v>
      </c>
      <c r="H2169" s="18" t="n">
        <v>5853.06</v>
      </c>
      <c r="I2169" s="18" t="n">
        <f aca="false">((I2168 + G2169) - H2169)</f>
        <v>-121594.83</v>
      </c>
      <c r="J2169" s="18" t="n">
        <v>0</v>
      </c>
      <c r="K2169" s="19" t="n">
        <v>0</v>
      </c>
      <c r="L2169" s="17" t="s">
        <v>88</v>
      </c>
    </row>
    <row r="2170" s="11" customFormat="true" ht="10.95" hidden="false" customHeight="true" outlineLevel="0" collapsed="false">
      <c r="A2170" s="16" t="n">
        <v>45316</v>
      </c>
      <c r="B2170" s="17" t="s">
        <v>939</v>
      </c>
      <c r="C2170" s="17" t="s">
        <v>788</v>
      </c>
      <c r="D2170" s="17" t="s">
        <v>19</v>
      </c>
      <c r="E2170" s="17" t="s">
        <v>984</v>
      </c>
      <c r="F2170" s="17" t="s">
        <v>993</v>
      </c>
      <c r="G2170" s="18" t="n">
        <v>0</v>
      </c>
      <c r="H2170" s="18" t="n">
        <v>719.66</v>
      </c>
      <c r="I2170" s="18" t="n">
        <f aca="false">((I2169 + G2170) - H2170)</f>
        <v>-122314.49</v>
      </c>
      <c r="J2170" s="18" t="n">
        <v>0</v>
      </c>
      <c r="K2170" s="19" t="n">
        <v>0</v>
      </c>
      <c r="L2170" s="17" t="s">
        <v>88</v>
      </c>
    </row>
    <row r="2171" s="11" customFormat="true" ht="10.95" hidden="false" customHeight="true" outlineLevel="0" collapsed="false">
      <c r="A2171" s="16" t="n">
        <v>45316</v>
      </c>
      <c r="B2171" s="17" t="s">
        <v>939</v>
      </c>
      <c r="C2171" s="17" t="s">
        <v>788</v>
      </c>
      <c r="D2171" s="17" t="s">
        <v>19</v>
      </c>
      <c r="E2171" s="17" t="s">
        <v>986</v>
      </c>
      <c r="F2171" s="17" t="s">
        <v>993</v>
      </c>
      <c r="G2171" s="18" t="n">
        <v>0</v>
      </c>
      <c r="H2171" s="18" t="n">
        <v>190.26</v>
      </c>
      <c r="I2171" s="18" t="n">
        <f aca="false">((I2170 + G2171) - H2171)</f>
        <v>-122504.75</v>
      </c>
      <c r="J2171" s="18" t="n">
        <v>0</v>
      </c>
      <c r="K2171" s="19" t="n">
        <v>0</v>
      </c>
      <c r="L2171" s="17" t="s">
        <v>88</v>
      </c>
    </row>
    <row r="2172" s="11" customFormat="true" ht="10.95" hidden="false" customHeight="true" outlineLevel="0" collapsed="false">
      <c r="A2172" s="16" t="n">
        <v>45316</v>
      </c>
      <c r="B2172" s="17" t="s">
        <v>939</v>
      </c>
      <c r="C2172" s="17" t="s">
        <v>788</v>
      </c>
      <c r="D2172" s="17" t="s">
        <v>19</v>
      </c>
      <c r="E2172" s="17" t="s">
        <v>949</v>
      </c>
      <c r="F2172" s="17" t="s">
        <v>994</v>
      </c>
      <c r="G2172" s="18" t="n">
        <v>0</v>
      </c>
      <c r="H2172" s="18" t="n">
        <v>547.49</v>
      </c>
      <c r="I2172" s="18" t="n">
        <f aca="false">((I2171 + G2172) - H2172)</f>
        <v>-123052.24</v>
      </c>
      <c r="J2172" s="18" t="n">
        <v>0</v>
      </c>
      <c r="K2172" s="19" t="n">
        <v>0</v>
      </c>
      <c r="L2172" s="17" t="s">
        <v>88</v>
      </c>
    </row>
    <row r="2173" s="11" customFormat="true" ht="10.95" hidden="false" customHeight="true" outlineLevel="0" collapsed="false">
      <c r="A2173" s="16" t="n">
        <v>45316</v>
      </c>
      <c r="B2173" s="17" t="s">
        <v>939</v>
      </c>
      <c r="C2173" s="17" t="s">
        <v>788</v>
      </c>
      <c r="D2173" s="17" t="s">
        <v>19</v>
      </c>
      <c r="E2173" s="17" t="s">
        <v>950</v>
      </c>
      <c r="F2173" s="17" t="s">
        <v>994</v>
      </c>
      <c r="G2173" s="18" t="n">
        <v>0</v>
      </c>
      <c r="H2173" s="18" t="n">
        <v>547.49</v>
      </c>
      <c r="I2173" s="18" t="n">
        <f aca="false">((I2172 + G2173) - H2173)</f>
        <v>-123599.73</v>
      </c>
      <c r="J2173" s="18" t="n">
        <v>0</v>
      </c>
      <c r="K2173" s="19" t="n">
        <v>0</v>
      </c>
      <c r="L2173" s="17" t="s">
        <v>88</v>
      </c>
    </row>
    <row r="2174" s="11" customFormat="true" ht="10.95" hidden="false" customHeight="true" outlineLevel="0" collapsed="false">
      <c r="A2174" s="16" t="n">
        <v>45316</v>
      </c>
      <c r="B2174" s="17" t="s">
        <v>939</v>
      </c>
      <c r="C2174" s="17" t="s">
        <v>788</v>
      </c>
      <c r="D2174" s="17" t="s">
        <v>19</v>
      </c>
      <c r="E2174" s="17" t="s">
        <v>951</v>
      </c>
      <c r="F2174" s="17" t="s">
        <v>994</v>
      </c>
      <c r="G2174" s="18" t="n">
        <v>0</v>
      </c>
      <c r="H2174" s="18" t="n">
        <v>547.49</v>
      </c>
      <c r="I2174" s="18" t="n">
        <f aca="false">((I2173 + G2174) - H2174)</f>
        <v>-124147.22</v>
      </c>
      <c r="J2174" s="18" t="n">
        <v>0</v>
      </c>
      <c r="K2174" s="19" t="n">
        <v>0</v>
      </c>
      <c r="L2174" s="17" t="s">
        <v>88</v>
      </c>
    </row>
    <row r="2175" s="11" customFormat="true" ht="10.95" hidden="false" customHeight="true" outlineLevel="0" collapsed="false">
      <c r="A2175" s="16" t="n">
        <v>45316</v>
      </c>
      <c r="B2175" s="17" t="s">
        <v>939</v>
      </c>
      <c r="C2175" s="17" t="s">
        <v>788</v>
      </c>
      <c r="D2175" s="17" t="s">
        <v>19</v>
      </c>
      <c r="E2175" s="17" t="s">
        <v>952</v>
      </c>
      <c r="F2175" s="17" t="s">
        <v>994</v>
      </c>
      <c r="G2175" s="18" t="n">
        <v>0</v>
      </c>
      <c r="H2175" s="18" t="n">
        <v>547.48</v>
      </c>
      <c r="I2175" s="18" t="n">
        <f aca="false">((I2174 + G2175) - H2175)</f>
        <v>-124694.7</v>
      </c>
      <c r="J2175" s="18" t="n">
        <v>0</v>
      </c>
      <c r="K2175" s="19" t="n">
        <v>0</v>
      </c>
      <c r="L2175" s="17" t="s">
        <v>88</v>
      </c>
    </row>
    <row r="2176" s="11" customFormat="true" ht="10.95" hidden="false" customHeight="true" outlineLevel="0" collapsed="false">
      <c r="A2176" s="16" t="n">
        <v>45316</v>
      </c>
      <c r="B2176" s="17" t="s">
        <v>939</v>
      </c>
      <c r="C2176" s="17" t="s">
        <v>788</v>
      </c>
      <c r="D2176" s="17" t="s">
        <v>19</v>
      </c>
      <c r="E2176" s="17" t="s">
        <v>953</v>
      </c>
      <c r="F2176" s="17" t="s">
        <v>994</v>
      </c>
      <c r="G2176" s="18" t="n">
        <v>0</v>
      </c>
      <c r="H2176" s="18" t="n">
        <v>547.48</v>
      </c>
      <c r="I2176" s="18" t="n">
        <f aca="false">((I2175 + G2176) - H2176)</f>
        <v>-125242.18</v>
      </c>
      <c r="J2176" s="18" t="n">
        <v>0</v>
      </c>
      <c r="K2176" s="19" t="n">
        <v>0</v>
      </c>
      <c r="L2176" s="17" t="s">
        <v>88</v>
      </c>
    </row>
    <row r="2177" s="11" customFormat="true" ht="10.95" hidden="false" customHeight="true" outlineLevel="0" collapsed="false">
      <c r="A2177" s="16" t="n">
        <v>45316</v>
      </c>
      <c r="B2177" s="17" t="s">
        <v>939</v>
      </c>
      <c r="C2177" s="17" t="s">
        <v>788</v>
      </c>
      <c r="D2177" s="17" t="s">
        <v>19</v>
      </c>
      <c r="E2177" s="17" t="s">
        <v>474</v>
      </c>
      <c r="F2177" s="17" t="s">
        <v>994</v>
      </c>
      <c r="G2177" s="18" t="n">
        <v>0</v>
      </c>
      <c r="H2177" s="18" t="n">
        <v>547.48</v>
      </c>
      <c r="I2177" s="18" t="n">
        <f aca="false">((I2176 + G2177) - H2177)</f>
        <v>-125789.66</v>
      </c>
      <c r="J2177" s="18" t="n">
        <v>0</v>
      </c>
      <c r="K2177" s="19" t="n">
        <v>0</v>
      </c>
      <c r="L2177" s="17" t="s">
        <v>88</v>
      </c>
    </row>
    <row r="2178" s="11" customFormat="true" ht="10.95" hidden="false" customHeight="true" outlineLevel="0" collapsed="false">
      <c r="A2178" s="16" t="n">
        <v>45316</v>
      </c>
      <c r="B2178" s="17" t="s">
        <v>939</v>
      </c>
      <c r="C2178" s="17" t="s">
        <v>788</v>
      </c>
      <c r="D2178" s="17" t="s">
        <v>19</v>
      </c>
      <c r="E2178" s="17" t="s">
        <v>958</v>
      </c>
      <c r="F2178" s="17" t="s">
        <v>995</v>
      </c>
      <c r="G2178" s="18" t="n">
        <v>0</v>
      </c>
      <c r="H2178" s="18" t="n">
        <v>372.35</v>
      </c>
      <c r="I2178" s="18" t="n">
        <f aca="false">((I2177 + G2178) - H2178)</f>
        <v>-126162.01</v>
      </c>
      <c r="J2178" s="18" t="n">
        <v>0</v>
      </c>
      <c r="K2178" s="19" t="n">
        <v>0</v>
      </c>
      <c r="L2178" s="17" t="s">
        <v>88</v>
      </c>
    </row>
    <row r="2179" s="11" customFormat="true" ht="10.95" hidden="false" customHeight="true" outlineLevel="0" collapsed="false">
      <c r="A2179" s="16" t="n">
        <v>45316</v>
      </c>
      <c r="B2179" s="17" t="s">
        <v>939</v>
      </c>
      <c r="C2179" s="17" t="s">
        <v>788</v>
      </c>
      <c r="D2179" s="17" t="s">
        <v>19</v>
      </c>
      <c r="E2179" s="17" t="s">
        <v>960</v>
      </c>
      <c r="F2179" s="17" t="s">
        <v>995</v>
      </c>
      <c r="G2179" s="18" t="n">
        <v>0</v>
      </c>
      <c r="H2179" s="18" t="n">
        <v>82.75</v>
      </c>
      <c r="I2179" s="18" t="n">
        <f aca="false">((I2178 + G2179) - H2179)</f>
        <v>-126244.76</v>
      </c>
      <c r="J2179" s="18" t="n">
        <v>0</v>
      </c>
      <c r="K2179" s="19" t="n">
        <v>0</v>
      </c>
      <c r="L2179" s="17" t="s">
        <v>88</v>
      </c>
    </row>
    <row r="2180" s="11" customFormat="true" ht="10.95" hidden="false" customHeight="true" outlineLevel="0" collapsed="false">
      <c r="A2180" s="16" t="n">
        <v>45316</v>
      </c>
      <c r="B2180" s="17" t="s">
        <v>939</v>
      </c>
      <c r="C2180" s="17" t="s">
        <v>788</v>
      </c>
      <c r="D2180" s="17" t="s">
        <v>19</v>
      </c>
      <c r="E2180" s="17" t="s">
        <v>961</v>
      </c>
      <c r="F2180" s="17" t="s">
        <v>995</v>
      </c>
      <c r="G2180" s="18" t="n">
        <v>0</v>
      </c>
      <c r="H2180" s="18" t="n">
        <v>670.24</v>
      </c>
      <c r="I2180" s="18" t="n">
        <f aca="false">((I2179 + G2180) - H2180)</f>
        <v>-126915</v>
      </c>
      <c r="J2180" s="18" t="n">
        <v>0</v>
      </c>
      <c r="K2180" s="19" t="n">
        <v>0</v>
      </c>
      <c r="L2180" s="17" t="s">
        <v>88</v>
      </c>
    </row>
    <row r="2181" s="11" customFormat="true" ht="10.95" hidden="false" customHeight="true" outlineLevel="0" collapsed="false">
      <c r="A2181" s="16" t="n">
        <v>45316</v>
      </c>
      <c r="B2181" s="17" t="s">
        <v>939</v>
      </c>
      <c r="C2181" s="17" t="s">
        <v>788</v>
      </c>
      <c r="D2181" s="17" t="s">
        <v>19</v>
      </c>
      <c r="E2181" s="17" t="s">
        <v>962</v>
      </c>
      <c r="F2181" s="17" t="s">
        <v>995</v>
      </c>
      <c r="G2181" s="18" t="n">
        <v>0</v>
      </c>
      <c r="H2181" s="18" t="n">
        <v>703.33</v>
      </c>
      <c r="I2181" s="18" t="n">
        <f aca="false">((I2180 + G2181) - H2181)</f>
        <v>-127618.33</v>
      </c>
      <c r="J2181" s="18" t="n">
        <v>0</v>
      </c>
      <c r="K2181" s="19" t="n">
        <v>0</v>
      </c>
      <c r="L2181" s="17" t="s">
        <v>88</v>
      </c>
    </row>
    <row r="2182" s="11" customFormat="true" ht="10.95" hidden="false" customHeight="true" outlineLevel="0" collapsed="false">
      <c r="A2182" s="16" t="n">
        <v>45316</v>
      </c>
      <c r="B2182" s="17" t="s">
        <v>939</v>
      </c>
      <c r="C2182" s="17" t="s">
        <v>788</v>
      </c>
      <c r="D2182" s="17" t="s">
        <v>19</v>
      </c>
      <c r="E2182" s="17" t="s">
        <v>955</v>
      </c>
      <c r="F2182" s="17" t="s">
        <v>996</v>
      </c>
      <c r="G2182" s="18" t="n">
        <v>0</v>
      </c>
      <c r="H2182" s="18" t="n">
        <v>7451.87</v>
      </c>
      <c r="I2182" s="18" t="n">
        <f aca="false">((I2181 + G2182) - H2182)</f>
        <v>-135070.2</v>
      </c>
      <c r="J2182" s="18" t="n">
        <v>0</v>
      </c>
      <c r="K2182" s="19" t="n">
        <v>0</v>
      </c>
      <c r="L2182" s="17" t="s">
        <v>88</v>
      </c>
    </row>
    <row r="2183" s="11" customFormat="true" ht="10.95" hidden="false" customHeight="true" outlineLevel="0" collapsed="false">
      <c r="A2183" s="16" t="n">
        <v>45316</v>
      </c>
      <c r="B2183" s="17" t="s">
        <v>939</v>
      </c>
      <c r="C2183" s="17" t="s">
        <v>788</v>
      </c>
      <c r="D2183" s="17" t="s">
        <v>19</v>
      </c>
      <c r="E2183" s="17" t="s">
        <v>957</v>
      </c>
      <c r="F2183" s="17" t="s">
        <v>996</v>
      </c>
      <c r="G2183" s="18" t="n">
        <v>0</v>
      </c>
      <c r="H2183" s="18" t="n">
        <v>1824.95</v>
      </c>
      <c r="I2183" s="18" t="n">
        <f aca="false">((I2182 + G2183) - H2183)</f>
        <v>-136895.15</v>
      </c>
      <c r="J2183" s="18" t="n">
        <v>0</v>
      </c>
      <c r="K2183" s="19" t="n">
        <v>0</v>
      </c>
      <c r="L2183" s="17" t="s">
        <v>88</v>
      </c>
    </row>
    <row r="2184" s="11" customFormat="true" ht="10.95" hidden="false" customHeight="true" outlineLevel="0" collapsed="false">
      <c r="A2184" s="16" t="n">
        <v>45316</v>
      </c>
      <c r="B2184" s="17" t="s">
        <v>939</v>
      </c>
      <c r="C2184" s="17" t="s">
        <v>788</v>
      </c>
      <c r="D2184" s="17" t="s">
        <v>19</v>
      </c>
      <c r="E2184" s="17" t="s">
        <v>991</v>
      </c>
      <c r="F2184" s="17" t="s">
        <v>997</v>
      </c>
      <c r="G2184" s="18" t="n">
        <v>0</v>
      </c>
      <c r="H2184" s="18" t="n">
        <v>115.85</v>
      </c>
      <c r="I2184" s="18" t="n">
        <f aca="false">((I2183 + G2184) - H2184)</f>
        <v>-137011</v>
      </c>
      <c r="J2184" s="18" t="n">
        <v>0</v>
      </c>
      <c r="K2184" s="19" t="n">
        <v>0</v>
      </c>
      <c r="L2184" s="17" t="s">
        <v>88</v>
      </c>
    </row>
    <row r="2185" s="11" customFormat="true" ht="10.95" hidden="false" customHeight="true" outlineLevel="0" collapsed="false">
      <c r="A2185" s="16" t="n">
        <v>45316</v>
      </c>
      <c r="B2185" s="17" t="s">
        <v>939</v>
      </c>
      <c r="C2185" s="17" t="s">
        <v>788</v>
      </c>
      <c r="D2185" s="17" t="s">
        <v>19</v>
      </c>
      <c r="E2185" s="17" t="s">
        <v>991</v>
      </c>
      <c r="F2185" s="17" t="s">
        <v>997</v>
      </c>
      <c r="G2185" s="18" t="n">
        <v>0</v>
      </c>
      <c r="H2185" s="18" t="n">
        <v>115.84</v>
      </c>
      <c r="I2185" s="18" t="n">
        <f aca="false">((I2184 + G2185) - H2185)</f>
        <v>-137126.84</v>
      </c>
      <c r="J2185" s="18" t="n">
        <v>0</v>
      </c>
      <c r="K2185" s="19" t="n">
        <v>0</v>
      </c>
      <c r="L2185" s="17" t="s">
        <v>88</v>
      </c>
    </row>
    <row r="2186" s="11" customFormat="true" ht="10.95" hidden="false" customHeight="true" outlineLevel="0" collapsed="false">
      <c r="A2186" s="16" t="n">
        <v>45316</v>
      </c>
      <c r="B2186" s="17" t="s">
        <v>939</v>
      </c>
      <c r="C2186" s="17" t="s">
        <v>788</v>
      </c>
      <c r="D2186" s="17" t="s">
        <v>19</v>
      </c>
      <c r="E2186" s="17" t="s">
        <v>991</v>
      </c>
      <c r="F2186" s="17" t="s">
        <v>997</v>
      </c>
      <c r="G2186" s="18" t="n">
        <v>0</v>
      </c>
      <c r="H2186" s="18" t="n">
        <v>115.84</v>
      </c>
      <c r="I2186" s="18" t="n">
        <f aca="false">((I2185 + G2186) - H2186)</f>
        <v>-137242.68</v>
      </c>
      <c r="J2186" s="18" t="n">
        <v>0</v>
      </c>
      <c r="K2186" s="19" t="n">
        <v>0</v>
      </c>
      <c r="L2186" s="17" t="s">
        <v>88</v>
      </c>
    </row>
    <row r="2187" s="11" customFormat="true" ht="10.95" hidden="false" customHeight="true" outlineLevel="0" collapsed="false">
      <c r="A2187" s="16" t="n">
        <v>45316</v>
      </c>
      <c r="B2187" s="17" t="s">
        <v>939</v>
      </c>
      <c r="C2187" s="17" t="s">
        <v>788</v>
      </c>
      <c r="D2187" s="17" t="s">
        <v>19</v>
      </c>
      <c r="E2187" s="17" t="s">
        <v>971</v>
      </c>
      <c r="F2187" s="17" t="s">
        <v>998</v>
      </c>
      <c r="G2187" s="18" t="n">
        <v>0</v>
      </c>
      <c r="H2187" s="18" t="n">
        <v>241.73</v>
      </c>
      <c r="I2187" s="18" t="n">
        <f aca="false">((I2186 + G2187) - H2187)</f>
        <v>-137484.41</v>
      </c>
      <c r="J2187" s="18" t="n">
        <v>0</v>
      </c>
      <c r="K2187" s="19" t="n">
        <v>0</v>
      </c>
      <c r="L2187" s="17" t="s">
        <v>88</v>
      </c>
    </row>
    <row r="2188" s="11" customFormat="true" ht="10.95" hidden="false" customHeight="true" outlineLevel="0" collapsed="false">
      <c r="A2188" s="16" t="n">
        <v>45316</v>
      </c>
      <c r="B2188" s="17" t="s">
        <v>939</v>
      </c>
      <c r="C2188" s="17" t="s">
        <v>788</v>
      </c>
      <c r="D2188" s="17" t="s">
        <v>19</v>
      </c>
      <c r="E2188" s="17" t="s">
        <v>971</v>
      </c>
      <c r="F2188" s="17" t="s">
        <v>998</v>
      </c>
      <c r="G2188" s="18" t="n">
        <v>0</v>
      </c>
      <c r="H2188" s="18" t="n">
        <v>241.74</v>
      </c>
      <c r="I2188" s="18" t="n">
        <f aca="false">((I2187 + G2188) - H2188)</f>
        <v>-137726.15</v>
      </c>
      <c r="J2188" s="18" t="n">
        <v>0</v>
      </c>
      <c r="K2188" s="19" t="n">
        <v>0</v>
      </c>
      <c r="L2188" s="17" t="s">
        <v>88</v>
      </c>
    </row>
    <row r="2189" s="11" customFormat="true" ht="10.95" hidden="false" customHeight="true" outlineLevel="0" collapsed="false">
      <c r="A2189" s="16" t="n">
        <v>45316</v>
      </c>
      <c r="B2189" s="17" t="s">
        <v>939</v>
      </c>
      <c r="C2189" s="17" t="s">
        <v>788</v>
      </c>
      <c r="D2189" s="17" t="s">
        <v>19</v>
      </c>
      <c r="E2189" s="17" t="s">
        <v>971</v>
      </c>
      <c r="F2189" s="17" t="s">
        <v>998</v>
      </c>
      <c r="G2189" s="18" t="n">
        <v>0</v>
      </c>
      <c r="H2189" s="18" t="n">
        <v>241.74</v>
      </c>
      <c r="I2189" s="18" t="n">
        <f aca="false">((I2188 + G2189) - H2189)</f>
        <v>-137967.89</v>
      </c>
      <c r="J2189" s="18" t="n">
        <v>0</v>
      </c>
      <c r="K2189" s="19" t="n">
        <v>0</v>
      </c>
      <c r="L2189" s="17" t="s">
        <v>88</v>
      </c>
    </row>
    <row r="2190" s="11" customFormat="true" ht="10.95" hidden="false" customHeight="true" outlineLevel="0" collapsed="false">
      <c r="A2190" s="16" t="n">
        <v>45316</v>
      </c>
      <c r="B2190" s="17" t="s">
        <v>939</v>
      </c>
      <c r="C2190" s="17" t="s">
        <v>788</v>
      </c>
      <c r="D2190" s="17" t="s">
        <v>19</v>
      </c>
      <c r="E2190" s="17" t="s">
        <v>971</v>
      </c>
      <c r="F2190" s="17" t="s">
        <v>999</v>
      </c>
      <c r="G2190" s="18" t="n">
        <v>0</v>
      </c>
      <c r="H2190" s="18" t="n">
        <v>1128.11</v>
      </c>
      <c r="I2190" s="18" t="n">
        <f aca="false">((I2189 + G2190) - H2190)</f>
        <v>-139096</v>
      </c>
      <c r="J2190" s="18" t="n">
        <v>0</v>
      </c>
      <c r="K2190" s="19" t="n">
        <v>0</v>
      </c>
      <c r="L2190" s="17" t="s">
        <v>88</v>
      </c>
    </row>
    <row r="2191" s="11" customFormat="true" ht="10.95" hidden="false" customHeight="true" outlineLevel="0" collapsed="false">
      <c r="A2191" s="16" t="n">
        <v>45316</v>
      </c>
      <c r="B2191" s="17" t="s">
        <v>939</v>
      </c>
      <c r="C2191" s="17" t="s">
        <v>788</v>
      </c>
      <c r="D2191" s="17" t="s">
        <v>19</v>
      </c>
      <c r="E2191" s="17" t="s">
        <v>974</v>
      </c>
      <c r="F2191" s="17" t="s">
        <v>999</v>
      </c>
      <c r="G2191" s="18" t="n">
        <v>0</v>
      </c>
      <c r="H2191" s="18" t="n">
        <v>80.58</v>
      </c>
      <c r="I2191" s="18" t="n">
        <f aca="false">((I2190 + G2191) - H2191)</f>
        <v>-139176.58</v>
      </c>
      <c r="J2191" s="18" t="n">
        <v>0</v>
      </c>
      <c r="K2191" s="19" t="n">
        <v>0</v>
      </c>
      <c r="L2191" s="17" t="s">
        <v>88</v>
      </c>
    </row>
    <row r="2192" s="11" customFormat="true" ht="10.95" hidden="false" customHeight="true" outlineLevel="0" collapsed="false">
      <c r="A2192" s="16" t="n">
        <v>45316</v>
      </c>
      <c r="B2192" s="17" t="s">
        <v>939</v>
      </c>
      <c r="C2192" s="17" t="s">
        <v>788</v>
      </c>
      <c r="D2192" s="17" t="s">
        <v>19</v>
      </c>
      <c r="E2192" s="17" t="s">
        <v>971</v>
      </c>
      <c r="F2192" s="17" t="s">
        <v>999</v>
      </c>
      <c r="G2192" s="18" t="n">
        <v>0</v>
      </c>
      <c r="H2192" s="18" t="n">
        <v>1128.11</v>
      </c>
      <c r="I2192" s="18" t="n">
        <f aca="false">((I2191 + G2192) - H2192)</f>
        <v>-140304.69</v>
      </c>
      <c r="J2192" s="18" t="n">
        <v>0</v>
      </c>
      <c r="K2192" s="19" t="n">
        <v>0</v>
      </c>
      <c r="L2192" s="17" t="s">
        <v>88</v>
      </c>
    </row>
    <row r="2193" s="11" customFormat="true" ht="10.95" hidden="false" customHeight="true" outlineLevel="0" collapsed="false">
      <c r="A2193" s="16" t="n">
        <v>45316</v>
      </c>
      <c r="B2193" s="17" t="s">
        <v>939</v>
      </c>
      <c r="C2193" s="17" t="s">
        <v>788</v>
      </c>
      <c r="D2193" s="17" t="s">
        <v>19</v>
      </c>
      <c r="E2193" s="17" t="s">
        <v>974</v>
      </c>
      <c r="F2193" s="17" t="s">
        <v>999</v>
      </c>
      <c r="G2193" s="18" t="n">
        <v>0</v>
      </c>
      <c r="H2193" s="18" t="n">
        <v>80.58</v>
      </c>
      <c r="I2193" s="18" t="n">
        <f aca="false">((I2192 + G2193) - H2193)</f>
        <v>-140385.27</v>
      </c>
      <c r="J2193" s="18" t="n">
        <v>0</v>
      </c>
      <c r="K2193" s="19" t="n">
        <v>0</v>
      </c>
      <c r="L2193" s="17" t="s">
        <v>88</v>
      </c>
    </row>
    <row r="2194" s="11" customFormat="true" ht="10.95" hidden="false" customHeight="true" outlineLevel="0" collapsed="false">
      <c r="A2194" s="16" t="n">
        <v>45316</v>
      </c>
      <c r="B2194" s="17" t="s">
        <v>939</v>
      </c>
      <c r="C2194" s="17" t="s">
        <v>788</v>
      </c>
      <c r="D2194" s="17" t="s">
        <v>19</v>
      </c>
      <c r="E2194" s="17" t="s">
        <v>971</v>
      </c>
      <c r="F2194" s="17" t="s">
        <v>999</v>
      </c>
      <c r="G2194" s="18" t="n">
        <v>0</v>
      </c>
      <c r="H2194" s="18" t="n">
        <v>1128.11</v>
      </c>
      <c r="I2194" s="18" t="n">
        <f aca="false">((I2193 + G2194) - H2194)</f>
        <v>-141513.38</v>
      </c>
      <c r="J2194" s="18" t="n">
        <v>0</v>
      </c>
      <c r="K2194" s="19" t="n">
        <v>0</v>
      </c>
      <c r="L2194" s="17" t="s">
        <v>88</v>
      </c>
    </row>
    <row r="2195" s="11" customFormat="true" ht="10.95" hidden="false" customHeight="true" outlineLevel="0" collapsed="false">
      <c r="A2195" s="16" t="n">
        <v>45316</v>
      </c>
      <c r="B2195" s="17" t="s">
        <v>939</v>
      </c>
      <c r="C2195" s="17" t="s">
        <v>788</v>
      </c>
      <c r="D2195" s="17" t="s">
        <v>19</v>
      </c>
      <c r="E2195" s="17" t="s">
        <v>974</v>
      </c>
      <c r="F2195" s="17" t="s">
        <v>999</v>
      </c>
      <c r="G2195" s="18" t="n">
        <v>0</v>
      </c>
      <c r="H2195" s="18" t="n">
        <v>80.58</v>
      </c>
      <c r="I2195" s="18" t="n">
        <f aca="false">((I2194 + G2195) - H2195)</f>
        <v>-141593.96</v>
      </c>
      <c r="J2195" s="18" t="n">
        <v>0</v>
      </c>
      <c r="K2195" s="19" t="n">
        <v>0</v>
      </c>
      <c r="L2195" s="17" t="s">
        <v>88</v>
      </c>
    </row>
    <row r="2196" s="11" customFormat="true" ht="10.95" hidden="false" customHeight="true" outlineLevel="0" collapsed="false">
      <c r="A2196" s="16" t="n">
        <v>45324</v>
      </c>
      <c r="B2196" s="17" t="s">
        <v>939</v>
      </c>
      <c r="C2196" s="17" t="s">
        <v>788</v>
      </c>
      <c r="D2196" s="17" t="s">
        <v>19</v>
      </c>
      <c r="E2196" s="17" t="s">
        <v>1000</v>
      </c>
      <c r="F2196" s="17" t="s">
        <v>1001</v>
      </c>
      <c r="G2196" s="18" t="n">
        <v>0</v>
      </c>
      <c r="H2196" s="18" t="n">
        <v>1092.88</v>
      </c>
      <c r="I2196" s="18" t="n">
        <f aca="false">((I2195 + G2196) - H2196)</f>
        <v>-142686.84</v>
      </c>
      <c r="J2196" s="18" t="n">
        <v>0</v>
      </c>
      <c r="K2196" s="19" t="n">
        <v>0</v>
      </c>
      <c r="L2196" s="17" t="s">
        <v>88</v>
      </c>
    </row>
    <row r="2197" s="11" customFormat="true" ht="10.95" hidden="false" customHeight="true" outlineLevel="0" collapsed="false">
      <c r="A2197" s="16" t="n">
        <v>45343</v>
      </c>
      <c r="B2197" s="17" t="s">
        <v>939</v>
      </c>
      <c r="C2197" s="17" t="s">
        <v>788</v>
      </c>
      <c r="D2197" s="17" t="s">
        <v>19</v>
      </c>
      <c r="E2197" s="17" t="s">
        <v>984</v>
      </c>
      <c r="F2197" s="17" t="s">
        <v>1002</v>
      </c>
      <c r="G2197" s="18" t="n">
        <v>0</v>
      </c>
      <c r="H2197" s="18" t="n">
        <v>716.25</v>
      </c>
      <c r="I2197" s="18" t="n">
        <f aca="false">((I2196 + G2197) - H2197)</f>
        <v>-143403.09</v>
      </c>
      <c r="J2197" s="18" t="n">
        <v>0</v>
      </c>
      <c r="K2197" s="19" t="n">
        <v>0</v>
      </c>
      <c r="L2197" s="17" t="s">
        <v>88</v>
      </c>
    </row>
    <row r="2198" s="11" customFormat="true" ht="10.95" hidden="false" customHeight="true" outlineLevel="0" collapsed="false">
      <c r="A2198" s="16" t="n">
        <v>45343</v>
      </c>
      <c r="B2198" s="17" t="s">
        <v>939</v>
      </c>
      <c r="C2198" s="17" t="s">
        <v>788</v>
      </c>
      <c r="D2198" s="17" t="s">
        <v>19</v>
      </c>
      <c r="E2198" s="17" t="s">
        <v>986</v>
      </c>
      <c r="F2198" s="17" t="s">
        <v>1002</v>
      </c>
      <c r="G2198" s="18" t="n">
        <v>0</v>
      </c>
      <c r="H2198" s="18" t="n">
        <v>189.35</v>
      </c>
      <c r="I2198" s="18" t="n">
        <f aca="false">((I2197 + G2198) - H2198)</f>
        <v>-143592.44</v>
      </c>
      <c r="J2198" s="18" t="n">
        <v>0</v>
      </c>
      <c r="K2198" s="19" t="n">
        <v>0</v>
      </c>
      <c r="L2198" s="17" t="s">
        <v>88</v>
      </c>
    </row>
    <row r="2199" s="11" customFormat="true" ht="10.95" hidden="false" customHeight="true" outlineLevel="0" collapsed="false">
      <c r="A2199" s="16" t="n">
        <v>45343</v>
      </c>
      <c r="B2199" s="17" t="s">
        <v>939</v>
      </c>
      <c r="C2199" s="17" t="s">
        <v>788</v>
      </c>
      <c r="D2199" s="17" t="s">
        <v>19</v>
      </c>
      <c r="E2199" s="17" t="s">
        <v>949</v>
      </c>
      <c r="F2199" s="17" t="s">
        <v>475</v>
      </c>
      <c r="G2199" s="18" t="n">
        <v>0</v>
      </c>
      <c r="H2199" s="18" t="n">
        <v>304.4</v>
      </c>
      <c r="I2199" s="18" t="n">
        <f aca="false">((I2198 + G2199) - H2199)</f>
        <v>-143896.84</v>
      </c>
      <c r="J2199" s="18" t="n">
        <v>0</v>
      </c>
      <c r="K2199" s="19" t="n">
        <v>0</v>
      </c>
      <c r="L2199" s="17" t="s">
        <v>88</v>
      </c>
    </row>
    <row r="2200" s="11" customFormat="true" ht="10.95" hidden="false" customHeight="true" outlineLevel="0" collapsed="false">
      <c r="A2200" s="16" t="n">
        <v>45343</v>
      </c>
      <c r="B2200" s="17" t="s">
        <v>939</v>
      </c>
      <c r="C2200" s="17" t="s">
        <v>788</v>
      </c>
      <c r="D2200" s="17" t="s">
        <v>19</v>
      </c>
      <c r="E2200" s="17" t="s">
        <v>950</v>
      </c>
      <c r="F2200" s="17" t="s">
        <v>475</v>
      </c>
      <c r="G2200" s="18" t="n">
        <v>0</v>
      </c>
      <c r="H2200" s="18" t="n">
        <v>304.41</v>
      </c>
      <c r="I2200" s="18" t="n">
        <f aca="false">((I2199 + G2200) - H2200)</f>
        <v>-144201.25</v>
      </c>
      <c r="J2200" s="18" t="n">
        <v>0</v>
      </c>
      <c r="K2200" s="19" t="n">
        <v>0</v>
      </c>
      <c r="L2200" s="17" t="s">
        <v>88</v>
      </c>
    </row>
    <row r="2201" s="11" customFormat="true" ht="10.95" hidden="false" customHeight="true" outlineLevel="0" collapsed="false">
      <c r="A2201" s="16" t="n">
        <v>45343</v>
      </c>
      <c r="B2201" s="17" t="s">
        <v>939</v>
      </c>
      <c r="C2201" s="17" t="s">
        <v>788</v>
      </c>
      <c r="D2201" s="17" t="s">
        <v>19</v>
      </c>
      <c r="E2201" s="17" t="s">
        <v>951</v>
      </c>
      <c r="F2201" s="17" t="s">
        <v>475</v>
      </c>
      <c r="G2201" s="18" t="n">
        <v>0</v>
      </c>
      <c r="H2201" s="18" t="n">
        <v>304.41</v>
      </c>
      <c r="I2201" s="18" t="n">
        <f aca="false">((I2200 + G2201) - H2201)</f>
        <v>-144505.66</v>
      </c>
      <c r="J2201" s="18" t="n">
        <v>0</v>
      </c>
      <c r="K2201" s="19" t="n">
        <v>0</v>
      </c>
      <c r="L2201" s="17" t="s">
        <v>88</v>
      </c>
    </row>
    <row r="2202" s="11" customFormat="true" ht="10.95" hidden="false" customHeight="true" outlineLevel="0" collapsed="false">
      <c r="A2202" s="16" t="n">
        <v>45343</v>
      </c>
      <c r="B2202" s="17" t="s">
        <v>939</v>
      </c>
      <c r="C2202" s="17" t="s">
        <v>788</v>
      </c>
      <c r="D2202" s="17" t="s">
        <v>19</v>
      </c>
      <c r="E2202" s="17" t="s">
        <v>952</v>
      </c>
      <c r="F2202" s="17" t="s">
        <v>475</v>
      </c>
      <c r="G2202" s="18" t="n">
        <v>0</v>
      </c>
      <c r="H2202" s="18" t="n">
        <v>304.41</v>
      </c>
      <c r="I2202" s="18" t="n">
        <f aca="false">((I2201 + G2202) - H2202)</f>
        <v>-144810.07</v>
      </c>
      <c r="J2202" s="18" t="n">
        <v>0</v>
      </c>
      <c r="K2202" s="19" t="n">
        <v>0</v>
      </c>
      <c r="L2202" s="17" t="s">
        <v>88</v>
      </c>
    </row>
    <row r="2203" s="11" customFormat="true" ht="10.95" hidden="false" customHeight="true" outlineLevel="0" collapsed="false">
      <c r="A2203" s="16" t="n">
        <v>45343</v>
      </c>
      <c r="B2203" s="17" t="s">
        <v>939</v>
      </c>
      <c r="C2203" s="17" t="s">
        <v>788</v>
      </c>
      <c r="D2203" s="17" t="s">
        <v>19</v>
      </c>
      <c r="E2203" s="17" t="s">
        <v>953</v>
      </c>
      <c r="F2203" s="17" t="s">
        <v>475</v>
      </c>
      <c r="G2203" s="18" t="n">
        <v>0</v>
      </c>
      <c r="H2203" s="18" t="n">
        <v>304.41</v>
      </c>
      <c r="I2203" s="18" t="n">
        <f aca="false">((I2202 + G2203) - H2203)</f>
        <v>-145114.48</v>
      </c>
      <c r="J2203" s="18" t="n">
        <v>0</v>
      </c>
      <c r="K2203" s="19" t="n">
        <v>0</v>
      </c>
      <c r="L2203" s="17" t="s">
        <v>88</v>
      </c>
    </row>
    <row r="2204" s="11" customFormat="true" ht="10.95" hidden="false" customHeight="true" outlineLevel="0" collapsed="false">
      <c r="A2204" s="16" t="n">
        <v>45343</v>
      </c>
      <c r="B2204" s="17" t="s">
        <v>939</v>
      </c>
      <c r="C2204" s="17" t="s">
        <v>788</v>
      </c>
      <c r="D2204" s="17" t="s">
        <v>19</v>
      </c>
      <c r="E2204" s="17" t="s">
        <v>958</v>
      </c>
      <c r="F2204" s="17" t="s">
        <v>1003</v>
      </c>
      <c r="G2204" s="18" t="n">
        <v>0</v>
      </c>
      <c r="H2204" s="18" t="n">
        <v>370.74</v>
      </c>
      <c r="I2204" s="18" t="n">
        <f aca="false">((I2203 + G2204) - H2204)</f>
        <v>-145485.22</v>
      </c>
      <c r="J2204" s="18" t="n">
        <v>0</v>
      </c>
      <c r="K2204" s="19" t="n">
        <v>0</v>
      </c>
      <c r="L2204" s="17" t="s">
        <v>88</v>
      </c>
    </row>
    <row r="2205" s="11" customFormat="true" ht="10.95" hidden="false" customHeight="true" outlineLevel="0" collapsed="false">
      <c r="A2205" s="16" t="n">
        <v>45343</v>
      </c>
      <c r="B2205" s="17" t="s">
        <v>939</v>
      </c>
      <c r="C2205" s="17" t="s">
        <v>788</v>
      </c>
      <c r="D2205" s="17" t="s">
        <v>19</v>
      </c>
      <c r="E2205" s="17" t="s">
        <v>960</v>
      </c>
      <c r="F2205" s="17" t="s">
        <v>1003</v>
      </c>
      <c r="G2205" s="18" t="n">
        <v>0</v>
      </c>
      <c r="H2205" s="18" t="n">
        <v>82.39</v>
      </c>
      <c r="I2205" s="18" t="n">
        <f aca="false">((I2204 + G2205) - H2205)</f>
        <v>-145567.61</v>
      </c>
      <c r="J2205" s="18" t="n">
        <v>0</v>
      </c>
      <c r="K2205" s="19" t="n">
        <v>0</v>
      </c>
      <c r="L2205" s="17" t="s">
        <v>88</v>
      </c>
    </row>
    <row r="2206" s="11" customFormat="true" ht="10.95" hidden="false" customHeight="true" outlineLevel="0" collapsed="false">
      <c r="A2206" s="16" t="n">
        <v>45343</v>
      </c>
      <c r="B2206" s="17" t="s">
        <v>939</v>
      </c>
      <c r="C2206" s="17" t="s">
        <v>788</v>
      </c>
      <c r="D2206" s="17" t="s">
        <v>19</v>
      </c>
      <c r="E2206" s="17" t="s">
        <v>961</v>
      </c>
      <c r="F2206" s="17" t="s">
        <v>1003</v>
      </c>
      <c r="G2206" s="18" t="n">
        <v>0</v>
      </c>
      <c r="H2206" s="18" t="n">
        <v>667.34</v>
      </c>
      <c r="I2206" s="18" t="n">
        <f aca="false">((I2205 + G2206) - H2206)</f>
        <v>-146234.95</v>
      </c>
      <c r="J2206" s="18" t="n">
        <v>0</v>
      </c>
      <c r="K2206" s="19" t="n">
        <v>0</v>
      </c>
      <c r="L2206" s="17" t="s">
        <v>88</v>
      </c>
    </row>
    <row r="2207" s="11" customFormat="true" ht="10.95" hidden="false" customHeight="true" outlineLevel="0" collapsed="false">
      <c r="A2207" s="16" t="n">
        <v>45343</v>
      </c>
      <c r="B2207" s="17" t="s">
        <v>939</v>
      </c>
      <c r="C2207" s="17" t="s">
        <v>788</v>
      </c>
      <c r="D2207" s="17" t="s">
        <v>19</v>
      </c>
      <c r="E2207" s="17" t="s">
        <v>962</v>
      </c>
      <c r="F2207" s="17" t="s">
        <v>1003</v>
      </c>
      <c r="G2207" s="18" t="n">
        <v>0</v>
      </c>
      <c r="H2207" s="18" t="n">
        <v>700.3</v>
      </c>
      <c r="I2207" s="18" t="n">
        <f aca="false">((I2206 + G2207) - H2207)</f>
        <v>-146935.25</v>
      </c>
      <c r="J2207" s="18" t="n">
        <v>0</v>
      </c>
      <c r="K2207" s="19" t="n">
        <v>0</v>
      </c>
      <c r="L2207" s="17" t="s">
        <v>88</v>
      </c>
    </row>
    <row r="2208" s="11" customFormat="true" ht="10.95" hidden="false" customHeight="true" outlineLevel="0" collapsed="false">
      <c r="A2208" s="16" t="n">
        <v>45343</v>
      </c>
      <c r="B2208" s="17" t="s">
        <v>939</v>
      </c>
      <c r="C2208" s="17" t="s">
        <v>788</v>
      </c>
      <c r="D2208" s="17" t="s">
        <v>19</v>
      </c>
      <c r="E2208" s="17" t="s">
        <v>955</v>
      </c>
      <c r="F2208" s="17" t="s">
        <v>1004</v>
      </c>
      <c r="G2208" s="18" t="n">
        <v>0</v>
      </c>
      <c r="H2208" s="18" t="n">
        <v>7770.3</v>
      </c>
      <c r="I2208" s="18" t="n">
        <f aca="false">((I2207 + G2208) - H2208)</f>
        <v>-154705.55</v>
      </c>
      <c r="J2208" s="18" t="n">
        <v>0</v>
      </c>
      <c r="K2208" s="19" t="n">
        <v>0</v>
      </c>
      <c r="L2208" s="17" t="s">
        <v>88</v>
      </c>
    </row>
    <row r="2209" s="11" customFormat="true" ht="10.95" hidden="false" customHeight="true" outlineLevel="0" collapsed="false">
      <c r="A2209" s="16" t="n">
        <v>45343</v>
      </c>
      <c r="B2209" s="17" t="s">
        <v>939</v>
      </c>
      <c r="C2209" s="17" t="s">
        <v>788</v>
      </c>
      <c r="D2209" s="17" t="s">
        <v>19</v>
      </c>
      <c r="E2209" s="17" t="s">
        <v>957</v>
      </c>
      <c r="F2209" s="17" t="s">
        <v>1004</v>
      </c>
      <c r="G2209" s="18" t="n">
        <v>0</v>
      </c>
      <c r="H2209" s="18" t="n">
        <v>1828.31</v>
      </c>
      <c r="I2209" s="18" t="n">
        <f aca="false">((I2208 + G2209) - H2209)</f>
        <v>-156533.86</v>
      </c>
      <c r="J2209" s="18" t="n">
        <v>0</v>
      </c>
      <c r="K2209" s="19" t="n">
        <v>0</v>
      </c>
      <c r="L2209" s="17" t="s">
        <v>88</v>
      </c>
    </row>
    <row r="2210" s="11" customFormat="true" ht="10.95" hidden="false" customHeight="true" outlineLevel="0" collapsed="false">
      <c r="A2210" s="16" t="n">
        <v>45343</v>
      </c>
      <c r="B2210" s="17" t="s">
        <v>939</v>
      </c>
      <c r="C2210" s="17" t="s">
        <v>788</v>
      </c>
      <c r="D2210" s="17" t="s">
        <v>19</v>
      </c>
      <c r="E2210" s="17" t="s">
        <v>1005</v>
      </c>
      <c r="F2210" s="17" t="s">
        <v>1004</v>
      </c>
      <c r="G2210" s="18" t="n">
        <v>0</v>
      </c>
      <c r="H2210" s="18" t="n">
        <v>609.44</v>
      </c>
      <c r="I2210" s="18" t="n">
        <f aca="false">((I2209 + G2210) - H2210)</f>
        <v>-157143.3</v>
      </c>
      <c r="J2210" s="18" t="n">
        <v>0</v>
      </c>
      <c r="K2210" s="19" t="n">
        <v>0</v>
      </c>
      <c r="L2210" s="17" t="s">
        <v>88</v>
      </c>
    </row>
    <row r="2211" s="11" customFormat="true" ht="10.95" hidden="false" customHeight="true" outlineLevel="0" collapsed="false">
      <c r="A2211" s="16" t="n">
        <v>45343</v>
      </c>
      <c r="B2211" s="17" t="s">
        <v>939</v>
      </c>
      <c r="C2211" s="17" t="s">
        <v>788</v>
      </c>
      <c r="D2211" s="17" t="s">
        <v>19</v>
      </c>
      <c r="E2211" s="17" t="s">
        <v>991</v>
      </c>
      <c r="F2211" s="17" t="s">
        <v>1006</v>
      </c>
      <c r="G2211" s="18" t="n">
        <v>0</v>
      </c>
      <c r="H2211" s="18" t="n">
        <v>107.11</v>
      </c>
      <c r="I2211" s="18" t="n">
        <f aca="false">((I2210 + G2211) - H2211)</f>
        <v>-157250.41</v>
      </c>
      <c r="J2211" s="18" t="n">
        <v>0</v>
      </c>
      <c r="K2211" s="19" t="n">
        <v>0</v>
      </c>
      <c r="L2211" s="17" t="s">
        <v>88</v>
      </c>
    </row>
    <row r="2212" s="11" customFormat="true" ht="10.95" hidden="false" customHeight="true" outlineLevel="0" collapsed="false">
      <c r="A2212" s="16" t="n">
        <v>45343</v>
      </c>
      <c r="B2212" s="17" t="s">
        <v>939</v>
      </c>
      <c r="C2212" s="17" t="s">
        <v>788</v>
      </c>
      <c r="D2212" s="17" t="s">
        <v>19</v>
      </c>
      <c r="E2212" s="17" t="s">
        <v>991</v>
      </c>
      <c r="F2212" s="17" t="s">
        <v>1006</v>
      </c>
      <c r="G2212" s="18" t="n">
        <v>0</v>
      </c>
      <c r="H2212" s="18" t="n">
        <v>107.1</v>
      </c>
      <c r="I2212" s="18" t="n">
        <f aca="false">((I2211 + G2212) - H2212)</f>
        <v>-157357.51</v>
      </c>
      <c r="J2212" s="18" t="n">
        <v>0</v>
      </c>
      <c r="K2212" s="19" t="n">
        <v>0</v>
      </c>
      <c r="L2212" s="17" t="s">
        <v>88</v>
      </c>
    </row>
    <row r="2213" s="11" customFormat="true" ht="10.95" hidden="false" customHeight="true" outlineLevel="0" collapsed="false">
      <c r="A2213" s="16" t="n">
        <v>45343</v>
      </c>
      <c r="B2213" s="17" t="s">
        <v>939</v>
      </c>
      <c r="C2213" s="17" t="s">
        <v>788</v>
      </c>
      <c r="D2213" s="17" t="s">
        <v>19</v>
      </c>
      <c r="E2213" s="17" t="s">
        <v>991</v>
      </c>
      <c r="F2213" s="17" t="s">
        <v>1006</v>
      </c>
      <c r="G2213" s="18" t="n">
        <v>0</v>
      </c>
      <c r="H2213" s="18" t="n">
        <v>107.1</v>
      </c>
      <c r="I2213" s="18" t="n">
        <f aca="false">((I2212 + G2213) - H2213)</f>
        <v>-157464.61</v>
      </c>
      <c r="J2213" s="18" t="n">
        <v>0</v>
      </c>
      <c r="K2213" s="19" t="n">
        <v>0</v>
      </c>
      <c r="L2213" s="17" t="s">
        <v>88</v>
      </c>
    </row>
    <row r="2214" s="11" customFormat="true" ht="10.95" hidden="false" customHeight="true" outlineLevel="0" collapsed="false">
      <c r="A2214" s="16" t="n">
        <v>45343</v>
      </c>
      <c r="B2214" s="17" t="s">
        <v>939</v>
      </c>
      <c r="C2214" s="17" t="s">
        <v>788</v>
      </c>
      <c r="D2214" s="17" t="s">
        <v>19</v>
      </c>
      <c r="E2214" s="17" t="s">
        <v>971</v>
      </c>
      <c r="F2214" s="17" t="s">
        <v>1007</v>
      </c>
      <c r="G2214" s="18" t="n">
        <v>0</v>
      </c>
      <c r="H2214" s="18" t="n">
        <v>401.63</v>
      </c>
      <c r="I2214" s="18" t="n">
        <f aca="false">((I2213 + G2214) - H2214)</f>
        <v>-157866.24</v>
      </c>
      <c r="J2214" s="18" t="n">
        <v>0</v>
      </c>
      <c r="K2214" s="19" t="n">
        <v>0</v>
      </c>
      <c r="L2214" s="17" t="s">
        <v>88</v>
      </c>
    </row>
    <row r="2215" s="11" customFormat="true" ht="10.95" hidden="false" customHeight="true" outlineLevel="0" collapsed="false">
      <c r="A2215" s="16" t="n">
        <v>45343</v>
      </c>
      <c r="B2215" s="17" t="s">
        <v>939</v>
      </c>
      <c r="C2215" s="17" t="s">
        <v>788</v>
      </c>
      <c r="D2215" s="17" t="s">
        <v>19</v>
      </c>
      <c r="E2215" s="17" t="s">
        <v>973</v>
      </c>
      <c r="F2215" s="17" t="s">
        <v>1007</v>
      </c>
      <c r="G2215" s="18" t="n">
        <v>0</v>
      </c>
      <c r="H2215" s="18" t="n">
        <v>8.57</v>
      </c>
      <c r="I2215" s="18" t="n">
        <f aca="false">((I2214 + G2215) - H2215)</f>
        <v>-157874.81</v>
      </c>
      <c r="J2215" s="18" t="n">
        <v>0</v>
      </c>
      <c r="K2215" s="19" t="n">
        <v>0</v>
      </c>
      <c r="L2215" s="17" t="s">
        <v>88</v>
      </c>
    </row>
    <row r="2216" s="11" customFormat="true" ht="10.95" hidden="false" customHeight="true" outlineLevel="0" collapsed="false">
      <c r="A2216" s="16" t="n">
        <v>45343</v>
      </c>
      <c r="B2216" s="17" t="s">
        <v>939</v>
      </c>
      <c r="C2216" s="17" t="s">
        <v>788</v>
      </c>
      <c r="D2216" s="17" t="s">
        <v>19</v>
      </c>
      <c r="E2216" s="17" t="s">
        <v>974</v>
      </c>
      <c r="F2216" s="17" t="s">
        <v>1007</v>
      </c>
      <c r="G2216" s="18" t="n">
        <v>0</v>
      </c>
      <c r="H2216" s="18" t="n">
        <v>80.33</v>
      </c>
      <c r="I2216" s="18" t="n">
        <f aca="false">((I2215 + G2216) - H2216)</f>
        <v>-157955.14</v>
      </c>
      <c r="J2216" s="18" t="n">
        <v>0</v>
      </c>
      <c r="K2216" s="19" t="n">
        <v>0</v>
      </c>
      <c r="L2216" s="17" t="s">
        <v>88</v>
      </c>
    </row>
    <row r="2217" s="11" customFormat="true" ht="10.95" hidden="false" customHeight="true" outlineLevel="0" collapsed="false">
      <c r="A2217" s="16" t="n">
        <v>45343</v>
      </c>
      <c r="B2217" s="17" t="s">
        <v>939</v>
      </c>
      <c r="C2217" s="17" t="s">
        <v>788</v>
      </c>
      <c r="D2217" s="17" t="s">
        <v>19</v>
      </c>
      <c r="E2217" s="17" t="s">
        <v>971</v>
      </c>
      <c r="F2217" s="17" t="s">
        <v>1007</v>
      </c>
      <c r="G2217" s="18" t="n">
        <v>0</v>
      </c>
      <c r="H2217" s="18" t="n">
        <v>401.64</v>
      </c>
      <c r="I2217" s="18" t="n">
        <f aca="false">((I2216 + G2217) - H2217)</f>
        <v>-158356.78</v>
      </c>
      <c r="J2217" s="18" t="n">
        <v>0</v>
      </c>
      <c r="K2217" s="19" t="n">
        <v>0</v>
      </c>
      <c r="L2217" s="17" t="s">
        <v>88</v>
      </c>
    </row>
    <row r="2218" s="11" customFormat="true" ht="10.95" hidden="false" customHeight="true" outlineLevel="0" collapsed="false">
      <c r="A2218" s="16" t="n">
        <v>45343</v>
      </c>
      <c r="B2218" s="17" t="s">
        <v>939</v>
      </c>
      <c r="C2218" s="17" t="s">
        <v>788</v>
      </c>
      <c r="D2218" s="17" t="s">
        <v>19</v>
      </c>
      <c r="E2218" s="17" t="s">
        <v>973</v>
      </c>
      <c r="F2218" s="17" t="s">
        <v>1007</v>
      </c>
      <c r="G2218" s="18" t="n">
        <v>0</v>
      </c>
      <c r="H2218" s="18" t="n">
        <v>8.57</v>
      </c>
      <c r="I2218" s="18" t="n">
        <f aca="false">((I2217 + G2218) - H2218)</f>
        <v>-158365.35</v>
      </c>
      <c r="J2218" s="18" t="n">
        <v>0</v>
      </c>
      <c r="K2218" s="19" t="n">
        <v>0</v>
      </c>
      <c r="L2218" s="17" t="s">
        <v>88</v>
      </c>
    </row>
    <row r="2219" s="11" customFormat="true" ht="10.95" hidden="false" customHeight="true" outlineLevel="0" collapsed="false">
      <c r="A2219" s="16" t="n">
        <v>45343</v>
      </c>
      <c r="B2219" s="17" t="s">
        <v>939</v>
      </c>
      <c r="C2219" s="17" t="s">
        <v>788</v>
      </c>
      <c r="D2219" s="17" t="s">
        <v>19</v>
      </c>
      <c r="E2219" s="17" t="s">
        <v>974</v>
      </c>
      <c r="F2219" s="17" t="s">
        <v>1007</v>
      </c>
      <c r="G2219" s="18" t="n">
        <v>0</v>
      </c>
      <c r="H2219" s="18" t="n">
        <v>80.33</v>
      </c>
      <c r="I2219" s="18" t="n">
        <f aca="false">((I2218 + G2219) - H2219)</f>
        <v>-158445.68</v>
      </c>
      <c r="J2219" s="18" t="n">
        <v>0</v>
      </c>
      <c r="K2219" s="19" t="n">
        <v>0</v>
      </c>
      <c r="L2219" s="17" t="s">
        <v>88</v>
      </c>
    </row>
    <row r="2220" s="11" customFormat="true" ht="10.95" hidden="false" customHeight="true" outlineLevel="0" collapsed="false">
      <c r="A2220" s="16" t="n">
        <v>45343</v>
      </c>
      <c r="B2220" s="17" t="s">
        <v>939</v>
      </c>
      <c r="C2220" s="17" t="s">
        <v>788</v>
      </c>
      <c r="D2220" s="17" t="s">
        <v>19</v>
      </c>
      <c r="E2220" s="17" t="s">
        <v>971</v>
      </c>
      <c r="F2220" s="17" t="s">
        <v>1007</v>
      </c>
      <c r="G2220" s="18" t="n">
        <v>0</v>
      </c>
      <c r="H2220" s="18" t="n">
        <v>401.64</v>
      </c>
      <c r="I2220" s="18" t="n">
        <f aca="false">((I2219 + G2220) - H2220)</f>
        <v>-158847.32</v>
      </c>
      <c r="J2220" s="18" t="n">
        <v>0</v>
      </c>
      <c r="K2220" s="19" t="n">
        <v>0</v>
      </c>
      <c r="L2220" s="17" t="s">
        <v>88</v>
      </c>
    </row>
    <row r="2221" s="11" customFormat="true" ht="10.95" hidden="false" customHeight="true" outlineLevel="0" collapsed="false">
      <c r="A2221" s="16" t="n">
        <v>45343</v>
      </c>
      <c r="B2221" s="17" t="s">
        <v>939</v>
      </c>
      <c r="C2221" s="17" t="s">
        <v>788</v>
      </c>
      <c r="D2221" s="17" t="s">
        <v>19</v>
      </c>
      <c r="E2221" s="17" t="s">
        <v>973</v>
      </c>
      <c r="F2221" s="17" t="s">
        <v>1007</v>
      </c>
      <c r="G2221" s="18" t="n">
        <v>0</v>
      </c>
      <c r="H2221" s="18" t="n">
        <v>8.57</v>
      </c>
      <c r="I2221" s="18" t="n">
        <f aca="false">((I2220 + G2221) - H2221)</f>
        <v>-158855.89</v>
      </c>
      <c r="J2221" s="18" t="n">
        <v>0</v>
      </c>
      <c r="K2221" s="19" t="n">
        <v>0</v>
      </c>
      <c r="L2221" s="17" t="s">
        <v>88</v>
      </c>
    </row>
    <row r="2222" s="11" customFormat="true" ht="10.95" hidden="false" customHeight="true" outlineLevel="0" collapsed="false">
      <c r="A2222" s="16" t="n">
        <v>45343</v>
      </c>
      <c r="B2222" s="17" t="s">
        <v>939</v>
      </c>
      <c r="C2222" s="17" t="s">
        <v>788</v>
      </c>
      <c r="D2222" s="17" t="s">
        <v>19</v>
      </c>
      <c r="E2222" s="17" t="s">
        <v>974</v>
      </c>
      <c r="F2222" s="17" t="s">
        <v>1007</v>
      </c>
      <c r="G2222" s="18" t="n">
        <v>0</v>
      </c>
      <c r="H2222" s="18" t="n">
        <v>80.33</v>
      </c>
      <c r="I2222" s="18" t="n">
        <f aca="false">((I2221 + G2222) - H2222)</f>
        <v>-158936.22</v>
      </c>
      <c r="J2222" s="18" t="n">
        <v>0</v>
      </c>
      <c r="K2222" s="19" t="n">
        <v>0</v>
      </c>
      <c r="L2222" s="17" t="s">
        <v>88</v>
      </c>
    </row>
    <row r="2223" s="11" customFormat="true" ht="10.95" hidden="false" customHeight="true" outlineLevel="0" collapsed="false">
      <c r="A2223" s="16" t="n">
        <v>45343</v>
      </c>
      <c r="B2223" s="17" t="s">
        <v>939</v>
      </c>
      <c r="C2223" s="17" t="s">
        <v>788</v>
      </c>
      <c r="D2223" s="17" t="s">
        <v>19</v>
      </c>
      <c r="E2223" s="17" t="s">
        <v>991</v>
      </c>
      <c r="F2223" s="17" t="s">
        <v>1008</v>
      </c>
      <c r="G2223" s="18" t="n">
        <v>0</v>
      </c>
      <c r="H2223" s="18" t="n">
        <v>160.65</v>
      </c>
      <c r="I2223" s="18" t="n">
        <f aca="false">((I2222 + G2223) - H2223)</f>
        <v>-159096.87</v>
      </c>
      <c r="J2223" s="18" t="n">
        <v>0</v>
      </c>
      <c r="K2223" s="19" t="n">
        <v>0</v>
      </c>
      <c r="L2223" s="17" t="s">
        <v>88</v>
      </c>
    </row>
    <row r="2224" s="11" customFormat="true" ht="10.95" hidden="false" customHeight="true" outlineLevel="0" collapsed="false">
      <c r="A2224" s="16" t="n">
        <v>45343</v>
      </c>
      <c r="B2224" s="17" t="s">
        <v>939</v>
      </c>
      <c r="C2224" s="17" t="s">
        <v>788</v>
      </c>
      <c r="D2224" s="17" t="s">
        <v>19</v>
      </c>
      <c r="E2224" s="17" t="s">
        <v>991</v>
      </c>
      <c r="F2224" s="17" t="s">
        <v>1008</v>
      </c>
      <c r="G2224" s="18" t="n">
        <v>0</v>
      </c>
      <c r="H2224" s="18" t="n">
        <v>160.66</v>
      </c>
      <c r="I2224" s="18" t="n">
        <f aca="false">((I2223 + G2224) - H2224)</f>
        <v>-159257.53</v>
      </c>
      <c r="J2224" s="18" t="n">
        <v>0</v>
      </c>
      <c r="K2224" s="19" t="n">
        <v>0</v>
      </c>
      <c r="L2224" s="17" t="s">
        <v>88</v>
      </c>
    </row>
    <row r="2225" s="11" customFormat="true" ht="10.95" hidden="false" customHeight="true" outlineLevel="0" collapsed="false">
      <c r="A2225" s="16" t="n">
        <v>45343</v>
      </c>
      <c r="B2225" s="17" t="s">
        <v>939</v>
      </c>
      <c r="C2225" s="17" t="s">
        <v>788</v>
      </c>
      <c r="D2225" s="17" t="s">
        <v>19</v>
      </c>
      <c r="E2225" s="17" t="s">
        <v>991</v>
      </c>
      <c r="F2225" s="17" t="s">
        <v>1008</v>
      </c>
      <c r="G2225" s="18" t="n">
        <v>0</v>
      </c>
      <c r="H2225" s="18" t="n">
        <v>160.66</v>
      </c>
      <c r="I2225" s="18" t="n">
        <f aca="false">((I2224 + G2225) - H2225)</f>
        <v>-159418.19</v>
      </c>
      <c r="J2225" s="18" t="n">
        <v>0</v>
      </c>
      <c r="K2225" s="19" t="n">
        <v>0</v>
      </c>
      <c r="L2225" s="17" t="s">
        <v>88</v>
      </c>
    </row>
    <row r="2226" s="11" customFormat="true" ht="10.95" hidden="false" customHeight="true" outlineLevel="0" collapsed="false">
      <c r="A2226" s="16" t="n">
        <v>45343</v>
      </c>
      <c r="B2226" s="17" t="s">
        <v>939</v>
      </c>
      <c r="C2226" s="17" t="s">
        <v>788</v>
      </c>
      <c r="D2226" s="17" t="s">
        <v>19</v>
      </c>
      <c r="E2226" s="17" t="s">
        <v>991</v>
      </c>
      <c r="F2226" s="17" t="s">
        <v>1009</v>
      </c>
      <c r="G2226" s="18" t="n">
        <v>0</v>
      </c>
      <c r="H2226" s="18" t="n">
        <v>107.11</v>
      </c>
      <c r="I2226" s="18" t="n">
        <f aca="false">((I2225 + G2226) - H2226)</f>
        <v>-159525.3</v>
      </c>
      <c r="J2226" s="18" t="n">
        <v>0</v>
      </c>
      <c r="K2226" s="19" t="n">
        <v>0</v>
      </c>
      <c r="L2226" s="17" t="s">
        <v>88</v>
      </c>
    </row>
    <row r="2227" s="11" customFormat="true" ht="10.95" hidden="false" customHeight="true" outlineLevel="0" collapsed="false">
      <c r="A2227" s="16" t="n">
        <v>45343</v>
      </c>
      <c r="B2227" s="17" t="s">
        <v>939</v>
      </c>
      <c r="C2227" s="17" t="s">
        <v>788</v>
      </c>
      <c r="D2227" s="17" t="s">
        <v>19</v>
      </c>
      <c r="E2227" s="17" t="s">
        <v>991</v>
      </c>
      <c r="F2227" s="17" t="s">
        <v>1009</v>
      </c>
      <c r="G2227" s="18" t="n">
        <v>0</v>
      </c>
      <c r="H2227" s="18" t="n">
        <v>107.1</v>
      </c>
      <c r="I2227" s="18" t="n">
        <f aca="false">((I2226 + G2227) - H2227)</f>
        <v>-159632.4</v>
      </c>
      <c r="J2227" s="18" t="n">
        <v>0</v>
      </c>
      <c r="K2227" s="19" t="n">
        <v>0</v>
      </c>
      <c r="L2227" s="17" t="s">
        <v>88</v>
      </c>
    </row>
    <row r="2228" s="11" customFormat="true" ht="10.95" hidden="false" customHeight="true" outlineLevel="0" collapsed="false">
      <c r="A2228" s="16" t="n">
        <v>45343</v>
      </c>
      <c r="B2228" s="17" t="s">
        <v>939</v>
      </c>
      <c r="C2228" s="17" t="s">
        <v>788</v>
      </c>
      <c r="D2228" s="17" t="s">
        <v>19</v>
      </c>
      <c r="E2228" s="17" t="s">
        <v>991</v>
      </c>
      <c r="F2228" s="17" t="s">
        <v>1009</v>
      </c>
      <c r="G2228" s="18" t="n">
        <v>0</v>
      </c>
      <c r="H2228" s="18" t="n">
        <v>107.1</v>
      </c>
      <c r="I2228" s="18" t="n">
        <f aca="false">((I2227 + G2228) - H2228)</f>
        <v>-159739.5</v>
      </c>
      <c r="J2228" s="18" t="n">
        <v>0</v>
      </c>
      <c r="K2228" s="19" t="n">
        <v>0</v>
      </c>
      <c r="L2228" s="17" t="s">
        <v>88</v>
      </c>
    </row>
    <row r="2229" s="11" customFormat="true" ht="10.95" hidden="false" customHeight="true" outlineLevel="0" collapsed="false">
      <c r="A2229" s="16" t="n">
        <v>45345</v>
      </c>
      <c r="B2229" s="17" t="s">
        <v>939</v>
      </c>
      <c r="C2229" s="17" t="s">
        <v>788</v>
      </c>
      <c r="D2229" s="17" t="s">
        <v>19</v>
      </c>
      <c r="E2229" s="17" t="s">
        <v>1010</v>
      </c>
      <c r="F2229" s="17" t="s">
        <v>1011</v>
      </c>
      <c r="G2229" s="18" t="n">
        <v>0</v>
      </c>
      <c r="H2229" s="18" t="n">
        <v>594.23</v>
      </c>
      <c r="I2229" s="18" t="n">
        <f aca="false">((I2228 + G2229) - H2229)</f>
        <v>-160333.73</v>
      </c>
      <c r="J2229" s="18" t="n">
        <v>0</v>
      </c>
      <c r="K2229" s="19" t="n">
        <v>0</v>
      </c>
      <c r="L2229" s="17" t="s">
        <v>88</v>
      </c>
    </row>
    <row r="2230" s="11" customFormat="true" ht="10.95" hidden="false" customHeight="true" outlineLevel="0" collapsed="false">
      <c r="A2230" s="16" t="n">
        <v>45345</v>
      </c>
      <c r="B2230" s="17" t="s">
        <v>939</v>
      </c>
      <c r="C2230" s="17" t="s">
        <v>788</v>
      </c>
      <c r="D2230" s="17" t="s">
        <v>19</v>
      </c>
      <c r="E2230" s="17" t="s">
        <v>1012</v>
      </c>
      <c r="F2230" s="17" t="s">
        <v>1011</v>
      </c>
      <c r="G2230" s="18" t="n">
        <v>0</v>
      </c>
      <c r="H2230" s="18" t="n">
        <v>222.83</v>
      </c>
      <c r="I2230" s="18" t="n">
        <f aca="false">((I2229 + G2230) - H2230)</f>
        <v>-160556.56</v>
      </c>
      <c r="J2230" s="18" t="n">
        <v>0</v>
      </c>
      <c r="K2230" s="19" t="n">
        <v>0</v>
      </c>
      <c r="L2230" s="17" t="s">
        <v>88</v>
      </c>
    </row>
    <row r="2231" s="11" customFormat="true" ht="10.95" hidden="false" customHeight="true" outlineLevel="0" collapsed="false">
      <c r="A2231" s="16" t="n">
        <v>45345</v>
      </c>
      <c r="B2231" s="17" t="s">
        <v>939</v>
      </c>
      <c r="C2231" s="17" t="s">
        <v>788</v>
      </c>
      <c r="D2231" s="17" t="s">
        <v>19</v>
      </c>
      <c r="E2231" s="17" t="s">
        <v>1012</v>
      </c>
      <c r="F2231" s="17" t="s">
        <v>1011</v>
      </c>
      <c r="G2231" s="18" t="n">
        <v>0</v>
      </c>
      <c r="H2231" s="18" t="n">
        <v>222.83</v>
      </c>
      <c r="I2231" s="18" t="n">
        <f aca="false">((I2230 + G2231) - H2231)</f>
        <v>-160779.39</v>
      </c>
      <c r="J2231" s="18" t="n">
        <v>0</v>
      </c>
      <c r="K2231" s="19" t="n">
        <v>0</v>
      </c>
      <c r="L2231" s="17" t="s">
        <v>88</v>
      </c>
    </row>
    <row r="2232" s="11" customFormat="true" ht="10.95" hidden="false" customHeight="true" outlineLevel="0" collapsed="false">
      <c r="A2232" s="16" t="n">
        <v>45345</v>
      </c>
      <c r="B2232" s="17" t="s">
        <v>939</v>
      </c>
      <c r="C2232" s="17" t="s">
        <v>788</v>
      </c>
      <c r="D2232" s="17" t="s">
        <v>19</v>
      </c>
      <c r="E2232" s="17" t="s">
        <v>1012</v>
      </c>
      <c r="F2232" s="17" t="s">
        <v>1011</v>
      </c>
      <c r="G2232" s="18" t="n">
        <v>0</v>
      </c>
      <c r="H2232" s="18" t="n">
        <v>222.83</v>
      </c>
      <c r="I2232" s="18" t="n">
        <f aca="false">((I2231 + G2232) - H2232)</f>
        <v>-161002.22</v>
      </c>
      <c r="J2232" s="18" t="n">
        <v>0</v>
      </c>
      <c r="K2232" s="19" t="n">
        <v>0</v>
      </c>
      <c r="L2232" s="17" t="s">
        <v>88</v>
      </c>
    </row>
    <row r="2233" s="11" customFormat="true" ht="10.95" hidden="false" customHeight="true" outlineLevel="0" collapsed="false">
      <c r="A2233" s="16" t="n">
        <v>45351</v>
      </c>
      <c r="B2233" s="17" t="s">
        <v>939</v>
      </c>
      <c r="C2233" s="17" t="s">
        <v>788</v>
      </c>
      <c r="D2233" s="17" t="s">
        <v>19</v>
      </c>
      <c r="E2233" s="17" t="s">
        <v>1013</v>
      </c>
      <c r="F2233" s="17" t="s">
        <v>1014</v>
      </c>
      <c r="G2233" s="18" t="n">
        <v>0</v>
      </c>
      <c r="H2233" s="18" t="n">
        <v>3003.93</v>
      </c>
      <c r="I2233" s="18" t="n">
        <f aca="false">((I2232 + G2233) - H2233)</f>
        <v>-164006.15</v>
      </c>
      <c r="J2233" s="18" t="n">
        <v>0</v>
      </c>
      <c r="K2233" s="19" t="n">
        <v>0</v>
      </c>
      <c r="L2233" s="17" t="s">
        <v>88</v>
      </c>
    </row>
    <row r="2234" s="11" customFormat="true" ht="10.95" hidden="false" customHeight="true" outlineLevel="0" collapsed="false">
      <c r="A2234" s="16" t="n">
        <v>45355</v>
      </c>
      <c r="B2234" s="17" t="s">
        <v>939</v>
      </c>
      <c r="C2234" s="17" t="s">
        <v>788</v>
      </c>
      <c r="D2234" s="17" t="s">
        <v>19</v>
      </c>
      <c r="E2234" s="17" t="s">
        <v>940</v>
      </c>
      <c r="F2234" s="17" t="s">
        <v>941</v>
      </c>
      <c r="G2234" s="18" t="n">
        <v>0</v>
      </c>
      <c r="H2234" s="18" t="n">
        <v>5979.83</v>
      </c>
      <c r="I2234" s="18" t="n">
        <f aca="false">((I2233 + G2234) - H2234)</f>
        <v>-169985.98</v>
      </c>
      <c r="J2234" s="18" t="n">
        <v>0</v>
      </c>
      <c r="K2234" s="19" t="n">
        <v>0</v>
      </c>
      <c r="L2234" s="17" t="s">
        <v>88</v>
      </c>
    </row>
    <row r="2235" s="11" customFormat="true" ht="10.95" hidden="false" customHeight="true" outlineLevel="0" collapsed="false">
      <c r="A2235" s="16" t="n">
        <v>45366</v>
      </c>
      <c r="B2235" s="17" t="s">
        <v>939</v>
      </c>
      <c r="C2235" s="17" t="s">
        <v>788</v>
      </c>
      <c r="D2235" s="17" t="s">
        <v>19</v>
      </c>
      <c r="E2235" s="17" t="s">
        <v>1015</v>
      </c>
      <c r="F2235" s="17" t="s">
        <v>1016</v>
      </c>
      <c r="G2235" s="18" t="n">
        <v>0</v>
      </c>
      <c r="H2235" s="18" t="n">
        <v>1292.67</v>
      </c>
      <c r="I2235" s="18" t="n">
        <f aca="false">((I2234 + G2235) - H2235)</f>
        <v>-171278.65</v>
      </c>
      <c r="J2235" s="18" t="n">
        <v>0</v>
      </c>
      <c r="K2235" s="19" t="n">
        <v>0</v>
      </c>
      <c r="L2235" s="17" t="s">
        <v>88</v>
      </c>
    </row>
    <row r="2236" s="11" customFormat="true" ht="10.95" hidden="false" customHeight="true" outlineLevel="0" collapsed="false">
      <c r="A2236" s="16" t="n">
        <v>45366</v>
      </c>
      <c r="B2236" s="17" t="s">
        <v>939</v>
      </c>
      <c r="C2236" s="17" t="s">
        <v>788</v>
      </c>
      <c r="D2236" s="17" t="s">
        <v>19</v>
      </c>
      <c r="E2236" s="17" t="s">
        <v>1017</v>
      </c>
      <c r="F2236" s="17" t="s">
        <v>1016</v>
      </c>
      <c r="G2236" s="18" t="n">
        <v>0</v>
      </c>
      <c r="H2236" s="18" t="n">
        <v>819.74</v>
      </c>
      <c r="I2236" s="18" t="n">
        <f aca="false">((I2235 + G2236) - H2236)</f>
        <v>-172098.39</v>
      </c>
      <c r="J2236" s="18" t="n">
        <v>0</v>
      </c>
      <c r="K2236" s="19" t="n">
        <v>0</v>
      </c>
      <c r="L2236" s="17" t="s">
        <v>88</v>
      </c>
    </row>
    <row r="2237" s="11" customFormat="true" ht="10.95" hidden="false" customHeight="true" outlineLevel="0" collapsed="false">
      <c r="A2237" s="16" t="n">
        <v>45366</v>
      </c>
      <c r="B2237" s="17" t="s">
        <v>939</v>
      </c>
      <c r="C2237" s="17" t="s">
        <v>788</v>
      </c>
      <c r="D2237" s="17" t="s">
        <v>19</v>
      </c>
      <c r="E2237" s="17" t="s">
        <v>1017</v>
      </c>
      <c r="F2237" s="17" t="s">
        <v>1016</v>
      </c>
      <c r="G2237" s="18" t="n">
        <v>0</v>
      </c>
      <c r="H2237" s="18" t="n">
        <v>819.74</v>
      </c>
      <c r="I2237" s="18" t="n">
        <f aca="false">((I2236 + G2237) - H2237)</f>
        <v>-172918.13</v>
      </c>
      <c r="J2237" s="18" t="n">
        <v>0</v>
      </c>
      <c r="K2237" s="19" t="n">
        <v>0</v>
      </c>
      <c r="L2237" s="17" t="s">
        <v>88</v>
      </c>
    </row>
    <row r="2238" s="11" customFormat="true" ht="10.95" hidden="false" customHeight="true" outlineLevel="0" collapsed="false">
      <c r="A2238" s="16" t="n">
        <v>45366</v>
      </c>
      <c r="B2238" s="17" t="s">
        <v>939</v>
      </c>
      <c r="C2238" s="17" t="s">
        <v>788</v>
      </c>
      <c r="D2238" s="17" t="s">
        <v>19</v>
      </c>
      <c r="E2238" s="17" t="s">
        <v>1017</v>
      </c>
      <c r="F2238" s="17" t="s">
        <v>1016</v>
      </c>
      <c r="G2238" s="18" t="n">
        <v>0</v>
      </c>
      <c r="H2238" s="18" t="n">
        <v>819.74</v>
      </c>
      <c r="I2238" s="18" t="n">
        <f aca="false">((I2237 + G2238) - H2238)</f>
        <v>-173737.87</v>
      </c>
      <c r="J2238" s="18" t="n">
        <v>0</v>
      </c>
      <c r="K2238" s="19" t="n">
        <v>0</v>
      </c>
      <c r="L2238" s="17" t="s">
        <v>88</v>
      </c>
    </row>
    <row r="2239" s="11" customFormat="true" ht="10.95" hidden="false" customHeight="true" outlineLevel="0" collapsed="false">
      <c r="A2239" s="16" t="n">
        <v>45366</v>
      </c>
      <c r="B2239" s="17" t="s">
        <v>939</v>
      </c>
      <c r="C2239" s="17" t="s">
        <v>788</v>
      </c>
      <c r="D2239" s="17" t="s">
        <v>19</v>
      </c>
      <c r="E2239" s="17" t="s">
        <v>1017</v>
      </c>
      <c r="F2239" s="17" t="s">
        <v>1016</v>
      </c>
      <c r="G2239" s="18" t="n">
        <v>0</v>
      </c>
      <c r="H2239" s="18" t="n">
        <v>819.74</v>
      </c>
      <c r="I2239" s="18" t="n">
        <f aca="false">((I2238 + G2239) - H2239)</f>
        <v>-174557.61</v>
      </c>
      <c r="J2239" s="18" t="n">
        <v>0</v>
      </c>
      <c r="K2239" s="19" t="n">
        <v>0</v>
      </c>
      <c r="L2239" s="17" t="s">
        <v>88</v>
      </c>
    </row>
    <row r="2240" s="11" customFormat="true" ht="10.95" hidden="false" customHeight="true" outlineLevel="0" collapsed="false">
      <c r="A2240" s="16" t="n">
        <v>45366</v>
      </c>
      <c r="B2240" s="17" t="s">
        <v>939</v>
      </c>
      <c r="C2240" s="17" t="s">
        <v>788</v>
      </c>
      <c r="D2240" s="17" t="s">
        <v>19</v>
      </c>
      <c r="E2240" s="17" t="s">
        <v>1017</v>
      </c>
      <c r="F2240" s="17" t="s">
        <v>1016</v>
      </c>
      <c r="G2240" s="18" t="n">
        <v>0</v>
      </c>
      <c r="H2240" s="18" t="n">
        <v>819.73</v>
      </c>
      <c r="I2240" s="18" t="n">
        <f aca="false">((I2239 + G2240) - H2240)</f>
        <v>-175377.34</v>
      </c>
      <c r="J2240" s="18" t="n">
        <v>0</v>
      </c>
      <c r="K2240" s="19" t="n">
        <v>0</v>
      </c>
      <c r="L2240" s="17" t="s">
        <v>88</v>
      </c>
    </row>
    <row r="2241" s="11" customFormat="true" ht="10.95" hidden="false" customHeight="true" outlineLevel="0" collapsed="false">
      <c r="A2241" s="16" t="n">
        <v>45366</v>
      </c>
      <c r="B2241" s="17" t="s">
        <v>939</v>
      </c>
      <c r="C2241" s="17" t="s">
        <v>788</v>
      </c>
      <c r="D2241" s="17" t="s">
        <v>19</v>
      </c>
      <c r="E2241" s="17" t="s">
        <v>1017</v>
      </c>
      <c r="F2241" s="17" t="s">
        <v>1016</v>
      </c>
      <c r="G2241" s="18" t="n">
        <v>0</v>
      </c>
      <c r="H2241" s="18" t="n">
        <v>819.73</v>
      </c>
      <c r="I2241" s="18" t="n">
        <f aca="false">((I2240 + G2241) - H2241)</f>
        <v>-176197.07</v>
      </c>
      <c r="J2241" s="18" t="n">
        <v>0</v>
      </c>
      <c r="K2241" s="19" t="n">
        <v>0</v>
      </c>
      <c r="L2241" s="17" t="s">
        <v>88</v>
      </c>
    </row>
    <row r="2242" s="11" customFormat="true" ht="10.95" hidden="false" customHeight="true" outlineLevel="0" collapsed="false">
      <c r="A2242" s="16" t="n">
        <v>45366</v>
      </c>
      <c r="B2242" s="17" t="s">
        <v>939</v>
      </c>
      <c r="C2242" s="17" t="s">
        <v>788</v>
      </c>
      <c r="D2242" s="17" t="s">
        <v>19</v>
      </c>
      <c r="E2242" s="17" t="s">
        <v>1017</v>
      </c>
      <c r="F2242" s="17" t="s">
        <v>1016</v>
      </c>
      <c r="G2242" s="18" t="n">
        <v>0</v>
      </c>
      <c r="H2242" s="18" t="n">
        <v>819.73</v>
      </c>
      <c r="I2242" s="18" t="n">
        <f aca="false">((I2241 + G2242) - H2242)</f>
        <v>-177016.8</v>
      </c>
      <c r="J2242" s="18" t="n">
        <v>0</v>
      </c>
      <c r="K2242" s="19" t="n">
        <v>0</v>
      </c>
      <c r="L2242" s="17" t="s">
        <v>88</v>
      </c>
    </row>
    <row r="2243" s="11" customFormat="true" ht="10.95" hidden="false" customHeight="true" outlineLevel="0" collapsed="false">
      <c r="A2243" s="16" t="n">
        <v>45366</v>
      </c>
      <c r="B2243" s="17" t="s">
        <v>939</v>
      </c>
      <c r="C2243" s="17" t="s">
        <v>788</v>
      </c>
      <c r="D2243" s="17" t="s">
        <v>19</v>
      </c>
      <c r="E2243" s="17" t="s">
        <v>1017</v>
      </c>
      <c r="F2243" s="17" t="s">
        <v>1016</v>
      </c>
      <c r="G2243" s="18" t="n">
        <v>0</v>
      </c>
      <c r="H2243" s="18" t="n">
        <v>819.73</v>
      </c>
      <c r="I2243" s="18" t="n">
        <f aca="false">((I2242 + G2243) - H2243)</f>
        <v>-177836.53</v>
      </c>
      <c r="J2243" s="18" t="n">
        <v>0</v>
      </c>
      <c r="K2243" s="19" t="n">
        <v>0</v>
      </c>
      <c r="L2243" s="17" t="s">
        <v>88</v>
      </c>
    </row>
    <row r="2244" s="11" customFormat="true" ht="10.95" hidden="false" customHeight="true" outlineLevel="0" collapsed="false">
      <c r="A2244" s="16" t="n">
        <v>45366</v>
      </c>
      <c r="B2244" s="17" t="s">
        <v>939</v>
      </c>
      <c r="C2244" s="17" t="s">
        <v>788</v>
      </c>
      <c r="D2244" s="17" t="s">
        <v>19</v>
      </c>
      <c r="E2244" s="17" t="s">
        <v>1017</v>
      </c>
      <c r="F2244" s="17" t="s">
        <v>1016</v>
      </c>
      <c r="G2244" s="18" t="n">
        <v>0</v>
      </c>
      <c r="H2244" s="18" t="n">
        <v>819.73</v>
      </c>
      <c r="I2244" s="18" t="n">
        <f aca="false">((I2243 + G2244) - H2244)</f>
        <v>-178656.26</v>
      </c>
      <c r="J2244" s="18" t="n">
        <v>0</v>
      </c>
      <c r="K2244" s="19" t="n">
        <v>0</v>
      </c>
      <c r="L2244" s="17" t="s">
        <v>88</v>
      </c>
    </row>
    <row r="2245" s="11" customFormat="true" ht="10.95" hidden="false" customHeight="true" outlineLevel="0" collapsed="false">
      <c r="A2245" s="16" t="n">
        <v>45366</v>
      </c>
      <c r="B2245" s="17" t="s">
        <v>939</v>
      </c>
      <c r="C2245" s="17" t="s">
        <v>788</v>
      </c>
      <c r="D2245" s="17" t="s">
        <v>19</v>
      </c>
      <c r="E2245" s="17" t="s">
        <v>1017</v>
      </c>
      <c r="F2245" s="17" t="s">
        <v>1016</v>
      </c>
      <c r="G2245" s="18" t="n">
        <v>0</v>
      </c>
      <c r="H2245" s="18" t="n">
        <v>819.73</v>
      </c>
      <c r="I2245" s="18" t="n">
        <f aca="false">((I2244 + G2245) - H2245)</f>
        <v>-179475.99</v>
      </c>
      <c r="J2245" s="18" t="n">
        <v>0</v>
      </c>
      <c r="K2245" s="19" t="n">
        <v>0</v>
      </c>
      <c r="L2245" s="17" t="s">
        <v>88</v>
      </c>
    </row>
    <row r="2246" s="11" customFormat="true" ht="10.95" hidden="false" customHeight="true" outlineLevel="0" collapsed="false">
      <c r="A2246" s="16" t="n">
        <v>45366</v>
      </c>
      <c r="B2246" s="17" t="s">
        <v>939</v>
      </c>
      <c r="C2246" s="17" t="s">
        <v>788</v>
      </c>
      <c r="D2246" s="17" t="s">
        <v>19</v>
      </c>
      <c r="E2246" s="17" t="s">
        <v>1017</v>
      </c>
      <c r="F2246" s="17" t="s">
        <v>1016</v>
      </c>
      <c r="G2246" s="18" t="n">
        <v>0</v>
      </c>
      <c r="H2246" s="18" t="n">
        <v>819.73</v>
      </c>
      <c r="I2246" s="18" t="n">
        <f aca="false">((I2245 + G2246) - H2246)</f>
        <v>-180295.72</v>
      </c>
      <c r="J2246" s="18" t="n">
        <v>0</v>
      </c>
      <c r="K2246" s="19" t="n">
        <v>0</v>
      </c>
      <c r="L2246" s="17" t="s">
        <v>88</v>
      </c>
    </row>
    <row r="2247" s="11" customFormat="true" ht="10.95" hidden="false" customHeight="true" outlineLevel="0" collapsed="false">
      <c r="A2247" s="16" t="n">
        <v>45366</v>
      </c>
      <c r="B2247" s="17" t="s">
        <v>939</v>
      </c>
      <c r="C2247" s="17" t="s">
        <v>788</v>
      </c>
      <c r="D2247" s="17" t="s">
        <v>19</v>
      </c>
      <c r="E2247" s="17" t="s">
        <v>1017</v>
      </c>
      <c r="F2247" s="17" t="s">
        <v>1016</v>
      </c>
      <c r="G2247" s="18" t="n">
        <v>0</v>
      </c>
      <c r="H2247" s="18" t="n">
        <v>819.73</v>
      </c>
      <c r="I2247" s="18" t="n">
        <f aca="false">((I2246 + G2247) - H2247)</f>
        <v>-181115.45</v>
      </c>
      <c r="J2247" s="18" t="n">
        <v>0</v>
      </c>
      <c r="K2247" s="19" t="n">
        <v>0</v>
      </c>
      <c r="L2247" s="17" t="s">
        <v>88</v>
      </c>
    </row>
    <row r="2248" s="11" customFormat="true" ht="10.95" hidden="false" customHeight="true" outlineLevel="0" collapsed="false">
      <c r="A2248" s="16" t="n">
        <v>45372</v>
      </c>
      <c r="B2248" s="17" t="s">
        <v>939</v>
      </c>
      <c r="C2248" s="17" t="s">
        <v>788</v>
      </c>
      <c r="D2248" s="17" t="s">
        <v>19</v>
      </c>
      <c r="E2248" s="17" t="s">
        <v>1012</v>
      </c>
      <c r="F2248" s="17" t="s">
        <v>1018</v>
      </c>
      <c r="G2248" s="18" t="n">
        <v>0</v>
      </c>
      <c r="H2248" s="18" t="n">
        <v>223.12</v>
      </c>
      <c r="I2248" s="18" t="n">
        <f aca="false">((I2247 + G2248) - H2248)</f>
        <v>-181338.57</v>
      </c>
      <c r="J2248" s="18" t="n">
        <v>0</v>
      </c>
      <c r="K2248" s="19" t="n">
        <v>0</v>
      </c>
      <c r="L2248" s="17" t="s">
        <v>88</v>
      </c>
    </row>
    <row r="2249" s="11" customFormat="true" ht="10.95" hidden="false" customHeight="true" outlineLevel="0" collapsed="false">
      <c r="A2249" s="16" t="n">
        <v>45372</v>
      </c>
      <c r="B2249" s="17" t="s">
        <v>939</v>
      </c>
      <c r="C2249" s="17" t="s">
        <v>788</v>
      </c>
      <c r="D2249" s="17" t="s">
        <v>19</v>
      </c>
      <c r="E2249" s="17" t="s">
        <v>984</v>
      </c>
      <c r="F2249" s="17" t="s">
        <v>1019</v>
      </c>
      <c r="G2249" s="18" t="n">
        <v>0</v>
      </c>
      <c r="H2249" s="18" t="n">
        <v>718.95</v>
      </c>
      <c r="I2249" s="18" t="n">
        <f aca="false">((I2248 + G2249) - H2249)</f>
        <v>-182057.52</v>
      </c>
      <c r="J2249" s="18" t="n">
        <v>0</v>
      </c>
      <c r="K2249" s="19" t="n">
        <v>0</v>
      </c>
      <c r="L2249" s="17" t="s">
        <v>88</v>
      </c>
    </row>
    <row r="2250" s="11" customFormat="true" ht="10.95" hidden="false" customHeight="true" outlineLevel="0" collapsed="false">
      <c r="A2250" s="16" t="n">
        <v>45372</v>
      </c>
      <c r="B2250" s="17" t="s">
        <v>939</v>
      </c>
      <c r="C2250" s="17" t="s">
        <v>788</v>
      </c>
      <c r="D2250" s="17" t="s">
        <v>19</v>
      </c>
      <c r="E2250" s="17" t="s">
        <v>986</v>
      </c>
      <c r="F2250" s="17" t="s">
        <v>1019</v>
      </c>
      <c r="G2250" s="18" t="n">
        <v>0</v>
      </c>
      <c r="H2250" s="18" t="n">
        <v>190.06</v>
      </c>
      <c r="I2250" s="18" t="n">
        <f aca="false">((I2249 + G2250) - H2250)</f>
        <v>-182247.58</v>
      </c>
      <c r="J2250" s="18" t="n">
        <v>0</v>
      </c>
      <c r="K2250" s="19" t="n">
        <v>0</v>
      </c>
      <c r="L2250" s="17" t="s">
        <v>88</v>
      </c>
    </row>
    <row r="2251" s="11" customFormat="true" ht="10.95" hidden="false" customHeight="true" outlineLevel="0" collapsed="false">
      <c r="A2251" s="16" t="n">
        <v>45372</v>
      </c>
      <c r="B2251" s="17" t="s">
        <v>939</v>
      </c>
      <c r="C2251" s="17" t="s">
        <v>788</v>
      </c>
      <c r="D2251" s="17" t="s">
        <v>19</v>
      </c>
      <c r="E2251" s="17" t="s">
        <v>958</v>
      </c>
      <c r="F2251" s="17" t="s">
        <v>1020</v>
      </c>
      <c r="G2251" s="18" t="n">
        <v>0</v>
      </c>
      <c r="H2251" s="18" t="n">
        <v>371.86</v>
      </c>
      <c r="I2251" s="18" t="n">
        <f aca="false">((I2250 + G2251) - H2251)</f>
        <v>-182619.44</v>
      </c>
      <c r="J2251" s="18" t="n">
        <v>0</v>
      </c>
      <c r="K2251" s="19" t="n">
        <v>0</v>
      </c>
      <c r="L2251" s="17" t="s">
        <v>88</v>
      </c>
    </row>
    <row r="2252" s="11" customFormat="true" ht="10.95" hidden="false" customHeight="true" outlineLevel="0" collapsed="false">
      <c r="A2252" s="16" t="n">
        <v>45372</v>
      </c>
      <c r="B2252" s="17" t="s">
        <v>939</v>
      </c>
      <c r="C2252" s="17" t="s">
        <v>788</v>
      </c>
      <c r="D2252" s="17" t="s">
        <v>19</v>
      </c>
      <c r="E2252" s="17" t="s">
        <v>960</v>
      </c>
      <c r="F2252" s="17" t="s">
        <v>1020</v>
      </c>
      <c r="G2252" s="18" t="n">
        <v>0</v>
      </c>
      <c r="H2252" s="18" t="n">
        <v>82.64</v>
      </c>
      <c r="I2252" s="18" t="n">
        <f aca="false">((I2251 + G2252) - H2252)</f>
        <v>-182702.08</v>
      </c>
      <c r="J2252" s="18" t="n">
        <v>0</v>
      </c>
      <c r="K2252" s="19" t="n">
        <v>0</v>
      </c>
      <c r="L2252" s="17" t="s">
        <v>88</v>
      </c>
    </row>
    <row r="2253" s="11" customFormat="true" ht="10.95" hidden="false" customHeight="true" outlineLevel="0" collapsed="false">
      <c r="A2253" s="16" t="n">
        <v>45372</v>
      </c>
      <c r="B2253" s="17" t="s">
        <v>939</v>
      </c>
      <c r="C2253" s="17" t="s">
        <v>788</v>
      </c>
      <c r="D2253" s="17" t="s">
        <v>19</v>
      </c>
      <c r="E2253" s="17" t="s">
        <v>961</v>
      </c>
      <c r="F2253" s="17" t="s">
        <v>1020</v>
      </c>
      <c r="G2253" s="18" t="n">
        <v>0</v>
      </c>
      <c r="H2253" s="18" t="n">
        <v>669.36</v>
      </c>
      <c r="I2253" s="18" t="n">
        <f aca="false">((I2252 + G2253) - H2253)</f>
        <v>-183371.44</v>
      </c>
      <c r="J2253" s="18" t="n">
        <v>0</v>
      </c>
      <c r="K2253" s="19" t="n">
        <v>0</v>
      </c>
      <c r="L2253" s="17" t="s">
        <v>88</v>
      </c>
    </row>
    <row r="2254" s="11" customFormat="true" ht="10.95" hidden="false" customHeight="true" outlineLevel="0" collapsed="false">
      <c r="A2254" s="16" t="n">
        <v>45372</v>
      </c>
      <c r="B2254" s="17" t="s">
        <v>939</v>
      </c>
      <c r="C2254" s="17" t="s">
        <v>788</v>
      </c>
      <c r="D2254" s="17" t="s">
        <v>19</v>
      </c>
      <c r="E2254" s="17" t="s">
        <v>962</v>
      </c>
      <c r="F2254" s="17" t="s">
        <v>1020</v>
      </c>
      <c r="G2254" s="18" t="n">
        <v>0</v>
      </c>
      <c r="H2254" s="18" t="n">
        <v>702.41</v>
      </c>
      <c r="I2254" s="18" t="n">
        <f aca="false">((I2253 + G2254) - H2254)</f>
        <v>-184073.85</v>
      </c>
      <c r="J2254" s="18" t="n">
        <v>0</v>
      </c>
      <c r="K2254" s="19" t="n">
        <v>0</v>
      </c>
      <c r="L2254" s="17" t="s">
        <v>88</v>
      </c>
    </row>
    <row r="2255" s="11" customFormat="true" ht="10.95" hidden="false" customHeight="true" outlineLevel="0" collapsed="false">
      <c r="A2255" s="16" t="n">
        <v>45372</v>
      </c>
      <c r="B2255" s="17" t="s">
        <v>939</v>
      </c>
      <c r="C2255" s="17" t="s">
        <v>788</v>
      </c>
      <c r="D2255" s="17" t="s">
        <v>19</v>
      </c>
      <c r="E2255" s="17" t="s">
        <v>955</v>
      </c>
      <c r="F2255" s="17" t="s">
        <v>1021</v>
      </c>
      <c r="G2255" s="18" t="n">
        <v>0</v>
      </c>
      <c r="H2255" s="18" t="n">
        <v>7708.03</v>
      </c>
      <c r="I2255" s="18" t="n">
        <f aca="false">((I2254 + G2255) - H2255)</f>
        <v>-191781.88</v>
      </c>
      <c r="J2255" s="18" t="n">
        <v>0</v>
      </c>
      <c r="K2255" s="19" t="n">
        <v>0</v>
      </c>
      <c r="L2255" s="17" t="s">
        <v>88</v>
      </c>
    </row>
    <row r="2256" s="11" customFormat="true" ht="10.95" hidden="false" customHeight="true" outlineLevel="0" collapsed="false">
      <c r="A2256" s="16" t="n">
        <v>45372</v>
      </c>
      <c r="B2256" s="17" t="s">
        <v>939</v>
      </c>
      <c r="C2256" s="17" t="s">
        <v>788</v>
      </c>
      <c r="D2256" s="17" t="s">
        <v>19</v>
      </c>
      <c r="E2256" s="17" t="s">
        <v>957</v>
      </c>
      <c r="F2256" s="17" t="s">
        <v>1021</v>
      </c>
      <c r="G2256" s="18" t="n">
        <v>0</v>
      </c>
      <c r="H2256" s="18" t="n">
        <v>1813.66</v>
      </c>
      <c r="I2256" s="18" t="n">
        <f aca="false">((I2255 + G2256) - H2256)</f>
        <v>-193595.54</v>
      </c>
      <c r="J2256" s="18" t="n">
        <v>0</v>
      </c>
      <c r="K2256" s="19" t="n">
        <v>0</v>
      </c>
      <c r="L2256" s="17" t="s">
        <v>88</v>
      </c>
    </row>
    <row r="2257" s="11" customFormat="true" ht="10.95" hidden="false" customHeight="true" outlineLevel="0" collapsed="false">
      <c r="A2257" s="16" t="n">
        <v>45372</v>
      </c>
      <c r="B2257" s="17" t="s">
        <v>939</v>
      </c>
      <c r="C2257" s="17" t="s">
        <v>788</v>
      </c>
      <c r="D2257" s="17" t="s">
        <v>19</v>
      </c>
      <c r="E2257" s="17" t="s">
        <v>977</v>
      </c>
      <c r="F2257" s="17" t="s">
        <v>1021</v>
      </c>
      <c r="G2257" s="18" t="n">
        <v>0</v>
      </c>
      <c r="H2257" s="18" t="n">
        <v>241.82</v>
      </c>
      <c r="I2257" s="18" t="n">
        <f aca="false">((I2256 + G2257) - H2257)</f>
        <v>-193837.36</v>
      </c>
      <c r="J2257" s="18" t="n">
        <v>0</v>
      </c>
      <c r="K2257" s="19" t="n">
        <v>0</v>
      </c>
      <c r="L2257" s="17" t="s">
        <v>88</v>
      </c>
    </row>
    <row r="2258" s="11" customFormat="true" ht="10.95" hidden="false" customHeight="true" outlineLevel="0" collapsed="false">
      <c r="A2258" s="16" t="n">
        <v>45372</v>
      </c>
      <c r="B2258" s="17" t="s">
        <v>939</v>
      </c>
      <c r="C2258" s="17" t="s">
        <v>788</v>
      </c>
      <c r="D2258" s="17" t="s">
        <v>19</v>
      </c>
      <c r="E2258" s="17" t="s">
        <v>971</v>
      </c>
      <c r="F2258" s="17" t="s">
        <v>1022</v>
      </c>
      <c r="G2258" s="18" t="n">
        <v>0</v>
      </c>
      <c r="H2258" s="18" t="n">
        <v>322.35</v>
      </c>
      <c r="I2258" s="18" t="n">
        <f aca="false">((I2257 + G2258) - H2258)</f>
        <v>-194159.71</v>
      </c>
      <c r="J2258" s="18" t="n">
        <v>0</v>
      </c>
      <c r="K2258" s="19" t="n">
        <v>0</v>
      </c>
      <c r="L2258" s="17" t="s">
        <v>88</v>
      </c>
    </row>
    <row r="2259" s="11" customFormat="true" ht="10.95" hidden="false" customHeight="true" outlineLevel="0" collapsed="false">
      <c r="A2259" s="16" t="n">
        <v>45372</v>
      </c>
      <c r="B2259" s="17" t="s">
        <v>939</v>
      </c>
      <c r="C2259" s="17" t="s">
        <v>788</v>
      </c>
      <c r="D2259" s="17" t="s">
        <v>19</v>
      </c>
      <c r="E2259" s="17" t="s">
        <v>973</v>
      </c>
      <c r="F2259" s="17" t="s">
        <v>1022</v>
      </c>
      <c r="G2259" s="18" t="n">
        <v>0</v>
      </c>
      <c r="H2259" s="18" t="n">
        <v>8.59</v>
      </c>
      <c r="I2259" s="18" t="n">
        <f aca="false">((I2258 + G2259) - H2259)</f>
        <v>-194168.3</v>
      </c>
      <c r="J2259" s="18" t="n">
        <v>0</v>
      </c>
      <c r="K2259" s="19" t="n">
        <v>0</v>
      </c>
      <c r="L2259" s="17" t="s">
        <v>88</v>
      </c>
    </row>
    <row r="2260" s="11" customFormat="true" ht="10.95" hidden="false" customHeight="true" outlineLevel="0" collapsed="false">
      <c r="A2260" s="16" t="n">
        <v>45372</v>
      </c>
      <c r="B2260" s="17" t="s">
        <v>939</v>
      </c>
      <c r="C2260" s="17" t="s">
        <v>788</v>
      </c>
      <c r="D2260" s="17" t="s">
        <v>19</v>
      </c>
      <c r="E2260" s="17" t="s">
        <v>971</v>
      </c>
      <c r="F2260" s="17" t="s">
        <v>1022</v>
      </c>
      <c r="G2260" s="18" t="n">
        <v>0</v>
      </c>
      <c r="H2260" s="18" t="n">
        <v>322.36</v>
      </c>
      <c r="I2260" s="18" t="n">
        <f aca="false">((I2259 + G2260) - H2260)</f>
        <v>-194490.66</v>
      </c>
      <c r="J2260" s="18" t="n">
        <v>0</v>
      </c>
      <c r="K2260" s="19" t="n">
        <v>0</v>
      </c>
      <c r="L2260" s="17" t="s">
        <v>88</v>
      </c>
    </row>
    <row r="2261" s="11" customFormat="true" ht="10.95" hidden="false" customHeight="true" outlineLevel="0" collapsed="false">
      <c r="A2261" s="16" t="n">
        <v>45372</v>
      </c>
      <c r="B2261" s="17" t="s">
        <v>939</v>
      </c>
      <c r="C2261" s="17" t="s">
        <v>788</v>
      </c>
      <c r="D2261" s="17" t="s">
        <v>19</v>
      </c>
      <c r="E2261" s="17" t="s">
        <v>973</v>
      </c>
      <c r="F2261" s="17" t="s">
        <v>1022</v>
      </c>
      <c r="G2261" s="18" t="n">
        <v>0</v>
      </c>
      <c r="H2261" s="18" t="n">
        <v>8.6</v>
      </c>
      <c r="I2261" s="18" t="n">
        <f aca="false">((I2260 + G2261) - H2261)</f>
        <v>-194499.26</v>
      </c>
      <c r="J2261" s="18" t="n">
        <v>0</v>
      </c>
      <c r="K2261" s="19" t="n">
        <v>0</v>
      </c>
      <c r="L2261" s="17" t="s">
        <v>88</v>
      </c>
    </row>
    <row r="2262" s="11" customFormat="true" ht="10.95" hidden="false" customHeight="true" outlineLevel="0" collapsed="false">
      <c r="A2262" s="16" t="n">
        <v>45372</v>
      </c>
      <c r="B2262" s="17" t="s">
        <v>939</v>
      </c>
      <c r="C2262" s="17" t="s">
        <v>788</v>
      </c>
      <c r="D2262" s="17" t="s">
        <v>19</v>
      </c>
      <c r="E2262" s="17" t="s">
        <v>971</v>
      </c>
      <c r="F2262" s="17" t="s">
        <v>1022</v>
      </c>
      <c r="G2262" s="18" t="n">
        <v>0</v>
      </c>
      <c r="H2262" s="18" t="n">
        <v>322.36</v>
      </c>
      <c r="I2262" s="18" t="n">
        <f aca="false">((I2261 + G2262) - H2262)</f>
        <v>-194821.62</v>
      </c>
      <c r="J2262" s="18" t="n">
        <v>0</v>
      </c>
      <c r="K2262" s="19" t="n">
        <v>0</v>
      </c>
      <c r="L2262" s="17" t="s">
        <v>88</v>
      </c>
    </row>
    <row r="2263" s="11" customFormat="true" ht="10.95" hidden="false" customHeight="true" outlineLevel="0" collapsed="false">
      <c r="A2263" s="16" t="n">
        <v>45372</v>
      </c>
      <c r="B2263" s="17" t="s">
        <v>939</v>
      </c>
      <c r="C2263" s="17" t="s">
        <v>788</v>
      </c>
      <c r="D2263" s="17" t="s">
        <v>19</v>
      </c>
      <c r="E2263" s="17" t="s">
        <v>973</v>
      </c>
      <c r="F2263" s="17" t="s">
        <v>1022</v>
      </c>
      <c r="G2263" s="18" t="n">
        <v>0</v>
      </c>
      <c r="H2263" s="18" t="n">
        <v>8.6</v>
      </c>
      <c r="I2263" s="18" t="n">
        <f aca="false">((I2262 + G2263) - H2263)</f>
        <v>-194830.22</v>
      </c>
      <c r="J2263" s="18" t="n">
        <v>0</v>
      </c>
      <c r="K2263" s="19" t="n">
        <v>0</v>
      </c>
      <c r="L2263" s="17" t="s">
        <v>88</v>
      </c>
    </row>
    <row r="2264" s="11" customFormat="true" ht="10.95" hidden="false" customHeight="true" outlineLevel="0" collapsed="false">
      <c r="A2264" s="16" t="n">
        <v>45377</v>
      </c>
      <c r="B2264" s="17" t="s">
        <v>939</v>
      </c>
      <c r="C2264" s="17" t="s">
        <v>788</v>
      </c>
      <c r="D2264" s="17" t="s">
        <v>19</v>
      </c>
      <c r="E2264" s="17" t="s">
        <v>940</v>
      </c>
      <c r="F2264" s="17" t="s">
        <v>941</v>
      </c>
      <c r="G2264" s="18" t="n">
        <v>0</v>
      </c>
      <c r="H2264" s="18" t="n">
        <v>5965.38</v>
      </c>
      <c r="I2264" s="18" t="n">
        <f aca="false">((I2263 + G2264) - H2264)</f>
        <v>-200795.6</v>
      </c>
      <c r="J2264" s="18" t="n">
        <v>0</v>
      </c>
      <c r="K2264" s="19" t="n">
        <v>0</v>
      </c>
      <c r="L2264" s="17" t="s">
        <v>88</v>
      </c>
    </row>
    <row r="2265" s="11" customFormat="true" ht="10.95" hidden="false" customHeight="true" outlineLevel="0" collapsed="false">
      <c r="A2265" s="16" t="n">
        <v>45408</v>
      </c>
      <c r="B2265" s="17" t="s">
        <v>939</v>
      </c>
      <c r="C2265" s="17" t="s">
        <v>788</v>
      </c>
      <c r="D2265" s="17" t="s">
        <v>19</v>
      </c>
      <c r="E2265" s="17" t="s">
        <v>1012</v>
      </c>
      <c r="F2265" s="17" t="s">
        <v>1023</v>
      </c>
      <c r="G2265" s="18" t="n">
        <v>0</v>
      </c>
      <c r="H2265" s="18" t="n">
        <v>222.03</v>
      </c>
      <c r="I2265" s="18" t="n">
        <f aca="false">((I2264 + G2265) - H2265)</f>
        <v>-201017.63</v>
      </c>
      <c r="J2265" s="18" t="n">
        <v>0</v>
      </c>
      <c r="K2265" s="19" t="n">
        <v>0</v>
      </c>
      <c r="L2265" s="17" t="s">
        <v>88</v>
      </c>
    </row>
    <row r="2266" s="11" customFormat="true" ht="10.95" hidden="false" customHeight="true" outlineLevel="0" collapsed="false">
      <c r="A2266" s="16" t="n">
        <v>45408</v>
      </c>
      <c r="B2266" s="17" t="s">
        <v>939</v>
      </c>
      <c r="C2266" s="17" t="s">
        <v>788</v>
      </c>
      <c r="D2266" s="17" t="s">
        <v>19</v>
      </c>
      <c r="E2266" s="17" t="s">
        <v>984</v>
      </c>
      <c r="F2266" s="17" t="s">
        <v>1024</v>
      </c>
      <c r="G2266" s="18" t="n">
        <v>0</v>
      </c>
      <c r="H2266" s="18" t="n">
        <v>715.43</v>
      </c>
      <c r="I2266" s="18" t="n">
        <f aca="false">((I2265 + G2266) - H2266)</f>
        <v>-201733.06</v>
      </c>
      <c r="J2266" s="18" t="n">
        <v>0</v>
      </c>
      <c r="K2266" s="19" t="n">
        <v>0</v>
      </c>
      <c r="L2266" s="17" t="s">
        <v>88</v>
      </c>
    </row>
    <row r="2267" s="11" customFormat="true" ht="10.95" hidden="false" customHeight="true" outlineLevel="0" collapsed="false">
      <c r="A2267" s="16" t="n">
        <v>45408</v>
      </c>
      <c r="B2267" s="17" t="s">
        <v>939</v>
      </c>
      <c r="C2267" s="17" t="s">
        <v>788</v>
      </c>
      <c r="D2267" s="17" t="s">
        <v>19</v>
      </c>
      <c r="E2267" s="17" t="s">
        <v>986</v>
      </c>
      <c r="F2267" s="17" t="s">
        <v>1024</v>
      </c>
      <c r="G2267" s="18" t="n">
        <v>0</v>
      </c>
      <c r="H2267" s="18" t="n">
        <v>189.14</v>
      </c>
      <c r="I2267" s="18" t="n">
        <f aca="false">((I2266 + G2267) - H2267)</f>
        <v>-201922.2</v>
      </c>
      <c r="J2267" s="18" t="n">
        <v>0</v>
      </c>
      <c r="K2267" s="19" t="n">
        <v>0</v>
      </c>
      <c r="L2267" s="17" t="s">
        <v>88</v>
      </c>
    </row>
    <row r="2268" s="11" customFormat="true" ht="10.95" hidden="false" customHeight="true" outlineLevel="0" collapsed="false">
      <c r="A2268" s="16" t="n">
        <v>45408</v>
      </c>
      <c r="B2268" s="17" t="s">
        <v>939</v>
      </c>
      <c r="C2268" s="17" t="s">
        <v>788</v>
      </c>
      <c r="D2268" s="17" t="s">
        <v>19</v>
      </c>
      <c r="E2268" s="17" t="s">
        <v>958</v>
      </c>
      <c r="F2268" s="17" t="s">
        <v>1025</v>
      </c>
      <c r="G2268" s="18" t="n">
        <v>0</v>
      </c>
      <c r="H2268" s="18" t="n">
        <v>370.06</v>
      </c>
      <c r="I2268" s="18" t="n">
        <f aca="false">((I2267 + G2268) - H2268)</f>
        <v>-202292.26</v>
      </c>
      <c r="J2268" s="18" t="n">
        <v>0</v>
      </c>
      <c r="K2268" s="19" t="n">
        <v>0</v>
      </c>
      <c r="L2268" s="17" t="s">
        <v>88</v>
      </c>
    </row>
    <row r="2269" s="11" customFormat="true" ht="10.95" hidden="false" customHeight="true" outlineLevel="0" collapsed="false">
      <c r="A2269" s="16" t="n">
        <v>45408</v>
      </c>
      <c r="B2269" s="17" t="s">
        <v>939</v>
      </c>
      <c r="C2269" s="17" t="s">
        <v>788</v>
      </c>
      <c r="D2269" s="17" t="s">
        <v>19</v>
      </c>
      <c r="E2269" s="17" t="s">
        <v>960</v>
      </c>
      <c r="F2269" s="17" t="s">
        <v>1025</v>
      </c>
      <c r="G2269" s="18" t="n">
        <v>0</v>
      </c>
      <c r="H2269" s="18" t="n">
        <v>82.23</v>
      </c>
      <c r="I2269" s="18" t="n">
        <f aca="false">((I2268 + G2269) - H2269)</f>
        <v>-202374.49</v>
      </c>
      <c r="J2269" s="18" t="n">
        <v>0</v>
      </c>
      <c r="K2269" s="19" t="n">
        <v>0</v>
      </c>
      <c r="L2269" s="17" t="s">
        <v>88</v>
      </c>
    </row>
    <row r="2270" s="11" customFormat="true" ht="10.95" hidden="false" customHeight="true" outlineLevel="0" collapsed="false">
      <c r="A2270" s="16" t="n">
        <v>45408</v>
      </c>
      <c r="B2270" s="17" t="s">
        <v>939</v>
      </c>
      <c r="C2270" s="17" t="s">
        <v>788</v>
      </c>
      <c r="D2270" s="17" t="s">
        <v>19</v>
      </c>
      <c r="E2270" s="17" t="s">
        <v>961</v>
      </c>
      <c r="F2270" s="17" t="s">
        <v>1025</v>
      </c>
      <c r="G2270" s="18" t="n">
        <v>0</v>
      </c>
      <c r="H2270" s="18" t="n">
        <v>666.09</v>
      </c>
      <c r="I2270" s="18" t="n">
        <f aca="false">((I2269 + G2270) - H2270)</f>
        <v>-203040.58</v>
      </c>
      <c r="J2270" s="18" t="n">
        <v>0</v>
      </c>
      <c r="K2270" s="19" t="n">
        <v>0</v>
      </c>
      <c r="L2270" s="17" t="s">
        <v>88</v>
      </c>
    </row>
    <row r="2271" s="11" customFormat="true" ht="10.95" hidden="false" customHeight="true" outlineLevel="0" collapsed="false">
      <c r="A2271" s="16" t="n">
        <v>45408</v>
      </c>
      <c r="B2271" s="17" t="s">
        <v>939</v>
      </c>
      <c r="C2271" s="17" t="s">
        <v>788</v>
      </c>
      <c r="D2271" s="17" t="s">
        <v>19</v>
      </c>
      <c r="E2271" s="17" t="s">
        <v>962</v>
      </c>
      <c r="F2271" s="17" t="s">
        <v>1025</v>
      </c>
      <c r="G2271" s="18" t="n">
        <v>0</v>
      </c>
      <c r="H2271" s="18" t="n">
        <v>698.98</v>
      </c>
      <c r="I2271" s="18" t="n">
        <f aca="false">((I2270 + G2271) - H2271)</f>
        <v>-203739.56</v>
      </c>
      <c r="J2271" s="18" t="n">
        <v>0</v>
      </c>
      <c r="K2271" s="19" t="n">
        <v>0</v>
      </c>
      <c r="L2271" s="17" t="s">
        <v>88</v>
      </c>
    </row>
    <row r="2272" s="11" customFormat="true" ht="10.95" hidden="false" customHeight="true" outlineLevel="0" collapsed="false">
      <c r="A2272" s="16" t="n">
        <v>45408</v>
      </c>
      <c r="B2272" s="17" t="s">
        <v>939</v>
      </c>
      <c r="C2272" s="17" t="s">
        <v>788</v>
      </c>
      <c r="D2272" s="17" t="s">
        <v>19</v>
      </c>
      <c r="E2272" s="17" t="s">
        <v>955</v>
      </c>
      <c r="F2272" s="17" t="s">
        <v>1026</v>
      </c>
      <c r="G2272" s="18" t="n">
        <v>0</v>
      </c>
      <c r="H2272" s="18" t="n">
        <v>7895.92</v>
      </c>
      <c r="I2272" s="18" t="n">
        <f aca="false">((I2271 + G2272) - H2272)</f>
        <v>-211635.48</v>
      </c>
      <c r="J2272" s="18" t="n">
        <v>0</v>
      </c>
      <c r="K2272" s="19" t="n">
        <v>0</v>
      </c>
      <c r="L2272" s="17" t="s">
        <v>88</v>
      </c>
    </row>
    <row r="2273" s="11" customFormat="true" ht="10.95" hidden="false" customHeight="true" outlineLevel="0" collapsed="false">
      <c r="A2273" s="16" t="n">
        <v>45408</v>
      </c>
      <c r="B2273" s="17" t="s">
        <v>939</v>
      </c>
      <c r="C2273" s="17" t="s">
        <v>788</v>
      </c>
      <c r="D2273" s="17" t="s">
        <v>19</v>
      </c>
      <c r="E2273" s="17" t="s">
        <v>957</v>
      </c>
      <c r="F2273" s="17" t="s">
        <v>1026</v>
      </c>
      <c r="G2273" s="18" t="n">
        <v>0</v>
      </c>
      <c r="H2273" s="18" t="n">
        <v>1839.83</v>
      </c>
      <c r="I2273" s="18" t="n">
        <f aca="false">((I2272 + G2273) - H2273)</f>
        <v>-213475.31</v>
      </c>
      <c r="J2273" s="18" t="n">
        <v>0</v>
      </c>
      <c r="K2273" s="19" t="n">
        <v>0</v>
      </c>
      <c r="L2273" s="17" t="s">
        <v>88</v>
      </c>
    </row>
    <row r="2274" s="11" customFormat="true" ht="10.95" hidden="false" customHeight="true" outlineLevel="0" collapsed="false">
      <c r="A2274" s="16" t="n">
        <v>45408</v>
      </c>
      <c r="B2274" s="17" t="s">
        <v>939</v>
      </c>
      <c r="C2274" s="17" t="s">
        <v>788</v>
      </c>
      <c r="D2274" s="17" t="s">
        <v>19</v>
      </c>
      <c r="E2274" s="17" t="s">
        <v>955</v>
      </c>
      <c r="F2274" s="17" t="s">
        <v>1026</v>
      </c>
      <c r="G2274" s="18" t="n">
        <v>0</v>
      </c>
      <c r="H2274" s="18" t="n">
        <v>153.32</v>
      </c>
      <c r="I2274" s="18" t="n">
        <f aca="false">((I2273 + G2274) - H2274)</f>
        <v>-213628.63</v>
      </c>
      <c r="J2274" s="18" t="n">
        <v>0</v>
      </c>
      <c r="K2274" s="19" t="n">
        <v>0</v>
      </c>
      <c r="L2274" s="17" t="s">
        <v>88</v>
      </c>
    </row>
    <row r="2275" s="11" customFormat="true" ht="10.95" hidden="false" customHeight="true" outlineLevel="0" collapsed="false">
      <c r="A2275" s="16" t="n">
        <v>45408</v>
      </c>
      <c r="B2275" s="17" t="s">
        <v>939</v>
      </c>
      <c r="C2275" s="17" t="s">
        <v>788</v>
      </c>
      <c r="D2275" s="17" t="s">
        <v>19</v>
      </c>
      <c r="E2275" s="17" t="s">
        <v>971</v>
      </c>
      <c r="F2275" s="17" t="s">
        <v>1027</v>
      </c>
      <c r="G2275" s="18" t="n">
        <v>0</v>
      </c>
      <c r="H2275" s="18" t="n">
        <v>240.54</v>
      </c>
      <c r="I2275" s="18" t="n">
        <f aca="false">((I2274 + G2275) - H2275)</f>
        <v>-213869.17</v>
      </c>
      <c r="J2275" s="18" t="n">
        <v>0</v>
      </c>
      <c r="K2275" s="19" t="n">
        <v>0</v>
      </c>
      <c r="L2275" s="17" t="s">
        <v>88</v>
      </c>
    </row>
    <row r="2276" s="11" customFormat="true" ht="10.95" hidden="false" customHeight="true" outlineLevel="0" collapsed="false">
      <c r="A2276" s="16" t="n">
        <v>45408</v>
      </c>
      <c r="B2276" s="17" t="s">
        <v>939</v>
      </c>
      <c r="C2276" s="17" t="s">
        <v>788</v>
      </c>
      <c r="D2276" s="17" t="s">
        <v>19</v>
      </c>
      <c r="E2276" s="17" t="s">
        <v>971</v>
      </c>
      <c r="F2276" s="17" t="s">
        <v>1027</v>
      </c>
      <c r="G2276" s="18" t="n">
        <v>0</v>
      </c>
      <c r="H2276" s="18" t="n">
        <v>240.53</v>
      </c>
      <c r="I2276" s="18" t="n">
        <f aca="false">((I2275 + G2276) - H2276)</f>
        <v>-214109.7</v>
      </c>
      <c r="J2276" s="18" t="n">
        <v>0</v>
      </c>
      <c r="K2276" s="19" t="n">
        <v>0</v>
      </c>
      <c r="L2276" s="17" t="s">
        <v>88</v>
      </c>
    </row>
    <row r="2277" s="11" customFormat="true" ht="10.95" hidden="false" customHeight="true" outlineLevel="0" collapsed="false">
      <c r="A2277" s="16" t="n">
        <v>45408</v>
      </c>
      <c r="B2277" s="17" t="s">
        <v>939</v>
      </c>
      <c r="C2277" s="17" t="s">
        <v>788</v>
      </c>
      <c r="D2277" s="17" t="s">
        <v>19</v>
      </c>
      <c r="E2277" s="17" t="s">
        <v>971</v>
      </c>
      <c r="F2277" s="17" t="s">
        <v>1027</v>
      </c>
      <c r="G2277" s="18" t="n">
        <v>0</v>
      </c>
      <c r="H2277" s="18" t="n">
        <v>240.53</v>
      </c>
      <c r="I2277" s="18" t="n">
        <f aca="false">((I2276 + G2277) - H2277)</f>
        <v>-214350.23</v>
      </c>
      <c r="J2277" s="18" t="n">
        <v>0</v>
      </c>
      <c r="K2277" s="19" t="n">
        <v>0</v>
      </c>
      <c r="L2277" s="17" t="s">
        <v>88</v>
      </c>
    </row>
    <row r="2278" s="11" customFormat="true" ht="10.95" hidden="false" customHeight="true" outlineLevel="0" collapsed="false">
      <c r="A2278" s="16" t="n">
        <v>45408</v>
      </c>
      <c r="B2278" s="17" t="s">
        <v>939</v>
      </c>
      <c r="C2278" s="17" t="s">
        <v>788</v>
      </c>
      <c r="D2278" s="17" t="s">
        <v>19</v>
      </c>
      <c r="E2278" s="17" t="s">
        <v>971</v>
      </c>
      <c r="F2278" s="17" t="s">
        <v>1028</v>
      </c>
      <c r="G2278" s="18" t="n">
        <v>0</v>
      </c>
      <c r="H2278" s="18" t="n">
        <v>1122.49</v>
      </c>
      <c r="I2278" s="18" t="n">
        <f aca="false">((I2277 + G2278) - H2278)</f>
        <v>-215472.72</v>
      </c>
      <c r="J2278" s="18" t="n">
        <v>0</v>
      </c>
      <c r="K2278" s="19" t="n">
        <v>0</v>
      </c>
      <c r="L2278" s="17" t="s">
        <v>88</v>
      </c>
    </row>
    <row r="2279" s="11" customFormat="true" ht="10.95" hidden="false" customHeight="true" outlineLevel="0" collapsed="false">
      <c r="A2279" s="16" t="n">
        <v>45408</v>
      </c>
      <c r="B2279" s="17" t="s">
        <v>939</v>
      </c>
      <c r="C2279" s="17" t="s">
        <v>788</v>
      </c>
      <c r="D2279" s="17" t="s">
        <v>19</v>
      </c>
      <c r="E2279" s="17" t="s">
        <v>974</v>
      </c>
      <c r="F2279" s="17" t="s">
        <v>1028</v>
      </c>
      <c r="G2279" s="18" t="n">
        <v>0</v>
      </c>
      <c r="H2279" s="18" t="n">
        <v>80.18</v>
      </c>
      <c r="I2279" s="18" t="n">
        <f aca="false">((I2278 + G2279) - H2279)</f>
        <v>-215552.9</v>
      </c>
      <c r="J2279" s="18" t="n">
        <v>0</v>
      </c>
      <c r="K2279" s="19" t="n">
        <v>0</v>
      </c>
      <c r="L2279" s="17" t="s">
        <v>88</v>
      </c>
    </row>
    <row r="2280" s="11" customFormat="true" ht="10.95" hidden="false" customHeight="true" outlineLevel="0" collapsed="false">
      <c r="A2280" s="16" t="n">
        <v>45408</v>
      </c>
      <c r="B2280" s="17" t="s">
        <v>939</v>
      </c>
      <c r="C2280" s="17" t="s">
        <v>788</v>
      </c>
      <c r="D2280" s="17" t="s">
        <v>19</v>
      </c>
      <c r="E2280" s="17" t="s">
        <v>971</v>
      </c>
      <c r="F2280" s="17" t="s">
        <v>1028</v>
      </c>
      <c r="G2280" s="18" t="n">
        <v>0</v>
      </c>
      <c r="H2280" s="18" t="n">
        <v>1122.48</v>
      </c>
      <c r="I2280" s="18" t="n">
        <f aca="false">((I2279 + G2280) - H2280)</f>
        <v>-216675.38</v>
      </c>
      <c r="J2280" s="18" t="n">
        <v>0</v>
      </c>
      <c r="K2280" s="19" t="n">
        <v>0</v>
      </c>
      <c r="L2280" s="17" t="s">
        <v>88</v>
      </c>
    </row>
    <row r="2281" s="11" customFormat="true" ht="10.95" hidden="false" customHeight="true" outlineLevel="0" collapsed="false">
      <c r="A2281" s="16" t="n">
        <v>45408</v>
      </c>
      <c r="B2281" s="17" t="s">
        <v>939</v>
      </c>
      <c r="C2281" s="17" t="s">
        <v>788</v>
      </c>
      <c r="D2281" s="17" t="s">
        <v>19</v>
      </c>
      <c r="E2281" s="17" t="s">
        <v>974</v>
      </c>
      <c r="F2281" s="17" t="s">
        <v>1028</v>
      </c>
      <c r="G2281" s="18" t="n">
        <v>0</v>
      </c>
      <c r="H2281" s="18" t="n">
        <v>80.18</v>
      </c>
      <c r="I2281" s="18" t="n">
        <f aca="false">((I2280 + G2281) - H2281)</f>
        <v>-216755.56</v>
      </c>
      <c r="J2281" s="18" t="n">
        <v>0</v>
      </c>
      <c r="K2281" s="19" t="n">
        <v>0</v>
      </c>
      <c r="L2281" s="17" t="s">
        <v>88</v>
      </c>
    </row>
    <row r="2282" s="11" customFormat="true" ht="10.95" hidden="false" customHeight="true" outlineLevel="0" collapsed="false">
      <c r="A2282" s="16" t="n">
        <v>45408</v>
      </c>
      <c r="B2282" s="17" t="s">
        <v>939</v>
      </c>
      <c r="C2282" s="17" t="s">
        <v>788</v>
      </c>
      <c r="D2282" s="17" t="s">
        <v>19</v>
      </c>
      <c r="E2282" s="17" t="s">
        <v>971</v>
      </c>
      <c r="F2282" s="17" t="s">
        <v>1028</v>
      </c>
      <c r="G2282" s="18" t="n">
        <v>0</v>
      </c>
      <c r="H2282" s="18" t="n">
        <v>1122.48</v>
      </c>
      <c r="I2282" s="18" t="n">
        <f aca="false">((I2281 + G2282) - H2282)</f>
        <v>-217878.04</v>
      </c>
      <c r="J2282" s="18" t="n">
        <v>0</v>
      </c>
      <c r="K2282" s="19" t="n">
        <v>0</v>
      </c>
      <c r="L2282" s="17" t="s">
        <v>88</v>
      </c>
    </row>
    <row r="2283" s="11" customFormat="true" ht="10.95" hidden="false" customHeight="true" outlineLevel="0" collapsed="false">
      <c r="A2283" s="16" t="n">
        <v>45408</v>
      </c>
      <c r="B2283" s="17" t="s">
        <v>939</v>
      </c>
      <c r="C2283" s="17" t="s">
        <v>788</v>
      </c>
      <c r="D2283" s="17" t="s">
        <v>19</v>
      </c>
      <c r="E2283" s="17" t="s">
        <v>974</v>
      </c>
      <c r="F2283" s="17" t="s">
        <v>1028</v>
      </c>
      <c r="G2283" s="18" t="n">
        <v>0</v>
      </c>
      <c r="H2283" s="18" t="n">
        <v>80.18</v>
      </c>
      <c r="I2283" s="18" t="n">
        <f aca="false">((I2282 + G2283) - H2283)</f>
        <v>-217958.22</v>
      </c>
      <c r="J2283" s="18" t="n">
        <v>0</v>
      </c>
      <c r="K2283" s="19" t="n">
        <v>0</v>
      </c>
      <c r="L2283" s="17" t="s">
        <v>88</v>
      </c>
    </row>
    <row r="2284" s="11" customFormat="true" ht="10.95" hidden="false" customHeight="true" outlineLevel="0" collapsed="false">
      <c r="A2284" s="16" t="n">
        <v>45412</v>
      </c>
      <c r="B2284" s="17" t="s">
        <v>939</v>
      </c>
      <c r="C2284" s="17" t="s">
        <v>788</v>
      </c>
      <c r="D2284" s="17" t="s">
        <v>19</v>
      </c>
      <c r="E2284" s="17" t="s">
        <v>1029</v>
      </c>
      <c r="F2284" s="17" t="s">
        <v>1030</v>
      </c>
      <c r="G2284" s="18" t="n">
        <v>0</v>
      </c>
      <c r="H2284" s="18" t="n">
        <v>1425.09</v>
      </c>
      <c r="I2284" s="18" t="n">
        <f aca="false">((I2283 + G2284) - H2284)</f>
        <v>-219383.31</v>
      </c>
      <c r="J2284" s="18" t="n">
        <v>0</v>
      </c>
      <c r="K2284" s="19" t="n">
        <v>0</v>
      </c>
      <c r="L2284" s="17" t="s">
        <v>88</v>
      </c>
    </row>
    <row r="2285" s="11" customFormat="true" ht="10.95" hidden="false" customHeight="true" outlineLevel="0" collapsed="false">
      <c r="A2285" s="16" t="n">
        <v>45412</v>
      </c>
      <c r="B2285" s="17" t="s">
        <v>939</v>
      </c>
      <c r="C2285" s="17" t="s">
        <v>788</v>
      </c>
      <c r="D2285" s="17" t="s">
        <v>19</v>
      </c>
      <c r="E2285" s="17" t="s">
        <v>1031</v>
      </c>
      <c r="F2285" s="17" t="s">
        <v>1030</v>
      </c>
      <c r="G2285" s="18" t="n">
        <v>0</v>
      </c>
      <c r="H2285" s="18" t="n">
        <v>1425.09</v>
      </c>
      <c r="I2285" s="18" t="n">
        <f aca="false">((I2284 + G2285) - H2285)</f>
        <v>-220808.4</v>
      </c>
      <c r="J2285" s="18" t="n">
        <v>0</v>
      </c>
      <c r="K2285" s="19" t="n">
        <v>0</v>
      </c>
      <c r="L2285" s="17" t="s">
        <v>88</v>
      </c>
    </row>
    <row r="2286" s="11" customFormat="true" ht="10.95" hidden="false" customHeight="true" outlineLevel="0" collapsed="false">
      <c r="A2286" s="16" t="n">
        <v>45412</v>
      </c>
      <c r="B2286" s="17" t="s">
        <v>939</v>
      </c>
      <c r="C2286" s="17" t="s">
        <v>788</v>
      </c>
      <c r="D2286" s="17" t="s">
        <v>19</v>
      </c>
      <c r="E2286" s="17" t="s">
        <v>1032</v>
      </c>
      <c r="F2286" s="17" t="s">
        <v>1030</v>
      </c>
      <c r="G2286" s="18" t="n">
        <v>0</v>
      </c>
      <c r="H2286" s="18" t="n">
        <v>1425.09</v>
      </c>
      <c r="I2286" s="18" t="n">
        <f aca="false">((I2285 + G2286) - H2286)</f>
        <v>-222233.49</v>
      </c>
      <c r="J2286" s="18" t="n">
        <v>0</v>
      </c>
      <c r="K2286" s="19" t="n">
        <v>0</v>
      </c>
      <c r="L2286" s="17" t="s">
        <v>88</v>
      </c>
    </row>
    <row r="2287" s="11" customFormat="true" ht="10.95" hidden="false" customHeight="true" outlineLevel="0" collapsed="false">
      <c r="A2287" s="16" t="n">
        <v>45434</v>
      </c>
      <c r="B2287" s="17" t="s">
        <v>939</v>
      </c>
      <c r="C2287" s="17" t="s">
        <v>788</v>
      </c>
      <c r="D2287" s="17" t="s">
        <v>19</v>
      </c>
      <c r="E2287" s="17" t="s">
        <v>1033</v>
      </c>
      <c r="F2287" s="17" t="s">
        <v>1034</v>
      </c>
      <c r="G2287" s="18" t="n">
        <v>0</v>
      </c>
      <c r="H2287" s="18" t="n">
        <v>2697.39</v>
      </c>
      <c r="I2287" s="18" t="n">
        <f aca="false">((I2286 + G2287) - H2287)</f>
        <v>-224930.88</v>
      </c>
      <c r="J2287" s="18" t="n">
        <v>0</v>
      </c>
      <c r="K2287" s="19" t="n">
        <v>0</v>
      </c>
      <c r="L2287" s="17" t="s">
        <v>88</v>
      </c>
    </row>
    <row r="2288" s="11" customFormat="true" ht="10.95" hidden="false" customHeight="true" outlineLevel="0" collapsed="false">
      <c r="A2288" s="16" t="n">
        <v>45434</v>
      </c>
      <c r="B2288" s="17" t="s">
        <v>939</v>
      </c>
      <c r="C2288" s="17" t="s">
        <v>788</v>
      </c>
      <c r="D2288" s="17" t="s">
        <v>19</v>
      </c>
      <c r="E2288" s="17" t="s">
        <v>940</v>
      </c>
      <c r="F2288" s="17" t="s">
        <v>941</v>
      </c>
      <c r="G2288" s="18" t="n">
        <v>0</v>
      </c>
      <c r="H2288" s="18" t="n">
        <v>5858.67</v>
      </c>
      <c r="I2288" s="18" t="n">
        <f aca="false">((I2287 + G2288) - H2288)</f>
        <v>-230789.55</v>
      </c>
      <c r="J2288" s="18" t="n">
        <v>0</v>
      </c>
      <c r="K2288" s="19" t="n">
        <v>0</v>
      </c>
      <c r="L2288" s="17" t="s">
        <v>88</v>
      </c>
    </row>
    <row r="2289" s="11" customFormat="true" ht="10.95" hidden="false" customHeight="true" outlineLevel="0" collapsed="false">
      <c r="A2289" s="16" t="n">
        <v>45435</v>
      </c>
      <c r="B2289" s="17" t="s">
        <v>939</v>
      </c>
      <c r="C2289" s="17" t="s">
        <v>788</v>
      </c>
      <c r="D2289" s="17" t="s">
        <v>19</v>
      </c>
      <c r="E2289" s="17" t="s">
        <v>1035</v>
      </c>
      <c r="F2289" s="17" t="s">
        <v>1036</v>
      </c>
      <c r="G2289" s="18" t="n">
        <v>0</v>
      </c>
      <c r="H2289" s="18" t="n">
        <v>1410.05</v>
      </c>
      <c r="I2289" s="18" t="n">
        <f aca="false">((I2288 + G2289) - H2289)</f>
        <v>-232199.6</v>
      </c>
      <c r="J2289" s="18" t="n">
        <v>0</v>
      </c>
      <c r="K2289" s="19" t="n">
        <v>0</v>
      </c>
      <c r="L2289" s="17" t="s">
        <v>88</v>
      </c>
    </row>
    <row r="2290" s="11" customFormat="true" ht="10.95" hidden="false" customHeight="true" outlineLevel="0" collapsed="false">
      <c r="A2290" s="16" t="n">
        <v>45435</v>
      </c>
      <c r="B2290" s="17" t="s">
        <v>939</v>
      </c>
      <c r="C2290" s="17" t="s">
        <v>788</v>
      </c>
      <c r="D2290" s="17" t="s">
        <v>19</v>
      </c>
      <c r="E2290" s="17" t="s">
        <v>1037</v>
      </c>
      <c r="F2290" s="17" t="s">
        <v>1036</v>
      </c>
      <c r="G2290" s="18" t="n">
        <v>0</v>
      </c>
      <c r="H2290" s="18" t="n">
        <v>361.94</v>
      </c>
      <c r="I2290" s="18" t="n">
        <f aca="false">((I2289 + G2290) - H2290)</f>
        <v>-232561.54</v>
      </c>
      <c r="J2290" s="18" t="n">
        <v>0</v>
      </c>
      <c r="K2290" s="19" t="n">
        <v>0</v>
      </c>
      <c r="L2290" s="17" t="s">
        <v>88</v>
      </c>
    </row>
    <row r="2291" s="11" customFormat="true" ht="10.95" hidden="false" customHeight="true" outlineLevel="0" collapsed="false">
      <c r="A2291" s="16" t="n">
        <v>45435</v>
      </c>
      <c r="B2291" s="17" t="s">
        <v>939</v>
      </c>
      <c r="C2291" s="17" t="s">
        <v>788</v>
      </c>
      <c r="D2291" s="17" t="s">
        <v>19</v>
      </c>
      <c r="E2291" s="17" t="s">
        <v>1012</v>
      </c>
      <c r="F2291" s="17" t="s">
        <v>1038</v>
      </c>
      <c r="G2291" s="18" t="n">
        <v>0</v>
      </c>
      <c r="H2291" s="18" t="n">
        <v>220.51</v>
      </c>
      <c r="I2291" s="18" t="n">
        <f aca="false">((I2290 + G2291) - H2291)</f>
        <v>-232782.05</v>
      </c>
      <c r="J2291" s="18" t="n">
        <v>0</v>
      </c>
      <c r="K2291" s="19" t="n">
        <v>0</v>
      </c>
      <c r="L2291" s="17" t="s">
        <v>88</v>
      </c>
    </row>
    <row r="2292" s="11" customFormat="true" ht="10.95" hidden="false" customHeight="true" outlineLevel="0" collapsed="false">
      <c r="A2292" s="16" t="n">
        <v>45435</v>
      </c>
      <c r="B2292" s="17" t="s">
        <v>939</v>
      </c>
      <c r="C2292" s="17" t="s">
        <v>788</v>
      </c>
      <c r="D2292" s="17" t="s">
        <v>19</v>
      </c>
      <c r="E2292" s="17" t="s">
        <v>984</v>
      </c>
      <c r="F2292" s="17" t="s">
        <v>1039</v>
      </c>
      <c r="G2292" s="18" t="n">
        <v>0</v>
      </c>
      <c r="H2292" s="18" t="n">
        <v>710.53</v>
      </c>
      <c r="I2292" s="18" t="n">
        <f aca="false">((I2291 + G2292) - H2292)</f>
        <v>-233492.58</v>
      </c>
      <c r="J2292" s="18" t="n">
        <v>0</v>
      </c>
      <c r="K2292" s="19" t="n">
        <v>0</v>
      </c>
      <c r="L2292" s="17" t="s">
        <v>88</v>
      </c>
    </row>
    <row r="2293" s="11" customFormat="true" ht="10.95" hidden="false" customHeight="true" outlineLevel="0" collapsed="false">
      <c r="A2293" s="16" t="n">
        <v>45435</v>
      </c>
      <c r="B2293" s="17" t="s">
        <v>939</v>
      </c>
      <c r="C2293" s="17" t="s">
        <v>788</v>
      </c>
      <c r="D2293" s="17" t="s">
        <v>19</v>
      </c>
      <c r="E2293" s="17" t="s">
        <v>986</v>
      </c>
      <c r="F2293" s="17" t="s">
        <v>1039</v>
      </c>
      <c r="G2293" s="18" t="n">
        <v>0</v>
      </c>
      <c r="H2293" s="18" t="n">
        <v>187.84</v>
      </c>
      <c r="I2293" s="18" t="n">
        <f aca="false">((I2292 + G2293) - H2293)</f>
        <v>-233680.42</v>
      </c>
      <c r="J2293" s="18" t="n">
        <v>0</v>
      </c>
      <c r="K2293" s="19" t="n">
        <v>0</v>
      </c>
      <c r="L2293" s="17" t="s">
        <v>88</v>
      </c>
    </row>
    <row r="2294" s="11" customFormat="true" ht="10.95" hidden="false" customHeight="true" outlineLevel="0" collapsed="false">
      <c r="A2294" s="16" t="n">
        <v>45435</v>
      </c>
      <c r="B2294" s="17" t="s">
        <v>939</v>
      </c>
      <c r="C2294" s="17" t="s">
        <v>788</v>
      </c>
      <c r="D2294" s="17" t="s">
        <v>19</v>
      </c>
      <c r="E2294" s="17" t="s">
        <v>1040</v>
      </c>
      <c r="F2294" s="17" t="s">
        <v>1041</v>
      </c>
      <c r="G2294" s="18" t="n">
        <v>0</v>
      </c>
      <c r="H2294" s="18" t="n">
        <v>1449.46</v>
      </c>
      <c r="I2294" s="18" t="n">
        <f aca="false">((I2293 + G2294) - H2294)</f>
        <v>-235129.88</v>
      </c>
      <c r="J2294" s="18" t="n">
        <v>0</v>
      </c>
      <c r="K2294" s="19" t="n">
        <v>0</v>
      </c>
      <c r="L2294" s="17" t="s">
        <v>88</v>
      </c>
    </row>
    <row r="2295" s="11" customFormat="true" ht="10.95" hidden="false" customHeight="true" outlineLevel="0" collapsed="false">
      <c r="A2295" s="16" t="n">
        <v>45435</v>
      </c>
      <c r="B2295" s="17" t="s">
        <v>939</v>
      </c>
      <c r="C2295" s="17" t="s">
        <v>788</v>
      </c>
      <c r="D2295" s="17" t="s">
        <v>19</v>
      </c>
      <c r="E2295" s="17" t="s">
        <v>944</v>
      </c>
      <c r="F2295" s="17" t="s">
        <v>1041</v>
      </c>
      <c r="G2295" s="18" t="n">
        <v>0</v>
      </c>
      <c r="H2295" s="18" t="n">
        <v>1449.46</v>
      </c>
      <c r="I2295" s="18" t="n">
        <f aca="false">((I2294 + G2295) - H2295)</f>
        <v>-236579.34</v>
      </c>
      <c r="J2295" s="18" t="n">
        <v>0</v>
      </c>
      <c r="K2295" s="19" t="n">
        <v>0</v>
      </c>
      <c r="L2295" s="17" t="s">
        <v>88</v>
      </c>
    </row>
    <row r="2296" s="11" customFormat="true" ht="10.95" hidden="false" customHeight="true" outlineLevel="0" collapsed="false">
      <c r="A2296" s="16" t="n">
        <v>45435</v>
      </c>
      <c r="B2296" s="17" t="s">
        <v>939</v>
      </c>
      <c r="C2296" s="17" t="s">
        <v>788</v>
      </c>
      <c r="D2296" s="17" t="s">
        <v>19</v>
      </c>
      <c r="E2296" s="17" t="s">
        <v>945</v>
      </c>
      <c r="F2296" s="17" t="s">
        <v>1041</v>
      </c>
      <c r="G2296" s="18" t="n">
        <v>0</v>
      </c>
      <c r="H2296" s="18" t="n">
        <v>1449.46</v>
      </c>
      <c r="I2296" s="18" t="n">
        <f aca="false">((I2295 + G2296) - H2296)</f>
        <v>-238028.8</v>
      </c>
      <c r="J2296" s="18" t="n">
        <v>0</v>
      </c>
      <c r="K2296" s="19" t="n">
        <v>0</v>
      </c>
      <c r="L2296" s="17" t="s">
        <v>88</v>
      </c>
    </row>
    <row r="2297" s="11" customFormat="true" ht="10.95" hidden="false" customHeight="true" outlineLevel="0" collapsed="false">
      <c r="A2297" s="16" t="n">
        <v>45435</v>
      </c>
      <c r="B2297" s="17" t="s">
        <v>939</v>
      </c>
      <c r="C2297" s="17" t="s">
        <v>788</v>
      </c>
      <c r="D2297" s="17" t="s">
        <v>19</v>
      </c>
      <c r="E2297" s="17" t="s">
        <v>946</v>
      </c>
      <c r="F2297" s="17" t="s">
        <v>1041</v>
      </c>
      <c r="G2297" s="18" t="n">
        <v>0</v>
      </c>
      <c r="H2297" s="18" t="n">
        <v>1449.46</v>
      </c>
      <c r="I2297" s="18" t="n">
        <f aca="false">((I2296 + G2297) - H2297)</f>
        <v>-239478.26</v>
      </c>
      <c r="J2297" s="18" t="n">
        <v>0</v>
      </c>
      <c r="K2297" s="19" t="n">
        <v>0</v>
      </c>
      <c r="L2297" s="17" t="s">
        <v>88</v>
      </c>
    </row>
    <row r="2298" s="11" customFormat="true" ht="10.95" hidden="false" customHeight="true" outlineLevel="0" collapsed="false">
      <c r="A2298" s="16" t="n">
        <v>45435</v>
      </c>
      <c r="B2298" s="17" t="s">
        <v>939</v>
      </c>
      <c r="C2298" s="17" t="s">
        <v>788</v>
      </c>
      <c r="D2298" s="17" t="s">
        <v>19</v>
      </c>
      <c r="E2298" s="17" t="s">
        <v>947</v>
      </c>
      <c r="F2298" s="17" t="s">
        <v>1041</v>
      </c>
      <c r="G2298" s="18" t="n">
        <v>0</v>
      </c>
      <c r="H2298" s="18" t="n">
        <v>1449.46</v>
      </c>
      <c r="I2298" s="18" t="n">
        <f aca="false">((I2297 + G2298) - H2298)</f>
        <v>-240927.72</v>
      </c>
      <c r="J2298" s="18" t="n">
        <v>0</v>
      </c>
      <c r="K2298" s="19" t="n">
        <v>0</v>
      </c>
      <c r="L2298" s="17" t="s">
        <v>88</v>
      </c>
    </row>
    <row r="2299" s="11" customFormat="true" ht="10.95" hidden="false" customHeight="true" outlineLevel="0" collapsed="false">
      <c r="A2299" s="16" t="n">
        <v>45435</v>
      </c>
      <c r="B2299" s="17" t="s">
        <v>939</v>
      </c>
      <c r="C2299" s="17" t="s">
        <v>788</v>
      </c>
      <c r="D2299" s="17" t="s">
        <v>19</v>
      </c>
      <c r="E2299" s="17" t="s">
        <v>948</v>
      </c>
      <c r="F2299" s="17" t="s">
        <v>1041</v>
      </c>
      <c r="G2299" s="18" t="n">
        <v>0</v>
      </c>
      <c r="H2299" s="18" t="n">
        <v>1449.47</v>
      </c>
      <c r="I2299" s="18" t="n">
        <f aca="false">((I2298 + G2299) - H2299)</f>
        <v>-242377.19</v>
      </c>
      <c r="J2299" s="18" t="n">
        <v>0</v>
      </c>
      <c r="K2299" s="19" t="n">
        <v>0</v>
      </c>
      <c r="L2299" s="17" t="s">
        <v>88</v>
      </c>
    </row>
    <row r="2300" s="11" customFormat="true" ht="10.95" hidden="false" customHeight="true" outlineLevel="0" collapsed="false">
      <c r="A2300" s="16" t="n">
        <v>45435</v>
      </c>
      <c r="B2300" s="17" t="s">
        <v>939</v>
      </c>
      <c r="C2300" s="17" t="s">
        <v>788</v>
      </c>
      <c r="D2300" s="17" t="s">
        <v>19</v>
      </c>
      <c r="E2300" s="17" t="s">
        <v>1042</v>
      </c>
      <c r="F2300" s="17" t="s">
        <v>1041</v>
      </c>
      <c r="G2300" s="18" t="n">
        <v>0</v>
      </c>
      <c r="H2300" s="18" t="n">
        <v>1449.47</v>
      </c>
      <c r="I2300" s="18" t="n">
        <f aca="false">((I2299 + G2300) - H2300)</f>
        <v>-243826.66</v>
      </c>
      <c r="J2300" s="18" t="n">
        <v>0</v>
      </c>
      <c r="K2300" s="19" t="n">
        <v>0</v>
      </c>
      <c r="L2300" s="17" t="s">
        <v>88</v>
      </c>
    </row>
    <row r="2301" s="11" customFormat="true" ht="10.95" hidden="false" customHeight="true" outlineLevel="0" collapsed="false">
      <c r="A2301" s="16" t="n">
        <v>45435</v>
      </c>
      <c r="B2301" s="17" t="s">
        <v>939</v>
      </c>
      <c r="C2301" s="17" t="s">
        <v>788</v>
      </c>
      <c r="D2301" s="17" t="s">
        <v>19</v>
      </c>
      <c r="E2301" s="17" t="s">
        <v>950</v>
      </c>
      <c r="F2301" s="17" t="s">
        <v>1041</v>
      </c>
      <c r="G2301" s="18" t="n">
        <v>0</v>
      </c>
      <c r="H2301" s="18" t="n">
        <v>1449.47</v>
      </c>
      <c r="I2301" s="18" t="n">
        <f aca="false">((I2300 + G2301) - H2301)</f>
        <v>-245276.13</v>
      </c>
      <c r="J2301" s="18" t="n">
        <v>0</v>
      </c>
      <c r="K2301" s="19" t="n">
        <v>0</v>
      </c>
      <c r="L2301" s="17" t="s">
        <v>88</v>
      </c>
    </row>
    <row r="2302" s="11" customFormat="true" ht="10.95" hidden="false" customHeight="true" outlineLevel="0" collapsed="false">
      <c r="A2302" s="16" t="n">
        <v>45435</v>
      </c>
      <c r="B2302" s="17" t="s">
        <v>939</v>
      </c>
      <c r="C2302" s="17" t="s">
        <v>788</v>
      </c>
      <c r="D2302" s="17" t="s">
        <v>19</v>
      </c>
      <c r="E2302" s="17" t="s">
        <v>951</v>
      </c>
      <c r="F2302" s="17" t="s">
        <v>1041</v>
      </c>
      <c r="G2302" s="18" t="n">
        <v>0</v>
      </c>
      <c r="H2302" s="18" t="n">
        <v>1449.47</v>
      </c>
      <c r="I2302" s="18" t="n">
        <f aca="false">((I2301 + G2302) - H2302)</f>
        <v>-246725.6</v>
      </c>
      <c r="J2302" s="18" t="n">
        <v>0</v>
      </c>
      <c r="K2302" s="19" t="n">
        <v>0</v>
      </c>
      <c r="L2302" s="17" t="s">
        <v>88</v>
      </c>
    </row>
    <row r="2303" s="11" customFormat="true" ht="10.95" hidden="false" customHeight="true" outlineLevel="0" collapsed="false">
      <c r="A2303" s="16" t="n">
        <v>45435</v>
      </c>
      <c r="B2303" s="17" t="s">
        <v>939</v>
      </c>
      <c r="C2303" s="17" t="s">
        <v>788</v>
      </c>
      <c r="D2303" s="17" t="s">
        <v>19</v>
      </c>
      <c r="E2303" s="17" t="s">
        <v>952</v>
      </c>
      <c r="F2303" s="17" t="s">
        <v>1041</v>
      </c>
      <c r="G2303" s="18" t="n">
        <v>0</v>
      </c>
      <c r="H2303" s="18" t="n">
        <v>1449.47</v>
      </c>
      <c r="I2303" s="18" t="n">
        <f aca="false">((I2302 + G2303) - H2303)</f>
        <v>-248175.07</v>
      </c>
      <c r="J2303" s="18" t="n">
        <v>0</v>
      </c>
      <c r="K2303" s="19" t="n">
        <v>0</v>
      </c>
      <c r="L2303" s="17" t="s">
        <v>88</v>
      </c>
    </row>
    <row r="2304" s="11" customFormat="true" ht="10.95" hidden="false" customHeight="true" outlineLevel="0" collapsed="false">
      <c r="A2304" s="16" t="n">
        <v>45435</v>
      </c>
      <c r="B2304" s="17" t="s">
        <v>939</v>
      </c>
      <c r="C2304" s="17" t="s">
        <v>788</v>
      </c>
      <c r="D2304" s="17" t="s">
        <v>19</v>
      </c>
      <c r="E2304" s="17" t="s">
        <v>953</v>
      </c>
      <c r="F2304" s="17" t="s">
        <v>1041</v>
      </c>
      <c r="G2304" s="18" t="n">
        <v>0</v>
      </c>
      <c r="H2304" s="18" t="n">
        <v>1449.47</v>
      </c>
      <c r="I2304" s="18" t="n">
        <f aca="false">((I2303 + G2304) - H2304)</f>
        <v>-249624.54</v>
      </c>
      <c r="J2304" s="18" t="n">
        <v>0</v>
      </c>
      <c r="K2304" s="19" t="n">
        <v>0</v>
      </c>
      <c r="L2304" s="17" t="s">
        <v>88</v>
      </c>
    </row>
    <row r="2305" s="11" customFormat="true" ht="10.95" hidden="false" customHeight="true" outlineLevel="0" collapsed="false">
      <c r="A2305" s="16" t="n">
        <v>45435</v>
      </c>
      <c r="B2305" s="17" t="s">
        <v>939</v>
      </c>
      <c r="C2305" s="17" t="s">
        <v>788</v>
      </c>
      <c r="D2305" s="17" t="s">
        <v>19</v>
      </c>
      <c r="E2305" s="17" t="s">
        <v>954</v>
      </c>
      <c r="F2305" s="17" t="s">
        <v>1041</v>
      </c>
      <c r="G2305" s="18" t="n">
        <v>0</v>
      </c>
      <c r="H2305" s="18" t="n">
        <v>1449.47</v>
      </c>
      <c r="I2305" s="18" t="n">
        <f aca="false">((I2304 + G2305) - H2305)</f>
        <v>-251074.01</v>
      </c>
      <c r="J2305" s="18" t="n">
        <v>0</v>
      </c>
      <c r="K2305" s="19" t="n">
        <v>0</v>
      </c>
      <c r="L2305" s="17" t="s">
        <v>88</v>
      </c>
    </row>
    <row r="2306" s="11" customFormat="true" ht="10.95" hidden="false" customHeight="true" outlineLevel="0" collapsed="false">
      <c r="A2306" s="16" t="n">
        <v>45435</v>
      </c>
      <c r="B2306" s="17" t="s">
        <v>939</v>
      </c>
      <c r="C2306" s="17" t="s">
        <v>788</v>
      </c>
      <c r="D2306" s="17" t="s">
        <v>19</v>
      </c>
      <c r="E2306" s="17" t="s">
        <v>958</v>
      </c>
      <c r="F2306" s="17" t="s">
        <v>1043</v>
      </c>
      <c r="G2306" s="18" t="n">
        <v>0</v>
      </c>
      <c r="H2306" s="18" t="n">
        <v>367.87</v>
      </c>
      <c r="I2306" s="18" t="n">
        <f aca="false">((I2305 + G2306) - H2306)</f>
        <v>-251441.88</v>
      </c>
      <c r="J2306" s="18" t="n">
        <v>0</v>
      </c>
      <c r="K2306" s="19" t="n">
        <v>0</v>
      </c>
      <c r="L2306" s="17" t="s">
        <v>88</v>
      </c>
    </row>
    <row r="2307" s="11" customFormat="true" ht="10.95" hidden="false" customHeight="true" outlineLevel="0" collapsed="false">
      <c r="A2307" s="16" t="n">
        <v>45435</v>
      </c>
      <c r="B2307" s="17" t="s">
        <v>939</v>
      </c>
      <c r="C2307" s="17" t="s">
        <v>788</v>
      </c>
      <c r="D2307" s="17" t="s">
        <v>19</v>
      </c>
      <c r="E2307" s="17" t="s">
        <v>960</v>
      </c>
      <c r="F2307" s="17" t="s">
        <v>1043</v>
      </c>
      <c r="G2307" s="18" t="n">
        <v>0</v>
      </c>
      <c r="H2307" s="18" t="n">
        <v>147.15</v>
      </c>
      <c r="I2307" s="18" t="n">
        <f aca="false">((I2306 + G2307) - H2307)</f>
        <v>-251589.03</v>
      </c>
      <c r="J2307" s="18" t="n">
        <v>0</v>
      </c>
      <c r="K2307" s="19" t="n">
        <v>0</v>
      </c>
      <c r="L2307" s="17" t="s">
        <v>88</v>
      </c>
    </row>
    <row r="2308" s="11" customFormat="true" ht="10.95" hidden="false" customHeight="true" outlineLevel="0" collapsed="false">
      <c r="A2308" s="16" t="n">
        <v>45435</v>
      </c>
      <c r="B2308" s="17" t="s">
        <v>939</v>
      </c>
      <c r="C2308" s="17" t="s">
        <v>788</v>
      </c>
      <c r="D2308" s="17" t="s">
        <v>19</v>
      </c>
      <c r="E2308" s="17" t="s">
        <v>961</v>
      </c>
      <c r="F2308" s="17" t="s">
        <v>1043</v>
      </c>
      <c r="G2308" s="18" t="n">
        <v>0</v>
      </c>
      <c r="H2308" s="18" t="n">
        <v>662.17</v>
      </c>
      <c r="I2308" s="18" t="n">
        <f aca="false">((I2307 + G2308) - H2308)</f>
        <v>-252251.2</v>
      </c>
      <c r="J2308" s="18" t="n">
        <v>0</v>
      </c>
      <c r="K2308" s="19" t="n">
        <v>0</v>
      </c>
      <c r="L2308" s="17" t="s">
        <v>88</v>
      </c>
    </row>
    <row r="2309" s="11" customFormat="true" ht="10.95" hidden="false" customHeight="true" outlineLevel="0" collapsed="false">
      <c r="A2309" s="16" t="n">
        <v>45435</v>
      </c>
      <c r="B2309" s="17" t="s">
        <v>939</v>
      </c>
      <c r="C2309" s="17" t="s">
        <v>788</v>
      </c>
      <c r="D2309" s="17" t="s">
        <v>19</v>
      </c>
      <c r="E2309" s="17" t="s">
        <v>962</v>
      </c>
      <c r="F2309" s="17" t="s">
        <v>1043</v>
      </c>
      <c r="G2309" s="18" t="n">
        <v>0</v>
      </c>
      <c r="H2309" s="18" t="n">
        <v>694.87</v>
      </c>
      <c r="I2309" s="18" t="n">
        <f aca="false">((I2308 + G2309) - H2309)</f>
        <v>-252946.07</v>
      </c>
      <c r="J2309" s="18" t="n">
        <v>0</v>
      </c>
      <c r="K2309" s="19" t="n">
        <v>0</v>
      </c>
      <c r="L2309" s="17" t="s">
        <v>88</v>
      </c>
    </row>
    <row r="2310" s="11" customFormat="true" ht="10.95" hidden="false" customHeight="true" outlineLevel="0" collapsed="false">
      <c r="A2310" s="16" t="n">
        <v>45435</v>
      </c>
      <c r="B2310" s="17" t="s">
        <v>939</v>
      </c>
      <c r="C2310" s="17" t="s">
        <v>788</v>
      </c>
      <c r="D2310" s="17" t="s">
        <v>19</v>
      </c>
      <c r="E2310" s="17" t="s">
        <v>1044</v>
      </c>
      <c r="F2310" s="17" t="s">
        <v>1043</v>
      </c>
      <c r="G2310" s="18" t="n">
        <v>0</v>
      </c>
      <c r="H2310" s="18" t="n">
        <v>953.2</v>
      </c>
      <c r="I2310" s="18" t="n">
        <f aca="false">((I2309 + G2310) - H2310)</f>
        <v>-253899.27</v>
      </c>
      <c r="J2310" s="18" t="n">
        <v>0</v>
      </c>
      <c r="K2310" s="19" t="n">
        <v>0</v>
      </c>
      <c r="L2310" s="17" t="s">
        <v>88</v>
      </c>
    </row>
    <row r="2311" s="11" customFormat="true" ht="10.95" hidden="false" customHeight="true" outlineLevel="0" collapsed="false">
      <c r="A2311" s="16" t="n">
        <v>45435</v>
      </c>
      <c r="B2311" s="17" t="s">
        <v>939</v>
      </c>
      <c r="C2311" s="17" t="s">
        <v>788</v>
      </c>
      <c r="D2311" s="17" t="s">
        <v>19</v>
      </c>
      <c r="E2311" s="17" t="s">
        <v>1045</v>
      </c>
      <c r="F2311" s="17" t="s">
        <v>1043</v>
      </c>
      <c r="G2311" s="18" t="n">
        <v>0</v>
      </c>
      <c r="H2311" s="18" t="n">
        <v>49.05</v>
      </c>
      <c r="I2311" s="18" t="n">
        <f aca="false">((I2310 + G2311) - H2311)</f>
        <v>-253948.32</v>
      </c>
      <c r="J2311" s="18" t="n">
        <v>0</v>
      </c>
      <c r="K2311" s="19" t="n">
        <v>0</v>
      </c>
      <c r="L2311" s="17" t="s">
        <v>88</v>
      </c>
    </row>
    <row r="2312" s="11" customFormat="true" ht="10.95" hidden="false" customHeight="true" outlineLevel="0" collapsed="false">
      <c r="A2312" s="16" t="n">
        <v>45435</v>
      </c>
      <c r="B2312" s="17" t="s">
        <v>939</v>
      </c>
      <c r="C2312" s="17" t="s">
        <v>788</v>
      </c>
      <c r="D2312" s="17" t="s">
        <v>19</v>
      </c>
      <c r="E2312" s="17" t="s">
        <v>1046</v>
      </c>
      <c r="F2312" s="17" t="s">
        <v>1043</v>
      </c>
      <c r="G2312" s="18" t="n">
        <v>0</v>
      </c>
      <c r="H2312" s="18" t="n">
        <v>2859.59</v>
      </c>
      <c r="I2312" s="18" t="n">
        <f aca="false">((I2311 + G2312) - H2312)</f>
        <v>-256807.91</v>
      </c>
      <c r="J2312" s="18" t="n">
        <v>0</v>
      </c>
      <c r="K2312" s="19" t="n">
        <v>0</v>
      </c>
      <c r="L2312" s="17" t="s">
        <v>88</v>
      </c>
    </row>
    <row r="2313" s="11" customFormat="true" ht="10.95" hidden="false" customHeight="true" outlineLevel="0" collapsed="false">
      <c r="A2313" s="16" t="n">
        <v>45435</v>
      </c>
      <c r="B2313" s="17" t="s">
        <v>939</v>
      </c>
      <c r="C2313" s="17" t="s">
        <v>788</v>
      </c>
      <c r="D2313" s="17" t="s">
        <v>19</v>
      </c>
      <c r="E2313" s="17" t="s">
        <v>955</v>
      </c>
      <c r="F2313" s="17" t="s">
        <v>1047</v>
      </c>
      <c r="G2313" s="18" t="n">
        <v>0</v>
      </c>
      <c r="H2313" s="18" t="n">
        <v>7775.78</v>
      </c>
      <c r="I2313" s="18" t="n">
        <f aca="false">((I2312 + G2313) - H2313)</f>
        <v>-264583.69</v>
      </c>
      <c r="J2313" s="18" t="n">
        <v>0</v>
      </c>
      <c r="K2313" s="19" t="n">
        <v>0</v>
      </c>
      <c r="L2313" s="17" t="s">
        <v>88</v>
      </c>
    </row>
    <row r="2314" s="11" customFormat="true" ht="10.95" hidden="false" customHeight="true" outlineLevel="0" collapsed="false">
      <c r="A2314" s="16" t="n">
        <v>45435</v>
      </c>
      <c r="B2314" s="17" t="s">
        <v>939</v>
      </c>
      <c r="C2314" s="17" t="s">
        <v>788</v>
      </c>
      <c r="D2314" s="17" t="s">
        <v>19</v>
      </c>
      <c r="E2314" s="17" t="s">
        <v>957</v>
      </c>
      <c r="F2314" s="17" t="s">
        <v>1047</v>
      </c>
      <c r="G2314" s="18" t="n">
        <v>0</v>
      </c>
      <c r="H2314" s="18" t="n">
        <v>1811.83</v>
      </c>
      <c r="I2314" s="18" t="n">
        <f aca="false">((I2313 + G2314) - H2314)</f>
        <v>-266395.52</v>
      </c>
      <c r="J2314" s="18" t="n">
        <v>0</v>
      </c>
      <c r="K2314" s="19" t="n">
        <v>0</v>
      </c>
      <c r="L2314" s="17" t="s">
        <v>88</v>
      </c>
    </row>
    <row r="2315" s="11" customFormat="true" ht="10.95" hidden="false" customHeight="true" outlineLevel="0" collapsed="false">
      <c r="A2315" s="16" t="n">
        <v>45435</v>
      </c>
      <c r="B2315" s="17" t="s">
        <v>939</v>
      </c>
      <c r="C2315" s="17" t="s">
        <v>788</v>
      </c>
      <c r="D2315" s="17" t="s">
        <v>19</v>
      </c>
      <c r="E2315" s="17" t="s">
        <v>971</v>
      </c>
      <c r="F2315" s="17" t="s">
        <v>1048</v>
      </c>
      <c r="G2315" s="18" t="n">
        <v>0</v>
      </c>
      <c r="H2315" s="18" t="n">
        <v>318.83</v>
      </c>
      <c r="I2315" s="18" t="n">
        <f aca="false">((I2314 + G2315) - H2315)</f>
        <v>-266714.35</v>
      </c>
      <c r="J2315" s="18" t="n">
        <v>0</v>
      </c>
      <c r="K2315" s="19" t="n">
        <v>0</v>
      </c>
      <c r="L2315" s="17" t="s">
        <v>88</v>
      </c>
    </row>
    <row r="2316" s="11" customFormat="true" ht="10.95" hidden="false" customHeight="true" outlineLevel="0" collapsed="false">
      <c r="A2316" s="16" t="n">
        <v>45435</v>
      </c>
      <c r="B2316" s="17" t="s">
        <v>939</v>
      </c>
      <c r="C2316" s="17" t="s">
        <v>788</v>
      </c>
      <c r="D2316" s="17" t="s">
        <v>19</v>
      </c>
      <c r="E2316" s="17" t="s">
        <v>973</v>
      </c>
      <c r="F2316" s="17" t="s">
        <v>1048</v>
      </c>
      <c r="G2316" s="18" t="n">
        <v>0</v>
      </c>
      <c r="H2316" s="18" t="n">
        <v>8.5</v>
      </c>
      <c r="I2316" s="18" t="n">
        <f aca="false">((I2315 + G2316) - H2316)</f>
        <v>-266722.85</v>
      </c>
      <c r="J2316" s="18" t="n">
        <v>0</v>
      </c>
      <c r="K2316" s="19" t="n">
        <v>0</v>
      </c>
      <c r="L2316" s="17" t="s">
        <v>88</v>
      </c>
    </row>
    <row r="2317" s="11" customFormat="true" ht="10.95" hidden="false" customHeight="true" outlineLevel="0" collapsed="false">
      <c r="A2317" s="16" t="n">
        <v>45435</v>
      </c>
      <c r="B2317" s="17" t="s">
        <v>939</v>
      </c>
      <c r="C2317" s="17" t="s">
        <v>788</v>
      </c>
      <c r="D2317" s="17" t="s">
        <v>19</v>
      </c>
      <c r="E2317" s="17" t="s">
        <v>971</v>
      </c>
      <c r="F2317" s="17" t="s">
        <v>1048</v>
      </c>
      <c r="G2317" s="18" t="n">
        <v>0</v>
      </c>
      <c r="H2317" s="18" t="n">
        <v>318.82</v>
      </c>
      <c r="I2317" s="18" t="n">
        <f aca="false">((I2316 + G2317) - H2317)</f>
        <v>-267041.67</v>
      </c>
      <c r="J2317" s="18" t="n">
        <v>0</v>
      </c>
      <c r="K2317" s="19" t="n">
        <v>0</v>
      </c>
      <c r="L2317" s="17" t="s">
        <v>88</v>
      </c>
    </row>
    <row r="2318" s="11" customFormat="true" ht="10.95" hidden="false" customHeight="true" outlineLevel="0" collapsed="false">
      <c r="A2318" s="16" t="n">
        <v>45435</v>
      </c>
      <c r="B2318" s="17" t="s">
        <v>939</v>
      </c>
      <c r="C2318" s="17" t="s">
        <v>788</v>
      </c>
      <c r="D2318" s="17" t="s">
        <v>19</v>
      </c>
      <c r="E2318" s="17" t="s">
        <v>973</v>
      </c>
      <c r="F2318" s="17" t="s">
        <v>1048</v>
      </c>
      <c r="G2318" s="18" t="n">
        <v>0</v>
      </c>
      <c r="H2318" s="18" t="n">
        <v>8.5</v>
      </c>
      <c r="I2318" s="18" t="n">
        <f aca="false">((I2317 + G2318) - H2318)</f>
        <v>-267050.17</v>
      </c>
      <c r="J2318" s="18" t="n">
        <v>0</v>
      </c>
      <c r="K2318" s="19" t="n">
        <v>0</v>
      </c>
      <c r="L2318" s="17" t="s">
        <v>88</v>
      </c>
    </row>
    <row r="2319" s="11" customFormat="true" ht="10.95" hidden="false" customHeight="true" outlineLevel="0" collapsed="false">
      <c r="A2319" s="16" t="n">
        <v>45435</v>
      </c>
      <c r="B2319" s="17" t="s">
        <v>939</v>
      </c>
      <c r="C2319" s="17" t="s">
        <v>788</v>
      </c>
      <c r="D2319" s="17" t="s">
        <v>19</v>
      </c>
      <c r="E2319" s="17" t="s">
        <v>971</v>
      </c>
      <c r="F2319" s="17" t="s">
        <v>1048</v>
      </c>
      <c r="G2319" s="18" t="n">
        <v>0</v>
      </c>
      <c r="H2319" s="18" t="n">
        <v>318.82</v>
      </c>
      <c r="I2319" s="18" t="n">
        <f aca="false">((I2318 + G2319) - H2319)</f>
        <v>-267368.99</v>
      </c>
      <c r="J2319" s="18" t="n">
        <v>0</v>
      </c>
      <c r="K2319" s="19" t="n">
        <v>0</v>
      </c>
      <c r="L2319" s="17" t="s">
        <v>88</v>
      </c>
    </row>
    <row r="2320" s="11" customFormat="true" ht="10.95" hidden="false" customHeight="true" outlineLevel="0" collapsed="false">
      <c r="A2320" s="16" t="n">
        <v>45435</v>
      </c>
      <c r="B2320" s="17" t="s">
        <v>939</v>
      </c>
      <c r="C2320" s="17" t="s">
        <v>788</v>
      </c>
      <c r="D2320" s="17" t="s">
        <v>19</v>
      </c>
      <c r="E2320" s="17" t="s">
        <v>973</v>
      </c>
      <c r="F2320" s="17" t="s">
        <v>1048</v>
      </c>
      <c r="G2320" s="18" t="n">
        <v>0</v>
      </c>
      <c r="H2320" s="18" t="n">
        <v>8.5</v>
      </c>
      <c r="I2320" s="18" t="n">
        <f aca="false">((I2319 + G2320) - H2320)</f>
        <v>-267377.49</v>
      </c>
      <c r="J2320" s="18" t="n">
        <v>0</v>
      </c>
      <c r="K2320" s="19" t="n">
        <v>0</v>
      </c>
      <c r="L2320" s="17" t="s">
        <v>88</v>
      </c>
    </row>
    <row r="2321" s="11" customFormat="true" ht="10.95" hidden="false" customHeight="true" outlineLevel="0" collapsed="false">
      <c r="A2321" s="16" t="n">
        <v>45435</v>
      </c>
      <c r="B2321" s="17" t="s">
        <v>939</v>
      </c>
      <c r="C2321" s="17" t="s">
        <v>788</v>
      </c>
      <c r="D2321" s="17" t="s">
        <v>19</v>
      </c>
      <c r="E2321" s="17" t="s">
        <v>991</v>
      </c>
      <c r="F2321" s="17" t="s">
        <v>1049</v>
      </c>
      <c r="G2321" s="18" t="n">
        <v>0</v>
      </c>
      <c r="H2321" s="18" t="n">
        <v>106.28</v>
      </c>
      <c r="I2321" s="18" t="n">
        <f aca="false">((I2320 + G2321) - H2321)</f>
        <v>-267483.77</v>
      </c>
      <c r="J2321" s="18" t="n">
        <v>0</v>
      </c>
      <c r="K2321" s="19" t="n">
        <v>0</v>
      </c>
      <c r="L2321" s="17" t="s">
        <v>88</v>
      </c>
    </row>
    <row r="2322" s="11" customFormat="true" ht="10.95" hidden="false" customHeight="true" outlineLevel="0" collapsed="false">
      <c r="A2322" s="16" t="n">
        <v>45435</v>
      </c>
      <c r="B2322" s="17" t="s">
        <v>939</v>
      </c>
      <c r="C2322" s="17" t="s">
        <v>788</v>
      </c>
      <c r="D2322" s="17" t="s">
        <v>19</v>
      </c>
      <c r="E2322" s="17" t="s">
        <v>991</v>
      </c>
      <c r="F2322" s="17" t="s">
        <v>1049</v>
      </c>
      <c r="G2322" s="18" t="n">
        <v>0</v>
      </c>
      <c r="H2322" s="18" t="n">
        <v>106.27</v>
      </c>
      <c r="I2322" s="18" t="n">
        <f aca="false">((I2321 + G2322) - H2322)</f>
        <v>-267590.04</v>
      </c>
      <c r="J2322" s="18" t="n">
        <v>0</v>
      </c>
      <c r="K2322" s="19" t="n">
        <v>0</v>
      </c>
      <c r="L2322" s="17" t="s">
        <v>88</v>
      </c>
    </row>
    <row r="2323" s="11" customFormat="true" ht="10.95" hidden="false" customHeight="true" outlineLevel="0" collapsed="false">
      <c r="A2323" s="16" t="n">
        <v>45435</v>
      </c>
      <c r="B2323" s="17" t="s">
        <v>939</v>
      </c>
      <c r="C2323" s="17" t="s">
        <v>788</v>
      </c>
      <c r="D2323" s="17" t="s">
        <v>19</v>
      </c>
      <c r="E2323" s="17" t="s">
        <v>991</v>
      </c>
      <c r="F2323" s="17" t="s">
        <v>1049</v>
      </c>
      <c r="G2323" s="18" t="n">
        <v>0</v>
      </c>
      <c r="H2323" s="18" t="n">
        <v>106.27</v>
      </c>
      <c r="I2323" s="18" t="n">
        <f aca="false">((I2322 + G2323) - H2323)</f>
        <v>-267696.31</v>
      </c>
      <c r="J2323" s="18" t="n">
        <v>0</v>
      </c>
      <c r="K2323" s="19" t="n">
        <v>0</v>
      </c>
      <c r="L2323" s="17" t="s">
        <v>88</v>
      </c>
    </row>
    <row r="2324" s="11" customFormat="true" ht="10.95" hidden="false" customHeight="true" outlineLevel="0" collapsed="false">
      <c r="A2324" s="16" t="n">
        <v>45435</v>
      </c>
      <c r="B2324" s="17" t="s">
        <v>939</v>
      </c>
      <c r="C2324" s="17" t="s">
        <v>788</v>
      </c>
      <c r="D2324" s="17" t="s">
        <v>19</v>
      </c>
      <c r="E2324" s="17" t="s">
        <v>971</v>
      </c>
      <c r="F2324" s="17" t="s">
        <v>1050</v>
      </c>
      <c r="G2324" s="18" t="n">
        <v>0</v>
      </c>
      <c r="H2324" s="18" t="n">
        <v>398.52</v>
      </c>
      <c r="I2324" s="18" t="n">
        <f aca="false">((I2323 + G2324) - H2324)</f>
        <v>-268094.83</v>
      </c>
      <c r="J2324" s="18" t="n">
        <v>0</v>
      </c>
      <c r="K2324" s="19" t="n">
        <v>0</v>
      </c>
      <c r="L2324" s="17" t="s">
        <v>88</v>
      </c>
    </row>
    <row r="2325" s="11" customFormat="true" ht="10.95" hidden="false" customHeight="true" outlineLevel="0" collapsed="false">
      <c r="A2325" s="16" t="n">
        <v>45435</v>
      </c>
      <c r="B2325" s="17" t="s">
        <v>939</v>
      </c>
      <c r="C2325" s="17" t="s">
        <v>788</v>
      </c>
      <c r="D2325" s="17" t="s">
        <v>19</v>
      </c>
      <c r="E2325" s="17" t="s">
        <v>973</v>
      </c>
      <c r="F2325" s="17" t="s">
        <v>1050</v>
      </c>
      <c r="G2325" s="18" t="n">
        <v>0</v>
      </c>
      <c r="H2325" s="18" t="n">
        <v>8.5</v>
      </c>
      <c r="I2325" s="18" t="n">
        <f aca="false">((I2324 + G2325) - H2325)</f>
        <v>-268103.33</v>
      </c>
      <c r="J2325" s="18" t="n">
        <v>0</v>
      </c>
      <c r="K2325" s="19" t="n">
        <v>0</v>
      </c>
      <c r="L2325" s="17" t="s">
        <v>88</v>
      </c>
    </row>
    <row r="2326" s="11" customFormat="true" ht="10.95" hidden="false" customHeight="true" outlineLevel="0" collapsed="false">
      <c r="A2326" s="16" t="n">
        <v>45435</v>
      </c>
      <c r="B2326" s="17" t="s">
        <v>939</v>
      </c>
      <c r="C2326" s="17" t="s">
        <v>788</v>
      </c>
      <c r="D2326" s="17" t="s">
        <v>19</v>
      </c>
      <c r="E2326" s="17" t="s">
        <v>974</v>
      </c>
      <c r="F2326" s="17" t="s">
        <v>1050</v>
      </c>
      <c r="G2326" s="18" t="n">
        <v>0</v>
      </c>
      <c r="H2326" s="18" t="n">
        <v>79.71</v>
      </c>
      <c r="I2326" s="18" t="n">
        <f aca="false">((I2325 + G2326) - H2326)</f>
        <v>-268183.04</v>
      </c>
      <c r="J2326" s="18" t="n">
        <v>0</v>
      </c>
      <c r="K2326" s="19" t="n">
        <v>0</v>
      </c>
      <c r="L2326" s="17" t="s">
        <v>88</v>
      </c>
    </row>
    <row r="2327" s="11" customFormat="true" ht="10.95" hidden="false" customHeight="true" outlineLevel="0" collapsed="false">
      <c r="A2327" s="16" t="n">
        <v>45435</v>
      </c>
      <c r="B2327" s="17" t="s">
        <v>939</v>
      </c>
      <c r="C2327" s="17" t="s">
        <v>788</v>
      </c>
      <c r="D2327" s="17" t="s">
        <v>19</v>
      </c>
      <c r="E2327" s="17" t="s">
        <v>971</v>
      </c>
      <c r="F2327" s="17" t="s">
        <v>1050</v>
      </c>
      <c r="G2327" s="18" t="n">
        <v>0</v>
      </c>
      <c r="H2327" s="18" t="n">
        <v>398.53</v>
      </c>
      <c r="I2327" s="18" t="n">
        <f aca="false">((I2326 + G2327) - H2327)</f>
        <v>-268581.57</v>
      </c>
      <c r="J2327" s="18" t="n">
        <v>0</v>
      </c>
      <c r="K2327" s="19" t="n">
        <v>0</v>
      </c>
      <c r="L2327" s="17" t="s">
        <v>88</v>
      </c>
    </row>
    <row r="2328" s="11" customFormat="true" ht="10.95" hidden="false" customHeight="true" outlineLevel="0" collapsed="false">
      <c r="A2328" s="16" t="n">
        <v>45435</v>
      </c>
      <c r="B2328" s="17" t="s">
        <v>939</v>
      </c>
      <c r="C2328" s="17" t="s">
        <v>788</v>
      </c>
      <c r="D2328" s="17" t="s">
        <v>19</v>
      </c>
      <c r="E2328" s="17" t="s">
        <v>973</v>
      </c>
      <c r="F2328" s="17" t="s">
        <v>1050</v>
      </c>
      <c r="G2328" s="18" t="n">
        <v>0</v>
      </c>
      <c r="H2328" s="18" t="n">
        <v>8.5</v>
      </c>
      <c r="I2328" s="18" t="n">
        <f aca="false">((I2327 + G2328) - H2328)</f>
        <v>-268590.07</v>
      </c>
      <c r="J2328" s="18" t="n">
        <v>0</v>
      </c>
      <c r="K2328" s="19" t="n">
        <v>0</v>
      </c>
      <c r="L2328" s="17" t="s">
        <v>88</v>
      </c>
    </row>
    <row r="2329" s="11" customFormat="true" ht="10.95" hidden="false" customHeight="true" outlineLevel="0" collapsed="false">
      <c r="A2329" s="16" t="n">
        <v>45435</v>
      </c>
      <c r="B2329" s="17" t="s">
        <v>939</v>
      </c>
      <c r="C2329" s="17" t="s">
        <v>788</v>
      </c>
      <c r="D2329" s="17" t="s">
        <v>19</v>
      </c>
      <c r="E2329" s="17" t="s">
        <v>974</v>
      </c>
      <c r="F2329" s="17" t="s">
        <v>1050</v>
      </c>
      <c r="G2329" s="18" t="n">
        <v>0</v>
      </c>
      <c r="H2329" s="18" t="n">
        <v>79.71</v>
      </c>
      <c r="I2329" s="18" t="n">
        <f aca="false">((I2328 + G2329) - H2329)</f>
        <v>-268669.78</v>
      </c>
      <c r="J2329" s="18" t="n">
        <v>0</v>
      </c>
      <c r="K2329" s="19" t="n">
        <v>0</v>
      </c>
      <c r="L2329" s="17" t="s">
        <v>88</v>
      </c>
    </row>
    <row r="2330" s="11" customFormat="true" ht="10.95" hidden="false" customHeight="true" outlineLevel="0" collapsed="false">
      <c r="A2330" s="16" t="n">
        <v>45435</v>
      </c>
      <c r="B2330" s="17" t="s">
        <v>939</v>
      </c>
      <c r="C2330" s="17" t="s">
        <v>788</v>
      </c>
      <c r="D2330" s="17" t="s">
        <v>19</v>
      </c>
      <c r="E2330" s="17" t="s">
        <v>971</v>
      </c>
      <c r="F2330" s="17" t="s">
        <v>1050</v>
      </c>
      <c r="G2330" s="18" t="n">
        <v>0</v>
      </c>
      <c r="H2330" s="18" t="n">
        <v>398.53</v>
      </c>
      <c r="I2330" s="18" t="n">
        <f aca="false">((I2329 + G2330) - H2330)</f>
        <v>-269068.31</v>
      </c>
      <c r="J2330" s="18" t="n">
        <v>0</v>
      </c>
      <c r="K2330" s="19" t="n">
        <v>0</v>
      </c>
      <c r="L2330" s="17" t="s">
        <v>88</v>
      </c>
    </row>
    <row r="2331" s="11" customFormat="true" ht="10.95" hidden="false" customHeight="true" outlineLevel="0" collapsed="false">
      <c r="A2331" s="16" t="n">
        <v>45435</v>
      </c>
      <c r="B2331" s="17" t="s">
        <v>939</v>
      </c>
      <c r="C2331" s="17" t="s">
        <v>788</v>
      </c>
      <c r="D2331" s="17" t="s">
        <v>19</v>
      </c>
      <c r="E2331" s="17" t="s">
        <v>973</v>
      </c>
      <c r="F2331" s="17" t="s">
        <v>1050</v>
      </c>
      <c r="G2331" s="18" t="n">
        <v>0</v>
      </c>
      <c r="H2331" s="18" t="n">
        <v>8.5</v>
      </c>
      <c r="I2331" s="18" t="n">
        <f aca="false">((I2330 + G2331) - H2331)</f>
        <v>-269076.81</v>
      </c>
      <c r="J2331" s="18" t="n">
        <v>0</v>
      </c>
      <c r="K2331" s="19" t="n">
        <v>0</v>
      </c>
      <c r="L2331" s="17" t="s">
        <v>88</v>
      </c>
    </row>
    <row r="2332" s="11" customFormat="true" ht="10.95" hidden="false" customHeight="true" outlineLevel="0" collapsed="false">
      <c r="A2332" s="16" t="n">
        <v>45435</v>
      </c>
      <c r="B2332" s="17" t="s">
        <v>939</v>
      </c>
      <c r="C2332" s="17" t="s">
        <v>788</v>
      </c>
      <c r="D2332" s="17" t="s">
        <v>19</v>
      </c>
      <c r="E2332" s="17" t="s">
        <v>974</v>
      </c>
      <c r="F2332" s="17" t="s">
        <v>1050</v>
      </c>
      <c r="G2332" s="18" t="n">
        <v>0</v>
      </c>
      <c r="H2332" s="18" t="n">
        <v>79.71</v>
      </c>
      <c r="I2332" s="18" t="n">
        <f aca="false">((I2331 + G2332) - H2332)</f>
        <v>-269156.52</v>
      </c>
      <c r="J2332" s="18" t="n">
        <v>0</v>
      </c>
      <c r="K2332" s="19" t="n">
        <v>0</v>
      </c>
      <c r="L2332" s="17" t="s">
        <v>88</v>
      </c>
    </row>
    <row r="2333" s="11" customFormat="true" ht="10.95" hidden="false" customHeight="true" outlineLevel="0" collapsed="false">
      <c r="A2333" s="16" t="n">
        <v>45435</v>
      </c>
      <c r="B2333" s="17" t="s">
        <v>939</v>
      </c>
      <c r="C2333" s="17" t="s">
        <v>788</v>
      </c>
      <c r="D2333" s="17" t="s">
        <v>19</v>
      </c>
      <c r="E2333" s="17" t="s">
        <v>991</v>
      </c>
      <c r="F2333" s="17" t="s">
        <v>1051</v>
      </c>
      <c r="G2333" s="18" t="n">
        <v>0</v>
      </c>
      <c r="H2333" s="18" t="n">
        <v>159.41</v>
      </c>
      <c r="I2333" s="18" t="n">
        <f aca="false">((I2332 + G2333) - H2333)</f>
        <v>-269315.93</v>
      </c>
      <c r="J2333" s="18" t="n">
        <v>0</v>
      </c>
      <c r="K2333" s="19" t="n">
        <v>0</v>
      </c>
      <c r="L2333" s="17" t="s">
        <v>88</v>
      </c>
    </row>
    <row r="2334" s="11" customFormat="true" ht="10.95" hidden="false" customHeight="true" outlineLevel="0" collapsed="false">
      <c r="A2334" s="16" t="n">
        <v>45435</v>
      </c>
      <c r="B2334" s="17" t="s">
        <v>939</v>
      </c>
      <c r="C2334" s="17" t="s">
        <v>788</v>
      </c>
      <c r="D2334" s="17" t="s">
        <v>19</v>
      </c>
      <c r="E2334" s="17" t="s">
        <v>991</v>
      </c>
      <c r="F2334" s="17" t="s">
        <v>1051</v>
      </c>
      <c r="G2334" s="18" t="n">
        <v>0</v>
      </c>
      <c r="H2334" s="18" t="n">
        <v>159.41</v>
      </c>
      <c r="I2334" s="18" t="n">
        <f aca="false">((I2333 + G2334) - H2334)</f>
        <v>-269475.34</v>
      </c>
      <c r="J2334" s="18" t="n">
        <v>0</v>
      </c>
      <c r="K2334" s="19" t="n">
        <v>0</v>
      </c>
      <c r="L2334" s="17" t="s">
        <v>88</v>
      </c>
    </row>
    <row r="2335" s="11" customFormat="true" ht="10.95" hidden="false" customHeight="true" outlineLevel="0" collapsed="false">
      <c r="A2335" s="16" t="n">
        <v>45435</v>
      </c>
      <c r="B2335" s="17" t="s">
        <v>939</v>
      </c>
      <c r="C2335" s="17" t="s">
        <v>788</v>
      </c>
      <c r="D2335" s="17" t="s">
        <v>19</v>
      </c>
      <c r="E2335" s="17" t="s">
        <v>991</v>
      </c>
      <c r="F2335" s="17" t="s">
        <v>1051</v>
      </c>
      <c r="G2335" s="18" t="n">
        <v>0</v>
      </c>
      <c r="H2335" s="18" t="n">
        <v>159.41</v>
      </c>
      <c r="I2335" s="18" t="n">
        <f aca="false">((I2334 + G2335) - H2335)</f>
        <v>-269634.75</v>
      </c>
      <c r="J2335" s="18" t="n">
        <v>0</v>
      </c>
      <c r="K2335" s="19" t="n">
        <v>0</v>
      </c>
      <c r="L2335" s="17" t="s">
        <v>88</v>
      </c>
    </row>
    <row r="2336" s="11" customFormat="true" ht="10.95" hidden="false" customHeight="true" outlineLevel="0" collapsed="false">
      <c r="A2336" s="16" t="n">
        <v>45435</v>
      </c>
      <c r="B2336" s="17" t="s">
        <v>939</v>
      </c>
      <c r="C2336" s="17" t="s">
        <v>788</v>
      </c>
      <c r="D2336" s="17" t="s">
        <v>19</v>
      </c>
      <c r="E2336" s="17" t="s">
        <v>991</v>
      </c>
      <c r="F2336" s="17" t="s">
        <v>1052</v>
      </c>
      <c r="G2336" s="18" t="n">
        <v>0</v>
      </c>
      <c r="H2336" s="18" t="n">
        <v>106.28</v>
      </c>
      <c r="I2336" s="18" t="n">
        <f aca="false">((I2335 + G2336) - H2336)</f>
        <v>-269741.03</v>
      </c>
      <c r="J2336" s="18" t="n">
        <v>0</v>
      </c>
      <c r="K2336" s="19" t="n">
        <v>0</v>
      </c>
      <c r="L2336" s="17" t="s">
        <v>88</v>
      </c>
    </row>
    <row r="2337" s="11" customFormat="true" ht="10.95" hidden="false" customHeight="true" outlineLevel="0" collapsed="false">
      <c r="A2337" s="16" t="n">
        <v>45435</v>
      </c>
      <c r="B2337" s="17" t="s">
        <v>939</v>
      </c>
      <c r="C2337" s="17" t="s">
        <v>788</v>
      </c>
      <c r="D2337" s="17" t="s">
        <v>19</v>
      </c>
      <c r="E2337" s="17" t="s">
        <v>991</v>
      </c>
      <c r="F2337" s="17" t="s">
        <v>1052</v>
      </c>
      <c r="G2337" s="18" t="n">
        <v>0</v>
      </c>
      <c r="H2337" s="18" t="n">
        <v>106.27</v>
      </c>
      <c r="I2337" s="18" t="n">
        <f aca="false">((I2336 + G2337) - H2337)</f>
        <v>-269847.3</v>
      </c>
      <c r="J2337" s="18" t="n">
        <v>0</v>
      </c>
      <c r="K2337" s="19" t="n">
        <v>0</v>
      </c>
      <c r="L2337" s="17" t="s">
        <v>88</v>
      </c>
    </row>
    <row r="2338" s="11" customFormat="true" ht="10.95" hidden="false" customHeight="true" outlineLevel="0" collapsed="false">
      <c r="A2338" s="16" t="n">
        <v>45435</v>
      </c>
      <c r="B2338" s="17" t="s">
        <v>939</v>
      </c>
      <c r="C2338" s="17" t="s">
        <v>788</v>
      </c>
      <c r="D2338" s="17" t="s">
        <v>19</v>
      </c>
      <c r="E2338" s="17" t="s">
        <v>991</v>
      </c>
      <c r="F2338" s="17" t="s">
        <v>1052</v>
      </c>
      <c r="G2338" s="18" t="n">
        <v>0</v>
      </c>
      <c r="H2338" s="18" t="n">
        <v>106.27</v>
      </c>
      <c r="I2338" s="18" t="n">
        <f aca="false">((I2337 + G2338) - H2338)</f>
        <v>-269953.57</v>
      </c>
      <c r="J2338" s="18" t="n">
        <v>0</v>
      </c>
      <c r="K2338" s="19" t="n">
        <v>0</v>
      </c>
      <c r="L2338" s="17" t="s">
        <v>88</v>
      </c>
    </row>
    <row r="2339" s="11" customFormat="true" ht="10.95" hidden="false" customHeight="true" outlineLevel="0" collapsed="false">
      <c r="A2339" s="16" t="n">
        <v>45446</v>
      </c>
      <c r="B2339" s="17" t="s">
        <v>939</v>
      </c>
      <c r="C2339" s="17" t="s">
        <v>788</v>
      </c>
      <c r="D2339" s="17" t="s">
        <v>19</v>
      </c>
      <c r="E2339" s="17" t="s">
        <v>1053</v>
      </c>
      <c r="F2339" s="17" t="s">
        <v>1054</v>
      </c>
      <c r="G2339" s="18" t="n">
        <v>0</v>
      </c>
      <c r="H2339" s="18" t="n">
        <v>1959.01</v>
      </c>
      <c r="I2339" s="18" t="n">
        <f aca="false">((I2338 + G2339) - H2339)</f>
        <v>-271912.58</v>
      </c>
      <c r="J2339" s="18" t="n">
        <v>0</v>
      </c>
      <c r="K2339" s="19" t="n">
        <v>0</v>
      </c>
      <c r="L2339" s="17" t="s">
        <v>88</v>
      </c>
    </row>
    <row r="2340" s="11" customFormat="true" ht="10.95" hidden="false" customHeight="true" outlineLevel="0" collapsed="false">
      <c r="A2340" s="16" t="n">
        <v>45446</v>
      </c>
      <c r="B2340" s="17" t="s">
        <v>939</v>
      </c>
      <c r="C2340" s="17" t="s">
        <v>788</v>
      </c>
      <c r="D2340" s="17" t="s">
        <v>19</v>
      </c>
      <c r="E2340" s="17" t="s">
        <v>1055</v>
      </c>
      <c r="F2340" s="17" t="s">
        <v>1054</v>
      </c>
      <c r="G2340" s="18" t="n">
        <v>0</v>
      </c>
      <c r="H2340" s="18" t="n">
        <v>489.75</v>
      </c>
      <c r="I2340" s="18" t="n">
        <f aca="false">((I2339 + G2340) - H2340)</f>
        <v>-272402.33</v>
      </c>
      <c r="J2340" s="18" t="n">
        <v>0</v>
      </c>
      <c r="K2340" s="19" t="n">
        <v>0</v>
      </c>
      <c r="L2340" s="17" t="s">
        <v>88</v>
      </c>
    </row>
    <row r="2341" s="11" customFormat="true" ht="10.95" hidden="false" customHeight="true" outlineLevel="0" collapsed="false">
      <c r="A2341" s="16" t="n">
        <v>45446</v>
      </c>
      <c r="B2341" s="17" t="s">
        <v>939</v>
      </c>
      <c r="C2341" s="17" t="s">
        <v>788</v>
      </c>
      <c r="D2341" s="17" t="s">
        <v>19</v>
      </c>
      <c r="E2341" s="17" t="s">
        <v>1055</v>
      </c>
      <c r="F2341" s="17" t="s">
        <v>1054</v>
      </c>
      <c r="G2341" s="18" t="n">
        <v>0</v>
      </c>
      <c r="H2341" s="18" t="n">
        <v>489.75</v>
      </c>
      <c r="I2341" s="18" t="n">
        <f aca="false">((I2340 + G2341) - H2341)</f>
        <v>-272892.08</v>
      </c>
      <c r="J2341" s="18" t="n">
        <v>0</v>
      </c>
      <c r="K2341" s="19" t="n">
        <v>0</v>
      </c>
      <c r="L2341" s="17" t="s">
        <v>88</v>
      </c>
    </row>
    <row r="2342" s="11" customFormat="true" ht="10.95" hidden="false" customHeight="true" outlineLevel="0" collapsed="false">
      <c r="A2342" s="16" t="n">
        <v>45446</v>
      </c>
      <c r="B2342" s="17" t="s">
        <v>939</v>
      </c>
      <c r="C2342" s="17" t="s">
        <v>788</v>
      </c>
      <c r="D2342" s="17" t="s">
        <v>19</v>
      </c>
      <c r="E2342" s="17" t="s">
        <v>1055</v>
      </c>
      <c r="F2342" s="17" t="s">
        <v>1054</v>
      </c>
      <c r="G2342" s="18" t="n">
        <v>0</v>
      </c>
      <c r="H2342" s="18" t="n">
        <v>489.75</v>
      </c>
      <c r="I2342" s="18" t="n">
        <f aca="false">((I2341 + G2342) - H2342)</f>
        <v>-273381.83</v>
      </c>
      <c r="J2342" s="18" t="n">
        <v>0</v>
      </c>
      <c r="K2342" s="19" t="n">
        <v>0</v>
      </c>
      <c r="L2342" s="17" t="s">
        <v>88</v>
      </c>
    </row>
    <row r="2343" s="11" customFormat="true" ht="10.95" hidden="false" customHeight="true" outlineLevel="0" collapsed="false">
      <c r="A2343" s="16" t="n">
        <v>45446</v>
      </c>
      <c r="B2343" s="17" t="s">
        <v>939</v>
      </c>
      <c r="C2343" s="17" t="s">
        <v>788</v>
      </c>
      <c r="D2343" s="17" t="s">
        <v>19</v>
      </c>
      <c r="E2343" s="17" t="s">
        <v>1055</v>
      </c>
      <c r="F2343" s="17" t="s">
        <v>1054</v>
      </c>
      <c r="G2343" s="18" t="n">
        <v>0</v>
      </c>
      <c r="H2343" s="18" t="n">
        <v>489.75</v>
      </c>
      <c r="I2343" s="18" t="n">
        <f aca="false">((I2342 + G2343) - H2343)</f>
        <v>-273871.58</v>
      </c>
      <c r="J2343" s="18" t="n">
        <v>0</v>
      </c>
      <c r="K2343" s="19" t="n">
        <v>0</v>
      </c>
      <c r="L2343" s="17" t="s">
        <v>88</v>
      </c>
    </row>
    <row r="2344" s="11" customFormat="true" ht="10.95" hidden="false" customHeight="true" outlineLevel="0" collapsed="false">
      <c r="A2344" s="16" t="n">
        <v>45446</v>
      </c>
      <c r="B2344" s="17" t="s">
        <v>939</v>
      </c>
      <c r="C2344" s="17" t="s">
        <v>788</v>
      </c>
      <c r="D2344" s="17" t="s">
        <v>19</v>
      </c>
      <c r="E2344" s="17" t="s">
        <v>1055</v>
      </c>
      <c r="F2344" s="17" t="s">
        <v>1054</v>
      </c>
      <c r="G2344" s="18" t="n">
        <v>0</v>
      </c>
      <c r="H2344" s="18" t="n">
        <v>489.75</v>
      </c>
      <c r="I2344" s="18" t="n">
        <f aca="false">((I2343 + G2344) - H2344)</f>
        <v>-274361.33</v>
      </c>
      <c r="J2344" s="18" t="n">
        <v>0</v>
      </c>
      <c r="K2344" s="19" t="n">
        <v>0</v>
      </c>
      <c r="L2344" s="17" t="s">
        <v>88</v>
      </c>
    </row>
    <row r="2345" s="11" customFormat="true" ht="10.95" hidden="false" customHeight="true" outlineLevel="0" collapsed="false">
      <c r="A2345" s="16" t="n">
        <v>45446</v>
      </c>
      <c r="B2345" s="17" t="s">
        <v>939</v>
      </c>
      <c r="C2345" s="17" t="s">
        <v>788</v>
      </c>
      <c r="D2345" s="17" t="s">
        <v>19</v>
      </c>
      <c r="E2345" s="17" t="s">
        <v>1055</v>
      </c>
      <c r="F2345" s="17" t="s">
        <v>1054</v>
      </c>
      <c r="G2345" s="18" t="n">
        <v>0</v>
      </c>
      <c r="H2345" s="18" t="n">
        <v>489.75</v>
      </c>
      <c r="I2345" s="18" t="n">
        <f aca="false">((I2344 + G2345) - H2345)</f>
        <v>-274851.08</v>
      </c>
      <c r="J2345" s="18" t="n">
        <v>0</v>
      </c>
      <c r="K2345" s="19" t="n">
        <v>0</v>
      </c>
      <c r="L2345" s="17" t="s">
        <v>88</v>
      </c>
    </row>
    <row r="2346" s="11" customFormat="true" ht="10.95" hidden="false" customHeight="true" outlineLevel="0" collapsed="false">
      <c r="A2346" s="16" t="n">
        <v>45462</v>
      </c>
      <c r="B2346" s="17" t="s">
        <v>939</v>
      </c>
      <c r="C2346" s="17" t="s">
        <v>788</v>
      </c>
      <c r="D2346" s="17" t="s">
        <v>19</v>
      </c>
      <c r="E2346" s="17" t="s">
        <v>971</v>
      </c>
      <c r="F2346" s="17" t="s">
        <v>1056</v>
      </c>
      <c r="G2346" s="18" t="n">
        <v>0</v>
      </c>
      <c r="H2346" s="18" t="n">
        <v>157.19</v>
      </c>
      <c r="I2346" s="18" t="n">
        <f aca="false">((I2345 + G2346) - H2346)</f>
        <v>-275008.27</v>
      </c>
      <c r="J2346" s="18" t="n">
        <v>0</v>
      </c>
      <c r="K2346" s="19" t="n">
        <v>0</v>
      </c>
      <c r="L2346" s="17" t="s">
        <v>88</v>
      </c>
    </row>
    <row r="2347" s="11" customFormat="true" ht="10.95" hidden="false" customHeight="true" outlineLevel="0" collapsed="false">
      <c r="A2347" s="16" t="n">
        <v>45462</v>
      </c>
      <c r="B2347" s="17" t="s">
        <v>939</v>
      </c>
      <c r="C2347" s="17" t="s">
        <v>788</v>
      </c>
      <c r="D2347" s="17" t="s">
        <v>19</v>
      </c>
      <c r="E2347" s="17" t="s">
        <v>974</v>
      </c>
      <c r="F2347" s="17" t="s">
        <v>1056</v>
      </c>
      <c r="G2347" s="18" t="n">
        <v>0</v>
      </c>
      <c r="H2347" s="18" t="n">
        <v>78.6</v>
      </c>
      <c r="I2347" s="18" t="n">
        <f aca="false">((I2346 + G2347) - H2347)</f>
        <v>-275086.87</v>
      </c>
      <c r="J2347" s="18" t="n">
        <v>0</v>
      </c>
      <c r="K2347" s="19" t="n">
        <v>0</v>
      </c>
      <c r="L2347" s="17" t="s">
        <v>88</v>
      </c>
    </row>
    <row r="2348" s="11" customFormat="true" ht="10.95" hidden="false" customHeight="true" outlineLevel="0" collapsed="false">
      <c r="A2348" s="16" t="n">
        <v>45462</v>
      </c>
      <c r="B2348" s="17" t="s">
        <v>939</v>
      </c>
      <c r="C2348" s="17" t="s">
        <v>788</v>
      </c>
      <c r="D2348" s="17" t="s">
        <v>19</v>
      </c>
      <c r="E2348" s="17" t="s">
        <v>971</v>
      </c>
      <c r="F2348" s="17" t="s">
        <v>1056</v>
      </c>
      <c r="G2348" s="18" t="n">
        <v>0</v>
      </c>
      <c r="H2348" s="18" t="n">
        <v>157.2</v>
      </c>
      <c r="I2348" s="18" t="n">
        <f aca="false">((I2347 + G2348) - H2348)</f>
        <v>-275244.07</v>
      </c>
      <c r="J2348" s="18" t="n">
        <v>0</v>
      </c>
      <c r="K2348" s="19" t="n">
        <v>0</v>
      </c>
      <c r="L2348" s="17" t="s">
        <v>88</v>
      </c>
    </row>
    <row r="2349" s="11" customFormat="true" ht="10.95" hidden="false" customHeight="true" outlineLevel="0" collapsed="false">
      <c r="A2349" s="16" t="n">
        <v>45462</v>
      </c>
      <c r="B2349" s="17" t="s">
        <v>939</v>
      </c>
      <c r="C2349" s="17" t="s">
        <v>788</v>
      </c>
      <c r="D2349" s="17" t="s">
        <v>19</v>
      </c>
      <c r="E2349" s="17" t="s">
        <v>974</v>
      </c>
      <c r="F2349" s="17" t="s">
        <v>1056</v>
      </c>
      <c r="G2349" s="18" t="n">
        <v>0</v>
      </c>
      <c r="H2349" s="18" t="n">
        <v>78.6</v>
      </c>
      <c r="I2349" s="18" t="n">
        <f aca="false">((I2348 + G2349) - H2349)</f>
        <v>-275322.67</v>
      </c>
      <c r="J2349" s="18" t="n">
        <v>0</v>
      </c>
      <c r="K2349" s="19" t="n">
        <v>0</v>
      </c>
      <c r="L2349" s="17" t="s">
        <v>88</v>
      </c>
    </row>
    <row r="2350" s="11" customFormat="true" ht="10.95" hidden="false" customHeight="true" outlineLevel="0" collapsed="false">
      <c r="A2350" s="16" t="n">
        <v>45462</v>
      </c>
      <c r="B2350" s="17" t="s">
        <v>939</v>
      </c>
      <c r="C2350" s="17" t="s">
        <v>788</v>
      </c>
      <c r="D2350" s="17" t="s">
        <v>19</v>
      </c>
      <c r="E2350" s="17" t="s">
        <v>971</v>
      </c>
      <c r="F2350" s="17" t="s">
        <v>1056</v>
      </c>
      <c r="G2350" s="18" t="n">
        <v>0</v>
      </c>
      <c r="H2350" s="18" t="n">
        <v>157.2</v>
      </c>
      <c r="I2350" s="18" t="n">
        <f aca="false">((I2349 + G2350) - H2350)</f>
        <v>-275479.87</v>
      </c>
      <c r="J2350" s="18" t="n">
        <v>0</v>
      </c>
      <c r="K2350" s="19" t="n">
        <v>0</v>
      </c>
      <c r="L2350" s="17" t="s">
        <v>88</v>
      </c>
    </row>
    <row r="2351" s="11" customFormat="true" ht="10.95" hidden="false" customHeight="true" outlineLevel="0" collapsed="false">
      <c r="A2351" s="16" t="n">
        <v>45462</v>
      </c>
      <c r="B2351" s="17" t="s">
        <v>939</v>
      </c>
      <c r="C2351" s="17" t="s">
        <v>788</v>
      </c>
      <c r="D2351" s="17" t="s">
        <v>19</v>
      </c>
      <c r="E2351" s="17" t="s">
        <v>974</v>
      </c>
      <c r="F2351" s="17" t="s">
        <v>1056</v>
      </c>
      <c r="G2351" s="18" t="n">
        <v>0</v>
      </c>
      <c r="H2351" s="18" t="n">
        <v>78.6</v>
      </c>
      <c r="I2351" s="18" t="n">
        <f aca="false">((I2350 + G2351) - H2351)</f>
        <v>-275558.47</v>
      </c>
      <c r="J2351" s="18" t="n">
        <v>0</v>
      </c>
      <c r="K2351" s="19" t="n">
        <v>0</v>
      </c>
      <c r="L2351" s="17" t="s">
        <v>88</v>
      </c>
    </row>
    <row r="2352" s="11" customFormat="true" ht="10.95" hidden="false" customHeight="true" outlineLevel="0" collapsed="false">
      <c r="A2352" s="16" t="n">
        <v>45462</v>
      </c>
      <c r="B2352" s="17" t="s">
        <v>939</v>
      </c>
      <c r="C2352" s="17" t="s">
        <v>788</v>
      </c>
      <c r="D2352" s="17" t="s">
        <v>19</v>
      </c>
      <c r="E2352" s="17" t="s">
        <v>1035</v>
      </c>
      <c r="F2352" s="17" t="s">
        <v>1057</v>
      </c>
      <c r="G2352" s="18" t="n">
        <v>0</v>
      </c>
      <c r="H2352" s="18" t="n">
        <v>1486.03</v>
      </c>
      <c r="I2352" s="18" t="n">
        <f aca="false">((I2351 + G2352) - H2352)</f>
        <v>-277044.5</v>
      </c>
      <c r="J2352" s="18" t="n">
        <v>0</v>
      </c>
      <c r="K2352" s="19" t="n">
        <v>0</v>
      </c>
      <c r="L2352" s="17" t="s">
        <v>88</v>
      </c>
    </row>
    <row r="2353" s="11" customFormat="true" ht="10.95" hidden="false" customHeight="true" outlineLevel="0" collapsed="false">
      <c r="A2353" s="16" t="n">
        <v>45462</v>
      </c>
      <c r="B2353" s="17" t="s">
        <v>939</v>
      </c>
      <c r="C2353" s="17" t="s">
        <v>788</v>
      </c>
      <c r="D2353" s="17" t="s">
        <v>19</v>
      </c>
      <c r="E2353" s="17" t="s">
        <v>1035</v>
      </c>
      <c r="F2353" s="17" t="s">
        <v>1057</v>
      </c>
      <c r="G2353" s="18" t="n">
        <v>0</v>
      </c>
      <c r="H2353" s="18" t="n">
        <v>165.11</v>
      </c>
      <c r="I2353" s="18" t="n">
        <f aca="false">((I2352 + G2353) - H2353)</f>
        <v>-277209.61</v>
      </c>
      <c r="J2353" s="18" t="n">
        <v>0</v>
      </c>
      <c r="K2353" s="19" t="n">
        <v>0</v>
      </c>
      <c r="L2353" s="17" t="s">
        <v>88</v>
      </c>
    </row>
    <row r="2354" s="11" customFormat="true" ht="10.95" hidden="false" customHeight="true" outlineLevel="0" collapsed="false">
      <c r="A2354" s="16" t="n">
        <v>45462</v>
      </c>
      <c r="B2354" s="17" t="s">
        <v>939</v>
      </c>
      <c r="C2354" s="17" t="s">
        <v>788</v>
      </c>
      <c r="D2354" s="17" t="s">
        <v>19</v>
      </c>
      <c r="E2354" s="17" t="s">
        <v>1012</v>
      </c>
      <c r="F2354" s="17" t="s">
        <v>1058</v>
      </c>
      <c r="G2354" s="18" t="n">
        <v>0</v>
      </c>
      <c r="H2354" s="18" t="n">
        <v>217.55</v>
      </c>
      <c r="I2354" s="18" t="n">
        <f aca="false">((I2353 + G2354) - H2354)</f>
        <v>-277427.16</v>
      </c>
      <c r="J2354" s="18" t="n">
        <v>0</v>
      </c>
      <c r="K2354" s="19" t="n">
        <v>0</v>
      </c>
      <c r="L2354" s="17" t="s">
        <v>88</v>
      </c>
    </row>
    <row r="2355" s="11" customFormat="true" ht="10.95" hidden="false" customHeight="true" outlineLevel="0" collapsed="false">
      <c r="A2355" s="16" t="n">
        <v>45462</v>
      </c>
      <c r="B2355" s="17" t="s">
        <v>939</v>
      </c>
      <c r="C2355" s="17" t="s">
        <v>788</v>
      </c>
      <c r="D2355" s="17" t="s">
        <v>19</v>
      </c>
      <c r="E2355" s="17" t="s">
        <v>984</v>
      </c>
      <c r="F2355" s="17" t="s">
        <v>1059</v>
      </c>
      <c r="G2355" s="18" t="n">
        <v>0</v>
      </c>
      <c r="H2355" s="18" t="n">
        <v>700.99</v>
      </c>
      <c r="I2355" s="18" t="n">
        <f aca="false">((I2354 + G2355) - H2355)</f>
        <v>-278128.15</v>
      </c>
      <c r="J2355" s="18" t="n">
        <v>0</v>
      </c>
      <c r="K2355" s="19" t="n">
        <v>0</v>
      </c>
      <c r="L2355" s="17" t="s">
        <v>88</v>
      </c>
    </row>
    <row r="2356" s="11" customFormat="true" ht="10.95" hidden="false" customHeight="true" outlineLevel="0" collapsed="false">
      <c r="A2356" s="16" t="n">
        <v>45462</v>
      </c>
      <c r="B2356" s="17" t="s">
        <v>939</v>
      </c>
      <c r="C2356" s="17" t="s">
        <v>788</v>
      </c>
      <c r="D2356" s="17" t="s">
        <v>19</v>
      </c>
      <c r="E2356" s="17" t="s">
        <v>986</v>
      </c>
      <c r="F2356" s="17" t="s">
        <v>1059</v>
      </c>
      <c r="G2356" s="18" t="n">
        <v>0</v>
      </c>
      <c r="H2356" s="18" t="n">
        <v>185.32</v>
      </c>
      <c r="I2356" s="18" t="n">
        <f aca="false">((I2355 + G2356) - H2356)</f>
        <v>-278313.47</v>
      </c>
      <c r="J2356" s="18" t="n">
        <v>0</v>
      </c>
      <c r="K2356" s="19" t="n">
        <v>0</v>
      </c>
      <c r="L2356" s="17" t="s">
        <v>88</v>
      </c>
    </row>
    <row r="2357" s="11" customFormat="true" ht="10.95" hidden="false" customHeight="true" outlineLevel="0" collapsed="false">
      <c r="A2357" s="16" t="n">
        <v>45462</v>
      </c>
      <c r="B2357" s="17" t="s">
        <v>939</v>
      </c>
      <c r="C2357" s="17" t="s">
        <v>788</v>
      </c>
      <c r="D2357" s="17" t="s">
        <v>19</v>
      </c>
      <c r="E2357" s="17" t="s">
        <v>958</v>
      </c>
      <c r="F2357" s="17" t="s">
        <v>1060</v>
      </c>
      <c r="G2357" s="18" t="n">
        <v>0</v>
      </c>
      <c r="H2357" s="18" t="n">
        <v>362.59</v>
      </c>
      <c r="I2357" s="18" t="n">
        <f aca="false">((I2356 + G2357) - H2357)</f>
        <v>-278676.06</v>
      </c>
      <c r="J2357" s="18" t="n">
        <v>0</v>
      </c>
      <c r="K2357" s="19" t="n">
        <v>0</v>
      </c>
      <c r="L2357" s="17" t="s">
        <v>88</v>
      </c>
    </row>
    <row r="2358" s="11" customFormat="true" ht="10.95" hidden="false" customHeight="true" outlineLevel="0" collapsed="false">
      <c r="A2358" s="16" t="n">
        <v>45462</v>
      </c>
      <c r="B2358" s="17" t="s">
        <v>939</v>
      </c>
      <c r="C2358" s="17" t="s">
        <v>788</v>
      </c>
      <c r="D2358" s="17" t="s">
        <v>19</v>
      </c>
      <c r="E2358" s="17" t="s">
        <v>960</v>
      </c>
      <c r="F2358" s="17" t="s">
        <v>1060</v>
      </c>
      <c r="G2358" s="18" t="n">
        <v>0</v>
      </c>
      <c r="H2358" s="18" t="n">
        <v>145.03</v>
      </c>
      <c r="I2358" s="18" t="n">
        <f aca="false">((I2357 + G2358) - H2358)</f>
        <v>-278821.09</v>
      </c>
      <c r="J2358" s="18" t="n">
        <v>0</v>
      </c>
      <c r="K2358" s="19" t="n">
        <v>0</v>
      </c>
      <c r="L2358" s="17" t="s">
        <v>88</v>
      </c>
    </row>
    <row r="2359" s="11" customFormat="true" ht="10.95" hidden="false" customHeight="true" outlineLevel="0" collapsed="false">
      <c r="A2359" s="16" t="n">
        <v>45462</v>
      </c>
      <c r="B2359" s="17" t="s">
        <v>939</v>
      </c>
      <c r="C2359" s="17" t="s">
        <v>788</v>
      </c>
      <c r="D2359" s="17" t="s">
        <v>19</v>
      </c>
      <c r="E2359" s="17" t="s">
        <v>961</v>
      </c>
      <c r="F2359" s="17" t="s">
        <v>1060</v>
      </c>
      <c r="G2359" s="18" t="n">
        <v>0</v>
      </c>
      <c r="H2359" s="18" t="n">
        <v>652.64</v>
      </c>
      <c r="I2359" s="18" t="n">
        <f aca="false">((I2358 + G2359) - H2359)</f>
        <v>-279473.73</v>
      </c>
      <c r="J2359" s="18" t="n">
        <v>0</v>
      </c>
      <c r="K2359" s="19" t="n">
        <v>0</v>
      </c>
      <c r="L2359" s="17" t="s">
        <v>88</v>
      </c>
    </row>
    <row r="2360" s="11" customFormat="true" ht="10.95" hidden="false" customHeight="true" outlineLevel="0" collapsed="false">
      <c r="A2360" s="16" t="n">
        <v>45462</v>
      </c>
      <c r="B2360" s="17" t="s">
        <v>939</v>
      </c>
      <c r="C2360" s="17" t="s">
        <v>788</v>
      </c>
      <c r="D2360" s="17" t="s">
        <v>19</v>
      </c>
      <c r="E2360" s="17" t="s">
        <v>962</v>
      </c>
      <c r="F2360" s="17" t="s">
        <v>1060</v>
      </c>
      <c r="G2360" s="18" t="n">
        <v>0</v>
      </c>
      <c r="H2360" s="18" t="n">
        <v>684.87</v>
      </c>
      <c r="I2360" s="18" t="n">
        <f aca="false">((I2359 + G2360) - H2360)</f>
        <v>-280158.6</v>
      </c>
      <c r="J2360" s="18" t="n">
        <v>0</v>
      </c>
      <c r="K2360" s="19" t="n">
        <v>0</v>
      </c>
      <c r="L2360" s="17" t="s">
        <v>88</v>
      </c>
    </row>
    <row r="2361" s="11" customFormat="true" ht="10.95" hidden="false" customHeight="true" outlineLevel="0" collapsed="false">
      <c r="A2361" s="16" t="n">
        <v>45462</v>
      </c>
      <c r="B2361" s="17" t="s">
        <v>939</v>
      </c>
      <c r="C2361" s="17" t="s">
        <v>788</v>
      </c>
      <c r="D2361" s="17" t="s">
        <v>19</v>
      </c>
      <c r="E2361" s="17" t="s">
        <v>1044</v>
      </c>
      <c r="F2361" s="17" t="s">
        <v>1060</v>
      </c>
      <c r="G2361" s="18" t="n">
        <v>0</v>
      </c>
      <c r="H2361" s="18" t="n">
        <v>939.48</v>
      </c>
      <c r="I2361" s="18" t="n">
        <f aca="false">((I2360 + G2361) - H2361)</f>
        <v>-281098.08</v>
      </c>
      <c r="J2361" s="18" t="n">
        <v>0</v>
      </c>
      <c r="K2361" s="19" t="n">
        <v>0</v>
      </c>
      <c r="L2361" s="17" t="s">
        <v>88</v>
      </c>
    </row>
    <row r="2362" s="11" customFormat="true" ht="10.95" hidden="false" customHeight="true" outlineLevel="0" collapsed="false">
      <c r="A2362" s="16" t="n">
        <v>45462</v>
      </c>
      <c r="B2362" s="17" t="s">
        <v>939</v>
      </c>
      <c r="C2362" s="17" t="s">
        <v>788</v>
      </c>
      <c r="D2362" s="17" t="s">
        <v>19</v>
      </c>
      <c r="E2362" s="17" t="s">
        <v>955</v>
      </c>
      <c r="F2362" s="17" t="s">
        <v>1061</v>
      </c>
      <c r="G2362" s="18" t="n">
        <v>0</v>
      </c>
      <c r="H2362" s="18" t="n">
        <v>7805.4</v>
      </c>
      <c r="I2362" s="18" t="n">
        <f aca="false">((I2361 + G2362) - H2362)</f>
        <v>-288903.48</v>
      </c>
      <c r="J2362" s="18" t="n">
        <v>0</v>
      </c>
      <c r="K2362" s="19" t="n">
        <v>0</v>
      </c>
      <c r="L2362" s="17" t="s">
        <v>88</v>
      </c>
    </row>
    <row r="2363" s="11" customFormat="true" ht="10.95" hidden="false" customHeight="true" outlineLevel="0" collapsed="false">
      <c r="A2363" s="16" t="n">
        <v>45462</v>
      </c>
      <c r="B2363" s="17" t="s">
        <v>939</v>
      </c>
      <c r="C2363" s="17" t="s">
        <v>788</v>
      </c>
      <c r="D2363" s="17" t="s">
        <v>19</v>
      </c>
      <c r="E2363" s="17" t="s">
        <v>957</v>
      </c>
      <c r="F2363" s="17" t="s">
        <v>1061</v>
      </c>
      <c r="G2363" s="18" t="n">
        <v>0</v>
      </c>
      <c r="H2363" s="18" t="n">
        <v>1801.25</v>
      </c>
      <c r="I2363" s="18" t="n">
        <f aca="false">((I2362 + G2363) - H2363)</f>
        <v>-290704.73</v>
      </c>
      <c r="J2363" s="18" t="n">
        <v>0</v>
      </c>
      <c r="K2363" s="19" t="n">
        <v>0</v>
      </c>
      <c r="L2363" s="17" t="s">
        <v>88</v>
      </c>
    </row>
    <row r="2364" s="11" customFormat="true" ht="10.95" hidden="false" customHeight="true" outlineLevel="0" collapsed="false">
      <c r="A2364" s="16" t="n">
        <v>45462</v>
      </c>
      <c r="B2364" s="17" t="s">
        <v>939</v>
      </c>
      <c r="C2364" s="17" t="s">
        <v>788</v>
      </c>
      <c r="D2364" s="17" t="s">
        <v>19</v>
      </c>
      <c r="E2364" s="17" t="s">
        <v>955</v>
      </c>
      <c r="F2364" s="17" t="s">
        <v>1061</v>
      </c>
      <c r="G2364" s="18" t="n">
        <v>0</v>
      </c>
      <c r="H2364" s="18" t="n">
        <v>225.16</v>
      </c>
      <c r="I2364" s="18" t="n">
        <f aca="false">((I2363 + G2364) - H2364)</f>
        <v>-290929.89</v>
      </c>
      <c r="J2364" s="18" t="n">
        <v>0</v>
      </c>
      <c r="K2364" s="19" t="n">
        <v>0</v>
      </c>
      <c r="L2364" s="17" t="s">
        <v>88</v>
      </c>
    </row>
    <row r="2365" s="11" customFormat="true" ht="10.95" hidden="false" customHeight="true" outlineLevel="0" collapsed="false">
      <c r="A2365" s="16" t="n">
        <v>45464</v>
      </c>
      <c r="B2365" s="17" t="s">
        <v>939</v>
      </c>
      <c r="C2365" s="17" t="s">
        <v>788</v>
      </c>
      <c r="D2365" s="17" t="s">
        <v>19</v>
      </c>
      <c r="E2365" s="17" t="s">
        <v>971</v>
      </c>
      <c r="F2365" s="17" t="s">
        <v>1062</v>
      </c>
      <c r="G2365" s="18" t="n">
        <v>0</v>
      </c>
      <c r="H2365" s="18" t="n">
        <v>78.39</v>
      </c>
      <c r="I2365" s="18" t="n">
        <f aca="false">((I2364 + G2365) - H2365)</f>
        <v>-291008.28</v>
      </c>
      <c r="J2365" s="18" t="n">
        <v>0</v>
      </c>
      <c r="K2365" s="19" t="n">
        <v>0</v>
      </c>
      <c r="L2365" s="17" t="s">
        <v>88</v>
      </c>
    </row>
    <row r="2366" s="11" customFormat="true" ht="10.95" hidden="false" customHeight="true" outlineLevel="0" collapsed="false">
      <c r="A2366" s="16" t="n">
        <v>45464</v>
      </c>
      <c r="B2366" s="17" t="s">
        <v>939</v>
      </c>
      <c r="C2366" s="17" t="s">
        <v>788</v>
      </c>
      <c r="D2366" s="17" t="s">
        <v>19</v>
      </c>
      <c r="E2366" s="17" t="s">
        <v>974</v>
      </c>
      <c r="F2366" s="17" t="s">
        <v>1062</v>
      </c>
      <c r="G2366" s="18" t="n">
        <v>0</v>
      </c>
      <c r="H2366" s="18" t="n">
        <v>78.39</v>
      </c>
      <c r="I2366" s="18" t="n">
        <f aca="false">((I2365 + G2366) - H2366)</f>
        <v>-291086.67</v>
      </c>
      <c r="J2366" s="18" t="n">
        <v>0</v>
      </c>
      <c r="K2366" s="19" t="n">
        <v>0</v>
      </c>
      <c r="L2366" s="17" t="s">
        <v>88</v>
      </c>
    </row>
    <row r="2367" s="11" customFormat="true" ht="10.95" hidden="false" customHeight="true" outlineLevel="0" collapsed="false">
      <c r="A2367" s="16" t="n">
        <v>45464</v>
      </c>
      <c r="B2367" s="17" t="s">
        <v>939</v>
      </c>
      <c r="C2367" s="17" t="s">
        <v>788</v>
      </c>
      <c r="D2367" s="17" t="s">
        <v>19</v>
      </c>
      <c r="E2367" s="17" t="s">
        <v>971</v>
      </c>
      <c r="F2367" s="17" t="s">
        <v>1062</v>
      </c>
      <c r="G2367" s="18" t="n">
        <v>0</v>
      </c>
      <c r="H2367" s="18" t="n">
        <v>78.39</v>
      </c>
      <c r="I2367" s="18" t="n">
        <f aca="false">((I2366 + G2367) - H2367)</f>
        <v>-291165.06</v>
      </c>
      <c r="J2367" s="18" t="n">
        <v>0</v>
      </c>
      <c r="K2367" s="19" t="n">
        <v>0</v>
      </c>
      <c r="L2367" s="17" t="s">
        <v>88</v>
      </c>
    </row>
    <row r="2368" s="11" customFormat="true" ht="10.95" hidden="false" customHeight="true" outlineLevel="0" collapsed="false">
      <c r="A2368" s="16" t="n">
        <v>45464</v>
      </c>
      <c r="B2368" s="17" t="s">
        <v>939</v>
      </c>
      <c r="C2368" s="17" t="s">
        <v>788</v>
      </c>
      <c r="D2368" s="17" t="s">
        <v>19</v>
      </c>
      <c r="E2368" s="17" t="s">
        <v>974</v>
      </c>
      <c r="F2368" s="17" t="s">
        <v>1062</v>
      </c>
      <c r="G2368" s="18" t="n">
        <v>0</v>
      </c>
      <c r="H2368" s="18" t="n">
        <v>78.38</v>
      </c>
      <c r="I2368" s="18" t="n">
        <f aca="false">((I2367 + G2368) - H2368)</f>
        <v>-291243.44</v>
      </c>
      <c r="J2368" s="18" t="n">
        <v>0</v>
      </c>
      <c r="K2368" s="19" t="n">
        <v>0</v>
      </c>
      <c r="L2368" s="17" t="s">
        <v>88</v>
      </c>
    </row>
    <row r="2369" s="11" customFormat="true" ht="10.95" hidden="false" customHeight="true" outlineLevel="0" collapsed="false">
      <c r="A2369" s="16" t="n">
        <v>45464</v>
      </c>
      <c r="B2369" s="17" t="s">
        <v>939</v>
      </c>
      <c r="C2369" s="17" t="s">
        <v>788</v>
      </c>
      <c r="D2369" s="17" t="s">
        <v>19</v>
      </c>
      <c r="E2369" s="17" t="s">
        <v>971</v>
      </c>
      <c r="F2369" s="17" t="s">
        <v>1062</v>
      </c>
      <c r="G2369" s="18" t="n">
        <v>0</v>
      </c>
      <c r="H2369" s="18" t="n">
        <v>78.38</v>
      </c>
      <c r="I2369" s="18" t="n">
        <f aca="false">((I2368 + G2369) - H2369)</f>
        <v>-291321.82</v>
      </c>
      <c r="J2369" s="18" t="n">
        <v>0</v>
      </c>
      <c r="K2369" s="19" t="n">
        <v>0</v>
      </c>
      <c r="L2369" s="17" t="s">
        <v>88</v>
      </c>
    </row>
    <row r="2370" s="11" customFormat="true" ht="10.95" hidden="false" customHeight="true" outlineLevel="0" collapsed="false">
      <c r="A2370" s="16" t="n">
        <v>45464</v>
      </c>
      <c r="B2370" s="17" t="s">
        <v>939</v>
      </c>
      <c r="C2370" s="17" t="s">
        <v>788</v>
      </c>
      <c r="D2370" s="17" t="s">
        <v>19</v>
      </c>
      <c r="E2370" s="17" t="s">
        <v>974</v>
      </c>
      <c r="F2370" s="17" t="s">
        <v>1062</v>
      </c>
      <c r="G2370" s="18" t="n">
        <v>0</v>
      </c>
      <c r="H2370" s="18" t="n">
        <v>78.38</v>
      </c>
      <c r="I2370" s="18" t="n">
        <f aca="false">((I2369 + G2370) - H2370)</f>
        <v>-291400.2</v>
      </c>
      <c r="J2370" s="18" t="n">
        <v>0</v>
      </c>
      <c r="K2370" s="19" t="n">
        <v>0</v>
      </c>
      <c r="L2370" s="17" t="s">
        <v>88</v>
      </c>
    </row>
    <row r="2371" s="11" customFormat="true" ht="10.95" hidden="false" customHeight="true" outlineLevel="0" collapsed="false">
      <c r="A2371" s="16" t="n">
        <v>45468</v>
      </c>
      <c r="B2371" s="17" t="s">
        <v>939</v>
      </c>
      <c r="C2371" s="17" t="s">
        <v>788</v>
      </c>
      <c r="D2371" s="17" t="s">
        <v>19</v>
      </c>
      <c r="E2371" s="17" t="s">
        <v>1063</v>
      </c>
      <c r="F2371" s="17" t="s">
        <v>1064</v>
      </c>
      <c r="G2371" s="18" t="n">
        <v>0</v>
      </c>
      <c r="H2371" s="18" t="n">
        <v>1936.01</v>
      </c>
      <c r="I2371" s="18" t="n">
        <f aca="false">((I2370 + G2371) - H2371)</f>
        <v>-293336.21</v>
      </c>
      <c r="J2371" s="18" t="n">
        <v>0</v>
      </c>
      <c r="K2371" s="19" t="n">
        <v>0</v>
      </c>
      <c r="L2371" s="17" t="s">
        <v>88</v>
      </c>
    </row>
    <row r="2372" s="11" customFormat="true" ht="10.95" hidden="false" customHeight="true" outlineLevel="0" collapsed="false">
      <c r="A2372" s="16" t="n">
        <v>45468</v>
      </c>
      <c r="B2372" s="17" t="s">
        <v>939</v>
      </c>
      <c r="C2372" s="17" t="s">
        <v>788</v>
      </c>
      <c r="D2372" s="17" t="s">
        <v>19</v>
      </c>
      <c r="E2372" s="17" t="s">
        <v>1065</v>
      </c>
      <c r="F2372" s="17" t="s">
        <v>1064</v>
      </c>
      <c r="G2372" s="18" t="n">
        <v>0</v>
      </c>
      <c r="H2372" s="18" t="n">
        <v>2904.03</v>
      </c>
      <c r="I2372" s="18" t="n">
        <f aca="false">((I2371 + G2372) - H2372)</f>
        <v>-296240.24</v>
      </c>
      <c r="J2372" s="18" t="n">
        <v>0</v>
      </c>
      <c r="K2372" s="19" t="n">
        <v>0</v>
      </c>
      <c r="L2372" s="17" t="s">
        <v>88</v>
      </c>
    </row>
    <row r="2373" s="11" customFormat="true" ht="10.95" hidden="false" customHeight="true" outlineLevel="0" collapsed="false">
      <c r="A2373" s="16" t="n">
        <v>45468</v>
      </c>
      <c r="B2373" s="17" t="s">
        <v>939</v>
      </c>
      <c r="C2373" s="17" t="s">
        <v>788</v>
      </c>
      <c r="D2373" s="17" t="s">
        <v>19</v>
      </c>
      <c r="E2373" s="17" t="s">
        <v>1066</v>
      </c>
      <c r="F2373" s="17" t="s">
        <v>1064</v>
      </c>
      <c r="G2373" s="18" t="n">
        <v>0</v>
      </c>
      <c r="H2373" s="18" t="n">
        <v>279.11</v>
      </c>
      <c r="I2373" s="18" t="n">
        <f aca="false">((I2372 + G2373) - H2373)</f>
        <v>-296519.35</v>
      </c>
      <c r="J2373" s="18" t="n">
        <v>0</v>
      </c>
      <c r="K2373" s="19" t="n">
        <v>0</v>
      </c>
      <c r="L2373" s="17" t="s">
        <v>88</v>
      </c>
    </row>
    <row r="2374" s="11" customFormat="true" ht="10.95" hidden="false" customHeight="true" outlineLevel="0" collapsed="false">
      <c r="A2374" s="16" t="n">
        <v>45468</v>
      </c>
      <c r="B2374" s="17" t="s">
        <v>939</v>
      </c>
      <c r="C2374" s="17" t="s">
        <v>788</v>
      </c>
      <c r="D2374" s="17" t="s">
        <v>19</v>
      </c>
      <c r="E2374" s="17" t="s">
        <v>1067</v>
      </c>
      <c r="F2374" s="17" t="s">
        <v>1064</v>
      </c>
      <c r="G2374" s="18" t="n">
        <v>0</v>
      </c>
      <c r="H2374" s="18" t="n">
        <v>43.56</v>
      </c>
      <c r="I2374" s="18" t="n">
        <f aca="false">((I2373 + G2374) - H2374)</f>
        <v>-296562.91</v>
      </c>
      <c r="J2374" s="18" t="n">
        <v>0</v>
      </c>
      <c r="K2374" s="19" t="n">
        <v>0</v>
      </c>
      <c r="L2374" s="17" t="s">
        <v>88</v>
      </c>
    </row>
    <row r="2375" s="11" customFormat="true" ht="10.95" hidden="false" customHeight="true" outlineLevel="0" collapsed="false">
      <c r="A2375" s="16" t="n">
        <v>45468</v>
      </c>
      <c r="B2375" s="17" t="s">
        <v>939</v>
      </c>
      <c r="C2375" s="17" t="s">
        <v>788</v>
      </c>
      <c r="D2375" s="17" t="s">
        <v>19</v>
      </c>
      <c r="E2375" s="17" t="s">
        <v>1068</v>
      </c>
      <c r="F2375" s="17" t="s">
        <v>1064</v>
      </c>
      <c r="G2375" s="18" t="n">
        <v>0</v>
      </c>
      <c r="H2375" s="18" t="n">
        <v>908.32</v>
      </c>
      <c r="I2375" s="18" t="n">
        <f aca="false">((I2374 + G2375) - H2375)</f>
        <v>-297471.23</v>
      </c>
      <c r="J2375" s="18" t="n">
        <v>0</v>
      </c>
      <c r="K2375" s="19" t="n">
        <v>0</v>
      </c>
      <c r="L2375" s="17" t="s">
        <v>88</v>
      </c>
    </row>
    <row r="2376" s="11" customFormat="true" ht="10.95" hidden="false" customHeight="true" outlineLevel="0" collapsed="false">
      <c r="A2376" s="16" t="n">
        <v>45468</v>
      </c>
      <c r="B2376" s="17" t="s">
        <v>939</v>
      </c>
      <c r="C2376" s="17" t="s">
        <v>788</v>
      </c>
      <c r="D2376" s="17" t="s">
        <v>19</v>
      </c>
      <c r="E2376" s="17" t="s">
        <v>1065</v>
      </c>
      <c r="F2376" s="17" t="s">
        <v>1064</v>
      </c>
      <c r="G2376" s="18" t="n">
        <v>0</v>
      </c>
      <c r="H2376" s="18" t="n">
        <v>2904.03</v>
      </c>
      <c r="I2376" s="18" t="n">
        <f aca="false">((I2375 + G2376) - H2376)</f>
        <v>-300375.26</v>
      </c>
      <c r="J2376" s="18" t="n">
        <v>0</v>
      </c>
      <c r="K2376" s="19" t="n">
        <v>0</v>
      </c>
      <c r="L2376" s="17" t="s">
        <v>88</v>
      </c>
    </row>
    <row r="2377" s="11" customFormat="true" ht="10.95" hidden="false" customHeight="true" outlineLevel="0" collapsed="false">
      <c r="A2377" s="16" t="n">
        <v>45468</v>
      </c>
      <c r="B2377" s="17" t="s">
        <v>939</v>
      </c>
      <c r="C2377" s="17" t="s">
        <v>788</v>
      </c>
      <c r="D2377" s="17" t="s">
        <v>19</v>
      </c>
      <c r="E2377" s="17" t="s">
        <v>1066</v>
      </c>
      <c r="F2377" s="17" t="s">
        <v>1064</v>
      </c>
      <c r="G2377" s="18" t="n">
        <v>0</v>
      </c>
      <c r="H2377" s="18" t="n">
        <v>279.11</v>
      </c>
      <c r="I2377" s="18" t="n">
        <f aca="false">((I2376 + G2377) - H2377)</f>
        <v>-300654.37</v>
      </c>
      <c r="J2377" s="18" t="n">
        <v>0</v>
      </c>
      <c r="K2377" s="19" t="n">
        <v>0</v>
      </c>
      <c r="L2377" s="17" t="s">
        <v>88</v>
      </c>
    </row>
    <row r="2378" s="11" customFormat="true" ht="10.95" hidden="false" customHeight="true" outlineLevel="0" collapsed="false">
      <c r="A2378" s="16" t="n">
        <v>45468</v>
      </c>
      <c r="B2378" s="17" t="s">
        <v>939</v>
      </c>
      <c r="C2378" s="17" t="s">
        <v>788</v>
      </c>
      <c r="D2378" s="17" t="s">
        <v>19</v>
      </c>
      <c r="E2378" s="17" t="s">
        <v>1067</v>
      </c>
      <c r="F2378" s="17" t="s">
        <v>1064</v>
      </c>
      <c r="G2378" s="18" t="n">
        <v>0</v>
      </c>
      <c r="H2378" s="18" t="n">
        <v>43.56</v>
      </c>
      <c r="I2378" s="18" t="n">
        <f aca="false">((I2377 + G2378) - H2378)</f>
        <v>-300697.93</v>
      </c>
      <c r="J2378" s="18" t="n">
        <v>0</v>
      </c>
      <c r="K2378" s="19" t="n">
        <v>0</v>
      </c>
      <c r="L2378" s="17" t="s">
        <v>88</v>
      </c>
    </row>
    <row r="2379" s="11" customFormat="true" ht="10.95" hidden="false" customHeight="true" outlineLevel="0" collapsed="false">
      <c r="A2379" s="16" t="n">
        <v>45468</v>
      </c>
      <c r="B2379" s="17" t="s">
        <v>939</v>
      </c>
      <c r="C2379" s="17" t="s">
        <v>788</v>
      </c>
      <c r="D2379" s="17" t="s">
        <v>19</v>
      </c>
      <c r="E2379" s="17" t="s">
        <v>1068</v>
      </c>
      <c r="F2379" s="17" t="s">
        <v>1064</v>
      </c>
      <c r="G2379" s="18" t="n">
        <v>0</v>
      </c>
      <c r="H2379" s="18" t="n">
        <v>908.32</v>
      </c>
      <c r="I2379" s="18" t="n">
        <f aca="false">((I2378 + G2379) - H2379)</f>
        <v>-301606.25</v>
      </c>
      <c r="J2379" s="18" t="n">
        <v>0</v>
      </c>
      <c r="K2379" s="19" t="n">
        <v>0</v>
      </c>
      <c r="L2379" s="17" t="s">
        <v>88</v>
      </c>
    </row>
    <row r="2380" s="11" customFormat="true" ht="10.95" hidden="false" customHeight="true" outlineLevel="0" collapsed="false">
      <c r="A2380" s="16" t="n">
        <v>45468</v>
      </c>
      <c r="B2380" s="17" t="s">
        <v>939</v>
      </c>
      <c r="C2380" s="17" t="s">
        <v>788</v>
      </c>
      <c r="D2380" s="17" t="s">
        <v>19</v>
      </c>
      <c r="E2380" s="17" t="s">
        <v>1065</v>
      </c>
      <c r="F2380" s="17" t="s">
        <v>1064</v>
      </c>
      <c r="G2380" s="18" t="n">
        <v>0</v>
      </c>
      <c r="H2380" s="18" t="n">
        <v>2904.03</v>
      </c>
      <c r="I2380" s="18" t="n">
        <f aca="false">((I2379 + G2380) - H2380)</f>
        <v>-304510.28</v>
      </c>
      <c r="J2380" s="18" t="n">
        <v>0</v>
      </c>
      <c r="K2380" s="19" t="n">
        <v>0</v>
      </c>
      <c r="L2380" s="17" t="s">
        <v>88</v>
      </c>
    </row>
    <row r="2381" s="11" customFormat="true" ht="10.95" hidden="false" customHeight="true" outlineLevel="0" collapsed="false">
      <c r="A2381" s="16" t="n">
        <v>45468</v>
      </c>
      <c r="B2381" s="17" t="s">
        <v>939</v>
      </c>
      <c r="C2381" s="17" t="s">
        <v>788</v>
      </c>
      <c r="D2381" s="17" t="s">
        <v>19</v>
      </c>
      <c r="E2381" s="17" t="s">
        <v>1066</v>
      </c>
      <c r="F2381" s="17" t="s">
        <v>1064</v>
      </c>
      <c r="G2381" s="18" t="n">
        <v>0</v>
      </c>
      <c r="H2381" s="18" t="n">
        <v>279.11</v>
      </c>
      <c r="I2381" s="18" t="n">
        <f aca="false">((I2380 + G2381) - H2381)</f>
        <v>-304789.39</v>
      </c>
      <c r="J2381" s="18" t="n">
        <v>0</v>
      </c>
      <c r="K2381" s="19" t="n">
        <v>0</v>
      </c>
      <c r="L2381" s="17" t="s">
        <v>88</v>
      </c>
    </row>
    <row r="2382" s="11" customFormat="true" ht="10.95" hidden="false" customHeight="true" outlineLevel="0" collapsed="false">
      <c r="A2382" s="16" t="n">
        <v>45468</v>
      </c>
      <c r="B2382" s="17" t="s">
        <v>939</v>
      </c>
      <c r="C2382" s="17" t="s">
        <v>788</v>
      </c>
      <c r="D2382" s="17" t="s">
        <v>19</v>
      </c>
      <c r="E2382" s="17" t="s">
        <v>1067</v>
      </c>
      <c r="F2382" s="17" t="s">
        <v>1064</v>
      </c>
      <c r="G2382" s="18" t="n">
        <v>0</v>
      </c>
      <c r="H2382" s="18" t="n">
        <v>43.56</v>
      </c>
      <c r="I2382" s="18" t="n">
        <f aca="false">((I2381 + G2382) - H2382)</f>
        <v>-304832.95</v>
      </c>
      <c r="J2382" s="18" t="n">
        <v>0</v>
      </c>
      <c r="K2382" s="19" t="n">
        <v>0</v>
      </c>
      <c r="L2382" s="17" t="s">
        <v>88</v>
      </c>
    </row>
    <row r="2383" s="11" customFormat="true" ht="10.95" hidden="false" customHeight="true" outlineLevel="0" collapsed="false">
      <c r="A2383" s="16" t="n">
        <v>45468</v>
      </c>
      <c r="B2383" s="17" t="s">
        <v>939</v>
      </c>
      <c r="C2383" s="17" t="s">
        <v>788</v>
      </c>
      <c r="D2383" s="17" t="s">
        <v>19</v>
      </c>
      <c r="E2383" s="17" t="s">
        <v>1068</v>
      </c>
      <c r="F2383" s="17" t="s">
        <v>1064</v>
      </c>
      <c r="G2383" s="18" t="n">
        <v>0</v>
      </c>
      <c r="H2383" s="18" t="n">
        <v>908.32</v>
      </c>
      <c r="I2383" s="18" t="n">
        <f aca="false">((I2382 + G2383) - H2383)</f>
        <v>-305741.27</v>
      </c>
      <c r="J2383" s="18" t="n">
        <v>0</v>
      </c>
      <c r="K2383" s="19" t="n">
        <v>0</v>
      </c>
      <c r="L2383" s="17" t="s">
        <v>88</v>
      </c>
    </row>
    <row r="2384" s="11" customFormat="true" ht="10.95" hidden="false" customHeight="true" outlineLevel="0" collapsed="false">
      <c r="A2384" s="16" t="n">
        <v>45468</v>
      </c>
      <c r="B2384" s="17" t="s">
        <v>939</v>
      </c>
      <c r="C2384" s="17" t="s">
        <v>788</v>
      </c>
      <c r="D2384" s="17" t="s">
        <v>19</v>
      </c>
      <c r="E2384" s="17" t="s">
        <v>1065</v>
      </c>
      <c r="F2384" s="17" t="s">
        <v>1064</v>
      </c>
      <c r="G2384" s="18" t="n">
        <v>0</v>
      </c>
      <c r="H2384" s="18" t="n">
        <v>2904.03</v>
      </c>
      <c r="I2384" s="18" t="n">
        <f aca="false">((I2383 + G2384) - H2384)</f>
        <v>-308645.3</v>
      </c>
      <c r="J2384" s="18" t="n">
        <v>0</v>
      </c>
      <c r="K2384" s="19" t="n">
        <v>0</v>
      </c>
      <c r="L2384" s="17" t="s">
        <v>88</v>
      </c>
    </row>
    <row r="2385" s="11" customFormat="true" ht="10.95" hidden="false" customHeight="true" outlineLevel="0" collapsed="false">
      <c r="A2385" s="16" t="n">
        <v>45468</v>
      </c>
      <c r="B2385" s="17" t="s">
        <v>939</v>
      </c>
      <c r="C2385" s="17" t="s">
        <v>788</v>
      </c>
      <c r="D2385" s="17" t="s">
        <v>19</v>
      </c>
      <c r="E2385" s="17" t="s">
        <v>1066</v>
      </c>
      <c r="F2385" s="17" t="s">
        <v>1064</v>
      </c>
      <c r="G2385" s="18" t="n">
        <v>0</v>
      </c>
      <c r="H2385" s="18" t="n">
        <v>279.11</v>
      </c>
      <c r="I2385" s="18" t="n">
        <f aca="false">((I2384 + G2385) - H2385)</f>
        <v>-308924.41</v>
      </c>
      <c r="J2385" s="18" t="n">
        <v>0</v>
      </c>
      <c r="K2385" s="19" t="n">
        <v>0</v>
      </c>
      <c r="L2385" s="17" t="s">
        <v>88</v>
      </c>
    </row>
    <row r="2386" s="11" customFormat="true" ht="10.95" hidden="false" customHeight="true" outlineLevel="0" collapsed="false">
      <c r="A2386" s="16" t="n">
        <v>45468</v>
      </c>
      <c r="B2386" s="17" t="s">
        <v>939</v>
      </c>
      <c r="C2386" s="17" t="s">
        <v>788</v>
      </c>
      <c r="D2386" s="17" t="s">
        <v>19</v>
      </c>
      <c r="E2386" s="17" t="s">
        <v>1067</v>
      </c>
      <c r="F2386" s="17" t="s">
        <v>1064</v>
      </c>
      <c r="G2386" s="18" t="n">
        <v>0</v>
      </c>
      <c r="H2386" s="18" t="n">
        <v>43.56</v>
      </c>
      <c r="I2386" s="18" t="n">
        <f aca="false">((I2385 + G2386) - H2386)</f>
        <v>-308967.97</v>
      </c>
      <c r="J2386" s="18" t="n">
        <v>0</v>
      </c>
      <c r="K2386" s="19" t="n">
        <v>0</v>
      </c>
      <c r="L2386" s="17" t="s">
        <v>88</v>
      </c>
    </row>
    <row r="2387" s="11" customFormat="true" ht="10.95" hidden="false" customHeight="true" outlineLevel="0" collapsed="false">
      <c r="A2387" s="16" t="n">
        <v>45468</v>
      </c>
      <c r="B2387" s="17" t="s">
        <v>939</v>
      </c>
      <c r="C2387" s="17" t="s">
        <v>788</v>
      </c>
      <c r="D2387" s="17" t="s">
        <v>19</v>
      </c>
      <c r="E2387" s="17" t="s">
        <v>1068</v>
      </c>
      <c r="F2387" s="17" t="s">
        <v>1064</v>
      </c>
      <c r="G2387" s="18" t="n">
        <v>0</v>
      </c>
      <c r="H2387" s="18" t="n">
        <v>908.32</v>
      </c>
      <c r="I2387" s="18" t="n">
        <f aca="false">((I2386 + G2387) - H2387)</f>
        <v>-309876.29</v>
      </c>
      <c r="J2387" s="18" t="n">
        <v>0</v>
      </c>
      <c r="K2387" s="19" t="n">
        <v>0</v>
      </c>
      <c r="L2387" s="17" t="s">
        <v>88</v>
      </c>
    </row>
    <row r="2388" s="11" customFormat="true" ht="10.95" hidden="false" customHeight="true" outlineLevel="0" collapsed="false">
      <c r="A2388" s="16" t="n">
        <v>45468</v>
      </c>
      <c r="B2388" s="17" t="s">
        <v>939</v>
      </c>
      <c r="C2388" s="17" t="s">
        <v>788</v>
      </c>
      <c r="D2388" s="17" t="s">
        <v>19</v>
      </c>
      <c r="E2388" s="17" t="s">
        <v>1065</v>
      </c>
      <c r="F2388" s="17" t="s">
        <v>1064</v>
      </c>
      <c r="G2388" s="18" t="n">
        <v>0</v>
      </c>
      <c r="H2388" s="18" t="n">
        <v>2904.03</v>
      </c>
      <c r="I2388" s="18" t="n">
        <f aca="false">((I2387 + G2388) - H2388)</f>
        <v>-312780.32</v>
      </c>
      <c r="J2388" s="18" t="n">
        <v>0</v>
      </c>
      <c r="K2388" s="19" t="n">
        <v>0</v>
      </c>
      <c r="L2388" s="17" t="s">
        <v>88</v>
      </c>
    </row>
    <row r="2389" s="11" customFormat="true" ht="10.95" hidden="false" customHeight="true" outlineLevel="0" collapsed="false">
      <c r="A2389" s="16" t="n">
        <v>45468</v>
      </c>
      <c r="B2389" s="17" t="s">
        <v>939</v>
      </c>
      <c r="C2389" s="17" t="s">
        <v>788</v>
      </c>
      <c r="D2389" s="17" t="s">
        <v>19</v>
      </c>
      <c r="E2389" s="17" t="s">
        <v>1066</v>
      </c>
      <c r="F2389" s="17" t="s">
        <v>1064</v>
      </c>
      <c r="G2389" s="18" t="n">
        <v>0</v>
      </c>
      <c r="H2389" s="18" t="n">
        <v>279.11</v>
      </c>
      <c r="I2389" s="18" t="n">
        <f aca="false">((I2388 + G2389) - H2389)</f>
        <v>-313059.43</v>
      </c>
      <c r="J2389" s="18" t="n">
        <v>0</v>
      </c>
      <c r="K2389" s="19" t="n">
        <v>0</v>
      </c>
      <c r="L2389" s="17" t="s">
        <v>88</v>
      </c>
    </row>
    <row r="2390" s="11" customFormat="true" ht="10.95" hidden="false" customHeight="true" outlineLevel="0" collapsed="false">
      <c r="A2390" s="16" t="n">
        <v>45468</v>
      </c>
      <c r="B2390" s="17" t="s">
        <v>939</v>
      </c>
      <c r="C2390" s="17" t="s">
        <v>788</v>
      </c>
      <c r="D2390" s="17" t="s">
        <v>19</v>
      </c>
      <c r="E2390" s="17" t="s">
        <v>1067</v>
      </c>
      <c r="F2390" s="17" t="s">
        <v>1064</v>
      </c>
      <c r="G2390" s="18" t="n">
        <v>0</v>
      </c>
      <c r="H2390" s="18" t="n">
        <v>43.56</v>
      </c>
      <c r="I2390" s="18" t="n">
        <f aca="false">((I2389 + G2390) - H2390)</f>
        <v>-313102.99</v>
      </c>
      <c r="J2390" s="18" t="n">
        <v>0</v>
      </c>
      <c r="K2390" s="19" t="n">
        <v>0</v>
      </c>
      <c r="L2390" s="17" t="s">
        <v>88</v>
      </c>
    </row>
    <row r="2391" s="11" customFormat="true" ht="10.95" hidden="false" customHeight="true" outlineLevel="0" collapsed="false">
      <c r="A2391" s="16" t="n">
        <v>45468</v>
      </c>
      <c r="B2391" s="17" t="s">
        <v>939</v>
      </c>
      <c r="C2391" s="17" t="s">
        <v>788</v>
      </c>
      <c r="D2391" s="17" t="s">
        <v>19</v>
      </c>
      <c r="E2391" s="17" t="s">
        <v>1068</v>
      </c>
      <c r="F2391" s="17" t="s">
        <v>1064</v>
      </c>
      <c r="G2391" s="18" t="n">
        <v>0</v>
      </c>
      <c r="H2391" s="18" t="n">
        <v>908.32</v>
      </c>
      <c r="I2391" s="18" t="n">
        <f aca="false">((I2390 + G2391) - H2391)</f>
        <v>-314011.31</v>
      </c>
      <c r="J2391" s="18" t="n">
        <v>0</v>
      </c>
      <c r="K2391" s="19" t="n">
        <v>0</v>
      </c>
      <c r="L2391" s="17" t="s">
        <v>88</v>
      </c>
    </row>
    <row r="2392" s="11" customFormat="true" ht="10.95" hidden="false" customHeight="true" outlineLevel="0" collapsed="false">
      <c r="A2392" s="21" t="s">
        <v>1069</v>
      </c>
      <c r="B2392" s="21"/>
      <c r="C2392" s="21"/>
      <c r="D2392" s="21"/>
      <c r="E2392" s="21"/>
      <c r="F2392" s="21"/>
      <c r="G2392" s="22" t="n">
        <f aca="false">SUM(G2029:G2391)</f>
        <v>0</v>
      </c>
      <c r="H2392" s="22" t="n">
        <f aca="false">SUM(H2029:H2391)</f>
        <v>314011.31</v>
      </c>
      <c r="I2392" s="22" t="n">
        <f aca="false">I2391</f>
        <v>-314011.31</v>
      </c>
      <c r="J2392" s="22" t="n">
        <f aca="false">SUM(J2029:J2391)</f>
        <v>0</v>
      </c>
      <c r="K2392" s="21"/>
      <c r="L2392" s="21"/>
    </row>
    <row r="2393" s="11" customFormat="true" ht="10.95" hidden="false" customHeight="true" outlineLevel="0" collapsed="false">
      <c r="A2393" s="21" t="s">
        <v>784</v>
      </c>
      <c r="B2393" s="21"/>
      <c r="C2393" s="21"/>
      <c r="D2393" s="21"/>
      <c r="E2393" s="21"/>
      <c r="F2393" s="21"/>
      <c r="G2393" s="22" t="n">
        <v>0</v>
      </c>
      <c r="H2393" s="22" t="n">
        <v>314011.31</v>
      </c>
      <c r="I2393" s="22" t="n">
        <v>0</v>
      </c>
      <c r="J2393" s="22" t="n">
        <v>0</v>
      </c>
      <c r="K2393" s="21"/>
      <c r="L2393" s="21"/>
    </row>
    <row r="2394" s="11" customFormat="true" ht="10.95" hidden="false" customHeight="true" outlineLevel="0" collapsed="false">
      <c r="A2394" s="9" t="s">
        <v>785</v>
      </c>
      <c r="B2394" s="9"/>
      <c r="C2394" s="9"/>
      <c r="D2394" s="9"/>
      <c r="E2394" s="9"/>
      <c r="F2394" s="9"/>
      <c r="G2394" s="10" t="n">
        <v>0</v>
      </c>
      <c r="H2394" s="10" t="n">
        <v>314011.31</v>
      </c>
      <c r="I2394" s="10" t="n">
        <f aca="false">I2391</f>
        <v>-314011.31</v>
      </c>
      <c r="J2394" s="10" t="n">
        <v>0</v>
      </c>
      <c r="K2394" s="9"/>
      <c r="L2394" s="9"/>
    </row>
    <row r="2395" customFormat="false" ht="13.35" hidden="false" customHeight="true" outlineLevel="0" collapsed="false"/>
    <row r="2396" s="7" customFormat="true" ht="12.1" hidden="false" customHeight="true" outlineLevel="0" collapsed="false">
      <c r="A2396" s="8" t="s">
        <v>1070</v>
      </c>
      <c r="B2396" s="8"/>
      <c r="C2396" s="8"/>
      <c r="D2396" s="8"/>
      <c r="E2396" s="8"/>
      <c r="F2396" s="8"/>
      <c r="G2396" s="8"/>
      <c r="H2396" s="8"/>
      <c r="I2396" s="8"/>
      <c r="J2396" s="8"/>
      <c r="K2396" s="8"/>
      <c r="L2396" s="8"/>
    </row>
    <row r="2397" s="11" customFormat="true" ht="10.95" hidden="false" customHeight="true" outlineLevel="0" collapsed="false">
      <c r="A2397" s="9" t="s">
        <v>16</v>
      </c>
      <c r="B2397" s="9"/>
      <c r="C2397" s="9"/>
      <c r="D2397" s="9"/>
      <c r="E2397" s="9"/>
      <c r="F2397" s="9"/>
      <c r="G2397" s="10" t="n">
        <v>0</v>
      </c>
      <c r="H2397" s="10" t="n">
        <v>0</v>
      </c>
      <c r="I2397" s="10" t="n">
        <f aca="false">(G2397 - H2397)</f>
        <v>0</v>
      </c>
      <c r="J2397" s="10" t="n">
        <v>0</v>
      </c>
      <c r="K2397" s="9"/>
      <c r="L2397" s="9"/>
    </row>
    <row r="2398" s="11" customFormat="true" ht="10.95" hidden="false" customHeight="true" outlineLevel="0" collapsed="false">
      <c r="A2398" s="12" t="n">
        <v>45132</v>
      </c>
      <c r="B2398" s="13" t="s">
        <v>1071</v>
      </c>
      <c r="C2398" s="13" t="s">
        <v>788</v>
      </c>
      <c r="D2398" s="13" t="s">
        <v>19</v>
      </c>
      <c r="E2398" s="13" t="s">
        <v>1072</v>
      </c>
      <c r="F2398" s="13" t="s">
        <v>1073</v>
      </c>
      <c r="G2398" s="14" t="n">
        <v>0</v>
      </c>
      <c r="H2398" s="14" t="n">
        <v>662.41</v>
      </c>
      <c r="I2398" s="14" t="n">
        <f aca="false">((I2397 + G2398) - H2398)</f>
        <v>-662.41</v>
      </c>
      <c r="J2398" s="14" t="n">
        <v>0</v>
      </c>
      <c r="K2398" s="15" t="n">
        <v>0</v>
      </c>
      <c r="L2398" s="13" t="s">
        <v>88</v>
      </c>
    </row>
    <row r="2399" s="11" customFormat="true" ht="10.95" hidden="false" customHeight="true" outlineLevel="0" collapsed="false">
      <c r="A2399" s="16" t="n">
        <v>45132</v>
      </c>
      <c r="B2399" s="17" t="s">
        <v>1071</v>
      </c>
      <c r="C2399" s="17" t="s">
        <v>788</v>
      </c>
      <c r="D2399" s="17" t="s">
        <v>19</v>
      </c>
      <c r="E2399" s="17" t="s">
        <v>1074</v>
      </c>
      <c r="F2399" s="17" t="s">
        <v>1073</v>
      </c>
      <c r="G2399" s="18" t="n">
        <v>0</v>
      </c>
      <c r="H2399" s="18" t="n">
        <v>101.2</v>
      </c>
      <c r="I2399" s="18" t="n">
        <f aca="false">((I2398 + G2399) - H2399)</f>
        <v>-763.61</v>
      </c>
      <c r="J2399" s="18" t="n">
        <v>0</v>
      </c>
      <c r="K2399" s="19" t="n">
        <v>0</v>
      </c>
      <c r="L2399" s="17" t="s">
        <v>88</v>
      </c>
    </row>
    <row r="2400" s="11" customFormat="true" ht="10.95" hidden="false" customHeight="true" outlineLevel="0" collapsed="false">
      <c r="A2400" s="16" t="n">
        <v>45132</v>
      </c>
      <c r="B2400" s="17" t="s">
        <v>1071</v>
      </c>
      <c r="C2400" s="17" t="s">
        <v>788</v>
      </c>
      <c r="D2400" s="17" t="s">
        <v>19</v>
      </c>
      <c r="E2400" s="17" t="s">
        <v>1075</v>
      </c>
      <c r="F2400" s="17" t="s">
        <v>1076</v>
      </c>
      <c r="G2400" s="18" t="n">
        <v>0</v>
      </c>
      <c r="H2400" s="18" t="n">
        <v>3094.04</v>
      </c>
      <c r="I2400" s="18" t="n">
        <f aca="false">((I2399 + G2400) - H2400)</f>
        <v>-3857.65</v>
      </c>
      <c r="J2400" s="18" t="n">
        <v>0</v>
      </c>
      <c r="K2400" s="19" t="n">
        <v>0</v>
      </c>
      <c r="L2400" s="17" t="s">
        <v>88</v>
      </c>
    </row>
    <row r="2401" s="11" customFormat="true" ht="10.95" hidden="false" customHeight="true" outlineLevel="0" collapsed="false">
      <c r="A2401" s="16" t="n">
        <v>45132</v>
      </c>
      <c r="B2401" s="17" t="s">
        <v>1071</v>
      </c>
      <c r="C2401" s="17" t="s">
        <v>788</v>
      </c>
      <c r="D2401" s="17" t="s">
        <v>19</v>
      </c>
      <c r="E2401" s="17" t="s">
        <v>1077</v>
      </c>
      <c r="F2401" s="17" t="s">
        <v>1078</v>
      </c>
      <c r="G2401" s="18" t="n">
        <v>0</v>
      </c>
      <c r="H2401" s="18" t="n">
        <v>962.29</v>
      </c>
      <c r="I2401" s="18" t="n">
        <f aca="false">((I2400 + G2401) - H2401)</f>
        <v>-4819.94</v>
      </c>
      <c r="J2401" s="18" t="n">
        <v>0</v>
      </c>
      <c r="K2401" s="19" t="n">
        <v>0</v>
      </c>
      <c r="L2401" s="17" t="s">
        <v>88</v>
      </c>
    </row>
    <row r="2402" s="11" customFormat="true" ht="10.95" hidden="false" customHeight="true" outlineLevel="0" collapsed="false">
      <c r="A2402" s="16" t="n">
        <v>45132</v>
      </c>
      <c r="B2402" s="17" t="s">
        <v>1071</v>
      </c>
      <c r="C2402" s="17" t="s">
        <v>788</v>
      </c>
      <c r="D2402" s="17" t="s">
        <v>19</v>
      </c>
      <c r="E2402" s="17" t="s">
        <v>1079</v>
      </c>
      <c r="F2402" s="17" t="s">
        <v>1078</v>
      </c>
      <c r="G2402" s="18" t="n">
        <v>0</v>
      </c>
      <c r="H2402" s="18" t="n">
        <v>331.5</v>
      </c>
      <c r="I2402" s="18" t="n">
        <f aca="false">((I2401 + G2402) - H2402)</f>
        <v>-5151.44</v>
      </c>
      <c r="J2402" s="18" t="n">
        <v>0</v>
      </c>
      <c r="K2402" s="19" t="n">
        <v>0</v>
      </c>
      <c r="L2402" s="17" t="s">
        <v>88</v>
      </c>
    </row>
    <row r="2403" s="11" customFormat="true" ht="10.95" hidden="false" customHeight="true" outlineLevel="0" collapsed="false">
      <c r="A2403" s="16" t="n">
        <v>45132</v>
      </c>
      <c r="B2403" s="17" t="s">
        <v>1071</v>
      </c>
      <c r="C2403" s="17" t="s">
        <v>788</v>
      </c>
      <c r="D2403" s="17" t="s">
        <v>19</v>
      </c>
      <c r="E2403" s="17" t="s">
        <v>1080</v>
      </c>
      <c r="F2403" s="17" t="s">
        <v>1078</v>
      </c>
      <c r="G2403" s="18" t="n">
        <v>0</v>
      </c>
      <c r="H2403" s="18" t="n">
        <v>101.29</v>
      </c>
      <c r="I2403" s="18" t="n">
        <f aca="false">((I2402 + G2403) - H2403)</f>
        <v>-5252.73</v>
      </c>
      <c r="J2403" s="18" t="n">
        <v>0</v>
      </c>
      <c r="K2403" s="19" t="n">
        <v>0</v>
      </c>
      <c r="L2403" s="17" t="s">
        <v>88</v>
      </c>
    </row>
    <row r="2404" s="11" customFormat="true" ht="10.95" hidden="false" customHeight="true" outlineLevel="0" collapsed="false">
      <c r="A2404" s="16" t="n">
        <v>45132</v>
      </c>
      <c r="B2404" s="17" t="s">
        <v>1071</v>
      </c>
      <c r="C2404" s="17" t="s">
        <v>788</v>
      </c>
      <c r="D2404" s="17" t="s">
        <v>19</v>
      </c>
      <c r="E2404" s="17" t="s">
        <v>1081</v>
      </c>
      <c r="F2404" s="17" t="s">
        <v>1082</v>
      </c>
      <c r="G2404" s="18" t="n">
        <v>0</v>
      </c>
      <c r="H2404" s="18" t="n">
        <v>180</v>
      </c>
      <c r="I2404" s="18" t="n">
        <f aca="false">((I2403 + G2404) - H2404)</f>
        <v>-5432.73</v>
      </c>
      <c r="J2404" s="18" t="n">
        <v>0</v>
      </c>
      <c r="K2404" s="19" t="n">
        <v>0</v>
      </c>
      <c r="L2404" s="17" t="s">
        <v>88</v>
      </c>
    </row>
    <row r="2405" s="11" customFormat="true" ht="10.95" hidden="false" customHeight="true" outlineLevel="0" collapsed="false">
      <c r="A2405" s="16" t="n">
        <v>45132</v>
      </c>
      <c r="B2405" s="17" t="s">
        <v>1071</v>
      </c>
      <c r="C2405" s="17" t="s">
        <v>788</v>
      </c>
      <c r="D2405" s="17" t="s">
        <v>19</v>
      </c>
      <c r="E2405" s="17" t="s">
        <v>1083</v>
      </c>
      <c r="F2405" s="17" t="s">
        <v>1084</v>
      </c>
      <c r="G2405" s="18" t="n">
        <v>0</v>
      </c>
      <c r="H2405" s="18" t="n">
        <v>265.23</v>
      </c>
      <c r="I2405" s="18" t="n">
        <f aca="false">((I2404 + G2405) - H2405)</f>
        <v>-5697.96</v>
      </c>
      <c r="J2405" s="18" t="n">
        <v>0</v>
      </c>
      <c r="K2405" s="19" t="n">
        <v>0</v>
      </c>
      <c r="L2405" s="17" t="s">
        <v>88</v>
      </c>
    </row>
    <row r="2406" s="11" customFormat="true" ht="10.95" hidden="false" customHeight="true" outlineLevel="0" collapsed="false">
      <c r="A2406" s="16" t="n">
        <v>45132</v>
      </c>
      <c r="B2406" s="17" t="s">
        <v>1071</v>
      </c>
      <c r="C2406" s="17" t="s">
        <v>788</v>
      </c>
      <c r="D2406" s="17" t="s">
        <v>19</v>
      </c>
      <c r="E2406" s="17" t="s">
        <v>1085</v>
      </c>
      <c r="F2406" s="17" t="s">
        <v>1086</v>
      </c>
      <c r="G2406" s="18" t="n">
        <v>0</v>
      </c>
      <c r="H2406" s="18" t="n">
        <v>582.48</v>
      </c>
      <c r="I2406" s="18" t="n">
        <f aca="false">((I2405 + G2406) - H2406)</f>
        <v>-6280.44</v>
      </c>
      <c r="J2406" s="18" t="n">
        <v>0</v>
      </c>
      <c r="K2406" s="19" t="n">
        <v>0</v>
      </c>
      <c r="L2406" s="17" t="s">
        <v>88</v>
      </c>
    </row>
    <row r="2407" s="11" customFormat="true" ht="10.95" hidden="false" customHeight="true" outlineLevel="0" collapsed="false">
      <c r="A2407" s="16" t="n">
        <v>45132</v>
      </c>
      <c r="B2407" s="17" t="s">
        <v>1071</v>
      </c>
      <c r="C2407" s="17" t="s">
        <v>788</v>
      </c>
      <c r="D2407" s="17" t="s">
        <v>19</v>
      </c>
      <c r="E2407" s="17" t="s">
        <v>1087</v>
      </c>
      <c r="F2407" s="17" t="s">
        <v>1086</v>
      </c>
      <c r="G2407" s="18" t="n">
        <v>0</v>
      </c>
      <c r="H2407" s="18" t="n">
        <v>70.91</v>
      </c>
      <c r="I2407" s="18" t="n">
        <f aca="false">((I2406 + G2407) - H2407)</f>
        <v>-6351.35</v>
      </c>
      <c r="J2407" s="18" t="n">
        <v>0</v>
      </c>
      <c r="K2407" s="19" t="n">
        <v>0</v>
      </c>
      <c r="L2407" s="17" t="s">
        <v>88</v>
      </c>
    </row>
    <row r="2408" s="11" customFormat="true" ht="10.95" hidden="false" customHeight="true" outlineLevel="0" collapsed="false">
      <c r="A2408" s="16" t="n">
        <v>45132</v>
      </c>
      <c r="B2408" s="17" t="s">
        <v>1071</v>
      </c>
      <c r="C2408" s="17" t="s">
        <v>788</v>
      </c>
      <c r="D2408" s="17" t="s">
        <v>19</v>
      </c>
      <c r="E2408" s="17" t="s">
        <v>1088</v>
      </c>
      <c r="F2408" s="17" t="s">
        <v>1086</v>
      </c>
      <c r="G2408" s="18" t="n">
        <v>0</v>
      </c>
      <c r="H2408" s="18" t="n">
        <v>10.13</v>
      </c>
      <c r="I2408" s="18" t="n">
        <f aca="false">((I2407 + G2408) - H2408)</f>
        <v>-6361.48</v>
      </c>
      <c r="J2408" s="18" t="n">
        <v>0</v>
      </c>
      <c r="K2408" s="19" t="n">
        <v>0</v>
      </c>
      <c r="L2408" s="17" t="s">
        <v>88</v>
      </c>
    </row>
    <row r="2409" s="11" customFormat="true" ht="10.95" hidden="false" customHeight="true" outlineLevel="0" collapsed="false">
      <c r="A2409" s="16" t="n">
        <v>45132</v>
      </c>
      <c r="B2409" s="17" t="s">
        <v>1071</v>
      </c>
      <c r="C2409" s="17" t="s">
        <v>788</v>
      </c>
      <c r="D2409" s="17" t="s">
        <v>19</v>
      </c>
      <c r="E2409" s="17" t="s">
        <v>1089</v>
      </c>
      <c r="F2409" s="17" t="s">
        <v>1086</v>
      </c>
      <c r="G2409" s="18" t="n">
        <v>0</v>
      </c>
      <c r="H2409" s="18" t="n">
        <v>138.14</v>
      </c>
      <c r="I2409" s="18" t="n">
        <f aca="false">((I2408 + G2409) - H2409)</f>
        <v>-6499.62</v>
      </c>
      <c r="J2409" s="18" t="n">
        <v>0</v>
      </c>
      <c r="K2409" s="19" t="n">
        <v>0</v>
      </c>
      <c r="L2409" s="17" t="s">
        <v>88</v>
      </c>
    </row>
    <row r="2410" s="11" customFormat="true" ht="10.95" hidden="false" customHeight="true" outlineLevel="0" collapsed="false">
      <c r="A2410" s="16" t="n">
        <v>45132</v>
      </c>
      <c r="B2410" s="17" t="s">
        <v>1071</v>
      </c>
      <c r="C2410" s="17" t="s">
        <v>788</v>
      </c>
      <c r="D2410" s="17" t="s">
        <v>19</v>
      </c>
      <c r="E2410" s="17" t="s">
        <v>1090</v>
      </c>
      <c r="F2410" s="17" t="s">
        <v>1091</v>
      </c>
      <c r="G2410" s="18" t="n">
        <v>0</v>
      </c>
      <c r="H2410" s="18" t="n">
        <v>1712.91</v>
      </c>
      <c r="I2410" s="18" t="n">
        <f aca="false">((I2409 + G2410) - H2410)</f>
        <v>-8212.53</v>
      </c>
      <c r="J2410" s="18" t="n">
        <v>0</v>
      </c>
      <c r="K2410" s="19" t="n">
        <v>0</v>
      </c>
      <c r="L2410" s="17" t="s">
        <v>88</v>
      </c>
    </row>
    <row r="2411" s="11" customFormat="true" ht="10.95" hidden="false" customHeight="true" outlineLevel="0" collapsed="false">
      <c r="A2411" s="16" t="n">
        <v>45132</v>
      </c>
      <c r="B2411" s="17" t="s">
        <v>1071</v>
      </c>
      <c r="C2411" s="17" t="s">
        <v>788</v>
      </c>
      <c r="D2411" s="17" t="s">
        <v>19</v>
      </c>
      <c r="E2411" s="17" t="s">
        <v>1087</v>
      </c>
      <c r="F2411" s="17" t="s">
        <v>1091</v>
      </c>
      <c r="G2411" s="18" t="n">
        <v>0</v>
      </c>
      <c r="H2411" s="18" t="n">
        <v>30.39</v>
      </c>
      <c r="I2411" s="18" t="n">
        <f aca="false">((I2410 + G2411) - H2411)</f>
        <v>-8242.92</v>
      </c>
      <c r="J2411" s="18" t="n">
        <v>0</v>
      </c>
      <c r="K2411" s="19" t="n">
        <v>0</v>
      </c>
      <c r="L2411" s="17" t="s">
        <v>88</v>
      </c>
    </row>
    <row r="2412" s="11" customFormat="true" ht="10.95" hidden="false" customHeight="true" outlineLevel="0" collapsed="false">
      <c r="A2412" s="16" t="n">
        <v>45132</v>
      </c>
      <c r="B2412" s="17" t="s">
        <v>1071</v>
      </c>
      <c r="C2412" s="17" t="s">
        <v>788</v>
      </c>
      <c r="D2412" s="17" t="s">
        <v>19</v>
      </c>
      <c r="E2412" s="17" t="s">
        <v>1092</v>
      </c>
      <c r="F2412" s="17" t="s">
        <v>1093</v>
      </c>
      <c r="G2412" s="18" t="n">
        <v>0</v>
      </c>
      <c r="H2412" s="18" t="n">
        <v>847.24</v>
      </c>
      <c r="I2412" s="18" t="n">
        <f aca="false">((I2411 + G2412) - H2412)</f>
        <v>-9090.16</v>
      </c>
      <c r="J2412" s="18" t="n">
        <v>0</v>
      </c>
      <c r="K2412" s="19" t="n">
        <v>0</v>
      </c>
      <c r="L2412" s="17" t="s">
        <v>88</v>
      </c>
    </row>
    <row r="2413" s="11" customFormat="true" ht="10.95" hidden="false" customHeight="true" outlineLevel="0" collapsed="false">
      <c r="A2413" s="16" t="n">
        <v>45132</v>
      </c>
      <c r="B2413" s="17" t="s">
        <v>1071</v>
      </c>
      <c r="C2413" s="17" t="s">
        <v>788</v>
      </c>
      <c r="D2413" s="17" t="s">
        <v>19</v>
      </c>
      <c r="E2413" s="17" t="s">
        <v>1094</v>
      </c>
      <c r="F2413" s="17" t="s">
        <v>1093</v>
      </c>
      <c r="G2413" s="18" t="n">
        <v>0</v>
      </c>
      <c r="H2413" s="18" t="n">
        <v>92.09</v>
      </c>
      <c r="I2413" s="18" t="n">
        <f aca="false">((I2412 + G2413) - H2413)</f>
        <v>-9182.25</v>
      </c>
      <c r="J2413" s="18" t="n">
        <v>0</v>
      </c>
      <c r="K2413" s="19" t="n">
        <v>0</v>
      </c>
      <c r="L2413" s="17" t="s">
        <v>88</v>
      </c>
    </row>
    <row r="2414" s="11" customFormat="true" ht="10.95" hidden="false" customHeight="true" outlineLevel="0" collapsed="false">
      <c r="A2414" s="16" t="n">
        <v>45132</v>
      </c>
      <c r="B2414" s="17" t="s">
        <v>1071</v>
      </c>
      <c r="C2414" s="17" t="s">
        <v>788</v>
      </c>
      <c r="D2414" s="17" t="s">
        <v>19</v>
      </c>
      <c r="E2414" s="17" t="s">
        <v>1087</v>
      </c>
      <c r="F2414" s="17" t="s">
        <v>1093</v>
      </c>
      <c r="G2414" s="18" t="n">
        <v>0</v>
      </c>
      <c r="H2414" s="18" t="n">
        <v>35.46</v>
      </c>
      <c r="I2414" s="18" t="n">
        <f aca="false">((I2413 + G2414) - H2414)</f>
        <v>-9217.71</v>
      </c>
      <c r="J2414" s="18" t="n">
        <v>0</v>
      </c>
      <c r="K2414" s="19" t="n">
        <v>0</v>
      </c>
      <c r="L2414" s="17" t="s">
        <v>88</v>
      </c>
    </row>
    <row r="2415" s="11" customFormat="true" ht="10.95" hidden="false" customHeight="true" outlineLevel="0" collapsed="false">
      <c r="A2415" s="16" t="n">
        <v>45132</v>
      </c>
      <c r="B2415" s="17" t="s">
        <v>1071</v>
      </c>
      <c r="C2415" s="17" t="s">
        <v>788</v>
      </c>
      <c r="D2415" s="17" t="s">
        <v>19</v>
      </c>
      <c r="E2415" s="17" t="s">
        <v>1095</v>
      </c>
      <c r="F2415" s="17" t="s">
        <v>1093</v>
      </c>
      <c r="G2415" s="18" t="n">
        <v>0</v>
      </c>
      <c r="H2415" s="18" t="n">
        <v>27.63</v>
      </c>
      <c r="I2415" s="18" t="n">
        <f aca="false">((I2414 + G2415) - H2415)</f>
        <v>-9245.34</v>
      </c>
      <c r="J2415" s="18" t="n">
        <v>0</v>
      </c>
      <c r="K2415" s="19" t="n">
        <v>0</v>
      </c>
      <c r="L2415" s="17" t="s">
        <v>88</v>
      </c>
    </row>
    <row r="2416" s="11" customFormat="true" ht="10.95" hidden="false" customHeight="true" outlineLevel="0" collapsed="false">
      <c r="A2416" s="16" t="n">
        <v>45132</v>
      </c>
      <c r="B2416" s="17" t="s">
        <v>1071</v>
      </c>
      <c r="C2416" s="17" t="s">
        <v>788</v>
      </c>
      <c r="D2416" s="17" t="s">
        <v>19</v>
      </c>
      <c r="E2416" s="17" t="s">
        <v>1092</v>
      </c>
      <c r="F2416" s="17" t="s">
        <v>1096</v>
      </c>
      <c r="G2416" s="18" t="n">
        <v>0</v>
      </c>
      <c r="H2416" s="18" t="n">
        <v>1385.07</v>
      </c>
      <c r="I2416" s="18" t="n">
        <f aca="false">((I2415 + G2416) - H2416)</f>
        <v>-10630.41</v>
      </c>
      <c r="J2416" s="18" t="n">
        <v>0</v>
      </c>
      <c r="K2416" s="19" t="n">
        <v>0</v>
      </c>
      <c r="L2416" s="17" t="s">
        <v>88</v>
      </c>
    </row>
    <row r="2417" s="11" customFormat="true" ht="42" hidden="false" customHeight="true" outlineLevel="0" collapsed="false">
      <c r="A2417" s="16" t="n">
        <v>45132</v>
      </c>
      <c r="B2417" s="17" t="s">
        <v>1071</v>
      </c>
      <c r="C2417" s="17" t="s">
        <v>788</v>
      </c>
      <c r="D2417" s="17" t="s">
        <v>19</v>
      </c>
      <c r="E2417" s="20" t="s">
        <v>1097</v>
      </c>
      <c r="F2417" s="17" t="s">
        <v>1096</v>
      </c>
      <c r="G2417" s="18" t="n">
        <v>0</v>
      </c>
      <c r="H2417" s="18" t="n">
        <v>64.46</v>
      </c>
      <c r="I2417" s="18" t="n">
        <f aca="false">((I2416 + G2417) - H2417)</f>
        <v>-10694.87</v>
      </c>
      <c r="J2417" s="18" t="n">
        <v>0</v>
      </c>
      <c r="K2417" s="19" t="n">
        <v>0</v>
      </c>
      <c r="L2417" s="17" t="s">
        <v>88</v>
      </c>
    </row>
    <row r="2418" s="11" customFormat="true" ht="10.95" hidden="false" customHeight="true" outlineLevel="0" collapsed="false">
      <c r="A2418" s="16" t="n">
        <v>45132</v>
      </c>
      <c r="B2418" s="17" t="s">
        <v>1071</v>
      </c>
      <c r="C2418" s="17" t="s">
        <v>788</v>
      </c>
      <c r="D2418" s="17" t="s">
        <v>19</v>
      </c>
      <c r="E2418" s="17" t="s">
        <v>1094</v>
      </c>
      <c r="F2418" s="17" t="s">
        <v>1096</v>
      </c>
      <c r="G2418" s="18" t="n">
        <v>0</v>
      </c>
      <c r="H2418" s="18" t="n">
        <v>92.09</v>
      </c>
      <c r="I2418" s="18" t="n">
        <f aca="false">((I2417 + G2418) - H2418)</f>
        <v>-10786.96</v>
      </c>
      <c r="J2418" s="18" t="n">
        <v>0</v>
      </c>
      <c r="K2418" s="19" t="n">
        <v>0</v>
      </c>
      <c r="L2418" s="17" t="s">
        <v>88</v>
      </c>
    </row>
    <row r="2419" s="11" customFormat="true" ht="10.95" hidden="false" customHeight="true" outlineLevel="0" collapsed="false">
      <c r="A2419" s="16" t="n">
        <v>45132</v>
      </c>
      <c r="B2419" s="17" t="s">
        <v>1071</v>
      </c>
      <c r="C2419" s="17" t="s">
        <v>788</v>
      </c>
      <c r="D2419" s="17" t="s">
        <v>19</v>
      </c>
      <c r="E2419" s="17" t="s">
        <v>1098</v>
      </c>
      <c r="F2419" s="17" t="s">
        <v>1096</v>
      </c>
      <c r="G2419" s="18" t="n">
        <v>0</v>
      </c>
      <c r="H2419" s="18" t="n">
        <v>276.28</v>
      </c>
      <c r="I2419" s="18" t="n">
        <f aca="false">((I2418 + G2419) - H2419)</f>
        <v>-11063.24</v>
      </c>
      <c r="J2419" s="18" t="n">
        <v>0</v>
      </c>
      <c r="K2419" s="19" t="n">
        <v>0</v>
      </c>
      <c r="L2419" s="17" t="s">
        <v>88</v>
      </c>
    </row>
    <row r="2420" s="11" customFormat="true" ht="10.95" hidden="false" customHeight="true" outlineLevel="0" collapsed="false">
      <c r="A2420" s="16" t="n">
        <v>45132</v>
      </c>
      <c r="B2420" s="17" t="s">
        <v>1071</v>
      </c>
      <c r="C2420" s="17" t="s">
        <v>788</v>
      </c>
      <c r="D2420" s="17" t="s">
        <v>19</v>
      </c>
      <c r="E2420" s="17" t="s">
        <v>1083</v>
      </c>
      <c r="F2420" s="17" t="s">
        <v>1099</v>
      </c>
      <c r="G2420" s="18" t="n">
        <v>0</v>
      </c>
      <c r="H2420" s="18" t="n">
        <v>132.61</v>
      </c>
      <c r="I2420" s="18" t="n">
        <f aca="false">((I2419 + G2420) - H2420)</f>
        <v>-11195.85</v>
      </c>
      <c r="J2420" s="18" t="n">
        <v>0</v>
      </c>
      <c r="K2420" s="19" t="n">
        <v>0</v>
      </c>
      <c r="L2420" s="17" t="s">
        <v>88</v>
      </c>
    </row>
    <row r="2421" s="11" customFormat="true" ht="10.95" hidden="false" customHeight="true" outlineLevel="0" collapsed="false">
      <c r="A2421" s="16" t="n">
        <v>45132</v>
      </c>
      <c r="B2421" s="17" t="s">
        <v>1071</v>
      </c>
      <c r="C2421" s="17" t="s">
        <v>788</v>
      </c>
      <c r="D2421" s="17" t="s">
        <v>19</v>
      </c>
      <c r="E2421" s="17" t="s">
        <v>1090</v>
      </c>
      <c r="F2421" s="17" t="s">
        <v>1100</v>
      </c>
      <c r="G2421" s="18" t="n">
        <v>0</v>
      </c>
      <c r="H2421" s="18" t="n">
        <v>691.42</v>
      </c>
      <c r="I2421" s="18" t="n">
        <f aca="false">((I2420 + G2421) - H2421)</f>
        <v>-11887.27</v>
      </c>
      <c r="J2421" s="18" t="n">
        <v>0</v>
      </c>
      <c r="K2421" s="19" t="n">
        <v>0</v>
      </c>
      <c r="L2421" s="17" t="s">
        <v>88</v>
      </c>
    </row>
    <row r="2422" s="11" customFormat="true" ht="10.95" hidden="false" customHeight="true" outlineLevel="0" collapsed="false">
      <c r="A2422" s="16" t="n">
        <v>45132</v>
      </c>
      <c r="B2422" s="17" t="s">
        <v>1071</v>
      </c>
      <c r="C2422" s="17" t="s">
        <v>788</v>
      </c>
      <c r="D2422" s="17" t="s">
        <v>19</v>
      </c>
      <c r="E2422" s="17" t="s">
        <v>1101</v>
      </c>
      <c r="F2422" s="17" t="s">
        <v>1100</v>
      </c>
      <c r="G2422" s="18" t="n">
        <v>0</v>
      </c>
      <c r="H2422" s="18" t="n">
        <v>96.08</v>
      </c>
      <c r="I2422" s="18" t="n">
        <f aca="false">((I2421 + G2422) - H2422)</f>
        <v>-11983.35</v>
      </c>
      <c r="J2422" s="18" t="n">
        <v>0</v>
      </c>
      <c r="K2422" s="19" t="n">
        <v>0</v>
      </c>
      <c r="L2422" s="17" t="s">
        <v>88</v>
      </c>
    </row>
    <row r="2423" s="11" customFormat="true" ht="10.95" hidden="false" customHeight="true" outlineLevel="0" collapsed="false">
      <c r="A2423" s="16" t="n">
        <v>45132</v>
      </c>
      <c r="B2423" s="17" t="s">
        <v>1071</v>
      </c>
      <c r="C2423" s="17" t="s">
        <v>788</v>
      </c>
      <c r="D2423" s="17" t="s">
        <v>19</v>
      </c>
      <c r="E2423" s="17" t="s">
        <v>1088</v>
      </c>
      <c r="F2423" s="17" t="s">
        <v>1100</v>
      </c>
      <c r="G2423" s="18" t="n">
        <v>0</v>
      </c>
      <c r="H2423" s="18" t="n">
        <v>121.37</v>
      </c>
      <c r="I2423" s="18" t="n">
        <f aca="false">((I2422 + G2423) - H2423)</f>
        <v>-12104.72</v>
      </c>
      <c r="J2423" s="18" t="n">
        <v>0</v>
      </c>
      <c r="K2423" s="19" t="n">
        <v>0</v>
      </c>
      <c r="L2423" s="17" t="s">
        <v>88</v>
      </c>
    </row>
    <row r="2424" s="11" customFormat="true" ht="10.95" hidden="false" customHeight="true" outlineLevel="0" collapsed="false">
      <c r="A2424" s="16" t="n">
        <v>45132</v>
      </c>
      <c r="B2424" s="17" t="s">
        <v>1071</v>
      </c>
      <c r="C2424" s="17" t="s">
        <v>788</v>
      </c>
      <c r="D2424" s="17" t="s">
        <v>19</v>
      </c>
      <c r="E2424" s="17" t="s">
        <v>1102</v>
      </c>
      <c r="F2424" s="17" t="s">
        <v>1100</v>
      </c>
      <c r="G2424" s="18" t="n">
        <v>0</v>
      </c>
      <c r="H2424" s="18" t="n">
        <v>101.14</v>
      </c>
      <c r="I2424" s="18" t="n">
        <f aca="false">((I2423 + G2424) - H2424)</f>
        <v>-12205.86</v>
      </c>
      <c r="J2424" s="18" t="n">
        <v>0</v>
      </c>
      <c r="K2424" s="19" t="n">
        <v>0</v>
      </c>
      <c r="L2424" s="17" t="s">
        <v>88</v>
      </c>
    </row>
    <row r="2425" s="11" customFormat="true" ht="10.95" hidden="false" customHeight="true" outlineLevel="0" collapsed="false">
      <c r="A2425" s="16" t="n">
        <v>45161</v>
      </c>
      <c r="B2425" s="17" t="s">
        <v>1071</v>
      </c>
      <c r="C2425" s="17" t="s">
        <v>788</v>
      </c>
      <c r="D2425" s="17" t="s">
        <v>19</v>
      </c>
      <c r="E2425" s="17" t="s">
        <v>1072</v>
      </c>
      <c r="F2425" s="17" t="s">
        <v>1103</v>
      </c>
      <c r="G2425" s="18" t="n">
        <v>0</v>
      </c>
      <c r="H2425" s="18" t="n">
        <v>665.72</v>
      </c>
      <c r="I2425" s="18" t="n">
        <f aca="false">((I2424 + G2425) - H2425)</f>
        <v>-12871.58</v>
      </c>
      <c r="J2425" s="18" t="n">
        <v>0</v>
      </c>
      <c r="K2425" s="19" t="n">
        <v>0</v>
      </c>
      <c r="L2425" s="17" t="s">
        <v>88</v>
      </c>
    </row>
    <row r="2426" s="11" customFormat="true" ht="10.95" hidden="false" customHeight="true" outlineLevel="0" collapsed="false">
      <c r="A2426" s="16" t="n">
        <v>45161</v>
      </c>
      <c r="B2426" s="17" t="s">
        <v>1071</v>
      </c>
      <c r="C2426" s="17" t="s">
        <v>788</v>
      </c>
      <c r="D2426" s="17" t="s">
        <v>19</v>
      </c>
      <c r="E2426" s="17" t="s">
        <v>1074</v>
      </c>
      <c r="F2426" s="17" t="s">
        <v>1103</v>
      </c>
      <c r="G2426" s="18" t="n">
        <v>0</v>
      </c>
      <c r="H2426" s="18" t="n">
        <v>101.71</v>
      </c>
      <c r="I2426" s="18" t="n">
        <f aca="false">((I2425 + G2426) - H2426)</f>
        <v>-12973.29</v>
      </c>
      <c r="J2426" s="18" t="n">
        <v>0</v>
      </c>
      <c r="K2426" s="19" t="n">
        <v>0</v>
      </c>
      <c r="L2426" s="17" t="s">
        <v>88</v>
      </c>
    </row>
    <row r="2427" s="11" customFormat="true" ht="10.95" hidden="false" customHeight="true" outlineLevel="0" collapsed="false">
      <c r="A2427" s="16" t="n">
        <v>45161</v>
      </c>
      <c r="B2427" s="17" t="s">
        <v>1071</v>
      </c>
      <c r="C2427" s="17" t="s">
        <v>788</v>
      </c>
      <c r="D2427" s="17" t="s">
        <v>19</v>
      </c>
      <c r="E2427" s="17" t="s">
        <v>1075</v>
      </c>
      <c r="F2427" s="17" t="s">
        <v>1104</v>
      </c>
      <c r="G2427" s="18" t="n">
        <v>0</v>
      </c>
      <c r="H2427" s="18" t="n">
        <v>3106.71</v>
      </c>
      <c r="I2427" s="18" t="n">
        <f aca="false">((I2426 + G2427) - H2427)</f>
        <v>-16080</v>
      </c>
      <c r="J2427" s="18" t="n">
        <v>0</v>
      </c>
      <c r="K2427" s="19" t="n">
        <v>0</v>
      </c>
      <c r="L2427" s="17" t="s">
        <v>88</v>
      </c>
    </row>
    <row r="2428" s="11" customFormat="true" ht="10.95" hidden="false" customHeight="true" outlineLevel="0" collapsed="false">
      <c r="A2428" s="16" t="n">
        <v>45161</v>
      </c>
      <c r="B2428" s="17" t="s">
        <v>1071</v>
      </c>
      <c r="C2428" s="17" t="s">
        <v>788</v>
      </c>
      <c r="D2428" s="17" t="s">
        <v>19</v>
      </c>
      <c r="E2428" s="17" t="s">
        <v>1077</v>
      </c>
      <c r="F2428" s="17" t="s">
        <v>1105</v>
      </c>
      <c r="G2428" s="18" t="n">
        <v>0</v>
      </c>
      <c r="H2428" s="18" t="n">
        <v>966.22</v>
      </c>
      <c r="I2428" s="18" t="n">
        <f aca="false">((I2427 + G2428) - H2428)</f>
        <v>-17046.22</v>
      </c>
      <c r="J2428" s="18" t="n">
        <v>0</v>
      </c>
      <c r="K2428" s="19" t="n">
        <v>0</v>
      </c>
      <c r="L2428" s="17" t="s">
        <v>88</v>
      </c>
    </row>
    <row r="2429" s="11" customFormat="true" ht="10.95" hidden="false" customHeight="true" outlineLevel="0" collapsed="false">
      <c r="A2429" s="16" t="n">
        <v>45161</v>
      </c>
      <c r="B2429" s="17" t="s">
        <v>1071</v>
      </c>
      <c r="C2429" s="17" t="s">
        <v>788</v>
      </c>
      <c r="D2429" s="17" t="s">
        <v>19</v>
      </c>
      <c r="E2429" s="17" t="s">
        <v>1079</v>
      </c>
      <c r="F2429" s="17" t="s">
        <v>1105</v>
      </c>
      <c r="G2429" s="18" t="n">
        <v>0</v>
      </c>
      <c r="H2429" s="18" t="n">
        <v>332.86</v>
      </c>
      <c r="I2429" s="18" t="n">
        <f aca="false">((I2428 + G2429) - H2429)</f>
        <v>-17379.08</v>
      </c>
      <c r="J2429" s="18" t="n">
        <v>0</v>
      </c>
      <c r="K2429" s="19" t="n">
        <v>0</v>
      </c>
      <c r="L2429" s="17" t="s">
        <v>88</v>
      </c>
    </row>
    <row r="2430" s="11" customFormat="true" ht="10.95" hidden="false" customHeight="true" outlineLevel="0" collapsed="false">
      <c r="A2430" s="16" t="n">
        <v>45161</v>
      </c>
      <c r="B2430" s="17" t="s">
        <v>1071</v>
      </c>
      <c r="C2430" s="17" t="s">
        <v>788</v>
      </c>
      <c r="D2430" s="17" t="s">
        <v>19</v>
      </c>
      <c r="E2430" s="17" t="s">
        <v>1080</v>
      </c>
      <c r="F2430" s="17" t="s">
        <v>1105</v>
      </c>
      <c r="G2430" s="18" t="n">
        <v>0</v>
      </c>
      <c r="H2430" s="18" t="n">
        <v>101.71</v>
      </c>
      <c r="I2430" s="18" t="n">
        <f aca="false">((I2429 + G2430) - H2430)</f>
        <v>-17480.79</v>
      </c>
      <c r="J2430" s="18" t="n">
        <v>0</v>
      </c>
      <c r="K2430" s="19" t="n">
        <v>0</v>
      </c>
      <c r="L2430" s="17" t="s">
        <v>88</v>
      </c>
    </row>
    <row r="2431" s="11" customFormat="true" ht="10.95" hidden="false" customHeight="true" outlineLevel="0" collapsed="false">
      <c r="A2431" s="16" t="n">
        <v>45161</v>
      </c>
      <c r="B2431" s="17" t="s">
        <v>1071</v>
      </c>
      <c r="C2431" s="17" t="s">
        <v>788</v>
      </c>
      <c r="D2431" s="17" t="s">
        <v>19</v>
      </c>
      <c r="E2431" s="17" t="s">
        <v>1081</v>
      </c>
      <c r="F2431" s="17" t="s">
        <v>1106</v>
      </c>
      <c r="G2431" s="18" t="n">
        <v>0</v>
      </c>
      <c r="H2431" s="18" t="n">
        <v>180</v>
      </c>
      <c r="I2431" s="18" t="n">
        <f aca="false">((I2430 + G2431) - H2431)</f>
        <v>-17660.79</v>
      </c>
      <c r="J2431" s="18" t="n">
        <v>0</v>
      </c>
      <c r="K2431" s="19" t="n">
        <v>0</v>
      </c>
      <c r="L2431" s="17" t="s">
        <v>88</v>
      </c>
    </row>
    <row r="2432" s="11" customFormat="true" ht="10.95" hidden="false" customHeight="true" outlineLevel="0" collapsed="false">
      <c r="A2432" s="16" t="n">
        <v>45161</v>
      </c>
      <c r="B2432" s="17" t="s">
        <v>1071</v>
      </c>
      <c r="C2432" s="17" t="s">
        <v>788</v>
      </c>
      <c r="D2432" s="17" t="s">
        <v>19</v>
      </c>
      <c r="E2432" s="17" t="s">
        <v>1107</v>
      </c>
      <c r="F2432" s="17" t="s">
        <v>1108</v>
      </c>
      <c r="G2432" s="18" t="n">
        <v>0</v>
      </c>
      <c r="H2432" s="18" t="n">
        <v>366.33</v>
      </c>
      <c r="I2432" s="18" t="n">
        <f aca="false">((I2431 + G2432) - H2432)</f>
        <v>-18027.12</v>
      </c>
      <c r="J2432" s="18" t="n">
        <v>0</v>
      </c>
      <c r="K2432" s="19" t="n">
        <v>0</v>
      </c>
      <c r="L2432" s="17" t="s">
        <v>88</v>
      </c>
    </row>
    <row r="2433" s="11" customFormat="true" ht="10.95" hidden="false" customHeight="true" outlineLevel="0" collapsed="false">
      <c r="A2433" s="16" t="n">
        <v>45161</v>
      </c>
      <c r="B2433" s="17" t="s">
        <v>1071</v>
      </c>
      <c r="C2433" s="17" t="s">
        <v>788</v>
      </c>
      <c r="D2433" s="17" t="s">
        <v>19</v>
      </c>
      <c r="E2433" s="17" t="s">
        <v>1109</v>
      </c>
      <c r="F2433" s="17" t="s">
        <v>1108</v>
      </c>
      <c r="G2433" s="18" t="n">
        <v>0</v>
      </c>
      <c r="H2433" s="18" t="n">
        <v>274.75</v>
      </c>
      <c r="I2433" s="18" t="n">
        <f aca="false">((I2432 + G2433) - H2433)</f>
        <v>-18301.87</v>
      </c>
      <c r="J2433" s="18" t="n">
        <v>0</v>
      </c>
      <c r="K2433" s="19" t="n">
        <v>0</v>
      </c>
      <c r="L2433" s="17" t="s">
        <v>88</v>
      </c>
    </row>
    <row r="2434" s="11" customFormat="true" ht="10.95" hidden="false" customHeight="true" outlineLevel="0" collapsed="false">
      <c r="A2434" s="16" t="n">
        <v>45161</v>
      </c>
      <c r="B2434" s="17" t="s">
        <v>1071</v>
      </c>
      <c r="C2434" s="17" t="s">
        <v>788</v>
      </c>
      <c r="D2434" s="17" t="s">
        <v>19</v>
      </c>
      <c r="E2434" s="17" t="s">
        <v>1110</v>
      </c>
      <c r="F2434" s="17" t="s">
        <v>1108</v>
      </c>
      <c r="G2434" s="18" t="n">
        <v>0</v>
      </c>
      <c r="H2434" s="18" t="n">
        <v>91.59</v>
      </c>
      <c r="I2434" s="18" t="n">
        <f aca="false">((I2433 + G2434) - H2434)</f>
        <v>-18393.46</v>
      </c>
      <c r="J2434" s="18" t="n">
        <v>0</v>
      </c>
      <c r="K2434" s="19" t="n">
        <v>0</v>
      </c>
      <c r="L2434" s="17" t="s">
        <v>88</v>
      </c>
    </row>
    <row r="2435" s="11" customFormat="true" ht="10.95" hidden="false" customHeight="true" outlineLevel="0" collapsed="false">
      <c r="A2435" s="16" t="n">
        <v>45161</v>
      </c>
      <c r="B2435" s="17" t="s">
        <v>1071</v>
      </c>
      <c r="C2435" s="17" t="s">
        <v>788</v>
      </c>
      <c r="D2435" s="17" t="s">
        <v>19</v>
      </c>
      <c r="E2435" s="17" t="s">
        <v>1111</v>
      </c>
      <c r="F2435" s="17" t="s">
        <v>1108</v>
      </c>
      <c r="G2435" s="18" t="n">
        <v>0</v>
      </c>
      <c r="H2435" s="18" t="n">
        <v>194.27</v>
      </c>
      <c r="I2435" s="18" t="n">
        <f aca="false">((I2434 + G2435) - H2435)</f>
        <v>-18587.73</v>
      </c>
      <c r="J2435" s="18" t="n">
        <v>0</v>
      </c>
      <c r="K2435" s="19" t="n">
        <v>0</v>
      </c>
      <c r="L2435" s="17" t="s">
        <v>88</v>
      </c>
    </row>
    <row r="2436" s="11" customFormat="true" ht="10.95" hidden="false" customHeight="true" outlineLevel="0" collapsed="false">
      <c r="A2436" s="16" t="n">
        <v>45161</v>
      </c>
      <c r="B2436" s="17" t="s">
        <v>1071</v>
      </c>
      <c r="C2436" s="17" t="s">
        <v>788</v>
      </c>
      <c r="D2436" s="17" t="s">
        <v>19</v>
      </c>
      <c r="E2436" s="17" t="s">
        <v>1112</v>
      </c>
      <c r="F2436" s="17" t="s">
        <v>1108</v>
      </c>
      <c r="G2436" s="18" t="n">
        <v>0</v>
      </c>
      <c r="H2436" s="18" t="n">
        <v>416.28</v>
      </c>
      <c r="I2436" s="18" t="n">
        <f aca="false">((I2435 + G2436) - H2436)</f>
        <v>-19004.01</v>
      </c>
      <c r="J2436" s="18" t="n">
        <v>0</v>
      </c>
      <c r="K2436" s="19" t="n">
        <v>0</v>
      </c>
      <c r="L2436" s="17" t="s">
        <v>88</v>
      </c>
    </row>
    <row r="2437" s="11" customFormat="true" ht="10.95" hidden="false" customHeight="true" outlineLevel="0" collapsed="false">
      <c r="A2437" s="16" t="n">
        <v>45161</v>
      </c>
      <c r="B2437" s="17" t="s">
        <v>1071</v>
      </c>
      <c r="C2437" s="17" t="s">
        <v>788</v>
      </c>
      <c r="D2437" s="17" t="s">
        <v>19</v>
      </c>
      <c r="E2437" s="17" t="s">
        <v>1113</v>
      </c>
      <c r="F2437" s="17" t="s">
        <v>1108</v>
      </c>
      <c r="G2437" s="18" t="n">
        <v>0</v>
      </c>
      <c r="H2437" s="18" t="n">
        <v>203.51</v>
      </c>
      <c r="I2437" s="18" t="n">
        <f aca="false">((I2436 + G2437) - H2437)</f>
        <v>-19207.52</v>
      </c>
      <c r="J2437" s="18" t="n">
        <v>0</v>
      </c>
      <c r="K2437" s="19" t="n">
        <v>0</v>
      </c>
      <c r="L2437" s="17" t="s">
        <v>88</v>
      </c>
    </row>
    <row r="2438" s="11" customFormat="true" ht="10.95" hidden="false" customHeight="true" outlineLevel="0" collapsed="false">
      <c r="A2438" s="16" t="n">
        <v>45161</v>
      </c>
      <c r="B2438" s="17" t="s">
        <v>1071</v>
      </c>
      <c r="C2438" s="17" t="s">
        <v>788</v>
      </c>
      <c r="D2438" s="17" t="s">
        <v>19</v>
      </c>
      <c r="E2438" s="17" t="s">
        <v>1107</v>
      </c>
      <c r="F2438" s="17" t="s">
        <v>1108</v>
      </c>
      <c r="G2438" s="18" t="n">
        <v>0</v>
      </c>
      <c r="H2438" s="18" t="n">
        <v>366.32</v>
      </c>
      <c r="I2438" s="18" t="n">
        <f aca="false">((I2437 + G2438) - H2438)</f>
        <v>-19573.84</v>
      </c>
      <c r="J2438" s="18" t="n">
        <v>0</v>
      </c>
      <c r="K2438" s="19" t="n">
        <v>0</v>
      </c>
      <c r="L2438" s="17" t="s">
        <v>88</v>
      </c>
    </row>
    <row r="2439" s="11" customFormat="true" ht="10.95" hidden="false" customHeight="true" outlineLevel="0" collapsed="false">
      <c r="A2439" s="16" t="n">
        <v>45161</v>
      </c>
      <c r="B2439" s="17" t="s">
        <v>1071</v>
      </c>
      <c r="C2439" s="17" t="s">
        <v>788</v>
      </c>
      <c r="D2439" s="17" t="s">
        <v>19</v>
      </c>
      <c r="E2439" s="17" t="s">
        <v>1109</v>
      </c>
      <c r="F2439" s="17" t="s">
        <v>1108</v>
      </c>
      <c r="G2439" s="18" t="n">
        <v>0</v>
      </c>
      <c r="H2439" s="18" t="n">
        <v>274.74</v>
      </c>
      <c r="I2439" s="18" t="n">
        <f aca="false">((I2438 + G2439) - H2439)</f>
        <v>-19848.58</v>
      </c>
      <c r="J2439" s="18" t="n">
        <v>0</v>
      </c>
      <c r="K2439" s="19" t="n">
        <v>0</v>
      </c>
      <c r="L2439" s="17" t="s">
        <v>88</v>
      </c>
    </row>
    <row r="2440" s="11" customFormat="true" ht="10.95" hidden="false" customHeight="true" outlineLevel="0" collapsed="false">
      <c r="A2440" s="16" t="n">
        <v>45161</v>
      </c>
      <c r="B2440" s="17" t="s">
        <v>1071</v>
      </c>
      <c r="C2440" s="17" t="s">
        <v>788</v>
      </c>
      <c r="D2440" s="17" t="s">
        <v>19</v>
      </c>
      <c r="E2440" s="17" t="s">
        <v>1110</v>
      </c>
      <c r="F2440" s="17" t="s">
        <v>1108</v>
      </c>
      <c r="G2440" s="18" t="n">
        <v>0</v>
      </c>
      <c r="H2440" s="18" t="n">
        <v>91.58</v>
      </c>
      <c r="I2440" s="18" t="n">
        <f aca="false">((I2439 + G2440) - H2440)</f>
        <v>-19940.16</v>
      </c>
      <c r="J2440" s="18" t="n">
        <v>0</v>
      </c>
      <c r="K2440" s="19" t="n">
        <v>0</v>
      </c>
      <c r="L2440" s="17" t="s">
        <v>88</v>
      </c>
    </row>
    <row r="2441" s="11" customFormat="true" ht="10.95" hidden="false" customHeight="true" outlineLevel="0" collapsed="false">
      <c r="A2441" s="16" t="n">
        <v>45161</v>
      </c>
      <c r="B2441" s="17" t="s">
        <v>1071</v>
      </c>
      <c r="C2441" s="17" t="s">
        <v>788</v>
      </c>
      <c r="D2441" s="17" t="s">
        <v>19</v>
      </c>
      <c r="E2441" s="17" t="s">
        <v>1111</v>
      </c>
      <c r="F2441" s="17" t="s">
        <v>1108</v>
      </c>
      <c r="G2441" s="18" t="n">
        <v>0</v>
      </c>
      <c r="H2441" s="18" t="n">
        <v>194.26</v>
      </c>
      <c r="I2441" s="18" t="n">
        <f aca="false">((I2440 + G2441) - H2441)</f>
        <v>-20134.42</v>
      </c>
      <c r="J2441" s="18" t="n">
        <v>0</v>
      </c>
      <c r="K2441" s="19" t="n">
        <v>0</v>
      </c>
      <c r="L2441" s="17" t="s">
        <v>88</v>
      </c>
    </row>
    <row r="2442" s="11" customFormat="true" ht="10.95" hidden="false" customHeight="true" outlineLevel="0" collapsed="false">
      <c r="A2442" s="16" t="n">
        <v>45161</v>
      </c>
      <c r="B2442" s="17" t="s">
        <v>1071</v>
      </c>
      <c r="C2442" s="17" t="s">
        <v>788</v>
      </c>
      <c r="D2442" s="17" t="s">
        <v>19</v>
      </c>
      <c r="E2442" s="17" t="s">
        <v>1112</v>
      </c>
      <c r="F2442" s="17" t="s">
        <v>1108</v>
      </c>
      <c r="G2442" s="18" t="n">
        <v>0</v>
      </c>
      <c r="H2442" s="18" t="n">
        <v>416.28</v>
      </c>
      <c r="I2442" s="18" t="n">
        <f aca="false">((I2441 + G2442) - H2442)</f>
        <v>-20550.7</v>
      </c>
      <c r="J2442" s="18" t="n">
        <v>0</v>
      </c>
      <c r="K2442" s="19" t="n">
        <v>0</v>
      </c>
      <c r="L2442" s="17" t="s">
        <v>88</v>
      </c>
    </row>
    <row r="2443" s="11" customFormat="true" ht="10.95" hidden="false" customHeight="true" outlineLevel="0" collapsed="false">
      <c r="A2443" s="16" t="n">
        <v>45161</v>
      </c>
      <c r="B2443" s="17" t="s">
        <v>1071</v>
      </c>
      <c r="C2443" s="17" t="s">
        <v>788</v>
      </c>
      <c r="D2443" s="17" t="s">
        <v>19</v>
      </c>
      <c r="E2443" s="17" t="s">
        <v>1113</v>
      </c>
      <c r="F2443" s="17" t="s">
        <v>1108</v>
      </c>
      <c r="G2443" s="18" t="n">
        <v>0</v>
      </c>
      <c r="H2443" s="18" t="n">
        <v>203.51</v>
      </c>
      <c r="I2443" s="18" t="n">
        <f aca="false">((I2442 + G2443) - H2443)</f>
        <v>-20754.21</v>
      </c>
      <c r="J2443" s="18" t="n">
        <v>0</v>
      </c>
      <c r="K2443" s="19" t="n">
        <v>0</v>
      </c>
      <c r="L2443" s="17" t="s">
        <v>88</v>
      </c>
    </row>
    <row r="2444" s="11" customFormat="true" ht="10.95" hidden="false" customHeight="true" outlineLevel="0" collapsed="false">
      <c r="A2444" s="16" t="n">
        <v>45161</v>
      </c>
      <c r="B2444" s="17" t="s">
        <v>1071</v>
      </c>
      <c r="C2444" s="17" t="s">
        <v>788</v>
      </c>
      <c r="D2444" s="17" t="s">
        <v>19</v>
      </c>
      <c r="E2444" s="17" t="s">
        <v>1107</v>
      </c>
      <c r="F2444" s="17" t="s">
        <v>1108</v>
      </c>
      <c r="G2444" s="18" t="n">
        <v>0</v>
      </c>
      <c r="H2444" s="18" t="n">
        <v>366.32</v>
      </c>
      <c r="I2444" s="18" t="n">
        <f aca="false">((I2443 + G2444) - H2444)</f>
        <v>-21120.53</v>
      </c>
      <c r="J2444" s="18" t="n">
        <v>0</v>
      </c>
      <c r="K2444" s="19" t="n">
        <v>0</v>
      </c>
      <c r="L2444" s="17" t="s">
        <v>88</v>
      </c>
    </row>
    <row r="2445" s="11" customFormat="true" ht="10.95" hidden="false" customHeight="true" outlineLevel="0" collapsed="false">
      <c r="A2445" s="16" t="n">
        <v>45161</v>
      </c>
      <c r="B2445" s="17" t="s">
        <v>1071</v>
      </c>
      <c r="C2445" s="17" t="s">
        <v>788</v>
      </c>
      <c r="D2445" s="17" t="s">
        <v>19</v>
      </c>
      <c r="E2445" s="17" t="s">
        <v>1109</v>
      </c>
      <c r="F2445" s="17" t="s">
        <v>1108</v>
      </c>
      <c r="G2445" s="18" t="n">
        <v>0</v>
      </c>
      <c r="H2445" s="18" t="n">
        <v>274.74</v>
      </c>
      <c r="I2445" s="18" t="n">
        <f aca="false">((I2444 + G2445) - H2445)</f>
        <v>-21395.27</v>
      </c>
      <c r="J2445" s="18" t="n">
        <v>0</v>
      </c>
      <c r="K2445" s="19" t="n">
        <v>0</v>
      </c>
      <c r="L2445" s="17" t="s">
        <v>88</v>
      </c>
    </row>
    <row r="2446" s="11" customFormat="true" ht="10.95" hidden="false" customHeight="true" outlineLevel="0" collapsed="false">
      <c r="A2446" s="16" t="n">
        <v>45161</v>
      </c>
      <c r="B2446" s="17" t="s">
        <v>1071</v>
      </c>
      <c r="C2446" s="17" t="s">
        <v>788</v>
      </c>
      <c r="D2446" s="17" t="s">
        <v>19</v>
      </c>
      <c r="E2446" s="17" t="s">
        <v>1110</v>
      </c>
      <c r="F2446" s="17" t="s">
        <v>1108</v>
      </c>
      <c r="G2446" s="18" t="n">
        <v>0</v>
      </c>
      <c r="H2446" s="18" t="n">
        <v>91.58</v>
      </c>
      <c r="I2446" s="18" t="n">
        <f aca="false">((I2445 + G2446) - H2446)</f>
        <v>-21486.85</v>
      </c>
      <c r="J2446" s="18" t="n">
        <v>0</v>
      </c>
      <c r="K2446" s="19" t="n">
        <v>0</v>
      </c>
      <c r="L2446" s="17" t="s">
        <v>88</v>
      </c>
    </row>
    <row r="2447" s="11" customFormat="true" ht="10.95" hidden="false" customHeight="true" outlineLevel="0" collapsed="false">
      <c r="A2447" s="16" t="n">
        <v>45161</v>
      </c>
      <c r="B2447" s="17" t="s">
        <v>1071</v>
      </c>
      <c r="C2447" s="17" t="s">
        <v>788</v>
      </c>
      <c r="D2447" s="17" t="s">
        <v>19</v>
      </c>
      <c r="E2447" s="17" t="s">
        <v>1111</v>
      </c>
      <c r="F2447" s="17" t="s">
        <v>1108</v>
      </c>
      <c r="G2447" s="18" t="n">
        <v>0</v>
      </c>
      <c r="H2447" s="18" t="n">
        <v>194.26</v>
      </c>
      <c r="I2447" s="18" t="n">
        <f aca="false">((I2446 + G2447) - H2447)</f>
        <v>-21681.11</v>
      </c>
      <c r="J2447" s="18" t="n">
        <v>0</v>
      </c>
      <c r="K2447" s="19" t="n">
        <v>0</v>
      </c>
      <c r="L2447" s="17" t="s">
        <v>88</v>
      </c>
    </row>
    <row r="2448" s="11" customFormat="true" ht="10.95" hidden="false" customHeight="true" outlineLevel="0" collapsed="false">
      <c r="A2448" s="16" t="n">
        <v>45161</v>
      </c>
      <c r="B2448" s="17" t="s">
        <v>1071</v>
      </c>
      <c r="C2448" s="17" t="s">
        <v>788</v>
      </c>
      <c r="D2448" s="17" t="s">
        <v>19</v>
      </c>
      <c r="E2448" s="17" t="s">
        <v>1112</v>
      </c>
      <c r="F2448" s="17" t="s">
        <v>1108</v>
      </c>
      <c r="G2448" s="18" t="n">
        <v>0</v>
      </c>
      <c r="H2448" s="18" t="n">
        <v>416.28</v>
      </c>
      <c r="I2448" s="18" t="n">
        <f aca="false">((I2447 + G2448) - H2448)</f>
        <v>-22097.39</v>
      </c>
      <c r="J2448" s="18" t="n">
        <v>0</v>
      </c>
      <c r="K2448" s="19" t="n">
        <v>0</v>
      </c>
      <c r="L2448" s="17" t="s">
        <v>88</v>
      </c>
    </row>
    <row r="2449" s="11" customFormat="true" ht="10.95" hidden="false" customHeight="true" outlineLevel="0" collapsed="false">
      <c r="A2449" s="16" t="n">
        <v>45161</v>
      </c>
      <c r="B2449" s="17" t="s">
        <v>1071</v>
      </c>
      <c r="C2449" s="17" t="s">
        <v>788</v>
      </c>
      <c r="D2449" s="17" t="s">
        <v>19</v>
      </c>
      <c r="E2449" s="17" t="s">
        <v>1113</v>
      </c>
      <c r="F2449" s="17" t="s">
        <v>1108</v>
      </c>
      <c r="G2449" s="18" t="n">
        <v>0</v>
      </c>
      <c r="H2449" s="18" t="n">
        <v>203.51</v>
      </c>
      <c r="I2449" s="18" t="n">
        <f aca="false">((I2448 + G2449) - H2449)</f>
        <v>-22300.9</v>
      </c>
      <c r="J2449" s="18" t="n">
        <v>0</v>
      </c>
      <c r="K2449" s="19" t="n">
        <v>0</v>
      </c>
      <c r="L2449" s="17" t="s">
        <v>88</v>
      </c>
    </row>
    <row r="2450" s="11" customFormat="true" ht="10.95" hidden="false" customHeight="true" outlineLevel="0" collapsed="false">
      <c r="A2450" s="16" t="n">
        <v>45161</v>
      </c>
      <c r="B2450" s="17" t="s">
        <v>1071</v>
      </c>
      <c r="C2450" s="17" t="s">
        <v>788</v>
      </c>
      <c r="D2450" s="17" t="s">
        <v>19</v>
      </c>
      <c r="E2450" s="17" t="s">
        <v>1114</v>
      </c>
      <c r="F2450" s="17" t="s">
        <v>1108</v>
      </c>
      <c r="G2450" s="18" t="n">
        <v>0</v>
      </c>
      <c r="H2450" s="18" t="n">
        <v>1628.11</v>
      </c>
      <c r="I2450" s="18" t="n">
        <f aca="false">((I2449 + G2450) - H2450)</f>
        <v>-23929.01</v>
      </c>
      <c r="J2450" s="18" t="n">
        <v>0</v>
      </c>
      <c r="K2450" s="19" t="n">
        <v>0</v>
      </c>
      <c r="L2450" s="17" t="s">
        <v>88</v>
      </c>
    </row>
    <row r="2451" s="11" customFormat="true" ht="10.95" hidden="false" customHeight="true" outlineLevel="0" collapsed="false">
      <c r="A2451" s="16" t="n">
        <v>45161</v>
      </c>
      <c r="B2451" s="17" t="s">
        <v>1071</v>
      </c>
      <c r="C2451" s="17" t="s">
        <v>788</v>
      </c>
      <c r="D2451" s="17" t="s">
        <v>19</v>
      </c>
      <c r="E2451" s="17" t="s">
        <v>1115</v>
      </c>
      <c r="F2451" s="17" t="s">
        <v>1108</v>
      </c>
      <c r="G2451" s="18" t="n">
        <v>0</v>
      </c>
      <c r="H2451" s="18" t="n">
        <v>194.26</v>
      </c>
      <c r="I2451" s="18" t="n">
        <f aca="false">((I2450 + G2451) - H2451)</f>
        <v>-24123.27</v>
      </c>
      <c r="J2451" s="18" t="n">
        <v>0</v>
      </c>
      <c r="K2451" s="19" t="n">
        <v>0</v>
      </c>
      <c r="L2451" s="17" t="s">
        <v>88</v>
      </c>
    </row>
    <row r="2452" s="11" customFormat="true" ht="10.95" hidden="false" customHeight="true" outlineLevel="0" collapsed="false">
      <c r="A2452" s="16" t="n">
        <v>45161</v>
      </c>
      <c r="B2452" s="17" t="s">
        <v>1071</v>
      </c>
      <c r="C2452" s="17" t="s">
        <v>788</v>
      </c>
      <c r="D2452" s="17" t="s">
        <v>19</v>
      </c>
      <c r="E2452" s="17" t="s">
        <v>1116</v>
      </c>
      <c r="F2452" s="17" t="s">
        <v>1108</v>
      </c>
      <c r="G2452" s="18" t="n">
        <v>0</v>
      </c>
      <c r="H2452" s="18" t="n">
        <v>416.28</v>
      </c>
      <c r="I2452" s="18" t="n">
        <f aca="false">((I2451 + G2452) - H2452)</f>
        <v>-24539.55</v>
      </c>
      <c r="J2452" s="18" t="n">
        <v>0</v>
      </c>
      <c r="K2452" s="19" t="n">
        <v>0</v>
      </c>
      <c r="L2452" s="17" t="s">
        <v>88</v>
      </c>
    </row>
    <row r="2453" s="11" customFormat="true" ht="10.95" hidden="false" customHeight="true" outlineLevel="0" collapsed="false">
      <c r="A2453" s="16" t="n">
        <v>45161</v>
      </c>
      <c r="B2453" s="17" t="s">
        <v>1071</v>
      </c>
      <c r="C2453" s="17" t="s">
        <v>788</v>
      </c>
      <c r="D2453" s="17" t="s">
        <v>19</v>
      </c>
      <c r="E2453" s="17" t="s">
        <v>1117</v>
      </c>
      <c r="F2453" s="17" t="s">
        <v>1108</v>
      </c>
      <c r="G2453" s="18" t="n">
        <v>0</v>
      </c>
      <c r="H2453" s="18" t="n">
        <v>203.51</v>
      </c>
      <c r="I2453" s="18" t="n">
        <f aca="false">((I2452 + G2453) - H2453)</f>
        <v>-24743.06</v>
      </c>
      <c r="J2453" s="18" t="n">
        <v>0</v>
      </c>
      <c r="K2453" s="19" t="n">
        <v>0</v>
      </c>
      <c r="L2453" s="17" t="s">
        <v>88</v>
      </c>
    </row>
    <row r="2454" s="11" customFormat="true" ht="10.95" hidden="false" customHeight="true" outlineLevel="0" collapsed="false">
      <c r="A2454" s="16" t="n">
        <v>45161</v>
      </c>
      <c r="B2454" s="17" t="s">
        <v>1071</v>
      </c>
      <c r="C2454" s="17" t="s">
        <v>788</v>
      </c>
      <c r="D2454" s="17" t="s">
        <v>19</v>
      </c>
      <c r="E2454" s="17" t="s">
        <v>1083</v>
      </c>
      <c r="F2454" s="17" t="s">
        <v>1118</v>
      </c>
      <c r="G2454" s="18" t="n">
        <v>0</v>
      </c>
      <c r="H2454" s="18" t="n">
        <v>266.42</v>
      </c>
      <c r="I2454" s="18" t="n">
        <f aca="false">((I2453 + G2454) - H2454)</f>
        <v>-25009.48</v>
      </c>
      <c r="J2454" s="18" t="n">
        <v>0</v>
      </c>
      <c r="K2454" s="19" t="n">
        <v>0</v>
      </c>
      <c r="L2454" s="17" t="s">
        <v>88</v>
      </c>
    </row>
    <row r="2455" s="11" customFormat="true" ht="10.95" hidden="false" customHeight="true" outlineLevel="0" collapsed="false">
      <c r="A2455" s="16" t="n">
        <v>45161</v>
      </c>
      <c r="B2455" s="17" t="s">
        <v>1071</v>
      </c>
      <c r="C2455" s="17" t="s">
        <v>788</v>
      </c>
      <c r="D2455" s="17" t="s">
        <v>19</v>
      </c>
      <c r="E2455" s="17" t="s">
        <v>1085</v>
      </c>
      <c r="F2455" s="17" t="s">
        <v>1119</v>
      </c>
      <c r="G2455" s="18" t="n">
        <v>0</v>
      </c>
      <c r="H2455" s="18" t="n">
        <v>585.1</v>
      </c>
      <c r="I2455" s="18" t="n">
        <f aca="false">((I2454 + G2455) - H2455)</f>
        <v>-25594.58</v>
      </c>
      <c r="J2455" s="18" t="n">
        <v>0</v>
      </c>
      <c r="K2455" s="19" t="n">
        <v>0</v>
      </c>
      <c r="L2455" s="17" t="s">
        <v>88</v>
      </c>
    </row>
    <row r="2456" s="11" customFormat="true" ht="10.95" hidden="false" customHeight="true" outlineLevel="0" collapsed="false">
      <c r="A2456" s="16" t="n">
        <v>45161</v>
      </c>
      <c r="B2456" s="17" t="s">
        <v>1071</v>
      </c>
      <c r="C2456" s="17" t="s">
        <v>788</v>
      </c>
      <c r="D2456" s="17" t="s">
        <v>19</v>
      </c>
      <c r="E2456" s="17" t="s">
        <v>1087</v>
      </c>
      <c r="F2456" s="17" t="s">
        <v>1119</v>
      </c>
      <c r="G2456" s="18" t="n">
        <v>0</v>
      </c>
      <c r="H2456" s="18" t="n">
        <v>71.23</v>
      </c>
      <c r="I2456" s="18" t="n">
        <f aca="false">((I2455 + G2456) - H2456)</f>
        <v>-25665.81</v>
      </c>
      <c r="J2456" s="18" t="n">
        <v>0</v>
      </c>
      <c r="K2456" s="19" t="n">
        <v>0</v>
      </c>
      <c r="L2456" s="17" t="s">
        <v>88</v>
      </c>
    </row>
    <row r="2457" s="11" customFormat="true" ht="10.95" hidden="false" customHeight="true" outlineLevel="0" collapsed="false">
      <c r="A2457" s="16" t="n">
        <v>45161</v>
      </c>
      <c r="B2457" s="17" t="s">
        <v>1071</v>
      </c>
      <c r="C2457" s="17" t="s">
        <v>788</v>
      </c>
      <c r="D2457" s="17" t="s">
        <v>19</v>
      </c>
      <c r="E2457" s="17" t="s">
        <v>1088</v>
      </c>
      <c r="F2457" s="17" t="s">
        <v>1119</v>
      </c>
      <c r="G2457" s="18" t="n">
        <v>0</v>
      </c>
      <c r="H2457" s="18" t="n">
        <v>10.18</v>
      </c>
      <c r="I2457" s="18" t="n">
        <f aca="false">((I2456 + G2457) - H2457)</f>
        <v>-25675.99</v>
      </c>
      <c r="J2457" s="18" t="n">
        <v>0</v>
      </c>
      <c r="K2457" s="19" t="n">
        <v>0</v>
      </c>
      <c r="L2457" s="17" t="s">
        <v>88</v>
      </c>
    </row>
    <row r="2458" s="11" customFormat="true" ht="10.95" hidden="false" customHeight="true" outlineLevel="0" collapsed="false">
      <c r="A2458" s="16" t="n">
        <v>45161</v>
      </c>
      <c r="B2458" s="17" t="s">
        <v>1071</v>
      </c>
      <c r="C2458" s="17" t="s">
        <v>788</v>
      </c>
      <c r="D2458" s="17" t="s">
        <v>19</v>
      </c>
      <c r="E2458" s="17" t="s">
        <v>1089</v>
      </c>
      <c r="F2458" s="17" t="s">
        <v>1119</v>
      </c>
      <c r="G2458" s="18" t="n">
        <v>0</v>
      </c>
      <c r="H2458" s="18" t="n">
        <v>138.76</v>
      </c>
      <c r="I2458" s="18" t="n">
        <f aca="false">((I2457 + G2458) - H2458)</f>
        <v>-25814.75</v>
      </c>
      <c r="J2458" s="18" t="n">
        <v>0</v>
      </c>
      <c r="K2458" s="19" t="n">
        <v>0</v>
      </c>
      <c r="L2458" s="17" t="s">
        <v>88</v>
      </c>
    </row>
    <row r="2459" s="11" customFormat="true" ht="10.95" hidden="false" customHeight="true" outlineLevel="0" collapsed="false">
      <c r="A2459" s="16" t="n">
        <v>45161</v>
      </c>
      <c r="B2459" s="17" t="s">
        <v>1071</v>
      </c>
      <c r="C2459" s="17" t="s">
        <v>788</v>
      </c>
      <c r="D2459" s="17" t="s">
        <v>19</v>
      </c>
      <c r="E2459" s="17" t="s">
        <v>1090</v>
      </c>
      <c r="F2459" s="17" t="s">
        <v>1120</v>
      </c>
      <c r="G2459" s="18" t="n">
        <v>0</v>
      </c>
      <c r="H2459" s="18" t="n">
        <v>1720.61</v>
      </c>
      <c r="I2459" s="18" t="n">
        <f aca="false">((I2458 + G2459) - H2459)</f>
        <v>-27535.36</v>
      </c>
      <c r="J2459" s="18" t="n">
        <v>0</v>
      </c>
      <c r="K2459" s="19" t="n">
        <v>0</v>
      </c>
      <c r="L2459" s="17" t="s">
        <v>88</v>
      </c>
    </row>
    <row r="2460" s="11" customFormat="true" ht="10.95" hidden="false" customHeight="true" outlineLevel="0" collapsed="false">
      <c r="A2460" s="16" t="n">
        <v>45161</v>
      </c>
      <c r="B2460" s="17" t="s">
        <v>1071</v>
      </c>
      <c r="C2460" s="17" t="s">
        <v>788</v>
      </c>
      <c r="D2460" s="17" t="s">
        <v>19</v>
      </c>
      <c r="E2460" s="17" t="s">
        <v>1087</v>
      </c>
      <c r="F2460" s="17" t="s">
        <v>1120</v>
      </c>
      <c r="G2460" s="18" t="n">
        <v>0</v>
      </c>
      <c r="H2460" s="18" t="n">
        <v>30.53</v>
      </c>
      <c r="I2460" s="18" t="n">
        <f aca="false">((I2459 + G2460) - H2460)</f>
        <v>-27565.89</v>
      </c>
      <c r="J2460" s="18" t="n">
        <v>0</v>
      </c>
      <c r="K2460" s="19" t="n">
        <v>0</v>
      </c>
      <c r="L2460" s="17" t="s">
        <v>88</v>
      </c>
    </row>
    <row r="2461" s="11" customFormat="true" ht="10.95" hidden="false" customHeight="true" outlineLevel="0" collapsed="false">
      <c r="A2461" s="16" t="n">
        <v>45161</v>
      </c>
      <c r="B2461" s="17" t="s">
        <v>1071</v>
      </c>
      <c r="C2461" s="17" t="s">
        <v>788</v>
      </c>
      <c r="D2461" s="17" t="s">
        <v>19</v>
      </c>
      <c r="E2461" s="17" t="s">
        <v>1092</v>
      </c>
      <c r="F2461" s="17" t="s">
        <v>1121</v>
      </c>
      <c r="G2461" s="18" t="n">
        <v>0</v>
      </c>
      <c r="H2461" s="18" t="n">
        <v>851.06</v>
      </c>
      <c r="I2461" s="18" t="n">
        <f aca="false">((I2460 + G2461) - H2461)</f>
        <v>-28416.95</v>
      </c>
      <c r="J2461" s="18" t="n">
        <v>0</v>
      </c>
      <c r="K2461" s="19" t="n">
        <v>0</v>
      </c>
      <c r="L2461" s="17" t="s">
        <v>88</v>
      </c>
    </row>
    <row r="2462" s="11" customFormat="true" ht="10.95" hidden="false" customHeight="true" outlineLevel="0" collapsed="false">
      <c r="A2462" s="16" t="n">
        <v>45161</v>
      </c>
      <c r="B2462" s="17" t="s">
        <v>1071</v>
      </c>
      <c r="C2462" s="17" t="s">
        <v>788</v>
      </c>
      <c r="D2462" s="17" t="s">
        <v>19</v>
      </c>
      <c r="E2462" s="17" t="s">
        <v>1094</v>
      </c>
      <c r="F2462" s="17" t="s">
        <v>1121</v>
      </c>
      <c r="G2462" s="18" t="n">
        <v>0</v>
      </c>
      <c r="H2462" s="18" t="n">
        <v>92.51</v>
      </c>
      <c r="I2462" s="18" t="n">
        <f aca="false">((I2461 + G2462) - H2462)</f>
        <v>-28509.46</v>
      </c>
      <c r="J2462" s="18" t="n">
        <v>0</v>
      </c>
      <c r="K2462" s="19" t="n">
        <v>0</v>
      </c>
      <c r="L2462" s="17" t="s">
        <v>88</v>
      </c>
    </row>
    <row r="2463" s="11" customFormat="true" ht="10.95" hidden="false" customHeight="true" outlineLevel="0" collapsed="false">
      <c r="A2463" s="16" t="n">
        <v>45161</v>
      </c>
      <c r="B2463" s="17" t="s">
        <v>1071</v>
      </c>
      <c r="C2463" s="17" t="s">
        <v>788</v>
      </c>
      <c r="D2463" s="17" t="s">
        <v>19</v>
      </c>
      <c r="E2463" s="17" t="s">
        <v>1087</v>
      </c>
      <c r="F2463" s="17" t="s">
        <v>1121</v>
      </c>
      <c r="G2463" s="18" t="n">
        <v>0</v>
      </c>
      <c r="H2463" s="18" t="n">
        <v>35.61</v>
      </c>
      <c r="I2463" s="18" t="n">
        <f aca="false">((I2462 + G2463) - H2463)</f>
        <v>-28545.07</v>
      </c>
      <c r="J2463" s="18" t="n">
        <v>0</v>
      </c>
      <c r="K2463" s="19" t="n">
        <v>0</v>
      </c>
      <c r="L2463" s="17" t="s">
        <v>88</v>
      </c>
    </row>
    <row r="2464" s="11" customFormat="true" ht="10.95" hidden="false" customHeight="true" outlineLevel="0" collapsed="false">
      <c r="A2464" s="16" t="n">
        <v>45161</v>
      </c>
      <c r="B2464" s="17" t="s">
        <v>1071</v>
      </c>
      <c r="C2464" s="17" t="s">
        <v>788</v>
      </c>
      <c r="D2464" s="17" t="s">
        <v>19</v>
      </c>
      <c r="E2464" s="17" t="s">
        <v>1095</v>
      </c>
      <c r="F2464" s="17" t="s">
        <v>1121</v>
      </c>
      <c r="G2464" s="18" t="n">
        <v>0</v>
      </c>
      <c r="H2464" s="18" t="n">
        <v>27.75</v>
      </c>
      <c r="I2464" s="18" t="n">
        <f aca="false">((I2463 + G2464) - H2464)</f>
        <v>-28572.82</v>
      </c>
      <c r="J2464" s="18" t="n">
        <v>0</v>
      </c>
      <c r="K2464" s="19" t="n">
        <v>0</v>
      </c>
      <c r="L2464" s="17" t="s">
        <v>88</v>
      </c>
    </row>
    <row r="2465" s="11" customFormat="true" ht="10.95" hidden="false" customHeight="true" outlineLevel="0" collapsed="false">
      <c r="A2465" s="16" t="n">
        <v>45161</v>
      </c>
      <c r="B2465" s="17" t="s">
        <v>1071</v>
      </c>
      <c r="C2465" s="17" t="s">
        <v>788</v>
      </c>
      <c r="D2465" s="17" t="s">
        <v>19</v>
      </c>
      <c r="E2465" s="17" t="s">
        <v>1092</v>
      </c>
      <c r="F2465" s="17" t="s">
        <v>1122</v>
      </c>
      <c r="G2465" s="18" t="n">
        <v>0</v>
      </c>
      <c r="H2465" s="18" t="n">
        <v>1391.29</v>
      </c>
      <c r="I2465" s="18" t="n">
        <f aca="false">((I2464 + G2465) - H2465)</f>
        <v>-29964.11</v>
      </c>
      <c r="J2465" s="18" t="n">
        <v>0</v>
      </c>
      <c r="K2465" s="19" t="n">
        <v>0</v>
      </c>
      <c r="L2465" s="17" t="s">
        <v>88</v>
      </c>
    </row>
    <row r="2466" s="11" customFormat="true" ht="42" hidden="false" customHeight="true" outlineLevel="0" collapsed="false">
      <c r="A2466" s="16" t="n">
        <v>45161</v>
      </c>
      <c r="B2466" s="17" t="s">
        <v>1071</v>
      </c>
      <c r="C2466" s="17" t="s">
        <v>788</v>
      </c>
      <c r="D2466" s="17" t="s">
        <v>19</v>
      </c>
      <c r="E2466" s="20" t="s">
        <v>1097</v>
      </c>
      <c r="F2466" s="17" t="s">
        <v>1122</v>
      </c>
      <c r="G2466" s="18" t="n">
        <v>0</v>
      </c>
      <c r="H2466" s="18" t="n">
        <v>64.75</v>
      </c>
      <c r="I2466" s="18" t="n">
        <f aca="false">((I2465 + G2466) - H2466)</f>
        <v>-30028.86</v>
      </c>
      <c r="J2466" s="18" t="n">
        <v>0</v>
      </c>
      <c r="K2466" s="19" t="n">
        <v>0</v>
      </c>
      <c r="L2466" s="17" t="s">
        <v>88</v>
      </c>
    </row>
    <row r="2467" s="11" customFormat="true" ht="10.95" hidden="false" customHeight="true" outlineLevel="0" collapsed="false">
      <c r="A2467" s="16" t="n">
        <v>45161</v>
      </c>
      <c r="B2467" s="17" t="s">
        <v>1071</v>
      </c>
      <c r="C2467" s="17" t="s">
        <v>788</v>
      </c>
      <c r="D2467" s="17" t="s">
        <v>19</v>
      </c>
      <c r="E2467" s="17" t="s">
        <v>1094</v>
      </c>
      <c r="F2467" s="17" t="s">
        <v>1122</v>
      </c>
      <c r="G2467" s="18" t="n">
        <v>0</v>
      </c>
      <c r="H2467" s="18" t="n">
        <v>92.51</v>
      </c>
      <c r="I2467" s="18" t="n">
        <f aca="false">((I2466 + G2467) - H2467)</f>
        <v>-30121.37</v>
      </c>
      <c r="J2467" s="18" t="n">
        <v>0</v>
      </c>
      <c r="K2467" s="19" t="n">
        <v>0</v>
      </c>
      <c r="L2467" s="17" t="s">
        <v>88</v>
      </c>
    </row>
    <row r="2468" s="11" customFormat="true" ht="10.95" hidden="false" customHeight="true" outlineLevel="0" collapsed="false">
      <c r="A2468" s="16" t="n">
        <v>45161</v>
      </c>
      <c r="B2468" s="17" t="s">
        <v>1071</v>
      </c>
      <c r="C2468" s="17" t="s">
        <v>788</v>
      </c>
      <c r="D2468" s="17" t="s">
        <v>19</v>
      </c>
      <c r="E2468" s="17" t="s">
        <v>1098</v>
      </c>
      <c r="F2468" s="17" t="s">
        <v>1122</v>
      </c>
      <c r="G2468" s="18" t="n">
        <v>0</v>
      </c>
      <c r="H2468" s="18" t="n">
        <v>277.52</v>
      </c>
      <c r="I2468" s="18" t="n">
        <f aca="false">((I2467 + G2468) - H2468)</f>
        <v>-30398.89</v>
      </c>
      <c r="J2468" s="18" t="n">
        <v>0</v>
      </c>
      <c r="K2468" s="19" t="n">
        <v>0</v>
      </c>
      <c r="L2468" s="17" t="s">
        <v>88</v>
      </c>
    </row>
    <row r="2469" s="11" customFormat="true" ht="10.95" hidden="false" customHeight="true" outlineLevel="0" collapsed="false">
      <c r="A2469" s="16" t="n">
        <v>45161</v>
      </c>
      <c r="B2469" s="17" t="s">
        <v>1071</v>
      </c>
      <c r="C2469" s="17" t="s">
        <v>788</v>
      </c>
      <c r="D2469" s="17" t="s">
        <v>19</v>
      </c>
      <c r="E2469" s="17" t="s">
        <v>1083</v>
      </c>
      <c r="F2469" s="17" t="s">
        <v>1123</v>
      </c>
      <c r="G2469" s="18" t="n">
        <v>0</v>
      </c>
      <c r="H2469" s="18" t="n">
        <v>133.21</v>
      </c>
      <c r="I2469" s="18" t="n">
        <f aca="false">((I2468 + G2469) - H2469)</f>
        <v>-30532.1</v>
      </c>
      <c r="J2469" s="18" t="n">
        <v>0</v>
      </c>
      <c r="K2469" s="19" t="n">
        <v>0</v>
      </c>
      <c r="L2469" s="17" t="s">
        <v>88</v>
      </c>
    </row>
    <row r="2470" s="11" customFormat="true" ht="10.95" hidden="false" customHeight="true" outlineLevel="0" collapsed="false">
      <c r="A2470" s="16" t="n">
        <v>45161</v>
      </c>
      <c r="B2470" s="17" t="s">
        <v>1071</v>
      </c>
      <c r="C2470" s="17" t="s">
        <v>788</v>
      </c>
      <c r="D2470" s="17" t="s">
        <v>19</v>
      </c>
      <c r="E2470" s="17" t="s">
        <v>1090</v>
      </c>
      <c r="F2470" s="17" t="s">
        <v>1124</v>
      </c>
      <c r="G2470" s="18" t="n">
        <v>0</v>
      </c>
      <c r="H2470" s="18" t="n">
        <v>695.37</v>
      </c>
      <c r="I2470" s="18" t="n">
        <f aca="false">((I2469 + G2470) - H2470)</f>
        <v>-31227.47</v>
      </c>
      <c r="J2470" s="18" t="n">
        <v>0</v>
      </c>
      <c r="K2470" s="19" t="n">
        <v>0</v>
      </c>
      <c r="L2470" s="17" t="s">
        <v>88</v>
      </c>
    </row>
    <row r="2471" s="11" customFormat="true" ht="10.95" hidden="false" customHeight="true" outlineLevel="0" collapsed="false">
      <c r="A2471" s="16" t="n">
        <v>45161</v>
      </c>
      <c r="B2471" s="17" t="s">
        <v>1071</v>
      </c>
      <c r="C2471" s="17" t="s">
        <v>788</v>
      </c>
      <c r="D2471" s="17" t="s">
        <v>19</v>
      </c>
      <c r="E2471" s="17" t="s">
        <v>1101</v>
      </c>
      <c r="F2471" s="17" t="s">
        <v>1124</v>
      </c>
      <c r="G2471" s="18" t="n">
        <v>0</v>
      </c>
      <c r="H2471" s="18" t="n">
        <v>96.63</v>
      </c>
      <c r="I2471" s="18" t="n">
        <f aca="false">((I2470 + G2471) - H2471)</f>
        <v>-31324.1</v>
      </c>
      <c r="J2471" s="18" t="n">
        <v>0</v>
      </c>
      <c r="K2471" s="19" t="n">
        <v>0</v>
      </c>
      <c r="L2471" s="17" t="s">
        <v>88</v>
      </c>
    </row>
    <row r="2472" s="11" customFormat="true" ht="10.95" hidden="false" customHeight="true" outlineLevel="0" collapsed="false">
      <c r="A2472" s="16" t="n">
        <v>45161</v>
      </c>
      <c r="B2472" s="17" t="s">
        <v>1071</v>
      </c>
      <c r="C2472" s="17" t="s">
        <v>788</v>
      </c>
      <c r="D2472" s="17" t="s">
        <v>19</v>
      </c>
      <c r="E2472" s="17" t="s">
        <v>1088</v>
      </c>
      <c r="F2472" s="17" t="s">
        <v>1124</v>
      </c>
      <c r="G2472" s="18" t="n">
        <v>0</v>
      </c>
      <c r="H2472" s="18" t="n">
        <v>122.06</v>
      </c>
      <c r="I2472" s="18" t="n">
        <f aca="false">((I2471 + G2472) - H2472)</f>
        <v>-31446.16</v>
      </c>
      <c r="J2472" s="18" t="n">
        <v>0</v>
      </c>
      <c r="K2472" s="19" t="n">
        <v>0</v>
      </c>
      <c r="L2472" s="17" t="s">
        <v>88</v>
      </c>
    </row>
    <row r="2473" s="11" customFormat="true" ht="10.95" hidden="false" customHeight="true" outlineLevel="0" collapsed="false">
      <c r="A2473" s="16" t="n">
        <v>45161</v>
      </c>
      <c r="B2473" s="17" t="s">
        <v>1071</v>
      </c>
      <c r="C2473" s="17" t="s">
        <v>788</v>
      </c>
      <c r="D2473" s="17" t="s">
        <v>19</v>
      </c>
      <c r="E2473" s="17" t="s">
        <v>1102</v>
      </c>
      <c r="F2473" s="17" t="s">
        <v>1124</v>
      </c>
      <c r="G2473" s="18" t="n">
        <v>0</v>
      </c>
      <c r="H2473" s="18" t="n">
        <v>101.72</v>
      </c>
      <c r="I2473" s="18" t="n">
        <f aca="false">((I2472 + G2473) - H2473)</f>
        <v>-31547.88</v>
      </c>
      <c r="J2473" s="18" t="n">
        <v>0</v>
      </c>
      <c r="K2473" s="19" t="n">
        <v>0</v>
      </c>
      <c r="L2473" s="17" t="s">
        <v>88</v>
      </c>
    </row>
    <row r="2474" s="11" customFormat="true" ht="10.95" hidden="false" customHeight="true" outlineLevel="0" collapsed="false">
      <c r="A2474" s="16" t="n">
        <v>45167</v>
      </c>
      <c r="B2474" s="17" t="s">
        <v>1071</v>
      </c>
      <c r="C2474" s="17" t="s">
        <v>788</v>
      </c>
      <c r="D2474" s="17" t="s">
        <v>19</v>
      </c>
      <c r="E2474" s="17" t="s">
        <v>1125</v>
      </c>
      <c r="F2474" s="17" t="s">
        <v>1126</v>
      </c>
      <c r="G2474" s="18" t="n">
        <v>0</v>
      </c>
      <c r="H2474" s="18" t="n">
        <v>303.3</v>
      </c>
      <c r="I2474" s="18" t="n">
        <f aca="false">((I2473 + G2474) - H2474)</f>
        <v>-31851.18</v>
      </c>
      <c r="J2474" s="18" t="n">
        <v>0</v>
      </c>
      <c r="K2474" s="19" t="n">
        <v>0</v>
      </c>
      <c r="L2474" s="17" t="s">
        <v>88</v>
      </c>
    </row>
    <row r="2475" s="11" customFormat="true" ht="10.95" hidden="false" customHeight="true" outlineLevel="0" collapsed="false">
      <c r="A2475" s="16" t="n">
        <v>45167</v>
      </c>
      <c r="B2475" s="17" t="s">
        <v>1071</v>
      </c>
      <c r="C2475" s="17" t="s">
        <v>788</v>
      </c>
      <c r="D2475" s="17" t="s">
        <v>19</v>
      </c>
      <c r="E2475" s="17" t="s">
        <v>1115</v>
      </c>
      <c r="F2475" s="17" t="s">
        <v>1126</v>
      </c>
      <c r="G2475" s="18" t="n">
        <v>0</v>
      </c>
      <c r="H2475" s="18" t="n">
        <v>193.02</v>
      </c>
      <c r="I2475" s="18" t="n">
        <f aca="false">((I2474 + G2475) - H2475)</f>
        <v>-32044.2</v>
      </c>
      <c r="J2475" s="18" t="n">
        <v>0</v>
      </c>
      <c r="K2475" s="19" t="n">
        <v>0</v>
      </c>
      <c r="L2475" s="17" t="s">
        <v>88</v>
      </c>
    </row>
    <row r="2476" s="11" customFormat="true" ht="10.95" hidden="false" customHeight="true" outlineLevel="0" collapsed="false">
      <c r="A2476" s="16" t="n">
        <v>45167</v>
      </c>
      <c r="B2476" s="17" t="s">
        <v>1071</v>
      </c>
      <c r="C2476" s="17" t="s">
        <v>788</v>
      </c>
      <c r="D2476" s="17" t="s">
        <v>19</v>
      </c>
      <c r="E2476" s="17" t="s">
        <v>1116</v>
      </c>
      <c r="F2476" s="17" t="s">
        <v>1126</v>
      </c>
      <c r="G2476" s="18" t="n">
        <v>0</v>
      </c>
      <c r="H2476" s="18" t="n">
        <v>413.58</v>
      </c>
      <c r="I2476" s="18" t="n">
        <f aca="false">((I2475 + G2476) - H2476)</f>
        <v>-32457.78</v>
      </c>
      <c r="J2476" s="18" t="n">
        <v>0</v>
      </c>
      <c r="K2476" s="19" t="n">
        <v>0</v>
      </c>
      <c r="L2476" s="17" t="s">
        <v>88</v>
      </c>
    </row>
    <row r="2477" s="11" customFormat="true" ht="10.95" hidden="false" customHeight="true" outlineLevel="0" collapsed="false">
      <c r="A2477" s="16" t="n">
        <v>45167</v>
      </c>
      <c r="B2477" s="17" t="s">
        <v>1071</v>
      </c>
      <c r="C2477" s="17" t="s">
        <v>788</v>
      </c>
      <c r="D2477" s="17" t="s">
        <v>19</v>
      </c>
      <c r="E2477" s="17" t="s">
        <v>1117</v>
      </c>
      <c r="F2477" s="17" t="s">
        <v>1126</v>
      </c>
      <c r="G2477" s="18" t="n">
        <v>0</v>
      </c>
      <c r="H2477" s="18" t="n">
        <v>202.2</v>
      </c>
      <c r="I2477" s="18" t="n">
        <f aca="false">((I2476 + G2477) - H2477)</f>
        <v>-32659.98</v>
      </c>
      <c r="J2477" s="18" t="n">
        <v>0</v>
      </c>
      <c r="K2477" s="19" t="n">
        <v>0</v>
      </c>
      <c r="L2477" s="17" t="s">
        <v>88</v>
      </c>
    </row>
    <row r="2478" s="11" customFormat="true" ht="10.95" hidden="false" customHeight="true" outlineLevel="0" collapsed="false">
      <c r="A2478" s="16" t="n">
        <v>45167</v>
      </c>
      <c r="B2478" s="17" t="s">
        <v>1071</v>
      </c>
      <c r="C2478" s="17" t="s">
        <v>788</v>
      </c>
      <c r="D2478" s="17" t="s">
        <v>19</v>
      </c>
      <c r="E2478" s="17" t="s">
        <v>1125</v>
      </c>
      <c r="F2478" s="17" t="s">
        <v>1126</v>
      </c>
      <c r="G2478" s="18" t="n">
        <v>0</v>
      </c>
      <c r="H2478" s="18" t="n">
        <v>303.29</v>
      </c>
      <c r="I2478" s="18" t="n">
        <f aca="false">((I2477 + G2478) - H2478)</f>
        <v>-32963.27</v>
      </c>
      <c r="J2478" s="18" t="n">
        <v>0</v>
      </c>
      <c r="K2478" s="19" t="n">
        <v>0</v>
      </c>
      <c r="L2478" s="17" t="s">
        <v>88</v>
      </c>
    </row>
    <row r="2479" s="11" customFormat="true" ht="10.95" hidden="false" customHeight="true" outlineLevel="0" collapsed="false">
      <c r="A2479" s="16" t="n">
        <v>45167</v>
      </c>
      <c r="B2479" s="17" t="s">
        <v>1071</v>
      </c>
      <c r="C2479" s="17" t="s">
        <v>788</v>
      </c>
      <c r="D2479" s="17" t="s">
        <v>19</v>
      </c>
      <c r="E2479" s="17" t="s">
        <v>1125</v>
      </c>
      <c r="F2479" s="17" t="s">
        <v>1126</v>
      </c>
      <c r="G2479" s="18" t="n">
        <v>0</v>
      </c>
      <c r="H2479" s="18" t="n">
        <v>303.29</v>
      </c>
      <c r="I2479" s="18" t="n">
        <f aca="false">((I2478 + G2479) - H2479)</f>
        <v>-33266.56</v>
      </c>
      <c r="J2479" s="18" t="n">
        <v>0</v>
      </c>
      <c r="K2479" s="19" t="n">
        <v>0</v>
      </c>
      <c r="L2479" s="17" t="s">
        <v>88</v>
      </c>
    </row>
    <row r="2480" s="11" customFormat="true" ht="10.95" hidden="false" customHeight="true" outlineLevel="0" collapsed="false">
      <c r="A2480" s="16" t="n">
        <v>45167</v>
      </c>
      <c r="B2480" s="17" t="s">
        <v>1071</v>
      </c>
      <c r="C2480" s="17" t="s">
        <v>788</v>
      </c>
      <c r="D2480" s="17" t="s">
        <v>19</v>
      </c>
      <c r="E2480" s="17" t="s">
        <v>1125</v>
      </c>
      <c r="F2480" s="17" t="s">
        <v>1126</v>
      </c>
      <c r="G2480" s="18" t="n">
        <v>0</v>
      </c>
      <c r="H2480" s="18" t="n">
        <v>303.29</v>
      </c>
      <c r="I2480" s="18" t="n">
        <f aca="false">((I2479 + G2480) - H2480)</f>
        <v>-33569.85</v>
      </c>
      <c r="J2480" s="18" t="n">
        <v>0</v>
      </c>
      <c r="K2480" s="19" t="n">
        <v>0</v>
      </c>
      <c r="L2480" s="17" t="s">
        <v>88</v>
      </c>
    </row>
    <row r="2481" s="11" customFormat="true" ht="10.95" hidden="false" customHeight="true" outlineLevel="0" collapsed="false">
      <c r="A2481" s="16" t="n">
        <v>45167</v>
      </c>
      <c r="B2481" s="17" t="s">
        <v>1071</v>
      </c>
      <c r="C2481" s="17" t="s">
        <v>788</v>
      </c>
      <c r="D2481" s="17" t="s">
        <v>19</v>
      </c>
      <c r="E2481" s="17" t="s">
        <v>1125</v>
      </c>
      <c r="F2481" s="17" t="s">
        <v>1126</v>
      </c>
      <c r="G2481" s="18" t="n">
        <v>0</v>
      </c>
      <c r="H2481" s="18" t="n">
        <v>303.29</v>
      </c>
      <c r="I2481" s="18" t="n">
        <f aca="false">((I2480 + G2481) - H2481)</f>
        <v>-33873.14</v>
      </c>
      <c r="J2481" s="18" t="n">
        <v>0</v>
      </c>
      <c r="K2481" s="19" t="n">
        <v>0</v>
      </c>
      <c r="L2481" s="17" t="s">
        <v>88</v>
      </c>
    </row>
    <row r="2482" s="11" customFormat="true" ht="10.95" hidden="false" customHeight="true" outlineLevel="0" collapsed="false">
      <c r="A2482" s="16" t="n">
        <v>45196</v>
      </c>
      <c r="B2482" s="17" t="s">
        <v>1071</v>
      </c>
      <c r="C2482" s="17" t="s">
        <v>788</v>
      </c>
      <c r="D2482" s="17" t="s">
        <v>19</v>
      </c>
      <c r="E2482" s="17" t="s">
        <v>1092</v>
      </c>
      <c r="F2482" s="17" t="s">
        <v>1127</v>
      </c>
      <c r="G2482" s="18" t="n">
        <v>0</v>
      </c>
      <c r="H2482" s="18" t="n">
        <v>854.53</v>
      </c>
      <c r="I2482" s="18" t="n">
        <f aca="false">((I2481 + G2482) - H2482)</f>
        <v>-34727.67</v>
      </c>
      <c r="J2482" s="18" t="n">
        <v>0</v>
      </c>
      <c r="K2482" s="19" t="n">
        <v>0</v>
      </c>
      <c r="L2482" s="17" t="s">
        <v>88</v>
      </c>
    </row>
    <row r="2483" s="11" customFormat="true" ht="10.95" hidden="false" customHeight="true" outlineLevel="0" collapsed="false">
      <c r="A2483" s="16" t="n">
        <v>45196</v>
      </c>
      <c r="B2483" s="17" t="s">
        <v>1071</v>
      </c>
      <c r="C2483" s="17" t="s">
        <v>788</v>
      </c>
      <c r="D2483" s="17" t="s">
        <v>19</v>
      </c>
      <c r="E2483" s="17" t="s">
        <v>1094</v>
      </c>
      <c r="F2483" s="17" t="s">
        <v>1127</v>
      </c>
      <c r="G2483" s="18" t="n">
        <v>0</v>
      </c>
      <c r="H2483" s="18" t="n">
        <v>92.89</v>
      </c>
      <c r="I2483" s="18" t="n">
        <f aca="false">((I2482 + G2483) - H2483)</f>
        <v>-34820.56</v>
      </c>
      <c r="J2483" s="18" t="n">
        <v>0</v>
      </c>
      <c r="K2483" s="19" t="n">
        <v>0</v>
      </c>
      <c r="L2483" s="17" t="s">
        <v>88</v>
      </c>
    </row>
    <row r="2484" s="11" customFormat="true" ht="10.95" hidden="false" customHeight="true" outlineLevel="0" collapsed="false">
      <c r="A2484" s="16" t="n">
        <v>45196</v>
      </c>
      <c r="B2484" s="17" t="s">
        <v>1071</v>
      </c>
      <c r="C2484" s="17" t="s">
        <v>788</v>
      </c>
      <c r="D2484" s="17" t="s">
        <v>19</v>
      </c>
      <c r="E2484" s="17" t="s">
        <v>1087</v>
      </c>
      <c r="F2484" s="17" t="s">
        <v>1127</v>
      </c>
      <c r="G2484" s="18" t="n">
        <v>0</v>
      </c>
      <c r="H2484" s="18" t="n">
        <v>35.76</v>
      </c>
      <c r="I2484" s="18" t="n">
        <f aca="false">((I2483 + G2484) - H2484)</f>
        <v>-34856.32</v>
      </c>
      <c r="J2484" s="18" t="n">
        <v>0</v>
      </c>
      <c r="K2484" s="19" t="n">
        <v>0</v>
      </c>
      <c r="L2484" s="17" t="s">
        <v>88</v>
      </c>
    </row>
    <row r="2485" s="11" customFormat="true" ht="10.95" hidden="false" customHeight="true" outlineLevel="0" collapsed="false">
      <c r="A2485" s="16" t="n">
        <v>45196</v>
      </c>
      <c r="B2485" s="17" t="s">
        <v>1071</v>
      </c>
      <c r="C2485" s="17" t="s">
        <v>788</v>
      </c>
      <c r="D2485" s="17" t="s">
        <v>19</v>
      </c>
      <c r="E2485" s="17" t="s">
        <v>1095</v>
      </c>
      <c r="F2485" s="17" t="s">
        <v>1127</v>
      </c>
      <c r="G2485" s="18" t="n">
        <v>0</v>
      </c>
      <c r="H2485" s="18" t="n">
        <v>27.87</v>
      </c>
      <c r="I2485" s="18" t="n">
        <f aca="false">((I2484 + G2485) - H2485)</f>
        <v>-34884.19</v>
      </c>
      <c r="J2485" s="18" t="n">
        <v>0</v>
      </c>
      <c r="K2485" s="19" t="n">
        <v>0</v>
      </c>
      <c r="L2485" s="17" t="s">
        <v>88</v>
      </c>
    </row>
    <row r="2486" s="11" customFormat="true" ht="10.95" hidden="false" customHeight="true" outlineLevel="0" collapsed="false">
      <c r="A2486" s="16" t="n">
        <v>45196</v>
      </c>
      <c r="B2486" s="17" t="s">
        <v>1071</v>
      </c>
      <c r="C2486" s="17" t="s">
        <v>788</v>
      </c>
      <c r="D2486" s="17" t="s">
        <v>19</v>
      </c>
      <c r="E2486" s="17" t="s">
        <v>1072</v>
      </c>
      <c r="F2486" s="17" t="s">
        <v>1128</v>
      </c>
      <c r="G2486" s="18" t="n">
        <v>0</v>
      </c>
      <c r="H2486" s="18" t="n">
        <v>669.16</v>
      </c>
      <c r="I2486" s="18" t="n">
        <f aca="false">((I2485 + G2486) - H2486)</f>
        <v>-35553.35</v>
      </c>
      <c r="J2486" s="18" t="n">
        <v>0</v>
      </c>
      <c r="K2486" s="19" t="n">
        <v>0</v>
      </c>
      <c r="L2486" s="17" t="s">
        <v>88</v>
      </c>
    </row>
    <row r="2487" s="11" customFormat="true" ht="10.95" hidden="false" customHeight="true" outlineLevel="0" collapsed="false">
      <c r="A2487" s="16" t="n">
        <v>45196</v>
      </c>
      <c r="B2487" s="17" t="s">
        <v>1071</v>
      </c>
      <c r="C2487" s="17" t="s">
        <v>788</v>
      </c>
      <c r="D2487" s="17" t="s">
        <v>19</v>
      </c>
      <c r="E2487" s="17" t="s">
        <v>1074</v>
      </c>
      <c r="F2487" s="17" t="s">
        <v>1128</v>
      </c>
      <c r="G2487" s="18" t="n">
        <v>0</v>
      </c>
      <c r="H2487" s="18" t="n">
        <v>102.23</v>
      </c>
      <c r="I2487" s="18" t="n">
        <f aca="false">((I2486 + G2487) - H2487)</f>
        <v>-35655.58</v>
      </c>
      <c r="J2487" s="18" t="n">
        <v>0</v>
      </c>
      <c r="K2487" s="19" t="n">
        <v>0</v>
      </c>
      <c r="L2487" s="17" t="s">
        <v>88</v>
      </c>
    </row>
    <row r="2488" s="11" customFormat="true" ht="10.95" hidden="false" customHeight="true" outlineLevel="0" collapsed="false">
      <c r="A2488" s="16" t="n">
        <v>45196</v>
      </c>
      <c r="B2488" s="17" t="s">
        <v>1071</v>
      </c>
      <c r="C2488" s="17" t="s">
        <v>788</v>
      </c>
      <c r="D2488" s="17" t="s">
        <v>19</v>
      </c>
      <c r="E2488" s="17" t="s">
        <v>1075</v>
      </c>
      <c r="F2488" s="17" t="s">
        <v>1129</v>
      </c>
      <c r="G2488" s="18" t="n">
        <v>0</v>
      </c>
      <c r="H2488" s="18" t="n">
        <v>3124.39</v>
      </c>
      <c r="I2488" s="18" t="n">
        <f aca="false">((I2487 + G2488) - H2488)</f>
        <v>-38779.97</v>
      </c>
      <c r="J2488" s="18" t="n">
        <v>0</v>
      </c>
      <c r="K2488" s="19" t="n">
        <v>0</v>
      </c>
      <c r="L2488" s="17" t="s">
        <v>88</v>
      </c>
    </row>
    <row r="2489" s="11" customFormat="true" ht="10.95" hidden="false" customHeight="true" outlineLevel="0" collapsed="false">
      <c r="A2489" s="16" t="n">
        <v>45196</v>
      </c>
      <c r="B2489" s="17" t="s">
        <v>1071</v>
      </c>
      <c r="C2489" s="17" t="s">
        <v>788</v>
      </c>
      <c r="D2489" s="17" t="s">
        <v>19</v>
      </c>
      <c r="E2489" s="17" t="s">
        <v>1077</v>
      </c>
      <c r="F2489" s="17" t="s">
        <v>1130</v>
      </c>
      <c r="G2489" s="18" t="n">
        <v>0</v>
      </c>
      <c r="H2489" s="18" t="n">
        <v>971.72</v>
      </c>
      <c r="I2489" s="18" t="n">
        <f aca="false">((I2488 + G2489) - H2489)</f>
        <v>-39751.69</v>
      </c>
      <c r="J2489" s="18" t="n">
        <v>0</v>
      </c>
      <c r="K2489" s="19" t="n">
        <v>0</v>
      </c>
      <c r="L2489" s="17" t="s">
        <v>88</v>
      </c>
    </row>
    <row r="2490" s="11" customFormat="true" ht="10.95" hidden="false" customHeight="true" outlineLevel="0" collapsed="false">
      <c r="A2490" s="16" t="n">
        <v>45196</v>
      </c>
      <c r="B2490" s="17" t="s">
        <v>1071</v>
      </c>
      <c r="C2490" s="17" t="s">
        <v>788</v>
      </c>
      <c r="D2490" s="17" t="s">
        <v>19</v>
      </c>
      <c r="E2490" s="17" t="s">
        <v>1079</v>
      </c>
      <c r="F2490" s="17" t="s">
        <v>1130</v>
      </c>
      <c r="G2490" s="18" t="n">
        <v>0</v>
      </c>
      <c r="H2490" s="18" t="n">
        <v>334.76</v>
      </c>
      <c r="I2490" s="18" t="n">
        <f aca="false">((I2489 + G2490) - H2490)</f>
        <v>-40086.45</v>
      </c>
      <c r="J2490" s="18" t="n">
        <v>0</v>
      </c>
      <c r="K2490" s="19" t="n">
        <v>0</v>
      </c>
      <c r="L2490" s="17" t="s">
        <v>88</v>
      </c>
    </row>
    <row r="2491" s="11" customFormat="true" ht="10.95" hidden="false" customHeight="true" outlineLevel="0" collapsed="false">
      <c r="A2491" s="16" t="n">
        <v>45196</v>
      </c>
      <c r="B2491" s="17" t="s">
        <v>1071</v>
      </c>
      <c r="C2491" s="17" t="s">
        <v>788</v>
      </c>
      <c r="D2491" s="17" t="s">
        <v>19</v>
      </c>
      <c r="E2491" s="17" t="s">
        <v>1080</v>
      </c>
      <c r="F2491" s="17" t="s">
        <v>1130</v>
      </c>
      <c r="G2491" s="18" t="n">
        <v>0</v>
      </c>
      <c r="H2491" s="18" t="n">
        <v>102.29</v>
      </c>
      <c r="I2491" s="18" t="n">
        <f aca="false">((I2490 + G2491) - H2491)</f>
        <v>-40188.74</v>
      </c>
      <c r="J2491" s="18" t="n">
        <v>0</v>
      </c>
      <c r="K2491" s="19" t="n">
        <v>0</v>
      </c>
      <c r="L2491" s="17" t="s">
        <v>88</v>
      </c>
    </row>
    <row r="2492" s="11" customFormat="true" ht="10.95" hidden="false" customHeight="true" outlineLevel="0" collapsed="false">
      <c r="A2492" s="16" t="n">
        <v>45196</v>
      </c>
      <c r="B2492" s="17" t="s">
        <v>1071</v>
      </c>
      <c r="C2492" s="17" t="s">
        <v>788</v>
      </c>
      <c r="D2492" s="17" t="s">
        <v>19</v>
      </c>
      <c r="E2492" s="17" t="s">
        <v>1081</v>
      </c>
      <c r="F2492" s="17" t="s">
        <v>1131</v>
      </c>
      <c r="G2492" s="18" t="n">
        <v>0</v>
      </c>
      <c r="H2492" s="18" t="n">
        <v>180</v>
      </c>
      <c r="I2492" s="18" t="n">
        <f aca="false">((I2491 + G2492) - H2492)</f>
        <v>-40368.74</v>
      </c>
      <c r="J2492" s="18" t="n">
        <v>0</v>
      </c>
      <c r="K2492" s="19" t="n">
        <v>0</v>
      </c>
      <c r="L2492" s="17" t="s">
        <v>88</v>
      </c>
    </row>
    <row r="2493" s="11" customFormat="true" ht="10.95" hidden="false" customHeight="true" outlineLevel="0" collapsed="false">
      <c r="A2493" s="16" t="n">
        <v>45196</v>
      </c>
      <c r="B2493" s="17" t="s">
        <v>1071</v>
      </c>
      <c r="C2493" s="17" t="s">
        <v>788</v>
      </c>
      <c r="D2493" s="17" t="s">
        <v>19</v>
      </c>
      <c r="E2493" s="17" t="s">
        <v>1083</v>
      </c>
      <c r="F2493" s="17" t="s">
        <v>1132</v>
      </c>
      <c r="G2493" s="18" t="n">
        <v>0</v>
      </c>
      <c r="H2493" s="18" t="n">
        <v>267.8</v>
      </c>
      <c r="I2493" s="18" t="n">
        <f aca="false">((I2492 + G2493) - H2493)</f>
        <v>-40636.54</v>
      </c>
      <c r="J2493" s="18" t="n">
        <v>0</v>
      </c>
      <c r="K2493" s="19" t="n">
        <v>0</v>
      </c>
      <c r="L2493" s="17" t="s">
        <v>88</v>
      </c>
    </row>
    <row r="2494" s="11" customFormat="true" ht="10.95" hidden="false" customHeight="true" outlineLevel="0" collapsed="false">
      <c r="A2494" s="16" t="n">
        <v>45196</v>
      </c>
      <c r="B2494" s="17" t="s">
        <v>1071</v>
      </c>
      <c r="C2494" s="17" t="s">
        <v>788</v>
      </c>
      <c r="D2494" s="17" t="s">
        <v>19</v>
      </c>
      <c r="E2494" s="17" t="s">
        <v>1085</v>
      </c>
      <c r="F2494" s="17" t="s">
        <v>1133</v>
      </c>
      <c r="G2494" s="18" t="n">
        <v>0</v>
      </c>
      <c r="H2494" s="18" t="n">
        <v>588.15</v>
      </c>
      <c r="I2494" s="18" t="n">
        <f aca="false">((I2493 + G2494) - H2494)</f>
        <v>-41224.69</v>
      </c>
      <c r="J2494" s="18" t="n">
        <v>0</v>
      </c>
      <c r="K2494" s="19" t="n">
        <v>0</v>
      </c>
      <c r="L2494" s="17" t="s">
        <v>88</v>
      </c>
    </row>
    <row r="2495" s="11" customFormat="true" ht="10.95" hidden="false" customHeight="true" outlineLevel="0" collapsed="false">
      <c r="A2495" s="16" t="n">
        <v>45196</v>
      </c>
      <c r="B2495" s="17" t="s">
        <v>1071</v>
      </c>
      <c r="C2495" s="17" t="s">
        <v>788</v>
      </c>
      <c r="D2495" s="17" t="s">
        <v>19</v>
      </c>
      <c r="E2495" s="17" t="s">
        <v>1087</v>
      </c>
      <c r="F2495" s="17" t="s">
        <v>1133</v>
      </c>
      <c r="G2495" s="18" t="n">
        <v>0</v>
      </c>
      <c r="H2495" s="18" t="n">
        <v>71.6</v>
      </c>
      <c r="I2495" s="18" t="n">
        <f aca="false">((I2494 + G2495) - H2495)</f>
        <v>-41296.29</v>
      </c>
      <c r="J2495" s="18" t="n">
        <v>0</v>
      </c>
      <c r="K2495" s="19" t="n">
        <v>0</v>
      </c>
      <c r="L2495" s="17" t="s">
        <v>88</v>
      </c>
    </row>
    <row r="2496" s="11" customFormat="true" ht="10.95" hidden="false" customHeight="true" outlineLevel="0" collapsed="false">
      <c r="A2496" s="16" t="n">
        <v>45196</v>
      </c>
      <c r="B2496" s="17" t="s">
        <v>1071</v>
      </c>
      <c r="C2496" s="17" t="s">
        <v>788</v>
      </c>
      <c r="D2496" s="17" t="s">
        <v>19</v>
      </c>
      <c r="E2496" s="17" t="s">
        <v>1088</v>
      </c>
      <c r="F2496" s="17" t="s">
        <v>1133</v>
      </c>
      <c r="G2496" s="18" t="n">
        <v>0</v>
      </c>
      <c r="H2496" s="18" t="n">
        <v>10.23</v>
      </c>
      <c r="I2496" s="18" t="n">
        <f aca="false">((I2495 + G2496) - H2496)</f>
        <v>-41306.52</v>
      </c>
      <c r="J2496" s="18" t="n">
        <v>0</v>
      </c>
      <c r="K2496" s="19" t="n">
        <v>0</v>
      </c>
      <c r="L2496" s="17" t="s">
        <v>88</v>
      </c>
    </row>
    <row r="2497" s="11" customFormat="true" ht="10.95" hidden="false" customHeight="true" outlineLevel="0" collapsed="false">
      <c r="A2497" s="16" t="n">
        <v>45196</v>
      </c>
      <c r="B2497" s="17" t="s">
        <v>1071</v>
      </c>
      <c r="C2497" s="17" t="s">
        <v>788</v>
      </c>
      <c r="D2497" s="17" t="s">
        <v>19</v>
      </c>
      <c r="E2497" s="17" t="s">
        <v>1089</v>
      </c>
      <c r="F2497" s="17" t="s">
        <v>1133</v>
      </c>
      <c r="G2497" s="18" t="n">
        <v>0</v>
      </c>
      <c r="H2497" s="18" t="n">
        <v>139.48</v>
      </c>
      <c r="I2497" s="18" t="n">
        <f aca="false">((I2496 + G2497) - H2497)</f>
        <v>-41446</v>
      </c>
      <c r="J2497" s="18" t="n">
        <v>0</v>
      </c>
      <c r="K2497" s="19" t="n">
        <v>0</v>
      </c>
      <c r="L2497" s="17" t="s">
        <v>88</v>
      </c>
    </row>
    <row r="2498" s="11" customFormat="true" ht="10.95" hidden="false" customHeight="true" outlineLevel="0" collapsed="false">
      <c r="A2498" s="16" t="n">
        <v>45196</v>
      </c>
      <c r="B2498" s="17" t="s">
        <v>1071</v>
      </c>
      <c r="C2498" s="17" t="s">
        <v>788</v>
      </c>
      <c r="D2498" s="17" t="s">
        <v>19</v>
      </c>
      <c r="E2498" s="17" t="s">
        <v>1090</v>
      </c>
      <c r="F2498" s="17" t="s">
        <v>1134</v>
      </c>
      <c r="G2498" s="18" t="n">
        <v>0</v>
      </c>
      <c r="H2498" s="18" t="n">
        <v>1729.57</v>
      </c>
      <c r="I2498" s="18" t="n">
        <f aca="false">((I2497 + G2498) - H2498)</f>
        <v>-43175.57</v>
      </c>
      <c r="J2498" s="18" t="n">
        <v>0</v>
      </c>
      <c r="K2498" s="19" t="n">
        <v>0</v>
      </c>
      <c r="L2498" s="17" t="s">
        <v>88</v>
      </c>
    </row>
    <row r="2499" s="11" customFormat="true" ht="10.95" hidden="false" customHeight="true" outlineLevel="0" collapsed="false">
      <c r="A2499" s="16" t="n">
        <v>45196</v>
      </c>
      <c r="B2499" s="17" t="s">
        <v>1071</v>
      </c>
      <c r="C2499" s="17" t="s">
        <v>788</v>
      </c>
      <c r="D2499" s="17" t="s">
        <v>19</v>
      </c>
      <c r="E2499" s="17" t="s">
        <v>1087</v>
      </c>
      <c r="F2499" s="17" t="s">
        <v>1134</v>
      </c>
      <c r="G2499" s="18" t="n">
        <v>0</v>
      </c>
      <c r="H2499" s="18" t="n">
        <v>30.69</v>
      </c>
      <c r="I2499" s="18" t="n">
        <f aca="false">((I2498 + G2499) - H2499)</f>
        <v>-43206.26</v>
      </c>
      <c r="J2499" s="18" t="n">
        <v>0</v>
      </c>
      <c r="K2499" s="19" t="n">
        <v>0</v>
      </c>
      <c r="L2499" s="17" t="s">
        <v>88</v>
      </c>
    </row>
    <row r="2500" s="11" customFormat="true" ht="10.95" hidden="false" customHeight="true" outlineLevel="0" collapsed="false">
      <c r="A2500" s="16" t="n">
        <v>45196</v>
      </c>
      <c r="B2500" s="17" t="s">
        <v>1071</v>
      </c>
      <c r="C2500" s="17" t="s">
        <v>788</v>
      </c>
      <c r="D2500" s="17" t="s">
        <v>19</v>
      </c>
      <c r="E2500" s="17" t="s">
        <v>1092</v>
      </c>
      <c r="F2500" s="17" t="s">
        <v>1135</v>
      </c>
      <c r="G2500" s="18" t="n">
        <v>0</v>
      </c>
      <c r="H2500" s="18" t="n">
        <v>1398.54</v>
      </c>
      <c r="I2500" s="18" t="n">
        <f aca="false">((I2499 + G2500) - H2500)</f>
        <v>-44604.8</v>
      </c>
      <c r="J2500" s="18" t="n">
        <v>0</v>
      </c>
      <c r="K2500" s="19" t="n">
        <v>0</v>
      </c>
      <c r="L2500" s="17" t="s">
        <v>88</v>
      </c>
    </row>
    <row r="2501" s="11" customFormat="true" ht="42" hidden="false" customHeight="true" outlineLevel="0" collapsed="false">
      <c r="A2501" s="16" t="n">
        <v>45196</v>
      </c>
      <c r="B2501" s="17" t="s">
        <v>1071</v>
      </c>
      <c r="C2501" s="17" t="s">
        <v>788</v>
      </c>
      <c r="D2501" s="17" t="s">
        <v>19</v>
      </c>
      <c r="E2501" s="20" t="s">
        <v>1097</v>
      </c>
      <c r="F2501" s="17" t="s">
        <v>1135</v>
      </c>
      <c r="G2501" s="18" t="n">
        <v>0</v>
      </c>
      <c r="H2501" s="18" t="n">
        <v>65.09</v>
      </c>
      <c r="I2501" s="18" t="n">
        <f aca="false">((I2500 + G2501) - H2501)</f>
        <v>-44669.89</v>
      </c>
      <c r="J2501" s="18" t="n">
        <v>0</v>
      </c>
      <c r="K2501" s="19" t="n">
        <v>0</v>
      </c>
      <c r="L2501" s="17" t="s">
        <v>88</v>
      </c>
    </row>
    <row r="2502" s="11" customFormat="true" ht="10.95" hidden="false" customHeight="true" outlineLevel="0" collapsed="false">
      <c r="A2502" s="16" t="n">
        <v>45196</v>
      </c>
      <c r="B2502" s="17" t="s">
        <v>1071</v>
      </c>
      <c r="C2502" s="17" t="s">
        <v>788</v>
      </c>
      <c r="D2502" s="17" t="s">
        <v>19</v>
      </c>
      <c r="E2502" s="17" t="s">
        <v>1094</v>
      </c>
      <c r="F2502" s="17" t="s">
        <v>1135</v>
      </c>
      <c r="G2502" s="18" t="n">
        <v>0</v>
      </c>
      <c r="H2502" s="18" t="n">
        <v>92.99</v>
      </c>
      <c r="I2502" s="18" t="n">
        <f aca="false">((I2501 + G2502) - H2502)</f>
        <v>-44762.88</v>
      </c>
      <c r="J2502" s="18" t="n">
        <v>0</v>
      </c>
      <c r="K2502" s="19" t="n">
        <v>0</v>
      </c>
      <c r="L2502" s="17" t="s">
        <v>88</v>
      </c>
    </row>
    <row r="2503" s="11" customFormat="true" ht="10.95" hidden="false" customHeight="true" outlineLevel="0" collapsed="false">
      <c r="A2503" s="16" t="n">
        <v>45196</v>
      </c>
      <c r="B2503" s="17" t="s">
        <v>1071</v>
      </c>
      <c r="C2503" s="17" t="s">
        <v>788</v>
      </c>
      <c r="D2503" s="17" t="s">
        <v>19</v>
      </c>
      <c r="E2503" s="17" t="s">
        <v>1098</v>
      </c>
      <c r="F2503" s="17" t="s">
        <v>1135</v>
      </c>
      <c r="G2503" s="18" t="n">
        <v>0</v>
      </c>
      <c r="H2503" s="18" t="n">
        <v>278.96</v>
      </c>
      <c r="I2503" s="18" t="n">
        <f aca="false">((I2502 + G2503) - H2503)</f>
        <v>-45041.84</v>
      </c>
      <c r="J2503" s="18" t="n">
        <v>0</v>
      </c>
      <c r="K2503" s="19" t="n">
        <v>0</v>
      </c>
      <c r="L2503" s="17" t="s">
        <v>88</v>
      </c>
    </row>
    <row r="2504" s="11" customFormat="true" ht="10.95" hidden="false" customHeight="true" outlineLevel="0" collapsed="false">
      <c r="A2504" s="16" t="n">
        <v>45196</v>
      </c>
      <c r="B2504" s="17" t="s">
        <v>1071</v>
      </c>
      <c r="C2504" s="17" t="s">
        <v>788</v>
      </c>
      <c r="D2504" s="17" t="s">
        <v>19</v>
      </c>
      <c r="E2504" s="17" t="s">
        <v>1083</v>
      </c>
      <c r="F2504" s="17" t="s">
        <v>1136</v>
      </c>
      <c r="G2504" s="18" t="n">
        <v>0</v>
      </c>
      <c r="H2504" s="18" t="n">
        <v>133.82</v>
      </c>
      <c r="I2504" s="18" t="n">
        <f aca="false">((I2503 + G2504) - H2504)</f>
        <v>-45175.66</v>
      </c>
      <c r="J2504" s="18" t="n">
        <v>0</v>
      </c>
      <c r="K2504" s="19" t="n">
        <v>0</v>
      </c>
      <c r="L2504" s="17" t="s">
        <v>88</v>
      </c>
    </row>
    <row r="2505" s="11" customFormat="true" ht="10.95" hidden="false" customHeight="true" outlineLevel="0" collapsed="false">
      <c r="A2505" s="16" t="n">
        <v>45196</v>
      </c>
      <c r="B2505" s="17" t="s">
        <v>1071</v>
      </c>
      <c r="C2505" s="17" t="s">
        <v>788</v>
      </c>
      <c r="D2505" s="17" t="s">
        <v>19</v>
      </c>
      <c r="E2505" s="17" t="s">
        <v>1090</v>
      </c>
      <c r="F2505" s="17" t="s">
        <v>1137</v>
      </c>
      <c r="G2505" s="18" t="n">
        <v>0</v>
      </c>
      <c r="H2505" s="18" t="n">
        <v>698.85</v>
      </c>
      <c r="I2505" s="18" t="n">
        <f aca="false">((I2504 + G2505) - H2505)</f>
        <v>-45874.51</v>
      </c>
      <c r="J2505" s="18" t="n">
        <v>0</v>
      </c>
      <c r="K2505" s="19" t="n">
        <v>0</v>
      </c>
      <c r="L2505" s="17" t="s">
        <v>88</v>
      </c>
    </row>
    <row r="2506" s="11" customFormat="true" ht="10.95" hidden="false" customHeight="true" outlineLevel="0" collapsed="false">
      <c r="A2506" s="16" t="n">
        <v>45196</v>
      </c>
      <c r="B2506" s="17" t="s">
        <v>1071</v>
      </c>
      <c r="C2506" s="17" t="s">
        <v>788</v>
      </c>
      <c r="D2506" s="17" t="s">
        <v>19</v>
      </c>
      <c r="E2506" s="17" t="s">
        <v>1101</v>
      </c>
      <c r="F2506" s="17" t="s">
        <v>1137</v>
      </c>
      <c r="G2506" s="18" t="n">
        <v>0</v>
      </c>
      <c r="H2506" s="18" t="n">
        <v>97.11</v>
      </c>
      <c r="I2506" s="18" t="n">
        <f aca="false">((I2505 + G2506) - H2506)</f>
        <v>-45971.62</v>
      </c>
      <c r="J2506" s="18" t="n">
        <v>0</v>
      </c>
      <c r="K2506" s="19" t="n">
        <v>0</v>
      </c>
      <c r="L2506" s="17" t="s">
        <v>88</v>
      </c>
    </row>
    <row r="2507" s="11" customFormat="true" ht="10.95" hidden="false" customHeight="true" outlineLevel="0" collapsed="false">
      <c r="A2507" s="16" t="n">
        <v>45196</v>
      </c>
      <c r="B2507" s="17" t="s">
        <v>1071</v>
      </c>
      <c r="C2507" s="17" t="s">
        <v>788</v>
      </c>
      <c r="D2507" s="17" t="s">
        <v>19</v>
      </c>
      <c r="E2507" s="17" t="s">
        <v>1088</v>
      </c>
      <c r="F2507" s="17" t="s">
        <v>1137</v>
      </c>
      <c r="G2507" s="18" t="n">
        <v>0</v>
      </c>
      <c r="H2507" s="18" t="n">
        <v>122.67</v>
      </c>
      <c r="I2507" s="18" t="n">
        <f aca="false">((I2506 + G2507) - H2507)</f>
        <v>-46094.29</v>
      </c>
      <c r="J2507" s="18" t="n">
        <v>0</v>
      </c>
      <c r="K2507" s="19" t="n">
        <v>0</v>
      </c>
      <c r="L2507" s="17" t="s">
        <v>88</v>
      </c>
    </row>
    <row r="2508" s="11" customFormat="true" ht="10.95" hidden="false" customHeight="true" outlineLevel="0" collapsed="false">
      <c r="A2508" s="16" t="n">
        <v>45196</v>
      </c>
      <c r="B2508" s="17" t="s">
        <v>1071</v>
      </c>
      <c r="C2508" s="17" t="s">
        <v>788</v>
      </c>
      <c r="D2508" s="17" t="s">
        <v>19</v>
      </c>
      <c r="E2508" s="17" t="s">
        <v>1102</v>
      </c>
      <c r="F2508" s="17" t="s">
        <v>1137</v>
      </c>
      <c r="G2508" s="18" t="n">
        <v>0</v>
      </c>
      <c r="H2508" s="18" t="n">
        <v>102.23</v>
      </c>
      <c r="I2508" s="18" t="n">
        <f aca="false">((I2507 + G2508) - H2508)</f>
        <v>-46196.52</v>
      </c>
      <c r="J2508" s="18" t="n">
        <v>0</v>
      </c>
      <c r="K2508" s="19" t="n">
        <v>0</v>
      </c>
      <c r="L2508" s="17" t="s">
        <v>88</v>
      </c>
    </row>
    <row r="2509" s="11" customFormat="true" ht="10.95" hidden="false" customHeight="true" outlineLevel="0" collapsed="false">
      <c r="A2509" s="16" t="n">
        <v>45202</v>
      </c>
      <c r="B2509" s="17" t="s">
        <v>1071</v>
      </c>
      <c r="C2509" s="17" t="s">
        <v>788</v>
      </c>
      <c r="D2509" s="17" t="s">
        <v>19</v>
      </c>
      <c r="E2509" s="17" t="s">
        <v>1138</v>
      </c>
      <c r="F2509" s="17" t="s">
        <v>1139</v>
      </c>
      <c r="G2509" s="18" t="n">
        <v>0</v>
      </c>
      <c r="H2509" s="18" t="n">
        <v>65.5</v>
      </c>
      <c r="I2509" s="18" t="n">
        <f aca="false">((I2508 + G2509) - H2509)</f>
        <v>-46262.02</v>
      </c>
      <c r="J2509" s="18" t="n">
        <v>0</v>
      </c>
      <c r="K2509" s="19" t="n">
        <v>0</v>
      </c>
      <c r="L2509" s="17" t="s">
        <v>88</v>
      </c>
    </row>
    <row r="2510" s="11" customFormat="true" ht="10.95" hidden="false" customHeight="true" outlineLevel="0" collapsed="false">
      <c r="A2510" s="16" t="n">
        <v>45202</v>
      </c>
      <c r="B2510" s="17" t="s">
        <v>1071</v>
      </c>
      <c r="C2510" s="17" t="s">
        <v>788</v>
      </c>
      <c r="D2510" s="17" t="s">
        <v>19</v>
      </c>
      <c r="E2510" s="17" t="s">
        <v>1138</v>
      </c>
      <c r="F2510" s="17" t="s">
        <v>1139</v>
      </c>
      <c r="G2510" s="18" t="n">
        <v>0</v>
      </c>
      <c r="H2510" s="18" t="n">
        <v>65.5</v>
      </c>
      <c r="I2510" s="18" t="n">
        <f aca="false">((I2509 + G2510) - H2510)</f>
        <v>-46327.52</v>
      </c>
      <c r="J2510" s="18" t="n">
        <v>0</v>
      </c>
      <c r="K2510" s="19" t="n">
        <v>0</v>
      </c>
      <c r="L2510" s="17" t="s">
        <v>88</v>
      </c>
    </row>
    <row r="2511" s="11" customFormat="true" ht="10.95" hidden="false" customHeight="true" outlineLevel="0" collapsed="false">
      <c r="A2511" s="16" t="n">
        <v>45202</v>
      </c>
      <c r="B2511" s="17" t="s">
        <v>1071</v>
      </c>
      <c r="C2511" s="17" t="s">
        <v>788</v>
      </c>
      <c r="D2511" s="17" t="s">
        <v>19</v>
      </c>
      <c r="E2511" s="17" t="s">
        <v>1138</v>
      </c>
      <c r="F2511" s="17" t="s">
        <v>1139</v>
      </c>
      <c r="G2511" s="18" t="n">
        <v>0</v>
      </c>
      <c r="H2511" s="18" t="n">
        <v>374.29</v>
      </c>
      <c r="I2511" s="18" t="n">
        <f aca="false">((I2510 + G2511) - H2511)</f>
        <v>-46701.81</v>
      </c>
      <c r="J2511" s="18" t="n">
        <v>0</v>
      </c>
      <c r="K2511" s="19" t="n">
        <v>0</v>
      </c>
      <c r="L2511" s="17" t="s">
        <v>88</v>
      </c>
    </row>
    <row r="2512" s="11" customFormat="true" ht="10.95" hidden="false" customHeight="true" outlineLevel="0" collapsed="false">
      <c r="A2512" s="16" t="n">
        <v>45202</v>
      </c>
      <c r="B2512" s="17" t="s">
        <v>1071</v>
      </c>
      <c r="C2512" s="17" t="s">
        <v>788</v>
      </c>
      <c r="D2512" s="17" t="s">
        <v>19</v>
      </c>
      <c r="E2512" s="17" t="s">
        <v>1138</v>
      </c>
      <c r="F2512" s="17" t="s">
        <v>1139</v>
      </c>
      <c r="G2512" s="18" t="n">
        <v>0</v>
      </c>
      <c r="H2512" s="18" t="n">
        <v>65.5</v>
      </c>
      <c r="I2512" s="18" t="n">
        <f aca="false">((I2511 + G2512) - H2512)</f>
        <v>-46767.31</v>
      </c>
      <c r="J2512" s="18" t="n">
        <v>0</v>
      </c>
      <c r="K2512" s="19" t="n">
        <v>0</v>
      </c>
      <c r="L2512" s="17" t="s">
        <v>88</v>
      </c>
    </row>
    <row r="2513" s="11" customFormat="true" ht="10.95" hidden="false" customHeight="true" outlineLevel="0" collapsed="false">
      <c r="A2513" s="16" t="n">
        <v>45202</v>
      </c>
      <c r="B2513" s="17" t="s">
        <v>1071</v>
      </c>
      <c r="C2513" s="17" t="s">
        <v>788</v>
      </c>
      <c r="D2513" s="17" t="s">
        <v>19</v>
      </c>
      <c r="E2513" s="17" t="s">
        <v>1138</v>
      </c>
      <c r="F2513" s="17" t="s">
        <v>1139</v>
      </c>
      <c r="G2513" s="18" t="n">
        <v>0</v>
      </c>
      <c r="H2513" s="18" t="n">
        <v>374.29</v>
      </c>
      <c r="I2513" s="18" t="n">
        <f aca="false">((I2512 + G2513) - H2513)</f>
        <v>-47141.6</v>
      </c>
      <c r="J2513" s="18" t="n">
        <v>0</v>
      </c>
      <c r="K2513" s="19" t="n">
        <v>0</v>
      </c>
      <c r="L2513" s="17" t="s">
        <v>88</v>
      </c>
    </row>
    <row r="2514" s="11" customFormat="true" ht="10.95" hidden="false" customHeight="true" outlineLevel="0" collapsed="false">
      <c r="A2514" s="16" t="n">
        <v>45202</v>
      </c>
      <c r="B2514" s="17" t="s">
        <v>1071</v>
      </c>
      <c r="C2514" s="17" t="s">
        <v>788</v>
      </c>
      <c r="D2514" s="17" t="s">
        <v>19</v>
      </c>
      <c r="E2514" s="17" t="s">
        <v>1138</v>
      </c>
      <c r="F2514" s="17" t="s">
        <v>1139</v>
      </c>
      <c r="G2514" s="18" t="n">
        <v>0</v>
      </c>
      <c r="H2514" s="18" t="n">
        <v>65.5</v>
      </c>
      <c r="I2514" s="18" t="n">
        <f aca="false">((I2513 + G2514) - H2514)</f>
        <v>-47207.1</v>
      </c>
      <c r="J2514" s="18" t="n">
        <v>0</v>
      </c>
      <c r="K2514" s="19" t="n">
        <v>0</v>
      </c>
      <c r="L2514" s="17" t="s">
        <v>88</v>
      </c>
    </row>
    <row r="2515" s="11" customFormat="true" ht="10.95" hidden="false" customHeight="true" outlineLevel="0" collapsed="false">
      <c r="A2515" s="16" t="n">
        <v>45202</v>
      </c>
      <c r="B2515" s="17" t="s">
        <v>1071</v>
      </c>
      <c r="C2515" s="17" t="s">
        <v>788</v>
      </c>
      <c r="D2515" s="17" t="s">
        <v>19</v>
      </c>
      <c r="E2515" s="17" t="s">
        <v>1138</v>
      </c>
      <c r="F2515" s="17" t="s">
        <v>1139</v>
      </c>
      <c r="G2515" s="18" t="n">
        <v>0</v>
      </c>
      <c r="H2515" s="18" t="n">
        <v>374.29</v>
      </c>
      <c r="I2515" s="18" t="n">
        <f aca="false">((I2514 + G2515) - H2515)</f>
        <v>-47581.39</v>
      </c>
      <c r="J2515" s="18" t="n">
        <v>0</v>
      </c>
      <c r="K2515" s="19" t="n">
        <v>0</v>
      </c>
      <c r="L2515" s="17" t="s">
        <v>88</v>
      </c>
    </row>
    <row r="2516" s="11" customFormat="true" ht="10.95" hidden="false" customHeight="true" outlineLevel="0" collapsed="false">
      <c r="A2516" s="16" t="n">
        <v>45222</v>
      </c>
      <c r="B2516" s="17" t="s">
        <v>1071</v>
      </c>
      <c r="C2516" s="17" t="s">
        <v>788</v>
      </c>
      <c r="D2516" s="17" t="s">
        <v>19</v>
      </c>
      <c r="E2516" s="17" t="s">
        <v>1072</v>
      </c>
      <c r="F2516" s="17" t="s">
        <v>1140</v>
      </c>
      <c r="G2516" s="18" t="n">
        <v>0</v>
      </c>
      <c r="H2516" s="18" t="n">
        <v>664.29</v>
      </c>
      <c r="I2516" s="18" t="n">
        <f aca="false">((I2515 + G2516) - H2516)</f>
        <v>-48245.68</v>
      </c>
      <c r="J2516" s="18" t="n">
        <v>0</v>
      </c>
      <c r="K2516" s="19" t="n">
        <v>0</v>
      </c>
      <c r="L2516" s="17" t="s">
        <v>88</v>
      </c>
    </row>
    <row r="2517" s="11" customFormat="true" ht="10.95" hidden="false" customHeight="true" outlineLevel="0" collapsed="false">
      <c r="A2517" s="16" t="n">
        <v>45222</v>
      </c>
      <c r="B2517" s="17" t="s">
        <v>1071</v>
      </c>
      <c r="C2517" s="17" t="s">
        <v>788</v>
      </c>
      <c r="D2517" s="17" t="s">
        <v>19</v>
      </c>
      <c r="E2517" s="17" t="s">
        <v>1074</v>
      </c>
      <c r="F2517" s="17" t="s">
        <v>1140</v>
      </c>
      <c r="G2517" s="18" t="n">
        <v>0</v>
      </c>
      <c r="H2517" s="18" t="n">
        <v>101.49</v>
      </c>
      <c r="I2517" s="18" t="n">
        <f aca="false">((I2516 + G2517) - H2517)</f>
        <v>-48347.17</v>
      </c>
      <c r="J2517" s="18" t="n">
        <v>0</v>
      </c>
      <c r="K2517" s="19" t="n">
        <v>0</v>
      </c>
      <c r="L2517" s="17" t="s">
        <v>88</v>
      </c>
    </row>
    <row r="2518" s="11" customFormat="true" ht="10.95" hidden="false" customHeight="true" outlineLevel="0" collapsed="false">
      <c r="A2518" s="16" t="n">
        <v>45222</v>
      </c>
      <c r="B2518" s="17" t="s">
        <v>1071</v>
      </c>
      <c r="C2518" s="17" t="s">
        <v>788</v>
      </c>
      <c r="D2518" s="17" t="s">
        <v>19</v>
      </c>
      <c r="E2518" s="17" t="s">
        <v>1075</v>
      </c>
      <c r="F2518" s="17" t="s">
        <v>1141</v>
      </c>
      <c r="G2518" s="18" t="n">
        <v>0</v>
      </c>
      <c r="H2518" s="18" t="n">
        <v>3100.03</v>
      </c>
      <c r="I2518" s="18" t="n">
        <f aca="false">((I2517 + G2518) - H2518)</f>
        <v>-51447.2</v>
      </c>
      <c r="J2518" s="18" t="n">
        <v>0</v>
      </c>
      <c r="K2518" s="19" t="n">
        <v>0</v>
      </c>
      <c r="L2518" s="17" t="s">
        <v>88</v>
      </c>
    </row>
    <row r="2519" s="11" customFormat="true" ht="10.95" hidden="false" customHeight="true" outlineLevel="0" collapsed="false">
      <c r="A2519" s="16" t="n">
        <v>45222</v>
      </c>
      <c r="B2519" s="17" t="s">
        <v>1071</v>
      </c>
      <c r="C2519" s="17" t="s">
        <v>788</v>
      </c>
      <c r="D2519" s="17" t="s">
        <v>19</v>
      </c>
      <c r="E2519" s="17" t="s">
        <v>1077</v>
      </c>
      <c r="F2519" s="17" t="s">
        <v>1142</v>
      </c>
      <c r="G2519" s="18" t="n">
        <v>0</v>
      </c>
      <c r="H2519" s="18" t="n">
        <v>964.14</v>
      </c>
      <c r="I2519" s="18" t="n">
        <f aca="false">((I2518 + G2519) - H2519)</f>
        <v>-52411.34</v>
      </c>
      <c r="J2519" s="18" t="n">
        <v>0</v>
      </c>
      <c r="K2519" s="19" t="n">
        <v>0</v>
      </c>
      <c r="L2519" s="17" t="s">
        <v>88</v>
      </c>
    </row>
    <row r="2520" s="11" customFormat="true" ht="10.95" hidden="false" customHeight="true" outlineLevel="0" collapsed="false">
      <c r="A2520" s="16" t="n">
        <v>45222</v>
      </c>
      <c r="B2520" s="17" t="s">
        <v>1071</v>
      </c>
      <c r="C2520" s="17" t="s">
        <v>788</v>
      </c>
      <c r="D2520" s="17" t="s">
        <v>19</v>
      </c>
      <c r="E2520" s="17" t="s">
        <v>1079</v>
      </c>
      <c r="F2520" s="17" t="s">
        <v>1142</v>
      </c>
      <c r="G2520" s="18" t="n">
        <v>0</v>
      </c>
      <c r="H2520" s="18" t="n">
        <v>332.15</v>
      </c>
      <c r="I2520" s="18" t="n">
        <f aca="false">((I2519 + G2520) - H2520)</f>
        <v>-52743.49</v>
      </c>
      <c r="J2520" s="18" t="n">
        <v>0</v>
      </c>
      <c r="K2520" s="19" t="n">
        <v>0</v>
      </c>
      <c r="L2520" s="17" t="s">
        <v>88</v>
      </c>
    </row>
    <row r="2521" s="11" customFormat="true" ht="10.95" hidden="false" customHeight="true" outlineLevel="0" collapsed="false">
      <c r="A2521" s="16" t="n">
        <v>45222</v>
      </c>
      <c r="B2521" s="17" t="s">
        <v>1071</v>
      </c>
      <c r="C2521" s="17" t="s">
        <v>788</v>
      </c>
      <c r="D2521" s="17" t="s">
        <v>19</v>
      </c>
      <c r="E2521" s="17" t="s">
        <v>1080</v>
      </c>
      <c r="F2521" s="17" t="s">
        <v>1142</v>
      </c>
      <c r="G2521" s="18" t="n">
        <v>0</v>
      </c>
      <c r="H2521" s="18" t="n">
        <v>202.98</v>
      </c>
      <c r="I2521" s="18" t="n">
        <f aca="false">((I2520 + G2521) - H2521)</f>
        <v>-52946.47</v>
      </c>
      <c r="J2521" s="18" t="n">
        <v>0</v>
      </c>
      <c r="K2521" s="19" t="n">
        <v>0</v>
      </c>
      <c r="L2521" s="17" t="s">
        <v>88</v>
      </c>
    </row>
    <row r="2522" s="11" customFormat="true" ht="10.95" hidden="false" customHeight="true" outlineLevel="0" collapsed="false">
      <c r="A2522" s="16" t="n">
        <v>45222</v>
      </c>
      <c r="B2522" s="17" t="s">
        <v>1071</v>
      </c>
      <c r="C2522" s="17" t="s">
        <v>788</v>
      </c>
      <c r="D2522" s="17" t="s">
        <v>19</v>
      </c>
      <c r="E2522" s="17" t="s">
        <v>1143</v>
      </c>
      <c r="F2522" s="17" t="s">
        <v>1142</v>
      </c>
      <c r="G2522" s="18" t="n">
        <v>0</v>
      </c>
      <c r="H2522" s="18" t="n">
        <v>202.98</v>
      </c>
      <c r="I2522" s="18" t="n">
        <f aca="false">((I2521 + G2522) - H2522)</f>
        <v>-53149.45</v>
      </c>
      <c r="J2522" s="18" t="n">
        <v>0</v>
      </c>
      <c r="K2522" s="19" t="n">
        <v>0</v>
      </c>
      <c r="L2522" s="17" t="s">
        <v>88</v>
      </c>
    </row>
    <row r="2523" s="11" customFormat="true" ht="10.95" hidden="false" customHeight="true" outlineLevel="0" collapsed="false">
      <c r="A2523" s="16" t="n">
        <v>45222</v>
      </c>
      <c r="B2523" s="17" t="s">
        <v>1071</v>
      </c>
      <c r="C2523" s="17" t="s">
        <v>788</v>
      </c>
      <c r="D2523" s="17" t="s">
        <v>19</v>
      </c>
      <c r="E2523" s="17" t="s">
        <v>1081</v>
      </c>
      <c r="F2523" s="17" t="s">
        <v>1144</v>
      </c>
      <c r="G2523" s="18" t="n">
        <v>0</v>
      </c>
      <c r="H2523" s="18" t="n">
        <v>180</v>
      </c>
      <c r="I2523" s="18" t="n">
        <f aca="false">((I2522 + G2523) - H2523)</f>
        <v>-53329.45</v>
      </c>
      <c r="J2523" s="18" t="n">
        <v>0</v>
      </c>
      <c r="K2523" s="19" t="n">
        <v>0</v>
      </c>
      <c r="L2523" s="17" t="s">
        <v>88</v>
      </c>
    </row>
    <row r="2524" s="11" customFormat="true" ht="10.95" hidden="false" customHeight="true" outlineLevel="0" collapsed="false">
      <c r="A2524" s="16" t="n">
        <v>45222</v>
      </c>
      <c r="B2524" s="17" t="s">
        <v>1071</v>
      </c>
      <c r="C2524" s="17" t="s">
        <v>788</v>
      </c>
      <c r="D2524" s="17" t="s">
        <v>19</v>
      </c>
      <c r="E2524" s="17" t="s">
        <v>1083</v>
      </c>
      <c r="F2524" s="17" t="s">
        <v>1145</v>
      </c>
      <c r="G2524" s="18" t="n">
        <v>0</v>
      </c>
      <c r="H2524" s="18" t="n">
        <v>265.6</v>
      </c>
      <c r="I2524" s="18" t="n">
        <f aca="false">((I2523 + G2524) - H2524)</f>
        <v>-53595.05</v>
      </c>
      <c r="J2524" s="18" t="n">
        <v>0</v>
      </c>
      <c r="K2524" s="19" t="n">
        <v>0</v>
      </c>
      <c r="L2524" s="17" t="s">
        <v>88</v>
      </c>
    </row>
    <row r="2525" s="11" customFormat="true" ht="10.95" hidden="false" customHeight="true" outlineLevel="0" collapsed="false">
      <c r="A2525" s="16" t="n">
        <v>45222</v>
      </c>
      <c r="B2525" s="17" t="s">
        <v>1071</v>
      </c>
      <c r="C2525" s="17" t="s">
        <v>788</v>
      </c>
      <c r="D2525" s="17" t="s">
        <v>19</v>
      </c>
      <c r="E2525" s="17" t="s">
        <v>1085</v>
      </c>
      <c r="F2525" s="17" t="s">
        <v>1146</v>
      </c>
      <c r="G2525" s="18" t="n">
        <v>0</v>
      </c>
      <c r="H2525" s="18" t="n">
        <v>583.32</v>
      </c>
      <c r="I2525" s="18" t="n">
        <f aca="false">((I2524 + G2525) - H2525)</f>
        <v>-54178.37</v>
      </c>
      <c r="J2525" s="18" t="n">
        <v>0</v>
      </c>
      <c r="K2525" s="19" t="n">
        <v>0</v>
      </c>
      <c r="L2525" s="17" t="s">
        <v>88</v>
      </c>
    </row>
    <row r="2526" s="11" customFormat="true" ht="10.95" hidden="false" customHeight="true" outlineLevel="0" collapsed="false">
      <c r="A2526" s="16" t="n">
        <v>45222</v>
      </c>
      <c r="B2526" s="17" t="s">
        <v>1071</v>
      </c>
      <c r="C2526" s="17" t="s">
        <v>788</v>
      </c>
      <c r="D2526" s="17" t="s">
        <v>19</v>
      </c>
      <c r="E2526" s="17" t="s">
        <v>1087</v>
      </c>
      <c r="F2526" s="17" t="s">
        <v>1146</v>
      </c>
      <c r="G2526" s="18" t="n">
        <v>0</v>
      </c>
      <c r="H2526" s="18" t="n">
        <v>71.01</v>
      </c>
      <c r="I2526" s="18" t="n">
        <f aca="false">((I2525 + G2526) - H2526)</f>
        <v>-54249.38</v>
      </c>
      <c r="J2526" s="18" t="n">
        <v>0</v>
      </c>
      <c r="K2526" s="19" t="n">
        <v>0</v>
      </c>
      <c r="L2526" s="17" t="s">
        <v>88</v>
      </c>
    </row>
    <row r="2527" s="11" customFormat="true" ht="10.95" hidden="false" customHeight="true" outlineLevel="0" collapsed="false">
      <c r="A2527" s="16" t="n">
        <v>45222</v>
      </c>
      <c r="B2527" s="17" t="s">
        <v>1071</v>
      </c>
      <c r="C2527" s="17" t="s">
        <v>788</v>
      </c>
      <c r="D2527" s="17" t="s">
        <v>19</v>
      </c>
      <c r="E2527" s="17" t="s">
        <v>1088</v>
      </c>
      <c r="F2527" s="17" t="s">
        <v>1146</v>
      </c>
      <c r="G2527" s="18" t="n">
        <v>0</v>
      </c>
      <c r="H2527" s="18" t="n">
        <v>10.14</v>
      </c>
      <c r="I2527" s="18" t="n">
        <f aca="false">((I2526 + G2527) - H2527)</f>
        <v>-54259.52</v>
      </c>
      <c r="J2527" s="18" t="n">
        <v>0</v>
      </c>
      <c r="K2527" s="19" t="n">
        <v>0</v>
      </c>
      <c r="L2527" s="17" t="s">
        <v>88</v>
      </c>
    </row>
    <row r="2528" s="11" customFormat="true" ht="10.95" hidden="false" customHeight="true" outlineLevel="0" collapsed="false">
      <c r="A2528" s="16" t="n">
        <v>45222</v>
      </c>
      <c r="B2528" s="17" t="s">
        <v>1071</v>
      </c>
      <c r="C2528" s="17" t="s">
        <v>788</v>
      </c>
      <c r="D2528" s="17" t="s">
        <v>19</v>
      </c>
      <c r="E2528" s="17" t="s">
        <v>1089</v>
      </c>
      <c r="F2528" s="17" t="s">
        <v>1146</v>
      </c>
      <c r="G2528" s="18" t="n">
        <v>0</v>
      </c>
      <c r="H2528" s="18" t="n">
        <v>138.33</v>
      </c>
      <c r="I2528" s="18" t="n">
        <f aca="false">((I2527 + G2528) - H2528)</f>
        <v>-54397.85</v>
      </c>
      <c r="J2528" s="18" t="n">
        <v>0</v>
      </c>
      <c r="K2528" s="19" t="n">
        <v>0</v>
      </c>
      <c r="L2528" s="17" t="s">
        <v>88</v>
      </c>
    </row>
    <row r="2529" s="11" customFormat="true" ht="10.95" hidden="false" customHeight="true" outlineLevel="0" collapsed="false">
      <c r="A2529" s="16" t="n">
        <v>45222</v>
      </c>
      <c r="B2529" s="17" t="s">
        <v>1071</v>
      </c>
      <c r="C2529" s="17" t="s">
        <v>788</v>
      </c>
      <c r="D2529" s="17" t="s">
        <v>19</v>
      </c>
      <c r="E2529" s="17" t="s">
        <v>1090</v>
      </c>
      <c r="F2529" s="17" t="s">
        <v>1147</v>
      </c>
      <c r="G2529" s="18" t="n">
        <v>0</v>
      </c>
      <c r="H2529" s="18" t="n">
        <v>1715.35</v>
      </c>
      <c r="I2529" s="18" t="n">
        <f aca="false">((I2528 + G2529) - H2529)</f>
        <v>-56113.2</v>
      </c>
      <c r="J2529" s="18" t="n">
        <v>0</v>
      </c>
      <c r="K2529" s="19" t="n">
        <v>0</v>
      </c>
      <c r="L2529" s="17" t="s">
        <v>88</v>
      </c>
    </row>
    <row r="2530" s="11" customFormat="true" ht="10.95" hidden="false" customHeight="true" outlineLevel="0" collapsed="false">
      <c r="A2530" s="16" t="n">
        <v>45222</v>
      </c>
      <c r="B2530" s="17" t="s">
        <v>1071</v>
      </c>
      <c r="C2530" s="17" t="s">
        <v>788</v>
      </c>
      <c r="D2530" s="17" t="s">
        <v>19</v>
      </c>
      <c r="E2530" s="17" t="s">
        <v>1087</v>
      </c>
      <c r="F2530" s="17" t="s">
        <v>1147</v>
      </c>
      <c r="G2530" s="18" t="n">
        <v>0</v>
      </c>
      <c r="H2530" s="18" t="n">
        <v>30.43</v>
      </c>
      <c r="I2530" s="18" t="n">
        <f aca="false">((I2529 + G2530) - H2530)</f>
        <v>-56143.63</v>
      </c>
      <c r="J2530" s="18" t="n">
        <v>0</v>
      </c>
      <c r="K2530" s="19" t="n">
        <v>0</v>
      </c>
      <c r="L2530" s="17" t="s">
        <v>88</v>
      </c>
    </row>
    <row r="2531" s="11" customFormat="true" ht="10.95" hidden="false" customHeight="true" outlineLevel="0" collapsed="false">
      <c r="A2531" s="16" t="n">
        <v>45222</v>
      </c>
      <c r="B2531" s="17" t="s">
        <v>1071</v>
      </c>
      <c r="C2531" s="17" t="s">
        <v>788</v>
      </c>
      <c r="D2531" s="17" t="s">
        <v>19</v>
      </c>
      <c r="E2531" s="17" t="s">
        <v>1092</v>
      </c>
      <c r="F2531" s="17" t="s">
        <v>1148</v>
      </c>
      <c r="G2531" s="18" t="n">
        <v>0</v>
      </c>
      <c r="H2531" s="18" t="n">
        <v>848.45</v>
      </c>
      <c r="I2531" s="18" t="n">
        <f aca="false">((I2530 + G2531) - H2531)</f>
        <v>-56992.08</v>
      </c>
      <c r="J2531" s="18" t="n">
        <v>0</v>
      </c>
      <c r="K2531" s="19" t="n">
        <v>0</v>
      </c>
      <c r="L2531" s="17" t="s">
        <v>88</v>
      </c>
    </row>
    <row r="2532" s="11" customFormat="true" ht="10.95" hidden="false" customHeight="true" outlineLevel="0" collapsed="false">
      <c r="A2532" s="16" t="n">
        <v>45222</v>
      </c>
      <c r="B2532" s="17" t="s">
        <v>1071</v>
      </c>
      <c r="C2532" s="17" t="s">
        <v>788</v>
      </c>
      <c r="D2532" s="17" t="s">
        <v>19</v>
      </c>
      <c r="E2532" s="17" t="s">
        <v>1094</v>
      </c>
      <c r="F2532" s="17" t="s">
        <v>1148</v>
      </c>
      <c r="G2532" s="18" t="n">
        <v>0</v>
      </c>
      <c r="H2532" s="18" t="n">
        <v>92.22</v>
      </c>
      <c r="I2532" s="18" t="n">
        <f aca="false">((I2531 + G2532) - H2532)</f>
        <v>-57084.3</v>
      </c>
      <c r="J2532" s="18" t="n">
        <v>0</v>
      </c>
      <c r="K2532" s="19" t="n">
        <v>0</v>
      </c>
      <c r="L2532" s="17" t="s">
        <v>88</v>
      </c>
    </row>
    <row r="2533" s="11" customFormat="true" ht="10.95" hidden="false" customHeight="true" outlineLevel="0" collapsed="false">
      <c r="A2533" s="16" t="n">
        <v>45222</v>
      </c>
      <c r="B2533" s="17" t="s">
        <v>1071</v>
      </c>
      <c r="C2533" s="17" t="s">
        <v>788</v>
      </c>
      <c r="D2533" s="17" t="s">
        <v>19</v>
      </c>
      <c r="E2533" s="17" t="s">
        <v>1087</v>
      </c>
      <c r="F2533" s="17" t="s">
        <v>1148</v>
      </c>
      <c r="G2533" s="18" t="n">
        <v>0</v>
      </c>
      <c r="H2533" s="18" t="n">
        <v>35.51</v>
      </c>
      <c r="I2533" s="18" t="n">
        <f aca="false">((I2532 + G2533) - H2533)</f>
        <v>-57119.81</v>
      </c>
      <c r="J2533" s="18" t="n">
        <v>0</v>
      </c>
      <c r="K2533" s="19" t="n">
        <v>0</v>
      </c>
      <c r="L2533" s="17" t="s">
        <v>88</v>
      </c>
    </row>
    <row r="2534" s="11" customFormat="true" ht="10.95" hidden="false" customHeight="true" outlineLevel="0" collapsed="false">
      <c r="A2534" s="16" t="n">
        <v>45222</v>
      </c>
      <c r="B2534" s="17" t="s">
        <v>1071</v>
      </c>
      <c r="C2534" s="17" t="s">
        <v>788</v>
      </c>
      <c r="D2534" s="17" t="s">
        <v>19</v>
      </c>
      <c r="E2534" s="17" t="s">
        <v>1095</v>
      </c>
      <c r="F2534" s="17" t="s">
        <v>1148</v>
      </c>
      <c r="G2534" s="18" t="n">
        <v>0</v>
      </c>
      <c r="H2534" s="18" t="n">
        <v>27.67</v>
      </c>
      <c r="I2534" s="18" t="n">
        <f aca="false">((I2533 + G2534) - H2534)</f>
        <v>-57147.48</v>
      </c>
      <c r="J2534" s="18" t="n">
        <v>0</v>
      </c>
      <c r="K2534" s="19" t="n">
        <v>0</v>
      </c>
      <c r="L2534" s="17" t="s">
        <v>88</v>
      </c>
    </row>
    <row r="2535" s="11" customFormat="true" ht="10.95" hidden="false" customHeight="true" outlineLevel="0" collapsed="false">
      <c r="A2535" s="16" t="n">
        <v>45222</v>
      </c>
      <c r="B2535" s="17" t="s">
        <v>1071</v>
      </c>
      <c r="C2535" s="17" t="s">
        <v>788</v>
      </c>
      <c r="D2535" s="17" t="s">
        <v>19</v>
      </c>
      <c r="E2535" s="17" t="s">
        <v>1092</v>
      </c>
      <c r="F2535" s="17" t="s">
        <v>1149</v>
      </c>
      <c r="G2535" s="18" t="n">
        <v>0</v>
      </c>
      <c r="H2535" s="18" t="n">
        <v>1473.72</v>
      </c>
      <c r="I2535" s="18" t="n">
        <f aca="false">((I2534 + G2535) - H2535)</f>
        <v>-58621.2</v>
      </c>
      <c r="J2535" s="18" t="n">
        <v>0</v>
      </c>
      <c r="K2535" s="19" t="n">
        <v>0</v>
      </c>
      <c r="L2535" s="17" t="s">
        <v>88</v>
      </c>
    </row>
    <row r="2536" s="11" customFormat="true" ht="42" hidden="false" customHeight="true" outlineLevel="0" collapsed="false">
      <c r="A2536" s="16" t="n">
        <v>45222</v>
      </c>
      <c r="B2536" s="17" t="s">
        <v>1071</v>
      </c>
      <c r="C2536" s="17" t="s">
        <v>788</v>
      </c>
      <c r="D2536" s="17" t="s">
        <v>19</v>
      </c>
      <c r="E2536" s="20" t="s">
        <v>1097</v>
      </c>
      <c r="F2536" s="17" t="s">
        <v>1149</v>
      </c>
      <c r="G2536" s="18" t="n">
        <v>0</v>
      </c>
      <c r="H2536" s="18" t="n">
        <v>64.56</v>
      </c>
      <c r="I2536" s="18" t="n">
        <f aca="false">((I2535 + G2536) - H2536)</f>
        <v>-58685.76</v>
      </c>
      <c r="J2536" s="18" t="n">
        <v>0</v>
      </c>
      <c r="K2536" s="19" t="n">
        <v>0</v>
      </c>
      <c r="L2536" s="17" t="s">
        <v>88</v>
      </c>
    </row>
    <row r="2537" s="11" customFormat="true" ht="10.95" hidden="false" customHeight="true" outlineLevel="0" collapsed="false">
      <c r="A2537" s="16" t="n">
        <v>45222</v>
      </c>
      <c r="B2537" s="17" t="s">
        <v>1071</v>
      </c>
      <c r="C2537" s="17" t="s">
        <v>788</v>
      </c>
      <c r="D2537" s="17" t="s">
        <v>19</v>
      </c>
      <c r="E2537" s="17" t="s">
        <v>1094</v>
      </c>
      <c r="F2537" s="17" t="s">
        <v>1149</v>
      </c>
      <c r="G2537" s="18" t="n">
        <v>0</v>
      </c>
      <c r="H2537" s="18" t="n">
        <v>92.22</v>
      </c>
      <c r="I2537" s="18" t="n">
        <f aca="false">((I2536 + G2537) - H2537)</f>
        <v>-58777.98</v>
      </c>
      <c r="J2537" s="18" t="n">
        <v>0</v>
      </c>
      <c r="K2537" s="19" t="n">
        <v>0</v>
      </c>
      <c r="L2537" s="17" t="s">
        <v>88</v>
      </c>
    </row>
    <row r="2538" s="11" customFormat="true" ht="10.95" hidden="false" customHeight="true" outlineLevel="0" collapsed="false">
      <c r="A2538" s="16" t="n">
        <v>45222</v>
      </c>
      <c r="B2538" s="17" t="s">
        <v>1071</v>
      </c>
      <c r="C2538" s="17" t="s">
        <v>788</v>
      </c>
      <c r="D2538" s="17" t="s">
        <v>19</v>
      </c>
      <c r="E2538" s="17" t="s">
        <v>1098</v>
      </c>
      <c r="F2538" s="17" t="s">
        <v>1149</v>
      </c>
      <c r="G2538" s="18" t="n">
        <v>0</v>
      </c>
      <c r="H2538" s="18" t="n">
        <v>276.67</v>
      </c>
      <c r="I2538" s="18" t="n">
        <f aca="false">((I2537 + G2538) - H2538)</f>
        <v>-59054.65</v>
      </c>
      <c r="J2538" s="18" t="n">
        <v>0</v>
      </c>
      <c r="K2538" s="19" t="n">
        <v>0</v>
      </c>
      <c r="L2538" s="17" t="s">
        <v>88</v>
      </c>
    </row>
    <row r="2539" s="11" customFormat="true" ht="10.95" hidden="false" customHeight="true" outlineLevel="0" collapsed="false">
      <c r="A2539" s="16" t="n">
        <v>45222</v>
      </c>
      <c r="B2539" s="17" t="s">
        <v>1071</v>
      </c>
      <c r="C2539" s="17" t="s">
        <v>788</v>
      </c>
      <c r="D2539" s="17" t="s">
        <v>19</v>
      </c>
      <c r="E2539" s="17" t="s">
        <v>1092</v>
      </c>
      <c r="F2539" s="17" t="s">
        <v>1149</v>
      </c>
      <c r="G2539" s="18" t="n">
        <v>0</v>
      </c>
      <c r="H2539" s="18" t="n">
        <v>260.07</v>
      </c>
      <c r="I2539" s="18" t="n">
        <f aca="false">((I2538 + G2539) - H2539)</f>
        <v>-59314.72</v>
      </c>
      <c r="J2539" s="18" t="n">
        <v>0</v>
      </c>
      <c r="K2539" s="19" t="n">
        <v>0</v>
      </c>
      <c r="L2539" s="17" t="s">
        <v>88</v>
      </c>
    </row>
    <row r="2540" s="11" customFormat="true" ht="10.95" hidden="false" customHeight="true" outlineLevel="0" collapsed="false">
      <c r="A2540" s="16" t="n">
        <v>45222</v>
      </c>
      <c r="B2540" s="17" t="s">
        <v>1071</v>
      </c>
      <c r="C2540" s="17" t="s">
        <v>788</v>
      </c>
      <c r="D2540" s="17" t="s">
        <v>19</v>
      </c>
      <c r="E2540" s="17" t="s">
        <v>1083</v>
      </c>
      <c r="F2540" s="17" t="s">
        <v>1150</v>
      </c>
      <c r="G2540" s="18" t="n">
        <v>0</v>
      </c>
      <c r="H2540" s="18" t="n">
        <v>132.8</v>
      </c>
      <c r="I2540" s="18" t="n">
        <f aca="false">((I2539 + G2540) - H2540)</f>
        <v>-59447.52</v>
      </c>
      <c r="J2540" s="18" t="n">
        <v>0</v>
      </c>
      <c r="K2540" s="19" t="n">
        <v>0</v>
      </c>
      <c r="L2540" s="17" t="s">
        <v>88</v>
      </c>
    </row>
    <row r="2541" s="11" customFormat="true" ht="10.95" hidden="false" customHeight="true" outlineLevel="0" collapsed="false">
      <c r="A2541" s="16" t="n">
        <v>45222</v>
      </c>
      <c r="B2541" s="17" t="s">
        <v>1071</v>
      </c>
      <c r="C2541" s="17" t="s">
        <v>788</v>
      </c>
      <c r="D2541" s="17" t="s">
        <v>19</v>
      </c>
      <c r="E2541" s="17" t="s">
        <v>1090</v>
      </c>
      <c r="F2541" s="17" t="s">
        <v>1151</v>
      </c>
      <c r="G2541" s="18" t="n">
        <v>0</v>
      </c>
      <c r="H2541" s="18" t="n">
        <v>693.52</v>
      </c>
      <c r="I2541" s="18" t="n">
        <f aca="false">((I2540 + G2541) - H2541)</f>
        <v>-60141.04</v>
      </c>
      <c r="J2541" s="18" t="n">
        <v>0</v>
      </c>
      <c r="K2541" s="19" t="n">
        <v>0</v>
      </c>
      <c r="L2541" s="17" t="s">
        <v>88</v>
      </c>
    </row>
    <row r="2542" s="11" customFormat="true" ht="10.95" hidden="false" customHeight="true" outlineLevel="0" collapsed="false">
      <c r="A2542" s="16" t="n">
        <v>45222</v>
      </c>
      <c r="B2542" s="17" t="s">
        <v>1071</v>
      </c>
      <c r="C2542" s="17" t="s">
        <v>788</v>
      </c>
      <c r="D2542" s="17" t="s">
        <v>19</v>
      </c>
      <c r="E2542" s="17" t="s">
        <v>1101</v>
      </c>
      <c r="F2542" s="17" t="s">
        <v>1151</v>
      </c>
      <c r="G2542" s="18" t="n">
        <v>0</v>
      </c>
      <c r="H2542" s="18" t="n">
        <v>96.37</v>
      </c>
      <c r="I2542" s="18" t="n">
        <f aca="false">((I2541 + G2542) - H2542)</f>
        <v>-60237.41</v>
      </c>
      <c r="J2542" s="18" t="n">
        <v>0</v>
      </c>
      <c r="K2542" s="19" t="n">
        <v>0</v>
      </c>
      <c r="L2542" s="17" t="s">
        <v>88</v>
      </c>
    </row>
    <row r="2543" s="11" customFormat="true" ht="10.95" hidden="false" customHeight="true" outlineLevel="0" collapsed="false">
      <c r="A2543" s="16" t="n">
        <v>45222</v>
      </c>
      <c r="B2543" s="17" t="s">
        <v>1071</v>
      </c>
      <c r="C2543" s="17" t="s">
        <v>788</v>
      </c>
      <c r="D2543" s="17" t="s">
        <v>19</v>
      </c>
      <c r="E2543" s="17" t="s">
        <v>1088</v>
      </c>
      <c r="F2543" s="17" t="s">
        <v>1151</v>
      </c>
      <c r="G2543" s="18" t="n">
        <v>0</v>
      </c>
      <c r="H2543" s="18" t="n">
        <v>121.73</v>
      </c>
      <c r="I2543" s="18" t="n">
        <f aca="false">((I2542 + G2543) - H2543)</f>
        <v>-60359.14</v>
      </c>
      <c r="J2543" s="18" t="n">
        <v>0</v>
      </c>
      <c r="K2543" s="19" t="n">
        <v>0</v>
      </c>
      <c r="L2543" s="17" t="s">
        <v>88</v>
      </c>
    </row>
    <row r="2544" s="11" customFormat="true" ht="10.95" hidden="false" customHeight="true" outlineLevel="0" collapsed="false">
      <c r="A2544" s="16" t="n">
        <v>45222</v>
      </c>
      <c r="B2544" s="17" t="s">
        <v>1071</v>
      </c>
      <c r="C2544" s="17" t="s">
        <v>788</v>
      </c>
      <c r="D2544" s="17" t="s">
        <v>19</v>
      </c>
      <c r="E2544" s="17" t="s">
        <v>1102</v>
      </c>
      <c r="F2544" s="17" t="s">
        <v>1151</v>
      </c>
      <c r="G2544" s="18" t="n">
        <v>0</v>
      </c>
      <c r="H2544" s="18" t="n">
        <v>101.45</v>
      </c>
      <c r="I2544" s="18" t="n">
        <f aca="false">((I2543 + G2544) - H2544)</f>
        <v>-60460.59</v>
      </c>
      <c r="J2544" s="18" t="n">
        <v>0</v>
      </c>
      <c r="K2544" s="19" t="n">
        <v>0</v>
      </c>
      <c r="L2544" s="17" t="s">
        <v>88</v>
      </c>
    </row>
    <row r="2545" s="11" customFormat="true" ht="10.95" hidden="false" customHeight="true" outlineLevel="0" collapsed="false">
      <c r="A2545" s="16" t="n">
        <v>45222</v>
      </c>
      <c r="B2545" s="17" t="s">
        <v>1071</v>
      </c>
      <c r="C2545" s="17" t="s">
        <v>788</v>
      </c>
      <c r="D2545" s="17" t="s">
        <v>19</v>
      </c>
      <c r="E2545" s="17" t="s">
        <v>1152</v>
      </c>
      <c r="F2545" s="17" t="s">
        <v>1153</v>
      </c>
      <c r="G2545" s="18" t="n">
        <v>0</v>
      </c>
      <c r="H2545" s="18" t="n">
        <v>152.18</v>
      </c>
      <c r="I2545" s="18" t="n">
        <f aca="false">((I2544 + G2545) - H2545)</f>
        <v>-60612.77</v>
      </c>
      <c r="J2545" s="18" t="n">
        <v>0</v>
      </c>
      <c r="K2545" s="19" t="n">
        <v>0</v>
      </c>
      <c r="L2545" s="17" t="s">
        <v>88</v>
      </c>
    </row>
    <row r="2546" s="11" customFormat="true" ht="10.95" hidden="false" customHeight="true" outlineLevel="0" collapsed="false">
      <c r="A2546" s="16" t="n">
        <v>45222</v>
      </c>
      <c r="B2546" s="17" t="s">
        <v>1071</v>
      </c>
      <c r="C2546" s="17" t="s">
        <v>788</v>
      </c>
      <c r="D2546" s="17" t="s">
        <v>19</v>
      </c>
      <c r="E2546" s="17" t="s">
        <v>1111</v>
      </c>
      <c r="F2546" s="17" t="s">
        <v>1153</v>
      </c>
      <c r="G2546" s="18" t="n">
        <v>0</v>
      </c>
      <c r="H2546" s="18" t="n">
        <v>1162.08</v>
      </c>
      <c r="I2546" s="18" t="n">
        <f aca="false">((I2545 + G2546) - H2546)</f>
        <v>-61774.85</v>
      </c>
      <c r="J2546" s="18" t="n">
        <v>0</v>
      </c>
      <c r="K2546" s="19" t="n">
        <v>0</v>
      </c>
      <c r="L2546" s="17" t="s">
        <v>88</v>
      </c>
    </row>
    <row r="2547" s="11" customFormat="true" ht="10.95" hidden="false" customHeight="true" outlineLevel="0" collapsed="false">
      <c r="A2547" s="16" t="n">
        <v>45222</v>
      </c>
      <c r="B2547" s="17" t="s">
        <v>1071</v>
      </c>
      <c r="C2547" s="17" t="s">
        <v>788</v>
      </c>
      <c r="D2547" s="17" t="s">
        <v>19</v>
      </c>
      <c r="E2547" s="17" t="s">
        <v>1152</v>
      </c>
      <c r="F2547" s="17" t="s">
        <v>1153</v>
      </c>
      <c r="G2547" s="18" t="n">
        <v>0</v>
      </c>
      <c r="H2547" s="18" t="n">
        <v>152.18</v>
      </c>
      <c r="I2547" s="18" t="n">
        <f aca="false">((I2546 + G2547) - H2547)</f>
        <v>-61927.03</v>
      </c>
      <c r="J2547" s="18" t="n">
        <v>0</v>
      </c>
      <c r="K2547" s="19" t="n">
        <v>0</v>
      </c>
      <c r="L2547" s="17" t="s">
        <v>88</v>
      </c>
    </row>
    <row r="2548" s="11" customFormat="true" ht="10.95" hidden="false" customHeight="true" outlineLevel="0" collapsed="false">
      <c r="A2548" s="16" t="n">
        <v>45222</v>
      </c>
      <c r="B2548" s="17" t="s">
        <v>1071</v>
      </c>
      <c r="C2548" s="17" t="s">
        <v>788</v>
      </c>
      <c r="D2548" s="17" t="s">
        <v>19</v>
      </c>
      <c r="E2548" s="17" t="s">
        <v>1111</v>
      </c>
      <c r="F2548" s="17" t="s">
        <v>1153</v>
      </c>
      <c r="G2548" s="18" t="n">
        <v>0</v>
      </c>
      <c r="H2548" s="18" t="n">
        <v>1162.08</v>
      </c>
      <c r="I2548" s="18" t="n">
        <f aca="false">((I2547 + G2548) - H2548)</f>
        <v>-63089.11</v>
      </c>
      <c r="J2548" s="18" t="n">
        <v>0</v>
      </c>
      <c r="K2548" s="19" t="n">
        <v>0</v>
      </c>
      <c r="L2548" s="17" t="s">
        <v>88</v>
      </c>
    </row>
    <row r="2549" s="11" customFormat="true" ht="10.95" hidden="false" customHeight="true" outlineLevel="0" collapsed="false">
      <c r="A2549" s="16" t="n">
        <v>45222</v>
      </c>
      <c r="B2549" s="17" t="s">
        <v>1071</v>
      </c>
      <c r="C2549" s="17" t="s">
        <v>788</v>
      </c>
      <c r="D2549" s="17" t="s">
        <v>19</v>
      </c>
      <c r="E2549" s="17" t="s">
        <v>1152</v>
      </c>
      <c r="F2549" s="17" t="s">
        <v>1153</v>
      </c>
      <c r="G2549" s="18" t="n">
        <v>0</v>
      </c>
      <c r="H2549" s="18" t="n">
        <v>152.18</v>
      </c>
      <c r="I2549" s="18" t="n">
        <f aca="false">((I2548 + G2549) - H2549)</f>
        <v>-63241.29</v>
      </c>
      <c r="J2549" s="18" t="n">
        <v>0</v>
      </c>
      <c r="K2549" s="19" t="n">
        <v>0</v>
      </c>
      <c r="L2549" s="17" t="s">
        <v>88</v>
      </c>
    </row>
    <row r="2550" s="11" customFormat="true" ht="10.95" hidden="false" customHeight="true" outlineLevel="0" collapsed="false">
      <c r="A2550" s="16" t="n">
        <v>45222</v>
      </c>
      <c r="B2550" s="17" t="s">
        <v>1071</v>
      </c>
      <c r="C2550" s="17" t="s">
        <v>788</v>
      </c>
      <c r="D2550" s="17" t="s">
        <v>19</v>
      </c>
      <c r="E2550" s="17" t="s">
        <v>1111</v>
      </c>
      <c r="F2550" s="17" t="s">
        <v>1153</v>
      </c>
      <c r="G2550" s="18" t="n">
        <v>0</v>
      </c>
      <c r="H2550" s="18" t="n">
        <v>1162.08</v>
      </c>
      <c r="I2550" s="18" t="n">
        <f aca="false">((I2549 + G2550) - H2550)</f>
        <v>-64403.37</v>
      </c>
      <c r="J2550" s="18" t="n">
        <v>0</v>
      </c>
      <c r="K2550" s="19" t="n">
        <v>0</v>
      </c>
      <c r="L2550" s="17" t="s">
        <v>88</v>
      </c>
    </row>
    <row r="2551" s="11" customFormat="true" ht="10.95" hidden="false" customHeight="true" outlineLevel="0" collapsed="false">
      <c r="A2551" s="16" t="n">
        <v>45222</v>
      </c>
      <c r="B2551" s="17" t="s">
        <v>1071</v>
      </c>
      <c r="C2551" s="17" t="s">
        <v>788</v>
      </c>
      <c r="D2551" s="17" t="s">
        <v>19</v>
      </c>
      <c r="E2551" s="17" t="s">
        <v>1154</v>
      </c>
      <c r="F2551" s="17" t="s">
        <v>1153</v>
      </c>
      <c r="G2551" s="18" t="n">
        <v>0</v>
      </c>
      <c r="H2551" s="18" t="n">
        <v>73.78</v>
      </c>
      <c r="I2551" s="18" t="n">
        <f aca="false">((I2550 + G2551) - H2551)</f>
        <v>-64477.15</v>
      </c>
      <c r="J2551" s="18" t="n">
        <v>0</v>
      </c>
      <c r="K2551" s="19" t="n">
        <v>0</v>
      </c>
      <c r="L2551" s="17" t="s">
        <v>88</v>
      </c>
    </row>
    <row r="2552" s="11" customFormat="true" ht="10.95" hidden="false" customHeight="true" outlineLevel="0" collapsed="false">
      <c r="A2552" s="16" t="n">
        <v>45253</v>
      </c>
      <c r="B2552" s="17" t="s">
        <v>1071</v>
      </c>
      <c r="C2552" s="17" t="s">
        <v>788</v>
      </c>
      <c r="D2552" s="17" t="s">
        <v>19</v>
      </c>
      <c r="E2552" s="17" t="s">
        <v>1072</v>
      </c>
      <c r="F2552" s="17" t="s">
        <v>1155</v>
      </c>
      <c r="G2552" s="18" t="n">
        <v>0</v>
      </c>
      <c r="H2552" s="18" t="n">
        <v>662.59</v>
      </c>
      <c r="I2552" s="18" t="n">
        <f aca="false">((I2551 + G2552) - H2552)</f>
        <v>-65139.74</v>
      </c>
      <c r="J2552" s="18" t="n">
        <v>0</v>
      </c>
      <c r="K2552" s="19" t="n">
        <v>0</v>
      </c>
      <c r="L2552" s="17" t="s">
        <v>88</v>
      </c>
    </row>
    <row r="2553" s="11" customFormat="true" ht="10.95" hidden="false" customHeight="true" outlineLevel="0" collapsed="false">
      <c r="A2553" s="16" t="n">
        <v>45253</v>
      </c>
      <c r="B2553" s="17" t="s">
        <v>1071</v>
      </c>
      <c r="C2553" s="17" t="s">
        <v>788</v>
      </c>
      <c r="D2553" s="17" t="s">
        <v>19</v>
      </c>
      <c r="E2553" s="17" t="s">
        <v>1074</v>
      </c>
      <c r="F2553" s="17" t="s">
        <v>1155</v>
      </c>
      <c r="G2553" s="18" t="n">
        <v>0</v>
      </c>
      <c r="H2553" s="18" t="n">
        <v>101.23</v>
      </c>
      <c r="I2553" s="18" t="n">
        <f aca="false">((I2552 + G2553) - H2553)</f>
        <v>-65240.97</v>
      </c>
      <c r="J2553" s="18" t="n">
        <v>0</v>
      </c>
      <c r="K2553" s="19" t="n">
        <v>0</v>
      </c>
      <c r="L2553" s="17" t="s">
        <v>88</v>
      </c>
    </row>
    <row r="2554" s="11" customFormat="true" ht="10.95" hidden="false" customHeight="true" outlineLevel="0" collapsed="false">
      <c r="A2554" s="16" t="n">
        <v>45253</v>
      </c>
      <c r="B2554" s="17" t="s">
        <v>1071</v>
      </c>
      <c r="C2554" s="17" t="s">
        <v>788</v>
      </c>
      <c r="D2554" s="17" t="s">
        <v>19</v>
      </c>
      <c r="E2554" s="17" t="s">
        <v>1075</v>
      </c>
      <c r="F2554" s="17" t="s">
        <v>1156</v>
      </c>
      <c r="G2554" s="18" t="n">
        <v>0</v>
      </c>
      <c r="H2554" s="18" t="n">
        <v>3092.44</v>
      </c>
      <c r="I2554" s="18" t="n">
        <f aca="false">((I2553 + G2554) - H2554)</f>
        <v>-68333.41</v>
      </c>
      <c r="J2554" s="18" t="n">
        <v>0</v>
      </c>
      <c r="K2554" s="19" t="n">
        <v>0</v>
      </c>
      <c r="L2554" s="17" t="s">
        <v>88</v>
      </c>
    </row>
    <row r="2555" s="11" customFormat="true" ht="10.95" hidden="false" customHeight="true" outlineLevel="0" collapsed="false">
      <c r="A2555" s="16" t="n">
        <v>45253</v>
      </c>
      <c r="B2555" s="17" t="s">
        <v>1071</v>
      </c>
      <c r="C2555" s="17" t="s">
        <v>788</v>
      </c>
      <c r="D2555" s="17" t="s">
        <v>19</v>
      </c>
      <c r="E2555" s="17" t="s">
        <v>1077</v>
      </c>
      <c r="F2555" s="17" t="s">
        <v>1157</v>
      </c>
      <c r="G2555" s="18" t="n">
        <v>0</v>
      </c>
      <c r="H2555" s="18" t="n">
        <v>961.79</v>
      </c>
      <c r="I2555" s="18" t="n">
        <f aca="false">((I2554 + G2555) - H2555)</f>
        <v>-69295.2</v>
      </c>
      <c r="J2555" s="18" t="n">
        <v>0</v>
      </c>
      <c r="K2555" s="19" t="n">
        <v>0</v>
      </c>
      <c r="L2555" s="17" t="s">
        <v>88</v>
      </c>
    </row>
    <row r="2556" s="11" customFormat="true" ht="10.95" hidden="false" customHeight="true" outlineLevel="0" collapsed="false">
      <c r="A2556" s="16" t="n">
        <v>45253</v>
      </c>
      <c r="B2556" s="17" t="s">
        <v>1071</v>
      </c>
      <c r="C2556" s="17" t="s">
        <v>788</v>
      </c>
      <c r="D2556" s="17" t="s">
        <v>19</v>
      </c>
      <c r="E2556" s="17" t="s">
        <v>1079</v>
      </c>
      <c r="F2556" s="17" t="s">
        <v>1157</v>
      </c>
      <c r="G2556" s="18" t="n">
        <v>0</v>
      </c>
      <c r="H2556" s="18" t="n">
        <v>331.33</v>
      </c>
      <c r="I2556" s="18" t="n">
        <f aca="false">((I2555 + G2556) - H2556)</f>
        <v>-69626.53</v>
      </c>
      <c r="J2556" s="18" t="n">
        <v>0</v>
      </c>
      <c r="K2556" s="19" t="n">
        <v>0</v>
      </c>
      <c r="L2556" s="17" t="s">
        <v>88</v>
      </c>
    </row>
    <row r="2557" s="11" customFormat="true" ht="10.95" hidden="false" customHeight="true" outlineLevel="0" collapsed="false">
      <c r="A2557" s="16" t="n">
        <v>45253</v>
      </c>
      <c r="B2557" s="17" t="s">
        <v>1071</v>
      </c>
      <c r="C2557" s="17" t="s">
        <v>788</v>
      </c>
      <c r="D2557" s="17" t="s">
        <v>19</v>
      </c>
      <c r="E2557" s="17" t="s">
        <v>1080</v>
      </c>
      <c r="F2557" s="17" t="s">
        <v>1157</v>
      </c>
      <c r="G2557" s="18" t="n">
        <v>0</v>
      </c>
      <c r="H2557" s="18" t="n">
        <v>202.48</v>
      </c>
      <c r="I2557" s="18" t="n">
        <f aca="false">((I2556 + G2557) - H2557)</f>
        <v>-69829.01</v>
      </c>
      <c r="J2557" s="18" t="n">
        <v>0</v>
      </c>
      <c r="K2557" s="19" t="n">
        <v>0</v>
      </c>
      <c r="L2557" s="17" t="s">
        <v>88</v>
      </c>
    </row>
    <row r="2558" s="11" customFormat="true" ht="10.95" hidden="false" customHeight="true" outlineLevel="0" collapsed="false">
      <c r="A2558" s="16" t="n">
        <v>45253</v>
      </c>
      <c r="B2558" s="17" t="s">
        <v>1071</v>
      </c>
      <c r="C2558" s="17" t="s">
        <v>788</v>
      </c>
      <c r="D2558" s="17" t="s">
        <v>19</v>
      </c>
      <c r="E2558" s="17" t="s">
        <v>1081</v>
      </c>
      <c r="F2558" s="17" t="s">
        <v>1158</v>
      </c>
      <c r="G2558" s="18" t="n">
        <v>0</v>
      </c>
      <c r="H2558" s="18" t="n">
        <v>180</v>
      </c>
      <c r="I2558" s="18" t="n">
        <f aca="false">((I2557 + G2558) - H2558)</f>
        <v>-70009.01</v>
      </c>
      <c r="J2558" s="18" t="n">
        <v>0</v>
      </c>
      <c r="K2558" s="19" t="n">
        <v>0</v>
      </c>
      <c r="L2558" s="17" t="s">
        <v>88</v>
      </c>
    </row>
    <row r="2559" s="11" customFormat="true" ht="10.95" hidden="false" customHeight="true" outlineLevel="0" collapsed="false">
      <c r="A2559" s="16" t="n">
        <v>45253</v>
      </c>
      <c r="B2559" s="17" t="s">
        <v>1071</v>
      </c>
      <c r="C2559" s="17" t="s">
        <v>788</v>
      </c>
      <c r="D2559" s="17" t="s">
        <v>19</v>
      </c>
      <c r="E2559" s="17" t="s">
        <v>1083</v>
      </c>
      <c r="F2559" s="17" t="s">
        <v>1159</v>
      </c>
      <c r="G2559" s="18" t="n">
        <v>0</v>
      </c>
      <c r="H2559" s="18" t="n">
        <v>265.07</v>
      </c>
      <c r="I2559" s="18" t="n">
        <f aca="false">((I2558 + G2559) - H2559)</f>
        <v>-70274.08</v>
      </c>
      <c r="J2559" s="18" t="n">
        <v>0</v>
      </c>
      <c r="K2559" s="19" t="n">
        <v>0</v>
      </c>
      <c r="L2559" s="17" t="s">
        <v>88</v>
      </c>
    </row>
    <row r="2560" s="11" customFormat="true" ht="10.95" hidden="false" customHeight="true" outlineLevel="0" collapsed="false">
      <c r="A2560" s="16" t="n">
        <v>45253</v>
      </c>
      <c r="B2560" s="17" t="s">
        <v>1071</v>
      </c>
      <c r="C2560" s="17" t="s">
        <v>788</v>
      </c>
      <c r="D2560" s="17" t="s">
        <v>19</v>
      </c>
      <c r="E2560" s="17" t="s">
        <v>1085</v>
      </c>
      <c r="F2560" s="17" t="s">
        <v>1160</v>
      </c>
      <c r="G2560" s="18" t="n">
        <v>0</v>
      </c>
      <c r="H2560" s="18" t="n">
        <v>582.13</v>
      </c>
      <c r="I2560" s="18" t="n">
        <f aca="false">((I2559 + G2560) - H2560)</f>
        <v>-70856.21</v>
      </c>
      <c r="J2560" s="18" t="n">
        <v>0</v>
      </c>
      <c r="K2560" s="19" t="n">
        <v>0</v>
      </c>
      <c r="L2560" s="17" t="s">
        <v>88</v>
      </c>
    </row>
    <row r="2561" s="11" customFormat="true" ht="10.95" hidden="false" customHeight="true" outlineLevel="0" collapsed="false">
      <c r="A2561" s="16" t="n">
        <v>45253</v>
      </c>
      <c r="B2561" s="17" t="s">
        <v>1071</v>
      </c>
      <c r="C2561" s="17" t="s">
        <v>788</v>
      </c>
      <c r="D2561" s="17" t="s">
        <v>19</v>
      </c>
      <c r="E2561" s="17" t="s">
        <v>1087</v>
      </c>
      <c r="F2561" s="17" t="s">
        <v>1160</v>
      </c>
      <c r="G2561" s="18" t="n">
        <v>0</v>
      </c>
      <c r="H2561" s="18" t="n">
        <v>70.87</v>
      </c>
      <c r="I2561" s="18" t="n">
        <f aca="false">((I2560 + G2561) - H2561)</f>
        <v>-70927.08</v>
      </c>
      <c r="J2561" s="18" t="n">
        <v>0</v>
      </c>
      <c r="K2561" s="19" t="n">
        <v>0</v>
      </c>
      <c r="L2561" s="17" t="s">
        <v>88</v>
      </c>
    </row>
    <row r="2562" s="11" customFormat="true" ht="10.95" hidden="false" customHeight="true" outlineLevel="0" collapsed="false">
      <c r="A2562" s="16" t="n">
        <v>45253</v>
      </c>
      <c r="B2562" s="17" t="s">
        <v>1071</v>
      </c>
      <c r="C2562" s="17" t="s">
        <v>788</v>
      </c>
      <c r="D2562" s="17" t="s">
        <v>19</v>
      </c>
      <c r="E2562" s="17" t="s">
        <v>1088</v>
      </c>
      <c r="F2562" s="17" t="s">
        <v>1160</v>
      </c>
      <c r="G2562" s="18" t="n">
        <v>0</v>
      </c>
      <c r="H2562" s="18" t="n">
        <v>10.12</v>
      </c>
      <c r="I2562" s="18" t="n">
        <f aca="false">((I2561 + G2562) - H2562)</f>
        <v>-70937.2</v>
      </c>
      <c r="J2562" s="18" t="n">
        <v>0</v>
      </c>
      <c r="K2562" s="19" t="n">
        <v>0</v>
      </c>
      <c r="L2562" s="17" t="s">
        <v>88</v>
      </c>
    </row>
    <row r="2563" s="11" customFormat="true" ht="10.95" hidden="false" customHeight="true" outlineLevel="0" collapsed="false">
      <c r="A2563" s="16" t="n">
        <v>45253</v>
      </c>
      <c r="B2563" s="17" t="s">
        <v>1071</v>
      </c>
      <c r="C2563" s="17" t="s">
        <v>788</v>
      </c>
      <c r="D2563" s="17" t="s">
        <v>19</v>
      </c>
      <c r="E2563" s="17" t="s">
        <v>1089</v>
      </c>
      <c r="F2563" s="17" t="s">
        <v>1160</v>
      </c>
      <c r="G2563" s="18" t="n">
        <v>0</v>
      </c>
      <c r="H2563" s="18" t="n">
        <v>138.06</v>
      </c>
      <c r="I2563" s="18" t="n">
        <f aca="false">((I2562 + G2563) - H2563)</f>
        <v>-71075.26</v>
      </c>
      <c r="J2563" s="18" t="n">
        <v>0</v>
      </c>
      <c r="K2563" s="19" t="n">
        <v>0</v>
      </c>
      <c r="L2563" s="17" t="s">
        <v>88</v>
      </c>
    </row>
    <row r="2564" s="11" customFormat="true" ht="10.95" hidden="false" customHeight="true" outlineLevel="0" collapsed="false">
      <c r="A2564" s="16" t="n">
        <v>45253</v>
      </c>
      <c r="B2564" s="17" t="s">
        <v>1071</v>
      </c>
      <c r="C2564" s="17" t="s">
        <v>788</v>
      </c>
      <c r="D2564" s="17" t="s">
        <v>19</v>
      </c>
      <c r="E2564" s="17" t="s">
        <v>1090</v>
      </c>
      <c r="F2564" s="17" t="s">
        <v>1161</v>
      </c>
      <c r="G2564" s="18" t="n">
        <v>0</v>
      </c>
      <c r="H2564" s="18" t="n">
        <v>1711.89</v>
      </c>
      <c r="I2564" s="18" t="n">
        <f aca="false">((I2563 + G2564) - H2564)</f>
        <v>-72787.15</v>
      </c>
      <c r="J2564" s="18" t="n">
        <v>0</v>
      </c>
      <c r="K2564" s="19" t="n">
        <v>0</v>
      </c>
      <c r="L2564" s="17" t="s">
        <v>88</v>
      </c>
    </row>
    <row r="2565" s="11" customFormat="true" ht="10.95" hidden="false" customHeight="true" outlineLevel="0" collapsed="false">
      <c r="A2565" s="16" t="n">
        <v>45253</v>
      </c>
      <c r="B2565" s="17" t="s">
        <v>1071</v>
      </c>
      <c r="C2565" s="17" t="s">
        <v>788</v>
      </c>
      <c r="D2565" s="17" t="s">
        <v>19</v>
      </c>
      <c r="E2565" s="17" t="s">
        <v>1087</v>
      </c>
      <c r="F2565" s="17" t="s">
        <v>1161</v>
      </c>
      <c r="G2565" s="18" t="n">
        <v>0</v>
      </c>
      <c r="H2565" s="18" t="n">
        <v>30.37</v>
      </c>
      <c r="I2565" s="18" t="n">
        <f aca="false">((I2564 + G2565) - H2565)</f>
        <v>-72817.52</v>
      </c>
      <c r="J2565" s="18" t="n">
        <v>0</v>
      </c>
      <c r="K2565" s="19" t="n">
        <v>0</v>
      </c>
      <c r="L2565" s="17" t="s">
        <v>88</v>
      </c>
    </row>
    <row r="2566" s="11" customFormat="true" ht="10.95" hidden="false" customHeight="true" outlineLevel="0" collapsed="false">
      <c r="A2566" s="16" t="n">
        <v>45253</v>
      </c>
      <c r="B2566" s="17" t="s">
        <v>1071</v>
      </c>
      <c r="C2566" s="17" t="s">
        <v>788</v>
      </c>
      <c r="D2566" s="17" t="s">
        <v>19</v>
      </c>
      <c r="E2566" s="17" t="s">
        <v>1092</v>
      </c>
      <c r="F2566" s="17" t="s">
        <v>1162</v>
      </c>
      <c r="G2566" s="18" t="n">
        <v>0</v>
      </c>
      <c r="H2566" s="18" t="n">
        <v>846.72</v>
      </c>
      <c r="I2566" s="18" t="n">
        <f aca="false">((I2565 + G2566) - H2566)</f>
        <v>-73664.24</v>
      </c>
      <c r="J2566" s="18" t="n">
        <v>0</v>
      </c>
      <c r="K2566" s="19" t="n">
        <v>0</v>
      </c>
      <c r="L2566" s="17" t="s">
        <v>88</v>
      </c>
    </row>
    <row r="2567" s="11" customFormat="true" ht="10.95" hidden="false" customHeight="true" outlineLevel="0" collapsed="false">
      <c r="A2567" s="16" t="n">
        <v>45253</v>
      </c>
      <c r="B2567" s="17" t="s">
        <v>1071</v>
      </c>
      <c r="C2567" s="17" t="s">
        <v>788</v>
      </c>
      <c r="D2567" s="17" t="s">
        <v>19</v>
      </c>
      <c r="E2567" s="17" t="s">
        <v>1094</v>
      </c>
      <c r="F2567" s="17" t="s">
        <v>1162</v>
      </c>
      <c r="G2567" s="18" t="n">
        <v>0</v>
      </c>
      <c r="H2567" s="18" t="n">
        <v>92.04</v>
      </c>
      <c r="I2567" s="18" t="n">
        <f aca="false">((I2566 + G2567) - H2567)</f>
        <v>-73756.28</v>
      </c>
      <c r="J2567" s="18" t="n">
        <v>0</v>
      </c>
      <c r="K2567" s="19" t="n">
        <v>0</v>
      </c>
      <c r="L2567" s="17" t="s">
        <v>88</v>
      </c>
    </row>
    <row r="2568" s="11" customFormat="true" ht="10.95" hidden="false" customHeight="true" outlineLevel="0" collapsed="false">
      <c r="A2568" s="16" t="n">
        <v>45253</v>
      </c>
      <c r="B2568" s="17" t="s">
        <v>1071</v>
      </c>
      <c r="C2568" s="17" t="s">
        <v>788</v>
      </c>
      <c r="D2568" s="17" t="s">
        <v>19</v>
      </c>
      <c r="E2568" s="17" t="s">
        <v>1087</v>
      </c>
      <c r="F2568" s="17" t="s">
        <v>1162</v>
      </c>
      <c r="G2568" s="18" t="n">
        <v>0</v>
      </c>
      <c r="H2568" s="18" t="n">
        <v>35.43</v>
      </c>
      <c r="I2568" s="18" t="n">
        <f aca="false">((I2567 + G2568) - H2568)</f>
        <v>-73791.71</v>
      </c>
      <c r="J2568" s="18" t="n">
        <v>0</v>
      </c>
      <c r="K2568" s="19" t="n">
        <v>0</v>
      </c>
      <c r="L2568" s="17" t="s">
        <v>88</v>
      </c>
    </row>
    <row r="2569" s="11" customFormat="true" ht="10.95" hidden="false" customHeight="true" outlineLevel="0" collapsed="false">
      <c r="A2569" s="16" t="n">
        <v>45253</v>
      </c>
      <c r="B2569" s="17" t="s">
        <v>1071</v>
      </c>
      <c r="C2569" s="17" t="s">
        <v>788</v>
      </c>
      <c r="D2569" s="17" t="s">
        <v>19</v>
      </c>
      <c r="E2569" s="17" t="s">
        <v>1095</v>
      </c>
      <c r="F2569" s="17" t="s">
        <v>1162</v>
      </c>
      <c r="G2569" s="18" t="n">
        <v>0</v>
      </c>
      <c r="H2569" s="18" t="n">
        <v>27.61</v>
      </c>
      <c r="I2569" s="18" t="n">
        <f aca="false">((I2568 + G2569) - H2569)</f>
        <v>-73819.32</v>
      </c>
      <c r="J2569" s="18" t="n">
        <v>0</v>
      </c>
      <c r="K2569" s="19" t="n">
        <v>0</v>
      </c>
      <c r="L2569" s="17" t="s">
        <v>88</v>
      </c>
    </row>
    <row r="2570" s="11" customFormat="true" ht="10.95" hidden="false" customHeight="true" outlineLevel="0" collapsed="false">
      <c r="A2570" s="16" t="n">
        <v>45253</v>
      </c>
      <c r="B2570" s="17" t="s">
        <v>1071</v>
      </c>
      <c r="C2570" s="17" t="s">
        <v>788</v>
      </c>
      <c r="D2570" s="17" t="s">
        <v>19</v>
      </c>
      <c r="E2570" s="17" t="s">
        <v>1092</v>
      </c>
      <c r="F2570" s="17" t="s">
        <v>1163</v>
      </c>
      <c r="G2570" s="18" t="n">
        <v>0</v>
      </c>
      <c r="H2570" s="18" t="n">
        <v>1470.72</v>
      </c>
      <c r="I2570" s="18" t="n">
        <f aca="false">((I2569 + G2570) - H2570)</f>
        <v>-75290.04</v>
      </c>
      <c r="J2570" s="18" t="n">
        <v>0</v>
      </c>
      <c r="K2570" s="19" t="n">
        <v>0</v>
      </c>
      <c r="L2570" s="17" t="s">
        <v>88</v>
      </c>
    </row>
    <row r="2571" s="11" customFormat="true" ht="42" hidden="false" customHeight="true" outlineLevel="0" collapsed="false">
      <c r="A2571" s="16" t="n">
        <v>45253</v>
      </c>
      <c r="B2571" s="17" t="s">
        <v>1071</v>
      </c>
      <c r="C2571" s="17" t="s">
        <v>788</v>
      </c>
      <c r="D2571" s="17" t="s">
        <v>19</v>
      </c>
      <c r="E2571" s="20" t="s">
        <v>1097</v>
      </c>
      <c r="F2571" s="17" t="s">
        <v>1163</v>
      </c>
      <c r="G2571" s="18" t="n">
        <v>0</v>
      </c>
      <c r="H2571" s="18" t="n">
        <v>64.42</v>
      </c>
      <c r="I2571" s="18" t="n">
        <f aca="false">((I2570 + G2571) - H2571)</f>
        <v>-75354.46</v>
      </c>
      <c r="J2571" s="18" t="n">
        <v>0</v>
      </c>
      <c r="K2571" s="19" t="n">
        <v>0</v>
      </c>
      <c r="L2571" s="17" t="s">
        <v>88</v>
      </c>
    </row>
    <row r="2572" s="11" customFormat="true" ht="10.95" hidden="false" customHeight="true" outlineLevel="0" collapsed="false">
      <c r="A2572" s="16" t="n">
        <v>45253</v>
      </c>
      <c r="B2572" s="17" t="s">
        <v>1071</v>
      </c>
      <c r="C2572" s="17" t="s">
        <v>788</v>
      </c>
      <c r="D2572" s="17" t="s">
        <v>19</v>
      </c>
      <c r="E2572" s="17" t="s">
        <v>1094</v>
      </c>
      <c r="F2572" s="17" t="s">
        <v>1163</v>
      </c>
      <c r="G2572" s="18" t="n">
        <v>0</v>
      </c>
      <c r="H2572" s="18" t="n">
        <v>92.04</v>
      </c>
      <c r="I2572" s="18" t="n">
        <f aca="false">((I2571 + G2572) - H2572)</f>
        <v>-75446.5</v>
      </c>
      <c r="J2572" s="18" t="n">
        <v>0</v>
      </c>
      <c r="K2572" s="19" t="n">
        <v>0</v>
      </c>
      <c r="L2572" s="17" t="s">
        <v>88</v>
      </c>
    </row>
    <row r="2573" s="11" customFormat="true" ht="10.95" hidden="false" customHeight="true" outlineLevel="0" collapsed="false">
      <c r="A2573" s="16" t="n">
        <v>45253</v>
      </c>
      <c r="B2573" s="17" t="s">
        <v>1071</v>
      </c>
      <c r="C2573" s="17" t="s">
        <v>788</v>
      </c>
      <c r="D2573" s="17" t="s">
        <v>19</v>
      </c>
      <c r="E2573" s="17" t="s">
        <v>1098</v>
      </c>
      <c r="F2573" s="17" t="s">
        <v>1163</v>
      </c>
      <c r="G2573" s="18" t="n">
        <v>0</v>
      </c>
      <c r="H2573" s="18" t="n">
        <v>276.11</v>
      </c>
      <c r="I2573" s="18" t="n">
        <f aca="false">((I2572 + G2573) - H2573)</f>
        <v>-75722.61</v>
      </c>
      <c r="J2573" s="18" t="n">
        <v>0</v>
      </c>
      <c r="K2573" s="19" t="n">
        <v>0</v>
      </c>
      <c r="L2573" s="17" t="s">
        <v>88</v>
      </c>
    </row>
    <row r="2574" s="11" customFormat="true" ht="10.95" hidden="false" customHeight="true" outlineLevel="0" collapsed="false">
      <c r="A2574" s="16" t="n">
        <v>45253</v>
      </c>
      <c r="B2574" s="17" t="s">
        <v>1071</v>
      </c>
      <c r="C2574" s="17" t="s">
        <v>788</v>
      </c>
      <c r="D2574" s="17" t="s">
        <v>19</v>
      </c>
      <c r="E2574" s="17" t="s">
        <v>1083</v>
      </c>
      <c r="F2574" s="17" t="s">
        <v>1164</v>
      </c>
      <c r="G2574" s="18" t="n">
        <v>0</v>
      </c>
      <c r="H2574" s="18" t="n">
        <v>132.53</v>
      </c>
      <c r="I2574" s="18" t="n">
        <f aca="false">((I2573 + G2574) - H2574)</f>
        <v>-75855.14</v>
      </c>
      <c r="J2574" s="18" t="n">
        <v>0</v>
      </c>
      <c r="K2574" s="19" t="n">
        <v>0</v>
      </c>
      <c r="L2574" s="17" t="s">
        <v>88</v>
      </c>
    </row>
    <row r="2575" s="11" customFormat="true" ht="10.95" hidden="false" customHeight="true" outlineLevel="0" collapsed="false">
      <c r="A2575" s="16" t="n">
        <v>45253</v>
      </c>
      <c r="B2575" s="17" t="s">
        <v>1071</v>
      </c>
      <c r="C2575" s="17" t="s">
        <v>788</v>
      </c>
      <c r="D2575" s="17" t="s">
        <v>19</v>
      </c>
      <c r="E2575" s="17" t="s">
        <v>1090</v>
      </c>
      <c r="F2575" s="17" t="s">
        <v>1165</v>
      </c>
      <c r="G2575" s="18" t="n">
        <v>0</v>
      </c>
      <c r="H2575" s="18" t="n">
        <v>692.1</v>
      </c>
      <c r="I2575" s="18" t="n">
        <f aca="false">((I2574 + G2575) - H2575)</f>
        <v>-76547.24</v>
      </c>
      <c r="J2575" s="18" t="n">
        <v>0</v>
      </c>
      <c r="K2575" s="19" t="n">
        <v>0</v>
      </c>
      <c r="L2575" s="17" t="s">
        <v>88</v>
      </c>
    </row>
    <row r="2576" s="11" customFormat="true" ht="10.95" hidden="false" customHeight="true" outlineLevel="0" collapsed="false">
      <c r="A2576" s="16" t="n">
        <v>45253</v>
      </c>
      <c r="B2576" s="17" t="s">
        <v>1071</v>
      </c>
      <c r="C2576" s="17" t="s">
        <v>788</v>
      </c>
      <c r="D2576" s="17" t="s">
        <v>19</v>
      </c>
      <c r="E2576" s="17" t="s">
        <v>1101</v>
      </c>
      <c r="F2576" s="17" t="s">
        <v>1165</v>
      </c>
      <c r="G2576" s="18" t="n">
        <v>0</v>
      </c>
      <c r="H2576" s="18" t="n">
        <v>96.18</v>
      </c>
      <c r="I2576" s="18" t="n">
        <f aca="false">((I2575 + G2576) - H2576)</f>
        <v>-76643.42</v>
      </c>
      <c r="J2576" s="18" t="n">
        <v>0</v>
      </c>
      <c r="K2576" s="19" t="n">
        <v>0</v>
      </c>
      <c r="L2576" s="17" t="s">
        <v>88</v>
      </c>
    </row>
    <row r="2577" s="11" customFormat="true" ht="10.95" hidden="false" customHeight="true" outlineLevel="0" collapsed="false">
      <c r="A2577" s="16" t="n">
        <v>45253</v>
      </c>
      <c r="B2577" s="17" t="s">
        <v>1071</v>
      </c>
      <c r="C2577" s="17" t="s">
        <v>788</v>
      </c>
      <c r="D2577" s="17" t="s">
        <v>19</v>
      </c>
      <c r="E2577" s="17" t="s">
        <v>1088</v>
      </c>
      <c r="F2577" s="17" t="s">
        <v>1165</v>
      </c>
      <c r="G2577" s="18" t="n">
        <v>0</v>
      </c>
      <c r="H2577" s="18" t="n">
        <v>121.49</v>
      </c>
      <c r="I2577" s="18" t="n">
        <f aca="false">((I2576 + G2577) - H2577)</f>
        <v>-76764.91</v>
      </c>
      <c r="J2577" s="18" t="n">
        <v>0</v>
      </c>
      <c r="K2577" s="19" t="n">
        <v>0</v>
      </c>
      <c r="L2577" s="17" t="s">
        <v>88</v>
      </c>
    </row>
    <row r="2578" s="11" customFormat="true" ht="10.95" hidden="false" customHeight="true" outlineLevel="0" collapsed="false">
      <c r="A2578" s="16" t="n">
        <v>45253</v>
      </c>
      <c r="B2578" s="17" t="s">
        <v>1071</v>
      </c>
      <c r="C2578" s="17" t="s">
        <v>788</v>
      </c>
      <c r="D2578" s="17" t="s">
        <v>19</v>
      </c>
      <c r="E2578" s="17" t="s">
        <v>1102</v>
      </c>
      <c r="F2578" s="17" t="s">
        <v>1165</v>
      </c>
      <c r="G2578" s="18" t="n">
        <v>0</v>
      </c>
      <c r="H2578" s="18" t="n">
        <v>101.24</v>
      </c>
      <c r="I2578" s="18" t="n">
        <f aca="false">((I2577 + G2578) - H2578)</f>
        <v>-76866.15</v>
      </c>
      <c r="J2578" s="18" t="n">
        <v>0</v>
      </c>
      <c r="K2578" s="19" t="n">
        <v>0</v>
      </c>
      <c r="L2578" s="17" t="s">
        <v>88</v>
      </c>
    </row>
    <row r="2579" s="11" customFormat="true" ht="10.95" hidden="false" customHeight="true" outlineLevel="0" collapsed="false">
      <c r="A2579" s="16" t="n">
        <v>45253</v>
      </c>
      <c r="B2579" s="17" t="s">
        <v>1071</v>
      </c>
      <c r="C2579" s="17" t="s">
        <v>788</v>
      </c>
      <c r="D2579" s="17" t="s">
        <v>19</v>
      </c>
      <c r="E2579" s="17" t="s">
        <v>1166</v>
      </c>
      <c r="F2579" s="17" t="s">
        <v>1167</v>
      </c>
      <c r="G2579" s="18" t="n">
        <v>0</v>
      </c>
      <c r="H2579" s="18" t="n">
        <v>104.79</v>
      </c>
      <c r="I2579" s="18" t="n">
        <f aca="false">((I2578 + G2579) - H2579)</f>
        <v>-76970.94</v>
      </c>
      <c r="J2579" s="18" t="n">
        <v>0</v>
      </c>
      <c r="K2579" s="19" t="n">
        <v>0</v>
      </c>
      <c r="L2579" s="17" t="s">
        <v>88</v>
      </c>
    </row>
    <row r="2580" s="11" customFormat="true" ht="10.95" hidden="false" customHeight="true" outlineLevel="0" collapsed="false">
      <c r="A2580" s="16" t="n">
        <v>45253</v>
      </c>
      <c r="B2580" s="17" t="s">
        <v>1071</v>
      </c>
      <c r="C2580" s="17" t="s">
        <v>788</v>
      </c>
      <c r="D2580" s="17" t="s">
        <v>19</v>
      </c>
      <c r="E2580" s="17" t="s">
        <v>1166</v>
      </c>
      <c r="F2580" s="17" t="s">
        <v>1167</v>
      </c>
      <c r="G2580" s="18" t="n">
        <v>0</v>
      </c>
      <c r="H2580" s="18" t="n">
        <v>104.78</v>
      </c>
      <c r="I2580" s="18" t="n">
        <f aca="false">((I2579 + G2580) - H2580)</f>
        <v>-77075.72</v>
      </c>
      <c r="J2580" s="18" t="n">
        <v>0</v>
      </c>
      <c r="K2580" s="19" t="n">
        <v>0</v>
      </c>
      <c r="L2580" s="17" t="s">
        <v>88</v>
      </c>
    </row>
    <row r="2581" s="11" customFormat="true" ht="10.95" hidden="false" customHeight="true" outlineLevel="0" collapsed="false">
      <c r="A2581" s="16" t="n">
        <v>45253</v>
      </c>
      <c r="B2581" s="17" t="s">
        <v>1071</v>
      </c>
      <c r="C2581" s="17" t="s">
        <v>788</v>
      </c>
      <c r="D2581" s="17" t="s">
        <v>19</v>
      </c>
      <c r="E2581" s="17" t="s">
        <v>1166</v>
      </c>
      <c r="F2581" s="17" t="s">
        <v>1167</v>
      </c>
      <c r="G2581" s="18" t="n">
        <v>0</v>
      </c>
      <c r="H2581" s="18" t="n">
        <v>104.78</v>
      </c>
      <c r="I2581" s="18" t="n">
        <f aca="false">((I2580 + G2581) - H2581)</f>
        <v>-77180.5</v>
      </c>
      <c r="J2581" s="18" t="n">
        <v>0</v>
      </c>
      <c r="K2581" s="19" t="n">
        <v>0</v>
      </c>
      <c r="L2581" s="17" t="s">
        <v>88</v>
      </c>
    </row>
    <row r="2582" s="11" customFormat="true" ht="10.95" hidden="false" customHeight="true" outlineLevel="0" collapsed="false">
      <c r="A2582" s="16" t="n">
        <v>45253</v>
      </c>
      <c r="B2582" s="17" t="s">
        <v>1071</v>
      </c>
      <c r="C2582" s="17" t="s">
        <v>788</v>
      </c>
      <c r="D2582" s="17" t="s">
        <v>19</v>
      </c>
      <c r="E2582" s="17" t="s">
        <v>1166</v>
      </c>
      <c r="F2582" s="17" t="s">
        <v>1167</v>
      </c>
      <c r="G2582" s="18" t="n">
        <v>0</v>
      </c>
      <c r="H2582" s="18" t="n">
        <v>104.78</v>
      </c>
      <c r="I2582" s="18" t="n">
        <f aca="false">((I2581 + G2582) - H2582)</f>
        <v>-77285.28</v>
      </c>
      <c r="J2582" s="18" t="n">
        <v>0</v>
      </c>
      <c r="K2582" s="19" t="n">
        <v>0</v>
      </c>
      <c r="L2582" s="17" t="s">
        <v>88</v>
      </c>
    </row>
    <row r="2583" s="11" customFormat="true" ht="10.95" hidden="false" customHeight="true" outlineLevel="0" collapsed="false">
      <c r="A2583" s="16" t="n">
        <v>45253</v>
      </c>
      <c r="B2583" s="17" t="s">
        <v>1071</v>
      </c>
      <c r="C2583" s="17" t="s">
        <v>788</v>
      </c>
      <c r="D2583" s="17" t="s">
        <v>19</v>
      </c>
      <c r="E2583" s="17" t="s">
        <v>1166</v>
      </c>
      <c r="F2583" s="17" t="s">
        <v>1167</v>
      </c>
      <c r="G2583" s="18" t="n">
        <v>0</v>
      </c>
      <c r="H2583" s="18" t="n">
        <v>104.78</v>
      </c>
      <c r="I2583" s="18" t="n">
        <f aca="false">((I2582 + G2583) - H2583)</f>
        <v>-77390.06</v>
      </c>
      <c r="J2583" s="18" t="n">
        <v>0</v>
      </c>
      <c r="K2583" s="19" t="n">
        <v>0</v>
      </c>
      <c r="L2583" s="17" t="s">
        <v>88</v>
      </c>
    </row>
    <row r="2584" s="11" customFormat="true" ht="10.95" hidden="false" customHeight="true" outlineLevel="0" collapsed="false">
      <c r="A2584" s="16" t="n">
        <v>45253</v>
      </c>
      <c r="B2584" s="17" t="s">
        <v>1071</v>
      </c>
      <c r="C2584" s="17" t="s">
        <v>788</v>
      </c>
      <c r="D2584" s="17" t="s">
        <v>19</v>
      </c>
      <c r="E2584" s="17" t="s">
        <v>1168</v>
      </c>
      <c r="F2584" s="17" t="s">
        <v>1169</v>
      </c>
      <c r="G2584" s="18" t="n">
        <v>0</v>
      </c>
      <c r="H2584" s="18" t="n">
        <v>1325.37</v>
      </c>
      <c r="I2584" s="18" t="n">
        <f aca="false">((I2583 + G2584) - H2584)</f>
        <v>-78715.43</v>
      </c>
      <c r="J2584" s="18" t="n">
        <v>0</v>
      </c>
      <c r="K2584" s="19" t="n">
        <v>0</v>
      </c>
      <c r="L2584" s="17" t="s">
        <v>88</v>
      </c>
    </row>
    <row r="2585" s="11" customFormat="true" ht="10.95" hidden="false" customHeight="true" outlineLevel="0" collapsed="false">
      <c r="A2585" s="16" t="n">
        <v>45253</v>
      </c>
      <c r="B2585" s="17" t="s">
        <v>1071</v>
      </c>
      <c r="C2585" s="17" t="s">
        <v>788</v>
      </c>
      <c r="D2585" s="17" t="s">
        <v>19</v>
      </c>
      <c r="E2585" s="17" t="s">
        <v>1107</v>
      </c>
      <c r="F2585" s="17" t="s">
        <v>1170</v>
      </c>
      <c r="G2585" s="18" t="n">
        <v>0</v>
      </c>
      <c r="H2585" s="18" t="n">
        <v>364.82</v>
      </c>
      <c r="I2585" s="18" t="n">
        <f aca="false">((I2584 + G2585) - H2585)</f>
        <v>-79080.25</v>
      </c>
      <c r="J2585" s="18" t="n">
        <v>0</v>
      </c>
      <c r="K2585" s="19" t="n">
        <v>0</v>
      </c>
      <c r="L2585" s="17" t="s">
        <v>88</v>
      </c>
    </row>
    <row r="2586" s="11" customFormat="true" ht="10.95" hidden="false" customHeight="true" outlineLevel="0" collapsed="false">
      <c r="A2586" s="16" t="n">
        <v>45253</v>
      </c>
      <c r="B2586" s="17" t="s">
        <v>1071</v>
      </c>
      <c r="C2586" s="17" t="s">
        <v>788</v>
      </c>
      <c r="D2586" s="17" t="s">
        <v>19</v>
      </c>
      <c r="E2586" s="17" t="s">
        <v>1171</v>
      </c>
      <c r="F2586" s="17" t="s">
        <v>1170</v>
      </c>
      <c r="G2586" s="18" t="n">
        <v>0</v>
      </c>
      <c r="H2586" s="18" t="n">
        <v>152.01</v>
      </c>
      <c r="I2586" s="18" t="n">
        <f aca="false">((I2585 + G2586) - H2586)</f>
        <v>-79232.26</v>
      </c>
      <c r="J2586" s="18" t="n">
        <v>0</v>
      </c>
      <c r="K2586" s="19" t="n">
        <v>0</v>
      </c>
      <c r="L2586" s="17" t="s">
        <v>88</v>
      </c>
    </row>
    <row r="2587" s="11" customFormat="true" ht="10.95" hidden="false" customHeight="true" outlineLevel="0" collapsed="false">
      <c r="A2587" s="16" t="n">
        <v>45253</v>
      </c>
      <c r="B2587" s="17" t="s">
        <v>1071</v>
      </c>
      <c r="C2587" s="17" t="s">
        <v>788</v>
      </c>
      <c r="D2587" s="17" t="s">
        <v>19</v>
      </c>
      <c r="E2587" s="17" t="s">
        <v>1109</v>
      </c>
      <c r="F2587" s="17" t="s">
        <v>1170</v>
      </c>
      <c r="G2587" s="18" t="n">
        <v>0</v>
      </c>
      <c r="H2587" s="18" t="n">
        <v>273.62</v>
      </c>
      <c r="I2587" s="18" t="n">
        <f aca="false">((I2586 + G2587) - H2587)</f>
        <v>-79505.88</v>
      </c>
      <c r="J2587" s="18" t="n">
        <v>0</v>
      </c>
      <c r="K2587" s="19" t="n">
        <v>0</v>
      </c>
      <c r="L2587" s="17" t="s">
        <v>88</v>
      </c>
    </row>
    <row r="2588" s="11" customFormat="true" ht="10.95" hidden="false" customHeight="true" outlineLevel="0" collapsed="false">
      <c r="A2588" s="16" t="n">
        <v>45253</v>
      </c>
      <c r="B2588" s="17" t="s">
        <v>1071</v>
      </c>
      <c r="C2588" s="17" t="s">
        <v>788</v>
      </c>
      <c r="D2588" s="17" t="s">
        <v>19</v>
      </c>
      <c r="E2588" s="17" t="s">
        <v>1110</v>
      </c>
      <c r="F2588" s="17" t="s">
        <v>1170</v>
      </c>
      <c r="G2588" s="18" t="n">
        <v>0</v>
      </c>
      <c r="H2588" s="18" t="n">
        <v>91.21</v>
      </c>
      <c r="I2588" s="18" t="n">
        <f aca="false">((I2587 + G2588) - H2588)</f>
        <v>-79597.09</v>
      </c>
      <c r="J2588" s="18" t="n">
        <v>0</v>
      </c>
      <c r="K2588" s="19" t="n">
        <v>0</v>
      </c>
      <c r="L2588" s="17" t="s">
        <v>88</v>
      </c>
    </row>
    <row r="2589" s="11" customFormat="true" ht="10.95" hidden="false" customHeight="true" outlineLevel="0" collapsed="false">
      <c r="A2589" s="16" t="n">
        <v>45253</v>
      </c>
      <c r="B2589" s="17" t="s">
        <v>1071</v>
      </c>
      <c r="C2589" s="17" t="s">
        <v>788</v>
      </c>
      <c r="D2589" s="17" t="s">
        <v>19</v>
      </c>
      <c r="E2589" s="17" t="s">
        <v>1111</v>
      </c>
      <c r="F2589" s="17" t="s">
        <v>1170</v>
      </c>
      <c r="G2589" s="18" t="n">
        <v>0</v>
      </c>
      <c r="H2589" s="18" t="n">
        <v>1354.28</v>
      </c>
      <c r="I2589" s="18" t="n">
        <f aca="false">((I2588 + G2589) - H2589)</f>
        <v>-80951.37</v>
      </c>
      <c r="J2589" s="18" t="n">
        <v>0</v>
      </c>
      <c r="K2589" s="19" t="n">
        <v>0</v>
      </c>
      <c r="L2589" s="17" t="s">
        <v>88</v>
      </c>
    </row>
    <row r="2590" s="11" customFormat="true" ht="10.95" hidden="false" customHeight="true" outlineLevel="0" collapsed="false">
      <c r="A2590" s="16" t="n">
        <v>45253</v>
      </c>
      <c r="B2590" s="17" t="s">
        <v>1071</v>
      </c>
      <c r="C2590" s="17" t="s">
        <v>788</v>
      </c>
      <c r="D2590" s="17" t="s">
        <v>19</v>
      </c>
      <c r="E2590" s="17" t="s">
        <v>1112</v>
      </c>
      <c r="F2590" s="17" t="s">
        <v>1170</v>
      </c>
      <c r="G2590" s="18" t="n">
        <v>0</v>
      </c>
      <c r="H2590" s="18" t="n">
        <v>414.57</v>
      </c>
      <c r="I2590" s="18" t="n">
        <f aca="false">((I2589 + G2590) - H2590)</f>
        <v>-81365.94</v>
      </c>
      <c r="J2590" s="18" t="n">
        <v>0</v>
      </c>
      <c r="K2590" s="19" t="n">
        <v>0</v>
      </c>
      <c r="L2590" s="17" t="s">
        <v>88</v>
      </c>
    </row>
    <row r="2591" s="11" customFormat="true" ht="10.95" hidden="false" customHeight="true" outlineLevel="0" collapsed="false">
      <c r="A2591" s="16" t="n">
        <v>45253</v>
      </c>
      <c r="B2591" s="17" t="s">
        <v>1071</v>
      </c>
      <c r="C2591" s="17" t="s">
        <v>788</v>
      </c>
      <c r="D2591" s="17" t="s">
        <v>19</v>
      </c>
      <c r="E2591" s="17" t="s">
        <v>1172</v>
      </c>
      <c r="F2591" s="17" t="s">
        <v>1170</v>
      </c>
      <c r="G2591" s="18" t="n">
        <v>0</v>
      </c>
      <c r="H2591" s="18" t="n">
        <v>737.02</v>
      </c>
      <c r="I2591" s="18" t="n">
        <f aca="false">((I2590 + G2591) - H2591)</f>
        <v>-82102.96</v>
      </c>
      <c r="J2591" s="18" t="n">
        <v>0</v>
      </c>
      <c r="K2591" s="19" t="n">
        <v>0</v>
      </c>
      <c r="L2591" s="17" t="s">
        <v>88</v>
      </c>
    </row>
    <row r="2592" s="11" customFormat="true" ht="10.95" hidden="false" customHeight="true" outlineLevel="0" collapsed="false">
      <c r="A2592" s="16" t="n">
        <v>45253</v>
      </c>
      <c r="B2592" s="17" t="s">
        <v>1071</v>
      </c>
      <c r="C2592" s="17" t="s">
        <v>788</v>
      </c>
      <c r="D2592" s="17" t="s">
        <v>19</v>
      </c>
      <c r="E2592" s="17" t="s">
        <v>1107</v>
      </c>
      <c r="F2592" s="17" t="s">
        <v>1170</v>
      </c>
      <c r="G2592" s="18" t="n">
        <v>0</v>
      </c>
      <c r="H2592" s="18" t="n">
        <v>364.83</v>
      </c>
      <c r="I2592" s="18" t="n">
        <f aca="false">((I2591 + G2592) - H2592)</f>
        <v>-82467.79</v>
      </c>
      <c r="J2592" s="18" t="n">
        <v>0</v>
      </c>
      <c r="K2592" s="19" t="n">
        <v>0</v>
      </c>
      <c r="L2592" s="17" t="s">
        <v>88</v>
      </c>
    </row>
    <row r="2593" s="11" customFormat="true" ht="10.95" hidden="false" customHeight="true" outlineLevel="0" collapsed="false">
      <c r="A2593" s="16" t="n">
        <v>45253</v>
      </c>
      <c r="B2593" s="17" t="s">
        <v>1071</v>
      </c>
      <c r="C2593" s="17" t="s">
        <v>788</v>
      </c>
      <c r="D2593" s="17" t="s">
        <v>19</v>
      </c>
      <c r="E2593" s="17" t="s">
        <v>1171</v>
      </c>
      <c r="F2593" s="17" t="s">
        <v>1170</v>
      </c>
      <c r="G2593" s="18" t="n">
        <v>0</v>
      </c>
      <c r="H2593" s="18" t="n">
        <v>152.01</v>
      </c>
      <c r="I2593" s="18" t="n">
        <f aca="false">((I2592 + G2593) - H2593)</f>
        <v>-82619.8</v>
      </c>
      <c r="J2593" s="18" t="n">
        <v>0</v>
      </c>
      <c r="K2593" s="19" t="n">
        <v>0</v>
      </c>
      <c r="L2593" s="17" t="s">
        <v>88</v>
      </c>
    </row>
    <row r="2594" s="11" customFormat="true" ht="10.95" hidden="false" customHeight="true" outlineLevel="0" collapsed="false">
      <c r="A2594" s="16" t="n">
        <v>45253</v>
      </c>
      <c r="B2594" s="17" t="s">
        <v>1071</v>
      </c>
      <c r="C2594" s="17" t="s">
        <v>788</v>
      </c>
      <c r="D2594" s="17" t="s">
        <v>19</v>
      </c>
      <c r="E2594" s="17" t="s">
        <v>1109</v>
      </c>
      <c r="F2594" s="17" t="s">
        <v>1170</v>
      </c>
      <c r="G2594" s="18" t="n">
        <v>0</v>
      </c>
      <c r="H2594" s="18" t="n">
        <v>273.62</v>
      </c>
      <c r="I2594" s="18" t="n">
        <f aca="false">((I2593 + G2594) - H2594)</f>
        <v>-82893.42</v>
      </c>
      <c r="J2594" s="18" t="n">
        <v>0</v>
      </c>
      <c r="K2594" s="19" t="n">
        <v>0</v>
      </c>
      <c r="L2594" s="17" t="s">
        <v>88</v>
      </c>
    </row>
    <row r="2595" s="11" customFormat="true" ht="10.95" hidden="false" customHeight="true" outlineLevel="0" collapsed="false">
      <c r="A2595" s="16" t="n">
        <v>45253</v>
      </c>
      <c r="B2595" s="17" t="s">
        <v>1071</v>
      </c>
      <c r="C2595" s="17" t="s">
        <v>788</v>
      </c>
      <c r="D2595" s="17" t="s">
        <v>19</v>
      </c>
      <c r="E2595" s="17" t="s">
        <v>1110</v>
      </c>
      <c r="F2595" s="17" t="s">
        <v>1170</v>
      </c>
      <c r="G2595" s="18" t="n">
        <v>0</v>
      </c>
      <c r="H2595" s="18" t="n">
        <v>91.21</v>
      </c>
      <c r="I2595" s="18" t="n">
        <f aca="false">((I2594 + G2595) - H2595)</f>
        <v>-82984.63</v>
      </c>
      <c r="J2595" s="18" t="n">
        <v>0</v>
      </c>
      <c r="K2595" s="19" t="n">
        <v>0</v>
      </c>
      <c r="L2595" s="17" t="s">
        <v>88</v>
      </c>
    </row>
    <row r="2596" s="11" customFormat="true" ht="10.95" hidden="false" customHeight="true" outlineLevel="0" collapsed="false">
      <c r="A2596" s="16" t="n">
        <v>45253</v>
      </c>
      <c r="B2596" s="17" t="s">
        <v>1071</v>
      </c>
      <c r="C2596" s="17" t="s">
        <v>788</v>
      </c>
      <c r="D2596" s="17" t="s">
        <v>19</v>
      </c>
      <c r="E2596" s="17" t="s">
        <v>1111</v>
      </c>
      <c r="F2596" s="17" t="s">
        <v>1170</v>
      </c>
      <c r="G2596" s="18" t="n">
        <v>0</v>
      </c>
      <c r="H2596" s="18" t="n">
        <v>1354.28</v>
      </c>
      <c r="I2596" s="18" t="n">
        <f aca="false">((I2595 + G2596) - H2596)</f>
        <v>-84338.91</v>
      </c>
      <c r="J2596" s="18" t="n">
        <v>0</v>
      </c>
      <c r="K2596" s="19" t="n">
        <v>0</v>
      </c>
      <c r="L2596" s="17" t="s">
        <v>88</v>
      </c>
    </row>
    <row r="2597" s="11" customFormat="true" ht="10.95" hidden="false" customHeight="true" outlineLevel="0" collapsed="false">
      <c r="A2597" s="16" t="n">
        <v>45253</v>
      </c>
      <c r="B2597" s="17" t="s">
        <v>1071</v>
      </c>
      <c r="C2597" s="17" t="s">
        <v>788</v>
      </c>
      <c r="D2597" s="17" t="s">
        <v>19</v>
      </c>
      <c r="E2597" s="17" t="s">
        <v>1112</v>
      </c>
      <c r="F2597" s="17" t="s">
        <v>1170</v>
      </c>
      <c r="G2597" s="18" t="n">
        <v>0</v>
      </c>
      <c r="H2597" s="18" t="n">
        <v>414.57</v>
      </c>
      <c r="I2597" s="18" t="n">
        <f aca="false">((I2596 + G2597) - H2597)</f>
        <v>-84753.48</v>
      </c>
      <c r="J2597" s="18" t="n">
        <v>0</v>
      </c>
      <c r="K2597" s="19" t="n">
        <v>0</v>
      </c>
      <c r="L2597" s="17" t="s">
        <v>88</v>
      </c>
    </row>
    <row r="2598" s="11" customFormat="true" ht="10.95" hidden="false" customHeight="true" outlineLevel="0" collapsed="false">
      <c r="A2598" s="16" t="n">
        <v>45253</v>
      </c>
      <c r="B2598" s="17" t="s">
        <v>1071</v>
      </c>
      <c r="C2598" s="17" t="s">
        <v>788</v>
      </c>
      <c r="D2598" s="17" t="s">
        <v>19</v>
      </c>
      <c r="E2598" s="17" t="s">
        <v>1172</v>
      </c>
      <c r="F2598" s="17" t="s">
        <v>1170</v>
      </c>
      <c r="G2598" s="18" t="n">
        <v>0</v>
      </c>
      <c r="H2598" s="18" t="n">
        <v>737.02</v>
      </c>
      <c r="I2598" s="18" t="n">
        <f aca="false">((I2597 + G2598) - H2598)</f>
        <v>-85490.5</v>
      </c>
      <c r="J2598" s="18" t="n">
        <v>0</v>
      </c>
      <c r="K2598" s="19" t="n">
        <v>0</v>
      </c>
      <c r="L2598" s="17" t="s">
        <v>88</v>
      </c>
    </row>
    <row r="2599" s="11" customFormat="true" ht="10.95" hidden="false" customHeight="true" outlineLevel="0" collapsed="false">
      <c r="A2599" s="16" t="n">
        <v>45253</v>
      </c>
      <c r="B2599" s="17" t="s">
        <v>1071</v>
      </c>
      <c r="C2599" s="17" t="s">
        <v>788</v>
      </c>
      <c r="D2599" s="17" t="s">
        <v>19</v>
      </c>
      <c r="E2599" s="17" t="s">
        <v>1107</v>
      </c>
      <c r="F2599" s="17" t="s">
        <v>1170</v>
      </c>
      <c r="G2599" s="18" t="n">
        <v>0</v>
      </c>
      <c r="H2599" s="18" t="n">
        <v>364.83</v>
      </c>
      <c r="I2599" s="18" t="n">
        <f aca="false">((I2598 + G2599) - H2599)</f>
        <v>-85855.33</v>
      </c>
      <c r="J2599" s="18" t="n">
        <v>0</v>
      </c>
      <c r="K2599" s="19" t="n">
        <v>0</v>
      </c>
      <c r="L2599" s="17" t="s">
        <v>88</v>
      </c>
    </row>
    <row r="2600" s="11" customFormat="true" ht="10.95" hidden="false" customHeight="true" outlineLevel="0" collapsed="false">
      <c r="A2600" s="16" t="n">
        <v>45253</v>
      </c>
      <c r="B2600" s="17" t="s">
        <v>1071</v>
      </c>
      <c r="C2600" s="17" t="s">
        <v>788</v>
      </c>
      <c r="D2600" s="17" t="s">
        <v>19</v>
      </c>
      <c r="E2600" s="17" t="s">
        <v>1171</v>
      </c>
      <c r="F2600" s="17" t="s">
        <v>1170</v>
      </c>
      <c r="G2600" s="18" t="n">
        <v>0</v>
      </c>
      <c r="H2600" s="18" t="n">
        <v>152.01</v>
      </c>
      <c r="I2600" s="18" t="n">
        <f aca="false">((I2599 + G2600) - H2600)</f>
        <v>-86007.34</v>
      </c>
      <c r="J2600" s="18" t="n">
        <v>0</v>
      </c>
      <c r="K2600" s="19" t="n">
        <v>0</v>
      </c>
      <c r="L2600" s="17" t="s">
        <v>88</v>
      </c>
    </row>
    <row r="2601" s="11" customFormat="true" ht="10.95" hidden="false" customHeight="true" outlineLevel="0" collapsed="false">
      <c r="A2601" s="16" t="n">
        <v>45253</v>
      </c>
      <c r="B2601" s="17" t="s">
        <v>1071</v>
      </c>
      <c r="C2601" s="17" t="s">
        <v>788</v>
      </c>
      <c r="D2601" s="17" t="s">
        <v>19</v>
      </c>
      <c r="E2601" s="17" t="s">
        <v>1109</v>
      </c>
      <c r="F2601" s="17" t="s">
        <v>1170</v>
      </c>
      <c r="G2601" s="18" t="n">
        <v>0</v>
      </c>
      <c r="H2601" s="18" t="n">
        <v>273.62</v>
      </c>
      <c r="I2601" s="18" t="n">
        <f aca="false">((I2600 + G2601) - H2601)</f>
        <v>-86280.96</v>
      </c>
      <c r="J2601" s="18" t="n">
        <v>0</v>
      </c>
      <c r="K2601" s="19" t="n">
        <v>0</v>
      </c>
      <c r="L2601" s="17" t="s">
        <v>88</v>
      </c>
    </row>
    <row r="2602" s="11" customFormat="true" ht="10.95" hidden="false" customHeight="true" outlineLevel="0" collapsed="false">
      <c r="A2602" s="16" t="n">
        <v>45253</v>
      </c>
      <c r="B2602" s="17" t="s">
        <v>1071</v>
      </c>
      <c r="C2602" s="17" t="s">
        <v>788</v>
      </c>
      <c r="D2602" s="17" t="s">
        <v>19</v>
      </c>
      <c r="E2602" s="17" t="s">
        <v>1110</v>
      </c>
      <c r="F2602" s="17" t="s">
        <v>1170</v>
      </c>
      <c r="G2602" s="18" t="n">
        <v>0</v>
      </c>
      <c r="H2602" s="18" t="n">
        <v>91.21</v>
      </c>
      <c r="I2602" s="18" t="n">
        <f aca="false">((I2601 + G2602) - H2602)</f>
        <v>-86372.17</v>
      </c>
      <c r="J2602" s="18" t="n">
        <v>0</v>
      </c>
      <c r="K2602" s="19" t="n">
        <v>0</v>
      </c>
      <c r="L2602" s="17" t="s">
        <v>88</v>
      </c>
    </row>
    <row r="2603" s="11" customFormat="true" ht="10.95" hidden="false" customHeight="true" outlineLevel="0" collapsed="false">
      <c r="A2603" s="16" t="n">
        <v>45253</v>
      </c>
      <c r="B2603" s="17" t="s">
        <v>1071</v>
      </c>
      <c r="C2603" s="17" t="s">
        <v>788</v>
      </c>
      <c r="D2603" s="17" t="s">
        <v>19</v>
      </c>
      <c r="E2603" s="17" t="s">
        <v>1111</v>
      </c>
      <c r="F2603" s="17" t="s">
        <v>1170</v>
      </c>
      <c r="G2603" s="18" t="n">
        <v>0</v>
      </c>
      <c r="H2603" s="18" t="n">
        <v>1354.28</v>
      </c>
      <c r="I2603" s="18" t="n">
        <f aca="false">((I2602 + G2603) - H2603)</f>
        <v>-87726.45</v>
      </c>
      <c r="J2603" s="18" t="n">
        <v>0</v>
      </c>
      <c r="K2603" s="19" t="n">
        <v>0</v>
      </c>
      <c r="L2603" s="17" t="s">
        <v>88</v>
      </c>
    </row>
    <row r="2604" s="11" customFormat="true" ht="10.95" hidden="false" customHeight="true" outlineLevel="0" collapsed="false">
      <c r="A2604" s="16" t="n">
        <v>45253</v>
      </c>
      <c r="B2604" s="17" t="s">
        <v>1071</v>
      </c>
      <c r="C2604" s="17" t="s">
        <v>788</v>
      </c>
      <c r="D2604" s="17" t="s">
        <v>19</v>
      </c>
      <c r="E2604" s="17" t="s">
        <v>1112</v>
      </c>
      <c r="F2604" s="17" t="s">
        <v>1170</v>
      </c>
      <c r="G2604" s="18" t="n">
        <v>0</v>
      </c>
      <c r="H2604" s="18" t="n">
        <v>414.57</v>
      </c>
      <c r="I2604" s="18" t="n">
        <f aca="false">((I2603 + G2604) - H2604)</f>
        <v>-88141.02</v>
      </c>
      <c r="J2604" s="18" t="n">
        <v>0</v>
      </c>
      <c r="K2604" s="19" t="n">
        <v>0</v>
      </c>
      <c r="L2604" s="17" t="s">
        <v>88</v>
      </c>
    </row>
    <row r="2605" s="11" customFormat="true" ht="10.95" hidden="false" customHeight="true" outlineLevel="0" collapsed="false">
      <c r="A2605" s="16" t="n">
        <v>45253</v>
      </c>
      <c r="B2605" s="17" t="s">
        <v>1071</v>
      </c>
      <c r="C2605" s="17" t="s">
        <v>788</v>
      </c>
      <c r="D2605" s="17" t="s">
        <v>19</v>
      </c>
      <c r="E2605" s="17" t="s">
        <v>1172</v>
      </c>
      <c r="F2605" s="17" t="s">
        <v>1170</v>
      </c>
      <c r="G2605" s="18" t="n">
        <v>0</v>
      </c>
      <c r="H2605" s="18" t="n">
        <v>737.02</v>
      </c>
      <c r="I2605" s="18" t="n">
        <f aca="false">((I2604 + G2605) - H2605)</f>
        <v>-88878.04</v>
      </c>
      <c r="J2605" s="18" t="n">
        <v>0</v>
      </c>
      <c r="K2605" s="19" t="n">
        <v>0</v>
      </c>
      <c r="L2605" s="17" t="s">
        <v>88</v>
      </c>
    </row>
    <row r="2606" s="11" customFormat="true" ht="10.95" hidden="false" customHeight="true" outlineLevel="0" collapsed="false">
      <c r="A2606" s="16" t="n">
        <v>45278</v>
      </c>
      <c r="B2606" s="17" t="s">
        <v>1071</v>
      </c>
      <c r="C2606" s="17" t="s">
        <v>788</v>
      </c>
      <c r="D2606" s="17" t="s">
        <v>19</v>
      </c>
      <c r="E2606" s="17" t="s">
        <v>1090</v>
      </c>
      <c r="F2606" s="17" t="s">
        <v>1173</v>
      </c>
      <c r="G2606" s="18" t="n">
        <v>0</v>
      </c>
      <c r="H2606" s="18" t="n">
        <v>386.49</v>
      </c>
      <c r="I2606" s="18" t="n">
        <f aca="false">((I2605 + G2606) - H2606)</f>
        <v>-89264.53</v>
      </c>
      <c r="J2606" s="18" t="n">
        <v>0</v>
      </c>
      <c r="K2606" s="19" t="n">
        <v>0</v>
      </c>
      <c r="L2606" s="17" t="s">
        <v>88</v>
      </c>
    </row>
    <row r="2607" s="11" customFormat="true" ht="10.95" hidden="false" customHeight="true" outlineLevel="0" collapsed="false">
      <c r="A2607" s="16" t="n">
        <v>45278</v>
      </c>
      <c r="B2607" s="17" t="s">
        <v>1071</v>
      </c>
      <c r="C2607" s="17" t="s">
        <v>788</v>
      </c>
      <c r="D2607" s="17" t="s">
        <v>19</v>
      </c>
      <c r="E2607" s="17" t="s">
        <v>1102</v>
      </c>
      <c r="F2607" s="17" t="s">
        <v>1173</v>
      </c>
      <c r="G2607" s="18" t="n">
        <v>0</v>
      </c>
      <c r="H2607" s="18" t="n">
        <v>203.41</v>
      </c>
      <c r="I2607" s="18" t="n">
        <f aca="false">((I2606 + G2607) - H2607)</f>
        <v>-89467.94</v>
      </c>
      <c r="J2607" s="18" t="n">
        <v>0</v>
      </c>
      <c r="K2607" s="19" t="n">
        <v>0</v>
      </c>
      <c r="L2607" s="17" t="s">
        <v>88</v>
      </c>
    </row>
    <row r="2608" s="11" customFormat="true" ht="10.95" hidden="false" customHeight="true" outlineLevel="0" collapsed="false">
      <c r="A2608" s="16" t="n">
        <v>45278</v>
      </c>
      <c r="B2608" s="17" t="s">
        <v>1071</v>
      </c>
      <c r="C2608" s="17" t="s">
        <v>788</v>
      </c>
      <c r="D2608" s="17" t="s">
        <v>19</v>
      </c>
      <c r="E2608" s="17" t="s">
        <v>1090</v>
      </c>
      <c r="F2608" s="17" t="s">
        <v>1173</v>
      </c>
      <c r="G2608" s="18" t="n">
        <v>0</v>
      </c>
      <c r="H2608" s="18" t="n">
        <v>386.49</v>
      </c>
      <c r="I2608" s="18" t="n">
        <f aca="false">((I2607 + G2608) - H2608)</f>
        <v>-89854.43</v>
      </c>
      <c r="J2608" s="18" t="n">
        <v>0</v>
      </c>
      <c r="K2608" s="19" t="n">
        <v>0</v>
      </c>
      <c r="L2608" s="17" t="s">
        <v>88</v>
      </c>
    </row>
    <row r="2609" s="11" customFormat="true" ht="10.95" hidden="false" customHeight="true" outlineLevel="0" collapsed="false">
      <c r="A2609" s="16" t="n">
        <v>45278</v>
      </c>
      <c r="B2609" s="17" t="s">
        <v>1071</v>
      </c>
      <c r="C2609" s="17" t="s">
        <v>788</v>
      </c>
      <c r="D2609" s="17" t="s">
        <v>19</v>
      </c>
      <c r="E2609" s="17" t="s">
        <v>1102</v>
      </c>
      <c r="F2609" s="17" t="s">
        <v>1173</v>
      </c>
      <c r="G2609" s="18" t="n">
        <v>0</v>
      </c>
      <c r="H2609" s="18" t="n">
        <v>203.41</v>
      </c>
      <c r="I2609" s="18" t="n">
        <f aca="false">((I2608 + G2609) - H2609)</f>
        <v>-90057.84</v>
      </c>
      <c r="J2609" s="18" t="n">
        <v>0</v>
      </c>
      <c r="K2609" s="19" t="n">
        <v>0</v>
      </c>
      <c r="L2609" s="17" t="s">
        <v>88</v>
      </c>
    </row>
    <row r="2610" s="11" customFormat="true" ht="10.95" hidden="false" customHeight="true" outlineLevel="0" collapsed="false">
      <c r="A2610" s="16" t="n">
        <v>45278</v>
      </c>
      <c r="B2610" s="17" t="s">
        <v>1071</v>
      </c>
      <c r="C2610" s="17" t="s">
        <v>788</v>
      </c>
      <c r="D2610" s="17" t="s">
        <v>19</v>
      </c>
      <c r="E2610" s="17" t="s">
        <v>1090</v>
      </c>
      <c r="F2610" s="17" t="s">
        <v>1173</v>
      </c>
      <c r="G2610" s="18" t="n">
        <v>0</v>
      </c>
      <c r="H2610" s="18" t="n">
        <v>386.49</v>
      </c>
      <c r="I2610" s="18" t="n">
        <f aca="false">((I2609 + G2610) - H2610)</f>
        <v>-90444.33</v>
      </c>
      <c r="J2610" s="18" t="n">
        <v>0</v>
      </c>
      <c r="K2610" s="19" t="n">
        <v>0</v>
      </c>
      <c r="L2610" s="17" t="s">
        <v>88</v>
      </c>
    </row>
    <row r="2611" s="11" customFormat="true" ht="10.95" hidden="false" customHeight="true" outlineLevel="0" collapsed="false">
      <c r="A2611" s="16" t="n">
        <v>45278</v>
      </c>
      <c r="B2611" s="17" t="s">
        <v>1071</v>
      </c>
      <c r="C2611" s="17" t="s">
        <v>788</v>
      </c>
      <c r="D2611" s="17" t="s">
        <v>19</v>
      </c>
      <c r="E2611" s="17" t="s">
        <v>1102</v>
      </c>
      <c r="F2611" s="17" t="s">
        <v>1173</v>
      </c>
      <c r="G2611" s="18" t="n">
        <v>0</v>
      </c>
      <c r="H2611" s="18" t="n">
        <v>203.41</v>
      </c>
      <c r="I2611" s="18" t="n">
        <f aca="false">((I2610 + G2611) - H2611)</f>
        <v>-90647.74</v>
      </c>
      <c r="J2611" s="18" t="n">
        <v>0</v>
      </c>
      <c r="K2611" s="19" t="n">
        <v>0</v>
      </c>
      <c r="L2611" s="17" t="s">
        <v>88</v>
      </c>
    </row>
    <row r="2612" s="11" customFormat="true" ht="10.95" hidden="false" customHeight="true" outlineLevel="0" collapsed="false">
      <c r="A2612" s="16" t="n">
        <v>45278</v>
      </c>
      <c r="B2612" s="17" t="s">
        <v>1071</v>
      </c>
      <c r="C2612" s="17" t="s">
        <v>788</v>
      </c>
      <c r="D2612" s="17" t="s">
        <v>19</v>
      </c>
      <c r="E2612" s="17" t="s">
        <v>1090</v>
      </c>
      <c r="F2612" s="17" t="s">
        <v>1173</v>
      </c>
      <c r="G2612" s="18" t="n">
        <v>0</v>
      </c>
      <c r="H2612" s="18" t="n">
        <v>386.49</v>
      </c>
      <c r="I2612" s="18" t="n">
        <f aca="false">((I2611 + G2612) - H2612)</f>
        <v>-91034.23</v>
      </c>
      <c r="J2612" s="18" t="n">
        <v>0</v>
      </c>
      <c r="K2612" s="19" t="n">
        <v>0</v>
      </c>
      <c r="L2612" s="17" t="s">
        <v>88</v>
      </c>
    </row>
    <row r="2613" s="11" customFormat="true" ht="10.95" hidden="false" customHeight="true" outlineLevel="0" collapsed="false">
      <c r="A2613" s="16" t="n">
        <v>45278</v>
      </c>
      <c r="B2613" s="17" t="s">
        <v>1071</v>
      </c>
      <c r="C2613" s="17" t="s">
        <v>788</v>
      </c>
      <c r="D2613" s="17" t="s">
        <v>19</v>
      </c>
      <c r="E2613" s="17" t="s">
        <v>1102</v>
      </c>
      <c r="F2613" s="17" t="s">
        <v>1173</v>
      </c>
      <c r="G2613" s="18" t="n">
        <v>0</v>
      </c>
      <c r="H2613" s="18" t="n">
        <v>203.41</v>
      </c>
      <c r="I2613" s="18" t="n">
        <f aca="false">((I2612 + G2613) - H2613)</f>
        <v>-91237.64</v>
      </c>
      <c r="J2613" s="18" t="n">
        <v>0</v>
      </c>
      <c r="K2613" s="19" t="n">
        <v>0</v>
      </c>
      <c r="L2613" s="17" t="s">
        <v>88</v>
      </c>
    </row>
    <row r="2614" s="11" customFormat="true" ht="10.95" hidden="false" customHeight="true" outlineLevel="0" collapsed="false">
      <c r="A2614" s="16" t="n">
        <v>45278</v>
      </c>
      <c r="B2614" s="17" t="s">
        <v>1071</v>
      </c>
      <c r="C2614" s="17" t="s">
        <v>788</v>
      </c>
      <c r="D2614" s="17" t="s">
        <v>19</v>
      </c>
      <c r="E2614" s="17" t="s">
        <v>1090</v>
      </c>
      <c r="F2614" s="17" t="s">
        <v>1173</v>
      </c>
      <c r="G2614" s="18" t="n">
        <v>0</v>
      </c>
      <c r="H2614" s="18" t="n">
        <v>386.49</v>
      </c>
      <c r="I2614" s="18" t="n">
        <f aca="false">((I2613 + G2614) - H2614)</f>
        <v>-91624.1300000001</v>
      </c>
      <c r="J2614" s="18" t="n">
        <v>0</v>
      </c>
      <c r="K2614" s="19" t="n">
        <v>0</v>
      </c>
      <c r="L2614" s="17" t="s">
        <v>88</v>
      </c>
    </row>
    <row r="2615" s="11" customFormat="true" ht="10.95" hidden="false" customHeight="true" outlineLevel="0" collapsed="false">
      <c r="A2615" s="16" t="n">
        <v>45278</v>
      </c>
      <c r="B2615" s="17" t="s">
        <v>1071</v>
      </c>
      <c r="C2615" s="17" t="s">
        <v>788</v>
      </c>
      <c r="D2615" s="17" t="s">
        <v>19</v>
      </c>
      <c r="E2615" s="17" t="s">
        <v>1102</v>
      </c>
      <c r="F2615" s="17" t="s">
        <v>1173</v>
      </c>
      <c r="G2615" s="18" t="n">
        <v>0</v>
      </c>
      <c r="H2615" s="18" t="n">
        <v>203.41</v>
      </c>
      <c r="I2615" s="18" t="n">
        <f aca="false">((I2614 + G2615) - H2615)</f>
        <v>-91827.5400000001</v>
      </c>
      <c r="J2615" s="18" t="n">
        <v>0</v>
      </c>
      <c r="K2615" s="19" t="n">
        <v>0</v>
      </c>
      <c r="L2615" s="17" t="s">
        <v>88</v>
      </c>
    </row>
    <row r="2616" s="11" customFormat="true" ht="10.95" hidden="false" customHeight="true" outlineLevel="0" collapsed="false">
      <c r="A2616" s="16" t="n">
        <v>45278</v>
      </c>
      <c r="B2616" s="17" t="s">
        <v>1071</v>
      </c>
      <c r="C2616" s="17" t="s">
        <v>788</v>
      </c>
      <c r="D2616" s="17" t="s">
        <v>19</v>
      </c>
      <c r="E2616" s="17" t="s">
        <v>1090</v>
      </c>
      <c r="F2616" s="17" t="s">
        <v>1173</v>
      </c>
      <c r="G2616" s="18" t="n">
        <v>0</v>
      </c>
      <c r="H2616" s="18" t="n">
        <v>386.49</v>
      </c>
      <c r="I2616" s="18" t="n">
        <f aca="false">((I2615 + G2616) - H2616)</f>
        <v>-92214.0300000001</v>
      </c>
      <c r="J2616" s="18" t="n">
        <v>0</v>
      </c>
      <c r="K2616" s="19" t="n">
        <v>0</v>
      </c>
      <c r="L2616" s="17" t="s">
        <v>88</v>
      </c>
    </row>
    <row r="2617" s="11" customFormat="true" ht="10.95" hidden="false" customHeight="true" outlineLevel="0" collapsed="false">
      <c r="A2617" s="16" t="n">
        <v>45278</v>
      </c>
      <c r="B2617" s="17" t="s">
        <v>1071</v>
      </c>
      <c r="C2617" s="17" t="s">
        <v>788</v>
      </c>
      <c r="D2617" s="17" t="s">
        <v>19</v>
      </c>
      <c r="E2617" s="17" t="s">
        <v>1102</v>
      </c>
      <c r="F2617" s="17" t="s">
        <v>1173</v>
      </c>
      <c r="G2617" s="18" t="n">
        <v>0</v>
      </c>
      <c r="H2617" s="18" t="n">
        <v>203.41</v>
      </c>
      <c r="I2617" s="18" t="n">
        <f aca="false">((I2616 + G2617) - H2617)</f>
        <v>-92417.4400000001</v>
      </c>
      <c r="J2617" s="18" t="n">
        <v>0</v>
      </c>
      <c r="K2617" s="19" t="n">
        <v>0</v>
      </c>
      <c r="L2617" s="17" t="s">
        <v>88</v>
      </c>
    </row>
    <row r="2618" s="11" customFormat="true" ht="10.95" hidden="false" customHeight="true" outlineLevel="0" collapsed="false">
      <c r="A2618" s="16" t="n">
        <v>45278</v>
      </c>
      <c r="B2618" s="17" t="s">
        <v>1071</v>
      </c>
      <c r="C2618" s="17" t="s">
        <v>788</v>
      </c>
      <c r="D2618" s="17" t="s">
        <v>19</v>
      </c>
      <c r="E2618" s="17" t="s">
        <v>1090</v>
      </c>
      <c r="F2618" s="17" t="s">
        <v>1173</v>
      </c>
      <c r="G2618" s="18" t="n">
        <v>0</v>
      </c>
      <c r="H2618" s="18" t="n">
        <v>386.49</v>
      </c>
      <c r="I2618" s="18" t="n">
        <f aca="false">((I2617 + G2618) - H2618)</f>
        <v>-92803.9300000001</v>
      </c>
      <c r="J2618" s="18" t="n">
        <v>0</v>
      </c>
      <c r="K2618" s="19" t="n">
        <v>0</v>
      </c>
      <c r="L2618" s="17" t="s">
        <v>88</v>
      </c>
    </row>
    <row r="2619" s="11" customFormat="true" ht="10.95" hidden="false" customHeight="true" outlineLevel="0" collapsed="false">
      <c r="A2619" s="16" t="n">
        <v>45278</v>
      </c>
      <c r="B2619" s="17" t="s">
        <v>1071</v>
      </c>
      <c r="C2619" s="17" t="s">
        <v>788</v>
      </c>
      <c r="D2619" s="17" t="s">
        <v>19</v>
      </c>
      <c r="E2619" s="17" t="s">
        <v>1102</v>
      </c>
      <c r="F2619" s="17" t="s">
        <v>1173</v>
      </c>
      <c r="G2619" s="18" t="n">
        <v>0</v>
      </c>
      <c r="H2619" s="18" t="n">
        <v>203.41</v>
      </c>
      <c r="I2619" s="18" t="n">
        <f aca="false">((I2618 + G2619) - H2619)</f>
        <v>-93007.3400000001</v>
      </c>
      <c r="J2619" s="18" t="n">
        <v>0</v>
      </c>
      <c r="K2619" s="19" t="n">
        <v>0</v>
      </c>
      <c r="L2619" s="17" t="s">
        <v>88</v>
      </c>
    </row>
    <row r="2620" s="11" customFormat="true" ht="10.95" hidden="false" customHeight="true" outlineLevel="0" collapsed="false">
      <c r="A2620" s="16" t="n">
        <v>45278</v>
      </c>
      <c r="B2620" s="17" t="s">
        <v>1071</v>
      </c>
      <c r="C2620" s="17" t="s">
        <v>788</v>
      </c>
      <c r="D2620" s="17" t="s">
        <v>19</v>
      </c>
      <c r="E2620" s="17" t="s">
        <v>1090</v>
      </c>
      <c r="F2620" s="17" t="s">
        <v>1173</v>
      </c>
      <c r="G2620" s="18" t="n">
        <v>0</v>
      </c>
      <c r="H2620" s="18" t="n">
        <v>386.49</v>
      </c>
      <c r="I2620" s="18" t="n">
        <f aca="false">((I2619 + G2620) - H2620)</f>
        <v>-93393.8300000001</v>
      </c>
      <c r="J2620" s="18" t="n">
        <v>0</v>
      </c>
      <c r="K2620" s="19" t="n">
        <v>0</v>
      </c>
      <c r="L2620" s="17" t="s">
        <v>88</v>
      </c>
    </row>
    <row r="2621" s="11" customFormat="true" ht="10.95" hidden="false" customHeight="true" outlineLevel="0" collapsed="false">
      <c r="A2621" s="16" t="n">
        <v>45278</v>
      </c>
      <c r="B2621" s="17" t="s">
        <v>1071</v>
      </c>
      <c r="C2621" s="17" t="s">
        <v>788</v>
      </c>
      <c r="D2621" s="17" t="s">
        <v>19</v>
      </c>
      <c r="E2621" s="17" t="s">
        <v>1102</v>
      </c>
      <c r="F2621" s="17" t="s">
        <v>1173</v>
      </c>
      <c r="G2621" s="18" t="n">
        <v>0</v>
      </c>
      <c r="H2621" s="18" t="n">
        <v>203.41</v>
      </c>
      <c r="I2621" s="18" t="n">
        <f aca="false">((I2620 + G2621) - H2621)</f>
        <v>-93597.2400000001</v>
      </c>
      <c r="J2621" s="18" t="n">
        <v>0</v>
      </c>
      <c r="K2621" s="19" t="n">
        <v>0</v>
      </c>
      <c r="L2621" s="17" t="s">
        <v>88</v>
      </c>
    </row>
    <row r="2622" s="11" customFormat="true" ht="10.95" hidden="false" customHeight="true" outlineLevel="0" collapsed="false">
      <c r="A2622" s="16" t="n">
        <v>45278</v>
      </c>
      <c r="B2622" s="17" t="s">
        <v>1071</v>
      </c>
      <c r="C2622" s="17" t="s">
        <v>788</v>
      </c>
      <c r="D2622" s="17" t="s">
        <v>19</v>
      </c>
      <c r="E2622" s="17" t="s">
        <v>1090</v>
      </c>
      <c r="F2622" s="17" t="s">
        <v>1173</v>
      </c>
      <c r="G2622" s="18" t="n">
        <v>0</v>
      </c>
      <c r="H2622" s="18" t="n">
        <v>386.49</v>
      </c>
      <c r="I2622" s="18" t="n">
        <f aca="false">((I2621 + G2622) - H2622)</f>
        <v>-93983.7300000001</v>
      </c>
      <c r="J2622" s="18" t="n">
        <v>0</v>
      </c>
      <c r="K2622" s="19" t="n">
        <v>0</v>
      </c>
      <c r="L2622" s="17" t="s">
        <v>88</v>
      </c>
    </row>
    <row r="2623" s="11" customFormat="true" ht="10.95" hidden="false" customHeight="true" outlineLevel="0" collapsed="false">
      <c r="A2623" s="16" t="n">
        <v>45278</v>
      </c>
      <c r="B2623" s="17" t="s">
        <v>1071</v>
      </c>
      <c r="C2623" s="17" t="s">
        <v>788</v>
      </c>
      <c r="D2623" s="17" t="s">
        <v>19</v>
      </c>
      <c r="E2623" s="17" t="s">
        <v>1102</v>
      </c>
      <c r="F2623" s="17" t="s">
        <v>1173</v>
      </c>
      <c r="G2623" s="18" t="n">
        <v>0</v>
      </c>
      <c r="H2623" s="18" t="n">
        <v>203.41</v>
      </c>
      <c r="I2623" s="18" t="n">
        <f aca="false">((I2622 + G2623) - H2623)</f>
        <v>-94187.1400000001</v>
      </c>
      <c r="J2623" s="18" t="n">
        <v>0</v>
      </c>
      <c r="K2623" s="19" t="n">
        <v>0</v>
      </c>
      <c r="L2623" s="17" t="s">
        <v>88</v>
      </c>
    </row>
    <row r="2624" s="11" customFormat="true" ht="10.95" hidden="false" customHeight="true" outlineLevel="0" collapsed="false">
      <c r="A2624" s="16" t="n">
        <v>45278</v>
      </c>
      <c r="B2624" s="17" t="s">
        <v>1071</v>
      </c>
      <c r="C2624" s="17" t="s">
        <v>788</v>
      </c>
      <c r="D2624" s="17" t="s">
        <v>19</v>
      </c>
      <c r="E2624" s="17" t="s">
        <v>1090</v>
      </c>
      <c r="F2624" s="17" t="s">
        <v>1173</v>
      </c>
      <c r="G2624" s="18" t="n">
        <v>0</v>
      </c>
      <c r="H2624" s="18" t="n">
        <v>386.49</v>
      </c>
      <c r="I2624" s="18" t="n">
        <f aca="false">((I2623 + G2624) - H2624)</f>
        <v>-94573.6300000001</v>
      </c>
      <c r="J2624" s="18" t="n">
        <v>0</v>
      </c>
      <c r="K2624" s="19" t="n">
        <v>0</v>
      </c>
      <c r="L2624" s="17" t="s">
        <v>88</v>
      </c>
    </row>
    <row r="2625" s="11" customFormat="true" ht="10.95" hidden="false" customHeight="true" outlineLevel="0" collapsed="false">
      <c r="A2625" s="16" t="n">
        <v>45278</v>
      </c>
      <c r="B2625" s="17" t="s">
        <v>1071</v>
      </c>
      <c r="C2625" s="17" t="s">
        <v>788</v>
      </c>
      <c r="D2625" s="17" t="s">
        <v>19</v>
      </c>
      <c r="E2625" s="17" t="s">
        <v>1102</v>
      </c>
      <c r="F2625" s="17" t="s">
        <v>1173</v>
      </c>
      <c r="G2625" s="18" t="n">
        <v>0</v>
      </c>
      <c r="H2625" s="18" t="n">
        <v>203.41</v>
      </c>
      <c r="I2625" s="18" t="n">
        <f aca="false">((I2624 + G2625) - H2625)</f>
        <v>-94777.0400000001</v>
      </c>
      <c r="J2625" s="18" t="n">
        <v>0</v>
      </c>
      <c r="K2625" s="19" t="n">
        <v>0</v>
      </c>
      <c r="L2625" s="17" t="s">
        <v>88</v>
      </c>
    </row>
    <row r="2626" s="11" customFormat="true" ht="10.95" hidden="false" customHeight="true" outlineLevel="0" collapsed="false">
      <c r="A2626" s="16" t="n">
        <v>45278</v>
      </c>
      <c r="B2626" s="17" t="s">
        <v>1071</v>
      </c>
      <c r="C2626" s="17" t="s">
        <v>788</v>
      </c>
      <c r="D2626" s="17" t="s">
        <v>19</v>
      </c>
      <c r="E2626" s="17" t="s">
        <v>1090</v>
      </c>
      <c r="F2626" s="17" t="s">
        <v>1173</v>
      </c>
      <c r="G2626" s="18" t="n">
        <v>0</v>
      </c>
      <c r="H2626" s="18" t="n">
        <v>386.49</v>
      </c>
      <c r="I2626" s="18" t="n">
        <f aca="false">((I2625 + G2626) - H2626)</f>
        <v>-95163.5300000001</v>
      </c>
      <c r="J2626" s="18" t="n">
        <v>0</v>
      </c>
      <c r="K2626" s="19" t="n">
        <v>0</v>
      </c>
      <c r="L2626" s="17" t="s">
        <v>88</v>
      </c>
    </row>
    <row r="2627" s="11" customFormat="true" ht="10.95" hidden="false" customHeight="true" outlineLevel="0" collapsed="false">
      <c r="A2627" s="16" t="n">
        <v>45278</v>
      </c>
      <c r="B2627" s="17" t="s">
        <v>1071</v>
      </c>
      <c r="C2627" s="17" t="s">
        <v>788</v>
      </c>
      <c r="D2627" s="17" t="s">
        <v>19</v>
      </c>
      <c r="E2627" s="17" t="s">
        <v>1102</v>
      </c>
      <c r="F2627" s="17" t="s">
        <v>1173</v>
      </c>
      <c r="G2627" s="18" t="n">
        <v>0</v>
      </c>
      <c r="H2627" s="18" t="n">
        <v>203.41</v>
      </c>
      <c r="I2627" s="18" t="n">
        <f aca="false">((I2626 + G2627) - H2627)</f>
        <v>-95366.9400000001</v>
      </c>
      <c r="J2627" s="18" t="n">
        <v>0</v>
      </c>
      <c r="K2627" s="19" t="n">
        <v>0</v>
      </c>
      <c r="L2627" s="17" t="s">
        <v>88</v>
      </c>
    </row>
    <row r="2628" s="11" customFormat="true" ht="10.95" hidden="false" customHeight="true" outlineLevel="0" collapsed="false">
      <c r="A2628" s="16" t="n">
        <v>45278</v>
      </c>
      <c r="B2628" s="17" t="s">
        <v>1071</v>
      </c>
      <c r="C2628" s="17" t="s">
        <v>788</v>
      </c>
      <c r="D2628" s="17" t="s">
        <v>19</v>
      </c>
      <c r="E2628" s="17" t="s">
        <v>1090</v>
      </c>
      <c r="F2628" s="17" t="s">
        <v>1173</v>
      </c>
      <c r="G2628" s="18" t="n">
        <v>0</v>
      </c>
      <c r="H2628" s="18" t="n">
        <v>386.49</v>
      </c>
      <c r="I2628" s="18" t="n">
        <f aca="false">((I2627 + G2628) - H2628)</f>
        <v>-95753.4300000001</v>
      </c>
      <c r="J2628" s="18" t="n">
        <v>0</v>
      </c>
      <c r="K2628" s="19" t="n">
        <v>0</v>
      </c>
      <c r="L2628" s="17" t="s">
        <v>88</v>
      </c>
    </row>
    <row r="2629" s="11" customFormat="true" ht="10.95" hidden="false" customHeight="true" outlineLevel="0" collapsed="false">
      <c r="A2629" s="16" t="n">
        <v>45278</v>
      </c>
      <c r="B2629" s="17" t="s">
        <v>1071</v>
      </c>
      <c r="C2629" s="17" t="s">
        <v>788</v>
      </c>
      <c r="D2629" s="17" t="s">
        <v>19</v>
      </c>
      <c r="E2629" s="17" t="s">
        <v>1102</v>
      </c>
      <c r="F2629" s="17" t="s">
        <v>1173</v>
      </c>
      <c r="G2629" s="18" t="n">
        <v>0</v>
      </c>
      <c r="H2629" s="18" t="n">
        <v>203.41</v>
      </c>
      <c r="I2629" s="18" t="n">
        <f aca="false">((I2628 + G2629) - H2629)</f>
        <v>-95956.8400000001</v>
      </c>
      <c r="J2629" s="18" t="n">
        <v>0</v>
      </c>
      <c r="K2629" s="19" t="n">
        <v>0</v>
      </c>
      <c r="L2629" s="17" t="s">
        <v>88</v>
      </c>
    </row>
    <row r="2630" s="11" customFormat="true" ht="10.95" hidden="false" customHeight="true" outlineLevel="0" collapsed="false">
      <c r="A2630" s="16" t="n">
        <v>45280</v>
      </c>
      <c r="B2630" s="17" t="s">
        <v>1071</v>
      </c>
      <c r="C2630" s="17" t="s">
        <v>788</v>
      </c>
      <c r="D2630" s="17" t="s">
        <v>19</v>
      </c>
      <c r="E2630" s="17" t="s">
        <v>1072</v>
      </c>
      <c r="F2630" s="17" t="s">
        <v>1174</v>
      </c>
      <c r="G2630" s="18" t="n">
        <v>0</v>
      </c>
      <c r="H2630" s="18" t="n">
        <v>666.81</v>
      </c>
      <c r="I2630" s="18" t="n">
        <f aca="false">((I2629 + G2630) - H2630)</f>
        <v>-96623.6500000001</v>
      </c>
      <c r="J2630" s="18" t="n">
        <v>0</v>
      </c>
      <c r="K2630" s="19" t="n">
        <v>0</v>
      </c>
      <c r="L2630" s="17" t="s">
        <v>88</v>
      </c>
    </row>
    <row r="2631" s="11" customFormat="true" ht="10.95" hidden="false" customHeight="true" outlineLevel="0" collapsed="false">
      <c r="A2631" s="16" t="n">
        <v>45280</v>
      </c>
      <c r="B2631" s="17" t="s">
        <v>1071</v>
      </c>
      <c r="C2631" s="17" t="s">
        <v>788</v>
      </c>
      <c r="D2631" s="17" t="s">
        <v>19</v>
      </c>
      <c r="E2631" s="17" t="s">
        <v>1074</v>
      </c>
      <c r="F2631" s="17" t="s">
        <v>1174</v>
      </c>
      <c r="G2631" s="18" t="n">
        <v>0</v>
      </c>
      <c r="H2631" s="18" t="n">
        <v>101.87</v>
      </c>
      <c r="I2631" s="18" t="n">
        <f aca="false">((I2630 + G2631) - H2631)</f>
        <v>-96725.5200000001</v>
      </c>
      <c r="J2631" s="18" t="n">
        <v>0</v>
      </c>
      <c r="K2631" s="19" t="n">
        <v>0</v>
      </c>
      <c r="L2631" s="17" t="s">
        <v>88</v>
      </c>
    </row>
    <row r="2632" s="11" customFormat="true" ht="10.95" hidden="false" customHeight="true" outlineLevel="0" collapsed="false">
      <c r="A2632" s="16" t="n">
        <v>45280</v>
      </c>
      <c r="B2632" s="17" t="s">
        <v>1071</v>
      </c>
      <c r="C2632" s="17" t="s">
        <v>788</v>
      </c>
      <c r="D2632" s="17" t="s">
        <v>19</v>
      </c>
      <c r="E2632" s="17" t="s">
        <v>1075</v>
      </c>
      <c r="F2632" s="17" t="s">
        <v>1175</v>
      </c>
      <c r="G2632" s="18" t="n">
        <v>0</v>
      </c>
      <c r="H2632" s="18" t="n">
        <v>3116.68</v>
      </c>
      <c r="I2632" s="18" t="n">
        <f aca="false">((I2631 + G2632) - H2632)</f>
        <v>-99842.2000000001</v>
      </c>
      <c r="J2632" s="18" t="n">
        <v>0</v>
      </c>
      <c r="K2632" s="19" t="n">
        <v>0</v>
      </c>
      <c r="L2632" s="17" t="s">
        <v>88</v>
      </c>
    </row>
    <row r="2633" s="11" customFormat="true" ht="10.95" hidden="false" customHeight="true" outlineLevel="0" collapsed="false">
      <c r="A2633" s="16" t="n">
        <v>45280</v>
      </c>
      <c r="B2633" s="17" t="s">
        <v>1071</v>
      </c>
      <c r="C2633" s="17" t="s">
        <v>788</v>
      </c>
      <c r="D2633" s="17" t="s">
        <v>19</v>
      </c>
      <c r="E2633" s="17" t="s">
        <v>1077</v>
      </c>
      <c r="F2633" s="17" t="s">
        <v>1176</v>
      </c>
      <c r="G2633" s="18" t="n">
        <v>0</v>
      </c>
      <c r="H2633" s="18" t="n">
        <v>969.32</v>
      </c>
      <c r="I2633" s="18" t="n">
        <f aca="false">((I2632 + G2633) - H2633)</f>
        <v>-100811.52</v>
      </c>
      <c r="J2633" s="18" t="n">
        <v>0</v>
      </c>
      <c r="K2633" s="19" t="n">
        <v>0</v>
      </c>
      <c r="L2633" s="17" t="s">
        <v>88</v>
      </c>
    </row>
    <row r="2634" s="11" customFormat="true" ht="10.95" hidden="false" customHeight="true" outlineLevel="0" collapsed="false">
      <c r="A2634" s="16" t="n">
        <v>45280</v>
      </c>
      <c r="B2634" s="17" t="s">
        <v>1071</v>
      </c>
      <c r="C2634" s="17" t="s">
        <v>788</v>
      </c>
      <c r="D2634" s="17" t="s">
        <v>19</v>
      </c>
      <c r="E2634" s="17" t="s">
        <v>1079</v>
      </c>
      <c r="F2634" s="17" t="s">
        <v>1176</v>
      </c>
      <c r="G2634" s="18" t="n">
        <v>0</v>
      </c>
      <c r="H2634" s="18" t="n">
        <v>333.93</v>
      </c>
      <c r="I2634" s="18" t="n">
        <f aca="false">((I2633 + G2634) - H2634)</f>
        <v>-101145.45</v>
      </c>
      <c r="J2634" s="18" t="n">
        <v>0</v>
      </c>
      <c r="K2634" s="19" t="n">
        <v>0</v>
      </c>
      <c r="L2634" s="17" t="s">
        <v>88</v>
      </c>
    </row>
    <row r="2635" s="11" customFormat="true" ht="10.95" hidden="false" customHeight="true" outlineLevel="0" collapsed="false">
      <c r="A2635" s="16" t="n">
        <v>45280</v>
      </c>
      <c r="B2635" s="17" t="s">
        <v>1071</v>
      </c>
      <c r="C2635" s="17" t="s">
        <v>788</v>
      </c>
      <c r="D2635" s="17" t="s">
        <v>19</v>
      </c>
      <c r="E2635" s="17" t="s">
        <v>1080</v>
      </c>
      <c r="F2635" s="17" t="s">
        <v>1176</v>
      </c>
      <c r="G2635" s="18" t="n">
        <v>0</v>
      </c>
      <c r="H2635" s="18" t="n">
        <v>204.07</v>
      </c>
      <c r="I2635" s="18" t="n">
        <f aca="false">((I2634 + G2635) - H2635)</f>
        <v>-101349.52</v>
      </c>
      <c r="J2635" s="18" t="n">
        <v>0</v>
      </c>
      <c r="K2635" s="19" t="n">
        <v>0</v>
      </c>
      <c r="L2635" s="17" t="s">
        <v>88</v>
      </c>
    </row>
    <row r="2636" s="11" customFormat="true" ht="10.95" hidden="false" customHeight="true" outlineLevel="0" collapsed="false">
      <c r="A2636" s="16" t="n">
        <v>45280</v>
      </c>
      <c r="B2636" s="17" t="s">
        <v>1071</v>
      </c>
      <c r="C2636" s="17" t="s">
        <v>788</v>
      </c>
      <c r="D2636" s="17" t="s">
        <v>19</v>
      </c>
      <c r="E2636" s="17" t="s">
        <v>1081</v>
      </c>
      <c r="F2636" s="17" t="s">
        <v>1177</v>
      </c>
      <c r="G2636" s="18" t="n">
        <v>0</v>
      </c>
      <c r="H2636" s="18" t="n">
        <v>180</v>
      </c>
      <c r="I2636" s="18" t="n">
        <f aca="false">((I2635 + G2636) - H2636)</f>
        <v>-101529.52</v>
      </c>
      <c r="J2636" s="18" t="n">
        <v>0</v>
      </c>
      <c r="K2636" s="19" t="n">
        <v>0</v>
      </c>
      <c r="L2636" s="17" t="s">
        <v>88</v>
      </c>
    </row>
    <row r="2637" s="11" customFormat="true" ht="10.95" hidden="false" customHeight="true" outlineLevel="0" collapsed="false">
      <c r="A2637" s="16" t="n">
        <v>45280</v>
      </c>
      <c r="B2637" s="17" t="s">
        <v>1071</v>
      </c>
      <c r="C2637" s="17" t="s">
        <v>788</v>
      </c>
      <c r="D2637" s="17" t="s">
        <v>19</v>
      </c>
      <c r="E2637" s="17" t="s">
        <v>1115</v>
      </c>
      <c r="F2637" s="17" t="s">
        <v>1178</v>
      </c>
      <c r="G2637" s="18" t="n">
        <v>0</v>
      </c>
      <c r="H2637" s="18" t="n">
        <v>97.36</v>
      </c>
      <c r="I2637" s="18" t="n">
        <f aca="false">((I2636 + G2637) - H2637)</f>
        <v>-101626.88</v>
      </c>
      <c r="J2637" s="18" t="n">
        <v>0</v>
      </c>
      <c r="K2637" s="19" t="n">
        <v>0</v>
      </c>
      <c r="L2637" s="17" t="s">
        <v>88</v>
      </c>
    </row>
    <row r="2638" s="11" customFormat="true" ht="10.95" hidden="false" customHeight="true" outlineLevel="0" collapsed="false">
      <c r="A2638" s="16" t="n">
        <v>45280</v>
      </c>
      <c r="B2638" s="17" t="s">
        <v>1071</v>
      </c>
      <c r="C2638" s="17" t="s">
        <v>788</v>
      </c>
      <c r="D2638" s="17" t="s">
        <v>19</v>
      </c>
      <c r="E2638" s="17" t="s">
        <v>1115</v>
      </c>
      <c r="F2638" s="17" t="s">
        <v>1178</v>
      </c>
      <c r="G2638" s="18" t="n">
        <v>0</v>
      </c>
      <c r="H2638" s="18" t="n">
        <v>97.37</v>
      </c>
      <c r="I2638" s="18" t="n">
        <f aca="false">((I2637 + G2638) - H2638)</f>
        <v>-101724.25</v>
      </c>
      <c r="J2638" s="18" t="n">
        <v>0</v>
      </c>
      <c r="K2638" s="19" t="n">
        <v>0</v>
      </c>
      <c r="L2638" s="17" t="s">
        <v>88</v>
      </c>
    </row>
    <row r="2639" s="11" customFormat="true" ht="10.95" hidden="false" customHeight="true" outlineLevel="0" collapsed="false">
      <c r="A2639" s="16" t="n">
        <v>45280</v>
      </c>
      <c r="B2639" s="17" t="s">
        <v>1071</v>
      </c>
      <c r="C2639" s="17" t="s">
        <v>788</v>
      </c>
      <c r="D2639" s="17" t="s">
        <v>19</v>
      </c>
      <c r="E2639" s="17" t="s">
        <v>1115</v>
      </c>
      <c r="F2639" s="17" t="s">
        <v>1178</v>
      </c>
      <c r="G2639" s="18" t="n">
        <v>0</v>
      </c>
      <c r="H2639" s="18" t="n">
        <v>97.37</v>
      </c>
      <c r="I2639" s="18" t="n">
        <f aca="false">((I2638 + G2639) - H2639)</f>
        <v>-101821.62</v>
      </c>
      <c r="J2639" s="18" t="n">
        <v>0</v>
      </c>
      <c r="K2639" s="19" t="n">
        <v>0</v>
      </c>
      <c r="L2639" s="17" t="s">
        <v>88</v>
      </c>
    </row>
    <row r="2640" s="11" customFormat="true" ht="10.95" hidden="false" customHeight="true" outlineLevel="0" collapsed="false">
      <c r="A2640" s="16" t="n">
        <v>45280</v>
      </c>
      <c r="B2640" s="17" t="s">
        <v>1071</v>
      </c>
      <c r="C2640" s="17" t="s">
        <v>788</v>
      </c>
      <c r="D2640" s="17" t="s">
        <v>19</v>
      </c>
      <c r="E2640" s="17" t="s">
        <v>1115</v>
      </c>
      <c r="F2640" s="17" t="s">
        <v>1178</v>
      </c>
      <c r="G2640" s="18" t="n">
        <v>0</v>
      </c>
      <c r="H2640" s="18" t="n">
        <v>97.37</v>
      </c>
      <c r="I2640" s="18" t="n">
        <f aca="false">((I2639 + G2640) - H2640)</f>
        <v>-101918.99</v>
      </c>
      <c r="J2640" s="18" t="n">
        <v>0</v>
      </c>
      <c r="K2640" s="19" t="n">
        <v>0</v>
      </c>
      <c r="L2640" s="17" t="s">
        <v>88</v>
      </c>
    </row>
    <row r="2641" s="11" customFormat="true" ht="10.95" hidden="false" customHeight="true" outlineLevel="0" collapsed="false">
      <c r="A2641" s="16" t="n">
        <v>45280</v>
      </c>
      <c r="B2641" s="17" t="s">
        <v>1071</v>
      </c>
      <c r="C2641" s="17" t="s">
        <v>788</v>
      </c>
      <c r="D2641" s="17" t="s">
        <v>19</v>
      </c>
      <c r="E2641" s="17" t="s">
        <v>1083</v>
      </c>
      <c r="F2641" s="17" t="s">
        <v>1179</v>
      </c>
      <c r="G2641" s="18" t="n">
        <v>0</v>
      </c>
      <c r="H2641" s="18" t="n">
        <v>267.07</v>
      </c>
      <c r="I2641" s="18" t="n">
        <f aca="false">((I2640 + G2641) - H2641)</f>
        <v>-102186.06</v>
      </c>
      <c r="J2641" s="18" t="n">
        <v>0</v>
      </c>
      <c r="K2641" s="19" t="n">
        <v>0</v>
      </c>
      <c r="L2641" s="17" t="s">
        <v>88</v>
      </c>
    </row>
    <row r="2642" s="11" customFormat="true" ht="10.95" hidden="false" customHeight="true" outlineLevel="0" collapsed="false">
      <c r="A2642" s="16" t="n">
        <v>45280</v>
      </c>
      <c r="B2642" s="17" t="s">
        <v>1071</v>
      </c>
      <c r="C2642" s="17" t="s">
        <v>788</v>
      </c>
      <c r="D2642" s="17" t="s">
        <v>19</v>
      </c>
      <c r="E2642" s="17" t="s">
        <v>1085</v>
      </c>
      <c r="F2642" s="17" t="s">
        <v>1180</v>
      </c>
      <c r="G2642" s="18" t="n">
        <v>0</v>
      </c>
      <c r="H2642" s="18" t="n">
        <v>586.53</v>
      </c>
      <c r="I2642" s="18" t="n">
        <f aca="false">((I2641 + G2642) - H2642)</f>
        <v>-102772.59</v>
      </c>
      <c r="J2642" s="18" t="n">
        <v>0</v>
      </c>
      <c r="K2642" s="19" t="n">
        <v>0</v>
      </c>
      <c r="L2642" s="17" t="s">
        <v>88</v>
      </c>
    </row>
    <row r="2643" s="11" customFormat="true" ht="10.95" hidden="false" customHeight="true" outlineLevel="0" collapsed="false">
      <c r="A2643" s="16" t="n">
        <v>45280</v>
      </c>
      <c r="B2643" s="17" t="s">
        <v>1071</v>
      </c>
      <c r="C2643" s="17" t="s">
        <v>788</v>
      </c>
      <c r="D2643" s="17" t="s">
        <v>19</v>
      </c>
      <c r="E2643" s="17" t="s">
        <v>1087</v>
      </c>
      <c r="F2643" s="17" t="s">
        <v>1180</v>
      </c>
      <c r="G2643" s="18" t="n">
        <v>0</v>
      </c>
      <c r="H2643" s="18" t="n">
        <v>71.4</v>
      </c>
      <c r="I2643" s="18" t="n">
        <f aca="false">((I2642 + G2643) - H2643)</f>
        <v>-102843.99</v>
      </c>
      <c r="J2643" s="18" t="n">
        <v>0</v>
      </c>
      <c r="K2643" s="19" t="n">
        <v>0</v>
      </c>
      <c r="L2643" s="17" t="s">
        <v>88</v>
      </c>
    </row>
    <row r="2644" s="11" customFormat="true" ht="10.95" hidden="false" customHeight="true" outlineLevel="0" collapsed="false">
      <c r="A2644" s="16" t="n">
        <v>45280</v>
      </c>
      <c r="B2644" s="17" t="s">
        <v>1071</v>
      </c>
      <c r="C2644" s="17" t="s">
        <v>788</v>
      </c>
      <c r="D2644" s="17" t="s">
        <v>19</v>
      </c>
      <c r="E2644" s="17" t="s">
        <v>1088</v>
      </c>
      <c r="F2644" s="17" t="s">
        <v>1180</v>
      </c>
      <c r="G2644" s="18" t="n">
        <v>0</v>
      </c>
      <c r="H2644" s="18" t="n">
        <v>10.2</v>
      </c>
      <c r="I2644" s="18" t="n">
        <f aca="false">((I2643 + G2644) - H2644)</f>
        <v>-102854.19</v>
      </c>
      <c r="J2644" s="18" t="n">
        <v>0</v>
      </c>
      <c r="K2644" s="19" t="n">
        <v>0</v>
      </c>
      <c r="L2644" s="17" t="s">
        <v>88</v>
      </c>
    </row>
    <row r="2645" s="11" customFormat="true" ht="10.95" hidden="false" customHeight="true" outlineLevel="0" collapsed="false">
      <c r="A2645" s="16" t="n">
        <v>45280</v>
      </c>
      <c r="B2645" s="17" t="s">
        <v>1071</v>
      </c>
      <c r="C2645" s="17" t="s">
        <v>788</v>
      </c>
      <c r="D2645" s="17" t="s">
        <v>19</v>
      </c>
      <c r="E2645" s="17" t="s">
        <v>1089</v>
      </c>
      <c r="F2645" s="17" t="s">
        <v>1180</v>
      </c>
      <c r="G2645" s="18" t="n">
        <v>0</v>
      </c>
      <c r="H2645" s="18" t="n">
        <v>139.1</v>
      </c>
      <c r="I2645" s="18" t="n">
        <f aca="false">((I2644 + G2645) - H2645)</f>
        <v>-102993.29</v>
      </c>
      <c r="J2645" s="18" t="n">
        <v>0</v>
      </c>
      <c r="K2645" s="19" t="n">
        <v>0</v>
      </c>
      <c r="L2645" s="17" t="s">
        <v>88</v>
      </c>
    </row>
    <row r="2646" s="11" customFormat="true" ht="10.95" hidden="false" customHeight="true" outlineLevel="0" collapsed="false">
      <c r="A2646" s="16" t="n">
        <v>45280</v>
      </c>
      <c r="B2646" s="17" t="s">
        <v>1071</v>
      </c>
      <c r="C2646" s="17" t="s">
        <v>788</v>
      </c>
      <c r="D2646" s="17" t="s">
        <v>19</v>
      </c>
      <c r="E2646" s="17" t="s">
        <v>1090</v>
      </c>
      <c r="F2646" s="17" t="s">
        <v>1181</v>
      </c>
      <c r="G2646" s="18" t="n">
        <v>0</v>
      </c>
      <c r="H2646" s="18" t="n">
        <v>1724.81</v>
      </c>
      <c r="I2646" s="18" t="n">
        <f aca="false">((I2645 + G2646) - H2646)</f>
        <v>-104718.1</v>
      </c>
      <c r="J2646" s="18" t="n">
        <v>0</v>
      </c>
      <c r="K2646" s="19" t="n">
        <v>0</v>
      </c>
      <c r="L2646" s="17" t="s">
        <v>88</v>
      </c>
    </row>
    <row r="2647" s="11" customFormat="true" ht="10.95" hidden="false" customHeight="true" outlineLevel="0" collapsed="false">
      <c r="A2647" s="16" t="n">
        <v>45280</v>
      </c>
      <c r="B2647" s="17" t="s">
        <v>1071</v>
      </c>
      <c r="C2647" s="17" t="s">
        <v>788</v>
      </c>
      <c r="D2647" s="17" t="s">
        <v>19</v>
      </c>
      <c r="E2647" s="17" t="s">
        <v>1087</v>
      </c>
      <c r="F2647" s="17" t="s">
        <v>1181</v>
      </c>
      <c r="G2647" s="18" t="n">
        <v>0</v>
      </c>
      <c r="H2647" s="18" t="n">
        <v>30.6</v>
      </c>
      <c r="I2647" s="18" t="n">
        <f aca="false">((I2646 + G2647) - H2647)</f>
        <v>-104748.7</v>
      </c>
      <c r="J2647" s="18" t="n">
        <v>0</v>
      </c>
      <c r="K2647" s="19" t="n">
        <v>0</v>
      </c>
      <c r="L2647" s="17" t="s">
        <v>88</v>
      </c>
    </row>
    <row r="2648" s="11" customFormat="true" ht="10.95" hidden="false" customHeight="true" outlineLevel="0" collapsed="false">
      <c r="A2648" s="16" t="n">
        <v>45280</v>
      </c>
      <c r="B2648" s="17" t="s">
        <v>1071</v>
      </c>
      <c r="C2648" s="17" t="s">
        <v>788</v>
      </c>
      <c r="D2648" s="17" t="s">
        <v>19</v>
      </c>
      <c r="E2648" s="17" t="s">
        <v>1092</v>
      </c>
      <c r="F2648" s="17" t="s">
        <v>1182</v>
      </c>
      <c r="G2648" s="18" t="n">
        <v>0</v>
      </c>
      <c r="H2648" s="18" t="n">
        <v>853.13</v>
      </c>
      <c r="I2648" s="18" t="n">
        <f aca="false">((I2647 + G2648) - H2648)</f>
        <v>-105601.83</v>
      </c>
      <c r="J2648" s="18" t="n">
        <v>0</v>
      </c>
      <c r="K2648" s="19" t="n">
        <v>0</v>
      </c>
      <c r="L2648" s="17" t="s">
        <v>88</v>
      </c>
    </row>
    <row r="2649" s="11" customFormat="true" ht="10.95" hidden="false" customHeight="true" outlineLevel="0" collapsed="false">
      <c r="A2649" s="16" t="n">
        <v>45280</v>
      </c>
      <c r="B2649" s="17" t="s">
        <v>1071</v>
      </c>
      <c r="C2649" s="17" t="s">
        <v>788</v>
      </c>
      <c r="D2649" s="17" t="s">
        <v>19</v>
      </c>
      <c r="E2649" s="17" t="s">
        <v>1094</v>
      </c>
      <c r="F2649" s="17" t="s">
        <v>1182</v>
      </c>
      <c r="G2649" s="18" t="n">
        <v>0</v>
      </c>
      <c r="H2649" s="18" t="n">
        <v>92.73</v>
      </c>
      <c r="I2649" s="18" t="n">
        <f aca="false">((I2648 + G2649) - H2649)</f>
        <v>-105694.56</v>
      </c>
      <c r="J2649" s="18" t="n">
        <v>0</v>
      </c>
      <c r="K2649" s="19" t="n">
        <v>0</v>
      </c>
      <c r="L2649" s="17" t="s">
        <v>88</v>
      </c>
    </row>
    <row r="2650" s="11" customFormat="true" ht="10.95" hidden="false" customHeight="true" outlineLevel="0" collapsed="false">
      <c r="A2650" s="16" t="n">
        <v>45280</v>
      </c>
      <c r="B2650" s="17" t="s">
        <v>1071</v>
      </c>
      <c r="C2650" s="17" t="s">
        <v>788</v>
      </c>
      <c r="D2650" s="17" t="s">
        <v>19</v>
      </c>
      <c r="E2650" s="17" t="s">
        <v>1087</v>
      </c>
      <c r="F2650" s="17" t="s">
        <v>1182</v>
      </c>
      <c r="G2650" s="18" t="n">
        <v>0</v>
      </c>
      <c r="H2650" s="18" t="n">
        <v>35.7</v>
      </c>
      <c r="I2650" s="18" t="n">
        <f aca="false">((I2649 + G2650) - H2650)</f>
        <v>-105730.26</v>
      </c>
      <c r="J2650" s="18" t="n">
        <v>0</v>
      </c>
      <c r="K2650" s="19" t="n">
        <v>0</v>
      </c>
      <c r="L2650" s="17" t="s">
        <v>88</v>
      </c>
    </row>
    <row r="2651" s="11" customFormat="true" ht="10.95" hidden="false" customHeight="true" outlineLevel="0" collapsed="false">
      <c r="A2651" s="16" t="n">
        <v>45280</v>
      </c>
      <c r="B2651" s="17" t="s">
        <v>1071</v>
      </c>
      <c r="C2651" s="17" t="s">
        <v>788</v>
      </c>
      <c r="D2651" s="17" t="s">
        <v>19</v>
      </c>
      <c r="E2651" s="17" t="s">
        <v>1095</v>
      </c>
      <c r="F2651" s="17" t="s">
        <v>1182</v>
      </c>
      <c r="G2651" s="18" t="n">
        <v>0</v>
      </c>
      <c r="H2651" s="18" t="n">
        <v>27.82</v>
      </c>
      <c r="I2651" s="18" t="n">
        <f aca="false">((I2650 + G2651) - H2651)</f>
        <v>-105758.08</v>
      </c>
      <c r="J2651" s="18" t="n">
        <v>0</v>
      </c>
      <c r="K2651" s="19" t="n">
        <v>0</v>
      </c>
      <c r="L2651" s="17" t="s">
        <v>88</v>
      </c>
    </row>
    <row r="2652" s="11" customFormat="true" ht="10.95" hidden="false" customHeight="true" outlineLevel="0" collapsed="false">
      <c r="A2652" s="16" t="n">
        <v>45280</v>
      </c>
      <c r="B2652" s="17" t="s">
        <v>1071</v>
      </c>
      <c r="C2652" s="17" t="s">
        <v>788</v>
      </c>
      <c r="D2652" s="17" t="s">
        <v>19</v>
      </c>
      <c r="E2652" s="17" t="s">
        <v>1092</v>
      </c>
      <c r="F2652" s="17" t="s">
        <v>1183</v>
      </c>
      <c r="G2652" s="18" t="n">
        <v>0</v>
      </c>
      <c r="H2652" s="18" t="n">
        <v>1481.85</v>
      </c>
      <c r="I2652" s="18" t="n">
        <f aca="false">((I2651 + G2652) - H2652)</f>
        <v>-107239.93</v>
      </c>
      <c r="J2652" s="18" t="n">
        <v>0</v>
      </c>
      <c r="K2652" s="19" t="n">
        <v>0</v>
      </c>
      <c r="L2652" s="17" t="s">
        <v>88</v>
      </c>
    </row>
    <row r="2653" s="11" customFormat="true" ht="42" hidden="false" customHeight="true" outlineLevel="0" collapsed="false">
      <c r="A2653" s="16" t="n">
        <v>45280</v>
      </c>
      <c r="B2653" s="17" t="s">
        <v>1071</v>
      </c>
      <c r="C2653" s="17" t="s">
        <v>788</v>
      </c>
      <c r="D2653" s="17" t="s">
        <v>19</v>
      </c>
      <c r="E2653" s="20" t="s">
        <v>1097</v>
      </c>
      <c r="F2653" s="17" t="s">
        <v>1183</v>
      </c>
      <c r="G2653" s="18" t="n">
        <v>0</v>
      </c>
      <c r="H2653" s="18" t="n">
        <v>64.91</v>
      </c>
      <c r="I2653" s="18" t="n">
        <f aca="false">((I2652 + G2653) - H2653)</f>
        <v>-107304.84</v>
      </c>
      <c r="J2653" s="18" t="n">
        <v>0</v>
      </c>
      <c r="K2653" s="19" t="n">
        <v>0</v>
      </c>
      <c r="L2653" s="17" t="s">
        <v>88</v>
      </c>
    </row>
    <row r="2654" s="11" customFormat="true" ht="10.95" hidden="false" customHeight="true" outlineLevel="0" collapsed="false">
      <c r="A2654" s="16" t="n">
        <v>45280</v>
      </c>
      <c r="B2654" s="17" t="s">
        <v>1071</v>
      </c>
      <c r="C2654" s="17" t="s">
        <v>788</v>
      </c>
      <c r="D2654" s="17" t="s">
        <v>19</v>
      </c>
      <c r="E2654" s="17" t="s">
        <v>1094</v>
      </c>
      <c r="F2654" s="17" t="s">
        <v>1183</v>
      </c>
      <c r="G2654" s="18" t="n">
        <v>0</v>
      </c>
      <c r="H2654" s="18" t="n">
        <v>92.73</v>
      </c>
      <c r="I2654" s="18" t="n">
        <f aca="false">((I2653 + G2654) - H2654)</f>
        <v>-107397.57</v>
      </c>
      <c r="J2654" s="18" t="n">
        <v>0</v>
      </c>
      <c r="K2654" s="19" t="n">
        <v>0</v>
      </c>
      <c r="L2654" s="17" t="s">
        <v>88</v>
      </c>
    </row>
    <row r="2655" s="11" customFormat="true" ht="10.95" hidden="false" customHeight="true" outlineLevel="0" collapsed="false">
      <c r="A2655" s="16" t="n">
        <v>45280</v>
      </c>
      <c r="B2655" s="17" t="s">
        <v>1071</v>
      </c>
      <c r="C2655" s="17" t="s">
        <v>788</v>
      </c>
      <c r="D2655" s="17" t="s">
        <v>19</v>
      </c>
      <c r="E2655" s="17" t="s">
        <v>1098</v>
      </c>
      <c r="F2655" s="17" t="s">
        <v>1183</v>
      </c>
      <c r="G2655" s="18" t="n">
        <v>0</v>
      </c>
      <c r="H2655" s="18" t="n">
        <v>278.2</v>
      </c>
      <c r="I2655" s="18" t="n">
        <f aca="false">((I2654 + G2655) - H2655)</f>
        <v>-107675.77</v>
      </c>
      <c r="J2655" s="18" t="n">
        <v>0</v>
      </c>
      <c r="K2655" s="19" t="n">
        <v>0</v>
      </c>
      <c r="L2655" s="17" t="s">
        <v>88</v>
      </c>
    </row>
    <row r="2656" s="11" customFormat="true" ht="10.95" hidden="false" customHeight="true" outlineLevel="0" collapsed="false">
      <c r="A2656" s="16" t="n">
        <v>45280</v>
      </c>
      <c r="B2656" s="17" t="s">
        <v>1071</v>
      </c>
      <c r="C2656" s="17" t="s">
        <v>788</v>
      </c>
      <c r="D2656" s="17" t="s">
        <v>19</v>
      </c>
      <c r="E2656" s="17" t="s">
        <v>1083</v>
      </c>
      <c r="F2656" s="17" t="s">
        <v>1184</v>
      </c>
      <c r="G2656" s="18" t="n">
        <v>0</v>
      </c>
      <c r="H2656" s="18" t="n">
        <v>133.53</v>
      </c>
      <c r="I2656" s="18" t="n">
        <f aca="false">((I2655 + G2656) - H2656)</f>
        <v>-107809.3</v>
      </c>
      <c r="J2656" s="18" t="n">
        <v>0</v>
      </c>
      <c r="K2656" s="19" t="n">
        <v>0</v>
      </c>
      <c r="L2656" s="17" t="s">
        <v>88</v>
      </c>
    </row>
    <row r="2657" s="11" customFormat="true" ht="10.95" hidden="false" customHeight="true" outlineLevel="0" collapsed="false">
      <c r="A2657" s="16" t="n">
        <v>45280</v>
      </c>
      <c r="B2657" s="17" t="s">
        <v>1071</v>
      </c>
      <c r="C2657" s="17" t="s">
        <v>788</v>
      </c>
      <c r="D2657" s="17" t="s">
        <v>19</v>
      </c>
      <c r="E2657" s="17" t="s">
        <v>1090</v>
      </c>
      <c r="F2657" s="17" t="s">
        <v>1185</v>
      </c>
      <c r="G2657" s="18" t="n">
        <v>0</v>
      </c>
      <c r="H2657" s="18" t="n">
        <v>697.35</v>
      </c>
      <c r="I2657" s="18" t="n">
        <f aca="false">((I2656 + G2657) - H2657)</f>
        <v>-108506.65</v>
      </c>
      <c r="J2657" s="18" t="n">
        <v>0</v>
      </c>
      <c r="K2657" s="19" t="n">
        <v>0</v>
      </c>
      <c r="L2657" s="17" t="s">
        <v>88</v>
      </c>
    </row>
    <row r="2658" s="11" customFormat="true" ht="10.95" hidden="false" customHeight="true" outlineLevel="0" collapsed="false">
      <c r="A2658" s="16" t="n">
        <v>45280</v>
      </c>
      <c r="B2658" s="17" t="s">
        <v>1071</v>
      </c>
      <c r="C2658" s="17" t="s">
        <v>788</v>
      </c>
      <c r="D2658" s="17" t="s">
        <v>19</v>
      </c>
      <c r="E2658" s="17" t="s">
        <v>1101</v>
      </c>
      <c r="F2658" s="17" t="s">
        <v>1185</v>
      </c>
      <c r="G2658" s="18" t="n">
        <v>0</v>
      </c>
      <c r="H2658" s="18" t="n">
        <v>96.9</v>
      </c>
      <c r="I2658" s="18" t="n">
        <f aca="false">((I2657 + G2658) - H2658)</f>
        <v>-108603.55</v>
      </c>
      <c r="J2658" s="18" t="n">
        <v>0</v>
      </c>
      <c r="K2658" s="19" t="n">
        <v>0</v>
      </c>
      <c r="L2658" s="17" t="s">
        <v>88</v>
      </c>
    </row>
    <row r="2659" s="11" customFormat="true" ht="10.95" hidden="false" customHeight="true" outlineLevel="0" collapsed="false">
      <c r="A2659" s="16" t="n">
        <v>45280</v>
      </c>
      <c r="B2659" s="17" t="s">
        <v>1071</v>
      </c>
      <c r="C2659" s="17" t="s">
        <v>788</v>
      </c>
      <c r="D2659" s="17" t="s">
        <v>19</v>
      </c>
      <c r="E2659" s="17" t="s">
        <v>1088</v>
      </c>
      <c r="F2659" s="17" t="s">
        <v>1185</v>
      </c>
      <c r="G2659" s="18" t="n">
        <v>0</v>
      </c>
      <c r="H2659" s="18" t="n">
        <v>122.41</v>
      </c>
      <c r="I2659" s="18" t="n">
        <f aca="false">((I2658 + G2659) - H2659)</f>
        <v>-108725.96</v>
      </c>
      <c r="J2659" s="18" t="n">
        <v>0</v>
      </c>
      <c r="K2659" s="19" t="n">
        <v>0</v>
      </c>
      <c r="L2659" s="17" t="s">
        <v>88</v>
      </c>
    </row>
    <row r="2660" s="11" customFormat="true" ht="10.95" hidden="false" customHeight="true" outlineLevel="0" collapsed="false">
      <c r="A2660" s="16" t="n">
        <v>45280</v>
      </c>
      <c r="B2660" s="17" t="s">
        <v>1071</v>
      </c>
      <c r="C2660" s="17" t="s">
        <v>788</v>
      </c>
      <c r="D2660" s="17" t="s">
        <v>19</v>
      </c>
      <c r="E2660" s="17" t="s">
        <v>1102</v>
      </c>
      <c r="F2660" s="17" t="s">
        <v>1185</v>
      </c>
      <c r="G2660" s="18" t="n">
        <v>0</v>
      </c>
      <c r="H2660" s="18" t="n">
        <v>102</v>
      </c>
      <c r="I2660" s="18" t="n">
        <f aca="false">((I2659 + G2660) - H2660)</f>
        <v>-108827.96</v>
      </c>
      <c r="J2660" s="18" t="n">
        <v>0</v>
      </c>
      <c r="K2660" s="19" t="n">
        <v>0</v>
      </c>
      <c r="L2660" s="17" t="s">
        <v>88</v>
      </c>
    </row>
    <row r="2661" s="11" customFormat="true" ht="10.95" hidden="false" customHeight="true" outlineLevel="0" collapsed="false">
      <c r="A2661" s="16" t="n">
        <v>45316</v>
      </c>
      <c r="B2661" s="17" t="s">
        <v>1071</v>
      </c>
      <c r="C2661" s="17" t="s">
        <v>788</v>
      </c>
      <c r="D2661" s="17" t="s">
        <v>19</v>
      </c>
      <c r="E2661" s="17" t="s">
        <v>1072</v>
      </c>
      <c r="F2661" s="17" t="s">
        <v>1186</v>
      </c>
      <c r="G2661" s="18" t="n">
        <v>0</v>
      </c>
      <c r="H2661" s="18" t="n">
        <v>668.82</v>
      </c>
      <c r="I2661" s="18" t="n">
        <f aca="false">((I2660 + G2661) - H2661)</f>
        <v>-109496.78</v>
      </c>
      <c r="J2661" s="18" t="n">
        <v>0</v>
      </c>
      <c r="K2661" s="19" t="n">
        <v>0</v>
      </c>
      <c r="L2661" s="17" t="s">
        <v>88</v>
      </c>
    </row>
    <row r="2662" s="11" customFormat="true" ht="10.95" hidden="false" customHeight="true" outlineLevel="0" collapsed="false">
      <c r="A2662" s="16" t="n">
        <v>45316</v>
      </c>
      <c r="B2662" s="17" t="s">
        <v>1071</v>
      </c>
      <c r="C2662" s="17" t="s">
        <v>788</v>
      </c>
      <c r="D2662" s="17" t="s">
        <v>19</v>
      </c>
      <c r="E2662" s="17" t="s">
        <v>1074</v>
      </c>
      <c r="F2662" s="17" t="s">
        <v>1186</v>
      </c>
      <c r="G2662" s="18" t="n">
        <v>0</v>
      </c>
      <c r="H2662" s="18" t="n">
        <v>102.18</v>
      </c>
      <c r="I2662" s="18" t="n">
        <f aca="false">((I2661 + G2662) - H2662)</f>
        <v>-109598.96</v>
      </c>
      <c r="J2662" s="18" t="n">
        <v>0</v>
      </c>
      <c r="K2662" s="19" t="n">
        <v>0</v>
      </c>
      <c r="L2662" s="17" t="s">
        <v>88</v>
      </c>
    </row>
    <row r="2663" s="11" customFormat="true" ht="10.95" hidden="false" customHeight="true" outlineLevel="0" collapsed="false">
      <c r="A2663" s="16" t="n">
        <v>45316</v>
      </c>
      <c r="B2663" s="17" t="s">
        <v>1071</v>
      </c>
      <c r="C2663" s="17" t="s">
        <v>788</v>
      </c>
      <c r="D2663" s="17" t="s">
        <v>19</v>
      </c>
      <c r="E2663" s="17" t="s">
        <v>1075</v>
      </c>
      <c r="F2663" s="17" t="s">
        <v>1187</v>
      </c>
      <c r="G2663" s="18" t="n">
        <v>0</v>
      </c>
      <c r="H2663" s="18" t="n">
        <v>3121.14</v>
      </c>
      <c r="I2663" s="18" t="n">
        <f aca="false">((I2662 + G2663) - H2663)</f>
        <v>-112720.1</v>
      </c>
      <c r="J2663" s="18" t="n">
        <v>0</v>
      </c>
      <c r="K2663" s="19" t="n">
        <v>0</v>
      </c>
      <c r="L2663" s="17" t="s">
        <v>88</v>
      </c>
    </row>
    <row r="2664" s="11" customFormat="true" ht="10.95" hidden="false" customHeight="true" outlineLevel="0" collapsed="false">
      <c r="A2664" s="16" t="n">
        <v>45316</v>
      </c>
      <c r="B2664" s="17" t="s">
        <v>1071</v>
      </c>
      <c r="C2664" s="17" t="s">
        <v>788</v>
      </c>
      <c r="D2664" s="17" t="s">
        <v>19</v>
      </c>
      <c r="E2664" s="17" t="s">
        <v>1077</v>
      </c>
      <c r="F2664" s="17" t="s">
        <v>1188</v>
      </c>
      <c r="G2664" s="18" t="n">
        <v>0</v>
      </c>
      <c r="H2664" s="18" t="n">
        <v>970.71</v>
      </c>
      <c r="I2664" s="18" t="n">
        <f aca="false">((I2663 + G2664) - H2664)</f>
        <v>-113690.81</v>
      </c>
      <c r="J2664" s="18" t="n">
        <v>0</v>
      </c>
      <c r="K2664" s="19" t="n">
        <v>0</v>
      </c>
      <c r="L2664" s="17" t="s">
        <v>88</v>
      </c>
    </row>
    <row r="2665" s="11" customFormat="true" ht="10.95" hidden="false" customHeight="true" outlineLevel="0" collapsed="false">
      <c r="A2665" s="16" t="n">
        <v>45316</v>
      </c>
      <c r="B2665" s="17" t="s">
        <v>1071</v>
      </c>
      <c r="C2665" s="17" t="s">
        <v>788</v>
      </c>
      <c r="D2665" s="17" t="s">
        <v>19</v>
      </c>
      <c r="E2665" s="17" t="s">
        <v>1079</v>
      </c>
      <c r="F2665" s="17" t="s">
        <v>1188</v>
      </c>
      <c r="G2665" s="18" t="n">
        <v>0</v>
      </c>
      <c r="H2665" s="18" t="n">
        <v>334.41</v>
      </c>
      <c r="I2665" s="18" t="n">
        <f aca="false">((I2664 + G2665) - H2665)</f>
        <v>-114025.22</v>
      </c>
      <c r="J2665" s="18" t="n">
        <v>0</v>
      </c>
      <c r="K2665" s="19" t="n">
        <v>0</v>
      </c>
      <c r="L2665" s="17" t="s">
        <v>88</v>
      </c>
    </row>
    <row r="2666" s="11" customFormat="true" ht="10.95" hidden="false" customHeight="true" outlineLevel="0" collapsed="false">
      <c r="A2666" s="16" t="n">
        <v>45316</v>
      </c>
      <c r="B2666" s="17" t="s">
        <v>1071</v>
      </c>
      <c r="C2666" s="17" t="s">
        <v>788</v>
      </c>
      <c r="D2666" s="17" t="s">
        <v>19</v>
      </c>
      <c r="E2666" s="17" t="s">
        <v>1080</v>
      </c>
      <c r="F2666" s="17" t="s">
        <v>1188</v>
      </c>
      <c r="G2666" s="18" t="n">
        <v>0</v>
      </c>
      <c r="H2666" s="18" t="n">
        <v>204.36</v>
      </c>
      <c r="I2666" s="18" t="n">
        <f aca="false">((I2665 + G2666) - H2666)</f>
        <v>-114229.58</v>
      </c>
      <c r="J2666" s="18" t="n">
        <v>0</v>
      </c>
      <c r="K2666" s="19" t="n">
        <v>0</v>
      </c>
      <c r="L2666" s="17" t="s">
        <v>88</v>
      </c>
    </row>
    <row r="2667" s="11" customFormat="true" ht="10.95" hidden="false" customHeight="true" outlineLevel="0" collapsed="false">
      <c r="A2667" s="16" t="n">
        <v>45316</v>
      </c>
      <c r="B2667" s="17" t="s">
        <v>1071</v>
      </c>
      <c r="C2667" s="17" t="s">
        <v>788</v>
      </c>
      <c r="D2667" s="17" t="s">
        <v>19</v>
      </c>
      <c r="E2667" s="17" t="s">
        <v>1081</v>
      </c>
      <c r="F2667" s="17" t="s">
        <v>1189</v>
      </c>
      <c r="G2667" s="18" t="n">
        <v>0</v>
      </c>
      <c r="H2667" s="18" t="n">
        <v>180</v>
      </c>
      <c r="I2667" s="18" t="n">
        <f aca="false">((I2666 + G2667) - H2667)</f>
        <v>-114409.58</v>
      </c>
      <c r="J2667" s="18" t="n">
        <v>0</v>
      </c>
      <c r="K2667" s="19" t="n">
        <v>0</v>
      </c>
      <c r="L2667" s="17" t="s">
        <v>88</v>
      </c>
    </row>
    <row r="2668" s="11" customFormat="true" ht="10.95" hidden="false" customHeight="true" outlineLevel="0" collapsed="false">
      <c r="A2668" s="16" t="n">
        <v>45316</v>
      </c>
      <c r="B2668" s="17" t="s">
        <v>1071</v>
      </c>
      <c r="C2668" s="17" t="s">
        <v>788</v>
      </c>
      <c r="D2668" s="17" t="s">
        <v>19</v>
      </c>
      <c r="E2668" s="17" t="s">
        <v>1115</v>
      </c>
      <c r="F2668" s="17" t="s">
        <v>1190</v>
      </c>
      <c r="G2668" s="18" t="n">
        <v>0</v>
      </c>
      <c r="H2668" s="18" t="n">
        <v>97.54</v>
      </c>
      <c r="I2668" s="18" t="n">
        <f aca="false">((I2667 + G2668) - H2668)</f>
        <v>-114507.12</v>
      </c>
      <c r="J2668" s="18" t="n">
        <v>0</v>
      </c>
      <c r="K2668" s="19" t="n">
        <v>0</v>
      </c>
      <c r="L2668" s="17" t="s">
        <v>88</v>
      </c>
    </row>
    <row r="2669" s="11" customFormat="true" ht="10.95" hidden="false" customHeight="true" outlineLevel="0" collapsed="false">
      <c r="A2669" s="16" t="n">
        <v>45316</v>
      </c>
      <c r="B2669" s="17" t="s">
        <v>1071</v>
      </c>
      <c r="C2669" s="17" t="s">
        <v>788</v>
      </c>
      <c r="D2669" s="17" t="s">
        <v>19</v>
      </c>
      <c r="E2669" s="17" t="s">
        <v>1115</v>
      </c>
      <c r="F2669" s="17" t="s">
        <v>1190</v>
      </c>
      <c r="G2669" s="18" t="n">
        <v>0</v>
      </c>
      <c r="H2669" s="18" t="n">
        <v>97.54</v>
      </c>
      <c r="I2669" s="18" t="n">
        <f aca="false">((I2668 + G2669) - H2669)</f>
        <v>-114604.66</v>
      </c>
      <c r="J2669" s="18" t="n">
        <v>0</v>
      </c>
      <c r="K2669" s="19" t="n">
        <v>0</v>
      </c>
      <c r="L2669" s="17" t="s">
        <v>88</v>
      </c>
    </row>
    <row r="2670" s="11" customFormat="true" ht="10.95" hidden="false" customHeight="true" outlineLevel="0" collapsed="false">
      <c r="A2670" s="16" t="n">
        <v>45316</v>
      </c>
      <c r="B2670" s="17" t="s">
        <v>1071</v>
      </c>
      <c r="C2670" s="17" t="s">
        <v>788</v>
      </c>
      <c r="D2670" s="17" t="s">
        <v>19</v>
      </c>
      <c r="E2670" s="17" t="s">
        <v>1115</v>
      </c>
      <c r="F2670" s="17" t="s">
        <v>1190</v>
      </c>
      <c r="G2670" s="18" t="n">
        <v>0</v>
      </c>
      <c r="H2670" s="18" t="n">
        <v>97.54</v>
      </c>
      <c r="I2670" s="18" t="n">
        <f aca="false">((I2669 + G2670) - H2670)</f>
        <v>-114702.2</v>
      </c>
      <c r="J2670" s="18" t="n">
        <v>0</v>
      </c>
      <c r="K2670" s="19" t="n">
        <v>0</v>
      </c>
      <c r="L2670" s="17" t="s">
        <v>88</v>
      </c>
    </row>
    <row r="2671" s="11" customFormat="true" ht="10.95" hidden="false" customHeight="true" outlineLevel="0" collapsed="false">
      <c r="A2671" s="16" t="n">
        <v>45316</v>
      </c>
      <c r="B2671" s="17" t="s">
        <v>1071</v>
      </c>
      <c r="C2671" s="17" t="s">
        <v>788</v>
      </c>
      <c r="D2671" s="17" t="s">
        <v>19</v>
      </c>
      <c r="E2671" s="17" t="s">
        <v>1083</v>
      </c>
      <c r="F2671" s="17" t="s">
        <v>1191</v>
      </c>
      <c r="G2671" s="18" t="n">
        <v>0</v>
      </c>
      <c r="H2671" s="18" t="n">
        <v>267.54</v>
      </c>
      <c r="I2671" s="18" t="n">
        <f aca="false">((I2670 + G2671) - H2671)</f>
        <v>-114969.74</v>
      </c>
      <c r="J2671" s="18" t="n">
        <v>0</v>
      </c>
      <c r="K2671" s="19" t="n">
        <v>0</v>
      </c>
      <c r="L2671" s="17" t="s">
        <v>88</v>
      </c>
    </row>
    <row r="2672" s="11" customFormat="true" ht="10.95" hidden="false" customHeight="true" outlineLevel="0" collapsed="false">
      <c r="A2672" s="16" t="n">
        <v>45316</v>
      </c>
      <c r="B2672" s="17" t="s">
        <v>1071</v>
      </c>
      <c r="C2672" s="17" t="s">
        <v>788</v>
      </c>
      <c r="D2672" s="17" t="s">
        <v>19</v>
      </c>
      <c r="E2672" s="17" t="s">
        <v>1085</v>
      </c>
      <c r="F2672" s="17" t="s">
        <v>1192</v>
      </c>
      <c r="G2672" s="18" t="n">
        <v>0</v>
      </c>
      <c r="H2672" s="18" t="n">
        <v>587.56</v>
      </c>
      <c r="I2672" s="18" t="n">
        <f aca="false">((I2671 + G2672) - H2672)</f>
        <v>-115557.3</v>
      </c>
      <c r="J2672" s="18" t="n">
        <v>0</v>
      </c>
      <c r="K2672" s="19" t="n">
        <v>0</v>
      </c>
      <c r="L2672" s="17" t="s">
        <v>88</v>
      </c>
    </row>
    <row r="2673" s="11" customFormat="true" ht="10.95" hidden="false" customHeight="true" outlineLevel="0" collapsed="false">
      <c r="A2673" s="16" t="n">
        <v>45316</v>
      </c>
      <c r="B2673" s="17" t="s">
        <v>1071</v>
      </c>
      <c r="C2673" s="17" t="s">
        <v>788</v>
      </c>
      <c r="D2673" s="17" t="s">
        <v>19</v>
      </c>
      <c r="E2673" s="17" t="s">
        <v>1087</v>
      </c>
      <c r="F2673" s="17" t="s">
        <v>1192</v>
      </c>
      <c r="G2673" s="18" t="n">
        <v>0</v>
      </c>
      <c r="H2673" s="18" t="n">
        <v>71.53</v>
      </c>
      <c r="I2673" s="18" t="n">
        <f aca="false">((I2672 + G2673) - H2673)</f>
        <v>-115628.83</v>
      </c>
      <c r="J2673" s="18" t="n">
        <v>0</v>
      </c>
      <c r="K2673" s="19" t="n">
        <v>0</v>
      </c>
      <c r="L2673" s="17" t="s">
        <v>88</v>
      </c>
    </row>
    <row r="2674" s="11" customFormat="true" ht="10.95" hidden="false" customHeight="true" outlineLevel="0" collapsed="false">
      <c r="A2674" s="16" t="n">
        <v>45316</v>
      </c>
      <c r="B2674" s="17" t="s">
        <v>1071</v>
      </c>
      <c r="C2674" s="17" t="s">
        <v>788</v>
      </c>
      <c r="D2674" s="17" t="s">
        <v>19</v>
      </c>
      <c r="E2674" s="17" t="s">
        <v>1088</v>
      </c>
      <c r="F2674" s="17" t="s">
        <v>1192</v>
      </c>
      <c r="G2674" s="18" t="n">
        <v>0</v>
      </c>
      <c r="H2674" s="18" t="n">
        <v>10.22</v>
      </c>
      <c r="I2674" s="18" t="n">
        <f aca="false">((I2673 + G2674) - H2674)</f>
        <v>-115639.05</v>
      </c>
      <c r="J2674" s="18" t="n">
        <v>0</v>
      </c>
      <c r="K2674" s="19" t="n">
        <v>0</v>
      </c>
      <c r="L2674" s="17" t="s">
        <v>88</v>
      </c>
    </row>
    <row r="2675" s="11" customFormat="true" ht="10.95" hidden="false" customHeight="true" outlineLevel="0" collapsed="false">
      <c r="A2675" s="16" t="n">
        <v>45316</v>
      </c>
      <c r="B2675" s="17" t="s">
        <v>1071</v>
      </c>
      <c r="C2675" s="17" t="s">
        <v>788</v>
      </c>
      <c r="D2675" s="17" t="s">
        <v>19</v>
      </c>
      <c r="E2675" s="17" t="s">
        <v>1089</v>
      </c>
      <c r="F2675" s="17" t="s">
        <v>1192</v>
      </c>
      <c r="G2675" s="18" t="n">
        <v>0</v>
      </c>
      <c r="H2675" s="18" t="n">
        <v>139.34</v>
      </c>
      <c r="I2675" s="18" t="n">
        <f aca="false">((I2674 + G2675) - H2675)</f>
        <v>-115778.39</v>
      </c>
      <c r="J2675" s="18" t="n">
        <v>0</v>
      </c>
      <c r="K2675" s="19" t="n">
        <v>0</v>
      </c>
      <c r="L2675" s="17" t="s">
        <v>88</v>
      </c>
    </row>
    <row r="2676" s="11" customFormat="true" ht="10.95" hidden="false" customHeight="true" outlineLevel="0" collapsed="false">
      <c r="A2676" s="16" t="n">
        <v>45316</v>
      </c>
      <c r="B2676" s="17" t="s">
        <v>1071</v>
      </c>
      <c r="C2676" s="17" t="s">
        <v>788</v>
      </c>
      <c r="D2676" s="17" t="s">
        <v>19</v>
      </c>
      <c r="E2676" s="17" t="s">
        <v>1090</v>
      </c>
      <c r="F2676" s="17" t="s">
        <v>1193</v>
      </c>
      <c r="G2676" s="18" t="n">
        <v>0</v>
      </c>
      <c r="H2676" s="18" t="n">
        <v>1814.23</v>
      </c>
      <c r="I2676" s="18" t="n">
        <f aca="false">((I2675 + G2676) - H2676)</f>
        <v>-117592.62</v>
      </c>
      <c r="J2676" s="18" t="n">
        <v>0</v>
      </c>
      <c r="K2676" s="19" t="n">
        <v>0</v>
      </c>
      <c r="L2676" s="17" t="s">
        <v>88</v>
      </c>
    </row>
    <row r="2677" s="11" customFormat="true" ht="10.95" hidden="false" customHeight="true" outlineLevel="0" collapsed="false">
      <c r="A2677" s="16" t="n">
        <v>45316</v>
      </c>
      <c r="B2677" s="17" t="s">
        <v>1071</v>
      </c>
      <c r="C2677" s="17" t="s">
        <v>788</v>
      </c>
      <c r="D2677" s="17" t="s">
        <v>19</v>
      </c>
      <c r="E2677" s="17" t="s">
        <v>1087</v>
      </c>
      <c r="F2677" s="17" t="s">
        <v>1193</v>
      </c>
      <c r="G2677" s="18" t="n">
        <v>0</v>
      </c>
      <c r="H2677" s="18" t="n">
        <v>30.66</v>
      </c>
      <c r="I2677" s="18" t="n">
        <f aca="false">((I2676 + G2677) - H2677)</f>
        <v>-117623.28</v>
      </c>
      <c r="J2677" s="18" t="n">
        <v>0</v>
      </c>
      <c r="K2677" s="19" t="n">
        <v>0</v>
      </c>
      <c r="L2677" s="17" t="s">
        <v>88</v>
      </c>
    </row>
    <row r="2678" s="11" customFormat="true" ht="10.95" hidden="false" customHeight="true" outlineLevel="0" collapsed="false">
      <c r="A2678" s="16" t="n">
        <v>45316</v>
      </c>
      <c r="B2678" s="17" t="s">
        <v>1071</v>
      </c>
      <c r="C2678" s="17" t="s">
        <v>788</v>
      </c>
      <c r="D2678" s="17" t="s">
        <v>19</v>
      </c>
      <c r="E2678" s="17" t="s">
        <v>1194</v>
      </c>
      <c r="F2678" s="17" t="s">
        <v>1193</v>
      </c>
      <c r="G2678" s="18" t="n">
        <v>0</v>
      </c>
      <c r="H2678" s="18" t="n">
        <v>172.78</v>
      </c>
      <c r="I2678" s="18" t="n">
        <f aca="false">((I2677 + G2678) - H2678)</f>
        <v>-117796.06</v>
      </c>
      <c r="J2678" s="18" t="n">
        <v>0</v>
      </c>
      <c r="K2678" s="19" t="n">
        <v>0</v>
      </c>
      <c r="L2678" s="17" t="s">
        <v>88</v>
      </c>
    </row>
    <row r="2679" s="11" customFormat="true" ht="10.95" hidden="false" customHeight="true" outlineLevel="0" collapsed="false">
      <c r="A2679" s="16" t="n">
        <v>45316</v>
      </c>
      <c r="B2679" s="17" t="s">
        <v>1071</v>
      </c>
      <c r="C2679" s="17" t="s">
        <v>788</v>
      </c>
      <c r="D2679" s="17" t="s">
        <v>19</v>
      </c>
      <c r="E2679" s="17" t="s">
        <v>1092</v>
      </c>
      <c r="F2679" s="17" t="s">
        <v>1195</v>
      </c>
      <c r="G2679" s="18" t="n">
        <v>0</v>
      </c>
      <c r="H2679" s="18" t="n">
        <v>854.64</v>
      </c>
      <c r="I2679" s="18" t="n">
        <f aca="false">((I2678 + G2679) - H2679)</f>
        <v>-118650.7</v>
      </c>
      <c r="J2679" s="18" t="n">
        <v>0</v>
      </c>
      <c r="K2679" s="19" t="n">
        <v>0</v>
      </c>
      <c r="L2679" s="17" t="s">
        <v>88</v>
      </c>
    </row>
    <row r="2680" s="11" customFormat="true" ht="10.95" hidden="false" customHeight="true" outlineLevel="0" collapsed="false">
      <c r="A2680" s="16" t="n">
        <v>45316</v>
      </c>
      <c r="B2680" s="17" t="s">
        <v>1071</v>
      </c>
      <c r="C2680" s="17" t="s">
        <v>788</v>
      </c>
      <c r="D2680" s="17" t="s">
        <v>19</v>
      </c>
      <c r="E2680" s="17" t="s">
        <v>1094</v>
      </c>
      <c r="F2680" s="17" t="s">
        <v>1195</v>
      </c>
      <c r="G2680" s="18" t="n">
        <v>0</v>
      </c>
      <c r="H2680" s="18" t="n">
        <v>92.89</v>
      </c>
      <c r="I2680" s="18" t="n">
        <f aca="false">((I2679 + G2680) - H2680)</f>
        <v>-118743.59</v>
      </c>
      <c r="J2680" s="18" t="n">
        <v>0</v>
      </c>
      <c r="K2680" s="19" t="n">
        <v>0</v>
      </c>
      <c r="L2680" s="17" t="s">
        <v>88</v>
      </c>
    </row>
    <row r="2681" s="11" customFormat="true" ht="10.95" hidden="false" customHeight="true" outlineLevel="0" collapsed="false">
      <c r="A2681" s="16" t="n">
        <v>45316</v>
      </c>
      <c r="B2681" s="17" t="s">
        <v>1071</v>
      </c>
      <c r="C2681" s="17" t="s">
        <v>788</v>
      </c>
      <c r="D2681" s="17" t="s">
        <v>19</v>
      </c>
      <c r="E2681" s="17" t="s">
        <v>1087</v>
      </c>
      <c r="F2681" s="17" t="s">
        <v>1195</v>
      </c>
      <c r="G2681" s="18" t="n">
        <v>0</v>
      </c>
      <c r="H2681" s="18" t="n">
        <v>35.76</v>
      </c>
      <c r="I2681" s="18" t="n">
        <f aca="false">((I2680 + G2681) - H2681)</f>
        <v>-118779.35</v>
      </c>
      <c r="J2681" s="18" t="n">
        <v>0</v>
      </c>
      <c r="K2681" s="19" t="n">
        <v>0</v>
      </c>
      <c r="L2681" s="17" t="s">
        <v>88</v>
      </c>
    </row>
    <row r="2682" s="11" customFormat="true" ht="10.95" hidden="false" customHeight="true" outlineLevel="0" collapsed="false">
      <c r="A2682" s="16" t="n">
        <v>45316</v>
      </c>
      <c r="B2682" s="17" t="s">
        <v>1071</v>
      </c>
      <c r="C2682" s="17" t="s">
        <v>788</v>
      </c>
      <c r="D2682" s="17" t="s">
        <v>19</v>
      </c>
      <c r="E2682" s="17" t="s">
        <v>1095</v>
      </c>
      <c r="F2682" s="17" t="s">
        <v>1195</v>
      </c>
      <c r="G2682" s="18" t="n">
        <v>0</v>
      </c>
      <c r="H2682" s="18" t="n">
        <v>27.87</v>
      </c>
      <c r="I2682" s="18" t="n">
        <f aca="false">((I2681 + G2682) - H2682)</f>
        <v>-118807.22</v>
      </c>
      <c r="J2682" s="18" t="n">
        <v>0</v>
      </c>
      <c r="K2682" s="19" t="n">
        <v>0</v>
      </c>
      <c r="L2682" s="17" t="s">
        <v>88</v>
      </c>
    </row>
    <row r="2683" s="11" customFormat="true" ht="10.95" hidden="false" customHeight="true" outlineLevel="0" collapsed="false">
      <c r="A2683" s="16" t="n">
        <v>45316</v>
      </c>
      <c r="B2683" s="17" t="s">
        <v>1071</v>
      </c>
      <c r="C2683" s="17" t="s">
        <v>788</v>
      </c>
      <c r="D2683" s="17" t="s">
        <v>19</v>
      </c>
      <c r="E2683" s="17" t="s">
        <v>1092</v>
      </c>
      <c r="F2683" s="17" t="s">
        <v>1196</v>
      </c>
      <c r="G2683" s="18" t="n">
        <v>0</v>
      </c>
      <c r="H2683" s="18" t="n">
        <v>1484.46</v>
      </c>
      <c r="I2683" s="18" t="n">
        <f aca="false">((I2682 + G2683) - H2683)</f>
        <v>-120291.68</v>
      </c>
      <c r="J2683" s="18" t="n">
        <v>0</v>
      </c>
      <c r="K2683" s="19" t="n">
        <v>0</v>
      </c>
      <c r="L2683" s="17" t="s">
        <v>88</v>
      </c>
    </row>
    <row r="2684" s="11" customFormat="true" ht="42" hidden="false" customHeight="true" outlineLevel="0" collapsed="false">
      <c r="A2684" s="16" t="n">
        <v>45316</v>
      </c>
      <c r="B2684" s="17" t="s">
        <v>1071</v>
      </c>
      <c r="C2684" s="17" t="s">
        <v>788</v>
      </c>
      <c r="D2684" s="17" t="s">
        <v>19</v>
      </c>
      <c r="E2684" s="20" t="s">
        <v>1097</v>
      </c>
      <c r="F2684" s="17" t="s">
        <v>1196</v>
      </c>
      <c r="G2684" s="18" t="n">
        <v>0</v>
      </c>
      <c r="H2684" s="18" t="n">
        <v>65.03</v>
      </c>
      <c r="I2684" s="18" t="n">
        <f aca="false">((I2683 + G2684) - H2684)</f>
        <v>-120356.71</v>
      </c>
      <c r="J2684" s="18" t="n">
        <v>0</v>
      </c>
      <c r="K2684" s="19" t="n">
        <v>0</v>
      </c>
      <c r="L2684" s="17" t="s">
        <v>88</v>
      </c>
    </row>
    <row r="2685" s="11" customFormat="true" ht="10.95" hidden="false" customHeight="true" outlineLevel="0" collapsed="false">
      <c r="A2685" s="16" t="n">
        <v>45316</v>
      </c>
      <c r="B2685" s="17" t="s">
        <v>1071</v>
      </c>
      <c r="C2685" s="17" t="s">
        <v>788</v>
      </c>
      <c r="D2685" s="17" t="s">
        <v>19</v>
      </c>
      <c r="E2685" s="17" t="s">
        <v>1094</v>
      </c>
      <c r="F2685" s="17" t="s">
        <v>1196</v>
      </c>
      <c r="G2685" s="18" t="n">
        <v>0</v>
      </c>
      <c r="H2685" s="18" t="n">
        <v>92.89</v>
      </c>
      <c r="I2685" s="18" t="n">
        <f aca="false">((I2684 + G2685) - H2685)</f>
        <v>-120449.6</v>
      </c>
      <c r="J2685" s="18" t="n">
        <v>0</v>
      </c>
      <c r="K2685" s="19" t="n">
        <v>0</v>
      </c>
      <c r="L2685" s="17" t="s">
        <v>88</v>
      </c>
    </row>
    <row r="2686" s="11" customFormat="true" ht="10.95" hidden="false" customHeight="true" outlineLevel="0" collapsed="false">
      <c r="A2686" s="16" t="n">
        <v>45316</v>
      </c>
      <c r="B2686" s="17" t="s">
        <v>1071</v>
      </c>
      <c r="C2686" s="17" t="s">
        <v>788</v>
      </c>
      <c r="D2686" s="17" t="s">
        <v>19</v>
      </c>
      <c r="E2686" s="17" t="s">
        <v>1098</v>
      </c>
      <c r="F2686" s="17" t="s">
        <v>1196</v>
      </c>
      <c r="G2686" s="18" t="n">
        <v>0</v>
      </c>
      <c r="H2686" s="18" t="n">
        <v>278.68</v>
      </c>
      <c r="I2686" s="18" t="n">
        <f aca="false">((I2685 + G2686) - H2686)</f>
        <v>-120728.28</v>
      </c>
      <c r="J2686" s="18" t="n">
        <v>0</v>
      </c>
      <c r="K2686" s="19" t="n">
        <v>0</v>
      </c>
      <c r="L2686" s="17" t="s">
        <v>88</v>
      </c>
    </row>
    <row r="2687" s="11" customFormat="true" ht="10.95" hidden="false" customHeight="true" outlineLevel="0" collapsed="false">
      <c r="A2687" s="16" t="n">
        <v>45316</v>
      </c>
      <c r="B2687" s="17" t="s">
        <v>1071</v>
      </c>
      <c r="C2687" s="17" t="s">
        <v>788</v>
      </c>
      <c r="D2687" s="17" t="s">
        <v>19</v>
      </c>
      <c r="E2687" s="17" t="s">
        <v>1083</v>
      </c>
      <c r="F2687" s="17" t="s">
        <v>1197</v>
      </c>
      <c r="G2687" s="18" t="n">
        <v>0</v>
      </c>
      <c r="H2687" s="18" t="n">
        <v>133.77</v>
      </c>
      <c r="I2687" s="18" t="n">
        <f aca="false">((I2686 + G2687) - H2687)</f>
        <v>-120862.05</v>
      </c>
      <c r="J2687" s="18" t="n">
        <v>0</v>
      </c>
      <c r="K2687" s="19" t="n">
        <v>0</v>
      </c>
      <c r="L2687" s="17" t="s">
        <v>88</v>
      </c>
    </row>
    <row r="2688" s="11" customFormat="true" ht="10.95" hidden="false" customHeight="true" outlineLevel="0" collapsed="false">
      <c r="A2688" s="16" t="n">
        <v>45316</v>
      </c>
      <c r="B2688" s="17" t="s">
        <v>1071</v>
      </c>
      <c r="C2688" s="17" t="s">
        <v>788</v>
      </c>
      <c r="D2688" s="17" t="s">
        <v>19</v>
      </c>
      <c r="E2688" s="17" t="s">
        <v>1090</v>
      </c>
      <c r="F2688" s="17" t="s">
        <v>1198</v>
      </c>
      <c r="G2688" s="18" t="n">
        <v>0</v>
      </c>
      <c r="H2688" s="18" t="n">
        <v>698.58</v>
      </c>
      <c r="I2688" s="18" t="n">
        <f aca="false">((I2687 + G2688) - H2688)</f>
        <v>-121560.63</v>
      </c>
      <c r="J2688" s="18" t="n">
        <v>0</v>
      </c>
      <c r="K2688" s="19" t="n">
        <v>0</v>
      </c>
      <c r="L2688" s="17" t="s">
        <v>88</v>
      </c>
    </row>
    <row r="2689" s="11" customFormat="true" ht="10.95" hidden="false" customHeight="true" outlineLevel="0" collapsed="false">
      <c r="A2689" s="16" t="n">
        <v>45316</v>
      </c>
      <c r="B2689" s="17" t="s">
        <v>1071</v>
      </c>
      <c r="C2689" s="17" t="s">
        <v>788</v>
      </c>
      <c r="D2689" s="17" t="s">
        <v>19</v>
      </c>
      <c r="E2689" s="17" t="s">
        <v>1101</v>
      </c>
      <c r="F2689" s="17" t="s">
        <v>1198</v>
      </c>
      <c r="G2689" s="18" t="n">
        <v>0</v>
      </c>
      <c r="H2689" s="18" t="n">
        <v>97.07</v>
      </c>
      <c r="I2689" s="18" t="n">
        <f aca="false">((I2688 + G2689) - H2689)</f>
        <v>-121657.7</v>
      </c>
      <c r="J2689" s="18" t="n">
        <v>0</v>
      </c>
      <c r="K2689" s="19" t="n">
        <v>0</v>
      </c>
      <c r="L2689" s="17" t="s">
        <v>88</v>
      </c>
    </row>
    <row r="2690" s="11" customFormat="true" ht="10.95" hidden="false" customHeight="true" outlineLevel="0" collapsed="false">
      <c r="A2690" s="16" t="n">
        <v>45316</v>
      </c>
      <c r="B2690" s="17" t="s">
        <v>1071</v>
      </c>
      <c r="C2690" s="17" t="s">
        <v>788</v>
      </c>
      <c r="D2690" s="17" t="s">
        <v>19</v>
      </c>
      <c r="E2690" s="17" t="s">
        <v>1088</v>
      </c>
      <c r="F2690" s="17" t="s">
        <v>1198</v>
      </c>
      <c r="G2690" s="18" t="n">
        <v>0</v>
      </c>
      <c r="H2690" s="18" t="n">
        <v>122.62</v>
      </c>
      <c r="I2690" s="18" t="n">
        <f aca="false">((I2689 + G2690) - H2690)</f>
        <v>-121780.32</v>
      </c>
      <c r="J2690" s="18" t="n">
        <v>0</v>
      </c>
      <c r="K2690" s="19" t="n">
        <v>0</v>
      </c>
      <c r="L2690" s="17" t="s">
        <v>88</v>
      </c>
    </row>
    <row r="2691" s="11" customFormat="true" ht="10.95" hidden="false" customHeight="true" outlineLevel="0" collapsed="false">
      <c r="A2691" s="16" t="n">
        <v>45316</v>
      </c>
      <c r="B2691" s="17" t="s">
        <v>1071</v>
      </c>
      <c r="C2691" s="17" t="s">
        <v>788</v>
      </c>
      <c r="D2691" s="17" t="s">
        <v>19</v>
      </c>
      <c r="E2691" s="17" t="s">
        <v>1102</v>
      </c>
      <c r="F2691" s="17" t="s">
        <v>1198</v>
      </c>
      <c r="G2691" s="18" t="n">
        <v>0</v>
      </c>
      <c r="H2691" s="18" t="n">
        <v>102.18</v>
      </c>
      <c r="I2691" s="18" t="n">
        <f aca="false">((I2690 + G2691) - H2691)</f>
        <v>-121882.5</v>
      </c>
      <c r="J2691" s="18" t="n">
        <v>0</v>
      </c>
      <c r="K2691" s="19" t="n">
        <v>0</v>
      </c>
      <c r="L2691" s="17" t="s">
        <v>88</v>
      </c>
    </row>
    <row r="2692" s="11" customFormat="true" ht="10.95" hidden="false" customHeight="true" outlineLevel="0" collapsed="false">
      <c r="A2692" s="16" t="n">
        <v>45343</v>
      </c>
      <c r="B2692" s="17" t="s">
        <v>1071</v>
      </c>
      <c r="C2692" s="17" t="s">
        <v>788</v>
      </c>
      <c r="D2692" s="17" t="s">
        <v>19</v>
      </c>
      <c r="E2692" s="17" t="s">
        <v>1072</v>
      </c>
      <c r="F2692" s="17" t="s">
        <v>1199</v>
      </c>
      <c r="G2692" s="18" t="n">
        <v>0</v>
      </c>
      <c r="H2692" s="18" t="n">
        <v>678.32</v>
      </c>
      <c r="I2692" s="18" t="n">
        <f aca="false">((I2691 + G2692) - H2692)</f>
        <v>-122560.82</v>
      </c>
      <c r="J2692" s="18" t="n">
        <v>0</v>
      </c>
      <c r="K2692" s="19" t="n">
        <v>0</v>
      </c>
      <c r="L2692" s="17" t="s">
        <v>88</v>
      </c>
    </row>
    <row r="2693" s="11" customFormat="true" ht="10.95" hidden="false" customHeight="true" outlineLevel="0" collapsed="false">
      <c r="A2693" s="16" t="n">
        <v>45343</v>
      </c>
      <c r="B2693" s="17" t="s">
        <v>1071</v>
      </c>
      <c r="C2693" s="17" t="s">
        <v>788</v>
      </c>
      <c r="D2693" s="17" t="s">
        <v>19</v>
      </c>
      <c r="E2693" s="17" t="s">
        <v>1074</v>
      </c>
      <c r="F2693" s="17" t="s">
        <v>1199</v>
      </c>
      <c r="G2693" s="18" t="n">
        <v>0</v>
      </c>
      <c r="H2693" s="18" t="n">
        <v>103.63</v>
      </c>
      <c r="I2693" s="18" t="n">
        <f aca="false">((I2692 + G2693) - H2693)</f>
        <v>-122664.45</v>
      </c>
      <c r="J2693" s="18" t="n">
        <v>0</v>
      </c>
      <c r="K2693" s="19" t="n">
        <v>0</v>
      </c>
      <c r="L2693" s="17" t="s">
        <v>88</v>
      </c>
    </row>
    <row r="2694" s="11" customFormat="true" ht="10.95" hidden="false" customHeight="true" outlineLevel="0" collapsed="false">
      <c r="A2694" s="16" t="n">
        <v>45343</v>
      </c>
      <c r="B2694" s="17" t="s">
        <v>1071</v>
      </c>
      <c r="C2694" s="17" t="s">
        <v>788</v>
      </c>
      <c r="D2694" s="17" t="s">
        <v>19</v>
      </c>
      <c r="E2694" s="17" t="s">
        <v>1075</v>
      </c>
      <c r="F2694" s="17" t="s">
        <v>1200</v>
      </c>
      <c r="G2694" s="18" t="n">
        <v>0</v>
      </c>
      <c r="H2694" s="18" t="n">
        <v>3165.78</v>
      </c>
      <c r="I2694" s="18" t="n">
        <f aca="false">((I2693 + G2694) - H2694)</f>
        <v>-125830.23</v>
      </c>
      <c r="J2694" s="18" t="n">
        <v>0</v>
      </c>
      <c r="K2694" s="19" t="n">
        <v>0</v>
      </c>
      <c r="L2694" s="17" t="s">
        <v>88</v>
      </c>
    </row>
    <row r="2695" s="11" customFormat="true" ht="10.95" hidden="false" customHeight="true" outlineLevel="0" collapsed="false">
      <c r="A2695" s="16" t="n">
        <v>45343</v>
      </c>
      <c r="B2695" s="17" t="s">
        <v>1071</v>
      </c>
      <c r="C2695" s="17" t="s">
        <v>788</v>
      </c>
      <c r="D2695" s="17" t="s">
        <v>19</v>
      </c>
      <c r="E2695" s="17" t="s">
        <v>1077</v>
      </c>
      <c r="F2695" s="17" t="s">
        <v>1201</v>
      </c>
      <c r="G2695" s="18" t="n">
        <v>0</v>
      </c>
      <c r="H2695" s="18" t="n">
        <v>984.6</v>
      </c>
      <c r="I2695" s="18" t="n">
        <f aca="false">((I2694 + G2695) - H2695)</f>
        <v>-126814.83</v>
      </c>
      <c r="J2695" s="18" t="n">
        <v>0</v>
      </c>
      <c r="K2695" s="19" t="n">
        <v>0</v>
      </c>
      <c r="L2695" s="17" t="s">
        <v>88</v>
      </c>
    </row>
    <row r="2696" s="11" customFormat="true" ht="10.95" hidden="false" customHeight="true" outlineLevel="0" collapsed="false">
      <c r="A2696" s="16" t="n">
        <v>45343</v>
      </c>
      <c r="B2696" s="17" t="s">
        <v>1071</v>
      </c>
      <c r="C2696" s="17" t="s">
        <v>788</v>
      </c>
      <c r="D2696" s="17" t="s">
        <v>19</v>
      </c>
      <c r="E2696" s="17" t="s">
        <v>1202</v>
      </c>
      <c r="F2696" s="17" t="s">
        <v>1201</v>
      </c>
      <c r="G2696" s="18" t="n">
        <v>0</v>
      </c>
      <c r="H2696" s="18" t="n">
        <v>339.19</v>
      </c>
      <c r="I2696" s="18" t="n">
        <f aca="false">((I2695 + G2696) - H2696)</f>
        <v>-127154.02</v>
      </c>
      <c r="J2696" s="18" t="n">
        <v>0</v>
      </c>
      <c r="K2696" s="19" t="n">
        <v>0</v>
      </c>
      <c r="L2696" s="17" t="s">
        <v>88</v>
      </c>
    </row>
    <row r="2697" s="11" customFormat="true" ht="10.95" hidden="false" customHeight="true" outlineLevel="0" collapsed="false">
      <c r="A2697" s="16" t="n">
        <v>45343</v>
      </c>
      <c r="B2697" s="17" t="s">
        <v>1071</v>
      </c>
      <c r="C2697" s="17" t="s">
        <v>788</v>
      </c>
      <c r="D2697" s="17" t="s">
        <v>19</v>
      </c>
      <c r="E2697" s="17" t="s">
        <v>1080</v>
      </c>
      <c r="F2697" s="17" t="s">
        <v>1201</v>
      </c>
      <c r="G2697" s="18" t="n">
        <v>0</v>
      </c>
      <c r="H2697" s="18" t="n">
        <v>207.28</v>
      </c>
      <c r="I2697" s="18" t="n">
        <f aca="false">((I2696 + G2697) - H2697)</f>
        <v>-127361.3</v>
      </c>
      <c r="J2697" s="18" t="n">
        <v>0</v>
      </c>
      <c r="K2697" s="19" t="n">
        <v>0</v>
      </c>
      <c r="L2697" s="17" t="s">
        <v>88</v>
      </c>
    </row>
    <row r="2698" s="11" customFormat="true" ht="10.95" hidden="false" customHeight="true" outlineLevel="0" collapsed="false">
      <c r="A2698" s="16" t="n">
        <v>45343</v>
      </c>
      <c r="B2698" s="17" t="s">
        <v>1071</v>
      </c>
      <c r="C2698" s="17" t="s">
        <v>788</v>
      </c>
      <c r="D2698" s="17" t="s">
        <v>19</v>
      </c>
      <c r="E2698" s="17" t="s">
        <v>1081</v>
      </c>
      <c r="F2698" s="17" t="s">
        <v>1203</v>
      </c>
      <c r="G2698" s="18" t="n">
        <v>0</v>
      </c>
      <c r="H2698" s="18" t="n">
        <v>180</v>
      </c>
      <c r="I2698" s="18" t="n">
        <f aca="false">((I2697 + G2698) - H2698)</f>
        <v>-127541.3</v>
      </c>
      <c r="J2698" s="18" t="n">
        <v>0</v>
      </c>
      <c r="K2698" s="19" t="n">
        <v>0</v>
      </c>
      <c r="L2698" s="17" t="s">
        <v>88</v>
      </c>
    </row>
    <row r="2699" s="11" customFormat="true" ht="10.95" hidden="false" customHeight="true" outlineLevel="0" collapsed="false">
      <c r="A2699" s="16" t="n">
        <v>45343</v>
      </c>
      <c r="B2699" s="17" t="s">
        <v>1071</v>
      </c>
      <c r="C2699" s="17" t="s">
        <v>788</v>
      </c>
      <c r="D2699" s="17" t="s">
        <v>19</v>
      </c>
      <c r="E2699" s="17" t="s">
        <v>1107</v>
      </c>
      <c r="F2699" s="17" t="s">
        <v>1204</v>
      </c>
      <c r="G2699" s="18" t="n">
        <v>0</v>
      </c>
      <c r="H2699" s="18" t="n">
        <v>93.18</v>
      </c>
      <c r="I2699" s="18" t="n">
        <f aca="false">((I2698 + G2699) - H2699)</f>
        <v>-127634.48</v>
      </c>
      <c r="J2699" s="18" t="n">
        <v>0</v>
      </c>
      <c r="K2699" s="19" t="n">
        <v>0</v>
      </c>
      <c r="L2699" s="17" t="s">
        <v>88</v>
      </c>
    </row>
    <row r="2700" s="11" customFormat="true" ht="10.95" hidden="false" customHeight="true" outlineLevel="0" collapsed="false">
      <c r="A2700" s="16" t="n">
        <v>45343</v>
      </c>
      <c r="B2700" s="17" t="s">
        <v>1071</v>
      </c>
      <c r="C2700" s="17" t="s">
        <v>788</v>
      </c>
      <c r="D2700" s="17" t="s">
        <v>19</v>
      </c>
      <c r="E2700" s="17" t="s">
        <v>1107</v>
      </c>
      <c r="F2700" s="17" t="s">
        <v>1204</v>
      </c>
      <c r="G2700" s="18" t="n">
        <v>0</v>
      </c>
      <c r="H2700" s="18" t="n">
        <v>93.18</v>
      </c>
      <c r="I2700" s="18" t="n">
        <f aca="false">((I2699 + G2700) - H2700)</f>
        <v>-127727.66</v>
      </c>
      <c r="J2700" s="18" t="n">
        <v>0</v>
      </c>
      <c r="K2700" s="19" t="n">
        <v>0</v>
      </c>
      <c r="L2700" s="17" t="s">
        <v>88</v>
      </c>
    </row>
    <row r="2701" s="11" customFormat="true" ht="10.95" hidden="false" customHeight="true" outlineLevel="0" collapsed="false">
      <c r="A2701" s="16" t="n">
        <v>45343</v>
      </c>
      <c r="B2701" s="17" t="s">
        <v>1071</v>
      </c>
      <c r="C2701" s="17" t="s">
        <v>788</v>
      </c>
      <c r="D2701" s="17" t="s">
        <v>19</v>
      </c>
      <c r="E2701" s="17" t="s">
        <v>1205</v>
      </c>
      <c r="F2701" s="17" t="s">
        <v>1206</v>
      </c>
      <c r="G2701" s="18" t="n">
        <v>0</v>
      </c>
      <c r="H2701" s="18" t="n">
        <v>279.54</v>
      </c>
      <c r="I2701" s="18" t="n">
        <f aca="false">((I2700 + G2701) - H2701)</f>
        <v>-128007.2</v>
      </c>
      <c r="J2701" s="18" t="n">
        <v>0</v>
      </c>
      <c r="K2701" s="19" t="n">
        <v>0</v>
      </c>
      <c r="L2701" s="17" t="s">
        <v>88</v>
      </c>
    </row>
    <row r="2702" s="11" customFormat="true" ht="10.95" hidden="false" customHeight="true" outlineLevel="0" collapsed="false">
      <c r="A2702" s="16" t="n">
        <v>45343</v>
      </c>
      <c r="B2702" s="17" t="s">
        <v>1071</v>
      </c>
      <c r="C2702" s="17" t="s">
        <v>788</v>
      </c>
      <c r="D2702" s="17" t="s">
        <v>19</v>
      </c>
      <c r="E2702" s="17" t="s">
        <v>1207</v>
      </c>
      <c r="F2702" s="17" t="s">
        <v>1206</v>
      </c>
      <c r="G2702" s="18" t="n">
        <v>0</v>
      </c>
      <c r="H2702" s="18" t="n">
        <v>279.54</v>
      </c>
      <c r="I2702" s="18" t="n">
        <f aca="false">((I2701 + G2702) - H2702)</f>
        <v>-128286.74</v>
      </c>
      <c r="J2702" s="18" t="n">
        <v>0</v>
      </c>
      <c r="K2702" s="19" t="n">
        <v>0</v>
      </c>
      <c r="L2702" s="17" t="s">
        <v>88</v>
      </c>
    </row>
    <row r="2703" s="11" customFormat="true" ht="10.95" hidden="false" customHeight="true" outlineLevel="0" collapsed="false">
      <c r="A2703" s="16" t="n">
        <v>45343</v>
      </c>
      <c r="B2703" s="17" t="s">
        <v>1071</v>
      </c>
      <c r="C2703" s="17" t="s">
        <v>788</v>
      </c>
      <c r="D2703" s="17" t="s">
        <v>19</v>
      </c>
      <c r="E2703" s="17" t="s">
        <v>1208</v>
      </c>
      <c r="F2703" s="17" t="s">
        <v>1206</v>
      </c>
      <c r="G2703" s="18" t="n">
        <v>0</v>
      </c>
      <c r="H2703" s="18" t="n">
        <v>279.55</v>
      </c>
      <c r="I2703" s="18" t="n">
        <f aca="false">((I2702 + G2703) - H2703)</f>
        <v>-128566.29</v>
      </c>
      <c r="J2703" s="18" t="n">
        <v>0</v>
      </c>
      <c r="K2703" s="19" t="n">
        <v>0</v>
      </c>
      <c r="L2703" s="17" t="s">
        <v>88</v>
      </c>
    </row>
    <row r="2704" s="11" customFormat="true" ht="10.95" hidden="false" customHeight="true" outlineLevel="0" collapsed="false">
      <c r="A2704" s="16" t="n">
        <v>45343</v>
      </c>
      <c r="B2704" s="17" t="s">
        <v>1071</v>
      </c>
      <c r="C2704" s="17" t="s">
        <v>788</v>
      </c>
      <c r="D2704" s="17" t="s">
        <v>19</v>
      </c>
      <c r="E2704" s="17" t="s">
        <v>1209</v>
      </c>
      <c r="F2704" s="17" t="s">
        <v>1206</v>
      </c>
      <c r="G2704" s="18" t="n">
        <v>0</v>
      </c>
      <c r="H2704" s="18" t="n">
        <v>75.3</v>
      </c>
      <c r="I2704" s="18" t="n">
        <f aca="false">((I2703 + G2704) - H2704)</f>
        <v>-128641.59</v>
      </c>
      <c r="J2704" s="18" t="n">
        <v>0</v>
      </c>
      <c r="K2704" s="19" t="n">
        <v>0</v>
      </c>
      <c r="L2704" s="17" t="s">
        <v>88</v>
      </c>
    </row>
    <row r="2705" s="11" customFormat="true" ht="10.95" hidden="false" customHeight="true" outlineLevel="0" collapsed="false">
      <c r="A2705" s="16" t="n">
        <v>45343</v>
      </c>
      <c r="B2705" s="17" t="s">
        <v>1071</v>
      </c>
      <c r="C2705" s="17" t="s">
        <v>788</v>
      </c>
      <c r="D2705" s="17" t="s">
        <v>19</v>
      </c>
      <c r="E2705" s="17" t="s">
        <v>1107</v>
      </c>
      <c r="F2705" s="17" t="s">
        <v>1210</v>
      </c>
      <c r="G2705" s="18" t="n">
        <v>0</v>
      </c>
      <c r="H2705" s="18" t="n">
        <v>372.72</v>
      </c>
      <c r="I2705" s="18" t="n">
        <f aca="false">((I2704 + G2705) - H2705)</f>
        <v>-129014.31</v>
      </c>
      <c r="J2705" s="18" t="n">
        <v>0</v>
      </c>
      <c r="K2705" s="19" t="n">
        <v>0</v>
      </c>
      <c r="L2705" s="17" t="s">
        <v>88</v>
      </c>
    </row>
    <row r="2706" s="11" customFormat="true" ht="10.95" hidden="false" customHeight="true" outlineLevel="0" collapsed="false">
      <c r="A2706" s="16" t="n">
        <v>45343</v>
      </c>
      <c r="B2706" s="17" t="s">
        <v>1071</v>
      </c>
      <c r="C2706" s="17" t="s">
        <v>788</v>
      </c>
      <c r="D2706" s="17" t="s">
        <v>19</v>
      </c>
      <c r="E2706" s="17" t="s">
        <v>1171</v>
      </c>
      <c r="F2706" s="17" t="s">
        <v>1210</v>
      </c>
      <c r="G2706" s="18" t="n">
        <v>0</v>
      </c>
      <c r="H2706" s="18" t="n">
        <v>155.29</v>
      </c>
      <c r="I2706" s="18" t="n">
        <f aca="false">((I2705 + G2706) - H2706)</f>
        <v>-129169.6</v>
      </c>
      <c r="J2706" s="18" t="n">
        <v>0</v>
      </c>
      <c r="K2706" s="19" t="n">
        <v>0</v>
      </c>
      <c r="L2706" s="17" t="s">
        <v>88</v>
      </c>
    </row>
    <row r="2707" s="11" customFormat="true" ht="10.95" hidden="false" customHeight="true" outlineLevel="0" collapsed="false">
      <c r="A2707" s="16" t="n">
        <v>45343</v>
      </c>
      <c r="B2707" s="17" t="s">
        <v>1071</v>
      </c>
      <c r="C2707" s="17" t="s">
        <v>788</v>
      </c>
      <c r="D2707" s="17" t="s">
        <v>19</v>
      </c>
      <c r="E2707" s="17" t="s">
        <v>1109</v>
      </c>
      <c r="F2707" s="17" t="s">
        <v>1210</v>
      </c>
      <c r="G2707" s="18" t="n">
        <v>0</v>
      </c>
      <c r="H2707" s="18" t="n">
        <v>279.55</v>
      </c>
      <c r="I2707" s="18" t="n">
        <f aca="false">((I2706 + G2707) - H2707)</f>
        <v>-129449.15</v>
      </c>
      <c r="J2707" s="18" t="n">
        <v>0</v>
      </c>
      <c r="K2707" s="19" t="n">
        <v>0</v>
      </c>
      <c r="L2707" s="17" t="s">
        <v>88</v>
      </c>
    </row>
    <row r="2708" s="11" customFormat="true" ht="10.95" hidden="false" customHeight="true" outlineLevel="0" collapsed="false">
      <c r="A2708" s="16" t="n">
        <v>45343</v>
      </c>
      <c r="B2708" s="17" t="s">
        <v>1071</v>
      </c>
      <c r="C2708" s="17" t="s">
        <v>788</v>
      </c>
      <c r="D2708" s="17" t="s">
        <v>19</v>
      </c>
      <c r="E2708" s="17" t="s">
        <v>1110</v>
      </c>
      <c r="F2708" s="17" t="s">
        <v>1210</v>
      </c>
      <c r="G2708" s="18" t="n">
        <v>0</v>
      </c>
      <c r="H2708" s="18" t="n">
        <v>93.18</v>
      </c>
      <c r="I2708" s="18" t="n">
        <f aca="false">((I2707 + G2708) - H2708)</f>
        <v>-129542.33</v>
      </c>
      <c r="J2708" s="18" t="n">
        <v>0</v>
      </c>
      <c r="K2708" s="19" t="n">
        <v>0</v>
      </c>
      <c r="L2708" s="17" t="s">
        <v>88</v>
      </c>
    </row>
    <row r="2709" s="11" customFormat="true" ht="10.95" hidden="false" customHeight="true" outlineLevel="0" collapsed="false">
      <c r="A2709" s="16" t="n">
        <v>45343</v>
      </c>
      <c r="B2709" s="17" t="s">
        <v>1071</v>
      </c>
      <c r="C2709" s="17" t="s">
        <v>788</v>
      </c>
      <c r="D2709" s="17" t="s">
        <v>19</v>
      </c>
      <c r="E2709" s="17" t="s">
        <v>1111</v>
      </c>
      <c r="F2709" s="17" t="s">
        <v>1210</v>
      </c>
      <c r="G2709" s="18" t="n">
        <v>0</v>
      </c>
      <c r="H2709" s="18" t="n">
        <v>1581.27</v>
      </c>
      <c r="I2709" s="18" t="n">
        <f aca="false">((I2708 + G2709) - H2709)</f>
        <v>-131123.6</v>
      </c>
      <c r="J2709" s="18" t="n">
        <v>0</v>
      </c>
      <c r="K2709" s="19" t="n">
        <v>0</v>
      </c>
      <c r="L2709" s="17" t="s">
        <v>88</v>
      </c>
    </row>
    <row r="2710" s="11" customFormat="true" ht="10.95" hidden="false" customHeight="true" outlineLevel="0" collapsed="false">
      <c r="A2710" s="16" t="n">
        <v>45343</v>
      </c>
      <c r="B2710" s="17" t="s">
        <v>1071</v>
      </c>
      <c r="C2710" s="17" t="s">
        <v>788</v>
      </c>
      <c r="D2710" s="17" t="s">
        <v>19</v>
      </c>
      <c r="E2710" s="17" t="s">
        <v>1112</v>
      </c>
      <c r="F2710" s="17" t="s">
        <v>1210</v>
      </c>
      <c r="G2710" s="18" t="n">
        <v>0</v>
      </c>
      <c r="H2710" s="18" t="n">
        <v>423.55</v>
      </c>
      <c r="I2710" s="18" t="n">
        <f aca="false">((I2709 + G2710) - H2710)</f>
        <v>-131547.15</v>
      </c>
      <c r="J2710" s="18" t="n">
        <v>0</v>
      </c>
      <c r="K2710" s="19" t="n">
        <v>0</v>
      </c>
      <c r="L2710" s="17" t="s">
        <v>88</v>
      </c>
    </row>
    <row r="2711" s="11" customFormat="true" ht="10.95" hidden="false" customHeight="true" outlineLevel="0" collapsed="false">
      <c r="A2711" s="16" t="n">
        <v>45343</v>
      </c>
      <c r="B2711" s="17" t="s">
        <v>1071</v>
      </c>
      <c r="C2711" s="17" t="s">
        <v>788</v>
      </c>
      <c r="D2711" s="17" t="s">
        <v>19</v>
      </c>
      <c r="E2711" s="17" t="s">
        <v>1172</v>
      </c>
      <c r="F2711" s="17" t="s">
        <v>1210</v>
      </c>
      <c r="G2711" s="18" t="n">
        <v>0</v>
      </c>
      <c r="H2711" s="18" t="n">
        <v>752.98</v>
      </c>
      <c r="I2711" s="18" t="n">
        <f aca="false">((I2710 + G2711) - H2711)</f>
        <v>-132300.13</v>
      </c>
      <c r="J2711" s="18" t="n">
        <v>0</v>
      </c>
      <c r="K2711" s="19" t="n">
        <v>0</v>
      </c>
      <c r="L2711" s="17" t="s">
        <v>88</v>
      </c>
    </row>
    <row r="2712" s="11" customFormat="true" ht="10.95" hidden="false" customHeight="true" outlineLevel="0" collapsed="false">
      <c r="A2712" s="16" t="n">
        <v>45343</v>
      </c>
      <c r="B2712" s="17" t="s">
        <v>1071</v>
      </c>
      <c r="C2712" s="17" t="s">
        <v>788</v>
      </c>
      <c r="D2712" s="17" t="s">
        <v>19</v>
      </c>
      <c r="E2712" s="17" t="s">
        <v>1211</v>
      </c>
      <c r="F2712" s="17" t="s">
        <v>1210</v>
      </c>
      <c r="G2712" s="18" t="n">
        <v>0</v>
      </c>
      <c r="H2712" s="18" t="n">
        <v>279.55</v>
      </c>
      <c r="I2712" s="18" t="n">
        <f aca="false">((I2711 + G2712) - H2712)</f>
        <v>-132579.68</v>
      </c>
      <c r="J2712" s="18" t="n">
        <v>0</v>
      </c>
      <c r="K2712" s="19" t="n">
        <v>0</v>
      </c>
      <c r="L2712" s="17" t="s">
        <v>88</v>
      </c>
    </row>
    <row r="2713" s="11" customFormat="true" ht="10.95" hidden="false" customHeight="true" outlineLevel="0" collapsed="false">
      <c r="A2713" s="16" t="n">
        <v>45343</v>
      </c>
      <c r="B2713" s="17" t="s">
        <v>1071</v>
      </c>
      <c r="C2713" s="17" t="s">
        <v>788</v>
      </c>
      <c r="D2713" s="17" t="s">
        <v>19</v>
      </c>
      <c r="E2713" s="17" t="s">
        <v>1107</v>
      </c>
      <c r="F2713" s="17" t="s">
        <v>1210</v>
      </c>
      <c r="G2713" s="18" t="n">
        <v>0</v>
      </c>
      <c r="H2713" s="18" t="n">
        <v>372.73</v>
      </c>
      <c r="I2713" s="18" t="n">
        <f aca="false">((I2712 + G2713) - H2713)</f>
        <v>-132952.41</v>
      </c>
      <c r="J2713" s="18" t="n">
        <v>0</v>
      </c>
      <c r="K2713" s="19" t="n">
        <v>0</v>
      </c>
      <c r="L2713" s="17" t="s">
        <v>88</v>
      </c>
    </row>
    <row r="2714" s="11" customFormat="true" ht="10.95" hidden="false" customHeight="true" outlineLevel="0" collapsed="false">
      <c r="A2714" s="16" t="n">
        <v>45343</v>
      </c>
      <c r="B2714" s="17" t="s">
        <v>1071</v>
      </c>
      <c r="C2714" s="17" t="s">
        <v>788</v>
      </c>
      <c r="D2714" s="17" t="s">
        <v>19</v>
      </c>
      <c r="E2714" s="17" t="s">
        <v>1171</v>
      </c>
      <c r="F2714" s="17" t="s">
        <v>1210</v>
      </c>
      <c r="G2714" s="18" t="n">
        <v>0</v>
      </c>
      <c r="H2714" s="18" t="n">
        <v>155.3</v>
      </c>
      <c r="I2714" s="18" t="n">
        <f aca="false">((I2713 + G2714) - H2714)</f>
        <v>-133107.71</v>
      </c>
      <c r="J2714" s="18" t="n">
        <v>0</v>
      </c>
      <c r="K2714" s="19" t="n">
        <v>0</v>
      </c>
      <c r="L2714" s="17" t="s">
        <v>88</v>
      </c>
    </row>
    <row r="2715" s="11" customFormat="true" ht="10.95" hidden="false" customHeight="true" outlineLevel="0" collapsed="false">
      <c r="A2715" s="16" t="n">
        <v>45343</v>
      </c>
      <c r="B2715" s="17" t="s">
        <v>1071</v>
      </c>
      <c r="C2715" s="17" t="s">
        <v>788</v>
      </c>
      <c r="D2715" s="17" t="s">
        <v>19</v>
      </c>
      <c r="E2715" s="17" t="s">
        <v>1109</v>
      </c>
      <c r="F2715" s="17" t="s">
        <v>1210</v>
      </c>
      <c r="G2715" s="18" t="n">
        <v>0</v>
      </c>
      <c r="H2715" s="18" t="n">
        <v>279.55</v>
      </c>
      <c r="I2715" s="18" t="n">
        <f aca="false">((I2714 + G2715) - H2715)</f>
        <v>-133387.26</v>
      </c>
      <c r="J2715" s="18" t="n">
        <v>0</v>
      </c>
      <c r="K2715" s="19" t="n">
        <v>0</v>
      </c>
      <c r="L2715" s="17" t="s">
        <v>88</v>
      </c>
    </row>
    <row r="2716" s="11" customFormat="true" ht="10.95" hidden="false" customHeight="true" outlineLevel="0" collapsed="false">
      <c r="A2716" s="16" t="n">
        <v>45343</v>
      </c>
      <c r="B2716" s="17" t="s">
        <v>1071</v>
      </c>
      <c r="C2716" s="17" t="s">
        <v>788</v>
      </c>
      <c r="D2716" s="17" t="s">
        <v>19</v>
      </c>
      <c r="E2716" s="17" t="s">
        <v>1110</v>
      </c>
      <c r="F2716" s="17" t="s">
        <v>1210</v>
      </c>
      <c r="G2716" s="18" t="n">
        <v>0</v>
      </c>
      <c r="H2716" s="18" t="n">
        <v>93.18</v>
      </c>
      <c r="I2716" s="18" t="n">
        <f aca="false">((I2715 + G2716) - H2716)</f>
        <v>-133480.44</v>
      </c>
      <c r="J2716" s="18" t="n">
        <v>0</v>
      </c>
      <c r="K2716" s="19" t="n">
        <v>0</v>
      </c>
      <c r="L2716" s="17" t="s">
        <v>88</v>
      </c>
    </row>
    <row r="2717" s="11" customFormat="true" ht="10.95" hidden="false" customHeight="true" outlineLevel="0" collapsed="false">
      <c r="A2717" s="16" t="n">
        <v>45343</v>
      </c>
      <c r="B2717" s="17" t="s">
        <v>1071</v>
      </c>
      <c r="C2717" s="17" t="s">
        <v>788</v>
      </c>
      <c r="D2717" s="17" t="s">
        <v>19</v>
      </c>
      <c r="E2717" s="17" t="s">
        <v>1111</v>
      </c>
      <c r="F2717" s="17" t="s">
        <v>1210</v>
      </c>
      <c r="G2717" s="18" t="n">
        <v>0</v>
      </c>
      <c r="H2717" s="18" t="n">
        <v>1581.27</v>
      </c>
      <c r="I2717" s="18" t="n">
        <f aca="false">((I2716 + G2717) - H2717)</f>
        <v>-135061.71</v>
      </c>
      <c r="J2717" s="18" t="n">
        <v>0</v>
      </c>
      <c r="K2717" s="19" t="n">
        <v>0</v>
      </c>
      <c r="L2717" s="17" t="s">
        <v>88</v>
      </c>
    </row>
    <row r="2718" s="11" customFormat="true" ht="10.95" hidden="false" customHeight="true" outlineLevel="0" collapsed="false">
      <c r="A2718" s="16" t="n">
        <v>45343</v>
      </c>
      <c r="B2718" s="17" t="s">
        <v>1071</v>
      </c>
      <c r="C2718" s="17" t="s">
        <v>788</v>
      </c>
      <c r="D2718" s="17" t="s">
        <v>19</v>
      </c>
      <c r="E2718" s="17" t="s">
        <v>1112</v>
      </c>
      <c r="F2718" s="17" t="s">
        <v>1210</v>
      </c>
      <c r="G2718" s="18" t="n">
        <v>0</v>
      </c>
      <c r="H2718" s="18" t="n">
        <v>423.55</v>
      </c>
      <c r="I2718" s="18" t="n">
        <f aca="false">((I2717 + G2718) - H2718)</f>
        <v>-135485.26</v>
      </c>
      <c r="J2718" s="18" t="n">
        <v>0</v>
      </c>
      <c r="K2718" s="19" t="n">
        <v>0</v>
      </c>
      <c r="L2718" s="17" t="s">
        <v>88</v>
      </c>
    </row>
    <row r="2719" s="11" customFormat="true" ht="10.95" hidden="false" customHeight="true" outlineLevel="0" collapsed="false">
      <c r="A2719" s="16" t="n">
        <v>45343</v>
      </c>
      <c r="B2719" s="17" t="s">
        <v>1071</v>
      </c>
      <c r="C2719" s="17" t="s">
        <v>788</v>
      </c>
      <c r="D2719" s="17" t="s">
        <v>19</v>
      </c>
      <c r="E2719" s="17" t="s">
        <v>1172</v>
      </c>
      <c r="F2719" s="17" t="s">
        <v>1210</v>
      </c>
      <c r="G2719" s="18" t="n">
        <v>0</v>
      </c>
      <c r="H2719" s="18" t="n">
        <v>752.98</v>
      </c>
      <c r="I2719" s="18" t="n">
        <f aca="false">((I2718 + G2719) - H2719)</f>
        <v>-136238.24</v>
      </c>
      <c r="J2719" s="18" t="n">
        <v>0</v>
      </c>
      <c r="K2719" s="19" t="n">
        <v>0</v>
      </c>
      <c r="L2719" s="17" t="s">
        <v>88</v>
      </c>
    </row>
    <row r="2720" s="11" customFormat="true" ht="10.95" hidden="false" customHeight="true" outlineLevel="0" collapsed="false">
      <c r="A2720" s="16" t="n">
        <v>45343</v>
      </c>
      <c r="B2720" s="17" t="s">
        <v>1071</v>
      </c>
      <c r="C2720" s="17" t="s">
        <v>788</v>
      </c>
      <c r="D2720" s="17" t="s">
        <v>19</v>
      </c>
      <c r="E2720" s="17" t="s">
        <v>1211</v>
      </c>
      <c r="F2720" s="17" t="s">
        <v>1210</v>
      </c>
      <c r="G2720" s="18" t="n">
        <v>0</v>
      </c>
      <c r="H2720" s="18" t="n">
        <v>279.55</v>
      </c>
      <c r="I2720" s="18" t="n">
        <f aca="false">((I2719 + G2720) - H2720)</f>
        <v>-136517.79</v>
      </c>
      <c r="J2720" s="18" t="n">
        <v>0</v>
      </c>
      <c r="K2720" s="19" t="n">
        <v>0</v>
      </c>
      <c r="L2720" s="17" t="s">
        <v>88</v>
      </c>
    </row>
    <row r="2721" s="11" customFormat="true" ht="10.95" hidden="false" customHeight="true" outlineLevel="0" collapsed="false">
      <c r="A2721" s="16" t="n">
        <v>45343</v>
      </c>
      <c r="B2721" s="17" t="s">
        <v>1071</v>
      </c>
      <c r="C2721" s="17" t="s">
        <v>788</v>
      </c>
      <c r="D2721" s="17" t="s">
        <v>19</v>
      </c>
      <c r="E2721" s="17" t="s">
        <v>1107</v>
      </c>
      <c r="F2721" s="17" t="s">
        <v>1210</v>
      </c>
      <c r="G2721" s="18" t="n">
        <v>0</v>
      </c>
      <c r="H2721" s="18" t="n">
        <v>372.73</v>
      </c>
      <c r="I2721" s="18" t="n">
        <f aca="false">((I2720 + G2721) - H2721)</f>
        <v>-136890.52</v>
      </c>
      <c r="J2721" s="18" t="n">
        <v>0</v>
      </c>
      <c r="K2721" s="19" t="n">
        <v>0</v>
      </c>
      <c r="L2721" s="17" t="s">
        <v>88</v>
      </c>
    </row>
    <row r="2722" s="11" customFormat="true" ht="10.95" hidden="false" customHeight="true" outlineLevel="0" collapsed="false">
      <c r="A2722" s="16" t="n">
        <v>45343</v>
      </c>
      <c r="B2722" s="17" t="s">
        <v>1071</v>
      </c>
      <c r="C2722" s="17" t="s">
        <v>788</v>
      </c>
      <c r="D2722" s="17" t="s">
        <v>19</v>
      </c>
      <c r="E2722" s="17" t="s">
        <v>1171</v>
      </c>
      <c r="F2722" s="17" t="s">
        <v>1210</v>
      </c>
      <c r="G2722" s="18" t="n">
        <v>0</v>
      </c>
      <c r="H2722" s="18" t="n">
        <v>155.3</v>
      </c>
      <c r="I2722" s="18" t="n">
        <f aca="false">((I2721 + G2722) - H2722)</f>
        <v>-137045.82</v>
      </c>
      <c r="J2722" s="18" t="n">
        <v>0</v>
      </c>
      <c r="K2722" s="19" t="n">
        <v>0</v>
      </c>
      <c r="L2722" s="17" t="s">
        <v>88</v>
      </c>
    </row>
    <row r="2723" s="11" customFormat="true" ht="10.95" hidden="false" customHeight="true" outlineLevel="0" collapsed="false">
      <c r="A2723" s="16" t="n">
        <v>45343</v>
      </c>
      <c r="B2723" s="17" t="s">
        <v>1071</v>
      </c>
      <c r="C2723" s="17" t="s">
        <v>788</v>
      </c>
      <c r="D2723" s="17" t="s">
        <v>19</v>
      </c>
      <c r="E2723" s="17" t="s">
        <v>1109</v>
      </c>
      <c r="F2723" s="17" t="s">
        <v>1210</v>
      </c>
      <c r="G2723" s="18" t="n">
        <v>0</v>
      </c>
      <c r="H2723" s="18" t="n">
        <v>279.55</v>
      </c>
      <c r="I2723" s="18" t="n">
        <f aca="false">((I2722 + G2723) - H2723)</f>
        <v>-137325.37</v>
      </c>
      <c r="J2723" s="18" t="n">
        <v>0</v>
      </c>
      <c r="K2723" s="19" t="n">
        <v>0</v>
      </c>
      <c r="L2723" s="17" t="s">
        <v>88</v>
      </c>
    </row>
    <row r="2724" s="11" customFormat="true" ht="10.95" hidden="false" customHeight="true" outlineLevel="0" collapsed="false">
      <c r="A2724" s="16" t="n">
        <v>45343</v>
      </c>
      <c r="B2724" s="17" t="s">
        <v>1071</v>
      </c>
      <c r="C2724" s="17" t="s">
        <v>788</v>
      </c>
      <c r="D2724" s="17" t="s">
        <v>19</v>
      </c>
      <c r="E2724" s="17" t="s">
        <v>1110</v>
      </c>
      <c r="F2724" s="17" t="s">
        <v>1210</v>
      </c>
      <c r="G2724" s="18" t="n">
        <v>0</v>
      </c>
      <c r="H2724" s="18" t="n">
        <v>93.18</v>
      </c>
      <c r="I2724" s="18" t="n">
        <f aca="false">((I2723 + G2724) - H2724)</f>
        <v>-137418.55</v>
      </c>
      <c r="J2724" s="18" t="n">
        <v>0</v>
      </c>
      <c r="K2724" s="19" t="n">
        <v>0</v>
      </c>
      <c r="L2724" s="17" t="s">
        <v>88</v>
      </c>
    </row>
    <row r="2725" s="11" customFormat="true" ht="10.95" hidden="false" customHeight="true" outlineLevel="0" collapsed="false">
      <c r="A2725" s="16" t="n">
        <v>45343</v>
      </c>
      <c r="B2725" s="17" t="s">
        <v>1071</v>
      </c>
      <c r="C2725" s="17" t="s">
        <v>788</v>
      </c>
      <c r="D2725" s="17" t="s">
        <v>19</v>
      </c>
      <c r="E2725" s="17" t="s">
        <v>1111</v>
      </c>
      <c r="F2725" s="17" t="s">
        <v>1210</v>
      </c>
      <c r="G2725" s="18" t="n">
        <v>0</v>
      </c>
      <c r="H2725" s="18" t="n">
        <v>1581.27</v>
      </c>
      <c r="I2725" s="18" t="n">
        <f aca="false">((I2724 + G2725) - H2725)</f>
        <v>-138999.82</v>
      </c>
      <c r="J2725" s="18" t="n">
        <v>0</v>
      </c>
      <c r="K2725" s="19" t="n">
        <v>0</v>
      </c>
      <c r="L2725" s="17" t="s">
        <v>88</v>
      </c>
    </row>
    <row r="2726" s="11" customFormat="true" ht="10.95" hidden="false" customHeight="true" outlineLevel="0" collapsed="false">
      <c r="A2726" s="16" t="n">
        <v>45343</v>
      </c>
      <c r="B2726" s="17" t="s">
        <v>1071</v>
      </c>
      <c r="C2726" s="17" t="s">
        <v>788</v>
      </c>
      <c r="D2726" s="17" t="s">
        <v>19</v>
      </c>
      <c r="E2726" s="17" t="s">
        <v>1112</v>
      </c>
      <c r="F2726" s="17" t="s">
        <v>1210</v>
      </c>
      <c r="G2726" s="18" t="n">
        <v>0</v>
      </c>
      <c r="H2726" s="18" t="n">
        <v>423.55</v>
      </c>
      <c r="I2726" s="18" t="n">
        <f aca="false">((I2725 + G2726) - H2726)</f>
        <v>-139423.37</v>
      </c>
      <c r="J2726" s="18" t="n">
        <v>0</v>
      </c>
      <c r="K2726" s="19" t="n">
        <v>0</v>
      </c>
      <c r="L2726" s="17" t="s">
        <v>88</v>
      </c>
    </row>
    <row r="2727" s="11" customFormat="true" ht="10.95" hidden="false" customHeight="true" outlineLevel="0" collapsed="false">
      <c r="A2727" s="16" t="n">
        <v>45343</v>
      </c>
      <c r="B2727" s="17" t="s">
        <v>1071</v>
      </c>
      <c r="C2727" s="17" t="s">
        <v>788</v>
      </c>
      <c r="D2727" s="17" t="s">
        <v>19</v>
      </c>
      <c r="E2727" s="17" t="s">
        <v>1172</v>
      </c>
      <c r="F2727" s="17" t="s">
        <v>1210</v>
      </c>
      <c r="G2727" s="18" t="n">
        <v>0</v>
      </c>
      <c r="H2727" s="18" t="n">
        <v>752.98</v>
      </c>
      <c r="I2727" s="18" t="n">
        <f aca="false">((I2726 + G2727) - H2727)</f>
        <v>-140176.35</v>
      </c>
      <c r="J2727" s="18" t="n">
        <v>0</v>
      </c>
      <c r="K2727" s="19" t="n">
        <v>0</v>
      </c>
      <c r="L2727" s="17" t="s">
        <v>88</v>
      </c>
    </row>
    <row r="2728" s="11" customFormat="true" ht="10.95" hidden="false" customHeight="true" outlineLevel="0" collapsed="false">
      <c r="A2728" s="16" t="n">
        <v>45343</v>
      </c>
      <c r="B2728" s="17" t="s">
        <v>1071</v>
      </c>
      <c r="C2728" s="17" t="s">
        <v>788</v>
      </c>
      <c r="D2728" s="17" t="s">
        <v>19</v>
      </c>
      <c r="E2728" s="17" t="s">
        <v>1211</v>
      </c>
      <c r="F2728" s="17" t="s">
        <v>1210</v>
      </c>
      <c r="G2728" s="18" t="n">
        <v>0</v>
      </c>
      <c r="H2728" s="18" t="n">
        <v>279.55</v>
      </c>
      <c r="I2728" s="18" t="n">
        <f aca="false">((I2727 + G2728) - H2728)</f>
        <v>-140455.9</v>
      </c>
      <c r="J2728" s="18" t="n">
        <v>0</v>
      </c>
      <c r="K2728" s="19" t="n">
        <v>0</v>
      </c>
      <c r="L2728" s="17" t="s">
        <v>88</v>
      </c>
    </row>
    <row r="2729" s="11" customFormat="true" ht="10.95" hidden="false" customHeight="true" outlineLevel="0" collapsed="false">
      <c r="A2729" s="16" t="n">
        <v>45343</v>
      </c>
      <c r="B2729" s="17" t="s">
        <v>1071</v>
      </c>
      <c r="C2729" s="17" t="s">
        <v>788</v>
      </c>
      <c r="D2729" s="17" t="s">
        <v>19</v>
      </c>
      <c r="E2729" s="17" t="s">
        <v>1083</v>
      </c>
      <c r="F2729" s="17" t="s">
        <v>1212</v>
      </c>
      <c r="G2729" s="18" t="n">
        <v>0</v>
      </c>
      <c r="H2729" s="18" t="n">
        <v>271.07</v>
      </c>
      <c r="I2729" s="18" t="n">
        <f aca="false">((I2728 + G2729) - H2729)</f>
        <v>-140726.97</v>
      </c>
      <c r="J2729" s="18" t="n">
        <v>0</v>
      </c>
      <c r="K2729" s="19" t="n">
        <v>0</v>
      </c>
      <c r="L2729" s="17" t="s">
        <v>88</v>
      </c>
    </row>
    <row r="2730" s="11" customFormat="true" ht="10.95" hidden="false" customHeight="true" outlineLevel="0" collapsed="false">
      <c r="A2730" s="16" t="n">
        <v>45343</v>
      </c>
      <c r="B2730" s="17" t="s">
        <v>1071</v>
      </c>
      <c r="C2730" s="17" t="s">
        <v>788</v>
      </c>
      <c r="D2730" s="17" t="s">
        <v>19</v>
      </c>
      <c r="E2730" s="17" t="s">
        <v>1090</v>
      </c>
      <c r="F2730" s="17" t="s">
        <v>1213</v>
      </c>
      <c r="G2730" s="18" t="n">
        <v>0</v>
      </c>
      <c r="H2730" s="18" t="n">
        <v>1838.22</v>
      </c>
      <c r="I2730" s="18" t="n">
        <f aca="false">((I2729 + G2730) - H2730)</f>
        <v>-142565.19</v>
      </c>
      <c r="J2730" s="18" t="n">
        <v>0</v>
      </c>
      <c r="K2730" s="19" t="n">
        <v>0</v>
      </c>
      <c r="L2730" s="17" t="s">
        <v>88</v>
      </c>
    </row>
    <row r="2731" s="11" customFormat="true" ht="10.95" hidden="false" customHeight="true" outlineLevel="0" collapsed="false">
      <c r="A2731" s="16" t="n">
        <v>45343</v>
      </c>
      <c r="B2731" s="17" t="s">
        <v>1071</v>
      </c>
      <c r="C2731" s="17" t="s">
        <v>788</v>
      </c>
      <c r="D2731" s="17" t="s">
        <v>19</v>
      </c>
      <c r="E2731" s="17" t="s">
        <v>1087</v>
      </c>
      <c r="F2731" s="17" t="s">
        <v>1213</v>
      </c>
      <c r="G2731" s="18" t="n">
        <v>0</v>
      </c>
      <c r="H2731" s="18" t="n">
        <v>31.06</v>
      </c>
      <c r="I2731" s="18" t="n">
        <f aca="false">((I2730 + G2731) - H2731)</f>
        <v>-142596.25</v>
      </c>
      <c r="J2731" s="18" t="n">
        <v>0</v>
      </c>
      <c r="K2731" s="19" t="n">
        <v>0</v>
      </c>
      <c r="L2731" s="17" t="s">
        <v>88</v>
      </c>
    </row>
    <row r="2732" s="11" customFormat="true" ht="10.95" hidden="false" customHeight="true" outlineLevel="0" collapsed="false">
      <c r="A2732" s="16" t="n">
        <v>45343</v>
      </c>
      <c r="B2732" s="17" t="s">
        <v>1071</v>
      </c>
      <c r="C2732" s="17" t="s">
        <v>788</v>
      </c>
      <c r="D2732" s="17" t="s">
        <v>19</v>
      </c>
      <c r="E2732" s="17" t="s">
        <v>1092</v>
      </c>
      <c r="F2732" s="17" t="s">
        <v>1214</v>
      </c>
      <c r="G2732" s="18" t="n">
        <v>0</v>
      </c>
      <c r="H2732" s="18" t="n">
        <v>1592.56</v>
      </c>
      <c r="I2732" s="18" t="n">
        <f aca="false">((I2731 + G2732) - H2732)</f>
        <v>-144188.81</v>
      </c>
      <c r="J2732" s="18" t="n">
        <v>0</v>
      </c>
      <c r="K2732" s="19" t="n">
        <v>0</v>
      </c>
      <c r="L2732" s="17" t="s">
        <v>88</v>
      </c>
    </row>
    <row r="2733" s="11" customFormat="true" ht="42" hidden="false" customHeight="true" outlineLevel="0" collapsed="false">
      <c r="A2733" s="16" t="n">
        <v>45343</v>
      </c>
      <c r="B2733" s="17" t="s">
        <v>1071</v>
      </c>
      <c r="C2733" s="17" t="s">
        <v>788</v>
      </c>
      <c r="D2733" s="17" t="s">
        <v>19</v>
      </c>
      <c r="E2733" s="20" t="s">
        <v>1097</v>
      </c>
      <c r="F2733" s="17" t="s">
        <v>1214</v>
      </c>
      <c r="G2733" s="18" t="n">
        <v>0</v>
      </c>
      <c r="H2733" s="18" t="n">
        <v>65.89</v>
      </c>
      <c r="I2733" s="18" t="n">
        <f aca="false">((I2732 + G2733) - H2733)</f>
        <v>-144254.7</v>
      </c>
      <c r="J2733" s="18" t="n">
        <v>0</v>
      </c>
      <c r="K2733" s="19" t="n">
        <v>0</v>
      </c>
      <c r="L2733" s="17" t="s">
        <v>88</v>
      </c>
    </row>
    <row r="2734" s="11" customFormat="true" ht="10.95" hidden="false" customHeight="true" outlineLevel="0" collapsed="false">
      <c r="A2734" s="16" t="n">
        <v>45343</v>
      </c>
      <c r="B2734" s="17" t="s">
        <v>1071</v>
      </c>
      <c r="C2734" s="17" t="s">
        <v>788</v>
      </c>
      <c r="D2734" s="17" t="s">
        <v>19</v>
      </c>
      <c r="E2734" s="17" t="s">
        <v>1094</v>
      </c>
      <c r="F2734" s="17" t="s">
        <v>1214</v>
      </c>
      <c r="G2734" s="18" t="n">
        <v>0</v>
      </c>
      <c r="H2734" s="18" t="n">
        <v>94.12</v>
      </c>
      <c r="I2734" s="18" t="n">
        <f aca="false">((I2733 + G2734) - H2734)</f>
        <v>-144348.82</v>
      </c>
      <c r="J2734" s="18" t="n">
        <v>0</v>
      </c>
      <c r="K2734" s="19" t="n">
        <v>0</v>
      </c>
      <c r="L2734" s="17" t="s">
        <v>88</v>
      </c>
    </row>
    <row r="2735" s="11" customFormat="true" ht="10.95" hidden="false" customHeight="true" outlineLevel="0" collapsed="false">
      <c r="A2735" s="16" t="n">
        <v>45343</v>
      </c>
      <c r="B2735" s="17" t="s">
        <v>1071</v>
      </c>
      <c r="C2735" s="17" t="s">
        <v>788</v>
      </c>
      <c r="D2735" s="17" t="s">
        <v>19</v>
      </c>
      <c r="E2735" s="17" t="s">
        <v>1098</v>
      </c>
      <c r="F2735" s="17" t="s">
        <v>1214</v>
      </c>
      <c r="G2735" s="18" t="n">
        <v>0</v>
      </c>
      <c r="H2735" s="18" t="n">
        <v>282.37</v>
      </c>
      <c r="I2735" s="18" t="n">
        <f aca="false">((I2734 + G2735) - H2735)</f>
        <v>-144631.19</v>
      </c>
      <c r="J2735" s="18" t="n">
        <v>0</v>
      </c>
      <c r="K2735" s="19" t="n">
        <v>0</v>
      </c>
      <c r="L2735" s="17" t="s">
        <v>88</v>
      </c>
    </row>
    <row r="2736" s="11" customFormat="true" ht="10.95" hidden="false" customHeight="true" outlineLevel="0" collapsed="false">
      <c r="A2736" s="16" t="n">
        <v>45343</v>
      </c>
      <c r="B2736" s="17" t="s">
        <v>1071</v>
      </c>
      <c r="C2736" s="17" t="s">
        <v>788</v>
      </c>
      <c r="D2736" s="17" t="s">
        <v>19</v>
      </c>
      <c r="E2736" s="17" t="s">
        <v>1215</v>
      </c>
      <c r="F2736" s="17" t="s">
        <v>1214</v>
      </c>
      <c r="G2736" s="18" t="n">
        <v>0</v>
      </c>
      <c r="H2736" s="18" t="n">
        <v>265.43</v>
      </c>
      <c r="I2736" s="18" t="n">
        <f aca="false">((I2735 + G2736) - H2736)</f>
        <v>-144896.62</v>
      </c>
      <c r="J2736" s="18" t="n">
        <v>0</v>
      </c>
      <c r="K2736" s="19" t="n">
        <v>0</v>
      </c>
      <c r="L2736" s="17" t="s">
        <v>88</v>
      </c>
    </row>
    <row r="2737" s="11" customFormat="true" ht="10.95" hidden="false" customHeight="true" outlineLevel="0" collapsed="false">
      <c r="A2737" s="16" t="n">
        <v>45343</v>
      </c>
      <c r="B2737" s="17" t="s">
        <v>1071</v>
      </c>
      <c r="C2737" s="17" t="s">
        <v>788</v>
      </c>
      <c r="D2737" s="17" t="s">
        <v>19</v>
      </c>
      <c r="E2737" s="17" t="s">
        <v>1083</v>
      </c>
      <c r="F2737" s="17" t="s">
        <v>1216</v>
      </c>
      <c r="G2737" s="18" t="n">
        <v>0</v>
      </c>
      <c r="H2737" s="18" t="n">
        <v>135.54</v>
      </c>
      <c r="I2737" s="18" t="n">
        <f aca="false">((I2736 + G2737) - H2737)</f>
        <v>-145032.16</v>
      </c>
      <c r="J2737" s="18" t="n">
        <v>0</v>
      </c>
      <c r="K2737" s="19" t="n">
        <v>0</v>
      </c>
      <c r="L2737" s="17" t="s">
        <v>88</v>
      </c>
    </row>
    <row r="2738" s="11" customFormat="true" ht="10.95" hidden="false" customHeight="true" outlineLevel="0" collapsed="false">
      <c r="A2738" s="16" t="n">
        <v>45343</v>
      </c>
      <c r="B2738" s="17" t="s">
        <v>1071</v>
      </c>
      <c r="C2738" s="17" t="s">
        <v>788</v>
      </c>
      <c r="D2738" s="17" t="s">
        <v>19</v>
      </c>
      <c r="E2738" s="17" t="s">
        <v>1090</v>
      </c>
      <c r="F2738" s="17" t="s">
        <v>1217</v>
      </c>
      <c r="G2738" s="18" t="n">
        <v>0</v>
      </c>
      <c r="H2738" s="18" t="n">
        <v>707.8</v>
      </c>
      <c r="I2738" s="18" t="n">
        <f aca="false">((I2737 + G2738) - H2738)</f>
        <v>-145739.96</v>
      </c>
      <c r="J2738" s="18" t="n">
        <v>0</v>
      </c>
      <c r="K2738" s="19" t="n">
        <v>0</v>
      </c>
      <c r="L2738" s="17" t="s">
        <v>88</v>
      </c>
    </row>
    <row r="2739" s="11" customFormat="true" ht="10.95" hidden="false" customHeight="true" outlineLevel="0" collapsed="false">
      <c r="A2739" s="16" t="n">
        <v>45343</v>
      </c>
      <c r="B2739" s="17" t="s">
        <v>1071</v>
      </c>
      <c r="C2739" s="17" t="s">
        <v>788</v>
      </c>
      <c r="D2739" s="17" t="s">
        <v>19</v>
      </c>
      <c r="E2739" s="17" t="s">
        <v>1101</v>
      </c>
      <c r="F2739" s="17" t="s">
        <v>1217</v>
      </c>
      <c r="G2739" s="18" t="n">
        <v>0</v>
      </c>
      <c r="H2739" s="18" t="n">
        <v>98.36</v>
      </c>
      <c r="I2739" s="18" t="n">
        <f aca="false">((I2738 + G2739) - H2739)</f>
        <v>-145838.32</v>
      </c>
      <c r="J2739" s="18" t="n">
        <v>0</v>
      </c>
      <c r="K2739" s="19" t="n">
        <v>0</v>
      </c>
      <c r="L2739" s="17" t="s">
        <v>88</v>
      </c>
    </row>
    <row r="2740" s="11" customFormat="true" ht="10.95" hidden="false" customHeight="true" outlineLevel="0" collapsed="false">
      <c r="A2740" s="16" t="n">
        <v>45343</v>
      </c>
      <c r="B2740" s="17" t="s">
        <v>1071</v>
      </c>
      <c r="C2740" s="17" t="s">
        <v>788</v>
      </c>
      <c r="D2740" s="17" t="s">
        <v>19</v>
      </c>
      <c r="E2740" s="17" t="s">
        <v>1088</v>
      </c>
      <c r="F2740" s="17" t="s">
        <v>1217</v>
      </c>
      <c r="G2740" s="18" t="n">
        <v>0</v>
      </c>
      <c r="H2740" s="18" t="n">
        <v>124.24</v>
      </c>
      <c r="I2740" s="18" t="n">
        <f aca="false">((I2739 + G2740) - H2740)</f>
        <v>-145962.56</v>
      </c>
      <c r="J2740" s="18" t="n">
        <v>0</v>
      </c>
      <c r="K2740" s="19" t="n">
        <v>0</v>
      </c>
      <c r="L2740" s="17" t="s">
        <v>88</v>
      </c>
    </row>
    <row r="2741" s="11" customFormat="true" ht="10.95" hidden="false" customHeight="true" outlineLevel="0" collapsed="false">
      <c r="A2741" s="16" t="n">
        <v>45343</v>
      </c>
      <c r="B2741" s="17" t="s">
        <v>1071</v>
      </c>
      <c r="C2741" s="17" t="s">
        <v>788</v>
      </c>
      <c r="D2741" s="17" t="s">
        <v>19</v>
      </c>
      <c r="E2741" s="17" t="s">
        <v>1102</v>
      </c>
      <c r="F2741" s="17" t="s">
        <v>1217</v>
      </c>
      <c r="G2741" s="18" t="n">
        <v>0</v>
      </c>
      <c r="H2741" s="18" t="n">
        <v>103.54</v>
      </c>
      <c r="I2741" s="18" t="n">
        <f aca="false">((I2740 + G2741) - H2741)</f>
        <v>-146066.1</v>
      </c>
      <c r="J2741" s="18" t="n">
        <v>0</v>
      </c>
      <c r="K2741" s="19" t="n">
        <v>0</v>
      </c>
      <c r="L2741" s="17" t="s">
        <v>88</v>
      </c>
    </row>
    <row r="2742" s="11" customFormat="true" ht="10.95" hidden="false" customHeight="true" outlineLevel="0" collapsed="false">
      <c r="A2742" s="16" t="n">
        <v>45343</v>
      </c>
      <c r="B2742" s="17" t="s">
        <v>1071</v>
      </c>
      <c r="C2742" s="17" t="s">
        <v>788</v>
      </c>
      <c r="D2742" s="17" t="s">
        <v>19</v>
      </c>
      <c r="E2742" s="17" t="s">
        <v>1166</v>
      </c>
      <c r="F2742" s="17" t="s">
        <v>1218</v>
      </c>
      <c r="G2742" s="18" t="n">
        <v>0</v>
      </c>
      <c r="H2742" s="18" t="n">
        <v>2464.85</v>
      </c>
      <c r="I2742" s="18" t="n">
        <f aca="false">((I2741 + G2742) - H2742)</f>
        <v>-148530.95</v>
      </c>
      <c r="J2742" s="18" t="n">
        <v>0</v>
      </c>
      <c r="K2742" s="19" t="n">
        <v>0</v>
      </c>
      <c r="L2742" s="17" t="s">
        <v>88</v>
      </c>
    </row>
    <row r="2743" s="11" customFormat="true" ht="10.95" hidden="false" customHeight="true" outlineLevel="0" collapsed="false">
      <c r="A2743" s="16" t="n">
        <v>45343</v>
      </c>
      <c r="B2743" s="17" t="s">
        <v>1071</v>
      </c>
      <c r="C2743" s="17" t="s">
        <v>788</v>
      </c>
      <c r="D2743" s="17" t="s">
        <v>19</v>
      </c>
      <c r="E2743" s="17" t="s">
        <v>1094</v>
      </c>
      <c r="F2743" s="17" t="s">
        <v>1218</v>
      </c>
      <c r="G2743" s="18" t="n">
        <v>0</v>
      </c>
      <c r="H2743" s="18" t="n">
        <v>745.51</v>
      </c>
      <c r="I2743" s="18" t="n">
        <f aca="false">((I2742 + G2743) - H2743)</f>
        <v>-149276.46</v>
      </c>
      <c r="J2743" s="18" t="n">
        <v>0</v>
      </c>
      <c r="K2743" s="19" t="n">
        <v>0</v>
      </c>
      <c r="L2743" s="17" t="s">
        <v>88</v>
      </c>
    </row>
    <row r="2744" s="11" customFormat="true" ht="10.95" hidden="false" customHeight="true" outlineLevel="0" collapsed="false">
      <c r="A2744" s="16" t="n">
        <v>45343</v>
      </c>
      <c r="B2744" s="17" t="s">
        <v>1071</v>
      </c>
      <c r="C2744" s="17" t="s">
        <v>788</v>
      </c>
      <c r="D2744" s="17" t="s">
        <v>19</v>
      </c>
      <c r="E2744" s="17" t="s">
        <v>1089</v>
      </c>
      <c r="F2744" s="17" t="s">
        <v>1218</v>
      </c>
      <c r="G2744" s="18" t="n">
        <v>0</v>
      </c>
      <c r="H2744" s="18" t="n">
        <v>139.78</v>
      </c>
      <c r="I2744" s="18" t="n">
        <f aca="false">((I2743 + G2744) - H2744)</f>
        <v>-149416.24</v>
      </c>
      <c r="J2744" s="18" t="n">
        <v>0</v>
      </c>
      <c r="K2744" s="19" t="n">
        <v>0</v>
      </c>
      <c r="L2744" s="17" t="s">
        <v>88</v>
      </c>
    </row>
    <row r="2745" s="11" customFormat="true" ht="10.95" hidden="false" customHeight="true" outlineLevel="0" collapsed="false">
      <c r="A2745" s="16" t="n">
        <v>45343</v>
      </c>
      <c r="B2745" s="17" t="s">
        <v>1071</v>
      </c>
      <c r="C2745" s="17" t="s">
        <v>788</v>
      </c>
      <c r="D2745" s="17" t="s">
        <v>19</v>
      </c>
      <c r="E2745" s="17" t="s">
        <v>1102</v>
      </c>
      <c r="F2745" s="17" t="s">
        <v>1218</v>
      </c>
      <c r="G2745" s="18" t="n">
        <v>0</v>
      </c>
      <c r="H2745" s="18" t="n">
        <v>186.38</v>
      </c>
      <c r="I2745" s="18" t="n">
        <f aca="false">((I2744 + G2745) - H2745)</f>
        <v>-149602.62</v>
      </c>
      <c r="J2745" s="18" t="n">
        <v>0</v>
      </c>
      <c r="K2745" s="19" t="n">
        <v>0</v>
      </c>
      <c r="L2745" s="17" t="s">
        <v>88</v>
      </c>
    </row>
    <row r="2746" s="11" customFormat="true" ht="10.95" hidden="false" customHeight="true" outlineLevel="0" collapsed="false">
      <c r="A2746" s="16" t="n">
        <v>45343</v>
      </c>
      <c r="B2746" s="17" t="s">
        <v>1071</v>
      </c>
      <c r="C2746" s="17" t="s">
        <v>788</v>
      </c>
      <c r="D2746" s="17" t="s">
        <v>19</v>
      </c>
      <c r="E2746" s="17" t="s">
        <v>1087</v>
      </c>
      <c r="F2746" s="17" t="s">
        <v>1218</v>
      </c>
      <c r="G2746" s="18" t="n">
        <v>0</v>
      </c>
      <c r="H2746" s="18" t="n">
        <v>97.85</v>
      </c>
      <c r="I2746" s="18" t="n">
        <f aca="false">((I2745 + G2746) - H2746)</f>
        <v>-149700.47</v>
      </c>
      <c r="J2746" s="18" t="n">
        <v>0</v>
      </c>
      <c r="K2746" s="19" t="n">
        <v>0</v>
      </c>
      <c r="L2746" s="17" t="s">
        <v>88</v>
      </c>
    </row>
    <row r="2747" s="11" customFormat="true" ht="10.95" hidden="false" customHeight="true" outlineLevel="0" collapsed="false">
      <c r="A2747" s="16" t="n">
        <v>45343</v>
      </c>
      <c r="B2747" s="17" t="s">
        <v>1071</v>
      </c>
      <c r="C2747" s="17" t="s">
        <v>788</v>
      </c>
      <c r="D2747" s="17" t="s">
        <v>19</v>
      </c>
      <c r="E2747" s="17" t="s">
        <v>1166</v>
      </c>
      <c r="F2747" s="17" t="s">
        <v>1218</v>
      </c>
      <c r="G2747" s="18" t="n">
        <v>0</v>
      </c>
      <c r="H2747" s="18" t="n">
        <v>2464.84</v>
      </c>
      <c r="I2747" s="18" t="n">
        <f aca="false">((I2746 + G2747) - H2747)</f>
        <v>-152165.31</v>
      </c>
      <c r="J2747" s="18" t="n">
        <v>0</v>
      </c>
      <c r="K2747" s="19" t="n">
        <v>0</v>
      </c>
      <c r="L2747" s="17" t="s">
        <v>88</v>
      </c>
    </row>
    <row r="2748" s="11" customFormat="true" ht="10.95" hidden="false" customHeight="true" outlineLevel="0" collapsed="false">
      <c r="A2748" s="16" t="n">
        <v>45343</v>
      </c>
      <c r="B2748" s="17" t="s">
        <v>1071</v>
      </c>
      <c r="C2748" s="17" t="s">
        <v>788</v>
      </c>
      <c r="D2748" s="17" t="s">
        <v>19</v>
      </c>
      <c r="E2748" s="17" t="s">
        <v>1094</v>
      </c>
      <c r="F2748" s="17" t="s">
        <v>1218</v>
      </c>
      <c r="G2748" s="18" t="n">
        <v>0</v>
      </c>
      <c r="H2748" s="18" t="n">
        <v>745.51</v>
      </c>
      <c r="I2748" s="18" t="n">
        <f aca="false">((I2747 + G2748) - H2748)</f>
        <v>-152910.82</v>
      </c>
      <c r="J2748" s="18" t="n">
        <v>0</v>
      </c>
      <c r="K2748" s="19" t="n">
        <v>0</v>
      </c>
      <c r="L2748" s="17" t="s">
        <v>88</v>
      </c>
    </row>
    <row r="2749" s="11" customFormat="true" ht="10.95" hidden="false" customHeight="true" outlineLevel="0" collapsed="false">
      <c r="A2749" s="16" t="n">
        <v>45343</v>
      </c>
      <c r="B2749" s="17" t="s">
        <v>1071</v>
      </c>
      <c r="C2749" s="17" t="s">
        <v>788</v>
      </c>
      <c r="D2749" s="17" t="s">
        <v>19</v>
      </c>
      <c r="E2749" s="17" t="s">
        <v>1089</v>
      </c>
      <c r="F2749" s="17" t="s">
        <v>1218</v>
      </c>
      <c r="G2749" s="18" t="n">
        <v>0</v>
      </c>
      <c r="H2749" s="18" t="n">
        <v>139.78</v>
      </c>
      <c r="I2749" s="18" t="n">
        <f aca="false">((I2748 + G2749) - H2749)</f>
        <v>-153050.6</v>
      </c>
      <c r="J2749" s="18" t="n">
        <v>0</v>
      </c>
      <c r="K2749" s="19" t="n">
        <v>0</v>
      </c>
      <c r="L2749" s="17" t="s">
        <v>88</v>
      </c>
    </row>
    <row r="2750" s="11" customFormat="true" ht="10.95" hidden="false" customHeight="true" outlineLevel="0" collapsed="false">
      <c r="A2750" s="16" t="n">
        <v>45343</v>
      </c>
      <c r="B2750" s="17" t="s">
        <v>1071</v>
      </c>
      <c r="C2750" s="17" t="s">
        <v>788</v>
      </c>
      <c r="D2750" s="17" t="s">
        <v>19</v>
      </c>
      <c r="E2750" s="17" t="s">
        <v>1102</v>
      </c>
      <c r="F2750" s="17" t="s">
        <v>1218</v>
      </c>
      <c r="G2750" s="18" t="n">
        <v>0</v>
      </c>
      <c r="H2750" s="18" t="n">
        <v>186.38</v>
      </c>
      <c r="I2750" s="18" t="n">
        <f aca="false">((I2749 + G2750) - H2750)</f>
        <v>-153236.98</v>
      </c>
      <c r="J2750" s="18" t="n">
        <v>0</v>
      </c>
      <c r="K2750" s="19" t="n">
        <v>0</v>
      </c>
      <c r="L2750" s="17" t="s">
        <v>88</v>
      </c>
    </row>
    <row r="2751" s="11" customFormat="true" ht="10.95" hidden="false" customHeight="true" outlineLevel="0" collapsed="false">
      <c r="A2751" s="16" t="n">
        <v>45343</v>
      </c>
      <c r="B2751" s="17" t="s">
        <v>1071</v>
      </c>
      <c r="C2751" s="17" t="s">
        <v>788</v>
      </c>
      <c r="D2751" s="17" t="s">
        <v>19</v>
      </c>
      <c r="E2751" s="17" t="s">
        <v>1087</v>
      </c>
      <c r="F2751" s="17" t="s">
        <v>1218</v>
      </c>
      <c r="G2751" s="18" t="n">
        <v>0</v>
      </c>
      <c r="H2751" s="18" t="n">
        <v>97.85</v>
      </c>
      <c r="I2751" s="18" t="n">
        <f aca="false">((I2750 + G2751) - H2751)</f>
        <v>-153334.83</v>
      </c>
      <c r="J2751" s="18" t="n">
        <v>0</v>
      </c>
      <c r="K2751" s="19" t="n">
        <v>0</v>
      </c>
      <c r="L2751" s="17" t="s">
        <v>88</v>
      </c>
    </row>
    <row r="2752" s="11" customFormat="true" ht="10.95" hidden="false" customHeight="true" outlineLevel="0" collapsed="false">
      <c r="A2752" s="16" t="n">
        <v>45343</v>
      </c>
      <c r="B2752" s="17" t="s">
        <v>1071</v>
      </c>
      <c r="C2752" s="17" t="s">
        <v>788</v>
      </c>
      <c r="D2752" s="17" t="s">
        <v>19</v>
      </c>
      <c r="E2752" s="17" t="s">
        <v>1166</v>
      </c>
      <c r="F2752" s="17" t="s">
        <v>1218</v>
      </c>
      <c r="G2752" s="18" t="n">
        <v>0</v>
      </c>
      <c r="H2752" s="18" t="n">
        <v>2464.84</v>
      </c>
      <c r="I2752" s="18" t="n">
        <f aca="false">((I2751 + G2752) - H2752)</f>
        <v>-155799.67</v>
      </c>
      <c r="J2752" s="18" t="n">
        <v>0</v>
      </c>
      <c r="K2752" s="19" t="n">
        <v>0</v>
      </c>
      <c r="L2752" s="17" t="s">
        <v>88</v>
      </c>
    </row>
    <row r="2753" s="11" customFormat="true" ht="10.95" hidden="false" customHeight="true" outlineLevel="0" collapsed="false">
      <c r="A2753" s="16" t="n">
        <v>45343</v>
      </c>
      <c r="B2753" s="17" t="s">
        <v>1071</v>
      </c>
      <c r="C2753" s="17" t="s">
        <v>788</v>
      </c>
      <c r="D2753" s="17" t="s">
        <v>19</v>
      </c>
      <c r="E2753" s="17" t="s">
        <v>1094</v>
      </c>
      <c r="F2753" s="17" t="s">
        <v>1218</v>
      </c>
      <c r="G2753" s="18" t="n">
        <v>0</v>
      </c>
      <c r="H2753" s="18" t="n">
        <v>745.51</v>
      </c>
      <c r="I2753" s="18" t="n">
        <f aca="false">((I2752 + G2753) - H2753)</f>
        <v>-156545.18</v>
      </c>
      <c r="J2753" s="18" t="n">
        <v>0</v>
      </c>
      <c r="K2753" s="19" t="n">
        <v>0</v>
      </c>
      <c r="L2753" s="17" t="s">
        <v>88</v>
      </c>
    </row>
    <row r="2754" s="11" customFormat="true" ht="10.95" hidden="false" customHeight="true" outlineLevel="0" collapsed="false">
      <c r="A2754" s="16" t="n">
        <v>45343</v>
      </c>
      <c r="B2754" s="17" t="s">
        <v>1071</v>
      </c>
      <c r="C2754" s="17" t="s">
        <v>788</v>
      </c>
      <c r="D2754" s="17" t="s">
        <v>19</v>
      </c>
      <c r="E2754" s="17" t="s">
        <v>1089</v>
      </c>
      <c r="F2754" s="17" t="s">
        <v>1218</v>
      </c>
      <c r="G2754" s="18" t="n">
        <v>0</v>
      </c>
      <c r="H2754" s="18" t="n">
        <v>139.78</v>
      </c>
      <c r="I2754" s="18" t="n">
        <f aca="false">((I2753 + G2754) - H2754)</f>
        <v>-156684.96</v>
      </c>
      <c r="J2754" s="18" t="n">
        <v>0</v>
      </c>
      <c r="K2754" s="19" t="n">
        <v>0</v>
      </c>
      <c r="L2754" s="17" t="s">
        <v>88</v>
      </c>
    </row>
    <row r="2755" s="11" customFormat="true" ht="10.95" hidden="false" customHeight="true" outlineLevel="0" collapsed="false">
      <c r="A2755" s="16" t="n">
        <v>45343</v>
      </c>
      <c r="B2755" s="17" t="s">
        <v>1071</v>
      </c>
      <c r="C2755" s="17" t="s">
        <v>788</v>
      </c>
      <c r="D2755" s="17" t="s">
        <v>19</v>
      </c>
      <c r="E2755" s="17" t="s">
        <v>1102</v>
      </c>
      <c r="F2755" s="17" t="s">
        <v>1218</v>
      </c>
      <c r="G2755" s="18" t="n">
        <v>0</v>
      </c>
      <c r="H2755" s="18" t="n">
        <v>186.38</v>
      </c>
      <c r="I2755" s="18" t="n">
        <f aca="false">((I2754 + G2755) - H2755)</f>
        <v>-156871.34</v>
      </c>
      <c r="J2755" s="18" t="n">
        <v>0</v>
      </c>
      <c r="K2755" s="19" t="n">
        <v>0</v>
      </c>
      <c r="L2755" s="17" t="s">
        <v>88</v>
      </c>
    </row>
    <row r="2756" s="11" customFormat="true" ht="10.95" hidden="false" customHeight="true" outlineLevel="0" collapsed="false">
      <c r="A2756" s="16" t="n">
        <v>45343</v>
      </c>
      <c r="B2756" s="17" t="s">
        <v>1071</v>
      </c>
      <c r="C2756" s="17" t="s">
        <v>788</v>
      </c>
      <c r="D2756" s="17" t="s">
        <v>19</v>
      </c>
      <c r="E2756" s="17" t="s">
        <v>1087</v>
      </c>
      <c r="F2756" s="17" t="s">
        <v>1218</v>
      </c>
      <c r="G2756" s="18" t="n">
        <v>0</v>
      </c>
      <c r="H2756" s="18" t="n">
        <v>97.85</v>
      </c>
      <c r="I2756" s="18" t="n">
        <f aca="false">((I2755 + G2756) - H2756)</f>
        <v>-156969.19</v>
      </c>
      <c r="J2756" s="18" t="n">
        <v>0</v>
      </c>
      <c r="K2756" s="19" t="n">
        <v>0</v>
      </c>
      <c r="L2756" s="17" t="s">
        <v>88</v>
      </c>
    </row>
    <row r="2757" s="11" customFormat="true" ht="10.95" hidden="false" customHeight="true" outlineLevel="0" collapsed="false">
      <c r="A2757" s="16" t="n">
        <v>45343</v>
      </c>
      <c r="B2757" s="17" t="s">
        <v>1071</v>
      </c>
      <c r="C2757" s="17" t="s">
        <v>788</v>
      </c>
      <c r="D2757" s="17" t="s">
        <v>19</v>
      </c>
      <c r="E2757" s="17" t="s">
        <v>1166</v>
      </c>
      <c r="F2757" s="17" t="s">
        <v>1218</v>
      </c>
      <c r="G2757" s="18" t="n">
        <v>0</v>
      </c>
      <c r="H2757" s="18" t="n">
        <v>2464.84</v>
      </c>
      <c r="I2757" s="18" t="n">
        <f aca="false">((I2756 + G2757) - H2757)</f>
        <v>-159434.03</v>
      </c>
      <c r="J2757" s="18" t="n">
        <v>0</v>
      </c>
      <c r="K2757" s="19" t="n">
        <v>0</v>
      </c>
      <c r="L2757" s="17" t="s">
        <v>88</v>
      </c>
    </row>
    <row r="2758" s="11" customFormat="true" ht="10.95" hidden="false" customHeight="true" outlineLevel="0" collapsed="false">
      <c r="A2758" s="16" t="n">
        <v>45343</v>
      </c>
      <c r="B2758" s="17" t="s">
        <v>1071</v>
      </c>
      <c r="C2758" s="17" t="s">
        <v>788</v>
      </c>
      <c r="D2758" s="17" t="s">
        <v>19</v>
      </c>
      <c r="E2758" s="17" t="s">
        <v>1094</v>
      </c>
      <c r="F2758" s="17" t="s">
        <v>1218</v>
      </c>
      <c r="G2758" s="18" t="n">
        <v>0</v>
      </c>
      <c r="H2758" s="18" t="n">
        <v>745.51</v>
      </c>
      <c r="I2758" s="18" t="n">
        <f aca="false">((I2757 + G2758) - H2758)</f>
        <v>-160179.54</v>
      </c>
      <c r="J2758" s="18" t="n">
        <v>0</v>
      </c>
      <c r="K2758" s="19" t="n">
        <v>0</v>
      </c>
      <c r="L2758" s="17" t="s">
        <v>88</v>
      </c>
    </row>
    <row r="2759" s="11" customFormat="true" ht="10.95" hidden="false" customHeight="true" outlineLevel="0" collapsed="false">
      <c r="A2759" s="16" t="n">
        <v>45343</v>
      </c>
      <c r="B2759" s="17" t="s">
        <v>1071</v>
      </c>
      <c r="C2759" s="17" t="s">
        <v>788</v>
      </c>
      <c r="D2759" s="17" t="s">
        <v>19</v>
      </c>
      <c r="E2759" s="17" t="s">
        <v>1089</v>
      </c>
      <c r="F2759" s="17" t="s">
        <v>1218</v>
      </c>
      <c r="G2759" s="18" t="n">
        <v>0</v>
      </c>
      <c r="H2759" s="18" t="n">
        <v>139.78</v>
      </c>
      <c r="I2759" s="18" t="n">
        <f aca="false">((I2758 + G2759) - H2759)</f>
        <v>-160319.32</v>
      </c>
      <c r="J2759" s="18" t="n">
        <v>0</v>
      </c>
      <c r="K2759" s="19" t="n">
        <v>0</v>
      </c>
      <c r="L2759" s="17" t="s">
        <v>88</v>
      </c>
    </row>
    <row r="2760" s="11" customFormat="true" ht="10.95" hidden="false" customHeight="true" outlineLevel="0" collapsed="false">
      <c r="A2760" s="16" t="n">
        <v>45343</v>
      </c>
      <c r="B2760" s="17" t="s">
        <v>1071</v>
      </c>
      <c r="C2760" s="17" t="s">
        <v>788</v>
      </c>
      <c r="D2760" s="17" t="s">
        <v>19</v>
      </c>
      <c r="E2760" s="17" t="s">
        <v>1102</v>
      </c>
      <c r="F2760" s="17" t="s">
        <v>1218</v>
      </c>
      <c r="G2760" s="18" t="n">
        <v>0</v>
      </c>
      <c r="H2760" s="18" t="n">
        <v>186.38</v>
      </c>
      <c r="I2760" s="18" t="n">
        <f aca="false">((I2759 + G2760) - H2760)</f>
        <v>-160505.7</v>
      </c>
      <c r="J2760" s="18" t="n">
        <v>0</v>
      </c>
      <c r="K2760" s="19" t="n">
        <v>0</v>
      </c>
      <c r="L2760" s="17" t="s">
        <v>88</v>
      </c>
    </row>
    <row r="2761" s="11" customFormat="true" ht="10.95" hidden="false" customHeight="true" outlineLevel="0" collapsed="false">
      <c r="A2761" s="16" t="n">
        <v>45343</v>
      </c>
      <c r="B2761" s="17" t="s">
        <v>1071</v>
      </c>
      <c r="C2761" s="17" t="s">
        <v>788</v>
      </c>
      <c r="D2761" s="17" t="s">
        <v>19</v>
      </c>
      <c r="E2761" s="17" t="s">
        <v>1087</v>
      </c>
      <c r="F2761" s="17" t="s">
        <v>1218</v>
      </c>
      <c r="G2761" s="18" t="n">
        <v>0</v>
      </c>
      <c r="H2761" s="18" t="n">
        <v>97.85</v>
      </c>
      <c r="I2761" s="18" t="n">
        <f aca="false">((I2760 + G2761) - H2761)</f>
        <v>-160603.55</v>
      </c>
      <c r="J2761" s="18" t="n">
        <v>0</v>
      </c>
      <c r="K2761" s="19" t="n">
        <v>0</v>
      </c>
      <c r="L2761" s="17" t="s">
        <v>88</v>
      </c>
    </row>
    <row r="2762" s="11" customFormat="true" ht="10.95" hidden="false" customHeight="true" outlineLevel="0" collapsed="false">
      <c r="A2762" s="16" t="n">
        <v>45343</v>
      </c>
      <c r="B2762" s="17" t="s">
        <v>1071</v>
      </c>
      <c r="C2762" s="17" t="s">
        <v>788</v>
      </c>
      <c r="D2762" s="17" t="s">
        <v>19</v>
      </c>
      <c r="E2762" s="17" t="s">
        <v>1166</v>
      </c>
      <c r="F2762" s="17" t="s">
        <v>1218</v>
      </c>
      <c r="G2762" s="18" t="n">
        <v>0</v>
      </c>
      <c r="H2762" s="18" t="n">
        <v>2464.84</v>
      </c>
      <c r="I2762" s="18" t="n">
        <f aca="false">((I2761 + G2762) - H2762)</f>
        <v>-163068.39</v>
      </c>
      <c r="J2762" s="18" t="n">
        <v>0</v>
      </c>
      <c r="K2762" s="19" t="n">
        <v>0</v>
      </c>
      <c r="L2762" s="17" t="s">
        <v>88</v>
      </c>
    </row>
    <row r="2763" s="11" customFormat="true" ht="10.95" hidden="false" customHeight="true" outlineLevel="0" collapsed="false">
      <c r="A2763" s="16" t="n">
        <v>45343</v>
      </c>
      <c r="B2763" s="17" t="s">
        <v>1071</v>
      </c>
      <c r="C2763" s="17" t="s">
        <v>788</v>
      </c>
      <c r="D2763" s="17" t="s">
        <v>19</v>
      </c>
      <c r="E2763" s="17" t="s">
        <v>1094</v>
      </c>
      <c r="F2763" s="17" t="s">
        <v>1218</v>
      </c>
      <c r="G2763" s="18" t="n">
        <v>0</v>
      </c>
      <c r="H2763" s="18" t="n">
        <v>745.51</v>
      </c>
      <c r="I2763" s="18" t="n">
        <f aca="false">((I2762 + G2763) - H2763)</f>
        <v>-163813.9</v>
      </c>
      <c r="J2763" s="18" t="n">
        <v>0</v>
      </c>
      <c r="K2763" s="19" t="n">
        <v>0</v>
      </c>
      <c r="L2763" s="17" t="s">
        <v>88</v>
      </c>
    </row>
    <row r="2764" s="11" customFormat="true" ht="10.95" hidden="false" customHeight="true" outlineLevel="0" collapsed="false">
      <c r="A2764" s="16" t="n">
        <v>45343</v>
      </c>
      <c r="B2764" s="17" t="s">
        <v>1071</v>
      </c>
      <c r="C2764" s="17" t="s">
        <v>788</v>
      </c>
      <c r="D2764" s="17" t="s">
        <v>19</v>
      </c>
      <c r="E2764" s="17" t="s">
        <v>1089</v>
      </c>
      <c r="F2764" s="17" t="s">
        <v>1218</v>
      </c>
      <c r="G2764" s="18" t="n">
        <v>0</v>
      </c>
      <c r="H2764" s="18" t="n">
        <v>139.78</v>
      </c>
      <c r="I2764" s="18" t="n">
        <f aca="false">((I2763 + G2764) - H2764)</f>
        <v>-163953.68</v>
      </c>
      <c r="J2764" s="18" t="n">
        <v>0</v>
      </c>
      <c r="K2764" s="19" t="n">
        <v>0</v>
      </c>
      <c r="L2764" s="17" t="s">
        <v>88</v>
      </c>
    </row>
    <row r="2765" s="11" customFormat="true" ht="10.95" hidden="false" customHeight="true" outlineLevel="0" collapsed="false">
      <c r="A2765" s="16" t="n">
        <v>45343</v>
      </c>
      <c r="B2765" s="17" t="s">
        <v>1071</v>
      </c>
      <c r="C2765" s="17" t="s">
        <v>788</v>
      </c>
      <c r="D2765" s="17" t="s">
        <v>19</v>
      </c>
      <c r="E2765" s="17" t="s">
        <v>1102</v>
      </c>
      <c r="F2765" s="17" t="s">
        <v>1218</v>
      </c>
      <c r="G2765" s="18" t="n">
        <v>0</v>
      </c>
      <c r="H2765" s="18" t="n">
        <v>186.38</v>
      </c>
      <c r="I2765" s="18" t="n">
        <f aca="false">((I2764 + G2765) - H2765)</f>
        <v>-164140.06</v>
      </c>
      <c r="J2765" s="18" t="n">
        <v>0</v>
      </c>
      <c r="K2765" s="19" t="n">
        <v>0</v>
      </c>
      <c r="L2765" s="17" t="s">
        <v>88</v>
      </c>
    </row>
    <row r="2766" s="11" customFormat="true" ht="10.95" hidden="false" customHeight="true" outlineLevel="0" collapsed="false">
      <c r="A2766" s="16" t="n">
        <v>45343</v>
      </c>
      <c r="B2766" s="17" t="s">
        <v>1071</v>
      </c>
      <c r="C2766" s="17" t="s">
        <v>788</v>
      </c>
      <c r="D2766" s="17" t="s">
        <v>19</v>
      </c>
      <c r="E2766" s="17" t="s">
        <v>1087</v>
      </c>
      <c r="F2766" s="17" t="s">
        <v>1218</v>
      </c>
      <c r="G2766" s="18" t="n">
        <v>0</v>
      </c>
      <c r="H2766" s="18" t="n">
        <v>97.85</v>
      </c>
      <c r="I2766" s="18" t="n">
        <f aca="false">((I2765 + G2766) - H2766)</f>
        <v>-164237.91</v>
      </c>
      <c r="J2766" s="18" t="n">
        <v>0</v>
      </c>
      <c r="K2766" s="19" t="n">
        <v>0</v>
      </c>
      <c r="L2766" s="17" t="s">
        <v>88</v>
      </c>
    </row>
    <row r="2767" s="11" customFormat="true" ht="10.95" hidden="false" customHeight="true" outlineLevel="0" collapsed="false">
      <c r="A2767" s="16" t="n">
        <v>45343</v>
      </c>
      <c r="B2767" s="17" t="s">
        <v>1071</v>
      </c>
      <c r="C2767" s="17" t="s">
        <v>788</v>
      </c>
      <c r="D2767" s="17" t="s">
        <v>19</v>
      </c>
      <c r="E2767" s="17" t="s">
        <v>1166</v>
      </c>
      <c r="F2767" s="17" t="s">
        <v>1218</v>
      </c>
      <c r="G2767" s="18" t="n">
        <v>0</v>
      </c>
      <c r="H2767" s="18" t="n">
        <v>2464.84</v>
      </c>
      <c r="I2767" s="18" t="n">
        <f aca="false">((I2766 + G2767) - H2767)</f>
        <v>-166702.75</v>
      </c>
      <c r="J2767" s="18" t="n">
        <v>0</v>
      </c>
      <c r="K2767" s="19" t="n">
        <v>0</v>
      </c>
      <c r="L2767" s="17" t="s">
        <v>88</v>
      </c>
    </row>
    <row r="2768" s="11" customFormat="true" ht="10.95" hidden="false" customHeight="true" outlineLevel="0" collapsed="false">
      <c r="A2768" s="16" t="n">
        <v>45343</v>
      </c>
      <c r="B2768" s="17" t="s">
        <v>1071</v>
      </c>
      <c r="C2768" s="17" t="s">
        <v>788</v>
      </c>
      <c r="D2768" s="17" t="s">
        <v>19</v>
      </c>
      <c r="E2768" s="17" t="s">
        <v>1094</v>
      </c>
      <c r="F2768" s="17" t="s">
        <v>1218</v>
      </c>
      <c r="G2768" s="18" t="n">
        <v>0</v>
      </c>
      <c r="H2768" s="18" t="n">
        <v>745.51</v>
      </c>
      <c r="I2768" s="18" t="n">
        <f aca="false">((I2767 + G2768) - H2768)</f>
        <v>-167448.26</v>
      </c>
      <c r="J2768" s="18" t="n">
        <v>0</v>
      </c>
      <c r="K2768" s="19" t="n">
        <v>0</v>
      </c>
      <c r="L2768" s="17" t="s">
        <v>88</v>
      </c>
    </row>
    <row r="2769" s="11" customFormat="true" ht="10.95" hidden="false" customHeight="true" outlineLevel="0" collapsed="false">
      <c r="A2769" s="16" t="n">
        <v>45343</v>
      </c>
      <c r="B2769" s="17" t="s">
        <v>1071</v>
      </c>
      <c r="C2769" s="17" t="s">
        <v>788</v>
      </c>
      <c r="D2769" s="17" t="s">
        <v>19</v>
      </c>
      <c r="E2769" s="17" t="s">
        <v>1089</v>
      </c>
      <c r="F2769" s="17" t="s">
        <v>1218</v>
      </c>
      <c r="G2769" s="18" t="n">
        <v>0</v>
      </c>
      <c r="H2769" s="18" t="n">
        <v>139.78</v>
      </c>
      <c r="I2769" s="18" t="n">
        <f aca="false">((I2768 + G2769) - H2769)</f>
        <v>-167588.04</v>
      </c>
      <c r="J2769" s="18" t="n">
        <v>0</v>
      </c>
      <c r="K2769" s="19" t="n">
        <v>0</v>
      </c>
      <c r="L2769" s="17" t="s">
        <v>88</v>
      </c>
    </row>
    <row r="2770" s="11" customFormat="true" ht="10.95" hidden="false" customHeight="true" outlineLevel="0" collapsed="false">
      <c r="A2770" s="16" t="n">
        <v>45343</v>
      </c>
      <c r="B2770" s="17" t="s">
        <v>1071</v>
      </c>
      <c r="C2770" s="17" t="s">
        <v>788</v>
      </c>
      <c r="D2770" s="17" t="s">
        <v>19</v>
      </c>
      <c r="E2770" s="17" t="s">
        <v>1102</v>
      </c>
      <c r="F2770" s="17" t="s">
        <v>1218</v>
      </c>
      <c r="G2770" s="18" t="n">
        <v>0</v>
      </c>
      <c r="H2770" s="18" t="n">
        <v>186.38</v>
      </c>
      <c r="I2770" s="18" t="n">
        <f aca="false">((I2769 + G2770) - H2770)</f>
        <v>-167774.42</v>
      </c>
      <c r="J2770" s="18" t="n">
        <v>0</v>
      </c>
      <c r="K2770" s="19" t="n">
        <v>0</v>
      </c>
      <c r="L2770" s="17" t="s">
        <v>88</v>
      </c>
    </row>
    <row r="2771" s="11" customFormat="true" ht="10.95" hidden="false" customHeight="true" outlineLevel="0" collapsed="false">
      <c r="A2771" s="16" t="n">
        <v>45343</v>
      </c>
      <c r="B2771" s="17" t="s">
        <v>1071</v>
      </c>
      <c r="C2771" s="17" t="s">
        <v>788</v>
      </c>
      <c r="D2771" s="17" t="s">
        <v>19</v>
      </c>
      <c r="E2771" s="17" t="s">
        <v>1087</v>
      </c>
      <c r="F2771" s="17" t="s">
        <v>1218</v>
      </c>
      <c r="G2771" s="18" t="n">
        <v>0</v>
      </c>
      <c r="H2771" s="18" t="n">
        <v>97.85</v>
      </c>
      <c r="I2771" s="18" t="n">
        <f aca="false">((I2770 + G2771) - H2771)</f>
        <v>-167872.27</v>
      </c>
      <c r="J2771" s="18" t="n">
        <v>0</v>
      </c>
      <c r="K2771" s="19" t="n">
        <v>0</v>
      </c>
      <c r="L2771" s="17" t="s">
        <v>88</v>
      </c>
    </row>
    <row r="2772" s="11" customFormat="true" ht="10.95" hidden="false" customHeight="true" outlineLevel="0" collapsed="false">
      <c r="A2772" s="16" t="n">
        <v>45343</v>
      </c>
      <c r="B2772" s="17" t="s">
        <v>1071</v>
      </c>
      <c r="C2772" s="17" t="s">
        <v>788</v>
      </c>
      <c r="D2772" s="17" t="s">
        <v>19</v>
      </c>
      <c r="E2772" s="17" t="s">
        <v>1166</v>
      </c>
      <c r="F2772" s="17" t="s">
        <v>1218</v>
      </c>
      <c r="G2772" s="18" t="n">
        <v>0</v>
      </c>
      <c r="H2772" s="18" t="n">
        <v>2464.84</v>
      </c>
      <c r="I2772" s="18" t="n">
        <f aca="false">((I2771 + G2772) - H2772)</f>
        <v>-170337.11</v>
      </c>
      <c r="J2772" s="18" t="n">
        <v>0</v>
      </c>
      <c r="K2772" s="19" t="n">
        <v>0</v>
      </c>
      <c r="L2772" s="17" t="s">
        <v>88</v>
      </c>
    </row>
    <row r="2773" s="11" customFormat="true" ht="10.95" hidden="false" customHeight="true" outlineLevel="0" collapsed="false">
      <c r="A2773" s="16" t="n">
        <v>45343</v>
      </c>
      <c r="B2773" s="17" t="s">
        <v>1071</v>
      </c>
      <c r="C2773" s="17" t="s">
        <v>788</v>
      </c>
      <c r="D2773" s="17" t="s">
        <v>19</v>
      </c>
      <c r="E2773" s="17" t="s">
        <v>1094</v>
      </c>
      <c r="F2773" s="17" t="s">
        <v>1218</v>
      </c>
      <c r="G2773" s="18" t="n">
        <v>0</v>
      </c>
      <c r="H2773" s="18" t="n">
        <v>745.51</v>
      </c>
      <c r="I2773" s="18" t="n">
        <f aca="false">((I2772 + G2773) - H2773)</f>
        <v>-171082.62</v>
      </c>
      <c r="J2773" s="18" t="n">
        <v>0</v>
      </c>
      <c r="K2773" s="19" t="n">
        <v>0</v>
      </c>
      <c r="L2773" s="17" t="s">
        <v>88</v>
      </c>
    </row>
    <row r="2774" s="11" customFormat="true" ht="10.95" hidden="false" customHeight="true" outlineLevel="0" collapsed="false">
      <c r="A2774" s="16" t="n">
        <v>45343</v>
      </c>
      <c r="B2774" s="17" t="s">
        <v>1071</v>
      </c>
      <c r="C2774" s="17" t="s">
        <v>788</v>
      </c>
      <c r="D2774" s="17" t="s">
        <v>19</v>
      </c>
      <c r="E2774" s="17" t="s">
        <v>1089</v>
      </c>
      <c r="F2774" s="17" t="s">
        <v>1218</v>
      </c>
      <c r="G2774" s="18" t="n">
        <v>0</v>
      </c>
      <c r="H2774" s="18" t="n">
        <v>139.78</v>
      </c>
      <c r="I2774" s="18" t="n">
        <f aca="false">((I2773 + G2774) - H2774)</f>
        <v>-171222.4</v>
      </c>
      <c r="J2774" s="18" t="n">
        <v>0</v>
      </c>
      <c r="K2774" s="19" t="n">
        <v>0</v>
      </c>
      <c r="L2774" s="17" t="s">
        <v>88</v>
      </c>
    </row>
    <row r="2775" s="11" customFormat="true" ht="10.95" hidden="false" customHeight="true" outlineLevel="0" collapsed="false">
      <c r="A2775" s="16" t="n">
        <v>45343</v>
      </c>
      <c r="B2775" s="17" t="s">
        <v>1071</v>
      </c>
      <c r="C2775" s="17" t="s">
        <v>788</v>
      </c>
      <c r="D2775" s="17" t="s">
        <v>19</v>
      </c>
      <c r="E2775" s="17" t="s">
        <v>1102</v>
      </c>
      <c r="F2775" s="17" t="s">
        <v>1218</v>
      </c>
      <c r="G2775" s="18" t="n">
        <v>0</v>
      </c>
      <c r="H2775" s="18" t="n">
        <v>186.38</v>
      </c>
      <c r="I2775" s="18" t="n">
        <f aca="false">((I2774 + G2775) - H2775)</f>
        <v>-171408.78</v>
      </c>
      <c r="J2775" s="18" t="n">
        <v>0</v>
      </c>
      <c r="K2775" s="19" t="n">
        <v>0</v>
      </c>
      <c r="L2775" s="17" t="s">
        <v>88</v>
      </c>
    </row>
    <row r="2776" s="11" customFormat="true" ht="10.95" hidden="false" customHeight="true" outlineLevel="0" collapsed="false">
      <c r="A2776" s="16" t="n">
        <v>45343</v>
      </c>
      <c r="B2776" s="17" t="s">
        <v>1071</v>
      </c>
      <c r="C2776" s="17" t="s">
        <v>788</v>
      </c>
      <c r="D2776" s="17" t="s">
        <v>19</v>
      </c>
      <c r="E2776" s="17" t="s">
        <v>1087</v>
      </c>
      <c r="F2776" s="17" t="s">
        <v>1218</v>
      </c>
      <c r="G2776" s="18" t="n">
        <v>0</v>
      </c>
      <c r="H2776" s="18" t="n">
        <v>97.85</v>
      </c>
      <c r="I2776" s="18" t="n">
        <f aca="false">((I2775 + G2776) - H2776)</f>
        <v>-171506.63</v>
      </c>
      <c r="J2776" s="18" t="n">
        <v>0</v>
      </c>
      <c r="K2776" s="19" t="n">
        <v>0</v>
      </c>
      <c r="L2776" s="17" t="s">
        <v>88</v>
      </c>
    </row>
    <row r="2777" s="11" customFormat="true" ht="10.95" hidden="false" customHeight="true" outlineLevel="0" collapsed="false">
      <c r="A2777" s="16" t="n">
        <v>45343</v>
      </c>
      <c r="B2777" s="17" t="s">
        <v>1071</v>
      </c>
      <c r="C2777" s="17" t="s">
        <v>788</v>
      </c>
      <c r="D2777" s="17" t="s">
        <v>19</v>
      </c>
      <c r="E2777" s="17" t="s">
        <v>1166</v>
      </c>
      <c r="F2777" s="17" t="s">
        <v>1218</v>
      </c>
      <c r="G2777" s="18" t="n">
        <v>0</v>
      </c>
      <c r="H2777" s="18" t="n">
        <v>2464.84</v>
      </c>
      <c r="I2777" s="18" t="n">
        <f aca="false">((I2776 + G2777) - H2777)</f>
        <v>-173971.47</v>
      </c>
      <c r="J2777" s="18" t="n">
        <v>0</v>
      </c>
      <c r="K2777" s="19" t="n">
        <v>0</v>
      </c>
      <c r="L2777" s="17" t="s">
        <v>88</v>
      </c>
    </row>
    <row r="2778" s="11" customFormat="true" ht="10.95" hidden="false" customHeight="true" outlineLevel="0" collapsed="false">
      <c r="A2778" s="16" t="n">
        <v>45343</v>
      </c>
      <c r="B2778" s="17" t="s">
        <v>1071</v>
      </c>
      <c r="C2778" s="17" t="s">
        <v>788</v>
      </c>
      <c r="D2778" s="17" t="s">
        <v>19</v>
      </c>
      <c r="E2778" s="17" t="s">
        <v>1094</v>
      </c>
      <c r="F2778" s="17" t="s">
        <v>1218</v>
      </c>
      <c r="G2778" s="18" t="n">
        <v>0</v>
      </c>
      <c r="H2778" s="18" t="n">
        <v>745.51</v>
      </c>
      <c r="I2778" s="18" t="n">
        <f aca="false">((I2777 + G2778) - H2778)</f>
        <v>-174716.98</v>
      </c>
      <c r="J2778" s="18" t="n">
        <v>0</v>
      </c>
      <c r="K2778" s="19" t="n">
        <v>0</v>
      </c>
      <c r="L2778" s="17" t="s">
        <v>88</v>
      </c>
    </row>
    <row r="2779" s="11" customFormat="true" ht="10.95" hidden="false" customHeight="true" outlineLevel="0" collapsed="false">
      <c r="A2779" s="16" t="n">
        <v>45343</v>
      </c>
      <c r="B2779" s="17" t="s">
        <v>1071</v>
      </c>
      <c r="C2779" s="17" t="s">
        <v>788</v>
      </c>
      <c r="D2779" s="17" t="s">
        <v>19</v>
      </c>
      <c r="E2779" s="17" t="s">
        <v>1089</v>
      </c>
      <c r="F2779" s="17" t="s">
        <v>1218</v>
      </c>
      <c r="G2779" s="18" t="n">
        <v>0</v>
      </c>
      <c r="H2779" s="18" t="n">
        <v>139.78</v>
      </c>
      <c r="I2779" s="18" t="n">
        <f aca="false">((I2778 + G2779) - H2779)</f>
        <v>-174856.76</v>
      </c>
      <c r="J2779" s="18" t="n">
        <v>0</v>
      </c>
      <c r="K2779" s="19" t="n">
        <v>0</v>
      </c>
      <c r="L2779" s="17" t="s">
        <v>88</v>
      </c>
    </row>
    <row r="2780" s="11" customFormat="true" ht="10.95" hidden="false" customHeight="true" outlineLevel="0" collapsed="false">
      <c r="A2780" s="16" t="n">
        <v>45343</v>
      </c>
      <c r="B2780" s="17" t="s">
        <v>1071</v>
      </c>
      <c r="C2780" s="17" t="s">
        <v>788</v>
      </c>
      <c r="D2780" s="17" t="s">
        <v>19</v>
      </c>
      <c r="E2780" s="17" t="s">
        <v>1102</v>
      </c>
      <c r="F2780" s="17" t="s">
        <v>1218</v>
      </c>
      <c r="G2780" s="18" t="n">
        <v>0</v>
      </c>
      <c r="H2780" s="18" t="n">
        <v>186.38</v>
      </c>
      <c r="I2780" s="18" t="n">
        <f aca="false">((I2779 + G2780) - H2780)</f>
        <v>-175043.14</v>
      </c>
      <c r="J2780" s="18" t="n">
        <v>0</v>
      </c>
      <c r="K2780" s="19" t="n">
        <v>0</v>
      </c>
      <c r="L2780" s="17" t="s">
        <v>88</v>
      </c>
    </row>
    <row r="2781" s="11" customFormat="true" ht="10.95" hidden="false" customHeight="true" outlineLevel="0" collapsed="false">
      <c r="A2781" s="16" t="n">
        <v>45343</v>
      </c>
      <c r="B2781" s="17" t="s">
        <v>1071</v>
      </c>
      <c r="C2781" s="17" t="s">
        <v>788</v>
      </c>
      <c r="D2781" s="17" t="s">
        <v>19</v>
      </c>
      <c r="E2781" s="17" t="s">
        <v>1087</v>
      </c>
      <c r="F2781" s="17" t="s">
        <v>1218</v>
      </c>
      <c r="G2781" s="18" t="n">
        <v>0</v>
      </c>
      <c r="H2781" s="18" t="n">
        <v>97.85</v>
      </c>
      <c r="I2781" s="18" t="n">
        <f aca="false">((I2780 + G2781) - H2781)</f>
        <v>-175140.99</v>
      </c>
      <c r="J2781" s="18" t="n">
        <v>0</v>
      </c>
      <c r="K2781" s="19" t="n">
        <v>0</v>
      </c>
      <c r="L2781" s="17" t="s">
        <v>88</v>
      </c>
    </row>
    <row r="2782" s="11" customFormat="true" ht="10.95" hidden="false" customHeight="true" outlineLevel="0" collapsed="false">
      <c r="A2782" s="16" t="n">
        <v>45343</v>
      </c>
      <c r="B2782" s="17" t="s">
        <v>1071</v>
      </c>
      <c r="C2782" s="17" t="s">
        <v>788</v>
      </c>
      <c r="D2782" s="17" t="s">
        <v>19</v>
      </c>
      <c r="E2782" s="17" t="s">
        <v>1166</v>
      </c>
      <c r="F2782" s="17" t="s">
        <v>1218</v>
      </c>
      <c r="G2782" s="18" t="n">
        <v>0</v>
      </c>
      <c r="H2782" s="18" t="n">
        <v>2464.84</v>
      </c>
      <c r="I2782" s="18" t="n">
        <f aca="false">((I2781 + G2782) - H2782)</f>
        <v>-177605.83</v>
      </c>
      <c r="J2782" s="18" t="n">
        <v>0</v>
      </c>
      <c r="K2782" s="19" t="n">
        <v>0</v>
      </c>
      <c r="L2782" s="17" t="s">
        <v>88</v>
      </c>
    </row>
    <row r="2783" s="11" customFormat="true" ht="10.95" hidden="false" customHeight="true" outlineLevel="0" collapsed="false">
      <c r="A2783" s="16" t="n">
        <v>45343</v>
      </c>
      <c r="B2783" s="17" t="s">
        <v>1071</v>
      </c>
      <c r="C2783" s="17" t="s">
        <v>788</v>
      </c>
      <c r="D2783" s="17" t="s">
        <v>19</v>
      </c>
      <c r="E2783" s="17" t="s">
        <v>1094</v>
      </c>
      <c r="F2783" s="17" t="s">
        <v>1218</v>
      </c>
      <c r="G2783" s="18" t="n">
        <v>0</v>
      </c>
      <c r="H2783" s="18" t="n">
        <v>745.51</v>
      </c>
      <c r="I2783" s="18" t="n">
        <f aca="false">((I2782 + G2783) - H2783)</f>
        <v>-178351.34</v>
      </c>
      <c r="J2783" s="18" t="n">
        <v>0</v>
      </c>
      <c r="K2783" s="19" t="n">
        <v>0</v>
      </c>
      <c r="L2783" s="17" t="s">
        <v>88</v>
      </c>
    </row>
    <row r="2784" s="11" customFormat="true" ht="10.95" hidden="false" customHeight="true" outlineLevel="0" collapsed="false">
      <c r="A2784" s="16" t="n">
        <v>45343</v>
      </c>
      <c r="B2784" s="17" t="s">
        <v>1071</v>
      </c>
      <c r="C2784" s="17" t="s">
        <v>788</v>
      </c>
      <c r="D2784" s="17" t="s">
        <v>19</v>
      </c>
      <c r="E2784" s="17" t="s">
        <v>1089</v>
      </c>
      <c r="F2784" s="17" t="s">
        <v>1218</v>
      </c>
      <c r="G2784" s="18" t="n">
        <v>0</v>
      </c>
      <c r="H2784" s="18" t="n">
        <v>139.78</v>
      </c>
      <c r="I2784" s="18" t="n">
        <f aca="false">((I2783 + G2784) - H2784)</f>
        <v>-178491.12</v>
      </c>
      <c r="J2784" s="18" t="n">
        <v>0</v>
      </c>
      <c r="K2784" s="19" t="n">
        <v>0</v>
      </c>
      <c r="L2784" s="17" t="s">
        <v>88</v>
      </c>
    </row>
    <row r="2785" s="11" customFormat="true" ht="10.95" hidden="false" customHeight="true" outlineLevel="0" collapsed="false">
      <c r="A2785" s="16" t="n">
        <v>45343</v>
      </c>
      <c r="B2785" s="17" t="s">
        <v>1071</v>
      </c>
      <c r="C2785" s="17" t="s">
        <v>788</v>
      </c>
      <c r="D2785" s="17" t="s">
        <v>19</v>
      </c>
      <c r="E2785" s="17" t="s">
        <v>1102</v>
      </c>
      <c r="F2785" s="17" t="s">
        <v>1218</v>
      </c>
      <c r="G2785" s="18" t="n">
        <v>0</v>
      </c>
      <c r="H2785" s="18" t="n">
        <v>186.38</v>
      </c>
      <c r="I2785" s="18" t="n">
        <f aca="false">((I2784 + G2785) - H2785)</f>
        <v>-178677.5</v>
      </c>
      <c r="J2785" s="18" t="n">
        <v>0</v>
      </c>
      <c r="K2785" s="19" t="n">
        <v>0</v>
      </c>
      <c r="L2785" s="17" t="s">
        <v>88</v>
      </c>
    </row>
    <row r="2786" s="11" customFormat="true" ht="10.95" hidden="false" customHeight="true" outlineLevel="0" collapsed="false">
      <c r="A2786" s="16" t="n">
        <v>45343</v>
      </c>
      <c r="B2786" s="17" t="s">
        <v>1071</v>
      </c>
      <c r="C2786" s="17" t="s">
        <v>788</v>
      </c>
      <c r="D2786" s="17" t="s">
        <v>19</v>
      </c>
      <c r="E2786" s="17" t="s">
        <v>1087</v>
      </c>
      <c r="F2786" s="17" t="s">
        <v>1218</v>
      </c>
      <c r="G2786" s="18" t="n">
        <v>0</v>
      </c>
      <c r="H2786" s="18" t="n">
        <v>97.85</v>
      </c>
      <c r="I2786" s="18" t="n">
        <f aca="false">((I2785 + G2786) - H2786)</f>
        <v>-178775.35</v>
      </c>
      <c r="J2786" s="18" t="n">
        <v>0</v>
      </c>
      <c r="K2786" s="19" t="n">
        <v>0</v>
      </c>
      <c r="L2786" s="17" t="s">
        <v>88</v>
      </c>
    </row>
    <row r="2787" s="11" customFormat="true" ht="10.95" hidden="false" customHeight="true" outlineLevel="0" collapsed="false">
      <c r="A2787" s="16" t="n">
        <v>45343</v>
      </c>
      <c r="B2787" s="17" t="s">
        <v>1071</v>
      </c>
      <c r="C2787" s="17" t="s">
        <v>788</v>
      </c>
      <c r="D2787" s="17" t="s">
        <v>19</v>
      </c>
      <c r="E2787" s="17" t="s">
        <v>1166</v>
      </c>
      <c r="F2787" s="17" t="s">
        <v>1218</v>
      </c>
      <c r="G2787" s="18" t="n">
        <v>0</v>
      </c>
      <c r="H2787" s="18" t="n">
        <v>2464.84</v>
      </c>
      <c r="I2787" s="18" t="n">
        <f aca="false">((I2786 + G2787) - H2787)</f>
        <v>-181240.19</v>
      </c>
      <c r="J2787" s="18" t="n">
        <v>0</v>
      </c>
      <c r="K2787" s="19" t="n">
        <v>0</v>
      </c>
      <c r="L2787" s="17" t="s">
        <v>88</v>
      </c>
    </row>
    <row r="2788" s="11" customFormat="true" ht="10.95" hidden="false" customHeight="true" outlineLevel="0" collapsed="false">
      <c r="A2788" s="16" t="n">
        <v>45343</v>
      </c>
      <c r="B2788" s="17" t="s">
        <v>1071</v>
      </c>
      <c r="C2788" s="17" t="s">
        <v>788</v>
      </c>
      <c r="D2788" s="17" t="s">
        <v>19</v>
      </c>
      <c r="E2788" s="17" t="s">
        <v>1094</v>
      </c>
      <c r="F2788" s="17" t="s">
        <v>1218</v>
      </c>
      <c r="G2788" s="18" t="n">
        <v>0</v>
      </c>
      <c r="H2788" s="18" t="n">
        <v>745.51</v>
      </c>
      <c r="I2788" s="18" t="n">
        <f aca="false">((I2787 + G2788) - H2788)</f>
        <v>-181985.7</v>
      </c>
      <c r="J2788" s="18" t="n">
        <v>0</v>
      </c>
      <c r="K2788" s="19" t="n">
        <v>0</v>
      </c>
      <c r="L2788" s="17" t="s">
        <v>88</v>
      </c>
    </row>
    <row r="2789" s="11" customFormat="true" ht="10.95" hidden="false" customHeight="true" outlineLevel="0" collapsed="false">
      <c r="A2789" s="16" t="n">
        <v>45343</v>
      </c>
      <c r="B2789" s="17" t="s">
        <v>1071</v>
      </c>
      <c r="C2789" s="17" t="s">
        <v>788</v>
      </c>
      <c r="D2789" s="17" t="s">
        <v>19</v>
      </c>
      <c r="E2789" s="17" t="s">
        <v>1089</v>
      </c>
      <c r="F2789" s="17" t="s">
        <v>1218</v>
      </c>
      <c r="G2789" s="18" t="n">
        <v>0</v>
      </c>
      <c r="H2789" s="18" t="n">
        <v>139.78</v>
      </c>
      <c r="I2789" s="18" t="n">
        <f aca="false">((I2788 + G2789) - H2789)</f>
        <v>-182125.48</v>
      </c>
      <c r="J2789" s="18" t="n">
        <v>0</v>
      </c>
      <c r="K2789" s="19" t="n">
        <v>0</v>
      </c>
      <c r="L2789" s="17" t="s">
        <v>88</v>
      </c>
    </row>
    <row r="2790" s="11" customFormat="true" ht="10.95" hidden="false" customHeight="true" outlineLevel="0" collapsed="false">
      <c r="A2790" s="16" t="n">
        <v>45343</v>
      </c>
      <c r="B2790" s="17" t="s">
        <v>1071</v>
      </c>
      <c r="C2790" s="17" t="s">
        <v>788</v>
      </c>
      <c r="D2790" s="17" t="s">
        <v>19</v>
      </c>
      <c r="E2790" s="17" t="s">
        <v>1102</v>
      </c>
      <c r="F2790" s="17" t="s">
        <v>1218</v>
      </c>
      <c r="G2790" s="18" t="n">
        <v>0</v>
      </c>
      <c r="H2790" s="18" t="n">
        <v>186.38</v>
      </c>
      <c r="I2790" s="18" t="n">
        <f aca="false">((I2789 + G2790) - H2790)</f>
        <v>-182311.86</v>
      </c>
      <c r="J2790" s="18" t="n">
        <v>0</v>
      </c>
      <c r="K2790" s="19" t="n">
        <v>0</v>
      </c>
      <c r="L2790" s="17" t="s">
        <v>88</v>
      </c>
    </row>
    <row r="2791" s="11" customFormat="true" ht="10.95" hidden="false" customHeight="true" outlineLevel="0" collapsed="false">
      <c r="A2791" s="16" t="n">
        <v>45343</v>
      </c>
      <c r="B2791" s="17" t="s">
        <v>1071</v>
      </c>
      <c r="C2791" s="17" t="s">
        <v>788</v>
      </c>
      <c r="D2791" s="17" t="s">
        <v>19</v>
      </c>
      <c r="E2791" s="17" t="s">
        <v>1087</v>
      </c>
      <c r="F2791" s="17" t="s">
        <v>1218</v>
      </c>
      <c r="G2791" s="18" t="n">
        <v>0</v>
      </c>
      <c r="H2791" s="18" t="n">
        <v>97.85</v>
      </c>
      <c r="I2791" s="18" t="n">
        <f aca="false">((I2790 + G2791) - H2791)</f>
        <v>-182409.71</v>
      </c>
      <c r="J2791" s="18" t="n">
        <v>0</v>
      </c>
      <c r="K2791" s="19" t="n">
        <v>0</v>
      </c>
      <c r="L2791" s="17" t="s">
        <v>88</v>
      </c>
    </row>
    <row r="2792" s="11" customFormat="true" ht="10.95" hidden="false" customHeight="true" outlineLevel="0" collapsed="false">
      <c r="A2792" s="16" t="n">
        <v>45343</v>
      </c>
      <c r="B2792" s="17" t="s">
        <v>1071</v>
      </c>
      <c r="C2792" s="17" t="s">
        <v>788</v>
      </c>
      <c r="D2792" s="17" t="s">
        <v>19</v>
      </c>
      <c r="E2792" s="17" t="s">
        <v>1166</v>
      </c>
      <c r="F2792" s="17" t="s">
        <v>1218</v>
      </c>
      <c r="G2792" s="18" t="n">
        <v>0</v>
      </c>
      <c r="H2792" s="18" t="n">
        <v>2464.84</v>
      </c>
      <c r="I2792" s="18" t="n">
        <f aca="false">((I2791 + G2792) - H2792)</f>
        <v>-184874.55</v>
      </c>
      <c r="J2792" s="18" t="n">
        <v>0</v>
      </c>
      <c r="K2792" s="19" t="n">
        <v>0</v>
      </c>
      <c r="L2792" s="17" t="s">
        <v>88</v>
      </c>
    </row>
    <row r="2793" s="11" customFormat="true" ht="10.95" hidden="false" customHeight="true" outlineLevel="0" collapsed="false">
      <c r="A2793" s="16" t="n">
        <v>45343</v>
      </c>
      <c r="B2793" s="17" t="s">
        <v>1071</v>
      </c>
      <c r="C2793" s="17" t="s">
        <v>788</v>
      </c>
      <c r="D2793" s="17" t="s">
        <v>19</v>
      </c>
      <c r="E2793" s="17" t="s">
        <v>1094</v>
      </c>
      <c r="F2793" s="17" t="s">
        <v>1218</v>
      </c>
      <c r="G2793" s="18" t="n">
        <v>0</v>
      </c>
      <c r="H2793" s="18" t="n">
        <v>745.51</v>
      </c>
      <c r="I2793" s="18" t="n">
        <f aca="false">((I2792 + G2793) - H2793)</f>
        <v>-185620.06</v>
      </c>
      <c r="J2793" s="18" t="n">
        <v>0</v>
      </c>
      <c r="K2793" s="19" t="n">
        <v>0</v>
      </c>
      <c r="L2793" s="17" t="s">
        <v>88</v>
      </c>
    </row>
    <row r="2794" s="11" customFormat="true" ht="10.95" hidden="false" customHeight="true" outlineLevel="0" collapsed="false">
      <c r="A2794" s="16" t="n">
        <v>45343</v>
      </c>
      <c r="B2794" s="17" t="s">
        <v>1071</v>
      </c>
      <c r="C2794" s="17" t="s">
        <v>788</v>
      </c>
      <c r="D2794" s="17" t="s">
        <v>19</v>
      </c>
      <c r="E2794" s="17" t="s">
        <v>1089</v>
      </c>
      <c r="F2794" s="17" t="s">
        <v>1218</v>
      </c>
      <c r="G2794" s="18" t="n">
        <v>0</v>
      </c>
      <c r="H2794" s="18" t="n">
        <v>139.78</v>
      </c>
      <c r="I2794" s="18" t="n">
        <f aca="false">((I2793 + G2794) - H2794)</f>
        <v>-185759.84</v>
      </c>
      <c r="J2794" s="18" t="n">
        <v>0</v>
      </c>
      <c r="K2794" s="19" t="n">
        <v>0</v>
      </c>
      <c r="L2794" s="17" t="s">
        <v>88</v>
      </c>
    </row>
    <row r="2795" s="11" customFormat="true" ht="10.95" hidden="false" customHeight="true" outlineLevel="0" collapsed="false">
      <c r="A2795" s="16" t="n">
        <v>45343</v>
      </c>
      <c r="B2795" s="17" t="s">
        <v>1071</v>
      </c>
      <c r="C2795" s="17" t="s">
        <v>788</v>
      </c>
      <c r="D2795" s="17" t="s">
        <v>19</v>
      </c>
      <c r="E2795" s="17" t="s">
        <v>1102</v>
      </c>
      <c r="F2795" s="17" t="s">
        <v>1218</v>
      </c>
      <c r="G2795" s="18" t="n">
        <v>0</v>
      </c>
      <c r="H2795" s="18" t="n">
        <v>186.38</v>
      </c>
      <c r="I2795" s="18" t="n">
        <f aca="false">((I2794 + G2795) - H2795)</f>
        <v>-185946.22</v>
      </c>
      <c r="J2795" s="18" t="n">
        <v>0</v>
      </c>
      <c r="K2795" s="19" t="n">
        <v>0</v>
      </c>
      <c r="L2795" s="17" t="s">
        <v>88</v>
      </c>
    </row>
    <row r="2796" s="11" customFormat="true" ht="10.95" hidden="false" customHeight="true" outlineLevel="0" collapsed="false">
      <c r="A2796" s="16" t="n">
        <v>45343</v>
      </c>
      <c r="B2796" s="17" t="s">
        <v>1071</v>
      </c>
      <c r="C2796" s="17" t="s">
        <v>788</v>
      </c>
      <c r="D2796" s="17" t="s">
        <v>19</v>
      </c>
      <c r="E2796" s="17" t="s">
        <v>1087</v>
      </c>
      <c r="F2796" s="17" t="s">
        <v>1218</v>
      </c>
      <c r="G2796" s="18" t="n">
        <v>0</v>
      </c>
      <c r="H2796" s="18" t="n">
        <v>97.85</v>
      </c>
      <c r="I2796" s="18" t="n">
        <f aca="false">((I2795 + G2796) - H2796)</f>
        <v>-186044.07</v>
      </c>
      <c r="J2796" s="18" t="n">
        <v>0</v>
      </c>
      <c r="K2796" s="19" t="n">
        <v>0</v>
      </c>
      <c r="L2796" s="17" t="s">
        <v>88</v>
      </c>
    </row>
    <row r="2797" s="11" customFormat="true" ht="10.95" hidden="false" customHeight="true" outlineLevel="0" collapsed="false">
      <c r="A2797" s="16" t="n">
        <v>45343</v>
      </c>
      <c r="B2797" s="17" t="s">
        <v>1071</v>
      </c>
      <c r="C2797" s="17" t="s">
        <v>788</v>
      </c>
      <c r="D2797" s="17" t="s">
        <v>19</v>
      </c>
      <c r="E2797" s="17" t="s">
        <v>1166</v>
      </c>
      <c r="F2797" s="17" t="s">
        <v>1218</v>
      </c>
      <c r="G2797" s="18" t="n">
        <v>0</v>
      </c>
      <c r="H2797" s="18" t="n">
        <v>2464.84</v>
      </c>
      <c r="I2797" s="18" t="n">
        <f aca="false">((I2796 + G2797) - H2797)</f>
        <v>-188508.91</v>
      </c>
      <c r="J2797" s="18" t="n">
        <v>0</v>
      </c>
      <c r="K2797" s="19" t="n">
        <v>0</v>
      </c>
      <c r="L2797" s="17" t="s">
        <v>88</v>
      </c>
    </row>
    <row r="2798" s="11" customFormat="true" ht="10.95" hidden="false" customHeight="true" outlineLevel="0" collapsed="false">
      <c r="A2798" s="16" t="n">
        <v>45343</v>
      </c>
      <c r="B2798" s="17" t="s">
        <v>1071</v>
      </c>
      <c r="C2798" s="17" t="s">
        <v>788</v>
      </c>
      <c r="D2798" s="17" t="s">
        <v>19</v>
      </c>
      <c r="E2798" s="17" t="s">
        <v>1094</v>
      </c>
      <c r="F2798" s="17" t="s">
        <v>1218</v>
      </c>
      <c r="G2798" s="18" t="n">
        <v>0</v>
      </c>
      <c r="H2798" s="18" t="n">
        <v>745.51</v>
      </c>
      <c r="I2798" s="18" t="n">
        <f aca="false">((I2797 + G2798) - H2798)</f>
        <v>-189254.42</v>
      </c>
      <c r="J2798" s="18" t="n">
        <v>0</v>
      </c>
      <c r="K2798" s="19" t="n">
        <v>0</v>
      </c>
      <c r="L2798" s="17" t="s">
        <v>88</v>
      </c>
    </row>
    <row r="2799" s="11" customFormat="true" ht="10.95" hidden="false" customHeight="true" outlineLevel="0" collapsed="false">
      <c r="A2799" s="16" t="n">
        <v>45343</v>
      </c>
      <c r="B2799" s="17" t="s">
        <v>1071</v>
      </c>
      <c r="C2799" s="17" t="s">
        <v>788</v>
      </c>
      <c r="D2799" s="17" t="s">
        <v>19</v>
      </c>
      <c r="E2799" s="17" t="s">
        <v>1089</v>
      </c>
      <c r="F2799" s="17" t="s">
        <v>1218</v>
      </c>
      <c r="G2799" s="18" t="n">
        <v>0</v>
      </c>
      <c r="H2799" s="18" t="n">
        <v>139.78</v>
      </c>
      <c r="I2799" s="18" t="n">
        <f aca="false">((I2798 + G2799) - H2799)</f>
        <v>-189394.2</v>
      </c>
      <c r="J2799" s="18" t="n">
        <v>0</v>
      </c>
      <c r="K2799" s="19" t="n">
        <v>0</v>
      </c>
      <c r="L2799" s="17" t="s">
        <v>88</v>
      </c>
    </row>
    <row r="2800" s="11" customFormat="true" ht="10.95" hidden="false" customHeight="true" outlineLevel="0" collapsed="false">
      <c r="A2800" s="16" t="n">
        <v>45343</v>
      </c>
      <c r="B2800" s="17" t="s">
        <v>1071</v>
      </c>
      <c r="C2800" s="17" t="s">
        <v>788</v>
      </c>
      <c r="D2800" s="17" t="s">
        <v>19</v>
      </c>
      <c r="E2800" s="17" t="s">
        <v>1102</v>
      </c>
      <c r="F2800" s="17" t="s">
        <v>1218</v>
      </c>
      <c r="G2800" s="18" t="n">
        <v>0</v>
      </c>
      <c r="H2800" s="18" t="n">
        <v>186.38</v>
      </c>
      <c r="I2800" s="18" t="n">
        <f aca="false">((I2799 + G2800) - H2800)</f>
        <v>-189580.58</v>
      </c>
      <c r="J2800" s="18" t="n">
        <v>0</v>
      </c>
      <c r="K2800" s="19" t="n">
        <v>0</v>
      </c>
      <c r="L2800" s="17" t="s">
        <v>88</v>
      </c>
    </row>
    <row r="2801" s="11" customFormat="true" ht="10.95" hidden="false" customHeight="true" outlineLevel="0" collapsed="false">
      <c r="A2801" s="16" t="n">
        <v>45343</v>
      </c>
      <c r="B2801" s="17" t="s">
        <v>1071</v>
      </c>
      <c r="C2801" s="17" t="s">
        <v>788</v>
      </c>
      <c r="D2801" s="17" t="s">
        <v>19</v>
      </c>
      <c r="E2801" s="17" t="s">
        <v>1087</v>
      </c>
      <c r="F2801" s="17" t="s">
        <v>1218</v>
      </c>
      <c r="G2801" s="18" t="n">
        <v>0</v>
      </c>
      <c r="H2801" s="18" t="n">
        <v>97.85</v>
      </c>
      <c r="I2801" s="18" t="n">
        <f aca="false">((I2800 + G2801) - H2801)</f>
        <v>-189678.43</v>
      </c>
      <c r="J2801" s="18" t="n">
        <v>0</v>
      </c>
      <c r="K2801" s="19" t="n">
        <v>0</v>
      </c>
      <c r="L2801" s="17" t="s">
        <v>88</v>
      </c>
    </row>
    <row r="2802" s="11" customFormat="true" ht="10.95" hidden="false" customHeight="true" outlineLevel="0" collapsed="false">
      <c r="A2802" s="16" t="n">
        <v>45343</v>
      </c>
      <c r="B2802" s="17" t="s">
        <v>1071</v>
      </c>
      <c r="C2802" s="17" t="s">
        <v>788</v>
      </c>
      <c r="D2802" s="17" t="s">
        <v>19</v>
      </c>
      <c r="E2802" s="17" t="s">
        <v>1085</v>
      </c>
      <c r="F2802" s="17" t="s">
        <v>1219</v>
      </c>
      <c r="G2802" s="18" t="n">
        <v>0</v>
      </c>
      <c r="H2802" s="18" t="n">
        <v>596.83</v>
      </c>
      <c r="I2802" s="18" t="n">
        <f aca="false">((I2801 + G2802) - H2802)</f>
        <v>-190275.26</v>
      </c>
      <c r="J2802" s="18" t="n">
        <v>0</v>
      </c>
      <c r="K2802" s="19" t="n">
        <v>0</v>
      </c>
      <c r="L2802" s="17" t="s">
        <v>88</v>
      </c>
    </row>
    <row r="2803" s="11" customFormat="true" ht="10.95" hidden="false" customHeight="true" outlineLevel="0" collapsed="false">
      <c r="A2803" s="16" t="n">
        <v>45343</v>
      </c>
      <c r="B2803" s="17" t="s">
        <v>1071</v>
      </c>
      <c r="C2803" s="17" t="s">
        <v>788</v>
      </c>
      <c r="D2803" s="17" t="s">
        <v>19</v>
      </c>
      <c r="E2803" s="17" t="s">
        <v>1087</v>
      </c>
      <c r="F2803" s="17" t="s">
        <v>1219</v>
      </c>
      <c r="G2803" s="18" t="n">
        <v>0</v>
      </c>
      <c r="H2803" s="18" t="n">
        <v>72.66</v>
      </c>
      <c r="I2803" s="18" t="n">
        <f aca="false">((I2802 + G2803) - H2803)</f>
        <v>-190347.92</v>
      </c>
      <c r="J2803" s="18" t="n">
        <v>0</v>
      </c>
      <c r="K2803" s="19" t="n">
        <v>0</v>
      </c>
      <c r="L2803" s="17" t="s">
        <v>88</v>
      </c>
    </row>
    <row r="2804" s="11" customFormat="true" ht="10.95" hidden="false" customHeight="true" outlineLevel="0" collapsed="false">
      <c r="A2804" s="16" t="n">
        <v>45343</v>
      </c>
      <c r="B2804" s="17" t="s">
        <v>1071</v>
      </c>
      <c r="C2804" s="17" t="s">
        <v>788</v>
      </c>
      <c r="D2804" s="17" t="s">
        <v>19</v>
      </c>
      <c r="E2804" s="17" t="s">
        <v>1089</v>
      </c>
      <c r="F2804" s="17" t="s">
        <v>1219</v>
      </c>
      <c r="G2804" s="18" t="n">
        <v>0</v>
      </c>
      <c r="H2804" s="18" t="n">
        <v>141.54</v>
      </c>
      <c r="I2804" s="18" t="n">
        <f aca="false">((I2803 + G2804) - H2804)</f>
        <v>-190489.46</v>
      </c>
      <c r="J2804" s="18" t="n">
        <v>0</v>
      </c>
      <c r="K2804" s="19" t="n">
        <v>0</v>
      </c>
      <c r="L2804" s="17" t="s">
        <v>88</v>
      </c>
    </row>
    <row r="2805" s="11" customFormat="true" ht="10.95" hidden="false" customHeight="true" outlineLevel="0" collapsed="false">
      <c r="A2805" s="16" t="n">
        <v>45343</v>
      </c>
      <c r="B2805" s="17" t="s">
        <v>1071</v>
      </c>
      <c r="C2805" s="17" t="s">
        <v>788</v>
      </c>
      <c r="D2805" s="17" t="s">
        <v>19</v>
      </c>
      <c r="E2805" s="17" t="s">
        <v>1092</v>
      </c>
      <c r="F2805" s="17" t="s">
        <v>1220</v>
      </c>
      <c r="G2805" s="18" t="n">
        <v>0</v>
      </c>
      <c r="H2805" s="18" t="n">
        <v>976.63</v>
      </c>
      <c r="I2805" s="18" t="n">
        <f aca="false">((I2804 + G2805) - H2805)</f>
        <v>-191466.09</v>
      </c>
      <c r="J2805" s="18" t="n">
        <v>0</v>
      </c>
      <c r="K2805" s="19" t="n">
        <v>0</v>
      </c>
      <c r="L2805" s="17" t="s">
        <v>88</v>
      </c>
    </row>
    <row r="2806" s="11" customFormat="true" ht="10.95" hidden="false" customHeight="true" outlineLevel="0" collapsed="false">
      <c r="A2806" s="16" t="n">
        <v>45343</v>
      </c>
      <c r="B2806" s="17" t="s">
        <v>1071</v>
      </c>
      <c r="C2806" s="17" t="s">
        <v>788</v>
      </c>
      <c r="D2806" s="17" t="s">
        <v>19</v>
      </c>
      <c r="E2806" s="17" t="s">
        <v>1094</v>
      </c>
      <c r="F2806" s="17" t="s">
        <v>1220</v>
      </c>
      <c r="G2806" s="18" t="n">
        <v>0</v>
      </c>
      <c r="H2806" s="18" t="n">
        <v>94.36</v>
      </c>
      <c r="I2806" s="18" t="n">
        <f aca="false">((I2805 + G2806) - H2806)</f>
        <v>-191560.45</v>
      </c>
      <c r="J2806" s="18" t="n">
        <v>0</v>
      </c>
      <c r="K2806" s="19" t="n">
        <v>0</v>
      </c>
      <c r="L2806" s="17" t="s">
        <v>88</v>
      </c>
    </row>
    <row r="2807" s="11" customFormat="true" ht="10.95" hidden="false" customHeight="true" outlineLevel="0" collapsed="false">
      <c r="A2807" s="16" t="n">
        <v>45343</v>
      </c>
      <c r="B2807" s="17" t="s">
        <v>1071</v>
      </c>
      <c r="C2807" s="17" t="s">
        <v>788</v>
      </c>
      <c r="D2807" s="17" t="s">
        <v>19</v>
      </c>
      <c r="E2807" s="17" t="s">
        <v>1087</v>
      </c>
      <c r="F2807" s="17" t="s">
        <v>1220</v>
      </c>
      <c r="G2807" s="18" t="n">
        <v>0</v>
      </c>
      <c r="H2807" s="18" t="n">
        <v>36.33</v>
      </c>
      <c r="I2807" s="18" t="n">
        <f aca="false">((I2806 + G2807) - H2807)</f>
        <v>-191596.78</v>
      </c>
      <c r="J2807" s="18" t="n">
        <v>0</v>
      </c>
      <c r="K2807" s="19" t="n">
        <v>0</v>
      </c>
      <c r="L2807" s="17" t="s">
        <v>88</v>
      </c>
    </row>
    <row r="2808" s="11" customFormat="true" ht="10.95" hidden="false" customHeight="true" outlineLevel="0" collapsed="false">
      <c r="A2808" s="16" t="n">
        <v>45343</v>
      </c>
      <c r="B2808" s="17" t="s">
        <v>1071</v>
      </c>
      <c r="C2808" s="17" t="s">
        <v>788</v>
      </c>
      <c r="D2808" s="17" t="s">
        <v>19</v>
      </c>
      <c r="E2808" s="17" t="s">
        <v>1095</v>
      </c>
      <c r="F2808" s="17" t="s">
        <v>1220</v>
      </c>
      <c r="G2808" s="18" t="n">
        <v>0</v>
      </c>
      <c r="H2808" s="18" t="n">
        <v>28.31</v>
      </c>
      <c r="I2808" s="18" t="n">
        <f aca="false">((I2807 + G2808) - H2808)</f>
        <v>-191625.09</v>
      </c>
      <c r="J2808" s="18" t="n">
        <v>0</v>
      </c>
      <c r="K2808" s="19" t="n">
        <v>0</v>
      </c>
      <c r="L2808" s="17" t="s">
        <v>88</v>
      </c>
    </row>
    <row r="2809" s="11" customFormat="true" ht="10.95" hidden="false" customHeight="true" outlineLevel="0" collapsed="false">
      <c r="A2809" s="16" t="n">
        <v>45343</v>
      </c>
      <c r="B2809" s="17" t="s">
        <v>1071</v>
      </c>
      <c r="C2809" s="17" t="s">
        <v>788</v>
      </c>
      <c r="D2809" s="17" t="s">
        <v>19</v>
      </c>
      <c r="E2809" s="17" t="s">
        <v>1221</v>
      </c>
      <c r="F2809" s="17" t="s">
        <v>1220</v>
      </c>
      <c r="G2809" s="18" t="n">
        <v>0</v>
      </c>
      <c r="H2809" s="18" t="n">
        <v>217.03</v>
      </c>
      <c r="I2809" s="18" t="n">
        <f aca="false">((I2808 + G2809) - H2809)</f>
        <v>-191842.12</v>
      </c>
      <c r="J2809" s="18" t="n">
        <v>0</v>
      </c>
      <c r="K2809" s="19" t="n">
        <v>0</v>
      </c>
      <c r="L2809" s="17" t="s">
        <v>88</v>
      </c>
    </row>
    <row r="2810" s="11" customFormat="true" ht="10.95" hidden="false" customHeight="true" outlineLevel="0" collapsed="false">
      <c r="A2810" s="16" t="n">
        <v>45351</v>
      </c>
      <c r="B2810" s="17" t="s">
        <v>1071</v>
      </c>
      <c r="C2810" s="17" t="s">
        <v>788</v>
      </c>
      <c r="D2810" s="17" t="s">
        <v>19</v>
      </c>
      <c r="E2810" s="17" t="s">
        <v>1090</v>
      </c>
      <c r="F2810" s="17" t="s">
        <v>1222</v>
      </c>
      <c r="G2810" s="18" t="n">
        <v>0</v>
      </c>
      <c r="H2810" s="18" t="n">
        <v>294.4</v>
      </c>
      <c r="I2810" s="18" t="n">
        <f aca="false">((I2809 + G2810) - H2810)</f>
        <v>-192136.52</v>
      </c>
      <c r="J2810" s="18" t="n">
        <v>0</v>
      </c>
      <c r="K2810" s="19" t="n">
        <v>0</v>
      </c>
      <c r="L2810" s="17" t="s">
        <v>88</v>
      </c>
    </row>
    <row r="2811" s="11" customFormat="true" ht="10.95" hidden="false" customHeight="true" outlineLevel="0" collapsed="false">
      <c r="A2811" s="16" t="n">
        <v>45351</v>
      </c>
      <c r="B2811" s="17" t="s">
        <v>1071</v>
      </c>
      <c r="C2811" s="17" t="s">
        <v>788</v>
      </c>
      <c r="D2811" s="17" t="s">
        <v>19</v>
      </c>
      <c r="E2811" s="17" t="s">
        <v>1090</v>
      </c>
      <c r="F2811" s="17" t="s">
        <v>1222</v>
      </c>
      <c r="G2811" s="18" t="n">
        <v>0</v>
      </c>
      <c r="H2811" s="18" t="n">
        <v>294.4</v>
      </c>
      <c r="I2811" s="18" t="n">
        <f aca="false">((I2810 + G2811) - H2811)</f>
        <v>-192430.92</v>
      </c>
      <c r="J2811" s="18" t="n">
        <v>0</v>
      </c>
      <c r="K2811" s="19" t="n">
        <v>0</v>
      </c>
      <c r="L2811" s="17" t="s">
        <v>88</v>
      </c>
    </row>
    <row r="2812" s="11" customFormat="true" ht="10.95" hidden="false" customHeight="true" outlineLevel="0" collapsed="false">
      <c r="A2812" s="16" t="n">
        <v>45351</v>
      </c>
      <c r="B2812" s="17" t="s">
        <v>1071</v>
      </c>
      <c r="C2812" s="17" t="s">
        <v>788</v>
      </c>
      <c r="D2812" s="17" t="s">
        <v>19</v>
      </c>
      <c r="E2812" s="17" t="s">
        <v>1090</v>
      </c>
      <c r="F2812" s="17" t="s">
        <v>1222</v>
      </c>
      <c r="G2812" s="18" t="n">
        <v>0</v>
      </c>
      <c r="H2812" s="18" t="n">
        <v>294.4</v>
      </c>
      <c r="I2812" s="18" t="n">
        <f aca="false">((I2811 + G2812) - H2812)</f>
        <v>-192725.32</v>
      </c>
      <c r="J2812" s="18" t="n">
        <v>0</v>
      </c>
      <c r="K2812" s="19" t="n">
        <v>0</v>
      </c>
      <c r="L2812" s="17" t="s">
        <v>88</v>
      </c>
    </row>
    <row r="2813" s="11" customFormat="true" ht="10.95" hidden="false" customHeight="true" outlineLevel="0" collapsed="false">
      <c r="A2813" s="16" t="n">
        <v>45351</v>
      </c>
      <c r="B2813" s="17" t="s">
        <v>1071</v>
      </c>
      <c r="C2813" s="17" t="s">
        <v>788</v>
      </c>
      <c r="D2813" s="17" t="s">
        <v>19</v>
      </c>
      <c r="E2813" s="17" t="s">
        <v>1090</v>
      </c>
      <c r="F2813" s="17" t="s">
        <v>1222</v>
      </c>
      <c r="G2813" s="18" t="n">
        <v>0</v>
      </c>
      <c r="H2813" s="18" t="n">
        <v>294.4</v>
      </c>
      <c r="I2813" s="18" t="n">
        <f aca="false">((I2812 + G2813) - H2813)</f>
        <v>-193019.72</v>
      </c>
      <c r="J2813" s="18" t="n">
        <v>0</v>
      </c>
      <c r="K2813" s="19" t="n">
        <v>0</v>
      </c>
      <c r="L2813" s="17" t="s">
        <v>88</v>
      </c>
    </row>
    <row r="2814" s="11" customFormat="true" ht="10.95" hidden="false" customHeight="true" outlineLevel="0" collapsed="false">
      <c r="A2814" s="16" t="n">
        <v>45351</v>
      </c>
      <c r="B2814" s="17" t="s">
        <v>1071</v>
      </c>
      <c r="C2814" s="17" t="s">
        <v>788</v>
      </c>
      <c r="D2814" s="17" t="s">
        <v>19</v>
      </c>
      <c r="E2814" s="17" t="s">
        <v>1090</v>
      </c>
      <c r="F2814" s="17" t="s">
        <v>1222</v>
      </c>
      <c r="G2814" s="18" t="n">
        <v>0</v>
      </c>
      <c r="H2814" s="18" t="n">
        <v>294.4</v>
      </c>
      <c r="I2814" s="18" t="n">
        <f aca="false">((I2813 + G2814) - H2814)</f>
        <v>-193314.12</v>
      </c>
      <c r="J2814" s="18" t="n">
        <v>0</v>
      </c>
      <c r="K2814" s="19" t="n">
        <v>0</v>
      </c>
      <c r="L2814" s="17" t="s">
        <v>88</v>
      </c>
    </row>
    <row r="2815" s="11" customFormat="true" ht="10.95" hidden="false" customHeight="true" outlineLevel="0" collapsed="false">
      <c r="A2815" s="16" t="n">
        <v>45351</v>
      </c>
      <c r="B2815" s="17" t="s">
        <v>1071</v>
      </c>
      <c r="C2815" s="17" t="s">
        <v>788</v>
      </c>
      <c r="D2815" s="17" t="s">
        <v>19</v>
      </c>
      <c r="E2815" s="17" t="s">
        <v>1090</v>
      </c>
      <c r="F2815" s="17" t="s">
        <v>1222</v>
      </c>
      <c r="G2815" s="18" t="n">
        <v>0</v>
      </c>
      <c r="H2815" s="18" t="n">
        <v>294.4</v>
      </c>
      <c r="I2815" s="18" t="n">
        <f aca="false">((I2814 + G2815) - H2815)</f>
        <v>-193608.52</v>
      </c>
      <c r="J2815" s="18" t="n">
        <v>0</v>
      </c>
      <c r="K2815" s="19" t="n">
        <v>0</v>
      </c>
      <c r="L2815" s="17" t="s">
        <v>88</v>
      </c>
    </row>
    <row r="2816" s="11" customFormat="true" ht="10.95" hidden="false" customHeight="true" outlineLevel="0" collapsed="false">
      <c r="A2816" s="16" t="n">
        <v>45372</v>
      </c>
      <c r="B2816" s="17" t="s">
        <v>1071</v>
      </c>
      <c r="C2816" s="17" t="s">
        <v>788</v>
      </c>
      <c r="D2816" s="17" t="s">
        <v>19</v>
      </c>
      <c r="E2816" s="17" t="s">
        <v>1072</v>
      </c>
      <c r="F2816" s="17" t="s">
        <v>1223</v>
      </c>
      <c r="G2816" s="18" t="n">
        <v>0</v>
      </c>
      <c r="H2816" s="18" t="n">
        <v>662.76</v>
      </c>
      <c r="I2816" s="18" t="n">
        <f aca="false">((I2815 + G2816) - H2816)</f>
        <v>-194271.28</v>
      </c>
      <c r="J2816" s="18" t="n">
        <v>0</v>
      </c>
      <c r="K2816" s="19" t="n">
        <v>0</v>
      </c>
      <c r="L2816" s="17" t="s">
        <v>88</v>
      </c>
    </row>
    <row r="2817" s="11" customFormat="true" ht="10.95" hidden="false" customHeight="true" outlineLevel="0" collapsed="false">
      <c r="A2817" s="16" t="n">
        <v>45372</v>
      </c>
      <c r="B2817" s="17" t="s">
        <v>1071</v>
      </c>
      <c r="C2817" s="17" t="s">
        <v>788</v>
      </c>
      <c r="D2817" s="17" t="s">
        <v>19</v>
      </c>
      <c r="E2817" s="17" t="s">
        <v>1074</v>
      </c>
      <c r="F2817" s="17" t="s">
        <v>1223</v>
      </c>
      <c r="G2817" s="18" t="n">
        <v>0</v>
      </c>
      <c r="H2817" s="18" t="n">
        <v>101.25</v>
      </c>
      <c r="I2817" s="18" t="n">
        <f aca="false">((I2816 + G2817) - H2817)</f>
        <v>-194372.53</v>
      </c>
      <c r="J2817" s="18" t="n">
        <v>0</v>
      </c>
      <c r="K2817" s="19" t="n">
        <v>0</v>
      </c>
      <c r="L2817" s="17" t="s">
        <v>88</v>
      </c>
    </row>
    <row r="2818" s="11" customFormat="true" ht="10.95" hidden="false" customHeight="true" outlineLevel="0" collapsed="false">
      <c r="A2818" s="16" t="n">
        <v>45372</v>
      </c>
      <c r="B2818" s="17" t="s">
        <v>1071</v>
      </c>
      <c r="C2818" s="17" t="s">
        <v>788</v>
      </c>
      <c r="D2818" s="17" t="s">
        <v>19</v>
      </c>
      <c r="E2818" s="17" t="s">
        <v>1075</v>
      </c>
      <c r="F2818" s="17" t="s">
        <v>1224</v>
      </c>
      <c r="G2818" s="18" t="n">
        <v>0</v>
      </c>
      <c r="H2818" s="18" t="n">
        <v>3092.87</v>
      </c>
      <c r="I2818" s="18" t="n">
        <f aca="false">((I2817 + G2818) - H2818)</f>
        <v>-197465.4</v>
      </c>
      <c r="J2818" s="18" t="n">
        <v>0</v>
      </c>
      <c r="K2818" s="19" t="n">
        <v>0</v>
      </c>
      <c r="L2818" s="17" t="s">
        <v>88</v>
      </c>
    </row>
    <row r="2819" s="11" customFormat="true" ht="10.95" hidden="false" customHeight="true" outlineLevel="0" collapsed="false">
      <c r="A2819" s="16" t="n">
        <v>45372</v>
      </c>
      <c r="B2819" s="17" t="s">
        <v>1071</v>
      </c>
      <c r="C2819" s="17" t="s">
        <v>788</v>
      </c>
      <c r="D2819" s="17" t="s">
        <v>19</v>
      </c>
      <c r="E2819" s="17" t="s">
        <v>1077</v>
      </c>
      <c r="F2819" s="17" t="s">
        <v>1225</v>
      </c>
      <c r="G2819" s="18" t="n">
        <v>0</v>
      </c>
      <c r="H2819" s="18" t="n">
        <v>962.09</v>
      </c>
      <c r="I2819" s="18" t="n">
        <f aca="false">((I2818 + G2819) - H2819)</f>
        <v>-198427.49</v>
      </c>
      <c r="J2819" s="18" t="n">
        <v>0</v>
      </c>
      <c r="K2819" s="19" t="n">
        <v>0</v>
      </c>
      <c r="L2819" s="17" t="s">
        <v>88</v>
      </c>
    </row>
    <row r="2820" s="11" customFormat="true" ht="10.95" hidden="false" customHeight="true" outlineLevel="0" collapsed="false">
      <c r="A2820" s="16" t="n">
        <v>45372</v>
      </c>
      <c r="B2820" s="17" t="s">
        <v>1071</v>
      </c>
      <c r="C2820" s="17" t="s">
        <v>788</v>
      </c>
      <c r="D2820" s="17" t="s">
        <v>19</v>
      </c>
      <c r="E2820" s="17" t="s">
        <v>1202</v>
      </c>
      <c r="F2820" s="17" t="s">
        <v>1225</v>
      </c>
      <c r="G2820" s="18" t="n">
        <v>0</v>
      </c>
      <c r="H2820" s="18" t="n">
        <v>331.44</v>
      </c>
      <c r="I2820" s="18" t="n">
        <f aca="false">((I2819 + G2820) - H2820)</f>
        <v>-198758.93</v>
      </c>
      <c r="J2820" s="18" t="n">
        <v>0</v>
      </c>
      <c r="K2820" s="19" t="n">
        <v>0</v>
      </c>
      <c r="L2820" s="17" t="s">
        <v>88</v>
      </c>
    </row>
    <row r="2821" s="11" customFormat="true" ht="10.95" hidden="false" customHeight="true" outlineLevel="0" collapsed="false">
      <c r="A2821" s="16" t="n">
        <v>45372</v>
      </c>
      <c r="B2821" s="17" t="s">
        <v>1071</v>
      </c>
      <c r="C2821" s="17" t="s">
        <v>788</v>
      </c>
      <c r="D2821" s="17" t="s">
        <v>19</v>
      </c>
      <c r="E2821" s="17" t="s">
        <v>1080</v>
      </c>
      <c r="F2821" s="17" t="s">
        <v>1225</v>
      </c>
      <c r="G2821" s="18" t="n">
        <v>0</v>
      </c>
      <c r="H2821" s="18" t="n">
        <v>202.54</v>
      </c>
      <c r="I2821" s="18" t="n">
        <f aca="false">((I2820 + G2821) - H2821)</f>
        <v>-198961.47</v>
      </c>
      <c r="J2821" s="18" t="n">
        <v>0</v>
      </c>
      <c r="K2821" s="19" t="n">
        <v>0</v>
      </c>
      <c r="L2821" s="17" t="s">
        <v>88</v>
      </c>
    </row>
    <row r="2822" s="11" customFormat="true" ht="10.95" hidden="false" customHeight="true" outlineLevel="0" collapsed="false">
      <c r="A2822" s="16" t="n">
        <v>45372</v>
      </c>
      <c r="B2822" s="17" t="s">
        <v>1071</v>
      </c>
      <c r="C2822" s="17" t="s">
        <v>788</v>
      </c>
      <c r="D2822" s="17" t="s">
        <v>19</v>
      </c>
      <c r="E2822" s="17" t="s">
        <v>1081</v>
      </c>
      <c r="F2822" s="17" t="s">
        <v>1226</v>
      </c>
      <c r="G2822" s="18" t="n">
        <v>0</v>
      </c>
      <c r="H2822" s="18" t="n">
        <v>180</v>
      </c>
      <c r="I2822" s="18" t="n">
        <f aca="false">((I2821 + G2822) - H2822)</f>
        <v>-199141.47</v>
      </c>
      <c r="J2822" s="18" t="n">
        <v>0</v>
      </c>
      <c r="K2822" s="19" t="n">
        <v>0</v>
      </c>
      <c r="L2822" s="17" t="s">
        <v>88</v>
      </c>
    </row>
    <row r="2823" s="11" customFormat="true" ht="10.95" hidden="false" customHeight="true" outlineLevel="0" collapsed="false">
      <c r="A2823" s="16" t="n">
        <v>45372</v>
      </c>
      <c r="B2823" s="17" t="s">
        <v>1071</v>
      </c>
      <c r="C2823" s="17" t="s">
        <v>788</v>
      </c>
      <c r="D2823" s="17" t="s">
        <v>19</v>
      </c>
      <c r="E2823" s="17" t="s">
        <v>1083</v>
      </c>
      <c r="F2823" s="17" t="s">
        <v>1227</v>
      </c>
      <c r="G2823" s="18" t="n">
        <v>0</v>
      </c>
      <c r="H2823" s="18" t="n">
        <v>265.95</v>
      </c>
      <c r="I2823" s="18" t="n">
        <f aca="false">((I2822 + G2823) - H2823)</f>
        <v>-199407.42</v>
      </c>
      <c r="J2823" s="18" t="n">
        <v>0</v>
      </c>
      <c r="K2823" s="19" t="n">
        <v>0</v>
      </c>
      <c r="L2823" s="17" t="s">
        <v>88</v>
      </c>
    </row>
    <row r="2824" s="11" customFormat="true" ht="10.95" hidden="false" customHeight="true" outlineLevel="0" collapsed="false">
      <c r="A2824" s="16" t="n">
        <v>45372</v>
      </c>
      <c r="B2824" s="17" t="s">
        <v>1071</v>
      </c>
      <c r="C2824" s="17" t="s">
        <v>788</v>
      </c>
      <c r="D2824" s="17" t="s">
        <v>19</v>
      </c>
      <c r="E2824" s="17" t="s">
        <v>1085</v>
      </c>
      <c r="F2824" s="17" t="s">
        <v>1228</v>
      </c>
      <c r="G2824" s="18" t="n">
        <v>0</v>
      </c>
      <c r="H2824" s="18" t="n">
        <v>584.08</v>
      </c>
      <c r="I2824" s="18" t="n">
        <f aca="false">((I2823 + G2824) - H2824)</f>
        <v>-199991.5</v>
      </c>
      <c r="J2824" s="18" t="n">
        <v>0</v>
      </c>
      <c r="K2824" s="19" t="n">
        <v>0</v>
      </c>
      <c r="L2824" s="17" t="s">
        <v>88</v>
      </c>
    </row>
    <row r="2825" s="11" customFormat="true" ht="10.95" hidden="false" customHeight="true" outlineLevel="0" collapsed="false">
      <c r="A2825" s="16" t="n">
        <v>45372</v>
      </c>
      <c r="B2825" s="17" t="s">
        <v>1071</v>
      </c>
      <c r="C2825" s="17" t="s">
        <v>788</v>
      </c>
      <c r="D2825" s="17" t="s">
        <v>19</v>
      </c>
      <c r="E2825" s="17" t="s">
        <v>1087</v>
      </c>
      <c r="F2825" s="17" t="s">
        <v>1228</v>
      </c>
      <c r="G2825" s="18" t="n">
        <v>0</v>
      </c>
      <c r="H2825" s="18" t="n">
        <v>71.1</v>
      </c>
      <c r="I2825" s="18" t="n">
        <f aca="false">((I2824 + G2825) - H2825)</f>
        <v>-200062.6</v>
      </c>
      <c r="J2825" s="18" t="n">
        <v>0</v>
      </c>
      <c r="K2825" s="19" t="n">
        <v>0</v>
      </c>
      <c r="L2825" s="17" t="s">
        <v>88</v>
      </c>
    </row>
    <row r="2826" s="11" customFormat="true" ht="10.95" hidden="false" customHeight="true" outlineLevel="0" collapsed="false">
      <c r="A2826" s="16" t="n">
        <v>45372</v>
      </c>
      <c r="B2826" s="17" t="s">
        <v>1071</v>
      </c>
      <c r="C2826" s="17" t="s">
        <v>788</v>
      </c>
      <c r="D2826" s="17" t="s">
        <v>19</v>
      </c>
      <c r="E2826" s="17" t="s">
        <v>1089</v>
      </c>
      <c r="F2826" s="17" t="s">
        <v>1228</v>
      </c>
      <c r="G2826" s="18" t="n">
        <v>0</v>
      </c>
      <c r="H2826" s="18" t="n">
        <v>138.51</v>
      </c>
      <c r="I2826" s="18" t="n">
        <f aca="false">((I2825 + G2826) - H2826)</f>
        <v>-200201.11</v>
      </c>
      <c r="J2826" s="18" t="n">
        <v>0</v>
      </c>
      <c r="K2826" s="19" t="n">
        <v>0</v>
      </c>
      <c r="L2826" s="17" t="s">
        <v>88</v>
      </c>
    </row>
    <row r="2827" s="11" customFormat="true" ht="10.95" hidden="false" customHeight="true" outlineLevel="0" collapsed="false">
      <c r="A2827" s="16" t="n">
        <v>45372</v>
      </c>
      <c r="B2827" s="17" t="s">
        <v>1071</v>
      </c>
      <c r="C2827" s="17" t="s">
        <v>788</v>
      </c>
      <c r="D2827" s="17" t="s">
        <v>19</v>
      </c>
      <c r="E2827" s="17" t="s">
        <v>1090</v>
      </c>
      <c r="F2827" s="17" t="s">
        <v>1229</v>
      </c>
      <c r="G2827" s="18" t="n">
        <v>0</v>
      </c>
      <c r="H2827" s="18" t="n">
        <v>1800.11</v>
      </c>
      <c r="I2827" s="18" t="n">
        <f aca="false">((I2826 + G2827) - H2827)</f>
        <v>-202001.22</v>
      </c>
      <c r="J2827" s="18" t="n">
        <v>0</v>
      </c>
      <c r="K2827" s="19" t="n">
        <v>0</v>
      </c>
      <c r="L2827" s="17" t="s">
        <v>88</v>
      </c>
    </row>
    <row r="2828" s="11" customFormat="true" ht="10.95" hidden="false" customHeight="true" outlineLevel="0" collapsed="false">
      <c r="A2828" s="16" t="n">
        <v>45372</v>
      </c>
      <c r="B2828" s="17" t="s">
        <v>1071</v>
      </c>
      <c r="C2828" s="17" t="s">
        <v>788</v>
      </c>
      <c r="D2828" s="17" t="s">
        <v>19</v>
      </c>
      <c r="E2828" s="17" t="s">
        <v>1087</v>
      </c>
      <c r="F2828" s="17" t="s">
        <v>1229</v>
      </c>
      <c r="G2828" s="18" t="n">
        <v>0</v>
      </c>
      <c r="H2828" s="18" t="n">
        <v>30.42</v>
      </c>
      <c r="I2828" s="18" t="n">
        <f aca="false">((I2827 + G2828) - H2828)</f>
        <v>-202031.64</v>
      </c>
      <c r="J2828" s="18" t="n">
        <v>0</v>
      </c>
      <c r="K2828" s="19" t="n">
        <v>0</v>
      </c>
      <c r="L2828" s="17" t="s">
        <v>88</v>
      </c>
    </row>
    <row r="2829" s="11" customFormat="true" ht="10.95" hidden="false" customHeight="true" outlineLevel="0" collapsed="false">
      <c r="A2829" s="16" t="n">
        <v>45372</v>
      </c>
      <c r="B2829" s="17" t="s">
        <v>1071</v>
      </c>
      <c r="C2829" s="17" t="s">
        <v>788</v>
      </c>
      <c r="D2829" s="17" t="s">
        <v>19</v>
      </c>
      <c r="E2829" s="17" t="s">
        <v>1092</v>
      </c>
      <c r="F2829" s="17" t="s">
        <v>1230</v>
      </c>
      <c r="G2829" s="18" t="n">
        <v>0</v>
      </c>
      <c r="H2829" s="18" t="n">
        <v>953.98</v>
      </c>
      <c r="I2829" s="18" t="n">
        <f aca="false">((I2828 + G2829) - H2829)</f>
        <v>-202985.62</v>
      </c>
      <c r="J2829" s="18" t="n">
        <v>0</v>
      </c>
      <c r="K2829" s="19" t="n">
        <v>0</v>
      </c>
      <c r="L2829" s="17" t="s">
        <v>88</v>
      </c>
    </row>
    <row r="2830" s="11" customFormat="true" ht="10.95" hidden="false" customHeight="true" outlineLevel="0" collapsed="false">
      <c r="A2830" s="16" t="n">
        <v>45372</v>
      </c>
      <c r="B2830" s="17" t="s">
        <v>1071</v>
      </c>
      <c r="C2830" s="17" t="s">
        <v>788</v>
      </c>
      <c r="D2830" s="17" t="s">
        <v>19</v>
      </c>
      <c r="E2830" s="17" t="s">
        <v>1094</v>
      </c>
      <c r="F2830" s="17" t="s">
        <v>1230</v>
      </c>
      <c r="G2830" s="18" t="n">
        <v>0</v>
      </c>
      <c r="H2830" s="18" t="n">
        <v>92.17</v>
      </c>
      <c r="I2830" s="18" t="n">
        <f aca="false">((I2829 + G2830) - H2830)</f>
        <v>-203077.79</v>
      </c>
      <c r="J2830" s="18" t="n">
        <v>0</v>
      </c>
      <c r="K2830" s="19" t="n">
        <v>0</v>
      </c>
      <c r="L2830" s="17" t="s">
        <v>88</v>
      </c>
    </row>
    <row r="2831" s="11" customFormat="true" ht="10.95" hidden="false" customHeight="true" outlineLevel="0" collapsed="false">
      <c r="A2831" s="16" t="n">
        <v>45372</v>
      </c>
      <c r="B2831" s="17" t="s">
        <v>1071</v>
      </c>
      <c r="C2831" s="17" t="s">
        <v>788</v>
      </c>
      <c r="D2831" s="17" t="s">
        <v>19</v>
      </c>
      <c r="E2831" s="17" t="s">
        <v>1087</v>
      </c>
      <c r="F2831" s="17" t="s">
        <v>1230</v>
      </c>
      <c r="G2831" s="18" t="n">
        <v>0</v>
      </c>
      <c r="H2831" s="18" t="n">
        <v>35.49</v>
      </c>
      <c r="I2831" s="18" t="n">
        <f aca="false">((I2830 + G2831) - H2831)</f>
        <v>-203113.28</v>
      </c>
      <c r="J2831" s="18" t="n">
        <v>0</v>
      </c>
      <c r="K2831" s="19" t="n">
        <v>0</v>
      </c>
      <c r="L2831" s="17" t="s">
        <v>88</v>
      </c>
    </row>
    <row r="2832" s="11" customFormat="true" ht="10.95" hidden="false" customHeight="true" outlineLevel="0" collapsed="false">
      <c r="A2832" s="16" t="n">
        <v>45372</v>
      </c>
      <c r="B2832" s="17" t="s">
        <v>1071</v>
      </c>
      <c r="C2832" s="17" t="s">
        <v>788</v>
      </c>
      <c r="D2832" s="17" t="s">
        <v>19</v>
      </c>
      <c r="E2832" s="17" t="s">
        <v>1095</v>
      </c>
      <c r="F2832" s="17" t="s">
        <v>1230</v>
      </c>
      <c r="G2832" s="18" t="n">
        <v>0</v>
      </c>
      <c r="H2832" s="18" t="n">
        <v>27.65</v>
      </c>
      <c r="I2832" s="18" t="n">
        <f aca="false">((I2831 + G2832) - H2832)</f>
        <v>-203140.93</v>
      </c>
      <c r="J2832" s="18" t="n">
        <v>0</v>
      </c>
      <c r="K2832" s="19" t="n">
        <v>0</v>
      </c>
      <c r="L2832" s="17" t="s">
        <v>88</v>
      </c>
    </row>
    <row r="2833" s="11" customFormat="true" ht="10.95" hidden="false" customHeight="true" outlineLevel="0" collapsed="false">
      <c r="A2833" s="16" t="n">
        <v>45372</v>
      </c>
      <c r="B2833" s="17" t="s">
        <v>1071</v>
      </c>
      <c r="C2833" s="17" t="s">
        <v>788</v>
      </c>
      <c r="D2833" s="17" t="s">
        <v>19</v>
      </c>
      <c r="E2833" s="17" t="s">
        <v>1092</v>
      </c>
      <c r="F2833" s="17" t="s">
        <v>1231</v>
      </c>
      <c r="G2833" s="18" t="n">
        <v>0</v>
      </c>
      <c r="H2833" s="18" t="n">
        <v>1559.55</v>
      </c>
      <c r="I2833" s="18" t="n">
        <f aca="false">((I2832 + G2833) - H2833)</f>
        <v>-204700.48</v>
      </c>
      <c r="J2833" s="18" t="n">
        <v>0</v>
      </c>
      <c r="K2833" s="19" t="n">
        <v>0</v>
      </c>
      <c r="L2833" s="17" t="s">
        <v>88</v>
      </c>
    </row>
    <row r="2834" s="11" customFormat="true" ht="10.95" hidden="false" customHeight="true" outlineLevel="0" collapsed="false">
      <c r="A2834" s="16" t="n">
        <v>45372</v>
      </c>
      <c r="B2834" s="17" t="s">
        <v>1071</v>
      </c>
      <c r="C2834" s="17" t="s">
        <v>788</v>
      </c>
      <c r="D2834" s="17" t="s">
        <v>19</v>
      </c>
      <c r="E2834" s="17" t="s">
        <v>1087</v>
      </c>
      <c r="F2834" s="17" t="s">
        <v>1231</v>
      </c>
      <c r="G2834" s="18" t="n">
        <v>0</v>
      </c>
      <c r="H2834" s="18" t="n">
        <v>64.52</v>
      </c>
      <c r="I2834" s="18" t="n">
        <f aca="false">((I2833 + G2834) - H2834)</f>
        <v>-204765</v>
      </c>
      <c r="J2834" s="18" t="n">
        <v>0</v>
      </c>
      <c r="K2834" s="19" t="n">
        <v>0</v>
      </c>
      <c r="L2834" s="17" t="s">
        <v>88</v>
      </c>
    </row>
    <row r="2835" s="11" customFormat="true" ht="10.95" hidden="false" customHeight="true" outlineLevel="0" collapsed="false">
      <c r="A2835" s="16" t="n">
        <v>45372</v>
      </c>
      <c r="B2835" s="17" t="s">
        <v>1071</v>
      </c>
      <c r="C2835" s="17" t="s">
        <v>788</v>
      </c>
      <c r="D2835" s="17" t="s">
        <v>19</v>
      </c>
      <c r="E2835" s="17" t="s">
        <v>1094</v>
      </c>
      <c r="F2835" s="17" t="s">
        <v>1231</v>
      </c>
      <c r="G2835" s="18" t="n">
        <v>0</v>
      </c>
      <c r="H2835" s="18" t="n">
        <v>92.17</v>
      </c>
      <c r="I2835" s="18" t="n">
        <f aca="false">((I2834 + G2835) - H2835)</f>
        <v>-204857.17</v>
      </c>
      <c r="J2835" s="18" t="n">
        <v>0</v>
      </c>
      <c r="K2835" s="19" t="n">
        <v>0</v>
      </c>
      <c r="L2835" s="17" t="s">
        <v>88</v>
      </c>
    </row>
    <row r="2836" s="11" customFormat="true" ht="10.95" hidden="false" customHeight="true" outlineLevel="0" collapsed="false">
      <c r="A2836" s="16" t="n">
        <v>45372</v>
      </c>
      <c r="B2836" s="17" t="s">
        <v>1071</v>
      </c>
      <c r="C2836" s="17" t="s">
        <v>788</v>
      </c>
      <c r="D2836" s="17" t="s">
        <v>19</v>
      </c>
      <c r="E2836" s="17" t="s">
        <v>1098</v>
      </c>
      <c r="F2836" s="17" t="s">
        <v>1231</v>
      </c>
      <c r="G2836" s="18" t="n">
        <v>0</v>
      </c>
      <c r="H2836" s="18" t="n">
        <v>276.52</v>
      </c>
      <c r="I2836" s="18" t="n">
        <f aca="false">((I2835 + G2836) - H2836)</f>
        <v>-205133.69</v>
      </c>
      <c r="J2836" s="18" t="n">
        <v>0</v>
      </c>
      <c r="K2836" s="19" t="n">
        <v>0</v>
      </c>
      <c r="L2836" s="17" t="s">
        <v>88</v>
      </c>
    </row>
    <row r="2837" s="11" customFormat="true" ht="10.95" hidden="false" customHeight="true" outlineLevel="0" collapsed="false">
      <c r="A2837" s="16" t="n">
        <v>45372</v>
      </c>
      <c r="B2837" s="17" t="s">
        <v>1071</v>
      </c>
      <c r="C2837" s="17" t="s">
        <v>788</v>
      </c>
      <c r="D2837" s="17" t="s">
        <v>19</v>
      </c>
      <c r="E2837" s="17" t="s">
        <v>1083</v>
      </c>
      <c r="F2837" s="17" t="s">
        <v>1232</v>
      </c>
      <c r="G2837" s="18" t="n">
        <v>0</v>
      </c>
      <c r="H2837" s="18" t="n">
        <v>132.73</v>
      </c>
      <c r="I2837" s="18" t="n">
        <f aca="false">((I2836 + G2837) - H2837)</f>
        <v>-205266.42</v>
      </c>
      <c r="J2837" s="18" t="n">
        <v>0</v>
      </c>
      <c r="K2837" s="19" t="n">
        <v>0</v>
      </c>
      <c r="L2837" s="17" t="s">
        <v>88</v>
      </c>
    </row>
    <row r="2838" s="11" customFormat="true" ht="10.95" hidden="false" customHeight="true" outlineLevel="0" collapsed="false">
      <c r="A2838" s="16" t="n">
        <v>45372</v>
      </c>
      <c r="B2838" s="17" t="s">
        <v>1071</v>
      </c>
      <c r="C2838" s="17" t="s">
        <v>788</v>
      </c>
      <c r="D2838" s="17" t="s">
        <v>19</v>
      </c>
      <c r="E2838" s="17" t="s">
        <v>1090</v>
      </c>
      <c r="F2838" s="17" t="s">
        <v>1233</v>
      </c>
      <c r="G2838" s="18" t="n">
        <v>0</v>
      </c>
      <c r="H2838" s="18" t="n">
        <v>693.13</v>
      </c>
      <c r="I2838" s="18" t="n">
        <f aca="false">((I2837 + G2838) - H2838)</f>
        <v>-205959.55</v>
      </c>
      <c r="J2838" s="18" t="n">
        <v>0</v>
      </c>
      <c r="K2838" s="19" t="n">
        <v>0</v>
      </c>
      <c r="L2838" s="17" t="s">
        <v>88</v>
      </c>
    </row>
    <row r="2839" s="11" customFormat="true" ht="10.95" hidden="false" customHeight="true" outlineLevel="0" collapsed="false">
      <c r="A2839" s="16" t="n">
        <v>45372</v>
      </c>
      <c r="B2839" s="17" t="s">
        <v>1071</v>
      </c>
      <c r="C2839" s="17" t="s">
        <v>788</v>
      </c>
      <c r="D2839" s="17" t="s">
        <v>19</v>
      </c>
      <c r="E2839" s="17" t="s">
        <v>1101</v>
      </c>
      <c r="F2839" s="17" t="s">
        <v>1233</v>
      </c>
      <c r="G2839" s="18" t="n">
        <v>0</v>
      </c>
      <c r="H2839" s="18" t="n">
        <v>96.32</v>
      </c>
      <c r="I2839" s="18" t="n">
        <f aca="false">((I2838 + G2839) - H2839)</f>
        <v>-206055.87</v>
      </c>
      <c r="J2839" s="18" t="n">
        <v>0</v>
      </c>
      <c r="K2839" s="19" t="n">
        <v>0</v>
      </c>
      <c r="L2839" s="17" t="s">
        <v>88</v>
      </c>
    </row>
    <row r="2840" s="11" customFormat="true" ht="10.95" hidden="false" customHeight="true" outlineLevel="0" collapsed="false">
      <c r="A2840" s="16" t="n">
        <v>45372</v>
      </c>
      <c r="B2840" s="17" t="s">
        <v>1071</v>
      </c>
      <c r="C2840" s="17" t="s">
        <v>788</v>
      </c>
      <c r="D2840" s="17" t="s">
        <v>19</v>
      </c>
      <c r="E2840" s="17" t="s">
        <v>1088</v>
      </c>
      <c r="F2840" s="17" t="s">
        <v>1233</v>
      </c>
      <c r="G2840" s="18" t="n">
        <v>0</v>
      </c>
      <c r="H2840" s="18" t="n">
        <v>121.67</v>
      </c>
      <c r="I2840" s="18" t="n">
        <f aca="false">((I2839 + G2840) - H2840)</f>
        <v>-206177.54</v>
      </c>
      <c r="J2840" s="18" t="n">
        <v>0</v>
      </c>
      <c r="K2840" s="19" t="n">
        <v>0</v>
      </c>
      <c r="L2840" s="17" t="s">
        <v>88</v>
      </c>
    </row>
    <row r="2841" s="11" customFormat="true" ht="10.95" hidden="false" customHeight="true" outlineLevel="0" collapsed="false">
      <c r="A2841" s="16" t="n">
        <v>45372</v>
      </c>
      <c r="B2841" s="17" t="s">
        <v>1071</v>
      </c>
      <c r="C2841" s="17" t="s">
        <v>788</v>
      </c>
      <c r="D2841" s="17" t="s">
        <v>19</v>
      </c>
      <c r="E2841" s="17" t="s">
        <v>1102</v>
      </c>
      <c r="F2841" s="17" t="s">
        <v>1233</v>
      </c>
      <c r="G2841" s="18" t="n">
        <v>0</v>
      </c>
      <c r="H2841" s="18" t="n">
        <v>101.39</v>
      </c>
      <c r="I2841" s="18" t="n">
        <f aca="false">((I2840 + G2841) - H2841)</f>
        <v>-206278.93</v>
      </c>
      <c r="J2841" s="18" t="n">
        <v>0</v>
      </c>
      <c r="K2841" s="19" t="n">
        <v>0</v>
      </c>
      <c r="L2841" s="17" t="s">
        <v>88</v>
      </c>
    </row>
    <row r="2842" s="11" customFormat="true" ht="10.95" hidden="false" customHeight="true" outlineLevel="0" collapsed="false">
      <c r="A2842" s="16" t="n">
        <v>45384</v>
      </c>
      <c r="B2842" s="17" t="s">
        <v>1071</v>
      </c>
      <c r="C2842" s="17" t="s">
        <v>788</v>
      </c>
      <c r="D2842" s="17" t="s">
        <v>19</v>
      </c>
      <c r="E2842" s="17" t="s">
        <v>1090</v>
      </c>
      <c r="F2842" s="17" t="s">
        <v>1234</v>
      </c>
      <c r="G2842" s="18" t="n">
        <v>0</v>
      </c>
      <c r="H2842" s="18" t="n">
        <v>287.61</v>
      </c>
      <c r="I2842" s="18" t="n">
        <f aca="false">((I2841 + G2842) - H2842)</f>
        <v>-206566.54</v>
      </c>
      <c r="J2842" s="18" t="n">
        <v>0</v>
      </c>
      <c r="K2842" s="19" t="n">
        <v>0</v>
      </c>
      <c r="L2842" s="17" t="s">
        <v>88</v>
      </c>
    </row>
    <row r="2843" s="11" customFormat="true" ht="10.95" hidden="false" customHeight="true" outlineLevel="0" collapsed="false">
      <c r="A2843" s="16" t="n">
        <v>45384</v>
      </c>
      <c r="B2843" s="17" t="s">
        <v>1071</v>
      </c>
      <c r="C2843" s="17" t="s">
        <v>788</v>
      </c>
      <c r="D2843" s="17" t="s">
        <v>19</v>
      </c>
      <c r="E2843" s="17" t="s">
        <v>1090</v>
      </c>
      <c r="F2843" s="17" t="s">
        <v>1234</v>
      </c>
      <c r="G2843" s="18" t="n">
        <v>0</v>
      </c>
      <c r="H2843" s="18" t="n">
        <v>287.61</v>
      </c>
      <c r="I2843" s="18" t="n">
        <f aca="false">((I2842 + G2843) - H2843)</f>
        <v>-206854.15</v>
      </c>
      <c r="J2843" s="18" t="n">
        <v>0</v>
      </c>
      <c r="K2843" s="19" t="n">
        <v>0</v>
      </c>
      <c r="L2843" s="17" t="s">
        <v>88</v>
      </c>
    </row>
    <row r="2844" s="11" customFormat="true" ht="10.95" hidden="false" customHeight="true" outlineLevel="0" collapsed="false">
      <c r="A2844" s="16" t="n">
        <v>45384</v>
      </c>
      <c r="B2844" s="17" t="s">
        <v>1071</v>
      </c>
      <c r="C2844" s="17" t="s">
        <v>788</v>
      </c>
      <c r="D2844" s="17" t="s">
        <v>19</v>
      </c>
      <c r="E2844" s="17" t="s">
        <v>1090</v>
      </c>
      <c r="F2844" s="17" t="s">
        <v>1234</v>
      </c>
      <c r="G2844" s="18" t="n">
        <v>0</v>
      </c>
      <c r="H2844" s="18" t="n">
        <v>287.62</v>
      </c>
      <c r="I2844" s="18" t="n">
        <f aca="false">((I2843 + G2844) - H2844)</f>
        <v>-207141.77</v>
      </c>
      <c r="J2844" s="18" t="n">
        <v>0</v>
      </c>
      <c r="K2844" s="19" t="n">
        <v>0</v>
      </c>
      <c r="L2844" s="17" t="s">
        <v>88</v>
      </c>
    </row>
    <row r="2845" s="11" customFormat="true" ht="10.95" hidden="false" customHeight="true" outlineLevel="0" collapsed="false">
      <c r="A2845" s="16" t="n">
        <v>45384</v>
      </c>
      <c r="B2845" s="17" t="s">
        <v>1071</v>
      </c>
      <c r="C2845" s="17" t="s">
        <v>788</v>
      </c>
      <c r="D2845" s="17" t="s">
        <v>19</v>
      </c>
      <c r="E2845" s="17" t="s">
        <v>1090</v>
      </c>
      <c r="F2845" s="17" t="s">
        <v>1234</v>
      </c>
      <c r="G2845" s="18" t="n">
        <v>0</v>
      </c>
      <c r="H2845" s="18" t="n">
        <v>287.62</v>
      </c>
      <c r="I2845" s="18" t="n">
        <f aca="false">((I2844 + G2845) - H2845)</f>
        <v>-207429.39</v>
      </c>
      <c r="J2845" s="18" t="n">
        <v>0</v>
      </c>
      <c r="K2845" s="19" t="n">
        <v>0</v>
      </c>
      <c r="L2845" s="17" t="s">
        <v>88</v>
      </c>
    </row>
    <row r="2846" s="11" customFormat="true" ht="10.95" hidden="false" customHeight="true" outlineLevel="0" collapsed="false">
      <c r="A2846" s="16" t="n">
        <v>45384</v>
      </c>
      <c r="B2846" s="17" t="s">
        <v>1071</v>
      </c>
      <c r="C2846" s="17" t="s">
        <v>788</v>
      </c>
      <c r="D2846" s="17" t="s">
        <v>19</v>
      </c>
      <c r="E2846" s="17" t="s">
        <v>1090</v>
      </c>
      <c r="F2846" s="17" t="s">
        <v>1234</v>
      </c>
      <c r="G2846" s="18" t="n">
        <v>0</v>
      </c>
      <c r="H2846" s="18" t="n">
        <v>287.62</v>
      </c>
      <c r="I2846" s="18" t="n">
        <f aca="false">((I2845 + G2846) - H2846)</f>
        <v>-207717.01</v>
      </c>
      <c r="J2846" s="18" t="n">
        <v>0</v>
      </c>
      <c r="K2846" s="19" t="n">
        <v>0</v>
      </c>
      <c r="L2846" s="17" t="s">
        <v>88</v>
      </c>
    </row>
    <row r="2847" s="11" customFormat="true" ht="10.95" hidden="false" customHeight="true" outlineLevel="0" collapsed="false">
      <c r="A2847" s="16" t="n">
        <v>45384</v>
      </c>
      <c r="B2847" s="17" t="s">
        <v>1071</v>
      </c>
      <c r="C2847" s="17" t="s">
        <v>788</v>
      </c>
      <c r="D2847" s="17" t="s">
        <v>19</v>
      </c>
      <c r="E2847" s="17" t="s">
        <v>1090</v>
      </c>
      <c r="F2847" s="17" t="s">
        <v>1234</v>
      </c>
      <c r="G2847" s="18" t="n">
        <v>0</v>
      </c>
      <c r="H2847" s="18" t="n">
        <v>287.62</v>
      </c>
      <c r="I2847" s="18" t="n">
        <f aca="false">((I2846 + G2847) - H2847)</f>
        <v>-208004.63</v>
      </c>
      <c r="J2847" s="18" t="n">
        <v>0</v>
      </c>
      <c r="K2847" s="19" t="n">
        <v>0</v>
      </c>
      <c r="L2847" s="17" t="s">
        <v>88</v>
      </c>
    </row>
    <row r="2848" s="11" customFormat="true" ht="10.95" hidden="false" customHeight="true" outlineLevel="0" collapsed="false">
      <c r="A2848" s="16" t="n">
        <v>45384</v>
      </c>
      <c r="B2848" s="17" t="s">
        <v>1071</v>
      </c>
      <c r="C2848" s="17" t="s">
        <v>788</v>
      </c>
      <c r="D2848" s="17" t="s">
        <v>19</v>
      </c>
      <c r="E2848" s="17" t="s">
        <v>1107</v>
      </c>
      <c r="F2848" s="17" t="s">
        <v>1235</v>
      </c>
      <c r="G2848" s="18" t="n">
        <v>0</v>
      </c>
      <c r="H2848" s="18" t="n">
        <v>90.74</v>
      </c>
      <c r="I2848" s="18" t="n">
        <f aca="false">((I2847 + G2848) - H2848)</f>
        <v>-208095.37</v>
      </c>
      <c r="J2848" s="18" t="n">
        <v>0</v>
      </c>
      <c r="K2848" s="19" t="n">
        <v>0</v>
      </c>
      <c r="L2848" s="17" t="s">
        <v>88</v>
      </c>
    </row>
    <row r="2849" s="11" customFormat="true" ht="10.95" hidden="false" customHeight="true" outlineLevel="0" collapsed="false">
      <c r="A2849" s="16" t="n">
        <v>45408</v>
      </c>
      <c r="B2849" s="17" t="s">
        <v>1071</v>
      </c>
      <c r="C2849" s="17" t="s">
        <v>788</v>
      </c>
      <c r="D2849" s="17" t="s">
        <v>19</v>
      </c>
      <c r="E2849" s="17" t="s">
        <v>1072</v>
      </c>
      <c r="F2849" s="17" t="s">
        <v>1236</v>
      </c>
      <c r="G2849" s="18" t="n">
        <v>0</v>
      </c>
      <c r="H2849" s="18" t="n">
        <v>657.62</v>
      </c>
      <c r="I2849" s="18" t="n">
        <f aca="false">((I2848 + G2849) - H2849)</f>
        <v>-208752.99</v>
      </c>
      <c r="J2849" s="18" t="n">
        <v>0</v>
      </c>
      <c r="K2849" s="19" t="n">
        <v>0</v>
      </c>
      <c r="L2849" s="17" t="s">
        <v>88</v>
      </c>
    </row>
    <row r="2850" s="11" customFormat="true" ht="10.95" hidden="false" customHeight="true" outlineLevel="0" collapsed="false">
      <c r="A2850" s="16" t="n">
        <v>45408</v>
      </c>
      <c r="B2850" s="17" t="s">
        <v>1071</v>
      </c>
      <c r="C2850" s="17" t="s">
        <v>788</v>
      </c>
      <c r="D2850" s="17" t="s">
        <v>19</v>
      </c>
      <c r="E2850" s="17" t="s">
        <v>1074</v>
      </c>
      <c r="F2850" s="17" t="s">
        <v>1236</v>
      </c>
      <c r="G2850" s="18" t="n">
        <v>0</v>
      </c>
      <c r="H2850" s="18" t="n">
        <v>100.47</v>
      </c>
      <c r="I2850" s="18" t="n">
        <f aca="false">((I2849 + G2850) - H2850)</f>
        <v>-208853.46</v>
      </c>
      <c r="J2850" s="18" t="n">
        <v>0</v>
      </c>
      <c r="K2850" s="19" t="n">
        <v>0</v>
      </c>
      <c r="L2850" s="17" t="s">
        <v>88</v>
      </c>
    </row>
    <row r="2851" s="11" customFormat="true" ht="10.95" hidden="false" customHeight="true" outlineLevel="0" collapsed="false">
      <c r="A2851" s="16" t="n">
        <v>45408</v>
      </c>
      <c r="B2851" s="17" t="s">
        <v>1071</v>
      </c>
      <c r="C2851" s="17" t="s">
        <v>788</v>
      </c>
      <c r="D2851" s="17" t="s">
        <v>19</v>
      </c>
      <c r="E2851" s="17" t="s">
        <v>1075</v>
      </c>
      <c r="F2851" s="17" t="s">
        <v>1237</v>
      </c>
      <c r="G2851" s="18" t="n">
        <v>0</v>
      </c>
      <c r="H2851" s="18" t="n">
        <v>3068.89</v>
      </c>
      <c r="I2851" s="18" t="n">
        <f aca="false">((I2850 + G2851) - H2851)</f>
        <v>-211922.35</v>
      </c>
      <c r="J2851" s="18" t="n">
        <v>0</v>
      </c>
      <c r="K2851" s="19" t="n">
        <v>0</v>
      </c>
      <c r="L2851" s="17" t="s">
        <v>88</v>
      </c>
    </row>
    <row r="2852" s="11" customFormat="true" ht="10.95" hidden="false" customHeight="true" outlineLevel="0" collapsed="false">
      <c r="A2852" s="16" t="n">
        <v>45408</v>
      </c>
      <c r="B2852" s="17" t="s">
        <v>1071</v>
      </c>
      <c r="C2852" s="17" t="s">
        <v>788</v>
      </c>
      <c r="D2852" s="17" t="s">
        <v>19</v>
      </c>
      <c r="E2852" s="17" t="s">
        <v>1077</v>
      </c>
      <c r="F2852" s="17" t="s">
        <v>1238</v>
      </c>
      <c r="G2852" s="18" t="n">
        <v>0</v>
      </c>
      <c r="H2852" s="18" t="n">
        <v>954.46</v>
      </c>
      <c r="I2852" s="18" t="n">
        <f aca="false">((I2851 + G2852) - H2852)</f>
        <v>-212876.81</v>
      </c>
      <c r="J2852" s="18" t="n">
        <v>0</v>
      </c>
      <c r="K2852" s="19" t="n">
        <v>0</v>
      </c>
      <c r="L2852" s="17" t="s">
        <v>88</v>
      </c>
    </row>
    <row r="2853" s="11" customFormat="true" ht="10.95" hidden="false" customHeight="true" outlineLevel="0" collapsed="false">
      <c r="A2853" s="16" t="n">
        <v>45408</v>
      </c>
      <c r="B2853" s="17" t="s">
        <v>1071</v>
      </c>
      <c r="C2853" s="17" t="s">
        <v>788</v>
      </c>
      <c r="D2853" s="17" t="s">
        <v>19</v>
      </c>
      <c r="E2853" s="17" t="s">
        <v>1202</v>
      </c>
      <c r="F2853" s="17" t="s">
        <v>1238</v>
      </c>
      <c r="G2853" s="18" t="n">
        <v>0</v>
      </c>
      <c r="H2853" s="18" t="n">
        <v>328.81</v>
      </c>
      <c r="I2853" s="18" t="n">
        <f aca="false">((I2852 + G2853) - H2853)</f>
        <v>-213205.62</v>
      </c>
      <c r="J2853" s="18" t="n">
        <v>0</v>
      </c>
      <c r="K2853" s="19" t="n">
        <v>0</v>
      </c>
      <c r="L2853" s="17" t="s">
        <v>88</v>
      </c>
    </row>
    <row r="2854" s="11" customFormat="true" ht="10.95" hidden="false" customHeight="true" outlineLevel="0" collapsed="false">
      <c r="A2854" s="16" t="n">
        <v>45408</v>
      </c>
      <c r="B2854" s="17" t="s">
        <v>1071</v>
      </c>
      <c r="C2854" s="17" t="s">
        <v>788</v>
      </c>
      <c r="D2854" s="17" t="s">
        <v>19</v>
      </c>
      <c r="E2854" s="17" t="s">
        <v>1080</v>
      </c>
      <c r="F2854" s="17" t="s">
        <v>1238</v>
      </c>
      <c r="G2854" s="18" t="n">
        <v>0</v>
      </c>
      <c r="H2854" s="18" t="n">
        <v>200.94</v>
      </c>
      <c r="I2854" s="18" t="n">
        <f aca="false">((I2853 + G2854) - H2854)</f>
        <v>-213406.56</v>
      </c>
      <c r="J2854" s="18" t="n">
        <v>0</v>
      </c>
      <c r="K2854" s="19" t="n">
        <v>0</v>
      </c>
      <c r="L2854" s="17" t="s">
        <v>88</v>
      </c>
    </row>
    <row r="2855" s="11" customFormat="true" ht="10.95" hidden="false" customHeight="true" outlineLevel="0" collapsed="false">
      <c r="A2855" s="16" t="n">
        <v>45408</v>
      </c>
      <c r="B2855" s="17" t="s">
        <v>1071</v>
      </c>
      <c r="C2855" s="17" t="s">
        <v>788</v>
      </c>
      <c r="D2855" s="17" t="s">
        <v>19</v>
      </c>
      <c r="E2855" s="17" t="s">
        <v>1081</v>
      </c>
      <c r="F2855" s="17" t="s">
        <v>1239</v>
      </c>
      <c r="G2855" s="18" t="n">
        <v>0</v>
      </c>
      <c r="H2855" s="18" t="n">
        <v>180</v>
      </c>
      <c r="I2855" s="18" t="n">
        <f aca="false">((I2854 + G2855) - H2855)</f>
        <v>-213586.56</v>
      </c>
      <c r="J2855" s="18" t="n">
        <v>0</v>
      </c>
      <c r="K2855" s="19" t="n">
        <v>0</v>
      </c>
      <c r="L2855" s="17" t="s">
        <v>88</v>
      </c>
    </row>
    <row r="2856" s="11" customFormat="true" ht="10.95" hidden="false" customHeight="true" outlineLevel="0" collapsed="false">
      <c r="A2856" s="16" t="n">
        <v>45408</v>
      </c>
      <c r="B2856" s="17" t="s">
        <v>1071</v>
      </c>
      <c r="C2856" s="17" t="s">
        <v>788</v>
      </c>
      <c r="D2856" s="17" t="s">
        <v>19</v>
      </c>
      <c r="E2856" s="17" t="s">
        <v>1083</v>
      </c>
      <c r="F2856" s="17" t="s">
        <v>1240</v>
      </c>
      <c r="G2856" s="18" t="n">
        <v>0</v>
      </c>
      <c r="H2856" s="18" t="n">
        <v>262.86</v>
      </c>
      <c r="I2856" s="18" t="n">
        <f aca="false">((I2855 + G2856) - H2856)</f>
        <v>-213849.42</v>
      </c>
      <c r="J2856" s="18" t="n">
        <v>0</v>
      </c>
      <c r="K2856" s="19" t="n">
        <v>0</v>
      </c>
      <c r="L2856" s="17" t="s">
        <v>88</v>
      </c>
    </row>
    <row r="2857" s="11" customFormat="true" ht="10.95" hidden="false" customHeight="true" outlineLevel="0" collapsed="false">
      <c r="A2857" s="16" t="n">
        <v>45408</v>
      </c>
      <c r="B2857" s="17" t="s">
        <v>1071</v>
      </c>
      <c r="C2857" s="17" t="s">
        <v>788</v>
      </c>
      <c r="D2857" s="17" t="s">
        <v>19</v>
      </c>
      <c r="E2857" s="17" t="s">
        <v>1085</v>
      </c>
      <c r="F2857" s="17" t="s">
        <v>1241</v>
      </c>
      <c r="G2857" s="18" t="n">
        <v>0</v>
      </c>
      <c r="H2857" s="18" t="n">
        <v>577.28</v>
      </c>
      <c r="I2857" s="18" t="n">
        <f aca="false">((I2856 + G2857) - H2857)</f>
        <v>-214426.7</v>
      </c>
      <c r="J2857" s="18" t="n">
        <v>0</v>
      </c>
      <c r="K2857" s="19" t="n">
        <v>0</v>
      </c>
      <c r="L2857" s="17" t="s">
        <v>88</v>
      </c>
    </row>
    <row r="2858" s="11" customFormat="true" ht="10.95" hidden="false" customHeight="true" outlineLevel="0" collapsed="false">
      <c r="A2858" s="16" t="n">
        <v>45408</v>
      </c>
      <c r="B2858" s="17" t="s">
        <v>1071</v>
      </c>
      <c r="C2858" s="17" t="s">
        <v>788</v>
      </c>
      <c r="D2858" s="17" t="s">
        <v>19</v>
      </c>
      <c r="E2858" s="17" t="s">
        <v>1087</v>
      </c>
      <c r="F2858" s="17" t="s">
        <v>1241</v>
      </c>
      <c r="G2858" s="18" t="n">
        <v>0</v>
      </c>
      <c r="H2858" s="18" t="n">
        <v>70.28</v>
      </c>
      <c r="I2858" s="18" t="n">
        <f aca="false">((I2857 + G2858) - H2858)</f>
        <v>-214496.98</v>
      </c>
      <c r="J2858" s="18" t="n">
        <v>0</v>
      </c>
      <c r="K2858" s="19" t="n">
        <v>0</v>
      </c>
      <c r="L2858" s="17" t="s">
        <v>88</v>
      </c>
    </row>
    <row r="2859" s="11" customFormat="true" ht="10.95" hidden="false" customHeight="true" outlineLevel="0" collapsed="false">
      <c r="A2859" s="16" t="n">
        <v>45408</v>
      </c>
      <c r="B2859" s="17" t="s">
        <v>1071</v>
      </c>
      <c r="C2859" s="17" t="s">
        <v>788</v>
      </c>
      <c r="D2859" s="17" t="s">
        <v>19</v>
      </c>
      <c r="E2859" s="17" t="s">
        <v>1089</v>
      </c>
      <c r="F2859" s="17" t="s">
        <v>1241</v>
      </c>
      <c r="G2859" s="18" t="n">
        <v>0</v>
      </c>
      <c r="H2859" s="18" t="n">
        <v>136.91</v>
      </c>
      <c r="I2859" s="18" t="n">
        <f aca="false">((I2858 + G2859) - H2859)</f>
        <v>-214633.89</v>
      </c>
      <c r="J2859" s="18" t="n">
        <v>0</v>
      </c>
      <c r="K2859" s="19" t="n">
        <v>0</v>
      </c>
      <c r="L2859" s="17" t="s">
        <v>88</v>
      </c>
    </row>
    <row r="2860" s="11" customFormat="true" ht="10.95" hidden="false" customHeight="true" outlineLevel="0" collapsed="false">
      <c r="A2860" s="16" t="n">
        <v>45408</v>
      </c>
      <c r="B2860" s="17" t="s">
        <v>1071</v>
      </c>
      <c r="C2860" s="17" t="s">
        <v>788</v>
      </c>
      <c r="D2860" s="17" t="s">
        <v>19</v>
      </c>
      <c r="E2860" s="17" t="s">
        <v>1090</v>
      </c>
      <c r="F2860" s="17" t="s">
        <v>1242</v>
      </c>
      <c r="G2860" s="18" t="n">
        <v>0</v>
      </c>
      <c r="H2860" s="18" t="n">
        <v>1867.39</v>
      </c>
      <c r="I2860" s="18" t="n">
        <f aca="false">((I2859 + G2860) - H2860)</f>
        <v>-216501.28</v>
      </c>
      <c r="J2860" s="18" t="n">
        <v>0</v>
      </c>
      <c r="K2860" s="19" t="n">
        <v>0</v>
      </c>
      <c r="L2860" s="17" t="s">
        <v>88</v>
      </c>
    </row>
    <row r="2861" s="11" customFormat="true" ht="10.95" hidden="false" customHeight="true" outlineLevel="0" collapsed="false">
      <c r="A2861" s="16" t="n">
        <v>45408</v>
      </c>
      <c r="B2861" s="17" t="s">
        <v>1071</v>
      </c>
      <c r="C2861" s="17" t="s">
        <v>788</v>
      </c>
      <c r="D2861" s="17" t="s">
        <v>19</v>
      </c>
      <c r="E2861" s="17" t="s">
        <v>1087</v>
      </c>
      <c r="F2861" s="17" t="s">
        <v>1242</v>
      </c>
      <c r="G2861" s="18" t="n">
        <v>0</v>
      </c>
      <c r="H2861" s="18" t="n">
        <v>30.12</v>
      </c>
      <c r="I2861" s="18" t="n">
        <f aca="false">((I2860 + G2861) - H2861)</f>
        <v>-216531.4</v>
      </c>
      <c r="J2861" s="18" t="n">
        <v>0</v>
      </c>
      <c r="K2861" s="19" t="n">
        <v>0</v>
      </c>
      <c r="L2861" s="17" t="s">
        <v>88</v>
      </c>
    </row>
    <row r="2862" s="11" customFormat="true" ht="10.95" hidden="false" customHeight="true" outlineLevel="0" collapsed="false">
      <c r="A2862" s="16" t="n">
        <v>45408</v>
      </c>
      <c r="B2862" s="17" t="s">
        <v>1071</v>
      </c>
      <c r="C2862" s="17" t="s">
        <v>788</v>
      </c>
      <c r="D2862" s="17" t="s">
        <v>19</v>
      </c>
      <c r="E2862" s="17" t="s">
        <v>1090</v>
      </c>
      <c r="F2862" s="17" t="s">
        <v>1242</v>
      </c>
      <c r="G2862" s="18" t="n">
        <v>0</v>
      </c>
      <c r="H2862" s="18" t="n">
        <v>254.64</v>
      </c>
      <c r="I2862" s="18" t="n">
        <f aca="false">((I2861 + G2862) - H2862)</f>
        <v>-216786.04</v>
      </c>
      <c r="J2862" s="18" t="n">
        <v>0</v>
      </c>
      <c r="K2862" s="19" t="n">
        <v>0</v>
      </c>
      <c r="L2862" s="17" t="s">
        <v>88</v>
      </c>
    </row>
    <row r="2863" s="11" customFormat="true" ht="10.95" hidden="false" customHeight="true" outlineLevel="0" collapsed="false">
      <c r="A2863" s="16" t="n">
        <v>45408</v>
      </c>
      <c r="B2863" s="17" t="s">
        <v>1071</v>
      </c>
      <c r="C2863" s="17" t="s">
        <v>788</v>
      </c>
      <c r="D2863" s="17" t="s">
        <v>19</v>
      </c>
      <c r="E2863" s="17" t="s">
        <v>1092</v>
      </c>
      <c r="F2863" s="17" t="s">
        <v>1243</v>
      </c>
      <c r="G2863" s="18" t="n">
        <v>0</v>
      </c>
      <c r="H2863" s="18" t="n">
        <v>944.64</v>
      </c>
      <c r="I2863" s="18" t="n">
        <f aca="false">((I2862 + G2863) - H2863)</f>
        <v>-217730.68</v>
      </c>
      <c r="J2863" s="18" t="n">
        <v>0</v>
      </c>
      <c r="K2863" s="19" t="n">
        <v>0</v>
      </c>
      <c r="L2863" s="17" t="s">
        <v>88</v>
      </c>
    </row>
    <row r="2864" s="11" customFormat="true" ht="10.95" hidden="false" customHeight="true" outlineLevel="0" collapsed="false">
      <c r="A2864" s="16" t="n">
        <v>45408</v>
      </c>
      <c r="B2864" s="17" t="s">
        <v>1071</v>
      </c>
      <c r="C2864" s="17" t="s">
        <v>788</v>
      </c>
      <c r="D2864" s="17" t="s">
        <v>19</v>
      </c>
      <c r="E2864" s="17" t="s">
        <v>1094</v>
      </c>
      <c r="F2864" s="17" t="s">
        <v>1243</v>
      </c>
      <c r="G2864" s="18" t="n">
        <v>0</v>
      </c>
      <c r="H2864" s="18" t="n">
        <v>91.27</v>
      </c>
      <c r="I2864" s="18" t="n">
        <f aca="false">((I2863 + G2864) - H2864)</f>
        <v>-217821.95</v>
      </c>
      <c r="J2864" s="18" t="n">
        <v>0</v>
      </c>
      <c r="K2864" s="19" t="n">
        <v>0</v>
      </c>
      <c r="L2864" s="17" t="s">
        <v>88</v>
      </c>
    </row>
    <row r="2865" s="11" customFormat="true" ht="10.95" hidden="false" customHeight="true" outlineLevel="0" collapsed="false">
      <c r="A2865" s="16" t="n">
        <v>45408</v>
      </c>
      <c r="B2865" s="17" t="s">
        <v>1071</v>
      </c>
      <c r="C2865" s="17" t="s">
        <v>788</v>
      </c>
      <c r="D2865" s="17" t="s">
        <v>19</v>
      </c>
      <c r="E2865" s="17" t="s">
        <v>1087</v>
      </c>
      <c r="F2865" s="17" t="s">
        <v>1243</v>
      </c>
      <c r="G2865" s="18" t="n">
        <v>0</v>
      </c>
      <c r="H2865" s="18" t="n">
        <v>35.14</v>
      </c>
      <c r="I2865" s="18" t="n">
        <f aca="false">((I2864 + G2865) - H2865)</f>
        <v>-217857.09</v>
      </c>
      <c r="J2865" s="18" t="n">
        <v>0</v>
      </c>
      <c r="K2865" s="19" t="n">
        <v>0</v>
      </c>
      <c r="L2865" s="17" t="s">
        <v>88</v>
      </c>
    </row>
    <row r="2866" s="11" customFormat="true" ht="10.95" hidden="false" customHeight="true" outlineLevel="0" collapsed="false">
      <c r="A2866" s="16" t="n">
        <v>45408</v>
      </c>
      <c r="B2866" s="17" t="s">
        <v>1071</v>
      </c>
      <c r="C2866" s="17" t="s">
        <v>788</v>
      </c>
      <c r="D2866" s="17" t="s">
        <v>19</v>
      </c>
      <c r="E2866" s="17" t="s">
        <v>1095</v>
      </c>
      <c r="F2866" s="17" t="s">
        <v>1243</v>
      </c>
      <c r="G2866" s="18" t="n">
        <v>0</v>
      </c>
      <c r="H2866" s="18" t="n">
        <v>27.38</v>
      </c>
      <c r="I2866" s="18" t="n">
        <f aca="false">((I2865 + G2866) - H2866)</f>
        <v>-217884.47</v>
      </c>
      <c r="J2866" s="18" t="n">
        <v>0</v>
      </c>
      <c r="K2866" s="19" t="n">
        <v>0</v>
      </c>
      <c r="L2866" s="17" t="s">
        <v>88</v>
      </c>
    </row>
    <row r="2867" s="11" customFormat="true" ht="10.95" hidden="false" customHeight="true" outlineLevel="0" collapsed="false">
      <c r="A2867" s="16" t="n">
        <v>45408</v>
      </c>
      <c r="B2867" s="17" t="s">
        <v>1071</v>
      </c>
      <c r="C2867" s="17" t="s">
        <v>788</v>
      </c>
      <c r="D2867" s="17" t="s">
        <v>19</v>
      </c>
      <c r="E2867" s="17" t="s">
        <v>1092</v>
      </c>
      <c r="F2867" s="17" t="s">
        <v>1244</v>
      </c>
      <c r="G2867" s="18" t="n">
        <v>0</v>
      </c>
      <c r="H2867" s="18" t="n">
        <v>1630.08</v>
      </c>
      <c r="I2867" s="18" t="n">
        <f aca="false">((I2866 + G2867) - H2867)</f>
        <v>-219514.55</v>
      </c>
      <c r="J2867" s="18" t="n">
        <v>0</v>
      </c>
      <c r="K2867" s="19" t="n">
        <v>0</v>
      </c>
      <c r="L2867" s="17" t="s">
        <v>88</v>
      </c>
    </row>
    <row r="2868" s="11" customFormat="true" ht="10.95" hidden="false" customHeight="true" outlineLevel="0" collapsed="false">
      <c r="A2868" s="16" t="n">
        <v>45408</v>
      </c>
      <c r="B2868" s="17" t="s">
        <v>1071</v>
      </c>
      <c r="C2868" s="17" t="s">
        <v>788</v>
      </c>
      <c r="D2868" s="17" t="s">
        <v>19</v>
      </c>
      <c r="E2868" s="17" t="s">
        <v>1087</v>
      </c>
      <c r="F2868" s="17" t="s">
        <v>1244</v>
      </c>
      <c r="G2868" s="18" t="n">
        <v>0</v>
      </c>
      <c r="H2868" s="18" t="n">
        <v>63.89</v>
      </c>
      <c r="I2868" s="18" t="n">
        <f aca="false">((I2867 + G2868) - H2868)</f>
        <v>-219578.44</v>
      </c>
      <c r="J2868" s="18" t="n">
        <v>0</v>
      </c>
      <c r="K2868" s="19" t="n">
        <v>0</v>
      </c>
      <c r="L2868" s="17" t="s">
        <v>88</v>
      </c>
    </row>
    <row r="2869" s="11" customFormat="true" ht="10.95" hidden="false" customHeight="true" outlineLevel="0" collapsed="false">
      <c r="A2869" s="16" t="n">
        <v>45408</v>
      </c>
      <c r="B2869" s="17" t="s">
        <v>1071</v>
      </c>
      <c r="C2869" s="17" t="s">
        <v>788</v>
      </c>
      <c r="D2869" s="17" t="s">
        <v>19</v>
      </c>
      <c r="E2869" s="17" t="s">
        <v>1094</v>
      </c>
      <c r="F2869" s="17" t="s">
        <v>1244</v>
      </c>
      <c r="G2869" s="18" t="n">
        <v>0</v>
      </c>
      <c r="H2869" s="18" t="n">
        <v>91.27</v>
      </c>
      <c r="I2869" s="18" t="n">
        <f aca="false">((I2868 + G2869) - H2869)</f>
        <v>-219669.71</v>
      </c>
      <c r="J2869" s="18" t="n">
        <v>0</v>
      </c>
      <c r="K2869" s="19" t="n">
        <v>0</v>
      </c>
      <c r="L2869" s="17" t="s">
        <v>88</v>
      </c>
    </row>
    <row r="2870" s="11" customFormat="true" ht="10.95" hidden="false" customHeight="true" outlineLevel="0" collapsed="false">
      <c r="A2870" s="16" t="n">
        <v>45408</v>
      </c>
      <c r="B2870" s="17" t="s">
        <v>1071</v>
      </c>
      <c r="C2870" s="17" t="s">
        <v>788</v>
      </c>
      <c r="D2870" s="17" t="s">
        <v>19</v>
      </c>
      <c r="E2870" s="17" t="s">
        <v>1098</v>
      </c>
      <c r="F2870" s="17" t="s">
        <v>1244</v>
      </c>
      <c r="G2870" s="18" t="n">
        <v>0</v>
      </c>
      <c r="H2870" s="18" t="n">
        <v>273.81</v>
      </c>
      <c r="I2870" s="18" t="n">
        <f aca="false">((I2869 + G2870) - H2870)</f>
        <v>-219943.52</v>
      </c>
      <c r="J2870" s="18" t="n">
        <v>0</v>
      </c>
      <c r="K2870" s="19" t="n">
        <v>0</v>
      </c>
      <c r="L2870" s="17" t="s">
        <v>88</v>
      </c>
    </row>
    <row r="2871" s="11" customFormat="true" ht="10.95" hidden="false" customHeight="true" outlineLevel="0" collapsed="false">
      <c r="A2871" s="16" t="n">
        <v>45408</v>
      </c>
      <c r="B2871" s="17" t="s">
        <v>1071</v>
      </c>
      <c r="C2871" s="17" t="s">
        <v>788</v>
      </c>
      <c r="D2871" s="17" t="s">
        <v>19</v>
      </c>
      <c r="E2871" s="17" t="s">
        <v>1090</v>
      </c>
      <c r="F2871" s="17" t="s">
        <v>1244</v>
      </c>
      <c r="G2871" s="18" t="n">
        <v>0</v>
      </c>
      <c r="H2871" s="18" t="n">
        <v>171.59</v>
      </c>
      <c r="I2871" s="18" t="n">
        <f aca="false">((I2870 + G2871) - H2871)</f>
        <v>-220115.11</v>
      </c>
      <c r="J2871" s="18" t="n">
        <v>0</v>
      </c>
      <c r="K2871" s="19" t="n">
        <v>0</v>
      </c>
      <c r="L2871" s="17" t="s">
        <v>88</v>
      </c>
    </row>
    <row r="2872" s="11" customFormat="true" ht="10.95" hidden="false" customHeight="true" outlineLevel="0" collapsed="false">
      <c r="A2872" s="16" t="n">
        <v>45408</v>
      </c>
      <c r="B2872" s="17" t="s">
        <v>1071</v>
      </c>
      <c r="C2872" s="17" t="s">
        <v>788</v>
      </c>
      <c r="D2872" s="17" t="s">
        <v>19</v>
      </c>
      <c r="E2872" s="17" t="s">
        <v>1083</v>
      </c>
      <c r="F2872" s="17" t="s">
        <v>1245</v>
      </c>
      <c r="G2872" s="18" t="n">
        <v>0</v>
      </c>
      <c r="H2872" s="18" t="n">
        <v>131.43</v>
      </c>
      <c r="I2872" s="18" t="n">
        <f aca="false">((I2871 + G2872) - H2872)</f>
        <v>-220246.54</v>
      </c>
      <c r="J2872" s="18" t="n">
        <v>0</v>
      </c>
      <c r="K2872" s="19" t="n">
        <v>0</v>
      </c>
      <c r="L2872" s="17" t="s">
        <v>88</v>
      </c>
    </row>
    <row r="2873" s="11" customFormat="true" ht="10.95" hidden="false" customHeight="true" outlineLevel="0" collapsed="false">
      <c r="A2873" s="16" t="n">
        <v>45408</v>
      </c>
      <c r="B2873" s="17" t="s">
        <v>1071</v>
      </c>
      <c r="C2873" s="17" t="s">
        <v>788</v>
      </c>
      <c r="D2873" s="17" t="s">
        <v>19</v>
      </c>
      <c r="E2873" s="17" t="s">
        <v>1090</v>
      </c>
      <c r="F2873" s="17" t="s">
        <v>1246</v>
      </c>
      <c r="G2873" s="18" t="n">
        <v>0</v>
      </c>
      <c r="H2873" s="18" t="n">
        <v>686.34</v>
      </c>
      <c r="I2873" s="18" t="n">
        <f aca="false">((I2872 + G2873) - H2873)</f>
        <v>-220932.88</v>
      </c>
      <c r="J2873" s="18" t="n">
        <v>0</v>
      </c>
      <c r="K2873" s="19" t="n">
        <v>0</v>
      </c>
      <c r="L2873" s="17" t="s">
        <v>88</v>
      </c>
    </row>
    <row r="2874" s="11" customFormat="true" ht="10.95" hidden="false" customHeight="true" outlineLevel="0" collapsed="false">
      <c r="A2874" s="16" t="n">
        <v>45408</v>
      </c>
      <c r="B2874" s="17" t="s">
        <v>1071</v>
      </c>
      <c r="C2874" s="17" t="s">
        <v>788</v>
      </c>
      <c r="D2874" s="17" t="s">
        <v>19</v>
      </c>
      <c r="E2874" s="17" t="s">
        <v>1101</v>
      </c>
      <c r="F2874" s="17" t="s">
        <v>1246</v>
      </c>
      <c r="G2874" s="18" t="n">
        <v>0</v>
      </c>
      <c r="H2874" s="18" t="n">
        <v>95.38</v>
      </c>
      <c r="I2874" s="18" t="n">
        <f aca="false">((I2873 + G2874) - H2874)</f>
        <v>-221028.26</v>
      </c>
      <c r="J2874" s="18" t="n">
        <v>0</v>
      </c>
      <c r="K2874" s="19" t="n">
        <v>0</v>
      </c>
      <c r="L2874" s="17" t="s">
        <v>88</v>
      </c>
    </row>
    <row r="2875" s="11" customFormat="true" ht="10.95" hidden="false" customHeight="true" outlineLevel="0" collapsed="false">
      <c r="A2875" s="16" t="n">
        <v>45408</v>
      </c>
      <c r="B2875" s="17" t="s">
        <v>1071</v>
      </c>
      <c r="C2875" s="17" t="s">
        <v>788</v>
      </c>
      <c r="D2875" s="17" t="s">
        <v>19</v>
      </c>
      <c r="E2875" s="17" t="s">
        <v>1088</v>
      </c>
      <c r="F2875" s="17" t="s">
        <v>1246</v>
      </c>
      <c r="G2875" s="18" t="n">
        <v>0</v>
      </c>
      <c r="H2875" s="18" t="n">
        <v>120.48</v>
      </c>
      <c r="I2875" s="18" t="n">
        <f aca="false">((I2874 + G2875) - H2875)</f>
        <v>-221148.74</v>
      </c>
      <c r="J2875" s="18" t="n">
        <v>0</v>
      </c>
      <c r="K2875" s="19" t="n">
        <v>0</v>
      </c>
      <c r="L2875" s="17" t="s">
        <v>88</v>
      </c>
    </row>
    <row r="2876" s="11" customFormat="true" ht="10.95" hidden="false" customHeight="true" outlineLevel="0" collapsed="false">
      <c r="A2876" s="16" t="n">
        <v>45408</v>
      </c>
      <c r="B2876" s="17" t="s">
        <v>1071</v>
      </c>
      <c r="C2876" s="17" t="s">
        <v>788</v>
      </c>
      <c r="D2876" s="17" t="s">
        <v>19</v>
      </c>
      <c r="E2876" s="17" t="s">
        <v>1102</v>
      </c>
      <c r="F2876" s="17" t="s">
        <v>1246</v>
      </c>
      <c r="G2876" s="18" t="n">
        <v>0</v>
      </c>
      <c r="H2876" s="18" t="n">
        <v>100.4</v>
      </c>
      <c r="I2876" s="18" t="n">
        <f aca="false">((I2875 + G2876) - H2876)</f>
        <v>-221249.14</v>
      </c>
      <c r="J2876" s="18" t="n">
        <v>0</v>
      </c>
      <c r="K2876" s="19" t="n">
        <v>0</v>
      </c>
      <c r="L2876" s="17" t="s">
        <v>88</v>
      </c>
    </row>
    <row r="2877" s="11" customFormat="true" ht="10.95" hidden="false" customHeight="true" outlineLevel="0" collapsed="false">
      <c r="A2877" s="16" t="n">
        <v>45413</v>
      </c>
      <c r="B2877" s="17" t="s">
        <v>1071</v>
      </c>
      <c r="C2877" s="17" t="s">
        <v>788</v>
      </c>
      <c r="D2877" s="17" t="s">
        <v>19</v>
      </c>
      <c r="E2877" s="17" t="s">
        <v>1092</v>
      </c>
      <c r="F2877" s="17" t="s">
        <v>1247</v>
      </c>
      <c r="G2877" s="18" t="n">
        <v>0</v>
      </c>
      <c r="H2877" s="18" t="n">
        <v>171</v>
      </c>
      <c r="I2877" s="18" t="n">
        <f aca="false">((I2876 + G2877) - H2877)</f>
        <v>-221420.14</v>
      </c>
      <c r="J2877" s="18" t="n">
        <v>0</v>
      </c>
      <c r="K2877" s="19" t="n">
        <v>0</v>
      </c>
      <c r="L2877" s="17" t="s">
        <v>88</v>
      </c>
    </row>
    <row r="2878" s="11" customFormat="true" ht="10.95" hidden="false" customHeight="true" outlineLevel="0" collapsed="false">
      <c r="A2878" s="16" t="n">
        <v>45435</v>
      </c>
      <c r="B2878" s="17" t="s">
        <v>1071</v>
      </c>
      <c r="C2878" s="17" t="s">
        <v>788</v>
      </c>
      <c r="D2878" s="17" t="s">
        <v>19</v>
      </c>
      <c r="E2878" s="17" t="s">
        <v>1072</v>
      </c>
      <c r="F2878" s="17" t="s">
        <v>1248</v>
      </c>
      <c r="G2878" s="18" t="n">
        <v>0</v>
      </c>
      <c r="H2878" s="18" t="n">
        <v>664.22</v>
      </c>
      <c r="I2878" s="18" t="n">
        <f aca="false">((I2877 + G2878) - H2878)</f>
        <v>-222084.36</v>
      </c>
      <c r="J2878" s="18" t="n">
        <v>0</v>
      </c>
      <c r="K2878" s="19" t="n">
        <v>0</v>
      </c>
      <c r="L2878" s="17" t="s">
        <v>88</v>
      </c>
    </row>
    <row r="2879" s="11" customFormat="true" ht="10.95" hidden="false" customHeight="true" outlineLevel="0" collapsed="false">
      <c r="A2879" s="16" t="n">
        <v>45435</v>
      </c>
      <c r="B2879" s="17" t="s">
        <v>1071</v>
      </c>
      <c r="C2879" s="17" t="s">
        <v>788</v>
      </c>
      <c r="D2879" s="17" t="s">
        <v>19</v>
      </c>
      <c r="E2879" s="17" t="s">
        <v>1074</v>
      </c>
      <c r="F2879" s="17" t="s">
        <v>1248</v>
      </c>
      <c r="G2879" s="18" t="n">
        <v>0</v>
      </c>
      <c r="H2879" s="18" t="n">
        <v>101.48</v>
      </c>
      <c r="I2879" s="18" t="n">
        <f aca="false">((I2878 + G2879) - H2879)</f>
        <v>-222185.84</v>
      </c>
      <c r="J2879" s="18" t="n">
        <v>0</v>
      </c>
      <c r="K2879" s="19" t="n">
        <v>0</v>
      </c>
      <c r="L2879" s="17" t="s">
        <v>88</v>
      </c>
    </row>
    <row r="2880" s="11" customFormat="true" ht="10.95" hidden="false" customHeight="true" outlineLevel="0" collapsed="false">
      <c r="A2880" s="16" t="n">
        <v>45435</v>
      </c>
      <c r="B2880" s="17" t="s">
        <v>1071</v>
      </c>
      <c r="C2880" s="17" t="s">
        <v>788</v>
      </c>
      <c r="D2880" s="17" t="s">
        <v>19</v>
      </c>
      <c r="E2880" s="17" t="s">
        <v>1075</v>
      </c>
      <c r="F2880" s="17" t="s">
        <v>1249</v>
      </c>
      <c r="G2880" s="18" t="n">
        <v>0</v>
      </c>
      <c r="H2880" s="18" t="n">
        <v>3099.72</v>
      </c>
      <c r="I2880" s="18" t="n">
        <f aca="false">((I2879 + G2880) - H2880)</f>
        <v>-225285.56</v>
      </c>
      <c r="J2880" s="18" t="n">
        <v>0</v>
      </c>
      <c r="K2880" s="19" t="n">
        <v>0</v>
      </c>
      <c r="L2880" s="17" t="s">
        <v>88</v>
      </c>
    </row>
    <row r="2881" s="11" customFormat="true" ht="10.95" hidden="false" customHeight="true" outlineLevel="0" collapsed="false">
      <c r="A2881" s="16" t="n">
        <v>45435</v>
      </c>
      <c r="B2881" s="17" t="s">
        <v>1071</v>
      </c>
      <c r="C2881" s="17" t="s">
        <v>788</v>
      </c>
      <c r="D2881" s="17" t="s">
        <v>19</v>
      </c>
      <c r="E2881" s="17" t="s">
        <v>1077</v>
      </c>
      <c r="F2881" s="17" t="s">
        <v>1250</v>
      </c>
      <c r="G2881" s="18" t="n">
        <v>0</v>
      </c>
      <c r="H2881" s="18" t="n">
        <v>964.05</v>
      </c>
      <c r="I2881" s="18" t="n">
        <f aca="false">((I2880 + G2881) - H2881)</f>
        <v>-226249.61</v>
      </c>
      <c r="J2881" s="18" t="n">
        <v>0</v>
      </c>
      <c r="K2881" s="19" t="n">
        <v>0</v>
      </c>
      <c r="L2881" s="17" t="s">
        <v>88</v>
      </c>
    </row>
    <row r="2882" s="11" customFormat="true" ht="10.95" hidden="false" customHeight="true" outlineLevel="0" collapsed="false">
      <c r="A2882" s="16" t="n">
        <v>45435</v>
      </c>
      <c r="B2882" s="17" t="s">
        <v>1071</v>
      </c>
      <c r="C2882" s="17" t="s">
        <v>788</v>
      </c>
      <c r="D2882" s="17" t="s">
        <v>19</v>
      </c>
      <c r="E2882" s="17" t="s">
        <v>1202</v>
      </c>
      <c r="F2882" s="17" t="s">
        <v>1250</v>
      </c>
      <c r="G2882" s="18" t="n">
        <v>0</v>
      </c>
      <c r="H2882" s="18" t="n">
        <v>332.11</v>
      </c>
      <c r="I2882" s="18" t="n">
        <f aca="false">((I2881 + G2882) - H2882)</f>
        <v>-226581.72</v>
      </c>
      <c r="J2882" s="18" t="n">
        <v>0</v>
      </c>
      <c r="K2882" s="19" t="n">
        <v>0</v>
      </c>
      <c r="L2882" s="17" t="s">
        <v>88</v>
      </c>
    </row>
    <row r="2883" s="11" customFormat="true" ht="10.95" hidden="false" customHeight="true" outlineLevel="0" collapsed="false">
      <c r="A2883" s="16" t="n">
        <v>45435</v>
      </c>
      <c r="B2883" s="17" t="s">
        <v>1071</v>
      </c>
      <c r="C2883" s="17" t="s">
        <v>788</v>
      </c>
      <c r="D2883" s="17" t="s">
        <v>19</v>
      </c>
      <c r="E2883" s="17" t="s">
        <v>1080</v>
      </c>
      <c r="F2883" s="17" t="s">
        <v>1250</v>
      </c>
      <c r="G2883" s="18" t="n">
        <v>0</v>
      </c>
      <c r="H2883" s="18" t="n">
        <v>202.96</v>
      </c>
      <c r="I2883" s="18" t="n">
        <f aca="false">((I2882 + G2883) - H2883)</f>
        <v>-226784.68</v>
      </c>
      <c r="J2883" s="18" t="n">
        <v>0</v>
      </c>
      <c r="K2883" s="19" t="n">
        <v>0</v>
      </c>
      <c r="L2883" s="17" t="s">
        <v>88</v>
      </c>
    </row>
    <row r="2884" s="11" customFormat="true" ht="10.95" hidden="false" customHeight="true" outlineLevel="0" collapsed="false">
      <c r="A2884" s="16" t="n">
        <v>45435</v>
      </c>
      <c r="B2884" s="17" t="s">
        <v>1071</v>
      </c>
      <c r="C2884" s="17" t="s">
        <v>788</v>
      </c>
      <c r="D2884" s="17" t="s">
        <v>19</v>
      </c>
      <c r="E2884" s="17" t="s">
        <v>1081</v>
      </c>
      <c r="F2884" s="17" t="s">
        <v>1251</v>
      </c>
      <c r="G2884" s="18" t="n">
        <v>0</v>
      </c>
      <c r="H2884" s="18" t="n">
        <v>180</v>
      </c>
      <c r="I2884" s="18" t="n">
        <f aca="false">((I2883 + G2884) - H2884)</f>
        <v>-226964.68</v>
      </c>
      <c r="J2884" s="18" t="n">
        <v>0</v>
      </c>
      <c r="K2884" s="19" t="n">
        <v>0</v>
      </c>
      <c r="L2884" s="17" t="s">
        <v>88</v>
      </c>
    </row>
    <row r="2885" s="11" customFormat="true" ht="10.95" hidden="false" customHeight="true" outlineLevel="0" collapsed="false">
      <c r="A2885" s="16" t="n">
        <v>45435</v>
      </c>
      <c r="B2885" s="17" t="s">
        <v>1071</v>
      </c>
      <c r="C2885" s="17" t="s">
        <v>788</v>
      </c>
      <c r="D2885" s="17" t="s">
        <v>19</v>
      </c>
      <c r="E2885" s="17" t="s">
        <v>1107</v>
      </c>
      <c r="F2885" s="17" t="s">
        <v>1252</v>
      </c>
      <c r="G2885" s="18" t="n">
        <v>0</v>
      </c>
      <c r="H2885" s="18" t="n">
        <v>365.5</v>
      </c>
      <c r="I2885" s="18" t="n">
        <f aca="false">((I2884 + G2885) - H2885)</f>
        <v>-227330.18</v>
      </c>
      <c r="J2885" s="18" t="n">
        <v>0</v>
      </c>
      <c r="K2885" s="19" t="n">
        <v>0</v>
      </c>
      <c r="L2885" s="17" t="s">
        <v>88</v>
      </c>
    </row>
    <row r="2886" s="11" customFormat="true" ht="10.95" hidden="false" customHeight="true" outlineLevel="0" collapsed="false">
      <c r="A2886" s="16" t="n">
        <v>45435</v>
      </c>
      <c r="B2886" s="17" t="s">
        <v>1071</v>
      </c>
      <c r="C2886" s="17" t="s">
        <v>788</v>
      </c>
      <c r="D2886" s="17" t="s">
        <v>19</v>
      </c>
      <c r="E2886" s="17" t="s">
        <v>1171</v>
      </c>
      <c r="F2886" s="17" t="s">
        <v>1252</v>
      </c>
      <c r="G2886" s="18" t="n">
        <v>0</v>
      </c>
      <c r="H2886" s="18" t="n">
        <v>152.28</v>
      </c>
      <c r="I2886" s="18" t="n">
        <f aca="false">((I2885 + G2886) - H2886)</f>
        <v>-227482.46</v>
      </c>
      <c r="J2886" s="18" t="n">
        <v>0</v>
      </c>
      <c r="K2886" s="19" t="n">
        <v>0</v>
      </c>
      <c r="L2886" s="17" t="s">
        <v>88</v>
      </c>
    </row>
    <row r="2887" s="11" customFormat="true" ht="10.95" hidden="false" customHeight="true" outlineLevel="0" collapsed="false">
      <c r="A2887" s="16" t="n">
        <v>45435</v>
      </c>
      <c r="B2887" s="17" t="s">
        <v>1071</v>
      </c>
      <c r="C2887" s="17" t="s">
        <v>788</v>
      </c>
      <c r="D2887" s="17" t="s">
        <v>19</v>
      </c>
      <c r="E2887" s="17" t="s">
        <v>1109</v>
      </c>
      <c r="F2887" s="17" t="s">
        <v>1252</v>
      </c>
      <c r="G2887" s="18" t="n">
        <v>0</v>
      </c>
      <c r="H2887" s="18" t="n">
        <v>274.12</v>
      </c>
      <c r="I2887" s="18" t="n">
        <f aca="false">((I2886 + G2887) - H2887)</f>
        <v>-227756.58</v>
      </c>
      <c r="J2887" s="18" t="n">
        <v>0</v>
      </c>
      <c r="K2887" s="19" t="n">
        <v>0</v>
      </c>
      <c r="L2887" s="17" t="s">
        <v>88</v>
      </c>
    </row>
    <row r="2888" s="11" customFormat="true" ht="10.95" hidden="false" customHeight="true" outlineLevel="0" collapsed="false">
      <c r="A2888" s="16" t="n">
        <v>45435</v>
      </c>
      <c r="B2888" s="17" t="s">
        <v>1071</v>
      </c>
      <c r="C2888" s="17" t="s">
        <v>788</v>
      </c>
      <c r="D2888" s="17" t="s">
        <v>19</v>
      </c>
      <c r="E2888" s="17" t="s">
        <v>1110</v>
      </c>
      <c r="F2888" s="17" t="s">
        <v>1252</v>
      </c>
      <c r="G2888" s="18" t="n">
        <v>0</v>
      </c>
      <c r="H2888" s="18" t="n">
        <v>91.38</v>
      </c>
      <c r="I2888" s="18" t="n">
        <f aca="false">((I2887 + G2888) - H2888)</f>
        <v>-227847.96</v>
      </c>
      <c r="J2888" s="18" t="n">
        <v>0</v>
      </c>
      <c r="K2888" s="19" t="n">
        <v>0</v>
      </c>
      <c r="L2888" s="17" t="s">
        <v>88</v>
      </c>
    </row>
    <row r="2889" s="11" customFormat="true" ht="10.95" hidden="false" customHeight="true" outlineLevel="0" collapsed="false">
      <c r="A2889" s="16" t="n">
        <v>45435</v>
      </c>
      <c r="B2889" s="17" t="s">
        <v>1071</v>
      </c>
      <c r="C2889" s="17" t="s">
        <v>788</v>
      </c>
      <c r="D2889" s="17" t="s">
        <v>19</v>
      </c>
      <c r="E2889" s="17" t="s">
        <v>1111</v>
      </c>
      <c r="F2889" s="17" t="s">
        <v>1252</v>
      </c>
      <c r="G2889" s="18" t="n">
        <v>0</v>
      </c>
      <c r="H2889" s="18" t="n">
        <v>1550.63</v>
      </c>
      <c r="I2889" s="18" t="n">
        <f aca="false">((I2888 + G2889) - H2889)</f>
        <v>-229398.59</v>
      </c>
      <c r="J2889" s="18" t="n">
        <v>0</v>
      </c>
      <c r="K2889" s="19" t="n">
        <v>0</v>
      </c>
      <c r="L2889" s="17" t="s">
        <v>88</v>
      </c>
    </row>
    <row r="2890" s="11" customFormat="true" ht="10.95" hidden="false" customHeight="true" outlineLevel="0" collapsed="false">
      <c r="A2890" s="16" t="n">
        <v>45435</v>
      </c>
      <c r="B2890" s="17" t="s">
        <v>1071</v>
      </c>
      <c r="C2890" s="17" t="s">
        <v>788</v>
      </c>
      <c r="D2890" s="17" t="s">
        <v>19</v>
      </c>
      <c r="E2890" s="17" t="s">
        <v>1112</v>
      </c>
      <c r="F2890" s="17" t="s">
        <v>1252</v>
      </c>
      <c r="G2890" s="18" t="n">
        <v>0</v>
      </c>
      <c r="H2890" s="18" t="n">
        <v>415.35</v>
      </c>
      <c r="I2890" s="18" t="n">
        <f aca="false">((I2889 + G2890) - H2890)</f>
        <v>-229813.94</v>
      </c>
      <c r="J2890" s="18" t="n">
        <v>0</v>
      </c>
      <c r="K2890" s="19" t="n">
        <v>0</v>
      </c>
      <c r="L2890" s="17" t="s">
        <v>88</v>
      </c>
    </row>
    <row r="2891" s="11" customFormat="true" ht="10.95" hidden="false" customHeight="true" outlineLevel="0" collapsed="false">
      <c r="A2891" s="16" t="n">
        <v>45435</v>
      </c>
      <c r="B2891" s="17" t="s">
        <v>1071</v>
      </c>
      <c r="C2891" s="17" t="s">
        <v>788</v>
      </c>
      <c r="D2891" s="17" t="s">
        <v>19</v>
      </c>
      <c r="E2891" s="17" t="s">
        <v>1172</v>
      </c>
      <c r="F2891" s="17" t="s">
        <v>1252</v>
      </c>
      <c r="G2891" s="18" t="n">
        <v>0</v>
      </c>
      <c r="H2891" s="18" t="n">
        <v>738.4</v>
      </c>
      <c r="I2891" s="18" t="n">
        <f aca="false">((I2890 + G2891) - H2891)</f>
        <v>-230552.34</v>
      </c>
      <c r="J2891" s="18" t="n">
        <v>0</v>
      </c>
      <c r="K2891" s="19" t="n">
        <v>0</v>
      </c>
      <c r="L2891" s="17" t="s">
        <v>88</v>
      </c>
    </row>
    <row r="2892" s="11" customFormat="true" ht="10.95" hidden="false" customHeight="true" outlineLevel="0" collapsed="false">
      <c r="A2892" s="16" t="n">
        <v>45435</v>
      </c>
      <c r="B2892" s="17" t="s">
        <v>1071</v>
      </c>
      <c r="C2892" s="17" t="s">
        <v>788</v>
      </c>
      <c r="D2892" s="17" t="s">
        <v>19</v>
      </c>
      <c r="E2892" s="17" t="s">
        <v>1211</v>
      </c>
      <c r="F2892" s="17" t="s">
        <v>1252</v>
      </c>
      <c r="G2892" s="18" t="n">
        <v>0</v>
      </c>
      <c r="H2892" s="18" t="n">
        <v>274.13</v>
      </c>
      <c r="I2892" s="18" t="n">
        <f aca="false">((I2891 + G2892) - H2892)</f>
        <v>-230826.47</v>
      </c>
      <c r="J2892" s="18" t="n">
        <v>0</v>
      </c>
      <c r="K2892" s="19" t="n">
        <v>0</v>
      </c>
      <c r="L2892" s="17" t="s">
        <v>88</v>
      </c>
    </row>
    <row r="2893" s="11" customFormat="true" ht="10.95" hidden="false" customHeight="true" outlineLevel="0" collapsed="false">
      <c r="A2893" s="16" t="n">
        <v>45435</v>
      </c>
      <c r="B2893" s="17" t="s">
        <v>1071</v>
      </c>
      <c r="C2893" s="17" t="s">
        <v>788</v>
      </c>
      <c r="D2893" s="17" t="s">
        <v>19</v>
      </c>
      <c r="E2893" s="17" t="s">
        <v>1107</v>
      </c>
      <c r="F2893" s="17" t="s">
        <v>1252</v>
      </c>
      <c r="G2893" s="18" t="n">
        <v>0</v>
      </c>
      <c r="H2893" s="18" t="n">
        <v>365.51</v>
      </c>
      <c r="I2893" s="18" t="n">
        <f aca="false">((I2892 + G2893) - H2893)</f>
        <v>-231191.98</v>
      </c>
      <c r="J2893" s="18" t="n">
        <v>0</v>
      </c>
      <c r="K2893" s="19" t="n">
        <v>0</v>
      </c>
      <c r="L2893" s="17" t="s">
        <v>88</v>
      </c>
    </row>
    <row r="2894" s="11" customFormat="true" ht="10.95" hidden="false" customHeight="true" outlineLevel="0" collapsed="false">
      <c r="A2894" s="16" t="n">
        <v>45435</v>
      </c>
      <c r="B2894" s="17" t="s">
        <v>1071</v>
      </c>
      <c r="C2894" s="17" t="s">
        <v>788</v>
      </c>
      <c r="D2894" s="17" t="s">
        <v>19</v>
      </c>
      <c r="E2894" s="17" t="s">
        <v>1171</v>
      </c>
      <c r="F2894" s="17" t="s">
        <v>1252</v>
      </c>
      <c r="G2894" s="18" t="n">
        <v>0</v>
      </c>
      <c r="H2894" s="18" t="n">
        <v>152.29</v>
      </c>
      <c r="I2894" s="18" t="n">
        <f aca="false">((I2893 + G2894) - H2894)</f>
        <v>-231344.27</v>
      </c>
      <c r="J2894" s="18" t="n">
        <v>0</v>
      </c>
      <c r="K2894" s="19" t="n">
        <v>0</v>
      </c>
      <c r="L2894" s="17" t="s">
        <v>88</v>
      </c>
    </row>
    <row r="2895" s="11" customFormat="true" ht="10.95" hidden="false" customHeight="true" outlineLevel="0" collapsed="false">
      <c r="A2895" s="16" t="n">
        <v>45435</v>
      </c>
      <c r="B2895" s="17" t="s">
        <v>1071</v>
      </c>
      <c r="C2895" s="17" t="s">
        <v>788</v>
      </c>
      <c r="D2895" s="17" t="s">
        <v>19</v>
      </c>
      <c r="E2895" s="17" t="s">
        <v>1109</v>
      </c>
      <c r="F2895" s="17" t="s">
        <v>1252</v>
      </c>
      <c r="G2895" s="18" t="n">
        <v>0</v>
      </c>
      <c r="H2895" s="18" t="n">
        <v>274.13</v>
      </c>
      <c r="I2895" s="18" t="n">
        <f aca="false">((I2894 + G2895) - H2895)</f>
        <v>-231618.4</v>
      </c>
      <c r="J2895" s="18" t="n">
        <v>0</v>
      </c>
      <c r="K2895" s="19" t="n">
        <v>0</v>
      </c>
      <c r="L2895" s="17" t="s">
        <v>88</v>
      </c>
    </row>
    <row r="2896" s="11" customFormat="true" ht="10.95" hidden="false" customHeight="true" outlineLevel="0" collapsed="false">
      <c r="A2896" s="16" t="n">
        <v>45435</v>
      </c>
      <c r="B2896" s="17" t="s">
        <v>1071</v>
      </c>
      <c r="C2896" s="17" t="s">
        <v>788</v>
      </c>
      <c r="D2896" s="17" t="s">
        <v>19</v>
      </c>
      <c r="E2896" s="17" t="s">
        <v>1110</v>
      </c>
      <c r="F2896" s="17" t="s">
        <v>1252</v>
      </c>
      <c r="G2896" s="18" t="n">
        <v>0</v>
      </c>
      <c r="H2896" s="18" t="n">
        <v>91.38</v>
      </c>
      <c r="I2896" s="18" t="n">
        <f aca="false">((I2895 + G2896) - H2896)</f>
        <v>-231709.78</v>
      </c>
      <c r="J2896" s="18" t="n">
        <v>0</v>
      </c>
      <c r="K2896" s="19" t="n">
        <v>0</v>
      </c>
      <c r="L2896" s="17" t="s">
        <v>88</v>
      </c>
    </row>
    <row r="2897" s="11" customFormat="true" ht="10.95" hidden="false" customHeight="true" outlineLevel="0" collapsed="false">
      <c r="A2897" s="16" t="n">
        <v>45435</v>
      </c>
      <c r="B2897" s="17" t="s">
        <v>1071</v>
      </c>
      <c r="C2897" s="17" t="s">
        <v>788</v>
      </c>
      <c r="D2897" s="17" t="s">
        <v>19</v>
      </c>
      <c r="E2897" s="17" t="s">
        <v>1111</v>
      </c>
      <c r="F2897" s="17" t="s">
        <v>1252</v>
      </c>
      <c r="G2897" s="18" t="n">
        <v>0</v>
      </c>
      <c r="H2897" s="18" t="n">
        <v>1550.63</v>
      </c>
      <c r="I2897" s="18" t="n">
        <f aca="false">((I2896 + G2897) - H2897)</f>
        <v>-233260.41</v>
      </c>
      <c r="J2897" s="18" t="n">
        <v>0</v>
      </c>
      <c r="K2897" s="19" t="n">
        <v>0</v>
      </c>
      <c r="L2897" s="17" t="s">
        <v>88</v>
      </c>
    </row>
    <row r="2898" s="11" customFormat="true" ht="10.95" hidden="false" customHeight="true" outlineLevel="0" collapsed="false">
      <c r="A2898" s="16" t="n">
        <v>45435</v>
      </c>
      <c r="B2898" s="17" t="s">
        <v>1071</v>
      </c>
      <c r="C2898" s="17" t="s">
        <v>788</v>
      </c>
      <c r="D2898" s="17" t="s">
        <v>19</v>
      </c>
      <c r="E2898" s="17" t="s">
        <v>1112</v>
      </c>
      <c r="F2898" s="17" t="s">
        <v>1252</v>
      </c>
      <c r="G2898" s="18" t="n">
        <v>0</v>
      </c>
      <c r="H2898" s="18" t="n">
        <v>415.35</v>
      </c>
      <c r="I2898" s="18" t="n">
        <f aca="false">((I2897 + G2898) - H2898)</f>
        <v>-233675.76</v>
      </c>
      <c r="J2898" s="18" t="n">
        <v>0</v>
      </c>
      <c r="K2898" s="19" t="n">
        <v>0</v>
      </c>
      <c r="L2898" s="17" t="s">
        <v>88</v>
      </c>
    </row>
    <row r="2899" s="11" customFormat="true" ht="10.95" hidden="false" customHeight="true" outlineLevel="0" collapsed="false">
      <c r="A2899" s="16" t="n">
        <v>45435</v>
      </c>
      <c r="B2899" s="17" t="s">
        <v>1071</v>
      </c>
      <c r="C2899" s="17" t="s">
        <v>788</v>
      </c>
      <c r="D2899" s="17" t="s">
        <v>19</v>
      </c>
      <c r="E2899" s="17" t="s">
        <v>1172</v>
      </c>
      <c r="F2899" s="17" t="s">
        <v>1252</v>
      </c>
      <c r="G2899" s="18" t="n">
        <v>0</v>
      </c>
      <c r="H2899" s="18" t="n">
        <v>738.4</v>
      </c>
      <c r="I2899" s="18" t="n">
        <f aca="false">((I2898 + G2899) - H2899)</f>
        <v>-234414.16</v>
      </c>
      <c r="J2899" s="18" t="n">
        <v>0</v>
      </c>
      <c r="K2899" s="19" t="n">
        <v>0</v>
      </c>
      <c r="L2899" s="17" t="s">
        <v>88</v>
      </c>
    </row>
    <row r="2900" s="11" customFormat="true" ht="10.95" hidden="false" customHeight="true" outlineLevel="0" collapsed="false">
      <c r="A2900" s="16" t="n">
        <v>45435</v>
      </c>
      <c r="B2900" s="17" t="s">
        <v>1071</v>
      </c>
      <c r="C2900" s="17" t="s">
        <v>788</v>
      </c>
      <c r="D2900" s="17" t="s">
        <v>19</v>
      </c>
      <c r="E2900" s="17" t="s">
        <v>1211</v>
      </c>
      <c r="F2900" s="17" t="s">
        <v>1252</v>
      </c>
      <c r="G2900" s="18" t="n">
        <v>0</v>
      </c>
      <c r="H2900" s="18" t="n">
        <v>274.13</v>
      </c>
      <c r="I2900" s="18" t="n">
        <f aca="false">((I2899 + G2900) - H2900)</f>
        <v>-234688.29</v>
      </c>
      <c r="J2900" s="18" t="n">
        <v>0</v>
      </c>
      <c r="K2900" s="19" t="n">
        <v>0</v>
      </c>
      <c r="L2900" s="17" t="s">
        <v>88</v>
      </c>
    </row>
    <row r="2901" s="11" customFormat="true" ht="10.95" hidden="false" customHeight="true" outlineLevel="0" collapsed="false">
      <c r="A2901" s="16" t="n">
        <v>45435</v>
      </c>
      <c r="B2901" s="17" t="s">
        <v>1071</v>
      </c>
      <c r="C2901" s="17" t="s">
        <v>788</v>
      </c>
      <c r="D2901" s="17" t="s">
        <v>19</v>
      </c>
      <c r="E2901" s="17" t="s">
        <v>1107</v>
      </c>
      <c r="F2901" s="17" t="s">
        <v>1252</v>
      </c>
      <c r="G2901" s="18" t="n">
        <v>0</v>
      </c>
      <c r="H2901" s="18" t="n">
        <v>365.51</v>
      </c>
      <c r="I2901" s="18" t="n">
        <f aca="false">((I2900 + G2901) - H2901)</f>
        <v>-235053.8</v>
      </c>
      <c r="J2901" s="18" t="n">
        <v>0</v>
      </c>
      <c r="K2901" s="19" t="n">
        <v>0</v>
      </c>
      <c r="L2901" s="17" t="s">
        <v>88</v>
      </c>
    </row>
    <row r="2902" s="11" customFormat="true" ht="10.95" hidden="false" customHeight="true" outlineLevel="0" collapsed="false">
      <c r="A2902" s="16" t="n">
        <v>45435</v>
      </c>
      <c r="B2902" s="17" t="s">
        <v>1071</v>
      </c>
      <c r="C2902" s="17" t="s">
        <v>788</v>
      </c>
      <c r="D2902" s="17" t="s">
        <v>19</v>
      </c>
      <c r="E2902" s="17" t="s">
        <v>1171</v>
      </c>
      <c r="F2902" s="17" t="s">
        <v>1252</v>
      </c>
      <c r="G2902" s="18" t="n">
        <v>0</v>
      </c>
      <c r="H2902" s="18" t="n">
        <v>152.29</v>
      </c>
      <c r="I2902" s="18" t="n">
        <f aca="false">((I2901 + G2902) - H2902)</f>
        <v>-235206.09</v>
      </c>
      <c r="J2902" s="18" t="n">
        <v>0</v>
      </c>
      <c r="K2902" s="19" t="n">
        <v>0</v>
      </c>
      <c r="L2902" s="17" t="s">
        <v>88</v>
      </c>
    </row>
    <row r="2903" s="11" customFormat="true" ht="10.95" hidden="false" customHeight="true" outlineLevel="0" collapsed="false">
      <c r="A2903" s="16" t="n">
        <v>45435</v>
      </c>
      <c r="B2903" s="17" t="s">
        <v>1071</v>
      </c>
      <c r="C2903" s="17" t="s">
        <v>788</v>
      </c>
      <c r="D2903" s="17" t="s">
        <v>19</v>
      </c>
      <c r="E2903" s="17" t="s">
        <v>1109</v>
      </c>
      <c r="F2903" s="17" t="s">
        <v>1252</v>
      </c>
      <c r="G2903" s="18" t="n">
        <v>0</v>
      </c>
      <c r="H2903" s="18" t="n">
        <v>274.13</v>
      </c>
      <c r="I2903" s="18" t="n">
        <f aca="false">((I2902 + G2903) - H2903)</f>
        <v>-235480.22</v>
      </c>
      <c r="J2903" s="18" t="n">
        <v>0</v>
      </c>
      <c r="K2903" s="19" t="n">
        <v>0</v>
      </c>
      <c r="L2903" s="17" t="s">
        <v>88</v>
      </c>
    </row>
    <row r="2904" s="11" customFormat="true" ht="10.95" hidden="false" customHeight="true" outlineLevel="0" collapsed="false">
      <c r="A2904" s="16" t="n">
        <v>45435</v>
      </c>
      <c r="B2904" s="17" t="s">
        <v>1071</v>
      </c>
      <c r="C2904" s="17" t="s">
        <v>788</v>
      </c>
      <c r="D2904" s="17" t="s">
        <v>19</v>
      </c>
      <c r="E2904" s="17" t="s">
        <v>1110</v>
      </c>
      <c r="F2904" s="17" t="s">
        <v>1252</v>
      </c>
      <c r="G2904" s="18" t="n">
        <v>0</v>
      </c>
      <c r="H2904" s="18" t="n">
        <v>91.38</v>
      </c>
      <c r="I2904" s="18" t="n">
        <f aca="false">((I2903 + G2904) - H2904)</f>
        <v>-235571.6</v>
      </c>
      <c r="J2904" s="18" t="n">
        <v>0</v>
      </c>
      <c r="K2904" s="19" t="n">
        <v>0</v>
      </c>
      <c r="L2904" s="17" t="s">
        <v>88</v>
      </c>
    </row>
    <row r="2905" s="11" customFormat="true" ht="10.95" hidden="false" customHeight="true" outlineLevel="0" collapsed="false">
      <c r="A2905" s="16" t="n">
        <v>45435</v>
      </c>
      <c r="B2905" s="17" t="s">
        <v>1071</v>
      </c>
      <c r="C2905" s="17" t="s">
        <v>788</v>
      </c>
      <c r="D2905" s="17" t="s">
        <v>19</v>
      </c>
      <c r="E2905" s="17" t="s">
        <v>1111</v>
      </c>
      <c r="F2905" s="17" t="s">
        <v>1252</v>
      </c>
      <c r="G2905" s="18" t="n">
        <v>0</v>
      </c>
      <c r="H2905" s="18" t="n">
        <v>1550.63</v>
      </c>
      <c r="I2905" s="18" t="n">
        <f aca="false">((I2904 + G2905) - H2905)</f>
        <v>-237122.23</v>
      </c>
      <c r="J2905" s="18" t="n">
        <v>0</v>
      </c>
      <c r="K2905" s="19" t="n">
        <v>0</v>
      </c>
      <c r="L2905" s="17" t="s">
        <v>88</v>
      </c>
    </row>
    <row r="2906" s="11" customFormat="true" ht="10.95" hidden="false" customHeight="true" outlineLevel="0" collapsed="false">
      <c r="A2906" s="16" t="n">
        <v>45435</v>
      </c>
      <c r="B2906" s="17" t="s">
        <v>1071</v>
      </c>
      <c r="C2906" s="17" t="s">
        <v>788</v>
      </c>
      <c r="D2906" s="17" t="s">
        <v>19</v>
      </c>
      <c r="E2906" s="17" t="s">
        <v>1112</v>
      </c>
      <c r="F2906" s="17" t="s">
        <v>1252</v>
      </c>
      <c r="G2906" s="18" t="n">
        <v>0</v>
      </c>
      <c r="H2906" s="18" t="n">
        <v>415.35</v>
      </c>
      <c r="I2906" s="18" t="n">
        <f aca="false">((I2905 + G2906) - H2906)</f>
        <v>-237537.58</v>
      </c>
      <c r="J2906" s="18" t="n">
        <v>0</v>
      </c>
      <c r="K2906" s="19" t="n">
        <v>0</v>
      </c>
      <c r="L2906" s="17" t="s">
        <v>88</v>
      </c>
    </row>
    <row r="2907" s="11" customFormat="true" ht="10.95" hidden="false" customHeight="true" outlineLevel="0" collapsed="false">
      <c r="A2907" s="16" t="n">
        <v>45435</v>
      </c>
      <c r="B2907" s="17" t="s">
        <v>1071</v>
      </c>
      <c r="C2907" s="17" t="s">
        <v>788</v>
      </c>
      <c r="D2907" s="17" t="s">
        <v>19</v>
      </c>
      <c r="E2907" s="17" t="s">
        <v>1172</v>
      </c>
      <c r="F2907" s="17" t="s">
        <v>1252</v>
      </c>
      <c r="G2907" s="18" t="n">
        <v>0</v>
      </c>
      <c r="H2907" s="18" t="n">
        <v>738.4</v>
      </c>
      <c r="I2907" s="18" t="n">
        <f aca="false">((I2906 + G2907) - H2907)</f>
        <v>-238275.98</v>
      </c>
      <c r="J2907" s="18" t="n">
        <v>0</v>
      </c>
      <c r="K2907" s="19" t="n">
        <v>0</v>
      </c>
      <c r="L2907" s="17" t="s">
        <v>88</v>
      </c>
    </row>
    <row r="2908" s="11" customFormat="true" ht="10.95" hidden="false" customHeight="true" outlineLevel="0" collapsed="false">
      <c r="A2908" s="16" t="n">
        <v>45435</v>
      </c>
      <c r="B2908" s="17" t="s">
        <v>1071</v>
      </c>
      <c r="C2908" s="17" t="s">
        <v>788</v>
      </c>
      <c r="D2908" s="17" t="s">
        <v>19</v>
      </c>
      <c r="E2908" s="17" t="s">
        <v>1211</v>
      </c>
      <c r="F2908" s="17" t="s">
        <v>1252</v>
      </c>
      <c r="G2908" s="18" t="n">
        <v>0</v>
      </c>
      <c r="H2908" s="18" t="n">
        <v>274.13</v>
      </c>
      <c r="I2908" s="18" t="n">
        <f aca="false">((I2907 + G2908) - H2908)</f>
        <v>-238550.11</v>
      </c>
      <c r="J2908" s="18" t="n">
        <v>0</v>
      </c>
      <c r="K2908" s="19" t="n">
        <v>0</v>
      </c>
      <c r="L2908" s="17" t="s">
        <v>88</v>
      </c>
    </row>
    <row r="2909" s="11" customFormat="true" ht="10.95" hidden="false" customHeight="true" outlineLevel="0" collapsed="false">
      <c r="A2909" s="16" t="n">
        <v>45435</v>
      </c>
      <c r="B2909" s="17" t="s">
        <v>1071</v>
      </c>
      <c r="C2909" s="17" t="s">
        <v>788</v>
      </c>
      <c r="D2909" s="17" t="s">
        <v>19</v>
      </c>
      <c r="E2909" s="17" t="s">
        <v>1083</v>
      </c>
      <c r="F2909" s="17" t="s">
        <v>1253</v>
      </c>
      <c r="G2909" s="18" t="n">
        <v>0</v>
      </c>
      <c r="H2909" s="18" t="n">
        <v>265.82</v>
      </c>
      <c r="I2909" s="18" t="n">
        <f aca="false">((I2908 + G2909) - H2909)</f>
        <v>-238815.93</v>
      </c>
      <c r="J2909" s="18" t="n">
        <v>0</v>
      </c>
      <c r="K2909" s="19" t="n">
        <v>0</v>
      </c>
      <c r="L2909" s="17" t="s">
        <v>88</v>
      </c>
    </row>
    <row r="2910" s="11" customFormat="true" ht="10.95" hidden="false" customHeight="true" outlineLevel="0" collapsed="false">
      <c r="A2910" s="16" t="n">
        <v>45435</v>
      </c>
      <c r="B2910" s="17" t="s">
        <v>1071</v>
      </c>
      <c r="C2910" s="17" t="s">
        <v>788</v>
      </c>
      <c r="D2910" s="17" t="s">
        <v>19</v>
      </c>
      <c r="E2910" s="17" t="s">
        <v>1085</v>
      </c>
      <c r="F2910" s="17" t="s">
        <v>1254</v>
      </c>
      <c r="G2910" s="18" t="n">
        <v>0</v>
      </c>
      <c r="H2910" s="18" t="n">
        <v>583.79</v>
      </c>
      <c r="I2910" s="18" t="n">
        <f aca="false">((I2909 + G2910) - H2910)</f>
        <v>-239399.72</v>
      </c>
      <c r="J2910" s="18" t="n">
        <v>0</v>
      </c>
      <c r="K2910" s="19" t="n">
        <v>0</v>
      </c>
      <c r="L2910" s="17" t="s">
        <v>88</v>
      </c>
    </row>
    <row r="2911" s="11" customFormat="true" ht="10.95" hidden="false" customHeight="true" outlineLevel="0" collapsed="false">
      <c r="A2911" s="16" t="n">
        <v>45435</v>
      </c>
      <c r="B2911" s="17" t="s">
        <v>1071</v>
      </c>
      <c r="C2911" s="17" t="s">
        <v>788</v>
      </c>
      <c r="D2911" s="17" t="s">
        <v>19</v>
      </c>
      <c r="E2911" s="17" t="s">
        <v>1087</v>
      </c>
      <c r="F2911" s="17" t="s">
        <v>1254</v>
      </c>
      <c r="G2911" s="18" t="n">
        <v>0</v>
      </c>
      <c r="H2911" s="18" t="n">
        <v>71.07</v>
      </c>
      <c r="I2911" s="18" t="n">
        <f aca="false">((I2910 + G2911) - H2911)</f>
        <v>-239470.79</v>
      </c>
      <c r="J2911" s="18" t="n">
        <v>0</v>
      </c>
      <c r="K2911" s="19" t="n">
        <v>0</v>
      </c>
      <c r="L2911" s="17" t="s">
        <v>88</v>
      </c>
    </row>
    <row r="2912" s="11" customFormat="true" ht="10.95" hidden="false" customHeight="true" outlineLevel="0" collapsed="false">
      <c r="A2912" s="16" t="n">
        <v>45435</v>
      </c>
      <c r="B2912" s="17" t="s">
        <v>1071</v>
      </c>
      <c r="C2912" s="17" t="s">
        <v>788</v>
      </c>
      <c r="D2912" s="17" t="s">
        <v>19</v>
      </c>
      <c r="E2912" s="17" t="s">
        <v>1089</v>
      </c>
      <c r="F2912" s="17" t="s">
        <v>1254</v>
      </c>
      <c r="G2912" s="18" t="n">
        <v>0</v>
      </c>
      <c r="H2912" s="18" t="n">
        <v>138.45</v>
      </c>
      <c r="I2912" s="18" t="n">
        <f aca="false">((I2911 + G2912) - H2912)</f>
        <v>-239609.24</v>
      </c>
      <c r="J2912" s="18" t="n">
        <v>0</v>
      </c>
      <c r="K2912" s="19" t="n">
        <v>0</v>
      </c>
      <c r="L2912" s="17" t="s">
        <v>88</v>
      </c>
    </row>
    <row r="2913" s="11" customFormat="true" ht="10.95" hidden="false" customHeight="true" outlineLevel="0" collapsed="false">
      <c r="A2913" s="16" t="n">
        <v>45435</v>
      </c>
      <c r="B2913" s="17" t="s">
        <v>1071</v>
      </c>
      <c r="C2913" s="17" t="s">
        <v>788</v>
      </c>
      <c r="D2913" s="17" t="s">
        <v>19</v>
      </c>
      <c r="E2913" s="17" t="s">
        <v>1090</v>
      </c>
      <c r="F2913" s="17" t="s">
        <v>1255</v>
      </c>
      <c r="G2913" s="18" t="n">
        <v>0</v>
      </c>
      <c r="H2913" s="18" t="n">
        <v>1888.45</v>
      </c>
      <c r="I2913" s="18" t="n">
        <f aca="false">((I2912 + G2913) - H2913)</f>
        <v>-241497.69</v>
      </c>
      <c r="J2913" s="18" t="n">
        <v>0</v>
      </c>
      <c r="K2913" s="19" t="n">
        <v>0</v>
      </c>
      <c r="L2913" s="17" t="s">
        <v>88</v>
      </c>
    </row>
    <row r="2914" s="11" customFormat="true" ht="10.95" hidden="false" customHeight="true" outlineLevel="0" collapsed="false">
      <c r="A2914" s="16" t="n">
        <v>45435</v>
      </c>
      <c r="B2914" s="17" t="s">
        <v>1071</v>
      </c>
      <c r="C2914" s="17" t="s">
        <v>788</v>
      </c>
      <c r="D2914" s="17" t="s">
        <v>19</v>
      </c>
      <c r="E2914" s="17" t="s">
        <v>1087</v>
      </c>
      <c r="F2914" s="17" t="s">
        <v>1255</v>
      </c>
      <c r="G2914" s="18" t="n">
        <v>0</v>
      </c>
      <c r="H2914" s="18" t="n">
        <v>30.46</v>
      </c>
      <c r="I2914" s="18" t="n">
        <f aca="false">((I2913 + G2914) - H2914)</f>
        <v>-241528.15</v>
      </c>
      <c r="J2914" s="18" t="n">
        <v>0</v>
      </c>
      <c r="K2914" s="19" t="n">
        <v>0</v>
      </c>
      <c r="L2914" s="17" t="s">
        <v>88</v>
      </c>
    </row>
    <row r="2915" s="11" customFormat="true" ht="10.95" hidden="false" customHeight="true" outlineLevel="0" collapsed="false">
      <c r="A2915" s="16" t="n">
        <v>45435</v>
      </c>
      <c r="B2915" s="17" t="s">
        <v>1071</v>
      </c>
      <c r="C2915" s="17" t="s">
        <v>788</v>
      </c>
      <c r="D2915" s="17" t="s">
        <v>19</v>
      </c>
      <c r="E2915" s="17" t="s">
        <v>1092</v>
      </c>
      <c r="F2915" s="17" t="s">
        <v>1256</v>
      </c>
      <c r="G2915" s="18" t="n">
        <v>0</v>
      </c>
      <c r="H2915" s="18" t="n">
        <v>1648.47</v>
      </c>
      <c r="I2915" s="18" t="n">
        <f aca="false">((I2914 + G2915) - H2915)</f>
        <v>-243176.62</v>
      </c>
      <c r="J2915" s="18" t="n">
        <v>0</v>
      </c>
      <c r="K2915" s="19" t="n">
        <v>0</v>
      </c>
      <c r="L2915" s="17" t="s">
        <v>88</v>
      </c>
    </row>
    <row r="2916" s="11" customFormat="true" ht="10.95" hidden="false" customHeight="true" outlineLevel="0" collapsed="false">
      <c r="A2916" s="16" t="n">
        <v>45435</v>
      </c>
      <c r="B2916" s="17" t="s">
        <v>1071</v>
      </c>
      <c r="C2916" s="17" t="s">
        <v>788</v>
      </c>
      <c r="D2916" s="17" t="s">
        <v>19</v>
      </c>
      <c r="E2916" s="17" t="s">
        <v>1087</v>
      </c>
      <c r="F2916" s="17" t="s">
        <v>1256</v>
      </c>
      <c r="G2916" s="18" t="n">
        <v>0</v>
      </c>
      <c r="H2916" s="18" t="n">
        <v>64.61</v>
      </c>
      <c r="I2916" s="18" t="n">
        <f aca="false">((I2915 + G2916) - H2916)</f>
        <v>-243241.23</v>
      </c>
      <c r="J2916" s="18" t="n">
        <v>0</v>
      </c>
      <c r="K2916" s="19" t="n">
        <v>0</v>
      </c>
      <c r="L2916" s="17" t="s">
        <v>88</v>
      </c>
    </row>
    <row r="2917" s="11" customFormat="true" ht="10.95" hidden="false" customHeight="true" outlineLevel="0" collapsed="false">
      <c r="A2917" s="16" t="n">
        <v>45435</v>
      </c>
      <c r="B2917" s="17" t="s">
        <v>1071</v>
      </c>
      <c r="C2917" s="17" t="s">
        <v>788</v>
      </c>
      <c r="D2917" s="17" t="s">
        <v>19</v>
      </c>
      <c r="E2917" s="17" t="s">
        <v>1094</v>
      </c>
      <c r="F2917" s="17" t="s">
        <v>1256</v>
      </c>
      <c r="G2917" s="18" t="n">
        <v>0</v>
      </c>
      <c r="H2917" s="18" t="n">
        <v>92.3</v>
      </c>
      <c r="I2917" s="18" t="n">
        <f aca="false">((I2916 + G2917) - H2917)</f>
        <v>-243333.53</v>
      </c>
      <c r="J2917" s="18" t="n">
        <v>0</v>
      </c>
      <c r="K2917" s="19" t="n">
        <v>0</v>
      </c>
      <c r="L2917" s="17" t="s">
        <v>88</v>
      </c>
    </row>
    <row r="2918" s="11" customFormat="true" ht="10.95" hidden="false" customHeight="true" outlineLevel="0" collapsed="false">
      <c r="A2918" s="16" t="n">
        <v>45435</v>
      </c>
      <c r="B2918" s="17" t="s">
        <v>1071</v>
      </c>
      <c r="C2918" s="17" t="s">
        <v>788</v>
      </c>
      <c r="D2918" s="17" t="s">
        <v>19</v>
      </c>
      <c r="E2918" s="17" t="s">
        <v>1098</v>
      </c>
      <c r="F2918" s="17" t="s">
        <v>1256</v>
      </c>
      <c r="G2918" s="18" t="n">
        <v>0</v>
      </c>
      <c r="H2918" s="18" t="n">
        <v>276.9</v>
      </c>
      <c r="I2918" s="18" t="n">
        <f aca="false">((I2917 + G2918) - H2918)</f>
        <v>-243610.43</v>
      </c>
      <c r="J2918" s="18" t="n">
        <v>0</v>
      </c>
      <c r="K2918" s="19" t="n">
        <v>0</v>
      </c>
      <c r="L2918" s="17" t="s">
        <v>88</v>
      </c>
    </row>
    <row r="2919" s="11" customFormat="true" ht="10.95" hidden="false" customHeight="true" outlineLevel="0" collapsed="false">
      <c r="A2919" s="16" t="n">
        <v>45435</v>
      </c>
      <c r="B2919" s="17" t="s">
        <v>1071</v>
      </c>
      <c r="C2919" s="17" t="s">
        <v>788</v>
      </c>
      <c r="D2919" s="17" t="s">
        <v>19</v>
      </c>
      <c r="E2919" s="17" t="s">
        <v>1083</v>
      </c>
      <c r="F2919" s="17" t="s">
        <v>1257</v>
      </c>
      <c r="G2919" s="18" t="n">
        <v>0</v>
      </c>
      <c r="H2919" s="18" t="n">
        <v>132.91</v>
      </c>
      <c r="I2919" s="18" t="n">
        <f aca="false">((I2918 + G2919) - H2919)</f>
        <v>-243743.34</v>
      </c>
      <c r="J2919" s="18" t="n">
        <v>0</v>
      </c>
      <c r="K2919" s="19" t="n">
        <v>0</v>
      </c>
      <c r="L2919" s="17" t="s">
        <v>88</v>
      </c>
    </row>
    <row r="2920" s="11" customFormat="true" ht="10.95" hidden="false" customHeight="true" outlineLevel="0" collapsed="false">
      <c r="A2920" s="16" t="n">
        <v>45435</v>
      </c>
      <c r="B2920" s="17" t="s">
        <v>1071</v>
      </c>
      <c r="C2920" s="17" t="s">
        <v>788</v>
      </c>
      <c r="D2920" s="17" t="s">
        <v>19</v>
      </c>
      <c r="E2920" s="17" t="s">
        <v>1090</v>
      </c>
      <c r="F2920" s="17" t="s">
        <v>1258</v>
      </c>
      <c r="G2920" s="18" t="n">
        <v>0</v>
      </c>
      <c r="H2920" s="18" t="n">
        <v>694.09</v>
      </c>
      <c r="I2920" s="18" t="n">
        <f aca="false">((I2919 + G2920) - H2920)</f>
        <v>-244437.43</v>
      </c>
      <c r="J2920" s="18" t="n">
        <v>0</v>
      </c>
      <c r="K2920" s="19" t="n">
        <v>0</v>
      </c>
      <c r="L2920" s="17" t="s">
        <v>88</v>
      </c>
    </row>
    <row r="2921" s="11" customFormat="true" ht="10.95" hidden="false" customHeight="true" outlineLevel="0" collapsed="false">
      <c r="A2921" s="16" t="n">
        <v>45435</v>
      </c>
      <c r="B2921" s="17" t="s">
        <v>1071</v>
      </c>
      <c r="C2921" s="17" t="s">
        <v>788</v>
      </c>
      <c r="D2921" s="17" t="s">
        <v>19</v>
      </c>
      <c r="E2921" s="17" t="s">
        <v>1101</v>
      </c>
      <c r="F2921" s="17" t="s">
        <v>1258</v>
      </c>
      <c r="G2921" s="18" t="n">
        <v>0</v>
      </c>
      <c r="H2921" s="18" t="n">
        <v>96.45</v>
      </c>
      <c r="I2921" s="18" t="n">
        <f aca="false">((I2920 + G2921) - H2921)</f>
        <v>-244533.88</v>
      </c>
      <c r="J2921" s="18" t="n">
        <v>0</v>
      </c>
      <c r="K2921" s="19" t="n">
        <v>0</v>
      </c>
      <c r="L2921" s="17" t="s">
        <v>88</v>
      </c>
    </row>
    <row r="2922" s="11" customFormat="true" ht="10.95" hidden="false" customHeight="true" outlineLevel="0" collapsed="false">
      <c r="A2922" s="16" t="n">
        <v>45435</v>
      </c>
      <c r="B2922" s="17" t="s">
        <v>1071</v>
      </c>
      <c r="C2922" s="17" t="s">
        <v>788</v>
      </c>
      <c r="D2922" s="17" t="s">
        <v>19</v>
      </c>
      <c r="E2922" s="17" t="s">
        <v>1088</v>
      </c>
      <c r="F2922" s="17" t="s">
        <v>1258</v>
      </c>
      <c r="G2922" s="18" t="n">
        <v>0</v>
      </c>
      <c r="H2922" s="18" t="n">
        <v>121.84</v>
      </c>
      <c r="I2922" s="18" t="n">
        <f aca="false">((I2921 + G2922) - H2922)</f>
        <v>-244655.72</v>
      </c>
      <c r="J2922" s="18" t="n">
        <v>0</v>
      </c>
      <c r="K2922" s="19" t="n">
        <v>0</v>
      </c>
      <c r="L2922" s="17" t="s">
        <v>88</v>
      </c>
    </row>
    <row r="2923" s="11" customFormat="true" ht="10.95" hidden="false" customHeight="true" outlineLevel="0" collapsed="false">
      <c r="A2923" s="16" t="n">
        <v>45435</v>
      </c>
      <c r="B2923" s="17" t="s">
        <v>1071</v>
      </c>
      <c r="C2923" s="17" t="s">
        <v>788</v>
      </c>
      <c r="D2923" s="17" t="s">
        <v>19</v>
      </c>
      <c r="E2923" s="17" t="s">
        <v>1102</v>
      </c>
      <c r="F2923" s="17" t="s">
        <v>1258</v>
      </c>
      <c r="G2923" s="18" t="n">
        <v>0</v>
      </c>
      <c r="H2923" s="18" t="n">
        <v>101.53</v>
      </c>
      <c r="I2923" s="18" t="n">
        <f aca="false">((I2922 + G2923) - H2923)</f>
        <v>-244757.25</v>
      </c>
      <c r="J2923" s="18" t="n">
        <v>0</v>
      </c>
      <c r="K2923" s="19" t="n">
        <v>0</v>
      </c>
      <c r="L2923" s="17" t="s">
        <v>88</v>
      </c>
    </row>
    <row r="2924" s="11" customFormat="true" ht="10.95" hidden="false" customHeight="true" outlineLevel="0" collapsed="false">
      <c r="A2924" s="16" t="n">
        <v>45435</v>
      </c>
      <c r="B2924" s="17" t="s">
        <v>1071</v>
      </c>
      <c r="C2924" s="17" t="s">
        <v>788</v>
      </c>
      <c r="D2924" s="17" t="s">
        <v>19</v>
      </c>
      <c r="E2924" s="17" t="s">
        <v>1092</v>
      </c>
      <c r="F2924" s="17" t="s">
        <v>1259</v>
      </c>
      <c r="G2924" s="18" t="n">
        <v>0</v>
      </c>
      <c r="H2924" s="18" t="n">
        <v>954.89</v>
      </c>
      <c r="I2924" s="18" t="n">
        <f aca="false">((I2923 + G2924) - H2924)</f>
        <v>-245712.14</v>
      </c>
      <c r="J2924" s="18" t="n">
        <v>0</v>
      </c>
      <c r="K2924" s="19" t="n">
        <v>0</v>
      </c>
      <c r="L2924" s="17" t="s">
        <v>88</v>
      </c>
    </row>
    <row r="2925" s="11" customFormat="true" ht="10.95" hidden="false" customHeight="true" outlineLevel="0" collapsed="false">
      <c r="A2925" s="16" t="n">
        <v>45435</v>
      </c>
      <c r="B2925" s="17" t="s">
        <v>1071</v>
      </c>
      <c r="C2925" s="17" t="s">
        <v>788</v>
      </c>
      <c r="D2925" s="17" t="s">
        <v>19</v>
      </c>
      <c r="E2925" s="17" t="s">
        <v>1094</v>
      </c>
      <c r="F2925" s="17" t="s">
        <v>1259</v>
      </c>
      <c r="G2925" s="18" t="n">
        <v>0</v>
      </c>
      <c r="H2925" s="18" t="n">
        <v>92.26</v>
      </c>
      <c r="I2925" s="18" t="n">
        <f aca="false">((I2924 + G2925) - H2925)</f>
        <v>-245804.4</v>
      </c>
      <c r="J2925" s="18" t="n">
        <v>0</v>
      </c>
      <c r="K2925" s="19" t="n">
        <v>0</v>
      </c>
      <c r="L2925" s="17" t="s">
        <v>88</v>
      </c>
    </row>
    <row r="2926" s="11" customFormat="true" ht="10.95" hidden="false" customHeight="true" outlineLevel="0" collapsed="false">
      <c r="A2926" s="16" t="n">
        <v>45435</v>
      </c>
      <c r="B2926" s="17" t="s">
        <v>1071</v>
      </c>
      <c r="C2926" s="17" t="s">
        <v>788</v>
      </c>
      <c r="D2926" s="17" t="s">
        <v>19</v>
      </c>
      <c r="E2926" s="17" t="s">
        <v>1087</v>
      </c>
      <c r="F2926" s="17" t="s">
        <v>1259</v>
      </c>
      <c r="G2926" s="18" t="n">
        <v>0</v>
      </c>
      <c r="H2926" s="18" t="n">
        <v>35.52</v>
      </c>
      <c r="I2926" s="18" t="n">
        <f aca="false">((I2925 + G2926) - H2926)</f>
        <v>-245839.92</v>
      </c>
      <c r="J2926" s="18" t="n">
        <v>0</v>
      </c>
      <c r="K2926" s="19" t="n">
        <v>0</v>
      </c>
      <c r="L2926" s="17" t="s">
        <v>88</v>
      </c>
    </row>
    <row r="2927" s="11" customFormat="true" ht="10.95" hidden="false" customHeight="true" outlineLevel="0" collapsed="false">
      <c r="A2927" s="16" t="n">
        <v>45435</v>
      </c>
      <c r="B2927" s="17" t="s">
        <v>1071</v>
      </c>
      <c r="C2927" s="17" t="s">
        <v>788</v>
      </c>
      <c r="D2927" s="17" t="s">
        <v>19</v>
      </c>
      <c r="E2927" s="17" t="s">
        <v>1095</v>
      </c>
      <c r="F2927" s="17" t="s">
        <v>1259</v>
      </c>
      <c r="G2927" s="18" t="n">
        <v>0</v>
      </c>
      <c r="H2927" s="18" t="n">
        <v>27.68</v>
      </c>
      <c r="I2927" s="18" t="n">
        <f aca="false">((I2926 + G2927) - H2927)</f>
        <v>-245867.6</v>
      </c>
      <c r="J2927" s="18" t="n">
        <v>0</v>
      </c>
      <c r="K2927" s="19" t="n">
        <v>0</v>
      </c>
      <c r="L2927" s="17" t="s">
        <v>88</v>
      </c>
    </row>
    <row r="2928" s="11" customFormat="true" ht="10.95" hidden="false" customHeight="true" outlineLevel="0" collapsed="false">
      <c r="A2928" s="16" t="n">
        <v>45462</v>
      </c>
      <c r="B2928" s="17" t="s">
        <v>1071</v>
      </c>
      <c r="C2928" s="17" t="s">
        <v>788</v>
      </c>
      <c r="D2928" s="17" t="s">
        <v>19</v>
      </c>
      <c r="E2928" s="17" t="s">
        <v>1072</v>
      </c>
      <c r="F2928" s="17" t="s">
        <v>1260</v>
      </c>
      <c r="G2928" s="18" t="n">
        <v>0</v>
      </c>
      <c r="H2928" s="18" t="n">
        <v>662.68</v>
      </c>
      <c r="I2928" s="18" t="n">
        <f aca="false">((I2927 + G2928) - H2928)</f>
        <v>-246530.28</v>
      </c>
      <c r="J2928" s="18" t="n">
        <v>0</v>
      </c>
      <c r="K2928" s="19" t="n">
        <v>0</v>
      </c>
      <c r="L2928" s="17" t="s">
        <v>88</v>
      </c>
    </row>
    <row r="2929" s="11" customFormat="true" ht="10.95" hidden="false" customHeight="true" outlineLevel="0" collapsed="false">
      <c r="A2929" s="16" t="n">
        <v>45462</v>
      </c>
      <c r="B2929" s="17" t="s">
        <v>1071</v>
      </c>
      <c r="C2929" s="17" t="s">
        <v>788</v>
      </c>
      <c r="D2929" s="17" t="s">
        <v>19</v>
      </c>
      <c r="E2929" s="17" t="s">
        <v>1074</v>
      </c>
      <c r="F2929" s="17" t="s">
        <v>1260</v>
      </c>
      <c r="G2929" s="18" t="n">
        <v>0</v>
      </c>
      <c r="H2929" s="18" t="n">
        <v>101.24</v>
      </c>
      <c r="I2929" s="18" t="n">
        <f aca="false">((I2928 + G2929) - H2929)</f>
        <v>-246631.52</v>
      </c>
      <c r="J2929" s="18" t="n">
        <v>0</v>
      </c>
      <c r="K2929" s="19" t="n">
        <v>0</v>
      </c>
      <c r="L2929" s="17" t="s">
        <v>88</v>
      </c>
    </row>
    <row r="2930" s="11" customFormat="true" ht="10.95" hidden="false" customHeight="true" outlineLevel="0" collapsed="false">
      <c r="A2930" s="16" t="n">
        <v>45462</v>
      </c>
      <c r="B2930" s="17" t="s">
        <v>1071</v>
      </c>
      <c r="C2930" s="17" t="s">
        <v>788</v>
      </c>
      <c r="D2930" s="17" t="s">
        <v>19</v>
      </c>
      <c r="E2930" s="17" t="s">
        <v>1075</v>
      </c>
      <c r="F2930" s="17" t="s">
        <v>1261</v>
      </c>
      <c r="G2930" s="18" t="n">
        <v>0</v>
      </c>
      <c r="H2930" s="18" t="n">
        <v>3094.07</v>
      </c>
      <c r="I2930" s="18" t="n">
        <f aca="false">((I2929 + G2930) - H2930)</f>
        <v>-249725.59</v>
      </c>
      <c r="J2930" s="18" t="n">
        <v>0</v>
      </c>
      <c r="K2930" s="19" t="n">
        <v>0</v>
      </c>
      <c r="L2930" s="17" t="s">
        <v>88</v>
      </c>
    </row>
    <row r="2931" s="11" customFormat="true" ht="10.95" hidden="false" customHeight="true" outlineLevel="0" collapsed="false">
      <c r="A2931" s="16" t="n">
        <v>45462</v>
      </c>
      <c r="B2931" s="17" t="s">
        <v>1071</v>
      </c>
      <c r="C2931" s="17" t="s">
        <v>788</v>
      </c>
      <c r="D2931" s="17" t="s">
        <v>19</v>
      </c>
      <c r="E2931" s="17" t="s">
        <v>1077</v>
      </c>
      <c r="F2931" s="17" t="s">
        <v>1262</v>
      </c>
      <c r="G2931" s="18" t="n">
        <v>0</v>
      </c>
      <c r="H2931" s="18" t="n">
        <v>962.29</v>
      </c>
      <c r="I2931" s="18" t="n">
        <f aca="false">((I2930 + G2931) - H2931)</f>
        <v>-250687.88</v>
      </c>
      <c r="J2931" s="18" t="n">
        <v>0</v>
      </c>
      <c r="K2931" s="19" t="n">
        <v>0</v>
      </c>
      <c r="L2931" s="17" t="s">
        <v>88</v>
      </c>
    </row>
    <row r="2932" s="11" customFormat="true" ht="10.95" hidden="false" customHeight="true" outlineLevel="0" collapsed="false">
      <c r="A2932" s="16" t="n">
        <v>45462</v>
      </c>
      <c r="B2932" s="17" t="s">
        <v>1071</v>
      </c>
      <c r="C2932" s="17" t="s">
        <v>788</v>
      </c>
      <c r="D2932" s="17" t="s">
        <v>19</v>
      </c>
      <c r="E2932" s="17" t="s">
        <v>1202</v>
      </c>
      <c r="F2932" s="17" t="s">
        <v>1262</v>
      </c>
      <c r="G2932" s="18" t="n">
        <v>0</v>
      </c>
      <c r="H2932" s="18" t="n">
        <v>331.51</v>
      </c>
      <c r="I2932" s="18" t="n">
        <f aca="false">((I2931 + G2932) - H2932)</f>
        <v>-251019.39</v>
      </c>
      <c r="J2932" s="18" t="n">
        <v>0</v>
      </c>
      <c r="K2932" s="19" t="n">
        <v>0</v>
      </c>
      <c r="L2932" s="17" t="s">
        <v>88</v>
      </c>
    </row>
    <row r="2933" s="11" customFormat="true" ht="10.95" hidden="false" customHeight="true" outlineLevel="0" collapsed="false">
      <c r="A2933" s="16" t="n">
        <v>45462</v>
      </c>
      <c r="B2933" s="17" t="s">
        <v>1071</v>
      </c>
      <c r="C2933" s="17" t="s">
        <v>788</v>
      </c>
      <c r="D2933" s="17" t="s">
        <v>19</v>
      </c>
      <c r="E2933" s="17" t="s">
        <v>1080</v>
      </c>
      <c r="F2933" s="17" t="s">
        <v>1262</v>
      </c>
      <c r="G2933" s="18" t="n">
        <v>0</v>
      </c>
      <c r="H2933" s="18" t="n">
        <v>202.59</v>
      </c>
      <c r="I2933" s="18" t="n">
        <f aca="false">((I2932 + G2933) - H2933)</f>
        <v>-251221.98</v>
      </c>
      <c r="J2933" s="18" t="n">
        <v>0</v>
      </c>
      <c r="K2933" s="19" t="n">
        <v>0</v>
      </c>
      <c r="L2933" s="17" t="s">
        <v>88</v>
      </c>
    </row>
    <row r="2934" s="11" customFormat="true" ht="10.95" hidden="false" customHeight="true" outlineLevel="0" collapsed="false">
      <c r="A2934" s="16" t="n">
        <v>45462</v>
      </c>
      <c r="B2934" s="17" t="s">
        <v>1071</v>
      </c>
      <c r="C2934" s="17" t="s">
        <v>788</v>
      </c>
      <c r="D2934" s="17" t="s">
        <v>19</v>
      </c>
      <c r="E2934" s="17" t="s">
        <v>1081</v>
      </c>
      <c r="F2934" s="17" t="s">
        <v>1263</v>
      </c>
      <c r="G2934" s="18" t="n">
        <v>0</v>
      </c>
      <c r="H2934" s="18" t="n">
        <v>180</v>
      </c>
      <c r="I2934" s="18" t="n">
        <f aca="false">((I2933 + G2934) - H2934)</f>
        <v>-251401.98</v>
      </c>
      <c r="J2934" s="18" t="n">
        <v>0</v>
      </c>
      <c r="K2934" s="19" t="n">
        <v>0</v>
      </c>
      <c r="L2934" s="17" t="s">
        <v>88</v>
      </c>
    </row>
    <row r="2935" s="11" customFormat="true" ht="10.95" hidden="false" customHeight="true" outlineLevel="0" collapsed="false">
      <c r="A2935" s="16" t="n">
        <v>45462</v>
      </c>
      <c r="B2935" s="17" t="s">
        <v>1071</v>
      </c>
      <c r="C2935" s="17" t="s">
        <v>788</v>
      </c>
      <c r="D2935" s="17" t="s">
        <v>19</v>
      </c>
      <c r="E2935" s="17" t="s">
        <v>1264</v>
      </c>
      <c r="F2935" s="17" t="s">
        <v>1265</v>
      </c>
      <c r="G2935" s="18" t="n">
        <v>0</v>
      </c>
      <c r="H2935" s="18" t="n">
        <v>577.17</v>
      </c>
      <c r="I2935" s="18" t="n">
        <f aca="false">((I2934 + G2935) - H2935)</f>
        <v>-251979.15</v>
      </c>
      <c r="J2935" s="18" t="n">
        <v>0</v>
      </c>
      <c r="K2935" s="19" t="n">
        <v>0</v>
      </c>
      <c r="L2935" s="17" t="s">
        <v>88</v>
      </c>
    </row>
    <row r="2936" s="11" customFormat="true" ht="10.95" hidden="false" customHeight="true" outlineLevel="0" collapsed="false">
      <c r="A2936" s="16" t="n">
        <v>45462</v>
      </c>
      <c r="B2936" s="17" t="s">
        <v>1071</v>
      </c>
      <c r="C2936" s="17" t="s">
        <v>788</v>
      </c>
      <c r="D2936" s="17" t="s">
        <v>19</v>
      </c>
      <c r="E2936" s="17" t="s">
        <v>1102</v>
      </c>
      <c r="F2936" s="17" t="s">
        <v>1265</v>
      </c>
      <c r="G2936" s="18" t="n">
        <v>0</v>
      </c>
      <c r="H2936" s="18" t="n">
        <v>202.52</v>
      </c>
      <c r="I2936" s="18" t="n">
        <f aca="false">((I2935 + G2936) - H2936)</f>
        <v>-252181.67</v>
      </c>
      <c r="J2936" s="18" t="n">
        <v>0</v>
      </c>
      <c r="K2936" s="19" t="n">
        <v>0</v>
      </c>
      <c r="L2936" s="17" t="s">
        <v>88</v>
      </c>
    </row>
    <row r="2937" s="11" customFormat="true" ht="10.95" hidden="false" customHeight="true" outlineLevel="0" collapsed="false">
      <c r="A2937" s="16" t="n">
        <v>45462</v>
      </c>
      <c r="B2937" s="17" t="s">
        <v>1071</v>
      </c>
      <c r="C2937" s="17" t="s">
        <v>788</v>
      </c>
      <c r="D2937" s="17" t="s">
        <v>19</v>
      </c>
      <c r="E2937" s="17" t="s">
        <v>1264</v>
      </c>
      <c r="F2937" s="17" t="s">
        <v>1265</v>
      </c>
      <c r="G2937" s="18" t="n">
        <v>0</v>
      </c>
      <c r="H2937" s="18" t="n">
        <v>577.17</v>
      </c>
      <c r="I2937" s="18" t="n">
        <f aca="false">((I2936 + G2937) - H2937)</f>
        <v>-252758.84</v>
      </c>
      <c r="J2937" s="18" t="n">
        <v>0</v>
      </c>
      <c r="K2937" s="19" t="n">
        <v>0</v>
      </c>
      <c r="L2937" s="17" t="s">
        <v>88</v>
      </c>
    </row>
    <row r="2938" s="11" customFormat="true" ht="10.95" hidden="false" customHeight="true" outlineLevel="0" collapsed="false">
      <c r="A2938" s="16" t="n">
        <v>45462</v>
      </c>
      <c r="B2938" s="17" t="s">
        <v>1071</v>
      </c>
      <c r="C2938" s="17" t="s">
        <v>788</v>
      </c>
      <c r="D2938" s="17" t="s">
        <v>19</v>
      </c>
      <c r="E2938" s="17" t="s">
        <v>1102</v>
      </c>
      <c r="F2938" s="17" t="s">
        <v>1265</v>
      </c>
      <c r="G2938" s="18" t="n">
        <v>0</v>
      </c>
      <c r="H2938" s="18" t="n">
        <v>202.52</v>
      </c>
      <c r="I2938" s="18" t="n">
        <f aca="false">((I2937 + G2938) - H2938)</f>
        <v>-252961.36</v>
      </c>
      <c r="J2938" s="18" t="n">
        <v>0</v>
      </c>
      <c r="K2938" s="19" t="n">
        <v>0</v>
      </c>
      <c r="L2938" s="17" t="s">
        <v>88</v>
      </c>
    </row>
    <row r="2939" s="11" customFormat="true" ht="10.95" hidden="false" customHeight="true" outlineLevel="0" collapsed="false">
      <c r="A2939" s="16" t="n">
        <v>45462</v>
      </c>
      <c r="B2939" s="17" t="s">
        <v>1071</v>
      </c>
      <c r="C2939" s="17" t="s">
        <v>788</v>
      </c>
      <c r="D2939" s="17" t="s">
        <v>19</v>
      </c>
      <c r="E2939" s="17" t="s">
        <v>1264</v>
      </c>
      <c r="F2939" s="17" t="s">
        <v>1265</v>
      </c>
      <c r="G2939" s="18" t="n">
        <v>0</v>
      </c>
      <c r="H2939" s="18" t="n">
        <v>577.17</v>
      </c>
      <c r="I2939" s="18" t="n">
        <f aca="false">((I2938 + G2939) - H2939)</f>
        <v>-253538.53</v>
      </c>
      <c r="J2939" s="18" t="n">
        <v>0</v>
      </c>
      <c r="K2939" s="19" t="n">
        <v>0</v>
      </c>
      <c r="L2939" s="17" t="s">
        <v>88</v>
      </c>
    </row>
    <row r="2940" s="11" customFormat="true" ht="10.95" hidden="false" customHeight="true" outlineLevel="0" collapsed="false">
      <c r="A2940" s="16" t="n">
        <v>45462</v>
      </c>
      <c r="B2940" s="17" t="s">
        <v>1071</v>
      </c>
      <c r="C2940" s="17" t="s">
        <v>788</v>
      </c>
      <c r="D2940" s="17" t="s">
        <v>19</v>
      </c>
      <c r="E2940" s="17" t="s">
        <v>1102</v>
      </c>
      <c r="F2940" s="17" t="s">
        <v>1265</v>
      </c>
      <c r="G2940" s="18" t="n">
        <v>0</v>
      </c>
      <c r="H2940" s="18" t="n">
        <v>202.52</v>
      </c>
      <c r="I2940" s="18" t="n">
        <f aca="false">((I2939 + G2940) - H2940)</f>
        <v>-253741.05</v>
      </c>
      <c r="J2940" s="18" t="n">
        <v>0</v>
      </c>
      <c r="K2940" s="19" t="n">
        <v>0</v>
      </c>
      <c r="L2940" s="17" t="s">
        <v>88</v>
      </c>
    </row>
    <row r="2941" s="11" customFormat="true" ht="10.95" hidden="false" customHeight="true" outlineLevel="0" collapsed="false">
      <c r="A2941" s="16" t="n">
        <v>45462</v>
      </c>
      <c r="B2941" s="17" t="s">
        <v>1071</v>
      </c>
      <c r="C2941" s="17" t="s">
        <v>788</v>
      </c>
      <c r="D2941" s="17" t="s">
        <v>19</v>
      </c>
      <c r="E2941" s="17" t="s">
        <v>1264</v>
      </c>
      <c r="F2941" s="17" t="s">
        <v>1265</v>
      </c>
      <c r="G2941" s="18" t="n">
        <v>0</v>
      </c>
      <c r="H2941" s="18" t="n">
        <v>577.16</v>
      </c>
      <c r="I2941" s="18" t="n">
        <f aca="false">((I2940 + G2941) - H2941)</f>
        <v>-254318.21</v>
      </c>
      <c r="J2941" s="18" t="n">
        <v>0</v>
      </c>
      <c r="K2941" s="19" t="n">
        <v>0</v>
      </c>
      <c r="L2941" s="17" t="s">
        <v>88</v>
      </c>
    </row>
    <row r="2942" s="11" customFormat="true" ht="10.95" hidden="false" customHeight="true" outlineLevel="0" collapsed="false">
      <c r="A2942" s="16" t="n">
        <v>45462</v>
      </c>
      <c r="B2942" s="17" t="s">
        <v>1071</v>
      </c>
      <c r="C2942" s="17" t="s">
        <v>788</v>
      </c>
      <c r="D2942" s="17" t="s">
        <v>19</v>
      </c>
      <c r="E2942" s="17" t="s">
        <v>1102</v>
      </c>
      <c r="F2942" s="17" t="s">
        <v>1265</v>
      </c>
      <c r="G2942" s="18" t="n">
        <v>0</v>
      </c>
      <c r="H2942" s="18" t="n">
        <v>202.51</v>
      </c>
      <c r="I2942" s="18" t="n">
        <f aca="false">((I2941 + G2942) - H2942)</f>
        <v>-254520.72</v>
      </c>
      <c r="J2942" s="18" t="n">
        <v>0</v>
      </c>
      <c r="K2942" s="19" t="n">
        <v>0</v>
      </c>
      <c r="L2942" s="17" t="s">
        <v>88</v>
      </c>
    </row>
    <row r="2943" s="11" customFormat="true" ht="10.95" hidden="false" customHeight="true" outlineLevel="0" collapsed="false">
      <c r="A2943" s="16" t="n">
        <v>45462</v>
      </c>
      <c r="B2943" s="17" t="s">
        <v>1071</v>
      </c>
      <c r="C2943" s="17" t="s">
        <v>788</v>
      </c>
      <c r="D2943" s="17" t="s">
        <v>19</v>
      </c>
      <c r="E2943" s="17" t="s">
        <v>1264</v>
      </c>
      <c r="F2943" s="17" t="s">
        <v>1265</v>
      </c>
      <c r="G2943" s="18" t="n">
        <v>0</v>
      </c>
      <c r="H2943" s="18" t="n">
        <v>577.16</v>
      </c>
      <c r="I2943" s="18" t="n">
        <f aca="false">((I2942 + G2943) - H2943)</f>
        <v>-255097.88</v>
      </c>
      <c r="J2943" s="18" t="n">
        <v>0</v>
      </c>
      <c r="K2943" s="19" t="n">
        <v>0</v>
      </c>
      <c r="L2943" s="17" t="s">
        <v>88</v>
      </c>
    </row>
    <row r="2944" s="11" customFormat="true" ht="10.95" hidden="false" customHeight="true" outlineLevel="0" collapsed="false">
      <c r="A2944" s="16" t="n">
        <v>45462</v>
      </c>
      <c r="B2944" s="17" t="s">
        <v>1071</v>
      </c>
      <c r="C2944" s="17" t="s">
        <v>788</v>
      </c>
      <c r="D2944" s="17" t="s">
        <v>19</v>
      </c>
      <c r="E2944" s="17" t="s">
        <v>1102</v>
      </c>
      <c r="F2944" s="17" t="s">
        <v>1265</v>
      </c>
      <c r="G2944" s="18" t="n">
        <v>0</v>
      </c>
      <c r="H2944" s="18" t="n">
        <v>202.51</v>
      </c>
      <c r="I2944" s="18" t="n">
        <f aca="false">((I2943 + G2944) - H2944)</f>
        <v>-255300.39</v>
      </c>
      <c r="J2944" s="18" t="n">
        <v>0</v>
      </c>
      <c r="K2944" s="19" t="n">
        <v>0</v>
      </c>
      <c r="L2944" s="17" t="s">
        <v>88</v>
      </c>
    </row>
    <row r="2945" s="11" customFormat="true" ht="10.95" hidden="false" customHeight="true" outlineLevel="0" collapsed="false">
      <c r="A2945" s="16" t="n">
        <v>45462</v>
      </c>
      <c r="B2945" s="17" t="s">
        <v>1071</v>
      </c>
      <c r="C2945" s="17" t="s">
        <v>788</v>
      </c>
      <c r="D2945" s="17" t="s">
        <v>19</v>
      </c>
      <c r="E2945" s="17" t="s">
        <v>1264</v>
      </c>
      <c r="F2945" s="17" t="s">
        <v>1265</v>
      </c>
      <c r="G2945" s="18" t="n">
        <v>0</v>
      </c>
      <c r="H2945" s="18" t="n">
        <v>577.16</v>
      </c>
      <c r="I2945" s="18" t="n">
        <f aca="false">((I2944 + G2945) - H2945)</f>
        <v>-255877.55</v>
      </c>
      <c r="J2945" s="18" t="n">
        <v>0</v>
      </c>
      <c r="K2945" s="19" t="n">
        <v>0</v>
      </c>
      <c r="L2945" s="17" t="s">
        <v>88</v>
      </c>
    </row>
    <row r="2946" s="11" customFormat="true" ht="10.95" hidden="false" customHeight="true" outlineLevel="0" collapsed="false">
      <c r="A2946" s="16" t="n">
        <v>45462</v>
      </c>
      <c r="B2946" s="17" t="s">
        <v>1071</v>
      </c>
      <c r="C2946" s="17" t="s">
        <v>788</v>
      </c>
      <c r="D2946" s="17" t="s">
        <v>19</v>
      </c>
      <c r="E2946" s="17" t="s">
        <v>1102</v>
      </c>
      <c r="F2946" s="17" t="s">
        <v>1265</v>
      </c>
      <c r="G2946" s="18" t="n">
        <v>0</v>
      </c>
      <c r="H2946" s="18" t="n">
        <v>202.51</v>
      </c>
      <c r="I2946" s="18" t="n">
        <f aca="false">((I2945 + G2946) - H2946)</f>
        <v>-256080.06</v>
      </c>
      <c r="J2946" s="18" t="n">
        <v>0</v>
      </c>
      <c r="K2946" s="19" t="n">
        <v>0</v>
      </c>
      <c r="L2946" s="17" t="s">
        <v>88</v>
      </c>
    </row>
    <row r="2947" s="11" customFormat="true" ht="10.95" hidden="false" customHeight="true" outlineLevel="0" collapsed="false">
      <c r="A2947" s="16" t="n">
        <v>45462</v>
      </c>
      <c r="B2947" s="17" t="s">
        <v>1071</v>
      </c>
      <c r="C2947" s="17" t="s">
        <v>788</v>
      </c>
      <c r="D2947" s="17" t="s">
        <v>19</v>
      </c>
      <c r="E2947" s="17" t="s">
        <v>1264</v>
      </c>
      <c r="F2947" s="17" t="s">
        <v>1265</v>
      </c>
      <c r="G2947" s="18" t="n">
        <v>0</v>
      </c>
      <c r="H2947" s="18" t="n">
        <v>577.16</v>
      </c>
      <c r="I2947" s="18" t="n">
        <f aca="false">((I2946 + G2947) - H2947)</f>
        <v>-256657.22</v>
      </c>
      <c r="J2947" s="18" t="n">
        <v>0</v>
      </c>
      <c r="K2947" s="19" t="n">
        <v>0</v>
      </c>
      <c r="L2947" s="17" t="s">
        <v>88</v>
      </c>
    </row>
    <row r="2948" s="11" customFormat="true" ht="10.95" hidden="false" customHeight="true" outlineLevel="0" collapsed="false">
      <c r="A2948" s="16" t="n">
        <v>45462</v>
      </c>
      <c r="B2948" s="17" t="s">
        <v>1071</v>
      </c>
      <c r="C2948" s="17" t="s">
        <v>788</v>
      </c>
      <c r="D2948" s="17" t="s">
        <v>19</v>
      </c>
      <c r="E2948" s="17" t="s">
        <v>1102</v>
      </c>
      <c r="F2948" s="17" t="s">
        <v>1265</v>
      </c>
      <c r="G2948" s="18" t="n">
        <v>0</v>
      </c>
      <c r="H2948" s="18" t="n">
        <v>202.51</v>
      </c>
      <c r="I2948" s="18" t="n">
        <f aca="false">((I2947 + G2948) - H2948)</f>
        <v>-256859.73</v>
      </c>
      <c r="J2948" s="18" t="n">
        <v>0</v>
      </c>
      <c r="K2948" s="19" t="n">
        <v>0</v>
      </c>
      <c r="L2948" s="17" t="s">
        <v>88</v>
      </c>
    </row>
    <row r="2949" s="11" customFormat="true" ht="10.95" hidden="false" customHeight="true" outlineLevel="0" collapsed="false">
      <c r="A2949" s="16" t="n">
        <v>45462</v>
      </c>
      <c r="B2949" s="17" t="s">
        <v>1071</v>
      </c>
      <c r="C2949" s="17" t="s">
        <v>788</v>
      </c>
      <c r="D2949" s="17" t="s">
        <v>19</v>
      </c>
      <c r="E2949" s="17" t="s">
        <v>1264</v>
      </c>
      <c r="F2949" s="17" t="s">
        <v>1265</v>
      </c>
      <c r="G2949" s="18" t="n">
        <v>0</v>
      </c>
      <c r="H2949" s="18" t="n">
        <v>577.16</v>
      </c>
      <c r="I2949" s="18" t="n">
        <f aca="false">((I2948 + G2949) - H2949)</f>
        <v>-257436.89</v>
      </c>
      <c r="J2949" s="18" t="n">
        <v>0</v>
      </c>
      <c r="K2949" s="19" t="n">
        <v>0</v>
      </c>
      <c r="L2949" s="17" t="s">
        <v>88</v>
      </c>
    </row>
    <row r="2950" s="11" customFormat="true" ht="10.95" hidden="false" customHeight="true" outlineLevel="0" collapsed="false">
      <c r="A2950" s="16" t="n">
        <v>45462</v>
      </c>
      <c r="B2950" s="17" t="s">
        <v>1071</v>
      </c>
      <c r="C2950" s="17" t="s">
        <v>788</v>
      </c>
      <c r="D2950" s="17" t="s">
        <v>19</v>
      </c>
      <c r="E2950" s="17" t="s">
        <v>1102</v>
      </c>
      <c r="F2950" s="17" t="s">
        <v>1265</v>
      </c>
      <c r="G2950" s="18" t="n">
        <v>0</v>
      </c>
      <c r="H2950" s="18" t="n">
        <v>202.51</v>
      </c>
      <c r="I2950" s="18" t="n">
        <f aca="false">((I2949 + G2950) - H2950)</f>
        <v>-257639.4</v>
      </c>
      <c r="J2950" s="18" t="n">
        <v>0</v>
      </c>
      <c r="K2950" s="19" t="n">
        <v>0</v>
      </c>
      <c r="L2950" s="17" t="s">
        <v>88</v>
      </c>
    </row>
    <row r="2951" s="11" customFormat="true" ht="10.95" hidden="false" customHeight="true" outlineLevel="0" collapsed="false">
      <c r="A2951" s="16" t="n">
        <v>45462</v>
      </c>
      <c r="B2951" s="17" t="s">
        <v>1071</v>
      </c>
      <c r="C2951" s="17" t="s">
        <v>788</v>
      </c>
      <c r="D2951" s="17" t="s">
        <v>19</v>
      </c>
      <c r="E2951" s="17" t="s">
        <v>1264</v>
      </c>
      <c r="F2951" s="17" t="s">
        <v>1265</v>
      </c>
      <c r="G2951" s="18" t="n">
        <v>0</v>
      </c>
      <c r="H2951" s="18" t="n">
        <v>577.16</v>
      </c>
      <c r="I2951" s="18" t="n">
        <f aca="false">((I2950 + G2951) - H2951)</f>
        <v>-258216.56</v>
      </c>
      <c r="J2951" s="18" t="n">
        <v>0</v>
      </c>
      <c r="K2951" s="19" t="n">
        <v>0</v>
      </c>
      <c r="L2951" s="17" t="s">
        <v>88</v>
      </c>
    </row>
    <row r="2952" s="11" customFormat="true" ht="10.95" hidden="false" customHeight="true" outlineLevel="0" collapsed="false">
      <c r="A2952" s="16" t="n">
        <v>45462</v>
      </c>
      <c r="B2952" s="17" t="s">
        <v>1071</v>
      </c>
      <c r="C2952" s="17" t="s">
        <v>788</v>
      </c>
      <c r="D2952" s="17" t="s">
        <v>19</v>
      </c>
      <c r="E2952" s="17" t="s">
        <v>1102</v>
      </c>
      <c r="F2952" s="17" t="s">
        <v>1265</v>
      </c>
      <c r="G2952" s="18" t="n">
        <v>0</v>
      </c>
      <c r="H2952" s="18" t="n">
        <v>202.51</v>
      </c>
      <c r="I2952" s="18" t="n">
        <f aca="false">((I2951 + G2952) - H2952)</f>
        <v>-258419.07</v>
      </c>
      <c r="J2952" s="18" t="n">
        <v>0</v>
      </c>
      <c r="K2952" s="19" t="n">
        <v>0</v>
      </c>
      <c r="L2952" s="17" t="s">
        <v>88</v>
      </c>
    </row>
    <row r="2953" s="11" customFormat="true" ht="10.95" hidden="false" customHeight="true" outlineLevel="0" collapsed="false">
      <c r="A2953" s="16" t="n">
        <v>45462</v>
      </c>
      <c r="B2953" s="17" t="s">
        <v>1071</v>
      </c>
      <c r="C2953" s="17" t="s">
        <v>788</v>
      </c>
      <c r="D2953" s="17" t="s">
        <v>19</v>
      </c>
      <c r="E2953" s="17" t="s">
        <v>1264</v>
      </c>
      <c r="F2953" s="17" t="s">
        <v>1265</v>
      </c>
      <c r="G2953" s="18" t="n">
        <v>0</v>
      </c>
      <c r="H2953" s="18" t="n">
        <v>577.16</v>
      </c>
      <c r="I2953" s="18" t="n">
        <f aca="false">((I2952 + G2953) - H2953)</f>
        <v>-258996.23</v>
      </c>
      <c r="J2953" s="18" t="n">
        <v>0</v>
      </c>
      <c r="K2953" s="19" t="n">
        <v>0</v>
      </c>
      <c r="L2953" s="17" t="s">
        <v>88</v>
      </c>
    </row>
    <row r="2954" s="11" customFormat="true" ht="10.95" hidden="false" customHeight="true" outlineLevel="0" collapsed="false">
      <c r="A2954" s="16" t="n">
        <v>45462</v>
      </c>
      <c r="B2954" s="17" t="s">
        <v>1071</v>
      </c>
      <c r="C2954" s="17" t="s">
        <v>788</v>
      </c>
      <c r="D2954" s="17" t="s">
        <v>19</v>
      </c>
      <c r="E2954" s="17" t="s">
        <v>1102</v>
      </c>
      <c r="F2954" s="17" t="s">
        <v>1265</v>
      </c>
      <c r="G2954" s="18" t="n">
        <v>0</v>
      </c>
      <c r="H2954" s="18" t="n">
        <v>202.51</v>
      </c>
      <c r="I2954" s="18" t="n">
        <f aca="false">((I2953 + G2954) - H2954)</f>
        <v>-259198.74</v>
      </c>
      <c r="J2954" s="18" t="n">
        <v>0</v>
      </c>
      <c r="K2954" s="19" t="n">
        <v>0</v>
      </c>
      <c r="L2954" s="17" t="s">
        <v>88</v>
      </c>
    </row>
    <row r="2955" s="11" customFormat="true" ht="10.95" hidden="false" customHeight="true" outlineLevel="0" collapsed="false">
      <c r="A2955" s="16" t="n">
        <v>45462</v>
      </c>
      <c r="B2955" s="17" t="s">
        <v>1071</v>
      </c>
      <c r="C2955" s="17" t="s">
        <v>788</v>
      </c>
      <c r="D2955" s="17" t="s">
        <v>19</v>
      </c>
      <c r="E2955" s="17" t="s">
        <v>1264</v>
      </c>
      <c r="F2955" s="17" t="s">
        <v>1265</v>
      </c>
      <c r="G2955" s="18" t="n">
        <v>0</v>
      </c>
      <c r="H2955" s="18" t="n">
        <v>577.16</v>
      </c>
      <c r="I2955" s="18" t="n">
        <f aca="false">((I2954 + G2955) - H2955)</f>
        <v>-259775.9</v>
      </c>
      <c r="J2955" s="18" t="n">
        <v>0</v>
      </c>
      <c r="K2955" s="19" t="n">
        <v>0</v>
      </c>
      <c r="L2955" s="17" t="s">
        <v>88</v>
      </c>
    </row>
    <row r="2956" s="11" customFormat="true" ht="10.95" hidden="false" customHeight="true" outlineLevel="0" collapsed="false">
      <c r="A2956" s="16" t="n">
        <v>45462</v>
      </c>
      <c r="B2956" s="17" t="s">
        <v>1071</v>
      </c>
      <c r="C2956" s="17" t="s">
        <v>788</v>
      </c>
      <c r="D2956" s="17" t="s">
        <v>19</v>
      </c>
      <c r="E2956" s="17" t="s">
        <v>1102</v>
      </c>
      <c r="F2956" s="17" t="s">
        <v>1265</v>
      </c>
      <c r="G2956" s="18" t="n">
        <v>0</v>
      </c>
      <c r="H2956" s="18" t="n">
        <v>202.51</v>
      </c>
      <c r="I2956" s="18" t="n">
        <f aca="false">((I2955 + G2956) - H2956)</f>
        <v>-259978.41</v>
      </c>
      <c r="J2956" s="18" t="n">
        <v>0</v>
      </c>
      <c r="K2956" s="19" t="n">
        <v>0</v>
      </c>
      <c r="L2956" s="17" t="s">
        <v>88</v>
      </c>
    </row>
    <row r="2957" s="11" customFormat="true" ht="10.95" hidden="false" customHeight="true" outlineLevel="0" collapsed="false">
      <c r="A2957" s="16" t="n">
        <v>45462</v>
      </c>
      <c r="B2957" s="17" t="s">
        <v>1071</v>
      </c>
      <c r="C2957" s="17" t="s">
        <v>788</v>
      </c>
      <c r="D2957" s="17" t="s">
        <v>19</v>
      </c>
      <c r="E2957" s="17" t="s">
        <v>1264</v>
      </c>
      <c r="F2957" s="17" t="s">
        <v>1265</v>
      </c>
      <c r="G2957" s="18" t="n">
        <v>0</v>
      </c>
      <c r="H2957" s="18" t="n">
        <v>577.16</v>
      </c>
      <c r="I2957" s="18" t="n">
        <f aca="false">((I2956 + G2957) - H2957)</f>
        <v>-260555.57</v>
      </c>
      <c r="J2957" s="18" t="n">
        <v>0</v>
      </c>
      <c r="K2957" s="19" t="n">
        <v>0</v>
      </c>
      <c r="L2957" s="17" t="s">
        <v>88</v>
      </c>
    </row>
    <row r="2958" s="11" customFormat="true" ht="10.95" hidden="false" customHeight="true" outlineLevel="0" collapsed="false">
      <c r="A2958" s="16" t="n">
        <v>45462</v>
      </c>
      <c r="B2958" s="17" t="s">
        <v>1071</v>
      </c>
      <c r="C2958" s="17" t="s">
        <v>788</v>
      </c>
      <c r="D2958" s="17" t="s">
        <v>19</v>
      </c>
      <c r="E2958" s="17" t="s">
        <v>1102</v>
      </c>
      <c r="F2958" s="17" t="s">
        <v>1265</v>
      </c>
      <c r="G2958" s="18" t="n">
        <v>0</v>
      </c>
      <c r="H2958" s="18" t="n">
        <v>202.51</v>
      </c>
      <c r="I2958" s="18" t="n">
        <f aca="false">((I2957 + G2958) - H2958)</f>
        <v>-260758.08</v>
      </c>
      <c r="J2958" s="18" t="n">
        <v>0</v>
      </c>
      <c r="K2958" s="19" t="n">
        <v>0</v>
      </c>
      <c r="L2958" s="17" t="s">
        <v>88</v>
      </c>
    </row>
    <row r="2959" s="11" customFormat="true" ht="10.95" hidden="false" customHeight="true" outlineLevel="0" collapsed="false">
      <c r="A2959" s="16" t="n">
        <v>45462</v>
      </c>
      <c r="B2959" s="17" t="s">
        <v>1071</v>
      </c>
      <c r="C2959" s="17" t="s">
        <v>788</v>
      </c>
      <c r="D2959" s="17" t="s">
        <v>19</v>
      </c>
      <c r="E2959" s="17" t="s">
        <v>1083</v>
      </c>
      <c r="F2959" s="17" t="s">
        <v>1266</v>
      </c>
      <c r="G2959" s="18" t="n">
        <v>0</v>
      </c>
      <c r="H2959" s="18" t="n">
        <v>265.29</v>
      </c>
      <c r="I2959" s="18" t="n">
        <f aca="false">((I2958 + G2959) - H2959)</f>
        <v>-261023.37</v>
      </c>
      <c r="J2959" s="18" t="n">
        <v>0</v>
      </c>
      <c r="K2959" s="19" t="n">
        <v>0</v>
      </c>
      <c r="L2959" s="17" t="s">
        <v>88</v>
      </c>
    </row>
    <row r="2960" s="11" customFormat="true" ht="10.95" hidden="false" customHeight="true" outlineLevel="0" collapsed="false">
      <c r="A2960" s="16" t="n">
        <v>45462</v>
      </c>
      <c r="B2960" s="17" t="s">
        <v>1071</v>
      </c>
      <c r="C2960" s="17" t="s">
        <v>788</v>
      </c>
      <c r="D2960" s="17" t="s">
        <v>19</v>
      </c>
      <c r="E2960" s="17" t="s">
        <v>1085</v>
      </c>
      <c r="F2960" s="17" t="s">
        <v>1267</v>
      </c>
      <c r="G2960" s="18" t="n">
        <v>0</v>
      </c>
      <c r="H2960" s="18" t="n">
        <v>582.61</v>
      </c>
      <c r="I2960" s="18" t="n">
        <f aca="false">((I2959 + G2960) - H2960)</f>
        <v>-261605.98</v>
      </c>
      <c r="J2960" s="18" t="n">
        <v>0</v>
      </c>
      <c r="K2960" s="19" t="n">
        <v>0</v>
      </c>
      <c r="L2960" s="17" t="s">
        <v>88</v>
      </c>
    </row>
    <row r="2961" s="11" customFormat="true" ht="10.95" hidden="false" customHeight="true" outlineLevel="0" collapsed="false">
      <c r="A2961" s="16" t="n">
        <v>45462</v>
      </c>
      <c r="B2961" s="17" t="s">
        <v>1071</v>
      </c>
      <c r="C2961" s="17" t="s">
        <v>788</v>
      </c>
      <c r="D2961" s="17" t="s">
        <v>19</v>
      </c>
      <c r="E2961" s="17" t="s">
        <v>1087</v>
      </c>
      <c r="F2961" s="17" t="s">
        <v>1267</v>
      </c>
      <c r="G2961" s="18" t="n">
        <v>0</v>
      </c>
      <c r="H2961" s="18" t="n">
        <v>70.93</v>
      </c>
      <c r="I2961" s="18" t="n">
        <f aca="false">((I2960 + G2961) - H2961)</f>
        <v>-261676.91</v>
      </c>
      <c r="J2961" s="18" t="n">
        <v>0</v>
      </c>
      <c r="K2961" s="19" t="n">
        <v>0</v>
      </c>
      <c r="L2961" s="17" t="s">
        <v>88</v>
      </c>
    </row>
    <row r="2962" s="11" customFormat="true" ht="10.95" hidden="false" customHeight="true" outlineLevel="0" collapsed="false">
      <c r="A2962" s="16" t="n">
        <v>45462</v>
      </c>
      <c r="B2962" s="17" t="s">
        <v>1071</v>
      </c>
      <c r="C2962" s="17" t="s">
        <v>788</v>
      </c>
      <c r="D2962" s="17" t="s">
        <v>19</v>
      </c>
      <c r="E2962" s="17" t="s">
        <v>1089</v>
      </c>
      <c r="F2962" s="17" t="s">
        <v>1267</v>
      </c>
      <c r="G2962" s="18" t="n">
        <v>0</v>
      </c>
      <c r="H2962" s="18" t="n">
        <v>138.17</v>
      </c>
      <c r="I2962" s="18" t="n">
        <f aca="false">((I2961 + G2962) - H2962)</f>
        <v>-261815.08</v>
      </c>
      <c r="J2962" s="18" t="n">
        <v>0</v>
      </c>
      <c r="K2962" s="19" t="n">
        <v>0</v>
      </c>
      <c r="L2962" s="17" t="s">
        <v>88</v>
      </c>
    </row>
    <row r="2963" s="11" customFormat="true" ht="10.95" hidden="false" customHeight="true" outlineLevel="0" collapsed="false">
      <c r="A2963" s="16" t="n">
        <v>45462</v>
      </c>
      <c r="B2963" s="17" t="s">
        <v>1071</v>
      </c>
      <c r="C2963" s="17" t="s">
        <v>788</v>
      </c>
      <c r="D2963" s="17" t="s">
        <v>19</v>
      </c>
      <c r="E2963" s="17" t="s">
        <v>1090</v>
      </c>
      <c r="F2963" s="17" t="s">
        <v>1268</v>
      </c>
      <c r="G2963" s="18" t="n">
        <v>0</v>
      </c>
      <c r="H2963" s="18" t="n">
        <v>1884.63</v>
      </c>
      <c r="I2963" s="18" t="n">
        <f aca="false">((I2962 + G2963) - H2963)</f>
        <v>-263699.71</v>
      </c>
      <c r="J2963" s="18" t="n">
        <v>0</v>
      </c>
      <c r="K2963" s="19" t="n">
        <v>0</v>
      </c>
      <c r="L2963" s="17" t="s">
        <v>88</v>
      </c>
    </row>
    <row r="2964" s="11" customFormat="true" ht="10.95" hidden="false" customHeight="true" outlineLevel="0" collapsed="false">
      <c r="A2964" s="16" t="n">
        <v>45462</v>
      </c>
      <c r="B2964" s="17" t="s">
        <v>1071</v>
      </c>
      <c r="C2964" s="17" t="s">
        <v>788</v>
      </c>
      <c r="D2964" s="17" t="s">
        <v>19</v>
      </c>
      <c r="E2964" s="17" t="s">
        <v>1087</v>
      </c>
      <c r="F2964" s="17" t="s">
        <v>1268</v>
      </c>
      <c r="G2964" s="18" t="n">
        <v>0</v>
      </c>
      <c r="H2964" s="18" t="n">
        <v>30.4</v>
      </c>
      <c r="I2964" s="18" t="n">
        <f aca="false">((I2963 + G2964) - H2964)</f>
        <v>-263730.11</v>
      </c>
      <c r="J2964" s="18" t="n">
        <v>0</v>
      </c>
      <c r="K2964" s="19" t="n">
        <v>0</v>
      </c>
      <c r="L2964" s="17" t="s">
        <v>88</v>
      </c>
    </row>
    <row r="2965" s="11" customFormat="true" ht="10.95" hidden="false" customHeight="true" outlineLevel="0" collapsed="false">
      <c r="A2965" s="16" t="n">
        <v>45462</v>
      </c>
      <c r="B2965" s="17" t="s">
        <v>1071</v>
      </c>
      <c r="C2965" s="17" t="s">
        <v>788</v>
      </c>
      <c r="D2965" s="17" t="s">
        <v>19</v>
      </c>
      <c r="E2965" s="17" t="s">
        <v>1092</v>
      </c>
      <c r="F2965" s="17" t="s">
        <v>1269</v>
      </c>
      <c r="G2965" s="18" t="n">
        <v>0</v>
      </c>
      <c r="H2965" s="18" t="n">
        <v>1645.15</v>
      </c>
      <c r="I2965" s="18" t="n">
        <f aca="false">((I2964 + G2965) - H2965)</f>
        <v>-265375.26</v>
      </c>
      <c r="J2965" s="18" t="n">
        <v>0</v>
      </c>
      <c r="K2965" s="19" t="n">
        <v>0</v>
      </c>
      <c r="L2965" s="17" t="s">
        <v>88</v>
      </c>
    </row>
    <row r="2966" s="11" customFormat="true" ht="10.95" hidden="false" customHeight="true" outlineLevel="0" collapsed="false">
      <c r="A2966" s="16" t="n">
        <v>45462</v>
      </c>
      <c r="B2966" s="17" t="s">
        <v>1071</v>
      </c>
      <c r="C2966" s="17" t="s">
        <v>788</v>
      </c>
      <c r="D2966" s="17" t="s">
        <v>19</v>
      </c>
      <c r="E2966" s="17" t="s">
        <v>1087</v>
      </c>
      <c r="F2966" s="17" t="s">
        <v>1269</v>
      </c>
      <c r="G2966" s="18" t="n">
        <v>0</v>
      </c>
      <c r="H2966" s="18" t="n">
        <v>64.48</v>
      </c>
      <c r="I2966" s="18" t="n">
        <f aca="false">((I2965 + G2966) - H2966)</f>
        <v>-265439.74</v>
      </c>
      <c r="J2966" s="18" t="n">
        <v>0</v>
      </c>
      <c r="K2966" s="19" t="n">
        <v>0</v>
      </c>
      <c r="L2966" s="17" t="s">
        <v>88</v>
      </c>
    </row>
    <row r="2967" s="11" customFormat="true" ht="10.95" hidden="false" customHeight="true" outlineLevel="0" collapsed="false">
      <c r="A2967" s="16" t="n">
        <v>45462</v>
      </c>
      <c r="B2967" s="17" t="s">
        <v>1071</v>
      </c>
      <c r="C2967" s="17" t="s">
        <v>788</v>
      </c>
      <c r="D2967" s="17" t="s">
        <v>19</v>
      </c>
      <c r="E2967" s="17" t="s">
        <v>1094</v>
      </c>
      <c r="F2967" s="17" t="s">
        <v>1269</v>
      </c>
      <c r="G2967" s="18" t="n">
        <v>0</v>
      </c>
      <c r="H2967" s="18" t="n">
        <v>92.11</v>
      </c>
      <c r="I2967" s="18" t="n">
        <f aca="false">((I2966 + G2967) - H2967)</f>
        <v>-265531.85</v>
      </c>
      <c r="J2967" s="18" t="n">
        <v>0</v>
      </c>
      <c r="K2967" s="19" t="n">
        <v>0</v>
      </c>
      <c r="L2967" s="17" t="s">
        <v>88</v>
      </c>
    </row>
    <row r="2968" s="11" customFormat="true" ht="10.95" hidden="false" customHeight="true" outlineLevel="0" collapsed="false">
      <c r="A2968" s="16" t="n">
        <v>45462</v>
      </c>
      <c r="B2968" s="17" t="s">
        <v>1071</v>
      </c>
      <c r="C2968" s="17" t="s">
        <v>788</v>
      </c>
      <c r="D2968" s="17" t="s">
        <v>19</v>
      </c>
      <c r="E2968" s="17" t="s">
        <v>1098</v>
      </c>
      <c r="F2968" s="17" t="s">
        <v>1269</v>
      </c>
      <c r="G2968" s="18" t="n">
        <v>0</v>
      </c>
      <c r="H2968" s="18" t="n">
        <v>276.34</v>
      </c>
      <c r="I2968" s="18" t="n">
        <f aca="false">((I2967 + G2968) - H2968)</f>
        <v>-265808.19</v>
      </c>
      <c r="J2968" s="18" t="n">
        <v>0</v>
      </c>
      <c r="K2968" s="19" t="n">
        <v>0</v>
      </c>
      <c r="L2968" s="17" t="s">
        <v>88</v>
      </c>
    </row>
    <row r="2969" s="11" customFormat="true" ht="10.95" hidden="false" customHeight="true" outlineLevel="0" collapsed="false">
      <c r="A2969" s="16" t="n">
        <v>45462</v>
      </c>
      <c r="B2969" s="17" t="s">
        <v>1071</v>
      </c>
      <c r="C2969" s="17" t="s">
        <v>788</v>
      </c>
      <c r="D2969" s="17" t="s">
        <v>19</v>
      </c>
      <c r="E2969" s="17" t="s">
        <v>1083</v>
      </c>
      <c r="F2969" s="17" t="s">
        <v>1270</v>
      </c>
      <c r="G2969" s="18" t="n">
        <v>0</v>
      </c>
      <c r="H2969" s="18" t="n">
        <v>132.64</v>
      </c>
      <c r="I2969" s="18" t="n">
        <f aca="false">((I2968 + G2969) - H2969)</f>
        <v>-265940.83</v>
      </c>
      <c r="J2969" s="18" t="n">
        <v>0</v>
      </c>
      <c r="K2969" s="19" t="n">
        <v>0</v>
      </c>
      <c r="L2969" s="17" t="s">
        <v>88</v>
      </c>
    </row>
    <row r="2970" s="11" customFormat="true" ht="10.95" hidden="false" customHeight="true" outlineLevel="0" collapsed="false">
      <c r="A2970" s="16" t="n">
        <v>45462</v>
      </c>
      <c r="B2970" s="17" t="s">
        <v>1071</v>
      </c>
      <c r="C2970" s="17" t="s">
        <v>788</v>
      </c>
      <c r="D2970" s="17" t="s">
        <v>19</v>
      </c>
      <c r="E2970" s="17" t="s">
        <v>1090</v>
      </c>
      <c r="F2970" s="17" t="s">
        <v>1271</v>
      </c>
      <c r="G2970" s="18" t="n">
        <v>0</v>
      </c>
      <c r="H2970" s="18" t="n">
        <v>692.69</v>
      </c>
      <c r="I2970" s="18" t="n">
        <f aca="false">((I2969 + G2970) - H2970)</f>
        <v>-266633.52</v>
      </c>
      <c r="J2970" s="18" t="n">
        <v>0</v>
      </c>
      <c r="K2970" s="19" t="n">
        <v>0</v>
      </c>
      <c r="L2970" s="17" t="s">
        <v>88</v>
      </c>
    </row>
    <row r="2971" s="11" customFormat="true" ht="10.95" hidden="false" customHeight="true" outlineLevel="0" collapsed="false">
      <c r="A2971" s="16" t="n">
        <v>45462</v>
      </c>
      <c r="B2971" s="17" t="s">
        <v>1071</v>
      </c>
      <c r="C2971" s="17" t="s">
        <v>788</v>
      </c>
      <c r="D2971" s="17" t="s">
        <v>19</v>
      </c>
      <c r="E2971" s="17" t="s">
        <v>1101</v>
      </c>
      <c r="F2971" s="17" t="s">
        <v>1271</v>
      </c>
      <c r="G2971" s="18" t="n">
        <v>0</v>
      </c>
      <c r="H2971" s="18" t="n">
        <v>96.26</v>
      </c>
      <c r="I2971" s="18" t="n">
        <f aca="false">((I2970 + G2971) - H2971)</f>
        <v>-266729.78</v>
      </c>
      <c r="J2971" s="18" t="n">
        <v>0</v>
      </c>
      <c r="K2971" s="19" t="n">
        <v>0</v>
      </c>
      <c r="L2971" s="17" t="s">
        <v>88</v>
      </c>
    </row>
    <row r="2972" s="11" customFormat="true" ht="10.95" hidden="false" customHeight="true" outlineLevel="0" collapsed="false">
      <c r="A2972" s="16" t="n">
        <v>45462</v>
      </c>
      <c r="B2972" s="17" t="s">
        <v>1071</v>
      </c>
      <c r="C2972" s="17" t="s">
        <v>788</v>
      </c>
      <c r="D2972" s="17" t="s">
        <v>19</v>
      </c>
      <c r="E2972" s="17" t="s">
        <v>1088</v>
      </c>
      <c r="F2972" s="17" t="s">
        <v>1271</v>
      </c>
      <c r="G2972" s="18" t="n">
        <v>0</v>
      </c>
      <c r="H2972" s="18" t="n">
        <v>121.59</v>
      </c>
      <c r="I2972" s="18" t="n">
        <f aca="false">((I2971 + G2972) - H2972)</f>
        <v>-266851.37</v>
      </c>
      <c r="J2972" s="18" t="n">
        <v>0</v>
      </c>
      <c r="K2972" s="19" t="n">
        <v>0</v>
      </c>
      <c r="L2972" s="17" t="s">
        <v>88</v>
      </c>
    </row>
    <row r="2973" s="11" customFormat="true" ht="10.95" hidden="false" customHeight="true" outlineLevel="0" collapsed="false">
      <c r="A2973" s="16" t="n">
        <v>45462</v>
      </c>
      <c r="B2973" s="17" t="s">
        <v>1071</v>
      </c>
      <c r="C2973" s="17" t="s">
        <v>788</v>
      </c>
      <c r="D2973" s="17" t="s">
        <v>19</v>
      </c>
      <c r="E2973" s="17" t="s">
        <v>1102</v>
      </c>
      <c r="F2973" s="17" t="s">
        <v>1271</v>
      </c>
      <c r="G2973" s="18" t="n">
        <v>0</v>
      </c>
      <c r="H2973" s="18" t="n">
        <v>101.32</v>
      </c>
      <c r="I2973" s="18" t="n">
        <f aca="false">((I2972 + G2973) - H2973)</f>
        <v>-266952.69</v>
      </c>
      <c r="J2973" s="18" t="n">
        <v>0</v>
      </c>
      <c r="K2973" s="19" t="n">
        <v>0</v>
      </c>
      <c r="L2973" s="17" t="s">
        <v>88</v>
      </c>
    </row>
    <row r="2974" s="11" customFormat="true" ht="10.95" hidden="false" customHeight="true" outlineLevel="0" collapsed="false">
      <c r="A2974" s="16" t="n">
        <v>45462</v>
      </c>
      <c r="B2974" s="17" t="s">
        <v>1071</v>
      </c>
      <c r="C2974" s="17" t="s">
        <v>788</v>
      </c>
      <c r="D2974" s="17" t="s">
        <v>19</v>
      </c>
      <c r="E2974" s="17" t="s">
        <v>1092</v>
      </c>
      <c r="F2974" s="17" t="s">
        <v>1272</v>
      </c>
      <c r="G2974" s="18" t="n">
        <v>0</v>
      </c>
      <c r="H2974" s="18" t="n">
        <v>951.83</v>
      </c>
      <c r="I2974" s="18" t="n">
        <f aca="false">((I2973 + G2974) - H2974)</f>
        <v>-267904.52</v>
      </c>
      <c r="J2974" s="18" t="n">
        <v>0</v>
      </c>
      <c r="K2974" s="19" t="n">
        <v>0</v>
      </c>
      <c r="L2974" s="17" t="s">
        <v>88</v>
      </c>
    </row>
    <row r="2975" s="11" customFormat="true" ht="10.95" hidden="false" customHeight="true" outlineLevel="0" collapsed="false">
      <c r="A2975" s="16" t="n">
        <v>45462</v>
      </c>
      <c r="B2975" s="17" t="s">
        <v>1071</v>
      </c>
      <c r="C2975" s="17" t="s">
        <v>788</v>
      </c>
      <c r="D2975" s="17" t="s">
        <v>19</v>
      </c>
      <c r="E2975" s="17" t="s">
        <v>1094</v>
      </c>
      <c r="F2975" s="17" t="s">
        <v>1272</v>
      </c>
      <c r="G2975" s="18" t="n">
        <v>0</v>
      </c>
      <c r="H2975" s="18" t="n">
        <v>91.96</v>
      </c>
      <c r="I2975" s="18" t="n">
        <f aca="false">((I2974 + G2975) - H2975)</f>
        <v>-267996.48</v>
      </c>
      <c r="J2975" s="18" t="n">
        <v>0</v>
      </c>
      <c r="K2975" s="19" t="n">
        <v>0</v>
      </c>
      <c r="L2975" s="17" t="s">
        <v>88</v>
      </c>
    </row>
    <row r="2976" s="11" customFormat="true" ht="10.95" hidden="false" customHeight="true" outlineLevel="0" collapsed="false">
      <c r="A2976" s="16" t="n">
        <v>45462</v>
      </c>
      <c r="B2976" s="17" t="s">
        <v>1071</v>
      </c>
      <c r="C2976" s="17" t="s">
        <v>788</v>
      </c>
      <c r="D2976" s="17" t="s">
        <v>19</v>
      </c>
      <c r="E2976" s="17" t="s">
        <v>1087</v>
      </c>
      <c r="F2976" s="17" t="s">
        <v>1272</v>
      </c>
      <c r="G2976" s="18" t="n">
        <v>0</v>
      </c>
      <c r="H2976" s="18" t="n">
        <v>35.41</v>
      </c>
      <c r="I2976" s="18" t="n">
        <f aca="false">((I2975 + G2976) - H2976)</f>
        <v>-268031.89</v>
      </c>
      <c r="J2976" s="18" t="n">
        <v>0</v>
      </c>
      <c r="K2976" s="19" t="n">
        <v>0</v>
      </c>
      <c r="L2976" s="17" t="s">
        <v>88</v>
      </c>
    </row>
    <row r="2977" s="11" customFormat="true" ht="10.95" hidden="false" customHeight="true" outlineLevel="0" collapsed="false">
      <c r="A2977" s="16" t="n">
        <v>45462</v>
      </c>
      <c r="B2977" s="17" t="s">
        <v>1071</v>
      </c>
      <c r="C2977" s="17" t="s">
        <v>788</v>
      </c>
      <c r="D2977" s="17" t="s">
        <v>19</v>
      </c>
      <c r="E2977" s="17" t="s">
        <v>1095</v>
      </c>
      <c r="F2977" s="17" t="s">
        <v>1272</v>
      </c>
      <c r="G2977" s="18" t="n">
        <v>0</v>
      </c>
      <c r="H2977" s="18" t="n">
        <v>27.59</v>
      </c>
      <c r="I2977" s="18" t="n">
        <f aca="false">((I2976 + G2977) - H2977)</f>
        <v>-268059.48</v>
      </c>
      <c r="J2977" s="18" t="n">
        <v>0</v>
      </c>
      <c r="K2977" s="19" t="n">
        <v>0</v>
      </c>
      <c r="L2977" s="17" t="s">
        <v>88</v>
      </c>
    </row>
    <row r="2978" s="11" customFormat="true" ht="10.95" hidden="false" customHeight="true" outlineLevel="0" collapsed="false">
      <c r="A2978" s="21" t="s">
        <v>1273</v>
      </c>
      <c r="B2978" s="21"/>
      <c r="C2978" s="21"/>
      <c r="D2978" s="21"/>
      <c r="E2978" s="21"/>
      <c r="F2978" s="21"/>
      <c r="G2978" s="22" t="n">
        <f aca="false">SUM(G2398:G2977)</f>
        <v>0</v>
      </c>
      <c r="H2978" s="22" t="n">
        <f aca="false">SUM(H2398:H2977)</f>
        <v>268059.48</v>
      </c>
      <c r="I2978" s="22" t="n">
        <f aca="false">I2977</f>
        <v>-268059.48</v>
      </c>
      <c r="J2978" s="22" t="n">
        <f aca="false">SUM(J2398:J2977)</f>
        <v>0</v>
      </c>
      <c r="K2978" s="21"/>
      <c r="L2978" s="21"/>
    </row>
    <row r="2979" s="11" customFormat="true" ht="10.95" hidden="false" customHeight="true" outlineLevel="0" collapsed="false">
      <c r="A2979" s="21" t="s">
        <v>784</v>
      </c>
      <c r="B2979" s="21"/>
      <c r="C2979" s="21"/>
      <c r="D2979" s="21"/>
      <c r="E2979" s="21"/>
      <c r="F2979" s="21"/>
      <c r="G2979" s="22" t="n">
        <v>0</v>
      </c>
      <c r="H2979" s="22" t="n">
        <v>268059.48</v>
      </c>
      <c r="I2979" s="22" t="n">
        <v>0</v>
      </c>
      <c r="J2979" s="22" t="n">
        <v>0</v>
      </c>
      <c r="K2979" s="21"/>
      <c r="L2979" s="21"/>
    </row>
    <row r="2980" s="11" customFormat="true" ht="10.95" hidden="false" customHeight="true" outlineLevel="0" collapsed="false">
      <c r="A2980" s="9" t="s">
        <v>785</v>
      </c>
      <c r="B2980" s="9"/>
      <c r="C2980" s="9"/>
      <c r="D2980" s="9"/>
      <c r="E2980" s="9"/>
      <c r="F2980" s="9"/>
      <c r="G2980" s="10" t="n">
        <v>0</v>
      </c>
      <c r="H2980" s="10" t="n">
        <v>268059.48</v>
      </c>
      <c r="I2980" s="10" t="n">
        <f aca="false">I2977</f>
        <v>-268059.48</v>
      </c>
      <c r="J2980" s="10" t="n">
        <v>0</v>
      </c>
      <c r="K2980" s="9"/>
      <c r="L2980" s="9"/>
    </row>
    <row r="2981" customFormat="false" ht="13.35" hidden="false" customHeight="true" outlineLevel="0" collapsed="false"/>
    <row r="2982" s="7" customFormat="true" ht="12.1" hidden="false" customHeight="true" outlineLevel="0" collapsed="false">
      <c r="A2982" s="8" t="s">
        <v>1274</v>
      </c>
      <c r="B2982" s="8"/>
      <c r="C2982" s="8"/>
      <c r="D2982" s="8"/>
      <c r="E2982" s="8"/>
      <c r="F2982" s="8"/>
      <c r="G2982" s="8"/>
      <c r="H2982" s="8"/>
      <c r="I2982" s="8"/>
      <c r="J2982" s="8"/>
      <c r="K2982" s="8"/>
      <c r="L2982" s="8"/>
    </row>
    <row r="2983" s="11" customFormat="true" ht="10.95" hidden="false" customHeight="true" outlineLevel="0" collapsed="false">
      <c r="A2983" s="9" t="s">
        <v>16</v>
      </c>
      <c r="B2983" s="9"/>
      <c r="C2983" s="9"/>
      <c r="D2983" s="9"/>
      <c r="E2983" s="9"/>
      <c r="F2983" s="9"/>
      <c r="G2983" s="10" t="n">
        <v>0</v>
      </c>
      <c r="H2983" s="10" t="n">
        <v>0</v>
      </c>
      <c r="I2983" s="10" t="n">
        <f aca="false">(G2983 - H2983)</f>
        <v>0</v>
      </c>
      <c r="J2983" s="10" t="n">
        <v>0</v>
      </c>
      <c r="K2983" s="9"/>
      <c r="L2983" s="9"/>
    </row>
    <row r="2984" s="11" customFormat="true" ht="10.95" hidden="false" customHeight="true" outlineLevel="0" collapsed="false">
      <c r="A2984" s="12" t="n">
        <v>45108</v>
      </c>
      <c r="B2984" s="13" t="s">
        <v>1275</v>
      </c>
      <c r="C2984" s="13" t="s">
        <v>18</v>
      </c>
      <c r="D2984" s="13" t="s">
        <v>1276</v>
      </c>
      <c r="E2984" s="13" t="s">
        <v>1277</v>
      </c>
      <c r="F2984" s="13" t="s">
        <v>1278</v>
      </c>
      <c r="G2984" s="14" t="n">
        <v>0</v>
      </c>
      <c r="H2984" s="14" t="n">
        <v>1.55</v>
      </c>
      <c r="I2984" s="14" t="n">
        <f aca="false">((I2983 + G2984) - H2984)</f>
        <v>-1.55</v>
      </c>
      <c r="J2984" s="14" t="n">
        <v>0</v>
      </c>
      <c r="K2984" s="15" t="n">
        <v>0</v>
      </c>
      <c r="L2984" s="13" t="s">
        <v>190</v>
      </c>
    </row>
    <row r="2985" s="11" customFormat="true" ht="10.95" hidden="false" customHeight="true" outlineLevel="0" collapsed="false">
      <c r="A2985" s="16" t="n">
        <v>45110</v>
      </c>
      <c r="B2985" s="17" t="s">
        <v>1275</v>
      </c>
      <c r="C2985" s="17" t="s">
        <v>18</v>
      </c>
      <c r="D2985" s="17" t="s">
        <v>1276</v>
      </c>
      <c r="E2985" s="17" t="s">
        <v>1279</v>
      </c>
      <c r="F2985" s="17" t="s">
        <v>1280</v>
      </c>
      <c r="G2985" s="18" t="n">
        <v>0</v>
      </c>
      <c r="H2985" s="18" t="n">
        <v>10.37</v>
      </c>
      <c r="I2985" s="18" t="n">
        <f aca="false">((I2984 + G2985) - H2985)</f>
        <v>-11.92</v>
      </c>
      <c r="J2985" s="18" t="n">
        <v>0</v>
      </c>
      <c r="K2985" s="19" t="n">
        <v>0</v>
      </c>
      <c r="L2985" s="17" t="s">
        <v>190</v>
      </c>
    </row>
    <row r="2986" s="11" customFormat="true" ht="10.95" hidden="false" customHeight="true" outlineLevel="0" collapsed="false">
      <c r="A2986" s="16" t="n">
        <v>45124</v>
      </c>
      <c r="B2986" s="17" t="s">
        <v>1275</v>
      </c>
      <c r="C2986" s="17" t="s">
        <v>18</v>
      </c>
      <c r="D2986" s="17" t="s">
        <v>1276</v>
      </c>
      <c r="E2986" s="17" t="s">
        <v>1281</v>
      </c>
      <c r="F2986" s="17" t="s">
        <v>1282</v>
      </c>
      <c r="G2986" s="18" t="n">
        <v>0</v>
      </c>
      <c r="H2986" s="18" t="n">
        <v>30.19</v>
      </c>
      <c r="I2986" s="18" t="n">
        <f aca="false">((I2985 + G2986) - H2986)</f>
        <v>-42.11</v>
      </c>
      <c r="J2986" s="18" t="n">
        <v>0</v>
      </c>
      <c r="K2986" s="19" t="n">
        <v>0</v>
      </c>
      <c r="L2986" s="17" t="s">
        <v>190</v>
      </c>
    </row>
    <row r="2987" s="11" customFormat="true" ht="10.95" hidden="false" customHeight="true" outlineLevel="0" collapsed="false">
      <c r="A2987" s="16" t="n">
        <v>45126</v>
      </c>
      <c r="B2987" s="17" t="s">
        <v>1275</v>
      </c>
      <c r="C2987" s="17" t="s">
        <v>18</v>
      </c>
      <c r="D2987" s="17" t="s">
        <v>1276</v>
      </c>
      <c r="E2987" s="17" t="s">
        <v>1283</v>
      </c>
      <c r="F2987" s="17" t="s">
        <v>1284</v>
      </c>
      <c r="G2987" s="18" t="n">
        <v>0</v>
      </c>
      <c r="H2987" s="18" t="n">
        <v>86.29</v>
      </c>
      <c r="I2987" s="18" t="n">
        <f aca="false">((I2986 + G2987) - H2987)</f>
        <v>-128.4</v>
      </c>
      <c r="J2987" s="18" t="n">
        <v>0</v>
      </c>
      <c r="K2987" s="19" t="n">
        <v>0</v>
      </c>
      <c r="L2987" s="17" t="s">
        <v>190</v>
      </c>
    </row>
    <row r="2988" s="11" customFormat="true" ht="10.95" hidden="false" customHeight="true" outlineLevel="0" collapsed="false">
      <c r="A2988" s="16" t="n">
        <v>45139</v>
      </c>
      <c r="B2988" s="17" t="s">
        <v>1275</v>
      </c>
      <c r="C2988" s="17" t="s">
        <v>18</v>
      </c>
      <c r="D2988" s="17" t="s">
        <v>1276</v>
      </c>
      <c r="E2988" s="17" t="s">
        <v>1285</v>
      </c>
      <c r="F2988" s="17" t="s">
        <v>1286</v>
      </c>
      <c r="G2988" s="18" t="n">
        <v>0</v>
      </c>
      <c r="H2988" s="18" t="n">
        <v>16.09</v>
      </c>
      <c r="I2988" s="18" t="n">
        <f aca="false">((I2987 + G2988) - H2988)</f>
        <v>-144.49</v>
      </c>
      <c r="J2988" s="18" t="n">
        <v>0</v>
      </c>
      <c r="K2988" s="19" t="n">
        <v>0</v>
      </c>
      <c r="L2988" s="17" t="s">
        <v>190</v>
      </c>
    </row>
    <row r="2989" s="11" customFormat="true" ht="10.95" hidden="false" customHeight="true" outlineLevel="0" collapsed="false">
      <c r="A2989" s="16" t="n">
        <v>45140</v>
      </c>
      <c r="B2989" s="17" t="s">
        <v>1275</v>
      </c>
      <c r="C2989" s="17" t="s">
        <v>18</v>
      </c>
      <c r="D2989" s="17" t="s">
        <v>1276</v>
      </c>
      <c r="E2989" s="17" t="s">
        <v>1287</v>
      </c>
      <c r="F2989" s="17" t="s">
        <v>1288</v>
      </c>
      <c r="G2989" s="18" t="n">
        <v>0</v>
      </c>
      <c r="H2989" s="18" t="n">
        <v>10.6</v>
      </c>
      <c r="I2989" s="18" t="n">
        <f aca="false">((I2988 + G2989) - H2989)</f>
        <v>-155.09</v>
      </c>
      <c r="J2989" s="18" t="n">
        <v>0</v>
      </c>
      <c r="K2989" s="19" t="n">
        <v>0</v>
      </c>
      <c r="L2989" s="17" t="s">
        <v>190</v>
      </c>
    </row>
    <row r="2990" s="11" customFormat="true" ht="10.95" hidden="false" customHeight="true" outlineLevel="0" collapsed="false">
      <c r="A2990" s="16" t="n">
        <v>45153</v>
      </c>
      <c r="B2990" s="17" t="s">
        <v>1275</v>
      </c>
      <c r="C2990" s="17" t="s">
        <v>18</v>
      </c>
      <c r="D2990" s="17" t="s">
        <v>1276</v>
      </c>
      <c r="E2990" s="17" t="s">
        <v>1289</v>
      </c>
      <c r="F2990" s="17" t="s">
        <v>1290</v>
      </c>
      <c r="G2990" s="18" t="n">
        <v>0</v>
      </c>
      <c r="H2990" s="18" t="n">
        <v>1.59</v>
      </c>
      <c r="I2990" s="18" t="n">
        <f aca="false">((I2989 + G2990) - H2990)</f>
        <v>-156.68</v>
      </c>
      <c r="J2990" s="18" t="n">
        <v>0</v>
      </c>
      <c r="K2990" s="19" t="n">
        <v>0</v>
      </c>
      <c r="L2990" s="17" t="s">
        <v>190</v>
      </c>
    </row>
    <row r="2991" s="11" customFormat="true" ht="10.95" hidden="false" customHeight="true" outlineLevel="0" collapsed="false">
      <c r="A2991" s="16" t="n">
        <v>45168</v>
      </c>
      <c r="B2991" s="17" t="s">
        <v>1275</v>
      </c>
      <c r="C2991" s="17" t="s">
        <v>18</v>
      </c>
      <c r="D2991" s="17" t="s">
        <v>1276</v>
      </c>
      <c r="E2991" s="17" t="s">
        <v>1291</v>
      </c>
      <c r="F2991" s="17" t="s">
        <v>1292</v>
      </c>
      <c r="G2991" s="18" t="n">
        <v>0</v>
      </c>
      <c r="H2991" s="18" t="n">
        <v>9.28</v>
      </c>
      <c r="I2991" s="18" t="n">
        <f aca="false">((I2990 + G2991) - H2991)</f>
        <v>-165.96</v>
      </c>
      <c r="J2991" s="18" t="n">
        <v>0</v>
      </c>
      <c r="K2991" s="19" t="n">
        <v>0</v>
      </c>
      <c r="L2991" s="17" t="s">
        <v>190</v>
      </c>
    </row>
    <row r="2992" s="11" customFormat="true" ht="10.95" hidden="false" customHeight="true" outlineLevel="0" collapsed="false">
      <c r="A2992" s="16" t="n">
        <v>45168</v>
      </c>
      <c r="B2992" s="17" t="s">
        <v>1275</v>
      </c>
      <c r="C2992" s="17" t="s">
        <v>18</v>
      </c>
      <c r="D2992" s="17" t="s">
        <v>1276</v>
      </c>
      <c r="E2992" s="17" t="s">
        <v>1293</v>
      </c>
      <c r="F2992" s="17" t="s">
        <v>1294</v>
      </c>
      <c r="G2992" s="18" t="n">
        <v>0</v>
      </c>
      <c r="H2992" s="18" t="n">
        <v>6.2</v>
      </c>
      <c r="I2992" s="18" t="n">
        <f aca="false">((I2991 + G2992) - H2992)</f>
        <v>-172.16</v>
      </c>
      <c r="J2992" s="18" t="n">
        <v>0</v>
      </c>
      <c r="K2992" s="19" t="n">
        <v>0</v>
      </c>
      <c r="L2992" s="17" t="s">
        <v>190</v>
      </c>
    </row>
    <row r="2993" s="11" customFormat="true" ht="10.95" hidden="false" customHeight="true" outlineLevel="0" collapsed="false">
      <c r="A2993" s="16" t="n">
        <v>45170</v>
      </c>
      <c r="B2993" s="17" t="s">
        <v>1275</v>
      </c>
      <c r="C2993" s="17" t="s">
        <v>18</v>
      </c>
      <c r="D2993" s="17" t="s">
        <v>1276</v>
      </c>
      <c r="E2993" s="17" t="s">
        <v>1295</v>
      </c>
      <c r="F2993" s="17" t="s">
        <v>1296</v>
      </c>
      <c r="G2993" s="18" t="n">
        <v>0</v>
      </c>
      <c r="H2993" s="18" t="n">
        <v>1.6</v>
      </c>
      <c r="I2993" s="18" t="n">
        <f aca="false">((I2992 + G2993) - H2993)</f>
        <v>-173.76</v>
      </c>
      <c r="J2993" s="18" t="n">
        <v>0</v>
      </c>
      <c r="K2993" s="19" t="n">
        <v>0</v>
      </c>
      <c r="L2993" s="17" t="s">
        <v>190</v>
      </c>
    </row>
    <row r="2994" s="11" customFormat="true" ht="10.95" hidden="false" customHeight="true" outlineLevel="0" collapsed="false">
      <c r="A2994" s="16" t="n">
        <v>45171</v>
      </c>
      <c r="B2994" s="17" t="s">
        <v>1275</v>
      </c>
      <c r="C2994" s="17" t="s">
        <v>18</v>
      </c>
      <c r="D2994" s="17" t="s">
        <v>1276</v>
      </c>
      <c r="E2994" s="17" t="s">
        <v>1297</v>
      </c>
      <c r="F2994" s="17" t="s">
        <v>1298</v>
      </c>
      <c r="G2994" s="18" t="n">
        <v>0</v>
      </c>
      <c r="H2994" s="18" t="n">
        <v>10.69</v>
      </c>
      <c r="I2994" s="18" t="n">
        <f aca="false">((I2993 + G2994) - H2994)</f>
        <v>-184.45</v>
      </c>
      <c r="J2994" s="18" t="n">
        <v>0</v>
      </c>
      <c r="K2994" s="19" t="n">
        <v>0</v>
      </c>
      <c r="L2994" s="17" t="s">
        <v>190</v>
      </c>
    </row>
    <row r="2995" s="11" customFormat="true" ht="10.95" hidden="false" customHeight="true" outlineLevel="0" collapsed="false">
      <c r="A2995" s="16" t="n">
        <v>45174</v>
      </c>
      <c r="B2995" s="17" t="s">
        <v>1275</v>
      </c>
      <c r="C2995" s="17" t="s">
        <v>18</v>
      </c>
      <c r="D2995" s="17" t="s">
        <v>1276</v>
      </c>
      <c r="E2995" s="17" t="s">
        <v>1299</v>
      </c>
      <c r="F2995" s="17" t="s">
        <v>1300</v>
      </c>
      <c r="G2995" s="18" t="n">
        <v>0</v>
      </c>
      <c r="H2995" s="18" t="n">
        <v>16.09</v>
      </c>
      <c r="I2995" s="18" t="n">
        <f aca="false">((I2994 + G2995) - H2995)</f>
        <v>-200.54</v>
      </c>
      <c r="J2995" s="18" t="n">
        <v>0</v>
      </c>
      <c r="K2995" s="19" t="n">
        <v>0</v>
      </c>
      <c r="L2995" s="17" t="s">
        <v>190</v>
      </c>
    </row>
    <row r="2996" s="11" customFormat="true" ht="10.95" hidden="false" customHeight="true" outlineLevel="0" collapsed="false">
      <c r="A2996" s="16" t="n">
        <v>45195</v>
      </c>
      <c r="B2996" s="17" t="s">
        <v>1275</v>
      </c>
      <c r="C2996" s="17" t="s">
        <v>18</v>
      </c>
      <c r="D2996" s="17" t="s">
        <v>1276</v>
      </c>
      <c r="E2996" s="17" t="s">
        <v>1301</v>
      </c>
      <c r="F2996" s="17" t="s">
        <v>1302</v>
      </c>
      <c r="G2996" s="18" t="n">
        <v>0</v>
      </c>
      <c r="H2996" s="18" t="n">
        <v>1.54</v>
      </c>
      <c r="I2996" s="18" t="n">
        <f aca="false">((I2995 + G2996) - H2996)</f>
        <v>-202.08</v>
      </c>
      <c r="J2996" s="18" t="n">
        <v>0</v>
      </c>
      <c r="K2996" s="19" t="n">
        <v>0</v>
      </c>
      <c r="L2996" s="17" t="s">
        <v>190</v>
      </c>
    </row>
    <row r="2997" s="11" customFormat="true" ht="10.95" hidden="false" customHeight="true" outlineLevel="0" collapsed="false">
      <c r="A2997" s="16" t="n">
        <v>45197</v>
      </c>
      <c r="B2997" s="17" t="s">
        <v>1275</v>
      </c>
      <c r="C2997" s="17" t="s">
        <v>18</v>
      </c>
      <c r="D2997" s="17" t="s">
        <v>1276</v>
      </c>
      <c r="E2997" s="17" t="s">
        <v>1303</v>
      </c>
      <c r="F2997" s="17" t="s">
        <v>1304</v>
      </c>
      <c r="G2997" s="18" t="n">
        <v>0</v>
      </c>
      <c r="H2997" s="18" t="n">
        <v>17.47</v>
      </c>
      <c r="I2997" s="18" t="n">
        <f aca="false">((I2996 + G2997) - H2997)</f>
        <v>-219.55</v>
      </c>
      <c r="J2997" s="18" t="n">
        <v>0</v>
      </c>
      <c r="K2997" s="19" t="n">
        <v>0</v>
      </c>
      <c r="L2997" s="17" t="s">
        <v>190</v>
      </c>
    </row>
    <row r="2998" s="11" customFormat="true" ht="10.95" hidden="false" customHeight="true" outlineLevel="0" collapsed="false">
      <c r="A2998" s="16" t="n">
        <v>45198</v>
      </c>
      <c r="B2998" s="17" t="s">
        <v>1275</v>
      </c>
      <c r="C2998" s="17" t="s">
        <v>18</v>
      </c>
      <c r="D2998" s="17" t="s">
        <v>1276</v>
      </c>
      <c r="E2998" s="17" t="s">
        <v>1305</v>
      </c>
      <c r="F2998" s="17" t="s">
        <v>1306</v>
      </c>
      <c r="G2998" s="18" t="n">
        <v>0</v>
      </c>
      <c r="H2998" s="18" t="n">
        <v>16.09</v>
      </c>
      <c r="I2998" s="18" t="n">
        <f aca="false">((I2997 + G2998) - H2998)</f>
        <v>-235.64</v>
      </c>
      <c r="J2998" s="18" t="n">
        <v>0</v>
      </c>
      <c r="K2998" s="19" t="n">
        <v>0</v>
      </c>
      <c r="L2998" s="17" t="s">
        <v>190</v>
      </c>
    </row>
    <row r="2999" s="11" customFormat="true" ht="10.95" hidden="false" customHeight="true" outlineLevel="0" collapsed="false">
      <c r="A2999" s="16" t="n">
        <v>45200</v>
      </c>
      <c r="B2999" s="17" t="s">
        <v>1275</v>
      </c>
      <c r="C2999" s="17" t="s">
        <v>18</v>
      </c>
      <c r="D2999" s="17" t="s">
        <v>1276</v>
      </c>
      <c r="E2999" s="17" t="s">
        <v>1307</v>
      </c>
      <c r="F2999" s="17" t="s">
        <v>1308</v>
      </c>
      <c r="G2999" s="18" t="n">
        <v>0</v>
      </c>
      <c r="H2999" s="18" t="n">
        <v>10.63</v>
      </c>
      <c r="I2999" s="18" t="n">
        <f aca="false">((I2998 + G2999) - H2999)</f>
        <v>-246.27</v>
      </c>
      <c r="J2999" s="18" t="n">
        <v>0</v>
      </c>
      <c r="K2999" s="19" t="n">
        <v>0</v>
      </c>
      <c r="L2999" s="17" t="s">
        <v>190</v>
      </c>
    </row>
    <row r="3000" s="11" customFormat="true" ht="10.95" hidden="false" customHeight="true" outlineLevel="0" collapsed="false">
      <c r="A3000" s="16" t="n">
        <v>45200</v>
      </c>
      <c r="B3000" s="17" t="s">
        <v>1275</v>
      </c>
      <c r="C3000" s="17" t="s">
        <v>18</v>
      </c>
      <c r="D3000" s="17" t="s">
        <v>1276</v>
      </c>
      <c r="E3000" s="17" t="s">
        <v>1309</v>
      </c>
      <c r="F3000" s="17" t="s">
        <v>1310</v>
      </c>
      <c r="G3000" s="18" t="n">
        <v>0</v>
      </c>
      <c r="H3000" s="18" t="n">
        <v>1.59</v>
      </c>
      <c r="I3000" s="18" t="n">
        <f aca="false">((I2999 + G3000) - H3000)</f>
        <v>-247.86</v>
      </c>
      <c r="J3000" s="18" t="n">
        <v>0</v>
      </c>
      <c r="K3000" s="19" t="n">
        <v>0</v>
      </c>
      <c r="L3000" s="17" t="s">
        <v>190</v>
      </c>
    </row>
    <row r="3001" s="11" customFormat="true" ht="10.95" hidden="false" customHeight="true" outlineLevel="0" collapsed="false">
      <c r="A3001" s="16" t="n">
        <v>45208</v>
      </c>
      <c r="B3001" s="17" t="s">
        <v>1275</v>
      </c>
      <c r="C3001" s="17" t="s">
        <v>18</v>
      </c>
      <c r="D3001" s="17" t="s">
        <v>1276</v>
      </c>
      <c r="E3001" s="17" t="s">
        <v>1311</v>
      </c>
      <c r="F3001" s="17" t="s">
        <v>1312</v>
      </c>
      <c r="G3001" s="18" t="n">
        <v>0</v>
      </c>
      <c r="H3001" s="18" t="n">
        <v>27.86</v>
      </c>
      <c r="I3001" s="18" t="n">
        <f aca="false">((I3000 + G3001) - H3001)</f>
        <v>-275.72</v>
      </c>
      <c r="J3001" s="18" t="n">
        <v>0</v>
      </c>
      <c r="K3001" s="19" t="n">
        <v>0</v>
      </c>
      <c r="L3001" s="17" t="s">
        <v>190</v>
      </c>
    </row>
    <row r="3002" s="11" customFormat="true" ht="10.95" hidden="false" customHeight="true" outlineLevel="0" collapsed="false">
      <c r="A3002" s="16" t="n">
        <v>45223</v>
      </c>
      <c r="B3002" s="17" t="s">
        <v>1275</v>
      </c>
      <c r="C3002" s="17" t="s">
        <v>18</v>
      </c>
      <c r="D3002" s="17" t="s">
        <v>1276</v>
      </c>
      <c r="E3002" s="17" t="s">
        <v>1313</v>
      </c>
      <c r="F3002" s="17" t="s">
        <v>1314</v>
      </c>
      <c r="G3002" s="18" t="n">
        <v>0</v>
      </c>
      <c r="H3002" s="18" t="n">
        <v>4.62</v>
      </c>
      <c r="I3002" s="18" t="n">
        <f aca="false">((I3001 + G3002) - H3002)</f>
        <v>-280.34</v>
      </c>
      <c r="J3002" s="18" t="n">
        <v>0</v>
      </c>
      <c r="K3002" s="19" t="n">
        <v>0</v>
      </c>
      <c r="L3002" s="17" t="s">
        <v>190</v>
      </c>
    </row>
    <row r="3003" s="11" customFormat="true" ht="10.95" hidden="false" customHeight="true" outlineLevel="0" collapsed="false">
      <c r="A3003" s="16" t="n">
        <v>45226</v>
      </c>
      <c r="B3003" s="17" t="s">
        <v>1275</v>
      </c>
      <c r="C3003" s="17" t="s">
        <v>18</v>
      </c>
      <c r="D3003" s="17" t="s">
        <v>1276</v>
      </c>
      <c r="E3003" s="17" t="s">
        <v>1315</v>
      </c>
      <c r="F3003" s="17" t="s">
        <v>1316</v>
      </c>
      <c r="G3003" s="18" t="n">
        <v>0</v>
      </c>
      <c r="H3003" s="18" t="n">
        <v>16.09</v>
      </c>
      <c r="I3003" s="18" t="n">
        <f aca="false">((I3002 + G3003) - H3003)</f>
        <v>-296.43</v>
      </c>
      <c r="J3003" s="18" t="n">
        <v>0</v>
      </c>
      <c r="K3003" s="19" t="n">
        <v>0</v>
      </c>
      <c r="L3003" s="17" t="s">
        <v>190</v>
      </c>
    </row>
    <row r="3004" s="11" customFormat="true" ht="10.95" hidden="false" customHeight="true" outlineLevel="0" collapsed="false">
      <c r="A3004" s="16" t="n">
        <v>45231</v>
      </c>
      <c r="B3004" s="17" t="s">
        <v>1275</v>
      </c>
      <c r="C3004" s="17" t="s">
        <v>18</v>
      </c>
      <c r="D3004" s="17" t="s">
        <v>1276</v>
      </c>
      <c r="E3004" s="17" t="s">
        <v>1317</v>
      </c>
      <c r="F3004" s="17" t="s">
        <v>1318</v>
      </c>
      <c r="G3004" s="18" t="n">
        <v>0</v>
      </c>
      <c r="H3004" s="18" t="n">
        <v>1.61</v>
      </c>
      <c r="I3004" s="18" t="n">
        <f aca="false">((I3003 + G3004) - H3004)</f>
        <v>-298.04</v>
      </c>
      <c r="J3004" s="18" t="n">
        <v>0</v>
      </c>
      <c r="K3004" s="19" t="n">
        <v>0</v>
      </c>
      <c r="L3004" s="17" t="s">
        <v>190</v>
      </c>
    </row>
    <row r="3005" s="11" customFormat="true" ht="10.95" hidden="false" customHeight="true" outlineLevel="0" collapsed="false">
      <c r="A3005" s="16" t="n">
        <v>45231</v>
      </c>
      <c r="B3005" s="17" t="s">
        <v>1275</v>
      </c>
      <c r="C3005" s="17" t="s">
        <v>18</v>
      </c>
      <c r="D3005" s="17" t="s">
        <v>1276</v>
      </c>
      <c r="E3005" s="17" t="s">
        <v>1319</v>
      </c>
      <c r="F3005" s="17" t="s">
        <v>1320</v>
      </c>
      <c r="G3005" s="18" t="n">
        <v>0</v>
      </c>
      <c r="H3005" s="18" t="n">
        <v>10.76</v>
      </c>
      <c r="I3005" s="18" t="n">
        <f aca="false">((I3004 + G3005) - H3005)</f>
        <v>-308.8</v>
      </c>
      <c r="J3005" s="18" t="n">
        <v>0</v>
      </c>
      <c r="K3005" s="19" t="n">
        <v>0</v>
      </c>
      <c r="L3005" s="17" t="s">
        <v>190</v>
      </c>
    </row>
    <row r="3006" s="11" customFormat="true" ht="10.95" hidden="false" customHeight="true" outlineLevel="0" collapsed="false">
      <c r="A3006" s="16" t="n">
        <v>45232</v>
      </c>
      <c r="B3006" s="17" t="s">
        <v>1275</v>
      </c>
      <c r="C3006" s="17" t="s">
        <v>18</v>
      </c>
      <c r="D3006" s="17" t="s">
        <v>1276</v>
      </c>
      <c r="E3006" s="17" t="s">
        <v>1321</v>
      </c>
      <c r="F3006" s="17" t="s">
        <v>1322</v>
      </c>
      <c r="G3006" s="18" t="n">
        <v>0</v>
      </c>
      <c r="H3006" s="18" t="n">
        <v>26.42</v>
      </c>
      <c r="I3006" s="18" t="n">
        <f aca="false">((I3005 + G3006) - H3006)</f>
        <v>-335.22</v>
      </c>
      <c r="J3006" s="18" t="n">
        <v>0</v>
      </c>
      <c r="K3006" s="19" t="n">
        <v>0</v>
      </c>
      <c r="L3006" s="17" t="s">
        <v>190</v>
      </c>
    </row>
    <row r="3007" s="11" customFormat="true" ht="10.95" hidden="false" customHeight="true" outlineLevel="0" collapsed="false">
      <c r="A3007" s="16" t="n">
        <v>45259</v>
      </c>
      <c r="B3007" s="17" t="s">
        <v>1275</v>
      </c>
      <c r="C3007" s="17" t="s">
        <v>18</v>
      </c>
      <c r="D3007" s="17" t="s">
        <v>1276</v>
      </c>
      <c r="E3007" s="17" t="s">
        <v>1323</v>
      </c>
      <c r="F3007" s="17" t="s">
        <v>1324</v>
      </c>
      <c r="G3007" s="18" t="n">
        <v>0</v>
      </c>
      <c r="H3007" s="18" t="n">
        <v>16.09</v>
      </c>
      <c r="I3007" s="18" t="n">
        <f aca="false">((I3006 + G3007) - H3007)</f>
        <v>-351.31</v>
      </c>
      <c r="J3007" s="18" t="n">
        <v>0</v>
      </c>
      <c r="K3007" s="19" t="n">
        <v>0</v>
      </c>
      <c r="L3007" s="17" t="s">
        <v>190</v>
      </c>
    </row>
    <row r="3008" s="11" customFormat="true" ht="10.95" hidden="false" customHeight="true" outlineLevel="0" collapsed="false">
      <c r="A3008" s="16" t="n">
        <v>45261</v>
      </c>
      <c r="B3008" s="17" t="s">
        <v>1275</v>
      </c>
      <c r="C3008" s="17" t="s">
        <v>18</v>
      </c>
      <c r="D3008" s="17" t="s">
        <v>1276</v>
      </c>
      <c r="E3008" s="17" t="s">
        <v>1325</v>
      </c>
      <c r="F3008" s="17" t="s">
        <v>1326</v>
      </c>
      <c r="G3008" s="18" t="n">
        <v>0</v>
      </c>
      <c r="H3008" s="18" t="n">
        <v>1.58</v>
      </c>
      <c r="I3008" s="18" t="n">
        <f aca="false">((I3007 + G3008) - H3008)</f>
        <v>-352.89</v>
      </c>
      <c r="J3008" s="18" t="n">
        <v>0</v>
      </c>
      <c r="K3008" s="19" t="n">
        <v>0</v>
      </c>
      <c r="L3008" s="17" t="s">
        <v>190</v>
      </c>
    </row>
    <row r="3009" s="11" customFormat="true" ht="10.95" hidden="false" customHeight="true" outlineLevel="0" collapsed="false">
      <c r="A3009" s="16" t="n">
        <v>45262</v>
      </c>
      <c r="B3009" s="17" t="s">
        <v>1275</v>
      </c>
      <c r="C3009" s="17" t="s">
        <v>18</v>
      </c>
      <c r="D3009" s="17" t="s">
        <v>1276</v>
      </c>
      <c r="E3009" s="17" t="s">
        <v>1327</v>
      </c>
      <c r="F3009" s="17" t="s">
        <v>1328</v>
      </c>
      <c r="G3009" s="18" t="n">
        <v>0</v>
      </c>
      <c r="H3009" s="18" t="n">
        <v>27.58</v>
      </c>
      <c r="I3009" s="18" t="n">
        <f aca="false">((I3008 + G3009) - H3009)</f>
        <v>-380.47</v>
      </c>
      <c r="J3009" s="18" t="n">
        <v>0</v>
      </c>
      <c r="K3009" s="19" t="n">
        <v>0</v>
      </c>
      <c r="L3009" s="17" t="s">
        <v>190</v>
      </c>
    </row>
    <row r="3010" s="11" customFormat="true" ht="10.95" hidden="false" customHeight="true" outlineLevel="0" collapsed="false">
      <c r="A3010" s="16" t="n">
        <v>45273</v>
      </c>
      <c r="B3010" s="17" t="s">
        <v>1275</v>
      </c>
      <c r="C3010" s="17" t="s">
        <v>18</v>
      </c>
      <c r="D3010" s="17" t="s">
        <v>1276</v>
      </c>
      <c r="E3010" s="17" t="s">
        <v>1329</v>
      </c>
      <c r="F3010" s="17" t="s">
        <v>1330</v>
      </c>
      <c r="G3010" s="18" t="n">
        <v>0</v>
      </c>
      <c r="H3010" s="18" t="n">
        <v>6.06</v>
      </c>
      <c r="I3010" s="18" t="n">
        <f aca="false">((I3009 + G3010) - H3010)</f>
        <v>-386.53</v>
      </c>
      <c r="J3010" s="18" t="n">
        <v>0</v>
      </c>
      <c r="K3010" s="19" t="n">
        <v>0</v>
      </c>
      <c r="L3010" s="17" t="s">
        <v>190</v>
      </c>
    </row>
    <row r="3011" s="11" customFormat="true" ht="10.95" hidden="false" customHeight="true" outlineLevel="0" collapsed="false">
      <c r="A3011" s="16" t="n">
        <v>45273</v>
      </c>
      <c r="B3011" s="17" t="s">
        <v>1275</v>
      </c>
      <c r="C3011" s="17" t="s">
        <v>18</v>
      </c>
      <c r="D3011" s="17" t="s">
        <v>1276</v>
      </c>
      <c r="E3011" s="17" t="s">
        <v>1331</v>
      </c>
      <c r="F3011" s="17" t="s">
        <v>1332</v>
      </c>
      <c r="G3011" s="18" t="n">
        <v>0</v>
      </c>
      <c r="H3011" s="18" t="n">
        <v>9.07</v>
      </c>
      <c r="I3011" s="18" t="n">
        <f aca="false">((I3010 + G3011) - H3011)</f>
        <v>-395.6</v>
      </c>
      <c r="J3011" s="18" t="n">
        <v>0</v>
      </c>
      <c r="K3011" s="19" t="n">
        <v>0</v>
      </c>
      <c r="L3011" s="17" t="s">
        <v>190</v>
      </c>
    </row>
    <row r="3012" s="11" customFormat="true" ht="10.95" hidden="false" customHeight="true" outlineLevel="0" collapsed="false">
      <c r="A3012" s="16" t="n">
        <v>45275</v>
      </c>
      <c r="B3012" s="17" t="s">
        <v>1275</v>
      </c>
      <c r="C3012" s="17" t="s">
        <v>18</v>
      </c>
      <c r="D3012" s="17" t="s">
        <v>1276</v>
      </c>
      <c r="E3012" s="17" t="s">
        <v>1333</v>
      </c>
      <c r="F3012" s="17" t="s">
        <v>1334</v>
      </c>
      <c r="G3012" s="18" t="n">
        <v>0</v>
      </c>
      <c r="H3012" s="18" t="n">
        <v>30.37</v>
      </c>
      <c r="I3012" s="18" t="n">
        <f aca="false">((I3011 + G3012) - H3012)</f>
        <v>-425.97</v>
      </c>
      <c r="J3012" s="18" t="n">
        <v>0</v>
      </c>
      <c r="K3012" s="19" t="n">
        <v>0</v>
      </c>
      <c r="L3012" s="17" t="s">
        <v>190</v>
      </c>
    </row>
    <row r="3013" s="11" customFormat="true" ht="10.95" hidden="false" customHeight="true" outlineLevel="0" collapsed="false">
      <c r="A3013" s="16" t="n">
        <v>45275</v>
      </c>
      <c r="B3013" s="17" t="s">
        <v>1275</v>
      </c>
      <c r="C3013" s="17" t="s">
        <v>18</v>
      </c>
      <c r="D3013" s="17" t="s">
        <v>1276</v>
      </c>
      <c r="E3013" s="17" t="s">
        <v>1335</v>
      </c>
      <c r="F3013" s="17" t="s">
        <v>1336</v>
      </c>
      <c r="G3013" s="18" t="n">
        <v>0</v>
      </c>
      <c r="H3013" s="18" t="n">
        <v>91.1</v>
      </c>
      <c r="I3013" s="18" t="n">
        <f aca="false">((I3012 + G3013) - H3013)</f>
        <v>-517.07</v>
      </c>
      <c r="J3013" s="18" t="n">
        <v>0</v>
      </c>
      <c r="K3013" s="19" t="n">
        <v>0</v>
      </c>
      <c r="L3013" s="17" t="s">
        <v>190</v>
      </c>
    </row>
    <row r="3014" s="11" customFormat="true" ht="10.95" hidden="false" customHeight="true" outlineLevel="0" collapsed="false">
      <c r="A3014" s="16" t="n">
        <v>45275</v>
      </c>
      <c r="B3014" s="17" t="s">
        <v>1275</v>
      </c>
      <c r="C3014" s="17" t="s">
        <v>18</v>
      </c>
      <c r="D3014" s="17" t="s">
        <v>1276</v>
      </c>
      <c r="E3014" s="17" t="s">
        <v>1337</v>
      </c>
      <c r="F3014" s="17" t="s">
        <v>1338</v>
      </c>
      <c r="G3014" s="18" t="n">
        <v>0</v>
      </c>
      <c r="H3014" s="18" t="n">
        <v>179.87</v>
      </c>
      <c r="I3014" s="18" t="n">
        <f aca="false">((I3013 + G3014) - H3014)</f>
        <v>-696.94</v>
      </c>
      <c r="J3014" s="18" t="n">
        <v>0</v>
      </c>
      <c r="K3014" s="19" t="n">
        <v>0</v>
      </c>
      <c r="L3014" s="17" t="s">
        <v>190</v>
      </c>
    </row>
    <row r="3015" s="11" customFormat="true" ht="10.95" hidden="false" customHeight="true" outlineLevel="0" collapsed="false">
      <c r="A3015" s="16" t="n">
        <v>45280</v>
      </c>
      <c r="B3015" s="17" t="s">
        <v>1275</v>
      </c>
      <c r="C3015" s="17" t="s">
        <v>18</v>
      </c>
      <c r="D3015" s="17" t="s">
        <v>1276</v>
      </c>
      <c r="E3015" s="17" t="s">
        <v>1339</v>
      </c>
      <c r="F3015" s="17" t="s">
        <v>1340</v>
      </c>
      <c r="G3015" s="18" t="n">
        <v>0</v>
      </c>
      <c r="H3015" s="18" t="n">
        <v>34.2</v>
      </c>
      <c r="I3015" s="18" t="n">
        <f aca="false">((I3014 + G3015) - H3015)</f>
        <v>-731.14</v>
      </c>
      <c r="J3015" s="18" t="n">
        <v>0</v>
      </c>
      <c r="K3015" s="19" t="n">
        <v>0</v>
      </c>
      <c r="L3015" s="17" t="s">
        <v>190</v>
      </c>
    </row>
    <row r="3016" s="11" customFormat="true" ht="10.95" hidden="false" customHeight="true" outlineLevel="0" collapsed="false">
      <c r="A3016" s="16" t="n">
        <v>45292</v>
      </c>
      <c r="B3016" s="17" t="s">
        <v>1275</v>
      </c>
      <c r="C3016" s="17" t="s">
        <v>18</v>
      </c>
      <c r="D3016" s="17" t="s">
        <v>1276</v>
      </c>
      <c r="E3016" s="17" t="s">
        <v>1341</v>
      </c>
      <c r="F3016" s="17" t="s">
        <v>1342</v>
      </c>
      <c r="G3016" s="18" t="n">
        <v>0</v>
      </c>
      <c r="H3016" s="18" t="n">
        <v>67</v>
      </c>
      <c r="I3016" s="18" t="n">
        <f aca="false">((I3015 + G3016) - H3016)</f>
        <v>-798.14</v>
      </c>
      <c r="J3016" s="18" t="n">
        <v>0</v>
      </c>
      <c r="K3016" s="19" t="n">
        <v>0</v>
      </c>
      <c r="L3016" s="17" t="s">
        <v>190</v>
      </c>
    </row>
    <row r="3017" s="11" customFormat="true" ht="10.95" hidden="false" customHeight="true" outlineLevel="0" collapsed="false">
      <c r="A3017" s="16" t="n">
        <v>45293</v>
      </c>
      <c r="B3017" s="17" t="s">
        <v>1275</v>
      </c>
      <c r="C3017" s="17" t="s">
        <v>18</v>
      </c>
      <c r="D3017" s="17" t="s">
        <v>1276</v>
      </c>
      <c r="E3017" s="17" t="s">
        <v>1343</v>
      </c>
      <c r="F3017" s="17" t="s">
        <v>1344</v>
      </c>
      <c r="G3017" s="18" t="n">
        <v>0</v>
      </c>
      <c r="H3017" s="18" t="n">
        <v>1.56</v>
      </c>
      <c r="I3017" s="18" t="n">
        <f aca="false">((I3016 + G3017) - H3017)</f>
        <v>-799.7</v>
      </c>
      <c r="J3017" s="18" t="n">
        <v>0</v>
      </c>
      <c r="K3017" s="19" t="n">
        <v>0</v>
      </c>
      <c r="L3017" s="17" t="s">
        <v>190</v>
      </c>
    </row>
    <row r="3018" s="11" customFormat="true" ht="10.95" hidden="false" customHeight="true" outlineLevel="0" collapsed="false">
      <c r="A3018" s="16" t="n">
        <v>45295</v>
      </c>
      <c r="B3018" s="17" t="s">
        <v>1275</v>
      </c>
      <c r="C3018" s="17" t="s">
        <v>18</v>
      </c>
      <c r="D3018" s="17" t="s">
        <v>1276</v>
      </c>
      <c r="E3018" s="17" t="s">
        <v>1345</v>
      </c>
      <c r="F3018" s="17" t="s">
        <v>1346</v>
      </c>
      <c r="G3018" s="18" t="n">
        <v>0</v>
      </c>
      <c r="H3018" s="18" t="n">
        <v>13.39</v>
      </c>
      <c r="I3018" s="18" t="n">
        <f aca="false">((I3017 + G3018) - H3018)</f>
        <v>-813.09</v>
      </c>
      <c r="J3018" s="18" t="n">
        <v>0</v>
      </c>
      <c r="K3018" s="19" t="n">
        <v>0</v>
      </c>
      <c r="L3018" s="17" t="s">
        <v>190</v>
      </c>
    </row>
    <row r="3019" s="11" customFormat="true" ht="10.95" hidden="false" customHeight="true" outlineLevel="0" collapsed="false">
      <c r="A3019" s="16" t="n">
        <v>45317</v>
      </c>
      <c r="B3019" s="17" t="s">
        <v>1275</v>
      </c>
      <c r="C3019" s="17" t="s">
        <v>18</v>
      </c>
      <c r="D3019" s="17" t="s">
        <v>1276</v>
      </c>
      <c r="E3019" s="17" t="s">
        <v>1347</v>
      </c>
      <c r="F3019" s="17" t="s">
        <v>1348</v>
      </c>
      <c r="G3019" s="18" t="n">
        <v>0</v>
      </c>
      <c r="H3019" s="18" t="n">
        <v>57.43</v>
      </c>
      <c r="I3019" s="18" t="n">
        <f aca="false">((I3018 + G3019) - H3019)</f>
        <v>-870.52</v>
      </c>
      <c r="J3019" s="18" t="n">
        <v>0</v>
      </c>
      <c r="K3019" s="19" t="n">
        <v>0</v>
      </c>
      <c r="L3019" s="17" t="s">
        <v>190</v>
      </c>
    </row>
    <row r="3020" s="11" customFormat="true" ht="10.95" hidden="false" customHeight="true" outlineLevel="0" collapsed="false">
      <c r="A3020" s="16" t="n">
        <v>45320</v>
      </c>
      <c r="B3020" s="17" t="s">
        <v>1275</v>
      </c>
      <c r="C3020" s="17" t="s">
        <v>18</v>
      </c>
      <c r="D3020" s="17" t="s">
        <v>1276</v>
      </c>
      <c r="E3020" s="17" t="s">
        <v>1349</v>
      </c>
      <c r="F3020" s="17" t="s">
        <v>1350</v>
      </c>
      <c r="G3020" s="18" t="n">
        <v>0</v>
      </c>
      <c r="H3020" s="18" t="n">
        <v>22.13</v>
      </c>
      <c r="I3020" s="18" t="n">
        <f aca="false">((I3019 + G3020) - H3020)</f>
        <v>-892.65</v>
      </c>
      <c r="J3020" s="18" t="n">
        <v>0</v>
      </c>
      <c r="K3020" s="19" t="n">
        <v>0</v>
      </c>
      <c r="L3020" s="17" t="s">
        <v>190</v>
      </c>
    </row>
    <row r="3021" s="11" customFormat="true" ht="10.95" hidden="false" customHeight="true" outlineLevel="0" collapsed="false">
      <c r="A3021" s="16" t="n">
        <v>45321</v>
      </c>
      <c r="B3021" s="17" t="s">
        <v>1275</v>
      </c>
      <c r="C3021" s="17" t="s">
        <v>18</v>
      </c>
      <c r="D3021" s="17" t="s">
        <v>1276</v>
      </c>
      <c r="E3021" s="17" t="s">
        <v>1351</v>
      </c>
      <c r="F3021" s="17" t="s">
        <v>1352</v>
      </c>
      <c r="G3021" s="18" t="n">
        <v>0</v>
      </c>
      <c r="H3021" s="18" t="n">
        <v>76.06</v>
      </c>
      <c r="I3021" s="18" t="n">
        <f aca="false">((I3020 + G3021) - H3021)</f>
        <v>-968.71</v>
      </c>
      <c r="J3021" s="18" t="n">
        <v>0</v>
      </c>
      <c r="K3021" s="19" t="n">
        <v>0</v>
      </c>
      <c r="L3021" s="17" t="s">
        <v>190</v>
      </c>
    </row>
    <row r="3022" s="11" customFormat="true" ht="10.95" hidden="false" customHeight="true" outlineLevel="0" collapsed="false">
      <c r="A3022" s="16" t="n">
        <v>45323</v>
      </c>
      <c r="B3022" s="17" t="s">
        <v>1275</v>
      </c>
      <c r="C3022" s="17" t="s">
        <v>18</v>
      </c>
      <c r="D3022" s="17" t="s">
        <v>1276</v>
      </c>
      <c r="E3022" s="17" t="s">
        <v>1353</v>
      </c>
      <c r="F3022" s="17" t="s">
        <v>1354</v>
      </c>
      <c r="G3022" s="18" t="n">
        <v>0</v>
      </c>
      <c r="H3022" s="18" t="n">
        <v>1.59</v>
      </c>
      <c r="I3022" s="18" t="n">
        <f aca="false">((I3021 + G3022) - H3022)</f>
        <v>-970.3</v>
      </c>
      <c r="J3022" s="18" t="n">
        <v>0</v>
      </c>
      <c r="K3022" s="19" t="n">
        <v>0</v>
      </c>
      <c r="L3022" s="17" t="s">
        <v>190</v>
      </c>
    </row>
    <row r="3023" s="11" customFormat="true" ht="10.95" hidden="false" customHeight="true" outlineLevel="0" collapsed="false">
      <c r="A3023" s="16" t="n">
        <v>45323</v>
      </c>
      <c r="B3023" s="17" t="s">
        <v>1275</v>
      </c>
      <c r="C3023" s="17" t="s">
        <v>18</v>
      </c>
      <c r="D3023" s="17" t="s">
        <v>1276</v>
      </c>
      <c r="E3023" s="17" t="s">
        <v>1355</v>
      </c>
      <c r="F3023" s="17" t="s">
        <v>1356</v>
      </c>
      <c r="G3023" s="18" t="n">
        <v>0</v>
      </c>
      <c r="H3023" s="18" t="n">
        <v>6.09</v>
      </c>
      <c r="I3023" s="18" t="n">
        <f aca="false">((I3022 + G3023) - H3023)</f>
        <v>-976.39</v>
      </c>
      <c r="J3023" s="18" t="n">
        <v>0</v>
      </c>
      <c r="K3023" s="19" t="n">
        <v>0</v>
      </c>
      <c r="L3023" s="17" t="s">
        <v>190</v>
      </c>
    </row>
    <row r="3024" s="11" customFormat="true" ht="10.95" hidden="false" customHeight="true" outlineLevel="0" collapsed="false">
      <c r="A3024" s="16" t="n">
        <v>45346</v>
      </c>
      <c r="B3024" s="17" t="s">
        <v>1275</v>
      </c>
      <c r="C3024" s="17" t="s">
        <v>18</v>
      </c>
      <c r="D3024" s="17" t="s">
        <v>1276</v>
      </c>
      <c r="E3024" s="17" t="s">
        <v>1357</v>
      </c>
      <c r="F3024" s="17" t="s">
        <v>1358</v>
      </c>
      <c r="G3024" s="18" t="n">
        <v>0</v>
      </c>
      <c r="H3024" s="18" t="n">
        <v>32.52</v>
      </c>
      <c r="I3024" s="18" t="n">
        <f aca="false">((I3023 + G3024) - H3024)</f>
        <v>-1008.91</v>
      </c>
      <c r="J3024" s="18" t="n">
        <v>0</v>
      </c>
      <c r="K3024" s="19" t="n">
        <v>0</v>
      </c>
      <c r="L3024" s="17" t="s">
        <v>190</v>
      </c>
    </row>
    <row r="3025" s="11" customFormat="true" ht="10.95" hidden="false" customHeight="true" outlineLevel="0" collapsed="false">
      <c r="A3025" s="16" t="n">
        <v>45352</v>
      </c>
      <c r="B3025" s="17" t="s">
        <v>1275</v>
      </c>
      <c r="C3025" s="17" t="s">
        <v>18</v>
      </c>
      <c r="D3025" s="17" t="s">
        <v>1276</v>
      </c>
      <c r="E3025" s="17" t="s">
        <v>1359</v>
      </c>
      <c r="F3025" s="17" t="s">
        <v>1360</v>
      </c>
      <c r="G3025" s="18" t="n">
        <v>0</v>
      </c>
      <c r="H3025" s="18" t="n">
        <v>32.72</v>
      </c>
      <c r="I3025" s="18" t="n">
        <f aca="false">((I3024 + G3025) - H3025)</f>
        <v>-1041.63</v>
      </c>
      <c r="J3025" s="18" t="n">
        <v>0</v>
      </c>
      <c r="K3025" s="19" t="n">
        <v>0</v>
      </c>
      <c r="L3025" s="17" t="s">
        <v>190</v>
      </c>
    </row>
    <row r="3026" s="11" customFormat="true" ht="10.95" hidden="false" customHeight="true" outlineLevel="0" collapsed="false">
      <c r="A3026" s="16" t="n">
        <v>45352</v>
      </c>
      <c r="B3026" s="17" t="s">
        <v>1275</v>
      </c>
      <c r="C3026" s="17" t="s">
        <v>18</v>
      </c>
      <c r="D3026" s="17" t="s">
        <v>1276</v>
      </c>
      <c r="E3026" s="17" t="s">
        <v>1361</v>
      </c>
      <c r="F3026" s="17" t="s">
        <v>1362</v>
      </c>
      <c r="G3026" s="18" t="n">
        <v>0</v>
      </c>
      <c r="H3026" s="18" t="n">
        <v>1.6</v>
      </c>
      <c r="I3026" s="18" t="n">
        <f aca="false">((I3025 + G3026) - H3026)</f>
        <v>-1043.23</v>
      </c>
      <c r="J3026" s="18" t="n">
        <v>0</v>
      </c>
      <c r="K3026" s="19" t="n">
        <v>0</v>
      </c>
      <c r="L3026" s="17" t="s">
        <v>190</v>
      </c>
    </row>
    <row r="3027" s="11" customFormat="true" ht="10.95" hidden="false" customHeight="true" outlineLevel="0" collapsed="false">
      <c r="A3027" s="16" t="n">
        <v>45352</v>
      </c>
      <c r="B3027" s="17" t="s">
        <v>1275</v>
      </c>
      <c r="C3027" s="17" t="s">
        <v>18</v>
      </c>
      <c r="D3027" s="17" t="s">
        <v>1276</v>
      </c>
      <c r="E3027" s="17" t="s">
        <v>1363</v>
      </c>
      <c r="F3027" s="17" t="s">
        <v>1364</v>
      </c>
      <c r="G3027" s="18" t="n">
        <v>0</v>
      </c>
      <c r="H3027" s="18" t="n">
        <v>12.79</v>
      </c>
      <c r="I3027" s="18" t="n">
        <f aca="false">((I3026 + G3027) - H3027)</f>
        <v>-1056.02</v>
      </c>
      <c r="J3027" s="18" t="n">
        <v>0</v>
      </c>
      <c r="K3027" s="19" t="n">
        <v>0</v>
      </c>
      <c r="L3027" s="17" t="s">
        <v>190</v>
      </c>
    </row>
    <row r="3028" s="11" customFormat="true" ht="10.95" hidden="false" customHeight="true" outlineLevel="0" collapsed="false">
      <c r="A3028" s="16" t="n">
        <v>45352</v>
      </c>
      <c r="B3028" s="17" t="s">
        <v>1275</v>
      </c>
      <c r="C3028" s="17" t="s">
        <v>18</v>
      </c>
      <c r="D3028" s="17" t="s">
        <v>1276</v>
      </c>
      <c r="E3028" s="17" t="s">
        <v>1365</v>
      </c>
      <c r="F3028" s="17" t="s">
        <v>1366</v>
      </c>
      <c r="G3028" s="18" t="n">
        <v>0</v>
      </c>
      <c r="H3028" s="18" t="n">
        <v>63.87</v>
      </c>
      <c r="I3028" s="18" t="n">
        <f aca="false">((I3027 + G3028) - H3028)</f>
        <v>-1119.89</v>
      </c>
      <c r="J3028" s="18" t="n">
        <v>0</v>
      </c>
      <c r="K3028" s="19" t="n">
        <v>0</v>
      </c>
      <c r="L3028" s="17" t="s">
        <v>190</v>
      </c>
    </row>
    <row r="3029" s="11" customFormat="true" ht="10.95" hidden="false" customHeight="true" outlineLevel="0" collapsed="false">
      <c r="A3029" s="16" t="n">
        <v>45413</v>
      </c>
      <c r="B3029" s="17" t="s">
        <v>1275</v>
      </c>
      <c r="C3029" s="17" t="s">
        <v>18</v>
      </c>
      <c r="D3029" s="17" t="s">
        <v>1276</v>
      </c>
      <c r="E3029" s="17" t="s">
        <v>1367</v>
      </c>
      <c r="F3029" s="17" t="s">
        <v>1368</v>
      </c>
      <c r="G3029" s="18" t="n">
        <v>0</v>
      </c>
      <c r="H3029" s="18" t="n">
        <v>75.64</v>
      </c>
      <c r="I3029" s="18" t="n">
        <f aca="false">((I3028 + G3029) - H3029)</f>
        <v>-1195.53</v>
      </c>
      <c r="J3029" s="18" t="n">
        <v>0</v>
      </c>
      <c r="K3029" s="19" t="n">
        <v>0</v>
      </c>
      <c r="L3029" s="17" t="s">
        <v>190</v>
      </c>
    </row>
    <row r="3030" s="11" customFormat="true" ht="10.95" hidden="false" customHeight="true" outlineLevel="0" collapsed="false">
      <c r="A3030" s="16" t="n">
        <v>45413</v>
      </c>
      <c r="B3030" s="17" t="s">
        <v>1275</v>
      </c>
      <c r="C3030" s="17" t="s">
        <v>18</v>
      </c>
      <c r="D3030" s="17" t="s">
        <v>1276</v>
      </c>
      <c r="E3030" s="17" t="s">
        <v>1369</v>
      </c>
      <c r="F3030" s="17" t="s">
        <v>1370</v>
      </c>
      <c r="G3030" s="18" t="n">
        <v>0</v>
      </c>
      <c r="H3030" s="18" t="n">
        <v>1.58</v>
      </c>
      <c r="I3030" s="18" t="n">
        <f aca="false">((I3029 + G3030) - H3030)</f>
        <v>-1197.11</v>
      </c>
      <c r="J3030" s="18" t="n">
        <v>0</v>
      </c>
      <c r="K3030" s="19" t="n">
        <v>0</v>
      </c>
      <c r="L3030" s="17" t="s">
        <v>190</v>
      </c>
    </row>
    <row r="3031" s="11" customFormat="true" ht="10.95" hidden="false" customHeight="true" outlineLevel="0" collapsed="false">
      <c r="A3031" s="16" t="n">
        <v>45419</v>
      </c>
      <c r="B3031" s="17" t="s">
        <v>1275</v>
      </c>
      <c r="C3031" s="17" t="s">
        <v>18</v>
      </c>
      <c r="D3031" s="17" t="s">
        <v>1276</v>
      </c>
      <c r="E3031" s="17" t="s">
        <v>1371</v>
      </c>
      <c r="F3031" s="17" t="s">
        <v>1372</v>
      </c>
      <c r="G3031" s="18" t="n">
        <v>0</v>
      </c>
      <c r="H3031" s="18" t="n">
        <v>24.25</v>
      </c>
      <c r="I3031" s="18" t="n">
        <f aca="false">((I3030 + G3031) - H3031)</f>
        <v>-1221.36</v>
      </c>
      <c r="J3031" s="18" t="n">
        <v>0</v>
      </c>
      <c r="K3031" s="19" t="n">
        <v>0</v>
      </c>
      <c r="L3031" s="17" t="s">
        <v>190</v>
      </c>
    </row>
    <row r="3032" s="11" customFormat="true" ht="10.95" hidden="false" customHeight="true" outlineLevel="0" collapsed="false">
      <c r="A3032" s="16" t="n">
        <v>45436</v>
      </c>
      <c r="B3032" s="17" t="s">
        <v>1275</v>
      </c>
      <c r="C3032" s="17" t="s">
        <v>18</v>
      </c>
      <c r="D3032" s="17" t="s">
        <v>1276</v>
      </c>
      <c r="E3032" s="17" t="s">
        <v>1373</v>
      </c>
      <c r="F3032" s="17" t="s">
        <v>1374</v>
      </c>
      <c r="G3032" s="18" t="n">
        <v>0</v>
      </c>
      <c r="H3032" s="18" t="n">
        <v>31.01</v>
      </c>
      <c r="I3032" s="18" t="n">
        <f aca="false">((I3031 + G3032) - H3032)</f>
        <v>-1252.37</v>
      </c>
      <c r="J3032" s="18" t="n">
        <v>0</v>
      </c>
      <c r="K3032" s="19" t="n">
        <v>0</v>
      </c>
      <c r="L3032" s="17" t="s">
        <v>190</v>
      </c>
    </row>
    <row r="3033" s="11" customFormat="true" ht="10.95" hidden="false" customHeight="true" outlineLevel="0" collapsed="false">
      <c r="A3033" s="16" t="n">
        <v>45444</v>
      </c>
      <c r="B3033" s="17" t="s">
        <v>1275</v>
      </c>
      <c r="C3033" s="17" t="s">
        <v>18</v>
      </c>
      <c r="D3033" s="17" t="s">
        <v>1276</v>
      </c>
      <c r="E3033" s="17" t="s">
        <v>1375</v>
      </c>
      <c r="F3033" s="17" t="s">
        <v>1376</v>
      </c>
      <c r="G3033" s="18" t="n">
        <v>0</v>
      </c>
      <c r="H3033" s="18" t="n">
        <v>1.55</v>
      </c>
      <c r="I3033" s="18" t="n">
        <f aca="false">((I3032 + G3033) - H3033)</f>
        <v>-1253.92</v>
      </c>
      <c r="J3033" s="18" t="n">
        <v>0</v>
      </c>
      <c r="K3033" s="19" t="n">
        <v>0</v>
      </c>
      <c r="L3033" s="17" t="s">
        <v>190</v>
      </c>
    </row>
    <row r="3034" s="11" customFormat="true" ht="10.95" hidden="false" customHeight="true" outlineLevel="0" collapsed="false">
      <c r="A3034" s="16" t="n">
        <v>45445</v>
      </c>
      <c r="B3034" s="17" t="s">
        <v>1275</v>
      </c>
      <c r="C3034" s="17" t="s">
        <v>18</v>
      </c>
      <c r="D3034" s="17" t="s">
        <v>1276</v>
      </c>
      <c r="E3034" s="17" t="s">
        <v>1377</v>
      </c>
      <c r="F3034" s="17" t="s">
        <v>1378</v>
      </c>
      <c r="G3034" s="18" t="n">
        <v>0</v>
      </c>
      <c r="H3034" s="18" t="n">
        <v>24.25</v>
      </c>
      <c r="I3034" s="18" t="n">
        <f aca="false">((I3033 + G3034) - H3034)</f>
        <v>-1278.17</v>
      </c>
      <c r="J3034" s="18" t="n">
        <v>0</v>
      </c>
      <c r="K3034" s="19" t="n">
        <v>0</v>
      </c>
      <c r="L3034" s="17" t="s">
        <v>190</v>
      </c>
    </row>
    <row r="3035" s="11" customFormat="true" ht="10.95" hidden="false" customHeight="true" outlineLevel="0" collapsed="false">
      <c r="A3035" s="16" t="n">
        <v>45446</v>
      </c>
      <c r="B3035" s="17" t="s">
        <v>1275</v>
      </c>
      <c r="C3035" s="17" t="s">
        <v>18</v>
      </c>
      <c r="D3035" s="17" t="s">
        <v>1276</v>
      </c>
      <c r="E3035" s="17" t="s">
        <v>1379</v>
      </c>
      <c r="F3035" s="17" t="s">
        <v>1380</v>
      </c>
      <c r="G3035" s="18" t="n">
        <v>0</v>
      </c>
      <c r="H3035" s="18" t="n">
        <v>7.24</v>
      </c>
      <c r="I3035" s="18" t="n">
        <f aca="false">((I3034 + G3035) - H3035)</f>
        <v>-1285.41</v>
      </c>
      <c r="J3035" s="18" t="n">
        <v>0</v>
      </c>
      <c r="K3035" s="19" t="n">
        <v>0</v>
      </c>
      <c r="L3035" s="17" t="s">
        <v>190</v>
      </c>
    </row>
    <row r="3036" s="11" customFormat="true" ht="10.95" hidden="false" customHeight="true" outlineLevel="0" collapsed="false">
      <c r="A3036" s="16" t="n">
        <v>45470</v>
      </c>
      <c r="B3036" s="17" t="s">
        <v>1275</v>
      </c>
      <c r="C3036" s="17" t="s">
        <v>18</v>
      </c>
      <c r="D3036" s="17" t="s">
        <v>1276</v>
      </c>
      <c r="E3036" s="17" t="s">
        <v>1381</v>
      </c>
      <c r="F3036" s="17" t="s">
        <v>1382</v>
      </c>
      <c r="G3036" s="18" t="n">
        <v>0</v>
      </c>
      <c r="H3036" s="18" t="n">
        <v>28.95</v>
      </c>
      <c r="I3036" s="18" t="n">
        <f aca="false">((I3035 + G3036) - H3036)</f>
        <v>-1314.36</v>
      </c>
      <c r="J3036" s="18" t="n">
        <v>0</v>
      </c>
      <c r="K3036" s="19" t="n">
        <v>0</v>
      </c>
      <c r="L3036" s="17" t="s">
        <v>190</v>
      </c>
    </row>
    <row r="3037" s="11" customFormat="true" ht="10.95" hidden="false" customHeight="true" outlineLevel="0" collapsed="false">
      <c r="A3037" s="16" t="n">
        <v>45473</v>
      </c>
      <c r="B3037" s="17" t="s">
        <v>1275</v>
      </c>
      <c r="C3037" s="17" t="s">
        <v>18</v>
      </c>
      <c r="D3037" s="17" t="s">
        <v>1276</v>
      </c>
      <c r="E3037" s="17" t="s">
        <v>1383</v>
      </c>
      <c r="F3037" s="17" t="s">
        <v>1384</v>
      </c>
      <c r="G3037" s="18" t="n">
        <v>0</v>
      </c>
      <c r="H3037" s="18" t="n">
        <v>12.33</v>
      </c>
      <c r="I3037" s="18" t="n">
        <f aca="false">((I3036 + G3037) - H3037)</f>
        <v>-1326.69</v>
      </c>
      <c r="J3037" s="18" t="n">
        <v>0</v>
      </c>
      <c r="K3037" s="19" t="n">
        <v>0</v>
      </c>
      <c r="L3037" s="17" t="s">
        <v>190</v>
      </c>
    </row>
    <row r="3038" s="11" customFormat="true" ht="10.95" hidden="false" customHeight="true" outlineLevel="0" collapsed="false">
      <c r="A3038" s="16" t="n">
        <v>45473</v>
      </c>
      <c r="B3038" s="17" t="s">
        <v>1275</v>
      </c>
      <c r="C3038" s="17" t="s">
        <v>18</v>
      </c>
      <c r="D3038" s="17" t="s">
        <v>1276</v>
      </c>
      <c r="E3038" s="17" t="s">
        <v>1385</v>
      </c>
      <c r="F3038" s="17" t="s">
        <v>1386</v>
      </c>
      <c r="G3038" s="18" t="n">
        <v>0</v>
      </c>
      <c r="H3038" s="18" t="n">
        <v>8.22</v>
      </c>
      <c r="I3038" s="18" t="n">
        <f aca="false">((I3037 + G3038) - H3038)</f>
        <v>-1334.91</v>
      </c>
      <c r="J3038" s="18" t="n">
        <v>0</v>
      </c>
      <c r="K3038" s="19" t="n">
        <v>0</v>
      </c>
      <c r="L3038" s="17" t="s">
        <v>190</v>
      </c>
    </row>
    <row r="3039" s="11" customFormat="true" ht="10.95" hidden="false" customHeight="true" outlineLevel="0" collapsed="false">
      <c r="A3039" s="21" t="s">
        <v>1387</v>
      </c>
      <c r="B3039" s="21"/>
      <c r="C3039" s="21"/>
      <c r="D3039" s="21"/>
      <c r="E3039" s="21"/>
      <c r="F3039" s="21"/>
      <c r="G3039" s="22" t="n">
        <f aca="false">SUM(G2984:G3038)</f>
        <v>0</v>
      </c>
      <c r="H3039" s="22" t="n">
        <f aca="false">SUM(H2984:H3038)</f>
        <v>1334.91</v>
      </c>
      <c r="I3039" s="22" t="n">
        <f aca="false">I3038</f>
        <v>-1334.91</v>
      </c>
      <c r="J3039" s="22" t="n">
        <f aca="false">SUM(J2984:J3038)</f>
        <v>0</v>
      </c>
      <c r="K3039" s="21"/>
      <c r="L3039" s="21"/>
    </row>
    <row r="3040" s="11" customFormat="true" ht="10.95" hidden="false" customHeight="true" outlineLevel="0" collapsed="false">
      <c r="A3040" s="21" t="s">
        <v>784</v>
      </c>
      <c r="B3040" s="21"/>
      <c r="C3040" s="21"/>
      <c r="D3040" s="21"/>
      <c r="E3040" s="21"/>
      <c r="F3040" s="21"/>
      <c r="G3040" s="22" t="n">
        <v>0</v>
      </c>
      <c r="H3040" s="22" t="n">
        <v>1334.91</v>
      </c>
      <c r="I3040" s="22" t="n">
        <v>0</v>
      </c>
      <c r="J3040" s="22" t="n">
        <v>0</v>
      </c>
      <c r="K3040" s="21"/>
      <c r="L3040" s="21"/>
    </row>
    <row r="3041" s="11" customFormat="true" ht="10.95" hidden="false" customHeight="true" outlineLevel="0" collapsed="false">
      <c r="A3041" s="9" t="s">
        <v>785</v>
      </c>
      <c r="B3041" s="9"/>
      <c r="C3041" s="9"/>
      <c r="D3041" s="9"/>
      <c r="E3041" s="9"/>
      <c r="F3041" s="9"/>
      <c r="G3041" s="10" t="n">
        <v>0</v>
      </c>
      <c r="H3041" s="10" t="n">
        <v>1334.91</v>
      </c>
      <c r="I3041" s="10" t="n">
        <f aca="false">I3038</f>
        <v>-1334.91</v>
      </c>
      <c r="J3041" s="10" t="n">
        <v>0</v>
      </c>
      <c r="K3041" s="9"/>
      <c r="L3041" s="9"/>
    </row>
    <row r="3042" customFormat="false" ht="13.35" hidden="false" customHeight="true" outlineLevel="0" collapsed="false"/>
    <row r="3043" s="7" customFormat="true" ht="12.1" hidden="false" customHeight="true" outlineLevel="0" collapsed="false">
      <c r="A3043" s="8" t="s">
        <v>1388</v>
      </c>
      <c r="B3043" s="8"/>
      <c r="C3043" s="8"/>
      <c r="D3043" s="8"/>
      <c r="E3043" s="8"/>
      <c r="F3043" s="8"/>
      <c r="G3043" s="8"/>
      <c r="H3043" s="8"/>
      <c r="I3043" s="8"/>
      <c r="J3043" s="8"/>
      <c r="K3043" s="8"/>
      <c r="L3043" s="8"/>
    </row>
    <row r="3044" s="11" customFormat="true" ht="10.95" hidden="false" customHeight="true" outlineLevel="0" collapsed="false">
      <c r="A3044" s="9" t="s">
        <v>16</v>
      </c>
      <c r="B3044" s="9"/>
      <c r="C3044" s="9"/>
      <c r="D3044" s="9"/>
      <c r="E3044" s="9"/>
      <c r="F3044" s="9"/>
      <c r="G3044" s="10" t="n">
        <v>0</v>
      </c>
      <c r="H3044" s="10" t="n">
        <v>0</v>
      </c>
      <c r="I3044" s="10" t="n">
        <f aca="false">(G3044 - H3044)</f>
        <v>0</v>
      </c>
      <c r="J3044" s="10" t="n">
        <v>0</v>
      </c>
      <c r="K3044" s="9"/>
      <c r="L3044" s="9"/>
    </row>
    <row r="3045" s="11" customFormat="true" ht="10.95" hidden="false" customHeight="true" outlineLevel="0" collapsed="false">
      <c r="A3045" s="12" t="n">
        <v>45108</v>
      </c>
      <c r="B3045" s="13" t="s">
        <v>1389</v>
      </c>
      <c r="C3045" s="13" t="s">
        <v>1390</v>
      </c>
      <c r="D3045" s="13" t="s">
        <v>1391</v>
      </c>
      <c r="E3045" s="13" t="s">
        <v>1392</v>
      </c>
      <c r="F3045" s="13" t="s">
        <v>1393</v>
      </c>
      <c r="G3045" s="14" t="n">
        <v>489.78</v>
      </c>
      <c r="H3045" s="14" t="n">
        <v>0</v>
      </c>
      <c r="I3045" s="14" t="n">
        <f aca="false">((I3044 + G3045) - H3045)</f>
        <v>489.78</v>
      </c>
      <c r="J3045" s="14" t="n">
        <v>48.98</v>
      </c>
      <c r="K3045" s="15" t="n">
        <v>10</v>
      </c>
      <c r="L3045" s="13" t="s">
        <v>44</v>
      </c>
    </row>
    <row r="3046" s="11" customFormat="true" ht="10.95" hidden="false" customHeight="true" outlineLevel="0" collapsed="false">
      <c r="A3046" s="16" t="n">
        <v>45108</v>
      </c>
      <c r="B3046" s="17" t="s">
        <v>1389</v>
      </c>
      <c r="C3046" s="17" t="s">
        <v>1390</v>
      </c>
      <c r="D3046" s="17" t="s">
        <v>1391</v>
      </c>
      <c r="E3046" s="17" t="s">
        <v>1394</v>
      </c>
      <c r="F3046" s="17" t="s">
        <v>1395</v>
      </c>
      <c r="G3046" s="18" t="n">
        <v>1596.2</v>
      </c>
      <c r="H3046" s="18" t="n">
        <v>0</v>
      </c>
      <c r="I3046" s="18" t="n">
        <f aca="false">((I3045 + G3046) - H3046)</f>
        <v>2085.98</v>
      </c>
      <c r="J3046" s="18" t="n">
        <v>159.62</v>
      </c>
      <c r="K3046" s="19" t="n">
        <v>10</v>
      </c>
      <c r="L3046" s="17" t="s">
        <v>44</v>
      </c>
    </row>
    <row r="3047" s="11" customFormat="true" ht="10.95" hidden="false" customHeight="true" outlineLevel="0" collapsed="false">
      <c r="A3047" s="16" t="n">
        <v>45108</v>
      </c>
      <c r="B3047" s="17" t="s">
        <v>1389</v>
      </c>
      <c r="C3047" s="17" t="s">
        <v>1390</v>
      </c>
      <c r="D3047" s="17" t="s">
        <v>1396</v>
      </c>
      <c r="E3047" s="17" t="s">
        <v>1397</v>
      </c>
      <c r="F3047" s="17" t="s">
        <v>1398</v>
      </c>
      <c r="G3047" s="18" t="n">
        <v>4231.93</v>
      </c>
      <c r="H3047" s="18" t="n">
        <v>0</v>
      </c>
      <c r="I3047" s="18" t="n">
        <f aca="false">((I3046 + G3047) - H3047)</f>
        <v>6317.91</v>
      </c>
      <c r="J3047" s="18" t="n">
        <v>0</v>
      </c>
      <c r="K3047" s="19" t="n">
        <v>0</v>
      </c>
      <c r="L3047" s="17" t="s">
        <v>1399</v>
      </c>
    </row>
    <row r="3048" s="11" customFormat="true" ht="10.95" hidden="false" customHeight="true" outlineLevel="0" collapsed="false">
      <c r="A3048" s="16" t="n">
        <v>45110</v>
      </c>
      <c r="B3048" s="17" t="s">
        <v>1389</v>
      </c>
      <c r="C3048" s="17" t="s">
        <v>1390</v>
      </c>
      <c r="D3048" s="17" t="s">
        <v>1391</v>
      </c>
      <c r="E3048" s="17" t="s">
        <v>1400</v>
      </c>
      <c r="F3048" s="17" t="s">
        <v>1401</v>
      </c>
      <c r="G3048" s="18" t="n">
        <v>1680</v>
      </c>
      <c r="H3048" s="18" t="n">
        <v>0</v>
      </c>
      <c r="I3048" s="18" t="n">
        <f aca="false">((I3047 + G3048) - H3048)</f>
        <v>7997.91</v>
      </c>
      <c r="J3048" s="18" t="n">
        <v>168</v>
      </c>
      <c r="K3048" s="19" t="n">
        <v>10</v>
      </c>
      <c r="L3048" s="17" t="s">
        <v>44</v>
      </c>
    </row>
    <row r="3049" s="11" customFormat="true" ht="10.95" hidden="false" customHeight="true" outlineLevel="0" collapsed="false">
      <c r="A3049" s="16" t="n">
        <v>45111</v>
      </c>
      <c r="B3049" s="17" t="s">
        <v>1389</v>
      </c>
      <c r="C3049" s="17" t="s">
        <v>1390</v>
      </c>
      <c r="D3049" s="17" t="s">
        <v>1391</v>
      </c>
      <c r="E3049" s="17" t="s">
        <v>1402</v>
      </c>
      <c r="F3049" s="17" t="s">
        <v>1403</v>
      </c>
      <c r="G3049" s="18" t="n">
        <v>12021.3</v>
      </c>
      <c r="H3049" s="18" t="n">
        <v>0</v>
      </c>
      <c r="I3049" s="18" t="n">
        <f aca="false">((I3048 + G3049) - H3049)</f>
        <v>20019.21</v>
      </c>
      <c r="J3049" s="18" t="n">
        <v>1202.13</v>
      </c>
      <c r="K3049" s="19" t="n">
        <v>10</v>
      </c>
      <c r="L3049" s="17" t="s">
        <v>44</v>
      </c>
    </row>
    <row r="3050" s="11" customFormat="true" ht="10.95" hidden="false" customHeight="true" outlineLevel="0" collapsed="false">
      <c r="A3050" s="16" t="n">
        <v>45113</v>
      </c>
      <c r="B3050" s="17" t="s">
        <v>1389</v>
      </c>
      <c r="C3050" s="17" t="s">
        <v>1390</v>
      </c>
      <c r="D3050" s="17" t="s">
        <v>1391</v>
      </c>
      <c r="E3050" s="17" t="s">
        <v>1404</v>
      </c>
      <c r="F3050" s="17" t="s">
        <v>1405</v>
      </c>
      <c r="G3050" s="18" t="n">
        <v>3677.07</v>
      </c>
      <c r="H3050" s="18" t="n">
        <v>0</v>
      </c>
      <c r="I3050" s="18" t="n">
        <f aca="false">((I3049 + G3050) - H3050)</f>
        <v>23696.28</v>
      </c>
      <c r="J3050" s="18" t="n">
        <v>0</v>
      </c>
      <c r="K3050" s="19" t="n">
        <v>0</v>
      </c>
      <c r="L3050" s="17" t="s">
        <v>1406</v>
      </c>
    </row>
    <row r="3051" s="11" customFormat="true" ht="10.95" hidden="false" customHeight="true" outlineLevel="0" collapsed="false">
      <c r="A3051" s="16" t="n">
        <v>45120</v>
      </c>
      <c r="B3051" s="17" t="s">
        <v>1389</v>
      </c>
      <c r="C3051" s="17" t="s">
        <v>1390</v>
      </c>
      <c r="D3051" s="17" t="s">
        <v>1407</v>
      </c>
      <c r="E3051" s="17" t="s">
        <v>1408</v>
      </c>
      <c r="F3051" s="17" t="s">
        <v>1409</v>
      </c>
      <c r="G3051" s="18" t="n">
        <v>3677.22</v>
      </c>
      <c r="H3051" s="18" t="n">
        <v>0</v>
      </c>
      <c r="I3051" s="18" t="n">
        <f aca="false">((I3050 + G3051) - H3051)</f>
        <v>27373.5</v>
      </c>
      <c r="J3051" s="18" t="n">
        <v>367.72</v>
      </c>
      <c r="K3051" s="19" t="n">
        <v>10</v>
      </c>
      <c r="L3051" s="17" t="s">
        <v>44</v>
      </c>
    </row>
    <row r="3052" s="11" customFormat="true" ht="10.95" hidden="false" customHeight="true" outlineLevel="0" collapsed="false">
      <c r="A3052" s="16" t="n">
        <v>45120</v>
      </c>
      <c r="B3052" s="17" t="s">
        <v>1389</v>
      </c>
      <c r="C3052" s="17" t="s">
        <v>1390</v>
      </c>
      <c r="D3052" s="17" t="s">
        <v>1407</v>
      </c>
      <c r="E3052" s="17" t="s">
        <v>1410</v>
      </c>
      <c r="F3052" s="17" t="s">
        <v>1409</v>
      </c>
      <c r="G3052" s="18" t="n">
        <v>0</v>
      </c>
      <c r="H3052" s="18" t="n">
        <v>2440.79</v>
      </c>
      <c r="I3052" s="18" t="n">
        <f aca="false">((I3051 + G3052) - H3052)</f>
        <v>24932.71</v>
      </c>
      <c r="J3052" s="18" t="n">
        <v>-244.08</v>
      </c>
      <c r="K3052" s="19" t="n">
        <v>10</v>
      </c>
      <c r="L3052" s="17" t="s">
        <v>44</v>
      </c>
    </row>
    <row r="3053" s="11" customFormat="true" ht="10.95" hidden="false" customHeight="true" outlineLevel="0" collapsed="false">
      <c r="A3053" s="16" t="n">
        <v>45125</v>
      </c>
      <c r="B3053" s="17" t="s">
        <v>1389</v>
      </c>
      <c r="C3053" s="17" t="s">
        <v>1390</v>
      </c>
      <c r="D3053" s="17" t="s">
        <v>1407</v>
      </c>
      <c r="E3053" s="17" t="s">
        <v>1411</v>
      </c>
      <c r="F3053" s="17"/>
      <c r="G3053" s="18" t="n">
        <v>0</v>
      </c>
      <c r="H3053" s="18" t="n">
        <v>440</v>
      </c>
      <c r="I3053" s="18" t="n">
        <f aca="false">((I3052 + G3053) - H3053)</f>
        <v>24492.71</v>
      </c>
      <c r="J3053" s="18" t="n">
        <v>0</v>
      </c>
      <c r="K3053" s="19" t="n">
        <v>0</v>
      </c>
      <c r="L3053" s="17" t="s">
        <v>1406</v>
      </c>
    </row>
    <row r="3054" s="11" customFormat="true" ht="10.95" hidden="false" customHeight="true" outlineLevel="0" collapsed="false">
      <c r="A3054" s="16" t="n">
        <v>45135</v>
      </c>
      <c r="B3054" s="17" t="s">
        <v>1389</v>
      </c>
      <c r="C3054" s="17" t="s">
        <v>1390</v>
      </c>
      <c r="D3054" s="17" t="s">
        <v>1407</v>
      </c>
      <c r="E3054" s="17" t="s">
        <v>1412</v>
      </c>
      <c r="F3054" s="17"/>
      <c r="G3054" s="18" t="n">
        <v>3696</v>
      </c>
      <c r="H3054" s="18" t="n">
        <v>0</v>
      </c>
      <c r="I3054" s="18" t="n">
        <f aca="false">((I3053 + G3054) - H3054)</f>
        <v>28188.71</v>
      </c>
      <c r="J3054" s="18" t="n">
        <v>369.6</v>
      </c>
      <c r="K3054" s="19" t="n">
        <v>10</v>
      </c>
      <c r="L3054" s="17" t="s">
        <v>44</v>
      </c>
    </row>
    <row r="3055" s="11" customFormat="true" ht="10.95" hidden="false" customHeight="true" outlineLevel="0" collapsed="false">
      <c r="A3055" s="16" t="n">
        <v>45135</v>
      </c>
      <c r="B3055" s="17" t="s">
        <v>1389</v>
      </c>
      <c r="C3055" s="17" t="s">
        <v>1390</v>
      </c>
      <c r="D3055" s="17" t="s">
        <v>1391</v>
      </c>
      <c r="E3055" s="17" t="s">
        <v>1413</v>
      </c>
      <c r="F3055" s="17" t="s">
        <v>1414</v>
      </c>
      <c r="G3055" s="18" t="n">
        <v>3785.06</v>
      </c>
      <c r="H3055" s="18" t="n">
        <v>0</v>
      </c>
      <c r="I3055" s="18" t="n">
        <f aca="false">((I3054 + G3055) - H3055)</f>
        <v>31973.77</v>
      </c>
      <c r="J3055" s="18" t="n">
        <v>378.51</v>
      </c>
      <c r="K3055" s="19" t="n">
        <v>10</v>
      </c>
      <c r="L3055" s="17" t="s">
        <v>44</v>
      </c>
    </row>
    <row r="3056" s="11" customFormat="true" ht="10.95" hidden="false" customHeight="true" outlineLevel="0" collapsed="false">
      <c r="A3056" s="16" t="n">
        <v>45138</v>
      </c>
      <c r="B3056" s="17" t="s">
        <v>1389</v>
      </c>
      <c r="C3056" s="17" t="s">
        <v>1390</v>
      </c>
      <c r="D3056" s="17" t="s">
        <v>1391</v>
      </c>
      <c r="E3056" s="17" t="s">
        <v>1415</v>
      </c>
      <c r="F3056" s="17" t="s">
        <v>1416</v>
      </c>
      <c r="G3056" s="18" t="n">
        <v>3559.45</v>
      </c>
      <c r="H3056" s="18" t="n">
        <v>0</v>
      </c>
      <c r="I3056" s="18" t="n">
        <f aca="false">((I3055 + G3056) - H3056)</f>
        <v>35533.22</v>
      </c>
      <c r="J3056" s="18" t="n">
        <v>0</v>
      </c>
      <c r="K3056" s="19" t="n">
        <v>0</v>
      </c>
      <c r="L3056" s="17" t="s">
        <v>1406</v>
      </c>
    </row>
    <row r="3057" s="11" customFormat="true" ht="10.95" hidden="false" customHeight="true" outlineLevel="0" collapsed="false">
      <c r="A3057" s="16" t="n">
        <v>45139</v>
      </c>
      <c r="B3057" s="17" t="s">
        <v>1389</v>
      </c>
      <c r="C3057" s="17" t="s">
        <v>1390</v>
      </c>
      <c r="D3057" s="17" t="s">
        <v>1391</v>
      </c>
      <c r="E3057" s="17" t="s">
        <v>1417</v>
      </c>
      <c r="F3057" s="17" t="s">
        <v>1418</v>
      </c>
      <c r="G3057" s="18" t="n">
        <v>489.78</v>
      </c>
      <c r="H3057" s="18" t="n">
        <v>0</v>
      </c>
      <c r="I3057" s="18" t="n">
        <f aca="false">((I3056 + G3057) - H3057)</f>
        <v>36023</v>
      </c>
      <c r="J3057" s="18" t="n">
        <v>48.98</v>
      </c>
      <c r="K3057" s="19" t="n">
        <v>10</v>
      </c>
      <c r="L3057" s="17" t="s">
        <v>44</v>
      </c>
    </row>
    <row r="3058" s="11" customFormat="true" ht="10.95" hidden="false" customHeight="true" outlineLevel="0" collapsed="false">
      <c r="A3058" s="16" t="n">
        <v>45139</v>
      </c>
      <c r="B3058" s="17" t="s">
        <v>1389</v>
      </c>
      <c r="C3058" s="17" t="s">
        <v>1390</v>
      </c>
      <c r="D3058" s="17" t="s">
        <v>1391</v>
      </c>
      <c r="E3058" s="17" t="s">
        <v>1419</v>
      </c>
      <c r="F3058" s="17" t="s">
        <v>1420</v>
      </c>
      <c r="G3058" s="18" t="n">
        <v>1696.2</v>
      </c>
      <c r="H3058" s="18" t="n">
        <v>0</v>
      </c>
      <c r="I3058" s="18" t="n">
        <f aca="false">((I3057 + G3058) - H3058)</f>
        <v>37719.2</v>
      </c>
      <c r="J3058" s="18" t="n">
        <v>169.62</v>
      </c>
      <c r="K3058" s="19" t="n">
        <v>10</v>
      </c>
      <c r="L3058" s="17" t="s">
        <v>44</v>
      </c>
    </row>
    <row r="3059" s="11" customFormat="true" ht="10.95" hidden="false" customHeight="true" outlineLevel="0" collapsed="false">
      <c r="A3059" s="16" t="n">
        <v>45141</v>
      </c>
      <c r="B3059" s="17" t="s">
        <v>1389</v>
      </c>
      <c r="C3059" s="17" t="s">
        <v>1390</v>
      </c>
      <c r="D3059" s="17" t="s">
        <v>1391</v>
      </c>
      <c r="E3059" s="17" t="s">
        <v>1421</v>
      </c>
      <c r="F3059" s="17" t="s">
        <v>1422</v>
      </c>
      <c r="G3059" s="18" t="n">
        <v>1635</v>
      </c>
      <c r="H3059" s="18" t="n">
        <v>0</v>
      </c>
      <c r="I3059" s="18" t="n">
        <f aca="false">((I3058 + G3059) - H3059)</f>
        <v>39354.2</v>
      </c>
      <c r="J3059" s="18" t="n">
        <v>163.5</v>
      </c>
      <c r="K3059" s="19" t="n">
        <v>10</v>
      </c>
      <c r="L3059" s="17" t="s">
        <v>44</v>
      </c>
    </row>
    <row r="3060" s="11" customFormat="true" ht="10.95" hidden="false" customHeight="true" outlineLevel="0" collapsed="false">
      <c r="A3060" s="16" t="n">
        <v>45145</v>
      </c>
      <c r="B3060" s="17" t="s">
        <v>1389</v>
      </c>
      <c r="C3060" s="17" t="s">
        <v>1390</v>
      </c>
      <c r="D3060" s="17" t="s">
        <v>1391</v>
      </c>
      <c r="E3060" s="17" t="s">
        <v>1423</v>
      </c>
      <c r="F3060" s="17" t="s">
        <v>1424</v>
      </c>
      <c r="G3060" s="18" t="n">
        <v>12021.3</v>
      </c>
      <c r="H3060" s="18" t="n">
        <v>0</v>
      </c>
      <c r="I3060" s="18" t="n">
        <f aca="false">((I3059 + G3060) - H3060)</f>
        <v>51375.5</v>
      </c>
      <c r="J3060" s="18" t="n">
        <v>1202.13</v>
      </c>
      <c r="K3060" s="19" t="n">
        <v>10</v>
      </c>
      <c r="L3060" s="17" t="s">
        <v>44</v>
      </c>
    </row>
    <row r="3061" s="11" customFormat="true" ht="10.95" hidden="false" customHeight="true" outlineLevel="0" collapsed="false">
      <c r="A3061" s="16" t="n">
        <v>45147</v>
      </c>
      <c r="B3061" s="17" t="s">
        <v>1389</v>
      </c>
      <c r="C3061" s="17" t="s">
        <v>1390</v>
      </c>
      <c r="D3061" s="17" t="s">
        <v>1407</v>
      </c>
      <c r="E3061" s="17" t="s">
        <v>1425</v>
      </c>
      <c r="F3061" s="17"/>
      <c r="G3061" s="18" t="n">
        <v>386.33</v>
      </c>
      <c r="H3061" s="18" t="n">
        <v>0</v>
      </c>
      <c r="I3061" s="18" t="n">
        <f aca="false">((I3060 + G3061) - H3061)</f>
        <v>51761.83</v>
      </c>
      <c r="J3061" s="18" t="n">
        <v>38.63</v>
      </c>
      <c r="K3061" s="19" t="n">
        <v>10</v>
      </c>
      <c r="L3061" s="17" t="s">
        <v>44</v>
      </c>
    </row>
    <row r="3062" s="11" customFormat="true" ht="10.95" hidden="false" customHeight="true" outlineLevel="0" collapsed="false">
      <c r="A3062" s="16" t="n">
        <v>45160</v>
      </c>
      <c r="B3062" s="17" t="s">
        <v>1389</v>
      </c>
      <c r="C3062" s="17" t="s">
        <v>1390</v>
      </c>
      <c r="D3062" s="17" t="s">
        <v>1391</v>
      </c>
      <c r="E3062" s="17" t="s">
        <v>1426</v>
      </c>
      <c r="F3062" s="17" t="s">
        <v>1427</v>
      </c>
      <c r="G3062" s="18" t="n">
        <v>466.61</v>
      </c>
      <c r="H3062" s="18" t="n">
        <v>0</v>
      </c>
      <c r="I3062" s="18" t="n">
        <f aca="false">((I3061 + G3062) - H3062)</f>
        <v>52228.44</v>
      </c>
      <c r="J3062" s="18" t="n">
        <v>0</v>
      </c>
      <c r="K3062" s="19" t="n">
        <v>0</v>
      </c>
      <c r="L3062" s="17" t="s">
        <v>1406</v>
      </c>
    </row>
    <row r="3063" s="11" customFormat="true" ht="10.95" hidden="false" customHeight="true" outlineLevel="0" collapsed="false">
      <c r="A3063" s="16" t="n">
        <v>45166</v>
      </c>
      <c r="B3063" s="17" t="s">
        <v>1389</v>
      </c>
      <c r="C3063" s="17" t="s">
        <v>1390</v>
      </c>
      <c r="D3063" s="17" t="s">
        <v>1391</v>
      </c>
      <c r="E3063" s="17" t="s">
        <v>1428</v>
      </c>
      <c r="F3063" s="17" t="s">
        <v>1429</v>
      </c>
      <c r="G3063" s="18" t="n">
        <v>4176.18</v>
      </c>
      <c r="H3063" s="18" t="n">
        <v>0</v>
      </c>
      <c r="I3063" s="18" t="n">
        <f aca="false">((I3062 + G3063) - H3063)</f>
        <v>56404.62</v>
      </c>
      <c r="J3063" s="18" t="n">
        <v>417.62</v>
      </c>
      <c r="K3063" s="19" t="n">
        <v>10</v>
      </c>
      <c r="L3063" s="17" t="s">
        <v>44</v>
      </c>
    </row>
    <row r="3064" s="11" customFormat="true" ht="10.95" hidden="false" customHeight="true" outlineLevel="0" collapsed="false">
      <c r="A3064" s="16" t="n">
        <v>45170</v>
      </c>
      <c r="B3064" s="17" t="s">
        <v>1389</v>
      </c>
      <c r="C3064" s="17" t="s">
        <v>1390</v>
      </c>
      <c r="D3064" s="17" t="s">
        <v>1391</v>
      </c>
      <c r="E3064" s="17" t="s">
        <v>1430</v>
      </c>
      <c r="F3064" s="17" t="s">
        <v>1431</v>
      </c>
      <c r="G3064" s="18" t="n">
        <v>489.78</v>
      </c>
      <c r="H3064" s="18" t="n">
        <v>0</v>
      </c>
      <c r="I3064" s="18" t="n">
        <f aca="false">((I3063 + G3064) - H3064)</f>
        <v>56894.4</v>
      </c>
      <c r="J3064" s="18" t="n">
        <v>48.98</v>
      </c>
      <c r="K3064" s="19" t="n">
        <v>10</v>
      </c>
      <c r="L3064" s="17" t="s">
        <v>44</v>
      </c>
    </row>
    <row r="3065" s="11" customFormat="true" ht="10.95" hidden="false" customHeight="true" outlineLevel="0" collapsed="false">
      <c r="A3065" s="16" t="n">
        <v>45173</v>
      </c>
      <c r="B3065" s="17" t="s">
        <v>1389</v>
      </c>
      <c r="C3065" s="17" t="s">
        <v>1390</v>
      </c>
      <c r="D3065" s="17" t="s">
        <v>1391</v>
      </c>
      <c r="E3065" s="17" t="s">
        <v>1432</v>
      </c>
      <c r="F3065" s="17" t="s">
        <v>1433</v>
      </c>
      <c r="G3065" s="18" t="n">
        <v>14937.3</v>
      </c>
      <c r="H3065" s="18" t="n">
        <v>0</v>
      </c>
      <c r="I3065" s="18" t="n">
        <f aca="false">((I3064 + G3065) - H3065)</f>
        <v>71831.7</v>
      </c>
      <c r="J3065" s="18" t="n">
        <v>1493.73</v>
      </c>
      <c r="K3065" s="19" t="n">
        <v>10</v>
      </c>
      <c r="L3065" s="17" t="s">
        <v>44</v>
      </c>
    </row>
    <row r="3066" s="11" customFormat="true" ht="10.95" hidden="false" customHeight="true" outlineLevel="0" collapsed="false">
      <c r="A3066" s="16" t="n">
        <v>45174</v>
      </c>
      <c r="B3066" s="17" t="s">
        <v>1389</v>
      </c>
      <c r="C3066" s="17" t="s">
        <v>1390</v>
      </c>
      <c r="D3066" s="17" t="s">
        <v>1391</v>
      </c>
      <c r="E3066" s="17" t="s">
        <v>1434</v>
      </c>
      <c r="F3066" s="17" t="s">
        <v>1435</v>
      </c>
      <c r="G3066" s="18" t="n">
        <v>1725</v>
      </c>
      <c r="H3066" s="18" t="n">
        <v>0</v>
      </c>
      <c r="I3066" s="18" t="n">
        <f aca="false">((I3065 + G3066) - H3066)</f>
        <v>73556.7</v>
      </c>
      <c r="J3066" s="18" t="n">
        <v>172.5</v>
      </c>
      <c r="K3066" s="19" t="n">
        <v>10</v>
      </c>
      <c r="L3066" s="17" t="s">
        <v>44</v>
      </c>
    </row>
    <row r="3067" s="11" customFormat="true" ht="10.95" hidden="false" customHeight="true" outlineLevel="0" collapsed="false">
      <c r="A3067" s="16" t="n">
        <v>45174</v>
      </c>
      <c r="B3067" s="17" t="s">
        <v>1389</v>
      </c>
      <c r="C3067" s="17" t="s">
        <v>1390</v>
      </c>
      <c r="D3067" s="17" t="s">
        <v>1391</v>
      </c>
      <c r="E3067" s="17" t="s">
        <v>1436</v>
      </c>
      <c r="F3067" s="17" t="s">
        <v>1437</v>
      </c>
      <c r="G3067" s="18" t="n">
        <v>3859.32</v>
      </c>
      <c r="H3067" s="18" t="n">
        <v>0</v>
      </c>
      <c r="I3067" s="18" t="n">
        <f aca="false">((I3066 + G3067) - H3067)</f>
        <v>77416.02</v>
      </c>
      <c r="J3067" s="18" t="n">
        <v>0</v>
      </c>
      <c r="K3067" s="19" t="n">
        <v>0</v>
      </c>
      <c r="L3067" s="17" t="s">
        <v>1406</v>
      </c>
    </row>
    <row r="3068" s="11" customFormat="true" ht="10.95" hidden="false" customHeight="true" outlineLevel="0" collapsed="false">
      <c r="A3068" s="16" t="n">
        <v>45185</v>
      </c>
      <c r="B3068" s="17" t="s">
        <v>1389</v>
      </c>
      <c r="C3068" s="17" t="s">
        <v>1390</v>
      </c>
      <c r="D3068" s="17" t="s">
        <v>1391</v>
      </c>
      <c r="E3068" s="17" t="s">
        <v>1438</v>
      </c>
      <c r="F3068" s="17" t="s">
        <v>1439</v>
      </c>
      <c r="G3068" s="18" t="n">
        <v>186</v>
      </c>
      <c r="H3068" s="18" t="n">
        <v>0</v>
      </c>
      <c r="I3068" s="18" t="n">
        <f aca="false">((I3067 + G3068) - H3068)</f>
        <v>77602.02</v>
      </c>
      <c r="J3068" s="18" t="n">
        <v>18.6</v>
      </c>
      <c r="K3068" s="19" t="n">
        <v>10</v>
      </c>
      <c r="L3068" s="17" t="s">
        <v>44</v>
      </c>
    </row>
    <row r="3069" s="11" customFormat="true" ht="21.3" hidden="false" customHeight="true" outlineLevel="0" collapsed="false">
      <c r="A3069" s="16" t="n">
        <v>45185</v>
      </c>
      <c r="B3069" s="17" t="s">
        <v>1389</v>
      </c>
      <c r="C3069" s="17" t="s">
        <v>1390</v>
      </c>
      <c r="D3069" s="17" t="s">
        <v>1391</v>
      </c>
      <c r="E3069" s="20" t="s">
        <v>1440</v>
      </c>
      <c r="F3069" s="17" t="s">
        <v>1439</v>
      </c>
      <c r="G3069" s="18" t="n">
        <v>109</v>
      </c>
      <c r="H3069" s="18" t="n">
        <v>0</v>
      </c>
      <c r="I3069" s="18" t="n">
        <f aca="false">((I3068 + G3069) - H3069)</f>
        <v>77711.02</v>
      </c>
      <c r="J3069" s="18" t="n">
        <v>10.9</v>
      </c>
      <c r="K3069" s="19" t="n">
        <v>10</v>
      </c>
      <c r="L3069" s="17" t="s">
        <v>44</v>
      </c>
    </row>
    <row r="3070" s="11" customFormat="true" ht="21.3" hidden="false" customHeight="true" outlineLevel="0" collapsed="false">
      <c r="A3070" s="16" t="n">
        <v>45185</v>
      </c>
      <c r="B3070" s="17" t="s">
        <v>1389</v>
      </c>
      <c r="C3070" s="17" t="s">
        <v>1390</v>
      </c>
      <c r="D3070" s="17" t="s">
        <v>1391</v>
      </c>
      <c r="E3070" s="20" t="s">
        <v>1441</v>
      </c>
      <c r="F3070" s="17" t="s">
        <v>1439</v>
      </c>
      <c r="G3070" s="18" t="n">
        <v>720</v>
      </c>
      <c r="H3070" s="18" t="n">
        <v>0</v>
      </c>
      <c r="I3070" s="18" t="n">
        <f aca="false">((I3069 + G3070) - H3070)</f>
        <v>78431.02</v>
      </c>
      <c r="J3070" s="18" t="n">
        <v>72</v>
      </c>
      <c r="K3070" s="19" t="n">
        <v>10</v>
      </c>
      <c r="L3070" s="17" t="s">
        <v>44</v>
      </c>
    </row>
    <row r="3071" s="11" customFormat="true" ht="21.3" hidden="false" customHeight="true" outlineLevel="0" collapsed="false">
      <c r="A3071" s="16" t="n">
        <v>45185</v>
      </c>
      <c r="B3071" s="17" t="s">
        <v>1389</v>
      </c>
      <c r="C3071" s="17" t="s">
        <v>1390</v>
      </c>
      <c r="D3071" s="17" t="s">
        <v>1391</v>
      </c>
      <c r="E3071" s="20" t="s">
        <v>1442</v>
      </c>
      <c r="F3071" s="17" t="s">
        <v>1439</v>
      </c>
      <c r="G3071" s="18" t="n">
        <v>61.2</v>
      </c>
      <c r="H3071" s="18" t="n">
        <v>0</v>
      </c>
      <c r="I3071" s="18" t="n">
        <f aca="false">((I3070 + G3071) - H3071)</f>
        <v>78492.22</v>
      </c>
      <c r="J3071" s="18" t="n">
        <v>6.12</v>
      </c>
      <c r="K3071" s="19" t="n">
        <v>10</v>
      </c>
      <c r="L3071" s="17" t="s">
        <v>44</v>
      </c>
    </row>
    <row r="3072" s="11" customFormat="true" ht="10.95" hidden="false" customHeight="true" outlineLevel="0" collapsed="false">
      <c r="A3072" s="16" t="n">
        <v>45197</v>
      </c>
      <c r="B3072" s="17" t="s">
        <v>1389</v>
      </c>
      <c r="C3072" s="17" t="s">
        <v>1390</v>
      </c>
      <c r="D3072" s="17" t="s">
        <v>1391</v>
      </c>
      <c r="E3072" s="17" t="s">
        <v>1443</v>
      </c>
      <c r="F3072" s="17" t="s">
        <v>1444</v>
      </c>
      <c r="G3072" s="18" t="n">
        <v>4338.54</v>
      </c>
      <c r="H3072" s="18" t="n">
        <v>0</v>
      </c>
      <c r="I3072" s="18" t="n">
        <f aca="false">((I3071 + G3072) - H3072)</f>
        <v>82830.76</v>
      </c>
      <c r="J3072" s="18" t="n">
        <v>433.85</v>
      </c>
      <c r="K3072" s="19" t="n">
        <v>10</v>
      </c>
      <c r="L3072" s="17" t="s">
        <v>44</v>
      </c>
    </row>
    <row r="3073" s="11" customFormat="true" ht="10.95" hidden="false" customHeight="true" outlineLevel="0" collapsed="false">
      <c r="A3073" s="16" t="n">
        <v>45199</v>
      </c>
      <c r="B3073" s="17" t="s">
        <v>1389</v>
      </c>
      <c r="C3073" s="17" t="s">
        <v>1390</v>
      </c>
      <c r="D3073" s="17" t="s">
        <v>1391</v>
      </c>
      <c r="E3073" s="17" t="s">
        <v>1445</v>
      </c>
      <c r="F3073" s="17" t="s">
        <v>1446</v>
      </c>
      <c r="G3073" s="18" t="n">
        <v>3920.04</v>
      </c>
      <c r="H3073" s="18" t="n">
        <v>0</v>
      </c>
      <c r="I3073" s="18" t="n">
        <f aca="false">((I3072 + G3073) - H3073)</f>
        <v>86750.8</v>
      </c>
      <c r="J3073" s="18" t="n">
        <v>0</v>
      </c>
      <c r="K3073" s="19" t="n">
        <v>0</v>
      </c>
      <c r="L3073" s="17" t="s">
        <v>1406</v>
      </c>
    </row>
    <row r="3074" s="11" customFormat="true" ht="10.95" hidden="false" customHeight="true" outlineLevel="0" collapsed="false">
      <c r="A3074" s="16" t="n">
        <v>45200</v>
      </c>
      <c r="B3074" s="17" t="s">
        <v>1389</v>
      </c>
      <c r="C3074" s="17" t="s">
        <v>1390</v>
      </c>
      <c r="D3074" s="17" t="s">
        <v>1391</v>
      </c>
      <c r="E3074" s="17" t="s">
        <v>1447</v>
      </c>
      <c r="F3074" s="17" t="s">
        <v>1448</v>
      </c>
      <c r="G3074" s="18" t="n">
        <v>489.78</v>
      </c>
      <c r="H3074" s="18" t="n">
        <v>0</v>
      </c>
      <c r="I3074" s="18" t="n">
        <f aca="false">((I3073 + G3074) - H3074)</f>
        <v>87240.58</v>
      </c>
      <c r="J3074" s="18" t="n">
        <v>48.98</v>
      </c>
      <c r="K3074" s="19" t="n">
        <v>10</v>
      </c>
      <c r="L3074" s="17" t="s">
        <v>44</v>
      </c>
    </row>
    <row r="3075" s="11" customFormat="true" ht="10.95" hidden="false" customHeight="true" outlineLevel="0" collapsed="false">
      <c r="A3075" s="16" t="n">
        <v>45201</v>
      </c>
      <c r="B3075" s="17" t="s">
        <v>1389</v>
      </c>
      <c r="C3075" s="17" t="s">
        <v>1390</v>
      </c>
      <c r="D3075" s="17" t="s">
        <v>1391</v>
      </c>
      <c r="E3075" s="17" t="s">
        <v>1449</v>
      </c>
      <c r="F3075" s="17" t="s">
        <v>1450</v>
      </c>
      <c r="G3075" s="18" t="n">
        <v>16286.16</v>
      </c>
      <c r="H3075" s="18" t="n">
        <v>0</v>
      </c>
      <c r="I3075" s="18" t="n">
        <f aca="false">((I3074 + G3075) - H3075)</f>
        <v>103526.74</v>
      </c>
      <c r="J3075" s="18" t="n">
        <v>1628.62</v>
      </c>
      <c r="K3075" s="19" t="n">
        <v>10</v>
      </c>
      <c r="L3075" s="17" t="s">
        <v>44</v>
      </c>
    </row>
    <row r="3076" s="11" customFormat="true" ht="10.95" hidden="false" customHeight="true" outlineLevel="0" collapsed="false">
      <c r="A3076" s="16" t="n">
        <v>45202</v>
      </c>
      <c r="B3076" s="17" t="s">
        <v>1389</v>
      </c>
      <c r="C3076" s="17" t="s">
        <v>1390</v>
      </c>
      <c r="D3076" s="17" t="s">
        <v>1391</v>
      </c>
      <c r="E3076" s="17" t="s">
        <v>1451</v>
      </c>
      <c r="F3076" s="17" t="s">
        <v>1452</v>
      </c>
      <c r="G3076" s="18" t="n">
        <v>1815</v>
      </c>
      <c r="H3076" s="18" t="n">
        <v>0</v>
      </c>
      <c r="I3076" s="18" t="n">
        <f aca="false">((I3075 + G3076) - H3076)</f>
        <v>105341.74</v>
      </c>
      <c r="J3076" s="18" t="n">
        <v>181.5</v>
      </c>
      <c r="K3076" s="19" t="n">
        <v>10</v>
      </c>
      <c r="L3076" s="17" t="s">
        <v>44</v>
      </c>
    </row>
    <row r="3077" s="11" customFormat="true" ht="10.95" hidden="false" customHeight="true" outlineLevel="0" collapsed="false">
      <c r="A3077" s="16" t="n">
        <v>45208</v>
      </c>
      <c r="B3077" s="17" t="s">
        <v>1389</v>
      </c>
      <c r="C3077" s="17" t="s">
        <v>1390</v>
      </c>
      <c r="D3077" s="17" t="s">
        <v>1391</v>
      </c>
      <c r="E3077" s="17" t="s">
        <v>1453</v>
      </c>
      <c r="F3077" s="17" t="s">
        <v>1454</v>
      </c>
      <c r="G3077" s="18" t="n">
        <v>1576.2</v>
      </c>
      <c r="H3077" s="18" t="n">
        <v>0</v>
      </c>
      <c r="I3077" s="18" t="n">
        <f aca="false">((I3076 + G3077) - H3077)</f>
        <v>106917.94</v>
      </c>
      <c r="J3077" s="18" t="n">
        <v>157.62</v>
      </c>
      <c r="K3077" s="19" t="n">
        <v>10</v>
      </c>
      <c r="L3077" s="17" t="s">
        <v>44</v>
      </c>
    </row>
    <row r="3078" s="11" customFormat="true" ht="10.95" hidden="false" customHeight="true" outlineLevel="0" collapsed="false">
      <c r="A3078" s="16" t="n">
        <v>45209</v>
      </c>
      <c r="B3078" s="17" t="s">
        <v>1389</v>
      </c>
      <c r="C3078" s="17" t="s">
        <v>1390</v>
      </c>
      <c r="D3078" s="17" t="s">
        <v>1455</v>
      </c>
      <c r="E3078" s="17" t="s">
        <v>1419</v>
      </c>
      <c r="F3078" s="17" t="s">
        <v>1420</v>
      </c>
      <c r="G3078" s="18" t="n">
        <v>0</v>
      </c>
      <c r="H3078" s="18" t="n">
        <v>500</v>
      </c>
      <c r="I3078" s="18" t="n">
        <f aca="false">((I3077 + G3078) - H3078)</f>
        <v>106417.94</v>
      </c>
      <c r="J3078" s="18" t="n">
        <v>-50</v>
      </c>
      <c r="K3078" s="19" t="n">
        <v>10</v>
      </c>
      <c r="L3078" s="17" t="s">
        <v>44</v>
      </c>
    </row>
    <row r="3079" s="11" customFormat="true" ht="10.95" hidden="false" customHeight="true" outlineLevel="0" collapsed="false">
      <c r="A3079" s="16" t="n">
        <v>45230</v>
      </c>
      <c r="B3079" s="17" t="s">
        <v>1389</v>
      </c>
      <c r="C3079" s="17" t="s">
        <v>1390</v>
      </c>
      <c r="D3079" s="17" t="s">
        <v>1391</v>
      </c>
      <c r="E3079" s="17" t="s">
        <v>1456</v>
      </c>
      <c r="F3079" s="17" t="s">
        <v>1457</v>
      </c>
      <c r="G3079" s="18" t="n">
        <v>3945.28</v>
      </c>
      <c r="H3079" s="18" t="n">
        <v>0</v>
      </c>
      <c r="I3079" s="18" t="n">
        <f aca="false">((I3078 + G3079) - H3079)</f>
        <v>110363.22</v>
      </c>
      <c r="J3079" s="18" t="n">
        <v>0</v>
      </c>
      <c r="K3079" s="19" t="n">
        <v>0</v>
      </c>
      <c r="L3079" s="17" t="s">
        <v>1406</v>
      </c>
    </row>
    <row r="3080" s="11" customFormat="true" ht="10.95" hidden="false" customHeight="true" outlineLevel="0" collapsed="false">
      <c r="A3080" s="16" t="n">
        <v>45230</v>
      </c>
      <c r="B3080" s="17" t="s">
        <v>1389</v>
      </c>
      <c r="C3080" s="17" t="s">
        <v>1390</v>
      </c>
      <c r="D3080" s="17" t="s">
        <v>1391</v>
      </c>
      <c r="E3080" s="17" t="s">
        <v>1458</v>
      </c>
      <c r="F3080" s="17" t="s">
        <v>1459</v>
      </c>
      <c r="G3080" s="18" t="n">
        <v>4501.83</v>
      </c>
      <c r="H3080" s="18" t="n">
        <v>0</v>
      </c>
      <c r="I3080" s="18" t="n">
        <f aca="false">((I3079 + G3080) - H3080)</f>
        <v>114865.05</v>
      </c>
      <c r="J3080" s="18" t="n">
        <v>450.18</v>
      </c>
      <c r="K3080" s="19" t="n">
        <v>10</v>
      </c>
      <c r="L3080" s="17" t="s">
        <v>44</v>
      </c>
    </row>
    <row r="3081" s="11" customFormat="true" ht="10.95" hidden="false" customHeight="true" outlineLevel="0" collapsed="false">
      <c r="A3081" s="16" t="n">
        <v>45231</v>
      </c>
      <c r="B3081" s="17" t="s">
        <v>1389</v>
      </c>
      <c r="C3081" s="17" t="s">
        <v>1390</v>
      </c>
      <c r="D3081" s="17" t="s">
        <v>1391</v>
      </c>
      <c r="E3081" s="17" t="s">
        <v>1460</v>
      </c>
      <c r="F3081" s="17" t="s">
        <v>1461</v>
      </c>
      <c r="G3081" s="18" t="n">
        <v>489.78</v>
      </c>
      <c r="H3081" s="18" t="n">
        <v>0</v>
      </c>
      <c r="I3081" s="18" t="n">
        <f aca="false">((I3080 + G3081) - H3081)</f>
        <v>115354.83</v>
      </c>
      <c r="J3081" s="18" t="n">
        <v>48.98</v>
      </c>
      <c r="K3081" s="19" t="n">
        <v>10</v>
      </c>
      <c r="L3081" s="17" t="s">
        <v>44</v>
      </c>
    </row>
    <row r="3082" s="11" customFormat="true" ht="10.95" hidden="false" customHeight="true" outlineLevel="0" collapsed="false">
      <c r="A3082" s="16" t="n">
        <v>45237</v>
      </c>
      <c r="B3082" s="17" t="s">
        <v>1389</v>
      </c>
      <c r="C3082" s="17" t="s">
        <v>1390</v>
      </c>
      <c r="D3082" s="17" t="s">
        <v>1391</v>
      </c>
      <c r="E3082" s="17" t="s">
        <v>1462</v>
      </c>
      <c r="F3082" s="17" t="s">
        <v>1463</v>
      </c>
      <c r="G3082" s="18" t="n">
        <v>16286.16</v>
      </c>
      <c r="H3082" s="18" t="n">
        <v>0</v>
      </c>
      <c r="I3082" s="18" t="n">
        <f aca="false">((I3081 + G3082) - H3082)</f>
        <v>131640.99</v>
      </c>
      <c r="J3082" s="18" t="n">
        <v>1628.62</v>
      </c>
      <c r="K3082" s="19" t="n">
        <v>10</v>
      </c>
      <c r="L3082" s="17" t="s">
        <v>44</v>
      </c>
    </row>
    <row r="3083" s="11" customFormat="true" ht="10.95" hidden="false" customHeight="true" outlineLevel="0" collapsed="false">
      <c r="A3083" s="16" t="n">
        <v>45237</v>
      </c>
      <c r="B3083" s="17" t="s">
        <v>1389</v>
      </c>
      <c r="C3083" s="17" t="s">
        <v>1390</v>
      </c>
      <c r="D3083" s="17" t="s">
        <v>1391</v>
      </c>
      <c r="E3083" s="17" t="s">
        <v>1464</v>
      </c>
      <c r="F3083" s="17" t="s">
        <v>1465</v>
      </c>
      <c r="G3083" s="18" t="n">
        <v>2205.28</v>
      </c>
      <c r="H3083" s="18" t="n">
        <v>0</v>
      </c>
      <c r="I3083" s="18" t="n">
        <f aca="false">((I3082 + G3083) - H3083)</f>
        <v>133846.27</v>
      </c>
      <c r="J3083" s="18" t="n">
        <v>220.53</v>
      </c>
      <c r="K3083" s="19" t="n">
        <v>10</v>
      </c>
      <c r="L3083" s="17" t="s">
        <v>44</v>
      </c>
    </row>
    <row r="3084" s="11" customFormat="true" ht="10.95" hidden="false" customHeight="true" outlineLevel="0" collapsed="false">
      <c r="A3084" s="16" t="n">
        <v>45238</v>
      </c>
      <c r="B3084" s="17" t="s">
        <v>1389</v>
      </c>
      <c r="C3084" s="17" t="s">
        <v>1390</v>
      </c>
      <c r="D3084" s="17" t="s">
        <v>1391</v>
      </c>
      <c r="E3084" s="17" t="s">
        <v>1466</v>
      </c>
      <c r="F3084" s="17" t="s">
        <v>1467</v>
      </c>
      <c r="G3084" s="18" t="n">
        <v>1815</v>
      </c>
      <c r="H3084" s="18" t="n">
        <v>0</v>
      </c>
      <c r="I3084" s="18" t="n">
        <f aca="false">((I3083 + G3084) - H3084)</f>
        <v>135661.27</v>
      </c>
      <c r="J3084" s="18" t="n">
        <v>181.5</v>
      </c>
      <c r="K3084" s="19" t="n">
        <v>10</v>
      </c>
      <c r="L3084" s="17" t="s">
        <v>44</v>
      </c>
    </row>
    <row r="3085" s="11" customFormat="true" ht="10.95" hidden="false" customHeight="true" outlineLevel="0" collapsed="false">
      <c r="A3085" s="16" t="n">
        <v>45251</v>
      </c>
      <c r="B3085" s="17" t="s">
        <v>1389</v>
      </c>
      <c r="C3085" s="17" t="s">
        <v>1390</v>
      </c>
      <c r="D3085" s="17" t="s">
        <v>1455</v>
      </c>
      <c r="E3085" s="17" t="s">
        <v>1468</v>
      </c>
      <c r="F3085" s="17" t="s">
        <v>1465</v>
      </c>
      <c r="G3085" s="18" t="n">
        <v>0</v>
      </c>
      <c r="H3085" s="18" t="n">
        <v>280.33</v>
      </c>
      <c r="I3085" s="18" t="n">
        <f aca="false">((I3084 + G3085) - H3085)</f>
        <v>135380.94</v>
      </c>
      <c r="J3085" s="18" t="n">
        <v>-28.03</v>
      </c>
      <c r="K3085" s="19" t="n">
        <v>10</v>
      </c>
      <c r="L3085" s="17" t="s">
        <v>44</v>
      </c>
    </row>
    <row r="3086" s="11" customFormat="true" ht="10.95" hidden="false" customHeight="true" outlineLevel="0" collapsed="false">
      <c r="A3086" s="16" t="n">
        <v>45260</v>
      </c>
      <c r="B3086" s="17" t="s">
        <v>1389</v>
      </c>
      <c r="C3086" s="17" t="s">
        <v>1390</v>
      </c>
      <c r="D3086" s="17" t="s">
        <v>1391</v>
      </c>
      <c r="E3086" s="17" t="s">
        <v>1469</v>
      </c>
      <c r="F3086" s="17" t="s">
        <v>1470</v>
      </c>
      <c r="G3086" s="18" t="n">
        <v>4481.53</v>
      </c>
      <c r="H3086" s="18" t="n">
        <v>0</v>
      </c>
      <c r="I3086" s="18" t="n">
        <f aca="false">((I3085 + G3086) - H3086)</f>
        <v>139862.47</v>
      </c>
      <c r="J3086" s="18" t="n">
        <v>448.15</v>
      </c>
      <c r="K3086" s="19" t="n">
        <v>10</v>
      </c>
      <c r="L3086" s="17" t="s">
        <v>44</v>
      </c>
    </row>
    <row r="3087" s="11" customFormat="true" ht="10.95" hidden="false" customHeight="true" outlineLevel="0" collapsed="false">
      <c r="A3087" s="16" t="n">
        <v>45260</v>
      </c>
      <c r="B3087" s="17" t="s">
        <v>1389</v>
      </c>
      <c r="C3087" s="17" t="s">
        <v>1390</v>
      </c>
      <c r="D3087" s="17" t="s">
        <v>1391</v>
      </c>
      <c r="E3087" s="17" t="s">
        <v>1471</v>
      </c>
      <c r="F3087" s="17" t="s">
        <v>1472</v>
      </c>
      <c r="G3087" s="18" t="n">
        <v>3878.64</v>
      </c>
      <c r="H3087" s="18" t="n">
        <v>0</v>
      </c>
      <c r="I3087" s="18" t="n">
        <f aca="false">((I3086 + G3087) - H3087)</f>
        <v>143741.11</v>
      </c>
      <c r="J3087" s="18" t="n">
        <v>0</v>
      </c>
      <c r="K3087" s="19" t="n">
        <v>0</v>
      </c>
      <c r="L3087" s="17" t="s">
        <v>1406</v>
      </c>
    </row>
    <row r="3088" s="11" customFormat="true" ht="10.95" hidden="false" customHeight="true" outlineLevel="0" collapsed="false">
      <c r="A3088" s="16" t="n">
        <v>45261</v>
      </c>
      <c r="B3088" s="17" t="s">
        <v>1389</v>
      </c>
      <c r="C3088" s="17" t="s">
        <v>1390</v>
      </c>
      <c r="D3088" s="17" t="s">
        <v>1391</v>
      </c>
      <c r="E3088" s="17" t="s">
        <v>1473</v>
      </c>
      <c r="F3088" s="17" t="s">
        <v>1474</v>
      </c>
      <c r="G3088" s="18" t="n">
        <v>489.78</v>
      </c>
      <c r="H3088" s="18" t="n">
        <v>0</v>
      </c>
      <c r="I3088" s="18" t="n">
        <f aca="false">((I3087 + G3088) - H3088)</f>
        <v>144230.89</v>
      </c>
      <c r="J3088" s="18" t="n">
        <v>48.98</v>
      </c>
      <c r="K3088" s="19" t="n">
        <v>10</v>
      </c>
      <c r="L3088" s="17" t="s">
        <v>44</v>
      </c>
    </row>
    <row r="3089" s="11" customFormat="true" ht="10.95" hidden="false" customHeight="true" outlineLevel="0" collapsed="false">
      <c r="A3089" s="16" t="n">
        <v>45267</v>
      </c>
      <c r="B3089" s="17" t="s">
        <v>1389</v>
      </c>
      <c r="C3089" s="17" t="s">
        <v>1390</v>
      </c>
      <c r="D3089" s="17" t="s">
        <v>1391</v>
      </c>
      <c r="E3089" s="17" t="s">
        <v>1475</v>
      </c>
      <c r="F3089" s="17" t="s">
        <v>1476</v>
      </c>
      <c r="G3089" s="18" t="n">
        <v>2214.58</v>
      </c>
      <c r="H3089" s="18" t="n">
        <v>0</v>
      </c>
      <c r="I3089" s="18" t="n">
        <f aca="false">((I3088 + G3089) - H3089)</f>
        <v>146445.47</v>
      </c>
      <c r="J3089" s="18" t="n">
        <v>221.46</v>
      </c>
      <c r="K3089" s="19" t="n">
        <v>10</v>
      </c>
      <c r="L3089" s="17" t="s">
        <v>44</v>
      </c>
    </row>
    <row r="3090" s="11" customFormat="true" ht="10.95" hidden="false" customHeight="true" outlineLevel="0" collapsed="false">
      <c r="A3090" s="16" t="n">
        <v>45271</v>
      </c>
      <c r="B3090" s="17" t="s">
        <v>1389</v>
      </c>
      <c r="C3090" s="17" t="s">
        <v>1390</v>
      </c>
      <c r="D3090" s="17" t="s">
        <v>1391</v>
      </c>
      <c r="E3090" s="17" t="s">
        <v>1477</v>
      </c>
      <c r="F3090" s="17" t="s">
        <v>1478</v>
      </c>
      <c r="G3090" s="18" t="n">
        <v>1830</v>
      </c>
      <c r="H3090" s="18" t="n">
        <v>0</v>
      </c>
      <c r="I3090" s="18" t="n">
        <f aca="false">((I3089 + G3090) - H3090)</f>
        <v>148275.47</v>
      </c>
      <c r="J3090" s="18" t="n">
        <v>183</v>
      </c>
      <c r="K3090" s="19" t="n">
        <v>10</v>
      </c>
      <c r="L3090" s="17" t="s">
        <v>44</v>
      </c>
    </row>
    <row r="3091" s="11" customFormat="true" ht="10.95" hidden="false" customHeight="true" outlineLevel="0" collapsed="false">
      <c r="A3091" s="16" t="n">
        <v>45271</v>
      </c>
      <c r="B3091" s="17" t="s">
        <v>1389</v>
      </c>
      <c r="C3091" s="17" t="s">
        <v>1390</v>
      </c>
      <c r="D3091" s="17" t="s">
        <v>1391</v>
      </c>
      <c r="E3091" s="17" t="s">
        <v>1479</v>
      </c>
      <c r="F3091" s="17" t="s">
        <v>1480</v>
      </c>
      <c r="G3091" s="18" t="n">
        <v>16286.16</v>
      </c>
      <c r="H3091" s="18" t="n">
        <v>0</v>
      </c>
      <c r="I3091" s="18" t="n">
        <f aca="false">((I3090 + G3091) - H3091)</f>
        <v>164561.63</v>
      </c>
      <c r="J3091" s="18" t="n">
        <v>1628.62</v>
      </c>
      <c r="K3091" s="19" t="n">
        <v>10</v>
      </c>
      <c r="L3091" s="17" t="s">
        <v>44</v>
      </c>
    </row>
    <row r="3092" s="11" customFormat="true" ht="10.95" hidden="false" customHeight="true" outlineLevel="0" collapsed="false">
      <c r="A3092" s="16" t="n">
        <v>45271</v>
      </c>
      <c r="B3092" s="17" t="s">
        <v>1389</v>
      </c>
      <c r="C3092" s="17" t="s">
        <v>1390</v>
      </c>
      <c r="D3092" s="17" t="s">
        <v>1391</v>
      </c>
      <c r="E3092" s="17" t="s">
        <v>1481</v>
      </c>
      <c r="F3092" s="17" t="s">
        <v>1482</v>
      </c>
      <c r="G3092" s="18" t="n">
        <v>71</v>
      </c>
      <c r="H3092" s="18" t="n">
        <v>0</v>
      </c>
      <c r="I3092" s="18" t="n">
        <f aca="false">((I3091 + G3092) - H3092)</f>
        <v>164632.63</v>
      </c>
      <c r="J3092" s="18" t="n">
        <v>7.1</v>
      </c>
      <c r="K3092" s="19" t="n">
        <v>10</v>
      </c>
      <c r="L3092" s="17" t="s">
        <v>44</v>
      </c>
    </row>
    <row r="3093" s="11" customFormat="true" ht="10.95" hidden="false" customHeight="true" outlineLevel="0" collapsed="false">
      <c r="A3093" s="16" t="n">
        <v>45289</v>
      </c>
      <c r="B3093" s="17" t="s">
        <v>1389</v>
      </c>
      <c r="C3093" s="17" t="s">
        <v>1390</v>
      </c>
      <c r="D3093" s="17" t="s">
        <v>1391</v>
      </c>
      <c r="E3093" s="17" t="s">
        <v>1483</v>
      </c>
      <c r="F3093" s="17" t="s">
        <v>1484</v>
      </c>
      <c r="G3093" s="18" t="n">
        <v>4519.74</v>
      </c>
      <c r="H3093" s="18" t="n">
        <v>0</v>
      </c>
      <c r="I3093" s="18" t="n">
        <f aca="false">((I3092 + G3093) - H3093)</f>
        <v>169152.37</v>
      </c>
      <c r="J3093" s="18" t="n">
        <v>451.97</v>
      </c>
      <c r="K3093" s="19" t="n">
        <v>10</v>
      </c>
      <c r="L3093" s="17" t="s">
        <v>44</v>
      </c>
    </row>
    <row r="3094" s="11" customFormat="true" ht="10.95" hidden="false" customHeight="true" outlineLevel="0" collapsed="false">
      <c r="A3094" s="16" t="n">
        <v>45291</v>
      </c>
      <c r="B3094" s="17" t="s">
        <v>1389</v>
      </c>
      <c r="C3094" s="17" t="s">
        <v>1390</v>
      </c>
      <c r="D3094" s="17" t="s">
        <v>1391</v>
      </c>
      <c r="E3094" s="17" t="s">
        <v>1485</v>
      </c>
      <c r="F3094" s="17" t="s">
        <v>1486</v>
      </c>
      <c r="G3094" s="18" t="n">
        <v>3840.66</v>
      </c>
      <c r="H3094" s="18" t="n">
        <v>0</v>
      </c>
      <c r="I3094" s="18" t="n">
        <f aca="false">((I3093 + G3094) - H3094)</f>
        <v>172993.03</v>
      </c>
      <c r="J3094" s="18" t="n">
        <v>0</v>
      </c>
      <c r="K3094" s="19" t="n">
        <v>0</v>
      </c>
      <c r="L3094" s="17" t="s">
        <v>1406</v>
      </c>
    </row>
    <row r="3095" s="11" customFormat="true" ht="10.95" hidden="false" customHeight="true" outlineLevel="0" collapsed="false">
      <c r="A3095" s="16" t="n">
        <v>45292</v>
      </c>
      <c r="B3095" s="17" t="s">
        <v>1389</v>
      </c>
      <c r="C3095" s="17" t="s">
        <v>1390</v>
      </c>
      <c r="D3095" s="17" t="s">
        <v>1391</v>
      </c>
      <c r="E3095" s="17" t="s">
        <v>1487</v>
      </c>
      <c r="F3095" s="17" t="s">
        <v>1488</v>
      </c>
      <c r="G3095" s="18" t="n">
        <v>489.78</v>
      </c>
      <c r="H3095" s="18" t="n">
        <v>0</v>
      </c>
      <c r="I3095" s="18" t="n">
        <f aca="false">((I3094 + G3095) - H3095)</f>
        <v>173482.81</v>
      </c>
      <c r="J3095" s="18" t="n">
        <v>48.98</v>
      </c>
      <c r="K3095" s="19" t="n">
        <v>10</v>
      </c>
      <c r="L3095" s="17" t="s">
        <v>44</v>
      </c>
    </row>
    <row r="3096" s="11" customFormat="true" ht="10.95" hidden="false" customHeight="true" outlineLevel="0" collapsed="false">
      <c r="A3096" s="16" t="n">
        <v>45293</v>
      </c>
      <c r="B3096" s="17" t="s">
        <v>1389</v>
      </c>
      <c r="C3096" s="17" t="s">
        <v>1390</v>
      </c>
      <c r="D3096" s="17" t="s">
        <v>1391</v>
      </c>
      <c r="E3096" s="17" t="s">
        <v>1489</v>
      </c>
      <c r="F3096" s="17" t="s">
        <v>1490</v>
      </c>
      <c r="G3096" s="18" t="n">
        <v>1770</v>
      </c>
      <c r="H3096" s="18" t="n">
        <v>0</v>
      </c>
      <c r="I3096" s="18" t="n">
        <f aca="false">((I3095 + G3096) - H3096)</f>
        <v>175252.81</v>
      </c>
      <c r="J3096" s="18" t="n">
        <v>177</v>
      </c>
      <c r="K3096" s="19" t="n">
        <v>10</v>
      </c>
      <c r="L3096" s="17" t="s">
        <v>44</v>
      </c>
    </row>
    <row r="3097" s="11" customFormat="true" ht="10.95" hidden="false" customHeight="true" outlineLevel="0" collapsed="false">
      <c r="A3097" s="16" t="n">
        <v>45293</v>
      </c>
      <c r="B3097" s="17" t="s">
        <v>1389</v>
      </c>
      <c r="C3097" s="17" t="s">
        <v>1390</v>
      </c>
      <c r="D3097" s="17" t="s">
        <v>1391</v>
      </c>
      <c r="E3097" s="17" t="s">
        <v>1491</v>
      </c>
      <c r="F3097" s="17" t="s">
        <v>1492</v>
      </c>
      <c r="G3097" s="18" t="n">
        <v>16286.16</v>
      </c>
      <c r="H3097" s="18" t="n">
        <v>0</v>
      </c>
      <c r="I3097" s="18" t="n">
        <f aca="false">((I3096 + G3097) - H3097)</f>
        <v>191538.97</v>
      </c>
      <c r="J3097" s="18" t="n">
        <v>1628.62</v>
      </c>
      <c r="K3097" s="19" t="n">
        <v>10</v>
      </c>
      <c r="L3097" s="17" t="s">
        <v>44</v>
      </c>
    </row>
    <row r="3098" s="11" customFormat="true" ht="10.95" hidden="false" customHeight="true" outlineLevel="0" collapsed="false">
      <c r="A3098" s="16" t="n">
        <v>45295</v>
      </c>
      <c r="B3098" s="17" t="s">
        <v>1389</v>
      </c>
      <c r="C3098" s="17" t="s">
        <v>1390</v>
      </c>
      <c r="D3098" s="17" t="s">
        <v>1407</v>
      </c>
      <c r="E3098" s="17" t="s">
        <v>1493</v>
      </c>
      <c r="F3098" s="17"/>
      <c r="G3098" s="18" t="n">
        <v>129.8</v>
      </c>
      <c r="H3098" s="18" t="n">
        <v>0</v>
      </c>
      <c r="I3098" s="18" t="n">
        <f aca="false">((I3097 + G3098) - H3098)</f>
        <v>191668.77</v>
      </c>
      <c r="J3098" s="18" t="n">
        <v>0</v>
      </c>
      <c r="K3098" s="19" t="n">
        <v>0</v>
      </c>
      <c r="L3098" s="17" t="s">
        <v>1406</v>
      </c>
    </row>
    <row r="3099" s="11" customFormat="true" ht="10.95" hidden="false" customHeight="true" outlineLevel="0" collapsed="false">
      <c r="A3099" s="16" t="n">
        <v>45295</v>
      </c>
      <c r="B3099" s="17" t="s">
        <v>1389</v>
      </c>
      <c r="C3099" s="17" t="s">
        <v>1390</v>
      </c>
      <c r="D3099" s="17" t="s">
        <v>1407</v>
      </c>
      <c r="E3099" s="17" t="s">
        <v>1493</v>
      </c>
      <c r="F3099" s="17"/>
      <c r="G3099" s="18" t="n">
        <v>113.57</v>
      </c>
      <c r="H3099" s="18" t="n">
        <v>0</v>
      </c>
      <c r="I3099" s="18" t="n">
        <f aca="false">((I3098 + G3099) - H3099)</f>
        <v>191782.34</v>
      </c>
      <c r="J3099" s="18" t="n">
        <v>0</v>
      </c>
      <c r="K3099" s="19" t="n">
        <v>0</v>
      </c>
      <c r="L3099" s="17" t="s">
        <v>1406</v>
      </c>
    </row>
    <row r="3100" s="11" customFormat="true" ht="10.95" hidden="false" customHeight="true" outlineLevel="0" collapsed="false">
      <c r="A3100" s="16" t="n">
        <v>45298</v>
      </c>
      <c r="B3100" s="17" t="s">
        <v>1389</v>
      </c>
      <c r="C3100" s="17" t="s">
        <v>1390</v>
      </c>
      <c r="D3100" s="17" t="s">
        <v>1391</v>
      </c>
      <c r="E3100" s="17" t="s">
        <v>1494</v>
      </c>
      <c r="F3100" s="17" t="s">
        <v>1495</v>
      </c>
      <c r="G3100" s="18" t="n">
        <v>2144.58</v>
      </c>
      <c r="H3100" s="18" t="n">
        <v>0</v>
      </c>
      <c r="I3100" s="18" t="n">
        <f aca="false">((I3099 + G3100) - H3100)</f>
        <v>193926.92</v>
      </c>
      <c r="J3100" s="18" t="n">
        <v>214.46</v>
      </c>
      <c r="K3100" s="19" t="n">
        <v>10</v>
      </c>
      <c r="L3100" s="17" t="s">
        <v>44</v>
      </c>
    </row>
    <row r="3101" s="11" customFormat="true" ht="10.95" hidden="false" customHeight="true" outlineLevel="0" collapsed="false">
      <c r="A3101" s="16" t="n">
        <v>45300</v>
      </c>
      <c r="B3101" s="17" t="s">
        <v>1389</v>
      </c>
      <c r="C3101" s="17" t="s">
        <v>1390</v>
      </c>
      <c r="D3101" s="17" t="s">
        <v>1391</v>
      </c>
      <c r="E3101" s="17" t="s">
        <v>1496</v>
      </c>
      <c r="F3101" s="17" t="s">
        <v>1497</v>
      </c>
      <c r="G3101" s="18" t="n">
        <v>71</v>
      </c>
      <c r="H3101" s="18" t="n">
        <v>0</v>
      </c>
      <c r="I3101" s="18" t="n">
        <f aca="false">((I3100 + G3101) - H3101)</f>
        <v>193997.92</v>
      </c>
      <c r="J3101" s="18" t="n">
        <v>7.1</v>
      </c>
      <c r="K3101" s="19" t="n">
        <v>10</v>
      </c>
      <c r="L3101" s="17" t="s">
        <v>44</v>
      </c>
    </row>
    <row r="3102" s="11" customFormat="true" ht="10.95" hidden="false" customHeight="true" outlineLevel="0" collapsed="false">
      <c r="A3102" s="16" t="n">
        <v>45302</v>
      </c>
      <c r="B3102" s="17" t="s">
        <v>1389</v>
      </c>
      <c r="C3102" s="17" t="s">
        <v>1390</v>
      </c>
      <c r="D3102" s="17" t="s">
        <v>1391</v>
      </c>
      <c r="E3102" s="17" t="s">
        <v>1498</v>
      </c>
      <c r="F3102" s="17" t="s">
        <v>1499</v>
      </c>
      <c r="G3102" s="18" t="n">
        <v>1285.5</v>
      </c>
      <c r="H3102" s="18" t="n">
        <v>0</v>
      </c>
      <c r="I3102" s="18" t="n">
        <f aca="false">((I3101 + G3102) - H3102)</f>
        <v>195283.42</v>
      </c>
      <c r="J3102" s="18" t="n">
        <v>0</v>
      </c>
      <c r="K3102" s="19" t="n">
        <v>0</v>
      </c>
      <c r="L3102" s="17" t="s">
        <v>1406</v>
      </c>
    </row>
    <row r="3103" s="11" customFormat="true" ht="10.95" hidden="false" customHeight="true" outlineLevel="0" collapsed="false">
      <c r="A3103" s="16" t="n">
        <v>45303</v>
      </c>
      <c r="B3103" s="17" t="s">
        <v>1389</v>
      </c>
      <c r="C3103" s="17" t="s">
        <v>1390</v>
      </c>
      <c r="D3103" s="17" t="s">
        <v>1391</v>
      </c>
      <c r="E3103" s="17" t="s">
        <v>1500</v>
      </c>
      <c r="F3103" s="17" t="s">
        <v>1501</v>
      </c>
      <c r="G3103" s="18" t="n">
        <v>248</v>
      </c>
      <c r="H3103" s="18" t="n">
        <v>0</v>
      </c>
      <c r="I3103" s="18" t="n">
        <f aca="false">((I3102 + G3103) - H3103)</f>
        <v>195531.42</v>
      </c>
      <c r="J3103" s="18" t="n">
        <v>0</v>
      </c>
      <c r="K3103" s="19" t="n">
        <v>0</v>
      </c>
      <c r="L3103" s="17" t="s">
        <v>1406</v>
      </c>
    </row>
    <row r="3104" s="11" customFormat="true" ht="10.95" hidden="false" customHeight="true" outlineLevel="0" collapsed="false">
      <c r="A3104" s="16" t="n">
        <v>45303</v>
      </c>
      <c r="B3104" s="17" t="s">
        <v>1389</v>
      </c>
      <c r="C3104" s="17" t="s">
        <v>1390</v>
      </c>
      <c r="D3104" s="17" t="s">
        <v>1391</v>
      </c>
      <c r="E3104" s="17" t="s">
        <v>1502</v>
      </c>
      <c r="F3104" s="17" t="s">
        <v>1503</v>
      </c>
      <c r="G3104" s="18" t="n">
        <v>1451.5</v>
      </c>
      <c r="H3104" s="18" t="n">
        <v>0</v>
      </c>
      <c r="I3104" s="18" t="n">
        <f aca="false">((I3103 + G3104) - H3104)</f>
        <v>196982.92</v>
      </c>
      <c r="J3104" s="18" t="n">
        <v>0</v>
      </c>
      <c r="K3104" s="19" t="n">
        <v>0</v>
      </c>
      <c r="L3104" s="17" t="s">
        <v>1406</v>
      </c>
    </row>
    <row r="3105" s="11" customFormat="true" ht="10.95" hidden="false" customHeight="true" outlineLevel="0" collapsed="false">
      <c r="A3105" s="16" t="n">
        <v>45322</v>
      </c>
      <c r="B3105" s="17" t="s">
        <v>1389</v>
      </c>
      <c r="C3105" s="17" t="s">
        <v>1390</v>
      </c>
      <c r="D3105" s="17" t="s">
        <v>1391</v>
      </c>
      <c r="E3105" s="17" t="s">
        <v>1504</v>
      </c>
      <c r="F3105" s="17" t="s">
        <v>1505</v>
      </c>
      <c r="G3105" s="18" t="n">
        <v>5238.71</v>
      </c>
      <c r="H3105" s="18" t="n">
        <v>0</v>
      </c>
      <c r="I3105" s="18" t="n">
        <f aca="false">((I3104 + G3105) - H3105)</f>
        <v>202221.63</v>
      </c>
      <c r="J3105" s="18" t="n">
        <v>523.87</v>
      </c>
      <c r="K3105" s="19" t="n">
        <v>10</v>
      </c>
      <c r="L3105" s="17" t="s">
        <v>44</v>
      </c>
    </row>
    <row r="3106" s="11" customFormat="true" ht="10.95" hidden="false" customHeight="true" outlineLevel="0" collapsed="false">
      <c r="A3106" s="16" t="n">
        <v>45322</v>
      </c>
      <c r="B3106" s="17" t="s">
        <v>1389</v>
      </c>
      <c r="C3106" s="17" t="s">
        <v>1390</v>
      </c>
      <c r="D3106" s="17" t="s">
        <v>1391</v>
      </c>
      <c r="E3106" s="17" t="s">
        <v>1506</v>
      </c>
      <c r="F3106" s="17" t="s">
        <v>1507</v>
      </c>
      <c r="G3106" s="18" t="n">
        <v>3951.42</v>
      </c>
      <c r="H3106" s="18" t="n">
        <v>0</v>
      </c>
      <c r="I3106" s="18" t="n">
        <f aca="false">((I3105 + G3106) - H3106)</f>
        <v>206173.05</v>
      </c>
      <c r="J3106" s="18" t="n">
        <v>0</v>
      </c>
      <c r="K3106" s="19" t="n">
        <v>0</v>
      </c>
      <c r="L3106" s="17" t="s">
        <v>1406</v>
      </c>
    </row>
    <row r="3107" s="11" customFormat="true" ht="10.95" hidden="false" customHeight="true" outlineLevel="0" collapsed="false">
      <c r="A3107" s="16" t="n">
        <v>45323</v>
      </c>
      <c r="B3107" s="17" t="s">
        <v>1389</v>
      </c>
      <c r="C3107" s="17" t="s">
        <v>1390</v>
      </c>
      <c r="D3107" s="17" t="s">
        <v>1391</v>
      </c>
      <c r="E3107" s="17" t="s">
        <v>1508</v>
      </c>
      <c r="F3107" s="17" t="s">
        <v>1509</v>
      </c>
      <c r="G3107" s="18" t="n">
        <v>489.78</v>
      </c>
      <c r="H3107" s="18" t="n">
        <v>0</v>
      </c>
      <c r="I3107" s="18" t="n">
        <f aca="false">((I3106 + G3107) - H3107)</f>
        <v>206662.83</v>
      </c>
      <c r="J3107" s="18" t="n">
        <v>48.98</v>
      </c>
      <c r="K3107" s="19" t="n">
        <v>10</v>
      </c>
      <c r="L3107" s="17" t="s">
        <v>44</v>
      </c>
    </row>
    <row r="3108" s="11" customFormat="true" ht="10.95" hidden="false" customHeight="true" outlineLevel="0" collapsed="false">
      <c r="A3108" s="16" t="n">
        <v>45324</v>
      </c>
      <c r="B3108" s="17" t="s">
        <v>1389</v>
      </c>
      <c r="C3108" s="17" t="s">
        <v>1390</v>
      </c>
      <c r="D3108" s="17" t="s">
        <v>1407</v>
      </c>
      <c r="E3108" s="17" t="s">
        <v>1510</v>
      </c>
      <c r="F3108" s="17"/>
      <c r="G3108" s="18" t="n">
        <v>249.77</v>
      </c>
      <c r="H3108" s="18" t="n">
        <v>0</v>
      </c>
      <c r="I3108" s="18" t="n">
        <f aca="false">((I3107 + G3108) - H3108)</f>
        <v>206912.6</v>
      </c>
      <c r="J3108" s="18" t="n">
        <v>0</v>
      </c>
      <c r="K3108" s="19" t="n">
        <v>0</v>
      </c>
      <c r="L3108" s="17" t="s">
        <v>1406</v>
      </c>
    </row>
    <row r="3109" s="11" customFormat="true" ht="10.95" hidden="false" customHeight="true" outlineLevel="0" collapsed="false">
      <c r="A3109" s="16" t="n">
        <v>45327</v>
      </c>
      <c r="B3109" s="17" t="s">
        <v>1389</v>
      </c>
      <c r="C3109" s="17" t="s">
        <v>1390</v>
      </c>
      <c r="D3109" s="17" t="s">
        <v>1391</v>
      </c>
      <c r="E3109" s="17" t="s">
        <v>1511</v>
      </c>
      <c r="F3109" s="17" t="s">
        <v>1512</v>
      </c>
      <c r="G3109" s="18" t="n">
        <v>19325.04</v>
      </c>
      <c r="H3109" s="18" t="n">
        <v>0</v>
      </c>
      <c r="I3109" s="18" t="n">
        <f aca="false">((I3108 + G3109) - H3109)</f>
        <v>226237.64</v>
      </c>
      <c r="J3109" s="18" t="n">
        <v>1932.5</v>
      </c>
      <c r="K3109" s="19" t="n">
        <v>10</v>
      </c>
      <c r="L3109" s="17" t="s">
        <v>44</v>
      </c>
    </row>
    <row r="3110" s="11" customFormat="true" ht="10.95" hidden="false" customHeight="true" outlineLevel="0" collapsed="false">
      <c r="A3110" s="16" t="n">
        <v>45328</v>
      </c>
      <c r="B3110" s="17" t="s">
        <v>1389</v>
      </c>
      <c r="C3110" s="17" t="s">
        <v>1390</v>
      </c>
      <c r="D3110" s="17" t="s">
        <v>1391</v>
      </c>
      <c r="E3110" s="17" t="s">
        <v>1513</v>
      </c>
      <c r="F3110" s="17" t="s">
        <v>1514</v>
      </c>
      <c r="G3110" s="18" t="n">
        <v>1943.7</v>
      </c>
      <c r="H3110" s="18" t="n">
        <v>0</v>
      </c>
      <c r="I3110" s="18" t="n">
        <f aca="false">((I3109 + G3110) - H3110)</f>
        <v>228181.34</v>
      </c>
      <c r="J3110" s="18" t="n">
        <v>194.37</v>
      </c>
      <c r="K3110" s="19" t="n">
        <v>10</v>
      </c>
      <c r="L3110" s="17" t="s">
        <v>44</v>
      </c>
    </row>
    <row r="3111" s="11" customFormat="true" ht="10.95" hidden="false" customHeight="true" outlineLevel="0" collapsed="false">
      <c r="A3111" s="16" t="n">
        <v>45328</v>
      </c>
      <c r="B3111" s="17" t="s">
        <v>1389</v>
      </c>
      <c r="C3111" s="17" t="s">
        <v>1390</v>
      </c>
      <c r="D3111" s="17" t="s">
        <v>1407</v>
      </c>
      <c r="E3111" s="17" t="s">
        <v>1515</v>
      </c>
      <c r="F3111" s="17"/>
      <c r="G3111" s="18" t="n">
        <v>218.11</v>
      </c>
      <c r="H3111" s="18" t="n">
        <v>0</v>
      </c>
      <c r="I3111" s="18" t="n">
        <f aca="false">((I3110 + G3111) - H3111)</f>
        <v>228399.45</v>
      </c>
      <c r="J3111" s="18" t="n">
        <v>0</v>
      </c>
      <c r="K3111" s="19" t="n">
        <v>0</v>
      </c>
      <c r="L3111" s="17" t="s">
        <v>1406</v>
      </c>
    </row>
    <row r="3112" s="11" customFormat="true" ht="10.95" hidden="false" customHeight="true" outlineLevel="0" collapsed="false">
      <c r="A3112" s="16" t="n">
        <v>45328</v>
      </c>
      <c r="B3112" s="17" t="s">
        <v>1389</v>
      </c>
      <c r="C3112" s="17" t="s">
        <v>1390</v>
      </c>
      <c r="D3112" s="17" t="s">
        <v>1391</v>
      </c>
      <c r="E3112" s="17" t="s">
        <v>1516</v>
      </c>
      <c r="F3112" s="17" t="s">
        <v>1517</v>
      </c>
      <c r="G3112" s="18" t="n">
        <v>2207.98</v>
      </c>
      <c r="H3112" s="18" t="n">
        <v>0</v>
      </c>
      <c r="I3112" s="18" t="n">
        <f aca="false">((I3111 + G3112) - H3112)</f>
        <v>230607.43</v>
      </c>
      <c r="J3112" s="18" t="n">
        <v>220.8</v>
      </c>
      <c r="K3112" s="19" t="n">
        <v>10</v>
      </c>
      <c r="L3112" s="17" t="s">
        <v>44</v>
      </c>
    </row>
    <row r="3113" s="11" customFormat="true" ht="10.95" hidden="false" customHeight="true" outlineLevel="0" collapsed="false">
      <c r="A3113" s="16" t="n">
        <v>45342</v>
      </c>
      <c r="B3113" s="17" t="s">
        <v>1389</v>
      </c>
      <c r="C3113" s="17" t="s">
        <v>1390</v>
      </c>
      <c r="D3113" s="17" t="s">
        <v>1391</v>
      </c>
      <c r="E3113" s="17" t="s">
        <v>1518</v>
      </c>
      <c r="F3113" s="17" t="s">
        <v>1519</v>
      </c>
      <c r="G3113" s="18" t="n">
        <v>1797</v>
      </c>
      <c r="H3113" s="18" t="n">
        <v>0</v>
      </c>
      <c r="I3113" s="18" t="n">
        <f aca="false">((I3112 + G3113) - H3113)</f>
        <v>232404.43</v>
      </c>
      <c r="J3113" s="18" t="n">
        <v>179.7</v>
      </c>
      <c r="K3113" s="19" t="n">
        <v>10</v>
      </c>
      <c r="L3113" s="17" t="s">
        <v>44</v>
      </c>
    </row>
    <row r="3114" s="11" customFormat="true" ht="10.95" hidden="false" customHeight="true" outlineLevel="0" collapsed="false">
      <c r="A3114" s="16" t="n">
        <v>45349</v>
      </c>
      <c r="B3114" s="17" t="s">
        <v>1389</v>
      </c>
      <c r="C3114" s="17" t="s">
        <v>1390</v>
      </c>
      <c r="D3114" s="17" t="s">
        <v>1391</v>
      </c>
      <c r="E3114" s="17" t="s">
        <v>1520</v>
      </c>
      <c r="F3114" s="17" t="s">
        <v>1521</v>
      </c>
      <c r="G3114" s="18" t="n">
        <v>5364.52</v>
      </c>
      <c r="H3114" s="18" t="n">
        <v>0</v>
      </c>
      <c r="I3114" s="18" t="n">
        <f aca="false">((I3113 + G3114) - H3114)</f>
        <v>237768.95</v>
      </c>
      <c r="J3114" s="18" t="n">
        <v>536.45</v>
      </c>
      <c r="K3114" s="19" t="n">
        <v>10</v>
      </c>
      <c r="L3114" s="17" t="s">
        <v>44</v>
      </c>
    </row>
    <row r="3115" s="11" customFormat="true" ht="10.95" hidden="false" customHeight="true" outlineLevel="0" collapsed="false">
      <c r="A3115" s="16" t="n">
        <v>45351</v>
      </c>
      <c r="B3115" s="17" t="s">
        <v>1389</v>
      </c>
      <c r="C3115" s="17" t="s">
        <v>1390</v>
      </c>
      <c r="D3115" s="17" t="s">
        <v>1391</v>
      </c>
      <c r="E3115" s="17" t="s">
        <v>1522</v>
      </c>
      <c r="F3115" s="17" t="s">
        <v>1523</v>
      </c>
      <c r="G3115" s="18" t="n">
        <v>3708.09</v>
      </c>
      <c r="H3115" s="18" t="n">
        <v>0</v>
      </c>
      <c r="I3115" s="18" t="n">
        <f aca="false">((I3114 + G3115) - H3115)</f>
        <v>241477.04</v>
      </c>
      <c r="J3115" s="18" t="n">
        <v>0</v>
      </c>
      <c r="K3115" s="19" t="n">
        <v>0</v>
      </c>
      <c r="L3115" s="17" t="s">
        <v>1406</v>
      </c>
    </row>
    <row r="3116" s="11" customFormat="true" ht="10.95" hidden="false" customHeight="true" outlineLevel="0" collapsed="false">
      <c r="A3116" s="16" t="n">
        <v>45352</v>
      </c>
      <c r="B3116" s="17" t="s">
        <v>1389</v>
      </c>
      <c r="C3116" s="17" t="s">
        <v>1390</v>
      </c>
      <c r="D3116" s="17" t="s">
        <v>1391</v>
      </c>
      <c r="E3116" s="17" t="s">
        <v>1524</v>
      </c>
      <c r="F3116" s="17" t="s">
        <v>1525</v>
      </c>
      <c r="G3116" s="18" t="n">
        <v>489.78</v>
      </c>
      <c r="H3116" s="18" t="n">
        <v>0</v>
      </c>
      <c r="I3116" s="18" t="n">
        <f aca="false">((I3115 + G3116) - H3116)</f>
        <v>241966.82</v>
      </c>
      <c r="J3116" s="18" t="n">
        <v>48.98</v>
      </c>
      <c r="K3116" s="19" t="n">
        <v>10</v>
      </c>
      <c r="L3116" s="17" t="s">
        <v>44</v>
      </c>
    </row>
    <row r="3117" s="11" customFormat="true" ht="10.95" hidden="false" customHeight="true" outlineLevel="0" collapsed="false">
      <c r="A3117" s="16" t="n">
        <v>45353</v>
      </c>
      <c r="B3117" s="17" t="s">
        <v>1389</v>
      </c>
      <c r="C3117" s="17" t="s">
        <v>1390</v>
      </c>
      <c r="D3117" s="17" t="s">
        <v>1407</v>
      </c>
      <c r="E3117" s="17" t="s">
        <v>1510</v>
      </c>
      <c r="F3117" s="17"/>
      <c r="G3117" s="18" t="n">
        <v>252.78</v>
      </c>
      <c r="H3117" s="18" t="n">
        <v>0</v>
      </c>
      <c r="I3117" s="18" t="n">
        <f aca="false">((I3116 + G3117) - H3117)</f>
        <v>242219.6</v>
      </c>
      <c r="J3117" s="18" t="n">
        <v>0</v>
      </c>
      <c r="K3117" s="19" t="n">
        <v>0</v>
      </c>
      <c r="L3117" s="17" t="s">
        <v>1406</v>
      </c>
    </row>
    <row r="3118" s="11" customFormat="true" ht="10.95" hidden="false" customHeight="true" outlineLevel="0" collapsed="false">
      <c r="A3118" s="16" t="n">
        <v>45356</v>
      </c>
      <c r="B3118" s="17" t="s">
        <v>1389</v>
      </c>
      <c r="C3118" s="17" t="s">
        <v>1390</v>
      </c>
      <c r="D3118" s="17" t="s">
        <v>1391</v>
      </c>
      <c r="E3118" s="17" t="s">
        <v>1526</v>
      </c>
      <c r="F3118" s="17" t="s">
        <v>1527</v>
      </c>
      <c r="G3118" s="18" t="n">
        <v>72.84</v>
      </c>
      <c r="H3118" s="18" t="n">
        <v>0</v>
      </c>
      <c r="I3118" s="18" t="n">
        <f aca="false">((I3117 + G3118) - H3118)</f>
        <v>242292.44</v>
      </c>
      <c r="J3118" s="18" t="n">
        <v>7.28</v>
      </c>
      <c r="K3118" s="19" t="n">
        <v>10</v>
      </c>
      <c r="L3118" s="17" t="s">
        <v>44</v>
      </c>
    </row>
    <row r="3119" s="11" customFormat="true" ht="10.95" hidden="false" customHeight="true" outlineLevel="0" collapsed="false">
      <c r="A3119" s="16" t="n">
        <v>45356</v>
      </c>
      <c r="B3119" s="17" t="s">
        <v>1389</v>
      </c>
      <c r="C3119" s="17" t="s">
        <v>1390</v>
      </c>
      <c r="D3119" s="17" t="s">
        <v>1391</v>
      </c>
      <c r="E3119" s="17" t="s">
        <v>1528</v>
      </c>
      <c r="F3119" s="17" t="s">
        <v>1529</v>
      </c>
      <c r="G3119" s="18" t="n">
        <v>2102.38</v>
      </c>
      <c r="H3119" s="18" t="n">
        <v>0</v>
      </c>
      <c r="I3119" s="18" t="n">
        <f aca="false">((I3118 + G3119) - H3119)</f>
        <v>244394.82</v>
      </c>
      <c r="J3119" s="18" t="n">
        <v>210.24</v>
      </c>
      <c r="K3119" s="19" t="n">
        <v>10</v>
      </c>
      <c r="L3119" s="17" t="s">
        <v>44</v>
      </c>
    </row>
    <row r="3120" s="11" customFormat="true" ht="10.95" hidden="false" customHeight="true" outlineLevel="0" collapsed="false">
      <c r="A3120" s="16" t="n">
        <v>45358</v>
      </c>
      <c r="B3120" s="17" t="s">
        <v>1389</v>
      </c>
      <c r="C3120" s="17" t="s">
        <v>1390</v>
      </c>
      <c r="D3120" s="17" t="s">
        <v>1391</v>
      </c>
      <c r="E3120" s="17" t="s">
        <v>1530</v>
      </c>
      <c r="F3120" s="17" t="s">
        <v>1531</v>
      </c>
      <c r="G3120" s="18" t="n">
        <v>19325.04</v>
      </c>
      <c r="H3120" s="18" t="n">
        <v>0</v>
      </c>
      <c r="I3120" s="18" t="n">
        <f aca="false">((I3119 + G3120) - H3120)</f>
        <v>263719.86</v>
      </c>
      <c r="J3120" s="18" t="n">
        <v>1932.5</v>
      </c>
      <c r="K3120" s="19" t="n">
        <v>10</v>
      </c>
      <c r="L3120" s="17" t="s">
        <v>44</v>
      </c>
    </row>
    <row r="3121" s="11" customFormat="true" ht="10.95" hidden="false" customHeight="true" outlineLevel="0" collapsed="false">
      <c r="A3121" s="16" t="n">
        <v>45359</v>
      </c>
      <c r="B3121" s="17" t="s">
        <v>1389</v>
      </c>
      <c r="C3121" s="17" t="s">
        <v>1390</v>
      </c>
      <c r="D3121" s="17" t="s">
        <v>1391</v>
      </c>
      <c r="E3121" s="17" t="s">
        <v>1532</v>
      </c>
      <c r="F3121" s="17" t="s">
        <v>1533</v>
      </c>
      <c r="G3121" s="18" t="n">
        <v>2006.55</v>
      </c>
      <c r="H3121" s="18" t="n">
        <v>0</v>
      </c>
      <c r="I3121" s="18" t="n">
        <f aca="false">((I3120 + G3121) - H3121)</f>
        <v>265726.41</v>
      </c>
      <c r="J3121" s="18" t="n">
        <v>200.66</v>
      </c>
      <c r="K3121" s="19" t="n">
        <v>10</v>
      </c>
      <c r="L3121" s="17" t="s">
        <v>44</v>
      </c>
    </row>
    <row r="3122" s="11" customFormat="true" ht="10.95" hidden="false" customHeight="true" outlineLevel="0" collapsed="false">
      <c r="A3122" s="16" t="n">
        <v>45364</v>
      </c>
      <c r="B3122" s="17" t="s">
        <v>1389</v>
      </c>
      <c r="C3122" s="17" t="s">
        <v>1390</v>
      </c>
      <c r="D3122" s="17" t="s">
        <v>1391</v>
      </c>
      <c r="E3122" s="17" t="s">
        <v>1534</v>
      </c>
      <c r="F3122" s="17" t="s">
        <v>1535</v>
      </c>
      <c r="G3122" s="18" t="n">
        <v>453.64</v>
      </c>
      <c r="H3122" s="18" t="n">
        <v>0</v>
      </c>
      <c r="I3122" s="18" t="n">
        <f aca="false">((I3121 + G3122) - H3122)</f>
        <v>266180.05</v>
      </c>
      <c r="J3122" s="18" t="n">
        <v>0</v>
      </c>
      <c r="K3122" s="19" t="n">
        <v>0</v>
      </c>
      <c r="L3122" s="17" t="s">
        <v>1406</v>
      </c>
    </row>
    <row r="3123" s="11" customFormat="true" ht="10.95" hidden="false" customHeight="true" outlineLevel="0" collapsed="false">
      <c r="A3123" s="16" t="n">
        <v>45373</v>
      </c>
      <c r="B3123" s="17" t="s">
        <v>1389</v>
      </c>
      <c r="C3123" s="17" t="s">
        <v>1390</v>
      </c>
      <c r="D3123" s="17" t="s">
        <v>1407</v>
      </c>
      <c r="E3123" s="17" t="s">
        <v>1536</v>
      </c>
      <c r="F3123" s="17"/>
      <c r="G3123" s="18" t="n">
        <v>287.15</v>
      </c>
      <c r="H3123" s="18" t="n">
        <v>0</v>
      </c>
      <c r="I3123" s="18" t="n">
        <f aca="false">((I3122 + G3123) - H3123)</f>
        <v>266467.2</v>
      </c>
      <c r="J3123" s="18" t="n">
        <v>0</v>
      </c>
      <c r="K3123" s="19" t="n">
        <v>0</v>
      </c>
      <c r="L3123" s="17" t="s">
        <v>1406</v>
      </c>
    </row>
    <row r="3124" s="11" customFormat="true" ht="10.95" hidden="false" customHeight="true" outlineLevel="0" collapsed="false">
      <c r="A3124" s="16" t="n">
        <v>45381</v>
      </c>
      <c r="B3124" s="17" t="s">
        <v>1389</v>
      </c>
      <c r="C3124" s="17" t="s">
        <v>1390</v>
      </c>
      <c r="D3124" s="17" t="s">
        <v>1391</v>
      </c>
      <c r="E3124" s="17" t="s">
        <v>1537</v>
      </c>
      <c r="F3124" s="17" t="s">
        <v>1538</v>
      </c>
      <c r="G3124" s="18" t="n">
        <v>5624.14</v>
      </c>
      <c r="H3124" s="18" t="n">
        <v>0</v>
      </c>
      <c r="I3124" s="18" t="n">
        <f aca="false">((I3123 + G3124) - H3124)</f>
        <v>272091.34</v>
      </c>
      <c r="J3124" s="18" t="n">
        <v>562.41</v>
      </c>
      <c r="K3124" s="19" t="n">
        <v>10</v>
      </c>
      <c r="L3124" s="17" t="s">
        <v>44</v>
      </c>
    </row>
    <row r="3125" s="11" customFormat="true" ht="10.95" hidden="false" customHeight="true" outlineLevel="0" collapsed="false">
      <c r="A3125" s="16" t="n">
        <v>45382</v>
      </c>
      <c r="B3125" s="17" t="s">
        <v>1389</v>
      </c>
      <c r="C3125" s="17" t="s">
        <v>1390</v>
      </c>
      <c r="D3125" s="17" t="s">
        <v>1391</v>
      </c>
      <c r="E3125" s="17" t="s">
        <v>1539</v>
      </c>
      <c r="F3125" s="17" t="s">
        <v>1540</v>
      </c>
      <c r="G3125" s="18" t="n">
        <v>3797.06</v>
      </c>
      <c r="H3125" s="18" t="n">
        <v>0</v>
      </c>
      <c r="I3125" s="18" t="n">
        <f aca="false">((I3124 + G3125) - H3125)</f>
        <v>275888.4</v>
      </c>
      <c r="J3125" s="18" t="n">
        <v>0</v>
      </c>
      <c r="K3125" s="19" t="n">
        <v>0</v>
      </c>
      <c r="L3125" s="17" t="s">
        <v>1406</v>
      </c>
    </row>
    <row r="3126" s="11" customFormat="true" ht="10.95" hidden="false" customHeight="true" outlineLevel="0" collapsed="false">
      <c r="A3126" s="16" t="n">
        <v>45383</v>
      </c>
      <c r="B3126" s="17" t="s">
        <v>1389</v>
      </c>
      <c r="C3126" s="17" t="s">
        <v>1390</v>
      </c>
      <c r="D3126" s="17" t="s">
        <v>1391</v>
      </c>
      <c r="E3126" s="17" t="s">
        <v>1541</v>
      </c>
      <c r="F3126" s="17" t="s">
        <v>1542</v>
      </c>
      <c r="G3126" s="18" t="n">
        <v>489.78</v>
      </c>
      <c r="H3126" s="18" t="n">
        <v>0</v>
      </c>
      <c r="I3126" s="18" t="n">
        <f aca="false">((I3125 + G3126) - H3126)</f>
        <v>276378.18</v>
      </c>
      <c r="J3126" s="18" t="n">
        <v>48.98</v>
      </c>
      <c r="K3126" s="19" t="n">
        <v>10</v>
      </c>
      <c r="L3126" s="17" t="s">
        <v>44</v>
      </c>
    </row>
    <row r="3127" s="11" customFormat="true" ht="10.95" hidden="false" customHeight="true" outlineLevel="0" collapsed="false">
      <c r="A3127" s="16" t="n">
        <v>45383</v>
      </c>
      <c r="B3127" s="17" t="s">
        <v>1389</v>
      </c>
      <c r="C3127" s="17" t="s">
        <v>1390</v>
      </c>
      <c r="D3127" s="17" t="s">
        <v>1391</v>
      </c>
      <c r="E3127" s="17" t="s">
        <v>1543</v>
      </c>
      <c r="F3127" s="17" t="s">
        <v>1544</v>
      </c>
      <c r="G3127" s="18" t="n">
        <v>912</v>
      </c>
      <c r="H3127" s="18" t="n">
        <v>0</v>
      </c>
      <c r="I3127" s="18" t="n">
        <f aca="false">((I3126 + G3127) - H3127)</f>
        <v>277290.18</v>
      </c>
      <c r="J3127" s="18" t="n">
        <v>0</v>
      </c>
      <c r="K3127" s="19" t="n">
        <v>0</v>
      </c>
      <c r="L3127" s="17" t="s">
        <v>1406</v>
      </c>
    </row>
    <row r="3128" s="11" customFormat="true" ht="10.95" hidden="false" customHeight="true" outlineLevel="0" collapsed="false">
      <c r="A3128" s="16" t="n">
        <v>45384</v>
      </c>
      <c r="B3128" s="17" t="s">
        <v>1389</v>
      </c>
      <c r="C3128" s="17" t="s">
        <v>1390</v>
      </c>
      <c r="D3128" s="17" t="s">
        <v>1391</v>
      </c>
      <c r="E3128" s="17" t="s">
        <v>1545</v>
      </c>
      <c r="F3128" s="17" t="s">
        <v>1546</v>
      </c>
      <c r="G3128" s="18" t="n">
        <v>23528.92</v>
      </c>
      <c r="H3128" s="18" t="n">
        <v>0</v>
      </c>
      <c r="I3128" s="18" t="n">
        <f aca="false">((I3127 + G3128) - H3128)</f>
        <v>300819.1</v>
      </c>
      <c r="J3128" s="18" t="n">
        <v>2352.89</v>
      </c>
      <c r="K3128" s="19" t="n">
        <v>10</v>
      </c>
      <c r="L3128" s="17" t="s">
        <v>44</v>
      </c>
    </row>
    <row r="3129" s="11" customFormat="true" ht="10.95" hidden="false" customHeight="true" outlineLevel="0" collapsed="false">
      <c r="A3129" s="16" t="n">
        <v>45386</v>
      </c>
      <c r="B3129" s="17" t="s">
        <v>1389</v>
      </c>
      <c r="C3129" s="17" t="s">
        <v>1390</v>
      </c>
      <c r="D3129" s="17" t="s">
        <v>1391</v>
      </c>
      <c r="E3129" s="17" t="s">
        <v>1547</v>
      </c>
      <c r="F3129" s="17" t="s">
        <v>1548</v>
      </c>
      <c r="G3129" s="18" t="n">
        <v>2290.86</v>
      </c>
      <c r="H3129" s="18" t="n">
        <v>0</v>
      </c>
      <c r="I3129" s="18" t="n">
        <f aca="false">((I3128 + G3129) - H3129)</f>
        <v>303109.96</v>
      </c>
      <c r="J3129" s="18" t="n">
        <v>229.09</v>
      </c>
      <c r="K3129" s="19" t="n">
        <v>10</v>
      </c>
      <c r="L3129" s="17" t="s">
        <v>44</v>
      </c>
    </row>
    <row r="3130" s="11" customFormat="true" ht="10.95" hidden="false" customHeight="true" outlineLevel="0" collapsed="false">
      <c r="A3130" s="16" t="n">
        <v>45386</v>
      </c>
      <c r="B3130" s="17" t="s">
        <v>1389</v>
      </c>
      <c r="C3130" s="17" t="s">
        <v>1390</v>
      </c>
      <c r="D3130" s="17" t="s">
        <v>1391</v>
      </c>
      <c r="E3130" s="17" t="s">
        <v>1549</v>
      </c>
      <c r="F3130" s="17" t="s">
        <v>1550</v>
      </c>
      <c r="G3130" s="18" t="n">
        <v>2105.78</v>
      </c>
      <c r="H3130" s="18" t="n">
        <v>0</v>
      </c>
      <c r="I3130" s="18" t="n">
        <f aca="false">((I3129 + G3130) - H3130)</f>
        <v>305215.74</v>
      </c>
      <c r="J3130" s="18" t="n">
        <v>210.58</v>
      </c>
      <c r="K3130" s="19" t="n">
        <v>10</v>
      </c>
      <c r="L3130" s="17" t="s">
        <v>44</v>
      </c>
    </row>
    <row r="3131" s="11" customFormat="true" ht="10.95" hidden="false" customHeight="true" outlineLevel="0" collapsed="false">
      <c r="A3131" s="16" t="n">
        <v>45404</v>
      </c>
      <c r="B3131" s="17" t="s">
        <v>1389</v>
      </c>
      <c r="C3131" s="17" t="s">
        <v>1390</v>
      </c>
      <c r="D3131" s="17" t="s">
        <v>1407</v>
      </c>
      <c r="E3131" s="17" t="s">
        <v>1551</v>
      </c>
      <c r="F3131" s="17"/>
      <c r="G3131" s="18" t="n">
        <v>290.46</v>
      </c>
      <c r="H3131" s="18" t="n">
        <v>0</v>
      </c>
      <c r="I3131" s="18" t="n">
        <f aca="false">((I3130 + G3131) - H3131)</f>
        <v>305506.2</v>
      </c>
      <c r="J3131" s="18" t="n">
        <v>0</v>
      </c>
      <c r="K3131" s="19" t="n">
        <v>0</v>
      </c>
      <c r="L3131" s="17" t="s">
        <v>1406</v>
      </c>
    </row>
    <row r="3132" s="11" customFormat="true" ht="10.95" hidden="false" customHeight="true" outlineLevel="0" collapsed="false">
      <c r="A3132" s="16" t="n">
        <v>45412</v>
      </c>
      <c r="B3132" s="17" t="s">
        <v>1389</v>
      </c>
      <c r="C3132" s="17" t="s">
        <v>1390</v>
      </c>
      <c r="D3132" s="17" t="s">
        <v>1391</v>
      </c>
      <c r="E3132" s="17" t="s">
        <v>1552</v>
      </c>
      <c r="F3132" s="17" t="s">
        <v>1553</v>
      </c>
      <c r="G3132" s="18" t="n">
        <v>5827.7</v>
      </c>
      <c r="H3132" s="18" t="n">
        <v>0</v>
      </c>
      <c r="I3132" s="18" t="n">
        <f aca="false">((I3131 + G3132) - H3132)</f>
        <v>311333.9</v>
      </c>
      <c r="J3132" s="18" t="n">
        <v>582.77</v>
      </c>
      <c r="K3132" s="19" t="n">
        <v>10</v>
      </c>
      <c r="L3132" s="17" t="s">
        <v>44</v>
      </c>
    </row>
    <row r="3133" s="11" customFormat="true" ht="10.95" hidden="false" customHeight="true" outlineLevel="0" collapsed="false">
      <c r="A3133" s="16" t="n">
        <v>45412</v>
      </c>
      <c r="B3133" s="17" t="s">
        <v>1389</v>
      </c>
      <c r="C3133" s="17" t="s">
        <v>1390</v>
      </c>
      <c r="D3133" s="17" t="s">
        <v>1391</v>
      </c>
      <c r="E3133" s="17" t="s">
        <v>1554</v>
      </c>
      <c r="F3133" s="17" t="s">
        <v>1555</v>
      </c>
      <c r="G3133" s="18" t="n">
        <v>4050.6</v>
      </c>
      <c r="H3133" s="18" t="n">
        <v>0</v>
      </c>
      <c r="I3133" s="18" t="n">
        <f aca="false">((I3132 + G3133) - H3133)</f>
        <v>315384.5</v>
      </c>
      <c r="J3133" s="18" t="n">
        <v>0</v>
      </c>
      <c r="K3133" s="19" t="n">
        <v>0</v>
      </c>
      <c r="L3133" s="17" t="s">
        <v>1406</v>
      </c>
    </row>
    <row r="3134" s="11" customFormat="true" ht="10.95" hidden="false" customHeight="true" outlineLevel="0" collapsed="false">
      <c r="A3134" s="16" t="n">
        <v>45413</v>
      </c>
      <c r="B3134" s="17" t="s">
        <v>1389</v>
      </c>
      <c r="C3134" s="17" t="s">
        <v>1390</v>
      </c>
      <c r="D3134" s="17" t="s">
        <v>1391</v>
      </c>
      <c r="E3134" s="17" t="s">
        <v>1556</v>
      </c>
      <c r="F3134" s="17" t="s">
        <v>1557</v>
      </c>
      <c r="G3134" s="18" t="n">
        <v>489.78</v>
      </c>
      <c r="H3134" s="18" t="n">
        <v>0</v>
      </c>
      <c r="I3134" s="18" t="n">
        <f aca="false">((I3133 + G3134) - H3134)</f>
        <v>315874.28</v>
      </c>
      <c r="J3134" s="18" t="n">
        <v>48.98</v>
      </c>
      <c r="K3134" s="19" t="n">
        <v>10</v>
      </c>
      <c r="L3134" s="17" t="s">
        <v>44</v>
      </c>
    </row>
    <row r="3135" s="11" customFormat="true" ht="10.95" hidden="false" customHeight="true" outlineLevel="0" collapsed="false">
      <c r="A3135" s="16" t="n">
        <v>45413</v>
      </c>
      <c r="B3135" s="17" t="s">
        <v>1389</v>
      </c>
      <c r="C3135" s="17" t="s">
        <v>1390</v>
      </c>
      <c r="D3135" s="17" t="s">
        <v>1391</v>
      </c>
      <c r="E3135" s="17" t="s">
        <v>1558</v>
      </c>
      <c r="F3135" s="17" t="s">
        <v>1559</v>
      </c>
      <c r="G3135" s="18" t="n">
        <v>254.41</v>
      </c>
      <c r="H3135" s="18" t="n">
        <v>0</v>
      </c>
      <c r="I3135" s="18" t="n">
        <f aca="false">((I3134 + G3135) - H3135)</f>
        <v>316128.69</v>
      </c>
      <c r="J3135" s="18" t="n">
        <v>0</v>
      </c>
      <c r="K3135" s="19" t="n">
        <v>0</v>
      </c>
      <c r="L3135" s="17" t="s">
        <v>1406</v>
      </c>
    </row>
    <row r="3136" s="11" customFormat="true" ht="10.95" hidden="false" customHeight="true" outlineLevel="0" collapsed="false">
      <c r="A3136" s="16" t="n">
        <v>45416</v>
      </c>
      <c r="B3136" s="17" t="s">
        <v>1389</v>
      </c>
      <c r="C3136" s="17" t="s">
        <v>1390</v>
      </c>
      <c r="D3136" s="17" t="s">
        <v>1391</v>
      </c>
      <c r="E3136" s="17" t="s">
        <v>1560</v>
      </c>
      <c r="F3136" s="17" t="s">
        <v>1561</v>
      </c>
      <c r="G3136" s="18" t="n">
        <v>2105.78</v>
      </c>
      <c r="H3136" s="18" t="n">
        <v>0</v>
      </c>
      <c r="I3136" s="18" t="n">
        <f aca="false">((I3135 + G3136) - H3136)</f>
        <v>318234.47</v>
      </c>
      <c r="J3136" s="18" t="n">
        <v>210.58</v>
      </c>
      <c r="K3136" s="19" t="n">
        <v>10</v>
      </c>
      <c r="L3136" s="17" t="s">
        <v>44</v>
      </c>
    </row>
    <row r="3137" s="11" customFormat="true" ht="10.95" hidden="false" customHeight="true" outlineLevel="0" collapsed="false">
      <c r="A3137" s="16" t="n">
        <v>45419</v>
      </c>
      <c r="B3137" s="17" t="s">
        <v>1389</v>
      </c>
      <c r="C3137" s="17" t="s">
        <v>1390</v>
      </c>
      <c r="D3137" s="17" t="s">
        <v>1391</v>
      </c>
      <c r="E3137" s="17" t="s">
        <v>1562</v>
      </c>
      <c r="F3137" s="17" t="s">
        <v>1563</v>
      </c>
      <c r="G3137" s="18" t="n">
        <v>2310.44</v>
      </c>
      <c r="H3137" s="18" t="n">
        <v>0</v>
      </c>
      <c r="I3137" s="18" t="n">
        <f aca="false">((I3136 + G3137) - H3137)</f>
        <v>320544.91</v>
      </c>
      <c r="J3137" s="18" t="n">
        <v>231.04</v>
      </c>
      <c r="K3137" s="19" t="n">
        <v>10</v>
      </c>
      <c r="L3137" s="17" t="s">
        <v>44</v>
      </c>
    </row>
    <row r="3138" s="11" customFormat="true" ht="10.95" hidden="false" customHeight="true" outlineLevel="0" collapsed="false">
      <c r="A3138" s="16" t="n">
        <v>45419</v>
      </c>
      <c r="B3138" s="17" t="s">
        <v>1389</v>
      </c>
      <c r="C3138" s="17" t="s">
        <v>1390</v>
      </c>
      <c r="D3138" s="17" t="s">
        <v>1391</v>
      </c>
      <c r="E3138" s="17" t="s">
        <v>1564</v>
      </c>
      <c r="F3138" s="17" t="s">
        <v>1565</v>
      </c>
      <c r="G3138" s="18" t="n">
        <v>24720.4</v>
      </c>
      <c r="H3138" s="18" t="n">
        <v>0</v>
      </c>
      <c r="I3138" s="18" t="n">
        <f aca="false">((I3137 + G3138) - H3138)</f>
        <v>345265.31</v>
      </c>
      <c r="J3138" s="18" t="n">
        <v>2472.04</v>
      </c>
      <c r="K3138" s="19" t="n">
        <v>10</v>
      </c>
      <c r="L3138" s="17" t="s">
        <v>44</v>
      </c>
    </row>
    <row r="3139" s="11" customFormat="true" ht="10.95" hidden="false" customHeight="true" outlineLevel="0" collapsed="false">
      <c r="A3139" s="16" t="n">
        <v>45434</v>
      </c>
      <c r="B3139" s="17" t="s">
        <v>1389</v>
      </c>
      <c r="C3139" s="17" t="s">
        <v>1390</v>
      </c>
      <c r="D3139" s="17" t="s">
        <v>1407</v>
      </c>
      <c r="E3139" s="17" t="s">
        <v>1551</v>
      </c>
      <c r="F3139" s="17"/>
      <c r="G3139" s="18" t="n">
        <v>281.37</v>
      </c>
      <c r="H3139" s="18" t="n">
        <v>0</v>
      </c>
      <c r="I3139" s="18" t="n">
        <f aca="false">((I3138 + G3139) - H3139)</f>
        <v>345546.68</v>
      </c>
      <c r="J3139" s="18" t="n">
        <v>0</v>
      </c>
      <c r="K3139" s="19" t="n">
        <v>0</v>
      </c>
      <c r="L3139" s="17" t="s">
        <v>1406</v>
      </c>
    </row>
    <row r="3140" s="11" customFormat="true" ht="10.95" hidden="false" customHeight="true" outlineLevel="0" collapsed="false">
      <c r="A3140" s="16" t="n">
        <v>45440</v>
      </c>
      <c r="B3140" s="17" t="s">
        <v>1389</v>
      </c>
      <c r="C3140" s="17" t="s">
        <v>1390</v>
      </c>
      <c r="D3140" s="17" t="s">
        <v>1391</v>
      </c>
      <c r="E3140" s="17" t="s">
        <v>1566</v>
      </c>
      <c r="F3140" s="17" t="s">
        <v>1567</v>
      </c>
      <c r="G3140" s="18" t="n">
        <v>5889.2</v>
      </c>
      <c r="H3140" s="18" t="n">
        <v>0</v>
      </c>
      <c r="I3140" s="18" t="n">
        <f aca="false">((I3139 + G3140) - H3140)</f>
        <v>351435.88</v>
      </c>
      <c r="J3140" s="18" t="n">
        <v>588.92</v>
      </c>
      <c r="K3140" s="19" t="n">
        <v>10</v>
      </c>
      <c r="L3140" s="17" t="s">
        <v>44</v>
      </c>
    </row>
    <row r="3141" s="11" customFormat="true" ht="10.95" hidden="false" customHeight="true" outlineLevel="0" collapsed="false">
      <c r="A3141" s="16" t="n">
        <v>45443</v>
      </c>
      <c r="B3141" s="17" t="s">
        <v>1389</v>
      </c>
      <c r="C3141" s="17" t="s">
        <v>1390</v>
      </c>
      <c r="D3141" s="17" t="s">
        <v>1391</v>
      </c>
      <c r="E3141" s="17" t="s">
        <v>1568</v>
      </c>
      <c r="F3141" s="17" t="s">
        <v>1569</v>
      </c>
      <c r="G3141" s="18" t="n">
        <v>3743.95</v>
      </c>
      <c r="H3141" s="18" t="n">
        <v>0</v>
      </c>
      <c r="I3141" s="18" t="n">
        <f aca="false">((I3140 + G3141) - H3141)</f>
        <v>355179.83</v>
      </c>
      <c r="J3141" s="18" t="n">
        <v>0</v>
      </c>
      <c r="K3141" s="19" t="n">
        <v>0</v>
      </c>
      <c r="L3141" s="17" t="s">
        <v>1406</v>
      </c>
    </row>
    <row r="3142" s="11" customFormat="true" ht="10.95" hidden="false" customHeight="true" outlineLevel="0" collapsed="false">
      <c r="A3142" s="16" t="n">
        <v>45444</v>
      </c>
      <c r="B3142" s="17" t="s">
        <v>1389</v>
      </c>
      <c r="C3142" s="17" t="s">
        <v>1390</v>
      </c>
      <c r="D3142" s="17" t="s">
        <v>1391</v>
      </c>
      <c r="E3142" s="17" t="s">
        <v>1570</v>
      </c>
      <c r="F3142" s="17" t="s">
        <v>1571</v>
      </c>
      <c r="G3142" s="18" t="n">
        <v>489.78</v>
      </c>
      <c r="H3142" s="18" t="n">
        <v>0</v>
      </c>
      <c r="I3142" s="18" t="n">
        <f aca="false">((I3141 + G3142) - H3142)</f>
        <v>355669.61</v>
      </c>
      <c r="J3142" s="18" t="n">
        <v>48.98</v>
      </c>
      <c r="K3142" s="19" t="n">
        <v>10</v>
      </c>
      <c r="L3142" s="17" t="s">
        <v>44</v>
      </c>
    </row>
    <row r="3143" s="11" customFormat="true" ht="10.95" hidden="false" customHeight="true" outlineLevel="0" collapsed="false">
      <c r="A3143" s="16" t="n">
        <v>45444</v>
      </c>
      <c r="B3143" s="17" t="s">
        <v>1389</v>
      </c>
      <c r="C3143" s="17" t="s">
        <v>1390</v>
      </c>
      <c r="D3143" s="17" t="s">
        <v>1391</v>
      </c>
      <c r="E3143" s="17" t="s">
        <v>1572</v>
      </c>
      <c r="F3143" s="17" t="s">
        <v>1573</v>
      </c>
      <c r="G3143" s="18" t="n">
        <v>247.87</v>
      </c>
      <c r="H3143" s="18" t="n">
        <v>0</v>
      </c>
      <c r="I3143" s="18" t="n">
        <f aca="false">((I3142 + G3143) - H3143)</f>
        <v>355917.48</v>
      </c>
      <c r="J3143" s="18" t="n">
        <v>0</v>
      </c>
      <c r="K3143" s="19" t="n">
        <v>0</v>
      </c>
      <c r="L3143" s="17" t="s">
        <v>1406</v>
      </c>
    </row>
    <row r="3144" s="11" customFormat="true" ht="10.95" hidden="false" customHeight="true" outlineLevel="0" collapsed="false">
      <c r="A3144" s="16" t="n">
        <v>45447</v>
      </c>
      <c r="B3144" s="17" t="s">
        <v>1389</v>
      </c>
      <c r="C3144" s="17" t="s">
        <v>1390</v>
      </c>
      <c r="D3144" s="17" t="s">
        <v>1391</v>
      </c>
      <c r="E3144" s="17" t="s">
        <v>1574</v>
      </c>
      <c r="F3144" s="17" t="s">
        <v>1575</v>
      </c>
      <c r="G3144" s="18" t="n">
        <v>24720.4</v>
      </c>
      <c r="H3144" s="18" t="n">
        <v>0</v>
      </c>
      <c r="I3144" s="18" t="n">
        <f aca="false">((I3143 + G3144) - H3144)</f>
        <v>380637.88</v>
      </c>
      <c r="J3144" s="18" t="n">
        <v>2472.04</v>
      </c>
      <c r="K3144" s="19" t="n">
        <v>10</v>
      </c>
      <c r="L3144" s="17" t="s">
        <v>44</v>
      </c>
    </row>
    <row r="3145" s="11" customFormat="true" ht="10.95" hidden="false" customHeight="true" outlineLevel="0" collapsed="false">
      <c r="A3145" s="16" t="n">
        <v>45447</v>
      </c>
      <c r="B3145" s="17" t="s">
        <v>1389</v>
      </c>
      <c r="C3145" s="17" t="s">
        <v>1390</v>
      </c>
      <c r="D3145" s="17" t="s">
        <v>1391</v>
      </c>
      <c r="E3145" s="17" t="s">
        <v>1576</v>
      </c>
      <c r="F3145" s="17" t="s">
        <v>1577</v>
      </c>
      <c r="G3145" s="18" t="n">
        <v>2505.14</v>
      </c>
      <c r="H3145" s="18" t="n">
        <v>0</v>
      </c>
      <c r="I3145" s="18" t="n">
        <f aca="false">((I3144 + G3145) - H3145)</f>
        <v>383143.02</v>
      </c>
      <c r="J3145" s="18" t="n">
        <v>250.51</v>
      </c>
      <c r="K3145" s="19" t="n">
        <v>10</v>
      </c>
      <c r="L3145" s="17" t="s">
        <v>44</v>
      </c>
    </row>
    <row r="3146" s="11" customFormat="true" ht="10.95" hidden="false" customHeight="true" outlineLevel="0" collapsed="false">
      <c r="A3146" s="16" t="n">
        <v>45447</v>
      </c>
      <c r="B3146" s="17" t="s">
        <v>1389</v>
      </c>
      <c r="C3146" s="17" t="s">
        <v>1390</v>
      </c>
      <c r="D3146" s="17" t="s">
        <v>1391</v>
      </c>
      <c r="E3146" s="17" t="s">
        <v>1578</v>
      </c>
      <c r="F3146" s="17" t="s">
        <v>1579</v>
      </c>
      <c r="G3146" s="18" t="n">
        <v>2105.78</v>
      </c>
      <c r="H3146" s="18" t="n">
        <v>0</v>
      </c>
      <c r="I3146" s="18" t="n">
        <f aca="false">((I3145 + G3146) - H3146)</f>
        <v>385248.8</v>
      </c>
      <c r="J3146" s="18" t="n">
        <v>210.58</v>
      </c>
      <c r="K3146" s="19" t="n">
        <v>10</v>
      </c>
      <c r="L3146" s="17" t="s">
        <v>44</v>
      </c>
    </row>
    <row r="3147" s="11" customFormat="true" ht="10.95" hidden="false" customHeight="true" outlineLevel="0" collapsed="false">
      <c r="A3147" s="16" t="n">
        <v>45456</v>
      </c>
      <c r="B3147" s="17" t="s">
        <v>1389</v>
      </c>
      <c r="C3147" s="17" t="s">
        <v>1390</v>
      </c>
      <c r="D3147" s="17" t="s">
        <v>1407</v>
      </c>
      <c r="E3147" s="17" t="s">
        <v>1580</v>
      </c>
      <c r="F3147" s="17"/>
      <c r="G3147" s="18" t="n">
        <v>777.27</v>
      </c>
      <c r="H3147" s="18" t="n">
        <v>0</v>
      </c>
      <c r="I3147" s="18" t="n">
        <f aca="false">((I3146 + G3147) - H3147)</f>
        <v>386026.07</v>
      </c>
      <c r="J3147" s="18" t="n">
        <v>77.73</v>
      </c>
      <c r="K3147" s="19" t="n">
        <v>10</v>
      </c>
      <c r="L3147" s="17" t="s">
        <v>44</v>
      </c>
    </row>
    <row r="3148" s="11" customFormat="true" ht="10.95" hidden="false" customHeight="true" outlineLevel="0" collapsed="false">
      <c r="A3148" s="16" t="n">
        <v>45461</v>
      </c>
      <c r="B3148" s="17" t="s">
        <v>1389</v>
      </c>
      <c r="C3148" s="17" t="s">
        <v>1390</v>
      </c>
      <c r="D3148" s="17" t="s">
        <v>1407</v>
      </c>
      <c r="E3148" s="17" t="s">
        <v>1580</v>
      </c>
      <c r="F3148" s="17"/>
      <c r="G3148" s="18" t="n">
        <v>247.73</v>
      </c>
      <c r="H3148" s="18" t="n">
        <v>0</v>
      </c>
      <c r="I3148" s="18" t="n">
        <f aca="false">((I3147 + G3148) - H3148)</f>
        <v>386273.8</v>
      </c>
      <c r="J3148" s="18" t="n">
        <v>24.77</v>
      </c>
      <c r="K3148" s="19" t="n">
        <v>10</v>
      </c>
      <c r="L3148" s="17" t="s">
        <v>44</v>
      </c>
    </row>
    <row r="3149" s="11" customFormat="true" ht="10.95" hidden="false" customHeight="true" outlineLevel="0" collapsed="false">
      <c r="A3149" s="16" t="n">
        <v>45465</v>
      </c>
      <c r="B3149" s="17" t="s">
        <v>1389</v>
      </c>
      <c r="C3149" s="17" t="s">
        <v>1390</v>
      </c>
      <c r="D3149" s="17" t="s">
        <v>1407</v>
      </c>
      <c r="E3149" s="17" t="s">
        <v>1551</v>
      </c>
      <c r="F3149" s="17"/>
      <c r="G3149" s="18" t="n">
        <v>281.1</v>
      </c>
      <c r="H3149" s="18" t="n">
        <v>0</v>
      </c>
      <c r="I3149" s="18" t="n">
        <f aca="false">((I3148 + G3149) - H3149)</f>
        <v>386554.9</v>
      </c>
      <c r="J3149" s="18" t="n">
        <v>0</v>
      </c>
      <c r="K3149" s="19" t="n">
        <v>0</v>
      </c>
      <c r="L3149" s="17" t="s">
        <v>1406</v>
      </c>
    </row>
    <row r="3150" s="11" customFormat="true" ht="10.95" hidden="false" customHeight="true" outlineLevel="0" collapsed="false">
      <c r="A3150" s="16" t="n">
        <v>45468</v>
      </c>
      <c r="B3150" s="17" t="s">
        <v>1389</v>
      </c>
      <c r="C3150" s="17" t="s">
        <v>1390</v>
      </c>
      <c r="D3150" s="17" t="s">
        <v>1391</v>
      </c>
      <c r="E3150" s="17" t="s">
        <v>1581</v>
      </c>
      <c r="F3150" s="17" t="s">
        <v>1582</v>
      </c>
      <c r="G3150" s="18" t="n">
        <v>5917.75</v>
      </c>
      <c r="H3150" s="18" t="n">
        <v>0</v>
      </c>
      <c r="I3150" s="18" t="n">
        <f aca="false">((I3149 + G3150) - H3150)</f>
        <v>392472.65</v>
      </c>
      <c r="J3150" s="18" t="n">
        <v>591.78</v>
      </c>
      <c r="K3150" s="19" t="n">
        <v>10</v>
      </c>
      <c r="L3150" s="17" t="s">
        <v>44</v>
      </c>
    </row>
    <row r="3151" s="11" customFormat="true" ht="10.95" hidden="false" customHeight="true" outlineLevel="0" collapsed="false">
      <c r="A3151" s="16" t="n">
        <v>45470</v>
      </c>
      <c r="B3151" s="17" t="s">
        <v>1389</v>
      </c>
      <c r="C3151" s="17" t="s">
        <v>1390</v>
      </c>
      <c r="D3151" s="17" t="s">
        <v>1407</v>
      </c>
      <c r="E3151" s="17" t="s">
        <v>1583</v>
      </c>
      <c r="F3151" s="17"/>
      <c r="G3151" s="18" t="n">
        <v>44.55</v>
      </c>
      <c r="H3151" s="18" t="n">
        <v>0</v>
      </c>
      <c r="I3151" s="18" t="n">
        <f aca="false">((I3150 + G3151) - H3151)</f>
        <v>392517.2</v>
      </c>
      <c r="J3151" s="18" t="n">
        <v>4.45</v>
      </c>
      <c r="K3151" s="19" t="n">
        <v>10</v>
      </c>
      <c r="L3151" s="17" t="s">
        <v>44</v>
      </c>
    </row>
    <row r="3152" s="11" customFormat="true" ht="10.95" hidden="false" customHeight="true" outlineLevel="0" collapsed="false">
      <c r="A3152" s="16" t="n">
        <v>45473</v>
      </c>
      <c r="B3152" s="17" t="s">
        <v>1389</v>
      </c>
      <c r="C3152" s="17" t="s">
        <v>1390</v>
      </c>
      <c r="D3152" s="17" t="s">
        <v>1391</v>
      </c>
      <c r="E3152" s="17" t="s">
        <v>1584</v>
      </c>
      <c r="F3152" s="17" t="s">
        <v>1585</v>
      </c>
      <c r="G3152" s="18" t="n">
        <v>3923.97</v>
      </c>
      <c r="H3152" s="18" t="n">
        <v>0</v>
      </c>
      <c r="I3152" s="18" t="n">
        <f aca="false">((I3151 + G3152) - H3152)</f>
        <v>396441.17</v>
      </c>
      <c r="J3152" s="18" t="n">
        <v>0</v>
      </c>
      <c r="K3152" s="19" t="n">
        <v>0</v>
      </c>
      <c r="L3152" s="17" t="s">
        <v>1406</v>
      </c>
    </row>
    <row r="3153" s="11" customFormat="true" ht="10.95" hidden="false" customHeight="true" outlineLevel="0" collapsed="false">
      <c r="A3153" s="16" t="n">
        <v>45473</v>
      </c>
      <c r="B3153" s="17" t="s">
        <v>1389</v>
      </c>
      <c r="C3153" s="17" t="s">
        <v>1390</v>
      </c>
      <c r="D3153" s="17" t="s">
        <v>1396</v>
      </c>
      <c r="E3153" s="17" t="s">
        <v>1586</v>
      </c>
      <c r="F3153" s="17" t="s">
        <v>1587</v>
      </c>
      <c r="G3153" s="18" t="n">
        <v>0</v>
      </c>
      <c r="H3153" s="18" t="n">
        <v>389224.24</v>
      </c>
      <c r="I3153" s="18" t="n">
        <f aca="false">((I3152 + G3153) - H3153)</f>
        <v>7216.93000000017</v>
      </c>
      <c r="J3153" s="18" t="n">
        <v>0</v>
      </c>
      <c r="K3153" s="19" t="n">
        <v>0</v>
      </c>
      <c r="L3153" s="17" t="s">
        <v>1399</v>
      </c>
    </row>
    <row r="3154" s="11" customFormat="true" ht="10.95" hidden="false" customHeight="true" outlineLevel="0" collapsed="false">
      <c r="A3154" s="16" t="n">
        <v>45473</v>
      </c>
      <c r="B3154" s="17" t="s">
        <v>1389</v>
      </c>
      <c r="C3154" s="17" t="s">
        <v>1390</v>
      </c>
      <c r="D3154" s="17" t="s">
        <v>1396</v>
      </c>
      <c r="E3154" s="17" t="s">
        <v>1588</v>
      </c>
      <c r="F3154" s="17" t="s">
        <v>1589</v>
      </c>
      <c r="G3154" s="18" t="n">
        <v>0</v>
      </c>
      <c r="H3154" s="18" t="n">
        <v>2985</v>
      </c>
      <c r="I3154" s="18" t="n">
        <f aca="false">((I3153 + G3154) - H3154)</f>
        <v>4231.93000000017</v>
      </c>
      <c r="J3154" s="18" t="n">
        <v>0</v>
      </c>
      <c r="K3154" s="19" t="n">
        <v>0</v>
      </c>
      <c r="L3154" s="17" t="s">
        <v>1399</v>
      </c>
    </row>
    <row r="3155" s="11" customFormat="true" ht="10.95" hidden="false" customHeight="true" outlineLevel="0" collapsed="false">
      <c r="A3155" s="21" t="s">
        <v>1590</v>
      </c>
      <c r="B3155" s="21"/>
      <c r="C3155" s="21"/>
      <c r="D3155" s="21"/>
      <c r="E3155" s="21"/>
      <c r="F3155" s="21"/>
      <c r="G3155" s="22" t="n">
        <f aca="false">SUM(G3045:G3154)</f>
        <v>400102.29</v>
      </c>
      <c r="H3155" s="22" t="n">
        <f aca="false">SUM(H3045:H3154)</f>
        <v>395870.36</v>
      </c>
      <c r="I3155" s="22" t="n">
        <f aca="false">I3154</f>
        <v>4231.93000000017</v>
      </c>
      <c r="J3155" s="22" t="n">
        <f aca="false">SUM(J3045:J3154)</f>
        <v>33537.03</v>
      </c>
      <c r="K3155" s="21"/>
      <c r="L3155" s="21"/>
    </row>
    <row r="3156" s="11" customFormat="true" ht="10.95" hidden="false" customHeight="true" outlineLevel="0" collapsed="false">
      <c r="A3156" s="21" t="s">
        <v>784</v>
      </c>
      <c r="B3156" s="21"/>
      <c r="C3156" s="21"/>
      <c r="D3156" s="21"/>
      <c r="E3156" s="21"/>
      <c r="F3156" s="21"/>
      <c r="G3156" s="22" t="n">
        <v>4231.93</v>
      </c>
      <c r="H3156" s="22" t="n">
        <v>0</v>
      </c>
      <c r="I3156" s="22" t="n">
        <v>0</v>
      </c>
      <c r="J3156" s="22" t="n">
        <v>0</v>
      </c>
      <c r="K3156" s="21"/>
      <c r="L3156" s="21"/>
    </row>
    <row r="3157" s="11" customFormat="true" ht="10.95" hidden="false" customHeight="true" outlineLevel="0" collapsed="false">
      <c r="A3157" s="9" t="s">
        <v>785</v>
      </c>
      <c r="B3157" s="9"/>
      <c r="C3157" s="9"/>
      <c r="D3157" s="9"/>
      <c r="E3157" s="9"/>
      <c r="F3157" s="9"/>
      <c r="G3157" s="10" t="n">
        <v>4231.93</v>
      </c>
      <c r="H3157" s="10" t="n">
        <v>0</v>
      </c>
      <c r="I3157" s="10" t="n">
        <f aca="false">I3154</f>
        <v>4231.93000000017</v>
      </c>
      <c r="J3157" s="10" t="n">
        <v>0</v>
      </c>
      <c r="K3157" s="9"/>
      <c r="L3157" s="9"/>
    </row>
    <row r="3158" customFormat="false" ht="13.35" hidden="false" customHeight="true" outlineLevel="0" collapsed="false"/>
    <row r="3159" s="7" customFormat="true" ht="12.1" hidden="false" customHeight="true" outlineLevel="0" collapsed="false">
      <c r="A3159" s="8" t="s">
        <v>1591</v>
      </c>
      <c r="B3159" s="8"/>
      <c r="C3159" s="8"/>
      <c r="D3159" s="8"/>
      <c r="E3159" s="8"/>
      <c r="F3159" s="8"/>
      <c r="G3159" s="8"/>
      <c r="H3159" s="8"/>
      <c r="I3159" s="8"/>
      <c r="J3159" s="8"/>
      <c r="K3159" s="8"/>
      <c r="L3159" s="8"/>
    </row>
    <row r="3160" s="11" customFormat="true" ht="10.95" hidden="false" customHeight="true" outlineLevel="0" collapsed="false">
      <c r="A3160" s="9" t="s">
        <v>16</v>
      </c>
      <c r="B3160" s="9"/>
      <c r="C3160" s="9"/>
      <c r="D3160" s="9"/>
      <c r="E3160" s="9"/>
      <c r="F3160" s="9"/>
      <c r="G3160" s="10" t="n">
        <v>0</v>
      </c>
      <c r="H3160" s="10" t="n">
        <v>0</v>
      </c>
      <c r="I3160" s="10" t="n">
        <f aca="false">(G3160 - H3160)</f>
        <v>0</v>
      </c>
      <c r="J3160" s="10" t="n">
        <v>0</v>
      </c>
      <c r="K3160" s="9"/>
      <c r="L3160" s="9"/>
    </row>
    <row r="3161" s="11" customFormat="true" ht="10.95" hidden="false" customHeight="true" outlineLevel="0" collapsed="false">
      <c r="A3161" s="12" t="n">
        <v>45432</v>
      </c>
      <c r="B3161" s="13" t="s">
        <v>1592</v>
      </c>
      <c r="C3161" s="13" t="s">
        <v>1593</v>
      </c>
      <c r="D3161" s="13" t="s">
        <v>1391</v>
      </c>
      <c r="E3161" s="13" t="s">
        <v>1594</v>
      </c>
      <c r="F3161" s="13" t="s">
        <v>1595</v>
      </c>
      <c r="G3161" s="14" t="n">
        <v>2945.37</v>
      </c>
      <c r="H3161" s="14" t="n">
        <v>0</v>
      </c>
      <c r="I3161" s="14" t="n">
        <f aca="false">((I3160 + G3161) - H3161)</f>
        <v>2945.37</v>
      </c>
      <c r="J3161" s="14" t="n">
        <v>0</v>
      </c>
      <c r="K3161" s="15" t="n">
        <v>0</v>
      </c>
      <c r="L3161" s="13" t="s">
        <v>1406</v>
      </c>
    </row>
    <row r="3162" s="11" customFormat="true" ht="10.95" hidden="false" customHeight="true" outlineLevel="0" collapsed="false">
      <c r="A3162" s="21" t="s">
        <v>1596</v>
      </c>
      <c r="B3162" s="21"/>
      <c r="C3162" s="21"/>
      <c r="D3162" s="21"/>
      <c r="E3162" s="21"/>
      <c r="F3162" s="21"/>
      <c r="G3162" s="22" t="n">
        <f aca="false">G3161</f>
        <v>2945.37</v>
      </c>
      <c r="H3162" s="22" t="n">
        <f aca="false">H3161</f>
        <v>0</v>
      </c>
      <c r="I3162" s="22" t="n">
        <f aca="false">I3161</f>
        <v>2945.37</v>
      </c>
      <c r="J3162" s="22" t="n">
        <f aca="false">J3161</f>
        <v>0</v>
      </c>
      <c r="K3162" s="21"/>
      <c r="L3162" s="21"/>
    </row>
    <row r="3163" s="11" customFormat="true" ht="10.95" hidden="false" customHeight="true" outlineLevel="0" collapsed="false">
      <c r="A3163" s="21" t="s">
        <v>784</v>
      </c>
      <c r="B3163" s="21"/>
      <c r="C3163" s="21"/>
      <c r="D3163" s="21"/>
      <c r="E3163" s="21"/>
      <c r="F3163" s="21"/>
      <c r="G3163" s="22" t="n">
        <v>2945.37</v>
      </c>
      <c r="H3163" s="22" t="n">
        <v>0</v>
      </c>
      <c r="I3163" s="22" t="n">
        <v>0</v>
      </c>
      <c r="J3163" s="22" t="n">
        <v>0</v>
      </c>
      <c r="K3163" s="21"/>
      <c r="L3163" s="21"/>
    </row>
    <row r="3164" s="11" customFormat="true" ht="10.95" hidden="false" customHeight="true" outlineLevel="0" collapsed="false">
      <c r="A3164" s="9" t="s">
        <v>785</v>
      </c>
      <c r="B3164" s="9"/>
      <c r="C3164" s="9"/>
      <c r="D3164" s="9"/>
      <c r="E3164" s="9"/>
      <c r="F3164" s="9"/>
      <c r="G3164" s="10" t="n">
        <v>2945.37</v>
      </c>
      <c r="H3164" s="10" t="n">
        <v>0</v>
      </c>
      <c r="I3164" s="10" t="n">
        <f aca="false">I3161</f>
        <v>2945.37</v>
      </c>
      <c r="J3164" s="10" t="n">
        <v>0</v>
      </c>
      <c r="K3164" s="9"/>
      <c r="L3164" s="9"/>
    </row>
    <row r="3165" customFormat="false" ht="13.35" hidden="false" customHeight="true" outlineLevel="0" collapsed="false"/>
    <row r="3166" s="7" customFormat="true" ht="12.1" hidden="false" customHeight="true" outlineLevel="0" collapsed="false">
      <c r="A3166" s="8" t="s">
        <v>1597</v>
      </c>
      <c r="B3166" s="8"/>
      <c r="C3166" s="8"/>
      <c r="D3166" s="8"/>
      <c r="E3166" s="8"/>
      <c r="F3166" s="8"/>
      <c r="G3166" s="8"/>
      <c r="H3166" s="8"/>
      <c r="I3166" s="8"/>
      <c r="J3166" s="8"/>
      <c r="K3166" s="8"/>
      <c r="L3166" s="8"/>
    </row>
    <row r="3167" s="11" customFormat="true" ht="10.95" hidden="false" customHeight="true" outlineLevel="0" collapsed="false">
      <c r="A3167" s="9" t="s">
        <v>16</v>
      </c>
      <c r="B3167" s="9"/>
      <c r="C3167" s="9"/>
      <c r="D3167" s="9"/>
      <c r="E3167" s="9"/>
      <c r="F3167" s="9"/>
      <c r="G3167" s="10" t="n">
        <v>0</v>
      </c>
      <c r="H3167" s="10" t="n">
        <v>0</v>
      </c>
      <c r="I3167" s="10" t="n">
        <f aca="false">(G3167 - H3167)</f>
        <v>0</v>
      </c>
      <c r="J3167" s="10" t="n">
        <v>0</v>
      </c>
      <c r="K3167" s="9"/>
      <c r="L3167" s="9"/>
    </row>
    <row r="3168" s="11" customFormat="true" ht="10.95" hidden="false" customHeight="true" outlineLevel="0" collapsed="false">
      <c r="A3168" s="12" t="n">
        <v>45126</v>
      </c>
      <c r="B3168" s="13" t="s">
        <v>1598</v>
      </c>
      <c r="C3168" s="13" t="s">
        <v>1593</v>
      </c>
      <c r="D3168" s="13" t="s">
        <v>1407</v>
      </c>
      <c r="E3168" s="13" t="s">
        <v>1599</v>
      </c>
      <c r="F3168" s="13"/>
      <c r="G3168" s="14" t="n">
        <v>1720</v>
      </c>
      <c r="H3168" s="14" t="n">
        <v>0</v>
      </c>
      <c r="I3168" s="14" t="n">
        <f aca="false">((I3167 + G3168) - H3168)</f>
        <v>1720</v>
      </c>
      <c r="J3168" s="14" t="n">
        <v>172</v>
      </c>
      <c r="K3168" s="15" t="n">
        <v>10</v>
      </c>
      <c r="L3168" s="13" t="s">
        <v>44</v>
      </c>
    </row>
    <row r="3169" s="11" customFormat="true" ht="10.95" hidden="false" customHeight="true" outlineLevel="0" collapsed="false">
      <c r="A3169" s="21" t="s">
        <v>1600</v>
      </c>
      <c r="B3169" s="21"/>
      <c r="C3169" s="21"/>
      <c r="D3169" s="21"/>
      <c r="E3169" s="21"/>
      <c r="F3169" s="21"/>
      <c r="G3169" s="22" t="n">
        <f aca="false">G3168</f>
        <v>1720</v>
      </c>
      <c r="H3169" s="22" t="n">
        <f aca="false">H3168</f>
        <v>0</v>
      </c>
      <c r="I3169" s="22" t="n">
        <f aca="false">I3168</f>
        <v>1720</v>
      </c>
      <c r="J3169" s="22" t="n">
        <f aca="false">J3168</f>
        <v>172</v>
      </c>
      <c r="K3169" s="21"/>
      <c r="L3169" s="21"/>
    </row>
    <row r="3170" s="11" customFormat="true" ht="10.95" hidden="false" customHeight="true" outlineLevel="0" collapsed="false">
      <c r="A3170" s="21" t="s">
        <v>784</v>
      </c>
      <c r="B3170" s="21"/>
      <c r="C3170" s="21"/>
      <c r="D3170" s="21"/>
      <c r="E3170" s="21"/>
      <c r="F3170" s="21"/>
      <c r="G3170" s="22" t="n">
        <v>1720</v>
      </c>
      <c r="H3170" s="22" t="n">
        <v>0</v>
      </c>
      <c r="I3170" s="22" t="n">
        <v>0</v>
      </c>
      <c r="J3170" s="22" t="n">
        <v>0</v>
      </c>
      <c r="K3170" s="21"/>
      <c r="L3170" s="21"/>
    </row>
    <row r="3171" s="11" customFormat="true" ht="10.95" hidden="false" customHeight="true" outlineLevel="0" collapsed="false">
      <c r="A3171" s="9" t="s">
        <v>785</v>
      </c>
      <c r="B3171" s="9"/>
      <c r="C3171" s="9"/>
      <c r="D3171" s="9"/>
      <c r="E3171" s="9"/>
      <c r="F3171" s="9"/>
      <c r="G3171" s="10" t="n">
        <v>1720</v>
      </c>
      <c r="H3171" s="10" t="n">
        <v>0</v>
      </c>
      <c r="I3171" s="10" t="n">
        <f aca="false">I3168</f>
        <v>1720</v>
      </c>
      <c r="J3171" s="10" t="n">
        <v>0</v>
      </c>
      <c r="K3171" s="9"/>
      <c r="L3171" s="9"/>
    </row>
    <row r="3172" customFormat="false" ht="13.35" hidden="false" customHeight="true" outlineLevel="0" collapsed="false"/>
    <row r="3173" s="7" customFormat="true" ht="12.1" hidden="false" customHeight="true" outlineLevel="0" collapsed="false">
      <c r="A3173" s="8" t="s">
        <v>1601</v>
      </c>
      <c r="B3173" s="8"/>
      <c r="C3173" s="8"/>
      <c r="D3173" s="8"/>
      <c r="E3173" s="8"/>
      <c r="F3173" s="8"/>
      <c r="G3173" s="8"/>
      <c r="H3173" s="8"/>
      <c r="I3173" s="8"/>
      <c r="J3173" s="8"/>
      <c r="K3173" s="8"/>
      <c r="L3173" s="8"/>
    </row>
    <row r="3174" s="11" customFormat="true" ht="10.95" hidden="false" customHeight="true" outlineLevel="0" collapsed="false">
      <c r="A3174" s="9" t="s">
        <v>16</v>
      </c>
      <c r="B3174" s="9"/>
      <c r="C3174" s="9"/>
      <c r="D3174" s="9"/>
      <c r="E3174" s="9"/>
      <c r="F3174" s="9"/>
      <c r="G3174" s="10" t="n">
        <v>0</v>
      </c>
      <c r="H3174" s="10" t="n">
        <v>0</v>
      </c>
      <c r="I3174" s="10" t="n">
        <f aca="false">(G3174 - H3174)</f>
        <v>0</v>
      </c>
      <c r="J3174" s="10" t="n">
        <v>0</v>
      </c>
      <c r="K3174" s="9"/>
      <c r="L3174" s="9"/>
    </row>
    <row r="3175" s="11" customFormat="true" ht="10.95" hidden="false" customHeight="true" outlineLevel="0" collapsed="false">
      <c r="A3175" s="12" t="n">
        <v>45289</v>
      </c>
      <c r="B3175" s="13" t="s">
        <v>1602</v>
      </c>
      <c r="C3175" s="13" t="s">
        <v>1593</v>
      </c>
      <c r="D3175" s="13" t="s">
        <v>1391</v>
      </c>
      <c r="E3175" s="13" t="s">
        <v>1603</v>
      </c>
      <c r="F3175" s="13" t="s">
        <v>1604</v>
      </c>
      <c r="G3175" s="14" t="n">
        <v>14333.84</v>
      </c>
      <c r="H3175" s="14" t="n">
        <v>0</v>
      </c>
      <c r="I3175" s="14" t="n">
        <f aca="false">((I3174 + G3175) - H3175)</f>
        <v>14333.84</v>
      </c>
      <c r="J3175" s="14" t="n">
        <v>0</v>
      </c>
      <c r="K3175" s="15" t="n">
        <v>0</v>
      </c>
      <c r="L3175" s="13" t="s">
        <v>1406</v>
      </c>
    </row>
    <row r="3176" s="11" customFormat="true" ht="10.95" hidden="false" customHeight="true" outlineLevel="0" collapsed="false">
      <c r="A3176" s="16" t="n">
        <v>45362</v>
      </c>
      <c r="B3176" s="17" t="s">
        <v>1602</v>
      </c>
      <c r="C3176" s="17" t="s">
        <v>1593</v>
      </c>
      <c r="D3176" s="17" t="s">
        <v>1391</v>
      </c>
      <c r="E3176" s="17" t="s">
        <v>1605</v>
      </c>
      <c r="F3176" s="17" t="s">
        <v>1606</v>
      </c>
      <c r="G3176" s="18" t="n">
        <v>1309.96</v>
      </c>
      <c r="H3176" s="18" t="n">
        <v>0</v>
      </c>
      <c r="I3176" s="18" t="n">
        <f aca="false">((I3175 + G3176) - H3176)</f>
        <v>15643.8</v>
      </c>
      <c r="J3176" s="18" t="n">
        <v>131</v>
      </c>
      <c r="K3176" s="19" t="n">
        <v>10</v>
      </c>
      <c r="L3176" s="17" t="s">
        <v>44</v>
      </c>
    </row>
    <row r="3177" s="11" customFormat="true" ht="10.95" hidden="false" customHeight="true" outlineLevel="0" collapsed="false">
      <c r="A3177" s="16" t="n">
        <v>45366</v>
      </c>
      <c r="B3177" s="17" t="s">
        <v>1602</v>
      </c>
      <c r="C3177" s="17" t="s">
        <v>1593</v>
      </c>
      <c r="D3177" s="17" t="s">
        <v>1407</v>
      </c>
      <c r="E3177" s="17" t="s">
        <v>1607</v>
      </c>
      <c r="F3177" s="17"/>
      <c r="G3177" s="18" t="n">
        <v>1179.85</v>
      </c>
      <c r="H3177" s="18" t="n">
        <v>0</v>
      </c>
      <c r="I3177" s="18" t="n">
        <f aca="false">((I3176 + G3177) - H3177)</f>
        <v>16823.65</v>
      </c>
      <c r="J3177" s="18" t="n">
        <v>0</v>
      </c>
      <c r="K3177" s="19" t="n">
        <v>0</v>
      </c>
      <c r="L3177" s="17" t="s">
        <v>1406</v>
      </c>
    </row>
    <row r="3178" s="11" customFormat="true" ht="10.95" hidden="false" customHeight="true" outlineLevel="0" collapsed="false">
      <c r="A3178" s="16" t="n">
        <v>45397</v>
      </c>
      <c r="B3178" s="17" t="s">
        <v>1602</v>
      </c>
      <c r="C3178" s="17" t="s">
        <v>1593</v>
      </c>
      <c r="D3178" s="17" t="s">
        <v>1407</v>
      </c>
      <c r="E3178" s="17" t="s">
        <v>1608</v>
      </c>
      <c r="F3178" s="17"/>
      <c r="G3178" s="18" t="n">
        <v>56.11</v>
      </c>
      <c r="H3178" s="18" t="n">
        <v>0</v>
      </c>
      <c r="I3178" s="18" t="n">
        <f aca="false">((I3177 + G3178) - H3178)</f>
        <v>16879.76</v>
      </c>
      <c r="J3178" s="18" t="n">
        <v>5.62</v>
      </c>
      <c r="K3178" s="19" t="n">
        <v>10</v>
      </c>
      <c r="L3178" s="17" t="s">
        <v>44</v>
      </c>
    </row>
    <row r="3179" s="11" customFormat="true" ht="10.95" hidden="false" customHeight="true" outlineLevel="0" collapsed="false">
      <c r="A3179" s="16" t="n">
        <v>45425</v>
      </c>
      <c r="B3179" s="17" t="s">
        <v>1602</v>
      </c>
      <c r="C3179" s="17" t="s">
        <v>1593</v>
      </c>
      <c r="D3179" s="17" t="s">
        <v>1391</v>
      </c>
      <c r="E3179" s="17" t="s">
        <v>1609</v>
      </c>
      <c r="F3179" s="17" t="s">
        <v>1610</v>
      </c>
      <c r="G3179" s="18" t="n">
        <v>2977.09</v>
      </c>
      <c r="H3179" s="18" t="n">
        <v>0</v>
      </c>
      <c r="I3179" s="18" t="n">
        <f aca="false">((I3178 + G3179) - H3179)</f>
        <v>19856.85</v>
      </c>
      <c r="J3179" s="18" t="n">
        <v>297.71</v>
      </c>
      <c r="K3179" s="19" t="n">
        <v>10</v>
      </c>
      <c r="L3179" s="17" t="s">
        <v>44</v>
      </c>
    </row>
    <row r="3180" s="11" customFormat="true" ht="10.95" hidden="false" customHeight="true" outlineLevel="0" collapsed="false">
      <c r="A3180" s="16" t="n">
        <v>45473</v>
      </c>
      <c r="B3180" s="17" t="s">
        <v>1602</v>
      </c>
      <c r="C3180" s="17" t="s">
        <v>1593</v>
      </c>
      <c r="D3180" s="17" t="s">
        <v>1396</v>
      </c>
      <c r="E3180" s="17" t="s">
        <v>1611</v>
      </c>
      <c r="F3180" s="17" t="s">
        <v>1612</v>
      </c>
      <c r="G3180" s="18" t="n">
        <v>0</v>
      </c>
      <c r="H3180" s="18" t="n">
        <v>2977.09</v>
      </c>
      <c r="I3180" s="18" t="n">
        <f aca="false">((I3179 + G3180) - H3180)</f>
        <v>16879.76</v>
      </c>
      <c r="J3180" s="18" t="n">
        <v>0</v>
      </c>
      <c r="K3180" s="19" t="n">
        <v>0</v>
      </c>
      <c r="L3180" s="17" t="s">
        <v>1399</v>
      </c>
    </row>
    <row r="3181" s="11" customFormat="true" ht="10.95" hidden="false" customHeight="true" outlineLevel="0" collapsed="false">
      <c r="A3181" s="21" t="s">
        <v>1613</v>
      </c>
      <c r="B3181" s="21"/>
      <c r="C3181" s="21"/>
      <c r="D3181" s="21"/>
      <c r="E3181" s="21"/>
      <c r="F3181" s="21"/>
      <c r="G3181" s="22" t="n">
        <f aca="false">SUM(G3175:G3180)</f>
        <v>19856.85</v>
      </c>
      <c r="H3181" s="22" t="n">
        <f aca="false">SUM(H3175:H3180)</f>
        <v>2977.09</v>
      </c>
      <c r="I3181" s="22" t="n">
        <f aca="false">I3180</f>
        <v>16879.76</v>
      </c>
      <c r="J3181" s="22" t="n">
        <f aca="false">SUM(J3175:J3180)</f>
        <v>434.33</v>
      </c>
      <c r="K3181" s="21"/>
      <c r="L3181" s="21"/>
    </row>
    <row r="3182" s="11" customFormat="true" ht="10.95" hidden="false" customHeight="true" outlineLevel="0" collapsed="false">
      <c r="A3182" s="21" t="s">
        <v>784</v>
      </c>
      <c r="B3182" s="21"/>
      <c r="C3182" s="21"/>
      <c r="D3182" s="21"/>
      <c r="E3182" s="21"/>
      <c r="F3182" s="21"/>
      <c r="G3182" s="22" t="n">
        <v>16879.76</v>
      </c>
      <c r="H3182" s="22" t="n">
        <v>0</v>
      </c>
      <c r="I3182" s="22" t="n">
        <v>0</v>
      </c>
      <c r="J3182" s="22" t="n">
        <v>0</v>
      </c>
      <c r="K3182" s="21"/>
      <c r="L3182" s="21"/>
    </row>
    <row r="3183" s="11" customFormat="true" ht="10.95" hidden="false" customHeight="true" outlineLevel="0" collapsed="false">
      <c r="A3183" s="9" t="s">
        <v>785</v>
      </c>
      <c r="B3183" s="9"/>
      <c r="C3183" s="9"/>
      <c r="D3183" s="9"/>
      <c r="E3183" s="9"/>
      <c r="F3183" s="9"/>
      <c r="G3183" s="10" t="n">
        <v>16879.76</v>
      </c>
      <c r="H3183" s="10" t="n">
        <v>0</v>
      </c>
      <c r="I3183" s="10" t="n">
        <f aca="false">I3180</f>
        <v>16879.76</v>
      </c>
      <c r="J3183" s="10" t="n">
        <v>0</v>
      </c>
      <c r="K3183" s="9"/>
      <c r="L3183" s="9"/>
    </row>
    <row r="3184" customFormat="false" ht="13.35" hidden="false" customHeight="true" outlineLevel="0" collapsed="false"/>
    <row r="3185" s="7" customFormat="true" ht="12.1" hidden="false" customHeight="true" outlineLevel="0" collapsed="false">
      <c r="A3185" s="8" t="s">
        <v>1614</v>
      </c>
      <c r="B3185" s="8"/>
      <c r="C3185" s="8"/>
      <c r="D3185" s="8"/>
      <c r="E3185" s="8"/>
      <c r="F3185" s="8"/>
      <c r="G3185" s="8"/>
      <c r="H3185" s="8"/>
      <c r="I3185" s="8"/>
      <c r="J3185" s="8"/>
      <c r="K3185" s="8"/>
      <c r="L3185" s="8"/>
    </row>
    <row r="3186" s="11" customFormat="true" ht="10.95" hidden="false" customHeight="true" outlineLevel="0" collapsed="false">
      <c r="A3186" s="9" t="s">
        <v>16</v>
      </c>
      <c r="B3186" s="9"/>
      <c r="C3186" s="9"/>
      <c r="D3186" s="9"/>
      <c r="E3186" s="9"/>
      <c r="F3186" s="9"/>
      <c r="G3186" s="10" t="n">
        <v>0</v>
      </c>
      <c r="H3186" s="10" t="n">
        <v>0</v>
      </c>
      <c r="I3186" s="10" t="n">
        <f aca="false">(G3186 - H3186)</f>
        <v>0</v>
      </c>
      <c r="J3186" s="10" t="n">
        <v>0</v>
      </c>
      <c r="K3186" s="9"/>
      <c r="L3186" s="9"/>
    </row>
    <row r="3187" s="11" customFormat="true" ht="10.95" hidden="false" customHeight="true" outlineLevel="0" collapsed="false">
      <c r="A3187" s="12" t="n">
        <v>45201</v>
      </c>
      <c r="B3187" s="13" t="s">
        <v>1615</v>
      </c>
      <c r="C3187" s="13" t="s">
        <v>1593</v>
      </c>
      <c r="D3187" s="13" t="s">
        <v>1391</v>
      </c>
      <c r="E3187" s="13" t="s">
        <v>1616</v>
      </c>
      <c r="F3187" s="13" t="s">
        <v>1617</v>
      </c>
      <c r="G3187" s="14" t="n">
        <v>247.07</v>
      </c>
      <c r="H3187" s="14" t="n">
        <v>0</v>
      </c>
      <c r="I3187" s="14" t="n">
        <f aca="false">((I3186 + G3187) - H3187)</f>
        <v>247.07</v>
      </c>
      <c r="J3187" s="14" t="n">
        <v>0</v>
      </c>
      <c r="K3187" s="15" t="n">
        <v>0</v>
      </c>
      <c r="L3187" s="13" t="s">
        <v>1406</v>
      </c>
    </row>
    <row r="3188" s="11" customFormat="true" ht="10.95" hidden="false" customHeight="true" outlineLevel="0" collapsed="false">
      <c r="A3188" s="16" t="n">
        <v>45230</v>
      </c>
      <c r="B3188" s="17" t="s">
        <v>1615</v>
      </c>
      <c r="C3188" s="17" t="s">
        <v>1593</v>
      </c>
      <c r="D3188" s="17" t="s">
        <v>1391</v>
      </c>
      <c r="E3188" s="17" t="s">
        <v>1618</v>
      </c>
      <c r="F3188" s="17" t="s">
        <v>1619</v>
      </c>
      <c r="G3188" s="18" t="n">
        <v>1335.52</v>
      </c>
      <c r="H3188" s="18" t="n">
        <v>0</v>
      </c>
      <c r="I3188" s="18" t="n">
        <f aca="false">((I3187 + G3188) - H3188)</f>
        <v>1582.59</v>
      </c>
      <c r="J3188" s="18" t="n">
        <v>0</v>
      </c>
      <c r="K3188" s="19" t="n">
        <v>0</v>
      </c>
      <c r="L3188" s="17" t="s">
        <v>1406</v>
      </c>
    </row>
    <row r="3189" s="11" customFormat="true" ht="10.95" hidden="false" customHeight="true" outlineLevel="0" collapsed="false">
      <c r="A3189" s="16" t="n">
        <v>45231</v>
      </c>
      <c r="B3189" s="17" t="s">
        <v>1615</v>
      </c>
      <c r="C3189" s="17" t="s">
        <v>1593</v>
      </c>
      <c r="D3189" s="17" t="s">
        <v>1391</v>
      </c>
      <c r="E3189" s="17" t="s">
        <v>1616</v>
      </c>
      <c r="F3189" s="17" t="s">
        <v>1620</v>
      </c>
      <c r="G3189" s="18" t="n">
        <v>249.14</v>
      </c>
      <c r="H3189" s="18" t="n">
        <v>0</v>
      </c>
      <c r="I3189" s="18" t="n">
        <f aca="false">((I3188 + G3189) - H3189)</f>
        <v>1831.73</v>
      </c>
      <c r="J3189" s="18" t="n">
        <v>0</v>
      </c>
      <c r="K3189" s="19" t="n">
        <v>0</v>
      </c>
      <c r="L3189" s="17" t="s">
        <v>1406</v>
      </c>
    </row>
    <row r="3190" s="11" customFormat="true" ht="10.95" hidden="false" customHeight="true" outlineLevel="0" collapsed="false">
      <c r="A3190" s="16" t="n">
        <v>45253</v>
      </c>
      <c r="B3190" s="17" t="s">
        <v>1615</v>
      </c>
      <c r="C3190" s="17" t="s">
        <v>1593</v>
      </c>
      <c r="D3190" s="17" t="s">
        <v>1391</v>
      </c>
      <c r="E3190" s="17" t="s">
        <v>1621</v>
      </c>
      <c r="F3190" s="17" t="s">
        <v>1622</v>
      </c>
      <c r="G3190" s="18" t="n">
        <v>1700</v>
      </c>
      <c r="H3190" s="18" t="n">
        <v>0</v>
      </c>
      <c r="I3190" s="18" t="n">
        <f aca="false">((I3189 + G3190) - H3190)</f>
        <v>3531.73</v>
      </c>
      <c r="J3190" s="18" t="n">
        <v>170</v>
      </c>
      <c r="K3190" s="19" t="n">
        <v>10</v>
      </c>
      <c r="L3190" s="17" t="s">
        <v>44</v>
      </c>
    </row>
    <row r="3191" s="11" customFormat="true" ht="10.95" hidden="false" customHeight="true" outlineLevel="0" collapsed="false">
      <c r="A3191" s="16" t="n">
        <v>45259</v>
      </c>
      <c r="B3191" s="17" t="s">
        <v>1615</v>
      </c>
      <c r="C3191" s="17" t="s">
        <v>1593</v>
      </c>
      <c r="D3191" s="17" t="s">
        <v>1391</v>
      </c>
      <c r="E3191" s="17" t="s">
        <v>1623</v>
      </c>
      <c r="F3191" s="17" t="s">
        <v>1624</v>
      </c>
      <c r="G3191" s="18" t="n">
        <v>1585.87</v>
      </c>
      <c r="H3191" s="18" t="n">
        <v>0</v>
      </c>
      <c r="I3191" s="18" t="n">
        <f aca="false">((I3190 + G3191) - H3191)</f>
        <v>5117.6</v>
      </c>
      <c r="J3191" s="18" t="n">
        <v>0</v>
      </c>
      <c r="K3191" s="19" t="n">
        <v>0</v>
      </c>
      <c r="L3191" s="17" t="s">
        <v>1406</v>
      </c>
    </row>
    <row r="3192" s="11" customFormat="true" ht="10.95" hidden="false" customHeight="true" outlineLevel="0" collapsed="false">
      <c r="A3192" s="16" t="n">
        <v>45261</v>
      </c>
      <c r="B3192" s="17" t="s">
        <v>1615</v>
      </c>
      <c r="C3192" s="17" t="s">
        <v>1593</v>
      </c>
      <c r="D3192" s="17" t="s">
        <v>1391</v>
      </c>
      <c r="E3192" s="17" t="s">
        <v>1625</v>
      </c>
      <c r="F3192" s="17" t="s">
        <v>1626</v>
      </c>
      <c r="G3192" s="18" t="n">
        <v>238.77</v>
      </c>
      <c r="H3192" s="18" t="n">
        <v>0</v>
      </c>
      <c r="I3192" s="18" t="n">
        <f aca="false">((I3191 + G3192) - H3192)</f>
        <v>5356.37</v>
      </c>
      <c r="J3192" s="18" t="n">
        <v>0</v>
      </c>
      <c r="K3192" s="19" t="n">
        <v>0</v>
      </c>
      <c r="L3192" s="17" t="s">
        <v>1406</v>
      </c>
    </row>
    <row r="3193" s="11" customFormat="true" ht="10.95" hidden="false" customHeight="true" outlineLevel="0" collapsed="false">
      <c r="A3193" s="16" t="n">
        <v>45279</v>
      </c>
      <c r="B3193" s="17" t="s">
        <v>1615</v>
      </c>
      <c r="C3193" s="17" t="s">
        <v>1593</v>
      </c>
      <c r="D3193" s="17" t="s">
        <v>1407</v>
      </c>
      <c r="E3193" s="17" t="s">
        <v>1627</v>
      </c>
      <c r="F3193" s="17"/>
      <c r="G3193" s="18" t="n">
        <v>327.27</v>
      </c>
      <c r="H3193" s="18" t="n">
        <v>0</v>
      </c>
      <c r="I3193" s="18" t="n">
        <f aca="false">((I3192 + G3193) - H3193)</f>
        <v>5683.64</v>
      </c>
      <c r="J3193" s="18" t="n">
        <v>32.73</v>
      </c>
      <c r="K3193" s="19" t="n">
        <v>10</v>
      </c>
      <c r="L3193" s="17" t="s">
        <v>44</v>
      </c>
    </row>
    <row r="3194" s="11" customFormat="true" ht="10.95" hidden="false" customHeight="true" outlineLevel="0" collapsed="false">
      <c r="A3194" s="16" t="n">
        <v>45292</v>
      </c>
      <c r="B3194" s="17" t="s">
        <v>1615</v>
      </c>
      <c r="C3194" s="17" t="s">
        <v>1593</v>
      </c>
      <c r="D3194" s="17" t="s">
        <v>1391</v>
      </c>
      <c r="E3194" s="17" t="s">
        <v>1625</v>
      </c>
      <c r="F3194" s="17" t="s">
        <v>1628</v>
      </c>
      <c r="G3194" s="18" t="n">
        <v>231.9</v>
      </c>
      <c r="H3194" s="18" t="n">
        <v>0</v>
      </c>
      <c r="I3194" s="18" t="n">
        <f aca="false">((I3193 + G3194) - H3194)</f>
        <v>5915.54</v>
      </c>
      <c r="J3194" s="18" t="n">
        <v>0</v>
      </c>
      <c r="K3194" s="19" t="n">
        <v>0</v>
      </c>
      <c r="L3194" s="17" t="s">
        <v>1406</v>
      </c>
    </row>
    <row r="3195" s="11" customFormat="true" ht="10.95" hidden="false" customHeight="true" outlineLevel="0" collapsed="false">
      <c r="A3195" s="16" t="n">
        <v>45323</v>
      </c>
      <c r="B3195" s="17" t="s">
        <v>1615</v>
      </c>
      <c r="C3195" s="17" t="s">
        <v>1593</v>
      </c>
      <c r="D3195" s="17" t="s">
        <v>1391</v>
      </c>
      <c r="E3195" s="17" t="s">
        <v>1625</v>
      </c>
      <c r="F3195" s="17" t="s">
        <v>1629</v>
      </c>
      <c r="G3195" s="18" t="n">
        <v>242.36</v>
      </c>
      <c r="H3195" s="18" t="n">
        <v>0</v>
      </c>
      <c r="I3195" s="18" t="n">
        <f aca="false">((I3194 + G3195) - H3195)</f>
        <v>6157.9</v>
      </c>
      <c r="J3195" s="18" t="n">
        <v>0</v>
      </c>
      <c r="K3195" s="19" t="n">
        <v>0</v>
      </c>
      <c r="L3195" s="17" t="s">
        <v>1406</v>
      </c>
    </row>
    <row r="3196" s="11" customFormat="true" ht="10.95" hidden="false" customHeight="true" outlineLevel="0" collapsed="false">
      <c r="A3196" s="16" t="n">
        <v>45352</v>
      </c>
      <c r="B3196" s="17" t="s">
        <v>1615</v>
      </c>
      <c r="C3196" s="17" t="s">
        <v>1593</v>
      </c>
      <c r="D3196" s="17" t="s">
        <v>1391</v>
      </c>
      <c r="E3196" s="17" t="s">
        <v>1630</v>
      </c>
      <c r="F3196" s="17" t="s">
        <v>1631</v>
      </c>
      <c r="G3196" s="18" t="n">
        <v>242.79</v>
      </c>
      <c r="H3196" s="18" t="n">
        <v>0</v>
      </c>
      <c r="I3196" s="18" t="n">
        <f aca="false">((I3195 + G3196) - H3196)</f>
        <v>6400.69</v>
      </c>
      <c r="J3196" s="18" t="n">
        <v>0</v>
      </c>
      <c r="K3196" s="19" t="n">
        <v>0</v>
      </c>
      <c r="L3196" s="17" t="s">
        <v>1406</v>
      </c>
    </row>
    <row r="3197" s="11" customFormat="true" ht="10.95" hidden="false" customHeight="true" outlineLevel="0" collapsed="false">
      <c r="A3197" s="16" t="n">
        <v>45358</v>
      </c>
      <c r="B3197" s="17" t="s">
        <v>1615</v>
      </c>
      <c r="C3197" s="17" t="s">
        <v>1593</v>
      </c>
      <c r="D3197" s="17" t="s">
        <v>1391</v>
      </c>
      <c r="E3197" s="17" t="s">
        <v>1632</v>
      </c>
      <c r="F3197" s="17" t="s">
        <v>1633</v>
      </c>
      <c r="G3197" s="18" t="n">
        <v>568.18</v>
      </c>
      <c r="H3197" s="18" t="n">
        <v>0</v>
      </c>
      <c r="I3197" s="18" t="n">
        <f aca="false">((I3196 + G3197) - H3197)</f>
        <v>6968.87</v>
      </c>
      <c r="J3197" s="18" t="n">
        <v>56.82</v>
      </c>
      <c r="K3197" s="19" t="n">
        <v>10</v>
      </c>
      <c r="L3197" s="17" t="s">
        <v>44</v>
      </c>
    </row>
    <row r="3198" s="11" customFormat="true" ht="10.95" hidden="false" customHeight="true" outlineLevel="0" collapsed="false">
      <c r="A3198" s="16" t="n">
        <v>45413</v>
      </c>
      <c r="B3198" s="17" t="s">
        <v>1615</v>
      </c>
      <c r="C3198" s="17" t="s">
        <v>1593</v>
      </c>
      <c r="D3198" s="17" t="s">
        <v>1391</v>
      </c>
      <c r="E3198" s="17" t="s">
        <v>1634</v>
      </c>
      <c r="F3198" s="17" t="s">
        <v>1635</v>
      </c>
      <c r="G3198" s="18" t="n">
        <v>243.65</v>
      </c>
      <c r="H3198" s="18" t="n">
        <v>0</v>
      </c>
      <c r="I3198" s="18" t="n">
        <f aca="false">((I3197 + G3198) - H3198)</f>
        <v>7212.52</v>
      </c>
      <c r="J3198" s="18" t="n">
        <v>0</v>
      </c>
      <c r="K3198" s="19" t="n">
        <v>0</v>
      </c>
      <c r="L3198" s="17" t="s">
        <v>1406</v>
      </c>
    </row>
    <row r="3199" s="11" customFormat="true" ht="10.95" hidden="false" customHeight="true" outlineLevel="0" collapsed="false">
      <c r="A3199" s="21" t="s">
        <v>1636</v>
      </c>
      <c r="B3199" s="21"/>
      <c r="C3199" s="21"/>
      <c r="D3199" s="21"/>
      <c r="E3199" s="21"/>
      <c r="F3199" s="21"/>
      <c r="G3199" s="22" t="n">
        <f aca="false">SUM(G3187:G3198)</f>
        <v>7212.52</v>
      </c>
      <c r="H3199" s="22" t="n">
        <f aca="false">SUM(H3187:H3198)</f>
        <v>0</v>
      </c>
      <c r="I3199" s="22" t="n">
        <f aca="false">I3198</f>
        <v>7212.52</v>
      </c>
      <c r="J3199" s="22" t="n">
        <f aca="false">SUM(J3187:J3198)</f>
        <v>259.55</v>
      </c>
      <c r="K3199" s="21"/>
      <c r="L3199" s="21"/>
    </row>
    <row r="3200" s="11" customFormat="true" ht="10.95" hidden="false" customHeight="true" outlineLevel="0" collapsed="false">
      <c r="A3200" s="21" t="s">
        <v>784</v>
      </c>
      <c r="B3200" s="21"/>
      <c r="C3200" s="21"/>
      <c r="D3200" s="21"/>
      <c r="E3200" s="21"/>
      <c r="F3200" s="21"/>
      <c r="G3200" s="22" t="n">
        <v>7212.52</v>
      </c>
      <c r="H3200" s="22" t="n">
        <v>0</v>
      </c>
      <c r="I3200" s="22" t="n">
        <v>0</v>
      </c>
      <c r="J3200" s="22" t="n">
        <v>0</v>
      </c>
      <c r="K3200" s="21"/>
      <c r="L3200" s="21"/>
    </row>
    <row r="3201" s="11" customFormat="true" ht="10.95" hidden="false" customHeight="true" outlineLevel="0" collapsed="false">
      <c r="A3201" s="9" t="s">
        <v>785</v>
      </c>
      <c r="B3201" s="9"/>
      <c r="C3201" s="9"/>
      <c r="D3201" s="9"/>
      <c r="E3201" s="9"/>
      <c r="F3201" s="9"/>
      <c r="G3201" s="10" t="n">
        <v>7212.52</v>
      </c>
      <c r="H3201" s="10" t="n">
        <v>0</v>
      </c>
      <c r="I3201" s="10" t="n">
        <f aca="false">I3198</f>
        <v>7212.52</v>
      </c>
      <c r="J3201" s="10" t="n">
        <v>0</v>
      </c>
      <c r="K3201" s="9"/>
      <c r="L3201" s="9"/>
    </row>
    <row r="3202" customFormat="false" ht="13.35" hidden="false" customHeight="true" outlineLevel="0" collapsed="false"/>
    <row r="3203" s="7" customFormat="true" ht="12.1" hidden="false" customHeight="true" outlineLevel="0" collapsed="false">
      <c r="A3203" s="8" t="s">
        <v>1637</v>
      </c>
      <c r="B3203" s="8"/>
      <c r="C3203" s="8"/>
      <c r="D3203" s="8"/>
      <c r="E3203" s="8"/>
      <c r="F3203" s="8"/>
      <c r="G3203" s="8"/>
      <c r="H3203" s="8"/>
      <c r="I3203" s="8"/>
      <c r="J3203" s="8"/>
      <c r="K3203" s="8"/>
      <c r="L3203" s="8"/>
    </row>
    <row r="3204" s="11" customFormat="true" ht="10.95" hidden="false" customHeight="true" outlineLevel="0" collapsed="false">
      <c r="A3204" s="9" t="s">
        <v>16</v>
      </c>
      <c r="B3204" s="9"/>
      <c r="C3204" s="9"/>
      <c r="D3204" s="9"/>
      <c r="E3204" s="9"/>
      <c r="F3204" s="9"/>
      <c r="G3204" s="10" t="n">
        <v>0</v>
      </c>
      <c r="H3204" s="10" t="n">
        <v>0</v>
      </c>
      <c r="I3204" s="10" t="n">
        <f aca="false">(G3204 - H3204)</f>
        <v>0</v>
      </c>
      <c r="J3204" s="10" t="n">
        <v>0</v>
      </c>
      <c r="K3204" s="9"/>
      <c r="L3204" s="9"/>
    </row>
    <row r="3205" s="11" customFormat="true" ht="10.95" hidden="false" customHeight="true" outlineLevel="0" collapsed="false">
      <c r="A3205" s="12" t="n">
        <v>45143</v>
      </c>
      <c r="B3205" s="13" t="s">
        <v>1638</v>
      </c>
      <c r="C3205" s="13" t="s">
        <v>1593</v>
      </c>
      <c r="D3205" s="13" t="s">
        <v>1391</v>
      </c>
      <c r="E3205" s="13" t="s">
        <v>1639</v>
      </c>
      <c r="F3205" s="13" t="s">
        <v>1640</v>
      </c>
      <c r="G3205" s="14" t="n">
        <v>5400</v>
      </c>
      <c r="H3205" s="14" t="n">
        <v>0</v>
      </c>
      <c r="I3205" s="14" t="n">
        <f aca="false">((I3204 + G3205) - H3205)</f>
        <v>5400</v>
      </c>
      <c r="J3205" s="14" t="n">
        <v>540</v>
      </c>
      <c r="K3205" s="15" t="n">
        <v>10</v>
      </c>
      <c r="L3205" s="13" t="s">
        <v>44</v>
      </c>
    </row>
    <row r="3206" s="11" customFormat="true" ht="10.95" hidden="false" customHeight="true" outlineLevel="0" collapsed="false">
      <c r="A3206" s="16" t="n">
        <v>45359</v>
      </c>
      <c r="B3206" s="17" t="s">
        <v>1638</v>
      </c>
      <c r="C3206" s="17" t="s">
        <v>1593</v>
      </c>
      <c r="D3206" s="17" t="s">
        <v>1391</v>
      </c>
      <c r="E3206" s="17" t="s">
        <v>1641</v>
      </c>
      <c r="F3206" s="17" t="s">
        <v>1642</v>
      </c>
      <c r="G3206" s="18" t="n">
        <v>146.36</v>
      </c>
      <c r="H3206" s="18" t="n">
        <v>0</v>
      </c>
      <c r="I3206" s="18" t="n">
        <f aca="false">((I3205 + G3206) - H3206)</f>
        <v>5546.36</v>
      </c>
      <c r="J3206" s="18" t="n">
        <v>14.64</v>
      </c>
      <c r="K3206" s="19" t="n">
        <v>10</v>
      </c>
      <c r="L3206" s="17" t="s">
        <v>44</v>
      </c>
    </row>
    <row r="3207" s="11" customFormat="true" ht="10.95" hidden="false" customHeight="true" outlineLevel="0" collapsed="false">
      <c r="A3207" s="21" t="s">
        <v>1643</v>
      </c>
      <c r="B3207" s="21"/>
      <c r="C3207" s="21"/>
      <c r="D3207" s="21"/>
      <c r="E3207" s="21"/>
      <c r="F3207" s="21"/>
      <c r="G3207" s="22" t="n">
        <f aca="false">SUM(G3205:G3206)</f>
        <v>5546.36</v>
      </c>
      <c r="H3207" s="22" t="n">
        <f aca="false">SUM(H3205:H3206)</f>
        <v>0</v>
      </c>
      <c r="I3207" s="22" t="n">
        <f aca="false">I3206</f>
        <v>5546.36</v>
      </c>
      <c r="J3207" s="22" t="n">
        <f aca="false">SUM(J3205:J3206)</f>
        <v>554.64</v>
      </c>
      <c r="K3207" s="21"/>
      <c r="L3207" s="21"/>
    </row>
    <row r="3208" s="11" customFormat="true" ht="10.95" hidden="false" customHeight="true" outlineLevel="0" collapsed="false">
      <c r="A3208" s="21" t="s">
        <v>784</v>
      </c>
      <c r="B3208" s="21"/>
      <c r="C3208" s="21"/>
      <c r="D3208" s="21"/>
      <c r="E3208" s="21"/>
      <c r="F3208" s="21"/>
      <c r="G3208" s="22" t="n">
        <v>5546.36</v>
      </c>
      <c r="H3208" s="22" t="n">
        <v>0</v>
      </c>
      <c r="I3208" s="22" t="n">
        <v>0</v>
      </c>
      <c r="J3208" s="22" t="n">
        <v>0</v>
      </c>
      <c r="K3208" s="21"/>
      <c r="L3208" s="21"/>
    </row>
    <row r="3209" s="11" customFormat="true" ht="10.95" hidden="false" customHeight="true" outlineLevel="0" collapsed="false">
      <c r="A3209" s="9" t="s">
        <v>785</v>
      </c>
      <c r="B3209" s="9"/>
      <c r="C3209" s="9"/>
      <c r="D3209" s="9"/>
      <c r="E3209" s="9"/>
      <c r="F3209" s="9"/>
      <c r="G3209" s="10" t="n">
        <v>5546.36</v>
      </c>
      <c r="H3209" s="10" t="n">
        <v>0</v>
      </c>
      <c r="I3209" s="10" t="n">
        <f aca="false">I3206</f>
        <v>5546.36</v>
      </c>
      <c r="J3209" s="10" t="n">
        <v>0</v>
      </c>
      <c r="K3209" s="9"/>
      <c r="L3209" s="9"/>
    </row>
    <row r="3210" customFormat="false" ht="13.35" hidden="false" customHeight="true" outlineLevel="0" collapsed="false"/>
    <row r="3211" s="7" customFormat="true" ht="12.1" hidden="false" customHeight="true" outlineLevel="0" collapsed="false">
      <c r="A3211" s="8" t="s">
        <v>1644</v>
      </c>
      <c r="B3211" s="8"/>
      <c r="C3211" s="8"/>
      <c r="D3211" s="8"/>
      <c r="E3211" s="8"/>
      <c r="F3211" s="8"/>
      <c r="G3211" s="8"/>
      <c r="H3211" s="8"/>
      <c r="I3211" s="8"/>
      <c r="J3211" s="8"/>
      <c r="K3211" s="8"/>
      <c r="L3211" s="8"/>
    </row>
    <row r="3212" s="11" customFormat="true" ht="10.95" hidden="false" customHeight="true" outlineLevel="0" collapsed="false">
      <c r="A3212" s="9" t="s">
        <v>16</v>
      </c>
      <c r="B3212" s="9"/>
      <c r="C3212" s="9"/>
      <c r="D3212" s="9"/>
      <c r="E3212" s="9"/>
      <c r="F3212" s="9"/>
      <c r="G3212" s="10" t="n">
        <v>0</v>
      </c>
      <c r="H3212" s="10" t="n">
        <v>0</v>
      </c>
      <c r="I3212" s="10" t="n">
        <f aca="false">(G3212 - H3212)</f>
        <v>0</v>
      </c>
      <c r="J3212" s="10" t="n">
        <v>0</v>
      </c>
      <c r="K3212" s="9"/>
      <c r="L3212" s="9"/>
    </row>
    <row r="3213" s="11" customFormat="true" ht="10.95" hidden="false" customHeight="true" outlineLevel="0" collapsed="false">
      <c r="A3213" s="12" t="n">
        <v>45108</v>
      </c>
      <c r="B3213" s="13" t="s">
        <v>1645</v>
      </c>
      <c r="C3213" s="13" t="s">
        <v>1593</v>
      </c>
      <c r="D3213" s="13" t="s">
        <v>1407</v>
      </c>
      <c r="E3213" s="13" t="s">
        <v>1646</v>
      </c>
      <c r="F3213" s="13" t="s">
        <v>1278</v>
      </c>
      <c r="G3213" s="14" t="n">
        <v>2.87</v>
      </c>
      <c r="H3213" s="14" t="n">
        <v>0</v>
      </c>
      <c r="I3213" s="14" t="n">
        <f aca="false">((I3212 + G3213) - H3213)</f>
        <v>2.87</v>
      </c>
      <c r="J3213" s="14" t="n">
        <v>0</v>
      </c>
      <c r="K3213" s="15" t="n">
        <v>0</v>
      </c>
      <c r="L3213" s="13" t="s">
        <v>1406</v>
      </c>
    </row>
    <row r="3214" s="11" customFormat="true" ht="10.95" hidden="false" customHeight="true" outlineLevel="0" collapsed="false">
      <c r="A3214" s="16" t="n">
        <v>45108</v>
      </c>
      <c r="B3214" s="17" t="s">
        <v>1645</v>
      </c>
      <c r="C3214" s="17" t="s">
        <v>1593</v>
      </c>
      <c r="D3214" s="17" t="s">
        <v>1407</v>
      </c>
      <c r="E3214" s="17" t="s">
        <v>1647</v>
      </c>
      <c r="F3214" s="17"/>
      <c r="G3214" s="18" t="n">
        <v>2.28</v>
      </c>
      <c r="H3214" s="18" t="n">
        <v>0</v>
      </c>
      <c r="I3214" s="18" t="n">
        <f aca="false">((I3213 + G3214) - H3214)</f>
        <v>5.15</v>
      </c>
      <c r="J3214" s="18" t="n">
        <v>0</v>
      </c>
      <c r="K3214" s="19" t="n">
        <v>0</v>
      </c>
      <c r="L3214" s="17" t="s">
        <v>1406</v>
      </c>
    </row>
    <row r="3215" s="11" customFormat="true" ht="10.95" hidden="false" customHeight="true" outlineLevel="0" collapsed="false">
      <c r="A3215" s="16" t="n">
        <v>45108</v>
      </c>
      <c r="B3215" s="17" t="s">
        <v>1645</v>
      </c>
      <c r="C3215" s="17" t="s">
        <v>1593</v>
      </c>
      <c r="D3215" s="17" t="s">
        <v>1407</v>
      </c>
      <c r="E3215" s="17" t="s">
        <v>1648</v>
      </c>
      <c r="F3215" s="17"/>
      <c r="G3215" s="18" t="n">
        <v>10</v>
      </c>
      <c r="H3215" s="18" t="n">
        <v>0</v>
      </c>
      <c r="I3215" s="18" t="n">
        <f aca="false">((I3214 + G3215) - H3215)</f>
        <v>15.15</v>
      </c>
      <c r="J3215" s="18" t="n">
        <v>0</v>
      </c>
      <c r="K3215" s="19" t="n">
        <v>0</v>
      </c>
      <c r="L3215" s="17" t="s">
        <v>1406</v>
      </c>
    </row>
    <row r="3216" s="11" customFormat="true" ht="10.95" hidden="false" customHeight="true" outlineLevel="0" collapsed="false">
      <c r="A3216" s="16" t="n">
        <v>45108</v>
      </c>
      <c r="B3216" s="17" t="s">
        <v>1645</v>
      </c>
      <c r="C3216" s="17" t="s">
        <v>1593</v>
      </c>
      <c r="D3216" s="17" t="s">
        <v>1407</v>
      </c>
      <c r="E3216" s="17" t="s">
        <v>1647</v>
      </c>
      <c r="F3216" s="17"/>
      <c r="G3216" s="18" t="n">
        <v>10.24</v>
      </c>
      <c r="H3216" s="18" t="n">
        <v>0</v>
      </c>
      <c r="I3216" s="18" t="n">
        <f aca="false">((I3215 + G3216) - H3216)</f>
        <v>25.39</v>
      </c>
      <c r="J3216" s="18" t="n">
        <v>0</v>
      </c>
      <c r="K3216" s="19" t="n">
        <v>0</v>
      </c>
      <c r="L3216" s="17" t="s">
        <v>1406</v>
      </c>
    </row>
    <row r="3217" s="11" customFormat="true" ht="10.95" hidden="false" customHeight="true" outlineLevel="0" collapsed="false">
      <c r="A3217" s="16" t="n">
        <v>45110</v>
      </c>
      <c r="B3217" s="17" t="s">
        <v>1645</v>
      </c>
      <c r="C3217" s="17" t="s">
        <v>1593</v>
      </c>
      <c r="D3217" s="17" t="s">
        <v>1407</v>
      </c>
      <c r="E3217" s="17" t="s">
        <v>1649</v>
      </c>
      <c r="F3217" s="17" t="s">
        <v>1280</v>
      </c>
      <c r="G3217" s="18" t="n">
        <v>17.42</v>
      </c>
      <c r="H3217" s="18" t="n">
        <v>0</v>
      </c>
      <c r="I3217" s="18" t="n">
        <f aca="false">((I3216 + G3217) - H3217)</f>
        <v>42.81</v>
      </c>
      <c r="J3217" s="18" t="n">
        <v>0</v>
      </c>
      <c r="K3217" s="19" t="n">
        <v>0</v>
      </c>
      <c r="L3217" s="17" t="s">
        <v>1406</v>
      </c>
    </row>
    <row r="3218" s="11" customFormat="true" ht="10.95" hidden="false" customHeight="true" outlineLevel="0" collapsed="false">
      <c r="A3218" s="16" t="n">
        <v>45111</v>
      </c>
      <c r="B3218" s="17" t="s">
        <v>1645</v>
      </c>
      <c r="C3218" s="17" t="s">
        <v>1593</v>
      </c>
      <c r="D3218" s="17" t="s">
        <v>1407</v>
      </c>
      <c r="E3218" s="17" t="s">
        <v>1647</v>
      </c>
      <c r="F3218" s="17"/>
      <c r="G3218" s="18" t="n">
        <v>0.68</v>
      </c>
      <c r="H3218" s="18" t="n">
        <v>0</v>
      </c>
      <c r="I3218" s="18" t="n">
        <f aca="false">((I3217 + G3218) - H3218)</f>
        <v>43.49</v>
      </c>
      <c r="J3218" s="18" t="n">
        <v>0</v>
      </c>
      <c r="K3218" s="19" t="n">
        <v>0</v>
      </c>
      <c r="L3218" s="17" t="s">
        <v>1406</v>
      </c>
    </row>
    <row r="3219" s="11" customFormat="true" ht="10.95" hidden="false" customHeight="true" outlineLevel="0" collapsed="false">
      <c r="A3219" s="16" t="n">
        <v>45111</v>
      </c>
      <c r="B3219" s="17" t="s">
        <v>1645</v>
      </c>
      <c r="C3219" s="17" t="s">
        <v>1593</v>
      </c>
      <c r="D3219" s="17" t="s">
        <v>1407</v>
      </c>
      <c r="E3219" s="17" t="s">
        <v>1647</v>
      </c>
      <c r="F3219" s="17"/>
      <c r="G3219" s="18" t="n">
        <v>3.86</v>
      </c>
      <c r="H3219" s="18" t="n">
        <v>0</v>
      </c>
      <c r="I3219" s="18" t="n">
        <f aca="false">((I3218 + G3219) - H3219)</f>
        <v>47.35</v>
      </c>
      <c r="J3219" s="18" t="n">
        <v>0</v>
      </c>
      <c r="K3219" s="19" t="n">
        <v>0</v>
      </c>
      <c r="L3219" s="17" t="s">
        <v>1406</v>
      </c>
    </row>
    <row r="3220" s="11" customFormat="true" ht="10.95" hidden="false" customHeight="true" outlineLevel="0" collapsed="false">
      <c r="A3220" s="16" t="n">
        <v>45111</v>
      </c>
      <c r="B3220" s="17" t="s">
        <v>1645</v>
      </c>
      <c r="C3220" s="17" t="s">
        <v>1593</v>
      </c>
      <c r="D3220" s="17" t="s">
        <v>1407</v>
      </c>
      <c r="E3220" s="17" t="s">
        <v>1647</v>
      </c>
      <c r="F3220" s="17"/>
      <c r="G3220" s="18" t="n">
        <v>5.39</v>
      </c>
      <c r="H3220" s="18" t="n">
        <v>0</v>
      </c>
      <c r="I3220" s="18" t="n">
        <f aca="false">((I3219 + G3220) - H3220)</f>
        <v>52.74</v>
      </c>
      <c r="J3220" s="18" t="n">
        <v>0</v>
      </c>
      <c r="K3220" s="19" t="n">
        <v>0</v>
      </c>
      <c r="L3220" s="17" t="s">
        <v>1406</v>
      </c>
    </row>
    <row r="3221" s="11" customFormat="true" ht="10.95" hidden="false" customHeight="true" outlineLevel="0" collapsed="false">
      <c r="A3221" s="16" t="n">
        <v>45112</v>
      </c>
      <c r="B3221" s="17" t="s">
        <v>1645</v>
      </c>
      <c r="C3221" s="17" t="s">
        <v>1593</v>
      </c>
      <c r="D3221" s="17" t="s">
        <v>1407</v>
      </c>
      <c r="E3221" s="17" t="s">
        <v>1650</v>
      </c>
      <c r="F3221" s="17"/>
      <c r="G3221" s="18" t="n">
        <v>5</v>
      </c>
      <c r="H3221" s="18" t="n">
        <v>0</v>
      </c>
      <c r="I3221" s="18" t="n">
        <f aca="false">((I3220 + G3221) - H3221)</f>
        <v>57.74</v>
      </c>
      <c r="J3221" s="18" t="n">
        <v>0</v>
      </c>
      <c r="K3221" s="19" t="n">
        <v>0</v>
      </c>
      <c r="L3221" s="17" t="s">
        <v>1406</v>
      </c>
    </row>
    <row r="3222" s="11" customFormat="true" ht="10.95" hidden="false" customHeight="true" outlineLevel="0" collapsed="false">
      <c r="A3222" s="16" t="n">
        <v>45112</v>
      </c>
      <c r="B3222" s="17" t="s">
        <v>1645</v>
      </c>
      <c r="C3222" s="17" t="s">
        <v>1593</v>
      </c>
      <c r="D3222" s="17" t="s">
        <v>1407</v>
      </c>
      <c r="E3222" s="17" t="s">
        <v>1647</v>
      </c>
      <c r="F3222" s="17"/>
      <c r="G3222" s="18" t="n">
        <v>0.38</v>
      </c>
      <c r="H3222" s="18" t="n">
        <v>0</v>
      </c>
      <c r="I3222" s="18" t="n">
        <f aca="false">((I3221 + G3222) - H3222)</f>
        <v>58.12</v>
      </c>
      <c r="J3222" s="18" t="n">
        <v>0</v>
      </c>
      <c r="K3222" s="19" t="n">
        <v>0</v>
      </c>
      <c r="L3222" s="17" t="s">
        <v>1406</v>
      </c>
    </row>
    <row r="3223" s="11" customFormat="true" ht="10.95" hidden="false" customHeight="true" outlineLevel="0" collapsed="false">
      <c r="A3223" s="16" t="n">
        <v>45114</v>
      </c>
      <c r="B3223" s="17" t="s">
        <v>1645</v>
      </c>
      <c r="C3223" s="17" t="s">
        <v>1593</v>
      </c>
      <c r="D3223" s="17" t="s">
        <v>1407</v>
      </c>
      <c r="E3223" s="17" t="s">
        <v>1647</v>
      </c>
      <c r="F3223" s="17"/>
      <c r="G3223" s="18" t="n">
        <v>1.31</v>
      </c>
      <c r="H3223" s="18" t="n">
        <v>0</v>
      </c>
      <c r="I3223" s="18" t="n">
        <f aca="false">((I3222 + G3223) - H3223)</f>
        <v>59.43</v>
      </c>
      <c r="J3223" s="18" t="n">
        <v>0</v>
      </c>
      <c r="K3223" s="19" t="n">
        <v>0</v>
      </c>
      <c r="L3223" s="17" t="s">
        <v>1406</v>
      </c>
    </row>
    <row r="3224" s="11" customFormat="true" ht="10.95" hidden="false" customHeight="true" outlineLevel="0" collapsed="false">
      <c r="A3224" s="16" t="n">
        <v>45114</v>
      </c>
      <c r="B3224" s="17" t="s">
        <v>1645</v>
      </c>
      <c r="C3224" s="17" t="s">
        <v>1593</v>
      </c>
      <c r="D3224" s="17" t="s">
        <v>1407</v>
      </c>
      <c r="E3224" s="17" t="s">
        <v>1647</v>
      </c>
      <c r="F3224" s="17"/>
      <c r="G3224" s="18" t="n">
        <v>13.56</v>
      </c>
      <c r="H3224" s="18" t="n">
        <v>0</v>
      </c>
      <c r="I3224" s="18" t="n">
        <f aca="false">((I3223 + G3224) - H3224)</f>
        <v>72.99</v>
      </c>
      <c r="J3224" s="18" t="n">
        <v>0</v>
      </c>
      <c r="K3224" s="19" t="n">
        <v>0</v>
      </c>
      <c r="L3224" s="17" t="s">
        <v>1406</v>
      </c>
    </row>
    <row r="3225" s="11" customFormat="true" ht="10.95" hidden="false" customHeight="true" outlineLevel="0" collapsed="false">
      <c r="A3225" s="16" t="n">
        <v>45115</v>
      </c>
      <c r="B3225" s="17" t="s">
        <v>1645</v>
      </c>
      <c r="C3225" s="17" t="s">
        <v>1593</v>
      </c>
      <c r="D3225" s="17" t="s">
        <v>1407</v>
      </c>
      <c r="E3225" s="17" t="s">
        <v>1647</v>
      </c>
      <c r="F3225" s="17"/>
      <c r="G3225" s="18" t="n">
        <v>7.14</v>
      </c>
      <c r="H3225" s="18" t="n">
        <v>0</v>
      </c>
      <c r="I3225" s="18" t="n">
        <f aca="false">((I3224 + G3225) - H3225)</f>
        <v>80.13</v>
      </c>
      <c r="J3225" s="18" t="n">
        <v>0</v>
      </c>
      <c r="K3225" s="19" t="n">
        <v>0</v>
      </c>
      <c r="L3225" s="17" t="s">
        <v>1406</v>
      </c>
    </row>
    <row r="3226" s="11" customFormat="true" ht="10.95" hidden="false" customHeight="true" outlineLevel="0" collapsed="false">
      <c r="A3226" s="16" t="n">
        <v>45118</v>
      </c>
      <c r="B3226" s="17" t="s">
        <v>1645</v>
      </c>
      <c r="C3226" s="17" t="s">
        <v>1593</v>
      </c>
      <c r="D3226" s="17" t="s">
        <v>1407</v>
      </c>
      <c r="E3226" s="17" t="s">
        <v>1647</v>
      </c>
      <c r="F3226" s="17"/>
      <c r="G3226" s="18" t="n">
        <v>110.09</v>
      </c>
      <c r="H3226" s="18" t="n">
        <v>0</v>
      </c>
      <c r="I3226" s="18" t="n">
        <f aca="false">((I3225 + G3226) - H3226)</f>
        <v>190.22</v>
      </c>
      <c r="J3226" s="18" t="n">
        <v>0</v>
      </c>
      <c r="K3226" s="19" t="n">
        <v>0</v>
      </c>
      <c r="L3226" s="17" t="s">
        <v>1406</v>
      </c>
    </row>
    <row r="3227" s="11" customFormat="true" ht="10.95" hidden="false" customHeight="true" outlineLevel="0" collapsed="false">
      <c r="A3227" s="16" t="n">
        <v>45120</v>
      </c>
      <c r="B3227" s="17" t="s">
        <v>1645</v>
      </c>
      <c r="C3227" s="17" t="s">
        <v>1593</v>
      </c>
      <c r="D3227" s="17" t="s">
        <v>1407</v>
      </c>
      <c r="E3227" s="17" t="s">
        <v>1647</v>
      </c>
      <c r="F3227" s="17"/>
      <c r="G3227" s="18" t="n">
        <v>13.61</v>
      </c>
      <c r="H3227" s="18" t="n">
        <v>0</v>
      </c>
      <c r="I3227" s="18" t="n">
        <f aca="false">((I3226 + G3227) - H3227)</f>
        <v>203.83</v>
      </c>
      <c r="J3227" s="18" t="n">
        <v>0</v>
      </c>
      <c r="K3227" s="19" t="n">
        <v>0</v>
      </c>
      <c r="L3227" s="17" t="s">
        <v>1406</v>
      </c>
    </row>
    <row r="3228" s="11" customFormat="true" ht="10.95" hidden="false" customHeight="true" outlineLevel="0" collapsed="false">
      <c r="A3228" s="16" t="n">
        <v>45122</v>
      </c>
      <c r="B3228" s="17" t="s">
        <v>1645</v>
      </c>
      <c r="C3228" s="17" t="s">
        <v>1593</v>
      </c>
      <c r="D3228" s="17" t="s">
        <v>1407</v>
      </c>
      <c r="E3228" s="17" t="s">
        <v>1647</v>
      </c>
      <c r="F3228" s="17"/>
      <c r="G3228" s="18" t="n">
        <v>0.6</v>
      </c>
      <c r="H3228" s="18" t="n">
        <v>0</v>
      </c>
      <c r="I3228" s="18" t="n">
        <f aca="false">((I3227 + G3228) - H3228)</f>
        <v>204.43</v>
      </c>
      <c r="J3228" s="18" t="n">
        <v>0</v>
      </c>
      <c r="K3228" s="19" t="n">
        <v>0</v>
      </c>
      <c r="L3228" s="17" t="s">
        <v>1406</v>
      </c>
    </row>
    <row r="3229" s="11" customFormat="true" ht="10.95" hidden="false" customHeight="true" outlineLevel="0" collapsed="false">
      <c r="A3229" s="16" t="n">
        <v>45124</v>
      </c>
      <c r="B3229" s="17" t="s">
        <v>1645</v>
      </c>
      <c r="C3229" s="17" t="s">
        <v>1593</v>
      </c>
      <c r="D3229" s="17" t="s">
        <v>1407</v>
      </c>
      <c r="E3229" s="17" t="s">
        <v>1651</v>
      </c>
      <c r="F3229" s="17" t="s">
        <v>1282</v>
      </c>
      <c r="G3229" s="18" t="n">
        <v>50.08</v>
      </c>
      <c r="H3229" s="18" t="n">
        <v>0</v>
      </c>
      <c r="I3229" s="18" t="n">
        <f aca="false">((I3228 + G3229) - H3229)</f>
        <v>254.51</v>
      </c>
      <c r="J3229" s="18" t="n">
        <v>0</v>
      </c>
      <c r="K3229" s="19" t="n">
        <v>0</v>
      </c>
      <c r="L3229" s="17" t="s">
        <v>1406</v>
      </c>
    </row>
    <row r="3230" s="11" customFormat="true" ht="10.95" hidden="false" customHeight="true" outlineLevel="0" collapsed="false">
      <c r="A3230" s="16" t="n">
        <v>45125</v>
      </c>
      <c r="B3230" s="17" t="s">
        <v>1645</v>
      </c>
      <c r="C3230" s="17" t="s">
        <v>1593</v>
      </c>
      <c r="D3230" s="17" t="s">
        <v>1407</v>
      </c>
      <c r="E3230" s="17" t="s">
        <v>1647</v>
      </c>
      <c r="F3230" s="17"/>
      <c r="G3230" s="18" t="n">
        <v>4.74</v>
      </c>
      <c r="H3230" s="18" t="n">
        <v>0</v>
      </c>
      <c r="I3230" s="18" t="n">
        <f aca="false">((I3229 + G3230) - H3230)</f>
        <v>259.25</v>
      </c>
      <c r="J3230" s="18" t="n">
        <v>0</v>
      </c>
      <c r="K3230" s="19" t="n">
        <v>0</v>
      </c>
      <c r="L3230" s="17" t="s">
        <v>1406</v>
      </c>
    </row>
    <row r="3231" s="11" customFormat="true" ht="10.95" hidden="false" customHeight="true" outlineLevel="0" collapsed="false">
      <c r="A3231" s="16" t="n">
        <v>45126</v>
      </c>
      <c r="B3231" s="17" t="s">
        <v>1645</v>
      </c>
      <c r="C3231" s="17" t="s">
        <v>1593</v>
      </c>
      <c r="D3231" s="17" t="s">
        <v>1407</v>
      </c>
      <c r="E3231" s="17" t="s">
        <v>1652</v>
      </c>
      <c r="F3231" s="17" t="s">
        <v>1284</v>
      </c>
      <c r="G3231" s="18" t="n">
        <v>142.87</v>
      </c>
      <c r="H3231" s="18" t="n">
        <v>0</v>
      </c>
      <c r="I3231" s="18" t="n">
        <f aca="false">((I3230 + G3231) - H3231)</f>
        <v>402.12</v>
      </c>
      <c r="J3231" s="18" t="n">
        <v>0</v>
      </c>
      <c r="K3231" s="19" t="n">
        <v>0</v>
      </c>
      <c r="L3231" s="17" t="s">
        <v>1406</v>
      </c>
    </row>
    <row r="3232" s="11" customFormat="true" ht="10.95" hidden="false" customHeight="true" outlineLevel="0" collapsed="false">
      <c r="A3232" s="16" t="n">
        <v>45127</v>
      </c>
      <c r="B3232" s="17" t="s">
        <v>1645</v>
      </c>
      <c r="C3232" s="17" t="s">
        <v>1593</v>
      </c>
      <c r="D3232" s="17" t="s">
        <v>1407</v>
      </c>
      <c r="E3232" s="17" t="s">
        <v>1647</v>
      </c>
      <c r="F3232" s="17"/>
      <c r="G3232" s="18" t="n">
        <v>0.58</v>
      </c>
      <c r="H3232" s="18" t="n">
        <v>0</v>
      </c>
      <c r="I3232" s="18" t="n">
        <f aca="false">((I3231 + G3232) - H3232)</f>
        <v>402.7</v>
      </c>
      <c r="J3232" s="18" t="n">
        <v>0</v>
      </c>
      <c r="K3232" s="19" t="n">
        <v>0</v>
      </c>
      <c r="L3232" s="17" t="s">
        <v>1406</v>
      </c>
    </row>
    <row r="3233" s="11" customFormat="true" ht="10.95" hidden="false" customHeight="true" outlineLevel="0" collapsed="false">
      <c r="A3233" s="16" t="n">
        <v>45128</v>
      </c>
      <c r="B3233" s="17" t="s">
        <v>1645</v>
      </c>
      <c r="C3233" s="17" t="s">
        <v>1593</v>
      </c>
      <c r="D3233" s="17" t="s">
        <v>1407</v>
      </c>
      <c r="E3233" s="17" t="s">
        <v>1647</v>
      </c>
      <c r="F3233" s="17"/>
      <c r="G3233" s="18" t="n">
        <v>0.88</v>
      </c>
      <c r="H3233" s="18" t="n">
        <v>0</v>
      </c>
      <c r="I3233" s="18" t="n">
        <f aca="false">((I3232 + G3233) - H3233)</f>
        <v>403.58</v>
      </c>
      <c r="J3233" s="18" t="n">
        <v>0</v>
      </c>
      <c r="K3233" s="19" t="n">
        <v>0</v>
      </c>
      <c r="L3233" s="17" t="s">
        <v>1406</v>
      </c>
    </row>
    <row r="3234" s="11" customFormat="true" ht="10.95" hidden="false" customHeight="true" outlineLevel="0" collapsed="false">
      <c r="A3234" s="16" t="n">
        <v>45128</v>
      </c>
      <c r="B3234" s="17" t="s">
        <v>1645</v>
      </c>
      <c r="C3234" s="17" t="s">
        <v>1593</v>
      </c>
      <c r="D3234" s="17" t="s">
        <v>1407</v>
      </c>
      <c r="E3234" s="17" t="s">
        <v>1653</v>
      </c>
      <c r="F3234" s="17"/>
      <c r="G3234" s="18" t="n">
        <v>118.64</v>
      </c>
      <c r="H3234" s="18" t="n">
        <v>0</v>
      </c>
      <c r="I3234" s="18" t="n">
        <f aca="false">((I3233 + G3234) - H3234)</f>
        <v>522.22</v>
      </c>
      <c r="J3234" s="18" t="n">
        <v>0</v>
      </c>
      <c r="K3234" s="19" t="n">
        <v>0</v>
      </c>
      <c r="L3234" s="17" t="s">
        <v>1406</v>
      </c>
    </row>
    <row r="3235" s="11" customFormat="true" ht="10.95" hidden="false" customHeight="true" outlineLevel="0" collapsed="false">
      <c r="A3235" s="16" t="n">
        <v>45132</v>
      </c>
      <c r="B3235" s="17" t="s">
        <v>1645</v>
      </c>
      <c r="C3235" s="17" t="s">
        <v>1593</v>
      </c>
      <c r="D3235" s="17" t="s">
        <v>1407</v>
      </c>
      <c r="E3235" s="17" t="s">
        <v>1647</v>
      </c>
      <c r="F3235" s="17"/>
      <c r="G3235" s="18" t="n">
        <v>0.36</v>
      </c>
      <c r="H3235" s="18" t="n">
        <v>0</v>
      </c>
      <c r="I3235" s="18" t="n">
        <f aca="false">((I3234 + G3235) - H3235)</f>
        <v>522.58</v>
      </c>
      <c r="J3235" s="18" t="n">
        <v>0</v>
      </c>
      <c r="K3235" s="19" t="n">
        <v>0</v>
      </c>
      <c r="L3235" s="17" t="s">
        <v>1406</v>
      </c>
    </row>
    <row r="3236" s="11" customFormat="true" ht="10.95" hidden="false" customHeight="true" outlineLevel="0" collapsed="false">
      <c r="A3236" s="16" t="n">
        <v>45132</v>
      </c>
      <c r="B3236" s="17" t="s">
        <v>1645</v>
      </c>
      <c r="C3236" s="17" t="s">
        <v>1593</v>
      </c>
      <c r="D3236" s="17" t="s">
        <v>1407</v>
      </c>
      <c r="E3236" s="17" t="s">
        <v>1647</v>
      </c>
      <c r="F3236" s="17"/>
      <c r="G3236" s="18" t="n">
        <v>0.98</v>
      </c>
      <c r="H3236" s="18" t="n">
        <v>0</v>
      </c>
      <c r="I3236" s="18" t="n">
        <f aca="false">((I3235 + G3236) - H3236)</f>
        <v>523.56</v>
      </c>
      <c r="J3236" s="18" t="n">
        <v>0</v>
      </c>
      <c r="K3236" s="19" t="n">
        <v>0</v>
      </c>
      <c r="L3236" s="17" t="s">
        <v>1406</v>
      </c>
    </row>
    <row r="3237" s="11" customFormat="true" ht="10.95" hidden="false" customHeight="true" outlineLevel="0" collapsed="false">
      <c r="A3237" s="16" t="n">
        <v>45132</v>
      </c>
      <c r="B3237" s="17" t="s">
        <v>1645</v>
      </c>
      <c r="C3237" s="17" t="s">
        <v>1593</v>
      </c>
      <c r="D3237" s="17" t="s">
        <v>1407</v>
      </c>
      <c r="E3237" s="17" t="s">
        <v>1647</v>
      </c>
      <c r="F3237" s="17"/>
      <c r="G3237" s="18" t="n">
        <v>8.35</v>
      </c>
      <c r="H3237" s="18" t="n">
        <v>0</v>
      </c>
      <c r="I3237" s="18" t="n">
        <f aca="false">((I3236 + G3237) - H3237)</f>
        <v>531.91</v>
      </c>
      <c r="J3237" s="18" t="n">
        <v>0</v>
      </c>
      <c r="K3237" s="19" t="n">
        <v>0</v>
      </c>
      <c r="L3237" s="17" t="s">
        <v>1406</v>
      </c>
    </row>
    <row r="3238" s="11" customFormat="true" ht="10.95" hidden="false" customHeight="true" outlineLevel="0" collapsed="false">
      <c r="A3238" s="16" t="n">
        <v>45133</v>
      </c>
      <c r="B3238" s="17" t="s">
        <v>1645</v>
      </c>
      <c r="C3238" s="17" t="s">
        <v>1593</v>
      </c>
      <c r="D3238" s="17" t="s">
        <v>1407</v>
      </c>
      <c r="E3238" s="17" t="s">
        <v>1647</v>
      </c>
      <c r="F3238" s="17"/>
      <c r="G3238" s="18" t="n">
        <v>0.36</v>
      </c>
      <c r="H3238" s="18" t="n">
        <v>0</v>
      </c>
      <c r="I3238" s="18" t="n">
        <f aca="false">((I3237 + G3238) - H3238)</f>
        <v>532.27</v>
      </c>
      <c r="J3238" s="18" t="n">
        <v>0</v>
      </c>
      <c r="K3238" s="19" t="n">
        <v>0</v>
      </c>
      <c r="L3238" s="17" t="s">
        <v>1406</v>
      </c>
    </row>
    <row r="3239" s="11" customFormat="true" ht="10.95" hidden="false" customHeight="true" outlineLevel="0" collapsed="false">
      <c r="A3239" s="16" t="n">
        <v>45136</v>
      </c>
      <c r="B3239" s="17" t="s">
        <v>1645</v>
      </c>
      <c r="C3239" s="17" t="s">
        <v>1593</v>
      </c>
      <c r="D3239" s="17" t="s">
        <v>1407</v>
      </c>
      <c r="E3239" s="17" t="s">
        <v>1647</v>
      </c>
      <c r="F3239" s="17"/>
      <c r="G3239" s="18" t="n">
        <v>6.92</v>
      </c>
      <c r="H3239" s="18" t="n">
        <v>0</v>
      </c>
      <c r="I3239" s="18" t="n">
        <f aca="false">((I3238 + G3239) - H3239)</f>
        <v>539.19</v>
      </c>
      <c r="J3239" s="18" t="n">
        <v>0</v>
      </c>
      <c r="K3239" s="19" t="n">
        <v>0</v>
      </c>
      <c r="L3239" s="17" t="s">
        <v>1406</v>
      </c>
    </row>
    <row r="3240" s="11" customFormat="true" ht="10.95" hidden="false" customHeight="true" outlineLevel="0" collapsed="false">
      <c r="A3240" s="16" t="n">
        <v>45139</v>
      </c>
      <c r="B3240" s="17" t="s">
        <v>1645</v>
      </c>
      <c r="C3240" s="17" t="s">
        <v>1593</v>
      </c>
      <c r="D3240" s="17" t="s">
        <v>1407</v>
      </c>
      <c r="E3240" s="17" t="s">
        <v>1654</v>
      </c>
      <c r="F3240" s="17" t="s">
        <v>1286</v>
      </c>
      <c r="G3240" s="18" t="n">
        <v>16.67</v>
      </c>
      <c r="H3240" s="18" t="n">
        <v>0</v>
      </c>
      <c r="I3240" s="18" t="n">
        <f aca="false">((I3239 + G3240) - H3240)</f>
        <v>555.86</v>
      </c>
      <c r="J3240" s="18" t="n">
        <v>0</v>
      </c>
      <c r="K3240" s="19" t="n">
        <v>0</v>
      </c>
      <c r="L3240" s="17" t="s">
        <v>1406</v>
      </c>
    </row>
    <row r="3241" s="11" customFormat="true" ht="10.95" hidden="false" customHeight="true" outlineLevel="0" collapsed="false">
      <c r="A3241" s="16" t="n">
        <v>45139</v>
      </c>
      <c r="B3241" s="17" t="s">
        <v>1645</v>
      </c>
      <c r="C3241" s="17" t="s">
        <v>1593</v>
      </c>
      <c r="D3241" s="17" t="s">
        <v>1407</v>
      </c>
      <c r="E3241" s="17" t="s">
        <v>1647</v>
      </c>
      <c r="F3241" s="17"/>
      <c r="G3241" s="18" t="n">
        <v>0.5</v>
      </c>
      <c r="H3241" s="18" t="n">
        <v>0</v>
      </c>
      <c r="I3241" s="18" t="n">
        <f aca="false">((I3240 + G3241) - H3241)</f>
        <v>556.36</v>
      </c>
      <c r="J3241" s="18" t="n">
        <v>0</v>
      </c>
      <c r="K3241" s="19" t="n">
        <v>0</v>
      </c>
      <c r="L3241" s="17" t="s">
        <v>1406</v>
      </c>
    </row>
    <row r="3242" s="11" customFormat="true" ht="10.95" hidden="false" customHeight="true" outlineLevel="0" collapsed="false">
      <c r="A3242" s="16" t="n">
        <v>45139</v>
      </c>
      <c r="B3242" s="17" t="s">
        <v>1645</v>
      </c>
      <c r="C3242" s="17" t="s">
        <v>1593</v>
      </c>
      <c r="D3242" s="17" t="s">
        <v>1407</v>
      </c>
      <c r="E3242" s="17" t="s">
        <v>1647</v>
      </c>
      <c r="F3242" s="17"/>
      <c r="G3242" s="18" t="n">
        <v>0.68</v>
      </c>
      <c r="H3242" s="18" t="n">
        <v>0</v>
      </c>
      <c r="I3242" s="18" t="n">
        <f aca="false">((I3241 + G3242) - H3242)</f>
        <v>557.04</v>
      </c>
      <c r="J3242" s="18" t="n">
        <v>0</v>
      </c>
      <c r="K3242" s="19" t="n">
        <v>0</v>
      </c>
      <c r="L3242" s="17" t="s">
        <v>1406</v>
      </c>
    </row>
    <row r="3243" s="11" customFormat="true" ht="10.95" hidden="false" customHeight="true" outlineLevel="0" collapsed="false">
      <c r="A3243" s="16" t="n">
        <v>45139</v>
      </c>
      <c r="B3243" s="17" t="s">
        <v>1645</v>
      </c>
      <c r="C3243" s="17" t="s">
        <v>1593</v>
      </c>
      <c r="D3243" s="17" t="s">
        <v>1407</v>
      </c>
      <c r="E3243" s="17" t="s">
        <v>1647</v>
      </c>
      <c r="F3243" s="17"/>
      <c r="G3243" s="18" t="n">
        <v>2.29</v>
      </c>
      <c r="H3243" s="18" t="n">
        <v>0</v>
      </c>
      <c r="I3243" s="18" t="n">
        <f aca="false">((I3242 + G3243) - H3243)</f>
        <v>559.33</v>
      </c>
      <c r="J3243" s="18" t="n">
        <v>0</v>
      </c>
      <c r="K3243" s="19" t="n">
        <v>0</v>
      </c>
      <c r="L3243" s="17" t="s">
        <v>1406</v>
      </c>
    </row>
    <row r="3244" s="11" customFormat="true" ht="10.95" hidden="false" customHeight="true" outlineLevel="0" collapsed="false">
      <c r="A3244" s="16" t="n">
        <v>45139</v>
      </c>
      <c r="B3244" s="17" t="s">
        <v>1645</v>
      </c>
      <c r="C3244" s="17" t="s">
        <v>1593</v>
      </c>
      <c r="D3244" s="17" t="s">
        <v>1407</v>
      </c>
      <c r="E3244" s="17" t="s">
        <v>1648</v>
      </c>
      <c r="F3244" s="17"/>
      <c r="G3244" s="18" t="n">
        <v>10</v>
      </c>
      <c r="H3244" s="18" t="n">
        <v>0</v>
      </c>
      <c r="I3244" s="18" t="n">
        <f aca="false">((I3243 + G3244) - H3244)</f>
        <v>569.33</v>
      </c>
      <c r="J3244" s="18" t="n">
        <v>0</v>
      </c>
      <c r="K3244" s="19" t="n">
        <v>0</v>
      </c>
      <c r="L3244" s="17" t="s">
        <v>1406</v>
      </c>
    </row>
    <row r="3245" s="11" customFormat="true" ht="10.95" hidden="false" customHeight="true" outlineLevel="0" collapsed="false">
      <c r="A3245" s="16" t="n">
        <v>45139</v>
      </c>
      <c r="B3245" s="17" t="s">
        <v>1645</v>
      </c>
      <c r="C3245" s="17" t="s">
        <v>1593</v>
      </c>
      <c r="D3245" s="17" t="s">
        <v>1407</v>
      </c>
      <c r="E3245" s="17" t="s">
        <v>1647</v>
      </c>
      <c r="F3245" s="17"/>
      <c r="G3245" s="18" t="n">
        <v>10.19</v>
      </c>
      <c r="H3245" s="18" t="n">
        <v>0</v>
      </c>
      <c r="I3245" s="18" t="n">
        <f aca="false">((I3244 + G3245) - H3245)</f>
        <v>579.52</v>
      </c>
      <c r="J3245" s="18" t="n">
        <v>0</v>
      </c>
      <c r="K3245" s="19" t="n">
        <v>0</v>
      </c>
      <c r="L3245" s="17" t="s">
        <v>1406</v>
      </c>
    </row>
    <row r="3246" s="11" customFormat="true" ht="10.95" hidden="false" customHeight="true" outlineLevel="0" collapsed="false">
      <c r="A3246" s="16" t="n">
        <v>45140</v>
      </c>
      <c r="B3246" s="17" t="s">
        <v>1645</v>
      </c>
      <c r="C3246" s="17" t="s">
        <v>1593</v>
      </c>
      <c r="D3246" s="17" t="s">
        <v>1407</v>
      </c>
      <c r="E3246" s="17" t="s">
        <v>1655</v>
      </c>
      <c r="F3246" s="17" t="s">
        <v>1288</v>
      </c>
      <c r="G3246" s="18" t="n">
        <v>17.77</v>
      </c>
      <c r="H3246" s="18" t="n">
        <v>0</v>
      </c>
      <c r="I3246" s="18" t="n">
        <f aca="false">((I3245 + G3246) - H3246)</f>
        <v>597.29</v>
      </c>
      <c r="J3246" s="18" t="n">
        <v>0</v>
      </c>
      <c r="K3246" s="19" t="n">
        <v>0</v>
      </c>
      <c r="L3246" s="17" t="s">
        <v>1406</v>
      </c>
    </row>
    <row r="3247" s="11" customFormat="true" ht="10.95" hidden="false" customHeight="true" outlineLevel="0" collapsed="false">
      <c r="A3247" s="16" t="n">
        <v>45140</v>
      </c>
      <c r="B3247" s="17" t="s">
        <v>1645</v>
      </c>
      <c r="C3247" s="17" t="s">
        <v>1593</v>
      </c>
      <c r="D3247" s="17" t="s">
        <v>1407</v>
      </c>
      <c r="E3247" s="17" t="s">
        <v>1647</v>
      </c>
      <c r="F3247" s="17"/>
      <c r="G3247" s="18" t="n">
        <v>0.4</v>
      </c>
      <c r="H3247" s="18" t="n">
        <v>0</v>
      </c>
      <c r="I3247" s="18" t="n">
        <f aca="false">((I3246 + G3247) - H3247)</f>
        <v>597.69</v>
      </c>
      <c r="J3247" s="18" t="n">
        <v>0</v>
      </c>
      <c r="K3247" s="19" t="n">
        <v>0</v>
      </c>
      <c r="L3247" s="17" t="s">
        <v>1406</v>
      </c>
    </row>
    <row r="3248" s="11" customFormat="true" ht="10.95" hidden="false" customHeight="true" outlineLevel="0" collapsed="false">
      <c r="A3248" s="16" t="n">
        <v>45142</v>
      </c>
      <c r="B3248" s="17" t="s">
        <v>1645</v>
      </c>
      <c r="C3248" s="17" t="s">
        <v>1593</v>
      </c>
      <c r="D3248" s="17" t="s">
        <v>1407</v>
      </c>
      <c r="E3248" s="17" t="s">
        <v>1647</v>
      </c>
      <c r="F3248" s="17"/>
      <c r="G3248" s="18" t="n">
        <v>3.84</v>
      </c>
      <c r="H3248" s="18" t="n">
        <v>0</v>
      </c>
      <c r="I3248" s="18" t="n">
        <f aca="false">((I3247 + G3248) - H3248)</f>
        <v>601.53</v>
      </c>
      <c r="J3248" s="18" t="n">
        <v>0</v>
      </c>
      <c r="K3248" s="19" t="n">
        <v>0</v>
      </c>
      <c r="L3248" s="17" t="s">
        <v>1406</v>
      </c>
    </row>
    <row r="3249" s="11" customFormat="true" ht="10.95" hidden="false" customHeight="true" outlineLevel="0" collapsed="false">
      <c r="A3249" s="16" t="n">
        <v>45142</v>
      </c>
      <c r="B3249" s="17" t="s">
        <v>1645</v>
      </c>
      <c r="C3249" s="17" t="s">
        <v>1593</v>
      </c>
      <c r="D3249" s="17" t="s">
        <v>1407</v>
      </c>
      <c r="E3249" s="17" t="s">
        <v>1647</v>
      </c>
      <c r="F3249" s="17"/>
      <c r="G3249" s="18" t="n">
        <v>5.36</v>
      </c>
      <c r="H3249" s="18" t="n">
        <v>0</v>
      </c>
      <c r="I3249" s="18" t="n">
        <f aca="false">((I3248 + G3249) - H3249)</f>
        <v>606.89</v>
      </c>
      <c r="J3249" s="18" t="n">
        <v>0</v>
      </c>
      <c r="K3249" s="19" t="n">
        <v>0</v>
      </c>
      <c r="L3249" s="17" t="s">
        <v>1406</v>
      </c>
    </row>
    <row r="3250" s="11" customFormat="true" ht="10.95" hidden="false" customHeight="true" outlineLevel="0" collapsed="false">
      <c r="A3250" s="16" t="n">
        <v>45142</v>
      </c>
      <c r="B3250" s="17" t="s">
        <v>1645</v>
      </c>
      <c r="C3250" s="17" t="s">
        <v>1593</v>
      </c>
      <c r="D3250" s="17" t="s">
        <v>1407</v>
      </c>
      <c r="E3250" s="17" t="s">
        <v>1647</v>
      </c>
      <c r="F3250" s="17"/>
      <c r="G3250" s="18" t="n">
        <v>7.14</v>
      </c>
      <c r="H3250" s="18" t="n">
        <v>0</v>
      </c>
      <c r="I3250" s="18" t="n">
        <f aca="false">((I3249 + G3250) - H3250)</f>
        <v>614.03</v>
      </c>
      <c r="J3250" s="18" t="n">
        <v>0</v>
      </c>
      <c r="K3250" s="19" t="n">
        <v>0</v>
      </c>
      <c r="L3250" s="17" t="s">
        <v>1406</v>
      </c>
    </row>
    <row r="3251" s="11" customFormat="true" ht="10.95" hidden="false" customHeight="true" outlineLevel="0" collapsed="false">
      <c r="A3251" s="16" t="n">
        <v>45143</v>
      </c>
      <c r="B3251" s="17" t="s">
        <v>1645</v>
      </c>
      <c r="C3251" s="17" t="s">
        <v>1593</v>
      </c>
      <c r="D3251" s="17" t="s">
        <v>1407</v>
      </c>
      <c r="E3251" s="17" t="s">
        <v>1647</v>
      </c>
      <c r="F3251" s="17"/>
      <c r="G3251" s="18" t="n">
        <v>0.58</v>
      </c>
      <c r="H3251" s="18" t="n">
        <v>0</v>
      </c>
      <c r="I3251" s="18" t="n">
        <f aca="false">((I3250 + G3251) - H3251)</f>
        <v>614.61</v>
      </c>
      <c r="J3251" s="18" t="n">
        <v>0</v>
      </c>
      <c r="K3251" s="19" t="n">
        <v>0</v>
      </c>
      <c r="L3251" s="17" t="s">
        <v>1406</v>
      </c>
    </row>
    <row r="3252" s="11" customFormat="true" ht="10.95" hidden="false" customHeight="true" outlineLevel="0" collapsed="false">
      <c r="A3252" s="16" t="n">
        <v>45143</v>
      </c>
      <c r="B3252" s="17" t="s">
        <v>1645</v>
      </c>
      <c r="C3252" s="17" t="s">
        <v>1593</v>
      </c>
      <c r="D3252" s="17" t="s">
        <v>1407</v>
      </c>
      <c r="E3252" s="17" t="s">
        <v>1647</v>
      </c>
      <c r="F3252" s="17"/>
      <c r="G3252" s="18" t="n">
        <v>108.61</v>
      </c>
      <c r="H3252" s="18" t="n">
        <v>0</v>
      </c>
      <c r="I3252" s="18" t="n">
        <f aca="false">((I3251 + G3252) - H3252)</f>
        <v>723.22</v>
      </c>
      <c r="J3252" s="18" t="n">
        <v>0</v>
      </c>
      <c r="K3252" s="19" t="n">
        <v>0</v>
      </c>
      <c r="L3252" s="17" t="s">
        <v>1406</v>
      </c>
    </row>
    <row r="3253" s="11" customFormat="true" ht="10.95" hidden="false" customHeight="true" outlineLevel="0" collapsed="false">
      <c r="A3253" s="16" t="n">
        <v>45146</v>
      </c>
      <c r="B3253" s="17" t="s">
        <v>1645</v>
      </c>
      <c r="C3253" s="17" t="s">
        <v>1593</v>
      </c>
      <c r="D3253" s="17" t="s">
        <v>1407</v>
      </c>
      <c r="E3253" s="17" t="s">
        <v>1647</v>
      </c>
      <c r="F3253" s="17"/>
      <c r="G3253" s="18" t="n">
        <v>1.34</v>
      </c>
      <c r="H3253" s="18" t="n">
        <v>0</v>
      </c>
      <c r="I3253" s="18" t="n">
        <f aca="false">((I3252 + G3253) - H3253)</f>
        <v>724.56</v>
      </c>
      <c r="J3253" s="18" t="n">
        <v>0</v>
      </c>
      <c r="K3253" s="19" t="n">
        <v>0</v>
      </c>
      <c r="L3253" s="17" t="s">
        <v>1406</v>
      </c>
    </row>
    <row r="3254" s="11" customFormat="true" ht="10.95" hidden="false" customHeight="true" outlineLevel="0" collapsed="false">
      <c r="A3254" s="16" t="n">
        <v>45148</v>
      </c>
      <c r="B3254" s="17" t="s">
        <v>1645</v>
      </c>
      <c r="C3254" s="17" t="s">
        <v>1593</v>
      </c>
      <c r="D3254" s="17" t="s">
        <v>1391</v>
      </c>
      <c r="E3254" s="17" t="s">
        <v>1656</v>
      </c>
      <c r="F3254" s="17" t="s">
        <v>1657</v>
      </c>
      <c r="G3254" s="18" t="n">
        <v>56.1</v>
      </c>
      <c r="H3254" s="18" t="n">
        <v>0</v>
      </c>
      <c r="I3254" s="18" t="n">
        <f aca="false">((I3253 + G3254) - H3254)</f>
        <v>780.66</v>
      </c>
      <c r="J3254" s="18" t="n">
        <v>0</v>
      </c>
      <c r="K3254" s="19" t="n">
        <v>0</v>
      </c>
      <c r="L3254" s="17" t="s">
        <v>1406</v>
      </c>
    </row>
    <row r="3255" s="11" customFormat="true" ht="10.95" hidden="false" customHeight="true" outlineLevel="0" collapsed="false">
      <c r="A3255" s="16" t="n">
        <v>45149</v>
      </c>
      <c r="B3255" s="17" t="s">
        <v>1645</v>
      </c>
      <c r="C3255" s="17" t="s">
        <v>1593</v>
      </c>
      <c r="D3255" s="17" t="s">
        <v>1407</v>
      </c>
      <c r="E3255" s="17" t="s">
        <v>1647</v>
      </c>
      <c r="F3255" s="17"/>
      <c r="G3255" s="18" t="n">
        <v>2.4</v>
      </c>
      <c r="H3255" s="18" t="n">
        <v>0</v>
      </c>
      <c r="I3255" s="18" t="n">
        <f aca="false">((I3254 + G3255) - H3255)</f>
        <v>783.06</v>
      </c>
      <c r="J3255" s="18" t="n">
        <v>0</v>
      </c>
      <c r="K3255" s="19" t="n">
        <v>0</v>
      </c>
      <c r="L3255" s="17" t="s">
        <v>1406</v>
      </c>
    </row>
    <row r="3256" s="11" customFormat="true" ht="10.95" hidden="false" customHeight="true" outlineLevel="0" collapsed="false">
      <c r="A3256" s="16" t="n">
        <v>45149</v>
      </c>
      <c r="B3256" s="17" t="s">
        <v>1645</v>
      </c>
      <c r="C3256" s="17" t="s">
        <v>1593</v>
      </c>
      <c r="D3256" s="17" t="s">
        <v>1407</v>
      </c>
      <c r="E3256" s="17" t="s">
        <v>1647</v>
      </c>
      <c r="F3256" s="17"/>
      <c r="G3256" s="18" t="n">
        <v>27.67</v>
      </c>
      <c r="H3256" s="18" t="n">
        <v>0</v>
      </c>
      <c r="I3256" s="18" t="n">
        <f aca="false">((I3255 + G3256) - H3256)</f>
        <v>810.73</v>
      </c>
      <c r="J3256" s="18" t="n">
        <v>0</v>
      </c>
      <c r="K3256" s="19" t="n">
        <v>0</v>
      </c>
      <c r="L3256" s="17" t="s">
        <v>1406</v>
      </c>
    </row>
    <row r="3257" s="11" customFormat="true" ht="10.95" hidden="false" customHeight="true" outlineLevel="0" collapsed="false">
      <c r="A3257" s="16" t="n">
        <v>45153</v>
      </c>
      <c r="B3257" s="17" t="s">
        <v>1645</v>
      </c>
      <c r="C3257" s="17" t="s">
        <v>1593</v>
      </c>
      <c r="D3257" s="17" t="s">
        <v>1407</v>
      </c>
      <c r="E3257" s="17" t="s">
        <v>1658</v>
      </c>
      <c r="F3257" s="17" t="s">
        <v>1290</v>
      </c>
      <c r="G3257" s="18" t="n">
        <v>2.93</v>
      </c>
      <c r="H3257" s="18" t="n">
        <v>0</v>
      </c>
      <c r="I3257" s="18" t="n">
        <f aca="false">((I3256 + G3257) - H3257)</f>
        <v>813.66</v>
      </c>
      <c r="J3257" s="18" t="n">
        <v>0</v>
      </c>
      <c r="K3257" s="19" t="n">
        <v>0</v>
      </c>
      <c r="L3257" s="17" t="s">
        <v>1406</v>
      </c>
    </row>
    <row r="3258" s="11" customFormat="true" ht="10.95" hidden="false" customHeight="true" outlineLevel="0" collapsed="false">
      <c r="A3258" s="16" t="n">
        <v>45154</v>
      </c>
      <c r="B3258" s="17" t="s">
        <v>1645</v>
      </c>
      <c r="C3258" s="17" t="s">
        <v>1593</v>
      </c>
      <c r="D3258" s="17" t="s">
        <v>1407</v>
      </c>
      <c r="E3258" s="17" t="s">
        <v>1647</v>
      </c>
      <c r="F3258" s="17"/>
      <c r="G3258" s="18" t="n">
        <v>0.61</v>
      </c>
      <c r="H3258" s="18" t="n">
        <v>0</v>
      </c>
      <c r="I3258" s="18" t="n">
        <f aca="false">((I3257 + G3258) - H3258)</f>
        <v>814.27</v>
      </c>
      <c r="J3258" s="18" t="n">
        <v>0</v>
      </c>
      <c r="K3258" s="19" t="n">
        <v>0</v>
      </c>
      <c r="L3258" s="17" t="s">
        <v>1406</v>
      </c>
    </row>
    <row r="3259" s="11" customFormat="true" ht="10.95" hidden="false" customHeight="true" outlineLevel="0" collapsed="false">
      <c r="A3259" s="16" t="n">
        <v>45154</v>
      </c>
      <c r="B3259" s="17" t="s">
        <v>1645</v>
      </c>
      <c r="C3259" s="17" t="s">
        <v>1593</v>
      </c>
      <c r="D3259" s="17" t="s">
        <v>1407</v>
      </c>
      <c r="E3259" s="17" t="s">
        <v>1647</v>
      </c>
      <c r="F3259" s="17"/>
      <c r="G3259" s="18" t="n">
        <v>1.38</v>
      </c>
      <c r="H3259" s="18" t="n">
        <v>0</v>
      </c>
      <c r="I3259" s="18" t="n">
        <f aca="false">((I3258 + G3259) - H3259)</f>
        <v>815.65</v>
      </c>
      <c r="J3259" s="18" t="n">
        <v>0</v>
      </c>
      <c r="K3259" s="19" t="n">
        <v>0</v>
      </c>
      <c r="L3259" s="17" t="s">
        <v>1406</v>
      </c>
    </row>
    <row r="3260" s="11" customFormat="true" ht="10.95" hidden="false" customHeight="true" outlineLevel="0" collapsed="false">
      <c r="A3260" s="16" t="n">
        <v>45154</v>
      </c>
      <c r="B3260" s="17" t="s">
        <v>1645</v>
      </c>
      <c r="C3260" s="17" t="s">
        <v>1593</v>
      </c>
      <c r="D3260" s="17" t="s">
        <v>1407</v>
      </c>
      <c r="E3260" s="17" t="s">
        <v>1647</v>
      </c>
      <c r="F3260" s="17"/>
      <c r="G3260" s="18" t="n">
        <v>4.88</v>
      </c>
      <c r="H3260" s="18" t="n">
        <v>0</v>
      </c>
      <c r="I3260" s="18" t="n">
        <f aca="false">((I3259 + G3260) - H3260)</f>
        <v>820.53</v>
      </c>
      <c r="J3260" s="18" t="n">
        <v>0</v>
      </c>
      <c r="K3260" s="19" t="n">
        <v>0</v>
      </c>
      <c r="L3260" s="17" t="s">
        <v>1406</v>
      </c>
    </row>
    <row r="3261" s="11" customFormat="true" ht="10.95" hidden="false" customHeight="true" outlineLevel="0" collapsed="false">
      <c r="A3261" s="16" t="n">
        <v>45154</v>
      </c>
      <c r="B3261" s="17" t="s">
        <v>1645</v>
      </c>
      <c r="C3261" s="17" t="s">
        <v>1593</v>
      </c>
      <c r="D3261" s="17" t="s">
        <v>1407</v>
      </c>
      <c r="E3261" s="17" t="s">
        <v>1659</v>
      </c>
      <c r="F3261" s="17"/>
      <c r="G3261" s="18" t="n">
        <v>26</v>
      </c>
      <c r="H3261" s="18" t="n">
        <v>0</v>
      </c>
      <c r="I3261" s="18" t="n">
        <f aca="false">((I3260 + G3261) - H3261)</f>
        <v>846.53</v>
      </c>
      <c r="J3261" s="18" t="n">
        <v>0</v>
      </c>
      <c r="K3261" s="19" t="n">
        <v>0</v>
      </c>
      <c r="L3261" s="17" t="s">
        <v>1406</v>
      </c>
    </row>
    <row r="3262" s="11" customFormat="true" ht="10.95" hidden="false" customHeight="true" outlineLevel="0" collapsed="false">
      <c r="A3262" s="16" t="n">
        <v>45155</v>
      </c>
      <c r="B3262" s="17" t="s">
        <v>1645</v>
      </c>
      <c r="C3262" s="17" t="s">
        <v>1593</v>
      </c>
      <c r="D3262" s="17" t="s">
        <v>1407</v>
      </c>
      <c r="E3262" s="17" t="s">
        <v>1647</v>
      </c>
      <c r="F3262" s="17"/>
      <c r="G3262" s="18" t="n">
        <v>14.23</v>
      </c>
      <c r="H3262" s="18" t="n">
        <v>0</v>
      </c>
      <c r="I3262" s="18" t="n">
        <f aca="false">((I3261 + G3262) - H3262)</f>
        <v>860.76</v>
      </c>
      <c r="J3262" s="18" t="n">
        <v>0</v>
      </c>
      <c r="K3262" s="19" t="n">
        <v>0</v>
      </c>
      <c r="L3262" s="17" t="s">
        <v>1406</v>
      </c>
    </row>
    <row r="3263" s="11" customFormat="true" ht="10.95" hidden="false" customHeight="true" outlineLevel="0" collapsed="false">
      <c r="A3263" s="16" t="n">
        <v>45157</v>
      </c>
      <c r="B3263" s="17" t="s">
        <v>1645</v>
      </c>
      <c r="C3263" s="17" t="s">
        <v>1593</v>
      </c>
      <c r="D3263" s="17" t="s">
        <v>1407</v>
      </c>
      <c r="E3263" s="17" t="s">
        <v>1647</v>
      </c>
      <c r="F3263" s="17"/>
      <c r="G3263" s="18" t="n">
        <v>14.3</v>
      </c>
      <c r="H3263" s="18" t="n">
        <v>0</v>
      </c>
      <c r="I3263" s="18" t="n">
        <f aca="false">((I3262 + G3263) - H3263)</f>
        <v>875.06</v>
      </c>
      <c r="J3263" s="18" t="n">
        <v>0</v>
      </c>
      <c r="K3263" s="19" t="n">
        <v>0</v>
      </c>
      <c r="L3263" s="17" t="s">
        <v>1406</v>
      </c>
    </row>
    <row r="3264" s="11" customFormat="true" ht="10.95" hidden="false" customHeight="true" outlineLevel="0" collapsed="false">
      <c r="A3264" s="16" t="n">
        <v>45159</v>
      </c>
      <c r="B3264" s="17" t="s">
        <v>1645</v>
      </c>
      <c r="C3264" s="17" t="s">
        <v>1593</v>
      </c>
      <c r="D3264" s="17" t="s">
        <v>1276</v>
      </c>
      <c r="E3264" s="17" t="s">
        <v>1660</v>
      </c>
      <c r="F3264" s="17"/>
      <c r="G3264" s="18" t="n">
        <v>0</v>
      </c>
      <c r="H3264" s="18" t="n">
        <v>20.27</v>
      </c>
      <c r="I3264" s="18" t="n">
        <f aca="false">((I3263 + G3264) - H3264)</f>
        <v>854.79</v>
      </c>
      <c r="J3264" s="18" t="n">
        <v>0</v>
      </c>
      <c r="K3264" s="19" t="n">
        <v>0</v>
      </c>
      <c r="L3264" s="17" t="s">
        <v>1406</v>
      </c>
    </row>
    <row r="3265" s="11" customFormat="true" ht="10.95" hidden="false" customHeight="true" outlineLevel="0" collapsed="false">
      <c r="A3265" s="16" t="n">
        <v>45160</v>
      </c>
      <c r="B3265" s="17" t="s">
        <v>1645</v>
      </c>
      <c r="C3265" s="17" t="s">
        <v>1593</v>
      </c>
      <c r="D3265" s="17" t="s">
        <v>1407</v>
      </c>
      <c r="E3265" s="17" t="s">
        <v>1647</v>
      </c>
      <c r="F3265" s="17"/>
      <c r="G3265" s="18" t="n">
        <v>0.94</v>
      </c>
      <c r="H3265" s="18" t="n">
        <v>0</v>
      </c>
      <c r="I3265" s="18" t="n">
        <f aca="false">((I3264 + G3265) - H3265)</f>
        <v>855.73</v>
      </c>
      <c r="J3265" s="18" t="n">
        <v>0</v>
      </c>
      <c r="K3265" s="19" t="n">
        <v>0</v>
      </c>
      <c r="L3265" s="17" t="s">
        <v>1406</v>
      </c>
    </row>
    <row r="3266" s="11" customFormat="true" ht="10.95" hidden="false" customHeight="true" outlineLevel="0" collapsed="false">
      <c r="A3266" s="16" t="n">
        <v>45160</v>
      </c>
      <c r="B3266" s="17" t="s">
        <v>1645</v>
      </c>
      <c r="C3266" s="17" t="s">
        <v>1593</v>
      </c>
      <c r="D3266" s="17" t="s">
        <v>1407</v>
      </c>
      <c r="E3266" s="17" t="s">
        <v>1653</v>
      </c>
      <c r="F3266" s="17"/>
      <c r="G3266" s="18" t="n">
        <v>17.76</v>
      </c>
      <c r="H3266" s="18" t="n">
        <v>0</v>
      </c>
      <c r="I3266" s="18" t="n">
        <f aca="false">((I3265 + G3266) - H3266)</f>
        <v>873.49</v>
      </c>
      <c r="J3266" s="18" t="n">
        <v>0</v>
      </c>
      <c r="K3266" s="19" t="n">
        <v>0</v>
      </c>
      <c r="L3266" s="17" t="s">
        <v>1406</v>
      </c>
    </row>
    <row r="3267" s="11" customFormat="true" ht="10.95" hidden="false" customHeight="true" outlineLevel="0" collapsed="false">
      <c r="A3267" s="16" t="n">
        <v>45162</v>
      </c>
      <c r="B3267" s="17" t="s">
        <v>1645</v>
      </c>
      <c r="C3267" s="17" t="s">
        <v>1593</v>
      </c>
      <c r="D3267" s="17" t="s">
        <v>1407</v>
      </c>
      <c r="E3267" s="17" t="s">
        <v>1650</v>
      </c>
      <c r="F3267" s="17"/>
      <c r="G3267" s="18" t="n">
        <v>5</v>
      </c>
      <c r="H3267" s="18" t="n">
        <v>0</v>
      </c>
      <c r="I3267" s="18" t="n">
        <f aca="false">((I3266 + G3267) - H3267)</f>
        <v>878.49</v>
      </c>
      <c r="J3267" s="18" t="n">
        <v>0</v>
      </c>
      <c r="K3267" s="19" t="n">
        <v>0</v>
      </c>
      <c r="L3267" s="17" t="s">
        <v>1406</v>
      </c>
    </row>
    <row r="3268" s="11" customFormat="true" ht="10.95" hidden="false" customHeight="true" outlineLevel="0" collapsed="false">
      <c r="A3268" s="16" t="n">
        <v>45162</v>
      </c>
      <c r="B3268" s="17" t="s">
        <v>1645</v>
      </c>
      <c r="C3268" s="17" t="s">
        <v>1593</v>
      </c>
      <c r="D3268" s="17" t="s">
        <v>1407</v>
      </c>
      <c r="E3268" s="17" t="s">
        <v>1647</v>
      </c>
      <c r="F3268" s="17"/>
      <c r="G3268" s="18" t="n">
        <v>0.38</v>
      </c>
      <c r="H3268" s="18" t="n">
        <v>0</v>
      </c>
      <c r="I3268" s="18" t="n">
        <f aca="false">((I3267 + G3268) - H3268)</f>
        <v>878.87</v>
      </c>
      <c r="J3268" s="18" t="n">
        <v>0</v>
      </c>
      <c r="K3268" s="19" t="n">
        <v>0</v>
      </c>
      <c r="L3268" s="17" t="s">
        <v>1406</v>
      </c>
    </row>
    <row r="3269" s="11" customFormat="true" ht="10.95" hidden="false" customHeight="true" outlineLevel="0" collapsed="false">
      <c r="A3269" s="16" t="n">
        <v>45162</v>
      </c>
      <c r="B3269" s="17" t="s">
        <v>1645</v>
      </c>
      <c r="C3269" s="17" t="s">
        <v>1593</v>
      </c>
      <c r="D3269" s="17" t="s">
        <v>1407</v>
      </c>
      <c r="E3269" s="17" t="s">
        <v>1647</v>
      </c>
      <c r="F3269" s="17"/>
      <c r="G3269" s="18" t="n">
        <v>8.78</v>
      </c>
      <c r="H3269" s="18" t="n">
        <v>0</v>
      </c>
      <c r="I3269" s="18" t="n">
        <f aca="false">((I3268 + G3269) - H3269)</f>
        <v>887.65</v>
      </c>
      <c r="J3269" s="18" t="n">
        <v>0</v>
      </c>
      <c r="K3269" s="19" t="n">
        <v>0</v>
      </c>
      <c r="L3269" s="17" t="s">
        <v>1406</v>
      </c>
    </row>
    <row r="3270" s="11" customFormat="true" ht="10.95" hidden="false" customHeight="true" outlineLevel="0" collapsed="false">
      <c r="A3270" s="16" t="n">
        <v>45162</v>
      </c>
      <c r="B3270" s="17" t="s">
        <v>1645</v>
      </c>
      <c r="C3270" s="17" t="s">
        <v>1593</v>
      </c>
      <c r="D3270" s="17" t="s">
        <v>1407</v>
      </c>
      <c r="E3270" s="17" t="s">
        <v>1647</v>
      </c>
      <c r="F3270" s="17"/>
      <c r="G3270" s="18" t="n">
        <v>9.37</v>
      </c>
      <c r="H3270" s="18" t="n">
        <v>0</v>
      </c>
      <c r="I3270" s="18" t="n">
        <f aca="false">((I3269 + G3270) - H3270)</f>
        <v>897.02</v>
      </c>
      <c r="J3270" s="18" t="n">
        <v>0</v>
      </c>
      <c r="K3270" s="19" t="n">
        <v>0</v>
      </c>
      <c r="L3270" s="17" t="s">
        <v>1406</v>
      </c>
    </row>
    <row r="3271" s="11" customFormat="true" ht="10.95" hidden="false" customHeight="true" outlineLevel="0" collapsed="false">
      <c r="A3271" s="16" t="n">
        <v>45163</v>
      </c>
      <c r="B3271" s="17" t="s">
        <v>1645</v>
      </c>
      <c r="C3271" s="17" t="s">
        <v>1593</v>
      </c>
      <c r="D3271" s="17" t="s">
        <v>1407</v>
      </c>
      <c r="E3271" s="17" t="s">
        <v>1647</v>
      </c>
      <c r="F3271" s="17"/>
      <c r="G3271" s="18" t="n">
        <v>1.03</v>
      </c>
      <c r="H3271" s="18" t="n">
        <v>0</v>
      </c>
      <c r="I3271" s="18" t="n">
        <f aca="false">((I3270 + G3271) - H3271)</f>
        <v>898.05</v>
      </c>
      <c r="J3271" s="18" t="n">
        <v>0</v>
      </c>
      <c r="K3271" s="19" t="n">
        <v>0</v>
      </c>
      <c r="L3271" s="17" t="s">
        <v>1406</v>
      </c>
    </row>
    <row r="3272" s="11" customFormat="true" ht="10.95" hidden="false" customHeight="true" outlineLevel="0" collapsed="false">
      <c r="A3272" s="16" t="n">
        <v>45164</v>
      </c>
      <c r="B3272" s="17" t="s">
        <v>1645</v>
      </c>
      <c r="C3272" s="17" t="s">
        <v>1593</v>
      </c>
      <c r="D3272" s="17" t="s">
        <v>1407</v>
      </c>
      <c r="E3272" s="17" t="s">
        <v>1647</v>
      </c>
      <c r="F3272" s="17"/>
      <c r="G3272" s="18" t="n">
        <v>0.37</v>
      </c>
      <c r="H3272" s="18" t="n">
        <v>0</v>
      </c>
      <c r="I3272" s="18" t="n">
        <f aca="false">((I3271 + G3272) - H3272)</f>
        <v>898.42</v>
      </c>
      <c r="J3272" s="18" t="n">
        <v>0</v>
      </c>
      <c r="K3272" s="19" t="n">
        <v>0</v>
      </c>
      <c r="L3272" s="17" t="s">
        <v>1406</v>
      </c>
    </row>
    <row r="3273" s="11" customFormat="true" ht="10.95" hidden="false" customHeight="true" outlineLevel="0" collapsed="false">
      <c r="A3273" s="16" t="n">
        <v>45167</v>
      </c>
      <c r="B3273" s="17" t="s">
        <v>1645</v>
      </c>
      <c r="C3273" s="17" t="s">
        <v>1593</v>
      </c>
      <c r="D3273" s="17" t="s">
        <v>1407</v>
      </c>
      <c r="E3273" s="17" t="s">
        <v>1647</v>
      </c>
      <c r="F3273" s="17"/>
      <c r="G3273" s="18" t="n">
        <v>3.66</v>
      </c>
      <c r="H3273" s="18" t="n">
        <v>0</v>
      </c>
      <c r="I3273" s="18" t="n">
        <f aca="false">((I3272 + G3273) - H3273)</f>
        <v>902.08</v>
      </c>
      <c r="J3273" s="18" t="n">
        <v>0</v>
      </c>
      <c r="K3273" s="19" t="n">
        <v>0</v>
      </c>
      <c r="L3273" s="17" t="s">
        <v>1406</v>
      </c>
    </row>
    <row r="3274" s="11" customFormat="true" ht="10.95" hidden="false" customHeight="true" outlineLevel="0" collapsed="false">
      <c r="A3274" s="16" t="n">
        <v>45167</v>
      </c>
      <c r="B3274" s="17" t="s">
        <v>1645</v>
      </c>
      <c r="C3274" s="17" t="s">
        <v>1593</v>
      </c>
      <c r="D3274" s="17" t="s">
        <v>1407</v>
      </c>
      <c r="E3274" s="17" t="s">
        <v>1647</v>
      </c>
      <c r="F3274" s="17"/>
      <c r="G3274" s="18" t="n">
        <v>7.29</v>
      </c>
      <c r="H3274" s="18" t="n">
        <v>0</v>
      </c>
      <c r="I3274" s="18" t="n">
        <f aca="false">((I3273 + G3274) - H3274)</f>
        <v>909.37</v>
      </c>
      <c r="J3274" s="18" t="n">
        <v>0</v>
      </c>
      <c r="K3274" s="19" t="n">
        <v>0</v>
      </c>
      <c r="L3274" s="17" t="s">
        <v>1406</v>
      </c>
    </row>
    <row r="3275" s="11" customFormat="true" ht="10.95" hidden="false" customHeight="true" outlineLevel="0" collapsed="false">
      <c r="A3275" s="16" t="n">
        <v>45168</v>
      </c>
      <c r="B3275" s="17" t="s">
        <v>1645</v>
      </c>
      <c r="C3275" s="17" t="s">
        <v>1593</v>
      </c>
      <c r="D3275" s="17" t="s">
        <v>1407</v>
      </c>
      <c r="E3275" s="17" t="s">
        <v>1661</v>
      </c>
      <c r="F3275" s="17" t="s">
        <v>1292</v>
      </c>
      <c r="G3275" s="18" t="n">
        <v>15.59</v>
      </c>
      <c r="H3275" s="18" t="n">
        <v>0</v>
      </c>
      <c r="I3275" s="18" t="n">
        <f aca="false">((I3274 + G3275) - H3275)</f>
        <v>924.96</v>
      </c>
      <c r="J3275" s="18" t="n">
        <v>0</v>
      </c>
      <c r="K3275" s="19" t="n">
        <v>0</v>
      </c>
      <c r="L3275" s="17" t="s">
        <v>1406</v>
      </c>
    </row>
    <row r="3276" s="11" customFormat="true" ht="10.95" hidden="false" customHeight="true" outlineLevel="0" collapsed="false">
      <c r="A3276" s="16" t="n">
        <v>45168</v>
      </c>
      <c r="B3276" s="17" t="s">
        <v>1645</v>
      </c>
      <c r="C3276" s="17" t="s">
        <v>1593</v>
      </c>
      <c r="D3276" s="17" t="s">
        <v>1407</v>
      </c>
      <c r="E3276" s="17" t="s">
        <v>1662</v>
      </c>
      <c r="F3276" s="17" t="s">
        <v>1294</v>
      </c>
      <c r="G3276" s="18" t="n">
        <v>10.49</v>
      </c>
      <c r="H3276" s="18" t="n">
        <v>0</v>
      </c>
      <c r="I3276" s="18" t="n">
        <f aca="false">((I3275 + G3276) - H3276)</f>
        <v>935.45</v>
      </c>
      <c r="J3276" s="18" t="n">
        <v>0</v>
      </c>
      <c r="K3276" s="19" t="n">
        <v>0</v>
      </c>
      <c r="L3276" s="17" t="s">
        <v>1406</v>
      </c>
    </row>
    <row r="3277" s="11" customFormat="true" ht="10.95" hidden="false" customHeight="true" outlineLevel="0" collapsed="false">
      <c r="A3277" s="16" t="n">
        <v>45169</v>
      </c>
      <c r="B3277" s="17" t="s">
        <v>1645</v>
      </c>
      <c r="C3277" s="17" t="s">
        <v>1593</v>
      </c>
      <c r="D3277" s="17" t="s">
        <v>1407</v>
      </c>
      <c r="E3277" s="17" t="s">
        <v>1663</v>
      </c>
      <c r="F3277" s="17"/>
      <c r="G3277" s="18" t="n">
        <v>15.4</v>
      </c>
      <c r="H3277" s="18" t="n">
        <v>0</v>
      </c>
      <c r="I3277" s="18" t="n">
        <f aca="false">((I3276 + G3277) - H3277)</f>
        <v>950.85</v>
      </c>
      <c r="J3277" s="18" t="n">
        <v>0</v>
      </c>
      <c r="K3277" s="19" t="n">
        <v>0</v>
      </c>
      <c r="L3277" s="17" t="s">
        <v>1406</v>
      </c>
    </row>
    <row r="3278" s="11" customFormat="true" ht="10.95" hidden="false" customHeight="true" outlineLevel="0" collapsed="false">
      <c r="A3278" s="16" t="n">
        <v>45169</v>
      </c>
      <c r="B3278" s="17" t="s">
        <v>1645</v>
      </c>
      <c r="C3278" s="17" t="s">
        <v>1593</v>
      </c>
      <c r="D3278" s="17" t="s">
        <v>1407</v>
      </c>
      <c r="E3278" s="17" t="s">
        <v>1647</v>
      </c>
      <c r="F3278" s="17"/>
      <c r="G3278" s="18" t="n">
        <v>2.35</v>
      </c>
      <c r="H3278" s="18" t="n">
        <v>0</v>
      </c>
      <c r="I3278" s="18" t="n">
        <f aca="false">((I3277 + G3278) - H3278)</f>
        <v>953.2</v>
      </c>
      <c r="J3278" s="18" t="n">
        <v>0</v>
      </c>
      <c r="K3278" s="19" t="n">
        <v>0</v>
      </c>
      <c r="L3278" s="17" t="s">
        <v>1406</v>
      </c>
    </row>
    <row r="3279" s="11" customFormat="true" ht="10.95" hidden="false" customHeight="true" outlineLevel="0" collapsed="false">
      <c r="A3279" s="16" t="n">
        <v>45169</v>
      </c>
      <c r="B3279" s="17" t="s">
        <v>1645</v>
      </c>
      <c r="C3279" s="17" t="s">
        <v>1593</v>
      </c>
      <c r="D3279" s="17" t="s">
        <v>1407</v>
      </c>
      <c r="E3279" s="17" t="s">
        <v>1647</v>
      </c>
      <c r="F3279" s="17"/>
      <c r="G3279" s="18" t="n">
        <v>13.02</v>
      </c>
      <c r="H3279" s="18" t="n">
        <v>0</v>
      </c>
      <c r="I3279" s="18" t="n">
        <f aca="false">((I3278 + G3279) - H3279)</f>
        <v>966.22</v>
      </c>
      <c r="J3279" s="18" t="n">
        <v>0</v>
      </c>
      <c r="K3279" s="19" t="n">
        <v>0</v>
      </c>
      <c r="L3279" s="17" t="s">
        <v>1406</v>
      </c>
    </row>
    <row r="3280" s="11" customFormat="true" ht="10.95" hidden="false" customHeight="true" outlineLevel="0" collapsed="false">
      <c r="A3280" s="16" t="n">
        <v>45170</v>
      </c>
      <c r="B3280" s="17" t="s">
        <v>1645</v>
      </c>
      <c r="C3280" s="17" t="s">
        <v>1593</v>
      </c>
      <c r="D3280" s="17" t="s">
        <v>1407</v>
      </c>
      <c r="E3280" s="17" t="s">
        <v>1664</v>
      </c>
      <c r="F3280" s="17" t="s">
        <v>1296</v>
      </c>
      <c r="G3280" s="18" t="n">
        <v>2.94</v>
      </c>
      <c r="H3280" s="18" t="n">
        <v>0</v>
      </c>
      <c r="I3280" s="18" t="n">
        <f aca="false">((I3279 + G3280) - H3280)</f>
        <v>969.16</v>
      </c>
      <c r="J3280" s="18" t="n">
        <v>0</v>
      </c>
      <c r="K3280" s="19" t="n">
        <v>0</v>
      </c>
      <c r="L3280" s="17" t="s">
        <v>1406</v>
      </c>
    </row>
    <row r="3281" s="11" customFormat="true" ht="10.95" hidden="false" customHeight="true" outlineLevel="0" collapsed="false">
      <c r="A3281" s="16" t="n">
        <v>45170</v>
      </c>
      <c r="B3281" s="17" t="s">
        <v>1645</v>
      </c>
      <c r="C3281" s="17" t="s">
        <v>1593</v>
      </c>
      <c r="D3281" s="17" t="s">
        <v>1407</v>
      </c>
      <c r="E3281" s="17" t="s">
        <v>1647</v>
      </c>
      <c r="F3281" s="17"/>
      <c r="G3281" s="18" t="n">
        <v>0.7</v>
      </c>
      <c r="H3281" s="18" t="n">
        <v>0</v>
      </c>
      <c r="I3281" s="18" t="n">
        <f aca="false">((I3280 + G3281) - H3281)</f>
        <v>969.86</v>
      </c>
      <c r="J3281" s="18" t="n">
        <v>0</v>
      </c>
      <c r="K3281" s="19" t="n">
        <v>0</v>
      </c>
      <c r="L3281" s="17" t="s">
        <v>1406</v>
      </c>
    </row>
    <row r="3282" s="11" customFormat="true" ht="10.95" hidden="false" customHeight="true" outlineLevel="0" collapsed="false">
      <c r="A3282" s="16" t="n">
        <v>45170</v>
      </c>
      <c r="B3282" s="17" t="s">
        <v>1645</v>
      </c>
      <c r="C3282" s="17" t="s">
        <v>1593</v>
      </c>
      <c r="D3282" s="17" t="s">
        <v>1407</v>
      </c>
      <c r="E3282" s="17" t="s">
        <v>1647</v>
      </c>
      <c r="F3282" s="17"/>
      <c r="G3282" s="18" t="n">
        <v>4.64</v>
      </c>
      <c r="H3282" s="18" t="n">
        <v>0</v>
      </c>
      <c r="I3282" s="18" t="n">
        <f aca="false">((I3281 + G3282) - H3282)</f>
        <v>974.5</v>
      </c>
      <c r="J3282" s="18" t="n">
        <v>0</v>
      </c>
      <c r="K3282" s="19" t="n">
        <v>0</v>
      </c>
      <c r="L3282" s="17" t="s">
        <v>1406</v>
      </c>
    </row>
    <row r="3283" s="11" customFormat="true" ht="10.95" hidden="false" customHeight="true" outlineLevel="0" collapsed="false">
      <c r="A3283" s="16" t="n">
        <v>45170</v>
      </c>
      <c r="B3283" s="17" t="s">
        <v>1645</v>
      </c>
      <c r="C3283" s="17" t="s">
        <v>1593</v>
      </c>
      <c r="D3283" s="17" t="s">
        <v>1407</v>
      </c>
      <c r="E3283" s="17" t="s">
        <v>1648</v>
      </c>
      <c r="F3283" s="17"/>
      <c r="G3283" s="18" t="n">
        <v>10</v>
      </c>
      <c r="H3283" s="18" t="n">
        <v>0</v>
      </c>
      <c r="I3283" s="18" t="n">
        <f aca="false">((I3282 + G3283) - H3283)</f>
        <v>984.5</v>
      </c>
      <c r="J3283" s="18" t="n">
        <v>0</v>
      </c>
      <c r="K3283" s="19" t="n">
        <v>0</v>
      </c>
      <c r="L3283" s="17" t="s">
        <v>1406</v>
      </c>
    </row>
    <row r="3284" s="11" customFormat="true" ht="10.95" hidden="false" customHeight="true" outlineLevel="0" collapsed="false">
      <c r="A3284" s="16" t="n">
        <v>45170</v>
      </c>
      <c r="B3284" s="17" t="s">
        <v>1645</v>
      </c>
      <c r="C3284" s="17" t="s">
        <v>1593</v>
      </c>
      <c r="D3284" s="17" t="s">
        <v>1407</v>
      </c>
      <c r="E3284" s="17" t="s">
        <v>1665</v>
      </c>
      <c r="F3284" s="17"/>
      <c r="G3284" s="18" t="n">
        <v>282.3</v>
      </c>
      <c r="H3284" s="18" t="n">
        <v>0</v>
      </c>
      <c r="I3284" s="18" t="n">
        <f aca="false">((I3283 + G3284) - H3284)</f>
        <v>1266.8</v>
      </c>
      <c r="J3284" s="18" t="n">
        <v>0</v>
      </c>
      <c r="K3284" s="19" t="n">
        <v>0</v>
      </c>
      <c r="L3284" s="17" t="s">
        <v>1406</v>
      </c>
    </row>
    <row r="3285" s="11" customFormat="true" ht="10.95" hidden="false" customHeight="true" outlineLevel="0" collapsed="false">
      <c r="A3285" s="16" t="n">
        <v>45170</v>
      </c>
      <c r="B3285" s="17" t="s">
        <v>1645</v>
      </c>
      <c r="C3285" s="17" t="s">
        <v>1593</v>
      </c>
      <c r="D3285" s="17" t="s">
        <v>1407</v>
      </c>
      <c r="E3285" s="17" t="s">
        <v>1653</v>
      </c>
      <c r="F3285" s="17"/>
      <c r="G3285" s="18" t="n">
        <v>100.5</v>
      </c>
      <c r="H3285" s="18" t="n">
        <v>0</v>
      </c>
      <c r="I3285" s="18" t="n">
        <f aca="false">((I3284 + G3285) - H3285)</f>
        <v>1367.3</v>
      </c>
      <c r="J3285" s="18" t="n">
        <v>0</v>
      </c>
      <c r="K3285" s="19" t="n">
        <v>0</v>
      </c>
      <c r="L3285" s="17" t="s">
        <v>1406</v>
      </c>
    </row>
    <row r="3286" s="11" customFormat="true" ht="10.95" hidden="false" customHeight="true" outlineLevel="0" collapsed="false">
      <c r="A3286" s="16" t="n">
        <v>45171</v>
      </c>
      <c r="B3286" s="17" t="s">
        <v>1645</v>
      </c>
      <c r="C3286" s="17" t="s">
        <v>1593</v>
      </c>
      <c r="D3286" s="17" t="s">
        <v>1407</v>
      </c>
      <c r="E3286" s="17" t="s">
        <v>1666</v>
      </c>
      <c r="F3286" s="17" t="s">
        <v>1298</v>
      </c>
      <c r="G3286" s="18" t="n">
        <v>17.94</v>
      </c>
      <c r="H3286" s="18" t="n">
        <v>0</v>
      </c>
      <c r="I3286" s="18" t="n">
        <f aca="false">((I3285 + G3286) - H3286)</f>
        <v>1385.24</v>
      </c>
      <c r="J3286" s="18" t="n">
        <v>0</v>
      </c>
      <c r="K3286" s="19" t="n">
        <v>0</v>
      </c>
      <c r="L3286" s="17" t="s">
        <v>1406</v>
      </c>
    </row>
    <row r="3287" s="11" customFormat="true" ht="10.95" hidden="false" customHeight="true" outlineLevel="0" collapsed="false">
      <c r="A3287" s="16" t="n">
        <v>45174</v>
      </c>
      <c r="B3287" s="17" t="s">
        <v>1645</v>
      </c>
      <c r="C3287" s="17" t="s">
        <v>1593</v>
      </c>
      <c r="D3287" s="17" t="s">
        <v>1407</v>
      </c>
      <c r="E3287" s="17" t="s">
        <v>1667</v>
      </c>
      <c r="F3287" s="17" t="s">
        <v>1300</v>
      </c>
      <c r="G3287" s="18" t="n">
        <v>16.68</v>
      </c>
      <c r="H3287" s="18" t="n">
        <v>0</v>
      </c>
      <c r="I3287" s="18" t="n">
        <f aca="false">((I3286 + G3287) - H3287)</f>
        <v>1401.92</v>
      </c>
      <c r="J3287" s="18" t="n">
        <v>0</v>
      </c>
      <c r="K3287" s="19" t="n">
        <v>0</v>
      </c>
      <c r="L3287" s="17" t="s">
        <v>1406</v>
      </c>
    </row>
    <row r="3288" s="11" customFormat="true" ht="10.95" hidden="false" customHeight="true" outlineLevel="0" collapsed="false">
      <c r="A3288" s="16" t="n">
        <v>45174</v>
      </c>
      <c r="B3288" s="17" t="s">
        <v>1645</v>
      </c>
      <c r="C3288" s="17" t="s">
        <v>1593</v>
      </c>
      <c r="D3288" s="17" t="s">
        <v>1407</v>
      </c>
      <c r="E3288" s="17" t="s">
        <v>1647</v>
      </c>
      <c r="F3288" s="17"/>
      <c r="G3288" s="18" t="n">
        <v>0.35</v>
      </c>
      <c r="H3288" s="18" t="n">
        <v>0</v>
      </c>
      <c r="I3288" s="18" t="n">
        <f aca="false">((I3287 + G3288) - H3288)</f>
        <v>1402.27</v>
      </c>
      <c r="J3288" s="18" t="n">
        <v>0</v>
      </c>
      <c r="K3288" s="19" t="n">
        <v>0</v>
      </c>
      <c r="L3288" s="17" t="s">
        <v>1406</v>
      </c>
    </row>
    <row r="3289" s="11" customFormat="true" ht="10.95" hidden="false" customHeight="true" outlineLevel="0" collapsed="false">
      <c r="A3289" s="16" t="n">
        <v>45174</v>
      </c>
      <c r="B3289" s="17" t="s">
        <v>1645</v>
      </c>
      <c r="C3289" s="17" t="s">
        <v>1593</v>
      </c>
      <c r="D3289" s="17" t="s">
        <v>1407</v>
      </c>
      <c r="E3289" s="17" t="s">
        <v>1647</v>
      </c>
      <c r="F3289" s="17"/>
      <c r="G3289" s="18" t="n">
        <v>3.95</v>
      </c>
      <c r="H3289" s="18" t="n">
        <v>0</v>
      </c>
      <c r="I3289" s="18" t="n">
        <f aca="false">((I3288 + G3289) - H3289)</f>
        <v>1406.22</v>
      </c>
      <c r="J3289" s="18" t="n">
        <v>0</v>
      </c>
      <c r="K3289" s="19" t="n">
        <v>0</v>
      </c>
      <c r="L3289" s="17" t="s">
        <v>1406</v>
      </c>
    </row>
    <row r="3290" s="11" customFormat="true" ht="10.95" hidden="false" customHeight="true" outlineLevel="0" collapsed="false">
      <c r="A3290" s="16" t="n">
        <v>45174</v>
      </c>
      <c r="B3290" s="17" t="s">
        <v>1645</v>
      </c>
      <c r="C3290" s="17" t="s">
        <v>1593</v>
      </c>
      <c r="D3290" s="17" t="s">
        <v>1407</v>
      </c>
      <c r="E3290" s="17" t="s">
        <v>1647</v>
      </c>
      <c r="F3290" s="17"/>
      <c r="G3290" s="18" t="n">
        <v>5.51</v>
      </c>
      <c r="H3290" s="18" t="n">
        <v>0</v>
      </c>
      <c r="I3290" s="18" t="n">
        <f aca="false">((I3289 + G3290) - H3290)</f>
        <v>1411.73</v>
      </c>
      <c r="J3290" s="18" t="n">
        <v>0</v>
      </c>
      <c r="K3290" s="19" t="n">
        <v>0</v>
      </c>
      <c r="L3290" s="17" t="s">
        <v>1406</v>
      </c>
    </row>
    <row r="3291" s="11" customFormat="true" ht="10.95" hidden="false" customHeight="true" outlineLevel="0" collapsed="false">
      <c r="A3291" s="16" t="n">
        <v>45174</v>
      </c>
      <c r="B3291" s="17" t="s">
        <v>1645</v>
      </c>
      <c r="C3291" s="17" t="s">
        <v>1593</v>
      </c>
      <c r="D3291" s="17" t="s">
        <v>1407</v>
      </c>
      <c r="E3291" s="17" t="s">
        <v>1647</v>
      </c>
      <c r="F3291" s="17"/>
      <c r="G3291" s="18" t="n">
        <v>7.34</v>
      </c>
      <c r="H3291" s="18" t="n">
        <v>0</v>
      </c>
      <c r="I3291" s="18" t="n">
        <f aca="false">((I3290 + G3291) - H3291)</f>
        <v>1419.07</v>
      </c>
      <c r="J3291" s="18" t="n">
        <v>0</v>
      </c>
      <c r="K3291" s="19" t="n">
        <v>0</v>
      </c>
      <c r="L3291" s="17" t="s">
        <v>1406</v>
      </c>
    </row>
    <row r="3292" s="11" customFormat="true" ht="10.95" hidden="false" customHeight="true" outlineLevel="0" collapsed="false">
      <c r="A3292" s="16" t="n">
        <v>45176</v>
      </c>
      <c r="B3292" s="17" t="s">
        <v>1645</v>
      </c>
      <c r="C3292" s="17" t="s">
        <v>1593</v>
      </c>
      <c r="D3292" s="17" t="s">
        <v>1407</v>
      </c>
      <c r="E3292" s="17" t="s">
        <v>1647</v>
      </c>
      <c r="F3292" s="17"/>
      <c r="G3292" s="18" t="n">
        <v>1.35</v>
      </c>
      <c r="H3292" s="18" t="n">
        <v>0</v>
      </c>
      <c r="I3292" s="18" t="n">
        <f aca="false">((I3291 + G3292) - H3292)</f>
        <v>1420.42</v>
      </c>
      <c r="J3292" s="18" t="n">
        <v>0</v>
      </c>
      <c r="K3292" s="19" t="n">
        <v>0</v>
      </c>
      <c r="L3292" s="17" t="s">
        <v>1406</v>
      </c>
    </row>
    <row r="3293" s="11" customFormat="true" ht="10.95" hidden="false" customHeight="true" outlineLevel="0" collapsed="false">
      <c r="A3293" s="16" t="n">
        <v>45177</v>
      </c>
      <c r="B3293" s="17" t="s">
        <v>1645</v>
      </c>
      <c r="C3293" s="17" t="s">
        <v>1593</v>
      </c>
      <c r="D3293" s="17" t="s">
        <v>1407</v>
      </c>
      <c r="E3293" s="17" t="s">
        <v>1647</v>
      </c>
      <c r="F3293" s="17"/>
      <c r="G3293" s="18" t="n">
        <v>114.76</v>
      </c>
      <c r="H3293" s="18" t="n">
        <v>0</v>
      </c>
      <c r="I3293" s="18" t="n">
        <f aca="false">((I3292 + G3293) - H3293)</f>
        <v>1535.18</v>
      </c>
      <c r="J3293" s="18" t="n">
        <v>0</v>
      </c>
      <c r="K3293" s="19" t="n">
        <v>0</v>
      </c>
      <c r="L3293" s="17" t="s">
        <v>1406</v>
      </c>
    </row>
    <row r="3294" s="11" customFormat="true" ht="10.95" hidden="false" customHeight="true" outlineLevel="0" collapsed="false">
      <c r="A3294" s="16" t="n">
        <v>45183</v>
      </c>
      <c r="B3294" s="17" t="s">
        <v>1645</v>
      </c>
      <c r="C3294" s="17" t="s">
        <v>1593</v>
      </c>
      <c r="D3294" s="17" t="s">
        <v>1407</v>
      </c>
      <c r="E3294" s="17" t="s">
        <v>1647</v>
      </c>
      <c r="F3294" s="17"/>
      <c r="G3294" s="18" t="n">
        <v>1.41</v>
      </c>
      <c r="H3294" s="18" t="n">
        <v>0</v>
      </c>
      <c r="I3294" s="18" t="n">
        <f aca="false">((I3293 + G3294) - H3294)</f>
        <v>1536.59</v>
      </c>
      <c r="J3294" s="18" t="n">
        <v>0</v>
      </c>
      <c r="K3294" s="19" t="n">
        <v>0</v>
      </c>
      <c r="L3294" s="17" t="s">
        <v>1406</v>
      </c>
    </row>
    <row r="3295" s="11" customFormat="true" ht="10.95" hidden="false" customHeight="true" outlineLevel="0" collapsed="false">
      <c r="A3295" s="16" t="n">
        <v>45184</v>
      </c>
      <c r="B3295" s="17" t="s">
        <v>1645</v>
      </c>
      <c r="C3295" s="17" t="s">
        <v>1593</v>
      </c>
      <c r="D3295" s="17" t="s">
        <v>1407</v>
      </c>
      <c r="E3295" s="17" t="s">
        <v>1647</v>
      </c>
      <c r="F3295" s="17"/>
      <c r="G3295" s="18" t="n">
        <v>0.62</v>
      </c>
      <c r="H3295" s="18" t="n">
        <v>0</v>
      </c>
      <c r="I3295" s="18" t="n">
        <f aca="false">((I3294 + G3295) - H3295)</f>
        <v>1537.21</v>
      </c>
      <c r="J3295" s="18" t="n">
        <v>0</v>
      </c>
      <c r="K3295" s="19" t="n">
        <v>0</v>
      </c>
      <c r="L3295" s="17" t="s">
        <v>1406</v>
      </c>
    </row>
    <row r="3296" s="11" customFormat="true" ht="10.95" hidden="false" customHeight="true" outlineLevel="0" collapsed="false">
      <c r="A3296" s="16" t="n">
        <v>45185</v>
      </c>
      <c r="B3296" s="17" t="s">
        <v>1645</v>
      </c>
      <c r="C3296" s="17" t="s">
        <v>1593</v>
      </c>
      <c r="D3296" s="17" t="s">
        <v>1407</v>
      </c>
      <c r="E3296" s="17" t="s">
        <v>1647</v>
      </c>
      <c r="F3296" s="17"/>
      <c r="G3296" s="18" t="n">
        <v>4.94</v>
      </c>
      <c r="H3296" s="18" t="n">
        <v>0</v>
      </c>
      <c r="I3296" s="18" t="n">
        <f aca="false">((I3295 + G3296) - H3296)</f>
        <v>1542.15</v>
      </c>
      <c r="J3296" s="18" t="n">
        <v>0</v>
      </c>
      <c r="K3296" s="19" t="n">
        <v>0</v>
      </c>
      <c r="L3296" s="17" t="s">
        <v>1406</v>
      </c>
    </row>
    <row r="3297" s="11" customFormat="true" ht="10.95" hidden="false" customHeight="true" outlineLevel="0" collapsed="false">
      <c r="A3297" s="16" t="n">
        <v>45190</v>
      </c>
      <c r="B3297" s="17" t="s">
        <v>1645</v>
      </c>
      <c r="C3297" s="17" t="s">
        <v>1593</v>
      </c>
      <c r="D3297" s="17" t="s">
        <v>1407</v>
      </c>
      <c r="E3297" s="17" t="s">
        <v>1647</v>
      </c>
      <c r="F3297" s="17"/>
      <c r="G3297" s="18" t="n">
        <v>0.94</v>
      </c>
      <c r="H3297" s="18" t="n">
        <v>0</v>
      </c>
      <c r="I3297" s="18" t="n">
        <f aca="false">((I3296 + G3297) - H3297)</f>
        <v>1543.09</v>
      </c>
      <c r="J3297" s="18" t="n">
        <v>0</v>
      </c>
      <c r="K3297" s="19" t="n">
        <v>0</v>
      </c>
      <c r="L3297" s="17" t="s">
        <v>1406</v>
      </c>
    </row>
    <row r="3298" s="11" customFormat="true" ht="10.95" hidden="false" customHeight="true" outlineLevel="0" collapsed="false">
      <c r="A3298" s="16" t="n">
        <v>45190</v>
      </c>
      <c r="B3298" s="17" t="s">
        <v>1645</v>
      </c>
      <c r="C3298" s="17" t="s">
        <v>1593</v>
      </c>
      <c r="D3298" s="17" t="s">
        <v>1407</v>
      </c>
      <c r="E3298" s="17" t="s">
        <v>1647</v>
      </c>
      <c r="F3298" s="17"/>
      <c r="G3298" s="18" t="n">
        <v>20.58</v>
      </c>
      <c r="H3298" s="18" t="n">
        <v>0</v>
      </c>
      <c r="I3298" s="18" t="n">
        <f aca="false">((I3297 + G3298) - H3298)</f>
        <v>1563.67</v>
      </c>
      <c r="J3298" s="18" t="n">
        <v>0</v>
      </c>
      <c r="K3298" s="19" t="n">
        <v>0</v>
      </c>
      <c r="L3298" s="17" t="s">
        <v>1406</v>
      </c>
    </row>
    <row r="3299" s="11" customFormat="true" ht="10.95" hidden="false" customHeight="true" outlineLevel="0" collapsed="false">
      <c r="A3299" s="16" t="n">
        <v>45190</v>
      </c>
      <c r="B3299" s="17" t="s">
        <v>1645</v>
      </c>
      <c r="C3299" s="17" t="s">
        <v>1593</v>
      </c>
      <c r="D3299" s="17" t="s">
        <v>1407</v>
      </c>
      <c r="E3299" s="17" t="s">
        <v>1653</v>
      </c>
      <c r="F3299" s="17"/>
      <c r="G3299" s="18" t="n">
        <v>143.39</v>
      </c>
      <c r="H3299" s="18" t="n">
        <v>0</v>
      </c>
      <c r="I3299" s="18" t="n">
        <f aca="false">((I3298 + G3299) - H3299)</f>
        <v>1707.06</v>
      </c>
      <c r="J3299" s="18" t="n">
        <v>0</v>
      </c>
      <c r="K3299" s="19" t="n">
        <v>0</v>
      </c>
      <c r="L3299" s="17" t="s">
        <v>1406</v>
      </c>
    </row>
    <row r="3300" s="11" customFormat="true" ht="10.95" hidden="false" customHeight="true" outlineLevel="0" collapsed="false">
      <c r="A3300" s="16" t="n">
        <v>45191</v>
      </c>
      <c r="B3300" s="17" t="s">
        <v>1645</v>
      </c>
      <c r="C3300" s="17" t="s">
        <v>1593</v>
      </c>
      <c r="D3300" s="17" t="s">
        <v>1407</v>
      </c>
      <c r="E3300" s="17" t="s">
        <v>1647</v>
      </c>
      <c r="F3300" s="17"/>
      <c r="G3300" s="18" t="n">
        <v>1.71</v>
      </c>
      <c r="H3300" s="18" t="n">
        <v>0</v>
      </c>
      <c r="I3300" s="18" t="n">
        <f aca="false">((I3299 + G3300) - H3300)</f>
        <v>1708.77</v>
      </c>
      <c r="J3300" s="18" t="n">
        <v>0</v>
      </c>
      <c r="K3300" s="19" t="n">
        <v>0</v>
      </c>
      <c r="L3300" s="17" t="s">
        <v>1406</v>
      </c>
    </row>
    <row r="3301" s="11" customFormat="true" ht="10.95" hidden="false" customHeight="true" outlineLevel="0" collapsed="false">
      <c r="A3301" s="16" t="n">
        <v>45195</v>
      </c>
      <c r="B3301" s="17" t="s">
        <v>1645</v>
      </c>
      <c r="C3301" s="17" t="s">
        <v>1593</v>
      </c>
      <c r="D3301" s="17" t="s">
        <v>1407</v>
      </c>
      <c r="E3301" s="17" t="s">
        <v>1668</v>
      </c>
      <c r="F3301" s="17" t="s">
        <v>1302</v>
      </c>
      <c r="G3301" s="18" t="n">
        <v>1.87</v>
      </c>
      <c r="H3301" s="18" t="n">
        <v>0</v>
      </c>
      <c r="I3301" s="18" t="n">
        <f aca="false">((I3300 + G3301) - H3301)</f>
        <v>1710.64</v>
      </c>
      <c r="J3301" s="18" t="n">
        <v>0</v>
      </c>
      <c r="K3301" s="19" t="n">
        <v>0</v>
      </c>
      <c r="L3301" s="17" t="s">
        <v>1406</v>
      </c>
    </row>
    <row r="3302" s="11" customFormat="true" ht="10.95" hidden="false" customHeight="true" outlineLevel="0" collapsed="false">
      <c r="A3302" s="16" t="n">
        <v>45195</v>
      </c>
      <c r="B3302" s="17" t="s">
        <v>1645</v>
      </c>
      <c r="C3302" s="17" t="s">
        <v>1593</v>
      </c>
      <c r="D3302" s="17" t="s">
        <v>1407</v>
      </c>
      <c r="E3302" s="17" t="s">
        <v>1647</v>
      </c>
      <c r="F3302" s="17"/>
      <c r="G3302" s="18" t="n">
        <v>0.37</v>
      </c>
      <c r="H3302" s="18" t="n">
        <v>0</v>
      </c>
      <c r="I3302" s="18" t="n">
        <f aca="false">((I3301 + G3302) - H3302)</f>
        <v>1711.01</v>
      </c>
      <c r="J3302" s="18" t="n">
        <v>0</v>
      </c>
      <c r="K3302" s="19" t="n">
        <v>0</v>
      </c>
      <c r="L3302" s="17" t="s">
        <v>1406</v>
      </c>
    </row>
    <row r="3303" s="11" customFormat="true" ht="10.95" hidden="false" customHeight="true" outlineLevel="0" collapsed="false">
      <c r="A3303" s="16" t="n">
        <v>45195</v>
      </c>
      <c r="B3303" s="17" t="s">
        <v>1645</v>
      </c>
      <c r="C3303" s="17" t="s">
        <v>1593</v>
      </c>
      <c r="D3303" s="17" t="s">
        <v>1407</v>
      </c>
      <c r="E3303" s="17" t="s">
        <v>1647</v>
      </c>
      <c r="F3303" s="17"/>
      <c r="G3303" s="18" t="n">
        <v>0.37</v>
      </c>
      <c r="H3303" s="18" t="n">
        <v>0</v>
      </c>
      <c r="I3303" s="18" t="n">
        <f aca="false">((I3302 + G3303) - H3303)</f>
        <v>1711.38</v>
      </c>
      <c r="J3303" s="18" t="n">
        <v>0</v>
      </c>
      <c r="K3303" s="19" t="n">
        <v>0</v>
      </c>
      <c r="L3303" s="17" t="s">
        <v>1406</v>
      </c>
    </row>
    <row r="3304" s="11" customFormat="true" ht="10.95" hidden="false" customHeight="true" outlineLevel="0" collapsed="false">
      <c r="A3304" s="16" t="n">
        <v>45195</v>
      </c>
      <c r="B3304" s="17" t="s">
        <v>1645</v>
      </c>
      <c r="C3304" s="17" t="s">
        <v>1593</v>
      </c>
      <c r="D3304" s="17" t="s">
        <v>1407</v>
      </c>
      <c r="E3304" s="17" t="s">
        <v>1647</v>
      </c>
      <c r="F3304" s="17"/>
      <c r="G3304" s="18" t="n">
        <v>1.03</v>
      </c>
      <c r="H3304" s="18" t="n">
        <v>0</v>
      </c>
      <c r="I3304" s="18" t="n">
        <f aca="false">((I3303 + G3304) - H3304)</f>
        <v>1712.41</v>
      </c>
      <c r="J3304" s="18" t="n">
        <v>0</v>
      </c>
      <c r="K3304" s="19" t="n">
        <v>0</v>
      </c>
      <c r="L3304" s="17" t="s">
        <v>1406</v>
      </c>
    </row>
    <row r="3305" s="11" customFormat="true" ht="10.95" hidden="false" customHeight="true" outlineLevel="0" collapsed="false">
      <c r="A3305" s="16" t="n">
        <v>45195</v>
      </c>
      <c r="B3305" s="17" t="s">
        <v>1645</v>
      </c>
      <c r="C3305" s="17" t="s">
        <v>1593</v>
      </c>
      <c r="D3305" s="17" t="s">
        <v>1407</v>
      </c>
      <c r="E3305" s="17" t="s">
        <v>1647</v>
      </c>
      <c r="F3305" s="17"/>
      <c r="G3305" s="18" t="n">
        <v>4.07</v>
      </c>
      <c r="H3305" s="18" t="n">
        <v>0</v>
      </c>
      <c r="I3305" s="18" t="n">
        <f aca="false">((I3304 + G3305) - H3305)</f>
        <v>1716.48</v>
      </c>
      <c r="J3305" s="18" t="n">
        <v>0</v>
      </c>
      <c r="K3305" s="19" t="n">
        <v>0</v>
      </c>
      <c r="L3305" s="17" t="s">
        <v>1406</v>
      </c>
    </row>
    <row r="3306" s="11" customFormat="true" ht="10.95" hidden="false" customHeight="true" outlineLevel="0" collapsed="false">
      <c r="A3306" s="16" t="n">
        <v>45195</v>
      </c>
      <c r="B3306" s="17" t="s">
        <v>1645</v>
      </c>
      <c r="C3306" s="17" t="s">
        <v>1593</v>
      </c>
      <c r="D3306" s="17" t="s">
        <v>1407</v>
      </c>
      <c r="E3306" s="17" t="s">
        <v>1647</v>
      </c>
      <c r="F3306" s="17"/>
      <c r="G3306" s="18" t="n">
        <v>7</v>
      </c>
      <c r="H3306" s="18" t="n">
        <v>0</v>
      </c>
      <c r="I3306" s="18" t="n">
        <f aca="false">((I3305 + G3306) - H3306)</f>
        <v>1723.48</v>
      </c>
      <c r="J3306" s="18" t="n">
        <v>0</v>
      </c>
      <c r="K3306" s="19" t="n">
        <v>0</v>
      </c>
      <c r="L3306" s="17" t="s">
        <v>1406</v>
      </c>
    </row>
    <row r="3307" s="11" customFormat="true" ht="10.95" hidden="false" customHeight="true" outlineLevel="0" collapsed="false">
      <c r="A3307" s="16" t="n">
        <v>45195</v>
      </c>
      <c r="B3307" s="17" t="s">
        <v>1645</v>
      </c>
      <c r="C3307" s="17" t="s">
        <v>1593</v>
      </c>
      <c r="D3307" s="17" t="s">
        <v>1407</v>
      </c>
      <c r="E3307" s="17" t="s">
        <v>1647</v>
      </c>
      <c r="F3307" s="17"/>
      <c r="G3307" s="18" t="n">
        <v>8.79</v>
      </c>
      <c r="H3307" s="18" t="n">
        <v>0</v>
      </c>
      <c r="I3307" s="18" t="n">
        <f aca="false">((I3306 + G3307) - H3307)</f>
        <v>1732.27</v>
      </c>
      <c r="J3307" s="18" t="n">
        <v>0</v>
      </c>
      <c r="K3307" s="19" t="n">
        <v>0</v>
      </c>
      <c r="L3307" s="17" t="s">
        <v>1406</v>
      </c>
    </row>
    <row r="3308" s="11" customFormat="true" ht="10.95" hidden="false" customHeight="true" outlineLevel="0" collapsed="false">
      <c r="A3308" s="16" t="n">
        <v>45195</v>
      </c>
      <c r="B3308" s="17" t="s">
        <v>1645</v>
      </c>
      <c r="C3308" s="17" t="s">
        <v>1593</v>
      </c>
      <c r="D3308" s="17" t="s">
        <v>1407</v>
      </c>
      <c r="E3308" s="17" t="s">
        <v>1647</v>
      </c>
      <c r="F3308" s="17"/>
      <c r="G3308" s="18" t="n">
        <v>9.36</v>
      </c>
      <c r="H3308" s="18" t="n">
        <v>0</v>
      </c>
      <c r="I3308" s="18" t="n">
        <f aca="false">((I3307 + G3308) - H3308)</f>
        <v>1741.63</v>
      </c>
      <c r="J3308" s="18" t="n">
        <v>0</v>
      </c>
      <c r="K3308" s="19" t="n">
        <v>0</v>
      </c>
      <c r="L3308" s="17" t="s">
        <v>1406</v>
      </c>
    </row>
    <row r="3309" s="11" customFormat="true" ht="10.95" hidden="false" customHeight="true" outlineLevel="0" collapsed="false">
      <c r="A3309" s="16" t="n">
        <v>45197</v>
      </c>
      <c r="B3309" s="17" t="s">
        <v>1645</v>
      </c>
      <c r="C3309" s="17" t="s">
        <v>1593</v>
      </c>
      <c r="D3309" s="17" t="s">
        <v>1407</v>
      </c>
      <c r="E3309" s="17" t="s">
        <v>1669</v>
      </c>
      <c r="F3309" s="17" t="s">
        <v>1304</v>
      </c>
      <c r="G3309" s="18" t="n">
        <v>18.07</v>
      </c>
      <c r="H3309" s="18" t="n">
        <v>0</v>
      </c>
      <c r="I3309" s="18" t="n">
        <f aca="false">((I3308 + G3309) - H3309)</f>
        <v>1759.7</v>
      </c>
      <c r="J3309" s="18" t="n">
        <v>0</v>
      </c>
      <c r="K3309" s="19" t="n">
        <v>0</v>
      </c>
      <c r="L3309" s="17" t="s">
        <v>1406</v>
      </c>
    </row>
    <row r="3310" s="11" customFormat="true" ht="10.95" hidden="false" customHeight="true" outlineLevel="0" collapsed="false">
      <c r="A3310" s="16" t="n">
        <v>45198</v>
      </c>
      <c r="B3310" s="17" t="s">
        <v>1645</v>
      </c>
      <c r="C3310" s="17" t="s">
        <v>1593</v>
      </c>
      <c r="D3310" s="17" t="s">
        <v>1407</v>
      </c>
      <c r="E3310" s="17" t="s">
        <v>1670</v>
      </c>
      <c r="F3310" s="17" t="s">
        <v>1306</v>
      </c>
      <c r="G3310" s="18" t="n">
        <v>16.68</v>
      </c>
      <c r="H3310" s="18" t="n">
        <v>0</v>
      </c>
      <c r="I3310" s="18" t="n">
        <f aca="false">((I3309 + G3310) - H3310)</f>
        <v>1776.38</v>
      </c>
      <c r="J3310" s="18" t="n">
        <v>0</v>
      </c>
      <c r="K3310" s="19" t="n">
        <v>0</v>
      </c>
      <c r="L3310" s="17" t="s">
        <v>1406</v>
      </c>
    </row>
    <row r="3311" s="11" customFormat="true" ht="10.95" hidden="false" customHeight="true" outlineLevel="0" collapsed="false">
      <c r="A3311" s="16" t="n">
        <v>45198</v>
      </c>
      <c r="B3311" s="17" t="s">
        <v>1645</v>
      </c>
      <c r="C3311" s="17" t="s">
        <v>1593</v>
      </c>
      <c r="D3311" s="17" t="s">
        <v>1407</v>
      </c>
      <c r="E3311" s="17" t="s">
        <v>1663</v>
      </c>
      <c r="F3311" s="17"/>
      <c r="G3311" s="18" t="n">
        <v>15.4</v>
      </c>
      <c r="H3311" s="18" t="n">
        <v>0</v>
      </c>
      <c r="I3311" s="18" t="n">
        <f aca="false">((I3310 + G3311) - H3311)</f>
        <v>1791.78</v>
      </c>
      <c r="J3311" s="18" t="n">
        <v>0</v>
      </c>
      <c r="K3311" s="19" t="n">
        <v>0</v>
      </c>
      <c r="L3311" s="17" t="s">
        <v>1406</v>
      </c>
    </row>
    <row r="3312" s="11" customFormat="true" ht="10.95" hidden="false" customHeight="true" outlineLevel="0" collapsed="false">
      <c r="A3312" s="16" t="n">
        <v>45198</v>
      </c>
      <c r="B3312" s="17" t="s">
        <v>1645</v>
      </c>
      <c r="C3312" s="17" t="s">
        <v>1593</v>
      </c>
      <c r="D3312" s="17" t="s">
        <v>1407</v>
      </c>
      <c r="E3312" s="17" t="s">
        <v>1647</v>
      </c>
      <c r="F3312" s="17"/>
      <c r="G3312" s="18" t="n">
        <v>7.26</v>
      </c>
      <c r="H3312" s="18" t="n">
        <v>0</v>
      </c>
      <c r="I3312" s="18" t="n">
        <f aca="false">((I3311 + G3312) - H3312)</f>
        <v>1799.04</v>
      </c>
      <c r="J3312" s="18" t="n">
        <v>0</v>
      </c>
      <c r="K3312" s="19" t="n">
        <v>0</v>
      </c>
      <c r="L3312" s="17" t="s">
        <v>1406</v>
      </c>
    </row>
    <row r="3313" s="11" customFormat="true" ht="10.95" hidden="false" customHeight="true" outlineLevel="0" collapsed="false">
      <c r="A3313" s="16" t="n">
        <v>45200</v>
      </c>
      <c r="B3313" s="17" t="s">
        <v>1645</v>
      </c>
      <c r="C3313" s="17" t="s">
        <v>1593</v>
      </c>
      <c r="D3313" s="17" t="s">
        <v>1407</v>
      </c>
      <c r="E3313" s="17" t="s">
        <v>1671</v>
      </c>
      <c r="F3313" s="17" t="s">
        <v>1308</v>
      </c>
      <c r="G3313" s="18" t="n">
        <v>17.86</v>
      </c>
      <c r="H3313" s="18" t="n">
        <v>0</v>
      </c>
      <c r="I3313" s="18" t="n">
        <f aca="false">((I3312 + G3313) - H3313)</f>
        <v>1816.9</v>
      </c>
      <c r="J3313" s="18" t="n">
        <v>0</v>
      </c>
      <c r="K3313" s="19" t="n">
        <v>0</v>
      </c>
      <c r="L3313" s="17" t="s">
        <v>1406</v>
      </c>
    </row>
    <row r="3314" s="11" customFormat="true" ht="10.95" hidden="false" customHeight="true" outlineLevel="0" collapsed="false">
      <c r="A3314" s="16" t="n">
        <v>45200</v>
      </c>
      <c r="B3314" s="17" t="s">
        <v>1645</v>
      </c>
      <c r="C3314" s="17" t="s">
        <v>1593</v>
      </c>
      <c r="D3314" s="17" t="s">
        <v>1407</v>
      </c>
      <c r="E3314" s="17" t="s">
        <v>1672</v>
      </c>
      <c r="F3314" s="17" t="s">
        <v>1310</v>
      </c>
      <c r="G3314" s="18" t="n">
        <v>2.94</v>
      </c>
      <c r="H3314" s="18" t="n">
        <v>0</v>
      </c>
      <c r="I3314" s="18" t="n">
        <f aca="false">((I3313 + G3314) - H3314)</f>
        <v>1819.84</v>
      </c>
      <c r="J3314" s="18" t="n">
        <v>0</v>
      </c>
      <c r="K3314" s="19" t="n">
        <v>0</v>
      </c>
      <c r="L3314" s="17" t="s">
        <v>1406</v>
      </c>
    </row>
    <row r="3315" s="11" customFormat="true" ht="10.95" hidden="false" customHeight="true" outlineLevel="0" collapsed="false">
      <c r="A3315" s="16" t="n">
        <v>45200</v>
      </c>
      <c r="B3315" s="17" t="s">
        <v>1645</v>
      </c>
      <c r="C3315" s="17" t="s">
        <v>1593</v>
      </c>
      <c r="D3315" s="17" t="s">
        <v>1407</v>
      </c>
      <c r="E3315" s="17" t="s">
        <v>1648</v>
      </c>
      <c r="F3315" s="17"/>
      <c r="G3315" s="18" t="n">
        <v>10</v>
      </c>
      <c r="H3315" s="18" t="n">
        <v>0</v>
      </c>
      <c r="I3315" s="18" t="n">
        <f aca="false">((I3314 + G3315) - H3315)</f>
        <v>1829.84</v>
      </c>
      <c r="J3315" s="18" t="n">
        <v>0</v>
      </c>
      <c r="K3315" s="19" t="n">
        <v>0</v>
      </c>
      <c r="L3315" s="17" t="s">
        <v>1406</v>
      </c>
    </row>
    <row r="3316" s="11" customFormat="true" ht="10.95" hidden="false" customHeight="true" outlineLevel="0" collapsed="false">
      <c r="A3316" s="16" t="n">
        <v>45202</v>
      </c>
      <c r="B3316" s="17" t="s">
        <v>1645</v>
      </c>
      <c r="C3316" s="17" t="s">
        <v>1593</v>
      </c>
      <c r="D3316" s="17" t="s">
        <v>1407</v>
      </c>
      <c r="E3316" s="17" t="s">
        <v>1647</v>
      </c>
      <c r="F3316" s="17"/>
      <c r="G3316" s="18" t="n">
        <v>0.7</v>
      </c>
      <c r="H3316" s="18" t="n">
        <v>0</v>
      </c>
      <c r="I3316" s="18" t="n">
        <f aca="false">((I3315 + G3316) - H3316)</f>
        <v>1830.54</v>
      </c>
      <c r="J3316" s="18" t="n">
        <v>0</v>
      </c>
      <c r="K3316" s="19" t="n">
        <v>0</v>
      </c>
      <c r="L3316" s="17" t="s">
        <v>1406</v>
      </c>
    </row>
    <row r="3317" s="11" customFormat="true" ht="10.95" hidden="false" customHeight="true" outlineLevel="0" collapsed="false">
      <c r="A3317" s="16" t="n">
        <v>45202</v>
      </c>
      <c r="B3317" s="17" t="s">
        <v>1645</v>
      </c>
      <c r="C3317" s="17" t="s">
        <v>1593</v>
      </c>
      <c r="D3317" s="17" t="s">
        <v>1407</v>
      </c>
      <c r="E3317" s="17" t="s">
        <v>1647</v>
      </c>
      <c r="F3317" s="17"/>
      <c r="G3317" s="18" t="n">
        <v>2.31</v>
      </c>
      <c r="H3317" s="18" t="n">
        <v>0</v>
      </c>
      <c r="I3317" s="18" t="n">
        <f aca="false">((I3316 + G3317) - H3317)</f>
        <v>1832.85</v>
      </c>
      <c r="J3317" s="18" t="n">
        <v>0</v>
      </c>
      <c r="K3317" s="19" t="n">
        <v>0</v>
      </c>
      <c r="L3317" s="17" t="s">
        <v>1406</v>
      </c>
    </row>
    <row r="3318" s="11" customFormat="true" ht="10.95" hidden="false" customHeight="true" outlineLevel="0" collapsed="false">
      <c r="A3318" s="16" t="n">
        <v>45202</v>
      </c>
      <c r="B3318" s="17" t="s">
        <v>1645</v>
      </c>
      <c r="C3318" s="17" t="s">
        <v>1593</v>
      </c>
      <c r="D3318" s="17" t="s">
        <v>1407</v>
      </c>
      <c r="E3318" s="17" t="s">
        <v>1647</v>
      </c>
      <c r="F3318" s="17"/>
      <c r="G3318" s="18" t="n">
        <v>14.02</v>
      </c>
      <c r="H3318" s="18" t="n">
        <v>0</v>
      </c>
      <c r="I3318" s="18" t="n">
        <f aca="false">((I3317 + G3318) - H3318)</f>
        <v>1846.87</v>
      </c>
      <c r="J3318" s="18" t="n">
        <v>0</v>
      </c>
      <c r="K3318" s="19" t="n">
        <v>0</v>
      </c>
      <c r="L3318" s="17" t="s">
        <v>1406</v>
      </c>
    </row>
    <row r="3319" s="11" customFormat="true" ht="10.95" hidden="false" customHeight="true" outlineLevel="0" collapsed="false">
      <c r="A3319" s="16" t="n">
        <v>45202</v>
      </c>
      <c r="B3319" s="17" t="s">
        <v>1645</v>
      </c>
      <c r="C3319" s="17" t="s">
        <v>1593</v>
      </c>
      <c r="D3319" s="17" t="s">
        <v>1407</v>
      </c>
      <c r="E3319" s="17" t="s">
        <v>1647</v>
      </c>
      <c r="F3319" s="17"/>
      <c r="G3319" s="18" t="n">
        <v>18.28</v>
      </c>
      <c r="H3319" s="18" t="n">
        <v>0</v>
      </c>
      <c r="I3319" s="18" t="n">
        <f aca="false">((I3318 + G3319) - H3319)</f>
        <v>1865.15</v>
      </c>
      <c r="J3319" s="18" t="n">
        <v>0</v>
      </c>
      <c r="K3319" s="19" t="n">
        <v>0</v>
      </c>
      <c r="L3319" s="17" t="s">
        <v>1406</v>
      </c>
    </row>
    <row r="3320" s="11" customFormat="true" ht="10.95" hidden="false" customHeight="true" outlineLevel="0" collapsed="false">
      <c r="A3320" s="16" t="n">
        <v>45205</v>
      </c>
      <c r="B3320" s="17" t="s">
        <v>1645</v>
      </c>
      <c r="C3320" s="17" t="s">
        <v>1593</v>
      </c>
      <c r="D3320" s="17" t="s">
        <v>1407</v>
      </c>
      <c r="E3320" s="17" t="s">
        <v>1647</v>
      </c>
      <c r="F3320" s="17"/>
      <c r="G3320" s="18" t="n">
        <v>10.5</v>
      </c>
      <c r="H3320" s="18" t="n">
        <v>0</v>
      </c>
      <c r="I3320" s="18" t="n">
        <f aca="false">((I3319 + G3320) - H3320)</f>
        <v>1875.65</v>
      </c>
      <c r="J3320" s="18" t="n">
        <v>0</v>
      </c>
      <c r="K3320" s="19" t="n">
        <v>0</v>
      </c>
      <c r="L3320" s="17" t="s">
        <v>1406</v>
      </c>
    </row>
    <row r="3321" s="11" customFormat="true" ht="10.95" hidden="false" customHeight="true" outlineLevel="0" collapsed="false">
      <c r="A3321" s="16" t="n">
        <v>45205</v>
      </c>
      <c r="B3321" s="17" t="s">
        <v>1645</v>
      </c>
      <c r="C3321" s="17" t="s">
        <v>1593</v>
      </c>
      <c r="D3321" s="17" t="s">
        <v>1407</v>
      </c>
      <c r="E3321" s="17" t="s">
        <v>1647</v>
      </c>
      <c r="F3321" s="17"/>
      <c r="G3321" s="18" t="n">
        <v>118.93</v>
      </c>
      <c r="H3321" s="18" t="n">
        <v>0</v>
      </c>
      <c r="I3321" s="18" t="n">
        <f aca="false">((I3320 + G3321) - H3321)</f>
        <v>1994.58</v>
      </c>
      <c r="J3321" s="18" t="n">
        <v>0</v>
      </c>
      <c r="K3321" s="19" t="n">
        <v>0</v>
      </c>
      <c r="L3321" s="17" t="s">
        <v>1406</v>
      </c>
    </row>
    <row r="3322" s="11" customFormat="true" ht="10.95" hidden="false" customHeight="true" outlineLevel="0" collapsed="false">
      <c r="A3322" s="16" t="n">
        <v>45206</v>
      </c>
      <c r="B3322" s="17" t="s">
        <v>1645</v>
      </c>
      <c r="C3322" s="17" t="s">
        <v>1593</v>
      </c>
      <c r="D3322" s="17" t="s">
        <v>1407</v>
      </c>
      <c r="E3322" s="17" t="s">
        <v>1647</v>
      </c>
      <c r="F3322" s="17"/>
      <c r="G3322" s="18" t="n">
        <v>1.38</v>
      </c>
      <c r="H3322" s="18" t="n">
        <v>0</v>
      </c>
      <c r="I3322" s="18" t="n">
        <f aca="false">((I3321 + G3322) - H3322)</f>
        <v>1995.96</v>
      </c>
      <c r="J3322" s="18" t="n">
        <v>0</v>
      </c>
      <c r="K3322" s="19" t="n">
        <v>0</v>
      </c>
      <c r="L3322" s="17" t="s">
        <v>1406</v>
      </c>
    </row>
    <row r="3323" s="11" customFormat="true" ht="10.95" hidden="false" customHeight="true" outlineLevel="0" collapsed="false">
      <c r="A3323" s="16" t="n">
        <v>45206</v>
      </c>
      <c r="B3323" s="17" t="s">
        <v>1645</v>
      </c>
      <c r="C3323" s="17" t="s">
        <v>1593</v>
      </c>
      <c r="D3323" s="17" t="s">
        <v>1407</v>
      </c>
      <c r="E3323" s="17" t="s">
        <v>1647</v>
      </c>
      <c r="F3323" s="17"/>
      <c r="G3323" s="18" t="n">
        <v>5.66</v>
      </c>
      <c r="H3323" s="18" t="n">
        <v>0</v>
      </c>
      <c r="I3323" s="18" t="n">
        <f aca="false">((I3322 + G3323) - H3323)</f>
        <v>2001.62</v>
      </c>
      <c r="J3323" s="18" t="n">
        <v>0</v>
      </c>
      <c r="K3323" s="19" t="n">
        <v>0</v>
      </c>
      <c r="L3323" s="17" t="s">
        <v>1406</v>
      </c>
    </row>
    <row r="3324" s="11" customFormat="true" ht="10.95" hidden="false" customHeight="true" outlineLevel="0" collapsed="false">
      <c r="A3324" s="16" t="n">
        <v>45208</v>
      </c>
      <c r="B3324" s="17" t="s">
        <v>1645</v>
      </c>
      <c r="C3324" s="17" t="s">
        <v>1593</v>
      </c>
      <c r="D3324" s="17" t="s">
        <v>1407</v>
      </c>
      <c r="E3324" s="17" t="s">
        <v>1673</v>
      </c>
      <c r="F3324" s="17" t="s">
        <v>1312</v>
      </c>
      <c r="G3324" s="18" t="n">
        <v>46.44</v>
      </c>
      <c r="H3324" s="18" t="n">
        <v>0</v>
      </c>
      <c r="I3324" s="18" t="n">
        <f aca="false">((I3323 + G3324) - H3324)</f>
        <v>2048.06</v>
      </c>
      <c r="J3324" s="18" t="n">
        <v>0</v>
      </c>
      <c r="K3324" s="19" t="n">
        <v>0</v>
      </c>
      <c r="L3324" s="17" t="s">
        <v>1406</v>
      </c>
    </row>
    <row r="3325" s="11" customFormat="true" ht="10.95" hidden="false" customHeight="true" outlineLevel="0" collapsed="false">
      <c r="A3325" s="16" t="n">
        <v>45211</v>
      </c>
      <c r="B3325" s="17" t="s">
        <v>1645</v>
      </c>
      <c r="C3325" s="17" t="s">
        <v>1593</v>
      </c>
      <c r="D3325" s="17" t="s">
        <v>1407</v>
      </c>
      <c r="E3325" s="17" t="s">
        <v>1647</v>
      </c>
      <c r="F3325" s="17"/>
      <c r="G3325" s="18" t="n">
        <v>4.02</v>
      </c>
      <c r="H3325" s="18" t="n">
        <v>0</v>
      </c>
      <c r="I3325" s="18" t="n">
        <f aca="false">((I3324 + G3325) - H3325)</f>
        <v>2052.08</v>
      </c>
      <c r="J3325" s="18" t="n">
        <v>0</v>
      </c>
      <c r="K3325" s="19" t="n">
        <v>0</v>
      </c>
      <c r="L3325" s="17" t="s">
        <v>1406</v>
      </c>
    </row>
    <row r="3326" s="11" customFormat="true" ht="10.95" hidden="false" customHeight="true" outlineLevel="0" collapsed="false">
      <c r="A3326" s="16" t="n">
        <v>45211</v>
      </c>
      <c r="B3326" s="17" t="s">
        <v>1645</v>
      </c>
      <c r="C3326" s="17" t="s">
        <v>1593</v>
      </c>
      <c r="D3326" s="17" t="s">
        <v>1407</v>
      </c>
      <c r="E3326" s="17" t="s">
        <v>1647</v>
      </c>
      <c r="F3326" s="17"/>
      <c r="G3326" s="18" t="n">
        <v>14.55</v>
      </c>
      <c r="H3326" s="18" t="n">
        <v>0</v>
      </c>
      <c r="I3326" s="18" t="n">
        <f aca="false">((I3325 + G3326) - H3326)</f>
        <v>2066.63</v>
      </c>
      <c r="J3326" s="18" t="n">
        <v>0</v>
      </c>
      <c r="K3326" s="19" t="n">
        <v>0</v>
      </c>
      <c r="L3326" s="17" t="s">
        <v>1406</v>
      </c>
    </row>
    <row r="3327" s="11" customFormat="true" ht="10.95" hidden="false" customHeight="true" outlineLevel="0" collapsed="false">
      <c r="A3327" s="16" t="n">
        <v>45211</v>
      </c>
      <c r="B3327" s="17" t="s">
        <v>1645</v>
      </c>
      <c r="C3327" s="17" t="s">
        <v>1593</v>
      </c>
      <c r="D3327" s="17" t="s">
        <v>1407</v>
      </c>
      <c r="E3327" s="17" t="s">
        <v>1647</v>
      </c>
      <c r="F3327" s="17"/>
      <c r="G3327" s="18" t="n">
        <v>14.55</v>
      </c>
      <c r="H3327" s="18" t="n">
        <v>0</v>
      </c>
      <c r="I3327" s="18" t="n">
        <f aca="false">((I3326 + G3327) - H3327)</f>
        <v>2081.18</v>
      </c>
      <c r="J3327" s="18" t="n">
        <v>0</v>
      </c>
      <c r="K3327" s="19" t="n">
        <v>0</v>
      </c>
      <c r="L3327" s="17" t="s">
        <v>1406</v>
      </c>
    </row>
    <row r="3328" s="11" customFormat="true" ht="10.95" hidden="false" customHeight="true" outlineLevel="0" collapsed="false">
      <c r="A3328" s="16" t="n">
        <v>45216</v>
      </c>
      <c r="B3328" s="17" t="s">
        <v>1645</v>
      </c>
      <c r="C3328" s="17" t="s">
        <v>1593</v>
      </c>
      <c r="D3328" s="17" t="s">
        <v>1407</v>
      </c>
      <c r="E3328" s="17" t="s">
        <v>1647</v>
      </c>
      <c r="F3328" s="17"/>
      <c r="G3328" s="18" t="n">
        <v>0.62</v>
      </c>
      <c r="H3328" s="18" t="n">
        <v>0</v>
      </c>
      <c r="I3328" s="18" t="n">
        <f aca="false">((I3327 + G3328) - H3328)</f>
        <v>2081.8</v>
      </c>
      <c r="J3328" s="18" t="n">
        <v>0</v>
      </c>
      <c r="K3328" s="19" t="n">
        <v>0</v>
      </c>
      <c r="L3328" s="17" t="s">
        <v>1406</v>
      </c>
    </row>
    <row r="3329" s="11" customFormat="true" ht="10.95" hidden="false" customHeight="true" outlineLevel="0" collapsed="false">
      <c r="A3329" s="16" t="n">
        <v>45216</v>
      </c>
      <c r="B3329" s="17" t="s">
        <v>1645</v>
      </c>
      <c r="C3329" s="17" t="s">
        <v>1593</v>
      </c>
      <c r="D3329" s="17" t="s">
        <v>1407</v>
      </c>
      <c r="E3329" s="17" t="s">
        <v>1647</v>
      </c>
      <c r="F3329" s="17"/>
      <c r="G3329" s="18" t="n">
        <v>5.02</v>
      </c>
      <c r="H3329" s="18" t="n">
        <v>0</v>
      </c>
      <c r="I3329" s="18" t="n">
        <f aca="false">((I3328 + G3329) - H3329)</f>
        <v>2086.82</v>
      </c>
      <c r="J3329" s="18" t="n">
        <v>0</v>
      </c>
      <c r="K3329" s="19" t="n">
        <v>0</v>
      </c>
      <c r="L3329" s="17" t="s">
        <v>1406</v>
      </c>
    </row>
    <row r="3330" s="11" customFormat="true" ht="10.95" hidden="false" customHeight="true" outlineLevel="0" collapsed="false">
      <c r="A3330" s="16" t="n">
        <v>45218</v>
      </c>
      <c r="B3330" s="17" t="s">
        <v>1645</v>
      </c>
      <c r="C3330" s="17" t="s">
        <v>1593</v>
      </c>
      <c r="D3330" s="17" t="s">
        <v>1407</v>
      </c>
      <c r="E3330" s="17" t="s">
        <v>1674</v>
      </c>
      <c r="F3330" s="17"/>
      <c r="G3330" s="18" t="n">
        <v>55.45</v>
      </c>
      <c r="H3330" s="18" t="n">
        <v>0</v>
      </c>
      <c r="I3330" s="18" t="n">
        <f aca="false">((I3329 + G3330) - H3330)</f>
        <v>2142.27</v>
      </c>
      <c r="J3330" s="18" t="n">
        <v>0</v>
      </c>
      <c r="K3330" s="19" t="n">
        <v>0</v>
      </c>
      <c r="L3330" s="17" t="s">
        <v>1406</v>
      </c>
    </row>
    <row r="3331" s="11" customFormat="true" ht="10.95" hidden="false" customHeight="true" outlineLevel="0" collapsed="false">
      <c r="A3331" s="16" t="n">
        <v>45218</v>
      </c>
      <c r="B3331" s="17" t="s">
        <v>1645</v>
      </c>
      <c r="C3331" s="17" t="s">
        <v>1593</v>
      </c>
      <c r="D3331" s="17" t="s">
        <v>1407</v>
      </c>
      <c r="E3331" s="17" t="s">
        <v>1647</v>
      </c>
      <c r="F3331" s="17"/>
      <c r="G3331" s="18" t="n">
        <v>30.81</v>
      </c>
      <c r="H3331" s="18" t="n">
        <v>0</v>
      </c>
      <c r="I3331" s="18" t="n">
        <f aca="false">((I3330 + G3331) - H3331)</f>
        <v>2173.08</v>
      </c>
      <c r="J3331" s="18" t="n">
        <v>0</v>
      </c>
      <c r="K3331" s="19" t="n">
        <v>0</v>
      </c>
      <c r="L3331" s="17" t="s">
        <v>1406</v>
      </c>
    </row>
    <row r="3332" s="11" customFormat="true" ht="10.95" hidden="false" customHeight="true" outlineLevel="0" collapsed="false">
      <c r="A3332" s="16" t="n">
        <v>45219</v>
      </c>
      <c r="B3332" s="17" t="s">
        <v>1645</v>
      </c>
      <c r="C3332" s="17" t="s">
        <v>1593</v>
      </c>
      <c r="D3332" s="17" t="s">
        <v>1407</v>
      </c>
      <c r="E3332" s="17" t="s">
        <v>1675</v>
      </c>
      <c r="F3332" s="17"/>
      <c r="G3332" s="18" t="n">
        <v>23.76</v>
      </c>
      <c r="H3332" s="18" t="n">
        <v>0</v>
      </c>
      <c r="I3332" s="18" t="n">
        <f aca="false">((I3331 + G3332) - H3332)</f>
        <v>2196.84</v>
      </c>
      <c r="J3332" s="18" t="n">
        <v>0</v>
      </c>
      <c r="K3332" s="19" t="n">
        <v>0</v>
      </c>
      <c r="L3332" s="17" t="s">
        <v>1406</v>
      </c>
    </row>
    <row r="3333" s="11" customFormat="true" ht="10.95" hidden="false" customHeight="true" outlineLevel="0" collapsed="false">
      <c r="A3333" s="16" t="n">
        <v>45220</v>
      </c>
      <c r="B3333" s="17" t="s">
        <v>1645</v>
      </c>
      <c r="C3333" s="17" t="s">
        <v>1593</v>
      </c>
      <c r="D3333" s="17" t="s">
        <v>1407</v>
      </c>
      <c r="E3333" s="17" t="s">
        <v>1647</v>
      </c>
      <c r="F3333" s="17"/>
      <c r="G3333" s="18" t="n">
        <v>0.95</v>
      </c>
      <c r="H3333" s="18" t="n">
        <v>0</v>
      </c>
      <c r="I3333" s="18" t="n">
        <f aca="false">((I3332 + G3333) - H3333)</f>
        <v>2197.79</v>
      </c>
      <c r="J3333" s="18" t="n">
        <v>0</v>
      </c>
      <c r="K3333" s="19" t="n">
        <v>0</v>
      </c>
      <c r="L3333" s="17" t="s">
        <v>1406</v>
      </c>
    </row>
    <row r="3334" s="11" customFormat="true" ht="10.95" hidden="false" customHeight="true" outlineLevel="0" collapsed="false">
      <c r="A3334" s="16" t="n">
        <v>45223</v>
      </c>
      <c r="B3334" s="17" t="s">
        <v>1645</v>
      </c>
      <c r="C3334" s="17" t="s">
        <v>1593</v>
      </c>
      <c r="D3334" s="17" t="s">
        <v>1407</v>
      </c>
      <c r="E3334" s="17" t="s">
        <v>1676</v>
      </c>
      <c r="F3334" s="17" t="s">
        <v>1314</v>
      </c>
      <c r="G3334" s="18" t="n">
        <v>5.01</v>
      </c>
      <c r="H3334" s="18" t="n">
        <v>0</v>
      </c>
      <c r="I3334" s="18" t="n">
        <f aca="false">((I3333 + G3334) - H3334)</f>
        <v>2202.8</v>
      </c>
      <c r="J3334" s="18" t="n">
        <v>0</v>
      </c>
      <c r="K3334" s="19" t="n">
        <v>0</v>
      </c>
      <c r="L3334" s="17" t="s">
        <v>1406</v>
      </c>
    </row>
    <row r="3335" s="11" customFormat="true" ht="10.95" hidden="false" customHeight="true" outlineLevel="0" collapsed="false">
      <c r="A3335" s="16" t="n">
        <v>45223</v>
      </c>
      <c r="B3335" s="17" t="s">
        <v>1645</v>
      </c>
      <c r="C3335" s="17" t="s">
        <v>1593</v>
      </c>
      <c r="D3335" s="17" t="s">
        <v>1407</v>
      </c>
      <c r="E3335" s="17" t="s">
        <v>1647</v>
      </c>
      <c r="F3335" s="17"/>
      <c r="G3335" s="18" t="n">
        <v>0.38</v>
      </c>
      <c r="H3335" s="18" t="n">
        <v>0</v>
      </c>
      <c r="I3335" s="18" t="n">
        <f aca="false">((I3334 + G3335) - H3335)</f>
        <v>2203.18</v>
      </c>
      <c r="J3335" s="18" t="n">
        <v>0</v>
      </c>
      <c r="K3335" s="19" t="n">
        <v>0</v>
      </c>
      <c r="L3335" s="17" t="s">
        <v>1406</v>
      </c>
    </row>
    <row r="3336" s="11" customFormat="true" ht="10.95" hidden="false" customHeight="true" outlineLevel="0" collapsed="false">
      <c r="A3336" s="16" t="n">
        <v>45223</v>
      </c>
      <c r="B3336" s="17" t="s">
        <v>1645</v>
      </c>
      <c r="C3336" s="17" t="s">
        <v>1593</v>
      </c>
      <c r="D3336" s="17" t="s">
        <v>1407</v>
      </c>
      <c r="E3336" s="17" t="s">
        <v>1647</v>
      </c>
      <c r="F3336" s="17"/>
      <c r="G3336" s="18" t="n">
        <v>8.91</v>
      </c>
      <c r="H3336" s="18" t="n">
        <v>0</v>
      </c>
      <c r="I3336" s="18" t="n">
        <f aca="false">((I3335 + G3336) - H3336)</f>
        <v>2212.09</v>
      </c>
      <c r="J3336" s="18" t="n">
        <v>0</v>
      </c>
      <c r="K3336" s="19" t="n">
        <v>0</v>
      </c>
      <c r="L3336" s="17" t="s">
        <v>1406</v>
      </c>
    </row>
    <row r="3337" s="11" customFormat="true" ht="10.95" hidden="false" customHeight="true" outlineLevel="0" collapsed="false">
      <c r="A3337" s="16" t="n">
        <v>45224</v>
      </c>
      <c r="B3337" s="17" t="s">
        <v>1645</v>
      </c>
      <c r="C3337" s="17" t="s">
        <v>1593</v>
      </c>
      <c r="D3337" s="17" t="s">
        <v>1407</v>
      </c>
      <c r="E3337" s="17" t="s">
        <v>1647</v>
      </c>
      <c r="F3337" s="17"/>
      <c r="G3337" s="18" t="n">
        <v>1.05</v>
      </c>
      <c r="H3337" s="18" t="n">
        <v>0</v>
      </c>
      <c r="I3337" s="18" t="n">
        <f aca="false">((I3336 + G3337) - H3337)</f>
        <v>2213.14</v>
      </c>
      <c r="J3337" s="18" t="n">
        <v>0</v>
      </c>
      <c r="K3337" s="19" t="n">
        <v>0</v>
      </c>
      <c r="L3337" s="17" t="s">
        <v>1406</v>
      </c>
    </row>
    <row r="3338" s="11" customFormat="true" ht="10.95" hidden="false" customHeight="true" outlineLevel="0" collapsed="false">
      <c r="A3338" s="16" t="n">
        <v>45225</v>
      </c>
      <c r="B3338" s="17" t="s">
        <v>1645</v>
      </c>
      <c r="C3338" s="17" t="s">
        <v>1593</v>
      </c>
      <c r="D3338" s="17" t="s">
        <v>1407</v>
      </c>
      <c r="E3338" s="17" t="s">
        <v>1647</v>
      </c>
      <c r="F3338" s="17"/>
      <c r="G3338" s="18" t="n">
        <v>0.38</v>
      </c>
      <c r="H3338" s="18" t="n">
        <v>0</v>
      </c>
      <c r="I3338" s="18" t="n">
        <f aca="false">((I3337 + G3338) - H3338)</f>
        <v>2213.52</v>
      </c>
      <c r="J3338" s="18" t="n">
        <v>0</v>
      </c>
      <c r="K3338" s="19" t="n">
        <v>0</v>
      </c>
      <c r="L3338" s="17" t="s">
        <v>1406</v>
      </c>
    </row>
    <row r="3339" s="11" customFormat="true" ht="10.95" hidden="false" customHeight="true" outlineLevel="0" collapsed="false">
      <c r="A3339" s="16" t="n">
        <v>45226</v>
      </c>
      <c r="B3339" s="17" t="s">
        <v>1645</v>
      </c>
      <c r="C3339" s="17" t="s">
        <v>1593</v>
      </c>
      <c r="D3339" s="17" t="s">
        <v>1407</v>
      </c>
      <c r="E3339" s="17" t="s">
        <v>1677</v>
      </c>
      <c r="F3339" s="17" t="s">
        <v>1316</v>
      </c>
      <c r="G3339" s="18" t="n">
        <v>16.68</v>
      </c>
      <c r="H3339" s="18" t="n">
        <v>0</v>
      </c>
      <c r="I3339" s="18" t="n">
        <f aca="false">((I3338 + G3339) - H3339)</f>
        <v>2230.2</v>
      </c>
      <c r="J3339" s="18" t="n">
        <v>0</v>
      </c>
      <c r="K3339" s="19" t="n">
        <v>0</v>
      </c>
      <c r="L3339" s="17" t="s">
        <v>1406</v>
      </c>
    </row>
    <row r="3340" s="11" customFormat="true" ht="10.95" hidden="false" customHeight="true" outlineLevel="0" collapsed="false">
      <c r="A3340" s="16" t="n">
        <v>45230</v>
      </c>
      <c r="B3340" s="17" t="s">
        <v>1645</v>
      </c>
      <c r="C3340" s="17" t="s">
        <v>1593</v>
      </c>
      <c r="D3340" s="17" t="s">
        <v>1407</v>
      </c>
      <c r="E3340" s="17" t="s">
        <v>1647</v>
      </c>
      <c r="F3340" s="17"/>
      <c r="G3340" s="18" t="n">
        <v>2.33</v>
      </c>
      <c r="H3340" s="18" t="n">
        <v>0</v>
      </c>
      <c r="I3340" s="18" t="n">
        <f aca="false">((I3339 + G3340) - H3340)</f>
        <v>2232.53</v>
      </c>
      <c r="J3340" s="18" t="n">
        <v>0</v>
      </c>
      <c r="K3340" s="19" t="n">
        <v>0</v>
      </c>
      <c r="L3340" s="17" t="s">
        <v>1406</v>
      </c>
    </row>
    <row r="3341" s="11" customFormat="true" ht="10.95" hidden="false" customHeight="true" outlineLevel="0" collapsed="false">
      <c r="A3341" s="16" t="n">
        <v>45230</v>
      </c>
      <c r="B3341" s="17" t="s">
        <v>1645</v>
      </c>
      <c r="C3341" s="17" t="s">
        <v>1593</v>
      </c>
      <c r="D3341" s="17" t="s">
        <v>1407</v>
      </c>
      <c r="E3341" s="17" t="s">
        <v>1647</v>
      </c>
      <c r="F3341" s="17"/>
      <c r="G3341" s="18" t="n">
        <v>7.38</v>
      </c>
      <c r="H3341" s="18" t="n">
        <v>0</v>
      </c>
      <c r="I3341" s="18" t="n">
        <f aca="false">((I3340 + G3341) - H3341)</f>
        <v>2239.91</v>
      </c>
      <c r="J3341" s="18" t="n">
        <v>0</v>
      </c>
      <c r="K3341" s="19" t="n">
        <v>0</v>
      </c>
      <c r="L3341" s="17" t="s">
        <v>1406</v>
      </c>
    </row>
    <row r="3342" s="11" customFormat="true" ht="10.95" hidden="false" customHeight="true" outlineLevel="0" collapsed="false">
      <c r="A3342" s="16" t="n">
        <v>45230</v>
      </c>
      <c r="B3342" s="17" t="s">
        <v>1645</v>
      </c>
      <c r="C3342" s="17" t="s">
        <v>1593</v>
      </c>
      <c r="D3342" s="17" t="s">
        <v>1407</v>
      </c>
      <c r="E3342" s="17" t="s">
        <v>1647</v>
      </c>
      <c r="F3342" s="17"/>
      <c r="G3342" s="18" t="n">
        <v>18.32</v>
      </c>
      <c r="H3342" s="18" t="n">
        <v>0</v>
      </c>
      <c r="I3342" s="18" t="n">
        <f aca="false">((I3341 + G3342) - H3342)</f>
        <v>2258.23</v>
      </c>
      <c r="J3342" s="18" t="n">
        <v>0</v>
      </c>
      <c r="K3342" s="19" t="n">
        <v>0</v>
      </c>
      <c r="L3342" s="17" t="s">
        <v>1406</v>
      </c>
    </row>
    <row r="3343" s="11" customFormat="true" ht="10.95" hidden="false" customHeight="true" outlineLevel="0" collapsed="false">
      <c r="A3343" s="16" t="n">
        <v>45230</v>
      </c>
      <c r="B3343" s="17" t="s">
        <v>1645</v>
      </c>
      <c r="C3343" s="17" t="s">
        <v>1593</v>
      </c>
      <c r="D3343" s="17" t="s">
        <v>1407</v>
      </c>
      <c r="E3343" s="17" t="s">
        <v>1663</v>
      </c>
      <c r="F3343" s="17"/>
      <c r="G3343" s="18" t="n">
        <v>15.71</v>
      </c>
      <c r="H3343" s="18" t="n">
        <v>0</v>
      </c>
      <c r="I3343" s="18" t="n">
        <f aca="false">((I3342 + G3343) - H3343)</f>
        <v>2273.94</v>
      </c>
      <c r="J3343" s="18" t="n">
        <v>0</v>
      </c>
      <c r="K3343" s="19" t="n">
        <v>0</v>
      </c>
      <c r="L3343" s="17" t="s">
        <v>1406</v>
      </c>
    </row>
    <row r="3344" s="11" customFormat="true" ht="10.95" hidden="false" customHeight="true" outlineLevel="0" collapsed="false">
      <c r="A3344" s="16" t="n">
        <v>45230</v>
      </c>
      <c r="B3344" s="17" t="s">
        <v>1645</v>
      </c>
      <c r="C3344" s="17" t="s">
        <v>1593</v>
      </c>
      <c r="D3344" s="17" t="s">
        <v>1407</v>
      </c>
      <c r="E3344" s="17" t="s">
        <v>1678</v>
      </c>
      <c r="F3344" s="17"/>
      <c r="G3344" s="18" t="n">
        <v>3</v>
      </c>
      <c r="H3344" s="18" t="n">
        <v>0</v>
      </c>
      <c r="I3344" s="18" t="n">
        <f aca="false">((I3343 + G3344) - H3344)</f>
        <v>2276.94</v>
      </c>
      <c r="J3344" s="18" t="n">
        <v>0</v>
      </c>
      <c r="K3344" s="19" t="n">
        <v>0</v>
      </c>
      <c r="L3344" s="17" t="s">
        <v>1406</v>
      </c>
    </row>
    <row r="3345" s="11" customFormat="true" ht="10.95" hidden="false" customHeight="true" outlineLevel="0" collapsed="false">
      <c r="A3345" s="16" t="n">
        <v>45231</v>
      </c>
      <c r="B3345" s="17" t="s">
        <v>1645</v>
      </c>
      <c r="C3345" s="17" t="s">
        <v>1593</v>
      </c>
      <c r="D3345" s="17" t="s">
        <v>1407</v>
      </c>
      <c r="E3345" s="17" t="s">
        <v>1679</v>
      </c>
      <c r="F3345" s="17" t="s">
        <v>1318</v>
      </c>
      <c r="G3345" s="18" t="n">
        <v>3.52</v>
      </c>
      <c r="H3345" s="18" t="n">
        <v>0</v>
      </c>
      <c r="I3345" s="18" t="n">
        <f aca="false">((I3344 + G3345) - H3345)</f>
        <v>2280.46</v>
      </c>
      <c r="J3345" s="18" t="n">
        <v>0</v>
      </c>
      <c r="K3345" s="19" t="n">
        <v>0</v>
      </c>
      <c r="L3345" s="17" t="s">
        <v>1406</v>
      </c>
    </row>
    <row r="3346" s="11" customFormat="true" ht="10.95" hidden="false" customHeight="true" outlineLevel="0" collapsed="false">
      <c r="A3346" s="16" t="n">
        <v>45231</v>
      </c>
      <c r="B3346" s="17" t="s">
        <v>1645</v>
      </c>
      <c r="C3346" s="17" t="s">
        <v>1593</v>
      </c>
      <c r="D3346" s="17" t="s">
        <v>1407</v>
      </c>
      <c r="E3346" s="17" t="s">
        <v>1680</v>
      </c>
      <c r="F3346" s="17" t="s">
        <v>1320</v>
      </c>
      <c r="G3346" s="18" t="n">
        <v>21.74</v>
      </c>
      <c r="H3346" s="18" t="n">
        <v>0</v>
      </c>
      <c r="I3346" s="18" t="n">
        <f aca="false">((I3345 + G3346) - H3346)</f>
        <v>2302.2</v>
      </c>
      <c r="J3346" s="18" t="n">
        <v>0</v>
      </c>
      <c r="K3346" s="19" t="n">
        <v>0</v>
      </c>
      <c r="L3346" s="17" t="s">
        <v>1406</v>
      </c>
    </row>
    <row r="3347" s="11" customFormat="true" ht="10.95" hidden="false" customHeight="true" outlineLevel="0" collapsed="false">
      <c r="A3347" s="16" t="n">
        <v>45231</v>
      </c>
      <c r="B3347" s="17" t="s">
        <v>1645</v>
      </c>
      <c r="C3347" s="17" t="s">
        <v>1593</v>
      </c>
      <c r="D3347" s="17" t="s">
        <v>1407</v>
      </c>
      <c r="E3347" s="17" t="s">
        <v>1647</v>
      </c>
      <c r="F3347" s="17"/>
      <c r="G3347" s="18" t="n">
        <v>0.71</v>
      </c>
      <c r="H3347" s="18" t="n">
        <v>0</v>
      </c>
      <c r="I3347" s="18" t="n">
        <f aca="false">((I3346 + G3347) - H3347)</f>
        <v>2302.91</v>
      </c>
      <c r="J3347" s="18" t="n">
        <v>0</v>
      </c>
      <c r="K3347" s="19" t="n">
        <v>0</v>
      </c>
      <c r="L3347" s="17" t="s">
        <v>1406</v>
      </c>
    </row>
    <row r="3348" s="11" customFormat="true" ht="10.95" hidden="false" customHeight="true" outlineLevel="0" collapsed="false">
      <c r="A3348" s="16" t="n">
        <v>45231</v>
      </c>
      <c r="B3348" s="17" t="s">
        <v>1645</v>
      </c>
      <c r="C3348" s="17" t="s">
        <v>1593</v>
      </c>
      <c r="D3348" s="17" t="s">
        <v>1407</v>
      </c>
      <c r="E3348" s="17" t="s">
        <v>1648</v>
      </c>
      <c r="F3348" s="17"/>
      <c r="G3348" s="18" t="n">
        <v>10</v>
      </c>
      <c r="H3348" s="18" t="n">
        <v>0</v>
      </c>
      <c r="I3348" s="18" t="n">
        <f aca="false">((I3347 + G3348) - H3348)</f>
        <v>2312.91</v>
      </c>
      <c r="J3348" s="18" t="n">
        <v>0</v>
      </c>
      <c r="K3348" s="19" t="n">
        <v>0</v>
      </c>
      <c r="L3348" s="17" t="s">
        <v>1406</v>
      </c>
    </row>
    <row r="3349" s="11" customFormat="true" ht="10.95" hidden="false" customHeight="true" outlineLevel="0" collapsed="false">
      <c r="A3349" s="16" t="n">
        <v>45231</v>
      </c>
      <c r="B3349" s="17" t="s">
        <v>1645</v>
      </c>
      <c r="C3349" s="17" t="s">
        <v>1593</v>
      </c>
      <c r="D3349" s="17" t="s">
        <v>1407</v>
      </c>
      <c r="E3349" s="17" t="s">
        <v>1653</v>
      </c>
      <c r="F3349" s="17"/>
      <c r="G3349" s="18" t="n">
        <v>155.42</v>
      </c>
      <c r="H3349" s="18" t="n">
        <v>0</v>
      </c>
      <c r="I3349" s="18" t="n">
        <f aca="false">((I3348 + G3349) - H3349)</f>
        <v>2468.33</v>
      </c>
      <c r="J3349" s="18" t="n">
        <v>0</v>
      </c>
      <c r="K3349" s="19" t="n">
        <v>0</v>
      </c>
      <c r="L3349" s="17" t="s">
        <v>1406</v>
      </c>
    </row>
    <row r="3350" s="11" customFormat="true" ht="10.95" hidden="false" customHeight="true" outlineLevel="0" collapsed="false">
      <c r="A3350" s="16" t="n">
        <v>45232</v>
      </c>
      <c r="B3350" s="17" t="s">
        <v>1645</v>
      </c>
      <c r="C3350" s="17" t="s">
        <v>1593</v>
      </c>
      <c r="D3350" s="17" t="s">
        <v>1407</v>
      </c>
      <c r="E3350" s="17" t="s">
        <v>1681</v>
      </c>
      <c r="F3350" s="17" t="s">
        <v>1322</v>
      </c>
      <c r="G3350" s="18" t="n">
        <v>53.13</v>
      </c>
      <c r="H3350" s="18" t="n">
        <v>0</v>
      </c>
      <c r="I3350" s="18" t="n">
        <f aca="false">((I3349 + G3350) - H3350)</f>
        <v>2521.46</v>
      </c>
      <c r="J3350" s="18" t="n">
        <v>0</v>
      </c>
      <c r="K3350" s="19" t="n">
        <v>0</v>
      </c>
      <c r="L3350" s="17" t="s">
        <v>1406</v>
      </c>
    </row>
    <row r="3351" s="11" customFormat="true" ht="10.95" hidden="false" customHeight="true" outlineLevel="0" collapsed="false">
      <c r="A3351" s="16" t="n">
        <v>45234</v>
      </c>
      <c r="B3351" s="17" t="s">
        <v>1645</v>
      </c>
      <c r="C3351" s="17" t="s">
        <v>1593</v>
      </c>
      <c r="D3351" s="17" t="s">
        <v>1407</v>
      </c>
      <c r="E3351" s="17" t="s">
        <v>1647</v>
      </c>
      <c r="F3351" s="17"/>
      <c r="G3351" s="18" t="n">
        <v>4.04</v>
      </c>
      <c r="H3351" s="18" t="n">
        <v>0</v>
      </c>
      <c r="I3351" s="18" t="n">
        <f aca="false">((I3350 + G3351) - H3351)</f>
        <v>2525.5</v>
      </c>
      <c r="J3351" s="18" t="n">
        <v>0</v>
      </c>
      <c r="K3351" s="19" t="n">
        <v>0</v>
      </c>
      <c r="L3351" s="17" t="s">
        <v>1406</v>
      </c>
    </row>
    <row r="3352" s="11" customFormat="true" ht="10.95" hidden="false" customHeight="true" outlineLevel="0" collapsed="false">
      <c r="A3352" s="16" t="n">
        <v>45237</v>
      </c>
      <c r="B3352" s="17" t="s">
        <v>1645</v>
      </c>
      <c r="C3352" s="17" t="s">
        <v>1593</v>
      </c>
      <c r="D3352" s="17" t="s">
        <v>1407</v>
      </c>
      <c r="E3352" s="17" t="s">
        <v>1647</v>
      </c>
      <c r="F3352" s="17"/>
      <c r="G3352" s="18" t="n">
        <v>1.36</v>
      </c>
      <c r="H3352" s="18" t="n">
        <v>0</v>
      </c>
      <c r="I3352" s="18" t="n">
        <f aca="false">((I3351 + G3352) - H3352)</f>
        <v>2526.86</v>
      </c>
      <c r="J3352" s="18" t="n">
        <v>0</v>
      </c>
      <c r="K3352" s="19" t="n">
        <v>0</v>
      </c>
      <c r="L3352" s="17" t="s">
        <v>1406</v>
      </c>
    </row>
    <row r="3353" s="11" customFormat="true" ht="10.95" hidden="false" customHeight="true" outlineLevel="0" collapsed="false">
      <c r="A3353" s="16" t="n">
        <v>45237</v>
      </c>
      <c r="B3353" s="17" t="s">
        <v>1645</v>
      </c>
      <c r="C3353" s="17" t="s">
        <v>1593</v>
      </c>
      <c r="D3353" s="17" t="s">
        <v>1407</v>
      </c>
      <c r="E3353" s="17" t="s">
        <v>1647</v>
      </c>
      <c r="F3353" s="17"/>
      <c r="G3353" s="18" t="n">
        <v>5.63</v>
      </c>
      <c r="H3353" s="18" t="n">
        <v>0</v>
      </c>
      <c r="I3353" s="18" t="n">
        <f aca="false">((I3352 + G3353) - H3353)</f>
        <v>2532.49</v>
      </c>
      <c r="J3353" s="18" t="n">
        <v>0</v>
      </c>
      <c r="K3353" s="19" t="n">
        <v>0</v>
      </c>
      <c r="L3353" s="17" t="s">
        <v>1406</v>
      </c>
    </row>
    <row r="3354" s="11" customFormat="true" ht="10.95" hidden="false" customHeight="true" outlineLevel="0" collapsed="false">
      <c r="A3354" s="16" t="n">
        <v>45237</v>
      </c>
      <c r="B3354" s="17" t="s">
        <v>1645</v>
      </c>
      <c r="C3354" s="17" t="s">
        <v>1593</v>
      </c>
      <c r="D3354" s="17" t="s">
        <v>1407</v>
      </c>
      <c r="E3354" s="17" t="s">
        <v>1647</v>
      </c>
      <c r="F3354" s="17"/>
      <c r="G3354" s="18" t="n">
        <v>119.27</v>
      </c>
      <c r="H3354" s="18" t="n">
        <v>0</v>
      </c>
      <c r="I3354" s="18" t="n">
        <f aca="false">((I3353 + G3354) - H3354)</f>
        <v>2651.76</v>
      </c>
      <c r="J3354" s="18" t="n">
        <v>0</v>
      </c>
      <c r="K3354" s="19" t="n">
        <v>0</v>
      </c>
      <c r="L3354" s="17" t="s">
        <v>1406</v>
      </c>
    </row>
    <row r="3355" s="11" customFormat="true" ht="10.95" hidden="false" customHeight="true" outlineLevel="0" collapsed="false">
      <c r="A3355" s="16" t="n">
        <v>45238</v>
      </c>
      <c r="B3355" s="17" t="s">
        <v>1645</v>
      </c>
      <c r="C3355" s="17" t="s">
        <v>1593</v>
      </c>
      <c r="D3355" s="17" t="s">
        <v>1407</v>
      </c>
      <c r="E3355" s="17" t="s">
        <v>1647</v>
      </c>
      <c r="F3355" s="17"/>
      <c r="G3355" s="18" t="n">
        <v>0.58</v>
      </c>
      <c r="H3355" s="18" t="n">
        <v>0</v>
      </c>
      <c r="I3355" s="18" t="n">
        <f aca="false">((I3354 + G3355) - H3355)</f>
        <v>2652.34</v>
      </c>
      <c r="J3355" s="18" t="n">
        <v>0</v>
      </c>
      <c r="K3355" s="19" t="n">
        <v>0</v>
      </c>
      <c r="L3355" s="17" t="s">
        <v>1406</v>
      </c>
    </row>
    <row r="3356" s="11" customFormat="true" ht="10.95" hidden="false" customHeight="true" outlineLevel="0" collapsed="false">
      <c r="A3356" s="16" t="n">
        <v>45239</v>
      </c>
      <c r="B3356" s="17" t="s">
        <v>1645</v>
      </c>
      <c r="C3356" s="17" t="s">
        <v>1593</v>
      </c>
      <c r="D3356" s="17" t="s">
        <v>1407</v>
      </c>
      <c r="E3356" s="17" t="s">
        <v>1682</v>
      </c>
      <c r="F3356" s="17"/>
      <c r="G3356" s="18" t="n">
        <v>22.45</v>
      </c>
      <c r="H3356" s="18" t="n">
        <v>0</v>
      </c>
      <c r="I3356" s="18" t="n">
        <f aca="false">((I3355 + G3356) - H3356)</f>
        <v>2674.79</v>
      </c>
      <c r="J3356" s="18" t="n">
        <v>0</v>
      </c>
      <c r="K3356" s="19" t="n">
        <v>0</v>
      </c>
      <c r="L3356" s="17" t="s">
        <v>1406</v>
      </c>
    </row>
    <row r="3357" s="11" customFormat="true" ht="10.95" hidden="false" customHeight="true" outlineLevel="0" collapsed="false">
      <c r="A3357" s="16" t="n">
        <v>45244</v>
      </c>
      <c r="B3357" s="17" t="s">
        <v>1645</v>
      </c>
      <c r="C3357" s="17" t="s">
        <v>1593</v>
      </c>
      <c r="D3357" s="17" t="s">
        <v>1407</v>
      </c>
      <c r="E3357" s="17" t="s">
        <v>1647</v>
      </c>
      <c r="F3357" s="17"/>
      <c r="G3357" s="18" t="n">
        <v>0.63</v>
      </c>
      <c r="H3357" s="18" t="n">
        <v>0</v>
      </c>
      <c r="I3357" s="18" t="n">
        <f aca="false">((I3356 + G3357) - H3357)</f>
        <v>2675.42</v>
      </c>
      <c r="J3357" s="18" t="n">
        <v>0</v>
      </c>
      <c r="K3357" s="19" t="n">
        <v>0</v>
      </c>
      <c r="L3357" s="17" t="s">
        <v>1406</v>
      </c>
    </row>
    <row r="3358" s="11" customFormat="true" ht="10.95" hidden="false" customHeight="true" outlineLevel="0" collapsed="false">
      <c r="A3358" s="16" t="n">
        <v>45244</v>
      </c>
      <c r="B3358" s="17" t="s">
        <v>1645</v>
      </c>
      <c r="C3358" s="17" t="s">
        <v>1593</v>
      </c>
      <c r="D3358" s="17" t="s">
        <v>1407</v>
      </c>
      <c r="E3358" s="17" t="s">
        <v>1682</v>
      </c>
      <c r="F3358" s="17"/>
      <c r="G3358" s="18" t="n">
        <v>6.29</v>
      </c>
      <c r="H3358" s="18" t="n">
        <v>0</v>
      </c>
      <c r="I3358" s="18" t="n">
        <f aca="false">((I3357 + G3358) - H3358)</f>
        <v>2681.71</v>
      </c>
      <c r="J3358" s="18" t="n">
        <v>0</v>
      </c>
      <c r="K3358" s="19" t="n">
        <v>0</v>
      </c>
      <c r="L3358" s="17" t="s">
        <v>1406</v>
      </c>
    </row>
    <row r="3359" s="11" customFormat="true" ht="10.95" hidden="false" customHeight="true" outlineLevel="0" collapsed="false">
      <c r="A3359" s="16" t="n">
        <v>45244</v>
      </c>
      <c r="B3359" s="17" t="s">
        <v>1645</v>
      </c>
      <c r="C3359" s="17" t="s">
        <v>1593</v>
      </c>
      <c r="D3359" s="17" t="s">
        <v>1407</v>
      </c>
      <c r="E3359" s="17" t="s">
        <v>1683</v>
      </c>
      <c r="F3359" s="17"/>
      <c r="G3359" s="18" t="n">
        <v>23.55</v>
      </c>
      <c r="H3359" s="18" t="n">
        <v>0</v>
      </c>
      <c r="I3359" s="18" t="n">
        <f aca="false">((I3358 + G3359) - H3359)</f>
        <v>2705.26</v>
      </c>
      <c r="J3359" s="18" t="n">
        <v>0</v>
      </c>
      <c r="K3359" s="19" t="n">
        <v>0</v>
      </c>
      <c r="L3359" s="17" t="s">
        <v>1406</v>
      </c>
    </row>
    <row r="3360" s="11" customFormat="true" ht="10.95" hidden="false" customHeight="true" outlineLevel="0" collapsed="false">
      <c r="A3360" s="16" t="n">
        <v>45246</v>
      </c>
      <c r="B3360" s="17" t="s">
        <v>1645</v>
      </c>
      <c r="C3360" s="17" t="s">
        <v>1593</v>
      </c>
      <c r="D3360" s="17" t="s">
        <v>1407</v>
      </c>
      <c r="E3360" s="17" t="s">
        <v>1647</v>
      </c>
      <c r="F3360" s="17"/>
      <c r="G3360" s="18" t="n">
        <v>5</v>
      </c>
      <c r="H3360" s="18" t="n">
        <v>0</v>
      </c>
      <c r="I3360" s="18" t="n">
        <f aca="false">((I3359 + G3360) - H3360)</f>
        <v>2710.26</v>
      </c>
      <c r="J3360" s="18" t="n">
        <v>0</v>
      </c>
      <c r="K3360" s="19" t="n">
        <v>0</v>
      </c>
      <c r="L3360" s="17" t="s">
        <v>1406</v>
      </c>
    </row>
    <row r="3361" s="11" customFormat="true" ht="10.95" hidden="false" customHeight="true" outlineLevel="0" collapsed="false">
      <c r="A3361" s="16" t="n">
        <v>45247</v>
      </c>
      <c r="B3361" s="17" t="s">
        <v>1645</v>
      </c>
      <c r="C3361" s="17" t="s">
        <v>1593</v>
      </c>
      <c r="D3361" s="17" t="s">
        <v>1407</v>
      </c>
      <c r="E3361" s="17" t="s">
        <v>1647</v>
      </c>
      <c r="F3361" s="17"/>
      <c r="G3361" s="18" t="n">
        <v>3.74</v>
      </c>
      <c r="H3361" s="18" t="n">
        <v>0</v>
      </c>
      <c r="I3361" s="18" t="n">
        <f aca="false">((I3360 + G3361) - H3361)</f>
        <v>2714</v>
      </c>
      <c r="J3361" s="18" t="n">
        <v>0</v>
      </c>
      <c r="K3361" s="19" t="n">
        <v>0</v>
      </c>
      <c r="L3361" s="17" t="s">
        <v>1406</v>
      </c>
    </row>
    <row r="3362" s="11" customFormat="true" ht="10.95" hidden="false" customHeight="true" outlineLevel="0" collapsed="false">
      <c r="A3362" s="16" t="n">
        <v>45250</v>
      </c>
      <c r="B3362" s="17" t="s">
        <v>1645</v>
      </c>
      <c r="C3362" s="17" t="s">
        <v>1593</v>
      </c>
      <c r="D3362" s="17" t="s">
        <v>1276</v>
      </c>
      <c r="E3362" s="17" t="s">
        <v>1684</v>
      </c>
      <c r="F3362" s="17"/>
      <c r="G3362" s="18" t="n">
        <v>0</v>
      </c>
      <c r="H3362" s="18" t="n">
        <v>42.73</v>
      </c>
      <c r="I3362" s="18" t="n">
        <f aca="false">((I3361 + G3362) - H3362)</f>
        <v>2671.27</v>
      </c>
      <c r="J3362" s="18" t="n">
        <v>0</v>
      </c>
      <c r="K3362" s="19" t="n">
        <v>0</v>
      </c>
      <c r="L3362" s="17" t="s">
        <v>1406</v>
      </c>
    </row>
    <row r="3363" s="11" customFormat="true" ht="10.95" hidden="false" customHeight="true" outlineLevel="0" collapsed="false">
      <c r="A3363" s="16" t="n">
        <v>45250</v>
      </c>
      <c r="B3363" s="17" t="s">
        <v>1645</v>
      </c>
      <c r="C3363" s="17" t="s">
        <v>1593</v>
      </c>
      <c r="D3363" s="17" t="s">
        <v>1276</v>
      </c>
      <c r="E3363" s="17" t="s">
        <v>1685</v>
      </c>
      <c r="F3363" s="17"/>
      <c r="G3363" s="18" t="n">
        <v>0</v>
      </c>
      <c r="H3363" s="18" t="n">
        <v>5.39</v>
      </c>
      <c r="I3363" s="18" t="n">
        <f aca="false">((I3362 + G3363) - H3363)</f>
        <v>2665.88</v>
      </c>
      <c r="J3363" s="18" t="n">
        <v>0</v>
      </c>
      <c r="K3363" s="19" t="n">
        <v>0</v>
      </c>
      <c r="L3363" s="17" t="s">
        <v>1406</v>
      </c>
    </row>
    <row r="3364" s="11" customFormat="true" ht="10.95" hidden="false" customHeight="true" outlineLevel="0" collapsed="false">
      <c r="A3364" s="16" t="n">
        <v>45251</v>
      </c>
      <c r="B3364" s="17" t="s">
        <v>1645</v>
      </c>
      <c r="C3364" s="17" t="s">
        <v>1593</v>
      </c>
      <c r="D3364" s="17" t="s">
        <v>1407</v>
      </c>
      <c r="E3364" s="17" t="s">
        <v>1647</v>
      </c>
      <c r="F3364" s="17"/>
      <c r="G3364" s="18" t="n">
        <v>0.93</v>
      </c>
      <c r="H3364" s="18" t="n">
        <v>0</v>
      </c>
      <c r="I3364" s="18" t="n">
        <f aca="false">((I3363 + G3364) - H3364)</f>
        <v>2666.81</v>
      </c>
      <c r="J3364" s="18" t="n">
        <v>0</v>
      </c>
      <c r="K3364" s="19" t="n">
        <v>0</v>
      </c>
      <c r="L3364" s="17" t="s">
        <v>1406</v>
      </c>
    </row>
    <row r="3365" s="11" customFormat="true" ht="10.95" hidden="false" customHeight="true" outlineLevel="0" collapsed="false">
      <c r="A3365" s="16" t="n">
        <v>45251</v>
      </c>
      <c r="B3365" s="17" t="s">
        <v>1645</v>
      </c>
      <c r="C3365" s="17" t="s">
        <v>1593</v>
      </c>
      <c r="D3365" s="17" t="s">
        <v>1407</v>
      </c>
      <c r="E3365" s="17" t="s">
        <v>1686</v>
      </c>
      <c r="F3365" s="17"/>
      <c r="G3365" s="18" t="n">
        <v>4.09</v>
      </c>
      <c r="H3365" s="18" t="n">
        <v>0</v>
      </c>
      <c r="I3365" s="18" t="n">
        <f aca="false">((I3364 + G3365) - H3365)</f>
        <v>2670.9</v>
      </c>
      <c r="J3365" s="18" t="n">
        <v>0</v>
      </c>
      <c r="K3365" s="19" t="n">
        <v>0</v>
      </c>
      <c r="L3365" s="17" t="s">
        <v>1406</v>
      </c>
    </row>
    <row r="3366" s="11" customFormat="true" ht="10.95" hidden="false" customHeight="true" outlineLevel="0" collapsed="false">
      <c r="A3366" s="16" t="n">
        <v>45254</v>
      </c>
      <c r="B3366" s="17" t="s">
        <v>1645</v>
      </c>
      <c r="C3366" s="17" t="s">
        <v>1593</v>
      </c>
      <c r="D3366" s="17" t="s">
        <v>1407</v>
      </c>
      <c r="E3366" s="17" t="s">
        <v>1647</v>
      </c>
      <c r="F3366" s="17"/>
      <c r="G3366" s="18" t="n">
        <v>0.37</v>
      </c>
      <c r="H3366" s="18" t="n">
        <v>0</v>
      </c>
      <c r="I3366" s="18" t="n">
        <f aca="false">((I3365 + G3366) - H3366)</f>
        <v>2671.27</v>
      </c>
      <c r="J3366" s="18" t="n">
        <v>0</v>
      </c>
      <c r="K3366" s="19" t="n">
        <v>0</v>
      </c>
      <c r="L3366" s="17" t="s">
        <v>1406</v>
      </c>
    </row>
    <row r="3367" s="11" customFormat="true" ht="10.95" hidden="false" customHeight="true" outlineLevel="0" collapsed="false">
      <c r="A3367" s="16" t="n">
        <v>45254</v>
      </c>
      <c r="B3367" s="17" t="s">
        <v>1645</v>
      </c>
      <c r="C3367" s="17" t="s">
        <v>1593</v>
      </c>
      <c r="D3367" s="17" t="s">
        <v>1407</v>
      </c>
      <c r="E3367" s="17" t="s">
        <v>1647</v>
      </c>
      <c r="F3367" s="17"/>
      <c r="G3367" s="18" t="n">
        <v>8.58</v>
      </c>
      <c r="H3367" s="18" t="n">
        <v>0</v>
      </c>
      <c r="I3367" s="18" t="n">
        <f aca="false">((I3366 + G3367) - H3367)</f>
        <v>2679.85</v>
      </c>
      <c r="J3367" s="18" t="n">
        <v>0</v>
      </c>
      <c r="K3367" s="19" t="n">
        <v>0</v>
      </c>
      <c r="L3367" s="17" t="s">
        <v>1406</v>
      </c>
    </row>
    <row r="3368" s="11" customFormat="true" ht="10.95" hidden="false" customHeight="true" outlineLevel="0" collapsed="false">
      <c r="A3368" s="16" t="n">
        <v>45255</v>
      </c>
      <c r="B3368" s="17" t="s">
        <v>1645</v>
      </c>
      <c r="C3368" s="17" t="s">
        <v>1593</v>
      </c>
      <c r="D3368" s="17" t="s">
        <v>1407</v>
      </c>
      <c r="E3368" s="17" t="s">
        <v>1647</v>
      </c>
      <c r="F3368" s="17"/>
      <c r="G3368" s="18" t="n">
        <v>1.01</v>
      </c>
      <c r="H3368" s="18" t="n">
        <v>0</v>
      </c>
      <c r="I3368" s="18" t="n">
        <f aca="false">((I3367 + G3368) - H3368)</f>
        <v>2680.86</v>
      </c>
      <c r="J3368" s="18" t="n">
        <v>0</v>
      </c>
      <c r="K3368" s="19" t="n">
        <v>0</v>
      </c>
      <c r="L3368" s="17" t="s">
        <v>1406</v>
      </c>
    </row>
    <row r="3369" s="11" customFormat="true" ht="10.95" hidden="false" customHeight="true" outlineLevel="0" collapsed="false">
      <c r="A3369" s="16" t="n">
        <v>45258</v>
      </c>
      <c r="B3369" s="17" t="s">
        <v>1645</v>
      </c>
      <c r="C3369" s="17" t="s">
        <v>1593</v>
      </c>
      <c r="D3369" s="17" t="s">
        <v>1407</v>
      </c>
      <c r="E3369" s="17" t="s">
        <v>1647</v>
      </c>
      <c r="F3369" s="17"/>
      <c r="G3369" s="18" t="n">
        <v>0.37</v>
      </c>
      <c r="H3369" s="18" t="n">
        <v>0</v>
      </c>
      <c r="I3369" s="18" t="n">
        <f aca="false">((I3368 + G3369) - H3369)</f>
        <v>2681.23</v>
      </c>
      <c r="J3369" s="18" t="n">
        <v>0</v>
      </c>
      <c r="K3369" s="19" t="n">
        <v>0</v>
      </c>
      <c r="L3369" s="17" t="s">
        <v>1406</v>
      </c>
    </row>
    <row r="3370" s="11" customFormat="true" ht="10.95" hidden="false" customHeight="true" outlineLevel="0" collapsed="false">
      <c r="A3370" s="16" t="n">
        <v>45259</v>
      </c>
      <c r="B3370" s="17" t="s">
        <v>1645</v>
      </c>
      <c r="C3370" s="17" t="s">
        <v>1593</v>
      </c>
      <c r="D3370" s="17" t="s">
        <v>1407</v>
      </c>
      <c r="E3370" s="17" t="s">
        <v>1687</v>
      </c>
      <c r="F3370" s="17" t="s">
        <v>1324</v>
      </c>
      <c r="G3370" s="18" t="n">
        <v>16.68</v>
      </c>
      <c r="H3370" s="18" t="n">
        <v>0</v>
      </c>
      <c r="I3370" s="18" t="n">
        <f aca="false">((I3369 + G3370) - H3370)</f>
        <v>2697.91</v>
      </c>
      <c r="J3370" s="18" t="n">
        <v>0</v>
      </c>
      <c r="K3370" s="19" t="n">
        <v>0</v>
      </c>
      <c r="L3370" s="17" t="s">
        <v>1406</v>
      </c>
    </row>
    <row r="3371" s="11" customFormat="true" ht="10.95" hidden="false" customHeight="true" outlineLevel="0" collapsed="false">
      <c r="A3371" s="16" t="n">
        <v>45259</v>
      </c>
      <c r="B3371" s="17" t="s">
        <v>1645</v>
      </c>
      <c r="C3371" s="17" t="s">
        <v>1593</v>
      </c>
      <c r="D3371" s="17" t="s">
        <v>1407</v>
      </c>
      <c r="E3371" s="17" t="s">
        <v>1650</v>
      </c>
      <c r="F3371" s="17"/>
      <c r="G3371" s="18" t="n">
        <v>5</v>
      </c>
      <c r="H3371" s="18" t="n">
        <v>0</v>
      </c>
      <c r="I3371" s="18" t="n">
        <f aca="false">((I3370 + G3371) - H3371)</f>
        <v>2702.91</v>
      </c>
      <c r="J3371" s="18" t="n">
        <v>0</v>
      </c>
      <c r="K3371" s="19" t="n">
        <v>0</v>
      </c>
      <c r="L3371" s="17" t="s">
        <v>1406</v>
      </c>
    </row>
    <row r="3372" s="11" customFormat="true" ht="10.95" hidden="false" customHeight="true" outlineLevel="0" collapsed="false">
      <c r="A3372" s="16" t="n">
        <v>45259</v>
      </c>
      <c r="B3372" s="17" t="s">
        <v>1645</v>
      </c>
      <c r="C3372" s="17" t="s">
        <v>1593</v>
      </c>
      <c r="D3372" s="17" t="s">
        <v>1407</v>
      </c>
      <c r="E3372" s="17" t="s">
        <v>1647</v>
      </c>
      <c r="F3372" s="17"/>
      <c r="G3372" s="18" t="n">
        <v>7.1</v>
      </c>
      <c r="H3372" s="18" t="n">
        <v>0</v>
      </c>
      <c r="I3372" s="18" t="n">
        <f aca="false">((I3371 + G3372) - H3372)</f>
        <v>2710.01</v>
      </c>
      <c r="J3372" s="18" t="n">
        <v>0</v>
      </c>
      <c r="K3372" s="19" t="n">
        <v>0</v>
      </c>
      <c r="L3372" s="17" t="s">
        <v>1406</v>
      </c>
    </row>
    <row r="3373" s="11" customFormat="true" ht="10.95" hidden="false" customHeight="true" outlineLevel="0" collapsed="false">
      <c r="A3373" s="16" t="n">
        <v>45260</v>
      </c>
      <c r="B3373" s="17" t="s">
        <v>1645</v>
      </c>
      <c r="C3373" s="17" t="s">
        <v>1593</v>
      </c>
      <c r="D3373" s="17" t="s">
        <v>1407</v>
      </c>
      <c r="E3373" s="17" t="s">
        <v>1663</v>
      </c>
      <c r="F3373" s="17"/>
      <c r="G3373" s="18" t="n">
        <v>15.15</v>
      </c>
      <c r="H3373" s="18" t="n">
        <v>0</v>
      </c>
      <c r="I3373" s="18" t="n">
        <f aca="false">((I3372 + G3373) - H3373)</f>
        <v>2725.16</v>
      </c>
      <c r="J3373" s="18" t="n">
        <v>0</v>
      </c>
      <c r="K3373" s="19" t="n">
        <v>0</v>
      </c>
      <c r="L3373" s="17" t="s">
        <v>1406</v>
      </c>
    </row>
    <row r="3374" s="11" customFormat="true" ht="10.95" hidden="false" customHeight="true" outlineLevel="0" collapsed="false">
      <c r="A3374" s="16" t="n">
        <v>45260</v>
      </c>
      <c r="B3374" s="17" t="s">
        <v>1645</v>
      </c>
      <c r="C3374" s="17" t="s">
        <v>1593</v>
      </c>
      <c r="D3374" s="17" t="s">
        <v>1407</v>
      </c>
      <c r="E3374" s="17" t="s">
        <v>1647</v>
      </c>
      <c r="F3374" s="17"/>
      <c r="G3374" s="18" t="n">
        <v>11.38</v>
      </c>
      <c r="H3374" s="18" t="n">
        <v>0</v>
      </c>
      <c r="I3374" s="18" t="n">
        <f aca="false">((I3373 + G3374) - H3374)</f>
        <v>2736.54</v>
      </c>
      <c r="J3374" s="18" t="n">
        <v>0</v>
      </c>
      <c r="K3374" s="19" t="n">
        <v>0</v>
      </c>
      <c r="L3374" s="17" t="s">
        <v>1406</v>
      </c>
    </row>
    <row r="3375" s="11" customFormat="true" ht="10.95" hidden="false" customHeight="true" outlineLevel="0" collapsed="false">
      <c r="A3375" s="16" t="n">
        <v>45261</v>
      </c>
      <c r="B3375" s="17" t="s">
        <v>1645</v>
      </c>
      <c r="C3375" s="17" t="s">
        <v>1593</v>
      </c>
      <c r="D3375" s="17" t="s">
        <v>1407</v>
      </c>
      <c r="E3375" s="17" t="s">
        <v>1688</v>
      </c>
      <c r="F3375" s="17" t="s">
        <v>1326</v>
      </c>
      <c r="G3375" s="18" t="n">
        <v>3.47</v>
      </c>
      <c r="H3375" s="18" t="n">
        <v>0</v>
      </c>
      <c r="I3375" s="18" t="n">
        <f aca="false">((I3374 + G3375) - H3375)</f>
        <v>2740.01</v>
      </c>
      <c r="J3375" s="18" t="n">
        <v>0</v>
      </c>
      <c r="K3375" s="19" t="n">
        <v>0</v>
      </c>
      <c r="L3375" s="17" t="s">
        <v>1406</v>
      </c>
    </row>
    <row r="3376" s="11" customFormat="true" ht="10.95" hidden="false" customHeight="true" outlineLevel="0" collapsed="false">
      <c r="A3376" s="16" t="n">
        <v>45261</v>
      </c>
      <c r="B3376" s="17" t="s">
        <v>1645</v>
      </c>
      <c r="C3376" s="17" t="s">
        <v>1593</v>
      </c>
      <c r="D3376" s="17" t="s">
        <v>1407</v>
      </c>
      <c r="E3376" s="17" t="s">
        <v>1647</v>
      </c>
      <c r="F3376" s="17"/>
      <c r="G3376" s="18" t="n">
        <v>2.32</v>
      </c>
      <c r="H3376" s="18" t="n">
        <v>0</v>
      </c>
      <c r="I3376" s="18" t="n">
        <f aca="false">((I3375 + G3376) - H3376)</f>
        <v>2742.33</v>
      </c>
      <c r="J3376" s="18" t="n">
        <v>0</v>
      </c>
      <c r="K3376" s="19" t="n">
        <v>0</v>
      </c>
      <c r="L3376" s="17" t="s">
        <v>1406</v>
      </c>
    </row>
    <row r="3377" s="11" customFormat="true" ht="10.95" hidden="false" customHeight="true" outlineLevel="0" collapsed="false">
      <c r="A3377" s="16" t="n">
        <v>45261</v>
      </c>
      <c r="B3377" s="17" t="s">
        <v>1645</v>
      </c>
      <c r="C3377" s="17" t="s">
        <v>1593</v>
      </c>
      <c r="D3377" s="17" t="s">
        <v>1407</v>
      </c>
      <c r="E3377" s="17" t="s">
        <v>1648</v>
      </c>
      <c r="F3377" s="17"/>
      <c r="G3377" s="18" t="n">
        <v>10</v>
      </c>
      <c r="H3377" s="18" t="n">
        <v>0</v>
      </c>
      <c r="I3377" s="18" t="n">
        <f aca="false">((I3376 + G3377) - H3377)</f>
        <v>2752.33</v>
      </c>
      <c r="J3377" s="18" t="n">
        <v>0</v>
      </c>
      <c r="K3377" s="19" t="n">
        <v>0</v>
      </c>
      <c r="L3377" s="17" t="s">
        <v>1406</v>
      </c>
    </row>
    <row r="3378" s="11" customFormat="true" ht="10.95" hidden="false" customHeight="true" outlineLevel="0" collapsed="false">
      <c r="A3378" s="16" t="n">
        <v>45261</v>
      </c>
      <c r="B3378" s="17" t="s">
        <v>1645</v>
      </c>
      <c r="C3378" s="17" t="s">
        <v>1593</v>
      </c>
      <c r="D3378" s="17" t="s">
        <v>1407</v>
      </c>
      <c r="E3378" s="17" t="s">
        <v>1647</v>
      </c>
      <c r="F3378" s="17"/>
      <c r="G3378" s="18" t="n">
        <v>17.63</v>
      </c>
      <c r="H3378" s="18" t="n">
        <v>0</v>
      </c>
      <c r="I3378" s="18" t="n">
        <f aca="false">((I3377 + G3378) - H3378)</f>
        <v>2769.96</v>
      </c>
      <c r="J3378" s="18" t="n">
        <v>0</v>
      </c>
      <c r="K3378" s="19" t="n">
        <v>0</v>
      </c>
      <c r="L3378" s="17" t="s">
        <v>1406</v>
      </c>
    </row>
    <row r="3379" s="11" customFormat="true" ht="10.95" hidden="false" customHeight="true" outlineLevel="0" collapsed="false">
      <c r="A3379" s="16" t="n">
        <v>45261</v>
      </c>
      <c r="B3379" s="17" t="s">
        <v>1645</v>
      </c>
      <c r="C3379" s="17" t="s">
        <v>1593</v>
      </c>
      <c r="D3379" s="17" t="s">
        <v>1407</v>
      </c>
      <c r="E3379" s="17" t="s">
        <v>1665</v>
      </c>
      <c r="F3379" s="17"/>
      <c r="G3379" s="18" t="n">
        <v>279.23</v>
      </c>
      <c r="H3379" s="18" t="n">
        <v>0</v>
      </c>
      <c r="I3379" s="18" t="n">
        <f aca="false">((I3378 + G3379) - H3379)</f>
        <v>3049.19</v>
      </c>
      <c r="J3379" s="18" t="n">
        <v>0</v>
      </c>
      <c r="K3379" s="19" t="n">
        <v>0</v>
      </c>
      <c r="L3379" s="17" t="s">
        <v>1406</v>
      </c>
    </row>
    <row r="3380" s="11" customFormat="true" ht="10.95" hidden="false" customHeight="true" outlineLevel="0" collapsed="false">
      <c r="A3380" s="16" t="n">
        <v>45261</v>
      </c>
      <c r="B3380" s="17" t="s">
        <v>1645</v>
      </c>
      <c r="C3380" s="17" t="s">
        <v>1593</v>
      </c>
      <c r="D3380" s="17" t="s">
        <v>1407</v>
      </c>
      <c r="E3380" s="17" t="s">
        <v>1653</v>
      </c>
      <c r="F3380" s="17"/>
      <c r="G3380" s="18" t="n">
        <v>151.33</v>
      </c>
      <c r="H3380" s="18" t="n">
        <v>0</v>
      </c>
      <c r="I3380" s="18" t="n">
        <f aca="false">((I3379 + G3380) - H3380)</f>
        <v>3200.52</v>
      </c>
      <c r="J3380" s="18" t="n">
        <v>0</v>
      </c>
      <c r="K3380" s="19" t="n">
        <v>0</v>
      </c>
      <c r="L3380" s="17" t="s">
        <v>1406</v>
      </c>
    </row>
    <row r="3381" s="11" customFormat="true" ht="10.95" hidden="false" customHeight="true" outlineLevel="0" collapsed="false">
      <c r="A3381" s="16" t="n">
        <v>45262</v>
      </c>
      <c r="B3381" s="17" t="s">
        <v>1645</v>
      </c>
      <c r="C3381" s="17" t="s">
        <v>1593</v>
      </c>
      <c r="D3381" s="17" t="s">
        <v>1407</v>
      </c>
      <c r="E3381" s="17" t="s">
        <v>1689</v>
      </c>
      <c r="F3381" s="17" t="s">
        <v>1328</v>
      </c>
      <c r="G3381" s="18" t="n">
        <v>55.57</v>
      </c>
      <c r="H3381" s="18" t="n">
        <v>0</v>
      </c>
      <c r="I3381" s="18" t="n">
        <f aca="false">((I3380 + G3381) - H3381)</f>
        <v>3256.09</v>
      </c>
      <c r="J3381" s="18" t="n">
        <v>0</v>
      </c>
      <c r="K3381" s="19" t="n">
        <v>0</v>
      </c>
      <c r="L3381" s="17" t="s">
        <v>1406</v>
      </c>
    </row>
    <row r="3382" s="11" customFormat="true" ht="10.95" hidden="false" customHeight="true" outlineLevel="0" collapsed="false">
      <c r="A3382" s="16" t="n">
        <v>45262</v>
      </c>
      <c r="B3382" s="17" t="s">
        <v>1645</v>
      </c>
      <c r="C3382" s="17" t="s">
        <v>1593</v>
      </c>
      <c r="D3382" s="17" t="s">
        <v>1407</v>
      </c>
      <c r="E3382" s="17" t="s">
        <v>1647</v>
      </c>
      <c r="F3382" s="17"/>
      <c r="G3382" s="18" t="n">
        <v>0.68</v>
      </c>
      <c r="H3382" s="18" t="n">
        <v>0</v>
      </c>
      <c r="I3382" s="18" t="n">
        <f aca="false">((I3381 + G3382) - H3382)</f>
        <v>3256.77</v>
      </c>
      <c r="J3382" s="18" t="n">
        <v>0</v>
      </c>
      <c r="K3382" s="19" t="n">
        <v>0</v>
      </c>
      <c r="L3382" s="17" t="s">
        <v>1406</v>
      </c>
    </row>
    <row r="3383" s="11" customFormat="true" ht="10.95" hidden="false" customHeight="true" outlineLevel="0" collapsed="false">
      <c r="A3383" s="16" t="n">
        <v>45264</v>
      </c>
      <c r="B3383" s="17" t="s">
        <v>1645</v>
      </c>
      <c r="C3383" s="17" t="s">
        <v>1593</v>
      </c>
      <c r="D3383" s="17" t="s">
        <v>1407</v>
      </c>
      <c r="E3383" s="17" t="s">
        <v>1690</v>
      </c>
      <c r="F3383" s="17" t="s">
        <v>1691</v>
      </c>
      <c r="G3383" s="18" t="n">
        <v>42.26</v>
      </c>
      <c r="H3383" s="18" t="n">
        <v>0</v>
      </c>
      <c r="I3383" s="18" t="n">
        <f aca="false">((I3382 + G3383) - H3383)</f>
        <v>3299.03</v>
      </c>
      <c r="J3383" s="18" t="n">
        <v>0</v>
      </c>
      <c r="K3383" s="19" t="n">
        <v>0</v>
      </c>
      <c r="L3383" s="17" t="s">
        <v>1406</v>
      </c>
    </row>
    <row r="3384" s="11" customFormat="true" ht="10.95" hidden="false" customHeight="true" outlineLevel="0" collapsed="false">
      <c r="A3384" s="16" t="n">
        <v>45265</v>
      </c>
      <c r="B3384" s="17" t="s">
        <v>1645</v>
      </c>
      <c r="C3384" s="17" t="s">
        <v>1593</v>
      </c>
      <c r="D3384" s="17" t="s">
        <v>1407</v>
      </c>
      <c r="E3384" s="17" t="s">
        <v>1647</v>
      </c>
      <c r="F3384" s="17"/>
      <c r="G3384" s="18" t="n">
        <v>1.17</v>
      </c>
      <c r="H3384" s="18" t="n">
        <v>0</v>
      </c>
      <c r="I3384" s="18" t="n">
        <f aca="false">((I3383 + G3384) - H3384)</f>
        <v>3300.2</v>
      </c>
      <c r="J3384" s="18" t="n">
        <v>0</v>
      </c>
      <c r="K3384" s="19" t="n">
        <v>0</v>
      </c>
      <c r="L3384" s="17" t="s">
        <v>1406</v>
      </c>
    </row>
    <row r="3385" s="11" customFormat="true" ht="10.95" hidden="false" customHeight="true" outlineLevel="0" collapsed="false">
      <c r="A3385" s="16" t="n">
        <v>45265</v>
      </c>
      <c r="B3385" s="17" t="s">
        <v>1645</v>
      </c>
      <c r="C3385" s="17" t="s">
        <v>1593</v>
      </c>
      <c r="D3385" s="17" t="s">
        <v>1407</v>
      </c>
      <c r="E3385" s="17" t="s">
        <v>1647</v>
      </c>
      <c r="F3385" s="17"/>
      <c r="G3385" s="18" t="n">
        <v>5.42</v>
      </c>
      <c r="H3385" s="18" t="n">
        <v>0</v>
      </c>
      <c r="I3385" s="18" t="n">
        <f aca="false">((I3384 + G3385) - H3385)</f>
        <v>3305.62</v>
      </c>
      <c r="J3385" s="18" t="n">
        <v>0</v>
      </c>
      <c r="K3385" s="19" t="n">
        <v>0</v>
      </c>
      <c r="L3385" s="17" t="s">
        <v>1406</v>
      </c>
    </row>
    <row r="3386" s="11" customFormat="true" ht="10.95" hidden="false" customHeight="true" outlineLevel="0" collapsed="false">
      <c r="A3386" s="16" t="n">
        <v>45267</v>
      </c>
      <c r="B3386" s="17" t="s">
        <v>1645</v>
      </c>
      <c r="C3386" s="17" t="s">
        <v>1593</v>
      </c>
      <c r="D3386" s="17" t="s">
        <v>1407</v>
      </c>
      <c r="E3386" s="17" t="s">
        <v>1647</v>
      </c>
      <c r="F3386" s="17"/>
      <c r="G3386" s="18" t="n">
        <v>1.32</v>
      </c>
      <c r="H3386" s="18" t="n">
        <v>0</v>
      </c>
      <c r="I3386" s="18" t="n">
        <f aca="false">((I3385 + G3386) - H3386)</f>
        <v>3306.94</v>
      </c>
      <c r="J3386" s="18" t="n">
        <v>0</v>
      </c>
      <c r="K3386" s="19" t="n">
        <v>0</v>
      </c>
      <c r="L3386" s="17" t="s">
        <v>1406</v>
      </c>
    </row>
    <row r="3387" s="11" customFormat="true" ht="10.95" hidden="false" customHeight="true" outlineLevel="0" collapsed="false">
      <c r="A3387" s="16" t="n">
        <v>45267</v>
      </c>
      <c r="B3387" s="17" t="s">
        <v>1645</v>
      </c>
      <c r="C3387" s="17" t="s">
        <v>1593</v>
      </c>
      <c r="D3387" s="17" t="s">
        <v>1407</v>
      </c>
      <c r="E3387" s="17" t="s">
        <v>1647</v>
      </c>
      <c r="F3387" s="17"/>
      <c r="G3387" s="18" t="n">
        <v>7.19</v>
      </c>
      <c r="H3387" s="18" t="n">
        <v>0</v>
      </c>
      <c r="I3387" s="18" t="n">
        <f aca="false">((I3386 + G3387) - H3387)</f>
        <v>3314.13</v>
      </c>
      <c r="J3387" s="18" t="n">
        <v>0</v>
      </c>
      <c r="K3387" s="19" t="n">
        <v>0</v>
      </c>
      <c r="L3387" s="17" t="s">
        <v>1406</v>
      </c>
    </row>
    <row r="3388" s="11" customFormat="true" ht="10.95" hidden="false" customHeight="true" outlineLevel="0" collapsed="false">
      <c r="A3388" s="16" t="n">
        <v>45267</v>
      </c>
      <c r="B3388" s="17" t="s">
        <v>1645</v>
      </c>
      <c r="C3388" s="17" t="s">
        <v>1593</v>
      </c>
      <c r="D3388" s="17" t="s">
        <v>1407</v>
      </c>
      <c r="E3388" s="17" t="s">
        <v>1647</v>
      </c>
      <c r="F3388" s="17"/>
      <c r="G3388" s="18" t="n">
        <v>7.19</v>
      </c>
      <c r="H3388" s="18" t="n">
        <v>0</v>
      </c>
      <c r="I3388" s="18" t="n">
        <f aca="false">((I3387 + G3388) - H3388)</f>
        <v>3321.32</v>
      </c>
      <c r="J3388" s="18" t="n">
        <v>0</v>
      </c>
      <c r="K3388" s="19" t="n">
        <v>0</v>
      </c>
      <c r="L3388" s="17" t="s">
        <v>1406</v>
      </c>
    </row>
    <row r="3389" s="11" customFormat="true" ht="10.95" hidden="false" customHeight="true" outlineLevel="0" collapsed="false">
      <c r="A3389" s="16" t="n">
        <v>45267</v>
      </c>
      <c r="B3389" s="17" t="s">
        <v>1645</v>
      </c>
      <c r="C3389" s="17" t="s">
        <v>1593</v>
      </c>
      <c r="D3389" s="17" t="s">
        <v>1407</v>
      </c>
      <c r="E3389" s="17" t="s">
        <v>1647</v>
      </c>
      <c r="F3389" s="17"/>
      <c r="G3389" s="18" t="n">
        <v>7.19</v>
      </c>
      <c r="H3389" s="18" t="n">
        <v>0</v>
      </c>
      <c r="I3389" s="18" t="n">
        <f aca="false">((I3388 + G3389) - H3389)</f>
        <v>3328.51</v>
      </c>
      <c r="J3389" s="18" t="n">
        <v>0</v>
      </c>
      <c r="K3389" s="19" t="n">
        <v>0</v>
      </c>
      <c r="L3389" s="17" t="s">
        <v>1406</v>
      </c>
    </row>
    <row r="3390" s="11" customFormat="true" ht="10.95" hidden="false" customHeight="true" outlineLevel="0" collapsed="false">
      <c r="A3390" s="16" t="n">
        <v>45267</v>
      </c>
      <c r="B3390" s="17" t="s">
        <v>1645</v>
      </c>
      <c r="C3390" s="17" t="s">
        <v>1593</v>
      </c>
      <c r="D3390" s="17" t="s">
        <v>1407</v>
      </c>
      <c r="E3390" s="17" t="s">
        <v>1647</v>
      </c>
      <c r="F3390" s="17"/>
      <c r="G3390" s="18" t="n">
        <v>38.65</v>
      </c>
      <c r="H3390" s="18" t="n">
        <v>0</v>
      </c>
      <c r="I3390" s="18" t="n">
        <f aca="false">((I3389 + G3390) - H3390)</f>
        <v>3367.16</v>
      </c>
      <c r="J3390" s="18" t="n">
        <v>0</v>
      </c>
      <c r="K3390" s="19" t="n">
        <v>0</v>
      </c>
      <c r="L3390" s="17" t="s">
        <v>1406</v>
      </c>
    </row>
    <row r="3391" s="11" customFormat="true" ht="10.95" hidden="false" customHeight="true" outlineLevel="0" collapsed="false">
      <c r="A3391" s="16" t="n">
        <v>45267</v>
      </c>
      <c r="B3391" s="17" t="s">
        <v>1645</v>
      </c>
      <c r="C3391" s="17" t="s">
        <v>1593</v>
      </c>
      <c r="D3391" s="17" t="s">
        <v>1407</v>
      </c>
      <c r="E3391" s="17" t="s">
        <v>1647</v>
      </c>
      <c r="F3391" s="17"/>
      <c r="G3391" s="18" t="n">
        <v>47.75</v>
      </c>
      <c r="H3391" s="18" t="n">
        <v>0</v>
      </c>
      <c r="I3391" s="18" t="n">
        <f aca="false">((I3390 + G3391) - H3391)</f>
        <v>3414.91</v>
      </c>
      <c r="J3391" s="18" t="n">
        <v>0</v>
      </c>
      <c r="K3391" s="19" t="n">
        <v>0</v>
      </c>
      <c r="L3391" s="17" t="s">
        <v>1406</v>
      </c>
    </row>
    <row r="3392" s="11" customFormat="true" ht="10.95" hidden="false" customHeight="true" outlineLevel="0" collapsed="false">
      <c r="A3392" s="16" t="n">
        <v>45267</v>
      </c>
      <c r="B3392" s="17" t="s">
        <v>1645</v>
      </c>
      <c r="C3392" s="17" t="s">
        <v>1593</v>
      </c>
      <c r="D3392" s="17" t="s">
        <v>1407</v>
      </c>
      <c r="E3392" s="17" t="s">
        <v>1647</v>
      </c>
      <c r="F3392" s="17"/>
      <c r="G3392" s="18" t="n">
        <v>116.4</v>
      </c>
      <c r="H3392" s="18" t="n">
        <v>0</v>
      </c>
      <c r="I3392" s="18" t="n">
        <f aca="false">((I3391 + G3392) - H3392)</f>
        <v>3531.31</v>
      </c>
      <c r="J3392" s="18" t="n">
        <v>0</v>
      </c>
      <c r="K3392" s="19" t="n">
        <v>0</v>
      </c>
      <c r="L3392" s="17" t="s">
        <v>1406</v>
      </c>
    </row>
    <row r="3393" s="11" customFormat="true" ht="10.95" hidden="false" customHeight="true" outlineLevel="0" collapsed="false">
      <c r="A3393" s="16" t="n">
        <v>45268</v>
      </c>
      <c r="B3393" s="17" t="s">
        <v>1645</v>
      </c>
      <c r="C3393" s="17" t="s">
        <v>1593</v>
      </c>
      <c r="D3393" s="17" t="s">
        <v>1407</v>
      </c>
      <c r="E3393" s="17" t="s">
        <v>1647</v>
      </c>
      <c r="F3393" s="17"/>
      <c r="G3393" s="18" t="n">
        <v>3.86</v>
      </c>
      <c r="H3393" s="18" t="n">
        <v>0</v>
      </c>
      <c r="I3393" s="18" t="n">
        <f aca="false">((I3392 + G3393) - H3393)</f>
        <v>3535.17</v>
      </c>
      <c r="J3393" s="18" t="n">
        <v>0</v>
      </c>
      <c r="K3393" s="19" t="n">
        <v>0</v>
      </c>
      <c r="L3393" s="17" t="s">
        <v>1406</v>
      </c>
    </row>
    <row r="3394" s="11" customFormat="true" ht="10.95" hidden="false" customHeight="true" outlineLevel="0" collapsed="false">
      <c r="A3394" s="16" t="n">
        <v>45272</v>
      </c>
      <c r="B3394" s="17" t="s">
        <v>1645</v>
      </c>
      <c r="C3394" s="17" t="s">
        <v>1593</v>
      </c>
      <c r="D3394" s="17" t="s">
        <v>1407</v>
      </c>
      <c r="E3394" s="17" t="s">
        <v>1692</v>
      </c>
      <c r="F3394" s="17"/>
      <c r="G3394" s="18" t="n">
        <v>5.5</v>
      </c>
      <c r="H3394" s="18" t="n">
        <v>0</v>
      </c>
      <c r="I3394" s="18" t="n">
        <f aca="false">((I3393 + G3394) - H3394)</f>
        <v>3540.67</v>
      </c>
      <c r="J3394" s="18" t="n">
        <v>0</v>
      </c>
      <c r="K3394" s="19" t="n">
        <v>0</v>
      </c>
      <c r="L3394" s="17" t="s">
        <v>1406</v>
      </c>
    </row>
    <row r="3395" s="11" customFormat="true" ht="10.95" hidden="false" customHeight="true" outlineLevel="0" collapsed="false">
      <c r="A3395" s="16" t="n">
        <v>45273</v>
      </c>
      <c r="B3395" s="17" t="s">
        <v>1645</v>
      </c>
      <c r="C3395" s="17" t="s">
        <v>1593</v>
      </c>
      <c r="D3395" s="17" t="s">
        <v>1407</v>
      </c>
      <c r="E3395" s="17" t="s">
        <v>1693</v>
      </c>
      <c r="F3395" s="17" t="s">
        <v>1330</v>
      </c>
      <c r="G3395" s="18" t="n">
        <v>12.36</v>
      </c>
      <c r="H3395" s="18" t="n">
        <v>0</v>
      </c>
      <c r="I3395" s="18" t="n">
        <f aca="false">((I3394 + G3395) - H3395)</f>
        <v>3553.03</v>
      </c>
      <c r="J3395" s="18" t="n">
        <v>0</v>
      </c>
      <c r="K3395" s="19" t="n">
        <v>0</v>
      </c>
      <c r="L3395" s="17" t="s">
        <v>1406</v>
      </c>
    </row>
    <row r="3396" s="11" customFormat="true" ht="10.95" hidden="false" customHeight="true" outlineLevel="0" collapsed="false">
      <c r="A3396" s="16" t="n">
        <v>45273</v>
      </c>
      <c r="B3396" s="17" t="s">
        <v>1645</v>
      </c>
      <c r="C3396" s="17" t="s">
        <v>1593</v>
      </c>
      <c r="D3396" s="17" t="s">
        <v>1407</v>
      </c>
      <c r="E3396" s="17" t="s">
        <v>1694</v>
      </c>
      <c r="F3396" s="17" t="s">
        <v>1332</v>
      </c>
      <c r="G3396" s="18" t="n">
        <v>18.39</v>
      </c>
      <c r="H3396" s="18" t="n">
        <v>0</v>
      </c>
      <c r="I3396" s="18" t="n">
        <f aca="false">((I3395 + G3396) - H3396)</f>
        <v>3571.42</v>
      </c>
      <c r="J3396" s="18" t="n">
        <v>0</v>
      </c>
      <c r="K3396" s="19" t="n">
        <v>0</v>
      </c>
      <c r="L3396" s="17" t="s">
        <v>1406</v>
      </c>
    </row>
    <row r="3397" s="11" customFormat="true" ht="10.95" hidden="false" customHeight="true" outlineLevel="0" collapsed="false">
      <c r="A3397" s="16" t="n">
        <v>45275</v>
      </c>
      <c r="B3397" s="17" t="s">
        <v>1645</v>
      </c>
      <c r="C3397" s="17" t="s">
        <v>1593</v>
      </c>
      <c r="D3397" s="17" t="s">
        <v>1407</v>
      </c>
      <c r="E3397" s="17" t="s">
        <v>1695</v>
      </c>
      <c r="F3397" s="17" t="s">
        <v>1334</v>
      </c>
      <c r="G3397" s="18" t="n">
        <v>60.84</v>
      </c>
      <c r="H3397" s="18" t="n">
        <v>0</v>
      </c>
      <c r="I3397" s="18" t="n">
        <f aca="false">((I3396 + G3397) - H3397)</f>
        <v>3632.26</v>
      </c>
      <c r="J3397" s="18" t="n">
        <v>0</v>
      </c>
      <c r="K3397" s="19" t="n">
        <v>0</v>
      </c>
      <c r="L3397" s="17" t="s">
        <v>1406</v>
      </c>
    </row>
    <row r="3398" s="11" customFormat="true" ht="10.95" hidden="false" customHeight="true" outlineLevel="0" collapsed="false">
      <c r="A3398" s="16" t="n">
        <v>45275</v>
      </c>
      <c r="B3398" s="17" t="s">
        <v>1645</v>
      </c>
      <c r="C3398" s="17" t="s">
        <v>1593</v>
      </c>
      <c r="D3398" s="17" t="s">
        <v>1407</v>
      </c>
      <c r="E3398" s="17" t="s">
        <v>1696</v>
      </c>
      <c r="F3398" s="17" t="s">
        <v>1336</v>
      </c>
      <c r="G3398" s="18" t="n">
        <v>181.93</v>
      </c>
      <c r="H3398" s="18" t="n">
        <v>0</v>
      </c>
      <c r="I3398" s="18" t="n">
        <f aca="false">((I3397 + G3398) - H3398)</f>
        <v>3814.19</v>
      </c>
      <c r="J3398" s="18" t="n">
        <v>0</v>
      </c>
      <c r="K3398" s="19" t="n">
        <v>0</v>
      </c>
      <c r="L3398" s="17" t="s">
        <v>1406</v>
      </c>
    </row>
    <row r="3399" s="11" customFormat="true" ht="10.95" hidden="false" customHeight="true" outlineLevel="0" collapsed="false">
      <c r="A3399" s="16" t="n">
        <v>45275</v>
      </c>
      <c r="B3399" s="17" t="s">
        <v>1645</v>
      </c>
      <c r="C3399" s="17" t="s">
        <v>1593</v>
      </c>
      <c r="D3399" s="17" t="s">
        <v>1407</v>
      </c>
      <c r="E3399" s="17" t="s">
        <v>1697</v>
      </c>
      <c r="F3399" s="17" t="s">
        <v>1338</v>
      </c>
      <c r="G3399" s="18" t="n">
        <v>358.9</v>
      </c>
      <c r="H3399" s="18" t="n">
        <v>0</v>
      </c>
      <c r="I3399" s="18" t="n">
        <f aca="false">((I3398 + G3399) - H3399)</f>
        <v>4173.09</v>
      </c>
      <c r="J3399" s="18" t="n">
        <v>0</v>
      </c>
      <c r="K3399" s="19" t="n">
        <v>0</v>
      </c>
      <c r="L3399" s="17" t="s">
        <v>1406</v>
      </c>
    </row>
    <row r="3400" s="11" customFormat="true" ht="10.95" hidden="false" customHeight="true" outlineLevel="0" collapsed="false">
      <c r="A3400" s="16" t="n">
        <v>45275</v>
      </c>
      <c r="B3400" s="17" t="s">
        <v>1645</v>
      </c>
      <c r="C3400" s="17" t="s">
        <v>1593</v>
      </c>
      <c r="D3400" s="17" t="s">
        <v>1407</v>
      </c>
      <c r="E3400" s="17" t="s">
        <v>1647</v>
      </c>
      <c r="F3400" s="17"/>
      <c r="G3400" s="18" t="n">
        <v>0.61</v>
      </c>
      <c r="H3400" s="18" t="n">
        <v>0</v>
      </c>
      <c r="I3400" s="18" t="n">
        <f aca="false">((I3399 + G3400) - H3400)</f>
        <v>4173.7</v>
      </c>
      <c r="J3400" s="18" t="n">
        <v>0</v>
      </c>
      <c r="K3400" s="19" t="n">
        <v>0</v>
      </c>
      <c r="L3400" s="17" t="s">
        <v>1406</v>
      </c>
    </row>
    <row r="3401" s="11" customFormat="true" ht="10.95" hidden="false" customHeight="true" outlineLevel="0" collapsed="false">
      <c r="A3401" s="16" t="n">
        <v>45275</v>
      </c>
      <c r="B3401" s="17" t="s">
        <v>1645</v>
      </c>
      <c r="C3401" s="17" t="s">
        <v>1593</v>
      </c>
      <c r="D3401" s="17" t="s">
        <v>1407</v>
      </c>
      <c r="E3401" s="17" t="s">
        <v>1647</v>
      </c>
      <c r="F3401" s="17"/>
      <c r="G3401" s="18" t="n">
        <v>14.09</v>
      </c>
      <c r="H3401" s="18" t="n">
        <v>0</v>
      </c>
      <c r="I3401" s="18" t="n">
        <f aca="false">((I3400 + G3401) - H3401)</f>
        <v>4187.79</v>
      </c>
      <c r="J3401" s="18" t="n">
        <v>0</v>
      </c>
      <c r="K3401" s="19" t="n">
        <v>0</v>
      </c>
      <c r="L3401" s="17" t="s">
        <v>1406</v>
      </c>
    </row>
    <row r="3402" s="11" customFormat="true" ht="10.95" hidden="false" customHeight="true" outlineLevel="0" collapsed="false">
      <c r="A3402" s="16" t="n">
        <v>45276</v>
      </c>
      <c r="B3402" s="17" t="s">
        <v>1645</v>
      </c>
      <c r="C3402" s="17" t="s">
        <v>1593</v>
      </c>
      <c r="D3402" s="17" t="s">
        <v>1407</v>
      </c>
      <c r="E3402" s="17" t="s">
        <v>1647</v>
      </c>
      <c r="F3402" s="17"/>
      <c r="G3402" s="18" t="n">
        <v>4.84</v>
      </c>
      <c r="H3402" s="18" t="n">
        <v>0</v>
      </c>
      <c r="I3402" s="18" t="n">
        <f aca="false">((I3401 + G3402) - H3402)</f>
        <v>4192.63</v>
      </c>
      <c r="J3402" s="18" t="n">
        <v>0</v>
      </c>
      <c r="K3402" s="19" t="n">
        <v>0</v>
      </c>
      <c r="L3402" s="17" t="s">
        <v>1406</v>
      </c>
    </row>
    <row r="3403" s="11" customFormat="true" ht="10.95" hidden="false" customHeight="true" outlineLevel="0" collapsed="false">
      <c r="A3403" s="16" t="n">
        <v>45277</v>
      </c>
      <c r="B3403" s="17" t="s">
        <v>1645</v>
      </c>
      <c r="C3403" s="17" t="s">
        <v>1593</v>
      </c>
      <c r="D3403" s="17" t="s">
        <v>1407</v>
      </c>
      <c r="E3403" s="17" t="s">
        <v>1698</v>
      </c>
      <c r="F3403" s="17"/>
      <c r="G3403" s="18" t="n">
        <v>3</v>
      </c>
      <c r="H3403" s="18" t="n">
        <v>0</v>
      </c>
      <c r="I3403" s="18" t="n">
        <f aca="false">((I3402 + G3403) - H3403)</f>
        <v>4195.63</v>
      </c>
      <c r="J3403" s="18" t="n">
        <v>0</v>
      </c>
      <c r="K3403" s="19" t="n">
        <v>0</v>
      </c>
      <c r="L3403" s="17" t="s">
        <v>1406</v>
      </c>
    </row>
    <row r="3404" s="11" customFormat="true" ht="10.95" hidden="false" customHeight="true" outlineLevel="0" collapsed="false">
      <c r="A3404" s="16" t="n">
        <v>45279</v>
      </c>
      <c r="B3404" s="17" t="s">
        <v>1645</v>
      </c>
      <c r="C3404" s="17" t="s">
        <v>1593</v>
      </c>
      <c r="D3404" s="17" t="s">
        <v>1407</v>
      </c>
      <c r="E3404" s="17" t="s">
        <v>1647</v>
      </c>
      <c r="F3404" s="17"/>
      <c r="G3404" s="18" t="n">
        <v>6.95</v>
      </c>
      <c r="H3404" s="18" t="n">
        <v>0</v>
      </c>
      <c r="I3404" s="18" t="n">
        <f aca="false">((I3403 + G3404) - H3404)</f>
        <v>4202.58</v>
      </c>
      <c r="J3404" s="18" t="n">
        <v>0</v>
      </c>
      <c r="K3404" s="19" t="n">
        <v>0</v>
      </c>
      <c r="L3404" s="17" t="s">
        <v>1406</v>
      </c>
    </row>
    <row r="3405" s="11" customFormat="true" ht="10.95" hidden="false" customHeight="true" outlineLevel="0" collapsed="false">
      <c r="A3405" s="16" t="n">
        <v>45279</v>
      </c>
      <c r="B3405" s="17" t="s">
        <v>1645</v>
      </c>
      <c r="C3405" s="17" t="s">
        <v>1593</v>
      </c>
      <c r="D3405" s="17" t="s">
        <v>1407</v>
      </c>
      <c r="E3405" s="17" t="s">
        <v>1699</v>
      </c>
      <c r="F3405" s="17" t="s">
        <v>1700</v>
      </c>
      <c r="G3405" s="18" t="n">
        <v>39.47</v>
      </c>
      <c r="H3405" s="18" t="n">
        <v>0</v>
      </c>
      <c r="I3405" s="18" t="n">
        <f aca="false">((I3404 + G3405) - H3405)</f>
        <v>4242.05</v>
      </c>
      <c r="J3405" s="18" t="n">
        <v>0</v>
      </c>
      <c r="K3405" s="19" t="n">
        <v>0</v>
      </c>
      <c r="L3405" s="17" t="s">
        <v>1406</v>
      </c>
    </row>
    <row r="3406" s="11" customFormat="true" ht="10.95" hidden="false" customHeight="true" outlineLevel="0" collapsed="false">
      <c r="A3406" s="16" t="n">
        <v>45280</v>
      </c>
      <c r="B3406" s="17" t="s">
        <v>1645</v>
      </c>
      <c r="C3406" s="17" t="s">
        <v>1593</v>
      </c>
      <c r="D3406" s="17" t="s">
        <v>1407</v>
      </c>
      <c r="E3406" s="17" t="s">
        <v>1701</v>
      </c>
      <c r="F3406" s="17" t="s">
        <v>1340</v>
      </c>
      <c r="G3406" s="18" t="n">
        <v>35.1</v>
      </c>
      <c r="H3406" s="18" t="n">
        <v>0</v>
      </c>
      <c r="I3406" s="18" t="n">
        <f aca="false">((I3405 + G3406) - H3406)</f>
        <v>4277.15</v>
      </c>
      <c r="J3406" s="18" t="n">
        <v>0</v>
      </c>
      <c r="K3406" s="19" t="n">
        <v>0</v>
      </c>
      <c r="L3406" s="17" t="s">
        <v>1406</v>
      </c>
    </row>
    <row r="3407" s="11" customFormat="true" ht="10.95" hidden="false" customHeight="true" outlineLevel="0" collapsed="false">
      <c r="A3407" s="16" t="n">
        <v>45281</v>
      </c>
      <c r="B3407" s="17" t="s">
        <v>1645</v>
      </c>
      <c r="C3407" s="17" t="s">
        <v>1593</v>
      </c>
      <c r="D3407" s="17" t="s">
        <v>1407</v>
      </c>
      <c r="E3407" s="17" t="s">
        <v>1647</v>
      </c>
      <c r="F3407" s="17"/>
      <c r="G3407" s="18" t="n">
        <v>0.9</v>
      </c>
      <c r="H3407" s="18" t="n">
        <v>0</v>
      </c>
      <c r="I3407" s="18" t="n">
        <f aca="false">((I3406 + G3407) - H3407)</f>
        <v>4278.05</v>
      </c>
      <c r="J3407" s="18" t="n">
        <v>0</v>
      </c>
      <c r="K3407" s="19" t="n">
        <v>0</v>
      </c>
      <c r="L3407" s="17" t="s">
        <v>1406</v>
      </c>
    </row>
    <row r="3408" s="11" customFormat="true" ht="10.95" hidden="false" customHeight="true" outlineLevel="0" collapsed="false">
      <c r="A3408" s="16" t="n">
        <v>45281</v>
      </c>
      <c r="B3408" s="17" t="s">
        <v>1645</v>
      </c>
      <c r="C3408" s="17" t="s">
        <v>1593</v>
      </c>
      <c r="D3408" s="17" t="s">
        <v>1407</v>
      </c>
      <c r="E3408" s="17" t="s">
        <v>1653</v>
      </c>
      <c r="F3408" s="17"/>
      <c r="G3408" s="18" t="n">
        <v>4.09</v>
      </c>
      <c r="H3408" s="18" t="n">
        <v>0</v>
      </c>
      <c r="I3408" s="18" t="n">
        <f aca="false">((I3407 + G3408) - H3408)</f>
        <v>4282.14</v>
      </c>
      <c r="J3408" s="18" t="n">
        <v>0</v>
      </c>
      <c r="K3408" s="19" t="n">
        <v>0</v>
      </c>
      <c r="L3408" s="17" t="s">
        <v>1406</v>
      </c>
    </row>
    <row r="3409" s="11" customFormat="true" ht="10.95" hidden="false" customHeight="true" outlineLevel="0" collapsed="false">
      <c r="A3409" s="16" t="n">
        <v>45283</v>
      </c>
      <c r="B3409" s="17" t="s">
        <v>1645</v>
      </c>
      <c r="C3409" s="17" t="s">
        <v>1593</v>
      </c>
      <c r="D3409" s="17" t="s">
        <v>1407</v>
      </c>
      <c r="E3409" s="17" t="s">
        <v>1647</v>
      </c>
      <c r="F3409" s="17"/>
      <c r="G3409" s="18" t="n">
        <v>0.36</v>
      </c>
      <c r="H3409" s="18" t="n">
        <v>0</v>
      </c>
      <c r="I3409" s="18" t="n">
        <f aca="false">((I3408 + G3409) - H3409)</f>
        <v>4282.5</v>
      </c>
      <c r="J3409" s="18" t="n">
        <v>0</v>
      </c>
      <c r="K3409" s="19" t="n">
        <v>0</v>
      </c>
      <c r="L3409" s="17" t="s">
        <v>1406</v>
      </c>
    </row>
    <row r="3410" s="11" customFormat="true" ht="10.95" hidden="false" customHeight="true" outlineLevel="0" collapsed="false">
      <c r="A3410" s="16" t="n">
        <v>45288</v>
      </c>
      <c r="B3410" s="17" t="s">
        <v>1645</v>
      </c>
      <c r="C3410" s="17" t="s">
        <v>1593</v>
      </c>
      <c r="D3410" s="17" t="s">
        <v>1407</v>
      </c>
      <c r="E3410" s="17" t="s">
        <v>1647</v>
      </c>
      <c r="F3410" s="17"/>
      <c r="G3410" s="18" t="n">
        <v>0.35</v>
      </c>
      <c r="H3410" s="18" t="n">
        <v>0</v>
      </c>
      <c r="I3410" s="18" t="n">
        <f aca="false">((I3409 + G3410) - H3410)</f>
        <v>4282.85</v>
      </c>
      <c r="J3410" s="18" t="n">
        <v>0</v>
      </c>
      <c r="K3410" s="19" t="n">
        <v>0</v>
      </c>
      <c r="L3410" s="17" t="s">
        <v>1406</v>
      </c>
    </row>
    <row r="3411" s="11" customFormat="true" ht="10.95" hidden="false" customHeight="true" outlineLevel="0" collapsed="false">
      <c r="A3411" s="16" t="n">
        <v>45288</v>
      </c>
      <c r="B3411" s="17" t="s">
        <v>1645</v>
      </c>
      <c r="C3411" s="17" t="s">
        <v>1593</v>
      </c>
      <c r="D3411" s="17" t="s">
        <v>1407</v>
      </c>
      <c r="E3411" s="17" t="s">
        <v>1647</v>
      </c>
      <c r="F3411" s="17"/>
      <c r="G3411" s="18" t="n">
        <v>0.36</v>
      </c>
      <c r="H3411" s="18" t="n">
        <v>0</v>
      </c>
      <c r="I3411" s="18" t="n">
        <f aca="false">((I3410 + G3411) - H3411)</f>
        <v>4283.21</v>
      </c>
      <c r="J3411" s="18" t="n">
        <v>0</v>
      </c>
      <c r="K3411" s="19" t="n">
        <v>0</v>
      </c>
      <c r="L3411" s="17" t="s">
        <v>1406</v>
      </c>
    </row>
    <row r="3412" s="11" customFormat="true" ht="10.95" hidden="false" customHeight="true" outlineLevel="0" collapsed="false">
      <c r="A3412" s="16" t="n">
        <v>45288</v>
      </c>
      <c r="B3412" s="17" t="s">
        <v>1645</v>
      </c>
      <c r="C3412" s="17" t="s">
        <v>1593</v>
      </c>
      <c r="D3412" s="17" t="s">
        <v>1407</v>
      </c>
      <c r="E3412" s="17" t="s">
        <v>1647</v>
      </c>
      <c r="F3412" s="17"/>
      <c r="G3412" s="18" t="n">
        <v>1.12</v>
      </c>
      <c r="H3412" s="18" t="n">
        <v>0</v>
      </c>
      <c r="I3412" s="18" t="n">
        <f aca="false">((I3411 + G3412) - H3412)</f>
        <v>4284.33</v>
      </c>
      <c r="J3412" s="18" t="n">
        <v>0</v>
      </c>
      <c r="K3412" s="19" t="n">
        <v>0</v>
      </c>
      <c r="L3412" s="17" t="s">
        <v>1406</v>
      </c>
    </row>
    <row r="3413" s="11" customFormat="true" ht="10.95" hidden="false" customHeight="true" outlineLevel="0" collapsed="false">
      <c r="A3413" s="16" t="n">
        <v>45288</v>
      </c>
      <c r="B3413" s="17" t="s">
        <v>1645</v>
      </c>
      <c r="C3413" s="17" t="s">
        <v>1593</v>
      </c>
      <c r="D3413" s="17" t="s">
        <v>1407</v>
      </c>
      <c r="E3413" s="17" t="s">
        <v>1647</v>
      </c>
      <c r="F3413" s="17"/>
      <c r="G3413" s="18" t="n">
        <v>1.76</v>
      </c>
      <c r="H3413" s="18" t="n">
        <v>0</v>
      </c>
      <c r="I3413" s="18" t="n">
        <f aca="false">((I3412 + G3413) - H3413)</f>
        <v>4286.09</v>
      </c>
      <c r="J3413" s="18" t="n">
        <v>0</v>
      </c>
      <c r="K3413" s="19" t="n">
        <v>0</v>
      </c>
      <c r="L3413" s="17" t="s">
        <v>1406</v>
      </c>
    </row>
    <row r="3414" s="11" customFormat="true" ht="10.95" hidden="false" customHeight="true" outlineLevel="0" collapsed="false">
      <c r="A3414" s="16" t="n">
        <v>45288</v>
      </c>
      <c r="B3414" s="17" t="s">
        <v>1645</v>
      </c>
      <c r="C3414" s="17" t="s">
        <v>1593</v>
      </c>
      <c r="D3414" s="17" t="s">
        <v>1407</v>
      </c>
      <c r="E3414" s="17" t="s">
        <v>1702</v>
      </c>
      <c r="F3414" s="17"/>
      <c r="G3414" s="18" t="n">
        <v>2.9</v>
      </c>
      <c r="H3414" s="18" t="n">
        <v>0</v>
      </c>
      <c r="I3414" s="18" t="n">
        <f aca="false">((I3413 + G3414) - H3414)</f>
        <v>4288.99</v>
      </c>
      <c r="J3414" s="18" t="n">
        <v>0</v>
      </c>
      <c r="K3414" s="19" t="n">
        <v>0</v>
      </c>
      <c r="L3414" s="17" t="s">
        <v>1406</v>
      </c>
    </row>
    <row r="3415" s="11" customFormat="true" ht="10.95" hidden="false" customHeight="true" outlineLevel="0" collapsed="false">
      <c r="A3415" s="16" t="n">
        <v>45288</v>
      </c>
      <c r="B3415" s="17" t="s">
        <v>1645</v>
      </c>
      <c r="C3415" s="17" t="s">
        <v>1593</v>
      </c>
      <c r="D3415" s="17" t="s">
        <v>1407</v>
      </c>
      <c r="E3415" s="17" t="s">
        <v>1702</v>
      </c>
      <c r="F3415" s="17"/>
      <c r="G3415" s="18" t="n">
        <v>2.9</v>
      </c>
      <c r="H3415" s="18" t="n">
        <v>0</v>
      </c>
      <c r="I3415" s="18" t="n">
        <f aca="false">((I3414 + G3415) - H3415)</f>
        <v>4291.89</v>
      </c>
      <c r="J3415" s="18" t="n">
        <v>0</v>
      </c>
      <c r="K3415" s="19" t="n">
        <v>0</v>
      </c>
      <c r="L3415" s="17" t="s">
        <v>1406</v>
      </c>
    </row>
    <row r="3416" s="11" customFormat="true" ht="10.95" hidden="false" customHeight="true" outlineLevel="0" collapsed="false">
      <c r="A3416" s="16" t="n">
        <v>45288</v>
      </c>
      <c r="B3416" s="17" t="s">
        <v>1645</v>
      </c>
      <c r="C3416" s="17" t="s">
        <v>1593</v>
      </c>
      <c r="D3416" s="17" t="s">
        <v>1407</v>
      </c>
      <c r="E3416" s="17" t="s">
        <v>1647</v>
      </c>
      <c r="F3416" s="17"/>
      <c r="G3416" s="18" t="n">
        <v>8.35</v>
      </c>
      <c r="H3416" s="18" t="n">
        <v>0</v>
      </c>
      <c r="I3416" s="18" t="n">
        <f aca="false">((I3415 + G3416) - H3416)</f>
        <v>4300.24</v>
      </c>
      <c r="J3416" s="18" t="n">
        <v>0</v>
      </c>
      <c r="K3416" s="19" t="n">
        <v>0</v>
      </c>
      <c r="L3416" s="17" t="s">
        <v>1406</v>
      </c>
    </row>
    <row r="3417" s="11" customFormat="true" ht="10.95" hidden="false" customHeight="true" outlineLevel="0" collapsed="false">
      <c r="A3417" s="16" t="n">
        <v>45289</v>
      </c>
      <c r="B3417" s="17" t="s">
        <v>1645</v>
      </c>
      <c r="C3417" s="17" t="s">
        <v>1593</v>
      </c>
      <c r="D3417" s="17" t="s">
        <v>1407</v>
      </c>
      <c r="E3417" s="17" t="s">
        <v>1663</v>
      </c>
      <c r="F3417" s="17"/>
      <c r="G3417" s="18" t="n">
        <v>14.71</v>
      </c>
      <c r="H3417" s="18" t="n">
        <v>0</v>
      </c>
      <c r="I3417" s="18" t="n">
        <f aca="false">((I3416 + G3417) - H3417)</f>
        <v>4314.95</v>
      </c>
      <c r="J3417" s="18" t="n">
        <v>0</v>
      </c>
      <c r="K3417" s="19" t="n">
        <v>0</v>
      </c>
      <c r="L3417" s="17" t="s">
        <v>1406</v>
      </c>
    </row>
    <row r="3418" s="11" customFormat="true" ht="10.95" hidden="false" customHeight="true" outlineLevel="0" collapsed="false">
      <c r="A3418" s="16" t="n">
        <v>45289</v>
      </c>
      <c r="B3418" s="17" t="s">
        <v>1645</v>
      </c>
      <c r="C3418" s="17" t="s">
        <v>1593</v>
      </c>
      <c r="D3418" s="17" t="s">
        <v>1407</v>
      </c>
      <c r="E3418" s="17" t="s">
        <v>1647</v>
      </c>
      <c r="F3418" s="17"/>
      <c r="G3418" s="18" t="n">
        <v>6.87</v>
      </c>
      <c r="H3418" s="18" t="n">
        <v>0</v>
      </c>
      <c r="I3418" s="18" t="n">
        <f aca="false">((I3417 + G3418) - H3418)</f>
        <v>4321.82</v>
      </c>
      <c r="J3418" s="18" t="n">
        <v>0</v>
      </c>
      <c r="K3418" s="19" t="n">
        <v>0</v>
      </c>
      <c r="L3418" s="17" t="s">
        <v>1406</v>
      </c>
    </row>
    <row r="3419" s="11" customFormat="true" ht="10.95" hidden="false" customHeight="true" outlineLevel="0" collapsed="false">
      <c r="A3419" s="16" t="n">
        <v>45290</v>
      </c>
      <c r="B3419" s="17" t="s">
        <v>1645</v>
      </c>
      <c r="C3419" s="17" t="s">
        <v>1593</v>
      </c>
      <c r="D3419" s="17" t="s">
        <v>1407</v>
      </c>
      <c r="E3419" s="17" t="s">
        <v>1653</v>
      </c>
      <c r="F3419" s="17"/>
      <c r="G3419" s="18" t="n">
        <v>151.45</v>
      </c>
      <c r="H3419" s="18" t="n">
        <v>0</v>
      </c>
      <c r="I3419" s="18" t="n">
        <f aca="false">((I3418 + G3419) - H3419)</f>
        <v>4473.27</v>
      </c>
      <c r="J3419" s="18" t="n">
        <v>0</v>
      </c>
      <c r="K3419" s="19" t="n">
        <v>0</v>
      </c>
      <c r="L3419" s="17" t="s">
        <v>1406</v>
      </c>
    </row>
    <row r="3420" s="11" customFormat="true" ht="10.95" hidden="false" customHeight="true" outlineLevel="0" collapsed="false">
      <c r="A3420" s="16" t="n">
        <v>45292</v>
      </c>
      <c r="B3420" s="17" t="s">
        <v>1645</v>
      </c>
      <c r="C3420" s="17" t="s">
        <v>1593</v>
      </c>
      <c r="D3420" s="17" t="s">
        <v>1407</v>
      </c>
      <c r="E3420" s="17" t="s">
        <v>1703</v>
      </c>
      <c r="F3420" s="17" t="s">
        <v>1342</v>
      </c>
      <c r="G3420" s="18" t="n">
        <v>133.93</v>
      </c>
      <c r="H3420" s="18" t="n">
        <v>0</v>
      </c>
      <c r="I3420" s="18" t="n">
        <f aca="false">((I3419 + G3420) - H3420)</f>
        <v>4607.2</v>
      </c>
      <c r="J3420" s="18" t="n">
        <v>0</v>
      </c>
      <c r="K3420" s="19" t="n">
        <v>0</v>
      </c>
      <c r="L3420" s="17" t="s">
        <v>1406</v>
      </c>
    </row>
    <row r="3421" s="11" customFormat="true" ht="10.95" hidden="false" customHeight="true" outlineLevel="0" collapsed="false">
      <c r="A3421" s="16" t="n">
        <v>45292</v>
      </c>
      <c r="B3421" s="17" t="s">
        <v>1645</v>
      </c>
      <c r="C3421" s="17" t="s">
        <v>1593</v>
      </c>
      <c r="D3421" s="17" t="s">
        <v>1407</v>
      </c>
      <c r="E3421" s="17" t="s">
        <v>1648</v>
      </c>
      <c r="F3421" s="17"/>
      <c r="G3421" s="18" t="n">
        <v>10</v>
      </c>
      <c r="H3421" s="18" t="n">
        <v>0</v>
      </c>
      <c r="I3421" s="18" t="n">
        <f aca="false">((I3420 + G3421) - H3421)</f>
        <v>4617.2</v>
      </c>
      <c r="J3421" s="18" t="n">
        <v>0</v>
      </c>
      <c r="K3421" s="19" t="n">
        <v>0</v>
      </c>
      <c r="L3421" s="17" t="s">
        <v>1406</v>
      </c>
    </row>
    <row r="3422" s="11" customFormat="true" ht="10.95" hidden="false" customHeight="true" outlineLevel="0" collapsed="false">
      <c r="A3422" s="16" t="n">
        <v>45293</v>
      </c>
      <c r="B3422" s="17" t="s">
        <v>1645</v>
      </c>
      <c r="C3422" s="17" t="s">
        <v>1593</v>
      </c>
      <c r="D3422" s="17" t="s">
        <v>1407</v>
      </c>
      <c r="E3422" s="17" t="s">
        <v>1704</v>
      </c>
      <c r="F3422" s="17" t="s">
        <v>1344</v>
      </c>
      <c r="G3422" s="18" t="n">
        <v>3.41</v>
      </c>
      <c r="H3422" s="18" t="n">
        <v>0</v>
      </c>
      <c r="I3422" s="18" t="n">
        <f aca="false">((I3421 + G3422) - H3422)</f>
        <v>4620.61</v>
      </c>
      <c r="J3422" s="18" t="n">
        <v>0</v>
      </c>
      <c r="K3422" s="19" t="n">
        <v>0</v>
      </c>
      <c r="L3422" s="17" t="s">
        <v>1406</v>
      </c>
    </row>
    <row r="3423" s="11" customFormat="true" ht="10.95" hidden="false" customHeight="true" outlineLevel="0" collapsed="false">
      <c r="A3423" s="16" t="n">
        <v>45294</v>
      </c>
      <c r="B3423" s="17" t="s">
        <v>1645</v>
      </c>
      <c r="C3423" s="17" t="s">
        <v>1593</v>
      </c>
      <c r="D3423" s="17" t="s">
        <v>1407</v>
      </c>
      <c r="E3423" s="17" t="s">
        <v>1647</v>
      </c>
      <c r="F3423" s="17"/>
      <c r="G3423" s="18" t="n">
        <v>0.66</v>
      </c>
      <c r="H3423" s="18" t="n">
        <v>0</v>
      </c>
      <c r="I3423" s="18" t="n">
        <f aca="false">((I3422 + G3423) - H3423)</f>
        <v>4621.27</v>
      </c>
      <c r="J3423" s="18" t="n">
        <v>0</v>
      </c>
      <c r="K3423" s="19" t="n">
        <v>0</v>
      </c>
      <c r="L3423" s="17" t="s">
        <v>1406</v>
      </c>
    </row>
    <row r="3424" s="11" customFormat="true" ht="10.95" hidden="false" customHeight="true" outlineLevel="0" collapsed="false">
      <c r="A3424" s="16" t="n">
        <v>45294</v>
      </c>
      <c r="B3424" s="17" t="s">
        <v>1645</v>
      </c>
      <c r="C3424" s="17" t="s">
        <v>1593</v>
      </c>
      <c r="D3424" s="17" t="s">
        <v>1407</v>
      </c>
      <c r="E3424" s="17" t="s">
        <v>1647</v>
      </c>
      <c r="F3424" s="17"/>
      <c r="G3424" s="18" t="n">
        <v>2.26</v>
      </c>
      <c r="H3424" s="18" t="n">
        <v>0</v>
      </c>
      <c r="I3424" s="18" t="n">
        <f aca="false">((I3423 + G3424) - H3424)</f>
        <v>4623.53</v>
      </c>
      <c r="J3424" s="18" t="n">
        <v>0</v>
      </c>
      <c r="K3424" s="19" t="n">
        <v>0</v>
      </c>
      <c r="L3424" s="17" t="s">
        <v>1406</v>
      </c>
    </row>
    <row r="3425" s="11" customFormat="true" ht="10.95" hidden="false" customHeight="true" outlineLevel="0" collapsed="false">
      <c r="A3425" s="16" t="n">
        <v>45294</v>
      </c>
      <c r="B3425" s="17" t="s">
        <v>1645</v>
      </c>
      <c r="C3425" s="17" t="s">
        <v>1593</v>
      </c>
      <c r="D3425" s="17" t="s">
        <v>1407</v>
      </c>
      <c r="E3425" s="17" t="s">
        <v>1647</v>
      </c>
      <c r="F3425" s="17"/>
      <c r="G3425" s="18" t="n">
        <v>9.56</v>
      </c>
      <c r="H3425" s="18" t="n">
        <v>0</v>
      </c>
      <c r="I3425" s="18" t="n">
        <f aca="false">((I3424 + G3425) - H3425)</f>
        <v>4633.09</v>
      </c>
      <c r="J3425" s="18" t="n">
        <v>0</v>
      </c>
      <c r="K3425" s="19" t="n">
        <v>0</v>
      </c>
      <c r="L3425" s="17" t="s">
        <v>1406</v>
      </c>
    </row>
    <row r="3426" s="11" customFormat="true" ht="10.95" hidden="false" customHeight="true" outlineLevel="0" collapsed="false">
      <c r="A3426" s="16" t="n">
        <v>45294</v>
      </c>
      <c r="B3426" s="17" t="s">
        <v>1645</v>
      </c>
      <c r="C3426" s="17" t="s">
        <v>1593</v>
      </c>
      <c r="D3426" s="17" t="s">
        <v>1407</v>
      </c>
      <c r="E3426" s="17" t="s">
        <v>1647</v>
      </c>
      <c r="F3426" s="17"/>
      <c r="G3426" s="18" t="n">
        <v>16.97</v>
      </c>
      <c r="H3426" s="18" t="n">
        <v>0</v>
      </c>
      <c r="I3426" s="18" t="n">
        <f aca="false">((I3425 + G3426) - H3426)</f>
        <v>4650.06</v>
      </c>
      <c r="J3426" s="18" t="n">
        <v>0</v>
      </c>
      <c r="K3426" s="19" t="n">
        <v>0</v>
      </c>
      <c r="L3426" s="17" t="s">
        <v>1406</v>
      </c>
    </row>
    <row r="3427" s="11" customFormat="true" ht="10.95" hidden="false" customHeight="true" outlineLevel="0" collapsed="false">
      <c r="A3427" s="16" t="n">
        <v>45295</v>
      </c>
      <c r="B3427" s="17" t="s">
        <v>1645</v>
      </c>
      <c r="C3427" s="17" t="s">
        <v>1593</v>
      </c>
      <c r="D3427" s="17" t="s">
        <v>1407</v>
      </c>
      <c r="E3427" s="17" t="s">
        <v>1705</v>
      </c>
      <c r="F3427" s="17" t="s">
        <v>1346</v>
      </c>
      <c r="G3427" s="18" t="n">
        <v>27.06</v>
      </c>
      <c r="H3427" s="18" t="n">
        <v>0</v>
      </c>
      <c r="I3427" s="18" t="n">
        <f aca="false">((I3426 + G3427) - H3427)</f>
        <v>4677.12</v>
      </c>
      <c r="J3427" s="18" t="n">
        <v>0</v>
      </c>
      <c r="K3427" s="19" t="n">
        <v>0</v>
      </c>
      <c r="L3427" s="17" t="s">
        <v>1406</v>
      </c>
    </row>
    <row r="3428" s="11" customFormat="true" ht="10.95" hidden="false" customHeight="true" outlineLevel="0" collapsed="false">
      <c r="A3428" s="16" t="n">
        <v>45295</v>
      </c>
      <c r="B3428" s="17" t="s">
        <v>1645</v>
      </c>
      <c r="C3428" s="17" t="s">
        <v>1593</v>
      </c>
      <c r="D3428" s="17" t="s">
        <v>1407</v>
      </c>
      <c r="E3428" s="17" t="s">
        <v>1647</v>
      </c>
      <c r="F3428" s="17"/>
      <c r="G3428" s="18" t="n">
        <v>3.41</v>
      </c>
      <c r="H3428" s="18" t="n">
        <v>0</v>
      </c>
      <c r="I3428" s="18" t="n">
        <f aca="false">((I3427 + G3428) - H3428)</f>
        <v>4680.53</v>
      </c>
      <c r="J3428" s="18" t="n">
        <v>0</v>
      </c>
      <c r="K3428" s="19" t="n">
        <v>0</v>
      </c>
      <c r="L3428" s="17" t="s">
        <v>1406</v>
      </c>
    </row>
    <row r="3429" s="11" customFormat="true" ht="10.95" hidden="false" customHeight="true" outlineLevel="0" collapsed="false">
      <c r="A3429" s="16" t="n">
        <v>45295</v>
      </c>
      <c r="B3429" s="17" t="s">
        <v>1645</v>
      </c>
      <c r="C3429" s="17" t="s">
        <v>1593</v>
      </c>
      <c r="D3429" s="17" t="s">
        <v>1407</v>
      </c>
      <c r="E3429" s="17" t="s">
        <v>1647</v>
      </c>
      <c r="F3429" s="17"/>
      <c r="G3429" s="18" t="n">
        <v>3.89</v>
      </c>
      <c r="H3429" s="18" t="n">
        <v>0</v>
      </c>
      <c r="I3429" s="18" t="n">
        <f aca="false">((I3428 + G3429) - H3429)</f>
        <v>4684.42</v>
      </c>
      <c r="J3429" s="18" t="n">
        <v>0</v>
      </c>
      <c r="K3429" s="19" t="n">
        <v>0</v>
      </c>
      <c r="L3429" s="17" t="s">
        <v>1406</v>
      </c>
    </row>
    <row r="3430" s="11" customFormat="true" ht="10.95" hidden="false" customHeight="true" outlineLevel="0" collapsed="false">
      <c r="A3430" s="16" t="n">
        <v>45295</v>
      </c>
      <c r="B3430" s="17" t="s">
        <v>1645</v>
      </c>
      <c r="C3430" s="17" t="s">
        <v>1593</v>
      </c>
      <c r="D3430" s="17" t="s">
        <v>1407</v>
      </c>
      <c r="E3430" s="17" t="s">
        <v>1647</v>
      </c>
      <c r="F3430" s="17"/>
      <c r="G3430" s="18" t="n">
        <v>5.25</v>
      </c>
      <c r="H3430" s="18" t="n">
        <v>0</v>
      </c>
      <c r="I3430" s="18" t="n">
        <f aca="false">((I3429 + G3430) - H3430)</f>
        <v>4689.67</v>
      </c>
      <c r="J3430" s="18" t="n">
        <v>0</v>
      </c>
      <c r="K3430" s="19" t="n">
        <v>0</v>
      </c>
      <c r="L3430" s="17" t="s">
        <v>1406</v>
      </c>
    </row>
    <row r="3431" s="11" customFormat="true" ht="10.95" hidden="false" customHeight="true" outlineLevel="0" collapsed="false">
      <c r="A3431" s="16" t="n">
        <v>45295</v>
      </c>
      <c r="B3431" s="17" t="s">
        <v>1645</v>
      </c>
      <c r="C3431" s="17" t="s">
        <v>1593</v>
      </c>
      <c r="D3431" s="17" t="s">
        <v>1407</v>
      </c>
      <c r="E3431" s="17" t="s">
        <v>1706</v>
      </c>
      <c r="F3431" s="17" t="s">
        <v>1707</v>
      </c>
      <c r="G3431" s="18" t="n">
        <v>3.1</v>
      </c>
      <c r="H3431" s="18" t="n">
        <v>0</v>
      </c>
      <c r="I3431" s="18" t="n">
        <f aca="false">((I3430 + G3431) - H3431)</f>
        <v>4692.77</v>
      </c>
      <c r="J3431" s="18" t="n">
        <v>0</v>
      </c>
      <c r="K3431" s="19" t="n">
        <v>0</v>
      </c>
      <c r="L3431" s="17" t="s">
        <v>1406</v>
      </c>
    </row>
    <row r="3432" s="11" customFormat="true" ht="10.95" hidden="false" customHeight="true" outlineLevel="0" collapsed="false">
      <c r="A3432" s="16" t="n">
        <v>45296</v>
      </c>
      <c r="B3432" s="17" t="s">
        <v>1645</v>
      </c>
      <c r="C3432" s="17" t="s">
        <v>1593</v>
      </c>
      <c r="D3432" s="17" t="s">
        <v>1407</v>
      </c>
      <c r="E3432" s="17" t="s">
        <v>1647</v>
      </c>
      <c r="F3432" s="17"/>
      <c r="G3432" s="18" t="n">
        <v>0.06</v>
      </c>
      <c r="H3432" s="18" t="n">
        <v>0</v>
      </c>
      <c r="I3432" s="18" t="n">
        <f aca="false">((I3431 + G3432) - H3432)</f>
        <v>4692.83</v>
      </c>
      <c r="J3432" s="18" t="n">
        <v>0</v>
      </c>
      <c r="K3432" s="19" t="n">
        <v>0</v>
      </c>
      <c r="L3432" s="17" t="s">
        <v>1406</v>
      </c>
    </row>
    <row r="3433" s="11" customFormat="true" ht="10.95" hidden="false" customHeight="true" outlineLevel="0" collapsed="false">
      <c r="A3433" s="16" t="n">
        <v>45296</v>
      </c>
      <c r="B3433" s="17" t="s">
        <v>1645</v>
      </c>
      <c r="C3433" s="17" t="s">
        <v>1593</v>
      </c>
      <c r="D3433" s="17" t="s">
        <v>1407</v>
      </c>
      <c r="E3433" s="17" t="s">
        <v>1647</v>
      </c>
      <c r="F3433" s="17"/>
      <c r="G3433" s="18" t="n">
        <v>6.99</v>
      </c>
      <c r="H3433" s="18" t="n">
        <v>0</v>
      </c>
      <c r="I3433" s="18" t="n">
        <f aca="false">((I3432 + G3433) - H3433)</f>
        <v>4699.82</v>
      </c>
      <c r="J3433" s="18" t="n">
        <v>0</v>
      </c>
      <c r="K3433" s="19" t="n">
        <v>0</v>
      </c>
      <c r="L3433" s="17" t="s">
        <v>1406</v>
      </c>
    </row>
    <row r="3434" s="11" customFormat="true" ht="10.95" hidden="false" customHeight="true" outlineLevel="0" collapsed="false">
      <c r="A3434" s="16" t="n">
        <v>45297</v>
      </c>
      <c r="B3434" s="17" t="s">
        <v>1645</v>
      </c>
      <c r="C3434" s="17" t="s">
        <v>1593</v>
      </c>
      <c r="D3434" s="17" t="s">
        <v>1407</v>
      </c>
      <c r="E3434" s="17" t="s">
        <v>1647</v>
      </c>
      <c r="F3434" s="17"/>
      <c r="G3434" s="18" t="n">
        <v>46.85</v>
      </c>
      <c r="H3434" s="18" t="n">
        <v>0</v>
      </c>
      <c r="I3434" s="18" t="n">
        <f aca="false">((I3433 + G3434) - H3434)</f>
        <v>4746.67</v>
      </c>
      <c r="J3434" s="18" t="n">
        <v>0</v>
      </c>
      <c r="K3434" s="19" t="n">
        <v>0</v>
      </c>
      <c r="L3434" s="17" t="s">
        <v>1406</v>
      </c>
    </row>
    <row r="3435" s="11" customFormat="true" ht="10.95" hidden="false" customHeight="true" outlineLevel="0" collapsed="false">
      <c r="A3435" s="16" t="n">
        <v>45300</v>
      </c>
      <c r="B3435" s="17" t="s">
        <v>1645</v>
      </c>
      <c r="C3435" s="17" t="s">
        <v>1593</v>
      </c>
      <c r="D3435" s="17" t="s">
        <v>1407</v>
      </c>
      <c r="E3435" s="17" t="s">
        <v>1647</v>
      </c>
      <c r="F3435" s="17"/>
      <c r="G3435" s="18" t="n">
        <v>0.94</v>
      </c>
      <c r="H3435" s="18" t="n">
        <v>0</v>
      </c>
      <c r="I3435" s="18" t="n">
        <f aca="false">((I3434 + G3435) - H3435)</f>
        <v>4747.61</v>
      </c>
      <c r="J3435" s="18" t="n">
        <v>0</v>
      </c>
      <c r="K3435" s="19" t="n">
        <v>0</v>
      </c>
      <c r="L3435" s="17" t="s">
        <v>1406</v>
      </c>
    </row>
    <row r="3436" s="11" customFormat="true" ht="10.95" hidden="false" customHeight="true" outlineLevel="0" collapsed="false">
      <c r="A3436" s="16" t="n">
        <v>45300</v>
      </c>
      <c r="B3436" s="17" t="s">
        <v>1645</v>
      </c>
      <c r="C3436" s="17" t="s">
        <v>1593</v>
      </c>
      <c r="D3436" s="17" t="s">
        <v>1407</v>
      </c>
      <c r="E3436" s="17" t="s">
        <v>1647</v>
      </c>
      <c r="F3436" s="17"/>
      <c r="G3436" s="18" t="n">
        <v>1.3</v>
      </c>
      <c r="H3436" s="18" t="n">
        <v>0</v>
      </c>
      <c r="I3436" s="18" t="n">
        <f aca="false">((I3435 + G3436) - H3436)</f>
        <v>4748.91</v>
      </c>
      <c r="J3436" s="18" t="n">
        <v>0</v>
      </c>
      <c r="K3436" s="19" t="n">
        <v>0</v>
      </c>
      <c r="L3436" s="17" t="s">
        <v>1406</v>
      </c>
    </row>
    <row r="3437" s="11" customFormat="true" ht="10.95" hidden="false" customHeight="true" outlineLevel="0" collapsed="false">
      <c r="A3437" s="16" t="n">
        <v>45301</v>
      </c>
      <c r="B3437" s="17" t="s">
        <v>1645</v>
      </c>
      <c r="C3437" s="17" t="s">
        <v>1593</v>
      </c>
      <c r="D3437" s="17" t="s">
        <v>1407</v>
      </c>
      <c r="E3437" s="17" t="s">
        <v>1708</v>
      </c>
      <c r="F3437" s="17"/>
      <c r="G3437" s="18" t="n">
        <v>22.37</v>
      </c>
      <c r="H3437" s="18" t="n">
        <v>0</v>
      </c>
      <c r="I3437" s="18" t="n">
        <f aca="false">((I3436 + G3437) - H3437)</f>
        <v>4771.28</v>
      </c>
      <c r="J3437" s="18" t="n">
        <v>0</v>
      </c>
      <c r="K3437" s="19" t="n">
        <v>0</v>
      </c>
      <c r="L3437" s="17" t="s">
        <v>1406</v>
      </c>
    </row>
    <row r="3438" s="11" customFormat="true" ht="10.95" hidden="false" customHeight="true" outlineLevel="0" collapsed="false">
      <c r="A3438" s="16" t="n">
        <v>45302</v>
      </c>
      <c r="B3438" s="17" t="s">
        <v>1645</v>
      </c>
      <c r="C3438" s="17" t="s">
        <v>1593</v>
      </c>
      <c r="D3438" s="17" t="s">
        <v>1407</v>
      </c>
      <c r="E3438" s="17" t="s">
        <v>1647</v>
      </c>
      <c r="F3438" s="17"/>
      <c r="G3438" s="18" t="n">
        <v>118.1</v>
      </c>
      <c r="H3438" s="18" t="n">
        <v>0</v>
      </c>
      <c r="I3438" s="18" t="n">
        <f aca="false">((I3437 + G3438) - H3438)</f>
        <v>4889.38</v>
      </c>
      <c r="J3438" s="18" t="n">
        <v>0</v>
      </c>
      <c r="K3438" s="19" t="n">
        <v>0</v>
      </c>
      <c r="L3438" s="17" t="s">
        <v>1406</v>
      </c>
    </row>
    <row r="3439" s="11" customFormat="true" ht="10.95" hidden="false" customHeight="true" outlineLevel="0" collapsed="false">
      <c r="A3439" s="16" t="n">
        <v>45303</v>
      </c>
      <c r="B3439" s="17" t="s">
        <v>1645</v>
      </c>
      <c r="C3439" s="17" t="s">
        <v>1593</v>
      </c>
      <c r="D3439" s="17" t="s">
        <v>1407</v>
      </c>
      <c r="E3439" s="17" t="s">
        <v>1647</v>
      </c>
      <c r="F3439" s="17"/>
      <c r="G3439" s="18" t="n">
        <v>193.17</v>
      </c>
      <c r="H3439" s="18" t="n">
        <v>0</v>
      </c>
      <c r="I3439" s="18" t="n">
        <f aca="false">((I3438 + G3439) - H3439)</f>
        <v>5082.55</v>
      </c>
      <c r="J3439" s="18" t="n">
        <v>0</v>
      </c>
      <c r="K3439" s="19" t="n">
        <v>0</v>
      </c>
      <c r="L3439" s="17" t="s">
        <v>1406</v>
      </c>
    </row>
    <row r="3440" s="11" customFormat="true" ht="10.95" hidden="false" customHeight="true" outlineLevel="0" collapsed="false">
      <c r="A3440" s="16" t="n">
        <v>45305</v>
      </c>
      <c r="B3440" s="17" t="s">
        <v>1645</v>
      </c>
      <c r="C3440" s="17" t="s">
        <v>1593</v>
      </c>
      <c r="D3440" s="17" t="s">
        <v>1407</v>
      </c>
      <c r="E3440" s="17" t="s">
        <v>1709</v>
      </c>
      <c r="F3440" s="17"/>
      <c r="G3440" s="18" t="n">
        <v>2.75</v>
      </c>
      <c r="H3440" s="18" t="n">
        <v>0</v>
      </c>
      <c r="I3440" s="18" t="n">
        <f aca="false">((I3439 + G3440) - H3440)</f>
        <v>5085.3</v>
      </c>
      <c r="J3440" s="18" t="n">
        <v>0</v>
      </c>
      <c r="K3440" s="19" t="n">
        <v>0</v>
      </c>
      <c r="L3440" s="17" t="s">
        <v>1406</v>
      </c>
    </row>
    <row r="3441" s="11" customFormat="true" ht="10.95" hidden="false" customHeight="true" outlineLevel="0" collapsed="false">
      <c r="A3441" s="16" t="n">
        <v>45307</v>
      </c>
      <c r="B3441" s="17" t="s">
        <v>1645</v>
      </c>
      <c r="C3441" s="17" t="s">
        <v>1593</v>
      </c>
      <c r="D3441" s="17" t="s">
        <v>1407</v>
      </c>
      <c r="E3441" s="17" t="s">
        <v>1647</v>
      </c>
      <c r="F3441" s="17"/>
      <c r="G3441" s="18" t="n">
        <v>0.6</v>
      </c>
      <c r="H3441" s="18" t="n">
        <v>0</v>
      </c>
      <c r="I3441" s="18" t="n">
        <f aca="false">((I3440 + G3441) - H3441)</f>
        <v>5085.9</v>
      </c>
      <c r="J3441" s="18" t="n">
        <v>0</v>
      </c>
      <c r="K3441" s="19" t="n">
        <v>0</v>
      </c>
      <c r="L3441" s="17" t="s">
        <v>1406</v>
      </c>
    </row>
    <row r="3442" s="11" customFormat="true" ht="10.95" hidden="false" customHeight="true" outlineLevel="0" collapsed="false">
      <c r="A3442" s="16" t="n">
        <v>45307</v>
      </c>
      <c r="B3442" s="17" t="s">
        <v>1645</v>
      </c>
      <c r="C3442" s="17" t="s">
        <v>1593</v>
      </c>
      <c r="D3442" s="17" t="s">
        <v>1407</v>
      </c>
      <c r="E3442" s="17" t="s">
        <v>1647</v>
      </c>
      <c r="F3442" s="17"/>
      <c r="G3442" s="18" t="n">
        <v>2.47</v>
      </c>
      <c r="H3442" s="18" t="n">
        <v>0</v>
      </c>
      <c r="I3442" s="18" t="n">
        <f aca="false">((I3441 + G3442) - H3442)</f>
        <v>5088.37</v>
      </c>
      <c r="J3442" s="18" t="n">
        <v>0</v>
      </c>
      <c r="K3442" s="19" t="n">
        <v>0</v>
      </c>
      <c r="L3442" s="17" t="s">
        <v>1406</v>
      </c>
    </row>
    <row r="3443" s="11" customFormat="true" ht="10.95" hidden="false" customHeight="true" outlineLevel="0" collapsed="false">
      <c r="A3443" s="16" t="n">
        <v>45307</v>
      </c>
      <c r="B3443" s="17" t="s">
        <v>1645</v>
      </c>
      <c r="C3443" s="17" t="s">
        <v>1593</v>
      </c>
      <c r="D3443" s="17" t="s">
        <v>1407</v>
      </c>
      <c r="E3443" s="17" t="s">
        <v>1647</v>
      </c>
      <c r="F3443" s="17"/>
      <c r="G3443" s="18" t="n">
        <v>3.05</v>
      </c>
      <c r="H3443" s="18" t="n">
        <v>0</v>
      </c>
      <c r="I3443" s="18" t="n">
        <f aca="false">((I3442 + G3443) - H3443)</f>
        <v>5091.42</v>
      </c>
      <c r="J3443" s="18" t="n">
        <v>0</v>
      </c>
      <c r="K3443" s="19" t="n">
        <v>0</v>
      </c>
      <c r="L3443" s="17" t="s">
        <v>1406</v>
      </c>
    </row>
    <row r="3444" s="11" customFormat="true" ht="10.95" hidden="false" customHeight="true" outlineLevel="0" collapsed="false">
      <c r="A3444" s="16" t="n">
        <v>45307</v>
      </c>
      <c r="B3444" s="17" t="s">
        <v>1645</v>
      </c>
      <c r="C3444" s="17" t="s">
        <v>1593</v>
      </c>
      <c r="D3444" s="17" t="s">
        <v>1407</v>
      </c>
      <c r="E3444" s="17" t="s">
        <v>1647</v>
      </c>
      <c r="F3444" s="17"/>
      <c r="G3444" s="18" t="n">
        <v>4.74</v>
      </c>
      <c r="H3444" s="18" t="n">
        <v>0</v>
      </c>
      <c r="I3444" s="18" t="n">
        <f aca="false">((I3443 + G3444) - H3444)</f>
        <v>5096.16</v>
      </c>
      <c r="J3444" s="18" t="n">
        <v>0</v>
      </c>
      <c r="K3444" s="19" t="n">
        <v>0</v>
      </c>
      <c r="L3444" s="17" t="s">
        <v>1406</v>
      </c>
    </row>
    <row r="3445" s="11" customFormat="true" ht="10.95" hidden="false" customHeight="true" outlineLevel="0" collapsed="false">
      <c r="A3445" s="16" t="n">
        <v>45308</v>
      </c>
      <c r="B3445" s="17" t="s">
        <v>1645</v>
      </c>
      <c r="C3445" s="17" t="s">
        <v>1593</v>
      </c>
      <c r="D3445" s="17" t="s">
        <v>1407</v>
      </c>
      <c r="E3445" s="17" t="s">
        <v>1647</v>
      </c>
      <c r="F3445" s="17"/>
      <c r="G3445" s="18" t="n">
        <v>0.45</v>
      </c>
      <c r="H3445" s="18" t="n">
        <v>0</v>
      </c>
      <c r="I3445" s="18" t="n">
        <f aca="false">((I3444 + G3445) - H3445)</f>
        <v>5096.61</v>
      </c>
      <c r="J3445" s="18" t="n">
        <v>0</v>
      </c>
      <c r="K3445" s="19" t="n">
        <v>0</v>
      </c>
      <c r="L3445" s="17" t="s">
        <v>1406</v>
      </c>
    </row>
    <row r="3446" s="11" customFormat="true" ht="10.95" hidden="false" customHeight="true" outlineLevel="0" collapsed="false">
      <c r="A3446" s="16" t="n">
        <v>45308</v>
      </c>
      <c r="B3446" s="17" t="s">
        <v>1645</v>
      </c>
      <c r="C3446" s="17" t="s">
        <v>1593</v>
      </c>
      <c r="D3446" s="17" t="s">
        <v>1407</v>
      </c>
      <c r="E3446" s="17" t="s">
        <v>1647</v>
      </c>
      <c r="F3446" s="17"/>
      <c r="G3446" s="18" t="n">
        <v>0.45</v>
      </c>
      <c r="H3446" s="18" t="n">
        <v>0</v>
      </c>
      <c r="I3446" s="18" t="n">
        <f aca="false">((I3445 + G3446) - H3446)</f>
        <v>5097.06</v>
      </c>
      <c r="J3446" s="18" t="n">
        <v>0</v>
      </c>
      <c r="K3446" s="19" t="n">
        <v>0</v>
      </c>
      <c r="L3446" s="17" t="s">
        <v>1406</v>
      </c>
    </row>
    <row r="3447" s="11" customFormat="true" ht="10.95" hidden="false" customHeight="true" outlineLevel="0" collapsed="false">
      <c r="A3447" s="16" t="n">
        <v>45309</v>
      </c>
      <c r="B3447" s="17" t="s">
        <v>1645</v>
      </c>
      <c r="C3447" s="17" t="s">
        <v>1593</v>
      </c>
      <c r="D3447" s="17" t="s">
        <v>1407</v>
      </c>
      <c r="E3447" s="17" t="s">
        <v>1710</v>
      </c>
      <c r="F3447" s="17"/>
      <c r="G3447" s="18" t="n">
        <v>15.23</v>
      </c>
      <c r="H3447" s="18" t="n">
        <v>0</v>
      </c>
      <c r="I3447" s="18" t="n">
        <f aca="false">((I3446 + G3447) - H3447)</f>
        <v>5112.29</v>
      </c>
      <c r="J3447" s="18" t="n">
        <v>0</v>
      </c>
      <c r="K3447" s="19" t="n">
        <v>0</v>
      </c>
      <c r="L3447" s="17" t="s">
        <v>1406</v>
      </c>
    </row>
    <row r="3448" s="11" customFormat="true" ht="10.95" hidden="false" customHeight="true" outlineLevel="0" collapsed="false">
      <c r="A3448" s="16" t="n">
        <v>45310</v>
      </c>
      <c r="B3448" s="17" t="s">
        <v>1645</v>
      </c>
      <c r="C3448" s="17" t="s">
        <v>1593</v>
      </c>
      <c r="D3448" s="17" t="s">
        <v>1407</v>
      </c>
      <c r="E3448" s="17" t="s">
        <v>1647</v>
      </c>
      <c r="F3448" s="17"/>
      <c r="G3448" s="18" t="n">
        <v>2.47</v>
      </c>
      <c r="H3448" s="18" t="n">
        <v>0</v>
      </c>
      <c r="I3448" s="18" t="n">
        <f aca="false">((I3447 + G3448) - H3448)</f>
        <v>5114.76</v>
      </c>
      <c r="J3448" s="18" t="n">
        <v>0</v>
      </c>
      <c r="K3448" s="19" t="n">
        <v>0</v>
      </c>
      <c r="L3448" s="17" t="s">
        <v>1406</v>
      </c>
    </row>
    <row r="3449" s="11" customFormat="true" ht="10.95" hidden="false" customHeight="true" outlineLevel="0" collapsed="false">
      <c r="A3449" s="16" t="n">
        <v>45314</v>
      </c>
      <c r="B3449" s="17" t="s">
        <v>1645</v>
      </c>
      <c r="C3449" s="17" t="s">
        <v>1593</v>
      </c>
      <c r="D3449" s="17" t="s">
        <v>1407</v>
      </c>
      <c r="E3449" s="17" t="s">
        <v>1647</v>
      </c>
      <c r="F3449" s="17"/>
      <c r="G3449" s="18" t="n">
        <v>24.53</v>
      </c>
      <c r="H3449" s="18" t="n">
        <v>0</v>
      </c>
      <c r="I3449" s="18" t="n">
        <f aca="false">((I3448 + G3449) - H3449)</f>
        <v>5139.29</v>
      </c>
      <c r="J3449" s="18" t="n">
        <v>0</v>
      </c>
      <c r="K3449" s="19" t="n">
        <v>0</v>
      </c>
      <c r="L3449" s="17" t="s">
        <v>1406</v>
      </c>
    </row>
    <row r="3450" s="11" customFormat="true" ht="10.95" hidden="false" customHeight="true" outlineLevel="0" collapsed="false">
      <c r="A3450" s="16" t="n">
        <v>45314</v>
      </c>
      <c r="B3450" s="17" t="s">
        <v>1645</v>
      </c>
      <c r="C3450" s="17" t="s">
        <v>1593</v>
      </c>
      <c r="D3450" s="17" t="s">
        <v>1407</v>
      </c>
      <c r="E3450" s="17" t="s">
        <v>1647</v>
      </c>
      <c r="F3450" s="17"/>
      <c r="G3450" s="18" t="n">
        <v>0.37</v>
      </c>
      <c r="H3450" s="18" t="n">
        <v>0</v>
      </c>
      <c r="I3450" s="18" t="n">
        <f aca="false">((I3449 + G3450) - H3450)</f>
        <v>5139.66</v>
      </c>
      <c r="J3450" s="18" t="n">
        <v>0</v>
      </c>
      <c r="K3450" s="19" t="n">
        <v>0</v>
      </c>
      <c r="L3450" s="17" t="s">
        <v>1406</v>
      </c>
    </row>
    <row r="3451" s="11" customFormat="true" ht="10.95" hidden="false" customHeight="true" outlineLevel="0" collapsed="false">
      <c r="A3451" s="16" t="n">
        <v>45314</v>
      </c>
      <c r="B3451" s="17" t="s">
        <v>1645</v>
      </c>
      <c r="C3451" s="17" t="s">
        <v>1593</v>
      </c>
      <c r="D3451" s="17" t="s">
        <v>1407</v>
      </c>
      <c r="E3451" s="17" t="s">
        <v>1647</v>
      </c>
      <c r="F3451" s="17"/>
      <c r="G3451" s="18" t="n">
        <v>0.92</v>
      </c>
      <c r="H3451" s="18" t="n">
        <v>0</v>
      </c>
      <c r="I3451" s="18" t="n">
        <f aca="false">((I3450 + G3451) - H3451)</f>
        <v>5140.58</v>
      </c>
      <c r="J3451" s="18" t="n">
        <v>0</v>
      </c>
      <c r="K3451" s="19" t="n">
        <v>0</v>
      </c>
      <c r="L3451" s="17" t="s">
        <v>1406</v>
      </c>
    </row>
    <row r="3452" s="11" customFormat="true" ht="10.95" hidden="false" customHeight="true" outlineLevel="0" collapsed="false">
      <c r="A3452" s="16" t="n">
        <v>45314</v>
      </c>
      <c r="B3452" s="17" t="s">
        <v>1645</v>
      </c>
      <c r="C3452" s="17" t="s">
        <v>1593</v>
      </c>
      <c r="D3452" s="17" t="s">
        <v>1407</v>
      </c>
      <c r="E3452" s="17" t="s">
        <v>1653</v>
      </c>
      <c r="F3452" s="17"/>
      <c r="G3452" s="18" t="n">
        <v>155.04</v>
      </c>
      <c r="H3452" s="18" t="n">
        <v>0</v>
      </c>
      <c r="I3452" s="18" t="n">
        <f aca="false">((I3451 + G3452) - H3452)</f>
        <v>5295.62</v>
      </c>
      <c r="J3452" s="18" t="n">
        <v>0</v>
      </c>
      <c r="K3452" s="19" t="n">
        <v>0</v>
      </c>
      <c r="L3452" s="17" t="s">
        <v>1406</v>
      </c>
    </row>
    <row r="3453" s="11" customFormat="true" ht="10.95" hidden="false" customHeight="true" outlineLevel="0" collapsed="false">
      <c r="A3453" s="16" t="n">
        <v>45315</v>
      </c>
      <c r="B3453" s="17" t="s">
        <v>1645</v>
      </c>
      <c r="C3453" s="17" t="s">
        <v>1593</v>
      </c>
      <c r="D3453" s="17" t="s">
        <v>1407</v>
      </c>
      <c r="E3453" s="17" t="s">
        <v>1647</v>
      </c>
      <c r="F3453" s="17"/>
      <c r="G3453" s="18" t="n">
        <v>1.1</v>
      </c>
      <c r="H3453" s="18" t="n">
        <v>0</v>
      </c>
      <c r="I3453" s="18" t="n">
        <f aca="false">((I3452 + G3453) - H3453)</f>
        <v>5296.72</v>
      </c>
      <c r="J3453" s="18" t="n">
        <v>0</v>
      </c>
      <c r="K3453" s="19" t="n">
        <v>0</v>
      </c>
      <c r="L3453" s="17" t="s">
        <v>1406</v>
      </c>
    </row>
    <row r="3454" s="11" customFormat="true" ht="10.95" hidden="false" customHeight="true" outlineLevel="0" collapsed="false">
      <c r="A3454" s="16" t="n">
        <v>45315</v>
      </c>
      <c r="B3454" s="17" t="s">
        <v>1645</v>
      </c>
      <c r="C3454" s="17" t="s">
        <v>1593</v>
      </c>
      <c r="D3454" s="17" t="s">
        <v>1407</v>
      </c>
      <c r="E3454" s="17" t="s">
        <v>1647</v>
      </c>
      <c r="F3454" s="17"/>
      <c r="G3454" s="18" t="n">
        <v>2.35</v>
      </c>
      <c r="H3454" s="18" t="n">
        <v>0</v>
      </c>
      <c r="I3454" s="18" t="n">
        <f aca="false">((I3453 + G3454) - H3454)</f>
        <v>5299.07</v>
      </c>
      <c r="J3454" s="18" t="n">
        <v>0</v>
      </c>
      <c r="K3454" s="19" t="n">
        <v>0</v>
      </c>
      <c r="L3454" s="17" t="s">
        <v>1406</v>
      </c>
    </row>
    <row r="3455" s="11" customFormat="true" ht="10.95" hidden="false" customHeight="true" outlineLevel="0" collapsed="false">
      <c r="A3455" s="16" t="n">
        <v>45315</v>
      </c>
      <c r="B3455" s="17" t="s">
        <v>1645</v>
      </c>
      <c r="C3455" s="17" t="s">
        <v>1593</v>
      </c>
      <c r="D3455" s="17" t="s">
        <v>1407</v>
      </c>
      <c r="E3455" s="17" t="s">
        <v>1647</v>
      </c>
      <c r="F3455" s="17"/>
      <c r="G3455" s="18" t="n">
        <v>11.69</v>
      </c>
      <c r="H3455" s="18" t="n">
        <v>0</v>
      </c>
      <c r="I3455" s="18" t="n">
        <f aca="false">((I3454 + G3455) - H3455)</f>
        <v>5310.76</v>
      </c>
      <c r="J3455" s="18" t="n">
        <v>0</v>
      </c>
      <c r="K3455" s="19" t="n">
        <v>0</v>
      </c>
      <c r="L3455" s="17" t="s">
        <v>1406</v>
      </c>
    </row>
    <row r="3456" s="11" customFormat="true" ht="10.95" hidden="false" customHeight="true" outlineLevel="0" collapsed="false">
      <c r="A3456" s="16" t="n">
        <v>45315</v>
      </c>
      <c r="B3456" s="17" t="s">
        <v>1645</v>
      </c>
      <c r="C3456" s="17" t="s">
        <v>1593</v>
      </c>
      <c r="D3456" s="17" t="s">
        <v>1407</v>
      </c>
      <c r="E3456" s="17" t="s">
        <v>1647</v>
      </c>
      <c r="F3456" s="17"/>
      <c r="G3456" s="18" t="n">
        <v>0.37</v>
      </c>
      <c r="H3456" s="18" t="n">
        <v>0</v>
      </c>
      <c r="I3456" s="18" t="n">
        <f aca="false">((I3455 + G3456) - H3456)</f>
        <v>5311.13</v>
      </c>
      <c r="J3456" s="18" t="n">
        <v>0</v>
      </c>
      <c r="K3456" s="19" t="n">
        <v>0</v>
      </c>
      <c r="L3456" s="17" t="s">
        <v>1406</v>
      </c>
    </row>
    <row r="3457" s="11" customFormat="true" ht="10.95" hidden="false" customHeight="true" outlineLevel="0" collapsed="false">
      <c r="A3457" s="16" t="n">
        <v>45315</v>
      </c>
      <c r="B3457" s="17" t="s">
        <v>1645</v>
      </c>
      <c r="C3457" s="17" t="s">
        <v>1593</v>
      </c>
      <c r="D3457" s="17" t="s">
        <v>1407</v>
      </c>
      <c r="E3457" s="17" t="s">
        <v>1647</v>
      </c>
      <c r="F3457" s="17"/>
      <c r="G3457" s="18" t="n">
        <v>0.53</v>
      </c>
      <c r="H3457" s="18" t="n">
        <v>0</v>
      </c>
      <c r="I3457" s="18" t="n">
        <f aca="false">((I3456 + G3457) - H3457)</f>
        <v>5311.66</v>
      </c>
      <c r="J3457" s="18" t="n">
        <v>0</v>
      </c>
      <c r="K3457" s="19" t="n">
        <v>0</v>
      </c>
      <c r="L3457" s="17" t="s">
        <v>1406</v>
      </c>
    </row>
    <row r="3458" s="11" customFormat="true" ht="10.95" hidden="false" customHeight="true" outlineLevel="0" collapsed="false">
      <c r="A3458" s="16" t="n">
        <v>45315</v>
      </c>
      <c r="B3458" s="17" t="s">
        <v>1645</v>
      </c>
      <c r="C3458" s="17" t="s">
        <v>1593</v>
      </c>
      <c r="D3458" s="17" t="s">
        <v>1407</v>
      </c>
      <c r="E3458" s="17" t="s">
        <v>1647</v>
      </c>
      <c r="F3458" s="17"/>
      <c r="G3458" s="18" t="n">
        <v>0.3</v>
      </c>
      <c r="H3458" s="18" t="n">
        <v>0</v>
      </c>
      <c r="I3458" s="18" t="n">
        <f aca="false">((I3457 + G3458) - H3458)</f>
        <v>5311.96</v>
      </c>
      <c r="J3458" s="18" t="n">
        <v>0</v>
      </c>
      <c r="K3458" s="19" t="n">
        <v>0</v>
      </c>
      <c r="L3458" s="17" t="s">
        <v>1406</v>
      </c>
    </row>
    <row r="3459" s="11" customFormat="true" ht="10.95" hidden="false" customHeight="true" outlineLevel="0" collapsed="false">
      <c r="A3459" s="16" t="n">
        <v>45316</v>
      </c>
      <c r="B3459" s="17" t="s">
        <v>1645</v>
      </c>
      <c r="C3459" s="17" t="s">
        <v>1593</v>
      </c>
      <c r="D3459" s="17" t="s">
        <v>1407</v>
      </c>
      <c r="E3459" s="17" t="s">
        <v>1674</v>
      </c>
      <c r="F3459" s="17"/>
      <c r="G3459" s="18" t="n">
        <v>53.1</v>
      </c>
      <c r="H3459" s="18" t="n">
        <v>0</v>
      </c>
      <c r="I3459" s="18" t="n">
        <f aca="false">((I3458 + G3459) - H3459)</f>
        <v>5365.06</v>
      </c>
      <c r="J3459" s="18" t="n">
        <v>0</v>
      </c>
      <c r="K3459" s="19" t="n">
        <v>0</v>
      </c>
      <c r="L3459" s="17" t="s">
        <v>1406</v>
      </c>
    </row>
    <row r="3460" s="11" customFormat="true" ht="10.95" hidden="false" customHeight="true" outlineLevel="0" collapsed="false">
      <c r="A3460" s="16" t="n">
        <v>45317</v>
      </c>
      <c r="B3460" s="17" t="s">
        <v>1645</v>
      </c>
      <c r="C3460" s="17" t="s">
        <v>1593</v>
      </c>
      <c r="D3460" s="17" t="s">
        <v>1407</v>
      </c>
      <c r="E3460" s="17" t="s">
        <v>1647</v>
      </c>
      <c r="F3460" s="17"/>
      <c r="G3460" s="18" t="n">
        <v>0.17</v>
      </c>
      <c r="H3460" s="18" t="n">
        <v>0</v>
      </c>
      <c r="I3460" s="18" t="n">
        <f aca="false">((I3459 + G3460) - H3460)</f>
        <v>5365.23</v>
      </c>
      <c r="J3460" s="18" t="n">
        <v>0</v>
      </c>
      <c r="K3460" s="19" t="n">
        <v>0</v>
      </c>
      <c r="L3460" s="17" t="s">
        <v>1406</v>
      </c>
    </row>
    <row r="3461" s="11" customFormat="true" ht="10.95" hidden="false" customHeight="true" outlineLevel="0" collapsed="false">
      <c r="A3461" s="16" t="n">
        <v>45317</v>
      </c>
      <c r="B3461" s="17" t="s">
        <v>1645</v>
      </c>
      <c r="C3461" s="17" t="s">
        <v>1593</v>
      </c>
      <c r="D3461" s="17" t="s">
        <v>1407</v>
      </c>
      <c r="E3461" s="17" t="s">
        <v>1647</v>
      </c>
      <c r="F3461" s="17"/>
      <c r="G3461" s="18" t="n">
        <v>0.29</v>
      </c>
      <c r="H3461" s="18" t="n">
        <v>0</v>
      </c>
      <c r="I3461" s="18" t="n">
        <f aca="false">((I3460 + G3461) - H3461)</f>
        <v>5365.52</v>
      </c>
      <c r="J3461" s="18" t="n">
        <v>0</v>
      </c>
      <c r="K3461" s="19" t="n">
        <v>0</v>
      </c>
      <c r="L3461" s="17" t="s">
        <v>1406</v>
      </c>
    </row>
    <row r="3462" s="11" customFormat="true" ht="10.95" hidden="false" customHeight="true" outlineLevel="0" collapsed="false">
      <c r="A3462" s="16" t="n">
        <v>45317</v>
      </c>
      <c r="B3462" s="17" t="s">
        <v>1645</v>
      </c>
      <c r="C3462" s="17" t="s">
        <v>1593</v>
      </c>
      <c r="D3462" s="17" t="s">
        <v>1407</v>
      </c>
      <c r="E3462" s="17" t="s">
        <v>1647</v>
      </c>
      <c r="F3462" s="17"/>
      <c r="G3462" s="18" t="n">
        <v>0.37</v>
      </c>
      <c r="H3462" s="18" t="n">
        <v>0</v>
      </c>
      <c r="I3462" s="18" t="n">
        <f aca="false">((I3461 + G3462) - H3462)</f>
        <v>5365.89</v>
      </c>
      <c r="J3462" s="18" t="n">
        <v>0</v>
      </c>
      <c r="K3462" s="19" t="n">
        <v>0</v>
      </c>
      <c r="L3462" s="17" t="s">
        <v>1406</v>
      </c>
    </row>
    <row r="3463" s="11" customFormat="true" ht="10.95" hidden="false" customHeight="true" outlineLevel="0" collapsed="false">
      <c r="A3463" s="16" t="n">
        <v>45317</v>
      </c>
      <c r="B3463" s="17" t="s">
        <v>1645</v>
      </c>
      <c r="C3463" s="17" t="s">
        <v>1593</v>
      </c>
      <c r="D3463" s="17" t="s">
        <v>1407</v>
      </c>
      <c r="E3463" s="17" t="s">
        <v>1647</v>
      </c>
      <c r="F3463" s="17"/>
      <c r="G3463" s="18" t="n">
        <v>0.51</v>
      </c>
      <c r="H3463" s="18" t="n">
        <v>0</v>
      </c>
      <c r="I3463" s="18" t="n">
        <f aca="false">((I3462 + G3463) - H3463)</f>
        <v>5366.4</v>
      </c>
      <c r="J3463" s="18" t="n">
        <v>0</v>
      </c>
      <c r="K3463" s="19" t="n">
        <v>0</v>
      </c>
      <c r="L3463" s="17" t="s">
        <v>1406</v>
      </c>
    </row>
    <row r="3464" s="11" customFormat="true" ht="10.95" hidden="false" customHeight="true" outlineLevel="0" collapsed="false">
      <c r="A3464" s="16" t="n">
        <v>45317</v>
      </c>
      <c r="B3464" s="17" t="s">
        <v>1645</v>
      </c>
      <c r="C3464" s="17" t="s">
        <v>1593</v>
      </c>
      <c r="D3464" s="17" t="s">
        <v>1407</v>
      </c>
      <c r="E3464" s="17" t="s">
        <v>1647</v>
      </c>
      <c r="F3464" s="17"/>
      <c r="G3464" s="18" t="n">
        <v>5.89</v>
      </c>
      <c r="H3464" s="18" t="n">
        <v>0</v>
      </c>
      <c r="I3464" s="18" t="n">
        <f aca="false">((I3463 + G3464) - H3464)</f>
        <v>5372.29</v>
      </c>
      <c r="J3464" s="18" t="n">
        <v>0</v>
      </c>
      <c r="K3464" s="19" t="n">
        <v>0</v>
      </c>
      <c r="L3464" s="17" t="s">
        <v>1406</v>
      </c>
    </row>
    <row r="3465" s="11" customFormat="true" ht="10.95" hidden="false" customHeight="true" outlineLevel="0" collapsed="false">
      <c r="A3465" s="16" t="n">
        <v>45317</v>
      </c>
      <c r="B3465" s="17" t="s">
        <v>1645</v>
      </c>
      <c r="C3465" s="17" t="s">
        <v>1593</v>
      </c>
      <c r="D3465" s="17" t="s">
        <v>1407</v>
      </c>
      <c r="E3465" s="17" t="s">
        <v>1647</v>
      </c>
      <c r="F3465" s="17"/>
      <c r="G3465" s="18" t="n">
        <v>6.4</v>
      </c>
      <c r="H3465" s="18" t="n">
        <v>0</v>
      </c>
      <c r="I3465" s="18" t="n">
        <f aca="false">((I3464 + G3465) - H3465)</f>
        <v>5378.69</v>
      </c>
      <c r="J3465" s="18" t="n">
        <v>0</v>
      </c>
      <c r="K3465" s="19" t="n">
        <v>0</v>
      </c>
      <c r="L3465" s="17" t="s">
        <v>1406</v>
      </c>
    </row>
    <row r="3466" s="11" customFormat="true" ht="10.95" hidden="false" customHeight="true" outlineLevel="0" collapsed="false">
      <c r="A3466" s="16" t="n">
        <v>45320</v>
      </c>
      <c r="B3466" s="17" t="s">
        <v>1645</v>
      </c>
      <c r="C3466" s="17" t="s">
        <v>1593</v>
      </c>
      <c r="D3466" s="17" t="s">
        <v>1407</v>
      </c>
      <c r="E3466" s="17" t="s">
        <v>1683</v>
      </c>
      <c r="F3466" s="17"/>
      <c r="G3466" s="18" t="n">
        <v>22.73</v>
      </c>
      <c r="H3466" s="18" t="n">
        <v>0</v>
      </c>
      <c r="I3466" s="18" t="n">
        <f aca="false">((I3465 + G3466) - H3466)</f>
        <v>5401.42</v>
      </c>
      <c r="J3466" s="18" t="n">
        <v>0</v>
      </c>
      <c r="K3466" s="19" t="n">
        <v>0</v>
      </c>
      <c r="L3466" s="17" t="s">
        <v>1406</v>
      </c>
    </row>
    <row r="3467" s="11" customFormat="true" ht="10.95" hidden="false" customHeight="true" outlineLevel="0" collapsed="false">
      <c r="A3467" s="16" t="n">
        <v>45321</v>
      </c>
      <c r="B3467" s="17" t="s">
        <v>1645</v>
      </c>
      <c r="C3467" s="17" t="s">
        <v>1593</v>
      </c>
      <c r="D3467" s="17" t="s">
        <v>1407</v>
      </c>
      <c r="E3467" s="17" t="s">
        <v>1647</v>
      </c>
      <c r="F3467" s="17"/>
      <c r="G3467" s="18" t="n">
        <v>0.08</v>
      </c>
      <c r="H3467" s="18" t="n">
        <v>0</v>
      </c>
      <c r="I3467" s="18" t="n">
        <f aca="false">((I3466 + G3467) - H3467)</f>
        <v>5401.5</v>
      </c>
      <c r="J3467" s="18" t="n">
        <v>0</v>
      </c>
      <c r="K3467" s="19" t="n">
        <v>0</v>
      </c>
      <c r="L3467" s="17" t="s">
        <v>1406</v>
      </c>
    </row>
    <row r="3468" s="11" customFormat="true" ht="10.95" hidden="false" customHeight="true" outlineLevel="0" collapsed="false">
      <c r="A3468" s="16" t="n">
        <v>45321</v>
      </c>
      <c r="B3468" s="17" t="s">
        <v>1645</v>
      </c>
      <c r="C3468" s="17" t="s">
        <v>1593</v>
      </c>
      <c r="D3468" s="17" t="s">
        <v>1407</v>
      </c>
      <c r="E3468" s="17" t="s">
        <v>1647</v>
      </c>
      <c r="F3468" s="17"/>
      <c r="G3468" s="18" t="n">
        <v>0.3</v>
      </c>
      <c r="H3468" s="18" t="n">
        <v>0</v>
      </c>
      <c r="I3468" s="18" t="n">
        <f aca="false">((I3467 + G3468) - H3468)</f>
        <v>5401.8</v>
      </c>
      <c r="J3468" s="18" t="n">
        <v>0</v>
      </c>
      <c r="K3468" s="19" t="n">
        <v>0</v>
      </c>
      <c r="L3468" s="17" t="s">
        <v>1406</v>
      </c>
    </row>
    <row r="3469" s="11" customFormat="true" ht="10.95" hidden="false" customHeight="true" outlineLevel="0" collapsed="false">
      <c r="A3469" s="16" t="n">
        <v>45321</v>
      </c>
      <c r="B3469" s="17" t="s">
        <v>1645</v>
      </c>
      <c r="C3469" s="17" t="s">
        <v>1593</v>
      </c>
      <c r="D3469" s="17" t="s">
        <v>1407</v>
      </c>
      <c r="E3469" s="17" t="s">
        <v>1647</v>
      </c>
      <c r="F3469" s="17"/>
      <c r="G3469" s="18" t="n">
        <v>0.65</v>
      </c>
      <c r="H3469" s="18" t="n">
        <v>0</v>
      </c>
      <c r="I3469" s="18" t="n">
        <f aca="false">((I3468 + G3469) - H3469)</f>
        <v>5402.45</v>
      </c>
      <c r="J3469" s="18" t="n">
        <v>0</v>
      </c>
      <c r="K3469" s="19" t="n">
        <v>0</v>
      </c>
      <c r="L3469" s="17" t="s">
        <v>1406</v>
      </c>
    </row>
    <row r="3470" s="11" customFormat="true" ht="10.95" hidden="false" customHeight="true" outlineLevel="0" collapsed="false">
      <c r="A3470" s="16" t="n">
        <v>45321</v>
      </c>
      <c r="B3470" s="17" t="s">
        <v>1645</v>
      </c>
      <c r="C3470" s="17" t="s">
        <v>1593</v>
      </c>
      <c r="D3470" s="17" t="s">
        <v>1407</v>
      </c>
      <c r="E3470" s="17" t="s">
        <v>1647</v>
      </c>
      <c r="F3470" s="17"/>
      <c r="G3470" s="18" t="n">
        <v>0.96</v>
      </c>
      <c r="H3470" s="18" t="n">
        <v>0</v>
      </c>
      <c r="I3470" s="18" t="n">
        <f aca="false">((I3469 + G3470) - H3470)</f>
        <v>5403.41</v>
      </c>
      <c r="J3470" s="18" t="n">
        <v>0</v>
      </c>
      <c r="K3470" s="19" t="n">
        <v>0</v>
      </c>
      <c r="L3470" s="17" t="s">
        <v>1406</v>
      </c>
    </row>
    <row r="3471" s="11" customFormat="true" ht="10.95" hidden="false" customHeight="true" outlineLevel="0" collapsed="false">
      <c r="A3471" s="16" t="n">
        <v>45321</v>
      </c>
      <c r="B3471" s="17" t="s">
        <v>1645</v>
      </c>
      <c r="C3471" s="17" t="s">
        <v>1593</v>
      </c>
      <c r="D3471" s="17" t="s">
        <v>1407</v>
      </c>
      <c r="E3471" s="17" t="s">
        <v>1647</v>
      </c>
      <c r="F3471" s="17"/>
      <c r="G3471" s="18" t="n">
        <v>0.2</v>
      </c>
      <c r="H3471" s="18" t="n">
        <v>0</v>
      </c>
      <c r="I3471" s="18" t="n">
        <f aca="false">((I3470 + G3471) - H3471)</f>
        <v>5403.61</v>
      </c>
      <c r="J3471" s="18" t="n">
        <v>0</v>
      </c>
      <c r="K3471" s="19" t="n">
        <v>0</v>
      </c>
      <c r="L3471" s="17" t="s">
        <v>1406</v>
      </c>
    </row>
    <row r="3472" s="11" customFormat="true" ht="10.95" hidden="false" customHeight="true" outlineLevel="0" collapsed="false">
      <c r="A3472" s="16" t="n">
        <v>45321</v>
      </c>
      <c r="B3472" s="17" t="s">
        <v>1645</v>
      </c>
      <c r="C3472" s="17" t="s">
        <v>1593</v>
      </c>
      <c r="D3472" s="17" t="s">
        <v>1407</v>
      </c>
      <c r="E3472" s="17" t="s">
        <v>1647</v>
      </c>
      <c r="F3472" s="17"/>
      <c r="G3472" s="18" t="n">
        <v>1.1</v>
      </c>
      <c r="H3472" s="18" t="n">
        <v>0</v>
      </c>
      <c r="I3472" s="18" t="n">
        <f aca="false">((I3471 + G3472) - H3472)</f>
        <v>5404.71</v>
      </c>
      <c r="J3472" s="18" t="n">
        <v>0</v>
      </c>
      <c r="K3472" s="19" t="n">
        <v>0</v>
      </c>
      <c r="L3472" s="17" t="s">
        <v>1406</v>
      </c>
    </row>
    <row r="3473" s="11" customFormat="true" ht="10.95" hidden="false" customHeight="true" outlineLevel="0" collapsed="false">
      <c r="A3473" s="16" t="n">
        <v>45321</v>
      </c>
      <c r="B3473" s="17" t="s">
        <v>1645</v>
      </c>
      <c r="C3473" s="17" t="s">
        <v>1593</v>
      </c>
      <c r="D3473" s="17" t="s">
        <v>1407</v>
      </c>
      <c r="E3473" s="17" t="s">
        <v>1647</v>
      </c>
      <c r="F3473" s="17"/>
      <c r="G3473" s="18" t="n">
        <v>1.13</v>
      </c>
      <c r="H3473" s="18" t="n">
        <v>0</v>
      </c>
      <c r="I3473" s="18" t="n">
        <f aca="false">((I3472 + G3473) - H3473)</f>
        <v>5405.84</v>
      </c>
      <c r="J3473" s="18" t="n">
        <v>0</v>
      </c>
      <c r="K3473" s="19" t="n">
        <v>0</v>
      </c>
      <c r="L3473" s="17" t="s">
        <v>1406</v>
      </c>
    </row>
    <row r="3474" s="11" customFormat="true" ht="10.95" hidden="false" customHeight="true" outlineLevel="0" collapsed="false">
      <c r="A3474" s="16" t="n">
        <v>45321</v>
      </c>
      <c r="B3474" s="17" t="s">
        <v>1645</v>
      </c>
      <c r="C3474" s="17" t="s">
        <v>1593</v>
      </c>
      <c r="D3474" s="17" t="s">
        <v>1407</v>
      </c>
      <c r="E3474" s="17" t="s">
        <v>1647</v>
      </c>
      <c r="F3474" s="17"/>
      <c r="G3474" s="18" t="n">
        <v>1.94</v>
      </c>
      <c r="H3474" s="18" t="n">
        <v>0</v>
      </c>
      <c r="I3474" s="18" t="n">
        <f aca="false">((I3473 + G3474) - H3474)</f>
        <v>5407.78</v>
      </c>
      <c r="J3474" s="18" t="n">
        <v>0</v>
      </c>
      <c r="K3474" s="19" t="n">
        <v>0</v>
      </c>
      <c r="L3474" s="17" t="s">
        <v>1406</v>
      </c>
    </row>
    <row r="3475" s="11" customFormat="true" ht="10.95" hidden="false" customHeight="true" outlineLevel="0" collapsed="false">
      <c r="A3475" s="16" t="n">
        <v>45321</v>
      </c>
      <c r="B3475" s="17" t="s">
        <v>1645</v>
      </c>
      <c r="C3475" s="17" t="s">
        <v>1593</v>
      </c>
      <c r="D3475" s="17" t="s">
        <v>1407</v>
      </c>
      <c r="E3475" s="17" t="s">
        <v>1647</v>
      </c>
      <c r="F3475" s="17"/>
      <c r="G3475" s="18" t="n">
        <v>2.3</v>
      </c>
      <c r="H3475" s="18" t="n">
        <v>0</v>
      </c>
      <c r="I3475" s="18" t="n">
        <f aca="false">((I3474 + G3475) - H3475)</f>
        <v>5410.08</v>
      </c>
      <c r="J3475" s="18" t="n">
        <v>0</v>
      </c>
      <c r="K3475" s="19" t="n">
        <v>0</v>
      </c>
      <c r="L3475" s="17" t="s">
        <v>1406</v>
      </c>
    </row>
    <row r="3476" s="11" customFormat="true" ht="10.95" hidden="false" customHeight="true" outlineLevel="0" collapsed="false">
      <c r="A3476" s="16" t="n">
        <v>45321</v>
      </c>
      <c r="B3476" s="17" t="s">
        <v>1645</v>
      </c>
      <c r="C3476" s="17" t="s">
        <v>1593</v>
      </c>
      <c r="D3476" s="17" t="s">
        <v>1407</v>
      </c>
      <c r="E3476" s="17" t="s">
        <v>1711</v>
      </c>
      <c r="F3476" s="17"/>
      <c r="G3476" s="18" t="n">
        <v>2.85</v>
      </c>
      <c r="H3476" s="18" t="n">
        <v>0</v>
      </c>
      <c r="I3476" s="18" t="n">
        <f aca="false">((I3475 + G3476) - H3476)</f>
        <v>5412.93</v>
      </c>
      <c r="J3476" s="18" t="n">
        <v>0</v>
      </c>
      <c r="K3476" s="19" t="n">
        <v>0</v>
      </c>
      <c r="L3476" s="17" t="s">
        <v>1406</v>
      </c>
    </row>
    <row r="3477" s="11" customFormat="true" ht="10.95" hidden="false" customHeight="true" outlineLevel="0" collapsed="false">
      <c r="A3477" s="16" t="n">
        <v>45321</v>
      </c>
      <c r="B3477" s="17" t="s">
        <v>1645</v>
      </c>
      <c r="C3477" s="17" t="s">
        <v>1593</v>
      </c>
      <c r="D3477" s="17" t="s">
        <v>1407</v>
      </c>
      <c r="E3477" s="17" t="s">
        <v>1647</v>
      </c>
      <c r="F3477" s="17"/>
      <c r="G3477" s="18" t="n">
        <v>7.08</v>
      </c>
      <c r="H3477" s="18" t="n">
        <v>0</v>
      </c>
      <c r="I3477" s="18" t="n">
        <f aca="false">((I3476 + G3477) - H3477)</f>
        <v>5420.01</v>
      </c>
      <c r="J3477" s="18" t="n">
        <v>0</v>
      </c>
      <c r="K3477" s="19" t="n">
        <v>0</v>
      </c>
      <c r="L3477" s="17" t="s">
        <v>1406</v>
      </c>
    </row>
    <row r="3478" s="11" customFormat="true" ht="10.95" hidden="false" customHeight="true" outlineLevel="0" collapsed="false">
      <c r="A3478" s="16" t="n">
        <v>45321</v>
      </c>
      <c r="B3478" s="17" t="s">
        <v>1645</v>
      </c>
      <c r="C3478" s="17" t="s">
        <v>1593</v>
      </c>
      <c r="D3478" s="17" t="s">
        <v>1407</v>
      </c>
      <c r="E3478" s="17" t="s">
        <v>1647</v>
      </c>
      <c r="F3478" s="17"/>
      <c r="G3478" s="18" t="n">
        <v>11.78</v>
      </c>
      <c r="H3478" s="18" t="n">
        <v>0</v>
      </c>
      <c r="I3478" s="18" t="n">
        <f aca="false">((I3477 + G3478) - H3478)</f>
        <v>5431.79</v>
      </c>
      <c r="J3478" s="18" t="n">
        <v>0</v>
      </c>
      <c r="K3478" s="19" t="n">
        <v>0</v>
      </c>
      <c r="L3478" s="17" t="s">
        <v>1406</v>
      </c>
    </row>
    <row r="3479" s="11" customFormat="true" ht="10.95" hidden="false" customHeight="true" outlineLevel="0" collapsed="false">
      <c r="A3479" s="16" t="n">
        <v>45322</v>
      </c>
      <c r="B3479" s="17" t="s">
        <v>1645</v>
      </c>
      <c r="C3479" s="17" t="s">
        <v>1593</v>
      </c>
      <c r="D3479" s="17" t="s">
        <v>1407</v>
      </c>
      <c r="E3479" s="17" t="s">
        <v>1647</v>
      </c>
      <c r="F3479" s="17"/>
      <c r="G3479" s="18" t="n">
        <v>0.5</v>
      </c>
      <c r="H3479" s="18" t="n">
        <v>0</v>
      </c>
      <c r="I3479" s="18" t="n">
        <f aca="false">((I3478 + G3479) - H3479)</f>
        <v>5432.29</v>
      </c>
      <c r="J3479" s="18" t="n">
        <v>0</v>
      </c>
      <c r="K3479" s="19" t="n">
        <v>0</v>
      </c>
      <c r="L3479" s="17" t="s">
        <v>1406</v>
      </c>
    </row>
    <row r="3480" s="11" customFormat="true" ht="10.95" hidden="false" customHeight="true" outlineLevel="0" collapsed="false">
      <c r="A3480" s="16" t="n">
        <v>45322</v>
      </c>
      <c r="B3480" s="17" t="s">
        <v>1645</v>
      </c>
      <c r="C3480" s="17" t="s">
        <v>1593</v>
      </c>
      <c r="D3480" s="17" t="s">
        <v>1407</v>
      </c>
      <c r="E3480" s="17" t="s">
        <v>1647</v>
      </c>
      <c r="F3480" s="17"/>
      <c r="G3480" s="18" t="n">
        <v>2.3</v>
      </c>
      <c r="H3480" s="18" t="n">
        <v>0</v>
      </c>
      <c r="I3480" s="18" t="n">
        <f aca="false">((I3479 + G3480) - H3480)</f>
        <v>5434.59</v>
      </c>
      <c r="J3480" s="18" t="n">
        <v>0</v>
      </c>
      <c r="K3480" s="19" t="n">
        <v>0</v>
      </c>
      <c r="L3480" s="17" t="s">
        <v>1406</v>
      </c>
    </row>
    <row r="3481" s="11" customFormat="true" ht="10.95" hidden="false" customHeight="true" outlineLevel="0" collapsed="false">
      <c r="A3481" s="16" t="n">
        <v>45322</v>
      </c>
      <c r="B3481" s="17" t="s">
        <v>1645</v>
      </c>
      <c r="C3481" s="17" t="s">
        <v>1593</v>
      </c>
      <c r="D3481" s="17" t="s">
        <v>1407</v>
      </c>
      <c r="E3481" s="17" t="s">
        <v>1647</v>
      </c>
      <c r="F3481" s="17"/>
      <c r="G3481" s="18" t="n">
        <v>5.84</v>
      </c>
      <c r="H3481" s="18" t="n">
        <v>0</v>
      </c>
      <c r="I3481" s="18" t="n">
        <f aca="false">((I3480 + G3481) - H3481)</f>
        <v>5440.43</v>
      </c>
      <c r="J3481" s="18" t="n">
        <v>0</v>
      </c>
      <c r="K3481" s="19" t="n">
        <v>0</v>
      </c>
      <c r="L3481" s="17" t="s">
        <v>1406</v>
      </c>
    </row>
    <row r="3482" s="11" customFormat="true" ht="10.95" hidden="false" customHeight="true" outlineLevel="0" collapsed="false">
      <c r="A3482" s="16" t="n">
        <v>45322</v>
      </c>
      <c r="B3482" s="17" t="s">
        <v>1645</v>
      </c>
      <c r="C3482" s="17" t="s">
        <v>1593</v>
      </c>
      <c r="D3482" s="17" t="s">
        <v>1407</v>
      </c>
      <c r="E3482" s="17" t="s">
        <v>1647</v>
      </c>
      <c r="F3482" s="17"/>
      <c r="G3482" s="18" t="n">
        <v>17.61</v>
      </c>
      <c r="H3482" s="18" t="n">
        <v>0</v>
      </c>
      <c r="I3482" s="18" t="n">
        <f aca="false">((I3481 + G3482) - H3482)</f>
        <v>5458.04</v>
      </c>
      <c r="J3482" s="18" t="n">
        <v>0</v>
      </c>
      <c r="K3482" s="19" t="n">
        <v>0</v>
      </c>
      <c r="L3482" s="17" t="s">
        <v>1406</v>
      </c>
    </row>
    <row r="3483" s="11" customFormat="true" ht="10.95" hidden="false" customHeight="true" outlineLevel="0" collapsed="false">
      <c r="A3483" s="16" t="n">
        <v>45322</v>
      </c>
      <c r="B3483" s="17" t="s">
        <v>1645</v>
      </c>
      <c r="C3483" s="17" t="s">
        <v>1593</v>
      </c>
      <c r="D3483" s="17" t="s">
        <v>1407</v>
      </c>
      <c r="E3483" s="17" t="s">
        <v>1712</v>
      </c>
      <c r="F3483" s="17"/>
      <c r="G3483" s="18" t="n">
        <v>22.81</v>
      </c>
      <c r="H3483" s="18" t="n">
        <v>0</v>
      </c>
      <c r="I3483" s="18" t="n">
        <f aca="false">((I3482 + G3483) - H3483)</f>
        <v>5480.85</v>
      </c>
      <c r="J3483" s="18" t="n">
        <v>0</v>
      </c>
      <c r="K3483" s="19" t="n">
        <v>0</v>
      </c>
      <c r="L3483" s="17" t="s">
        <v>1406</v>
      </c>
    </row>
    <row r="3484" s="11" customFormat="true" ht="10.95" hidden="false" customHeight="true" outlineLevel="0" collapsed="false">
      <c r="A3484" s="16" t="n">
        <v>45322</v>
      </c>
      <c r="B3484" s="17" t="s">
        <v>1645</v>
      </c>
      <c r="C3484" s="17" t="s">
        <v>1593</v>
      </c>
      <c r="D3484" s="17" t="s">
        <v>1407</v>
      </c>
      <c r="E3484" s="17" t="s">
        <v>1663</v>
      </c>
      <c r="F3484" s="17"/>
      <c r="G3484" s="18" t="n">
        <v>15.2</v>
      </c>
      <c r="H3484" s="18" t="n">
        <v>0</v>
      </c>
      <c r="I3484" s="18" t="n">
        <f aca="false">((I3483 + G3484) - H3484)</f>
        <v>5496.05</v>
      </c>
      <c r="J3484" s="18" t="n">
        <v>0</v>
      </c>
      <c r="K3484" s="19" t="n">
        <v>0</v>
      </c>
      <c r="L3484" s="17" t="s">
        <v>1406</v>
      </c>
    </row>
    <row r="3485" s="11" customFormat="true" ht="10.95" hidden="false" customHeight="true" outlineLevel="0" collapsed="false">
      <c r="A3485" s="16" t="n">
        <v>45323</v>
      </c>
      <c r="B3485" s="17" t="s">
        <v>1645</v>
      </c>
      <c r="C3485" s="17" t="s">
        <v>1593</v>
      </c>
      <c r="D3485" s="17" t="s">
        <v>1407</v>
      </c>
      <c r="E3485" s="17" t="s">
        <v>1713</v>
      </c>
      <c r="F3485" s="17" t="s">
        <v>1354</v>
      </c>
      <c r="G3485" s="18" t="n">
        <v>3.46</v>
      </c>
      <c r="H3485" s="18" t="n">
        <v>0</v>
      </c>
      <c r="I3485" s="18" t="n">
        <f aca="false">((I3484 + G3485) - H3485)</f>
        <v>5499.51</v>
      </c>
      <c r="J3485" s="18" t="n">
        <v>0</v>
      </c>
      <c r="K3485" s="19" t="n">
        <v>0</v>
      </c>
      <c r="L3485" s="17" t="s">
        <v>1406</v>
      </c>
    </row>
    <row r="3486" s="11" customFormat="true" ht="10.95" hidden="false" customHeight="true" outlineLevel="0" collapsed="false">
      <c r="A3486" s="16" t="n">
        <v>45323</v>
      </c>
      <c r="B3486" s="17" t="s">
        <v>1645</v>
      </c>
      <c r="C3486" s="17" t="s">
        <v>1593</v>
      </c>
      <c r="D3486" s="17" t="s">
        <v>1407</v>
      </c>
      <c r="E3486" s="17" t="s">
        <v>1714</v>
      </c>
      <c r="F3486" s="17" t="s">
        <v>1356</v>
      </c>
      <c r="G3486" s="18" t="n">
        <v>12.36</v>
      </c>
      <c r="H3486" s="18" t="n">
        <v>0</v>
      </c>
      <c r="I3486" s="18" t="n">
        <f aca="false">((I3485 + G3486) - H3486)</f>
        <v>5511.87</v>
      </c>
      <c r="J3486" s="18" t="n">
        <v>0</v>
      </c>
      <c r="K3486" s="19" t="n">
        <v>0</v>
      </c>
      <c r="L3486" s="17" t="s">
        <v>1406</v>
      </c>
    </row>
    <row r="3487" s="11" customFormat="true" ht="10.95" hidden="false" customHeight="true" outlineLevel="0" collapsed="false">
      <c r="A3487" s="16" t="n">
        <v>45323</v>
      </c>
      <c r="B3487" s="17" t="s">
        <v>1645</v>
      </c>
      <c r="C3487" s="17" t="s">
        <v>1593</v>
      </c>
      <c r="D3487" s="17" t="s">
        <v>1407</v>
      </c>
      <c r="E3487" s="17" t="s">
        <v>1648</v>
      </c>
      <c r="F3487" s="17"/>
      <c r="G3487" s="18" t="n">
        <v>10</v>
      </c>
      <c r="H3487" s="18" t="n">
        <v>0</v>
      </c>
      <c r="I3487" s="18" t="n">
        <f aca="false">((I3486 + G3487) - H3487)</f>
        <v>5521.87</v>
      </c>
      <c r="J3487" s="18" t="n">
        <v>0</v>
      </c>
      <c r="K3487" s="19" t="n">
        <v>0</v>
      </c>
      <c r="L3487" s="17" t="s">
        <v>1406</v>
      </c>
    </row>
    <row r="3488" s="11" customFormat="true" ht="10.95" hidden="false" customHeight="true" outlineLevel="0" collapsed="false">
      <c r="A3488" s="16" t="n">
        <v>45323</v>
      </c>
      <c r="B3488" s="17" t="s">
        <v>1645</v>
      </c>
      <c r="C3488" s="17" t="s">
        <v>1593</v>
      </c>
      <c r="D3488" s="17" t="s">
        <v>1407</v>
      </c>
      <c r="E3488" s="17" t="s">
        <v>1647</v>
      </c>
      <c r="F3488" s="17"/>
      <c r="G3488" s="18" t="n">
        <v>30.6</v>
      </c>
      <c r="H3488" s="18" t="n">
        <v>0</v>
      </c>
      <c r="I3488" s="18" t="n">
        <f aca="false">((I3487 + G3488) - H3488)</f>
        <v>5552.47</v>
      </c>
      <c r="J3488" s="18" t="n">
        <v>0</v>
      </c>
      <c r="K3488" s="19" t="n">
        <v>0</v>
      </c>
      <c r="L3488" s="17" t="s">
        <v>1406</v>
      </c>
    </row>
    <row r="3489" s="11" customFormat="true" ht="10.95" hidden="false" customHeight="true" outlineLevel="0" collapsed="false">
      <c r="A3489" s="16" t="n">
        <v>45327</v>
      </c>
      <c r="B3489" s="17" t="s">
        <v>1645</v>
      </c>
      <c r="C3489" s="17" t="s">
        <v>1593</v>
      </c>
      <c r="D3489" s="17" t="s">
        <v>1407</v>
      </c>
      <c r="E3489" s="17" t="s">
        <v>1715</v>
      </c>
      <c r="F3489" s="17"/>
      <c r="G3489" s="18" t="n">
        <v>11.53</v>
      </c>
      <c r="H3489" s="18" t="n">
        <v>0</v>
      </c>
      <c r="I3489" s="18" t="n">
        <f aca="false">((I3488 + G3489) - H3489)</f>
        <v>5564</v>
      </c>
      <c r="J3489" s="18" t="n">
        <v>0</v>
      </c>
      <c r="K3489" s="19" t="n">
        <v>0</v>
      </c>
      <c r="L3489" s="17" t="s">
        <v>1406</v>
      </c>
    </row>
    <row r="3490" s="11" customFormat="true" ht="10.95" hidden="false" customHeight="true" outlineLevel="0" collapsed="false">
      <c r="A3490" s="16" t="n">
        <v>45328</v>
      </c>
      <c r="B3490" s="17" t="s">
        <v>1645</v>
      </c>
      <c r="C3490" s="17" t="s">
        <v>1593</v>
      </c>
      <c r="D3490" s="17" t="s">
        <v>1407</v>
      </c>
      <c r="E3490" s="17" t="s">
        <v>1647</v>
      </c>
      <c r="F3490" s="17"/>
      <c r="G3490" s="18" t="n">
        <v>0.08</v>
      </c>
      <c r="H3490" s="18" t="n">
        <v>0</v>
      </c>
      <c r="I3490" s="18" t="n">
        <f aca="false">((I3489 + G3490) - H3490)</f>
        <v>5564.08</v>
      </c>
      <c r="J3490" s="18" t="n">
        <v>0</v>
      </c>
      <c r="K3490" s="19" t="n">
        <v>0</v>
      </c>
      <c r="L3490" s="17" t="s">
        <v>1406</v>
      </c>
    </row>
    <row r="3491" s="11" customFormat="true" ht="10.95" hidden="false" customHeight="true" outlineLevel="0" collapsed="false">
      <c r="A3491" s="16" t="n">
        <v>45328</v>
      </c>
      <c r="B3491" s="17" t="s">
        <v>1645</v>
      </c>
      <c r="C3491" s="17" t="s">
        <v>1593</v>
      </c>
      <c r="D3491" s="17" t="s">
        <v>1407</v>
      </c>
      <c r="E3491" s="17" t="s">
        <v>1647</v>
      </c>
      <c r="F3491" s="17"/>
      <c r="G3491" s="18" t="n">
        <v>3.46</v>
      </c>
      <c r="H3491" s="18" t="n">
        <v>0</v>
      </c>
      <c r="I3491" s="18" t="n">
        <f aca="false">((I3490 + G3491) - H3491)</f>
        <v>5567.54</v>
      </c>
      <c r="J3491" s="18" t="n">
        <v>0</v>
      </c>
      <c r="K3491" s="19" t="n">
        <v>0</v>
      </c>
      <c r="L3491" s="17" t="s">
        <v>1406</v>
      </c>
    </row>
    <row r="3492" s="11" customFormat="true" ht="10.95" hidden="false" customHeight="true" outlineLevel="0" collapsed="false">
      <c r="A3492" s="16" t="n">
        <v>45328</v>
      </c>
      <c r="B3492" s="17" t="s">
        <v>1645</v>
      </c>
      <c r="C3492" s="17" t="s">
        <v>1593</v>
      </c>
      <c r="D3492" s="17" t="s">
        <v>1407</v>
      </c>
      <c r="E3492" s="17" t="s">
        <v>1647</v>
      </c>
      <c r="F3492" s="17"/>
      <c r="G3492" s="18" t="n">
        <v>6.54</v>
      </c>
      <c r="H3492" s="18" t="n">
        <v>0</v>
      </c>
      <c r="I3492" s="18" t="n">
        <f aca="false">((I3491 + G3492) - H3492)</f>
        <v>5574.08</v>
      </c>
      <c r="J3492" s="18" t="n">
        <v>0</v>
      </c>
      <c r="K3492" s="19" t="n">
        <v>0</v>
      </c>
      <c r="L3492" s="17" t="s">
        <v>1406</v>
      </c>
    </row>
    <row r="3493" s="11" customFormat="true" ht="10.95" hidden="false" customHeight="true" outlineLevel="0" collapsed="false">
      <c r="A3493" s="16" t="n">
        <v>45337</v>
      </c>
      <c r="B3493" s="17" t="s">
        <v>1645</v>
      </c>
      <c r="C3493" s="17" t="s">
        <v>1593</v>
      </c>
      <c r="D3493" s="17" t="s">
        <v>1407</v>
      </c>
      <c r="E3493" s="17" t="s">
        <v>1647</v>
      </c>
      <c r="F3493" s="17"/>
      <c r="G3493" s="18" t="n">
        <v>0.46</v>
      </c>
      <c r="H3493" s="18" t="n">
        <v>0</v>
      </c>
      <c r="I3493" s="18" t="n">
        <f aca="false">((I3492 + G3493) - H3493)</f>
        <v>5574.54</v>
      </c>
      <c r="J3493" s="18" t="n">
        <v>0</v>
      </c>
      <c r="K3493" s="19" t="n">
        <v>0</v>
      </c>
      <c r="L3493" s="17" t="s">
        <v>1406</v>
      </c>
    </row>
    <row r="3494" s="11" customFormat="true" ht="10.95" hidden="false" customHeight="true" outlineLevel="0" collapsed="false">
      <c r="A3494" s="16" t="n">
        <v>45337</v>
      </c>
      <c r="B3494" s="17" t="s">
        <v>1645</v>
      </c>
      <c r="C3494" s="17" t="s">
        <v>1593</v>
      </c>
      <c r="D3494" s="17" t="s">
        <v>1407</v>
      </c>
      <c r="E3494" s="17" t="s">
        <v>1709</v>
      </c>
      <c r="F3494" s="17"/>
      <c r="G3494" s="18" t="n">
        <v>2.8</v>
      </c>
      <c r="H3494" s="18" t="n">
        <v>0</v>
      </c>
      <c r="I3494" s="18" t="n">
        <f aca="false">((I3493 + G3494) - H3494)</f>
        <v>5577.34</v>
      </c>
      <c r="J3494" s="18" t="n">
        <v>0</v>
      </c>
      <c r="K3494" s="19" t="n">
        <v>0</v>
      </c>
      <c r="L3494" s="17" t="s">
        <v>1406</v>
      </c>
    </row>
    <row r="3495" s="11" customFormat="true" ht="10.95" hidden="false" customHeight="true" outlineLevel="0" collapsed="false">
      <c r="A3495" s="16" t="n">
        <v>45338</v>
      </c>
      <c r="B3495" s="17" t="s">
        <v>1645</v>
      </c>
      <c r="C3495" s="17" t="s">
        <v>1593</v>
      </c>
      <c r="D3495" s="17" t="s">
        <v>1407</v>
      </c>
      <c r="E3495" s="17" t="s">
        <v>1647</v>
      </c>
      <c r="F3495" s="17"/>
      <c r="G3495" s="18" t="n">
        <v>5.48</v>
      </c>
      <c r="H3495" s="18" t="n">
        <v>0</v>
      </c>
      <c r="I3495" s="18" t="n">
        <f aca="false">((I3494 + G3495) - H3495)</f>
        <v>5582.82</v>
      </c>
      <c r="J3495" s="18" t="n">
        <v>0</v>
      </c>
      <c r="K3495" s="19" t="n">
        <v>0</v>
      </c>
      <c r="L3495" s="17" t="s">
        <v>1406</v>
      </c>
    </row>
    <row r="3496" s="11" customFormat="true" ht="10.95" hidden="false" customHeight="true" outlineLevel="0" collapsed="false">
      <c r="A3496" s="16" t="n">
        <v>45342</v>
      </c>
      <c r="B3496" s="17" t="s">
        <v>1645</v>
      </c>
      <c r="C3496" s="17" t="s">
        <v>1593</v>
      </c>
      <c r="D3496" s="17" t="s">
        <v>1407</v>
      </c>
      <c r="E3496" s="17" t="s">
        <v>1653</v>
      </c>
      <c r="F3496" s="17"/>
      <c r="G3496" s="18" t="n">
        <v>466.72</v>
      </c>
      <c r="H3496" s="18" t="n">
        <v>0</v>
      </c>
      <c r="I3496" s="18" t="n">
        <f aca="false">((I3495 + G3496) - H3496)</f>
        <v>6049.54</v>
      </c>
      <c r="J3496" s="18" t="n">
        <v>0</v>
      </c>
      <c r="K3496" s="19" t="n">
        <v>0</v>
      </c>
      <c r="L3496" s="17" t="s">
        <v>1406</v>
      </c>
    </row>
    <row r="3497" s="11" customFormat="true" ht="10.95" hidden="false" customHeight="true" outlineLevel="0" collapsed="false">
      <c r="A3497" s="16" t="n">
        <v>45342</v>
      </c>
      <c r="B3497" s="17" t="s">
        <v>1645</v>
      </c>
      <c r="C3497" s="17" t="s">
        <v>1593</v>
      </c>
      <c r="D3497" s="17" t="s">
        <v>1407</v>
      </c>
      <c r="E3497" s="17" t="s">
        <v>1647</v>
      </c>
      <c r="F3497" s="17"/>
      <c r="G3497" s="18" t="n">
        <v>3.62</v>
      </c>
      <c r="H3497" s="18" t="n">
        <v>0</v>
      </c>
      <c r="I3497" s="18" t="n">
        <f aca="false">((I3496 + G3497) - H3497)</f>
        <v>6053.16</v>
      </c>
      <c r="J3497" s="18" t="n">
        <v>0</v>
      </c>
      <c r="K3497" s="19" t="n">
        <v>0</v>
      </c>
      <c r="L3497" s="17" t="s">
        <v>1406</v>
      </c>
    </row>
    <row r="3498" s="11" customFormat="true" ht="10.95" hidden="false" customHeight="true" outlineLevel="0" collapsed="false">
      <c r="A3498" s="16" t="n">
        <v>45342</v>
      </c>
      <c r="B3498" s="17" t="s">
        <v>1645</v>
      </c>
      <c r="C3498" s="17" t="s">
        <v>1593</v>
      </c>
      <c r="D3498" s="17" t="s">
        <v>1407</v>
      </c>
      <c r="E3498" s="17" t="s">
        <v>1647</v>
      </c>
      <c r="F3498" s="17"/>
      <c r="G3498" s="18" t="n">
        <v>5.03</v>
      </c>
      <c r="H3498" s="18" t="n">
        <v>0</v>
      </c>
      <c r="I3498" s="18" t="n">
        <f aca="false">((I3497 + G3498) - H3498)</f>
        <v>6058.19</v>
      </c>
      <c r="J3498" s="18" t="n">
        <v>0</v>
      </c>
      <c r="K3498" s="19" t="n">
        <v>0</v>
      </c>
      <c r="L3498" s="17" t="s">
        <v>1406</v>
      </c>
    </row>
    <row r="3499" s="11" customFormat="true" ht="10.95" hidden="false" customHeight="true" outlineLevel="0" collapsed="false">
      <c r="A3499" s="16" t="n">
        <v>45346</v>
      </c>
      <c r="B3499" s="17" t="s">
        <v>1645</v>
      </c>
      <c r="C3499" s="17" t="s">
        <v>1593</v>
      </c>
      <c r="D3499" s="17" t="s">
        <v>1407</v>
      </c>
      <c r="E3499" s="17" t="s">
        <v>1716</v>
      </c>
      <c r="F3499" s="17" t="s">
        <v>1358</v>
      </c>
      <c r="G3499" s="18" t="n">
        <v>65.17</v>
      </c>
      <c r="H3499" s="18" t="n">
        <v>0</v>
      </c>
      <c r="I3499" s="18" t="n">
        <f aca="false">((I3498 + G3499) - H3499)</f>
        <v>6123.36</v>
      </c>
      <c r="J3499" s="18" t="n">
        <v>0</v>
      </c>
      <c r="K3499" s="19" t="n">
        <v>0</v>
      </c>
      <c r="L3499" s="17" t="s">
        <v>1406</v>
      </c>
    </row>
    <row r="3500" s="11" customFormat="true" ht="10.95" hidden="false" customHeight="true" outlineLevel="0" collapsed="false">
      <c r="A3500" s="16" t="n">
        <v>45346</v>
      </c>
      <c r="B3500" s="17" t="s">
        <v>1645</v>
      </c>
      <c r="C3500" s="17" t="s">
        <v>1593</v>
      </c>
      <c r="D3500" s="17" t="s">
        <v>1407</v>
      </c>
      <c r="E3500" s="17" t="s">
        <v>1647</v>
      </c>
      <c r="F3500" s="17"/>
      <c r="G3500" s="18" t="n">
        <v>0.37</v>
      </c>
      <c r="H3500" s="18" t="n">
        <v>0</v>
      </c>
      <c r="I3500" s="18" t="n">
        <f aca="false">((I3499 + G3500) - H3500)</f>
        <v>6123.73</v>
      </c>
      <c r="J3500" s="18" t="n">
        <v>0</v>
      </c>
      <c r="K3500" s="19" t="n">
        <v>0</v>
      </c>
      <c r="L3500" s="17" t="s">
        <v>1406</v>
      </c>
    </row>
    <row r="3501" s="11" customFormat="true" ht="10.95" hidden="false" customHeight="true" outlineLevel="0" collapsed="false">
      <c r="A3501" s="16" t="n">
        <v>45349</v>
      </c>
      <c r="B3501" s="17" t="s">
        <v>1645</v>
      </c>
      <c r="C3501" s="17" t="s">
        <v>1593</v>
      </c>
      <c r="D3501" s="17" t="s">
        <v>1407</v>
      </c>
      <c r="E3501" s="17" t="s">
        <v>1717</v>
      </c>
      <c r="F3501" s="17"/>
      <c r="G3501" s="18" t="n">
        <v>5</v>
      </c>
      <c r="H3501" s="18" t="n">
        <v>0</v>
      </c>
      <c r="I3501" s="18" t="n">
        <f aca="false">((I3500 + G3501) - H3501)</f>
        <v>6128.73</v>
      </c>
      <c r="J3501" s="18" t="n">
        <v>0</v>
      </c>
      <c r="K3501" s="19" t="n">
        <v>0</v>
      </c>
      <c r="L3501" s="17" t="s">
        <v>1406</v>
      </c>
    </row>
    <row r="3502" s="11" customFormat="true" ht="10.95" hidden="false" customHeight="true" outlineLevel="0" collapsed="false">
      <c r="A3502" s="16" t="n">
        <v>45350</v>
      </c>
      <c r="B3502" s="17" t="s">
        <v>1645</v>
      </c>
      <c r="C3502" s="17" t="s">
        <v>1593</v>
      </c>
      <c r="D3502" s="17" t="s">
        <v>1407</v>
      </c>
      <c r="E3502" s="17" t="s">
        <v>1647</v>
      </c>
      <c r="F3502" s="17"/>
      <c r="G3502" s="18" t="n">
        <v>3.36</v>
      </c>
      <c r="H3502" s="18" t="n">
        <v>0</v>
      </c>
      <c r="I3502" s="18" t="n">
        <f aca="false">((I3501 + G3502) - H3502)</f>
        <v>6132.09</v>
      </c>
      <c r="J3502" s="18" t="n">
        <v>0</v>
      </c>
      <c r="K3502" s="19" t="n">
        <v>0</v>
      </c>
      <c r="L3502" s="17" t="s">
        <v>1406</v>
      </c>
    </row>
    <row r="3503" s="11" customFormat="true" ht="10.95" hidden="false" customHeight="true" outlineLevel="0" collapsed="false">
      <c r="A3503" s="16" t="n">
        <v>45352</v>
      </c>
      <c r="B3503" s="17" t="s">
        <v>1645</v>
      </c>
      <c r="C3503" s="17" t="s">
        <v>1593</v>
      </c>
      <c r="D3503" s="17" t="s">
        <v>1407</v>
      </c>
      <c r="E3503" s="17" t="s">
        <v>1718</v>
      </c>
      <c r="F3503" s="17" t="s">
        <v>1360</v>
      </c>
      <c r="G3503" s="18" t="n">
        <v>33.59</v>
      </c>
      <c r="H3503" s="18" t="n">
        <v>0</v>
      </c>
      <c r="I3503" s="18" t="n">
        <f aca="false">((I3502 + G3503) - H3503)</f>
        <v>6165.68</v>
      </c>
      <c r="J3503" s="18" t="n">
        <v>0</v>
      </c>
      <c r="K3503" s="19" t="n">
        <v>0</v>
      </c>
      <c r="L3503" s="17" t="s">
        <v>1406</v>
      </c>
    </row>
    <row r="3504" s="11" customFormat="true" ht="10.95" hidden="false" customHeight="true" outlineLevel="0" collapsed="false">
      <c r="A3504" s="16" t="n">
        <v>45352</v>
      </c>
      <c r="B3504" s="17" t="s">
        <v>1645</v>
      </c>
      <c r="C3504" s="17" t="s">
        <v>1593</v>
      </c>
      <c r="D3504" s="17" t="s">
        <v>1407</v>
      </c>
      <c r="E3504" s="17" t="s">
        <v>1719</v>
      </c>
      <c r="F3504" s="17" t="s">
        <v>1362</v>
      </c>
      <c r="G3504" s="18" t="n">
        <v>3.52</v>
      </c>
      <c r="H3504" s="18" t="n">
        <v>0</v>
      </c>
      <c r="I3504" s="18" t="n">
        <f aca="false">((I3503 + G3504) - H3504)</f>
        <v>6169.2</v>
      </c>
      <c r="J3504" s="18" t="n">
        <v>0</v>
      </c>
      <c r="K3504" s="19" t="n">
        <v>0</v>
      </c>
      <c r="L3504" s="17" t="s">
        <v>1406</v>
      </c>
    </row>
    <row r="3505" s="11" customFormat="true" ht="10.95" hidden="false" customHeight="true" outlineLevel="0" collapsed="false">
      <c r="A3505" s="16" t="n">
        <v>45352</v>
      </c>
      <c r="B3505" s="17" t="s">
        <v>1645</v>
      </c>
      <c r="C3505" s="17" t="s">
        <v>1593</v>
      </c>
      <c r="D3505" s="17" t="s">
        <v>1407</v>
      </c>
      <c r="E3505" s="17" t="s">
        <v>1720</v>
      </c>
      <c r="F3505" s="17" t="s">
        <v>1364</v>
      </c>
      <c r="G3505" s="18" t="n">
        <v>26.1</v>
      </c>
      <c r="H3505" s="18" t="n">
        <v>0</v>
      </c>
      <c r="I3505" s="18" t="n">
        <f aca="false">((I3504 + G3505) - H3505)</f>
        <v>6195.3</v>
      </c>
      <c r="J3505" s="18" t="n">
        <v>0</v>
      </c>
      <c r="K3505" s="19" t="n">
        <v>0</v>
      </c>
      <c r="L3505" s="17" t="s">
        <v>1406</v>
      </c>
    </row>
    <row r="3506" s="11" customFormat="true" ht="10.95" hidden="false" customHeight="true" outlineLevel="0" collapsed="false">
      <c r="A3506" s="16" t="n">
        <v>45352</v>
      </c>
      <c r="B3506" s="17" t="s">
        <v>1645</v>
      </c>
      <c r="C3506" s="17" t="s">
        <v>1593</v>
      </c>
      <c r="D3506" s="17" t="s">
        <v>1407</v>
      </c>
      <c r="E3506" s="17" t="s">
        <v>1721</v>
      </c>
      <c r="F3506" s="17" t="s">
        <v>1366</v>
      </c>
      <c r="G3506" s="18" t="n">
        <v>129.26</v>
      </c>
      <c r="H3506" s="18" t="n">
        <v>0</v>
      </c>
      <c r="I3506" s="18" t="n">
        <f aca="false">((I3505 + G3506) - H3506)</f>
        <v>6324.56</v>
      </c>
      <c r="J3506" s="18" t="n">
        <v>0</v>
      </c>
      <c r="K3506" s="19" t="n">
        <v>0</v>
      </c>
      <c r="L3506" s="17" t="s">
        <v>1406</v>
      </c>
    </row>
    <row r="3507" s="11" customFormat="true" ht="10.95" hidden="false" customHeight="true" outlineLevel="0" collapsed="false">
      <c r="A3507" s="16" t="n">
        <v>45352</v>
      </c>
      <c r="B3507" s="17" t="s">
        <v>1645</v>
      </c>
      <c r="C3507" s="17" t="s">
        <v>1593</v>
      </c>
      <c r="D3507" s="17" t="s">
        <v>1407</v>
      </c>
      <c r="E3507" s="17" t="s">
        <v>1648</v>
      </c>
      <c r="F3507" s="17"/>
      <c r="G3507" s="18" t="n">
        <v>10</v>
      </c>
      <c r="H3507" s="18" t="n">
        <v>0</v>
      </c>
      <c r="I3507" s="18" t="n">
        <f aca="false">((I3506 + G3507) - H3507)</f>
        <v>6334.56</v>
      </c>
      <c r="J3507" s="18" t="n">
        <v>0</v>
      </c>
      <c r="K3507" s="19" t="n">
        <v>0</v>
      </c>
      <c r="L3507" s="17" t="s">
        <v>1406</v>
      </c>
    </row>
    <row r="3508" s="11" customFormat="true" ht="10.95" hidden="false" customHeight="true" outlineLevel="0" collapsed="false">
      <c r="A3508" s="16" t="n">
        <v>45352</v>
      </c>
      <c r="B3508" s="17" t="s">
        <v>1645</v>
      </c>
      <c r="C3508" s="17" t="s">
        <v>1593</v>
      </c>
      <c r="D3508" s="17" t="s">
        <v>1407</v>
      </c>
      <c r="E3508" s="17" t="s">
        <v>1665</v>
      </c>
      <c r="F3508" s="17"/>
      <c r="G3508" s="18" t="n">
        <v>279.23</v>
      </c>
      <c r="H3508" s="18" t="n">
        <v>0</v>
      </c>
      <c r="I3508" s="18" t="n">
        <f aca="false">((I3507 + G3508) - H3508)</f>
        <v>6613.79</v>
      </c>
      <c r="J3508" s="18" t="n">
        <v>0</v>
      </c>
      <c r="K3508" s="19" t="n">
        <v>0</v>
      </c>
      <c r="L3508" s="17" t="s">
        <v>1406</v>
      </c>
    </row>
    <row r="3509" s="11" customFormat="true" ht="10.95" hidden="false" customHeight="true" outlineLevel="0" collapsed="false">
      <c r="A3509" s="16" t="n">
        <v>45353</v>
      </c>
      <c r="B3509" s="17" t="s">
        <v>1645</v>
      </c>
      <c r="C3509" s="17" t="s">
        <v>1593</v>
      </c>
      <c r="D3509" s="17" t="s">
        <v>1407</v>
      </c>
      <c r="E3509" s="17" t="s">
        <v>1647</v>
      </c>
      <c r="F3509" s="17"/>
      <c r="G3509" s="18" t="n">
        <v>2.31</v>
      </c>
      <c r="H3509" s="18" t="n">
        <v>0</v>
      </c>
      <c r="I3509" s="18" t="n">
        <f aca="false">((I3508 + G3509) - H3509)</f>
        <v>6616.1</v>
      </c>
      <c r="J3509" s="18" t="n">
        <v>0</v>
      </c>
      <c r="K3509" s="19" t="n">
        <v>0</v>
      </c>
      <c r="L3509" s="17" t="s">
        <v>1406</v>
      </c>
    </row>
    <row r="3510" s="11" customFormat="true" ht="10.95" hidden="false" customHeight="true" outlineLevel="0" collapsed="false">
      <c r="A3510" s="16" t="n">
        <v>45353</v>
      </c>
      <c r="B3510" s="17" t="s">
        <v>1645</v>
      </c>
      <c r="C3510" s="17" t="s">
        <v>1593</v>
      </c>
      <c r="D3510" s="17" t="s">
        <v>1407</v>
      </c>
      <c r="E3510" s="17" t="s">
        <v>1647</v>
      </c>
      <c r="F3510" s="17"/>
      <c r="G3510" s="18" t="n">
        <v>19.71</v>
      </c>
      <c r="H3510" s="18" t="n">
        <v>0</v>
      </c>
      <c r="I3510" s="18" t="n">
        <f aca="false">((I3509 + G3510) - H3510)</f>
        <v>6635.81</v>
      </c>
      <c r="J3510" s="18" t="n">
        <v>0</v>
      </c>
      <c r="K3510" s="19" t="n">
        <v>0</v>
      </c>
      <c r="L3510" s="17" t="s">
        <v>1406</v>
      </c>
    </row>
    <row r="3511" s="11" customFormat="true" ht="10.95" hidden="false" customHeight="true" outlineLevel="0" collapsed="false">
      <c r="A3511" s="16" t="n">
        <v>45356</v>
      </c>
      <c r="B3511" s="17" t="s">
        <v>1645</v>
      </c>
      <c r="C3511" s="17" t="s">
        <v>1593</v>
      </c>
      <c r="D3511" s="17" t="s">
        <v>1407</v>
      </c>
      <c r="E3511" s="17" t="s">
        <v>1647</v>
      </c>
      <c r="F3511" s="17"/>
      <c r="G3511" s="18" t="n">
        <v>0.47</v>
      </c>
      <c r="H3511" s="18" t="n">
        <v>0</v>
      </c>
      <c r="I3511" s="18" t="n">
        <f aca="false">((I3510 + G3511) - H3511)</f>
        <v>6636.28</v>
      </c>
      <c r="J3511" s="18" t="n">
        <v>0</v>
      </c>
      <c r="K3511" s="19" t="n">
        <v>0</v>
      </c>
      <c r="L3511" s="17" t="s">
        <v>1406</v>
      </c>
    </row>
    <row r="3512" s="11" customFormat="true" ht="10.95" hidden="false" customHeight="true" outlineLevel="0" collapsed="false">
      <c r="A3512" s="16" t="n">
        <v>45356</v>
      </c>
      <c r="B3512" s="17" t="s">
        <v>1645</v>
      </c>
      <c r="C3512" s="17" t="s">
        <v>1593</v>
      </c>
      <c r="D3512" s="17" t="s">
        <v>1407</v>
      </c>
      <c r="E3512" s="17" t="s">
        <v>1647</v>
      </c>
      <c r="F3512" s="17"/>
      <c r="G3512" s="18" t="n">
        <v>4.02</v>
      </c>
      <c r="H3512" s="18" t="n">
        <v>0</v>
      </c>
      <c r="I3512" s="18" t="n">
        <f aca="false">((I3511 + G3512) - H3512)</f>
        <v>6640.3</v>
      </c>
      <c r="J3512" s="18" t="n">
        <v>0</v>
      </c>
      <c r="K3512" s="19" t="n">
        <v>0</v>
      </c>
      <c r="L3512" s="17" t="s">
        <v>1406</v>
      </c>
    </row>
    <row r="3513" s="11" customFormat="true" ht="10.95" hidden="false" customHeight="true" outlineLevel="0" collapsed="false">
      <c r="A3513" s="16" t="n">
        <v>45356</v>
      </c>
      <c r="B3513" s="17" t="s">
        <v>1645</v>
      </c>
      <c r="C3513" s="17" t="s">
        <v>1593</v>
      </c>
      <c r="D3513" s="17" t="s">
        <v>1407</v>
      </c>
      <c r="E3513" s="17" t="s">
        <v>1647</v>
      </c>
      <c r="F3513" s="17"/>
      <c r="G3513" s="18" t="n">
        <v>6.05</v>
      </c>
      <c r="H3513" s="18" t="n">
        <v>0</v>
      </c>
      <c r="I3513" s="18" t="n">
        <f aca="false">((I3512 + G3513) - H3513)</f>
        <v>6646.35</v>
      </c>
      <c r="J3513" s="18" t="n">
        <v>0</v>
      </c>
      <c r="K3513" s="19" t="n">
        <v>0</v>
      </c>
      <c r="L3513" s="17" t="s">
        <v>1406</v>
      </c>
    </row>
    <row r="3514" s="11" customFormat="true" ht="10.95" hidden="false" customHeight="true" outlineLevel="0" collapsed="false">
      <c r="A3514" s="16" t="n">
        <v>45359</v>
      </c>
      <c r="B3514" s="17" t="s">
        <v>1645</v>
      </c>
      <c r="C3514" s="17" t="s">
        <v>1593</v>
      </c>
      <c r="D3514" s="17" t="s">
        <v>1407</v>
      </c>
      <c r="E3514" s="17" t="s">
        <v>1675</v>
      </c>
      <c r="F3514" s="17"/>
      <c r="G3514" s="18" t="n">
        <v>22.57</v>
      </c>
      <c r="H3514" s="18" t="n">
        <v>0</v>
      </c>
      <c r="I3514" s="18" t="n">
        <f aca="false">((I3513 + G3514) - H3514)</f>
        <v>6668.92</v>
      </c>
      <c r="J3514" s="18" t="n">
        <v>0</v>
      </c>
      <c r="K3514" s="19" t="n">
        <v>0</v>
      </c>
      <c r="L3514" s="17" t="s">
        <v>1406</v>
      </c>
    </row>
    <row r="3515" s="11" customFormat="true" ht="10.95" hidden="false" customHeight="true" outlineLevel="0" collapsed="false">
      <c r="A3515" s="16" t="n">
        <v>45360</v>
      </c>
      <c r="B3515" s="17" t="s">
        <v>1645</v>
      </c>
      <c r="C3515" s="17" t="s">
        <v>1593</v>
      </c>
      <c r="D3515" s="17" t="s">
        <v>1407</v>
      </c>
      <c r="E3515" s="17" t="s">
        <v>1722</v>
      </c>
      <c r="F3515" s="17"/>
      <c r="G3515" s="18" t="n">
        <v>91.24</v>
      </c>
      <c r="H3515" s="18" t="n">
        <v>0</v>
      </c>
      <c r="I3515" s="18" t="n">
        <f aca="false">((I3514 + G3515) - H3515)</f>
        <v>6760.16</v>
      </c>
      <c r="J3515" s="18" t="n">
        <v>0</v>
      </c>
      <c r="K3515" s="19" t="n">
        <v>0</v>
      </c>
      <c r="L3515" s="17" t="s">
        <v>1406</v>
      </c>
    </row>
    <row r="3516" s="11" customFormat="true" ht="10.95" hidden="false" customHeight="true" outlineLevel="0" collapsed="false">
      <c r="A3516" s="16" t="n">
        <v>45365</v>
      </c>
      <c r="B3516" s="17" t="s">
        <v>1645</v>
      </c>
      <c r="C3516" s="17" t="s">
        <v>1593</v>
      </c>
      <c r="D3516" s="17" t="s">
        <v>1407</v>
      </c>
      <c r="E3516" s="17" t="s">
        <v>1723</v>
      </c>
      <c r="F3516" s="17"/>
      <c r="G3516" s="18" t="n">
        <v>11.32</v>
      </c>
      <c r="H3516" s="18" t="n">
        <v>0</v>
      </c>
      <c r="I3516" s="18" t="n">
        <f aca="false">((I3515 + G3516) - H3516)</f>
        <v>6771.48</v>
      </c>
      <c r="J3516" s="18" t="n">
        <v>0</v>
      </c>
      <c r="K3516" s="19" t="n">
        <v>0</v>
      </c>
      <c r="L3516" s="17" t="s">
        <v>1406</v>
      </c>
    </row>
    <row r="3517" s="11" customFormat="true" ht="10.95" hidden="false" customHeight="true" outlineLevel="0" collapsed="false">
      <c r="A3517" s="16" t="n">
        <v>45366</v>
      </c>
      <c r="B3517" s="17" t="s">
        <v>1645</v>
      </c>
      <c r="C3517" s="17" t="s">
        <v>1593</v>
      </c>
      <c r="D3517" s="17" t="s">
        <v>1407</v>
      </c>
      <c r="E3517" s="17" t="s">
        <v>1647</v>
      </c>
      <c r="F3517" s="17"/>
      <c r="G3517" s="18" t="n">
        <v>0.45</v>
      </c>
      <c r="H3517" s="18" t="n">
        <v>0</v>
      </c>
      <c r="I3517" s="18" t="n">
        <f aca="false">((I3516 + G3517) - H3517)</f>
        <v>6771.93</v>
      </c>
      <c r="J3517" s="18" t="n">
        <v>0</v>
      </c>
      <c r="K3517" s="19" t="n">
        <v>0</v>
      </c>
      <c r="L3517" s="17" t="s">
        <v>1406</v>
      </c>
    </row>
    <row r="3518" s="11" customFormat="true" ht="10.95" hidden="false" customHeight="true" outlineLevel="0" collapsed="false">
      <c r="A3518" s="16" t="n">
        <v>45366</v>
      </c>
      <c r="B3518" s="17" t="s">
        <v>1645</v>
      </c>
      <c r="C3518" s="17" t="s">
        <v>1593</v>
      </c>
      <c r="D3518" s="17" t="s">
        <v>1407</v>
      </c>
      <c r="E3518" s="17" t="s">
        <v>1647</v>
      </c>
      <c r="F3518" s="17"/>
      <c r="G3518" s="18" t="n">
        <v>35.4</v>
      </c>
      <c r="H3518" s="18" t="n">
        <v>0</v>
      </c>
      <c r="I3518" s="18" t="n">
        <f aca="false">((I3517 + G3518) - H3518)</f>
        <v>6807.33</v>
      </c>
      <c r="J3518" s="18" t="n">
        <v>0</v>
      </c>
      <c r="K3518" s="19" t="n">
        <v>0</v>
      </c>
      <c r="L3518" s="17" t="s">
        <v>1406</v>
      </c>
    </row>
    <row r="3519" s="11" customFormat="true" ht="10.95" hidden="false" customHeight="true" outlineLevel="0" collapsed="false">
      <c r="A3519" s="16" t="n">
        <v>45371</v>
      </c>
      <c r="B3519" s="17" t="s">
        <v>1645</v>
      </c>
      <c r="C3519" s="17" t="s">
        <v>1593</v>
      </c>
      <c r="D3519" s="17" t="s">
        <v>1407</v>
      </c>
      <c r="E3519" s="17" t="s">
        <v>1683</v>
      </c>
      <c r="F3519" s="17"/>
      <c r="G3519" s="18" t="n">
        <v>23.01</v>
      </c>
      <c r="H3519" s="18" t="n">
        <v>0</v>
      </c>
      <c r="I3519" s="18" t="n">
        <f aca="false">((I3518 + G3519) - H3519)</f>
        <v>6830.34</v>
      </c>
      <c r="J3519" s="18" t="n">
        <v>0</v>
      </c>
      <c r="K3519" s="19" t="n">
        <v>0</v>
      </c>
      <c r="L3519" s="17" t="s">
        <v>1406</v>
      </c>
    </row>
    <row r="3520" s="11" customFormat="true" ht="10.95" hidden="false" customHeight="true" outlineLevel="0" collapsed="false">
      <c r="A3520" s="16" t="n">
        <v>45373</v>
      </c>
      <c r="B3520" s="17" t="s">
        <v>1645</v>
      </c>
      <c r="C3520" s="17" t="s">
        <v>1593</v>
      </c>
      <c r="D3520" s="17" t="s">
        <v>1407</v>
      </c>
      <c r="E3520" s="17" t="s">
        <v>1647</v>
      </c>
      <c r="F3520" s="17"/>
      <c r="G3520" s="18" t="n">
        <v>2.08</v>
      </c>
      <c r="H3520" s="18" t="n">
        <v>0</v>
      </c>
      <c r="I3520" s="18" t="n">
        <f aca="false">((I3519 + G3520) - H3520)</f>
        <v>6832.42</v>
      </c>
      <c r="J3520" s="18" t="n">
        <v>0</v>
      </c>
      <c r="K3520" s="19" t="n">
        <v>0</v>
      </c>
      <c r="L3520" s="17" t="s">
        <v>1406</v>
      </c>
    </row>
    <row r="3521" s="11" customFormat="true" ht="10.95" hidden="false" customHeight="true" outlineLevel="0" collapsed="false">
      <c r="A3521" s="16" t="n">
        <v>45381</v>
      </c>
      <c r="B3521" s="17" t="s">
        <v>1645</v>
      </c>
      <c r="C3521" s="17" t="s">
        <v>1593</v>
      </c>
      <c r="D3521" s="17" t="s">
        <v>1407</v>
      </c>
      <c r="E3521" s="17" t="s">
        <v>1724</v>
      </c>
      <c r="F3521" s="17"/>
      <c r="G3521" s="18" t="n">
        <v>76.7</v>
      </c>
      <c r="H3521" s="18" t="n">
        <v>0</v>
      </c>
      <c r="I3521" s="18" t="n">
        <f aca="false">((I3520 + G3521) - H3521)</f>
        <v>6909.12</v>
      </c>
      <c r="J3521" s="18" t="n">
        <v>0</v>
      </c>
      <c r="K3521" s="19" t="n">
        <v>0</v>
      </c>
      <c r="L3521" s="17" t="s">
        <v>1406</v>
      </c>
    </row>
    <row r="3522" s="11" customFormat="true" ht="10.95" hidden="false" customHeight="true" outlineLevel="0" collapsed="false">
      <c r="A3522" s="16" t="n">
        <v>45383</v>
      </c>
      <c r="B3522" s="17" t="s">
        <v>1645</v>
      </c>
      <c r="C3522" s="17" t="s">
        <v>1593</v>
      </c>
      <c r="D3522" s="17" t="s">
        <v>1407</v>
      </c>
      <c r="E3522" s="17" t="s">
        <v>1648</v>
      </c>
      <c r="F3522" s="17"/>
      <c r="G3522" s="18" t="n">
        <v>10</v>
      </c>
      <c r="H3522" s="18" t="n">
        <v>0</v>
      </c>
      <c r="I3522" s="18" t="n">
        <f aca="false">((I3521 + G3522) - H3522)</f>
        <v>6919.12</v>
      </c>
      <c r="J3522" s="18" t="n">
        <v>0</v>
      </c>
      <c r="K3522" s="19" t="n">
        <v>0</v>
      </c>
      <c r="L3522" s="17" t="s">
        <v>1406</v>
      </c>
    </row>
    <row r="3523" s="11" customFormat="true" ht="10.95" hidden="false" customHeight="true" outlineLevel="0" collapsed="false">
      <c r="A3523" s="16" t="n">
        <v>45385</v>
      </c>
      <c r="B3523" s="17" t="s">
        <v>1645</v>
      </c>
      <c r="C3523" s="17" t="s">
        <v>1593</v>
      </c>
      <c r="D3523" s="17" t="s">
        <v>1407</v>
      </c>
      <c r="E3523" s="17" t="s">
        <v>1647</v>
      </c>
      <c r="F3523" s="17"/>
      <c r="G3523" s="18" t="n">
        <v>2.31</v>
      </c>
      <c r="H3523" s="18" t="n">
        <v>0</v>
      </c>
      <c r="I3523" s="18" t="n">
        <f aca="false">((I3522 + G3523) - H3523)</f>
        <v>6921.43</v>
      </c>
      <c r="J3523" s="18" t="n">
        <v>0</v>
      </c>
      <c r="K3523" s="19" t="n">
        <v>0</v>
      </c>
      <c r="L3523" s="17" t="s">
        <v>1406</v>
      </c>
    </row>
    <row r="3524" s="11" customFormat="true" ht="10.95" hidden="false" customHeight="true" outlineLevel="0" collapsed="false">
      <c r="A3524" s="16" t="n">
        <v>45385</v>
      </c>
      <c r="B3524" s="17" t="s">
        <v>1645</v>
      </c>
      <c r="C3524" s="17" t="s">
        <v>1593</v>
      </c>
      <c r="D3524" s="17" t="s">
        <v>1407</v>
      </c>
      <c r="E3524" s="17" t="s">
        <v>1725</v>
      </c>
      <c r="F3524" s="17"/>
      <c r="G3524" s="18" t="n">
        <v>46.32</v>
      </c>
      <c r="H3524" s="18" t="n">
        <v>0</v>
      </c>
      <c r="I3524" s="18" t="n">
        <f aca="false">((I3523 + G3524) - H3524)</f>
        <v>6967.75</v>
      </c>
      <c r="J3524" s="18" t="n">
        <v>0</v>
      </c>
      <c r="K3524" s="19" t="n">
        <v>0</v>
      </c>
      <c r="L3524" s="17" t="s">
        <v>1406</v>
      </c>
    </row>
    <row r="3525" s="11" customFormat="true" ht="10.95" hidden="false" customHeight="true" outlineLevel="0" collapsed="false">
      <c r="A3525" s="16" t="n">
        <v>45386</v>
      </c>
      <c r="B3525" s="17" t="s">
        <v>1645</v>
      </c>
      <c r="C3525" s="17" t="s">
        <v>1593</v>
      </c>
      <c r="D3525" s="17" t="s">
        <v>1407</v>
      </c>
      <c r="E3525" s="17" t="s">
        <v>1647</v>
      </c>
      <c r="F3525" s="17"/>
      <c r="G3525" s="18" t="n">
        <v>1.85</v>
      </c>
      <c r="H3525" s="18" t="n">
        <v>0</v>
      </c>
      <c r="I3525" s="18" t="n">
        <f aca="false">((I3524 + G3525) - H3525)</f>
        <v>6969.6</v>
      </c>
      <c r="J3525" s="18" t="n">
        <v>0</v>
      </c>
      <c r="K3525" s="19" t="n">
        <v>0</v>
      </c>
      <c r="L3525" s="17" t="s">
        <v>1406</v>
      </c>
    </row>
    <row r="3526" s="11" customFormat="true" ht="10.95" hidden="false" customHeight="true" outlineLevel="0" collapsed="false">
      <c r="A3526" s="16" t="n">
        <v>45387</v>
      </c>
      <c r="B3526" s="17" t="s">
        <v>1645</v>
      </c>
      <c r="C3526" s="17" t="s">
        <v>1593</v>
      </c>
      <c r="D3526" s="17" t="s">
        <v>1407</v>
      </c>
      <c r="E3526" s="17" t="s">
        <v>1650</v>
      </c>
      <c r="F3526" s="17"/>
      <c r="G3526" s="18" t="n">
        <v>5</v>
      </c>
      <c r="H3526" s="18" t="n">
        <v>0</v>
      </c>
      <c r="I3526" s="18" t="n">
        <f aca="false">((I3525 + G3526) - H3526)</f>
        <v>6974.6</v>
      </c>
      <c r="J3526" s="18" t="n">
        <v>0</v>
      </c>
      <c r="K3526" s="19" t="n">
        <v>0</v>
      </c>
      <c r="L3526" s="17" t="s">
        <v>1406</v>
      </c>
    </row>
    <row r="3527" s="11" customFormat="true" ht="10.95" hidden="false" customHeight="true" outlineLevel="0" collapsed="false">
      <c r="A3527" s="16" t="n">
        <v>45387</v>
      </c>
      <c r="B3527" s="17" t="s">
        <v>1645</v>
      </c>
      <c r="C3527" s="17" t="s">
        <v>1593</v>
      </c>
      <c r="D3527" s="17" t="s">
        <v>1407</v>
      </c>
      <c r="E3527" s="17" t="s">
        <v>1647</v>
      </c>
      <c r="F3527" s="17"/>
      <c r="G3527" s="18" t="n">
        <v>0.73</v>
      </c>
      <c r="H3527" s="18" t="n">
        <v>0</v>
      </c>
      <c r="I3527" s="18" t="n">
        <f aca="false">((I3526 + G3527) - H3527)</f>
        <v>6975.33</v>
      </c>
      <c r="J3527" s="18" t="n">
        <v>0</v>
      </c>
      <c r="K3527" s="19" t="n">
        <v>0</v>
      </c>
      <c r="L3527" s="17" t="s">
        <v>1406</v>
      </c>
    </row>
    <row r="3528" s="11" customFormat="true" ht="10.95" hidden="false" customHeight="true" outlineLevel="0" collapsed="false">
      <c r="A3528" s="16" t="n">
        <v>45387</v>
      </c>
      <c r="B3528" s="17" t="s">
        <v>1645</v>
      </c>
      <c r="C3528" s="17" t="s">
        <v>1593</v>
      </c>
      <c r="D3528" s="17" t="s">
        <v>1407</v>
      </c>
      <c r="E3528" s="17" t="s">
        <v>1647</v>
      </c>
      <c r="F3528" s="17"/>
      <c r="G3528" s="18" t="n">
        <v>15.05</v>
      </c>
      <c r="H3528" s="18" t="n">
        <v>0</v>
      </c>
      <c r="I3528" s="18" t="n">
        <f aca="false">((I3527 + G3528) - H3528)</f>
        <v>6990.38</v>
      </c>
      <c r="J3528" s="18" t="n">
        <v>0</v>
      </c>
      <c r="K3528" s="19" t="n">
        <v>0</v>
      </c>
      <c r="L3528" s="17" t="s">
        <v>1406</v>
      </c>
    </row>
    <row r="3529" s="11" customFormat="true" ht="10.95" hidden="false" customHeight="true" outlineLevel="0" collapsed="false">
      <c r="A3529" s="16" t="n">
        <v>45388</v>
      </c>
      <c r="B3529" s="17" t="s">
        <v>1645</v>
      </c>
      <c r="C3529" s="17" t="s">
        <v>1593</v>
      </c>
      <c r="D3529" s="17" t="s">
        <v>1407</v>
      </c>
      <c r="E3529" s="17" t="s">
        <v>1647</v>
      </c>
      <c r="F3529" s="17"/>
      <c r="G3529" s="18" t="n">
        <v>7.61</v>
      </c>
      <c r="H3529" s="18" t="n">
        <v>0</v>
      </c>
      <c r="I3529" s="18" t="n">
        <f aca="false">((I3528 + G3529) - H3529)</f>
        <v>6997.99</v>
      </c>
      <c r="J3529" s="18" t="n">
        <v>0</v>
      </c>
      <c r="K3529" s="19" t="n">
        <v>0</v>
      </c>
      <c r="L3529" s="17" t="s">
        <v>1406</v>
      </c>
    </row>
    <row r="3530" s="11" customFormat="true" ht="10.95" hidden="false" customHeight="true" outlineLevel="0" collapsed="false">
      <c r="A3530" s="16" t="n">
        <v>45390</v>
      </c>
      <c r="B3530" s="17" t="s">
        <v>1645</v>
      </c>
      <c r="C3530" s="17" t="s">
        <v>1593</v>
      </c>
      <c r="D3530" s="17" t="s">
        <v>1407</v>
      </c>
      <c r="E3530" s="17" t="s">
        <v>1647</v>
      </c>
      <c r="F3530" s="17"/>
      <c r="G3530" s="18" t="n">
        <v>15.49</v>
      </c>
      <c r="H3530" s="18" t="n">
        <v>0</v>
      </c>
      <c r="I3530" s="18" t="n">
        <f aca="false">((I3529 + G3530) - H3530)</f>
        <v>7013.48</v>
      </c>
      <c r="J3530" s="18" t="n">
        <v>0</v>
      </c>
      <c r="K3530" s="19" t="n">
        <v>0</v>
      </c>
      <c r="L3530" s="17" t="s">
        <v>1406</v>
      </c>
    </row>
    <row r="3531" s="11" customFormat="true" ht="10.95" hidden="false" customHeight="true" outlineLevel="0" collapsed="false">
      <c r="A3531" s="16" t="n">
        <v>45391</v>
      </c>
      <c r="B3531" s="17" t="s">
        <v>1645</v>
      </c>
      <c r="C3531" s="17" t="s">
        <v>1593</v>
      </c>
      <c r="D3531" s="17" t="s">
        <v>1407</v>
      </c>
      <c r="E3531" s="17" t="s">
        <v>1650</v>
      </c>
      <c r="F3531" s="17"/>
      <c r="G3531" s="18" t="n">
        <v>5</v>
      </c>
      <c r="H3531" s="18" t="n">
        <v>0</v>
      </c>
      <c r="I3531" s="18" t="n">
        <f aca="false">((I3530 + G3531) - H3531)</f>
        <v>7018.48</v>
      </c>
      <c r="J3531" s="18" t="n">
        <v>0</v>
      </c>
      <c r="K3531" s="19" t="n">
        <v>0</v>
      </c>
      <c r="L3531" s="17" t="s">
        <v>1406</v>
      </c>
    </row>
    <row r="3532" s="11" customFormat="true" ht="10.95" hidden="false" customHeight="true" outlineLevel="0" collapsed="false">
      <c r="A3532" s="16" t="n">
        <v>45391</v>
      </c>
      <c r="B3532" s="17" t="s">
        <v>1645</v>
      </c>
      <c r="C3532" s="17" t="s">
        <v>1593</v>
      </c>
      <c r="D3532" s="17" t="s">
        <v>1407</v>
      </c>
      <c r="E3532" s="17" t="s">
        <v>1726</v>
      </c>
      <c r="F3532" s="17"/>
      <c r="G3532" s="18" t="n">
        <v>3.09</v>
      </c>
      <c r="H3532" s="18" t="n">
        <v>0</v>
      </c>
      <c r="I3532" s="18" t="n">
        <f aca="false">((I3531 + G3532) - H3532)</f>
        <v>7021.57</v>
      </c>
      <c r="J3532" s="18" t="n">
        <v>0</v>
      </c>
      <c r="K3532" s="19" t="n">
        <v>0</v>
      </c>
      <c r="L3532" s="17" t="s">
        <v>1406</v>
      </c>
    </row>
    <row r="3533" s="11" customFormat="true" ht="10.95" hidden="false" customHeight="true" outlineLevel="0" collapsed="false">
      <c r="A3533" s="16" t="n">
        <v>45391</v>
      </c>
      <c r="B3533" s="17" t="s">
        <v>1645</v>
      </c>
      <c r="C3533" s="17" t="s">
        <v>1593</v>
      </c>
      <c r="D3533" s="17" t="s">
        <v>1407</v>
      </c>
      <c r="E3533" s="17" t="s">
        <v>1708</v>
      </c>
      <c r="F3533" s="17"/>
      <c r="G3533" s="18" t="n">
        <v>11.31</v>
      </c>
      <c r="H3533" s="18" t="n">
        <v>0</v>
      </c>
      <c r="I3533" s="18" t="n">
        <f aca="false">((I3532 + G3533) - H3533)</f>
        <v>7032.88</v>
      </c>
      <c r="J3533" s="18" t="n">
        <v>0</v>
      </c>
      <c r="K3533" s="19" t="n">
        <v>0</v>
      </c>
      <c r="L3533" s="17" t="s">
        <v>1406</v>
      </c>
    </row>
    <row r="3534" s="11" customFormat="true" ht="10.95" hidden="false" customHeight="true" outlineLevel="0" collapsed="false">
      <c r="A3534" s="16" t="n">
        <v>45392</v>
      </c>
      <c r="B3534" s="17" t="s">
        <v>1645</v>
      </c>
      <c r="C3534" s="17" t="s">
        <v>1593</v>
      </c>
      <c r="D3534" s="17" t="s">
        <v>1407</v>
      </c>
      <c r="E3534" s="17" t="s">
        <v>1647</v>
      </c>
      <c r="F3534" s="17"/>
      <c r="G3534" s="18" t="n">
        <v>2.47</v>
      </c>
      <c r="H3534" s="18" t="n">
        <v>0</v>
      </c>
      <c r="I3534" s="18" t="n">
        <f aca="false">((I3533 + G3534) - H3534)</f>
        <v>7035.35</v>
      </c>
      <c r="J3534" s="18" t="n">
        <v>0</v>
      </c>
      <c r="K3534" s="19" t="n">
        <v>0</v>
      </c>
      <c r="L3534" s="17" t="s">
        <v>1406</v>
      </c>
    </row>
    <row r="3535" s="11" customFormat="true" ht="10.95" hidden="false" customHeight="true" outlineLevel="0" collapsed="false">
      <c r="A3535" s="16" t="n">
        <v>45393</v>
      </c>
      <c r="B3535" s="17" t="s">
        <v>1645</v>
      </c>
      <c r="C3535" s="17" t="s">
        <v>1593</v>
      </c>
      <c r="D3535" s="17" t="s">
        <v>1407</v>
      </c>
      <c r="E3535" s="17" t="s">
        <v>1647</v>
      </c>
      <c r="F3535" s="17"/>
      <c r="G3535" s="18" t="n">
        <v>0.23</v>
      </c>
      <c r="H3535" s="18" t="n">
        <v>0</v>
      </c>
      <c r="I3535" s="18" t="n">
        <f aca="false">((I3534 + G3535) - H3535)</f>
        <v>7035.58</v>
      </c>
      <c r="J3535" s="18" t="n">
        <v>0</v>
      </c>
      <c r="K3535" s="19" t="n">
        <v>0</v>
      </c>
      <c r="L3535" s="17" t="s">
        <v>1406</v>
      </c>
    </row>
    <row r="3536" s="11" customFormat="true" ht="10.95" hidden="false" customHeight="true" outlineLevel="0" collapsed="false">
      <c r="A3536" s="16" t="n">
        <v>45393</v>
      </c>
      <c r="B3536" s="17" t="s">
        <v>1645</v>
      </c>
      <c r="C3536" s="17" t="s">
        <v>1593</v>
      </c>
      <c r="D3536" s="17" t="s">
        <v>1407</v>
      </c>
      <c r="E3536" s="17" t="s">
        <v>1647</v>
      </c>
      <c r="F3536" s="17"/>
      <c r="G3536" s="18" t="n">
        <v>0.69</v>
      </c>
      <c r="H3536" s="18" t="n">
        <v>0</v>
      </c>
      <c r="I3536" s="18" t="n">
        <f aca="false">((I3535 + G3536) - H3536)</f>
        <v>7036.27</v>
      </c>
      <c r="J3536" s="18" t="n">
        <v>0</v>
      </c>
      <c r="K3536" s="19" t="n">
        <v>0</v>
      </c>
      <c r="L3536" s="17" t="s">
        <v>1406</v>
      </c>
    </row>
    <row r="3537" s="11" customFormat="true" ht="10.95" hidden="false" customHeight="true" outlineLevel="0" collapsed="false">
      <c r="A3537" s="16" t="n">
        <v>45393</v>
      </c>
      <c r="B3537" s="17" t="s">
        <v>1645</v>
      </c>
      <c r="C3537" s="17" t="s">
        <v>1593</v>
      </c>
      <c r="D3537" s="17" t="s">
        <v>1407</v>
      </c>
      <c r="E3537" s="17" t="s">
        <v>1647</v>
      </c>
      <c r="F3537" s="17"/>
      <c r="G3537" s="18" t="n">
        <v>1.07</v>
      </c>
      <c r="H3537" s="18" t="n">
        <v>0</v>
      </c>
      <c r="I3537" s="18" t="n">
        <f aca="false">((I3536 + G3537) - H3537)</f>
        <v>7037.34</v>
      </c>
      <c r="J3537" s="18" t="n">
        <v>0</v>
      </c>
      <c r="K3537" s="19" t="n">
        <v>0</v>
      </c>
      <c r="L3537" s="17" t="s">
        <v>1406</v>
      </c>
    </row>
    <row r="3538" s="11" customFormat="true" ht="10.95" hidden="false" customHeight="true" outlineLevel="0" collapsed="false">
      <c r="A3538" s="16" t="n">
        <v>45393</v>
      </c>
      <c r="B3538" s="17" t="s">
        <v>1645</v>
      </c>
      <c r="C3538" s="17" t="s">
        <v>1593</v>
      </c>
      <c r="D3538" s="17" t="s">
        <v>1407</v>
      </c>
      <c r="E3538" s="17" t="s">
        <v>1647</v>
      </c>
      <c r="F3538" s="17"/>
      <c r="G3538" s="18" t="n">
        <v>24.17</v>
      </c>
      <c r="H3538" s="18" t="n">
        <v>0</v>
      </c>
      <c r="I3538" s="18" t="n">
        <f aca="false">((I3537 + G3538) - H3538)</f>
        <v>7061.51</v>
      </c>
      <c r="J3538" s="18" t="n">
        <v>0</v>
      </c>
      <c r="K3538" s="19" t="n">
        <v>0</v>
      </c>
      <c r="L3538" s="17" t="s">
        <v>1406</v>
      </c>
    </row>
    <row r="3539" s="11" customFormat="true" ht="10.95" hidden="false" customHeight="true" outlineLevel="0" collapsed="false">
      <c r="A3539" s="16" t="n">
        <v>45394</v>
      </c>
      <c r="B3539" s="17" t="s">
        <v>1645</v>
      </c>
      <c r="C3539" s="17" t="s">
        <v>1593</v>
      </c>
      <c r="D3539" s="17" t="s">
        <v>1407</v>
      </c>
      <c r="E3539" s="17" t="s">
        <v>1647</v>
      </c>
      <c r="F3539" s="17"/>
      <c r="G3539" s="18" t="n">
        <v>0.23</v>
      </c>
      <c r="H3539" s="18" t="n">
        <v>0</v>
      </c>
      <c r="I3539" s="18" t="n">
        <f aca="false">((I3538 + G3539) - H3539)</f>
        <v>7061.74</v>
      </c>
      <c r="J3539" s="18" t="n">
        <v>0</v>
      </c>
      <c r="K3539" s="19" t="n">
        <v>0</v>
      </c>
      <c r="L3539" s="17" t="s">
        <v>1406</v>
      </c>
    </row>
    <row r="3540" s="11" customFormat="true" ht="10.95" hidden="false" customHeight="true" outlineLevel="0" collapsed="false">
      <c r="A3540" s="16" t="n">
        <v>45394</v>
      </c>
      <c r="B3540" s="17" t="s">
        <v>1645</v>
      </c>
      <c r="C3540" s="17" t="s">
        <v>1593</v>
      </c>
      <c r="D3540" s="17" t="s">
        <v>1407</v>
      </c>
      <c r="E3540" s="17" t="s">
        <v>1647</v>
      </c>
      <c r="F3540" s="17"/>
      <c r="G3540" s="18" t="n">
        <v>0.23</v>
      </c>
      <c r="H3540" s="18" t="n">
        <v>0</v>
      </c>
      <c r="I3540" s="18" t="n">
        <f aca="false">((I3539 + G3540) - H3540)</f>
        <v>7061.97</v>
      </c>
      <c r="J3540" s="18" t="n">
        <v>0</v>
      </c>
      <c r="K3540" s="19" t="n">
        <v>0</v>
      </c>
      <c r="L3540" s="17" t="s">
        <v>1406</v>
      </c>
    </row>
    <row r="3541" s="11" customFormat="true" ht="10.95" hidden="false" customHeight="true" outlineLevel="0" collapsed="false">
      <c r="A3541" s="16" t="n">
        <v>45394</v>
      </c>
      <c r="B3541" s="17" t="s">
        <v>1645</v>
      </c>
      <c r="C3541" s="17" t="s">
        <v>1593</v>
      </c>
      <c r="D3541" s="17" t="s">
        <v>1407</v>
      </c>
      <c r="E3541" s="17" t="s">
        <v>1647</v>
      </c>
      <c r="F3541" s="17"/>
      <c r="G3541" s="18" t="n">
        <v>0.36</v>
      </c>
      <c r="H3541" s="18" t="n">
        <v>0</v>
      </c>
      <c r="I3541" s="18" t="n">
        <f aca="false">((I3540 + G3541) - H3541)</f>
        <v>7062.33</v>
      </c>
      <c r="J3541" s="18" t="n">
        <v>0</v>
      </c>
      <c r="K3541" s="19" t="n">
        <v>0</v>
      </c>
      <c r="L3541" s="17" t="s">
        <v>1406</v>
      </c>
    </row>
    <row r="3542" s="11" customFormat="true" ht="10.95" hidden="false" customHeight="true" outlineLevel="0" collapsed="false">
      <c r="A3542" s="16" t="n">
        <v>45394</v>
      </c>
      <c r="B3542" s="17" t="s">
        <v>1645</v>
      </c>
      <c r="C3542" s="17" t="s">
        <v>1593</v>
      </c>
      <c r="D3542" s="17" t="s">
        <v>1407</v>
      </c>
      <c r="E3542" s="17" t="s">
        <v>1647</v>
      </c>
      <c r="F3542" s="17"/>
      <c r="G3542" s="18" t="n">
        <v>0.74</v>
      </c>
      <c r="H3542" s="18" t="n">
        <v>0</v>
      </c>
      <c r="I3542" s="18" t="n">
        <f aca="false">((I3541 + G3542) - H3542)</f>
        <v>7063.07</v>
      </c>
      <c r="J3542" s="18" t="n">
        <v>0</v>
      </c>
      <c r="K3542" s="19" t="n">
        <v>0</v>
      </c>
      <c r="L3542" s="17" t="s">
        <v>1406</v>
      </c>
    </row>
    <row r="3543" s="11" customFormat="true" ht="10.95" hidden="false" customHeight="true" outlineLevel="0" collapsed="false">
      <c r="A3543" s="16" t="n">
        <v>45394</v>
      </c>
      <c r="B3543" s="17" t="s">
        <v>1645</v>
      </c>
      <c r="C3543" s="17" t="s">
        <v>1593</v>
      </c>
      <c r="D3543" s="17" t="s">
        <v>1407</v>
      </c>
      <c r="E3543" s="17" t="s">
        <v>1647</v>
      </c>
      <c r="F3543" s="17"/>
      <c r="G3543" s="18" t="n">
        <v>2.24</v>
      </c>
      <c r="H3543" s="18" t="n">
        <v>0</v>
      </c>
      <c r="I3543" s="18" t="n">
        <f aca="false">((I3542 + G3543) - H3543)</f>
        <v>7065.31</v>
      </c>
      <c r="J3543" s="18" t="n">
        <v>0</v>
      </c>
      <c r="K3543" s="19" t="n">
        <v>0</v>
      </c>
      <c r="L3543" s="17" t="s">
        <v>1406</v>
      </c>
    </row>
    <row r="3544" s="11" customFormat="true" ht="10.95" hidden="false" customHeight="true" outlineLevel="0" collapsed="false">
      <c r="A3544" s="16" t="n">
        <v>45397</v>
      </c>
      <c r="B3544" s="17" t="s">
        <v>1645</v>
      </c>
      <c r="C3544" s="17" t="s">
        <v>1593</v>
      </c>
      <c r="D3544" s="17" t="s">
        <v>1407</v>
      </c>
      <c r="E3544" s="17" t="s">
        <v>1683</v>
      </c>
      <c r="F3544" s="17"/>
      <c r="G3544" s="18" t="n">
        <v>23.15</v>
      </c>
      <c r="H3544" s="18" t="n">
        <v>0</v>
      </c>
      <c r="I3544" s="18" t="n">
        <f aca="false">((I3543 + G3544) - H3544)</f>
        <v>7088.46</v>
      </c>
      <c r="J3544" s="18" t="n">
        <v>0</v>
      </c>
      <c r="K3544" s="19" t="n">
        <v>0</v>
      </c>
      <c r="L3544" s="17" t="s">
        <v>1406</v>
      </c>
    </row>
    <row r="3545" s="11" customFormat="true" ht="10.95" hidden="false" customHeight="true" outlineLevel="0" collapsed="false">
      <c r="A3545" s="16" t="n">
        <v>45398</v>
      </c>
      <c r="B3545" s="17" t="s">
        <v>1645</v>
      </c>
      <c r="C3545" s="17" t="s">
        <v>1593</v>
      </c>
      <c r="D3545" s="17" t="s">
        <v>1407</v>
      </c>
      <c r="E3545" s="17" t="s">
        <v>1647</v>
      </c>
      <c r="F3545" s="17"/>
      <c r="G3545" s="18" t="n">
        <v>0.46</v>
      </c>
      <c r="H3545" s="18" t="n">
        <v>0</v>
      </c>
      <c r="I3545" s="18" t="n">
        <f aca="false">((I3544 + G3545) - H3545)</f>
        <v>7088.92</v>
      </c>
      <c r="J3545" s="18" t="n">
        <v>0</v>
      </c>
      <c r="K3545" s="19" t="n">
        <v>0</v>
      </c>
      <c r="L3545" s="17" t="s">
        <v>1406</v>
      </c>
    </row>
    <row r="3546" s="11" customFormat="true" ht="10.95" hidden="false" customHeight="true" outlineLevel="0" collapsed="false">
      <c r="A3546" s="16" t="n">
        <v>45398</v>
      </c>
      <c r="B3546" s="17" t="s">
        <v>1645</v>
      </c>
      <c r="C3546" s="17" t="s">
        <v>1593</v>
      </c>
      <c r="D3546" s="17" t="s">
        <v>1407</v>
      </c>
      <c r="E3546" s="17" t="s">
        <v>1647</v>
      </c>
      <c r="F3546" s="17"/>
      <c r="G3546" s="18" t="n">
        <v>6.07</v>
      </c>
      <c r="H3546" s="18" t="n">
        <v>0</v>
      </c>
      <c r="I3546" s="18" t="n">
        <f aca="false">((I3545 + G3546) - H3546)</f>
        <v>7094.99</v>
      </c>
      <c r="J3546" s="18" t="n">
        <v>0</v>
      </c>
      <c r="K3546" s="19" t="n">
        <v>0</v>
      </c>
      <c r="L3546" s="17" t="s">
        <v>1406</v>
      </c>
    </row>
    <row r="3547" s="11" customFormat="true" ht="10.95" hidden="false" customHeight="true" outlineLevel="0" collapsed="false">
      <c r="A3547" s="16" t="n">
        <v>45401</v>
      </c>
      <c r="B3547" s="17" t="s">
        <v>1645</v>
      </c>
      <c r="C3547" s="17" t="s">
        <v>1593</v>
      </c>
      <c r="D3547" s="17" t="s">
        <v>1407</v>
      </c>
      <c r="E3547" s="17" t="s">
        <v>1710</v>
      </c>
      <c r="F3547" s="17"/>
      <c r="G3547" s="18" t="n">
        <v>19.95</v>
      </c>
      <c r="H3547" s="18" t="n">
        <v>0</v>
      </c>
      <c r="I3547" s="18" t="n">
        <f aca="false">((I3546 + G3547) - H3547)</f>
        <v>7114.94</v>
      </c>
      <c r="J3547" s="18" t="n">
        <v>0</v>
      </c>
      <c r="K3547" s="19" t="n">
        <v>0</v>
      </c>
      <c r="L3547" s="17" t="s">
        <v>1406</v>
      </c>
    </row>
    <row r="3548" s="11" customFormat="true" ht="10.95" hidden="false" customHeight="true" outlineLevel="0" collapsed="false">
      <c r="A3548" s="16" t="n">
        <v>45405</v>
      </c>
      <c r="B3548" s="17" t="s">
        <v>1645</v>
      </c>
      <c r="C3548" s="17" t="s">
        <v>1593</v>
      </c>
      <c r="D3548" s="17" t="s">
        <v>1407</v>
      </c>
      <c r="E3548" s="17" t="s">
        <v>1647</v>
      </c>
      <c r="F3548" s="17"/>
      <c r="G3548" s="18" t="n">
        <v>0.3</v>
      </c>
      <c r="H3548" s="18" t="n">
        <v>0</v>
      </c>
      <c r="I3548" s="18" t="n">
        <f aca="false">((I3547 + G3548) - H3548)</f>
        <v>7115.24</v>
      </c>
      <c r="J3548" s="18" t="n">
        <v>0</v>
      </c>
      <c r="K3548" s="19" t="n">
        <v>0</v>
      </c>
      <c r="L3548" s="17" t="s">
        <v>1406</v>
      </c>
    </row>
    <row r="3549" s="11" customFormat="true" ht="10.95" hidden="false" customHeight="true" outlineLevel="0" collapsed="false">
      <c r="A3549" s="16" t="n">
        <v>45405</v>
      </c>
      <c r="B3549" s="17" t="s">
        <v>1645</v>
      </c>
      <c r="C3549" s="17" t="s">
        <v>1593</v>
      </c>
      <c r="D3549" s="17" t="s">
        <v>1407</v>
      </c>
      <c r="E3549" s="17" t="s">
        <v>1647</v>
      </c>
      <c r="F3549" s="17"/>
      <c r="G3549" s="18" t="n">
        <v>0.46</v>
      </c>
      <c r="H3549" s="18" t="n">
        <v>0</v>
      </c>
      <c r="I3549" s="18" t="n">
        <f aca="false">((I3548 + G3549) - H3549)</f>
        <v>7115.7</v>
      </c>
      <c r="J3549" s="18" t="n">
        <v>0</v>
      </c>
      <c r="K3549" s="19" t="n">
        <v>0</v>
      </c>
      <c r="L3549" s="17" t="s">
        <v>1406</v>
      </c>
    </row>
    <row r="3550" s="11" customFormat="true" ht="10.95" hidden="false" customHeight="true" outlineLevel="0" collapsed="false">
      <c r="A3550" s="16" t="n">
        <v>45407</v>
      </c>
      <c r="B3550" s="17" t="s">
        <v>1645</v>
      </c>
      <c r="C3550" s="17" t="s">
        <v>1593</v>
      </c>
      <c r="D3550" s="17" t="s">
        <v>1407</v>
      </c>
      <c r="E3550" s="17" t="s">
        <v>1647</v>
      </c>
      <c r="F3550" s="17"/>
      <c r="G3550" s="18" t="n">
        <v>0.4</v>
      </c>
      <c r="H3550" s="18" t="n">
        <v>0</v>
      </c>
      <c r="I3550" s="18" t="n">
        <f aca="false">((I3549 + G3550) - H3550)</f>
        <v>7116.1</v>
      </c>
      <c r="J3550" s="18" t="n">
        <v>0</v>
      </c>
      <c r="K3550" s="19" t="n">
        <v>0</v>
      </c>
      <c r="L3550" s="17" t="s">
        <v>1406</v>
      </c>
    </row>
    <row r="3551" s="11" customFormat="true" ht="10.95" hidden="false" customHeight="true" outlineLevel="0" collapsed="false">
      <c r="A3551" s="16" t="n">
        <v>45407</v>
      </c>
      <c r="B3551" s="17" t="s">
        <v>1645</v>
      </c>
      <c r="C3551" s="17" t="s">
        <v>1593</v>
      </c>
      <c r="D3551" s="17" t="s">
        <v>1407</v>
      </c>
      <c r="E3551" s="17" t="s">
        <v>1647</v>
      </c>
      <c r="F3551" s="17"/>
      <c r="G3551" s="18" t="n">
        <v>0.65</v>
      </c>
      <c r="H3551" s="18" t="n">
        <v>0</v>
      </c>
      <c r="I3551" s="18" t="n">
        <f aca="false">((I3550 + G3551) - H3551)</f>
        <v>7116.75</v>
      </c>
      <c r="J3551" s="18" t="n">
        <v>0</v>
      </c>
      <c r="K3551" s="19" t="n">
        <v>0</v>
      </c>
      <c r="L3551" s="17" t="s">
        <v>1406</v>
      </c>
    </row>
    <row r="3552" s="11" customFormat="true" ht="10.95" hidden="false" customHeight="true" outlineLevel="0" collapsed="false">
      <c r="A3552" s="16" t="n">
        <v>45407</v>
      </c>
      <c r="B3552" s="17" t="s">
        <v>1645</v>
      </c>
      <c r="C3552" s="17" t="s">
        <v>1593</v>
      </c>
      <c r="D3552" s="17" t="s">
        <v>1407</v>
      </c>
      <c r="E3552" s="17" t="s">
        <v>1647</v>
      </c>
      <c r="F3552" s="17"/>
      <c r="G3552" s="18" t="n">
        <v>0.99</v>
      </c>
      <c r="H3552" s="18" t="n">
        <v>0</v>
      </c>
      <c r="I3552" s="18" t="n">
        <f aca="false">((I3551 + G3552) - H3552)</f>
        <v>7117.74</v>
      </c>
      <c r="J3552" s="18" t="n">
        <v>0</v>
      </c>
      <c r="K3552" s="19" t="n">
        <v>0</v>
      </c>
      <c r="L3552" s="17" t="s">
        <v>1406</v>
      </c>
    </row>
    <row r="3553" s="11" customFormat="true" ht="10.95" hidden="false" customHeight="true" outlineLevel="0" collapsed="false">
      <c r="A3553" s="16" t="n">
        <v>45407</v>
      </c>
      <c r="B3553" s="17" t="s">
        <v>1645</v>
      </c>
      <c r="C3553" s="17" t="s">
        <v>1593</v>
      </c>
      <c r="D3553" s="17" t="s">
        <v>1407</v>
      </c>
      <c r="E3553" s="17" t="s">
        <v>1647</v>
      </c>
      <c r="F3553" s="17"/>
      <c r="G3553" s="18" t="n">
        <v>38.37</v>
      </c>
      <c r="H3553" s="18" t="n">
        <v>0</v>
      </c>
      <c r="I3553" s="18" t="n">
        <f aca="false">((I3552 + G3553) - H3553)</f>
        <v>7156.11</v>
      </c>
      <c r="J3553" s="18" t="n">
        <v>0</v>
      </c>
      <c r="K3553" s="19" t="n">
        <v>0</v>
      </c>
      <c r="L3553" s="17" t="s">
        <v>1406</v>
      </c>
    </row>
    <row r="3554" s="11" customFormat="true" ht="10.95" hidden="false" customHeight="true" outlineLevel="0" collapsed="false">
      <c r="A3554" s="16" t="n">
        <v>45408</v>
      </c>
      <c r="B3554" s="17" t="s">
        <v>1645</v>
      </c>
      <c r="C3554" s="17" t="s">
        <v>1593</v>
      </c>
      <c r="D3554" s="17" t="s">
        <v>1407</v>
      </c>
      <c r="E3554" s="17" t="s">
        <v>1710</v>
      </c>
      <c r="F3554" s="17"/>
      <c r="G3554" s="18" t="n">
        <v>10.79</v>
      </c>
      <c r="H3554" s="18" t="n">
        <v>0</v>
      </c>
      <c r="I3554" s="18" t="n">
        <f aca="false">((I3553 + G3554) - H3554)</f>
        <v>7166.9</v>
      </c>
      <c r="J3554" s="18" t="n">
        <v>0</v>
      </c>
      <c r="K3554" s="19" t="n">
        <v>0</v>
      </c>
      <c r="L3554" s="17" t="s">
        <v>1406</v>
      </c>
    </row>
    <row r="3555" s="11" customFormat="true" ht="10.95" hidden="false" customHeight="true" outlineLevel="0" collapsed="false">
      <c r="A3555" s="16" t="n">
        <v>45409</v>
      </c>
      <c r="B3555" s="17" t="s">
        <v>1645</v>
      </c>
      <c r="C3555" s="17" t="s">
        <v>1593</v>
      </c>
      <c r="D3555" s="17" t="s">
        <v>1407</v>
      </c>
      <c r="E3555" s="17" t="s">
        <v>1647</v>
      </c>
      <c r="F3555" s="17"/>
      <c r="G3555" s="18" t="n">
        <v>0.7</v>
      </c>
      <c r="H3555" s="18" t="n">
        <v>0</v>
      </c>
      <c r="I3555" s="18" t="n">
        <f aca="false">((I3554 + G3555) - H3555)</f>
        <v>7167.6</v>
      </c>
      <c r="J3555" s="18" t="n">
        <v>0</v>
      </c>
      <c r="K3555" s="19" t="n">
        <v>0</v>
      </c>
      <c r="L3555" s="17" t="s">
        <v>1406</v>
      </c>
    </row>
    <row r="3556" s="11" customFormat="true" ht="10.95" hidden="false" customHeight="true" outlineLevel="0" collapsed="false">
      <c r="A3556" s="16" t="n">
        <v>45409</v>
      </c>
      <c r="B3556" s="17" t="s">
        <v>1645</v>
      </c>
      <c r="C3556" s="17" t="s">
        <v>1593</v>
      </c>
      <c r="D3556" s="17" t="s">
        <v>1407</v>
      </c>
      <c r="E3556" s="17" t="s">
        <v>1647</v>
      </c>
      <c r="F3556" s="17"/>
      <c r="G3556" s="18" t="n">
        <v>0.79</v>
      </c>
      <c r="H3556" s="18" t="n">
        <v>0</v>
      </c>
      <c r="I3556" s="18" t="n">
        <f aca="false">((I3555 + G3556) - H3556)</f>
        <v>7168.39</v>
      </c>
      <c r="J3556" s="18" t="n">
        <v>0</v>
      </c>
      <c r="K3556" s="19" t="n">
        <v>0</v>
      </c>
      <c r="L3556" s="17" t="s">
        <v>1406</v>
      </c>
    </row>
    <row r="3557" s="11" customFormat="true" ht="10.95" hidden="false" customHeight="true" outlineLevel="0" collapsed="false">
      <c r="A3557" s="16" t="n">
        <v>45409</v>
      </c>
      <c r="B3557" s="17" t="s">
        <v>1645</v>
      </c>
      <c r="C3557" s="17" t="s">
        <v>1593</v>
      </c>
      <c r="D3557" s="17" t="s">
        <v>1407</v>
      </c>
      <c r="E3557" s="17" t="s">
        <v>1647</v>
      </c>
      <c r="F3557" s="17"/>
      <c r="G3557" s="18" t="n">
        <v>0.8</v>
      </c>
      <c r="H3557" s="18" t="n">
        <v>0</v>
      </c>
      <c r="I3557" s="18" t="n">
        <f aca="false">((I3556 + G3557) - H3557)</f>
        <v>7169.19</v>
      </c>
      <c r="J3557" s="18" t="n">
        <v>0</v>
      </c>
      <c r="K3557" s="19" t="n">
        <v>0</v>
      </c>
      <c r="L3557" s="17" t="s">
        <v>1406</v>
      </c>
    </row>
    <row r="3558" s="11" customFormat="true" ht="10.95" hidden="false" customHeight="true" outlineLevel="0" collapsed="false">
      <c r="A3558" s="16" t="n">
        <v>45409</v>
      </c>
      <c r="B3558" s="17" t="s">
        <v>1645</v>
      </c>
      <c r="C3558" s="17" t="s">
        <v>1593</v>
      </c>
      <c r="D3558" s="17" t="s">
        <v>1407</v>
      </c>
      <c r="E3558" s="17" t="s">
        <v>1647</v>
      </c>
      <c r="F3558" s="17"/>
      <c r="G3558" s="18" t="n">
        <v>0.97</v>
      </c>
      <c r="H3558" s="18" t="n">
        <v>0</v>
      </c>
      <c r="I3558" s="18" t="n">
        <f aca="false">((I3557 + G3558) - H3558)</f>
        <v>7170.16</v>
      </c>
      <c r="J3558" s="18" t="n">
        <v>0</v>
      </c>
      <c r="K3558" s="19" t="n">
        <v>0</v>
      </c>
      <c r="L3558" s="17" t="s">
        <v>1406</v>
      </c>
    </row>
    <row r="3559" s="11" customFormat="true" ht="10.95" hidden="false" customHeight="true" outlineLevel="0" collapsed="false">
      <c r="A3559" s="16" t="n">
        <v>45409</v>
      </c>
      <c r="B3559" s="17" t="s">
        <v>1645</v>
      </c>
      <c r="C3559" s="17" t="s">
        <v>1593</v>
      </c>
      <c r="D3559" s="17" t="s">
        <v>1407</v>
      </c>
      <c r="E3559" s="17" t="s">
        <v>1647</v>
      </c>
      <c r="F3559" s="17"/>
      <c r="G3559" s="18" t="n">
        <v>3.73</v>
      </c>
      <c r="H3559" s="18" t="n">
        <v>0</v>
      </c>
      <c r="I3559" s="18" t="n">
        <f aca="false">((I3558 + G3559) - H3559)</f>
        <v>7173.89</v>
      </c>
      <c r="J3559" s="18" t="n">
        <v>0</v>
      </c>
      <c r="K3559" s="19" t="n">
        <v>0</v>
      </c>
      <c r="L3559" s="17" t="s">
        <v>1406</v>
      </c>
    </row>
    <row r="3560" s="11" customFormat="true" ht="10.95" hidden="false" customHeight="true" outlineLevel="0" collapsed="false">
      <c r="A3560" s="16" t="n">
        <v>45412</v>
      </c>
      <c r="B3560" s="17" t="s">
        <v>1645</v>
      </c>
      <c r="C3560" s="17" t="s">
        <v>1593</v>
      </c>
      <c r="D3560" s="17" t="s">
        <v>1407</v>
      </c>
      <c r="E3560" s="17" t="s">
        <v>1647</v>
      </c>
      <c r="F3560" s="17"/>
      <c r="G3560" s="18" t="n">
        <v>0.2</v>
      </c>
      <c r="H3560" s="18" t="n">
        <v>0</v>
      </c>
      <c r="I3560" s="18" t="n">
        <f aca="false">((I3559 + G3560) - H3560)</f>
        <v>7174.09</v>
      </c>
      <c r="J3560" s="18" t="n">
        <v>0</v>
      </c>
      <c r="K3560" s="19" t="n">
        <v>0</v>
      </c>
      <c r="L3560" s="17" t="s">
        <v>1406</v>
      </c>
    </row>
    <row r="3561" s="11" customFormat="true" ht="10.95" hidden="false" customHeight="true" outlineLevel="0" collapsed="false">
      <c r="A3561" s="16" t="n">
        <v>45412</v>
      </c>
      <c r="B3561" s="17" t="s">
        <v>1645</v>
      </c>
      <c r="C3561" s="17" t="s">
        <v>1593</v>
      </c>
      <c r="D3561" s="17" t="s">
        <v>1407</v>
      </c>
      <c r="E3561" s="17" t="s">
        <v>1647</v>
      </c>
      <c r="F3561" s="17"/>
      <c r="G3561" s="18" t="n">
        <v>0.46</v>
      </c>
      <c r="H3561" s="18" t="n">
        <v>0</v>
      </c>
      <c r="I3561" s="18" t="n">
        <f aca="false">((I3560 + G3561) - H3561)</f>
        <v>7174.55</v>
      </c>
      <c r="J3561" s="18" t="n">
        <v>0</v>
      </c>
      <c r="K3561" s="19" t="n">
        <v>0</v>
      </c>
      <c r="L3561" s="17" t="s">
        <v>1406</v>
      </c>
    </row>
    <row r="3562" s="11" customFormat="true" ht="10.95" hidden="false" customHeight="true" outlineLevel="0" collapsed="false">
      <c r="A3562" s="16" t="n">
        <v>45412</v>
      </c>
      <c r="B3562" s="17" t="s">
        <v>1645</v>
      </c>
      <c r="C3562" s="17" t="s">
        <v>1593</v>
      </c>
      <c r="D3562" s="17" t="s">
        <v>1407</v>
      </c>
      <c r="E3562" s="17" t="s">
        <v>1647</v>
      </c>
      <c r="F3562" s="17"/>
      <c r="G3562" s="18" t="n">
        <v>0.62</v>
      </c>
      <c r="H3562" s="18" t="n">
        <v>0</v>
      </c>
      <c r="I3562" s="18" t="n">
        <f aca="false">((I3561 + G3562) - H3562)</f>
        <v>7175.17</v>
      </c>
      <c r="J3562" s="18" t="n">
        <v>0</v>
      </c>
      <c r="K3562" s="19" t="n">
        <v>0</v>
      </c>
      <c r="L3562" s="17" t="s">
        <v>1406</v>
      </c>
    </row>
    <row r="3563" s="11" customFormat="true" ht="10.95" hidden="false" customHeight="true" outlineLevel="0" collapsed="false">
      <c r="A3563" s="16" t="n">
        <v>45412</v>
      </c>
      <c r="B3563" s="17" t="s">
        <v>1645</v>
      </c>
      <c r="C3563" s="17" t="s">
        <v>1593</v>
      </c>
      <c r="D3563" s="17" t="s">
        <v>1407</v>
      </c>
      <c r="E3563" s="17" t="s">
        <v>1647</v>
      </c>
      <c r="F3563" s="17"/>
      <c r="G3563" s="18" t="n">
        <v>0.63</v>
      </c>
      <c r="H3563" s="18" t="n">
        <v>0</v>
      </c>
      <c r="I3563" s="18" t="n">
        <f aca="false">((I3562 + G3563) - H3563)</f>
        <v>7175.8</v>
      </c>
      <c r="J3563" s="18" t="n">
        <v>0</v>
      </c>
      <c r="K3563" s="19" t="n">
        <v>0</v>
      </c>
      <c r="L3563" s="17" t="s">
        <v>1406</v>
      </c>
    </row>
    <row r="3564" s="11" customFormat="true" ht="10.95" hidden="false" customHeight="true" outlineLevel="0" collapsed="false">
      <c r="A3564" s="16" t="n">
        <v>45412</v>
      </c>
      <c r="B3564" s="17" t="s">
        <v>1645</v>
      </c>
      <c r="C3564" s="17" t="s">
        <v>1593</v>
      </c>
      <c r="D3564" s="17" t="s">
        <v>1407</v>
      </c>
      <c r="E3564" s="17" t="s">
        <v>1647</v>
      </c>
      <c r="F3564" s="17"/>
      <c r="G3564" s="18" t="n">
        <v>0.74</v>
      </c>
      <c r="H3564" s="18" t="n">
        <v>0</v>
      </c>
      <c r="I3564" s="18" t="n">
        <f aca="false">((I3563 + G3564) - H3564)</f>
        <v>7176.54</v>
      </c>
      <c r="J3564" s="18" t="n">
        <v>0</v>
      </c>
      <c r="K3564" s="19" t="n">
        <v>0</v>
      </c>
      <c r="L3564" s="17" t="s">
        <v>1406</v>
      </c>
    </row>
    <row r="3565" s="11" customFormat="true" ht="10.95" hidden="false" customHeight="true" outlineLevel="0" collapsed="false">
      <c r="A3565" s="16" t="n">
        <v>45412</v>
      </c>
      <c r="B3565" s="17" t="s">
        <v>1645</v>
      </c>
      <c r="C3565" s="17" t="s">
        <v>1593</v>
      </c>
      <c r="D3565" s="17" t="s">
        <v>1407</v>
      </c>
      <c r="E3565" s="17" t="s">
        <v>1647</v>
      </c>
      <c r="F3565" s="17"/>
      <c r="G3565" s="18" t="n">
        <v>1</v>
      </c>
      <c r="H3565" s="18" t="n">
        <v>0</v>
      </c>
      <c r="I3565" s="18" t="n">
        <f aca="false">((I3564 + G3565) - H3565)</f>
        <v>7177.54</v>
      </c>
      <c r="J3565" s="18" t="n">
        <v>0</v>
      </c>
      <c r="K3565" s="19" t="n">
        <v>0</v>
      </c>
      <c r="L3565" s="17" t="s">
        <v>1406</v>
      </c>
    </row>
    <row r="3566" s="11" customFormat="true" ht="10.95" hidden="false" customHeight="true" outlineLevel="0" collapsed="false">
      <c r="A3566" s="16" t="n">
        <v>45412</v>
      </c>
      <c r="B3566" s="17" t="s">
        <v>1645</v>
      </c>
      <c r="C3566" s="17" t="s">
        <v>1593</v>
      </c>
      <c r="D3566" s="17" t="s">
        <v>1407</v>
      </c>
      <c r="E3566" s="17" t="s">
        <v>1647</v>
      </c>
      <c r="F3566" s="17"/>
      <c r="G3566" s="18" t="n">
        <v>1.48</v>
      </c>
      <c r="H3566" s="18" t="n">
        <v>0</v>
      </c>
      <c r="I3566" s="18" t="n">
        <f aca="false">((I3565 + G3566) - H3566)</f>
        <v>7179.02</v>
      </c>
      <c r="J3566" s="18" t="n">
        <v>0</v>
      </c>
      <c r="K3566" s="19" t="n">
        <v>0</v>
      </c>
      <c r="L3566" s="17" t="s">
        <v>1406</v>
      </c>
    </row>
    <row r="3567" s="11" customFormat="true" ht="10.95" hidden="false" customHeight="true" outlineLevel="0" collapsed="false">
      <c r="A3567" s="16" t="n">
        <v>45412</v>
      </c>
      <c r="B3567" s="17" t="s">
        <v>1645</v>
      </c>
      <c r="C3567" s="17" t="s">
        <v>1593</v>
      </c>
      <c r="D3567" s="17" t="s">
        <v>1407</v>
      </c>
      <c r="E3567" s="17" t="s">
        <v>1647</v>
      </c>
      <c r="F3567" s="17"/>
      <c r="G3567" s="18" t="n">
        <v>8.55</v>
      </c>
      <c r="H3567" s="18" t="n">
        <v>0</v>
      </c>
      <c r="I3567" s="18" t="n">
        <f aca="false">((I3566 + G3567) - H3567)</f>
        <v>7187.57</v>
      </c>
      <c r="J3567" s="18" t="n">
        <v>0</v>
      </c>
      <c r="K3567" s="19" t="n">
        <v>0</v>
      </c>
      <c r="L3567" s="17" t="s">
        <v>1406</v>
      </c>
    </row>
    <row r="3568" s="11" customFormat="true" ht="10.95" hidden="false" customHeight="true" outlineLevel="0" collapsed="false">
      <c r="A3568" s="16" t="n">
        <v>45413</v>
      </c>
      <c r="B3568" s="17" t="s">
        <v>1645</v>
      </c>
      <c r="C3568" s="17" t="s">
        <v>1593</v>
      </c>
      <c r="D3568" s="17" t="s">
        <v>1407</v>
      </c>
      <c r="E3568" s="17" t="s">
        <v>1727</v>
      </c>
      <c r="F3568" s="17" t="s">
        <v>1368</v>
      </c>
      <c r="G3568" s="18" t="n">
        <v>151.16</v>
      </c>
      <c r="H3568" s="18" t="n">
        <v>0</v>
      </c>
      <c r="I3568" s="18" t="n">
        <f aca="false">((I3567 + G3568) - H3568)</f>
        <v>7338.73</v>
      </c>
      <c r="J3568" s="18" t="n">
        <v>0</v>
      </c>
      <c r="K3568" s="19" t="n">
        <v>0</v>
      </c>
      <c r="L3568" s="17" t="s">
        <v>1406</v>
      </c>
    </row>
    <row r="3569" s="11" customFormat="true" ht="10.95" hidden="false" customHeight="true" outlineLevel="0" collapsed="false">
      <c r="A3569" s="16" t="n">
        <v>45413</v>
      </c>
      <c r="B3569" s="17" t="s">
        <v>1645</v>
      </c>
      <c r="C3569" s="17" t="s">
        <v>1593</v>
      </c>
      <c r="D3569" s="17" t="s">
        <v>1407</v>
      </c>
      <c r="E3569" s="17" t="s">
        <v>1728</v>
      </c>
      <c r="F3569" s="17" t="s">
        <v>1370</v>
      </c>
      <c r="G3569" s="18" t="n">
        <v>3.46</v>
      </c>
      <c r="H3569" s="18" t="n">
        <v>0</v>
      </c>
      <c r="I3569" s="18" t="n">
        <f aca="false">((I3568 + G3569) - H3569)</f>
        <v>7342.19</v>
      </c>
      <c r="J3569" s="18" t="n">
        <v>0</v>
      </c>
      <c r="K3569" s="19" t="n">
        <v>0</v>
      </c>
      <c r="L3569" s="17" t="s">
        <v>1406</v>
      </c>
    </row>
    <row r="3570" s="11" customFormat="true" ht="10.95" hidden="false" customHeight="true" outlineLevel="0" collapsed="false">
      <c r="A3570" s="16" t="n">
        <v>45413</v>
      </c>
      <c r="B3570" s="17" t="s">
        <v>1645</v>
      </c>
      <c r="C3570" s="17" t="s">
        <v>1593</v>
      </c>
      <c r="D3570" s="17" t="s">
        <v>1407</v>
      </c>
      <c r="E3570" s="17" t="s">
        <v>1647</v>
      </c>
      <c r="F3570" s="17"/>
      <c r="G3570" s="18" t="n">
        <v>2.29</v>
      </c>
      <c r="H3570" s="18" t="n">
        <v>0</v>
      </c>
      <c r="I3570" s="18" t="n">
        <f aca="false">((I3569 + G3570) - H3570)</f>
        <v>7344.48</v>
      </c>
      <c r="J3570" s="18" t="n">
        <v>0</v>
      </c>
      <c r="K3570" s="19" t="n">
        <v>0</v>
      </c>
      <c r="L3570" s="17" t="s">
        <v>1406</v>
      </c>
    </row>
    <row r="3571" s="11" customFormat="true" ht="10.95" hidden="false" customHeight="true" outlineLevel="0" collapsed="false">
      <c r="A3571" s="16" t="n">
        <v>45413</v>
      </c>
      <c r="B3571" s="17" t="s">
        <v>1645</v>
      </c>
      <c r="C3571" s="17" t="s">
        <v>1593</v>
      </c>
      <c r="D3571" s="17" t="s">
        <v>1407</v>
      </c>
      <c r="E3571" s="17" t="s">
        <v>1648</v>
      </c>
      <c r="F3571" s="17"/>
      <c r="G3571" s="18" t="n">
        <v>10</v>
      </c>
      <c r="H3571" s="18" t="n">
        <v>0</v>
      </c>
      <c r="I3571" s="18" t="n">
        <f aca="false">((I3570 + G3571) - H3571)</f>
        <v>7354.48</v>
      </c>
      <c r="J3571" s="18" t="n">
        <v>0</v>
      </c>
      <c r="K3571" s="19" t="n">
        <v>0</v>
      </c>
      <c r="L3571" s="17" t="s">
        <v>1406</v>
      </c>
    </row>
    <row r="3572" s="11" customFormat="true" ht="10.95" hidden="false" customHeight="true" outlineLevel="0" collapsed="false">
      <c r="A3572" s="16" t="n">
        <v>45414</v>
      </c>
      <c r="B3572" s="17" t="s">
        <v>1645</v>
      </c>
      <c r="C3572" s="17" t="s">
        <v>1593</v>
      </c>
      <c r="D3572" s="17" t="s">
        <v>1407</v>
      </c>
      <c r="E3572" s="17" t="s">
        <v>1647</v>
      </c>
      <c r="F3572" s="17"/>
      <c r="G3572" s="18" t="n">
        <v>1.7</v>
      </c>
      <c r="H3572" s="18" t="n">
        <v>0</v>
      </c>
      <c r="I3572" s="18" t="n">
        <f aca="false">((I3571 + G3572) - H3572)</f>
        <v>7356.18</v>
      </c>
      <c r="J3572" s="18" t="n">
        <v>0</v>
      </c>
      <c r="K3572" s="19" t="n">
        <v>0</v>
      </c>
      <c r="L3572" s="17" t="s">
        <v>1406</v>
      </c>
    </row>
    <row r="3573" s="11" customFormat="true" ht="10.95" hidden="false" customHeight="true" outlineLevel="0" collapsed="false">
      <c r="A3573" s="16" t="n">
        <v>45415</v>
      </c>
      <c r="B3573" s="17" t="s">
        <v>1645</v>
      </c>
      <c r="C3573" s="17" t="s">
        <v>1593</v>
      </c>
      <c r="D3573" s="17" t="s">
        <v>1407</v>
      </c>
      <c r="E3573" s="17" t="s">
        <v>1729</v>
      </c>
      <c r="F3573" s="17"/>
      <c r="G3573" s="18" t="n">
        <v>24</v>
      </c>
      <c r="H3573" s="18" t="n">
        <v>0</v>
      </c>
      <c r="I3573" s="18" t="n">
        <f aca="false">((I3572 + G3573) - H3573)</f>
        <v>7380.18</v>
      </c>
      <c r="J3573" s="18" t="n">
        <v>0</v>
      </c>
      <c r="K3573" s="19" t="n">
        <v>0</v>
      </c>
      <c r="L3573" s="17" t="s">
        <v>1406</v>
      </c>
    </row>
    <row r="3574" s="11" customFormat="true" ht="10.95" hidden="false" customHeight="true" outlineLevel="0" collapsed="false">
      <c r="A3574" s="16" t="n">
        <v>45416</v>
      </c>
      <c r="B3574" s="17" t="s">
        <v>1645</v>
      </c>
      <c r="C3574" s="17" t="s">
        <v>1593</v>
      </c>
      <c r="D3574" s="17" t="s">
        <v>1407</v>
      </c>
      <c r="E3574" s="17" t="s">
        <v>1647</v>
      </c>
      <c r="F3574" s="17"/>
      <c r="G3574" s="18" t="n">
        <v>7.65</v>
      </c>
      <c r="H3574" s="18" t="n">
        <v>0</v>
      </c>
      <c r="I3574" s="18" t="n">
        <f aca="false">((I3573 + G3574) - H3574)</f>
        <v>7387.83</v>
      </c>
      <c r="J3574" s="18" t="n">
        <v>0</v>
      </c>
      <c r="K3574" s="19" t="n">
        <v>0</v>
      </c>
      <c r="L3574" s="17" t="s">
        <v>1406</v>
      </c>
    </row>
    <row r="3575" s="11" customFormat="true" ht="10.95" hidden="false" customHeight="true" outlineLevel="0" collapsed="false">
      <c r="A3575" s="16" t="n">
        <v>45419</v>
      </c>
      <c r="B3575" s="17" t="s">
        <v>1645</v>
      </c>
      <c r="C3575" s="17" t="s">
        <v>1593</v>
      </c>
      <c r="D3575" s="17" t="s">
        <v>1407</v>
      </c>
      <c r="E3575" s="17" t="s">
        <v>1730</v>
      </c>
      <c r="F3575" s="17" t="s">
        <v>1372</v>
      </c>
      <c r="G3575" s="18" t="n">
        <v>24.26</v>
      </c>
      <c r="H3575" s="18" t="n">
        <v>0</v>
      </c>
      <c r="I3575" s="18" t="n">
        <f aca="false">((I3574 + G3575) - H3575)</f>
        <v>7412.09</v>
      </c>
      <c r="J3575" s="18" t="n">
        <v>0</v>
      </c>
      <c r="K3575" s="19" t="n">
        <v>0</v>
      </c>
      <c r="L3575" s="17" t="s">
        <v>1406</v>
      </c>
    </row>
    <row r="3576" s="11" customFormat="true" ht="10.95" hidden="false" customHeight="true" outlineLevel="0" collapsed="false">
      <c r="A3576" s="16" t="n">
        <v>45419</v>
      </c>
      <c r="B3576" s="17" t="s">
        <v>1645</v>
      </c>
      <c r="C3576" s="17" t="s">
        <v>1593</v>
      </c>
      <c r="D3576" s="17" t="s">
        <v>1407</v>
      </c>
      <c r="E3576" s="17" t="s">
        <v>1647</v>
      </c>
      <c r="F3576" s="17"/>
      <c r="G3576" s="18" t="n">
        <v>1.2</v>
      </c>
      <c r="H3576" s="18" t="n">
        <v>0</v>
      </c>
      <c r="I3576" s="18" t="n">
        <f aca="false">((I3575 + G3576) - H3576)</f>
        <v>7413.29</v>
      </c>
      <c r="J3576" s="18" t="n">
        <v>0</v>
      </c>
      <c r="K3576" s="19" t="n">
        <v>0</v>
      </c>
      <c r="L3576" s="17" t="s">
        <v>1406</v>
      </c>
    </row>
    <row r="3577" s="11" customFormat="true" ht="10.95" hidden="false" customHeight="true" outlineLevel="0" collapsed="false">
      <c r="A3577" s="16" t="n">
        <v>45427</v>
      </c>
      <c r="B3577" s="17" t="s">
        <v>1645</v>
      </c>
      <c r="C3577" s="17" t="s">
        <v>1593</v>
      </c>
      <c r="D3577" s="17" t="s">
        <v>1407</v>
      </c>
      <c r="E3577" s="17" t="s">
        <v>1647</v>
      </c>
      <c r="F3577" s="17"/>
      <c r="G3577" s="18" t="n">
        <v>0.45</v>
      </c>
      <c r="H3577" s="18" t="n">
        <v>0</v>
      </c>
      <c r="I3577" s="18" t="n">
        <f aca="false">((I3576 + G3577) - H3577)</f>
        <v>7413.74</v>
      </c>
      <c r="J3577" s="18" t="n">
        <v>0</v>
      </c>
      <c r="K3577" s="19" t="n">
        <v>0</v>
      </c>
      <c r="L3577" s="17" t="s">
        <v>1406</v>
      </c>
    </row>
    <row r="3578" s="11" customFormat="true" ht="10.95" hidden="false" customHeight="true" outlineLevel="0" collapsed="false">
      <c r="A3578" s="16" t="n">
        <v>45427</v>
      </c>
      <c r="B3578" s="17" t="s">
        <v>1645</v>
      </c>
      <c r="C3578" s="17" t="s">
        <v>1593</v>
      </c>
      <c r="D3578" s="17" t="s">
        <v>1407</v>
      </c>
      <c r="E3578" s="17" t="s">
        <v>1731</v>
      </c>
      <c r="F3578" s="17"/>
      <c r="G3578" s="18" t="n">
        <v>3.18</v>
      </c>
      <c r="H3578" s="18" t="n">
        <v>0</v>
      </c>
      <c r="I3578" s="18" t="n">
        <f aca="false">((I3577 + G3578) - H3578)</f>
        <v>7416.92</v>
      </c>
      <c r="J3578" s="18" t="n">
        <v>0</v>
      </c>
      <c r="K3578" s="19" t="n">
        <v>0</v>
      </c>
      <c r="L3578" s="17" t="s">
        <v>1406</v>
      </c>
    </row>
    <row r="3579" s="11" customFormat="true" ht="10.95" hidden="false" customHeight="true" outlineLevel="0" collapsed="false">
      <c r="A3579" s="16" t="n">
        <v>45427</v>
      </c>
      <c r="B3579" s="17" t="s">
        <v>1645</v>
      </c>
      <c r="C3579" s="17" t="s">
        <v>1593</v>
      </c>
      <c r="D3579" s="17" t="s">
        <v>1407</v>
      </c>
      <c r="E3579" s="17" t="s">
        <v>1731</v>
      </c>
      <c r="F3579" s="17"/>
      <c r="G3579" s="18" t="n">
        <v>3.18</v>
      </c>
      <c r="H3579" s="18" t="n">
        <v>0</v>
      </c>
      <c r="I3579" s="18" t="n">
        <f aca="false">((I3578 + G3579) - H3579)</f>
        <v>7420.1</v>
      </c>
      <c r="J3579" s="18" t="n">
        <v>0</v>
      </c>
      <c r="K3579" s="19" t="n">
        <v>0</v>
      </c>
      <c r="L3579" s="17" t="s">
        <v>1406</v>
      </c>
    </row>
    <row r="3580" s="11" customFormat="true" ht="10.95" hidden="false" customHeight="true" outlineLevel="0" collapsed="false">
      <c r="A3580" s="16" t="n">
        <v>45427</v>
      </c>
      <c r="B3580" s="17" t="s">
        <v>1645</v>
      </c>
      <c r="C3580" s="17" t="s">
        <v>1593</v>
      </c>
      <c r="D3580" s="17" t="s">
        <v>1407</v>
      </c>
      <c r="E3580" s="17" t="s">
        <v>1731</v>
      </c>
      <c r="F3580" s="17"/>
      <c r="G3580" s="18" t="n">
        <v>4.82</v>
      </c>
      <c r="H3580" s="18" t="n">
        <v>0</v>
      </c>
      <c r="I3580" s="18" t="n">
        <f aca="false">((I3579 + G3580) - H3580)</f>
        <v>7424.92</v>
      </c>
      <c r="J3580" s="18" t="n">
        <v>0</v>
      </c>
      <c r="K3580" s="19" t="n">
        <v>0</v>
      </c>
      <c r="L3580" s="17" t="s">
        <v>1406</v>
      </c>
    </row>
    <row r="3581" s="11" customFormat="true" ht="10.95" hidden="false" customHeight="true" outlineLevel="0" collapsed="false">
      <c r="A3581" s="16" t="n">
        <v>45432</v>
      </c>
      <c r="B3581" s="17" t="s">
        <v>1645</v>
      </c>
      <c r="C3581" s="17" t="s">
        <v>1593</v>
      </c>
      <c r="D3581" s="17" t="s">
        <v>1407</v>
      </c>
      <c r="E3581" s="17" t="s">
        <v>1683</v>
      </c>
      <c r="F3581" s="17"/>
      <c r="G3581" s="18" t="n">
        <v>22.5</v>
      </c>
      <c r="H3581" s="18" t="n">
        <v>0</v>
      </c>
      <c r="I3581" s="18" t="n">
        <f aca="false">((I3580 + G3581) - H3581)</f>
        <v>7447.42</v>
      </c>
      <c r="J3581" s="18" t="n">
        <v>0</v>
      </c>
      <c r="K3581" s="19" t="n">
        <v>0</v>
      </c>
      <c r="L3581" s="17" t="s">
        <v>1406</v>
      </c>
    </row>
    <row r="3582" s="11" customFormat="true" ht="10.95" hidden="false" customHeight="true" outlineLevel="0" collapsed="false">
      <c r="A3582" s="16" t="n">
        <v>45436</v>
      </c>
      <c r="B3582" s="17" t="s">
        <v>1645</v>
      </c>
      <c r="C3582" s="17" t="s">
        <v>1593</v>
      </c>
      <c r="D3582" s="17" t="s">
        <v>1407</v>
      </c>
      <c r="E3582" s="17" t="s">
        <v>1732</v>
      </c>
      <c r="F3582" s="17" t="s">
        <v>1374</v>
      </c>
      <c r="G3582" s="18" t="n">
        <v>62.16</v>
      </c>
      <c r="H3582" s="18" t="n">
        <v>0</v>
      </c>
      <c r="I3582" s="18" t="n">
        <f aca="false">((I3581 + G3582) - H3582)</f>
        <v>7509.58</v>
      </c>
      <c r="J3582" s="18" t="n">
        <v>0</v>
      </c>
      <c r="K3582" s="19" t="n">
        <v>0</v>
      </c>
      <c r="L3582" s="17" t="s">
        <v>1406</v>
      </c>
    </row>
    <row r="3583" s="11" customFormat="true" ht="10.95" hidden="false" customHeight="true" outlineLevel="0" collapsed="false">
      <c r="A3583" s="16" t="n">
        <v>45442</v>
      </c>
      <c r="B3583" s="17" t="s">
        <v>1645</v>
      </c>
      <c r="C3583" s="17" t="s">
        <v>1593</v>
      </c>
      <c r="D3583" s="17" t="s">
        <v>1407</v>
      </c>
      <c r="E3583" s="17" t="s">
        <v>1647</v>
      </c>
      <c r="F3583" s="17"/>
      <c r="G3583" s="18" t="n">
        <v>2.66</v>
      </c>
      <c r="H3583" s="18" t="n">
        <v>0</v>
      </c>
      <c r="I3583" s="18" t="n">
        <f aca="false">((I3582 + G3583) - H3583)</f>
        <v>7512.24</v>
      </c>
      <c r="J3583" s="18" t="n">
        <v>0</v>
      </c>
      <c r="K3583" s="19" t="n">
        <v>0</v>
      </c>
      <c r="L3583" s="17" t="s">
        <v>1406</v>
      </c>
    </row>
    <row r="3584" s="11" customFormat="true" ht="10.95" hidden="false" customHeight="true" outlineLevel="0" collapsed="false">
      <c r="A3584" s="16" t="n">
        <v>45444</v>
      </c>
      <c r="B3584" s="17" t="s">
        <v>1645</v>
      </c>
      <c r="C3584" s="17" t="s">
        <v>1593</v>
      </c>
      <c r="D3584" s="17" t="s">
        <v>1407</v>
      </c>
      <c r="E3584" s="17" t="s">
        <v>1733</v>
      </c>
      <c r="F3584" s="17" t="s">
        <v>1376</v>
      </c>
      <c r="G3584" s="18" t="n">
        <v>3.4</v>
      </c>
      <c r="H3584" s="18" t="n">
        <v>0</v>
      </c>
      <c r="I3584" s="18" t="n">
        <f aca="false">((I3583 + G3584) - H3584)</f>
        <v>7515.64</v>
      </c>
      <c r="J3584" s="18" t="n">
        <v>0</v>
      </c>
      <c r="K3584" s="19" t="n">
        <v>0</v>
      </c>
      <c r="L3584" s="17" t="s">
        <v>1406</v>
      </c>
    </row>
    <row r="3585" s="11" customFormat="true" ht="10.95" hidden="false" customHeight="true" outlineLevel="0" collapsed="false">
      <c r="A3585" s="16" t="n">
        <v>45444</v>
      </c>
      <c r="B3585" s="17" t="s">
        <v>1645</v>
      </c>
      <c r="C3585" s="17" t="s">
        <v>1593</v>
      </c>
      <c r="D3585" s="17" t="s">
        <v>1407</v>
      </c>
      <c r="E3585" s="17" t="s">
        <v>1648</v>
      </c>
      <c r="F3585" s="17"/>
      <c r="G3585" s="18" t="n">
        <v>10</v>
      </c>
      <c r="H3585" s="18" t="n">
        <v>0</v>
      </c>
      <c r="I3585" s="18" t="n">
        <f aca="false">((I3584 + G3585) - H3585)</f>
        <v>7525.64</v>
      </c>
      <c r="J3585" s="18" t="n">
        <v>0</v>
      </c>
      <c r="K3585" s="19" t="n">
        <v>0</v>
      </c>
      <c r="L3585" s="17" t="s">
        <v>1406</v>
      </c>
    </row>
    <row r="3586" s="11" customFormat="true" ht="10.95" hidden="false" customHeight="true" outlineLevel="0" collapsed="false">
      <c r="A3586" s="16" t="n">
        <v>45444</v>
      </c>
      <c r="B3586" s="17" t="s">
        <v>1645</v>
      </c>
      <c r="C3586" s="17" t="s">
        <v>1593</v>
      </c>
      <c r="D3586" s="17" t="s">
        <v>1407</v>
      </c>
      <c r="E3586" s="17" t="s">
        <v>1647</v>
      </c>
      <c r="F3586" s="17"/>
      <c r="G3586" s="18" t="n">
        <v>12.39</v>
      </c>
      <c r="H3586" s="18" t="n">
        <v>0</v>
      </c>
      <c r="I3586" s="18" t="n">
        <f aca="false">((I3585 + G3586) - H3586)</f>
        <v>7538.03</v>
      </c>
      <c r="J3586" s="18" t="n">
        <v>0</v>
      </c>
      <c r="K3586" s="19" t="n">
        <v>0</v>
      </c>
      <c r="L3586" s="17" t="s">
        <v>1406</v>
      </c>
    </row>
    <row r="3587" s="11" customFormat="true" ht="10.95" hidden="false" customHeight="true" outlineLevel="0" collapsed="false">
      <c r="A3587" s="16" t="n">
        <v>45444</v>
      </c>
      <c r="B3587" s="17" t="s">
        <v>1645</v>
      </c>
      <c r="C3587" s="17" t="s">
        <v>1593</v>
      </c>
      <c r="D3587" s="17" t="s">
        <v>1407</v>
      </c>
      <c r="E3587" s="17" t="s">
        <v>1665</v>
      </c>
      <c r="F3587" s="17"/>
      <c r="G3587" s="18" t="n">
        <v>282.3</v>
      </c>
      <c r="H3587" s="18" t="n">
        <v>0</v>
      </c>
      <c r="I3587" s="18" t="n">
        <f aca="false">((I3586 + G3587) - H3587)</f>
        <v>7820.33</v>
      </c>
      <c r="J3587" s="18" t="n">
        <v>0</v>
      </c>
      <c r="K3587" s="19" t="n">
        <v>0</v>
      </c>
      <c r="L3587" s="17" t="s">
        <v>1406</v>
      </c>
    </row>
    <row r="3588" s="11" customFormat="true" ht="10.95" hidden="false" customHeight="true" outlineLevel="0" collapsed="false">
      <c r="A3588" s="16" t="n">
        <v>45445</v>
      </c>
      <c r="B3588" s="17" t="s">
        <v>1645</v>
      </c>
      <c r="C3588" s="17" t="s">
        <v>1593</v>
      </c>
      <c r="D3588" s="17" t="s">
        <v>1407</v>
      </c>
      <c r="E3588" s="17" t="s">
        <v>1734</v>
      </c>
      <c r="F3588" s="17" t="s">
        <v>1378</v>
      </c>
      <c r="G3588" s="18" t="n">
        <v>24.26</v>
      </c>
      <c r="H3588" s="18" t="n">
        <v>0</v>
      </c>
      <c r="I3588" s="18" t="n">
        <f aca="false">((I3587 + G3588) - H3588)</f>
        <v>7844.59</v>
      </c>
      <c r="J3588" s="18" t="n">
        <v>0</v>
      </c>
      <c r="K3588" s="19" t="n">
        <v>0</v>
      </c>
      <c r="L3588" s="17" t="s">
        <v>1406</v>
      </c>
    </row>
    <row r="3589" s="11" customFormat="true" ht="10.95" hidden="false" customHeight="true" outlineLevel="0" collapsed="false">
      <c r="A3589" s="16" t="n">
        <v>45446</v>
      </c>
      <c r="B3589" s="17" t="s">
        <v>1645</v>
      </c>
      <c r="C3589" s="17" t="s">
        <v>1593</v>
      </c>
      <c r="D3589" s="17" t="s">
        <v>1407</v>
      </c>
      <c r="E3589" s="17" t="s">
        <v>1735</v>
      </c>
      <c r="F3589" s="17" t="s">
        <v>1380</v>
      </c>
      <c r="G3589" s="18" t="n">
        <v>7.45</v>
      </c>
      <c r="H3589" s="18" t="n">
        <v>0</v>
      </c>
      <c r="I3589" s="18" t="n">
        <f aca="false">((I3588 + G3589) - H3589)</f>
        <v>7852.04</v>
      </c>
      <c r="J3589" s="18" t="n">
        <v>0</v>
      </c>
      <c r="K3589" s="19" t="n">
        <v>0</v>
      </c>
      <c r="L3589" s="17" t="s">
        <v>1406</v>
      </c>
    </row>
    <row r="3590" s="11" customFormat="true" ht="10.95" hidden="false" customHeight="true" outlineLevel="0" collapsed="false">
      <c r="A3590" s="16" t="n">
        <v>45447</v>
      </c>
      <c r="B3590" s="17" t="s">
        <v>1645</v>
      </c>
      <c r="C3590" s="17" t="s">
        <v>1593</v>
      </c>
      <c r="D3590" s="17" t="s">
        <v>1407</v>
      </c>
      <c r="E3590" s="17" t="s">
        <v>1647</v>
      </c>
      <c r="F3590" s="17"/>
      <c r="G3590" s="18" t="n">
        <v>8.72</v>
      </c>
      <c r="H3590" s="18" t="n">
        <v>0</v>
      </c>
      <c r="I3590" s="18" t="n">
        <f aca="false">((I3589 + G3590) - H3590)</f>
        <v>7860.76</v>
      </c>
      <c r="J3590" s="18" t="n">
        <v>0</v>
      </c>
      <c r="K3590" s="19" t="n">
        <v>0</v>
      </c>
      <c r="L3590" s="17" t="s">
        <v>1406</v>
      </c>
    </row>
    <row r="3591" s="11" customFormat="true" ht="10.95" hidden="false" customHeight="true" outlineLevel="0" collapsed="false">
      <c r="A3591" s="16" t="n">
        <v>45450</v>
      </c>
      <c r="B3591" s="17" t="s">
        <v>1645</v>
      </c>
      <c r="C3591" s="17" t="s">
        <v>1593</v>
      </c>
      <c r="D3591" s="17" t="s">
        <v>1407</v>
      </c>
      <c r="E3591" s="17" t="s">
        <v>1650</v>
      </c>
      <c r="F3591" s="17"/>
      <c r="G3591" s="18" t="n">
        <v>5</v>
      </c>
      <c r="H3591" s="18" t="n">
        <v>0</v>
      </c>
      <c r="I3591" s="18" t="n">
        <f aca="false">((I3590 + G3591) - H3591)</f>
        <v>7865.76</v>
      </c>
      <c r="J3591" s="18" t="n">
        <v>0</v>
      </c>
      <c r="K3591" s="19" t="n">
        <v>0</v>
      </c>
      <c r="L3591" s="17" t="s">
        <v>1406</v>
      </c>
    </row>
    <row r="3592" s="11" customFormat="true" ht="10.95" hidden="false" customHeight="true" outlineLevel="0" collapsed="false">
      <c r="A3592" s="16" t="n">
        <v>45454</v>
      </c>
      <c r="B3592" s="17" t="s">
        <v>1645</v>
      </c>
      <c r="C3592" s="17" t="s">
        <v>1593</v>
      </c>
      <c r="D3592" s="17" t="s">
        <v>1407</v>
      </c>
      <c r="E3592" s="17" t="s">
        <v>1736</v>
      </c>
      <c r="F3592" s="17"/>
      <c r="G3592" s="18" t="n">
        <v>3</v>
      </c>
      <c r="H3592" s="18" t="n">
        <v>0</v>
      </c>
      <c r="I3592" s="18" t="n">
        <f aca="false">((I3591 + G3592) - H3592)</f>
        <v>7868.76</v>
      </c>
      <c r="J3592" s="18" t="n">
        <v>0</v>
      </c>
      <c r="K3592" s="19" t="n">
        <v>0</v>
      </c>
      <c r="L3592" s="17" t="s">
        <v>1406</v>
      </c>
    </row>
    <row r="3593" s="11" customFormat="true" ht="10.95" hidden="false" customHeight="true" outlineLevel="0" collapsed="false">
      <c r="A3593" s="16" t="n">
        <v>45455</v>
      </c>
      <c r="B3593" s="17" t="s">
        <v>1645</v>
      </c>
      <c r="C3593" s="17" t="s">
        <v>1593</v>
      </c>
      <c r="D3593" s="17" t="s">
        <v>1407</v>
      </c>
      <c r="E3593" s="17" t="s">
        <v>1650</v>
      </c>
      <c r="F3593" s="17"/>
      <c r="G3593" s="18" t="n">
        <v>5</v>
      </c>
      <c r="H3593" s="18" t="n">
        <v>0</v>
      </c>
      <c r="I3593" s="18" t="n">
        <f aca="false">((I3592 + G3593) - H3593)</f>
        <v>7873.76</v>
      </c>
      <c r="J3593" s="18" t="n">
        <v>0</v>
      </c>
      <c r="K3593" s="19" t="n">
        <v>0</v>
      </c>
      <c r="L3593" s="17" t="s">
        <v>1406</v>
      </c>
    </row>
    <row r="3594" s="11" customFormat="true" ht="10.95" hidden="false" customHeight="true" outlineLevel="0" collapsed="false">
      <c r="A3594" s="16" t="n">
        <v>45455</v>
      </c>
      <c r="B3594" s="17" t="s">
        <v>1645</v>
      </c>
      <c r="C3594" s="17" t="s">
        <v>1593</v>
      </c>
      <c r="D3594" s="17" t="s">
        <v>1407</v>
      </c>
      <c r="E3594" s="17" t="s">
        <v>1708</v>
      </c>
      <c r="F3594" s="17"/>
      <c r="G3594" s="18" t="n">
        <v>11.21</v>
      </c>
      <c r="H3594" s="18" t="n">
        <v>0</v>
      </c>
      <c r="I3594" s="18" t="n">
        <f aca="false">((I3593 + G3594) - H3594)</f>
        <v>7884.97</v>
      </c>
      <c r="J3594" s="18" t="n">
        <v>0</v>
      </c>
      <c r="K3594" s="19" t="n">
        <v>0</v>
      </c>
      <c r="L3594" s="17" t="s">
        <v>1406</v>
      </c>
    </row>
    <row r="3595" s="11" customFormat="true" ht="10.95" hidden="false" customHeight="true" outlineLevel="0" collapsed="false">
      <c r="A3595" s="16" t="n">
        <v>45458</v>
      </c>
      <c r="B3595" s="17" t="s">
        <v>1645</v>
      </c>
      <c r="C3595" s="17" t="s">
        <v>1593</v>
      </c>
      <c r="D3595" s="17" t="s">
        <v>1407</v>
      </c>
      <c r="E3595" s="17" t="s">
        <v>1647</v>
      </c>
      <c r="F3595" s="17"/>
      <c r="G3595" s="18" t="n">
        <v>0.53</v>
      </c>
      <c r="H3595" s="18" t="n">
        <v>0</v>
      </c>
      <c r="I3595" s="18" t="n">
        <f aca="false">((I3594 + G3595) - H3595)</f>
        <v>7885.5</v>
      </c>
      <c r="J3595" s="18" t="n">
        <v>0</v>
      </c>
      <c r="K3595" s="19" t="n">
        <v>0</v>
      </c>
      <c r="L3595" s="17" t="s">
        <v>1406</v>
      </c>
    </row>
    <row r="3596" s="11" customFormat="true" ht="10.95" hidden="false" customHeight="true" outlineLevel="0" collapsed="false">
      <c r="A3596" s="16" t="n">
        <v>45459</v>
      </c>
      <c r="B3596" s="17" t="s">
        <v>1645</v>
      </c>
      <c r="C3596" s="17" t="s">
        <v>1593</v>
      </c>
      <c r="D3596" s="17" t="s">
        <v>1407</v>
      </c>
      <c r="E3596" s="17" t="s">
        <v>1710</v>
      </c>
      <c r="F3596" s="17"/>
      <c r="G3596" s="18" t="n">
        <v>23.26</v>
      </c>
      <c r="H3596" s="18" t="n">
        <v>0</v>
      </c>
      <c r="I3596" s="18" t="n">
        <f aca="false">((I3595 + G3596) - H3596)</f>
        <v>7908.76</v>
      </c>
      <c r="J3596" s="18" t="n">
        <v>0</v>
      </c>
      <c r="K3596" s="19" t="n">
        <v>0</v>
      </c>
      <c r="L3596" s="17" t="s">
        <v>1406</v>
      </c>
    </row>
    <row r="3597" s="11" customFormat="true" ht="10.95" hidden="false" customHeight="true" outlineLevel="0" collapsed="false">
      <c r="A3597" s="16" t="n">
        <v>45465</v>
      </c>
      <c r="B3597" s="17" t="s">
        <v>1645</v>
      </c>
      <c r="C3597" s="17" t="s">
        <v>1593</v>
      </c>
      <c r="D3597" s="17" t="s">
        <v>1407</v>
      </c>
      <c r="E3597" s="17" t="s">
        <v>1647</v>
      </c>
      <c r="F3597" s="17"/>
      <c r="G3597" s="18" t="n">
        <v>115.11</v>
      </c>
      <c r="H3597" s="18" t="n">
        <v>0</v>
      </c>
      <c r="I3597" s="18" t="n">
        <f aca="false">((I3596 + G3597) - H3597)</f>
        <v>8023.87</v>
      </c>
      <c r="J3597" s="18" t="n">
        <v>0</v>
      </c>
      <c r="K3597" s="19" t="n">
        <v>0</v>
      </c>
      <c r="L3597" s="17" t="s">
        <v>1406</v>
      </c>
    </row>
    <row r="3598" s="11" customFormat="true" ht="10.95" hidden="false" customHeight="true" outlineLevel="0" collapsed="false">
      <c r="A3598" s="16" t="n">
        <v>45465</v>
      </c>
      <c r="B3598" s="17" t="s">
        <v>1645</v>
      </c>
      <c r="C3598" s="17" t="s">
        <v>1593</v>
      </c>
      <c r="D3598" s="17" t="s">
        <v>1407</v>
      </c>
      <c r="E3598" s="17" t="s">
        <v>1737</v>
      </c>
      <c r="F3598" s="17"/>
      <c r="G3598" s="18" t="n">
        <v>14.09</v>
      </c>
      <c r="H3598" s="18" t="n">
        <v>0</v>
      </c>
      <c r="I3598" s="18" t="n">
        <f aca="false">((I3597 + G3598) - H3598)</f>
        <v>8037.96</v>
      </c>
      <c r="J3598" s="18" t="n">
        <v>0</v>
      </c>
      <c r="K3598" s="19" t="n">
        <v>0</v>
      </c>
      <c r="L3598" s="17" t="s">
        <v>1406</v>
      </c>
    </row>
    <row r="3599" s="11" customFormat="true" ht="10.95" hidden="false" customHeight="true" outlineLevel="0" collapsed="false">
      <c r="A3599" s="16" t="n">
        <v>45468</v>
      </c>
      <c r="B3599" s="17" t="s">
        <v>1645</v>
      </c>
      <c r="C3599" s="17" t="s">
        <v>1593</v>
      </c>
      <c r="D3599" s="17" t="s">
        <v>1407</v>
      </c>
      <c r="E3599" s="17" t="s">
        <v>1647</v>
      </c>
      <c r="F3599" s="17"/>
      <c r="G3599" s="18" t="n">
        <v>4.21</v>
      </c>
      <c r="H3599" s="18" t="n">
        <v>0</v>
      </c>
      <c r="I3599" s="18" t="n">
        <f aca="false">((I3598 + G3599) - H3599)</f>
        <v>8042.17</v>
      </c>
      <c r="J3599" s="18" t="n">
        <v>0</v>
      </c>
      <c r="K3599" s="19" t="n">
        <v>0</v>
      </c>
      <c r="L3599" s="17" t="s">
        <v>1406</v>
      </c>
    </row>
    <row r="3600" s="11" customFormat="true" ht="10.95" hidden="false" customHeight="true" outlineLevel="0" collapsed="false">
      <c r="A3600" s="16" t="n">
        <v>45470</v>
      </c>
      <c r="B3600" s="17" t="s">
        <v>1645</v>
      </c>
      <c r="C3600" s="17" t="s">
        <v>1593</v>
      </c>
      <c r="D3600" s="17" t="s">
        <v>1407</v>
      </c>
      <c r="E3600" s="17" t="s">
        <v>1738</v>
      </c>
      <c r="F3600" s="17" t="s">
        <v>1382</v>
      </c>
      <c r="G3600" s="18" t="n">
        <v>58.04</v>
      </c>
      <c r="H3600" s="18" t="n">
        <v>0</v>
      </c>
      <c r="I3600" s="18" t="n">
        <f aca="false">((I3599 + G3600) - H3600)</f>
        <v>8100.21</v>
      </c>
      <c r="J3600" s="18" t="n">
        <v>0</v>
      </c>
      <c r="K3600" s="19" t="n">
        <v>0</v>
      </c>
      <c r="L3600" s="17" t="s">
        <v>1406</v>
      </c>
    </row>
    <row r="3601" s="11" customFormat="true" ht="10.95" hidden="false" customHeight="true" outlineLevel="0" collapsed="false">
      <c r="A3601" s="16" t="n">
        <v>45471</v>
      </c>
      <c r="B3601" s="17" t="s">
        <v>1645</v>
      </c>
      <c r="C3601" s="17" t="s">
        <v>1593</v>
      </c>
      <c r="D3601" s="17" t="s">
        <v>1407</v>
      </c>
      <c r="E3601" s="17" t="s">
        <v>1663</v>
      </c>
      <c r="F3601" s="17"/>
      <c r="G3601" s="18" t="n">
        <v>15</v>
      </c>
      <c r="H3601" s="18" t="n">
        <v>0</v>
      </c>
      <c r="I3601" s="18" t="n">
        <f aca="false">((I3600 + G3601) - H3601)</f>
        <v>8115.21</v>
      </c>
      <c r="J3601" s="18" t="n">
        <v>0</v>
      </c>
      <c r="K3601" s="19" t="n">
        <v>0</v>
      </c>
      <c r="L3601" s="17" t="s">
        <v>1406</v>
      </c>
    </row>
    <row r="3602" s="11" customFormat="true" ht="10.95" hidden="false" customHeight="true" outlineLevel="0" collapsed="false">
      <c r="A3602" s="16" t="n">
        <v>45471</v>
      </c>
      <c r="B3602" s="17" t="s">
        <v>1645</v>
      </c>
      <c r="C3602" s="17" t="s">
        <v>1593</v>
      </c>
      <c r="D3602" s="17" t="s">
        <v>1407</v>
      </c>
      <c r="E3602" s="17" t="s">
        <v>1739</v>
      </c>
      <c r="F3602" s="17"/>
      <c r="G3602" s="18" t="n">
        <v>14.96</v>
      </c>
      <c r="H3602" s="18" t="n">
        <v>0</v>
      </c>
      <c r="I3602" s="18" t="n">
        <f aca="false">((I3601 + G3602) - H3602)</f>
        <v>8130.17</v>
      </c>
      <c r="J3602" s="18" t="n">
        <v>0</v>
      </c>
      <c r="K3602" s="19" t="n">
        <v>0</v>
      </c>
      <c r="L3602" s="17" t="s">
        <v>1406</v>
      </c>
    </row>
    <row r="3603" s="11" customFormat="true" ht="10.95" hidden="false" customHeight="true" outlineLevel="0" collapsed="false">
      <c r="A3603" s="16" t="n">
        <v>45473</v>
      </c>
      <c r="B3603" s="17" t="s">
        <v>1645</v>
      </c>
      <c r="C3603" s="17" t="s">
        <v>1593</v>
      </c>
      <c r="D3603" s="17" t="s">
        <v>1407</v>
      </c>
      <c r="E3603" s="17" t="s">
        <v>1740</v>
      </c>
      <c r="F3603" s="17" t="s">
        <v>1384</v>
      </c>
      <c r="G3603" s="18" t="n">
        <v>24.92</v>
      </c>
      <c r="H3603" s="18" t="n">
        <v>0</v>
      </c>
      <c r="I3603" s="18" t="n">
        <f aca="false">((I3602 + G3603) - H3603)</f>
        <v>8155.09</v>
      </c>
      <c r="J3603" s="18" t="n">
        <v>0</v>
      </c>
      <c r="K3603" s="19" t="n">
        <v>0</v>
      </c>
      <c r="L3603" s="17" t="s">
        <v>1406</v>
      </c>
    </row>
    <row r="3604" s="11" customFormat="true" ht="10.95" hidden="false" customHeight="true" outlineLevel="0" collapsed="false">
      <c r="A3604" s="16" t="n">
        <v>45473</v>
      </c>
      <c r="B3604" s="17" t="s">
        <v>1645</v>
      </c>
      <c r="C3604" s="17" t="s">
        <v>1593</v>
      </c>
      <c r="D3604" s="17" t="s">
        <v>1407</v>
      </c>
      <c r="E3604" s="17" t="s">
        <v>1741</v>
      </c>
      <c r="F3604" s="17" t="s">
        <v>1386</v>
      </c>
      <c r="G3604" s="18" t="n">
        <v>16.71</v>
      </c>
      <c r="H3604" s="18" t="n">
        <v>0</v>
      </c>
      <c r="I3604" s="18" t="n">
        <f aca="false">((I3603 + G3604) - H3604)</f>
        <v>8171.8</v>
      </c>
      <c r="J3604" s="18" t="n">
        <v>0</v>
      </c>
      <c r="K3604" s="19" t="n">
        <v>0</v>
      </c>
      <c r="L3604" s="17" t="s">
        <v>1406</v>
      </c>
    </row>
    <row r="3605" s="11" customFormat="true" ht="10.95" hidden="false" customHeight="true" outlineLevel="0" collapsed="false">
      <c r="A3605" s="16" t="n">
        <v>45473</v>
      </c>
      <c r="B3605" s="17" t="s">
        <v>1645</v>
      </c>
      <c r="C3605" s="17" t="s">
        <v>1593</v>
      </c>
      <c r="D3605" s="17" t="s">
        <v>1396</v>
      </c>
      <c r="E3605" s="17" t="s">
        <v>1742</v>
      </c>
      <c r="F3605" s="17" t="s">
        <v>1743</v>
      </c>
      <c r="G3605" s="18" t="n">
        <v>38.08</v>
      </c>
      <c r="H3605" s="18" t="n">
        <v>0</v>
      </c>
      <c r="I3605" s="18" t="n">
        <f aca="false">((I3604 + G3605) - H3605)</f>
        <v>8209.88</v>
      </c>
      <c r="J3605" s="18" t="n">
        <v>0</v>
      </c>
      <c r="K3605" s="19" t="n">
        <v>0</v>
      </c>
      <c r="L3605" s="17" t="s">
        <v>1399</v>
      </c>
    </row>
    <row r="3606" s="11" customFormat="true" ht="10.95" hidden="false" customHeight="true" outlineLevel="0" collapsed="false">
      <c r="A3606" s="16" t="n">
        <v>45473</v>
      </c>
      <c r="B3606" s="17" t="s">
        <v>1645</v>
      </c>
      <c r="C3606" s="17" t="s">
        <v>1593</v>
      </c>
      <c r="D3606" s="17" t="s">
        <v>1396</v>
      </c>
      <c r="E3606" s="17" t="s">
        <v>1742</v>
      </c>
      <c r="F3606" s="17" t="s">
        <v>1743</v>
      </c>
      <c r="G3606" s="18" t="n">
        <v>36.32</v>
      </c>
      <c r="H3606" s="18" t="n">
        <v>0</v>
      </c>
      <c r="I3606" s="18" t="n">
        <f aca="false">((I3605 + G3606) - H3606)</f>
        <v>8246.2</v>
      </c>
      <c r="J3606" s="18" t="n">
        <v>0</v>
      </c>
      <c r="K3606" s="19" t="n">
        <v>0</v>
      </c>
      <c r="L3606" s="17" t="s">
        <v>1399</v>
      </c>
    </row>
    <row r="3607" s="11" customFormat="true" ht="10.95" hidden="false" customHeight="true" outlineLevel="0" collapsed="false">
      <c r="A3607" s="16" t="n">
        <v>45473</v>
      </c>
      <c r="B3607" s="17" t="s">
        <v>1645</v>
      </c>
      <c r="C3607" s="17" t="s">
        <v>1593</v>
      </c>
      <c r="D3607" s="17" t="s">
        <v>1396</v>
      </c>
      <c r="E3607" s="17" t="s">
        <v>1744</v>
      </c>
      <c r="F3607" s="17" t="s">
        <v>1745</v>
      </c>
      <c r="G3607" s="18" t="n">
        <v>0.01</v>
      </c>
      <c r="H3607" s="18" t="n">
        <v>0</v>
      </c>
      <c r="I3607" s="18" t="n">
        <f aca="false">((I3606 + G3607) - H3607)</f>
        <v>8246.21</v>
      </c>
      <c r="J3607" s="18" t="n">
        <v>0</v>
      </c>
      <c r="K3607" s="19" t="n">
        <v>0</v>
      </c>
      <c r="L3607" s="17" t="s">
        <v>1399</v>
      </c>
    </row>
    <row r="3608" s="11" customFormat="true" ht="10.95" hidden="false" customHeight="true" outlineLevel="0" collapsed="false">
      <c r="A3608" s="16" t="n">
        <v>45473</v>
      </c>
      <c r="B3608" s="17" t="s">
        <v>1645</v>
      </c>
      <c r="C3608" s="17" t="s">
        <v>1593</v>
      </c>
      <c r="D3608" s="17" t="s">
        <v>1396</v>
      </c>
      <c r="E3608" s="17" t="s">
        <v>1746</v>
      </c>
      <c r="F3608" s="17" t="s">
        <v>1747</v>
      </c>
      <c r="G3608" s="18" t="n">
        <v>0</v>
      </c>
      <c r="H3608" s="18" t="n">
        <v>0.08</v>
      </c>
      <c r="I3608" s="18" t="n">
        <f aca="false">((I3607 + G3608) - H3608)</f>
        <v>8246.13</v>
      </c>
      <c r="J3608" s="18" t="n">
        <v>0</v>
      </c>
      <c r="K3608" s="19" t="n">
        <v>0</v>
      </c>
      <c r="L3608" s="17" t="s">
        <v>1399</v>
      </c>
    </row>
    <row r="3609" s="11" customFormat="true" ht="10.95" hidden="false" customHeight="true" outlineLevel="0" collapsed="false">
      <c r="A3609" s="16" t="n">
        <v>45473</v>
      </c>
      <c r="B3609" s="17" t="s">
        <v>1645</v>
      </c>
      <c r="C3609" s="17" t="s">
        <v>1593</v>
      </c>
      <c r="D3609" s="17" t="s">
        <v>1396</v>
      </c>
      <c r="E3609" s="17" t="s">
        <v>1748</v>
      </c>
      <c r="F3609" s="17" t="s">
        <v>1749</v>
      </c>
      <c r="G3609" s="18" t="n">
        <v>5.61</v>
      </c>
      <c r="H3609" s="18" t="n">
        <v>0</v>
      </c>
      <c r="I3609" s="18" t="n">
        <f aca="false">((I3608 + G3609) - H3609)</f>
        <v>8251.74</v>
      </c>
      <c r="J3609" s="18" t="n">
        <v>0</v>
      </c>
      <c r="K3609" s="19" t="n">
        <v>0</v>
      </c>
      <c r="L3609" s="17" t="s">
        <v>1399</v>
      </c>
    </row>
    <row r="3610" s="11" customFormat="true" ht="10.95" hidden="false" customHeight="true" outlineLevel="0" collapsed="false">
      <c r="A3610" s="21" t="s">
        <v>1750</v>
      </c>
      <c r="B3610" s="21"/>
      <c r="C3610" s="21"/>
      <c r="D3610" s="21"/>
      <c r="E3610" s="21"/>
      <c r="F3610" s="21"/>
      <c r="G3610" s="22" t="n">
        <f aca="false">SUM(G3213:G3609)</f>
        <v>8320.21</v>
      </c>
      <c r="H3610" s="22" t="n">
        <f aca="false">SUM(H3213:H3609)</f>
        <v>68.47</v>
      </c>
      <c r="I3610" s="22" t="n">
        <f aca="false">I3609</f>
        <v>8251.74</v>
      </c>
      <c r="J3610" s="22" t="n">
        <f aca="false">SUM(J3213:J3609)</f>
        <v>0</v>
      </c>
      <c r="K3610" s="21"/>
      <c r="L3610" s="21"/>
    </row>
    <row r="3611" s="11" customFormat="true" ht="10.95" hidden="false" customHeight="true" outlineLevel="0" collapsed="false">
      <c r="A3611" s="21" t="s">
        <v>784</v>
      </c>
      <c r="B3611" s="21"/>
      <c r="C3611" s="21"/>
      <c r="D3611" s="21"/>
      <c r="E3611" s="21"/>
      <c r="F3611" s="21"/>
      <c r="G3611" s="22" t="n">
        <v>8251.74</v>
      </c>
      <c r="H3611" s="22" t="n">
        <v>0</v>
      </c>
      <c r="I3611" s="22" t="n">
        <v>0</v>
      </c>
      <c r="J3611" s="22" t="n">
        <v>0</v>
      </c>
      <c r="K3611" s="21"/>
      <c r="L3611" s="21"/>
    </row>
    <row r="3612" s="11" customFormat="true" ht="10.95" hidden="false" customHeight="true" outlineLevel="0" collapsed="false">
      <c r="A3612" s="9" t="s">
        <v>785</v>
      </c>
      <c r="B3612" s="9"/>
      <c r="C3612" s="9"/>
      <c r="D3612" s="9"/>
      <c r="E3612" s="9"/>
      <c r="F3612" s="9"/>
      <c r="G3612" s="10" t="n">
        <v>8251.74</v>
      </c>
      <c r="H3612" s="10" t="n">
        <v>0</v>
      </c>
      <c r="I3612" s="10" t="n">
        <f aca="false">I3609</f>
        <v>8251.74</v>
      </c>
      <c r="J3612" s="10" t="n">
        <v>0</v>
      </c>
      <c r="K3612" s="9"/>
      <c r="L3612" s="9"/>
    </row>
    <row r="3613" customFormat="false" ht="13.35" hidden="false" customHeight="true" outlineLevel="0" collapsed="false"/>
    <row r="3614" s="7" customFormat="true" ht="12.1" hidden="false" customHeight="true" outlineLevel="0" collapsed="false">
      <c r="A3614" s="8" t="s">
        <v>1751</v>
      </c>
      <c r="B3614" s="8"/>
      <c r="C3614" s="8"/>
      <c r="D3614" s="8"/>
      <c r="E3614" s="8"/>
      <c r="F3614" s="8"/>
      <c r="G3614" s="8"/>
      <c r="H3614" s="8"/>
      <c r="I3614" s="8"/>
      <c r="J3614" s="8"/>
      <c r="K3614" s="8"/>
      <c r="L3614" s="8"/>
    </row>
    <row r="3615" s="11" customFormat="true" ht="10.95" hidden="false" customHeight="true" outlineLevel="0" collapsed="false">
      <c r="A3615" s="9" t="s">
        <v>16</v>
      </c>
      <c r="B3615" s="9"/>
      <c r="C3615" s="9"/>
      <c r="D3615" s="9"/>
      <c r="E3615" s="9"/>
      <c r="F3615" s="9"/>
      <c r="G3615" s="10" t="n">
        <v>0</v>
      </c>
      <c r="H3615" s="10" t="n">
        <v>0</v>
      </c>
      <c r="I3615" s="10" t="n">
        <f aca="false">(G3615 - H3615)</f>
        <v>0</v>
      </c>
      <c r="J3615" s="10" t="n">
        <v>0</v>
      </c>
      <c r="K3615" s="9"/>
      <c r="L3615" s="9"/>
    </row>
    <row r="3616" s="11" customFormat="true" ht="10.95" hidden="false" customHeight="true" outlineLevel="0" collapsed="false">
      <c r="A3616" s="12" t="n">
        <v>45384</v>
      </c>
      <c r="B3616" s="13" t="s">
        <v>1752</v>
      </c>
      <c r="C3616" s="13" t="s">
        <v>1593</v>
      </c>
      <c r="D3616" s="13" t="s">
        <v>1407</v>
      </c>
      <c r="E3616" s="13" t="s">
        <v>1753</v>
      </c>
      <c r="F3616" s="13" t="s">
        <v>1754</v>
      </c>
      <c r="G3616" s="14" t="n">
        <v>36.32</v>
      </c>
      <c r="H3616" s="14" t="n">
        <v>0</v>
      </c>
      <c r="I3616" s="14" t="n">
        <f aca="false">((I3615 + G3616) - H3616)</f>
        <v>36.32</v>
      </c>
      <c r="J3616" s="14" t="n">
        <v>0</v>
      </c>
      <c r="K3616" s="15" t="n">
        <v>0</v>
      </c>
      <c r="L3616" s="13" t="s">
        <v>1406</v>
      </c>
    </row>
    <row r="3617" s="11" customFormat="true" ht="10.95" hidden="false" customHeight="true" outlineLevel="0" collapsed="false">
      <c r="A3617" s="16" t="n">
        <v>45473</v>
      </c>
      <c r="B3617" s="17" t="s">
        <v>1752</v>
      </c>
      <c r="C3617" s="17" t="s">
        <v>1593</v>
      </c>
      <c r="D3617" s="17" t="s">
        <v>1396</v>
      </c>
      <c r="E3617" s="17" t="s">
        <v>1742</v>
      </c>
      <c r="F3617" s="17" t="s">
        <v>1743</v>
      </c>
      <c r="G3617" s="18" t="n">
        <v>0</v>
      </c>
      <c r="H3617" s="18" t="n">
        <v>36.32</v>
      </c>
      <c r="I3617" s="18" t="n">
        <f aca="false">((I3616 + G3617) - H3617)</f>
        <v>0</v>
      </c>
      <c r="J3617" s="18" t="n">
        <v>0</v>
      </c>
      <c r="K3617" s="19" t="n">
        <v>0</v>
      </c>
      <c r="L3617" s="17" t="s">
        <v>1399</v>
      </c>
    </row>
    <row r="3618" s="11" customFormat="true" ht="10.95" hidden="false" customHeight="true" outlineLevel="0" collapsed="false">
      <c r="A3618" s="21" t="s">
        <v>1755</v>
      </c>
      <c r="B3618" s="21"/>
      <c r="C3618" s="21"/>
      <c r="D3618" s="21"/>
      <c r="E3618" s="21"/>
      <c r="F3618" s="21"/>
      <c r="G3618" s="22" t="n">
        <f aca="false">SUM(G3616:G3617)</f>
        <v>36.32</v>
      </c>
      <c r="H3618" s="22" t="n">
        <f aca="false">SUM(H3616:H3617)</f>
        <v>36.32</v>
      </c>
      <c r="I3618" s="22" t="n">
        <f aca="false">I3617</f>
        <v>0</v>
      </c>
      <c r="J3618" s="22" t="n">
        <f aca="false">SUM(J3616:J3617)</f>
        <v>0</v>
      </c>
      <c r="K3618" s="21"/>
      <c r="L3618" s="21"/>
    </row>
    <row r="3619" s="11" customFormat="true" ht="10.95" hidden="false" customHeight="true" outlineLevel="0" collapsed="false">
      <c r="A3619" s="21" t="s">
        <v>784</v>
      </c>
      <c r="B3619" s="21"/>
      <c r="C3619" s="21"/>
      <c r="D3619" s="21"/>
      <c r="E3619" s="21"/>
      <c r="F3619" s="21"/>
      <c r="G3619" s="22" t="n">
        <v>0</v>
      </c>
      <c r="H3619" s="22" t="n">
        <v>0</v>
      </c>
      <c r="I3619" s="22" t="n">
        <v>0</v>
      </c>
      <c r="J3619" s="22" t="n">
        <v>0</v>
      </c>
      <c r="K3619" s="21"/>
      <c r="L3619" s="21"/>
    </row>
    <row r="3620" s="11" customFormat="true" ht="10.95" hidden="false" customHeight="true" outlineLevel="0" collapsed="false">
      <c r="A3620" s="9" t="s">
        <v>785</v>
      </c>
      <c r="B3620" s="9"/>
      <c r="C3620" s="9"/>
      <c r="D3620" s="9"/>
      <c r="E3620" s="9"/>
      <c r="F3620" s="9"/>
      <c r="G3620" s="10" t="n">
        <v>0</v>
      </c>
      <c r="H3620" s="10" t="n">
        <v>0</v>
      </c>
      <c r="I3620" s="10" t="n">
        <f aca="false">I3617</f>
        <v>0</v>
      </c>
      <c r="J3620" s="10" t="n">
        <v>0</v>
      </c>
      <c r="K3620" s="9"/>
      <c r="L3620" s="9"/>
    </row>
    <row r="3621" customFormat="false" ht="13.35" hidden="false" customHeight="true" outlineLevel="0" collapsed="false"/>
    <row r="3622" s="7" customFormat="true" ht="12.1" hidden="false" customHeight="true" outlineLevel="0" collapsed="false">
      <c r="A3622" s="8" t="s">
        <v>1756</v>
      </c>
      <c r="B3622" s="8"/>
      <c r="C3622" s="8"/>
      <c r="D3622" s="8"/>
      <c r="E3622" s="8"/>
      <c r="F3622" s="8"/>
      <c r="G3622" s="8"/>
      <c r="H3622" s="8"/>
      <c r="I3622" s="8"/>
      <c r="J3622" s="8"/>
      <c r="K3622" s="8"/>
      <c r="L3622" s="8"/>
    </row>
    <row r="3623" s="11" customFormat="true" ht="10.95" hidden="false" customHeight="true" outlineLevel="0" collapsed="false">
      <c r="A3623" s="9" t="s">
        <v>16</v>
      </c>
      <c r="B3623" s="9"/>
      <c r="C3623" s="9"/>
      <c r="D3623" s="9"/>
      <c r="E3623" s="9"/>
      <c r="F3623" s="9"/>
      <c r="G3623" s="10" t="n">
        <v>0</v>
      </c>
      <c r="H3623" s="10" t="n">
        <v>0</v>
      </c>
      <c r="I3623" s="10" t="n">
        <f aca="false">(G3623 - H3623)</f>
        <v>0</v>
      </c>
      <c r="J3623" s="10" t="n">
        <v>0</v>
      </c>
      <c r="K3623" s="9"/>
      <c r="L3623" s="9"/>
    </row>
    <row r="3624" s="11" customFormat="true" ht="10.95" hidden="false" customHeight="true" outlineLevel="0" collapsed="false">
      <c r="A3624" s="12" t="n">
        <v>45126</v>
      </c>
      <c r="B3624" s="13" t="s">
        <v>1757</v>
      </c>
      <c r="C3624" s="13" t="s">
        <v>1593</v>
      </c>
      <c r="D3624" s="13" t="s">
        <v>1407</v>
      </c>
      <c r="E3624" s="13" t="s">
        <v>1758</v>
      </c>
      <c r="F3624" s="13"/>
      <c r="G3624" s="14" t="n">
        <v>80.91</v>
      </c>
      <c r="H3624" s="14" t="n">
        <v>0</v>
      </c>
      <c r="I3624" s="14" t="n">
        <f aca="false">((I3623 + G3624) - H3624)</f>
        <v>80.91</v>
      </c>
      <c r="J3624" s="14" t="n">
        <v>8.09</v>
      </c>
      <c r="K3624" s="15" t="n">
        <v>10</v>
      </c>
      <c r="L3624" s="13" t="s">
        <v>44</v>
      </c>
    </row>
    <row r="3625" s="11" customFormat="true" ht="31.65" hidden="false" customHeight="true" outlineLevel="0" collapsed="false">
      <c r="A3625" s="16" t="n">
        <v>45148</v>
      </c>
      <c r="B3625" s="17" t="s">
        <v>1757</v>
      </c>
      <c r="C3625" s="17" t="s">
        <v>1593</v>
      </c>
      <c r="D3625" s="17" t="s">
        <v>1391</v>
      </c>
      <c r="E3625" s="20" t="s">
        <v>1759</v>
      </c>
      <c r="F3625" s="17" t="s">
        <v>1657</v>
      </c>
      <c r="G3625" s="18" t="n">
        <v>3000</v>
      </c>
      <c r="H3625" s="18" t="n">
        <v>0</v>
      </c>
      <c r="I3625" s="18" t="n">
        <f aca="false">((I3624 + G3625) - H3625)</f>
        <v>3080.91</v>
      </c>
      <c r="J3625" s="18" t="n">
        <v>300</v>
      </c>
      <c r="K3625" s="19" t="n">
        <v>10</v>
      </c>
      <c r="L3625" s="17" t="s">
        <v>44</v>
      </c>
    </row>
    <row r="3626" s="11" customFormat="true" ht="10.95" hidden="false" customHeight="true" outlineLevel="0" collapsed="false">
      <c r="A3626" s="16" t="n">
        <v>45155</v>
      </c>
      <c r="B3626" s="17" t="s">
        <v>1757</v>
      </c>
      <c r="C3626" s="17" t="s">
        <v>1593</v>
      </c>
      <c r="D3626" s="17" t="s">
        <v>1407</v>
      </c>
      <c r="E3626" s="17" t="s">
        <v>1758</v>
      </c>
      <c r="F3626" s="17"/>
      <c r="G3626" s="18" t="n">
        <v>80.91</v>
      </c>
      <c r="H3626" s="18" t="n">
        <v>0</v>
      </c>
      <c r="I3626" s="18" t="n">
        <f aca="false">((I3625 + G3626) - H3626)</f>
        <v>3161.82</v>
      </c>
      <c r="J3626" s="18" t="n">
        <v>8.09</v>
      </c>
      <c r="K3626" s="19" t="n">
        <v>10</v>
      </c>
      <c r="L3626" s="17" t="s">
        <v>44</v>
      </c>
    </row>
    <row r="3627" s="11" customFormat="true" ht="10.95" hidden="false" customHeight="true" outlineLevel="0" collapsed="false">
      <c r="A3627" s="16" t="n">
        <v>45185</v>
      </c>
      <c r="B3627" s="17" t="s">
        <v>1757</v>
      </c>
      <c r="C3627" s="17" t="s">
        <v>1593</v>
      </c>
      <c r="D3627" s="17" t="s">
        <v>1407</v>
      </c>
      <c r="E3627" s="17" t="s">
        <v>1758</v>
      </c>
      <c r="F3627" s="17"/>
      <c r="G3627" s="18" t="n">
        <v>80.91</v>
      </c>
      <c r="H3627" s="18" t="n">
        <v>0</v>
      </c>
      <c r="I3627" s="18" t="n">
        <f aca="false">((I3626 + G3627) - H3627)</f>
        <v>3242.73</v>
      </c>
      <c r="J3627" s="18" t="n">
        <v>8.09</v>
      </c>
      <c r="K3627" s="19" t="n">
        <v>10</v>
      </c>
      <c r="L3627" s="17" t="s">
        <v>44</v>
      </c>
    </row>
    <row r="3628" s="11" customFormat="true" ht="10.95" hidden="false" customHeight="true" outlineLevel="0" collapsed="false">
      <c r="A3628" s="16" t="n">
        <v>45362</v>
      </c>
      <c r="B3628" s="17" t="s">
        <v>1757</v>
      </c>
      <c r="C3628" s="17" t="s">
        <v>1593</v>
      </c>
      <c r="D3628" s="17" t="s">
        <v>1407</v>
      </c>
      <c r="E3628" s="17" t="s">
        <v>1760</v>
      </c>
      <c r="F3628" s="17"/>
      <c r="G3628" s="18" t="n">
        <v>622.35</v>
      </c>
      <c r="H3628" s="18" t="n">
        <v>0</v>
      </c>
      <c r="I3628" s="18" t="n">
        <f aca="false">((I3627 + G3628) - H3628)</f>
        <v>3865.08</v>
      </c>
      <c r="J3628" s="18" t="n">
        <v>0</v>
      </c>
      <c r="K3628" s="19" t="n">
        <v>0</v>
      </c>
      <c r="L3628" s="17" t="s">
        <v>1406</v>
      </c>
    </row>
    <row r="3629" s="11" customFormat="true" ht="10.95" hidden="false" customHeight="true" outlineLevel="0" collapsed="false">
      <c r="A3629" s="16" t="n">
        <v>45374</v>
      </c>
      <c r="B3629" s="17" t="s">
        <v>1757</v>
      </c>
      <c r="C3629" s="17" t="s">
        <v>1593</v>
      </c>
      <c r="D3629" s="17" t="s">
        <v>1391</v>
      </c>
      <c r="E3629" s="17" t="s">
        <v>1761</v>
      </c>
      <c r="F3629" s="17" t="s">
        <v>1762</v>
      </c>
      <c r="G3629" s="18" t="n">
        <v>310</v>
      </c>
      <c r="H3629" s="18" t="n">
        <v>0</v>
      </c>
      <c r="I3629" s="18" t="n">
        <f aca="false">((I3628 + G3629) - H3629)</f>
        <v>4175.08</v>
      </c>
      <c r="J3629" s="18" t="n">
        <v>0</v>
      </c>
      <c r="K3629" s="19" t="n">
        <v>0</v>
      </c>
      <c r="L3629" s="17" t="s">
        <v>1406</v>
      </c>
    </row>
    <row r="3630" s="11" customFormat="true" ht="10.95" hidden="false" customHeight="true" outlineLevel="0" collapsed="false">
      <c r="A3630" s="16" t="n">
        <v>45441</v>
      </c>
      <c r="B3630" s="17" t="s">
        <v>1757</v>
      </c>
      <c r="C3630" s="17" t="s">
        <v>1593</v>
      </c>
      <c r="D3630" s="17" t="s">
        <v>1391</v>
      </c>
      <c r="E3630" s="17" t="s">
        <v>1763</v>
      </c>
      <c r="F3630" s="17" t="s">
        <v>1764</v>
      </c>
      <c r="G3630" s="18" t="n">
        <v>1200</v>
      </c>
      <c r="H3630" s="18" t="n">
        <v>0</v>
      </c>
      <c r="I3630" s="18" t="n">
        <f aca="false">((I3629 + G3630) - H3630)</f>
        <v>5375.08</v>
      </c>
      <c r="J3630" s="18" t="n">
        <v>120</v>
      </c>
      <c r="K3630" s="19" t="n">
        <v>10</v>
      </c>
      <c r="L3630" s="17" t="s">
        <v>44</v>
      </c>
    </row>
    <row r="3631" s="11" customFormat="true" ht="10.95" hidden="false" customHeight="true" outlineLevel="0" collapsed="false">
      <c r="A3631" s="16" t="n">
        <v>45468</v>
      </c>
      <c r="B3631" s="17" t="s">
        <v>1757</v>
      </c>
      <c r="C3631" s="17" t="s">
        <v>1593</v>
      </c>
      <c r="D3631" s="17" t="s">
        <v>1391</v>
      </c>
      <c r="E3631" s="17" t="s">
        <v>1765</v>
      </c>
      <c r="F3631" s="17" t="s">
        <v>1766</v>
      </c>
      <c r="G3631" s="18" t="n">
        <v>67.7</v>
      </c>
      <c r="H3631" s="18" t="n">
        <v>0</v>
      </c>
      <c r="I3631" s="18" t="n">
        <f aca="false">((I3630 + G3631) - H3631)</f>
        <v>5442.78</v>
      </c>
      <c r="J3631" s="18" t="n">
        <v>0</v>
      </c>
      <c r="K3631" s="19" t="n">
        <v>0</v>
      </c>
      <c r="L3631" s="17" t="s">
        <v>1406</v>
      </c>
    </row>
    <row r="3632" s="11" customFormat="true" ht="52.35" hidden="false" customHeight="true" outlineLevel="0" collapsed="false">
      <c r="A3632" s="16" t="n">
        <v>45470</v>
      </c>
      <c r="B3632" s="17" t="s">
        <v>1757</v>
      </c>
      <c r="C3632" s="17" t="s">
        <v>1593</v>
      </c>
      <c r="D3632" s="17" t="s">
        <v>1391</v>
      </c>
      <c r="E3632" s="20" t="s">
        <v>1767</v>
      </c>
      <c r="F3632" s="17" t="s">
        <v>1768</v>
      </c>
      <c r="G3632" s="18" t="n">
        <v>800</v>
      </c>
      <c r="H3632" s="18" t="n">
        <v>0</v>
      </c>
      <c r="I3632" s="18" t="n">
        <f aca="false">((I3631 + G3632) - H3632)</f>
        <v>6242.78</v>
      </c>
      <c r="J3632" s="18" t="n">
        <v>80</v>
      </c>
      <c r="K3632" s="19" t="n">
        <v>10</v>
      </c>
      <c r="L3632" s="17" t="s">
        <v>44</v>
      </c>
    </row>
    <row r="3633" s="11" customFormat="true" ht="10.95" hidden="false" customHeight="true" outlineLevel="0" collapsed="false">
      <c r="A3633" s="16" t="n">
        <v>45473</v>
      </c>
      <c r="B3633" s="17" t="s">
        <v>1757</v>
      </c>
      <c r="C3633" s="17" t="s">
        <v>1593</v>
      </c>
      <c r="D3633" s="17" t="s">
        <v>1396</v>
      </c>
      <c r="E3633" s="17" t="s">
        <v>1769</v>
      </c>
      <c r="F3633" s="17" t="s">
        <v>1770</v>
      </c>
      <c r="G3633" s="18" t="n">
        <v>0</v>
      </c>
      <c r="H3633" s="18" t="n">
        <v>310</v>
      </c>
      <c r="I3633" s="18" t="n">
        <f aca="false">((I3632 + G3633) - H3633)</f>
        <v>5932.78</v>
      </c>
      <c r="J3633" s="18" t="n">
        <v>0</v>
      </c>
      <c r="K3633" s="19" t="n">
        <v>0</v>
      </c>
      <c r="L3633" s="17" t="s">
        <v>1399</v>
      </c>
    </row>
    <row r="3634" s="11" customFormat="true" ht="10.95" hidden="false" customHeight="true" outlineLevel="0" collapsed="false">
      <c r="A3634" s="16" t="n">
        <v>45473</v>
      </c>
      <c r="B3634" s="17" t="s">
        <v>1757</v>
      </c>
      <c r="C3634" s="17" t="s">
        <v>1593</v>
      </c>
      <c r="D3634" s="17" t="s">
        <v>1396</v>
      </c>
      <c r="E3634" s="17" t="s">
        <v>1771</v>
      </c>
      <c r="F3634" s="17" t="s">
        <v>1772</v>
      </c>
      <c r="G3634" s="18" t="n">
        <v>0</v>
      </c>
      <c r="H3634" s="18" t="n">
        <v>67.7</v>
      </c>
      <c r="I3634" s="18" t="n">
        <f aca="false">((I3633 + G3634) - H3634)</f>
        <v>5865.08</v>
      </c>
      <c r="J3634" s="18" t="n">
        <v>0</v>
      </c>
      <c r="K3634" s="19" t="n">
        <v>0</v>
      </c>
      <c r="L3634" s="17" t="s">
        <v>1399</v>
      </c>
    </row>
    <row r="3635" s="11" customFormat="true" ht="10.95" hidden="false" customHeight="true" outlineLevel="0" collapsed="false">
      <c r="A3635" s="16" t="n">
        <v>45473</v>
      </c>
      <c r="B3635" s="17" t="s">
        <v>1757</v>
      </c>
      <c r="C3635" s="17" t="s">
        <v>1593</v>
      </c>
      <c r="D3635" s="17" t="s">
        <v>1396</v>
      </c>
      <c r="E3635" s="17" t="s">
        <v>1748</v>
      </c>
      <c r="F3635" s="17" t="s">
        <v>1749</v>
      </c>
      <c r="G3635" s="18" t="n">
        <v>0</v>
      </c>
      <c r="H3635" s="18" t="n">
        <v>5.1</v>
      </c>
      <c r="I3635" s="18" t="n">
        <f aca="false">((I3634 + G3635) - H3635)</f>
        <v>5859.98</v>
      </c>
      <c r="J3635" s="18" t="n">
        <v>0</v>
      </c>
      <c r="K3635" s="19" t="n">
        <v>0</v>
      </c>
      <c r="L3635" s="17" t="s">
        <v>1399</v>
      </c>
    </row>
    <row r="3636" s="11" customFormat="true" ht="10.95" hidden="false" customHeight="true" outlineLevel="0" collapsed="false">
      <c r="A3636" s="21" t="s">
        <v>1773</v>
      </c>
      <c r="B3636" s="21"/>
      <c r="C3636" s="21"/>
      <c r="D3636" s="21"/>
      <c r="E3636" s="21"/>
      <c r="F3636" s="21"/>
      <c r="G3636" s="22" t="n">
        <f aca="false">SUM(G3624:G3635)</f>
        <v>6242.78</v>
      </c>
      <c r="H3636" s="22" t="n">
        <f aca="false">SUM(H3624:H3635)</f>
        <v>382.8</v>
      </c>
      <c r="I3636" s="22" t="n">
        <f aca="false">I3635</f>
        <v>5859.98</v>
      </c>
      <c r="J3636" s="22" t="n">
        <f aca="false">SUM(J3624:J3635)</f>
        <v>524.27</v>
      </c>
      <c r="K3636" s="21"/>
      <c r="L3636" s="21"/>
    </row>
    <row r="3637" s="11" customFormat="true" ht="10.95" hidden="false" customHeight="true" outlineLevel="0" collapsed="false">
      <c r="A3637" s="21" t="s">
        <v>784</v>
      </c>
      <c r="B3637" s="21"/>
      <c r="C3637" s="21"/>
      <c r="D3637" s="21"/>
      <c r="E3637" s="21"/>
      <c r="F3637" s="21"/>
      <c r="G3637" s="22" t="n">
        <v>5859.98</v>
      </c>
      <c r="H3637" s="22" t="n">
        <v>0</v>
      </c>
      <c r="I3637" s="22" t="n">
        <v>0</v>
      </c>
      <c r="J3637" s="22" t="n">
        <v>0</v>
      </c>
      <c r="K3637" s="21"/>
      <c r="L3637" s="21"/>
    </row>
    <row r="3638" s="11" customFormat="true" ht="10.95" hidden="false" customHeight="true" outlineLevel="0" collapsed="false">
      <c r="A3638" s="9" t="s">
        <v>785</v>
      </c>
      <c r="B3638" s="9"/>
      <c r="C3638" s="9"/>
      <c r="D3638" s="9"/>
      <c r="E3638" s="9"/>
      <c r="F3638" s="9"/>
      <c r="G3638" s="10" t="n">
        <v>5859.98</v>
      </c>
      <c r="H3638" s="10" t="n">
        <v>0</v>
      </c>
      <c r="I3638" s="10" t="n">
        <f aca="false">I3635</f>
        <v>5859.98</v>
      </c>
      <c r="J3638" s="10" t="n">
        <v>0</v>
      </c>
      <c r="K3638" s="9"/>
      <c r="L3638" s="9"/>
    </row>
    <row r="3639" customFormat="false" ht="13.35" hidden="false" customHeight="true" outlineLevel="0" collapsed="false"/>
    <row r="3640" s="7" customFormat="true" ht="12.1" hidden="false" customHeight="true" outlineLevel="0" collapsed="false">
      <c r="A3640" s="8" t="s">
        <v>1774</v>
      </c>
      <c r="B3640" s="8"/>
      <c r="C3640" s="8"/>
      <c r="D3640" s="8"/>
      <c r="E3640" s="8"/>
      <c r="F3640" s="8"/>
      <c r="G3640" s="8"/>
      <c r="H3640" s="8"/>
      <c r="I3640" s="8"/>
      <c r="J3640" s="8"/>
      <c r="K3640" s="8"/>
      <c r="L3640" s="8"/>
    </row>
    <row r="3641" s="11" customFormat="true" ht="10.95" hidden="false" customHeight="true" outlineLevel="0" collapsed="false">
      <c r="A3641" s="9" t="s">
        <v>16</v>
      </c>
      <c r="B3641" s="9"/>
      <c r="C3641" s="9"/>
      <c r="D3641" s="9"/>
      <c r="E3641" s="9"/>
      <c r="F3641" s="9"/>
      <c r="G3641" s="10" t="n">
        <v>0</v>
      </c>
      <c r="H3641" s="10" t="n">
        <v>0</v>
      </c>
      <c r="I3641" s="10" t="n">
        <f aca="false">(G3641 - H3641)</f>
        <v>0</v>
      </c>
      <c r="J3641" s="10" t="n">
        <v>0</v>
      </c>
      <c r="K3641" s="9"/>
      <c r="L3641" s="9"/>
    </row>
    <row r="3642" s="11" customFormat="true" ht="10.95" hidden="false" customHeight="true" outlineLevel="0" collapsed="false">
      <c r="A3642" s="12" t="n">
        <v>45159</v>
      </c>
      <c r="B3642" s="13" t="s">
        <v>1775</v>
      </c>
      <c r="C3642" s="13" t="s">
        <v>1593</v>
      </c>
      <c r="D3642" s="13" t="s">
        <v>1391</v>
      </c>
      <c r="E3642" s="13" t="s">
        <v>1776</v>
      </c>
      <c r="F3642" s="13" t="s">
        <v>1777</v>
      </c>
      <c r="G3642" s="14" t="n">
        <v>1559.12</v>
      </c>
      <c r="H3642" s="14" t="n">
        <v>0</v>
      </c>
      <c r="I3642" s="14" t="n">
        <f aca="false">((I3641 + G3642) - H3642)</f>
        <v>1559.12</v>
      </c>
      <c r="J3642" s="14" t="n">
        <v>0</v>
      </c>
      <c r="K3642" s="15" t="n">
        <v>0</v>
      </c>
      <c r="L3642" s="13" t="s">
        <v>1406</v>
      </c>
    </row>
    <row r="3643" s="11" customFormat="true" ht="10.95" hidden="false" customHeight="true" outlineLevel="0" collapsed="false">
      <c r="A3643" s="16" t="n">
        <v>45171</v>
      </c>
      <c r="B3643" s="17" t="s">
        <v>1775</v>
      </c>
      <c r="C3643" s="17" t="s">
        <v>1593</v>
      </c>
      <c r="D3643" s="17" t="s">
        <v>1407</v>
      </c>
      <c r="E3643" s="17" t="s">
        <v>1778</v>
      </c>
      <c r="F3643" s="17"/>
      <c r="G3643" s="18" t="n">
        <v>8814.55</v>
      </c>
      <c r="H3643" s="18" t="n">
        <v>0</v>
      </c>
      <c r="I3643" s="18" t="n">
        <f aca="false">((I3642 + G3643) - H3643)</f>
        <v>10373.67</v>
      </c>
      <c r="J3643" s="18" t="n">
        <v>881.45</v>
      </c>
      <c r="K3643" s="19" t="n">
        <v>10</v>
      </c>
      <c r="L3643" s="17" t="s">
        <v>44</v>
      </c>
    </row>
    <row r="3644" s="11" customFormat="true" ht="10.95" hidden="false" customHeight="true" outlineLevel="0" collapsed="false">
      <c r="A3644" s="16" t="n">
        <v>45174</v>
      </c>
      <c r="B3644" s="17" t="s">
        <v>1775</v>
      </c>
      <c r="C3644" s="17" t="s">
        <v>1593</v>
      </c>
      <c r="D3644" s="17" t="s">
        <v>1407</v>
      </c>
      <c r="E3644" s="17" t="s">
        <v>1779</v>
      </c>
      <c r="F3644" s="17"/>
      <c r="G3644" s="18" t="n">
        <v>709.09</v>
      </c>
      <c r="H3644" s="18" t="n">
        <v>0</v>
      </c>
      <c r="I3644" s="18" t="n">
        <f aca="false">((I3643 + G3644) - H3644)</f>
        <v>11082.76</v>
      </c>
      <c r="J3644" s="18" t="n">
        <v>70.91</v>
      </c>
      <c r="K3644" s="19" t="n">
        <v>10</v>
      </c>
      <c r="L3644" s="17" t="s">
        <v>44</v>
      </c>
    </row>
    <row r="3645" s="11" customFormat="true" ht="10.95" hidden="false" customHeight="true" outlineLevel="0" collapsed="false">
      <c r="A3645" s="16" t="n">
        <v>45175</v>
      </c>
      <c r="B3645" s="17" t="s">
        <v>1775</v>
      </c>
      <c r="C3645" s="17" t="s">
        <v>1593</v>
      </c>
      <c r="D3645" s="17" t="s">
        <v>1407</v>
      </c>
      <c r="E3645" s="17" t="s">
        <v>1780</v>
      </c>
      <c r="F3645" s="17"/>
      <c r="G3645" s="18" t="n">
        <v>4000</v>
      </c>
      <c r="H3645" s="18" t="n">
        <v>0</v>
      </c>
      <c r="I3645" s="18" t="n">
        <f aca="false">((I3644 + G3645) - H3645)</f>
        <v>15082.76</v>
      </c>
      <c r="J3645" s="18" t="n">
        <v>400</v>
      </c>
      <c r="K3645" s="19" t="n">
        <v>10</v>
      </c>
      <c r="L3645" s="17" t="s">
        <v>44</v>
      </c>
    </row>
    <row r="3646" s="11" customFormat="true" ht="10.95" hidden="false" customHeight="true" outlineLevel="0" collapsed="false">
      <c r="A3646" s="16" t="n">
        <v>45190</v>
      </c>
      <c r="B3646" s="17" t="s">
        <v>1775</v>
      </c>
      <c r="C3646" s="17" t="s">
        <v>1593</v>
      </c>
      <c r="D3646" s="17" t="s">
        <v>1407</v>
      </c>
      <c r="E3646" s="17" t="s">
        <v>1779</v>
      </c>
      <c r="F3646" s="17"/>
      <c r="G3646" s="18" t="n">
        <v>709.09</v>
      </c>
      <c r="H3646" s="18" t="n">
        <v>0</v>
      </c>
      <c r="I3646" s="18" t="n">
        <f aca="false">((I3645 + G3646) - H3646)</f>
        <v>15791.85</v>
      </c>
      <c r="J3646" s="18" t="n">
        <v>70.91</v>
      </c>
      <c r="K3646" s="19" t="n">
        <v>10</v>
      </c>
      <c r="L3646" s="17" t="s">
        <v>44</v>
      </c>
    </row>
    <row r="3647" s="11" customFormat="true" ht="10.95" hidden="false" customHeight="true" outlineLevel="0" collapsed="false">
      <c r="A3647" s="16" t="n">
        <v>45202</v>
      </c>
      <c r="B3647" s="17" t="s">
        <v>1775</v>
      </c>
      <c r="C3647" s="17" t="s">
        <v>1593</v>
      </c>
      <c r="D3647" s="17" t="s">
        <v>1407</v>
      </c>
      <c r="E3647" s="17" t="s">
        <v>1781</v>
      </c>
      <c r="F3647" s="17"/>
      <c r="G3647" s="18" t="n">
        <v>1181.82</v>
      </c>
      <c r="H3647" s="18" t="n">
        <v>0</v>
      </c>
      <c r="I3647" s="18" t="n">
        <f aca="false">((I3646 + G3647) - H3647)</f>
        <v>16973.67</v>
      </c>
      <c r="J3647" s="18" t="n">
        <v>118.18</v>
      </c>
      <c r="K3647" s="19" t="n">
        <v>10</v>
      </c>
      <c r="L3647" s="17" t="s">
        <v>44</v>
      </c>
    </row>
    <row r="3648" s="11" customFormat="true" ht="10.95" hidden="false" customHeight="true" outlineLevel="0" collapsed="false">
      <c r="A3648" s="16" t="n">
        <v>45205</v>
      </c>
      <c r="B3648" s="17" t="s">
        <v>1775</v>
      </c>
      <c r="C3648" s="17" t="s">
        <v>1593</v>
      </c>
      <c r="D3648" s="17" t="s">
        <v>1276</v>
      </c>
      <c r="E3648" s="17" t="s">
        <v>1782</v>
      </c>
      <c r="F3648" s="17"/>
      <c r="G3648" s="18" t="n">
        <v>0</v>
      </c>
      <c r="H3648" s="18" t="n">
        <v>709.09</v>
      </c>
      <c r="I3648" s="18" t="n">
        <f aca="false">((I3647 + G3648) - H3648)</f>
        <v>16264.58</v>
      </c>
      <c r="J3648" s="18" t="n">
        <v>-70.91</v>
      </c>
      <c r="K3648" s="19" t="n">
        <v>10</v>
      </c>
      <c r="L3648" s="17" t="s">
        <v>44</v>
      </c>
    </row>
    <row r="3649" s="11" customFormat="true" ht="10.95" hidden="false" customHeight="true" outlineLevel="0" collapsed="false">
      <c r="A3649" s="16" t="n">
        <v>45219</v>
      </c>
      <c r="B3649" s="17" t="s">
        <v>1775</v>
      </c>
      <c r="C3649" s="17" t="s">
        <v>1593</v>
      </c>
      <c r="D3649" s="17" t="s">
        <v>1276</v>
      </c>
      <c r="E3649" s="17" t="s">
        <v>1783</v>
      </c>
      <c r="F3649" s="17"/>
      <c r="G3649" s="18" t="n">
        <v>0</v>
      </c>
      <c r="H3649" s="18" t="n">
        <v>709.09</v>
      </c>
      <c r="I3649" s="18" t="n">
        <f aca="false">((I3648 + G3649) - H3649)</f>
        <v>15555.49</v>
      </c>
      <c r="J3649" s="18" t="n">
        <v>-70.91</v>
      </c>
      <c r="K3649" s="19" t="n">
        <v>10</v>
      </c>
      <c r="L3649" s="17" t="s">
        <v>44</v>
      </c>
    </row>
    <row r="3650" s="11" customFormat="true" ht="10.95" hidden="false" customHeight="true" outlineLevel="0" collapsed="false">
      <c r="A3650" s="16" t="n">
        <v>45321</v>
      </c>
      <c r="B3650" s="17" t="s">
        <v>1775</v>
      </c>
      <c r="C3650" s="17" t="s">
        <v>1593</v>
      </c>
      <c r="D3650" s="17" t="s">
        <v>1391</v>
      </c>
      <c r="E3650" s="17" t="s">
        <v>1784</v>
      </c>
      <c r="F3650" s="17" t="s">
        <v>1785</v>
      </c>
      <c r="G3650" s="18" t="n">
        <v>758.15</v>
      </c>
      <c r="H3650" s="18" t="n">
        <v>0</v>
      </c>
      <c r="I3650" s="18" t="n">
        <f aca="false">((I3649 + G3650) - H3650)</f>
        <v>16313.64</v>
      </c>
      <c r="J3650" s="18" t="n">
        <v>0</v>
      </c>
      <c r="K3650" s="19" t="n">
        <v>0</v>
      </c>
      <c r="L3650" s="17" t="s">
        <v>1406</v>
      </c>
    </row>
    <row r="3651" s="11" customFormat="true" ht="10.95" hidden="false" customHeight="true" outlineLevel="0" collapsed="false">
      <c r="A3651" s="21" t="s">
        <v>1786</v>
      </c>
      <c r="B3651" s="21"/>
      <c r="C3651" s="21"/>
      <c r="D3651" s="21"/>
      <c r="E3651" s="21"/>
      <c r="F3651" s="21"/>
      <c r="G3651" s="22" t="n">
        <f aca="false">SUM(G3642:G3650)</f>
        <v>17731.82</v>
      </c>
      <c r="H3651" s="22" t="n">
        <f aca="false">SUM(H3642:H3650)</f>
        <v>1418.18</v>
      </c>
      <c r="I3651" s="22" t="n">
        <f aca="false">I3650</f>
        <v>16313.64</v>
      </c>
      <c r="J3651" s="22" t="n">
        <f aca="false">SUM(J3642:J3650)</f>
        <v>1399.63</v>
      </c>
      <c r="K3651" s="21"/>
      <c r="L3651" s="21"/>
    </row>
    <row r="3652" s="11" customFormat="true" ht="10.95" hidden="false" customHeight="true" outlineLevel="0" collapsed="false">
      <c r="A3652" s="21" t="s">
        <v>784</v>
      </c>
      <c r="B3652" s="21"/>
      <c r="C3652" s="21"/>
      <c r="D3652" s="21"/>
      <c r="E3652" s="21"/>
      <c r="F3652" s="21"/>
      <c r="G3652" s="22" t="n">
        <v>16313.64</v>
      </c>
      <c r="H3652" s="22" t="n">
        <v>0</v>
      </c>
      <c r="I3652" s="22" t="n">
        <v>0</v>
      </c>
      <c r="J3652" s="22" t="n">
        <v>0</v>
      </c>
      <c r="K3652" s="21"/>
      <c r="L3652" s="21"/>
    </row>
    <row r="3653" s="11" customFormat="true" ht="10.95" hidden="false" customHeight="true" outlineLevel="0" collapsed="false">
      <c r="A3653" s="9" t="s">
        <v>785</v>
      </c>
      <c r="B3653" s="9"/>
      <c r="C3653" s="9"/>
      <c r="D3653" s="9"/>
      <c r="E3653" s="9"/>
      <c r="F3653" s="9"/>
      <c r="G3653" s="10" t="n">
        <v>16313.64</v>
      </c>
      <c r="H3653" s="10" t="n">
        <v>0</v>
      </c>
      <c r="I3653" s="10" t="n">
        <f aca="false">I3650</f>
        <v>16313.64</v>
      </c>
      <c r="J3653" s="10" t="n">
        <v>0</v>
      </c>
      <c r="K3653" s="9"/>
      <c r="L3653" s="9"/>
    </row>
    <row r="3654" customFormat="false" ht="13.35" hidden="false" customHeight="true" outlineLevel="0" collapsed="false"/>
    <row r="3655" s="7" customFormat="true" ht="12.1" hidden="false" customHeight="true" outlineLevel="0" collapsed="false">
      <c r="A3655" s="8" t="s">
        <v>1787</v>
      </c>
      <c r="B3655" s="8"/>
      <c r="C3655" s="8"/>
      <c r="D3655" s="8"/>
      <c r="E3655" s="8"/>
      <c r="F3655" s="8"/>
      <c r="G3655" s="8"/>
      <c r="H3655" s="8"/>
      <c r="I3655" s="8"/>
      <c r="J3655" s="8"/>
      <c r="K3655" s="8"/>
      <c r="L3655" s="8"/>
    </row>
    <row r="3656" s="11" customFormat="true" ht="10.95" hidden="false" customHeight="true" outlineLevel="0" collapsed="false">
      <c r="A3656" s="9" t="s">
        <v>16</v>
      </c>
      <c r="B3656" s="9"/>
      <c r="C3656" s="9"/>
      <c r="D3656" s="9"/>
      <c r="E3656" s="9"/>
      <c r="F3656" s="9"/>
      <c r="G3656" s="10" t="n">
        <v>0</v>
      </c>
      <c r="H3656" s="10" t="n">
        <v>0</v>
      </c>
      <c r="I3656" s="10" t="n">
        <f aca="false">(G3656 - H3656)</f>
        <v>0</v>
      </c>
      <c r="J3656" s="10" t="n">
        <v>0</v>
      </c>
      <c r="K3656" s="9"/>
      <c r="L3656" s="9"/>
    </row>
    <row r="3657" s="11" customFormat="true" ht="10.95" hidden="false" customHeight="true" outlineLevel="0" collapsed="false">
      <c r="A3657" s="12" t="n">
        <v>45138</v>
      </c>
      <c r="B3657" s="13" t="s">
        <v>1788</v>
      </c>
      <c r="C3657" s="13" t="s">
        <v>1593</v>
      </c>
      <c r="D3657" s="13"/>
      <c r="E3657" s="13" t="s">
        <v>1789</v>
      </c>
      <c r="F3657" s="13"/>
      <c r="G3657" s="14" t="n">
        <v>314.67</v>
      </c>
      <c r="H3657" s="14" t="n">
        <v>0</v>
      </c>
      <c r="I3657" s="14" t="n">
        <f aca="false">((I3656 + G3657) - H3657)</f>
        <v>314.67</v>
      </c>
      <c r="J3657" s="14" t="n">
        <v>0</v>
      </c>
      <c r="K3657" s="15" t="n">
        <v>0</v>
      </c>
      <c r="L3657" s="13"/>
    </row>
    <row r="3658" s="11" customFormat="true" ht="10.95" hidden="false" customHeight="true" outlineLevel="0" collapsed="false">
      <c r="A3658" s="16" t="n">
        <v>45138</v>
      </c>
      <c r="B3658" s="17" t="s">
        <v>1788</v>
      </c>
      <c r="C3658" s="17" t="s">
        <v>1593</v>
      </c>
      <c r="D3658" s="17"/>
      <c r="E3658" s="17" t="s">
        <v>1790</v>
      </c>
      <c r="F3658" s="17"/>
      <c r="G3658" s="18" t="n">
        <v>409.93</v>
      </c>
      <c r="H3658" s="18" t="n">
        <v>0</v>
      </c>
      <c r="I3658" s="18" t="n">
        <f aca="false">((I3657 + G3658) - H3658)</f>
        <v>724.6</v>
      </c>
      <c r="J3658" s="18" t="n">
        <v>0</v>
      </c>
      <c r="K3658" s="19" t="n">
        <v>0</v>
      </c>
      <c r="L3658" s="17"/>
    </row>
    <row r="3659" s="11" customFormat="true" ht="10.95" hidden="false" customHeight="true" outlineLevel="0" collapsed="false">
      <c r="A3659" s="16" t="n">
        <v>45138</v>
      </c>
      <c r="B3659" s="17" t="s">
        <v>1788</v>
      </c>
      <c r="C3659" s="17" t="s">
        <v>1593</v>
      </c>
      <c r="D3659" s="17"/>
      <c r="E3659" s="17" t="s">
        <v>1791</v>
      </c>
      <c r="F3659" s="17"/>
      <c r="G3659" s="18" t="n">
        <v>77.96</v>
      </c>
      <c r="H3659" s="18" t="n">
        <v>0</v>
      </c>
      <c r="I3659" s="18" t="n">
        <f aca="false">((I3658 + G3659) - H3659)</f>
        <v>802.56</v>
      </c>
      <c r="J3659" s="18" t="n">
        <v>0</v>
      </c>
      <c r="K3659" s="19" t="n">
        <v>0</v>
      </c>
      <c r="L3659" s="17"/>
    </row>
    <row r="3660" s="11" customFormat="true" ht="10.95" hidden="false" customHeight="true" outlineLevel="0" collapsed="false">
      <c r="A3660" s="16" t="n">
        <v>45138</v>
      </c>
      <c r="B3660" s="17" t="s">
        <v>1788</v>
      </c>
      <c r="C3660" s="17" t="s">
        <v>1593</v>
      </c>
      <c r="D3660" s="17"/>
      <c r="E3660" s="17" t="s">
        <v>1792</v>
      </c>
      <c r="F3660" s="17"/>
      <c r="G3660" s="18" t="n">
        <v>178.17</v>
      </c>
      <c r="H3660" s="18" t="n">
        <v>0</v>
      </c>
      <c r="I3660" s="18" t="n">
        <f aca="false">((I3659 + G3660) - H3660)</f>
        <v>980.73</v>
      </c>
      <c r="J3660" s="18" t="n">
        <v>0</v>
      </c>
      <c r="K3660" s="19" t="n">
        <v>0</v>
      </c>
      <c r="L3660" s="17"/>
    </row>
    <row r="3661" s="11" customFormat="true" ht="10.95" hidden="false" customHeight="true" outlineLevel="0" collapsed="false">
      <c r="A3661" s="16" t="n">
        <v>45138</v>
      </c>
      <c r="B3661" s="17" t="s">
        <v>1788</v>
      </c>
      <c r="C3661" s="17" t="s">
        <v>1593</v>
      </c>
      <c r="D3661" s="17"/>
      <c r="E3661" s="17" t="s">
        <v>1793</v>
      </c>
      <c r="F3661" s="17"/>
      <c r="G3661" s="18" t="n">
        <v>9.75</v>
      </c>
      <c r="H3661" s="18" t="n">
        <v>0</v>
      </c>
      <c r="I3661" s="18" t="n">
        <f aca="false">((I3660 + G3661) - H3661)</f>
        <v>990.48</v>
      </c>
      <c r="J3661" s="18" t="n">
        <v>0</v>
      </c>
      <c r="K3661" s="19" t="n">
        <v>0</v>
      </c>
      <c r="L3661" s="17"/>
    </row>
    <row r="3662" s="11" customFormat="true" ht="10.95" hidden="false" customHeight="true" outlineLevel="0" collapsed="false">
      <c r="A3662" s="16" t="n">
        <v>45138</v>
      </c>
      <c r="B3662" s="17" t="s">
        <v>1788</v>
      </c>
      <c r="C3662" s="17" t="s">
        <v>1593</v>
      </c>
      <c r="D3662" s="17"/>
      <c r="E3662" s="17" t="s">
        <v>1794</v>
      </c>
      <c r="F3662" s="17"/>
      <c r="G3662" s="18" t="n">
        <v>12.73</v>
      </c>
      <c r="H3662" s="18" t="n">
        <v>0</v>
      </c>
      <c r="I3662" s="18" t="n">
        <f aca="false">((I3661 + G3662) - H3662)</f>
        <v>1003.21</v>
      </c>
      <c r="J3662" s="18" t="n">
        <v>0</v>
      </c>
      <c r="K3662" s="19" t="n">
        <v>0</v>
      </c>
      <c r="L3662" s="17"/>
    </row>
    <row r="3663" s="11" customFormat="true" ht="10.95" hidden="false" customHeight="true" outlineLevel="0" collapsed="false">
      <c r="A3663" s="16" t="n">
        <v>45138</v>
      </c>
      <c r="B3663" s="17" t="s">
        <v>1788</v>
      </c>
      <c r="C3663" s="17" t="s">
        <v>1593</v>
      </c>
      <c r="D3663" s="17"/>
      <c r="E3663" s="17" t="s">
        <v>1795</v>
      </c>
      <c r="F3663" s="17"/>
      <c r="G3663" s="18" t="n">
        <v>10.41</v>
      </c>
      <c r="H3663" s="18" t="n">
        <v>0</v>
      </c>
      <c r="I3663" s="18" t="n">
        <f aca="false">((I3662 + G3663) - H3663)</f>
        <v>1013.62</v>
      </c>
      <c r="J3663" s="18" t="n">
        <v>0</v>
      </c>
      <c r="K3663" s="19" t="n">
        <v>0</v>
      </c>
      <c r="L3663" s="17"/>
    </row>
    <row r="3664" s="11" customFormat="true" ht="10.95" hidden="false" customHeight="true" outlineLevel="0" collapsed="false">
      <c r="A3664" s="16" t="n">
        <v>45138</v>
      </c>
      <c r="B3664" s="17" t="s">
        <v>1788</v>
      </c>
      <c r="C3664" s="17" t="s">
        <v>1593</v>
      </c>
      <c r="D3664" s="17"/>
      <c r="E3664" s="17" t="s">
        <v>1796</v>
      </c>
      <c r="F3664" s="17"/>
      <c r="G3664" s="18" t="n">
        <v>75.28</v>
      </c>
      <c r="H3664" s="18" t="n">
        <v>0</v>
      </c>
      <c r="I3664" s="18" t="n">
        <f aca="false">((I3663 + G3664) - H3664)</f>
        <v>1088.9</v>
      </c>
      <c r="J3664" s="18" t="n">
        <v>0</v>
      </c>
      <c r="K3664" s="19" t="n">
        <v>0</v>
      </c>
      <c r="L3664" s="17"/>
    </row>
    <row r="3665" s="11" customFormat="true" ht="10.95" hidden="false" customHeight="true" outlineLevel="0" collapsed="false">
      <c r="A3665" s="16" t="n">
        <v>45138</v>
      </c>
      <c r="B3665" s="17" t="s">
        <v>1788</v>
      </c>
      <c r="C3665" s="17" t="s">
        <v>1593</v>
      </c>
      <c r="D3665" s="17"/>
      <c r="E3665" s="17" t="s">
        <v>1797</v>
      </c>
      <c r="F3665" s="17"/>
      <c r="G3665" s="18" t="n">
        <v>13.9</v>
      </c>
      <c r="H3665" s="18" t="n">
        <v>0</v>
      </c>
      <c r="I3665" s="18" t="n">
        <f aca="false">((I3664 + G3665) - H3665)</f>
        <v>1102.8</v>
      </c>
      <c r="J3665" s="18" t="n">
        <v>0</v>
      </c>
      <c r="K3665" s="19" t="n">
        <v>0</v>
      </c>
      <c r="L3665" s="17"/>
    </row>
    <row r="3666" s="11" customFormat="true" ht="10.95" hidden="false" customHeight="true" outlineLevel="0" collapsed="false">
      <c r="A3666" s="16" t="n">
        <v>45138</v>
      </c>
      <c r="B3666" s="17" t="s">
        <v>1788</v>
      </c>
      <c r="C3666" s="17" t="s">
        <v>1593</v>
      </c>
      <c r="D3666" s="17"/>
      <c r="E3666" s="17" t="s">
        <v>1798</v>
      </c>
      <c r="F3666" s="17"/>
      <c r="G3666" s="18" t="n">
        <v>10.47</v>
      </c>
      <c r="H3666" s="18" t="n">
        <v>0</v>
      </c>
      <c r="I3666" s="18" t="n">
        <f aca="false">((I3665 + G3666) - H3666)</f>
        <v>1113.27</v>
      </c>
      <c r="J3666" s="18" t="n">
        <v>0</v>
      </c>
      <c r="K3666" s="19" t="n">
        <v>0</v>
      </c>
      <c r="L3666" s="17"/>
    </row>
    <row r="3667" s="11" customFormat="true" ht="10.95" hidden="false" customHeight="true" outlineLevel="0" collapsed="false">
      <c r="A3667" s="16" t="n">
        <v>45138</v>
      </c>
      <c r="B3667" s="17" t="s">
        <v>1788</v>
      </c>
      <c r="C3667" s="17" t="s">
        <v>1593</v>
      </c>
      <c r="D3667" s="17"/>
      <c r="E3667" s="17" t="s">
        <v>1799</v>
      </c>
      <c r="F3667" s="17"/>
      <c r="G3667" s="18" t="n">
        <v>50.93</v>
      </c>
      <c r="H3667" s="18" t="n">
        <v>0</v>
      </c>
      <c r="I3667" s="18" t="n">
        <f aca="false">((I3666 + G3667) - H3667)</f>
        <v>1164.2</v>
      </c>
      <c r="J3667" s="18" t="n">
        <v>0</v>
      </c>
      <c r="K3667" s="19" t="n">
        <v>0</v>
      </c>
      <c r="L3667" s="17"/>
    </row>
    <row r="3668" s="11" customFormat="true" ht="10.95" hidden="false" customHeight="true" outlineLevel="0" collapsed="false">
      <c r="A3668" s="16" t="n">
        <v>45138</v>
      </c>
      <c r="B3668" s="17" t="s">
        <v>1788</v>
      </c>
      <c r="C3668" s="17" t="s">
        <v>1593</v>
      </c>
      <c r="D3668" s="17"/>
      <c r="E3668" s="17" t="s">
        <v>1800</v>
      </c>
      <c r="F3668" s="17"/>
      <c r="G3668" s="18" t="n">
        <v>113.55</v>
      </c>
      <c r="H3668" s="18" t="n">
        <v>0</v>
      </c>
      <c r="I3668" s="18" t="n">
        <f aca="false">((I3667 + G3668) - H3668)</f>
        <v>1277.75</v>
      </c>
      <c r="J3668" s="18" t="n">
        <v>0</v>
      </c>
      <c r="K3668" s="19" t="n">
        <v>0</v>
      </c>
      <c r="L3668" s="17"/>
    </row>
    <row r="3669" s="11" customFormat="true" ht="10.95" hidden="false" customHeight="true" outlineLevel="0" collapsed="false">
      <c r="A3669" s="16" t="n">
        <v>45169</v>
      </c>
      <c r="B3669" s="17" t="s">
        <v>1788</v>
      </c>
      <c r="C3669" s="17" t="s">
        <v>1593</v>
      </c>
      <c r="D3669" s="17"/>
      <c r="E3669" s="17" t="s">
        <v>1801</v>
      </c>
      <c r="F3669" s="17"/>
      <c r="G3669" s="18" t="n">
        <v>314.67</v>
      </c>
      <c r="H3669" s="18" t="n">
        <v>0</v>
      </c>
      <c r="I3669" s="18" t="n">
        <f aca="false">((I3668 + G3669) - H3669)</f>
        <v>1592.42</v>
      </c>
      <c r="J3669" s="18" t="n">
        <v>0</v>
      </c>
      <c r="K3669" s="19" t="n">
        <v>0</v>
      </c>
      <c r="L3669" s="17"/>
    </row>
    <row r="3670" s="11" customFormat="true" ht="10.95" hidden="false" customHeight="true" outlineLevel="0" collapsed="false">
      <c r="A3670" s="16" t="n">
        <v>45169</v>
      </c>
      <c r="B3670" s="17" t="s">
        <v>1788</v>
      </c>
      <c r="C3670" s="17" t="s">
        <v>1593</v>
      </c>
      <c r="D3670" s="17"/>
      <c r="E3670" s="17" t="s">
        <v>1802</v>
      </c>
      <c r="F3670" s="17"/>
      <c r="G3670" s="18" t="n">
        <v>409.93</v>
      </c>
      <c r="H3670" s="18" t="n">
        <v>0</v>
      </c>
      <c r="I3670" s="18" t="n">
        <f aca="false">((I3669 + G3670) - H3670)</f>
        <v>2002.35</v>
      </c>
      <c r="J3670" s="18" t="n">
        <v>0</v>
      </c>
      <c r="K3670" s="19" t="n">
        <v>0</v>
      </c>
      <c r="L3670" s="17"/>
    </row>
    <row r="3671" s="11" customFormat="true" ht="10.95" hidden="false" customHeight="true" outlineLevel="0" collapsed="false">
      <c r="A3671" s="16" t="n">
        <v>45169</v>
      </c>
      <c r="B3671" s="17" t="s">
        <v>1788</v>
      </c>
      <c r="C3671" s="17" t="s">
        <v>1593</v>
      </c>
      <c r="D3671" s="17"/>
      <c r="E3671" s="17" t="s">
        <v>1803</v>
      </c>
      <c r="F3671" s="17"/>
      <c r="G3671" s="18" t="n">
        <v>77.96</v>
      </c>
      <c r="H3671" s="18" t="n">
        <v>0</v>
      </c>
      <c r="I3671" s="18" t="n">
        <f aca="false">((I3670 + G3671) - H3671)</f>
        <v>2080.31</v>
      </c>
      <c r="J3671" s="18" t="n">
        <v>0</v>
      </c>
      <c r="K3671" s="19" t="n">
        <v>0</v>
      </c>
      <c r="L3671" s="17"/>
    </row>
    <row r="3672" s="11" customFormat="true" ht="10.95" hidden="false" customHeight="true" outlineLevel="0" collapsed="false">
      <c r="A3672" s="16" t="n">
        <v>45169</v>
      </c>
      <c r="B3672" s="17" t="s">
        <v>1788</v>
      </c>
      <c r="C3672" s="17" t="s">
        <v>1593</v>
      </c>
      <c r="D3672" s="17"/>
      <c r="E3672" s="17" t="s">
        <v>1804</v>
      </c>
      <c r="F3672" s="17"/>
      <c r="G3672" s="18" t="n">
        <v>178.17</v>
      </c>
      <c r="H3672" s="18" t="n">
        <v>0</v>
      </c>
      <c r="I3672" s="18" t="n">
        <f aca="false">((I3671 + G3672) - H3672)</f>
        <v>2258.48</v>
      </c>
      <c r="J3672" s="18" t="n">
        <v>0</v>
      </c>
      <c r="K3672" s="19" t="n">
        <v>0</v>
      </c>
      <c r="L3672" s="17"/>
    </row>
    <row r="3673" s="11" customFormat="true" ht="10.95" hidden="false" customHeight="true" outlineLevel="0" collapsed="false">
      <c r="A3673" s="16" t="n">
        <v>45169</v>
      </c>
      <c r="B3673" s="17" t="s">
        <v>1788</v>
      </c>
      <c r="C3673" s="17" t="s">
        <v>1593</v>
      </c>
      <c r="D3673" s="17"/>
      <c r="E3673" s="17" t="s">
        <v>1805</v>
      </c>
      <c r="F3673" s="17"/>
      <c r="G3673" s="18" t="n">
        <v>9.74</v>
      </c>
      <c r="H3673" s="18" t="n">
        <v>0</v>
      </c>
      <c r="I3673" s="18" t="n">
        <f aca="false">((I3672 + G3673) - H3673)</f>
        <v>2268.22</v>
      </c>
      <c r="J3673" s="18" t="n">
        <v>0</v>
      </c>
      <c r="K3673" s="19" t="n">
        <v>0</v>
      </c>
      <c r="L3673" s="17"/>
    </row>
    <row r="3674" s="11" customFormat="true" ht="10.95" hidden="false" customHeight="true" outlineLevel="0" collapsed="false">
      <c r="A3674" s="16" t="n">
        <v>45169</v>
      </c>
      <c r="B3674" s="17" t="s">
        <v>1788</v>
      </c>
      <c r="C3674" s="17" t="s">
        <v>1593</v>
      </c>
      <c r="D3674" s="17"/>
      <c r="E3674" s="17" t="s">
        <v>1806</v>
      </c>
      <c r="F3674" s="17"/>
      <c r="G3674" s="18" t="n">
        <v>12.74</v>
      </c>
      <c r="H3674" s="18" t="n">
        <v>0</v>
      </c>
      <c r="I3674" s="18" t="n">
        <f aca="false">((I3673 + G3674) - H3674)</f>
        <v>2280.96</v>
      </c>
      <c r="J3674" s="18" t="n">
        <v>0</v>
      </c>
      <c r="K3674" s="19" t="n">
        <v>0</v>
      </c>
      <c r="L3674" s="17"/>
    </row>
    <row r="3675" s="11" customFormat="true" ht="10.95" hidden="false" customHeight="true" outlineLevel="0" collapsed="false">
      <c r="A3675" s="16" t="n">
        <v>45169</v>
      </c>
      <c r="B3675" s="17" t="s">
        <v>1788</v>
      </c>
      <c r="C3675" s="17" t="s">
        <v>1593</v>
      </c>
      <c r="D3675" s="17"/>
      <c r="E3675" s="17" t="s">
        <v>1807</v>
      </c>
      <c r="F3675" s="17"/>
      <c r="G3675" s="18" t="n">
        <v>10.4</v>
      </c>
      <c r="H3675" s="18" t="n">
        <v>0</v>
      </c>
      <c r="I3675" s="18" t="n">
        <f aca="false">((I3674 + G3675) - H3675)</f>
        <v>2291.36</v>
      </c>
      <c r="J3675" s="18" t="n">
        <v>0</v>
      </c>
      <c r="K3675" s="19" t="n">
        <v>0</v>
      </c>
      <c r="L3675" s="17"/>
    </row>
    <row r="3676" s="11" customFormat="true" ht="10.95" hidden="false" customHeight="true" outlineLevel="0" collapsed="false">
      <c r="A3676" s="16" t="n">
        <v>45169</v>
      </c>
      <c r="B3676" s="17" t="s">
        <v>1788</v>
      </c>
      <c r="C3676" s="17" t="s">
        <v>1593</v>
      </c>
      <c r="D3676" s="17"/>
      <c r="E3676" s="17" t="s">
        <v>1808</v>
      </c>
      <c r="F3676" s="17"/>
      <c r="G3676" s="18" t="n">
        <v>75.28</v>
      </c>
      <c r="H3676" s="18" t="n">
        <v>0</v>
      </c>
      <c r="I3676" s="18" t="n">
        <f aca="false">((I3675 + G3676) - H3676)</f>
        <v>2366.64</v>
      </c>
      <c r="J3676" s="18" t="n">
        <v>0</v>
      </c>
      <c r="K3676" s="19" t="n">
        <v>0</v>
      </c>
      <c r="L3676" s="17"/>
    </row>
    <row r="3677" s="11" customFormat="true" ht="10.95" hidden="false" customHeight="true" outlineLevel="0" collapsed="false">
      <c r="A3677" s="16" t="n">
        <v>45169</v>
      </c>
      <c r="B3677" s="17" t="s">
        <v>1788</v>
      </c>
      <c r="C3677" s="17" t="s">
        <v>1593</v>
      </c>
      <c r="D3677" s="17"/>
      <c r="E3677" s="17" t="s">
        <v>1809</v>
      </c>
      <c r="F3677" s="17"/>
      <c r="G3677" s="18" t="n">
        <v>13.91</v>
      </c>
      <c r="H3677" s="18" t="n">
        <v>0</v>
      </c>
      <c r="I3677" s="18" t="n">
        <f aca="false">((I3676 + G3677) - H3677)</f>
        <v>2380.55</v>
      </c>
      <c r="J3677" s="18" t="n">
        <v>0</v>
      </c>
      <c r="K3677" s="19" t="n">
        <v>0</v>
      </c>
      <c r="L3677" s="17"/>
    </row>
    <row r="3678" s="11" customFormat="true" ht="10.95" hidden="false" customHeight="true" outlineLevel="0" collapsed="false">
      <c r="A3678" s="16" t="n">
        <v>45169</v>
      </c>
      <c r="B3678" s="17" t="s">
        <v>1788</v>
      </c>
      <c r="C3678" s="17" t="s">
        <v>1593</v>
      </c>
      <c r="D3678" s="17"/>
      <c r="E3678" s="17" t="s">
        <v>1810</v>
      </c>
      <c r="F3678" s="17"/>
      <c r="G3678" s="18" t="n">
        <v>10.47</v>
      </c>
      <c r="H3678" s="18" t="n">
        <v>0</v>
      </c>
      <c r="I3678" s="18" t="n">
        <f aca="false">((I3677 + G3678) - H3678)</f>
        <v>2391.02</v>
      </c>
      <c r="J3678" s="18" t="n">
        <v>0</v>
      </c>
      <c r="K3678" s="19" t="n">
        <v>0</v>
      </c>
      <c r="L3678" s="17"/>
    </row>
    <row r="3679" s="11" customFormat="true" ht="10.95" hidden="false" customHeight="true" outlineLevel="0" collapsed="false">
      <c r="A3679" s="16" t="n">
        <v>45169</v>
      </c>
      <c r="B3679" s="17" t="s">
        <v>1788</v>
      </c>
      <c r="C3679" s="17" t="s">
        <v>1593</v>
      </c>
      <c r="D3679" s="17"/>
      <c r="E3679" s="17" t="s">
        <v>1811</v>
      </c>
      <c r="F3679" s="17"/>
      <c r="G3679" s="18" t="n">
        <v>50.94</v>
      </c>
      <c r="H3679" s="18" t="n">
        <v>0</v>
      </c>
      <c r="I3679" s="18" t="n">
        <f aca="false">((I3678 + G3679) - H3679)</f>
        <v>2441.96</v>
      </c>
      <c r="J3679" s="18" t="n">
        <v>0</v>
      </c>
      <c r="K3679" s="19" t="n">
        <v>0</v>
      </c>
      <c r="L3679" s="17"/>
    </row>
    <row r="3680" s="11" customFormat="true" ht="10.95" hidden="false" customHeight="true" outlineLevel="0" collapsed="false">
      <c r="A3680" s="16" t="n">
        <v>45169</v>
      </c>
      <c r="B3680" s="17" t="s">
        <v>1788</v>
      </c>
      <c r="C3680" s="17" t="s">
        <v>1593</v>
      </c>
      <c r="D3680" s="17"/>
      <c r="E3680" s="17" t="s">
        <v>1812</v>
      </c>
      <c r="F3680" s="17"/>
      <c r="G3680" s="18" t="n">
        <v>113.55</v>
      </c>
      <c r="H3680" s="18" t="n">
        <v>0</v>
      </c>
      <c r="I3680" s="18" t="n">
        <f aca="false">((I3679 + G3680) - H3680)</f>
        <v>2555.51</v>
      </c>
      <c r="J3680" s="18" t="n">
        <v>0</v>
      </c>
      <c r="K3680" s="19" t="n">
        <v>0</v>
      </c>
      <c r="L3680" s="17"/>
    </row>
    <row r="3681" s="11" customFormat="true" ht="10.95" hidden="false" customHeight="true" outlineLevel="0" collapsed="false">
      <c r="A3681" s="16" t="n">
        <v>45199</v>
      </c>
      <c r="B3681" s="17" t="s">
        <v>1788</v>
      </c>
      <c r="C3681" s="17" t="s">
        <v>1593</v>
      </c>
      <c r="D3681" s="17"/>
      <c r="E3681" s="17" t="s">
        <v>1813</v>
      </c>
      <c r="F3681" s="17"/>
      <c r="G3681" s="18" t="n">
        <v>304.52</v>
      </c>
      <c r="H3681" s="18" t="n">
        <v>0</v>
      </c>
      <c r="I3681" s="18" t="n">
        <f aca="false">((I3680 + G3681) - H3681)</f>
        <v>2860.03</v>
      </c>
      <c r="J3681" s="18" t="n">
        <v>0</v>
      </c>
      <c r="K3681" s="19" t="n">
        <v>0</v>
      </c>
      <c r="L3681" s="17"/>
    </row>
    <row r="3682" s="11" customFormat="true" ht="10.95" hidden="false" customHeight="true" outlineLevel="0" collapsed="false">
      <c r="A3682" s="16" t="n">
        <v>45199</v>
      </c>
      <c r="B3682" s="17" t="s">
        <v>1788</v>
      </c>
      <c r="C3682" s="17" t="s">
        <v>1593</v>
      </c>
      <c r="D3682" s="17"/>
      <c r="E3682" s="17" t="s">
        <v>1814</v>
      </c>
      <c r="F3682" s="17"/>
      <c r="G3682" s="18" t="n">
        <v>396.7</v>
      </c>
      <c r="H3682" s="18" t="n">
        <v>0</v>
      </c>
      <c r="I3682" s="18" t="n">
        <f aca="false">((I3681 + G3682) - H3682)</f>
        <v>3256.73</v>
      </c>
      <c r="J3682" s="18" t="n">
        <v>0</v>
      </c>
      <c r="K3682" s="19" t="n">
        <v>0</v>
      </c>
      <c r="L3682" s="17"/>
    </row>
    <row r="3683" s="11" customFormat="true" ht="10.95" hidden="false" customHeight="true" outlineLevel="0" collapsed="false">
      <c r="A3683" s="16" t="n">
        <v>45199</v>
      </c>
      <c r="B3683" s="17" t="s">
        <v>1788</v>
      </c>
      <c r="C3683" s="17" t="s">
        <v>1593</v>
      </c>
      <c r="D3683" s="17"/>
      <c r="E3683" s="17" t="s">
        <v>1815</v>
      </c>
      <c r="F3683" s="17"/>
      <c r="G3683" s="18" t="n">
        <v>75.44</v>
      </c>
      <c r="H3683" s="18" t="n">
        <v>0</v>
      </c>
      <c r="I3683" s="18" t="n">
        <f aca="false">((I3682 + G3683) - H3683)</f>
        <v>3332.17</v>
      </c>
      <c r="J3683" s="18" t="n">
        <v>0</v>
      </c>
      <c r="K3683" s="19" t="n">
        <v>0</v>
      </c>
      <c r="L3683" s="17"/>
    </row>
    <row r="3684" s="11" customFormat="true" ht="10.95" hidden="false" customHeight="true" outlineLevel="0" collapsed="false">
      <c r="A3684" s="16" t="n">
        <v>45199</v>
      </c>
      <c r="B3684" s="17" t="s">
        <v>1788</v>
      </c>
      <c r="C3684" s="17" t="s">
        <v>1593</v>
      </c>
      <c r="D3684" s="17"/>
      <c r="E3684" s="17" t="s">
        <v>1816</v>
      </c>
      <c r="F3684" s="17"/>
      <c r="G3684" s="18" t="n">
        <v>172.43</v>
      </c>
      <c r="H3684" s="18" t="n">
        <v>0</v>
      </c>
      <c r="I3684" s="18" t="n">
        <f aca="false">((I3683 + G3684) - H3684)</f>
        <v>3504.6</v>
      </c>
      <c r="J3684" s="18" t="n">
        <v>0</v>
      </c>
      <c r="K3684" s="19" t="n">
        <v>0</v>
      </c>
      <c r="L3684" s="17"/>
    </row>
    <row r="3685" s="11" customFormat="true" ht="10.95" hidden="false" customHeight="true" outlineLevel="0" collapsed="false">
      <c r="A3685" s="16" t="n">
        <v>45199</v>
      </c>
      <c r="B3685" s="17" t="s">
        <v>1788</v>
      </c>
      <c r="C3685" s="17" t="s">
        <v>1593</v>
      </c>
      <c r="D3685" s="17"/>
      <c r="E3685" s="17" t="s">
        <v>1817</v>
      </c>
      <c r="F3685" s="17"/>
      <c r="G3685" s="18" t="n">
        <v>9.43</v>
      </c>
      <c r="H3685" s="18" t="n">
        <v>0</v>
      </c>
      <c r="I3685" s="18" t="n">
        <f aca="false">((I3684 + G3685) - H3685)</f>
        <v>3514.03</v>
      </c>
      <c r="J3685" s="18" t="n">
        <v>0</v>
      </c>
      <c r="K3685" s="19" t="n">
        <v>0</v>
      </c>
      <c r="L3685" s="17"/>
    </row>
    <row r="3686" s="11" customFormat="true" ht="10.95" hidden="false" customHeight="true" outlineLevel="0" collapsed="false">
      <c r="A3686" s="16" t="n">
        <v>45199</v>
      </c>
      <c r="B3686" s="17" t="s">
        <v>1788</v>
      </c>
      <c r="C3686" s="17" t="s">
        <v>1593</v>
      </c>
      <c r="D3686" s="17"/>
      <c r="E3686" s="17" t="s">
        <v>1818</v>
      </c>
      <c r="F3686" s="17"/>
      <c r="G3686" s="18" t="n">
        <v>12.32</v>
      </c>
      <c r="H3686" s="18" t="n">
        <v>0</v>
      </c>
      <c r="I3686" s="18" t="n">
        <f aca="false">((I3685 + G3686) - H3686)</f>
        <v>3526.35</v>
      </c>
      <c r="J3686" s="18" t="n">
        <v>0</v>
      </c>
      <c r="K3686" s="19" t="n">
        <v>0</v>
      </c>
      <c r="L3686" s="17"/>
    </row>
    <row r="3687" s="11" customFormat="true" ht="10.95" hidden="false" customHeight="true" outlineLevel="0" collapsed="false">
      <c r="A3687" s="16" t="n">
        <v>45199</v>
      </c>
      <c r="B3687" s="17" t="s">
        <v>1788</v>
      </c>
      <c r="C3687" s="17" t="s">
        <v>1593</v>
      </c>
      <c r="D3687" s="17"/>
      <c r="E3687" s="17" t="s">
        <v>1819</v>
      </c>
      <c r="F3687" s="17"/>
      <c r="G3687" s="18" t="n">
        <v>10.07</v>
      </c>
      <c r="H3687" s="18" t="n">
        <v>0</v>
      </c>
      <c r="I3687" s="18" t="n">
        <f aca="false">((I3686 + G3687) - H3687)</f>
        <v>3536.42</v>
      </c>
      <c r="J3687" s="18" t="n">
        <v>0</v>
      </c>
      <c r="K3687" s="19" t="n">
        <v>0</v>
      </c>
      <c r="L3687" s="17"/>
    </row>
    <row r="3688" s="11" customFormat="true" ht="10.95" hidden="false" customHeight="true" outlineLevel="0" collapsed="false">
      <c r="A3688" s="16" t="n">
        <v>45199</v>
      </c>
      <c r="B3688" s="17" t="s">
        <v>1788</v>
      </c>
      <c r="C3688" s="17" t="s">
        <v>1593</v>
      </c>
      <c r="D3688" s="17"/>
      <c r="E3688" s="17" t="s">
        <v>1820</v>
      </c>
      <c r="F3688" s="17"/>
      <c r="G3688" s="18" t="n">
        <v>72.85</v>
      </c>
      <c r="H3688" s="18" t="n">
        <v>0</v>
      </c>
      <c r="I3688" s="18" t="n">
        <f aca="false">((I3687 + G3688) - H3688)</f>
        <v>3609.27</v>
      </c>
      <c r="J3688" s="18" t="n">
        <v>0</v>
      </c>
      <c r="K3688" s="19" t="n">
        <v>0</v>
      </c>
      <c r="L3688" s="17"/>
    </row>
    <row r="3689" s="11" customFormat="true" ht="10.95" hidden="false" customHeight="true" outlineLevel="0" collapsed="false">
      <c r="A3689" s="16" t="n">
        <v>45199</v>
      </c>
      <c r="B3689" s="17" t="s">
        <v>1788</v>
      </c>
      <c r="C3689" s="17" t="s">
        <v>1593</v>
      </c>
      <c r="D3689" s="17"/>
      <c r="E3689" s="17" t="s">
        <v>1821</v>
      </c>
      <c r="F3689" s="17"/>
      <c r="G3689" s="18" t="n">
        <v>13.45</v>
      </c>
      <c r="H3689" s="18" t="n">
        <v>0</v>
      </c>
      <c r="I3689" s="18" t="n">
        <f aca="false">((I3688 + G3689) - H3689)</f>
        <v>3622.72</v>
      </c>
      <c r="J3689" s="18" t="n">
        <v>0</v>
      </c>
      <c r="K3689" s="19" t="n">
        <v>0</v>
      </c>
      <c r="L3689" s="17"/>
    </row>
    <row r="3690" s="11" customFormat="true" ht="10.95" hidden="false" customHeight="true" outlineLevel="0" collapsed="false">
      <c r="A3690" s="16" t="n">
        <v>45199</v>
      </c>
      <c r="B3690" s="17" t="s">
        <v>1788</v>
      </c>
      <c r="C3690" s="17" t="s">
        <v>1593</v>
      </c>
      <c r="D3690" s="17"/>
      <c r="E3690" s="17" t="s">
        <v>1822</v>
      </c>
      <c r="F3690" s="17"/>
      <c r="G3690" s="18" t="n">
        <v>10.13</v>
      </c>
      <c r="H3690" s="18" t="n">
        <v>0</v>
      </c>
      <c r="I3690" s="18" t="n">
        <f aca="false">((I3689 + G3690) - H3690)</f>
        <v>3632.85</v>
      </c>
      <c r="J3690" s="18" t="n">
        <v>0</v>
      </c>
      <c r="K3690" s="19" t="n">
        <v>0</v>
      </c>
      <c r="L3690" s="17"/>
    </row>
    <row r="3691" s="11" customFormat="true" ht="10.95" hidden="false" customHeight="true" outlineLevel="0" collapsed="false">
      <c r="A3691" s="16" t="n">
        <v>45199</v>
      </c>
      <c r="B3691" s="17" t="s">
        <v>1788</v>
      </c>
      <c r="C3691" s="17" t="s">
        <v>1593</v>
      </c>
      <c r="D3691" s="17"/>
      <c r="E3691" s="17" t="s">
        <v>1823</v>
      </c>
      <c r="F3691" s="17"/>
      <c r="G3691" s="18" t="n">
        <v>49.29</v>
      </c>
      <c r="H3691" s="18" t="n">
        <v>0</v>
      </c>
      <c r="I3691" s="18" t="n">
        <f aca="false">((I3690 + G3691) - H3691)</f>
        <v>3682.14</v>
      </c>
      <c r="J3691" s="18" t="n">
        <v>0</v>
      </c>
      <c r="K3691" s="19" t="n">
        <v>0</v>
      </c>
      <c r="L3691" s="17"/>
    </row>
    <row r="3692" s="11" customFormat="true" ht="10.95" hidden="false" customHeight="true" outlineLevel="0" collapsed="false">
      <c r="A3692" s="16" t="n">
        <v>45199</v>
      </c>
      <c r="B3692" s="17" t="s">
        <v>1788</v>
      </c>
      <c r="C3692" s="17" t="s">
        <v>1593</v>
      </c>
      <c r="D3692" s="17"/>
      <c r="E3692" s="17" t="s">
        <v>1824</v>
      </c>
      <c r="F3692" s="17"/>
      <c r="G3692" s="18" t="n">
        <v>109.89</v>
      </c>
      <c r="H3692" s="18" t="n">
        <v>0</v>
      </c>
      <c r="I3692" s="18" t="n">
        <f aca="false">((I3691 + G3692) - H3692)</f>
        <v>3792.03</v>
      </c>
      <c r="J3692" s="18" t="n">
        <v>0</v>
      </c>
      <c r="K3692" s="19" t="n">
        <v>0</v>
      </c>
      <c r="L3692" s="17"/>
    </row>
    <row r="3693" s="11" customFormat="true" ht="10.95" hidden="false" customHeight="true" outlineLevel="0" collapsed="false">
      <c r="A3693" s="16" t="n">
        <v>45199</v>
      </c>
      <c r="B3693" s="17" t="s">
        <v>1788</v>
      </c>
      <c r="C3693" s="17" t="s">
        <v>1593</v>
      </c>
      <c r="D3693" s="17"/>
      <c r="E3693" s="17" t="s">
        <v>1825</v>
      </c>
      <c r="F3693" s="17"/>
      <c r="G3693" s="18" t="n">
        <v>13.81</v>
      </c>
      <c r="H3693" s="18" t="n">
        <v>0</v>
      </c>
      <c r="I3693" s="18" t="n">
        <f aca="false">((I3692 + G3693) - H3693)</f>
        <v>3805.84</v>
      </c>
      <c r="J3693" s="18" t="n">
        <v>0</v>
      </c>
      <c r="K3693" s="19" t="n">
        <v>0</v>
      </c>
      <c r="L3693" s="17"/>
    </row>
    <row r="3694" s="11" customFormat="true" ht="10.95" hidden="false" customHeight="true" outlineLevel="0" collapsed="false">
      <c r="A3694" s="16" t="n">
        <v>45230</v>
      </c>
      <c r="B3694" s="17" t="s">
        <v>1788</v>
      </c>
      <c r="C3694" s="17" t="s">
        <v>1593</v>
      </c>
      <c r="D3694" s="17"/>
      <c r="E3694" s="17" t="s">
        <v>1826</v>
      </c>
      <c r="F3694" s="17"/>
      <c r="G3694" s="18" t="n">
        <v>314.68</v>
      </c>
      <c r="H3694" s="18" t="n">
        <v>0</v>
      </c>
      <c r="I3694" s="18" t="n">
        <f aca="false">((I3693 + G3694) - H3694)</f>
        <v>4120.52</v>
      </c>
      <c r="J3694" s="18" t="n">
        <v>0</v>
      </c>
      <c r="K3694" s="19" t="n">
        <v>0</v>
      </c>
      <c r="L3694" s="17"/>
    </row>
    <row r="3695" s="11" customFormat="true" ht="10.95" hidden="false" customHeight="true" outlineLevel="0" collapsed="false">
      <c r="A3695" s="16" t="n">
        <v>45230</v>
      </c>
      <c r="B3695" s="17" t="s">
        <v>1788</v>
      </c>
      <c r="C3695" s="17" t="s">
        <v>1593</v>
      </c>
      <c r="D3695" s="17"/>
      <c r="E3695" s="17" t="s">
        <v>1827</v>
      </c>
      <c r="F3695" s="17"/>
      <c r="G3695" s="18" t="n">
        <v>409.93</v>
      </c>
      <c r="H3695" s="18" t="n">
        <v>0</v>
      </c>
      <c r="I3695" s="18" t="n">
        <f aca="false">((I3694 + G3695) - H3695)</f>
        <v>4530.45</v>
      </c>
      <c r="J3695" s="18" t="n">
        <v>0</v>
      </c>
      <c r="K3695" s="19" t="n">
        <v>0</v>
      </c>
      <c r="L3695" s="17"/>
    </row>
    <row r="3696" s="11" customFormat="true" ht="10.95" hidden="false" customHeight="true" outlineLevel="0" collapsed="false">
      <c r="A3696" s="16" t="n">
        <v>45230</v>
      </c>
      <c r="B3696" s="17" t="s">
        <v>1788</v>
      </c>
      <c r="C3696" s="17" t="s">
        <v>1593</v>
      </c>
      <c r="D3696" s="17"/>
      <c r="E3696" s="17" t="s">
        <v>1828</v>
      </c>
      <c r="F3696" s="17"/>
      <c r="G3696" s="18" t="n">
        <v>77.96</v>
      </c>
      <c r="H3696" s="18" t="n">
        <v>0</v>
      </c>
      <c r="I3696" s="18" t="n">
        <f aca="false">((I3695 + G3696) - H3696)</f>
        <v>4608.41</v>
      </c>
      <c r="J3696" s="18" t="n">
        <v>0</v>
      </c>
      <c r="K3696" s="19" t="n">
        <v>0</v>
      </c>
      <c r="L3696" s="17"/>
    </row>
    <row r="3697" s="11" customFormat="true" ht="10.95" hidden="false" customHeight="true" outlineLevel="0" collapsed="false">
      <c r="A3697" s="16" t="n">
        <v>45230</v>
      </c>
      <c r="B3697" s="17" t="s">
        <v>1788</v>
      </c>
      <c r="C3697" s="17" t="s">
        <v>1593</v>
      </c>
      <c r="D3697" s="17"/>
      <c r="E3697" s="17" t="s">
        <v>1829</v>
      </c>
      <c r="F3697" s="17"/>
      <c r="G3697" s="18" t="n">
        <v>178.17</v>
      </c>
      <c r="H3697" s="18" t="n">
        <v>0</v>
      </c>
      <c r="I3697" s="18" t="n">
        <f aca="false">((I3696 + G3697) - H3697)</f>
        <v>4786.58</v>
      </c>
      <c r="J3697" s="18" t="n">
        <v>0</v>
      </c>
      <c r="K3697" s="19" t="n">
        <v>0</v>
      </c>
      <c r="L3697" s="17"/>
    </row>
    <row r="3698" s="11" customFormat="true" ht="10.95" hidden="false" customHeight="true" outlineLevel="0" collapsed="false">
      <c r="A3698" s="16" t="n">
        <v>45230</v>
      </c>
      <c r="B3698" s="17" t="s">
        <v>1788</v>
      </c>
      <c r="C3698" s="17" t="s">
        <v>1593</v>
      </c>
      <c r="D3698" s="17"/>
      <c r="E3698" s="17" t="s">
        <v>1830</v>
      </c>
      <c r="F3698" s="17"/>
      <c r="G3698" s="18" t="n">
        <v>9.75</v>
      </c>
      <c r="H3698" s="18" t="n">
        <v>0</v>
      </c>
      <c r="I3698" s="18" t="n">
        <f aca="false">((I3697 + G3698) - H3698)</f>
        <v>4796.33</v>
      </c>
      <c r="J3698" s="18" t="n">
        <v>0</v>
      </c>
      <c r="K3698" s="19" t="n">
        <v>0</v>
      </c>
      <c r="L3698" s="17"/>
    </row>
    <row r="3699" s="11" customFormat="true" ht="10.95" hidden="false" customHeight="true" outlineLevel="0" collapsed="false">
      <c r="A3699" s="16" t="n">
        <v>45230</v>
      </c>
      <c r="B3699" s="17" t="s">
        <v>1788</v>
      </c>
      <c r="C3699" s="17" t="s">
        <v>1593</v>
      </c>
      <c r="D3699" s="17"/>
      <c r="E3699" s="17" t="s">
        <v>1831</v>
      </c>
      <c r="F3699" s="17"/>
      <c r="G3699" s="18" t="n">
        <v>12.74</v>
      </c>
      <c r="H3699" s="18" t="n">
        <v>0</v>
      </c>
      <c r="I3699" s="18" t="n">
        <f aca="false">((I3698 + G3699) - H3699)</f>
        <v>4809.07</v>
      </c>
      <c r="J3699" s="18" t="n">
        <v>0</v>
      </c>
      <c r="K3699" s="19" t="n">
        <v>0</v>
      </c>
      <c r="L3699" s="17"/>
    </row>
    <row r="3700" s="11" customFormat="true" ht="10.95" hidden="false" customHeight="true" outlineLevel="0" collapsed="false">
      <c r="A3700" s="16" t="n">
        <v>45230</v>
      </c>
      <c r="B3700" s="17" t="s">
        <v>1788</v>
      </c>
      <c r="C3700" s="17" t="s">
        <v>1593</v>
      </c>
      <c r="D3700" s="17"/>
      <c r="E3700" s="17" t="s">
        <v>1832</v>
      </c>
      <c r="F3700" s="17"/>
      <c r="G3700" s="18" t="n">
        <v>10.41</v>
      </c>
      <c r="H3700" s="18" t="n">
        <v>0</v>
      </c>
      <c r="I3700" s="18" t="n">
        <f aca="false">((I3699 + G3700) - H3700)</f>
        <v>4819.48</v>
      </c>
      <c r="J3700" s="18" t="n">
        <v>0</v>
      </c>
      <c r="K3700" s="19" t="n">
        <v>0</v>
      </c>
      <c r="L3700" s="17"/>
    </row>
    <row r="3701" s="11" customFormat="true" ht="10.95" hidden="false" customHeight="true" outlineLevel="0" collapsed="false">
      <c r="A3701" s="16" t="n">
        <v>45230</v>
      </c>
      <c r="B3701" s="17" t="s">
        <v>1788</v>
      </c>
      <c r="C3701" s="17" t="s">
        <v>1593</v>
      </c>
      <c r="D3701" s="17"/>
      <c r="E3701" s="17" t="s">
        <v>1833</v>
      </c>
      <c r="F3701" s="17"/>
      <c r="G3701" s="18" t="n">
        <v>75.28</v>
      </c>
      <c r="H3701" s="18" t="n">
        <v>0</v>
      </c>
      <c r="I3701" s="18" t="n">
        <f aca="false">((I3700 + G3701) - H3701)</f>
        <v>4894.76</v>
      </c>
      <c r="J3701" s="18" t="n">
        <v>0</v>
      </c>
      <c r="K3701" s="19" t="n">
        <v>0</v>
      </c>
      <c r="L3701" s="17"/>
    </row>
    <row r="3702" s="11" customFormat="true" ht="10.95" hidden="false" customHeight="true" outlineLevel="0" collapsed="false">
      <c r="A3702" s="16" t="n">
        <v>45230</v>
      </c>
      <c r="B3702" s="17" t="s">
        <v>1788</v>
      </c>
      <c r="C3702" s="17" t="s">
        <v>1593</v>
      </c>
      <c r="D3702" s="17"/>
      <c r="E3702" s="17" t="s">
        <v>1834</v>
      </c>
      <c r="F3702" s="17"/>
      <c r="G3702" s="18" t="n">
        <v>13.9</v>
      </c>
      <c r="H3702" s="18" t="n">
        <v>0</v>
      </c>
      <c r="I3702" s="18" t="n">
        <f aca="false">((I3701 + G3702) - H3702)</f>
        <v>4908.66</v>
      </c>
      <c r="J3702" s="18" t="n">
        <v>0</v>
      </c>
      <c r="K3702" s="19" t="n">
        <v>0</v>
      </c>
      <c r="L3702" s="17"/>
    </row>
    <row r="3703" s="11" customFormat="true" ht="10.95" hidden="false" customHeight="true" outlineLevel="0" collapsed="false">
      <c r="A3703" s="16" t="n">
        <v>45230</v>
      </c>
      <c r="B3703" s="17" t="s">
        <v>1788</v>
      </c>
      <c r="C3703" s="17" t="s">
        <v>1593</v>
      </c>
      <c r="D3703" s="17"/>
      <c r="E3703" s="17" t="s">
        <v>1835</v>
      </c>
      <c r="F3703" s="17"/>
      <c r="G3703" s="18" t="n">
        <v>10.47</v>
      </c>
      <c r="H3703" s="18" t="n">
        <v>0</v>
      </c>
      <c r="I3703" s="18" t="n">
        <f aca="false">((I3702 + G3703) - H3703)</f>
        <v>4919.13</v>
      </c>
      <c r="J3703" s="18" t="n">
        <v>0</v>
      </c>
      <c r="K3703" s="19" t="n">
        <v>0</v>
      </c>
      <c r="L3703" s="17"/>
    </row>
    <row r="3704" s="11" customFormat="true" ht="10.95" hidden="false" customHeight="true" outlineLevel="0" collapsed="false">
      <c r="A3704" s="16" t="n">
        <v>45230</v>
      </c>
      <c r="B3704" s="17" t="s">
        <v>1788</v>
      </c>
      <c r="C3704" s="17" t="s">
        <v>1593</v>
      </c>
      <c r="D3704" s="17"/>
      <c r="E3704" s="17" t="s">
        <v>1836</v>
      </c>
      <c r="F3704" s="17"/>
      <c r="G3704" s="18" t="n">
        <v>50.94</v>
      </c>
      <c r="H3704" s="18" t="n">
        <v>0</v>
      </c>
      <c r="I3704" s="18" t="n">
        <f aca="false">((I3703 + G3704) - H3704)</f>
        <v>4970.07</v>
      </c>
      <c r="J3704" s="18" t="n">
        <v>0</v>
      </c>
      <c r="K3704" s="19" t="n">
        <v>0</v>
      </c>
      <c r="L3704" s="17"/>
    </row>
    <row r="3705" s="11" customFormat="true" ht="10.95" hidden="false" customHeight="true" outlineLevel="0" collapsed="false">
      <c r="A3705" s="16" t="n">
        <v>45230</v>
      </c>
      <c r="B3705" s="17" t="s">
        <v>1788</v>
      </c>
      <c r="C3705" s="17" t="s">
        <v>1593</v>
      </c>
      <c r="D3705" s="17"/>
      <c r="E3705" s="17" t="s">
        <v>1837</v>
      </c>
      <c r="F3705" s="17"/>
      <c r="G3705" s="18" t="n">
        <v>113.55</v>
      </c>
      <c r="H3705" s="18" t="n">
        <v>0</v>
      </c>
      <c r="I3705" s="18" t="n">
        <f aca="false">((I3704 + G3705) - H3705)</f>
        <v>5083.62</v>
      </c>
      <c r="J3705" s="18" t="n">
        <v>0</v>
      </c>
      <c r="K3705" s="19" t="n">
        <v>0</v>
      </c>
      <c r="L3705" s="17"/>
    </row>
    <row r="3706" s="11" customFormat="true" ht="10.95" hidden="false" customHeight="true" outlineLevel="0" collapsed="false">
      <c r="A3706" s="16" t="n">
        <v>45230</v>
      </c>
      <c r="B3706" s="17" t="s">
        <v>1788</v>
      </c>
      <c r="C3706" s="17" t="s">
        <v>1593</v>
      </c>
      <c r="D3706" s="17"/>
      <c r="E3706" s="17" t="s">
        <v>1838</v>
      </c>
      <c r="F3706" s="17"/>
      <c r="G3706" s="18" t="n">
        <v>90.16</v>
      </c>
      <c r="H3706" s="18" t="n">
        <v>0</v>
      </c>
      <c r="I3706" s="18" t="n">
        <f aca="false">((I3705 + G3706) - H3706)</f>
        <v>5173.78</v>
      </c>
      <c r="J3706" s="18" t="n">
        <v>0</v>
      </c>
      <c r="K3706" s="19" t="n">
        <v>0</v>
      </c>
      <c r="L3706" s="17"/>
    </row>
    <row r="3707" s="11" customFormat="true" ht="10.95" hidden="false" customHeight="true" outlineLevel="0" collapsed="false">
      <c r="A3707" s="16" t="n">
        <v>45230</v>
      </c>
      <c r="B3707" s="17" t="s">
        <v>1788</v>
      </c>
      <c r="C3707" s="17" t="s">
        <v>1593</v>
      </c>
      <c r="D3707" s="17"/>
      <c r="E3707" s="17" t="s">
        <v>1839</v>
      </c>
      <c r="F3707" s="17"/>
      <c r="G3707" s="18" t="n">
        <v>21.41</v>
      </c>
      <c r="H3707" s="18" t="n">
        <v>0</v>
      </c>
      <c r="I3707" s="18" t="n">
        <f aca="false">((I3706 + G3707) - H3707)</f>
        <v>5195.19</v>
      </c>
      <c r="J3707" s="18" t="n">
        <v>0</v>
      </c>
      <c r="K3707" s="19" t="n">
        <v>0</v>
      </c>
      <c r="L3707" s="17"/>
    </row>
    <row r="3708" s="11" customFormat="true" ht="10.95" hidden="false" customHeight="true" outlineLevel="0" collapsed="false">
      <c r="A3708" s="16" t="n">
        <v>45260</v>
      </c>
      <c r="B3708" s="17" t="s">
        <v>1788</v>
      </c>
      <c r="C3708" s="17" t="s">
        <v>1593</v>
      </c>
      <c r="D3708" s="17"/>
      <c r="E3708" s="17" t="s">
        <v>1840</v>
      </c>
      <c r="F3708" s="17"/>
      <c r="G3708" s="18" t="n">
        <v>304.52</v>
      </c>
      <c r="H3708" s="18" t="n">
        <v>0</v>
      </c>
      <c r="I3708" s="18" t="n">
        <f aca="false">((I3707 + G3708) - H3708)</f>
        <v>5499.71</v>
      </c>
      <c r="J3708" s="18" t="n">
        <v>0</v>
      </c>
      <c r="K3708" s="19" t="n">
        <v>0</v>
      </c>
      <c r="L3708" s="17"/>
    </row>
    <row r="3709" s="11" customFormat="true" ht="10.95" hidden="false" customHeight="true" outlineLevel="0" collapsed="false">
      <c r="A3709" s="16" t="n">
        <v>45260</v>
      </c>
      <c r="B3709" s="17" t="s">
        <v>1788</v>
      </c>
      <c r="C3709" s="17" t="s">
        <v>1593</v>
      </c>
      <c r="D3709" s="17"/>
      <c r="E3709" s="17" t="s">
        <v>1841</v>
      </c>
      <c r="F3709" s="17"/>
      <c r="G3709" s="18" t="n">
        <v>396.71</v>
      </c>
      <c r="H3709" s="18" t="n">
        <v>0</v>
      </c>
      <c r="I3709" s="18" t="n">
        <f aca="false">((I3708 + G3709) - H3709)</f>
        <v>5896.42</v>
      </c>
      <c r="J3709" s="18" t="n">
        <v>0</v>
      </c>
      <c r="K3709" s="19" t="n">
        <v>0</v>
      </c>
      <c r="L3709" s="17"/>
    </row>
    <row r="3710" s="11" customFormat="true" ht="10.95" hidden="false" customHeight="true" outlineLevel="0" collapsed="false">
      <c r="A3710" s="16" t="n">
        <v>45260</v>
      </c>
      <c r="B3710" s="17" t="s">
        <v>1788</v>
      </c>
      <c r="C3710" s="17" t="s">
        <v>1593</v>
      </c>
      <c r="D3710" s="17"/>
      <c r="E3710" s="17" t="s">
        <v>1842</v>
      </c>
      <c r="F3710" s="17"/>
      <c r="G3710" s="18" t="n">
        <v>75.44</v>
      </c>
      <c r="H3710" s="18" t="n">
        <v>0</v>
      </c>
      <c r="I3710" s="18" t="n">
        <f aca="false">((I3709 + G3710) - H3710)</f>
        <v>5971.86</v>
      </c>
      <c r="J3710" s="18" t="n">
        <v>0</v>
      </c>
      <c r="K3710" s="19" t="n">
        <v>0</v>
      </c>
      <c r="L3710" s="17"/>
    </row>
    <row r="3711" s="11" customFormat="true" ht="10.95" hidden="false" customHeight="true" outlineLevel="0" collapsed="false">
      <c r="A3711" s="16" t="n">
        <v>45260</v>
      </c>
      <c r="B3711" s="17" t="s">
        <v>1788</v>
      </c>
      <c r="C3711" s="17" t="s">
        <v>1593</v>
      </c>
      <c r="D3711" s="17"/>
      <c r="E3711" s="17" t="s">
        <v>1843</v>
      </c>
      <c r="F3711" s="17"/>
      <c r="G3711" s="18" t="n">
        <v>172.43</v>
      </c>
      <c r="H3711" s="18" t="n">
        <v>0</v>
      </c>
      <c r="I3711" s="18" t="n">
        <f aca="false">((I3710 + G3711) - H3711)</f>
        <v>6144.29</v>
      </c>
      <c r="J3711" s="18" t="n">
        <v>0</v>
      </c>
      <c r="K3711" s="19" t="n">
        <v>0</v>
      </c>
      <c r="L3711" s="17"/>
    </row>
    <row r="3712" s="11" customFormat="true" ht="10.95" hidden="false" customHeight="true" outlineLevel="0" collapsed="false">
      <c r="A3712" s="16" t="n">
        <v>45260</v>
      </c>
      <c r="B3712" s="17" t="s">
        <v>1788</v>
      </c>
      <c r="C3712" s="17" t="s">
        <v>1593</v>
      </c>
      <c r="D3712" s="17"/>
      <c r="E3712" s="17" t="s">
        <v>1844</v>
      </c>
      <c r="F3712" s="17"/>
      <c r="G3712" s="18" t="n">
        <v>9.43</v>
      </c>
      <c r="H3712" s="18" t="n">
        <v>0</v>
      </c>
      <c r="I3712" s="18" t="n">
        <f aca="false">((I3711 + G3712) - H3712)</f>
        <v>6153.72</v>
      </c>
      <c r="J3712" s="18" t="n">
        <v>0</v>
      </c>
      <c r="K3712" s="19" t="n">
        <v>0</v>
      </c>
      <c r="L3712" s="17"/>
    </row>
    <row r="3713" s="11" customFormat="true" ht="10.95" hidden="false" customHeight="true" outlineLevel="0" collapsed="false">
      <c r="A3713" s="16" t="n">
        <v>45260</v>
      </c>
      <c r="B3713" s="17" t="s">
        <v>1788</v>
      </c>
      <c r="C3713" s="17" t="s">
        <v>1593</v>
      </c>
      <c r="D3713" s="17"/>
      <c r="E3713" s="17" t="s">
        <v>1845</v>
      </c>
      <c r="F3713" s="17"/>
      <c r="G3713" s="18" t="n">
        <v>12.32</v>
      </c>
      <c r="H3713" s="18" t="n">
        <v>0</v>
      </c>
      <c r="I3713" s="18" t="n">
        <f aca="false">((I3712 + G3713) - H3713)</f>
        <v>6166.04</v>
      </c>
      <c r="J3713" s="18" t="n">
        <v>0</v>
      </c>
      <c r="K3713" s="19" t="n">
        <v>0</v>
      </c>
      <c r="L3713" s="17"/>
    </row>
    <row r="3714" s="11" customFormat="true" ht="10.95" hidden="false" customHeight="true" outlineLevel="0" collapsed="false">
      <c r="A3714" s="16" t="n">
        <v>45260</v>
      </c>
      <c r="B3714" s="17" t="s">
        <v>1788</v>
      </c>
      <c r="C3714" s="17" t="s">
        <v>1593</v>
      </c>
      <c r="D3714" s="17"/>
      <c r="E3714" s="17" t="s">
        <v>1846</v>
      </c>
      <c r="F3714" s="17"/>
      <c r="G3714" s="18" t="n">
        <v>10.07</v>
      </c>
      <c r="H3714" s="18" t="n">
        <v>0</v>
      </c>
      <c r="I3714" s="18" t="n">
        <f aca="false">((I3713 + G3714) - H3714)</f>
        <v>6176.11</v>
      </c>
      <c r="J3714" s="18" t="n">
        <v>0</v>
      </c>
      <c r="K3714" s="19" t="n">
        <v>0</v>
      </c>
      <c r="L3714" s="17"/>
    </row>
    <row r="3715" s="11" customFormat="true" ht="10.95" hidden="false" customHeight="true" outlineLevel="0" collapsed="false">
      <c r="A3715" s="16" t="n">
        <v>45260</v>
      </c>
      <c r="B3715" s="17" t="s">
        <v>1788</v>
      </c>
      <c r="C3715" s="17" t="s">
        <v>1593</v>
      </c>
      <c r="D3715" s="17"/>
      <c r="E3715" s="17" t="s">
        <v>1847</v>
      </c>
      <c r="F3715" s="17"/>
      <c r="G3715" s="18" t="n">
        <v>72.85</v>
      </c>
      <c r="H3715" s="18" t="n">
        <v>0</v>
      </c>
      <c r="I3715" s="18" t="n">
        <f aca="false">((I3714 + G3715) - H3715)</f>
        <v>6248.96</v>
      </c>
      <c r="J3715" s="18" t="n">
        <v>0</v>
      </c>
      <c r="K3715" s="19" t="n">
        <v>0</v>
      </c>
      <c r="L3715" s="17"/>
    </row>
    <row r="3716" s="11" customFormat="true" ht="10.95" hidden="false" customHeight="true" outlineLevel="0" collapsed="false">
      <c r="A3716" s="16" t="n">
        <v>45260</v>
      </c>
      <c r="B3716" s="17" t="s">
        <v>1788</v>
      </c>
      <c r="C3716" s="17" t="s">
        <v>1593</v>
      </c>
      <c r="D3716" s="17"/>
      <c r="E3716" s="17" t="s">
        <v>1848</v>
      </c>
      <c r="F3716" s="17"/>
      <c r="G3716" s="18" t="n">
        <v>13.46</v>
      </c>
      <c r="H3716" s="18" t="n">
        <v>0</v>
      </c>
      <c r="I3716" s="18" t="n">
        <f aca="false">((I3715 + G3716) - H3716)</f>
        <v>6262.42</v>
      </c>
      <c r="J3716" s="18" t="n">
        <v>0</v>
      </c>
      <c r="K3716" s="19" t="n">
        <v>0</v>
      </c>
      <c r="L3716" s="17"/>
    </row>
    <row r="3717" s="11" customFormat="true" ht="10.95" hidden="false" customHeight="true" outlineLevel="0" collapsed="false">
      <c r="A3717" s="16" t="n">
        <v>45260</v>
      </c>
      <c r="B3717" s="17" t="s">
        <v>1788</v>
      </c>
      <c r="C3717" s="17" t="s">
        <v>1593</v>
      </c>
      <c r="D3717" s="17"/>
      <c r="E3717" s="17" t="s">
        <v>1849</v>
      </c>
      <c r="F3717" s="17"/>
      <c r="G3717" s="18" t="n">
        <v>10.13</v>
      </c>
      <c r="H3717" s="18" t="n">
        <v>0</v>
      </c>
      <c r="I3717" s="18" t="n">
        <f aca="false">((I3716 + G3717) - H3717)</f>
        <v>6272.55</v>
      </c>
      <c r="J3717" s="18" t="n">
        <v>0</v>
      </c>
      <c r="K3717" s="19" t="n">
        <v>0</v>
      </c>
      <c r="L3717" s="17"/>
    </row>
    <row r="3718" s="11" customFormat="true" ht="10.95" hidden="false" customHeight="true" outlineLevel="0" collapsed="false">
      <c r="A3718" s="16" t="n">
        <v>45260</v>
      </c>
      <c r="B3718" s="17" t="s">
        <v>1788</v>
      </c>
      <c r="C3718" s="17" t="s">
        <v>1593</v>
      </c>
      <c r="D3718" s="17"/>
      <c r="E3718" s="17" t="s">
        <v>1850</v>
      </c>
      <c r="F3718" s="17"/>
      <c r="G3718" s="18" t="n">
        <v>49.29</v>
      </c>
      <c r="H3718" s="18" t="n">
        <v>0</v>
      </c>
      <c r="I3718" s="18" t="n">
        <f aca="false">((I3717 + G3718) - H3718)</f>
        <v>6321.84</v>
      </c>
      <c r="J3718" s="18" t="n">
        <v>0</v>
      </c>
      <c r="K3718" s="19" t="n">
        <v>0</v>
      </c>
      <c r="L3718" s="17"/>
    </row>
    <row r="3719" s="11" customFormat="true" ht="10.95" hidden="false" customHeight="true" outlineLevel="0" collapsed="false">
      <c r="A3719" s="16" t="n">
        <v>45260</v>
      </c>
      <c r="B3719" s="17" t="s">
        <v>1788</v>
      </c>
      <c r="C3719" s="17" t="s">
        <v>1593</v>
      </c>
      <c r="D3719" s="17"/>
      <c r="E3719" s="17" t="s">
        <v>1851</v>
      </c>
      <c r="F3719" s="17"/>
      <c r="G3719" s="18" t="n">
        <v>109.89</v>
      </c>
      <c r="H3719" s="18" t="n">
        <v>0</v>
      </c>
      <c r="I3719" s="18" t="n">
        <f aca="false">((I3718 + G3719) - H3719)</f>
        <v>6431.73</v>
      </c>
      <c r="J3719" s="18" t="n">
        <v>0</v>
      </c>
      <c r="K3719" s="19" t="n">
        <v>0</v>
      </c>
      <c r="L3719" s="17"/>
    </row>
    <row r="3720" s="11" customFormat="true" ht="10.95" hidden="false" customHeight="true" outlineLevel="0" collapsed="false">
      <c r="A3720" s="16" t="n">
        <v>45260</v>
      </c>
      <c r="B3720" s="17" t="s">
        <v>1788</v>
      </c>
      <c r="C3720" s="17" t="s">
        <v>1593</v>
      </c>
      <c r="D3720" s="17"/>
      <c r="E3720" s="17" t="s">
        <v>1852</v>
      </c>
      <c r="F3720" s="17"/>
      <c r="G3720" s="18" t="n">
        <v>112.71</v>
      </c>
      <c r="H3720" s="18" t="n">
        <v>0</v>
      </c>
      <c r="I3720" s="18" t="n">
        <f aca="false">((I3719 + G3720) - H3720)</f>
        <v>6544.44</v>
      </c>
      <c r="J3720" s="18" t="n">
        <v>0</v>
      </c>
      <c r="K3720" s="19" t="n">
        <v>0</v>
      </c>
      <c r="L3720" s="17"/>
    </row>
    <row r="3721" s="11" customFormat="true" ht="10.95" hidden="false" customHeight="true" outlineLevel="0" collapsed="false">
      <c r="A3721" s="16" t="n">
        <v>45260</v>
      </c>
      <c r="B3721" s="17" t="s">
        <v>1788</v>
      </c>
      <c r="C3721" s="17" t="s">
        <v>1593</v>
      </c>
      <c r="D3721" s="17"/>
      <c r="E3721" s="17" t="s">
        <v>1853</v>
      </c>
      <c r="F3721" s="17"/>
      <c r="G3721" s="18" t="n">
        <v>53.53</v>
      </c>
      <c r="H3721" s="18" t="n">
        <v>0</v>
      </c>
      <c r="I3721" s="18" t="n">
        <f aca="false">((I3720 + G3721) - H3721)</f>
        <v>6597.97</v>
      </c>
      <c r="J3721" s="18" t="n">
        <v>0</v>
      </c>
      <c r="K3721" s="19" t="n">
        <v>0</v>
      </c>
      <c r="L3721" s="17"/>
    </row>
    <row r="3722" s="11" customFormat="true" ht="10.95" hidden="false" customHeight="true" outlineLevel="0" collapsed="false">
      <c r="A3722" s="16" t="n">
        <v>45260</v>
      </c>
      <c r="B3722" s="17" t="s">
        <v>1788</v>
      </c>
      <c r="C3722" s="17" t="s">
        <v>1593</v>
      </c>
      <c r="D3722" s="17"/>
      <c r="E3722" s="17" t="s">
        <v>1854</v>
      </c>
      <c r="F3722" s="17"/>
      <c r="G3722" s="18" t="n">
        <v>20.72</v>
      </c>
      <c r="H3722" s="18" t="n">
        <v>0</v>
      </c>
      <c r="I3722" s="18" t="n">
        <f aca="false">((I3721 + G3722) - H3722)</f>
        <v>6618.69</v>
      </c>
      <c r="J3722" s="18" t="n">
        <v>0</v>
      </c>
      <c r="K3722" s="19" t="n">
        <v>0</v>
      </c>
      <c r="L3722" s="17"/>
    </row>
    <row r="3723" s="11" customFormat="true" ht="10.95" hidden="false" customHeight="true" outlineLevel="0" collapsed="false">
      <c r="A3723" s="16" t="n">
        <v>45291</v>
      </c>
      <c r="B3723" s="17" t="s">
        <v>1788</v>
      </c>
      <c r="C3723" s="17" t="s">
        <v>1593</v>
      </c>
      <c r="D3723" s="17"/>
      <c r="E3723" s="17" t="s">
        <v>1855</v>
      </c>
      <c r="F3723" s="17"/>
      <c r="G3723" s="18" t="n">
        <v>314.67</v>
      </c>
      <c r="H3723" s="18" t="n">
        <v>0</v>
      </c>
      <c r="I3723" s="18" t="n">
        <f aca="false">((I3722 + G3723) - H3723)</f>
        <v>6933.36</v>
      </c>
      <c r="J3723" s="18" t="n">
        <v>0</v>
      </c>
      <c r="K3723" s="19" t="n">
        <v>0</v>
      </c>
      <c r="L3723" s="17"/>
    </row>
    <row r="3724" s="11" customFormat="true" ht="10.95" hidden="false" customHeight="true" outlineLevel="0" collapsed="false">
      <c r="A3724" s="16" t="n">
        <v>45291</v>
      </c>
      <c r="B3724" s="17" t="s">
        <v>1788</v>
      </c>
      <c r="C3724" s="17" t="s">
        <v>1593</v>
      </c>
      <c r="D3724" s="17"/>
      <c r="E3724" s="17" t="s">
        <v>1856</v>
      </c>
      <c r="F3724" s="17"/>
      <c r="G3724" s="18" t="n">
        <v>409.93</v>
      </c>
      <c r="H3724" s="18" t="n">
        <v>0</v>
      </c>
      <c r="I3724" s="18" t="n">
        <f aca="false">((I3723 + G3724) - H3724)</f>
        <v>7343.29</v>
      </c>
      <c r="J3724" s="18" t="n">
        <v>0</v>
      </c>
      <c r="K3724" s="19" t="n">
        <v>0</v>
      </c>
      <c r="L3724" s="17"/>
    </row>
    <row r="3725" s="11" customFormat="true" ht="10.95" hidden="false" customHeight="true" outlineLevel="0" collapsed="false">
      <c r="A3725" s="16" t="n">
        <v>45291</v>
      </c>
      <c r="B3725" s="17" t="s">
        <v>1788</v>
      </c>
      <c r="C3725" s="17" t="s">
        <v>1593</v>
      </c>
      <c r="D3725" s="17"/>
      <c r="E3725" s="17" t="s">
        <v>1857</v>
      </c>
      <c r="F3725" s="17"/>
      <c r="G3725" s="18" t="n">
        <v>77.96</v>
      </c>
      <c r="H3725" s="18" t="n">
        <v>0</v>
      </c>
      <c r="I3725" s="18" t="n">
        <f aca="false">((I3724 + G3725) - H3725)</f>
        <v>7421.25</v>
      </c>
      <c r="J3725" s="18" t="n">
        <v>0</v>
      </c>
      <c r="K3725" s="19" t="n">
        <v>0</v>
      </c>
      <c r="L3725" s="17"/>
    </row>
    <row r="3726" s="11" customFormat="true" ht="10.95" hidden="false" customHeight="true" outlineLevel="0" collapsed="false">
      <c r="A3726" s="16" t="n">
        <v>45291</v>
      </c>
      <c r="B3726" s="17" t="s">
        <v>1788</v>
      </c>
      <c r="C3726" s="17" t="s">
        <v>1593</v>
      </c>
      <c r="D3726" s="17"/>
      <c r="E3726" s="17" t="s">
        <v>1858</v>
      </c>
      <c r="F3726" s="17"/>
      <c r="G3726" s="18" t="n">
        <v>178.17</v>
      </c>
      <c r="H3726" s="18" t="n">
        <v>0</v>
      </c>
      <c r="I3726" s="18" t="n">
        <f aca="false">((I3725 + G3726) - H3726)</f>
        <v>7599.42</v>
      </c>
      <c r="J3726" s="18" t="n">
        <v>0</v>
      </c>
      <c r="K3726" s="19" t="n">
        <v>0</v>
      </c>
      <c r="L3726" s="17"/>
    </row>
    <row r="3727" s="11" customFormat="true" ht="10.95" hidden="false" customHeight="true" outlineLevel="0" collapsed="false">
      <c r="A3727" s="16" t="n">
        <v>45291</v>
      </c>
      <c r="B3727" s="17" t="s">
        <v>1788</v>
      </c>
      <c r="C3727" s="17" t="s">
        <v>1593</v>
      </c>
      <c r="D3727" s="17"/>
      <c r="E3727" s="17" t="s">
        <v>1859</v>
      </c>
      <c r="F3727" s="17"/>
      <c r="G3727" s="18" t="n">
        <v>9.74</v>
      </c>
      <c r="H3727" s="18" t="n">
        <v>0</v>
      </c>
      <c r="I3727" s="18" t="n">
        <f aca="false">((I3726 + G3727) - H3727)</f>
        <v>7609.16</v>
      </c>
      <c r="J3727" s="18" t="n">
        <v>0</v>
      </c>
      <c r="K3727" s="19" t="n">
        <v>0</v>
      </c>
      <c r="L3727" s="17"/>
    </row>
    <row r="3728" s="11" customFormat="true" ht="10.95" hidden="false" customHeight="true" outlineLevel="0" collapsed="false">
      <c r="A3728" s="16" t="n">
        <v>45291</v>
      </c>
      <c r="B3728" s="17" t="s">
        <v>1788</v>
      </c>
      <c r="C3728" s="17" t="s">
        <v>1593</v>
      </c>
      <c r="D3728" s="17"/>
      <c r="E3728" s="17" t="s">
        <v>1860</v>
      </c>
      <c r="F3728" s="17"/>
      <c r="G3728" s="18" t="n">
        <v>12.74</v>
      </c>
      <c r="H3728" s="18" t="n">
        <v>0</v>
      </c>
      <c r="I3728" s="18" t="n">
        <f aca="false">((I3727 + G3728) - H3728)</f>
        <v>7621.9</v>
      </c>
      <c r="J3728" s="18" t="n">
        <v>0</v>
      </c>
      <c r="K3728" s="19" t="n">
        <v>0</v>
      </c>
      <c r="L3728" s="17"/>
    </row>
    <row r="3729" s="11" customFormat="true" ht="10.95" hidden="false" customHeight="true" outlineLevel="0" collapsed="false">
      <c r="A3729" s="16" t="n">
        <v>45291</v>
      </c>
      <c r="B3729" s="17" t="s">
        <v>1788</v>
      </c>
      <c r="C3729" s="17" t="s">
        <v>1593</v>
      </c>
      <c r="D3729" s="17"/>
      <c r="E3729" s="17" t="s">
        <v>1861</v>
      </c>
      <c r="F3729" s="17"/>
      <c r="G3729" s="18" t="n">
        <v>10.41</v>
      </c>
      <c r="H3729" s="18" t="n">
        <v>0</v>
      </c>
      <c r="I3729" s="18" t="n">
        <f aca="false">((I3728 + G3729) - H3729)</f>
        <v>7632.31</v>
      </c>
      <c r="J3729" s="18" t="n">
        <v>0</v>
      </c>
      <c r="K3729" s="19" t="n">
        <v>0</v>
      </c>
      <c r="L3729" s="17"/>
    </row>
    <row r="3730" s="11" customFormat="true" ht="10.95" hidden="false" customHeight="true" outlineLevel="0" collapsed="false">
      <c r="A3730" s="16" t="n">
        <v>45291</v>
      </c>
      <c r="B3730" s="17" t="s">
        <v>1788</v>
      </c>
      <c r="C3730" s="17" t="s">
        <v>1593</v>
      </c>
      <c r="D3730" s="17"/>
      <c r="E3730" s="17" t="s">
        <v>1862</v>
      </c>
      <c r="F3730" s="17"/>
      <c r="G3730" s="18" t="n">
        <v>75.28</v>
      </c>
      <c r="H3730" s="18" t="n">
        <v>0</v>
      </c>
      <c r="I3730" s="18" t="n">
        <f aca="false">((I3729 + G3730) - H3730)</f>
        <v>7707.59</v>
      </c>
      <c r="J3730" s="18" t="n">
        <v>0</v>
      </c>
      <c r="K3730" s="19" t="n">
        <v>0</v>
      </c>
      <c r="L3730" s="17"/>
    </row>
    <row r="3731" s="11" customFormat="true" ht="10.95" hidden="false" customHeight="true" outlineLevel="0" collapsed="false">
      <c r="A3731" s="16" t="n">
        <v>45291</v>
      </c>
      <c r="B3731" s="17" t="s">
        <v>1788</v>
      </c>
      <c r="C3731" s="17" t="s">
        <v>1593</v>
      </c>
      <c r="D3731" s="17"/>
      <c r="E3731" s="17" t="s">
        <v>1863</v>
      </c>
      <c r="F3731" s="17"/>
      <c r="G3731" s="18" t="n">
        <v>13.9</v>
      </c>
      <c r="H3731" s="18" t="n">
        <v>0</v>
      </c>
      <c r="I3731" s="18" t="n">
        <f aca="false">((I3730 + G3731) - H3731)</f>
        <v>7721.49</v>
      </c>
      <c r="J3731" s="18" t="n">
        <v>0</v>
      </c>
      <c r="K3731" s="19" t="n">
        <v>0</v>
      </c>
      <c r="L3731" s="17"/>
    </row>
    <row r="3732" s="11" customFormat="true" ht="10.95" hidden="false" customHeight="true" outlineLevel="0" collapsed="false">
      <c r="A3732" s="16" t="n">
        <v>45291</v>
      </c>
      <c r="B3732" s="17" t="s">
        <v>1788</v>
      </c>
      <c r="C3732" s="17" t="s">
        <v>1593</v>
      </c>
      <c r="D3732" s="17"/>
      <c r="E3732" s="17" t="s">
        <v>1864</v>
      </c>
      <c r="F3732" s="17"/>
      <c r="G3732" s="18" t="n">
        <v>10.47</v>
      </c>
      <c r="H3732" s="18" t="n">
        <v>0</v>
      </c>
      <c r="I3732" s="18" t="n">
        <f aca="false">((I3731 + G3732) - H3732)</f>
        <v>7731.96</v>
      </c>
      <c r="J3732" s="18" t="n">
        <v>0</v>
      </c>
      <c r="K3732" s="19" t="n">
        <v>0</v>
      </c>
      <c r="L3732" s="17"/>
    </row>
    <row r="3733" s="11" customFormat="true" ht="10.95" hidden="false" customHeight="true" outlineLevel="0" collapsed="false">
      <c r="A3733" s="16" t="n">
        <v>45291</v>
      </c>
      <c r="B3733" s="17" t="s">
        <v>1788</v>
      </c>
      <c r="C3733" s="17" t="s">
        <v>1593</v>
      </c>
      <c r="D3733" s="17"/>
      <c r="E3733" s="17" t="s">
        <v>1865</v>
      </c>
      <c r="F3733" s="17"/>
      <c r="G3733" s="18" t="n">
        <v>50.93</v>
      </c>
      <c r="H3733" s="18" t="n">
        <v>0</v>
      </c>
      <c r="I3733" s="18" t="n">
        <f aca="false">((I3732 + G3733) - H3733)</f>
        <v>7782.89</v>
      </c>
      <c r="J3733" s="18" t="n">
        <v>0</v>
      </c>
      <c r="K3733" s="19" t="n">
        <v>0</v>
      </c>
      <c r="L3733" s="17"/>
    </row>
    <row r="3734" s="11" customFormat="true" ht="10.95" hidden="false" customHeight="true" outlineLevel="0" collapsed="false">
      <c r="A3734" s="16" t="n">
        <v>45291</v>
      </c>
      <c r="B3734" s="17" t="s">
        <v>1788</v>
      </c>
      <c r="C3734" s="17" t="s">
        <v>1593</v>
      </c>
      <c r="D3734" s="17"/>
      <c r="E3734" s="17" t="s">
        <v>1866</v>
      </c>
      <c r="F3734" s="17"/>
      <c r="G3734" s="18" t="n">
        <v>113.55</v>
      </c>
      <c r="H3734" s="18" t="n">
        <v>0</v>
      </c>
      <c r="I3734" s="18" t="n">
        <f aca="false">((I3733 + G3734) - H3734)</f>
        <v>7896.44</v>
      </c>
      <c r="J3734" s="18" t="n">
        <v>0</v>
      </c>
      <c r="K3734" s="19" t="n">
        <v>0</v>
      </c>
      <c r="L3734" s="17"/>
    </row>
    <row r="3735" s="11" customFormat="true" ht="10.95" hidden="false" customHeight="true" outlineLevel="0" collapsed="false">
      <c r="A3735" s="16" t="n">
        <v>45291</v>
      </c>
      <c r="B3735" s="17" t="s">
        <v>1788</v>
      </c>
      <c r="C3735" s="17" t="s">
        <v>1593</v>
      </c>
      <c r="D3735" s="17"/>
      <c r="E3735" s="17" t="s">
        <v>1867</v>
      </c>
      <c r="F3735" s="17"/>
      <c r="G3735" s="18" t="n">
        <v>116.46</v>
      </c>
      <c r="H3735" s="18" t="n">
        <v>0</v>
      </c>
      <c r="I3735" s="18" t="n">
        <f aca="false">((I3734 + G3735) - H3735)</f>
        <v>8012.9</v>
      </c>
      <c r="J3735" s="18" t="n">
        <v>0</v>
      </c>
      <c r="K3735" s="19" t="n">
        <v>0</v>
      </c>
      <c r="L3735" s="17"/>
    </row>
    <row r="3736" s="11" customFormat="true" ht="10.95" hidden="false" customHeight="true" outlineLevel="0" collapsed="false">
      <c r="A3736" s="16" t="n">
        <v>45291</v>
      </c>
      <c r="B3736" s="17" t="s">
        <v>1788</v>
      </c>
      <c r="C3736" s="17" t="s">
        <v>1593</v>
      </c>
      <c r="D3736" s="17"/>
      <c r="E3736" s="17" t="s">
        <v>1868</v>
      </c>
      <c r="F3736" s="17"/>
      <c r="G3736" s="18" t="n">
        <v>69.15</v>
      </c>
      <c r="H3736" s="18" t="n">
        <v>0</v>
      </c>
      <c r="I3736" s="18" t="n">
        <f aca="false">((I3735 + G3736) - H3736)</f>
        <v>8082.05</v>
      </c>
      <c r="J3736" s="18" t="n">
        <v>0</v>
      </c>
      <c r="K3736" s="19" t="n">
        <v>0</v>
      </c>
      <c r="L3736" s="17"/>
    </row>
    <row r="3737" s="11" customFormat="true" ht="10.95" hidden="false" customHeight="true" outlineLevel="0" collapsed="false">
      <c r="A3737" s="16" t="n">
        <v>45291</v>
      </c>
      <c r="B3737" s="17" t="s">
        <v>1788</v>
      </c>
      <c r="C3737" s="17" t="s">
        <v>1593</v>
      </c>
      <c r="D3737" s="17"/>
      <c r="E3737" s="17" t="s">
        <v>1869</v>
      </c>
      <c r="F3737" s="17"/>
      <c r="G3737" s="18" t="n">
        <v>21.41</v>
      </c>
      <c r="H3737" s="18" t="n">
        <v>0</v>
      </c>
      <c r="I3737" s="18" t="n">
        <f aca="false">((I3736 + G3737) - H3737)</f>
        <v>8103.46</v>
      </c>
      <c r="J3737" s="18" t="n">
        <v>0</v>
      </c>
      <c r="K3737" s="19" t="n">
        <v>0</v>
      </c>
      <c r="L3737" s="17"/>
    </row>
    <row r="3738" s="11" customFormat="true" ht="10.95" hidden="false" customHeight="true" outlineLevel="0" collapsed="false">
      <c r="A3738" s="16" t="n">
        <v>45291</v>
      </c>
      <c r="B3738" s="17" t="s">
        <v>1788</v>
      </c>
      <c r="C3738" s="17" t="s">
        <v>1593</v>
      </c>
      <c r="D3738" s="17"/>
      <c r="E3738" s="17" t="s">
        <v>1870</v>
      </c>
      <c r="F3738" s="17"/>
      <c r="G3738" s="18" t="n">
        <v>632.73</v>
      </c>
      <c r="H3738" s="18" t="n">
        <v>0</v>
      </c>
      <c r="I3738" s="18" t="n">
        <f aca="false">((I3737 + G3738) - H3738)</f>
        <v>8736.19</v>
      </c>
      <c r="J3738" s="18" t="n">
        <v>0</v>
      </c>
      <c r="K3738" s="19" t="n">
        <v>0</v>
      </c>
      <c r="L3738" s="17"/>
    </row>
    <row r="3739" s="11" customFormat="true" ht="10.95" hidden="false" customHeight="true" outlineLevel="0" collapsed="false">
      <c r="A3739" s="16" t="n">
        <v>45322</v>
      </c>
      <c r="B3739" s="17" t="s">
        <v>1788</v>
      </c>
      <c r="C3739" s="17" t="s">
        <v>1593</v>
      </c>
      <c r="D3739" s="17"/>
      <c r="E3739" s="17" t="s">
        <v>1871</v>
      </c>
      <c r="F3739" s="17"/>
      <c r="G3739" s="18" t="n">
        <v>314.67</v>
      </c>
      <c r="H3739" s="18" t="n">
        <v>0</v>
      </c>
      <c r="I3739" s="18" t="n">
        <f aca="false">((I3738 + G3739) - H3739)</f>
        <v>9050.86</v>
      </c>
      <c r="J3739" s="18" t="n">
        <v>0</v>
      </c>
      <c r="K3739" s="19" t="n">
        <v>0</v>
      </c>
      <c r="L3739" s="17"/>
    </row>
    <row r="3740" s="11" customFormat="true" ht="10.95" hidden="false" customHeight="true" outlineLevel="0" collapsed="false">
      <c r="A3740" s="16" t="n">
        <v>45322</v>
      </c>
      <c r="B3740" s="17" t="s">
        <v>1788</v>
      </c>
      <c r="C3740" s="17" t="s">
        <v>1593</v>
      </c>
      <c r="D3740" s="17"/>
      <c r="E3740" s="17" t="s">
        <v>1872</v>
      </c>
      <c r="F3740" s="17"/>
      <c r="G3740" s="18" t="n">
        <v>409.93</v>
      </c>
      <c r="H3740" s="18" t="n">
        <v>0</v>
      </c>
      <c r="I3740" s="18" t="n">
        <f aca="false">((I3739 + G3740) - H3740)</f>
        <v>9460.79</v>
      </c>
      <c r="J3740" s="18" t="n">
        <v>0</v>
      </c>
      <c r="K3740" s="19" t="n">
        <v>0</v>
      </c>
      <c r="L3740" s="17"/>
    </row>
    <row r="3741" s="11" customFormat="true" ht="10.95" hidden="false" customHeight="true" outlineLevel="0" collapsed="false">
      <c r="A3741" s="16" t="n">
        <v>45322</v>
      </c>
      <c r="B3741" s="17" t="s">
        <v>1788</v>
      </c>
      <c r="C3741" s="17" t="s">
        <v>1593</v>
      </c>
      <c r="D3741" s="17"/>
      <c r="E3741" s="17" t="s">
        <v>1873</v>
      </c>
      <c r="F3741" s="17"/>
      <c r="G3741" s="18" t="n">
        <v>77.96</v>
      </c>
      <c r="H3741" s="18" t="n">
        <v>0</v>
      </c>
      <c r="I3741" s="18" t="n">
        <f aca="false">((I3740 + G3741) - H3741)</f>
        <v>9538.75</v>
      </c>
      <c r="J3741" s="18" t="n">
        <v>0</v>
      </c>
      <c r="K3741" s="19" t="n">
        <v>0</v>
      </c>
      <c r="L3741" s="17"/>
    </row>
    <row r="3742" s="11" customFormat="true" ht="10.95" hidden="false" customHeight="true" outlineLevel="0" collapsed="false">
      <c r="A3742" s="16" t="n">
        <v>45322</v>
      </c>
      <c r="B3742" s="17" t="s">
        <v>1788</v>
      </c>
      <c r="C3742" s="17" t="s">
        <v>1593</v>
      </c>
      <c r="D3742" s="17"/>
      <c r="E3742" s="17" t="s">
        <v>1874</v>
      </c>
      <c r="F3742" s="17"/>
      <c r="G3742" s="18" t="n">
        <v>178.17</v>
      </c>
      <c r="H3742" s="18" t="n">
        <v>0</v>
      </c>
      <c r="I3742" s="18" t="n">
        <f aca="false">((I3741 + G3742) - H3742)</f>
        <v>9716.92</v>
      </c>
      <c r="J3742" s="18" t="n">
        <v>0</v>
      </c>
      <c r="K3742" s="19" t="n">
        <v>0</v>
      </c>
      <c r="L3742" s="17"/>
    </row>
    <row r="3743" s="11" customFormat="true" ht="10.95" hidden="false" customHeight="true" outlineLevel="0" collapsed="false">
      <c r="A3743" s="16" t="n">
        <v>45322</v>
      </c>
      <c r="B3743" s="17" t="s">
        <v>1788</v>
      </c>
      <c r="C3743" s="17" t="s">
        <v>1593</v>
      </c>
      <c r="D3743" s="17"/>
      <c r="E3743" s="17" t="s">
        <v>1875</v>
      </c>
      <c r="F3743" s="17"/>
      <c r="G3743" s="18" t="n">
        <v>9.75</v>
      </c>
      <c r="H3743" s="18" t="n">
        <v>0</v>
      </c>
      <c r="I3743" s="18" t="n">
        <f aca="false">((I3742 + G3743) - H3743)</f>
        <v>9726.67</v>
      </c>
      <c r="J3743" s="18" t="n">
        <v>0</v>
      </c>
      <c r="K3743" s="19" t="n">
        <v>0</v>
      </c>
      <c r="L3743" s="17"/>
    </row>
    <row r="3744" s="11" customFormat="true" ht="10.95" hidden="false" customHeight="true" outlineLevel="0" collapsed="false">
      <c r="A3744" s="16" t="n">
        <v>45322</v>
      </c>
      <c r="B3744" s="17" t="s">
        <v>1788</v>
      </c>
      <c r="C3744" s="17" t="s">
        <v>1593</v>
      </c>
      <c r="D3744" s="17"/>
      <c r="E3744" s="17" t="s">
        <v>1876</v>
      </c>
      <c r="F3744" s="17"/>
      <c r="G3744" s="18" t="n">
        <v>12.73</v>
      </c>
      <c r="H3744" s="18" t="n">
        <v>0</v>
      </c>
      <c r="I3744" s="18" t="n">
        <f aca="false">((I3743 + G3744) - H3744)</f>
        <v>9739.4</v>
      </c>
      <c r="J3744" s="18" t="n">
        <v>0</v>
      </c>
      <c r="K3744" s="19" t="n">
        <v>0</v>
      </c>
      <c r="L3744" s="17"/>
    </row>
    <row r="3745" s="11" customFormat="true" ht="10.95" hidden="false" customHeight="true" outlineLevel="0" collapsed="false">
      <c r="A3745" s="16" t="n">
        <v>45322</v>
      </c>
      <c r="B3745" s="17" t="s">
        <v>1788</v>
      </c>
      <c r="C3745" s="17" t="s">
        <v>1593</v>
      </c>
      <c r="D3745" s="17"/>
      <c r="E3745" s="17" t="s">
        <v>1877</v>
      </c>
      <c r="F3745" s="17"/>
      <c r="G3745" s="18" t="n">
        <v>10.4</v>
      </c>
      <c r="H3745" s="18" t="n">
        <v>0</v>
      </c>
      <c r="I3745" s="18" t="n">
        <f aca="false">((I3744 + G3745) - H3745)</f>
        <v>9749.8</v>
      </c>
      <c r="J3745" s="18" t="n">
        <v>0</v>
      </c>
      <c r="K3745" s="19" t="n">
        <v>0</v>
      </c>
      <c r="L3745" s="17"/>
    </row>
    <row r="3746" s="11" customFormat="true" ht="10.95" hidden="false" customHeight="true" outlineLevel="0" collapsed="false">
      <c r="A3746" s="16" t="n">
        <v>45322</v>
      </c>
      <c r="B3746" s="17" t="s">
        <v>1788</v>
      </c>
      <c r="C3746" s="17" t="s">
        <v>1593</v>
      </c>
      <c r="D3746" s="17"/>
      <c r="E3746" s="17" t="s">
        <v>1878</v>
      </c>
      <c r="F3746" s="17"/>
      <c r="G3746" s="18" t="n">
        <v>75.28</v>
      </c>
      <c r="H3746" s="18" t="n">
        <v>0</v>
      </c>
      <c r="I3746" s="18" t="n">
        <f aca="false">((I3745 + G3746) - H3746)</f>
        <v>9825.08</v>
      </c>
      <c r="J3746" s="18" t="n">
        <v>0</v>
      </c>
      <c r="K3746" s="19" t="n">
        <v>0</v>
      </c>
      <c r="L3746" s="17"/>
    </row>
    <row r="3747" s="11" customFormat="true" ht="10.95" hidden="false" customHeight="true" outlineLevel="0" collapsed="false">
      <c r="A3747" s="16" t="n">
        <v>45322</v>
      </c>
      <c r="B3747" s="17" t="s">
        <v>1788</v>
      </c>
      <c r="C3747" s="17" t="s">
        <v>1593</v>
      </c>
      <c r="D3747" s="17"/>
      <c r="E3747" s="17" t="s">
        <v>1879</v>
      </c>
      <c r="F3747" s="17"/>
      <c r="G3747" s="18" t="n">
        <v>13.9</v>
      </c>
      <c r="H3747" s="18" t="n">
        <v>0</v>
      </c>
      <c r="I3747" s="18" t="n">
        <f aca="false">((I3746 + G3747) - H3747)</f>
        <v>9838.98</v>
      </c>
      <c r="J3747" s="18" t="n">
        <v>0</v>
      </c>
      <c r="K3747" s="19" t="n">
        <v>0</v>
      </c>
      <c r="L3747" s="17"/>
    </row>
    <row r="3748" s="11" customFormat="true" ht="10.95" hidden="false" customHeight="true" outlineLevel="0" collapsed="false">
      <c r="A3748" s="16" t="n">
        <v>45322</v>
      </c>
      <c r="B3748" s="17" t="s">
        <v>1788</v>
      </c>
      <c r="C3748" s="17" t="s">
        <v>1593</v>
      </c>
      <c r="D3748" s="17"/>
      <c r="E3748" s="17" t="s">
        <v>1880</v>
      </c>
      <c r="F3748" s="17"/>
      <c r="G3748" s="18" t="n">
        <v>10.47</v>
      </c>
      <c r="H3748" s="18" t="n">
        <v>0</v>
      </c>
      <c r="I3748" s="18" t="n">
        <f aca="false">((I3747 + G3748) - H3748)</f>
        <v>9849.45</v>
      </c>
      <c r="J3748" s="18" t="n">
        <v>0</v>
      </c>
      <c r="K3748" s="19" t="n">
        <v>0</v>
      </c>
      <c r="L3748" s="17"/>
    </row>
    <row r="3749" s="11" customFormat="true" ht="10.95" hidden="false" customHeight="true" outlineLevel="0" collapsed="false">
      <c r="A3749" s="16" t="n">
        <v>45322</v>
      </c>
      <c r="B3749" s="17" t="s">
        <v>1788</v>
      </c>
      <c r="C3749" s="17" t="s">
        <v>1593</v>
      </c>
      <c r="D3749" s="17"/>
      <c r="E3749" s="17" t="s">
        <v>1881</v>
      </c>
      <c r="F3749" s="17"/>
      <c r="G3749" s="18" t="n">
        <v>50.94</v>
      </c>
      <c r="H3749" s="18" t="n">
        <v>0</v>
      </c>
      <c r="I3749" s="18" t="n">
        <f aca="false">((I3748 + G3749) - H3749)</f>
        <v>9900.39</v>
      </c>
      <c r="J3749" s="18" t="n">
        <v>0</v>
      </c>
      <c r="K3749" s="19" t="n">
        <v>0</v>
      </c>
      <c r="L3749" s="17"/>
    </row>
    <row r="3750" s="11" customFormat="true" ht="10.95" hidden="false" customHeight="true" outlineLevel="0" collapsed="false">
      <c r="A3750" s="16" t="n">
        <v>45322</v>
      </c>
      <c r="B3750" s="17" t="s">
        <v>1788</v>
      </c>
      <c r="C3750" s="17" t="s">
        <v>1593</v>
      </c>
      <c r="D3750" s="17"/>
      <c r="E3750" s="17" t="s">
        <v>1882</v>
      </c>
      <c r="F3750" s="17"/>
      <c r="G3750" s="18" t="n">
        <v>113.55</v>
      </c>
      <c r="H3750" s="18" t="n">
        <v>0</v>
      </c>
      <c r="I3750" s="18" t="n">
        <f aca="false">((I3749 + G3750) - H3750)</f>
        <v>10013.94</v>
      </c>
      <c r="J3750" s="18" t="n">
        <v>0</v>
      </c>
      <c r="K3750" s="19" t="n">
        <v>0</v>
      </c>
      <c r="L3750" s="17"/>
    </row>
    <row r="3751" s="11" customFormat="true" ht="10.95" hidden="false" customHeight="true" outlineLevel="0" collapsed="false">
      <c r="A3751" s="16" t="n">
        <v>45322</v>
      </c>
      <c r="B3751" s="17" t="s">
        <v>1788</v>
      </c>
      <c r="C3751" s="17" t="s">
        <v>1593</v>
      </c>
      <c r="D3751" s="17"/>
      <c r="E3751" s="17" t="s">
        <v>1883</v>
      </c>
      <c r="F3751" s="17"/>
      <c r="G3751" s="18" t="n">
        <v>116.46</v>
      </c>
      <c r="H3751" s="18" t="n">
        <v>0</v>
      </c>
      <c r="I3751" s="18" t="n">
        <f aca="false">((I3750 + G3751) - H3751)</f>
        <v>10130.4</v>
      </c>
      <c r="J3751" s="18" t="n">
        <v>0</v>
      </c>
      <c r="K3751" s="19" t="n">
        <v>0</v>
      </c>
      <c r="L3751" s="17"/>
    </row>
    <row r="3752" s="11" customFormat="true" ht="10.95" hidden="false" customHeight="true" outlineLevel="0" collapsed="false">
      <c r="A3752" s="16" t="n">
        <v>45322</v>
      </c>
      <c r="B3752" s="17" t="s">
        <v>1788</v>
      </c>
      <c r="C3752" s="17" t="s">
        <v>1593</v>
      </c>
      <c r="D3752" s="17"/>
      <c r="E3752" s="17" t="s">
        <v>1884</v>
      </c>
      <c r="F3752" s="17"/>
      <c r="G3752" s="18" t="n">
        <v>69.15</v>
      </c>
      <c r="H3752" s="18" t="n">
        <v>0</v>
      </c>
      <c r="I3752" s="18" t="n">
        <f aca="false">((I3751 + G3752) - H3752)</f>
        <v>10199.55</v>
      </c>
      <c r="J3752" s="18" t="n">
        <v>0</v>
      </c>
      <c r="K3752" s="19" t="n">
        <v>0</v>
      </c>
      <c r="L3752" s="17"/>
    </row>
    <row r="3753" s="11" customFormat="true" ht="10.95" hidden="false" customHeight="true" outlineLevel="0" collapsed="false">
      <c r="A3753" s="16" t="n">
        <v>45322</v>
      </c>
      <c r="B3753" s="17" t="s">
        <v>1788</v>
      </c>
      <c r="C3753" s="17" t="s">
        <v>1593</v>
      </c>
      <c r="D3753" s="17"/>
      <c r="E3753" s="17" t="s">
        <v>1885</v>
      </c>
      <c r="F3753" s="17"/>
      <c r="G3753" s="18" t="n">
        <v>21.41</v>
      </c>
      <c r="H3753" s="18" t="n">
        <v>0</v>
      </c>
      <c r="I3753" s="18" t="n">
        <f aca="false">((I3752 + G3753) - H3753)</f>
        <v>10220.96</v>
      </c>
      <c r="J3753" s="18" t="n">
        <v>0</v>
      </c>
      <c r="K3753" s="19" t="n">
        <v>0</v>
      </c>
      <c r="L3753" s="17"/>
    </row>
    <row r="3754" s="11" customFormat="true" ht="10.95" hidden="false" customHeight="true" outlineLevel="0" collapsed="false">
      <c r="A3754" s="16" t="n">
        <v>45322</v>
      </c>
      <c r="B3754" s="17" t="s">
        <v>1788</v>
      </c>
      <c r="C3754" s="17" t="s">
        <v>1593</v>
      </c>
      <c r="D3754" s="17"/>
      <c r="E3754" s="17" t="s">
        <v>1886</v>
      </c>
      <c r="F3754" s="17"/>
      <c r="G3754" s="18" t="n">
        <v>676.36</v>
      </c>
      <c r="H3754" s="18" t="n">
        <v>0</v>
      </c>
      <c r="I3754" s="18" t="n">
        <f aca="false">((I3753 + G3754) - H3754)</f>
        <v>10897.32</v>
      </c>
      <c r="J3754" s="18" t="n">
        <v>0</v>
      </c>
      <c r="K3754" s="19" t="n">
        <v>0</v>
      </c>
      <c r="L3754" s="17"/>
    </row>
    <row r="3755" s="11" customFormat="true" ht="10.95" hidden="false" customHeight="true" outlineLevel="0" collapsed="false">
      <c r="A3755" s="16" t="n">
        <v>45351</v>
      </c>
      <c r="B3755" s="17" t="s">
        <v>1788</v>
      </c>
      <c r="C3755" s="17" t="s">
        <v>1593</v>
      </c>
      <c r="D3755" s="17"/>
      <c r="E3755" s="17" t="s">
        <v>1887</v>
      </c>
      <c r="F3755" s="17"/>
      <c r="G3755" s="18" t="n">
        <v>294.37</v>
      </c>
      <c r="H3755" s="18" t="n">
        <v>0</v>
      </c>
      <c r="I3755" s="18" t="n">
        <f aca="false">((I3754 + G3755) - H3755)</f>
        <v>11191.69</v>
      </c>
      <c r="J3755" s="18" t="n">
        <v>0</v>
      </c>
      <c r="K3755" s="19" t="n">
        <v>0</v>
      </c>
      <c r="L3755" s="17"/>
    </row>
    <row r="3756" s="11" customFormat="true" ht="10.95" hidden="false" customHeight="true" outlineLevel="0" collapsed="false">
      <c r="A3756" s="16" t="n">
        <v>45351</v>
      </c>
      <c r="B3756" s="17" t="s">
        <v>1788</v>
      </c>
      <c r="C3756" s="17" t="s">
        <v>1593</v>
      </c>
      <c r="D3756" s="17"/>
      <c r="E3756" s="17" t="s">
        <v>1888</v>
      </c>
      <c r="F3756" s="17"/>
      <c r="G3756" s="18" t="n">
        <v>383.48</v>
      </c>
      <c r="H3756" s="18" t="n">
        <v>0</v>
      </c>
      <c r="I3756" s="18" t="n">
        <f aca="false">((I3755 + G3756) - H3756)</f>
        <v>11575.17</v>
      </c>
      <c r="J3756" s="18" t="n">
        <v>0</v>
      </c>
      <c r="K3756" s="19" t="n">
        <v>0</v>
      </c>
      <c r="L3756" s="17"/>
    </row>
    <row r="3757" s="11" customFormat="true" ht="10.95" hidden="false" customHeight="true" outlineLevel="0" collapsed="false">
      <c r="A3757" s="16" t="n">
        <v>45351</v>
      </c>
      <c r="B3757" s="17" t="s">
        <v>1788</v>
      </c>
      <c r="C3757" s="17" t="s">
        <v>1593</v>
      </c>
      <c r="D3757" s="17"/>
      <c r="E3757" s="17" t="s">
        <v>1889</v>
      </c>
      <c r="F3757" s="17"/>
      <c r="G3757" s="18" t="n">
        <v>72.93</v>
      </c>
      <c r="H3757" s="18" t="n">
        <v>0</v>
      </c>
      <c r="I3757" s="18" t="n">
        <f aca="false">((I3756 + G3757) - H3757)</f>
        <v>11648.1</v>
      </c>
      <c r="J3757" s="18" t="n">
        <v>0</v>
      </c>
      <c r="K3757" s="19" t="n">
        <v>0</v>
      </c>
      <c r="L3757" s="17"/>
    </row>
    <row r="3758" s="11" customFormat="true" ht="10.95" hidden="false" customHeight="true" outlineLevel="0" collapsed="false">
      <c r="A3758" s="16" t="n">
        <v>45351</v>
      </c>
      <c r="B3758" s="17" t="s">
        <v>1788</v>
      </c>
      <c r="C3758" s="17" t="s">
        <v>1593</v>
      </c>
      <c r="D3758" s="17"/>
      <c r="E3758" s="17" t="s">
        <v>1890</v>
      </c>
      <c r="F3758" s="17"/>
      <c r="G3758" s="18" t="n">
        <v>166.68</v>
      </c>
      <c r="H3758" s="18" t="n">
        <v>0</v>
      </c>
      <c r="I3758" s="18" t="n">
        <f aca="false">((I3757 + G3758) - H3758)</f>
        <v>11814.78</v>
      </c>
      <c r="J3758" s="18" t="n">
        <v>0</v>
      </c>
      <c r="K3758" s="19" t="n">
        <v>0</v>
      </c>
      <c r="L3758" s="17"/>
    </row>
    <row r="3759" s="11" customFormat="true" ht="10.95" hidden="false" customHeight="true" outlineLevel="0" collapsed="false">
      <c r="A3759" s="16" t="n">
        <v>45351</v>
      </c>
      <c r="B3759" s="17" t="s">
        <v>1788</v>
      </c>
      <c r="C3759" s="17" t="s">
        <v>1593</v>
      </c>
      <c r="D3759" s="17"/>
      <c r="E3759" s="17" t="s">
        <v>1891</v>
      </c>
      <c r="F3759" s="17"/>
      <c r="G3759" s="18" t="n">
        <v>9.11</v>
      </c>
      <c r="H3759" s="18" t="n">
        <v>0</v>
      </c>
      <c r="I3759" s="18" t="n">
        <f aca="false">((I3758 + G3759) - H3759)</f>
        <v>11823.89</v>
      </c>
      <c r="J3759" s="18" t="n">
        <v>0</v>
      </c>
      <c r="K3759" s="19" t="n">
        <v>0</v>
      </c>
      <c r="L3759" s="17"/>
    </row>
    <row r="3760" s="11" customFormat="true" ht="10.95" hidden="false" customHeight="true" outlineLevel="0" collapsed="false">
      <c r="A3760" s="16" t="n">
        <v>45351</v>
      </c>
      <c r="B3760" s="17" t="s">
        <v>1788</v>
      </c>
      <c r="C3760" s="17" t="s">
        <v>1593</v>
      </c>
      <c r="D3760" s="17"/>
      <c r="E3760" s="17" t="s">
        <v>1892</v>
      </c>
      <c r="F3760" s="17"/>
      <c r="G3760" s="18" t="n">
        <v>11.91</v>
      </c>
      <c r="H3760" s="18" t="n">
        <v>0</v>
      </c>
      <c r="I3760" s="18" t="n">
        <f aca="false">((I3759 + G3760) - H3760)</f>
        <v>11835.8</v>
      </c>
      <c r="J3760" s="18" t="n">
        <v>0</v>
      </c>
      <c r="K3760" s="19" t="n">
        <v>0</v>
      </c>
      <c r="L3760" s="17"/>
    </row>
    <row r="3761" s="11" customFormat="true" ht="10.95" hidden="false" customHeight="true" outlineLevel="0" collapsed="false">
      <c r="A3761" s="16" t="n">
        <v>45351</v>
      </c>
      <c r="B3761" s="17" t="s">
        <v>1788</v>
      </c>
      <c r="C3761" s="17" t="s">
        <v>1593</v>
      </c>
      <c r="D3761" s="17"/>
      <c r="E3761" s="17" t="s">
        <v>1893</v>
      </c>
      <c r="F3761" s="17"/>
      <c r="G3761" s="18" t="n">
        <v>9.74</v>
      </c>
      <c r="H3761" s="18" t="n">
        <v>0</v>
      </c>
      <c r="I3761" s="18" t="n">
        <f aca="false">((I3760 + G3761) - H3761)</f>
        <v>11845.54</v>
      </c>
      <c r="J3761" s="18" t="n">
        <v>0</v>
      </c>
      <c r="K3761" s="19" t="n">
        <v>0</v>
      </c>
      <c r="L3761" s="17"/>
    </row>
    <row r="3762" s="11" customFormat="true" ht="10.95" hidden="false" customHeight="true" outlineLevel="0" collapsed="false">
      <c r="A3762" s="16" t="n">
        <v>45351</v>
      </c>
      <c r="B3762" s="17" t="s">
        <v>1788</v>
      </c>
      <c r="C3762" s="17" t="s">
        <v>1593</v>
      </c>
      <c r="D3762" s="17"/>
      <c r="E3762" s="17" t="s">
        <v>1894</v>
      </c>
      <c r="F3762" s="17"/>
      <c r="G3762" s="18" t="n">
        <v>70.42</v>
      </c>
      <c r="H3762" s="18" t="n">
        <v>0</v>
      </c>
      <c r="I3762" s="18" t="n">
        <f aca="false">((I3761 + G3762) - H3762)</f>
        <v>11915.96</v>
      </c>
      <c r="J3762" s="18" t="n">
        <v>0</v>
      </c>
      <c r="K3762" s="19" t="n">
        <v>0</v>
      </c>
      <c r="L3762" s="17"/>
    </row>
    <row r="3763" s="11" customFormat="true" ht="10.95" hidden="false" customHeight="true" outlineLevel="0" collapsed="false">
      <c r="A3763" s="16" t="n">
        <v>45351</v>
      </c>
      <c r="B3763" s="17" t="s">
        <v>1788</v>
      </c>
      <c r="C3763" s="17" t="s">
        <v>1593</v>
      </c>
      <c r="D3763" s="17"/>
      <c r="E3763" s="17" t="s">
        <v>1895</v>
      </c>
      <c r="F3763" s="17"/>
      <c r="G3763" s="18" t="n">
        <v>13.01</v>
      </c>
      <c r="H3763" s="18" t="n">
        <v>0</v>
      </c>
      <c r="I3763" s="18" t="n">
        <f aca="false">((I3762 + G3763) - H3763)</f>
        <v>11928.97</v>
      </c>
      <c r="J3763" s="18" t="n">
        <v>0</v>
      </c>
      <c r="K3763" s="19" t="n">
        <v>0</v>
      </c>
      <c r="L3763" s="17"/>
    </row>
    <row r="3764" s="11" customFormat="true" ht="10.95" hidden="false" customHeight="true" outlineLevel="0" collapsed="false">
      <c r="A3764" s="16" t="n">
        <v>45351</v>
      </c>
      <c r="B3764" s="17" t="s">
        <v>1788</v>
      </c>
      <c r="C3764" s="17" t="s">
        <v>1593</v>
      </c>
      <c r="D3764" s="17"/>
      <c r="E3764" s="17" t="s">
        <v>1896</v>
      </c>
      <c r="F3764" s="17"/>
      <c r="G3764" s="18" t="n">
        <v>9.8</v>
      </c>
      <c r="H3764" s="18" t="n">
        <v>0</v>
      </c>
      <c r="I3764" s="18" t="n">
        <f aca="false">((I3763 + G3764) - H3764)</f>
        <v>11938.77</v>
      </c>
      <c r="J3764" s="18" t="n">
        <v>0</v>
      </c>
      <c r="K3764" s="19" t="n">
        <v>0</v>
      </c>
      <c r="L3764" s="17"/>
    </row>
    <row r="3765" s="11" customFormat="true" ht="10.95" hidden="false" customHeight="true" outlineLevel="0" collapsed="false">
      <c r="A3765" s="16" t="n">
        <v>45351</v>
      </c>
      <c r="B3765" s="17" t="s">
        <v>1788</v>
      </c>
      <c r="C3765" s="17" t="s">
        <v>1593</v>
      </c>
      <c r="D3765" s="17"/>
      <c r="E3765" s="17" t="s">
        <v>1897</v>
      </c>
      <c r="F3765" s="17"/>
      <c r="G3765" s="18" t="n">
        <v>47.65</v>
      </c>
      <c r="H3765" s="18" t="n">
        <v>0</v>
      </c>
      <c r="I3765" s="18" t="n">
        <f aca="false">((I3764 + G3765) - H3765)</f>
        <v>11986.42</v>
      </c>
      <c r="J3765" s="18" t="n">
        <v>0</v>
      </c>
      <c r="K3765" s="19" t="n">
        <v>0</v>
      </c>
      <c r="L3765" s="17"/>
    </row>
    <row r="3766" s="11" customFormat="true" ht="10.95" hidden="false" customHeight="true" outlineLevel="0" collapsed="false">
      <c r="A3766" s="16" t="n">
        <v>45351</v>
      </c>
      <c r="B3766" s="17" t="s">
        <v>1788</v>
      </c>
      <c r="C3766" s="17" t="s">
        <v>1593</v>
      </c>
      <c r="D3766" s="17"/>
      <c r="E3766" s="17" t="s">
        <v>1898</v>
      </c>
      <c r="F3766" s="17"/>
      <c r="G3766" s="18" t="n">
        <v>106.23</v>
      </c>
      <c r="H3766" s="18" t="n">
        <v>0</v>
      </c>
      <c r="I3766" s="18" t="n">
        <f aca="false">((I3765 + G3766) - H3766)</f>
        <v>12092.65</v>
      </c>
      <c r="J3766" s="18" t="n">
        <v>0</v>
      </c>
      <c r="K3766" s="19" t="n">
        <v>0</v>
      </c>
      <c r="L3766" s="17"/>
    </row>
    <row r="3767" s="11" customFormat="true" ht="10.95" hidden="false" customHeight="true" outlineLevel="0" collapsed="false">
      <c r="A3767" s="16" t="n">
        <v>45351</v>
      </c>
      <c r="B3767" s="17" t="s">
        <v>1788</v>
      </c>
      <c r="C3767" s="17" t="s">
        <v>1593</v>
      </c>
      <c r="D3767" s="17"/>
      <c r="E3767" s="17" t="s">
        <v>1899</v>
      </c>
      <c r="F3767" s="17"/>
      <c r="G3767" s="18" t="n">
        <v>108.95</v>
      </c>
      <c r="H3767" s="18" t="n">
        <v>0</v>
      </c>
      <c r="I3767" s="18" t="n">
        <f aca="false">((I3766 + G3767) - H3767)</f>
        <v>12201.6</v>
      </c>
      <c r="J3767" s="18" t="n">
        <v>0</v>
      </c>
      <c r="K3767" s="19" t="n">
        <v>0</v>
      </c>
      <c r="L3767" s="17"/>
    </row>
    <row r="3768" s="11" customFormat="true" ht="10.95" hidden="false" customHeight="true" outlineLevel="0" collapsed="false">
      <c r="A3768" s="16" t="n">
        <v>45351</v>
      </c>
      <c r="B3768" s="17" t="s">
        <v>1788</v>
      </c>
      <c r="C3768" s="17" t="s">
        <v>1593</v>
      </c>
      <c r="D3768" s="17"/>
      <c r="E3768" s="17" t="s">
        <v>1900</v>
      </c>
      <c r="F3768" s="17"/>
      <c r="G3768" s="18" t="n">
        <v>64.69</v>
      </c>
      <c r="H3768" s="18" t="n">
        <v>0</v>
      </c>
      <c r="I3768" s="18" t="n">
        <f aca="false">((I3767 + G3768) - H3768)</f>
        <v>12266.29</v>
      </c>
      <c r="J3768" s="18" t="n">
        <v>0</v>
      </c>
      <c r="K3768" s="19" t="n">
        <v>0</v>
      </c>
      <c r="L3768" s="17"/>
    </row>
    <row r="3769" s="11" customFormat="true" ht="10.95" hidden="false" customHeight="true" outlineLevel="0" collapsed="false">
      <c r="A3769" s="16" t="n">
        <v>45351</v>
      </c>
      <c r="B3769" s="17" t="s">
        <v>1788</v>
      </c>
      <c r="C3769" s="17" t="s">
        <v>1593</v>
      </c>
      <c r="D3769" s="17"/>
      <c r="E3769" s="17" t="s">
        <v>1901</v>
      </c>
      <c r="F3769" s="17"/>
      <c r="G3769" s="18" t="n">
        <v>84.16</v>
      </c>
      <c r="H3769" s="18" t="n">
        <v>0</v>
      </c>
      <c r="I3769" s="18" t="n">
        <f aca="false">((I3768 + G3769) - H3769)</f>
        <v>12350.45</v>
      </c>
      <c r="J3769" s="18" t="n">
        <v>0</v>
      </c>
      <c r="K3769" s="19" t="n">
        <v>0</v>
      </c>
      <c r="L3769" s="17"/>
    </row>
    <row r="3770" s="11" customFormat="true" ht="10.95" hidden="false" customHeight="true" outlineLevel="0" collapsed="false">
      <c r="A3770" s="16" t="n">
        <v>45351</v>
      </c>
      <c r="B3770" s="17" t="s">
        <v>1788</v>
      </c>
      <c r="C3770" s="17" t="s">
        <v>1593</v>
      </c>
      <c r="D3770" s="17"/>
      <c r="E3770" s="17" t="s">
        <v>1902</v>
      </c>
      <c r="F3770" s="17"/>
      <c r="G3770" s="18" t="n">
        <v>20.03</v>
      </c>
      <c r="H3770" s="18" t="n">
        <v>0</v>
      </c>
      <c r="I3770" s="18" t="n">
        <f aca="false">((I3769 + G3770) - H3770)</f>
        <v>12370.48</v>
      </c>
      <c r="J3770" s="18" t="n">
        <v>0</v>
      </c>
      <c r="K3770" s="19" t="n">
        <v>0</v>
      </c>
      <c r="L3770" s="17"/>
    </row>
    <row r="3771" s="11" customFormat="true" ht="10.95" hidden="false" customHeight="true" outlineLevel="0" collapsed="false">
      <c r="A3771" s="16" t="n">
        <v>45351</v>
      </c>
      <c r="B3771" s="17" t="s">
        <v>1788</v>
      </c>
      <c r="C3771" s="17" t="s">
        <v>1593</v>
      </c>
      <c r="D3771" s="17"/>
      <c r="E3771" s="17" t="s">
        <v>1903</v>
      </c>
      <c r="F3771" s="17"/>
      <c r="G3771" s="18" t="n">
        <v>632.73</v>
      </c>
      <c r="H3771" s="18" t="n">
        <v>0</v>
      </c>
      <c r="I3771" s="18" t="n">
        <f aca="false">((I3770 + G3771) - H3771)</f>
        <v>13003.21</v>
      </c>
      <c r="J3771" s="18" t="n">
        <v>0</v>
      </c>
      <c r="K3771" s="19" t="n">
        <v>0</v>
      </c>
      <c r="L3771" s="17"/>
    </row>
    <row r="3772" s="11" customFormat="true" ht="10.95" hidden="false" customHeight="true" outlineLevel="0" collapsed="false">
      <c r="A3772" s="16" t="n">
        <v>45382</v>
      </c>
      <c r="B3772" s="17" t="s">
        <v>1788</v>
      </c>
      <c r="C3772" s="17" t="s">
        <v>1593</v>
      </c>
      <c r="D3772" s="17"/>
      <c r="E3772" s="17" t="s">
        <v>1904</v>
      </c>
      <c r="F3772" s="17"/>
      <c r="G3772" s="18" t="n">
        <v>314.67</v>
      </c>
      <c r="H3772" s="18" t="n">
        <v>0</v>
      </c>
      <c r="I3772" s="18" t="n">
        <f aca="false">((I3771 + G3772) - H3772)</f>
        <v>13317.88</v>
      </c>
      <c r="J3772" s="18" t="n">
        <v>0</v>
      </c>
      <c r="K3772" s="19" t="n">
        <v>0</v>
      </c>
      <c r="L3772" s="17"/>
    </row>
    <row r="3773" s="11" customFormat="true" ht="10.95" hidden="false" customHeight="true" outlineLevel="0" collapsed="false">
      <c r="A3773" s="16" t="n">
        <v>45382</v>
      </c>
      <c r="B3773" s="17" t="s">
        <v>1788</v>
      </c>
      <c r="C3773" s="17" t="s">
        <v>1593</v>
      </c>
      <c r="D3773" s="17"/>
      <c r="E3773" s="17" t="s">
        <v>1905</v>
      </c>
      <c r="F3773" s="17"/>
      <c r="G3773" s="18" t="n">
        <v>409.93</v>
      </c>
      <c r="H3773" s="18" t="n">
        <v>0</v>
      </c>
      <c r="I3773" s="18" t="n">
        <f aca="false">((I3772 + G3773) - H3773)</f>
        <v>13727.81</v>
      </c>
      <c r="J3773" s="18" t="n">
        <v>0</v>
      </c>
      <c r="K3773" s="19" t="n">
        <v>0</v>
      </c>
      <c r="L3773" s="17"/>
    </row>
    <row r="3774" s="11" customFormat="true" ht="10.95" hidden="false" customHeight="true" outlineLevel="0" collapsed="false">
      <c r="A3774" s="16" t="n">
        <v>45382</v>
      </c>
      <c r="B3774" s="17" t="s">
        <v>1788</v>
      </c>
      <c r="C3774" s="17" t="s">
        <v>1593</v>
      </c>
      <c r="D3774" s="17"/>
      <c r="E3774" s="17" t="s">
        <v>1906</v>
      </c>
      <c r="F3774" s="17"/>
      <c r="G3774" s="18" t="n">
        <v>77.96</v>
      </c>
      <c r="H3774" s="18" t="n">
        <v>0</v>
      </c>
      <c r="I3774" s="18" t="n">
        <f aca="false">((I3773 + G3774) - H3774)</f>
        <v>13805.77</v>
      </c>
      <c r="J3774" s="18" t="n">
        <v>0</v>
      </c>
      <c r="K3774" s="19" t="n">
        <v>0</v>
      </c>
      <c r="L3774" s="17"/>
    </row>
    <row r="3775" s="11" customFormat="true" ht="10.95" hidden="false" customHeight="true" outlineLevel="0" collapsed="false">
      <c r="A3775" s="16" t="n">
        <v>45382</v>
      </c>
      <c r="B3775" s="17" t="s">
        <v>1788</v>
      </c>
      <c r="C3775" s="17" t="s">
        <v>1593</v>
      </c>
      <c r="D3775" s="17"/>
      <c r="E3775" s="17" t="s">
        <v>1907</v>
      </c>
      <c r="F3775" s="17"/>
      <c r="G3775" s="18" t="n">
        <v>178.17</v>
      </c>
      <c r="H3775" s="18" t="n">
        <v>0</v>
      </c>
      <c r="I3775" s="18" t="n">
        <f aca="false">((I3774 + G3775) - H3775)</f>
        <v>13983.94</v>
      </c>
      <c r="J3775" s="18" t="n">
        <v>0</v>
      </c>
      <c r="K3775" s="19" t="n">
        <v>0</v>
      </c>
      <c r="L3775" s="17"/>
    </row>
    <row r="3776" s="11" customFormat="true" ht="10.95" hidden="false" customHeight="true" outlineLevel="0" collapsed="false">
      <c r="A3776" s="16" t="n">
        <v>45382</v>
      </c>
      <c r="B3776" s="17" t="s">
        <v>1788</v>
      </c>
      <c r="C3776" s="17" t="s">
        <v>1593</v>
      </c>
      <c r="D3776" s="17"/>
      <c r="E3776" s="17" t="s">
        <v>1908</v>
      </c>
      <c r="F3776" s="17"/>
      <c r="G3776" s="18" t="n">
        <v>9.75</v>
      </c>
      <c r="H3776" s="18" t="n">
        <v>0</v>
      </c>
      <c r="I3776" s="18" t="n">
        <f aca="false">((I3775 + G3776) - H3776)</f>
        <v>13993.69</v>
      </c>
      <c r="J3776" s="18" t="n">
        <v>0</v>
      </c>
      <c r="K3776" s="19" t="n">
        <v>0</v>
      </c>
      <c r="L3776" s="17"/>
    </row>
    <row r="3777" s="11" customFormat="true" ht="10.95" hidden="false" customHeight="true" outlineLevel="0" collapsed="false">
      <c r="A3777" s="16" t="n">
        <v>45382</v>
      </c>
      <c r="B3777" s="17" t="s">
        <v>1788</v>
      </c>
      <c r="C3777" s="17" t="s">
        <v>1593</v>
      </c>
      <c r="D3777" s="17"/>
      <c r="E3777" s="17" t="s">
        <v>1909</v>
      </c>
      <c r="F3777" s="17"/>
      <c r="G3777" s="18" t="n">
        <v>12.74</v>
      </c>
      <c r="H3777" s="18" t="n">
        <v>0</v>
      </c>
      <c r="I3777" s="18" t="n">
        <f aca="false">((I3776 + G3777) - H3777)</f>
        <v>14006.43</v>
      </c>
      <c r="J3777" s="18" t="n">
        <v>0</v>
      </c>
      <c r="K3777" s="19" t="n">
        <v>0</v>
      </c>
      <c r="L3777" s="17"/>
    </row>
    <row r="3778" s="11" customFormat="true" ht="10.95" hidden="false" customHeight="true" outlineLevel="0" collapsed="false">
      <c r="A3778" s="16" t="n">
        <v>45382</v>
      </c>
      <c r="B3778" s="17" t="s">
        <v>1788</v>
      </c>
      <c r="C3778" s="17" t="s">
        <v>1593</v>
      </c>
      <c r="D3778" s="17"/>
      <c r="E3778" s="17" t="s">
        <v>1910</v>
      </c>
      <c r="F3778" s="17"/>
      <c r="G3778" s="18" t="n">
        <v>10.4</v>
      </c>
      <c r="H3778" s="18" t="n">
        <v>0</v>
      </c>
      <c r="I3778" s="18" t="n">
        <f aca="false">((I3777 + G3778) - H3778)</f>
        <v>14016.83</v>
      </c>
      <c r="J3778" s="18" t="n">
        <v>0</v>
      </c>
      <c r="K3778" s="19" t="n">
        <v>0</v>
      </c>
      <c r="L3778" s="17"/>
    </row>
    <row r="3779" s="11" customFormat="true" ht="10.95" hidden="false" customHeight="true" outlineLevel="0" collapsed="false">
      <c r="A3779" s="16" t="n">
        <v>45382</v>
      </c>
      <c r="B3779" s="17" t="s">
        <v>1788</v>
      </c>
      <c r="C3779" s="17" t="s">
        <v>1593</v>
      </c>
      <c r="D3779" s="17"/>
      <c r="E3779" s="17" t="s">
        <v>1911</v>
      </c>
      <c r="F3779" s="17"/>
      <c r="G3779" s="18" t="n">
        <v>75.28</v>
      </c>
      <c r="H3779" s="18" t="n">
        <v>0</v>
      </c>
      <c r="I3779" s="18" t="n">
        <f aca="false">((I3778 + G3779) - H3779)</f>
        <v>14092.11</v>
      </c>
      <c r="J3779" s="18" t="n">
        <v>0</v>
      </c>
      <c r="K3779" s="19" t="n">
        <v>0</v>
      </c>
      <c r="L3779" s="17"/>
    </row>
    <row r="3780" s="11" customFormat="true" ht="10.95" hidden="false" customHeight="true" outlineLevel="0" collapsed="false">
      <c r="A3780" s="16" t="n">
        <v>45382</v>
      </c>
      <c r="B3780" s="17" t="s">
        <v>1788</v>
      </c>
      <c r="C3780" s="17" t="s">
        <v>1593</v>
      </c>
      <c r="D3780" s="17"/>
      <c r="E3780" s="17" t="s">
        <v>1912</v>
      </c>
      <c r="F3780" s="17"/>
      <c r="G3780" s="18" t="n">
        <v>13.9</v>
      </c>
      <c r="H3780" s="18" t="n">
        <v>0</v>
      </c>
      <c r="I3780" s="18" t="n">
        <f aca="false">((I3779 + G3780) - H3780)</f>
        <v>14106.01</v>
      </c>
      <c r="J3780" s="18" t="n">
        <v>0</v>
      </c>
      <c r="K3780" s="19" t="n">
        <v>0</v>
      </c>
      <c r="L3780" s="17"/>
    </row>
    <row r="3781" s="11" customFormat="true" ht="10.95" hidden="false" customHeight="true" outlineLevel="0" collapsed="false">
      <c r="A3781" s="16" t="n">
        <v>45382</v>
      </c>
      <c r="B3781" s="17" t="s">
        <v>1788</v>
      </c>
      <c r="C3781" s="17" t="s">
        <v>1593</v>
      </c>
      <c r="D3781" s="17"/>
      <c r="E3781" s="17" t="s">
        <v>1913</v>
      </c>
      <c r="F3781" s="17"/>
      <c r="G3781" s="18" t="n">
        <v>10.47</v>
      </c>
      <c r="H3781" s="18" t="n">
        <v>0</v>
      </c>
      <c r="I3781" s="18" t="n">
        <f aca="false">((I3780 + G3781) - H3781)</f>
        <v>14116.48</v>
      </c>
      <c r="J3781" s="18" t="n">
        <v>0</v>
      </c>
      <c r="K3781" s="19" t="n">
        <v>0</v>
      </c>
      <c r="L3781" s="17"/>
    </row>
    <row r="3782" s="11" customFormat="true" ht="10.95" hidden="false" customHeight="true" outlineLevel="0" collapsed="false">
      <c r="A3782" s="16" t="n">
        <v>45382</v>
      </c>
      <c r="B3782" s="17" t="s">
        <v>1788</v>
      </c>
      <c r="C3782" s="17" t="s">
        <v>1593</v>
      </c>
      <c r="D3782" s="17"/>
      <c r="E3782" s="17" t="s">
        <v>1914</v>
      </c>
      <c r="F3782" s="17"/>
      <c r="G3782" s="18" t="n">
        <v>50.93</v>
      </c>
      <c r="H3782" s="18" t="n">
        <v>0</v>
      </c>
      <c r="I3782" s="18" t="n">
        <f aca="false">((I3781 + G3782) - H3782)</f>
        <v>14167.41</v>
      </c>
      <c r="J3782" s="18" t="n">
        <v>0</v>
      </c>
      <c r="K3782" s="19" t="n">
        <v>0</v>
      </c>
      <c r="L3782" s="17"/>
    </row>
    <row r="3783" s="11" customFormat="true" ht="10.95" hidden="false" customHeight="true" outlineLevel="0" collapsed="false">
      <c r="A3783" s="16" t="n">
        <v>45382</v>
      </c>
      <c r="B3783" s="17" t="s">
        <v>1788</v>
      </c>
      <c r="C3783" s="17" t="s">
        <v>1593</v>
      </c>
      <c r="D3783" s="17"/>
      <c r="E3783" s="17" t="s">
        <v>1915</v>
      </c>
      <c r="F3783" s="17"/>
      <c r="G3783" s="18" t="n">
        <v>113.55</v>
      </c>
      <c r="H3783" s="18" t="n">
        <v>0</v>
      </c>
      <c r="I3783" s="18" t="n">
        <f aca="false">((I3782 + G3783) - H3783)</f>
        <v>14280.96</v>
      </c>
      <c r="J3783" s="18" t="n">
        <v>0</v>
      </c>
      <c r="K3783" s="19" t="n">
        <v>0</v>
      </c>
      <c r="L3783" s="17"/>
    </row>
    <row r="3784" s="11" customFormat="true" ht="10.95" hidden="false" customHeight="true" outlineLevel="0" collapsed="false">
      <c r="A3784" s="16" t="n">
        <v>45382</v>
      </c>
      <c r="B3784" s="17" t="s">
        <v>1788</v>
      </c>
      <c r="C3784" s="17" t="s">
        <v>1593</v>
      </c>
      <c r="D3784" s="17"/>
      <c r="E3784" s="17" t="s">
        <v>1916</v>
      </c>
      <c r="F3784" s="17"/>
      <c r="G3784" s="18" t="n">
        <v>68.89</v>
      </c>
      <c r="H3784" s="18" t="n">
        <v>0</v>
      </c>
      <c r="I3784" s="18" t="n">
        <f aca="false">((I3783 + G3784) - H3784)</f>
        <v>14349.85</v>
      </c>
      <c r="J3784" s="18" t="n">
        <v>0</v>
      </c>
      <c r="K3784" s="19" t="n">
        <v>0</v>
      </c>
      <c r="L3784" s="17"/>
    </row>
    <row r="3785" s="11" customFormat="true" ht="10.95" hidden="false" customHeight="true" outlineLevel="0" collapsed="false">
      <c r="A3785" s="16" t="n">
        <v>45382</v>
      </c>
      <c r="B3785" s="17" t="s">
        <v>1788</v>
      </c>
      <c r="C3785" s="17" t="s">
        <v>1593</v>
      </c>
      <c r="D3785" s="17"/>
      <c r="E3785" s="17" t="s">
        <v>1917</v>
      </c>
      <c r="F3785" s="17"/>
      <c r="G3785" s="18" t="n">
        <v>18.74</v>
      </c>
      <c r="H3785" s="18" t="n">
        <v>0</v>
      </c>
      <c r="I3785" s="18" t="n">
        <f aca="false">((I3784 + G3785) - H3785)</f>
        <v>14368.59</v>
      </c>
      <c r="J3785" s="18" t="n">
        <v>0</v>
      </c>
      <c r="K3785" s="19" t="n">
        <v>0</v>
      </c>
      <c r="L3785" s="17"/>
    </row>
    <row r="3786" s="11" customFormat="true" ht="10.95" hidden="false" customHeight="true" outlineLevel="0" collapsed="false">
      <c r="A3786" s="16" t="n">
        <v>45382</v>
      </c>
      <c r="B3786" s="17" t="s">
        <v>1788</v>
      </c>
      <c r="C3786" s="17" t="s">
        <v>1593</v>
      </c>
      <c r="D3786" s="17"/>
      <c r="E3786" s="17" t="s">
        <v>1918</v>
      </c>
      <c r="F3786" s="17"/>
      <c r="G3786" s="18" t="n">
        <v>116.46</v>
      </c>
      <c r="H3786" s="18" t="n">
        <v>0</v>
      </c>
      <c r="I3786" s="18" t="n">
        <f aca="false">((I3785 + G3786) - H3786)</f>
        <v>14485.05</v>
      </c>
      <c r="J3786" s="18" t="n">
        <v>0</v>
      </c>
      <c r="K3786" s="19" t="n">
        <v>0</v>
      </c>
      <c r="L3786" s="17"/>
    </row>
    <row r="3787" s="11" customFormat="true" ht="10.95" hidden="false" customHeight="true" outlineLevel="0" collapsed="false">
      <c r="A3787" s="16" t="n">
        <v>45382</v>
      </c>
      <c r="B3787" s="17" t="s">
        <v>1788</v>
      </c>
      <c r="C3787" s="17" t="s">
        <v>1593</v>
      </c>
      <c r="D3787" s="17"/>
      <c r="E3787" s="17" t="s">
        <v>1919</v>
      </c>
      <c r="F3787" s="17"/>
      <c r="G3787" s="18" t="n">
        <v>69.15</v>
      </c>
      <c r="H3787" s="18" t="n">
        <v>0</v>
      </c>
      <c r="I3787" s="18" t="n">
        <f aca="false">((I3786 + G3787) - H3787)</f>
        <v>14554.2</v>
      </c>
      <c r="J3787" s="18" t="n">
        <v>0</v>
      </c>
      <c r="K3787" s="19" t="n">
        <v>0</v>
      </c>
      <c r="L3787" s="17"/>
    </row>
    <row r="3788" s="11" customFormat="true" ht="10.95" hidden="false" customHeight="true" outlineLevel="0" collapsed="false">
      <c r="A3788" s="16" t="n">
        <v>45382</v>
      </c>
      <c r="B3788" s="17" t="s">
        <v>1788</v>
      </c>
      <c r="C3788" s="17" t="s">
        <v>1593</v>
      </c>
      <c r="D3788" s="17"/>
      <c r="E3788" s="17" t="s">
        <v>1920</v>
      </c>
      <c r="F3788" s="17"/>
      <c r="G3788" s="18" t="n">
        <v>96.64</v>
      </c>
      <c r="H3788" s="18" t="n">
        <v>0</v>
      </c>
      <c r="I3788" s="18" t="n">
        <f aca="false">((I3787 + G3788) - H3788)</f>
        <v>14650.84</v>
      </c>
      <c r="J3788" s="18" t="n">
        <v>0</v>
      </c>
      <c r="K3788" s="19" t="n">
        <v>0</v>
      </c>
      <c r="L3788" s="17"/>
    </row>
    <row r="3789" s="11" customFormat="true" ht="10.95" hidden="false" customHeight="true" outlineLevel="0" collapsed="false">
      <c r="A3789" s="16" t="n">
        <v>45382</v>
      </c>
      <c r="B3789" s="17" t="s">
        <v>1788</v>
      </c>
      <c r="C3789" s="17" t="s">
        <v>1593</v>
      </c>
      <c r="D3789" s="17"/>
      <c r="E3789" s="17" t="s">
        <v>1921</v>
      </c>
      <c r="F3789" s="17"/>
      <c r="G3789" s="18" t="n">
        <v>21.41</v>
      </c>
      <c r="H3789" s="18" t="n">
        <v>0</v>
      </c>
      <c r="I3789" s="18" t="n">
        <f aca="false">((I3788 + G3789) - H3789)</f>
        <v>14672.25</v>
      </c>
      <c r="J3789" s="18" t="n">
        <v>0</v>
      </c>
      <c r="K3789" s="19" t="n">
        <v>0</v>
      </c>
      <c r="L3789" s="17"/>
    </row>
    <row r="3790" s="11" customFormat="true" ht="10.95" hidden="false" customHeight="true" outlineLevel="0" collapsed="false">
      <c r="A3790" s="16" t="n">
        <v>45382</v>
      </c>
      <c r="B3790" s="17" t="s">
        <v>1788</v>
      </c>
      <c r="C3790" s="17" t="s">
        <v>1593</v>
      </c>
      <c r="D3790" s="17"/>
      <c r="E3790" s="17" t="s">
        <v>1922</v>
      </c>
      <c r="F3790" s="17"/>
      <c r="G3790" s="18" t="n">
        <v>676.36</v>
      </c>
      <c r="H3790" s="18" t="n">
        <v>0</v>
      </c>
      <c r="I3790" s="18" t="n">
        <f aca="false">((I3789 + G3790) - H3790)</f>
        <v>15348.61</v>
      </c>
      <c r="J3790" s="18" t="n">
        <v>0</v>
      </c>
      <c r="K3790" s="19" t="n">
        <v>0</v>
      </c>
      <c r="L3790" s="17"/>
    </row>
    <row r="3791" s="11" customFormat="true" ht="10.95" hidden="false" customHeight="true" outlineLevel="0" collapsed="false">
      <c r="A3791" s="16" t="n">
        <v>45412</v>
      </c>
      <c r="B3791" s="17" t="s">
        <v>1788</v>
      </c>
      <c r="C3791" s="17" t="s">
        <v>1593</v>
      </c>
      <c r="D3791" s="17"/>
      <c r="E3791" s="17" t="s">
        <v>1923</v>
      </c>
      <c r="F3791" s="17"/>
      <c r="G3791" s="18" t="n">
        <v>304.52</v>
      </c>
      <c r="H3791" s="18" t="n">
        <v>0</v>
      </c>
      <c r="I3791" s="18" t="n">
        <f aca="false">((I3790 + G3791) - H3791)</f>
        <v>15653.13</v>
      </c>
      <c r="J3791" s="18" t="n">
        <v>0</v>
      </c>
      <c r="K3791" s="19" t="n">
        <v>0</v>
      </c>
      <c r="L3791" s="17"/>
    </row>
    <row r="3792" s="11" customFormat="true" ht="10.95" hidden="false" customHeight="true" outlineLevel="0" collapsed="false">
      <c r="A3792" s="16" t="n">
        <v>45412</v>
      </c>
      <c r="B3792" s="17" t="s">
        <v>1788</v>
      </c>
      <c r="C3792" s="17" t="s">
        <v>1593</v>
      </c>
      <c r="D3792" s="17"/>
      <c r="E3792" s="17" t="s">
        <v>1924</v>
      </c>
      <c r="F3792" s="17"/>
      <c r="G3792" s="18" t="n">
        <v>396.71</v>
      </c>
      <c r="H3792" s="18" t="n">
        <v>0</v>
      </c>
      <c r="I3792" s="18" t="n">
        <f aca="false">((I3791 + G3792) - H3792)</f>
        <v>16049.84</v>
      </c>
      <c r="J3792" s="18" t="n">
        <v>0</v>
      </c>
      <c r="K3792" s="19" t="n">
        <v>0</v>
      </c>
      <c r="L3792" s="17"/>
    </row>
    <row r="3793" s="11" customFormat="true" ht="10.95" hidden="false" customHeight="true" outlineLevel="0" collapsed="false">
      <c r="A3793" s="16" t="n">
        <v>45412</v>
      </c>
      <c r="B3793" s="17" t="s">
        <v>1788</v>
      </c>
      <c r="C3793" s="17" t="s">
        <v>1593</v>
      </c>
      <c r="D3793" s="17"/>
      <c r="E3793" s="17" t="s">
        <v>1925</v>
      </c>
      <c r="F3793" s="17"/>
      <c r="G3793" s="18" t="n">
        <v>75.44</v>
      </c>
      <c r="H3793" s="18" t="n">
        <v>0</v>
      </c>
      <c r="I3793" s="18" t="n">
        <f aca="false">((I3792 + G3793) - H3793)</f>
        <v>16125.28</v>
      </c>
      <c r="J3793" s="18" t="n">
        <v>0</v>
      </c>
      <c r="K3793" s="19" t="n">
        <v>0</v>
      </c>
      <c r="L3793" s="17"/>
    </row>
    <row r="3794" s="11" customFormat="true" ht="10.95" hidden="false" customHeight="true" outlineLevel="0" collapsed="false">
      <c r="A3794" s="16" t="n">
        <v>45412</v>
      </c>
      <c r="B3794" s="17" t="s">
        <v>1788</v>
      </c>
      <c r="C3794" s="17" t="s">
        <v>1593</v>
      </c>
      <c r="D3794" s="17"/>
      <c r="E3794" s="17" t="s">
        <v>1926</v>
      </c>
      <c r="F3794" s="17"/>
      <c r="G3794" s="18" t="n">
        <v>172.42</v>
      </c>
      <c r="H3794" s="18" t="n">
        <v>0</v>
      </c>
      <c r="I3794" s="18" t="n">
        <f aca="false">((I3793 + G3794) - H3794)</f>
        <v>16297.7</v>
      </c>
      <c r="J3794" s="18" t="n">
        <v>0</v>
      </c>
      <c r="K3794" s="19" t="n">
        <v>0</v>
      </c>
      <c r="L3794" s="17"/>
    </row>
    <row r="3795" s="11" customFormat="true" ht="10.95" hidden="false" customHeight="true" outlineLevel="0" collapsed="false">
      <c r="A3795" s="16" t="n">
        <v>45412</v>
      </c>
      <c r="B3795" s="17" t="s">
        <v>1788</v>
      </c>
      <c r="C3795" s="17" t="s">
        <v>1593</v>
      </c>
      <c r="D3795" s="17"/>
      <c r="E3795" s="17" t="s">
        <v>1927</v>
      </c>
      <c r="F3795" s="17"/>
      <c r="G3795" s="18" t="n">
        <v>9.43</v>
      </c>
      <c r="H3795" s="18" t="n">
        <v>0</v>
      </c>
      <c r="I3795" s="18" t="n">
        <f aca="false">((I3794 + G3795) - H3795)</f>
        <v>16307.13</v>
      </c>
      <c r="J3795" s="18" t="n">
        <v>0</v>
      </c>
      <c r="K3795" s="19" t="n">
        <v>0</v>
      </c>
      <c r="L3795" s="17"/>
    </row>
    <row r="3796" s="11" customFormat="true" ht="10.95" hidden="false" customHeight="true" outlineLevel="0" collapsed="false">
      <c r="A3796" s="16" t="n">
        <v>45412</v>
      </c>
      <c r="B3796" s="17" t="s">
        <v>1788</v>
      </c>
      <c r="C3796" s="17" t="s">
        <v>1593</v>
      </c>
      <c r="D3796" s="17"/>
      <c r="E3796" s="17" t="s">
        <v>1928</v>
      </c>
      <c r="F3796" s="17"/>
      <c r="G3796" s="18" t="n">
        <v>12.32</v>
      </c>
      <c r="H3796" s="18" t="n">
        <v>0</v>
      </c>
      <c r="I3796" s="18" t="n">
        <f aca="false">((I3795 + G3796) - H3796)</f>
        <v>16319.45</v>
      </c>
      <c r="J3796" s="18" t="n">
        <v>0</v>
      </c>
      <c r="K3796" s="19" t="n">
        <v>0</v>
      </c>
      <c r="L3796" s="17"/>
    </row>
    <row r="3797" s="11" customFormat="true" ht="10.95" hidden="false" customHeight="true" outlineLevel="0" collapsed="false">
      <c r="A3797" s="16" t="n">
        <v>45412</v>
      </c>
      <c r="B3797" s="17" t="s">
        <v>1788</v>
      </c>
      <c r="C3797" s="17" t="s">
        <v>1593</v>
      </c>
      <c r="D3797" s="17"/>
      <c r="E3797" s="17" t="s">
        <v>1929</v>
      </c>
      <c r="F3797" s="17"/>
      <c r="G3797" s="18" t="n">
        <v>10.07</v>
      </c>
      <c r="H3797" s="18" t="n">
        <v>0</v>
      </c>
      <c r="I3797" s="18" t="n">
        <f aca="false">((I3796 + G3797) - H3797)</f>
        <v>16329.52</v>
      </c>
      <c r="J3797" s="18" t="n">
        <v>0</v>
      </c>
      <c r="K3797" s="19" t="n">
        <v>0</v>
      </c>
      <c r="L3797" s="17"/>
    </row>
    <row r="3798" s="11" customFormat="true" ht="10.95" hidden="false" customHeight="true" outlineLevel="0" collapsed="false">
      <c r="A3798" s="16" t="n">
        <v>45412</v>
      </c>
      <c r="B3798" s="17" t="s">
        <v>1788</v>
      </c>
      <c r="C3798" s="17" t="s">
        <v>1593</v>
      </c>
      <c r="D3798" s="17"/>
      <c r="E3798" s="17" t="s">
        <v>1930</v>
      </c>
      <c r="F3798" s="17"/>
      <c r="G3798" s="18" t="n">
        <v>72.85</v>
      </c>
      <c r="H3798" s="18" t="n">
        <v>0</v>
      </c>
      <c r="I3798" s="18" t="n">
        <f aca="false">((I3797 + G3798) - H3798)</f>
        <v>16402.37</v>
      </c>
      <c r="J3798" s="18" t="n">
        <v>0</v>
      </c>
      <c r="K3798" s="19" t="n">
        <v>0</v>
      </c>
      <c r="L3798" s="17"/>
    </row>
    <row r="3799" s="11" customFormat="true" ht="10.95" hidden="false" customHeight="true" outlineLevel="0" collapsed="false">
      <c r="A3799" s="16" t="n">
        <v>45412</v>
      </c>
      <c r="B3799" s="17" t="s">
        <v>1788</v>
      </c>
      <c r="C3799" s="17" t="s">
        <v>1593</v>
      </c>
      <c r="D3799" s="17"/>
      <c r="E3799" s="17" t="s">
        <v>1931</v>
      </c>
      <c r="F3799" s="17"/>
      <c r="G3799" s="18" t="n">
        <v>13.45</v>
      </c>
      <c r="H3799" s="18" t="n">
        <v>0</v>
      </c>
      <c r="I3799" s="18" t="n">
        <f aca="false">((I3798 + G3799) - H3799)</f>
        <v>16415.82</v>
      </c>
      <c r="J3799" s="18" t="n">
        <v>0</v>
      </c>
      <c r="K3799" s="19" t="n">
        <v>0</v>
      </c>
      <c r="L3799" s="17"/>
    </row>
    <row r="3800" s="11" customFormat="true" ht="10.95" hidden="false" customHeight="true" outlineLevel="0" collapsed="false">
      <c r="A3800" s="16" t="n">
        <v>45412</v>
      </c>
      <c r="B3800" s="17" t="s">
        <v>1788</v>
      </c>
      <c r="C3800" s="17" t="s">
        <v>1593</v>
      </c>
      <c r="D3800" s="17"/>
      <c r="E3800" s="17" t="s">
        <v>1932</v>
      </c>
      <c r="F3800" s="17"/>
      <c r="G3800" s="18" t="n">
        <v>10.13</v>
      </c>
      <c r="H3800" s="18" t="n">
        <v>0</v>
      </c>
      <c r="I3800" s="18" t="n">
        <f aca="false">((I3799 + G3800) - H3800)</f>
        <v>16425.95</v>
      </c>
      <c r="J3800" s="18" t="n">
        <v>0</v>
      </c>
      <c r="K3800" s="19" t="n">
        <v>0</v>
      </c>
      <c r="L3800" s="17"/>
    </row>
    <row r="3801" s="11" customFormat="true" ht="10.95" hidden="false" customHeight="true" outlineLevel="0" collapsed="false">
      <c r="A3801" s="16" t="n">
        <v>45412</v>
      </c>
      <c r="B3801" s="17" t="s">
        <v>1788</v>
      </c>
      <c r="C3801" s="17" t="s">
        <v>1593</v>
      </c>
      <c r="D3801" s="17"/>
      <c r="E3801" s="17" t="s">
        <v>1933</v>
      </c>
      <c r="F3801" s="17"/>
      <c r="G3801" s="18" t="n">
        <v>49.29</v>
      </c>
      <c r="H3801" s="18" t="n">
        <v>0</v>
      </c>
      <c r="I3801" s="18" t="n">
        <f aca="false">((I3800 + G3801) - H3801)</f>
        <v>16475.24</v>
      </c>
      <c r="J3801" s="18" t="n">
        <v>0</v>
      </c>
      <c r="K3801" s="19" t="n">
        <v>0</v>
      </c>
      <c r="L3801" s="17"/>
    </row>
    <row r="3802" s="11" customFormat="true" ht="10.95" hidden="false" customHeight="true" outlineLevel="0" collapsed="false">
      <c r="A3802" s="16" t="n">
        <v>45412</v>
      </c>
      <c r="B3802" s="17" t="s">
        <v>1788</v>
      </c>
      <c r="C3802" s="17" t="s">
        <v>1593</v>
      </c>
      <c r="D3802" s="17"/>
      <c r="E3802" s="17" t="s">
        <v>1934</v>
      </c>
      <c r="F3802" s="17"/>
      <c r="G3802" s="18" t="n">
        <v>109.89</v>
      </c>
      <c r="H3802" s="18" t="n">
        <v>0</v>
      </c>
      <c r="I3802" s="18" t="n">
        <f aca="false">((I3801 + G3802) - H3802)</f>
        <v>16585.13</v>
      </c>
      <c r="J3802" s="18" t="n">
        <v>0</v>
      </c>
      <c r="K3802" s="19" t="n">
        <v>0</v>
      </c>
      <c r="L3802" s="17"/>
    </row>
    <row r="3803" s="11" customFormat="true" ht="10.95" hidden="false" customHeight="true" outlineLevel="0" collapsed="false">
      <c r="A3803" s="16" t="n">
        <v>45412</v>
      </c>
      <c r="B3803" s="17" t="s">
        <v>1788</v>
      </c>
      <c r="C3803" s="17" t="s">
        <v>1593</v>
      </c>
      <c r="D3803" s="17"/>
      <c r="E3803" s="17" t="s">
        <v>1935</v>
      </c>
      <c r="F3803" s="17"/>
      <c r="G3803" s="18" t="n">
        <v>103.33</v>
      </c>
      <c r="H3803" s="18" t="n">
        <v>0</v>
      </c>
      <c r="I3803" s="18" t="n">
        <f aca="false">((I3802 + G3803) - H3803)</f>
        <v>16688.46</v>
      </c>
      <c r="J3803" s="18" t="n">
        <v>0</v>
      </c>
      <c r="K3803" s="19" t="n">
        <v>0</v>
      </c>
      <c r="L3803" s="17"/>
    </row>
    <row r="3804" s="11" customFormat="true" ht="10.95" hidden="false" customHeight="true" outlineLevel="0" collapsed="false">
      <c r="A3804" s="16" t="n">
        <v>45412</v>
      </c>
      <c r="B3804" s="17" t="s">
        <v>1788</v>
      </c>
      <c r="C3804" s="17" t="s">
        <v>1593</v>
      </c>
      <c r="D3804" s="17"/>
      <c r="E3804" s="17" t="s">
        <v>1936</v>
      </c>
      <c r="F3804" s="17"/>
      <c r="G3804" s="18" t="n">
        <v>37.48</v>
      </c>
      <c r="H3804" s="18" t="n">
        <v>0</v>
      </c>
      <c r="I3804" s="18" t="n">
        <f aca="false">((I3803 + G3804) - H3804)</f>
        <v>16725.94</v>
      </c>
      <c r="J3804" s="18" t="n">
        <v>0</v>
      </c>
      <c r="K3804" s="19" t="n">
        <v>0</v>
      </c>
      <c r="L3804" s="17"/>
    </row>
    <row r="3805" s="11" customFormat="true" ht="10.95" hidden="false" customHeight="true" outlineLevel="0" collapsed="false">
      <c r="A3805" s="16" t="n">
        <v>45412</v>
      </c>
      <c r="B3805" s="17" t="s">
        <v>1788</v>
      </c>
      <c r="C3805" s="17" t="s">
        <v>1593</v>
      </c>
      <c r="D3805" s="17"/>
      <c r="E3805" s="17" t="s">
        <v>1937</v>
      </c>
      <c r="F3805" s="17"/>
      <c r="G3805" s="18" t="n">
        <v>112.71</v>
      </c>
      <c r="H3805" s="18" t="n">
        <v>0</v>
      </c>
      <c r="I3805" s="18" t="n">
        <f aca="false">((I3804 + G3805) - H3805)</f>
        <v>16838.65</v>
      </c>
      <c r="J3805" s="18" t="n">
        <v>0</v>
      </c>
      <c r="K3805" s="19" t="n">
        <v>0</v>
      </c>
      <c r="L3805" s="17"/>
    </row>
    <row r="3806" s="11" customFormat="true" ht="10.95" hidden="false" customHeight="true" outlineLevel="0" collapsed="false">
      <c r="A3806" s="16" t="n">
        <v>45412</v>
      </c>
      <c r="B3806" s="17" t="s">
        <v>1788</v>
      </c>
      <c r="C3806" s="17" t="s">
        <v>1593</v>
      </c>
      <c r="D3806" s="17"/>
      <c r="E3806" s="17" t="s">
        <v>1938</v>
      </c>
      <c r="F3806" s="17"/>
      <c r="G3806" s="18" t="n">
        <v>66.92</v>
      </c>
      <c r="H3806" s="18" t="n">
        <v>0</v>
      </c>
      <c r="I3806" s="18" t="n">
        <f aca="false">((I3805 + G3806) - H3806)</f>
        <v>16905.57</v>
      </c>
      <c r="J3806" s="18" t="n">
        <v>0</v>
      </c>
      <c r="K3806" s="19" t="n">
        <v>0</v>
      </c>
      <c r="L3806" s="17"/>
    </row>
    <row r="3807" s="11" customFormat="true" ht="10.95" hidden="false" customHeight="true" outlineLevel="0" collapsed="false">
      <c r="A3807" s="16" t="n">
        <v>45412</v>
      </c>
      <c r="B3807" s="17" t="s">
        <v>1788</v>
      </c>
      <c r="C3807" s="17" t="s">
        <v>1593</v>
      </c>
      <c r="D3807" s="17"/>
      <c r="E3807" s="17" t="s">
        <v>1939</v>
      </c>
      <c r="F3807" s="17"/>
      <c r="G3807" s="18" t="n">
        <v>93.51</v>
      </c>
      <c r="H3807" s="18" t="n">
        <v>0</v>
      </c>
      <c r="I3807" s="18" t="n">
        <f aca="false">((I3806 + G3807) - H3807)</f>
        <v>16999.08</v>
      </c>
      <c r="J3807" s="18" t="n">
        <v>0</v>
      </c>
      <c r="K3807" s="19" t="n">
        <v>0</v>
      </c>
      <c r="L3807" s="17"/>
    </row>
    <row r="3808" s="11" customFormat="true" ht="10.95" hidden="false" customHeight="true" outlineLevel="0" collapsed="false">
      <c r="A3808" s="16" t="n">
        <v>45412</v>
      </c>
      <c r="B3808" s="17" t="s">
        <v>1788</v>
      </c>
      <c r="C3808" s="17" t="s">
        <v>1593</v>
      </c>
      <c r="D3808" s="17"/>
      <c r="E3808" s="17" t="s">
        <v>1940</v>
      </c>
      <c r="F3808" s="17"/>
      <c r="G3808" s="18" t="n">
        <v>20.72</v>
      </c>
      <c r="H3808" s="18" t="n">
        <v>0</v>
      </c>
      <c r="I3808" s="18" t="n">
        <f aca="false">((I3807 + G3808) - H3808)</f>
        <v>17019.8</v>
      </c>
      <c r="J3808" s="18" t="n">
        <v>0</v>
      </c>
      <c r="K3808" s="19" t="n">
        <v>0</v>
      </c>
      <c r="L3808" s="17"/>
    </row>
    <row r="3809" s="11" customFormat="true" ht="10.95" hidden="false" customHeight="true" outlineLevel="0" collapsed="false">
      <c r="A3809" s="16" t="n">
        <v>45412</v>
      </c>
      <c r="B3809" s="17" t="s">
        <v>1788</v>
      </c>
      <c r="C3809" s="17" t="s">
        <v>1593</v>
      </c>
      <c r="D3809" s="17"/>
      <c r="E3809" s="17" t="s">
        <v>1941</v>
      </c>
      <c r="F3809" s="17"/>
      <c r="G3809" s="18" t="n">
        <v>654.55</v>
      </c>
      <c r="H3809" s="18" t="n">
        <v>0</v>
      </c>
      <c r="I3809" s="18" t="n">
        <f aca="false">((I3808 + G3809) - H3809)</f>
        <v>17674.35</v>
      </c>
      <c r="J3809" s="18" t="n">
        <v>0</v>
      </c>
      <c r="K3809" s="19" t="n">
        <v>0</v>
      </c>
      <c r="L3809" s="17"/>
    </row>
    <row r="3810" s="11" customFormat="true" ht="10.95" hidden="false" customHeight="true" outlineLevel="0" collapsed="false">
      <c r="A3810" s="16" t="n">
        <v>45443</v>
      </c>
      <c r="B3810" s="17" t="s">
        <v>1788</v>
      </c>
      <c r="C3810" s="17" t="s">
        <v>1593</v>
      </c>
      <c r="D3810" s="17"/>
      <c r="E3810" s="17" t="s">
        <v>1942</v>
      </c>
      <c r="F3810" s="17"/>
      <c r="G3810" s="18" t="n">
        <v>314.67</v>
      </c>
      <c r="H3810" s="18" t="n">
        <v>0</v>
      </c>
      <c r="I3810" s="18" t="n">
        <f aca="false">((I3809 + G3810) - H3810)</f>
        <v>17989.02</v>
      </c>
      <c r="J3810" s="18" t="n">
        <v>0</v>
      </c>
      <c r="K3810" s="19" t="n">
        <v>0</v>
      </c>
      <c r="L3810" s="17"/>
    </row>
    <row r="3811" s="11" customFormat="true" ht="10.95" hidden="false" customHeight="true" outlineLevel="0" collapsed="false">
      <c r="A3811" s="16" t="n">
        <v>45443</v>
      </c>
      <c r="B3811" s="17" t="s">
        <v>1788</v>
      </c>
      <c r="C3811" s="17" t="s">
        <v>1593</v>
      </c>
      <c r="D3811" s="17"/>
      <c r="E3811" s="17" t="s">
        <v>1943</v>
      </c>
      <c r="F3811" s="17"/>
      <c r="G3811" s="18" t="n">
        <v>409.93</v>
      </c>
      <c r="H3811" s="18" t="n">
        <v>0</v>
      </c>
      <c r="I3811" s="18" t="n">
        <f aca="false">((I3810 + G3811) - H3811)</f>
        <v>18398.95</v>
      </c>
      <c r="J3811" s="18" t="n">
        <v>0</v>
      </c>
      <c r="K3811" s="19" t="n">
        <v>0</v>
      </c>
      <c r="L3811" s="17"/>
    </row>
    <row r="3812" s="11" customFormat="true" ht="10.95" hidden="false" customHeight="true" outlineLevel="0" collapsed="false">
      <c r="A3812" s="16" t="n">
        <v>45443</v>
      </c>
      <c r="B3812" s="17" t="s">
        <v>1788</v>
      </c>
      <c r="C3812" s="17" t="s">
        <v>1593</v>
      </c>
      <c r="D3812" s="17"/>
      <c r="E3812" s="17" t="s">
        <v>1944</v>
      </c>
      <c r="F3812" s="17"/>
      <c r="G3812" s="18" t="n">
        <v>77.96</v>
      </c>
      <c r="H3812" s="18" t="n">
        <v>0</v>
      </c>
      <c r="I3812" s="18" t="n">
        <f aca="false">((I3811 + G3812) - H3812)</f>
        <v>18476.91</v>
      </c>
      <c r="J3812" s="18" t="n">
        <v>0</v>
      </c>
      <c r="K3812" s="19" t="n">
        <v>0</v>
      </c>
      <c r="L3812" s="17"/>
    </row>
    <row r="3813" s="11" customFormat="true" ht="10.95" hidden="false" customHeight="true" outlineLevel="0" collapsed="false">
      <c r="A3813" s="16" t="n">
        <v>45443</v>
      </c>
      <c r="B3813" s="17" t="s">
        <v>1788</v>
      </c>
      <c r="C3813" s="17" t="s">
        <v>1593</v>
      </c>
      <c r="D3813" s="17"/>
      <c r="E3813" s="17" t="s">
        <v>1945</v>
      </c>
      <c r="F3813" s="17"/>
      <c r="G3813" s="18" t="n">
        <v>178.18</v>
      </c>
      <c r="H3813" s="18" t="n">
        <v>0</v>
      </c>
      <c r="I3813" s="18" t="n">
        <f aca="false">((I3812 + G3813) - H3813)</f>
        <v>18655.09</v>
      </c>
      <c r="J3813" s="18" t="n">
        <v>0</v>
      </c>
      <c r="K3813" s="19" t="n">
        <v>0</v>
      </c>
      <c r="L3813" s="17"/>
    </row>
    <row r="3814" s="11" customFormat="true" ht="10.95" hidden="false" customHeight="true" outlineLevel="0" collapsed="false">
      <c r="A3814" s="16" t="n">
        <v>45443</v>
      </c>
      <c r="B3814" s="17" t="s">
        <v>1788</v>
      </c>
      <c r="C3814" s="17" t="s">
        <v>1593</v>
      </c>
      <c r="D3814" s="17"/>
      <c r="E3814" s="17" t="s">
        <v>1946</v>
      </c>
      <c r="F3814" s="17"/>
      <c r="G3814" s="18" t="n">
        <v>9.74</v>
      </c>
      <c r="H3814" s="18" t="n">
        <v>0</v>
      </c>
      <c r="I3814" s="18" t="n">
        <f aca="false">((I3813 + G3814) - H3814)</f>
        <v>18664.83</v>
      </c>
      <c r="J3814" s="18" t="n">
        <v>0</v>
      </c>
      <c r="K3814" s="19" t="n">
        <v>0</v>
      </c>
      <c r="L3814" s="17"/>
    </row>
    <row r="3815" s="11" customFormat="true" ht="10.95" hidden="false" customHeight="true" outlineLevel="0" collapsed="false">
      <c r="A3815" s="16" t="n">
        <v>45443</v>
      </c>
      <c r="B3815" s="17" t="s">
        <v>1788</v>
      </c>
      <c r="C3815" s="17" t="s">
        <v>1593</v>
      </c>
      <c r="D3815" s="17"/>
      <c r="E3815" s="17" t="s">
        <v>1947</v>
      </c>
      <c r="F3815" s="17"/>
      <c r="G3815" s="18" t="n">
        <v>12.74</v>
      </c>
      <c r="H3815" s="18" t="n">
        <v>0</v>
      </c>
      <c r="I3815" s="18" t="n">
        <f aca="false">((I3814 + G3815) - H3815)</f>
        <v>18677.57</v>
      </c>
      <c r="J3815" s="18" t="n">
        <v>0</v>
      </c>
      <c r="K3815" s="19" t="n">
        <v>0</v>
      </c>
      <c r="L3815" s="17"/>
    </row>
    <row r="3816" s="11" customFormat="true" ht="10.95" hidden="false" customHeight="true" outlineLevel="0" collapsed="false">
      <c r="A3816" s="16" t="n">
        <v>45443</v>
      </c>
      <c r="B3816" s="17" t="s">
        <v>1788</v>
      </c>
      <c r="C3816" s="17" t="s">
        <v>1593</v>
      </c>
      <c r="D3816" s="17"/>
      <c r="E3816" s="17" t="s">
        <v>1948</v>
      </c>
      <c r="F3816" s="17"/>
      <c r="G3816" s="18" t="n">
        <v>10.41</v>
      </c>
      <c r="H3816" s="18" t="n">
        <v>0</v>
      </c>
      <c r="I3816" s="18" t="n">
        <f aca="false">((I3815 + G3816) - H3816)</f>
        <v>18687.98</v>
      </c>
      <c r="J3816" s="18" t="n">
        <v>0</v>
      </c>
      <c r="K3816" s="19" t="n">
        <v>0</v>
      </c>
      <c r="L3816" s="17"/>
    </row>
    <row r="3817" s="11" customFormat="true" ht="10.95" hidden="false" customHeight="true" outlineLevel="0" collapsed="false">
      <c r="A3817" s="16" t="n">
        <v>45443</v>
      </c>
      <c r="B3817" s="17" t="s">
        <v>1788</v>
      </c>
      <c r="C3817" s="17" t="s">
        <v>1593</v>
      </c>
      <c r="D3817" s="17"/>
      <c r="E3817" s="17" t="s">
        <v>1949</v>
      </c>
      <c r="F3817" s="17"/>
      <c r="G3817" s="18" t="n">
        <v>75.28</v>
      </c>
      <c r="H3817" s="18" t="n">
        <v>0</v>
      </c>
      <c r="I3817" s="18" t="n">
        <f aca="false">((I3816 + G3817) - H3817)</f>
        <v>18763.26</v>
      </c>
      <c r="J3817" s="18" t="n">
        <v>0</v>
      </c>
      <c r="K3817" s="19" t="n">
        <v>0</v>
      </c>
      <c r="L3817" s="17"/>
    </row>
    <row r="3818" s="11" customFormat="true" ht="10.95" hidden="false" customHeight="true" outlineLevel="0" collapsed="false">
      <c r="A3818" s="16" t="n">
        <v>45443</v>
      </c>
      <c r="B3818" s="17" t="s">
        <v>1788</v>
      </c>
      <c r="C3818" s="17" t="s">
        <v>1593</v>
      </c>
      <c r="D3818" s="17"/>
      <c r="E3818" s="17" t="s">
        <v>1950</v>
      </c>
      <c r="F3818" s="17"/>
      <c r="G3818" s="18" t="n">
        <v>13.91</v>
      </c>
      <c r="H3818" s="18" t="n">
        <v>0</v>
      </c>
      <c r="I3818" s="18" t="n">
        <f aca="false">((I3817 + G3818) - H3818)</f>
        <v>18777.17</v>
      </c>
      <c r="J3818" s="18" t="n">
        <v>0</v>
      </c>
      <c r="K3818" s="19" t="n">
        <v>0</v>
      </c>
      <c r="L3818" s="17"/>
    </row>
    <row r="3819" s="11" customFormat="true" ht="10.95" hidden="false" customHeight="true" outlineLevel="0" collapsed="false">
      <c r="A3819" s="16" t="n">
        <v>45443</v>
      </c>
      <c r="B3819" s="17" t="s">
        <v>1788</v>
      </c>
      <c r="C3819" s="17" t="s">
        <v>1593</v>
      </c>
      <c r="D3819" s="17"/>
      <c r="E3819" s="17" t="s">
        <v>1951</v>
      </c>
      <c r="F3819" s="17"/>
      <c r="G3819" s="18" t="n">
        <v>10.47</v>
      </c>
      <c r="H3819" s="18" t="n">
        <v>0</v>
      </c>
      <c r="I3819" s="18" t="n">
        <f aca="false">((I3818 + G3819) - H3819)</f>
        <v>18787.64</v>
      </c>
      <c r="J3819" s="18" t="n">
        <v>0</v>
      </c>
      <c r="K3819" s="19" t="n">
        <v>0</v>
      </c>
      <c r="L3819" s="17"/>
    </row>
    <row r="3820" s="11" customFormat="true" ht="10.95" hidden="false" customHeight="true" outlineLevel="0" collapsed="false">
      <c r="A3820" s="16" t="n">
        <v>45443</v>
      </c>
      <c r="B3820" s="17" t="s">
        <v>1788</v>
      </c>
      <c r="C3820" s="17" t="s">
        <v>1593</v>
      </c>
      <c r="D3820" s="17"/>
      <c r="E3820" s="17" t="s">
        <v>1952</v>
      </c>
      <c r="F3820" s="17"/>
      <c r="G3820" s="18" t="n">
        <v>50.94</v>
      </c>
      <c r="H3820" s="18" t="n">
        <v>0</v>
      </c>
      <c r="I3820" s="18" t="n">
        <f aca="false">((I3819 + G3820) - H3820)</f>
        <v>18838.58</v>
      </c>
      <c r="J3820" s="18" t="n">
        <v>0</v>
      </c>
      <c r="K3820" s="19" t="n">
        <v>0</v>
      </c>
      <c r="L3820" s="17"/>
    </row>
    <row r="3821" s="11" customFormat="true" ht="10.95" hidden="false" customHeight="true" outlineLevel="0" collapsed="false">
      <c r="A3821" s="16" t="n">
        <v>45443</v>
      </c>
      <c r="B3821" s="17" t="s">
        <v>1788</v>
      </c>
      <c r="C3821" s="17" t="s">
        <v>1593</v>
      </c>
      <c r="D3821" s="17"/>
      <c r="E3821" s="17" t="s">
        <v>1953</v>
      </c>
      <c r="F3821" s="17"/>
      <c r="G3821" s="18" t="n">
        <v>113.55</v>
      </c>
      <c r="H3821" s="18" t="n">
        <v>0</v>
      </c>
      <c r="I3821" s="18" t="n">
        <f aca="false">((I3820 + G3821) - H3821)</f>
        <v>18952.13</v>
      </c>
      <c r="J3821" s="18" t="n">
        <v>0</v>
      </c>
      <c r="K3821" s="19" t="n">
        <v>0</v>
      </c>
      <c r="L3821" s="17"/>
    </row>
    <row r="3822" s="11" customFormat="true" ht="10.95" hidden="false" customHeight="true" outlineLevel="0" collapsed="false">
      <c r="A3822" s="16" t="n">
        <v>45443</v>
      </c>
      <c r="B3822" s="17" t="s">
        <v>1788</v>
      </c>
      <c r="C3822" s="17" t="s">
        <v>1593</v>
      </c>
      <c r="D3822" s="17"/>
      <c r="E3822" s="17" t="s">
        <v>1954</v>
      </c>
      <c r="F3822" s="17"/>
      <c r="G3822" s="18" t="n">
        <v>106.77</v>
      </c>
      <c r="H3822" s="18" t="n">
        <v>0</v>
      </c>
      <c r="I3822" s="18" t="n">
        <f aca="false">((I3821 + G3822) - H3822)</f>
        <v>19058.9</v>
      </c>
      <c r="J3822" s="18" t="n">
        <v>0</v>
      </c>
      <c r="K3822" s="19" t="n">
        <v>0</v>
      </c>
      <c r="L3822" s="17"/>
    </row>
    <row r="3823" s="11" customFormat="true" ht="10.95" hidden="false" customHeight="true" outlineLevel="0" collapsed="false">
      <c r="A3823" s="16" t="n">
        <v>45443</v>
      </c>
      <c r="B3823" s="17" t="s">
        <v>1788</v>
      </c>
      <c r="C3823" s="17" t="s">
        <v>1593</v>
      </c>
      <c r="D3823" s="17"/>
      <c r="E3823" s="17" t="s">
        <v>1955</v>
      </c>
      <c r="F3823" s="17"/>
      <c r="G3823" s="18" t="n">
        <v>38.72</v>
      </c>
      <c r="H3823" s="18" t="n">
        <v>0</v>
      </c>
      <c r="I3823" s="18" t="n">
        <f aca="false">((I3822 + G3823) - H3823)</f>
        <v>19097.62</v>
      </c>
      <c r="J3823" s="18" t="n">
        <v>0</v>
      </c>
      <c r="K3823" s="19" t="n">
        <v>0</v>
      </c>
      <c r="L3823" s="17"/>
    </row>
    <row r="3824" s="11" customFormat="true" ht="10.95" hidden="false" customHeight="true" outlineLevel="0" collapsed="false">
      <c r="A3824" s="16" t="n">
        <v>45443</v>
      </c>
      <c r="B3824" s="17" t="s">
        <v>1788</v>
      </c>
      <c r="C3824" s="17" t="s">
        <v>1593</v>
      </c>
      <c r="D3824" s="17"/>
      <c r="E3824" s="17" t="s">
        <v>1956</v>
      </c>
      <c r="F3824" s="17"/>
      <c r="G3824" s="18" t="n">
        <v>116.46</v>
      </c>
      <c r="H3824" s="18" t="n">
        <v>0</v>
      </c>
      <c r="I3824" s="18" t="n">
        <f aca="false">((I3823 + G3824) - H3824)</f>
        <v>19214.08</v>
      </c>
      <c r="J3824" s="18" t="n">
        <v>0</v>
      </c>
      <c r="K3824" s="19" t="n">
        <v>0</v>
      </c>
      <c r="L3824" s="17"/>
    </row>
    <row r="3825" s="11" customFormat="true" ht="10.95" hidden="false" customHeight="true" outlineLevel="0" collapsed="false">
      <c r="A3825" s="16" t="n">
        <v>45443</v>
      </c>
      <c r="B3825" s="17" t="s">
        <v>1788</v>
      </c>
      <c r="C3825" s="17" t="s">
        <v>1593</v>
      </c>
      <c r="D3825" s="17"/>
      <c r="E3825" s="17" t="s">
        <v>1957</v>
      </c>
      <c r="F3825" s="17"/>
      <c r="G3825" s="18" t="n">
        <v>69.14</v>
      </c>
      <c r="H3825" s="18" t="n">
        <v>0</v>
      </c>
      <c r="I3825" s="18" t="n">
        <f aca="false">((I3824 + G3825) - H3825)</f>
        <v>19283.22</v>
      </c>
      <c r="J3825" s="18" t="n">
        <v>0</v>
      </c>
      <c r="K3825" s="19" t="n">
        <v>0</v>
      </c>
      <c r="L3825" s="17"/>
    </row>
    <row r="3826" s="11" customFormat="true" ht="10.95" hidden="false" customHeight="true" outlineLevel="0" collapsed="false">
      <c r="A3826" s="16" t="n">
        <v>45443</v>
      </c>
      <c r="B3826" s="17" t="s">
        <v>1788</v>
      </c>
      <c r="C3826" s="17" t="s">
        <v>1593</v>
      </c>
      <c r="D3826" s="17"/>
      <c r="E3826" s="17" t="s">
        <v>1958</v>
      </c>
      <c r="F3826" s="17"/>
      <c r="G3826" s="18" t="n">
        <v>96.64</v>
      </c>
      <c r="H3826" s="18" t="n">
        <v>0</v>
      </c>
      <c r="I3826" s="18" t="n">
        <f aca="false">((I3825 + G3826) - H3826)</f>
        <v>19379.86</v>
      </c>
      <c r="J3826" s="18" t="n">
        <v>0</v>
      </c>
      <c r="K3826" s="19" t="n">
        <v>0</v>
      </c>
      <c r="L3826" s="17"/>
    </row>
    <row r="3827" s="11" customFormat="true" ht="10.95" hidden="false" customHeight="true" outlineLevel="0" collapsed="false">
      <c r="A3827" s="16" t="n">
        <v>45443</v>
      </c>
      <c r="B3827" s="17" t="s">
        <v>1788</v>
      </c>
      <c r="C3827" s="17" t="s">
        <v>1593</v>
      </c>
      <c r="D3827" s="17"/>
      <c r="E3827" s="17" t="s">
        <v>1959</v>
      </c>
      <c r="F3827" s="17"/>
      <c r="G3827" s="18" t="n">
        <v>21.41</v>
      </c>
      <c r="H3827" s="18" t="n">
        <v>0</v>
      </c>
      <c r="I3827" s="18" t="n">
        <f aca="false">((I3826 + G3827) - H3827)</f>
        <v>19401.27</v>
      </c>
      <c r="J3827" s="18" t="n">
        <v>0</v>
      </c>
      <c r="K3827" s="19" t="n">
        <v>0</v>
      </c>
      <c r="L3827" s="17"/>
    </row>
    <row r="3828" s="11" customFormat="true" ht="10.95" hidden="false" customHeight="true" outlineLevel="0" collapsed="false">
      <c r="A3828" s="16" t="n">
        <v>45443</v>
      </c>
      <c r="B3828" s="17" t="s">
        <v>1788</v>
      </c>
      <c r="C3828" s="17" t="s">
        <v>1593</v>
      </c>
      <c r="D3828" s="17"/>
      <c r="E3828" s="17" t="s">
        <v>1960</v>
      </c>
      <c r="F3828" s="17"/>
      <c r="G3828" s="18" t="n">
        <v>676.36</v>
      </c>
      <c r="H3828" s="18" t="n">
        <v>0</v>
      </c>
      <c r="I3828" s="18" t="n">
        <f aca="false">((I3827 + G3828) - H3828)</f>
        <v>20077.63</v>
      </c>
      <c r="J3828" s="18" t="n">
        <v>0</v>
      </c>
      <c r="K3828" s="19" t="n">
        <v>0</v>
      </c>
      <c r="L3828" s="17"/>
    </row>
    <row r="3829" s="11" customFormat="true" ht="10.95" hidden="false" customHeight="true" outlineLevel="0" collapsed="false">
      <c r="A3829" s="16" t="n">
        <v>45473</v>
      </c>
      <c r="B3829" s="17" t="s">
        <v>1788</v>
      </c>
      <c r="C3829" s="17" t="s">
        <v>1593</v>
      </c>
      <c r="D3829" s="17"/>
      <c r="E3829" s="17" t="s">
        <v>1961</v>
      </c>
      <c r="F3829" s="17"/>
      <c r="G3829" s="18" t="n">
        <v>304.53</v>
      </c>
      <c r="H3829" s="18" t="n">
        <v>0</v>
      </c>
      <c r="I3829" s="18" t="n">
        <f aca="false">((I3828 + G3829) - H3829)</f>
        <v>20382.16</v>
      </c>
      <c r="J3829" s="18" t="n">
        <v>0</v>
      </c>
      <c r="K3829" s="19" t="n">
        <v>0</v>
      </c>
      <c r="L3829" s="17"/>
    </row>
    <row r="3830" s="11" customFormat="true" ht="10.95" hidden="false" customHeight="true" outlineLevel="0" collapsed="false">
      <c r="A3830" s="16" t="n">
        <v>45473</v>
      </c>
      <c r="B3830" s="17" t="s">
        <v>1788</v>
      </c>
      <c r="C3830" s="17" t="s">
        <v>1593</v>
      </c>
      <c r="D3830" s="17"/>
      <c r="E3830" s="17" t="s">
        <v>1962</v>
      </c>
      <c r="F3830" s="17"/>
      <c r="G3830" s="18" t="n">
        <v>396.7</v>
      </c>
      <c r="H3830" s="18" t="n">
        <v>0</v>
      </c>
      <c r="I3830" s="18" t="n">
        <f aca="false">((I3829 + G3830) - H3830)</f>
        <v>20778.86</v>
      </c>
      <c r="J3830" s="18" t="n">
        <v>0</v>
      </c>
      <c r="K3830" s="19" t="n">
        <v>0</v>
      </c>
      <c r="L3830" s="17"/>
    </row>
    <row r="3831" s="11" customFormat="true" ht="10.95" hidden="false" customHeight="true" outlineLevel="0" collapsed="false">
      <c r="A3831" s="16" t="n">
        <v>45473</v>
      </c>
      <c r="B3831" s="17" t="s">
        <v>1788</v>
      </c>
      <c r="C3831" s="17" t="s">
        <v>1593</v>
      </c>
      <c r="D3831" s="17"/>
      <c r="E3831" s="17" t="s">
        <v>1963</v>
      </c>
      <c r="F3831" s="17"/>
      <c r="G3831" s="18" t="n">
        <v>75.44</v>
      </c>
      <c r="H3831" s="18" t="n">
        <v>0</v>
      </c>
      <c r="I3831" s="18" t="n">
        <f aca="false">((I3830 + G3831) - H3831)</f>
        <v>20854.3</v>
      </c>
      <c r="J3831" s="18" t="n">
        <v>0</v>
      </c>
      <c r="K3831" s="19" t="n">
        <v>0</v>
      </c>
      <c r="L3831" s="17"/>
    </row>
    <row r="3832" s="11" customFormat="true" ht="10.95" hidden="false" customHeight="true" outlineLevel="0" collapsed="false">
      <c r="A3832" s="16" t="n">
        <v>45473</v>
      </c>
      <c r="B3832" s="17" t="s">
        <v>1788</v>
      </c>
      <c r="C3832" s="17" t="s">
        <v>1593</v>
      </c>
      <c r="D3832" s="17"/>
      <c r="E3832" s="17" t="s">
        <v>1964</v>
      </c>
      <c r="F3832" s="17"/>
      <c r="G3832" s="18" t="n">
        <v>172.42</v>
      </c>
      <c r="H3832" s="18" t="n">
        <v>0</v>
      </c>
      <c r="I3832" s="18" t="n">
        <f aca="false">((I3831 + G3832) - H3832)</f>
        <v>21026.72</v>
      </c>
      <c r="J3832" s="18" t="n">
        <v>0</v>
      </c>
      <c r="K3832" s="19" t="n">
        <v>0</v>
      </c>
      <c r="L3832" s="17"/>
    </row>
    <row r="3833" s="11" customFormat="true" ht="10.95" hidden="false" customHeight="true" outlineLevel="0" collapsed="false">
      <c r="A3833" s="16" t="n">
        <v>45473</v>
      </c>
      <c r="B3833" s="17" t="s">
        <v>1788</v>
      </c>
      <c r="C3833" s="17" t="s">
        <v>1593</v>
      </c>
      <c r="D3833" s="17"/>
      <c r="E3833" s="17" t="s">
        <v>1965</v>
      </c>
      <c r="F3833" s="17"/>
      <c r="G3833" s="18" t="n">
        <v>9.44</v>
      </c>
      <c r="H3833" s="18" t="n">
        <v>0</v>
      </c>
      <c r="I3833" s="18" t="n">
        <f aca="false">((I3832 + G3833) - H3833)</f>
        <v>21036.16</v>
      </c>
      <c r="J3833" s="18" t="n">
        <v>0</v>
      </c>
      <c r="K3833" s="19" t="n">
        <v>0</v>
      </c>
      <c r="L3833" s="17"/>
    </row>
    <row r="3834" s="11" customFormat="true" ht="10.95" hidden="false" customHeight="true" outlineLevel="0" collapsed="false">
      <c r="A3834" s="16" t="n">
        <v>45473</v>
      </c>
      <c r="B3834" s="17" t="s">
        <v>1788</v>
      </c>
      <c r="C3834" s="17" t="s">
        <v>1593</v>
      </c>
      <c r="D3834" s="17"/>
      <c r="E3834" s="17" t="s">
        <v>1966</v>
      </c>
      <c r="F3834" s="17"/>
      <c r="G3834" s="18" t="n">
        <v>12.32</v>
      </c>
      <c r="H3834" s="18" t="n">
        <v>0</v>
      </c>
      <c r="I3834" s="18" t="n">
        <f aca="false">((I3833 + G3834) - H3834)</f>
        <v>21048.48</v>
      </c>
      <c r="J3834" s="18" t="n">
        <v>0</v>
      </c>
      <c r="K3834" s="19" t="n">
        <v>0</v>
      </c>
      <c r="L3834" s="17"/>
    </row>
    <row r="3835" s="11" customFormat="true" ht="10.95" hidden="false" customHeight="true" outlineLevel="0" collapsed="false">
      <c r="A3835" s="16" t="n">
        <v>45473</v>
      </c>
      <c r="B3835" s="17" t="s">
        <v>1788</v>
      </c>
      <c r="C3835" s="17" t="s">
        <v>1593</v>
      </c>
      <c r="D3835" s="17"/>
      <c r="E3835" s="17" t="s">
        <v>1967</v>
      </c>
      <c r="F3835" s="17"/>
      <c r="G3835" s="18" t="n">
        <v>10.07</v>
      </c>
      <c r="H3835" s="18" t="n">
        <v>0</v>
      </c>
      <c r="I3835" s="18" t="n">
        <f aca="false">((I3834 + G3835) - H3835)</f>
        <v>21058.55</v>
      </c>
      <c r="J3835" s="18" t="n">
        <v>0</v>
      </c>
      <c r="K3835" s="19" t="n">
        <v>0</v>
      </c>
      <c r="L3835" s="17"/>
    </row>
    <row r="3836" s="11" customFormat="true" ht="10.95" hidden="false" customHeight="true" outlineLevel="0" collapsed="false">
      <c r="A3836" s="16" t="n">
        <v>45473</v>
      </c>
      <c r="B3836" s="17" t="s">
        <v>1788</v>
      </c>
      <c r="C3836" s="17" t="s">
        <v>1593</v>
      </c>
      <c r="D3836" s="17"/>
      <c r="E3836" s="17" t="s">
        <v>1968</v>
      </c>
      <c r="F3836" s="17"/>
      <c r="G3836" s="18" t="n">
        <v>72.85</v>
      </c>
      <c r="H3836" s="18" t="n">
        <v>0</v>
      </c>
      <c r="I3836" s="18" t="n">
        <f aca="false">((I3835 + G3836) - H3836)</f>
        <v>21131.4</v>
      </c>
      <c r="J3836" s="18" t="n">
        <v>0</v>
      </c>
      <c r="K3836" s="19" t="n">
        <v>0</v>
      </c>
      <c r="L3836" s="17"/>
    </row>
    <row r="3837" s="11" customFormat="true" ht="10.95" hidden="false" customHeight="true" outlineLevel="0" collapsed="false">
      <c r="A3837" s="16" t="n">
        <v>45473</v>
      </c>
      <c r="B3837" s="17" t="s">
        <v>1788</v>
      </c>
      <c r="C3837" s="17" t="s">
        <v>1593</v>
      </c>
      <c r="D3837" s="17"/>
      <c r="E3837" s="17" t="s">
        <v>1969</v>
      </c>
      <c r="F3837" s="17"/>
      <c r="G3837" s="18" t="n">
        <v>13.45</v>
      </c>
      <c r="H3837" s="18" t="n">
        <v>0</v>
      </c>
      <c r="I3837" s="18" t="n">
        <f aca="false">((I3836 + G3837) - H3837)</f>
        <v>21144.85</v>
      </c>
      <c r="J3837" s="18" t="n">
        <v>0</v>
      </c>
      <c r="K3837" s="19" t="n">
        <v>0</v>
      </c>
      <c r="L3837" s="17"/>
    </row>
    <row r="3838" s="11" customFormat="true" ht="10.95" hidden="false" customHeight="true" outlineLevel="0" collapsed="false">
      <c r="A3838" s="16" t="n">
        <v>45473</v>
      </c>
      <c r="B3838" s="17" t="s">
        <v>1788</v>
      </c>
      <c r="C3838" s="17" t="s">
        <v>1593</v>
      </c>
      <c r="D3838" s="17"/>
      <c r="E3838" s="17" t="s">
        <v>1970</v>
      </c>
      <c r="F3838" s="17"/>
      <c r="G3838" s="18" t="n">
        <v>10.13</v>
      </c>
      <c r="H3838" s="18" t="n">
        <v>0</v>
      </c>
      <c r="I3838" s="18" t="n">
        <f aca="false">((I3837 + G3838) - H3838)</f>
        <v>21154.98</v>
      </c>
      <c r="J3838" s="18" t="n">
        <v>0</v>
      </c>
      <c r="K3838" s="19" t="n">
        <v>0</v>
      </c>
      <c r="L3838" s="17"/>
    </row>
    <row r="3839" s="11" customFormat="true" ht="10.95" hidden="false" customHeight="true" outlineLevel="0" collapsed="false">
      <c r="A3839" s="16" t="n">
        <v>45473</v>
      </c>
      <c r="B3839" s="17" t="s">
        <v>1788</v>
      </c>
      <c r="C3839" s="17" t="s">
        <v>1593</v>
      </c>
      <c r="D3839" s="17"/>
      <c r="E3839" s="17" t="s">
        <v>1971</v>
      </c>
      <c r="F3839" s="17"/>
      <c r="G3839" s="18" t="n">
        <v>49.29</v>
      </c>
      <c r="H3839" s="18" t="n">
        <v>0</v>
      </c>
      <c r="I3839" s="18" t="n">
        <f aca="false">((I3838 + G3839) - H3839)</f>
        <v>21204.27</v>
      </c>
      <c r="J3839" s="18" t="n">
        <v>0</v>
      </c>
      <c r="K3839" s="19" t="n">
        <v>0</v>
      </c>
      <c r="L3839" s="17"/>
    </row>
    <row r="3840" s="11" customFormat="true" ht="10.95" hidden="false" customHeight="true" outlineLevel="0" collapsed="false">
      <c r="A3840" s="16" t="n">
        <v>45473</v>
      </c>
      <c r="B3840" s="17" t="s">
        <v>1788</v>
      </c>
      <c r="C3840" s="17" t="s">
        <v>1593</v>
      </c>
      <c r="D3840" s="17"/>
      <c r="E3840" s="17" t="s">
        <v>1972</v>
      </c>
      <c r="F3840" s="17"/>
      <c r="G3840" s="18" t="n">
        <v>109.89</v>
      </c>
      <c r="H3840" s="18" t="n">
        <v>0</v>
      </c>
      <c r="I3840" s="18" t="n">
        <f aca="false">((I3839 + G3840) - H3840)</f>
        <v>21314.16</v>
      </c>
      <c r="J3840" s="18" t="n">
        <v>0</v>
      </c>
      <c r="K3840" s="19" t="n">
        <v>0</v>
      </c>
      <c r="L3840" s="17"/>
    </row>
    <row r="3841" s="11" customFormat="true" ht="10.95" hidden="false" customHeight="true" outlineLevel="0" collapsed="false">
      <c r="A3841" s="16" t="n">
        <v>45473</v>
      </c>
      <c r="B3841" s="17" t="s">
        <v>1788</v>
      </c>
      <c r="C3841" s="17" t="s">
        <v>1593</v>
      </c>
      <c r="D3841" s="17"/>
      <c r="E3841" s="17" t="s">
        <v>1973</v>
      </c>
      <c r="F3841" s="17"/>
      <c r="G3841" s="18" t="n">
        <v>103.33</v>
      </c>
      <c r="H3841" s="18" t="n">
        <v>0</v>
      </c>
      <c r="I3841" s="18" t="n">
        <f aca="false">((I3840 + G3841) - H3841)</f>
        <v>21417.49</v>
      </c>
      <c r="J3841" s="18" t="n">
        <v>0</v>
      </c>
      <c r="K3841" s="19" t="n">
        <v>0</v>
      </c>
      <c r="L3841" s="17"/>
    </row>
    <row r="3842" s="11" customFormat="true" ht="10.95" hidden="false" customHeight="true" outlineLevel="0" collapsed="false">
      <c r="A3842" s="16" t="n">
        <v>45473</v>
      </c>
      <c r="B3842" s="17" t="s">
        <v>1788</v>
      </c>
      <c r="C3842" s="17" t="s">
        <v>1593</v>
      </c>
      <c r="D3842" s="17"/>
      <c r="E3842" s="17" t="s">
        <v>1974</v>
      </c>
      <c r="F3842" s="17"/>
      <c r="G3842" s="18" t="n">
        <v>37.48</v>
      </c>
      <c r="H3842" s="18" t="n">
        <v>0</v>
      </c>
      <c r="I3842" s="18" t="n">
        <f aca="false">((I3841 + G3842) - H3842)</f>
        <v>21454.97</v>
      </c>
      <c r="J3842" s="18" t="n">
        <v>0</v>
      </c>
      <c r="K3842" s="19" t="n">
        <v>0</v>
      </c>
      <c r="L3842" s="17"/>
    </row>
    <row r="3843" s="11" customFormat="true" ht="10.95" hidden="false" customHeight="true" outlineLevel="0" collapsed="false">
      <c r="A3843" s="16" t="n">
        <v>45473</v>
      </c>
      <c r="B3843" s="17" t="s">
        <v>1788</v>
      </c>
      <c r="C3843" s="17" t="s">
        <v>1593</v>
      </c>
      <c r="D3843" s="17"/>
      <c r="E3843" s="17" t="s">
        <v>1975</v>
      </c>
      <c r="F3843" s="17"/>
      <c r="G3843" s="18" t="n">
        <v>112.7</v>
      </c>
      <c r="H3843" s="18" t="n">
        <v>0</v>
      </c>
      <c r="I3843" s="18" t="n">
        <f aca="false">((I3842 + G3843) - H3843)</f>
        <v>21567.67</v>
      </c>
      <c r="J3843" s="18" t="n">
        <v>0</v>
      </c>
      <c r="K3843" s="19" t="n">
        <v>0</v>
      </c>
      <c r="L3843" s="17"/>
    </row>
    <row r="3844" s="11" customFormat="true" ht="10.95" hidden="false" customHeight="true" outlineLevel="0" collapsed="false">
      <c r="A3844" s="16" t="n">
        <v>45473</v>
      </c>
      <c r="B3844" s="17" t="s">
        <v>1788</v>
      </c>
      <c r="C3844" s="17" t="s">
        <v>1593</v>
      </c>
      <c r="D3844" s="17"/>
      <c r="E3844" s="17" t="s">
        <v>1976</v>
      </c>
      <c r="F3844" s="17"/>
      <c r="G3844" s="18" t="n">
        <v>66.92</v>
      </c>
      <c r="H3844" s="18" t="n">
        <v>0</v>
      </c>
      <c r="I3844" s="18" t="n">
        <f aca="false">((I3843 + G3844) - H3844)</f>
        <v>21634.59</v>
      </c>
      <c r="J3844" s="18" t="n">
        <v>0</v>
      </c>
      <c r="K3844" s="19" t="n">
        <v>0</v>
      </c>
      <c r="L3844" s="17"/>
    </row>
    <row r="3845" s="11" customFormat="true" ht="10.95" hidden="false" customHeight="true" outlineLevel="0" collapsed="false">
      <c r="A3845" s="16" t="n">
        <v>45473</v>
      </c>
      <c r="B3845" s="17" t="s">
        <v>1788</v>
      </c>
      <c r="C3845" s="17" t="s">
        <v>1593</v>
      </c>
      <c r="D3845" s="17"/>
      <c r="E3845" s="17" t="s">
        <v>1977</v>
      </c>
      <c r="F3845" s="17"/>
      <c r="G3845" s="18" t="n">
        <v>93.51</v>
      </c>
      <c r="H3845" s="18" t="n">
        <v>0</v>
      </c>
      <c r="I3845" s="18" t="n">
        <f aca="false">((I3844 + G3845) - H3845)</f>
        <v>21728.1</v>
      </c>
      <c r="J3845" s="18" t="n">
        <v>0</v>
      </c>
      <c r="K3845" s="19" t="n">
        <v>0</v>
      </c>
      <c r="L3845" s="17"/>
    </row>
    <row r="3846" s="11" customFormat="true" ht="10.95" hidden="false" customHeight="true" outlineLevel="0" collapsed="false">
      <c r="A3846" s="16" t="n">
        <v>45473</v>
      </c>
      <c r="B3846" s="17" t="s">
        <v>1788</v>
      </c>
      <c r="C3846" s="17" t="s">
        <v>1593</v>
      </c>
      <c r="D3846" s="17"/>
      <c r="E3846" s="17" t="s">
        <v>1978</v>
      </c>
      <c r="F3846" s="17"/>
      <c r="G3846" s="18" t="n">
        <v>9.71</v>
      </c>
      <c r="H3846" s="18" t="n">
        <v>0</v>
      </c>
      <c r="I3846" s="18" t="n">
        <f aca="false">((I3845 + G3846) - H3846)</f>
        <v>21737.81</v>
      </c>
      <c r="J3846" s="18" t="n">
        <v>0</v>
      </c>
      <c r="K3846" s="19" t="n">
        <v>0</v>
      </c>
      <c r="L3846" s="17"/>
    </row>
    <row r="3847" s="11" customFormat="true" ht="10.95" hidden="false" customHeight="true" outlineLevel="0" collapsed="false">
      <c r="A3847" s="16" t="n">
        <v>45473</v>
      </c>
      <c r="B3847" s="17" t="s">
        <v>1788</v>
      </c>
      <c r="C3847" s="17" t="s">
        <v>1593</v>
      </c>
      <c r="D3847" s="17"/>
      <c r="E3847" s="17" t="s">
        <v>1979</v>
      </c>
      <c r="F3847" s="17"/>
      <c r="G3847" s="18" t="n">
        <v>20.72</v>
      </c>
      <c r="H3847" s="18" t="n">
        <v>0</v>
      </c>
      <c r="I3847" s="18" t="n">
        <f aca="false">((I3846 + G3847) - H3847)</f>
        <v>21758.53</v>
      </c>
      <c r="J3847" s="18" t="n">
        <v>0</v>
      </c>
      <c r="K3847" s="19" t="n">
        <v>0</v>
      </c>
      <c r="L3847" s="17"/>
    </row>
    <row r="3848" s="11" customFormat="true" ht="10.95" hidden="false" customHeight="true" outlineLevel="0" collapsed="false">
      <c r="A3848" s="16" t="n">
        <v>45473</v>
      </c>
      <c r="B3848" s="17" t="s">
        <v>1788</v>
      </c>
      <c r="C3848" s="17" t="s">
        <v>1593</v>
      </c>
      <c r="D3848" s="17"/>
      <c r="E3848" s="17" t="s">
        <v>1980</v>
      </c>
      <c r="F3848" s="17"/>
      <c r="G3848" s="18" t="n">
        <v>654.55</v>
      </c>
      <c r="H3848" s="18" t="n">
        <v>0</v>
      </c>
      <c r="I3848" s="18" t="n">
        <f aca="false">((I3847 + G3848) - H3848)</f>
        <v>22413.08</v>
      </c>
      <c r="J3848" s="18" t="n">
        <v>0</v>
      </c>
      <c r="K3848" s="19" t="n">
        <v>0</v>
      </c>
      <c r="L3848" s="17"/>
    </row>
    <row r="3849" s="11" customFormat="true" ht="10.95" hidden="false" customHeight="true" outlineLevel="0" collapsed="false">
      <c r="A3849" s="16" t="n">
        <v>45473</v>
      </c>
      <c r="B3849" s="17" t="s">
        <v>1788</v>
      </c>
      <c r="C3849" s="17" t="s">
        <v>1593</v>
      </c>
      <c r="D3849" s="17"/>
      <c r="E3849" s="17" t="s">
        <v>1981</v>
      </c>
      <c r="F3849" s="17"/>
      <c r="G3849" s="18" t="n">
        <v>75.92</v>
      </c>
      <c r="H3849" s="18" t="n">
        <v>0</v>
      </c>
      <c r="I3849" s="18" t="n">
        <f aca="false">((I3848 + G3849) - H3849)</f>
        <v>22489</v>
      </c>
      <c r="J3849" s="18" t="n">
        <v>0</v>
      </c>
      <c r="K3849" s="19" t="n">
        <v>0</v>
      </c>
      <c r="L3849" s="17"/>
    </row>
    <row r="3850" s="11" customFormat="true" ht="10.95" hidden="false" customHeight="true" outlineLevel="0" collapsed="false">
      <c r="A3850" s="21" t="s">
        <v>1982</v>
      </c>
      <c r="B3850" s="21"/>
      <c r="C3850" s="21"/>
      <c r="D3850" s="21"/>
      <c r="E3850" s="21"/>
      <c r="F3850" s="21"/>
      <c r="G3850" s="22" t="n">
        <f aca="false">SUM(G3657:G3849)</f>
        <v>22489</v>
      </c>
      <c r="H3850" s="22" t="n">
        <f aca="false">SUM(H3657:H3849)</f>
        <v>0</v>
      </c>
      <c r="I3850" s="22" t="n">
        <f aca="false">I3849</f>
        <v>22489</v>
      </c>
      <c r="J3850" s="22" t="n">
        <f aca="false">SUM(J3657:J3849)</f>
        <v>0</v>
      </c>
      <c r="K3850" s="21"/>
      <c r="L3850" s="21"/>
    </row>
    <row r="3851" s="11" customFormat="true" ht="10.95" hidden="false" customHeight="true" outlineLevel="0" collapsed="false">
      <c r="A3851" s="21" t="s">
        <v>784</v>
      </c>
      <c r="B3851" s="21"/>
      <c r="C3851" s="21"/>
      <c r="D3851" s="21"/>
      <c r="E3851" s="21"/>
      <c r="F3851" s="21"/>
      <c r="G3851" s="22" t="n">
        <v>22489</v>
      </c>
      <c r="H3851" s="22" t="n">
        <v>0</v>
      </c>
      <c r="I3851" s="22" t="n">
        <v>0</v>
      </c>
      <c r="J3851" s="22" t="n">
        <v>0</v>
      </c>
      <c r="K3851" s="21"/>
      <c r="L3851" s="21"/>
    </row>
    <row r="3852" s="11" customFormat="true" ht="10.95" hidden="false" customHeight="true" outlineLevel="0" collapsed="false">
      <c r="A3852" s="9" t="s">
        <v>785</v>
      </c>
      <c r="B3852" s="9"/>
      <c r="C3852" s="9"/>
      <c r="D3852" s="9"/>
      <c r="E3852" s="9"/>
      <c r="F3852" s="9"/>
      <c r="G3852" s="10" t="n">
        <v>22489</v>
      </c>
      <c r="H3852" s="10" t="n">
        <v>0</v>
      </c>
      <c r="I3852" s="10" t="n">
        <f aca="false">I3849</f>
        <v>22489</v>
      </c>
      <c r="J3852" s="10" t="n">
        <v>0</v>
      </c>
      <c r="K3852" s="9"/>
      <c r="L3852" s="9"/>
    </row>
    <row r="3853" customFormat="false" ht="13.35" hidden="false" customHeight="true" outlineLevel="0" collapsed="false"/>
    <row r="3854" s="7" customFormat="true" ht="12.1" hidden="false" customHeight="true" outlineLevel="0" collapsed="false">
      <c r="A3854" s="8" t="s">
        <v>1983</v>
      </c>
      <c r="B3854" s="8"/>
      <c r="C3854" s="8"/>
      <c r="D3854" s="8"/>
      <c r="E3854" s="8"/>
      <c r="F3854" s="8"/>
      <c r="G3854" s="8"/>
      <c r="H3854" s="8"/>
      <c r="I3854" s="8"/>
      <c r="J3854" s="8"/>
      <c r="K3854" s="8"/>
      <c r="L3854" s="8"/>
    </row>
    <row r="3855" s="11" customFormat="true" ht="10.95" hidden="false" customHeight="true" outlineLevel="0" collapsed="false">
      <c r="A3855" s="9" t="s">
        <v>16</v>
      </c>
      <c r="B3855" s="9"/>
      <c r="C3855" s="9"/>
      <c r="D3855" s="9"/>
      <c r="E3855" s="9"/>
      <c r="F3855" s="9"/>
      <c r="G3855" s="10" t="n">
        <v>0</v>
      </c>
      <c r="H3855" s="10" t="n">
        <v>0</v>
      </c>
      <c r="I3855" s="10" t="n">
        <f aca="false">(G3855 - H3855)</f>
        <v>0</v>
      </c>
      <c r="J3855" s="10" t="n">
        <v>0</v>
      </c>
      <c r="K3855" s="9"/>
      <c r="L3855" s="9"/>
    </row>
    <row r="3856" s="11" customFormat="true" ht="10.95" hidden="false" customHeight="true" outlineLevel="0" collapsed="false">
      <c r="A3856" s="12" t="n">
        <v>45132</v>
      </c>
      <c r="B3856" s="13" t="s">
        <v>1984</v>
      </c>
      <c r="C3856" s="13" t="s">
        <v>1593</v>
      </c>
      <c r="D3856" s="13" t="s">
        <v>1407</v>
      </c>
      <c r="E3856" s="13" t="s">
        <v>1985</v>
      </c>
      <c r="F3856" s="13"/>
      <c r="G3856" s="14" t="n">
        <v>440</v>
      </c>
      <c r="H3856" s="14" t="n">
        <v>0</v>
      </c>
      <c r="I3856" s="14" t="n">
        <f aca="false">((I3855 + G3856) - H3856)</f>
        <v>440</v>
      </c>
      <c r="J3856" s="14" t="n">
        <v>0</v>
      </c>
      <c r="K3856" s="15" t="n">
        <v>0</v>
      </c>
      <c r="L3856" s="13" t="s">
        <v>1406</v>
      </c>
    </row>
    <row r="3857" s="11" customFormat="true" ht="10.95" hidden="false" customHeight="true" outlineLevel="0" collapsed="false">
      <c r="A3857" s="16" t="n">
        <v>45136</v>
      </c>
      <c r="B3857" s="17" t="s">
        <v>1984</v>
      </c>
      <c r="C3857" s="17" t="s">
        <v>1593</v>
      </c>
      <c r="D3857" s="17" t="s">
        <v>1407</v>
      </c>
      <c r="E3857" s="17" t="s">
        <v>1986</v>
      </c>
      <c r="F3857" s="17"/>
      <c r="G3857" s="18" t="n">
        <v>56.15</v>
      </c>
      <c r="H3857" s="18" t="n">
        <v>0</v>
      </c>
      <c r="I3857" s="18" t="n">
        <f aca="false">((I3856 + G3857) - H3857)</f>
        <v>496.15</v>
      </c>
      <c r="J3857" s="18" t="n">
        <v>0</v>
      </c>
      <c r="K3857" s="19" t="n">
        <v>0</v>
      </c>
      <c r="L3857" s="17" t="s">
        <v>1406</v>
      </c>
    </row>
    <row r="3858" s="11" customFormat="true" ht="10.95" hidden="false" customHeight="true" outlineLevel="0" collapsed="false">
      <c r="A3858" s="16" t="n">
        <v>45157</v>
      </c>
      <c r="B3858" s="17" t="s">
        <v>1984</v>
      </c>
      <c r="C3858" s="17" t="s">
        <v>1593</v>
      </c>
      <c r="D3858" s="17" t="s">
        <v>1407</v>
      </c>
      <c r="E3858" s="17" t="s">
        <v>1987</v>
      </c>
      <c r="F3858" s="17"/>
      <c r="G3858" s="18" t="n">
        <v>713.15</v>
      </c>
      <c r="H3858" s="18" t="n">
        <v>0</v>
      </c>
      <c r="I3858" s="18" t="n">
        <f aca="false">((I3857 + G3858) - H3858)</f>
        <v>1209.3</v>
      </c>
      <c r="J3858" s="18" t="n">
        <v>71.32</v>
      </c>
      <c r="K3858" s="19" t="n">
        <v>10</v>
      </c>
      <c r="L3858" s="17" t="s">
        <v>44</v>
      </c>
    </row>
    <row r="3859" s="11" customFormat="true" ht="10.95" hidden="false" customHeight="true" outlineLevel="0" collapsed="false">
      <c r="A3859" s="16" t="n">
        <v>45181</v>
      </c>
      <c r="B3859" s="17" t="s">
        <v>1984</v>
      </c>
      <c r="C3859" s="17" t="s">
        <v>1593</v>
      </c>
      <c r="D3859" s="17" t="s">
        <v>1407</v>
      </c>
      <c r="E3859" s="17" t="s">
        <v>1988</v>
      </c>
      <c r="F3859" s="17"/>
      <c r="G3859" s="18" t="n">
        <v>472.03</v>
      </c>
      <c r="H3859" s="18" t="n">
        <v>0</v>
      </c>
      <c r="I3859" s="18" t="n">
        <f aca="false">((I3858 + G3859) - H3859)</f>
        <v>1681.33</v>
      </c>
      <c r="J3859" s="18" t="n">
        <v>47.2</v>
      </c>
      <c r="K3859" s="19" t="n">
        <v>10</v>
      </c>
      <c r="L3859" s="17" t="s">
        <v>44</v>
      </c>
    </row>
    <row r="3860" s="11" customFormat="true" ht="10.95" hidden="false" customHeight="true" outlineLevel="0" collapsed="false">
      <c r="A3860" s="16" t="n">
        <v>45182</v>
      </c>
      <c r="B3860" s="17" t="s">
        <v>1984</v>
      </c>
      <c r="C3860" s="17" t="s">
        <v>1593</v>
      </c>
      <c r="D3860" s="17" t="s">
        <v>1407</v>
      </c>
      <c r="E3860" s="17" t="s">
        <v>1989</v>
      </c>
      <c r="F3860" s="17"/>
      <c r="G3860" s="18" t="n">
        <v>168.62</v>
      </c>
      <c r="H3860" s="18" t="n">
        <v>0</v>
      </c>
      <c r="I3860" s="18" t="n">
        <f aca="false">((I3859 + G3860) - H3860)</f>
        <v>1849.95</v>
      </c>
      <c r="J3860" s="18" t="n">
        <v>16.86</v>
      </c>
      <c r="K3860" s="19" t="n">
        <v>10</v>
      </c>
      <c r="L3860" s="17" t="s">
        <v>44</v>
      </c>
    </row>
    <row r="3861" s="11" customFormat="true" ht="10.95" hidden="false" customHeight="true" outlineLevel="0" collapsed="false">
      <c r="A3861" s="16" t="n">
        <v>45227</v>
      </c>
      <c r="B3861" s="17" t="s">
        <v>1984</v>
      </c>
      <c r="C3861" s="17" t="s">
        <v>1593</v>
      </c>
      <c r="D3861" s="17" t="s">
        <v>1407</v>
      </c>
      <c r="E3861" s="17" t="s">
        <v>1990</v>
      </c>
      <c r="F3861" s="17"/>
      <c r="G3861" s="18" t="n">
        <v>289.09</v>
      </c>
      <c r="H3861" s="18" t="n">
        <v>0</v>
      </c>
      <c r="I3861" s="18" t="n">
        <f aca="false">((I3860 + G3861) - H3861)</f>
        <v>2139.04</v>
      </c>
      <c r="J3861" s="18" t="n">
        <v>28.91</v>
      </c>
      <c r="K3861" s="19" t="n">
        <v>10</v>
      </c>
      <c r="L3861" s="17" t="s">
        <v>44</v>
      </c>
    </row>
    <row r="3862" s="11" customFormat="true" ht="10.95" hidden="false" customHeight="true" outlineLevel="0" collapsed="false">
      <c r="A3862" s="16" t="n">
        <v>45241</v>
      </c>
      <c r="B3862" s="17" t="s">
        <v>1984</v>
      </c>
      <c r="C3862" s="17" t="s">
        <v>1593</v>
      </c>
      <c r="D3862" s="17" t="s">
        <v>1407</v>
      </c>
      <c r="E3862" s="17" t="s">
        <v>1991</v>
      </c>
      <c r="F3862" s="17"/>
      <c r="G3862" s="18" t="n">
        <v>324.58</v>
      </c>
      <c r="H3862" s="18" t="n">
        <v>0</v>
      </c>
      <c r="I3862" s="18" t="n">
        <f aca="false">((I3861 + G3862) - H3862)</f>
        <v>2463.62</v>
      </c>
      <c r="J3862" s="18" t="n">
        <v>32.46</v>
      </c>
      <c r="K3862" s="19" t="n">
        <v>10</v>
      </c>
      <c r="L3862" s="17" t="s">
        <v>44</v>
      </c>
    </row>
    <row r="3863" s="11" customFormat="true" ht="10.95" hidden="false" customHeight="true" outlineLevel="0" collapsed="false">
      <c r="A3863" s="16" t="n">
        <v>45272</v>
      </c>
      <c r="B3863" s="17" t="s">
        <v>1984</v>
      </c>
      <c r="C3863" s="17" t="s">
        <v>1593</v>
      </c>
      <c r="D3863" s="17" t="s">
        <v>1407</v>
      </c>
      <c r="E3863" s="17" t="s">
        <v>1992</v>
      </c>
      <c r="F3863" s="17"/>
      <c r="G3863" s="18" t="n">
        <v>837.74</v>
      </c>
      <c r="H3863" s="18" t="n">
        <v>0</v>
      </c>
      <c r="I3863" s="18" t="n">
        <f aca="false">((I3862 + G3863) - H3863)</f>
        <v>3301.36</v>
      </c>
      <c r="J3863" s="18" t="n">
        <v>83.77</v>
      </c>
      <c r="K3863" s="19" t="n">
        <v>10</v>
      </c>
      <c r="L3863" s="17" t="s">
        <v>44</v>
      </c>
    </row>
    <row r="3864" s="11" customFormat="true" ht="10.95" hidden="false" customHeight="true" outlineLevel="0" collapsed="false">
      <c r="A3864" s="16" t="n">
        <v>45288</v>
      </c>
      <c r="B3864" s="17" t="s">
        <v>1984</v>
      </c>
      <c r="C3864" s="17" t="s">
        <v>1593</v>
      </c>
      <c r="D3864" s="17" t="s">
        <v>1407</v>
      </c>
      <c r="E3864" s="17" t="s">
        <v>1993</v>
      </c>
      <c r="F3864" s="17"/>
      <c r="G3864" s="18" t="n">
        <v>90.91</v>
      </c>
      <c r="H3864" s="18" t="n">
        <v>0</v>
      </c>
      <c r="I3864" s="18" t="n">
        <f aca="false">((I3863 + G3864) - H3864)</f>
        <v>3392.27</v>
      </c>
      <c r="J3864" s="18" t="n">
        <v>9.09</v>
      </c>
      <c r="K3864" s="19" t="n">
        <v>10</v>
      </c>
      <c r="L3864" s="17" t="s">
        <v>44</v>
      </c>
    </row>
    <row r="3865" s="11" customFormat="true" ht="10.95" hidden="false" customHeight="true" outlineLevel="0" collapsed="false">
      <c r="A3865" s="16" t="n">
        <v>45309</v>
      </c>
      <c r="B3865" s="17" t="s">
        <v>1984</v>
      </c>
      <c r="C3865" s="17" t="s">
        <v>1593</v>
      </c>
      <c r="D3865" s="17" t="s">
        <v>1407</v>
      </c>
      <c r="E3865" s="17" t="s">
        <v>1994</v>
      </c>
      <c r="F3865" s="17"/>
      <c r="G3865" s="18" t="n">
        <v>100</v>
      </c>
      <c r="H3865" s="18" t="n">
        <v>0</v>
      </c>
      <c r="I3865" s="18" t="n">
        <f aca="false">((I3864 + G3865) - H3865)</f>
        <v>3492.27</v>
      </c>
      <c r="J3865" s="18" t="n">
        <v>0</v>
      </c>
      <c r="K3865" s="19" t="n">
        <v>0</v>
      </c>
      <c r="L3865" s="17" t="s">
        <v>1406</v>
      </c>
    </row>
    <row r="3866" s="11" customFormat="true" ht="10.95" hidden="false" customHeight="true" outlineLevel="0" collapsed="false">
      <c r="A3866" s="16" t="n">
        <v>45359</v>
      </c>
      <c r="B3866" s="17" t="s">
        <v>1984</v>
      </c>
      <c r="C3866" s="17" t="s">
        <v>1593</v>
      </c>
      <c r="D3866" s="17" t="s">
        <v>1407</v>
      </c>
      <c r="E3866" s="17" t="s">
        <v>1995</v>
      </c>
      <c r="F3866" s="17"/>
      <c r="G3866" s="18" t="n">
        <v>156.91</v>
      </c>
      <c r="H3866" s="18" t="n">
        <v>0</v>
      </c>
      <c r="I3866" s="18" t="n">
        <f aca="false">((I3865 + G3866) - H3866)</f>
        <v>3649.18</v>
      </c>
      <c r="J3866" s="18" t="n">
        <v>15.69</v>
      </c>
      <c r="K3866" s="19" t="n">
        <v>10</v>
      </c>
      <c r="L3866" s="17" t="s">
        <v>44</v>
      </c>
    </row>
    <row r="3867" s="11" customFormat="true" ht="10.95" hidden="false" customHeight="true" outlineLevel="0" collapsed="false">
      <c r="A3867" s="16" t="n">
        <v>45360</v>
      </c>
      <c r="B3867" s="17" t="s">
        <v>1984</v>
      </c>
      <c r="C3867" s="17" t="s">
        <v>1593</v>
      </c>
      <c r="D3867" s="17" t="s">
        <v>1407</v>
      </c>
      <c r="E3867" s="17" t="s">
        <v>1996</v>
      </c>
      <c r="F3867" s="17"/>
      <c r="G3867" s="18" t="n">
        <v>203.55</v>
      </c>
      <c r="H3867" s="18" t="n">
        <v>0</v>
      </c>
      <c r="I3867" s="18" t="n">
        <f aca="false">((I3866 + G3867) - H3867)</f>
        <v>3852.73</v>
      </c>
      <c r="J3867" s="18" t="n">
        <v>20.36</v>
      </c>
      <c r="K3867" s="19" t="n">
        <v>10</v>
      </c>
      <c r="L3867" s="17" t="s">
        <v>44</v>
      </c>
    </row>
    <row r="3868" s="11" customFormat="true" ht="10.95" hidden="false" customHeight="true" outlineLevel="0" collapsed="false">
      <c r="A3868" s="16" t="n">
        <v>45360</v>
      </c>
      <c r="B3868" s="17" t="s">
        <v>1984</v>
      </c>
      <c r="C3868" s="17" t="s">
        <v>1593</v>
      </c>
      <c r="D3868" s="17" t="s">
        <v>1407</v>
      </c>
      <c r="E3868" s="17" t="s">
        <v>1997</v>
      </c>
      <c r="F3868" s="17"/>
      <c r="G3868" s="18" t="n">
        <v>223.12</v>
      </c>
      <c r="H3868" s="18" t="n">
        <v>0</v>
      </c>
      <c r="I3868" s="18" t="n">
        <f aca="false">((I3867 + G3868) - H3868)</f>
        <v>4075.85</v>
      </c>
      <c r="J3868" s="18" t="n">
        <v>22.31</v>
      </c>
      <c r="K3868" s="19" t="n">
        <v>10</v>
      </c>
      <c r="L3868" s="17" t="s">
        <v>44</v>
      </c>
    </row>
    <row r="3869" s="11" customFormat="true" ht="10.95" hidden="false" customHeight="true" outlineLevel="0" collapsed="false">
      <c r="A3869" s="16" t="n">
        <v>45363</v>
      </c>
      <c r="B3869" s="17" t="s">
        <v>1984</v>
      </c>
      <c r="C3869" s="17" t="s">
        <v>1593</v>
      </c>
      <c r="D3869" s="17" t="s">
        <v>1407</v>
      </c>
      <c r="E3869" s="17" t="s">
        <v>1998</v>
      </c>
      <c r="F3869" s="17"/>
      <c r="G3869" s="18" t="n">
        <v>316.49</v>
      </c>
      <c r="H3869" s="18" t="n">
        <v>0</v>
      </c>
      <c r="I3869" s="18" t="n">
        <f aca="false">((I3868 + G3869) - H3869)</f>
        <v>4392.34</v>
      </c>
      <c r="J3869" s="18" t="n">
        <v>0</v>
      </c>
      <c r="K3869" s="19" t="n">
        <v>0</v>
      </c>
      <c r="L3869" s="17" t="s">
        <v>1406</v>
      </c>
    </row>
    <row r="3870" s="11" customFormat="true" ht="10.95" hidden="false" customHeight="true" outlineLevel="0" collapsed="false">
      <c r="A3870" s="16" t="n">
        <v>45363</v>
      </c>
      <c r="B3870" s="17" t="s">
        <v>1984</v>
      </c>
      <c r="C3870" s="17" t="s">
        <v>1593</v>
      </c>
      <c r="D3870" s="17" t="s">
        <v>1407</v>
      </c>
      <c r="E3870" s="17" t="s">
        <v>1999</v>
      </c>
      <c r="F3870" s="17"/>
      <c r="G3870" s="18" t="n">
        <v>25.31</v>
      </c>
      <c r="H3870" s="18" t="n">
        <v>0</v>
      </c>
      <c r="I3870" s="18" t="n">
        <f aca="false">((I3869 + G3870) - H3870)</f>
        <v>4417.65</v>
      </c>
      <c r="J3870" s="18" t="n">
        <v>0</v>
      </c>
      <c r="K3870" s="19" t="n">
        <v>0</v>
      </c>
      <c r="L3870" s="17" t="s">
        <v>1406</v>
      </c>
    </row>
    <row r="3871" s="11" customFormat="true" ht="10.95" hidden="false" customHeight="true" outlineLevel="0" collapsed="false">
      <c r="A3871" s="16" t="n">
        <v>45396</v>
      </c>
      <c r="B3871" s="17" t="s">
        <v>1984</v>
      </c>
      <c r="C3871" s="17" t="s">
        <v>1593</v>
      </c>
      <c r="D3871" s="17" t="s">
        <v>1407</v>
      </c>
      <c r="E3871" s="17" t="s">
        <v>1999</v>
      </c>
      <c r="F3871" s="17"/>
      <c r="G3871" s="18" t="n">
        <v>55.78</v>
      </c>
      <c r="H3871" s="18" t="n">
        <v>0</v>
      </c>
      <c r="I3871" s="18" t="n">
        <f aca="false">((I3870 + G3871) - H3871)</f>
        <v>4473.43</v>
      </c>
      <c r="J3871" s="18" t="n">
        <v>0</v>
      </c>
      <c r="K3871" s="19" t="n">
        <v>0</v>
      </c>
      <c r="L3871" s="17" t="s">
        <v>1406</v>
      </c>
    </row>
    <row r="3872" s="11" customFormat="true" ht="10.95" hidden="false" customHeight="true" outlineLevel="0" collapsed="false">
      <c r="A3872" s="16" t="n">
        <v>45434</v>
      </c>
      <c r="B3872" s="17" t="s">
        <v>1984</v>
      </c>
      <c r="C3872" s="17" t="s">
        <v>1593</v>
      </c>
      <c r="D3872" s="17" t="s">
        <v>1407</v>
      </c>
      <c r="E3872" s="17" t="s">
        <v>2000</v>
      </c>
      <c r="F3872" s="17"/>
      <c r="G3872" s="18" t="n">
        <v>320.72</v>
      </c>
      <c r="H3872" s="18" t="n">
        <v>0</v>
      </c>
      <c r="I3872" s="18" t="n">
        <f aca="false">((I3871 + G3872) - H3872)</f>
        <v>4794.15</v>
      </c>
      <c r="J3872" s="18" t="n">
        <v>32.07</v>
      </c>
      <c r="K3872" s="19" t="n">
        <v>10</v>
      </c>
      <c r="L3872" s="17" t="s">
        <v>44</v>
      </c>
    </row>
    <row r="3873" s="11" customFormat="true" ht="10.95" hidden="false" customHeight="true" outlineLevel="0" collapsed="false">
      <c r="A3873" s="16" t="n">
        <v>45454</v>
      </c>
      <c r="B3873" s="17" t="s">
        <v>1984</v>
      </c>
      <c r="C3873" s="17" t="s">
        <v>1593</v>
      </c>
      <c r="D3873" s="17" t="s">
        <v>1407</v>
      </c>
      <c r="E3873" s="17" t="s">
        <v>2001</v>
      </c>
      <c r="F3873" s="17"/>
      <c r="G3873" s="18" t="n">
        <v>371.86</v>
      </c>
      <c r="H3873" s="18" t="n">
        <v>0</v>
      </c>
      <c r="I3873" s="18" t="n">
        <f aca="false">((I3872 + G3873) - H3873)</f>
        <v>5166.01</v>
      </c>
      <c r="J3873" s="18" t="n">
        <v>37.19</v>
      </c>
      <c r="K3873" s="19" t="n">
        <v>10</v>
      </c>
      <c r="L3873" s="17" t="s">
        <v>44</v>
      </c>
    </row>
    <row r="3874" s="11" customFormat="true" ht="10.95" hidden="false" customHeight="true" outlineLevel="0" collapsed="false">
      <c r="A3874" s="16" t="n">
        <v>45471</v>
      </c>
      <c r="B3874" s="17" t="s">
        <v>1984</v>
      </c>
      <c r="C3874" s="17" t="s">
        <v>1593</v>
      </c>
      <c r="D3874" s="17" t="s">
        <v>1407</v>
      </c>
      <c r="E3874" s="17" t="s">
        <v>2002</v>
      </c>
      <c r="F3874" s="17"/>
      <c r="G3874" s="18" t="n">
        <v>198.97</v>
      </c>
      <c r="H3874" s="18" t="n">
        <v>0</v>
      </c>
      <c r="I3874" s="18" t="n">
        <f aca="false">((I3873 + G3874) - H3874)</f>
        <v>5364.98</v>
      </c>
      <c r="J3874" s="18" t="n">
        <v>19.9</v>
      </c>
      <c r="K3874" s="19" t="n">
        <v>10</v>
      </c>
      <c r="L3874" s="17" t="s">
        <v>44</v>
      </c>
    </row>
    <row r="3875" s="11" customFormat="true" ht="10.95" hidden="false" customHeight="true" outlineLevel="0" collapsed="false">
      <c r="A3875" s="16" t="n">
        <v>45473</v>
      </c>
      <c r="B3875" s="17" t="s">
        <v>1984</v>
      </c>
      <c r="C3875" s="17" t="s">
        <v>1593</v>
      </c>
      <c r="D3875" s="17" t="s">
        <v>1396</v>
      </c>
      <c r="E3875" s="17" t="s">
        <v>2003</v>
      </c>
      <c r="F3875" s="17" t="s">
        <v>2004</v>
      </c>
      <c r="G3875" s="18" t="n">
        <v>437.13</v>
      </c>
      <c r="H3875" s="18" t="n">
        <v>0</v>
      </c>
      <c r="I3875" s="18" t="n">
        <f aca="false">((I3874 + G3875) - H3875)</f>
        <v>5802.11</v>
      </c>
      <c r="J3875" s="18" t="n">
        <v>0</v>
      </c>
      <c r="K3875" s="19" t="n">
        <v>0</v>
      </c>
      <c r="L3875" s="17" t="s">
        <v>1399</v>
      </c>
    </row>
    <row r="3876" s="11" customFormat="true" ht="10.95" hidden="false" customHeight="true" outlineLevel="0" collapsed="false">
      <c r="A3876" s="21" t="s">
        <v>2005</v>
      </c>
      <c r="B3876" s="21"/>
      <c r="C3876" s="21"/>
      <c r="D3876" s="21"/>
      <c r="E3876" s="21"/>
      <c r="F3876" s="21"/>
      <c r="G3876" s="22" t="n">
        <f aca="false">SUM(G3856:G3875)</f>
        <v>5802.11</v>
      </c>
      <c r="H3876" s="22" t="n">
        <f aca="false">SUM(H3856:H3875)</f>
        <v>0</v>
      </c>
      <c r="I3876" s="22" t="n">
        <f aca="false">I3875</f>
        <v>5802.11</v>
      </c>
      <c r="J3876" s="22" t="n">
        <f aca="false">SUM(J3856:J3875)</f>
        <v>437.13</v>
      </c>
      <c r="K3876" s="21"/>
      <c r="L3876" s="21"/>
    </row>
    <row r="3877" s="11" customFormat="true" ht="10.95" hidden="false" customHeight="true" outlineLevel="0" collapsed="false">
      <c r="A3877" s="21" t="s">
        <v>784</v>
      </c>
      <c r="B3877" s="21"/>
      <c r="C3877" s="21"/>
      <c r="D3877" s="21"/>
      <c r="E3877" s="21"/>
      <c r="F3877" s="21"/>
      <c r="G3877" s="22" t="n">
        <v>5802.11</v>
      </c>
      <c r="H3877" s="22" t="n">
        <v>0</v>
      </c>
      <c r="I3877" s="22" t="n">
        <v>0</v>
      </c>
      <c r="J3877" s="22" t="n">
        <v>0</v>
      </c>
      <c r="K3877" s="21"/>
      <c r="L3877" s="21"/>
    </row>
    <row r="3878" s="11" customFormat="true" ht="10.95" hidden="false" customHeight="true" outlineLevel="0" collapsed="false">
      <c r="A3878" s="9" t="s">
        <v>785</v>
      </c>
      <c r="B3878" s="9"/>
      <c r="C3878" s="9"/>
      <c r="D3878" s="9"/>
      <c r="E3878" s="9"/>
      <c r="F3878" s="9"/>
      <c r="G3878" s="10" t="n">
        <v>5802.11</v>
      </c>
      <c r="H3878" s="10" t="n">
        <v>0</v>
      </c>
      <c r="I3878" s="10" t="n">
        <f aca="false">I3875</f>
        <v>5802.11</v>
      </c>
      <c r="J3878" s="10" t="n">
        <v>0</v>
      </c>
      <c r="K3878" s="9"/>
      <c r="L3878" s="9"/>
    </row>
    <row r="3879" customFormat="false" ht="13.35" hidden="false" customHeight="true" outlineLevel="0" collapsed="false"/>
    <row r="3880" s="7" customFormat="true" ht="12.1" hidden="false" customHeight="true" outlineLevel="0" collapsed="false">
      <c r="A3880" s="8" t="s">
        <v>2006</v>
      </c>
      <c r="B3880" s="8"/>
      <c r="C3880" s="8"/>
      <c r="D3880" s="8"/>
      <c r="E3880" s="8"/>
      <c r="F3880" s="8"/>
      <c r="G3880" s="8"/>
      <c r="H3880" s="8"/>
      <c r="I3880" s="8"/>
      <c r="J3880" s="8"/>
      <c r="K3880" s="8"/>
      <c r="L3880" s="8"/>
    </row>
    <row r="3881" s="11" customFormat="true" ht="10.95" hidden="false" customHeight="true" outlineLevel="0" collapsed="false">
      <c r="A3881" s="9" t="s">
        <v>16</v>
      </c>
      <c r="B3881" s="9"/>
      <c r="C3881" s="9"/>
      <c r="D3881" s="9"/>
      <c r="E3881" s="9"/>
      <c r="F3881" s="9"/>
      <c r="G3881" s="10" t="n">
        <v>0</v>
      </c>
      <c r="H3881" s="10" t="n">
        <v>0</v>
      </c>
      <c r="I3881" s="10" t="n">
        <f aca="false">(G3881 - H3881)</f>
        <v>0</v>
      </c>
      <c r="J3881" s="10" t="n">
        <v>0</v>
      </c>
      <c r="K3881" s="9"/>
      <c r="L3881" s="9"/>
    </row>
    <row r="3882" s="11" customFormat="true" ht="10.95" hidden="false" customHeight="true" outlineLevel="0" collapsed="false">
      <c r="A3882" s="12" t="n">
        <v>45284</v>
      </c>
      <c r="B3882" s="13" t="s">
        <v>2007</v>
      </c>
      <c r="C3882" s="13" t="s">
        <v>1593</v>
      </c>
      <c r="D3882" s="13" t="s">
        <v>1407</v>
      </c>
      <c r="E3882" s="13" t="s">
        <v>2008</v>
      </c>
      <c r="F3882" s="13"/>
      <c r="G3882" s="14" t="n">
        <v>500</v>
      </c>
      <c r="H3882" s="14" t="n">
        <v>0</v>
      </c>
      <c r="I3882" s="14" t="n">
        <f aca="false">((I3881 + G3882) - H3882)</f>
        <v>500</v>
      </c>
      <c r="J3882" s="14" t="n">
        <v>0</v>
      </c>
      <c r="K3882" s="15" t="n">
        <v>0</v>
      </c>
      <c r="L3882" s="13" t="s">
        <v>1406</v>
      </c>
    </row>
    <row r="3883" s="11" customFormat="true" ht="10.95" hidden="false" customHeight="true" outlineLevel="0" collapsed="false">
      <c r="A3883" s="16" t="n">
        <v>45473</v>
      </c>
      <c r="B3883" s="17" t="s">
        <v>2007</v>
      </c>
      <c r="C3883" s="17" t="s">
        <v>1593</v>
      </c>
      <c r="D3883" s="17" t="s">
        <v>1396</v>
      </c>
      <c r="E3883" s="17" t="s">
        <v>2009</v>
      </c>
      <c r="F3883" s="17" t="s">
        <v>2010</v>
      </c>
      <c r="G3883" s="18" t="n">
        <v>5436</v>
      </c>
      <c r="H3883" s="18" t="n">
        <v>0</v>
      </c>
      <c r="I3883" s="18" t="n">
        <f aca="false">((I3882 + G3883) - H3883)</f>
        <v>5936</v>
      </c>
      <c r="J3883" s="18" t="n">
        <v>0</v>
      </c>
      <c r="K3883" s="19" t="n">
        <v>0</v>
      </c>
      <c r="L3883" s="17" t="s">
        <v>1399</v>
      </c>
    </row>
    <row r="3884" s="11" customFormat="true" ht="10.95" hidden="false" customHeight="true" outlineLevel="0" collapsed="false">
      <c r="A3884" s="21" t="s">
        <v>2011</v>
      </c>
      <c r="B3884" s="21"/>
      <c r="C3884" s="21"/>
      <c r="D3884" s="21"/>
      <c r="E3884" s="21"/>
      <c r="F3884" s="21"/>
      <c r="G3884" s="22" t="n">
        <f aca="false">SUM(G3882:G3883)</f>
        <v>5936</v>
      </c>
      <c r="H3884" s="22" t="n">
        <f aca="false">SUM(H3882:H3883)</f>
        <v>0</v>
      </c>
      <c r="I3884" s="22" t="n">
        <f aca="false">I3883</f>
        <v>5936</v>
      </c>
      <c r="J3884" s="22" t="n">
        <f aca="false">SUM(J3882:J3883)</f>
        <v>0</v>
      </c>
      <c r="K3884" s="21"/>
      <c r="L3884" s="21"/>
    </row>
    <row r="3885" s="11" customFormat="true" ht="10.95" hidden="false" customHeight="true" outlineLevel="0" collapsed="false">
      <c r="A3885" s="21" t="s">
        <v>784</v>
      </c>
      <c r="B3885" s="21"/>
      <c r="C3885" s="21"/>
      <c r="D3885" s="21"/>
      <c r="E3885" s="21"/>
      <c r="F3885" s="21"/>
      <c r="G3885" s="22" t="n">
        <v>5936</v>
      </c>
      <c r="H3885" s="22" t="n">
        <v>0</v>
      </c>
      <c r="I3885" s="22" t="n">
        <v>0</v>
      </c>
      <c r="J3885" s="22" t="n">
        <v>0</v>
      </c>
      <c r="K3885" s="21"/>
      <c r="L3885" s="21"/>
    </row>
    <row r="3886" s="11" customFormat="true" ht="10.95" hidden="false" customHeight="true" outlineLevel="0" collapsed="false">
      <c r="A3886" s="9" t="s">
        <v>785</v>
      </c>
      <c r="B3886" s="9"/>
      <c r="C3886" s="9"/>
      <c r="D3886" s="9"/>
      <c r="E3886" s="9"/>
      <c r="F3886" s="9"/>
      <c r="G3886" s="10" t="n">
        <v>5936</v>
      </c>
      <c r="H3886" s="10" t="n">
        <v>0</v>
      </c>
      <c r="I3886" s="10" t="n">
        <f aca="false">I3883</f>
        <v>5936</v>
      </c>
      <c r="J3886" s="10" t="n">
        <v>0</v>
      </c>
      <c r="K3886" s="9"/>
      <c r="L3886" s="9"/>
    </row>
    <row r="3887" customFormat="false" ht="13.35" hidden="false" customHeight="true" outlineLevel="0" collapsed="false"/>
    <row r="3888" s="7" customFormat="true" ht="12.1" hidden="false" customHeight="true" outlineLevel="0" collapsed="false">
      <c r="A3888" s="8" t="s">
        <v>2012</v>
      </c>
      <c r="B3888" s="8"/>
      <c r="C3888" s="8"/>
      <c r="D3888" s="8"/>
      <c r="E3888" s="8"/>
      <c r="F3888" s="8"/>
      <c r="G3888" s="8"/>
      <c r="H3888" s="8"/>
      <c r="I3888" s="8"/>
      <c r="J3888" s="8"/>
      <c r="K3888" s="8"/>
      <c r="L3888" s="8"/>
    </row>
    <row r="3889" s="11" customFormat="true" ht="10.95" hidden="false" customHeight="true" outlineLevel="0" collapsed="false">
      <c r="A3889" s="9" t="s">
        <v>16</v>
      </c>
      <c r="B3889" s="9"/>
      <c r="C3889" s="9"/>
      <c r="D3889" s="9"/>
      <c r="E3889" s="9"/>
      <c r="F3889" s="9"/>
      <c r="G3889" s="10" t="n">
        <v>0</v>
      </c>
      <c r="H3889" s="10" t="n">
        <v>0</v>
      </c>
      <c r="I3889" s="10" t="n">
        <f aca="false">(G3889 - H3889)</f>
        <v>0</v>
      </c>
      <c r="J3889" s="10" t="n">
        <v>0</v>
      </c>
      <c r="K3889" s="9"/>
      <c r="L3889" s="9"/>
    </row>
    <row r="3890" s="11" customFormat="true" ht="10.95" hidden="false" customHeight="true" outlineLevel="0" collapsed="false">
      <c r="A3890" s="12" t="n">
        <v>45122</v>
      </c>
      <c r="B3890" s="13" t="s">
        <v>2013</v>
      </c>
      <c r="C3890" s="13" t="s">
        <v>1593</v>
      </c>
      <c r="D3890" s="13" t="s">
        <v>1407</v>
      </c>
      <c r="E3890" s="13" t="s">
        <v>2014</v>
      </c>
      <c r="F3890" s="13"/>
      <c r="G3890" s="14" t="n">
        <v>14.46</v>
      </c>
      <c r="H3890" s="14" t="n">
        <v>0</v>
      </c>
      <c r="I3890" s="14" t="n">
        <f aca="false">((I3889 + G3890) - H3890)</f>
        <v>14.46</v>
      </c>
      <c r="J3890" s="14" t="n">
        <v>1.45</v>
      </c>
      <c r="K3890" s="15" t="n">
        <v>10</v>
      </c>
      <c r="L3890" s="13" t="s">
        <v>44</v>
      </c>
    </row>
    <row r="3891" s="11" customFormat="true" ht="10.95" hidden="false" customHeight="true" outlineLevel="0" collapsed="false">
      <c r="A3891" s="16" t="n">
        <v>45139</v>
      </c>
      <c r="B3891" s="17" t="s">
        <v>2013</v>
      </c>
      <c r="C3891" s="17" t="s">
        <v>1593</v>
      </c>
      <c r="D3891" s="17" t="s">
        <v>1407</v>
      </c>
      <c r="E3891" s="17" t="s">
        <v>2015</v>
      </c>
      <c r="F3891" s="17"/>
      <c r="G3891" s="18" t="n">
        <v>70</v>
      </c>
      <c r="H3891" s="18" t="n">
        <v>0</v>
      </c>
      <c r="I3891" s="18" t="n">
        <f aca="false">((I3890 + G3891) - H3891)</f>
        <v>84.46</v>
      </c>
      <c r="J3891" s="18" t="n">
        <v>7</v>
      </c>
      <c r="K3891" s="19" t="n">
        <v>10</v>
      </c>
      <c r="L3891" s="17" t="s">
        <v>44</v>
      </c>
    </row>
    <row r="3892" s="11" customFormat="true" ht="10.95" hidden="false" customHeight="true" outlineLevel="0" collapsed="false">
      <c r="A3892" s="16" t="n">
        <v>45147</v>
      </c>
      <c r="B3892" s="17" t="s">
        <v>2013</v>
      </c>
      <c r="C3892" s="17" t="s">
        <v>1593</v>
      </c>
      <c r="D3892" s="17" t="s">
        <v>1391</v>
      </c>
      <c r="E3892" s="17" t="s">
        <v>2016</v>
      </c>
      <c r="F3892" s="17" t="s">
        <v>1642</v>
      </c>
      <c r="G3892" s="18" t="n">
        <v>14.09</v>
      </c>
      <c r="H3892" s="18" t="n">
        <v>0</v>
      </c>
      <c r="I3892" s="18" t="n">
        <f aca="false">((I3891 + G3892) - H3892)</f>
        <v>98.55</v>
      </c>
      <c r="J3892" s="18" t="n">
        <v>1.41</v>
      </c>
      <c r="K3892" s="19" t="n">
        <v>10</v>
      </c>
      <c r="L3892" s="17" t="s">
        <v>44</v>
      </c>
    </row>
    <row r="3893" s="11" customFormat="true" ht="10.95" hidden="false" customHeight="true" outlineLevel="0" collapsed="false">
      <c r="A3893" s="16" t="n">
        <v>45154</v>
      </c>
      <c r="B3893" s="17" t="s">
        <v>2013</v>
      </c>
      <c r="C3893" s="17" t="s">
        <v>1593</v>
      </c>
      <c r="D3893" s="17" t="s">
        <v>1407</v>
      </c>
      <c r="E3893" s="17" t="s">
        <v>2017</v>
      </c>
      <c r="F3893" s="17"/>
      <c r="G3893" s="18" t="n">
        <v>14.84</v>
      </c>
      <c r="H3893" s="18" t="n">
        <v>0</v>
      </c>
      <c r="I3893" s="18" t="n">
        <f aca="false">((I3892 + G3893) - H3893)</f>
        <v>113.39</v>
      </c>
      <c r="J3893" s="18" t="n">
        <v>1.48</v>
      </c>
      <c r="K3893" s="19" t="n">
        <v>10</v>
      </c>
      <c r="L3893" s="17" t="s">
        <v>44</v>
      </c>
    </row>
    <row r="3894" s="11" customFormat="true" ht="10.95" hidden="false" customHeight="true" outlineLevel="0" collapsed="false">
      <c r="A3894" s="16" t="n">
        <v>45163</v>
      </c>
      <c r="B3894" s="17" t="s">
        <v>2013</v>
      </c>
      <c r="C3894" s="17" t="s">
        <v>1593</v>
      </c>
      <c r="D3894" s="17" t="s">
        <v>1407</v>
      </c>
      <c r="E3894" s="17" t="s">
        <v>2018</v>
      </c>
      <c r="F3894" s="17"/>
      <c r="G3894" s="18" t="n">
        <v>36.55</v>
      </c>
      <c r="H3894" s="18" t="n">
        <v>0</v>
      </c>
      <c r="I3894" s="18" t="n">
        <f aca="false">((I3893 + G3894) - H3894)</f>
        <v>149.94</v>
      </c>
      <c r="J3894" s="18" t="n">
        <v>3.65</v>
      </c>
      <c r="K3894" s="19" t="n">
        <v>10</v>
      </c>
      <c r="L3894" s="17" t="s">
        <v>44</v>
      </c>
    </row>
    <row r="3895" s="11" customFormat="true" ht="10.95" hidden="false" customHeight="true" outlineLevel="0" collapsed="false">
      <c r="A3895" s="16" t="n">
        <v>45184</v>
      </c>
      <c r="B3895" s="17" t="s">
        <v>2013</v>
      </c>
      <c r="C3895" s="17" t="s">
        <v>1593</v>
      </c>
      <c r="D3895" s="17" t="s">
        <v>1407</v>
      </c>
      <c r="E3895" s="17" t="s">
        <v>2014</v>
      </c>
      <c r="F3895" s="17"/>
      <c r="G3895" s="18" t="n">
        <v>16.62</v>
      </c>
      <c r="H3895" s="18" t="n">
        <v>0</v>
      </c>
      <c r="I3895" s="18" t="n">
        <f aca="false">((I3894 + G3895) - H3895)</f>
        <v>166.56</v>
      </c>
      <c r="J3895" s="18" t="n">
        <v>0</v>
      </c>
      <c r="K3895" s="19" t="n">
        <v>0</v>
      </c>
      <c r="L3895" s="17" t="s">
        <v>1406</v>
      </c>
    </row>
    <row r="3896" s="11" customFormat="true" ht="10.95" hidden="false" customHeight="true" outlineLevel="0" collapsed="false">
      <c r="A3896" s="16" t="n">
        <v>45216</v>
      </c>
      <c r="B3896" s="17" t="s">
        <v>2013</v>
      </c>
      <c r="C3896" s="17" t="s">
        <v>1593</v>
      </c>
      <c r="D3896" s="17" t="s">
        <v>1407</v>
      </c>
      <c r="E3896" s="17" t="s">
        <v>2019</v>
      </c>
      <c r="F3896" s="17"/>
      <c r="G3896" s="18" t="n">
        <v>74.44</v>
      </c>
      <c r="H3896" s="18" t="n">
        <v>0</v>
      </c>
      <c r="I3896" s="18" t="n">
        <f aca="false">((I3895 + G3896) - H3896)</f>
        <v>241</v>
      </c>
      <c r="J3896" s="18" t="n">
        <v>7.44</v>
      </c>
      <c r="K3896" s="19" t="n">
        <v>10</v>
      </c>
      <c r="L3896" s="17" t="s">
        <v>44</v>
      </c>
    </row>
    <row r="3897" s="11" customFormat="true" ht="10.95" hidden="false" customHeight="true" outlineLevel="0" collapsed="false">
      <c r="A3897" s="16" t="n">
        <v>45286</v>
      </c>
      <c r="B3897" s="17" t="s">
        <v>2013</v>
      </c>
      <c r="C3897" s="17" t="s">
        <v>1593</v>
      </c>
      <c r="D3897" s="17" t="s">
        <v>1407</v>
      </c>
      <c r="E3897" s="17" t="s">
        <v>2020</v>
      </c>
      <c r="F3897" s="17"/>
      <c r="G3897" s="18" t="n">
        <v>8226.11</v>
      </c>
      <c r="H3897" s="18" t="n">
        <v>0</v>
      </c>
      <c r="I3897" s="18" t="n">
        <f aca="false">((I3896 + G3897) - H3897)</f>
        <v>8467.11</v>
      </c>
      <c r="J3897" s="18" t="n">
        <v>0</v>
      </c>
      <c r="K3897" s="19" t="n">
        <v>0</v>
      </c>
      <c r="L3897" s="17" t="s">
        <v>1406</v>
      </c>
    </row>
    <row r="3898" s="11" customFormat="true" ht="10.95" hidden="false" customHeight="true" outlineLevel="0" collapsed="false">
      <c r="A3898" s="16" t="n">
        <v>45306</v>
      </c>
      <c r="B3898" s="17" t="s">
        <v>2013</v>
      </c>
      <c r="C3898" s="17" t="s">
        <v>1593</v>
      </c>
      <c r="D3898" s="17" t="s">
        <v>1391</v>
      </c>
      <c r="E3898" s="17" t="s">
        <v>2021</v>
      </c>
      <c r="F3898" s="17" t="s">
        <v>1642</v>
      </c>
      <c r="G3898" s="18" t="n">
        <v>65.05</v>
      </c>
      <c r="H3898" s="18" t="n">
        <v>0</v>
      </c>
      <c r="I3898" s="18" t="n">
        <f aca="false">((I3897 + G3898) - H3898)</f>
        <v>8532.16</v>
      </c>
      <c r="J3898" s="18" t="n">
        <v>6.5</v>
      </c>
      <c r="K3898" s="19" t="n">
        <v>10</v>
      </c>
      <c r="L3898" s="17" t="s">
        <v>44</v>
      </c>
    </row>
    <row r="3899" s="11" customFormat="true" ht="10.95" hidden="false" customHeight="true" outlineLevel="0" collapsed="false">
      <c r="A3899" s="16" t="n">
        <v>45307</v>
      </c>
      <c r="B3899" s="17" t="s">
        <v>2013</v>
      </c>
      <c r="C3899" s="17" t="s">
        <v>1593</v>
      </c>
      <c r="D3899" s="17" t="s">
        <v>1407</v>
      </c>
      <c r="E3899" s="17" t="s">
        <v>2022</v>
      </c>
      <c r="F3899" s="17"/>
      <c r="G3899" s="18" t="n">
        <v>15.85</v>
      </c>
      <c r="H3899" s="18" t="n">
        <v>0</v>
      </c>
      <c r="I3899" s="18" t="n">
        <f aca="false">((I3898 + G3899) - H3899)</f>
        <v>8548.01</v>
      </c>
      <c r="J3899" s="18" t="n">
        <v>0</v>
      </c>
      <c r="K3899" s="19" t="n">
        <v>0</v>
      </c>
      <c r="L3899" s="17" t="s">
        <v>1406</v>
      </c>
    </row>
    <row r="3900" s="11" customFormat="true" ht="10.95" hidden="false" customHeight="true" outlineLevel="0" collapsed="false">
      <c r="A3900" s="16" t="n">
        <v>45307</v>
      </c>
      <c r="B3900" s="17" t="s">
        <v>2013</v>
      </c>
      <c r="C3900" s="17" t="s">
        <v>1593</v>
      </c>
      <c r="D3900" s="17" t="s">
        <v>1407</v>
      </c>
      <c r="E3900" s="17" t="s">
        <v>2022</v>
      </c>
      <c r="F3900" s="17"/>
      <c r="G3900" s="18" t="n">
        <v>14.41</v>
      </c>
      <c r="H3900" s="18" t="n">
        <v>0</v>
      </c>
      <c r="I3900" s="18" t="n">
        <f aca="false">((I3899 + G3900) - H3900)</f>
        <v>8562.42</v>
      </c>
      <c r="J3900" s="18" t="n">
        <v>1.44</v>
      </c>
      <c r="K3900" s="19" t="n">
        <v>10</v>
      </c>
      <c r="L3900" s="17" t="s">
        <v>44</v>
      </c>
    </row>
    <row r="3901" s="11" customFormat="true" ht="10.95" hidden="false" customHeight="true" outlineLevel="0" collapsed="false">
      <c r="A3901" s="16" t="n">
        <v>45307</v>
      </c>
      <c r="B3901" s="17" t="s">
        <v>2013</v>
      </c>
      <c r="C3901" s="17" t="s">
        <v>1593</v>
      </c>
      <c r="D3901" s="17" t="s">
        <v>1407</v>
      </c>
      <c r="E3901" s="17" t="s">
        <v>2022</v>
      </c>
      <c r="F3901" s="17"/>
      <c r="G3901" s="18" t="n">
        <v>16.66</v>
      </c>
      <c r="H3901" s="18" t="n">
        <v>0</v>
      </c>
      <c r="I3901" s="18" t="n">
        <f aca="false">((I3900 + G3901) - H3901)</f>
        <v>8579.08</v>
      </c>
      <c r="J3901" s="18" t="n">
        <v>0</v>
      </c>
      <c r="K3901" s="19" t="n">
        <v>0</v>
      </c>
      <c r="L3901" s="17" t="s">
        <v>1406</v>
      </c>
    </row>
    <row r="3902" s="11" customFormat="true" ht="10.95" hidden="false" customHeight="true" outlineLevel="0" collapsed="false">
      <c r="A3902" s="16" t="n">
        <v>45308</v>
      </c>
      <c r="B3902" s="17" t="s">
        <v>2013</v>
      </c>
      <c r="C3902" s="17" t="s">
        <v>1593</v>
      </c>
      <c r="D3902" s="17" t="s">
        <v>1407</v>
      </c>
      <c r="E3902" s="17" t="s">
        <v>2022</v>
      </c>
      <c r="F3902" s="17"/>
      <c r="G3902" s="18" t="n">
        <v>14.97</v>
      </c>
      <c r="H3902" s="18" t="n">
        <v>0</v>
      </c>
      <c r="I3902" s="18" t="n">
        <f aca="false">((I3901 + G3902) - H3902)</f>
        <v>8594.05</v>
      </c>
      <c r="J3902" s="18" t="n">
        <v>0</v>
      </c>
      <c r="K3902" s="19" t="n">
        <v>0</v>
      </c>
      <c r="L3902" s="17" t="s">
        <v>1406</v>
      </c>
    </row>
    <row r="3903" s="11" customFormat="true" ht="10.95" hidden="false" customHeight="true" outlineLevel="0" collapsed="false">
      <c r="A3903" s="16" t="n">
        <v>45329</v>
      </c>
      <c r="B3903" s="17" t="s">
        <v>2013</v>
      </c>
      <c r="C3903" s="17" t="s">
        <v>1593</v>
      </c>
      <c r="D3903" s="17" t="s">
        <v>1391</v>
      </c>
      <c r="E3903" s="17" t="s">
        <v>2023</v>
      </c>
      <c r="F3903" s="17" t="s">
        <v>1642</v>
      </c>
      <c r="G3903" s="18" t="n">
        <v>25.64</v>
      </c>
      <c r="H3903" s="18" t="n">
        <v>0</v>
      </c>
      <c r="I3903" s="18" t="n">
        <f aca="false">((I3902 + G3903) - H3903)</f>
        <v>8619.69</v>
      </c>
      <c r="J3903" s="18" t="n">
        <v>2.56</v>
      </c>
      <c r="K3903" s="19" t="n">
        <v>10</v>
      </c>
      <c r="L3903" s="17" t="s">
        <v>44</v>
      </c>
    </row>
    <row r="3904" s="11" customFormat="true" ht="10.95" hidden="false" customHeight="true" outlineLevel="0" collapsed="false">
      <c r="A3904" s="16" t="n">
        <v>45329</v>
      </c>
      <c r="B3904" s="17" t="s">
        <v>2013</v>
      </c>
      <c r="C3904" s="17" t="s">
        <v>1593</v>
      </c>
      <c r="D3904" s="17" t="s">
        <v>1391</v>
      </c>
      <c r="E3904" s="17" t="s">
        <v>2023</v>
      </c>
      <c r="F3904" s="17" t="s">
        <v>1642</v>
      </c>
      <c r="G3904" s="18" t="n">
        <v>32.14</v>
      </c>
      <c r="H3904" s="18" t="n">
        <v>0</v>
      </c>
      <c r="I3904" s="18" t="n">
        <f aca="false">((I3903 + G3904) - H3904)</f>
        <v>8651.83</v>
      </c>
      <c r="J3904" s="18" t="n">
        <v>3.21</v>
      </c>
      <c r="K3904" s="19" t="n">
        <v>10</v>
      </c>
      <c r="L3904" s="17" t="s">
        <v>44</v>
      </c>
    </row>
    <row r="3905" s="11" customFormat="true" ht="10.95" hidden="false" customHeight="true" outlineLevel="0" collapsed="false">
      <c r="A3905" s="16" t="n">
        <v>45337</v>
      </c>
      <c r="B3905" s="17" t="s">
        <v>2013</v>
      </c>
      <c r="C3905" s="17" t="s">
        <v>1593</v>
      </c>
      <c r="D3905" s="17" t="s">
        <v>1407</v>
      </c>
      <c r="E3905" s="17" t="s">
        <v>2014</v>
      </c>
      <c r="F3905" s="17"/>
      <c r="G3905" s="18" t="n">
        <v>15.4</v>
      </c>
      <c r="H3905" s="18" t="n">
        <v>0</v>
      </c>
      <c r="I3905" s="18" t="n">
        <f aca="false">((I3904 + G3905) - H3905)</f>
        <v>8667.23</v>
      </c>
      <c r="J3905" s="18" t="n">
        <v>0</v>
      </c>
      <c r="K3905" s="19" t="n">
        <v>0</v>
      </c>
      <c r="L3905" s="17" t="s">
        <v>1406</v>
      </c>
    </row>
    <row r="3906" s="11" customFormat="true" ht="10.95" hidden="false" customHeight="true" outlineLevel="0" collapsed="false">
      <c r="A3906" s="16" t="n">
        <v>45364</v>
      </c>
      <c r="B3906" s="17" t="s">
        <v>2013</v>
      </c>
      <c r="C3906" s="17" t="s">
        <v>1593</v>
      </c>
      <c r="D3906" s="17" t="s">
        <v>1391</v>
      </c>
      <c r="E3906" s="17" t="s">
        <v>2024</v>
      </c>
      <c r="F3906" s="17" t="s">
        <v>1642</v>
      </c>
      <c r="G3906" s="18" t="n">
        <v>42.95</v>
      </c>
      <c r="H3906" s="18" t="n">
        <v>0</v>
      </c>
      <c r="I3906" s="18" t="n">
        <f aca="false">((I3905 + G3906) - H3906)</f>
        <v>8710.18</v>
      </c>
      <c r="J3906" s="18" t="n">
        <v>4.3</v>
      </c>
      <c r="K3906" s="19" t="n">
        <v>10</v>
      </c>
      <c r="L3906" s="17" t="s">
        <v>44</v>
      </c>
    </row>
    <row r="3907" s="11" customFormat="true" ht="10.95" hidden="false" customHeight="true" outlineLevel="0" collapsed="false">
      <c r="A3907" s="16" t="n">
        <v>45366</v>
      </c>
      <c r="B3907" s="17" t="s">
        <v>2013</v>
      </c>
      <c r="C3907" s="17" t="s">
        <v>1593</v>
      </c>
      <c r="D3907" s="17" t="s">
        <v>1391</v>
      </c>
      <c r="E3907" s="17" t="s">
        <v>2023</v>
      </c>
      <c r="F3907" s="17" t="s">
        <v>1642</v>
      </c>
      <c r="G3907" s="18" t="n">
        <v>13.09</v>
      </c>
      <c r="H3907" s="18" t="n">
        <v>0</v>
      </c>
      <c r="I3907" s="18" t="n">
        <f aca="false">((I3906 + G3907) - H3907)</f>
        <v>8723.27</v>
      </c>
      <c r="J3907" s="18" t="n">
        <v>1.31</v>
      </c>
      <c r="K3907" s="19" t="n">
        <v>10</v>
      </c>
      <c r="L3907" s="17" t="s">
        <v>44</v>
      </c>
    </row>
    <row r="3908" s="11" customFormat="true" ht="10.95" hidden="false" customHeight="true" outlineLevel="0" collapsed="false">
      <c r="A3908" s="16" t="n">
        <v>45366</v>
      </c>
      <c r="B3908" s="17" t="s">
        <v>2013</v>
      </c>
      <c r="C3908" s="17" t="s">
        <v>1593</v>
      </c>
      <c r="D3908" s="17" t="s">
        <v>1407</v>
      </c>
      <c r="E3908" s="17" t="s">
        <v>2014</v>
      </c>
      <c r="F3908" s="17"/>
      <c r="G3908" s="18" t="n">
        <v>15.15</v>
      </c>
      <c r="H3908" s="18" t="n">
        <v>0</v>
      </c>
      <c r="I3908" s="18" t="n">
        <f aca="false">((I3907 + G3908) - H3908)</f>
        <v>8738.42</v>
      </c>
      <c r="J3908" s="18" t="n">
        <v>0</v>
      </c>
      <c r="K3908" s="19" t="n">
        <v>0</v>
      </c>
      <c r="L3908" s="17" t="s">
        <v>1406</v>
      </c>
    </row>
    <row r="3909" s="11" customFormat="true" ht="10.95" hidden="false" customHeight="true" outlineLevel="0" collapsed="false">
      <c r="A3909" s="16" t="n">
        <v>45375</v>
      </c>
      <c r="B3909" s="17" t="s">
        <v>2013</v>
      </c>
      <c r="C3909" s="17" t="s">
        <v>1593</v>
      </c>
      <c r="D3909" s="17" t="s">
        <v>1407</v>
      </c>
      <c r="E3909" s="17" t="s">
        <v>2025</v>
      </c>
      <c r="F3909" s="17"/>
      <c r="G3909" s="18" t="n">
        <v>6922.17</v>
      </c>
      <c r="H3909" s="18" t="n">
        <v>0</v>
      </c>
      <c r="I3909" s="18" t="n">
        <f aca="false">((I3908 + G3909) - H3909)</f>
        <v>15660.59</v>
      </c>
      <c r="J3909" s="18" t="n">
        <v>0</v>
      </c>
      <c r="K3909" s="19" t="n">
        <v>0</v>
      </c>
      <c r="L3909" s="17" t="s">
        <v>1406</v>
      </c>
    </row>
    <row r="3910" s="11" customFormat="true" ht="10.95" hidden="false" customHeight="true" outlineLevel="0" collapsed="false">
      <c r="A3910" s="16" t="n">
        <v>45398</v>
      </c>
      <c r="B3910" s="17" t="s">
        <v>2013</v>
      </c>
      <c r="C3910" s="17" t="s">
        <v>1593</v>
      </c>
      <c r="D3910" s="17" t="s">
        <v>1407</v>
      </c>
      <c r="E3910" s="17" t="s">
        <v>2014</v>
      </c>
      <c r="F3910" s="17"/>
      <c r="G3910" s="18" t="n">
        <v>15.37</v>
      </c>
      <c r="H3910" s="18" t="n">
        <v>0</v>
      </c>
      <c r="I3910" s="18" t="n">
        <f aca="false">((I3909 + G3910) - H3910)</f>
        <v>15675.96</v>
      </c>
      <c r="J3910" s="18" t="n">
        <v>0</v>
      </c>
      <c r="K3910" s="19" t="n">
        <v>0</v>
      </c>
      <c r="L3910" s="17" t="s">
        <v>1406</v>
      </c>
    </row>
    <row r="3911" s="11" customFormat="true" ht="10.95" hidden="false" customHeight="true" outlineLevel="0" collapsed="false">
      <c r="A3911" s="16" t="n">
        <v>45401</v>
      </c>
      <c r="B3911" s="17" t="s">
        <v>2013</v>
      </c>
      <c r="C3911" s="17" t="s">
        <v>1593</v>
      </c>
      <c r="D3911" s="17" t="s">
        <v>1391</v>
      </c>
      <c r="E3911" s="17" t="s">
        <v>2026</v>
      </c>
      <c r="F3911" s="17" t="s">
        <v>1642</v>
      </c>
      <c r="G3911" s="18" t="n">
        <v>58.91</v>
      </c>
      <c r="H3911" s="18" t="n">
        <v>0</v>
      </c>
      <c r="I3911" s="18" t="n">
        <f aca="false">((I3910 + G3911) - H3911)</f>
        <v>15734.87</v>
      </c>
      <c r="J3911" s="18" t="n">
        <v>5.89</v>
      </c>
      <c r="K3911" s="19" t="n">
        <v>10</v>
      </c>
      <c r="L3911" s="17" t="s">
        <v>44</v>
      </c>
    </row>
    <row r="3912" s="11" customFormat="true" ht="10.95" hidden="false" customHeight="true" outlineLevel="0" collapsed="false">
      <c r="A3912" s="16" t="n">
        <v>45427</v>
      </c>
      <c r="B3912" s="17" t="s">
        <v>2013</v>
      </c>
      <c r="C3912" s="17" t="s">
        <v>1593</v>
      </c>
      <c r="D3912" s="17" t="s">
        <v>1407</v>
      </c>
      <c r="E3912" s="17" t="s">
        <v>2027</v>
      </c>
      <c r="F3912" s="17"/>
      <c r="G3912" s="18" t="n">
        <v>15.15</v>
      </c>
      <c r="H3912" s="18" t="n">
        <v>0</v>
      </c>
      <c r="I3912" s="18" t="n">
        <f aca="false">((I3911 + G3912) - H3912)</f>
        <v>15750.02</v>
      </c>
      <c r="J3912" s="18" t="n">
        <v>0</v>
      </c>
      <c r="K3912" s="19" t="n">
        <v>0</v>
      </c>
      <c r="L3912" s="17" t="s">
        <v>1406</v>
      </c>
    </row>
    <row r="3913" s="11" customFormat="true" ht="10.95" hidden="false" customHeight="true" outlineLevel="0" collapsed="false">
      <c r="A3913" s="16" t="n">
        <v>45456</v>
      </c>
      <c r="B3913" s="17" t="s">
        <v>2013</v>
      </c>
      <c r="C3913" s="17" t="s">
        <v>1593</v>
      </c>
      <c r="D3913" s="17" t="s">
        <v>1391</v>
      </c>
      <c r="E3913" s="17" t="s">
        <v>2023</v>
      </c>
      <c r="F3913" s="17" t="s">
        <v>1642</v>
      </c>
      <c r="G3913" s="18" t="n">
        <v>46.49</v>
      </c>
      <c r="H3913" s="18" t="n">
        <v>0</v>
      </c>
      <c r="I3913" s="18" t="n">
        <f aca="false">((I3912 + G3913) - H3913)</f>
        <v>15796.51</v>
      </c>
      <c r="J3913" s="18" t="n">
        <v>4.65</v>
      </c>
      <c r="K3913" s="19" t="n">
        <v>10</v>
      </c>
      <c r="L3913" s="17" t="s">
        <v>44</v>
      </c>
    </row>
    <row r="3914" s="11" customFormat="true" ht="10.95" hidden="false" customHeight="true" outlineLevel="0" collapsed="false">
      <c r="A3914" s="16" t="n">
        <v>45458</v>
      </c>
      <c r="B3914" s="17" t="s">
        <v>2013</v>
      </c>
      <c r="C3914" s="17" t="s">
        <v>1593</v>
      </c>
      <c r="D3914" s="17" t="s">
        <v>1407</v>
      </c>
      <c r="E3914" s="17" t="s">
        <v>2014</v>
      </c>
      <c r="F3914" s="17"/>
      <c r="G3914" s="18" t="n">
        <v>13.79</v>
      </c>
      <c r="H3914" s="18" t="n">
        <v>0</v>
      </c>
      <c r="I3914" s="18" t="n">
        <f aca="false">((I3913 + G3914) - H3914)</f>
        <v>15810.3</v>
      </c>
      <c r="J3914" s="18" t="n">
        <v>1.38</v>
      </c>
      <c r="K3914" s="19" t="n">
        <v>10</v>
      </c>
      <c r="L3914" s="17" t="s">
        <v>44</v>
      </c>
    </row>
    <row r="3915" s="11" customFormat="true" ht="10.95" hidden="false" customHeight="true" outlineLevel="0" collapsed="false">
      <c r="A3915" s="16" t="n">
        <v>45462</v>
      </c>
      <c r="B3915" s="17" t="s">
        <v>2013</v>
      </c>
      <c r="C3915" s="17" t="s">
        <v>1593</v>
      </c>
      <c r="D3915" s="17" t="s">
        <v>1391</v>
      </c>
      <c r="E3915" s="17" t="s">
        <v>2028</v>
      </c>
      <c r="F3915" s="17" t="s">
        <v>2029</v>
      </c>
      <c r="G3915" s="18" t="n">
        <v>2453.22</v>
      </c>
      <c r="H3915" s="18" t="n">
        <v>0</v>
      </c>
      <c r="I3915" s="18" t="n">
        <f aca="false">((I3914 + G3915) - H3915)</f>
        <v>18263.52</v>
      </c>
      <c r="J3915" s="18" t="n">
        <v>0</v>
      </c>
      <c r="K3915" s="19" t="n">
        <v>0</v>
      </c>
      <c r="L3915" s="17" t="s">
        <v>1406</v>
      </c>
    </row>
    <row r="3916" s="11" customFormat="true" ht="10.95" hidden="false" customHeight="true" outlineLevel="0" collapsed="false">
      <c r="A3916" s="21" t="s">
        <v>2030</v>
      </c>
      <c r="B3916" s="21"/>
      <c r="C3916" s="21"/>
      <c r="D3916" s="21"/>
      <c r="E3916" s="21"/>
      <c r="F3916" s="21"/>
      <c r="G3916" s="22" t="n">
        <f aca="false">SUM(G3890:G3915)</f>
        <v>18263.52</v>
      </c>
      <c r="H3916" s="22" t="n">
        <f aca="false">SUM(H3890:H3915)</f>
        <v>0</v>
      </c>
      <c r="I3916" s="22" t="n">
        <f aca="false">I3915</f>
        <v>18263.52</v>
      </c>
      <c r="J3916" s="22" t="n">
        <f aca="false">SUM(J3890:J3915)</f>
        <v>53.67</v>
      </c>
      <c r="K3916" s="21"/>
      <c r="L3916" s="21"/>
    </row>
    <row r="3917" s="11" customFormat="true" ht="10.95" hidden="false" customHeight="true" outlineLevel="0" collapsed="false">
      <c r="A3917" s="21" t="s">
        <v>784</v>
      </c>
      <c r="B3917" s="21"/>
      <c r="C3917" s="21"/>
      <c r="D3917" s="21"/>
      <c r="E3917" s="21"/>
      <c r="F3917" s="21"/>
      <c r="G3917" s="22" t="n">
        <v>18263.52</v>
      </c>
      <c r="H3917" s="22" t="n">
        <v>0</v>
      </c>
      <c r="I3917" s="22" t="n">
        <v>0</v>
      </c>
      <c r="J3917" s="22" t="n">
        <v>0</v>
      </c>
      <c r="K3917" s="21"/>
      <c r="L3917" s="21"/>
    </row>
    <row r="3918" s="11" customFormat="true" ht="10.95" hidden="false" customHeight="true" outlineLevel="0" collapsed="false">
      <c r="A3918" s="9" t="s">
        <v>785</v>
      </c>
      <c r="B3918" s="9"/>
      <c r="C3918" s="9"/>
      <c r="D3918" s="9"/>
      <c r="E3918" s="9"/>
      <c r="F3918" s="9"/>
      <c r="G3918" s="10" t="n">
        <v>18263.52</v>
      </c>
      <c r="H3918" s="10" t="n">
        <v>0</v>
      </c>
      <c r="I3918" s="10" t="n">
        <f aca="false">I3915</f>
        <v>18263.52</v>
      </c>
      <c r="J3918" s="10" t="n">
        <v>0</v>
      </c>
      <c r="K3918" s="9"/>
      <c r="L3918" s="9"/>
    </row>
    <row r="3919" customFormat="false" ht="13.35" hidden="false" customHeight="true" outlineLevel="0" collapsed="false"/>
    <row r="3920" s="7" customFormat="true" ht="12.1" hidden="false" customHeight="true" outlineLevel="0" collapsed="false">
      <c r="A3920" s="8" t="s">
        <v>2031</v>
      </c>
      <c r="B3920" s="8"/>
      <c r="C3920" s="8"/>
      <c r="D3920" s="8"/>
      <c r="E3920" s="8"/>
      <c r="F3920" s="8"/>
      <c r="G3920" s="8"/>
      <c r="H3920" s="8"/>
      <c r="I3920" s="8"/>
      <c r="J3920" s="8"/>
      <c r="K3920" s="8"/>
      <c r="L3920" s="8"/>
    </row>
    <row r="3921" s="11" customFormat="true" ht="10.95" hidden="false" customHeight="true" outlineLevel="0" collapsed="false">
      <c r="A3921" s="9" t="s">
        <v>16</v>
      </c>
      <c r="B3921" s="9"/>
      <c r="C3921" s="9"/>
      <c r="D3921" s="9"/>
      <c r="E3921" s="9"/>
      <c r="F3921" s="9"/>
      <c r="G3921" s="10" t="n">
        <v>0</v>
      </c>
      <c r="H3921" s="10" t="n">
        <v>0</v>
      </c>
      <c r="I3921" s="10" t="n">
        <f aca="false">(G3921 - H3921)</f>
        <v>0</v>
      </c>
      <c r="J3921" s="10" t="n">
        <v>0</v>
      </c>
      <c r="K3921" s="9"/>
      <c r="L3921" s="9"/>
    </row>
    <row r="3922" s="11" customFormat="true" ht="10.95" hidden="false" customHeight="true" outlineLevel="0" collapsed="false">
      <c r="A3922" s="12" t="n">
        <v>45115</v>
      </c>
      <c r="B3922" s="13" t="s">
        <v>2032</v>
      </c>
      <c r="C3922" s="13" t="s">
        <v>1593</v>
      </c>
      <c r="D3922" s="13" t="s">
        <v>1407</v>
      </c>
      <c r="E3922" s="13" t="s">
        <v>2033</v>
      </c>
      <c r="F3922" s="13"/>
      <c r="G3922" s="14" t="n">
        <v>750</v>
      </c>
      <c r="H3922" s="14" t="n">
        <v>0</v>
      </c>
      <c r="I3922" s="14" t="n">
        <f aca="false">((I3921 + G3922) - H3922)</f>
        <v>750</v>
      </c>
      <c r="J3922" s="14" t="n">
        <v>75</v>
      </c>
      <c r="K3922" s="15" t="n">
        <v>10</v>
      </c>
      <c r="L3922" s="13" t="s">
        <v>44</v>
      </c>
    </row>
    <row r="3923" s="11" customFormat="true" ht="10.95" hidden="false" customHeight="true" outlineLevel="0" collapsed="false">
      <c r="A3923" s="16" t="n">
        <v>45150</v>
      </c>
      <c r="B3923" s="17" t="s">
        <v>2032</v>
      </c>
      <c r="C3923" s="17" t="s">
        <v>1593</v>
      </c>
      <c r="D3923" s="17" t="s">
        <v>1407</v>
      </c>
      <c r="E3923" s="17" t="s">
        <v>2034</v>
      </c>
      <c r="F3923" s="17"/>
      <c r="G3923" s="18" t="n">
        <v>43.91</v>
      </c>
      <c r="H3923" s="18" t="n">
        <v>0</v>
      </c>
      <c r="I3923" s="18" t="n">
        <f aca="false">((I3922 + G3923) - H3923)</f>
        <v>793.91</v>
      </c>
      <c r="J3923" s="18" t="n">
        <v>4.39</v>
      </c>
      <c r="K3923" s="19" t="n">
        <v>10</v>
      </c>
      <c r="L3923" s="17" t="s">
        <v>44</v>
      </c>
    </row>
    <row r="3924" s="11" customFormat="true" ht="10.95" hidden="false" customHeight="true" outlineLevel="0" collapsed="false">
      <c r="A3924" s="16" t="n">
        <v>45473</v>
      </c>
      <c r="B3924" s="17" t="s">
        <v>2032</v>
      </c>
      <c r="C3924" s="17" t="s">
        <v>1593</v>
      </c>
      <c r="D3924" s="17" t="s">
        <v>1396</v>
      </c>
      <c r="E3924" s="17" t="s">
        <v>2035</v>
      </c>
      <c r="F3924" s="17" t="s">
        <v>2036</v>
      </c>
      <c r="G3924" s="18" t="n">
        <v>0</v>
      </c>
      <c r="H3924" s="18" t="n">
        <v>793.91</v>
      </c>
      <c r="I3924" s="18" t="n">
        <f aca="false">((I3923 + G3924) - H3924)</f>
        <v>0</v>
      </c>
      <c r="J3924" s="18" t="n">
        <v>0</v>
      </c>
      <c r="K3924" s="19" t="n">
        <v>0</v>
      </c>
      <c r="L3924" s="17" t="s">
        <v>1399</v>
      </c>
    </row>
    <row r="3925" s="11" customFormat="true" ht="10.95" hidden="false" customHeight="true" outlineLevel="0" collapsed="false">
      <c r="A3925" s="21" t="s">
        <v>2037</v>
      </c>
      <c r="B3925" s="21"/>
      <c r="C3925" s="21"/>
      <c r="D3925" s="21"/>
      <c r="E3925" s="21"/>
      <c r="F3925" s="21"/>
      <c r="G3925" s="22" t="n">
        <f aca="false">SUM(G3922:G3924)</f>
        <v>793.91</v>
      </c>
      <c r="H3925" s="22" t="n">
        <f aca="false">SUM(H3922:H3924)</f>
        <v>793.91</v>
      </c>
      <c r="I3925" s="22" t="n">
        <f aca="false">I3924</f>
        <v>0</v>
      </c>
      <c r="J3925" s="22" t="n">
        <f aca="false">SUM(J3922:J3924)</f>
        <v>79.39</v>
      </c>
      <c r="K3925" s="21"/>
      <c r="L3925" s="21"/>
    </row>
    <row r="3926" s="11" customFormat="true" ht="10.95" hidden="false" customHeight="true" outlineLevel="0" collapsed="false">
      <c r="A3926" s="21" t="s">
        <v>784</v>
      </c>
      <c r="B3926" s="21"/>
      <c r="C3926" s="21"/>
      <c r="D3926" s="21"/>
      <c r="E3926" s="21"/>
      <c r="F3926" s="21"/>
      <c r="G3926" s="22" t="n">
        <v>0</v>
      </c>
      <c r="H3926" s="22" t="n">
        <v>0</v>
      </c>
      <c r="I3926" s="22" t="n">
        <v>0</v>
      </c>
      <c r="J3926" s="22" t="n">
        <v>0</v>
      </c>
      <c r="K3926" s="21"/>
      <c r="L3926" s="21"/>
    </row>
    <row r="3927" s="11" customFormat="true" ht="10.95" hidden="false" customHeight="true" outlineLevel="0" collapsed="false">
      <c r="A3927" s="9" t="s">
        <v>785</v>
      </c>
      <c r="B3927" s="9"/>
      <c r="C3927" s="9"/>
      <c r="D3927" s="9"/>
      <c r="E3927" s="9"/>
      <c r="F3927" s="9"/>
      <c r="G3927" s="10" t="n">
        <v>0</v>
      </c>
      <c r="H3927" s="10" t="n">
        <v>0</v>
      </c>
      <c r="I3927" s="10" t="n">
        <f aca="false">I3924</f>
        <v>0</v>
      </c>
      <c r="J3927" s="10" t="n">
        <v>0</v>
      </c>
      <c r="K3927" s="9"/>
      <c r="L3927" s="9"/>
    </row>
    <row r="3928" customFormat="false" ht="13.35" hidden="false" customHeight="true" outlineLevel="0" collapsed="false"/>
    <row r="3929" s="7" customFormat="true" ht="12.1" hidden="false" customHeight="true" outlineLevel="0" collapsed="false">
      <c r="A3929" s="8" t="s">
        <v>2038</v>
      </c>
      <c r="B3929" s="8"/>
      <c r="C3929" s="8"/>
      <c r="D3929" s="8"/>
      <c r="E3929" s="8"/>
      <c r="F3929" s="8"/>
      <c r="G3929" s="8"/>
      <c r="H3929" s="8"/>
      <c r="I3929" s="8"/>
      <c r="J3929" s="8"/>
      <c r="K3929" s="8"/>
      <c r="L3929" s="8"/>
    </row>
    <row r="3930" s="11" customFormat="true" ht="10.95" hidden="false" customHeight="true" outlineLevel="0" collapsed="false">
      <c r="A3930" s="9" t="s">
        <v>16</v>
      </c>
      <c r="B3930" s="9"/>
      <c r="C3930" s="9"/>
      <c r="D3930" s="9"/>
      <c r="E3930" s="9"/>
      <c r="F3930" s="9"/>
      <c r="G3930" s="10" t="n">
        <v>0</v>
      </c>
      <c r="H3930" s="10" t="n">
        <v>0</v>
      </c>
      <c r="I3930" s="10" t="n">
        <f aca="false">(G3930 - H3930)</f>
        <v>0</v>
      </c>
      <c r="J3930" s="10" t="n">
        <v>0</v>
      </c>
      <c r="K3930" s="9"/>
      <c r="L3930" s="9"/>
    </row>
    <row r="3931" s="11" customFormat="true" ht="10.95" hidden="false" customHeight="true" outlineLevel="0" collapsed="false">
      <c r="A3931" s="12" t="n">
        <v>45198</v>
      </c>
      <c r="B3931" s="13" t="s">
        <v>2039</v>
      </c>
      <c r="C3931" s="13" t="s">
        <v>1593</v>
      </c>
      <c r="D3931" s="13" t="s">
        <v>1391</v>
      </c>
      <c r="E3931" s="13" t="s">
        <v>2040</v>
      </c>
      <c r="F3931" s="13" t="s">
        <v>2041</v>
      </c>
      <c r="G3931" s="14" t="n">
        <v>2164.51</v>
      </c>
      <c r="H3931" s="14" t="n">
        <v>0</v>
      </c>
      <c r="I3931" s="14" t="n">
        <f aca="false">((I3930 + G3931) - H3931)</f>
        <v>2164.51</v>
      </c>
      <c r="J3931" s="14" t="n">
        <v>216.45</v>
      </c>
      <c r="K3931" s="15" t="n">
        <v>10</v>
      </c>
      <c r="L3931" s="13" t="s">
        <v>44</v>
      </c>
    </row>
    <row r="3932" s="11" customFormat="true" ht="10.95" hidden="false" customHeight="true" outlineLevel="0" collapsed="false">
      <c r="A3932" s="16" t="n">
        <v>45215</v>
      </c>
      <c r="B3932" s="17" t="s">
        <v>2039</v>
      </c>
      <c r="C3932" s="17" t="s">
        <v>1593</v>
      </c>
      <c r="D3932" s="17" t="s">
        <v>1391</v>
      </c>
      <c r="E3932" s="17" t="s">
        <v>2042</v>
      </c>
      <c r="F3932" s="17" t="s">
        <v>2043</v>
      </c>
      <c r="G3932" s="18" t="n">
        <v>6044.3</v>
      </c>
      <c r="H3932" s="18" t="n">
        <v>0</v>
      </c>
      <c r="I3932" s="18" t="n">
        <f aca="false">((I3931 + G3932) - H3932)</f>
        <v>8208.81</v>
      </c>
      <c r="J3932" s="18" t="n">
        <v>604.43</v>
      </c>
      <c r="K3932" s="19" t="n">
        <v>10</v>
      </c>
      <c r="L3932" s="17" t="s">
        <v>44</v>
      </c>
    </row>
    <row r="3933" s="11" customFormat="true" ht="10.95" hidden="false" customHeight="true" outlineLevel="0" collapsed="false">
      <c r="A3933" s="21" t="s">
        <v>2044</v>
      </c>
      <c r="B3933" s="21"/>
      <c r="C3933" s="21"/>
      <c r="D3933" s="21"/>
      <c r="E3933" s="21"/>
      <c r="F3933" s="21"/>
      <c r="G3933" s="22" t="n">
        <f aca="false">SUM(G3931:G3932)</f>
        <v>8208.81</v>
      </c>
      <c r="H3933" s="22" t="n">
        <f aca="false">SUM(H3931:H3932)</f>
        <v>0</v>
      </c>
      <c r="I3933" s="22" t="n">
        <f aca="false">I3932</f>
        <v>8208.81</v>
      </c>
      <c r="J3933" s="22" t="n">
        <f aca="false">SUM(J3931:J3932)</f>
        <v>820.88</v>
      </c>
      <c r="K3933" s="21"/>
      <c r="L3933" s="21"/>
    </row>
    <row r="3934" s="11" customFormat="true" ht="10.95" hidden="false" customHeight="true" outlineLevel="0" collapsed="false">
      <c r="A3934" s="21" t="s">
        <v>784</v>
      </c>
      <c r="B3934" s="21"/>
      <c r="C3934" s="21"/>
      <c r="D3934" s="21"/>
      <c r="E3934" s="21"/>
      <c r="F3934" s="21"/>
      <c r="G3934" s="22" t="n">
        <v>8208.81</v>
      </c>
      <c r="H3934" s="22" t="n">
        <v>0</v>
      </c>
      <c r="I3934" s="22" t="n">
        <v>0</v>
      </c>
      <c r="J3934" s="22" t="n">
        <v>0</v>
      </c>
      <c r="K3934" s="21"/>
      <c r="L3934" s="21"/>
    </row>
    <row r="3935" s="11" customFormat="true" ht="10.95" hidden="false" customHeight="true" outlineLevel="0" collapsed="false">
      <c r="A3935" s="9" t="s">
        <v>785</v>
      </c>
      <c r="B3935" s="9"/>
      <c r="C3935" s="9"/>
      <c r="D3935" s="9"/>
      <c r="E3935" s="9"/>
      <c r="F3935" s="9"/>
      <c r="G3935" s="10" t="n">
        <v>8208.81</v>
      </c>
      <c r="H3935" s="10" t="n">
        <v>0</v>
      </c>
      <c r="I3935" s="10" t="n">
        <f aca="false">I3932</f>
        <v>8208.81</v>
      </c>
      <c r="J3935" s="10" t="n">
        <v>0</v>
      </c>
      <c r="K3935" s="9"/>
      <c r="L3935" s="9"/>
    </row>
    <row r="3936" customFormat="false" ht="13.35" hidden="false" customHeight="true" outlineLevel="0" collapsed="false"/>
    <row r="3937" s="7" customFormat="true" ht="12.1" hidden="false" customHeight="true" outlineLevel="0" collapsed="false">
      <c r="A3937" s="8" t="s">
        <v>2045</v>
      </c>
      <c r="B3937" s="8"/>
      <c r="C3937" s="8"/>
      <c r="D3937" s="8"/>
      <c r="E3937" s="8"/>
      <c r="F3937" s="8"/>
      <c r="G3937" s="8"/>
      <c r="H3937" s="8"/>
      <c r="I3937" s="8"/>
      <c r="J3937" s="8"/>
      <c r="K3937" s="8"/>
      <c r="L3937" s="8"/>
    </row>
    <row r="3938" s="11" customFormat="true" ht="10.95" hidden="false" customHeight="true" outlineLevel="0" collapsed="false">
      <c r="A3938" s="9" t="s">
        <v>16</v>
      </c>
      <c r="B3938" s="9"/>
      <c r="C3938" s="9"/>
      <c r="D3938" s="9"/>
      <c r="E3938" s="9"/>
      <c r="F3938" s="9"/>
      <c r="G3938" s="10" t="n">
        <v>0</v>
      </c>
      <c r="H3938" s="10" t="n">
        <v>0</v>
      </c>
      <c r="I3938" s="10" t="n">
        <f aca="false">(G3938 - H3938)</f>
        <v>0</v>
      </c>
      <c r="J3938" s="10" t="n">
        <v>0</v>
      </c>
      <c r="K3938" s="9"/>
      <c r="L3938" s="9"/>
    </row>
    <row r="3939" s="11" customFormat="true" ht="10.95" hidden="false" customHeight="true" outlineLevel="0" collapsed="false">
      <c r="A3939" s="12" t="n">
        <v>45112</v>
      </c>
      <c r="B3939" s="13" t="s">
        <v>2046</v>
      </c>
      <c r="C3939" s="13" t="s">
        <v>1593</v>
      </c>
      <c r="D3939" s="13" t="s">
        <v>1391</v>
      </c>
      <c r="E3939" s="13" t="s">
        <v>2047</v>
      </c>
      <c r="F3939" s="13" t="s">
        <v>2048</v>
      </c>
      <c r="G3939" s="14" t="n">
        <v>1013.97</v>
      </c>
      <c r="H3939" s="14" t="n">
        <v>0</v>
      </c>
      <c r="I3939" s="14" t="n">
        <f aca="false">((I3938 + G3939) - H3939)</f>
        <v>1013.97</v>
      </c>
      <c r="J3939" s="14" t="n">
        <v>101.4</v>
      </c>
      <c r="K3939" s="15" t="n">
        <v>10</v>
      </c>
      <c r="L3939" s="13" t="s">
        <v>44</v>
      </c>
    </row>
    <row r="3940" s="11" customFormat="true" ht="10.95" hidden="false" customHeight="true" outlineLevel="0" collapsed="false">
      <c r="A3940" s="16" t="n">
        <v>45142</v>
      </c>
      <c r="B3940" s="17" t="s">
        <v>2046</v>
      </c>
      <c r="C3940" s="17" t="s">
        <v>1593</v>
      </c>
      <c r="D3940" s="17" t="s">
        <v>1407</v>
      </c>
      <c r="E3940" s="17" t="s">
        <v>2049</v>
      </c>
      <c r="F3940" s="17"/>
      <c r="G3940" s="18" t="n">
        <v>1500</v>
      </c>
      <c r="H3940" s="18" t="n">
        <v>0</v>
      </c>
      <c r="I3940" s="18" t="n">
        <f aca="false">((I3939 + G3940) - H3940)</f>
        <v>2513.97</v>
      </c>
      <c r="J3940" s="18" t="n">
        <v>150</v>
      </c>
      <c r="K3940" s="19" t="n">
        <v>10</v>
      </c>
      <c r="L3940" s="17" t="s">
        <v>44</v>
      </c>
    </row>
    <row r="3941" s="11" customFormat="true" ht="10.95" hidden="false" customHeight="true" outlineLevel="0" collapsed="false">
      <c r="A3941" s="16" t="n">
        <v>45463</v>
      </c>
      <c r="B3941" s="17" t="s">
        <v>2046</v>
      </c>
      <c r="C3941" s="17" t="s">
        <v>1593</v>
      </c>
      <c r="D3941" s="17" t="s">
        <v>1407</v>
      </c>
      <c r="E3941" s="17" t="s">
        <v>2050</v>
      </c>
      <c r="F3941" s="17"/>
      <c r="G3941" s="18" t="n">
        <v>1500</v>
      </c>
      <c r="H3941" s="18" t="n">
        <v>0</v>
      </c>
      <c r="I3941" s="18" t="n">
        <f aca="false">((I3940 + G3941) - H3941)</f>
        <v>4013.97</v>
      </c>
      <c r="J3941" s="18" t="n">
        <v>150</v>
      </c>
      <c r="K3941" s="19" t="n">
        <v>10</v>
      </c>
      <c r="L3941" s="17" t="s">
        <v>44</v>
      </c>
    </row>
    <row r="3942" s="11" customFormat="true" ht="10.95" hidden="false" customHeight="true" outlineLevel="0" collapsed="false">
      <c r="A3942" s="21" t="s">
        <v>2051</v>
      </c>
      <c r="B3942" s="21"/>
      <c r="C3942" s="21"/>
      <c r="D3942" s="21"/>
      <c r="E3942" s="21"/>
      <c r="F3942" s="21"/>
      <c r="G3942" s="22" t="n">
        <f aca="false">SUM(G3939:G3941)</f>
        <v>4013.97</v>
      </c>
      <c r="H3942" s="22" t="n">
        <f aca="false">SUM(H3939:H3941)</f>
        <v>0</v>
      </c>
      <c r="I3942" s="22" t="n">
        <f aca="false">I3941</f>
        <v>4013.97</v>
      </c>
      <c r="J3942" s="22" t="n">
        <f aca="false">SUM(J3939:J3941)</f>
        <v>401.4</v>
      </c>
      <c r="K3942" s="21"/>
      <c r="L3942" s="21"/>
    </row>
    <row r="3943" s="11" customFormat="true" ht="10.95" hidden="false" customHeight="true" outlineLevel="0" collapsed="false">
      <c r="A3943" s="21" t="s">
        <v>784</v>
      </c>
      <c r="B3943" s="21"/>
      <c r="C3943" s="21"/>
      <c r="D3943" s="21"/>
      <c r="E3943" s="21"/>
      <c r="F3943" s="21"/>
      <c r="G3943" s="22" t="n">
        <v>4013.97</v>
      </c>
      <c r="H3943" s="22" t="n">
        <v>0</v>
      </c>
      <c r="I3943" s="22" t="n">
        <v>0</v>
      </c>
      <c r="J3943" s="22" t="n">
        <v>0</v>
      </c>
      <c r="K3943" s="21"/>
      <c r="L3943" s="21"/>
    </row>
    <row r="3944" s="11" customFormat="true" ht="10.95" hidden="false" customHeight="true" outlineLevel="0" collapsed="false">
      <c r="A3944" s="9" t="s">
        <v>785</v>
      </c>
      <c r="B3944" s="9"/>
      <c r="C3944" s="9"/>
      <c r="D3944" s="9"/>
      <c r="E3944" s="9"/>
      <c r="F3944" s="9"/>
      <c r="G3944" s="10" t="n">
        <v>4013.97</v>
      </c>
      <c r="H3944" s="10" t="n">
        <v>0</v>
      </c>
      <c r="I3944" s="10" t="n">
        <f aca="false">I3941</f>
        <v>4013.97</v>
      </c>
      <c r="J3944" s="10" t="n">
        <v>0</v>
      </c>
      <c r="K3944" s="9"/>
      <c r="L3944" s="9"/>
    </row>
    <row r="3945" customFormat="false" ht="13.35" hidden="false" customHeight="true" outlineLevel="0" collapsed="false"/>
    <row r="3946" s="7" customFormat="true" ht="12.1" hidden="false" customHeight="true" outlineLevel="0" collapsed="false">
      <c r="A3946" s="8" t="s">
        <v>2052</v>
      </c>
      <c r="B3946" s="8"/>
      <c r="C3946" s="8"/>
      <c r="D3946" s="8"/>
      <c r="E3946" s="8"/>
      <c r="F3946" s="8"/>
      <c r="G3946" s="8"/>
      <c r="H3946" s="8"/>
      <c r="I3946" s="8"/>
      <c r="J3946" s="8"/>
      <c r="K3946" s="8"/>
      <c r="L3946" s="8"/>
    </row>
    <row r="3947" s="11" customFormat="true" ht="10.95" hidden="false" customHeight="true" outlineLevel="0" collapsed="false">
      <c r="A3947" s="9" t="s">
        <v>16</v>
      </c>
      <c r="B3947" s="9"/>
      <c r="C3947" s="9"/>
      <c r="D3947" s="9"/>
      <c r="E3947" s="9"/>
      <c r="F3947" s="9"/>
      <c r="G3947" s="10" t="n">
        <v>0</v>
      </c>
      <c r="H3947" s="10" t="n">
        <v>0</v>
      </c>
      <c r="I3947" s="10" t="n">
        <f aca="false">(G3947 - H3947)</f>
        <v>0</v>
      </c>
      <c r="J3947" s="10" t="n">
        <v>0</v>
      </c>
      <c r="K3947" s="9"/>
      <c r="L3947" s="9"/>
    </row>
    <row r="3948" s="11" customFormat="true" ht="10.95" hidden="false" customHeight="true" outlineLevel="0" collapsed="false">
      <c r="A3948" s="12" t="n">
        <v>45222</v>
      </c>
      <c r="B3948" s="13" t="s">
        <v>2053</v>
      </c>
      <c r="C3948" s="13" t="s">
        <v>1593</v>
      </c>
      <c r="D3948" s="13" t="s">
        <v>1407</v>
      </c>
      <c r="E3948" s="13" t="s">
        <v>2054</v>
      </c>
      <c r="F3948" s="13"/>
      <c r="G3948" s="14" t="n">
        <v>5000</v>
      </c>
      <c r="H3948" s="14" t="n">
        <v>0</v>
      </c>
      <c r="I3948" s="14" t="n">
        <f aca="false">((I3947 + G3948) - H3948)</f>
        <v>5000</v>
      </c>
      <c r="J3948" s="14" t="n">
        <v>0</v>
      </c>
      <c r="K3948" s="15" t="n">
        <v>0</v>
      </c>
      <c r="L3948" s="13" t="s">
        <v>1406</v>
      </c>
    </row>
    <row r="3949" s="11" customFormat="true" ht="10.95" hidden="false" customHeight="true" outlineLevel="0" collapsed="false">
      <c r="A3949" s="16" t="n">
        <v>45329</v>
      </c>
      <c r="B3949" s="17" t="s">
        <v>2053</v>
      </c>
      <c r="C3949" s="17" t="s">
        <v>1593</v>
      </c>
      <c r="D3949" s="17" t="s">
        <v>1407</v>
      </c>
      <c r="E3949" s="17" t="s">
        <v>2054</v>
      </c>
      <c r="F3949" s="17"/>
      <c r="G3949" s="18" t="n">
        <v>5000</v>
      </c>
      <c r="H3949" s="18" t="n">
        <v>0</v>
      </c>
      <c r="I3949" s="18" t="n">
        <f aca="false">((I3948 + G3949) - H3949)</f>
        <v>10000</v>
      </c>
      <c r="J3949" s="18" t="n">
        <v>0</v>
      </c>
      <c r="K3949" s="19" t="n">
        <v>0</v>
      </c>
      <c r="L3949" s="17" t="s">
        <v>1406</v>
      </c>
    </row>
    <row r="3950" s="11" customFormat="true" ht="10.95" hidden="false" customHeight="true" outlineLevel="0" collapsed="false">
      <c r="A3950" s="16" t="n">
        <v>45394</v>
      </c>
      <c r="B3950" s="17" t="s">
        <v>2053</v>
      </c>
      <c r="C3950" s="17" t="s">
        <v>1593</v>
      </c>
      <c r="D3950" s="17" t="s">
        <v>1407</v>
      </c>
      <c r="E3950" s="17" t="s">
        <v>2055</v>
      </c>
      <c r="F3950" s="17"/>
      <c r="G3950" s="18" t="n">
        <v>5000</v>
      </c>
      <c r="H3950" s="18" t="n">
        <v>0</v>
      </c>
      <c r="I3950" s="18" t="n">
        <f aca="false">((I3949 + G3950) - H3950)</f>
        <v>15000</v>
      </c>
      <c r="J3950" s="18" t="n">
        <v>0</v>
      </c>
      <c r="K3950" s="19" t="n">
        <v>0</v>
      </c>
      <c r="L3950" s="17" t="s">
        <v>1406</v>
      </c>
    </row>
    <row r="3951" s="11" customFormat="true" ht="10.95" hidden="false" customHeight="true" outlineLevel="0" collapsed="false">
      <c r="A3951" s="21" t="s">
        <v>2056</v>
      </c>
      <c r="B3951" s="21"/>
      <c r="C3951" s="21"/>
      <c r="D3951" s="21"/>
      <c r="E3951" s="21"/>
      <c r="F3951" s="21"/>
      <c r="G3951" s="22" t="n">
        <f aca="false">SUM(G3948:G3950)</f>
        <v>15000</v>
      </c>
      <c r="H3951" s="22" t="n">
        <f aca="false">SUM(H3948:H3950)</f>
        <v>0</v>
      </c>
      <c r="I3951" s="22" t="n">
        <f aca="false">I3950</f>
        <v>15000</v>
      </c>
      <c r="J3951" s="22" t="n">
        <f aca="false">SUM(J3948:J3950)</f>
        <v>0</v>
      </c>
      <c r="K3951" s="21"/>
      <c r="L3951" s="21"/>
    </row>
    <row r="3952" s="11" customFormat="true" ht="10.95" hidden="false" customHeight="true" outlineLevel="0" collapsed="false">
      <c r="A3952" s="21" t="s">
        <v>784</v>
      </c>
      <c r="B3952" s="21"/>
      <c r="C3952" s="21"/>
      <c r="D3952" s="21"/>
      <c r="E3952" s="21"/>
      <c r="F3952" s="21"/>
      <c r="G3952" s="22" t="n">
        <v>15000</v>
      </c>
      <c r="H3952" s="22" t="n">
        <v>0</v>
      </c>
      <c r="I3952" s="22" t="n">
        <v>0</v>
      </c>
      <c r="J3952" s="22" t="n">
        <v>0</v>
      </c>
      <c r="K3952" s="21"/>
      <c r="L3952" s="21"/>
    </row>
    <row r="3953" s="11" customFormat="true" ht="10.95" hidden="false" customHeight="true" outlineLevel="0" collapsed="false">
      <c r="A3953" s="9" t="s">
        <v>785</v>
      </c>
      <c r="B3953" s="9"/>
      <c r="C3953" s="9"/>
      <c r="D3953" s="9"/>
      <c r="E3953" s="9"/>
      <c r="F3953" s="9"/>
      <c r="G3953" s="10" t="n">
        <v>15000</v>
      </c>
      <c r="H3953" s="10" t="n">
        <v>0</v>
      </c>
      <c r="I3953" s="10" t="n">
        <f aca="false">I3950</f>
        <v>15000</v>
      </c>
      <c r="J3953" s="10" t="n">
        <v>0</v>
      </c>
      <c r="K3953" s="9"/>
      <c r="L3953" s="9"/>
    </row>
    <row r="3954" customFormat="false" ht="13.35" hidden="false" customHeight="true" outlineLevel="0" collapsed="false"/>
    <row r="3955" s="7" customFormat="true" ht="12.1" hidden="false" customHeight="true" outlineLevel="0" collapsed="false">
      <c r="A3955" s="8" t="s">
        <v>2057</v>
      </c>
      <c r="B3955" s="8"/>
      <c r="C3955" s="8"/>
      <c r="D3955" s="8"/>
      <c r="E3955" s="8"/>
      <c r="F3955" s="8"/>
      <c r="G3955" s="8"/>
      <c r="H3955" s="8"/>
      <c r="I3955" s="8"/>
      <c r="J3955" s="8"/>
      <c r="K3955" s="8"/>
      <c r="L3955" s="8"/>
    </row>
    <row r="3956" s="11" customFormat="true" ht="10.95" hidden="false" customHeight="true" outlineLevel="0" collapsed="false">
      <c r="A3956" s="9" t="s">
        <v>16</v>
      </c>
      <c r="B3956" s="9"/>
      <c r="C3956" s="9"/>
      <c r="D3956" s="9"/>
      <c r="E3956" s="9"/>
      <c r="F3956" s="9"/>
      <c r="G3956" s="10" t="n">
        <v>0</v>
      </c>
      <c r="H3956" s="10" t="n">
        <v>0</v>
      </c>
      <c r="I3956" s="10" t="n">
        <f aca="false">(G3956 - H3956)</f>
        <v>0</v>
      </c>
      <c r="J3956" s="10" t="n">
        <v>0</v>
      </c>
      <c r="K3956" s="9"/>
      <c r="L3956" s="9"/>
    </row>
    <row r="3957" s="11" customFormat="true" ht="10.95" hidden="false" customHeight="true" outlineLevel="0" collapsed="false">
      <c r="A3957" s="12" t="n">
        <v>45473</v>
      </c>
      <c r="B3957" s="13" t="s">
        <v>2058</v>
      </c>
      <c r="C3957" s="13" t="s">
        <v>1593</v>
      </c>
      <c r="D3957" s="13" t="s">
        <v>1396</v>
      </c>
      <c r="E3957" s="13" t="s">
        <v>1769</v>
      </c>
      <c r="F3957" s="13" t="s">
        <v>1770</v>
      </c>
      <c r="G3957" s="14" t="n">
        <v>310</v>
      </c>
      <c r="H3957" s="14" t="n">
        <v>0</v>
      </c>
      <c r="I3957" s="14" t="n">
        <f aca="false">((I3956 + G3957) - H3957)</f>
        <v>310</v>
      </c>
      <c r="J3957" s="14" t="n">
        <v>0</v>
      </c>
      <c r="K3957" s="15" t="n">
        <v>0</v>
      </c>
      <c r="L3957" s="13" t="s">
        <v>1399</v>
      </c>
    </row>
    <row r="3958" s="11" customFormat="true" ht="10.95" hidden="false" customHeight="true" outlineLevel="0" collapsed="false">
      <c r="A3958" s="21" t="s">
        <v>2059</v>
      </c>
      <c r="B3958" s="21"/>
      <c r="C3958" s="21"/>
      <c r="D3958" s="21"/>
      <c r="E3958" s="21"/>
      <c r="F3958" s="21"/>
      <c r="G3958" s="22" t="n">
        <f aca="false">G3957</f>
        <v>310</v>
      </c>
      <c r="H3958" s="22" t="n">
        <f aca="false">H3957</f>
        <v>0</v>
      </c>
      <c r="I3958" s="22" t="n">
        <f aca="false">I3957</f>
        <v>310</v>
      </c>
      <c r="J3958" s="22" t="n">
        <f aca="false">J3957</f>
        <v>0</v>
      </c>
      <c r="K3958" s="21"/>
      <c r="L3958" s="21"/>
    </row>
    <row r="3959" s="11" customFormat="true" ht="10.95" hidden="false" customHeight="true" outlineLevel="0" collapsed="false">
      <c r="A3959" s="21" t="s">
        <v>784</v>
      </c>
      <c r="B3959" s="21"/>
      <c r="C3959" s="21"/>
      <c r="D3959" s="21"/>
      <c r="E3959" s="21"/>
      <c r="F3959" s="21"/>
      <c r="G3959" s="22" t="n">
        <v>310</v>
      </c>
      <c r="H3959" s="22" t="n">
        <v>0</v>
      </c>
      <c r="I3959" s="22" t="n">
        <v>0</v>
      </c>
      <c r="J3959" s="22" t="n">
        <v>0</v>
      </c>
      <c r="K3959" s="21"/>
      <c r="L3959" s="21"/>
    </row>
    <row r="3960" s="11" customFormat="true" ht="10.95" hidden="false" customHeight="true" outlineLevel="0" collapsed="false">
      <c r="A3960" s="9" t="s">
        <v>785</v>
      </c>
      <c r="B3960" s="9"/>
      <c r="C3960" s="9"/>
      <c r="D3960" s="9"/>
      <c r="E3960" s="9"/>
      <c r="F3960" s="9"/>
      <c r="G3960" s="10" t="n">
        <v>310</v>
      </c>
      <c r="H3960" s="10" t="n">
        <v>0</v>
      </c>
      <c r="I3960" s="10" t="n">
        <f aca="false">I3957</f>
        <v>310</v>
      </c>
      <c r="J3960" s="10" t="n">
        <v>0</v>
      </c>
      <c r="K3960" s="9"/>
      <c r="L3960" s="9"/>
    </row>
    <row r="3961" customFormat="false" ht="13.35" hidden="false" customHeight="true" outlineLevel="0" collapsed="false"/>
    <row r="3962" s="7" customFormat="true" ht="12.1" hidden="false" customHeight="true" outlineLevel="0" collapsed="false">
      <c r="A3962" s="8" t="s">
        <v>2060</v>
      </c>
      <c r="B3962" s="8"/>
      <c r="C3962" s="8"/>
      <c r="D3962" s="8"/>
      <c r="E3962" s="8"/>
      <c r="F3962" s="8"/>
      <c r="G3962" s="8"/>
      <c r="H3962" s="8"/>
      <c r="I3962" s="8"/>
      <c r="J3962" s="8"/>
      <c r="K3962" s="8"/>
      <c r="L3962" s="8"/>
    </row>
    <row r="3963" s="11" customFormat="true" ht="10.95" hidden="false" customHeight="true" outlineLevel="0" collapsed="false">
      <c r="A3963" s="9" t="s">
        <v>16</v>
      </c>
      <c r="B3963" s="9"/>
      <c r="C3963" s="9"/>
      <c r="D3963" s="9"/>
      <c r="E3963" s="9"/>
      <c r="F3963" s="9"/>
      <c r="G3963" s="10" t="n">
        <v>0</v>
      </c>
      <c r="H3963" s="10" t="n">
        <v>0</v>
      </c>
      <c r="I3963" s="10" t="n">
        <f aca="false">(G3963 - H3963)</f>
        <v>0</v>
      </c>
      <c r="J3963" s="10" t="n">
        <v>0</v>
      </c>
      <c r="K3963" s="9"/>
      <c r="L3963" s="9"/>
    </row>
    <row r="3964" s="11" customFormat="true" ht="10.95" hidden="false" customHeight="true" outlineLevel="0" collapsed="false">
      <c r="A3964" s="12" t="n">
        <v>45185</v>
      </c>
      <c r="B3964" s="13" t="s">
        <v>2061</v>
      </c>
      <c r="C3964" s="13" t="s">
        <v>1593</v>
      </c>
      <c r="D3964" s="13" t="s">
        <v>1407</v>
      </c>
      <c r="E3964" s="13" t="s">
        <v>2062</v>
      </c>
      <c r="F3964" s="13"/>
      <c r="G3964" s="14" t="n">
        <v>90.95</v>
      </c>
      <c r="H3964" s="14" t="n">
        <v>0</v>
      </c>
      <c r="I3964" s="14" t="n">
        <f aca="false">((I3963 + G3964) - H3964)</f>
        <v>90.95</v>
      </c>
      <c r="J3964" s="14" t="n">
        <v>9.09</v>
      </c>
      <c r="K3964" s="15" t="n">
        <v>10</v>
      </c>
      <c r="L3964" s="13" t="s">
        <v>44</v>
      </c>
    </row>
    <row r="3965" s="11" customFormat="true" ht="10.95" hidden="false" customHeight="true" outlineLevel="0" collapsed="false">
      <c r="A3965" s="16" t="n">
        <v>45319</v>
      </c>
      <c r="B3965" s="17" t="s">
        <v>2061</v>
      </c>
      <c r="C3965" s="17" t="s">
        <v>1593</v>
      </c>
      <c r="D3965" s="17" t="s">
        <v>1407</v>
      </c>
      <c r="E3965" s="17" t="s">
        <v>2063</v>
      </c>
      <c r="F3965" s="17"/>
      <c r="G3965" s="18" t="n">
        <v>181.82</v>
      </c>
      <c r="H3965" s="18" t="n">
        <v>0</v>
      </c>
      <c r="I3965" s="18" t="n">
        <f aca="false">((I3964 + G3965) - H3965)</f>
        <v>272.77</v>
      </c>
      <c r="J3965" s="18" t="n">
        <v>18.18</v>
      </c>
      <c r="K3965" s="19" t="n">
        <v>10</v>
      </c>
      <c r="L3965" s="17" t="s">
        <v>44</v>
      </c>
    </row>
    <row r="3966" s="11" customFormat="true" ht="10.95" hidden="false" customHeight="true" outlineLevel="0" collapsed="false">
      <c r="A3966" s="16" t="n">
        <v>45360</v>
      </c>
      <c r="B3966" s="17" t="s">
        <v>2061</v>
      </c>
      <c r="C3966" s="17" t="s">
        <v>1593</v>
      </c>
      <c r="D3966" s="17" t="s">
        <v>1407</v>
      </c>
      <c r="E3966" s="17" t="s">
        <v>2064</v>
      </c>
      <c r="F3966" s="17"/>
      <c r="G3966" s="18" t="n">
        <v>376.36</v>
      </c>
      <c r="H3966" s="18" t="n">
        <v>0</v>
      </c>
      <c r="I3966" s="18" t="n">
        <f aca="false">((I3965 + G3966) - H3966)</f>
        <v>649.13</v>
      </c>
      <c r="J3966" s="18" t="n">
        <v>37.64</v>
      </c>
      <c r="K3966" s="19" t="n">
        <v>10</v>
      </c>
      <c r="L3966" s="17" t="s">
        <v>44</v>
      </c>
    </row>
    <row r="3967" s="11" customFormat="true" ht="10.95" hidden="false" customHeight="true" outlineLevel="0" collapsed="false">
      <c r="A3967" s="21" t="s">
        <v>2065</v>
      </c>
      <c r="B3967" s="21"/>
      <c r="C3967" s="21"/>
      <c r="D3967" s="21"/>
      <c r="E3967" s="21"/>
      <c r="F3967" s="21"/>
      <c r="G3967" s="22" t="n">
        <f aca="false">SUM(G3964:G3966)</f>
        <v>649.13</v>
      </c>
      <c r="H3967" s="22" t="n">
        <f aca="false">SUM(H3964:H3966)</f>
        <v>0</v>
      </c>
      <c r="I3967" s="22" t="n">
        <f aca="false">I3966</f>
        <v>649.13</v>
      </c>
      <c r="J3967" s="22" t="n">
        <f aca="false">SUM(J3964:J3966)</f>
        <v>64.91</v>
      </c>
      <c r="K3967" s="21"/>
      <c r="L3967" s="21"/>
    </row>
    <row r="3968" s="11" customFormat="true" ht="10.95" hidden="false" customHeight="true" outlineLevel="0" collapsed="false">
      <c r="A3968" s="21" t="s">
        <v>784</v>
      </c>
      <c r="B3968" s="21"/>
      <c r="C3968" s="21"/>
      <c r="D3968" s="21"/>
      <c r="E3968" s="21"/>
      <c r="F3968" s="21"/>
      <c r="G3968" s="22" t="n">
        <v>649.13</v>
      </c>
      <c r="H3968" s="22" t="n">
        <v>0</v>
      </c>
      <c r="I3968" s="22" t="n">
        <v>0</v>
      </c>
      <c r="J3968" s="22" t="n">
        <v>0</v>
      </c>
      <c r="K3968" s="21"/>
      <c r="L3968" s="21"/>
    </row>
    <row r="3969" s="11" customFormat="true" ht="10.95" hidden="false" customHeight="true" outlineLevel="0" collapsed="false">
      <c r="A3969" s="9" t="s">
        <v>785</v>
      </c>
      <c r="B3969" s="9"/>
      <c r="C3969" s="9"/>
      <c r="D3969" s="9"/>
      <c r="E3969" s="9"/>
      <c r="F3969" s="9"/>
      <c r="G3969" s="10" t="n">
        <v>649.13</v>
      </c>
      <c r="H3969" s="10" t="n">
        <v>0</v>
      </c>
      <c r="I3969" s="10" t="n">
        <f aca="false">I3966</f>
        <v>649.13</v>
      </c>
      <c r="J3969" s="10" t="n">
        <v>0</v>
      </c>
      <c r="K3969" s="9"/>
      <c r="L3969" s="9"/>
    </row>
    <row r="3970" customFormat="false" ht="13.35" hidden="false" customHeight="true" outlineLevel="0" collapsed="false"/>
    <row r="3971" s="7" customFormat="true" ht="12.1" hidden="false" customHeight="true" outlineLevel="0" collapsed="false">
      <c r="A3971" s="8" t="s">
        <v>2066</v>
      </c>
      <c r="B3971" s="8"/>
      <c r="C3971" s="8"/>
      <c r="D3971" s="8"/>
      <c r="E3971" s="8"/>
      <c r="F3971" s="8"/>
      <c r="G3971" s="8"/>
      <c r="H3971" s="8"/>
      <c r="I3971" s="8"/>
      <c r="J3971" s="8"/>
      <c r="K3971" s="8"/>
      <c r="L3971" s="8"/>
    </row>
    <row r="3972" s="11" customFormat="true" ht="10.95" hidden="false" customHeight="true" outlineLevel="0" collapsed="false">
      <c r="A3972" s="9" t="s">
        <v>16</v>
      </c>
      <c r="B3972" s="9"/>
      <c r="C3972" s="9"/>
      <c r="D3972" s="9"/>
      <c r="E3972" s="9"/>
      <c r="F3972" s="9"/>
      <c r="G3972" s="10" t="n">
        <v>0</v>
      </c>
      <c r="H3972" s="10" t="n">
        <v>0</v>
      </c>
      <c r="I3972" s="10" t="n">
        <f aca="false">(G3972 - H3972)</f>
        <v>0</v>
      </c>
      <c r="J3972" s="10" t="n">
        <v>0</v>
      </c>
      <c r="K3972" s="9"/>
      <c r="L3972" s="9"/>
    </row>
    <row r="3973" s="11" customFormat="true" ht="10.95" hidden="false" customHeight="true" outlineLevel="0" collapsed="false">
      <c r="A3973" s="12" t="n">
        <v>45322</v>
      </c>
      <c r="B3973" s="13" t="s">
        <v>2067</v>
      </c>
      <c r="C3973" s="13" t="s">
        <v>1593</v>
      </c>
      <c r="D3973" s="13" t="s">
        <v>1391</v>
      </c>
      <c r="E3973" s="13" t="s">
        <v>2068</v>
      </c>
      <c r="F3973" s="13" t="s">
        <v>2069</v>
      </c>
      <c r="G3973" s="14" t="n">
        <v>7218.67</v>
      </c>
      <c r="H3973" s="14" t="n">
        <v>0</v>
      </c>
      <c r="I3973" s="14" t="n">
        <f aca="false">((I3972 + G3973) - H3973)</f>
        <v>7218.67</v>
      </c>
      <c r="J3973" s="14" t="n">
        <v>0</v>
      </c>
      <c r="K3973" s="15" t="n">
        <v>0</v>
      </c>
      <c r="L3973" s="13" t="s">
        <v>1406</v>
      </c>
    </row>
    <row r="3974" s="11" customFormat="true" ht="10.95" hidden="false" customHeight="true" outlineLevel="0" collapsed="false">
      <c r="A3974" s="21" t="s">
        <v>2070</v>
      </c>
      <c r="B3974" s="21"/>
      <c r="C3974" s="21"/>
      <c r="D3974" s="21"/>
      <c r="E3974" s="21"/>
      <c r="F3974" s="21"/>
      <c r="G3974" s="22" t="n">
        <f aca="false">G3973</f>
        <v>7218.67</v>
      </c>
      <c r="H3974" s="22" t="n">
        <f aca="false">H3973</f>
        <v>0</v>
      </c>
      <c r="I3974" s="22" t="n">
        <f aca="false">I3973</f>
        <v>7218.67</v>
      </c>
      <c r="J3974" s="22" t="n">
        <f aca="false">J3973</f>
        <v>0</v>
      </c>
      <c r="K3974" s="21"/>
      <c r="L3974" s="21"/>
    </row>
    <row r="3975" s="11" customFormat="true" ht="10.95" hidden="false" customHeight="true" outlineLevel="0" collapsed="false">
      <c r="A3975" s="21" t="s">
        <v>784</v>
      </c>
      <c r="B3975" s="21"/>
      <c r="C3975" s="21"/>
      <c r="D3975" s="21"/>
      <c r="E3975" s="21"/>
      <c r="F3975" s="21"/>
      <c r="G3975" s="22" t="n">
        <v>7218.67</v>
      </c>
      <c r="H3975" s="22" t="n">
        <v>0</v>
      </c>
      <c r="I3975" s="22" t="n">
        <v>0</v>
      </c>
      <c r="J3975" s="22" t="n">
        <v>0</v>
      </c>
      <c r="K3975" s="21"/>
      <c r="L3975" s="21"/>
    </row>
    <row r="3976" s="11" customFormat="true" ht="10.95" hidden="false" customHeight="true" outlineLevel="0" collapsed="false">
      <c r="A3976" s="9" t="s">
        <v>785</v>
      </c>
      <c r="B3976" s="9"/>
      <c r="C3976" s="9"/>
      <c r="D3976" s="9"/>
      <c r="E3976" s="9"/>
      <c r="F3976" s="9"/>
      <c r="G3976" s="10" t="n">
        <v>7218.67</v>
      </c>
      <c r="H3976" s="10" t="n">
        <v>0</v>
      </c>
      <c r="I3976" s="10" t="n">
        <f aca="false">I3973</f>
        <v>7218.67</v>
      </c>
      <c r="J3976" s="10" t="n">
        <v>0</v>
      </c>
      <c r="K3976" s="9"/>
      <c r="L3976" s="9"/>
    </row>
    <row r="3977" customFormat="false" ht="13.35" hidden="false" customHeight="true" outlineLevel="0" collapsed="false"/>
    <row r="3978" s="7" customFormat="true" ht="12.1" hidden="false" customHeight="true" outlineLevel="0" collapsed="false">
      <c r="A3978" s="8" t="s">
        <v>2071</v>
      </c>
      <c r="B3978" s="8"/>
      <c r="C3978" s="8"/>
      <c r="D3978" s="8"/>
      <c r="E3978" s="8"/>
      <c r="F3978" s="8"/>
      <c r="G3978" s="8"/>
      <c r="H3978" s="8"/>
      <c r="I3978" s="8"/>
      <c r="J3978" s="8"/>
      <c r="K3978" s="8"/>
      <c r="L3978" s="8"/>
    </row>
    <row r="3979" s="11" customFormat="true" ht="10.95" hidden="false" customHeight="true" outlineLevel="0" collapsed="false">
      <c r="A3979" s="9" t="s">
        <v>16</v>
      </c>
      <c r="B3979" s="9"/>
      <c r="C3979" s="9"/>
      <c r="D3979" s="9"/>
      <c r="E3979" s="9"/>
      <c r="F3979" s="9"/>
      <c r="G3979" s="10" t="n">
        <v>0</v>
      </c>
      <c r="H3979" s="10" t="n">
        <v>0</v>
      </c>
      <c r="I3979" s="10" t="n">
        <f aca="false">(G3979 - H3979)</f>
        <v>0</v>
      </c>
      <c r="J3979" s="10" t="n">
        <v>0</v>
      </c>
      <c r="K3979" s="9"/>
      <c r="L3979" s="9"/>
    </row>
    <row r="3980" s="11" customFormat="true" ht="10.95" hidden="false" customHeight="true" outlineLevel="0" collapsed="false">
      <c r="A3980" s="12" t="n">
        <v>45112</v>
      </c>
      <c r="B3980" s="13" t="s">
        <v>2072</v>
      </c>
      <c r="C3980" s="13" t="s">
        <v>1593</v>
      </c>
      <c r="D3980" s="13" t="s">
        <v>1407</v>
      </c>
      <c r="E3980" s="13" t="s">
        <v>2073</v>
      </c>
      <c r="F3980" s="13"/>
      <c r="G3980" s="14" t="n">
        <v>12.7</v>
      </c>
      <c r="H3980" s="14" t="n">
        <v>0</v>
      </c>
      <c r="I3980" s="14" t="n">
        <f aca="false">((I3979 + G3980) - H3980)</f>
        <v>12.7</v>
      </c>
      <c r="J3980" s="14" t="n">
        <v>0</v>
      </c>
      <c r="K3980" s="15" t="n">
        <v>0</v>
      </c>
      <c r="L3980" s="13" t="s">
        <v>1406</v>
      </c>
    </row>
    <row r="3981" s="11" customFormat="true" ht="10.95" hidden="false" customHeight="true" outlineLevel="0" collapsed="false">
      <c r="A3981" s="16" t="n">
        <v>45142</v>
      </c>
      <c r="B3981" s="17" t="s">
        <v>2072</v>
      </c>
      <c r="C3981" s="17" t="s">
        <v>1593</v>
      </c>
      <c r="D3981" s="17" t="s">
        <v>1407</v>
      </c>
      <c r="E3981" s="17" t="s">
        <v>2074</v>
      </c>
      <c r="F3981" s="17"/>
      <c r="G3981" s="18" t="n">
        <v>69.94</v>
      </c>
      <c r="H3981" s="18" t="n">
        <v>0</v>
      </c>
      <c r="I3981" s="18" t="n">
        <f aca="false">((I3980 + G3981) - H3981)</f>
        <v>82.64</v>
      </c>
      <c r="J3981" s="18" t="n">
        <v>6.99</v>
      </c>
      <c r="K3981" s="19" t="n">
        <v>10</v>
      </c>
      <c r="L3981" s="17" t="s">
        <v>44</v>
      </c>
    </row>
    <row r="3982" s="11" customFormat="true" ht="10.95" hidden="false" customHeight="true" outlineLevel="0" collapsed="false">
      <c r="A3982" s="16" t="n">
        <v>45142</v>
      </c>
      <c r="B3982" s="17" t="s">
        <v>2072</v>
      </c>
      <c r="C3982" s="17" t="s">
        <v>1593</v>
      </c>
      <c r="D3982" s="17" t="s">
        <v>1407</v>
      </c>
      <c r="E3982" s="17" t="s">
        <v>2075</v>
      </c>
      <c r="F3982" s="17"/>
      <c r="G3982" s="18" t="n">
        <v>39.9</v>
      </c>
      <c r="H3982" s="18" t="n">
        <v>0</v>
      </c>
      <c r="I3982" s="18" t="n">
        <f aca="false">((I3981 + G3982) - H3982)</f>
        <v>122.54</v>
      </c>
      <c r="J3982" s="18" t="n">
        <v>3.99</v>
      </c>
      <c r="K3982" s="19" t="n">
        <v>10</v>
      </c>
      <c r="L3982" s="17" t="s">
        <v>44</v>
      </c>
    </row>
    <row r="3983" s="11" customFormat="true" ht="10.95" hidden="false" customHeight="true" outlineLevel="0" collapsed="false">
      <c r="A3983" s="16" t="n">
        <v>45167</v>
      </c>
      <c r="B3983" s="17" t="s">
        <v>2072</v>
      </c>
      <c r="C3983" s="17" t="s">
        <v>1593</v>
      </c>
      <c r="D3983" s="17" t="s">
        <v>1407</v>
      </c>
      <c r="E3983" s="17" t="s">
        <v>2076</v>
      </c>
      <c r="F3983" s="17"/>
      <c r="G3983" s="18" t="n">
        <v>121.84</v>
      </c>
      <c r="H3983" s="18" t="n">
        <v>0</v>
      </c>
      <c r="I3983" s="18" t="n">
        <f aca="false">((I3982 + G3983) - H3983)</f>
        <v>244.38</v>
      </c>
      <c r="J3983" s="18" t="n">
        <v>0</v>
      </c>
      <c r="K3983" s="19" t="n">
        <v>0</v>
      </c>
      <c r="L3983" s="17" t="s">
        <v>1406</v>
      </c>
    </row>
    <row r="3984" s="11" customFormat="true" ht="10.95" hidden="false" customHeight="true" outlineLevel="0" collapsed="false">
      <c r="A3984" s="16" t="n">
        <v>45170</v>
      </c>
      <c r="B3984" s="17" t="s">
        <v>2072</v>
      </c>
      <c r="C3984" s="17" t="s">
        <v>1593</v>
      </c>
      <c r="D3984" s="17" t="s">
        <v>1407</v>
      </c>
      <c r="E3984" s="17" t="s">
        <v>2077</v>
      </c>
      <c r="F3984" s="17"/>
      <c r="G3984" s="18" t="n">
        <v>154.71</v>
      </c>
      <c r="H3984" s="18" t="n">
        <v>0</v>
      </c>
      <c r="I3984" s="18" t="n">
        <f aca="false">((I3983 + G3984) - H3984)</f>
        <v>399.09</v>
      </c>
      <c r="J3984" s="18" t="n">
        <v>0</v>
      </c>
      <c r="K3984" s="19" t="n">
        <v>0</v>
      </c>
      <c r="L3984" s="17" t="s">
        <v>1406</v>
      </c>
    </row>
    <row r="3985" s="11" customFormat="true" ht="10.95" hidden="false" customHeight="true" outlineLevel="0" collapsed="false">
      <c r="A3985" s="16" t="n">
        <v>45265</v>
      </c>
      <c r="B3985" s="17" t="s">
        <v>2072</v>
      </c>
      <c r="C3985" s="17" t="s">
        <v>1593</v>
      </c>
      <c r="D3985" s="17" t="s">
        <v>1407</v>
      </c>
      <c r="E3985" s="17" t="s">
        <v>2078</v>
      </c>
      <c r="F3985" s="17"/>
      <c r="G3985" s="18" t="n">
        <v>394.74</v>
      </c>
      <c r="H3985" s="18" t="n">
        <v>0</v>
      </c>
      <c r="I3985" s="18" t="n">
        <f aca="false">((I3984 + G3985) - H3985)</f>
        <v>793.83</v>
      </c>
      <c r="J3985" s="18" t="n">
        <v>0</v>
      </c>
      <c r="K3985" s="19" t="n">
        <v>0</v>
      </c>
      <c r="L3985" s="17" t="s">
        <v>1406</v>
      </c>
    </row>
    <row r="3986" s="11" customFormat="true" ht="10.95" hidden="false" customHeight="true" outlineLevel="0" collapsed="false">
      <c r="A3986" s="16" t="n">
        <v>45294</v>
      </c>
      <c r="B3986" s="17" t="s">
        <v>2072</v>
      </c>
      <c r="C3986" s="17" t="s">
        <v>1593</v>
      </c>
      <c r="D3986" s="17" t="s">
        <v>1407</v>
      </c>
      <c r="E3986" s="17" t="s">
        <v>2079</v>
      </c>
      <c r="F3986" s="17"/>
      <c r="G3986" s="18" t="n">
        <v>318.63</v>
      </c>
      <c r="H3986" s="18" t="n">
        <v>0</v>
      </c>
      <c r="I3986" s="18" t="n">
        <f aca="false">((I3985 + G3986) - H3986)</f>
        <v>1112.46</v>
      </c>
      <c r="J3986" s="18" t="n">
        <v>0</v>
      </c>
      <c r="K3986" s="19" t="n">
        <v>0</v>
      </c>
      <c r="L3986" s="17" t="s">
        <v>1406</v>
      </c>
    </row>
    <row r="3987" s="11" customFormat="true" ht="10.95" hidden="false" customHeight="true" outlineLevel="0" collapsed="false">
      <c r="A3987" s="16" t="n">
        <v>45307</v>
      </c>
      <c r="B3987" s="17" t="s">
        <v>2072</v>
      </c>
      <c r="C3987" s="17" t="s">
        <v>1593</v>
      </c>
      <c r="D3987" s="17" t="s">
        <v>1407</v>
      </c>
      <c r="E3987" s="17" t="s">
        <v>2080</v>
      </c>
      <c r="F3987" s="17"/>
      <c r="G3987" s="18" t="n">
        <v>206.96</v>
      </c>
      <c r="H3987" s="18" t="n">
        <v>0</v>
      </c>
      <c r="I3987" s="18" t="n">
        <f aca="false">((I3986 + G3987) - H3987)</f>
        <v>1319.42</v>
      </c>
      <c r="J3987" s="18" t="n">
        <v>20.7</v>
      </c>
      <c r="K3987" s="19" t="n">
        <v>10</v>
      </c>
      <c r="L3987" s="17" t="s">
        <v>44</v>
      </c>
    </row>
    <row r="3988" s="11" customFormat="true" ht="10.95" hidden="false" customHeight="true" outlineLevel="0" collapsed="false">
      <c r="A3988" s="16" t="n">
        <v>45342</v>
      </c>
      <c r="B3988" s="17" t="s">
        <v>2072</v>
      </c>
      <c r="C3988" s="17" t="s">
        <v>1593</v>
      </c>
      <c r="D3988" s="17" t="s">
        <v>1407</v>
      </c>
      <c r="E3988" s="17" t="s">
        <v>2081</v>
      </c>
      <c r="F3988" s="17"/>
      <c r="G3988" s="18" t="n">
        <v>327.99</v>
      </c>
      <c r="H3988" s="18" t="n">
        <v>0</v>
      </c>
      <c r="I3988" s="18" t="n">
        <f aca="false">((I3987 + G3988) - H3988)</f>
        <v>1647.41</v>
      </c>
      <c r="J3988" s="18" t="n">
        <v>32.8</v>
      </c>
      <c r="K3988" s="19" t="n">
        <v>10</v>
      </c>
      <c r="L3988" s="17" t="s">
        <v>44</v>
      </c>
    </row>
    <row r="3989" s="11" customFormat="true" ht="10.95" hidden="false" customHeight="true" outlineLevel="0" collapsed="false">
      <c r="A3989" s="16" t="n">
        <v>45342</v>
      </c>
      <c r="B3989" s="17" t="s">
        <v>2072</v>
      </c>
      <c r="C3989" s="17" t="s">
        <v>1593</v>
      </c>
      <c r="D3989" s="17" t="s">
        <v>1407</v>
      </c>
      <c r="E3989" s="17" t="s">
        <v>2082</v>
      </c>
      <c r="F3989" s="17"/>
      <c r="G3989" s="18" t="n">
        <v>309.85</v>
      </c>
      <c r="H3989" s="18" t="n">
        <v>0</v>
      </c>
      <c r="I3989" s="18" t="n">
        <f aca="false">((I3988 + G3989) - H3989)</f>
        <v>1957.26</v>
      </c>
      <c r="J3989" s="18" t="n">
        <v>30.99</v>
      </c>
      <c r="K3989" s="19" t="n">
        <v>10</v>
      </c>
      <c r="L3989" s="17" t="s">
        <v>44</v>
      </c>
    </row>
    <row r="3990" s="11" customFormat="true" ht="10.95" hidden="false" customHeight="true" outlineLevel="0" collapsed="false">
      <c r="A3990" s="16" t="n">
        <v>45356</v>
      </c>
      <c r="B3990" s="17" t="s">
        <v>2072</v>
      </c>
      <c r="C3990" s="17" t="s">
        <v>1593</v>
      </c>
      <c r="D3990" s="17" t="s">
        <v>1407</v>
      </c>
      <c r="E3990" s="17" t="s">
        <v>2083</v>
      </c>
      <c r="F3990" s="17"/>
      <c r="G3990" s="18" t="n">
        <v>183.42</v>
      </c>
      <c r="H3990" s="18" t="n">
        <v>0</v>
      </c>
      <c r="I3990" s="18" t="n">
        <f aca="false">((I3989 + G3990) - H3990)</f>
        <v>2140.68</v>
      </c>
      <c r="J3990" s="18" t="n">
        <v>18.34</v>
      </c>
      <c r="K3990" s="19" t="n">
        <v>10</v>
      </c>
      <c r="L3990" s="17" t="s">
        <v>44</v>
      </c>
    </row>
    <row r="3991" s="11" customFormat="true" ht="10.95" hidden="false" customHeight="true" outlineLevel="0" collapsed="false">
      <c r="A3991" s="16" t="n">
        <v>45356</v>
      </c>
      <c r="B3991" s="17" t="s">
        <v>2072</v>
      </c>
      <c r="C3991" s="17" t="s">
        <v>1593</v>
      </c>
      <c r="D3991" s="17" t="s">
        <v>1407</v>
      </c>
      <c r="E3991" s="17" t="s">
        <v>2084</v>
      </c>
      <c r="F3991" s="17"/>
      <c r="G3991" s="18" t="n">
        <v>121.76</v>
      </c>
      <c r="H3991" s="18" t="n">
        <v>0</v>
      </c>
      <c r="I3991" s="18" t="n">
        <f aca="false">((I3990 + G3991) - H3991)</f>
        <v>2262.44</v>
      </c>
      <c r="J3991" s="18" t="n">
        <v>12.18</v>
      </c>
      <c r="K3991" s="19" t="n">
        <v>10</v>
      </c>
      <c r="L3991" s="17" t="s">
        <v>44</v>
      </c>
    </row>
    <row r="3992" s="11" customFormat="true" ht="10.95" hidden="false" customHeight="true" outlineLevel="0" collapsed="false">
      <c r="A3992" s="16" t="n">
        <v>45363</v>
      </c>
      <c r="B3992" s="17" t="s">
        <v>2072</v>
      </c>
      <c r="C3992" s="17" t="s">
        <v>1593</v>
      </c>
      <c r="D3992" s="17" t="s">
        <v>1407</v>
      </c>
      <c r="E3992" s="17" t="s">
        <v>2085</v>
      </c>
      <c r="F3992" s="17"/>
      <c r="G3992" s="18" t="n">
        <v>43.55</v>
      </c>
      <c r="H3992" s="18" t="n">
        <v>0</v>
      </c>
      <c r="I3992" s="18" t="n">
        <f aca="false">((I3991 + G3992) - H3992)</f>
        <v>2305.99</v>
      </c>
      <c r="J3992" s="18" t="n">
        <v>4.36</v>
      </c>
      <c r="K3992" s="19" t="n">
        <v>10</v>
      </c>
      <c r="L3992" s="17" t="s">
        <v>44</v>
      </c>
    </row>
    <row r="3993" s="11" customFormat="true" ht="10.95" hidden="false" customHeight="true" outlineLevel="0" collapsed="false">
      <c r="A3993" s="21" t="s">
        <v>2086</v>
      </c>
      <c r="B3993" s="21"/>
      <c r="C3993" s="21"/>
      <c r="D3993" s="21"/>
      <c r="E3993" s="21"/>
      <c r="F3993" s="21"/>
      <c r="G3993" s="22" t="n">
        <f aca="false">SUM(G3980:G3992)</f>
        <v>2305.99</v>
      </c>
      <c r="H3993" s="22" t="n">
        <f aca="false">SUM(H3980:H3992)</f>
        <v>0</v>
      </c>
      <c r="I3993" s="22" t="n">
        <f aca="false">I3992</f>
        <v>2305.99</v>
      </c>
      <c r="J3993" s="22" t="n">
        <f aca="false">SUM(J3980:J3992)</f>
        <v>130.35</v>
      </c>
      <c r="K3993" s="21"/>
      <c r="L3993" s="21"/>
    </row>
    <row r="3994" s="11" customFormat="true" ht="10.95" hidden="false" customHeight="true" outlineLevel="0" collapsed="false">
      <c r="A3994" s="21" t="s">
        <v>784</v>
      </c>
      <c r="B3994" s="21"/>
      <c r="C3994" s="21"/>
      <c r="D3994" s="21"/>
      <c r="E3994" s="21"/>
      <c r="F3994" s="21"/>
      <c r="G3994" s="22" t="n">
        <v>2305.99</v>
      </c>
      <c r="H3994" s="22" t="n">
        <v>0</v>
      </c>
      <c r="I3994" s="22" t="n">
        <v>0</v>
      </c>
      <c r="J3994" s="22" t="n">
        <v>0</v>
      </c>
      <c r="K3994" s="21"/>
      <c r="L3994" s="21"/>
    </row>
    <row r="3995" s="11" customFormat="true" ht="10.95" hidden="false" customHeight="true" outlineLevel="0" collapsed="false">
      <c r="A3995" s="9" t="s">
        <v>785</v>
      </c>
      <c r="B3995" s="9"/>
      <c r="C3995" s="9"/>
      <c r="D3995" s="9"/>
      <c r="E3995" s="9"/>
      <c r="F3995" s="9"/>
      <c r="G3995" s="10" t="n">
        <v>2305.99</v>
      </c>
      <c r="H3995" s="10" t="n">
        <v>0</v>
      </c>
      <c r="I3995" s="10" t="n">
        <f aca="false">I3992</f>
        <v>2305.99</v>
      </c>
      <c r="J3995" s="10" t="n">
        <v>0</v>
      </c>
      <c r="K3995" s="9"/>
      <c r="L3995" s="9"/>
    </row>
    <row r="3996" customFormat="false" ht="13.35" hidden="false" customHeight="true" outlineLevel="0" collapsed="false"/>
    <row r="3997" s="7" customFormat="true" ht="12.1" hidden="false" customHeight="true" outlineLevel="0" collapsed="false">
      <c r="A3997" s="8" t="s">
        <v>2087</v>
      </c>
      <c r="B3997" s="8"/>
      <c r="C3997" s="8"/>
      <c r="D3997" s="8"/>
      <c r="E3997" s="8"/>
      <c r="F3997" s="8"/>
      <c r="G3997" s="8"/>
      <c r="H3997" s="8"/>
      <c r="I3997" s="8"/>
      <c r="J3997" s="8"/>
      <c r="K3997" s="8"/>
      <c r="L3997" s="8"/>
    </row>
    <row r="3998" s="11" customFormat="true" ht="10.95" hidden="false" customHeight="true" outlineLevel="0" collapsed="false">
      <c r="A3998" s="9" t="s">
        <v>16</v>
      </c>
      <c r="B3998" s="9"/>
      <c r="C3998" s="9"/>
      <c r="D3998" s="9"/>
      <c r="E3998" s="9"/>
      <c r="F3998" s="9"/>
      <c r="G3998" s="10" t="n">
        <v>0</v>
      </c>
      <c r="H3998" s="10" t="n">
        <v>0</v>
      </c>
      <c r="I3998" s="10" t="n">
        <f aca="false">(G3998 - H3998)</f>
        <v>0</v>
      </c>
      <c r="J3998" s="10" t="n">
        <v>0</v>
      </c>
      <c r="K3998" s="9"/>
      <c r="L3998" s="9"/>
    </row>
    <row r="3999" s="11" customFormat="true" ht="10.95" hidden="false" customHeight="true" outlineLevel="0" collapsed="false">
      <c r="A3999" s="12" t="n">
        <v>45367</v>
      </c>
      <c r="B3999" s="13" t="s">
        <v>2088</v>
      </c>
      <c r="C3999" s="13" t="s">
        <v>1593</v>
      </c>
      <c r="D3999" s="13" t="s">
        <v>1407</v>
      </c>
      <c r="E3999" s="13" t="s">
        <v>2089</v>
      </c>
      <c r="F3999" s="13"/>
      <c r="G3999" s="14" t="n">
        <v>81.55</v>
      </c>
      <c r="H3999" s="14" t="n">
        <v>0</v>
      </c>
      <c r="I3999" s="14" t="n">
        <f aca="false">((I3998 + G3999) - H3999)</f>
        <v>81.55</v>
      </c>
      <c r="J3999" s="14" t="n">
        <v>8.15</v>
      </c>
      <c r="K3999" s="15" t="n">
        <v>10</v>
      </c>
      <c r="L3999" s="13" t="s">
        <v>44</v>
      </c>
    </row>
    <row r="4000" s="11" customFormat="true" ht="10.95" hidden="false" customHeight="true" outlineLevel="0" collapsed="false">
      <c r="A4000" s="16" t="n">
        <v>45372</v>
      </c>
      <c r="B4000" s="17" t="s">
        <v>2088</v>
      </c>
      <c r="C4000" s="17" t="s">
        <v>1593</v>
      </c>
      <c r="D4000" s="17" t="s">
        <v>1407</v>
      </c>
      <c r="E4000" s="17" t="s">
        <v>2090</v>
      </c>
      <c r="F4000" s="17"/>
      <c r="G4000" s="18" t="n">
        <v>86.35</v>
      </c>
      <c r="H4000" s="18" t="n">
        <v>0</v>
      </c>
      <c r="I4000" s="18" t="n">
        <f aca="false">((I3999 + G4000) - H4000)</f>
        <v>167.9</v>
      </c>
      <c r="J4000" s="18" t="n">
        <v>8.63</v>
      </c>
      <c r="K4000" s="19" t="n">
        <v>10</v>
      </c>
      <c r="L4000" s="17" t="s">
        <v>44</v>
      </c>
    </row>
    <row r="4001" s="11" customFormat="true" ht="10.95" hidden="false" customHeight="true" outlineLevel="0" collapsed="false">
      <c r="A4001" s="16" t="n">
        <v>45392</v>
      </c>
      <c r="B4001" s="17" t="s">
        <v>2088</v>
      </c>
      <c r="C4001" s="17" t="s">
        <v>1593</v>
      </c>
      <c r="D4001" s="17" t="s">
        <v>1407</v>
      </c>
      <c r="E4001" s="17" t="s">
        <v>2091</v>
      </c>
      <c r="F4001" s="17"/>
      <c r="G4001" s="18" t="n">
        <v>327.27</v>
      </c>
      <c r="H4001" s="18" t="n">
        <v>0</v>
      </c>
      <c r="I4001" s="18" t="n">
        <f aca="false">((I4000 + G4001) - H4001)</f>
        <v>495.17</v>
      </c>
      <c r="J4001" s="18" t="n">
        <v>32.73</v>
      </c>
      <c r="K4001" s="19" t="n">
        <v>10</v>
      </c>
      <c r="L4001" s="17" t="s">
        <v>44</v>
      </c>
    </row>
    <row r="4002" s="11" customFormat="true" ht="10.95" hidden="false" customHeight="true" outlineLevel="0" collapsed="false">
      <c r="A4002" s="16" t="n">
        <v>45439</v>
      </c>
      <c r="B4002" s="17" t="s">
        <v>2088</v>
      </c>
      <c r="C4002" s="17" t="s">
        <v>1593</v>
      </c>
      <c r="D4002" s="17" t="s">
        <v>1407</v>
      </c>
      <c r="E4002" s="17" t="s">
        <v>2090</v>
      </c>
      <c r="F4002" s="17"/>
      <c r="G4002" s="18" t="n">
        <v>123.52</v>
      </c>
      <c r="H4002" s="18" t="n">
        <v>0</v>
      </c>
      <c r="I4002" s="18" t="n">
        <f aca="false">((I4001 + G4002) - H4002)</f>
        <v>618.69</v>
      </c>
      <c r="J4002" s="18" t="n">
        <v>12.35</v>
      </c>
      <c r="K4002" s="19" t="n">
        <v>10</v>
      </c>
      <c r="L4002" s="17" t="s">
        <v>44</v>
      </c>
    </row>
    <row r="4003" s="11" customFormat="true" ht="10.95" hidden="false" customHeight="true" outlineLevel="0" collapsed="false">
      <c r="A4003" s="16" t="n">
        <v>45445</v>
      </c>
      <c r="B4003" s="17" t="s">
        <v>2088</v>
      </c>
      <c r="C4003" s="17" t="s">
        <v>1593</v>
      </c>
      <c r="D4003" s="17" t="s">
        <v>1391</v>
      </c>
      <c r="E4003" s="17" t="s">
        <v>2092</v>
      </c>
      <c r="F4003" s="17" t="s">
        <v>2093</v>
      </c>
      <c r="G4003" s="18" t="n">
        <v>850</v>
      </c>
      <c r="H4003" s="18" t="n">
        <v>0</v>
      </c>
      <c r="I4003" s="18" t="n">
        <f aca="false">((I4002 + G4003) - H4003)</f>
        <v>1468.69</v>
      </c>
      <c r="J4003" s="18" t="n">
        <v>85</v>
      </c>
      <c r="K4003" s="19" t="n">
        <v>10</v>
      </c>
      <c r="L4003" s="17" t="s">
        <v>44</v>
      </c>
    </row>
    <row r="4004" s="11" customFormat="true" ht="10.95" hidden="false" customHeight="true" outlineLevel="0" collapsed="false">
      <c r="A4004" s="16" t="n">
        <v>45473</v>
      </c>
      <c r="B4004" s="17" t="s">
        <v>2088</v>
      </c>
      <c r="C4004" s="17" t="s">
        <v>1593</v>
      </c>
      <c r="D4004" s="17" t="s">
        <v>1396</v>
      </c>
      <c r="E4004" s="17" t="s">
        <v>2094</v>
      </c>
      <c r="F4004" s="17" t="s">
        <v>2095</v>
      </c>
      <c r="G4004" s="18" t="n">
        <v>2008.84</v>
      </c>
      <c r="H4004" s="18" t="n">
        <v>0</v>
      </c>
      <c r="I4004" s="18" t="n">
        <f aca="false">((I4003 + G4004) - H4004)</f>
        <v>3477.53</v>
      </c>
      <c r="J4004" s="18" t="n">
        <v>0</v>
      </c>
      <c r="K4004" s="19" t="n">
        <v>0</v>
      </c>
      <c r="L4004" s="17" t="s">
        <v>1399</v>
      </c>
    </row>
    <row r="4005" s="11" customFormat="true" ht="10.95" hidden="false" customHeight="true" outlineLevel="0" collapsed="false">
      <c r="A4005" s="16" t="n">
        <v>45473</v>
      </c>
      <c r="B4005" s="17" t="s">
        <v>2088</v>
      </c>
      <c r="C4005" s="17" t="s">
        <v>1593</v>
      </c>
      <c r="D4005" s="17" t="s">
        <v>1396</v>
      </c>
      <c r="E4005" s="17" t="s">
        <v>2096</v>
      </c>
      <c r="F4005" s="17" t="s">
        <v>2097</v>
      </c>
      <c r="G4005" s="18" t="n">
        <v>10515.48</v>
      </c>
      <c r="H4005" s="18" t="n">
        <v>0</v>
      </c>
      <c r="I4005" s="18" t="n">
        <f aca="false">((I4004 + G4005) - H4005)</f>
        <v>13993.01</v>
      </c>
      <c r="J4005" s="18" t="n">
        <v>0</v>
      </c>
      <c r="K4005" s="19" t="n">
        <v>0</v>
      </c>
      <c r="L4005" s="17" t="s">
        <v>1399</v>
      </c>
    </row>
    <row r="4006" s="11" customFormat="true" ht="10.95" hidden="false" customHeight="true" outlineLevel="0" collapsed="false">
      <c r="A4006" s="16" t="n">
        <v>45473</v>
      </c>
      <c r="B4006" s="17" t="s">
        <v>2088</v>
      </c>
      <c r="C4006" s="17" t="s">
        <v>1593</v>
      </c>
      <c r="D4006" s="17" t="s">
        <v>1396</v>
      </c>
      <c r="E4006" s="17" t="s">
        <v>2035</v>
      </c>
      <c r="F4006" s="17" t="s">
        <v>2036</v>
      </c>
      <c r="G4006" s="18" t="n">
        <v>793.91</v>
      </c>
      <c r="H4006" s="18" t="n">
        <v>0</v>
      </c>
      <c r="I4006" s="18" t="n">
        <f aca="false">((I4005 + G4006) - H4006)</f>
        <v>14786.92</v>
      </c>
      <c r="J4006" s="18" t="n">
        <v>0</v>
      </c>
      <c r="K4006" s="19" t="n">
        <v>0</v>
      </c>
      <c r="L4006" s="17" t="s">
        <v>1399</v>
      </c>
    </row>
    <row r="4007" s="11" customFormat="true" ht="10.95" hidden="false" customHeight="true" outlineLevel="0" collapsed="false">
      <c r="A4007" s="21" t="s">
        <v>2098</v>
      </c>
      <c r="B4007" s="21"/>
      <c r="C4007" s="21"/>
      <c r="D4007" s="21"/>
      <c r="E4007" s="21"/>
      <c r="F4007" s="21"/>
      <c r="G4007" s="22" t="n">
        <f aca="false">SUM(G3999:G4006)</f>
        <v>14786.92</v>
      </c>
      <c r="H4007" s="22" t="n">
        <f aca="false">SUM(H3999:H4006)</f>
        <v>0</v>
      </c>
      <c r="I4007" s="22" t="n">
        <f aca="false">I4006</f>
        <v>14786.92</v>
      </c>
      <c r="J4007" s="22" t="n">
        <f aca="false">SUM(J3999:J4006)</f>
        <v>146.86</v>
      </c>
      <c r="K4007" s="21"/>
      <c r="L4007" s="21"/>
    </row>
    <row r="4008" s="11" customFormat="true" ht="10.95" hidden="false" customHeight="true" outlineLevel="0" collapsed="false">
      <c r="A4008" s="21" t="s">
        <v>784</v>
      </c>
      <c r="B4008" s="21"/>
      <c r="C4008" s="21"/>
      <c r="D4008" s="21"/>
      <c r="E4008" s="21"/>
      <c r="F4008" s="21"/>
      <c r="G4008" s="22" t="n">
        <v>14786.92</v>
      </c>
      <c r="H4008" s="22" t="n">
        <v>0</v>
      </c>
      <c r="I4008" s="22" t="n">
        <v>0</v>
      </c>
      <c r="J4008" s="22" t="n">
        <v>0</v>
      </c>
      <c r="K4008" s="21"/>
      <c r="L4008" s="21"/>
    </row>
    <row r="4009" s="11" customFormat="true" ht="10.95" hidden="false" customHeight="true" outlineLevel="0" collapsed="false">
      <c r="A4009" s="9" t="s">
        <v>785</v>
      </c>
      <c r="B4009" s="9"/>
      <c r="C4009" s="9"/>
      <c r="D4009" s="9"/>
      <c r="E4009" s="9"/>
      <c r="F4009" s="9"/>
      <c r="G4009" s="10" t="n">
        <v>14786.92</v>
      </c>
      <c r="H4009" s="10" t="n">
        <v>0</v>
      </c>
      <c r="I4009" s="10" t="n">
        <f aca="false">I4006</f>
        <v>14786.92</v>
      </c>
      <c r="J4009" s="10" t="n">
        <v>0</v>
      </c>
      <c r="K4009" s="9"/>
      <c r="L4009" s="9"/>
    </row>
    <row r="4010" customFormat="false" ht="13.35" hidden="false" customHeight="true" outlineLevel="0" collapsed="false"/>
    <row r="4011" s="7" customFormat="true" ht="12.1" hidden="false" customHeight="true" outlineLevel="0" collapsed="false">
      <c r="A4011" s="8" t="s">
        <v>2099</v>
      </c>
      <c r="B4011" s="8"/>
      <c r="C4011" s="8"/>
      <c r="D4011" s="8"/>
      <c r="E4011" s="8"/>
      <c r="F4011" s="8"/>
      <c r="G4011" s="8"/>
      <c r="H4011" s="8"/>
      <c r="I4011" s="8"/>
      <c r="J4011" s="8"/>
      <c r="K4011" s="8"/>
      <c r="L4011" s="8"/>
    </row>
    <row r="4012" s="11" customFormat="true" ht="10.95" hidden="false" customHeight="true" outlineLevel="0" collapsed="false">
      <c r="A4012" s="9" t="s">
        <v>16</v>
      </c>
      <c r="B4012" s="9"/>
      <c r="C4012" s="9"/>
      <c r="D4012" s="9"/>
      <c r="E4012" s="9"/>
      <c r="F4012" s="9"/>
      <c r="G4012" s="10" t="n">
        <v>0</v>
      </c>
      <c r="H4012" s="10" t="n">
        <v>0</v>
      </c>
      <c r="I4012" s="10" t="n">
        <f aca="false">(G4012 - H4012)</f>
        <v>0</v>
      </c>
      <c r="J4012" s="10" t="n">
        <v>0</v>
      </c>
      <c r="K4012" s="9"/>
      <c r="L4012" s="9"/>
    </row>
    <row r="4013" s="11" customFormat="true" ht="10.95" hidden="false" customHeight="true" outlineLevel="0" collapsed="false">
      <c r="A4013" s="12" t="n">
        <v>45240</v>
      </c>
      <c r="B4013" s="13" t="s">
        <v>2100</v>
      </c>
      <c r="C4013" s="13" t="s">
        <v>1593</v>
      </c>
      <c r="D4013" s="13" t="s">
        <v>1407</v>
      </c>
      <c r="E4013" s="13" t="s">
        <v>2101</v>
      </c>
      <c r="F4013" s="13"/>
      <c r="G4013" s="14" t="n">
        <v>688.18</v>
      </c>
      <c r="H4013" s="14" t="n">
        <v>0</v>
      </c>
      <c r="I4013" s="14" t="n">
        <f aca="false">((I4012 + G4013) - H4013)</f>
        <v>688.18</v>
      </c>
      <c r="J4013" s="14" t="n">
        <v>68.82</v>
      </c>
      <c r="K4013" s="15" t="n">
        <v>10</v>
      </c>
      <c r="L4013" s="13" t="s">
        <v>44</v>
      </c>
    </row>
    <row r="4014" s="11" customFormat="true" ht="10.95" hidden="false" customHeight="true" outlineLevel="0" collapsed="false">
      <c r="A4014" s="16" t="n">
        <v>45254</v>
      </c>
      <c r="B4014" s="17" t="s">
        <v>2100</v>
      </c>
      <c r="C4014" s="17" t="s">
        <v>1593</v>
      </c>
      <c r="D4014" s="17" t="s">
        <v>1407</v>
      </c>
      <c r="E4014" s="17" t="s">
        <v>2102</v>
      </c>
      <c r="F4014" s="17"/>
      <c r="G4014" s="18" t="n">
        <v>225.45</v>
      </c>
      <c r="H4014" s="18" t="n">
        <v>0</v>
      </c>
      <c r="I4014" s="18" t="n">
        <f aca="false">((I4013 + G4014) - H4014)</f>
        <v>913.63</v>
      </c>
      <c r="J4014" s="18" t="n">
        <v>22.55</v>
      </c>
      <c r="K4014" s="19" t="n">
        <v>10</v>
      </c>
      <c r="L4014" s="17" t="s">
        <v>44</v>
      </c>
    </row>
    <row r="4015" s="11" customFormat="true" ht="10.95" hidden="false" customHeight="true" outlineLevel="0" collapsed="false">
      <c r="A4015" s="21" t="s">
        <v>2103</v>
      </c>
      <c r="B4015" s="21"/>
      <c r="C4015" s="21"/>
      <c r="D4015" s="21"/>
      <c r="E4015" s="21"/>
      <c r="F4015" s="21"/>
      <c r="G4015" s="22" t="n">
        <f aca="false">SUM(G4013:G4014)</f>
        <v>913.63</v>
      </c>
      <c r="H4015" s="22" t="n">
        <f aca="false">SUM(H4013:H4014)</f>
        <v>0</v>
      </c>
      <c r="I4015" s="22" t="n">
        <f aca="false">I4014</f>
        <v>913.63</v>
      </c>
      <c r="J4015" s="22" t="n">
        <f aca="false">SUM(J4013:J4014)</f>
        <v>91.37</v>
      </c>
      <c r="K4015" s="21"/>
      <c r="L4015" s="21"/>
    </row>
    <row r="4016" s="11" customFormat="true" ht="10.95" hidden="false" customHeight="true" outlineLevel="0" collapsed="false">
      <c r="A4016" s="21" t="s">
        <v>784</v>
      </c>
      <c r="B4016" s="21"/>
      <c r="C4016" s="21"/>
      <c r="D4016" s="21"/>
      <c r="E4016" s="21"/>
      <c r="F4016" s="21"/>
      <c r="G4016" s="22" t="n">
        <v>913.63</v>
      </c>
      <c r="H4016" s="22" t="n">
        <v>0</v>
      </c>
      <c r="I4016" s="22" t="n">
        <v>0</v>
      </c>
      <c r="J4016" s="22" t="n">
        <v>0</v>
      </c>
      <c r="K4016" s="21"/>
      <c r="L4016" s="21"/>
    </row>
    <row r="4017" s="11" customFormat="true" ht="10.95" hidden="false" customHeight="true" outlineLevel="0" collapsed="false">
      <c r="A4017" s="9" t="s">
        <v>785</v>
      </c>
      <c r="B4017" s="9"/>
      <c r="C4017" s="9"/>
      <c r="D4017" s="9"/>
      <c r="E4017" s="9"/>
      <c r="F4017" s="9"/>
      <c r="G4017" s="10" t="n">
        <v>913.63</v>
      </c>
      <c r="H4017" s="10" t="n">
        <v>0</v>
      </c>
      <c r="I4017" s="10" t="n">
        <f aca="false">I4014</f>
        <v>913.63</v>
      </c>
      <c r="J4017" s="10" t="n">
        <v>0</v>
      </c>
      <c r="K4017" s="9"/>
      <c r="L4017" s="9"/>
    </row>
    <row r="4018" customFormat="false" ht="13.35" hidden="false" customHeight="true" outlineLevel="0" collapsed="false"/>
    <row r="4019" s="7" customFormat="true" ht="12.1" hidden="false" customHeight="true" outlineLevel="0" collapsed="false">
      <c r="A4019" s="8" t="s">
        <v>2104</v>
      </c>
      <c r="B4019" s="8"/>
      <c r="C4019" s="8"/>
      <c r="D4019" s="8"/>
      <c r="E4019" s="8"/>
      <c r="F4019" s="8"/>
      <c r="G4019" s="8"/>
      <c r="H4019" s="8"/>
      <c r="I4019" s="8"/>
      <c r="J4019" s="8"/>
      <c r="K4019" s="8"/>
      <c r="L4019" s="8"/>
    </row>
    <row r="4020" s="11" customFormat="true" ht="10.95" hidden="false" customHeight="true" outlineLevel="0" collapsed="false">
      <c r="A4020" s="9" t="s">
        <v>16</v>
      </c>
      <c r="B4020" s="9"/>
      <c r="C4020" s="9"/>
      <c r="D4020" s="9"/>
      <c r="E4020" s="9"/>
      <c r="F4020" s="9"/>
      <c r="G4020" s="10" t="n">
        <v>0</v>
      </c>
      <c r="H4020" s="10" t="n">
        <v>0</v>
      </c>
      <c r="I4020" s="10" t="n">
        <f aca="false">(G4020 - H4020)</f>
        <v>0</v>
      </c>
      <c r="J4020" s="10" t="n">
        <v>0</v>
      </c>
      <c r="K4020" s="9"/>
      <c r="L4020" s="9"/>
    </row>
    <row r="4021" s="11" customFormat="true" ht="10.95" hidden="false" customHeight="true" outlineLevel="0" collapsed="false">
      <c r="A4021" s="12" t="n">
        <v>45113</v>
      </c>
      <c r="B4021" s="13" t="s">
        <v>2105</v>
      </c>
      <c r="C4021" s="13" t="s">
        <v>1593</v>
      </c>
      <c r="D4021" s="13" t="s">
        <v>2106</v>
      </c>
      <c r="E4021" s="13" t="s">
        <v>2107</v>
      </c>
      <c r="F4021" s="13" t="s">
        <v>2108</v>
      </c>
      <c r="G4021" s="14" t="n">
        <v>118</v>
      </c>
      <c r="H4021" s="14" t="n">
        <v>0</v>
      </c>
      <c r="I4021" s="14" t="n">
        <f aca="false">((I4020 + G4021) - H4021)</f>
        <v>118</v>
      </c>
      <c r="J4021" s="14" t="n">
        <v>0</v>
      </c>
      <c r="K4021" s="15" t="n">
        <v>0</v>
      </c>
      <c r="L4021" s="13" t="s">
        <v>1399</v>
      </c>
    </row>
    <row r="4022" s="11" customFormat="true" ht="10.95" hidden="false" customHeight="true" outlineLevel="0" collapsed="false">
      <c r="A4022" s="16" t="n">
        <v>45113</v>
      </c>
      <c r="B4022" s="17" t="s">
        <v>2105</v>
      </c>
      <c r="C4022" s="17" t="s">
        <v>1593</v>
      </c>
      <c r="D4022" s="17" t="s">
        <v>1407</v>
      </c>
      <c r="E4022" s="17" t="s">
        <v>2109</v>
      </c>
      <c r="F4022" s="17"/>
      <c r="G4022" s="18" t="n">
        <v>2924.94</v>
      </c>
      <c r="H4022" s="18" t="n">
        <v>0</v>
      </c>
      <c r="I4022" s="18" t="n">
        <f aca="false">((I4021 + G4022) - H4022)</f>
        <v>3042.94</v>
      </c>
      <c r="J4022" s="18" t="n">
        <v>292.49</v>
      </c>
      <c r="K4022" s="19" t="n">
        <v>10</v>
      </c>
      <c r="L4022" s="17" t="s">
        <v>44</v>
      </c>
    </row>
    <row r="4023" s="11" customFormat="true" ht="10.95" hidden="false" customHeight="true" outlineLevel="0" collapsed="false">
      <c r="A4023" s="16" t="n">
        <v>45120</v>
      </c>
      <c r="B4023" s="17" t="s">
        <v>2105</v>
      </c>
      <c r="C4023" s="17" t="s">
        <v>1593</v>
      </c>
      <c r="D4023" s="17" t="s">
        <v>2106</v>
      </c>
      <c r="E4023" s="17" t="s">
        <v>2107</v>
      </c>
      <c r="F4023" s="17" t="s">
        <v>2110</v>
      </c>
      <c r="G4023" s="18" t="n">
        <v>118</v>
      </c>
      <c r="H4023" s="18" t="n">
        <v>0</v>
      </c>
      <c r="I4023" s="18" t="n">
        <f aca="false">((I4022 + G4023) - H4023)</f>
        <v>3160.94</v>
      </c>
      <c r="J4023" s="18" t="n">
        <v>0</v>
      </c>
      <c r="K4023" s="19" t="n">
        <v>0</v>
      </c>
      <c r="L4023" s="17" t="s">
        <v>1399</v>
      </c>
    </row>
    <row r="4024" s="11" customFormat="true" ht="10.95" hidden="false" customHeight="true" outlineLevel="0" collapsed="false">
      <c r="A4024" s="16" t="n">
        <v>45127</v>
      </c>
      <c r="B4024" s="17" t="s">
        <v>2105</v>
      </c>
      <c r="C4024" s="17" t="s">
        <v>1593</v>
      </c>
      <c r="D4024" s="17" t="s">
        <v>2106</v>
      </c>
      <c r="E4024" s="17" t="s">
        <v>2107</v>
      </c>
      <c r="F4024" s="17" t="s">
        <v>2111</v>
      </c>
      <c r="G4024" s="18" t="n">
        <v>118</v>
      </c>
      <c r="H4024" s="18" t="n">
        <v>0</v>
      </c>
      <c r="I4024" s="18" t="n">
        <f aca="false">((I4023 + G4024) - H4024)</f>
        <v>3278.94</v>
      </c>
      <c r="J4024" s="18" t="n">
        <v>0</v>
      </c>
      <c r="K4024" s="19" t="n">
        <v>0</v>
      </c>
      <c r="L4024" s="17" t="s">
        <v>1399</v>
      </c>
    </row>
    <row r="4025" s="11" customFormat="true" ht="10.95" hidden="false" customHeight="true" outlineLevel="0" collapsed="false">
      <c r="A4025" s="16" t="n">
        <v>45134</v>
      </c>
      <c r="B4025" s="17" t="s">
        <v>2105</v>
      </c>
      <c r="C4025" s="17" t="s">
        <v>1593</v>
      </c>
      <c r="D4025" s="17" t="s">
        <v>2106</v>
      </c>
      <c r="E4025" s="17" t="s">
        <v>2107</v>
      </c>
      <c r="F4025" s="17" t="s">
        <v>2112</v>
      </c>
      <c r="G4025" s="18" t="n">
        <v>118</v>
      </c>
      <c r="H4025" s="18" t="n">
        <v>0</v>
      </c>
      <c r="I4025" s="18" t="n">
        <f aca="false">((I4024 + G4025) - H4025)</f>
        <v>3396.94</v>
      </c>
      <c r="J4025" s="18" t="n">
        <v>0</v>
      </c>
      <c r="K4025" s="19" t="n">
        <v>0</v>
      </c>
      <c r="L4025" s="17" t="s">
        <v>1399</v>
      </c>
    </row>
    <row r="4026" s="11" customFormat="true" ht="10.95" hidden="false" customHeight="true" outlineLevel="0" collapsed="false">
      <c r="A4026" s="16" t="n">
        <v>45141</v>
      </c>
      <c r="B4026" s="17" t="s">
        <v>2105</v>
      </c>
      <c r="C4026" s="17" t="s">
        <v>1593</v>
      </c>
      <c r="D4026" s="17" t="s">
        <v>2106</v>
      </c>
      <c r="E4026" s="17" t="s">
        <v>2107</v>
      </c>
      <c r="F4026" s="17" t="s">
        <v>2113</v>
      </c>
      <c r="G4026" s="18" t="n">
        <v>118</v>
      </c>
      <c r="H4026" s="18" t="n">
        <v>0</v>
      </c>
      <c r="I4026" s="18" t="n">
        <f aca="false">((I4025 + G4026) - H4026)</f>
        <v>3514.94</v>
      </c>
      <c r="J4026" s="18" t="n">
        <v>0</v>
      </c>
      <c r="K4026" s="19" t="n">
        <v>0</v>
      </c>
      <c r="L4026" s="17" t="s">
        <v>1399</v>
      </c>
    </row>
    <row r="4027" s="11" customFormat="true" ht="10.95" hidden="false" customHeight="true" outlineLevel="0" collapsed="false">
      <c r="A4027" s="16" t="n">
        <v>45145</v>
      </c>
      <c r="B4027" s="17" t="s">
        <v>2105</v>
      </c>
      <c r="C4027" s="17" t="s">
        <v>1593</v>
      </c>
      <c r="D4027" s="17" t="s">
        <v>1407</v>
      </c>
      <c r="E4027" s="17" t="s">
        <v>2109</v>
      </c>
      <c r="F4027" s="17"/>
      <c r="G4027" s="18" t="n">
        <v>2924.94</v>
      </c>
      <c r="H4027" s="18" t="n">
        <v>0</v>
      </c>
      <c r="I4027" s="18" t="n">
        <f aca="false">((I4026 + G4027) - H4027)</f>
        <v>6439.88</v>
      </c>
      <c r="J4027" s="18" t="n">
        <v>292.49</v>
      </c>
      <c r="K4027" s="19" t="n">
        <v>10</v>
      </c>
      <c r="L4027" s="17" t="s">
        <v>44</v>
      </c>
    </row>
    <row r="4028" s="11" customFormat="true" ht="10.95" hidden="false" customHeight="true" outlineLevel="0" collapsed="false">
      <c r="A4028" s="16" t="n">
        <v>45148</v>
      </c>
      <c r="B4028" s="17" t="s">
        <v>2105</v>
      </c>
      <c r="C4028" s="17" t="s">
        <v>1593</v>
      </c>
      <c r="D4028" s="17" t="s">
        <v>2106</v>
      </c>
      <c r="E4028" s="17" t="s">
        <v>2107</v>
      </c>
      <c r="F4028" s="17" t="s">
        <v>2114</v>
      </c>
      <c r="G4028" s="18" t="n">
        <v>118</v>
      </c>
      <c r="H4028" s="18" t="n">
        <v>0</v>
      </c>
      <c r="I4028" s="18" t="n">
        <f aca="false">((I4027 + G4028) - H4028)</f>
        <v>6557.88</v>
      </c>
      <c r="J4028" s="18" t="n">
        <v>0</v>
      </c>
      <c r="K4028" s="19" t="n">
        <v>0</v>
      </c>
      <c r="L4028" s="17" t="s">
        <v>1399</v>
      </c>
    </row>
    <row r="4029" s="11" customFormat="true" ht="10.95" hidden="false" customHeight="true" outlineLevel="0" collapsed="false">
      <c r="A4029" s="16" t="n">
        <v>45155</v>
      </c>
      <c r="B4029" s="17" t="s">
        <v>2105</v>
      </c>
      <c r="C4029" s="17" t="s">
        <v>1593</v>
      </c>
      <c r="D4029" s="17" t="s">
        <v>2106</v>
      </c>
      <c r="E4029" s="17" t="s">
        <v>2107</v>
      </c>
      <c r="F4029" s="17" t="s">
        <v>2115</v>
      </c>
      <c r="G4029" s="18" t="n">
        <v>118</v>
      </c>
      <c r="H4029" s="18" t="n">
        <v>0</v>
      </c>
      <c r="I4029" s="18" t="n">
        <f aca="false">((I4028 + G4029) - H4029)</f>
        <v>6675.88</v>
      </c>
      <c r="J4029" s="18" t="n">
        <v>0</v>
      </c>
      <c r="K4029" s="19" t="n">
        <v>0</v>
      </c>
      <c r="L4029" s="17" t="s">
        <v>1399</v>
      </c>
    </row>
    <row r="4030" s="11" customFormat="true" ht="10.95" hidden="false" customHeight="true" outlineLevel="0" collapsed="false">
      <c r="A4030" s="16" t="n">
        <v>45162</v>
      </c>
      <c r="B4030" s="17" t="s">
        <v>2105</v>
      </c>
      <c r="C4030" s="17" t="s">
        <v>1593</v>
      </c>
      <c r="D4030" s="17" t="s">
        <v>2106</v>
      </c>
      <c r="E4030" s="17" t="s">
        <v>2107</v>
      </c>
      <c r="F4030" s="17" t="s">
        <v>2116</v>
      </c>
      <c r="G4030" s="18" t="n">
        <v>118</v>
      </c>
      <c r="H4030" s="18" t="n">
        <v>0</v>
      </c>
      <c r="I4030" s="18" t="n">
        <f aca="false">((I4029 + G4030) - H4030)</f>
        <v>6793.88</v>
      </c>
      <c r="J4030" s="18" t="n">
        <v>0</v>
      </c>
      <c r="K4030" s="19" t="n">
        <v>0</v>
      </c>
      <c r="L4030" s="17" t="s">
        <v>1399</v>
      </c>
    </row>
    <row r="4031" s="11" customFormat="true" ht="10.95" hidden="false" customHeight="true" outlineLevel="0" collapsed="false">
      <c r="A4031" s="16" t="n">
        <v>45169</v>
      </c>
      <c r="B4031" s="17" t="s">
        <v>2105</v>
      </c>
      <c r="C4031" s="17" t="s">
        <v>1593</v>
      </c>
      <c r="D4031" s="17" t="s">
        <v>2106</v>
      </c>
      <c r="E4031" s="17" t="s">
        <v>2107</v>
      </c>
      <c r="F4031" s="17" t="s">
        <v>2117</v>
      </c>
      <c r="G4031" s="18" t="n">
        <v>118</v>
      </c>
      <c r="H4031" s="18" t="n">
        <v>0</v>
      </c>
      <c r="I4031" s="18" t="n">
        <f aca="false">((I4030 + G4031) - H4031)</f>
        <v>6911.88</v>
      </c>
      <c r="J4031" s="18" t="n">
        <v>0</v>
      </c>
      <c r="K4031" s="19" t="n">
        <v>0</v>
      </c>
      <c r="L4031" s="17" t="s">
        <v>1399</v>
      </c>
    </row>
    <row r="4032" s="11" customFormat="true" ht="10.95" hidden="false" customHeight="true" outlineLevel="0" collapsed="false">
      <c r="A4032" s="16" t="n">
        <v>45175</v>
      </c>
      <c r="B4032" s="17" t="s">
        <v>2105</v>
      </c>
      <c r="C4032" s="17" t="s">
        <v>1593</v>
      </c>
      <c r="D4032" s="17" t="s">
        <v>1407</v>
      </c>
      <c r="E4032" s="17" t="s">
        <v>2109</v>
      </c>
      <c r="F4032" s="17"/>
      <c r="G4032" s="18" t="n">
        <v>2924.94</v>
      </c>
      <c r="H4032" s="18" t="n">
        <v>0</v>
      </c>
      <c r="I4032" s="18" t="n">
        <f aca="false">((I4031 + G4032) - H4032)</f>
        <v>9836.82</v>
      </c>
      <c r="J4032" s="18" t="n">
        <v>292.49</v>
      </c>
      <c r="K4032" s="19" t="n">
        <v>10</v>
      </c>
      <c r="L4032" s="17" t="s">
        <v>44</v>
      </c>
    </row>
    <row r="4033" s="11" customFormat="true" ht="10.95" hidden="false" customHeight="true" outlineLevel="0" collapsed="false">
      <c r="A4033" s="16" t="n">
        <v>45176</v>
      </c>
      <c r="B4033" s="17" t="s">
        <v>2105</v>
      </c>
      <c r="C4033" s="17" t="s">
        <v>1593</v>
      </c>
      <c r="D4033" s="17" t="s">
        <v>2106</v>
      </c>
      <c r="E4033" s="17" t="s">
        <v>2107</v>
      </c>
      <c r="F4033" s="17" t="s">
        <v>2118</v>
      </c>
      <c r="G4033" s="18" t="n">
        <v>118</v>
      </c>
      <c r="H4033" s="18" t="n">
        <v>0</v>
      </c>
      <c r="I4033" s="18" t="n">
        <f aca="false">((I4032 + G4033) - H4033)</f>
        <v>9954.82</v>
      </c>
      <c r="J4033" s="18" t="n">
        <v>0</v>
      </c>
      <c r="K4033" s="19" t="n">
        <v>0</v>
      </c>
      <c r="L4033" s="17" t="s">
        <v>1399</v>
      </c>
    </row>
    <row r="4034" s="11" customFormat="true" ht="10.95" hidden="false" customHeight="true" outlineLevel="0" collapsed="false">
      <c r="A4034" s="16" t="n">
        <v>45183</v>
      </c>
      <c r="B4034" s="17" t="s">
        <v>2105</v>
      </c>
      <c r="C4034" s="17" t="s">
        <v>1593</v>
      </c>
      <c r="D4034" s="17" t="s">
        <v>2106</v>
      </c>
      <c r="E4034" s="17" t="s">
        <v>2107</v>
      </c>
      <c r="F4034" s="17" t="s">
        <v>2119</v>
      </c>
      <c r="G4034" s="18" t="n">
        <v>118</v>
      </c>
      <c r="H4034" s="18" t="n">
        <v>0</v>
      </c>
      <c r="I4034" s="18" t="n">
        <f aca="false">((I4033 + G4034) - H4034)</f>
        <v>10072.82</v>
      </c>
      <c r="J4034" s="18" t="n">
        <v>0</v>
      </c>
      <c r="K4034" s="19" t="n">
        <v>0</v>
      </c>
      <c r="L4034" s="17" t="s">
        <v>1399</v>
      </c>
    </row>
    <row r="4035" s="11" customFormat="true" ht="10.95" hidden="false" customHeight="true" outlineLevel="0" collapsed="false">
      <c r="A4035" s="16" t="n">
        <v>45190</v>
      </c>
      <c r="B4035" s="17" t="s">
        <v>2105</v>
      </c>
      <c r="C4035" s="17" t="s">
        <v>1593</v>
      </c>
      <c r="D4035" s="17" t="s">
        <v>2106</v>
      </c>
      <c r="E4035" s="17" t="s">
        <v>2107</v>
      </c>
      <c r="F4035" s="17" t="s">
        <v>2120</v>
      </c>
      <c r="G4035" s="18" t="n">
        <v>118</v>
      </c>
      <c r="H4035" s="18" t="n">
        <v>0</v>
      </c>
      <c r="I4035" s="18" t="n">
        <f aca="false">((I4034 + G4035) - H4035)</f>
        <v>10190.82</v>
      </c>
      <c r="J4035" s="18" t="n">
        <v>0</v>
      </c>
      <c r="K4035" s="19" t="n">
        <v>0</v>
      </c>
      <c r="L4035" s="17" t="s">
        <v>1399</v>
      </c>
    </row>
    <row r="4036" s="11" customFormat="true" ht="10.95" hidden="false" customHeight="true" outlineLevel="0" collapsed="false">
      <c r="A4036" s="16" t="n">
        <v>45197</v>
      </c>
      <c r="B4036" s="17" t="s">
        <v>2105</v>
      </c>
      <c r="C4036" s="17" t="s">
        <v>1593</v>
      </c>
      <c r="D4036" s="17" t="s">
        <v>2106</v>
      </c>
      <c r="E4036" s="17" t="s">
        <v>2107</v>
      </c>
      <c r="F4036" s="17" t="s">
        <v>2121</v>
      </c>
      <c r="G4036" s="18" t="n">
        <v>118</v>
      </c>
      <c r="H4036" s="18" t="n">
        <v>0</v>
      </c>
      <c r="I4036" s="18" t="n">
        <f aca="false">((I4035 + G4036) - H4036)</f>
        <v>10308.82</v>
      </c>
      <c r="J4036" s="18" t="n">
        <v>0</v>
      </c>
      <c r="K4036" s="19" t="n">
        <v>0</v>
      </c>
      <c r="L4036" s="17" t="s">
        <v>1399</v>
      </c>
    </row>
    <row r="4037" s="11" customFormat="true" ht="10.95" hidden="false" customHeight="true" outlineLevel="0" collapsed="false">
      <c r="A4037" s="16" t="n">
        <v>45204</v>
      </c>
      <c r="B4037" s="17" t="s">
        <v>2105</v>
      </c>
      <c r="C4037" s="17" t="s">
        <v>1593</v>
      </c>
      <c r="D4037" s="17" t="s">
        <v>2106</v>
      </c>
      <c r="E4037" s="17" t="s">
        <v>2107</v>
      </c>
      <c r="F4037" s="17" t="s">
        <v>2122</v>
      </c>
      <c r="G4037" s="18" t="n">
        <v>118</v>
      </c>
      <c r="H4037" s="18" t="n">
        <v>0</v>
      </c>
      <c r="I4037" s="18" t="n">
        <f aca="false">((I4036 + G4037) - H4037)</f>
        <v>10426.82</v>
      </c>
      <c r="J4037" s="18" t="n">
        <v>0</v>
      </c>
      <c r="K4037" s="19" t="n">
        <v>0</v>
      </c>
      <c r="L4037" s="17" t="s">
        <v>1399</v>
      </c>
    </row>
    <row r="4038" s="11" customFormat="true" ht="10.95" hidden="false" customHeight="true" outlineLevel="0" collapsed="false">
      <c r="A4038" s="16" t="n">
        <v>45205</v>
      </c>
      <c r="B4038" s="17" t="s">
        <v>2105</v>
      </c>
      <c r="C4038" s="17" t="s">
        <v>1593</v>
      </c>
      <c r="D4038" s="17" t="s">
        <v>1407</v>
      </c>
      <c r="E4038" s="17" t="s">
        <v>2109</v>
      </c>
      <c r="F4038" s="17"/>
      <c r="G4038" s="18" t="n">
        <v>2924.94</v>
      </c>
      <c r="H4038" s="18" t="n">
        <v>0</v>
      </c>
      <c r="I4038" s="18" t="n">
        <f aca="false">((I4037 + G4038) - H4038)</f>
        <v>13351.76</v>
      </c>
      <c r="J4038" s="18" t="n">
        <v>292.49</v>
      </c>
      <c r="K4038" s="19" t="n">
        <v>10</v>
      </c>
      <c r="L4038" s="17" t="s">
        <v>44</v>
      </c>
    </row>
    <row r="4039" s="11" customFormat="true" ht="10.95" hidden="false" customHeight="true" outlineLevel="0" collapsed="false">
      <c r="A4039" s="16" t="n">
        <v>45211</v>
      </c>
      <c r="B4039" s="17" t="s">
        <v>2105</v>
      </c>
      <c r="C4039" s="17" t="s">
        <v>1593</v>
      </c>
      <c r="D4039" s="17" t="s">
        <v>2106</v>
      </c>
      <c r="E4039" s="17" t="s">
        <v>2107</v>
      </c>
      <c r="F4039" s="17" t="s">
        <v>2123</v>
      </c>
      <c r="G4039" s="18" t="n">
        <v>118</v>
      </c>
      <c r="H4039" s="18" t="n">
        <v>0</v>
      </c>
      <c r="I4039" s="18" t="n">
        <f aca="false">((I4038 + G4039) - H4039)</f>
        <v>13469.76</v>
      </c>
      <c r="J4039" s="18" t="n">
        <v>0</v>
      </c>
      <c r="K4039" s="19" t="n">
        <v>0</v>
      </c>
      <c r="L4039" s="17" t="s">
        <v>1399</v>
      </c>
    </row>
    <row r="4040" s="11" customFormat="true" ht="10.95" hidden="false" customHeight="true" outlineLevel="0" collapsed="false">
      <c r="A4040" s="16" t="n">
        <v>45218</v>
      </c>
      <c r="B4040" s="17" t="s">
        <v>2105</v>
      </c>
      <c r="C4040" s="17" t="s">
        <v>1593</v>
      </c>
      <c r="D4040" s="17" t="s">
        <v>2106</v>
      </c>
      <c r="E4040" s="17" t="s">
        <v>2107</v>
      </c>
      <c r="F4040" s="17" t="s">
        <v>2124</v>
      </c>
      <c r="G4040" s="18" t="n">
        <v>118</v>
      </c>
      <c r="H4040" s="18" t="n">
        <v>0</v>
      </c>
      <c r="I4040" s="18" t="n">
        <f aca="false">((I4039 + G4040) - H4040)</f>
        <v>13587.76</v>
      </c>
      <c r="J4040" s="18" t="n">
        <v>0</v>
      </c>
      <c r="K4040" s="19" t="n">
        <v>0</v>
      </c>
      <c r="L4040" s="17" t="s">
        <v>1399</v>
      </c>
    </row>
    <row r="4041" s="11" customFormat="true" ht="10.95" hidden="false" customHeight="true" outlineLevel="0" collapsed="false">
      <c r="A4041" s="16" t="n">
        <v>45225</v>
      </c>
      <c r="B4041" s="17" t="s">
        <v>2105</v>
      </c>
      <c r="C4041" s="17" t="s">
        <v>1593</v>
      </c>
      <c r="D4041" s="17" t="s">
        <v>2106</v>
      </c>
      <c r="E4041" s="17" t="s">
        <v>2107</v>
      </c>
      <c r="F4041" s="17" t="s">
        <v>2125</v>
      </c>
      <c r="G4041" s="18" t="n">
        <v>118</v>
      </c>
      <c r="H4041" s="18" t="n">
        <v>0</v>
      </c>
      <c r="I4041" s="18" t="n">
        <f aca="false">((I4040 + G4041) - H4041)</f>
        <v>13705.76</v>
      </c>
      <c r="J4041" s="18" t="n">
        <v>0</v>
      </c>
      <c r="K4041" s="19" t="n">
        <v>0</v>
      </c>
      <c r="L4041" s="17" t="s">
        <v>1399</v>
      </c>
    </row>
    <row r="4042" s="11" customFormat="true" ht="10.95" hidden="false" customHeight="true" outlineLevel="0" collapsed="false">
      <c r="A4042" s="16" t="n">
        <v>45232</v>
      </c>
      <c r="B4042" s="17" t="s">
        <v>2105</v>
      </c>
      <c r="C4042" s="17" t="s">
        <v>1593</v>
      </c>
      <c r="D4042" s="17" t="s">
        <v>2106</v>
      </c>
      <c r="E4042" s="17" t="s">
        <v>2107</v>
      </c>
      <c r="F4042" s="17" t="s">
        <v>2126</v>
      </c>
      <c r="G4042" s="18" t="n">
        <v>118</v>
      </c>
      <c r="H4042" s="18" t="n">
        <v>0</v>
      </c>
      <c r="I4042" s="18" t="n">
        <f aca="false">((I4041 + G4042) - H4042)</f>
        <v>13823.76</v>
      </c>
      <c r="J4042" s="18" t="n">
        <v>0</v>
      </c>
      <c r="K4042" s="19" t="n">
        <v>0</v>
      </c>
      <c r="L4042" s="17" t="s">
        <v>1399</v>
      </c>
    </row>
    <row r="4043" s="11" customFormat="true" ht="10.95" hidden="false" customHeight="true" outlineLevel="0" collapsed="false">
      <c r="A4043" s="16" t="n">
        <v>45236</v>
      </c>
      <c r="B4043" s="17" t="s">
        <v>2105</v>
      </c>
      <c r="C4043" s="17" t="s">
        <v>1593</v>
      </c>
      <c r="D4043" s="17" t="s">
        <v>1407</v>
      </c>
      <c r="E4043" s="17" t="s">
        <v>2127</v>
      </c>
      <c r="F4043" s="17"/>
      <c r="G4043" s="18" t="n">
        <v>2924.94</v>
      </c>
      <c r="H4043" s="18" t="n">
        <v>0</v>
      </c>
      <c r="I4043" s="18" t="n">
        <f aca="false">((I4042 + G4043) - H4043)</f>
        <v>16748.7</v>
      </c>
      <c r="J4043" s="18" t="n">
        <v>292.49</v>
      </c>
      <c r="K4043" s="19" t="n">
        <v>10</v>
      </c>
      <c r="L4043" s="17" t="s">
        <v>44</v>
      </c>
    </row>
    <row r="4044" s="11" customFormat="true" ht="10.95" hidden="false" customHeight="true" outlineLevel="0" collapsed="false">
      <c r="A4044" s="16" t="n">
        <v>45239</v>
      </c>
      <c r="B4044" s="17" t="s">
        <v>2105</v>
      </c>
      <c r="C4044" s="17" t="s">
        <v>1593</v>
      </c>
      <c r="D4044" s="17" t="s">
        <v>2106</v>
      </c>
      <c r="E4044" s="17" t="s">
        <v>2107</v>
      </c>
      <c r="F4044" s="17" t="s">
        <v>2128</v>
      </c>
      <c r="G4044" s="18" t="n">
        <v>118</v>
      </c>
      <c r="H4044" s="18" t="n">
        <v>0</v>
      </c>
      <c r="I4044" s="18" t="n">
        <f aca="false">((I4043 + G4044) - H4044)</f>
        <v>16866.7</v>
      </c>
      <c r="J4044" s="18" t="n">
        <v>0</v>
      </c>
      <c r="K4044" s="19" t="n">
        <v>0</v>
      </c>
      <c r="L4044" s="17" t="s">
        <v>1399</v>
      </c>
    </row>
    <row r="4045" s="11" customFormat="true" ht="10.95" hidden="false" customHeight="true" outlineLevel="0" collapsed="false">
      <c r="A4045" s="16" t="n">
        <v>45246</v>
      </c>
      <c r="B4045" s="17" t="s">
        <v>2105</v>
      </c>
      <c r="C4045" s="17" t="s">
        <v>1593</v>
      </c>
      <c r="D4045" s="17" t="s">
        <v>2106</v>
      </c>
      <c r="E4045" s="17" t="s">
        <v>2107</v>
      </c>
      <c r="F4045" s="17" t="s">
        <v>2129</v>
      </c>
      <c r="G4045" s="18" t="n">
        <v>118</v>
      </c>
      <c r="H4045" s="18" t="n">
        <v>0</v>
      </c>
      <c r="I4045" s="18" t="n">
        <f aca="false">((I4044 + G4045) - H4045)</f>
        <v>16984.7</v>
      </c>
      <c r="J4045" s="18" t="n">
        <v>0</v>
      </c>
      <c r="K4045" s="19" t="n">
        <v>0</v>
      </c>
      <c r="L4045" s="17" t="s">
        <v>1399</v>
      </c>
    </row>
    <row r="4046" s="11" customFormat="true" ht="10.95" hidden="false" customHeight="true" outlineLevel="0" collapsed="false">
      <c r="A4046" s="16" t="n">
        <v>45253</v>
      </c>
      <c r="B4046" s="17" t="s">
        <v>2105</v>
      </c>
      <c r="C4046" s="17" t="s">
        <v>1593</v>
      </c>
      <c r="D4046" s="17" t="s">
        <v>2106</v>
      </c>
      <c r="E4046" s="17" t="s">
        <v>2107</v>
      </c>
      <c r="F4046" s="17" t="s">
        <v>2130</v>
      </c>
      <c r="G4046" s="18" t="n">
        <v>118</v>
      </c>
      <c r="H4046" s="18" t="n">
        <v>0</v>
      </c>
      <c r="I4046" s="18" t="n">
        <f aca="false">((I4045 + G4046) - H4046)</f>
        <v>17102.7</v>
      </c>
      <c r="J4046" s="18" t="n">
        <v>0</v>
      </c>
      <c r="K4046" s="19" t="n">
        <v>0</v>
      </c>
      <c r="L4046" s="17" t="s">
        <v>1399</v>
      </c>
    </row>
    <row r="4047" s="11" customFormat="true" ht="10.95" hidden="false" customHeight="true" outlineLevel="0" collapsed="false">
      <c r="A4047" s="16" t="n">
        <v>45260</v>
      </c>
      <c r="B4047" s="17" t="s">
        <v>2105</v>
      </c>
      <c r="C4047" s="17" t="s">
        <v>1593</v>
      </c>
      <c r="D4047" s="17" t="s">
        <v>2106</v>
      </c>
      <c r="E4047" s="17" t="s">
        <v>2107</v>
      </c>
      <c r="F4047" s="17" t="s">
        <v>2131</v>
      </c>
      <c r="G4047" s="18" t="n">
        <v>118</v>
      </c>
      <c r="H4047" s="18" t="n">
        <v>0</v>
      </c>
      <c r="I4047" s="18" t="n">
        <f aca="false">((I4046 + G4047) - H4047)</f>
        <v>17220.7</v>
      </c>
      <c r="J4047" s="18" t="n">
        <v>0</v>
      </c>
      <c r="K4047" s="19" t="n">
        <v>0</v>
      </c>
      <c r="L4047" s="17" t="s">
        <v>1399</v>
      </c>
    </row>
    <row r="4048" s="11" customFormat="true" ht="10.95" hidden="false" customHeight="true" outlineLevel="0" collapsed="false">
      <c r="A4048" s="16" t="n">
        <v>45266</v>
      </c>
      <c r="B4048" s="17" t="s">
        <v>2105</v>
      </c>
      <c r="C4048" s="17" t="s">
        <v>1593</v>
      </c>
      <c r="D4048" s="17" t="s">
        <v>1407</v>
      </c>
      <c r="E4048" s="17" t="s">
        <v>2109</v>
      </c>
      <c r="F4048" s="17"/>
      <c r="G4048" s="18" t="n">
        <v>2924.94</v>
      </c>
      <c r="H4048" s="18" t="n">
        <v>0</v>
      </c>
      <c r="I4048" s="18" t="n">
        <f aca="false">((I4047 + G4048) - H4048)</f>
        <v>20145.64</v>
      </c>
      <c r="J4048" s="18" t="n">
        <v>292.49</v>
      </c>
      <c r="K4048" s="19" t="n">
        <v>10</v>
      </c>
      <c r="L4048" s="17" t="s">
        <v>44</v>
      </c>
    </row>
    <row r="4049" s="11" customFormat="true" ht="10.95" hidden="false" customHeight="true" outlineLevel="0" collapsed="false">
      <c r="A4049" s="16" t="n">
        <v>45267</v>
      </c>
      <c r="B4049" s="17" t="s">
        <v>2105</v>
      </c>
      <c r="C4049" s="17" t="s">
        <v>1593</v>
      </c>
      <c r="D4049" s="17" t="s">
        <v>2106</v>
      </c>
      <c r="E4049" s="17" t="s">
        <v>2107</v>
      </c>
      <c r="F4049" s="17" t="s">
        <v>2132</v>
      </c>
      <c r="G4049" s="18" t="n">
        <v>118</v>
      </c>
      <c r="H4049" s="18" t="n">
        <v>0</v>
      </c>
      <c r="I4049" s="18" t="n">
        <f aca="false">((I4048 + G4049) - H4049)</f>
        <v>20263.64</v>
      </c>
      <c r="J4049" s="18" t="n">
        <v>0</v>
      </c>
      <c r="K4049" s="19" t="n">
        <v>0</v>
      </c>
      <c r="L4049" s="17" t="s">
        <v>1399</v>
      </c>
    </row>
    <row r="4050" s="11" customFormat="true" ht="10.95" hidden="false" customHeight="true" outlineLevel="0" collapsed="false">
      <c r="A4050" s="16" t="n">
        <v>45274</v>
      </c>
      <c r="B4050" s="17" t="s">
        <v>2105</v>
      </c>
      <c r="C4050" s="17" t="s">
        <v>1593</v>
      </c>
      <c r="D4050" s="17" t="s">
        <v>2106</v>
      </c>
      <c r="E4050" s="17" t="s">
        <v>2107</v>
      </c>
      <c r="F4050" s="17" t="s">
        <v>2133</v>
      </c>
      <c r="G4050" s="18" t="n">
        <v>118</v>
      </c>
      <c r="H4050" s="18" t="n">
        <v>0</v>
      </c>
      <c r="I4050" s="18" t="n">
        <f aca="false">((I4049 + G4050) - H4050)</f>
        <v>20381.64</v>
      </c>
      <c r="J4050" s="18" t="n">
        <v>0</v>
      </c>
      <c r="K4050" s="19" t="n">
        <v>0</v>
      </c>
      <c r="L4050" s="17" t="s">
        <v>1399</v>
      </c>
    </row>
    <row r="4051" s="11" customFormat="true" ht="10.95" hidden="false" customHeight="true" outlineLevel="0" collapsed="false">
      <c r="A4051" s="16" t="n">
        <v>45281</v>
      </c>
      <c r="B4051" s="17" t="s">
        <v>2105</v>
      </c>
      <c r="C4051" s="17" t="s">
        <v>1593</v>
      </c>
      <c r="D4051" s="17" t="s">
        <v>2106</v>
      </c>
      <c r="E4051" s="17" t="s">
        <v>2107</v>
      </c>
      <c r="F4051" s="17" t="s">
        <v>2134</v>
      </c>
      <c r="G4051" s="18" t="n">
        <v>118</v>
      </c>
      <c r="H4051" s="18" t="n">
        <v>0</v>
      </c>
      <c r="I4051" s="18" t="n">
        <f aca="false">((I4050 + G4051) - H4051)</f>
        <v>20499.64</v>
      </c>
      <c r="J4051" s="18" t="n">
        <v>0</v>
      </c>
      <c r="K4051" s="19" t="n">
        <v>0</v>
      </c>
      <c r="L4051" s="17" t="s">
        <v>1399</v>
      </c>
    </row>
    <row r="4052" s="11" customFormat="true" ht="10.95" hidden="false" customHeight="true" outlineLevel="0" collapsed="false">
      <c r="A4052" s="16" t="n">
        <v>45288</v>
      </c>
      <c r="B4052" s="17" t="s">
        <v>2105</v>
      </c>
      <c r="C4052" s="17" t="s">
        <v>1593</v>
      </c>
      <c r="D4052" s="17" t="s">
        <v>2106</v>
      </c>
      <c r="E4052" s="17" t="s">
        <v>2107</v>
      </c>
      <c r="F4052" s="17" t="s">
        <v>2135</v>
      </c>
      <c r="G4052" s="18" t="n">
        <v>118</v>
      </c>
      <c r="H4052" s="18" t="n">
        <v>0</v>
      </c>
      <c r="I4052" s="18" t="n">
        <f aca="false">((I4051 + G4052) - H4052)</f>
        <v>20617.64</v>
      </c>
      <c r="J4052" s="18" t="n">
        <v>0</v>
      </c>
      <c r="K4052" s="19" t="n">
        <v>0</v>
      </c>
      <c r="L4052" s="17" t="s">
        <v>1399</v>
      </c>
    </row>
    <row r="4053" s="11" customFormat="true" ht="10.95" hidden="false" customHeight="true" outlineLevel="0" collapsed="false">
      <c r="A4053" s="16" t="n">
        <v>45295</v>
      </c>
      <c r="B4053" s="17" t="s">
        <v>2105</v>
      </c>
      <c r="C4053" s="17" t="s">
        <v>1593</v>
      </c>
      <c r="D4053" s="17" t="s">
        <v>2106</v>
      </c>
      <c r="E4053" s="17" t="s">
        <v>2107</v>
      </c>
      <c r="F4053" s="17" t="s">
        <v>2136</v>
      </c>
      <c r="G4053" s="18" t="n">
        <v>118</v>
      </c>
      <c r="H4053" s="18" t="n">
        <v>0</v>
      </c>
      <c r="I4053" s="18" t="n">
        <f aca="false">((I4052 + G4053) - H4053)</f>
        <v>20735.64</v>
      </c>
      <c r="J4053" s="18" t="n">
        <v>0</v>
      </c>
      <c r="K4053" s="19" t="n">
        <v>0</v>
      </c>
      <c r="L4053" s="17" t="s">
        <v>1399</v>
      </c>
    </row>
    <row r="4054" s="11" customFormat="true" ht="10.95" hidden="false" customHeight="true" outlineLevel="0" collapsed="false">
      <c r="A4054" s="16" t="n">
        <v>45299</v>
      </c>
      <c r="B4054" s="17" t="s">
        <v>2105</v>
      </c>
      <c r="C4054" s="17" t="s">
        <v>1593</v>
      </c>
      <c r="D4054" s="17" t="s">
        <v>1407</v>
      </c>
      <c r="E4054" s="17" t="s">
        <v>2109</v>
      </c>
      <c r="F4054" s="17"/>
      <c r="G4054" s="18" t="n">
        <v>2924.94</v>
      </c>
      <c r="H4054" s="18" t="n">
        <v>0</v>
      </c>
      <c r="I4054" s="18" t="n">
        <f aca="false">((I4053 + G4054) - H4054)</f>
        <v>23660.58</v>
      </c>
      <c r="J4054" s="18" t="n">
        <v>292.49</v>
      </c>
      <c r="K4054" s="19" t="n">
        <v>10</v>
      </c>
      <c r="L4054" s="17" t="s">
        <v>44</v>
      </c>
    </row>
    <row r="4055" s="11" customFormat="true" ht="10.95" hidden="false" customHeight="true" outlineLevel="0" collapsed="false">
      <c r="A4055" s="16" t="n">
        <v>45302</v>
      </c>
      <c r="B4055" s="17" t="s">
        <v>2105</v>
      </c>
      <c r="C4055" s="17" t="s">
        <v>1593</v>
      </c>
      <c r="D4055" s="17" t="s">
        <v>2106</v>
      </c>
      <c r="E4055" s="17" t="s">
        <v>2107</v>
      </c>
      <c r="F4055" s="17" t="s">
        <v>2137</v>
      </c>
      <c r="G4055" s="18" t="n">
        <v>125</v>
      </c>
      <c r="H4055" s="18" t="n">
        <v>0</v>
      </c>
      <c r="I4055" s="18" t="n">
        <f aca="false">((I4054 + G4055) - H4055)</f>
        <v>23785.58</v>
      </c>
      <c r="J4055" s="18" t="n">
        <v>0</v>
      </c>
      <c r="K4055" s="19" t="n">
        <v>0</v>
      </c>
      <c r="L4055" s="17" t="s">
        <v>1399</v>
      </c>
    </row>
    <row r="4056" s="11" customFormat="true" ht="10.95" hidden="false" customHeight="true" outlineLevel="0" collapsed="false">
      <c r="A4056" s="16" t="n">
        <v>45309</v>
      </c>
      <c r="B4056" s="17" t="s">
        <v>2105</v>
      </c>
      <c r="C4056" s="17" t="s">
        <v>1593</v>
      </c>
      <c r="D4056" s="17" t="s">
        <v>2106</v>
      </c>
      <c r="E4056" s="17" t="s">
        <v>2107</v>
      </c>
      <c r="F4056" s="17" t="s">
        <v>2138</v>
      </c>
      <c r="G4056" s="18" t="n">
        <v>125</v>
      </c>
      <c r="H4056" s="18" t="n">
        <v>0</v>
      </c>
      <c r="I4056" s="18" t="n">
        <f aca="false">((I4055 + G4056) - H4056)</f>
        <v>23910.58</v>
      </c>
      <c r="J4056" s="18" t="n">
        <v>0</v>
      </c>
      <c r="K4056" s="19" t="n">
        <v>0</v>
      </c>
      <c r="L4056" s="17" t="s">
        <v>1399</v>
      </c>
    </row>
    <row r="4057" s="11" customFormat="true" ht="10.95" hidden="false" customHeight="true" outlineLevel="0" collapsed="false">
      <c r="A4057" s="16" t="n">
        <v>45316</v>
      </c>
      <c r="B4057" s="17" t="s">
        <v>2105</v>
      </c>
      <c r="C4057" s="17" t="s">
        <v>1593</v>
      </c>
      <c r="D4057" s="17" t="s">
        <v>2106</v>
      </c>
      <c r="E4057" s="17" t="s">
        <v>2107</v>
      </c>
      <c r="F4057" s="17" t="s">
        <v>2139</v>
      </c>
      <c r="G4057" s="18" t="n">
        <v>125</v>
      </c>
      <c r="H4057" s="18" t="n">
        <v>0</v>
      </c>
      <c r="I4057" s="18" t="n">
        <f aca="false">((I4056 + G4057) - H4057)</f>
        <v>24035.58</v>
      </c>
      <c r="J4057" s="18" t="n">
        <v>0</v>
      </c>
      <c r="K4057" s="19" t="n">
        <v>0</v>
      </c>
      <c r="L4057" s="17" t="s">
        <v>1399</v>
      </c>
    </row>
    <row r="4058" s="11" customFormat="true" ht="10.95" hidden="false" customHeight="true" outlineLevel="0" collapsed="false">
      <c r="A4058" s="16" t="n">
        <v>45323</v>
      </c>
      <c r="B4058" s="17" t="s">
        <v>2105</v>
      </c>
      <c r="C4058" s="17" t="s">
        <v>1593</v>
      </c>
      <c r="D4058" s="17" t="s">
        <v>2106</v>
      </c>
      <c r="E4058" s="17" t="s">
        <v>2107</v>
      </c>
      <c r="F4058" s="17" t="s">
        <v>2140</v>
      </c>
      <c r="G4058" s="18" t="n">
        <v>125</v>
      </c>
      <c r="H4058" s="18" t="n">
        <v>0</v>
      </c>
      <c r="I4058" s="18" t="n">
        <f aca="false">((I4057 + G4058) - H4058)</f>
        <v>24160.58</v>
      </c>
      <c r="J4058" s="18" t="n">
        <v>0</v>
      </c>
      <c r="K4058" s="19" t="n">
        <v>0</v>
      </c>
      <c r="L4058" s="17" t="s">
        <v>1399</v>
      </c>
    </row>
    <row r="4059" s="11" customFormat="true" ht="10.95" hidden="false" customHeight="true" outlineLevel="0" collapsed="false">
      <c r="A4059" s="16" t="n">
        <v>45328</v>
      </c>
      <c r="B4059" s="17" t="s">
        <v>2105</v>
      </c>
      <c r="C4059" s="17" t="s">
        <v>1593</v>
      </c>
      <c r="D4059" s="17" t="s">
        <v>1407</v>
      </c>
      <c r="E4059" s="17" t="s">
        <v>2109</v>
      </c>
      <c r="F4059" s="17"/>
      <c r="G4059" s="18" t="n">
        <v>2924.94</v>
      </c>
      <c r="H4059" s="18" t="n">
        <v>0</v>
      </c>
      <c r="I4059" s="18" t="n">
        <f aca="false">((I4058 + G4059) - H4059)</f>
        <v>27085.52</v>
      </c>
      <c r="J4059" s="18" t="n">
        <v>292.49</v>
      </c>
      <c r="K4059" s="19" t="n">
        <v>10</v>
      </c>
      <c r="L4059" s="17" t="s">
        <v>44</v>
      </c>
    </row>
    <row r="4060" s="11" customFormat="true" ht="10.95" hidden="false" customHeight="true" outlineLevel="0" collapsed="false">
      <c r="A4060" s="16" t="n">
        <v>45330</v>
      </c>
      <c r="B4060" s="17" t="s">
        <v>2105</v>
      </c>
      <c r="C4060" s="17" t="s">
        <v>1593</v>
      </c>
      <c r="D4060" s="17" t="s">
        <v>2106</v>
      </c>
      <c r="E4060" s="17" t="s">
        <v>2107</v>
      </c>
      <c r="F4060" s="17" t="s">
        <v>2141</v>
      </c>
      <c r="G4060" s="18" t="n">
        <v>125</v>
      </c>
      <c r="H4060" s="18" t="n">
        <v>0</v>
      </c>
      <c r="I4060" s="18" t="n">
        <f aca="false">((I4059 + G4060) - H4060)</f>
        <v>27210.52</v>
      </c>
      <c r="J4060" s="18" t="n">
        <v>0</v>
      </c>
      <c r="K4060" s="19" t="n">
        <v>0</v>
      </c>
      <c r="L4060" s="17" t="s">
        <v>1399</v>
      </c>
    </row>
    <row r="4061" s="11" customFormat="true" ht="10.95" hidden="false" customHeight="true" outlineLevel="0" collapsed="false">
      <c r="A4061" s="16" t="n">
        <v>45337</v>
      </c>
      <c r="B4061" s="17" t="s">
        <v>2105</v>
      </c>
      <c r="C4061" s="17" t="s">
        <v>1593</v>
      </c>
      <c r="D4061" s="17" t="s">
        <v>2106</v>
      </c>
      <c r="E4061" s="17" t="s">
        <v>2107</v>
      </c>
      <c r="F4061" s="17" t="s">
        <v>2142</v>
      </c>
      <c r="G4061" s="18" t="n">
        <v>125</v>
      </c>
      <c r="H4061" s="18" t="n">
        <v>0</v>
      </c>
      <c r="I4061" s="18" t="n">
        <f aca="false">((I4060 + G4061) - H4061)</f>
        <v>27335.52</v>
      </c>
      <c r="J4061" s="18" t="n">
        <v>0</v>
      </c>
      <c r="K4061" s="19" t="n">
        <v>0</v>
      </c>
      <c r="L4061" s="17" t="s">
        <v>1399</v>
      </c>
    </row>
    <row r="4062" s="11" customFormat="true" ht="10.95" hidden="false" customHeight="true" outlineLevel="0" collapsed="false">
      <c r="A4062" s="16" t="n">
        <v>45344</v>
      </c>
      <c r="B4062" s="17" t="s">
        <v>2105</v>
      </c>
      <c r="C4062" s="17" t="s">
        <v>1593</v>
      </c>
      <c r="D4062" s="17" t="s">
        <v>2106</v>
      </c>
      <c r="E4062" s="17" t="s">
        <v>2107</v>
      </c>
      <c r="F4062" s="17" t="s">
        <v>2143</v>
      </c>
      <c r="G4062" s="18" t="n">
        <v>125</v>
      </c>
      <c r="H4062" s="18" t="n">
        <v>0</v>
      </c>
      <c r="I4062" s="18" t="n">
        <f aca="false">((I4061 + G4062) - H4062)</f>
        <v>27460.52</v>
      </c>
      <c r="J4062" s="18" t="n">
        <v>0</v>
      </c>
      <c r="K4062" s="19" t="n">
        <v>0</v>
      </c>
      <c r="L4062" s="17" t="s">
        <v>1399</v>
      </c>
    </row>
    <row r="4063" s="11" customFormat="true" ht="10.95" hidden="false" customHeight="true" outlineLevel="0" collapsed="false">
      <c r="A4063" s="16" t="n">
        <v>45351</v>
      </c>
      <c r="B4063" s="17" t="s">
        <v>2105</v>
      </c>
      <c r="C4063" s="17" t="s">
        <v>1593</v>
      </c>
      <c r="D4063" s="17" t="s">
        <v>2106</v>
      </c>
      <c r="E4063" s="17" t="s">
        <v>2107</v>
      </c>
      <c r="F4063" s="17" t="s">
        <v>2144</v>
      </c>
      <c r="G4063" s="18" t="n">
        <v>125</v>
      </c>
      <c r="H4063" s="18" t="n">
        <v>0</v>
      </c>
      <c r="I4063" s="18" t="n">
        <f aca="false">((I4062 + G4063) - H4063)</f>
        <v>27585.52</v>
      </c>
      <c r="J4063" s="18" t="n">
        <v>0</v>
      </c>
      <c r="K4063" s="19" t="n">
        <v>0</v>
      </c>
      <c r="L4063" s="17" t="s">
        <v>1399</v>
      </c>
    </row>
    <row r="4064" s="11" customFormat="true" ht="10.95" hidden="false" customHeight="true" outlineLevel="0" collapsed="false">
      <c r="A4064" s="16" t="n">
        <v>45357</v>
      </c>
      <c r="B4064" s="17" t="s">
        <v>2105</v>
      </c>
      <c r="C4064" s="17" t="s">
        <v>1593</v>
      </c>
      <c r="D4064" s="17" t="s">
        <v>1407</v>
      </c>
      <c r="E4064" s="17" t="s">
        <v>2145</v>
      </c>
      <c r="F4064" s="17"/>
      <c r="G4064" s="18" t="n">
        <v>2924.94</v>
      </c>
      <c r="H4064" s="18" t="n">
        <v>0</v>
      </c>
      <c r="I4064" s="18" t="n">
        <f aca="false">((I4063 + G4064) - H4064)</f>
        <v>30510.46</v>
      </c>
      <c r="J4064" s="18" t="n">
        <v>292.49</v>
      </c>
      <c r="K4064" s="19" t="n">
        <v>10</v>
      </c>
      <c r="L4064" s="17" t="s">
        <v>44</v>
      </c>
    </row>
    <row r="4065" s="11" customFormat="true" ht="10.95" hidden="false" customHeight="true" outlineLevel="0" collapsed="false">
      <c r="A4065" s="16" t="n">
        <v>45358</v>
      </c>
      <c r="B4065" s="17" t="s">
        <v>2105</v>
      </c>
      <c r="C4065" s="17" t="s">
        <v>1593</v>
      </c>
      <c r="D4065" s="17" t="s">
        <v>2106</v>
      </c>
      <c r="E4065" s="17" t="s">
        <v>2107</v>
      </c>
      <c r="F4065" s="17" t="s">
        <v>2146</v>
      </c>
      <c r="G4065" s="18" t="n">
        <v>125</v>
      </c>
      <c r="H4065" s="18" t="n">
        <v>0</v>
      </c>
      <c r="I4065" s="18" t="n">
        <f aca="false">((I4064 + G4065) - H4065)</f>
        <v>30635.46</v>
      </c>
      <c r="J4065" s="18" t="n">
        <v>0</v>
      </c>
      <c r="K4065" s="19" t="n">
        <v>0</v>
      </c>
      <c r="L4065" s="17" t="s">
        <v>1399</v>
      </c>
    </row>
    <row r="4066" s="11" customFormat="true" ht="10.95" hidden="false" customHeight="true" outlineLevel="0" collapsed="false">
      <c r="A4066" s="16" t="n">
        <v>45365</v>
      </c>
      <c r="B4066" s="17" t="s">
        <v>2105</v>
      </c>
      <c r="C4066" s="17" t="s">
        <v>1593</v>
      </c>
      <c r="D4066" s="17" t="s">
        <v>2106</v>
      </c>
      <c r="E4066" s="17" t="s">
        <v>2107</v>
      </c>
      <c r="F4066" s="17" t="s">
        <v>2147</v>
      </c>
      <c r="G4066" s="18" t="n">
        <v>125</v>
      </c>
      <c r="H4066" s="18" t="n">
        <v>0</v>
      </c>
      <c r="I4066" s="18" t="n">
        <f aca="false">((I4065 + G4066) - H4066)</f>
        <v>30760.46</v>
      </c>
      <c r="J4066" s="18" t="n">
        <v>0</v>
      </c>
      <c r="K4066" s="19" t="n">
        <v>0</v>
      </c>
      <c r="L4066" s="17" t="s">
        <v>1399</v>
      </c>
    </row>
    <row r="4067" s="11" customFormat="true" ht="10.95" hidden="false" customHeight="true" outlineLevel="0" collapsed="false">
      <c r="A4067" s="16" t="n">
        <v>45372</v>
      </c>
      <c r="B4067" s="17" t="s">
        <v>2105</v>
      </c>
      <c r="C4067" s="17" t="s">
        <v>1593</v>
      </c>
      <c r="D4067" s="17" t="s">
        <v>2106</v>
      </c>
      <c r="E4067" s="17" t="s">
        <v>2107</v>
      </c>
      <c r="F4067" s="17" t="s">
        <v>2148</v>
      </c>
      <c r="G4067" s="18" t="n">
        <v>125</v>
      </c>
      <c r="H4067" s="18" t="n">
        <v>0</v>
      </c>
      <c r="I4067" s="18" t="n">
        <f aca="false">((I4066 + G4067) - H4067)</f>
        <v>30885.46</v>
      </c>
      <c r="J4067" s="18" t="n">
        <v>0</v>
      </c>
      <c r="K4067" s="19" t="n">
        <v>0</v>
      </c>
      <c r="L4067" s="17" t="s">
        <v>1399</v>
      </c>
    </row>
    <row r="4068" s="11" customFormat="true" ht="10.95" hidden="false" customHeight="true" outlineLevel="0" collapsed="false">
      <c r="A4068" s="16" t="n">
        <v>45379</v>
      </c>
      <c r="B4068" s="17" t="s">
        <v>2105</v>
      </c>
      <c r="C4068" s="17" t="s">
        <v>1593</v>
      </c>
      <c r="D4068" s="17" t="s">
        <v>2106</v>
      </c>
      <c r="E4068" s="17" t="s">
        <v>2107</v>
      </c>
      <c r="F4068" s="17" t="s">
        <v>2149</v>
      </c>
      <c r="G4068" s="18" t="n">
        <v>125</v>
      </c>
      <c r="H4068" s="18" t="n">
        <v>0</v>
      </c>
      <c r="I4068" s="18" t="n">
        <f aca="false">((I4067 + G4068) - H4068)</f>
        <v>31010.46</v>
      </c>
      <c r="J4068" s="18" t="n">
        <v>0</v>
      </c>
      <c r="K4068" s="19" t="n">
        <v>0</v>
      </c>
      <c r="L4068" s="17" t="s">
        <v>1399</v>
      </c>
    </row>
    <row r="4069" s="11" customFormat="true" ht="10.95" hidden="false" customHeight="true" outlineLevel="0" collapsed="false">
      <c r="A4069" s="16" t="n">
        <v>45386</v>
      </c>
      <c r="B4069" s="17" t="s">
        <v>2105</v>
      </c>
      <c r="C4069" s="17" t="s">
        <v>1593</v>
      </c>
      <c r="D4069" s="17" t="s">
        <v>2106</v>
      </c>
      <c r="E4069" s="17" t="s">
        <v>2107</v>
      </c>
      <c r="F4069" s="17" t="s">
        <v>2150</v>
      </c>
      <c r="G4069" s="18" t="n">
        <v>125</v>
      </c>
      <c r="H4069" s="18" t="n">
        <v>0</v>
      </c>
      <c r="I4069" s="18" t="n">
        <f aca="false">((I4068 + G4069) - H4069)</f>
        <v>31135.46</v>
      </c>
      <c r="J4069" s="18" t="n">
        <v>0</v>
      </c>
      <c r="K4069" s="19" t="n">
        <v>0</v>
      </c>
      <c r="L4069" s="17" t="s">
        <v>1399</v>
      </c>
    </row>
    <row r="4070" s="11" customFormat="true" ht="10.95" hidden="false" customHeight="true" outlineLevel="0" collapsed="false">
      <c r="A4070" s="16" t="n">
        <v>45390</v>
      </c>
      <c r="B4070" s="17" t="s">
        <v>2105</v>
      </c>
      <c r="C4070" s="17" t="s">
        <v>1593</v>
      </c>
      <c r="D4070" s="17" t="s">
        <v>1407</v>
      </c>
      <c r="E4070" s="17" t="s">
        <v>2109</v>
      </c>
      <c r="F4070" s="17"/>
      <c r="G4070" s="18" t="n">
        <v>2924.94</v>
      </c>
      <c r="H4070" s="18" t="n">
        <v>0</v>
      </c>
      <c r="I4070" s="18" t="n">
        <f aca="false">((I4069 + G4070) - H4070)</f>
        <v>34060.4</v>
      </c>
      <c r="J4070" s="18" t="n">
        <v>292.49</v>
      </c>
      <c r="K4070" s="19" t="n">
        <v>10</v>
      </c>
      <c r="L4070" s="17" t="s">
        <v>44</v>
      </c>
    </row>
    <row r="4071" s="11" customFormat="true" ht="10.95" hidden="false" customHeight="true" outlineLevel="0" collapsed="false">
      <c r="A4071" s="16" t="n">
        <v>45393</v>
      </c>
      <c r="B4071" s="17" t="s">
        <v>2105</v>
      </c>
      <c r="C4071" s="17" t="s">
        <v>1593</v>
      </c>
      <c r="D4071" s="17" t="s">
        <v>2106</v>
      </c>
      <c r="E4071" s="17" t="s">
        <v>2107</v>
      </c>
      <c r="F4071" s="17" t="s">
        <v>2151</v>
      </c>
      <c r="G4071" s="18" t="n">
        <v>125</v>
      </c>
      <c r="H4071" s="18" t="n">
        <v>0</v>
      </c>
      <c r="I4071" s="18" t="n">
        <f aca="false">((I4070 + G4071) - H4071)</f>
        <v>34185.4</v>
      </c>
      <c r="J4071" s="18" t="n">
        <v>0</v>
      </c>
      <c r="K4071" s="19" t="n">
        <v>0</v>
      </c>
      <c r="L4071" s="17" t="s">
        <v>1399</v>
      </c>
    </row>
    <row r="4072" s="11" customFormat="true" ht="10.95" hidden="false" customHeight="true" outlineLevel="0" collapsed="false">
      <c r="A4072" s="16" t="n">
        <v>45400</v>
      </c>
      <c r="B4072" s="17" t="s">
        <v>2105</v>
      </c>
      <c r="C4072" s="17" t="s">
        <v>1593</v>
      </c>
      <c r="D4072" s="17" t="s">
        <v>2106</v>
      </c>
      <c r="E4072" s="17" t="s">
        <v>2107</v>
      </c>
      <c r="F4072" s="17" t="s">
        <v>2152</v>
      </c>
      <c r="G4072" s="18" t="n">
        <v>125</v>
      </c>
      <c r="H4072" s="18" t="n">
        <v>0</v>
      </c>
      <c r="I4072" s="18" t="n">
        <f aca="false">((I4071 + G4072) - H4072)</f>
        <v>34310.4</v>
      </c>
      <c r="J4072" s="18" t="n">
        <v>0</v>
      </c>
      <c r="K4072" s="19" t="n">
        <v>0</v>
      </c>
      <c r="L4072" s="17" t="s">
        <v>1399</v>
      </c>
    </row>
    <row r="4073" s="11" customFormat="true" ht="10.95" hidden="false" customHeight="true" outlineLevel="0" collapsed="false">
      <c r="A4073" s="16" t="n">
        <v>45407</v>
      </c>
      <c r="B4073" s="17" t="s">
        <v>2105</v>
      </c>
      <c r="C4073" s="17" t="s">
        <v>1593</v>
      </c>
      <c r="D4073" s="17" t="s">
        <v>2106</v>
      </c>
      <c r="E4073" s="17" t="s">
        <v>2107</v>
      </c>
      <c r="F4073" s="17" t="s">
        <v>2153</v>
      </c>
      <c r="G4073" s="18" t="n">
        <v>125</v>
      </c>
      <c r="H4073" s="18" t="n">
        <v>0</v>
      </c>
      <c r="I4073" s="18" t="n">
        <f aca="false">((I4072 + G4073) - H4073)</f>
        <v>34435.4</v>
      </c>
      <c r="J4073" s="18" t="n">
        <v>0</v>
      </c>
      <c r="K4073" s="19" t="n">
        <v>0</v>
      </c>
      <c r="L4073" s="17" t="s">
        <v>1399</v>
      </c>
    </row>
    <row r="4074" s="11" customFormat="true" ht="10.95" hidden="false" customHeight="true" outlineLevel="0" collapsed="false">
      <c r="A4074" s="16" t="n">
        <v>45414</v>
      </c>
      <c r="B4074" s="17" t="s">
        <v>2105</v>
      </c>
      <c r="C4074" s="17" t="s">
        <v>1593</v>
      </c>
      <c r="D4074" s="17" t="s">
        <v>2106</v>
      </c>
      <c r="E4074" s="17" t="s">
        <v>2107</v>
      </c>
      <c r="F4074" s="17" t="s">
        <v>2154</v>
      </c>
      <c r="G4074" s="18" t="n">
        <v>125</v>
      </c>
      <c r="H4074" s="18" t="n">
        <v>0</v>
      </c>
      <c r="I4074" s="18" t="n">
        <f aca="false">((I4073 + G4074) - H4074)</f>
        <v>34560.4</v>
      </c>
      <c r="J4074" s="18" t="n">
        <v>0</v>
      </c>
      <c r="K4074" s="19" t="n">
        <v>0</v>
      </c>
      <c r="L4074" s="17" t="s">
        <v>1399</v>
      </c>
    </row>
    <row r="4075" s="11" customFormat="true" ht="10.95" hidden="false" customHeight="true" outlineLevel="0" collapsed="false">
      <c r="A4075" s="16" t="n">
        <v>45418</v>
      </c>
      <c r="B4075" s="17" t="s">
        <v>2105</v>
      </c>
      <c r="C4075" s="17" t="s">
        <v>1593</v>
      </c>
      <c r="D4075" s="17" t="s">
        <v>1407</v>
      </c>
      <c r="E4075" s="17" t="s">
        <v>2109</v>
      </c>
      <c r="F4075" s="17"/>
      <c r="G4075" s="18" t="n">
        <v>2493.65</v>
      </c>
      <c r="H4075" s="18" t="n">
        <v>0</v>
      </c>
      <c r="I4075" s="18" t="n">
        <f aca="false">((I4074 + G4075) - H4075)</f>
        <v>37054.05</v>
      </c>
      <c r="J4075" s="18" t="n">
        <v>249.36</v>
      </c>
      <c r="K4075" s="19" t="n">
        <v>10</v>
      </c>
      <c r="L4075" s="17" t="s">
        <v>44</v>
      </c>
    </row>
    <row r="4076" s="11" customFormat="true" ht="10.95" hidden="false" customHeight="true" outlineLevel="0" collapsed="false">
      <c r="A4076" s="16" t="n">
        <v>45421</v>
      </c>
      <c r="B4076" s="17" t="s">
        <v>2105</v>
      </c>
      <c r="C4076" s="17" t="s">
        <v>1593</v>
      </c>
      <c r="D4076" s="17" t="s">
        <v>2106</v>
      </c>
      <c r="E4076" s="17" t="s">
        <v>2107</v>
      </c>
      <c r="F4076" s="17" t="s">
        <v>2155</v>
      </c>
      <c r="G4076" s="18" t="n">
        <v>125</v>
      </c>
      <c r="H4076" s="18" t="n">
        <v>0</v>
      </c>
      <c r="I4076" s="18" t="n">
        <f aca="false">((I4075 + G4076) - H4076)</f>
        <v>37179.05</v>
      </c>
      <c r="J4076" s="18" t="n">
        <v>0</v>
      </c>
      <c r="K4076" s="19" t="n">
        <v>0</v>
      </c>
      <c r="L4076" s="17" t="s">
        <v>1399</v>
      </c>
    </row>
    <row r="4077" s="11" customFormat="true" ht="10.95" hidden="false" customHeight="true" outlineLevel="0" collapsed="false">
      <c r="A4077" s="16" t="n">
        <v>45448</v>
      </c>
      <c r="B4077" s="17" t="s">
        <v>2105</v>
      </c>
      <c r="C4077" s="17" t="s">
        <v>1593</v>
      </c>
      <c r="D4077" s="17" t="s">
        <v>1407</v>
      </c>
      <c r="E4077" s="17" t="s">
        <v>2156</v>
      </c>
      <c r="F4077" s="17"/>
      <c r="G4077" s="18" t="n">
        <v>440.18</v>
      </c>
      <c r="H4077" s="18" t="n">
        <v>0</v>
      </c>
      <c r="I4077" s="18" t="n">
        <f aca="false">((I4076 + G4077) - H4077)</f>
        <v>37619.23</v>
      </c>
      <c r="J4077" s="18" t="n">
        <v>44.02</v>
      </c>
      <c r="K4077" s="19" t="n">
        <v>10</v>
      </c>
      <c r="L4077" s="17" t="s">
        <v>44</v>
      </c>
    </row>
    <row r="4078" s="11" customFormat="true" ht="10.95" hidden="false" customHeight="true" outlineLevel="0" collapsed="false">
      <c r="A4078" s="16" t="n">
        <v>45450</v>
      </c>
      <c r="B4078" s="17" t="s">
        <v>2105</v>
      </c>
      <c r="C4078" s="17" t="s">
        <v>1593</v>
      </c>
      <c r="D4078" s="17" t="s">
        <v>1407</v>
      </c>
      <c r="E4078" s="17" t="s">
        <v>2157</v>
      </c>
      <c r="F4078" s="17"/>
      <c r="G4078" s="18" t="n">
        <v>196.57</v>
      </c>
      <c r="H4078" s="18" t="n">
        <v>0</v>
      </c>
      <c r="I4078" s="18" t="n">
        <f aca="false">((I4077 + G4078) - H4078)</f>
        <v>37815.8</v>
      </c>
      <c r="J4078" s="18" t="n">
        <v>19.66</v>
      </c>
      <c r="K4078" s="19" t="n">
        <v>10</v>
      </c>
      <c r="L4078" s="17" t="s">
        <v>44</v>
      </c>
    </row>
    <row r="4079" s="11" customFormat="true" ht="10.95" hidden="false" customHeight="true" outlineLevel="0" collapsed="false">
      <c r="A4079" s="16" t="n">
        <v>45473</v>
      </c>
      <c r="B4079" s="17" t="s">
        <v>2105</v>
      </c>
      <c r="C4079" s="17" t="s">
        <v>1593</v>
      </c>
      <c r="D4079" s="17" t="s">
        <v>1396</v>
      </c>
      <c r="E4079" s="17" t="s">
        <v>2009</v>
      </c>
      <c r="F4079" s="17" t="s">
        <v>2010</v>
      </c>
      <c r="G4079" s="18" t="n">
        <v>0</v>
      </c>
      <c r="H4079" s="18" t="n">
        <v>5436</v>
      </c>
      <c r="I4079" s="18" t="n">
        <f aca="false">((I4078 + G4079) - H4079)</f>
        <v>32379.8</v>
      </c>
      <c r="J4079" s="18" t="n">
        <v>0</v>
      </c>
      <c r="K4079" s="19" t="n">
        <v>0</v>
      </c>
      <c r="L4079" s="17" t="s">
        <v>1399</v>
      </c>
    </row>
    <row r="4080" s="11" customFormat="true" ht="10.95" hidden="false" customHeight="true" outlineLevel="0" collapsed="false">
      <c r="A4080" s="21" t="s">
        <v>2158</v>
      </c>
      <c r="B4080" s="21"/>
      <c r="C4080" s="21"/>
      <c r="D4080" s="21"/>
      <c r="E4080" s="21"/>
      <c r="F4080" s="21"/>
      <c r="G4080" s="22" t="n">
        <f aca="false">SUM(G4021:G4079)</f>
        <v>37815.8</v>
      </c>
      <c r="H4080" s="22" t="n">
        <f aca="false">SUM(H4021:H4079)</f>
        <v>5436</v>
      </c>
      <c r="I4080" s="22" t="n">
        <f aca="false">I4079</f>
        <v>32379.8</v>
      </c>
      <c r="J4080" s="22" t="n">
        <f aca="false">SUM(J4021:J4079)</f>
        <v>3237.94</v>
      </c>
      <c r="K4080" s="21"/>
      <c r="L4080" s="21"/>
    </row>
    <row r="4081" s="11" customFormat="true" ht="10.95" hidden="false" customHeight="true" outlineLevel="0" collapsed="false">
      <c r="A4081" s="21" t="s">
        <v>784</v>
      </c>
      <c r="B4081" s="21"/>
      <c r="C4081" s="21"/>
      <c r="D4081" s="21"/>
      <c r="E4081" s="21"/>
      <c r="F4081" s="21"/>
      <c r="G4081" s="22" t="n">
        <v>32379.8</v>
      </c>
      <c r="H4081" s="22" t="n">
        <v>0</v>
      </c>
      <c r="I4081" s="22" t="n">
        <v>0</v>
      </c>
      <c r="J4081" s="22" t="n">
        <v>0</v>
      </c>
      <c r="K4081" s="21"/>
      <c r="L4081" s="21"/>
    </row>
    <row r="4082" s="11" customFormat="true" ht="10.95" hidden="false" customHeight="true" outlineLevel="0" collapsed="false">
      <c r="A4082" s="9" t="s">
        <v>785</v>
      </c>
      <c r="B4082" s="9"/>
      <c r="C4082" s="9"/>
      <c r="D4082" s="9"/>
      <c r="E4082" s="9"/>
      <c r="F4082" s="9"/>
      <c r="G4082" s="10" t="n">
        <v>32379.8</v>
      </c>
      <c r="H4082" s="10" t="n">
        <v>0</v>
      </c>
      <c r="I4082" s="10" t="n">
        <f aca="false">I4079</f>
        <v>32379.8</v>
      </c>
      <c r="J4082" s="10" t="n">
        <v>0</v>
      </c>
      <c r="K4082" s="9"/>
      <c r="L4082" s="9"/>
    </row>
    <row r="4083" customFormat="false" ht="13.35" hidden="false" customHeight="true" outlineLevel="0" collapsed="false"/>
    <row r="4084" s="7" customFormat="true" ht="12.1" hidden="false" customHeight="true" outlineLevel="0" collapsed="false">
      <c r="A4084" s="8" t="s">
        <v>2159</v>
      </c>
      <c r="B4084" s="8"/>
      <c r="C4084" s="8"/>
      <c r="D4084" s="8"/>
      <c r="E4084" s="8"/>
      <c r="F4084" s="8"/>
      <c r="G4084" s="8"/>
      <c r="H4084" s="8"/>
      <c r="I4084" s="8"/>
      <c r="J4084" s="8"/>
      <c r="K4084" s="8"/>
      <c r="L4084" s="8"/>
    </row>
    <row r="4085" s="11" customFormat="true" ht="10.95" hidden="false" customHeight="true" outlineLevel="0" collapsed="false">
      <c r="A4085" s="9" t="s">
        <v>16</v>
      </c>
      <c r="B4085" s="9"/>
      <c r="C4085" s="9"/>
      <c r="D4085" s="9"/>
      <c r="E4085" s="9"/>
      <c r="F4085" s="9"/>
      <c r="G4085" s="10" t="n">
        <v>0</v>
      </c>
      <c r="H4085" s="10" t="n">
        <v>0</v>
      </c>
      <c r="I4085" s="10" t="n">
        <f aca="false">(G4085 - H4085)</f>
        <v>0</v>
      </c>
      <c r="J4085" s="10" t="n">
        <v>0</v>
      </c>
      <c r="K4085" s="9"/>
      <c r="L4085" s="9"/>
    </row>
    <row r="4086" s="11" customFormat="true" ht="10.95" hidden="false" customHeight="true" outlineLevel="0" collapsed="false">
      <c r="A4086" s="12" t="n">
        <v>45349</v>
      </c>
      <c r="B4086" s="13" t="s">
        <v>2160</v>
      </c>
      <c r="C4086" s="13" t="s">
        <v>1593</v>
      </c>
      <c r="D4086" s="13" t="s">
        <v>1407</v>
      </c>
      <c r="E4086" s="13" t="s">
        <v>2161</v>
      </c>
      <c r="F4086" s="13"/>
      <c r="G4086" s="14" t="n">
        <v>618.18</v>
      </c>
      <c r="H4086" s="14" t="n">
        <v>0</v>
      </c>
      <c r="I4086" s="14" t="n">
        <f aca="false">((I4085 + G4086) - H4086)</f>
        <v>618.18</v>
      </c>
      <c r="J4086" s="14" t="n">
        <v>61.82</v>
      </c>
      <c r="K4086" s="15" t="n">
        <v>10</v>
      </c>
      <c r="L4086" s="13" t="s">
        <v>44</v>
      </c>
    </row>
    <row r="4087" s="11" customFormat="true" ht="10.95" hidden="false" customHeight="true" outlineLevel="0" collapsed="false">
      <c r="A4087" s="21" t="s">
        <v>2162</v>
      </c>
      <c r="B4087" s="21"/>
      <c r="C4087" s="21"/>
      <c r="D4087" s="21"/>
      <c r="E4087" s="21"/>
      <c r="F4087" s="21"/>
      <c r="G4087" s="22" t="n">
        <f aca="false">G4086</f>
        <v>618.18</v>
      </c>
      <c r="H4087" s="22" t="n">
        <f aca="false">H4086</f>
        <v>0</v>
      </c>
      <c r="I4087" s="22" t="n">
        <f aca="false">I4086</f>
        <v>618.18</v>
      </c>
      <c r="J4087" s="22" t="n">
        <f aca="false">J4086</f>
        <v>61.82</v>
      </c>
      <c r="K4087" s="21"/>
      <c r="L4087" s="21"/>
    </row>
    <row r="4088" s="11" customFormat="true" ht="10.95" hidden="false" customHeight="true" outlineLevel="0" collapsed="false">
      <c r="A4088" s="21" t="s">
        <v>784</v>
      </c>
      <c r="B4088" s="21"/>
      <c r="C4088" s="21"/>
      <c r="D4088" s="21"/>
      <c r="E4088" s="21"/>
      <c r="F4088" s="21"/>
      <c r="G4088" s="22" t="n">
        <v>618.18</v>
      </c>
      <c r="H4088" s="22" t="n">
        <v>0</v>
      </c>
      <c r="I4088" s="22" t="n">
        <v>0</v>
      </c>
      <c r="J4088" s="22" t="n">
        <v>0</v>
      </c>
      <c r="K4088" s="21"/>
      <c r="L4088" s="21"/>
    </row>
    <row r="4089" s="11" customFormat="true" ht="10.95" hidden="false" customHeight="true" outlineLevel="0" collapsed="false">
      <c r="A4089" s="9" t="s">
        <v>785</v>
      </c>
      <c r="B4089" s="9"/>
      <c r="C4089" s="9"/>
      <c r="D4089" s="9"/>
      <c r="E4089" s="9"/>
      <c r="F4089" s="9"/>
      <c r="G4089" s="10" t="n">
        <v>618.18</v>
      </c>
      <c r="H4089" s="10" t="n">
        <v>0</v>
      </c>
      <c r="I4089" s="10" t="n">
        <f aca="false">I4086</f>
        <v>618.18</v>
      </c>
      <c r="J4089" s="10" t="n">
        <v>0</v>
      </c>
      <c r="K4089" s="9"/>
      <c r="L4089" s="9"/>
    </row>
    <row r="4090" customFormat="false" ht="13.35" hidden="false" customHeight="true" outlineLevel="0" collapsed="false"/>
    <row r="4091" s="7" customFormat="true" ht="12.1" hidden="false" customHeight="true" outlineLevel="0" collapsed="false">
      <c r="A4091" s="8" t="s">
        <v>2163</v>
      </c>
      <c r="B4091" s="8"/>
      <c r="C4091" s="8"/>
      <c r="D4091" s="8"/>
      <c r="E4091" s="8"/>
      <c r="F4091" s="8"/>
      <c r="G4091" s="8"/>
      <c r="H4091" s="8"/>
      <c r="I4091" s="8"/>
      <c r="J4091" s="8"/>
      <c r="K4091" s="8"/>
      <c r="L4091" s="8"/>
    </row>
    <row r="4092" s="11" customFormat="true" ht="10.95" hidden="false" customHeight="true" outlineLevel="0" collapsed="false">
      <c r="A4092" s="9" t="s">
        <v>16</v>
      </c>
      <c r="B4092" s="9"/>
      <c r="C4092" s="9"/>
      <c r="D4092" s="9"/>
      <c r="E4092" s="9"/>
      <c r="F4092" s="9"/>
      <c r="G4092" s="10" t="n">
        <v>0</v>
      </c>
      <c r="H4092" s="10" t="n">
        <v>0</v>
      </c>
      <c r="I4092" s="10" t="n">
        <f aca="false">(G4092 - H4092)</f>
        <v>0</v>
      </c>
      <c r="J4092" s="10" t="n">
        <v>0</v>
      </c>
      <c r="K4092" s="9"/>
      <c r="L4092" s="9"/>
    </row>
    <row r="4093" s="11" customFormat="true" ht="10.95" hidden="false" customHeight="true" outlineLevel="0" collapsed="false">
      <c r="A4093" s="12" t="n">
        <v>45113</v>
      </c>
      <c r="B4093" s="13" t="s">
        <v>2164</v>
      </c>
      <c r="C4093" s="13" t="s">
        <v>1593</v>
      </c>
      <c r="D4093" s="13" t="s">
        <v>2106</v>
      </c>
      <c r="E4093" s="13" t="s">
        <v>2165</v>
      </c>
      <c r="F4093" s="13" t="s">
        <v>2108</v>
      </c>
      <c r="G4093" s="14" t="n">
        <v>6427.38</v>
      </c>
      <c r="H4093" s="14" t="n">
        <v>0</v>
      </c>
      <c r="I4093" s="14" t="n">
        <f aca="false">((I4092 + G4093) - H4093)</f>
        <v>6427.38</v>
      </c>
      <c r="J4093" s="14" t="n">
        <v>0</v>
      </c>
      <c r="K4093" s="15" t="n">
        <v>0</v>
      </c>
      <c r="L4093" s="13" t="s">
        <v>1399</v>
      </c>
    </row>
    <row r="4094" s="11" customFormat="true" ht="10.95" hidden="false" customHeight="true" outlineLevel="0" collapsed="false">
      <c r="A4094" s="16" t="n">
        <v>45120</v>
      </c>
      <c r="B4094" s="17" t="s">
        <v>2164</v>
      </c>
      <c r="C4094" s="17" t="s">
        <v>1593</v>
      </c>
      <c r="D4094" s="17" t="s">
        <v>2106</v>
      </c>
      <c r="E4094" s="17" t="s">
        <v>2165</v>
      </c>
      <c r="F4094" s="17" t="s">
        <v>2110</v>
      </c>
      <c r="G4094" s="18" t="n">
        <v>6427.38</v>
      </c>
      <c r="H4094" s="18" t="n">
        <v>0</v>
      </c>
      <c r="I4094" s="18" t="n">
        <f aca="false">((I4093 + G4094) - H4094)</f>
        <v>12854.76</v>
      </c>
      <c r="J4094" s="18" t="n">
        <v>0</v>
      </c>
      <c r="K4094" s="19" t="n">
        <v>0</v>
      </c>
      <c r="L4094" s="17" t="s">
        <v>1399</v>
      </c>
    </row>
    <row r="4095" s="11" customFormat="true" ht="10.95" hidden="false" customHeight="true" outlineLevel="0" collapsed="false">
      <c r="A4095" s="16" t="n">
        <v>45120</v>
      </c>
      <c r="B4095" s="17" t="s">
        <v>2164</v>
      </c>
      <c r="C4095" s="17" t="s">
        <v>1593</v>
      </c>
      <c r="D4095" s="17" t="s">
        <v>2106</v>
      </c>
      <c r="E4095" s="17" t="s">
        <v>2165</v>
      </c>
      <c r="F4095" s="17" t="s">
        <v>2166</v>
      </c>
      <c r="G4095" s="18" t="n">
        <v>480</v>
      </c>
      <c r="H4095" s="18" t="n">
        <v>0</v>
      </c>
      <c r="I4095" s="18" t="n">
        <f aca="false">((I4094 + G4095) - H4095)</f>
        <v>13334.76</v>
      </c>
      <c r="J4095" s="18" t="n">
        <v>0</v>
      </c>
      <c r="K4095" s="19" t="n">
        <v>0</v>
      </c>
      <c r="L4095" s="17" t="s">
        <v>1399</v>
      </c>
    </row>
    <row r="4096" s="11" customFormat="true" ht="10.95" hidden="false" customHeight="true" outlineLevel="0" collapsed="false">
      <c r="A4096" s="16" t="n">
        <v>45127</v>
      </c>
      <c r="B4096" s="17" t="s">
        <v>2164</v>
      </c>
      <c r="C4096" s="17" t="s">
        <v>1593</v>
      </c>
      <c r="D4096" s="17" t="s">
        <v>2106</v>
      </c>
      <c r="E4096" s="17" t="s">
        <v>2165</v>
      </c>
      <c r="F4096" s="17" t="s">
        <v>2111</v>
      </c>
      <c r="G4096" s="18" t="n">
        <v>6567.38</v>
      </c>
      <c r="H4096" s="18" t="n">
        <v>0</v>
      </c>
      <c r="I4096" s="18" t="n">
        <f aca="false">((I4095 + G4096) - H4096)</f>
        <v>19902.14</v>
      </c>
      <c r="J4096" s="18" t="n">
        <v>0</v>
      </c>
      <c r="K4096" s="19" t="n">
        <v>0</v>
      </c>
      <c r="L4096" s="17" t="s">
        <v>1399</v>
      </c>
    </row>
    <row r="4097" s="11" customFormat="true" ht="10.95" hidden="false" customHeight="true" outlineLevel="0" collapsed="false">
      <c r="A4097" s="16" t="n">
        <v>45134</v>
      </c>
      <c r="B4097" s="17" t="s">
        <v>2164</v>
      </c>
      <c r="C4097" s="17" t="s">
        <v>1593</v>
      </c>
      <c r="D4097" s="17" t="s">
        <v>2106</v>
      </c>
      <c r="E4097" s="17" t="s">
        <v>2165</v>
      </c>
      <c r="F4097" s="17" t="s">
        <v>2112</v>
      </c>
      <c r="G4097" s="18" t="n">
        <v>6567.38</v>
      </c>
      <c r="H4097" s="18" t="n">
        <v>0</v>
      </c>
      <c r="I4097" s="18" t="n">
        <f aca="false">((I4096 + G4097) - H4097)</f>
        <v>26469.52</v>
      </c>
      <c r="J4097" s="18" t="n">
        <v>0</v>
      </c>
      <c r="K4097" s="19" t="n">
        <v>0</v>
      </c>
      <c r="L4097" s="17" t="s">
        <v>1399</v>
      </c>
    </row>
    <row r="4098" s="11" customFormat="true" ht="10.95" hidden="false" customHeight="true" outlineLevel="0" collapsed="false">
      <c r="A4098" s="16" t="n">
        <v>45141</v>
      </c>
      <c r="B4098" s="17" t="s">
        <v>2164</v>
      </c>
      <c r="C4098" s="17" t="s">
        <v>1593</v>
      </c>
      <c r="D4098" s="17" t="s">
        <v>2106</v>
      </c>
      <c r="E4098" s="17" t="s">
        <v>2165</v>
      </c>
      <c r="F4098" s="17" t="s">
        <v>2113</v>
      </c>
      <c r="G4098" s="18" t="n">
        <v>6551.38</v>
      </c>
      <c r="H4098" s="18" t="n">
        <v>0</v>
      </c>
      <c r="I4098" s="18" t="n">
        <f aca="false">((I4097 + G4098) - H4098)</f>
        <v>33020.9</v>
      </c>
      <c r="J4098" s="18" t="n">
        <v>0</v>
      </c>
      <c r="K4098" s="19" t="n">
        <v>0</v>
      </c>
      <c r="L4098" s="17" t="s">
        <v>1399</v>
      </c>
    </row>
    <row r="4099" s="11" customFormat="true" ht="10.95" hidden="false" customHeight="true" outlineLevel="0" collapsed="false">
      <c r="A4099" s="16" t="n">
        <v>45148</v>
      </c>
      <c r="B4099" s="17" t="s">
        <v>2164</v>
      </c>
      <c r="C4099" s="17" t="s">
        <v>1593</v>
      </c>
      <c r="D4099" s="17" t="s">
        <v>2106</v>
      </c>
      <c r="E4099" s="17" t="s">
        <v>2165</v>
      </c>
      <c r="F4099" s="17" t="s">
        <v>2114</v>
      </c>
      <c r="G4099" s="18" t="n">
        <v>7210.12</v>
      </c>
      <c r="H4099" s="18" t="n">
        <v>0</v>
      </c>
      <c r="I4099" s="18" t="n">
        <f aca="false">((I4098 + G4099) - H4099)</f>
        <v>40231.02</v>
      </c>
      <c r="J4099" s="18" t="n">
        <v>0</v>
      </c>
      <c r="K4099" s="19" t="n">
        <v>0</v>
      </c>
      <c r="L4099" s="17" t="s">
        <v>1399</v>
      </c>
    </row>
    <row r="4100" s="11" customFormat="true" ht="10.95" hidden="false" customHeight="true" outlineLevel="0" collapsed="false">
      <c r="A4100" s="16" t="n">
        <v>45155</v>
      </c>
      <c r="B4100" s="17" t="s">
        <v>2164</v>
      </c>
      <c r="C4100" s="17" t="s">
        <v>1593</v>
      </c>
      <c r="D4100" s="17" t="s">
        <v>2106</v>
      </c>
      <c r="E4100" s="17" t="s">
        <v>2165</v>
      </c>
      <c r="F4100" s="17" t="s">
        <v>2115</v>
      </c>
      <c r="G4100" s="18" t="n">
        <v>7210.12</v>
      </c>
      <c r="H4100" s="18" t="n">
        <v>0</v>
      </c>
      <c r="I4100" s="18" t="n">
        <f aca="false">((I4099 + G4100) - H4100)</f>
        <v>47441.14</v>
      </c>
      <c r="J4100" s="18" t="n">
        <v>0</v>
      </c>
      <c r="K4100" s="19" t="n">
        <v>0</v>
      </c>
      <c r="L4100" s="17" t="s">
        <v>1399</v>
      </c>
    </row>
    <row r="4101" s="11" customFormat="true" ht="10.95" hidden="false" customHeight="true" outlineLevel="0" collapsed="false">
      <c r="A4101" s="16" t="n">
        <v>45162</v>
      </c>
      <c r="B4101" s="17" t="s">
        <v>2164</v>
      </c>
      <c r="C4101" s="17" t="s">
        <v>1593</v>
      </c>
      <c r="D4101" s="17" t="s">
        <v>2106</v>
      </c>
      <c r="E4101" s="17" t="s">
        <v>2165</v>
      </c>
      <c r="F4101" s="17" t="s">
        <v>2116</v>
      </c>
      <c r="G4101" s="18" t="n">
        <v>7210.12</v>
      </c>
      <c r="H4101" s="18" t="n">
        <v>0</v>
      </c>
      <c r="I4101" s="18" t="n">
        <f aca="false">((I4100 + G4101) - H4101)</f>
        <v>54651.26</v>
      </c>
      <c r="J4101" s="18" t="n">
        <v>0</v>
      </c>
      <c r="K4101" s="19" t="n">
        <v>0</v>
      </c>
      <c r="L4101" s="17" t="s">
        <v>1399</v>
      </c>
    </row>
    <row r="4102" s="11" customFormat="true" ht="10.95" hidden="false" customHeight="true" outlineLevel="0" collapsed="false">
      <c r="A4102" s="16" t="n">
        <v>45169</v>
      </c>
      <c r="B4102" s="17" t="s">
        <v>2164</v>
      </c>
      <c r="C4102" s="17" t="s">
        <v>1593</v>
      </c>
      <c r="D4102" s="17" t="s">
        <v>2106</v>
      </c>
      <c r="E4102" s="17" t="s">
        <v>2165</v>
      </c>
      <c r="F4102" s="17" t="s">
        <v>2117</v>
      </c>
      <c r="G4102" s="18" t="n">
        <v>7210.12</v>
      </c>
      <c r="H4102" s="18" t="n">
        <v>0</v>
      </c>
      <c r="I4102" s="18" t="n">
        <f aca="false">((I4101 + G4102) - H4102)</f>
        <v>61861.38</v>
      </c>
      <c r="J4102" s="18" t="n">
        <v>0</v>
      </c>
      <c r="K4102" s="19" t="n">
        <v>0</v>
      </c>
      <c r="L4102" s="17" t="s">
        <v>1399</v>
      </c>
    </row>
    <row r="4103" s="11" customFormat="true" ht="10.95" hidden="false" customHeight="true" outlineLevel="0" collapsed="false">
      <c r="A4103" s="16" t="n">
        <v>45176</v>
      </c>
      <c r="B4103" s="17" t="s">
        <v>2164</v>
      </c>
      <c r="C4103" s="17" t="s">
        <v>1593</v>
      </c>
      <c r="D4103" s="17" t="s">
        <v>2106</v>
      </c>
      <c r="E4103" s="17" t="s">
        <v>2165</v>
      </c>
      <c r="F4103" s="17" t="s">
        <v>2118</v>
      </c>
      <c r="G4103" s="18" t="n">
        <v>7870.12</v>
      </c>
      <c r="H4103" s="18" t="n">
        <v>0</v>
      </c>
      <c r="I4103" s="18" t="n">
        <f aca="false">((I4102 + G4103) - H4103)</f>
        <v>69731.5</v>
      </c>
      <c r="J4103" s="18" t="n">
        <v>0</v>
      </c>
      <c r="K4103" s="19" t="n">
        <v>0</v>
      </c>
      <c r="L4103" s="17" t="s">
        <v>1399</v>
      </c>
    </row>
    <row r="4104" s="11" customFormat="true" ht="10.95" hidden="false" customHeight="true" outlineLevel="0" collapsed="false">
      <c r="A4104" s="16" t="n">
        <v>45183</v>
      </c>
      <c r="B4104" s="17" t="s">
        <v>2164</v>
      </c>
      <c r="C4104" s="17" t="s">
        <v>1593</v>
      </c>
      <c r="D4104" s="17" t="s">
        <v>2106</v>
      </c>
      <c r="E4104" s="17" t="s">
        <v>2165</v>
      </c>
      <c r="F4104" s="17" t="s">
        <v>2119</v>
      </c>
      <c r="G4104" s="18" t="n">
        <v>7870.12</v>
      </c>
      <c r="H4104" s="18" t="n">
        <v>0</v>
      </c>
      <c r="I4104" s="18" t="n">
        <f aca="false">((I4103 + G4104) - H4104)</f>
        <v>77601.62</v>
      </c>
      <c r="J4104" s="18" t="n">
        <v>0</v>
      </c>
      <c r="K4104" s="19" t="n">
        <v>0</v>
      </c>
      <c r="L4104" s="17" t="s">
        <v>1399</v>
      </c>
    </row>
    <row r="4105" s="11" customFormat="true" ht="10.95" hidden="false" customHeight="true" outlineLevel="0" collapsed="false">
      <c r="A4105" s="16" t="n">
        <v>45190</v>
      </c>
      <c r="B4105" s="17" t="s">
        <v>2164</v>
      </c>
      <c r="C4105" s="17" t="s">
        <v>1593</v>
      </c>
      <c r="D4105" s="17" t="s">
        <v>2106</v>
      </c>
      <c r="E4105" s="17" t="s">
        <v>2165</v>
      </c>
      <c r="F4105" s="17" t="s">
        <v>2120</v>
      </c>
      <c r="G4105" s="18" t="n">
        <v>7210.12</v>
      </c>
      <c r="H4105" s="18" t="n">
        <v>0</v>
      </c>
      <c r="I4105" s="18" t="n">
        <f aca="false">((I4104 + G4105) - H4105)</f>
        <v>84811.74</v>
      </c>
      <c r="J4105" s="18" t="n">
        <v>0</v>
      </c>
      <c r="K4105" s="19" t="n">
        <v>0</v>
      </c>
      <c r="L4105" s="17" t="s">
        <v>1399</v>
      </c>
    </row>
    <row r="4106" s="11" customFormat="true" ht="10.95" hidden="false" customHeight="true" outlineLevel="0" collapsed="false">
      <c r="A4106" s="16" t="n">
        <v>45197</v>
      </c>
      <c r="B4106" s="17" t="s">
        <v>2164</v>
      </c>
      <c r="C4106" s="17" t="s">
        <v>1593</v>
      </c>
      <c r="D4106" s="17" t="s">
        <v>2106</v>
      </c>
      <c r="E4106" s="17" t="s">
        <v>2165</v>
      </c>
      <c r="F4106" s="17" t="s">
        <v>2121</v>
      </c>
      <c r="G4106" s="18" t="n">
        <v>7210.12</v>
      </c>
      <c r="H4106" s="18" t="n">
        <v>0</v>
      </c>
      <c r="I4106" s="18" t="n">
        <f aca="false">((I4105 + G4106) - H4106)</f>
        <v>92021.86</v>
      </c>
      <c r="J4106" s="18" t="n">
        <v>0</v>
      </c>
      <c r="K4106" s="19" t="n">
        <v>0</v>
      </c>
      <c r="L4106" s="17" t="s">
        <v>1399</v>
      </c>
    </row>
    <row r="4107" s="11" customFormat="true" ht="10.95" hidden="false" customHeight="true" outlineLevel="0" collapsed="false">
      <c r="A4107" s="16" t="n">
        <v>45204</v>
      </c>
      <c r="B4107" s="17" t="s">
        <v>2164</v>
      </c>
      <c r="C4107" s="17" t="s">
        <v>1593</v>
      </c>
      <c r="D4107" s="17" t="s">
        <v>2106</v>
      </c>
      <c r="E4107" s="17" t="s">
        <v>2165</v>
      </c>
      <c r="F4107" s="17" t="s">
        <v>2122</v>
      </c>
      <c r="G4107" s="18" t="n">
        <v>7210.12</v>
      </c>
      <c r="H4107" s="18" t="n">
        <v>0</v>
      </c>
      <c r="I4107" s="18" t="n">
        <f aca="false">((I4106 + G4107) - H4107)</f>
        <v>99231.98</v>
      </c>
      <c r="J4107" s="18" t="n">
        <v>0</v>
      </c>
      <c r="K4107" s="19" t="n">
        <v>0</v>
      </c>
      <c r="L4107" s="17" t="s">
        <v>1399</v>
      </c>
    </row>
    <row r="4108" s="11" customFormat="true" ht="10.95" hidden="false" customHeight="true" outlineLevel="0" collapsed="false">
      <c r="A4108" s="16" t="n">
        <v>45211</v>
      </c>
      <c r="B4108" s="17" t="s">
        <v>2164</v>
      </c>
      <c r="C4108" s="17" t="s">
        <v>1593</v>
      </c>
      <c r="D4108" s="17" t="s">
        <v>2106</v>
      </c>
      <c r="E4108" s="17" t="s">
        <v>2165</v>
      </c>
      <c r="F4108" s="17" t="s">
        <v>2123</v>
      </c>
      <c r="G4108" s="18" t="n">
        <v>7210.12</v>
      </c>
      <c r="H4108" s="18" t="n">
        <v>0</v>
      </c>
      <c r="I4108" s="18" t="n">
        <f aca="false">((I4107 + G4108) - H4108)</f>
        <v>106442.1</v>
      </c>
      <c r="J4108" s="18" t="n">
        <v>0</v>
      </c>
      <c r="K4108" s="19" t="n">
        <v>0</v>
      </c>
      <c r="L4108" s="17" t="s">
        <v>1399</v>
      </c>
    </row>
    <row r="4109" s="11" customFormat="true" ht="10.95" hidden="false" customHeight="true" outlineLevel="0" collapsed="false">
      <c r="A4109" s="16" t="n">
        <v>45218</v>
      </c>
      <c r="B4109" s="17" t="s">
        <v>2164</v>
      </c>
      <c r="C4109" s="17" t="s">
        <v>1593</v>
      </c>
      <c r="D4109" s="17" t="s">
        <v>2106</v>
      </c>
      <c r="E4109" s="17" t="s">
        <v>2165</v>
      </c>
      <c r="F4109" s="17" t="s">
        <v>2124</v>
      </c>
      <c r="G4109" s="18" t="n">
        <v>7210.12</v>
      </c>
      <c r="H4109" s="18" t="n">
        <v>0</v>
      </c>
      <c r="I4109" s="18" t="n">
        <f aca="false">((I4108 + G4109) - H4109)</f>
        <v>113652.22</v>
      </c>
      <c r="J4109" s="18" t="n">
        <v>0</v>
      </c>
      <c r="K4109" s="19" t="n">
        <v>0</v>
      </c>
      <c r="L4109" s="17" t="s">
        <v>1399</v>
      </c>
    </row>
    <row r="4110" s="11" customFormat="true" ht="10.95" hidden="false" customHeight="true" outlineLevel="0" collapsed="false">
      <c r="A4110" s="16" t="n">
        <v>45225</v>
      </c>
      <c r="B4110" s="17" t="s">
        <v>2164</v>
      </c>
      <c r="C4110" s="17" t="s">
        <v>1593</v>
      </c>
      <c r="D4110" s="17" t="s">
        <v>2106</v>
      </c>
      <c r="E4110" s="17" t="s">
        <v>2165</v>
      </c>
      <c r="F4110" s="17" t="s">
        <v>2125</v>
      </c>
      <c r="G4110" s="18" t="n">
        <v>7210.12</v>
      </c>
      <c r="H4110" s="18" t="n">
        <v>0</v>
      </c>
      <c r="I4110" s="18" t="n">
        <f aca="false">((I4109 + G4110) - H4110)</f>
        <v>120862.34</v>
      </c>
      <c r="J4110" s="18" t="n">
        <v>0</v>
      </c>
      <c r="K4110" s="19" t="n">
        <v>0</v>
      </c>
      <c r="L4110" s="17" t="s">
        <v>1399</v>
      </c>
    </row>
    <row r="4111" s="11" customFormat="true" ht="10.95" hidden="false" customHeight="true" outlineLevel="0" collapsed="false">
      <c r="A4111" s="16" t="n">
        <v>45230</v>
      </c>
      <c r="B4111" s="17" t="s">
        <v>2164</v>
      </c>
      <c r="C4111" s="17" t="s">
        <v>1593</v>
      </c>
      <c r="D4111" s="17" t="s">
        <v>1407</v>
      </c>
      <c r="E4111" s="17" t="s">
        <v>2167</v>
      </c>
      <c r="F4111" s="17"/>
      <c r="G4111" s="18" t="n">
        <v>1561.45</v>
      </c>
      <c r="H4111" s="18" t="n">
        <v>0</v>
      </c>
      <c r="I4111" s="18" t="n">
        <f aca="false">((I4110 + G4111) - H4111)</f>
        <v>122423.79</v>
      </c>
      <c r="J4111" s="18" t="n">
        <v>0</v>
      </c>
      <c r="K4111" s="19" t="n">
        <v>0</v>
      </c>
      <c r="L4111" s="17" t="s">
        <v>1399</v>
      </c>
    </row>
    <row r="4112" s="11" customFormat="true" ht="10.95" hidden="false" customHeight="true" outlineLevel="0" collapsed="false">
      <c r="A4112" s="16" t="n">
        <v>45230</v>
      </c>
      <c r="B4112" s="17" t="s">
        <v>2164</v>
      </c>
      <c r="C4112" s="17" t="s">
        <v>1593</v>
      </c>
      <c r="D4112" s="17" t="s">
        <v>1407</v>
      </c>
      <c r="E4112" s="17" t="s">
        <v>2168</v>
      </c>
      <c r="F4112" s="17"/>
      <c r="G4112" s="18" t="n">
        <v>1567.44</v>
      </c>
      <c r="H4112" s="18" t="n">
        <v>0</v>
      </c>
      <c r="I4112" s="18" t="n">
        <f aca="false">((I4111 + G4112) - H4112)</f>
        <v>123991.23</v>
      </c>
      <c r="J4112" s="18" t="n">
        <v>0</v>
      </c>
      <c r="K4112" s="19" t="n">
        <v>0</v>
      </c>
      <c r="L4112" s="17" t="s">
        <v>1399</v>
      </c>
    </row>
    <row r="4113" s="11" customFormat="true" ht="10.95" hidden="false" customHeight="true" outlineLevel="0" collapsed="false">
      <c r="A4113" s="16" t="n">
        <v>45232</v>
      </c>
      <c r="B4113" s="17" t="s">
        <v>2164</v>
      </c>
      <c r="C4113" s="17" t="s">
        <v>1593</v>
      </c>
      <c r="D4113" s="17" t="s">
        <v>2106</v>
      </c>
      <c r="E4113" s="17" t="s">
        <v>2165</v>
      </c>
      <c r="F4113" s="17" t="s">
        <v>2126</v>
      </c>
      <c r="G4113" s="18" t="n">
        <v>7210.12</v>
      </c>
      <c r="H4113" s="18" t="n">
        <v>0</v>
      </c>
      <c r="I4113" s="18" t="n">
        <f aca="false">((I4112 + G4113) - H4113)</f>
        <v>131201.35</v>
      </c>
      <c r="J4113" s="18" t="n">
        <v>0</v>
      </c>
      <c r="K4113" s="19" t="n">
        <v>0</v>
      </c>
      <c r="L4113" s="17" t="s">
        <v>1399</v>
      </c>
    </row>
    <row r="4114" s="11" customFormat="true" ht="10.95" hidden="false" customHeight="true" outlineLevel="0" collapsed="false">
      <c r="A4114" s="16" t="n">
        <v>45239</v>
      </c>
      <c r="B4114" s="17" t="s">
        <v>2164</v>
      </c>
      <c r="C4114" s="17" t="s">
        <v>1593</v>
      </c>
      <c r="D4114" s="17" t="s">
        <v>2106</v>
      </c>
      <c r="E4114" s="17" t="s">
        <v>2165</v>
      </c>
      <c r="F4114" s="17" t="s">
        <v>2128</v>
      </c>
      <c r="G4114" s="18" t="n">
        <v>7210.12</v>
      </c>
      <c r="H4114" s="18" t="n">
        <v>0</v>
      </c>
      <c r="I4114" s="18" t="n">
        <f aca="false">((I4113 + G4114) - H4114)</f>
        <v>138411.47</v>
      </c>
      <c r="J4114" s="18" t="n">
        <v>0</v>
      </c>
      <c r="K4114" s="19" t="n">
        <v>0</v>
      </c>
      <c r="L4114" s="17" t="s">
        <v>1399</v>
      </c>
    </row>
    <row r="4115" s="11" customFormat="true" ht="10.95" hidden="false" customHeight="true" outlineLevel="0" collapsed="false">
      <c r="A4115" s="16" t="n">
        <v>45245</v>
      </c>
      <c r="B4115" s="17" t="s">
        <v>2164</v>
      </c>
      <c r="C4115" s="17" t="s">
        <v>1593</v>
      </c>
      <c r="D4115" s="17" t="s">
        <v>1407</v>
      </c>
      <c r="E4115" s="17" t="s">
        <v>2169</v>
      </c>
      <c r="F4115" s="17"/>
      <c r="G4115" s="18" t="n">
        <v>1207</v>
      </c>
      <c r="H4115" s="18" t="n">
        <v>0</v>
      </c>
      <c r="I4115" s="18" t="n">
        <f aca="false">((I4114 + G4115) - H4115)</f>
        <v>139618.47</v>
      </c>
      <c r="J4115" s="18" t="n">
        <v>0</v>
      </c>
      <c r="K4115" s="19" t="n">
        <v>0</v>
      </c>
      <c r="L4115" s="17" t="s">
        <v>1399</v>
      </c>
    </row>
    <row r="4116" s="11" customFormat="true" ht="10.95" hidden="false" customHeight="true" outlineLevel="0" collapsed="false">
      <c r="A4116" s="16" t="n">
        <v>45246</v>
      </c>
      <c r="B4116" s="17" t="s">
        <v>2164</v>
      </c>
      <c r="C4116" s="17" t="s">
        <v>1593</v>
      </c>
      <c r="D4116" s="17" t="s">
        <v>2106</v>
      </c>
      <c r="E4116" s="17" t="s">
        <v>2165</v>
      </c>
      <c r="F4116" s="17" t="s">
        <v>2129</v>
      </c>
      <c r="G4116" s="18" t="n">
        <v>7210.12</v>
      </c>
      <c r="H4116" s="18" t="n">
        <v>0</v>
      </c>
      <c r="I4116" s="18" t="n">
        <f aca="false">((I4115 + G4116) - H4116)</f>
        <v>146828.59</v>
      </c>
      <c r="J4116" s="18" t="n">
        <v>0</v>
      </c>
      <c r="K4116" s="19" t="n">
        <v>0</v>
      </c>
      <c r="L4116" s="17" t="s">
        <v>1399</v>
      </c>
    </row>
    <row r="4117" s="11" customFormat="true" ht="10.95" hidden="false" customHeight="true" outlineLevel="0" collapsed="false">
      <c r="A4117" s="16" t="n">
        <v>45253</v>
      </c>
      <c r="B4117" s="17" t="s">
        <v>2164</v>
      </c>
      <c r="C4117" s="17" t="s">
        <v>1593</v>
      </c>
      <c r="D4117" s="17" t="s">
        <v>2106</v>
      </c>
      <c r="E4117" s="17" t="s">
        <v>2165</v>
      </c>
      <c r="F4117" s="17" t="s">
        <v>2130</v>
      </c>
      <c r="G4117" s="18" t="n">
        <v>7210.12</v>
      </c>
      <c r="H4117" s="18" t="n">
        <v>0</v>
      </c>
      <c r="I4117" s="18" t="n">
        <f aca="false">((I4116 + G4117) - H4117)</f>
        <v>154038.71</v>
      </c>
      <c r="J4117" s="18" t="n">
        <v>0</v>
      </c>
      <c r="K4117" s="19" t="n">
        <v>0</v>
      </c>
      <c r="L4117" s="17" t="s">
        <v>1399</v>
      </c>
    </row>
    <row r="4118" s="11" customFormat="true" ht="10.95" hidden="false" customHeight="true" outlineLevel="0" collapsed="false">
      <c r="A4118" s="16" t="n">
        <v>45260</v>
      </c>
      <c r="B4118" s="17" t="s">
        <v>2164</v>
      </c>
      <c r="C4118" s="17" t="s">
        <v>1593</v>
      </c>
      <c r="D4118" s="17" t="s">
        <v>2106</v>
      </c>
      <c r="E4118" s="17" t="s">
        <v>2165</v>
      </c>
      <c r="F4118" s="17" t="s">
        <v>2131</v>
      </c>
      <c r="G4118" s="18" t="n">
        <v>8530.12</v>
      </c>
      <c r="H4118" s="18" t="n">
        <v>0</v>
      </c>
      <c r="I4118" s="18" t="n">
        <f aca="false">((I4117 + G4118) - H4118)</f>
        <v>162568.83</v>
      </c>
      <c r="J4118" s="18" t="n">
        <v>0</v>
      </c>
      <c r="K4118" s="19" t="n">
        <v>0</v>
      </c>
      <c r="L4118" s="17" t="s">
        <v>1399</v>
      </c>
    </row>
    <row r="4119" s="11" customFormat="true" ht="10.95" hidden="false" customHeight="true" outlineLevel="0" collapsed="false">
      <c r="A4119" s="16" t="n">
        <v>45267</v>
      </c>
      <c r="B4119" s="17" t="s">
        <v>2164</v>
      </c>
      <c r="C4119" s="17" t="s">
        <v>1593</v>
      </c>
      <c r="D4119" s="17" t="s">
        <v>2106</v>
      </c>
      <c r="E4119" s="17" t="s">
        <v>2165</v>
      </c>
      <c r="F4119" s="17" t="s">
        <v>2132</v>
      </c>
      <c r="G4119" s="18" t="n">
        <v>7870.12</v>
      </c>
      <c r="H4119" s="18" t="n">
        <v>0</v>
      </c>
      <c r="I4119" s="18" t="n">
        <f aca="false">((I4118 + G4119) - H4119)</f>
        <v>170438.95</v>
      </c>
      <c r="J4119" s="18" t="n">
        <v>0</v>
      </c>
      <c r="K4119" s="19" t="n">
        <v>0</v>
      </c>
      <c r="L4119" s="17" t="s">
        <v>1399</v>
      </c>
    </row>
    <row r="4120" s="11" customFormat="true" ht="10.95" hidden="false" customHeight="true" outlineLevel="0" collapsed="false">
      <c r="A4120" s="16" t="n">
        <v>45274</v>
      </c>
      <c r="B4120" s="17" t="s">
        <v>2164</v>
      </c>
      <c r="C4120" s="17" t="s">
        <v>1593</v>
      </c>
      <c r="D4120" s="17" t="s">
        <v>2106</v>
      </c>
      <c r="E4120" s="17" t="s">
        <v>2165</v>
      </c>
      <c r="F4120" s="17" t="s">
        <v>2133</v>
      </c>
      <c r="G4120" s="18" t="n">
        <v>7210.12</v>
      </c>
      <c r="H4120" s="18" t="n">
        <v>0</v>
      </c>
      <c r="I4120" s="18" t="n">
        <f aca="false">((I4119 + G4120) - H4120)</f>
        <v>177649.07</v>
      </c>
      <c r="J4120" s="18" t="n">
        <v>0</v>
      </c>
      <c r="K4120" s="19" t="n">
        <v>0</v>
      </c>
      <c r="L4120" s="17" t="s">
        <v>1399</v>
      </c>
    </row>
    <row r="4121" s="11" customFormat="true" ht="10.95" hidden="false" customHeight="true" outlineLevel="0" collapsed="false">
      <c r="A4121" s="16" t="n">
        <v>45281</v>
      </c>
      <c r="B4121" s="17" t="s">
        <v>2164</v>
      </c>
      <c r="C4121" s="17" t="s">
        <v>1593</v>
      </c>
      <c r="D4121" s="17" t="s">
        <v>2106</v>
      </c>
      <c r="E4121" s="17" t="s">
        <v>2165</v>
      </c>
      <c r="F4121" s="17" t="s">
        <v>2134</v>
      </c>
      <c r="G4121" s="18" t="n">
        <v>7210.12</v>
      </c>
      <c r="H4121" s="18" t="n">
        <v>0</v>
      </c>
      <c r="I4121" s="18" t="n">
        <f aca="false">((I4120 + G4121) - H4121)</f>
        <v>184859.19</v>
      </c>
      <c r="J4121" s="18" t="n">
        <v>0</v>
      </c>
      <c r="K4121" s="19" t="n">
        <v>0</v>
      </c>
      <c r="L4121" s="17" t="s">
        <v>1399</v>
      </c>
    </row>
    <row r="4122" s="11" customFormat="true" ht="10.95" hidden="false" customHeight="true" outlineLevel="0" collapsed="false">
      <c r="A4122" s="16" t="n">
        <v>45288</v>
      </c>
      <c r="B4122" s="17" t="s">
        <v>2164</v>
      </c>
      <c r="C4122" s="17" t="s">
        <v>1593</v>
      </c>
      <c r="D4122" s="17" t="s">
        <v>2106</v>
      </c>
      <c r="E4122" s="17" t="s">
        <v>2165</v>
      </c>
      <c r="F4122" s="17" t="s">
        <v>2135</v>
      </c>
      <c r="G4122" s="18" t="n">
        <v>7210.11</v>
      </c>
      <c r="H4122" s="18" t="n">
        <v>0</v>
      </c>
      <c r="I4122" s="18" t="n">
        <f aca="false">((I4121 + G4122) - H4122)</f>
        <v>192069.3</v>
      </c>
      <c r="J4122" s="18" t="n">
        <v>0</v>
      </c>
      <c r="K4122" s="19" t="n">
        <v>0</v>
      </c>
      <c r="L4122" s="17" t="s">
        <v>1399</v>
      </c>
    </row>
    <row r="4123" s="11" customFormat="true" ht="10.95" hidden="false" customHeight="true" outlineLevel="0" collapsed="false">
      <c r="A4123" s="16" t="n">
        <v>45295</v>
      </c>
      <c r="B4123" s="17" t="s">
        <v>2164</v>
      </c>
      <c r="C4123" s="17" t="s">
        <v>1593</v>
      </c>
      <c r="D4123" s="17" t="s">
        <v>2106</v>
      </c>
      <c r="E4123" s="17" t="s">
        <v>2165</v>
      </c>
      <c r="F4123" s="17" t="s">
        <v>2136</v>
      </c>
      <c r="G4123" s="18" t="n">
        <v>7210.12</v>
      </c>
      <c r="H4123" s="18" t="n">
        <v>0</v>
      </c>
      <c r="I4123" s="18" t="n">
        <f aca="false">((I4122 + G4123) - H4123)</f>
        <v>199279.42</v>
      </c>
      <c r="J4123" s="18" t="n">
        <v>0</v>
      </c>
      <c r="K4123" s="19" t="n">
        <v>0</v>
      </c>
      <c r="L4123" s="17" t="s">
        <v>1399</v>
      </c>
    </row>
    <row r="4124" s="11" customFormat="true" ht="10.95" hidden="false" customHeight="true" outlineLevel="0" collapsed="false">
      <c r="A4124" s="16" t="n">
        <v>45302</v>
      </c>
      <c r="B4124" s="17" t="s">
        <v>2164</v>
      </c>
      <c r="C4124" s="17" t="s">
        <v>1593</v>
      </c>
      <c r="D4124" s="17" t="s">
        <v>2106</v>
      </c>
      <c r="E4124" s="17" t="s">
        <v>2165</v>
      </c>
      <c r="F4124" s="17" t="s">
        <v>2137</v>
      </c>
      <c r="G4124" s="18" t="n">
        <v>7548.92</v>
      </c>
      <c r="H4124" s="18" t="n">
        <v>0</v>
      </c>
      <c r="I4124" s="18" t="n">
        <f aca="false">((I4123 + G4124) - H4124)</f>
        <v>206828.34</v>
      </c>
      <c r="J4124" s="18" t="n">
        <v>0</v>
      </c>
      <c r="K4124" s="19" t="n">
        <v>0</v>
      </c>
      <c r="L4124" s="17" t="s">
        <v>1399</v>
      </c>
    </row>
    <row r="4125" s="11" customFormat="true" ht="10.95" hidden="false" customHeight="true" outlineLevel="0" collapsed="false">
      <c r="A4125" s="16" t="n">
        <v>45309</v>
      </c>
      <c r="B4125" s="17" t="s">
        <v>2164</v>
      </c>
      <c r="C4125" s="17" t="s">
        <v>1593</v>
      </c>
      <c r="D4125" s="17" t="s">
        <v>2106</v>
      </c>
      <c r="E4125" s="17" t="s">
        <v>2165</v>
      </c>
      <c r="F4125" s="17" t="s">
        <v>2138</v>
      </c>
      <c r="G4125" s="18" t="n">
        <v>7548.92</v>
      </c>
      <c r="H4125" s="18" t="n">
        <v>0</v>
      </c>
      <c r="I4125" s="18" t="n">
        <f aca="false">((I4124 + G4125) - H4125)</f>
        <v>214377.26</v>
      </c>
      <c r="J4125" s="18" t="n">
        <v>0</v>
      </c>
      <c r="K4125" s="19" t="n">
        <v>0</v>
      </c>
      <c r="L4125" s="17" t="s">
        <v>1399</v>
      </c>
    </row>
    <row r="4126" s="11" customFormat="true" ht="10.95" hidden="false" customHeight="true" outlineLevel="0" collapsed="false">
      <c r="A4126" s="16" t="n">
        <v>45316</v>
      </c>
      <c r="B4126" s="17" t="s">
        <v>2164</v>
      </c>
      <c r="C4126" s="17" t="s">
        <v>1593</v>
      </c>
      <c r="D4126" s="17" t="s">
        <v>2106</v>
      </c>
      <c r="E4126" s="17" t="s">
        <v>2165</v>
      </c>
      <c r="F4126" s="17" t="s">
        <v>2139</v>
      </c>
      <c r="G4126" s="18" t="n">
        <v>8208.92</v>
      </c>
      <c r="H4126" s="18" t="n">
        <v>0</v>
      </c>
      <c r="I4126" s="18" t="n">
        <f aca="false">((I4125 + G4126) - H4126)</f>
        <v>222586.18</v>
      </c>
      <c r="J4126" s="18" t="n">
        <v>0</v>
      </c>
      <c r="K4126" s="19" t="n">
        <v>0</v>
      </c>
      <c r="L4126" s="17" t="s">
        <v>1399</v>
      </c>
    </row>
    <row r="4127" s="11" customFormat="true" ht="10.95" hidden="false" customHeight="true" outlineLevel="0" collapsed="false">
      <c r="A4127" s="16" t="n">
        <v>45323</v>
      </c>
      <c r="B4127" s="17" t="s">
        <v>2164</v>
      </c>
      <c r="C4127" s="17" t="s">
        <v>1593</v>
      </c>
      <c r="D4127" s="17" t="s">
        <v>2106</v>
      </c>
      <c r="E4127" s="17" t="s">
        <v>2165</v>
      </c>
      <c r="F4127" s="17" t="s">
        <v>2140</v>
      </c>
      <c r="G4127" s="18" t="n">
        <v>8208.92</v>
      </c>
      <c r="H4127" s="18" t="n">
        <v>0</v>
      </c>
      <c r="I4127" s="18" t="n">
        <f aca="false">((I4126 + G4127) - H4127)</f>
        <v>230795.1</v>
      </c>
      <c r="J4127" s="18" t="n">
        <v>0</v>
      </c>
      <c r="K4127" s="19" t="n">
        <v>0</v>
      </c>
      <c r="L4127" s="17" t="s">
        <v>1399</v>
      </c>
    </row>
    <row r="4128" s="11" customFormat="true" ht="10.95" hidden="false" customHeight="true" outlineLevel="0" collapsed="false">
      <c r="A4128" s="16" t="n">
        <v>45330</v>
      </c>
      <c r="B4128" s="17" t="s">
        <v>2164</v>
      </c>
      <c r="C4128" s="17" t="s">
        <v>1593</v>
      </c>
      <c r="D4128" s="17" t="s">
        <v>2106</v>
      </c>
      <c r="E4128" s="17" t="s">
        <v>2165</v>
      </c>
      <c r="F4128" s="17" t="s">
        <v>2141</v>
      </c>
      <c r="G4128" s="18" t="n">
        <v>7548.92</v>
      </c>
      <c r="H4128" s="18" t="n">
        <v>0</v>
      </c>
      <c r="I4128" s="18" t="n">
        <f aca="false">((I4127 + G4128) - H4128)</f>
        <v>238344.02</v>
      </c>
      <c r="J4128" s="18" t="n">
        <v>0</v>
      </c>
      <c r="K4128" s="19" t="n">
        <v>0</v>
      </c>
      <c r="L4128" s="17" t="s">
        <v>1399</v>
      </c>
    </row>
    <row r="4129" s="11" customFormat="true" ht="10.95" hidden="false" customHeight="true" outlineLevel="0" collapsed="false">
      <c r="A4129" s="16" t="n">
        <v>45337</v>
      </c>
      <c r="B4129" s="17" t="s">
        <v>2164</v>
      </c>
      <c r="C4129" s="17" t="s">
        <v>1593</v>
      </c>
      <c r="D4129" s="17" t="s">
        <v>2106</v>
      </c>
      <c r="E4129" s="17" t="s">
        <v>2165</v>
      </c>
      <c r="F4129" s="17" t="s">
        <v>2142</v>
      </c>
      <c r="G4129" s="18" t="n">
        <v>7548.92</v>
      </c>
      <c r="H4129" s="18" t="n">
        <v>0</v>
      </c>
      <c r="I4129" s="18" t="n">
        <f aca="false">((I4128 + G4129) - H4129)</f>
        <v>245892.94</v>
      </c>
      <c r="J4129" s="18" t="n">
        <v>0</v>
      </c>
      <c r="K4129" s="19" t="n">
        <v>0</v>
      </c>
      <c r="L4129" s="17" t="s">
        <v>1399</v>
      </c>
    </row>
    <row r="4130" s="11" customFormat="true" ht="10.95" hidden="false" customHeight="true" outlineLevel="0" collapsed="false">
      <c r="A4130" s="16" t="n">
        <v>45344</v>
      </c>
      <c r="B4130" s="17" t="s">
        <v>2164</v>
      </c>
      <c r="C4130" s="17" t="s">
        <v>1593</v>
      </c>
      <c r="D4130" s="17" t="s">
        <v>2106</v>
      </c>
      <c r="E4130" s="17" t="s">
        <v>2165</v>
      </c>
      <c r="F4130" s="17" t="s">
        <v>2143</v>
      </c>
      <c r="G4130" s="18" t="n">
        <v>7548.92</v>
      </c>
      <c r="H4130" s="18" t="n">
        <v>0</v>
      </c>
      <c r="I4130" s="18" t="n">
        <f aca="false">((I4129 + G4130) - H4130)</f>
        <v>253441.86</v>
      </c>
      <c r="J4130" s="18" t="n">
        <v>0</v>
      </c>
      <c r="K4130" s="19" t="n">
        <v>0</v>
      </c>
      <c r="L4130" s="17" t="s">
        <v>1399</v>
      </c>
    </row>
    <row r="4131" s="11" customFormat="true" ht="10.95" hidden="false" customHeight="true" outlineLevel="0" collapsed="false">
      <c r="A4131" s="16" t="n">
        <v>45351</v>
      </c>
      <c r="B4131" s="17" t="s">
        <v>2164</v>
      </c>
      <c r="C4131" s="17" t="s">
        <v>1593</v>
      </c>
      <c r="D4131" s="17" t="s">
        <v>2106</v>
      </c>
      <c r="E4131" s="17" t="s">
        <v>2165</v>
      </c>
      <c r="F4131" s="17" t="s">
        <v>2144</v>
      </c>
      <c r="G4131" s="18" t="n">
        <v>8208.92</v>
      </c>
      <c r="H4131" s="18" t="n">
        <v>0</v>
      </c>
      <c r="I4131" s="18" t="n">
        <f aca="false">((I4130 + G4131) - H4131)</f>
        <v>261650.78</v>
      </c>
      <c r="J4131" s="18" t="n">
        <v>0</v>
      </c>
      <c r="K4131" s="19" t="n">
        <v>0</v>
      </c>
      <c r="L4131" s="17" t="s">
        <v>1399</v>
      </c>
    </row>
    <row r="4132" s="11" customFormat="true" ht="10.95" hidden="false" customHeight="true" outlineLevel="0" collapsed="false">
      <c r="A4132" s="16" t="n">
        <v>45358</v>
      </c>
      <c r="B4132" s="17" t="s">
        <v>2164</v>
      </c>
      <c r="C4132" s="17" t="s">
        <v>1593</v>
      </c>
      <c r="D4132" s="17" t="s">
        <v>2106</v>
      </c>
      <c r="E4132" s="17" t="s">
        <v>2165</v>
      </c>
      <c r="F4132" s="17" t="s">
        <v>2146</v>
      </c>
      <c r="G4132" s="18" t="n">
        <v>8208.92</v>
      </c>
      <c r="H4132" s="18" t="n">
        <v>0</v>
      </c>
      <c r="I4132" s="18" t="n">
        <f aca="false">((I4131 + G4132) - H4132)</f>
        <v>269859.7</v>
      </c>
      <c r="J4132" s="18" t="n">
        <v>0</v>
      </c>
      <c r="K4132" s="19" t="n">
        <v>0</v>
      </c>
      <c r="L4132" s="17" t="s">
        <v>1399</v>
      </c>
    </row>
    <row r="4133" s="11" customFormat="true" ht="10.95" hidden="false" customHeight="true" outlineLevel="0" collapsed="false">
      <c r="A4133" s="16" t="n">
        <v>45365</v>
      </c>
      <c r="B4133" s="17" t="s">
        <v>2164</v>
      </c>
      <c r="C4133" s="17" t="s">
        <v>1593</v>
      </c>
      <c r="D4133" s="17" t="s">
        <v>2106</v>
      </c>
      <c r="E4133" s="17" t="s">
        <v>2165</v>
      </c>
      <c r="F4133" s="17" t="s">
        <v>2147</v>
      </c>
      <c r="G4133" s="18" t="n">
        <v>7548.92</v>
      </c>
      <c r="H4133" s="18" t="n">
        <v>0</v>
      </c>
      <c r="I4133" s="18" t="n">
        <f aca="false">((I4132 + G4133) - H4133)</f>
        <v>277408.62</v>
      </c>
      <c r="J4133" s="18" t="n">
        <v>0</v>
      </c>
      <c r="K4133" s="19" t="n">
        <v>0</v>
      </c>
      <c r="L4133" s="17" t="s">
        <v>1399</v>
      </c>
    </row>
    <row r="4134" s="11" customFormat="true" ht="10.95" hidden="false" customHeight="true" outlineLevel="0" collapsed="false">
      <c r="A4134" s="16" t="n">
        <v>45372</v>
      </c>
      <c r="B4134" s="17" t="s">
        <v>2164</v>
      </c>
      <c r="C4134" s="17" t="s">
        <v>1593</v>
      </c>
      <c r="D4134" s="17" t="s">
        <v>2106</v>
      </c>
      <c r="E4134" s="17" t="s">
        <v>2165</v>
      </c>
      <c r="F4134" s="17" t="s">
        <v>2148</v>
      </c>
      <c r="G4134" s="18" t="n">
        <v>7548.92</v>
      </c>
      <c r="H4134" s="18" t="n">
        <v>0</v>
      </c>
      <c r="I4134" s="18" t="n">
        <f aca="false">((I4133 + G4134) - H4134)</f>
        <v>284957.54</v>
      </c>
      <c r="J4134" s="18" t="n">
        <v>0</v>
      </c>
      <c r="K4134" s="19" t="n">
        <v>0</v>
      </c>
      <c r="L4134" s="17" t="s">
        <v>1399</v>
      </c>
    </row>
    <row r="4135" s="11" customFormat="true" ht="10.95" hidden="false" customHeight="true" outlineLevel="0" collapsed="false">
      <c r="A4135" s="16" t="n">
        <v>45379</v>
      </c>
      <c r="B4135" s="17" t="s">
        <v>2164</v>
      </c>
      <c r="C4135" s="17" t="s">
        <v>1593</v>
      </c>
      <c r="D4135" s="17" t="s">
        <v>2106</v>
      </c>
      <c r="E4135" s="17" t="s">
        <v>2165</v>
      </c>
      <c r="F4135" s="17" t="s">
        <v>2149</v>
      </c>
      <c r="G4135" s="18" t="n">
        <v>7548.92</v>
      </c>
      <c r="H4135" s="18" t="n">
        <v>0</v>
      </c>
      <c r="I4135" s="18" t="n">
        <f aca="false">((I4134 + G4135) - H4135)</f>
        <v>292506.46</v>
      </c>
      <c r="J4135" s="18" t="n">
        <v>0</v>
      </c>
      <c r="K4135" s="19" t="n">
        <v>0</v>
      </c>
      <c r="L4135" s="17" t="s">
        <v>1399</v>
      </c>
    </row>
    <row r="4136" s="11" customFormat="true" ht="10.95" hidden="false" customHeight="true" outlineLevel="0" collapsed="false">
      <c r="A4136" s="16" t="n">
        <v>45384</v>
      </c>
      <c r="B4136" s="17" t="s">
        <v>2164</v>
      </c>
      <c r="C4136" s="17" t="s">
        <v>1593</v>
      </c>
      <c r="D4136" s="17" t="s">
        <v>1407</v>
      </c>
      <c r="E4136" s="17" t="s">
        <v>2170</v>
      </c>
      <c r="F4136" s="17"/>
      <c r="G4136" s="18" t="n">
        <v>1417</v>
      </c>
      <c r="H4136" s="18" t="n">
        <v>0</v>
      </c>
      <c r="I4136" s="18" t="n">
        <f aca="false">((I4135 + G4136) - H4136)</f>
        <v>293923.46</v>
      </c>
      <c r="J4136" s="18" t="n">
        <v>0</v>
      </c>
      <c r="K4136" s="19" t="n">
        <v>0</v>
      </c>
      <c r="L4136" s="17" t="s">
        <v>1399</v>
      </c>
    </row>
    <row r="4137" s="11" customFormat="true" ht="10.95" hidden="false" customHeight="true" outlineLevel="0" collapsed="false">
      <c r="A4137" s="16" t="n">
        <v>45386</v>
      </c>
      <c r="B4137" s="17" t="s">
        <v>2164</v>
      </c>
      <c r="C4137" s="17" t="s">
        <v>1593</v>
      </c>
      <c r="D4137" s="17" t="s">
        <v>2106</v>
      </c>
      <c r="E4137" s="17" t="s">
        <v>2165</v>
      </c>
      <c r="F4137" s="17" t="s">
        <v>2150</v>
      </c>
      <c r="G4137" s="18" t="n">
        <v>7548.92</v>
      </c>
      <c r="H4137" s="18" t="n">
        <v>0</v>
      </c>
      <c r="I4137" s="18" t="n">
        <f aca="false">((I4136 + G4137) - H4137)</f>
        <v>301472.38</v>
      </c>
      <c r="J4137" s="18" t="n">
        <v>0</v>
      </c>
      <c r="K4137" s="19" t="n">
        <v>0</v>
      </c>
      <c r="L4137" s="17" t="s">
        <v>1399</v>
      </c>
    </row>
    <row r="4138" s="11" customFormat="true" ht="10.95" hidden="false" customHeight="true" outlineLevel="0" collapsed="false">
      <c r="A4138" s="16" t="n">
        <v>45393</v>
      </c>
      <c r="B4138" s="17" t="s">
        <v>2164</v>
      </c>
      <c r="C4138" s="17" t="s">
        <v>1593</v>
      </c>
      <c r="D4138" s="17" t="s">
        <v>2106</v>
      </c>
      <c r="E4138" s="17" t="s">
        <v>2165</v>
      </c>
      <c r="F4138" s="17" t="s">
        <v>2151</v>
      </c>
      <c r="G4138" s="18" t="n">
        <v>7548.92</v>
      </c>
      <c r="H4138" s="18" t="n">
        <v>0</v>
      </c>
      <c r="I4138" s="18" t="n">
        <f aca="false">((I4137 + G4138) - H4138)</f>
        <v>309021.3</v>
      </c>
      <c r="J4138" s="18" t="n">
        <v>0</v>
      </c>
      <c r="K4138" s="19" t="n">
        <v>0</v>
      </c>
      <c r="L4138" s="17" t="s">
        <v>1399</v>
      </c>
    </row>
    <row r="4139" s="11" customFormat="true" ht="10.95" hidden="false" customHeight="true" outlineLevel="0" collapsed="false">
      <c r="A4139" s="16" t="n">
        <v>45400</v>
      </c>
      <c r="B4139" s="17" t="s">
        <v>2164</v>
      </c>
      <c r="C4139" s="17" t="s">
        <v>1593</v>
      </c>
      <c r="D4139" s="17" t="s">
        <v>2106</v>
      </c>
      <c r="E4139" s="17" t="s">
        <v>2165</v>
      </c>
      <c r="F4139" s="17" t="s">
        <v>2152</v>
      </c>
      <c r="G4139" s="18" t="n">
        <v>7548.92</v>
      </c>
      <c r="H4139" s="18" t="n">
        <v>0</v>
      </c>
      <c r="I4139" s="18" t="n">
        <f aca="false">((I4138 + G4139) - H4139)</f>
        <v>316570.22</v>
      </c>
      <c r="J4139" s="18" t="n">
        <v>0</v>
      </c>
      <c r="K4139" s="19" t="n">
        <v>0</v>
      </c>
      <c r="L4139" s="17" t="s">
        <v>1399</v>
      </c>
    </row>
    <row r="4140" s="11" customFormat="true" ht="10.95" hidden="false" customHeight="true" outlineLevel="0" collapsed="false">
      <c r="A4140" s="16" t="n">
        <v>45407</v>
      </c>
      <c r="B4140" s="17" t="s">
        <v>2164</v>
      </c>
      <c r="C4140" s="17" t="s">
        <v>1593</v>
      </c>
      <c r="D4140" s="17" t="s">
        <v>2106</v>
      </c>
      <c r="E4140" s="17" t="s">
        <v>2165</v>
      </c>
      <c r="F4140" s="17" t="s">
        <v>2153</v>
      </c>
      <c r="G4140" s="18" t="n">
        <v>7548.92</v>
      </c>
      <c r="H4140" s="18" t="n">
        <v>0</v>
      </c>
      <c r="I4140" s="18" t="n">
        <f aca="false">((I4139 + G4140) - H4140)</f>
        <v>324119.14</v>
      </c>
      <c r="J4140" s="18" t="n">
        <v>0</v>
      </c>
      <c r="K4140" s="19" t="n">
        <v>0</v>
      </c>
      <c r="L4140" s="17" t="s">
        <v>1399</v>
      </c>
    </row>
    <row r="4141" s="11" customFormat="true" ht="10.95" hidden="false" customHeight="true" outlineLevel="0" collapsed="false">
      <c r="A4141" s="16" t="n">
        <v>45414</v>
      </c>
      <c r="B4141" s="17" t="s">
        <v>2164</v>
      </c>
      <c r="C4141" s="17" t="s">
        <v>1593</v>
      </c>
      <c r="D4141" s="17" t="s">
        <v>2106</v>
      </c>
      <c r="E4141" s="17" t="s">
        <v>2165</v>
      </c>
      <c r="F4141" s="17" t="s">
        <v>2154</v>
      </c>
      <c r="G4141" s="18" t="n">
        <v>7548.92</v>
      </c>
      <c r="H4141" s="18" t="n">
        <v>0</v>
      </c>
      <c r="I4141" s="18" t="n">
        <f aca="false">((I4140 + G4141) - H4141)</f>
        <v>331668.06</v>
      </c>
      <c r="J4141" s="18" t="n">
        <v>0</v>
      </c>
      <c r="K4141" s="19" t="n">
        <v>0</v>
      </c>
      <c r="L4141" s="17" t="s">
        <v>1399</v>
      </c>
    </row>
    <row r="4142" s="11" customFormat="true" ht="10.95" hidden="false" customHeight="true" outlineLevel="0" collapsed="false">
      <c r="A4142" s="16" t="n">
        <v>45421</v>
      </c>
      <c r="B4142" s="17" t="s">
        <v>2164</v>
      </c>
      <c r="C4142" s="17" t="s">
        <v>1593</v>
      </c>
      <c r="D4142" s="17" t="s">
        <v>2106</v>
      </c>
      <c r="E4142" s="17" t="s">
        <v>2165</v>
      </c>
      <c r="F4142" s="17" t="s">
        <v>2155</v>
      </c>
      <c r="G4142" s="18" t="n">
        <v>10185.42</v>
      </c>
      <c r="H4142" s="18" t="n">
        <v>0</v>
      </c>
      <c r="I4142" s="18" t="n">
        <f aca="false">((I4141 + G4142) - H4142)</f>
        <v>341853.48</v>
      </c>
      <c r="J4142" s="18" t="n">
        <v>0</v>
      </c>
      <c r="K4142" s="19" t="n">
        <v>0</v>
      </c>
      <c r="L4142" s="17" t="s">
        <v>1399</v>
      </c>
    </row>
    <row r="4143" s="11" customFormat="true" ht="10.95" hidden="false" customHeight="true" outlineLevel="0" collapsed="false">
      <c r="A4143" s="16" t="n">
        <v>45428</v>
      </c>
      <c r="B4143" s="17" t="s">
        <v>2164</v>
      </c>
      <c r="C4143" s="17" t="s">
        <v>1593</v>
      </c>
      <c r="D4143" s="17" t="s">
        <v>2106</v>
      </c>
      <c r="E4143" s="17" t="s">
        <v>2165</v>
      </c>
      <c r="F4143" s="17" t="s">
        <v>2171</v>
      </c>
      <c r="G4143" s="18" t="n">
        <v>10185.42</v>
      </c>
      <c r="H4143" s="18" t="n">
        <v>0</v>
      </c>
      <c r="I4143" s="18" t="n">
        <f aca="false">((I4142 + G4143) - H4143)</f>
        <v>352038.9</v>
      </c>
      <c r="J4143" s="18" t="n">
        <v>0</v>
      </c>
      <c r="K4143" s="19" t="n">
        <v>0</v>
      </c>
      <c r="L4143" s="17" t="s">
        <v>1399</v>
      </c>
    </row>
    <row r="4144" s="11" customFormat="true" ht="10.95" hidden="false" customHeight="true" outlineLevel="0" collapsed="false">
      <c r="A4144" s="16" t="n">
        <v>45435</v>
      </c>
      <c r="B4144" s="17" t="s">
        <v>2164</v>
      </c>
      <c r="C4144" s="17" t="s">
        <v>1593</v>
      </c>
      <c r="D4144" s="17" t="s">
        <v>2106</v>
      </c>
      <c r="E4144" s="17" t="s">
        <v>2165</v>
      </c>
      <c r="F4144" s="17" t="s">
        <v>2172</v>
      </c>
      <c r="G4144" s="18" t="n">
        <v>10185.42</v>
      </c>
      <c r="H4144" s="18" t="n">
        <v>0</v>
      </c>
      <c r="I4144" s="18" t="n">
        <f aca="false">((I4143 + G4144) - H4144)</f>
        <v>362224.32</v>
      </c>
      <c r="J4144" s="18" t="n">
        <v>0</v>
      </c>
      <c r="K4144" s="19" t="n">
        <v>0</v>
      </c>
      <c r="L4144" s="17" t="s">
        <v>1399</v>
      </c>
    </row>
    <row r="4145" s="11" customFormat="true" ht="10.95" hidden="false" customHeight="true" outlineLevel="0" collapsed="false">
      <c r="A4145" s="16" t="n">
        <v>45442</v>
      </c>
      <c r="B4145" s="17" t="s">
        <v>2164</v>
      </c>
      <c r="C4145" s="17" t="s">
        <v>1593</v>
      </c>
      <c r="D4145" s="17" t="s">
        <v>2106</v>
      </c>
      <c r="E4145" s="17" t="s">
        <v>2165</v>
      </c>
      <c r="F4145" s="17" t="s">
        <v>2173</v>
      </c>
      <c r="G4145" s="18" t="n">
        <v>10185.42</v>
      </c>
      <c r="H4145" s="18" t="n">
        <v>0</v>
      </c>
      <c r="I4145" s="18" t="n">
        <f aca="false">((I4144 + G4145) - H4145)</f>
        <v>372409.74</v>
      </c>
      <c r="J4145" s="18" t="n">
        <v>0</v>
      </c>
      <c r="K4145" s="19" t="n">
        <v>0</v>
      </c>
      <c r="L4145" s="17" t="s">
        <v>1399</v>
      </c>
    </row>
    <row r="4146" s="11" customFormat="true" ht="10.95" hidden="false" customHeight="true" outlineLevel="0" collapsed="false">
      <c r="A4146" s="16" t="n">
        <v>45449</v>
      </c>
      <c r="B4146" s="17" t="s">
        <v>2164</v>
      </c>
      <c r="C4146" s="17" t="s">
        <v>1593</v>
      </c>
      <c r="D4146" s="17" t="s">
        <v>2106</v>
      </c>
      <c r="E4146" s="17" t="s">
        <v>2165</v>
      </c>
      <c r="F4146" s="17" t="s">
        <v>2174</v>
      </c>
      <c r="G4146" s="18" t="n">
        <v>30000</v>
      </c>
      <c r="H4146" s="18" t="n">
        <v>0</v>
      </c>
      <c r="I4146" s="18" t="n">
        <f aca="false">((I4145 + G4146) - H4146)</f>
        <v>402409.74</v>
      </c>
      <c r="J4146" s="18" t="n">
        <v>0</v>
      </c>
      <c r="K4146" s="19" t="n">
        <v>0</v>
      </c>
      <c r="L4146" s="17" t="s">
        <v>1399</v>
      </c>
    </row>
    <row r="4147" s="11" customFormat="true" ht="10.95" hidden="false" customHeight="true" outlineLevel="0" collapsed="false">
      <c r="A4147" s="16" t="n">
        <v>45449</v>
      </c>
      <c r="B4147" s="17" t="s">
        <v>2164</v>
      </c>
      <c r="C4147" s="17" t="s">
        <v>1593</v>
      </c>
      <c r="D4147" s="17" t="s">
        <v>2106</v>
      </c>
      <c r="E4147" s="17" t="s">
        <v>2165</v>
      </c>
      <c r="F4147" s="17" t="s">
        <v>2175</v>
      </c>
      <c r="G4147" s="18" t="n">
        <v>10185.42</v>
      </c>
      <c r="H4147" s="18" t="n">
        <v>0</v>
      </c>
      <c r="I4147" s="18" t="n">
        <f aca="false">((I4146 + G4147) - H4147)</f>
        <v>412595.16</v>
      </c>
      <c r="J4147" s="18" t="n">
        <v>0</v>
      </c>
      <c r="K4147" s="19" t="n">
        <v>0</v>
      </c>
      <c r="L4147" s="17" t="s">
        <v>1399</v>
      </c>
    </row>
    <row r="4148" s="11" customFormat="true" ht="10.95" hidden="false" customHeight="true" outlineLevel="0" collapsed="false">
      <c r="A4148" s="16" t="n">
        <v>45456</v>
      </c>
      <c r="B4148" s="17" t="s">
        <v>2164</v>
      </c>
      <c r="C4148" s="17" t="s">
        <v>1593</v>
      </c>
      <c r="D4148" s="17" t="s">
        <v>2106</v>
      </c>
      <c r="E4148" s="17" t="s">
        <v>2165</v>
      </c>
      <c r="F4148" s="17" t="s">
        <v>2176</v>
      </c>
      <c r="G4148" s="18" t="n">
        <v>10185.42</v>
      </c>
      <c r="H4148" s="18" t="n">
        <v>0</v>
      </c>
      <c r="I4148" s="18" t="n">
        <f aca="false">((I4147 + G4148) - H4148)</f>
        <v>422780.58</v>
      </c>
      <c r="J4148" s="18" t="n">
        <v>0</v>
      </c>
      <c r="K4148" s="19" t="n">
        <v>0</v>
      </c>
      <c r="L4148" s="17" t="s">
        <v>1399</v>
      </c>
    </row>
    <row r="4149" s="11" customFormat="true" ht="10.95" hidden="false" customHeight="true" outlineLevel="0" collapsed="false">
      <c r="A4149" s="16" t="n">
        <v>45463</v>
      </c>
      <c r="B4149" s="17" t="s">
        <v>2164</v>
      </c>
      <c r="C4149" s="17" t="s">
        <v>1593</v>
      </c>
      <c r="D4149" s="17" t="s">
        <v>2106</v>
      </c>
      <c r="E4149" s="17" t="s">
        <v>2165</v>
      </c>
      <c r="F4149" s="17" t="s">
        <v>2177</v>
      </c>
      <c r="G4149" s="18" t="n">
        <v>10185.42</v>
      </c>
      <c r="H4149" s="18" t="n">
        <v>0</v>
      </c>
      <c r="I4149" s="18" t="n">
        <f aca="false">((I4148 + G4149) - H4149)</f>
        <v>432966</v>
      </c>
      <c r="J4149" s="18" t="n">
        <v>0</v>
      </c>
      <c r="K4149" s="19" t="n">
        <v>0</v>
      </c>
      <c r="L4149" s="17" t="s">
        <v>1399</v>
      </c>
    </row>
    <row r="4150" s="11" customFormat="true" ht="10.95" hidden="false" customHeight="true" outlineLevel="0" collapsed="false">
      <c r="A4150" s="16" t="n">
        <v>45463</v>
      </c>
      <c r="B4150" s="17" t="s">
        <v>2164</v>
      </c>
      <c r="C4150" s="17" t="s">
        <v>1593</v>
      </c>
      <c r="D4150" s="17" t="s">
        <v>2106</v>
      </c>
      <c r="E4150" s="17" t="s">
        <v>2165</v>
      </c>
      <c r="F4150" s="17" t="s">
        <v>2178</v>
      </c>
      <c r="G4150" s="18" t="n">
        <v>93473.56</v>
      </c>
      <c r="H4150" s="18" t="n">
        <v>0</v>
      </c>
      <c r="I4150" s="18" t="n">
        <f aca="false">((I4149 + G4150) - H4150)</f>
        <v>526439.56</v>
      </c>
      <c r="J4150" s="18" t="n">
        <v>0</v>
      </c>
      <c r="K4150" s="19" t="n">
        <v>0</v>
      </c>
      <c r="L4150" s="17" t="s">
        <v>1399</v>
      </c>
    </row>
    <row r="4151" s="11" customFormat="true" ht="10.95" hidden="false" customHeight="true" outlineLevel="0" collapsed="false">
      <c r="A4151" s="16" t="n">
        <v>45470</v>
      </c>
      <c r="B4151" s="17" t="s">
        <v>2164</v>
      </c>
      <c r="C4151" s="17" t="s">
        <v>1593</v>
      </c>
      <c r="D4151" s="17" t="s">
        <v>2106</v>
      </c>
      <c r="E4151" s="17" t="s">
        <v>2165</v>
      </c>
      <c r="F4151" s="17" t="s">
        <v>2179</v>
      </c>
      <c r="G4151" s="18" t="n">
        <v>10185.42</v>
      </c>
      <c r="H4151" s="18" t="n">
        <v>0</v>
      </c>
      <c r="I4151" s="18" t="n">
        <f aca="false">((I4150 + G4151) - H4151)</f>
        <v>536624.98</v>
      </c>
      <c r="J4151" s="18" t="n">
        <v>0</v>
      </c>
      <c r="K4151" s="19" t="n">
        <v>0</v>
      </c>
      <c r="L4151" s="17" t="s">
        <v>1399</v>
      </c>
    </row>
    <row r="4152" s="11" customFormat="true" ht="10.95" hidden="false" customHeight="true" outlineLevel="0" collapsed="false">
      <c r="A4152" s="16" t="n">
        <v>45473</v>
      </c>
      <c r="B4152" s="17" t="s">
        <v>2164</v>
      </c>
      <c r="C4152" s="17" t="s">
        <v>1593</v>
      </c>
      <c r="D4152" s="17" t="s">
        <v>1396</v>
      </c>
      <c r="E4152" s="17" t="s">
        <v>2180</v>
      </c>
      <c r="F4152" s="17" t="s">
        <v>2181</v>
      </c>
      <c r="G4152" s="18" t="n">
        <v>0</v>
      </c>
      <c r="H4152" s="18" t="n">
        <v>3128.89</v>
      </c>
      <c r="I4152" s="18" t="n">
        <f aca="false">((I4151 + G4152) - H4152)</f>
        <v>533496.09</v>
      </c>
      <c r="J4152" s="18" t="n">
        <v>0</v>
      </c>
      <c r="K4152" s="19" t="n">
        <v>0</v>
      </c>
      <c r="L4152" s="17" t="s">
        <v>1399</v>
      </c>
    </row>
    <row r="4153" s="11" customFormat="true" ht="10.95" hidden="false" customHeight="true" outlineLevel="0" collapsed="false">
      <c r="A4153" s="16" t="n">
        <v>45473</v>
      </c>
      <c r="B4153" s="17" t="s">
        <v>2164</v>
      </c>
      <c r="C4153" s="17" t="s">
        <v>1593</v>
      </c>
      <c r="D4153" s="17" t="s">
        <v>1396</v>
      </c>
      <c r="E4153" s="17" t="s">
        <v>2182</v>
      </c>
      <c r="F4153" s="17" t="s">
        <v>2183</v>
      </c>
      <c r="G4153" s="18" t="n">
        <v>0</v>
      </c>
      <c r="H4153" s="18" t="n">
        <v>2624</v>
      </c>
      <c r="I4153" s="18" t="n">
        <f aca="false">((I4152 + G4153) - H4153)</f>
        <v>530872.09</v>
      </c>
      <c r="J4153" s="18" t="n">
        <v>0</v>
      </c>
      <c r="K4153" s="19" t="n">
        <v>0</v>
      </c>
      <c r="L4153" s="17" t="s">
        <v>1399</v>
      </c>
    </row>
    <row r="4154" s="11" customFormat="true" ht="10.95" hidden="false" customHeight="true" outlineLevel="0" collapsed="false">
      <c r="A4154" s="21" t="s">
        <v>2184</v>
      </c>
      <c r="B4154" s="21"/>
      <c r="C4154" s="21"/>
      <c r="D4154" s="21"/>
      <c r="E4154" s="21"/>
      <c r="F4154" s="21"/>
      <c r="G4154" s="22" t="n">
        <f aca="false">SUM(G4093:G4153)</f>
        <v>536624.98</v>
      </c>
      <c r="H4154" s="22" t="n">
        <f aca="false">SUM(H4093:H4153)</f>
        <v>5752.89</v>
      </c>
      <c r="I4154" s="22" t="n">
        <f aca="false">I4153</f>
        <v>530872.09</v>
      </c>
      <c r="J4154" s="22" t="n">
        <f aca="false">SUM(J4093:J4153)</f>
        <v>0</v>
      </c>
      <c r="K4154" s="21"/>
      <c r="L4154" s="21"/>
    </row>
    <row r="4155" s="11" customFormat="true" ht="10.95" hidden="false" customHeight="true" outlineLevel="0" collapsed="false">
      <c r="A4155" s="21" t="s">
        <v>784</v>
      </c>
      <c r="B4155" s="21"/>
      <c r="C4155" s="21"/>
      <c r="D4155" s="21"/>
      <c r="E4155" s="21"/>
      <c r="F4155" s="21"/>
      <c r="G4155" s="22" t="n">
        <v>530872.09</v>
      </c>
      <c r="H4155" s="22" t="n">
        <v>0</v>
      </c>
      <c r="I4155" s="22" t="n">
        <v>0</v>
      </c>
      <c r="J4155" s="22" t="n">
        <v>0</v>
      </c>
      <c r="K4155" s="21"/>
      <c r="L4155" s="21"/>
    </row>
    <row r="4156" s="11" customFormat="true" ht="10.95" hidden="false" customHeight="true" outlineLevel="0" collapsed="false">
      <c r="A4156" s="9" t="s">
        <v>785</v>
      </c>
      <c r="B4156" s="9"/>
      <c r="C4156" s="9"/>
      <c r="D4156" s="9"/>
      <c r="E4156" s="9"/>
      <c r="F4156" s="9"/>
      <c r="G4156" s="10" t="n">
        <v>530872.09</v>
      </c>
      <c r="H4156" s="10" t="n">
        <v>0</v>
      </c>
      <c r="I4156" s="10" t="n">
        <f aca="false">I4153</f>
        <v>530872.09</v>
      </c>
      <c r="J4156" s="10" t="n">
        <v>0</v>
      </c>
      <c r="K4156" s="9"/>
      <c r="L4156" s="9"/>
    </row>
    <row r="4157" customFormat="false" ht="13.35" hidden="false" customHeight="true" outlineLevel="0" collapsed="false"/>
    <row r="4158" s="7" customFormat="true" ht="12.1" hidden="false" customHeight="true" outlineLevel="0" collapsed="false">
      <c r="A4158" s="8" t="s">
        <v>2185</v>
      </c>
      <c r="B4158" s="8"/>
      <c r="C4158" s="8"/>
      <c r="D4158" s="8"/>
      <c r="E4158" s="8"/>
      <c r="F4158" s="8"/>
      <c r="G4158" s="8"/>
      <c r="H4158" s="8"/>
      <c r="I4158" s="8"/>
      <c r="J4158" s="8"/>
      <c r="K4158" s="8"/>
      <c r="L4158" s="8"/>
    </row>
    <row r="4159" s="11" customFormat="true" ht="10.95" hidden="false" customHeight="true" outlineLevel="0" collapsed="false">
      <c r="A4159" s="9" t="s">
        <v>16</v>
      </c>
      <c r="B4159" s="9"/>
      <c r="C4159" s="9"/>
      <c r="D4159" s="9"/>
      <c r="E4159" s="9"/>
      <c r="F4159" s="9"/>
      <c r="G4159" s="10" t="n">
        <v>0</v>
      </c>
      <c r="H4159" s="10" t="n">
        <v>0</v>
      </c>
      <c r="I4159" s="10" t="n">
        <f aca="false">(G4159 - H4159)</f>
        <v>0</v>
      </c>
      <c r="J4159" s="10" t="n">
        <v>0</v>
      </c>
      <c r="K4159" s="9"/>
      <c r="L4159" s="9"/>
    </row>
    <row r="4160" s="11" customFormat="true" ht="10.95" hidden="false" customHeight="true" outlineLevel="0" collapsed="false">
      <c r="A4160" s="12" t="n">
        <v>45108</v>
      </c>
      <c r="B4160" s="13" t="s">
        <v>2186</v>
      </c>
      <c r="C4160" s="13" t="s">
        <v>1593</v>
      </c>
      <c r="D4160" s="13" t="s">
        <v>1396</v>
      </c>
      <c r="E4160" s="13" t="s">
        <v>2187</v>
      </c>
      <c r="F4160" s="13" t="s">
        <v>2188</v>
      </c>
      <c r="G4160" s="14" t="n">
        <v>0</v>
      </c>
      <c r="H4160" s="14" t="n">
        <v>3422.68</v>
      </c>
      <c r="I4160" s="14" t="n">
        <f aca="false">((I4159 + G4160) - H4160)</f>
        <v>-3422.68</v>
      </c>
      <c r="J4160" s="14" t="n">
        <v>0</v>
      </c>
      <c r="K4160" s="15" t="n">
        <v>0</v>
      </c>
      <c r="L4160" s="13" t="s">
        <v>1399</v>
      </c>
    </row>
    <row r="4161" s="11" customFormat="true" ht="10.95" hidden="false" customHeight="true" outlineLevel="0" collapsed="false">
      <c r="A4161" s="16" t="n">
        <v>45113</v>
      </c>
      <c r="B4161" s="17" t="s">
        <v>2186</v>
      </c>
      <c r="C4161" s="17" t="s">
        <v>1593</v>
      </c>
      <c r="D4161" s="17" t="s">
        <v>2106</v>
      </c>
      <c r="E4161" s="17" t="s">
        <v>2189</v>
      </c>
      <c r="F4161" s="17" t="s">
        <v>2108</v>
      </c>
      <c r="G4161" s="18" t="n">
        <v>707.01</v>
      </c>
      <c r="H4161" s="18" t="n">
        <v>0</v>
      </c>
      <c r="I4161" s="18" t="n">
        <f aca="false">((I4160 + G4161) - H4161)</f>
        <v>-2715.67</v>
      </c>
      <c r="J4161" s="18" t="n">
        <v>0</v>
      </c>
      <c r="K4161" s="19" t="n">
        <v>0</v>
      </c>
      <c r="L4161" s="17" t="s">
        <v>1399</v>
      </c>
    </row>
    <row r="4162" s="11" customFormat="true" ht="10.95" hidden="false" customHeight="true" outlineLevel="0" collapsed="false">
      <c r="A4162" s="16" t="n">
        <v>45120</v>
      </c>
      <c r="B4162" s="17" t="s">
        <v>2186</v>
      </c>
      <c r="C4162" s="17" t="s">
        <v>1593</v>
      </c>
      <c r="D4162" s="17" t="s">
        <v>2106</v>
      </c>
      <c r="E4162" s="17" t="s">
        <v>2189</v>
      </c>
      <c r="F4162" s="17" t="s">
        <v>2110</v>
      </c>
      <c r="G4162" s="18" t="n">
        <v>707.01</v>
      </c>
      <c r="H4162" s="18" t="n">
        <v>0</v>
      </c>
      <c r="I4162" s="18" t="n">
        <f aca="false">((I4161 + G4162) - H4162)</f>
        <v>-2008.66</v>
      </c>
      <c r="J4162" s="18" t="n">
        <v>0</v>
      </c>
      <c r="K4162" s="19" t="n">
        <v>0</v>
      </c>
      <c r="L4162" s="17" t="s">
        <v>1399</v>
      </c>
    </row>
    <row r="4163" s="11" customFormat="true" ht="10.95" hidden="false" customHeight="true" outlineLevel="0" collapsed="false">
      <c r="A4163" s="16" t="n">
        <v>45120</v>
      </c>
      <c r="B4163" s="17" t="s">
        <v>2186</v>
      </c>
      <c r="C4163" s="17" t="s">
        <v>1593</v>
      </c>
      <c r="D4163" s="17" t="s">
        <v>2106</v>
      </c>
      <c r="E4163" s="17" t="s">
        <v>2189</v>
      </c>
      <c r="F4163" s="17" t="s">
        <v>2166</v>
      </c>
      <c r="G4163" s="18" t="n">
        <v>52.8</v>
      </c>
      <c r="H4163" s="18" t="n">
        <v>0</v>
      </c>
      <c r="I4163" s="18" t="n">
        <f aca="false">((I4162 + G4163) - H4163)</f>
        <v>-1955.86</v>
      </c>
      <c r="J4163" s="18" t="n">
        <v>0</v>
      </c>
      <c r="K4163" s="19" t="n">
        <v>0</v>
      </c>
      <c r="L4163" s="17" t="s">
        <v>1399</v>
      </c>
    </row>
    <row r="4164" s="11" customFormat="true" ht="10.95" hidden="false" customHeight="true" outlineLevel="0" collapsed="false">
      <c r="A4164" s="16" t="n">
        <v>45127</v>
      </c>
      <c r="B4164" s="17" t="s">
        <v>2186</v>
      </c>
      <c r="C4164" s="17" t="s">
        <v>1593</v>
      </c>
      <c r="D4164" s="17" t="s">
        <v>2106</v>
      </c>
      <c r="E4164" s="17" t="s">
        <v>2189</v>
      </c>
      <c r="F4164" s="17" t="s">
        <v>2111</v>
      </c>
      <c r="G4164" s="18" t="n">
        <v>722.41</v>
      </c>
      <c r="H4164" s="18" t="n">
        <v>0</v>
      </c>
      <c r="I4164" s="18" t="n">
        <f aca="false">((I4163 + G4164) - H4164)</f>
        <v>-1233.45</v>
      </c>
      <c r="J4164" s="18" t="n">
        <v>0</v>
      </c>
      <c r="K4164" s="19" t="n">
        <v>0</v>
      </c>
      <c r="L4164" s="17" t="s">
        <v>1399</v>
      </c>
    </row>
    <row r="4165" s="11" customFormat="true" ht="10.95" hidden="false" customHeight="true" outlineLevel="0" collapsed="false">
      <c r="A4165" s="16" t="n">
        <v>45134</v>
      </c>
      <c r="B4165" s="17" t="s">
        <v>2186</v>
      </c>
      <c r="C4165" s="17" t="s">
        <v>1593</v>
      </c>
      <c r="D4165" s="17" t="s">
        <v>2106</v>
      </c>
      <c r="E4165" s="17" t="s">
        <v>2189</v>
      </c>
      <c r="F4165" s="17" t="s">
        <v>2112</v>
      </c>
      <c r="G4165" s="18" t="n">
        <v>722.41</v>
      </c>
      <c r="H4165" s="18" t="n">
        <v>0</v>
      </c>
      <c r="I4165" s="18" t="n">
        <f aca="false">((I4164 + G4165) - H4165)</f>
        <v>-511.04</v>
      </c>
      <c r="J4165" s="18" t="n">
        <v>0</v>
      </c>
      <c r="K4165" s="19" t="n">
        <v>0</v>
      </c>
      <c r="L4165" s="17" t="s">
        <v>1399</v>
      </c>
    </row>
    <row r="4166" s="11" customFormat="true" ht="10.95" hidden="false" customHeight="true" outlineLevel="0" collapsed="false">
      <c r="A4166" s="16" t="n">
        <v>45141</v>
      </c>
      <c r="B4166" s="17" t="s">
        <v>2186</v>
      </c>
      <c r="C4166" s="17" t="s">
        <v>1593</v>
      </c>
      <c r="D4166" s="17" t="s">
        <v>2106</v>
      </c>
      <c r="E4166" s="17" t="s">
        <v>2189</v>
      </c>
      <c r="F4166" s="17" t="s">
        <v>2113</v>
      </c>
      <c r="G4166" s="18" t="n">
        <v>720.65</v>
      </c>
      <c r="H4166" s="18" t="n">
        <v>0</v>
      </c>
      <c r="I4166" s="18" t="n">
        <f aca="false">((I4165 + G4166) - H4166)</f>
        <v>209.61</v>
      </c>
      <c r="J4166" s="18" t="n">
        <v>0</v>
      </c>
      <c r="K4166" s="19" t="n">
        <v>0</v>
      </c>
      <c r="L4166" s="17" t="s">
        <v>1399</v>
      </c>
    </row>
    <row r="4167" s="11" customFormat="true" ht="10.95" hidden="false" customHeight="true" outlineLevel="0" collapsed="false">
      <c r="A4167" s="16" t="n">
        <v>45148</v>
      </c>
      <c r="B4167" s="17" t="s">
        <v>2186</v>
      </c>
      <c r="C4167" s="17" t="s">
        <v>1593</v>
      </c>
      <c r="D4167" s="17" t="s">
        <v>2106</v>
      </c>
      <c r="E4167" s="17" t="s">
        <v>2189</v>
      </c>
      <c r="F4167" s="17" t="s">
        <v>2114</v>
      </c>
      <c r="G4167" s="18" t="n">
        <v>793.11</v>
      </c>
      <c r="H4167" s="18" t="n">
        <v>0</v>
      </c>
      <c r="I4167" s="18" t="n">
        <f aca="false">((I4166 + G4167) - H4167)</f>
        <v>1002.72</v>
      </c>
      <c r="J4167" s="18" t="n">
        <v>0</v>
      </c>
      <c r="K4167" s="19" t="n">
        <v>0</v>
      </c>
      <c r="L4167" s="17" t="s">
        <v>1399</v>
      </c>
    </row>
    <row r="4168" s="11" customFormat="true" ht="10.95" hidden="false" customHeight="true" outlineLevel="0" collapsed="false">
      <c r="A4168" s="16" t="n">
        <v>45155</v>
      </c>
      <c r="B4168" s="17" t="s">
        <v>2186</v>
      </c>
      <c r="C4168" s="17" t="s">
        <v>1593</v>
      </c>
      <c r="D4168" s="17" t="s">
        <v>2106</v>
      </c>
      <c r="E4168" s="17" t="s">
        <v>2189</v>
      </c>
      <c r="F4168" s="17" t="s">
        <v>2115</v>
      </c>
      <c r="G4168" s="18" t="n">
        <v>793.11</v>
      </c>
      <c r="H4168" s="18" t="n">
        <v>0</v>
      </c>
      <c r="I4168" s="18" t="n">
        <f aca="false">((I4167 + G4168) - H4168)</f>
        <v>1795.83</v>
      </c>
      <c r="J4168" s="18" t="n">
        <v>0</v>
      </c>
      <c r="K4168" s="19" t="n">
        <v>0</v>
      </c>
      <c r="L4168" s="17" t="s">
        <v>1399</v>
      </c>
    </row>
    <row r="4169" s="11" customFormat="true" ht="10.95" hidden="false" customHeight="true" outlineLevel="0" collapsed="false">
      <c r="A4169" s="16" t="n">
        <v>45162</v>
      </c>
      <c r="B4169" s="17" t="s">
        <v>2186</v>
      </c>
      <c r="C4169" s="17" t="s">
        <v>1593</v>
      </c>
      <c r="D4169" s="17" t="s">
        <v>2106</v>
      </c>
      <c r="E4169" s="17" t="s">
        <v>2189</v>
      </c>
      <c r="F4169" s="17" t="s">
        <v>2116</v>
      </c>
      <c r="G4169" s="18" t="n">
        <v>793.11</v>
      </c>
      <c r="H4169" s="18" t="n">
        <v>0</v>
      </c>
      <c r="I4169" s="18" t="n">
        <f aca="false">((I4168 + G4169) - H4169)</f>
        <v>2588.94</v>
      </c>
      <c r="J4169" s="18" t="n">
        <v>0</v>
      </c>
      <c r="K4169" s="19" t="n">
        <v>0</v>
      </c>
      <c r="L4169" s="17" t="s">
        <v>1399</v>
      </c>
    </row>
    <row r="4170" s="11" customFormat="true" ht="10.95" hidden="false" customHeight="true" outlineLevel="0" collapsed="false">
      <c r="A4170" s="16" t="n">
        <v>45169</v>
      </c>
      <c r="B4170" s="17" t="s">
        <v>2186</v>
      </c>
      <c r="C4170" s="17" t="s">
        <v>1593</v>
      </c>
      <c r="D4170" s="17" t="s">
        <v>2106</v>
      </c>
      <c r="E4170" s="17" t="s">
        <v>2189</v>
      </c>
      <c r="F4170" s="17" t="s">
        <v>2117</v>
      </c>
      <c r="G4170" s="18" t="n">
        <v>793.11</v>
      </c>
      <c r="H4170" s="18" t="n">
        <v>0</v>
      </c>
      <c r="I4170" s="18" t="n">
        <f aca="false">((I4169 + G4170) - H4170)</f>
        <v>3382.05</v>
      </c>
      <c r="J4170" s="18" t="n">
        <v>0</v>
      </c>
      <c r="K4170" s="19" t="n">
        <v>0</v>
      </c>
      <c r="L4170" s="17" t="s">
        <v>1399</v>
      </c>
    </row>
    <row r="4171" s="11" customFormat="true" ht="10.95" hidden="false" customHeight="true" outlineLevel="0" collapsed="false">
      <c r="A4171" s="16" t="n">
        <v>45176</v>
      </c>
      <c r="B4171" s="17" t="s">
        <v>2186</v>
      </c>
      <c r="C4171" s="17" t="s">
        <v>1593</v>
      </c>
      <c r="D4171" s="17" t="s">
        <v>2106</v>
      </c>
      <c r="E4171" s="17" t="s">
        <v>2189</v>
      </c>
      <c r="F4171" s="17" t="s">
        <v>2118</v>
      </c>
      <c r="G4171" s="18" t="n">
        <v>865.71</v>
      </c>
      <c r="H4171" s="18" t="n">
        <v>0</v>
      </c>
      <c r="I4171" s="18" t="n">
        <f aca="false">((I4170 + G4171) - H4171)</f>
        <v>4247.76</v>
      </c>
      <c r="J4171" s="18" t="n">
        <v>0</v>
      </c>
      <c r="K4171" s="19" t="n">
        <v>0</v>
      </c>
      <c r="L4171" s="17" t="s">
        <v>1399</v>
      </c>
    </row>
    <row r="4172" s="11" customFormat="true" ht="10.95" hidden="false" customHeight="true" outlineLevel="0" collapsed="false">
      <c r="A4172" s="16" t="n">
        <v>45183</v>
      </c>
      <c r="B4172" s="17" t="s">
        <v>2186</v>
      </c>
      <c r="C4172" s="17" t="s">
        <v>1593</v>
      </c>
      <c r="D4172" s="17" t="s">
        <v>2106</v>
      </c>
      <c r="E4172" s="17" t="s">
        <v>2189</v>
      </c>
      <c r="F4172" s="17" t="s">
        <v>2119</v>
      </c>
      <c r="G4172" s="18" t="n">
        <v>865.71</v>
      </c>
      <c r="H4172" s="18" t="n">
        <v>0</v>
      </c>
      <c r="I4172" s="18" t="n">
        <f aca="false">((I4171 + G4172) - H4172)</f>
        <v>5113.47</v>
      </c>
      <c r="J4172" s="18" t="n">
        <v>0</v>
      </c>
      <c r="K4172" s="19" t="n">
        <v>0</v>
      </c>
      <c r="L4172" s="17" t="s">
        <v>1399</v>
      </c>
    </row>
    <row r="4173" s="11" customFormat="true" ht="10.95" hidden="false" customHeight="true" outlineLevel="0" collapsed="false">
      <c r="A4173" s="16" t="n">
        <v>45190</v>
      </c>
      <c r="B4173" s="17" t="s">
        <v>2186</v>
      </c>
      <c r="C4173" s="17" t="s">
        <v>1593</v>
      </c>
      <c r="D4173" s="17" t="s">
        <v>2106</v>
      </c>
      <c r="E4173" s="17" t="s">
        <v>2189</v>
      </c>
      <c r="F4173" s="17" t="s">
        <v>2120</v>
      </c>
      <c r="G4173" s="18" t="n">
        <v>793.11</v>
      </c>
      <c r="H4173" s="18" t="n">
        <v>0</v>
      </c>
      <c r="I4173" s="18" t="n">
        <f aca="false">((I4172 + G4173) - H4173)</f>
        <v>5906.58</v>
      </c>
      <c r="J4173" s="18" t="n">
        <v>0</v>
      </c>
      <c r="K4173" s="19" t="n">
        <v>0</v>
      </c>
      <c r="L4173" s="17" t="s">
        <v>1399</v>
      </c>
    </row>
    <row r="4174" s="11" customFormat="true" ht="10.95" hidden="false" customHeight="true" outlineLevel="0" collapsed="false">
      <c r="A4174" s="16" t="n">
        <v>45197</v>
      </c>
      <c r="B4174" s="17" t="s">
        <v>2186</v>
      </c>
      <c r="C4174" s="17" t="s">
        <v>1593</v>
      </c>
      <c r="D4174" s="17" t="s">
        <v>2106</v>
      </c>
      <c r="E4174" s="17" t="s">
        <v>2189</v>
      </c>
      <c r="F4174" s="17" t="s">
        <v>2121</v>
      </c>
      <c r="G4174" s="18" t="n">
        <v>793.11</v>
      </c>
      <c r="H4174" s="18" t="n">
        <v>0</v>
      </c>
      <c r="I4174" s="18" t="n">
        <f aca="false">((I4173 + G4174) - H4174)</f>
        <v>6699.69</v>
      </c>
      <c r="J4174" s="18" t="n">
        <v>0</v>
      </c>
      <c r="K4174" s="19" t="n">
        <v>0</v>
      </c>
      <c r="L4174" s="17" t="s">
        <v>1399</v>
      </c>
    </row>
    <row r="4175" s="11" customFormat="true" ht="10.95" hidden="false" customHeight="true" outlineLevel="0" collapsed="false">
      <c r="A4175" s="16" t="n">
        <v>45204</v>
      </c>
      <c r="B4175" s="17" t="s">
        <v>2186</v>
      </c>
      <c r="C4175" s="17" t="s">
        <v>1593</v>
      </c>
      <c r="D4175" s="17" t="s">
        <v>2106</v>
      </c>
      <c r="E4175" s="17" t="s">
        <v>2189</v>
      </c>
      <c r="F4175" s="17" t="s">
        <v>2122</v>
      </c>
      <c r="G4175" s="18" t="n">
        <v>793.11</v>
      </c>
      <c r="H4175" s="18" t="n">
        <v>0</v>
      </c>
      <c r="I4175" s="18" t="n">
        <f aca="false">((I4174 + G4175) - H4175)</f>
        <v>7492.8</v>
      </c>
      <c r="J4175" s="18" t="n">
        <v>0</v>
      </c>
      <c r="K4175" s="19" t="n">
        <v>0</v>
      </c>
      <c r="L4175" s="17" t="s">
        <v>1399</v>
      </c>
    </row>
    <row r="4176" s="11" customFormat="true" ht="10.95" hidden="false" customHeight="true" outlineLevel="0" collapsed="false">
      <c r="A4176" s="16" t="n">
        <v>45211</v>
      </c>
      <c r="B4176" s="17" t="s">
        <v>2186</v>
      </c>
      <c r="C4176" s="17" t="s">
        <v>1593</v>
      </c>
      <c r="D4176" s="17" t="s">
        <v>2106</v>
      </c>
      <c r="E4176" s="17" t="s">
        <v>2189</v>
      </c>
      <c r="F4176" s="17" t="s">
        <v>2123</v>
      </c>
      <c r="G4176" s="18" t="n">
        <v>793.11</v>
      </c>
      <c r="H4176" s="18" t="n">
        <v>0</v>
      </c>
      <c r="I4176" s="18" t="n">
        <f aca="false">((I4175 + G4176) - H4176)</f>
        <v>8285.91</v>
      </c>
      <c r="J4176" s="18" t="n">
        <v>0</v>
      </c>
      <c r="K4176" s="19" t="n">
        <v>0</v>
      </c>
      <c r="L4176" s="17" t="s">
        <v>1399</v>
      </c>
    </row>
    <row r="4177" s="11" customFormat="true" ht="10.95" hidden="false" customHeight="true" outlineLevel="0" collapsed="false">
      <c r="A4177" s="16" t="n">
        <v>45218</v>
      </c>
      <c r="B4177" s="17" t="s">
        <v>2186</v>
      </c>
      <c r="C4177" s="17" t="s">
        <v>1593</v>
      </c>
      <c r="D4177" s="17" t="s">
        <v>2106</v>
      </c>
      <c r="E4177" s="17" t="s">
        <v>2189</v>
      </c>
      <c r="F4177" s="17" t="s">
        <v>2124</v>
      </c>
      <c r="G4177" s="18" t="n">
        <v>793.11</v>
      </c>
      <c r="H4177" s="18" t="n">
        <v>0</v>
      </c>
      <c r="I4177" s="18" t="n">
        <f aca="false">((I4176 + G4177) - H4177)</f>
        <v>9079.02</v>
      </c>
      <c r="J4177" s="18" t="n">
        <v>0</v>
      </c>
      <c r="K4177" s="19" t="n">
        <v>0</v>
      </c>
      <c r="L4177" s="17" t="s">
        <v>1399</v>
      </c>
    </row>
    <row r="4178" s="11" customFormat="true" ht="10.95" hidden="false" customHeight="true" outlineLevel="0" collapsed="false">
      <c r="A4178" s="16" t="n">
        <v>45225</v>
      </c>
      <c r="B4178" s="17" t="s">
        <v>2186</v>
      </c>
      <c r="C4178" s="17" t="s">
        <v>1593</v>
      </c>
      <c r="D4178" s="17" t="s">
        <v>2106</v>
      </c>
      <c r="E4178" s="17" t="s">
        <v>2189</v>
      </c>
      <c r="F4178" s="17" t="s">
        <v>2125</v>
      </c>
      <c r="G4178" s="18" t="n">
        <v>793.11</v>
      </c>
      <c r="H4178" s="18" t="n">
        <v>0</v>
      </c>
      <c r="I4178" s="18" t="n">
        <f aca="false">((I4177 + G4178) - H4178)</f>
        <v>9872.13</v>
      </c>
      <c r="J4178" s="18" t="n">
        <v>0</v>
      </c>
      <c r="K4178" s="19" t="n">
        <v>0</v>
      </c>
      <c r="L4178" s="17" t="s">
        <v>1399</v>
      </c>
    </row>
    <row r="4179" s="11" customFormat="true" ht="10.95" hidden="false" customHeight="true" outlineLevel="0" collapsed="false">
      <c r="A4179" s="16" t="n">
        <v>45232</v>
      </c>
      <c r="B4179" s="17" t="s">
        <v>2186</v>
      </c>
      <c r="C4179" s="17" t="s">
        <v>1593</v>
      </c>
      <c r="D4179" s="17" t="s">
        <v>2106</v>
      </c>
      <c r="E4179" s="17" t="s">
        <v>2189</v>
      </c>
      <c r="F4179" s="17" t="s">
        <v>2126</v>
      </c>
      <c r="G4179" s="18" t="n">
        <v>793.11</v>
      </c>
      <c r="H4179" s="18" t="n">
        <v>0</v>
      </c>
      <c r="I4179" s="18" t="n">
        <f aca="false">((I4178 + G4179) - H4179)</f>
        <v>10665.24</v>
      </c>
      <c r="J4179" s="18" t="n">
        <v>0</v>
      </c>
      <c r="K4179" s="19" t="n">
        <v>0</v>
      </c>
      <c r="L4179" s="17" t="s">
        <v>1399</v>
      </c>
    </row>
    <row r="4180" s="11" customFormat="true" ht="10.95" hidden="false" customHeight="true" outlineLevel="0" collapsed="false">
      <c r="A4180" s="16" t="n">
        <v>45239</v>
      </c>
      <c r="B4180" s="17" t="s">
        <v>2186</v>
      </c>
      <c r="C4180" s="17" t="s">
        <v>1593</v>
      </c>
      <c r="D4180" s="17" t="s">
        <v>2106</v>
      </c>
      <c r="E4180" s="17" t="s">
        <v>2189</v>
      </c>
      <c r="F4180" s="17" t="s">
        <v>2128</v>
      </c>
      <c r="G4180" s="18" t="n">
        <v>793.11</v>
      </c>
      <c r="H4180" s="18" t="n">
        <v>0</v>
      </c>
      <c r="I4180" s="18" t="n">
        <f aca="false">((I4179 + G4180) - H4180)</f>
        <v>11458.35</v>
      </c>
      <c r="J4180" s="18" t="n">
        <v>0</v>
      </c>
      <c r="K4180" s="19" t="n">
        <v>0</v>
      </c>
      <c r="L4180" s="17" t="s">
        <v>1399</v>
      </c>
    </row>
    <row r="4181" s="11" customFormat="true" ht="10.95" hidden="false" customHeight="true" outlineLevel="0" collapsed="false">
      <c r="A4181" s="16" t="n">
        <v>45246</v>
      </c>
      <c r="B4181" s="17" t="s">
        <v>2186</v>
      </c>
      <c r="C4181" s="17" t="s">
        <v>1593</v>
      </c>
      <c r="D4181" s="17" t="s">
        <v>2106</v>
      </c>
      <c r="E4181" s="17" t="s">
        <v>2189</v>
      </c>
      <c r="F4181" s="17" t="s">
        <v>2129</v>
      </c>
      <c r="G4181" s="18" t="n">
        <v>793.11</v>
      </c>
      <c r="H4181" s="18" t="n">
        <v>0</v>
      </c>
      <c r="I4181" s="18" t="n">
        <f aca="false">((I4180 + G4181) - H4181)</f>
        <v>12251.46</v>
      </c>
      <c r="J4181" s="18" t="n">
        <v>0</v>
      </c>
      <c r="K4181" s="19" t="n">
        <v>0</v>
      </c>
      <c r="L4181" s="17" t="s">
        <v>1399</v>
      </c>
    </row>
    <row r="4182" s="11" customFormat="true" ht="10.95" hidden="false" customHeight="true" outlineLevel="0" collapsed="false">
      <c r="A4182" s="16" t="n">
        <v>45253</v>
      </c>
      <c r="B4182" s="17" t="s">
        <v>2186</v>
      </c>
      <c r="C4182" s="17" t="s">
        <v>1593</v>
      </c>
      <c r="D4182" s="17" t="s">
        <v>2106</v>
      </c>
      <c r="E4182" s="17" t="s">
        <v>2189</v>
      </c>
      <c r="F4182" s="17" t="s">
        <v>2130</v>
      </c>
      <c r="G4182" s="18" t="n">
        <v>793.11</v>
      </c>
      <c r="H4182" s="18" t="n">
        <v>0</v>
      </c>
      <c r="I4182" s="18" t="n">
        <f aca="false">((I4181 + G4182) - H4182)</f>
        <v>13044.57</v>
      </c>
      <c r="J4182" s="18" t="n">
        <v>0</v>
      </c>
      <c r="K4182" s="19" t="n">
        <v>0</v>
      </c>
      <c r="L4182" s="17" t="s">
        <v>1399</v>
      </c>
    </row>
    <row r="4183" s="11" customFormat="true" ht="10.95" hidden="false" customHeight="true" outlineLevel="0" collapsed="false">
      <c r="A4183" s="16" t="n">
        <v>45260</v>
      </c>
      <c r="B4183" s="17" t="s">
        <v>2186</v>
      </c>
      <c r="C4183" s="17" t="s">
        <v>1593</v>
      </c>
      <c r="D4183" s="17" t="s">
        <v>2106</v>
      </c>
      <c r="E4183" s="17" t="s">
        <v>2189</v>
      </c>
      <c r="F4183" s="17" t="s">
        <v>2131</v>
      </c>
      <c r="G4183" s="18" t="n">
        <v>938.31</v>
      </c>
      <c r="H4183" s="18" t="n">
        <v>0</v>
      </c>
      <c r="I4183" s="18" t="n">
        <f aca="false">((I4182 + G4183) - H4183)</f>
        <v>13982.88</v>
      </c>
      <c r="J4183" s="18" t="n">
        <v>0</v>
      </c>
      <c r="K4183" s="19" t="n">
        <v>0</v>
      </c>
      <c r="L4183" s="17" t="s">
        <v>1399</v>
      </c>
    </row>
    <row r="4184" s="11" customFormat="true" ht="10.95" hidden="false" customHeight="true" outlineLevel="0" collapsed="false">
      <c r="A4184" s="16" t="n">
        <v>45267</v>
      </c>
      <c r="B4184" s="17" t="s">
        <v>2186</v>
      </c>
      <c r="C4184" s="17" t="s">
        <v>1593</v>
      </c>
      <c r="D4184" s="17" t="s">
        <v>2106</v>
      </c>
      <c r="E4184" s="17" t="s">
        <v>2189</v>
      </c>
      <c r="F4184" s="17" t="s">
        <v>2132</v>
      </c>
      <c r="G4184" s="18" t="n">
        <v>865.71</v>
      </c>
      <c r="H4184" s="18" t="n">
        <v>0</v>
      </c>
      <c r="I4184" s="18" t="n">
        <f aca="false">((I4183 + G4184) - H4184)</f>
        <v>14848.59</v>
      </c>
      <c r="J4184" s="18" t="n">
        <v>0</v>
      </c>
      <c r="K4184" s="19" t="n">
        <v>0</v>
      </c>
      <c r="L4184" s="17" t="s">
        <v>1399</v>
      </c>
    </row>
    <row r="4185" s="11" customFormat="true" ht="10.95" hidden="false" customHeight="true" outlineLevel="0" collapsed="false">
      <c r="A4185" s="16" t="n">
        <v>45274</v>
      </c>
      <c r="B4185" s="17" t="s">
        <v>2186</v>
      </c>
      <c r="C4185" s="17" t="s">
        <v>1593</v>
      </c>
      <c r="D4185" s="17" t="s">
        <v>2106</v>
      </c>
      <c r="E4185" s="17" t="s">
        <v>2189</v>
      </c>
      <c r="F4185" s="17" t="s">
        <v>2133</v>
      </c>
      <c r="G4185" s="18" t="n">
        <v>793.11</v>
      </c>
      <c r="H4185" s="18" t="n">
        <v>0</v>
      </c>
      <c r="I4185" s="18" t="n">
        <f aca="false">((I4184 + G4185) - H4185)</f>
        <v>15641.7</v>
      </c>
      <c r="J4185" s="18" t="n">
        <v>0</v>
      </c>
      <c r="K4185" s="19" t="n">
        <v>0</v>
      </c>
      <c r="L4185" s="17" t="s">
        <v>1399</v>
      </c>
    </row>
    <row r="4186" s="11" customFormat="true" ht="10.95" hidden="false" customHeight="true" outlineLevel="0" collapsed="false">
      <c r="A4186" s="16" t="n">
        <v>45281</v>
      </c>
      <c r="B4186" s="17" t="s">
        <v>2186</v>
      </c>
      <c r="C4186" s="17" t="s">
        <v>1593</v>
      </c>
      <c r="D4186" s="17" t="s">
        <v>2106</v>
      </c>
      <c r="E4186" s="17" t="s">
        <v>2189</v>
      </c>
      <c r="F4186" s="17" t="s">
        <v>2134</v>
      </c>
      <c r="G4186" s="18" t="n">
        <v>793.11</v>
      </c>
      <c r="H4186" s="18" t="n">
        <v>0</v>
      </c>
      <c r="I4186" s="18" t="n">
        <f aca="false">((I4185 + G4186) - H4186)</f>
        <v>16434.81</v>
      </c>
      <c r="J4186" s="18" t="n">
        <v>0</v>
      </c>
      <c r="K4186" s="19" t="n">
        <v>0</v>
      </c>
      <c r="L4186" s="17" t="s">
        <v>1399</v>
      </c>
    </row>
    <row r="4187" s="11" customFormat="true" ht="10.95" hidden="false" customHeight="true" outlineLevel="0" collapsed="false">
      <c r="A4187" s="16" t="n">
        <v>45288</v>
      </c>
      <c r="B4187" s="17" t="s">
        <v>2186</v>
      </c>
      <c r="C4187" s="17" t="s">
        <v>1593</v>
      </c>
      <c r="D4187" s="17" t="s">
        <v>2106</v>
      </c>
      <c r="E4187" s="17" t="s">
        <v>2189</v>
      </c>
      <c r="F4187" s="17" t="s">
        <v>2135</v>
      </c>
      <c r="G4187" s="18" t="n">
        <v>793.11</v>
      </c>
      <c r="H4187" s="18" t="n">
        <v>0</v>
      </c>
      <c r="I4187" s="18" t="n">
        <f aca="false">((I4186 + G4187) - H4187)</f>
        <v>17227.92</v>
      </c>
      <c r="J4187" s="18" t="n">
        <v>0</v>
      </c>
      <c r="K4187" s="19" t="n">
        <v>0</v>
      </c>
      <c r="L4187" s="17" t="s">
        <v>1399</v>
      </c>
    </row>
    <row r="4188" s="11" customFormat="true" ht="10.95" hidden="false" customHeight="true" outlineLevel="0" collapsed="false">
      <c r="A4188" s="16" t="n">
        <v>45295</v>
      </c>
      <c r="B4188" s="17" t="s">
        <v>2186</v>
      </c>
      <c r="C4188" s="17" t="s">
        <v>1593</v>
      </c>
      <c r="D4188" s="17" t="s">
        <v>2106</v>
      </c>
      <c r="E4188" s="17" t="s">
        <v>2189</v>
      </c>
      <c r="F4188" s="17" t="s">
        <v>2136</v>
      </c>
      <c r="G4188" s="18" t="n">
        <v>793.11</v>
      </c>
      <c r="H4188" s="18" t="n">
        <v>0</v>
      </c>
      <c r="I4188" s="18" t="n">
        <f aca="false">((I4187 + G4188) - H4188)</f>
        <v>18021.03</v>
      </c>
      <c r="J4188" s="18" t="n">
        <v>0</v>
      </c>
      <c r="K4188" s="19" t="n">
        <v>0</v>
      </c>
      <c r="L4188" s="17" t="s">
        <v>1399</v>
      </c>
    </row>
    <row r="4189" s="11" customFormat="true" ht="10.95" hidden="false" customHeight="true" outlineLevel="0" collapsed="false">
      <c r="A4189" s="16" t="n">
        <v>45302</v>
      </c>
      <c r="B4189" s="17" t="s">
        <v>2186</v>
      </c>
      <c r="C4189" s="17" t="s">
        <v>1593</v>
      </c>
      <c r="D4189" s="17" t="s">
        <v>2106</v>
      </c>
      <c r="E4189" s="17" t="s">
        <v>2189</v>
      </c>
      <c r="F4189" s="17" t="s">
        <v>2137</v>
      </c>
      <c r="G4189" s="18" t="n">
        <v>830.38</v>
      </c>
      <c r="H4189" s="18" t="n">
        <v>0</v>
      </c>
      <c r="I4189" s="18" t="n">
        <f aca="false">((I4188 + G4189) - H4189)</f>
        <v>18851.41</v>
      </c>
      <c r="J4189" s="18" t="n">
        <v>0</v>
      </c>
      <c r="K4189" s="19" t="n">
        <v>0</v>
      </c>
      <c r="L4189" s="17" t="s">
        <v>1399</v>
      </c>
    </row>
    <row r="4190" s="11" customFormat="true" ht="10.95" hidden="false" customHeight="true" outlineLevel="0" collapsed="false">
      <c r="A4190" s="16" t="n">
        <v>45309</v>
      </c>
      <c r="B4190" s="17" t="s">
        <v>2186</v>
      </c>
      <c r="C4190" s="17" t="s">
        <v>1593</v>
      </c>
      <c r="D4190" s="17" t="s">
        <v>2106</v>
      </c>
      <c r="E4190" s="17" t="s">
        <v>2189</v>
      </c>
      <c r="F4190" s="17" t="s">
        <v>2138</v>
      </c>
      <c r="G4190" s="18" t="n">
        <v>830.38</v>
      </c>
      <c r="H4190" s="18" t="n">
        <v>0</v>
      </c>
      <c r="I4190" s="18" t="n">
        <f aca="false">((I4189 + G4190) - H4190)</f>
        <v>19681.79</v>
      </c>
      <c r="J4190" s="18" t="n">
        <v>0</v>
      </c>
      <c r="K4190" s="19" t="n">
        <v>0</v>
      </c>
      <c r="L4190" s="17" t="s">
        <v>1399</v>
      </c>
    </row>
    <row r="4191" s="11" customFormat="true" ht="10.95" hidden="false" customHeight="true" outlineLevel="0" collapsed="false">
      <c r="A4191" s="16" t="n">
        <v>45316</v>
      </c>
      <c r="B4191" s="17" t="s">
        <v>2186</v>
      </c>
      <c r="C4191" s="17" t="s">
        <v>1593</v>
      </c>
      <c r="D4191" s="17" t="s">
        <v>2106</v>
      </c>
      <c r="E4191" s="17" t="s">
        <v>2189</v>
      </c>
      <c r="F4191" s="17" t="s">
        <v>2139</v>
      </c>
      <c r="G4191" s="18" t="n">
        <v>902.98</v>
      </c>
      <c r="H4191" s="18" t="n">
        <v>0</v>
      </c>
      <c r="I4191" s="18" t="n">
        <f aca="false">((I4190 + G4191) - H4191)</f>
        <v>20584.77</v>
      </c>
      <c r="J4191" s="18" t="n">
        <v>0</v>
      </c>
      <c r="K4191" s="19" t="n">
        <v>0</v>
      </c>
      <c r="L4191" s="17" t="s">
        <v>1399</v>
      </c>
    </row>
    <row r="4192" s="11" customFormat="true" ht="10.95" hidden="false" customHeight="true" outlineLevel="0" collapsed="false">
      <c r="A4192" s="16" t="n">
        <v>45323</v>
      </c>
      <c r="B4192" s="17" t="s">
        <v>2186</v>
      </c>
      <c r="C4192" s="17" t="s">
        <v>1593</v>
      </c>
      <c r="D4192" s="17" t="s">
        <v>2106</v>
      </c>
      <c r="E4192" s="17" t="s">
        <v>2189</v>
      </c>
      <c r="F4192" s="17" t="s">
        <v>2140</v>
      </c>
      <c r="G4192" s="18" t="n">
        <v>902.98</v>
      </c>
      <c r="H4192" s="18" t="n">
        <v>0</v>
      </c>
      <c r="I4192" s="18" t="n">
        <f aca="false">((I4191 + G4192) - H4192)</f>
        <v>21487.75</v>
      </c>
      <c r="J4192" s="18" t="n">
        <v>0</v>
      </c>
      <c r="K4192" s="19" t="n">
        <v>0</v>
      </c>
      <c r="L4192" s="17" t="s">
        <v>1399</v>
      </c>
    </row>
    <row r="4193" s="11" customFormat="true" ht="10.95" hidden="false" customHeight="true" outlineLevel="0" collapsed="false">
      <c r="A4193" s="16" t="n">
        <v>45330</v>
      </c>
      <c r="B4193" s="17" t="s">
        <v>2186</v>
      </c>
      <c r="C4193" s="17" t="s">
        <v>1593</v>
      </c>
      <c r="D4193" s="17" t="s">
        <v>2106</v>
      </c>
      <c r="E4193" s="17" t="s">
        <v>2189</v>
      </c>
      <c r="F4193" s="17" t="s">
        <v>2141</v>
      </c>
      <c r="G4193" s="18" t="n">
        <v>830.38</v>
      </c>
      <c r="H4193" s="18" t="n">
        <v>0</v>
      </c>
      <c r="I4193" s="18" t="n">
        <f aca="false">((I4192 + G4193) - H4193)</f>
        <v>22318.13</v>
      </c>
      <c r="J4193" s="18" t="n">
        <v>0</v>
      </c>
      <c r="K4193" s="19" t="n">
        <v>0</v>
      </c>
      <c r="L4193" s="17" t="s">
        <v>1399</v>
      </c>
    </row>
    <row r="4194" s="11" customFormat="true" ht="10.95" hidden="false" customHeight="true" outlineLevel="0" collapsed="false">
      <c r="A4194" s="16" t="n">
        <v>45337</v>
      </c>
      <c r="B4194" s="17" t="s">
        <v>2186</v>
      </c>
      <c r="C4194" s="17" t="s">
        <v>1593</v>
      </c>
      <c r="D4194" s="17" t="s">
        <v>2106</v>
      </c>
      <c r="E4194" s="17" t="s">
        <v>2189</v>
      </c>
      <c r="F4194" s="17" t="s">
        <v>2142</v>
      </c>
      <c r="G4194" s="18" t="n">
        <v>830.38</v>
      </c>
      <c r="H4194" s="18" t="n">
        <v>0</v>
      </c>
      <c r="I4194" s="18" t="n">
        <f aca="false">((I4193 + G4194) - H4194)</f>
        <v>23148.51</v>
      </c>
      <c r="J4194" s="18" t="n">
        <v>0</v>
      </c>
      <c r="K4194" s="19" t="n">
        <v>0</v>
      </c>
      <c r="L4194" s="17" t="s">
        <v>1399</v>
      </c>
    </row>
    <row r="4195" s="11" customFormat="true" ht="10.95" hidden="false" customHeight="true" outlineLevel="0" collapsed="false">
      <c r="A4195" s="16" t="n">
        <v>45344</v>
      </c>
      <c r="B4195" s="17" t="s">
        <v>2186</v>
      </c>
      <c r="C4195" s="17" t="s">
        <v>1593</v>
      </c>
      <c r="D4195" s="17" t="s">
        <v>2106</v>
      </c>
      <c r="E4195" s="17" t="s">
        <v>2189</v>
      </c>
      <c r="F4195" s="17" t="s">
        <v>2143</v>
      </c>
      <c r="G4195" s="18" t="n">
        <v>830.38</v>
      </c>
      <c r="H4195" s="18" t="n">
        <v>0</v>
      </c>
      <c r="I4195" s="18" t="n">
        <f aca="false">((I4194 + G4195) - H4195)</f>
        <v>23978.89</v>
      </c>
      <c r="J4195" s="18" t="n">
        <v>0</v>
      </c>
      <c r="K4195" s="19" t="n">
        <v>0</v>
      </c>
      <c r="L4195" s="17" t="s">
        <v>1399</v>
      </c>
    </row>
    <row r="4196" s="11" customFormat="true" ht="10.95" hidden="false" customHeight="true" outlineLevel="0" collapsed="false">
      <c r="A4196" s="16" t="n">
        <v>45351</v>
      </c>
      <c r="B4196" s="17" t="s">
        <v>2186</v>
      </c>
      <c r="C4196" s="17" t="s">
        <v>1593</v>
      </c>
      <c r="D4196" s="17" t="s">
        <v>2106</v>
      </c>
      <c r="E4196" s="17" t="s">
        <v>2189</v>
      </c>
      <c r="F4196" s="17" t="s">
        <v>2144</v>
      </c>
      <c r="G4196" s="18" t="n">
        <v>902.98</v>
      </c>
      <c r="H4196" s="18" t="n">
        <v>0</v>
      </c>
      <c r="I4196" s="18" t="n">
        <f aca="false">((I4195 + G4196) - H4196)</f>
        <v>24881.87</v>
      </c>
      <c r="J4196" s="18" t="n">
        <v>0</v>
      </c>
      <c r="K4196" s="19" t="n">
        <v>0</v>
      </c>
      <c r="L4196" s="17" t="s">
        <v>1399</v>
      </c>
    </row>
    <row r="4197" s="11" customFormat="true" ht="10.95" hidden="false" customHeight="true" outlineLevel="0" collapsed="false">
      <c r="A4197" s="16" t="n">
        <v>45358</v>
      </c>
      <c r="B4197" s="17" t="s">
        <v>2186</v>
      </c>
      <c r="C4197" s="17" t="s">
        <v>1593</v>
      </c>
      <c r="D4197" s="17" t="s">
        <v>2106</v>
      </c>
      <c r="E4197" s="17" t="s">
        <v>2189</v>
      </c>
      <c r="F4197" s="17" t="s">
        <v>2146</v>
      </c>
      <c r="G4197" s="18" t="n">
        <v>902.98</v>
      </c>
      <c r="H4197" s="18" t="n">
        <v>0</v>
      </c>
      <c r="I4197" s="18" t="n">
        <f aca="false">((I4196 + G4197) - H4197)</f>
        <v>25784.85</v>
      </c>
      <c r="J4197" s="18" t="n">
        <v>0</v>
      </c>
      <c r="K4197" s="19" t="n">
        <v>0</v>
      </c>
      <c r="L4197" s="17" t="s">
        <v>1399</v>
      </c>
    </row>
    <row r="4198" s="11" customFormat="true" ht="10.95" hidden="false" customHeight="true" outlineLevel="0" collapsed="false">
      <c r="A4198" s="16" t="n">
        <v>45365</v>
      </c>
      <c r="B4198" s="17" t="s">
        <v>2186</v>
      </c>
      <c r="C4198" s="17" t="s">
        <v>1593</v>
      </c>
      <c r="D4198" s="17" t="s">
        <v>2106</v>
      </c>
      <c r="E4198" s="17" t="s">
        <v>2189</v>
      </c>
      <c r="F4198" s="17" t="s">
        <v>2147</v>
      </c>
      <c r="G4198" s="18" t="n">
        <v>830.38</v>
      </c>
      <c r="H4198" s="18" t="n">
        <v>0</v>
      </c>
      <c r="I4198" s="18" t="n">
        <f aca="false">((I4197 + G4198) - H4198)</f>
        <v>26615.23</v>
      </c>
      <c r="J4198" s="18" t="n">
        <v>0</v>
      </c>
      <c r="K4198" s="19" t="n">
        <v>0</v>
      </c>
      <c r="L4198" s="17" t="s">
        <v>1399</v>
      </c>
    </row>
    <row r="4199" s="11" customFormat="true" ht="10.95" hidden="false" customHeight="true" outlineLevel="0" collapsed="false">
      <c r="A4199" s="16" t="n">
        <v>45372</v>
      </c>
      <c r="B4199" s="17" t="s">
        <v>2186</v>
      </c>
      <c r="C4199" s="17" t="s">
        <v>1593</v>
      </c>
      <c r="D4199" s="17" t="s">
        <v>2106</v>
      </c>
      <c r="E4199" s="17" t="s">
        <v>2189</v>
      </c>
      <c r="F4199" s="17" t="s">
        <v>2148</v>
      </c>
      <c r="G4199" s="18" t="n">
        <v>830.38</v>
      </c>
      <c r="H4199" s="18" t="n">
        <v>0</v>
      </c>
      <c r="I4199" s="18" t="n">
        <f aca="false">((I4198 + G4199) - H4199)</f>
        <v>27445.61</v>
      </c>
      <c r="J4199" s="18" t="n">
        <v>0</v>
      </c>
      <c r="K4199" s="19" t="n">
        <v>0</v>
      </c>
      <c r="L4199" s="17" t="s">
        <v>1399</v>
      </c>
    </row>
    <row r="4200" s="11" customFormat="true" ht="10.95" hidden="false" customHeight="true" outlineLevel="0" collapsed="false">
      <c r="A4200" s="16" t="n">
        <v>45379</v>
      </c>
      <c r="B4200" s="17" t="s">
        <v>2186</v>
      </c>
      <c r="C4200" s="17" t="s">
        <v>1593</v>
      </c>
      <c r="D4200" s="17" t="s">
        <v>2106</v>
      </c>
      <c r="E4200" s="17" t="s">
        <v>2189</v>
      </c>
      <c r="F4200" s="17" t="s">
        <v>2149</v>
      </c>
      <c r="G4200" s="18" t="n">
        <v>830.38</v>
      </c>
      <c r="H4200" s="18" t="n">
        <v>0</v>
      </c>
      <c r="I4200" s="18" t="n">
        <f aca="false">((I4199 + G4200) - H4200)</f>
        <v>28275.99</v>
      </c>
      <c r="J4200" s="18" t="n">
        <v>0</v>
      </c>
      <c r="K4200" s="19" t="n">
        <v>0</v>
      </c>
      <c r="L4200" s="17" t="s">
        <v>1399</v>
      </c>
    </row>
    <row r="4201" s="11" customFormat="true" ht="10.95" hidden="false" customHeight="true" outlineLevel="0" collapsed="false">
      <c r="A4201" s="16" t="n">
        <v>45386</v>
      </c>
      <c r="B4201" s="17" t="s">
        <v>2186</v>
      </c>
      <c r="C4201" s="17" t="s">
        <v>1593</v>
      </c>
      <c r="D4201" s="17" t="s">
        <v>2106</v>
      </c>
      <c r="E4201" s="17" t="s">
        <v>2189</v>
      </c>
      <c r="F4201" s="17" t="s">
        <v>2150</v>
      </c>
      <c r="G4201" s="18" t="n">
        <v>830.38</v>
      </c>
      <c r="H4201" s="18" t="n">
        <v>0</v>
      </c>
      <c r="I4201" s="18" t="n">
        <f aca="false">((I4200 + G4201) - H4201)</f>
        <v>29106.37</v>
      </c>
      <c r="J4201" s="18" t="n">
        <v>0</v>
      </c>
      <c r="K4201" s="19" t="n">
        <v>0</v>
      </c>
      <c r="L4201" s="17" t="s">
        <v>1399</v>
      </c>
    </row>
    <row r="4202" s="11" customFormat="true" ht="10.95" hidden="false" customHeight="true" outlineLevel="0" collapsed="false">
      <c r="A4202" s="16" t="n">
        <v>45393</v>
      </c>
      <c r="B4202" s="17" t="s">
        <v>2186</v>
      </c>
      <c r="C4202" s="17" t="s">
        <v>1593</v>
      </c>
      <c r="D4202" s="17" t="s">
        <v>2106</v>
      </c>
      <c r="E4202" s="17" t="s">
        <v>2189</v>
      </c>
      <c r="F4202" s="17" t="s">
        <v>2151</v>
      </c>
      <c r="G4202" s="18" t="n">
        <v>830.38</v>
      </c>
      <c r="H4202" s="18" t="n">
        <v>0</v>
      </c>
      <c r="I4202" s="18" t="n">
        <f aca="false">((I4201 + G4202) - H4202)</f>
        <v>29936.75</v>
      </c>
      <c r="J4202" s="18" t="n">
        <v>0</v>
      </c>
      <c r="K4202" s="19" t="n">
        <v>0</v>
      </c>
      <c r="L4202" s="17" t="s">
        <v>1399</v>
      </c>
    </row>
    <row r="4203" s="11" customFormat="true" ht="10.95" hidden="false" customHeight="true" outlineLevel="0" collapsed="false">
      <c r="A4203" s="16" t="n">
        <v>45400</v>
      </c>
      <c r="B4203" s="17" t="s">
        <v>2186</v>
      </c>
      <c r="C4203" s="17" t="s">
        <v>1593</v>
      </c>
      <c r="D4203" s="17" t="s">
        <v>2106</v>
      </c>
      <c r="E4203" s="17" t="s">
        <v>2189</v>
      </c>
      <c r="F4203" s="17" t="s">
        <v>2152</v>
      </c>
      <c r="G4203" s="18" t="n">
        <v>830.38</v>
      </c>
      <c r="H4203" s="18" t="n">
        <v>0</v>
      </c>
      <c r="I4203" s="18" t="n">
        <f aca="false">((I4202 + G4203) - H4203)</f>
        <v>30767.13</v>
      </c>
      <c r="J4203" s="18" t="n">
        <v>0</v>
      </c>
      <c r="K4203" s="19" t="n">
        <v>0</v>
      </c>
      <c r="L4203" s="17" t="s">
        <v>1399</v>
      </c>
    </row>
    <row r="4204" s="11" customFormat="true" ht="10.95" hidden="false" customHeight="true" outlineLevel="0" collapsed="false">
      <c r="A4204" s="16" t="n">
        <v>45407</v>
      </c>
      <c r="B4204" s="17" t="s">
        <v>2186</v>
      </c>
      <c r="C4204" s="17" t="s">
        <v>1593</v>
      </c>
      <c r="D4204" s="17" t="s">
        <v>2106</v>
      </c>
      <c r="E4204" s="17" t="s">
        <v>2189</v>
      </c>
      <c r="F4204" s="17" t="s">
        <v>2153</v>
      </c>
      <c r="G4204" s="18" t="n">
        <v>830.38</v>
      </c>
      <c r="H4204" s="18" t="n">
        <v>0</v>
      </c>
      <c r="I4204" s="18" t="n">
        <f aca="false">((I4203 + G4204) - H4204)</f>
        <v>31597.51</v>
      </c>
      <c r="J4204" s="18" t="n">
        <v>0</v>
      </c>
      <c r="K4204" s="19" t="n">
        <v>0</v>
      </c>
      <c r="L4204" s="17" t="s">
        <v>1399</v>
      </c>
    </row>
    <row r="4205" s="11" customFormat="true" ht="10.95" hidden="false" customHeight="true" outlineLevel="0" collapsed="false">
      <c r="A4205" s="16" t="n">
        <v>45414</v>
      </c>
      <c r="B4205" s="17" t="s">
        <v>2186</v>
      </c>
      <c r="C4205" s="17" t="s">
        <v>1593</v>
      </c>
      <c r="D4205" s="17" t="s">
        <v>2106</v>
      </c>
      <c r="E4205" s="17" t="s">
        <v>2189</v>
      </c>
      <c r="F4205" s="17" t="s">
        <v>2154</v>
      </c>
      <c r="G4205" s="18" t="n">
        <v>830.38</v>
      </c>
      <c r="H4205" s="18" t="n">
        <v>0</v>
      </c>
      <c r="I4205" s="18" t="n">
        <f aca="false">((I4204 + G4205) - H4205)</f>
        <v>32427.89</v>
      </c>
      <c r="J4205" s="18" t="n">
        <v>0</v>
      </c>
      <c r="K4205" s="19" t="n">
        <v>0</v>
      </c>
      <c r="L4205" s="17" t="s">
        <v>1399</v>
      </c>
    </row>
    <row r="4206" s="11" customFormat="true" ht="10.95" hidden="false" customHeight="true" outlineLevel="0" collapsed="false">
      <c r="A4206" s="16" t="n">
        <v>45421</v>
      </c>
      <c r="B4206" s="17" t="s">
        <v>2186</v>
      </c>
      <c r="C4206" s="17" t="s">
        <v>1593</v>
      </c>
      <c r="D4206" s="17" t="s">
        <v>2106</v>
      </c>
      <c r="E4206" s="17" t="s">
        <v>2189</v>
      </c>
      <c r="F4206" s="17" t="s">
        <v>2155</v>
      </c>
      <c r="G4206" s="18" t="n">
        <v>1120.38</v>
      </c>
      <c r="H4206" s="18" t="n">
        <v>0</v>
      </c>
      <c r="I4206" s="18" t="n">
        <f aca="false">((I4205 + G4206) - H4206)</f>
        <v>33548.27</v>
      </c>
      <c r="J4206" s="18" t="n">
        <v>0</v>
      </c>
      <c r="K4206" s="19" t="n">
        <v>0</v>
      </c>
      <c r="L4206" s="17" t="s">
        <v>1399</v>
      </c>
    </row>
    <row r="4207" s="11" customFormat="true" ht="10.95" hidden="false" customHeight="true" outlineLevel="0" collapsed="false">
      <c r="A4207" s="16" t="n">
        <v>45428</v>
      </c>
      <c r="B4207" s="17" t="s">
        <v>2186</v>
      </c>
      <c r="C4207" s="17" t="s">
        <v>1593</v>
      </c>
      <c r="D4207" s="17" t="s">
        <v>2106</v>
      </c>
      <c r="E4207" s="17" t="s">
        <v>2189</v>
      </c>
      <c r="F4207" s="17" t="s">
        <v>2171</v>
      </c>
      <c r="G4207" s="18" t="n">
        <v>1120.38</v>
      </c>
      <c r="H4207" s="18" t="n">
        <v>0</v>
      </c>
      <c r="I4207" s="18" t="n">
        <f aca="false">((I4206 + G4207) - H4207)</f>
        <v>34668.65</v>
      </c>
      <c r="J4207" s="18" t="n">
        <v>0</v>
      </c>
      <c r="K4207" s="19" t="n">
        <v>0</v>
      </c>
      <c r="L4207" s="17" t="s">
        <v>1399</v>
      </c>
    </row>
    <row r="4208" s="11" customFormat="true" ht="10.95" hidden="false" customHeight="true" outlineLevel="0" collapsed="false">
      <c r="A4208" s="16" t="n">
        <v>45435</v>
      </c>
      <c r="B4208" s="17" t="s">
        <v>2186</v>
      </c>
      <c r="C4208" s="17" t="s">
        <v>1593</v>
      </c>
      <c r="D4208" s="17" t="s">
        <v>2106</v>
      </c>
      <c r="E4208" s="17" t="s">
        <v>2189</v>
      </c>
      <c r="F4208" s="17" t="s">
        <v>2172</v>
      </c>
      <c r="G4208" s="18" t="n">
        <v>1120.38</v>
      </c>
      <c r="H4208" s="18" t="n">
        <v>0</v>
      </c>
      <c r="I4208" s="18" t="n">
        <f aca="false">((I4207 + G4208) - H4208)</f>
        <v>35789.03</v>
      </c>
      <c r="J4208" s="18" t="n">
        <v>0</v>
      </c>
      <c r="K4208" s="19" t="n">
        <v>0</v>
      </c>
      <c r="L4208" s="17" t="s">
        <v>1399</v>
      </c>
    </row>
    <row r="4209" s="11" customFormat="true" ht="10.95" hidden="false" customHeight="true" outlineLevel="0" collapsed="false">
      <c r="A4209" s="16" t="n">
        <v>45442</v>
      </c>
      <c r="B4209" s="17" t="s">
        <v>2186</v>
      </c>
      <c r="C4209" s="17" t="s">
        <v>1593</v>
      </c>
      <c r="D4209" s="17" t="s">
        <v>2106</v>
      </c>
      <c r="E4209" s="17" t="s">
        <v>2189</v>
      </c>
      <c r="F4209" s="17" t="s">
        <v>2173</v>
      </c>
      <c r="G4209" s="18" t="n">
        <v>1120.38</v>
      </c>
      <c r="H4209" s="18" t="n">
        <v>0</v>
      </c>
      <c r="I4209" s="18" t="n">
        <f aca="false">((I4208 + G4209) - H4209)</f>
        <v>36909.41</v>
      </c>
      <c r="J4209" s="18" t="n">
        <v>0</v>
      </c>
      <c r="K4209" s="19" t="n">
        <v>0</v>
      </c>
      <c r="L4209" s="17" t="s">
        <v>1399</v>
      </c>
    </row>
    <row r="4210" s="11" customFormat="true" ht="10.95" hidden="false" customHeight="true" outlineLevel="0" collapsed="false">
      <c r="A4210" s="16" t="n">
        <v>45449</v>
      </c>
      <c r="B4210" s="17" t="s">
        <v>2186</v>
      </c>
      <c r="C4210" s="17" t="s">
        <v>1593</v>
      </c>
      <c r="D4210" s="17" t="s">
        <v>2106</v>
      </c>
      <c r="E4210" s="17" t="s">
        <v>2189</v>
      </c>
      <c r="F4210" s="17" t="s">
        <v>2174</v>
      </c>
      <c r="G4210" s="18" t="n">
        <v>3300</v>
      </c>
      <c r="H4210" s="18" t="n">
        <v>0</v>
      </c>
      <c r="I4210" s="18" t="n">
        <f aca="false">((I4209 + G4210) - H4210)</f>
        <v>40209.41</v>
      </c>
      <c r="J4210" s="18" t="n">
        <v>0</v>
      </c>
      <c r="K4210" s="19" t="n">
        <v>0</v>
      </c>
      <c r="L4210" s="17" t="s">
        <v>1399</v>
      </c>
    </row>
    <row r="4211" s="11" customFormat="true" ht="10.95" hidden="false" customHeight="true" outlineLevel="0" collapsed="false">
      <c r="A4211" s="16" t="n">
        <v>45449</v>
      </c>
      <c r="B4211" s="17" t="s">
        <v>2186</v>
      </c>
      <c r="C4211" s="17" t="s">
        <v>1593</v>
      </c>
      <c r="D4211" s="17" t="s">
        <v>2106</v>
      </c>
      <c r="E4211" s="17" t="s">
        <v>2189</v>
      </c>
      <c r="F4211" s="17" t="s">
        <v>2175</v>
      </c>
      <c r="G4211" s="18" t="n">
        <v>1120.38</v>
      </c>
      <c r="H4211" s="18" t="n">
        <v>0</v>
      </c>
      <c r="I4211" s="18" t="n">
        <f aca="false">((I4210 + G4211) - H4211)</f>
        <v>41329.79</v>
      </c>
      <c r="J4211" s="18" t="n">
        <v>0</v>
      </c>
      <c r="K4211" s="19" t="n">
        <v>0</v>
      </c>
      <c r="L4211" s="17" t="s">
        <v>1399</v>
      </c>
    </row>
    <row r="4212" s="11" customFormat="true" ht="10.95" hidden="false" customHeight="true" outlineLevel="0" collapsed="false">
      <c r="A4212" s="16" t="n">
        <v>45456</v>
      </c>
      <c r="B4212" s="17" t="s">
        <v>2186</v>
      </c>
      <c r="C4212" s="17" t="s">
        <v>1593</v>
      </c>
      <c r="D4212" s="17" t="s">
        <v>2106</v>
      </c>
      <c r="E4212" s="17" t="s">
        <v>2189</v>
      </c>
      <c r="F4212" s="17" t="s">
        <v>2176</v>
      </c>
      <c r="G4212" s="18" t="n">
        <v>1120.38</v>
      </c>
      <c r="H4212" s="18" t="n">
        <v>0</v>
      </c>
      <c r="I4212" s="18" t="n">
        <f aca="false">((I4211 + G4212) - H4212)</f>
        <v>42450.17</v>
      </c>
      <c r="J4212" s="18" t="n">
        <v>0</v>
      </c>
      <c r="K4212" s="19" t="n">
        <v>0</v>
      </c>
      <c r="L4212" s="17" t="s">
        <v>1399</v>
      </c>
    </row>
    <row r="4213" s="11" customFormat="true" ht="10.95" hidden="false" customHeight="true" outlineLevel="0" collapsed="false">
      <c r="A4213" s="16" t="n">
        <v>45463</v>
      </c>
      <c r="B4213" s="17" t="s">
        <v>2186</v>
      </c>
      <c r="C4213" s="17" t="s">
        <v>1593</v>
      </c>
      <c r="D4213" s="17" t="s">
        <v>2106</v>
      </c>
      <c r="E4213" s="17" t="s">
        <v>2189</v>
      </c>
      <c r="F4213" s="17" t="s">
        <v>2177</v>
      </c>
      <c r="G4213" s="18" t="n">
        <v>1120.38</v>
      </c>
      <c r="H4213" s="18" t="n">
        <v>0</v>
      </c>
      <c r="I4213" s="18" t="n">
        <f aca="false">((I4212 + G4213) - H4213)</f>
        <v>43570.55</v>
      </c>
      <c r="J4213" s="18" t="n">
        <v>0</v>
      </c>
      <c r="K4213" s="19" t="n">
        <v>0</v>
      </c>
      <c r="L4213" s="17" t="s">
        <v>1399</v>
      </c>
    </row>
    <row r="4214" s="11" customFormat="true" ht="10.95" hidden="false" customHeight="true" outlineLevel="0" collapsed="false">
      <c r="A4214" s="16" t="n">
        <v>45463</v>
      </c>
      <c r="B4214" s="17" t="s">
        <v>2186</v>
      </c>
      <c r="C4214" s="17" t="s">
        <v>1593</v>
      </c>
      <c r="D4214" s="17" t="s">
        <v>2106</v>
      </c>
      <c r="E4214" s="17" t="s">
        <v>2189</v>
      </c>
      <c r="F4214" s="17" t="s">
        <v>2178</v>
      </c>
      <c r="G4214" s="18" t="n">
        <v>10282.09</v>
      </c>
      <c r="H4214" s="18" t="n">
        <v>0</v>
      </c>
      <c r="I4214" s="18" t="n">
        <f aca="false">((I4213 + G4214) - H4214)</f>
        <v>53852.64</v>
      </c>
      <c r="J4214" s="18" t="n">
        <v>0</v>
      </c>
      <c r="K4214" s="19" t="n">
        <v>0</v>
      </c>
      <c r="L4214" s="17" t="s">
        <v>1399</v>
      </c>
    </row>
    <row r="4215" s="11" customFormat="true" ht="10.95" hidden="false" customHeight="true" outlineLevel="0" collapsed="false">
      <c r="A4215" s="16" t="n">
        <v>45470</v>
      </c>
      <c r="B4215" s="17" t="s">
        <v>2186</v>
      </c>
      <c r="C4215" s="17" t="s">
        <v>1593</v>
      </c>
      <c r="D4215" s="17" t="s">
        <v>2106</v>
      </c>
      <c r="E4215" s="17" t="s">
        <v>2189</v>
      </c>
      <c r="F4215" s="17" t="s">
        <v>2179</v>
      </c>
      <c r="G4215" s="18" t="n">
        <v>1120.38</v>
      </c>
      <c r="H4215" s="18" t="n">
        <v>0</v>
      </c>
      <c r="I4215" s="18" t="n">
        <f aca="false">((I4214 + G4215) - H4215)</f>
        <v>54973.02</v>
      </c>
      <c r="J4215" s="18" t="n">
        <v>0</v>
      </c>
      <c r="K4215" s="19" t="n">
        <v>0</v>
      </c>
      <c r="L4215" s="17" t="s">
        <v>1399</v>
      </c>
    </row>
    <row r="4216" s="11" customFormat="true" ht="10.95" hidden="false" customHeight="true" outlineLevel="0" collapsed="false">
      <c r="A4216" s="21" t="s">
        <v>2190</v>
      </c>
      <c r="B4216" s="21"/>
      <c r="C4216" s="21"/>
      <c r="D4216" s="21"/>
      <c r="E4216" s="21"/>
      <c r="F4216" s="21"/>
      <c r="G4216" s="22" t="n">
        <f aca="false">SUM(G4160:G4215)</f>
        <v>58395.7</v>
      </c>
      <c r="H4216" s="22" t="n">
        <f aca="false">SUM(H4160:H4215)</f>
        <v>3422.68</v>
      </c>
      <c r="I4216" s="22" t="n">
        <f aca="false">I4215</f>
        <v>54973.02</v>
      </c>
      <c r="J4216" s="22" t="n">
        <f aca="false">SUM(J4160:J4215)</f>
        <v>0</v>
      </c>
      <c r="K4216" s="21"/>
      <c r="L4216" s="21"/>
    </row>
    <row r="4217" s="11" customFormat="true" ht="10.95" hidden="false" customHeight="true" outlineLevel="0" collapsed="false">
      <c r="A4217" s="21" t="s">
        <v>784</v>
      </c>
      <c r="B4217" s="21"/>
      <c r="C4217" s="21"/>
      <c r="D4217" s="21"/>
      <c r="E4217" s="21"/>
      <c r="F4217" s="21"/>
      <c r="G4217" s="22" t="n">
        <v>54973.02</v>
      </c>
      <c r="H4217" s="22" t="n">
        <v>0</v>
      </c>
      <c r="I4217" s="22" t="n">
        <v>0</v>
      </c>
      <c r="J4217" s="22" t="n">
        <v>0</v>
      </c>
      <c r="K4217" s="21"/>
      <c r="L4217" s="21"/>
    </row>
    <row r="4218" s="11" customFormat="true" ht="10.95" hidden="false" customHeight="true" outlineLevel="0" collapsed="false">
      <c r="A4218" s="9" t="s">
        <v>785</v>
      </c>
      <c r="B4218" s="9"/>
      <c r="C4218" s="9"/>
      <c r="D4218" s="9"/>
      <c r="E4218" s="9"/>
      <c r="F4218" s="9"/>
      <c r="G4218" s="10" t="n">
        <v>54973.02</v>
      </c>
      <c r="H4218" s="10" t="n">
        <v>0</v>
      </c>
      <c r="I4218" s="10" t="n">
        <f aca="false">I4215</f>
        <v>54973.02</v>
      </c>
      <c r="J4218" s="10" t="n">
        <v>0</v>
      </c>
      <c r="K4218" s="9"/>
      <c r="L4218" s="9"/>
    </row>
    <row r="4219" customFormat="false" ht="13.35" hidden="false" customHeight="true" outlineLevel="0" collapsed="false"/>
    <row r="4220" s="7" customFormat="true" ht="12.1" hidden="false" customHeight="true" outlineLevel="0" collapsed="false">
      <c r="A4220" s="8" t="s">
        <v>2191</v>
      </c>
      <c r="B4220" s="8"/>
      <c r="C4220" s="8"/>
      <c r="D4220" s="8"/>
      <c r="E4220" s="8"/>
      <c r="F4220" s="8"/>
      <c r="G4220" s="8"/>
      <c r="H4220" s="8"/>
      <c r="I4220" s="8"/>
      <c r="J4220" s="8"/>
      <c r="K4220" s="8"/>
      <c r="L4220" s="8"/>
    </row>
    <row r="4221" s="11" customFormat="true" ht="10.95" hidden="false" customHeight="true" outlineLevel="0" collapsed="false">
      <c r="A4221" s="9" t="s">
        <v>16</v>
      </c>
      <c r="B4221" s="9"/>
      <c r="C4221" s="9"/>
      <c r="D4221" s="9"/>
      <c r="E4221" s="9"/>
      <c r="F4221" s="9"/>
      <c r="G4221" s="10" t="n">
        <v>0</v>
      </c>
      <c r="H4221" s="10" t="n">
        <v>0</v>
      </c>
      <c r="I4221" s="10" t="n">
        <f aca="false">(G4221 - H4221)</f>
        <v>0</v>
      </c>
      <c r="J4221" s="10" t="n">
        <v>0</v>
      </c>
      <c r="K4221" s="9"/>
      <c r="L4221" s="9"/>
    </row>
    <row r="4222" s="11" customFormat="true" ht="10.95" hidden="false" customHeight="true" outlineLevel="0" collapsed="false">
      <c r="A4222" s="12" t="n">
        <v>45108</v>
      </c>
      <c r="B4222" s="13" t="s">
        <v>2192</v>
      </c>
      <c r="C4222" s="13" t="s">
        <v>1593</v>
      </c>
      <c r="D4222" s="13" t="s">
        <v>1407</v>
      </c>
      <c r="E4222" s="13" t="s">
        <v>2193</v>
      </c>
      <c r="F4222" s="13"/>
      <c r="G4222" s="14" t="n">
        <v>341.41</v>
      </c>
      <c r="H4222" s="14" t="n">
        <v>0</v>
      </c>
      <c r="I4222" s="14" t="n">
        <f aca="false">((I4221 + G4222) - H4222)</f>
        <v>341.41</v>
      </c>
      <c r="J4222" s="14" t="n">
        <v>0</v>
      </c>
      <c r="K4222" s="15" t="n">
        <v>0</v>
      </c>
      <c r="L4222" s="13" t="s">
        <v>1406</v>
      </c>
    </row>
    <row r="4223" s="11" customFormat="true" ht="10.95" hidden="false" customHeight="true" outlineLevel="0" collapsed="false">
      <c r="A4223" s="16" t="n">
        <v>45108</v>
      </c>
      <c r="B4223" s="17" t="s">
        <v>2192</v>
      </c>
      <c r="C4223" s="17" t="s">
        <v>1593</v>
      </c>
      <c r="D4223" s="17" t="s">
        <v>1407</v>
      </c>
      <c r="E4223" s="17" t="s">
        <v>2194</v>
      </c>
      <c r="F4223" s="17"/>
      <c r="G4223" s="18" t="n">
        <v>76.16</v>
      </c>
      <c r="H4223" s="18" t="n">
        <v>0</v>
      </c>
      <c r="I4223" s="18" t="n">
        <f aca="false">((I4222 + G4223) - H4223)</f>
        <v>417.57</v>
      </c>
      <c r="J4223" s="18" t="n">
        <v>0</v>
      </c>
      <c r="K4223" s="19" t="n">
        <v>0</v>
      </c>
      <c r="L4223" s="17" t="s">
        <v>1406</v>
      </c>
    </row>
    <row r="4224" s="11" customFormat="true" ht="10.95" hidden="false" customHeight="true" outlineLevel="0" collapsed="false">
      <c r="A4224" s="16" t="n">
        <v>45108</v>
      </c>
      <c r="B4224" s="17" t="s">
        <v>2192</v>
      </c>
      <c r="C4224" s="17" t="s">
        <v>1593</v>
      </c>
      <c r="D4224" s="17" t="s">
        <v>1407</v>
      </c>
      <c r="E4224" s="17" t="s">
        <v>2195</v>
      </c>
      <c r="F4224" s="17"/>
      <c r="G4224" s="18" t="n">
        <v>75</v>
      </c>
      <c r="H4224" s="18" t="n">
        <v>0</v>
      </c>
      <c r="I4224" s="18" t="n">
        <f aca="false">((I4223 + G4224) - H4224)</f>
        <v>492.57</v>
      </c>
      <c r="J4224" s="18" t="n">
        <v>7.5</v>
      </c>
      <c r="K4224" s="19" t="n">
        <v>10</v>
      </c>
      <c r="L4224" s="17" t="s">
        <v>44</v>
      </c>
    </row>
    <row r="4225" s="11" customFormat="true" ht="10.95" hidden="false" customHeight="true" outlineLevel="0" collapsed="false">
      <c r="A4225" s="16" t="n">
        <v>45108</v>
      </c>
      <c r="B4225" s="17" t="s">
        <v>2192</v>
      </c>
      <c r="C4225" s="17" t="s">
        <v>1593</v>
      </c>
      <c r="D4225" s="17" t="s">
        <v>1407</v>
      </c>
      <c r="E4225" s="17" t="s">
        <v>2196</v>
      </c>
      <c r="F4225" s="17"/>
      <c r="G4225" s="18" t="n">
        <v>21.78</v>
      </c>
      <c r="H4225" s="18" t="n">
        <v>0</v>
      </c>
      <c r="I4225" s="18" t="n">
        <f aca="false">((I4224 + G4225) - H4225)</f>
        <v>514.35</v>
      </c>
      <c r="J4225" s="18" t="n">
        <v>0</v>
      </c>
      <c r="K4225" s="19" t="n">
        <v>0</v>
      </c>
      <c r="L4225" s="17" t="s">
        <v>1406</v>
      </c>
    </row>
    <row r="4226" s="11" customFormat="true" ht="10.95" hidden="false" customHeight="true" outlineLevel="0" collapsed="false">
      <c r="A4226" s="16" t="n">
        <v>45108</v>
      </c>
      <c r="B4226" s="17" t="s">
        <v>2192</v>
      </c>
      <c r="C4226" s="17" t="s">
        <v>1593</v>
      </c>
      <c r="D4226" s="17" t="s">
        <v>1391</v>
      </c>
      <c r="E4226" s="17" t="s">
        <v>2197</v>
      </c>
      <c r="F4226" s="17" t="s">
        <v>2198</v>
      </c>
      <c r="G4226" s="18" t="n">
        <v>152.15</v>
      </c>
      <c r="H4226" s="18" t="n">
        <v>0</v>
      </c>
      <c r="I4226" s="18" t="n">
        <f aca="false">((I4225 + G4226) - H4226)</f>
        <v>666.5</v>
      </c>
      <c r="J4226" s="18" t="n">
        <v>0</v>
      </c>
      <c r="K4226" s="19" t="n">
        <v>0</v>
      </c>
      <c r="L4226" s="17" t="s">
        <v>1406</v>
      </c>
    </row>
    <row r="4227" s="11" customFormat="true" ht="10.95" hidden="false" customHeight="true" outlineLevel="0" collapsed="false">
      <c r="A4227" s="16" t="n">
        <v>45108</v>
      </c>
      <c r="B4227" s="17" t="s">
        <v>2192</v>
      </c>
      <c r="C4227" s="17" t="s">
        <v>1593</v>
      </c>
      <c r="D4227" s="17" t="s">
        <v>1391</v>
      </c>
      <c r="E4227" s="17" t="s">
        <v>2199</v>
      </c>
      <c r="F4227" s="17" t="s">
        <v>2200</v>
      </c>
      <c r="G4227" s="18" t="n">
        <v>248</v>
      </c>
      <c r="H4227" s="18" t="n">
        <v>0</v>
      </c>
      <c r="I4227" s="18" t="n">
        <f aca="false">((I4226 + G4227) - H4227)</f>
        <v>914.5</v>
      </c>
      <c r="J4227" s="18" t="n">
        <v>0</v>
      </c>
      <c r="K4227" s="19" t="n">
        <v>0</v>
      </c>
      <c r="L4227" s="17" t="s">
        <v>1406</v>
      </c>
    </row>
    <row r="4228" s="11" customFormat="true" ht="10.95" hidden="false" customHeight="true" outlineLevel="0" collapsed="false">
      <c r="A4228" s="16" t="n">
        <v>45109</v>
      </c>
      <c r="B4228" s="17" t="s">
        <v>2192</v>
      </c>
      <c r="C4228" s="17" t="s">
        <v>1593</v>
      </c>
      <c r="D4228" s="17" t="s">
        <v>1407</v>
      </c>
      <c r="E4228" s="17" t="s">
        <v>2201</v>
      </c>
      <c r="F4228" s="17"/>
      <c r="G4228" s="18" t="n">
        <v>36.35</v>
      </c>
      <c r="H4228" s="18" t="n">
        <v>0</v>
      </c>
      <c r="I4228" s="18" t="n">
        <f aca="false">((I4227 + G4228) - H4228)</f>
        <v>950.85</v>
      </c>
      <c r="J4228" s="18" t="n">
        <v>3.64</v>
      </c>
      <c r="K4228" s="19" t="n">
        <v>10</v>
      </c>
      <c r="L4228" s="17" t="s">
        <v>44</v>
      </c>
    </row>
    <row r="4229" s="11" customFormat="true" ht="10.95" hidden="false" customHeight="true" outlineLevel="0" collapsed="false">
      <c r="A4229" s="16" t="n">
        <v>45110</v>
      </c>
      <c r="B4229" s="17" t="s">
        <v>2192</v>
      </c>
      <c r="C4229" s="17" t="s">
        <v>1593</v>
      </c>
      <c r="D4229" s="17" t="s">
        <v>1407</v>
      </c>
      <c r="E4229" s="17" t="s">
        <v>2196</v>
      </c>
      <c r="F4229" s="17"/>
      <c r="G4229" s="18" t="n">
        <v>17.37</v>
      </c>
      <c r="H4229" s="18" t="n">
        <v>0</v>
      </c>
      <c r="I4229" s="18" t="n">
        <f aca="false">((I4228 + G4229) - H4229)</f>
        <v>968.22</v>
      </c>
      <c r="J4229" s="18" t="n">
        <v>0</v>
      </c>
      <c r="K4229" s="19" t="n">
        <v>0</v>
      </c>
      <c r="L4229" s="17" t="s">
        <v>1406</v>
      </c>
    </row>
    <row r="4230" s="11" customFormat="true" ht="10.95" hidden="false" customHeight="true" outlineLevel="0" collapsed="false">
      <c r="A4230" s="16" t="n">
        <v>45110</v>
      </c>
      <c r="B4230" s="17" t="s">
        <v>2192</v>
      </c>
      <c r="C4230" s="17" t="s">
        <v>1593</v>
      </c>
      <c r="D4230" s="17" t="s">
        <v>1407</v>
      </c>
      <c r="E4230" s="17" t="s">
        <v>2196</v>
      </c>
      <c r="F4230" s="17"/>
      <c r="G4230" s="18" t="n">
        <v>37.51</v>
      </c>
      <c r="H4230" s="18" t="n">
        <v>0</v>
      </c>
      <c r="I4230" s="18" t="n">
        <f aca="false">((I4229 + G4230) - H4230)</f>
        <v>1005.73</v>
      </c>
      <c r="J4230" s="18" t="n">
        <v>0</v>
      </c>
      <c r="K4230" s="19" t="n">
        <v>0</v>
      </c>
      <c r="L4230" s="17" t="s">
        <v>1406</v>
      </c>
    </row>
    <row r="4231" s="11" customFormat="true" ht="10.95" hidden="false" customHeight="true" outlineLevel="0" collapsed="false">
      <c r="A4231" s="16" t="n">
        <v>45110</v>
      </c>
      <c r="B4231" s="17" t="s">
        <v>2192</v>
      </c>
      <c r="C4231" s="17" t="s">
        <v>1593</v>
      </c>
      <c r="D4231" s="17" t="s">
        <v>1391</v>
      </c>
      <c r="E4231" s="17" t="s">
        <v>2202</v>
      </c>
      <c r="F4231" s="17" t="s">
        <v>2203</v>
      </c>
      <c r="G4231" s="18" t="n">
        <v>65</v>
      </c>
      <c r="H4231" s="18" t="n">
        <v>0</v>
      </c>
      <c r="I4231" s="18" t="n">
        <f aca="false">((I4230 + G4231) - H4231)</f>
        <v>1070.73</v>
      </c>
      <c r="J4231" s="18" t="n">
        <v>6.5</v>
      </c>
      <c r="K4231" s="19" t="n">
        <v>10</v>
      </c>
      <c r="L4231" s="17" t="s">
        <v>44</v>
      </c>
    </row>
    <row r="4232" s="11" customFormat="true" ht="10.95" hidden="false" customHeight="true" outlineLevel="0" collapsed="false">
      <c r="A4232" s="16" t="n">
        <v>45111</v>
      </c>
      <c r="B4232" s="17" t="s">
        <v>2192</v>
      </c>
      <c r="C4232" s="17" t="s">
        <v>1593</v>
      </c>
      <c r="D4232" s="17" t="s">
        <v>1407</v>
      </c>
      <c r="E4232" s="17" t="s">
        <v>2204</v>
      </c>
      <c r="F4232" s="17"/>
      <c r="G4232" s="18" t="n">
        <v>22.74</v>
      </c>
      <c r="H4232" s="18" t="n">
        <v>0</v>
      </c>
      <c r="I4232" s="18" t="n">
        <f aca="false">((I4231 + G4232) - H4232)</f>
        <v>1093.47</v>
      </c>
      <c r="J4232" s="18" t="n">
        <v>0</v>
      </c>
      <c r="K4232" s="19" t="n">
        <v>0</v>
      </c>
      <c r="L4232" s="17" t="s">
        <v>1406</v>
      </c>
    </row>
    <row r="4233" s="11" customFormat="true" ht="10.95" hidden="false" customHeight="true" outlineLevel="0" collapsed="false">
      <c r="A4233" s="16" t="n">
        <v>45111</v>
      </c>
      <c r="B4233" s="17" t="s">
        <v>2192</v>
      </c>
      <c r="C4233" s="17" t="s">
        <v>1593</v>
      </c>
      <c r="D4233" s="17" t="s">
        <v>1407</v>
      </c>
      <c r="E4233" s="17" t="s">
        <v>1510</v>
      </c>
      <c r="F4233" s="17"/>
      <c r="G4233" s="18" t="n">
        <v>128.75</v>
      </c>
      <c r="H4233" s="18" t="n">
        <v>0</v>
      </c>
      <c r="I4233" s="18" t="n">
        <f aca="false">((I4232 + G4233) - H4233)</f>
        <v>1222.22</v>
      </c>
      <c r="J4233" s="18" t="n">
        <v>0</v>
      </c>
      <c r="K4233" s="19" t="n">
        <v>0</v>
      </c>
      <c r="L4233" s="17" t="s">
        <v>1406</v>
      </c>
    </row>
    <row r="4234" s="11" customFormat="true" ht="10.95" hidden="false" customHeight="true" outlineLevel="0" collapsed="false">
      <c r="A4234" s="16" t="n">
        <v>45112</v>
      </c>
      <c r="B4234" s="17" t="s">
        <v>2192</v>
      </c>
      <c r="C4234" s="17" t="s">
        <v>1593</v>
      </c>
      <c r="D4234" s="17" t="s">
        <v>1407</v>
      </c>
      <c r="E4234" s="17" t="s">
        <v>2205</v>
      </c>
      <c r="F4234" s="17"/>
      <c r="G4234" s="18" t="n">
        <v>19.95</v>
      </c>
      <c r="H4234" s="18" t="n">
        <v>0</v>
      </c>
      <c r="I4234" s="18" t="n">
        <f aca="false">((I4233 + G4234) - H4234)</f>
        <v>1242.17</v>
      </c>
      <c r="J4234" s="18" t="n">
        <v>2</v>
      </c>
      <c r="K4234" s="19" t="n">
        <v>10</v>
      </c>
      <c r="L4234" s="17" t="s">
        <v>44</v>
      </c>
    </row>
    <row r="4235" s="11" customFormat="true" ht="10.95" hidden="false" customHeight="true" outlineLevel="0" collapsed="false">
      <c r="A4235" s="16" t="n">
        <v>45113</v>
      </c>
      <c r="B4235" s="17" t="s">
        <v>2192</v>
      </c>
      <c r="C4235" s="17" t="s">
        <v>1593</v>
      </c>
      <c r="D4235" s="17" t="s">
        <v>1391</v>
      </c>
      <c r="E4235" s="17" t="s">
        <v>2206</v>
      </c>
      <c r="F4235" s="17" t="s">
        <v>2207</v>
      </c>
      <c r="G4235" s="18" t="n">
        <v>448.82</v>
      </c>
      <c r="H4235" s="18" t="n">
        <v>0</v>
      </c>
      <c r="I4235" s="18" t="n">
        <f aca="false">((I4234 + G4235) - H4235)</f>
        <v>1690.99</v>
      </c>
      <c r="J4235" s="18" t="n">
        <v>0</v>
      </c>
      <c r="K4235" s="19" t="n">
        <v>0</v>
      </c>
      <c r="L4235" s="17" t="s">
        <v>1406</v>
      </c>
    </row>
    <row r="4236" s="11" customFormat="true" ht="10.95" hidden="false" customHeight="true" outlineLevel="0" collapsed="false">
      <c r="A4236" s="16" t="n">
        <v>45113</v>
      </c>
      <c r="B4236" s="17" t="s">
        <v>2192</v>
      </c>
      <c r="C4236" s="17" t="s">
        <v>1593</v>
      </c>
      <c r="D4236" s="17" t="s">
        <v>1407</v>
      </c>
      <c r="E4236" s="17" t="s">
        <v>2208</v>
      </c>
      <c r="F4236" s="17"/>
      <c r="G4236" s="18" t="n">
        <v>17.2</v>
      </c>
      <c r="H4236" s="18" t="n">
        <v>0</v>
      </c>
      <c r="I4236" s="18" t="n">
        <f aca="false">((I4235 + G4236) - H4236)</f>
        <v>1708.19</v>
      </c>
      <c r="J4236" s="18" t="n">
        <v>1.72</v>
      </c>
      <c r="K4236" s="19" t="n">
        <v>10</v>
      </c>
      <c r="L4236" s="17" t="s">
        <v>44</v>
      </c>
    </row>
    <row r="4237" s="11" customFormat="true" ht="10.95" hidden="false" customHeight="true" outlineLevel="0" collapsed="false">
      <c r="A4237" s="16" t="n">
        <v>45113</v>
      </c>
      <c r="B4237" s="17" t="s">
        <v>2192</v>
      </c>
      <c r="C4237" s="17" t="s">
        <v>1593</v>
      </c>
      <c r="D4237" s="17" t="s">
        <v>1407</v>
      </c>
      <c r="E4237" s="17" t="s">
        <v>2208</v>
      </c>
      <c r="F4237" s="17"/>
      <c r="G4237" s="18" t="n">
        <v>36</v>
      </c>
      <c r="H4237" s="18" t="n">
        <v>0</v>
      </c>
      <c r="I4237" s="18" t="n">
        <f aca="false">((I4236 + G4237) - H4237)</f>
        <v>1744.19</v>
      </c>
      <c r="J4237" s="18" t="n">
        <v>3.6</v>
      </c>
      <c r="K4237" s="19" t="n">
        <v>10</v>
      </c>
      <c r="L4237" s="17" t="s">
        <v>44</v>
      </c>
    </row>
    <row r="4238" s="11" customFormat="true" ht="10.95" hidden="false" customHeight="true" outlineLevel="0" collapsed="false">
      <c r="A4238" s="16" t="n">
        <v>45113</v>
      </c>
      <c r="B4238" s="17" t="s">
        <v>2192</v>
      </c>
      <c r="C4238" s="17" t="s">
        <v>1593</v>
      </c>
      <c r="D4238" s="17" t="s">
        <v>1407</v>
      </c>
      <c r="E4238" s="17" t="s">
        <v>2208</v>
      </c>
      <c r="F4238" s="17"/>
      <c r="G4238" s="18" t="n">
        <v>16.5</v>
      </c>
      <c r="H4238" s="18" t="n">
        <v>0</v>
      </c>
      <c r="I4238" s="18" t="n">
        <f aca="false">((I4237 + G4238) - H4238)</f>
        <v>1760.69</v>
      </c>
      <c r="J4238" s="18" t="n">
        <v>1.65</v>
      </c>
      <c r="K4238" s="19" t="n">
        <v>10</v>
      </c>
      <c r="L4238" s="17" t="s">
        <v>44</v>
      </c>
    </row>
    <row r="4239" s="11" customFormat="true" ht="10.95" hidden="false" customHeight="true" outlineLevel="0" collapsed="false">
      <c r="A4239" s="16" t="n">
        <v>45114</v>
      </c>
      <c r="B4239" s="17" t="s">
        <v>2192</v>
      </c>
      <c r="C4239" s="17" t="s">
        <v>1593</v>
      </c>
      <c r="D4239" s="17" t="s">
        <v>1407</v>
      </c>
      <c r="E4239" s="17" t="s">
        <v>2209</v>
      </c>
      <c r="F4239" s="17"/>
      <c r="G4239" s="18" t="n">
        <v>15.11</v>
      </c>
      <c r="H4239" s="18" t="n">
        <v>0</v>
      </c>
      <c r="I4239" s="18" t="n">
        <f aca="false">((I4238 + G4239) - H4239)</f>
        <v>1775.8</v>
      </c>
      <c r="J4239" s="18" t="n">
        <v>1.51</v>
      </c>
      <c r="K4239" s="19" t="n">
        <v>10</v>
      </c>
      <c r="L4239" s="17" t="s">
        <v>44</v>
      </c>
    </row>
    <row r="4240" s="11" customFormat="true" ht="10.95" hidden="false" customHeight="true" outlineLevel="0" collapsed="false">
      <c r="A4240" s="16" t="n">
        <v>45114</v>
      </c>
      <c r="B4240" s="17" t="s">
        <v>2192</v>
      </c>
      <c r="C4240" s="17" t="s">
        <v>1593</v>
      </c>
      <c r="D4240" s="17" t="s">
        <v>1407</v>
      </c>
      <c r="E4240" s="17" t="s">
        <v>2210</v>
      </c>
      <c r="F4240" s="17"/>
      <c r="G4240" s="18" t="n">
        <v>43.71</v>
      </c>
      <c r="H4240" s="18" t="n">
        <v>0</v>
      </c>
      <c r="I4240" s="18" t="n">
        <f aca="false">((I4239 + G4240) - H4240)</f>
        <v>1819.51</v>
      </c>
      <c r="J4240" s="18" t="n">
        <v>0</v>
      </c>
      <c r="K4240" s="19" t="n">
        <v>0</v>
      </c>
      <c r="L4240" s="17" t="s">
        <v>1406</v>
      </c>
    </row>
    <row r="4241" s="11" customFormat="true" ht="10.95" hidden="false" customHeight="true" outlineLevel="0" collapsed="false">
      <c r="A4241" s="16" t="n">
        <v>45115</v>
      </c>
      <c r="B4241" s="17" t="s">
        <v>2192</v>
      </c>
      <c r="C4241" s="17" t="s">
        <v>1593</v>
      </c>
      <c r="D4241" s="17" t="s">
        <v>1407</v>
      </c>
      <c r="E4241" s="17" t="s">
        <v>2211</v>
      </c>
      <c r="F4241" s="17"/>
      <c r="G4241" s="18" t="n">
        <v>237.99</v>
      </c>
      <c r="H4241" s="18" t="n">
        <v>0</v>
      </c>
      <c r="I4241" s="18" t="n">
        <f aca="false">((I4240 + G4241) - H4241)</f>
        <v>2057.5</v>
      </c>
      <c r="J4241" s="18" t="n">
        <v>0</v>
      </c>
      <c r="K4241" s="19" t="n">
        <v>0</v>
      </c>
      <c r="L4241" s="17" t="s">
        <v>1406</v>
      </c>
    </row>
    <row r="4242" s="11" customFormat="true" ht="10.95" hidden="false" customHeight="true" outlineLevel="0" collapsed="false">
      <c r="A4242" s="16" t="n">
        <v>45115</v>
      </c>
      <c r="B4242" s="17" t="s">
        <v>2192</v>
      </c>
      <c r="C4242" s="17" t="s">
        <v>1593</v>
      </c>
      <c r="D4242" s="17" t="s">
        <v>1407</v>
      </c>
      <c r="E4242" s="17" t="s">
        <v>2196</v>
      </c>
      <c r="F4242" s="17"/>
      <c r="G4242" s="18" t="n">
        <v>4.48</v>
      </c>
      <c r="H4242" s="18" t="n">
        <v>0</v>
      </c>
      <c r="I4242" s="18" t="n">
        <f aca="false">((I4241 + G4242) - H4242)</f>
        <v>2061.98</v>
      </c>
      <c r="J4242" s="18" t="n">
        <v>0</v>
      </c>
      <c r="K4242" s="19" t="n">
        <v>0</v>
      </c>
      <c r="L4242" s="17" t="s">
        <v>1406</v>
      </c>
    </row>
    <row r="4243" s="11" customFormat="true" ht="10.95" hidden="false" customHeight="true" outlineLevel="0" collapsed="false">
      <c r="A4243" s="16" t="n">
        <v>45117</v>
      </c>
      <c r="B4243" s="17" t="s">
        <v>2192</v>
      </c>
      <c r="C4243" s="17" t="s">
        <v>1593</v>
      </c>
      <c r="D4243" s="17" t="s">
        <v>1407</v>
      </c>
      <c r="E4243" s="17" t="s">
        <v>2212</v>
      </c>
      <c r="F4243" s="17"/>
      <c r="G4243" s="18" t="n">
        <v>19.95</v>
      </c>
      <c r="H4243" s="18" t="n">
        <v>0</v>
      </c>
      <c r="I4243" s="18" t="n">
        <f aca="false">((I4242 + G4243) - H4243)</f>
        <v>2081.93</v>
      </c>
      <c r="J4243" s="18" t="n">
        <v>0</v>
      </c>
      <c r="K4243" s="19" t="n">
        <v>0</v>
      </c>
      <c r="L4243" s="17" t="s">
        <v>1406</v>
      </c>
    </row>
    <row r="4244" s="11" customFormat="true" ht="10.95" hidden="false" customHeight="true" outlineLevel="0" collapsed="false">
      <c r="A4244" s="16" t="n">
        <v>45118</v>
      </c>
      <c r="B4244" s="17" t="s">
        <v>2192</v>
      </c>
      <c r="C4244" s="17" t="s">
        <v>1593</v>
      </c>
      <c r="D4244" s="17" t="s">
        <v>1407</v>
      </c>
      <c r="E4244" s="17" t="s">
        <v>2213</v>
      </c>
      <c r="F4244" s="17"/>
      <c r="G4244" s="18" t="n">
        <v>17.26</v>
      </c>
      <c r="H4244" s="18" t="n">
        <v>0</v>
      </c>
      <c r="I4244" s="18" t="n">
        <f aca="false">((I4243 + G4244) - H4244)</f>
        <v>2099.19</v>
      </c>
      <c r="J4244" s="18" t="n">
        <v>1.73</v>
      </c>
      <c r="K4244" s="19" t="n">
        <v>10</v>
      </c>
      <c r="L4244" s="17" t="s">
        <v>44</v>
      </c>
    </row>
    <row r="4245" s="11" customFormat="true" ht="10.95" hidden="false" customHeight="true" outlineLevel="0" collapsed="false">
      <c r="A4245" s="16" t="n">
        <v>45118</v>
      </c>
      <c r="B4245" s="17" t="s">
        <v>2192</v>
      </c>
      <c r="C4245" s="17" t="s">
        <v>1593</v>
      </c>
      <c r="D4245" s="17" t="s">
        <v>1407</v>
      </c>
      <c r="E4245" s="17" t="s">
        <v>2196</v>
      </c>
      <c r="F4245" s="17"/>
      <c r="G4245" s="18" t="n">
        <v>11.81</v>
      </c>
      <c r="H4245" s="18" t="n">
        <v>0</v>
      </c>
      <c r="I4245" s="18" t="n">
        <f aca="false">((I4244 + G4245) - H4245)</f>
        <v>2111</v>
      </c>
      <c r="J4245" s="18" t="n">
        <v>1.18</v>
      </c>
      <c r="K4245" s="19" t="n">
        <v>10</v>
      </c>
      <c r="L4245" s="17" t="s">
        <v>44</v>
      </c>
    </row>
    <row r="4246" s="11" customFormat="true" ht="10.95" hidden="false" customHeight="true" outlineLevel="0" collapsed="false">
      <c r="A4246" s="16" t="n">
        <v>45118</v>
      </c>
      <c r="B4246" s="17" t="s">
        <v>2192</v>
      </c>
      <c r="C4246" s="17" t="s">
        <v>1593</v>
      </c>
      <c r="D4246" s="17" t="s">
        <v>1407</v>
      </c>
      <c r="E4246" s="17" t="s">
        <v>2208</v>
      </c>
      <c r="F4246" s="17"/>
      <c r="G4246" s="18" t="n">
        <v>8.2</v>
      </c>
      <c r="H4246" s="18" t="n">
        <v>0</v>
      </c>
      <c r="I4246" s="18" t="n">
        <f aca="false">((I4245 + G4246) - H4246)</f>
        <v>2119.2</v>
      </c>
      <c r="J4246" s="18" t="n">
        <v>0.82</v>
      </c>
      <c r="K4246" s="19" t="n">
        <v>10</v>
      </c>
      <c r="L4246" s="17" t="s">
        <v>44</v>
      </c>
    </row>
    <row r="4247" s="11" customFormat="true" ht="10.95" hidden="false" customHeight="true" outlineLevel="0" collapsed="false">
      <c r="A4247" s="16" t="n">
        <v>45119</v>
      </c>
      <c r="B4247" s="17" t="s">
        <v>2192</v>
      </c>
      <c r="C4247" s="17" t="s">
        <v>1593</v>
      </c>
      <c r="D4247" s="17" t="s">
        <v>1391</v>
      </c>
      <c r="E4247" s="17" t="s">
        <v>2214</v>
      </c>
      <c r="F4247" s="17" t="s">
        <v>2215</v>
      </c>
      <c r="G4247" s="18" t="n">
        <v>445.8</v>
      </c>
      <c r="H4247" s="18" t="n">
        <v>0</v>
      </c>
      <c r="I4247" s="18" t="n">
        <f aca="false">((I4246 + G4247) - H4247)</f>
        <v>2565</v>
      </c>
      <c r="J4247" s="18" t="n">
        <v>0</v>
      </c>
      <c r="K4247" s="19" t="n">
        <v>0</v>
      </c>
      <c r="L4247" s="17" t="s">
        <v>1406</v>
      </c>
    </row>
    <row r="4248" s="11" customFormat="true" ht="10.95" hidden="false" customHeight="true" outlineLevel="0" collapsed="false">
      <c r="A4248" s="16" t="n">
        <v>45120</v>
      </c>
      <c r="B4248" s="17" t="s">
        <v>2192</v>
      </c>
      <c r="C4248" s="17" t="s">
        <v>1593</v>
      </c>
      <c r="D4248" s="17" t="s">
        <v>1407</v>
      </c>
      <c r="E4248" s="17" t="s">
        <v>2196</v>
      </c>
      <c r="F4248" s="17"/>
      <c r="G4248" s="18" t="n">
        <v>4.36</v>
      </c>
      <c r="H4248" s="18" t="n">
        <v>0</v>
      </c>
      <c r="I4248" s="18" t="n">
        <f aca="false">((I4247 + G4248) - H4248)</f>
        <v>2569.36</v>
      </c>
      <c r="J4248" s="18" t="n">
        <v>0</v>
      </c>
      <c r="K4248" s="19" t="n">
        <v>0</v>
      </c>
      <c r="L4248" s="17" t="s">
        <v>1406</v>
      </c>
    </row>
    <row r="4249" s="11" customFormat="true" ht="10.95" hidden="false" customHeight="true" outlineLevel="0" collapsed="false">
      <c r="A4249" s="16" t="n">
        <v>45121</v>
      </c>
      <c r="B4249" s="17" t="s">
        <v>2192</v>
      </c>
      <c r="C4249" s="17" t="s">
        <v>1593</v>
      </c>
      <c r="D4249" s="17" t="s">
        <v>1407</v>
      </c>
      <c r="E4249" s="17" t="s">
        <v>2196</v>
      </c>
      <c r="F4249" s="17"/>
      <c r="G4249" s="18" t="n">
        <v>1.44</v>
      </c>
      <c r="H4249" s="18" t="n">
        <v>0</v>
      </c>
      <c r="I4249" s="18" t="n">
        <f aca="false">((I4248 + G4249) - H4249)</f>
        <v>2570.8</v>
      </c>
      <c r="J4249" s="18" t="n">
        <v>0</v>
      </c>
      <c r="K4249" s="19" t="n">
        <v>0</v>
      </c>
      <c r="L4249" s="17" t="s">
        <v>1406</v>
      </c>
    </row>
    <row r="4250" s="11" customFormat="true" ht="10.95" hidden="false" customHeight="true" outlineLevel="0" collapsed="false">
      <c r="A4250" s="16" t="n">
        <v>45122</v>
      </c>
      <c r="B4250" s="17" t="s">
        <v>2192</v>
      </c>
      <c r="C4250" s="17" t="s">
        <v>1593</v>
      </c>
      <c r="D4250" s="17" t="s">
        <v>1407</v>
      </c>
      <c r="E4250" s="17" t="s">
        <v>2216</v>
      </c>
      <c r="F4250" s="17"/>
      <c r="G4250" s="18" t="n">
        <v>13.63</v>
      </c>
      <c r="H4250" s="18" t="n">
        <v>0</v>
      </c>
      <c r="I4250" s="18" t="n">
        <f aca="false">((I4249 + G4250) - H4250)</f>
        <v>2584.43</v>
      </c>
      <c r="J4250" s="18" t="n">
        <v>1.36</v>
      </c>
      <c r="K4250" s="19" t="n">
        <v>10</v>
      </c>
      <c r="L4250" s="17" t="s">
        <v>44</v>
      </c>
    </row>
    <row r="4251" s="11" customFormat="true" ht="10.95" hidden="false" customHeight="true" outlineLevel="0" collapsed="false">
      <c r="A4251" s="16" t="n">
        <v>45122</v>
      </c>
      <c r="B4251" s="17" t="s">
        <v>2192</v>
      </c>
      <c r="C4251" s="17" t="s">
        <v>1593</v>
      </c>
      <c r="D4251" s="17" t="s">
        <v>1407</v>
      </c>
      <c r="E4251" s="17" t="s">
        <v>2217</v>
      </c>
      <c r="F4251" s="17"/>
      <c r="G4251" s="18" t="n">
        <v>19.87</v>
      </c>
      <c r="H4251" s="18" t="n">
        <v>0</v>
      </c>
      <c r="I4251" s="18" t="n">
        <f aca="false">((I4250 + G4251) - H4251)</f>
        <v>2604.3</v>
      </c>
      <c r="J4251" s="18" t="n">
        <v>0</v>
      </c>
      <c r="K4251" s="19" t="n">
        <v>0</v>
      </c>
      <c r="L4251" s="17" t="s">
        <v>1406</v>
      </c>
    </row>
    <row r="4252" s="11" customFormat="true" ht="10.95" hidden="false" customHeight="true" outlineLevel="0" collapsed="false">
      <c r="A4252" s="16" t="n">
        <v>45122</v>
      </c>
      <c r="B4252" s="17" t="s">
        <v>2192</v>
      </c>
      <c r="C4252" s="17" t="s">
        <v>1593</v>
      </c>
      <c r="D4252" s="17" t="s">
        <v>1407</v>
      </c>
      <c r="E4252" s="17" t="s">
        <v>2196</v>
      </c>
      <c r="F4252" s="17"/>
      <c r="G4252" s="18" t="n">
        <v>32.22</v>
      </c>
      <c r="H4252" s="18" t="n">
        <v>0</v>
      </c>
      <c r="I4252" s="18" t="n">
        <f aca="false">((I4251 + G4252) - H4252)</f>
        <v>2636.52</v>
      </c>
      <c r="J4252" s="18" t="n">
        <v>0</v>
      </c>
      <c r="K4252" s="19" t="n">
        <v>0</v>
      </c>
      <c r="L4252" s="17" t="s">
        <v>1406</v>
      </c>
    </row>
    <row r="4253" s="11" customFormat="true" ht="10.95" hidden="false" customHeight="true" outlineLevel="0" collapsed="false">
      <c r="A4253" s="16" t="n">
        <v>45124</v>
      </c>
      <c r="B4253" s="17" t="s">
        <v>2192</v>
      </c>
      <c r="C4253" s="17" t="s">
        <v>1593</v>
      </c>
      <c r="D4253" s="17" t="s">
        <v>1407</v>
      </c>
      <c r="E4253" s="17" t="s">
        <v>2196</v>
      </c>
      <c r="F4253" s="17"/>
      <c r="G4253" s="18" t="n">
        <v>4.85</v>
      </c>
      <c r="H4253" s="18" t="n">
        <v>0</v>
      </c>
      <c r="I4253" s="18" t="n">
        <f aca="false">((I4252 + G4253) - H4253)</f>
        <v>2641.37</v>
      </c>
      <c r="J4253" s="18" t="n">
        <v>0</v>
      </c>
      <c r="K4253" s="19" t="n">
        <v>0</v>
      </c>
      <c r="L4253" s="17" t="s">
        <v>1406</v>
      </c>
    </row>
    <row r="4254" s="11" customFormat="true" ht="10.95" hidden="false" customHeight="true" outlineLevel="0" collapsed="false">
      <c r="A4254" s="16" t="n">
        <v>45124</v>
      </c>
      <c r="B4254" s="17" t="s">
        <v>2192</v>
      </c>
      <c r="C4254" s="17" t="s">
        <v>1593</v>
      </c>
      <c r="D4254" s="17" t="s">
        <v>1407</v>
      </c>
      <c r="E4254" s="17" t="s">
        <v>2196</v>
      </c>
      <c r="F4254" s="17"/>
      <c r="G4254" s="18" t="n">
        <v>6.44</v>
      </c>
      <c r="H4254" s="18" t="n">
        <v>0</v>
      </c>
      <c r="I4254" s="18" t="n">
        <f aca="false">((I4253 + G4254) - H4254)</f>
        <v>2647.81</v>
      </c>
      <c r="J4254" s="18" t="n">
        <v>0</v>
      </c>
      <c r="K4254" s="19" t="n">
        <v>0</v>
      </c>
      <c r="L4254" s="17" t="s">
        <v>1406</v>
      </c>
    </row>
    <row r="4255" s="11" customFormat="true" ht="10.95" hidden="false" customHeight="true" outlineLevel="0" collapsed="false">
      <c r="A4255" s="16" t="n">
        <v>45124</v>
      </c>
      <c r="B4255" s="17" t="s">
        <v>2192</v>
      </c>
      <c r="C4255" s="17" t="s">
        <v>1593</v>
      </c>
      <c r="D4255" s="17" t="s">
        <v>1407</v>
      </c>
      <c r="E4255" s="17" t="s">
        <v>2196</v>
      </c>
      <c r="F4255" s="17"/>
      <c r="G4255" s="18" t="n">
        <v>4.85</v>
      </c>
      <c r="H4255" s="18" t="n">
        <v>0</v>
      </c>
      <c r="I4255" s="18" t="n">
        <f aca="false">((I4254 + G4255) - H4255)</f>
        <v>2652.66</v>
      </c>
      <c r="J4255" s="18" t="n">
        <v>0</v>
      </c>
      <c r="K4255" s="19" t="n">
        <v>0</v>
      </c>
      <c r="L4255" s="17" t="s">
        <v>1406</v>
      </c>
    </row>
    <row r="4256" s="11" customFormat="true" ht="10.95" hidden="false" customHeight="true" outlineLevel="0" collapsed="false">
      <c r="A4256" s="16" t="n">
        <v>45125</v>
      </c>
      <c r="B4256" s="17" t="s">
        <v>2192</v>
      </c>
      <c r="C4256" s="17" t="s">
        <v>1593</v>
      </c>
      <c r="D4256" s="17" t="s">
        <v>1391</v>
      </c>
      <c r="E4256" s="17" t="s">
        <v>2218</v>
      </c>
      <c r="F4256" s="17" t="s">
        <v>2219</v>
      </c>
      <c r="G4256" s="18" t="n">
        <v>62</v>
      </c>
      <c r="H4256" s="18" t="n">
        <v>0</v>
      </c>
      <c r="I4256" s="18" t="n">
        <f aca="false">((I4255 + G4256) - H4256)</f>
        <v>2714.66</v>
      </c>
      <c r="J4256" s="18" t="n">
        <v>6.2</v>
      </c>
      <c r="K4256" s="19" t="n">
        <v>10</v>
      </c>
      <c r="L4256" s="17" t="s">
        <v>44</v>
      </c>
    </row>
    <row r="4257" s="11" customFormat="true" ht="10.95" hidden="false" customHeight="true" outlineLevel="0" collapsed="false">
      <c r="A4257" s="16" t="n">
        <v>45125</v>
      </c>
      <c r="B4257" s="17" t="s">
        <v>2192</v>
      </c>
      <c r="C4257" s="17" t="s">
        <v>1593</v>
      </c>
      <c r="D4257" s="17" t="s">
        <v>1391</v>
      </c>
      <c r="E4257" s="17" t="s">
        <v>2220</v>
      </c>
      <c r="F4257" s="17" t="s">
        <v>2221</v>
      </c>
      <c r="G4257" s="18" t="n">
        <v>199.8</v>
      </c>
      <c r="H4257" s="18" t="n">
        <v>0</v>
      </c>
      <c r="I4257" s="18" t="n">
        <f aca="false">((I4256 + G4257) - H4257)</f>
        <v>2914.46</v>
      </c>
      <c r="J4257" s="18" t="n">
        <v>19.98</v>
      </c>
      <c r="K4257" s="19" t="n">
        <v>10</v>
      </c>
      <c r="L4257" s="17" t="s">
        <v>44</v>
      </c>
    </row>
    <row r="4258" s="11" customFormat="true" ht="10.95" hidden="false" customHeight="true" outlineLevel="0" collapsed="false">
      <c r="A4258" s="16" t="n">
        <v>45125</v>
      </c>
      <c r="B4258" s="17" t="s">
        <v>2192</v>
      </c>
      <c r="C4258" s="17" t="s">
        <v>1593</v>
      </c>
      <c r="D4258" s="17" t="s">
        <v>1391</v>
      </c>
      <c r="E4258" s="17" t="s">
        <v>2222</v>
      </c>
      <c r="F4258" s="17" t="s">
        <v>2223</v>
      </c>
      <c r="G4258" s="18" t="n">
        <v>41.2</v>
      </c>
      <c r="H4258" s="18" t="n">
        <v>0</v>
      </c>
      <c r="I4258" s="18" t="n">
        <f aca="false">((I4257 + G4258) - H4258)</f>
        <v>2955.66</v>
      </c>
      <c r="J4258" s="18" t="n">
        <v>4.12</v>
      </c>
      <c r="K4258" s="19" t="n">
        <v>10</v>
      </c>
      <c r="L4258" s="17" t="s">
        <v>44</v>
      </c>
    </row>
    <row r="4259" s="11" customFormat="true" ht="10.95" hidden="false" customHeight="true" outlineLevel="0" collapsed="false">
      <c r="A4259" s="16" t="n">
        <v>45125</v>
      </c>
      <c r="B4259" s="17" t="s">
        <v>2192</v>
      </c>
      <c r="C4259" s="17" t="s">
        <v>1593</v>
      </c>
      <c r="D4259" s="17" t="s">
        <v>1391</v>
      </c>
      <c r="E4259" s="17" t="s">
        <v>2224</v>
      </c>
      <c r="F4259" s="17" t="s">
        <v>2225</v>
      </c>
      <c r="G4259" s="18" t="n">
        <v>30.2</v>
      </c>
      <c r="H4259" s="18" t="n">
        <v>0</v>
      </c>
      <c r="I4259" s="18" t="n">
        <f aca="false">((I4258 + G4259) - H4259)</f>
        <v>2985.86</v>
      </c>
      <c r="J4259" s="18" t="n">
        <v>3.02</v>
      </c>
      <c r="K4259" s="19" t="n">
        <v>10</v>
      </c>
      <c r="L4259" s="17" t="s">
        <v>44</v>
      </c>
    </row>
    <row r="4260" s="11" customFormat="true" ht="10.95" hidden="false" customHeight="true" outlineLevel="0" collapsed="false">
      <c r="A4260" s="16" t="n">
        <v>45125</v>
      </c>
      <c r="B4260" s="17" t="s">
        <v>2192</v>
      </c>
      <c r="C4260" s="17" t="s">
        <v>1593</v>
      </c>
      <c r="D4260" s="17" t="s">
        <v>1391</v>
      </c>
      <c r="E4260" s="17" t="s">
        <v>2226</v>
      </c>
      <c r="F4260" s="17" t="s">
        <v>2227</v>
      </c>
      <c r="G4260" s="18" t="n">
        <v>69.6</v>
      </c>
      <c r="H4260" s="18" t="n">
        <v>0</v>
      </c>
      <c r="I4260" s="18" t="n">
        <f aca="false">((I4259 + G4260) - H4260)</f>
        <v>3055.46</v>
      </c>
      <c r="J4260" s="18" t="n">
        <v>6.96</v>
      </c>
      <c r="K4260" s="19" t="n">
        <v>10</v>
      </c>
      <c r="L4260" s="17" t="s">
        <v>44</v>
      </c>
    </row>
    <row r="4261" s="11" customFormat="true" ht="10.95" hidden="false" customHeight="true" outlineLevel="0" collapsed="false">
      <c r="A4261" s="16" t="n">
        <v>45125</v>
      </c>
      <c r="B4261" s="17" t="s">
        <v>2192</v>
      </c>
      <c r="C4261" s="17" t="s">
        <v>1593</v>
      </c>
      <c r="D4261" s="17" t="s">
        <v>1391</v>
      </c>
      <c r="E4261" s="17" t="s">
        <v>2228</v>
      </c>
      <c r="F4261" s="17" t="s">
        <v>2229</v>
      </c>
      <c r="G4261" s="18" t="n">
        <v>22</v>
      </c>
      <c r="H4261" s="18" t="n">
        <v>0</v>
      </c>
      <c r="I4261" s="18" t="n">
        <f aca="false">((I4260 + G4261) - H4261)</f>
        <v>3077.46</v>
      </c>
      <c r="J4261" s="18" t="n">
        <v>2.2</v>
      </c>
      <c r="K4261" s="19" t="n">
        <v>10</v>
      </c>
      <c r="L4261" s="17" t="s">
        <v>44</v>
      </c>
    </row>
    <row r="4262" s="11" customFormat="true" ht="10.95" hidden="false" customHeight="true" outlineLevel="0" collapsed="false">
      <c r="A4262" s="16" t="n">
        <v>45125</v>
      </c>
      <c r="B4262" s="17" t="s">
        <v>2192</v>
      </c>
      <c r="C4262" s="17" t="s">
        <v>1593</v>
      </c>
      <c r="D4262" s="17" t="s">
        <v>1391</v>
      </c>
      <c r="E4262" s="17" t="s">
        <v>2230</v>
      </c>
      <c r="F4262" s="17" t="s">
        <v>2231</v>
      </c>
      <c r="G4262" s="18" t="n">
        <v>8.2</v>
      </c>
      <c r="H4262" s="18" t="n">
        <v>0</v>
      </c>
      <c r="I4262" s="18" t="n">
        <f aca="false">((I4261 + G4262) - H4262)</f>
        <v>3085.66</v>
      </c>
      <c r="J4262" s="18" t="n">
        <v>0.82</v>
      </c>
      <c r="K4262" s="19" t="n">
        <v>10</v>
      </c>
      <c r="L4262" s="17" t="s">
        <v>44</v>
      </c>
    </row>
    <row r="4263" s="11" customFormat="true" ht="10.95" hidden="false" customHeight="true" outlineLevel="0" collapsed="false">
      <c r="A4263" s="16" t="n">
        <v>45125</v>
      </c>
      <c r="B4263" s="17" t="s">
        <v>2192</v>
      </c>
      <c r="C4263" s="17" t="s">
        <v>1593</v>
      </c>
      <c r="D4263" s="17" t="s">
        <v>1391</v>
      </c>
      <c r="E4263" s="17" t="s">
        <v>2232</v>
      </c>
      <c r="F4263" s="17" t="s">
        <v>2233</v>
      </c>
      <c r="G4263" s="18" t="n">
        <v>55</v>
      </c>
      <c r="H4263" s="18" t="n">
        <v>0</v>
      </c>
      <c r="I4263" s="18" t="n">
        <f aca="false">((I4262 + G4263) - H4263)</f>
        <v>3140.66</v>
      </c>
      <c r="J4263" s="18" t="n">
        <v>5.5</v>
      </c>
      <c r="K4263" s="19" t="n">
        <v>10</v>
      </c>
      <c r="L4263" s="17" t="s">
        <v>44</v>
      </c>
    </row>
    <row r="4264" s="11" customFormat="true" ht="10.95" hidden="false" customHeight="true" outlineLevel="0" collapsed="false">
      <c r="A4264" s="16" t="n">
        <v>45125</v>
      </c>
      <c r="B4264" s="17" t="s">
        <v>2192</v>
      </c>
      <c r="C4264" s="17" t="s">
        <v>1593</v>
      </c>
      <c r="D4264" s="17" t="s">
        <v>1407</v>
      </c>
      <c r="E4264" s="17" t="s">
        <v>2234</v>
      </c>
      <c r="F4264" s="17"/>
      <c r="G4264" s="18" t="n">
        <v>71.75</v>
      </c>
      <c r="H4264" s="18" t="n">
        <v>0</v>
      </c>
      <c r="I4264" s="18" t="n">
        <f aca="false">((I4263 + G4264) - H4264)</f>
        <v>3212.41</v>
      </c>
      <c r="J4264" s="18" t="n">
        <v>7.17</v>
      </c>
      <c r="K4264" s="19" t="n">
        <v>10</v>
      </c>
      <c r="L4264" s="17" t="s">
        <v>44</v>
      </c>
    </row>
    <row r="4265" s="11" customFormat="true" ht="10.95" hidden="false" customHeight="true" outlineLevel="0" collapsed="false">
      <c r="A4265" s="16" t="n">
        <v>45125</v>
      </c>
      <c r="B4265" s="17" t="s">
        <v>2192</v>
      </c>
      <c r="C4265" s="17" t="s">
        <v>1593</v>
      </c>
      <c r="D4265" s="17" t="s">
        <v>1407</v>
      </c>
      <c r="E4265" s="17" t="s">
        <v>2193</v>
      </c>
      <c r="F4265" s="17"/>
      <c r="G4265" s="18" t="n">
        <v>158.12</v>
      </c>
      <c r="H4265" s="18" t="n">
        <v>0</v>
      </c>
      <c r="I4265" s="18" t="n">
        <f aca="false">((I4264 + G4265) - H4265)</f>
        <v>3370.53</v>
      </c>
      <c r="J4265" s="18" t="n">
        <v>0</v>
      </c>
      <c r="K4265" s="19" t="n">
        <v>0</v>
      </c>
      <c r="L4265" s="17" t="s">
        <v>1406</v>
      </c>
    </row>
    <row r="4266" s="11" customFormat="true" ht="10.95" hidden="false" customHeight="true" outlineLevel="0" collapsed="false">
      <c r="A4266" s="16" t="n">
        <v>45125</v>
      </c>
      <c r="B4266" s="17" t="s">
        <v>2192</v>
      </c>
      <c r="C4266" s="17" t="s">
        <v>1593</v>
      </c>
      <c r="D4266" s="17" t="s">
        <v>1407</v>
      </c>
      <c r="E4266" s="17" t="s">
        <v>1580</v>
      </c>
      <c r="F4266" s="17"/>
      <c r="G4266" s="18" t="n">
        <v>247.73</v>
      </c>
      <c r="H4266" s="18" t="n">
        <v>0</v>
      </c>
      <c r="I4266" s="18" t="n">
        <f aca="false">((I4265 + G4266) - H4266)</f>
        <v>3618.26</v>
      </c>
      <c r="J4266" s="18" t="n">
        <v>24.77</v>
      </c>
      <c r="K4266" s="19" t="n">
        <v>10</v>
      </c>
      <c r="L4266" s="17" t="s">
        <v>44</v>
      </c>
    </row>
    <row r="4267" s="11" customFormat="true" ht="10.95" hidden="false" customHeight="true" outlineLevel="0" collapsed="false">
      <c r="A4267" s="16" t="n">
        <v>45125</v>
      </c>
      <c r="B4267" s="17" t="s">
        <v>2192</v>
      </c>
      <c r="C4267" s="17" t="s">
        <v>1593</v>
      </c>
      <c r="D4267" s="17" t="s">
        <v>1407</v>
      </c>
      <c r="E4267" s="17" t="s">
        <v>2235</v>
      </c>
      <c r="F4267" s="17"/>
      <c r="G4267" s="18" t="n">
        <v>47.19</v>
      </c>
      <c r="H4267" s="18" t="n">
        <v>0</v>
      </c>
      <c r="I4267" s="18" t="n">
        <f aca="false">((I4266 + G4267) - H4267)</f>
        <v>3665.45</v>
      </c>
      <c r="J4267" s="18" t="n">
        <v>4.72</v>
      </c>
      <c r="K4267" s="19" t="n">
        <v>10</v>
      </c>
      <c r="L4267" s="17" t="s">
        <v>44</v>
      </c>
    </row>
    <row r="4268" s="11" customFormat="true" ht="10.95" hidden="false" customHeight="true" outlineLevel="0" collapsed="false">
      <c r="A4268" s="16" t="n">
        <v>45126</v>
      </c>
      <c r="B4268" s="17" t="s">
        <v>2192</v>
      </c>
      <c r="C4268" s="17" t="s">
        <v>1593</v>
      </c>
      <c r="D4268" s="17" t="s">
        <v>1407</v>
      </c>
      <c r="E4268" s="17" t="s">
        <v>2196</v>
      </c>
      <c r="F4268" s="17"/>
      <c r="G4268" s="18" t="n">
        <v>18.19</v>
      </c>
      <c r="H4268" s="18" t="n">
        <v>0</v>
      </c>
      <c r="I4268" s="18" t="n">
        <f aca="false">((I4267 + G4268) - H4268)</f>
        <v>3683.64</v>
      </c>
      <c r="J4268" s="18" t="n">
        <v>0</v>
      </c>
      <c r="K4268" s="19" t="n">
        <v>0</v>
      </c>
      <c r="L4268" s="17" t="s">
        <v>1406</v>
      </c>
    </row>
    <row r="4269" s="11" customFormat="true" ht="10.95" hidden="false" customHeight="true" outlineLevel="0" collapsed="false">
      <c r="A4269" s="16" t="n">
        <v>45127</v>
      </c>
      <c r="B4269" s="17" t="s">
        <v>2192</v>
      </c>
      <c r="C4269" s="17" t="s">
        <v>1593</v>
      </c>
      <c r="D4269" s="17" t="s">
        <v>1407</v>
      </c>
      <c r="E4269" s="17" t="s">
        <v>2236</v>
      </c>
      <c r="F4269" s="17"/>
      <c r="G4269" s="18" t="n">
        <v>19.37</v>
      </c>
      <c r="H4269" s="18" t="n">
        <v>0</v>
      </c>
      <c r="I4269" s="18" t="n">
        <f aca="false">((I4268 + G4269) - H4269)</f>
        <v>3703.01</v>
      </c>
      <c r="J4269" s="18" t="n">
        <v>0</v>
      </c>
      <c r="K4269" s="19" t="n">
        <v>0</v>
      </c>
      <c r="L4269" s="17" t="s">
        <v>1406</v>
      </c>
    </row>
    <row r="4270" s="11" customFormat="true" ht="10.95" hidden="false" customHeight="true" outlineLevel="0" collapsed="false">
      <c r="A4270" s="16" t="n">
        <v>45128</v>
      </c>
      <c r="B4270" s="17" t="s">
        <v>2192</v>
      </c>
      <c r="C4270" s="17" t="s">
        <v>1593</v>
      </c>
      <c r="D4270" s="17" t="s">
        <v>1407</v>
      </c>
      <c r="E4270" s="17" t="s">
        <v>2196</v>
      </c>
      <c r="F4270" s="17"/>
      <c r="G4270" s="18" t="n">
        <v>53.1</v>
      </c>
      <c r="H4270" s="18" t="n">
        <v>0</v>
      </c>
      <c r="I4270" s="18" t="n">
        <f aca="false">((I4269 + G4270) - H4270)</f>
        <v>3756.11</v>
      </c>
      <c r="J4270" s="18" t="n">
        <v>0</v>
      </c>
      <c r="K4270" s="19" t="n">
        <v>0</v>
      </c>
      <c r="L4270" s="17" t="s">
        <v>1406</v>
      </c>
    </row>
    <row r="4271" s="11" customFormat="true" ht="10.95" hidden="false" customHeight="true" outlineLevel="0" collapsed="false">
      <c r="A4271" s="16" t="n">
        <v>45128</v>
      </c>
      <c r="B4271" s="17" t="s">
        <v>2192</v>
      </c>
      <c r="C4271" s="17" t="s">
        <v>1593</v>
      </c>
      <c r="D4271" s="17" t="s">
        <v>1407</v>
      </c>
      <c r="E4271" s="17" t="s">
        <v>2237</v>
      </c>
      <c r="F4271" s="17"/>
      <c r="G4271" s="18" t="n">
        <v>53.64</v>
      </c>
      <c r="H4271" s="18" t="n">
        <v>0</v>
      </c>
      <c r="I4271" s="18" t="n">
        <f aca="false">((I4270 + G4271) - H4271)</f>
        <v>3809.75</v>
      </c>
      <c r="J4271" s="18" t="n">
        <v>5.36</v>
      </c>
      <c r="K4271" s="19" t="n">
        <v>10</v>
      </c>
      <c r="L4271" s="17" t="s">
        <v>44</v>
      </c>
    </row>
    <row r="4272" s="11" customFormat="true" ht="10.95" hidden="false" customHeight="true" outlineLevel="0" collapsed="false">
      <c r="A4272" s="16" t="n">
        <v>45128</v>
      </c>
      <c r="B4272" s="17" t="s">
        <v>2192</v>
      </c>
      <c r="C4272" s="17" t="s">
        <v>1593</v>
      </c>
      <c r="D4272" s="17" t="s">
        <v>1407</v>
      </c>
      <c r="E4272" s="17" t="s">
        <v>2238</v>
      </c>
      <c r="F4272" s="17"/>
      <c r="G4272" s="18" t="n">
        <v>29.47</v>
      </c>
      <c r="H4272" s="18" t="n">
        <v>0</v>
      </c>
      <c r="I4272" s="18" t="n">
        <f aca="false">((I4271 + G4272) - H4272)</f>
        <v>3839.22</v>
      </c>
      <c r="J4272" s="18" t="n">
        <v>0</v>
      </c>
      <c r="K4272" s="19" t="n">
        <v>0</v>
      </c>
      <c r="L4272" s="17" t="s">
        <v>1406</v>
      </c>
    </row>
    <row r="4273" s="11" customFormat="true" ht="10.95" hidden="false" customHeight="true" outlineLevel="0" collapsed="false">
      <c r="A4273" s="16" t="n">
        <v>45128</v>
      </c>
      <c r="B4273" s="17" t="s">
        <v>2192</v>
      </c>
      <c r="C4273" s="17" t="s">
        <v>1593</v>
      </c>
      <c r="D4273" s="17" t="s">
        <v>1407</v>
      </c>
      <c r="E4273" s="17" t="s">
        <v>2235</v>
      </c>
      <c r="F4273" s="17"/>
      <c r="G4273" s="18" t="n">
        <v>46.48</v>
      </c>
      <c r="H4273" s="18" t="n">
        <v>0</v>
      </c>
      <c r="I4273" s="18" t="n">
        <f aca="false">((I4272 + G4273) - H4273)</f>
        <v>3885.7</v>
      </c>
      <c r="J4273" s="18" t="n">
        <v>0</v>
      </c>
      <c r="K4273" s="19" t="n">
        <v>0</v>
      </c>
      <c r="L4273" s="17" t="s">
        <v>1406</v>
      </c>
    </row>
    <row r="4274" s="11" customFormat="true" ht="10.95" hidden="false" customHeight="true" outlineLevel="0" collapsed="false">
      <c r="A4274" s="16" t="n">
        <v>45128</v>
      </c>
      <c r="B4274" s="17" t="s">
        <v>2192</v>
      </c>
      <c r="C4274" s="17" t="s">
        <v>1593</v>
      </c>
      <c r="D4274" s="17" t="s">
        <v>1407</v>
      </c>
      <c r="E4274" s="17" t="s">
        <v>2239</v>
      </c>
      <c r="F4274" s="17"/>
      <c r="G4274" s="18" t="n">
        <v>540</v>
      </c>
      <c r="H4274" s="18" t="n">
        <v>0</v>
      </c>
      <c r="I4274" s="18" t="n">
        <f aca="false">((I4273 + G4274) - H4274)</f>
        <v>4425.7</v>
      </c>
      <c r="J4274" s="18" t="n">
        <v>54</v>
      </c>
      <c r="K4274" s="19" t="n">
        <v>10</v>
      </c>
      <c r="L4274" s="17" t="s">
        <v>44</v>
      </c>
    </row>
    <row r="4275" s="11" customFormat="true" ht="10.95" hidden="false" customHeight="true" outlineLevel="0" collapsed="false">
      <c r="A4275" s="16" t="n">
        <v>45130</v>
      </c>
      <c r="B4275" s="17" t="s">
        <v>2192</v>
      </c>
      <c r="C4275" s="17" t="s">
        <v>1593</v>
      </c>
      <c r="D4275" s="17" t="s">
        <v>1407</v>
      </c>
      <c r="E4275" s="17" t="s">
        <v>2201</v>
      </c>
      <c r="F4275" s="17"/>
      <c r="G4275" s="18" t="n">
        <v>36.35</v>
      </c>
      <c r="H4275" s="18" t="n">
        <v>0</v>
      </c>
      <c r="I4275" s="18" t="n">
        <f aca="false">((I4274 + G4275) - H4275)</f>
        <v>4462.05</v>
      </c>
      <c r="J4275" s="18" t="n">
        <v>3.64</v>
      </c>
      <c r="K4275" s="19" t="n">
        <v>10</v>
      </c>
      <c r="L4275" s="17" t="s">
        <v>44</v>
      </c>
    </row>
    <row r="4276" s="11" customFormat="true" ht="10.95" hidden="false" customHeight="true" outlineLevel="0" collapsed="false">
      <c r="A4276" s="16" t="n">
        <v>45131</v>
      </c>
      <c r="B4276" s="17" t="s">
        <v>2192</v>
      </c>
      <c r="C4276" s="17" t="s">
        <v>1593</v>
      </c>
      <c r="D4276" s="17" t="s">
        <v>1407</v>
      </c>
      <c r="E4276" s="17" t="s">
        <v>2196</v>
      </c>
      <c r="F4276" s="17"/>
      <c r="G4276" s="18" t="n">
        <v>40.9</v>
      </c>
      <c r="H4276" s="18" t="n">
        <v>0</v>
      </c>
      <c r="I4276" s="18" t="n">
        <f aca="false">((I4275 + G4276) - H4276)</f>
        <v>4502.95</v>
      </c>
      <c r="J4276" s="18" t="n">
        <v>0</v>
      </c>
      <c r="K4276" s="19" t="n">
        <v>0</v>
      </c>
      <c r="L4276" s="17" t="s">
        <v>1406</v>
      </c>
    </row>
    <row r="4277" s="11" customFormat="true" ht="10.95" hidden="false" customHeight="true" outlineLevel="0" collapsed="false">
      <c r="A4277" s="16" t="n">
        <v>45131</v>
      </c>
      <c r="B4277" s="17" t="s">
        <v>2192</v>
      </c>
      <c r="C4277" s="17" t="s">
        <v>1593</v>
      </c>
      <c r="D4277" s="17" t="s">
        <v>1407</v>
      </c>
      <c r="E4277" s="17" t="s">
        <v>2196</v>
      </c>
      <c r="F4277" s="17"/>
      <c r="G4277" s="18" t="n">
        <v>26.18</v>
      </c>
      <c r="H4277" s="18" t="n">
        <v>0</v>
      </c>
      <c r="I4277" s="18" t="n">
        <f aca="false">((I4276 + G4277) - H4277)</f>
        <v>4529.13</v>
      </c>
      <c r="J4277" s="18" t="n">
        <v>0</v>
      </c>
      <c r="K4277" s="19" t="n">
        <v>0</v>
      </c>
      <c r="L4277" s="17" t="s">
        <v>1406</v>
      </c>
    </row>
    <row r="4278" s="11" customFormat="true" ht="10.95" hidden="false" customHeight="true" outlineLevel="0" collapsed="false">
      <c r="A4278" s="16" t="n">
        <v>45132</v>
      </c>
      <c r="B4278" s="17" t="s">
        <v>2192</v>
      </c>
      <c r="C4278" s="17" t="s">
        <v>1593</v>
      </c>
      <c r="D4278" s="17" t="s">
        <v>1407</v>
      </c>
      <c r="E4278" s="17" t="s">
        <v>2240</v>
      </c>
      <c r="F4278" s="17"/>
      <c r="G4278" s="18" t="n">
        <v>20.9</v>
      </c>
      <c r="H4278" s="18" t="n">
        <v>0</v>
      </c>
      <c r="I4278" s="18" t="n">
        <f aca="false">((I4277 + G4278) - H4278)</f>
        <v>4550.03</v>
      </c>
      <c r="J4278" s="18" t="n">
        <v>2.09</v>
      </c>
      <c r="K4278" s="19" t="n">
        <v>10</v>
      </c>
      <c r="L4278" s="17" t="s">
        <v>44</v>
      </c>
    </row>
    <row r="4279" s="11" customFormat="true" ht="10.95" hidden="false" customHeight="true" outlineLevel="0" collapsed="false">
      <c r="A4279" s="16" t="n">
        <v>45132</v>
      </c>
      <c r="B4279" s="17" t="s">
        <v>2192</v>
      </c>
      <c r="C4279" s="17" t="s">
        <v>1593</v>
      </c>
      <c r="D4279" s="17" t="s">
        <v>1407</v>
      </c>
      <c r="E4279" s="17" t="s">
        <v>2241</v>
      </c>
      <c r="F4279" s="17"/>
      <c r="G4279" s="18" t="n">
        <v>32.78</v>
      </c>
      <c r="H4279" s="18" t="n">
        <v>0</v>
      </c>
      <c r="I4279" s="18" t="n">
        <f aca="false">((I4278 + G4279) - H4279)</f>
        <v>4582.81</v>
      </c>
      <c r="J4279" s="18" t="n">
        <v>0</v>
      </c>
      <c r="K4279" s="19" t="n">
        <v>0</v>
      </c>
      <c r="L4279" s="17" t="s">
        <v>1406</v>
      </c>
    </row>
    <row r="4280" s="11" customFormat="true" ht="10.95" hidden="false" customHeight="true" outlineLevel="0" collapsed="false">
      <c r="A4280" s="16" t="n">
        <v>45132</v>
      </c>
      <c r="B4280" s="17" t="s">
        <v>2192</v>
      </c>
      <c r="C4280" s="17" t="s">
        <v>1593</v>
      </c>
      <c r="D4280" s="17" t="s">
        <v>1407</v>
      </c>
      <c r="E4280" s="17" t="s">
        <v>2242</v>
      </c>
      <c r="F4280" s="17"/>
      <c r="G4280" s="18" t="n">
        <v>43.64</v>
      </c>
      <c r="H4280" s="18" t="n">
        <v>0</v>
      </c>
      <c r="I4280" s="18" t="n">
        <f aca="false">((I4279 + G4280) - H4280)</f>
        <v>4626.45</v>
      </c>
      <c r="J4280" s="18" t="n">
        <v>4.36</v>
      </c>
      <c r="K4280" s="19" t="n">
        <v>10</v>
      </c>
      <c r="L4280" s="17" t="s">
        <v>44</v>
      </c>
    </row>
    <row r="4281" s="11" customFormat="true" ht="10.95" hidden="false" customHeight="true" outlineLevel="0" collapsed="false">
      <c r="A4281" s="16" t="n">
        <v>45132</v>
      </c>
      <c r="B4281" s="17" t="s">
        <v>2192</v>
      </c>
      <c r="C4281" s="17" t="s">
        <v>1593</v>
      </c>
      <c r="D4281" s="17" t="s">
        <v>1407</v>
      </c>
      <c r="E4281" s="17" t="s">
        <v>2208</v>
      </c>
      <c r="F4281" s="17"/>
      <c r="G4281" s="18" t="n">
        <v>86</v>
      </c>
      <c r="H4281" s="18" t="n">
        <v>0</v>
      </c>
      <c r="I4281" s="18" t="n">
        <f aca="false">((I4280 + G4281) - H4281)</f>
        <v>4712.45</v>
      </c>
      <c r="J4281" s="18" t="n">
        <v>8.6</v>
      </c>
      <c r="K4281" s="19" t="n">
        <v>10</v>
      </c>
      <c r="L4281" s="17" t="s">
        <v>44</v>
      </c>
    </row>
    <row r="4282" s="11" customFormat="true" ht="10.95" hidden="false" customHeight="true" outlineLevel="0" collapsed="false">
      <c r="A4282" s="16" t="n">
        <v>45132</v>
      </c>
      <c r="B4282" s="17" t="s">
        <v>2192</v>
      </c>
      <c r="C4282" s="17" t="s">
        <v>1593</v>
      </c>
      <c r="D4282" s="17" t="s">
        <v>1407</v>
      </c>
      <c r="E4282" s="17" t="s">
        <v>2196</v>
      </c>
      <c r="F4282" s="17"/>
      <c r="G4282" s="18" t="n">
        <v>81.36</v>
      </c>
      <c r="H4282" s="18" t="n">
        <v>0</v>
      </c>
      <c r="I4282" s="18" t="n">
        <f aca="false">((I4281 + G4282) - H4282)</f>
        <v>4793.81</v>
      </c>
      <c r="J4282" s="18" t="n">
        <v>0</v>
      </c>
      <c r="K4282" s="19" t="n">
        <v>0</v>
      </c>
      <c r="L4282" s="17" t="s">
        <v>1406</v>
      </c>
    </row>
    <row r="4283" s="11" customFormat="true" ht="10.95" hidden="false" customHeight="true" outlineLevel="0" collapsed="false">
      <c r="A4283" s="16" t="n">
        <v>45132</v>
      </c>
      <c r="B4283" s="17" t="s">
        <v>2192</v>
      </c>
      <c r="C4283" s="17" t="s">
        <v>1593</v>
      </c>
      <c r="D4283" s="17" t="s">
        <v>1407</v>
      </c>
      <c r="E4283" s="17" t="s">
        <v>2243</v>
      </c>
      <c r="F4283" s="17"/>
      <c r="G4283" s="18" t="n">
        <v>11.84</v>
      </c>
      <c r="H4283" s="18" t="n">
        <v>0</v>
      </c>
      <c r="I4283" s="18" t="n">
        <f aca="false">((I4282 + G4283) - H4283)</f>
        <v>4805.65</v>
      </c>
      <c r="J4283" s="18" t="n">
        <v>0</v>
      </c>
      <c r="K4283" s="19" t="n">
        <v>0</v>
      </c>
      <c r="L4283" s="17" t="s">
        <v>1406</v>
      </c>
    </row>
    <row r="4284" s="11" customFormat="true" ht="10.95" hidden="false" customHeight="true" outlineLevel="0" collapsed="false">
      <c r="A4284" s="16" t="n">
        <v>45132</v>
      </c>
      <c r="B4284" s="17" t="s">
        <v>2192</v>
      </c>
      <c r="C4284" s="17" t="s">
        <v>1593</v>
      </c>
      <c r="D4284" s="17" t="s">
        <v>1407</v>
      </c>
      <c r="E4284" s="17" t="s">
        <v>2244</v>
      </c>
      <c r="F4284" s="17"/>
      <c r="G4284" s="18" t="n">
        <v>127.26</v>
      </c>
      <c r="H4284" s="18" t="n">
        <v>0</v>
      </c>
      <c r="I4284" s="18" t="n">
        <f aca="false">((I4283 + G4284) - H4284)</f>
        <v>4932.91</v>
      </c>
      <c r="J4284" s="18" t="n">
        <v>12.73</v>
      </c>
      <c r="K4284" s="19" t="n">
        <v>10</v>
      </c>
      <c r="L4284" s="17" t="s">
        <v>44</v>
      </c>
    </row>
    <row r="4285" s="11" customFormat="true" ht="10.95" hidden="false" customHeight="true" outlineLevel="0" collapsed="false">
      <c r="A4285" s="16" t="n">
        <v>45132</v>
      </c>
      <c r="B4285" s="17" t="s">
        <v>2192</v>
      </c>
      <c r="C4285" s="17" t="s">
        <v>1593</v>
      </c>
      <c r="D4285" s="17" t="s">
        <v>1407</v>
      </c>
      <c r="E4285" s="17" t="s">
        <v>2245</v>
      </c>
      <c r="F4285" s="17"/>
      <c r="G4285" s="18" t="n">
        <v>88.18</v>
      </c>
      <c r="H4285" s="18" t="n">
        <v>0</v>
      </c>
      <c r="I4285" s="18" t="n">
        <f aca="false">((I4284 + G4285) - H4285)</f>
        <v>5021.09</v>
      </c>
      <c r="J4285" s="18" t="n">
        <v>8.82</v>
      </c>
      <c r="K4285" s="19" t="n">
        <v>10</v>
      </c>
      <c r="L4285" s="17" t="s">
        <v>44</v>
      </c>
    </row>
    <row r="4286" s="11" customFormat="true" ht="10.95" hidden="false" customHeight="true" outlineLevel="0" collapsed="false">
      <c r="A4286" s="16" t="n">
        <v>45132</v>
      </c>
      <c r="B4286" s="17" t="s">
        <v>2192</v>
      </c>
      <c r="C4286" s="17" t="s">
        <v>1593</v>
      </c>
      <c r="D4286" s="17" t="s">
        <v>1407</v>
      </c>
      <c r="E4286" s="17" t="s">
        <v>1551</v>
      </c>
      <c r="F4286" s="17"/>
      <c r="G4286" s="18" t="n">
        <v>252.97</v>
      </c>
      <c r="H4286" s="18" t="n">
        <v>0</v>
      </c>
      <c r="I4286" s="18" t="n">
        <f aca="false">((I4285 + G4286) - H4286)</f>
        <v>5274.06</v>
      </c>
      <c r="J4286" s="18" t="n">
        <v>25.3</v>
      </c>
      <c r="K4286" s="19" t="n">
        <v>10</v>
      </c>
      <c r="L4286" s="17" t="s">
        <v>44</v>
      </c>
    </row>
    <row r="4287" s="11" customFormat="true" ht="10.95" hidden="false" customHeight="true" outlineLevel="0" collapsed="false">
      <c r="A4287" s="16" t="n">
        <v>45133</v>
      </c>
      <c r="B4287" s="17" t="s">
        <v>2192</v>
      </c>
      <c r="C4287" s="17" t="s">
        <v>1593</v>
      </c>
      <c r="D4287" s="17" t="s">
        <v>1407</v>
      </c>
      <c r="E4287" s="17" t="s">
        <v>2243</v>
      </c>
      <c r="F4287" s="17"/>
      <c r="G4287" s="18" t="n">
        <v>11.89</v>
      </c>
      <c r="H4287" s="18" t="n">
        <v>0</v>
      </c>
      <c r="I4287" s="18" t="n">
        <f aca="false">((I4286 + G4287) - H4287)</f>
        <v>5285.95</v>
      </c>
      <c r="J4287" s="18" t="n">
        <v>0</v>
      </c>
      <c r="K4287" s="19" t="n">
        <v>0</v>
      </c>
      <c r="L4287" s="17" t="s">
        <v>1406</v>
      </c>
    </row>
    <row r="4288" s="11" customFormat="true" ht="10.95" hidden="false" customHeight="true" outlineLevel="0" collapsed="false">
      <c r="A4288" s="16" t="n">
        <v>45134</v>
      </c>
      <c r="B4288" s="17" t="s">
        <v>2192</v>
      </c>
      <c r="C4288" s="17" t="s">
        <v>1593</v>
      </c>
      <c r="D4288" s="17" t="s">
        <v>1407</v>
      </c>
      <c r="E4288" s="17" t="s">
        <v>2246</v>
      </c>
      <c r="F4288" s="17"/>
      <c r="G4288" s="18" t="n">
        <v>84.49</v>
      </c>
      <c r="H4288" s="18" t="n">
        <v>0</v>
      </c>
      <c r="I4288" s="18" t="n">
        <f aca="false">((I4287 + G4288) - H4288)</f>
        <v>5370.44</v>
      </c>
      <c r="J4288" s="18" t="n">
        <v>8.45</v>
      </c>
      <c r="K4288" s="19" t="n">
        <v>10</v>
      </c>
      <c r="L4288" s="17" t="s">
        <v>44</v>
      </c>
    </row>
    <row r="4289" s="11" customFormat="true" ht="10.95" hidden="false" customHeight="true" outlineLevel="0" collapsed="false">
      <c r="A4289" s="16" t="n">
        <v>45134</v>
      </c>
      <c r="B4289" s="17" t="s">
        <v>2192</v>
      </c>
      <c r="C4289" s="17" t="s">
        <v>1593</v>
      </c>
      <c r="D4289" s="17" t="s">
        <v>1391</v>
      </c>
      <c r="E4289" s="17" t="s">
        <v>2247</v>
      </c>
      <c r="F4289" s="17" t="s">
        <v>2248</v>
      </c>
      <c r="G4289" s="18" t="n">
        <v>554.55</v>
      </c>
      <c r="H4289" s="18" t="n">
        <v>0</v>
      </c>
      <c r="I4289" s="18" t="n">
        <f aca="false">((I4288 + G4289) - H4289)</f>
        <v>5924.99</v>
      </c>
      <c r="J4289" s="18" t="n">
        <v>55.45</v>
      </c>
      <c r="K4289" s="19" t="n">
        <v>10</v>
      </c>
      <c r="L4289" s="17" t="s">
        <v>44</v>
      </c>
    </row>
    <row r="4290" s="11" customFormat="true" ht="10.95" hidden="false" customHeight="true" outlineLevel="0" collapsed="false">
      <c r="A4290" s="16" t="n">
        <v>45135</v>
      </c>
      <c r="B4290" s="17" t="s">
        <v>2192</v>
      </c>
      <c r="C4290" s="17" t="s">
        <v>1593</v>
      </c>
      <c r="D4290" s="17" t="s">
        <v>1407</v>
      </c>
      <c r="E4290" s="17" t="s">
        <v>2208</v>
      </c>
      <c r="F4290" s="17"/>
      <c r="G4290" s="18" t="n">
        <v>36.2</v>
      </c>
      <c r="H4290" s="18" t="n">
        <v>0</v>
      </c>
      <c r="I4290" s="18" t="n">
        <f aca="false">((I4289 + G4290) - H4290)</f>
        <v>5961.19</v>
      </c>
      <c r="J4290" s="18" t="n">
        <v>3.62</v>
      </c>
      <c r="K4290" s="19" t="n">
        <v>10</v>
      </c>
      <c r="L4290" s="17" t="s">
        <v>44</v>
      </c>
    </row>
    <row r="4291" s="11" customFormat="true" ht="10.95" hidden="false" customHeight="true" outlineLevel="0" collapsed="false">
      <c r="A4291" s="16" t="n">
        <v>45135</v>
      </c>
      <c r="B4291" s="17" t="s">
        <v>2192</v>
      </c>
      <c r="C4291" s="17" t="s">
        <v>1593</v>
      </c>
      <c r="D4291" s="17" t="s">
        <v>1407</v>
      </c>
      <c r="E4291" s="17" t="s">
        <v>2249</v>
      </c>
      <c r="F4291" s="17"/>
      <c r="G4291" s="18" t="n">
        <v>153.73</v>
      </c>
      <c r="H4291" s="18" t="n">
        <v>0</v>
      </c>
      <c r="I4291" s="18" t="n">
        <f aca="false">((I4290 + G4291) - H4291)</f>
        <v>6114.92</v>
      </c>
      <c r="J4291" s="18" t="n">
        <v>15.37</v>
      </c>
      <c r="K4291" s="19" t="n">
        <v>10</v>
      </c>
      <c r="L4291" s="17" t="s">
        <v>44</v>
      </c>
    </row>
    <row r="4292" s="11" customFormat="true" ht="10.95" hidden="false" customHeight="true" outlineLevel="0" collapsed="false">
      <c r="A4292" s="16" t="n">
        <v>45136</v>
      </c>
      <c r="B4292" s="17" t="s">
        <v>2192</v>
      </c>
      <c r="C4292" s="17" t="s">
        <v>1593</v>
      </c>
      <c r="D4292" s="17" t="s">
        <v>1407</v>
      </c>
      <c r="E4292" s="17" t="s">
        <v>2250</v>
      </c>
      <c r="F4292" s="17"/>
      <c r="G4292" s="18" t="n">
        <v>230.72</v>
      </c>
      <c r="H4292" s="18" t="n">
        <v>0</v>
      </c>
      <c r="I4292" s="18" t="n">
        <f aca="false">((I4291 + G4292) - H4292)</f>
        <v>6345.64</v>
      </c>
      <c r="J4292" s="18" t="n">
        <v>0</v>
      </c>
      <c r="K4292" s="19" t="n">
        <v>0</v>
      </c>
      <c r="L4292" s="17" t="s">
        <v>1406</v>
      </c>
    </row>
    <row r="4293" s="11" customFormat="true" ht="10.95" hidden="false" customHeight="true" outlineLevel="0" collapsed="false">
      <c r="A4293" s="16" t="n">
        <v>45138</v>
      </c>
      <c r="B4293" s="17" t="s">
        <v>2192</v>
      </c>
      <c r="C4293" s="17" t="s">
        <v>1593</v>
      </c>
      <c r="D4293" s="17" t="s">
        <v>1407</v>
      </c>
      <c r="E4293" s="17" t="s">
        <v>2196</v>
      </c>
      <c r="F4293" s="17"/>
      <c r="G4293" s="18" t="n">
        <v>16.4</v>
      </c>
      <c r="H4293" s="18" t="n">
        <v>0</v>
      </c>
      <c r="I4293" s="18" t="n">
        <f aca="false">((I4292 + G4293) - H4293)</f>
        <v>6362.04</v>
      </c>
      <c r="J4293" s="18" t="n">
        <v>0</v>
      </c>
      <c r="K4293" s="19" t="n">
        <v>0</v>
      </c>
      <c r="L4293" s="17" t="s">
        <v>1406</v>
      </c>
    </row>
    <row r="4294" s="11" customFormat="true" ht="10.95" hidden="false" customHeight="true" outlineLevel="0" collapsed="false">
      <c r="A4294" s="16" t="n">
        <v>45139</v>
      </c>
      <c r="B4294" s="17" t="s">
        <v>2192</v>
      </c>
      <c r="C4294" s="17" t="s">
        <v>1593</v>
      </c>
      <c r="D4294" s="17" t="s">
        <v>1407</v>
      </c>
      <c r="E4294" s="17" t="s">
        <v>2196</v>
      </c>
      <c r="F4294" s="17"/>
      <c r="G4294" s="18" t="n">
        <v>21.96</v>
      </c>
      <c r="H4294" s="18" t="n">
        <v>0</v>
      </c>
      <c r="I4294" s="18" t="n">
        <f aca="false">((I4293 + G4294) - H4294)</f>
        <v>6384</v>
      </c>
      <c r="J4294" s="18" t="n">
        <v>0</v>
      </c>
      <c r="K4294" s="19" t="n">
        <v>0</v>
      </c>
      <c r="L4294" s="17" t="s">
        <v>1406</v>
      </c>
    </row>
    <row r="4295" s="11" customFormat="true" ht="10.95" hidden="false" customHeight="true" outlineLevel="0" collapsed="false">
      <c r="A4295" s="16" t="n">
        <v>45139</v>
      </c>
      <c r="B4295" s="17" t="s">
        <v>2192</v>
      </c>
      <c r="C4295" s="17" t="s">
        <v>1593</v>
      </c>
      <c r="D4295" s="17" t="s">
        <v>1407</v>
      </c>
      <c r="E4295" s="17" t="s">
        <v>2196</v>
      </c>
      <c r="F4295" s="17"/>
      <c r="G4295" s="18" t="n">
        <v>21.68</v>
      </c>
      <c r="H4295" s="18" t="n">
        <v>0</v>
      </c>
      <c r="I4295" s="18" t="n">
        <f aca="false">((I4294 + G4295) - H4295)</f>
        <v>6405.68</v>
      </c>
      <c r="J4295" s="18" t="n">
        <v>0</v>
      </c>
      <c r="K4295" s="19" t="n">
        <v>0</v>
      </c>
      <c r="L4295" s="17" t="s">
        <v>1406</v>
      </c>
    </row>
    <row r="4296" s="11" customFormat="true" ht="10.95" hidden="false" customHeight="true" outlineLevel="0" collapsed="false">
      <c r="A4296" s="16" t="n">
        <v>45139</v>
      </c>
      <c r="B4296" s="17" t="s">
        <v>2192</v>
      </c>
      <c r="C4296" s="17" t="s">
        <v>1593</v>
      </c>
      <c r="D4296" s="17" t="s">
        <v>1407</v>
      </c>
      <c r="E4296" s="17" t="s">
        <v>2193</v>
      </c>
      <c r="F4296" s="17"/>
      <c r="G4296" s="18" t="n">
        <v>339.63</v>
      </c>
      <c r="H4296" s="18" t="n">
        <v>0</v>
      </c>
      <c r="I4296" s="18" t="n">
        <f aca="false">((I4295 + G4296) - H4296)</f>
        <v>6745.31</v>
      </c>
      <c r="J4296" s="18" t="n">
        <v>0</v>
      </c>
      <c r="K4296" s="19" t="n">
        <v>0</v>
      </c>
      <c r="L4296" s="17" t="s">
        <v>1406</v>
      </c>
    </row>
    <row r="4297" s="11" customFormat="true" ht="10.95" hidden="false" customHeight="true" outlineLevel="0" collapsed="false">
      <c r="A4297" s="16" t="n">
        <v>45139</v>
      </c>
      <c r="B4297" s="17" t="s">
        <v>2192</v>
      </c>
      <c r="C4297" s="17" t="s">
        <v>1593</v>
      </c>
      <c r="D4297" s="17" t="s">
        <v>1407</v>
      </c>
      <c r="E4297" s="17" t="s">
        <v>2251</v>
      </c>
      <c r="F4297" s="17"/>
      <c r="G4297" s="18" t="n">
        <v>75</v>
      </c>
      <c r="H4297" s="18" t="n">
        <v>0</v>
      </c>
      <c r="I4297" s="18" t="n">
        <f aca="false">((I4296 + G4297) - H4297)</f>
        <v>6820.31</v>
      </c>
      <c r="J4297" s="18" t="n">
        <v>7.5</v>
      </c>
      <c r="K4297" s="19" t="n">
        <v>10</v>
      </c>
      <c r="L4297" s="17" t="s">
        <v>44</v>
      </c>
    </row>
    <row r="4298" s="11" customFormat="true" ht="10.95" hidden="false" customHeight="true" outlineLevel="0" collapsed="false">
      <c r="A4298" s="16" t="n">
        <v>45139</v>
      </c>
      <c r="B4298" s="17" t="s">
        <v>2192</v>
      </c>
      <c r="C4298" s="17" t="s">
        <v>1593</v>
      </c>
      <c r="D4298" s="17" t="s">
        <v>1407</v>
      </c>
      <c r="E4298" s="17" t="s">
        <v>2252</v>
      </c>
      <c r="F4298" s="17"/>
      <c r="G4298" s="18" t="n">
        <v>76.29</v>
      </c>
      <c r="H4298" s="18" t="n">
        <v>0</v>
      </c>
      <c r="I4298" s="18" t="n">
        <f aca="false">((I4297 + G4298) - H4298)</f>
        <v>6896.6</v>
      </c>
      <c r="J4298" s="18" t="n">
        <v>0</v>
      </c>
      <c r="K4298" s="19" t="n">
        <v>0</v>
      </c>
      <c r="L4298" s="17" t="s">
        <v>1406</v>
      </c>
    </row>
    <row r="4299" s="11" customFormat="true" ht="10.95" hidden="false" customHeight="true" outlineLevel="0" collapsed="false">
      <c r="A4299" s="16" t="n">
        <v>45139</v>
      </c>
      <c r="B4299" s="17" t="s">
        <v>2192</v>
      </c>
      <c r="C4299" s="17" t="s">
        <v>1593</v>
      </c>
      <c r="D4299" s="17" t="s">
        <v>1391</v>
      </c>
      <c r="E4299" s="17" t="s">
        <v>2253</v>
      </c>
      <c r="F4299" s="17" t="s">
        <v>2254</v>
      </c>
      <c r="G4299" s="18" t="n">
        <v>248</v>
      </c>
      <c r="H4299" s="18" t="n">
        <v>0</v>
      </c>
      <c r="I4299" s="18" t="n">
        <f aca="false">((I4298 + G4299) - H4299)</f>
        <v>7144.6</v>
      </c>
      <c r="J4299" s="18" t="n">
        <v>0</v>
      </c>
      <c r="K4299" s="19" t="n">
        <v>0</v>
      </c>
      <c r="L4299" s="17" t="s">
        <v>1406</v>
      </c>
    </row>
    <row r="4300" s="11" customFormat="true" ht="10.95" hidden="false" customHeight="true" outlineLevel="0" collapsed="false">
      <c r="A4300" s="16" t="n">
        <v>45139</v>
      </c>
      <c r="B4300" s="17" t="s">
        <v>2192</v>
      </c>
      <c r="C4300" s="17" t="s">
        <v>1593</v>
      </c>
      <c r="D4300" s="17" t="s">
        <v>1391</v>
      </c>
      <c r="E4300" s="17" t="s">
        <v>2255</v>
      </c>
      <c r="F4300" s="17" t="s">
        <v>2256</v>
      </c>
      <c r="G4300" s="18" t="n">
        <v>152.15</v>
      </c>
      <c r="H4300" s="18" t="n">
        <v>0</v>
      </c>
      <c r="I4300" s="18" t="n">
        <f aca="false">((I4299 + G4300) - H4300)</f>
        <v>7296.75</v>
      </c>
      <c r="J4300" s="18" t="n">
        <v>0</v>
      </c>
      <c r="K4300" s="19" t="n">
        <v>0</v>
      </c>
      <c r="L4300" s="17" t="s">
        <v>1406</v>
      </c>
    </row>
    <row r="4301" s="11" customFormat="true" ht="10.95" hidden="false" customHeight="true" outlineLevel="0" collapsed="false">
      <c r="A4301" s="16" t="n">
        <v>45140</v>
      </c>
      <c r="B4301" s="17" t="s">
        <v>2192</v>
      </c>
      <c r="C4301" s="17" t="s">
        <v>1593</v>
      </c>
      <c r="D4301" s="17" t="s">
        <v>1391</v>
      </c>
      <c r="E4301" s="17" t="s">
        <v>2257</v>
      </c>
      <c r="F4301" s="17" t="s">
        <v>2258</v>
      </c>
      <c r="G4301" s="18" t="n">
        <v>18.14</v>
      </c>
      <c r="H4301" s="18" t="n">
        <v>0</v>
      </c>
      <c r="I4301" s="18" t="n">
        <f aca="false">((I4300 + G4301) - H4301)</f>
        <v>7314.89</v>
      </c>
      <c r="J4301" s="18" t="n">
        <v>1.81</v>
      </c>
      <c r="K4301" s="19" t="n">
        <v>10</v>
      </c>
      <c r="L4301" s="17" t="s">
        <v>44</v>
      </c>
    </row>
    <row r="4302" s="11" customFormat="true" ht="10.95" hidden="false" customHeight="true" outlineLevel="0" collapsed="false">
      <c r="A4302" s="16" t="n">
        <v>45140</v>
      </c>
      <c r="B4302" s="17" t="s">
        <v>2192</v>
      </c>
      <c r="C4302" s="17" t="s">
        <v>1593</v>
      </c>
      <c r="D4302" s="17" t="s">
        <v>1407</v>
      </c>
      <c r="E4302" s="17" t="s">
        <v>2201</v>
      </c>
      <c r="F4302" s="17"/>
      <c r="G4302" s="18" t="n">
        <v>36.35</v>
      </c>
      <c r="H4302" s="18" t="n">
        <v>0</v>
      </c>
      <c r="I4302" s="18" t="n">
        <f aca="false">((I4301 + G4302) - H4302)</f>
        <v>7351.24</v>
      </c>
      <c r="J4302" s="18" t="n">
        <v>3.64</v>
      </c>
      <c r="K4302" s="19" t="n">
        <v>10</v>
      </c>
      <c r="L4302" s="17" t="s">
        <v>44</v>
      </c>
    </row>
    <row r="4303" s="11" customFormat="true" ht="10.95" hidden="false" customHeight="true" outlineLevel="0" collapsed="false">
      <c r="A4303" s="16" t="n">
        <v>45142</v>
      </c>
      <c r="B4303" s="17" t="s">
        <v>2192</v>
      </c>
      <c r="C4303" s="17" t="s">
        <v>1593</v>
      </c>
      <c r="D4303" s="17" t="s">
        <v>1407</v>
      </c>
      <c r="E4303" s="17" t="s">
        <v>2259</v>
      </c>
      <c r="F4303" s="17"/>
      <c r="G4303" s="18" t="n">
        <v>128.02</v>
      </c>
      <c r="H4303" s="18" t="n">
        <v>0</v>
      </c>
      <c r="I4303" s="18" t="n">
        <f aca="false">((I4302 + G4303) - H4303)</f>
        <v>7479.26</v>
      </c>
      <c r="J4303" s="18" t="n">
        <v>0</v>
      </c>
      <c r="K4303" s="19" t="n">
        <v>0</v>
      </c>
      <c r="L4303" s="17" t="s">
        <v>1406</v>
      </c>
    </row>
    <row r="4304" s="11" customFormat="true" ht="10.95" hidden="false" customHeight="true" outlineLevel="0" collapsed="false">
      <c r="A4304" s="16" t="n">
        <v>45142</v>
      </c>
      <c r="B4304" s="17" t="s">
        <v>2192</v>
      </c>
      <c r="C4304" s="17" t="s">
        <v>1593</v>
      </c>
      <c r="D4304" s="17" t="s">
        <v>1407</v>
      </c>
      <c r="E4304" s="17" t="s">
        <v>2211</v>
      </c>
      <c r="F4304" s="17"/>
      <c r="G4304" s="18" t="n">
        <v>237.99</v>
      </c>
      <c r="H4304" s="18" t="n">
        <v>0</v>
      </c>
      <c r="I4304" s="18" t="n">
        <f aca="false">((I4303 + G4304) - H4304)</f>
        <v>7717.25</v>
      </c>
      <c r="J4304" s="18" t="n">
        <v>0</v>
      </c>
      <c r="K4304" s="19" t="n">
        <v>0</v>
      </c>
      <c r="L4304" s="17" t="s">
        <v>1406</v>
      </c>
    </row>
    <row r="4305" s="11" customFormat="true" ht="10.95" hidden="false" customHeight="true" outlineLevel="0" collapsed="false">
      <c r="A4305" s="16" t="n">
        <v>45143</v>
      </c>
      <c r="B4305" s="17" t="s">
        <v>2192</v>
      </c>
      <c r="C4305" s="17" t="s">
        <v>1593</v>
      </c>
      <c r="D4305" s="17" t="s">
        <v>1407</v>
      </c>
      <c r="E4305" s="17" t="s">
        <v>2260</v>
      </c>
      <c r="F4305" s="17"/>
      <c r="G4305" s="18" t="n">
        <v>19.19</v>
      </c>
      <c r="H4305" s="18" t="n">
        <v>0</v>
      </c>
      <c r="I4305" s="18" t="n">
        <f aca="false">((I4304 + G4305) - H4305)</f>
        <v>7736.44</v>
      </c>
      <c r="J4305" s="18" t="n">
        <v>0</v>
      </c>
      <c r="K4305" s="19" t="n">
        <v>0</v>
      </c>
      <c r="L4305" s="17" t="s">
        <v>1406</v>
      </c>
    </row>
    <row r="4306" s="11" customFormat="true" ht="10.95" hidden="false" customHeight="true" outlineLevel="0" collapsed="false">
      <c r="A4306" s="16" t="n">
        <v>45143</v>
      </c>
      <c r="B4306" s="17" t="s">
        <v>2192</v>
      </c>
      <c r="C4306" s="17" t="s">
        <v>1593</v>
      </c>
      <c r="D4306" s="17" t="s">
        <v>1407</v>
      </c>
      <c r="E4306" s="17" t="s">
        <v>2196</v>
      </c>
      <c r="F4306" s="17"/>
      <c r="G4306" s="18" t="n">
        <v>17.6</v>
      </c>
      <c r="H4306" s="18" t="n">
        <v>0</v>
      </c>
      <c r="I4306" s="18" t="n">
        <f aca="false">((I4305 + G4306) - H4306)</f>
        <v>7754.04</v>
      </c>
      <c r="J4306" s="18" t="n">
        <v>0</v>
      </c>
      <c r="K4306" s="19" t="n">
        <v>0</v>
      </c>
      <c r="L4306" s="17" t="s">
        <v>1406</v>
      </c>
    </row>
    <row r="4307" s="11" customFormat="true" ht="10.95" hidden="false" customHeight="true" outlineLevel="0" collapsed="false">
      <c r="A4307" s="16" t="n">
        <v>45145</v>
      </c>
      <c r="B4307" s="17" t="s">
        <v>2192</v>
      </c>
      <c r="C4307" s="17" t="s">
        <v>1593</v>
      </c>
      <c r="D4307" s="17" t="s">
        <v>1407</v>
      </c>
      <c r="E4307" s="17" t="s">
        <v>2261</v>
      </c>
      <c r="F4307" s="17"/>
      <c r="G4307" s="18" t="n">
        <v>229.35</v>
      </c>
      <c r="H4307" s="18" t="n">
        <v>0</v>
      </c>
      <c r="I4307" s="18" t="n">
        <f aca="false">((I4306 + G4307) - H4307)</f>
        <v>7983.39</v>
      </c>
      <c r="J4307" s="18" t="n">
        <v>0</v>
      </c>
      <c r="K4307" s="19" t="n">
        <v>0</v>
      </c>
      <c r="L4307" s="17" t="s">
        <v>1406</v>
      </c>
    </row>
    <row r="4308" s="11" customFormat="true" ht="10.95" hidden="false" customHeight="true" outlineLevel="0" collapsed="false">
      <c r="A4308" s="16" t="n">
        <v>45145</v>
      </c>
      <c r="B4308" s="17" t="s">
        <v>2192</v>
      </c>
      <c r="C4308" s="17" t="s">
        <v>1593</v>
      </c>
      <c r="D4308" s="17" t="s">
        <v>1407</v>
      </c>
      <c r="E4308" s="17" t="s">
        <v>2196</v>
      </c>
      <c r="F4308" s="17"/>
      <c r="G4308" s="18" t="n">
        <v>4.54</v>
      </c>
      <c r="H4308" s="18" t="n">
        <v>0</v>
      </c>
      <c r="I4308" s="18" t="n">
        <f aca="false">((I4307 + G4308) - H4308)</f>
        <v>7987.93</v>
      </c>
      <c r="J4308" s="18" t="n">
        <v>0</v>
      </c>
      <c r="K4308" s="19" t="n">
        <v>0</v>
      </c>
      <c r="L4308" s="17" t="s">
        <v>1406</v>
      </c>
    </row>
    <row r="4309" s="11" customFormat="true" ht="10.95" hidden="false" customHeight="true" outlineLevel="0" collapsed="false">
      <c r="A4309" s="16" t="n">
        <v>45145</v>
      </c>
      <c r="B4309" s="17" t="s">
        <v>2192</v>
      </c>
      <c r="C4309" s="17" t="s">
        <v>1593</v>
      </c>
      <c r="D4309" s="17" t="s">
        <v>1407</v>
      </c>
      <c r="E4309" s="17" t="s">
        <v>2209</v>
      </c>
      <c r="F4309" s="17"/>
      <c r="G4309" s="18" t="n">
        <v>15.03</v>
      </c>
      <c r="H4309" s="18" t="n">
        <v>0</v>
      </c>
      <c r="I4309" s="18" t="n">
        <f aca="false">((I4308 + G4309) - H4309)</f>
        <v>8002.96</v>
      </c>
      <c r="J4309" s="18" t="n">
        <v>1.5</v>
      </c>
      <c r="K4309" s="19" t="n">
        <v>10</v>
      </c>
      <c r="L4309" s="17" t="s">
        <v>44</v>
      </c>
    </row>
    <row r="4310" s="11" customFormat="true" ht="10.95" hidden="false" customHeight="true" outlineLevel="0" collapsed="false">
      <c r="A4310" s="16" t="n">
        <v>45145</v>
      </c>
      <c r="B4310" s="17" t="s">
        <v>2192</v>
      </c>
      <c r="C4310" s="17" t="s">
        <v>1593</v>
      </c>
      <c r="D4310" s="17" t="s">
        <v>1407</v>
      </c>
      <c r="E4310" s="17" t="s">
        <v>2262</v>
      </c>
      <c r="F4310" s="17"/>
      <c r="G4310" s="18" t="n">
        <v>112.46</v>
      </c>
      <c r="H4310" s="18" t="n">
        <v>0</v>
      </c>
      <c r="I4310" s="18" t="n">
        <f aca="false">((I4309 + G4310) - H4310)</f>
        <v>8115.42</v>
      </c>
      <c r="J4310" s="18" t="n">
        <v>0</v>
      </c>
      <c r="K4310" s="19" t="n">
        <v>0</v>
      </c>
      <c r="L4310" s="17" t="s">
        <v>1406</v>
      </c>
    </row>
    <row r="4311" s="11" customFormat="true" ht="10.95" hidden="false" customHeight="true" outlineLevel="0" collapsed="false">
      <c r="A4311" s="16" t="n">
        <v>45146</v>
      </c>
      <c r="B4311" s="17" t="s">
        <v>2192</v>
      </c>
      <c r="C4311" s="17" t="s">
        <v>1593</v>
      </c>
      <c r="D4311" s="17" t="s">
        <v>1407</v>
      </c>
      <c r="E4311" s="17" t="s">
        <v>2208</v>
      </c>
      <c r="F4311" s="17"/>
      <c r="G4311" s="18" t="n">
        <v>8.2</v>
      </c>
      <c r="H4311" s="18" t="n">
        <v>0</v>
      </c>
      <c r="I4311" s="18" t="n">
        <f aca="false">((I4310 + G4311) - H4311)</f>
        <v>8123.62</v>
      </c>
      <c r="J4311" s="18" t="n">
        <v>0.82</v>
      </c>
      <c r="K4311" s="19" t="n">
        <v>10</v>
      </c>
      <c r="L4311" s="17" t="s">
        <v>44</v>
      </c>
    </row>
    <row r="4312" s="11" customFormat="true" ht="10.95" hidden="false" customHeight="true" outlineLevel="0" collapsed="false">
      <c r="A4312" s="16" t="n">
        <v>45146</v>
      </c>
      <c r="B4312" s="17" t="s">
        <v>2192</v>
      </c>
      <c r="C4312" s="17" t="s">
        <v>1593</v>
      </c>
      <c r="D4312" s="17" t="s">
        <v>1407</v>
      </c>
      <c r="E4312" s="17" t="s">
        <v>2210</v>
      </c>
      <c r="F4312" s="17"/>
      <c r="G4312" s="18" t="n">
        <v>44.54</v>
      </c>
      <c r="H4312" s="18" t="n">
        <v>0</v>
      </c>
      <c r="I4312" s="18" t="n">
        <f aca="false">((I4311 + G4312) - H4312)</f>
        <v>8168.16</v>
      </c>
      <c r="J4312" s="18" t="n">
        <v>0</v>
      </c>
      <c r="K4312" s="19" t="n">
        <v>0</v>
      </c>
      <c r="L4312" s="17" t="s">
        <v>1406</v>
      </c>
    </row>
    <row r="4313" s="11" customFormat="true" ht="10.95" hidden="false" customHeight="true" outlineLevel="0" collapsed="false">
      <c r="A4313" s="16" t="n">
        <v>45146</v>
      </c>
      <c r="B4313" s="17" t="s">
        <v>2192</v>
      </c>
      <c r="C4313" s="17" t="s">
        <v>1593</v>
      </c>
      <c r="D4313" s="17" t="s">
        <v>1407</v>
      </c>
      <c r="E4313" s="17" t="s">
        <v>2196</v>
      </c>
      <c r="F4313" s="17"/>
      <c r="G4313" s="18" t="n">
        <v>11.81</v>
      </c>
      <c r="H4313" s="18" t="n">
        <v>0</v>
      </c>
      <c r="I4313" s="18" t="n">
        <f aca="false">((I4312 + G4313) - H4313)</f>
        <v>8179.97</v>
      </c>
      <c r="J4313" s="18" t="n">
        <v>1.18</v>
      </c>
      <c r="K4313" s="19" t="n">
        <v>10</v>
      </c>
      <c r="L4313" s="17" t="s">
        <v>44</v>
      </c>
    </row>
    <row r="4314" s="11" customFormat="true" ht="10.95" hidden="false" customHeight="true" outlineLevel="0" collapsed="false">
      <c r="A4314" s="16" t="n">
        <v>45146</v>
      </c>
      <c r="B4314" s="17" t="s">
        <v>2192</v>
      </c>
      <c r="C4314" s="17" t="s">
        <v>1593</v>
      </c>
      <c r="D4314" s="17" t="s">
        <v>1407</v>
      </c>
      <c r="E4314" s="17" t="s">
        <v>2208</v>
      </c>
      <c r="F4314" s="17"/>
      <c r="G4314" s="18" t="n">
        <v>16.5</v>
      </c>
      <c r="H4314" s="18" t="n">
        <v>0</v>
      </c>
      <c r="I4314" s="18" t="n">
        <f aca="false">((I4313 + G4314) - H4314)</f>
        <v>8196.47</v>
      </c>
      <c r="J4314" s="18" t="n">
        <v>1.65</v>
      </c>
      <c r="K4314" s="19" t="n">
        <v>10</v>
      </c>
      <c r="L4314" s="17" t="s">
        <v>44</v>
      </c>
    </row>
    <row r="4315" s="11" customFormat="true" ht="10.95" hidden="false" customHeight="true" outlineLevel="0" collapsed="false">
      <c r="A4315" s="16" t="n">
        <v>45146</v>
      </c>
      <c r="B4315" s="17" t="s">
        <v>2192</v>
      </c>
      <c r="C4315" s="17" t="s">
        <v>1593</v>
      </c>
      <c r="D4315" s="17" t="s">
        <v>1407</v>
      </c>
      <c r="E4315" s="17" t="s">
        <v>2208</v>
      </c>
      <c r="F4315" s="17"/>
      <c r="G4315" s="18" t="n">
        <v>17.2</v>
      </c>
      <c r="H4315" s="18" t="n">
        <v>0</v>
      </c>
      <c r="I4315" s="18" t="n">
        <f aca="false">((I4314 + G4315) - H4315)</f>
        <v>8213.67</v>
      </c>
      <c r="J4315" s="18" t="n">
        <v>1.72</v>
      </c>
      <c r="K4315" s="19" t="n">
        <v>10</v>
      </c>
      <c r="L4315" s="17" t="s">
        <v>44</v>
      </c>
    </row>
    <row r="4316" s="11" customFormat="true" ht="10.95" hidden="false" customHeight="true" outlineLevel="0" collapsed="false">
      <c r="A4316" s="16" t="n">
        <v>45146</v>
      </c>
      <c r="B4316" s="17" t="s">
        <v>2192</v>
      </c>
      <c r="C4316" s="17" t="s">
        <v>1593</v>
      </c>
      <c r="D4316" s="17" t="s">
        <v>1407</v>
      </c>
      <c r="E4316" s="17" t="s">
        <v>2263</v>
      </c>
      <c r="F4316" s="17"/>
      <c r="G4316" s="18" t="n">
        <v>408</v>
      </c>
      <c r="H4316" s="18" t="n">
        <v>0</v>
      </c>
      <c r="I4316" s="18" t="n">
        <f aca="false">((I4315 + G4316) - H4316)</f>
        <v>8621.67</v>
      </c>
      <c r="J4316" s="18" t="n">
        <v>40.8</v>
      </c>
      <c r="K4316" s="19" t="n">
        <v>10</v>
      </c>
      <c r="L4316" s="17" t="s">
        <v>44</v>
      </c>
    </row>
    <row r="4317" s="11" customFormat="true" ht="10.95" hidden="false" customHeight="true" outlineLevel="0" collapsed="false">
      <c r="A4317" s="16" t="n">
        <v>45146</v>
      </c>
      <c r="B4317" s="17" t="s">
        <v>2192</v>
      </c>
      <c r="C4317" s="17" t="s">
        <v>1593</v>
      </c>
      <c r="D4317" s="17" t="s">
        <v>1391</v>
      </c>
      <c r="E4317" s="17" t="s">
        <v>2264</v>
      </c>
      <c r="F4317" s="17" t="s">
        <v>2265</v>
      </c>
      <c r="G4317" s="18" t="n">
        <v>920.19</v>
      </c>
      <c r="H4317" s="18" t="n">
        <v>0</v>
      </c>
      <c r="I4317" s="18" t="n">
        <f aca="false">((I4316 + G4317) - H4317)</f>
        <v>9541.86</v>
      </c>
      <c r="J4317" s="18" t="n">
        <v>0</v>
      </c>
      <c r="K4317" s="19" t="n">
        <v>0</v>
      </c>
      <c r="L4317" s="17" t="s">
        <v>1406</v>
      </c>
    </row>
    <row r="4318" s="11" customFormat="true" ht="10.95" hidden="false" customHeight="true" outlineLevel="0" collapsed="false">
      <c r="A4318" s="16" t="n">
        <v>45147</v>
      </c>
      <c r="B4318" s="17" t="s">
        <v>2192</v>
      </c>
      <c r="C4318" s="17" t="s">
        <v>1593</v>
      </c>
      <c r="D4318" s="17" t="s">
        <v>1407</v>
      </c>
      <c r="E4318" s="17" t="s">
        <v>2196</v>
      </c>
      <c r="F4318" s="17"/>
      <c r="G4318" s="18" t="n">
        <v>6.74</v>
      </c>
      <c r="H4318" s="18" t="n">
        <v>0</v>
      </c>
      <c r="I4318" s="18" t="n">
        <f aca="false">((I4317 + G4318) - H4318)</f>
        <v>9548.6</v>
      </c>
      <c r="J4318" s="18" t="n">
        <v>0</v>
      </c>
      <c r="K4318" s="19" t="n">
        <v>0</v>
      </c>
      <c r="L4318" s="17" t="s">
        <v>1406</v>
      </c>
    </row>
    <row r="4319" s="11" customFormat="true" ht="10.95" hidden="false" customHeight="true" outlineLevel="0" collapsed="false">
      <c r="A4319" s="16" t="n">
        <v>45149</v>
      </c>
      <c r="B4319" s="17" t="s">
        <v>2192</v>
      </c>
      <c r="C4319" s="17" t="s">
        <v>1593</v>
      </c>
      <c r="D4319" s="17" t="s">
        <v>1407</v>
      </c>
      <c r="E4319" s="17" t="s">
        <v>2266</v>
      </c>
      <c r="F4319" s="17"/>
      <c r="G4319" s="18" t="n">
        <v>79.96</v>
      </c>
      <c r="H4319" s="18" t="n">
        <v>0</v>
      </c>
      <c r="I4319" s="18" t="n">
        <f aca="false">((I4318 + G4319) - H4319)</f>
        <v>9628.56</v>
      </c>
      <c r="J4319" s="18" t="n">
        <v>0</v>
      </c>
      <c r="K4319" s="19" t="n">
        <v>0</v>
      </c>
      <c r="L4319" s="17" t="s">
        <v>1406</v>
      </c>
    </row>
    <row r="4320" s="11" customFormat="true" ht="10.95" hidden="false" customHeight="true" outlineLevel="0" collapsed="false">
      <c r="A4320" s="16" t="n">
        <v>45150</v>
      </c>
      <c r="B4320" s="17" t="s">
        <v>2192</v>
      </c>
      <c r="C4320" s="17" t="s">
        <v>1593</v>
      </c>
      <c r="D4320" s="17" t="s">
        <v>1407</v>
      </c>
      <c r="E4320" s="17" t="s">
        <v>2196</v>
      </c>
      <c r="F4320" s="17"/>
      <c r="G4320" s="18" t="n">
        <v>4.6</v>
      </c>
      <c r="H4320" s="18" t="n">
        <v>0</v>
      </c>
      <c r="I4320" s="18" t="n">
        <f aca="false">((I4319 + G4320) - H4320)</f>
        <v>9633.16</v>
      </c>
      <c r="J4320" s="18" t="n">
        <v>0</v>
      </c>
      <c r="K4320" s="19" t="n">
        <v>0</v>
      </c>
      <c r="L4320" s="17" t="s">
        <v>1406</v>
      </c>
    </row>
    <row r="4321" s="11" customFormat="true" ht="10.95" hidden="false" customHeight="true" outlineLevel="0" collapsed="false">
      <c r="A4321" s="16" t="n">
        <v>45152</v>
      </c>
      <c r="B4321" s="17" t="s">
        <v>2192</v>
      </c>
      <c r="C4321" s="17" t="s">
        <v>1593</v>
      </c>
      <c r="D4321" s="17" t="s">
        <v>1407</v>
      </c>
      <c r="E4321" s="17" t="s">
        <v>2196</v>
      </c>
      <c r="F4321" s="17"/>
      <c r="G4321" s="18" t="n">
        <v>1.53</v>
      </c>
      <c r="H4321" s="18" t="n">
        <v>0</v>
      </c>
      <c r="I4321" s="18" t="n">
        <f aca="false">((I4320 + G4321) - H4321)</f>
        <v>9634.69</v>
      </c>
      <c r="J4321" s="18" t="n">
        <v>0</v>
      </c>
      <c r="K4321" s="19" t="n">
        <v>0</v>
      </c>
      <c r="L4321" s="17" t="s">
        <v>1406</v>
      </c>
    </row>
    <row r="4322" s="11" customFormat="true" ht="10.95" hidden="false" customHeight="true" outlineLevel="0" collapsed="false">
      <c r="A4322" s="16" t="n">
        <v>45154</v>
      </c>
      <c r="B4322" s="17" t="s">
        <v>2192</v>
      </c>
      <c r="C4322" s="17" t="s">
        <v>1593</v>
      </c>
      <c r="D4322" s="17" t="s">
        <v>1407</v>
      </c>
      <c r="E4322" s="17" t="s">
        <v>2216</v>
      </c>
      <c r="F4322" s="17"/>
      <c r="G4322" s="18" t="n">
        <v>13.63</v>
      </c>
      <c r="H4322" s="18" t="n">
        <v>0</v>
      </c>
      <c r="I4322" s="18" t="n">
        <f aca="false">((I4321 + G4322) - H4322)</f>
        <v>9648.32</v>
      </c>
      <c r="J4322" s="18" t="n">
        <v>1.36</v>
      </c>
      <c r="K4322" s="19" t="n">
        <v>10</v>
      </c>
      <c r="L4322" s="17" t="s">
        <v>44</v>
      </c>
    </row>
    <row r="4323" s="11" customFormat="true" ht="10.95" hidden="false" customHeight="true" outlineLevel="0" collapsed="false">
      <c r="A4323" s="16" t="n">
        <v>45154</v>
      </c>
      <c r="B4323" s="17" t="s">
        <v>2192</v>
      </c>
      <c r="C4323" s="17" t="s">
        <v>1593</v>
      </c>
      <c r="D4323" s="17" t="s">
        <v>1407</v>
      </c>
      <c r="E4323" s="17" t="s">
        <v>2193</v>
      </c>
      <c r="F4323" s="17"/>
      <c r="G4323" s="18" t="n">
        <v>162.75</v>
      </c>
      <c r="H4323" s="18" t="n">
        <v>0</v>
      </c>
      <c r="I4323" s="18" t="n">
        <f aca="false">((I4322 + G4323) - H4323)</f>
        <v>9811.07</v>
      </c>
      <c r="J4323" s="18" t="n">
        <v>0</v>
      </c>
      <c r="K4323" s="19" t="n">
        <v>0</v>
      </c>
      <c r="L4323" s="17" t="s">
        <v>1406</v>
      </c>
    </row>
    <row r="4324" s="11" customFormat="true" ht="10.95" hidden="false" customHeight="true" outlineLevel="0" collapsed="false">
      <c r="A4324" s="16" t="n">
        <v>45154</v>
      </c>
      <c r="B4324" s="17" t="s">
        <v>2192</v>
      </c>
      <c r="C4324" s="17" t="s">
        <v>1593</v>
      </c>
      <c r="D4324" s="17" t="s">
        <v>1407</v>
      </c>
      <c r="E4324" s="17" t="s">
        <v>2267</v>
      </c>
      <c r="F4324" s="17"/>
      <c r="G4324" s="18" t="n">
        <v>46.07</v>
      </c>
      <c r="H4324" s="18" t="n">
        <v>0</v>
      </c>
      <c r="I4324" s="18" t="n">
        <f aca="false">((I4323 + G4324) - H4324)</f>
        <v>9857.14</v>
      </c>
      <c r="J4324" s="18" t="n">
        <v>0</v>
      </c>
      <c r="K4324" s="19" t="n">
        <v>0</v>
      </c>
      <c r="L4324" s="17" t="s">
        <v>1406</v>
      </c>
    </row>
    <row r="4325" s="11" customFormat="true" ht="10.95" hidden="false" customHeight="true" outlineLevel="0" collapsed="false">
      <c r="A4325" s="16" t="n">
        <v>45156</v>
      </c>
      <c r="B4325" s="17" t="s">
        <v>2192</v>
      </c>
      <c r="C4325" s="17" t="s">
        <v>1593</v>
      </c>
      <c r="D4325" s="17" t="s">
        <v>1391</v>
      </c>
      <c r="E4325" s="17" t="s">
        <v>2268</v>
      </c>
      <c r="F4325" s="17" t="s">
        <v>2269</v>
      </c>
      <c r="G4325" s="18" t="n">
        <v>41.2</v>
      </c>
      <c r="H4325" s="18" t="n">
        <v>0</v>
      </c>
      <c r="I4325" s="18" t="n">
        <f aca="false">((I4324 + G4325) - H4325)</f>
        <v>9898.34</v>
      </c>
      <c r="J4325" s="18" t="n">
        <v>4.12</v>
      </c>
      <c r="K4325" s="19" t="n">
        <v>10</v>
      </c>
      <c r="L4325" s="17" t="s">
        <v>44</v>
      </c>
    </row>
    <row r="4326" s="11" customFormat="true" ht="10.95" hidden="false" customHeight="true" outlineLevel="0" collapsed="false">
      <c r="A4326" s="16" t="n">
        <v>45156</v>
      </c>
      <c r="B4326" s="17" t="s">
        <v>2192</v>
      </c>
      <c r="C4326" s="17" t="s">
        <v>1593</v>
      </c>
      <c r="D4326" s="17" t="s">
        <v>1391</v>
      </c>
      <c r="E4326" s="17" t="s">
        <v>2270</v>
      </c>
      <c r="F4326" s="17" t="s">
        <v>2271</v>
      </c>
      <c r="G4326" s="18" t="n">
        <v>30.2</v>
      </c>
      <c r="H4326" s="18" t="n">
        <v>0</v>
      </c>
      <c r="I4326" s="18" t="n">
        <f aca="false">((I4325 + G4326) - H4326)</f>
        <v>9928.54</v>
      </c>
      <c r="J4326" s="18" t="n">
        <v>3.02</v>
      </c>
      <c r="K4326" s="19" t="n">
        <v>10</v>
      </c>
      <c r="L4326" s="17" t="s">
        <v>44</v>
      </c>
    </row>
    <row r="4327" s="11" customFormat="true" ht="10.95" hidden="false" customHeight="true" outlineLevel="0" collapsed="false">
      <c r="A4327" s="16" t="n">
        <v>45156</v>
      </c>
      <c r="B4327" s="17" t="s">
        <v>2192</v>
      </c>
      <c r="C4327" s="17" t="s">
        <v>1593</v>
      </c>
      <c r="D4327" s="17" t="s">
        <v>1391</v>
      </c>
      <c r="E4327" s="17" t="s">
        <v>2272</v>
      </c>
      <c r="F4327" s="17" t="s">
        <v>2273</v>
      </c>
      <c r="G4327" s="18" t="n">
        <v>22</v>
      </c>
      <c r="H4327" s="18" t="n">
        <v>0</v>
      </c>
      <c r="I4327" s="18" t="n">
        <f aca="false">((I4326 + G4327) - H4327)</f>
        <v>9950.54</v>
      </c>
      <c r="J4327" s="18" t="n">
        <v>2.2</v>
      </c>
      <c r="K4327" s="19" t="n">
        <v>10</v>
      </c>
      <c r="L4327" s="17" t="s">
        <v>44</v>
      </c>
    </row>
    <row r="4328" s="11" customFormat="true" ht="10.95" hidden="false" customHeight="true" outlineLevel="0" collapsed="false">
      <c r="A4328" s="16" t="n">
        <v>45156</v>
      </c>
      <c r="B4328" s="17" t="s">
        <v>2192</v>
      </c>
      <c r="C4328" s="17" t="s">
        <v>1593</v>
      </c>
      <c r="D4328" s="17" t="s">
        <v>1391</v>
      </c>
      <c r="E4328" s="17" t="s">
        <v>2274</v>
      </c>
      <c r="F4328" s="17" t="s">
        <v>2275</v>
      </c>
      <c r="G4328" s="18" t="n">
        <v>55</v>
      </c>
      <c r="H4328" s="18" t="n">
        <v>0</v>
      </c>
      <c r="I4328" s="18" t="n">
        <f aca="false">((I4327 + G4328) - H4328)</f>
        <v>10005.54</v>
      </c>
      <c r="J4328" s="18" t="n">
        <v>5.5</v>
      </c>
      <c r="K4328" s="19" t="n">
        <v>10</v>
      </c>
      <c r="L4328" s="17" t="s">
        <v>44</v>
      </c>
    </row>
    <row r="4329" s="11" customFormat="true" ht="10.95" hidden="false" customHeight="true" outlineLevel="0" collapsed="false">
      <c r="A4329" s="16" t="n">
        <v>45156</v>
      </c>
      <c r="B4329" s="17" t="s">
        <v>2192</v>
      </c>
      <c r="C4329" s="17" t="s">
        <v>1593</v>
      </c>
      <c r="D4329" s="17" t="s">
        <v>1391</v>
      </c>
      <c r="E4329" s="17" t="s">
        <v>2276</v>
      </c>
      <c r="F4329" s="17" t="s">
        <v>2277</v>
      </c>
      <c r="G4329" s="18" t="n">
        <v>62</v>
      </c>
      <c r="H4329" s="18" t="n">
        <v>0</v>
      </c>
      <c r="I4329" s="18" t="n">
        <f aca="false">((I4328 + G4329) - H4329)</f>
        <v>10067.54</v>
      </c>
      <c r="J4329" s="18" t="n">
        <v>6.2</v>
      </c>
      <c r="K4329" s="19" t="n">
        <v>10</v>
      </c>
      <c r="L4329" s="17" t="s">
        <v>44</v>
      </c>
    </row>
    <row r="4330" s="11" customFormat="true" ht="10.95" hidden="false" customHeight="true" outlineLevel="0" collapsed="false">
      <c r="A4330" s="16" t="n">
        <v>45156</v>
      </c>
      <c r="B4330" s="17" t="s">
        <v>2192</v>
      </c>
      <c r="C4330" s="17" t="s">
        <v>1593</v>
      </c>
      <c r="D4330" s="17" t="s">
        <v>1391</v>
      </c>
      <c r="E4330" s="17" t="s">
        <v>2278</v>
      </c>
      <c r="F4330" s="17" t="s">
        <v>2279</v>
      </c>
      <c r="G4330" s="18" t="n">
        <v>8.2</v>
      </c>
      <c r="H4330" s="18" t="n">
        <v>0</v>
      </c>
      <c r="I4330" s="18" t="n">
        <f aca="false">((I4329 + G4330) - H4330)</f>
        <v>10075.74</v>
      </c>
      <c r="J4330" s="18" t="n">
        <v>0.82</v>
      </c>
      <c r="K4330" s="19" t="n">
        <v>10</v>
      </c>
      <c r="L4330" s="17" t="s">
        <v>44</v>
      </c>
    </row>
    <row r="4331" s="11" customFormat="true" ht="10.95" hidden="false" customHeight="true" outlineLevel="0" collapsed="false">
      <c r="A4331" s="16" t="n">
        <v>45156</v>
      </c>
      <c r="B4331" s="17" t="s">
        <v>2192</v>
      </c>
      <c r="C4331" s="17" t="s">
        <v>1593</v>
      </c>
      <c r="D4331" s="17" t="s">
        <v>1391</v>
      </c>
      <c r="E4331" s="17" t="s">
        <v>2280</v>
      </c>
      <c r="F4331" s="17" t="s">
        <v>2281</v>
      </c>
      <c r="G4331" s="18" t="n">
        <v>199.8</v>
      </c>
      <c r="H4331" s="18" t="n">
        <v>0</v>
      </c>
      <c r="I4331" s="18" t="n">
        <f aca="false">((I4330 + G4331) - H4331)</f>
        <v>10275.54</v>
      </c>
      <c r="J4331" s="18" t="n">
        <v>19.98</v>
      </c>
      <c r="K4331" s="19" t="n">
        <v>10</v>
      </c>
      <c r="L4331" s="17" t="s">
        <v>44</v>
      </c>
    </row>
    <row r="4332" s="11" customFormat="true" ht="10.95" hidden="false" customHeight="true" outlineLevel="0" collapsed="false">
      <c r="A4332" s="16" t="n">
        <v>45156</v>
      </c>
      <c r="B4332" s="17" t="s">
        <v>2192</v>
      </c>
      <c r="C4332" s="17" t="s">
        <v>1593</v>
      </c>
      <c r="D4332" s="17" t="s">
        <v>1391</v>
      </c>
      <c r="E4332" s="17" t="s">
        <v>2282</v>
      </c>
      <c r="F4332" s="17" t="s">
        <v>2283</v>
      </c>
      <c r="G4332" s="18" t="n">
        <v>69.6</v>
      </c>
      <c r="H4332" s="18" t="n">
        <v>0</v>
      </c>
      <c r="I4332" s="18" t="n">
        <f aca="false">((I4331 + G4332) - H4332)</f>
        <v>10345.14</v>
      </c>
      <c r="J4332" s="18" t="n">
        <v>6.96</v>
      </c>
      <c r="K4332" s="19" t="n">
        <v>10</v>
      </c>
      <c r="L4332" s="17" t="s">
        <v>44</v>
      </c>
    </row>
    <row r="4333" s="11" customFormat="true" ht="10.95" hidden="false" customHeight="true" outlineLevel="0" collapsed="false">
      <c r="A4333" s="16" t="n">
        <v>45156</v>
      </c>
      <c r="B4333" s="17" t="s">
        <v>2192</v>
      </c>
      <c r="C4333" s="17" t="s">
        <v>1593</v>
      </c>
      <c r="D4333" s="17" t="s">
        <v>1407</v>
      </c>
      <c r="E4333" s="17" t="s">
        <v>2284</v>
      </c>
      <c r="F4333" s="17"/>
      <c r="G4333" s="18" t="n">
        <v>75.95</v>
      </c>
      <c r="H4333" s="18" t="n">
        <v>0</v>
      </c>
      <c r="I4333" s="18" t="n">
        <f aca="false">((I4332 + G4333) - H4333)</f>
        <v>10421.09</v>
      </c>
      <c r="J4333" s="18" t="n">
        <v>7.59</v>
      </c>
      <c r="K4333" s="19" t="n">
        <v>10</v>
      </c>
      <c r="L4333" s="17" t="s">
        <v>44</v>
      </c>
    </row>
    <row r="4334" s="11" customFormat="true" ht="10.95" hidden="false" customHeight="true" outlineLevel="0" collapsed="false">
      <c r="A4334" s="16" t="n">
        <v>45156</v>
      </c>
      <c r="B4334" s="17" t="s">
        <v>2192</v>
      </c>
      <c r="C4334" s="17" t="s">
        <v>1593</v>
      </c>
      <c r="D4334" s="17" t="s">
        <v>1407</v>
      </c>
      <c r="E4334" s="17" t="s">
        <v>1580</v>
      </c>
      <c r="F4334" s="17"/>
      <c r="G4334" s="18" t="n">
        <v>247.73</v>
      </c>
      <c r="H4334" s="18" t="n">
        <v>0</v>
      </c>
      <c r="I4334" s="18" t="n">
        <f aca="false">((I4333 + G4334) - H4334)</f>
        <v>10668.82</v>
      </c>
      <c r="J4334" s="18" t="n">
        <v>24.77</v>
      </c>
      <c r="K4334" s="19" t="n">
        <v>10</v>
      </c>
      <c r="L4334" s="17" t="s">
        <v>44</v>
      </c>
    </row>
    <row r="4335" s="11" customFormat="true" ht="10.95" hidden="false" customHeight="true" outlineLevel="0" collapsed="false">
      <c r="A4335" s="16" t="n">
        <v>45156</v>
      </c>
      <c r="B4335" s="17" t="s">
        <v>2192</v>
      </c>
      <c r="C4335" s="17" t="s">
        <v>1593</v>
      </c>
      <c r="D4335" s="17" t="s">
        <v>1407</v>
      </c>
      <c r="E4335" s="17" t="s">
        <v>2285</v>
      </c>
      <c r="F4335" s="17"/>
      <c r="G4335" s="18" t="n">
        <v>75.8</v>
      </c>
      <c r="H4335" s="18" t="n">
        <v>0</v>
      </c>
      <c r="I4335" s="18" t="n">
        <f aca="false">((I4334 + G4335) - H4335)</f>
        <v>10744.62</v>
      </c>
      <c r="J4335" s="18" t="n">
        <v>7.58</v>
      </c>
      <c r="K4335" s="19" t="n">
        <v>10</v>
      </c>
      <c r="L4335" s="17" t="s">
        <v>44</v>
      </c>
    </row>
    <row r="4336" s="11" customFormat="true" ht="10.95" hidden="false" customHeight="true" outlineLevel="0" collapsed="false">
      <c r="A4336" s="16" t="n">
        <v>45157</v>
      </c>
      <c r="B4336" s="17" t="s">
        <v>2192</v>
      </c>
      <c r="C4336" s="17" t="s">
        <v>1593</v>
      </c>
      <c r="D4336" s="17" t="s">
        <v>1407</v>
      </c>
      <c r="E4336" s="17" t="s">
        <v>2196</v>
      </c>
      <c r="F4336" s="17"/>
      <c r="G4336" s="18" t="n">
        <v>19.26</v>
      </c>
      <c r="H4336" s="18" t="n">
        <v>0</v>
      </c>
      <c r="I4336" s="18" t="n">
        <f aca="false">((I4335 + G4336) - H4336)</f>
        <v>10763.88</v>
      </c>
      <c r="J4336" s="18" t="n">
        <v>0</v>
      </c>
      <c r="K4336" s="19" t="n">
        <v>0</v>
      </c>
      <c r="L4336" s="17" t="s">
        <v>1406</v>
      </c>
    </row>
    <row r="4337" s="11" customFormat="true" ht="10.95" hidden="false" customHeight="true" outlineLevel="0" collapsed="false">
      <c r="A4337" s="16" t="n">
        <v>45157</v>
      </c>
      <c r="B4337" s="17" t="s">
        <v>2192</v>
      </c>
      <c r="C4337" s="17" t="s">
        <v>1593</v>
      </c>
      <c r="D4337" s="17" t="s">
        <v>1407</v>
      </c>
      <c r="E4337" s="17" t="s">
        <v>2286</v>
      </c>
      <c r="F4337" s="17"/>
      <c r="G4337" s="18" t="n">
        <v>476.74</v>
      </c>
      <c r="H4337" s="18" t="n">
        <v>0</v>
      </c>
      <c r="I4337" s="18" t="n">
        <f aca="false">((I4336 + G4337) - H4337)</f>
        <v>11240.62</v>
      </c>
      <c r="J4337" s="18" t="n">
        <v>0</v>
      </c>
      <c r="K4337" s="19" t="n">
        <v>0</v>
      </c>
      <c r="L4337" s="17" t="s">
        <v>1406</v>
      </c>
    </row>
    <row r="4338" s="11" customFormat="true" ht="10.95" hidden="false" customHeight="true" outlineLevel="0" collapsed="false">
      <c r="A4338" s="16" t="n">
        <v>45158</v>
      </c>
      <c r="B4338" s="17" t="s">
        <v>2192</v>
      </c>
      <c r="C4338" s="17" t="s">
        <v>1593</v>
      </c>
      <c r="D4338" s="17" t="s">
        <v>1391</v>
      </c>
      <c r="E4338" s="17" t="s">
        <v>2287</v>
      </c>
      <c r="F4338" s="17" t="s">
        <v>2288</v>
      </c>
      <c r="G4338" s="18" t="n">
        <v>88.18</v>
      </c>
      <c r="H4338" s="18" t="n">
        <v>0</v>
      </c>
      <c r="I4338" s="18" t="n">
        <f aca="false">((I4337 + G4338) - H4338)</f>
        <v>11328.8</v>
      </c>
      <c r="J4338" s="18" t="n">
        <v>8.82</v>
      </c>
      <c r="K4338" s="19" t="n">
        <v>10</v>
      </c>
      <c r="L4338" s="17" t="s">
        <v>44</v>
      </c>
    </row>
    <row r="4339" s="11" customFormat="true" ht="10.95" hidden="false" customHeight="true" outlineLevel="0" collapsed="false">
      <c r="A4339" s="16" t="n">
        <v>45159</v>
      </c>
      <c r="B4339" s="17" t="s">
        <v>2192</v>
      </c>
      <c r="C4339" s="17" t="s">
        <v>1593</v>
      </c>
      <c r="D4339" s="17" t="s">
        <v>1407</v>
      </c>
      <c r="E4339" s="17" t="s">
        <v>2196</v>
      </c>
      <c r="F4339" s="17"/>
      <c r="G4339" s="18" t="n">
        <v>55.75</v>
      </c>
      <c r="H4339" s="18" t="n">
        <v>0</v>
      </c>
      <c r="I4339" s="18" t="n">
        <f aca="false">((I4338 + G4339) - H4339)</f>
        <v>11384.55</v>
      </c>
      <c r="J4339" s="18" t="n">
        <v>0</v>
      </c>
      <c r="K4339" s="19" t="n">
        <v>0</v>
      </c>
      <c r="L4339" s="17" t="s">
        <v>1406</v>
      </c>
    </row>
    <row r="4340" s="11" customFormat="true" ht="10.95" hidden="false" customHeight="true" outlineLevel="0" collapsed="false">
      <c r="A4340" s="16" t="n">
        <v>45160</v>
      </c>
      <c r="B4340" s="17" t="s">
        <v>2192</v>
      </c>
      <c r="C4340" s="17" t="s">
        <v>1593</v>
      </c>
      <c r="D4340" s="17" t="s">
        <v>1407</v>
      </c>
      <c r="E4340" s="17" t="s">
        <v>2238</v>
      </c>
      <c r="F4340" s="17"/>
      <c r="G4340" s="18" t="n">
        <v>31.36</v>
      </c>
      <c r="H4340" s="18" t="n">
        <v>0</v>
      </c>
      <c r="I4340" s="18" t="n">
        <f aca="false">((I4339 + G4340) - H4340)</f>
        <v>11415.91</v>
      </c>
      <c r="J4340" s="18" t="n">
        <v>0</v>
      </c>
      <c r="K4340" s="19" t="n">
        <v>0</v>
      </c>
      <c r="L4340" s="17" t="s">
        <v>1406</v>
      </c>
    </row>
    <row r="4341" s="11" customFormat="true" ht="10.95" hidden="false" customHeight="true" outlineLevel="0" collapsed="false">
      <c r="A4341" s="16" t="n">
        <v>45161</v>
      </c>
      <c r="B4341" s="17" t="s">
        <v>2192</v>
      </c>
      <c r="C4341" s="17" t="s">
        <v>1593</v>
      </c>
      <c r="D4341" s="17" t="s">
        <v>1407</v>
      </c>
      <c r="E4341" s="17" t="s">
        <v>2196</v>
      </c>
      <c r="F4341" s="17"/>
      <c r="G4341" s="18" t="n">
        <v>27.49</v>
      </c>
      <c r="H4341" s="18" t="n">
        <v>0</v>
      </c>
      <c r="I4341" s="18" t="n">
        <f aca="false">((I4340 + G4341) - H4341)</f>
        <v>11443.4</v>
      </c>
      <c r="J4341" s="18" t="n">
        <v>0</v>
      </c>
      <c r="K4341" s="19" t="n">
        <v>0</v>
      </c>
      <c r="L4341" s="17" t="s">
        <v>1406</v>
      </c>
    </row>
    <row r="4342" s="11" customFormat="true" ht="10.95" hidden="false" customHeight="true" outlineLevel="0" collapsed="false">
      <c r="A4342" s="16" t="n">
        <v>45161</v>
      </c>
      <c r="B4342" s="17" t="s">
        <v>2192</v>
      </c>
      <c r="C4342" s="17" t="s">
        <v>1593</v>
      </c>
      <c r="D4342" s="17" t="s">
        <v>1407</v>
      </c>
      <c r="E4342" s="17" t="s">
        <v>2201</v>
      </c>
      <c r="F4342" s="17"/>
      <c r="G4342" s="18" t="n">
        <v>36.35</v>
      </c>
      <c r="H4342" s="18" t="n">
        <v>0</v>
      </c>
      <c r="I4342" s="18" t="n">
        <f aca="false">((I4341 + G4342) - H4342)</f>
        <v>11479.75</v>
      </c>
      <c r="J4342" s="18" t="n">
        <v>3.64</v>
      </c>
      <c r="K4342" s="19" t="n">
        <v>10</v>
      </c>
      <c r="L4342" s="17" t="s">
        <v>44</v>
      </c>
    </row>
    <row r="4343" s="11" customFormat="true" ht="10.95" hidden="false" customHeight="true" outlineLevel="0" collapsed="false">
      <c r="A4343" s="16" t="n">
        <v>45162</v>
      </c>
      <c r="B4343" s="17" t="s">
        <v>2192</v>
      </c>
      <c r="C4343" s="17" t="s">
        <v>1593</v>
      </c>
      <c r="D4343" s="17" t="s">
        <v>1407</v>
      </c>
      <c r="E4343" s="17" t="s">
        <v>2208</v>
      </c>
      <c r="F4343" s="17"/>
      <c r="G4343" s="18" t="n">
        <v>86</v>
      </c>
      <c r="H4343" s="18" t="n">
        <v>0</v>
      </c>
      <c r="I4343" s="18" t="n">
        <f aca="false">((I4342 + G4343) - H4343)</f>
        <v>11565.75</v>
      </c>
      <c r="J4343" s="18" t="n">
        <v>8.6</v>
      </c>
      <c r="K4343" s="19" t="n">
        <v>10</v>
      </c>
      <c r="L4343" s="17" t="s">
        <v>44</v>
      </c>
    </row>
    <row r="4344" s="11" customFormat="true" ht="10.95" hidden="false" customHeight="true" outlineLevel="0" collapsed="false">
      <c r="A4344" s="16" t="n">
        <v>45162</v>
      </c>
      <c r="B4344" s="17" t="s">
        <v>2192</v>
      </c>
      <c r="C4344" s="17" t="s">
        <v>1593</v>
      </c>
      <c r="D4344" s="17" t="s">
        <v>1407</v>
      </c>
      <c r="E4344" s="17" t="s">
        <v>2289</v>
      </c>
      <c r="F4344" s="17"/>
      <c r="G4344" s="18" t="n">
        <v>312.37</v>
      </c>
      <c r="H4344" s="18" t="n">
        <v>0</v>
      </c>
      <c r="I4344" s="18" t="n">
        <f aca="false">((I4343 + G4344) - H4344)</f>
        <v>11878.12</v>
      </c>
      <c r="J4344" s="18" t="n">
        <v>0</v>
      </c>
      <c r="K4344" s="19" t="n">
        <v>0</v>
      </c>
      <c r="L4344" s="17" t="s">
        <v>1406</v>
      </c>
    </row>
    <row r="4345" s="11" customFormat="true" ht="10.95" hidden="false" customHeight="true" outlineLevel="0" collapsed="false">
      <c r="A4345" s="16" t="n">
        <v>45162</v>
      </c>
      <c r="B4345" s="17" t="s">
        <v>2192</v>
      </c>
      <c r="C4345" s="17" t="s">
        <v>1593</v>
      </c>
      <c r="D4345" s="17" t="s">
        <v>1407</v>
      </c>
      <c r="E4345" s="17" t="s">
        <v>2290</v>
      </c>
      <c r="F4345" s="17"/>
      <c r="G4345" s="18" t="n">
        <v>12.53</v>
      </c>
      <c r="H4345" s="18" t="n">
        <v>0</v>
      </c>
      <c r="I4345" s="18" t="n">
        <f aca="false">((I4344 + G4345) - H4345)</f>
        <v>11890.65</v>
      </c>
      <c r="J4345" s="18" t="n">
        <v>0</v>
      </c>
      <c r="K4345" s="19" t="n">
        <v>0</v>
      </c>
      <c r="L4345" s="17" t="s">
        <v>1406</v>
      </c>
    </row>
    <row r="4346" s="11" customFormat="true" ht="10.95" hidden="false" customHeight="true" outlineLevel="0" collapsed="false">
      <c r="A4346" s="16" t="n">
        <v>45162</v>
      </c>
      <c r="B4346" s="17" t="s">
        <v>2192</v>
      </c>
      <c r="C4346" s="17" t="s">
        <v>1593</v>
      </c>
      <c r="D4346" s="17" t="s">
        <v>1407</v>
      </c>
      <c r="E4346" s="17" t="s">
        <v>1551</v>
      </c>
      <c r="F4346" s="17"/>
      <c r="G4346" s="18" t="n">
        <v>266.21</v>
      </c>
      <c r="H4346" s="18" t="n">
        <v>0</v>
      </c>
      <c r="I4346" s="18" t="n">
        <f aca="false">((I4345 + G4346) - H4346)</f>
        <v>12156.86</v>
      </c>
      <c r="J4346" s="18" t="n">
        <v>26.62</v>
      </c>
      <c r="K4346" s="19" t="n">
        <v>10</v>
      </c>
      <c r="L4346" s="17" t="s">
        <v>44</v>
      </c>
    </row>
    <row r="4347" s="11" customFormat="true" ht="10.95" hidden="false" customHeight="true" outlineLevel="0" collapsed="false">
      <c r="A4347" s="16" t="n">
        <v>45164</v>
      </c>
      <c r="B4347" s="17" t="s">
        <v>2192</v>
      </c>
      <c r="C4347" s="17" t="s">
        <v>1593</v>
      </c>
      <c r="D4347" s="17" t="s">
        <v>1407</v>
      </c>
      <c r="E4347" s="17" t="s">
        <v>2290</v>
      </c>
      <c r="F4347" s="17"/>
      <c r="G4347" s="18" t="n">
        <v>12.48</v>
      </c>
      <c r="H4347" s="18" t="n">
        <v>0</v>
      </c>
      <c r="I4347" s="18" t="n">
        <f aca="false">((I4346 + G4347) - H4347)</f>
        <v>12169.34</v>
      </c>
      <c r="J4347" s="18" t="n">
        <v>0</v>
      </c>
      <c r="K4347" s="19" t="n">
        <v>0</v>
      </c>
      <c r="L4347" s="17" t="s">
        <v>1406</v>
      </c>
    </row>
    <row r="4348" s="11" customFormat="true" ht="10.95" hidden="false" customHeight="true" outlineLevel="0" collapsed="false">
      <c r="A4348" s="16" t="n">
        <v>45164</v>
      </c>
      <c r="B4348" s="17" t="s">
        <v>2192</v>
      </c>
      <c r="C4348" s="17" t="s">
        <v>1593</v>
      </c>
      <c r="D4348" s="17" t="s">
        <v>1407</v>
      </c>
      <c r="E4348" s="17" t="s">
        <v>2291</v>
      </c>
      <c r="F4348" s="17"/>
      <c r="G4348" s="18" t="n">
        <v>158.27</v>
      </c>
      <c r="H4348" s="18" t="n">
        <v>0</v>
      </c>
      <c r="I4348" s="18" t="n">
        <f aca="false">((I4347 + G4348) - H4348)</f>
        <v>12327.61</v>
      </c>
      <c r="J4348" s="18" t="n">
        <v>15.83</v>
      </c>
      <c r="K4348" s="19" t="n">
        <v>10</v>
      </c>
      <c r="L4348" s="17" t="s">
        <v>44</v>
      </c>
    </row>
    <row r="4349" s="11" customFormat="true" ht="10.95" hidden="false" customHeight="true" outlineLevel="0" collapsed="false">
      <c r="A4349" s="16" t="n">
        <v>45165</v>
      </c>
      <c r="B4349" s="17" t="s">
        <v>2192</v>
      </c>
      <c r="C4349" s="17" t="s">
        <v>1593</v>
      </c>
      <c r="D4349" s="17" t="s">
        <v>1407</v>
      </c>
      <c r="E4349" s="17" t="s">
        <v>2246</v>
      </c>
      <c r="F4349" s="17"/>
      <c r="G4349" s="18" t="n">
        <v>89</v>
      </c>
      <c r="H4349" s="18" t="n">
        <v>0</v>
      </c>
      <c r="I4349" s="18" t="n">
        <f aca="false">((I4348 + G4349) - H4349)</f>
        <v>12416.61</v>
      </c>
      <c r="J4349" s="18" t="n">
        <v>8.9</v>
      </c>
      <c r="K4349" s="19" t="n">
        <v>10</v>
      </c>
      <c r="L4349" s="17" t="s">
        <v>44</v>
      </c>
    </row>
    <row r="4350" s="11" customFormat="true" ht="10.95" hidden="false" customHeight="true" outlineLevel="0" collapsed="false">
      <c r="A4350" s="16" t="n">
        <v>45166</v>
      </c>
      <c r="B4350" s="17" t="s">
        <v>2192</v>
      </c>
      <c r="C4350" s="17" t="s">
        <v>1593</v>
      </c>
      <c r="D4350" s="17" t="s">
        <v>1407</v>
      </c>
      <c r="E4350" s="17" t="s">
        <v>2196</v>
      </c>
      <c r="F4350" s="17"/>
      <c r="G4350" s="18" t="n">
        <v>63.48</v>
      </c>
      <c r="H4350" s="18" t="n">
        <v>0</v>
      </c>
      <c r="I4350" s="18" t="n">
        <f aca="false">((I4349 + G4350) - H4350)</f>
        <v>12480.09</v>
      </c>
      <c r="J4350" s="18" t="n">
        <v>0</v>
      </c>
      <c r="K4350" s="19" t="n">
        <v>0</v>
      </c>
      <c r="L4350" s="17" t="s">
        <v>1406</v>
      </c>
    </row>
    <row r="4351" s="11" customFormat="true" ht="10.95" hidden="false" customHeight="true" outlineLevel="0" collapsed="false">
      <c r="A4351" s="16" t="n">
        <v>45167</v>
      </c>
      <c r="B4351" s="17" t="s">
        <v>2192</v>
      </c>
      <c r="C4351" s="17" t="s">
        <v>1593</v>
      </c>
      <c r="D4351" s="17" t="s">
        <v>1407</v>
      </c>
      <c r="E4351" s="17" t="s">
        <v>2208</v>
      </c>
      <c r="F4351" s="17"/>
      <c r="G4351" s="18" t="n">
        <v>36.2</v>
      </c>
      <c r="H4351" s="18" t="n">
        <v>0</v>
      </c>
      <c r="I4351" s="18" t="n">
        <f aca="false">((I4350 + G4351) - H4351)</f>
        <v>12516.29</v>
      </c>
      <c r="J4351" s="18" t="n">
        <v>3.62</v>
      </c>
      <c r="K4351" s="19" t="n">
        <v>10</v>
      </c>
      <c r="L4351" s="17" t="s">
        <v>44</v>
      </c>
    </row>
    <row r="4352" s="11" customFormat="true" ht="10.95" hidden="false" customHeight="true" outlineLevel="0" collapsed="false">
      <c r="A4352" s="16" t="n">
        <v>45167</v>
      </c>
      <c r="B4352" s="17" t="s">
        <v>2192</v>
      </c>
      <c r="C4352" s="17" t="s">
        <v>1593</v>
      </c>
      <c r="D4352" s="17" t="s">
        <v>1407</v>
      </c>
      <c r="E4352" s="17" t="s">
        <v>2250</v>
      </c>
      <c r="F4352" s="17"/>
      <c r="G4352" s="18" t="n">
        <v>242.98</v>
      </c>
      <c r="H4352" s="18" t="n">
        <v>0</v>
      </c>
      <c r="I4352" s="18" t="n">
        <f aca="false">((I4351 + G4352) - H4352)</f>
        <v>12759.27</v>
      </c>
      <c r="J4352" s="18" t="n">
        <v>0</v>
      </c>
      <c r="K4352" s="19" t="n">
        <v>0</v>
      </c>
      <c r="L4352" s="17" t="s">
        <v>1406</v>
      </c>
    </row>
    <row r="4353" s="11" customFormat="true" ht="10.95" hidden="false" customHeight="true" outlineLevel="0" collapsed="false">
      <c r="A4353" s="16" t="n">
        <v>45169</v>
      </c>
      <c r="B4353" s="17" t="s">
        <v>2192</v>
      </c>
      <c r="C4353" s="17" t="s">
        <v>1593</v>
      </c>
      <c r="D4353" s="17" t="s">
        <v>1407</v>
      </c>
      <c r="E4353" s="17" t="s">
        <v>2195</v>
      </c>
      <c r="F4353" s="17"/>
      <c r="G4353" s="18" t="n">
        <v>75</v>
      </c>
      <c r="H4353" s="18" t="n">
        <v>0</v>
      </c>
      <c r="I4353" s="18" t="n">
        <f aca="false">((I4352 + G4353) - H4353)</f>
        <v>12834.27</v>
      </c>
      <c r="J4353" s="18" t="n">
        <v>7.5</v>
      </c>
      <c r="K4353" s="19" t="n">
        <v>10</v>
      </c>
      <c r="L4353" s="17" t="s">
        <v>44</v>
      </c>
    </row>
    <row r="4354" s="11" customFormat="true" ht="10.95" hidden="false" customHeight="true" outlineLevel="0" collapsed="false">
      <c r="A4354" s="16" t="n">
        <v>45169</v>
      </c>
      <c r="B4354" s="17" t="s">
        <v>2192</v>
      </c>
      <c r="C4354" s="17" t="s">
        <v>1593</v>
      </c>
      <c r="D4354" s="17" t="s">
        <v>1407</v>
      </c>
      <c r="E4354" s="17" t="s">
        <v>2193</v>
      </c>
      <c r="F4354" s="17"/>
      <c r="G4354" s="18" t="n">
        <v>434.06</v>
      </c>
      <c r="H4354" s="18" t="n">
        <v>0</v>
      </c>
      <c r="I4354" s="18" t="n">
        <f aca="false">((I4353 + G4354) - H4354)</f>
        <v>13268.33</v>
      </c>
      <c r="J4354" s="18" t="n">
        <v>0</v>
      </c>
      <c r="K4354" s="19" t="n">
        <v>0</v>
      </c>
      <c r="L4354" s="17" t="s">
        <v>1406</v>
      </c>
    </row>
    <row r="4355" s="11" customFormat="true" ht="10.95" hidden="false" customHeight="true" outlineLevel="0" collapsed="false">
      <c r="A4355" s="16" t="n">
        <v>45169</v>
      </c>
      <c r="B4355" s="17" t="s">
        <v>2192</v>
      </c>
      <c r="C4355" s="17" t="s">
        <v>1593</v>
      </c>
      <c r="D4355" s="17" t="s">
        <v>1407</v>
      </c>
      <c r="E4355" s="17" t="s">
        <v>2194</v>
      </c>
      <c r="F4355" s="17"/>
      <c r="G4355" s="18" t="n">
        <v>78.36</v>
      </c>
      <c r="H4355" s="18" t="n">
        <v>0</v>
      </c>
      <c r="I4355" s="18" t="n">
        <f aca="false">((I4354 + G4355) - H4355)</f>
        <v>13346.69</v>
      </c>
      <c r="J4355" s="18" t="n">
        <v>0</v>
      </c>
      <c r="K4355" s="19" t="n">
        <v>0</v>
      </c>
      <c r="L4355" s="17" t="s">
        <v>1406</v>
      </c>
    </row>
    <row r="4356" s="11" customFormat="true" ht="10.95" hidden="false" customHeight="true" outlineLevel="0" collapsed="false">
      <c r="A4356" s="16" t="n">
        <v>45170</v>
      </c>
      <c r="B4356" s="17" t="s">
        <v>2192</v>
      </c>
      <c r="C4356" s="17" t="s">
        <v>1593</v>
      </c>
      <c r="D4356" s="17" t="s">
        <v>1407</v>
      </c>
      <c r="E4356" s="17" t="s">
        <v>2196</v>
      </c>
      <c r="F4356" s="17"/>
      <c r="G4356" s="18" t="n">
        <v>22.29</v>
      </c>
      <c r="H4356" s="18" t="n">
        <v>0</v>
      </c>
      <c r="I4356" s="18" t="n">
        <f aca="false">((I4355 + G4356) - H4356)</f>
        <v>13368.98</v>
      </c>
      <c r="J4356" s="18" t="n">
        <v>0</v>
      </c>
      <c r="K4356" s="19" t="n">
        <v>0</v>
      </c>
      <c r="L4356" s="17" t="s">
        <v>1406</v>
      </c>
    </row>
    <row r="4357" s="11" customFormat="true" ht="10.95" hidden="false" customHeight="true" outlineLevel="0" collapsed="false">
      <c r="A4357" s="16" t="n">
        <v>45170</v>
      </c>
      <c r="B4357" s="17" t="s">
        <v>2192</v>
      </c>
      <c r="C4357" s="17" t="s">
        <v>1593</v>
      </c>
      <c r="D4357" s="17" t="s">
        <v>1407</v>
      </c>
      <c r="E4357" s="17" t="s">
        <v>2196</v>
      </c>
      <c r="F4357" s="17"/>
      <c r="G4357" s="18" t="n">
        <v>33.86</v>
      </c>
      <c r="H4357" s="18" t="n">
        <v>0</v>
      </c>
      <c r="I4357" s="18" t="n">
        <f aca="false">((I4356 + G4357) - H4357)</f>
        <v>13402.84</v>
      </c>
      <c r="J4357" s="18" t="n">
        <v>0</v>
      </c>
      <c r="K4357" s="19" t="n">
        <v>0</v>
      </c>
      <c r="L4357" s="17" t="s">
        <v>1406</v>
      </c>
    </row>
    <row r="4358" s="11" customFormat="true" ht="10.95" hidden="false" customHeight="true" outlineLevel="0" collapsed="false">
      <c r="A4358" s="16" t="n">
        <v>45170</v>
      </c>
      <c r="B4358" s="17" t="s">
        <v>2192</v>
      </c>
      <c r="C4358" s="17" t="s">
        <v>1593</v>
      </c>
      <c r="D4358" s="17" t="s">
        <v>1391</v>
      </c>
      <c r="E4358" s="17" t="s">
        <v>2292</v>
      </c>
      <c r="F4358" s="17" t="s">
        <v>2293</v>
      </c>
      <c r="G4358" s="18" t="n">
        <v>248</v>
      </c>
      <c r="H4358" s="18" t="n">
        <v>0</v>
      </c>
      <c r="I4358" s="18" t="n">
        <f aca="false">((I4357 + G4358) - H4358)</f>
        <v>13650.84</v>
      </c>
      <c r="J4358" s="18" t="n">
        <v>0</v>
      </c>
      <c r="K4358" s="19" t="n">
        <v>0</v>
      </c>
      <c r="L4358" s="17" t="s">
        <v>1406</v>
      </c>
    </row>
    <row r="4359" s="11" customFormat="true" ht="10.95" hidden="false" customHeight="true" outlineLevel="0" collapsed="false">
      <c r="A4359" s="16" t="n">
        <v>45171</v>
      </c>
      <c r="B4359" s="17" t="s">
        <v>2192</v>
      </c>
      <c r="C4359" s="17" t="s">
        <v>1593</v>
      </c>
      <c r="D4359" s="17" t="s">
        <v>1407</v>
      </c>
      <c r="E4359" s="17" t="s">
        <v>2201</v>
      </c>
      <c r="F4359" s="17"/>
      <c r="G4359" s="18" t="n">
        <v>36.35</v>
      </c>
      <c r="H4359" s="18" t="n">
        <v>0</v>
      </c>
      <c r="I4359" s="18" t="n">
        <f aca="false">((I4358 + G4359) - H4359)</f>
        <v>13687.19</v>
      </c>
      <c r="J4359" s="18" t="n">
        <v>3.64</v>
      </c>
      <c r="K4359" s="19" t="n">
        <v>10</v>
      </c>
      <c r="L4359" s="17" t="s">
        <v>44</v>
      </c>
    </row>
    <row r="4360" s="11" customFormat="true" ht="10.95" hidden="false" customHeight="true" outlineLevel="0" collapsed="false">
      <c r="A4360" s="16" t="n">
        <v>45173</v>
      </c>
      <c r="B4360" s="17" t="s">
        <v>2192</v>
      </c>
      <c r="C4360" s="17" t="s">
        <v>1593</v>
      </c>
      <c r="D4360" s="17" t="s">
        <v>1407</v>
      </c>
      <c r="E4360" s="17" t="s">
        <v>2196</v>
      </c>
      <c r="F4360" s="17"/>
      <c r="G4360" s="18" t="n">
        <v>17.91</v>
      </c>
      <c r="H4360" s="18" t="n">
        <v>0</v>
      </c>
      <c r="I4360" s="18" t="n">
        <f aca="false">((I4359 + G4360) - H4360)</f>
        <v>13705.1</v>
      </c>
      <c r="J4360" s="18" t="n">
        <v>0</v>
      </c>
      <c r="K4360" s="19" t="n">
        <v>0</v>
      </c>
      <c r="L4360" s="17" t="s">
        <v>1406</v>
      </c>
    </row>
    <row r="4361" s="11" customFormat="true" ht="10.95" hidden="false" customHeight="true" outlineLevel="0" collapsed="false">
      <c r="A4361" s="16" t="n">
        <v>45173</v>
      </c>
      <c r="B4361" s="17" t="s">
        <v>2192</v>
      </c>
      <c r="C4361" s="17" t="s">
        <v>1593</v>
      </c>
      <c r="D4361" s="17" t="s">
        <v>1407</v>
      </c>
      <c r="E4361" s="17" t="s">
        <v>2294</v>
      </c>
      <c r="F4361" s="17"/>
      <c r="G4361" s="18" t="n">
        <v>288.85</v>
      </c>
      <c r="H4361" s="18" t="n">
        <v>0</v>
      </c>
      <c r="I4361" s="18" t="n">
        <f aca="false">((I4360 + G4361) - H4361)</f>
        <v>13993.95</v>
      </c>
      <c r="J4361" s="18" t="n">
        <v>28.88</v>
      </c>
      <c r="K4361" s="19" t="n">
        <v>10</v>
      </c>
      <c r="L4361" s="17" t="s">
        <v>44</v>
      </c>
    </row>
    <row r="4362" s="11" customFormat="true" ht="10.95" hidden="false" customHeight="true" outlineLevel="0" collapsed="false">
      <c r="A4362" s="16" t="n">
        <v>45174</v>
      </c>
      <c r="B4362" s="17" t="s">
        <v>2192</v>
      </c>
      <c r="C4362" s="17" t="s">
        <v>1593</v>
      </c>
      <c r="D4362" s="17" t="s">
        <v>1407</v>
      </c>
      <c r="E4362" s="17" t="s">
        <v>2295</v>
      </c>
      <c r="F4362" s="17"/>
      <c r="G4362" s="18" t="n">
        <v>138.32</v>
      </c>
      <c r="H4362" s="18" t="n">
        <v>0</v>
      </c>
      <c r="I4362" s="18" t="n">
        <f aca="false">((I4361 + G4362) - H4362)</f>
        <v>14132.27</v>
      </c>
      <c r="J4362" s="18" t="n">
        <v>13.83</v>
      </c>
      <c r="K4362" s="19" t="n">
        <v>10</v>
      </c>
      <c r="L4362" s="17" t="s">
        <v>44</v>
      </c>
    </row>
    <row r="4363" s="11" customFormat="true" ht="10.95" hidden="false" customHeight="true" outlineLevel="0" collapsed="false">
      <c r="A4363" s="16" t="n">
        <v>45174</v>
      </c>
      <c r="B4363" s="17" t="s">
        <v>2192</v>
      </c>
      <c r="C4363" s="17" t="s">
        <v>1593</v>
      </c>
      <c r="D4363" s="17" t="s">
        <v>1407</v>
      </c>
      <c r="E4363" s="17" t="s">
        <v>1510</v>
      </c>
      <c r="F4363" s="17"/>
      <c r="G4363" s="18" t="n">
        <v>131.58</v>
      </c>
      <c r="H4363" s="18" t="n">
        <v>0</v>
      </c>
      <c r="I4363" s="18" t="n">
        <f aca="false">((I4362 + G4363) - H4363)</f>
        <v>14263.85</v>
      </c>
      <c r="J4363" s="18" t="n">
        <v>0</v>
      </c>
      <c r="K4363" s="19" t="n">
        <v>0</v>
      </c>
      <c r="L4363" s="17" t="s">
        <v>1406</v>
      </c>
    </row>
    <row r="4364" s="11" customFormat="true" ht="10.95" hidden="false" customHeight="true" outlineLevel="0" collapsed="false">
      <c r="A4364" s="16" t="n">
        <v>45174</v>
      </c>
      <c r="B4364" s="17" t="s">
        <v>2192</v>
      </c>
      <c r="C4364" s="17" t="s">
        <v>1593</v>
      </c>
      <c r="D4364" s="17" t="s">
        <v>1407</v>
      </c>
      <c r="E4364" s="17" t="s">
        <v>2296</v>
      </c>
      <c r="F4364" s="17"/>
      <c r="G4364" s="18" t="n">
        <v>183.63</v>
      </c>
      <c r="H4364" s="18" t="n">
        <v>0</v>
      </c>
      <c r="I4364" s="18" t="n">
        <f aca="false">((I4363 + G4364) - H4364)</f>
        <v>14447.48</v>
      </c>
      <c r="J4364" s="18" t="n">
        <v>0</v>
      </c>
      <c r="K4364" s="19" t="n">
        <v>0</v>
      </c>
      <c r="L4364" s="17" t="s">
        <v>1406</v>
      </c>
    </row>
    <row r="4365" s="11" customFormat="true" ht="10.95" hidden="false" customHeight="true" outlineLevel="0" collapsed="false">
      <c r="A4365" s="16" t="n">
        <v>45174</v>
      </c>
      <c r="B4365" s="17" t="s">
        <v>2192</v>
      </c>
      <c r="C4365" s="17" t="s">
        <v>1593</v>
      </c>
      <c r="D4365" s="17" t="s">
        <v>1407</v>
      </c>
      <c r="E4365" s="17" t="s">
        <v>2211</v>
      </c>
      <c r="F4365" s="17"/>
      <c r="G4365" s="18" t="n">
        <v>244.62</v>
      </c>
      <c r="H4365" s="18" t="n">
        <v>0</v>
      </c>
      <c r="I4365" s="18" t="n">
        <f aca="false">((I4364 + G4365) - H4365)</f>
        <v>14692.1</v>
      </c>
      <c r="J4365" s="18" t="n">
        <v>0</v>
      </c>
      <c r="K4365" s="19" t="n">
        <v>0</v>
      </c>
      <c r="L4365" s="17" t="s">
        <v>1406</v>
      </c>
    </row>
    <row r="4366" s="11" customFormat="true" ht="10.95" hidden="false" customHeight="true" outlineLevel="0" collapsed="false">
      <c r="A4366" s="16" t="n">
        <v>45174</v>
      </c>
      <c r="B4366" s="17" t="s">
        <v>2192</v>
      </c>
      <c r="C4366" s="17" t="s">
        <v>1593</v>
      </c>
      <c r="D4366" s="17" t="s">
        <v>1407</v>
      </c>
      <c r="E4366" s="17" t="s">
        <v>2297</v>
      </c>
      <c r="F4366" s="17"/>
      <c r="G4366" s="18" t="n">
        <v>11.56</v>
      </c>
      <c r="H4366" s="18" t="n">
        <v>0</v>
      </c>
      <c r="I4366" s="18" t="n">
        <f aca="false">((I4365 + G4366) - H4366)</f>
        <v>14703.66</v>
      </c>
      <c r="J4366" s="18" t="n">
        <v>0</v>
      </c>
      <c r="K4366" s="19" t="n">
        <v>0</v>
      </c>
      <c r="L4366" s="17" t="s">
        <v>1406</v>
      </c>
    </row>
    <row r="4367" s="11" customFormat="true" ht="10.95" hidden="false" customHeight="true" outlineLevel="0" collapsed="false">
      <c r="A4367" s="16" t="n">
        <v>45175</v>
      </c>
      <c r="B4367" s="17" t="s">
        <v>2192</v>
      </c>
      <c r="C4367" s="17" t="s">
        <v>1593</v>
      </c>
      <c r="D4367" s="17" t="s">
        <v>1407</v>
      </c>
      <c r="E4367" s="17" t="s">
        <v>2208</v>
      </c>
      <c r="F4367" s="17"/>
      <c r="G4367" s="18" t="n">
        <v>16.5</v>
      </c>
      <c r="H4367" s="18" t="n">
        <v>0</v>
      </c>
      <c r="I4367" s="18" t="n">
        <f aca="false">((I4366 + G4367) - H4367)</f>
        <v>14720.16</v>
      </c>
      <c r="J4367" s="18" t="n">
        <v>1.65</v>
      </c>
      <c r="K4367" s="19" t="n">
        <v>10</v>
      </c>
      <c r="L4367" s="17" t="s">
        <v>44</v>
      </c>
    </row>
    <row r="4368" s="11" customFormat="true" ht="10.95" hidden="false" customHeight="true" outlineLevel="0" collapsed="false">
      <c r="A4368" s="16" t="n">
        <v>45175</v>
      </c>
      <c r="B4368" s="17" t="s">
        <v>2192</v>
      </c>
      <c r="C4368" s="17" t="s">
        <v>1593</v>
      </c>
      <c r="D4368" s="17" t="s">
        <v>1407</v>
      </c>
      <c r="E4368" s="17" t="s">
        <v>2298</v>
      </c>
      <c r="F4368" s="17"/>
      <c r="G4368" s="18" t="n">
        <v>65</v>
      </c>
      <c r="H4368" s="18" t="n">
        <v>0</v>
      </c>
      <c r="I4368" s="18" t="n">
        <f aca="false">((I4367 + G4368) - H4368)</f>
        <v>14785.16</v>
      </c>
      <c r="J4368" s="18" t="n">
        <v>6.5</v>
      </c>
      <c r="K4368" s="19" t="n">
        <v>10</v>
      </c>
      <c r="L4368" s="17" t="s">
        <v>44</v>
      </c>
    </row>
    <row r="4369" s="11" customFormat="true" ht="10.95" hidden="false" customHeight="true" outlineLevel="0" collapsed="false">
      <c r="A4369" s="16" t="n">
        <v>45176</v>
      </c>
      <c r="B4369" s="17" t="s">
        <v>2192</v>
      </c>
      <c r="C4369" s="17" t="s">
        <v>1593</v>
      </c>
      <c r="D4369" s="17" t="s">
        <v>1407</v>
      </c>
      <c r="E4369" s="17" t="s">
        <v>2196</v>
      </c>
      <c r="F4369" s="17"/>
      <c r="G4369" s="18" t="n">
        <v>4.68</v>
      </c>
      <c r="H4369" s="18" t="n">
        <v>0</v>
      </c>
      <c r="I4369" s="18" t="n">
        <f aca="false">((I4368 + G4369) - H4369)</f>
        <v>14789.84</v>
      </c>
      <c r="J4369" s="18" t="n">
        <v>0</v>
      </c>
      <c r="K4369" s="19" t="n">
        <v>0</v>
      </c>
      <c r="L4369" s="17" t="s">
        <v>1406</v>
      </c>
    </row>
    <row r="4370" s="11" customFormat="true" ht="10.95" hidden="false" customHeight="true" outlineLevel="0" collapsed="false">
      <c r="A4370" s="16" t="n">
        <v>45176</v>
      </c>
      <c r="B4370" s="17" t="s">
        <v>2192</v>
      </c>
      <c r="C4370" s="17" t="s">
        <v>1593</v>
      </c>
      <c r="D4370" s="17" t="s">
        <v>1407</v>
      </c>
      <c r="E4370" s="17" t="s">
        <v>2209</v>
      </c>
      <c r="F4370" s="17"/>
      <c r="G4370" s="18" t="n">
        <v>15.16</v>
      </c>
      <c r="H4370" s="18" t="n">
        <v>0</v>
      </c>
      <c r="I4370" s="18" t="n">
        <f aca="false">((I4369 + G4370) - H4370)</f>
        <v>14805</v>
      </c>
      <c r="J4370" s="18" t="n">
        <v>1.52</v>
      </c>
      <c r="K4370" s="19" t="n">
        <v>10</v>
      </c>
      <c r="L4370" s="17" t="s">
        <v>44</v>
      </c>
    </row>
    <row r="4371" s="11" customFormat="true" ht="10.95" hidden="false" customHeight="true" outlineLevel="0" collapsed="false">
      <c r="A4371" s="16" t="n">
        <v>45176</v>
      </c>
      <c r="B4371" s="17" t="s">
        <v>2192</v>
      </c>
      <c r="C4371" s="17" t="s">
        <v>1593</v>
      </c>
      <c r="D4371" s="17" t="s">
        <v>1407</v>
      </c>
      <c r="E4371" s="17" t="s">
        <v>2208</v>
      </c>
      <c r="F4371" s="17"/>
      <c r="G4371" s="18" t="n">
        <v>17.2</v>
      </c>
      <c r="H4371" s="18" t="n">
        <v>0</v>
      </c>
      <c r="I4371" s="18" t="n">
        <f aca="false">((I4370 + G4371) - H4371)</f>
        <v>14822.2</v>
      </c>
      <c r="J4371" s="18" t="n">
        <v>1.72</v>
      </c>
      <c r="K4371" s="19" t="n">
        <v>10</v>
      </c>
      <c r="L4371" s="17" t="s">
        <v>44</v>
      </c>
    </row>
    <row r="4372" s="11" customFormat="true" ht="10.95" hidden="false" customHeight="true" outlineLevel="0" collapsed="false">
      <c r="A4372" s="16" t="n">
        <v>45176</v>
      </c>
      <c r="B4372" s="17" t="s">
        <v>2192</v>
      </c>
      <c r="C4372" s="17" t="s">
        <v>1593</v>
      </c>
      <c r="D4372" s="17" t="s">
        <v>1407</v>
      </c>
      <c r="E4372" s="17" t="s">
        <v>2210</v>
      </c>
      <c r="F4372" s="17"/>
      <c r="G4372" s="18" t="n">
        <v>45.06</v>
      </c>
      <c r="H4372" s="18" t="n">
        <v>0</v>
      </c>
      <c r="I4372" s="18" t="n">
        <f aca="false">((I4371 + G4372) - H4372)</f>
        <v>14867.26</v>
      </c>
      <c r="J4372" s="18" t="n">
        <v>0</v>
      </c>
      <c r="K4372" s="19" t="n">
        <v>0</v>
      </c>
      <c r="L4372" s="17" t="s">
        <v>1406</v>
      </c>
    </row>
    <row r="4373" s="11" customFormat="true" ht="10.95" hidden="false" customHeight="true" outlineLevel="0" collapsed="false">
      <c r="A4373" s="16" t="n">
        <v>45177</v>
      </c>
      <c r="B4373" s="17" t="s">
        <v>2192</v>
      </c>
      <c r="C4373" s="17" t="s">
        <v>1593</v>
      </c>
      <c r="D4373" s="17" t="s">
        <v>1407</v>
      </c>
      <c r="E4373" s="17" t="s">
        <v>2196</v>
      </c>
      <c r="F4373" s="17"/>
      <c r="G4373" s="18" t="n">
        <v>3.46</v>
      </c>
      <c r="H4373" s="18" t="n">
        <v>0</v>
      </c>
      <c r="I4373" s="18" t="n">
        <f aca="false">((I4372 + G4373) - H4373)</f>
        <v>14870.72</v>
      </c>
      <c r="J4373" s="18" t="n">
        <v>0</v>
      </c>
      <c r="K4373" s="19" t="n">
        <v>0</v>
      </c>
      <c r="L4373" s="17" t="s">
        <v>1406</v>
      </c>
    </row>
    <row r="4374" s="11" customFormat="true" ht="10.95" hidden="false" customHeight="true" outlineLevel="0" collapsed="false">
      <c r="A4374" s="16" t="n">
        <v>45177</v>
      </c>
      <c r="B4374" s="17" t="s">
        <v>2192</v>
      </c>
      <c r="C4374" s="17" t="s">
        <v>1593</v>
      </c>
      <c r="D4374" s="17" t="s">
        <v>1407</v>
      </c>
      <c r="E4374" s="17" t="s">
        <v>2196</v>
      </c>
      <c r="F4374" s="17"/>
      <c r="G4374" s="18" t="n">
        <v>103.44</v>
      </c>
      <c r="H4374" s="18" t="n">
        <v>0</v>
      </c>
      <c r="I4374" s="18" t="n">
        <f aca="false">((I4373 + G4374) - H4374)</f>
        <v>14974.16</v>
      </c>
      <c r="J4374" s="18" t="n">
        <v>0</v>
      </c>
      <c r="K4374" s="19" t="n">
        <v>0</v>
      </c>
      <c r="L4374" s="17" t="s">
        <v>1406</v>
      </c>
    </row>
    <row r="4375" s="11" customFormat="true" ht="10.95" hidden="false" customHeight="true" outlineLevel="0" collapsed="false">
      <c r="A4375" s="16" t="n">
        <v>45177</v>
      </c>
      <c r="B4375" s="17" t="s">
        <v>2192</v>
      </c>
      <c r="C4375" s="17" t="s">
        <v>1593</v>
      </c>
      <c r="D4375" s="17" t="s">
        <v>1407</v>
      </c>
      <c r="E4375" s="17" t="s">
        <v>2196</v>
      </c>
      <c r="F4375" s="17"/>
      <c r="G4375" s="18" t="n">
        <v>11.81</v>
      </c>
      <c r="H4375" s="18" t="n">
        <v>0</v>
      </c>
      <c r="I4375" s="18" t="n">
        <f aca="false">((I4374 + G4375) - H4375)</f>
        <v>14985.97</v>
      </c>
      <c r="J4375" s="18" t="n">
        <v>1.18</v>
      </c>
      <c r="K4375" s="19" t="n">
        <v>10</v>
      </c>
      <c r="L4375" s="17" t="s">
        <v>44</v>
      </c>
    </row>
    <row r="4376" s="11" customFormat="true" ht="10.95" hidden="false" customHeight="true" outlineLevel="0" collapsed="false">
      <c r="A4376" s="16" t="n">
        <v>45177</v>
      </c>
      <c r="B4376" s="17" t="s">
        <v>2192</v>
      </c>
      <c r="C4376" s="17" t="s">
        <v>1593</v>
      </c>
      <c r="D4376" s="17" t="s">
        <v>1391</v>
      </c>
      <c r="E4376" s="17" t="s">
        <v>2299</v>
      </c>
      <c r="F4376" s="17" t="s">
        <v>2300</v>
      </c>
      <c r="G4376" s="18" t="n">
        <v>469.17</v>
      </c>
      <c r="H4376" s="18" t="n">
        <v>0</v>
      </c>
      <c r="I4376" s="18" t="n">
        <f aca="false">((I4375 + G4376) - H4376)</f>
        <v>15455.14</v>
      </c>
      <c r="J4376" s="18" t="n">
        <v>0</v>
      </c>
      <c r="K4376" s="19" t="n">
        <v>0</v>
      </c>
      <c r="L4376" s="17" t="s">
        <v>1406</v>
      </c>
    </row>
    <row r="4377" s="11" customFormat="true" ht="10.95" hidden="false" customHeight="true" outlineLevel="0" collapsed="false">
      <c r="A4377" s="16" t="n">
        <v>45181</v>
      </c>
      <c r="B4377" s="17" t="s">
        <v>2192</v>
      </c>
      <c r="C4377" s="17" t="s">
        <v>1593</v>
      </c>
      <c r="D4377" s="17" t="s">
        <v>1407</v>
      </c>
      <c r="E4377" s="17" t="s">
        <v>2196</v>
      </c>
      <c r="F4377" s="17"/>
      <c r="G4377" s="18" t="n">
        <v>4.66</v>
      </c>
      <c r="H4377" s="18" t="n">
        <v>0</v>
      </c>
      <c r="I4377" s="18" t="n">
        <f aca="false">((I4376 + G4377) - H4377)</f>
        <v>15459.8</v>
      </c>
      <c r="J4377" s="18" t="n">
        <v>0</v>
      </c>
      <c r="K4377" s="19" t="n">
        <v>0</v>
      </c>
      <c r="L4377" s="17" t="s">
        <v>1406</v>
      </c>
    </row>
    <row r="4378" s="11" customFormat="true" ht="10.95" hidden="false" customHeight="true" outlineLevel="0" collapsed="false">
      <c r="A4378" s="16" t="n">
        <v>45182</v>
      </c>
      <c r="B4378" s="17" t="s">
        <v>2192</v>
      </c>
      <c r="C4378" s="17" t="s">
        <v>1593</v>
      </c>
      <c r="D4378" s="17" t="s">
        <v>1407</v>
      </c>
      <c r="E4378" s="17" t="s">
        <v>2196</v>
      </c>
      <c r="F4378" s="17"/>
      <c r="G4378" s="18" t="n">
        <v>1.54</v>
      </c>
      <c r="H4378" s="18" t="n">
        <v>0</v>
      </c>
      <c r="I4378" s="18" t="n">
        <f aca="false">((I4377 + G4378) - H4378)</f>
        <v>15461.34</v>
      </c>
      <c r="J4378" s="18" t="n">
        <v>0</v>
      </c>
      <c r="K4378" s="19" t="n">
        <v>0</v>
      </c>
      <c r="L4378" s="17" t="s">
        <v>1406</v>
      </c>
    </row>
    <row r="4379" s="11" customFormat="true" ht="10.95" hidden="false" customHeight="true" outlineLevel="0" collapsed="false">
      <c r="A4379" s="16" t="n">
        <v>45183</v>
      </c>
      <c r="B4379" s="17" t="s">
        <v>2192</v>
      </c>
      <c r="C4379" s="17" t="s">
        <v>1593</v>
      </c>
      <c r="D4379" s="17" t="s">
        <v>1407</v>
      </c>
      <c r="E4379" s="17" t="s">
        <v>2267</v>
      </c>
      <c r="F4379" s="17"/>
      <c r="G4379" s="18" t="n">
        <v>47.12</v>
      </c>
      <c r="H4379" s="18" t="n">
        <v>0</v>
      </c>
      <c r="I4379" s="18" t="n">
        <f aca="false">((I4378 + G4379) - H4379)</f>
        <v>15508.46</v>
      </c>
      <c r="J4379" s="18" t="n">
        <v>0</v>
      </c>
      <c r="K4379" s="19" t="n">
        <v>0</v>
      </c>
      <c r="L4379" s="17" t="s">
        <v>1406</v>
      </c>
    </row>
    <row r="4380" s="11" customFormat="true" ht="10.95" hidden="false" customHeight="true" outlineLevel="0" collapsed="false">
      <c r="A4380" s="16" t="n">
        <v>45184</v>
      </c>
      <c r="B4380" s="17" t="s">
        <v>2192</v>
      </c>
      <c r="C4380" s="17" t="s">
        <v>1593</v>
      </c>
      <c r="D4380" s="17" t="s">
        <v>1407</v>
      </c>
      <c r="E4380" s="17" t="s">
        <v>2216</v>
      </c>
      <c r="F4380" s="17"/>
      <c r="G4380" s="18" t="n">
        <v>13.63</v>
      </c>
      <c r="H4380" s="18" t="n">
        <v>0</v>
      </c>
      <c r="I4380" s="18" t="n">
        <f aca="false">((I4379 + G4380) - H4380)</f>
        <v>15522.09</v>
      </c>
      <c r="J4380" s="18" t="n">
        <v>1.36</v>
      </c>
      <c r="K4380" s="19" t="n">
        <v>10</v>
      </c>
      <c r="L4380" s="17" t="s">
        <v>44</v>
      </c>
    </row>
    <row r="4381" s="11" customFormat="true" ht="10.95" hidden="false" customHeight="true" outlineLevel="0" collapsed="false">
      <c r="A4381" s="16" t="n">
        <v>45184</v>
      </c>
      <c r="B4381" s="17" t="s">
        <v>2192</v>
      </c>
      <c r="C4381" s="17" t="s">
        <v>1593</v>
      </c>
      <c r="D4381" s="17" t="s">
        <v>1407</v>
      </c>
      <c r="E4381" s="17" t="s">
        <v>2217</v>
      </c>
      <c r="F4381" s="17"/>
      <c r="G4381" s="18" t="n">
        <v>20.75</v>
      </c>
      <c r="H4381" s="18" t="n">
        <v>0</v>
      </c>
      <c r="I4381" s="18" t="n">
        <f aca="false">((I4380 + G4381) - H4381)</f>
        <v>15542.84</v>
      </c>
      <c r="J4381" s="18" t="n">
        <v>0</v>
      </c>
      <c r="K4381" s="19" t="n">
        <v>0</v>
      </c>
      <c r="L4381" s="17" t="s">
        <v>1406</v>
      </c>
    </row>
    <row r="4382" s="11" customFormat="true" ht="10.95" hidden="false" customHeight="true" outlineLevel="0" collapsed="false">
      <c r="A4382" s="16" t="n">
        <v>45185</v>
      </c>
      <c r="B4382" s="17" t="s">
        <v>2192</v>
      </c>
      <c r="C4382" s="17" t="s">
        <v>1593</v>
      </c>
      <c r="D4382" s="17" t="s">
        <v>1407</v>
      </c>
      <c r="E4382" s="17" t="s">
        <v>2193</v>
      </c>
      <c r="F4382" s="17"/>
      <c r="G4382" s="18" t="n">
        <v>164.74</v>
      </c>
      <c r="H4382" s="18" t="n">
        <v>0</v>
      </c>
      <c r="I4382" s="18" t="n">
        <f aca="false">((I4381 + G4382) - H4382)</f>
        <v>15707.58</v>
      </c>
      <c r="J4382" s="18" t="n">
        <v>0</v>
      </c>
      <c r="K4382" s="19" t="n">
        <v>0</v>
      </c>
      <c r="L4382" s="17" t="s">
        <v>1406</v>
      </c>
    </row>
    <row r="4383" s="11" customFormat="true" ht="10.95" hidden="false" customHeight="true" outlineLevel="0" collapsed="false">
      <c r="A4383" s="16" t="n">
        <v>45187</v>
      </c>
      <c r="B4383" s="17" t="s">
        <v>2192</v>
      </c>
      <c r="C4383" s="17" t="s">
        <v>1593</v>
      </c>
      <c r="D4383" s="17" t="s">
        <v>1391</v>
      </c>
      <c r="E4383" s="17" t="s">
        <v>2301</v>
      </c>
      <c r="F4383" s="17" t="s">
        <v>2302</v>
      </c>
      <c r="G4383" s="18" t="n">
        <v>62</v>
      </c>
      <c r="H4383" s="18" t="n">
        <v>0</v>
      </c>
      <c r="I4383" s="18" t="n">
        <f aca="false">((I4382 + G4383) - H4383)</f>
        <v>15769.58</v>
      </c>
      <c r="J4383" s="18" t="n">
        <v>6.2</v>
      </c>
      <c r="K4383" s="19" t="n">
        <v>10</v>
      </c>
      <c r="L4383" s="17" t="s">
        <v>44</v>
      </c>
    </row>
    <row r="4384" s="11" customFormat="true" ht="10.95" hidden="false" customHeight="true" outlineLevel="0" collapsed="false">
      <c r="A4384" s="16" t="n">
        <v>45187</v>
      </c>
      <c r="B4384" s="17" t="s">
        <v>2192</v>
      </c>
      <c r="C4384" s="17" t="s">
        <v>1593</v>
      </c>
      <c r="D4384" s="17" t="s">
        <v>1391</v>
      </c>
      <c r="E4384" s="17" t="s">
        <v>2303</v>
      </c>
      <c r="F4384" s="17" t="s">
        <v>2304</v>
      </c>
      <c r="G4384" s="18" t="n">
        <v>22</v>
      </c>
      <c r="H4384" s="18" t="n">
        <v>0</v>
      </c>
      <c r="I4384" s="18" t="n">
        <f aca="false">((I4383 + G4384) - H4384)</f>
        <v>15791.58</v>
      </c>
      <c r="J4384" s="18" t="n">
        <v>2.2</v>
      </c>
      <c r="K4384" s="19" t="n">
        <v>10</v>
      </c>
      <c r="L4384" s="17" t="s">
        <v>44</v>
      </c>
    </row>
    <row r="4385" s="11" customFormat="true" ht="10.95" hidden="false" customHeight="true" outlineLevel="0" collapsed="false">
      <c r="A4385" s="16" t="n">
        <v>45187</v>
      </c>
      <c r="B4385" s="17" t="s">
        <v>2192</v>
      </c>
      <c r="C4385" s="17" t="s">
        <v>1593</v>
      </c>
      <c r="D4385" s="17" t="s">
        <v>1391</v>
      </c>
      <c r="E4385" s="17" t="s">
        <v>2305</v>
      </c>
      <c r="F4385" s="17" t="s">
        <v>2306</v>
      </c>
      <c r="G4385" s="18" t="n">
        <v>199.8</v>
      </c>
      <c r="H4385" s="18" t="n">
        <v>0</v>
      </c>
      <c r="I4385" s="18" t="n">
        <f aca="false">((I4384 + G4385) - H4385)</f>
        <v>15991.38</v>
      </c>
      <c r="J4385" s="18" t="n">
        <v>19.98</v>
      </c>
      <c r="K4385" s="19" t="n">
        <v>10</v>
      </c>
      <c r="L4385" s="17" t="s">
        <v>44</v>
      </c>
    </row>
    <row r="4386" s="11" customFormat="true" ht="10.95" hidden="false" customHeight="true" outlineLevel="0" collapsed="false">
      <c r="A4386" s="16" t="n">
        <v>45187</v>
      </c>
      <c r="B4386" s="17" t="s">
        <v>2192</v>
      </c>
      <c r="C4386" s="17" t="s">
        <v>1593</v>
      </c>
      <c r="D4386" s="17" t="s">
        <v>1391</v>
      </c>
      <c r="E4386" s="17" t="s">
        <v>2307</v>
      </c>
      <c r="F4386" s="17" t="s">
        <v>2308</v>
      </c>
      <c r="G4386" s="18" t="n">
        <v>55</v>
      </c>
      <c r="H4386" s="18" t="n">
        <v>0</v>
      </c>
      <c r="I4386" s="18" t="n">
        <f aca="false">((I4385 + G4386) - H4386)</f>
        <v>16046.38</v>
      </c>
      <c r="J4386" s="18" t="n">
        <v>5.5</v>
      </c>
      <c r="K4386" s="19" t="n">
        <v>10</v>
      </c>
      <c r="L4386" s="17" t="s">
        <v>44</v>
      </c>
    </row>
    <row r="4387" s="11" customFormat="true" ht="10.95" hidden="false" customHeight="true" outlineLevel="0" collapsed="false">
      <c r="A4387" s="16" t="n">
        <v>45187</v>
      </c>
      <c r="B4387" s="17" t="s">
        <v>2192</v>
      </c>
      <c r="C4387" s="17" t="s">
        <v>1593</v>
      </c>
      <c r="D4387" s="17" t="s">
        <v>1391</v>
      </c>
      <c r="E4387" s="17" t="s">
        <v>2309</v>
      </c>
      <c r="F4387" s="17" t="s">
        <v>2310</v>
      </c>
      <c r="G4387" s="18" t="n">
        <v>69.6</v>
      </c>
      <c r="H4387" s="18" t="n">
        <v>0</v>
      </c>
      <c r="I4387" s="18" t="n">
        <f aca="false">((I4386 + G4387) - H4387)</f>
        <v>16115.98</v>
      </c>
      <c r="J4387" s="18" t="n">
        <v>6.96</v>
      </c>
      <c r="K4387" s="19" t="n">
        <v>10</v>
      </c>
      <c r="L4387" s="17" t="s">
        <v>44</v>
      </c>
    </row>
    <row r="4388" s="11" customFormat="true" ht="10.95" hidden="false" customHeight="true" outlineLevel="0" collapsed="false">
      <c r="A4388" s="16" t="n">
        <v>45187</v>
      </c>
      <c r="B4388" s="17" t="s">
        <v>2192</v>
      </c>
      <c r="C4388" s="17" t="s">
        <v>1593</v>
      </c>
      <c r="D4388" s="17" t="s">
        <v>1391</v>
      </c>
      <c r="E4388" s="17" t="s">
        <v>2311</v>
      </c>
      <c r="F4388" s="17" t="s">
        <v>2312</v>
      </c>
      <c r="G4388" s="18" t="n">
        <v>41.2</v>
      </c>
      <c r="H4388" s="18" t="n">
        <v>0</v>
      </c>
      <c r="I4388" s="18" t="n">
        <f aca="false">((I4387 + G4388) - H4388)</f>
        <v>16157.18</v>
      </c>
      <c r="J4388" s="18" t="n">
        <v>4.12</v>
      </c>
      <c r="K4388" s="19" t="n">
        <v>10</v>
      </c>
      <c r="L4388" s="17" t="s">
        <v>44</v>
      </c>
    </row>
    <row r="4389" s="11" customFormat="true" ht="10.95" hidden="false" customHeight="true" outlineLevel="0" collapsed="false">
      <c r="A4389" s="16" t="n">
        <v>45187</v>
      </c>
      <c r="B4389" s="17" t="s">
        <v>2192</v>
      </c>
      <c r="C4389" s="17" t="s">
        <v>1593</v>
      </c>
      <c r="D4389" s="17" t="s">
        <v>1391</v>
      </c>
      <c r="E4389" s="17" t="s">
        <v>2313</v>
      </c>
      <c r="F4389" s="17" t="s">
        <v>2314</v>
      </c>
      <c r="G4389" s="18" t="n">
        <v>8.2</v>
      </c>
      <c r="H4389" s="18" t="n">
        <v>0</v>
      </c>
      <c r="I4389" s="18" t="n">
        <f aca="false">((I4388 + G4389) - H4389)</f>
        <v>16165.38</v>
      </c>
      <c r="J4389" s="18" t="n">
        <v>0.82</v>
      </c>
      <c r="K4389" s="19" t="n">
        <v>10</v>
      </c>
      <c r="L4389" s="17" t="s">
        <v>44</v>
      </c>
    </row>
    <row r="4390" s="11" customFormat="true" ht="10.95" hidden="false" customHeight="true" outlineLevel="0" collapsed="false">
      <c r="A4390" s="16" t="n">
        <v>45187</v>
      </c>
      <c r="B4390" s="17" t="s">
        <v>2192</v>
      </c>
      <c r="C4390" s="17" t="s">
        <v>1593</v>
      </c>
      <c r="D4390" s="17" t="s">
        <v>1391</v>
      </c>
      <c r="E4390" s="17" t="s">
        <v>2315</v>
      </c>
      <c r="F4390" s="17" t="s">
        <v>2316</v>
      </c>
      <c r="G4390" s="18" t="n">
        <v>30.2</v>
      </c>
      <c r="H4390" s="18" t="n">
        <v>0</v>
      </c>
      <c r="I4390" s="18" t="n">
        <f aca="false">((I4389 + G4390) - H4390)</f>
        <v>16195.58</v>
      </c>
      <c r="J4390" s="18" t="n">
        <v>3.02</v>
      </c>
      <c r="K4390" s="19" t="n">
        <v>10</v>
      </c>
      <c r="L4390" s="17" t="s">
        <v>44</v>
      </c>
    </row>
    <row r="4391" s="11" customFormat="true" ht="10.95" hidden="false" customHeight="true" outlineLevel="0" collapsed="false">
      <c r="A4391" s="16" t="n">
        <v>45187</v>
      </c>
      <c r="B4391" s="17" t="s">
        <v>2192</v>
      </c>
      <c r="C4391" s="17" t="s">
        <v>1593</v>
      </c>
      <c r="D4391" s="17" t="s">
        <v>1407</v>
      </c>
      <c r="E4391" s="17" t="s">
        <v>2196</v>
      </c>
      <c r="F4391" s="17"/>
      <c r="G4391" s="18" t="n">
        <v>25.71</v>
      </c>
      <c r="H4391" s="18" t="n">
        <v>0</v>
      </c>
      <c r="I4391" s="18" t="n">
        <f aca="false">((I4390 + G4391) - H4391)</f>
        <v>16221.29</v>
      </c>
      <c r="J4391" s="18" t="n">
        <v>0</v>
      </c>
      <c r="K4391" s="19" t="n">
        <v>0</v>
      </c>
      <c r="L4391" s="17" t="s">
        <v>1406</v>
      </c>
    </row>
    <row r="4392" s="11" customFormat="true" ht="10.95" hidden="false" customHeight="true" outlineLevel="0" collapsed="false">
      <c r="A4392" s="16" t="n">
        <v>45187</v>
      </c>
      <c r="B4392" s="17" t="s">
        <v>2192</v>
      </c>
      <c r="C4392" s="17" t="s">
        <v>1593</v>
      </c>
      <c r="D4392" s="17" t="s">
        <v>1407</v>
      </c>
      <c r="E4392" s="17" t="s">
        <v>2196</v>
      </c>
      <c r="F4392" s="17"/>
      <c r="G4392" s="18" t="n">
        <v>51.42</v>
      </c>
      <c r="H4392" s="18" t="n">
        <v>0</v>
      </c>
      <c r="I4392" s="18" t="n">
        <f aca="false">((I4391 + G4392) - H4392)</f>
        <v>16272.71</v>
      </c>
      <c r="J4392" s="18" t="n">
        <v>0</v>
      </c>
      <c r="K4392" s="19" t="n">
        <v>0</v>
      </c>
      <c r="L4392" s="17" t="s">
        <v>1406</v>
      </c>
    </row>
    <row r="4393" s="11" customFormat="true" ht="10.95" hidden="false" customHeight="true" outlineLevel="0" collapsed="false">
      <c r="A4393" s="16" t="n">
        <v>45188</v>
      </c>
      <c r="B4393" s="17" t="s">
        <v>2192</v>
      </c>
      <c r="C4393" s="17" t="s">
        <v>1593</v>
      </c>
      <c r="D4393" s="17" t="s">
        <v>1407</v>
      </c>
      <c r="E4393" s="17" t="s">
        <v>2196</v>
      </c>
      <c r="F4393" s="17"/>
      <c r="G4393" s="18" t="n">
        <v>19.03</v>
      </c>
      <c r="H4393" s="18" t="n">
        <v>0</v>
      </c>
      <c r="I4393" s="18" t="n">
        <f aca="false">((I4392 + G4393) - H4393)</f>
        <v>16291.74</v>
      </c>
      <c r="J4393" s="18" t="n">
        <v>0</v>
      </c>
      <c r="K4393" s="19" t="n">
        <v>0</v>
      </c>
      <c r="L4393" s="17" t="s">
        <v>1406</v>
      </c>
    </row>
    <row r="4394" s="11" customFormat="true" ht="10.95" hidden="false" customHeight="true" outlineLevel="0" collapsed="false">
      <c r="A4394" s="16" t="n">
        <v>45188</v>
      </c>
      <c r="B4394" s="17" t="s">
        <v>2192</v>
      </c>
      <c r="C4394" s="17" t="s">
        <v>1593</v>
      </c>
      <c r="D4394" s="17" t="s">
        <v>1407</v>
      </c>
      <c r="E4394" s="17" t="s">
        <v>2234</v>
      </c>
      <c r="F4394" s="17"/>
      <c r="G4394" s="18" t="n">
        <v>76.43</v>
      </c>
      <c r="H4394" s="18" t="n">
        <v>0</v>
      </c>
      <c r="I4394" s="18" t="n">
        <f aca="false">((I4393 + G4394) - H4394)</f>
        <v>16368.17</v>
      </c>
      <c r="J4394" s="18" t="n">
        <v>7.64</v>
      </c>
      <c r="K4394" s="19" t="n">
        <v>10</v>
      </c>
      <c r="L4394" s="17" t="s">
        <v>44</v>
      </c>
    </row>
    <row r="4395" s="11" customFormat="true" ht="10.95" hidden="false" customHeight="true" outlineLevel="0" collapsed="false">
      <c r="A4395" s="16" t="n">
        <v>45188</v>
      </c>
      <c r="B4395" s="17" t="s">
        <v>2192</v>
      </c>
      <c r="C4395" s="17" t="s">
        <v>1593</v>
      </c>
      <c r="D4395" s="17" t="s">
        <v>1407</v>
      </c>
      <c r="E4395" s="17" t="s">
        <v>2317</v>
      </c>
      <c r="F4395" s="17"/>
      <c r="G4395" s="18" t="n">
        <v>247.73</v>
      </c>
      <c r="H4395" s="18" t="n">
        <v>0</v>
      </c>
      <c r="I4395" s="18" t="n">
        <f aca="false">((I4394 + G4395) - H4395)</f>
        <v>16615.9</v>
      </c>
      <c r="J4395" s="18" t="n">
        <v>24.77</v>
      </c>
      <c r="K4395" s="19" t="n">
        <v>10</v>
      </c>
      <c r="L4395" s="17" t="s">
        <v>44</v>
      </c>
    </row>
    <row r="4396" s="11" customFormat="true" ht="10.95" hidden="false" customHeight="true" outlineLevel="0" collapsed="false">
      <c r="A4396" s="16" t="n">
        <v>45189</v>
      </c>
      <c r="B4396" s="17" t="s">
        <v>2192</v>
      </c>
      <c r="C4396" s="17" t="s">
        <v>1593</v>
      </c>
      <c r="D4396" s="17" t="s">
        <v>1391</v>
      </c>
      <c r="E4396" s="17" t="s">
        <v>2318</v>
      </c>
      <c r="F4396" s="17" t="s">
        <v>2319</v>
      </c>
      <c r="G4396" s="18" t="n">
        <v>88.18</v>
      </c>
      <c r="H4396" s="18" t="n">
        <v>0</v>
      </c>
      <c r="I4396" s="18" t="n">
        <f aca="false">((I4395 + G4396) - H4396)</f>
        <v>16704.08</v>
      </c>
      <c r="J4396" s="18" t="n">
        <v>8.82</v>
      </c>
      <c r="K4396" s="19" t="n">
        <v>10</v>
      </c>
      <c r="L4396" s="17" t="s">
        <v>44</v>
      </c>
    </row>
    <row r="4397" s="11" customFormat="true" ht="10.95" hidden="false" customHeight="true" outlineLevel="0" collapsed="false">
      <c r="A4397" s="16" t="n">
        <v>45190</v>
      </c>
      <c r="B4397" s="17" t="s">
        <v>2192</v>
      </c>
      <c r="C4397" s="17" t="s">
        <v>1593</v>
      </c>
      <c r="D4397" s="17" t="s">
        <v>1407</v>
      </c>
      <c r="E4397" s="17" t="s">
        <v>2196</v>
      </c>
      <c r="F4397" s="17"/>
      <c r="G4397" s="18" t="n">
        <v>55.87</v>
      </c>
      <c r="H4397" s="18" t="n">
        <v>0</v>
      </c>
      <c r="I4397" s="18" t="n">
        <f aca="false">((I4396 + G4397) - H4397)</f>
        <v>16759.95</v>
      </c>
      <c r="J4397" s="18" t="n">
        <v>0</v>
      </c>
      <c r="K4397" s="19" t="n">
        <v>0</v>
      </c>
      <c r="L4397" s="17" t="s">
        <v>1406</v>
      </c>
    </row>
    <row r="4398" s="11" customFormat="true" ht="10.95" hidden="false" customHeight="true" outlineLevel="0" collapsed="false">
      <c r="A4398" s="16" t="n">
        <v>45190</v>
      </c>
      <c r="B4398" s="17" t="s">
        <v>2192</v>
      </c>
      <c r="C4398" s="17" t="s">
        <v>1593</v>
      </c>
      <c r="D4398" s="17" t="s">
        <v>1407</v>
      </c>
      <c r="E4398" s="17" t="s">
        <v>2238</v>
      </c>
      <c r="F4398" s="17"/>
      <c r="G4398" s="18" t="n">
        <v>31.18</v>
      </c>
      <c r="H4398" s="18" t="n">
        <v>0</v>
      </c>
      <c r="I4398" s="18" t="n">
        <f aca="false">((I4397 + G4398) - H4398)</f>
        <v>16791.13</v>
      </c>
      <c r="J4398" s="18" t="n">
        <v>0</v>
      </c>
      <c r="K4398" s="19" t="n">
        <v>0</v>
      </c>
      <c r="L4398" s="17" t="s">
        <v>1406</v>
      </c>
    </row>
    <row r="4399" s="11" customFormat="true" ht="10.95" hidden="false" customHeight="true" outlineLevel="0" collapsed="false">
      <c r="A4399" s="16" t="n">
        <v>45190</v>
      </c>
      <c r="B4399" s="17" t="s">
        <v>2192</v>
      </c>
      <c r="C4399" s="17" t="s">
        <v>1593</v>
      </c>
      <c r="D4399" s="17" t="s">
        <v>1407</v>
      </c>
      <c r="E4399" s="17" t="s">
        <v>2193</v>
      </c>
      <c r="F4399" s="17"/>
      <c r="G4399" s="18" t="n">
        <v>685.89</v>
      </c>
      <c r="H4399" s="18" t="n">
        <v>0</v>
      </c>
      <c r="I4399" s="18" t="n">
        <f aca="false">((I4398 + G4399) - H4399)</f>
        <v>17477.02</v>
      </c>
      <c r="J4399" s="18" t="n">
        <v>0</v>
      </c>
      <c r="K4399" s="19" t="n">
        <v>0</v>
      </c>
      <c r="L4399" s="17" t="s">
        <v>1406</v>
      </c>
    </row>
    <row r="4400" s="11" customFormat="true" ht="10.95" hidden="false" customHeight="true" outlineLevel="0" collapsed="false">
      <c r="A4400" s="16" t="n">
        <v>45191</v>
      </c>
      <c r="B4400" s="17" t="s">
        <v>2192</v>
      </c>
      <c r="C4400" s="17" t="s">
        <v>1593</v>
      </c>
      <c r="D4400" s="17" t="s">
        <v>1407</v>
      </c>
      <c r="E4400" s="17" t="s">
        <v>2208</v>
      </c>
      <c r="F4400" s="17"/>
      <c r="G4400" s="18" t="n">
        <v>8.2</v>
      </c>
      <c r="H4400" s="18" t="n">
        <v>0</v>
      </c>
      <c r="I4400" s="18" t="n">
        <f aca="false">((I4399 + G4400) - H4400)</f>
        <v>17485.22</v>
      </c>
      <c r="J4400" s="18" t="n">
        <v>0.82</v>
      </c>
      <c r="K4400" s="19" t="n">
        <v>10</v>
      </c>
      <c r="L4400" s="17" t="s">
        <v>44</v>
      </c>
    </row>
    <row r="4401" s="11" customFormat="true" ht="10.95" hidden="false" customHeight="true" outlineLevel="0" collapsed="false">
      <c r="A4401" s="16" t="n">
        <v>45192</v>
      </c>
      <c r="B4401" s="17" t="s">
        <v>2192</v>
      </c>
      <c r="C4401" s="17" t="s">
        <v>1593</v>
      </c>
      <c r="D4401" s="17" t="s">
        <v>1407</v>
      </c>
      <c r="E4401" s="17" t="s">
        <v>2208</v>
      </c>
      <c r="F4401" s="17"/>
      <c r="G4401" s="18" t="n">
        <v>86</v>
      </c>
      <c r="H4401" s="18" t="n">
        <v>0</v>
      </c>
      <c r="I4401" s="18" t="n">
        <f aca="false">((I4400 + G4401) - H4401)</f>
        <v>17571.22</v>
      </c>
      <c r="J4401" s="18" t="n">
        <v>8.6</v>
      </c>
      <c r="K4401" s="19" t="n">
        <v>10</v>
      </c>
      <c r="L4401" s="17" t="s">
        <v>44</v>
      </c>
    </row>
    <row r="4402" s="11" customFormat="true" ht="10.95" hidden="false" customHeight="true" outlineLevel="0" collapsed="false">
      <c r="A4402" s="16" t="n">
        <v>45192</v>
      </c>
      <c r="B4402" s="17" t="s">
        <v>2192</v>
      </c>
      <c r="C4402" s="17" t="s">
        <v>1593</v>
      </c>
      <c r="D4402" s="17" t="s">
        <v>1407</v>
      </c>
      <c r="E4402" s="17" t="s">
        <v>2201</v>
      </c>
      <c r="F4402" s="17"/>
      <c r="G4402" s="18" t="n">
        <v>36.35</v>
      </c>
      <c r="H4402" s="18" t="n">
        <v>0</v>
      </c>
      <c r="I4402" s="18" t="n">
        <f aca="false">((I4401 + G4402) - H4402)</f>
        <v>17607.57</v>
      </c>
      <c r="J4402" s="18" t="n">
        <v>3.64</v>
      </c>
      <c r="K4402" s="19" t="n">
        <v>10</v>
      </c>
      <c r="L4402" s="17" t="s">
        <v>44</v>
      </c>
    </row>
    <row r="4403" s="11" customFormat="true" ht="10.95" hidden="false" customHeight="true" outlineLevel="0" collapsed="false">
      <c r="A4403" s="16" t="n">
        <v>45194</v>
      </c>
      <c r="B4403" s="17" t="s">
        <v>2192</v>
      </c>
      <c r="C4403" s="17" t="s">
        <v>1593</v>
      </c>
      <c r="D4403" s="17" t="s">
        <v>1407</v>
      </c>
      <c r="E4403" s="17" t="s">
        <v>2196</v>
      </c>
      <c r="F4403" s="17"/>
      <c r="G4403" s="18" t="n">
        <v>233.37</v>
      </c>
      <c r="H4403" s="18" t="n">
        <v>0</v>
      </c>
      <c r="I4403" s="18" t="n">
        <f aca="false">((I4402 + G4403) - H4403)</f>
        <v>17840.94</v>
      </c>
      <c r="J4403" s="18" t="n">
        <v>0</v>
      </c>
      <c r="K4403" s="19" t="n">
        <v>0</v>
      </c>
      <c r="L4403" s="17" t="s">
        <v>1406</v>
      </c>
    </row>
    <row r="4404" s="11" customFormat="true" ht="10.95" hidden="false" customHeight="true" outlineLevel="0" collapsed="false">
      <c r="A4404" s="16" t="n">
        <v>45195</v>
      </c>
      <c r="B4404" s="17" t="s">
        <v>2192</v>
      </c>
      <c r="C4404" s="17" t="s">
        <v>1593</v>
      </c>
      <c r="D4404" s="17" t="s">
        <v>1407</v>
      </c>
      <c r="E4404" s="17" t="s">
        <v>2291</v>
      </c>
      <c r="F4404" s="17"/>
      <c r="G4404" s="18" t="n">
        <v>163.61</v>
      </c>
      <c r="H4404" s="18" t="n">
        <v>0</v>
      </c>
      <c r="I4404" s="18" t="n">
        <f aca="false">((I4403 + G4404) - H4404)</f>
        <v>18004.55</v>
      </c>
      <c r="J4404" s="18" t="n">
        <v>16.36</v>
      </c>
      <c r="K4404" s="19" t="n">
        <v>10</v>
      </c>
      <c r="L4404" s="17" t="s">
        <v>44</v>
      </c>
    </row>
    <row r="4405" s="11" customFormat="true" ht="10.95" hidden="false" customHeight="true" outlineLevel="0" collapsed="false">
      <c r="A4405" s="16" t="n">
        <v>45195</v>
      </c>
      <c r="B4405" s="17" t="s">
        <v>2192</v>
      </c>
      <c r="C4405" s="17" t="s">
        <v>1593</v>
      </c>
      <c r="D4405" s="17" t="s">
        <v>1407</v>
      </c>
      <c r="E4405" s="17" t="s">
        <v>2196</v>
      </c>
      <c r="F4405" s="17"/>
      <c r="G4405" s="18" t="n">
        <v>20.61</v>
      </c>
      <c r="H4405" s="18" t="n">
        <v>0</v>
      </c>
      <c r="I4405" s="18" t="n">
        <f aca="false">((I4404 + G4405) - H4405)</f>
        <v>18025.16</v>
      </c>
      <c r="J4405" s="18" t="n">
        <v>0</v>
      </c>
      <c r="K4405" s="19" t="n">
        <v>0</v>
      </c>
      <c r="L4405" s="17" t="s">
        <v>1406</v>
      </c>
    </row>
    <row r="4406" s="11" customFormat="true" ht="10.95" hidden="false" customHeight="true" outlineLevel="0" collapsed="false">
      <c r="A4406" s="16" t="n">
        <v>45195</v>
      </c>
      <c r="B4406" s="17" t="s">
        <v>2192</v>
      </c>
      <c r="C4406" s="17" t="s">
        <v>1593</v>
      </c>
      <c r="D4406" s="17" t="s">
        <v>1407</v>
      </c>
      <c r="E4406" s="17" t="s">
        <v>2243</v>
      </c>
      <c r="F4406" s="17"/>
      <c r="G4406" s="18" t="n">
        <v>12.41</v>
      </c>
      <c r="H4406" s="18" t="n">
        <v>0</v>
      </c>
      <c r="I4406" s="18" t="n">
        <f aca="false">((I4405 + G4406) - H4406)</f>
        <v>18037.57</v>
      </c>
      <c r="J4406" s="18" t="n">
        <v>0</v>
      </c>
      <c r="K4406" s="19" t="n">
        <v>0</v>
      </c>
      <c r="L4406" s="17" t="s">
        <v>1406</v>
      </c>
    </row>
    <row r="4407" s="11" customFormat="true" ht="10.95" hidden="false" customHeight="true" outlineLevel="0" collapsed="false">
      <c r="A4407" s="16" t="n">
        <v>45195</v>
      </c>
      <c r="B4407" s="17" t="s">
        <v>2192</v>
      </c>
      <c r="C4407" s="17" t="s">
        <v>1593</v>
      </c>
      <c r="D4407" s="17" t="s">
        <v>1407</v>
      </c>
      <c r="E4407" s="17" t="s">
        <v>2243</v>
      </c>
      <c r="F4407" s="17"/>
      <c r="G4407" s="18" t="n">
        <v>12.48</v>
      </c>
      <c r="H4407" s="18" t="n">
        <v>0</v>
      </c>
      <c r="I4407" s="18" t="n">
        <f aca="false">((I4406 + G4407) - H4407)</f>
        <v>18050.05</v>
      </c>
      <c r="J4407" s="18" t="n">
        <v>0</v>
      </c>
      <c r="K4407" s="19" t="n">
        <v>0</v>
      </c>
      <c r="L4407" s="17" t="s">
        <v>1406</v>
      </c>
    </row>
    <row r="4408" s="11" customFormat="true" ht="10.95" hidden="false" customHeight="true" outlineLevel="0" collapsed="false">
      <c r="A4408" s="16" t="n">
        <v>45195</v>
      </c>
      <c r="B4408" s="17" t="s">
        <v>2192</v>
      </c>
      <c r="C4408" s="17" t="s">
        <v>1593</v>
      </c>
      <c r="D4408" s="17" t="s">
        <v>1407</v>
      </c>
      <c r="E4408" s="17" t="s">
        <v>2320</v>
      </c>
      <c r="F4408" s="17"/>
      <c r="G4408" s="18" t="n">
        <v>312.08</v>
      </c>
      <c r="H4408" s="18" t="n">
        <v>0</v>
      </c>
      <c r="I4408" s="18" t="n">
        <f aca="false">((I4407 + G4408) - H4408)</f>
        <v>18362.13</v>
      </c>
      <c r="J4408" s="18" t="n">
        <v>0</v>
      </c>
      <c r="K4408" s="19" t="n">
        <v>0</v>
      </c>
      <c r="L4408" s="17" t="s">
        <v>1406</v>
      </c>
    </row>
    <row r="4409" s="11" customFormat="true" ht="10.95" hidden="false" customHeight="true" outlineLevel="0" collapsed="false">
      <c r="A4409" s="16" t="n">
        <v>45195</v>
      </c>
      <c r="B4409" s="17" t="s">
        <v>2192</v>
      </c>
      <c r="C4409" s="17" t="s">
        <v>1593</v>
      </c>
      <c r="D4409" s="17" t="s">
        <v>1407</v>
      </c>
      <c r="E4409" s="17" t="s">
        <v>2321</v>
      </c>
      <c r="F4409" s="17"/>
      <c r="G4409" s="18" t="n">
        <v>233.43</v>
      </c>
      <c r="H4409" s="18" t="n">
        <v>0</v>
      </c>
      <c r="I4409" s="18" t="n">
        <f aca="false">((I4408 + G4409) - H4409)</f>
        <v>18595.56</v>
      </c>
      <c r="J4409" s="18" t="n">
        <v>0</v>
      </c>
      <c r="K4409" s="19" t="n">
        <v>0</v>
      </c>
      <c r="L4409" s="17" t="s">
        <v>1406</v>
      </c>
    </row>
    <row r="4410" s="11" customFormat="true" ht="10.95" hidden="false" customHeight="true" outlineLevel="0" collapsed="false">
      <c r="A4410" s="16" t="n">
        <v>45195</v>
      </c>
      <c r="B4410" s="17" t="s">
        <v>2192</v>
      </c>
      <c r="C4410" s="17" t="s">
        <v>1593</v>
      </c>
      <c r="D4410" s="17" t="s">
        <v>1407</v>
      </c>
      <c r="E4410" s="17" t="s">
        <v>2201</v>
      </c>
      <c r="F4410" s="17"/>
      <c r="G4410" s="18" t="n">
        <v>272.62</v>
      </c>
      <c r="H4410" s="18" t="n">
        <v>0</v>
      </c>
      <c r="I4410" s="18" t="n">
        <f aca="false">((I4409 + G4410) - H4410)</f>
        <v>18868.18</v>
      </c>
      <c r="J4410" s="18" t="n">
        <v>27.26</v>
      </c>
      <c r="K4410" s="19" t="n">
        <v>10</v>
      </c>
      <c r="L4410" s="17" t="s">
        <v>44</v>
      </c>
    </row>
    <row r="4411" s="11" customFormat="true" ht="10.95" hidden="false" customHeight="true" outlineLevel="0" collapsed="false">
      <c r="A4411" s="16" t="n">
        <v>45195</v>
      </c>
      <c r="B4411" s="17" t="s">
        <v>2192</v>
      </c>
      <c r="C4411" s="17" t="s">
        <v>1593</v>
      </c>
      <c r="D4411" s="17" t="s">
        <v>1407</v>
      </c>
      <c r="E4411" s="17" t="s">
        <v>2322</v>
      </c>
      <c r="F4411" s="17"/>
      <c r="G4411" s="18" t="n">
        <v>135.76</v>
      </c>
      <c r="H4411" s="18" t="n">
        <v>0</v>
      </c>
      <c r="I4411" s="18" t="n">
        <f aca="false">((I4410 + G4411) - H4411)</f>
        <v>19003.94</v>
      </c>
      <c r="J4411" s="18" t="n">
        <v>0</v>
      </c>
      <c r="K4411" s="19" t="n">
        <v>0</v>
      </c>
      <c r="L4411" s="17" t="s">
        <v>1406</v>
      </c>
    </row>
    <row r="4412" s="11" customFormat="true" ht="10.95" hidden="false" customHeight="true" outlineLevel="0" collapsed="false">
      <c r="A4412" s="16" t="n">
        <v>45195</v>
      </c>
      <c r="B4412" s="17" t="s">
        <v>2192</v>
      </c>
      <c r="C4412" s="17" t="s">
        <v>1593</v>
      </c>
      <c r="D4412" s="17" t="s">
        <v>1407</v>
      </c>
      <c r="E4412" s="17" t="s">
        <v>1551</v>
      </c>
      <c r="F4412" s="17"/>
      <c r="G4412" s="18" t="n">
        <v>266.34</v>
      </c>
      <c r="H4412" s="18" t="n">
        <v>0</v>
      </c>
      <c r="I4412" s="18" t="n">
        <f aca="false">((I4411 + G4412) - H4412)</f>
        <v>19270.28</v>
      </c>
      <c r="J4412" s="18" t="n">
        <v>26.63</v>
      </c>
      <c r="K4412" s="19" t="n">
        <v>10</v>
      </c>
      <c r="L4412" s="17" t="s">
        <v>44</v>
      </c>
    </row>
    <row r="4413" s="11" customFormat="true" ht="10.95" hidden="false" customHeight="true" outlineLevel="0" collapsed="false">
      <c r="A4413" s="16" t="n">
        <v>45196</v>
      </c>
      <c r="B4413" s="17" t="s">
        <v>2192</v>
      </c>
      <c r="C4413" s="17" t="s">
        <v>1593</v>
      </c>
      <c r="D4413" s="17" t="s">
        <v>1407</v>
      </c>
      <c r="E4413" s="17" t="s">
        <v>2246</v>
      </c>
      <c r="F4413" s="17"/>
      <c r="G4413" s="18" t="n">
        <v>89.28</v>
      </c>
      <c r="H4413" s="18" t="n">
        <v>0</v>
      </c>
      <c r="I4413" s="18" t="n">
        <f aca="false">((I4412 + G4413) - H4413)</f>
        <v>19359.56</v>
      </c>
      <c r="J4413" s="18" t="n">
        <v>8.93</v>
      </c>
      <c r="K4413" s="19" t="n">
        <v>10</v>
      </c>
      <c r="L4413" s="17" t="s">
        <v>44</v>
      </c>
    </row>
    <row r="4414" s="11" customFormat="true" ht="10.95" hidden="false" customHeight="true" outlineLevel="0" collapsed="false">
      <c r="A4414" s="16" t="n">
        <v>45198</v>
      </c>
      <c r="B4414" s="17" t="s">
        <v>2192</v>
      </c>
      <c r="C4414" s="17" t="s">
        <v>1593</v>
      </c>
      <c r="D4414" s="17" t="s">
        <v>1407</v>
      </c>
      <c r="E4414" s="17" t="s">
        <v>2323</v>
      </c>
      <c r="F4414" s="17"/>
      <c r="G4414" s="18" t="n">
        <v>39.5</v>
      </c>
      <c r="H4414" s="18" t="n">
        <v>0</v>
      </c>
      <c r="I4414" s="18" t="n">
        <f aca="false">((I4413 + G4414) - H4414)</f>
        <v>19399.06</v>
      </c>
      <c r="J4414" s="18" t="n">
        <v>3.95</v>
      </c>
      <c r="K4414" s="19" t="n">
        <v>10</v>
      </c>
      <c r="L4414" s="17" t="s">
        <v>44</v>
      </c>
    </row>
    <row r="4415" s="11" customFormat="true" ht="10.95" hidden="false" customHeight="true" outlineLevel="0" collapsed="false">
      <c r="A4415" s="16" t="n">
        <v>45198</v>
      </c>
      <c r="B4415" s="17" t="s">
        <v>2192</v>
      </c>
      <c r="C4415" s="17" t="s">
        <v>1593</v>
      </c>
      <c r="D4415" s="17" t="s">
        <v>1407</v>
      </c>
      <c r="E4415" s="17" t="s">
        <v>2250</v>
      </c>
      <c r="F4415" s="17"/>
      <c r="G4415" s="18" t="n">
        <v>242.11</v>
      </c>
      <c r="H4415" s="18" t="n">
        <v>0</v>
      </c>
      <c r="I4415" s="18" t="n">
        <f aca="false">((I4414 + G4415) - H4415)</f>
        <v>19641.17</v>
      </c>
      <c r="J4415" s="18" t="n">
        <v>0</v>
      </c>
      <c r="K4415" s="19" t="n">
        <v>0</v>
      </c>
      <c r="L4415" s="17" t="s">
        <v>1406</v>
      </c>
    </row>
    <row r="4416" s="11" customFormat="true" ht="10.95" hidden="false" customHeight="true" outlineLevel="0" collapsed="false">
      <c r="A4416" s="16" t="n">
        <v>45200</v>
      </c>
      <c r="B4416" s="17" t="s">
        <v>2192</v>
      </c>
      <c r="C4416" s="17" t="s">
        <v>1593</v>
      </c>
      <c r="D4416" s="17" t="s">
        <v>1391</v>
      </c>
      <c r="E4416" s="17" t="s">
        <v>2324</v>
      </c>
      <c r="F4416" s="17" t="s">
        <v>2325</v>
      </c>
      <c r="G4416" s="18" t="n">
        <v>248</v>
      </c>
      <c r="H4416" s="18" t="n">
        <v>0</v>
      </c>
      <c r="I4416" s="18" t="n">
        <f aca="false">((I4415 + G4416) - H4416)</f>
        <v>19889.17</v>
      </c>
      <c r="J4416" s="18" t="n">
        <v>0</v>
      </c>
      <c r="K4416" s="19" t="n">
        <v>0</v>
      </c>
      <c r="L4416" s="17" t="s">
        <v>1406</v>
      </c>
    </row>
    <row r="4417" s="11" customFormat="true" ht="10.95" hidden="false" customHeight="true" outlineLevel="0" collapsed="false">
      <c r="A4417" s="16" t="n">
        <v>45200</v>
      </c>
      <c r="B4417" s="17" t="s">
        <v>2192</v>
      </c>
      <c r="C4417" s="17" t="s">
        <v>1593</v>
      </c>
      <c r="D4417" s="17" t="s">
        <v>1391</v>
      </c>
      <c r="E4417" s="17" t="s">
        <v>2326</v>
      </c>
      <c r="F4417" s="17" t="s">
        <v>2327</v>
      </c>
      <c r="G4417" s="18" t="n">
        <v>152.15</v>
      </c>
      <c r="H4417" s="18" t="n">
        <v>0</v>
      </c>
      <c r="I4417" s="18" t="n">
        <f aca="false">((I4416 + G4417) - H4417)</f>
        <v>20041.32</v>
      </c>
      <c r="J4417" s="18" t="n">
        <v>0</v>
      </c>
      <c r="K4417" s="19" t="n">
        <v>0</v>
      </c>
      <c r="L4417" s="17" t="s">
        <v>1406</v>
      </c>
    </row>
    <row r="4418" s="11" customFormat="true" ht="10.95" hidden="false" customHeight="true" outlineLevel="0" collapsed="false">
      <c r="A4418" s="16" t="n">
        <v>45201</v>
      </c>
      <c r="B4418" s="17" t="s">
        <v>2192</v>
      </c>
      <c r="C4418" s="17" t="s">
        <v>1593</v>
      </c>
      <c r="D4418" s="17" t="s">
        <v>1407</v>
      </c>
      <c r="E4418" s="17" t="s">
        <v>2196</v>
      </c>
      <c r="F4418" s="17"/>
      <c r="G4418" s="18" t="n">
        <v>22.69</v>
      </c>
      <c r="H4418" s="18" t="n">
        <v>0</v>
      </c>
      <c r="I4418" s="18" t="n">
        <f aca="false">((I4417 + G4418) - H4418)</f>
        <v>20064.01</v>
      </c>
      <c r="J4418" s="18" t="n">
        <v>0</v>
      </c>
      <c r="K4418" s="19" t="n">
        <v>0</v>
      </c>
      <c r="L4418" s="17" t="s">
        <v>1406</v>
      </c>
    </row>
    <row r="4419" s="11" customFormat="true" ht="10.95" hidden="false" customHeight="true" outlineLevel="0" collapsed="false">
      <c r="A4419" s="16" t="n">
        <v>45201</v>
      </c>
      <c r="B4419" s="17" t="s">
        <v>2192</v>
      </c>
      <c r="C4419" s="17" t="s">
        <v>1593</v>
      </c>
      <c r="D4419" s="17" t="s">
        <v>1407</v>
      </c>
      <c r="E4419" s="17" t="s">
        <v>2201</v>
      </c>
      <c r="F4419" s="17"/>
      <c r="G4419" s="18" t="n">
        <v>36.35</v>
      </c>
      <c r="H4419" s="18" t="n">
        <v>0</v>
      </c>
      <c r="I4419" s="18" t="n">
        <f aca="false">((I4418 + G4419) - H4419)</f>
        <v>20100.36</v>
      </c>
      <c r="J4419" s="18" t="n">
        <v>3.64</v>
      </c>
      <c r="K4419" s="19" t="n">
        <v>10</v>
      </c>
      <c r="L4419" s="17" t="s">
        <v>44</v>
      </c>
    </row>
    <row r="4420" s="11" customFormat="true" ht="10.95" hidden="false" customHeight="true" outlineLevel="0" collapsed="false">
      <c r="A4420" s="16" t="n">
        <v>45202</v>
      </c>
      <c r="B4420" s="17" t="s">
        <v>2192</v>
      </c>
      <c r="C4420" s="17" t="s">
        <v>1593</v>
      </c>
      <c r="D4420" s="17" t="s">
        <v>1407</v>
      </c>
      <c r="E4420" s="17" t="s">
        <v>2204</v>
      </c>
      <c r="F4420" s="17"/>
      <c r="G4420" s="18" t="n">
        <v>23.35</v>
      </c>
      <c r="H4420" s="18" t="n">
        <v>0</v>
      </c>
      <c r="I4420" s="18" t="n">
        <f aca="false">((I4419 + G4420) - H4420)</f>
        <v>20123.71</v>
      </c>
      <c r="J4420" s="18" t="n">
        <v>0</v>
      </c>
      <c r="K4420" s="19" t="n">
        <v>0</v>
      </c>
      <c r="L4420" s="17" t="s">
        <v>1406</v>
      </c>
    </row>
    <row r="4421" s="11" customFormat="true" ht="10.95" hidden="false" customHeight="true" outlineLevel="0" collapsed="false">
      <c r="A4421" s="16" t="n">
        <v>45202</v>
      </c>
      <c r="B4421" s="17" t="s">
        <v>2192</v>
      </c>
      <c r="C4421" s="17" t="s">
        <v>1593</v>
      </c>
      <c r="D4421" s="17" t="s">
        <v>1407</v>
      </c>
      <c r="E4421" s="17" t="s">
        <v>2195</v>
      </c>
      <c r="F4421" s="17"/>
      <c r="G4421" s="18" t="n">
        <v>75</v>
      </c>
      <c r="H4421" s="18" t="n">
        <v>0</v>
      </c>
      <c r="I4421" s="18" t="n">
        <f aca="false">((I4420 + G4421) - H4421)</f>
        <v>20198.71</v>
      </c>
      <c r="J4421" s="18" t="n">
        <v>7.5</v>
      </c>
      <c r="K4421" s="19" t="n">
        <v>10</v>
      </c>
      <c r="L4421" s="17" t="s">
        <v>44</v>
      </c>
    </row>
    <row r="4422" s="11" customFormat="true" ht="10.95" hidden="false" customHeight="true" outlineLevel="0" collapsed="false">
      <c r="A4422" s="16" t="n">
        <v>45202</v>
      </c>
      <c r="B4422" s="17" t="s">
        <v>2192</v>
      </c>
      <c r="C4422" s="17" t="s">
        <v>1593</v>
      </c>
      <c r="D4422" s="17" t="s">
        <v>1407</v>
      </c>
      <c r="E4422" s="17" t="s">
        <v>2194</v>
      </c>
      <c r="F4422" s="17"/>
      <c r="G4422" s="18" t="n">
        <v>76.93</v>
      </c>
      <c r="H4422" s="18" t="n">
        <v>0</v>
      </c>
      <c r="I4422" s="18" t="n">
        <f aca="false">((I4421 + G4422) - H4422)</f>
        <v>20275.64</v>
      </c>
      <c r="J4422" s="18" t="n">
        <v>0</v>
      </c>
      <c r="K4422" s="19" t="n">
        <v>0</v>
      </c>
      <c r="L4422" s="17" t="s">
        <v>1406</v>
      </c>
    </row>
    <row r="4423" s="11" customFormat="true" ht="10.95" hidden="false" customHeight="true" outlineLevel="0" collapsed="false">
      <c r="A4423" s="16" t="n">
        <v>45202</v>
      </c>
      <c r="B4423" s="17" t="s">
        <v>2192</v>
      </c>
      <c r="C4423" s="17" t="s">
        <v>1593</v>
      </c>
      <c r="D4423" s="17" t="s">
        <v>1407</v>
      </c>
      <c r="E4423" s="17" t="s">
        <v>2193</v>
      </c>
      <c r="F4423" s="17"/>
      <c r="G4423" s="18" t="n">
        <v>609.37</v>
      </c>
      <c r="H4423" s="18" t="n">
        <v>0</v>
      </c>
      <c r="I4423" s="18" t="n">
        <f aca="false">((I4422 + G4423) - H4423)</f>
        <v>20885.01</v>
      </c>
      <c r="J4423" s="18" t="n">
        <v>0</v>
      </c>
      <c r="K4423" s="19" t="n">
        <v>0</v>
      </c>
      <c r="L4423" s="17" t="s">
        <v>1406</v>
      </c>
    </row>
    <row r="4424" s="11" customFormat="true" ht="10.95" hidden="false" customHeight="true" outlineLevel="0" collapsed="false">
      <c r="A4424" s="16" t="n">
        <v>45203</v>
      </c>
      <c r="B4424" s="17" t="s">
        <v>2192</v>
      </c>
      <c r="C4424" s="17" t="s">
        <v>1593</v>
      </c>
      <c r="D4424" s="17" t="s">
        <v>1407</v>
      </c>
      <c r="E4424" s="17" t="s">
        <v>2196</v>
      </c>
      <c r="F4424" s="17"/>
      <c r="G4424" s="18" t="n">
        <v>43.59</v>
      </c>
      <c r="H4424" s="18" t="n">
        <v>0</v>
      </c>
      <c r="I4424" s="18" t="n">
        <f aca="false">((I4423 + G4424) - H4424)</f>
        <v>20928.6</v>
      </c>
      <c r="J4424" s="18" t="n">
        <v>0</v>
      </c>
      <c r="K4424" s="19" t="n">
        <v>0</v>
      </c>
      <c r="L4424" s="17" t="s">
        <v>1406</v>
      </c>
    </row>
    <row r="4425" s="11" customFormat="true" ht="10.95" hidden="false" customHeight="true" outlineLevel="0" collapsed="false">
      <c r="A4425" s="16" t="n">
        <v>45203</v>
      </c>
      <c r="B4425" s="17" t="s">
        <v>2192</v>
      </c>
      <c r="C4425" s="17" t="s">
        <v>1593</v>
      </c>
      <c r="D4425" s="17" t="s">
        <v>1407</v>
      </c>
      <c r="E4425" s="17" t="s">
        <v>2196</v>
      </c>
      <c r="F4425" s="17"/>
      <c r="G4425" s="18" t="n">
        <v>18.31</v>
      </c>
      <c r="H4425" s="18" t="n">
        <v>0</v>
      </c>
      <c r="I4425" s="18" t="n">
        <f aca="false">((I4424 + G4425) - H4425)</f>
        <v>20946.91</v>
      </c>
      <c r="J4425" s="18" t="n">
        <v>0</v>
      </c>
      <c r="K4425" s="19" t="n">
        <v>0</v>
      </c>
      <c r="L4425" s="17" t="s">
        <v>1406</v>
      </c>
    </row>
    <row r="4426" s="11" customFormat="true" ht="10.95" hidden="false" customHeight="true" outlineLevel="0" collapsed="false">
      <c r="A4426" s="16" t="n">
        <v>45203</v>
      </c>
      <c r="B4426" s="17" t="s">
        <v>2192</v>
      </c>
      <c r="C4426" s="17" t="s">
        <v>1593</v>
      </c>
      <c r="D4426" s="17" t="s">
        <v>1391</v>
      </c>
      <c r="E4426" s="17" t="s">
        <v>2328</v>
      </c>
      <c r="F4426" s="17" t="s">
        <v>2329</v>
      </c>
      <c r="G4426" s="18" t="n">
        <v>65</v>
      </c>
      <c r="H4426" s="18" t="n">
        <v>0</v>
      </c>
      <c r="I4426" s="18" t="n">
        <f aca="false">((I4425 + G4426) - H4426)</f>
        <v>21011.91</v>
      </c>
      <c r="J4426" s="18" t="n">
        <v>6.5</v>
      </c>
      <c r="K4426" s="19" t="n">
        <v>10</v>
      </c>
      <c r="L4426" s="17" t="s">
        <v>44</v>
      </c>
    </row>
    <row r="4427" s="11" customFormat="true" ht="10.95" hidden="false" customHeight="true" outlineLevel="0" collapsed="false">
      <c r="A4427" s="16" t="n">
        <v>45204</v>
      </c>
      <c r="B4427" s="17" t="s">
        <v>2192</v>
      </c>
      <c r="C4427" s="17" t="s">
        <v>1593</v>
      </c>
      <c r="D4427" s="17" t="s">
        <v>1407</v>
      </c>
      <c r="E4427" s="17" t="s">
        <v>2208</v>
      </c>
      <c r="F4427" s="17"/>
      <c r="G4427" s="18" t="n">
        <v>17.2</v>
      </c>
      <c r="H4427" s="18" t="n">
        <v>0</v>
      </c>
      <c r="I4427" s="18" t="n">
        <f aca="false">((I4426 + G4427) - H4427)</f>
        <v>21029.11</v>
      </c>
      <c r="J4427" s="18" t="n">
        <v>1.72</v>
      </c>
      <c r="K4427" s="19" t="n">
        <v>10</v>
      </c>
      <c r="L4427" s="17" t="s">
        <v>44</v>
      </c>
    </row>
    <row r="4428" s="11" customFormat="true" ht="10.95" hidden="false" customHeight="true" outlineLevel="0" collapsed="false">
      <c r="A4428" s="16" t="n">
        <v>45205</v>
      </c>
      <c r="B4428" s="17" t="s">
        <v>2192</v>
      </c>
      <c r="C4428" s="17" t="s">
        <v>1593</v>
      </c>
      <c r="D4428" s="17" t="s">
        <v>1407</v>
      </c>
      <c r="E4428" s="17" t="s">
        <v>2208</v>
      </c>
      <c r="F4428" s="17"/>
      <c r="G4428" s="18" t="n">
        <v>16.5</v>
      </c>
      <c r="H4428" s="18" t="n">
        <v>0</v>
      </c>
      <c r="I4428" s="18" t="n">
        <f aca="false">((I4427 + G4428) - H4428)</f>
        <v>21045.61</v>
      </c>
      <c r="J4428" s="18" t="n">
        <v>1.65</v>
      </c>
      <c r="K4428" s="19" t="n">
        <v>10</v>
      </c>
      <c r="L4428" s="17" t="s">
        <v>44</v>
      </c>
    </row>
    <row r="4429" s="11" customFormat="true" ht="10.95" hidden="false" customHeight="true" outlineLevel="0" collapsed="false">
      <c r="A4429" s="16" t="n">
        <v>45205</v>
      </c>
      <c r="B4429" s="17" t="s">
        <v>2192</v>
      </c>
      <c r="C4429" s="17" t="s">
        <v>1593</v>
      </c>
      <c r="D4429" s="17" t="s">
        <v>1407</v>
      </c>
      <c r="E4429" s="17" t="s">
        <v>2193</v>
      </c>
      <c r="F4429" s="17"/>
      <c r="G4429" s="18" t="n">
        <v>350.15</v>
      </c>
      <c r="H4429" s="18" t="n">
        <v>0</v>
      </c>
      <c r="I4429" s="18" t="n">
        <f aca="false">((I4428 + G4429) - H4429)</f>
        <v>21395.76</v>
      </c>
      <c r="J4429" s="18" t="n">
        <v>0</v>
      </c>
      <c r="K4429" s="19" t="n">
        <v>0</v>
      </c>
      <c r="L4429" s="17" t="s">
        <v>1406</v>
      </c>
    </row>
    <row r="4430" s="11" customFormat="true" ht="10.95" hidden="false" customHeight="true" outlineLevel="0" collapsed="false">
      <c r="A4430" s="16" t="n">
        <v>45206</v>
      </c>
      <c r="B4430" s="17" t="s">
        <v>2192</v>
      </c>
      <c r="C4430" s="17" t="s">
        <v>1593</v>
      </c>
      <c r="D4430" s="17" t="s">
        <v>1407</v>
      </c>
      <c r="E4430" s="17" t="s">
        <v>2210</v>
      </c>
      <c r="F4430" s="17"/>
      <c r="G4430" s="18" t="n">
        <v>46.16</v>
      </c>
      <c r="H4430" s="18" t="n">
        <v>0</v>
      </c>
      <c r="I4430" s="18" t="n">
        <f aca="false">((I4429 + G4430) - H4430)</f>
        <v>21441.92</v>
      </c>
      <c r="J4430" s="18" t="n">
        <v>0</v>
      </c>
      <c r="K4430" s="19" t="n">
        <v>0</v>
      </c>
      <c r="L4430" s="17" t="s">
        <v>1406</v>
      </c>
    </row>
    <row r="4431" s="11" customFormat="true" ht="10.95" hidden="false" customHeight="true" outlineLevel="0" collapsed="false">
      <c r="A4431" s="16" t="n">
        <v>45206</v>
      </c>
      <c r="B4431" s="17" t="s">
        <v>2192</v>
      </c>
      <c r="C4431" s="17" t="s">
        <v>1593</v>
      </c>
      <c r="D4431" s="17" t="s">
        <v>1407</v>
      </c>
      <c r="E4431" s="17" t="s">
        <v>2196</v>
      </c>
      <c r="F4431" s="17"/>
      <c r="G4431" s="18" t="n">
        <v>4.68</v>
      </c>
      <c r="H4431" s="18" t="n">
        <v>0</v>
      </c>
      <c r="I4431" s="18" t="n">
        <f aca="false">((I4430 + G4431) - H4431)</f>
        <v>21446.6</v>
      </c>
      <c r="J4431" s="18" t="n">
        <v>0</v>
      </c>
      <c r="K4431" s="19" t="n">
        <v>0</v>
      </c>
      <c r="L4431" s="17" t="s">
        <v>1406</v>
      </c>
    </row>
    <row r="4432" s="11" customFormat="true" ht="10.95" hidden="false" customHeight="true" outlineLevel="0" collapsed="false">
      <c r="A4432" s="16" t="n">
        <v>45206</v>
      </c>
      <c r="B4432" s="17" t="s">
        <v>2192</v>
      </c>
      <c r="C4432" s="17" t="s">
        <v>1593</v>
      </c>
      <c r="D4432" s="17" t="s">
        <v>1407</v>
      </c>
      <c r="E4432" s="17" t="s">
        <v>2209</v>
      </c>
      <c r="F4432" s="17"/>
      <c r="G4432" s="18" t="n">
        <v>14.87</v>
      </c>
      <c r="H4432" s="18" t="n">
        <v>0</v>
      </c>
      <c r="I4432" s="18" t="n">
        <f aca="false">((I4431 + G4432) - H4432)</f>
        <v>21461.47</v>
      </c>
      <c r="J4432" s="18" t="n">
        <v>1.49</v>
      </c>
      <c r="K4432" s="19" t="n">
        <v>10</v>
      </c>
      <c r="L4432" s="17" t="s">
        <v>44</v>
      </c>
    </row>
    <row r="4433" s="11" customFormat="true" ht="10.95" hidden="false" customHeight="true" outlineLevel="0" collapsed="false">
      <c r="A4433" s="16" t="n">
        <v>45209</v>
      </c>
      <c r="B4433" s="17" t="s">
        <v>2192</v>
      </c>
      <c r="C4433" s="17" t="s">
        <v>1593</v>
      </c>
      <c r="D4433" s="17" t="s">
        <v>1391</v>
      </c>
      <c r="E4433" s="17" t="s">
        <v>2330</v>
      </c>
      <c r="F4433" s="17" t="s">
        <v>2331</v>
      </c>
      <c r="G4433" s="18" t="n">
        <v>132.55</v>
      </c>
      <c r="H4433" s="18" t="n">
        <v>0</v>
      </c>
      <c r="I4433" s="18" t="n">
        <f aca="false">((I4432 + G4433) - H4433)</f>
        <v>21594.02</v>
      </c>
      <c r="J4433" s="18" t="n">
        <v>0</v>
      </c>
      <c r="K4433" s="19" t="n">
        <v>0</v>
      </c>
      <c r="L4433" s="17" t="s">
        <v>1406</v>
      </c>
    </row>
    <row r="4434" s="11" customFormat="true" ht="10.95" hidden="false" customHeight="true" outlineLevel="0" collapsed="false">
      <c r="A4434" s="16" t="n">
        <v>45209</v>
      </c>
      <c r="B4434" s="17" t="s">
        <v>2192</v>
      </c>
      <c r="C4434" s="17" t="s">
        <v>1593</v>
      </c>
      <c r="D4434" s="17" t="s">
        <v>1407</v>
      </c>
      <c r="E4434" s="17" t="s">
        <v>2208</v>
      </c>
      <c r="F4434" s="17"/>
      <c r="G4434" s="18" t="n">
        <v>8.2</v>
      </c>
      <c r="H4434" s="18" t="n">
        <v>0</v>
      </c>
      <c r="I4434" s="18" t="n">
        <f aca="false">((I4433 + G4434) - H4434)</f>
        <v>21602.22</v>
      </c>
      <c r="J4434" s="18" t="n">
        <v>0.82</v>
      </c>
      <c r="K4434" s="19" t="n">
        <v>10</v>
      </c>
      <c r="L4434" s="17" t="s">
        <v>44</v>
      </c>
    </row>
    <row r="4435" s="11" customFormat="true" ht="10.95" hidden="false" customHeight="true" outlineLevel="0" collapsed="false">
      <c r="A4435" s="16" t="n">
        <v>45210</v>
      </c>
      <c r="B4435" s="17" t="s">
        <v>2192</v>
      </c>
      <c r="C4435" s="17" t="s">
        <v>1593</v>
      </c>
      <c r="D4435" s="17" t="s">
        <v>1407</v>
      </c>
      <c r="E4435" s="17" t="s">
        <v>2196</v>
      </c>
      <c r="F4435" s="17"/>
      <c r="G4435" s="18" t="n">
        <v>34.36</v>
      </c>
      <c r="H4435" s="18" t="n">
        <v>0</v>
      </c>
      <c r="I4435" s="18" t="n">
        <f aca="false">((I4434 + G4435) - H4435)</f>
        <v>21636.58</v>
      </c>
      <c r="J4435" s="18" t="n">
        <v>0</v>
      </c>
      <c r="K4435" s="19" t="n">
        <v>0</v>
      </c>
      <c r="L4435" s="17" t="s">
        <v>1406</v>
      </c>
    </row>
    <row r="4436" s="11" customFormat="true" ht="10.95" hidden="false" customHeight="true" outlineLevel="0" collapsed="false">
      <c r="A4436" s="16" t="n">
        <v>45210</v>
      </c>
      <c r="B4436" s="17" t="s">
        <v>2192</v>
      </c>
      <c r="C4436" s="17" t="s">
        <v>1593</v>
      </c>
      <c r="D4436" s="17" t="s">
        <v>1407</v>
      </c>
      <c r="E4436" s="17" t="s">
        <v>2332</v>
      </c>
      <c r="F4436" s="17"/>
      <c r="G4436" s="18" t="n">
        <v>185.5</v>
      </c>
      <c r="H4436" s="18" t="n">
        <v>0</v>
      </c>
      <c r="I4436" s="18" t="n">
        <f aca="false">((I4435 + G4436) - H4436)</f>
        <v>21822.08</v>
      </c>
      <c r="J4436" s="18" t="n">
        <v>0</v>
      </c>
      <c r="K4436" s="19" t="n">
        <v>0</v>
      </c>
      <c r="L4436" s="17" t="s">
        <v>1406</v>
      </c>
    </row>
    <row r="4437" s="11" customFormat="true" ht="10.95" hidden="false" customHeight="true" outlineLevel="0" collapsed="false">
      <c r="A4437" s="16" t="n">
        <v>45211</v>
      </c>
      <c r="B4437" s="17" t="s">
        <v>2192</v>
      </c>
      <c r="C4437" s="17" t="s">
        <v>1593</v>
      </c>
      <c r="D4437" s="17" t="s">
        <v>1407</v>
      </c>
      <c r="E4437" s="17" t="s">
        <v>2196</v>
      </c>
      <c r="F4437" s="17"/>
      <c r="G4437" s="18" t="n">
        <v>4.67</v>
      </c>
      <c r="H4437" s="18" t="n">
        <v>0</v>
      </c>
      <c r="I4437" s="18" t="n">
        <f aca="false">((I4436 + G4437) - H4437)</f>
        <v>21826.75</v>
      </c>
      <c r="J4437" s="18" t="n">
        <v>0</v>
      </c>
      <c r="K4437" s="19" t="n">
        <v>0</v>
      </c>
      <c r="L4437" s="17" t="s">
        <v>1406</v>
      </c>
    </row>
    <row r="4438" s="11" customFormat="true" ht="10.95" hidden="false" customHeight="true" outlineLevel="0" collapsed="false">
      <c r="A4438" s="16" t="n">
        <v>45212</v>
      </c>
      <c r="B4438" s="17" t="s">
        <v>2192</v>
      </c>
      <c r="C4438" s="17" t="s">
        <v>1593</v>
      </c>
      <c r="D4438" s="17" t="s">
        <v>1407</v>
      </c>
      <c r="E4438" s="17" t="s">
        <v>2196</v>
      </c>
      <c r="F4438" s="17"/>
      <c r="G4438" s="18" t="n">
        <v>1.57</v>
      </c>
      <c r="H4438" s="18" t="n">
        <v>0</v>
      </c>
      <c r="I4438" s="18" t="n">
        <f aca="false">((I4437 + G4438) - H4438)</f>
        <v>21828.32</v>
      </c>
      <c r="J4438" s="18" t="n">
        <v>0</v>
      </c>
      <c r="K4438" s="19" t="n">
        <v>0</v>
      </c>
      <c r="L4438" s="17" t="s">
        <v>1406</v>
      </c>
    </row>
    <row r="4439" s="11" customFormat="true" ht="10.95" hidden="false" customHeight="true" outlineLevel="0" collapsed="false">
      <c r="A4439" s="16" t="n">
        <v>45213</v>
      </c>
      <c r="B4439" s="17" t="s">
        <v>2192</v>
      </c>
      <c r="C4439" s="17" t="s">
        <v>1593</v>
      </c>
      <c r="D4439" s="17" t="s">
        <v>1407</v>
      </c>
      <c r="E4439" s="17" t="s">
        <v>2196</v>
      </c>
      <c r="F4439" s="17"/>
      <c r="G4439" s="18" t="n">
        <v>105.14</v>
      </c>
      <c r="H4439" s="18" t="n">
        <v>0</v>
      </c>
      <c r="I4439" s="18" t="n">
        <f aca="false">((I4438 + G4439) - H4439)</f>
        <v>21933.46</v>
      </c>
      <c r="J4439" s="18" t="n">
        <v>0</v>
      </c>
      <c r="K4439" s="19" t="n">
        <v>0</v>
      </c>
      <c r="L4439" s="17" t="s">
        <v>1406</v>
      </c>
    </row>
    <row r="4440" s="11" customFormat="true" ht="10.95" hidden="false" customHeight="true" outlineLevel="0" collapsed="false">
      <c r="A4440" s="16" t="n">
        <v>45215</v>
      </c>
      <c r="B4440" s="17" t="s">
        <v>2192</v>
      </c>
      <c r="C4440" s="17" t="s">
        <v>1593</v>
      </c>
      <c r="D4440" s="17" t="s">
        <v>1391</v>
      </c>
      <c r="E4440" s="17" t="s">
        <v>2333</v>
      </c>
      <c r="F4440" s="17" t="s">
        <v>2334</v>
      </c>
      <c r="G4440" s="18" t="n">
        <v>929.1</v>
      </c>
      <c r="H4440" s="18" t="n">
        <v>0</v>
      </c>
      <c r="I4440" s="18" t="n">
        <f aca="false">((I4439 + G4440) - H4440)</f>
        <v>22862.56</v>
      </c>
      <c r="J4440" s="18" t="n">
        <v>92.91</v>
      </c>
      <c r="K4440" s="19" t="n">
        <v>10</v>
      </c>
      <c r="L4440" s="17" t="s">
        <v>44</v>
      </c>
    </row>
    <row r="4441" s="11" customFormat="true" ht="10.95" hidden="false" customHeight="true" outlineLevel="0" collapsed="false">
      <c r="A4441" s="16" t="n">
        <v>45216</v>
      </c>
      <c r="B4441" s="17" t="s">
        <v>2192</v>
      </c>
      <c r="C4441" s="17" t="s">
        <v>1593</v>
      </c>
      <c r="D4441" s="17" t="s">
        <v>1407</v>
      </c>
      <c r="E4441" s="17" t="s">
        <v>2193</v>
      </c>
      <c r="F4441" s="17"/>
      <c r="G4441" s="18" t="n">
        <v>167.37</v>
      </c>
      <c r="H4441" s="18" t="n">
        <v>0</v>
      </c>
      <c r="I4441" s="18" t="n">
        <f aca="false">((I4440 + G4441) - H4441)</f>
        <v>23029.93</v>
      </c>
      <c r="J4441" s="18" t="n">
        <v>0</v>
      </c>
      <c r="K4441" s="19" t="n">
        <v>0</v>
      </c>
      <c r="L4441" s="17" t="s">
        <v>1406</v>
      </c>
    </row>
    <row r="4442" s="11" customFormat="true" ht="10.95" hidden="false" customHeight="true" outlineLevel="0" collapsed="false">
      <c r="A4442" s="16" t="n">
        <v>45216</v>
      </c>
      <c r="B4442" s="17" t="s">
        <v>2192</v>
      </c>
      <c r="C4442" s="17" t="s">
        <v>1593</v>
      </c>
      <c r="D4442" s="17" t="s">
        <v>1407</v>
      </c>
      <c r="E4442" s="17" t="s">
        <v>2335</v>
      </c>
      <c r="F4442" s="17"/>
      <c r="G4442" s="18" t="n">
        <v>39.3</v>
      </c>
      <c r="H4442" s="18" t="n">
        <v>0</v>
      </c>
      <c r="I4442" s="18" t="n">
        <f aca="false">((I4441 + G4442) - H4442)</f>
        <v>23069.23</v>
      </c>
      <c r="J4442" s="18" t="n">
        <v>0</v>
      </c>
      <c r="K4442" s="19" t="n">
        <v>0</v>
      </c>
      <c r="L4442" s="17" t="s">
        <v>1406</v>
      </c>
    </row>
    <row r="4443" s="11" customFormat="true" ht="10.95" hidden="false" customHeight="true" outlineLevel="0" collapsed="false">
      <c r="A4443" s="16" t="n">
        <v>45217</v>
      </c>
      <c r="B4443" s="17" t="s">
        <v>2192</v>
      </c>
      <c r="C4443" s="17" t="s">
        <v>1593</v>
      </c>
      <c r="D4443" s="17" t="s">
        <v>1407</v>
      </c>
      <c r="E4443" s="17" t="s">
        <v>2216</v>
      </c>
      <c r="F4443" s="17"/>
      <c r="G4443" s="18" t="n">
        <v>13.63</v>
      </c>
      <c r="H4443" s="18" t="n">
        <v>0</v>
      </c>
      <c r="I4443" s="18" t="n">
        <f aca="false">((I4442 + G4443) - H4443)</f>
        <v>23082.86</v>
      </c>
      <c r="J4443" s="18" t="n">
        <v>1.36</v>
      </c>
      <c r="K4443" s="19" t="n">
        <v>10</v>
      </c>
      <c r="L4443" s="17" t="s">
        <v>44</v>
      </c>
    </row>
    <row r="4444" s="11" customFormat="true" ht="10.95" hidden="false" customHeight="true" outlineLevel="0" collapsed="false">
      <c r="A4444" s="16" t="n">
        <v>45217</v>
      </c>
      <c r="B4444" s="17" t="s">
        <v>2192</v>
      </c>
      <c r="C4444" s="17" t="s">
        <v>1593</v>
      </c>
      <c r="D4444" s="17" t="s">
        <v>1407</v>
      </c>
      <c r="E4444" s="17" t="s">
        <v>2234</v>
      </c>
      <c r="F4444" s="17"/>
      <c r="G4444" s="18" t="n">
        <v>77.97</v>
      </c>
      <c r="H4444" s="18" t="n">
        <v>0</v>
      </c>
      <c r="I4444" s="18" t="n">
        <f aca="false">((I4443 + G4444) - H4444)</f>
        <v>23160.83</v>
      </c>
      <c r="J4444" s="18" t="n">
        <v>7.8</v>
      </c>
      <c r="K4444" s="19" t="n">
        <v>10</v>
      </c>
      <c r="L4444" s="17" t="s">
        <v>44</v>
      </c>
    </row>
    <row r="4445" s="11" customFormat="true" ht="10.95" hidden="false" customHeight="true" outlineLevel="0" collapsed="false">
      <c r="A4445" s="16" t="n">
        <v>45217</v>
      </c>
      <c r="B4445" s="17" t="s">
        <v>2192</v>
      </c>
      <c r="C4445" s="17" t="s">
        <v>1593</v>
      </c>
      <c r="D4445" s="17" t="s">
        <v>1407</v>
      </c>
      <c r="E4445" s="17" t="s">
        <v>2336</v>
      </c>
      <c r="F4445" s="17"/>
      <c r="G4445" s="18" t="n">
        <v>90.91</v>
      </c>
      <c r="H4445" s="18" t="n">
        <v>0</v>
      </c>
      <c r="I4445" s="18" t="n">
        <f aca="false">((I4444 + G4445) - H4445)</f>
        <v>23251.74</v>
      </c>
      <c r="J4445" s="18" t="n">
        <v>9.09</v>
      </c>
      <c r="K4445" s="19" t="n">
        <v>10</v>
      </c>
      <c r="L4445" s="17" t="s">
        <v>44</v>
      </c>
    </row>
    <row r="4446" s="11" customFormat="true" ht="10.95" hidden="false" customHeight="true" outlineLevel="0" collapsed="false">
      <c r="A4446" s="16" t="n">
        <v>45217</v>
      </c>
      <c r="B4446" s="17" t="s">
        <v>2192</v>
      </c>
      <c r="C4446" s="17" t="s">
        <v>1593</v>
      </c>
      <c r="D4446" s="17" t="s">
        <v>1391</v>
      </c>
      <c r="E4446" s="17" t="s">
        <v>2337</v>
      </c>
      <c r="F4446" s="17" t="s">
        <v>2338</v>
      </c>
      <c r="G4446" s="18" t="n">
        <v>22</v>
      </c>
      <c r="H4446" s="18" t="n">
        <v>0</v>
      </c>
      <c r="I4446" s="18" t="n">
        <f aca="false">((I4445 + G4446) - H4446)</f>
        <v>23273.74</v>
      </c>
      <c r="J4446" s="18" t="n">
        <v>2.2</v>
      </c>
      <c r="K4446" s="19" t="n">
        <v>10</v>
      </c>
      <c r="L4446" s="17" t="s">
        <v>44</v>
      </c>
    </row>
    <row r="4447" s="11" customFormat="true" ht="10.95" hidden="false" customHeight="true" outlineLevel="0" collapsed="false">
      <c r="A4447" s="16" t="n">
        <v>45217</v>
      </c>
      <c r="B4447" s="17" t="s">
        <v>2192</v>
      </c>
      <c r="C4447" s="17" t="s">
        <v>1593</v>
      </c>
      <c r="D4447" s="17" t="s">
        <v>1391</v>
      </c>
      <c r="E4447" s="17" t="s">
        <v>2339</v>
      </c>
      <c r="F4447" s="17" t="s">
        <v>2340</v>
      </c>
      <c r="G4447" s="18" t="n">
        <v>8.2</v>
      </c>
      <c r="H4447" s="18" t="n">
        <v>0</v>
      </c>
      <c r="I4447" s="18" t="n">
        <f aca="false">((I4446 + G4447) - H4447)</f>
        <v>23281.94</v>
      </c>
      <c r="J4447" s="18" t="n">
        <v>0.82</v>
      </c>
      <c r="K4447" s="19" t="n">
        <v>10</v>
      </c>
      <c r="L4447" s="17" t="s">
        <v>44</v>
      </c>
    </row>
    <row r="4448" s="11" customFormat="true" ht="10.95" hidden="false" customHeight="true" outlineLevel="0" collapsed="false">
      <c r="A4448" s="16" t="n">
        <v>45217</v>
      </c>
      <c r="B4448" s="17" t="s">
        <v>2192</v>
      </c>
      <c r="C4448" s="17" t="s">
        <v>1593</v>
      </c>
      <c r="D4448" s="17" t="s">
        <v>1391</v>
      </c>
      <c r="E4448" s="17" t="s">
        <v>2341</v>
      </c>
      <c r="F4448" s="17" t="s">
        <v>2342</v>
      </c>
      <c r="G4448" s="18" t="n">
        <v>62</v>
      </c>
      <c r="H4448" s="18" t="n">
        <v>0</v>
      </c>
      <c r="I4448" s="18" t="n">
        <f aca="false">((I4447 + G4448) - H4448)</f>
        <v>23343.94</v>
      </c>
      <c r="J4448" s="18" t="n">
        <v>6.2</v>
      </c>
      <c r="K4448" s="19" t="n">
        <v>10</v>
      </c>
      <c r="L4448" s="17" t="s">
        <v>44</v>
      </c>
    </row>
    <row r="4449" s="11" customFormat="true" ht="10.95" hidden="false" customHeight="true" outlineLevel="0" collapsed="false">
      <c r="A4449" s="16" t="n">
        <v>45217</v>
      </c>
      <c r="B4449" s="17" t="s">
        <v>2192</v>
      </c>
      <c r="C4449" s="17" t="s">
        <v>1593</v>
      </c>
      <c r="D4449" s="17" t="s">
        <v>1391</v>
      </c>
      <c r="E4449" s="17" t="s">
        <v>2343</v>
      </c>
      <c r="F4449" s="17" t="s">
        <v>2344</v>
      </c>
      <c r="G4449" s="18" t="n">
        <v>55</v>
      </c>
      <c r="H4449" s="18" t="n">
        <v>0</v>
      </c>
      <c r="I4449" s="18" t="n">
        <f aca="false">((I4448 + G4449) - H4449)</f>
        <v>23398.94</v>
      </c>
      <c r="J4449" s="18" t="n">
        <v>5.5</v>
      </c>
      <c r="K4449" s="19" t="n">
        <v>10</v>
      </c>
      <c r="L4449" s="17" t="s">
        <v>44</v>
      </c>
    </row>
    <row r="4450" s="11" customFormat="true" ht="10.95" hidden="false" customHeight="true" outlineLevel="0" collapsed="false">
      <c r="A4450" s="16" t="n">
        <v>45217</v>
      </c>
      <c r="B4450" s="17" t="s">
        <v>2192</v>
      </c>
      <c r="C4450" s="17" t="s">
        <v>1593</v>
      </c>
      <c r="D4450" s="17" t="s">
        <v>1391</v>
      </c>
      <c r="E4450" s="17" t="s">
        <v>2345</v>
      </c>
      <c r="F4450" s="17" t="s">
        <v>2346</v>
      </c>
      <c r="G4450" s="18" t="n">
        <v>199.8</v>
      </c>
      <c r="H4450" s="18" t="n">
        <v>0</v>
      </c>
      <c r="I4450" s="18" t="n">
        <f aca="false">((I4449 + G4450) - H4450)</f>
        <v>23598.74</v>
      </c>
      <c r="J4450" s="18" t="n">
        <v>19.98</v>
      </c>
      <c r="K4450" s="19" t="n">
        <v>10</v>
      </c>
      <c r="L4450" s="17" t="s">
        <v>44</v>
      </c>
    </row>
    <row r="4451" s="11" customFormat="true" ht="10.95" hidden="false" customHeight="true" outlineLevel="0" collapsed="false">
      <c r="A4451" s="16" t="n">
        <v>45217</v>
      </c>
      <c r="B4451" s="17" t="s">
        <v>2192</v>
      </c>
      <c r="C4451" s="17" t="s">
        <v>1593</v>
      </c>
      <c r="D4451" s="17" t="s">
        <v>1391</v>
      </c>
      <c r="E4451" s="17" t="s">
        <v>2347</v>
      </c>
      <c r="F4451" s="17" t="s">
        <v>2348</v>
      </c>
      <c r="G4451" s="18" t="n">
        <v>69.6</v>
      </c>
      <c r="H4451" s="18" t="n">
        <v>0</v>
      </c>
      <c r="I4451" s="18" t="n">
        <f aca="false">((I4450 + G4451) - H4451)</f>
        <v>23668.34</v>
      </c>
      <c r="J4451" s="18" t="n">
        <v>6.96</v>
      </c>
      <c r="K4451" s="19" t="n">
        <v>10</v>
      </c>
      <c r="L4451" s="17" t="s">
        <v>44</v>
      </c>
    </row>
    <row r="4452" s="11" customFormat="true" ht="10.95" hidden="false" customHeight="true" outlineLevel="0" collapsed="false">
      <c r="A4452" s="16" t="n">
        <v>45217</v>
      </c>
      <c r="B4452" s="17" t="s">
        <v>2192</v>
      </c>
      <c r="C4452" s="17" t="s">
        <v>1593</v>
      </c>
      <c r="D4452" s="17" t="s">
        <v>1391</v>
      </c>
      <c r="E4452" s="17" t="s">
        <v>2349</v>
      </c>
      <c r="F4452" s="17" t="s">
        <v>2350</v>
      </c>
      <c r="G4452" s="18" t="n">
        <v>41.2</v>
      </c>
      <c r="H4452" s="18" t="n">
        <v>0</v>
      </c>
      <c r="I4452" s="18" t="n">
        <f aca="false">((I4451 + G4452) - H4452)</f>
        <v>23709.54</v>
      </c>
      <c r="J4452" s="18" t="n">
        <v>4.12</v>
      </c>
      <c r="K4452" s="19" t="n">
        <v>10</v>
      </c>
      <c r="L4452" s="17" t="s">
        <v>44</v>
      </c>
    </row>
    <row r="4453" s="11" customFormat="true" ht="10.95" hidden="false" customHeight="true" outlineLevel="0" collapsed="false">
      <c r="A4453" s="16" t="n">
        <v>45217</v>
      </c>
      <c r="B4453" s="17" t="s">
        <v>2192</v>
      </c>
      <c r="C4453" s="17" t="s">
        <v>1593</v>
      </c>
      <c r="D4453" s="17" t="s">
        <v>1391</v>
      </c>
      <c r="E4453" s="17" t="s">
        <v>2351</v>
      </c>
      <c r="F4453" s="17" t="s">
        <v>2352</v>
      </c>
      <c r="G4453" s="18" t="n">
        <v>30.2</v>
      </c>
      <c r="H4453" s="18" t="n">
        <v>0</v>
      </c>
      <c r="I4453" s="18" t="n">
        <f aca="false">((I4452 + G4453) - H4453)</f>
        <v>23739.74</v>
      </c>
      <c r="J4453" s="18" t="n">
        <v>3.02</v>
      </c>
      <c r="K4453" s="19" t="n">
        <v>10</v>
      </c>
      <c r="L4453" s="17" t="s">
        <v>44</v>
      </c>
    </row>
    <row r="4454" s="11" customFormat="true" ht="10.95" hidden="false" customHeight="true" outlineLevel="0" collapsed="false">
      <c r="A4454" s="16" t="n">
        <v>45217</v>
      </c>
      <c r="B4454" s="17" t="s">
        <v>2192</v>
      </c>
      <c r="C4454" s="17" t="s">
        <v>1593</v>
      </c>
      <c r="D4454" s="17" t="s">
        <v>1407</v>
      </c>
      <c r="E4454" s="17" t="s">
        <v>2353</v>
      </c>
      <c r="F4454" s="17"/>
      <c r="G4454" s="18" t="n">
        <v>33.23</v>
      </c>
      <c r="H4454" s="18" t="n">
        <v>0</v>
      </c>
      <c r="I4454" s="18" t="n">
        <f aca="false">((I4453 + G4454) - H4454)</f>
        <v>23772.97</v>
      </c>
      <c r="J4454" s="18" t="n">
        <v>3.33</v>
      </c>
      <c r="K4454" s="19" t="n">
        <v>10</v>
      </c>
      <c r="L4454" s="17" t="s">
        <v>44</v>
      </c>
    </row>
    <row r="4455" s="11" customFormat="true" ht="10.95" hidden="false" customHeight="true" outlineLevel="0" collapsed="false">
      <c r="A4455" s="16" t="n">
        <v>45218</v>
      </c>
      <c r="B4455" s="17" t="s">
        <v>2192</v>
      </c>
      <c r="C4455" s="17" t="s">
        <v>1593</v>
      </c>
      <c r="D4455" s="17" t="s">
        <v>1407</v>
      </c>
      <c r="E4455" s="17" t="s">
        <v>2196</v>
      </c>
      <c r="F4455" s="17"/>
      <c r="G4455" s="18" t="n">
        <v>19.5</v>
      </c>
      <c r="H4455" s="18" t="n">
        <v>0</v>
      </c>
      <c r="I4455" s="18" t="n">
        <f aca="false">((I4454 + G4455) - H4455)</f>
        <v>23792.47</v>
      </c>
      <c r="J4455" s="18" t="n">
        <v>0</v>
      </c>
      <c r="K4455" s="19" t="n">
        <v>0</v>
      </c>
      <c r="L4455" s="17" t="s">
        <v>1406</v>
      </c>
    </row>
    <row r="4456" s="11" customFormat="true" ht="10.95" hidden="false" customHeight="true" outlineLevel="0" collapsed="false">
      <c r="A4456" s="16" t="n">
        <v>45218</v>
      </c>
      <c r="B4456" s="17" t="s">
        <v>2192</v>
      </c>
      <c r="C4456" s="17" t="s">
        <v>1593</v>
      </c>
      <c r="D4456" s="17" t="s">
        <v>1407</v>
      </c>
      <c r="E4456" s="17" t="s">
        <v>1580</v>
      </c>
      <c r="F4456" s="17"/>
      <c r="G4456" s="18" t="n">
        <v>247.73</v>
      </c>
      <c r="H4456" s="18" t="n">
        <v>0</v>
      </c>
      <c r="I4456" s="18" t="n">
        <f aca="false">((I4455 + G4456) - H4456)</f>
        <v>24040.2</v>
      </c>
      <c r="J4456" s="18" t="n">
        <v>24.77</v>
      </c>
      <c r="K4456" s="19" t="n">
        <v>10</v>
      </c>
      <c r="L4456" s="17" t="s">
        <v>44</v>
      </c>
    </row>
    <row r="4457" s="11" customFormat="true" ht="10.95" hidden="false" customHeight="true" outlineLevel="0" collapsed="false">
      <c r="A4457" s="16" t="n">
        <v>45219</v>
      </c>
      <c r="B4457" s="17" t="s">
        <v>2192</v>
      </c>
      <c r="C4457" s="17" t="s">
        <v>1593</v>
      </c>
      <c r="D4457" s="17" t="s">
        <v>1391</v>
      </c>
      <c r="E4457" s="17" t="s">
        <v>2354</v>
      </c>
      <c r="F4457" s="17" t="s">
        <v>2355</v>
      </c>
      <c r="G4457" s="18" t="n">
        <v>88.18</v>
      </c>
      <c r="H4457" s="18" t="n">
        <v>0</v>
      </c>
      <c r="I4457" s="18" t="n">
        <f aca="false">((I4456 + G4457) - H4457)</f>
        <v>24128.38</v>
      </c>
      <c r="J4457" s="18" t="n">
        <v>8.82</v>
      </c>
      <c r="K4457" s="19" t="n">
        <v>10</v>
      </c>
      <c r="L4457" s="17" t="s">
        <v>44</v>
      </c>
    </row>
    <row r="4458" s="11" customFormat="true" ht="10.95" hidden="false" customHeight="true" outlineLevel="0" collapsed="false">
      <c r="A4458" s="16" t="n">
        <v>45220</v>
      </c>
      <c r="B4458" s="17" t="s">
        <v>2192</v>
      </c>
      <c r="C4458" s="17" t="s">
        <v>1593</v>
      </c>
      <c r="D4458" s="17" t="s">
        <v>1407</v>
      </c>
      <c r="E4458" s="17" t="s">
        <v>2238</v>
      </c>
      <c r="F4458" s="17"/>
      <c r="G4458" s="18" t="n">
        <v>31.62</v>
      </c>
      <c r="H4458" s="18" t="n">
        <v>0</v>
      </c>
      <c r="I4458" s="18" t="n">
        <f aca="false">((I4457 + G4458) - H4458)</f>
        <v>24160</v>
      </c>
      <c r="J4458" s="18" t="n">
        <v>0</v>
      </c>
      <c r="K4458" s="19" t="n">
        <v>0</v>
      </c>
      <c r="L4458" s="17" t="s">
        <v>1406</v>
      </c>
    </row>
    <row r="4459" s="11" customFormat="true" ht="10.95" hidden="false" customHeight="true" outlineLevel="0" collapsed="false">
      <c r="A4459" s="16" t="n">
        <v>45220</v>
      </c>
      <c r="B4459" s="17" t="s">
        <v>2192</v>
      </c>
      <c r="C4459" s="17" t="s">
        <v>1593</v>
      </c>
      <c r="D4459" s="17" t="s">
        <v>1407</v>
      </c>
      <c r="E4459" s="17" t="s">
        <v>2196</v>
      </c>
      <c r="F4459" s="17"/>
      <c r="G4459" s="18" t="n">
        <v>56.65</v>
      </c>
      <c r="H4459" s="18" t="n">
        <v>0</v>
      </c>
      <c r="I4459" s="18" t="n">
        <f aca="false">((I4458 + G4459) - H4459)</f>
        <v>24216.65</v>
      </c>
      <c r="J4459" s="18" t="n">
        <v>0</v>
      </c>
      <c r="K4459" s="19" t="n">
        <v>0</v>
      </c>
      <c r="L4459" s="17" t="s">
        <v>1406</v>
      </c>
    </row>
    <row r="4460" s="11" customFormat="true" ht="10.95" hidden="false" customHeight="true" outlineLevel="0" collapsed="false">
      <c r="A4460" s="16" t="n">
        <v>45221</v>
      </c>
      <c r="B4460" s="17" t="s">
        <v>2192</v>
      </c>
      <c r="C4460" s="17" t="s">
        <v>1593</v>
      </c>
      <c r="D4460" s="17" t="s">
        <v>1391</v>
      </c>
      <c r="E4460" s="17" t="s">
        <v>2356</v>
      </c>
      <c r="F4460" s="17" t="s">
        <v>2357</v>
      </c>
      <c r="G4460" s="18" t="n">
        <v>269.28</v>
      </c>
      <c r="H4460" s="18" t="n">
        <v>0</v>
      </c>
      <c r="I4460" s="18" t="n">
        <f aca="false">((I4459 + G4460) - H4460)</f>
        <v>24485.93</v>
      </c>
      <c r="J4460" s="18" t="n">
        <v>26.93</v>
      </c>
      <c r="K4460" s="19" t="n">
        <v>10</v>
      </c>
      <c r="L4460" s="17" t="s">
        <v>44</v>
      </c>
    </row>
    <row r="4461" s="11" customFormat="true" ht="10.95" hidden="false" customHeight="true" outlineLevel="0" collapsed="false">
      <c r="A4461" s="16" t="n">
        <v>45222</v>
      </c>
      <c r="B4461" s="17" t="s">
        <v>2192</v>
      </c>
      <c r="C4461" s="17" t="s">
        <v>1593</v>
      </c>
      <c r="D4461" s="17" t="s">
        <v>1407</v>
      </c>
      <c r="E4461" s="17" t="s">
        <v>2201</v>
      </c>
      <c r="F4461" s="17"/>
      <c r="G4461" s="18" t="n">
        <v>36.35</v>
      </c>
      <c r="H4461" s="18" t="n">
        <v>0</v>
      </c>
      <c r="I4461" s="18" t="n">
        <f aca="false">((I4460 + G4461) - H4461)</f>
        <v>24522.28</v>
      </c>
      <c r="J4461" s="18" t="n">
        <v>3.64</v>
      </c>
      <c r="K4461" s="19" t="n">
        <v>10</v>
      </c>
      <c r="L4461" s="17" t="s">
        <v>44</v>
      </c>
    </row>
    <row r="4462" s="11" customFormat="true" ht="10.95" hidden="false" customHeight="true" outlineLevel="0" collapsed="false">
      <c r="A4462" s="16" t="n">
        <v>45223</v>
      </c>
      <c r="B4462" s="17" t="s">
        <v>2192</v>
      </c>
      <c r="C4462" s="17" t="s">
        <v>1593</v>
      </c>
      <c r="D4462" s="17" t="s">
        <v>1407</v>
      </c>
      <c r="E4462" s="17" t="s">
        <v>2358</v>
      </c>
      <c r="F4462" s="17"/>
      <c r="G4462" s="18" t="n">
        <v>12.69</v>
      </c>
      <c r="H4462" s="18" t="n">
        <v>0</v>
      </c>
      <c r="I4462" s="18" t="n">
        <f aca="false">((I4461 + G4462) - H4462)</f>
        <v>24534.97</v>
      </c>
      <c r="J4462" s="18" t="n">
        <v>0</v>
      </c>
      <c r="K4462" s="19" t="n">
        <v>0</v>
      </c>
      <c r="L4462" s="17" t="s">
        <v>1406</v>
      </c>
    </row>
    <row r="4463" s="11" customFormat="true" ht="10.95" hidden="false" customHeight="true" outlineLevel="0" collapsed="false">
      <c r="A4463" s="16" t="n">
        <v>45223</v>
      </c>
      <c r="B4463" s="17" t="s">
        <v>2192</v>
      </c>
      <c r="C4463" s="17" t="s">
        <v>1593</v>
      </c>
      <c r="D4463" s="17" t="s">
        <v>1407</v>
      </c>
      <c r="E4463" s="17" t="s">
        <v>2359</v>
      </c>
      <c r="F4463" s="17"/>
      <c r="G4463" s="18" t="n">
        <v>7.86</v>
      </c>
      <c r="H4463" s="18" t="n">
        <v>0</v>
      </c>
      <c r="I4463" s="18" t="n">
        <f aca="false">((I4462 + G4463) - H4463)</f>
        <v>24542.83</v>
      </c>
      <c r="J4463" s="18" t="n">
        <v>0.79</v>
      </c>
      <c r="K4463" s="19" t="n">
        <v>10</v>
      </c>
      <c r="L4463" s="17" t="s">
        <v>44</v>
      </c>
    </row>
    <row r="4464" s="11" customFormat="true" ht="10.95" hidden="false" customHeight="true" outlineLevel="0" collapsed="false">
      <c r="A4464" s="16" t="n">
        <v>45225</v>
      </c>
      <c r="B4464" s="17" t="s">
        <v>2192</v>
      </c>
      <c r="C4464" s="17" t="s">
        <v>1593</v>
      </c>
      <c r="D4464" s="17" t="s">
        <v>1407</v>
      </c>
      <c r="E4464" s="17" t="s">
        <v>2360</v>
      </c>
      <c r="F4464" s="17"/>
      <c r="G4464" s="18" t="n">
        <v>12.69</v>
      </c>
      <c r="H4464" s="18" t="n">
        <v>0</v>
      </c>
      <c r="I4464" s="18" t="n">
        <f aca="false">((I4463 + G4464) - H4464)</f>
        <v>24555.52</v>
      </c>
      <c r="J4464" s="18" t="n">
        <v>0</v>
      </c>
      <c r="K4464" s="19" t="n">
        <v>0</v>
      </c>
      <c r="L4464" s="17" t="s">
        <v>1406</v>
      </c>
    </row>
    <row r="4465" s="11" customFormat="true" ht="10.95" hidden="false" customHeight="true" outlineLevel="0" collapsed="false">
      <c r="A4465" s="16" t="n">
        <v>45225</v>
      </c>
      <c r="B4465" s="17" t="s">
        <v>2192</v>
      </c>
      <c r="C4465" s="17" t="s">
        <v>1593</v>
      </c>
      <c r="D4465" s="17" t="s">
        <v>1407</v>
      </c>
      <c r="E4465" s="17" t="s">
        <v>2196</v>
      </c>
      <c r="F4465" s="17"/>
      <c r="G4465" s="18" t="n">
        <v>20.98</v>
      </c>
      <c r="H4465" s="18" t="n">
        <v>0</v>
      </c>
      <c r="I4465" s="18" t="n">
        <f aca="false">((I4464 + G4465) - H4465)</f>
        <v>24576.5</v>
      </c>
      <c r="J4465" s="18" t="n">
        <v>0</v>
      </c>
      <c r="K4465" s="19" t="n">
        <v>0</v>
      </c>
      <c r="L4465" s="17" t="s">
        <v>1406</v>
      </c>
    </row>
    <row r="4466" s="11" customFormat="true" ht="10.95" hidden="false" customHeight="true" outlineLevel="0" collapsed="false">
      <c r="A4466" s="16" t="n">
        <v>45226</v>
      </c>
      <c r="B4466" s="17" t="s">
        <v>2192</v>
      </c>
      <c r="C4466" s="17" t="s">
        <v>1593</v>
      </c>
      <c r="D4466" s="17" t="s">
        <v>1407</v>
      </c>
      <c r="E4466" s="17" t="s">
        <v>2196</v>
      </c>
      <c r="F4466" s="17"/>
      <c r="G4466" s="18" t="n">
        <v>79.97</v>
      </c>
      <c r="H4466" s="18" t="n">
        <v>0</v>
      </c>
      <c r="I4466" s="18" t="n">
        <f aca="false">((I4465 + G4466) - H4466)</f>
        <v>24656.47</v>
      </c>
      <c r="J4466" s="18" t="n">
        <v>0</v>
      </c>
      <c r="K4466" s="19" t="n">
        <v>0</v>
      </c>
      <c r="L4466" s="17" t="s">
        <v>1406</v>
      </c>
    </row>
    <row r="4467" s="11" customFormat="true" ht="10.95" hidden="false" customHeight="true" outlineLevel="0" collapsed="false">
      <c r="A4467" s="16" t="n">
        <v>45226</v>
      </c>
      <c r="B4467" s="17" t="s">
        <v>2192</v>
      </c>
      <c r="C4467" s="17" t="s">
        <v>1593</v>
      </c>
      <c r="D4467" s="17" t="s">
        <v>1391</v>
      </c>
      <c r="E4467" s="17" t="s">
        <v>2361</v>
      </c>
      <c r="F4467" s="17" t="s">
        <v>2362</v>
      </c>
      <c r="G4467" s="18" t="n">
        <v>244.54</v>
      </c>
      <c r="H4467" s="18" t="n">
        <v>0</v>
      </c>
      <c r="I4467" s="18" t="n">
        <f aca="false">((I4466 + G4467) - H4467)</f>
        <v>24901.01</v>
      </c>
      <c r="J4467" s="18" t="n">
        <v>0</v>
      </c>
      <c r="K4467" s="19" t="n">
        <v>0</v>
      </c>
      <c r="L4467" s="17" t="s">
        <v>1406</v>
      </c>
    </row>
    <row r="4468" s="11" customFormat="true" ht="10.95" hidden="false" customHeight="true" outlineLevel="0" collapsed="false">
      <c r="A4468" s="16" t="n">
        <v>45226</v>
      </c>
      <c r="B4468" s="17" t="s">
        <v>2192</v>
      </c>
      <c r="C4468" s="17" t="s">
        <v>1593</v>
      </c>
      <c r="D4468" s="17" t="s">
        <v>1407</v>
      </c>
      <c r="E4468" s="17" t="s">
        <v>2246</v>
      </c>
      <c r="F4468" s="17"/>
      <c r="G4468" s="18" t="n">
        <v>89.71</v>
      </c>
      <c r="H4468" s="18" t="n">
        <v>0</v>
      </c>
      <c r="I4468" s="18" t="n">
        <f aca="false">((I4467 + G4468) - H4468)</f>
        <v>24990.72</v>
      </c>
      <c r="J4468" s="18" t="n">
        <v>8.97</v>
      </c>
      <c r="K4468" s="19" t="n">
        <v>10</v>
      </c>
      <c r="L4468" s="17" t="s">
        <v>44</v>
      </c>
    </row>
    <row r="4469" s="11" customFormat="true" ht="10.95" hidden="false" customHeight="true" outlineLevel="0" collapsed="false">
      <c r="A4469" s="16" t="n">
        <v>45227</v>
      </c>
      <c r="B4469" s="17" t="s">
        <v>2192</v>
      </c>
      <c r="C4469" s="17" t="s">
        <v>1593</v>
      </c>
      <c r="D4469" s="17" t="s">
        <v>1407</v>
      </c>
      <c r="E4469" s="17" t="s">
        <v>2291</v>
      </c>
      <c r="F4469" s="17"/>
      <c r="G4469" s="18" t="n">
        <v>171.86</v>
      </c>
      <c r="H4469" s="18" t="n">
        <v>0</v>
      </c>
      <c r="I4469" s="18" t="n">
        <f aca="false">((I4468 + G4469) - H4469)</f>
        <v>25162.58</v>
      </c>
      <c r="J4469" s="18" t="n">
        <v>17.19</v>
      </c>
      <c r="K4469" s="19" t="n">
        <v>10</v>
      </c>
      <c r="L4469" s="17" t="s">
        <v>44</v>
      </c>
    </row>
    <row r="4470" s="11" customFormat="true" ht="10.95" hidden="false" customHeight="true" outlineLevel="0" collapsed="false">
      <c r="A4470" s="16" t="n">
        <v>45230</v>
      </c>
      <c r="B4470" s="17" t="s">
        <v>2192</v>
      </c>
      <c r="C4470" s="17" t="s">
        <v>1593</v>
      </c>
      <c r="D4470" s="17" t="s">
        <v>1391</v>
      </c>
      <c r="E4470" s="17" t="s">
        <v>2363</v>
      </c>
      <c r="F4470" s="17" t="s">
        <v>2364</v>
      </c>
      <c r="G4470" s="18" t="n">
        <v>471.36</v>
      </c>
      <c r="H4470" s="18" t="n">
        <v>0</v>
      </c>
      <c r="I4470" s="18" t="n">
        <f aca="false">((I4469 + G4470) - H4470)</f>
        <v>25633.94</v>
      </c>
      <c r="J4470" s="18" t="n">
        <v>0</v>
      </c>
      <c r="K4470" s="19" t="n">
        <v>0</v>
      </c>
      <c r="L4470" s="17" t="s">
        <v>1406</v>
      </c>
    </row>
    <row r="4471" s="11" customFormat="true" ht="10.95" hidden="false" customHeight="true" outlineLevel="0" collapsed="false">
      <c r="A4471" s="16" t="n">
        <v>45230</v>
      </c>
      <c r="B4471" s="17" t="s">
        <v>2192</v>
      </c>
      <c r="C4471" s="17" t="s">
        <v>1593</v>
      </c>
      <c r="D4471" s="17" t="s">
        <v>1407</v>
      </c>
      <c r="E4471" s="17" t="s">
        <v>2193</v>
      </c>
      <c r="F4471" s="17"/>
      <c r="G4471" s="18" t="n">
        <v>610.53</v>
      </c>
      <c r="H4471" s="18" t="n">
        <v>0</v>
      </c>
      <c r="I4471" s="18" t="n">
        <f aca="false">((I4470 + G4471) - H4471)</f>
        <v>26244.47</v>
      </c>
      <c r="J4471" s="18" t="n">
        <v>0</v>
      </c>
      <c r="K4471" s="19" t="n">
        <v>0</v>
      </c>
      <c r="L4471" s="17" t="s">
        <v>1406</v>
      </c>
    </row>
    <row r="4472" s="11" customFormat="true" ht="10.95" hidden="false" customHeight="true" outlineLevel="0" collapsed="false">
      <c r="A4472" s="16" t="n">
        <v>45230</v>
      </c>
      <c r="B4472" s="17" t="s">
        <v>2192</v>
      </c>
      <c r="C4472" s="17" t="s">
        <v>1593</v>
      </c>
      <c r="D4472" s="17" t="s">
        <v>1407</v>
      </c>
      <c r="E4472" s="17" t="s">
        <v>2194</v>
      </c>
      <c r="F4472" s="17"/>
      <c r="G4472" s="18" t="n">
        <v>77.62</v>
      </c>
      <c r="H4472" s="18" t="n">
        <v>0</v>
      </c>
      <c r="I4472" s="18" t="n">
        <f aca="false">((I4471 + G4472) - H4472)</f>
        <v>26322.09</v>
      </c>
      <c r="J4472" s="18" t="n">
        <v>0</v>
      </c>
      <c r="K4472" s="19" t="n">
        <v>0</v>
      </c>
      <c r="L4472" s="17" t="s">
        <v>1406</v>
      </c>
    </row>
    <row r="4473" s="11" customFormat="true" ht="10.95" hidden="false" customHeight="true" outlineLevel="0" collapsed="false">
      <c r="A4473" s="16" t="n">
        <v>45230</v>
      </c>
      <c r="B4473" s="17" t="s">
        <v>2192</v>
      </c>
      <c r="C4473" s="17" t="s">
        <v>1593</v>
      </c>
      <c r="D4473" s="17" t="s">
        <v>1407</v>
      </c>
      <c r="E4473" s="17" t="s">
        <v>2195</v>
      </c>
      <c r="F4473" s="17"/>
      <c r="G4473" s="18" t="n">
        <v>75</v>
      </c>
      <c r="H4473" s="18" t="n">
        <v>0</v>
      </c>
      <c r="I4473" s="18" t="n">
        <f aca="false">((I4472 + G4473) - H4473)</f>
        <v>26397.09</v>
      </c>
      <c r="J4473" s="18" t="n">
        <v>7.5</v>
      </c>
      <c r="K4473" s="19" t="n">
        <v>10</v>
      </c>
      <c r="L4473" s="17" t="s">
        <v>44</v>
      </c>
    </row>
    <row r="4474" s="11" customFormat="true" ht="10.95" hidden="false" customHeight="true" outlineLevel="0" collapsed="false">
      <c r="A4474" s="16" t="n">
        <v>45231</v>
      </c>
      <c r="B4474" s="17" t="s">
        <v>2192</v>
      </c>
      <c r="C4474" s="17" t="s">
        <v>1593</v>
      </c>
      <c r="D4474" s="17" t="s">
        <v>1407</v>
      </c>
      <c r="E4474" s="17" t="s">
        <v>2196</v>
      </c>
      <c r="F4474" s="17"/>
      <c r="G4474" s="18" t="n">
        <v>18.24</v>
      </c>
      <c r="H4474" s="18" t="n">
        <v>0</v>
      </c>
      <c r="I4474" s="18" t="n">
        <f aca="false">((I4473 + G4474) - H4474)</f>
        <v>26415.33</v>
      </c>
      <c r="J4474" s="18" t="n">
        <v>0</v>
      </c>
      <c r="K4474" s="19" t="n">
        <v>0</v>
      </c>
      <c r="L4474" s="17" t="s">
        <v>1406</v>
      </c>
    </row>
    <row r="4475" s="11" customFormat="true" ht="10.95" hidden="false" customHeight="true" outlineLevel="0" collapsed="false">
      <c r="A4475" s="16" t="n">
        <v>45231</v>
      </c>
      <c r="B4475" s="17" t="s">
        <v>2192</v>
      </c>
      <c r="C4475" s="17" t="s">
        <v>1593</v>
      </c>
      <c r="D4475" s="17" t="s">
        <v>1407</v>
      </c>
      <c r="E4475" s="17" t="s">
        <v>2196</v>
      </c>
      <c r="F4475" s="17"/>
      <c r="G4475" s="18" t="n">
        <v>22.88</v>
      </c>
      <c r="H4475" s="18" t="n">
        <v>0</v>
      </c>
      <c r="I4475" s="18" t="n">
        <f aca="false">((I4474 + G4475) - H4475)</f>
        <v>26438.21</v>
      </c>
      <c r="J4475" s="18" t="n">
        <v>0</v>
      </c>
      <c r="K4475" s="19" t="n">
        <v>0</v>
      </c>
      <c r="L4475" s="17" t="s">
        <v>1406</v>
      </c>
    </row>
    <row r="4476" s="11" customFormat="true" ht="10.95" hidden="false" customHeight="true" outlineLevel="0" collapsed="false">
      <c r="A4476" s="16" t="n">
        <v>45231</v>
      </c>
      <c r="B4476" s="17" t="s">
        <v>2192</v>
      </c>
      <c r="C4476" s="17" t="s">
        <v>1593</v>
      </c>
      <c r="D4476" s="17" t="s">
        <v>1407</v>
      </c>
      <c r="E4476" s="17" t="s">
        <v>2196</v>
      </c>
      <c r="F4476" s="17"/>
      <c r="G4476" s="18" t="n">
        <v>173.83</v>
      </c>
      <c r="H4476" s="18" t="n">
        <v>0</v>
      </c>
      <c r="I4476" s="18" t="n">
        <f aca="false">((I4475 + G4476) - H4476)</f>
        <v>26612.04</v>
      </c>
      <c r="J4476" s="18" t="n">
        <v>0</v>
      </c>
      <c r="K4476" s="19" t="n">
        <v>0</v>
      </c>
      <c r="L4476" s="17" t="s">
        <v>1406</v>
      </c>
    </row>
    <row r="4477" s="11" customFormat="true" ht="10.95" hidden="false" customHeight="true" outlineLevel="0" collapsed="false">
      <c r="A4477" s="16" t="n">
        <v>45231</v>
      </c>
      <c r="B4477" s="17" t="s">
        <v>2192</v>
      </c>
      <c r="C4477" s="17" t="s">
        <v>1593</v>
      </c>
      <c r="D4477" s="17" t="s">
        <v>1391</v>
      </c>
      <c r="E4477" s="17" t="s">
        <v>2365</v>
      </c>
      <c r="F4477" s="17" t="s">
        <v>2366</v>
      </c>
      <c r="G4477" s="18" t="n">
        <v>152.15</v>
      </c>
      <c r="H4477" s="18" t="n">
        <v>0</v>
      </c>
      <c r="I4477" s="18" t="n">
        <f aca="false">((I4476 + G4477) - H4477)</f>
        <v>26764.19</v>
      </c>
      <c r="J4477" s="18" t="n">
        <v>0</v>
      </c>
      <c r="K4477" s="19" t="n">
        <v>0</v>
      </c>
      <c r="L4477" s="17" t="s">
        <v>1406</v>
      </c>
    </row>
    <row r="4478" s="11" customFormat="true" ht="10.95" hidden="false" customHeight="true" outlineLevel="0" collapsed="false">
      <c r="A4478" s="16" t="n">
        <v>45231</v>
      </c>
      <c r="B4478" s="17" t="s">
        <v>2192</v>
      </c>
      <c r="C4478" s="17" t="s">
        <v>1593</v>
      </c>
      <c r="D4478" s="17" t="s">
        <v>1391</v>
      </c>
      <c r="E4478" s="17" t="s">
        <v>2367</v>
      </c>
      <c r="F4478" s="17"/>
      <c r="G4478" s="18" t="n">
        <v>248</v>
      </c>
      <c r="H4478" s="18" t="n">
        <v>0</v>
      </c>
      <c r="I4478" s="18" t="n">
        <f aca="false">((I4477 + G4478) - H4478)</f>
        <v>27012.19</v>
      </c>
      <c r="J4478" s="18" t="n">
        <v>0</v>
      </c>
      <c r="K4478" s="19" t="n">
        <v>0</v>
      </c>
      <c r="L4478" s="17" t="s">
        <v>1406</v>
      </c>
    </row>
    <row r="4479" s="11" customFormat="true" ht="10.95" hidden="false" customHeight="true" outlineLevel="0" collapsed="false">
      <c r="A4479" s="16" t="n">
        <v>45232</v>
      </c>
      <c r="B4479" s="17" t="s">
        <v>2192</v>
      </c>
      <c r="C4479" s="17" t="s">
        <v>1593</v>
      </c>
      <c r="D4479" s="17" t="s">
        <v>1407</v>
      </c>
      <c r="E4479" s="17" t="s">
        <v>2201</v>
      </c>
      <c r="F4479" s="17"/>
      <c r="G4479" s="18" t="n">
        <v>36.35</v>
      </c>
      <c r="H4479" s="18" t="n">
        <v>0</v>
      </c>
      <c r="I4479" s="18" t="n">
        <f aca="false">((I4478 + G4479) - H4479)</f>
        <v>27048.54</v>
      </c>
      <c r="J4479" s="18" t="n">
        <v>3.64</v>
      </c>
      <c r="K4479" s="19" t="n">
        <v>10</v>
      </c>
      <c r="L4479" s="17" t="s">
        <v>44</v>
      </c>
    </row>
    <row r="4480" s="11" customFormat="true" ht="10.95" hidden="false" customHeight="true" outlineLevel="0" collapsed="false">
      <c r="A4480" s="16" t="n">
        <v>45234</v>
      </c>
      <c r="B4480" s="17" t="s">
        <v>2192</v>
      </c>
      <c r="C4480" s="17" t="s">
        <v>1593</v>
      </c>
      <c r="D4480" s="17" t="s">
        <v>1407</v>
      </c>
      <c r="E4480" s="17" t="s">
        <v>1510</v>
      </c>
      <c r="F4480" s="17"/>
      <c r="G4480" s="18" t="n">
        <v>134.65</v>
      </c>
      <c r="H4480" s="18" t="n">
        <v>0</v>
      </c>
      <c r="I4480" s="18" t="n">
        <f aca="false">((I4479 + G4480) - H4480)</f>
        <v>27183.19</v>
      </c>
      <c r="J4480" s="18" t="n">
        <v>0</v>
      </c>
      <c r="K4480" s="19" t="n">
        <v>0</v>
      </c>
      <c r="L4480" s="17" t="s">
        <v>1406</v>
      </c>
    </row>
    <row r="4481" s="11" customFormat="true" ht="10.95" hidden="false" customHeight="true" outlineLevel="0" collapsed="false">
      <c r="A4481" s="16" t="n">
        <v>45236</v>
      </c>
      <c r="B4481" s="17" t="s">
        <v>2192</v>
      </c>
      <c r="C4481" s="17" t="s">
        <v>1593</v>
      </c>
      <c r="D4481" s="17" t="s">
        <v>1407</v>
      </c>
      <c r="E4481" s="17" t="s">
        <v>2196</v>
      </c>
      <c r="F4481" s="17"/>
      <c r="G4481" s="18" t="n">
        <v>237.14</v>
      </c>
      <c r="H4481" s="18" t="n">
        <v>0</v>
      </c>
      <c r="I4481" s="18" t="n">
        <f aca="false">((I4480 + G4481) - H4481)</f>
        <v>27420.33</v>
      </c>
      <c r="J4481" s="18" t="n">
        <v>0</v>
      </c>
      <c r="K4481" s="19" t="n">
        <v>0</v>
      </c>
      <c r="L4481" s="17" t="s">
        <v>1406</v>
      </c>
    </row>
    <row r="4482" s="11" customFormat="true" ht="10.95" hidden="false" customHeight="true" outlineLevel="0" collapsed="false">
      <c r="A4482" s="16" t="n">
        <v>45237</v>
      </c>
      <c r="B4482" s="17" t="s">
        <v>2192</v>
      </c>
      <c r="C4482" s="17" t="s">
        <v>1593</v>
      </c>
      <c r="D4482" s="17" t="s">
        <v>1407</v>
      </c>
      <c r="E4482" s="17" t="s">
        <v>2196</v>
      </c>
      <c r="F4482" s="17"/>
      <c r="G4482" s="18" t="n">
        <v>4.66</v>
      </c>
      <c r="H4482" s="18" t="n">
        <v>0</v>
      </c>
      <c r="I4482" s="18" t="n">
        <f aca="false">((I4481 + G4482) - H4482)</f>
        <v>27424.99</v>
      </c>
      <c r="J4482" s="18" t="n">
        <v>0</v>
      </c>
      <c r="K4482" s="19" t="n">
        <v>0</v>
      </c>
      <c r="L4482" s="17" t="s">
        <v>1406</v>
      </c>
    </row>
    <row r="4483" s="11" customFormat="true" ht="10.95" hidden="false" customHeight="true" outlineLevel="0" collapsed="false">
      <c r="A4483" s="16" t="n">
        <v>45237</v>
      </c>
      <c r="B4483" s="17" t="s">
        <v>2192</v>
      </c>
      <c r="C4483" s="17" t="s">
        <v>1593</v>
      </c>
      <c r="D4483" s="17" t="s">
        <v>1407</v>
      </c>
      <c r="E4483" s="17" t="s">
        <v>2209</v>
      </c>
      <c r="F4483" s="17"/>
      <c r="G4483" s="18" t="n">
        <v>15.19</v>
      </c>
      <c r="H4483" s="18" t="n">
        <v>0</v>
      </c>
      <c r="I4483" s="18" t="n">
        <f aca="false">((I4482 + G4483) - H4483)</f>
        <v>27440.18</v>
      </c>
      <c r="J4483" s="18" t="n">
        <v>1.53</v>
      </c>
      <c r="K4483" s="19" t="n">
        <v>10</v>
      </c>
      <c r="L4483" s="17" t="s">
        <v>44</v>
      </c>
    </row>
    <row r="4484" s="11" customFormat="true" ht="10.95" hidden="false" customHeight="true" outlineLevel="0" collapsed="false">
      <c r="A4484" s="16" t="n">
        <v>45237</v>
      </c>
      <c r="B4484" s="17" t="s">
        <v>2192</v>
      </c>
      <c r="C4484" s="17" t="s">
        <v>1593</v>
      </c>
      <c r="D4484" s="17" t="s">
        <v>1407</v>
      </c>
      <c r="E4484" s="17" t="s">
        <v>2210</v>
      </c>
      <c r="F4484" s="17"/>
      <c r="G4484" s="18" t="n">
        <v>45.19</v>
      </c>
      <c r="H4484" s="18" t="n">
        <v>0</v>
      </c>
      <c r="I4484" s="18" t="n">
        <f aca="false">((I4483 + G4484) - H4484)</f>
        <v>27485.37</v>
      </c>
      <c r="J4484" s="18" t="n">
        <v>0</v>
      </c>
      <c r="K4484" s="19" t="n">
        <v>0</v>
      </c>
      <c r="L4484" s="17" t="s">
        <v>1406</v>
      </c>
    </row>
    <row r="4485" s="11" customFormat="true" ht="10.95" hidden="false" customHeight="true" outlineLevel="0" collapsed="false">
      <c r="A4485" s="16" t="n">
        <v>45237</v>
      </c>
      <c r="B4485" s="17" t="s">
        <v>2192</v>
      </c>
      <c r="C4485" s="17" t="s">
        <v>1593</v>
      </c>
      <c r="D4485" s="17" t="s">
        <v>1407</v>
      </c>
      <c r="E4485" s="17" t="s">
        <v>2368</v>
      </c>
      <c r="F4485" s="17"/>
      <c r="G4485" s="18" t="n">
        <v>65</v>
      </c>
      <c r="H4485" s="18" t="n">
        <v>0</v>
      </c>
      <c r="I4485" s="18" t="n">
        <f aca="false">((I4484 + G4485) - H4485)</f>
        <v>27550.37</v>
      </c>
      <c r="J4485" s="18" t="n">
        <v>6.5</v>
      </c>
      <c r="K4485" s="19" t="n">
        <v>10</v>
      </c>
      <c r="L4485" s="17" t="s">
        <v>44</v>
      </c>
    </row>
    <row r="4486" s="11" customFormat="true" ht="10.95" hidden="false" customHeight="true" outlineLevel="0" collapsed="false">
      <c r="A4486" s="16" t="n">
        <v>45237</v>
      </c>
      <c r="B4486" s="17" t="s">
        <v>2192</v>
      </c>
      <c r="C4486" s="17" t="s">
        <v>1593</v>
      </c>
      <c r="D4486" s="17" t="s">
        <v>1407</v>
      </c>
      <c r="E4486" s="17" t="s">
        <v>2296</v>
      </c>
      <c r="F4486" s="17"/>
      <c r="G4486" s="18" t="n">
        <v>187.79</v>
      </c>
      <c r="H4486" s="18" t="n">
        <v>0</v>
      </c>
      <c r="I4486" s="18" t="n">
        <f aca="false">((I4485 + G4486) - H4486)</f>
        <v>27738.16</v>
      </c>
      <c r="J4486" s="18" t="n">
        <v>0</v>
      </c>
      <c r="K4486" s="19" t="n">
        <v>0</v>
      </c>
      <c r="L4486" s="17" t="s">
        <v>1406</v>
      </c>
    </row>
    <row r="4487" s="11" customFormat="true" ht="10.95" hidden="false" customHeight="true" outlineLevel="0" collapsed="false">
      <c r="A4487" s="16" t="n">
        <v>45237</v>
      </c>
      <c r="B4487" s="17" t="s">
        <v>2192</v>
      </c>
      <c r="C4487" s="17" t="s">
        <v>1593</v>
      </c>
      <c r="D4487" s="17" t="s">
        <v>1407</v>
      </c>
      <c r="E4487" s="17" t="s">
        <v>2369</v>
      </c>
      <c r="F4487" s="17"/>
      <c r="G4487" s="18" t="n">
        <v>400</v>
      </c>
      <c r="H4487" s="18" t="n">
        <v>0</v>
      </c>
      <c r="I4487" s="18" t="n">
        <f aca="false">((I4486 + G4487) - H4487)</f>
        <v>28138.16</v>
      </c>
      <c r="J4487" s="18" t="n">
        <v>40</v>
      </c>
      <c r="K4487" s="19" t="n">
        <v>10</v>
      </c>
      <c r="L4487" s="17" t="s">
        <v>44</v>
      </c>
    </row>
    <row r="4488" s="11" customFormat="true" ht="10.95" hidden="false" customHeight="true" outlineLevel="0" collapsed="false">
      <c r="A4488" s="16" t="n">
        <v>45238</v>
      </c>
      <c r="B4488" s="17" t="s">
        <v>2192</v>
      </c>
      <c r="C4488" s="17" t="s">
        <v>1593</v>
      </c>
      <c r="D4488" s="17" t="s">
        <v>1407</v>
      </c>
      <c r="E4488" s="17" t="s">
        <v>2236</v>
      </c>
      <c r="F4488" s="17"/>
      <c r="G4488" s="18" t="n">
        <v>19.41</v>
      </c>
      <c r="H4488" s="18" t="n">
        <v>0</v>
      </c>
      <c r="I4488" s="18" t="n">
        <f aca="false">((I4487 + G4488) - H4488)</f>
        <v>28157.57</v>
      </c>
      <c r="J4488" s="18" t="n">
        <v>0</v>
      </c>
      <c r="K4488" s="19" t="n">
        <v>0</v>
      </c>
      <c r="L4488" s="17" t="s">
        <v>1406</v>
      </c>
    </row>
    <row r="4489" s="11" customFormat="true" ht="10.95" hidden="false" customHeight="true" outlineLevel="0" collapsed="false">
      <c r="A4489" s="16" t="n">
        <v>45243</v>
      </c>
      <c r="B4489" s="17" t="s">
        <v>2192</v>
      </c>
      <c r="C4489" s="17" t="s">
        <v>1593</v>
      </c>
      <c r="D4489" s="17" t="s">
        <v>1407</v>
      </c>
      <c r="E4489" s="17" t="s">
        <v>2196</v>
      </c>
      <c r="F4489" s="17"/>
      <c r="G4489" s="18" t="n">
        <v>1.55</v>
      </c>
      <c r="H4489" s="18" t="n">
        <v>0</v>
      </c>
      <c r="I4489" s="18" t="n">
        <f aca="false">((I4488 + G4489) - H4489)</f>
        <v>28159.12</v>
      </c>
      <c r="J4489" s="18" t="n">
        <v>0</v>
      </c>
      <c r="K4489" s="19" t="n">
        <v>0</v>
      </c>
      <c r="L4489" s="17" t="s">
        <v>1406</v>
      </c>
    </row>
    <row r="4490" s="11" customFormat="true" ht="10.95" hidden="false" customHeight="true" outlineLevel="0" collapsed="false">
      <c r="A4490" s="16" t="n">
        <v>45243</v>
      </c>
      <c r="B4490" s="17" t="s">
        <v>2192</v>
      </c>
      <c r="C4490" s="17" t="s">
        <v>1593</v>
      </c>
      <c r="D4490" s="17" t="s">
        <v>1407</v>
      </c>
      <c r="E4490" s="17" t="s">
        <v>2196</v>
      </c>
      <c r="F4490" s="17"/>
      <c r="G4490" s="18" t="n">
        <v>4.69</v>
      </c>
      <c r="H4490" s="18" t="n">
        <v>0</v>
      </c>
      <c r="I4490" s="18" t="n">
        <f aca="false">((I4489 + G4490) - H4490)</f>
        <v>28163.81</v>
      </c>
      <c r="J4490" s="18" t="n">
        <v>0</v>
      </c>
      <c r="K4490" s="19" t="n">
        <v>0</v>
      </c>
      <c r="L4490" s="17" t="s">
        <v>1406</v>
      </c>
    </row>
    <row r="4491" s="11" customFormat="true" ht="10.95" hidden="false" customHeight="true" outlineLevel="0" collapsed="false">
      <c r="A4491" s="16" t="n">
        <v>45246</v>
      </c>
      <c r="B4491" s="17" t="s">
        <v>2192</v>
      </c>
      <c r="C4491" s="17" t="s">
        <v>1593</v>
      </c>
      <c r="D4491" s="17" t="s">
        <v>1407</v>
      </c>
      <c r="E4491" s="17" t="s">
        <v>2193</v>
      </c>
      <c r="F4491" s="17"/>
      <c r="G4491" s="18" t="n">
        <v>166.53</v>
      </c>
      <c r="H4491" s="18" t="n">
        <v>0</v>
      </c>
      <c r="I4491" s="18" t="n">
        <f aca="false">((I4490 + G4491) - H4491)</f>
        <v>28330.34</v>
      </c>
      <c r="J4491" s="18" t="n">
        <v>0</v>
      </c>
      <c r="K4491" s="19" t="n">
        <v>0</v>
      </c>
      <c r="L4491" s="17" t="s">
        <v>1406</v>
      </c>
    </row>
    <row r="4492" s="11" customFormat="true" ht="10.95" hidden="false" customHeight="true" outlineLevel="0" collapsed="false">
      <c r="A4492" s="16" t="n">
        <v>45246</v>
      </c>
      <c r="B4492" s="17" t="s">
        <v>2192</v>
      </c>
      <c r="C4492" s="17" t="s">
        <v>1593</v>
      </c>
      <c r="D4492" s="17" t="s">
        <v>1407</v>
      </c>
      <c r="E4492" s="17" t="s">
        <v>2208</v>
      </c>
      <c r="F4492" s="17"/>
      <c r="G4492" s="18" t="n">
        <v>16.5</v>
      </c>
      <c r="H4492" s="18" t="n">
        <v>0</v>
      </c>
      <c r="I4492" s="18" t="n">
        <f aca="false">((I4491 + G4492) - H4492)</f>
        <v>28346.84</v>
      </c>
      <c r="J4492" s="18" t="n">
        <v>1.65</v>
      </c>
      <c r="K4492" s="19" t="n">
        <v>10</v>
      </c>
      <c r="L4492" s="17" t="s">
        <v>44</v>
      </c>
    </row>
    <row r="4493" s="11" customFormat="true" ht="10.95" hidden="false" customHeight="true" outlineLevel="0" collapsed="false">
      <c r="A4493" s="16" t="n">
        <v>45246</v>
      </c>
      <c r="B4493" s="17" t="s">
        <v>2192</v>
      </c>
      <c r="C4493" s="17" t="s">
        <v>1593</v>
      </c>
      <c r="D4493" s="17" t="s">
        <v>1407</v>
      </c>
      <c r="E4493" s="17" t="s">
        <v>2208</v>
      </c>
      <c r="F4493" s="17"/>
      <c r="G4493" s="18" t="n">
        <v>17.2</v>
      </c>
      <c r="H4493" s="18" t="n">
        <v>0</v>
      </c>
      <c r="I4493" s="18" t="n">
        <f aca="false">((I4492 + G4493) - H4493)</f>
        <v>28364.04</v>
      </c>
      <c r="J4493" s="18" t="n">
        <v>1.72</v>
      </c>
      <c r="K4493" s="19" t="n">
        <v>10</v>
      </c>
      <c r="L4493" s="17" t="s">
        <v>44</v>
      </c>
    </row>
    <row r="4494" s="11" customFormat="true" ht="10.95" hidden="false" customHeight="true" outlineLevel="0" collapsed="false">
      <c r="A4494" s="16" t="n">
        <v>45247</v>
      </c>
      <c r="B4494" s="17" t="s">
        <v>2192</v>
      </c>
      <c r="C4494" s="17" t="s">
        <v>1593</v>
      </c>
      <c r="D4494" s="17" t="s">
        <v>1407</v>
      </c>
      <c r="E4494" s="17" t="s">
        <v>2370</v>
      </c>
      <c r="F4494" s="17"/>
      <c r="G4494" s="18" t="n">
        <v>124.57</v>
      </c>
      <c r="H4494" s="18" t="n">
        <v>0</v>
      </c>
      <c r="I4494" s="18" t="n">
        <f aca="false">((I4493 + G4494) - H4494)</f>
        <v>28488.61</v>
      </c>
      <c r="J4494" s="18" t="n">
        <v>0</v>
      </c>
      <c r="K4494" s="19" t="n">
        <v>0</v>
      </c>
      <c r="L4494" s="17" t="s">
        <v>1406</v>
      </c>
    </row>
    <row r="4495" s="11" customFormat="true" ht="10.95" hidden="false" customHeight="true" outlineLevel="0" collapsed="false">
      <c r="A4495" s="16" t="n">
        <v>45248</v>
      </c>
      <c r="B4495" s="17" t="s">
        <v>2192</v>
      </c>
      <c r="C4495" s="17" t="s">
        <v>1593</v>
      </c>
      <c r="D4495" s="17" t="s">
        <v>1391</v>
      </c>
      <c r="E4495" s="17" t="s">
        <v>2371</v>
      </c>
      <c r="F4495" s="17" t="s">
        <v>2372</v>
      </c>
      <c r="G4495" s="18" t="n">
        <v>22</v>
      </c>
      <c r="H4495" s="18" t="n">
        <v>0</v>
      </c>
      <c r="I4495" s="18" t="n">
        <f aca="false">((I4494 + G4495) - H4495)</f>
        <v>28510.61</v>
      </c>
      <c r="J4495" s="18" t="n">
        <v>2.2</v>
      </c>
      <c r="K4495" s="19" t="n">
        <v>10</v>
      </c>
      <c r="L4495" s="17" t="s">
        <v>44</v>
      </c>
    </row>
    <row r="4496" s="11" customFormat="true" ht="10.95" hidden="false" customHeight="true" outlineLevel="0" collapsed="false">
      <c r="A4496" s="16" t="n">
        <v>45248</v>
      </c>
      <c r="B4496" s="17" t="s">
        <v>2192</v>
      </c>
      <c r="C4496" s="17" t="s">
        <v>1593</v>
      </c>
      <c r="D4496" s="17" t="s">
        <v>1391</v>
      </c>
      <c r="E4496" s="17" t="s">
        <v>2373</v>
      </c>
      <c r="F4496" s="17" t="s">
        <v>2374</v>
      </c>
      <c r="G4496" s="18" t="n">
        <v>69.6</v>
      </c>
      <c r="H4496" s="18" t="n">
        <v>0</v>
      </c>
      <c r="I4496" s="18" t="n">
        <f aca="false">((I4495 + G4496) - H4496)</f>
        <v>28580.21</v>
      </c>
      <c r="J4496" s="18" t="n">
        <v>6.96</v>
      </c>
      <c r="K4496" s="19" t="n">
        <v>10</v>
      </c>
      <c r="L4496" s="17" t="s">
        <v>44</v>
      </c>
    </row>
    <row r="4497" s="11" customFormat="true" ht="10.95" hidden="false" customHeight="true" outlineLevel="0" collapsed="false">
      <c r="A4497" s="16" t="n">
        <v>45248</v>
      </c>
      <c r="B4497" s="17" t="s">
        <v>2192</v>
      </c>
      <c r="C4497" s="17" t="s">
        <v>1593</v>
      </c>
      <c r="D4497" s="17" t="s">
        <v>1391</v>
      </c>
      <c r="E4497" s="17" t="s">
        <v>2375</v>
      </c>
      <c r="F4497" s="17" t="s">
        <v>2376</v>
      </c>
      <c r="G4497" s="18" t="n">
        <v>41.2</v>
      </c>
      <c r="H4497" s="18" t="n">
        <v>0</v>
      </c>
      <c r="I4497" s="18" t="n">
        <f aca="false">((I4496 + G4497) - H4497)</f>
        <v>28621.41</v>
      </c>
      <c r="J4497" s="18" t="n">
        <v>4.12</v>
      </c>
      <c r="K4497" s="19" t="n">
        <v>10</v>
      </c>
      <c r="L4497" s="17" t="s">
        <v>44</v>
      </c>
    </row>
    <row r="4498" s="11" customFormat="true" ht="10.95" hidden="false" customHeight="true" outlineLevel="0" collapsed="false">
      <c r="A4498" s="16" t="n">
        <v>45248</v>
      </c>
      <c r="B4498" s="17" t="s">
        <v>2192</v>
      </c>
      <c r="C4498" s="17" t="s">
        <v>1593</v>
      </c>
      <c r="D4498" s="17" t="s">
        <v>1391</v>
      </c>
      <c r="E4498" s="17" t="s">
        <v>2377</v>
      </c>
      <c r="F4498" s="17" t="s">
        <v>2378</v>
      </c>
      <c r="G4498" s="18" t="n">
        <v>8.2</v>
      </c>
      <c r="H4498" s="18" t="n">
        <v>0</v>
      </c>
      <c r="I4498" s="18" t="n">
        <f aca="false">((I4497 + G4498) - H4498)</f>
        <v>28629.61</v>
      </c>
      <c r="J4498" s="18" t="n">
        <v>0.82</v>
      </c>
      <c r="K4498" s="19" t="n">
        <v>10</v>
      </c>
      <c r="L4498" s="17" t="s">
        <v>44</v>
      </c>
    </row>
    <row r="4499" s="11" customFormat="true" ht="10.95" hidden="false" customHeight="true" outlineLevel="0" collapsed="false">
      <c r="A4499" s="16" t="n">
        <v>45248</v>
      </c>
      <c r="B4499" s="17" t="s">
        <v>2192</v>
      </c>
      <c r="C4499" s="17" t="s">
        <v>1593</v>
      </c>
      <c r="D4499" s="17" t="s">
        <v>1391</v>
      </c>
      <c r="E4499" s="17" t="s">
        <v>2379</v>
      </c>
      <c r="F4499" s="17" t="s">
        <v>2380</v>
      </c>
      <c r="G4499" s="18" t="n">
        <v>30.2</v>
      </c>
      <c r="H4499" s="18" t="n">
        <v>0</v>
      </c>
      <c r="I4499" s="18" t="n">
        <f aca="false">((I4498 + G4499) - H4499)</f>
        <v>28659.81</v>
      </c>
      <c r="J4499" s="18" t="n">
        <v>3.02</v>
      </c>
      <c r="K4499" s="19" t="n">
        <v>10</v>
      </c>
      <c r="L4499" s="17" t="s">
        <v>44</v>
      </c>
    </row>
    <row r="4500" s="11" customFormat="true" ht="10.95" hidden="false" customHeight="true" outlineLevel="0" collapsed="false">
      <c r="A4500" s="16" t="n">
        <v>45248</v>
      </c>
      <c r="B4500" s="17" t="s">
        <v>2192</v>
      </c>
      <c r="C4500" s="17" t="s">
        <v>1593</v>
      </c>
      <c r="D4500" s="17" t="s">
        <v>1391</v>
      </c>
      <c r="E4500" s="17" t="s">
        <v>2381</v>
      </c>
      <c r="F4500" s="17" t="s">
        <v>2382</v>
      </c>
      <c r="G4500" s="18" t="n">
        <v>62</v>
      </c>
      <c r="H4500" s="18" t="n">
        <v>0</v>
      </c>
      <c r="I4500" s="18" t="n">
        <f aca="false">((I4499 + G4500) - H4500)</f>
        <v>28721.81</v>
      </c>
      <c r="J4500" s="18" t="n">
        <v>6.2</v>
      </c>
      <c r="K4500" s="19" t="n">
        <v>10</v>
      </c>
      <c r="L4500" s="17" t="s">
        <v>44</v>
      </c>
    </row>
    <row r="4501" s="11" customFormat="true" ht="10.95" hidden="false" customHeight="true" outlineLevel="0" collapsed="false">
      <c r="A4501" s="16" t="n">
        <v>45248</v>
      </c>
      <c r="B4501" s="17" t="s">
        <v>2192</v>
      </c>
      <c r="C4501" s="17" t="s">
        <v>1593</v>
      </c>
      <c r="D4501" s="17" t="s">
        <v>1391</v>
      </c>
      <c r="E4501" s="17" t="s">
        <v>2383</v>
      </c>
      <c r="F4501" s="17" t="s">
        <v>2384</v>
      </c>
      <c r="G4501" s="18" t="n">
        <v>199.8</v>
      </c>
      <c r="H4501" s="18" t="n">
        <v>0</v>
      </c>
      <c r="I4501" s="18" t="n">
        <f aca="false">((I4500 + G4501) - H4501)</f>
        <v>28921.61</v>
      </c>
      <c r="J4501" s="18" t="n">
        <v>19.98</v>
      </c>
      <c r="K4501" s="19" t="n">
        <v>10</v>
      </c>
      <c r="L4501" s="17" t="s">
        <v>44</v>
      </c>
    </row>
    <row r="4502" s="11" customFormat="true" ht="10.95" hidden="false" customHeight="true" outlineLevel="0" collapsed="false">
      <c r="A4502" s="16" t="n">
        <v>45248</v>
      </c>
      <c r="B4502" s="17" t="s">
        <v>2192</v>
      </c>
      <c r="C4502" s="17" t="s">
        <v>1593</v>
      </c>
      <c r="D4502" s="17" t="s">
        <v>1391</v>
      </c>
      <c r="E4502" s="17" t="s">
        <v>2385</v>
      </c>
      <c r="F4502" s="17" t="s">
        <v>2386</v>
      </c>
      <c r="G4502" s="18" t="n">
        <v>55</v>
      </c>
      <c r="H4502" s="18" t="n">
        <v>0</v>
      </c>
      <c r="I4502" s="18" t="n">
        <f aca="false">((I4501 + G4502) - H4502)</f>
        <v>28976.61</v>
      </c>
      <c r="J4502" s="18" t="n">
        <v>5.5</v>
      </c>
      <c r="K4502" s="19" t="n">
        <v>10</v>
      </c>
      <c r="L4502" s="17" t="s">
        <v>44</v>
      </c>
    </row>
    <row r="4503" s="11" customFormat="true" ht="10.95" hidden="false" customHeight="true" outlineLevel="0" collapsed="false">
      <c r="A4503" s="16" t="n">
        <v>45248</v>
      </c>
      <c r="B4503" s="17" t="s">
        <v>2192</v>
      </c>
      <c r="C4503" s="17" t="s">
        <v>1593</v>
      </c>
      <c r="D4503" s="17" t="s">
        <v>1407</v>
      </c>
      <c r="E4503" s="17" t="s">
        <v>2216</v>
      </c>
      <c r="F4503" s="17"/>
      <c r="G4503" s="18" t="n">
        <v>13.63</v>
      </c>
      <c r="H4503" s="18" t="n">
        <v>0</v>
      </c>
      <c r="I4503" s="18" t="n">
        <f aca="false">((I4502 + G4503) - H4503)</f>
        <v>28990.24</v>
      </c>
      <c r="J4503" s="18" t="n">
        <v>1.36</v>
      </c>
      <c r="K4503" s="19" t="n">
        <v>10</v>
      </c>
      <c r="L4503" s="17" t="s">
        <v>44</v>
      </c>
    </row>
    <row r="4504" s="11" customFormat="true" ht="10.95" hidden="false" customHeight="true" outlineLevel="0" collapsed="false">
      <c r="A4504" s="16" t="n">
        <v>45248</v>
      </c>
      <c r="B4504" s="17" t="s">
        <v>2192</v>
      </c>
      <c r="C4504" s="17" t="s">
        <v>1593</v>
      </c>
      <c r="D4504" s="17" t="s">
        <v>1407</v>
      </c>
      <c r="E4504" s="17" t="s">
        <v>2284</v>
      </c>
      <c r="F4504" s="17"/>
      <c r="G4504" s="18" t="n">
        <v>77.06</v>
      </c>
      <c r="H4504" s="18" t="n">
        <v>0</v>
      </c>
      <c r="I4504" s="18" t="n">
        <f aca="false">((I4503 + G4504) - H4504)</f>
        <v>29067.3</v>
      </c>
      <c r="J4504" s="18" t="n">
        <v>7.71</v>
      </c>
      <c r="K4504" s="19" t="n">
        <v>10</v>
      </c>
      <c r="L4504" s="17" t="s">
        <v>44</v>
      </c>
    </row>
    <row r="4505" s="11" customFormat="true" ht="10.95" hidden="false" customHeight="true" outlineLevel="0" collapsed="false">
      <c r="A4505" s="16" t="n">
        <v>45248</v>
      </c>
      <c r="B4505" s="17" t="s">
        <v>2192</v>
      </c>
      <c r="C4505" s="17" t="s">
        <v>1593</v>
      </c>
      <c r="D4505" s="17" t="s">
        <v>1407</v>
      </c>
      <c r="E4505" s="17" t="s">
        <v>1580</v>
      </c>
      <c r="F4505" s="17"/>
      <c r="G4505" s="18" t="n">
        <v>247.73</v>
      </c>
      <c r="H4505" s="18" t="n">
        <v>0</v>
      </c>
      <c r="I4505" s="18" t="n">
        <f aca="false">((I4504 + G4505) - H4505)</f>
        <v>29315.03</v>
      </c>
      <c r="J4505" s="18" t="n">
        <v>24.77</v>
      </c>
      <c r="K4505" s="19" t="n">
        <v>10</v>
      </c>
      <c r="L4505" s="17" t="s">
        <v>44</v>
      </c>
    </row>
    <row r="4506" s="11" customFormat="true" ht="10.95" hidden="false" customHeight="true" outlineLevel="0" collapsed="false">
      <c r="A4506" s="16" t="n">
        <v>45250</v>
      </c>
      <c r="B4506" s="17" t="s">
        <v>2192</v>
      </c>
      <c r="C4506" s="17" t="s">
        <v>1593</v>
      </c>
      <c r="D4506" s="17" t="s">
        <v>1407</v>
      </c>
      <c r="E4506" s="17" t="s">
        <v>2196</v>
      </c>
      <c r="F4506" s="17"/>
      <c r="G4506" s="18" t="n">
        <v>38.13</v>
      </c>
      <c r="H4506" s="18" t="n">
        <v>0</v>
      </c>
      <c r="I4506" s="18" t="n">
        <f aca="false">((I4505 + G4506) - H4506)</f>
        <v>29353.16</v>
      </c>
      <c r="J4506" s="18" t="n">
        <v>0</v>
      </c>
      <c r="K4506" s="19" t="n">
        <v>0</v>
      </c>
      <c r="L4506" s="17" t="s">
        <v>1406</v>
      </c>
    </row>
    <row r="4507" s="11" customFormat="true" ht="10.95" hidden="false" customHeight="true" outlineLevel="0" collapsed="false">
      <c r="A4507" s="16" t="n">
        <v>45250</v>
      </c>
      <c r="B4507" s="17" t="s">
        <v>2192</v>
      </c>
      <c r="C4507" s="17" t="s">
        <v>1593</v>
      </c>
      <c r="D4507" s="17" t="s">
        <v>1407</v>
      </c>
      <c r="E4507" s="17" t="s">
        <v>2196</v>
      </c>
      <c r="F4507" s="17"/>
      <c r="G4507" s="18" t="n">
        <v>18.78</v>
      </c>
      <c r="H4507" s="18" t="n">
        <v>0</v>
      </c>
      <c r="I4507" s="18" t="n">
        <f aca="false">((I4506 + G4507) - H4507)</f>
        <v>29371.94</v>
      </c>
      <c r="J4507" s="18" t="n">
        <v>0</v>
      </c>
      <c r="K4507" s="19" t="n">
        <v>0</v>
      </c>
      <c r="L4507" s="17" t="s">
        <v>1406</v>
      </c>
    </row>
    <row r="4508" s="11" customFormat="true" ht="10.95" hidden="false" customHeight="true" outlineLevel="0" collapsed="false">
      <c r="A4508" s="16" t="n">
        <v>45251</v>
      </c>
      <c r="B4508" s="17" t="s">
        <v>2192</v>
      </c>
      <c r="C4508" s="17" t="s">
        <v>1593</v>
      </c>
      <c r="D4508" s="17" t="s">
        <v>1407</v>
      </c>
      <c r="E4508" s="17" t="s">
        <v>2238</v>
      </c>
      <c r="F4508" s="17"/>
      <c r="G4508" s="18" t="n">
        <v>31.01</v>
      </c>
      <c r="H4508" s="18" t="n">
        <v>0</v>
      </c>
      <c r="I4508" s="18" t="n">
        <f aca="false">((I4507 + G4508) - H4508)</f>
        <v>29402.95</v>
      </c>
      <c r="J4508" s="18" t="n">
        <v>0</v>
      </c>
      <c r="K4508" s="19" t="n">
        <v>0</v>
      </c>
      <c r="L4508" s="17" t="s">
        <v>1406</v>
      </c>
    </row>
    <row r="4509" s="11" customFormat="true" ht="10.95" hidden="false" customHeight="true" outlineLevel="0" collapsed="false">
      <c r="A4509" s="16" t="n">
        <v>45251</v>
      </c>
      <c r="B4509" s="17" t="s">
        <v>2192</v>
      </c>
      <c r="C4509" s="17" t="s">
        <v>1593</v>
      </c>
      <c r="D4509" s="17" t="s">
        <v>1407</v>
      </c>
      <c r="E4509" s="17" t="s">
        <v>2195</v>
      </c>
      <c r="F4509" s="17"/>
      <c r="G4509" s="18" t="n">
        <v>167.88</v>
      </c>
      <c r="H4509" s="18" t="n">
        <v>0</v>
      </c>
      <c r="I4509" s="18" t="n">
        <f aca="false">((I4508 + G4509) - H4509)</f>
        <v>29570.83</v>
      </c>
      <c r="J4509" s="18" t="n">
        <v>16.79</v>
      </c>
      <c r="K4509" s="19" t="n">
        <v>10</v>
      </c>
      <c r="L4509" s="17" t="s">
        <v>44</v>
      </c>
    </row>
    <row r="4510" s="11" customFormat="true" ht="10.95" hidden="false" customHeight="true" outlineLevel="0" collapsed="false">
      <c r="A4510" s="16" t="n">
        <v>45251</v>
      </c>
      <c r="B4510" s="17" t="s">
        <v>2192</v>
      </c>
      <c r="C4510" s="17" t="s">
        <v>1593</v>
      </c>
      <c r="D4510" s="17" t="s">
        <v>1407</v>
      </c>
      <c r="E4510" s="17" t="s">
        <v>2196</v>
      </c>
      <c r="F4510" s="17"/>
      <c r="G4510" s="18" t="n">
        <v>54.53</v>
      </c>
      <c r="H4510" s="18" t="n">
        <v>0</v>
      </c>
      <c r="I4510" s="18" t="n">
        <f aca="false">((I4509 + G4510) - H4510)</f>
        <v>29625.36</v>
      </c>
      <c r="J4510" s="18" t="n">
        <v>0</v>
      </c>
      <c r="K4510" s="19" t="n">
        <v>0</v>
      </c>
      <c r="L4510" s="17" t="s">
        <v>1406</v>
      </c>
    </row>
    <row r="4511" s="11" customFormat="true" ht="10.95" hidden="false" customHeight="true" outlineLevel="0" collapsed="false">
      <c r="A4511" s="16" t="n">
        <v>45253</v>
      </c>
      <c r="B4511" s="17" t="s">
        <v>2192</v>
      </c>
      <c r="C4511" s="17" t="s">
        <v>1593</v>
      </c>
      <c r="D4511" s="17" t="s">
        <v>1407</v>
      </c>
      <c r="E4511" s="17" t="s">
        <v>2201</v>
      </c>
      <c r="F4511" s="17"/>
      <c r="G4511" s="18" t="n">
        <v>36.35</v>
      </c>
      <c r="H4511" s="18" t="n">
        <v>0</v>
      </c>
      <c r="I4511" s="18" t="n">
        <f aca="false">((I4510 + G4511) - H4511)</f>
        <v>29661.71</v>
      </c>
      <c r="J4511" s="18" t="n">
        <v>3.64</v>
      </c>
      <c r="K4511" s="19" t="n">
        <v>10</v>
      </c>
      <c r="L4511" s="17" t="s">
        <v>44</v>
      </c>
    </row>
    <row r="4512" s="11" customFormat="true" ht="10.95" hidden="false" customHeight="true" outlineLevel="0" collapsed="false">
      <c r="A4512" s="16" t="n">
        <v>45253</v>
      </c>
      <c r="B4512" s="17" t="s">
        <v>2192</v>
      </c>
      <c r="C4512" s="17" t="s">
        <v>1593</v>
      </c>
      <c r="D4512" s="17" t="s">
        <v>1407</v>
      </c>
      <c r="E4512" s="17" t="s">
        <v>2387</v>
      </c>
      <c r="F4512" s="17"/>
      <c r="G4512" s="18" t="n">
        <v>88.18</v>
      </c>
      <c r="H4512" s="18" t="n">
        <v>0</v>
      </c>
      <c r="I4512" s="18" t="n">
        <f aca="false">((I4511 + G4512) - H4512)</f>
        <v>29749.89</v>
      </c>
      <c r="J4512" s="18" t="n">
        <v>8.82</v>
      </c>
      <c r="K4512" s="19" t="n">
        <v>10</v>
      </c>
      <c r="L4512" s="17" t="s">
        <v>44</v>
      </c>
    </row>
    <row r="4513" s="11" customFormat="true" ht="10.95" hidden="false" customHeight="true" outlineLevel="0" collapsed="false">
      <c r="A4513" s="16" t="n">
        <v>45254</v>
      </c>
      <c r="B4513" s="17" t="s">
        <v>2192</v>
      </c>
      <c r="C4513" s="17" t="s">
        <v>1593</v>
      </c>
      <c r="D4513" s="17" t="s">
        <v>1407</v>
      </c>
      <c r="E4513" s="17" t="s">
        <v>2196</v>
      </c>
      <c r="F4513" s="17"/>
      <c r="G4513" s="18" t="n">
        <v>26.83</v>
      </c>
      <c r="H4513" s="18" t="n">
        <v>0</v>
      </c>
      <c r="I4513" s="18" t="n">
        <f aca="false">((I4512 + G4513) - H4513)</f>
        <v>29776.72</v>
      </c>
      <c r="J4513" s="18" t="n">
        <v>0</v>
      </c>
      <c r="K4513" s="19" t="n">
        <v>0</v>
      </c>
      <c r="L4513" s="17" t="s">
        <v>1406</v>
      </c>
    </row>
    <row r="4514" s="11" customFormat="true" ht="10.95" hidden="false" customHeight="true" outlineLevel="0" collapsed="false">
      <c r="A4514" s="16" t="n">
        <v>45254</v>
      </c>
      <c r="B4514" s="17" t="s">
        <v>2192</v>
      </c>
      <c r="C4514" s="17" t="s">
        <v>1593</v>
      </c>
      <c r="D4514" s="17" t="s">
        <v>1407</v>
      </c>
      <c r="E4514" s="17" t="s">
        <v>2196</v>
      </c>
      <c r="F4514" s="17"/>
      <c r="G4514" s="18" t="n">
        <v>67.08</v>
      </c>
      <c r="H4514" s="18" t="n">
        <v>0</v>
      </c>
      <c r="I4514" s="18" t="n">
        <f aca="false">((I4513 + G4514) - H4514)</f>
        <v>29843.8</v>
      </c>
      <c r="J4514" s="18" t="n">
        <v>0</v>
      </c>
      <c r="K4514" s="19" t="n">
        <v>0</v>
      </c>
      <c r="L4514" s="17" t="s">
        <v>1406</v>
      </c>
    </row>
    <row r="4515" s="11" customFormat="true" ht="10.95" hidden="false" customHeight="true" outlineLevel="0" collapsed="false">
      <c r="A4515" s="16" t="n">
        <v>45254</v>
      </c>
      <c r="B4515" s="17" t="s">
        <v>2192</v>
      </c>
      <c r="C4515" s="17" t="s">
        <v>1593</v>
      </c>
      <c r="D4515" s="17" t="s">
        <v>1407</v>
      </c>
      <c r="E4515" s="17" t="s">
        <v>1551</v>
      </c>
      <c r="F4515" s="17"/>
      <c r="G4515" s="18" t="n">
        <v>285.84</v>
      </c>
      <c r="H4515" s="18" t="n">
        <v>0</v>
      </c>
      <c r="I4515" s="18" t="n">
        <f aca="false">((I4514 + G4515) - H4515)</f>
        <v>30129.64</v>
      </c>
      <c r="J4515" s="18" t="n">
        <v>0</v>
      </c>
      <c r="K4515" s="19" t="n">
        <v>0</v>
      </c>
      <c r="L4515" s="17" t="s">
        <v>1406</v>
      </c>
    </row>
    <row r="4516" s="11" customFormat="true" ht="10.95" hidden="false" customHeight="true" outlineLevel="0" collapsed="false">
      <c r="A4516" s="16" t="n">
        <v>45254</v>
      </c>
      <c r="B4516" s="17" t="s">
        <v>2192</v>
      </c>
      <c r="C4516" s="17" t="s">
        <v>1593</v>
      </c>
      <c r="D4516" s="17" t="s">
        <v>1407</v>
      </c>
      <c r="E4516" s="17" t="s">
        <v>2388</v>
      </c>
      <c r="F4516" s="17"/>
      <c r="G4516" s="18" t="n">
        <v>12.3</v>
      </c>
      <c r="H4516" s="18" t="n">
        <v>0</v>
      </c>
      <c r="I4516" s="18" t="n">
        <f aca="false">((I4515 + G4516) - H4516)</f>
        <v>30141.94</v>
      </c>
      <c r="J4516" s="18" t="n">
        <v>0</v>
      </c>
      <c r="K4516" s="19" t="n">
        <v>0</v>
      </c>
      <c r="L4516" s="17" t="s">
        <v>1406</v>
      </c>
    </row>
    <row r="4517" s="11" customFormat="true" ht="10.95" hidden="false" customHeight="true" outlineLevel="0" collapsed="false">
      <c r="A4517" s="16" t="n">
        <v>45257</v>
      </c>
      <c r="B4517" s="17" t="s">
        <v>2192</v>
      </c>
      <c r="C4517" s="17" t="s">
        <v>1593</v>
      </c>
      <c r="D4517" s="17" t="s">
        <v>1407</v>
      </c>
      <c r="E4517" s="17" t="s">
        <v>2246</v>
      </c>
      <c r="F4517" s="17"/>
      <c r="G4517" s="18" t="n">
        <v>86.25</v>
      </c>
      <c r="H4517" s="18" t="n">
        <v>0</v>
      </c>
      <c r="I4517" s="18" t="n">
        <f aca="false">((I4516 + G4517) - H4517)</f>
        <v>30228.19</v>
      </c>
      <c r="J4517" s="18" t="n">
        <v>8.62</v>
      </c>
      <c r="K4517" s="19" t="n">
        <v>10</v>
      </c>
      <c r="L4517" s="17" t="s">
        <v>44</v>
      </c>
    </row>
    <row r="4518" s="11" customFormat="true" ht="10.95" hidden="false" customHeight="true" outlineLevel="0" collapsed="false">
      <c r="A4518" s="16" t="n">
        <v>45258</v>
      </c>
      <c r="B4518" s="17" t="s">
        <v>2192</v>
      </c>
      <c r="C4518" s="17" t="s">
        <v>1593</v>
      </c>
      <c r="D4518" s="17" t="s">
        <v>1407</v>
      </c>
      <c r="E4518" s="17" t="s">
        <v>2389</v>
      </c>
      <c r="F4518" s="17"/>
      <c r="G4518" s="18" t="n">
        <v>12.25</v>
      </c>
      <c r="H4518" s="18" t="n">
        <v>0</v>
      </c>
      <c r="I4518" s="18" t="n">
        <f aca="false">((I4517 + G4518) - H4518)</f>
        <v>30240.44</v>
      </c>
      <c r="J4518" s="18" t="n">
        <v>0</v>
      </c>
      <c r="K4518" s="19" t="n">
        <v>0</v>
      </c>
      <c r="L4518" s="17" t="s">
        <v>1406</v>
      </c>
    </row>
    <row r="4519" s="11" customFormat="true" ht="10.95" hidden="false" customHeight="true" outlineLevel="0" collapsed="false">
      <c r="A4519" s="16" t="n">
        <v>45258</v>
      </c>
      <c r="B4519" s="17" t="s">
        <v>2192</v>
      </c>
      <c r="C4519" s="17" t="s">
        <v>1593</v>
      </c>
      <c r="D4519" s="17" t="s">
        <v>1407</v>
      </c>
      <c r="E4519" s="17" t="s">
        <v>2291</v>
      </c>
      <c r="F4519" s="17"/>
      <c r="G4519" s="18" t="n">
        <v>171.86</v>
      </c>
      <c r="H4519" s="18" t="n">
        <v>0</v>
      </c>
      <c r="I4519" s="18" t="n">
        <f aca="false">((I4518 + G4519) - H4519)</f>
        <v>30412.3</v>
      </c>
      <c r="J4519" s="18" t="n">
        <v>17.19</v>
      </c>
      <c r="K4519" s="19" t="n">
        <v>10</v>
      </c>
      <c r="L4519" s="17" t="s">
        <v>44</v>
      </c>
    </row>
    <row r="4520" s="11" customFormat="true" ht="10.95" hidden="false" customHeight="true" outlineLevel="0" collapsed="false">
      <c r="A4520" s="16" t="n">
        <v>45259</v>
      </c>
      <c r="B4520" s="17" t="s">
        <v>2192</v>
      </c>
      <c r="C4520" s="17" t="s">
        <v>1593</v>
      </c>
      <c r="D4520" s="17" t="s">
        <v>1407</v>
      </c>
      <c r="E4520" s="17" t="s">
        <v>2250</v>
      </c>
      <c r="F4520" s="17"/>
      <c r="G4520" s="18" t="n">
        <v>236.75</v>
      </c>
      <c r="H4520" s="18" t="n">
        <v>0</v>
      </c>
      <c r="I4520" s="18" t="n">
        <f aca="false">((I4519 + G4520) - H4520)</f>
        <v>30649.05</v>
      </c>
      <c r="J4520" s="18" t="n">
        <v>0</v>
      </c>
      <c r="K4520" s="19" t="n">
        <v>0</v>
      </c>
      <c r="L4520" s="17" t="s">
        <v>1406</v>
      </c>
    </row>
    <row r="4521" s="11" customFormat="true" ht="10.95" hidden="false" customHeight="true" outlineLevel="0" collapsed="false">
      <c r="A4521" s="16" t="n">
        <v>45260</v>
      </c>
      <c r="B4521" s="17" t="s">
        <v>2192</v>
      </c>
      <c r="C4521" s="17" t="s">
        <v>1593</v>
      </c>
      <c r="D4521" s="17" t="s">
        <v>1407</v>
      </c>
      <c r="E4521" s="17" t="s">
        <v>2196</v>
      </c>
      <c r="F4521" s="17"/>
      <c r="G4521" s="18" t="n">
        <v>20.03</v>
      </c>
      <c r="H4521" s="18" t="n">
        <v>0</v>
      </c>
      <c r="I4521" s="18" t="n">
        <f aca="false">((I4520 + G4521) - H4521)</f>
        <v>30669.08</v>
      </c>
      <c r="J4521" s="18" t="n">
        <v>0</v>
      </c>
      <c r="K4521" s="19" t="n">
        <v>0</v>
      </c>
      <c r="L4521" s="17" t="s">
        <v>1406</v>
      </c>
    </row>
    <row r="4522" s="11" customFormat="true" ht="10.95" hidden="false" customHeight="true" outlineLevel="0" collapsed="false">
      <c r="A4522" s="16" t="n">
        <v>45261</v>
      </c>
      <c r="B4522" s="17" t="s">
        <v>2192</v>
      </c>
      <c r="C4522" s="17" t="s">
        <v>1593</v>
      </c>
      <c r="D4522" s="17" t="s">
        <v>1391</v>
      </c>
      <c r="E4522" s="17" t="s">
        <v>2390</v>
      </c>
      <c r="F4522" s="17" t="s">
        <v>2391</v>
      </c>
      <c r="G4522" s="18" t="n">
        <v>248</v>
      </c>
      <c r="H4522" s="18" t="n">
        <v>0</v>
      </c>
      <c r="I4522" s="18" t="n">
        <f aca="false">((I4521 + G4522) - H4522)</f>
        <v>30917.08</v>
      </c>
      <c r="J4522" s="18" t="n">
        <v>0</v>
      </c>
      <c r="K4522" s="19" t="n">
        <v>0</v>
      </c>
      <c r="L4522" s="17" t="s">
        <v>1406</v>
      </c>
    </row>
    <row r="4523" s="11" customFormat="true" ht="10.95" hidden="false" customHeight="true" outlineLevel="0" collapsed="false">
      <c r="A4523" s="16" t="n">
        <v>45261</v>
      </c>
      <c r="B4523" s="17" t="s">
        <v>2192</v>
      </c>
      <c r="C4523" s="17" t="s">
        <v>1593</v>
      </c>
      <c r="D4523" s="17" t="s">
        <v>1407</v>
      </c>
      <c r="E4523" s="17" t="s">
        <v>2196</v>
      </c>
      <c r="F4523" s="17"/>
      <c r="G4523" s="18" t="n">
        <v>21.93</v>
      </c>
      <c r="H4523" s="18" t="n">
        <v>0</v>
      </c>
      <c r="I4523" s="18" t="n">
        <f aca="false">((I4522 + G4523) - H4523)</f>
        <v>30939.01</v>
      </c>
      <c r="J4523" s="18" t="n">
        <v>0</v>
      </c>
      <c r="K4523" s="19" t="n">
        <v>0</v>
      </c>
      <c r="L4523" s="17" t="s">
        <v>1406</v>
      </c>
    </row>
    <row r="4524" s="11" customFormat="true" ht="10.95" hidden="false" customHeight="true" outlineLevel="0" collapsed="false">
      <c r="A4524" s="16" t="n">
        <v>45261</v>
      </c>
      <c r="B4524" s="17" t="s">
        <v>2192</v>
      </c>
      <c r="C4524" s="17" t="s">
        <v>1593</v>
      </c>
      <c r="D4524" s="17" t="s">
        <v>1407</v>
      </c>
      <c r="E4524" s="17" t="s">
        <v>2194</v>
      </c>
      <c r="F4524" s="17"/>
      <c r="G4524" s="18" t="n">
        <v>77.34</v>
      </c>
      <c r="H4524" s="18" t="n">
        <v>0</v>
      </c>
      <c r="I4524" s="18" t="n">
        <f aca="false">((I4523 + G4524) - H4524)</f>
        <v>31016.35</v>
      </c>
      <c r="J4524" s="18" t="n">
        <v>0</v>
      </c>
      <c r="K4524" s="19" t="n">
        <v>0</v>
      </c>
      <c r="L4524" s="17" t="s">
        <v>1406</v>
      </c>
    </row>
    <row r="4525" s="11" customFormat="true" ht="10.95" hidden="false" customHeight="true" outlineLevel="0" collapsed="false">
      <c r="A4525" s="16" t="n">
        <v>45261</v>
      </c>
      <c r="B4525" s="17" t="s">
        <v>2192</v>
      </c>
      <c r="C4525" s="17" t="s">
        <v>1593</v>
      </c>
      <c r="D4525" s="17" t="s">
        <v>1407</v>
      </c>
      <c r="E4525" s="17" t="s">
        <v>2195</v>
      </c>
      <c r="F4525" s="17"/>
      <c r="G4525" s="18" t="n">
        <v>75</v>
      </c>
      <c r="H4525" s="18" t="n">
        <v>0</v>
      </c>
      <c r="I4525" s="18" t="n">
        <f aca="false">((I4524 + G4525) - H4525)</f>
        <v>31091.35</v>
      </c>
      <c r="J4525" s="18" t="n">
        <v>7.5</v>
      </c>
      <c r="K4525" s="19" t="n">
        <v>10</v>
      </c>
      <c r="L4525" s="17" t="s">
        <v>44</v>
      </c>
    </row>
    <row r="4526" s="11" customFormat="true" ht="10.95" hidden="false" customHeight="true" outlineLevel="0" collapsed="false">
      <c r="A4526" s="16" t="n">
        <v>45261</v>
      </c>
      <c r="B4526" s="17" t="s">
        <v>2192</v>
      </c>
      <c r="C4526" s="17" t="s">
        <v>1593</v>
      </c>
      <c r="D4526" s="17" t="s">
        <v>1407</v>
      </c>
      <c r="E4526" s="17" t="s">
        <v>2392</v>
      </c>
      <c r="F4526" s="17"/>
      <c r="G4526" s="18" t="n">
        <v>587.55</v>
      </c>
      <c r="H4526" s="18" t="n">
        <v>0</v>
      </c>
      <c r="I4526" s="18" t="n">
        <f aca="false">((I4525 + G4526) - H4526)</f>
        <v>31678.9</v>
      </c>
      <c r="J4526" s="18" t="n">
        <v>0</v>
      </c>
      <c r="K4526" s="19" t="n">
        <v>0</v>
      </c>
      <c r="L4526" s="17" t="s">
        <v>1406</v>
      </c>
    </row>
    <row r="4527" s="11" customFormat="true" ht="10.95" hidden="false" customHeight="true" outlineLevel="0" collapsed="false">
      <c r="A4527" s="16" t="n">
        <v>45261</v>
      </c>
      <c r="B4527" s="17" t="s">
        <v>2192</v>
      </c>
      <c r="C4527" s="17" t="s">
        <v>1593</v>
      </c>
      <c r="D4527" s="17" t="s">
        <v>1407</v>
      </c>
      <c r="E4527" s="17" t="s">
        <v>2208</v>
      </c>
      <c r="F4527" s="17"/>
      <c r="G4527" s="18" t="n">
        <v>5.31</v>
      </c>
      <c r="H4527" s="18" t="n">
        <v>0</v>
      </c>
      <c r="I4527" s="18" t="n">
        <f aca="false">((I4526 + G4527) - H4527)</f>
        <v>31684.21</v>
      </c>
      <c r="J4527" s="18" t="n">
        <v>0.53</v>
      </c>
      <c r="K4527" s="19" t="n">
        <v>10</v>
      </c>
      <c r="L4527" s="17" t="s">
        <v>44</v>
      </c>
    </row>
    <row r="4528" s="11" customFormat="true" ht="10.95" hidden="false" customHeight="true" outlineLevel="0" collapsed="false">
      <c r="A4528" s="16" t="n">
        <v>45261</v>
      </c>
      <c r="B4528" s="17" t="s">
        <v>2192</v>
      </c>
      <c r="C4528" s="17" t="s">
        <v>1593</v>
      </c>
      <c r="D4528" s="17" t="s">
        <v>1391</v>
      </c>
      <c r="E4528" s="17" t="s">
        <v>2393</v>
      </c>
      <c r="F4528" s="17" t="s">
        <v>2394</v>
      </c>
      <c r="G4528" s="18" t="n">
        <v>152.15</v>
      </c>
      <c r="H4528" s="18" t="n">
        <v>0</v>
      </c>
      <c r="I4528" s="18" t="n">
        <f aca="false">((I4527 + G4528) - H4528)</f>
        <v>31836.36</v>
      </c>
      <c r="J4528" s="18" t="n">
        <v>0</v>
      </c>
      <c r="K4528" s="19" t="n">
        <v>0</v>
      </c>
      <c r="L4528" s="17" t="s">
        <v>1406</v>
      </c>
    </row>
    <row r="4529" s="11" customFormat="true" ht="10.95" hidden="false" customHeight="true" outlineLevel="0" collapsed="false">
      <c r="A4529" s="16" t="n">
        <v>45262</v>
      </c>
      <c r="B4529" s="17" t="s">
        <v>2192</v>
      </c>
      <c r="C4529" s="17" t="s">
        <v>1593</v>
      </c>
      <c r="D4529" s="17" t="s">
        <v>1407</v>
      </c>
      <c r="E4529" s="17" t="s">
        <v>2201</v>
      </c>
      <c r="F4529" s="17"/>
      <c r="G4529" s="18" t="n">
        <v>36.35</v>
      </c>
      <c r="H4529" s="18" t="n">
        <v>0</v>
      </c>
      <c r="I4529" s="18" t="n">
        <f aca="false">((I4528 + G4529) - H4529)</f>
        <v>31872.71</v>
      </c>
      <c r="J4529" s="18" t="n">
        <v>3.64</v>
      </c>
      <c r="K4529" s="19" t="n">
        <v>10</v>
      </c>
      <c r="L4529" s="17" t="s">
        <v>44</v>
      </c>
    </row>
    <row r="4530" s="11" customFormat="true" ht="10.95" hidden="false" customHeight="true" outlineLevel="0" collapsed="false">
      <c r="A4530" s="16" t="n">
        <v>45265</v>
      </c>
      <c r="B4530" s="17" t="s">
        <v>2192</v>
      </c>
      <c r="C4530" s="17" t="s">
        <v>1593</v>
      </c>
      <c r="D4530" s="17" t="s">
        <v>1407</v>
      </c>
      <c r="E4530" s="17" t="s">
        <v>2236</v>
      </c>
      <c r="F4530" s="17"/>
      <c r="G4530" s="18" t="n">
        <v>39.05</v>
      </c>
      <c r="H4530" s="18" t="n">
        <v>0</v>
      </c>
      <c r="I4530" s="18" t="n">
        <f aca="false">((I4529 + G4530) - H4530)</f>
        <v>31911.76</v>
      </c>
      <c r="J4530" s="18" t="n">
        <v>0</v>
      </c>
      <c r="K4530" s="19" t="n">
        <v>0</v>
      </c>
      <c r="L4530" s="17" t="s">
        <v>1406</v>
      </c>
    </row>
    <row r="4531" s="11" customFormat="true" ht="10.95" hidden="false" customHeight="true" outlineLevel="0" collapsed="false">
      <c r="A4531" s="16" t="n">
        <v>45265</v>
      </c>
      <c r="B4531" s="17" t="s">
        <v>2192</v>
      </c>
      <c r="C4531" s="17" t="s">
        <v>1593</v>
      </c>
      <c r="D4531" s="17" t="s">
        <v>1391</v>
      </c>
      <c r="E4531" s="17" t="s">
        <v>2395</v>
      </c>
      <c r="F4531" s="17" t="s">
        <v>2396</v>
      </c>
      <c r="G4531" s="18" t="n">
        <v>71</v>
      </c>
      <c r="H4531" s="18" t="n">
        <v>0</v>
      </c>
      <c r="I4531" s="18" t="n">
        <f aca="false">((I4530 + G4531) - H4531)</f>
        <v>31982.76</v>
      </c>
      <c r="J4531" s="18" t="n">
        <v>7.1</v>
      </c>
      <c r="K4531" s="19" t="n">
        <v>10</v>
      </c>
      <c r="L4531" s="17" t="s">
        <v>44</v>
      </c>
    </row>
    <row r="4532" s="11" customFormat="true" ht="10.95" hidden="false" customHeight="true" outlineLevel="0" collapsed="false">
      <c r="A4532" s="16" t="n">
        <v>45266</v>
      </c>
      <c r="B4532" s="17" t="s">
        <v>2192</v>
      </c>
      <c r="C4532" s="17" t="s">
        <v>1593</v>
      </c>
      <c r="D4532" s="17" t="s">
        <v>1407</v>
      </c>
      <c r="E4532" s="17" t="s">
        <v>2208</v>
      </c>
      <c r="F4532" s="17"/>
      <c r="G4532" s="18" t="n">
        <v>18.7</v>
      </c>
      <c r="H4532" s="18" t="n">
        <v>0</v>
      </c>
      <c r="I4532" s="18" t="n">
        <f aca="false">((I4531 + G4532) - H4532)</f>
        <v>32001.46</v>
      </c>
      <c r="J4532" s="18" t="n">
        <v>1.87</v>
      </c>
      <c r="K4532" s="19" t="n">
        <v>10</v>
      </c>
      <c r="L4532" s="17" t="s">
        <v>44</v>
      </c>
    </row>
    <row r="4533" s="11" customFormat="true" ht="10.95" hidden="false" customHeight="true" outlineLevel="0" collapsed="false">
      <c r="A4533" s="16" t="n">
        <v>45267</v>
      </c>
      <c r="B4533" s="17" t="s">
        <v>2192</v>
      </c>
      <c r="C4533" s="17" t="s">
        <v>1593</v>
      </c>
      <c r="D4533" s="17" t="s">
        <v>1407</v>
      </c>
      <c r="E4533" s="17" t="s">
        <v>2368</v>
      </c>
      <c r="F4533" s="17"/>
      <c r="G4533" s="18" t="n">
        <v>65</v>
      </c>
      <c r="H4533" s="18" t="n">
        <v>0</v>
      </c>
      <c r="I4533" s="18" t="n">
        <f aca="false">((I4532 + G4533) - H4533)</f>
        <v>32066.46</v>
      </c>
      <c r="J4533" s="18" t="n">
        <v>6.5</v>
      </c>
      <c r="K4533" s="19" t="n">
        <v>10</v>
      </c>
      <c r="L4533" s="17" t="s">
        <v>44</v>
      </c>
    </row>
    <row r="4534" s="11" customFormat="true" ht="10.95" hidden="false" customHeight="true" outlineLevel="0" collapsed="false">
      <c r="A4534" s="16" t="n">
        <v>45267</v>
      </c>
      <c r="B4534" s="17" t="s">
        <v>2192</v>
      </c>
      <c r="C4534" s="17" t="s">
        <v>1593</v>
      </c>
      <c r="D4534" s="17" t="s">
        <v>1407</v>
      </c>
      <c r="E4534" s="17" t="s">
        <v>2210</v>
      </c>
      <c r="F4534" s="17"/>
      <c r="G4534" s="18" t="n">
        <v>43.96</v>
      </c>
      <c r="H4534" s="18" t="n">
        <v>0</v>
      </c>
      <c r="I4534" s="18" t="n">
        <f aca="false">((I4533 + G4534) - H4534)</f>
        <v>32110.42</v>
      </c>
      <c r="J4534" s="18" t="n">
        <v>0</v>
      </c>
      <c r="K4534" s="19" t="n">
        <v>0</v>
      </c>
      <c r="L4534" s="17" t="s">
        <v>1406</v>
      </c>
    </row>
    <row r="4535" s="11" customFormat="true" ht="10.95" hidden="false" customHeight="true" outlineLevel="0" collapsed="false">
      <c r="A4535" s="16" t="n">
        <v>45267</v>
      </c>
      <c r="B4535" s="17" t="s">
        <v>2192</v>
      </c>
      <c r="C4535" s="17" t="s">
        <v>1593</v>
      </c>
      <c r="D4535" s="17" t="s">
        <v>1407</v>
      </c>
      <c r="E4535" s="17" t="s">
        <v>2397</v>
      </c>
      <c r="F4535" s="17"/>
      <c r="G4535" s="18" t="n">
        <v>151.47</v>
      </c>
      <c r="H4535" s="18" t="n">
        <v>0</v>
      </c>
      <c r="I4535" s="18" t="n">
        <f aca="false">((I4534 + G4535) - H4535)</f>
        <v>32261.89</v>
      </c>
      <c r="J4535" s="18" t="n">
        <v>0</v>
      </c>
      <c r="K4535" s="19" t="n">
        <v>0</v>
      </c>
      <c r="L4535" s="17" t="s">
        <v>1406</v>
      </c>
    </row>
    <row r="4536" s="11" customFormat="true" ht="10.95" hidden="false" customHeight="true" outlineLevel="0" collapsed="false">
      <c r="A4536" s="16" t="n">
        <v>45267</v>
      </c>
      <c r="B4536" s="17" t="s">
        <v>2192</v>
      </c>
      <c r="C4536" s="17" t="s">
        <v>1593</v>
      </c>
      <c r="D4536" s="17" t="s">
        <v>1407</v>
      </c>
      <c r="E4536" s="17" t="s">
        <v>2208</v>
      </c>
      <c r="F4536" s="17"/>
      <c r="G4536" s="18" t="n">
        <v>16.5</v>
      </c>
      <c r="H4536" s="18" t="n">
        <v>0</v>
      </c>
      <c r="I4536" s="18" t="n">
        <f aca="false">((I4535 + G4536) - H4536)</f>
        <v>32278.39</v>
      </c>
      <c r="J4536" s="18" t="n">
        <v>1.65</v>
      </c>
      <c r="K4536" s="19" t="n">
        <v>10</v>
      </c>
      <c r="L4536" s="17" t="s">
        <v>44</v>
      </c>
    </row>
    <row r="4537" s="11" customFormat="true" ht="10.95" hidden="false" customHeight="true" outlineLevel="0" collapsed="false">
      <c r="A4537" s="16" t="n">
        <v>45268</v>
      </c>
      <c r="B4537" s="17" t="s">
        <v>2192</v>
      </c>
      <c r="C4537" s="17" t="s">
        <v>1593</v>
      </c>
      <c r="D4537" s="17" t="s">
        <v>1391</v>
      </c>
      <c r="E4537" s="17" t="s">
        <v>2398</v>
      </c>
      <c r="F4537" s="17" t="s">
        <v>2399</v>
      </c>
      <c r="G4537" s="18" t="n">
        <v>908.34</v>
      </c>
      <c r="H4537" s="18" t="n">
        <v>0</v>
      </c>
      <c r="I4537" s="18" t="n">
        <f aca="false">((I4536 + G4537) - H4537)</f>
        <v>33186.73</v>
      </c>
      <c r="J4537" s="18" t="n">
        <v>0</v>
      </c>
      <c r="K4537" s="19" t="n">
        <v>0</v>
      </c>
      <c r="L4537" s="17" t="s">
        <v>1406</v>
      </c>
    </row>
    <row r="4538" s="11" customFormat="true" ht="10.95" hidden="false" customHeight="true" outlineLevel="0" collapsed="false">
      <c r="A4538" s="16" t="n">
        <v>45268</v>
      </c>
      <c r="B4538" s="17" t="s">
        <v>2192</v>
      </c>
      <c r="C4538" s="17" t="s">
        <v>1593</v>
      </c>
      <c r="D4538" s="17" t="s">
        <v>1407</v>
      </c>
      <c r="E4538" s="17" t="s">
        <v>2196</v>
      </c>
      <c r="F4538" s="17"/>
      <c r="G4538" s="18" t="n">
        <v>17.52</v>
      </c>
      <c r="H4538" s="18" t="n">
        <v>0</v>
      </c>
      <c r="I4538" s="18" t="n">
        <f aca="false">((I4537 + G4538) - H4538)</f>
        <v>33204.25</v>
      </c>
      <c r="J4538" s="18" t="n">
        <v>0</v>
      </c>
      <c r="K4538" s="19" t="n">
        <v>0</v>
      </c>
      <c r="L4538" s="17" t="s">
        <v>1406</v>
      </c>
    </row>
    <row r="4539" s="11" customFormat="true" ht="10.95" hidden="false" customHeight="true" outlineLevel="0" collapsed="false">
      <c r="A4539" s="16" t="n">
        <v>45268</v>
      </c>
      <c r="B4539" s="17" t="s">
        <v>2192</v>
      </c>
      <c r="C4539" s="17" t="s">
        <v>1593</v>
      </c>
      <c r="D4539" s="17" t="s">
        <v>1407</v>
      </c>
      <c r="E4539" s="17" t="s">
        <v>1510</v>
      </c>
      <c r="F4539" s="17"/>
      <c r="G4539" s="18" t="n">
        <v>128.73</v>
      </c>
      <c r="H4539" s="18" t="n">
        <v>0</v>
      </c>
      <c r="I4539" s="18" t="n">
        <f aca="false">((I4538 + G4539) - H4539)</f>
        <v>33332.98</v>
      </c>
      <c r="J4539" s="18" t="n">
        <v>0</v>
      </c>
      <c r="K4539" s="19" t="n">
        <v>0</v>
      </c>
      <c r="L4539" s="17" t="s">
        <v>1406</v>
      </c>
    </row>
    <row r="4540" s="11" customFormat="true" ht="10.95" hidden="false" customHeight="true" outlineLevel="0" collapsed="false">
      <c r="A4540" s="16" t="n">
        <v>45269</v>
      </c>
      <c r="B4540" s="17" t="s">
        <v>2192</v>
      </c>
      <c r="C4540" s="17" t="s">
        <v>1593</v>
      </c>
      <c r="D4540" s="17" t="s">
        <v>1407</v>
      </c>
      <c r="E4540" s="17" t="s">
        <v>2196</v>
      </c>
      <c r="F4540" s="17"/>
      <c r="G4540" s="18" t="n">
        <v>4.55</v>
      </c>
      <c r="H4540" s="18" t="n">
        <v>0</v>
      </c>
      <c r="I4540" s="18" t="n">
        <f aca="false">((I4539 + G4540) - H4540)</f>
        <v>33337.53</v>
      </c>
      <c r="J4540" s="18" t="n">
        <v>0</v>
      </c>
      <c r="K4540" s="19" t="n">
        <v>0</v>
      </c>
      <c r="L4540" s="17" t="s">
        <v>1406</v>
      </c>
    </row>
    <row r="4541" s="11" customFormat="true" ht="10.95" hidden="false" customHeight="true" outlineLevel="0" collapsed="false">
      <c r="A4541" s="16" t="n">
        <v>45272</v>
      </c>
      <c r="B4541" s="17" t="s">
        <v>2192</v>
      </c>
      <c r="C4541" s="17" t="s">
        <v>1593</v>
      </c>
      <c r="D4541" s="17" t="s">
        <v>1407</v>
      </c>
      <c r="E4541" s="17" t="s">
        <v>2400</v>
      </c>
      <c r="F4541" s="17"/>
      <c r="G4541" s="18" t="n">
        <v>183.46</v>
      </c>
      <c r="H4541" s="18" t="n">
        <v>0</v>
      </c>
      <c r="I4541" s="18" t="n">
        <f aca="false">((I4540 + G4541) - H4541)</f>
        <v>33520.99</v>
      </c>
      <c r="J4541" s="18" t="n">
        <v>0</v>
      </c>
      <c r="K4541" s="19" t="n">
        <v>0</v>
      </c>
      <c r="L4541" s="17" t="s">
        <v>1406</v>
      </c>
    </row>
    <row r="4542" s="11" customFormat="true" ht="10.95" hidden="false" customHeight="true" outlineLevel="0" collapsed="false">
      <c r="A4542" s="16" t="n">
        <v>45272</v>
      </c>
      <c r="B4542" s="17" t="s">
        <v>2192</v>
      </c>
      <c r="C4542" s="17" t="s">
        <v>1593</v>
      </c>
      <c r="D4542" s="17" t="s">
        <v>1407</v>
      </c>
      <c r="E4542" s="17" t="s">
        <v>2196</v>
      </c>
      <c r="F4542" s="17"/>
      <c r="G4542" s="18" t="n">
        <v>4.54</v>
      </c>
      <c r="H4542" s="18" t="n">
        <v>0</v>
      </c>
      <c r="I4542" s="18" t="n">
        <f aca="false">((I4541 + G4542) - H4542)</f>
        <v>33525.53</v>
      </c>
      <c r="J4542" s="18" t="n">
        <v>0</v>
      </c>
      <c r="K4542" s="19" t="n">
        <v>0</v>
      </c>
      <c r="L4542" s="17" t="s">
        <v>1406</v>
      </c>
    </row>
    <row r="4543" s="11" customFormat="true" ht="10.95" hidden="false" customHeight="true" outlineLevel="0" collapsed="false">
      <c r="A4543" s="16" t="n">
        <v>45273</v>
      </c>
      <c r="B4543" s="17" t="s">
        <v>2192</v>
      </c>
      <c r="C4543" s="17" t="s">
        <v>1593</v>
      </c>
      <c r="D4543" s="17" t="s">
        <v>1407</v>
      </c>
      <c r="E4543" s="17" t="s">
        <v>2196</v>
      </c>
      <c r="F4543" s="17"/>
      <c r="G4543" s="18" t="n">
        <v>1.51</v>
      </c>
      <c r="H4543" s="18" t="n">
        <v>0</v>
      </c>
      <c r="I4543" s="18" t="n">
        <f aca="false">((I4542 + G4543) - H4543)</f>
        <v>33527.04</v>
      </c>
      <c r="J4543" s="18" t="n">
        <v>0</v>
      </c>
      <c r="K4543" s="19" t="n">
        <v>0</v>
      </c>
      <c r="L4543" s="17" t="s">
        <v>1406</v>
      </c>
    </row>
    <row r="4544" s="11" customFormat="true" ht="10.95" hidden="false" customHeight="true" outlineLevel="0" collapsed="false">
      <c r="A4544" s="16" t="n">
        <v>45274</v>
      </c>
      <c r="B4544" s="17" t="s">
        <v>2192</v>
      </c>
      <c r="C4544" s="17" t="s">
        <v>1593</v>
      </c>
      <c r="D4544" s="17" t="s">
        <v>1407</v>
      </c>
      <c r="E4544" s="17" t="s">
        <v>2208</v>
      </c>
      <c r="F4544" s="17"/>
      <c r="G4544" s="18" t="n">
        <v>63.7</v>
      </c>
      <c r="H4544" s="18" t="n">
        <v>0</v>
      </c>
      <c r="I4544" s="18" t="n">
        <f aca="false">((I4543 + G4544) - H4544)</f>
        <v>33590.74</v>
      </c>
      <c r="J4544" s="18" t="n">
        <v>6.37</v>
      </c>
      <c r="K4544" s="19" t="n">
        <v>10</v>
      </c>
      <c r="L4544" s="17" t="s">
        <v>44</v>
      </c>
    </row>
    <row r="4545" s="11" customFormat="true" ht="10.95" hidden="false" customHeight="true" outlineLevel="0" collapsed="false">
      <c r="A4545" s="16" t="n">
        <v>45274</v>
      </c>
      <c r="B4545" s="17" t="s">
        <v>2192</v>
      </c>
      <c r="C4545" s="17" t="s">
        <v>1593</v>
      </c>
      <c r="D4545" s="17" t="s">
        <v>1391</v>
      </c>
      <c r="E4545" s="17" t="s">
        <v>2401</v>
      </c>
      <c r="F4545" s="17" t="s">
        <v>2402</v>
      </c>
      <c r="G4545" s="18" t="n">
        <v>179.23</v>
      </c>
      <c r="H4545" s="18" t="n">
        <v>0</v>
      </c>
      <c r="I4545" s="18" t="n">
        <f aca="false">((I4544 + G4545) - H4545)</f>
        <v>33769.97</v>
      </c>
      <c r="J4545" s="18" t="n">
        <v>17.93</v>
      </c>
      <c r="K4545" s="19" t="n">
        <v>10</v>
      </c>
      <c r="L4545" s="17" t="s">
        <v>44</v>
      </c>
    </row>
    <row r="4546" s="11" customFormat="true" ht="10.95" hidden="false" customHeight="true" outlineLevel="0" collapsed="false">
      <c r="A4546" s="16" t="n">
        <v>45274</v>
      </c>
      <c r="B4546" s="17" t="s">
        <v>2192</v>
      </c>
      <c r="C4546" s="17" t="s">
        <v>1593</v>
      </c>
      <c r="D4546" s="17" t="s">
        <v>1391</v>
      </c>
      <c r="E4546" s="17" t="s">
        <v>2403</v>
      </c>
      <c r="F4546" s="17" t="s">
        <v>2404</v>
      </c>
      <c r="G4546" s="18" t="n">
        <v>233.88</v>
      </c>
      <c r="H4546" s="18" t="n">
        <v>0</v>
      </c>
      <c r="I4546" s="18" t="n">
        <f aca="false">((I4545 + G4546) - H4546)</f>
        <v>34003.85</v>
      </c>
      <c r="J4546" s="18" t="n">
        <v>0</v>
      </c>
      <c r="K4546" s="19" t="n">
        <v>0</v>
      </c>
      <c r="L4546" s="17" t="s">
        <v>1406</v>
      </c>
    </row>
    <row r="4547" s="11" customFormat="true" ht="10.95" hidden="false" customHeight="true" outlineLevel="0" collapsed="false">
      <c r="A4547" s="16" t="n">
        <v>45275</v>
      </c>
      <c r="B4547" s="17" t="s">
        <v>2192</v>
      </c>
      <c r="C4547" s="17" t="s">
        <v>1593</v>
      </c>
      <c r="D4547" s="17" t="s">
        <v>1407</v>
      </c>
      <c r="E4547" s="17" t="s">
        <v>2196</v>
      </c>
      <c r="F4547" s="17"/>
      <c r="G4547" s="18" t="n">
        <v>31.16</v>
      </c>
      <c r="H4547" s="18" t="n">
        <v>0</v>
      </c>
      <c r="I4547" s="18" t="n">
        <f aca="false">((I4546 + G4547) - H4547)</f>
        <v>34035.01</v>
      </c>
      <c r="J4547" s="18" t="n">
        <v>0</v>
      </c>
      <c r="K4547" s="19" t="n">
        <v>0</v>
      </c>
      <c r="L4547" s="17" t="s">
        <v>1406</v>
      </c>
    </row>
    <row r="4548" s="11" customFormat="true" ht="10.95" hidden="false" customHeight="true" outlineLevel="0" collapsed="false">
      <c r="A4548" s="16" t="n">
        <v>45276</v>
      </c>
      <c r="B4548" s="17" t="s">
        <v>2192</v>
      </c>
      <c r="C4548" s="17" t="s">
        <v>1593</v>
      </c>
      <c r="D4548" s="17" t="s">
        <v>1407</v>
      </c>
      <c r="E4548" s="17" t="s">
        <v>2193</v>
      </c>
      <c r="F4548" s="17"/>
      <c r="G4548" s="18" t="n">
        <v>161.41</v>
      </c>
      <c r="H4548" s="18" t="n">
        <v>0</v>
      </c>
      <c r="I4548" s="18" t="n">
        <f aca="false">((I4547 + G4548) - H4548)</f>
        <v>34196.42</v>
      </c>
      <c r="J4548" s="18" t="n">
        <v>0</v>
      </c>
      <c r="K4548" s="19" t="n">
        <v>0</v>
      </c>
      <c r="L4548" s="17" t="s">
        <v>1406</v>
      </c>
    </row>
    <row r="4549" s="11" customFormat="true" ht="10.95" hidden="false" customHeight="true" outlineLevel="0" collapsed="false">
      <c r="A4549" s="16" t="n">
        <v>45278</v>
      </c>
      <c r="B4549" s="17" t="s">
        <v>2192</v>
      </c>
      <c r="C4549" s="17" t="s">
        <v>1593</v>
      </c>
      <c r="D4549" s="17" t="s">
        <v>1391</v>
      </c>
      <c r="E4549" s="17" t="s">
        <v>2405</v>
      </c>
      <c r="F4549" s="17" t="s">
        <v>2406</v>
      </c>
      <c r="G4549" s="18" t="n">
        <v>62</v>
      </c>
      <c r="H4549" s="18" t="n">
        <v>0</v>
      </c>
      <c r="I4549" s="18" t="n">
        <f aca="false">((I4548 + G4549) - H4549)</f>
        <v>34258.42</v>
      </c>
      <c r="J4549" s="18" t="n">
        <v>6.2</v>
      </c>
      <c r="K4549" s="19" t="n">
        <v>10</v>
      </c>
      <c r="L4549" s="17" t="s">
        <v>44</v>
      </c>
    </row>
    <row r="4550" s="11" customFormat="true" ht="10.95" hidden="false" customHeight="true" outlineLevel="0" collapsed="false">
      <c r="A4550" s="16" t="n">
        <v>45278</v>
      </c>
      <c r="B4550" s="17" t="s">
        <v>2192</v>
      </c>
      <c r="C4550" s="17" t="s">
        <v>1593</v>
      </c>
      <c r="D4550" s="17" t="s">
        <v>1391</v>
      </c>
      <c r="E4550" s="17" t="s">
        <v>2407</v>
      </c>
      <c r="F4550" s="17" t="s">
        <v>2408</v>
      </c>
      <c r="G4550" s="18" t="n">
        <v>41.2</v>
      </c>
      <c r="H4550" s="18" t="n">
        <v>0</v>
      </c>
      <c r="I4550" s="18" t="n">
        <f aca="false">((I4549 + G4550) - H4550)</f>
        <v>34299.62</v>
      </c>
      <c r="J4550" s="18" t="n">
        <v>4.12</v>
      </c>
      <c r="K4550" s="19" t="n">
        <v>10</v>
      </c>
      <c r="L4550" s="17" t="s">
        <v>44</v>
      </c>
    </row>
    <row r="4551" s="11" customFormat="true" ht="10.95" hidden="false" customHeight="true" outlineLevel="0" collapsed="false">
      <c r="A4551" s="16" t="n">
        <v>45278</v>
      </c>
      <c r="B4551" s="17" t="s">
        <v>2192</v>
      </c>
      <c r="C4551" s="17" t="s">
        <v>1593</v>
      </c>
      <c r="D4551" s="17" t="s">
        <v>1391</v>
      </c>
      <c r="E4551" s="17" t="s">
        <v>2409</v>
      </c>
      <c r="F4551" s="17" t="s">
        <v>2410</v>
      </c>
      <c r="G4551" s="18" t="n">
        <v>32.9</v>
      </c>
      <c r="H4551" s="18" t="n">
        <v>0</v>
      </c>
      <c r="I4551" s="18" t="n">
        <f aca="false">((I4550 + G4551) - H4551)</f>
        <v>34332.52</v>
      </c>
      <c r="J4551" s="18" t="n">
        <v>3.29</v>
      </c>
      <c r="K4551" s="19" t="n">
        <v>10</v>
      </c>
      <c r="L4551" s="17" t="s">
        <v>44</v>
      </c>
    </row>
    <row r="4552" s="11" customFormat="true" ht="10.95" hidden="false" customHeight="true" outlineLevel="0" collapsed="false">
      <c r="A4552" s="16" t="n">
        <v>45278</v>
      </c>
      <c r="B4552" s="17" t="s">
        <v>2192</v>
      </c>
      <c r="C4552" s="17" t="s">
        <v>1593</v>
      </c>
      <c r="D4552" s="17" t="s">
        <v>1391</v>
      </c>
      <c r="E4552" s="17" t="s">
        <v>2411</v>
      </c>
      <c r="F4552" s="17" t="s">
        <v>2412</v>
      </c>
      <c r="G4552" s="18" t="n">
        <v>69.6</v>
      </c>
      <c r="H4552" s="18" t="n">
        <v>0</v>
      </c>
      <c r="I4552" s="18" t="n">
        <f aca="false">((I4551 + G4552) - H4552)</f>
        <v>34402.12</v>
      </c>
      <c r="J4552" s="18" t="n">
        <v>6.96</v>
      </c>
      <c r="K4552" s="19" t="n">
        <v>10</v>
      </c>
      <c r="L4552" s="17" t="s">
        <v>44</v>
      </c>
    </row>
    <row r="4553" s="11" customFormat="true" ht="10.95" hidden="false" customHeight="true" outlineLevel="0" collapsed="false">
      <c r="A4553" s="16" t="n">
        <v>45278</v>
      </c>
      <c r="B4553" s="17" t="s">
        <v>2192</v>
      </c>
      <c r="C4553" s="17" t="s">
        <v>1593</v>
      </c>
      <c r="D4553" s="17" t="s">
        <v>1391</v>
      </c>
      <c r="E4553" s="17" t="s">
        <v>2413</v>
      </c>
      <c r="F4553" s="17" t="s">
        <v>2414</v>
      </c>
      <c r="G4553" s="18" t="n">
        <v>199.8</v>
      </c>
      <c r="H4553" s="18" t="n">
        <v>0</v>
      </c>
      <c r="I4553" s="18" t="n">
        <f aca="false">((I4552 + G4553) - H4553)</f>
        <v>34601.92</v>
      </c>
      <c r="J4553" s="18" t="n">
        <v>19.98</v>
      </c>
      <c r="K4553" s="19" t="n">
        <v>10</v>
      </c>
      <c r="L4553" s="17" t="s">
        <v>44</v>
      </c>
    </row>
    <row r="4554" s="11" customFormat="true" ht="10.95" hidden="false" customHeight="true" outlineLevel="0" collapsed="false">
      <c r="A4554" s="16" t="n">
        <v>45278</v>
      </c>
      <c r="B4554" s="17" t="s">
        <v>2192</v>
      </c>
      <c r="C4554" s="17" t="s">
        <v>1593</v>
      </c>
      <c r="D4554" s="17" t="s">
        <v>1391</v>
      </c>
      <c r="E4554" s="17" t="s">
        <v>2415</v>
      </c>
      <c r="F4554" s="17" t="s">
        <v>2416</v>
      </c>
      <c r="G4554" s="18" t="n">
        <v>8.2</v>
      </c>
      <c r="H4554" s="18" t="n">
        <v>0</v>
      </c>
      <c r="I4554" s="18" t="n">
        <f aca="false">((I4553 + G4554) - H4554)</f>
        <v>34610.12</v>
      </c>
      <c r="J4554" s="18" t="n">
        <v>0.82</v>
      </c>
      <c r="K4554" s="19" t="n">
        <v>10</v>
      </c>
      <c r="L4554" s="17" t="s">
        <v>44</v>
      </c>
    </row>
    <row r="4555" s="11" customFormat="true" ht="10.95" hidden="false" customHeight="true" outlineLevel="0" collapsed="false">
      <c r="A4555" s="16" t="n">
        <v>45278</v>
      </c>
      <c r="B4555" s="17" t="s">
        <v>2192</v>
      </c>
      <c r="C4555" s="17" t="s">
        <v>1593</v>
      </c>
      <c r="D4555" s="17" t="s">
        <v>1391</v>
      </c>
      <c r="E4555" s="17" t="s">
        <v>2417</v>
      </c>
      <c r="F4555" s="17" t="s">
        <v>2418</v>
      </c>
      <c r="G4555" s="18" t="n">
        <v>22</v>
      </c>
      <c r="H4555" s="18" t="n">
        <v>0</v>
      </c>
      <c r="I4555" s="18" t="n">
        <f aca="false">((I4554 + G4555) - H4555)</f>
        <v>34632.12</v>
      </c>
      <c r="J4555" s="18" t="n">
        <v>2.2</v>
      </c>
      <c r="K4555" s="19" t="n">
        <v>10</v>
      </c>
      <c r="L4555" s="17" t="s">
        <v>44</v>
      </c>
    </row>
    <row r="4556" s="11" customFormat="true" ht="10.95" hidden="false" customHeight="true" outlineLevel="0" collapsed="false">
      <c r="A4556" s="16" t="n">
        <v>45278</v>
      </c>
      <c r="B4556" s="17" t="s">
        <v>2192</v>
      </c>
      <c r="C4556" s="17" t="s">
        <v>1593</v>
      </c>
      <c r="D4556" s="17" t="s">
        <v>1391</v>
      </c>
      <c r="E4556" s="17" t="s">
        <v>2419</v>
      </c>
      <c r="F4556" s="17" t="s">
        <v>2420</v>
      </c>
      <c r="G4556" s="18" t="n">
        <v>55</v>
      </c>
      <c r="H4556" s="18" t="n">
        <v>0</v>
      </c>
      <c r="I4556" s="18" t="n">
        <f aca="false">((I4555 + G4556) - H4556)</f>
        <v>34687.12</v>
      </c>
      <c r="J4556" s="18" t="n">
        <v>5.5</v>
      </c>
      <c r="K4556" s="19" t="n">
        <v>10</v>
      </c>
      <c r="L4556" s="17" t="s">
        <v>44</v>
      </c>
    </row>
    <row r="4557" s="11" customFormat="true" ht="10.95" hidden="false" customHeight="true" outlineLevel="0" collapsed="false">
      <c r="A4557" s="16" t="n">
        <v>45278</v>
      </c>
      <c r="B4557" s="17" t="s">
        <v>2192</v>
      </c>
      <c r="C4557" s="17" t="s">
        <v>1593</v>
      </c>
      <c r="D4557" s="17" t="s">
        <v>1407</v>
      </c>
      <c r="E4557" s="17" t="s">
        <v>2196</v>
      </c>
      <c r="F4557" s="17"/>
      <c r="G4557" s="18" t="n">
        <v>229.52</v>
      </c>
      <c r="H4557" s="18" t="n">
        <v>0</v>
      </c>
      <c r="I4557" s="18" t="n">
        <f aca="false">((I4556 + G4557) - H4557)</f>
        <v>34916.64</v>
      </c>
      <c r="J4557" s="18" t="n">
        <v>0</v>
      </c>
      <c r="K4557" s="19" t="n">
        <v>0</v>
      </c>
      <c r="L4557" s="17" t="s">
        <v>1406</v>
      </c>
    </row>
    <row r="4558" s="11" customFormat="true" ht="10.95" hidden="false" customHeight="true" outlineLevel="0" collapsed="false">
      <c r="A4558" s="16" t="n">
        <v>45278</v>
      </c>
      <c r="B4558" s="17" t="s">
        <v>2192</v>
      </c>
      <c r="C4558" s="17" t="s">
        <v>1593</v>
      </c>
      <c r="D4558" s="17" t="s">
        <v>1407</v>
      </c>
      <c r="E4558" s="17" t="s">
        <v>2196</v>
      </c>
      <c r="F4558" s="17"/>
      <c r="G4558" s="18" t="n">
        <v>53.91</v>
      </c>
      <c r="H4558" s="18" t="n">
        <v>0</v>
      </c>
      <c r="I4558" s="18" t="n">
        <f aca="false">((I4557 + G4558) - H4558)</f>
        <v>34970.55</v>
      </c>
      <c r="J4558" s="18" t="n">
        <v>0</v>
      </c>
      <c r="K4558" s="19" t="n">
        <v>0</v>
      </c>
      <c r="L4558" s="17" t="s">
        <v>1406</v>
      </c>
    </row>
    <row r="4559" s="11" customFormat="true" ht="10.95" hidden="false" customHeight="true" outlineLevel="0" collapsed="false">
      <c r="A4559" s="16" t="n">
        <v>45279</v>
      </c>
      <c r="B4559" s="17" t="s">
        <v>2192</v>
      </c>
      <c r="C4559" s="17" t="s">
        <v>1593</v>
      </c>
      <c r="D4559" s="17" t="s">
        <v>1407</v>
      </c>
      <c r="E4559" s="17" t="s">
        <v>2216</v>
      </c>
      <c r="F4559" s="17"/>
      <c r="G4559" s="18" t="n">
        <v>15.45</v>
      </c>
      <c r="H4559" s="18" t="n">
        <v>0</v>
      </c>
      <c r="I4559" s="18" t="n">
        <f aca="false">((I4558 + G4559) - H4559)</f>
        <v>34986</v>
      </c>
      <c r="J4559" s="18" t="n">
        <v>1.54</v>
      </c>
      <c r="K4559" s="19" t="n">
        <v>10</v>
      </c>
      <c r="L4559" s="17" t="s">
        <v>44</v>
      </c>
    </row>
    <row r="4560" s="11" customFormat="true" ht="10.95" hidden="false" customHeight="true" outlineLevel="0" collapsed="false">
      <c r="A4560" s="16" t="n">
        <v>45279</v>
      </c>
      <c r="B4560" s="17" t="s">
        <v>2192</v>
      </c>
      <c r="C4560" s="17" t="s">
        <v>1593</v>
      </c>
      <c r="D4560" s="17" t="s">
        <v>1407</v>
      </c>
      <c r="E4560" s="17" t="s">
        <v>2421</v>
      </c>
      <c r="F4560" s="17"/>
      <c r="G4560" s="18" t="n">
        <v>73.66</v>
      </c>
      <c r="H4560" s="18" t="n">
        <v>0</v>
      </c>
      <c r="I4560" s="18" t="n">
        <f aca="false">((I4559 + G4560) - H4560)</f>
        <v>35059.66</v>
      </c>
      <c r="J4560" s="18" t="n">
        <v>7.37</v>
      </c>
      <c r="K4560" s="19" t="n">
        <v>10</v>
      </c>
      <c r="L4560" s="17" t="s">
        <v>44</v>
      </c>
    </row>
    <row r="4561" s="11" customFormat="true" ht="10.95" hidden="false" customHeight="true" outlineLevel="0" collapsed="false">
      <c r="A4561" s="16" t="n">
        <v>45279</v>
      </c>
      <c r="B4561" s="17" t="s">
        <v>2192</v>
      </c>
      <c r="C4561" s="17" t="s">
        <v>1593</v>
      </c>
      <c r="D4561" s="17" t="s">
        <v>1407</v>
      </c>
      <c r="E4561" s="17" t="s">
        <v>2317</v>
      </c>
      <c r="F4561" s="17"/>
      <c r="G4561" s="18" t="n">
        <v>247.73</v>
      </c>
      <c r="H4561" s="18" t="n">
        <v>0</v>
      </c>
      <c r="I4561" s="18" t="n">
        <f aca="false">((I4560 + G4561) - H4561)</f>
        <v>35307.39</v>
      </c>
      <c r="J4561" s="18" t="n">
        <v>24.77</v>
      </c>
      <c r="K4561" s="19" t="n">
        <v>10</v>
      </c>
      <c r="L4561" s="17" t="s">
        <v>44</v>
      </c>
    </row>
    <row r="4562" s="11" customFormat="true" ht="10.95" hidden="false" customHeight="true" outlineLevel="0" collapsed="false">
      <c r="A4562" s="16" t="n">
        <v>45279</v>
      </c>
      <c r="B4562" s="17" t="s">
        <v>2192</v>
      </c>
      <c r="C4562" s="17" t="s">
        <v>1593</v>
      </c>
      <c r="D4562" s="17" t="s">
        <v>1407</v>
      </c>
      <c r="E4562" s="17" t="s">
        <v>2196</v>
      </c>
      <c r="F4562" s="17"/>
      <c r="G4562" s="18" t="n">
        <v>18.28</v>
      </c>
      <c r="H4562" s="18" t="n">
        <v>0</v>
      </c>
      <c r="I4562" s="18" t="n">
        <f aca="false">((I4561 + G4562) - H4562)</f>
        <v>35325.67</v>
      </c>
      <c r="J4562" s="18" t="n">
        <v>0</v>
      </c>
      <c r="K4562" s="19" t="n">
        <v>0</v>
      </c>
      <c r="L4562" s="17" t="s">
        <v>1406</v>
      </c>
    </row>
    <row r="4563" s="11" customFormat="true" ht="10.95" hidden="false" customHeight="true" outlineLevel="0" collapsed="false">
      <c r="A4563" s="16" t="n">
        <v>45280</v>
      </c>
      <c r="B4563" s="17" t="s">
        <v>2192</v>
      </c>
      <c r="C4563" s="17" t="s">
        <v>1593</v>
      </c>
      <c r="D4563" s="17" t="s">
        <v>1391</v>
      </c>
      <c r="E4563" s="17" t="s">
        <v>2422</v>
      </c>
      <c r="F4563" s="17" t="s">
        <v>2423</v>
      </c>
      <c r="G4563" s="18" t="n">
        <v>88.18</v>
      </c>
      <c r="H4563" s="18" t="n">
        <v>0</v>
      </c>
      <c r="I4563" s="18" t="n">
        <f aca="false">((I4562 + G4563) - H4563)</f>
        <v>35413.85</v>
      </c>
      <c r="J4563" s="18" t="n">
        <v>8.82</v>
      </c>
      <c r="K4563" s="19" t="n">
        <v>10</v>
      </c>
      <c r="L4563" s="17" t="s">
        <v>44</v>
      </c>
    </row>
    <row r="4564" s="11" customFormat="true" ht="10.95" hidden="false" customHeight="true" outlineLevel="0" collapsed="false">
      <c r="A4564" s="16" t="n">
        <v>45281</v>
      </c>
      <c r="B4564" s="17" t="s">
        <v>2192</v>
      </c>
      <c r="C4564" s="17" t="s">
        <v>1593</v>
      </c>
      <c r="D4564" s="17" t="s">
        <v>1407</v>
      </c>
      <c r="E4564" s="17" t="s">
        <v>2196</v>
      </c>
      <c r="F4564" s="17"/>
      <c r="G4564" s="18" t="n">
        <v>61.06</v>
      </c>
      <c r="H4564" s="18" t="n">
        <v>0</v>
      </c>
      <c r="I4564" s="18" t="n">
        <f aca="false">((I4563 + G4564) - H4564)</f>
        <v>35474.91</v>
      </c>
      <c r="J4564" s="18" t="n">
        <v>0</v>
      </c>
      <c r="K4564" s="19" t="n">
        <v>0</v>
      </c>
      <c r="L4564" s="17" t="s">
        <v>1406</v>
      </c>
    </row>
    <row r="4565" s="11" customFormat="true" ht="10.95" hidden="false" customHeight="true" outlineLevel="0" collapsed="false">
      <c r="A4565" s="16" t="n">
        <v>45281</v>
      </c>
      <c r="B4565" s="17" t="s">
        <v>2192</v>
      </c>
      <c r="C4565" s="17" t="s">
        <v>1593</v>
      </c>
      <c r="D4565" s="17" t="s">
        <v>1407</v>
      </c>
      <c r="E4565" s="17" t="s">
        <v>2238</v>
      </c>
      <c r="F4565" s="17"/>
      <c r="G4565" s="18" t="n">
        <v>29.9</v>
      </c>
      <c r="H4565" s="18" t="n">
        <v>0</v>
      </c>
      <c r="I4565" s="18" t="n">
        <f aca="false">((I4564 + G4565) - H4565)</f>
        <v>35504.81</v>
      </c>
      <c r="J4565" s="18" t="n">
        <v>0</v>
      </c>
      <c r="K4565" s="19" t="n">
        <v>0</v>
      </c>
      <c r="L4565" s="17" t="s">
        <v>1406</v>
      </c>
    </row>
    <row r="4566" s="11" customFormat="true" ht="10.95" hidden="false" customHeight="true" outlineLevel="0" collapsed="false">
      <c r="A4566" s="16" t="n">
        <v>45282</v>
      </c>
      <c r="B4566" s="17" t="s">
        <v>2192</v>
      </c>
      <c r="C4566" s="17" t="s">
        <v>1593</v>
      </c>
      <c r="D4566" s="17" t="s">
        <v>1407</v>
      </c>
      <c r="E4566" s="17" t="s">
        <v>2208</v>
      </c>
      <c r="F4566" s="17"/>
      <c r="G4566" s="18" t="n">
        <v>69.6</v>
      </c>
      <c r="H4566" s="18" t="n">
        <v>0</v>
      </c>
      <c r="I4566" s="18" t="n">
        <f aca="false">((I4565 + G4566) - H4566)</f>
        <v>35574.41</v>
      </c>
      <c r="J4566" s="18" t="n">
        <v>6.96</v>
      </c>
      <c r="K4566" s="19" t="n">
        <v>10</v>
      </c>
      <c r="L4566" s="17" t="s">
        <v>44</v>
      </c>
    </row>
    <row r="4567" s="11" customFormat="true" ht="10.95" hidden="false" customHeight="true" outlineLevel="0" collapsed="false">
      <c r="A4567" s="16" t="n">
        <v>45283</v>
      </c>
      <c r="B4567" s="17" t="s">
        <v>2192</v>
      </c>
      <c r="C4567" s="17" t="s">
        <v>1593</v>
      </c>
      <c r="D4567" s="17" t="s">
        <v>1407</v>
      </c>
      <c r="E4567" s="17" t="s">
        <v>2201</v>
      </c>
      <c r="F4567" s="17"/>
      <c r="G4567" s="18" t="n">
        <v>36.35</v>
      </c>
      <c r="H4567" s="18" t="n">
        <v>0</v>
      </c>
      <c r="I4567" s="18" t="n">
        <f aca="false">((I4566 + G4567) - H4567)</f>
        <v>35610.76</v>
      </c>
      <c r="J4567" s="18" t="n">
        <v>3.64</v>
      </c>
      <c r="K4567" s="19" t="n">
        <v>10</v>
      </c>
      <c r="L4567" s="17" t="s">
        <v>44</v>
      </c>
    </row>
    <row r="4568" s="11" customFormat="true" ht="10.95" hidden="false" customHeight="true" outlineLevel="0" collapsed="false">
      <c r="A4568" s="16" t="n">
        <v>45283</v>
      </c>
      <c r="B4568" s="17" t="s">
        <v>2192</v>
      </c>
      <c r="C4568" s="17" t="s">
        <v>1593</v>
      </c>
      <c r="D4568" s="17" t="s">
        <v>1407</v>
      </c>
      <c r="E4568" s="17" t="s">
        <v>2237</v>
      </c>
      <c r="F4568" s="17"/>
      <c r="G4568" s="18" t="n">
        <v>7.86</v>
      </c>
      <c r="H4568" s="18" t="n">
        <v>0</v>
      </c>
      <c r="I4568" s="18" t="n">
        <f aca="false">((I4567 + G4568) - H4568)</f>
        <v>35618.62</v>
      </c>
      <c r="J4568" s="18" t="n">
        <v>0.79</v>
      </c>
      <c r="K4568" s="19" t="n">
        <v>10</v>
      </c>
      <c r="L4568" s="17" t="s">
        <v>44</v>
      </c>
    </row>
    <row r="4569" s="11" customFormat="true" ht="10.95" hidden="false" customHeight="true" outlineLevel="0" collapsed="false">
      <c r="A4569" s="16" t="n">
        <v>45283</v>
      </c>
      <c r="B4569" s="17" t="s">
        <v>2192</v>
      </c>
      <c r="C4569" s="17" t="s">
        <v>1593</v>
      </c>
      <c r="D4569" s="17" t="s">
        <v>1407</v>
      </c>
      <c r="E4569" s="17" t="s">
        <v>2388</v>
      </c>
      <c r="F4569" s="17"/>
      <c r="G4569" s="18" t="n">
        <v>11.89</v>
      </c>
      <c r="H4569" s="18" t="n">
        <v>0</v>
      </c>
      <c r="I4569" s="18" t="n">
        <f aca="false">((I4568 + G4569) - H4569)</f>
        <v>35630.51</v>
      </c>
      <c r="J4569" s="18" t="n">
        <v>0</v>
      </c>
      <c r="K4569" s="19" t="n">
        <v>0</v>
      </c>
      <c r="L4569" s="17" t="s">
        <v>1406</v>
      </c>
    </row>
    <row r="4570" s="11" customFormat="true" ht="10.95" hidden="false" customHeight="true" outlineLevel="0" collapsed="false">
      <c r="A4570" s="16" t="n">
        <v>45286</v>
      </c>
      <c r="B4570" s="17" t="s">
        <v>2192</v>
      </c>
      <c r="C4570" s="17" t="s">
        <v>1593</v>
      </c>
      <c r="D4570" s="17" t="s">
        <v>1407</v>
      </c>
      <c r="E4570" s="17" t="s">
        <v>2196</v>
      </c>
      <c r="F4570" s="17"/>
      <c r="G4570" s="18" t="n">
        <v>45.32</v>
      </c>
      <c r="H4570" s="18" t="n">
        <v>0</v>
      </c>
      <c r="I4570" s="18" t="n">
        <f aca="false">((I4569 + G4570) - H4570)</f>
        <v>35675.83</v>
      </c>
      <c r="J4570" s="18" t="n">
        <v>0</v>
      </c>
      <c r="K4570" s="19" t="n">
        <v>0</v>
      </c>
      <c r="L4570" s="17" t="s">
        <v>1406</v>
      </c>
    </row>
    <row r="4571" s="11" customFormat="true" ht="10.95" hidden="false" customHeight="true" outlineLevel="0" collapsed="false">
      <c r="A4571" s="16" t="n">
        <v>45286</v>
      </c>
      <c r="B4571" s="17" t="s">
        <v>2192</v>
      </c>
      <c r="C4571" s="17" t="s">
        <v>1593</v>
      </c>
      <c r="D4571" s="17" t="s">
        <v>1407</v>
      </c>
      <c r="E4571" s="17" t="s">
        <v>2353</v>
      </c>
      <c r="F4571" s="17"/>
      <c r="G4571" s="18" t="n">
        <v>66.4</v>
      </c>
      <c r="H4571" s="18" t="n">
        <v>0</v>
      </c>
      <c r="I4571" s="18" t="n">
        <f aca="false">((I4570 + G4571) - H4571)</f>
        <v>35742.23</v>
      </c>
      <c r="J4571" s="18" t="n">
        <v>6.64</v>
      </c>
      <c r="K4571" s="19" t="n">
        <v>10</v>
      </c>
      <c r="L4571" s="17" t="s">
        <v>44</v>
      </c>
    </row>
    <row r="4572" s="11" customFormat="true" ht="10.95" hidden="false" customHeight="true" outlineLevel="0" collapsed="false">
      <c r="A4572" s="16" t="n">
        <v>45287</v>
      </c>
      <c r="B4572" s="17" t="s">
        <v>2192</v>
      </c>
      <c r="C4572" s="17" t="s">
        <v>1593</v>
      </c>
      <c r="D4572" s="17" t="s">
        <v>1407</v>
      </c>
      <c r="E4572" s="17" t="s">
        <v>2246</v>
      </c>
      <c r="F4572" s="17"/>
      <c r="G4572" s="18" t="n">
        <v>83.21</v>
      </c>
      <c r="H4572" s="18" t="n">
        <v>0</v>
      </c>
      <c r="I4572" s="18" t="n">
        <f aca="false">((I4571 + G4572) - H4572)</f>
        <v>35825.44</v>
      </c>
      <c r="J4572" s="18" t="n">
        <v>8.32</v>
      </c>
      <c r="K4572" s="19" t="n">
        <v>10</v>
      </c>
      <c r="L4572" s="17" t="s">
        <v>44</v>
      </c>
    </row>
    <row r="4573" s="11" customFormat="true" ht="10.95" hidden="false" customHeight="true" outlineLevel="0" collapsed="false">
      <c r="A4573" s="16" t="n">
        <v>45288</v>
      </c>
      <c r="B4573" s="17" t="s">
        <v>2192</v>
      </c>
      <c r="C4573" s="17" t="s">
        <v>1593</v>
      </c>
      <c r="D4573" s="17" t="s">
        <v>1407</v>
      </c>
      <c r="E4573" s="17" t="s">
        <v>2196</v>
      </c>
      <c r="F4573" s="17"/>
      <c r="G4573" s="18" t="n">
        <v>16.1</v>
      </c>
      <c r="H4573" s="18" t="n">
        <v>0</v>
      </c>
      <c r="I4573" s="18" t="n">
        <f aca="false">((I4572 + G4573) - H4573)</f>
        <v>35841.54</v>
      </c>
      <c r="J4573" s="18" t="n">
        <v>0</v>
      </c>
      <c r="K4573" s="19" t="n">
        <v>0</v>
      </c>
      <c r="L4573" s="17" t="s">
        <v>1406</v>
      </c>
    </row>
    <row r="4574" s="11" customFormat="true" ht="10.95" hidden="false" customHeight="true" outlineLevel="0" collapsed="false">
      <c r="A4574" s="16" t="n">
        <v>45288</v>
      </c>
      <c r="B4574" s="17" t="s">
        <v>2192</v>
      </c>
      <c r="C4574" s="17" t="s">
        <v>1593</v>
      </c>
      <c r="D4574" s="17" t="s">
        <v>1407</v>
      </c>
      <c r="E4574" s="17" t="s">
        <v>2196</v>
      </c>
      <c r="F4574" s="17"/>
      <c r="G4574" s="18" t="n">
        <v>21.22</v>
      </c>
      <c r="H4574" s="18" t="n">
        <v>0</v>
      </c>
      <c r="I4574" s="18" t="n">
        <f aca="false">((I4573 + G4574) - H4574)</f>
        <v>35862.76</v>
      </c>
      <c r="J4574" s="18" t="n">
        <v>0</v>
      </c>
      <c r="K4574" s="19" t="n">
        <v>0</v>
      </c>
      <c r="L4574" s="17" t="s">
        <v>1406</v>
      </c>
    </row>
    <row r="4575" s="11" customFormat="true" ht="10.95" hidden="false" customHeight="true" outlineLevel="0" collapsed="false">
      <c r="A4575" s="16" t="n">
        <v>45288</v>
      </c>
      <c r="B4575" s="17" t="s">
        <v>2192</v>
      </c>
      <c r="C4575" s="17" t="s">
        <v>1593</v>
      </c>
      <c r="D4575" s="17" t="s">
        <v>1407</v>
      </c>
      <c r="E4575" s="17" t="s">
        <v>2388</v>
      </c>
      <c r="F4575" s="17"/>
      <c r="G4575" s="18" t="n">
        <v>11.8</v>
      </c>
      <c r="H4575" s="18" t="n">
        <v>0</v>
      </c>
      <c r="I4575" s="18" t="n">
        <f aca="false">((I4574 + G4575) - H4575)</f>
        <v>35874.56</v>
      </c>
      <c r="J4575" s="18" t="n">
        <v>0</v>
      </c>
      <c r="K4575" s="19" t="n">
        <v>0</v>
      </c>
      <c r="L4575" s="17" t="s">
        <v>1406</v>
      </c>
    </row>
    <row r="4576" s="11" customFormat="true" ht="10.95" hidden="false" customHeight="true" outlineLevel="0" collapsed="false">
      <c r="A4576" s="16" t="n">
        <v>45288</v>
      </c>
      <c r="B4576" s="17" t="s">
        <v>2192</v>
      </c>
      <c r="C4576" s="17" t="s">
        <v>1593</v>
      </c>
      <c r="D4576" s="17" t="s">
        <v>1407</v>
      </c>
      <c r="E4576" s="17" t="s">
        <v>2388</v>
      </c>
      <c r="F4576" s="17"/>
      <c r="G4576" s="18" t="n">
        <v>11.89</v>
      </c>
      <c r="H4576" s="18" t="n">
        <v>0</v>
      </c>
      <c r="I4576" s="18" t="n">
        <f aca="false">((I4575 + G4576) - H4576)</f>
        <v>35886.45</v>
      </c>
      <c r="J4576" s="18" t="n">
        <v>0</v>
      </c>
      <c r="K4576" s="19" t="n">
        <v>0</v>
      </c>
      <c r="L4576" s="17" t="s">
        <v>1406</v>
      </c>
    </row>
    <row r="4577" s="11" customFormat="true" ht="10.95" hidden="false" customHeight="true" outlineLevel="0" collapsed="false">
      <c r="A4577" s="16" t="n">
        <v>45288</v>
      </c>
      <c r="B4577" s="17" t="s">
        <v>2192</v>
      </c>
      <c r="C4577" s="17" t="s">
        <v>1593</v>
      </c>
      <c r="D4577" s="17" t="s">
        <v>1407</v>
      </c>
      <c r="E4577" s="17" t="s">
        <v>2291</v>
      </c>
      <c r="F4577" s="17"/>
      <c r="G4577" s="18" t="n">
        <v>171.86</v>
      </c>
      <c r="H4577" s="18" t="n">
        <v>0</v>
      </c>
      <c r="I4577" s="18" t="n">
        <f aca="false">((I4576 + G4577) - H4577)</f>
        <v>36058.31</v>
      </c>
      <c r="J4577" s="18" t="n">
        <v>17.19</v>
      </c>
      <c r="K4577" s="19" t="n">
        <v>10</v>
      </c>
      <c r="L4577" s="17" t="s">
        <v>44</v>
      </c>
    </row>
    <row r="4578" s="11" customFormat="true" ht="10.95" hidden="false" customHeight="true" outlineLevel="0" collapsed="false">
      <c r="A4578" s="16" t="n">
        <v>45288</v>
      </c>
      <c r="B4578" s="17" t="s">
        <v>2192</v>
      </c>
      <c r="C4578" s="17" t="s">
        <v>1593</v>
      </c>
      <c r="D4578" s="17" t="s">
        <v>1407</v>
      </c>
      <c r="E4578" s="17" t="s">
        <v>1551</v>
      </c>
      <c r="F4578" s="17"/>
      <c r="G4578" s="18" t="n">
        <v>278.27</v>
      </c>
      <c r="H4578" s="18" t="n">
        <v>0</v>
      </c>
      <c r="I4578" s="18" t="n">
        <f aca="false">((I4577 + G4578) - H4578)</f>
        <v>36336.58</v>
      </c>
      <c r="J4578" s="18" t="n">
        <v>0</v>
      </c>
      <c r="K4578" s="19" t="n">
        <v>0</v>
      </c>
      <c r="L4578" s="17" t="s">
        <v>1406</v>
      </c>
    </row>
    <row r="4579" s="11" customFormat="true" ht="10.95" hidden="false" customHeight="true" outlineLevel="0" collapsed="false">
      <c r="A4579" s="16" t="n">
        <v>45289</v>
      </c>
      <c r="B4579" s="17" t="s">
        <v>2192</v>
      </c>
      <c r="C4579" s="17" t="s">
        <v>1593</v>
      </c>
      <c r="D4579" s="17" t="s">
        <v>1407</v>
      </c>
      <c r="E4579" s="17" t="s">
        <v>2208</v>
      </c>
      <c r="F4579" s="17"/>
      <c r="G4579" s="18" t="n">
        <v>63.65</v>
      </c>
      <c r="H4579" s="18" t="n">
        <v>0</v>
      </c>
      <c r="I4579" s="18" t="n">
        <f aca="false">((I4578 + G4579) - H4579)</f>
        <v>36400.23</v>
      </c>
      <c r="J4579" s="18" t="n">
        <v>6.36</v>
      </c>
      <c r="K4579" s="19" t="n">
        <v>10</v>
      </c>
      <c r="L4579" s="17" t="s">
        <v>44</v>
      </c>
    </row>
    <row r="4580" s="11" customFormat="true" ht="10.95" hidden="false" customHeight="true" outlineLevel="0" collapsed="false">
      <c r="A4580" s="16" t="n">
        <v>45289</v>
      </c>
      <c r="B4580" s="17" t="s">
        <v>2192</v>
      </c>
      <c r="C4580" s="17" t="s">
        <v>1593</v>
      </c>
      <c r="D4580" s="17" t="s">
        <v>1407</v>
      </c>
      <c r="E4580" s="17" t="s">
        <v>2424</v>
      </c>
      <c r="F4580" s="17"/>
      <c r="G4580" s="18" t="n">
        <v>228.92</v>
      </c>
      <c r="H4580" s="18" t="n">
        <v>0</v>
      </c>
      <c r="I4580" s="18" t="n">
        <f aca="false">((I4579 + G4580) - H4580)</f>
        <v>36629.15</v>
      </c>
      <c r="J4580" s="18" t="n">
        <v>0</v>
      </c>
      <c r="K4580" s="19" t="n">
        <v>0</v>
      </c>
      <c r="L4580" s="17" t="s">
        <v>1406</v>
      </c>
    </row>
    <row r="4581" s="11" customFormat="true" ht="10.95" hidden="false" customHeight="true" outlineLevel="0" collapsed="false">
      <c r="A4581" s="16" t="n">
        <v>45292</v>
      </c>
      <c r="B4581" s="17" t="s">
        <v>2192</v>
      </c>
      <c r="C4581" s="17" t="s">
        <v>1593</v>
      </c>
      <c r="D4581" s="17" t="s">
        <v>1391</v>
      </c>
      <c r="E4581" s="17" t="s">
        <v>2425</v>
      </c>
      <c r="F4581" s="17" t="s">
        <v>2426</v>
      </c>
      <c r="G4581" s="18" t="n">
        <v>152.15</v>
      </c>
      <c r="H4581" s="18" t="n">
        <v>0</v>
      </c>
      <c r="I4581" s="18" t="n">
        <f aca="false">((I4580 + G4581) - H4581)</f>
        <v>36781.3</v>
      </c>
      <c r="J4581" s="18" t="n">
        <v>0</v>
      </c>
      <c r="K4581" s="19" t="n">
        <v>0</v>
      </c>
      <c r="L4581" s="17" t="s">
        <v>1406</v>
      </c>
    </row>
    <row r="4582" s="11" customFormat="true" ht="10.95" hidden="false" customHeight="true" outlineLevel="0" collapsed="false">
      <c r="A4582" s="16" t="n">
        <v>45292</v>
      </c>
      <c r="B4582" s="17" t="s">
        <v>2192</v>
      </c>
      <c r="C4582" s="17" t="s">
        <v>1593</v>
      </c>
      <c r="D4582" s="17" t="s">
        <v>1391</v>
      </c>
      <c r="E4582" s="17" t="s">
        <v>2427</v>
      </c>
      <c r="F4582" s="17" t="s">
        <v>2428</v>
      </c>
      <c r="G4582" s="18" t="n">
        <v>248</v>
      </c>
      <c r="H4582" s="18" t="n">
        <v>0</v>
      </c>
      <c r="I4582" s="18" t="n">
        <f aca="false">((I4581 + G4582) - H4582)</f>
        <v>37029.3</v>
      </c>
      <c r="J4582" s="18" t="n">
        <v>0</v>
      </c>
      <c r="K4582" s="19" t="n">
        <v>0</v>
      </c>
      <c r="L4582" s="17" t="s">
        <v>1406</v>
      </c>
    </row>
    <row r="4583" s="11" customFormat="true" ht="10.95" hidden="false" customHeight="true" outlineLevel="0" collapsed="false">
      <c r="A4583" s="16" t="n">
        <v>45293</v>
      </c>
      <c r="B4583" s="17" t="s">
        <v>2192</v>
      </c>
      <c r="C4583" s="17" t="s">
        <v>1593</v>
      </c>
      <c r="D4583" s="17" t="s">
        <v>1407</v>
      </c>
      <c r="E4583" s="17" t="s">
        <v>2196</v>
      </c>
      <c r="F4583" s="17"/>
      <c r="G4583" s="18" t="n">
        <v>21.34</v>
      </c>
      <c r="H4583" s="18" t="n">
        <v>0</v>
      </c>
      <c r="I4583" s="18" t="n">
        <f aca="false">((I4582 + G4583) - H4583)</f>
        <v>37050.64</v>
      </c>
      <c r="J4583" s="18" t="n">
        <v>0</v>
      </c>
      <c r="K4583" s="19" t="n">
        <v>0</v>
      </c>
      <c r="L4583" s="17" t="s">
        <v>1406</v>
      </c>
    </row>
    <row r="4584" s="11" customFormat="true" ht="10.95" hidden="false" customHeight="true" outlineLevel="0" collapsed="false">
      <c r="A4584" s="16" t="n">
        <v>45293</v>
      </c>
      <c r="B4584" s="17" t="s">
        <v>2192</v>
      </c>
      <c r="C4584" s="17" t="s">
        <v>1593</v>
      </c>
      <c r="D4584" s="17" t="s">
        <v>1407</v>
      </c>
      <c r="E4584" s="17" t="s">
        <v>2201</v>
      </c>
      <c r="F4584" s="17"/>
      <c r="G4584" s="18" t="n">
        <v>36.35</v>
      </c>
      <c r="H4584" s="18" t="n">
        <v>0</v>
      </c>
      <c r="I4584" s="18" t="n">
        <f aca="false">((I4583 + G4584) - H4584)</f>
        <v>37086.99</v>
      </c>
      <c r="J4584" s="18" t="n">
        <v>3.64</v>
      </c>
      <c r="K4584" s="19" t="n">
        <v>10</v>
      </c>
      <c r="L4584" s="17" t="s">
        <v>44</v>
      </c>
    </row>
    <row r="4585" s="11" customFormat="true" ht="10.95" hidden="false" customHeight="true" outlineLevel="0" collapsed="false">
      <c r="A4585" s="16" t="n">
        <v>45294</v>
      </c>
      <c r="B4585" s="17" t="s">
        <v>2192</v>
      </c>
      <c r="C4585" s="17" t="s">
        <v>1593</v>
      </c>
      <c r="D4585" s="17" t="s">
        <v>1407</v>
      </c>
      <c r="E4585" s="17" t="s">
        <v>2194</v>
      </c>
      <c r="F4585" s="17"/>
      <c r="G4585" s="18" t="n">
        <v>75.37</v>
      </c>
      <c r="H4585" s="18" t="n">
        <v>0</v>
      </c>
      <c r="I4585" s="18" t="n">
        <f aca="false">((I4584 + G4585) - H4585)</f>
        <v>37162.36</v>
      </c>
      <c r="J4585" s="18" t="n">
        <v>0</v>
      </c>
      <c r="K4585" s="19" t="n">
        <v>0</v>
      </c>
      <c r="L4585" s="17" t="s">
        <v>1406</v>
      </c>
    </row>
    <row r="4586" s="11" customFormat="true" ht="10.95" hidden="false" customHeight="true" outlineLevel="0" collapsed="false">
      <c r="A4586" s="16" t="n">
        <v>45294</v>
      </c>
      <c r="B4586" s="17" t="s">
        <v>2192</v>
      </c>
      <c r="C4586" s="17" t="s">
        <v>1593</v>
      </c>
      <c r="D4586" s="17" t="s">
        <v>1407</v>
      </c>
      <c r="E4586" s="17" t="s">
        <v>2195</v>
      </c>
      <c r="F4586" s="17"/>
      <c r="G4586" s="18" t="n">
        <v>75</v>
      </c>
      <c r="H4586" s="18" t="n">
        <v>0</v>
      </c>
      <c r="I4586" s="18" t="n">
        <f aca="false">((I4585 + G4586) - H4586)</f>
        <v>37237.36</v>
      </c>
      <c r="J4586" s="18" t="n">
        <v>7.5</v>
      </c>
      <c r="K4586" s="19" t="n">
        <v>10</v>
      </c>
      <c r="L4586" s="17" t="s">
        <v>44</v>
      </c>
    </row>
    <row r="4587" s="11" customFormat="true" ht="10.95" hidden="false" customHeight="true" outlineLevel="0" collapsed="false">
      <c r="A4587" s="16" t="n">
        <v>45294</v>
      </c>
      <c r="B4587" s="17" t="s">
        <v>2192</v>
      </c>
      <c r="C4587" s="17" t="s">
        <v>1593</v>
      </c>
      <c r="D4587" s="17" t="s">
        <v>1407</v>
      </c>
      <c r="E4587" s="17" t="s">
        <v>2193</v>
      </c>
      <c r="F4587" s="17"/>
      <c r="G4587" s="18" t="n">
        <v>565.83</v>
      </c>
      <c r="H4587" s="18" t="n">
        <v>0</v>
      </c>
      <c r="I4587" s="18" t="n">
        <f aca="false">((I4586 + G4587) - H4587)</f>
        <v>37803.19</v>
      </c>
      <c r="J4587" s="18" t="n">
        <v>0</v>
      </c>
      <c r="K4587" s="19" t="n">
        <v>0</v>
      </c>
      <c r="L4587" s="17" t="s">
        <v>1406</v>
      </c>
    </row>
    <row r="4588" s="11" customFormat="true" ht="10.95" hidden="false" customHeight="true" outlineLevel="0" collapsed="false">
      <c r="A4588" s="16" t="n">
        <v>45294</v>
      </c>
      <c r="B4588" s="17" t="s">
        <v>2192</v>
      </c>
      <c r="C4588" s="17" t="s">
        <v>1593</v>
      </c>
      <c r="D4588" s="17" t="s">
        <v>1391</v>
      </c>
      <c r="E4588" s="17" t="s">
        <v>2429</v>
      </c>
      <c r="F4588" s="17" t="s">
        <v>2430</v>
      </c>
      <c r="G4588" s="18" t="n">
        <v>179</v>
      </c>
      <c r="H4588" s="18" t="n">
        <v>0</v>
      </c>
      <c r="I4588" s="18" t="n">
        <f aca="false">((I4587 + G4588) - H4588)</f>
        <v>37982.19</v>
      </c>
      <c r="J4588" s="18" t="n">
        <v>0</v>
      </c>
      <c r="K4588" s="19" t="n">
        <v>0</v>
      </c>
      <c r="L4588" s="17" t="s">
        <v>1406</v>
      </c>
    </row>
    <row r="4589" s="11" customFormat="true" ht="10.95" hidden="false" customHeight="true" outlineLevel="0" collapsed="false">
      <c r="A4589" s="16" t="n">
        <v>45294</v>
      </c>
      <c r="B4589" s="17" t="s">
        <v>2192</v>
      </c>
      <c r="C4589" s="17" t="s">
        <v>1593</v>
      </c>
      <c r="D4589" s="17" t="s">
        <v>1391</v>
      </c>
      <c r="E4589" s="17" t="s">
        <v>2431</v>
      </c>
      <c r="F4589" s="17" t="s">
        <v>2432</v>
      </c>
      <c r="G4589" s="18" t="n">
        <v>248</v>
      </c>
      <c r="H4589" s="18" t="n">
        <v>0</v>
      </c>
      <c r="I4589" s="18" t="n">
        <f aca="false">((I4588 + G4589) - H4589)</f>
        <v>38230.19</v>
      </c>
      <c r="J4589" s="18" t="n">
        <v>0</v>
      </c>
      <c r="K4589" s="19" t="n">
        <v>0</v>
      </c>
      <c r="L4589" s="17" t="s">
        <v>1406</v>
      </c>
    </row>
    <row r="4590" s="11" customFormat="true" ht="10.95" hidden="false" customHeight="true" outlineLevel="0" collapsed="false">
      <c r="A4590" s="16" t="n">
        <v>45296</v>
      </c>
      <c r="B4590" s="17" t="s">
        <v>2192</v>
      </c>
      <c r="C4590" s="17" t="s">
        <v>1593</v>
      </c>
      <c r="D4590" s="17" t="s">
        <v>1407</v>
      </c>
      <c r="E4590" s="17" t="s">
        <v>2196</v>
      </c>
      <c r="F4590" s="17"/>
      <c r="G4590" s="18" t="n">
        <v>17.32</v>
      </c>
      <c r="H4590" s="18" t="n">
        <v>0</v>
      </c>
      <c r="I4590" s="18" t="n">
        <f aca="false">((I4589 + G4590) - H4590)</f>
        <v>38247.51</v>
      </c>
      <c r="J4590" s="18" t="n">
        <v>0</v>
      </c>
      <c r="K4590" s="19" t="n">
        <v>0</v>
      </c>
      <c r="L4590" s="17" t="s">
        <v>1406</v>
      </c>
    </row>
    <row r="4591" s="11" customFormat="true" ht="10.95" hidden="false" customHeight="true" outlineLevel="0" collapsed="false">
      <c r="A4591" s="16" t="n">
        <v>45296</v>
      </c>
      <c r="B4591" s="17" t="s">
        <v>2192</v>
      </c>
      <c r="C4591" s="17" t="s">
        <v>1593</v>
      </c>
      <c r="D4591" s="17" t="s">
        <v>1407</v>
      </c>
      <c r="E4591" s="17" t="s">
        <v>2433</v>
      </c>
      <c r="F4591" s="17"/>
      <c r="G4591" s="18" t="n">
        <v>2.01</v>
      </c>
      <c r="H4591" s="18" t="n">
        <v>0</v>
      </c>
      <c r="I4591" s="18" t="n">
        <f aca="false">((I4590 + G4591) - H4591)</f>
        <v>38249.52</v>
      </c>
      <c r="J4591" s="18" t="n">
        <v>0</v>
      </c>
      <c r="K4591" s="19" t="n">
        <v>0</v>
      </c>
      <c r="L4591" s="17" t="s">
        <v>1406</v>
      </c>
    </row>
    <row r="4592" s="11" customFormat="true" ht="10.95" hidden="false" customHeight="true" outlineLevel="0" collapsed="false">
      <c r="A4592" s="16" t="n">
        <v>45296</v>
      </c>
      <c r="B4592" s="17" t="s">
        <v>2192</v>
      </c>
      <c r="C4592" s="17" t="s">
        <v>1593</v>
      </c>
      <c r="D4592" s="17" t="s">
        <v>1407</v>
      </c>
      <c r="E4592" s="17" t="s">
        <v>2208</v>
      </c>
      <c r="F4592" s="17"/>
      <c r="G4592" s="18" t="n">
        <v>10.63</v>
      </c>
      <c r="H4592" s="18" t="n">
        <v>0</v>
      </c>
      <c r="I4592" s="18" t="n">
        <f aca="false">((I4591 + G4592) - H4592)</f>
        <v>38260.15</v>
      </c>
      <c r="J4592" s="18" t="n">
        <v>1.06</v>
      </c>
      <c r="K4592" s="19" t="n">
        <v>10</v>
      </c>
      <c r="L4592" s="17" t="s">
        <v>44</v>
      </c>
    </row>
    <row r="4593" s="11" customFormat="true" ht="10.95" hidden="false" customHeight="true" outlineLevel="0" collapsed="false">
      <c r="A4593" s="16" t="n">
        <v>45297</v>
      </c>
      <c r="B4593" s="17" t="s">
        <v>2192</v>
      </c>
      <c r="C4593" s="17" t="s">
        <v>1593</v>
      </c>
      <c r="D4593" s="17" t="s">
        <v>1407</v>
      </c>
      <c r="E4593" s="17" t="s">
        <v>2208</v>
      </c>
      <c r="F4593" s="17"/>
      <c r="G4593" s="18" t="n">
        <v>18.7</v>
      </c>
      <c r="H4593" s="18" t="n">
        <v>0</v>
      </c>
      <c r="I4593" s="18" t="n">
        <f aca="false">((I4592 + G4593) - H4593)</f>
        <v>38278.85</v>
      </c>
      <c r="J4593" s="18" t="n">
        <v>1.87</v>
      </c>
      <c r="K4593" s="19" t="n">
        <v>10</v>
      </c>
      <c r="L4593" s="17" t="s">
        <v>44</v>
      </c>
    </row>
    <row r="4594" s="11" customFormat="true" ht="10.95" hidden="false" customHeight="true" outlineLevel="0" collapsed="false">
      <c r="A4594" s="16" t="n">
        <v>45297</v>
      </c>
      <c r="B4594" s="17" t="s">
        <v>2192</v>
      </c>
      <c r="C4594" s="17" t="s">
        <v>1593</v>
      </c>
      <c r="D4594" s="17" t="s">
        <v>1407</v>
      </c>
      <c r="E4594" s="17" t="s">
        <v>2434</v>
      </c>
      <c r="F4594" s="17"/>
      <c r="G4594" s="18" t="n">
        <v>44</v>
      </c>
      <c r="H4594" s="18" t="n">
        <v>0</v>
      </c>
      <c r="I4594" s="18" t="n">
        <f aca="false">((I4593 + G4594) - H4594)</f>
        <v>38322.85</v>
      </c>
      <c r="J4594" s="18" t="n">
        <v>4.4</v>
      </c>
      <c r="K4594" s="19" t="n">
        <v>10</v>
      </c>
      <c r="L4594" s="17" t="s">
        <v>44</v>
      </c>
    </row>
    <row r="4595" s="11" customFormat="true" ht="10.95" hidden="false" customHeight="true" outlineLevel="0" collapsed="false">
      <c r="A4595" s="16" t="n">
        <v>45297</v>
      </c>
      <c r="B4595" s="17" t="s">
        <v>2192</v>
      </c>
      <c r="C4595" s="17" t="s">
        <v>1593</v>
      </c>
      <c r="D4595" s="17" t="s">
        <v>1391</v>
      </c>
      <c r="E4595" s="17" t="s">
        <v>2435</v>
      </c>
      <c r="F4595" s="17" t="s">
        <v>2436</v>
      </c>
      <c r="G4595" s="18" t="n">
        <v>225.45</v>
      </c>
      <c r="H4595" s="18" t="n">
        <v>0</v>
      </c>
      <c r="I4595" s="18" t="n">
        <f aca="false">((I4594 + G4595) - H4595)</f>
        <v>38548.3</v>
      </c>
      <c r="J4595" s="18" t="n">
        <v>22.55</v>
      </c>
      <c r="K4595" s="19" t="n">
        <v>10</v>
      </c>
      <c r="L4595" s="17" t="s">
        <v>44</v>
      </c>
    </row>
    <row r="4596" s="11" customFormat="true" ht="10.95" hidden="false" customHeight="true" outlineLevel="0" collapsed="false">
      <c r="A4596" s="16" t="n">
        <v>45297</v>
      </c>
      <c r="B4596" s="17" t="s">
        <v>2192</v>
      </c>
      <c r="C4596" s="17" t="s">
        <v>1593</v>
      </c>
      <c r="D4596" s="17" t="s">
        <v>1391</v>
      </c>
      <c r="E4596" s="17" t="s">
        <v>2437</v>
      </c>
      <c r="F4596" s="17" t="s">
        <v>2438</v>
      </c>
      <c r="G4596" s="18" t="n">
        <v>162.73</v>
      </c>
      <c r="H4596" s="18" t="n">
        <v>0</v>
      </c>
      <c r="I4596" s="18" t="n">
        <f aca="false">((I4595 + G4596) - H4596)</f>
        <v>38711.03</v>
      </c>
      <c r="J4596" s="18" t="n">
        <v>16.27</v>
      </c>
      <c r="K4596" s="19" t="n">
        <v>10</v>
      </c>
      <c r="L4596" s="17" t="s">
        <v>44</v>
      </c>
    </row>
    <row r="4597" s="11" customFormat="true" ht="10.95" hidden="false" customHeight="true" outlineLevel="0" collapsed="false">
      <c r="A4597" s="16" t="n">
        <v>45299</v>
      </c>
      <c r="B4597" s="17" t="s">
        <v>2192</v>
      </c>
      <c r="C4597" s="17" t="s">
        <v>1593</v>
      </c>
      <c r="D4597" s="17" t="s">
        <v>1407</v>
      </c>
      <c r="E4597" s="17" t="s">
        <v>2196</v>
      </c>
      <c r="F4597" s="17"/>
      <c r="G4597" s="18" t="n">
        <v>4.47</v>
      </c>
      <c r="H4597" s="18" t="n">
        <v>0</v>
      </c>
      <c r="I4597" s="18" t="n">
        <f aca="false">((I4596 + G4597) - H4597)</f>
        <v>38715.5</v>
      </c>
      <c r="J4597" s="18" t="n">
        <v>0</v>
      </c>
      <c r="K4597" s="19" t="n">
        <v>0</v>
      </c>
      <c r="L4597" s="17" t="s">
        <v>1406</v>
      </c>
    </row>
    <row r="4598" s="11" customFormat="true" ht="10.95" hidden="false" customHeight="true" outlineLevel="0" collapsed="false">
      <c r="A4598" s="16" t="n">
        <v>45300</v>
      </c>
      <c r="B4598" s="17" t="s">
        <v>2192</v>
      </c>
      <c r="C4598" s="17" t="s">
        <v>1593</v>
      </c>
      <c r="D4598" s="17" t="s">
        <v>1407</v>
      </c>
      <c r="E4598" s="17" t="s">
        <v>2439</v>
      </c>
      <c r="F4598" s="17"/>
      <c r="G4598" s="18" t="n">
        <v>43.28</v>
      </c>
      <c r="H4598" s="18" t="n">
        <v>0</v>
      </c>
      <c r="I4598" s="18" t="n">
        <f aca="false">((I4597 + G4598) - H4598)</f>
        <v>38758.78</v>
      </c>
      <c r="J4598" s="18" t="n">
        <v>0</v>
      </c>
      <c r="K4598" s="19" t="n">
        <v>0</v>
      </c>
      <c r="L4598" s="17" t="s">
        <v>1406</v>
      </c>
    </row>
    <row r="4599" s="11" customFormat="true" ht="10.95" hidden="false" customHeight="true" outlineLevel="0" collapsed="false">
      <c r="A4599" s="16" t="n">
        <v>45300</v>
      </c>
      <c r="B4599" s="17" t="s">
        <v>2192</v>
      </c>
      <c r="C4599" s="17" t="s">
        <v>1593</v>
      </c>
      <c r="D4599" s="17" t="s">
        <v>1407</v>
      </c>
      <c r="E4599" s="17" t="s">
        <v>2298</v>
      </c>
      <c r="F4599" s="17"/>
      <c r="G4599" s="18" t="n">
        <v>65</v>
      </c>
      <c r="H4599" s="18" t="n">
        <v>0</v>
      </c>
      <c r="I4599" s="18" t="n">
        <f aca="false">((I4598 + G4599) - H4599)</f>
        <v>38823.78</v>
      </c>
      <c r="J4599" s="18" t="n">
        <v>6.5</v>
      </c>
      <c r="K4599" s="19" t="n">
        <v>10</v>
      </c>
      <c r="L4599" s="17" t="s">
        <v>44</v>
      </c>
    </row>
    <row r="4600" s="11" customFormat="true" ht="10.95" hidden="false" customHeight="true" outlineLevel="0" collapsed="false">
      <c r="A4600" s="16" t="n">
        <v>45302</v>
      </c>
      <c r="B4600" s="17" t="s">
        <v>2192</v>
      </c>
      <c r="C4600" s="17" t="s">
        <v>1593</v>
      </c>
      <c r="D4600" s="17" t="s">
        <v>1391</v>
      </c>
      <c r="E4600" s="17" t="s">
        <v>2440</v>
      </c>
      <c r="F4600" s="17" t="s">
        <v>2441</v>
      </c>
      <c r="G4600" s="18" t="n">
        <v>447.04</v>
      </c>
      <c r="H4600" s="18" t="n">
        <v>0</v>
      </c>
      <c r="I4600" s="18" t="n">
        <f aca="false">((I4599 + G4600) - H4600)</f>
        <v>39270.82</v>
      </c>
      <c r="J4600" s="18" t="n">
        <v>0</v>
      </c>
      <c r="K4600" s="19" t="n">
        <v>0</v>
      </c>
      <c r="L4600" s="17" t="s">
        <v>1406</v>
      </c>
    </row>
    <row r="4601" s="11" customFormat="true" ht="10.95" hidden="false" customHeight="true" outlineLevel="0" collapsed="false">
      <c r="A4601" s="16" t="n">
        <v>45303</v>
      </c>
      <c r="B4601" s="17" t="s">
        <v>2192</v>
      </c>
      <c r="C4601" s="17" t="s">
        <v>1593</v>
      </c>
      <c r="D4601" s="17" t="s">
        <v>1407</v>
      </c>
      <c r="E4601" s="17" t="s">
        <v>2196</v>
      </c>
      <c r="F4601" s="17"/>
      <c r="G4601" s="18" t="n">
        <v>4.47</v>
      </c>
      <c r="H4601" s="18" t="n">
        <v>0</v>
      </c>
      <c r="I4601" s="18" t="n">
        <f aca="false">((I4600 + G4601) - H4601)</f>
        <v>39275.29</v>
      </c>
      <c r="J4601" s="18" t="n">
        <v>0</v>
      </c>
      <c r="K4601" s="19" t="n">
        <v>0</v>
      </c>
      <c r="L4601" s="17" t="s">
        <v>1406</v>
      </c>
    </row>
    <row r="4602" s="11" customFormat="true" ht="10.95" hidden="false" customHeight="true" outlineLevel="0" collapsed="false">
      <c r="A4602" s="16" t="n">
        <v>45304</v>
      </c>
      <c r="B4602" s="17" t="s">
        <v>2192</v>
      </c>
      <c r="C4602" s="17" t="s">
        <v>1593</v>
      </c>
      <c r="D4602" s="17" t="s">
        <v>1407</v>
      </c>
      <c r="E4602" s="17" t="s">
        <v>2196</v>
      </c>
      <c r="F4602" s="17"/>
      <c r="G4602" s="18" t="n">
        <v>1.48</v>
      </c>
      <c r="H4602" s="18" t="n">
        <v>0</v>
      </c>
      <c r="I4602" s="18" t="n">
        <f aca="false">((I4601 + G4602) - H4602)</f>
        <v>39276.77</v>
      </c>
      <c r="J4602" s="18" t="n">
        <v>0</v>
      </c>
      <c r="K4602" s="19" t="n">
        <v>0</v>
      </c>
      <c r="L4602" s="17" t="s">
        <v>1406</v>
      </c>
    </row>
    <row r="4603" s="11" customFormat="true" ht="10.95" hidden="false" customHeight="true" outlineLevel="0" collapsed="false">
      <c r="A4603" s="16" t="n">
        <v>45307</v>
      </c>
      <c r="B4603" s="17" t="s">
        <v>2192</v>
      </c>
      <c r="C4603" s="17" t="s">
        <v>1593</v>
      </c>
      <c r="D4603" s="17" t="s">
        <v>1407</v>
      </c>
      <c r="E4603" s="17" t="s">
        <v>2193</v>
      </c>
      <c r="F4603" s="17"/>
      <c r="G4603" s="18" t="n">
        <v>158.1</v>
      </c>
      <c r="H4603" s="18" t="n">
        <v>0</v>
      </c>
      <c r="I4603" s="18" t="n">
        <f aca="false">((I4602 + G4603) - H4603)</f>
        <v>39434.87</v>
      </c>
      <c r="J4603" s="18" t="n">
        <v>0</v>
      </c>
      <c r="K4603" s="19" t="n">
        <v>0</v>
      </c>
      <c r="L4603" s="17" t="s">
        <v>1406</v>
      </c>
    </row>
    <row r="4604" s="11" customFormat="true" ht="10.95" hidden="false" customHeight="true" outlineLevel="0" collapsed="false">
      <c r="A4604" s="16" t="n">
        <v>45309</v>
      </c>
      <c r="B4604" s="17" t="s">
        <v>2192</v>
      </c>
      <c r="C4604" s="17" t="s">
        <v>1593</v>
      </c>
      <c r="D4604" s="17" t="s">
        <v>1391</v>
      </c>
      <c r="E4604" s="17" t="s">
        <v>2442</v>
      </c>
      <c r="F4604" s="17" t="s">
        <v>2443</v>
      </c>
      <c r="G4604" s="18" t="n">
        <v>199.8</v>
      </c>
      <c r="H4604" s="18" t="n">
        <v>0</v>
      </c>
      <c r="I4604" s="18" t="n">
        <f aca="false">((I4603 + G4604) - H4604)</f>
        <v>39634.67</v>
      </c>
      <c r="J4604" s="18" t="n">
        <v>19.98</v>
      </c>
      <c r="K4604" s="19" t="n">
        <v>10</v>
      </c>
      <c r="L4604" s="17" t="s">
        <v>44</v>
      </c>
    </row>
    <row r="4605" s="11" customFormat="true" ht="10.95" hidden="false" customHeight="true" outlineLevel="0" collapsed="false">
      <c r="A4605" s="16" t="n">
        <v>45309</v>
      </c>
      <c r="B4605" s="17" t="s">
        <v>2192</v>
      </c>
      <c r="C4605" s="17" t="s">
        <v>1593</v>
      </c>
      <c r="D4605" s="17" t="s">
        <v>1391</v>
      </c>
      <c r="E4605" s="17" t="s">
        <v>2444</v>
      </c>
      <c r="F4605" s="17" t="s">
        <v>2445</v>
      </c>
      <c r="G4605" s="18" t="n">
        <v>55</v>
      </c>
      <c r="H4605" s="18" t="n">
        <v>0</v>
      </c>
      <c r="I4605" s="18" t="n">
        <f aca="false">((I4604 + G4605) - H4605)</f>
        <v>39689.67</v>
      </c>
      <c r="J4605" s="18" t="n">
        <v>5.5</v>
      </c>
      <c r="K4605" s="19" t="n">
        <v>10</v>
      </c>
      <c r="L4605" s="17" t="s">
        <v>44</v>
      </c>
    </row>
    <row r="4606" s="11" customFormat="true" ht="10.95" hidden="false" customHeight="true" outlineLevel="0" collapsed="false">
      <c r="A4606" s="16" t="n">
        <v>45309</v>
      </c>
      <c r="B4606" s="17" t="s">
        <v>2192</v>
      </c>
      <c r="C4606" s="17" t="s">
        <v>1593</v>
      </c>
      <c r="D4606" s="17" t="s">
        <v>1391</v>
      </c>
      <c r="E4606" s="17" t="s">
        <v>2446</v>
      </c>
      <c r="F4606" s="17" t="s">
        <v>2447</v>
      </c>
      <c r="G4606" s="18" t="n">
        <v>76</v>
      </c>
      <c r="H4606" s="18" t="n">
        <v>0</v>
      </c>
      <c r="I4606" s="18" t="n">
        <f aca="false">((I4605 + G4606) - H4606)</f>
        <v>39765.67</v>
      </c>
      <c r="J4606" s="18" t="n">
        <v>7.6</v>
      </c>
      <c r="K4606" s="19" t="n">
        <v>10</v>
      </c>
      <c r="L4606" s="17" t="s">
        <v>44</v>
      </c>
    </row>
    <row r="4607" s="11" customFormat="true" ht="10.95" hidden="false" customHeight="true" outlineLevel="0" collapsed="false">
      <c r="A4607" s="16" t="n">
        <v>45309</v>
      </c>
      <c r="B4607" s="17" t="s">
        <v>2192</v>
      </c>
      <c r="C4607" s="17" t="s">
        <v>1593</v>
      </c>
      <c r="D4607" s="17" t="s">
        <v>1391</v>
      </c>
      <c r="E4607" s="17" t="s">
        <v>2448</v>
      </c>
      <c r="F4607" s="17" t="s">
        <v>2449</v>
      </c>
      <c r="G4607" s="18" t="n">
        <v>41.2</v>
      </c>
      <c r="H4607" s="18" t="n">
        <v>0</v>
      </c>
      <c r="I4607" s="18" t="n">
        <f aca="false">((I4606 + G4607) - H4607)</f>
        <v>39806.87</v>
      </c>
      <c r="J4607" s="18" t="n">
        <v>4.12</v>
      </c>
      <c r="K4607" s="19" t="n">
        <v>10</v>
      </c>
      <c r="L4607" s="17" t="s">
        <v>44</v>
      </c>
    </row>
    <row r="4608" s="11" customFormat="true" ht="10.95" hidden="false" customHeight="true" outlineLevel="0" collapsed="false">
      <c r="A4608" s="16" t="n">
        <v>45309</v>
      </c>
      <c r="B4608" s="17" t="s">
        <v>2192</v>
      </c>
      <c r="C4608" s="17" t="s">
        <v>1593</v>
      </c>
      <c r="D4608" s="17" t="s">
        <v>1391</v>
      </c>
      <c r="E4608" s="17" t="s">
        <v>2450</v>
      </c>
      <c r="F4608" s="17" t="s">
        <v>2451</v>
      </c>
      <c r="G4608" s="18" t="n">
        <v>8.2</v>
      </c>
      <c r="H4608" s="18" t="n">
        <v>0</v>
      </c>
      <c r="I4608" s="18" t="n">
        <f aca="false">((I4607 + G4608) - H4608)</f>
        <v>39815.07</v>
      </c>
      <c r="J4608" s="18" t="n">
        <v>0.82</v>
      </c>
      <c r="K4608" s="19" t="n">
        <v>10</v>
      </c>
      <c r="L4608" s="17" t="s">
        <v>44</v>
      </c>
    </row>
    <row r="4609" s="11" customFormat="true" ht="10.95" hidden="false" customHeight="true" outlineLevel="0" collapsed="false">
      <c r="A4609" s="16" t="n">
        <v>45309</v>
      </c>
      <c r="B4609" s="17" t="s">
        <v>2192</v>
      </c>
      <c r="C4609" s="17" t="s">
        <v>1593</v>
      </c>
      <c r="D4609" s="17" t="s">
        <v>1391</v>
      </c>
      <c r="E4609" s="17" t="s">
        <v>2452</v>
      </c>
      <c r="F4609" s="17" t="s">
        <v>2453</v>
      </c>
      <c r="G4609" s="18" t="n">
        <v>32.9</v>
      </c>
      <c r="H4609" s="18" t="n">
        <v>0</v>
      </c>
      <c r="I4609" s="18" t="n">
        <f aca="false">((I4608 + G4609) - H4609)</f>
        <v>39847.97</v>
      </c>
      <c r="J4609" s="18" t="n">
        <v>3.29</v>
      </c>
      <c r="K4609" s="19" t="n">
        <v>10</v>
      </c>
      <c r="L4609" s="17" t="s">
        <v>44</v>
      </c>
    </row>
    <row r="4610" s="11" customFormat="true" ht="10.95" hidden="false" customHeight="true" outlineLevel="0" collapsed="false">
      <c r="A4610" s="16" t="n">
        <v>45309</v>
      </c>
      <c r="B4610" s="17" t="s">
        <v>2192</v>
      </c>
      <c r="C4610" s="17" t="s">
        <v>1593</v>
      </c>
      <c r="D4610" s="17" t="s">
        <v>1391</v>
      </c>
      <c r="E4610" s="17" t="s">
        <v>2454</v>
      </c>
      <c r="F4610" s="17" t="s">
        <v>2455</v>
      </c>
      <c r="G4610" s="18" t="n">
        <v>62</v>
      </c>
      <c r="H4610" s="18" t="n">
        <v>0</v>
      </c>
      <c r="I4610" s="18" t="n">
        <f aca="false">((I4609 + G4610) - H4610)</f>
        <v>39909.97</v>
      </c>
      <c r="J4610" s="18" t="n">
        <v>6.2</v>
      </c>
      <c r="K4610" s="19" t="n">
        <v>10</v>
      </c>
      <c r="L4610" s="17" t="s">
        <v>44</v>
      </c>
    </row>
    <row r="4611" s="11" customFormat="true" ht="10.95" hidden="false" customHeight="true" outlineLevel="0" collapsed="false">
      <c r="A4611" s="16" t="n">
        <v>45309</v>
      </c>
      <c r="B4611" s="17" t="s">
        <v>2192</v>
      </c>
      <c r="C4611" s="17" t="s">
        <v>1593</v>
      </c>
      <c r="D4611" s="17" t="s">
        <v>1391</v>
      </c>
      <c r="E4611" s="17" t="s">
        <v>2456</v>
      </c>
      <c r="F4611" s="17" t="s">
        <v>2457</v>
      </c>
      <c r="G4611" s="18" t="n">
        <v>22</v>
      </c>
      <c r="H4611" s="18" t="n">
        <v>0</v>
      </c>
      <c r="I4611" s="18" t="n">
        <f aca="false">((I4610 + G4611) - H4611)</f>
        <v>39931.97</v>
      </c>
      <c r="J4611" s="18" t="n">
        <v>2.2</v>
      </c>
      <c r="K4611" s="19" t="n">
        <v>10</v>
      </c>
      <c r="L4611" s="17" t="s">
        <v>44</v>
      </c>
    </row>
    <row r="4612" s="11" customFormat="true" ht="10.95" hidden="false" customHeight="true" outlineLevel="0" collapsed="false">
      <c r="A4612" s="16" t="n">
        <v>45309</v>
      </c>
      <c r="B4612" s="17" t="s">
        <v>2192</v>
      </c>
      <c r="C4612" s="17" t="s">
        <v>1593</v>
      </c>
      <c r="D4612" s="17" t="s">
        <v>1407</v>
      </c>
      <c r="E4612" s="17" t="s">
        <v>2216</v>
      </c>
      <c r="F4612" s="17"/>
      <c r="G4612" s="18" t="n">
        <v>15.45</v>
      </c>
      <c r="H4612" s="18" t="n">
        <v>0</v>
      </c>
      <c r="I4612" s="18" t="n">
        <f aca="false">((I4611 + G4612) - H4612)</f>
        <v>39947.42</v>
      </c>
      <c r="J4612" s="18" t="n">
        <v>1.54</v>
      </c>
      <c r="K4612" s="19" t="n">
        <v>10</v>
      </c>
      <c r="L4612" s="17" t="s">
        <v>44</v>
      </c>
    </row>
    <row r="4613" s="11" customFormat="true" ht="10.95" hidden="false" customHeight="true" outlineLevel="0" collapsed="false">
      <c r="A4613" s="16" t="n">
        <v>45309</v>
      </c>
      <c r="B4613" s="17" t="s">
        <v>2192</v>
      </c>
      <c r="C4613" s="17" t="s">
        <v>1593</v>
      </c>
      <c r="D4613" s="17" t="s">
        <v>1407</v>
      </c>
      <c r="E4613" s="17" t="s">
        <v>2234</v>
      </c>
      <c r="F4613" s="17"/>
      <c r="G4613" s="18" t="n">
        <v>73.41</v>
      </c>
      <c r="H4613" s="18" t="n">
        <v>0</v>
      </c>
      <c r="I4613" s="18" t="n">
        <f aca="false">((I4612 + G4613) - H4613)</f>
        <v>40020.83</v>
      </c>
      <c r="J4613" s="18" t="n">
        <v>7.34</v>
      </c>
      <c r="K4613" s="19" t="n">
        <v>10</v>
      </c>
      <c r="L4613" s="17" t="s">
        <v>44</v>
      </c>
    </row>
    <row r="4614" s="11" customFormat="true" ht="10.95" hidden="false" customHeight="true" outlineLevel="0" collapsed="false">
      <c r="A4614" s="16" t="n">
        <v>45309</v>
      </c>
      <c r="B4614" s="17" t="s">
        <v>2192</v>
      </c>
      <c r="C4614" s="17" t="s">
        <v>1593</v>
      </c>
      <c r="D4614" s="17" t="s">
        <v>1407</v>
      </c>
      <c r="E4614" s="17" t="s">
        <v>1580</v>
      </c>
      <c r="F4614" s="17"/>
      <c r="G4614" s="18" t="n">
        <v>247.73</v>
      </c>
      <c r="H4614" s="18" t="n">
        <v>0</v>
      </c>
      <c r="I4614" s="18" t="n">
        <f aca="false">((I4613 + G4614) - H4614)</f>
        <v>40268.56</v>
      </c>
      <c r="J4614" s="18" t="n">
        <v>24.77</v>
      </c>
      <c r="K4614" s="19" t="n">
        <v>10</v>
      </c>
      <c r="L4614" s="17" t="s">
        <v>44</v>
      </c>
    </row>
    <row r="4615" s="11" customFormat="true" ht="10.95" hidden="false" customHeight="true" outlineLevel="0" collapsed="false">
      <c r="A4615" s="16" t="n">
        <v>45309</v>
      </c>
      <c r="B4615" s="17" t="s">
        <v>2192</v>
      </c>
      <c r="C4615" s="17" t="s">
        <v>1593</v>
      </c>
      <c r="D4615" s="17" t="s">
        <v>1407</v>
      </c>
      <c r="E4615" s="17" t="s">
        <v>2196</v>
      </c>
      <c r="F4615" s="17"/>
      <c r="G4615" s="18" t="n">
        <v>18.74</v>
      </c>
      <c r="H4615" s="18" t="n">
        <v>0</v>
      </c>
      <c r="I4615" s="18" t="n">
        <f aca="false">((I4614 + G4615) - H4615)</f>
        <v>40287.3</v>
      </c>
      <c r="J4615" s="18" t="n">
        <v>0</v>
      </c>
      <c r="K4615" s="19" t="n">
        <v>0</v>
      </c>
      <c r="L4615" s="17" t="s">
        <v>1406</v>
      </c>
    </row>
    <row r="4616" s="11" customFormat="true" ht="10.95" hidden="false" customHeight="true" outlineLevel="0" collapsed="false">
      <c r="A4616" s="16" t="n">
        <v>45309</v>
      </c>
      <c r="B4616" s="17" t="s">
        <v>2192</v>
      </c>
      <c r="C4616" s="17" t="s">
        <v>1593</v>
      </c>
      <c r="D4616" s="17" t="s">
        <v>1407</v>
      </c>
      <c r="E4616" s="17" t="s">
        <v>2196</v>
      </c>
      <c r="F4616" s="17"/>
      <c r="G4616" s="18" t="n">
        <v>33.55</v>
      </c>
      <c r="H4616" s="18" t="n">
        <v>0</v>
      </c>
      <c r="I4616" s="18" t="n">
        <f aca="false">((I4615 + G4616) - H4616)</f>
        <v>40320.85</v>
      </c>
      <c r="J4616" s="18" t="n">
        <v>0</v>
      </c>
      <c r="K4616" s="19" t="n">
        <v>0</v>
      </c>
      <c r="L4616" s="17" t="s">
        <v>1406</v>
      </c>
    </row>
    <row r="4617" s="11" customFormat="true" ht="10.95" hidden="false" customHeight="true" outlineLevel="0" collapsed="false">
      <c r="A4617" s="16" t="n">
        <v>45311</v>
      </c>
      <c r="B4617" s="17" t="s">
        <v>2192</v>
      </c>
      <c r="C4617" s="17" t="s">
        <v>1593</v>
      </c>
      <c r="D4617" s="17" t="s">
        <v>1391</v>
      </c>
      <c r="E4617" s="17" t="s">
        <v>2458</v>
      </c>
      <c r="F4617" s="17" t="s">
        <v>2459</v>
      </c>
      <c r="G4617" s="18" t="n">
        <v>88.18</v>
      </c>
      <c r="H4617" s="18" t="n">
        <v>0</v>
      </c>
      <c r="I4617" s="18" t="n">
        <f aca="false">((I4616 + G4617) - H4617)</f>
        <v>40409.03</v>
      </c>
      <c r="J4617" s="18" t="n">
        <v>8.82</v>
      </c>
      <c r="K4617" s="19" t="n">
        <v>10</v>
      </c>
      <c r="L4617" s="17" t="s">
        <v>44</v>
      </c>
    </row>
    <row r="4618" s="11" customFormat="true" ht="10.95" hidden="false" customHeight="true" outlineLevel="0" collapsed="false">
      <c r="A4618" s="16" t="n">
        <v>45313</v>
      </c>
      <c r="B4618" s="17" t="s">
        <v>2192</v>
      </c>
      <c r="C4618" s="17" t="s">
        <v>1593</v>
      </c>
      <c r="D4618" s="17" t="s">
        <v>1407</v>
      </c>
      <c r="E4618" s="17" t="s">
        <v>2196</v>
      </c>
      <c r="F4618" s="17"/>
      <c r="G4618" s="18" t="n">
        <v>62.6</v>
      </c>
      <c r="H4618" s="18" t="n">
        <v>0</v>
      </c>
      <c r="I4618" s="18" t="n">
        <f aca="false">((I4617 + G4618) - H4618)</f>
        <v>40471.63</v>
      </c>
      <c r="J4618" s="18" t="n">
        <v>0</v>
      </c>
      <c r="K4618" s="19" t="n">
        <v>0</v>
      </c>
      <c r="L4618" s="17" t="s">
        <v>1406</v>
      </c>
    </row>
    <row r="4619" s="11" customFormat="true" ht="10.95" hidden="false" customHeight="true" outlineLevel="0" collapsed="false">
      <c r="A4619" s="16" t="n">
        <v>45313</v>
      </c>
      <c r="B4619" s="17" t="s">
        <v>2192</v>
      </c>
      <c r="C4619" s="17" t="s">
        <v>1593</v>
      </c>
      <c r="D4619" s="17" t="s">
        <v>1391</v>
      </c>
      <c r="E4619" s="17" t="s">
        <v>2460</v>
      </c>
      <c r="F4619" s="17" t="s">
        <v>2461</v>
      </c>
      <c r="G4619" s="18" t="n">
        <v>257.94</v>
      </c>
      <c r="H4619" s="18" t="n">
        <v>0</v>
      </c>
      <c r="I4619" s="18" t="n">
        <f aca="false">((I4618 + G4619) - H4619)</f>
        <v>40729.57</v>
      </c>
      <c r="J4619" s="18" t="n">
        <v>25.79</v>
      </c>
      <c r="K4619" s="19" t="n">
        <v>10</v>
      </c>
      <c r="L4619" s="17" t="s">
        <v>44</v>
      </c>
    </row>
    <row r="4620" s="11" customFormat="true" ht="10.95" hidden="false" customHeight="true" outlineLevel="0" collapsed="false">
      <c r="A4620" s="16" t="n">
        <v>45314</v>
      </c>
      <c r="B4620" s="17" t="s">
        <v>2192</v>
      </c>
      <c r="C4620" s="17" t="s">
        <v>1593</v>
      </c>
      <c r="D4620" s="17" t="s">
        <v>1407</v>
      </c>
      <c r="E4620" s="17" t="s">
        <v>2201</v>
      </c>
      <c r="F4620" s="17"/>
      <c r="G4620" s="18" t="n">
        <v>36.35</v>
      </c>
      <c r="H4620" s="18" t="n">
        <v>0</v>
      </c>
      <c r="I4620" s="18" t="n">
        <f aca="false">((I4619 + G4620) - H4620)</f>
        <v>40765.92</v>
      </c>
      <c r="J4620" s="18" t="n">
        <v>3.64</v>
      </c>
      <c r="K4620" s="19" t="n">
        <v>10</v>
      </c>
      <c r="L4620" s="17" t="s">
        <v>44</v>
      </c>
    </row>
    <row r="4621" s="11" customFormat="true" ht="10.95" hidden="false" customHeight="true" outlineLevel="0" collapsed="false">
      <c r="A4621" s="16" t="n">
        <v>45314</v>
      </c>
      <c r="B4621" s="17" t="s">
        <v>2192</v>
      </c>
      <c r="C4621" s="17" t="s">
        <v>1593</v>
      </c>
      <c r="D4621" s="17" t="s">
        <v>1407</v>
      </c>
      <c r="E4621" s="17" t="s">
        <v>2238</v>
      </c>
      <c r="F4621" s="17"/>
      <c r="G4621" s="18" t="n">
        <v>30.66</v>
      </c>
      <c r="H4621" s="18" t="n">
        <v>0</v>
      </c>
      <c r="I4621" s="18" t="n">
        <f aca="false">((I4620 + G4621) - H4621)</f>
        <v>40796.58</v>
      </c>
      <c r="J4621" s="18" t="n">
        <v>0</v>
      </c>
      <c r="K4621" s="19" t="n">
        <v>0</v>
      </c>
      <c r="L4621" s="17" t="s">
        <v>1406</v>
      </c>
    </row>
    <row r="4622" s="11" customFormat="true" ht="10.95" hidden="false" customHeight="true" outlineLevel="0" collapsed="false">
      <c r="A4622" s="16" t="n">
        <v>45314</v>
      </c>
      <c r="B4622" s="17" t="s">
        <v>2192</v>
      </c>
      <c r="C4622" s="17" t="s">
        <v>1593</v>
      </c>
      <c r="D4622" s="17" t="s">
        <v>1407</v>
      </c>
      <c r="E4622" s="17" t="s">
        <v>2462</v>
      </c>
      <c r="F4622" s="17"/>
      <c r="G4622" s="18" t="n">
        <v>12.18</v>
      </c>
      <c r="H4622" s="18" t="n">
        <v>0</v>
      </c>
      <c r="I4622" s="18" t="n">
        <f aca="false">((I4621 + G4622) - H4622)</f>
        <v>40808.76</v>
      </c>
      <c r="J4622" s="18" t="n">
        <v>0</v>
      </c>
      <c r="K4622" s="19" t="n">
        <v>0</v>
      </c>
      <c r="L4622" s="17" t="s">
        <v>1406</v>
      </c>
    </row>
    <row r="4623" s="11" customFormat="true" ht="10.95" hidden="false" customHeight="true" outlineLevel="0" collapsed="false">
      <c r="A4623" s="16" t="n">
        <v>45315</v>
      </c>
      <c r="B4623" s="17" t="s">
        <v>2192</v>
      </c>
      <c r="C4623" s="17" t="s">
        <v>1593</v>
      </c>
      <c r="D4623" s="17" t="s">
        <v>1407</v>
      </c>
      <c r="E4623" s="17" t="s">
        <v>2463</v>
      </c>
      <c r="F4623" s="17"/>
      <c r="G4623" s="18" t="n">
        <v>177.25</v>
      </c>
      <c r="H4623" s="18" t="n">
        <v>0</v>
      </c>
      <c r="I4623" s="18" t="n">
        <f aca="false">((I4622 + G4623) - H4623)</f>
        <v>40986.01</v>
      </c>
      <c r="J4623" s="18" t="n">
        <v>0</v>
      </c>
      <c r="K4623" s="19" t="n">
        <v>0</v>
      </c>
      <c r="L4623" s="17" t="s">
        <v>1406</v>
      </c>
    </row>
    <row r="4624" s="11" customFormat="true" ht="10.95" hidden="false" customHeight="true" outlineLevel="0" collapsed="false">
      <c r="A4624" s="16" t="n">
        <v>45315</v>
      </c>
      <c r="B4624" s="17" t="s">
        <v>2192</v>
      </c>
      <c r="C4624" s="17" t="s">
        <v>1593</v>
      </c>
      <c r="D4624" s="17" t="s">
        <v>1407</v>
      </c>
      <c r="E4624" s="17" t="s">
        <v>2462</v>
      </c>
      <c r="F4624" s="17"/>
      <c r="G4624" s="18" t="n">
        <v>12.18</v>
      </c>
      <c r="H4624" s="18" t="n">
        <v>0</v>
      </c>
      <c r="I4624" s="18" t="n">
        <f aca="false">((I4623 + G4624) - H4624)</f>
        <v>40998.19</v>
      </c>
      <c r="J4624" s="18" t="n">
        <v>0</v>
      </c>
      <c r="K4624" s="19" t="n">
        <v>0</v>
      </c>
      <c r="L4624" s="17" t="s">
        <v>1406</v>
      </c>
    </row>
    <row r="4625" s="11" customFormat="true" ht="10.95" hidden="false" customHeight="true" outlineLevel="0" collapsed="false">
      <c r="A4625" s="16" t="n">
        <v>45316</v>
      </c>
      <c r="B4625" s="17" t="s">
        <v>2192</v>
      </c>
      <c r="C4625" s="17" t="s">
        <v>1593</v>
      </c>
      <c r="D4625" s="17" t="s">
        <v>1407</v>
      </c>
      <c r="E4625" s="17" t="s">
        <v>2196</v>
      </c>
      <c r="F4625" s="17"/>
      <c r="G4625" s="18" t="n">
        <v>20.06</v>
      </c>
      <c r="H4625" s="18" t="n">
        <v>0</v>
      </c>
      <c r="I4625" s="18" t="n">
        <f aca="false">((I4624 + G4625) - H4625)</f>
        <v>41018.25</v>
      </c>
      <c r="J4625" s="18" t="n">
        <v>0</v>
      </c>
      <c r="K4625" s="19" t="n">
        <v>0</v>
      </c>
      <c r="L4625" s="17" t="s">
        <v>1406</v>
      </c>
    </row>
    <row r="4626" s="11" customFormat="true" ht="10.95" hidden="false" customHeight="true" outlineLevel="0" collapsed="false">
      <c r="A4626" s="16" t="n">
        <v>45316</v>
      </c>
      <c r="B4626" s="17" t="s">
        <v>2192</v>
      </c>
      <c r="C4626" s="17" t="s">
        <v>1593</v>
      </c>
      <c r="D4626" s="17" t="s">
        <v>1407</v>
      </c>
      <c r="E4626" s="17" t="s">
        <v>2464</v>
      </c>
      <c r="F4626" s="17"/>
      <c r="G4626" s="18" t="n">
        <v>49</v>
      </c>
      <c r="H4626" s="18" t="n">
        <v>0</v>
      </c>
      <c r="I4626" s="18" t="n">
        <f aca="false">((I4625 + G4626) - H4626)</f>
        <v>41067.25</v>
      </c>
      <c r="J4626" s="18" t="n">
        <v>0</v>
      </c>
      <c r="K4626" s="19" t="n">
        <v>0</v>
      </c>
      <c r="L4626" s="17" t="s">
        <v>1406</v>
      </c>
    </row>
    <row r="4627" s="11" customFormat="true" ht="10.95" hidden="false" customHeight="true" outlineLevel="0" collapsed="false">
      <c r="A4627" s="16" t="n">
        <v>45317</v>
      </c>
      <c r="B4627" s="17" t="s">
        <v>2192</v>
      </c>
      <c r="C4627" s="17" t="s">
        <v>1593</v>
      </c>
      <c r="D4627" s="17" t="s">
        <v>1407</v>
      </c>
      <c r="E4627" s="17" t="s">
        <v>2196</v>
      </c>
      <c r="F4627" s="17"/>
      <c r="G4627" s="18" t="n">
        <v>26.72</v>
      </c>
      <c r="H4627" s="18" t="n">
        <v>0</v>
      </c>
      <c r="I4627" s="18" t="n">
        <f aca="false">((I4626 + G4627) - H4627)</f>
        <v>41093.97</v>
      </c>
      <c r="J4627" s="18" t="n">
        <v>0</v>
      </c>
      <c r="K4627" s="19" t="n">
        <v>0</v>
      </c>
      <c r="L4627" s="17" t="s">
        <v>1406</v>
      </c>
    </row>
    <row r="4628" s="11" customFormat="true" ht="10.95" hidden="false" customHeight="true" outlineLevel="0" collapsed="false">
      <c r="A4628" s="16" t="n">
        <v>45317</v>
      </c>
      <c r="B4628" s="17" t="s">
        <v>2192</v>
      </c>
      <c r="C4628" s="17" t="s">
        <v>1593</v>
      </c>
      <c r="D4628" s="17" t="s">
        <v>1407</v>
      </c>
      <c r="E4628" s="17" t="s">
        <v>2462</v>
      </c>
      <c r="F4628" s="17"/>
      <c r="G4628" s="18" t="n">
        <v>12.17</v>
      </c>
      <c r="H4628" s="18" t="n">
        <v>0</v>
      </c>
      <c r="I4628" s="18" t="n">
        <f aca="false">((I4627 + G4628) - H4628)</f>
        <v>41106.14</v>
      </c>
      <c r="J4628" s="18" t="n">
        <v>0</v>
      </c>
      <c r="K4628" s="19" t="n">
        <v>0</v>
      </c>
      <c r="L4628" s="17" t="s">
        <v>1406</v>
      </c>
    </row>
    <row r="4629" s="11" customFormat="true" ht="10.95" hidden="false" customHeight="true" outlineLevel="0" collapsed="false">
      <c r="A4629" s="16" t="n">
        <v>45318</v>
      </c>
      <c r="B4629" s="17" t="s">
        <v>2192</v>
      </c>
      <c r="C4629" s="17" t="s">
        <v>1593</v>
      </c>
      <c r="D4629" s="17" t="s">
        <v>1407</v>
      </c>
      <c r="E4629" s="17" t="s">
        <v>2196</v>
      </c>
      <c r="F4629" s="17"/>
      <c r="G4629" s="18" t="n">
        <v>22.07</v>
      </c>
      <c r="H4629" s="18" t="n">
        <v>0</v>
      </c>
      <c r="I4629" s="18" t="n">
        <f aca="false">((I4628 + G4629) - H4629)</f>
        <v>41128.21</v>
      </c>
      <c r="J4629" s="18" t="n">
        <v>0</v>
      </c>
      <c r="K4629" s="19" t="n">
        <v>0</v>
      </c>
      <c r="L4629" s="17" t="s">
        <v>1406</v>
      </c>
    </row>
    <row r="4630" s="11" customFormat="true" ht="10.95" hidden="false" customHeight="true" outlineLevel="0" collapsed="false">
      <c r="A4630" s="16" t="n">
        <v>45318</v>
      </c>
      <c r="B4630" s="17" t="s">
        <v>2192</v>
      </c>
      <c r="C4630" s="17" t="s">
        <v>1593</v>
      </c>
      <c r="D4630" s="17" t="s">
        <v>1407</v>
      </c>
      <c r="E4630" s="17" t="s">
        <v>2246</v>
      </c>
      <c r="F4630" s="17"/>
      <c r="G4630" s="18" t="n">
        <v>86.33</v>
      </c>
      <c r="H4630" s="18" t="n">
        <v>0</v>
      </c>
      <c r="I4630" s="18" t="n">
        <f aca="false">((I4629 + G4630) - H4630)</f>
        <v>41214.54</v>
      </c>
      <c r="J4630" s="18" t="n">
        <v>8.63</v>
      </c>
      <c r="K4630" s="19" t="n">
        <v>10</v>
      </c>
      <c r="L4630" s="17" t="s">
        <v>44</v>
      </c>
    </row>
    <row r="4631" s="11" customFormat="true" ht="10.95" hidden="false" customHeight="true" outlineLevel="0" collapsed="false">
      <c r="A4631" s="16" t="n">
        <v>45321</v>
      </c>
      <c r="B4631" s="17" t="s">
        <v>2192</v>
      </c>
      <c r="C4631" s="17" t="s">
        <v>1593</v>
      </c>
      <c r="D4631" s="17" t="s">
        <v>1407</v>
      </c>
      <c r="E4631" s="17" t="s">
        <v>2291</v>
      </c>
      <c r="F4631" s="17"/>
      <c r="G4631" s="18" t="n">
        <v>176.41</v>
      </c>
      <c r="H4631" s="18" t="n">
        <v>0</v>
      </c>
      <c r="I4631" s="18" t="n">
        <f aca="false">((I4630 + G4631) - H4631)</f>
        <v>41390.95</v>
      </c>
      <c r="J4631" s="18" t="n">
        <v>17.64</v>
      </c>
      <c r="K4631" s="19" t="n">
        <v>10</v>
      </c>
      <c r="L4631" s="17" t="s">
        <v>44</v>
      </c>
    </row>
    <row r="4632" s="11" customFormat="true" ht="10.95" hidden="false" customHeight="true" outlineLevel="0" collapsed="false">
      <c r="A4632" s="16" t="n">
        <v>45321</v>
      </c>
      <c r="B4632" s="17" t="s">
        <v>2192</v>
      </c>
      <c r="C4632" s="17" t="s">
        <v>1593</v>
      </c>
      <c r="D4632" s="17" t="s">
        <v>1407</v>
      </c>
      <c r="E4632" s="17" t="s">
        <v>2250</v>
      </c>
      <c r="F4632" s="17"/>
      <c r="G4632" s="18" t="n">
        <v>236.14</v>
      </c>
      <c r="H4632" s="18" t="n">
        <v>0</v>
      </c>
      <c r="I4632" s="18" t="n">
        <f aca="false">((I4631 + G4632) - H4632)</f>
        <v>41627.09</v>
      </c>
      <c r="J4632" s="18" t="n">
        <v>0</v>
      </c>
      <c r="K4632" s="19" t="n">
        <v>0</v>
      </c>
      <c r="L4632" s="17" t="s">
        <v>1406</v>
      </c>
    </row>
    <row r="4633" s="11" customFormat="true" ht="10.95" hidden="false" customHeight="true" outlineLevel="0" collapsed="false">
      <c r="A4633" s="16" t="n">
        <v>45322</v>
      </c>
      <c r="B4633" s="17" t="s">
        <v>2192</v>
      </c>
      <c r="C4633" s="17" t="s">
        <v>1593</v>
      </c>
      <c r="D4633" s="17" t="s">
        <v>1407</v>
      </c>
      <c r="E4633" s="17" t="s">
        <v>2194</v>
      </c>
      <c r="F4633" s="17"/>
      <c r="G4633" s="18" t="n">
        <v>76.73</v>
      </c>
      <c r="H4633" s="18" t="n">
        <v>0</v>
      </c>
      <c r="I4633" s="18" t="n">
        <f aca="false">((I4632 + G4633) - H4633)</f>
        <v>41703.82</v>
      </c>
      <c r="J4633" s="18" t="n">
        <v>0</v>
      </c>
      <c r="K4633" s="19" t="n">
        <v>0</v>
      </c>
      <c r="L4633" s="17" t="s">
        <v>1406</v>
      </c>
    </row>
    <row r="4634" s="11" customFormat="true" ht="10.95" hidden="false" customHeight="true" outlineLevel="0" collapsed="false">
      <c r="A4634" s="16" t="n">
        <v>45322</v>
      </c>
      <c r="B4634" s="17" t="s">
        <v>2192</v>
      </c>
      <c r="C4634" s="17" t="s">
        <v>1593</v>
      </c>
      <c r="D4634" s="17" t="s">
        <v>1407</v>
      </c>
      <c r="E4634" s="17" t="s">
        <v>2251</v>
      </c>
      <c r="F4634" s="17"/>
      <c r="G4634" s="18" t="n">
        <v>75</v>
      </c>
      <c r="H4634" s="18" t="n">
        <v>0</v>
      </c>
      <c r="I4634" s="18" t="n">
        <f aca="false">((I4633 + G4634) - H4634)</f>
        <v>41778.82</v>
      </c>
      <c r="J4634" s="18" t="n">
        <v>7.5</v>
      </c>
      <c r="K4634" s="19" t="n">
        <v>10</v>
      </c>
      <c r="L4634" s="17" t="s">
        <v>44</v>
      </c>
    </row>
    <row r="4635" s="11" customFormat="true" ht="10.95" hidden="false" customHeight="true" outlineLevel="0" collapsed="false">
      <c r="A4635" s="16" t="n">
        <v>45322</v>
      </c>
      <c r="B4635" s="17" t="s">
        <v>2192</v>
      </c>
      <c r="C4635" s="17" t="s">
        <v>1593</v>
      </c>
      <c r="D4635" s="17" t="s">
        <v>1407</v>
      </c>
      <c r="E4635" s="17" t="s">
        <v>2193</v>
      </c>
      <c r="F4635" s="17"/>
      <c r="G4635" s="18" t="n">
        <v>587.11</v>
      </c>
      <c r="H4635" s="18" t="n">
        <v>0</v>
      </c>
      <c r="I4635" s="18" t="n">
        <f aca="false">((I4634 + G4635) - H4635)</f>
        <v>42365.93</v>
      </c>
      <c r="J4635" s="18" t="n">
        <v>0</v>
      </c>
      <c r="K4635" s="19" t="n">
        <v>0</v>
      </c>
      <c r="L4635" s="17" t="s">
        <v>1406</v>
      </c>
    </row>
    <row r="4636" s="11" customFormat="true" ht="10.95" hidden="false" customHeight="true" outlineLevel="0" collapsed="false">
      <c r="A4636" s="16" t="n">
        <v>45323</v>
      </c>
      <c r="B4636" s="17" t="s">
        <v>2192</v>
      </c>
      <c r="C4636" s="17" t="s">
        <v>1593</v>
      </c>
      <c r="D4636" s="17" t="s">
        <v>1407</v>
      </c>
      <c r="E4636" s="17" t="s">
        <v>2196</v>
      </c>
      <c r="F4636" s="17"/>
      <c r="G4636" s="18" t="n">
        <v>22.26</v>
      </c>
      <c r="H4636" s="18" t="n">
        <v>0</v>
      </c>
      <c r="I4636" s="18" t="n">
        <f aca="false">((I4635 + G4636) - H4636)</f>
        <v>42388.19</v>
      </c>
      <c r="J4636" s="18" t="n">
        <v>0</v>
      </c>
      <c r="K4636" s="19" t="n">
        <v>0</v>
      </c>
      <c r="L4636" s="17" t="s">
        <v>1406</v>
      </c>
    </row>
    <row r="4637" s="11" customFormat="true" ht="10.95" hidden="false" customHeight="true" outlineLevel="0" collapsed="false">
      <c r="A4637" s="16" t="n">
        <v>45323</v>
      </c>
      <c r="B4637" s="17" t="s">
        <v>2192</v>
      </c>
      <c r="C4637" s="17" t="s">
        <v>1593</v>
      </c>
      <c r="D4637" s="17" t="s">
        <v>1391</v>
      </c>
      <c r="E4637" s="17" t="s">
        <v>2465</v>
      </c>
      <c r="F4637" s="17" t="s">
        <v>2466</v>
      </c>
      <c r="G4637" s="18" t="n">
        <v>179</v>
      </c>
      <c r="H4637" s="18" t="n">
        <v>0</v>
      </c>
      <c r="I4637" s="18" t="n">
        <f aca="false">((I4636 + G4637) - H4637)</f>
        <v>42567.19</v>
      </c>
      <c r="J4637" s="18" t="n">
        <v>0</v>
      </c>
      <c r="K4637" s="19" t="n">
        <v>0</v>
      </c>
      <c r="L4637" s="17" t="s">
        <v>1406</v>
      </c>
    </row>
    <row r="4638" s="11" customFormat="true" ht="10.95" hidden="false" customHeight="true" outlineLevel="0" collapsed="false">
      <c r="A4638" s="16" t="n">
        <v>45323</v>
      </c>
      <c r="B4638" s="17" t="s">
        <v>2192</v>
      </c>
      <c r="C4638" s="17" t="s">
        <v>1593</v>
      </c>
      <c r="D4638" s="17" t="s">
        <v>1391</v>
      </c>
      <c r="E4638" s="17" t="s">
        <v>2467</v>
      </c>
      <c r="F4638" s="17" t="s">
        <v>2468</v>
      </c>
      <c r="G4638" s="18" t="n">
        <v>248</v>
      </c>
      <c r="H4638" s="18" t="n">
        <v>0</v>
      </c>
      <c r="I4638" s="18" t="n">
        <f aca="false">((I4637 + G4638) - H4638)</f>
        <v>42815.19</v>
      </c>
      <c r="J4638" s="18" t="n">
        <v>0</v>
      </c>
      <c r="K4638" s="19" t="n">
        <v>0</v>
      </c>
      <c r="L4638" s="17" t="s">
        <v>1406</v>
      </c>
    </row>
    <row r="4639" s="11" customFormat="true" ht="10.95" hidden="false" customHeight="true" outlineLevel="0" collapsed="false">
      <c r="A4639" s="16" t="n">
        <v>45324</v>
      </c>
      <c r="B4639" s="17" t="s">
        <v>2192</v>
      </c>
      <c r="C4639" s="17" t="s">
        <v>1593</v>
      </c>
      <c r="D4639" s="17" t="s">
        <v>1407</v>
      </c>
      <c r="E4639" s="17" t="s">
        <v>2196</v>
      </c>
      <c r="F4639" s="17"/>
      <c r="G4639" s="18" t="n">
        <v>50.88</v>
      </c>
      <c r="H4639" s="18" t="n">
        <v>0</v>
      </c>
      <c r="I4639" s="18" t="n">
        <f aca="false">((I4638 + G4639) - H4639)</f>
        <v>42866.07</v>
      </c>
      <c r="J4639" s="18" t="n">
        <v>0</v>
      </c>
      <c r="K4639" s="19" t="n">
        <v>0</v>
      </c>
      <c r="L4639" s="17" t="s">
        <v>1406</v>
      </c>
    </row>
    <row r="4640" s="11" customFormat="true" ht="10.95" hidden="false" customHeight="true" outlineLevel="0" collapsed="false">
      <c r="A4640" s="16" t="n">
        <v>45324</v>
      </c>
      <c r="B4640" s="17" t="s">
        <v>2192</v>
      </c>
      <c r="C4640" s="17" t="s">
        <v>1593</v>
      </c>
      <c r="D4640" s="17" t="s">
        <v>1391</v>
      </c>
      <c r="E4640" s="17" t="s">
        <v>2469</v>
      </c>
      <c r="F4640" s="17" t="s">
        <v>2470</v>
      </c>
      <c r="G4640" s="18" t="n">
        <v>72.84</v>
      </c>
      <c r="H4640" s="18" t="n">
        <v>0</v>
      </c>
      <c r="I4640" s="18" t="n">
        <f aca="false">((I4639 + G4640) - H4640)</f>
        <v>42938.91</v>
      </c>
      <c r="J4640" s="18" t="n">
        <v>7.28</v>
      </c>
      <c r="K4640" s="19" t="n">
        <v>10</v>
      </c>
      <c r="L4640" s="17" t="s">
        <v>44</v>
      </c>
    </row>
    <row r="4641" s="11" customFormat="true" ht="10.95" hidden="false" customHeight="true" outlineLevel="0" collapsed="false">
      <c r="A4641" s="16" t="n">
        <v>45325</v>
      </c>
      <c r="B4641" s="17" t="s">
        <v>2192</v>
      </c>
      <c r="C4641" s="17" t="s">
        <v>1593</v>
      </c>
      <c r="D4641" s="17" t="s">
        <v>1276</v>
      </c>
      <c r="E4641" s="17" t="s">
        <v>2471</v>
      </c>
      <c r="F4641" s="17"/>
      <c r="G4641" s="18" t="n">
        <v>0</v>
      </c>
      <c r="H4641" s="18" t="n">
        <v>233.89</v>
      </c>
      <c r="I4641" s="18" t="n">
        <f aca="false">((I4640 + G4641) - H4641)</f>
        <v>42705.02</v>
      </c>
      <c r="J4641" s="18" t="n">
        <v>0</v>
      </c>
      <c r="K4641" s="19" t="n">
        <v>0</v>
      </c>
      <c r="L4641" s="17" t="s">
        <v>1406</v>
      </c>
    </row>
    <row r="4642" s="11" customFormat="true" ht="10.95" hidden="false" customHeight="true" outlineLevel="0" collapsed="false">
      <c r="A4642" s="16" t="n">
        <v>45325</v>
      </c>
      <c r="B4642" s="17" t="s">
        <v>2192</v>
      </c>
      <c r="C4642" s="17" t="s">
        <v>1593</v>
      </c>
      <c r="D4642" s="17" t="s">
        <v>1407</v>
      </c>
      <c r="E4642" s="17" t="s">
        <v>2201</v>
      </c>
      <c r="F4642" s="17"/>
      <c r="G4642" s="18" t="n">
        <v>36.35</v>
      </c>
      <c r="H4642" s="18" t="n">
        <v>0</v>
      </c>
      <c r="I4642" s="18" t="n">
        <f aca="false">((I4641 + G4642) - H4642)</f>
        <v>42741.37</v>
      </c>
      <c r="J4642" s="18" t="n">
        <v>3.64</v>
      </c>
      <c r="K4642" s="19" t="n">
        <v>10</v>
      </c>
      <c r="L4642" s="17" t="s">
        <v>44</v>
      </c>
    </row>
    <row r="4643" s="11" customFormat="true" ht="10.95" hidden="false" customHeight="true" outlineLevel="0" collapsed="false">
      <c r="A4643" s="16" t="n">
        <v>45327</v>
      </c>
      <c r="B4643" s="17" t="s">
        <v>2192</v>
      </c>
      <c r="C4643" s="17" t="s">
        <v>1593</v>
      </c>
      <c r="D4643" s="17" t="s">
        <v>1407</v>
      </c>
      <c r="E4643" s="17" t="s">
        <v>2472</v>
      </c>
      <c r="F4643" s="17"/>
      <c r="G4643" s="18" t="n">
        <v>44.6</v>
      </c>
      <c r="H4643" s="18" t="n">
        <v>0</v>
      </c>
      <c r="I4643" s="18" t="n">
        <f aca="false">((I4642 + G4643) - H4643)</f>
        <v>42785.97</v>
      </c>
      <c r="J4643" s="18" t="n">
        <v>0</v>
      </c>
      <c r="K4643" s="19" t="n">
        <v>0</v>
      </c>
      <c r="L4643" s="17" t="s">
        <v>1406</v>
      </c>
    </row>
    <row r="4644" s="11" customFormat="true" ht="10.95" hidden="false" customHeight="true" outlineLevel="0" collapsed="false">
      <c r="A4644" s="16" t="n">
        <v>45328</v>
      </c>
      <c r="B4644" s="17" t="s">
        <v>2192</v>
      </c>
      <c r="C4644" s="17" t="s">
        <v>1593</v>
      </c>
      <c r="D4644" s="17" t="s">
        <v>1407</v>
      </c>
      <c r="E4644" s="17" t="s">
        <v>2208</v>
      </c>
      <c r="F4644" s="17"/>
      <c r="G4644" s="18" t="n">
        <v>11</v>
      </c>
      <c r="H4644" s="18" t="n">
        <v>0</v>
      </c>
      <c r="I4644" s="18" t="n">
        <f aca="false">((I4643 + G4644) - H4644)</f>
        <v>42796.97</v>
      </c>
      <c r="J4644" s="18" t="n">
        <v>1.1</v>
      </c>
      <c r="K4644" s="19" t="n">
        <v>10</v>
      </c>
      <c r="L4644" s="17" t="s">
        <v>44</v>
      </c>
    </row>
    <row r="4645" s="11" customFormat="true" ht="10.95" hidden="false" customHeight="true" outlineLevel="0" collapsed="false">
      <c r="A4645" s="16" t="n">
        <v>45328</v>
      </c>
      <c r="B4645" s="17" t="s">
        <v>2192</v>
      </c>
      <c r="C4645" s="17" t="s">
        <v>1593</v>
      </c>
      <c r="D4645" s="17" t="s">
        <v>1407</v>
      </c>
      <c r="E4645" s="17" t="s">
        <v>2208</v>
      </c>
      <c r="F4645" s="17"/>
      <c r="G4645" s="18" t="n">
        <v>18.7</v>
      </c>
      <c r="H4645" s="18" t="n">
        <v>0</v>
      </c>
      <c r="I4645" s="18" t="n">
        <f aca="false">((I4644 + G4645) - H4645)</f>
        <v>42815.67</v>
      </c>
      <c r="J4645" s="18" t="n">
        <v>1.87</v>
      </c>
      <c r="K4645" s="19" t="n">
        <v>10</v>
      </c>
      <c r="L4645" s="17" t="s">
        <v>44</v>
      </c>
    </row>
    <row r="4646" s="11" customFormat="true" ht="10.95" hidden="false" customHeight="true" outlineLevel="0" collapsed="false">
      <c r="A4646" s="16" t="n">
        <v>45328</v>
      </c>
      <c r="B4646" s="17" t="s">
        <v>2192</v>
      </c>
      <c r="C4646" s="17" t="s">
        <v>1593</v>
      </c>
      <c r="D4646" s="17" t="s">
        <v>1391</v>
      </c>
      <c r="E4646" s="17" t="s">
        <v>2473</v>
      </c>
      <c r="F4646" s="17" t="s">
        <v>2474</v>
      </c>
      <c r="G4646" s="18" t="n">
        <v>461.78</v>
      </c>
      <c r="H4646" s="18" t="n">
        <v>0</v>
      </c>
      <c r="I4646" s="18" t="n">
        <f aca="false">((I4645 + G4646) - H4646)</f>
        <v>43277.45</v>
      </c>
      <c r="J4646" s="18" t="n">
        <v>0</v>
      </c>
      <c r="K4646" s="19" t="n">
        <v>0</v>
      </c>
      <c r="L4646" s="17" t="s">
        <v>1406</v>
      </c>
    </row>
    <row r="4647" s="11" customFormat="true" ht="10.95" hidden="false" customHeight="true" outlineLevel="0" collapsed="false">
      <c r="A4647" s="16" t="n">
        <v>45328</v>
      </c>
      <c r="B4647" s="17" t="s">
        <v>2192</v>
      </c>
      <c r="C4647" s="17" t="s">
        <v>1593</v>
      </c>
      <c r="D4647" s="17" t="s">
        <v>1407</v>
      </c>
      <c r="E4647" s="17" t="s">
        <v>2196</v>
      </c>
      <c r="F4647" s="17"/>
      <c r="G4647" s="18" t="n">
        <v>8.47</v>
      </c>
      <c r="H4647" s="18" t="n">
        <v>0</v>
      </c>
      <c r="I4647" s="18" t="n">
        <f aca="false">((I4646 + G4647) - H4647)</f>
        <v>43285.92</v>
      </c>
      <c r="J4647" s="18" t="n">
        <v>0</v>
      </c>
      <c r="K4647" s="19" t="n">
        <v>0</v>
      </c>
      <c r="L4647" s="17" t="s">
        <v>1406</v>
      </c>
    </row>
    <row r="4648" s="11" customFormat="true" ht="10.95" hidden="false" customHeight="true" outlineLevel="0" collapsed="false">
      <c r="A4648" s="16" t="n">
        <v>45328</v>
      </c>
      <c r="B4648" s="17" t="s">
        <v>2192</v>
      </c>
      <c r="C4648" s="17" t="s">
        <v>1593</v>
      </c>
      <c r="D4648" s="17" t="s">
        <v>1407</v>
      </c>
      <c r="E4648" s="17" t="s">
        <v>2388</v>
      </c>
      <c r="F4648" s="17"/>
      <c r="G4648" s="18" t="n">
        <v>115.4</v>
      </c>
      <c r="H4648" s="18" t="n">
        <v>0</v>
      </c>
      <c r="I4648" s="18" t="n">
        <f aca="false">((I4647 + G4648) - H4648)</f>
        <v>43401.32</v>
      </c>
      <c r="J4648" s="18" t="n">
        <v>0</v>
      </c>
      <c r="K4648" s="19" t="n">
        <v>0</v>
      </c>
      <c r="L4648" s="17" t="s">
        <v>1406</v>
      </c>
    </row>
    <row r="4649" s="11" customFormat="true" ht="10.95" hidden="false" customHeight="true" outlineLevel="0" collapsed="false">
      <c r="A4649" s="16" t="n">
        <v>45328</v>
      </c>
      <c r="B4649" s="17" t="s">
        <v>2192</v>
      </c>
      <c r="C4649" s="17" t="s">
        <v>1593</v>
      </c>
      <c r="D4649" s="17" t="s">
        <v>1407</v>
      </c>
      <c r="E4649" s="17" t="s">
        <v>2475</v>
      </c>
      <c r="F4649" s="17"/>
      <c r="G4649" s="18" t="n">
        <v>2.63</v>
      </c>
      <c r="H4649" s="18" t="n">
        <v>0</v>
      </c>
      <c r="I4649" s="18" t="n">
        <f aca="false">((I4648 + G4649) - H4649)</f>
        <v>43403.95</v>
      </c>
      <c r="J4649" s="18" t="n">
        <v>0</v>
      </c>
      <c r="K4649" s="19" t="n">
        <v>0</v>
      </c>
      <c r="L4649" s="17" t="s">
        <v>1406</v>
      </c>
    </row>
    <row r="4650" s="11" customFormat="true" ht="10.95" hidden="false" customHeight="true" outlineLevel="0" collapsed="false">
      <c r="A4650" s="16" t="n">
        <v>45329</v>
      </c>
      <c r="B4650" s="17" t="s">
        <v>2192</v>
      </c>
      <c r="C4650" s="17" t="s">
        <v>1593</v>
      </c>
      <c r="D4650" s="17" t="s">
        <v>1407</v>
      </c>
      <c r="E4650" s="17" t="s">
        <v>2196</v>
      </c>
      <c r="F4650" s="17"/>
      <c r="G4650" s="18" t="n">
        <v>4.58</v>
      </c>
      <c r="H4650" s="18" t="n">
        <v>0</v>
      </c>
      <c r="I4650" s="18" t="n">
        <f aca="false">((I4649 + G4650) - H4650)</f>
        <v>43408.53</v>
      </c>
      <c r="J4650" s="18" t="n">
        <v>0</v>
      </c>
      <c r="K4650" s="19" t="n">
        <v>0</v>
      </c>
      <c r="L4650" s="17" t="s">
        <v>1406</v>
      </c>
    </row>
    <row r="4651" s="11" customFormat="true" ht="10.95" hidden="false" customHeight="true" outlineLevel="0" collapsed="false">
      <c r="A4651" s="16" t="n">
        <v>45329</v>
      </c>
      <c r="B4651" s="17" t="s">
        <v>2192</v>
      </c>
      <c r="C4651" s="17" t="s">
        <v>1593</v>
      </c>
      <c r="D4651" s="17" t="s">
        <v>1407</v>
      </c>
      <c r="E4651" s="17" t="s">
        <v>2298</v>
      </c>
      <c r="F4651" s="17"/>
      <c r="G4651" s="18" t="n">
        <v>65</v>
      </c>
      <c r="H4651" s="18" t="n">
        <v>0</v>
      </c>
      <c r="I4651" s="18" t="n">
        <f aca="false">((I4650 + G4651) - H4651)</f>
        <v>43473.53</v>
      </c>
      <c r="J4651" s="18" t="n">
        <v>6.5</v>
      </c>
      <c r="K4651" s="19" t="n">
        <v>10</v>
      </c>
      <c r="L4651" s="17" t="s">
        <v>44</v>
      </c>
    </row>
    <row r="4652" s="11" customFormat="true" ht="10.95" hidden="false" customHeight="true" outlineLevel="0" collapsed="false">
      <c r="A4652" s="16" t="n">
        <v>45334</v>
      </c>
      <c r="B4652" s="17" t="s">
        <v>2192</v>
      </c>
      <c r="C4652" s="17" t="s">
        <v>1593</v>
      </c>
      <c r="D4652" s="17" t="s">
        <v>1407</v>
      </c>
      <c r="E4652" s="17" t="s">
        <v>2196</v>
      </c>
      <c r="F4652" s="17"/>
      <c r="G4652" s="18" t="n">
        <v>4.58</v>
      </c>
      <c r="H4652" s="18" t="n">
        <v>0</v>
      </c>
      <c r="I4652" s="18" t="n">
        <f aca="false">((I4651 + G4652) - H4652)</f>
        <v>43478.11</v>
      </c>
      <c r="J4652" s="18" t="n">
        <v>0</v>
      </c>
      <c r="K4652" s="19" t="n">
        <v>0</v>
      </c>
      <c r="L4652" s="17" t="s">
        <v>1406</v>
      </c>
    </row>
    <row r="4653" s="11" customFormat="true" ht="10.95" hidden="false" customHeight="true" outlineLevel="0" collapsed="false">
      <c r="A4653" s="16" t="n">
        <v>45334</v>
      </c>
      <c r="B4653" s="17" t="s">
        <v>2192</v>
      </c>
      <c r="C4653" s="17" t="s">
        <v>1593</v>
      </c>
      <c r="D4653" s="17" t="s">
        <v>1407</v>
      </c>
      <c r="E4653" s="17" t="s">
        <v>2196</v>
      </c>
      <c r="F4653" s="17"/>
      <c r="G4653" s="18" t="n">
        <v>33.79</v>
      </c>
      <c r="H4653" s="18" t="n">
        <v>0</v>
      </c>
      <c r="I4653" s="18" t="n">
        <f aca="false">((I4652 + G4653) - H4653)</f>
        <v>43511.9</v>
      </c>
      <c r="J4653" s="18" t="n">
        <v>0</v>
      </c>
      <c r="K4653" s="19" t="n">
        <v>0</v>
      </c>
      <c r="L4653" s="17" t="s">
        <v>1406</v>
      </c>
    </row>
    <row r="4654" s="11" customFormat="true" ht="10.95" hidden="false" customHeight="true" outlineLevel="0" collapsed="false">
      <c r="A4654" s="16" t="n">
        <v>45335</v>
      </c>
      <c r="B4654" s="17" t="s">
        <v>2192</v>
      </c>
      <c r="C4654" s="17" t="s">
        <v>1593</v>
      </c>
      <c r="D4654" s="17" t="s">
        <v>1407</v>
      </c>
      <c r="E4654" s="17" t="s">
        <v>2196</v>
      </c>
      <c r="F4654" s="17"/>
      <c r="G4654" s="18" t="n">
        <v>1.52</v>
      </c>
      <c r="H4654" s="18" t="n">
        <v>0</v>
      </c>
      <c r="I4654" s="18" t="n">
        <f aca="false">((I4653 + G4654) - H4654)</f>
        <v>43513.42</v>
      </c>
      <c r="J4654" s="18" t="n">
        <v>0</v>
      </c>
      <c r="K4654" s="19" t="n">
        <v>0</v>
      </c>
      <c r="L4654" s="17" t="s">
        <v>1406</v>
      </c>
    </row>
    <row r="4655" s="11" customFormat="true" ht="10.95" hidden="false" customHeight="true" outlineLevel="0" collapsed="false">
      <c r="A4655" s="16" t="n">
        <v>45336</v>
      </c>
      <c r="B4655" s="17" t="s">
        <v>2192</v>
      </c>
      <c r="C4655" s="17" t="s">
        <v>1593</v>
      </c>
      <c r="D4655" s="17" t="s">
        <v>1276</v>
      </c>
      <c r="E4655" s="17" t="s">
        <v>2476</v>
      </c>
      <c r="F4655" s="17"/>
      <c r="G4655" s="18" t="n">
        <v>0</v>
      </c>
      <c r="H4655" s="18" t="n">
        <v>84.66</v>
      </c>
      <c r="I4655" s="18" t="n">
        <f aca="false">((I4654 + G4655) - H4655)</f>
        <v>43428.76</v>
      </c>
      <c r="J4655" s="18" t="n">
        <v>-8.47</v>
      </c>
      <c r="K4655" s="19" t="n">
        <v>10</v>
      </c>
      <c r="L4655" s="17" t="s">
        <v>44</v>
      </c>
    </row>
    <row r="4656" s="11" customFormat="true" ht="10.95" hidden="false" customHeight="true" outlineLevel="0" collapsed="false">
      <c r="A4656" s="16" t="n">
        <v>45336</v>
      </c>
      <c r="B4656" s="17" t="s">
        <v>2192</v>
      </c>
      <c r="C4656" s="17" t="s">
        <v>1593</v>
      </c>
      <c r="D4656" s="17" t="s">
        <v>1276</v>
      </c>
      <c r="E4656" s="17" t="s">
        <v>2476</v>
      </c>
      <c r="F4656" s="17"/>
      <c r="G4656" s="18" t="n">
        <v>0</v>
      </c>
      <c r="H4656" s="18" t="n">
        <v>81.58</v>
      </c>
      <c r="I4656" s="18" t="n">
        <f aca="false">((I4655 + G4656) - H4656)</f>
        <v>43347.18</v>
      </c>
      <c r="J4656" s="18" t="n">
        <v>-8.16</v>
      </c>
      <c r="K4656" s="19" t="n">
        <v>10</v>
      </c>
      <c r="L4656" s="17" t="s">
        <v>44</v>
      </c>
    </row>
    <row r="4657" s="11" customFormat="true" ht="10.95" hidden="false" customHeight="true" outlineLevel="0" collapsed="false">
      <c r="A4657" s="16" t="n">
        <v>45336</v>
      </c>
      <c r="B4657" s="17" t="s">
        <v>2192</v>
      </c>
      <c r="C4657" s="17" t="s">
        <v>1593</v>
      </c>
      <c r="D4657" s="17" t="s">
        <v>1276</v>
      </c>
      <c r="E4657" s="17" t="s">
        <v>2476</v>
      </c>
      <c r="F4657" s="17"/>
      <c r="G4657" s="18" t="n">
        <v>0</v>
      </c>
      <c r="H4657" s="18" t="n">
        <v>81.58</v>
      </c>
      <c r="I4657" s="18" t="n">
        <f aca="false">((I4656 + G4657) - H4657)</f>
        <v>43265.6</v>
      </c>
      <c r="J4657" s="18" t="n">
        <v>-8.16</v>
      </c>
      <c r="K4657" s="19" t="n">
        <v>10</v>
      </c>
      <c r="L4657" s="17" t="s">
        <v>44</v>
      </c>
    </row>
    <row r="4658" s="11" customFormat="true" ht="10.95" hidden="false" customHeight="true" outlineLevel="0" collapsed="false">
      <c r="A4658" s="16" t="n">
        <v>45336</v>
      </c>
      <c r="B4658" s="17" t="s">
        <v>2192</v>
      </c>
      <c r="C4658" s="17" t="s">
        <v>1593</v>
      </c>
      <c r="D4658" s="17" t="s">
        <v>1276</v>
      </c>
      <c r="E4658" s="17" t="s">
        <v>2476</v>
      </c>
      <c r="F4658" s="17"/>
      <c r="G4658" s="18" t="n">
        <v>0</v>
      </c>
      <c r="H4658" s="18" t="n">
        <v>84.66</v>
      </c>
      <c r="I4658" s="18" t="n">
        <f aca="false">((I4657 + G4658) - H4658)</f>
        <v>43180.94</v>
      </c>
      <c r="J4658" s="18" t="n">
        <v>-8.47</v>
      </c>
      <c r="K4658" s="19" t="n">
        <v>10</v>
      </c>
      <c r="L4658" s="17" t="s">
        <v>44</v>
      </c>
    </row>
    <row r="4659" s="11" customFormat="true" ht="10.95" hidden="false" customHeight="true" outlineLevel="0" collapsed="false">
      <c r="A4659" s="16" t="n">
        <v>45336</v>
      </c>
      <c r="B4659" s="17" t="s">
        <v>2192</v>
      </c>
      <c r="C4659" s="17" t="s">
        <v>1593</v>
      </c>
      <c r="D4659" s="17" t="s">
        <v>1276</v>
      </c>
      <c r="E4659" s="17" t="s">
        <v>2476</v>
      </c>
      <c r="F4659" s="17"/>
      <c r="G4659" s="18" t="n">
        <v>0</v>
      </c>
      <c r="H4659" s="18" t="n">
        <v>84.66</v>
      </c>
      <c r="I4659" s="18" t="n">
        <f aca="false">((I4658 + G4659) - H4659)</f>
        <v>43096.28</v>
      </c>
      <c r="J4659" s="18" t="n">
        <v>-8.47</v>
      </c>
      <c r="K4659" s="19" t="n">
        <v>10</v>
      </c>
      <c r="L4659" s="17" t="s">
        <v>44</v>
      </c>
    </row>
    <row r="4660" s="11" customFormat="true" ht="10.95" hidden="false" customHeight="true" outlineLevel="0" collapsed="false">
      <c r="A4660" s="16" t="n">
        <v>45336</v>
      </c>
      <c r="B4660" s="17" t="s">
        <v>2192</v>
      </c>
      <c r="C4660" s="17" t="s">
        <v>1593</v>
      </c>
      <c r="D4660" s="17" t="s">
        <v>1276</v>
      </c>
      <c r="E4660" s="17" t="s">
        <v>2476</v>
      </c>
      <c r="F4660" s="17"/>
      <c r="G4660" s="18" t="n">
        <v>0</v>
      </c>
      <c r="H4660" s="18" t="n">
        <v>84.66</v>
      </c>
      <c r="I4660" s="18" t="n">
        <f aca="false">((I4659 + G4660) - H4660)</f>
        <v>43011.62</v>
      </c>
      <c r="J4660" s="18" t="n">
        <v>-8.47</v>
      </c>
      <c r="K4660" s="19" t="n">
        <v>10</v>
      </c>
      <c r="L4660" s="17" t="s">
        <v>44</v>
      </c>
    </row>
    <row r="4661" s="11" customFormat="true" ht="10.95" hidden="false" customHeight="true" outlineLevel="0" collapsed="false">
      <c r="A4661" s="16" t="n">
        <v>45336</v>
      </c>
      <c r="B4661" s="17" t="s">
        <v>2192</v>
      </c>
      <c r="C4661" s="17" t="s">
        <v>1593</v>
      </c>
      <c r="D4661" s="17" t="s">
        <v>1276</v>
      </c>
      <c r="E4661" s="17" t="s">
        <v>2476</v>
      </c>
      <c r="F4661" s="17"/>
      <c r="G4661" s="18" t="n">
        <v>0</v>
      </c>
      <c r="H4661" s="18" t="n">
        <v>84.66</v>
      </c>
      <c r="I4661" s="18" t="n">
        <f aca="false">((I4660 + G4661) - H4661)</f>
        <v>42926.96</v>
      </c>
      <c r="J4661" s="18" t="n">
        <v>-8.47</v>
      </c>
      <c r="K4661" s="19" t="n">
        <v>10</v>
      </c>
      <c r="L4661" s="17" t="s">
        <v>44</v>
      </c>
    </row>
    <row r="4662" s="11" customFormat="true" ht="10.95" hidden="false" customHeight="true" outlineLevel="0" collapsed="false">
      <c r="A4662" s="16" t="n">
        <v>45336</v>
      </c>
      <c r="B4662" s="17" t="s">
        <v>2192</v>
      </c>
      <c r="C4662" s="17" t="s">
        <v>1593</v>
      </c>
      <c r="D4662" s="17" t="s">
        <v>1276</v>
      </c>
      <c r="E4662" s="17" t="s">
        <v>2476</v>
      </c>
      <c r="F4662" s="17"/>
      <c r="G4662" s="18" t="n">
        <v>0</v>
      </c>
      <c r="H4662" s="18" t="n">
        <v>84.66</v>
      </c>
      <c r="I4662" s="18" t="n">
        <f aca="false">((I4661 + G4662) - H4662)</f>
        <v>42842.3</v>
      </c>
      <c r="J4662" s="18" t="n">
        <v>-8.47</v>
      </c>
      <c r="K4662" s="19" t="n">
        <v>10</v>
      </c>
      <c r="L4662" s="17" t="s">
        <v>44</v>
      </c>
    </row>
    <row r="4663" s="11" customFormat="true" ht="10.95" hidden="false" customHeight="true" outlineLevel="0" collapsed="false">
      <c r="A4663" s="16" t="n">
        <v>45336</v>
      </c>
      <c r="B4663" s="17" t="s">
        <v>2192</v>
      </c>
      <c r="C4663" s="17" t="s">
        <v>1593</v>
      </c>
      <c r="D4663" s="17" t="s">
        <v>1407</v>
      </c>
      <c r="E4663" s="17" t="s">
        <v>2477</v>
      </c>
      <c r="F4663" s="17"/>
      <c r="G4663" s="18" t="n">
        <v>796.73</v>
      </c>
      <c r="H4663" s="18" t="n">
        <v>0</v>
      </c>
      <c r="I4663" s="18" t="n">
        <f aca="false">((I4662 + G4663) - H4663)</f>
        <v>43639.03</v>
      </c>
      <c r="J4663" s="18" t="n">
        <v>79.67</v>
      </c>
      <c r="K4663" s="19" t="n">
        <v>10</v>
      </c>
      <c r="L4663" s="17" t="s">
        <v>44</v>
      </c>
    </row>
    <row r="4664" s="11" customFormat="true" ht="10.95" hidden="false" customHeight="true" outlineLevel="0" collapsed="false">
      <c r="A4664" s="16" t="n">
        <v>45336</v>
      </c>
      <c r="B4664" s="17" t="s">
        <v>2192</v>
      </c>
      <c r="C4664" s="17" t="s">
        <v>1593</v>
      </c>
      <c r="D4664" s="17" t="s">
        <v>1407</v>
      </c>
      <c r="E4664" s="17" t="s">
        <v>2478</v>
      </c>
      <c r="F4664" s="17"/>
      <c r="G4664" s="18" t="n">
        <v>18.13</v>
      </c>
      <c r="H4664" s="18" t="n">
        <v>0</v>
      </c>
      <c r="I4664" s="18" t="n">
        <f aca="false">((I4663 + G4664) - H4664)</f>
        <v>43657.16</v>
      </c>
      <c r="J4664" s="18" t="n">
        <v>1.81</v>
      </c>
      <c r="K4664" s="19" t="n">
        <v>10</v>
      </c>
      <c r="L4664" s="17" t="s">
        <v>44</v>
      </c>
    </row>
    <row r="4665" s="11" customFormat="true" ht="10.95" hidden="false" customHeight="true" outlineLevel="0" collapsed="false">
      <c r="A4665" s="16" t="n">
        <v>45337</v>
      </c>
      <c r="B4665" s="17" t="s">
        <v>2192</v>
      </c>
      <c r="C4665" s="17" t="s">
        <v>1593</v>
      </c>
      <c r="D4665" s="17" t="s">
        <v>1276</v>
      </c>
      <c r="E4665" s="17" t="s">
        <v>2476</v>
      </c>
      <c r="F4665" s="17"/>
      <c r="G4665" s="18" t="n">
        <v>0</v>
      </c>
      <c r="H4665" s="18" t="n">
        <v>82.33</v>
      </c>
      <c r="I4665" s="18" t="n">
        <f aca="false">((I4664 + G4665) - H4665)</f>
        <v>43574.83</v>
      </c>
      <c r="J4665" s="18" t="n">
        <v>-8.23</v>
      </c>
      <c r="K4665" s="19" t="n">
        <v>10</v>
      </c>
      <c r="L4665" s="17" t="s">
        <v>44</v>
      </c>
    </row>
    <row r="4666" s="11" customFormat="true" ht="10.95" hidden="false" customHeight="true" outlineLevel="0" collapsed="false">
      <c r="A4666" s="16" t="n">
        <v>45337</v>
      </c>
      <c r="B4666" s="17" t="s">
        <v>2192</v>
      </c>
      <c r="C4666" s="17" t="s">
        <v>1593</v>
      </c>
      <c r="D4666" s="17" t="s">
        <v>1276</v>
      </c>
      <c r="E4666" s="17" t="s">
        <v>2476</v>
      </c>
      <c r="F4666" s="17"/>
      <c r="G4666" s="18" t="n">
        <v>0</v>
      </c>
      <c r="H4666" s="18" t="n">
        <v>82.33</v>
      </c>
      <c r="I4666" s="18" t="n">
        <f aca="false">((I4665 + G4666) - H4666)</f>
        <v>43492.5</v>
      </c>
      <c r="J4666" s="18" t="n">
        <v>-8.23</v>
      </c>
      <c r="K4666" s="19" t="n">
        <v>10</v>
      </c>
      <c r="L4666" s="17" t="s">
        <v>44</v>
      </c>
    </row>
    <row r="4667" s="11" customFormat="true" ht="10.95" hidden="false" customHeight="true" outlineLevel="0" collapsed="false">
      <c r="A4667" s="16" t="n">
        <v>45337</v>
      </c>
      <c r="B4667" s="17" t="s">
        <v>2192</v>
      </c>
      <c r="C4667" s="17" t="s">
        <v>1593</v>
      </c>
      <c r="D4667" s="17" t="s">
        <v>1276</v>
      </c>
      <c r="E4667" s="17" t="s">
        <v>2476</v>
      </c>
      <c r="F4667" s="17"/>
      <c r="G4667" s="18" t="n">
        <v>0</v>
      </c>
      <c r="H4667" s="18" t="n">
        <v>82.33</v>
      </c>
      <c r="I4667" s="18" t="n">
        <f aca="false">((I4666 + G4667) - H4667)</f>
        <v>43410.17</v>
      </c>
      <c r="J4667" s="18" t="n">
        <v>-8.23</v>
      </c>
      <c r="K4667" s="19" t="n">
        <v>10</v>
      </c>
      <c r="L4667" s="17" t="s">
        <v>44</v>
      </c>
    </row>
    <row r="4668" s="11" customFormat="true" ht="10.95" hidden="false" customHeight="true" outlineLevel="0" collapsed="false">
      <c r="A4668" s="16" t="n">
        <v>45337</v>
      </c>
      <c r="B4668" s="17" t="s">
        <v>2192</v>
      </c>
      <c r="C4668" s="17" t="s">
        <v>1593</v>
      </c>
      <c r="D4668" s="17" t="s">
        <v>1276</v>
      </c>
      <c r="E4668" s="17" t="s">
        <v>2476</v>
      </c>
      <c r="F4668" s="17"/>
      <c r="G4668" s="18" t="n">
        <v>0</v>
      </c>
      <c r="H4668" s="18" t="n">
        <v>82.33</v>
      </c>
      <c r="I4668" s="18" t="n">
        <f aca="false">((I4667 + G4668) - H4668)</f>
        <v>43327.84</v>
      </c>
      <c r="J4668" s="18" t="n">
        <v>-8.23</v>
      </c>
      <c r="K4668" s="19" t="n">
        <v>10</v>
      </c>
      <c r="L4668" s="17" t="s">
        <v>44</v>
      </c>
    </row>
    <row r="4669" s="11" customFormat="true" ht="10.95" hidden="false" customHeight="true" outlineLevel="0" collapsed="false">
      <c r="A4669" s="16" t="n">
        <v>45337</v>
      </c>
      <c r="B4669" s="17" t="s">
        <v>2192</v>
      </c>
      <c r="C4669" s="17" t="s">
        <v>1593</v>
      </c>
      <c r="D4669" s="17" t="s">
        <v>1276</v>
      </c>
      <c r="E4669" s="17" t="s">
        <v>2476</v>
      </c>
      <c r="F4669" s="17"/>
      <c r="G4669" s="18" t="n">
        <v>0</v>
      </c>
      <c r="H4669" s="18" t="n">
        <v>82.33</v>
      </c>
      <c r="I4669" s="18" t="n">
        <f aca="false">((I4668 + G4669) - H4669)</f>
        <v>43245.51</v>
      </c>
      <c r="J4669" s="18" t="n">
        <v>-8.23</v>
      </c>
      <c r="K4669" s="19" t="n">
        <v>10</v>
      </c>
      <c r="L4669" s="17" t="s">
        <v>44</v>
      </c>
    </row>
    <row r="4670" s="11" customFormat="true" ht="10.95" hidden="false" customHeight="true" outlineLevel="0" collapsed="false">
      <c r="A4670" s="16" t="n">
        <v>45337</v>
      </c>
      <c r="B4670" s="17" t="s">
        <v>2192</v>
      </c>
      <c r="C4670" s="17" t="s">
        <v>1593</v>
      </c>
      <c r="D4670" s="17" t="s">
        <v>1276</v>
      </c>
      <c r="E4670" s="17" t="s">
        <v>2476</v>
      </c>
      <c r="F4670" s="17"/>
      <c r="G4670" s="18" t="n">
        <v>0</v>
      </c>
      <c r="H4670" s="18" t="n">
        <v>82.33</v>
      </c>
      <c r="I4670" s="18" t="n">
        <f aca="false">((I4669 + G4670) - H4670)</f>
        <v>43163.18</v>
      </c>
      <c r="J4670" s="18" t="n">
        <v>-8.23</v>
      </c>
      <c r="K4670" s="19" t="n">
        <v>10</v>
      </c>
      <c r="L4670" s="17" t="s">
        <v>44</v>
      </c>
    </row>
    <row r="4671" s="11" customFormat="true" ht="10.95" hidden="false" customHeight="true" outlineLevel="0" collapsed="false">
      <c r="A4671" s="16" t="n">
        <v>45337</v>
      </c>
      <c r="B4671" s="17" t="s">
        <v>2192</v>
      </c>
      <c r="C4671" s="17" t="s">
        <v>1593</v>
      </c>
      <c r="D4671" s="17" t="s">
        <v>1276</v>
      </c>
      <c r="E4671" s="17" t="s">
        <v>2476</v>
      </c>
      <c r="F4671" s="17"/>
      <c r="G4671" s="18" t="n">
        <v>0</v>
      </c>
      <c r="H4671" s="18" t="n">
        <v>82.33</v>
      </c>
      <c r="I4671" s="18" t="n">
        <f aca="false">((I4670 + G4671) - H4671)</f>
        <v>43080.85</v>
      </c>
      <c r="J4671" s="18" t="n">
        <v>-8.23</v>
      </c>
      <c r="K4671" s="19" t="n">
        <v>10</v>
      </c>
      <c r="L4671" s="17" t="s">
        <v>44</v>
      </c>
    </row>
    <row r="4672" s="11" customFormat="true" ht="10.95" hidden="false" customHeight="true" outlineLevel="0" collapsed="false">
      <c r="A4672" s="16" t="n">
        <v>45337</v>
      </c>
      <c r="B4672" s="17" t="s">
        <v>2192</v>
      </c>
      <c r="C4672" s="17" t="s">
        <v>1593</v>
      </c>
      <c r="D4672" s="17" t="s">
        <v>1276</v>
      </c>
      <c r="E4672" s="17" t="s">
        <v>2476</v>
      </c>
      <c r="F4672" s="17"/>
      <c r="G4672" s="18" t="n">
        <v>0</v>
      </c>
      <c r="H4672" s="18" t="n">
        <v>82.33</v>
      </c>
      <c r="I4672" s="18" t="n">
        <f aca="false">((I4671 + G4672) - H4672)</f>
        <v>42998.52</v>
      </c>
      <c r="J4672" s="18" t="n">
        <v>-8.23</v>
      </c>
      <c r="K4672" s="19" t="n">
        <v>10</v>
      </c>
      <c r="L4672" s="17" t="s">
        <v>44</v>
      </c>
    </row>
    <row r="4673" s="11" customFormat="true" ht="10.95" hidden="false" customHeight="true" outlineLevel="0" collapsed="false">
      <c r="A4673" s="16" t="n">
        <v>45337</v>
      </c>
      <c r="B4673" s="17" t="s">
        <v>2192</v>
      </c>
      <c r="C4673" s="17" t="s">
        <v>1593</v>
      </c>
      <c r="D4673" s="17" t="s">
        <v>1276</v>
      </c>
      <c r="E4673" s="17" t="s">
        <v>2476</v>
      </c>
      <c r="F4673" s="17"/>
      <c r="G4673" s="18" t="n">
        <v>0</v>
      </c>
      <c r="H4673" s="18" t="n">
        <v>82.33</v>
      </c>
      <c r="I4673" s="18" t="n">
        <f aca="false">((I4672 + G4673) - H4673)</f>
        <v>42916.19</v>
      </c>
      <c r="J4673" s="18" t="n">
        <v>-8.23</v>
      </c>
      <c r="K4673" s="19" t="n">
        <v>10</v>
      </c>
      <c r="L4673" s="17" t="s">
        <v>44</v>
      </c>
    </row>
    <row r="4674" s="11" customFormat="true" ht="10.95" hidden="false" customHeight="true" outlineLevel="0" collapsed="false">
      <c r="A4674" s="16" t="n">
        <v>45337</v>
      </c>
      <c r="B4674" s="17" t="s">
        <v>2192</v>
      </c>
      <c r="C4674" s="17" t="s">
        <v>1593</v>
      </c>
      <c r="D4674" s="17" t="s">
        <v>1276</v>
      </c>
      <c r="E4674" s="17" t="s">
        <v>2476</v>
      </c>
      <c r="F4674" s="17"/>
      <c r="G4674" s="18" t="n">
        <v>0</v>
      </c>
      <c r="H4674" s="18" t="n">
        <v>82.33</v>
      </c>
      <c r="I4674" s="18" t="n">
        <f aca="false">((I4673 + G4674) - H4674)</f>
        <v>42833.86</v>
      </c>
      <c r="J4674" s="18" t="n">
        <v>-8.23</v>
      </c>
      <c r="K4674" s="19" t="n">
        <v>10</v>
      </c>
      <c r="L4674" s="17" t="s">
        <v>44</v>
      </c>
    </row>
    <row r="4675" s="11" customFormat="true" ht="10.95" hidden="false" customHeight="true" outlineLevel="0" collapsed="false">
      <c r="A4675" s="16" t="n">
        <v>45337</v>
      </c>
      <c r="B4675" s="17" t="s">
        <v>2192</v>
      </c>
      <c r="C4675" s="17" t="s">
        <v>1593</v>
      </c>
      <c r="D4675" s="17" t="s">
        <v>1276</v>
      </c>
      <c r="E4675" s="17" t="s">
        <v>2476</v>
      </c>
      <c r="F4675" s="17"/>
      <c r="G4675" s="18" t="n">
        <v>0</v>
      </c>
      <c r="H4675" s="18" t="n">
        <v>82.33</v>
      </c>
      <c r="I4675" s="18" t="n">
        <f aca="false">((I4674 + G4675) - H4675)</f>
        <v>42751.53</v>
      </c>
      <c r="J4675" s="18" t="n">
        <v>-8.23</v>
      </c>
      <c r="K4675" s="19" t="n">
        <v>10</v>
      </c>
      <c r="L4675" s="17" t="s">
        <v>44</v>
      </c>
    </row>
    <row r="4676" s="11" customFormat="true" ht="10.95" hidden="false" customHeight="true" outlineLevel="0" collapsed="false">
      <c r="A4676" s="16" t="n">
        <v>45337</v>
      </c>
      <c r="B4676" s="17" t="s">
        <v>2192</v>
      </c>
      <c r="C4676" s="17" t="s">
        <v>1593</v>
      </c>
      <c r="D4676" s="17" t="s">
        <v>1276</v>
      </c>
      <c r="E4676" s="17" t="s">
        <v>2476</v>
      </c>
      <c r="F4676" s="17"/>
      <c r="G4676" s="18" t="n">
        <v>0</v>
      </c>
      <c r="H4676" s="18" t="n">
        <v>82.33</v>
      </c>
      <c r="I4676" s="18" t="n">
        <f aca="false">((I4675 + G4676) - H4676)</f>
        <v>42669.2</v>
      </c>
      <c r="J4676" s="18" t="n">
        <v>-8.23</v>
      </c>
      <c r="K4676" s="19" t="n">
        <v>10</v>
      </c>
      <c r="L4676" s="17" t="s">
        <v>44</v>
      </c>
    </row>
    <row r="4677" s="11" customFormat="true" ht="10.95" hidden="false" customHeight="true" outlineLevel="0" collapsed="false">
      <c r="A4677" s="16" t="n">
        <v>45337</v>
      </c>
      <c r="B4677" s="17" t="s">
        <v>2192</v>
      </c>
      <c r="C4677" s="17" t="s">
        <v>1593</v>
      </c>
      <c r="D4677" s="17" t="s">
        <v>1276</v>
      </c>
      <c r="E4677" s="17" t="s">
        <v>2476</v>
      </c>
      <c r="F4677" s="17"/>
      <c r="G4677" s="18" t="n">
        <v>0</v>
      </c>
      <c r="H4677" s="18" t="n">
        <v>82.33</v>
      </c>
      <c r="I4677" s="18" t="n">
        <f aca="false">((I4676 + G4677) - H4677)</f>
        <v>42586.87</v>
      </c>
      <c r="J4677" s="18" t="n">
        <v>-8.23</v>
      </c>
      <c r="K4677" s="19" t="n">
        <v>10</v>
      </c>
      <c r="L4677" s="17" t="s">
        <v>44</v>
      </c>
    </row>
    <row r="4678" s="11" customFormat="true" ht="10.95" hidden="false" customHeight="true" outlineLevel="0" collapsed="false">
      <c r="A4678" s="16" t="n">
        <v>45337</v>
      </c>
      <c r="B4678" s="17" t="s">
        <v>2192</v>
      </c>
      <c r="C4678" s="17" t="s">
        <v>1593</v>
      </c>
      <c r="D4678" s="17" t="s">
        <v>1276</v>
      </c>
      <c r="E4678" s="17" t="s">
        <v>2476</v>
      </c>
      <c r="F4678" s="17"/>
      <c r="G4678" s="18" t="n">
        <v>0</v>
      </c>
      <c r="H4678" s="18" t="n">
        <v>82.33</v>
      </c>
      <c r="I4678" s="18" t="n">
        <f aca="false">((I4677 + G4678) - H4678)</f>
        <v>42504.54</v>
      </c>
      <c r="J4678" s="18" t="n">
        <v>-8.23</v>
      </c>
      <c r="K4678" s="19" t="n">
        <v>10</v>
      </c>
      <c r="L4678" s="17" t="s">
        <v>44</v>
      </c>
    </row>
    <row r="4679" s="11" customFormat="true" ht="10.95" hidden="false" customHeight="true" outlineLevel="0" collapsed="false">
      <c r="A4679" s="16" t="n">
        <v>45337</v>
      </c>
      <c r="B4679" s="17" t="s">
        <v>2192</v>
      </c>
      <c r="C4679" s="17" t="s">
        <v>1593</v>
      </c>
      <c r="D4679" s="17" t="s">
        <v>1276</v>
      </c>
      <c r="E4679" s="17" t="s">
        <v>2476</v>
      </c>
      <c r="F4679" s="17"/>
      <c r="G4679" s="18" t="n">
        <v>0</v>
      </c>
      <c r="H4679" s="18" t="n">
        <v>82.33</v>
      </c>
      <c r="I4679" s="18" t="n">
        <f aca="false">((I4678 + G4679) - H4679)</f>
        <v>42422.21</v>
      </c>
      <c r="J4679" s="18" t="n">
        <v>-8.23</v>
      </c>
      <c r="K4679" s="19" t="n">
        <v>10</v>
      </c>
      <c r="L4679" s="17" t="s">
        <v>44</v>
      </c>
    </row>
    <row r="4680" s="11" customFormat="true" ht="10.95" hidden="false" customHeight="true" outlineLevel="0" collapsed="false">
      <c r="A4680" s="16" t="n">
        <v>45337</v>
      </c>
      <c r="B4680" s="17" t="s">
        <v>2192</v>
      </c>
      <c r="C4680" s="17" t="s">
        <v>1593</v>
      </c>
      <c r="D4680" s="17" t="s">
        <v>1276</v>
      </c>
      <c r="E4680" s="17" t="s">
        <v>2476</v>
      </c>
      <c r="F4680" s="17"/>
      <c r="G4680" s="18" t="n">
        <v>0</v>
      </c>
      <c r="H4680" s="18" t="n">
        <v>82.33</v>
      </c>
      <c r="I4680" s="18" t="n">
        <f aca="false">((I4679 + G4680) - H4680)</f>
        <v>42339.88</v>
      </c>
      <c r="J4680" s="18" t="n">
        <v>-8.23</v>
      </c>
      <c r="K4680" s="19" t="n">
        <v>10</v>
      </c>
      <c r="L4680" s="17" t="s">
        <v>44</v>
      </c>
    </row>
    <row r="4681" s="11" customFormat="true" ht="10.95" hidden="false" customHeight="true" outlineLevel="0" collapsed="false">
      <c r="A4681" s="16" t="n">
        <v>45337</v>
      </c>
      <c r="B4681" s="17" t="s">
        <v>2192</v>
      </c>
      <c r="C4681" s="17" t="s">
        <v>1593</v>
      </c>
      <c r="D4681" s="17" t="s">
        <v>1276</v>
      </c>
      <c r="E4681" s="17" t="s">
        <v>2476</v>
      </c>
      <c r="F4681" s="17"/>
      <c r="G4681" s="18" t="n">
        <v>0</v>
      </c>
      <c r="H4681" s="18" t="n">
        <v>82.33</v>
      </c>
      <c r="I4681" s="18" t="n">
        <f aca="false">((I4680 + G4681) - H4681)</f>
        <v>42257.55</v>
      </c>
      <c r="J4681" s="18" t="n">
        <v>-8.23</v>
      </c>
      <c r="K4681" s="19" t="n">
        <v>10</v>
      </c>
      <c r="L4681" s="17" t="s">
        <v>44</v>
      </c>
    </row>
    <row r="4682" s="11" customFormat="true" ht="10.95" hidden="false" customHeight="true" outlineLevel="0" collapsed="false">
      <c r="A4682" s="16" t="n">
        <v>45337</v>
      </c>
      <c r="B4682" s="17" t="s">
        <v>2192</v>
      </c>
      <c r="C4682" s="17" t="s">
        <v>1593</v>
      </c>
      <c r="D4682" s="17" t="s">
        <v>1276</v>
      </c>
      <c r="E4682" s="17" t="s">
        <v>2476</v>
      </c>
      <c r="F4682" s="17"/>
      <c r="G4682" s="18" t="n">
        <v>0</v>
      </c>
      <c r="H4682" s="18" t="n">
        <v>82.33</v>
      </c>
      <c r="I4682" s="18" t="n">
        <f aca="false">((I4681 + G4682) - H4682)</f>
        <v>42175.22</v>
      </c>
      <c r="J4682" s="18" t="n">
        <v>-8.23</v>
      </c>
      <c r="K4682" s="19" t="n">
        <v>10</v>
      </c>
      <c r="L4682" s="17" t="s">
        <v>44</v>
      </c>
    </row>
    <row r="4683" s="11" customFormat="true" ht="10.95" hidden="false" customHeight="true" outlineLevel="0" collapsed="false">
      <c r="A4683" s="16" t="n">
        <v>45337</v>
      </c>
      <c r="B4683" s="17" t="s">
        <v>2192</v>
      </c>
      <c r="C4683" s="17" t="s">
        <v>1593</v>
      </c>
      <c r="D4683" s="17" t="s">
        <v>1276</v>
      </c>
      <c r="E4683" s="17" t="s">
        <v>2476</v>
      </c>
      <c r="F4683" s="17"/>
      <c r="G4683" s="18" t="n">
        <v>0</v>
      </c>
      <c r="H4683" s="18" t="n">
        <v>82.33</v>
      </c>
      <c r="I4683" s="18" t="n">
        <f aca="false">((I4682 + G4683) - H4683)</f>
        <v>42092.89</v>
      </c>
      <c r="J4683" s="18" t="n">
        <v>-8.23</v>
      </c>
      <c r="K4683" s="19" t="n">
        <v>10</v>
      </c>
      <c r="L4683" s="17" t="s">
        <v>44</v>
      </c>
    </row>
    <row r="4684" s="11" customFormat="true" ht="10.95" hidden="false" customHeight="true" outlineLevel="0" collapsed="false">
      <c r="A4684" s="16" t="n">
        <v>45337</v>
      </c>
      <c r="B4684" s="17" t="s">
        <v>2192</v>
      </c>
      <c r="C4684" s="17" t="s">
        <v>1593</v>
      </c>
      <c r="D4684" s="17" t="s">
        <v>1276</v>
      </c>
      <c r="E4684" s="17" t="s">
        <v>2476</v>
      </c>
      <c r="F4684" s="17"/>
      <c r="G4684" s="18" t="n">
        <v>0</v>
      </c>
      <c r="H4684" s="18" t="n">
        <v>82.33</v>
      </c>
      <c r="I4684" s="18" t="n">
        <f aca="false">((I4683 + G4684) - H4684)</f>
        <v>42010.56</v>
      </c>
      <c r="J4684" s="18" t="n">
        <v>-8.23</v>
      </c>
      <c r="K4684" s="19" t="n">
        <v>10</v>
      </c>
      <c r="L4684" s="17" t="s">
        <v>44</v>
      </c>
    </row>
    <row r="4685" s="11" customFormat="true" ht="10.95" hidden="false" customHeight="true" outlineLevel="0" collapsed="false">
      <c r="A4685" s="16" t="n">
        <v>45337</v>
      </c>
      <c r="B4685" s="17" t="s">
        <v>2192</v>
      </c>
      <c r="C4685" s="17" t="s">
        <v>1593</v>
      </c>
      <c r="D4685" s="17" t="s">
        <v>1276</v>
      </c>
      <c r="E4685" s="17" t="s">
        <v>2476</v>
      </c>
      <c r="F4685" s="17"/>
      <c r="G4685" s="18" t="n">
        <v>0</v>
      </c>
      <c r="H4685" s="18" t="n">
        <v>82.33</v>
      </c>
      <c r="I4685" s="18" t="n">
        <f aca="false">((I4684 + G4685) - H4685)</f>
        <v>41928.2299999999</v>
      </c>
      <c r="J4685" s="18" t="n">
        <v>-8.23</v>
      </c>
      <c r="K4685" s="19" t="n">
        <v>10</v>
      </c>
      <c r="L4685" s="17" t="s">
        <v>44</v>
      </c>
    </row>
    <row r="4686" s="11" customFormat="true" ht="10.95" hidden="false" customHeight="true" outlineLevel="0" collapsed="false">
      <c r="A4686" s="16" t="n">
        <v>45337</v>
      </c>
      <c r="B4686" s="17" t="s">
        <v>2192</v>
      </c>
      <c r="C4686" s="17" t="s">
        <v>1593</v>
      </c>
      <c r="D4686" s="17" t="s">
        <v>1276</v>
      </c>
      <c r="E4686" s="17" t="s">
        <v>2476</v>
      </c>
      <c r="F4686" s="17"/>
      <c r="G4686" s="18" t="n">
        <v>0</v>
      </c>
      <c r="H4686" s="18" t="n">
        <v>82.33</v>
      </c>
      <c r="I4686" s="18" t="n">
        <f aca="false">((I4685 + G4686) - H4686)</f>
        <v>41845.8999999999</v>
      </c>
      <c r="J4686" s="18" t="n">
        <v>-8.23</v>
      </c>
      <c r="K4686" s="19" t="n">
        <v>10</v>
      </c>
      <c r="L4686" s="17" t="s">
        <v>44</v>
      </c>
    </row>
    <row r="4687" s="11" customFormat="true" ht="10.95" hidden="false" customHeight="true" outlineLevel="0" collapsed="false">
      <c r="A4687" s="16" t="n">
        <v>45337</v>
      </c>
      <c r="B4687" s="17" t="s">
        <v>2192</v>
      </c>
      <c r="C4687" s="17" t="s">
        <v>1593</v>
      </c>
      <c r="D4687" s="17" t="s">
        <v>1407</v>
      </c>
      <c r="E4687" s="17" t="s">
        <v>2479</v>
      </c>
      <c r="F4687" s="17"/>
      <c r="G4687" s="18" t="n">
        <v>10.99</v>
      </c>
      <c r="H4687" s="18" t="n">
        <v>0</v>
      </c>
      <c r="I4687" s="18" t="n">
        <f aca="false">((I4686 + G4687) - H4687)</f>
        <v>41856.8899999999</v>
      </c>
      <c r="J4687" s="18" t="n">
        <v>0</v>
      </c>
      <c r="K4687" s="19" t="n">
        <v>0</v>
      </c>
      <c r="L4687" s="17" t="s">
        <v>1406</v>
      </c>
    </row>
    <row r="4688" s="11" customFormat="true" ht="10.95" hidden="false" customHeight="true" outlineLevel="0" collapsed="false">
      <c r="A4688" s="16" t="n">
        <v>45338</v>
      </c>
      <c r="B4688" s="17" t="s">
        <v>2192</v>
      </c>
      <c r="C4688" s="17" t="s">
        <v>1593</v>
      </c>
      <c r="D4688" s="17" t="s">
        <v>1407</v>
      </c>
      <c r="E4688" s="17" t="s">
        <v>2193</v>
      </c>
      <c r="F4688" s="17"/>
      <c r="G4688" s="18" t="n">
        <v>182.55</v>
      </c>
      <c r="H4688" s="18" t="n">
        <v>0</v>
      </c>
      <c r="I4688" s="18" t="n">
        <f aca="false">((I4687 + G4688) - H4688)</f>
        <v>42039.4399999999</v>
      </c>
      <c r="J4688" s="18" t="n">
        <v>0</v>
      </c>
      <c r="K4688" s="19" t="n">
        <v>0</v>
      </c>
      <c r="L4688" s="17" t="s">
        <v>1406</v>
      </c>
    </row>
    <row r="4689" s="11" customFormat="true" ht="10.95" hidden="false" customHeight="true" outlineLevel="0" collapsed="false">
      <c r="A4689" s="16" t="n">
        <v>45339</v>
      </c>
      <c r="B4689" s="17" t="s">
        <v>2192</v>
      </c>
      <c r="C4689" s="17" t="s">
        <v>1593</v>
      </c>
      <c r="D4689" s="17" t="s">
        <v>1407</v>
      </c>
      <c r="E4689" s="17" t="s">
        <v>2196</v>
      </c>
      <c r="F4689" s="17"/>
      <c r="G4689" s="18" t="n">
        <v>50.61</v>
      </c>
      <c r="H4689" s="18" t="n">
        <v>0</v>
      </c>
      <c r="I4689" s="18" t="n">
        <f aca="false">((I4688 + G4689) - H4689)</f>
        <v>42090.0499999999</v>
      </c>
      <c r="J4689" s="18" t="n">
        <v>0</v>
      </c>
      <c r="K4689" s="19" t="n">
        <v>0</v>
      </c>
      <c r="L4689" s="17" t="s">
        <v>1406</v>
      </c>
    </row>
    <row r="4690" s="11" customFormat="true" ht="10.95" hidden="false" customHeight="true" outlineLevel="0" collapsed="false">
      <c r="A4690" s="16" t="n">
        <v>45340</v>
      </c>
      <c r="B4690" s="17" t="s">
        <v>2192</v>
      </c>
      <c r="C4690" s="17" t="s">
        <v>1593</v>
      </c>
      <c r="D4690" s="17" t="s">
        <v>1391</v>
      </c>
      <c r="E4690" s="17" t="s">
        <v>2480</v>
      </c>
      <c r="F4690" s="17" t="s">
        <v>2481</v>
      </c>
      <c r="G4690" s="18" t="n">
        <v>62</v>
      </c>
      <c r="H4690" s="18" t="n">
        <v>0</v>
      </c>
      <c r="I4690" s="18" t="n">
        <f aca="false">((I4689 + G4690) - H4690)</f>
        <v>42152.0499999999</v>
      </c>
      <c r="J4690" s="18" t="n">
        <v>6.2</v>
      </c>
      <c r="K4690" s="19" t="n">
        <v>10</v>
      </c>
      <c r="L4690" s="17" t="s">
        <v>44</v>
      </c>
    </row>
    <row r="4691" s="11" customFormat="true" ht="10.95" hidden="false" customHeight="true" outlineLevel="0" collapsed="false">
      <c r="A4691" s="16" t="n">
        <v>45340</v>
      </c>
      <c r="B4691" s="17" t="s">
        <v>2192</v>
      </c>
      <c r="C4691" s="17" t="s">
        <v>1593</v>
      </c>
      <c r="D4691" s="17" t="s">
        <v>1391</v>
      </c>
      <c r="E4691" s="17" t="s">
        <v>2482</v>
      </c>
      <c r="F4691" s="17" t="s">
        <v>2483</v>
      </c>
      <c r="G4691" s="18" t="n">
        <v>76</v>
      </c>
      <c r="H4691" s="18" t="n">
        <v>0</v>
      </c>
      <c r="I4691" s="18" t="n">
        <f aca="false">((I4690 + G4691) - H4691)</f>
        <v>42228.0499999999</v>
      </c>
      <c r="J4691" s="18" t="n">
        <v>7.6</v>
      </c>
      <c r="K4691" s="19" t="n">
        <v>10</v>
      </c>
      <c r="L4691" s="17" t="s">
        <v>44</v>
      </c>
    </row>
    <row r="4692" s="11" customFormat="true" ht="10.95" hidden="false" customHeight="true" outlineLevel="0" collapsed="false">
      <c r="A4692" s="16" t="n">
        <v>45340</v>
      </c>
      <c r="B4692" s="17" t="s">
        <v>2192</v>
      </c>
      <c r="C4692" s="17" t="s">
        <v>1593</v>
      </c>
      <c r="D4692" s="17" t="s">
        <v>1391</v>
      </c>
      <c r="E4692" s="17" t="s">
        <v>2484</v>
      </c>
      <c r="F4692" s="17" t="s">
        <v>2485</v>
      </c>
      <c r="G4692" s="18" t="n">
        <v>22</v>
      </c>
      <c r="H4692" s="18" t="n">
        <v>0</v>
      </c>
      <c r="I4692" s="18" t="n">
        <f aca="false">((I4691 + G4692) - H4692)</f>
        <v>42250.0499999999</v>
      </c>
      <c r="J4692" s="18" t="n">
        <v>2.2</v>
      </c>
      <c r="K4692" s="19" t="n">
        <v>10</v>
      </c>
      <c r="L4692" s="17" t="s">
        <v>44</v>
      </c>
    </row>
    <row r="4693" s="11" customFormat="true" ht="10.95" hidden="false" customHeight="true" outlineLevel="0" collapsed="false">
      <c r="A4693" s="16" t="n">
        <v>45340</v>
      </c>
      <c r="B4693" s="17" t="s">
        <v>2192</v>
      </c>
      <c r="C4693" s="17" t="s">
        <v>1593</v>
      </c>
      <c r="D4693" s="17" t="s">
        <v>1391</v>
      </c>
      <c r="E4693" s="17" t="s">
        <v>2486</v>
      </c>
      <c r="F4693" s="17" t="s">
        <v>2487</v>
      </c>
      <c r="G4693" s="18" t="n">
        <v>199.8</v>
      </c>
      <c r="H4693" s="18" t="n">
        <v>0</v>
      </c>
      <c r="I4693" s="18" t="n">
        <f aca="false">((I4692 + G4693) - H4693)</f>
        <v>42449.85</v>
      </c>
      <c r="J4693" s="18" t="n">
        <v>19.98</v>
      </c>
      <c r="K4693" s="19" t="n">
        <v>10</v>
      </c>
      <c r="L4693" s="17" t="s">
        <v>44</v>
      </c>
    </row>
    <row r="4694" s="11" customFormat="true" ht="10.95" hidden="false" customHeight="true" outlineLevel="0" collapsed="false">
      <c r="A4694" s="16" t="n">
        <v>45340</v>
      </c>
      <c r="B4694" s="17" t="s">
        <v>2192</v>
      </c>
      <c r="C4694" s="17" t="s">
        <v>1593</v>
      </c>
      <c r="D4694" s="17" t="s">
        <v>1391</v>
      </c>
      <c r="E4694" s="17" t="s">
        <v>2488</v>
      </c>
      <c r="F4694" s="17" t="s">
        <v>2489</v>
      </c>
      <c r="G4694" s="18" t="n">
        <v>55</v>
      </c>
      <c r="H4694" s="18" t="n">
        <v>0</v>
      </c>
      <c r="I4694" s="18" t="n">
        <f aca="false">((I4693 + G4694) - H4694)</f>
        <v>42504.85</v>
      </c>
      <c r="J4694" s="18" t="n">
        <v>5.5</v>
      </c>
      <c r="K4694" s="19" t="n">
        <v>10</v>
      </c>
      <c r="L4694" s="17" t="s">
        <v>44</v>
      </c>
    </row>
    <row r="4695" s="11" customFormat="true" ht="10.95" hidden="false" customHeight="true" outlineLevel="0" collapsed="false">
      <c r="A4695" s="16" t="n">
        <v>45340</v>
      </c>
      <c r="B4695" s="17" t="s">
        <v>2192</v>
      </c>
      <c r="C4695" s="17" t="s">
        <v>1593</v>
      </c>
      <c r="D4695" s="17" t="s">
        <v>1391</v>
      </c>
      <c r="E4695" s="17" t="s">
        <v>2490</v>
      </c>
      <c r="F4695" s="17" t="s">
        <v>2491</v>
      </c>
      <c r="G4695" s="18" t="n">
        <v>44.8</v>
      </c>
      <c r="H4695" s="18" t="n">
        <v>0</v>
      </c>
      <c r="I4695" s="18" t="n">
        <f aca="false">((I4694 + G4695) - H4695)</f>
        <v>42549.65</v>
      </c>
      <c r="J4695" s="18" t="n">
        <v>4.48</v>
      </c>
      <c r="K4695" s="19" t="n">
        <v>10</v>
      </c>
      <c r="L4695" s="17" t="s">
        <v>44</v>
      </c>
    </row>
    <row r="4696" s="11" customFormat="true" ht="10.95" hidden="false" customHeight="true" outlineLevel="0" collapsed="false">
      <c r="A4696" s="16" t="n">
        <v>45340</v>
      </c>
      <c r="B4696" s="17" t="s">
        <v>2192</v>
      </c>
      <c r="C4696" s="17" t="s">
        <v>1593</v>
      </c>
      <c r="D4696" s="17" t="s">
        <v>1391</v>
      </c>
      <c r="E4696" s="17" t="s">
        <v>2492</v>
      </c>
      <c r="F4696" s="17" t="s">
        <v>2493</v>
      </c>
      <c r="G4696" s="18" t="n">
        <v>9</v>
      </c>
      <c r="H4696" s="18" t="n">
        <v>0</v>
      </c>
      <c r="I4696" s="18" t="n">
        <f aca="false">((I4695 + G4696) - H4696)</f>
        <v>42558.65</v>
      </c>
      <c r="J4696" s="18" t="n">
        <v>0.9</v>
      </c>
      <c r="K4696" s="19" t="n">
        <v>10</v>
      </c>
      <c r="L4696" s="17" t="s">
        <v>44</v>
      </c>
    </row>
    <row r="4697" s="11" customFormat="true" ht="10.95" hidden="false" customHeight="true" outlineLevel="0" collapsed="false">
      <c r="A4697" s="16" t="n">
        <v>45340</v>
      </c>
      <c r="B4697" s="17" t="s">
        <v>2192</v>
      </c>
      <c r="C4697" s="17" t="s">
        <v>1593</v>
      </c>
      <c r="D4697" s="17" t="s">
        <v>1391</v>
      </c>
      <c r="E4697" s="17" t="s">
        <v>2494</v>
      </c>
      <c r="F4697" s="17" t="s">
        <v>2495</v>
      </c>
      <c r="G4697" s="18" t="n">
        <v>32.9</v>
      </c>
      <c r="H4697" s="18" t="n">
        <v>0</v>
      </c>
      <c r="I4697" s="18" t="n">
        <f aca="false">((I4696 + G4697) - H4697)</f>
        <v>42591.55</v>
      </c>
      <c r="J4697" s="18" t="n">
        <v>3.29</v>
      </c>
      <c r="K4697" s="19" t="n">
        <v>10</v>
      </c>
      <c r="L4697" s="17" t="s">
        <v>44</v>
      </c>
    </row>
    <row r="4698" s="11" customFormat="true" ht="10.95" hidden="false" customHeight="true" outlineLevel="0" collapsed="false">
      <c r="A4698" s="16" t="n">
        <v>45341</v>
      </c>
      <c r="B4698" s="17" t="s">
        <v>2192</v>
      </c>
      <c r="C4698" s="17" t="s">
        <v>1593</v>
      </c>
      <c r="D4698" s="17" t="s">
        <v>1407</v>
      </c>
      <c r="E4698" s="17" t="s">
        <v>2238</v>
      </c>
      <c r="F4698" s="17"/>
      <c r="G4698" s="18" t="n">
        <v>30.59</v>
      </c>
      <c r="H4698" s="18" t="n">
        <v>0</v>
      </c>
      <c r="I4698" s="18" t="n">
        <f aca="false">((I4697 + G4698) - H4698)</f>
        <v>42622.14</v>
      </c>
      <c r="J4698" s="18" t="n">
        <v>0</v>
      </c>
      <c r="K4698" s="19" t="n">
        <v>0</v>
      </c>
      <c r="L4698" s="17" t="s">
        <v>1406</v>
      </c>
    </row>
    <row r="4699" s="11" customFormat="true" ht="10.95" hidden="false" customHeight="true" outlineLevel="0" collapsed="false">
      <c r="A4699" s="16" t="n">
        <v>45341</v>
      </c>
      <c r="B4699" s="17" t="s">
        <v>2192</v>
      </c>
      <c r="C4699" s="17" t="s">
        <v>1593</v>
      </c>
      <c r="D4699" s="17" t="s">
        <v>1407</v>
      </c>
      <c r="E4699" s="17" t="s">
        <v>2196</v>
      </c>
      <c r="F4699" s="17"/>
      <c r="G4699" s="18" t="n">
        <v>18.83</v>
      </c>
      <c r="H4699" s="18" t="n">
        <v>0</v>
      </c>
      <c r="I4699" s="18" t="n">
        <f aca="false">((I4698 + G4699) - H4699)</f>
        <v>42640.97</v>
      </c>
      <c r="J4699" s="18" t="n">
        <v>0</v>
      </c>
      <c r="K4699" s="19" t="n">
        <v>0</v>
      </c>
      <c r="L4699" s="17" t="s">
        <v>1406</v>
      </c>
    </row>
    <row r="4700" s="11" customFormat="true" ht="10.95" hidden="false" customHeight="true" outlineLevel="0" collapsed="false">
      <c r="A4700" s="16" t="n">
        <v>45342</v>
      </c>
      <c r="B4700" s="17" t="s">
        <v>2192</v>
      </c>
      <c r="C4700" s="17" t="s">
        <v>1593</v>
      </c>
      <c r="D4700" s="17" t="s">
        <v>1407</v>
      </c>
      <c r="E4700" s="17" t="s">
        <v>2216</v>
      </c>
      <c r="F4700" s="17"/>
      <c r="G4700" s="18" t="n">
        <v>15.45</v>
      </c>
      <c r="H4700" s="18" t="n">
        <v>0</v>
      </c>
      <c r="I4700" s="18" t="n">
        <f aca="false">((I4699 + G4700) - H4700)</f>
        <v>42656.42</v>
      </c>
      <c r="J4700" s="18" t="n">
        <v>1.54</v>
      </c>
      <c r="K4700" s="19" t="n">
        <v>10</v>
      </c>
      <c r="L4700" s="17" t="s">
        <v>44</v>
      </c>
    </row>
    <row r="4701" s="11" customFormat="true" ht="10.95" hidden="false" customHeight="true" outlineLevel="0" collapsed="false">
      <c r="A4701" s="16" t="n">
        <v>45342</v>
      </c>
      <c r="B4701" s="17" t="s">
        <v>2192</v>
      </c>
      <c r="C4701" s="17" t="s">
        <v>1593</v>
      </c>
      <c r="D4701" s="17" t="s">
        <v>1407</v>
      </c>
      <c r="E4701" s="17" t="s">
        <v>2234</v>
      </c>
      <c r="F4701" s="17"/>
      <c r="G4701" s="18" t="n">
        <v>76.04</v>
      </c>
      <c r="H4701" s="18" t="n">
        <v>0</v>
      </c>
      <c r="I4701" s="18" t="n">
        <f aca="false">((I4700 + G4701) - H4701)</f>
        <v>42732.46</v>
      </c>
      <c r="J4701" s="18" t="n">
        <v>7.6</v>
      </c>
      <c r="K4701" s="19" t="n">
        <v>10</v>
      </c>
      <c r="L4701" s="17" t="s">
        <v>44</v>
      </c>
    </row>
    <row r="4702" s="11" customFormat="true" ht="10.95" hidden="false" customHeight="true" outlineLevel="0" collapsed="false">
      <c r="A4702" s="16" t="n">
        <v>45342</v>
      </c>
      <c r="B4702" s="17" t="s">
        <v>2192</v>
      </c>
      <c r="C4702" s="17" t="s">
        <v>1593</v>
      </c>
      <c r="D4702" s="17" t="s">
        <v>1407</v>
      </c>
      <c r="E4702" s="17" t="s">
        <v>1580</v>
      </c>
      <c r="F4702" s="17"/>
      <c r="G4702" s="18" t="n">
        <v>247.73</v>
      </c>
      <c r="H4702" s="18" t="n">
        <v>0</v>
      </c>
      <c r="I4702" s="18" t="n">
        <f aca="false">((I4701 + G4702) - H4702)</f>
        <v>42980.19</v>
      </c>
      <c r="J4702" s="18" t="n">
        <v>24.77</v>
      </c>
      <c r="K4702" s="19" t="n">
        <v>10</v>
      </c>
      <c r="L4702" s="17" t="s">
        <v>44</v>
      </c>
    </row>
    <row r="4703" s="11" customFormat="true" ht="10.95" hidden="false" customHeight="true" outlineLevel="0" collapsed="false">
      <c r="A4703" s="16" t="n">
        <v>45342</v>
      </c>
      <c r="B4703" s="17" t="s">
        <v>2192</v>
      </c>
      <c r="C4703" s="17" t="s">
        <v>1593</v>
      </c>
      <c r="D4703" s="17" t="s">
        <v>1391</v>
      </c>
      <c r="E4703" s="17" t="s">
        <v>2496</v>
      </c>
      <c r="F4703" s="17" t="s">
        <v>2497</v>
      </c>
      <c r="G4703" s="18" t="n">
        <v>88.18</v>
      </c>
      <c r="H4703" s="18" t="n">
        <v>0</v>
      </c>
      <c r="I4703" s="18" t="n">
        <f aca="false">((I4702 + G4703) - H4703)</f>
        <v>43068.37</v>
      </c>
      <c r="J4703" s="18" t="n">
        <v>8.82</v>
      </c>
      <c r="K4703" s="19" t="n">
        <v>10</v>
      </c>
      <c r="L4703" s="17" t="s">
        <v>44</v>
      </c>
    </row>
    <row r="4704" s="11" customFormat="true" ht="10.95" hidden="false" customHeight="true" outlineLevel="0" collapsed="false">
      <c r="A4704" s="16" t="n">
        <v>45342</v>
      </c>
      <c r="B4704" s="17" t="s">
        <v>2192</v>
      </c>
      <c r="C4704" s="17" t="s">
        <v>1593</v>
      </c>
      <c r="D4704" s="17" t="s">
        <v>1407</v>
      </c>
      <c r="E4704" s="17" t="s">
        <v>2498</v>
      </c>
      <c r="F4704" s="17"/>
      <c r="G4704" s="18" t="n">
        <v>120.62</v>
      </c>
      <c r="H4704" s="18" t="n">
        <v>0</v>
      </c>
      <c r="I4704" s="18" t="n">
        <f aca="false">((I4703 + G4704) - H4704)</f>
        <v>43188.99</v>
      </c>
      <c r="J4704" s="18" t="n">
        <v>0</v>
      </c>
      <c r="K4704" s="19" t="n">
        <v>0</v>
      </c>
      <c r="L4704" s="17" t="s">
        <v>1406</v>
      </c>
    </row>
    <row r="4705" s="11" customFormat="true" ht="10.95" hidden="false" customHeight="true" outlineLevel="0" collapsed="false">
      <c r="A4705" s="16" t="n">
        <v>45342</v>
      </c>
      <c r="B4705" s="17" t="s">
        <v>2192</v>
      </c>
      <c r="C4705" s="17" t="s">
        <v>1593</v>
      </c>
      <c r="D4705" s="17" t="s">
        <v>1407</v>
      </c>
      <c r="E4705" s="17" t="s">
        <v>2499</v>
      </c>
      <c r="F4705" s="17"/>
      <c r="G4705" s="18" t="n">
        <v>152.43</v>
      </c>
      <c r="H4705" s="18" t="n">
        <v>0</v>
      </c>
      <c r="I4705" s="18" t="n">
        <f aca="false">((I4704 + G4705) - H4705)</f>
        <v>43341.42</v>
      </c>
      <c r="J4705" s="18" t="n">
        <v>15.24</v>
      </c>
      <c r="K4705" s="19" t="n">
        <v>10</v>
      </c>
      <c r="L4705" s="17" t="s">
        <v>44</v>
      </c>
    </row>
    <row r="4706" s="11" customFormat="true" ht="10.95" hidden="false" customHeight="true" outlineLevel="0" collapsed="false">
      <c r="A4706" s="16" t="n">
        <v>45343</v>
      </c>
      <c r="B4706" s="17" t="s">
        <v>2192</v>
      </c>
      <c r="C4706" s="17" t="s">
        <v>1593</v>
      </c>
      <c r="D4706" s="17" t="s">
        <v>1407</v>
      </c>
      <c r="E4706" s="17" t="s">
        <v>2196</v>
      </c>
      <c r="F4706" s="17"/>
      <c r="G4706" s="18" t="n">
        <v>62.97</v>
      </c>
      <c r="H4706" s="18" t="n">
        <v>0</v>
      </c>
      <c r="I4706" s="18" t="n">
        <f aca="false">((I4705 + G4706) - H4706)</f>
        <v>43404.39</v>
      </c>
      <c r="J4706" s="18" t="n">
        <v>0</v>
      </c>
      <c r="K4706" s="19" t="n">
        <v>0</v>
      </c>
      <c r="L4706" s="17" t="s">
        <v>1406</v>
      </c>
    </row>
    <row r="4707" s="11" customFormat="true" ht="10.95" hidden="false" customHeight="true" outlineLevel="0" collapsed="false">
      <c r="A4707" s="16" t="n">
        <v>45344</v>
      </c>
      <c r="B4707" s="17" t="s">
        <v>2192</v>
      </c>
      <c r="C4707" s="17" t="s">
        <v>1593</v>
      </c>
      <c r="D4707" s="17" t="s">
        <v>1391</v>
      </c>
      <c r="E4707" s="17" t="s">
        <v>2500</v>
      </c>
      <c r="F4707" s="17" t="s">
        <v>2501</v>
      </c>
      <c r="G4707" s="18" t="n">
        <v>258.34</v>
      </c>
      <c r="H4707" s="18" t="n">
        <v>0</v>
      </c>
      <c r="I4707" s="18" t="n">
        <f aca="false">((I4706 + G4707) - H4707)</f>
        <v>43662.73</v>
      </c>
      <c r="J4707" s="18" t="n">
        <v>25.83</v>
      </c>
      <c r="K4707" s="19" t="n">
        <v>10</v>
      </c>
      <c r="L4707" s="17" t="s">
        <v>44</v>
      </c>
    </row>
    <row r="4708" s="11" customFormat="true" ht="10.95" hidden="false" customHeight="true" outlineLevel="0" collapsed="false">
      <c r="A4708" s="16" t="n">
        <v>45346</v>
      </c>
      <c r="B4708" s="17" t="s">
        <v>2192</v>
      </c>
      <c r="C4708" s="17" t="s">
        <v>1593</v>
      </c>
      <c r="D4708" s="17" t="s">
        <v>1407</v>
      </c>
      <c r="E4708" s="17" t="s">
        <v>2388</v>
      </c>
      <c r="F4708" s="17"/>
      <c r="G4708" s="18" t="n">
        <v>12.26</v>
      </c>
      <c r="H4708" s="18" t="n">
        <v>0</v>
      </c>
      <c r="I4708" s="18" t="n">
        <f aca="false">((I4707 + G4708) - H4708)</f>
        <v>43674.99</v>
      </c>
      <c r="J4708" s="18" t="n">
        <v>0</v>
      </c>
      <c r="K4708" s="19" t="n">
        <v>0</v>
      </c>
      <c r="L4708" s="17" t="s">
        <v>1406</v>
      </c>
    </row>
    <row r="4709" s="11" customFormat="true" ht="10.95" hidden="false" customHeight="true" outlineLevel="0" collapsed="false">
      <c r="A4709" s="16" t="n">
        <v>45346</v>
      </c>
      <c r="B4709" s="17" t="s">
        <v>2192</v>
      </c>
      <c r="C4709" s="17" t="s">
        <v>1593</v>
      </c>
      <c r="D4709" s="17" t="s">
        <v>1391</v>
      </c>
      <c r="E4709" s="17" t="s">
        <v>2502</v>
      </c>
      <c r="F4709" s="17" t="s">
        <v>2503</v>
      </c>
      <c r="G4709" s="18" t="n">
        <v>540</v>
      </c>
      <c r="H4709" s="18" t="n">
        <v>0</v>
      </c>
      <c r="I4709" s="18" t="n">
        <f aca="false">((I4708 + G4709) - H4709)</f>
        <v>44214.99</v>
      </c>
      <c r="J4709" s="18" t="n">
        <v>54</v>
      </c>
      <c r="K4709" s="19" t="n">
        <v>10</v>
      </c>
      <c r="L4709" s="17" t="s">
        <v>44</v>
      </c>
    </row>
    <row r="4710" s="11" customFormat="true" ht="10.95" hidden="false" customHeight="true" outlineLevel="0" collapsed="false">
      <c r="A4710" s="16" t="n">
        <v>45347</v>
      </c>
      <c r="B4710" s="17" t="s">
        <v>2192</v>
      </c>
      <c r="C4710" s="17" t="s">
        <v>1593</v>
      </c>
      <c r="D4710" s="17" t="s">
        <v>1391</v>
      </c>
      <c r="E4710" s="17" t="s">
        <v>2504</v>
      </c>
      <c r="F4710" s="17" t="s">
        <v>2505</v>
      </c>
      <c r="G4710" s="18" t="n">
        <v>44.55</v>
      </c>
      <c r="H4710" s="18" t="n">
        <v>0</v>
      </c>
      <c r="I4710" s="18" t="n">
        <f aca="false">((I4709 + G4710) - H4710)</f>
        <v>44259.54</v>
      </c>
      <c r="J4710" s="18" t="n">
        <v>4.45</v>
      </c>
      <c r="K4710" s="19" t="n">
        <v>10</v>
      </c>
      <c r="L4710" s="17" t="s">
        <v>44</v>
      </c>
    </row>
    <row r="4711" s="11" customFormat="true" ht="10.95" hidden="false" customHeight="true" outlineLevel="0" collapsed="false">
      <c r="A4711" s="16" t="n">
        <v>45348</v>
      </c>
      <c r="B4711" s="17" t="s">
        <v>2192</v>
      </c>
      <c r="C4711" s="17" t="s">
        <v>1593</v>
      </c>
      <c r="D4711" s="17" t="s">
        <v>1407</v>
      </c>
      <c r="E4711" s="17" t="s">
        <v>2196</v>
      </c>
      <c r="F4711" s="17"/>
      <c r="G4711" s="18" t="n">
        <v>20.18</v>
      </c>
      <c r="H4711" s="18" t="n">
        <v>0</v>
      </c>
      <c r="I4711" s="18" t="n">
        <f aca="false">((I4710 + G4711) - H4711)</f>
        <v>44279.72</v>
      </c>
      <c r="J4711" s="18" t="n">
        <v>0</v>
      </c>
      <c r="K4711" s="19" t="n">
        <v>0</v>
      </c>
      <c r="L4711" s="17" t="s">
        <v>1406</v>
      </c>
    </row>
    <row r="4712" s="11" customFormat="true" ht="10.95" hidden="false" customHeight="true" outlineLevel="0" collapsed="false">
      <c r="A4712" s="16" t="n">
        <v>45348</v>
      </c>
      <c r="B4712" s="17" t="s">
        <v>2192</v>
      </c>
      <c r="C4712" s="17" t="s">
        <v>1593</v>
      </c>
      <c r="D4712" s="17" t="s">
        <v>1407</v>
      </c>
      <c r="E4712" s="17" t="s">
        <v>2196</v>
      </c>
      <c r="F4712" s="17"/>
      <c r="G4712" s="18" t="n">
        <v>26.91</v>
      </c>
      <c r="H4712" s="18" t="n">
        <v>0</v>
      </c>
      <c r="I4712" s="18" t="n">
        <f aca="false">((I4711 + G4712) - H4712)</f>
        <v>44306.63</v>
      </c>
      <c r="J4712" s="18" t="n">
        <v>0</v>
      </c>
      <c r="K4712" s="19" t="n">
        <v>0</v>
      </c>
      <c r="L4712" s="17" t="s">
        <v>1406</v>
      </c>
    </row>
    <row r="4713" s="11" customFormat="true" ht="10.95" hidden="false" customHeight="true" outlineLevel="0" collapsed="false">
      <c r="A4713" s="16" t="n">
        <v>45349</v>
      </c>
      <c r="B4713" s="17" t="s">
        <v>2192</v>
      </c>
      <c r="C4713" s="17" t="s">
        <v>1593</v>
      </c>
      <c r="D4713" s="17" t="s">
        <v>1407</v>
      </c>
      <c r="E4713" s="17" t="s">
        <v>2196</v>
      </c>
      <c r="F4713" s="17"/>
      <c r="G4713" s="18" t="n">
        <v>22.15</v>
      </c>
      <c r="H4713" s="18" t="n">
        <v>0</v>
      </c>
      <c r="I4713" s="18" t="n">
        <f aca="false">((I4712 + G4713) - H4713)</f>
        <v>44328.78</v>
      </c>
      <c r="J4713" s="18" t="n">
        <v>0</v>
      </c>
      <c r="K4713" s="19" t="n">
        <v>0</v>
      </c>
      <c r="L4713" s="17" t="s">
        <v>1406</v>
      </c>
    </row>
    <row r="4714" s="11" customFormat="true" ht="10.95" hidden="false" customHeight="true" outlineLevel="0" collapsed="false">
      <c r="A4714" s="16" t="n">
        <v>45350</v>
      </c>
      <c r="B4714" s="17" t="s">
        <v>2192</v>
      </c>
      <c r="C4714" s="17" t="s">
        <v>1593</v>
      </c>
      <c r="D4714" s="17" t="s">
        <v>1407</v>
      </c>
      <c r="E4714" s="17" t="s">
        <v>2291</v>
      </c>
      <c r="F4714" s="17"/>
      <c r="G4714" s="18" t="n">
        <v>176.41</v>
      </c>
      <c r="H4714" s="18" t="n">
        <v>0</v>
      </c>
      <c r="I4714" s="18" t="n">
        <f aca="false">((I4713 + G4714) - H4714)</f>
        <v>44505.19</v>
      </c>
      <c r="J4714" s="18" t="n">
        <v>17.64</v>
      </c>
      <c r="K4714" s="19" t="n">
        <v>10</v>
      </c>
      <c r="L4714" s="17" t="s">
        <v>44</v>
      </c>
    </row>
    <row r="4715" s="11" customFormat="true" ht="10.95" hidden="false" customHeight="true" outlineLevel="0" collapsed="false">
      <c r="A4715" s="16" t="n">
        <v>45350</v>
      </c>
      <c r="B4715" s="17" t="s">
        <v>2192</v>
      </c>
      <c r="C4715" s="17" t="s">
        <v>1593</v>
      </c>
      <c r="D4715" s="17" t="s">
        <v>1407</v>
      </c>
      <c r="E4715" s="17" t="s">
        <v>2498</v>
      </c>
      <c r="F4715" s="17"/>
      <c r="G4715" s="18" t="n">
        <v>111.84</v>
      </c>
      <c r="H4715" s="18" t="n">
        <v>0</v>
      </c>
      <c r="I4715" s="18" t="n">
        <f aca="false">((I4714 + G4715) - H4715)</f>
        <v>44617.03</v>
      </c>
      <c r="J4715" s="18" t="n">
        <v>0</v>
      </c>
      <c r="K4715" s="19" t="n">
        <v>0</v>
      </c>
      <c r="L4715" s="17" t="s">
        <v>1406</v>
      </c>
    </row>
    <row r="4716" s="11" customFormat="true" ht="10.95" hidden="false" customHeight="true" outlineLevel="0" collapsed="false">
      <c r="A4716" s="16" t="n">
        <v>45352</v>
      </c>
      <c r="B4716" s="17" t="s">
        <v>2192</v>
      </c>
      <c r="C4716" s="17" t="s">
        <v>1593</v>
      </c>
      <c r="D4716" s="17" t="s">
        <v>1407</v>
      </c>
      <c r="E4716" s="17" t="s">
        <v>2196</v>
      </c>
      <c r="F4716" s="17"/>
      <c r="G4716" s="18" t="n">
        <v>22.3</v>
      </c>
      <c r="H4716" s="18" t="n">
        <v>0</v>
      </c>
      <c r="I4716" s="18" t="n">
        <f aca="false">((I4715 + G4716) - H4716)</f>
        <v>44639.33</v>
      </c>
      <c r="J4716" s="18" t="n">
        <v>0</v>
      </c>
      <c r="K4716" s="19" t="n">
        <v>0</v>
      </c>
      <c r="L4716" s="17" t="s">
        <v>1406</v>
      </c>
    </row>
    <row r="4717" s="11" customFormat="true" ht="10.95" hidden="false" customHeight="true" outlineLevel="0" collapsed="false">
      <c r="A4717" s="16" t="n">
        <v>45353</v>
      </c>
      <c r="B4717" s="17" t="s">
        <v>2192</v>
      </c>
      <c r="C4717" s="17" t="s">
        <v>1593</v>
      </c>
      <c r="D4717" s="17" t="s">
        <v>1407</v>
      </c>
      <c r="E4717" s="17" t="s">
        <v>2194</v>
      </c>
      <c r="F4717" s="17"/>
      <c r="G4717" s="18" t="n">
        <v>77.15</v>
      </c>
      <c r="H4717" s="18" t="n">
        <v>0</v>
      </c>
      <c r="I4717" s="18" t="n">
        <f aca="false">((I4716 + G4717) - H4717)</f>
        <v>44716.48</v>
      </c>
      <c r="J4717" s="18" t="n">
        <v>0</v>
      </c>
      <c r="K4717" s="19" t="n">
        <v>0</v>
      </c>
      <c r="L4717" s="17" t="s">
        <v>1406</v>
      </c>
    </row>
    <row r="4718" s="11" customFormat="true" ht="10.95" hidden="false" customHeight="true" outlineLevel="0" collapsed="false">
      <c r="A4718" s="16" t="n">
        <v>45353</v>
      </c>
      <c r="B4718" s="17" t="s">
        <v>2192</v>
      </c>
      <c r="C4718" s="17" t="s">
        <v>1593</v>
      </c>
      <c r="D4718" s="17" t="s">
        <v>1407</v>
      </c>
      <c r="E4718" s="17" t="s">
        <v>2195</v>
      </c>
      <c r="F4718" s="17"/>
      <c r="G4718" s="18" t="n">
        <v>75</v>
      </c>
      <c r="H4718" s="18" t="n">
        <v>0</v>
      </c>
      <c r="I4718" s="18" t="n">
        <f aca="false">((I4717 + G4718) - H4718)</f>
        <v>44791.48</v>
      </c>
      <c r="J4718" s="18" t="n">
        <v>7.5</v>
      </c>
      <c r="K4718" s="19" t="n">
        <v>10</v>
      </c>
      <c r="L4718" s="17" t="s">
        <v>44</v>
      </c>
    </row>
    <row r="4719" s="11" customFormat="true" ht="10.95" hidden="false" customHeight="true" outlineLevel="0" collapsed="false">
      <c r="A4719" s="16" t="n">
        <v>45353</v>
      </c>
      <c r="B4719" s="17" t="s">
        <v>2192</v>
      </c>
      <c r="C4719" s="17" t="s">
        <v>1593</v>
      </c>
      <c r="D4719" s="17" t="s">
        <v>1407</v>
      </c>
      <c r="E4719" s="17" t="s">
        <v>2193</v>
      </c>
      <c r="F4719" s="17"/>
      <c r="G4719" s="18" t="n">
        <v>657.01</v>
      </c>
      <c r="H4719" s="18" t="n">
        <v>0</v>
      </c>
      <c r="I4719" s="18" t="n">
        <f aca="false">((I4718 + G4719) - H4719)</f>
        <v>45448.49</v>
      </c>
      <c r="J4719" s="18" t="n">
        <v>0</v>
      </c>
      <c r="K4719" s="19" t="n">
        <v>0</v>
      </c>
      <c r="L4719" s="17" t="s">
        <v>1406</v>
      </c>
    </row>
    <row r="4720" s="11" customFormat="true" ht="10.95" hidden="false" customHeight="true" outlineLevel="0" collapsed="false">
      <c r="A4720" s="16" t="n">
        <v>45356</v>
      </c>
      <c r="B4720" s="17" t="s">
        <v>2192</v>
      </c>
      <c r="C4720" s="17" t="s">
        <v>1593</v>
      </c>
      <c r="D4720" s="17" t="s">
        <v>1407</v>
      </c>
      <c r="E4720" s="17" t="s">
        <v>2475</v>
      </c>
      <c r="F4720" s="17"/>
      <c r="G4720" s="18" t="n">
        <v>15.6</v>
      </c>
      <c r="H4720" s="18" t="n">
        <v>0</v>
      </c>
      <c r="I4720" s="18" t="n">
        <f aca="false">((I4719 + G4720) - H4720)</f>
        <v>45464.09</v>
      </c>
      <c r="J4720" s="18" t="n">
        <v>0</v>
      </c>
      <c r="K4720" s="19" t="n">
        <v>0</v>
      </c>
      <c r="L4720" s="17" t="s">
        <v>1406</v>
      </c>
    </row>
    <row r="4721" s="11" customFormat="true" ht="10.95" hidden="false" customHeight="true" outlineLevel="0" collapsed="false">
      <c r="A4721" s="16" t="n">
        <v>45356</v>
      </c>
      <c r="B4721" s="17" t="s">
        <v>2192</v>
      </c>
      <c r="C4721" s="17" t="s">
        <v>1593</v>
      </c>
      <c r="D4721" s="17" t="s">
        <v>1407</v>
      </c>
      <c r="E4721" s="17" t="s">
        <v>2472</v>
      </c>
      <c r="F4721" s="17"/>
      <c r="G4721" s="18" t="n">
        <v>44.66</v>
      </c>
      <c r="H4721" s="18" t="n">
        <v>0</v>
      </c>
      <c r="I4721" s="18" t="n">
        <f aca="false">((I4720 + G4721) - H4721)</f>
        <v>45508.75</v>
      </c>
      <c r="J4721" s="18" t="n">
        <v>0</v>
      </c>
      <c r="K4721" s="19" t="n">
        <v>0</v>
      </c>
      <c r="L4721" s="17" t="s">
        <v>1406</v>
      </c>
    </row>
    <row r="4722" s="11" customFormat="true" ht="10.95" hidden="false" customHeight="true" outlineLevel="0" collapsed="false">
      <c r="A4722" s="16" t="n">
        <v>45357</v>
      </c>
      <c r="B4722" s="17" t="s">
        <v>2192</v>
      </c>
      <c r="C4722" s="17" t="s">
        <v>1593</v>
      </c>
      <c r="D4722" s="17" t="s">
        <v>1407</v>
      </c>
      <c r="E4722" s="17" t="s">
        <v>2208</v>
      </c>
      <c r="F4722" s="17"/>
      <c r="G4722" s="18" t="n">
        <v>11</v>
      </c>
      <c r="H4722" s="18" t="n">
        <v>0</v>
      </c>
      <c r="I4722" s="18" t="n">
        <f aca="false">((I4721 + G4722) - H4722)</f>
        <v>45519.75</v>
      </c>
      <c r="J4722" s="18" t="n">
        <v>1.1</v>
      </c>
      <c r="K4722" s="19" t="n">
        <v>10</v>
      </c>
      <c r="L4722" s="17" t="s">
        <v>44</v>
      </c>
    </row>
    <row r="4723" s="11" customFormat="true" ht="10.95" hidden="false" customHeight="true" outlineLevel="0" collapsed="false">
      <c r="A4723" s="16" t="n">
        <v>45357</v>
      </c>
      <c r="B4723" s="17" t="s">
        <v>2192</v>
      </c>
      <c r="C4723" s="17" t="s">
        <v>1593</v>
      </c>
      <c r="D4723" s="17" t="s">
        <v>1407</v>
      </c>
      <c r="E4723" s="17" t="s">
        <v>2208</v>
      </c>
      <c r="F4723" s="17"/>
      <c r="G4723" s="18" t="n">
        <v>18.7</v>
      </c>
      <c r="H4723" s="18" t="n">
        <v>0</v>
      </c>
      <c r="I4723" s="18" t="n">
        <f aca="false">((I4722 + G4723) - H4723)</f>
        <v>45538.45</v>
      </c>
      <c r="J4723" s="18" t="n">
        <v>1.87</v>
      </c>
      <c r="K4723" s="19" t="n">
        <v>10</v>
      </c>
      <c r="L4723" s="17" t="s">
        <v>44</v>
      </c>
    </row>
    <row r="4724" s="11" customFormat="true" ht="10.95" hidden="false" customHeight="true" outlineLevel="0" collapsed="false">
      <c r="A4724" s="16" t="n">
        <v>45357</v>
      </c>
      <c r="B4724" s="17" t="s">
        <v>2192</v>
      </c>
      <c r="C4724" s="17" t="s">
        <v>1593</v>
      </c>
      <c r="D4724" s="17" t="s">
        <v>1407</v>
      </c>
      <c r="E4724" s="17" t="s">
        <v>2506</v>
      </c>
      <c r="F4724" s="17"/>
      <c r="G4724" s="18" t="n">
        <v>90</v>
      </c>
      <c r="H4724" s="18" t="n">
        <v>0</v>
      </c>
      <c r="I4724" s="18" t="n">
        <f aca="false">((I4723 + G4724) - H4724)</f>
        <v>45628.45</v>
      </c>
      <c r="J4724" s="18" t="n">
        <v>9</v>
      </c>
      <c r="K4724" s="19" t="n">
        <v>10</v>
      </c>
      <c r="L4724" s="17" t="s">
        <v>44</v>
      </c>
    </row>
    <row r="4725" s="11" customFormat="true" ht="10.95" hidden="false" customHeight="true" outlineLevel="0" collapsed="false">
      <c r="A4725" s="16" t="n">
        <v>45357</v>
      </c>
      <c r="B4725" s="17" t="s">
        <v>2192</v>
      </c>
      <c r="C4725" s="17" t="s">
        <v>1593</v>
      </c>
      <c r="D4725" s="17" t="s">
        <v>1407</v>
      </c>
      <c r="E4725" s="17" t="s">
        <v>2196</v>
      </c>
      <c r="F4725" s="17"/>
      <c r="G4725" s="18" t="n">
        <v>17.73</v>
      </c>
      <c r="H4725" s="18" t="n">
        <v>0</v>
      </c>
      <c r="I4725" s="18" t="n">
        <f aca="false">((I4724 + G4725) - H4725)</f>
        <v>45646.18</v>
      </c>
      <c r="J4725" s="18" t="n">
        <v>0</v>
      </c>
      <c r="K4725" s="19" t="n">
        <v>0</v>
      </c>
      <c r="L4725" s="17" t="s">
        <v>1406</v>
      </c>
    </row>
    <row r="4726" s="11" customFormat="true" ht="10.95" hidden="false" customHeight="true" outlineLevel="0" collapsed="false">
      <c r="A4726" s="16" t="n">
        <v>45358</v>
      </c>
      <c r="B4726" s="17" t="s">
        <v>2192</v>
      </c>
      <c r="C4726" s="17" t="s">
        <v>1593</v>
      </c>
      <c r="D4726" s="17" t="s">
        <v>1407</v>
      </c>
      <c r="E4726" s="17" t="s">
        <v>2298</v>
      </c>
      <c r="F4726" s="17"/>
      <c r="G4726" s="18" t="n">
        <v>65</v>
      </c>
      <c r="H4726" s="18" t="n">
        <v>0</v>
      </c>
      <c r="I4726" s="18" t="n">
        <f aca="false">((I4725 + G4726) - H4726)</f>
        <v>45711.18</v>
      </c>
      <c r="J4726" s="18" t="n">
        <v>6.5</v>
      </c>
      <c r="K4726" s="19" t="n">
        <v>10</v>
      </c>
      <c r="L4726" s="17" t="s">
        <v>44</v>
      </c>
    </row>
    <row r="4727" s="11" customFormat="true" ht="10.95" hidden="false" customHeight="true" outlineLevel="0" collapsed="false">
      <c r="A4727" s="16" t="n">
        <v>45358</v>
      </c>
      <c r="B4727" s="17" t="s">
        <v>2192</v>
      </c>
      <c r="C4727" s="17" t="s">
        <v>1593</v>
      </c>
      <c r="D4727" s="17" t="s">
        <v>1407</v>
      </c>
      <c r="E4727" s="17" t="s">
        <v>2196</v>
      </c>
      <c r="F4727" s="17"/>
      <c r="G4727" s="18" t="n">
        <v>4.53</v>
      </c>
      <c r="H4727" s="18" t="n">
        <v>0</v>
      </c>
      <c r="I4727" s="18" t="n">
        <f aca="false">((I4726 + G4727) - H4727)</f>
        <v>45715.71</v>
      </c>
      <c r="J4727" s="18" t="n">
        <v>0</v>
      </c>
      <c r="K4727" s="19" t="n">
        <v>0</v>
      </c>
      <c r="L4727" s="17" t="s">
        <v>1406</v>
      </c>
    </row>
    <row r="4728" s="11" customFormat="true" ht="10.95" hidden="false" customHeight="true" outlineLevel="0" collapsed="false">
      <c r="A4728" s="16" t="n">
        <v>45363</v>
      </c>
      <c r="B4728" s="17" t="s">
        <v>2192</v>
      </c>
      <c r="C4728" s="17" t="s">
        <v>1593</v>
      </c>
      <c r="D4728" s="17" t="s">
        <v>1407</v>
      </c>
      <c r="E4728" s="17" t="s">
        <v>2196</v>
      </c>
      <c r="F4728" s="17"/>
      <c r="G4728" s="18" t="n">
        <v>4.52</v>
      </c>
      <c r="H4728" s="18" t="n">
        <v>0</v>
      </c>
      <c r="I4728" s="18" t="n">
        <f aca="false">((I4727 + G4728) - H4728)</f>
        <v>45720.23</v>
      </c>
      <c r="J4728" s="18" t="n">
        <v>0</v>
      </c>
      <c r="K4728" s="19" t="n">
        <v>0</v>
      </c>
      <c r="L4728" s="17" t="s">
        <v>1406</v>
      </c>
    </row>
    <row r="4729" s="11" customFormat="true" ht="10.95" hidden="false" customHeight="true" outlineLevel="0" collapsed="false">
      <c r="A4729" s="16" t="n">
        <v>45363</v>
      </c>
      <c r="B4729" s="17" t="s">
        <v>2192</v>
      </c>
      <c r="C4729" s="17" t="s">
        <v>1593</v>
      </c>
      <c r="D4729" s="17" t="s">
        <v>1407</v>
      </c>
      <c r="E4729" s="17" t="s">
        <v>2196</v>
      </c>
      <c r="F4729" s="17"/>
      <c r="G4729" s="18" t="n">
        <v>37.78</v>
      </c>
      <c r="H4729" s="18" t="n">
        <v>0</v>
      </c>
      <c r="I4729" s="18" t="n">
        <f aca="false">((I4728 + G4729) - H4729)</f>
        <v>45758.01</v>
      </c>
      <c r="J4729" s="18" t="n">
        <v>0</v>
      </c>
      <c r="K4729" s="19" t="n">
        <v>0</v>
      </c>
      <c r="L4729" s="17" t="s">
        <v>1406</v>
      </c>
    </row>
    <row r="4730" s="11" customFormat="true" ht="10.95" hidden="false" customHeight="true" outlineLevel="0" collapsed="false">
      <c r="A4730" s="16" t="n">
        <v>45364</v>
      </c>
      <c r="B4730" s="17" t="s">
        <v>2192</v>
      </c>
      <c r="C4730" s="17" t="s">
        <v>1593</v>
      </c>
      <c r="D4730" s="17" t="s">
        <v>1407</v>
      </c>
      <c r="E4730" s="17" t="s">
        <v>2196</v>
      </c>
      <c r="F4730" s="17"/>
      <c r="G4730" s="18" t="n">
        <v>1.5</v>
      </c>
      <c r="H4730" s="18" t="n">
        <v>0</v>
      </c>
      <c r="I4730" s="18" t="n">
        <f aca="false">((I4729 + G4730) - H4730)</f>
        <v>45759.51</v>
      </c>
      <c r="J4730" s="18" t="n">
        <v>0</v>
      </c>
      <c r="K4730" s="19" t="n">
        <v>0</v>
      </c>
      <c r="L4730" s="17" t="s">
        <v>1406</v>
      </c>
    </row>
    <row r="4731" s="11" customFormat="true" ht="10.95" hidden="false" customHeight="true" outlineLevel="0" collapsed="false">
      <c r="A4731" s="16" t="n">
        <v>45365</v>
      </c>
      <c r="B4731" s="17" t="s">
        <v>2192</v>
      </c>
      <c r="C4731" s="17" t="s">
        <v>1593</v>
      </c>
      <c r="D4731" s="17" t="s">
        <v>1407</v>
      </c>
      <c r="E4731" s="17" t="s">
        <v>2193</v>
      </c>
      <c r="F4731" s="17"/>
      <c r="G4731" s="18" t="n">
        <v>179.25</v>
      </c>
      <c r="H4731" s="18" t="n">
        <v>0</v>
      </c>
      <c r="I4731" s="18" t="n">
        <f aca="false">((I4730 + G4731) - H4731)</f>
        <v>45938.76</v>
      </c>
      <c r="J4731" s="18" t="n">
        <v>0</v>
      </c>
      <c r="K4731" s="19" t="n">
        <v>0</v>
      </c>
      <c r="L4731" s="17" t="s">
        <v>1406</v>
      </c>
    </row>
    <row r="4732" s="11" customFormat="true" ht="10.95" hidden="false" customHeight="true" outlineLevel="0" collapsed="false">
      <c r="A4732" s="16" t="n">
        <v>45366</v>
      </c>
      <c r="B4732" s="17" t="s">
        <v>2192</v>
      </c>
      <c r="C4732" s="17" t="s">
        <v>1593</v>
      </c>
      <c r="D4732" s="17" t="s">
        <v>1407</v>
      </c>
      <c r="E4732" s="17" t="s">
        <v>2196</v>
      </c>
      <c r="F4732" s="17"/>
      <c r="G4732" s="18" t="n">
        <v>41.94</v>
      </c>
      <c r="H4732" s="18" t="n">
        <v>0</v>
      </c>
      <c r="I4732" s="18" t="n">
        <f aca="false">((I4731 + G4732) - H4732)</f>
        <v>45980.7</v>
      </c>
      <c r="J4732" s="18" t="n">
        <v>0</v>
      </c>
      <c r="K4732" s="19" t="n">
        <v>0</v>
      </c>
      <c r="L4732" s="17" t="s">
        <v>1406</v>
      </c>
    </row>
    <row r="4733" s="11" customFormat="true" ht="10.95" hidden="false" customHeight="true" outlineLevel="0" collapsed="false">
      <c r="A4733" s="16" t="n">
        <v>45367</v>
      </c>
      <c r="B4733" s="17" t="s">
        <v>2192</v>
      </c>
      <c r="C4733" s="17" t="s">
        <v>1593</v>
      </c>
      <c r="D4733" s="17" t="s">
        <v>1407</v>
      </c>
      <c r="E4733" s="17" t="s">
        <v>2196</v>
      </c>
      <c r="F4733" s="17"/>
      <c r="G4733" s="18" t="n">
        <v>33.58</v>
      </c>
      <c r="H4733" s="18" t="n">
        <v>0</v>
      </c>
      <c r="I4733" s="18" t="n">
        <f aca="false">((I4732 + G4733) - H4733)</f>
        <v>46014.28</v>
      </c>
      <c r="J4733" s="18" t="n">
        <v>0</v>
      </c>
      <c r="K4733" s="19" t="n">
        <v>0</v>
      </c>
      <c r="L4733" s="17" t="s">
        <v>1406</v>
      </c>
    </row>
    <row r="4734" s="11" customFormat="true" ht="10.95" hidden="false" customHeight="true" outlineLevel="0" collapsed="false">
      <c r="A4734" s="16" t="n">
        <v>45369</v>
      </c>
      <c r="B4734" s="17" t="s">
        <v>2192</v>
      </c>
      <c r="C4734" s="17" t="s">
        <v>1593</v>
      </c>
      <c r="D4734" s="17" t="s">
        <v>1391</v>
      </c>
      <c r="E4734" s="17" t="s">
        <v>2507</v>
      </c>
      <c r="F4734" s="17" t="s">
        <v>2508</v>
      </c>
      <c r="G4734" s="18" t="n">
        <v>199.8</v>
      </c>
      <c r="H4734" s="18" t="n">
        <v>0</v>
      </c>
      <c r="I4734" s="18" t="n">
        <f aca="false">((I4733 + G4734) - H4734)</f>
        <v>46214.08</v>
      </c>
      <c r="J4734" s="18" t="n">
        <v>19.98</v>
      </c>
      <c r="K4734" s="19" t="n">
        <v>10</v>
      </c>
      <c r="L4734" s="17" t="s">
        <v>44</v>
      </c>
    </row>
    <row r="4735" s="11" customFormat="true" ht="10.95" hidden="false" customHeight="true" outlineLevel="0" collapsed="false">
      <c r="A4735" s="16" t="n">
        <v>45369</v>
      </c>
      <c r="B4735" s="17" t="s">
        <v>2192</v>
      </c>
      <c r="C4735" s="17" t="s">
        <v>1593</v>
      </c>
      <c r="D4735" s="17" t="s">
        <v>1391</v>
      </c>
      <c r="E4735" s="17" t="s">
        <v>2509</v>
      </c>
      <c r="F4735" s="17" t="s">
        <v>2510</v>
      </c>
      <c r="G4735" s="18" t="n">
        <v>62</v>
      </c>
      <c r="H4735" s="18" t="n">
        <v>0</v>
      </c>
      <c r="I4735" s="18" t="n">
        <f aca="false">((I4734 + G4735) - H4735)</f>
        <v>46276.08</v>
      </c>
      <c r="J4735" s="18" t="n">
        <v>6.2</v>
      </c>
      <c r="K4735" s="19" t="n">
        <v>10</v>
      </c>
      <c r="L4735" s="17" t="s">
        <v>44</v>
      </c>
    </row>
    <row r="4736" s="11" customFormat="true" ht="10.95" hidden="false" customHeight="true" outlineLevel="0" collapsed="false">
      <c r="A4736" s="16" t="n">
        <v>45369</v>
      </c>
      <c r="B4736" s="17" t="s">
        <v>2192</v>
      </c>
      <c r="C4736" s="17" t="s">
        <v>1593</v>
      </c>
      <c r="D4736" s="17" t="s">
        <v>1391</v>
      </c>
      <c r="E4736" s="17" t="s">
        <v>2511</v>
      </c>
      <c r="F4736" s="17" t="s">
        <v>2512</v>
      </c>
      <c r="G4736" s="18" t="n">
        <v>44.8</v>
      </c>
      <c r="H4736" s="18" t="n">
        <v>0</v>
      </c>
      <c r="I4736" s="18" t="n">
        <f aca="false">((I4735 + G4736) - H4736)</f>
        <v>46320.88</v>
      </c>
      <c r="J4736" s="18" t="n">
        <v>4.48</v>
      </c>
      <c r="K4736" s="19" t="n">
        <v>10</v>
      </c>
      <c r="L4736" s="17" t="s">
        <v>44</v>
      </c>
    </row>
    <row r="4737" s="11" customFormat="true" ht="10.95" hidden="false" customHeight="true" outlineLevel="0" collapsed="false">
      <c r="A4737" s="16" t="n">
        <v>45369</v>
      </c>
      <c r="B4737" s="17" t="s">
        <v>2192</v>
      </c>
      <c r="C4737" s="17" t="s">
        <v>1593</v>
      </c>
      <c r="D4737" s="17" t="s">
        <v>1391</v>
      </c>
      <c r="E4737" s="17" t="s">
        <v>2513</v>
      </c>
      <c r="F4737" s="17" t="s">
        <v>2514</v>
      </c>
      <c r="G4737" s="18" t="n">
        <v>9</v>
      </c>
      <c r="H4737" s="18" t="n">
        <v>0</v>
      </c>
      <c r="I4737" s="18" t="n">
        <f aca="false">((I4736 + G4737) - H4737)</f>
        <v>46329.88</v>
      </c>
      <c r="J4737" s="18" t="n">
        <v>0.9</v>
      </c>
      <c r="K4737" s="19" t="n">
        <v>10</v>
      </c>
      <c r="L4737" s="17" t="s">
        <v>44</v>
      </c>
    </row>
    <row r="4738" s="11" customFormat="true" ht="10.95" hidden="false" customHeight="true" outlineLevel="0" collapsed="false">
      <c r="A4738" s="16" t="n">
        <v>45369</v>
      </c>
      <c r="B4738" s="17" t="s">
        <v>2192</v>
      </c>
      <c r="C4738" s="17" t="s">
        <v>1593</v>
      </c>
      <c r="D4738" s="17" t="s">
        <v>1391</v>
      </c>
      <c r="E4738" s="17" t="s">
        <v>2515</v>
      </c>
      <c r="F4738" s="17" t="s">
        <v>2516</v>
      </c>
      <c r="G4738" s="18" t="n">
        <v>22</v>
      </c>
      <c r="H4738" s="18" t="n">
        <v>0</v>
      </c>
      <c r="I4738" s="18" t="n">
        <f aca="false">((I4737 + G4738) - H4738)</f>
        <v>46351.88</v>
      </c>
      <c r="J4738" s="18" t="n">
        <v>2.2</v>
      </c>
      <c r="K4738" s="19" t="n">
        <v>10</v>
      </c>
      <c r="L4738" s="17" t="s">
        <v>44</v>
      </c>
    </row>
    <row r="4739" s="11" customFormat="true" ht="10.95" hidden="false" customHeight="true" outlineLevel="0" collapsed="false">
      <c r="A4739" s="16" t="n">
        <v>45369</v>
      </c>
      <c r="B4739" s="17" t="s">
        <v>2192</v>
      </c>
      <c r="C4739" s="17" t="s">
        <v>1593</v>
      </c>
      <c r="D4739" s="17" t="s">
        <v>1391</v>
      </c>
      <c r="E4739" s="17" t="s">
        <v>2517</v>
      </c>
      <c r="F4739" s="17" t="s">
        <v>2518</v>
      </c>
      <c r="G4739" s="18" t="n">
        <v>55</v>
      </c>
      <c r="H4739" s="18" t="n">
        <v>0</v>
      </c>
      <c r="I4739" s="18" t="n">
        <f aca="false">((I4738 + G4739) - H4739)</f>
        <v>46406.88</v>
      </c>
      <c r="J4739" s="18" t="n">
        <v>5.5</v>
      </c>
      <c r="K4739" s="19" t="n">
        <v>10</v>
      </c>
      <c r="L4739" s="17" t="s">
        <v>44</v>
      </c>
    </row>
    <row r="4740" s="11" customFormat="true" ht="10.95" hidden="false" customHeight="true" outlineLevel="0" collapsed="false">
      <c r="A4740" s="16" t="n">
        <v>45369</v>
      </c>
      <c r="B4740" s="17" t="s">
        <v>2192</v>
      </c>
      <c r="C4740" s="17" t="s">
        <v>1593</v>
      </c>
      <c r="D4740" s="17" t="s">
        <v>1391</v>
      </c>
      <c r="E4740" s="17" t="s">
        <v>2519</v>
      </c>
      <c r="F4740" s="17" t="s">
        <v>2520</v>
      </c>
      <c r="G4740" s="18" t="n">
        <v>32.9</v>
      </c>
      <c r="H4740" s="18" t="n">
        <v>0</v>
      </c>
      <c r="I4740" s="18" t="n">
        <f aca="false">((I4739 + G4740) - H4740)</f>
        <v>46439.78</v>
      </c>
      <c r="J4740" s="18" t="n">
        <v>3.29</v>
      </c>
      <c r="K4740" s="19" t="n">
        <v>10</v>
      </c>
      <c r="L4740" s="17" t="s">
        <v>44</v>
      </c>
    </row>
    <row r="4741" s="11" customFormat="true" ht="10.95" hidden="false" customHeight="true" outlineLevel="0" collapsed="false">
      <c r="A4741" s="16" t="n">
        <v>45369</v>
      </c>
      <c r="B4741" s="17" t="s">
        <v>2192</v>
      </c>
      <c r="C4741" s="17" t="s">
        <v>1593</v>
      </c>
      <c r="D4741" s="17" t="s">
        <v>1391</v>
      </c>
      <c r="E4741" s="17" t="s">
        <v>2521</v>
      </c>
      <c r="F4741" s="17" t="s">
        <v>2522</v>
      </c>
      <c r="G4741" s="18" t="n">
        <v>76</v>
      </c>
      <c r="H4741" s="18" t="n">
        <v>0</v>
      </c>
      <c r="I4741" s="18" t="n">
        <f aca="false">((I4740 + G4741) - H4741)</f>
        <v>46515.78</v>
      </c>
      <c r="J4741" s="18" t="n">
        <v>7.6</v>
      </c>
      <c r="K4741" s="19" t="n">
        <v>10</v>
      </c>
      <c r="L4741" s="17" t="s">
        <v>44</v>
      </c>
    </row>
    <row r="4742" s="11" customFormat="true" ht="10.95" hidden="false" customHeight="true" outlineLevel="0" collapsed="false">
      <c r="A4742" s="16" t="n">
        <v>45370</v>
      </c>
      <c r="B4742" s="17" t="s">
        <v>2192</v>
      </c>
      <c r="C4742" s="17" t="s">
        <v>1593</v>
      </c>
      <c r="D4742" s="17" t="s">
        <v>1407</v>
      </c>
      <c r="E4742" s="17" t="s">
        <v>2216</v>
      </c>
      <c r="F4742" s="17"/>
      <c r="G4742" s="18" t="n">
        <v>15.45</v>
      </c>
      <c r="H4742" s="18" t="n">
        <v>0</v>
      </c>
      <c r="I4742" s="18" t="n">
        <f aca="false">((I4741 + G4742) - H4742)</f>
        <v>46531.23</v>
      </c>
      <c r="J4742" s="18" t="n">
        <v>1.54</v>
      </c>
      <c r="K4742" s="19" t="n">
        <v>10</v>
      </c>
      <c r="L4742" s="17" t="s">
        <v>44</v>
      </c>
    </row>
    <row r="4743" s="11" customFormat="true" ht="10.95" hidden="false" customHeight="true" outlineLevel="0" collapsed="false">
      <c r="A4743" s="16" t="n">
        <v>45370</v>
      </c>
      <c r="B4743" s="17" t="s">
        <v>2192</v>
      </c>
      <c r="C4743" s="17" t="s">
        <v>1593</v>
      </c>
      <c r="D4743" s="17" t="s">
        <v>1407</v>
      </c>
      <c r="E4743" s="17" t="s">
        <v>2234</v>
      </c>
      <c r="F4743" s="17"/>
      <c r="G4743" s="18" t="n">
        <v>74.62</v>
      </c>
      <c r="H4743" s="18" t="n">
        <v>0</v>
      </c>
      <c r="I4743" s="18" t="n">
        <f aca="false">((I4742 + G4743) - H4743)</f>
        <v>46605.85</v>
      </c>
      <c r="J4743" s="18" t="n">
        <v>7.46</v>
      </c>
      <c r="K4743" s="19" t="n">
        <v>10</v>
      </c>
      <c r="L4743" s="17" t="s">
        <v>44</v>
      </c>
    </row>
    <row r="4744" s="11" customFormat="true" ht="10.95" hidden="false" customHeight="true" outlineLevel="0" collapsed="false">
      <c r="A4744" s="16" t="n">
        <v>45370</v>
      </c>
      <c r="B4744" s="17" t="s">
        <v>2192</v>
      </c>
      <c r="C4744" s="17" t="s">
        <v>1593</v>
      </c>
      <c r="D4744" s="17" t="s">
        <v>1407</v>
      </c>
      <c r="E4744" s="17" t="s">
        <v>1580</v>
      </c>
      <c r="F4744" s="17"/>
      <c r="G4744" s="18" t="n">
        <v>247.73</v>
      </c>
      <c r="H4744" s="18" t="n">
        <v>0</v>
      </c>
      <c r="I4744" s="18" t="n">
        <f aca="false">((I4743 + G4744) - H4744)</f>
        <v>46853.58</v>
      </c>
      <c r="J4744" s="18" t="n">
        <v>24.77</v>
      </c>
      <c r="K4744" s="19" t="n">
        <v>10</v>
      </c>
      <c r="L4744" s="17" t="s">
        <v>44</v>
      </c>
    </row>
    <row r="4745" s="11" customFormat="true" ht="10.95" hidden="false" customHeight="true" outlineLevel="0" collapsed="false">
      <c r="A4745" s="16" t="n">
        <v>45370</v>
      </c>
      <c r="B4745" s="17" t="s">
        <v>2192</v>
      </c>
      <c r="C4745" s="17" t="s">
        <v>1593</v>
      </c>
      <c r="D4745" s="17" t="s">
        <v>1407</v>
      </c>
      <c r="E4745" s="17" t="s">
        <v>2238</v>
      </c>
      <c r="F4745" s="17"/>
      <c r="G4745" s="18" t="n">
        <v>30.68</v>
      </c>
      <c r="H4745" s="18" t="n">
        <v>0</v>
      </c>
      <c r="I4745" s="18" t="n">
        <f aca="false">((I4744 + G4745) - H4745)</f>
        <v>46884.26</v>
      </c>
      <c r="J4745" s="18" t="n">
        <v>0</v>
      </c>
      <c r="K4745" s="19" t="n">
        <v>0</v>
      </c>
      <c r="L4745" s="17" t="s">
        <v>1406</v>
      </c>
    </row>
    <row r="4746" s="11" customFormat="true" ht="10.95" hidden="false" customHeight="true" outlineLevel="0" collapsed="false">
      <c r="A4746" s="16" t="n">
        <v>45370</v>
      </c>
      <c r="B4746" s="17" t="s">
        <v>2192</v>
      </c>
      <c r="C4746" s="17" t="s">
        <v>1593</v>
      </c>
      <c r="D4746" s="17" t="s">
        <v>1407</v>
      </c>
      <c r="E4746" s="17" t="s">
        <v>2196</v>
      </c>
      <c r="F4746" s="17"/>
      <c r="G4746" s="18" t="n">
        <v>18.88</v>
      </c>
      <c r="H4746" s="18" t="n">
        <v>0</v>
      </c>
      <c r="I4746" s="18" t="n">
        <f aca="false">((I4745 + G4746) - H4746)</f>
        <v>46903.14</v>
      </c>
      <c r="J4746" s="18" t="n">
        <v>0</v>
      </c>
      <c r="K4746" s="19" t="n">
        <v>0</v>
      </c>
      <c r="L4746" s="17" t="s">
        <v>1406</v>
      </c>
    </row>
    <row r="4747" s="11" customFormat="true" ht="10.95" hidden="false" customHeight="true" outlineLevel="0" collapsed="false">
      <c r="A4747" s="16" t="n">
        <v>45370</v>
      </c>
      <c r="B4747" s="17" t="s">
        <v>2192</v>
      </c>
      <c r="C4747" s="17" t="s">
        <v>1593</v>
      </c>
      <c r="D4747" s="17" t="s">
        <v>1391</v>
      </c>
      <c r="E4747" s="17" t="s">
        <v>2523</v>
      </c>
      <c r="F4747" s="17" t="s">
        <v>2524</v>
      </c>
      <c r="G4747" s="18" t="n">
        <v>69.03</v>
      </c>
      <c r="H4747" s="18" t="n">
        <v>0</v>
      </c>
      <c r="I4747" s="18" t="n">
        <f aca="false">((I4746 + G4747) - H4747)</f>
        <v>46972.17</v>
      </c>
      <c r="J4747" s="18" t="n">
        <v>0</v>
      </c>
      <c r="K4747" s="19" t="n">
        <v>0</v>
      </c>
      <c r="L4747" s="17" t="s">
        <v>1406</v>
      </c>
    </row>
    <row r="4748" s="11" customFormat="true" ht="10.95" hidden="false" customHeight="true" outlineLevel="0" collapsed="false">
      <c r="A4748" s="16" t="n">
        <v>45371</v>
      </c>
      <c r="B4748" s="17" t="s">
        <v>2192</v>
      </c>
      <c r="C4748" s="17" t="s">
        <v>1593</v>
      </c>
      <c r="D4748" s="17" t="s">
        <v>1391</v>
      </c>
      <c r="E4748" s="17" t="s">
        <v>2525</v>
      </c>
      <c r="F4748" s="17" t="s">
        <v>2526</v>
      </c>
      <c r="G4748" s="18" t="n">
        <v>88.18</v>
      </c>
      <c r="H4748" s="18" t="n">
        <v>0</v>
      </c>
      <c r="I4748" s="18" t="n">
        <f aca="false">((I4747 + G4748) - H4748)</f>
        <v>47060.35</v>
      </c>
      <c r="J4748" s="18" t="n">
        <v>8.82</v>
      </c>
      <c r="K4748" s="19" t="n">
        <v>10</v>
      </c>
      <c r="L4748" s="17" t="s">
        <v>44</v>
      </c>
    </row>
    <row r="4749" s="11" customFormat="true" ht="10.95" hidden="false" customHeight="true" outlineLevel="0" collapsed="false">
      <c r="A4749" s="16" t="n">
        <v>45372</v>
      </c>
      <c r="B4749" s="17" t="s">
        <v>2192</v>
      </c>
      <c r="C4749" s="17" t="s">
        <v>1593</v>
      </c>
      <c r="D4749" s="17" t="s">
        <v>1407</v>
      </c>
      <c r="E4749" s="17" t="s">
        <v>2196</v>
      </c>
      <c r="F4749" s="17"/>
      <c r="G4749" s="18" t="n">
        <v>62.52</v>
      </c>
      <c r="H4749" s="18" t="n">
        <v>0</v>
      </c>
      <c r="I4749" s="18" t="n">
        <f aca="false">((I4748 + G4749) - H4749)</f>
        <v>47122.87</v>
      </c>
      <c r="J4749" s="18" t="n">
        <v>0</v>
      </c>
      <c r="K4749" s="19" t="n">
        <v>0</v>
      </c>
      <c r="L4749" s="17" t="s">
        <v>1406</v>
      </c>
    </row>
    <row r="4750" s="11" customFormat="true" ht="10.95" hidden="false" customHeight="true" outlineLevel="0" collapsed="false">
      <c r="A4750" s="16" t="n">
        <v>45376</v>
      </c>
      <c r="B4750" s="17" t="s">
        <v>2192</v>
      </c>
      <c r="C4750" s="17" t="s">
        <v>1593</v>
      </c>
      <c r="D4750" s="17" t="s">
        <v>1407</v>
      </c>
      <c r="E4750" s="17" t="s">
        <v>2196</v>
      </c>
      <c r="F4750" s="17"/>
      <c r="G4750" s="18" t="n">
        <v>26.99</v>
      </c>
      <c r="H4750" s="18" t="n">
        <v>0</v>
      </c>
      <c r="I4750" s="18" t="n">
        <f aca="false">((I4749 + G4750) - H4750)</f>
        <v>47149.86</v>
      </c>
      <c r="J4750" s="18" t="n">
        <v>0</v>
      </c>
      <c r="K4750" s="19" t="n">
        <v>0</v>
      </c>
      <c r="L4750" s="17" t="s">
        <v>1406</v>
      </c>
    </row>
    <row r="4751" s="11" customFormat="true" ht="10.95" hidden="false" customHeight="true" outlineLevel="0" collapsed="false">
      <c r="A4751" s="16" t="n">
        <v>45376</v>
      </c>
      <c r="B4751" s="17" t="s">
        <v>2192</v>
      </c>
      <c r="C4751" s="17" t="s">
        <v>1593</v>
      </c>
      <c r="D4751" s="17" t="s">
        <v>1407</v>
      </c>
      <c r="E4751" s="17" t="s">
        <v>2196</v>
      </c>
      <c r="F4751" s="17"/>
      <c r="G4751" s="18" t="n">
        <v>20.24</v>
      </c>
      <c r="H4751" s="18" t="n">
        <v>0</v>
      </c>
      <c r="I4751" s="18" t="n">
        <f aca="false">((I4750 + G4751) - H4751)</f>
        <v>47170.1</v>
      </c>
      <c r="J4751" s="18" t="n">
        <v>0</v>
      </c>
      <c r="K4751" s="19" t="n">
        <v>0</v>
      </c>
      <c r="L4751" s="17" t="s">
        <v>1406</v>
      </c>
    </row>
    <row r="4752" s="11" customFormat="true" ht="10.95" hidden="false" customHeight="true" outlineLevel="0" collapsed="false">
      <c r="A4752" s="16" t="n">
        <v>45376</v>
      </c>
      <c r="B4752" s="17" t="s">
        <v>2192</v>
      </c>
      <c r="C4752" s="17" t="s">
        <v>1593</v>
      </c>
      <c r="D4752" s="17" t="s">
        <v>1407</v>
      </c>
      <c r="E4752" s="17" t="s">
        <v>2527</v>
      </c>
      <c r="F4752" s="17"/>
      <c r="G4752" s="18" t="n">
        <v>44.55</v>
      </c>
      <c r="H4752" s="18" t="n">
        <v>0</v>
      </c>
      <c r="I4752" s="18" t="n">
        <f aca="false">((I4751 + G4752) - H4752)</f>
        <v>47214.65</v>
      </c>
      <c r="J4752" s="18" t="n">
        <v>4.45</v>
      </c>
      <c r="K4752" s="19" t="n">
        <v>10</v>
      </c>
      <c r="L4752" s="17" t="s">
        <v>44</v>
      </c>
    </row>
    <row r="4753" s="11" customFormat="true" ht="10.95" hidden="false" customHeight="true" outlineLevel="0" collapsed="false">
      <c r="A4753" s="16" t="n">
        <v>45378</v>
      </c>
      <c r="B4753" s="17" t="s">
        <v>2192</v>
      </c>
      <c r="C4753" s="17" t="s">
        <v>1593</v>
      </c>
      <c r="D4753" s="17" t="s">
        <v>1407</v>
      </c>
      <c r="E4753" s="17" t="s">
        <v>2196</v>
      </c>
      <c r="F4753" s="17"/>
      <c r="G4753" s="18" t="n">
        <v>22.25</v>
      </c>
      <c r="H4753" s="18" t="n">
        <v>0</v>
      </c>
      <c r="I4753" s="18" t="n">
        <f aca="false">((I4752 + G4753) - H4753)</f>
        <v>47236.9</v>
      </c>
      <c r="J4753" s="18" t="n">
        <v>0</v>
      </c>
      <c r="K4753" s="19" t="n">
        <v>0</v>
      </c>
      <c r="L4753" s="17" t="s">
        <v>1406</v>
      </c>
    </row>
    <row r="4754" s="11" customFormat="true" ht="10.95" hidden="false" customHeight="true" outlineLevel="0" collapsed="false">
      <c r="A4754" s="16" t="n">
        <v>45379</v>
      </c>
      <c r="B4754" s="17" t="s">
        <v>2192</v>
      </c>
      <c r="C4754" s="17" t="s">
        <v>1593</v>
      </c>
      <c r="D4754" s="17" t="s">
        <v>1407</v>
      </c>
      <c r="E4754" s="17" t="s">
        <v>2291</v>
      </c>
      <c r="F4754" s="17"/>
      <c r="G4754" s="18" t="n">
        <v>180.95</v>
      </c>
      <c r="H4754" s="18" t="n">
        <v>0</v>
      </c>
      <c r="I4754" s="18" t="n">
        <f aca="false">((I4753 + G4754) - H4754)</f>
        <v>47417.85</v>
      </c>
      <c r="J4754" s="18" t="n">
        <v>18.1</v>
      </c>
      <c r="K4754" s="19" t="n">
        <v>10</v>
      </c>
      <c r="L4754" s="17" t="s">
        <v>44</v>
      </c>
    </row>
    <row r="4755" s="11" customFormat="true" ht="10.95" hidden="false" customHeight="true" outlineLevel="0" collapsed="false">
      <c r="A4755" s="16" t="n">
        <v>45380</v>
      </c>
      <c r="B4755" s="17" t="s">
        <v>2192</v>
      </c>
      <c r="C4755" s="17" t="s">
        <v>1593</v>
      </c>
      <c r="D4755" s="17" t="s">
        <v>1407</v>
      </c>
      <c r="E4755" s="17" t="s">
        <v>2193</v>
      </c>
      <c r="F4755" s="17"/>
      <c r="G4755" s="18" t="n">
        <v>657.93</v>
      </c>
      <c r="H4755" s="18" t="n">
        <v>0</v>
      </c>
      <c r="I4755" s="18" t="n">
        <f aca="false">((I4754 + G4755) - H4755)</f>
        <v>48075.78</v>
      </c>
      <c r="J4755" s="18" t="n">
        <v>0</v>
      </c>
      <c r="K4755" s="19" t="n">
        <v>0</v>
      </c>
      <c r="L4755" s="17" t="s">
        <v>1406</v>
      </c>
    </row>
    <row r="4756" s="11" customFormat="true" ht="10.95" hidden="false" customHeight="true" outlineLevel="0" collapsed="false">
      <c r="A4756" s="16" t="n">
        <v>45383</v>
      </c>
      <c r="B4756" s="17" t="s">
        <v>2192</v>
      </c>
      <c r="C4756" s="17" t="s">
        <v>1593</v>
      </c>
      <c r="D4756" s="17" t="s">
        <v>1391</v>
      </c>
      <c r="E4756" s="17" t="s">
        <v>2528</v>
      </c>
      <c r="F4756" s="17" t="s">
        <v>2529</v>
      </c>
      <c r="G4756" s="18" t="n">
        <v>248</v>
      </c>
      <c r="H4756" s="18" t="n">
        <v>0</v>
      </c>
      <c r="I4756" s="18" t="n">
        <f aca="false">((I4755 + G4756) - H4756)</f>
        <v>48323.78</v>
      </c>
      <c r="J4756" s="18" t="n">
        <v>0</v>
      </c>
      <c r="K4756" s="19" t="n">
        <v>0</v>
      </c>
      <c r="L4756" s="17" t="s">
        <v>1406</v>
      </c>
    </row>
    <row r="4757" s="11" customFormat="true" ht="10.95" hidden="false" customHeight="true" outlineLevel="0" collapsed="false">
      <c r="A4757" s="16" t="n">
        <v>45383</v>
      </c>
      <c r="B4757" s="17" t="s">
        <v>2192</v>
      </c>
      <c r="C4757" s="17" t="s">
        <v>1593</v>
      </c>
      <c r="D4757" s="17" t="s">
        <v>1391</v>
      </c>
      <c r="E4757" s="17" t="s">
        <v>2530</v>
      </c>
      <c r="F4757" s="17" t="s">
        <v>2531</v>
      </c>
      <c r="G4757" s="18" t="n">
        <v>179</v>
      </c>
      <c r="H4757" s="18" t="n">
        <v>0</v>
      </c>
      <c r="I4757" s="18" t="n">
        <f aca="false">((I4756 + G4757) - H4757)</f>
        <v>48502.78</v>
      </c>
      <c r="J4757" s="18" t="n">
        <v>0</v>
      </c>
      <c r="K4757" s="19" t="n">
        <v>0</v>
      </c>
      <c r="L4757" s="17" t="s">
        <v>1406</v>
      </c>
    </row>
    <row r="4758" s="11" customFormat="true" ht="10.95" hidden="false" customHeight="true" outlineLevel="0" collapsed="false">
      <c r="A4758" s="16" t="n">
        <v>45383</v>
      </c>
      <c r="B4758" s="17" t="s">
        <v>2192</v>
      </c>
      <c r="C4758" s="17" t="s">
        <v>1593</v>
      </c>
      <c r="D4758" s="17" t="s">
        <v>1407</v>
      </c>
      <c r="E4758" s="17" t="s">
        <v>2196</v>
      </c>
      <c r="F4758" s="17"/>
      <c r="G4758" s="18" t="n">
        <v>22.27</v>
      </c>
      <c r="H4758" s="18" t="n">
        <v>0</v>
      </c>
      <c r="I4758" s="18" t="n">
        <f aca="false">((I4757 + G4758) - H4758)</f>
        <v>48525.05</v>
      </c>
      <c r="J4758" s="18" t="n">
        <v>0</v>
      </c>
      <c r="K4758" s="19" t="n">
        <v>0</v>
      </c>
      <c r="L4758" s="17" t="s">
        <v>1406</v>
      </c>
    </row>
    <row r="4759" s="11" customFormat="true" ht="10.95" hidden="false" customHeight="true" outlineLevel="0" collapsed="false">
      <c r="A4759" s="16" t="n">
        <v>45383</v>
      </c>
      <c r="B4759" s="17" t="s">
        <v>2192</v>
      </c>
      <c r="C4759" s="17" t="s">
        <v>1593</v>
      </c>
      <c r="D4759" s="17" t="s">
        <v>1391</v>
      </c>
      <c r="E4759" s="17" t="s">
        <v>2532</v>
      </c>
      <c r="F4759" s="17" t="s">
        <v>2533</v>
      </c>
      <c r="G4759" s="18" t="n">
        <v>253.19</v>
      </c>
      <c r="H4759" s="18" t="n">
        <v>0</v>
      </c>
      <c r="I4759" s="18" t="n">
        <f aca="false">((I4758 + G4759) - H4759)</f>
        <v>48778.24</v>
      </c>
      <c r="J4759" s="18" t="n">
        <v>0</v>
      </c>
      <c r="K4759" s="19" t="n">
        <v>0</v>
      </c>
      <c r="L4759" s="17" t="s">
        <v>1406</v>
      </c>
    </row>
    <row r="4760" s="11" customFormat="true" ht="10.95" hidden="false" customHeight="true" outlineLevel="0" collapsed="false">
      <c r="A4760" s="16" t="n">
        <v>45384</v>
      </c>
      <c r="B4760" s="17" t="s">
        <v>2192</v>
      </c>
      <c r="C4760" s="17" t="s">
        <v>1593</v>
      </c>
      <c r="D4760" s="17" t="s">
        <v>1391</v>
      </c>
      <c r="E4760" s="17" t="s">
        <v>2534</v>
      </c>
      <c r="F4760" s="17" t="s">
        <v>2535</v>
      </c>
      <c r="G4760" s="18" t="n">
        <v>499.46</v>
      </c>
      <c r="H4760" s="18" t="n">
        <v>0</v>
      </c>
      <c r="I4760" s="18" t="n">
        <f aca="false">((I4759 + G4760) - H4760)</f>
        <v>49277.7</v>
      </c>
      <c r="J4760" s="18" t="n">
        <v>0</v>
      </c>
      <c r="K4760" s="19" t="n">
        <v>0</v>
      </c>
      <c r="L4760" s="17" t="s">
        <v>1406</v>
      </c>
    </row>
    <row r="4761" s="11" customFormat="true" ht="10.95" hidden="false" customHeight="true" outlineLevel="0" collapsed="false">
      <c r="A4761" s="16" t="n">
        <v>45384</v>
      </c>
      <c r="B4761" s="17" t="s">
        <v>2192</v>
      </c>
      <c r="C4761" s="17" t="s">
        <v>1593</v>
      </c>
      <c r="D4761" s="17" t="s">
        <v>1407</v>
      </c>
      <c r="E4761" s="17" t="s">
        <v>2211</v>
      </c>
      <c r="F4761" s="17"/>
      <c r="G4761" s="18" t="n">
        <v>242.82</v>
      </c>
      <c r="H4761" s="18" t="n">
        <v>0</v>
      </c>
      <c r="I4761" s="18" t="n">
        <f aca="false">((I4760 + G4761) - H4761)</f>
        <v>49520.52</v>
      </c>
      <c r="J4761" s="18" t="n">
        <v>0</v>
      </c>
      <c r="K4761" s="19" t="n">
        <v>0</v>
      </c>
      <c r="L4761" s="17" t="s">
        <v>1406</v>
      </c>
    </row>
    <row r="4762" s="11" customFormat="true" ht="10.95" hidden="false" customHeight="true" outlineLevel="0" collapsed="false">
      <c r="A4762" s="16" t="n">
        <v>45385</v>
      </c>
      <c r="B4762" s="17" t="s">
        <v>2192</v>
      </c>
      <c r="C4762" s="17" t="s">
        <v>1593</v>
      </c>
      <c r="D4762" s="17" t="s">
        <v>1407</v>
      </c>
      <c r="E4762" s="17" t="s">
        <v>2194</v>
      </c>
      <c r="F4762" s="17"/>
      <c r="G4762" s="18" t="n">
        <v>77.11</v>
      </c>
      <c r="H4762" s="18" t="n">
        <v>0</v>
      </c>
      <c r="I4762" s="18" t="n">
        <f aca="false">((I4761 + G4762) - H4762)</f>
        <v>49597.63</v>
      </c>
      <c r="J4762" s="18" t="n">
        <v>0</v>
      </c>
      <c r="K4762" s="19" t="n">
        <v>0</v>
      </c>
      <c r="L4762" s="17" t="s">
        <v>1406</v>
      </c>
    </row>
    <row r="4763" s="11" customFormat="true" ht="10.95" hidden="false" customHeight="true" outlineLevel="0" collapsed="false">
      <c r="A4763" s="16" t="n">
        <v>45385</v>
      </c>
      <c r="B4763" s="17" t="s">
        <v>2192</v>
      </c>
      <c r="C4763" s="17" t="s">
        <v>1593</v>
      </c>
      <c r="D4763" s="17" t="s">
        <v>1407</v>
      </c>
      <c r="E4763" s="17" t="s">
        <v>2195</v>
      </c>
      <c r="F4763" s="17"/>
      <c r="G4763" s="18" t="n">
        <v>75</v>
      </c>
      <c r="H4763" s="18" t="n">
        <v>0</v>
      </c>
      <c r="I4763" s="18" t="n">
        <f aca="false">((I4762 + G4763) - H4763)</f>
        <v>49672.63</v>
      </c>
      <c r="J4763" s="18" t="n">
        <v>7.5</v>
      </c>
      <c r="K4763" s="19" t="n">
        <v>10</v>
      </c>
      <c r="L4763" s="17" t="s">
        <v>44</v>
      </c>
    </row>
    <row r="4764" s="11" customFormat="true" ht="10.95" hidden="false" customHeight="true" outlineLevel="0" collapsed="false">
      <c r="A4764" s="16" t="n">
        <v>45385</v>
      </c>
      <c r="B4764" s="17" t="s">
        <v>2192</v>
      </c>
      <c r="C4764" s="17" t="s">
        <v>1593</v>
      </c>
      <c r="D4764" s="17" t="s">
        <v>1407</v>
      </c>
      <c r="E4764" s="17" t="s">
        <v>2536</v>
      </c>
      <c r="F4764" s="17"/>
      <c r="G4764" s="18" t="n">
        <v>51.74</v>
      </c>
      <c r="H4764" s="18" t="n">
        <v>0</v>
      </c>
      <c r="I4764" s="18" t="n">
        <f aca="false">((I4763 + G4764) - H4764)</f>
        <v>49724.37</v>
      </c>
      <c r="J4764" s="18" t="n">
        <v>5.17</v>
      </c>
      <c r="K4764" s="19" t="n">
        <v>10</v>
      </c>
      <c r="L4764" s="17" t="s">
        <v>44</v>
      </c>
    </row>
    <row r="4765" s="11" customFormat="true" ht="10.95" hidden="false" customHeight="true" outlineLevel="0" collapsed="false">
      <c r="A4765" s="16" t="n">
        <v>45386</v>
      </c>
      <c r="B4765" s="17" t="s">
        <v>2192</v>
      </c>
      <c r="C4765" s="17" t="s">
        <v>1593</v>
      </c>
      <c r="D4765" s="17" t="s">
        <v>1407</v>
      </c>
      <c r="E4765" s="17" t="s">
        <v>2537</v>
      </c>
      <c r="F4765" s="17"/>
      <c r="G4765" s="18" t="n">
        <v>33.6</v>
      </c>
      <c r="H4765" s="18" t="n">
        <v>0</v>
      </c>
      <c r="I4765" s="18" t="n">
        <f aca="false">((I4764 + G4765) - H4765)</f>
        <v>49757.97</v>
      </c>
      <c r="J4765" s="18" t="n">
        <v>3.36</v>
      </c>
      <c r="K4765" s="19" t="n">
        <v>10</v>
      </c>
      <c r="L4765" s="17" t="s">
        <v>44</v>
      </c>
    </row>
    <row r="4766" s="11" customFormat="true" ht="10.95" hidden="false" customHeight="true" outlineLevel="0" collapsed="false">
      <c r="A4766" s="16" t="n">
        <v>45386</v>
      </c>
      <c r="B4766" s="17" t="s">
        <v>2192</v>
      </c>
      <c r="C4766" s="17" t="s">
        <v>1593</v>
      </c>
      <c r="D4766" s="17" t="s">
        <v>1407</v>
      </c>
      <c r="E4766" s="17" t="s">
        <v>2538</v>
      </c>
      <c r="F4766" s="17"/>
      <c r="G4766" s="18" t="n">
        <v>61.72</v>
      </c>
      <c r="H4766" s="18" t="n">
        <v>0</v>
      </c>
      <c r="I4766" s="18" t="n">
        <f aca="false">((I4765 + G4766) - H4766)</f>
        <v>49819.69</v>
      </c>
      <c r="J4766" s="18" t="n">
        <v>0</v>
      </c>
      <c r="K4766" s="19" t="n">
        <v>0</v>
      </c>
      <c r="L4766" s="17" t="s">
        <v>1406</v>
      </c>
    </row>
    <row r="4767" s="11" customFormat="true" ht="10.95" hidden="false" customHeight="true" outlineLevel="0" collapsed="false">
      <c r="A4767" s="16" t="n">
        <v>45386</v>
      </c>
      <c r="B4767" s="17" t="s">
        <v>2192</v>
      </c>
      <c r="C4767" s="17" t="s">
        <v>1593</v>
      </c>
      <c r="D4767" s="17" t="s">
        <v>1407</v>
      </c>
      <c r="E4767" s="17" t="s">
        <v>2196</v>
      </c>
      <c r="F4767" s="17"/>
      <c r="G4767" s="18" t="n">
        <v>17.52</v>
      </c>
      <c r="H4767" s="18" t="n">
        <v>0</v>
      </c>
      <c r="I4767" s="18" t="n">
        <f aca="false">((I4766 + G4767) - H4767)</f>
        <v>49837.21</v>
      </c>
      <c r="J4767" s="18" t="n">
        <v>0</v>
      </c>
      <c r="K4767" s="19" t="n">
        <v>0</v>
      </c>
      <c r="L4767" s="17" t="s">
        <v>1406</v>
      </c>
    </row>
    <row r="4768" s="11" customFormat="true" ht="10.95" hidden="false" customHeight="true" outlineLevel="0" collapsed="false">
      <c r="A4768" s="16" t="n">
        <v>45387</v>
      </c>
      <c r="B4768" s="17" t="s">
        <v>2192</v>
      </c>
      <c r="C4768" s="17" t="s">
        <v>1593</v>
      </c>
      <c r="D4768" s="17" t="s">
        <v>1407</v>
      </c>
      <c r="E4768" s="17" t="s">
        <v>2472</v>
      </c>
      <c r="F4768" s="17"/>
      <c r="G4768" s="18" t="n">
        <v>44.04</v>
      </c>
      <c r="H4768" s="18" t="n">
        <v>0</v>
      </c>
      <c r="I4768" s="18" t="n">
        <f aca="false">((I4767 + G4768) - H4768)</f>
        <v>49881.25</v>
      </c>
      <c r="J4768" s="18" t="n">
        <v>0</v>
      </c>
      <c r="K4768" s="19" t="n">
        <v>0</v>
      </c>
      <c r="L4768" s="17" t="s">
        <v>1406</v>
      </c>
    </row>
    <row r="4769" s="11" customFormat="true" ht="10.95" hidden="false" customHeight="true" outlineLevel="0" collapsed="false">
      <c r="A4769" s="16" t="n">
        <v>45387</v>
      </c>
      <c r="B4769" s="17" t="s">
        <v>2192</v>
      </c>
      <c r="C4769" s="17" t="s">
        <v>1593</v>
      </c>
      <c r="D4769" s="17" t="s">
        <v>1407</v>
      </c>
      <c r="E4769" s="17" t="s">
        <v>2539</v>
      </c>
      <c r="F4769" s="17"/>
      <c r="G4769" s="18" t="n">
        <v>71.71</v>
      </c>
      <c r="H4769" s="18" t="n">
        <v>0</v>
      </c>
      <c r="I4769" s="18" t="n">
        <f aca="false">((I4768 + G4769) - H4769)</f>
        <v>49952.96</v>
      </c>
      <c r="J4769" s="18" t="n">
        <v>7.17</v>
      </c>
      <c r="K4769" s="19" t="n">
        <v>10</v>
      </c>
      <c r="L4769" s="17" t="s">
        <v>44</v>
      </c>
    </row>
    <row r="4770" s="11" customFormat="true" ht="10.95" hidden="false" customHeight="true" outlineLevel="0" collapsed="false">
      <c r="A4770" s="16" t="n">
        <v>45387</v>
      </c>
      <c r="B4770" s="17" t="s">
        <v>2192</v>
      </c>
      <c r="C4770" s="17" t="s">
        <v>1593</v>
      </c>
      <c r="D4770" s="17" t="s">
        <v>1407</v>
      </c>
      <c r="E4770" s="17" t="s">
        <v>2540</v>
      </c>
      <c r="F4770" s="17"/>
      <c r="G4770" s="18" t="n">
        <v>24.41</v>
      </c>
      <c r="H4770" s="18" t="n">
        <v>0</v>
      </c>
      <c r="I4770" s="18" t="n">
        <f aca="false">((I4769 + G4770) - H4770)</f>
        <v>49977.37</v>
      </c>
      <c r="J4770" s="18" t="n">
        <v>0</v>
      </c>
      <c r="K4770" s="19" t="n">
        <v>0</v>
      </c>
      <c r="L4770" s="17" t="s">
        <v>1406</v>
      </c>
    </row>
    <row r="4771" s="11" customFormat="true" ht="10.95" hidden="false" customHeight="true" outlineLevel="0" collapsed="false">
      <c r="A4771" s="16" t="n">
        <v>45388</v>
      </c>
      <c r="B4771" s="17" t="s">
        <v>2192</v>
      </c>
      <c r="C4771" s="17" t="s">
        <v>1593</v>
      </c>
      <c r="D4771" s="17" t="s">
        <v>1407</v>
      </c>
      <c r="E4771" s="17" t="s">
        <v>2208</v>
      </c>
      <c r="F4771" s="17"/>
      <c r="G4771" s="18" t="n">
        <v>12</v>
      </c>
      <c r="H4771" s="18" t="n">
        <v>0</v>
      </c>
      <c r="I4771" s="18" t="n">
        <f aca="false">((I4770 + G4771) - H4771)</f>
        <v>49989.37</v>
      </c>
      <c r="J4771" s="18" t="n">
        <v>1.2</v>
      </c>
      <c r="K4771" s="19" t="n">
        <v>10</v>
      </c>
      <c r="L4771" s="17" t="s">
        <v>44</v>
      </c>
    </row>
    <row r="4772" s="11" customFormat="true" ht="10.95" hidden="false" customHeight="true" outlineLevel="0" collapsed="false">
      <c r="A4772" s="16" t="n">
        <v>45388</v>
      </c>
      <c r="B4772" s="17" t="s">
        <v>2192</v>
      </c>
      <c r="C4772" s="17" t="s">
        <v>1593</v>
      </c>
      <c r="D4772" s="17" t="s">
        <v>1407</v>
      </c>
      <c r="E4772" s="17" t="s">
        <v>2208</v>
      </c>
      <c r="F4772" s="17"/>
      <c r="G4772" s="18" t="n">
        <v>18.7</v>
      </c>
      <c r="H4772" s="18" t="n">
        <v>0</v>
      </c>
      <c r="I4772" s="18" t="n">
        <f aca="false">((I4771 + G4772) - H4772)</f>
        <v>50008.07</v>
      </c>
      <c r="J4772" s="18" t="n">
        <v>1.87</v>
      </c>
      <c r="K4772" s="19" t="n">
        <v>10</v>
      </c>
      <c r="L4772" s="17" t="s">
        <v>44</v>
      </c>
    </row>
    <row r="4773" s="11" customFormat="true" ht="10.95" hidden="false" customHeight="true" outlineLevel="0" collapsed="false">
      <c r="A4773" s="16" t="n">
        <v>45390</v>
      </c>
      <c r="B4773" s="17" t="s">
        <v>2192</v>
      </c>
      <c r="C4773" s="17" t="s">
        <v>1593</v>
      </c>
      <c r="D4773" s="17" t="s">
        <v>1407</v>
      </c>
      <c r="E4773" s="17" t="s">
        <v>2196</v>
      </c>
      <c r="F4773" s="17"/>
      <c r="G4773" s="18" t="n">
        <v>4.54</v>
      </c>
      <c r="H4773" s="18" t="n">
        <v>0</v>
      </c>
      <c r="I4773" s="18" t="n">
        <f aca="false">((I4772 + G4773) - H4773)</f>
        <v>50012.61</v>
      </c>
      <c r="J4773" s="18" t="n">
        <v>0</v>
      </c>
      <c r="K4773" s="19" t="n">
        <v>0</v>
      </c>
      <c r="L4773" s="17" t="s">
        <v>1406</v>
      </c>
    </row>
    <row r="4774" s="11" customFormat="true" ht="10.95" hidden="false" customHeight="true" outlineLevel="0" collapsed="false">
      <c r="A4774" s="16" t="n">
        <v>45390</v>
      </c>
      <c r="B4774" s="17" t="s">
        <v>2192</v>
      </c>
      <c r="C4774" s="17" t="s">
        <v>1593</v>
      </c>
      <c r="D4774" s="17" t="s">
        <v>1407</v>
      </c>
      <c r="E4774" s="17" t="s">
        <v>2196</v>
      </c>
      <c r="F4774" s="17"/>
      <c r="G4774" s="18" t="n">
        <v>25.09</v>
      </c>
      <c r="H4774" s="18" t="n">
        <v>0</v>
      </c>
      <c r="I4774" s="18" t="n">
        <f aca="false">((I4773 + G4774) - H4774)</f>
        <v>50037.7</v>
      </c>
      <c r="J4774" s="18" t="n">
        <v>0</v>
      </c>
      <c r="K4774" s="19" t="n">
        <v>0</v>
      </c>
      <c r="L4774" s="17" t="s">
        <v>1406</v>
      </c>
    </row>
    <row r="4775" s="11" customFormat="true" ht="10.95" hidden="false" customHeight="true" outlineLevel="0" collapsed="false">
      <c r="A4775" s="16" t="n">
        <v>45390</v>
      </c>
      <c r="B4775" s="17" t="s">
        <v>2192</v>
      </c>
      <c r="C4775" s="17" t="s">
        <v>1593</v>
      </c>
      <c r="D4775" s="17" t="s">
        <v>1407</v>
      </c>
      <c r="E4775" s="17" t="s">
        <v>2285</v>
      </c>
      <c r="F4775" s="17"/>
      <c r="G4775" s="18" t="n">
        <v>156.4</v>
      </c>
      <c r="H4775" s="18" t="n">
        <v>0</v>
      </c>
      <c r="I4775" s="18" t="n">
        <f aca="false">((I4774 + G4775) - H4775)</f>
        <v>50194.1</v>
      </c>
      <c r="J4775" s="18" t="n">
        <v>15.64</v>
      </c>
      <c r="K4775" s="19" t="n">
        <v>10</v>
      </c>
      <c r="L4775" s="17" t="s">
        <v>44</v>
      </c>
    </row>
    <row r="4776" s="11" customFormat="true" ht="10.95" hidden="false" customHeight="true" outlineLevel="0" collapsed="false">
      <c r="A4776" s="16" t="n">
        <v>45391</v>
      </c>
      <c r="B4776" s="17" t="s">
        <v>2192</v>
      </c>
      <c r="C4776" s="17" t="s">
        <v>1593</v>
      </c>
      <c r="D4776" s="17" t="s">
        <v>1407</v>
      </c>
      <c r="E4776" s="17" t="s">
        <v>2298</v>
      </c>
      <c r="F4776" s="17"/>
      <c r="G4776" s="18" t="n">
        <v>65</v>
      </c>
      <c r="H4776" s="18" t="n">
        <v>0</v>
      </c>
      <c r="I4776" s="18" t="n">
        <f aca="false">((I4775 + G4776) - H4776)</f>
        <v>50259.1</v>
      </c>
      <c r="J4776" s="18" t="n">
        <v>6.5</v>
      </c>
      <c r="K4776" s="19" t="n">
        <v>10</v>
      </c>
      <c r="L4776" s="17" t="s">
        <v>44</v>
      </c>
    </row>
    <row r="4777" s="11" customFormat="true" ht="10.95" hidden="false" customHeight="true" outlineLevel="0" collapsed="false">
      <c r="A4777" s="16" t="n">
        <v>45392</v>
      </c>
      <c r="B4777" s="17" t="s">
        <v>2192</v>
      </c>
      <c r="C4777" s="17" t="s">
        <v>1593</v>
      </c>
      <c r="D4777" s="17" t="s">
        <v>1407</v>
      </c>
      <c r="E4777" s="17" t="s">
        <v>2541</v>
      </c>
      <c r="F4777" s="17"/>
      <c r="G4777" s="18" t="n">
        <v>131.13</v>
      </c>
      <c r="H4777" s="18" t="n">
        <v>0</v>
      </c>
      <c r="I4777" s="18" t="n">
        <f aca="false">((I4776 + G4777) - H4777)</f>
        <v>50390.23</v>
      </c>
      <c r="J4777" s="18" t="n">
        <v>13.11</v>
      </c>
      <c r="K4777" s="19" t="n">
        <v>10</v>
      </c>
      <c r="L4777" s="17" t="s">
        <v>44</v>
      </c>
    </row>
    <row r="4778" s="11" customFormat="true" ht="10.95" hidden="false" customHeight="true" outlineLevel="0" collapsed="false">
      <c r="A4778" s="16" t="n">
        <v>45394</v>
      </c>
      <c r="B4778" s="17" t="s">
        <v>2192</v>
      </c>
      <c r="C4778" s="17" t="s">
        <v>1593</v>
      </c>
      <c r="D4778" s="17" t="s">
        <v>1407</v>
      </c>
      <c r="E4778" s="17" t="s">
        <v>2196</v>
      </c>
      <c r="F4778" s="17"/>
      <c r="G4778" s="18" t="n">
        <v>4.62</v>
      </c>
      <c r="H4778" s="18" t="n">
        <v>0</v>
      </c>
      <c r="I4778" s="18" t="n">
        <f aca="false">((I4777 + G4778) - H4778)</f>
        <v>50394.85</v>
      </c>
      <c r="J4778" s="18" t="n">
        <v>0</v>
      </c>
      <c r="K4778" s="19" t="n">
        <v>0</v>
      </c>
      <c r="L4778" s="17" t="s">
        <v>1406</v>
      </c>
    </row>
    <row r="4779" s="11" customFormat="true" ht="10.95" hidden="false" customHeight="true" outlineLevel="0" collapsed="false">
      <c r="A4779" s="16" t="n">
        <v>45396</v>
      </c>
      <c r="B4779" s="17" t="s">
        <v>2192</v>
      </c>
      <c r="C4779" s="17" t="s">
        <v>1593</v>
      </c>
      <c r="D4779" s="17" t="s">
        <v>1407</v>
      </c>
      <c r="E4779" s="17" t="s">
        <v>2542</v>
      </c>
      <c r="F4779" s="17"/>
      <c r="G4779" s="18" t="n">
        <v>36.35</v>
      </c>
      <c r="H4779" s="18" t="n">
        <v>0</v>
      </c>
      <c r="I4779" s="18" t="n">
        <f aca="false">((I4778 + G4779) - H4779)</f>
        <v>50431.2</v>
      </c>
      <c r="J4779" s="18" t="n">
        <v>3.64</v>
      </c>
      <c r="K4779" s="19" t="n">
        <v>10</v>
      </c>
      <c r="L4779" s="17" t="s">
        <v>44</v>
      </c>
    </row>
    <row r="4780" s="11" customFormat="true" ht="10.95" hidden="false" customHeight="true" outlineLevel="0" collapsed="false">
      <c r="A4780" s="16" t="n">
        <v>45397</v>
      </c>
      <c r="B4780" s="17" t="s">
        <v>2192</v>
      </c>
      <c r="C4780" s="17" t="s">
        <v>1593</v>
      </c>
      <c r="D4780" s="17" t="s">
        <v>1407</v>
      </c>
      <c r="E4780" s="17" t="s">
        <v>2196</v>
      </c>
      <c r="F4780" s="17"/>
      <c r="G4780" s="18" t="n">
        <v>1.53</v>
      </c>
      <c r="H4780" s="18" t="n">
        <v>0</v>
      </c>
      <c r="I4780" s="18" t="n">
        <f aca="false">((I4779 + G4780) - H4780)</f>
        <v>50432.73</v>
      </c>
      <c r="J4780" s="18" t="n">
        <v>0</v>
      </c>
      <c r="K4780" s="19" t="n">
        <v>0</v>
      </c>
      <c r="L4780" s="17" t="s">
        <v>1406</v>
      </c>
    </row>
    <row r="4781" s="11" customFormat="true" ht="10.95" hidden="false" customHeight="true" outlineLevel="0" collapsed="false">
      <c r="A4781" s="16" t="n">
        <v>45397</v>
      </c>
      <c r="B4781" s="17" t="s">
        <v>2192</v>
      </c>
      <c r="C4781" s="17" t="s">
        <v>1593</v>
      </c>
      <c r="D4781" s="17" t="s">
        <v>1407</v>
      </c>
      <c r="E4781" s="17" t="s">
        <v>2193</v>
      </c>
      <c r="F4781" s="17"/>
      <c r="G4781" s="18" t="n">
        <v>183.23</v>
      </c>
      <c r="H4781" s="18" t="n">
        <v>0</v>
      </c>
      <c r="I4781" s="18" t="n">
        <f aca="false">((I4780 + G4781) - H4781)</f>
        <v>50615.96</v>
      </c>
      <c r="J4781" s="18" t="n">
        <v>0</v>
      </c>
      <c r="K4781" s="19" t="n">
        <v>0</v>
      </c>
      <c r="L4781" s="17" t="s">
        <v>1406</v>
      </c>
    </row>
    <row r="4782" s="11" customFormat="true" ht="10.95" hidden="false" customHeight="true" outlineLevel="0" collapsed="false">
      <c r="A4782" s="16" t="n">
        <v>45399</v>
      </c>
      <c r="B4782" s="17" t="s">
        <v>2192</v>
      </c>
      <c r="C4782" s="17" t="s">
        <v>1593</v>
      </c>
      <c r="D4782" s="17" t="s">
        <v>1407</v>
      </c>
      <c r="E4782" s="17" t="s">
        <v>2196</v>
      </c>
      <c r="F4782" s="17"/>
      <c r="G4782" s="18" t="n">
        <v>51.51</v>
      </c>
      <c r="H4782" s="18" t="n">
        <v>0</v>
      </c>
      <c r="I4782" s="18" t="n">
        <f aca="false">((I4781 + G4782) - H4782)</f>
        <v>50667.47</v>
      </c>
      <c r="J4782" s="18" t="n">
        <v>0</v>
      </c>
      <c r="K4782" s="19" t="n">
        <v>0</v>
      </c>
      <c r="L4782" s="17" t="s">
        <v>1406</v>
      </c>
    </row>
    <row r="4783" s="11" customFormat="true" ht="10.95" hidden="false" customHeight="true" outlineLevel="0" collapsed="false">
      <c r="A4783" s="16" t="n">
        <v>45400</v>
      </c>
      <c r="B4783" s="17" t="s">
        <v>2192</v>
      </c>
      <c r="C4783" s="17" t="s">
        <v>1593</v>
      </c>
      <c r="D4783" s="17" t="s">
        <v>1391</v>
      </c>
      <c r="E4783" s="17" t="s">
        <v>2543</v>
      </c>
      <c r="F4783" s="17" t="s">
        <v>2544</v>
      </c>
      <c r="G4783" s="18" t="n">
        <v>199.8</v>
      </c>
      <c r="H4783" s="18" t="n">
        <v>0</v>
      </c>
      <c r="I4783" s="18" t="n">
        <f aca="false">((I4782 + G4783) - H4783)</f>
        <v>50867.27</v>
      </c>
      <c r="J4783" s="18" t="n">
        <v>19.98</v>
      </c>
      <c r="K4783" s="19" t="n">
        <v>10</v>
      </c>
      <c r="L4783" s="17" t="s">
        <v>44</v>
      </c>
    </row>
    <row r="4784" s="11" customFormat="true" ht="10.95" hidden="false" customHeight="true" outlineLevel="0" collapsed="false">
      <c r="A4784" s="16" t="n">
        <v>45400</v>
      </c>
      <c r="B4784" s="17" t="s">
        <v>2192</v>
      </c>
      <c r="C4784" s="17" t="s">
        <v>1593</v>
      </c>
      <c r="D4784" s="17" t="s">
        <v>1391</v>
      </c>
      <c r="E4784" s="17" t="s">
        <v>2545</v>
      </c>
      <c r="F4784" s="17" t="s">
        <v>2546</v>
      </c>
      <c r="G4784" s="18" t="n">
        <v>6</v>
      </c>
      <c r="H4784" s="18" t="n">
        <v>0</v>
      </c>
      <c r="I4784" s="18" t="n">
        <f aca="false">((I4783 + G4784) - H4784)</f>
        <v>50873.27</v>
      </c>
      <c r="J4784" s="18" t="n">
        <v>0.6</v>
      </c>
      <c r="K4784" s="19" t="n">
        <v>10</v>
      </c>
      <c r="L4784" s="17" t="s">
        <v>44</v>
      </c>
    </row>
    <row r="4785" s="11" customFormat="true" ht="10.95" hidden="false" customHeight="true" outlineLevel="0" collapsed="false">
      <c r="A4785" s="16" t="n">
        <v>45400</v>
      </c>
      <c r="B4785" s="17" t="s">
        <v>2192</v>
      </c>
      <c r="C4785" s="17" t="s">
        <v>1593</v>
      </c>
      <c r="D4785" s="17" t="s">
        <v>1391</v>
      </c>
      <c r="E4785" s="17" t="s">
        <v>2547</v>
      </c>
      <c r="F4785" s="17" t="s">
        <v>2548</v>
      </c>
      <c r="G4785" s="18" t="n">
        <v>62</v>
      </c>
      <c r="H4785" s="18" t="n">
        <v>0</v>
      </c>
      <c r="I4785" s="18" t="n">
        <f aca="false">((I4784 + G4785) - H4785)</f>
        <v>50935.27</v>
      </c>
      <c r="J4785" s="18" t="n">
        <v>6.2</v>
      </c>
      <c r="K4785" s="19" t="n">
        <v>10</v>
      </c>
      <c r="L4785" s="17" t="s">
        <v>44</v>
      </c>
    </row>
    <row r="4786" s="11" customFormat="true" ht="10.95" hidden="false" customHeight="true" outlineLevel="0" collapsed="false">
      <c r="A4786" s="16" t="n">
        <v>45400</v>
      </c>
      <c r="B4786" s="17" t="s">
        <v>2192</v>
      </c>
      <c r="C4786" s="17" t="s">
        <v>1593</v>
      </c>
      <c r="D4786" s="17" t="s">
        <v>1391</v>
      </c>
      <c r="E4786" s="17" t="s">
        <v>2549</v>
      </c>
      <c r="F4786" s="17" t="s">
        <v>2550</v>
      </c>
      <c r="G4786" s="18" t="n">
        <v>7.95</v>
      </c>
      <c r="H4786" s="18" t="n">
        <v>0</v>
      </c>
      <c r="I4786" s="18" t="n">
        <f aca="false">((I4785 + G4786) - H4786)</f>
        <v>50943.22</v>
      </c>
      <c r="J4786" s="18" t="n">
        <v>0.8</v>
      </c>
      <c r="K4786" s="19" t="n">
        <v>10</v>
      </c>
      <c r="L4786" s="17" t="s">
        <v>44</v>
      </c>
    </row>
    <row r="4787" s="11" customFormat="true" ht="10.95" hidden="false" customHeight="true" outlineLevel="0" collapsed="false">
      <c r="A4787" s="16" t="n">
        <v>45400</v>
      </c>
      <c r="B4787" s="17" t="s">
        <v>2192</v>
      </c>
      <c r="C4787" s="17" t="s">
        <v>1593</v>
      </c>
      <c r="D4787" s="17" t="s">
        <v>1407</v>
      </c>
      <c r="E4787" s="17" t="s">
        <v>2216</v>
      </c>
      <c r="F4787" s="17"/>
      <c r="G4787" s="18" t="n">
        <v>15.45</v>
      </c>
      <c r="H4787" s="18" t="n">
        <v>0</v>
      </c>
      <c r="I4787" s="18" t="n">
        <f aca="false">((I4786 + G4787) - H4787)</f>
        <v>50958.67</v>
      </c>
      <c r="J4787" s="18" t="n">
        <v>1.54</v>
      </c>
      <c r="K4787" s="19" t="n">
        <v>10</v>
      </c>
      <c r="L4787" s="17" t="s">
        <v>44</v>
      </c>
    </row>
    <row r="4788" s="11" customFormat="true" ht="10.95" hidden="false" customHeight="true" outlineLevel="0" collapsed="false">
      <c r="A4788" s="16" t="n">
        <v>45400</v>
      </c>
      <c r="B4788" s="17" t="s">
        <v>2192</v>
      </c>
      <c r="C4788" s="17" t="s">
        <v>1593</v>
      </c>
      <c r="D4788" s="17" t="s">
        <v>1407</v>
      </c>
      <c r="E4788" s="17" t="s">
        <v>2234</v>
      </c>
      <c r="F4788" s="17"/>
      <c r="G4788" s="18" t="n">
        <v>75.92</v>
      </c>
      <c r="H4788" s="18" t="n">
        <v>0</v>
      </c>
      <c r="I4788" s="18" t="n">
        <f aca="false">((I4787 + G4788) - H4788)</f>
        <v>51034.59</v>
      </c>
      <c r="J4788" s="18" t="n">
        <v>7.59</v>
      </c>
      <c r="K4788" s="19" t="n">
        <v>10</v>
      </c>
      <c r="L4788" s="17" t="s">
        <v>44</v>
      </c>
    </row>
    <row r="4789" s="11" customFormat="true" ht="10.95" hidden="false" customHeight="true" outlineLevel="0" collapsed="false">
      <c r="A4789" s="16" t="n">
        <v>45400</v>
      </c>
      <c r="B4789" s="17" t="s">
        <v>2192</v>
      </c>
      <c r="C4789" s="17" t="s">
        <v>1593</v>
      </c>
      <c r="D4789" s="17" t="s">
        <v>1407</v>
      </c>
      <c r="E4789" s="17" t="s">
        <v>1580</v>
      </c>
      <c r="F4789" s="17"/>
      <c r="G4789" s="18" t="n">
        <v>247.73</v>
      </c>
      <c r="H4789" s="18" t="n">
        <v>0</v>
      </c>
      <c r="I4789" s="18" t="n">
        <f aca="false">((I4788 + G4789) - H4789)</f>
        <v>51282.32</v>
      </c>
      <c r="J4789" s="18" t="n">
        <v>24.77</v>
      </c>
      <c r="K4789" s="19" t="n">
        <v>10</v>
      </c>
      <c r="L4789" s="17" t="s">
        <v>44</v>
      </c>
    </row>
    <row r="4790" s="11" customFormat="true" ht="10.95" hidden="false" customHeight="true" outlineLevel="0" collapsed="false">
      <c r="A4790" s="16" t="n">
        <v>45401</v>
      </c>
      <c r="B4790" s="17" t="s">
        <v>2192</v>
      </c>
      <c r="C4790" s="17" t="s">
        <v>1593</v>
      </c>
      <c r="D4790" s="17" t="s">
        <v>1391</v>
      </c>
      <c r="E4790" s="17" t="s">
        <v>2551</v>
      </c>
      <c r="F4790" s="17" t="s">
        <v>2552</v>
      </c>
      <c r="G4790" s="18" t="n">
        <v>70.08</v>
      </c>
      <c r="H4790" s="18" t="n">
        <v>0</v>
      </c>
      <c r="I4790" s="18" t="n">
        <f aca="false">((I4789 + G4790) - H4790)</f>
        <v>51352.4</v>
      </c>
      <c r="J4790" s="18" t="n">
        <v>0</v>
      </c>
      <c r="K4790" s="19" t="n">
        <v>0</v>
      </c>
      <c r="L4790" s="17" t="s">
        <v>1406</v>
      </c>
    </row>
    <row r="4791" s="11" customFormat="true" ht="10.95" hidden="false" customHeight="true" outlineLevel="0" collapsed="false">
      <c r="A4791" s="16" t="n">
        <v>45401</v>
      </c>
      <c r="B4791" s="17" t="s">
        <v>2192</v>
      </c>
      <c r="C4791" s="17" t="s">
        <v>1593</v>
      </c>
      <c r="D4791" s="17" t="s">
        <v>1407</v>
      </c>
      <c r="E4791" s="17" t="s">
        <v>2238</v>
      </c>
      <c r="F4791" s="17"/>
      <c r="G4791" s="18" t="n">
        <v>31.15</v>
      </c>
      <c r="H4791" s="18" t="n">
        <v>0</v>
      </c>
      <c r="I4791" s="18" t="n">
        <f aca="false">((I4790 + G4791) - H4791)</f>
        <v>51383.55</v>
      </c>
      <c r="J4791" s="18" t="n">
        <v>0</v>
      </c>
      <c r="K4791" s="19" t="n">
        <v>0</v>
      </c>
      <c r="L4791" s="17" t="s">
        <v>1406</v>
      </c>
    </row>
    <row r="4792" s="11" customFormat="true" ht="10.95" hidden="false" customHeight="true" outlineLevel="0" collapsed="false">
      <c r="A4792" s="16" t="n">
        <v>45401</v>
      </c>
      <c r="B4792" s="17" t="s">
        <v>2192</v>
      </c>
      <c r="C4792" s="17" t="s">
        <v>1593</v>
      </c>
      <c r="D4792" s="17" t="s">
        <v>1407</v>
      </c>
      <c r="E4792" s="17" t="s">
        <v>2196</v>
      </c>
      <c r="F4792" s="17"/>
      <c r="G4792" s="18" t="n">
        <v>19.19</v>
      </c>
      <c r="H4792" s="18" t="n">
        <v>0</v>
      </c>
      <c r="I4792" s="18" t="n">
        <f aca="false">((I4791 + G4792) - H4792)</f>
        <v>51402.74</v>
      </c>
      <c r="J4792" s="18" t="n">
        <v>0</v>
      </c>
      <c r="K4792" s="19" t="n">
        <v>0</v>
      </c>
      <c r="L4792" s="17" t="s">
        <v>1406</v>
      </c>
    </row>
    <row r="4793" s="11" customFormat="true" ht="10.95" hidden="false" customHeight="true" outlineLevel="0" collapsed="false">
      <c r="A4793" s="16" t="n">
        <v>45404</v>
      </c>
      <c r="B4793" s="17" t="s">
        <v>2192</v>
      </c>
      <c r="C4793" s="17" t="s">
        <v>1593</v>
      </c>
      <c r="D4793" s="17" t="s">
        <v>1407</v>
      </c>
      <c r="E4793" s="17" t="s">
        <v>2196</v>
      </c>
      <c r="F4793" s="17"/>
      <c r="G4793" s="18" t="n">
        <v>64.13</v>
      </c>
      <c r="H4793" s="18" t="n">
        <v>0</v>
      </c>
      <c r="I4793" s="18" t="n">
        <f aca="false">((I4792 + G4793) - H4793)</f>
        <v>51466.87</v>
      </c>
      <c r="J4793" s="18" t="n">
        <v>0</v>
      </c>
      <c r="K4793" s="19" t="n">
        <v>0</v>
      </c>
      <c r="L4793" s="17" t="s">
        <v>1406</v>
      </c>
    </row>
    <row r="4794" s="11" customFormat="true" ht="10.95" hidden="false" customHeight="true" outlineLevel="0" collapsed="false">
      <c r="A4794" s="16" t="n">
        <v>45405</v>
      </c>
      <c r="B4794" s="17" t="s">
        <v>2192</v>
      </c>
      <c r="C4794" s="17" t="s">
        <v>1593</v>
      </c>
      <c r="D4794" s="17" t="s">
        <v>1276</v>
      </c>
      <c r="E4794" s="17" t="s">
        <v>2553</v>
      </c>
      <c r="F4794" s="17"/>
      <c r="G4794" s="18" t="n">
        <v>0</v>
      </c>
      <c r="H4794" s="18" t="n">
        <v>31.87</v>
      </c>
      <c r="I4794" s="18" t="n">
        <f aca="false">((I4793 + G4794) - H4794)</f>
        <v>51435</v>
      </c>
      <c r="J4794" s="18" t="n">
        <v>-3.19</v>
      </c>
      <c r="K4794" s="19" t="n">
        <v>10</v>
      </c>
      <c r="L4794" s="17" t="s">
        <v>44</v>
      </c>
    </row>
    <row r="4795" s="11" customFormat="true" ht="10.95" hidden="false" customHeight="true" outlineLevel="0" collapsed="false">
      <c r="A4795" s="16" t="n">
        <v>45405</v>
      </c>
      <c r="B4795" s="17" t="s">
        <v>2192</v>
      </c>
      <c r="C4795" s="17" t="s">
        <v>1593</v>
      </c>
      <c r="D4795" s="17" t="s">
        <v>1276</v>
      </c>
      <c r="E4795" s="17" t="s">
        <v>2553</v>
      </c>
      <c r="F4795" s="17"/>
      <c r="G4795" s="18" t="n">
        <v>0</v>
      </c>
      <c r="H4795" s="18" t="n">
        <v>19.1</v>
      </c>
      <c r="I4795" s="18" t="n">
        <f aca="false">((I4794 + G4795) - H4795)</f>
        <v>51415.9</v>
      </c>
      <c r="J4795" s="18" t="n">
        <v>-1.91</v>
      </c>
      <c r="K4795" s="19" t="n">
        <v>10</v>
      </c>
      <c r="L4795" s="17" t="s">
        <v>44</v>
      </c>
    </row>
    <row r="4796" s="11" customFormat="true" ht="10.95" hidden="false" customHeight="true" outlineLevel="0" collapsed="false">
      <c r="A4796" s="16" t="n">
        <v>45405</v>
      </c>
      <c r="B4796" s="17" t="s">
        <v>2192</v>
      </c>
      <c r="C4796" s="17" t="s">
        <v>1593</v>
      </c>
      <c r="D4796" s="17" t="s">
        <v>1276</v>
      </c>
      <c r="E4796" s="17" t="s">
        <v>2553</v>
      </c>
      <c r="F4796" s="17"/>
      <c r="G4796" s="18" t="n">
        <v>0</v>
      </c>
      <c r="H4796" s="18" t="n">
        <v>11.38</v>
      </c>
      <c r="I4796" s="18" t="n">
        <f aca="false">((I4795 + G4796) - H4796)</f>
        <v>51404.52</v>
      </c>
      <c r="J4796" s="18" t="n">
        <v>-1.14</v>
      </c>
      <c r="K4796" s="19" t="n">
        <v>10</v>
      </c>
      <c r="L4796" s="17" t="s">
        <v>44</v>
      </c>
    </row>
    <row r="4797" s="11" customFormat="true" ht="10.95" hidden="false" customHeight="true" outlineLevel="0" collapsed="false">
      <c r="A4797" s="16" t="n">
        <v>45405</v>
      </c>
      <c r="B4797" s="17" t="s">
        <v>2192</v>
      </c>
      <c r="C4797" s="17" t="s">
        <v>1593</v>
      </c>
      <c r="D4797" s="17" t="s">
        <v>1276</v>
      </c>
      <c r="E4797" s="17" t="s">
        <v>2553</v>
      </c>
      <c r="F4797" s="17"/>
      <c r="G4797" s="18" t="n">
        <v>0</v>
      </c>
      <c r="H4797" s="18" t="n">
        <v>4.35</v>
      </c>
      <c r="I4797" s="18" t="n">
        <f aca="false">((I4796 + G4797) - H4797)</f>
        <v>51400.17</v>
      </c>
      <c r="J4797" s="18" t="n">
        <v>-0.44</v>
      </c>
      <c r="K4797" s="19" t="n">
        <v>10</v>
      </c>
      <c r="L4797" s="17" t="s">
        <v>44</v>
      </c>
    </row>
    <row r="4798" s="11" customFormat="true" ht="10.95" hidden="false" customHeight="true" outlineLevel="0" collapsed="false">
      <c r="A4798" s="16" t="n">
        <v>45405</v>
      </c>
      <c r="B4798" s="17" t="s">
        <v>2192</v>
      </c>
      <c r="C4798" s="17" t="s">
        <v>1593</v>
      </c>
      <c r="D4798" s="17" t="s">
        <v>1407</v>
      </c>
      <c r="E4798" s="17" t="s">
        <v>2196</v>
      </c>
      <c r="F4798" s="17"/>
      <c r="G4798" s="18" t="n">
        <v>27.33</v>
      </c>
      <c r="H4798" s="18" t="n">
        <v>0</v>
      </c>
      <c r="I4798" s="18" t="n">
        <f aca="false">((I4797 + G4798) - H4798)</f>
        <v>51427.5</v>
      </c>
      <c r="J4798" s="18" t="n">
        <v>0</v>
      </c>
      <c r="K4798" s="19" t="n">
        <v>0</v>
      </c>
      <c r="L4798" s="17" t="s">
        <v>1406</v>
      </c>
    </row>
    <row r="4799" s="11" customFormat="true" ht="10.95" hidden="false" customHeight="true" outlineLevel="0" collapsed="false">
      <c r="A4799" s="16" t="n">
        <v>45407</v>
      </c>
      <c r="B4799" s="17" t="s">
        <v>2192</v>
      </c>
      <c r="C4799" s="17" t="s">
        <v>1593</v>
      </c>
      <c r="D4799" s="17" t="s">
        <v>1407</v>
      </c>
      <c r="E4799" s="17" t="s">
        <v>2554</v>
      </c>
      <c r="F4799" s="17"/>
      <c r="G4799" s="18" t="n">
        <v>44.55</v>
      </c>
      <c r="H4799" s="18" t="n">
        <v>0</v>
      </c>
      <c r="I4799" s="18" t="n">
        <f aca="false">((I4798 + G4799) - H4799)</f>
        <v>51472.05</v>
      </c>
      <c r="J4799" s="18" t="n">
        <v>4.45</v>
      </c>
      <c r="K4799" s="19" t="n">
        <v>10</v>
      </c>
      <c r="L4799" s="17" t="s">
        <v>44</v>
      </c>
    </row>
    <row r="4800" s="11" customFormat="true" ht="10.95" hidden="false" customHeight="true" outlineLevel="0" collapsed="false">
      <c r="A4800" s="16" t="n">
        <v>45408</v>
      </c>
      <c r="B4800" s="17" t="s">
        <v>2192</v>
      </c>
      <c r="C4800" s="17" t="s">
        <v>1593</v>
      </c>
      <c r="D4800" s="17" t="s">
        <v>1407</v>
      </c>
      <c r="E4800" s="17" t="s">
        <v>2196</v>
      </c>
      <c r="F4800" s="17"/>
      <c r="G4800" s="18" t="n">
        <v>20.22</v>
      </c>
      <c r="H4800" s="18" t="n">
        <v>0</v>
      </c>
      <c r="I4800" s="18" t="n">
        <f aca="false">((I4799 + G4800) - H4800)</f>
        <v>51492.27</v>
      </c>
      <c r="J4800" s="18" t="n">
        <v>0</v>
      </c>
      <c r="K4800" s="19" t="n">
        <v>0</v>
      </c>
      <c r="L4800" s="17" t="s">
        <v>1406</v>
      </c>
    </row>
    <row r="4801" s="11" customFormat="true" ht="10.95" hidden="false" customHeight="true" outlineLevel="0" collapsed="false">
      <c r="A4801" s="16" t="n">
        <v>45409</v>
      </c>
      <c r="B4801" s="17" t="s">
        <v>2192</v>
      </c>
      <c r="C4801" s="17" t="s">
        <v>1593</v>
      </c>
      <c r="D4801" s="17" t="s">
        <v>1407</v>
      </c>
      <c r="E4801" s="17" t="s">
        <v>2196</v>
      </c>
      <c r="F4801" s="17"/>
      <c r="G4801" s="18" t="n">
        <v>22.22</v>
      </c>
      <c r="H4801" s="18" t="n">
        <v>0</v>
      </c>
      <c r="I4801" s="18" t="n">
        <f aca="false">((I4800 + G4801) - H4801)</f>
        <v>51514.49</v>
      </c>
      <c r="J4801" s="18" t="n">
        <v>0</v>
      </c>
      <c r="K4801" s="19" t="n">
        <v>0</v>
      </c>
      <c r="L4801" s="17" t="s">
        <v>1406</v>
      </c>
    </row>
    <row r="4802" s="11" customFormat="true" ht="10.95" hidden="false" customHeight="true" outlineLevel="0" collapsed="false">
      <c r="A4802" s="16" t="n">
        <v>45411</v>
      </c>
      <c r="B4802" s="17" t="s">
        <v>2192</v>
      </c>
      <c r="C4802" s="17" t="s">
        <v>1593</v>
      </c>
      <c r="D4802" s="17" t="s">
        <v>1407</v>
      </c>
      <c r="E4802" s="17" t="s">
        <v>2193</v>
      </c>
      <c r="F4802" s="17"/>
      <c r="G4802" s="18" t="n">
        <v>653.69</v>
      </c>
      <c r="H4802" s="18" t="n">
        <v>0</v>
      </c>
      <c r="I4802" s="18" t="n">
        <f aca="false">((I4801 + G4802) - H4802)</f>
        <v>52168.18</v>
      </c>
      <c r="J4802" s="18" t="n">
        <v>0</v>
      </c>
      <c r="K4802" s="19" t="n">
        <v>0</v>
      </c>
      <c r="L4802" s="17" t="s">
        <v>1406</v>
      </c>
    </row>
    <row r="4803" s="11" customFormat="true" ht="10.95" hidden="false" customHeight="true" outlineLevel="0" collapsed="false">
      <c r="A4803" s="16" t="n">
        <v>45412</v>
      </c>
      <c r="B4803" s="17" t="s">
        <v>2192</v>
      </c>
      <c r="C4803" s="17" t="s">
        <v>1593</v>
      </c>
      <c r="D4803" s="17" t="s">
        <v>1407</v>
      </c>
      <c r="E4803" s="17" t="s">
        <v>2291</v>
      </c>
      <c r="F4803" s="17"/>
      <c r="G4803" s="18" t="n">
        <v>171.86</v>
      </c>
      <c r="H4803" s="18" t="n">
        <v>0</v>
      </c>
      <c r="I4803" s="18" t="n">
        <f aca="false">((I4802 + G4803) - H4803)</f>
        <v>52340.04</v>
      </c>
      <c r="J4803" s="18" t="n">
        <v>17.19</v>
      </c>
      <c r="K4803" s="19" t="n">
        <v>10</v>
      </c>
      <c r="L4803" s="17" t="s">
        <v>44</v>
      </c>
    </row>
    <row r="4804" s="11" customFormat="true" ht="10.95" hidden="false" customHeight="true" outlineLevel="0" collapsed="false">
      <c r="A4804" s="16" t="n">
        <v>45413</v>
      </c>
      <c r="B4804" s="17" t="s">
        <v>2192</v>
      </c>
      <c r="C4804" s="17" t="s">
        <v>1593</v>
      </c>
      <c r="D4804" s="17" t="s">
        <v>1407</v>
      </c>
      <c r="E4804" s="17" t="s">
        <v>2196</v>
      </c>
      <c r="F4804" s="17"/>
      <c r="G4804" s="18" t="n">
        <v>22.39</v>
      </c>
      <c r="H4804" s="18" t="n">
        <v>0</v>
      </c>
      <c r="I4804" s="18" t="n">
        <f aca="false">((I4803 + G4804) - H4804)</f>
        <v>52362.43</v>
      </c>
      <c r="J4804" s="18" t="n">
        <v>0</v>
      </c>
      <c r="K4804" s="19" t="n">
        <v>0</v>
      </c>
      <c r="L4804" s="17" t="s">
        <v>1406</v>
      </c>
    </row>
    <row r="4805" s="11" customFormat="true" ht="10.95" hidden="false" customHeight="true" outlineLevel="0" collapsed="false">
      <c r="A4805" s="16" t="n">
        <v>45413</v>
      </c>
      <c r="B4805" s="17" t="s">
        <v>2192</v>
      </c>
      <c r="C4805" s="17" t="s">
        <v>1593</v>
      </c>
      <c r="D4805" s="17" t="s">
        <v>1407</v>
      </c>
      <c r="E4805" s="17" t="s">
        <v>2195</v>
      </c>
      <c r="F4805" s="17"/>
      <c r="G4805" s="18" t="n">
        <v>75</v>
      </c>
      <c r="H4805" s="18" t="n">
        <v>0</v>
      </c>
      <c r="I4805" s="18" t="n">
        <f aca="false">((I4804 + G4805) - H4805)</f>
        <v>52437.43</v>
      </c>
      <c r="J4805" s="18" t="n">
        <v>7.5</v>
      </c>
      <c r="K4805" s="19" t="n">
        <v>10</v>
      </c>
      <c r="L4805" s="17" t="s">
        <v>44</v>
      </c>
    </row>
    <row r="4806" s="11" customFormat="true" ht="10.95" hidden="false" customHeight="true" outlineLevel="0" collapsed="false">
      <c r="A4806" s="16" t="n">
        <v>45413</v>
      </c>
      <c r="B4806" s="17" t="s">
        <v>2192</v>
      </c>
      <c r="C4806" s="17" t="s">
        <v>1593</v>
      </c>
      <c r="D4806" s="17" t="s">
        <v>1407</v>
      </c>
      <c r="E4806" s="17" t="s">
        <v>2194</v>
      </c>
      <c r="F4806" s="17"/>
      <c r="G4806" s="18" t="n">
        <v>76.42</v>
      </c>
      <c r="H4806" s="18" t="n">
        <v>0</v>
      </c>
      <c r="I4806" s="18" t="n">
        <f aca="false">((I4805 + G4806) - H4806)</f>
        <v>52513.85</v>
      </c>
      <c r="J4806" s="18" t="n">
        <v>0</v>
      </c>
      <c r="K4806" s="19" t="n">
        <v>0</v>
      </c>
      <c r="L4806" s="17" t="s">
        <v>1406</v>
      </c>
    </row>
    <row r="4807" s="11" customFormat="true" ht="10.95" hidden="false" customHeight="true" outlineLevel="0" collapsed="false">
      <c r="A4807" s="16" t="n">
        <v>45413</v>
      </c>
      <c r="B4807" s="17" t="s">
        <v>2192</v>
      </c>
      <c r="C4807" s="17" t="s">
        <v>1593</v>
      </c>
      <c r="D4807" s="17" t="s">
        <v>1391</v>
      </c>
      <c r="E4807" s="17" t="s">
        <v>2555</v>
      </c>
      <c r="F4807" s="17" t="s">
        <v>2556</v>
      </c>
      <c r="G4807" s="18" t="n">
        <v>248</v>
      </c>
      <c r="H4807" s="18" t="n">
        <v>0</v>
      </c>
      <c r="I4807" s="18" t="n">
        <f aca="false">((I4806 + G4807) - H4807)</f>
        <v>52761.85</v>
      </c>
      <c r="J4807" s="18" t="n">
        <v>0</v>
      </c>
      <c r="K4807" s="19" t="n">
        <v>0</v>
      </c>
      <c r="L4807" s="17" t="s">
        <v>1406</v>
      </c>
    </row>
    <row r="4808" s="11" customFormat="true" ht="10.95" hidden="false" customHeight="true" outlineLevel="0" collapsed="false">
      <c r="A4808" s="16" t="n">
        <v>45413</v>
      </c>
      <c r="B4808" s="17" t="s">
        <v>2192</v>
      </c>
      <c r="C4808" s="17" t="s">
        <v>1593</v>
      </c>
      <c r="D4808" s="17" t="s">
        <v>1391</v>
      </c>
      <c r="E4808" s="17" t="s">
        <v>2557</v>
      </c>
      <c r="F4808" s="17" t="s">
        <v>2558</v>
      </c>
      <c r="G4808" s="18" t="n">
        <v>179</v>
      </c>
      <c r="H4808" s="18" t="n">
        <v>0</v>
      </c>
      <c r="I4808" s="18" t="n">
        <f aca="false">((I4807 + G4808) - H4808)</f>
        <v>52940.85</v>
      </c>
      <c r="J4808" s="18" t="n">
        <v>0</v>
      </c>
      <c r="K4808" s="19" t="n">
        <v>0</v>
      </c>
      <c r="L4808" s="17" t="s">
        <v>1406</v>
      </c>
    </row>
    <row r="4809" s="11" customFormat="true" ht="10.95" hidden="false" customHeight="true" outlineLevel="0" collapsed="false">
      <c r="A4809" s="16" t="n">
        <v>45415</v>
      </c>
      <c r="B4809" s="17" t="s">
        <v>2192</v>
      </c>
      <c r="C4809" s="17" t="s">
        <v>1593</v>
      </c>
      <c r="D4809" s="17" t="s">
        <v>1407</v>
      </c>
      <c r="E4809" s="17" t="s">
        <v>2196</v>
      </c>
      <c r="F4809" s="17"/>
      <c r="G4809" s="18" t="n">
        <v>41.51</v>
      </c>
      <c r="H4809" s="18" t="n">
        <v>0</v>
      </c>
      <c r="I4809" s="18" t="n">
        <f aca="false">((I4808 + G4809) - H4809)</f>
        <v>52982.36</v>
      </c>
      <c r="J4809" s="18" t="n">
        <v>0</v>
      </c>
      <c r="K4809" s="19" t="n">
        <v>0</v>
      </c>
      <c r="L4809" s="17" t="s">
        <v>1406</v>
      </c>
    </row>
    <row r="4810" s="11" customFormat="true" ht="10.95" hidden="false" customHeight="true" outlineLevel="0" collapsed="false">
      <c r="A4810" s="16" t="n">
        <v>45415</v>
      </c>
      <c r="B4810" s="17" t="s">
        <v>2192</v>
      </c>
      <c r="C4810" s="17" t="s">
        <v>1593</v>
      </c>
      <c r="D4810" s="17" t="s">
        <v>1407</v>
      </c>
      <c r="E4810" s="17" t="s">
        <v>2196</v>
      </c>
      <c r="F4810" s="17"/>
      <c r="G4810" s="18" t="n">
        <v>17.44</v>
      </c>
      <c r="H4810" s="18" t="n">
        <v>0</v>
      </c>
      <c r="I4810" s="18" t="n">
        <f aca="false">((I4809 + G4810) - H4810)</f>
        <v>52999.8</v>
      </c>
      <c r="J4810" s="18" t="n">
        <v>0</v>
      </c>
      <c r="K4810" s="19" t="n">
        <v>0</v>
      </c>
      <c r="L4810" s="17" t="s">
        <v>1406</v>
      </c>
    </row>
    <row r="4811" s="11" customFormat="true" ht="10.95" hidden="false" customHeight="true" outlineLevel="0" collapsed="false">
      <c r="A4811" s="16" t="n">
        <v>45416</v>
      </c>
      <c r="B4811" s="17" t="s">
        <v>2192</v>
      </c>
      <c r="C4811" s="17" t="s">
        <v>1593</v>
      </c>
      <c r="D4811" s="17" t="s">
        <v>1407</v>
      </c>
      <c r="E4811" s="17" t="s">
        <v>2208</v>
      </c>
      <c r="F4811" s="17"/>
      <c r="G4811" s="18" t="n">
        <v>139.18</v>
      </c>
      <c r="H4811" s="18" t="n">
        <v>0</v>
      </c>
      <c r="I4811" s="18" t="n">
        <f aca="false">((I4810 + G4811) - H4811)</f>
        <v>53138.98</v>
      </c>
      <c r="J4811" s="18" t="n">
        <v>13.92</v>
      </c>
      <c r="K4811" s="19" t="n">
        <v>10</v>
      </c>
      <c r="L4811" s="17" t="s">
        <v>44</v>
      </c>
    </row>
    <row r="4812" s="11" customFormat="true" ht="10.95" hidden="false" customHeight="true" outlineLevel="0" collapsed="false">
      <c r="A4812" s="16" t="n">
        <v>45418</v>
      </c>
      <c r="B4812" s="17" t="s">
        <v>2192</v>
      </c>
      <c r="C4812" s="17" t="s">
        <v>1593</v>
      </c>
      <c r="D4812" s="17" t="s">
        <v>1407</v>
      </c>
      <c r="E4812" s="17" t="s">
        <v>2472</v>
      </c>
      <c r="F4812" s="17"/>
      <c r="G4812" s="18" t="n">
        <v>43.71</v>
      </c>
      <c r="H4812" s="18" t="n">
        <v>0</v>
      </c>
      <c r="I4812" s="18" t="n">
        <f aca="false">((I4811 + G4812) - H4812)</f>
        <v>53182.69</v>
      </c>
      <c r="J4812" s="18" t="n">
        <v>0</v>
      </c>
      <c r="K4812" s="19" t="n">
        <v>0</v>
      </c>
      <c r="L4812" s="17" t="s">
        <v>1406</v>
      </c>
    </row>
    <row r="4813" s="11" customFormat="true" ht="10.95" hidden="false" customHeight="true" outlineLevel="0" collapsed="false">
      <c r="A4813" s="16" t="n">
        <v>45418</v>
      </c>
      <c r="B4813" s="17" t="s">
        <v>2192</v>
      </c>
      <c r="C4813" s="17" t="s">
        <v>1593</v>
      </c>
      <c r="D4813" s="17" t="s">
        <v>1391</v>
      </c>
      <c r="E4813" s="17" t="s">
        <v>2559</v>
      </c>
      <c r="F4813" s="17" t="s">
        <v>2560</v>
      </c>
      <c r="G4813" s="18" t="n">
        <v>341.46</v>
      </c>
      <c r="H4813" s="18" t="n">
        <v>0</v>
      </c>
      <c r="I4813" s="18" t="n">
        <f aca="false">((I4812 + G4813) - H4813)</f>
        <v>53524.15</v>
      </c>
      <c r="J4813" s="18" t="n">
        <v>0</v>
      </c>
      <c r="K4813" s="19" t="n">
        <v>0</v>
      </c>
      <c r="L4813" s="17" t="s">
        <v>1406</v>
      </c>
    </row>
    <row r="4814" s="11" customFormat="true" ht="10.95" hidden="false" customHeight="true" outlineLevel="0" collapsed="false">
      <c r="A4814" s="16" t="n">
        <v>45419</v>
      </c>
      <c r="B4814" s="17" t="s">
        <v>2192</v>
      </c>
      <c r="C4814" s="17" t="s">
        <v>1593</v>
      </c>
      <c r="D4814" s="17" t="s">
        <v>1407</v>
      </c>
      <c r="E4814" s="17" t="s">
        <v>2561</v>
      </c>
      <c r="F4814" s="17"/>
      <c r="G4814" s="18" t="n">
        <v>65</v>
      </c>
      <c r="H4814" s="18" t="n">
        <v>0</v>
      </c>
      <c r="I4814" s="18" t="n">
        <f aca="false">((I4813 + G4814) - H4814)</f>
        <v>53589.15</v>
      </c>
      <c r="J4814" s="18" t="n">
        <v>6.5</v>
      </c>
      <c r="K4814" s="19" t="n">
        <v>10</v>
      </c>
      <c r="L4814" s="17" t="s">
        <v>44</v>
      </c>
    </row>
    <row r="4815" s="11" customFormat="true" ht="10.95" hidden="false" customHeight="true" outlineLevel="0" collapsed="false">
      <c r="A4815" s="16" t="n">
        <v>45419</v>
      </c>
      <c r="B4815" s="17" t="s">
        <v>2192</v>
      </c>
      <c r="C4815" s="17" t="s">
        <v>1593</v>
      </c>
      <c r="D4815" s="17" t="s">
        <v>1407</v>
      </c>
      <c r="E4815" s="17" t="s">
        <v>2208</v>
      </c>
      <c r="F4815" s="17"/>
      <c r="G4815" s="18" t="n">
        <v>12</v>
      </c>
      <c r="H4815" s="18" t="n">
        <v>0</v>
      </c>
      <c r="I4815" s="18" t="n">
        <f aca="false">((I4814 + G4815) - H4815)</f>
        <v>53601.15</v>
      </c>
      <c r="J4815" s="18" t="n">
        <v>1.2</v>
      </c>
      <c r="K4815" s="19" t="n">
        <v>10</v>
      </c>
      <c r="L4815" s="17" t="s">
        <v>44</v>
      </c>
    </row>
    <row r="4816" s="11" customFormat="true" ht="10.95" hidden="false" customHeight="true" outlineLevel="0" collapsed="false">
      <c r="A4816" s="16" t="n">
        <v>45419</v>
      </c>
      <c r="B4816" s="17" t="s">
        <v>2192</v>
      </c>
      <c r="C4816" s="17" t="s">
        <v>1593</v>
      </c>
      <c r="D4816" s="17" t="s">
        <v>1407</v>
      </c>
      <c r="E4816" s="17" t="s">
        <v>2208</v>
      </c>
      <c r="F4816" s="17"/>
      <c r="G4816" s="18" t="n">
        <v>18.7</v>
      </c>
      <c r="H4816" s="18" t="n">
        <v>0</v>
      </c>
      <c r="I4816" s="18" t="n">
        <f aca="false">((I4815 + G4816) - H4816)</f>
        <v>53619.85</v>
      </c>
      <c r="J4816" s="18" t="n">
        <v>1.87</v>
      </c>
      <c r="K4816" s="19" t="n">
        <v>10</v>
      </c>
      <c r="L4816" s="17" t="s">
        <v>44</v>
      </c>
    </row>
    <row r="4817" s="11" customFormat="true" ht="10.95" hidden="false" customHeight="true" outlineLevel="0" collapsed="false">
      <c r="A4817" s="16" t="n">
        <v>45419</v>
      </c>
      <c r="B4817" s="17" t="s">
        <v>2192</v>
      </c>
      <c r="C4817" s="17" t="s">
        <v>1593</v>
      </c>
      <c r="D4817" s="17" t="s">
        <v>1407</v>
      </c>
      <c r="E4817" s="17" t="s">
        <v>2236</v>
      </c>
      <c r="F4817" s="17"/>
      <c r="G4817" s="18" t="n">
        <v>40</v>
      </c>
      <c r="H4817" s="18" t="n">
        <v>0</v>
      </c>
      <c r="I4817" s="18" t="n">
        <f aca="false">((I4816 + G4817) - H4817)</f>
        <v>53659.85</v>
      </c>
      <c r="J4817" s="18" t="n">
        <v>0</v>
      </c>
      <c r="K4817" s="19" t="n">
        <v>0</v>
      </c>
      <c r="L4817" s="17" t="s">
        <v>1406</v>
      </c>
    </row>
    <row r="4818" s="11" customFormat="true" ht="10.95" hidden="false" customHeight="true" outlineLevel="0" collapsed="false">
      <c r="A4818" s="16" t="n">
        <v>45420</v>
      </c>
      <c r="B4818" s="17" t="s">
        <v>2192</v>
      </c>
      <c r="C4818" s="17" t="s">
        <v>1593</v>
      </c>
      <c r="D4818" s="17" t="s">
        <v>1391</v>
      </c>
      <c r="E4818" s="17" t="s">
        <v>2562</v>
      </c>
      <c r="F4818" s="17" t="s">
        <v>2563</v>
      </c>
      <c r="G4818" s="18" t="n">
        <v>457.21</v>
      </c>
      <c r="H4818" s="18" t="n">
        <v>0</v>
      </c>
      <c r="I4818" s="18" t="n">
        <f aca="false">((I4817 + G4818) - H4818)</f>
        <v>54117.06</v>
      </c>
      <c r="J4818" s="18" t="n">
        <v>0</v>
      </c>
      <c r="K4818" s="19" t="n">
        <v>0</v>
      </c>
      <c r="L4818" s="17" t="s">
        <v>1406</v>
      </c>
    </row>
    <row r="4819" s="11" customFormat="true" ht="10.95" hidden="false" customHeight="true" outlineLevel="0" collapsed="false">
      <c r="A4819" s="16" t="n">
        <v>45420</v>
      </c>
      <c r="B4819" s="17" t="s">
        <v>2192</v>
      </c>
      <c r="C4819" s="17" t="s">
        <v>1593</v>
      </c>
      <c r="D4819" s="17" t="s">
        <v>1407</v>
      </c>
      <c r="E4819" s="17" t="s">
        <v>2196</v>
      </c>
      <c r="F4819" s="17"/>
      <c r="G4819" s="18" t="n">
        <v>25.21</v>
      </c>
      <c r="H4819" s="18" t="n">
        <v>0</v>
      </c>
      <c r="I4819" s="18" t="n">
        <f aca="false">((I4818 + G4819) - H4819)</f>
        <v>54142.27</v>
      </c>
      <c r="J4819" s="18" t="n">
        <v>0</v>
      </c>
      <c r="K4819" s="19" t="n">
        <v>0</v>
      </c>
      <c r="L4819" s="17" t="s">
        <v>1406</v>
      </c>
    </row>
    <row r="4820" s="11" customFormat="true" ht="10.95" hidden="false" customHeight="true" outlineLevel="0" collapsed="false">
      <c r="A4820" s="16" t="n">
        <v>45420</v>
      </c>
      <c r="B4820" s="17" t="s">
        <v>2192</v>
      </c>
      <c r="C4820" s="17" t="s">
        <v>1593</v>
      </c>
      <c r="D4820" s="17" t="s">
        <v>1407</v>
      </c>
      <c r="E4820" s="17" t="s">
        <v>2196</v>
      </c>
      <c r="F4820" s="17"/>
      <c r="G4820" s="18" t="n">
        <v>4.56</v>
      </c>
      <c r="H4820" s="18" t="n">
        <v>0</v>
      </c>
      <c r="I4820" s="18" t="n">
        <f aca="false">((I4819 + G4820) - H4820)</f>
        <v>54146.83</v>
      </c>
      <c r="J4820" s="18" t="n">
        <v>0</v>
      </c>
      <c r="K4820" s="19" t="n">
        <v>0</v>
      </c>
      <c r="L4820" s="17" t="s">
        <v>1406</v>
      </c>
    </row>
    <row r="4821" s="11" customFormat="true" ht="10.95" hidden="false" customHeight="true" outlineLevel="0" collapsed="false">
      <c r="A4821" s="16" t="n">
        <v>45425</v>
      </c>
      <c r="B4821" s="17" t="s">
        <v>2192</v>
      </c>
      <c r="C4821" s="17" t="s">
        <v>1593</v>
      </c>
      <c r="D4821" s="17" t="s">
        <v>1407</v>
      </c>
      <c r="E4821" s="17" t="s">
        <v>2196</v>
      </c>
      <c r="F4821" s="17"/>
      <c r="G4821" s="18" t="n">
        <v>1.49</v>
      </c>
      <c r="H4821" s="18" t="n">
        <v>0</v>
      </c>
      <c r="I4821" s="18" t="n">
        <f aca="false">((I4820 + G4821) - H4821)</f>
        <v>54148.32</v>
      </c>
      <c r="J4821" s="18" t="n">
        <v>0</v>
      </c>
      <c r="K4821" s="19" t="n">
        <v>0</v>
      </c>
      <c r="L4821" s="17" t="s">
        <v>1406</v>
      </c>
    </row>
    <row r="4822" s="11" customFormat="true" ht="10.95" hidden="false" customHeight="true" outlineLevel="0" collapsed="false">
      <c r="A4822" s="16" t="n">
        <v>45425</v>
      </c>
      <c r="B4822" s="17" t="s">
        <v>2192</v>
      </c>
      <c r="C4822" s="17" t="s">
        <v>1593</v>
      </c>
      <c r="D4822" s="17" t="s">
        <v>1407</v>
      </c>
      <c r="E4822" s="17" t="s">
        <v>2196</v>
      </c>
      <c r="F4822" s="17"/>
      <c r="G4822" s="18" t="n">
        <v>4.52</v>
      </c>
      <c r="H4822" s="18" t="n">
        <v>0</v>
      </c>
      <c r="I4822" s="18" t="n">
        <f aca="false">((I4821 + G4822) - H4822)</f>
        <v>54152.84</v>
      </c>
      <c r="J4822" s="18" t="n">
        <v>0</v>
      </c>
      <c r="K4822" s="19" t="n">
        <v>0</v>
      </c>
      <c r="L4822" s="17" t="s">
        <v>1406</v>
      </c>
    </row>
    <row r="4823" s="11" customFormat="true" ht="10.95" hidden="false" customHeight="true" outlineLevel="0" collapsed="false">
      <c r="A4823" s="16" t="n">
        <v>45425</v>
      </c>
      <c r="B4823" s="17" t="s">
        <v>2192</v>
      </c>
      <c r="C4823" s="17" t="s">
        <v>1593</v>
      </c>
      <c r="D4823" s="17" t="s">
        <v>1407</v>
      </c>
      <c r="E4823" s="17" t="s">
        <v>2196</v>
      </c>
      <c r="F4823" s="17"/>
      <c r="G4823" s="18" t="n">
        <v>41.65</v>
      </c>
      <c r="H4823" s="18" t="n">
        <v>0</v>
      </c>
      <c r="I4823" s="18" t="n">
        <f aca="false">((I4822 + G4823) - H4823)</f>
        <v>54194.49</v>
      </c>
      <c r="J4823" s="18" t="n">
        <v>0</v>
      </c>
      <c r="K4823" s="19" t="n">
        <v>0</v>
      </c>
      <c r="L4823" s="17" t="s">
        <v>1406</v>
      </c>
    </row>
    <row r="4824" s="11" customFormat="true" ht="10.95" hidden="false" customHeight="true" outlineLevel="0" collapsed="false">
      <c r="A4824" s="16" t="n">
        <v>45426</v>
      </c>
      <c r="B4824" s="17" t="s">
        <v>2192</v>
      </c>
      <c r="C4824" s="17" t="s">
        <v>1593</v>
      </c>
      <c r="D4824" s="17" t="s">
        <v>1407</v>
      </c>
      <c r="E4824" s="17" t="s">
        <v>2542</v>
      </c>
      <c r="F4824" s="17"/>
      <c r="G4824" s="18" t="n">
        <v>36.35</v>
      </c>
      <c r="H4824" s="18" t="n">
        <v>0</v>
      </c>
      <c r="I4824" s="18" t="n">
        <f aca="false">((I4823 + G4824) - H4824)</f>
        <v>54230.84</v>
      </c>
      <c r="J4824" s="18" t="n">
        <v>3.64</v>
      </c>
      <c r="K4824" s="19" t="n">
        <v>10</v>
      </c>
      <c r="L4824" s="17" t="s">
        <v>44</v>
      </c>
    </row>
    <row r="4825" s="11" customFormat="true" ht="10.95" hidden="false" customHeight="true" outlineLevel="0" collapsed="false">
      <c r="A4825" s="16" t="n">
        <v>45426</v>
      </c>
      <c r="B4825" s="17" t="s">
        <v>2192</v>
      </c>
      <c r="C4825" s="17" t="s">
        <v>1593</v>
      </c>
      <c r="D4825" s="17" t="s">
        <v>1407</v>
      </c>
      <c r="E4825" s="17" t="s">
        <v>2193</v>
      </c>
      <c r="F4825" s="17"/>
      <c r="G4825" s="18" t="n">
        <v>179.38</v>
      </c>
      <c r="H4825" s="18" t="n">
        <v>0</v>
      </c>
      <c r="I4825" s="18" t="n">
        <f aca="false">((I4824 + G4825) - H4825)</f>
        <v>54410.22</v>
      </c>
      <c r="J4825" s="18" t="n">
        <v>0</v>
      </c>
      <c r="K4825" s="19" t="n">
        <v>0</v>
      </c>
      <c r="L4825" s="17" t="s">
        <v>1406</v>
      </c>
    </row>
    <row r="4826" s="11" customFormat="true" ht="10.95" hidden="false" customHeight="true" outlineLevel="0" collapsed="false">
      <c r="A4826" s="16" t="n">
        <v>45430</v>
      </c>
      <c r="B4826" s="17" t="s">
        <v>2192</v>
      </c>
      <c r="C4826" s="17" t="s">
        <v>1593</v>
      </c>
      <c r="D4826" s="17" t="s">
        <v>1391</v>
      </c>
      <c r="E4826" s="17" t="s">
        <v>2564</v>
      </c>
      <c r="F4826" s="17" t="s">
        <v>2565</v>
      </c>
      <c r="G4826" s="18" t="n">
        <v>22.4</v>
      </c>
      <c r="H4826" s="18" t="n">
        <v>0</v>
      </c>
      <c r="I4826" s="18" t="n">
        <f aca="false">((I4825 + G4826) - H4826)</f>
        <v>54432.62</v>
      </c>
      <c r="J4826" s="18" t="n">
        <v>2.24</v>
      </c>
      <c r="K4826" s="19" t="n">
        <v>10</v>
      </c>
      <c r="L4826" s="17" t="s">
        <v>44</v>
      </c>
    </row>
    <row r="4827" s="11" customFormat="true" ht="10.95" hidden="false" customHeight="true" outlineLevel="0" collapsed="false">
      <c r="A4827" s="16" t="n">
        <v>45430</v>
      </c>
      <c r="B4827" s="17" t="s">
        <v>2192</v>
      </c>
      <c r="C4827" s="17" t="s">
        <v>1593</v>
      </c>
      <c r="D4827" s="17" t="s">
        <v>1391</v>
      </c>
      <c r="E4827" s="17" t="s">
        <v>2566</v>
      </c>
      <c r="F4827" s="17" t="s">
        <v>2567</v>
      </c>
      <c r="G4827" s="18" t="n">
        <v>62</v>
      </c>
      <c r="H4827" s="18" t="n">
        <v>0</v>
      </c>
      <c r="I4827" s="18" t="n">
        <f aca="false">((I4826 + G4827) - H4827)</f>
        <v>54494.62</v>
      </c>
      <c r="J4827" s="18" t="n">
        <v>6.2</v>
      </c>
      <c r="K4827" s="19" t="n">
        <v>10</v>
      </c>
      <c r="L4827" s="17" t="s">
        <v>44</v>
      </c>
    </row>
    <row r="4828" s="11" customFormat="true" ht="10.95" hidden="false" customHeight="true" outlineLevel="0" collapsed="false">
      <c r="A4828" s="16" t="n">
        <v>45430</v>
      </c>
      <c r="B4828" s="17" t="s">
        <v>2192</v>
      </c>
      <c r="C4828" s="17" t="s">
        <v>1593</v>
      </c>
      <c r="D4828" s="17" t="s">
        <v>1391</v>
      </c>
      <c r="E4828" s="17" t="s">
        <v>2568</v>
      </c>
      <c r="F4828" s="17" t="s">
        <v>2569</v>
      </c>
      <c r="G4828" s="18" t="n">
        <v>199.8</v>
      </c>
      <c r="H4828" s="18" t="n">
        <v>0</v>
      </c>
      <c r="I4828" s="18" t="n">
        <f aca="false">((I4827 + G4828) - H4828)</f>
        <v>54694.42</v>
      </c>
      <c r="J4828" s="18" t="n">
        <v>19.98</v>
      </c>
      <c r="K4828" s="19" t="n">
        <v>10</v>
      </c>
      <c r="L4828" s="17" t="s">
        <v>44</v>
      </c>
    </row>
    <row r="4829" s="11" customFormat="true" ht="10.95" hidden="false" customHeight="true" outlineLevel="0" collapsed="false">
      <c r="A4829" s="16" t="n">
        <v>45430</v>
      </c>
      <c r="B4829" s="17" t="s">
        <v>2192</v>
      </c>
      <c r="C4829" s="17" t="s">
        <v>1593</v>
      </c>
      <c r="D4829" s="17" t="s">
        <v>1391</v>
      </c>
      <c r="E4829" s="17" t="s">
        <v>2570</v>
      </c>
      <c r="F4829" s="17" t="s">
        <v>2571</v>
      </c>
      <c r="G4829" s="18" t="n">
        <v>6</v>
      </c>
      <c r="H4829" s="18" t="n">
        <v>0</v>
      </c>
      <c r="I4829" s="18" t="n">
        <f aca="false">((I4828 + G4829) - H4829)</f>
        <v>54700.42</v>
      </c>
      <c r="J4829" s="18" t="n">
        <v>0.6</v>
      </c>
      <c r="K4829" s="19" t="n">
        <v>10</v>
      </c>
      <c r="L4829" s="17" t="s">
        <v>44</v>
      </c>
    </row>
    <row r="4830" s="11" customFormat="true" ht="10.95" hidden="false" customHeight="true" outlineLevel="0" collapsed="false">
      <c r="A4830" s="16" t="n">
        <v>45430</v>
      </c>
      <c r="B4830" s="17" t="s">
        <v>2192</v>
      </c>
      <c r="C4830" s="17" t="s">
        <v>1593</v>
      </c>
      <c r="D4830" s="17" t="s">
        <v>1407</v>
      </c>
      <c r="E4830" s="17" t="s">
        <v>2216</v>
      </c>
      <c r="F4830" s="17"/>
      <c r="G4830" s="18" t="n">
        <v>15.45</v>
      </c>
      <c r="H4830" s="18" t="n">
        <v>0</v>
      </c>
      <c r="I4830" s="18" t="n">
        <f aca="false">((I4829 + G4830) - H4830)</f>
        <v>54715.87</v>
      </c>
      <c r="J4830" s="18" t="n">
        <v>1.54</v>
      </c>
      <c r="K4830" s="19" t="n">
        <v>10</v>
      </c>
      <c r="L4830" s="17" t="s">
        <v>44</v>
      </c>
    </row>
    <row r="4831" s="11" customFormat="true" ht="10.95" hidden="false" customHeight="true" outlineLevel="0" collapsed="false">
      <c r="A4831" s="16" t="n">
        <v>45430</v>
      </c>
      <c r="B4831" s="17" t="s">
        <v>2192</v>
      </c>
      <c r="C4831" s="17" t="s">
        <v>1593</v>
      </c>
      <c r="D4831" s="17" t="s">
        <v>1407</v>
      </c>
      <c r="E4831" s="17" t="s">
        <v>2234</v>
      </c>
      <c r="F4831" s="17"/>
      <c r="G4831" s="18" t="n">
        <v>74.49</v>
      </c>
      <c r="H4831" s="18" t="n">
        <v>0</v>
      </c>
      <c r="I4831" s="18" t="n">
        <f aca="false">((I4830 + G4831) - H4831)</f>
        <v>54790.36</v>
      </c>
      <c r="J4831" s="18" t="n">
        <v>7.45</v>
      </c>
      <c r="K4831" s="19" t="n">
        <v>10</v>
      </c>
      <c r="L4831" s="17" t="s">
        <v>44</v>
      </c>
    </row>
    <row r="4832" s="11" customFormat="true" ht="10.95" hidden="false" customHeight="true" outlineLevel="0" collapsed="false">
      <c r="A4832" s="16" t="n">
        <v>45430</v>
      </c>
      <c r="B4832" s="17" t="s">
        <v>2192</v>
      </c>
      <c r="C4832" s="17" t="s">
        <v>1593</v>
      </c>
      <c r="D4832" s="17" t="s">
        <v>1407</v>
      </c>
      <c r="E4832" s="17" t="s">
        <v>1580</v>
      </c>
      <c r="F4832" s="17"/>
      <c r="G4832" s="18" t="n">
        <v>247.73</v>
      </c>
      <c r="H4832" s="18" t="n">
        <v>0</v>
      </c>
      <c r="I4832" s="18" t="n">
        <f aca="false">((I4831 + G4832) - H4832)</f>
        <v>55038.09</v>
      </c>
      <c r="J4832" s="18" t="n">
        <v>24.77</v>
      </c>
      <c r="K4832" s="19" t="n">
        <v>10</v>
      </c>
      <c r="L4832" s="17" t="s">
        <v>44</v>
      </c>
    </row>
    <row r="4833" s="11" customFormat="true" ht="10.95" hidden="false" customHeight="true" outlineLevel="0" collapsed="false">
      <c r="A4833" s="16" t="n">
        <v>45430</v>
      </c>
      <c r="B4833" s="17" t="s">
        <v>2192</v>
      </c>
      <c r="C4833" s="17" t="s">
        <v>1593</v>
      </c>
      <c r="D4833" s="17" t="s">
        <v>1407</v>
      </c>
      <c r="E4833" s="17" t="s">
        <v>2196</v>
      </c>
      <c r="F4833" s="17"/>
      <c r="G4833" s="18" t="n">
        <v>18.4</v>
      </c>
      <c r="H4833" s="18" t="n">
        <v>0</v>
      </c>
      <c r="I4833" s="18" t="n">
        <f aca="false">((I4832 + G4833) - H4833)</f>
        <v>55056.49</v>
      </c>
      <c r="J4833" s="18" t="n">
        <v>0</v>
      </c>
      <c r="K4833" s="19" t="n">
        <v>0</v>
      </c>
      <c r="L4833" s="17" t="s">
        <v>1406</v>
      </c>
    </row>
    <row r="4834" s="11" customFormat="true" ht="10.95" hidden="false" customHeight="true" outlineLevel="0" collapsed="false">
      <c r="A4834" s="16" t="n">
        <v>45430</v>
      </c>
      <c r="B4834" s="17" t="s">
        <v>2192</v>
      </c>
      <c r="C4834" s="17" t="s">
        <v>1593</v>
      </c>
      <c r="D4834" s="17" t="s">
        <v>1407</v>
      </c>
      <c r="E4834" s="17" t="s">
        <v>2196</v>
      </c>
      <c r="F4834" s="17"/>
      <c r="G4834" s="18" t="n">
        <v>5.75</v>
      </c>
      <c r="H4834" s="18" t="n">
        <v>0</v>
      </c>
      <c r="I4834" s="18" t="n">
        <f aca="false">((I4833 + G4834) - H4834)</f>
        <v>55062.24</v>
      </c>
      <c r="J4834" s="18" t="n">
        <v>0</v>
      </c>
      <c r="K4834" s="19" t="n">
        <v>0</v>
      </c>
      <c r="L4834" s="17" t="s">
        <v>1406</v>
      </c>
    </row>
    <row r="4835" s="11" customFormat="true" ht="10.95" hidden="false" customHeight="true" outlineLevel="0" collapsed="false">
      <c r="A4835" s="16" t="n">
        <v>45432</v>
      </c>
      <c r="B4835" s="17" t="s">
        <v>2192</v>
      </c>
      <c r="C4835" s="17" t="s">
        <v>1593</v>
      </c>
      <c r="D4835" s="17" t="s">
        <v>1407</v>
      </c>
      <c r="E4835" s="17" t="s">
        <v>2572</v>
      </c>
      <c r="F4835" s="17"/>
      <c r="G4835" s="18" t="n">
        <v>67.5</v>
      </c>
      <c r="H4835" s="18" t="n">
        <v>0</v>
      </c>
      <c r="I4835" s="18" t="n">
        <f aca="false">((I4834 + G4835) - H4835)</f>
        <v>55129.74</v>
      </c>
      <c r="J4835" s="18" t="n">
        <v>0</v>
      </c>
      <c r="K4835" s="19" t="n">
        <v>0</v>
      </c>
      <c r="L4835" s="17" t="s">
        <v>1406</v>
      </c>
    </row>
    <row r="4836" s="11" customFormat="true" ht="10.95" hidden="false" customHeight="true" outlineLevel="0" collapsed="false">
      <c r="A4836" s="16" t="n">
        <v>45432</v>
      </c>
      <c r="B4836" s="17" t="s">
        <v>2192</v>
      </c>
      <c r="C4836" s="17" t="s">
        <v>1593</v>
      </c>
      <c r="D4836" s="17" t="s">
        <v>1407</v>
      </c>
      <c r="E4836" s="17" t="s">
        <v>2238</v>
      </c>
      <c r="F4836" s="17"/>
      <c r="G4836" s="18" t="n">
        <v>30</v>
      </c>
      <c r="H4836" s="18" t="n">
        <v>0</v>
      </c>
      <c r="I4836" s="18" t="n">
        <f aca="false">((I4835 + G4836) - H4836)</f>
        <v>55159.74</v>
      </c>
      <c r="J4836" s="18" t="n">
        <v>0</v>
      </c>
      <c r="K4836" s="19" t="n">
        <v>0</v>
      </c>
      <c r="L4836" s="17" t="s">
        <v>1406</v>
      </c>
    </row>
    <row r="4837" s="11" customFormat="true" ht="10.95" hidden="false" customHeight="true" outlineLevel="0" collapsed="false">
      <c r="A4837" s="16" t="n">
        <v>45433</v>
      </c>
      <c r="B4837" s="17" t="s">
        <v>2192</v>
      </c>
      <c r="C4837" s="17" t="s">
        <v>1593</v>
      </c>
      <c r="D4837" s="17" t="s">
        <v>1407</v>
      </c>
      <c r="E4837" s="17" t="s">
        <v>2196</v>
      </c>
      <c r="F4837" s="17"/>
      <c r="G4837" s="18" t="n">
        <v>61.89</v>
      </c>
      <c r="H4837" s="18" t="n">
        <v>0</v>
      </c>
      <c r="I4837" s="18" t="n">
        <f aca="false">((I4836 + G4837) - H4837)</f>
        <v>55221.63</v>
      </c>
      <c r="J4837" s="18" t="n">
        <v>0</v>
      </c>
      <c r="K4837" s="19" t="n">
        <v>0</v>
      </c>
      <c r="L4837" s="17" t="s">
        <v>1406</v>
      </c>
    </row>
    <row r="4838" s="11" customFormat="true" ht="10.95" hidden="false" customHeight="true" outlineLevel="0" collapsed="false">
      <c r="A4838" s="16" t="n">
        <v>45434</v>
      </c>
      <c r="B4838" s="17" t="s">
        <v>2192</v>
      </c>
      <c r="C4838" s="17" t="s">
        <v>1593</v>
      </c>
      <c r="D4838" s="17" t="s">
        <v>1407</v>
      </c>
      <c r="E4838" s="17" t="s">
        <v>2196</v>
      </c>
      <c r="F4838" s="17"/>
      <c r="G4838" s="18" t="n">
        <v>41.5</v>
      </c>
      <c r="H4838" s="18" t="n">
        <v>0</v>
      </c>
      <c r="I4838" s="18" t="n">
        <f aca="false">((I4837 + G4838) - H4838)</f>
        <v>55263.13</v>
      </c>
      <c r="J4838" s="18" t="n">
        <v>0</v>
      </c>
      <c r="K4838" s="19" t="n">
        <v>0</v>
      </c>
      <c r="L4838" s="17" t="s">
        <v>1406</v>
      </c>
    </row>
    <row r="4839" s="11" customFormat="true" ht="10.95" hidden="false" customHeight="true" outlineLevel="0" collapsed="false">
      <c r="A4839" s="16" t="n">
        <v>45434</v>
      </c>
      <c r="B4839" s="17" t="s">
        <v>2192</v>
      </c>
      <c r="C4839" s="17" t="s">
        <v>1593</v>
      </c>
      <c r="D4839" s="17" t="s">
        <v>1391</v>
      </c>
      <c r="E4839" s="17" t="s">
        <v>2395</v>
      </c>
      <c r="F4839" s="17" t="s">
        <v>2573</v>
      </c>
      <c r="G4839" s="18" t="n">
        <v>71.71</v>
      </c>
      <c r="H4839" s="18" t="n">
        <v>0</v>
      </c>
      <c r="I4839" s="18" t="n">
        <f aca="false">((I4838 + G4839) - H4839)</f>
        <v>55334.84</v>
      </c>
      <c r="J4839" s="18" t="n">
        <v>7.17</v>
      </c>
      <c r="K4839" s="19" t="n">
        <v>10</v>
      </c>
      <c r="L4839" s="17" t="s">
        <v>44</v>
      </c>
    </row>
    <row r="4840" s="11" customFormat="true" ht="10.95" hidden="false" customHeight="true" outlineLevel="0" collapsed="false">
      <c r="A4840" s="16" t="n">
        <v>45436</v>
      </c>
      <c r="B4840" s="17" t="s">
        <v>2192</v>
      </c>
      <c r="C4840" s="17" t="s">
        <v>1593</v>
      </c>
      <c r="D4840" s="17" t="s">
        <v>1407</v>
      </c>
      <c r="E4840" s="17" t="s">
        <v>2208</v>
      </c>
      <c r="F4840" s="17"/>
      <c r="G4840" s="18" t="n">
        <v>137.6</v>
      </c>
      <c r="H4840" s="18" t="n">
        <v>0</v>
      </c>
      <c r="I4840" s="18" t="n">
        <f aca="false">((I4839 + G4840) - H4840)</f>
        <v>55472.44</v>
      </c>
      <c r="J4840" s="18" t="n">
        <v>13.76</v>
      </c>
      <c r="K4840" s="19" t="n">
        <v>10</v>
      </c>
      <c r="L4840" s="17" t="s">
        <v>44</v>
      </c>
    </row>
    <row r="4841" s="11" customFormat="true" ht="10.95" hidden="false" customHeight="true" outlineLevel="0" collapsed="false">
      <c r="A4841" s="16" t="n">
        <v>45437</v>
      </c>
      <c r="B4841" s="17" t="s">
        <v>2192</v>
      </c>
      <c r="C4841" s="17" t="s">
        <v>1593</v>
      </c>
      <c r="D4841" s="17" t="s">
        <v>1391</v>
      </c>
      <c r="E4841" s="17" t="s">
        <v>2574</v>
      </c>
      <c r="F4841" s="17" t="s">
        <v>2575</v>
      </c>
      <c r="G4841" s="18" t="n">
        <v>44.55</v>
      </c>
      <c r="H4841" s="18" t="n">
        <v>0</v>
      </c>
      <c r="I4841" s="18" t="n">
        <f aca="false">((I4840 + G4841) - H4841)</f>
        <v>55516.99</v>
      </c>
      <c r="J4841" s="18" t="n">
        <v>4.45</v>
      </c>
      <c r="K4841" s="19" t="n">
        <v>10</v>
      </c>
      <c r="L4841" s="17" t="s">
        <v>44</v>
      </c>
    </row>
    <row r="4842" s="11" customFormat="true" ht="10.95" hidden="false" customHeight="true" outlineLevel="0" collapsed="false">
      <c r="A4842" s="16" t="n">
        <v>45437</v>
      </c>
      <c r="B4842" s="17" t="s">
        <v>2192</v>
      </c>
      <c r="C4842" s="17" t="s">
        <v>1593</v>
      </c>
      <c r="D4842" s="17" t="s">
        <v>1407</v>
      </c>
      <c r="E4842" s="17" t="s">
        <v>2196</v>
      </c>
      <c r="F4842" s="17"/>
      <c r="G4842" s="18" t="n">
        <v>19.96</v>
      </c>
      <c r="H4842" s="18" t="n">
        <v>0</v>
      </c>
      <c r="I4842" s="18" t="n">
        <f aca="false">((I4841 + G4842) - H4842)</f>
        <v>55536.95</v>
      </c>
      <c r="J4842" s="18" t="n">
        <v>0</v>
      </c>
      <c r="K4842" s="19" t="n">
        <v>0</v>
      </c>
      <c r="L4842" s="17" t="s">
        <v>1406</v>
      </c>
    </row>
    <row r="4843" s="11" customFormat="true" ht="10.95" hidden="false" customHeight="true" outlineLevel="0" collapsed="false">
      <c r="A4843" s="16" t="n">
        <v>45437</v>
      </c>
      <c r="B4843" s="17" t="s">
        <v>2192</v>
      </c>
      <c r="C4843" s="17" t="s">
        <v>1593</v>
      </c>
      <c r="D4843" s="17" t="s">
        <v>1407</v>
      </c>
      <c r="E4843" s="17" t="s">
        <v>2196</v>
      </c>
      <c r="F4843" s="17"/>
      <c r="G4843" s="18" t="n">
        <v>26.61</v>
      </c>
      <c r="H4843" s="18" t="n">
        <v>0</v>
      </c>
      <c r="I4843" s="18" t="n">
        <f aca="false">((I4842 + G4843) - H4843)</f>
        <v>55563.56</v>
      </c>
      <c r="J4843" s="18" t="n">
        <v>0</v>
      </c>
      <c r="K4843" s="19" t="n">
        <v>0</v>
      </c>
      <c r="L4843" s="17" t="s">
        <v>1406</v>
      </c>
    </row>
    <row r="4844" s="11" customFormat="true" ht="10.95" hidden="false" customHeight="true" outlineLevel="0" collapsed="false">
      <c r="A4844" s="16" t="n">
        <v>45439</v>
      </c>
      <c r="B4844" s="17" t="s">
        <v>2192</v>
      </c>
      <c r="C4844" s="17" t="s">
        <v>1593</v>
      </c>
      <c r="D4844" s="17" t="s">
        <v>1407</v>
      </c>
      <c r="E4844" s="17" t="s">
        <v>2196</v>
      </c>
      <c r="F4844" s="17"/>
      <c r="G4844" s="18" t="n">
        <v>21.83</v>
      </c>
      <c r="H4844" s="18" t="n">
        <v>0</v>
      </c>
      <c r="I4844" s="18" t="n">
        <f aca="false">((I4843 + G4844) - H4844)</f>
        <v>55585.39</v>
      </c>
      <c r="J4844" s="18" t="n">
        <v>0</v>
      </c>
      <c r="K4844" s="19" t="n">
        <v>0</v>
      </c>
      <c r="L4844" s="17" t="s">
        <v>1406</v>
      </c>
    </row>
    <row r="4845" s="11" customFormat="true" ht="10.95" hidden="false" customHeight="true" outlineLevel="0" collapsed="false">
      <c r="A4845" s="16" t="n">
        <v>45440</v>
      </c>
      <c r="B4845" s="17" t="s">
        <v>2192</v>
      </c>
      <c r="C4845" s="17" t="s">
        <v>1593</v>
      </c>
      <c r="D4845" s="17" t="s">
        <v>1407</v>
      </c>
      <c r="E4845" s="17" t="s">
        <v>2291</v>
      </c>
      <c r="F4845" s="17"/>
      <c r="G4845" s="18" t="n">
        <v>171.86</v>
      </c>
      <c r="H4845" s="18" t="n">
        <v>0</v>
      </c>
      <c r="I4845" s="18" t="n">
        <f aca="false">((I4844 + G4845) - H4845)</f>
        <v>55757.25</v>
      </c>
      <c r="J4845" s="18" t="n">
        <v>17.19</v>
      </c>
      <c r="K4845" s="19" t="n">
        <v>10</v>
      </c>
      <c r="L4845" s="17" t="s">
        <v>44</v>
      </c>
    </row>
    <row r="4846" s="11" customFormat="true" ht="10.95" hidden="false" customHeight="true" outlineLevel="0" collapsed="false">
      <c r="A4846" s="16" t="n">
        <v>45441</v>
      </c>
      <c r="B4846" s="17" t="s">
        <v>2192</v>
      </c>
      <c r="C4846" s="17" t="s">
        <v>1593</v>
      </c>
      <c r="D4846" s="17" t="s">
        <v>1407</v>
      </c>
      <c r="E4846" s="17" t="s">
        <v>2193</v>
      </c>
      <c r="F4846" s="17"/>
      <c r="G4846" s="18" t="n">
        <v>646.33</v>
      </c>
      <c r="H4846" s="18" t="n">
        <v>0</v>
      </c>
      <c r="I4846" s="18" t="n">
        <f aca="false">((I4845 + G4846) - H4846)</f>
        <v>56403.58</v>
      </c>
      <c r="J4846" s="18" t="n">
        <v>0</v>
      </c>
      <c r="K4846" s="19" t="n">
        <v>0</v>
      </c>
      <c r="L4846" s="17" t="s">
        <v>1406</v>
      </c>
    </row>
    <row r="4847" s="11" customFormat="true" ht="10.95" hidden="false" customHeight="true" outlineLevel="0" collapsed="false">
      <c r="A4847" s="16" t="n">
        <v>45442</v>
      </c>
      <c r="B4847" s="17" t="s">
        <v>2192</v>
      </c>
      <c r="C4847" s="17" t="s">
        <v>1593</v>
      </c>
      <c r="D4847" s="17" t="s">
        <v>1407</v>
      </c>
      <c r="E4847" s="17" t="s">
        <v>2194</v>
      </c>
      <c r="F4847" s="17"/>
      <c r="G4847" s="18" t="n">
        <v>76.13</v>
      </c>
      <c r="H4847" s="18" t="n">
        <v>0</v>
      </c>
      <c r="I4847" s="18" t="n">
        <f aca="false">((I4846 + G4847) - H4847)</f>
        <v>56479.71</v>
      </c>
      <c r="J4847" s="18" t="n">
        <v>0</v>
      </c>
      <c r="K4847" s="19" t="n">
        <v>0</v>
      </c>
      <c r="L4847" s="17" t="s">
        <v>1406</v>
      </c>
    </row>
    <row r="4848" s="11" customFormat="true" ht="10.95" hidden="false" customHeight="true" outlineLevel="0" collapsed="false">
      <c r="A4848" s="16" t="n">
        <v>45443</v>
      </c>
      <c r="B4848" s="17" t="s">
        <v>2192</v>
      </c>
      <c r="C4848" s="17" t="s">
        <v>1593</v>
      </c>
      <c r="D4848" s="17" t="s">
        <v>1407</v>
      </c>
      <c r="E4848" s="17" t="s">
        <v>2195</v>
      </c>
      <c r="F4848" s="17"/>
      <c r="G4848" s="18" t="n">
        <v>75</v>
      </c>
      <c r="H4848" s="18" t="n">
        <v>0</v>
      </c>
      <c r="I4848" s="18" t="n">
        <f aca="false">((I4847 + G4848) - H4848)</f>
        <v>56554.71</v>
      </c>
      <c r="J4848" s="18" t="n">
        <v>7.5</v>
      </c>
      <c r="K4848" s="19" t="n">
        <v>10</v>
      </c>
      <c r="L4848" s="17" t="s">
        <v>44</v>
      </c>
    </row>
    <row r="4849" s="11" customFormat="true" ht="10.95" hidden="false" customHeight="true" outlineLevel="0" collapsed="false">
      <c r="A4849" s="16" t="n">
        <v>45444</v>
      </c>
      <c r="B4849" s="17" t="s">
        <v>2192</v>
      </c>
      <c r="C4849" s="17" t="s">
        <v>1593</v>
      </c>
      <c r="D4849" s="17" t="s">
        <v>1407</v>
      </c>
      <c r="E4849" s="17" t="s">
        <v>2196</v>
      </c>
      <c r="F4849" s="17"/>
      <c r="G4849" s="18" t="n">
        <v>41.44</v>
      </c>
      <c r="H4849" s="18" t="n">
        <v>0</v>
      </c>
      <c r="I4849" s="18" t="n">
        <f aca="false">((I4848 + G4849) - H4849)</f>
        <v>56596.15</v>
      </c>
      <c r="J4849" s="18" t="n">
        <v>0</v>
      </c>
      <c r="K4849" s="19" t="n">
        <v>0</v>
      </c>
      <c r="L4849" s="17" t="s">
        <v>1406</v>
      </c>
    </row>
    <row r="4850" s="11" customFormat="true" ht="10.95" hidden="false" customHeight="true" outlineLevel="0" collapsed="false">
      <c r="A4850" s="16" t="n">
        <v>45444</v>
      </c>
      <c r="B4850" s="17" t="s">
        <v>2192</v>
      </c>
      <c r="C4850" s="17" t="s">
        <v>1593</v>
      </c>
      <c r="D4850" s="17" t="s">
        <v>1407</v>
      </c>
      <c r="E4850" s="17" t="s">
        <v>2196</v>
      </c>
      <c r="F4850" s="17"/>
      <c r="G4850" s="18" t="n">
        <v>21.82</v>
      </c>
      <c r="H4850" s="18" t="n">
        <v>0</v>
      </c>
      <c r="I4850" s="18" t="n">
        <f aca="false">((I4849 + G4850) - H4850)</f>
        <v>56617.97</v>
      </c>
      <c r="J4850" s="18" t="n">
        <v>0</v>
      </c>
      <c r="K4850" s="19" t="n">
        <v>0</v>
      </c>
      <c r="L4850" s="17" t="s">
        <v>1406</v>
      </c>
    </row>
    <row r="4851" s="11" customFormat="true" ht="10.95" hidden="false" customHeight="true" outlineLevel="0" collapsed="false">
      <c r="A4851" s="16" t="n">
        <v>45446</v>
      </c>
      <c r="B4851" s="17" t="s">
        <v>2192</v>
      </c>
      <c r="C4851" s="17" t="s">
        <v>1593</v>
      </c>
      <c r="D4851" s="17" t="s">
        <v>1391</v>
      </c>
      <c r="E4851" s="17" t="s">
        <v>2576</v>
      </c>
      <c r="F4851" s="17" t="s">
        <v>2577</v>
      </c>
      <c r="G4851" s="18" t="n">
        <v>128.8</v>
      </c>
      <c r="H4851" s="18" t="n">
        <v>0</v>
      </c>
      <c r="I4851" s="18" t="n">
        <f aca="false">((I4850 + G4851) - H4851)</f>
        <v>56746.77</v>
      </c>
      <c r="J4851" s="18" t="n">
        <v>12.88</v>
      </c>
      <c r="K4851" s="19" t="n">
        <v>10</v>
      </c>
      <c r="L4851" s="17" t="s">
        <v>44</v>
      </c>
    </row>
    <row r="4852" s="11" customFormat="true" ht="10.95" hidden="false" customHeight="true" outlineLevel="0" collapsed="false">
      <c r="A4852" s="16" t="n">
        <v>45447</v>
      </c>
      <c r="B4852" s="17" t="s">
        <v>2192</v>
      </c>
      <c r="C4852" s="17" t="s">
        <v>1593</v>
      </c>
      <c r="D4852" s="17" t="s">
        <v>1407</v>
      </c>
      <c r="E4852" s="17" t="s">
        <v>2211</v>
      </c>
      <c r="F4852" s="17"/>
      <c r="G4852" s="18" t="n">
        <v>237.83</v>
      </c>
      <c r="H4852" s="18" t="n">
        <v>0</v>
      </c>
      <c r="I4852" s="18" t="n">
        <f aca="false">((I4851 + G4852) - H4852)</f>
        <v>56984.6</v>
      </c>
      <c r="J4852" s="18" t="n">
        <v>0</v>
      </c>
      <c r="K4852" s="19" t="n">
        <v>0</v>
      </c>
      <c r="L4852" s="17" t="s">
        <v>1406</v>
      </c>
    </row>
    <row r="4853" s="11" customFormat="true" ht="10.95" hidden="false" customHeight="true" outlineLevel="0" collapsed="false">
      <c r="A4853" s="16" t="n">
        <v>45448</v>
      </c>
      <c r="B4853" s="17" t="s">
        <v>2192</v>
      </c>
      <c r="C4853" s="17" t="s">
        <v>1593</v>
      </c>
      <c r="D4853" s="17" t="s">
        <v>1407</v>
      </c>
      <c r="E4853" s="17" t="s">
        <v>2196</v>
      </c>
      <c r="F4853" s="17"/>
      <c r="G4853" s="18" t="n">
        <v>17.41</v>
      </c>
      <c r="H4853" s="18" t="n">
        <v>0</v>
      </c>
      <c r="I4853" s="18" t="n">
        <f aca="false">((I4852 + G4853) - H4853)</f>
        <v>57002.01</v>
      </c>
      <c r="J4853" s="18" t="n">
        <v>0</v>
      </c>
      <c r="K4853" s="19" t="n">
        <v>0</v>
      </c>
      <c r="L4853" s="17" t="s">
        <v>1406</v>
      </c>
    </row>
    <row r="4854" s="11" customFormat="true" ht="10.95" hidden="false" customHeight="true" outlineLevel="0" collapsed="false">
      <c r="A4854" s="16" t="n">
        <v>45448</v>
      </c>
      <c r="B4854" s="17" t="s">
        <v>2192</v>
      </c>
      <c r="C4854" s="17" t="s">
        <v>1593</v>
      </c>
      <c r="D4854" s="17" t="s">
        <v>1407</v>
      </c>
      <c r="E4854" s="17" t="s">
        <v>2472</v>
      </c>
      <c r="F4854" s="17"/>
      <c r="G4854" s="18" t="n">
        <v>43.61</v>
      </c>
      <c r="H4854" s="18" t="n">
        <v>0</v>
      </c>
      <c r="I4854" s="18" t="n">
        <f aca="false">((I4853 + G4854) - H4854)</f>
        <v>57045.62</v>
      </c>
      <c r="J4854" s="18" t="n">
        <v>0</v>
      </c>
      <c r="K4854" s="19" t="n">
        <v>0</v>
      </c>
      <c r="L4854" s="17" t="s">
        <v>1406</v>
      </c>
    </row>
    <row r="4855" s="11" customFormat="true" ht="10.95" hidden="false" customHeight="true" outlineLevel="0" collapsed="false">
      <c r="A4855" s="16" t="n">
        <v>45449</v>
      </c>
      <c r="B4855" s="17" t="s">
        <v>2192</v>
      </c>
      <c r="C4855" s="17" t="s">
        <v>1593</v>
      </c>
      <c r="D4855" s="17" t="s">
        <v>1407</v>
      </c>
      <c r="E4855" s="17" t="s">
        <v>2208</v>
      </c>
      <c r="F4855" s="17"/>
      <c r="G4855" s="18" t="n">
        <v>12</v>
      </c>
      <c r="H4855" s="18" t="n">
        <v>0</v>
      </c>
      <c r="I4855" s="18" t="n">
        <f aca="false">((I4854 + G4855) - H4855)</f>
        <v>57057.62</v>
      </c>
      <c r="J4855" s="18" t="n">
        <v>1.2</v>
      </c>
      <c r="K4855" s="19" t="n">
        <v>10</v>
      </c>
      <c r="L4855" s="17" t="s">
        <v>44</v>
      </c>
    </row>
    <row r="4856" s="11" customFormat="true" ht="10.95" hidden="false" customHeight="true" outlineLevel="0" collapsed="false">
      <c r="A4856" s="16" t="n">
        <v>45449</v>
      </c>
      <c r="B4856" s="17" t="s">
        <v>2192</v>
      </c>
      <c r="C4856" s="17" t="s">
        <v>1593</v>
      </c>
      <c r="D4856" s="17" t="s">
        <v>1407</v>
      </c>
      <c r="E4856" s="17" t="s">
        <v>2208</v>
      </c>
      <c r="F4856" s="17"/>
      <c r="G4856" s="18" t="n">
        <v>18.7</v>
      </c>
      <c r="H4856" s="18" t="n">
        <v>0</v>
      </c>
      <c r="I4856" s="18" t="n">
        <f aca="false">((I4855 + G4856) - H4856)</f>
        <v>57076.32</v>
      </c>
      <c r="J4856" s="18" t="n">
        <v>1.87</v>
      </c>
      <c r="K4856" s="19" t="n">
        <v>10</v>
      </c>
      <c r="L4856" s="17" t="s">
        <v>44</v>
      </c>
    </row>
    <row r="4857" s="11" customFormat="true" ht="10.95" hidden="false" customHeight="true" outlineLevel="0" collapsed="false">
      <c r="A4857" s="16" t="n">
        <v>45449</v>
      </c>
      <c r="B4857" s="17" t="s">
        <v>2192</v>
      </c>
      <c r="C4857" s="17" t="s">
        <v>1593</v>
      </c>
      <c r="D4857" s="17" t="s">
        <v>1407</v>
      </c>
      <c r="E4857" s="17" t="s">
        <v>2208</v>
      </c>
      <c r="F4857" s="17"/>
      <c r="G4857" s="18" t="n">
        <v>26</v>
      </c>
      <c r="H4857" s="18" t="n">
        <v>0</v>
      </c>
      <c r="I4857" s="18" t="n">
        <f aca="false">((I4856 + G4857) - H4857)</f>
        <v>57102.32</v>
      </c>
      <c r="J4857" s="18" t="n">
        <v>2.6</v>
      </c>
      <c r="K4857" s="19" t="n">
        <v>10</v>
      </c>
      <c r="L4857" s="17" t="s">
        <v>44</v>
      </c>
    </row>
    <row r="4858" s="11" customFormat="true" ht="10.95" hidden="false" customHeight="true" outlineLevel="0" collapsed="false">
      <c r="A4858" s="16" t="n">
        <v>45450</v>
      </c>
      <c r="B4858" s="17" t="s">
        <v>2192</v>
      </c>
      <c r="C4858" s="17" t="s">
        <v>1593</v>
      </c>
      <c r="D4858" s="17" t="s">
        <v>1407</v>
      </c>
      <c r="E4858" s="17" t="s">
        <v>2298</v>
      </c>
      <c r="F4858" s="17"/>
      <c r="G4858" s="18" t="n">
        <v>65</v>
      </c>
      <c r="H4858" s="18" t="n">
        <v>0</v>
      </c>
      <c r="I4858" s="18" t="n">
        <f aca="false">((I4857 + G4858) - H4858)</f>
        <v>57167.32</v>
      </c>
      <c r="J4858" s="18" t="n">
        <v>6.5</v>
      </c>
      <c r="K4858" s="19" t="n">
        <v>10</v>
      </c>
      <c r="L4858" s="17" t="s">
        <v>44</v>
      </c>
    </row>
    <row r="4859" s="11" customFormat="true" ht="10.95" hidden="false" customHeight="true" outlineLevel="0" collapsed="false">
      <c r="A4859" s="16" t="n">
        <v>45450</v>
      </c>
      <c r="B4859" s="17" t="s">
        <v>2192</v>
      </c>
      <c r="C4859" s="17" t="s">
        <v>1593</v>
      </c>
      <c r="D4859" s="17" t="s">
        <v>1407</v>
      </c>
      <c r="E4859" s="17" t="s">
        <v>2196</v>
      </c>
      <c r="F4859" s="17"/>
      <c r="G4859" s="18" t="n">
        <v>4.52</v>
      </c>
      <c r="H4859" s="18" t="n">
        <v>0</v>
      </c>
      <c r="I4859" s="18" t="n">
        <f aca="false">((I4858 + G4859) - H4859)</f>
        <v>57171.84</v>
      </c>
      <c r="J4859" s="18" t="n">
        <v>0</v>
      </c>
      <c r="K4859" s="19" t="n">
        <v>0</v>
      </c>
      <c r="L4859" s="17" t="s">
        <v>1406</v>
      </c>
    </row>
    <row r="4860" s="11" customFormat="true" ht="10.95" hidden="false" customHeight="true" outlineLevel="0" collapsed="false">
      <c r="A4860" s="16" t="n">
        <v>45455</v>
      </c>
      <c r="B4860" s="17" t="s">
        <v>2192</v>
      </c>
      <c r="C4860" s="17" t="s">
        <v>1593</v>
      </c>
      <c r="D4860" s="17" t="s">
        <v>1407</v>
      </c>
      <c r="E4860" s="17" t="s">
        <v>2196</v>
      </c>
      <c r="F4860" s="17"/>
      <c r="G4860" s="18" t="n">
        <v>4.47</v>
      </c>
      <c r="H4860" s="18" t="n">
        <v>0</v>
      </c>
      <c r="I4860" s="18" t="n">
        <f aca="false">((I4859 + G4860) - H4860)</f>
        <v>57176.31</v>
      </c>
      <c r="J4860" s="18" t="n">
        <v>0</v>
      </c>
      <c r="K4860" s="19" t="n">
        <v>0</v>
      </c>
      <c r="L4860" s="17" t="s">
        <v>1406</v>
      </c>
    </row>
    <row r="4861" s="11" customFormat="true" ht="10.95" hidden="false" customHeight="true" outlineLevel="0" collapsed="false">
      <c r="A4861" s="16" t="n">
        <v>45455</v>
      </c>
      <c r="B4861" s="17" t="s">
        <v>2192</v>
      </c>
      <c r="C4861" s="17" t="s">
        <v>1593</v>
      </c>
      <c r="D4861" s="17" t="s">
        <v>1407</v>
      </c>
      <c r="E4861" s="17" t="s">
        <v>2578</v>
      </c>
      <c r="F4861" s="17"/>
      <c r="G4861" s="18" t="n">
        <v>9390.67</v>
      </c>
      <c r="H4861" s="18" t="n">
        <v>0</v>
      </c>
      <c r="I4861" s="18" t="n">
        <f aca="false">((I4860 + G4861) - H4861)</f>
        <v>66566.98</v>
      </c>
      <c r="J4861" s="18" t="n">
        <v>0</v>
      </c>
      <c r="K4861" s="19" t="n">
        <v>0</v>
      </c>
      <c r="L4861" s="17" t="s">
        <v>1406</v>
      </c>
    </row>
    <row r="4862" s="11" customFormat="true" ht="10.95" hidden="false" customHeight="true" outlineLevel="0" collapsed="false">
      <c r="A4862" s="16" t="n">
        <v>45456</v>
      </c>
      <c r="B4862" s="17" t="s">
        <v>2192</v>
      </c>
      <c r="C4862" s="17" t="s">
        <v>1593</v>
      </c>
      <c r="D4862" s="17" t="s">
        <v>1407</v>
      </c>
      <c r="E4862" s="17" t="s">
        <v>2196</v>
      </c>
      <c r="F4862" s="17"/>
      <c r="G4862" s="18" t="n">
        <v>1.49</v>
      </c>
      <c r="H4862" s="18" t="n">
        <v>0</v>
      </c>
      <c r="I4862" s="18" t="n">
        <f aca="false">((I4861 + G4862) - H4862)</f>
        <v>66568.47</v>
      </c>
      <c r="J4862" s="18" t="n">
        <v>0</v>
      </c>
      <c r="K4862" s="19" t="n">
        <v>0</v>
      </c>
      <c r="L4862" s="17" t="s">
        <v>1406</v>
      </c>
    </row>
    <row r="4863" s="11" customFormat="true" ht="10.95" hidden="false" customHeight="true" outlineLevel="0" collapsed="false">
      <c r="A4863" s="16" t="n">
        <v>45456</v>
      </c>
      <c r="B4863" s="17" t="s">
        <v>2192</v>
      </c>
      <c r="C4863" s="17" t="s">
        <v>1593</v>
      </c>
      <c r="D4863" s="17" t="s">
        <v>1407</v>
      </c>
      <c r="E4863" s="17" t="s">
        <v>2479</v>
      </c>
      <c r="F4863" s="17"/>
      <c r="G4863" s="18" t="n">
        <v>0.67</v>
      </c>
      <c r="H4863" s="18" t="n">
        <v>0</v>
      </c>
      <c r="I4863" s="18" t="n">
        <f aca="false">((I4862 + G4863) - H4863)</f>
        <v>66569.14</v>
      </c>
      <c r="J4863" s="18" t="n">
        <v>0.07</v>
      </c>
      <c r="K4863" s="19" t="n">
        <v>10</v>
      </c>
      <c r="L4863" s="17" t="s">
        <v>44</v>
      </c>
    </row>
    <row r="4864" s="11" customFormat="true" ht="10.95" hidden="false" customHeight="true" outlineLevel="0" collapsed="false">
      <c r="A4864" s="16" t="n">
        <v>45457</v>
      </c>
      <c r="B4864" s="17" t="s">
        <v>2192</v>
      </c>
      <c r="C4864" s="17" t="s">
        <v>1593</v>
      </c>
      <c r="D4864" s="17" t="s">
        <v>1407</v>
      </c>
      <c r="E4864" s="17" t="s">
        <v>2193</v>
      </c>
      <c r="F4864" s="17"/>
      <c r="G4864" s="18" t="n">
        <v>179.66</v>
      </c>
      <c r="H4864" s="18" t="n">
        <v>0</v>
      </c>
      <c r="I4864" s="18" t="n">
        <f aca="false">((I4863 + G4864) - H4864)</f>
        <v>66748.8</v>
      </c>
      <c r="J4864" s="18" t="n">
        <v>0</v>
      </c>
      <c r="K4864" s="19" t="n">
        <v>0</v>
      </c>
      <c r="L4864" s="17" t="s">
        <v>1406</v>
      </c>
    </row>
    <row r="4865" s="11" customFormat="true" ht="10.95" hidden="false" customHeight="true" outlineLevel="0" collapsed="false">
      <c r="A4865" s="16" t="n">
        <v>45457</v>
      </c>
      <c r="B4865" s="17" t="s">
        <v>2192</v>
      </c>
      <c r="C4865" s="17" t="s">
        <v>1593</v>
      </c>
      <c r="D4865" s="17" t="s">
        <v>1407</v>
      </c>
      <c r="E4865" s="17" t="s">
        <v>2542</v>
      </c>
      <c r="F4865" s="17"/>
      <c r="G4865" s="18" t="n">
        <v>36.35</v>
      </c>
      <c r="H4865" s="18" t="n">
        <v>0</v>
      </c>
      <c r="I4865" s="18" t="n">
        <f aca="false">((I4864 + G4865) - H4865)</f>
        <v>66785.15</v>
      </c>
      <c r="J4865" s="18" t="n">
        <v>3.64</v>
      </c>
      <c r="K4865" s="19" t="n">
        <v>10</v>
      </c>
      <c r="L4865" s="17" t="s">
        <v>44</v>
      </c>
    </row>
    <row r="4866" s="11" customFormat="true" ht="10.95" hidden="false" customHeight="true" outlineLevel="0" collapsed="false">
      <c r="A4866" s="16" t="n">
        <v>45458</v>
      </c>
      <c r="B4866" s="17" t="s">
        <v>2192</v>
      </c>
      <c r="C4866" s="17" t="s">
        <v>1593</v>
      </c>
      <c r="D4866" s="17" t="s">
        <v>1407</v>
      </c>
      <c r="E4866" s="17" t="s">
        <v>2479</v>
      </c>
      <c r="F4866" s="17"/>
      <c r="G4866" s="18" t="n">
        <v>9.99</v>
      </c>
      <c r="H4866" s="18" t="n">
        <v>0</v>
      </c>
      <c r="I4866" s="18" t="n">
        <f aca="false">((I4865 + G4866) - H4866)</f>
        <v>66795.14</v>
      </c>
      <c r="J4866" s="18" t="n">
        <v>1</v>
      </c>
      <c r="K4866" s="19" t="n">
        <v>10</v>
      </c>
      <c r="L4866" s="17" t="s">
        <v>44</v>
      </c>
    </row>
    <row r="4867" s="11" customFormat="true" ht="10.95" hidden="false" customHeight="true" outlineLevel="0" collapsed="false">
      <c r="A4867" s="16" t="n">
        <v>45461</v>
      </c>
      <c r="B4867" s="17" t="s">
        <v>2192</v>
      </c>
      <c r="C4867" s="17" t="s">
        <v>1593</v>
      </c>
      <c r="D4867" s="17" t="s">
        <v>1391</v>
      </c>
      <c r="E4867" s="17" t="s">
        <v>2579</v>
      </c>
      <c r="F4867" s="17" t="s">
        <v>2580</v>
      </c>
      <c r="G4867" s="18" t="n">
        <v>199.8</v>
      </c>
      <c r="H4867" s="18" t="n">
        <v>0</v>
      </c>
      <c r="I4867" s="18" t="n">
        <f aca="false">((I4866 + G4867) - H4867)</f>
        <v>66994.94</v>
      </c>
      <c r="J4867" s="18" t="n">
        <v>19.98</v>
      </c>
      <c r="K4867" s="19" t="n">
        <v>10</v>
      </c>
      <c r="L4867" s="17" t="s">
        <v>44</v>
      </c>
    </row>
    <row r="4868" s="11" customFormat="true" ht="10.95" hidden="false" customHeight="true" outlineLevel="0" collapsed="false">
      <c r="A4868" s="16" t="n">
        <v>45461</v>
      </c>
      <c r="B4868" s="17" t="s">
        <v>2192</v>
      </c>
      <c r="C4868" s="17" t="s">
        <v>1593</v>
      </c>
      <c r="D4868" s="17" t="s">
        <v>1391</v>
      </c>
      <c r="E4868" s="17" t="s">
        <v>2581</v>
      </c>
      <c r="F4868" s="17" t="s">
        <v>2582</v>
      </c>
      <c r="G4868" s="18" t="n">
        <v>22.4</v>
      </c>
      <c r="H4868" s="18" t="n">
        <v>0</v>
      </c>
      <c r="I4868" s="18" t="n">
        <f aca="false">((I4867 + G4868) - H4868)</f>
        <v>67017.34</v>
      </c>
      <c r="J4868" s="18" t="n">
        <v>2.24</v>
      </c>
      <c r="K4868" s="19" t="n">
        <v>10</v>
      </c>
      <c r="L4868" s="17" t="s">
        <v>44</v>
      </c>
    </row>
    <row r="4869" s="11" customFormat="true" ht="10.95" hidden="false" customHeight="true" outlineLevel="0" collapsed="false">
      <c r="A4869" s="16" t="n">
        <v>45461</v>
      </c>
      <c r="B4869" s="17" t="s">
        <v>2192</v>
      </c>
      <c r="C4869" s="17" t="s">
        <v>1593</v>
      </c>
      <c r="D4869" s="17" t="s">
        <v>1391</v>
      </c>
      <c r="E4869" s="17" t="s">
        <v>2583</v>
      </c>
      <c r="F4869" s="17" t="s">
        <v>2584</v>
      </c>
      <c r="G4869" s="18" t="n">
        <v>62</v>
      </c>
      <c r="H4869" s="18" t="n">
        <v>0</v>
      </c>
      <c r="I4869" s="18" t="n">
        <f aca="false">((I4868 + G4869) - H4869)</f>
        <v>67079.34</v>
      </c>
      <c r="J4869" s="18" t="n">
        <v>6.2</v>
      </c>
      <c r="K4869" s="19" t="n">
        <v>10</v>
      </c>
      <c r="L4869" s="17" t="s">
        <v>44</v>
      </c>
    </row>
    <row r="4870" s="11" customFormat="true" ht="10.95" hidden="false" customHeight="true" outlineLevel="0" collapsed="false">
      <c r="A4870" s="16" t="n">
        <v>45461</v>
      </c>
      <c r="B4870" s="17" t="s">
        <v>2192</v>
      </c>
      <c r="C4870" s="17" t="s">
        <v>1593</v>
      </c>
      <c r="D4870" s="17" t="s">
        <v>1391</v>
      </c>
      <c r="E4870" s="17" t="s">
        <v>2585</v>
      </c>
      <c r="F4870" s="17" t="s">
        <v>2586</v>
      </c>
      <c r="G4870" s="18" t="n">
        <v>6</v>
      </c>
      <c r="H4870" s="18" t="n">
        <v>0</v>
      </c>
      <c r="I4870" s="18" t="n">
        <f aca="false">((I4869 + G4870) - H4870)</f>
        <v>67085.34</v>
      </c>
      <c r="J4870" s="18" t="n">
        <v>0.6</v>
      </c>
      <c r="K4870" s="19" t="n">
        <v>10</v>
      </c>
      <c r="L4870" s="17" t="s">
        <v>44</v>
      </c>
    </row>
    <row r="4871" s="11" customFormat="true" ht="10.95" hidden="false" customHeight="true" outlineLevel="0" collapsed="false">
      <c r="A4871" s="16" t="n">
        <v>45461</v>
      </c>
      <c r="B4871" s="17" t="s">
        <v>2192</v>
      </c>
      <c r="C4871" s="17" t="s">
        <v>1593</v>
      </c>
      <c r="D4871" s="17" t="s">
        <v>1407</v>
      </c>
      <c r="E4871" s="17" t="s">
        <v>2216</v>
      </c>
      <c r="F4871" s="17"/>
      <c r="G4871" s="18" t="n">
        <v>15.45</v>
      </c>
      <c r="H4871" s="18" t="n">
        <v>0</v>
      </c>
      <c r="I4871" s="18" t="n">
        <f aca="false">((I4870 + G4871) - H4871)</f>
        <v>67100.79</v>
      </c>
      <c r="J4871" s="18" t="n">
        <v>1.54</v>
      </c>
      <c r="K4871" s="19" t="n">
        <v>10</v>
      </c>
      <c r="L4871" s="17" t="s">
        <v>44</v>
      </c>
    </row>
    <row r="4872" s="11" customFormat="true" ht="10.95" hidden="false" customHeight="true" outlineLevel="0" collapsed="false">
      <c r="A4872" s="16" t="n">
        <v>45461</v>
      </c>
      <c r="B4872" s="17" t="s">
        <v>2192</v>
      </c>
      <c r="C4872" s="17" t="s">
        <v>1593</v>
      </c>
      <c r="D4872" s="17" t="s">
        <v>1407</v>
      </c>
      <c r="E4872" s="17" t="s">
        <v>2234</v>
      </c>
      <c r="F4872" s="17"/>
      <c r="G4872" s="18" t="n">
        <v>74.35</v>
      </c>
      <c r="H4872" s="18" t="n">
        <v>0</v>
      </c>
      <c r="I4872" s="18" t="n">
        <f aca="false">((I4871 + G4872) - H4872)</f>
        <v>67175.14</v>
      </c>
      <c r="J4872" s="18" t="n">
        <v>7.44</v>
      </c>
      <c r="K4872" s="19" t="n">
        <v>10</v>
      </c>
      <c r="L4872" s="17" t="s">
        <v>44</v>
      </c>
    </row>
    <row r="4873" s="11" customFormat="true" ht="10.95" hidden="false" customHeight="true" outlineLevel="0" collapsed="false">
      <c r="A4873" s="16" t="n">
        <v>45462</v>
      </c>
      <c r="B4873" s="17" t="s">
        <v>2192</v>
      </c>
      <c r="C4873" s="17" t="s">
        <v>1593</v>
      </c>
      <c r="D4873" s="17" t="s">
        <v>1407</v>
      </c>
      <c r="E4873" s="17" t="s">
        <v>2238</v>
      </c>
      <c r="F4873" s="17"/>
      <c r="G4873" s="18" t="n">
        <v>29.98</v>
      </c>
      <c r="H4873" s="18" t="n">
        <v>0</v>
      </c>
      <c r="I4873" s="18" t="n">
        <f aca="false">((I4872 + G4873) - H4873)</f>
        <v>67205.12</v>
      </c>
      <c r="J4873" s="18" t="n">
        <v>0</v>
      </c>
      <c r="K4873" s="19" t="n">
        <v>0</v>
      </c>
      <c r="L4873" s="17" t="s">
        <v>1406</v>
      </c>
    </row>
    <row r="4874" s="11" customFormat="true" ht="10.95" hidden="false" customHeight="true" outlineLevel="0" collapsed="false">
      <c r="A4874" s="16" t="n">
        <v>45462</v>
      </c>
      <c r="B4874" s="17" t="s">
        <v>2192</v>
      </c>
      <c r="C4874" s="17" t="s">
        <v>1593</v>
      </c>
      <c r="D4874" s="17" t="s">
        <v>1407</v>
      </c>
      <c r="E4874" s="17" t="s">
        <v>2196</v>
      </c>
      <c r="F4874" s="17"/>
      <c r="G4874" s="18" t="n">
        <v>18.47</v>
      </c>
      <c r="H4874" s="18" t="n">
        <v>0</v>
      </c>
      <c r="I4874" s="18" t="n">
        <f aca="false">((I4873 + G4874) - H4874)</f>
        <v>67223.59</v>
      </c>
      <c r="J4874" s="18" t="n">
        <v>0</v>
      </c>
      <c r="K4874" s="19" t="n">
        <v>0</v>
      </c>
      <c r="L4874" s="17" t="s">
        <v>1406</v>
      </c>
    </row>
    <row r="4875" s="11" customFormat="true" ht="10.95" hidden="false" customHeight="true" outlineLevel="0" collapsed="false">
      <c r="A4875" s="16" t="n">
        <v>45463</v>
      </c>
      <c r="B4875" s="17" t="s">
        <v>2192</v>
      </c>
      <c r="C4875" s="17" t="s">
        <v>1593</v>
      </c>
      <c r="D4875" s="17" t="s">
        <v>1407</v>
      </c>
      <c r="E4875" s="17" t="s">
        <v>2572</v>
      </c>
      <c r="F4875" s="17"/>
      <c r="G4875" s="18" t="n">
        <v>67.53</v>
      </c>
      <c r="H4875" s="18" t="n">
        <v>0</v>
      </c>
      <c r="I4875" s="18" t="n">
        <f aca="false">((I4874 + G4875) - H4875)</f>
        <v>67291.12</v>
      </c>
      <c r="J4875" s="18" t="n">
        <v>0</v>
      </c>
      <c r="K4875" s="19" t="n">
        <v>0</v>
      </c>
      <c r="L4875" s="17" t="s">
        <v>1406</v>
      </c>
    </row>
    <row r="4876" s="11" customFormat="true" ht="10.95" hidden="false" customHeight="true" outlineLevel="0" collapsed="false">
      <c r="A4876" s="16" t="n">
        <v>45463</v>
      </c>
      <c r="B4876" s="17" t="s">
        <v>2192</v>
      </c>
      <c r="C4876" s="17" t="s">
        <v>1593</v>
      </c>
      <c r="D4876" s="17" t="s">
        <v>1407</v>
      </c>
      <c r="E4876" s="17" t="s">
        <v>2587</v>
      </c>
      <c r="F4876" s="17"/>
      <c r="G4876" s="18" t="n">
        <v>22.66</v>
      </c>
      <c r="H4876" s="18" t="n">
        <v>0</v>
      </c>
      <c r="I4876" s="18" t="n">
        <f aca="false">((I4875 + G4876) - H4876)</f>
        <v>67313.78</v>
      </c>
      <c r="J4876" s="18" t="n">
        <v>2.27</v>
      </c>
      <c r="K4876" s="19" t="n">
        <v>10</v>
      </c>
      <c r="L4876" s="17" t="s">
        <v>44</v>
      </c>
    </row>
    <row r="4877" s="11" customFormat="true" ht="10.95" hidden="false" customHeight="true" outlineLevel="0" collapsed="false">
      <c r="A4877" s="16" t="n">
        <v>45463</v>
      </c>
      <c r="B4877" s="17" t="s">
        <v>2192</v>
      </c>
      <c r="C4877" s="17" t="s">
        <v>1593</v>
      </c>
      <c r="D4877" s="17" t="s">
        <v>1391</v>
      </c>
      <c r="E4877" s="17" t="s">
        <v>2588</v>
      </c>
      <c r="F4877" s="17" t="s">
        <v>2589</v>
      </c>
      <c r="G4877" s="18" t="n">
        <v>337.79</v>
      </c>
      <c r="H4877" s="18" t="n">
        <v>0</v>
      </c>
      <c r="I4877" s="18" t="n">
        <f aca="false">((I4876 + G4877) - H4877)</f>
        <v>67651.57</v>
      </c>
      <c r="J4877" s="18" t="n">
        <v>0</v>
      </c>
      <c r="K4877" s="19" t="n">
        <v>0</v>
      </c>
      <c r="L4877" s="17" t="s">
        <v>1406</v>
      </c>
    </row>
    <row r="4878" s="11" customFormat="true" ht="10.95" hidden="false" customHeight="true" outlineLevel="0" collapsed="false">
      <c r="A4878" s="16" t="n">
        <v>45464</v>
      </c>
      <c r="B4878" s="17" t="s">
        <v>2192</v>
      </c>
      <c r="C4878" s="17" t="s">
        <v>1593</v>
      </c>
      <c r="D4878" s="17" t="s">
        <v>1407</v>
      </c>
      <c r="E4878" s="17" t="s">
        <v>2196</v>
      </c>
      <c r="F4878" s="17"/>
      <c r="G4878" s="18" t="n">
        <v>61.98</v>
      </c>
      <c r="H4878" s="18" t="n">
        <v>0</v>
      </c>
      <c r="I4878" s="18" t="n">
        <f aca="false">((I4877 + G4878) - H4878)</f>
        <v>67713.55</v>
      </c>
      <c r="J4878" s="18" t="n">
        <v>0</v>
      </c>
      <c r="K4878" s="19" t="n">
        <v>0</v>
      </c>
      <c r="L4878" s="17" t="s">
        <v>1406</v>
      </c>
    </row>
    <row r="4879" s="11" customFormat="true" ht="10.95" hidden="false" customHeight="true" outlineLevel="0" collapsed="false">
      <c r="A4879" s="16" t="n">
        <v>45468</v>
      </c>
      <c r="B4879" s="17" t="s">
        <v>2192</v>
      </c>
      <c r="C4879" s="17" t="s">
        <v>1593</v>
      </c>
      <c r="D4879" s="17" t="s">
        <v>1407</v>
      </c>
      <c r="E4879" s="17" t="s">
        <v>2590</v>
      </c>
      <c r="F4879" s="17"/>
      <c r="G4879" s="18" t="n">
        <v>120.36</v>
      </c>
      <c r="H4879" s="18" t="n">
        <v>0</v>
      </c>
      <c r="I4879" s="18" t="n">
        <f aca="false">((I4878 + G4879) - H4879)</f>
        <v>67833.91</v>
      </c>
      <c r="J4879" s="18" t="n">
        <v>0</v>
      </c>
      <c r="K4879" s="19" t="n">
        <v>0</v>
      </c>
      <c r="L4879" s="17" t="s">
        <v>1406</v>
      </c>
    </row>
    <row r="4880" s="11" customFormat="true" ht="10.95" hidden="false" customHeight="true" outlineLevel="0" collapsed="false">
      <c r="A4880" s="16" t="n">
        <v>45468</v>
      </c>
      <c r="B4880" s="17" t="s">
        <v>2192</v>
      </c>
      <c r="C4880" s="17" t="s">
        <v>1593</v>
      </c>
      <c r="D4880" s="17" t="s">
        <v>1407</v>
      </c>
      <c r="E4880" s="17" t="s">
        <v>2208</v>
      </c>
      <c r="F4880" s="17"/>
      <c r="G4880" s="18" t="n">
        <v>86</v>
      </c>
      <c r="H4880" s="18" t="n">
        <v>0</v>
      </c>
      <c r="I4880" s="18" t="n">
        <f aca="false">((I4879 + G4880) - H4880)</f>
        <v>67919.91</v>
      </c>
      <c r="J4880" s="18" t="n">
        <v>8.6</v>
      </c>
      <c r="K4880" s="19" t="n">
        <v>10</v>
      </c>
      <c r="L4880" s="17" t="s">
        <v>44</v>
      </c>
    </row>
    <row r="4881" s="11" customFormat="true" ht="10.95" hidden="false" customHeight="true" outlineLevel="0" collapsed="false">
      <c r="A4881" s="16" t="n">
        <v>45470</v>
      </c>
      <c r="B4881" s="17" t="s">
        <v>2192</v>
      </c>
      <c r="C4881" s="17" t="s">
        <v>1593</v>
      </c>
      <c r="D4881" s="17" t="s">
        <v>1407</v>
      </c>
      <c r="E4881" s="17" t="s">
        <v>2196</v>
      </c>
      <c r="F4881" s="17"/>
      <c r="G4881" s="18" t="n">
        <v>46.31</v>
      </c>
      <c r="H4881" s="18" t="n">
        <v>0</v>
      </c>
      <c r="I4881" s="18" t="n">
        <f aca="false">((I4880 + G4881) - H4881)</f>
        <v>67966.22</v>
      </c>
      <c r="J4881" s="18" t="n">
        <v>0</v>
      </c>
      <c r="K4881" s="19" t="n">
        <v>0</v>
      </c>
      <c r="L4881" s="17" t="s">
        <v>1406</v>
      </c>
    </row>
    <row r="4882" s="11" customFormat="true" ht="10.95" hidden="false" customHeight="true" outlineLevel="0" collapsed="false">
      <c r="A4882" s="16" t="n">
        <v>45471</v>
      </c>
      <c r="B4882" s="17" t="s">
        <v>2192</v>
      </c>
      <c r="C4882" s="17" t="s">
        <v>1593</v>
      </c>
      <c r="D4882" s="17" t="s">
        <v>1407</v>
      </c>
      <c r="E4882" s="17" t="s">
        <v>2196</v>
      </c>
      <c r="F4882" s="17"/>
      <c r="G4882" s="18" t="n">
        <v>21.77</v>
      </c>
      <c r="H4882" s="18" t="n">
        <v>0</v>
      </c>
      <c r="I4882" s="18" t="n">
        <f aca="false">((I4881 + G4882) - H4882)</f>
        <v>67987.99</v>
      </c>
      <c r="J4882" s="18" t="n">
        <v>0</v>
      </c>
      <c r="K4882" s="19" t="n">
        <v>0</v>
      </c>
      <c r="L4882" s="17" t="s">
        <v>1406</v>
      </c>
    </row>
    <row r="4883" s="11" customFormat="true" ht="10.95" hidden="false" customHeight="true" outlineLevel="0" collapsed="false">
      <c r="A4883" s="16" t="n">
        <v>45471</v>
      </c>
      <c r="B4883" s="17" t="s">
        <v>2192</v>
      </c>
      <c r="C4883" s="17" t="s">
        <v>1593</v>
      </c>
      <c r="D4883" s="17" t="s">
        <v>1407</v>
      </c>
      <c r="E4883" s="17" t="s">
        <v>2591</v>
      </c>
      <c r="F4883" s="17"/>
      <c r="G4883" s="18" t="n">
        <v>171.86</v>
      </c>
      <c r="H4883" s="18" t="n">
        <v>0</v>
      </c>
      <c r="I4883" s="18" t="n">
        <f aca="false">((I4882 + G4883) - H4883)</f>
        <v>68159.85</v>
      </c>
      <c r="J4883" s="18" t="n">
        <v>17.19</v>
      </c>
      <c r="K4883" s="19" t="n">
        <v>10</v>
      </c>
      <c r="L4883" s="17" t="s">
        <v>44</v>
      </c>
    </row>
    <row r="4884" s="11" customFormat="true" ht="10.95" hidden="false" customHeight="true" outlineLevel="0" collapsed="false">
      <c r="A4884" s="16" t="n">
        <v>45471</v>
      </c>
      <c r="B4884" s="17" t="s">
        <v>2192</v>
      </c>
      <c r="C4884" s="17" t="s">
        <v>1593</v>
      </c>
      <c r="D4884" s="17" t="s">
        <v>1391</v>
      </c>
      <c r="E4884" s="17" t="s">
        <v>2592</v>
      </c>
      <c r="F4884" s="17" t="s">
        <v>2593</v>
      </c>
      <c r="G4884" s="18" t="n">
        <v>899.75</v>
      </c>
      <c r="H4884" s="18" t="n">
        <v>0</v>
      </c>
      <c r="I4884" s="18" t="n">
        <f aca="false">((I4883 + G4884) - H4884)</f>
        <v>69059.6</v>
      </c>
      <c r="J4884" s="18" t="n">
        <v>0</v>
      </c>
      <c r="K4884" s="19" t="n">
        <v>0</v>
      </c>
      <c r="L4884" s="17" t="s">
        <v>1406</v>
      </c>
    </row>
    <row r="4885" s="11" customFormat="true" ht="10.95" hidden="false" customHeight="true" outlineLevel="0" collapsed="false">
      <c r="A4885" s="16" t="n">
        <v>45472</v>
      </c>
      <c r="B4885" s="17" t="s">
        <v>2192</v>
      </c>
      <c r="C4885" s="17" t="s">
        <v>1593</v>
      </c>
      <c r="D4885" s="17" t="s">
        <v>1407</v>
      </c>
      <c r="E4885" s="17" t="s">
        <v>2193</v>
      </c>
      <c r="F4885" s="17"/>
      <c r="G4885" s="18" t="n">
        <v>642.26</v>
      </c>
      <c r="H4885" s="18" t="n">
        <v>0</v>
      </c>
      <c r="I4885" s="18" t="n">
        <f aca="false">((I4884 + G4885) - H4885)</f>
        <v>69701.86</v>
      </c>
      <c r="J4885" s="18" t="n">
        <v>0</v>
      </c>
      <c r="K4885" s="19" t="n">
        <v>0</v>
      </c>
      <c r="L4885" s="17" t="s">
        <v>1406</v>
      </c>
    </row>
    <row r="4886" s="11" customFormat="true" ht="10.95" hidden="false" customHeight="true" outlineLevel="0" collapsed="false">
      <c r="A4886" s="16" t="n">
        <v>45473</v>
      </c>
      <c r="B4886" s="17" t="s">
        <v>2192</v>
      </c>
      <c r="C4886" s="17" t="s">
        <v>1593</v>
      </c>
      <c r="D4886" s="17" t="s">
        <v>1396</v>
      </c>
      <c r="E4886" s="17" t="s">
        <v>1586</v>
      </c>
      <c r="F4886" s="17" t="s">
        <v>1587</v>
      </c>
      <c r="G4886" s="18" t="n">
        <v>389224.24</v>
      </c>
      <c r="H4886" s="18" t="n">
        <v>0</v>
      </c>
      <c r="I4886" s="18" t="n">
        <f aca="false">((I4885 + G4886) - H4886)</f>
        <v>458926.1</v>
      </c>
      <c r="J4886" s="18" t="n">
        <v>0</v>
      </c>
      <c r="K4886" s="19" t="n">
        <v>0</v>
      </c>
      <c r="L4886" s="17" t="s">
        <v>1399</v>
      </c>
    </row>
    <row r="4887" s="11" customFormat="true" ht="10.95" hidden="false" customHeight="true" outlineLevel="0" collapsed="false">
      <c r="A4887" s="21" t="s">
        <v>2594</v>
      </c>
      <c r="B4887" s="21"/>
      <c r="C4887" s="21"/>
      <c r="D4887" s="21"/>
      <c r="E4887" s="21"/>
      <c r="F4887" s="21"/>
      <c r="G4887" s="22" t="n">
        <f aca="false">SUM(G4222:G4886)</f>
        <v>461709.07</v>
      </c>
      <c r="H4887" s="22" t="n">
        <f aca="false">SUM(H4222:H4886)</f>
        <v>2782.97</v>
      </c>
      <c r="I4887" s="22" t="n">
        <f aca="false">I4886</f>
        <v>458926.1</v>
      </c>
      <c r="J4887" s="22" t="n">
        <f aca="false">SUM(J4222:J4886)</f>
        <v>2288.77</v>
      </c>
      <c r="K4887" s="21"/>
      <c r="L4887" s="21"/>
    </row>
    <row r="4888" s="11" customFormat="true" ht="10.95" hidden="false" customHeight="true" outlineLevel="0" collapsed="false">
      <c r="A4888" s="21" t="s">
        <v>784</v>
      </c>
      <c r="B4888" s="21"/>
      <c r="C4888" s="21"/>
      <c r="D4888" s="21"/>
      <c r="E4888" s="21"/>
      <c r="F4888" s="21"/>
      <c r="G4888" s="22" t="n">
        <v>458926.1</v>
      </c>
      <c r="H4888" s="22" t="n">
        <v>0</v>
      </c>
      <c r="I4888" s="22" t="n">
        <v>0</v>
      </c>
      <c r="J4888" s="22" t="n">
        <v>0</v>
      </c>
      <c r="K4888" s="21"/>
      <c r="L4888" s="21"/>
    </row>
    <row r="4889" s="11" customFormat="true" ht="10.95" hidden="false" customHeight="true" outlineLevel="0" collapsed="false">
      <c r="A4889" s="9" t="s">
        <v>785</v>
      </c>
      <c r="B4889" s="9"/>
      <c r="C4889" s="9"/>
      <c r="D4889" s="9"/>
      <c r="E4889" s="9"/>
      <c r="F4889" s="9"/>
      <c r="G4889" s="10" t="n">
        <v>458926.1</v>
      </c>
      <c r="H4889" s="10" t="n">
        <v>0</v>
      </c>
      <c r="I4889" s="10" t="n">
        <f aca="false">I4886</f>
        <v>458926.1</v>
      </c>
      <c r="J4889" s="10" t="n">
        <v>0</v>
      </c>
      <c r="K4889" s="9"/>
      <c r="L4889" s="9"/>
    </row>
    <row r="4890" customFormat="false" ht="13.35" hidden="false" customHeight="true" outlineLevel="0" collapsed="false"/>
    <row r="4891" s="7" customFormat="true" ht="12.1" hidden="false" customHeight="true" outlineLevel="0" collapsed="false">
      <c r="A4891" s="8" t="s">
        <v>2595</v>
      </c>
      <c r="B4891" s="8"/>
      <c r="C4891" s="8"/>
      <c r="D4891" s="8"/>
      <c r="E4891" s="8"/>
      <c r="F4891" s="8"/>
      <c r="G4891" s="8"/>
      <c r="H4891" s="8"/>
      <c r="I4891" s="8"/>
      <c r="J4891" s="8"/>
      <c r="K4891" s="8"/>
      <c r="L4891" s="8"/>
    </row>
    <row r="4892" s="11" customFormat="true" ht="10.95" hidden="false" customHeight="true" outlineLevel="0" collapsed="false">
      <c r="A4892" s="9" t="s">
        <v>16</v>
      </c>
      <c r="B4892" s="9"/>
      <c r="C4892" s="9"/>
      <c r="D4892" s="9"/>
      <c r="E4892" s="9"/>
      <c r="F4892" s="9"/>
      <c r="G4892" s="10" t="n">
        <v>0</v>
      </c>
      <c r="H4892" s="10" t="n">
        <v>0</v>
      </c>
      <c r="I4892" s="10" t="n">
        <f aca="false">(G4892 - H4892)</f>
        <v>0</v>
      </c>
      <c r="J4892" s="10" t="n">
        <v>0</v>
      </c>
      <c r="K4892" s="9"/>
      <c r="L4892" s="9"/>
    </row>
    <row r="4893" s="11" customFormat="true" ht="10.95" hidden="false" customHeight="true" outlineLevel="0" collapsed="false">
      <c r="A4893" s="12" t="n">
        <v>45111</v>
      </c>
      <c r="B4893" s="13" t="s">
        <v>2596</v>
      </c>
      <c r="C4893" s="13" t="s">
        <v>1593</v>
      </c>
      <c r="D4893" s="13" t="s">
        <v>1407</v>
      </c>
      <c r="E4893" s="13" t="s">
        <v>2597</v>
      </c>
      <c r="F4893" s="13"/>
      <c r="G4893" s="14" t="n">
        <v>99.09</v>
      </c>
      <c r="H4893" s="14" t="n">
        <v>0</v>
      </c>
      <c r="I4893" s="14" t="n">
        <f aca="false">((I4892 + G4893) - H4893)</f>
        <v>99.09</v>
      </c>
      <c r="J4893" s="14" t="n">
        <v>9.91</v>
      </c>
      <c r="K4893" s="15" t="n">
        <v>10</v>
      </c>
      <c r="L4893" s="13" t="s">
        <v>44</v>
      </c>
    </row>
    <row r="4894" s="11" customFormat="true" ht="10.95" hidden="false" customHeight="true" outlineLevel="0" collapsed="false">
      <c r="A4894" s="16" t="n">
        <v>45139</v>
      </c>
      <c r="B4894" s="17" t="s">
        <v>2596</v>
      </c>
      <c r="C4894" s="17" t="s">
        <v>1593</v>
      </c>
      <c r="D4894" s="17" t="s">
        <v>1407</v>
      </c>
      <c r="E4894" s="17" t="s">
        <v>2598</v>
      </c>
      <c r="F4894" s="17"/>
      <c r="G4894" s="18" t="n">
        <v>16.63</v>
      </c>
      <c r="H4894" s="18" t="n">
        <v>0</v>
      </c>
      <c r="I4894" s="18" t="n">
        <f aca="false">((I4893 + G4894) - H4894)</f>
        <v>115.72</v>
      </c>
      <c r="J4894" s="18" t="n">
        <v>0</v>
      </c>
      <c r="K4894" s="19" t="n">
        <v>0</v>
      </c>
      <c r="L4894" s="17" t="s">
        <v>1406</v>
      </c>
    </row>
    <row r="4895" s="11" customFormat="true" ht="10.95" hidden="false" customHeight="true" outlineLevel="0" collapsed="false">
      <c r="A4895" s="16" t="n">
        <v>45139</v>
      </c>
      <c r="B4895" s="17" t="s">
        <v>2596</v>
      </c>
      <c r="C4895" s="17" t="s">
        <v>1593</v>
      </c>
      <c r="D4895" s="17" t="s">
        <v>1407</v>
      </c>
      <c r="E4895" s="17" t="s">
        <v>2204</v>
      </c>
      <c r="F4895" s="17"/>
      <c r="G4895" s="18" t="n">
        <v>22.64</v>
      </c>
      <c r="H4895" s="18" t="n">
        <v>0</v>
      </c>
      <c r="I4895" s="18" t="n">
        <f aca="false">((I4894 + G4895) - H4895)</f>
        <v>138.36</v>
      </c>
      <c r="J4895" s="18" t="n">
        <v>0</v>
      </c>
      <c r="K4895" s="19" t="n">
        <v>0</v>
      </c>
      <c r="L4895" s="17" t="s">
        <v>1406</v>
      </c>
    </row>
    <row r="4896" s="11" customFormat="true" ht="10.95" hidden="false" customHeight="true" outlineLevel="0" collapsed="false">
      <c r="A4896" s="16" t="n">
        <v>45140</v>
      </c>
      <c r="B4896" s="17" t="s">
        <v>2596</v>
      </c>
      <c r="C4896" s="17" t="s">
        <v>1593</v>
      </c>
      <c r="D4896" s="17" t="s">
        <v>1407</v>
      </c>
      <c r="E4896" s="17" t="s">
        <v>2217</v>
      </c>
      <c r="F4896" s="17"/>
      <c r="G4896" s="18" t="n">
        <v>13.29</v>
      </c>
      <c r="H4896" s="18" t="n">
        <v>0</v>
      </c>
      <c r="I4896" s="18" t="n">
        <f aca="false">((I4895 + G4896) - H4896)</f>
        <v>151.65</v>
      </c>
      <c r="J4896" s="18" t="n">
        <v>0</v>
      </c>
      <c r="K4896" s="19" t="n">
        <v>0</v>
      </c>
      <c r="L4896" s="17" t="s">
        <v>1406</v>
      </c>
    </row>
    <row r="4897" s="11" customFormat="true" ht="10.95" hidden="false" customHeight="true" outlineLevel="0" collapsed="false">
      <c r="A4897" s="16" t="n">
        <v>45145</v>
      </c>
      <c r="B4897" s="17" t="s">
        <v>2596</v>
      </c>
      <c r="C4897" s="17" t="s">
        <v>1593</v>
      </c>
      <c r="D4897" s="17" t="s">
        <v>1391</v>
      </c>
      <c r="E4897" s="17" t="s">
        <v>2599</v>
      </c>
      <c r="F4897" s="17" t="s">
        <v>2600</v>
      </c>
      <c r="G4897" s="18" t="n">
        <v>71.88</v>
      </c>
      <c r="H4897" s="18" t="n">
        <v>0</v>
      </c>
      <c r="I4897" s="18" t="n">
        <f aca="false">((I4896 + G4897) - H4897)</f>
        <v>223.53</v>
      </c>
      <c r="J4897" s="18" t="n">
        <v>0</v>
      </c>
      <c r="K4897" s="19" t="n">
        <v>0</v>
      </c>
      <c r="L4897" s="17" t="s">
        <v>1406</v>
      </c>
    </row>
    <row r="4898" s="11" customFormat="true" ht="10.95" hidden="false" customHeight="true" outlineLevel="0" collapsed="false">
      <c r="A4898" s="16" t="n">
        <v>45146</v>
      </c>
      <c r="B4898" s="17" t="s">
        <v>2596</v>
      </c>
      <c r="C4898" s="17" t="s">
        <v>1593</v>
      </c>
      <c r="D4898" s="17" t="s">
        <v>1407</v>
      </c>
      <c r="E4898" s="17" t="s">
        <v>2601</v>
      </c>
      <c r="F4898" s="17"/>
      <c r="G4898" s="18" t="n">
        <v>65</v>
      </c>
      <c r="H4898" s="18" t="n">
        <v>0</v>
      </c>
      <c r="I4898" s="18" t="n">
        <f aca="false">((I4897 + G4898) - H4898)</f>
        <v>288.53</v>
      </c>
      <c r="J4898" s="18" t="n">
        <v>6.5</v>
      </c>
      <c r="K4898" s="19" t="n">
        <v>10</v>
      </c>
      <c r="L4898" s="17" t="s">
        <v>44</v>
      </c>
    </row>
    <row r="4899" s="11" customFormat="true" ht="10.95" hidden="false" customHeight="true" outlineLevel="0" collapsed="false">
      <c r="A4899" s="16" t="n">
        <v>45147</v>
      </c>
      <c r="B4899" s="17" t="s">
        <v>2596</v>
      </c>
      <c r="C4899" s="17" t="s">
        <v>1593</v>
      </c>
      <c r="D4899" s="17" t="s">
        <v>1407</v>
      </c>
      <c r="E4899" s="17" t="s">
        <v>2212</v>
      </c>
      <c r="F4899" s="17"/>
      <c r="G4899" s="18" t="n">
        <v>20.24</v>
      </c>
      <c r="H4899" s="18" t="n">
        <v>0</v>
      </c>
      <c r="I4899" s="18" t="n">
        <f aca="false">((I4898 + G4899) - H4899)</f>
        <v>308.77</v>
      </c>
      <c r="J4899" s="18" t="n">
        <v>0</v>
      </c>
      <c r="K4899" s="19" t="n">
        <v>0</v>
      </c>
      <c r="L4899" s="17" t="s">
        <v>1406</v>
      </c>
    </row>
    <row r="4900" s="11" customFormat="true" ht="10.95" hidden="false" customHeight="true" outlineLevel="0" collapsed="false">
      <c r="A4900" s="16" t="n">
        <v>45148</v>
      </c>
      <c r="B4900" s="17" t="s">
        <v>2596</v>
      </c>
      <c r="C4900" s="17" t="s">
        <v>1593</v>
      </c>
      <c r="D4900" s="17" t="s">
        <v>1407</v>
      </c>
      <c r="E4900" s="17" t="s">
        <v>2213</v>
      </c>
      <c r="F4900" s="17"/>
      <c r="G4900" s="18" t="n">
        <v>17.26</v>
      </c>
      <c r="H4900" s="18" t="n">
        <v>0</v>
      </c>
      <c r="I4900" s="18" t="n">
        <f aca="false">((I4899 + G4900) - H4900)</f>
        <v>326.03</v>
      </c>
      <c r="J4900" s="18" t="n">
        <v>1.73</v>
      </c>
      <c r="K4900" s="19" t="n">
        <v>10</v>
      </c>
      <c r="L4900" s="17" t="s">
        <v>44</v>
      </c>
    </row>
    <row r="4901" s="11" customFormat="true" ht="10.95" hidden="false" customHeight="true" outlineLevel="0" collapsed="false">
      <c r="A4901" s="16" t="n">
        <v>45154</v>
      </c>
      <c r="B4901" s="17" t="s">
        <v>2596</v>
      </c>
      <c r="C4901" s="17" t="s">
        <v>1593</v>
      </c>
      <c r="D4901" s="17" t="s">
        <v>1407</v>
      </c>
      <c r="E4901" s="17" t="s">
        <v>2598</v>
      </c>
      <c r="F4901" s="17"/>
      <c r="G4901" s="18" t="n">
        <v>20.37</v>
      </c>
      <c r="H4901" s="18" t="n">
        <v>0</v>
      </c>
      <c r="I4901" s="18" t="n">
        <f aca="false">((I4900 + G4901) - H4901)</f>
        <v>346.4</v>
      </c>
      <c r="J4901" s="18" t="n">
        <v>0</v>
      </c>
      <c r="K4901" s="19" t="n">
        <v>0</v>
      </c>
      <c r="L4901" s="17" t="s">
        <v>1406</v>
      </c>
    </row>
    <row r="4902" s="11" customFormat="true" ht="10.95" hidden="false" customHeight="true" outlineLevel="0" collapsed="false">
      <c r="A4902" s="16" t="n">
        <v>45160</v>
      </c>
      <c r="B4902" s="17" t="s">
        <v>2596</v>
      </c>
      <c r="C4902" s="17" t="s">
        <v>1593</v>
      </c>
      <c r="D4902" s="17" t="s">
        <v>1407</v>
      </c>
      <c r="E4902" s="17" t="s">
        <v>2602</v>
      </c>
      <c r="F4902" s="17"/>
      <c r="G4902" s="18" t="n">
        <v>48</v>
      </c>
      <c r="H4902" s="18" t="n">
        <v>0</v>
      </c>
      <c r="I4902" s="18" t="n">
        <f aca="false">((I4901 + G4902) - H4902)</f>
        <v>394.4</v>
      </c>
      <c r="J4902" s="18" t="n">
        <v>0</v>
      </c>
      <c r="K4902" s="19" t="n">
        <v>0</v>
      </c>
      <c r="L4902" s="17" t="s">
        <v>1406</v>
      </c>
    </row>
    <row r="4903" s="11" customFormat="true" ht="10.95" hidden="false" customHeight="true" outlineLevel="0" collapsed="false">
      <c r="A4903" s="16" t="n">
        <v>45161</v>
      </c>
      <c r="B4903" s="17" t="s">
        <v>2596</v>
      </c>
      <c r="C4903" s="17" t="s">
        <v>1593</v>
      </c>
      <c r="D4903" s="17" t="s">
        <v>1407</v>
      </c>
      <c r="E4903" s="17" t="s">
        <v>2237</v>
      </c>
      <c r="F4903" s="17"/>
      <c r="G4903" s="18" t="n">
        <v>53.64</v>
      </c>
      <c r="H4903" s="18" t="n">
        <v>0</v>
      </c>
      <c r="I4903" s="18" t="n">
        <f aca="false">((I4902 + G4903) - H4903)</f>
        <v>448.04</v>
      </c>
      <c r="J4903" s="18" t="n">
        <v>5.36</v>
      </c>
      <c r="K4903" s="19" t="n">
        <v>10</v>
      </c>
      <c r="L4903" s="17" t="s">
        <v>44</v>
      </c>
    </row>
    <row r="4904" s="11" customFormat="true" ht="10.95" hidden="false" customHeight="true" outlineLevel="0" collapsed="false">
      <c r="A4904" s="16" t="n">
        <v>45163</v>
      </c>
      <c r="B4904" s="17" t="s">
        <v>2596</v>
      </c>
      <c r="C4904" s="17" t="s">
        <v>1593</v>
      </c>
      <c r="D4904" s="17" t="s">
        <v>1407</v>
      </c>
      <c r="E4904" s="17" t="s">
        <v>2603</v>
      </c>
      <c r="F4904" s="17"/>
      <c r="G4904" s="18" t="n">
        <v>20.9</v>
      </c>
      <c r="H4904" s="18" t="n">
        <v>0</v>
      </c>
      <c r="I4904" s="18" t="n">
        <f aca="false">((I4903 + G4904) - H4904)</f>
        <v>468.94</v>
      </c>
      <c r="J4904" s="18" t="n">
        <v>2.09</v>
      </c>
      <c r="K4904" s="19" t="n">
        <v>10</v>
      </c>
      <c r="L4904" s="17" t="s">
        <v>44</v>
      </c>
    </row>
    <row r="4905" s="11" customFormat="true" ht="10.95" hidden="false" customHeight="true" outlineLevel="0" collapsed="false">
      <c r="A4905" s="16" t="n">
        <v>45163</v>
      </c>
      <c r="B4905" s="17" t="s">
        <v>2596</v>
      </c>
      <c r="C4905" s="17" t="s">
        <v>1593</v>
      </c>
      <c r="D4905" s="17" t="s">
        <v>1407</v>
      </c>
      <c r="E4905" s="17" t="s">
        <v>2604</v>
      </c>
      <c r="F4905" s="17"/>
      <c r="G4905" s="18" t="n">
        <v>34.42</v>
      </c>
      <c r="H4905" s="18" t="n">
        <v>0</v>
      </c>
      <c r="I4905" s="18" t="n">
        <f aca="false">((I4904 + G4905) - H4905)</f>
        <v>503.36</v>
      </c>
      <c r="J4905" s="18" t="n">
        <v>0</v>
      </c>
      <c r="K4905" s="19" t="n">
        <v>0</v>
      </c>
      <c r="L4905" s="17" t="s">
        <v>1406</v>
      </c>
    </row>
    <row r="4906" s="11" customFormat="true" ht="10.95" hidden="false" customHeight="true" outlineLevel="0" collapsed="false">
      <c r="A4906" s="16" t="n">
        <v>45170</v>
      </c>
      <c r="B4906" s="17" t="s">
        <v>2596</v>
      </c>
      <c r="C4906" s="17" t="s">
        <v>1593</v>
      </c>
      <c r="D4906" s="17" t="s">
        <v>1407</v>
      </c>
      <c r="E4906" s="17" t="s">
        <v>2204</v>
      </c>
      <c r="F4906" s="17"/>
      <c r="G4906" s="18" t="n">
        <v>23.43</v>
      </c>
      <c r="H4906" s="18" t="n">
        <v>0</v>
      </c>
      <c r="I4906" s="18" t="n">
        <f aca="false">((I4905 + G4906) - H4906)</f>
        <v>526.79</v>
      </c>
      <c r="J4906" s="18" t="n">
        <v>0</v>
      </c>
      <c r="K4906" s="19" t="n">
        <v>0</v>
      </c>
      <c r="L4906" s="17" t="s">
        <v>1406</v>
      </c>
    </row>
    <row r="4907" s="11" customFormat="true" ht="10.95" hidden="false" customHeight="true" outlineLevel="0" collapsed="false">
      <c r="A4907" s="16" t="n">
        <v>45178</v>
      </c>
      <c r="B4907" s="17" t="s">
        <v>2596</v>
      </c>
      <c r="C4907" s="17" t="s">
        <v>1593</v>
      </c>
      <c r="D4907" s="17" t="s">
        <v>1407</v>
      </c>
      <c r="E4907" s="17" t="s">
        <v>2212</v>
      </c>
      <c r="F4907" s="17"/>
      <c r="G4907" s="18" t="n">
        <v>20.72</v>
      </c>
      <c r="H4907" s="18" t="n">
        <v>0</v>
      </c>
      <c r="I4907" s="18" t="n">
        <f aca="false">((I4906 + G4907) - H4907)</f>
        <v>547.51</v>
      </c>
      <c r="J4907" s="18" t="n">
        <v>0</v>
      </c>
      <c r="K4907" s="19" t="n">
        <v>0</v>
      </c>
      <c r="L4907" s="17" t="s">
        <v>1406</v>
      </c>
    </row>
    <row r="4908" s="11" customFormat="true" ht="10.95" hidden="false" customHeight="true" outlineLevel="0" collapsed="false">
      <c r="A4908" s="16" t="n">
        <v>45181</v>
      </c>
      <c r="B4908" s="17" t="s">
        <v>2596</v>
      </c>
      <c r="C4908" s="17" t="s">
        <v>1593</v>
      </c>
      <c r="D4908" s="17" t="s">
        <v>1407</v>
      </c>
      <c r="E4908" s="17" t="s">
        <v>2213</v>
      </c>
      <c r="F4908" s="17"/>
      <c r="G4908" s="18" t="n">
        <v>19.08</v>
      </c>
      <c r="H4908" s="18" t="n">
        <v>0</v>
      </c>
      <c r="I4908" s="18" t="n">
        <f aca="false">((I4907 + G4908) - H4908)</f>
        <v>566.59</v>
      </c>
      <c r="J4908" s="18" t="n">
        <v>1.91</v>
      </c>
      <c r="K4908" s="19" t="n">
        <v>10</v>
      </c>
      <c r="L4908" s="17" t="s">
        <v>44</v>
      </c>
    </row>
    <row r="4909" s="11" customFormat="true" ht="10.95" hidden="false" customHeight="true" outlineLevel="0" collapsed="false">
      <c r="A4909" s="16" t="n">
        <v>45186</v>
      </c>
      <c r="B4909" s="17" t="s">
        <v>2596</v>
      </c>
      <c r="C4909" s="17" t="s">
        <v>1593</v>
      </c>
      <c r="D4909" s="17" t="s">
        <v>1407</v>
      </c>
      <c r="E4909" s="17" t="s">
        <v>2605</v>
      </c>
      <c r="F4909" s="17"/>
      <c r="G4909" s="18" t="n">
        <v>81.81</v>
      </c>
      <c r="H4909" s="18" t="n">
        <v>0</v>
      </c>
      <c r="I4909" s="18" t="n">
        <f aca="false">((I4908 + G4909) - H4909)</f>
        <v>648.4</v>
      </c>
      <c r="J4909" s="18" t="n">
        <v>8.18</v>
      </c>
      <c r="K4909" s="19" t="n">
        <v>10</v>
      </c>
      <c r="L4909" s="17" t="s">
        <v>44</v>
      </c>
    </row>
    <row r="4910" s="11" customFormat="true" ht="10.95" hidden="false" customHeight="true" outlineLevel="0" collapsed="false">
      <c r="A4910" s="16" t="n">
        <v>45188</v>
      </c>
      <c r="B4910" s="17" t="s">
        <v>2596</v>
      </c>
      <c r="C4910" s="17" t="s">
        <v>1593</v>
      </c>
      <c r="D4910" s="17" t="s">
        <v>1407</v>
      </c>
      <c r="E4910" s="17" t="s">
        <v>2602</v>
      </c>
      <c r="F4910" s="17"/>
      <c r="G4910" s="18" t="n">
        <v>48</v>
      </c>
      <c r="H4910" s="18" t="n">
        <v>0</v>
      </c>
      <c r="I4910" s="18" t="n">
        <f aca="false">((I4909 + G4910) - H4910)</f>
        <v>696.4</v>
      </c>
      <c r="J4910" s="18" t="n">
        <v>0</v>
      </c>
      <c r="K4910" s="19" t="n">
        <v>0</v>
      </c>
      <c r="L4910" s="17" t="s">
        <v>1406</v>
      </c>
    </row>
    <row r="4911" s="11" customFormat="true" ht="10.95" hidden="false" customHeight="true" outlineLevel="0" collapsed="false">
      <c r="A4911" s="16" t="n">
        <v>45190</v>
      </c>
      <c r="B4911" s="17" t="s">
        <v>2596</v>
      </c>
      <c r="C4911" s="17" t="s">
        <v>1593</v>
      </c>
      <c r="D4911" s="17" t="s">
        <v>1407</v>
      </c>
      <c r="E4911" s="17" t="s">
        <v>2237</v>
      </c>
      <c r="F4911" s="17"/>
      <c r="G4911" s="18" t="n">
        <v>53.64</v>
      </c>
      <c r="H4911" s="18" t="n">
        <v>0</v>
      </c>
      <c r="I4911" s="18" t="n">
        <f aca="false">((I4910 + G4911) - H4911)</f>
        <v>750.04</v>
      </c>
      <c r="J4911" s="18" t="n">
        <v>5.36</v>
      </c>
      <c r="K4911" s="19" t="n">
        <v>10</v>
      </c>
      <c r="L4911" s="17" t="s">
        <v>44</v>
      </c>
    </row>
    <row r="4912" s="11" customFormat="true" ht="10.95" hidden="false" customHeight="true" outlineLevel="0" collapsed="false">
      <c r="A4912" s="16" t="n">
        <v>45195</v>
      </c>
      <c r="B4912" s="17" t="s">
        <v>2596</v>
      </c>
      <c r="C4912" s="17" t="s">
        <v>1593</v>
      </c>
      <c r="D4912" s="17" t="s">
        <v>1407</v>
      </c>
      <c r="E4912" s="17" t="s">
        <v>2603</v>
      </c>
      <c r="F4912" s="17"/>
      <c r="G4912" s="18" t="n">
        <v>20.9</v>
      </c>
      <c r="H4912" s="18" t="n">
        <v>0</v>
      </c>
      <c r="I4912" s="18" t="n">
        <f aca="false">((I4911 + G4912) - H4912)</f>
        <v>770.94</v>
      </c>
      <c r="J4912" s="18" t="n">
        <v>2.09</v>
      </c>
      <c r="K4912" s="19" t="n">
        <v>10</v>
      </c>
      <c r="L4912" s="17" t="s">
        <v>44</v>
      </c>
    </row>
    <row r="4913" s="11" customFormat="true" ht="10.95" hidden="false" customHeight="true" outlineLevel="0" collapsed="false">
      <c r="A4913" s="16" t="n">
        <v>45195</v>
      </c>
      <c r="B4913" s="17" t="s">
        <v>2596</v>
      </c>
      <c r="C4913" s="17" t="s">
        <v>1593</v>
      </c>
      <c r="D4913" s="17" t="s">
        <v>1407</v>
      </c>
      <c r="E4913" s="17" t="s">
        <v>2604</v>
      </c>
      <c r="F4913" s="17"/>
      <c r="G4913" s="18" t="n">
        <v>34.42</v>
      </c>
      <c r="H4913" s="18" t="n">
        <v>0</v>
      </c>
      <c r="I4913" s="18" t="n">
        <f aca="false">((I4912 + G4913) - H4913)</f>
        <v>805.36</v>
      </c>
      <c r="J4913" s="18" t="n">
        <v>0</v>
      </c>
      <c r="K4913" s="19" t="n">
        <v>0</v>
      </c>
      <c r="L4913" s="17" t="s">
        <v>1406</v>
      </c>
    </row>
    <row r="4914" s="11" customFormat="true" ht="10.95" hidden="false" customHeight="true" outlineLevel="0" collapsed="false">
      <c r="A4914" s="16" t="n">
        <v>45208</v>
      </c>
      <c r="B4914" s="17" t="s">
        <v>2596</v>
      </c>
      <c r="C4914" s="17" t="s">
        <v>1593</v>
      </c>
      <c r="D4914" s="17" t="s">
        <v>1407</v>
      </c>
      <c r="E4914" s="17" t="s">
        <v>2212</v>
      </c>
      <c r="F4914" s="17"/>
      <c r="G4914" s="18" t="n">
        <v>20.77</v>
      </c>
      <c r="H4914" s="18" t="n">
        <v>0</v>
      </c>
      <c r="I4914" s="18" t="n">
        <f aca="false">((I4913 + G4914) - H4914)</f>
        <v>826.13</v>
      </c>
      <c r="J4914" s="18" t="n">
        <v>0</v>
      </c>
      <c r="K4914" s="19" t="n">
        <v>0</v>
      </c>
      <c r="L4914" s="17" t="s">
        <v>1406</v>
      </c>
    </row>
    <row r="4915" s="11" customFormat="true" ht="10.95" hidden="false" customHeight="true" outlineLevel="0" collapsed="false">
      <c r="A4915" s="16" t="n">
        <v>45209</v>
      </c>
      <c r="B4915" s="17" t="s">
        <v>2596</v>
      </c>
      <c r="C4915" s="17" t="s">
        <v>1593</v>
      </c>
      <c r="D4915" s="17" t="s">
        <v>1407</v>
      </c>
      <c r="E4915" s="17" t="s">
        <v>2213</v>
      </c>
      <c r="F4915" s="17"/>
      <c r="G4915" s="18" t="n">
        <v>19.08</v>
      </c>
      <c r="H4915" s="18" t="n">
        <v>0</v>
      </c>
      <c r="I4915" s="18" t="n">
        <f aca="false">((I4914 + G4915) - H4915)</f>
        <v>845.21</v>
      </c>
      <c r="J4915" s="18" t="n">
        <v>1.91</v>
      </c>
      <c r="K4915" s="19" t="n">
        <v>10</v>
      </c>
      <c r="L4915" s="17" t="s">
        <v>44</v>
      </c>
    </row>
    <row r="4916" s="11" customFormat="true" ht="10.95" hidden="false" customHeight="true" outlineLevel="0" collapsed="false">
      <c r="A4916" s="16" t="n">
        <v>45216</v>
      </c>
      <c r="B4916" s="17" t="s">
        <v>2596</v>
      </c>
      <c r="C4916" s="17" t="s">
        <v>1593</v>
      </c>
      <c r="D4916" s="17" t="s">
        <v>1407</v>
      </c>
      <c r="E4916" s="17" t="s">
        <v>2217</v>
      </c>
      <c r="F4916" s="17"/>
      <c r="G4916" s="18" t="n">
        <v>20.69</v>
      </c>
      <c r="H4916" s="18" t="n">
        <v>0</v>
      </c>
      <c r="I4916" s="18" t="n">
        <f aca="false">((I4915 + G4916) - H4916)</f>
        <v>865.9</v>
      </c>
      <c r="J4916" s="18" t="n">
        <v>0</v>
      </c>
      <c r="K4916" s="19" t="n">
        <v>0</v>
      </c>
      <c r="L4916" s="17" t="s">
        <v>1406</v>
      </c>
    </row>
    <row r="4917" s="11" customFormat="true" ht="10.95" hidden="false" customHeight="true" outlineLevel="0" collapsed="false">
      <c r="A4917" s="16" t="n">
        <v>45220</v>
      </c>
      <c r="B4917" s="17" t="s">
        <v>2596</v>
      </c>
      <c r="C4917" s="17" t="s">
        <v>1593</v>
      </c>
      <c r="D4917" s="17" t="s">
        <v>1407</v>
      </c>
      <c r="E4917" s="17" t="s">
        <v>2602</v>
      </c>
      <c r="F4917" s="17"/>
      <c r="G4917" s="18" t="n">
        <v>48</v>
      </c>
      <c r="H4917" s="18" t="n">
        <v>0</v>
      </c>
      <c r="I4917" s="18" t="n">
        <f aca="false">((I4916 + G4917) - H4917)</f>
        <v>913.9</v>
      </c>
      <c r="J4917" s="18" t="n">
        <v>0</v>
      </c>
      <c r="K4917" s="19" t="n">
        <v>0</v>
      </c>
      <c r="L4917" s="17" t="s">
        <v>1406</v>
      </c>
    </row>
    <row r="4918" s="11" customFormat="true" ht="10.95" hidden="false" customHeight="true" outlineLevel="0" collapsed="false">
      <c r="A4918" s="16" t="n">
        <v>45224</v>
      </c>
      <c r="B4918" s="17" t="s">
        <v>2596</v>
      </c>
      <c r="C4918" s="17" t="s">
        <v>1593</v>
      </c>
      <c r="D4918" s="17" t="s">
        <v>1407</v>
      </c>
      <c r="E4918" s="17" t="s">
        <v>2603</v>
      </c>
      <c r="F4918" s="17"/>
      <c r="G4918" s="18" t="n">
        <v>20.9</v>
      </c>
      <c r="H4918" s="18" t="n">
        <v>0</v>
      </c>
      <c r="I4918" s="18" t="n">
        <f aca="false">((I4917 + G4918) - H4918)</f>
        <v>934.8</v>
      </c>
      <c r="J4918" s="18" t="n">
        <v>2.09</v>
      </c>
      <c r="K4918" s="19" t="n">
        <v>10</v>
      </c>
      <c r="L4918" s="17" t="s">
        <v>44</v>
      </c>
    </row>
    <row r="4919" s="11" customFormat="true" ht="10.95" hidden="false" customHeight="true" outlineLevel="0" collapsed="false">
      <c r="A4919" s="16" t="n">
        <v>45224</v>
      </c>
      <c r="B4919" s="17" t="s">
        <v>2596</v>
      </c>
      <c r="C4919" s="17" t="s">
        <v>1593</v>
      </c>
      <c r="D4919" s="17" t="s">
        <v>1407</v>
      </c>
      <c r="E4919" s="17" t="s">
        <v>2606</v>
      </c>
      <c r="F4919" s="17"/>
      <c r="G4919" s="18" t="n">
        <v>35</v>
      </c>
      <c r="H4919" s="18" t="n">
        <v>0</v>
      </c>
      <c r="I4919" s="18" t="n">
        <f aca="false">((I4918 + G4919) - H4919)</f>
        <v>969.8</v>
      </c>
      <c r="J4919" s="18" t="n">
        <v>0</v>
      </c>
      <c r="K4919" s="19" t="n">
        <v>0</v>
      </c>
      <c r="L4919" s="17" t="s">
        <v>1406</v>
      </c>
    </row>
    <row r="4920" s="11" customFormat="true" ht="10.95" hidden="false" customHeight="true" outlineLevel="0" collapsed="false">
      <c r="A4920" s="16" t="n">
        <v>45231</v>
      </c>
      <c r="B4920" s="17" t="s">
        <v>2596</v>
      </c>
      <c r="C4920" s="17" t="s">
        <v>1593</v>
      </c>
      <c r="D4920" s="17" t="s">
        <v>1407</v>
      </c>
      <c r="E4920" s="17" t="s">
        <v>2607</v>
      </c>
      <c r="F4920" s="17"/>
      <c r="G4920" s="18" t="n">
        <v>23.73</v>
      </c>
      <c r="H4920" s="18" t="n">
        <v>0</v>
      </c>
      <c r="I4920" s="18" t="n">
        <f aca="false">((I4919 + G4920) - H4920)</f>
        <v>993.53</v>
      </c>
      <c r="J4920" s="18" t="n">
        <v>0</v>
      </c>
      <c r="K4920" s="19" t="n">
        <v>0</v>
      </c>
      <c r="L4920" s="17" t="s">
        <v>1406</v>
      </c>
    </row>
    <row r="4921" s="11" customFormat="true" ht="10.95" hidden="false" customHeight="true" outlineLevel="0" collapsed="false">
      <c r="A4921" s="16" t="n">
        <v>45233</v>
      </c>
      <c r="B4921" s="17" t="s">
        <v>2596</v>
      </c>
      <c r="C4921" s="17" t="s">
        <v>1593</v>
      </c>
      <c r="D4921" s="17" t="s">
        <v>1407</v>
      </c>
      <c r="E4921" s="17" t="s">
        <v>2608</v>
      </c>
      <c r="F4921" s="17"/>
      <c r="G4921" s="18" t="n">
        <v>202.43</v>
      </c>
      <c r="H4921" s="18" t="n">
        <v>0</v>
      </c>
      <c r="I4921" s="18" t="n">
        <f aca="false">((I4920 + G4921) - H4921)</f>
        <v>1195.96</v>
      </c>
      <c r="J4921" s="18" t="n">
        <v>20.23</v>
      </c>
      <c r="K4921" s="19" t="n">
        <v>10</v>
      </c>
      <c r="L4921" s="17" t="s">
        <v>44</v>
      </c>
    </row>
    <row r="4922" s="11" customFormat="true" ht="10.95" hidden="false" customHeight="true" outlineLevel="0" collapsed="false">
      <c r="A4922" s="16" t="n">
        <v>45233</v>
      </c>
      <c r="B4922" s="17" t="s">
        <v>2596</v>
      </c>
      <c r="C4922" s="17" t="s">
        <v>1593</v>
      </c>
      <c r="D4922" s="17" t="s">
        <v>1407</v>
      </c>
      <c r="E4922" s="17" t="s">
        <v>2609</v>
      </c>
      <c r="F4922" s="17"/>
      <c r="G4922" s="18" t="n">
        <v>45.45</v>
      </c>
      <c r="H4922" s="18" t="n">
        <v>0</v>
      </c>
      <c r="I4922" s="18" t="n">
        <f aca="false">((I4921 + G4922) - H4922)</f>
        <v>1241.41</v>
      </c>
      <c r="J4922" s="18" t="n">
        <v>4.55</v>
      </c>
      <c r="K4922" s="19" t="n">
        <v>10</v>
      </c>
      <c r="L4922" s="17" t="s">
        <v>44</v>
      </c>
    </row>
    <row r="4923" s="11" customFormat="true" ht="10.95" hidden="false" customHeight="true" outlineLevel="0" collapsed="false">
      <c r="A4923" s="16" t="n">
        <v>45239</v>
      </c>
      <c r="B4923" s="17" t="s">
        <v>2596</v>
      </c>
      <c r="C4923" s="17" t="s">
        <v>1593</v>
      </c>
      <c r="D4923" s="17" t="s">
        <v>1407</v>
      </c>
      <c r="E4923" s="17" t="s">
        <v>2212</v>
      </c>
      <c r="F4923" s="17"/>
      <c r="G4923" s="18" t="n">
        <v>20.66</v>
      </c>
      <c r="H4923" s="18" t="n">
        <v>0</v>
      </c>
      <c r="I4923" s="18" t="n">
        <f aca="false">((I4922 + G4923) - H4923)</f>
        <v>1262.07</v>
      </c>
      <c r="J4923" s="18" t="n">
        <v>0</v>
      </c>
      <c r="K4923" s="19" t="n">
        <v>0</v>
      </c>
      <c r="L4923" s="17" t="s">
        <v>1406</v>
      </c>
    </row>
    <row r="4924" s="11" customFormat="true" ht="10.95" hidden="false" customHeight="true" outlineLevel="0" collapsed="false">
      <c r="A4924" s="16" t="n">
        <v>45240</v>
      </c>
      <c r="B4924" s="17" t="s">
        <v>2596</v>
      </c>
      <c r="C4924" s="17" t="s">
        <v>1593</v>
      </c>
      <c r="D4924" s="17" t="s">
        <v>1407</v>
      </c>
      <c r="E4924" s="17" t="s">
        <v>2213</v>
      </c>
      <c r="F4924" s="17"/>
      <c r="G4924" s="18" t="n">
        <v>19.08</v>
      </c>
      <c r="H4924" s="18" t="n">
        <v>0</v>
      </c>
      <c r="I4924" s="18" t="n">
        <f aca="false">((I4923 + G4924) - H4924)</f>
        <v>1281.15</v>
      </c>
      <c r="J4924" s="18" t="n">
        <v>1.91</v>
      </c>
      <c r="K4924" s="19" t="n">
        <v>10</v>
      </c>
      <c r="L4924" s="17" t="s">
        <v>44</v>
      </c>
    </row>
    <row r="4925" s="11" customFormat="true" ht="10.95" hidden="false" customHeight="true" outlineLevel="0" collapsed="false">
      <c r="A4925" s="16" t="n">
        <v>45244</v>
      </c>
      <c r="B4925" s="17" t="s">
        <v>2596</v>
      </c>
      <c r="C4925" s="17" t="s">
        <v>1593</v>
      </c>
      <c r="D4925" s="17" t="s">
        <v>1407</v>
      </c>
      <c r="E4925" s="17" t="s">
        <v>2212</v>
      </c>
      <c r="F4925" s="17"/>
      <c r="G4925" s="18" t="n">
        <v>20.85</v>
      </c>
      <c r="H4925" s="18" t="n">
        <v>0</v>
      </c>
      <c r="I4925" s="18" t="n">
        <f aca="false">((I4924 + G4925) - H4925)</f>
        <v>1302</v>
      </c>
      <c r="J4925" s="18" t="n">
        <v>0</v>
      </c>
      <c r="K4925" s="19" t="n">
        <v>0</v>
      </c>
      <c r="L4925" s="17" t="s">
        <v>1406</v>
      </c>
    </row>
    <row r="4926" s="11" customFormat="true" ht="10.95" hidden="false" customHeight="true" outlineLevel="0" collapsed="false">
      <c r="A4926" s="16" t="n">
        <v>45244</v>
      </c>
      <c r="B4926" s="17" t="s">
        <v>2596</v>
      </c>
      <c r="C4926" s="17" t="s">
        <v>1593</v>
      </c>
      <c r="D4926" s="17" t="s">
        <v>1407</v>
      </c>
      <c r="E4926" s="17" t="s">
        <v>2602</v>
      </c>
      <c r="F4926" s="17"/>
      <c r="G4926" s="18" t="n">
        <v>48</v>
      </c>
      <c r="H4926" s="18" t="n">
        <v>0</v>
      </c>
      <c r="I4926" s="18" t="n">
        <f aca="false">((I4925 + G4926) - H4926)</f>
        <v>1350</v>
      </c>
      <c r="J4926" s="18" t="n">
        <v>0</v>
      </c>
      <c r="K4926" s="19" t="n">
        <v>0</v>
      </c>
      <c r="L4926" s="17" t="s">
        <v>1406</v>
      </c>
    </row>
    <row r="4927" s="11" customFormat="true" ht="10.95" hidden="false" customHeight="true" outlineLevel="0" collapsed="false">
      <c r="A4927" s="16" t="n">
        <v>45253</v>
      </c>
      <c r="B4927" s="17" t="s">
        <v>2596</v>
      </c>
      <c r="C4927" s="17" t="s">
        <v>1593</v>
      </c>
      <c r="D4927" s="17" t="s">
        <v>1407</v>
      </c>
      <c r="E4927" s="17" t="s">
        <v>2237</v>
      </c>
      <c r="F4927" s="17"/>
      <c r="G4927" s="18" t="n">
        <v>7.86</v>
      </c>
      <c r="H4927" s="18" t="n">
        <v>0</v>
      </c>
      <c r="I4927" s="18" t="n">
        <f aca="false">((I4926 + G4927) - H4927)</f>
        <v>1357.86</v>
      </c>
      <c r="J4927" s="18" t="n">
        <v>0.79</v>
      </c>
      <c r="K4927" s="19" t="n">
        <v>10</v>
      </c>
      <c r="L4927" s="17" t="s">
        <v>44</v>
      </c>
    </row>
    <row r="4928" s="11" customFormat="true" ht="10.95" hidden="false" customHeight="true" outlineLevel="0" collapsed="false">
      <c r="A4928" s="16" t="n">
        <v>45255</v>
      </c>
      <c r="B4928" s="17" t="s">
        <v>2596</v>
      </c>
      <c r="C4928" s="17" t="s">
        <v>1593</v>
      </c>
      <c r="D4928" s="17" t="s">
        <v>1407</v>
      </c>
      <c r="E4928" s="17" t="s">
        <v>2610</v>
      </c>
      <c r="F4928" s="17"/>
      <c r="G4928" s="18" t="n">
        <v>20.9</v>
      </c>
      <c r="H4928" s="18" t="n">
        <v>0</v>
      </c>
      <c r="I4928" s="18" t="n">
        <f aca="false">((I4927 + G4928) - H4928)</f>
        <v>1378.76</v>
      </c>
      <c r="J4928" s="18" t="n">
        <v>2.09</v>
      </c>
      <c r="K4928" s="19" t="n">
        <v>10</v>
      </c>
      <c r="L4928" s="17" t="s">
        <v>44</v>
      </c>
    </row>
    <row r="4929" s="11" customFormat="true" ht="10.95" hidden="false" customHeight="true" outlineLevel="0" collapsed="false">
      <c r="A4929" s="16" t="n">
        <v>45255</v>
      </c>
      <c r="B4929" s="17" t="s">
        <v>2596</v>
      </c>
      <c r="C4929" s="17" t="s">
        <v>1593</v>
      </c>
      <c r="D4929" s="17" t="s">
        <v>1407</v>
      </c>
      <c r="E4929" s="17" t="s">
        <v>2606</v>
      </c>
      <c r="F4929" s="17"/>
      <c r="G4929" s="18" t="n">
        <v>33.79</v>
      </c>
      <c r="H4929" s="18" t="n">
        <v>0</v>
      </c>
      <c r="I4929" s="18" t="n">
        <f aca="false">((I4928 + G4929) - H4929)</f>
        <v>1412.55</v>
      </c>
      <c r="J4929" s="18" t="n">
        <v>0</v>
      </c>
      <c r="K4929" s="19" t="n">
        <v>0</v>
      </c>
      <c r="L4929" s="17" t="s">
        <v>1406</v>
      </c>
    </row>
    <row r="4930" s="11" customFormat="true" ht="10.95" hidden="false" customHeight="true" outlineLevel="0" collapsed="false">
      <c r="A4930" s="16" t="n">
        <v>45262</v>
      </c>
      <c r="B4930" s="17" t="s">
        <v>2596</v>
      </c>
      <c r="C4930" s="17" t="s">
        <v>1593</v>
      </c>
      <c r="D4930" s="17" t="s">
        <v>1407</v>
      </c>
      <c r="E4930" s="17" t="s">
        <v>2204</v>
      </c>
      <c r="F4930" s="17"/>
      <c r="G4930" s="18" t="n">
        <v>22.7</v>
      </c>
      <c r="H4930" s="18" t="n">
        <v>0</v>
      </c>
      <c r="I4930" s="18" t="n">
        <f aca="false">((I4929 + G4930) - H4930)</f>
        <v>1435.25</v>
      </c>
      <c r="J4930" s="18" t="n">
        <v>0</v>
      </c>
      <c r="K4930" s="19" t="n">
        <v>0</v>
      </c>
      <c r="L4930" s="17" t="s">
        <v>1406</v>
      </c>
    </row>
    <row r="4931" s="11" customFormat="true" ht="10.95" hidden="false" customHeight="true" outlineLevel="0" collapsed="false">
      <c r="A4931" s="16" t="n">
        <v>45267</v>
      </c>
      <c r="B4931" s="17" t="s">
        <v>2596</v>
      </c>
      <c r="C4931" s="17" t="s">
        <v>1593</v>
      </c>
      <c r="D4931" s="17" t="s">
        <v>1407</v>
      </c>
      <c r="E4931" s="17" t="s">
        <v>2209</v>
      </c>
      <c r="F4931" s="17"/>
      <c r="G4931" s="18" t="n">
        <v>15.25</v>
      </c>
      <c r="H4931" s="18" t="n">
        <v>0</v>
      </c>
      <c r="I4931" s="18" t="n">
        <f aca="false">((I4930 + G4931) - H4931)</f>
        <v>1450.5</v>
      </c>
      <c r="J4931" s="18" t="n">
        <v>1.52</v>
      </c>
      <c r="K4931" s="19" t="n">
        <v>10</v>
      </c>
      <c r="L4931" s="17" t="s">
        <v>44</v>
      </c>
    </row>
    <row r="4932" s="11" customFormat="true" ht="10.95" hidden="false" customHeight="true" outlineLevel="0" collapsed="false">
      <c r="A4932" s="16" t="n">
        <v>45269</v>
      </c>
      <c r="B4932" s="17" t="s">
        <v>2596</v>
      </c>
      <c r="C4932" s="17" t="s">
        <v>1593</v>
      </c>
      <c r="D4932" s="17" t="s">
        <v>1407</v>
      </c>
      <c r="E4932" s="17" t="s">
        <v>2212</v>
      </c>
      <c r="F4932" s="17"/>
      <c r="G4932" s="18" t="n">
        <v>20.1</v>
      </c>
      <c r="H4932" s="18" t="n">
        <v>0</v>
      </c>
      <c r="I4932" s="18" t="n">
        <f aca="false">((I4931 + G4932) - H4932)</f>
        <v>1470.6</v>
      </c>
      <c r="J4932" s="18" t="n">
        <v>0</v>
      </c>
      <c r="K4932" s="19" t="n">
        <v>0</v>
      </c>
      <c r="L4932" s="17" t="s">
        <v>1406</v>
      </c>
    </row>
    <row r="4933" s="11" customFormat="true" ht="10.95" hidden="false" customHeight="true" outlineLevel="0" collapsed="false">
      <c r="A4933" s="16" t="n">
        <v>45272</v>
      </c>
      <c r="B4933" s="17" t="s">
        <v>2596</v>
      </c>
      <c r="C4933" s="17" t="s">
        <v>1593</v>
      </c>
      <c r="D4933" s="17" t="s">
        <v>1407</v>
      </c>
      <c r="E4933" s="17" t="s">
        <v>2611</v>
      </c>
      <c r="F4933" s="17"/>
      <c r="G4933" s="18" t="n">
        <v>19.08</v>
      </c>
      <c r="H4933" s="18" t="n">
        <v>0</v>
      </c>
      <c r="I4933" s="18" t="n">
        <f aca="false">((I4932 + G4933) - H4933)</f>
        <v>1489.68</v>
      </c>
      <c r="J4933" s="18" t="n">
        <v>1.91</v>
      </c>
      <c r="K4933" s="19" t="n">
        <v>10</v>
      </c>
      <c r="L4933" s="17" t="s">
        <v>44</v>
      </c>
    </row>
    <row r="4934" s="11" customFormat="true" ht="10.95" hidden="false" customHeight="true" outlineLevel="0" collapsed="false">
      <c r="A4934" s="16" t="n">
        <v>45272</v>
      </c>
      <c r="B4934" s="17" t="s">
        <v>2596</v>
      </c>
      <c r="C4934" s="17" t="s">
        <v>1593</v>
      </c>
      <c r="D4934" s="17" t="s">
        <v>1407</v>
      </c>
      <c r="E4934" s="17" t="s">
        <v>2602</v>
      </c>
      <c r="F4934" s="17"/>
      <c r="G4934" s="18" t="n">
        <v>48</v>
      </c>
      <c r="H4934" s="18" t="n">
        <v>0</v>
      </c>
      <c r="I4934" s="18" t="n">
        <f aca="false">((I4933 + G4934) - H4934)</f>
        <v>1537.68</v>
      </c>
      <c r="J4934" s="18" t="n">
        <v>0</v>
      </c>
      <c r="K4934" s="19" t="n">
        <v>0</v>
      </c>
      <c r="L4934" s="17" t="s">
        <v>1406</v>
      </c>
    </row>
    <row r="4935" s="11" customFormat="true" ht="10.95" hidden="false" customHeight="true" outlineLevel="0" collapsed="false">
      <c r="A4935" s="16" t="n">
        <v>45275</v>
      </c>
      <c r="B4935" s="17" t="s">
        <v>2596</v>
      </c>
      <c r="C4935" s="17" t="s">
        <v>1593</v>
      </c>
      <c r="D4935" s="17" t="s">
        <v>1407</v>
      </c>
      <c r="E4935" s="17" t="s">
        <v>2217</v>
      </c>
      <c r="F4935" s="17"/>
      <c r="G4935" s="18" t="n">
        <v>20.17</v>
      </c>
      <c r="H4935" s="18" t="n">
        <v>0</v>
      </c>
      <c r="I4935" s="18" t="n">
        <f aca="false">((I4934 + G4935) - H4935)</f>
        <v>1557.85</v>
      </c>
      <c r="J4935" s="18" t="n">
        <v>0</v>
      </c>
      <c r="K4935" s="19" t="n">
        <v>0</v>
      </c>
      <c r="L4935" s="17" t="s">
        <v>1406</v>
      </c>
    </row>
    <row r="4936" s="11" customFormat="true" ht="10.95" hidden="false" customHeight="true" outlineLevel="0" collapsed="false">
      <c r="A4936" s="16" t="n">
        <v>45288</v>
      </c>
      <c r="B4936" s="17" t="s">
        <v>2596</v>
      </c>
      <c r="C4936" s="17" t="s">
        <v>1593</v>
      </c>
      <c r="D4936" s="17" t="s">
        <v>1407</v>
      </c>
      <c r="E4936" s="17" t="s">
        <v>2603</v>
      </c>
      <c r="F4936" s="17"/>
      <c r="G4936" s="18" t="n">
        <v>20.9</v>
      </c>
      <c r="H4936" s="18" t="n">
        <v>0</v>
      </c>
      <c r="I4936" s="18" t="n">
        <f aca="false">((I4935 + G4936) - H4936)</f>
        <v>1578.75</v>
      </c>
      <c r="J4936" s="18" t="n">
        <v>2.09</v>
      </c>
      <c r="K4936" s="19" t="n">
        <v>10</v>
      </c>
      <c r="L4936" s="17" t="s">
        <v>44</v>
      </c>
    </row>
    <row r="4937" s="11" customFormat="true" ht="10.95" hidden="false" customHeight="true" outlineLevel="0" collapsed="false">
      <c r="A4937" s="16" t="n">
        <v>45288</v>
      </c>
      <c r="B4937" s="17" t="s">
        <v>2596</v>
      </c>
      <c r="C4937" s="17" t="s">
        <v>1593</v>
      </c>
      <c r="D4937" s="17" t="s">
        <v>1407</v>
      </c>
      <c r="E4937" s="17" t="s">
        <v>2604</v>
      </c>
      <c r="F4937" s="17"/>
      <c r="G4937" s="18" t="n">
        <v>37.41</v>
      </c>
      <c r="H4937" s="18" t="n">
        <v>0</v>
      </c>
      <c r="I4937" s="18" t="n">
        <f aca="false">((I4936 + G4937) - H4937)</f>
        <v>1616.16</v>
      </c>
      <c r="J4937" s="18" t="n">
        <v>0</v>
      </c>
      <c r="K4937" s="19" t="n">
        <v>0</v>
      </c>
      <c r="L4937" s="17" t="s">
        <v>1406</v>
      </c>
    </row>
    <row r="4938" s="11" customFormat="true" ht="10.95" hidden="false" customHeight="true" outlineLevel="0" collapsed="false">
      <c r="A4938" s="16" t="n">
        <v>45294</v>
      </c>
      <c r="B4938" s="17" t="s">
        <v>2596</v>
      </c>
      <c r="C4938" s="17" t="s">
        <v>1593</v>
      </c>
      <c r="D4938" s="17" t="s">
        <v>1407</v>
      </c>
      <c r="E4938" s="17" t="s">
        <v>2204</v>
      </c>
      <c r="F4938" s="17"/>
      <c r="G4938" s="18" t="n">
        <v>22.11</v>
      </c>
      <c r="H4938" s="18" t="n">
        <v>0</v>
      </c>
      <c r="I4938" s="18" t="n">
        <f aca="false">((I4937 + G4938) - H4938)</f>
        <v>1638.27</v>
      </c>
      <c r="J4938" s="18" t="n">
        <v>0</v>
      </c>
      <c r="K4938" s="19" t="n">
        <v>0</v>
      </c>
      <c r="L4938" s="17" t="s">
        <v>1406</v>
      </c>
    </row>
    <row r="4939" s="11" customFormat="true" ht="10.95" hidden="false" customHeight="true" outlineLevel="0" collapsed="false">
      <c r="A4939" s="16" t="n">
        <v>45299</v>
      </c>
      <c r="B4939" s="17" t="s">
        <v>2596</v>
      </c>
      <c r="C4939" s="17" t="s">
        <v>1593</v>
      </c>
      <c r="D4939" s="17" t="s">
        <v>1407</v>
      </c>
      <c r="E4939" s="17" t="s">
        <v>2209</v>
      </c>
      <c r="F4939" s="17"/>
      <c r="G4939" s="18" t="n">
        <v>15.14</v>
      </c>
      <c r="H4939" s="18" t="n">
        <v>0</v>
      </c>
      <c r="I4939" s="18" t="n">
        <f aca="false">((I4938 + G4939) - H4939)</f>
        <v>1653.41</v>
      </c>
      <c r="J4939" s="18" t="n">
        <v>1.51</v>
      </c>
      <c r="K4939" s="19" t="n">
        <v>10</v>
      </c>
      <c r="L4939" s="17" t="s">
        <v>44</v>
      </c>
    </row>
    <row r="4940" s="11" customFormat="true" ht="10.95" hidden="false" customHeight="true" outlineLevel="0" collapsed="false">
      <c r="A4940" s="16" t="n">
        <v>45300</v>
      </c>
      <c r="B4940" s="17" t="s">
        <v>2596</v>
      </c>
      <c r="C4940" s="17" t="s">
        <v>1593</v>
      </c>
      <c r="D4940" s="17" t="s">
        <v>1407</v>
      </c>
      <c r="E4940" s="17" t="s">
        <v>2602</v>
      </c>
      <c r="F4940" s="17"/>
      <c r="G4940" s="18" t="n">
        <v>48</v>
      </c>
      <c r="H4940" s="18" t="n">
        <v>0</v>
      </c>
      <c r="I4940" s="18" t="n">
        <f aca="false">((I4939 + G4940) - H4940)</f>
        <v>1701.41</v>
      </c>
      <c r="J4940" s="18" t="n">
        <v>0</v>
      </c>
      <c r="K4940" s="19" t="n">
        <v>0</v>
      </c>
      <c r="L4940" s="17" t="s">
        <v>1406</v>
      </c>
    </row>
    <row r="4941" s="11" customFormat="true" ht="10.95" hidden="false" customHeight="true" outlineLevel="0" collapsed="false">
      <c r="A4941" s="16" t="n">
        <v>45300</v>
      </c>
      <c r="B4941" s="17" t="s">
        <v>2596</v>
      </c>
      <c r="C4941" s="17" t="s">
        <v>1593</v>
      </c>
      <c r="D4941" s="17" t="s">
        <v>1407</v>
      </c>
      <c r="E4941" s="17" t="s">
        <v>2612</v>
      </c>
      <c r="F4941" s="17"/>
      <c r="G4941" s="18" t="n">
        <v>145.45</v>
      </c>
      <c r="H4941" s="18" t="n">
        <v>0</v>
      </c>
      <c r="I4941" s="18" t="n">
        <f aca="false">((I4940 + G4941) - H4941)</f>
        <v>1846.86</v>
      </c>
      <c r="J4941" s="18" t="n">
        <v>14.55</v>
      </c>
      <c r="K4941" s="19" t="n">
        <v>10</v>
      </c>
      <c r="L4941" s="17" t="s">
        <v>44</v>
      </c>
    </row>
    <row r="4942" s="11" customFormat="true" ht="10.95" hidden="false" customHeight="true" outlineLevel="0" collapsed="false">
      <c r="A4942" s="16" t="n">
        <v>45300</v>
      </c>
      <c r="B4942" s="17" t="s">
        <v>2596</v>
      </c>
      <c r="C4942" s="17" t="s">
        <v>1593</v>
      </c>
      <c r="D4942" s="17" t="s">
        <v>1407</v>
      </c>
      <c r="E4942" s="17" t="s">
        <v>2212</v>
      </c>
      <c r="F4942" s="17"/>
      <c r="G4942" s="18" t="n">
        <v>19.76</v>
      </c>
      <c r="H4942" s="18" t="n">
        <v>0</v>
      </c>
      <c r="I4942" s="18" t="n">
        <f aca="false">((I4941 + G4942) - H4942)</f>
        <v>1866.62</v>
      </c>
      <c r="J4942" s="18" t="n">
        <v>0</v>
      </c>
      <c r="K4942" s="19" t="n">
        <v>0</v>
      </c>
      <c r="L4942" s="17" t="s">
        <v>1406</v>
      </c>
    </row>
    <row r="4943" s="11" customFormat="true" ht="10.95" hidden="false" customHeight="true" outlineLevel="0" collapsed="false">
      <c r="A4943" s="16" t="n">
        <v>45301</v>
      </c>
      <c r="B4943" s="17" t="s">
        <v>2596</v>
      </c>
      <c r="C4943" s="17" t="s">
        <v>1593</v>
      </c>
      <c r="D4943" s="17" t="s">
        <v>1407</v>
      </c>
      <c r="E4943" s="17" t="s">
        <v>2213</v>
      </c>
      <c r="F4943" s="17"/>
      <c r="G4943" s="18" t="n">
        <v>19.08</v>
      </c>
      <c r="H4943" s="18" t="n">
        <v>0</v>
      </c>
      <c r="I4943" s="18" t="n">
        <f aca="false">((I4942 + G4943) - H4943)</f>
        <v>1885.7</v>
      </c>
      <c r="J4943" s="18" t="n">
        <v>1.91</v>
      </c>
      <c r="K4943" s="19" t="n">
        <v>10</v>
      </c>
      <c r="L4943" s="17" t="s">
        <v>44</v>
      </c>
    </row>
    <row r="4944" s="11" customFormat="true" ht="10.95" hidden="false" customHeight="true" outlineLevel="0" collapsed="false">
      <c r="A4944" s="16" t="n">
        <v>45307</v>
      </c>
      <c r="B4944" s="17" t="s">
        <v>2596</v>
      </c>
      <c r="C4944" s="17" t="s">
        <v>1593</v>
      </c>
      <c r="D4944" s="17" t="s">
        <v>1407</v>
      </c>
      <c r="E4944" s="17" t="s">
        <v>2613</v>
      </c>
      <c r="F4944" s="17"/>
      <c r="G4944" s="18" t="n">
        <v>19.88</v>
      </c>
      <c r="H4944" s="18" t="n">
        <v>0</v>
      </c>
      <c r="I4944" s="18" t="n">
        <f aca="false">((I4943 + G4944) - H4944)</f>
        <v>1905.58</v>
      </c>
      <c r="J4944" s="18" t="n">
        <v>0</v>
      </c>
      <c r="K4944" s="19" t="n">
        <v>0</v>
      </c>
      <c r="L4944" s="17" t="s">
        <v>1406</v>
      </c>
    </row>
    <row r="4945" s="11" customFormat="true" ht="10.95" hidden="false" customHeight="true" outlineLevel="0" collapsed="false">
      <c r="A4945" s="16" t="n">
        <v>45307</v>
      </c>
      <c r="B4945" s="17" t="s">
        <v>2596</v>
      </c>
      <c r="C4945" s="17" t="s">
        <v>1593</v>
      </c>
      <c r="D4945" s="17" t="s">
        <v>1407</v>
      </c>
      <c r="E4945" s="17" t="s">
        <v>2604</v>
      </c>
      <c r="F4945" s="17"/>
      <c r="G4945" s="18" t="n">
        <v>51.68</v>
      </c>
      <c r="H4945" s="18" t="n">
        <v>0</v>
      </c>
      <c r="I4945" s="18" t="n">
        <f aca="false">((I4944 + G4945) - H4945)</f>
        <v>1957.26</v>
      </c>
      <c r="J4945" s="18" t="n">
        <v>0</v>
      </c>
      <c r="K4945" s="19" t="n">
        <v>0</v>
      </c>
      <c r="L4945" s="17" t="s">
        <v>1406</v>
      </c>
    </row>
    <row r="4946" s="11" customFormat="true" ht="10.95" hidden="false" customHeight="true" outlineLevel="0" collapsed="false">
      <c r="A4946" s="16" t="n">
        <v>45315</v>
      </c>
      <c r="B4946" s="17" t="s">
        <v>2596</v>
      </c>
      <c r="C4946" s="17" t="s">
        <v>1593</v>
      </c>
      <c r="D4946" s="17" t="s">
        <v>1407</v>
      </c>
      <c r="E4946" s="17" t="s">
        <v>2237</v>
      </c>
      <c r="F4946" s="17"/>
      <c r="G4946" s="18" t="n">
        <v>17.72</v>
      </c>
      <c r="H4946" s="18" t="n">
        <v>0</v>
      </c>
      <c r="I4946" s="18" t="n">
        <f aca="false">((I4945 + G4946) - H4946)</f>
        <v>1974.98</v>
      </c>
      <c r="J4946" s="18" t="n">
        <v>1.77</v>
      </c>
      <c r="K4946" s="19" t="n">
        <v>10</v>
      </c>
      <c r="L4946" s="17" t="s">
        <v>44</v>
      </c>
    </row>
    <row r="4947" s="11" customFormat="true" ht="10.95" hidden="false" customHeight="true" outlineLevel="0" collapsed="false">
      <c r="A4947" s="16" t="n">
        <v>45316</v>
      </c>
      <c r="B4947" s="17" t="s">
        <v>2596</v>
      </c>
      <c r="C4947" s="17" t="s">
        <v>1593</v>
      </c>
      <c r="D4947" s="17" t="s">
        <v>1407</v>
      </c>
      <c r="E4947" s="17" t="s">
        <v>2614</v>
      </c>
      <c r="F4947" s="17"/>
      <c r="G4947" s="18" t="n">
        <v>20.9</v>
      </c>
      <c r="H4947" s="18" t="n">
        <v>0</v>
      </c>
      <c r="I4947" s="18" t="n">
        <f aca="false">((I4946 + G4947) - H4947)</f>
        <v>1995.88</v>
      </c>
      <c r="J4947" s="18" t="n">
        <v>2.09</v>
      </c>
      <c r="K4947" s="19" t="n">
        <v>10</v>
      </c>
      <c r="L4947" s="17" t="s">
        <v>44</v>
      </c>
    </row>
    <row r="4948" s="11" customFormat="true" ht="10.95" hidden="false" customHeight="true" outlineLevel="0" collapsed="false">
      <c r="A4948" s="16" t="n">
        <v>45321</v>
      </c>
      <c r="B4948" s="17" t="s">
        <v>2596</v>
      </c>
      <c r="C4948" s="17" t="s">
        <v>1593</v>
      </c>
      <c r="D4948" s="17" t="s">
        <v>1407</v>
      </c>
      <c r="E4948" s="17" t="s">
        <v>2204</v>
      </c>
      <c r="F4948" s="17"/>
      <c r="G4948" s="18" t="n">
        <v>22.73</v>
      </c>
      <c r="H4948" s="18" t="n">
        <v>0</v>
      </c>
      <c r="I4948" s="18" t="n">
        <f aca="false">((I4947 + G4948) - H4948)</f>
        <v>2018.61</v>
      </c>
      <c r="J4948" s="18" t="n">
        <v>0</v>
      </c>
      <c r="K4948" s="19" t="n">
        <v>0</v>
      </c>
      <c r="L4948" s="17" t="s">
        <v>1406</v>
      </c>
    </row>
    <row r="4949" s="11" customFormat="true" ht="10.95" hidden="false" customHeight="true" outlineLevel="0" collapsed="false">
      <c r="A4949" s="16" t="n">
        <v>45321</v>
      </c>
      <c r="B4949" s="17" t="s">
        <v>2596</v>
      </c>
      <c r="C4949" s="17" t="s">
        <v>1593</v>
      </c>
      <c r="D4949" s="17" t="s">
        <v>1407</v>
      </c>
      <c r="E4949" s="17" t="s">
        <v>2615</v>
      </c>
      <c r="F4949" s="17"/>
      <c r="G4949" s="18" t="n">
        <v>21.78</v>
      </c>
      <c r="H4949" s="18" t="n">
        <v>0</v>
      </c>
      <c r="I4949" s="18" t="n">
        <f aca="false">((I4948 + G4949) - H4949)</f>
        <v>2040.39</v>
      </c>
      <c r="J4949" s="18" t="n">
        <v>0</v>
      </c>
      <c r="K4949" s="19" t="n">
        <v>0</v>
      </c>
      <c r="L4949" s="17" t="s">
        <v>1406</v>
      </c>
    </row>
    <row r="4950" s="11" customFormat="true" ht="10.95" hidden="false" customHeight="true" outlineLevel="0" collapsed="false">
      <c r="A4950" s="16" t="n">
        <v>45322</v>
      </c>
      <c r="B4950" s="17" t="s">
        <v>2596</v>
      </c>
      <c r="C4950" s="17" t="s">
        <v>1593</v>
      </c>
      <c r="D4950" s="17" t="s">
        <v>1407</v>
      </c>
      <c r="E4950" s="17" t="s">
        <v>2616</v>
      </c>
      <c r="F4950" s="17"/>
      <c r="G4950" s="18" t="n">
        <v>16.76</v>
      </c>
      <c r="H4950" s="18" t="n">
        <v>0</v>
      </c>
      <c r="I4950" s="18" t="n">
        <f aca="false">((I4949 + G4950) - H4950)</f>
        <v>2057.15</v>
      </c>
      <c r="J4950" s="18" t="n">
        <v>0</v>
      </c>
      <c r="K4950" s="19" t="n">
        <v>0</v>
      </c>
      <c r="L4950" s="17" t="s">
        <v>1406</v>
      </c>
    </row>
    <row r="4951" s="11" customFormat="true" ht="10.95" hidden="false" customHeight="true" outlineLevel="0" collapsed="false">
      <c r="A4951" s="16" t="n">
        <v>45328</v>
      </c>
      <c r="B4951" s="17" t="s">
        <v>2596</v>
      </c>
      <c r="C4951" s="17" t="s">
        <v>1593</v>
      </c>
      <c r="D4951" s="17" t="s">
        <v>1407</v>
      </c>
      <c r="E4951" s="17" t="s">
        <v>2602</v>
      </c>
      <c r="F4951" s="17"/>
      <c r="G4951" s="18" t="n">
        <v>48</v>
      </c>
      <c r="H4951" s="18" t="n">
        <v>0</v>
      </c>
      <c r="I4951" s="18" t="n">
        <f aca="false">((I4950 + G4951) - H4951)</f>
        <v>2105.15</v>
      </c>
      <c r="J4951" s="18" t="n">
        <v>0</v>
      </c>
      <c r="K4951" s="19" t="n">
        <v>0</v>
      </c>
      <c r="L4951" s="17" t="s">
        <v>1406</v>
      </c>
    </row>
    <row r="4952" s="11" customFormat="true" ht="10.95" hidden="false" customHeight="true" outlineLevel="0" collapsed="false">
      <c r="A4952" s="16" t="n">
        <v>45329</v>
      </c>
      <c r="B4952" s="17" t="s">
        <v>2596</v>
      </c>
      <c r="C4952" s="17" t="s">
        <v>1593</v>
      </c>
      <c r="D4952" s="17" t="s">
        <v>1407</v>
      </c>
      <c r="E4952" s="17" t="s">
        <v>2209</v>
      </c>
      <c r="F4952" s="17"/>
      <c r="G4952" s="18" t="n">
        <v>15.15</v>
      </c>
      <c r="H4952" s="18" t="n">
        <v>0</v>
      </c>
      <c r="I4952" s="18" t="n">
        <f aca="false">((I4951 + G4952) - H4952)</f>
        <v>2120.3</v>
      </c>
      <c r="J4952" s="18" t="n">
        <v>1.52</v>
      </c>
      <c r="K4952" s="19" t="n">
        <v>10</v>
      </c>
      <c r="L4952" s="17" t="s">
        <v>44</v>
      </c>
    </row>
    <row r="4953" s="11" customFormat="true" ht="10.95" hidden="false" customHeight="true" outlineLevel="0" collapsed="false">
      <c r="A4953" s="16" t="n">
        <v>45331</v>
      </c>
      <c r="B4953" s="17" t="s">
        <v>2596</v>
      </c>
      <c r="C4953" s="17" t="s">
        <v>1593</v>
      </c>
      <c r="D4953" s="17" t="s">
        <v>1407</v>
      </c>
      <c r="E4953" s="17" t="s">
        <v>2212</v>
      </c>
      <c r="F4953" s="17"/>
      <c r="G4953" s="18" t="n">
        <v>20.3</v>
      </c>
      <c r="H4953" s="18" t="n">
        <v>0</v>
      </c>
      <c r="I4953" s="18" t="n">
        <f aca="false">((I4952 + G4953) - H4953)</f>
        <v>2140.6</v>
      </c>
      <c r="J4953" s="18" t="n">
        <v>0</v>
      </c>
      <c r="K4953" s="19" t="n">
        <v>0</v>
      </c>
      <c r="L4953" s="17" t="s">
        <v>1406</v>
      </c>
    </row>
    <row r="4954" s="11" customFormat="true" ht="10.95" hidden="false" customHeight="true" outlineLevel="0" collapsed="false">
      <c r="A4954" s="16" t="n">
        <v>45332</v>
      </c>
      <c r="B4954" s="17" t="s">
        <v>2596</v>
      </c>
      <c r="C4954" s="17" t="s">
        <v>1593</v>
      </c>
      <c r="D4954" s="17" t="s">
        <v>1407</v>
      </c>
      <c r="E4954" s="17" t="s">
        <v>2213</v>
      </c>
      <c r="F4954" s="17"/>
      <c r="G4954" s="18" t="n">
        <v>19.08</v>
      </c>
      <c r="H4954" s="18" t="n">
        <v>0</v>
      </c>
      <c r="I4954" s="18" t="n">
        <f aca="false">((I4953 + G4954) - H4954)</f>
        <v>2159.68</v>
      </c>
      <c r="J4954" s="18" t="n">
        <v>1.91</v>
      </c>
      <c r="K4954" s="19" t="n">
        <v>10</v>
      </c>
      <c r="L4954" s="17" t="s">
        <v>44</v>
      </c>
    </row>
    <row r="4955" s="11" customFormat="true" ht="10.95" hidden="false" customHeight="true" outlineLevel="0" collapsed="false">
      <c r="A4955" s="16" t="n">
        <v>45335</v>
      </c>
      <c r="B4955" s="17" t="s">
        <v>2596</v>
      </c>
      <c r="C4955" s="17" t="s">
        <v>1593</v>
      </c>
      <c r="D4955" s="17" t="s">
        <v>1407</v>
      </c>
      <c r="E4955" s="17" t="s">
        <v>2212</v>
      </c>
      <c r="F4955" s="17"/>
      <c r="G4955" s="18" t="n">
        <v>20.26</v>
      </c>
      <c r="H4955" s="18" t="n">
        <v>0</v>
      </c>
      <c r="I4955" s="18" t="n">
        <f aca="false">((I4954 + G4955) - H4955)</f>
        <v>2179.94</v>
      </c>
      <c r="J4955" s="18" t="n">
        <v>0</v>
      </c>
      <c r="K4955" s="19" t="n">
        <v>0</v>
      </c>
      <c r="L4955" s="17" t="s">
        <v>1406</v>
      </c>
    </row>
    <row r="4956" s="11" customFormat="true" ht="10.95" hidden="false" customHeight="true" outlineLevel="0" collapsed="false">
      <c r="A4956" s="16" t="n">
        <v>45339</v>
      </c>
      <c r="B4956" s="17" t="s">
        <v>2596</v>
      </c>
      <c r="C4956" s="17" t="s">
        <v>1593</v>
      </c>
      <c r="D4956" s="17" t="s">
        <v>1407</v>
      </c>
      <c r="E4956" s="17" t="s">
        <v>2604</v>
      </c>
      <c r="F4956" s="17"/>
      <c r="G4956" s="18" t="n">
        <v>52.25</v>
      </c>
      <c r="H4956" s="18" t="n">
        <v>0</v>
      </c>
      <c r="I4956" s="18" t="n">
        <f aca="false">((I4955 + G4956) - H4956)</f>
        <v>2232.19</v>
      </c>
      <c r="J4956" s="18" t="n">
        <v>0</v>
      </c>
      <c r="K4956" s="19" t="n">
        <v>0</v>
      </c>
      <c r="L4956" s="17" t="s">
        <v>1406</v>
      </c>
    </row>
    <row r="4957" s="11" customFormat="true" ht="10.95" hidden="false" customHeight="true" outlineLevel="0" collapsed="false">
      <c r="A4957" s="16" t="n">
        <v>45345</v>
      </c>
      <c r="B4957" s="17" t="s">
        <v>2596</v>
      </c>
      <c r="C4957" s="17" t="s">
        <v>1593</v>
      </c>
      <c r="D4957" s="17" t="s">
        <v>1407</v>
      </c>
      <c r="E4957" s="17" t="s">
        <v>2201</v>
      </c>
      <c r="F4957" s="17"/>
      <c r="G4957" s="18" t="n">
        <v>36.35</v>
      </c>
      <c r="H4957" s="18" t="n">
        <v>0</v>
      </c>
      <c r="I4957" s="18" t="n">
        <f aca="false">((I4956 + G4957) - H4957)</f>
        <v>2268.54</v>
      </c>
      <c r="J4957" s="18" t="n">
        <v>3.64</v>
      </c>
      <c r="K4957" s="19" t="n">
        <v>10</v>
      </c>
      <c r="L4957" s="17" t="s">
        <v>44</v>
      </c>
    </row>
    <row r="4958" s="11" customFormat="true" ht="10.95" hidden="false" customHeight="true" outlineLevel="0" collapsed="false">
      <c r="A4958" s="16" t="n">
        <v>45345</v>
      </c>
      <c r="B4958" s="17" t="s">
        <v>2596</v>
      </c>
      <c r="C4958" s="17" t="s">
        <v>1593</v>
      </c>
      <c r="D4958" s="17" t="s">
        <v>1407</v>
      </c>
      <c r="E4958" s="17" t="s">
        <v>2237</v>
      </c>
      <c r="F4958" s="17"/>
      <c r="G4958" s="18" t="n">
        <v>17.72</v>
      </c>
      <c r="H4958" s="18" t="n">
        <v>0</v>
      </c>
      <c r="I4958" s="18" t="n">
        <f aca="false">((I4957 + G4958) - H4958)</f>
        <v>2286.26</v>
      </c>
      <c r="J4958" s="18" t="n">
        <v>1.77</v>
      </c>
      <c r="K4958" s="19" t="n">
        <v>10</v>
      </c>
      <c r="L4958" s="17" t="s">
        <v>44</v>
      </c>
    </row>
    <row r="4959" s="11" customFormat="true" ht="10.95" hidden="false" customHeight="true" outlineLevel="0" collapsed="false">
      <c r="A4959" s="16" t="n">
        <v>45349</v>
      </c>
      <c r="B4959" s="17" t="s">
        <v>2596</v>
      </c>
      <c r="C4959" s="17" t="s">
        <v>1593</v>
      </c>
      <c r="D4959" s="17" t="s">
        <v>1407</v>
      </c>
      <c r="E4959" s="17" t="s">
        <v>2603</v>
      </c>
      <c r="F4959" s="17"/>
      <c r="G4959" s="18" t="n">
        <v>20.9</v>
      </c>
      <c r="H4959" s="18" t="n">
        <v>0</v>
      </c>
      <c r="I4959" s="18" t="n">
        <f aca="false">((I4958 + G4959) - H4959)</f>
        <v>2307.16</v>
      </c>
      <c r="J4959" s="18" t="n">
        <v>2.09</v>
      </c>
      <c r="K4959" s="19" t="n">
        <v>10</v>
      </c>
      <c r="L4959" s="17" t="s">
        <v>44</v>
      </c>
    </row>
    <row r="4960" s="11" customFormat="true" ht="10.95" hidden="false" customHeight="true" outlineLevel="0" collapsed="false">
      <c r="A4960" s="16" t="n">
        <v>45352</v>
      </c>
      <c r="B4960" s="17" t="s">
        <v>2596</v>
      </c>
      <c r="C4960" s="17" t="s">
        <v>1593</v>
      </c>
      <c r="D4960" s="17" t="s">
        <v>1407</v>
      </c>
      <c r="E4960" s="17" t="s">
        <v>2204</v>
      </c>
      <c r="F4960" s="17"/>
      <c r="G4960" s="18" t="n">
        <v>23.03</v>
      </c>
      <c r="H4960" s="18" t="n">
        <v>0</v>
      </c>
      <c r="I4960" s="18" t="n">
        <f aca="false">((I4959 + G4960) - H4960)</f>
        <v>2330.19</v>
      </c>
      <c r="J4960" s="18" t="n">
        <v>0</v>
      </c>
      <c r="K4960" s="19" t="n">
        <v>0</v>
      </c>
      <c r="L4960" s="17" t="s">
        <v>1406</v>
      </c>
    </row>
    <row r="4961" s="11" customFormat="true" ht="10.95" hidden="false" customHeight="true" outlineLevel="0" collapsed="false">
      <c r="A4961" s="16" t="n">
        <v>45354</v>
      </c>
      <c r="B4961" s="17" t="s">
        <v>2596</v>
      </c>
      <c r="C4961" s="17" t="s">
        <v>1593</v>
      </c>
      <c r="D4961" s="17" t="s">
        <v>1407</v>
      </c>
      <c r="E4961" s="17" t="s">
        <v>2201</v>
      </c>
      <c r="F4961" s="17"/>
      <c r="G4961" s="18" t="n">
        <v>36.35</v>
      </c>
      <c r="H4961" s="18" t="n">
        <v>0</v>
      </c>
      <c r="I4961" s="18" t="n">
        <f aca="false">((I4960 + G4961) - H4961)</f>
        <v>2366.54</v>
      </c>
      <c r="J4961" s="18" t="n">
        <v>3.64</v>
      </c>
      <c r="K4961" s="19" t="n">
        <v>10</v>
      </c>
      <c r="L4961" s="17" t="s">
        <v>44</v>
      </c>
    </row>
    <row r="4962" s="11" customFormat="true" ht="10.95" hidden="false" customHeight="true" outlineLevel="0" collapsed="false">
      <c r="A4962" s="16" t="n">
        <v>45356</v>
      </c>
      <c r="B4962" s="17" t="s">
        <v>2596</v>
      </c>
      <c r="C4962" s="17" t="s">
        <v>1593</v>
      </c>
      <c r="D4962" s="17" t="s">
        <v>1407</v>
      </c>
      <c r="E4962" s="17" t="s">
        <v>2602</v>
      </c>
      <c r="F4962" s="17"/>
      <c r="G4962" s="18" t="n">
        <v>48</v>
      </c>
      <c r="H4962" s="18" t="n">
        <v>0</v>
      </c>
      <c r="I4962" s="18" t="n">
        <f aca="false">((I4961 + G4962) - H4962)</f>
        <v>2414.54</v>
      </c>
      <c r="J4962" s="18" t="n">
        <v>0</v>
      </c>
      <c r="K4962" s="19" t="n">
        <v>0</v>
      </c>
      <c r="L4962" s="17" t="s">
        <v>1406</v>
      </c>
    </row>
    <row r="4963" s="11" customFormat="true" ht="10.95" hidden="false" customHeight="true" outlineLevel="0" collapsed="false">
      <c r="A4963" s="16" t="n">
        <v>45358</v>
      </c>
      <c r="B4963" s="17" t="s">
        <v>2596</v>
      </c>
      <c r="C4963" s="17" t="s">
        <v>1593</v>
      </c>
      <c r="D4963" s="17" t="s">
        <v>1407</v>
      </c>
      <c r="E4963" s="17" t="s">
        <v>2209</v>
      </c>
      <c r="F4963" s="17"/>
      <c r="G4963" s="18" t="n">
        <v>14.8</v>
      </c>
      <c r="H4963" s="18" t="n">
        <v>0</v>
      </c>
      <c r="I4963" s="18" t="n">
        <f aca="false">((I4962 + G4963) - H4963)</f>
        <v>2429.34</v>
      </c>
      <c r="J4963" s="18" t="n">
        <v>1.48</v>
      </c>
      <c r="K4963" s="19" t="n">
        <v>10</v>
      </c>
      <c r="L4963" s="17" t="s">
        <v>44</v>
      </c>
    </row>
    <row r="4964" s="11" customFormat="true" ht="10.95" hidden="false" customHeight="true" outlineLevel="0" collapsed="false">
      <c r="A4964" s="16" t="n">
        <v>45360</v>
      </c>
      <c r="B4964" s="17" t="s">
        <v>2596</v>
      </c>
      <c r="C4964" s="17" t="s">
        <v>1593</v>
      </c>
      <c r="D4964" s="17" t="s">
        <v>1407</v>
      </c>
      <c r="E4964" s="17" t="s">
        <v>2204</v>
      </c>
      <c r="F4964" s="17"/>
      <c r="G4964" s="18" t="n">
        <v>19.95</v>
      </c>
      <c r="H4964" s="18" t="n">
        <v>0</v>
      </c>
      <c r="I4964" s="18" t="n">
        <f aca="false">((I4963 + G4964) - H4964)</f>
        <v>2449.29</v>
      </c>
      <c r="J4964" s="18" t="n">
        <v>0</v>
      </c>
      <c r="K4964" s="19" t="n">
        <v>0</v>
      </c>
      <c r="L4964" s="17" t="s">
        <v>1406</v>
      </c>
    </row>
    <row r="4965" s="11" customFormat="true" ht="10.95" hidden="false" customHeight="true" outlineLevel="0" collapsed="false">
      <c r="A4965" s="16" t="n">
        <v>45363</v>
      </c>
      <c r="B4965" s="17" t="s">
        <v>2596</v>
      </c>
      <c r="C4965" s="17" t="s">
        <v>1593</v>
      </c>
      <c r="D4965" s="17" t="s">
        <v>1407</v>
      </c>
      <c r="E4965" s="17" t="s">
        <v>2213</v>
      </c>
      <c r="F4965" s="17"/>
      <c r="G4965" s="18" t="n">
        <v>19.08</v>
      </c>
      <c r="H4965" s="18" t="n">
        <v>0</v>
      </c>
      <c r="I4965" s="18" t="n">
        <f aca="false">((I4964 + G4965) - H4965)</f>
        <v>2468.37</v>
      </c>
      <c r="J4965" s="18" t="n">
        <v>1.91</v>
      </c>
      <c r="K4965" s="19" t="n">
        <v>10</v>
      </c>
      <c r="L4965" s="17" t="s">
        <v>44</v>
      </c>
    </row>
    <row r="4966" s="11" customFormat="true" ht="10.95" hidden="false" customHeight="true" outlineLevel="0" collapsed="false">
      <c r="A4966" s="16" t="n">
        <v>45364</v>
      </c>
      <c r="B4966" s="17" t="s">
        <v>2596</v>
      </c>
      <c r="C4966" s="17" t="s">
        <v>1593</v>
      </c>
      <c r="D4966" s="17" t="s">
        <v>1407</v>
      </c>
      <c r="E4966" s="17" t="s">
        <v>2204</v>
      </c>
      <c r="F4966" s="17"/>
      <c r="G4966" s="18" t="n">
        <v>19.98</v>
      </c>
      <c r="H4966" s="18" t="n">
        <v>0</v>
      </c>
      <c r="I4966" s="18" t="n">
        <f aca="false">((I4965 + G4966) - H4966)</f>
        <v>2488.35</v>
      </c>
      <c r="J4966" s="18" t="n">
        <v>0</v>
      </c>
      <c r="K4966" s="19" t="n">
        <v>0</v>
      </c>
      <c r="L4966" s="17" t="s">
        <v>1406</v>
      </c>
    </row>
    <row r="4967" s="11" customFormat="true" ht="10.95" hidden="false" customHeight="true" outlineLevel="0" collapsed="false">
      <c r="A4967" s="16" t="n">
        <v>45369</v>
      </c>
      <c r="B4967" s="17" t="s">
        <v>2596</v>
      </c>
      <c r="C4967" s="17" t="s">
        <v>1593</v>
      </c>
      <c r="D4967" s="17" t="s">
        <v>1407</v>
      </c>
      <c r="E4967" s="17" t="s">
        <v>2604</v>
      </c>
      <c r="F4967" s="17"/>
      <c r="G4967" s="18" t="n">
        <v>51.93</v>
      </c>
      <c r="H4967" s="18" t="n">
        <v>0</v>
      </c>
      <c r="I4967" s="18" t="n">
        <f aca="false">((I4966 + G4967) - H4967)</f>
        <v>2540.28</v>
      </c>
      <c r="J4967" s="18" t="n">
        <v>0</v>
      </c>
      <c r="K4967" s="19" t="n">
        <v>0</v>
      </c>
      <c r="L4967" s="17" t="s">
        <v>1406</v>
      </c>
    </row>
    <row r="4968" s="11" customFormat="true" ht="10.95" hidden="false" customHeight="true" outlineLevel="0" collapsed="false">
      <c r="A4968" s="16" t="n">
        <v>45374</v>
      </c>
      <c r="B4968" s="17" t="s">
        <v>2596</v>
      </c>
      <c r="C4968" s="17" t="s">
        <v>1593</v>
      </c>
      <c r="D4968" s="17" t="s">
        <v>1407</v>
      </c>
      <c r="E4968" s="17" t="s">
        <v>2237</v>
      </c>
      <c r="F4968" s="17"/>
      <c r="G4968" s="18" t="n">
        <v>17.72</v>
      </c>
      <c r="H4968" s="18" t="n">
        <v>0</v>
      </c>
      <c r="I4968" s="18" t="n">
        <f aca="false">((I4967 + G4968) - H4968)</f>
        <v>2558</v>
      </c>
      <c r="J4968" s="18" t="n">
        <v>1.77</v>
      </c>
      <c r="K4968" s="19" t="n">
        <v>10</v>
      </c>
      <c r="L4968" s="17" t="s">
        <v>44</v>
      </c>
    </row>
    <row r="4969" s="11" customFormat="true" ht="10.95" hidden="false" customHeight="true" outlineLevel="0" collapsed="false">
      <c r="A4969" s="16" t="n">
        <v>45375</v>
      </c>
      <c r="B4969" s="17" t="s">
        <v>2596</v>
      </c>
      <c r="C4969" s="17" t="s">
        <v>1593</v>
      </c>
      <c r="D4969" s="17" t="s">
        <v>1407</v>
      </c>
      <c r="E4969" s="17" t="s">
        <v>2201</v>
      </c>
      <c r="F4969" s="17"/>
      <c r="G4969" s="18" t="n">
        <v>36.35</v>
      </c>
      <c r="H4969" s="18" t="n">
        <v>0</v>
      </c>
      <c r="I4969" s="18" t="n">
        <f aca="false">((I4968 + G4969) - H4969)</f>
        <v>2594.35</v>
      </c>
      <c r="J4969" s="18" t="n">
        <v>3.64</v>
      </c>
      <c r="K4969" s="19" t="n">
        <v>10</v>
      </c>
      <c r="L4969" s="17" t="s">
        <v>44</v>
      </c>
    </row>
    <row r="4970" s="11" customFormat="true" ht="10.95" hidden="false" customHeight="true" outlineLevel="0" collapsed="false">
      <c r="A4970" s="16" t="n">
        <v>45377</v>
      </c>
      <c r="B4970" s="17" t="s">
        <v>2596</v>
      </c>
      <c r="C4970" s="17" t="s">
        <v>1593</v>
      </c>
      <c r="D4970" s="17" t="s">
        <v>1407</v>
      </c>
      <c r="E4970" s="17" t="s">
        <v>2603</v>
      </c>
      <c r="F4970" s="17"/>
      <c r="G4970" s="18" t="n">
        <v>20.9</v>
      </c>
      <c r="H4970" s="18" t="n">
        <v>0</v>
      </c>
      <c r="I4970" s="18" t="n">
        <f aca="false">((I4969 + G4970) - H4970)</f>
        <v>2615.25</v>
      </c>
      <c r="J4970" s="18" t="n">
        <v>2.09</v>
      </c>
      <c r="K4970" s="19" t="n">
        <v>10</v>
      </c>
      <c r="L4970" s="17" t="s">
        <v>44</v>
      </c>
    </row>
    <row r="4971" s="11" customFormat="true" ht="10.95" hidden="false" customHeight="true" outlineLevel="0" collapsed="false">
      <c r="A4971" s="16" t="n">
        <v>45378</v>
      </c>
      <c r="B4971" s="17" t="s">
        <v>2596</v>
      </c>
      <c r="C4971" s="17" t="s">
        <v>1593</v>
      </c>
      <c r="D4971" s="17" t="s">
        <v>1407</v>
      </c>
      <c r="E4971" s="17" t="s">
        <v>2617</v>
      </c>
      <c r="F4971" s="17"/>
      <c r="G4971" s="18" t="n">
        <v>115.24</v>
      </c>
      <c r="H4971" s="18" t="n">
        <v>0</v>
      </c>
      <c r="I4971" s="18" t="n">
        <f aca="false">((I4970 + G4971) - H4971)</f>
        <v>2730.49</v>
      </c>
      <c r="J4971" s="18" t="n">
        <v>0</v>
      </c>
      <c r="K4971" s="19" t="n">
        <v>0</v>
      </c>
      <c r="L4971" s="17" t="s">
        <v>1406</v>
      </c>
    </row>
    <row r="4972" s="11" customFormat="true" ht="10.95" hidden="false" customHeight="true" outlineLevel="0" collapsed="false">
      <c r="A4972" s="16" t="n">
        <v>45381</v>
      </c>
      <c r="B4972" s="17" t="s">
        <v>2596</v>
      </c>
      <c r="C4972" s="17" t="s">
        <v>1593</v>
      </c>
      <c r="D4972" s="17" t="s">
        <v>1407</v>
      </c>
      <c r="E4972" s="17" t="s">
        <v>2204</v>
      </c>
      <c r="F4972" s="17"/>
      <c r="G4972" s="18" t="n">
        <v>22.99</v>
      </c>
      <c r="H4972" s="18" t="n">
        <v>0</v>
      </c>
      <c r="I4972" s="18" t="n">
        <f aca="false">((I4971 + G4972) - H4972)</f>
        <v>2753.48</v>
      </c>
      <c r="J4972" s="18" t="n">
        <v>0</v>
      </c>
      <c r="K4972" s="19" t="n">
        <v>0</v>
      </c>
      <c r="L4972" s="17" t="s">
        <v>1406</v>
      </c>
    </row>
    <row r="4973" s="11" customFormat="true" ht="10.95" hidden="false" customHeight="true" outlineLevel="0" collapsed="false">
      <c r="A4973" s="16" t="n">
        <v>45385</v>
      </c>
      <c r="B4973" s="17" t="s">
        <v>2596</v>
      </c>
      <c r="C4973" s="17" t="s">
        <v>1593</v>
      </c>
      <c r="D4973" s="17" t="s">
        <v>1407</v>
      </c>
      <c r="E4973" s="17" t="s">
        <v>2201</v>
      </c>
      <c r="F4973" s="17"/>
      <c r="G4973" s="18" t="n">
        <v>36.35</v>
      </c>
      <c r="H4973" s="18" t="n">
        <v>0</v>
      </c>
      <c r="I4973" s="18" t="n">
        <f aca="false">((I4972 + G4973) - H4973)</f>
        <v>2789.83</v>
      </c>
      <c r="J4973" s="18" t="n">
        <v>3.64</v>
      </c>
      <c r="K4973" s="19" t="n">
        <v>10</v>
      </c>
      <c r="L4973" s="17" t="s">
        <v>44</v>
      </c>
    </row>
    <row r="4974" s="11" customFormat="true" ht="10.95" hidden="false" customHeight="true" outlineLevel="0" collapsed="false">
      <c r="A4974" s="16" t="n">
        <v>45385</v>
      </c>
      <c r="B4974" s="17" t="s">
        <v>2596</v>
      </c>
      <c r="C4974" s="17" t="s">
        <v>1593</v>
      </c>
      <c r="D4974" s="17" t="s">
        <v>1407</v>
      </c>
      <c r="E4974" s="17" t="s">
        <v>2602</v>
      </c>
      <c r="F4974" s="17"/>
      <c r="G4974" s="18" t="n">
        <v>48</v>
      </c>
      <c r="H4974" s="18" t="n">
        <v>0</v>
      </c>
      <c r="I4974" s="18" t="n">
        <f aca="false">((I4973 + G4974) - H4974)</f>
        <v>2837.83</v>
      </c>
      <c r="J4974" s="18" t="n">
        <v>0</v>
      </c>
      <c r="K4974" s="19" t="n">
        <v>0</v>
      </c>
      <c r="L4974" s="17" t="s">
        <v>1406</v>
      </c>
    </row>
    <row r="4975" s="11" customFormat="true" ht="10.95" hidden="false" customHeight="true" outlineLevel="0" collapsed="false">
      <c r="A4975" s="16" t="n">
        <v>45390</v>
      </c>
      <c r="B4975" s="17" t="s">
        <v>2596</v>
      </c>
      <c r="C4975" s="17" t="s">
        <v>1593</v>
      </c>
      <c r="D4975" s="17" t="s">
        <v>1407</v>
      </c>
      <c r="E4975" s="17" t="s">
        <v>2209</v>
      </c>
      <c r="F4975" s="17"/>
      <c r="G4975" s="18" t="n">
        <v>15.02</v>
      </c>
      <c r="H4975" s="18" t="n">
        <v>0</v>
      </c>
      <c r="I4975" s="18" t="n">
        <f aca="false">((I4974 + G4975) - H4975)</f>
        <v>2852.85</v>
      </c>
      <c r="J4975" s="18" t="n">
        <v>1.5</v>
      </c>
      <c r="K4975" s="19" t="n">
        <v>10</v>
      </c>
      <c r="L4975" s="17" t="s">
        <v>44</v>
      </c>
    </row>
    <row r="4976" s="11" customFormat="true" ht="10.95" hidden="false" customHeight="true" outlineLevel="0" collapsed="false">
      <c r="A4976" s="16" t="n">
        <v>45391</v>
      </c>
      <c r="B4976" s="17" t="s">
        <v>2596</v>
      </c>
      <c r="C4976" s="17" t="s">
        <v>1593</v>
      </c>
      <c r="D4976" s="17" t="s">
        <v>1407</v>
      </c>
      <c r="E4976" s="17" t="s">
        <v>2204</v>
      </c>
      <c r="F4976" s="17"/>
      <c r="G4976" s="18" t="n">
        <v>19.95</v>
      </c>
      <c r="H4976" s="18" t="n">
        <v>0</v>
      </c>
      <c r="I4976" s="18" t="n">
        <f aca="false">((I4975 + G4976) - H4976)</f>
        <v>2872.8</v>
      </c>
      <c r="J4976" s="18" t="n">
        <v>0</v>
      </c>
      <c r="K4976" s="19" t="n">
        <v>0</v>
      </c>
      <c r="L4976" s="17" t="s">
        <v>1406</v>
      </c>
    </row>
    <row r="4977" s="11" customFormat="true" ht="10.95" hidden="false" customHeight="true" outlineLevel="0" collapsed="false">
      <c r="A4977" s="16" t="n">
        <v>45392</v>
      </c>
      <c r="B4977" s="17" t="s">
        <v>2596</v>
      </c>
      <c r="C4977" s="17" t="s">
        <v>1593</v>
      </c>
      <c r="D4977" s="17" t="s">
        <v>1407</v>
      </c>
      <c r="E4977" s="17" t="s">
        <v>2213</v>
      </c>
      <c r="F4977" s="17"/>
      <c r="G4977" s="18" t="n">
        <v>19.08</v>
      </c>
      <c r="H4977" s="18" t="n">
        <v>0</v>
      </c>
      <c r="I4977" s="18" t="n">
        <f aca="false">((I4976 + G4977) - H4977)</f>
        <v>2891.88</v>
      </c>
      <c r="J4977" s="18" t="n">
        <v>1.91</v>
      </c>
      <c r="K4977" s="19" t="n">
        <v>10</v>
      </c>
      <c r="L4977" s="17" t="s">
        <v>44</v>
      </c>
    </row>
    <row r="4978" s="11" customFormat="true" ht="10.95" hidden="false" customHeight="true" outlineLevel="0" collapsed="false">
      <c r="A4978" s="16" t="n">
        <v>45395</v>
      </c>
      <c r="B4978" s="17" t="s">
        <v>2596</v>
      </c>
      <c r="C4978" s="17" t="s">
        <v>1593</v>
      </c>
      <c r="D4978" s="17" t="s">
        <v>1407</v>
      </c>
      <c r="E4978" s="17" t="s">
        <v>2204</v>
      </c>
      <c r="F4978" s="17"/>
      <c r="G4978" s="18" t="n">
        <v>20.42</v>
      </c>
      <c r="H4978" s="18" t="n">
        <v>0</v>
      </c>
      <c r="I4978" s="18" t="n">
        <f aca="false">((I4977 + G4978) - H4978)</f>
        <v>2912.3</v>
      </c>
      <c r="J4978" s="18" t="n">
        <v>0</v>
      </c>
      <c r="K4978" s="19" t="n">
        <v>0</v>
      </c>
      <c r="L4978" s="17" t="s">
        <v>1406</v>
      </c>
    </row>
    <row r="4979" s="11" customFormat="true" ht="10.95" hidden="false" customHeight="true" outlineLevel="0" collapsed="false">
      <c r="A4979" s="16" t="n">
        <v>45398</v>
      </c>
      <c r="B4979" s="17" t="s">
        <v>2596</v>
      </c>
      <c r="C4979" s="17" t="s">
        <v>1593</v>
      </c>
      <c r="D4979" s="17" t="s">
        <v>1407</v>
      </c>
      <c r="E4979" s="17" t="s">
        <v>2604</v>
      </c>
      <c r="F4979" s="17"/>
      <c r="G4979" s="18" t="n">
        <v>53.24</v>
      </c>
      <c r="H4979" s="18" t="n">
        <v>0</v>
      </c>
      <c r="I4979" s="18" t="n">
        <f aca="false">((I4978 + G4979) - H4979)</f>
        <v>2965.54</v>
      </c>
      <c r="J4979" s="18" t="n">
        <v>0</v>
      </c>
      <c r="K4979" s="19" t="n">
        <v>0</v>
      </c>
      <c r="L4979" s="17" t="s">
        <v>1406</v>
      </c>
    </row>
    <row r="4980" s="11" customFormat="true" ht="10.95" hidden="false" customHeight="true" outlineLevel="0" collapsed="false">
      <c r="A4980" s="16" t="n">
        <v>45403</v>
      </c>
      <c r="B4980" s="17" t="s">
        <v>2596</v>
      </c>
      <c r="C4980" s="17" t="s">
        <v>1593</v>
      </c>
      <c r="D4980" s="17" t="s">
        <v>1407</v>
      </c>
      <c r="E4980" s="17" t="s">
        <v>2201</v>
      </c>
      <c r="F4980" s="17"/>
      <c r="G4980" s="18" t="n">
        <v>90.9</v>
      </c>
      <c r="H4980" s="18" t="n">
        <v>0</v>
      </c>
      <c r="I4980" s="18" t="n">
        <f aca="false">((I4979 + G4980) - H4980)</f>
        <v>3056.44</v>
      </c>
      <c r="J4980" s="18" t="n">
        <v>9.09</v>
      </c>
      <c r="K4980" s="19" t="n">
        <v>10</v>
      </c>
      <c r="L4980" s="17" t="s">
        <v>44</v>
      </c>
    </row>
    <row r="4981" s="11" customFormat="true" ht="10.95" hidden="false" customHeight="true" outlineLevel="0" collapsed="false">
      <c r="A4981" s="16" t="n">
        <v>45405</v>
      </c>
      <c r="B4981" s="17" t="s">
        <v>2596</v>
      </c>
      <c r="C4981" s="17" t="s">
        <v>1593</v>
      </c>
      <c r="D4981" s="17" t="s">
        <v>1407</v>
      </c>
      <c r="E4981" s="17" t="s">
        <v>2201</v>
      </c>
      <c r="F4981" s="17"/>
      <c r="G4981" s="18" t="n">
        <v>36.35</v>
      </c>
      <c r="H4981" s="18" t="n">
        <v>0</v>
      </c>
      <c r="I4981" s="18" t="n">
        <f aca="false">((I4980 + G4981) - H4981)</f>
        <v>3092.79</v>
      </c>
      <c r="J4981" s="18" t="n">
        <v>3.64</v>
      </c>
      <c r="K4981" s="19" t="n">
        <v>10</v>
      </c>
      <c r="L4981" s="17" t="s">
        <v>44</v>
      </c>
    </row>
    <row r="4982" s="11" customFormat="true" ht="10.95" hidden="false" customHeight="true" outlineLevel="0" collapsed="false">
      <c r="A4982" s="16" t="n">
        <v>45406</v>
      </c>
      <c r="B4982" s="17" t="s">
        <v>2596</v>
      </c>
      <c r="C4982" s="17" t="s">
        <v>1593</v>
      </c>
      <c r="D4982" s="17" t="s">
        <v>1407</v>
      </c>
      <c r="E4982" s="17" t="s">
        <v>2237</v>
      </c>
      <c r="F4982" s="17"/>
      <c r="G4982" s="18" t="n">
        <v>17.72</v>
      </c>
      <c r="H4982" s="18" t="n">
        <v>0</v>
      </c>
      <c r="I4982" s="18" t="n">
        <f aca="false">((I4981 + G4982) - H4982)</f>
        <v>3110.51</v>
      </c>
      <c r="J4982" s="18" t="n">
        <v>1.77</v>
      </c>
      <c r="K4982" s="19" t="n">
        <v>10</v>
      </c>
      <c r="L4982" s="17" t="s">
        <v>44</v>
      </c>
    </row>
    <row r="4983" s="11" customFormat="true" ht="10.95" hidden="false" customHeight="true" outlineLevel="0" collapsed="false">
      <c r="A4983" s="16" t="n">
        <v>45407</v>
      </c>
      <c r="B4983" s="17" t="s">
        <v>2596</v>
      </c>
      <c r="C4983" s="17" t="s">
        <v>1593</v>
      </c>
      <c r="D4983" s="17" t="s">
        <v>1407</v>
      </c>
      <c r="E4983" s="17" t="s">
        <v>2603</v>
      </c>
      <c r="F4983" s="17"/>
      <c r="G4983" s="18" t="n">
        <v>20.9</v>
      </c>
      <c r="H4983" s="18" t="n">
        <v>0</v>
      </c>
      <c r="I4983" s="18" t="n">
        <f aca="false">((I4982 + G4983) - H4983)</f>
        <v>3131.41</v>
      </c>
      <c r="J4983" s="18" t="n">
        <v>2.09</v>
      </c>
      <c r="K4983" s="19" t="n">
        <v>10</v>
      </c>
      <c r="L4983" s="17" t="s">
        <v>44</v>
      </c>
    </row>
    <row r="4984" s="11" customFormat="true" ht="10.95" hidden="false" customHeight="true" outlineLevel="0" collapsed="false">
      <c r="A4984" s="16" t="n">
        <v>45412</v>
      </c>
      <c r="B4984" s="17" t="s">
        <v>2596</v>
      </c>
      <c r="C4984" s="17" t="s">
        <v>1593</v>
      </c>
      <c r="D4984" s="17" t="s">
        <v>1407</v>
      </c>
      <c r="E4984" s="17" t="s">
        <v>2602</v>
      </c>
      <c r="F4984" s="17"/>
      <c r="G4984" s="18" t="n">
        <v>43.64</v>
      </c>
      <c r="H4984" s="18" t="n">
        <v>0</v>
      </c>
      <c r="I4984" s="18" t="n">
        <f aca="false">((I4983 + G4984) - H4984)</f>
        <v>3175.05</v>
      </c>
      <c r="J4984" s="18" t="n">
        <v>4.36</v>
      </c>
      <c r="K4984" s="19" t="n">
        <v>10</v>
      </c>
      <c r="L4984" s="17" t="s">
        <v>44</v>
      </c>
    </row>
    <row r="4985" s="11" customFormat="true" ht="10.95" hidden="false" customHeight="true" outlineLevel="0" collapsed="false">
      <c r="A4985" s="16" t="n">
        <v>45412</v>
      </c>
      <c r="B4985" s="17" t="s">
        <v>2596</v>
      </c>
      <c r="C4985" s="17" t="s">
        <v>1593</v>
      </c>
      <c r="D4985" s="17" t="s">
        <v>1407</v>
      </c>
      <c r="E4985" s="17" t="s">
        <v>2204</v>
      </c>
      <c r="F4985" s="17"/>
      <c r="G4985" s="18" t="n">
        <v>23.06</v>
      </c>
      <c r="H4985" s="18" t="n">
        <v>0</v>
      </c>
      <c r="I4985" s="18" t="n">
        <f aca="false">((I4984 + G4985) - H4985)</f>
        <v>3198.11</v>
      </c>
      <c r="J4985" s="18" t="n">
        <v>0</v>
      </c>
      <c r="K4985" s="19" t="n">
        <v>0</v>
      </c>
      <c r="L4985" s="17" t="s">
        <v>1406</v>
      </c>
    </row>
    <row r="4986" s="11" customFormat="true" ht="10.95" hidden="false" customHeight="true" outlineLevel="0" collapsed="false">
      <c r="A4986" s="16" t="n">
        <v>45415</v>
      </c>
      <c r="B4986" s="17" t="s">
        <v>2596</v>
      </c>
      <c r="C4986" s="17" t="s">
        <v>1593</v>
      </c>
      <c r="D4986" s="17" t="s">
        <v>1407</v>
      </c>
      <c r="E4986" s="17" t="s">
        <v>2201</v>
      </c>
      <c r="F4986" s="17"/>
      <c r="G4986" s="18" t="n">
        <v>36.35</v>
      </c>
      <c r="H4986" s="18" t="n">
        <v>0</v>
      </c>
      <c r="I4986" s="18" t="n">
        <f aca="false">((I4985 + G4986) - H4986)</f>
        <v>3234.46</v>
      </c>
      <c r="J4986" s="18" t="n">
        <v>3.64</v>
      </c>
      <c r="K4986" s="19" t="n">
        <v>10</v>
      </c>
      <c r="L4986" s="17" t="s">
        <v>44</v>
      </c>
    </row>
    <row r="4987" s="11" customFormat="true" ht="10.95" hidden="false" customHeight="true" outlineLevel="0" collapsed="false">
      <c r="A4987" s="16" t="n">
        <v>45419</v>
      </c>
      <c r="B4987" s="17" t="s">
        <v>2596</v>
      </c>
      <c r="C4987" s="17" t="s">
        <v>1593</v>
      </c>
      <c r="D4987" s="17" t="s">
        <v>1407</v>
      </c>
      <c r="E4987" s="17" t="s">
        <v>2209</v>
      </c>
      <c r="F4987" s="17"/>
      <c r="G4987" s="18" t="n">
        <v>15.03</v>
      </c>
      <c r="H4987" s="18" t="n">
        <v>0</v>
      </c>
      <c r="I4987" s="18" t="n">
        <f aca="false">((I4986 + G4987) - H4987)</f>
        <v>3249.49</v>
      </c>
      <c r="J4987" s="18" t="n">
        <v>1.5</v>
      </c>
      <c r="K4987" s="19" t="n">
        <v>10</v>
      </c>
      <c r="L4987" s="17" t="s">
        <v>44</v>
      </c>
    </row>
    <row r="4988" s="11" customFormat="true" ht="10.95" hidden="false" customHeight="true" outlineLevel="0" collapsed="false">
      <c r="A4988" s="16" t="n">
        <v>45422</v>
      </c>
      <c r="B4988" s="17" t="s">
        <v>2596</v>
      </c>
      <c r="C4988" s="17" t="s">
        <v>1593</v>
      </c>
      <c r="D4988" s="17" t="s">
        <v>1407</v>
      </c>
      <c r="E4988" s="17" t="s">
        <v>2204</v>
      </c>
      <c r="F4988" s="17"/>
      <c r="G4988" s="18" t="n">
        <v>20.02</v>
      </c>
      <c r="H4988" s="18" t="n">
        <v>0</v>
      </c>
      <c r="I4988" s="18" t="n">
        <f aca="false">((I4987 + G4988) - H4988)</f>
        <v>3269.51</v>
      </c>
      <c r="J4988" s="18" t="n">
        <v>0</v>
      </c>
      <c r="K4988" s="19" t="n">
        <v>0</v>
      </c>
      <c r="L4988" s="17" t="s">
        <v>1406</v>
      </c>
    </row>
    <row r="4989" s="11" customFormat="true" ht="10.95" hidden="false" customHeight="true" outlineLevel="0" collapsed="false">
      <c r="A4989" s="16" t="n">
        <v>45422</v>
      </c>
      <c r="B4989" s="17" t="s">
        <v>2596</v>
      </c>
      <c r="C4989" s="17" t="s">
        <v>1593</v>
      </c>
      <c r="D4989" s="17" t="s">
        <v>1407</v>
      </c>
      <c r="E4989" s="17" t="s">
        <v>2213</v>
      </c>
      <c r="F4989" s="17"/>
      <c r="G4989" s="18" t="n">
        <v>19.08</v>
      </c>
      <c r="H4989" s="18" t="n">
        <v>0</v>
      </c>
      <c r="I4989" s="18" t="n">
        <f aca="false">((I4988 + G4989) - H4989)</f>
        <v>3288.59</v>
      </c>
      <c r="J4989" s="18" t="n">
        <v>1.91</v>
      </c>
      <c r="K4989" s="19" t="n">
        <v>10</v>
      </c>
      <c r="L4989" s="17" t="s">
        <v>44</v>
      </c>
    </row>
    <row r="4990" s="11" customFormat="true" ht="10.95" hidden="false" customHeight="true" outlineLevel="0" collapsed="false">
      <c r="A4990" s="16" t="n">
        <v>45425</v>
      </c>
      <c r="B4990" s="17" t="s">
        <v>2596</v>
      </c>
      <c r="C4990" s="17" t="s">
        <v>1593</v>
      </c>
      <c r="D4990" s="17" t="s">
        <v>1407</v>
      </c>
      <c r="E4990" s="17" t="s">
        <v>2204</v>
      </c>
      <c r="F4990" s="17"/>
      <c r="G4990" s="18" t="n">
        <v>19.96</v>
      </c>
      <c r="H4990" s="18" t="n">
        <v>0</v>
      </c>
      <c r="I4990" s="18" t="n">
        <f aca="false">((I4989 + G4990) - H4990)</f>
        <v>3308.55</v>
      </c>
      <c r="J4990" s="18" t="n">
        <v>0</v>
      </c>
      <c r="K4990" s="19" t="n">
        <v>0</v>
      </c>
      <c r="L4990" s="17" t="s">
        <v>1406</v>
      </c>
    </row>
    <row r="4991" s="11" customFormat="true" ht="10.95" hidden="false" customHeight="true" outlineLevel="0" collapsed="false">
      <c r="A4991" s="16" t="n">
        <v>45429</v>
      </c>
      <c r="B4991" s="17" t="s">
        <v>2596</v>
      </c>
      <c r="C4991" s="17" t="s">
        <v>1593</v>
      </c>
      <c r="D4991" s="17" t="s">
        <v>1407</v>
      </c>
      <c r="E4991" s="17" t="s">
        <v>2604</v>
      </c>
      <c r="F4991" s="17"/>
      <c r="G4991" s="18" t="n">
        <v>51.29</v>
      </c>
      <c r="H4991" s="18" t="n">
        <v>0</v>
      </c>
      <c r="I4991" s="18" t="n">
        <f aca="false">((I4990 + G4991) - H4991)</f>
        <v>3359.84</v>
      </c>
      <c r="J4991" s="18" t="n">
        <v>0</v>
      </c>
      <c r="K4991" s="19" t="n">
        <v>0</v>
      </c>
      <c r="L4991" s="17" t="s">
        <v>1406</v>
      </c>
    </row>
    <row r="4992" s="11" customFormat="true" ht="10.95" hidden="false" customHeight="true" outlineLevel="0" collapsed="false">
      <c r="A4992" s="16" t="n">
        <v>45433</v>
      </c>
      <c r="B4992" s="17" t="s">
        <v>2596</v>
      </c>
      <c r="C4992" s="17" t="s">
        <v>1593</v>
      </c>
      <c r="D4992" s="17" t="s">
        <v>1407</v>
      </c>
      <c r="E4992" s="17" t="s">
        <v>2201</v>
      </c>
      <c r="F4992" s="17"/>
      <c r="G4992" s="18" t="n">
        <v>90.9</v>
      </c>
      <c r="H4992" s="18" t="n">
        <v>0</v>
      </c>
      <c r="I4992" s="18" t="n">
        <f aca="false">((I4991 + G4992) - H4992)</f>
        <v>3450.74</v>
      </c>
      <c r="J4992" s="18" t="n">
        <v>9.09</v>
      </c>
      <c r="K4992" s="19" t="n">
        <v>10</v>
      </c>
      <c r="L4992" s="17" t="s">
        <v>44</v>
      </c>
    </row>
    <row r="4993" s="11" customFormat="true" ht="10.95" hidden="false" customHeight="true" outlineLevel="0" collapsed="false">
      <c r="A4993" s="16" t="n">
        <v>45435</v>
      </c>
      <c r="B4993" s="17" t="s">
        <v>2596</v>
      </c>
      <c r="C4993" s="17" t="s">
        <v>1593</v>
      </c>
      <c r="D4993" s="17" t="s">
        <v>1407</v>
      </c>
      <c r="E4993" s="17" t="s">
        <v>2201</v>
      </c>
      <c r="F4993" s="17"/>
      <c r="G4993" s="18" t="n">
        <v>36.35</v>
      </c>
      <c r="H4993" s="18" t="n">
        <v>0</v>
      </c>
      <c r="I4993" s="18" t="n">
        <f aca="false">((I4992 + G4993) - H4993)</f>
        <v>3487.09</v>
      </c>
      <c r="J4993" s="18" t="n">
        <v>3.64</v>
      </c>
      <c r="K4993" s="19" t="n">
        <v>10</v>
      </c>
      <c r="L4993" s="17" t="s">
        <v>44</v>
      </c>
    </row>
    <row r="4994" s="11" customFormat="true" ht="10.95" hidden="false" customHeight="true" outlineLevel="0" collapsed="false">
      <c r="A4994" s="16" t="n">
        <v>45435</v>
      </c>
      <c r="B4994" s="17" t="s">
        <v>2596</v>
      </c>
      <c r="C4994" s="17" t="s">
        <v>1593</v>
      </c>
      <c r="D4994" s="17" t="s">
        <v>1407</v>
      </c>
      <c r="E4994" s="17" t="s">
        <v>2237</v>
      </c>
      <c r="F4994" s="17"/>
      <c r="G4994" s="18" t="n">
        <v>17.72</v>
      </c>
      <c r="H4994" s="18" t="n">
        <v>0</v>
      </c>
      <c r="I4994" s="18" t="n">
        <f aca="false">((I4993 + G4994) - H4994)</f>
        <v>3504.81</v>
      </c>
      <c r="J4994" s="18" t="n">
        <v>1.77</v>
      </c>
      <c r="K4994" s="19" t="n">
        <v>10</v>
      </c>
      <c r="L4994" s="17" t="s">
        <v>44</v>
      </c>
    </row>
    <row r="4995" s="11" customFormat="true" ht="10.95" hidden="false" customHeight="true" outlineLevel="0" collapsed="false">
      <c r="A4995" s="16" t="n">
        <v>45437</v>
      </c>
      <c r="B4995" s="17" t="s">
        <v>2596</v>
      </c>
      <c r="C4995" s="17" t="s">
        <v>1593</v>
      </c>
      <c r="D4995" s="17" t="s">
        <v>1407</v>
      </c>
      <c r="E4995" s="17" t="s">
        <v>2603</v>
      </c>
      <c r="F4995" s="17"/>
      <c r="G4995" s="18" t="n">
        <v>20.9</v>
      </c>
      <c r="H4995" s="18" t="n">
        <v>0</v>
      </c>
      <c r="I4995" s="18" t="n">
        <f aca="false">((I4994 + G4995) - H4995)</f>
        <v>3525.71</v>
      </c>
      <c r="J4995" s="18" t="n">
        <v>2.09</v>
      </c>
      <c r="K4995" s="19" t="n">
        <v>10</v>
      </c>
      <c r="L4995" s="17" t="s">
        <v>44</v>
      </c>
    </row>
    <row r="4996" s="11" customFormat="true" ht="10.95" hidden="false" customHeight="true" outlineLevel="0" collapsed="false">
      <c r="A4996" s="16" t="n">
        <v>45440</v>
      </c>
      <c r="B4996" s="17" t="s">
        <v>2596</v>
      </c>
      <c r="C4996" s="17" t="s">
        <v>1593</v>
      </c>
      <c r="D4996" s="17" t="s">
        <v>1407</v>
      </c>
      <c r="E4996" s="17" t="s">
        <v>2602</v>
      </c>
      <c r="F4996" s="17"/>
      <c r="G4996" s="18" t="n">
        <v>43.64</v>
      </c>
      <c r="H4996" s="18" t="n">
        <v>0</v>
      </c>
      <c r="I4996" s="18" t="n">
        <f aca="false">((I4995 + G4996) - H4996)</f>
        <v>3569.35</v>
      </c>
      <c r="J4996" s="18" t="n">
        <v>4.36</v>
      </c>
      <c r="K4996" s="19" t="n">
        <v>10</v>
      </c>
      <c r="L4996" s="17" t="s">
        <v>44</v>
      </c>
    </row>
    <row r="4997" s="11" customFormat="true" ht="10.95" hidden="false" customHeight="true" outlineLevel="0" collapsed="false">
      <c r="A4997" s="16" t="n">
        <v>45442</v>
      </c>
      <c r="B4997" s="17" t="s">
        <v>2596</v>
      </c>
      <c r="C4997" s="17" t="s">
        <v>1593</v>
      </c>
      <c r="D4997" s="17" t="s">
        <v>1407</v>
      </c>
      <c r="E4997" s="17" t="s">
        <v>2204</v>
      </c>
      <c r="F4997" s="17"/>
      <c r="G4997" s="18" t="n">
        <v>22.6</v>
      </c>
      <c r="H4997" s="18" t="n">
        <v>0</v>
      </c>
      <c r="I4997" s="18" t="n">
        <f aca="false">((I4996 + G4997) - H4997)</f>
        <v>3591.95</v>
      </c>
      <c r="J4997" s="18" t="n">
        <v>0</v>
      </c>
      <c r="K4997" s="19" t="n">
        <v>0</v>
      </c>
      <c r="L4997" s="17" t="s">
        <v>1406</v>
      </c>
    </row>
    <row r="4998" s="11" customFormat="true" ht="10.95" hidden="false" customHeight="true" outlineLevel="0" collapsed="false">
      <c r="A4998" s="16" t="n">
        <v>45446</v>
      </c>
      <c r="B4998" s="17" t="s">
        <v>2596</v>
      </c>
      <c r="C4998" s="17" t="s">
        <v>1593</v>
      </c>
      <c r="D4998" s="17" t="s">
        <v>1407</v>
      </c>
      <c r="E4998" s="17" t="s">
        <v>2201</v>
      </c>
      <c r="F4998" s="17"/>
      <c r="G4998" s="18" t="n">
        <v>36.35</v>
      </c>
      <c r="H4998" s="18" t="n">
        <v>0</v>
      </c>
      <c r="I4998" s="18" t="n">
        <f aca="false">((I4997 + G4998) - H4998)</f>
        <v>3628.3</v>
      </c>
      <c r="J4998" s="18" t="n">
        <v>3.64</v>
      </c>
      <c r="K4998" s="19" t="n">
        <v>10</v>
      </c>
      <c r="L4998" s="17" t="s">
        <v>44</v>
      </c>
    </row>
    <row r="4999" s="11" customFormat="true" ht="10.95" hidden="false" customHeight="true" outlineLevel="0" collapsed="false">
      <c r="A4999" s="16" t="n">
        <v>45450</v>
      </c>
      <c r="B4999" s="17" t="s">
        <v>2596</v>
      </c>
      <c r="C4999" s="17" t="s">
        <v>1593</v>
      </c>
      <c r="D4999" s="17" t="s">
        <v>1407</v>
      </c>
      <c r="E4999" s="17" t="s">
        <v>2209</v>
      </c>
      <c r="F4999" s="17"/>
      <c r="G4999" s="18" t="n">
        <v>15.17</v>
      </c>
      <c r="H4999" s="18" t="n">
        <v>0</v>
      </c>
      <c r="I4999" s="18" t="n">
        <f aca="false">((I4998 + G4999) - H4999)</f>
        <v>3643.47</v>
      </c>
      <c r="J4999" s="18" t="n">
        <v>1.51</v>
      </c>
      <c r="K4999" s="19" t="n">
        <v>10</v>
      </c>
      <c r="L4999" s="17" t="s">
        <v>44</v>
      </c>
    </row>
    <row r="5000" s="11" customFormat="true" ht="10.95" hidden="false" customHeight="true" outlineLevel="0" collapsed="false">
      <c r="A5000" s="16" t="n">
        <v>45453</v>
      </c>
      <c r="B5000" s="17" t="s">
        <v>2596</v>
      </c>
      <c r="C5000" s="17" t="s">
        <v>1593</v>
      </c>
      <c r="D5000" s="17" t="s">
        <v>1407</v>
      </c>
      <c r="E5000" s="17" t="s">
        <v>2204</v>
      </c>
      <c r="F5000" s="17"/>
      <c r="G5000" s="18" t="n">
        <v>20.07</v>
      </c>
      <c r="H5000" s="18" t="n">
        <v>0</v>
      </c>
      <c r="I5000" s="18" t="n">
        <f aca="false">((I4999 + G5000) - H5000)</f>
        <v>3663.54</v>
      </c>
      <c r="J5000" s="18" t="n">
        <v>0</v>
      </c>
      <c r="K5000" s="19" t="n">
        <v>0</v>
      </c>
      <c r="L5000" s="17" t="s">
        <v>1406</v>
      </c>
    </row>
    <row r="5001" s="11" customFormat="true" ht="10.95" hidden="false" customHeight="true" outlineLevel="0" collapsed="false">
      <c r="A5001" s="16" t="n">
        <v>45454</v>
      </c>
      <c r="B5001" s="17" t="s">
        <v>2596</v>
      </c>
      <c r="C5001" s="17" t="s">
        <v>1593</v>
      </c>
      <c r="D5001" s="17" t="s">
        <v>1407</v>
      </c>
      <c r="E5001" s="17" t="s">
        <v>2213</v>
      </c>
      <c r="F5001" s="17"/>
      <c r="G5001" s="18" t="n">
        <v>21.81</v>
      </c>
      <c r="H5001" s="18" t="n">
        <v>0</v>
      </c>
      <c r="I5001" s="18" t="n">
        <f aca="false">((I5000 + G5001) - H5001)</f>
        <v>3685.35</v>
      </c>
      <c r="J5001" s="18" t="n">
        <v>2.18</v>
      </c>
      <c r="K5001" s="19" t="n">
        <v>10</v>
      </c>
      <c r="L5001" s="17" t="s">
        <v>44</v>
      </c>
    </row>
    <row r="5002" s="11" customFormat="true" ht="10.95" hidden="false" customHeight="true" outlineLevel="0" collapsed="false">
      <c r="A5002" s="16" t="n">
        <v>45456</v>
      </c>
      <c r="B5002" s="17" t="s">
        <v>2596</v>
      </c>
      <c r="C5002" s="17" t="s">
        <v>1593</v>
      </c>
      <c r="D5002" s="17" t="s">
        <v>1407</v>
      </c>
      <c r="E5002" s="17" t="s">
        <v>2204</v>
      </c>
      <c r="F5002" s="17"/>
      <c r="G5002" s="18" t="n">
        <v>19.85</v>
      </c>
      <c r="H5002" s="18" t="n">
        <v>0</v>
      </c>
      <c r="I5002" s="18" t="n">
        <f aca="false">((I5001 + G5002) - H5002)</f>
        <v>3705.2</v>
      </c>
      <c r="J5002" s="18" t="n">
        <v>0</v>
      </c>
      <c r="K5002" s="19" t="n">
        <v>0</v>
      </c>
      <c r="L5002" s="17" t="s">
        <v>1406</v>
      </c>
    </row>
    <row r="5003" s="11" customFormat="true" ht="10.95" hidden="false" customHeight="true" outlineLevel="0" collapsed="false">
      <c r="A5003" s="16" t="n">
        <v>45460</v>
      </c>
      <c r="B5003" s="17" t="s">
        <v>2596</v>
      </c>
      <c r="C5003" s="17" t="s">
        <v>1593</v>
      </c>
      <c r="D5003" s="17" t="s">
        <v>1407</v>
      </c>
      <c r="E5003" s="17" t="s">
        <v>2604</v>
      </c>
      <c r="F5003" s="17"/>
      <c r="G5003" s="18" t="n">
        <v>51.85</v>
      </c>
      <c r="H5003" s="18" t="n">
        <v>0</v>
      </c>
      <c r="I5003" s="18" t="n">
        <f aca="false">((I5002 + G5003) - H5003)</f>
        <v>3757.05</v>
      </c>
      <c r="J5003" s="18" t="n">
        <v>0</v>
      </c>
      <c r="K5003" s="19" t="n">
        <v>0</v>
      </c>
      <c r="L5003" s="17" t="s">
        <v>1406</v>
      </c>
    </row>
    <row r="5004" s="11" customFormat="true" ht="10.95" hidden="false" customHeight="true" outlineLevel="0" collapsed="false">
      <c r="A5004" s="16" t="n">
        <v>45464</v>
      </c>
      <c r="B5004" s="17" t="s">
        <v>2596</v>
      </c>
      <c r="C5004" s="17" t="s">
        <v>1593</v>
      </c>
      <c r="D5004" s="17" t="s">
        <v>1407</v>
      </c>
      <c r="E5004" s="17" t="s">
        <v>2201</v>
      </c>
      <c r="F5004" s="17"/>
      <c r="G5004" s="18" t="n">
        <v>90.9</v>
      </c>
      <c r="H5004" s="18" t="n">
        <v>0</v>
      </c>
      <c r="I5004" s="18" t="n">
        <f aca="false">((I5003 + G5004) - H5004)</f>
        <v>3847.95</v>
      </c>
      <c r="J5004" s="18" t="n">
        <v>9.09</v>
      </c>
      <c r="K5004" s="19" t="n">
        <v>10</v>
      </c>
      <c r="L5004" s="17" t="s">
        <v>44</v>
      </c>
    </row>
    <row r="5005" s="11" customFormat="true" ht="10.95" hidden="false" customHeight="true" outlineLevel="0" collapsed="false">
      <c r="A5005" s="16" t="n">
        <v>45466</v>
      </c>
      <c r="B5005" s="17" t="s">
        <v>2596</v>
      </c>
      <c r="C5005" s="17" t="s">
        <v>1593</v>
      </c>
      <c r="D5005" s="17" t="s">
        <v>1407</v>
      </c>
      <c r="E5005" s="17" t="s">
        <v>2201</v>
      </c>
      <c r="F5005" s="17"/>
      <c r="G5005" s="18" t="n">
        <v>36.35</v>
      </c>
      <c r="H5005" s="18" t="n">
        <v>0</v>
      </c>
      <c r="I5005" s="18" t="n">
        <f aca="false">((I5004 + G5005) - H5005)</f>
        <v>3884.3</v>
      </c>
      <c r="J5005" s="18" t="n">
        <v>3.64</v>
      </c>
      <c r="K5005" s="19" t="n">
        <v>10</v>
      </c>
      <c r="L5005" s="17" t="s">
        <v>44</v>
      </c>
    </row>
    <row r="5006" s="11" customFormat="true" ht="10.95" hidden="false" customHeight="true" outlineLevel="0" collapsed="false">
      <c r="A5006" s="16" t="n">
        <v>45468</v>
      </c>
      <c r="B5006" s="17" t="s">
        <v>2596</v>
      </c>
      <c r="C5006" s="17" t="s">
        <v>1593</v>
      </c>
      <c r="D5006" s="17" t="s">
        <v>1407</v>
      </c>
      <c r="E5006" s="17" t="s">
        <v>2237</v>
      </c>
      <c r="F5006" s="17"/>
      <c r="G5006" s="18" t="n">
        <v>19.54</v>
      </c>
      <c r="H5006" s="18" t="n">
        <v>0</v>
      </c>
      <c r="I5006" s="18" t="n">
        <f aca="false">((I5005 + G5006) - H5006)</f>
        <v>3903.84</v>
      </c>
      <c r="J5006" s="18" t="n">
        <v>1.95</v>
      </c>
      <c r="K5006" s="19" t="n">
        <v>10</v>
      </c>
      <c r="L5006" s="17" t="s">
        <v>44</v>
      </c>
    </row>
    <row r="5007" s="11" customFormat="true" ht="10.95" hidden="false" customHeight="true" outlineLevel="0" collapsed="false">
      <c r="A5007" s="16" t="n">
        <v>45468</v>
      </c>
      <c r="B5007" s="17" t="s">
        <v>2596</v>
      </c>
      <c r="C5007" s="17" t="s">
        <v>1593</v>
      </c>
      <c r="D5007" s="17" t="s">
        <v>1407</v>
      </c>
      <c r="E5007" s="17" t="s">
        <v>2603</v>
      </c>
      <c r="F5007" s="17"/>
      <c r="G5007" s="18" t="n">
        <v>23.63</v>
      </c>
      <c r="H5007" s="18" t="n">
        <v>0</v>
      </c>
      <c r="I5007" s="18" t="n">
        <f aca="false">((I5006 + G5007) - H5007)</f>
        <v>3927.47</v>
      </c>
      <c r="J5007" s="18" t="n">
        <v>2.36</v>
      </c>
      <c r="K5007" s="19" t="n">
        <v>10</v>
      </c>
      <c r="L5007" s="17" t="s">
        <v>44</v>
      </c>
    </row>
    <row r="5008" s="11" customFormat="true" ht="10.95" hidden="false" customHeight="true" outlineLevel="0" collapsed="false">
      <c r="A5008" s="16" t="n">
        <v>45468</v>
      </c>
      <c r="B5008" s="17" t="s">
        <v>2596</v>
      </c>
      <c r="C5008" s="17" t="s">
        <v>1593</v>
      </c>
      <c r="D5008" s="17" t="s">
        <v>1407</v>
      </c>
      <c r="E5008" s="17" t="s">
        <v>2602</v>
      </c>
      <c r="F5008" s="17"/>
      <c r="G5008" s="18" t="n">
        <v>43.64</v>
      </c>
      <c r="H5008" s="18" t="n">
        <v>0</v>
      </c>
      <c r="I5008" s="18" t="n">
        <f aca="false">((I5007 + G5008) - H5008)</f>
        <v>3971.11</v>
      </c>
      <c r="J5008" s="18" t="n">
        <v>4.36</v>
      </c>
      <c r="K5008" s="19" t="n">
        <v>10</v>
      </c>
      <c r="L5008" s="17" t="s">
        <v>44</v>
      </c>
    </row>
    <row r="5009" s="11" customFormat="true" ht="10.95" hidden="false" customHeight="true" outlineLevel="0" collapsed="false">
      <c r="A5009" s="16" t="n">
        <v>45473</v>
      </c>
      <c r="B5009" s="17" t="s">
        <v>2596</v>
      </c>
      <c r="C5009" s="17" t="s">
        <v>1593</v>
      </c>
      <c r="D5009" s="17" t="s">
        <v>1396</v>
      </c>
      <c r="E5009" s="17" t="s">
        <v>1611</v>
      </c>
      <c r="F5009" s="17" t="s">
        <v>1612</v>
      </c>
      <c r="G5009" s="18" t="n">
        <v>2977.09</v>
      </c>
      <c r="H5009" s="18" t="n">
        <v>0</v>
      </c>
      <c r="I5009" s="18" t="n">
        <f aca="false">((I5008 + G5009) - H5009)</f>
        <v>6948.2</v>
      </c>
      <c r="J5009" s="18" t="n">
        <v>0</v>
      </c>
      <c r="K5009" s="19" t="n">
        <v>0</v>
      </c>
      <c r="L5009" s="17" t="s">
        <v>1399</v>
      </c>
    </row>
    <row r="5010" s="11" customFormat="true" ht="10.95" hidden="false" customHeight="true" outlineLevel="0" collapsed="false">
      <c r="A5010" s="21" t="s">
        <v>2618</v>
      </c>
      <c r="B5010" s="21"/>
      <c r="C5010" s="21"/>
      <c r="D5010" s="21"/>
      <c r="E5010" s="21"/>
      <c r="F5010" s="21"/>
      <c r="G5010" s="22" t="n">
        <f aca="false">SUM(G4893:G5009)</f>
        <v>6948.2</v>
      </c>
      <c r="H5010" s="22" t="n">
        <f aca="false">SUM(H4893:H5009)</f>
        <v>0</v>
      </c>
      <c r="I5010" s="22" t="n">
        <f aca="false">I5009</f>
        <v>6948.2</v>
      </c>
      <c r="J5010" s="22" t="n">
        <f aca="false">SUM(J4893:J5009)</f>
        <v>214.24</v>
      </c>
      <c r="K5010" s="21"/>
      <c r="L5010" s="21"/>
    </row>
    <row r="5011" s="11" customFormat="true" ht="10.95" hidden="false" customHeight="true" outlineLevel="0" collapsed="false">
      <c r="A5011" s="21" t="s">
        <v>784</v>
      </c>
      <c r="B5011" s="21"/>
      <c r="C5011" s="21"/>
      <c r="D5011" s="21"/>
      <c r="E5011" s="21"/>
      <c r="F5011" s="21"/>
      <c r="G5011" s="22" t="n">
        <v>6948.2</v>
      </c>
      <c r="H5011" s="22" t="n">
        <v>0</v>
      </c>
      <c r="I5011" s="22" t="n">
        <v>0</v>
      </c>
      <c r="J5011" s="22" t="n">
        <v>0</v>
      </c>
      <c r="K5011" s="21"/>
      <c r="L5011" s="21"/>
    </row>
    <row r="5012" s="11" customFormat="true" ht="10.95" hidden="false" customHeight="true" outlineLevel="0" collapsed="false">
      <c r="A5012" s="9" t="s">
        <v>785</v>
      </c>
      <c r="B5012" s="9"/>
      <c r="C5012" s="9"/>
      <c r="D5012" s="9"/>
      <c r="E5012" s="9"/>
      <c r="F5012" s="9"/>
      <c r="G5012" s="10" t="n">
        <v>6948.2</v>
      </c>
      <c r="H5012" s="10" t="n">
        <v>0</v>
      </c>
      <c r="I5012" s="10" t="n">
        <f aca="false">I5009</f>
        <v>6948.2</v>
      </c>
      <c r="J5012" s="10" t="n">
        <v>0</v>
      </c>
      <c r="K5012" s="9"/>
      <c r="L5012" s="9"/>
    </row>
    <row r="5013" customFormat="false" ht="13.35" hidden="false" customHeight="true" outlineLevel="0" collapsed="false"/>
    <row r="5014" s="7" customFormat="true" ht="12.1" hidden="false" customHeight="true" outlineLevel="0" collapsed="false">
      <c r="A5014" s="8" t="s">
        <v>2619</v>
      </c>
      <c r="B5014" s="8"/>
      <c r="C5014" s="8"/>
      <c r="D5014" s="8"/>
      <c r="E5014" s="8"/>
      <c r="F5014" s="8"/>
      <c r="G5014" s="8"/>
      <c r="H5014" s="8"/>
      <c r="I5014" s="8"/>
      <c r="J5014" s="8"/>
      <c r="K5014" s="8"/>
      <c r="L5014" s="8"/>
    </row>
    <row r="5015" s="11" customFormat="true" ht="10.95" hidden="false" customHeight="true" outlineLevel="0" collapsed="false">
      <c r="A5015" s="9" t="s">
        <v>16</v>
      </c>
      <c r="B5015" s="9"/>
      <c r="C5015" s="9"/>
      <c r="D5015" s="9"/>
      <c r="E5015" s="9"/>
      <c r="F5015" s="9"/>
      <c r="G5015" s="10" t="n">
        <v>0</v>
      </c>
      <c r="H5015" s="10" t="n">
        <v>0</v>
      </c>
      <c r="I5015" s="10" t="n">
        <f aca="false">(G5015 - H5015)</f>
        <v>0</v>
      </c>
      <c r="J5015" s="10" t="n">
        <v>0</v>
      </c>
      <c r="K5015" s="9"/>
      <c r="L5015" s="9"/>
    </row>
    <row r="5016" s="11" customFormat="true" ht="10.95" hidden="false" customHeight="true" outlineLevel="0" collapsed="false">
      <c r="A5016" s="12" t="n">
        <v>45108</v>
      </c>
      <c r="B5016" s="13" t="s">
        <v>2620</v>
      </c>
      <c r="C5016" s="13" t="s">
        <v>1593</v>
      </c>
      <c r="D5016" s="13" t="s">
        <v>1391</v>
      </c>
      <c r="E5016" s="13" t="s">
        <v>2621</v>
      </c>
      <c r="F5016" s="13" t="s">
        <v>2622</v>
      </c>
      <c r="G5016" s="14" t="n">
        <v>704.3</v>
      </c>
      <c r="H5016" s="14" t="n">
        <v>0</v>
      </c>
      <c r="I5016" s="14" t="n">
        <f aca="false">((I5015 + G5016) - H5016)</f>
        <v>704.3</v>
      </c>
      <c r="J5016" s="14" t="n">
        <v>70.43</v>
      </c>
      <c r="K5016" s="15" t="n">
        <v>10</v>
      </c>
      <c r="L5016" s="13" t="s">
        <v>44</v>
      </c>
    </row>
    <row r="5017" s="11" customFormat="true" ht="10.95" hidden="false" customHeight="true" outlineLevel="0" collapsed="false">
      <c r="A5017" s="16" t="n">
        <v>45108</v>
      </c>
      <c r="B5017" s="17" t="s">
        <v>2620</v>
      </c>
      <c r="C5017" s="17" t="s">
        <v>1593</v>
      </c>
      <c r="D5017" s="17" t="s">
        <v>1391</v>
      </c>
      <c r="E5017" s="17" t="s">
        <v>2623</v>
      </c>
      <c r="F5017" s="17" t="s">
        <v>2624</v>
      </c>
      <c r="G5017" s="18" t="n">
        <v>52.53</v>
      </c>
      <c r="H5017" s="18" t="n">
        <v>0</v>
      </c>
      <c r="I5017" s="18" t="n">
        <f aca="false">((I5016 + G5017) - H5017)</f>
        <v>756.83</v>
      </c>
      <c r="J5017" s="18" t="n">
        <v>0</v>
      </c>
      <c r="K5017" s="19" t="n">
        <v>0</v>
      </c>
      <c r="L5017" s="17" t="s">
        <v>1406</v>
      </c>
    </row>
    <row r="5018" s="11" customFormat="true" ht="10.95" hidden="false" customHeight="true" outlineLevel="0" collapsed="false">
      <c r="A5018" s="16" t="n">
        <v>45111</v>
      </c>
      <c r="B5018" s="17" t="s">
        <v>2620</v>
      </c>
      <c r="C5018" s="17" t="s">
        <v>1593</v>
      </c>
      <c r="D5018" s="17" t="s">
        <v>1407</v>
      </c>
      <c r="E5018" s="17" t="s">
        <v>2625</v>
      </c>
      <c r="F5018" s="17"/>
      <c r="G5018" s="18" t="n">
        <v>179.68</v>
      </c>
      <c r="H5018" s="18" t="n">
        <v>0</v>
      </c>
      <c r="I5018" s="18" t="n">
        <f aca="false">((I5017 + G5018) - H5018)</f>
        <v>936.51</v>
      </c>
      <c r="J5018" s="18" t="n">
        <v>0</v>
      </c>
      <c r="K5018" s="19" t="n">
        <v>0</v>
      </c>
      <c r="L5018" s="17" t="s">
        <v>1406</v>
      </c>
    </row>
    <row r="5019" s="11" customFormat="true" ht="10.95" hidden="false" customHeight="true" outlineLevel="0" collapsed="false">
      <c r="A5019" s="16" t="n">
        <v>45113</v>
      </c>
      <c r="B5019" s="17" t="s">
        <v>2620</v>
      </c>
      <c r="C5019" s="17" t="s">
        <v>1593</v>
      </c>
      <c r="D5019" s="17" t="s">
        <v>1407</v>
      </c>
      <c r="E5019" s="17" t="s">
        <v>2626</v>
      </c>
      <c r="F5019" s="17"/>
      <c r="G5019" s="18" t="n">
        <v>6.36</v>
      </c>
      <c r="H5019" s="18" t="n">
        <v>0</v>
      </c>
      <c r="I5019" s="18" t="n">
        <f aca="false">((I5018 + G5019) - H5019)</f>
        <v>942.87</v>
      </c>
      <c r="J5019" s="18" t="n">
        <v>0.64</v>
      </c>
      <c r="K5019" s="19" t="n">
        <v>10</v>
      </c>
      <c r="L5019" s="17" t="s">
        <v>44</v>
      </c>
    </row>
    <row r="5020" s="11" customFormat="true" ht="10.95" hidden="false" customHeight="true" outlineLevel="0" collapsed="false">
      <c r="A5020" s="16" t="n">
        <v>45114</v>
      </c>
      <c r="B5020" s="17" t="s">
        <v>2620</v>
      </c>
      <c r="C5020" s="17" t="s">
        <v>1593</v>
      </c>
      <c r="D5020" s="17" t="s">
        <v>1391</v>
      </c>
      <c r="E5020" s="17" t="s">
        <v>2627</v>
      </c>
      <c r="F5020" s="17" t="s">
        <v>2628</v>
      </c>
      <c r="G5020" s="18" t="n">
        <v>743.65</v>
      </c>
      <c r="H5020" s="18" t="n">
        <v>0</v>
      </c>
      <c r="I5020" s="18" t="n">
        <f aca="false">((I5019 + G5020) - H5020)</f>
        <v>1686.52</v>
      </c>
      <c r="J5020" s="18" t="n">
        <v>74.37</v>
      </c>
      <c r="K5020" s="19" t="n">
        <v>10</v>
      </c>
      <c r="L5020" s="17" t="s">
        <v>44</v>
      </c>
    </row>
    <row r="5021" s="11" customFormat="true" ht="10.95" hidden="false" customHeight="true" outlineLevel="0" collapsed="false">
      <c r="A5021" s="16" t="n">
        <v>45114</v>
      </c>
      <c r="B5021" s="17" t="s">
        <v>2620</v>
      </c>
      <c r="C5021" s="17" t="s">
        <v>1593</v>
      </c>
      <c r="D5021" s="17" t="s">
        <v>1407</v>
      </c>
      <c r="E5021" s="17" t="s">
        <v>2626</v>
      </c>
      <c r="F5021" s="17"/>
      <c r="G5021" s="18" t="n">
        <v>6.36</v>
      </c>
      <c r="H5021" s="18" t="n">
        <v>0</v>
      </c>
      <c r="I5021" s="18" t="n">
        <f aca="false">((I5020 + G5021) - H5021)</f>
        <v>1692.88</v>
      </c>
      <c r="J5021" s="18" t="n">
        <v>0.64</v>
      </c>
      <c r="K5021" s="19" t="n">
        <v>10</v>
      </c>
      <c r="L5021" s="17" t="s">
        <v>44</v>
      </c>
    </row>
    <row r="5022" s="11" customFormat="true" ht="10.95" hidden="false" customHeight="true" outlineLevel="0" collapsed="false">
      <c r="A5022" s="16" t="n">
        <v>45117</v>
      </c>
      <c r="B5022" s="17" t="s">
        <v>2620</v>
      </c>
      <c r="C5022" s="17" t="s">
        <v>1593</v>
      </c>
      <c r="D5022" s="17" t="s">
        <v>1391</v>
      </c>
      <c r="E5022" s="17" t="s">
        <v>2629</v>
      </c>
      <c r="F5022" s="17" t="s">
        <v>1642</v>
      </c>
      <c r="G5022" s="18" t="n">
        <v>36.36</v>
      </c>
      <c r="H5022" s="18" t="n">
        <v>0</v>
      </c>
      <c r="I5022" s="18" t="n">
        <f aca="false">((I5021 + G5022) - H5022)</f>
        <v>1729.24</v>
      </c>
      <c r="J5022" s="18" t="n">
        <v>3.64</v>
      </c>
      <c r="K5022" s="19" t="n">
        <v>10</v>
      </c>
      <c r="L5022" s="17" t="s">
        <v>44</v>
      </c>
    </row>
    <row r="5023" s="11" customFormat="true" ht="10.95" hidden="false" customHeight="true" outlineLevel="0" collapsed="false">
      <c r="A5023" s="16" t="n">
        <v>45118</v>
      </c>
      <c r="B5023" s="17" t="s">
        <v>2620</v>
      </c>
      <c r="C5023" s="17" t="s">
        <v>1593</v>
      </c>
      <c r="D5023" s="17" t="s">
        <v>1407</v>
      </c>
      <c r="E5023" s="17" t="s">
        <v>2630</v>
      </c>
      <c r="F5023" s="17"/>
      <c r="G5023" s="18" t="n">
        <v>95.41</v>
      </c>
      <c r="H5023" s="18" t="n">
        <v>0</v>
      </c>
      <c r="I5023" s="18" t="n">
        <f aca="false">((I5022 + G5023) - H5023)</f>
        <v>1824.65</v>
      </c>
      <c r="J5023" s="18" t="n">
        <v>9.54</v>
      </c>
      <c r="K5023" s="19" t="n">
        <v>10</v>
      </c>
      <c r="L5023" s="17" t="s">
        <v>44</v>
      </c>
    </row>
    <row r="5024" s="11" customFormat="true" ht="10.95" hidden="false" customHeight="true" outlineLevel="0" collapsed="false">
      <c r="A5024" s="16" t="n">
        <v>45120</v>
      </c>
      <c r="B5024" s="17" t="s">
        <v>2620</v>
      </c>
      <c r="C5024" s="17" t="s">
        <v>1593</v>
      </c>
      <c r="D5024" s="17" t="s">
        <v>1407</v>
      </c>
      <c r="E5024" s="17" t="s">
        <v>2626</v>
      </c>
      <c r="F5024" s="17"/>
      <c r="G5024" s="18" t="n">
        <v>6.36</v>
      </c>
      <c r="H5024" s="18" t="n">
        <v>0</v>
      </c>
      <c r="I5024" s="18" t="n">
        <f aca="false">((I5023 + G5024) - H5024)</f>
        <v>1831.01</v>
      </c>
      <c r="J5024" s="18" t="n">
        <v>0.64</v>
      </c>
      <c r="K5024" s="19" t="n">
        <v>10</v>
      </c>
      <c r="L5024" s="17" t="s">
        <v>44</v>
      </c>
    </row>
    <row r="5025" s="11" customFormat="true" ht="10.95" hidden="false" customHeight="true" outlineLevel="0" collapsed="false">
      <c r="A5025" s="16" t="n">
        <v>45121</v>
      </c>
      <c r="B5025" s="17" t="s">
        <v>2620</v>
      </c>
      <c r="C5025" s="17" t="s">
        <v>1593</v>
      </c>
      <c r="D5025" s="17" t="s">
        <v>1407</v>
      </c>
      <c r="E5025" s="17" t="s">
        <v>2626</v>
      </c>
      <c r="F5025" s="17"/>
      <c r="G5025" s="18" t="n">
        <v>6.36</v>
      </c>
      <c r="H5025" s="18" t="n">
        <v>0</v>
      </c>
      <c r="I5025" s="18" t="n">
        <f aca="false">((I5024 + G5025) - H5025)</f>
        <v>1837.37</v>
      </c>
      <c r="J5025" s="18" t="n">
        <v>0.64</v>
      </c>
      <c r="K5025" s="19" t="n">
        <v>10</v>
      </c>
      <c r="L5025" s="17" t="s">
        <v>44</v>
      </c>
    </row>
    <row r="5026" s="11" customFormat="true" ht="10.95" hidden="false" customHeight="true" outlineLevel="0" collapsed="false">
      <c r="A5026" s="16" t="n">
        <v>45121</v>
      </c>
      <c r="B5026" s="17" t="s">
        <v>2620</v>
      </c>
      <c r="C5026" s="17" t="s">
        <v>1593</v>
      </c>
      <c r="D5026" s="17" t="s">
        <v>1391</v>
      </c>
      <c r="E5026" s="17" t="s">
        <v>2631</v>
      </c>
      <c r="F5026" s="17" t="s">
        <v>2632</v>
      </c>
      <c r="G5026" s="18" t="n">
        <v>167.13</v>
      </c>
      <c r="H5026" s="18" t="n">
        <v>0</v>
      </c>
      <c r="I5026" s="18" t="n">
        <f aca="false">((I5025 + G5026) - H5026)</f>
        <v>2004.5</v>
      </c>
      <c r="J5026" s="18" t="n">
        <v>16.71</v>
      </c>
      <c r="K5026" s="19" t="n">
        <v>10</v>
      </c>
      <c r="L5026" s="17" t="s">
        <v>44</v>
      </c>
    </row>
    <row r="5027" s="11" customFormat="true" ht="10.95" hidden="false" customHeight="true" outlineLevel="0" collapsed="false">
      <c r="A5027" s="16" t="n">
        <v>45127</v>
      </c>
      <c r="B5027" s="17" t="s">
        <v>2620</v>
      </c>
      <c r="C5027" s="17" t="s">
        <v>1593</v>
      </c>
      <c r="D5027" s="17" t="s">
        <v>1407</v>
      </c>
      <c r="E5027" s="17" t="s">
        <v>2626</v>
      </c>
      <c r="F5027" s="17"/>
      <c r="G5027" s="18" t="n">
        <v>6.36</v>
      </c>
      <c r="H5027" s="18" t="n">
        <v>0</v>
      </c>
      <c r="I5027" s="18" t="n">
        <f aca="false">((I5026 + G5027) - H5027)</f>
        <v>2010.86</v>
      </c>
      <c r="J5027" s="18" t="n">
        <v>0.64</v>
      </c>
      <c r="K5027" s="19" t="n">
        <v>10</v>
      </c>
      <c r="L5027" s="17" t="s">
        <v>44</v>
      </c>
    </row>
    <row r="5028" s="11" customFormat="true" ht="10.95" hidden="false" customHeight="true" outlineLevel="0" collapsed="false">
      <c r="A5028" s="16" t="n">
        <v>45128</v>
      </c>
      <c r="B5028" s="17" t="s">
        <v>2620</v>
      </c>
      <c r="C5028" s="17" t="s">
        <v>1593</v>
      </c>
      <c r="D5028" s="17" t="s">
        <v>1407</v>
      </c>
      <c r="E5028" s="17" t="s">
        <v>2626</v>
      </c>
      <c r="F5028" s="17"/>
      <c r="G5028" s="18" t="n">
        <v>6.36</v>
      </c>
      <c r="H5028" s="18" t="n">
        <v>0</v>
      </c>
      <c r="I5028" s="18" t="n">
        <f aca="false">((I5027 + G5028) - H5028)</f>
        <v>2017.22</v>
      </c>
      <c r="J5028" s="18" t="n">
        <v>0.64</v>
      </c>
      <c r="K5028" s="19" t="n">
        <v>10</v>
      </c>
      <c r="L5028" s="17" t="s">
        <v>44</v>
      </c>
    </row>
    <row r="5029" s="11" customFormat="true" ht="10.95" hidden="false" customHeight="true" outlineLevel="0" collapsed="false">
      <c r="A5029" s="16" t="n">
        <v>45134</v>
      </c>
      <c r="B5029" s="17" t="s">
        <v>2620</v>
      </c>
      <c r="C5029" s="17" t="s">
        <v>1593</v>
      </c>
      <c r="D5029" s="17" t="s">
        <v>1407</v>
      </c>
      <c r="E5029" s="17" t="s">
        <v>2626</v>
      </c>
      <c r="F5029" s="17"/>
      <c r="G5029" s="18" t="n">
        <v>6.36</v>
      </c>
      <c r="H5029" s="18" t="n">
        <v>0</v>
      </c>
      <c r="I5029" s="18" t="n">
        <f aca="false">((I5028 + G5029) - H5029)</f>
        <v>2023.58</v>
      </c>
      <c r="J5029" s="18" t="n">
        <v>0.64</v>
      </c>
      <c r="K5029" s="19" t="n">
        <v>10</v>
      </c>
      <c r="L5029" s="17" t="s">
        <v>44</v>
      </c>
    </row>
    <row r="5030" s="11" customFormat="true" ht="10.95" hidden="false" customHeight="true" outlineLevel="0" collapsed="false">
      <c r="A5030" s="16" t="n">
        <v>45135</v>
      </c>
      <c r="B5030" s="17" t="s">
        <v>2620</v>
      </c>
      <c r="C5030" s="17" t="s">
        <v>1593</v>
      </c>
      <c r="D5030" s="17" t="s">
        <v>1407</v>
      </c>
      <c r="E5030" s="17" t="s">
        <v>2626</v>
      </c>
      <c r="F5030" s="17"/>
      <c r="G5030" s="18" t="n">
        <v>6.36</v>
      </c>
      <c r="H5030" s="18" t="n">
        <v>0</v>
      </c>
      <c r="I5030" s="18" t="n">
        <f aca="false">((I5029 + G5030) - H5030)</f>
        <v>2029.94</v>
      </c>
      <c r="J5030" s="18" t="n">
        <v>0.64</v>
      </c>
      <c r="K5030" s="19" t="n">
        <v>10</v>
      </c>
      <c r="L5030" s="17" t="s">
        <v>44</v>
      </c>
    </row>
    <row r="5031" s="11" customFormat="true" ht="10.95" hidden="false" customHeight="true" outlineLevel="0" collapsed="false">
      <c r="A5031" s="16" t="n">
        <v>45135</v>
      </c>
      <c r="B5031" s="17" t="s">
        <v>2620</v>
      </c>
      <c r="C5031" s="17" t="s">
        <v>1593</v>
      </c>
      <c r="D5031" s="17" t="s">
        <v>1407</v>
      </c>
      <c r="E5031" s="17" t="s">
        <v>2633</v>
      </c>
      <c r="F5031" s="17"/>
      <c r="G5031" s="18" t="n">
        <v>856.53</v>
      </c>
      <c r="H5031" s="18" t="n">
        <v>0</v>
      </c>
      <c r="I5031" s="18" t="n">
        <f aca="false">((I5030 + G5031) - H5031)</f>
        <v>2886.47</v>
      </c>
      <c r="J5031" s="18" t="n">
        <v>85.65</v>
      </c>
      <c r="K5031" s="19" t="n">
        <v>10</v>
      </c>
      <c r="L5031" s="17" t="s">
        <v>44</v>
      </c>
    </row>
    <row r="5032" s="11" customFormat="true" ht="10.95" hidden="false" customHeight="true" outlineLevel="0" collapsed="false">
      <c r="A5032" s="16" t="n">
        <v>45139</v>
      </c>
      <c r="B5032" s="17" t="s">
        <v>2620</v>
      </c>
      <c r="C5032" s="17" t="s">
        <v>1593</v>
      </c>
      <c r="D5032" s="17" t="s">
        <v>1391</v>
      </c>
      <c r="E5032" s="17" t="s">
        <v>2634</v>
      </c>
      <c r="F5032" s="17" t="s">
        <v>2635</v>
      </c>
      <c r="G5032" s="18" t="n">
        <v>678.1</v>
      </c>
      <c r="H5032" s="18" t="n">
        <v>0</v>
      </c>
      <c r="I5032" s="18" t="n">
        <f aca="false">((I5031 + G5032) - H5032)</f>
        <v>3564.57</v>
      </c>
      <c r="J5032" s="18" t="n">
        <v>67.81</v>
      </c>
      <c r="K5032" s="19" t="n">
        <v>10</v>
      </c>
      <c r="L5032" s="17" t="s">
        <v>44</v>
      </c>
    </row>
    <row r="5033" s="11" customFormat="true" ht="10.95" hidden="false" customHeight="true" outlineLevel="0" collapsed="false">
      <c r="A5033" s="16" t="n">
        <v>45140</v>
      </c>
      <c r="B5033" s="17" t="s">
        <v>2620</v>
      </c>
      <c r="C5033" s="17" t="s">
        <v>1593</v>
      </c>
      <c r="D5033" s="17" t="s">
        <v>1407</v>
      </c>
      <c r="E5033" s="17" t="s">
        <v>2626</v>
      </c>
      <c r="F5033" s="17"/>
      <c r="G5033" s="18" t="n">
        <v>6.36</v>
      </c>
      <c r="H5033" s="18" t="n">
        <v>0</v>
      </c>
      <c r="I5033" s="18" t="n">
        <f aca="false">((I5032 + G5033) - H5033)</f>
        <v>3570.93</v>
      </c>
      <c r="J5033" s="18" t="n">
        <v>0.64</v>
      </c>
      <c r="K5033" s="19" t="n">
        <v>10</v>
      </c>
      <c r="L5033" s="17" t="s">
        <v>44</v>
      </c>
    </row>
    <row r="5034" s="11" customFormat="true" ht="10.95" hidden="false" customHeight="true" outlineLevel="0" collapsed="false">
      <c r="A5034" s="16" t="n">
        <v>45141</v>
      </c>
      <c r="B5034" s="17" t="s">
        <v>2620</v>
      </c>
      <c r="C5034" s="17" t="s">
        <v>1593</v>
      </c>
      <c r="D5034" s="17" t="s">
        <v>1407</v>
      </c>
      <c r="E5034" s="17" t="s">
        <v>2626</v>
      </c>
      <c r="F5034" s="17"/>
      <c r="G5034" s="18" t="n">
        <v>6.36</v>
      </c>
      <c r="H5034" s="18" t="n">
        <v>0</v>
      </c>
      <c r="I5034" s="18" t="n">
        <f aca="false">((I5033 + G5034) - H5034)</f>
        <v>3577.29</v>
      </c>
      <c r="J5034" s="18" t="n">
        <v>0.64</v>
      </c>
      <c r="K5034" s="19" t="n">
        <v>10</v>
      </c>
      <c r="L5034" s="17" t="s">
        <v>44</v>
      </c>
    </row>
    <row r="5035" s="11" customFormat="true" ht="10.95" hidden="false" customHeight="true" outlineLevel="0" collapsed="false">
      <c r="A5035" s="16" t="n">
        <v>45142</v>
      </c>
      <c r="B5035" s="17" t="s">
        <v>2620</v>
      </c>
      <c r="C5035" s="17" t="s">
        <v>1593</v>
      </c>
      <c r="D5035" s="17" t="s">
        <v>1407</v>
      </c>
      <c r="E5035" s="17" t="s">
        <v>2296</v>
      </c>
      <c r="F5035" s="17"/>
      <c r="G5035" s="18" t="n">
        <v>178.66</v>
      </c>
      <c r="H5035" s="18" t="n">
        <v>0</v>
      </c>
      <c r="I5035" s="18" t="n">
        <f aca="false">((I5034 + G5035) - H5035)</f>
        <v>3755.95</v>
      </c>
      <c r="J5035" s="18" t="n">
        <v>0</v>
      </c>
      <c r="K5035" s="19" t="n">
        <v>0</v>
      </c>
      <c r="L5035" s="17" t="s">
        <v>1406</v>
      </c>
    </row>
    <row r="5036" s="11" customFormat="true" ht="10.95" hidden="false" customHeight="true" outlineLevel="0" collapsed="false">
      <c r="A5036" s="16" t="n">
        <v>45146</v>
      </c>
      <c r="B5036" s="17" t="s">
        <v>2620</v>
      </c>
      <c r="C5036" s="17" t="s">
        <v>1593</v>
      </c>
      <c r="D5036" s="17" t="s">
        <v>1407</v>
      </c>
      <c r="E5036" s="17" t="s">
        <v>2626</v>
      </c>
      <c r="F5036" s="17"/>
      <c r="G5036" s="18" t="n">
        <v>6.36</v>
      </c>
      <c r="H5036" s="18" t="n">
        <v>0</v>
      </c>
      <c r="I5036" s="18" t="n">
        <f aca="false">((I5035 + G5036) - H5036)</f>
        <v>3762.31</v>
      </c>
      <c r="J5036" s="18" t="n">
        <v>0.64</v>
      </c>
      <c r="K5036" s="19" t="n">
        <v>10</v>
      </c>
      <c r="L5036" s="17" t="s">
        <v>44</v>
      </c>
    </row>
    <row r="5037" s="11" customFormat="true" ht="10.95" hidden="false" customHeight="true" outlineLevel="0" collapsed="false">
      <c r="A5037" s="16" t="n">
        <v>45147</v>
      </c>
      <c r="B5037" s="17" t="s">
        <v>2620</v>
      </c>
      <c r="C5037" s="17" t="s">
        <v>1593</v>
      </c>
      <c r="D5037" s="17" t="s">
        <v>1391</v>
      </c>
      <c r="E5037" s="17" t="s">
        <v>2636</v>
      </c>
      <c r="F5037" s="17" t="s">
        <v>1642</v>
      </c>
      <c r="G5037" s="18" t="n">
        <v>36.36</v>
      </c>
      <c r="H5037" s="18" t="n">
        <v>0</v>
      </c>
      <c r="I5037" s="18" t="n">
        <f aca="false">((I5036 + G5037) - H5037)</f>
        <v>3798.67</v>
      </c>
      <c r="J5037" s="18" t="n">
        <v>3.64</v>
      </c>
      <c r="K5037" s="19" t="n">
        <v>10</v>
      </c>
      <c r="L5037" s="17" t="s">
        <v>44</v>
      </c>
    </row>
    <row r="5038" s="11" customFormat="true" ht="10.95" hidden="false" customHeight="true" outlineLevel="0" collapsed="false">
      <c r="A5038" s="16" t="n">
        <v>45147</v>
      </c>
      <c r="B5038" s="17" t="s">
        <v>2620</v>
      </c>
      <c r="C5038" s="17" t="s">
        <v>1593</v>
      </c>
      <c r="D5038" s="17" t="s">
        <v>1407</v>
      </c>
      <c r="E5038" s="17" t="s">
        <v>2626</v>
      </c>
      <c r="F5038" s="17"/>
      <c r="G5038" s="18" t="n">
        <v>6.36</v>
      </c>
      <c r="H5038" s="18" t="n">
        <v>0</v>
      </c>
      <c r="I5038" s="18" t="n">
        <f aca="false">((I5037 + G5038) - H5038)</f>
        <v>3805.03</v>
      </c>
      <c r="J5038" s="18" t="n">
        <v>0.64</v>
      </c>
      <c r="K5038" s="19" t="n">
        <v>10</v>
      </c>
      <c r="L5038" s="17" t="s">
        <v>44</v>
      </c>
    </row>
    <row r="5039" s="11" customFormat="true" ht="10.95" hidden="false" customHeight="true" outlineLevel="0" collapsed="false">
      <c r="A5039" s="16" t="n">
        <v>45152</v>
      </c>
      <c r="B5039" s="17" t="s">
        <v>2620</v>
      </c>
      <c r="C5039" s="17" t="s">
        <v>1593</v>
      </c>
      <c r="D5039" s="17" t="s">
        <v>1391</v>
      </c>
      <c r="E5039" s="17" t="s">
        <v>2637</v>
      </c>
      <c r="F5039" s="17" t="s">
        <v>2638</v>
      </c>
      <c r="G5039" s="18" t="n">
        <v>161.06</v>
      </c>
      <c r="H5039" s="18" t="n">
        <v>0</v>
      </c>
      <c r="I5039" s="18" t="n">
        <f aca="false">((I5038 + G5039) - H5039)</f>
        <v>3966.09</v>
      </c>
      <c r="J5039" s="18" t="n">
        <v>16.11</v>
      </c>
      <c r="K5039" s="19" t="n">
        <v>10</v>
      </c>
      <c r="L5039" s="17" t="s">
        <v>44</v>
      </c>
    </row>
    <row r="5040" s="11" customFormat="true" ht="10.95" hidden="false" customHeight="true" outlineLevel="0" collapsed="false">
      <c r="A5040" s="16" t="n">
        <v>45153</v>
      </c>
      <c r="B5040" s="17" t="s">
        <v>2620</v>
      </c>
      <c r="C5040" s="17" t="s">
        <v>1593</v>
      </c>
      <c r="D5040" s="17" t="s">
        <v>1407</v>
      </c>
      <c r="E5040" s="17" t="s">
        <v>2626</v>
      </c>
      <c r="F5040" s="17"/>
      <c r="G5040" s="18" t="n">
        <v>6.36</v>
      </c>
      <c r="H5040" s="18" t="n">
        <v>0</v>
      </c>
      <c r="I5040" s="18" t="n">
        <f aca="false">((I5039 + G5040) - H5040)</f>
        <v>3972.45</v>
      </c>
      <c r="J5040" s="18" t="n">
        <v>0.64</v>
      </c>
      <c r="K5040" s="19" t="n">
        <v>10</v>
      </c>
      <c r="L5040" s="17" t="s">
        <v>44</v>
      </c>
    </row>
    <row r="5041" s="11" customFormat="true" ht="10.95" hidden="false" customHeight="true" outlineLevel="0" collapsed="false">
      <c r="A5041" s="16" t="n">
        <v>45154</v>
      </c>
      <c r="B5041" s="17" t="s">
        <v>2620</v>
      </c>
      <c r="C5041" s="17" t="s">
        <v>1593</v>
      </c>
      <c r="D5041" s="17" t="s">
        <v>1407</v>
      </c>
      <c r="E5041" s="17" t="s">
        <v>2626</v>
      </c>
      <c r="F5041" s="17"/>
      <c r="G5041" s="18" t="n">
        <v>6.36</v>
      </c>
      <c r="H5041" s="18" t="n">
        <v>0</v>
      </c>
      <c r="I5041" s="18" t="n">
        <f aca="false">((I5040 + G5041) - H5041)</f>
        <v>3978.81</v>
      </c>
      <c r="J5041" s="18" t="n">
        <v>0.64</v>
      </c>
      <c r="K5041" s="19" t="n">
        <v>10</v>
      </c>
      <c r="L5041" s="17" t="s">
        <v>44</v>
      </c>
    </row>
    <row r="5042" s="11" customFormat="true" ht="10.95" hidden="false" customHeight="true" outlineLevel="0" collapsed="false">
      <c r="A5042" s="16" t="n">
        <v>45155</v>
      </c>
      <c r="B5042" s="17" t="s">
        <v>2620</v>
      </c>
      <c r="C5042" s="17" t="s">
        <v>1593</v>
      </c>
      <c r="D5042" s="17" t="s">
        <v>1391</v>
      </c>
      <c r="E5042" s="17" t="s">
        <v>2639</v>
      </c>
      <c r="F5042" s="17" t="s">
        <v>2640</v>
      </c>
      <c r="G5042" s="18" t="n">
        <v>421.68</v>
      </c>
      <c r="H5042" s="18" t="n">
        <v>0</v>
      </c>
      <c r="I5042" s="18" t="n">
        <f aca="false">((I5041 + G5042) - H5042)</f>
        <v>4400.49</v>
      </c>
      <c r="J5042" s="18" t="n">
        <v>42.17</v>
      </c>
      <c r="K5042" s="19" t="n">
        <v>10</v>
      </c>
      <c r="L5042" s="17" t="s">
        <v>44</v>
      </c>
    </row>
    <row r="5043" s="11" customFormat="true" ht="10.95" hidden="false" customHeight="true" outlineLevel="0" collapsed="false">
      <c r="A5043" s="16" t="n">
        <v>45160</v>
      </c>
      <c r="B5043" s="17" t="s">
        <v>2620</v>
      </c>
      <c r="C5043" s="17" t="s">
        <v>1593</v>
      </c>
      <c r="D5043" s="17" t="s">
        <v>1407</v>
      </c>
      <c r="E5043" s="17" t="s">
        <v>2626</v>
      </c>
      <c r="F5043" s="17"/>
      <c r="G5043" s="18" t="n">
        <v>6.36</v>
      </c>
      <c r="H5043" s="18" t="n">
        <v>0</v>
      </c>
      <c r="I5043" s="18" t="n">
        <f aca="false">((I5042 + G5043) - H5043)</f>
        <v>4406.85</v>
      </c>
      <c r="J5043" s="18" t="n">
        <v>0.64</v>
      </c>
      <c r="K5043" s="19" t="n">
        <v>10</v>
      </c>
      <c r="L5043" s="17" t="s">
        <v>44</v>
      </c>
    </row>
    <row r="5044" s="11" customFormat="true" ht="10.95" hidden="false" customHeight="true" outlineLevel="0" collapsed="false">
      <c r="A5044" s="16" t="n">
        <v>45161</v>
      </c>
      <c r="B5044" s="17" t="s">
        <v>2620</v>
      </c>
      <c r="C5044" s="17" t="s">
        <v>1593</v>
      </c>
      <c r="D5044" s="17" t="s">
        <v>1407</v>
      </c>
      <c r="E5044" s="17" t="s">
        <v>2626</v>
      </c>
      <c r="F5044" s="17"/>
      <c r="G5044" s="18" t="n">
        <v>6.36</v>
      </c>
      <c r="H5044" s="18" t="n">
        <v>0</v>
      </c>
      <c r="I5044" s="18" t="n">
        <f aca="false">((I5043 + G5044) - H5044)</f>
        <v>4413.21</v>
      </c>
      <c r="J5044" s="18" t="n">
        <v>0.64</v>
      </c>
      <c r="K5044" s="19" t="n">
        <v>10</v>
      </c>
      <c r="L5044" s="17" t="s">
        <v>44</v>
      </c>
    </row>
    <row r="5045" s="11" customFormat="true" ht="10.95" hidden="false" customHeight="true" outlineLevel="0" collapsed="false">
      <c r="A5045" s="16" t="n">
        <v>45163</v>
      </c>
      <c r="B5045" s="17" t="s">
        <v>2620</v>
      </c>
      <c r="C5045" s="17" t="s">
        <v>1593</v>
      </c>
      <c r="D5045" s="17" t="s">
        <v>1407</v>
      </c>
      <c r="E5045" s="17" t="s">
        <v>2630</v>
      </c>
      <c r="F5045" s="17"/>
      <c r="G5045" s="18" t="n">
        <v>95.41</v>
      </c>
      <c r="H5045" s="18" t="n">
        <v>0</v>
      </c>
      <c r="I5045" s="18" t="n">
        <f aca="false">((I5044 + G5045) - H5045)</f>
        <v>4508.62</v>
      </c>
      <c r="J5045" s="18" t="n">
        <v>9.54</v>
      </c>
      <c r="K5045" s="19" t="n">
        <v>10</v>
      </c>
      <c r="L5045" s="17" t="s">
        <v>44</v>
      </c>
    </row>
    <row r="5046" s="11" customFormat="true" ht="10.95" hidden="false" customHeight="true" outlineLevel="0" collapsed="false">
      <c r="A5046" s="16" t="n">
        <v>45167</v>
      </c>
      <c r="B5046" s="17" t="s">
        <v>2620</v>
      </c>
      <c r="C5046" s="17" t="s">
        <v>1593</v>
      </c>
      <c r="D5046" s="17" t="s">
        <v>1407</v>
      </c>
      <c r="E5046" s="17" t="s">
        <v>2626</v>
      </c>
      <c r="F5046" s="17"/>
      <c r="G5046" s="18" t="n">
        <v>6.36</v>
      </c>
      <c r="H5046" s="18" t="n">
        <v>0</v>
      </c>
      <c r="I5046" s="18" t="n">
        <f aca="false">((I5045 + G5046) - H5046)</f>
        <v>4514.98</v>
      </c>
      <c r="J5046" s="18" t="n">
        <v>0.64</v>
      </c>
      <c r="K5046" s="19" t="n">
        <v>10</v>
      </c>
      <c r="L5046" s="17" t="s">
        <v>44</v>
      </c>
    </row>
    <row r="5047" s="11" customFormat="true" ht="10.95" hidden="false" customHeight="true" outlineLevel="0" collapsed="false">
      <c r="A5047" s="16" t="n">
        <v>45168</v>
      </c>
      <c r="B5047" s="17" t="s">
        <v>2620</v>
      </c>
      <c r="C5047" s="17" t="s">
        <v>1593</v>
      </c>
      <c r="D5047" s="17" t="s">
        <v>1407</v>
      </c>
      <c r="E5047" s="17" t="s">
        <v>2626</v>
      </c>
      <c r="F5047" s="17"/>
      <c r="G5047" s="18" t="n">
        <v>6.36</v>
      </c>
      <c r="H5047" s="18" t="n">
        <v>0</v>
      </c>
      <c r="I5047" s="18" t="n">
        <f aca="false">((I5046 + G5047) - H5047)</f>
        <v>4521.34</v>
      </c>
      <c r="J5047" s="18" t="n">
        <v>0.64</v>
      </c>
      <c r="K5047" s="19" t="n">
        <v>10</v>
      </c>
      <c r="L5047" s="17" t="s">
        <v>44</v>
      </c>
    </row>
    <row r="5048" s="11" customFormat="true" ht="10.95" hidden="false" customHeight="true" outlineLevel="0" collapsed="false">
      <c r="A5048" s="16" t="n">
        <v>45170</v>
      </c>
      <c r="B5048" s="17" t="s">
        <v>2620</v>
      </c>
      <c r="C5048" s="17" t="s">
        <v>1593</v>
      </c>
      <c r="D5048" s="17" t="s">
        <v>1391</v>
      </c>
      <c r="E5048" s="17" t="s">
        <v>2641</v>
      </c>
      <c r="F5048" s="17" t="s">
        <v>2642</v>
      </c>
      <c r="G5048" s="18" t="n">
        <v>665</v>
      </c>
      <c r="H5048" s="18" t="n">
        <v>0</v>
      </c>
      <c r="I5048" s="18" t="n">
        <f aca="false">((I5047 + G5048) - H5048)</f>
        <v>5186.34</v>
      </c>
      <c r="J5048" s="18" t="n">
        <v>66.5</v>
      </c>
      <c r="K5048" s="19" t="n">
        <v>10</v>
      </c>
      <c r="L5048" s="17" t="s">
        <v>44</v>
      </c>
    </row>
    <row r="5049" s="11" customFormat="true" ht="10.95" hidden="false" customHeight="true" outlineLevel="0" collapsed="false">
      <c r="A5049" s="16" t="n">
        <v>45174</v>
      </c>
      <c r="B5049" s="17" t="s">
        <v>2620</v>
      </c>
      <c r="C5049" s="17" t="s">
        <v>1593</v>
      </c>
      <c r="D5049" s="17" t="s">
        <v>1407</v>
      </c>
      <c r="E5049" s="17" t="s">
        <v>2626</v>
      </c>
      <c r="F5049" s="17"/>
      <c r="G5049" s="18" t="n">
        <v>6.36</v>
      </c>
      <c r="H5049" s="18" t="n">
        <v>0</v>
      </c>
      <c r="I5049" s="18" t="n">
        <f aca="false">((I5048 + G5049) - H5049)</f>
        <v>5192.7</v>
      </c>
      <c r="J5049" s="18" t="n">
        <v>0.64</v>
      </c>
      <c r="K5049" s="19" t="n">
        <v>10</v>
      </c>
      <c r="L5049" s="17" t="s">
        <v>44</v>
      </c>
    </row>
    <row r="5050" s="11" customFormat="true" ht="10.95" hidden="false" customHeight="true" outlineLevel="0" collapsed="false">
      <c r="A5050" s="16" t="n">
        <v>45175</v>
      </c>
      <c r="B5050" s="17" t="s">
        <v>2620</v>
      </c>
      <c r="C5050" s="17" t="s">
        <v>1593</v>
      </c>
      <c r="D5050" s="17" t="s">
        <v>1407</v>
      </c>
      <c r="E5050" s="17" t="s">
        <v>2626</v>
      </c>
      <c r="F5050" s="17"/>
      <c r="G5050" s="18" t="n">
        <v>6.36</v>
      </c>
      <c r="H5050" s="18" t="n">
        <v>0</v>
      </c>
      <c r="I5050" s="18" t="n">
        <f aca="false">((I5049 + G5050) - H5050)</f>
        <v>5199.06</v>
      </c>
      <c r="J5050" s="18" t="n">
        <v>0.64</v>
      </c>
      <c r="K5050" s="19" t="n">
        <v>10</v>
      </c>
      <c r="L5050" s="17" t="s">
        <v>44</v>
      </c>
    </row>
    <row r="5051" s="11" customFormat="true" ht="10.95" hidden="false" customHeight="true" outlineLevel="0" collapsed="false">
      <c r="A5051" s="16" t="n">
        <v>45177</v>
      </c>
      <c r="B5051" s="17" t="s">
        <v>2620</v>
      </c>
      <c r="C5051" s="17" t="s">
        <v>1593</v>
      </c>
      <c r="D5051" s="17" t="s">
        <v>1391</v>
      </c>
      <c r="E5051" s="17" t="s">
        <v>2643</v>
      </c>
      <c r="F5051" s="17" t="s">
        <v>1642</v>
      </c>
      <c r="G5051" s="18" t="n">
        <v>36.36</v>
      </c>
      <c r="H5051" s="18" t="n">
        <v>0</v>
      </c>
      <c r="I5051" s="18" t="n">
        <f aca="false">((I5050 + G5051) - H5051)</f>
        <v>5235.42</v>
      </c>
      <c r="J5051" s="18" t="n">
        <v>3.64</v>
      </c>
      <c r="K5051" s="19" t="n">
        <v>10</v>
      </c>
      <c r="L5051" s="17" t="s">
        <v>44</v>
      </c>
    </row>
    <row r="5052" s="11" customFormat="true" ht="10.95" hidden="false" customHeight="true" outlineLevel="0" collapsed="false">
      <c r="A5052" s="16" t="n">
        <v>45177</v>
      </c>
      <c r="B5052" s="17" t="s">
        <v>2620</v>
      </c>
      <c r="C5052" s="17" t="s">
        <v>1593</v>
      </c>
      <c r="D5052" s="17" t="s">
        <v>1391</v>
      </c>
      <c r="E5052" s="17" t="s">
        <v>2644</v>
      </c>
      <c r="F5052" s="17" t="s">
        <v>2645</v>
      </c>
      <c r="G5052" s="18" t="n">
        <v>95.41</v>
      </c>
      <c r="H5052" s="18" t="n">
        <v>0</v>
      </c>
      <c r="I5052" s="18" t="n">
        <f aca="false">((I5051 + G5052) - H5052)</f>
        <v>5330.83</v>
      </c>
      <c r="J5052" s="18" t="n">
        <v>9.54</v>
      </c>
      <c r="K5052" s="19" t="n">
        <v>10</v>
      </c>
      <c r="L5052" s="17" t="s">
        <v>44</v>
      </c>
    </row>
    <row r="5053" s="11" customFormat="true" ht="10.95" hidden="false" customHeight="true" outlineLevel="0" collapsed="false">
      <c r="A5053" s="16" t="n">
        <v>45179</v>
      </c>
      <c r="B5053" s="17" t="s">
        <v>2620</v>
      </c>
      <c r="C5053" s="17" t="s">
        <v>1593</v>
      </c>
      <c r="D5053" s="17" t="s">
        <v>1407</v>
      </c>
      <c r="E5053" s="17" t="s">
        <v>2633</v>
      </c>
      <c r="F5053" s="17"/>
      <c r="G5053" s="18" t="n">
        <v>769.35</v>
      </c>
      <c r="H5053" s="18" t="n">
        <v>0</v>
      </c>
      <c r="I5053" s="18" t="n">
        <f aca="false">((I5052 + G5053) - H5053)</f>
        <v>6100.18</v>
      </c>
      <c r="J5053" s="18" t="n">
        <v>76.93</v>
      </c>
      <c r="K5053" s="19" t="n">
        <v>10</v>
      </c>
      <c r="L5053" s="17" t="s">
        <v>44</v>
      </c>
    </row>
    <row r="5054" s="11" customFormat="true" ht="10.95" hidden="false" customHeight="true" outlineLevel="0" collapsed="false">
      <c r="A5054" s="16" t="n">
        <v>45181</v>
      </c>
      <c r="B5054" s="17" t="s">
        <v>2620</v>
      </c>
      <c r="C5054" s="17" t="s">
        <v>1593</v>
      </c>
      <c r="D5054" s="17" t="s">
        <v>1407</v>
      </c>
      <c r="E5054" s="17" t="s">
        <v>2626</v>
      </c>
      <c r="F5054" s="17"/>
      <c r="G5054" s="18" t="n">
        <v>6.36</v>
      </c>
      <c r="H5054" s="18" t="n">
        <v>0</v>
      </c>
      <c r="I5054" s="18" t="n">
        <f aca="false">((I5053 + G5054) - H5054)</f>
        <v>6106.54</v>
      </c>
      <c r="J5054" s="18" t="n">
        <v>0.64</v>
      </c>
      <c r="K5054" s="19" t="n">
        <v>10</v>
      </c>
      <c r="L5054" s="17" t="s">
        <v>44</v>
      </c>
    </row>
    <row r="5055" s="11" customFormat="true" ht="10.95" hidden="false" customHeight="true" outlineLevel="0" collapsed="false">
      <c r="A5055" s="16" t="n">
        <v>45182</v>
      </c>
      <c r="B5055" s="17" t="s">
        <v>2620</v>
      </c>
      <c r="C5055" s="17" t="s">
        <v>1593</v>
      </c>
      <c r="D5055" s="17" t="s">
        <v>1407</v>
      </c>
      <c r="E5055" s="17" t="s">
        <v>2626</v>
      </c>
      <c r="F5055" s="17"/>
      <c r="G5055" s="18" t="n">
        <v>6.36</v>
      </c>
      <c r="H5055" s="18" t="n">
        <v>0</v>
      </c>
      <c r="I5055" s="18" t="n">
        <f aca="false">((I5054 + G5055) - H5055)</f>
        <v>6112.9</v>
      </c>
      <c r="J5055" s="18" t="n">
        <v>0.64</v>
      </c>
      <c r="K5055" s="19" t="n">
        <v>10</v>
      </c>
      <c r="L5055" s="17" t="s">
        <v>44</v>
      </c>
    </row>
    <row r="5056" s="11" customFormat="true" ht="10.95" hidden="false" customHeight="true" outlineLevel="0" collapsed="false">
      <c r="A5056" s="16" t="n">
        <v>45183</v>
      </c>
      <c r="B5056" s="17" t="s">
        <v>2620</v>
      </c>
      <c r="C5056" s="17" t="s">
        <v>1593</v>
      </c>
      <c r="D5056" s="17" t="s">
        <v>1391</v>
      </c>
      <c r="E5056" s="17" t="s">
        <v>2646</v>
      </c>
      <c r="F5056" s="17" t="s">
        <v>2647</v>
      </c>
      <c r="G5056" s="18" t="n">
        <v>176.85</v>
      </c>
      <c r="H5056" s="18" t="n">
        <v>0</v>
      </c>
      <c r="I5056" s="18" t="n">
        <f aca="false">((I5055 + G5056) - H5056)</f>
        <v>6289.75</v>
      </c>
      <c r="J5056" s="18" t="n">
        <v>17.68</v>
      </c>
      <c r="K5056" s="19" t="n">
        <v>10</v>
      </c>
      <c r="L5056" s="17" t="s">
        <v>44</v>
      </c>
    </row>
    <row r="5057" s="11" customFormat="true" ht="10.95" hidden="false" customHeight="true" outlineLevel="0" collapsed="false">
      <c r="A5057" s="16" t="n">
        <v>45188</v>
      </c>
      <c r="B5057" s="17" t="s">
        <v>2620</v>
      </c>
      <c r="C5057" s="17" t="s">
        <v>1593</v>
      </c>
      <c r="D5057" s="17" t="s">
        <v>1407</v>
      </c>
      <c r="E5057" s="17" t="s">
        <v>2626</v>
      </c>
      <c r="F5057" s="17"/>
      <c r="G5057" s="18" t="n">
        <v>6.36</v>
      </c>
      <c r="H5057" s="18" t="n">
        <v>0</v>
      </c>
      <c r="I5057" s="18" t="n">
        <f aca="false">((I5056 + G5057) - H5057)</f>
        <v>6296.11</v>
      </c>
      <c r="J5057" s="18" t="n">
        <v>0.64</v>
      </c>
      <c r="K5057" s="19" t="n">
        <v>10</v>
      </c>
      <c r="L5057" s="17" t="s">
        <v>44</v>
      </c>
    </row>
    <row r="5058" s="11" customFormat="true" ht="10.95" hidden="false" customHeight="true" outlineLevel="0" collapsed="false">
      <c r="A5058" s="16" t="n">
        <v>45189</v>
      </c>
      <c r="B5058" s="17" t="s">
        <v>2620</v>
      </c>
      <c r="C5058" s="17" t="s">
        <v>1593</v>
      </c>
      <c r="D5058" s="17" t="s">
        <v>1407</v>
      </c>
      <c r="E5058" s="17" t="s">
        <v>2626</v>
      </c>
      <c r="F5058" s="17"/>
      <c r="G5058" s="18" t="n">
        <v>6.36</v>
      </c>
      <c r="H5058" s="18" t="n">
        <v>0</v>
      </c>
      <c r="I5058" s="18" t="n">
        <f aca="false">((I5057 + G5058) - H5058)</f>
        <v>6302.47</v>
      </c>
      <c r="J5058" s="18" t="n">
        <v>0.64</v>
      </c>
      <c r="K5058" s="19" t="n">
        <v>10</v>
      </c>
      <c r="L5058" s="17" t="s">
        <v>44</v>
      </c>
    </row>
    <row r="5059" s="11" customFormat="true" ht="10.95" hidden="false" customHeight="true" outlineLevel="0" collapsed="false">
      <c r="A5059" s="16" t="n">
        <v>45195</v>
      </c>
      <c r="B5059" s="17" t="s">
        <v>2620</v>
      </c>
      <c r="C5059" s="17" t="s">
        <v>1593</v>
      </c>
      <c r="D5059" s="17" t="s">
        <v>1407</v>
      </c>
      <c r="E5059" s="17" t="s">
        <v>2626</v>
      </c>
      <c r="F5059" s="17"/>
      <c r="G5059" s="18" t="n">
        <v>6.36</v>
      </c>
      <c r="H5059" s="18" t="n">
        <v>0</v>
      </c>
      <c r="I5059" s="18" t="n">
        <f aca="false">((I5058 + G5059) - H5059)</f>
        <v>6308.83</v>
      </c>
      <c r="J5059" s="18" t="n">
        <v>0.64</v>
      </c>
      <c r="K5059" s="19" t="n">
        <v>10</v>
      </c>
      <c r="L5059" s="17" t="s">
        <v>44</v>
      </c>
    </row>
    <row r="5060" s="11" customFormat="true" ht="10.95" hidden="false" customHeight="true" outlineLevel="0" collapsed="false">
      <c r="A5060" s="16" t="n">
        <v>45200</v>
      </c>
      <c r="B5060" s="17" t="s">
        <v>2620</v>
      </c>
      <c r="C5060" s="17" t="s">
        <v>1593</v>
      </c>
      <c r="D5060" s="17" t="s">
        <v>1391</v>
      </c>
      <c r="E5060" s="17" t="s">
        <v>2648</v>
      </c>
      <c r="F5060" s="17" t="s">
        <v>2649</v>
      </c>
      <c r="G5060" s="18" t="n">
        <v>184.05</v>
      </c>
      <c r="H5060" s="18" t="n">
        <v>0</v>
      </c>
      <c r="I5060" s="18" t="n">
        <f aca="false">((I5059 + G5060) - H5060)</f>
        <v>6492.88</v>
      </c>
      <c r="J5060" s="18" t="n">
        <v>0</v>
      </c>
      <c r="K5060" s="19" t="n">
        <v>0</v>
      </c>
      <c r="L5060" s="17" t="s">
        <v>1406</v>
      </c>
    </row>
    <row r="5061" s="11" customFormat="true" ht="10.95" hidden="false" customHeight="true" outlineLevel="0" collapsed="false">
      <c r="A5061" s="16" t="n">
        <v>45207</v>
      </c>
      <c r="B5061" s="17" t="s">
        <v>2620</v>
      </c>
      <c r="C5061" s="17" t="s">
        <v>1593</v>
      </c>
      <c r="D5061" s="17" t="s">
        <v>1391</v>
      </c>
      <c r="E5061" s="17" t="s">
        <v>2650</v>
      </c>
      <c r="F5061" s="17" t="s">
        <v>2651</v>
      </c>
      <c r="G5061" s="18" t="n">
        <v>95.41</v>
      </c>
      <c r="H5061" s="18" t="n">
        <v>0</v>
      </c>
      <c r="I5061" s="18" t="n">
        <f aca="false">((I5060 + G5061) - H5061)</f>
        <v>6588.29</v>
      </c>
      <c r="J5061" s="18" t="n">
        <v>9.54</v>
      </c>
      <c r="K5061" s="19" t="n">
        <v>10</v>
      </c>
      <c r="L5061" s="17" t="s">
        <v>44</v>
      </c>
    </row>
    <row r="5062" s="11" customFormat="true" ht="10.95" hidden="false" customHeight="true" outlineLevel="0" collapsed="false">
      <c r="A5062" s="16" t="n">
        <v>45208</v>
      </c>
      <c r="B5062" s="17" t="s">
        <v>2620</v>
      </c>
      <c r="C5062" s="17" t="s">
        <v>1593</v>
      </c>
      <c r="D5062" s="17" t="s">
        <v>1391</v>
      </c>
      <c r="E5062" s="17" t="s">
        <v>2652</v>
      </c>
      <c r="F5062" s="17" t="s">
        <v>1642</v>
      </c>
      <c r="G5062" s="18" t="n">
        <v>59.09</v>
      </c>
      <c r="H5062" s="18" t="n">
        <v>0</v>
      </c>
      <c r="I5062" s="18" t="n">
        <f aca="false">((I5061 + G5062) - H5062)</f>
        <v>6647.38</v>
      </c>
      <c r="J5062" s="18" t="n">
        <v>5.91</v>
      </c>
      <c r="K5062" s="19" t="n">
        <v>10</v>
      </c>
      <c r="L5062" s="17" t="s">
        <v>44</v>
      </c>
    </row>
    <row r="5063" s="11" customFormat="true" ht="10.95" hidden="false" customHeight="true" outlineLevel="0" collapsed="false">
      <c r="A5063" s="16" t="n">
        <v>45213</v>
      </c>
      <c r="B5063" s="17" t="s">
        <v>2620</v>
      </c>
      <c r="C5063" s="17" t="s">
        <v>1593</v>
      </c>
      <c r="D5063" s="17" t="s">
        <v>1391</v>
      </c>
      <c r="E5063" s="17" t="s">
        <v>2653</v>
      </c>
      <c r="F5063" s="17" t="s">
        <v>2654</v>
      </c>
      <c r="G5063" s="18" t="n">
        <v>202.92</v>
      </c>
      <c r="H5063" s="18" t="n">
        <v>0</v>
      </c>
      <c r="I5063" s="18" t="n">
        <f aca="false">((I5062 + G5063) - H5063)</f>
        <v>6850.3</v>
      </c>
      <c r="J5063" s="18" t="n">
        <v>20.29</v>
      </c>
      <c r="K5063" s="19" t="n">
        <v>10</v>
      </c>
      <c r="L5063" s="17" t="s">
        <v>44</v>
      </c>
    </row>
    <row r="5064" s="11" customFormat="true" ht="10.95" hidden="false" customHeight="true" outlineLevel="0" collapsed="false">
      <c r="A5064" s="16" t="n">
        <v>45217</v>
      </c>
      <c r="B5064" s="17" t="s">
        <v>2620</v>
      </c>
      <c r="C5064" s="17" t="s">
        <v>1593</v>
      </c>
      <c r="D5064" s="17" t="s">
        <v>1407</v>
      </c>
      <c r="E5064" s="17" t="s">
        <v>2626</v>
      </c>
      <c r="F5064" s="17"/>
      <c r="G5064" s="18" t="n">
        <v>27.27</v>
      </c>
      <c r="H5064" s="18" t="n">
        <v>0</v>
      </c>
      <c r="I5064" s="18" t="n">
        <f aca="false">((I5063 + G5064) - H5064)</f>
        <v>6877.57</v>
      </c>
      <c r="J5064" s="18" t="n">
        <v>2.73</v>
      </c>
      <c r="K5064" s="19" t="n">
        <v>10</v>
      </c>
      <c r="L5064" s="17" t="s">
        <v>44</v>
      </c>
    </row>
    <row r="5065" s="11" customFormat="true" ht="10.95" hidden="false" customHeight="true" outlineLevel="0" collapsed="false">
      <c r="A5065" s="16" t="n">
        <v>45218</v>
      </c>
      <c r="B5065" s="17" t="s">
        <v>2620</v>
      </c>
      <c r="C5065" s="17" t="s">
        <v>1593</v>
      </c>
      <c r="D5065" s="17" t="s">
        <v>1276</v>
      </c>
      <c r="E5065" s="17" t="s">
        <v>2655</v>
      </c>
      <c r="F5065" s="17"/>
      <c r="G5065" s="18" t="n">
        <v>0</v>
      </c>
      <c r="H5065" s="18" t="n">
        <v>15.75</v>
      </c>
      <c r="I5065" s="18" t="n">
        <f aca="false">((I5064 + G5065) - H5065)</f>
        <v>6861.82</v>
      </c>
      <c r="J5065" s="18" t="n">
        <v>0</v>
      </c>
      <c r="K5065" s="19" t="n">
        <v>0</v>
      </c>
      <c r="L5065" s="17" t="s">
        <v>1406</v>
      </c>
    </row>
    <row r="5066" s="11" customFormat="true" ht="10.95" hidden="false" customHeight="true" outlineLevel="0" collapsed="false">
      <c r="A5066" s="16" t="n">
        <v>45226</v>
      </c>
      <c r="B5066" s="17" t="s">
        <v>2620</v>
      </c>
      <c r="C5066" s="17" t="s">
        <v>1593</v>
      </c>
      <c r="D5066" s="17" t="s">
        <v>1407</v>
      </c>
      <c r="E5066" s="17" t="s">
        <v>2656</v>
      </c>
      <c r="F5066" s="17"/>
      <c r="G5066" s="18" t="n">
        <v>1222.57</v>
      </c>
      <c r="H5066" s="18" t="n">
        <v>0</v>
      </c>
      <c r="I5066" s="18" t="n">
        <f aca="false">((I5065 + G5066) - H5066)</f>
        <v>8084.39</v>
      </c>
      <c r="J5066" s="18" t="n">
        <v>122.26</v>
      </c>
      <c r="K5066" s="19" t="n">
        <v>10</v>
      </c>
      <c r="L5066" s="17" t="s">
        <v>44</v>
      </c>
    </row>
    <row r="5067" s="11" customFormat="true" ht="10.95" hidden="false" customHeight="true" outlineLevel="0" collapsed="false">
      <c r="A5067" s="16" t="n">
        <v>45237</v>
      </c>
      <c r="B5067" s="17" t="s">
        <v>2620</v>
      </c>
      <c r="C5067" s="17" t="s">
        <v>1593</v>
      </c>
      <c r="D5067" s="17" t="s">
        <v>1391</v>
      </c>
      <c r="E5067" s="17" t="s">
        <v>2657</v>
      </c>
      <c r="F5067" s="17" t="s">
        <v>1642</v>
      </c>
      <c r="G5067" s="18" t="n">
        <v>36.36</v>
      </c>
      <c r="H5067" s="18" t="n">
        <v>0</v>
      </c>
      <c r="I5067" s="18" t="n">
        <f aca="false">((I5066 + G5067) - H5067)</f>
        <v>8120.75</v>
      </c>
      <c r="J5067" s="18" t="n">
        <v>3.64</v>
      </c>
      <c r="K5067" s="19" t="n">
        <v>10</v>
      </c>
      <c r="L5067" s="17" t="s">
        <v>44</v>
      </c>
    </row>
    <row r="5068" s="11" customFormat="true" ht="10.95" hidden="false" customHeight="true" outlineLevel="0" collapsed="false">
      <c r="A5068" s="16" t="n">
        <v>45238</v>
      </c>
      <c r="B5068" s="17" t="s">
        <v>2620</v>
      </c>
      <c r="C5068" s="17" t="s">
        <v>1593</v>
      </c>
      <c r="D5068" s="17" t="s">
        <v>1391</v>
      </c>
      <c r="E5068" s="17" t="s">
        <v>2658</v>
      </c>
      <c r="F5068" s="17" t="s">
        <v>2659</v>
      </c>
      <c r="G5068" s="18" t="n">
        <v>95.41</v>
      </c>
      <c r="H5068" s="18" t="n">
        <v>0</v>
      </c>
      <c r="I5068" s="18" t="n">
        <f aca="false">((I5067 + G5068) - H5068)</f>
        <v>8216.16</v>
      </c>
      <c r="J5068" s="18" t="n">
        <v>9.54</v>
      </c>
      <c r="K5068" s="19" t="n">
        <v>10</v>
      </c>
      <c r="L5068" s="17" t="s">
        <v>44</v>
      </c>
    </row>
    <row r="5069" s="11" customFormat="true" ht="10.95" hidden="false" customHeight="true" outlineLevel="0" collapsed="false">
      <c r="A5069" s="16" t="n">
        <v>45238</v>
      </c>
      <c r="B5069" s="17" t="s">
        <v>2620</v>
      </c>
      <c r="C5069" s="17" t="s">
        <v>1593</v>
      </c>
      <c r="D5069" s="17" t="s">
        <v>1407</v>
      </c>
      <c r="E5069" s="17" t="s">
        <v>2660</v>
      </c>
      <c r="F5069" s="17"/>
      <c r="G5069" s="18" t="n">
        <v>665</v>
      </c>
      <c r="H5069" s="18" t="n">
        <v>0</v>
      </c>
      <c r="I5069" s="18" t="n">
        <f aca="false">((I5068 + G5069) - H5069)</f>
        <v>8881.16</v>
      </c>
      <c r="J5069" s="18" t="n">
        <v>66.5</v>
      </c>
      <c r="K5069" s="19" t="n">
        <v>10</v>
      </c>
      <c r="L5069" s="17" t="s">
        <v>44</v>
      </c>
    </row>
    <row r="5070" s="11" customFormat="true" ht="10.95" hidden="false" customHeight="true" outlineLevel="0" collapsed="false">
      <c r="A5070" s="16" t="n">
        <v>45240</v>
      </c>
      <c r="B5070" s="17" t="s">
        <v>2620</v>
      </c>
      <c r="C5070" s="17" t="s">
        <v>1593</v>
      </c>
      <c r="D5070" s="17" t="s">
        <v>1407</v>
      </c>
      <c r="E5070" s="17" t="s">
        <v>2661</v>
      </c>
      <c r="F5070" s="17"/>
      <c r="G5070" s="18" t="n">
        <v>290.91</v>
      </c>
      <c r="H5070" s="18" t="n">
        <v>0</v>
      </c>
      <c r="I5070" s="18" t="n">
        <f aca="false">((I5069 + G5070) - H5070)</f>
        <v>9172.07</v>
      </c>
      <c r="J5070" s="18" t="n">
        <v>29.09</v>
      </c>
      <c r="K5070" s="19" t="n">
        <v>10</v>
      </c>
      <c r="L5070" s="17" t="s">
        <v>44</v>
      </c>
    </row>
    <row r="5071" s="11" customFormat="true" ht="10.95" hidden="false" customHeight="true" outlineLevel="0" collapsed="false">
      <c r="A5071" s="16" t="n">
        <v>45240</v>
      </c>
      <c r="B5071" s="17" t="s">
        <v>2620</v>
      </c>
      <c r="C5071" s="17" t="s">
        <v>1593</v>
      </c>
      <c r="D5071" s="17" t="s">
        <v>1407</v>
      </c>
      <c r="E5071" s="17" t="s">
        <v>2662</v>
      </c>
      <c r="F5071" s="17"/>
      <c r="G5071" s="18" t="n">
        <v>1801.97</v>
      </c>
      <c r="H5071" s="18" t="n">
        <v>0</v>
      </c>
      <c r="I5071" s="18" t="n">
        <f aca="false">((I5070 + G5071) - H5071)</f>
        <v>10974.04</v>
      </c>
      <c r="J5071" s="18" t="n">
        <v>180.2</v>
      </c>
      <c r="K5071" s="19" t="n">
        <v>10</v>
      </c>
      <c r="L5071" s="17" t="s">
        <v>44</v>
      </c>
    </row>
    <row r="5072" s="11" customFormat="true" ht="10.95" hidden="false" customHeight="true" outlineLevel="0" collapsed="false">
      <c r="A5072" s="16" t="n">
        <v>45244</v>
      </c>
      <c r="B5072" s="17" t="s">
        <v>2620</v>
      </c>
      <c r="C5072" s="17" t="s">
        <v>1593</v>
      </c>
      <c r="D5072" s="17" t="s">
        <v>1391</v>
      </c>
      <c r="E5072" s="17" t="s">
        <v>2663</v>
      </c>
      <c r="F5072" s="17" t="s">
        <v>2664</v>
      </c>
      <c r="G5072" s="18" t="n">
        <v>167.61</v>
      </c>
      <c r="H5072" s="18" t="n">
        <v>0</v>
      </c>
      <c r="I5072" s="18" t="n">
        <f aca="false">((I5071 + G5072) - H5072)</f>
        <v>11141.65</v>
      </c>
      <c r="J5072" s="18" t="n">
        <v>16.76</v>
      </c>
      <c r="K5072" s="19" t="n">
        <v>10</v>
      </c>
      <c r="L5072" s="17" t="s">
        <v>44</v>
      </c>
    </row>
    <row r="5073" s="11" customFormat="true" ht="10.95" hidden="false" customHeight="true" outlineLevel="0" collapsed="false">
      <c r="A5073" s="16" t="n">
        <v>45248</v>
      </c>
      <c r="B5073" s="17" t="s">
        <v>2620</v>
      </c>
      <c r="C5073" s="17" t="s">
        <v>1593</v>
      </c>
      <c r="D5073" s="17" t="s">
        <v>1407</v>
      </c>
      <c r="E5073" s="17" t="s">
        <v>2665</v>
      </c>
      <c r="F5073" s="17"/>
      <c r="G5073" s="18" t="n">
        <v>691.2</v>
      </c>
      <c r="H5073" s="18" t="n">
        <v>0</v>
      </c>
      <c r="I5073" s="18" t="n">
        <f aca="false">((I5072 + G5073) - H5073)</f>
        <v>11832.85</v>
      </c>
      <c r="J5073" s="18" t="n">
        <v>69.12</v>
      </c>
      <c r="K5073" s="19" t="n">
        <v>10</v>
      </c>
      <c r="L5073" s="17" t="s">
        <v>44</v>
      </c>
    </row>
    <row r="5074" s="11" customFormat="true" ht="10.95" hidden="false" customHeight="true" outlineLevel="0" collapsed="false">
      <c r="A5074" s="16" t="n">
        <v>45251</v>
      </c>
      <c r="B5074" s="17" t="s">
        <v>2620</v>
      </c>
      <c r="C5074" s="17" t="s">
        <v>1593</v>
      </c>
      <c r="D5074" s="17" t="s">
        <v>1407</v>
      </c>
      <c r="E5074" s="17" t="s">
        <v>2666</v>
      </c>
      <c r="F5074" s="17"/>
      <c r="G5074" s="18" t="n">
        <v>27.27</v>
      </c>
      <c r="H5074" s="18" t="n">
        <v>0</v>
      </c>
      <c r="I5074" s="18" t="n">
        <f aca="false">((I5073 + G5074) - H5074)</f>
        <v>11860.12</v>
      </c>
      <c r="J5074" s="18" t="n">
        <v>2.73</v>
      </c>
      <c r="K5074" s="19" t="n">
        <v>10</v>
      </c>
      <c r="L5074" s="17" t="s">
        <v>44</v>
      </c>
    </row>
    <row r="5075" s="11" customFormat="true" ht="10.95" hidden="false" customHeight="true" outlineLevel="0" collapsed="false">
      <c r="A5075" s="16" t="n">
        <v>45261</v>
      </c>
      <c r="B5075" s="17" t="s">
        <v>2620</v>
      </c>
      <c r="C5075" s="17" t="s">
        <v>1593</v>
      </c>
      <c r="D5075" s="17" t="s">
        <v>1391</v>
      </c>
      <c r="E5075" s="17" t="s">
        <v>2667</v>
      </c>
      <c r="F5075" s="17" t="s">
        <v>2668</v>
      </c>
      <c r="G5075" s="18" t="n">
        <v>179.24</v>
      </c>
      <c r="H5075" s="18" t="n">
        <v>0</v>
      </c>
      <c r="I5075" s="18" t="n">
        <f aca="false">((I5074 + G5075) - H5075)</f>
        <v>12039.36</v>
      </c>
      <c r="J5075" s="18" t="n">
        <v>0</v>
      </c>
      <c r="K5075" s="19" t="n">
        <v>0</v>
      </c>
      <c r="L5075" s="17" t="s">
        <v>1406</v>
      </c>
    </row>
    <row r="5076" s="11" customFormat="true" ht="10.95" hidden="false" customHeight="true" outlineLevel="0" collapsed="false">
      <c r="A5076" s="16" t="n">
        <v>45261</v>
      </c>
      <c r="B5076" s="17" t="s">
        <v>2620</v>
      </c>
      <c r="C5076" s="17" t="s">
        <v>1593</v>
      </c>
      <c r="D5076" s="17" t="s">
        <v>1391</v>
      </c>
      <c r="E5076" s="17" t="s">
        <v>2669</v>
      </c>
      <c r="F5076" s="17" t="s">
        <v>2670</v>
      </c>
      <c r="G5076" s="18" t="n">
        <v>691.2</v>
      </c>
      <c r="H5076" s="18" t="n">
        <v>0</v>
      </c>
      <c r="I5076" s="18" t="n">
        <f aca="false">((I5075 + G5076) - H5076)</f>
        <v>12730.56</v>
      </c>
      <c r="J5076" s="18" t="n">
        <v>69.12</v>
      </c>
      <c r="K5076" s="19" t="n">
        <v>10</v>
      </c>
      <c r="L5076" s="17" t="s">
        <v>44</v>
      </c>
    </row>
    <row r="5077" s="11" customFormat="true" ht="10.95" hidden="false" customHeight="true" outlineLevel="0" collapsed="false">
      <c r="A5077" s="16" t="n">
        <v>45266</v>
      </c>
      <c r="B5077" s="17" t="s">
        <v>2620</v>
      </c>
      <c r="C5077" s="17" t="s">
        <v>1593</v>
      </c>
      <c r="D5077" s="17" t="s">
        <v>1391</v>
      </c>
      <c r="E5077" s="17" t="s">
        <v>2671</v>
      </c>
      <c r="F5077" s="17" t="s">
        <v>1642</v>
      </c>
      <c r="G5077" s="18" t="n">
        <v>36.36</v>
      </c>
      <c r="H5077" s="18" t="n">
        <v>0</v>
      </c>
      <c r="I5077" s="18" t="n">
        <f aca="false">((I5076 + G5077) - H5077)</f>
        <v>12766.92</v>
      </c>
      <c r="J5077" s="18" t="n">
        <v>3.64</v>
      </c>
      <c r="K5077" s="19" t="n">
        <v>10</v>
      </c>
      <c r="L5077" s="17" t="s">
        <v>44</v>
      </c>
    </row>
    <row r="5078" s="11" customFormat="true" ht="10.95" hidden="false" customHeight="true" outlineLevel="0" collapsed="false">
      <c r="A5078" s="16" t="n">
        <v>45274</v>
      </c>
      <c r="B5078" s="17" t="s">
        <v>2620</v>
      </c>
      <c r="C5078" s="17" t="s">
        <v>1593</v>
      </c>
      <c r="D5078" s="17" t="s">
        <v>1391</v>
      </c>
      <c r="E5078" s="17" t="s">
        <v>2672</v>
      </c>
      <c r="F5078" s="17" t="s">
        <v>2673</v>
      </c>
      <c r="G5078" s="18" t="n">
        <v>301.12</v>
      </c>
      <c r="H5078" s="18" t="n">
        <v>0</v>
      </c>
      <c r="I5078" s="18" t="n">
        <f aca="false">((I5077 + G5078) - H5078)</f>
        <v>13068.04</v>
      </c>
      <c r="J5078" s="18" t="n">
        <v>30.11</v>
      </c>
      <c r="K5078" s="19" t="n">
        <v>10</v>
      </c>
      <c r="L5078" s="17" t="s">
        <v>44</v>
      </c>
    </row>
    <row r="5079" s="11" customFormat="true" ht="10.95" hidden="false" customHeight="true" outlineLevel="0" collapsed="false">
      <c r="A5079" s="16" t="n">
        <v>45277</v>
      </c>
      <c r="B5079" s="17" t="s">
        <v>2620</v>
      </c>
      <c r="C5079" s="17" t="s">
        <v>1593</v>
      </c>
      <c r="D5079" s="17" t="s">
        <v>1407</v>
      </c>
      <c r="E5079" s="17" t="s">
        <v>2626</v>
      </c>
      <c r="F5079" s="17"/>
      <c r="G5079" s="18" t="n">
        <v>27.27</v>
      </c>
      <c r="H5079" s="18" t="n">
        <v>0</v>
      </c>
      <c r="I5079" s="18" t="n">
        <f aca="false">((I5078 + G5079) - H5079)</f>
        <v>13095.31</v>
      </c>
      <c r="J5079" s="18" t="n">
        <v>2.73</v>
      </c>
      <c r="K5079" s="19" t="n">
        <v>10</v>
      </c>
      <c r="L5079" s="17" t="s">
        <v>44</v>
      </c>
    </row>
    <row r="5080" s="11" customFormat="true" ht="10.95" hidden="false" customHeight="true" outlineLevel="0" collapsed="false">
      <c r="A5080" s="16" t="n">
        <v>45287</v>
      </c>
      <c r="B5080" s="17" t="s">
        <v>2620</v>
      </c>
      <c r="C5080" s="17" t="s">
        <v>1593</v>
      </c>
      <c r="D5080" s="17" t="s">
        <v>1407</v>
      </c>
      <c r="E5080" s="17" t="s">
        <v>2674</v>
      </c>
      <c r="F5080" s="17"/>
      <c r="G5080" s="18" t="n">
        <v>288.18</v>
      </c>
      <c r="H5080" s="18" t="n">
        <v>0</v>
      </c>
      <c r="I5080" s="18" t="n">
        <f aca="false">((I5079 + G5080) - H5080)</f>
        <v>13383.49</v>
      </c>
      <c r="J5080" s="18" t="n">
        <v>28.82</v>
      </c>
      <c r="K5080" s="19" t="n">
        <v>10</v>
      </c>
      <c r="L5080" s="17" t="s">
        <v>44</v>
      </c>
    </row>
    <row r="5081" s="11" customFormat="true" ht="10.95" hidden="false" customHeight="true" outlineLevel="0" collapsed="false">
      <c r="A5081" s="16" t="n">
        <v>45288</v>
      </c>
      <c r="B5081" s="17" t="s">
        <v>2620</v>
      </c>
      <c r="C5081" s="17" t="s">
        <v>1593</v>
      </c>
      <c r="D5081" s="17" t="s">
        <v>1407</v>
      </c>
      <c r="E5081" s="17" t="s">
        <v>2630</v>
      </c>
      <c r="F5081" s="17"/>
      <c r="G5081" s="18" t="n">
        <v>95.41</v>
      </c>
      <c r="H5081" s="18" t="n">
        <v>0</v>
      </c>
      <c r="I5081" s="18" t="n">
        <f aca="false">((I5080 + G5081) - H5081)</f>
        <v>13478.9</v>
      </c>
      <c r="J5081" s="18" t="n">
        <v>9.54</v>
      </c>
      <c r="K5081" s="19" t="n">
        <v>10</v>
      </c>
      <c r="L5081" s="17" t="s">
        <v>44</v>
      </c>
    </row>
    <row r="5082" s="11" customFormat="true" ht="10.95" hidden="false" customHeight="true" outlineLevel="0" collapsed="false">
      <c r="A5082" s="16" t="n">
        <v>45288</v>
      </c>
      <c r="B5082" s="17" t="s">
        <v>2620</v>
      </c>
      <c r="C5082" s="17" t="s">
        <v>1593</v>
      </c>
      <c r="D5082" s="17" t="s">
        <v>1407</v>
      </c>
      <c r="E5082" s="17" t="s">
        <v>2675</v>
      </c>
      <c r="F5082" s="17"/>
      <c r="G5082" s="18" t="n">
        <v>35.45</v>
      </c>
      <c r="H5082" s="18" t="n">
        <v>0</v>
      </c>
      <c r="I5082" s="18" t="n">
        <f aca="false">((I5081 + G5082) - H5082)</f>
        <v>13514.35</v>
      </c>
      <c r="J5082" s="18" t="n">
        <v>3.55</v>
      </c>
      <c r="K5082" s="19" t="n">
        <v>10</v>
      </c>
      <c r="L5082" s="17" t="s">
        <v>44</v>
      </c>
    </row>
    <row r="5083" s="11" customFormat="true" ht="10.95" hidden="false" customHeight="true" outlineLevel="0" collapsed="false">
      <c r="A5083" s="16" t="n">
        <v>45292</v>
      </c>
      <c r="B5083" s="17" t="s">
        <v>2620</v>
      </c>
      <c r="C5083" s="17" t="s">
        <v>1593</v>
      </c>
      <c r="D5083" s="17" t="s">
        <v>1391</v>
      </c>
      <c r="E5083" s="17" t="s">
        <v>2676</v>
      </c>
      <c r="F5083" s="17" t="s">
        <v>2677</v>
      </c>
      <c r="G5083" s="18" t="n">
        <v>174.11</v>
      </c>
      <c r="H5083" s="18" t="n">
        <v>0</v>
      </c>
      <c r="I5083" s="18" t="n">
        <f aca="false">((I5082 + G5083) - H5083)</f>
        <v>13688.46</v>
      </c>
      <c r="J5083" s="18" t="n">
        <v>0</v>
      </c>
      <c r="K5083" s="19" t="n">
        <v>0</v>
      </c>
      <c r="L5083" s="17" t="s">
        <v>1406</v>
      </c>
    </row>
    <row r="5084" s="11" customFormat="true" ht="10.95" hidden="false" customHeight="true" outlineLevel="0" collapsed="false">
      <c r="A5084" s="16" t="n">
        <v>45292</v>
      </c>
      <c r="B5084" s="17" t="s">
        <v>2620</v>
      </c>
      <c r="C5084" s="17" t="s">
        <v>1593</v>
      </c>
      <c r="D5084" s="17" t="s">
        <v>1391</v>
      </c>
      <c r="E5084" s="17" t="s">
        <v>2678</v>
      </c>
      <c r="F5084" s="17" t="s">
        <v>2679</v>
      </c>
      <c r="G5084" s="18" t="n">
        <v>665</v>
      </c>
      <c r="H5084" s="18" t="n">
        <v>0</v>
      </c>
      <c r="I5084" s="18" t="n">
        <f aca="false">((I5083 + G5084) - H5084)</f>
        <v>14353.46</v>
      </c>
      <c r="J5084" s="18" t="n">
        <v>66.5</v>
      </c>
      <c r="K5084" s="19" t="n">
        <v>10</v>
      </c>
      <c r="L5084" s="17" t="s">
        <v>44</v>
      </c>
    </row>
    <row r="5085" s="11" customFormat="true" ht="10.95" hidden="false" customHeight="true" outlineLevel="0" collapsed="false">
      <c r="A5085" s="16" t="n">
        <v>45300</v>
      </c>
      <c r="B5085" s="17" t="s">
        <v>2620</v>
      </c>
      <c r="C5085" s="17" t="s">
        <v>1593</v>
      </c>
      <c r="D5085" s="17" t="s">
        <v>1391</v>
      </c>
      <c r="E5085" s="17" t="s">
        <v>2680</v>
      </c>
      <c r="F5085" s="17" t="s">
        <v>1642</v>
      </c>
      <c r="G5085" s="18" t="n">
        <v>36.36</v>
      </c>
      <c r="H5085" s="18" t="n">
        <v>0</v>
      </c>
      <c r="I5085" s="18" t="n">
        <f aca="false">((I5084 + G5085) - H5085)</f>
        <v>14389.82</v>
      </c>
      <c r="J5085" s="18" t="n">
        <v>3.64</v>
      </c>
      <c r="K5085" s="19" t="n">
        <v>10</v>
      </c>
      <c r="L5085" s="17" t="s">
        <v>44</v>
      </c>
    </row>
    <row r="5086" s="11" customFormat="true" ht="10.95" hidden="false" customHeight="true" outlineLevel="0" collapsed="false">
      <c r="A5086" s="16" t="n">
        <v>45305</v>
      </c>
      <c r="B5086" s="17" t="s">
        <v>2620</v>
      </c>
      <c r="C5086" s="17" t="s">
        <v>1593</v>
      </c>
      <c r="D5086" s="17" t="s">
        <v>1391</v>
      </c>
      <c r="E5086" s="17" t="s">
        <v>2681</v>
      </c>
      <c r="F5086" s="17" t="s">
        <v>2682</v>
      </c>
      <c r="G5086" s="18" t="n">
        <v>147.4</v>
      </c>
      <c r="H5086" s="18" t="n">
        <v>0</v>
      </c>
      <c r="I5086" s="18" t="n">
        <f aca="false">((I5085 + G5086) - H5086)</f>
        <v>14537.22</v>
      </c>
      <c r="J5086" s="18" t="n">
        <v>14.74</v>
      </c>
      <c r="K5086" s="19" t="n">
        <v>10</v>
      </c>
      <c r="L5086" s="17" t="s">
        <v>44</v>
      </c>
    </row>
    <row r="5087" s="11" customFormat="true" ht="10.95" hidden="false" customHeight="true" outlineLevel="0" collapsed="false">
      <c r="A5087" s="16" t="n">
        <v>45307</v>
      </c>
      <c r="B5087" s="17" t="s">
        <v>2620</v>
      </c>
      <c r="C5087" s="17" t="s">
        <v>1593</v>
      </c>
      <c r="D5087" s="17" t="s">
        <v>1407</v>
      </c>
      <c r="E5087" s="17" t="s">
        <v>2683</v>
      </c>
      <c r="F5087" s="17"/>
      <c r="G5087" s="18" t="n">
        <v>101.53</v>
      </c>
      <c r="H5087" s="18" t="n">
        <v>0</v>
      </c>
      <c r="I5087" s="18" t="n">
        <f aca="false">((I5086 + G5087) - H5087)</f>
        <v>14638.75</v>
      </c>
      <c r="J5087" s="18" t="n">
        <v>0</v>
      </c>
      <c r="K5087" s="19" t="n">
        <v>0</v>
      </c>
      <c r="L5087" s="17" t="s">
        <v>1406</v>
      </c>
    </row>
    <row r="5088" s="11" customFormat="true" ht="10.95" hidden="false" customHeight="true" outlineLevel="0" collapsed="false">
      <c r="A5088" s="16" t="n">
        <v>45315</v>
      </c>
      <c r="B5088" s="17" t="s">
        <v>2620</v>
      </c>
      <c r="C5088" s="17" t="s">
        <v>1593</v>
      </c>
      <c r="D5088" s="17" t="s">
        <v>1407</v>
      </c>
      <c r="E5088" s="17" t="s">
        <v>2684</v>
      </c>
      <c r="F5088" s="17"/>
      <c r="G5088" s="18" t="n">
        <v>9.94</v>
      </c>
      <c r="H5088" s="18" t="n">
        <v>0</v>
      </c>
      <c r="I5088" s="18" t="n">
        <f aca="false">((I5087 + G5088) - H5088)</f>
        <v>14648.69</v>
      </c>
      <c r="J5088" s="18" t="n">
        <v>0</v>
      </c>
      <c r="K5088" s="19" t="n">
        <v>0</v>
      </c>
      <c r="L5088" s="17" t="s">
        <v>1406</v>
      </c>
    </row>
    <row r="5089" s="11" customFormat="true" ht="10.95" hidden="false" customHeight="true" outlineLevel="0" collapsed="false">
      <c r="A5089" s="16" t="n">
        <v>45315</v>
      </c>
      <c r="B5089" s="17" t="s">
        <v>2620</v>
      </c>
      <c r="C5089" s="17" t="s">
        <v>1593</v>
      </c>
      <c r="D5089" s="17" t="s">
        <v>1407</v>
      </c>
      <c r="E5089" s="17" t="s">
        <v>2630</v>
      </c>
      <c r="F5089" s="17"/>
      <c r="G5089" s="18" t="n">
        <v>95.41</v>
      </c>
      <c r="H5089" s="18" t="n">
        <v>0</v>
      </c>
      <c r="I5089" s="18" t="n">
        <f aca="false">((I5088 + G5089) - H5089)</f>
        <v>14744.1</v>
      </c>
      <c r="J5089" s="18" t="n">
        <v>9.54</v>
      </c>
      <c r="K5089" s="19" t="n">
        <v>10</v>
      </c>
      <c r="L5089" s="17" t="s">
        <v>44</v>
      </c>
    </row>
    <row r="5090" s="11" customFormat="true" ht="10.95" hidden="false" customHeight="true" outlineLevel="0" collapsed="false">
      <c r="A5090" s="16" t="n">
        <v>45321</v>
      </c>
      <c r="B5090" s="17" t="s">
        <v>2620</v>
      </c>
      <c r="C5090" s="17" t="s">
        <v>1593</v>
      </c>
      <c r="D5090" s="17" t="s">
        <v>1407</v>
      </c>
      <c r="E5090" s="17" t="s">
        <v>2685</v>
      </c>
      <c r="F5090" s="17"/>
      <c r="G5090" s="18" t="n">
        <v>35.45</v>
      </c>
      <c r="H5090" s="18" t="n">
        <v>0</v>
      </c>
      <c r="I5090" s="18" t="n">
        <f aca="false">((I5089 + G5090) - H5090)</f>
        <v>14779.55</v>
      </c>
      <c r="J5090" s="18" t="n">
        <v>3.55</v>
      </c>
      <c r="K5090" s="19" t="n">
        <v>10</v>
      </c>
      <c r="L5090" s="17" t="s">
        <v>44</v>
      </c>
    </row>
    <row r="5091" s="11" customFormat="true" ht="10.95" hidden="false" customHeight="true" outlineLevel="0" collapsed="false">
      <c r="A5091" s="16" t="n">
        <v>45323</v>
      </c>
      <c r="B5091" s="17" t="s">
        <v>2620</v>
      </c>
      <c r="C5091" s="17" t="s">
        <v>1593</v>
      </c>
      <c r="D5091" s="17" t="s">
        <v>1391</v>
      </c>
      <c r="E5091" s="17" t="s">
        <v>2686</v>
      </c>
      <c r="F5091" s="17" t="s">
        <v>2687</v>
      </c>
      <c r="G5091" s="18" t="n">
        <v>178.12</v>
      </c>
      <c r="H5091" s="18" t="n">
        <v>0</v>
      </c>
      <c r="I5091" s="18" t="n">
        <f aca="false">((I5090 + G5091) - H5091)</f>
        <v>14957.67</v>
      </c>
      <c r="J5091" s="18" t="n">
        <v>0</v>
      </c>
      <c r="K5091" s="19" t="n">
        <v>0</v>
      </c>
      <c r="L5091" s="17" t="s">
        <v>1406</v>
      </c>
    </row>
    <row r="5092" s="11" customFormat="true" ht="10.95" hidden="false" customHeight="true" outlineLevel="0" collapsed="false">
      <c r="A5092" s="16" t="n">
        <v>45323</v>
      </c>
      <c r="B5092" s="17" t="s">
        <v>2620</v>
      </c>
      <c r="C5092" s="17" t="s">
        <v>1593</v>
      </c>
      <c r="D5092" s="17" t="s">
        <v>1391</v>
      </c>
      <c r="E5092" s="17" t="s">
        <v>2688</v>
      </c>
      <c r="F5092" s="17" t="s">
        <v>2689</v>
      </c>
      <c r="G5092" s="18" t="n">
        <v>678.1</v>
      </c>
      <c r="H5092" s="18" t="n">
        <v>0</v>
      </c>
      <c r="I5092" s="18" t="n">
        <f aca="false">((I5091 + G5092) - H5092)</f>
        <v>15635.77</v>
      </c>
      <c r="J5092" s="18" t="n">
        <v>67.81</v>
      </c>
      <c r="K5092" s="19" t="n">
        <v>10</v>
      </c>
      <c r="L5092" s="17" t="s">
        <v>44</v>
      </c>
    </row>
    <row r="5093" s="11" customFormat="true" ht="10.95" hidden="false" customHeight="true" outlineLevel="0" collapsed="false">
      <c r="A5093" s="16" t="n">
        <v>45329</v>
      </c>
      <c r="B5093" s="17" t="s">
        <v>2620</v>
      </c>
      <c r="C5093" s="17" t="s">
        <v>1593</v>
      </c>
      <c r="D5093" s="17" t="s">
        <v>1391</v>
      </c>
      <c r="E5093" s="17" t="s">
        <v>2690</v>
      </c>
      <c r="F5093" s="17" t="s">
        <v>1642</v>
      </c>
      <c r="G5093" s="18" t="n">
        <v>36.36</v>
      </c>
      <c r="H5093" s="18" t="n">
        <v>0</v>
      </c>
      <c r="I5093" s="18" t="n">
        <f aca="false">((I5092 + G5093) - H5093)</f>
        <v>15672.13</v>
      </c>
      <c r="J5093" s="18" t="n">
        <v>3.64</v>
      </c>
      <c r="K5093" s="19" t="n">
        <v>10</v>
      </c>
      <c r="L5093" s="17" t="s">
        <v>44</v>
      </c>
    </row>
    <row r="5094" s="11" customFormat="true" ht="10.95" hidden="false" customHeight="true" outlineLevel="0" collapsed="false">
      <c r="A5094" s="16" t="n">
        <v>45331</v>
      </c>
      <c r="B5094" s="17" t="s">
        <v>2620</v>
      </c>
      <c r="C5094" s="17" t="s">
        <v>1593</v>
      </c>
      <c r="D5094" s="17" t="s">
        <v>1407</v>
      </c>
      <c r="E5094" s="17" t="s">
        <v>2691</v>
      </c>
      <c r="F5094" s="17"/>
      <c r="G5094" s="18" t="n">
        <v>227.27</v>
      </c>
      <c r="H5094" s="18" t="n">
        <v>0</v>
      </c>
      <c r="I5094" s="18" t="n">
        <f aca="false">((I5093 + G5094) - H5094)</f>
        <v>15899.4</v>
      </c>
      <c r="J5094" s="18" t="n">
        <v>22.73</v>
      </c>
      <c r="K5094" s="19" t="n">
        <v>10</v>
      </c>
      <c r="L5094" s="17" t="s">
        <v>44</v>
      </c>
    </row>
    <row r="5095" s="11" customFormat="true" ht="10.95" hidden="false" customHeight="true" outlineLevel="0" collapsed="false">
      <c r="A5095" s="16" t="n">
        <v>45336</v>
      </c>
      <c r="B5095" s="17" t="s">
        <v>2620</v>
      </c>
      <c r="C5095" s="17" t="s">
        <v>1593</v>
      </c>
      <c r="D5095" s="17" t="s">
        <v>1391</v>
      </c>
      <c r="E5095" s="17" t="s">
        <v>2692</v>
      </c>
      <c r="F5095" s="17" t="s">
        <v>2693</v>
      </c>
      <c r="G5095" s="18" t="n">
        <v>226.48</v>
      </c>
      <c r="H5095" s="18" t="n">
        <v>0</v>
      </c>
      <c r="I5095" s="18" t="n">
        <f aca="false">((I5094 + G5095) - H5095)</f>
        <v>16125.88</v>
      </c>
      <c r="J5095" s="18" t="n">
        <v>22.65</v>
      </c>
      <c r="K5095" s="19" t="n">
        <v>10</v>
      </c>
      <c r="L5095" s="17" t="s">
        <v>44</v>
      </c>
    </row>
    <row r="5096" s="11" customFormat="true" ht="10.95" hidden="false" customHeight="true" outlineLevel="0" collapsed="false">
      <c r="A5096" s="16" t="n">
        <v>45346</v>
      </c>
      <c r="B5096" s="17" t="s">
        <v>2620</v>
      </c>
      <c r="C5096" s="17" t="s">
        <v>1593</v>
      </c>
      <c r="D5096" s="17" t="s">
        <v>1407</v>
      </c>
      <c r="E5096" s="17" t="s">
        <v>2630</v>
      </c>
      <c r="F5096" s="17"/>
      <c r="G5096" s="18" t="n">
        <v>95.41</v>
      </c>
      <c r="H5096" s="18" t="n">
        <v>0</v>
      </c>
      <c r="I5096" s="18" t="n">
        <f aca="false">((I5095 + G5096) - H5096)</f>
        <v>16221.29</v>
      </c>
      <c r="J5096" s="18" t="n">
        <v>9.54</v>
      </c>
      <c r="K5096" s="19" t="n">
        <v>10</v>
      </c>
      <c r="L5096" s="17" t="s">
        <v>44</v>
      </c>
    </row>
    <row r="5097" s="11" customFormat="true" ht="10.95" hidden="false" customHeight="true" outlineLevel="0" collapsed="false">
      <c r="A5097" s="16" t="n">
        <v>45350</v>
      </c>
      <c r="B5097" s="17" t="s">
        <v>2620</v>
      </c>
      <c r="C5097" s="17" t="s">
        <v>1593</v>
      </c>
      <c r="D5097" s="17" t="s">
        <v>1407</v>
      </c>
      <c r="E5097" s="17" t="s">
        <v>2694</v>
      </c>
      <c r="F5097" s="17"/>
      <c r="G5097" s="18" t="n">
        <v>35.45</v>
      </c>
      <c r="H5097" s="18" t="n">
        <v>0</v>
      </c>
      <c r="I5097" s="18" t="n">
        <f aca="false">((I5096 + G5097) - H5097)</f>
        <v>16256.74</v>
      </c>
      <c r="J5097" s="18" t="n">
        <v>3.55</v>
      </c>
      <c r="K5097" s="19" t="n">
        <v>10</v>
      </c>
      <c r="L5097" s="17" t="s">
        <v>44</v>
      </c>
    </row>
    <row r="5098" s="11" customFormat="true" ht="10.95" hidden="false" customHeight="true" outlineLevel="0" collapsed="false">
      <c r="A5098" s="16" t="n">
        <v>45352</v>
      </c>
      <c r="B5098" s="17" t="s">
        <v>2620</v>
      </c>
      <c r="C5098" s="17" t="s">
        <v>1593</v>
      </c>
      <c r="D5098" s="17" t="s">
        <v>1391</v>
      </c>
      <c r="E5098" s="17" t="s">
        <v>2695</v>
      </c>
      <c r="F5098" s="17" t="s">
        <v>2696</v>
      </c>
      <c r="G5098" s="18" t="n">
        <v>665</v>
      </c>
      <c r="H5098" s="18" t="n">
        <v>0</v>
      </c>
      <c r="I5098" s="18" t="n">
        <f aca="false">((I5097 + G5098) - H5098)</f>
        <v>16921.74</v>
      </c>
      <c r="J5098" s="18" t="n">
        <v>66.5</v>
      </c>
      <c r="K5098" s="19" t="n">
        <v>10</v>
      </c>
      <c r="L5098" s="17" t="s">
        <v>44</v>
      </c>
    </row>
    <row r="5099" s="11" customFormat="true" ht="10.95" hidden="false" customHeight="true" outlineLevel="0" collapsed="false">
      <c r="A5099" s="16" t="n">
        <v>45353</v>
      </c>
      <c r="B5099" s="17" t="s">
        <v>2620</v>
      </c>
      <c r="C5099" s="17" t="s">
        <v>1593</v>
      </c>
      <c r="D5099" s="17" t="s">
        <v>1407</v>
      </c>
      <c r="E5099" s="17" t="s">
        <v>2697</v>
      </c>
      <c r="F5099" s="17"/>
      <c r="G5099" s="18" t="n">
        <v>161.86</v>
      </c>
      <c r="H5099" s="18" t="n">
        <v>0</v>
      </c>
      <c r="I5099" s="18" t="n">
        <f aca="false">((I5098 + G5099) - H5099)</f>
        <v>17083.6</v>
      </c>
      <c r="J5099" s="18" t="n">
        <v>16.18</v>
      </c>
      <c r="K5099" s="19" t="n">
        <v>10</v>
      </c>
      <c r="L5099" s="17" t="s">
        <v>44</v>
      </c>
    </row>
    <row r="5100" s="11" customFormat="true" ht="10.95" hidden="false" customHeight="true" outlineLevel="0" collapsed="false">
      <c r="A5100" s="16" t="n">
        <v>45356</v>
      </c>
      <c r="B5100" s="17" t="s">
        <v>2620</v>
      </c>
      <c r="C5100" s="17" t="s">
        <v>1593</v>
      </c>
      <c r="D5100" s="17" t="s">
        <v>1391</v>
      </c>
      <c r="E5100" s="17" t="s">
        <v>2698</v>
      </c>
      <c r="F5100" s="17" t="s">
        <v>2699</v>
      </c>
      <c r="G5100" s="18" t="n">
        <v>718.18</v>
      </c>
      <c r="H5100" s="18" t="n">
        <v>0</v>
      </c>
      <c r="I5100" s="18" t="n">
        <f aca="false">((I5099 + G5100) - H5100)</f>
        <v>17801.78</v>
      </c>
      <c r="J5100" s="18" t="n">
        <v>71.82</v>
      </c>
      <c r="K5100" s="19" t="n">
        <v>10</v>
      </c>
      <c r="L5100" s="17" t="s">
        <v>44</v>
      </c>
    </row>
    <row r="5101" s="11" customFormat="true" ht="10.95" hidden="false" customHeight="true" outlineLevel="0" collapsed="false">
      <c r="A5101" s="16" t="n">
        <v>45359</v>
      </c>
      <c r="B5101" s="17" t="s">
        <v>2620</v>
      </c>
      <c r="C5101" s="17" t="s">
        <v>1593</v>
      </c>
      <c r="D5101" s="17" t="s">
        <v>1391</v>
      </c>
      <c r="E5101" s="17" t="s">
        <v>2700</v>
      </c>
      <c r="F5101" s="17" t="s">
        <v>1642</v>
      </c>
      <c r="G5101" s="18" t="n">
        <v>36.36</v>
      </c>
      <c r="H5101" s="18" t="n">
        <v>0</v>
      </c>
      <c r="I5101" s="18" t="n">
        <f aca="false">((I5100 + G5101) - H5101)</f>
        <v>17838.14</v>
      </c>
      <c r="J5101" s="18" t="n">
        <v>3.64</v>
      </c>
      <c r="K5101" s="19" t="n">
        <v>10</v>
      </c>
      <c r="L5101" s="17" t="s">
        <v>44</v>
      </c>
    </row>
    <row r="5102" s="11" customFormat="true" ht="10.95" hidden="false" customHeight="true" outlineLevel="0" collapsed="false">
      <c r="A5102" s="16" t="n">
        <v>45359</v>
      </c>
      <c r="B5102" s="17" t="s">
        <v>2620</v>
      </c>
      <c r="C5102" s="17" t="s">
        <v>1593</v>
      </c>
      <c r="D5102" s="17" t="s">
        <v>1391</v>
      </c>
      <c r="E5102" s="17" t="s">
        <v>2701</v>
      </c>
      <c r="F5102" s="17" t="s">
        <v>2702</v>
      </c>
      <c r="G5102" s="18" t="n">
        <v>95.41</v>
      </c>
      <c r="H5102" s="18" t="n">
        <v>0</v>
      </c>
      <c r="I5102" s="18" t="n">
        <f aca="false">((I5101 + G5102) - H5102)</f>
        <v>17933.55</v>
      </c>
      <c r="J5102" s="18" t="n">
        <v>9.54</v>
      </c>
      <c r="K5102" s="19" t="n">
        <v>10</v>
      </c>
      <c r="L5102" s="17" t="s">
        <v>44</v>
      </c>
    </row>
    <row r="5103" s="11" customFormat="true" ht="10.95" hidden="false" customHeight="true" outlineLevel="0" collapsed="false">
      <c r="A5103" s="16" t="n">
        <v>45365</v>
      </c>
      <c r="B5103" s="17" t="s">
        <v>2620</v>
      </c>
      <c r="C5103" s="17" t="s">
        <v>1593</v>
      </c>
      <c r="D5103" s="17" t="s">
        <v>1391</v>
      </c>
      <c r="E5103" s="17" t="s">
        <v>2703</v>
      </c>
      <c r="F5103" s="17" t="s">
        <v>2704</v>
      </c>
      <c r="G5103" s="18" t="n">
        <v>153.16</v>
      </c>
      <c r="H5103" s="18" t="n">
        <v>0</v>
      </c>
      <c r="I5103" s="18" t="n">
        <f aca="false">((I5102 + G5103) - H5103)</f>
        <v>18086.71</v>
      </c>
      <c r="J5103" s="18" t="n">
        <v>15.32</v>
      </c>
      <c r="K5103" s="19" t="n">
        <v>10</v>
      </c>
      <c r="L5103" s="17" t="s">
        <v>44</v>
      </c>
    </row>
    <row r="5104" s="11" customFormat="true" ht="10.95" hidden="false" customHeight="true" outlineLevel="0" collapsed="false">
      <c r="A5104" s="16" t="n">
        <v>45378</v>
      </c>
      <c r="B5104" s="17" t="s">
        <v>2620</v>
      </c>
      <c r="C5104" s="17" t="s">
        <v>1593</v>
      </c>
      <c r="D5104" s="17" t="s">
        <v>1407</v>
      </c>
      <c r="E5104" s="17" t="s">
        <v>2694</v>
      </c>
      <c r="F5104" s="17"/>
      <c r="G5104" s="18" t="n">
        <v>35.45</v>
      </c>
      <c r="H5104" s="18" t="n">
        <v>0</v>
      </c>
      <c r="I5104" s="18" t="n">
        <f aca="false">((I5103 + G5104) - H5104)</f>
        <v>18122.16</v>
      </c>
      <c r="J5104" s="18" t="n">
        <v>3.55</v>
      </c>
      <c r="K5104" s="19" t="n">
        <v>10</v>
      </c>
      <c r="L5104" s="17" t="s">
        <v>44</v>
      </c>
    </row>
    <row r="5105" s="11" customFormat="true" ht="10.95" hidden="false" customHeight="true" outlineLevel="0" collapsed="false">
      <c r="A5105" s="16" t="n">
        <v>45378</v>
      </c>
      <c r="B5105" s="17" t="s">
        <v>2620</v>
      </c>
      <c r="C5105" s="17" t="s">
        <v>1593</v>
      </c>
      <c r="D5105" s="17" t="s">
        <v>1391</v>
      </c>
      <c r="E5105" s="17" t="s">
        <v>2705</v>
      </c>
      <c r="F5105" s="17" t="s">
        <v>2706</v>
      </c>
      <c r="G5105" s="18" t="n">
        <v>2006.23</v>
      </c>
      <c r="H5105" s="18" t="n">
        <v>0</v>
      </c>
      <c r="I5105" s="18" t="n">
        <f aca="false">((I5104 + G5105) - H5105)</f>
        <v>20128.39</v>
      </c>
      <c r="J5105" s="18" t="n">
        <v>200.62</v>
      </c>
      <c r="K5105" s="19" t="n">
        <v>10</v>
      </c>
      <c r="L5105" s="17" t="s">
        <v>44</v>
      </c>
    </row>
    <row r="5106" s="11" customFormat="true" ht="10.95" hidden="false" customHeight="true" outlineLevel="0" collapsed="false">
      <c r="A5106" s="16" t="n">
        <v>45383</v>
      </c>
      <c r="B5106" s="17" t="s">
        <v>2620</v>
      </c>
      <c r="C5106" s="17" t="s">
        <v>1593</v>
      </c>
      <c r="D5106" s="17" t="s">
        <v>1391</v>
      </c>
      <c r="E5106" s="17" t="s">
        <v>2707</v>
      </c>
      <c r="F5106" s="17" t="s">
        <v>2708</v>
      </c>
      <c r="G5106" s="18" t="n">
        <v>665</v>
      </c>
      <c r="H5106" s="18" t="n">
        <v>0</v>
      </c>
      <c r="I5106" s="18" t="n">
        <f aca="false">((I5105 + G5106) - H5106)</f>
        <v>20793.39</v>
      </c>
      <c r="J5106" s="18" t="n">
        <v>66.5</v>
      </c>
      <c r="K5106" s="19" t="n">
        <v>10</v>
      </c>
      <c r="L5106" s="17" t="s">
        <v>44</v>
      </c>
    </row>
    <row r="5107" s="11" customFormat="true" ht="10.95" hidden="false" customHeight="true" outlineLevel="0" collapsed="false">
      <c r="A5107" s="16" t="n">
        <v>45384</v>
      </c>
      <c r="B5107" s="17" t="s">
        <v>2620</v>
      </c>
      <c r="C5107" s="17" t="s">
        <v>1593</v>
      </c>
      <c r="D5107" s="17" t="s">
        <v>1407</v>
      </c>
      <c r="E5107" s="17" t="s">
        <v>2709</v>
      </c>
      <c r="F5107" s="17"/>
      <c r="G5107" s="18" t="n">
        <v>183.93</v>
      </c>
      <c r="H5107" s="18" t="n">
        <v>0</v>
      </c>
      <c r="I5107" s="18" t="n">
        <f aca="false">((I5106 + G5107) - H5107)</f>
        <v>20977.32</v>
      </c>
      <c r="J5107" s="18" t="n">
        <v>0</v>
      </c>
      <c r="K5107" s="19" t="n">
        <v>0</v>
      </c>
      <c r="L5107" s="17" t="s">
        <v>1406</v>
      </c>
    </row>
    <row r="5108" s="11" customFormat="true" ht="10.95" hidden="false" customHeight="true" outlineLevel="0" collapsed="false">
      <c r="A5108" s="16" t="n">
        <v>45389</v>
      </c>
      <c r="B5108" s="17" t="s">
        <v>2620</v>
      </c>
      <c r="C5108" s="17" t="s">
        <v>1593</v>
      </c>
      <c r="D5108" s="17" t="s">
        <v>1407</v>
      </c>
      <c r="E5108" s="17" t="s">
        <v>2710</v>
      </c>
      <c r="F5108" s="17"/>
      <c r="G5108" s="18" t="n">
        <v>31.82</v>
      </c>
      <c r="H5108" s="18" t="n">
        <v>0</v>
      </c>
      <c r="I5108" s="18" t="n">
        <f aca="false">((I5107 + G5108) - H5108)</f>
        <v>21009.14</v>
      </c>
      <c r="J5108" s="18" t="n">
        <v>3.18</v>
      </c>
      <c r="K5108" s="19" t="n">
        <v>10</v>
      </c>
      <c r="L5108" s="17" t="s">
        <v>44</v>
      </c>
    </row>
    <row r="5109" s="11" customFormat="true" ht="10.95" hidden="false" customHeight="true" outlineLevel="0" collapsed="false">
      <c r="A5109" s="16" t="n">
        <v>45390</v>
      </c>
      <c r="B5109" s="17" t="s">
        <v>2620</v>
      </c>
      <c r="C5109" s="17" t="s">
        <v>1593</v>
      </c>
      <c r="D5109" s="17" t="s">
        <v>1391</v>
      </c>
      <c r="E5109" s="17" t="s">
        <v>2711</v>
      </c>
      <c r="F5109" s="17" t="s">
        <v>2712</v>
      </c>
      <c r="G5109" s="18" t="n">
        <v>95.41</v>
      </c>
      <c r="H5109" s="18" t="n">
        <v>0</v>
      </c>
      <c r="I5109" s="18" t="n">
        <f aca="false">((I5108 + G5109) - H5109)</f>
        <v>21104.55</v>
      </c>
      <c r="J5109" s="18" t="n">
        <v>9.54</v>
      </c>
      <c r="K5109" s="19" t="n">
        <v>10</v>
      </c>
      <c r="L5109" s="17" t="s">
        <v>44</v>
      </c>
    </row>
    <row r="5110" s="11" customFormat="true" ht="10.95" hidden="false" customHeight="true" outlineLevel="0" collapsed="false">
      <c r="A5110" s="16" t="n">
        <v>45391</v>
      </c>
      <c r="B5110" s="17" t="s">
        <v>2620</v>
      </c>
      <c r="C5110" s="17" t="s">
        <v>1593</v>
      </c>
      <c r="D5110" s="17" t="s">
        <v>1407</v>
      </c>
      <c r="E5110" s="17" t="s">
        <v>2713</v>
      </c>
      <c r="F5110" s="17"/>
      <c r="G5110" s="18" t="n">
        <v>103.13</v>
      </c>
      <c r="H5110" s="18" t="n">
        <v>0</v>
      </c>
      <c r="I5110" s="18" t="n">
        <f aca="false">((I5109 + G5110) - H5110)</f>
        <v>21207.68</v>
      </c>
      <c r="J5110" s="18" t="n">
        <v>0</v>
      </c>
      <c r="K5110" s="19" t="n">
        <v>0</v>
      </c>
      <c r="L5110" s="17" t="s">
        <v>1406</v>
      </c>
    </row>
    <row r="5111" s="11" customFormat="true" ht="10.95" hidden="false" customHeight="true" outlineLevel="0" collapsed="false">
      <c r="A5111" s="16" t="n">
        <v>45396</v>
      </c>
      <c r="B5111" s="17" t="s">
        <v>2620</v>
      </c>
      <c r="C5111" s="17" t="s">
        <v>1593</v>
      </c>
      <c r="D5111" s="17" t="s">
        <v>1391</v>
      </c>
      <c r="E5111" s="17" t="s">
        <v>2714</v>
      </c>
      <c r="F5111" s="17" t="s">
        <v>2715</v>
      </c>
      <c r="G5111" s="18" t="n">
        <v>225.7</v>
      </c>
      <c r="H5111" s="18" t="n">
        <v>0</v>
      </c>
      <c r="I5111" s="18" t="n">
        <f aca="false">((I5110 + G5111) - H5111)</f>
        <v>21433.38</v>
      </c>
      <c r="J5111" s="18" t="n">
        <v>22.57</v>
      </c>
      <c r="K5111" s="19" t="n">
        <v>10</v>
      </c>
      <c r="L5111" s="17" t="s">
        <v>44</v>
      </c>
    </row>
    <row r="5112" s="11" customFormat="true" ht="10.95" hidden="false" customHeight="true" outlineLevel="0" collapsed="false">
      <c r="A5112" s="16" t="n">
        <v>45398</v>
      </c>
      <c r="B5112" s="17" t="s">
        <v>2620</v>
      </c>
      <c r="C5112" s="17" t="s">
        <v>1593</v>
      </c>
      <c r="D5112" s="17" t="s">
        <v>1407</v>
      </c>
      <c r="E5112" s="17" t="s">
        <v>2716</v>
      </c>
      <c r="F5112" s="17"/>
      <c r="G5112" s="18" t="n">
        <v>107.63</v>
      </c>
      <c r="H5112" s="18" t="n">
        <v>0</v>
      </c>
      <c r="I5112" s="18" t="n">
        <f aca="false">((I5111 + G5112) - H5112)</f>
        <v>21541.01</v>
      </c>
      <c r="J5112" s="18" t="n">
        <v>0</v>
      </c>
      <c r="K5112" s="19" t="n">
        <v>0</v>
      </c>
      <c r="L5112" s="17" t="s">
        <v>1406</v>
      </c>
    </row>
    <row r="5113" s="11" customFormat="true" ht="10.95" hidden="false" customHeight="true" outlineLevel="0" collapsed="false">
      <c r="A5113" s="16" t="n">
        <v>45407</v>
      </c>
      <c r="B5113" s="17" t="s">
        <v>2620</v>
      </c>
      <c r="C5113" s="17" t="s">
        <v>1593</v>
      </c>
      <c r="D5113" s="17" t="s">
        <v>1407</v>
      </c>
      <c r="E5113" s="17" t="s">
        <v>2717</v>
      </c>
      <c r="F5113" s="17"/>
      <c r="G5113" s="18" t="n">
        <v>5</v>
      </c>
      <c r="H5113" s="18" t="n">
        <v>0</v>
      </c>
      <c r="I5113" s="18" t="n">
        <f aca="false">((I5112 + G5113) - H5113)</f>
        <v>21546.01</v>
      </c>
      <c r="J5113" s="18" t="n">
        <v>0</v>
      </c>
      <c r="K5113" s="19" t="n">
        <v>0</v>
      </c>
      <c r="L5113" s="17" t="s">
        <v>1406</v>
      </c>
    </row>
    <row r="5114" s="11" customFormat="true" ht="10.95" hidden="false" customHeight="true" outlineLevel="0" collapsed="false">
      <c r="A5114" s="16" t="n">
        <v>45412</v>
      </c>
      <c r="B5114" s="17" t="s">
        <v>2620</v>
      </c>
      <c r="C5114" s="17" t="s">
        <v>1593</v>
      </c>
      <c r="D5114" s="17" t="s">
        <v>1407</v>
      </c>
      <c r="E5114" s="17" t="s">
        <v>2718</v>
      </c>
      <c r="F5114" s="17"/>
      <c r="G5114" s="18" t="n">
        <v>4.55</v>
      </c>
      <c r="H5114" s="18" t="n">
        <v>0</v>
      </c>
      <c r="I5114" s="18" t="n">
        <f aca="false">((I5113 + G5114) - H5114)</f>
        <v>21550.56</v>
      </c>
      <c r="J5114" s="18" t="n">
        <v>0.45</v>
      </c>
      <c r="K5114" s="19" t="n">
        <v>10</v>
      </c>
      <c r="L5114" s="17" t="s">
        <v>44</v>
      </c>
    </row>
    <row r="5115" s="11" customFormat="true" ht="10.95" hidden="false" customHeight="true" outlineLevel="0" collapsed="false">
      <c r="A5115" s="16" t="n">
        <v>45412</v>
      </c>
      <c r="B5115" s="17" t="s">
        <v>2620</v>
      </c>
      <c r="C5115" s="17" t="s">
        <v>1593</v>
      </c>
      <c r="D5115" s="17" t="s">
        <v>1407</v>
      </c>
      <c r="E5115" s="17" t="s">
        <v>2719</v>
      </c>
      <c r="F5115" s="17"/>
      <c r="G5115" s="18" t="n">
        <v>35.45</v>
      </c>
      <c r="H5115" s="18" t="n">
        <v>0</v>
      </c>
      <c r="I5115" s="18" t="n">
        <f aca="false">((I5114 + G5115) - H5115)</f>
        <v>21586.01</v>
      </c>
      <c r="J5115" s="18" t="n">
        <v>3.55</v>
      </c>
      <c r="K5115" s="19" t="n">
        <v>10</v>
      </c>
      <c r="L5115" s="17" t="s">
        <v>44</v>
      </c>
    </row>
    <row r="5116" s="11" customFormat="true" ht="10.95" hidden="false" customHeight="true" outlineLevel="0" collapsed="false">
      <c r="A5116" s="16" t="n">
        <v>45413</v>
      </c>
      <c r="B5116" s="17" t="s">
        <v>2620</v>
      </c>
      <c r="C5116" s="17" t="s">
        <v>1593</v>
      </c>
      <c r="D5116" s="17" t="s">
        <v>1407</v>
      </c>
      <c r="E5116" s="17" t="s">
        <v>2718</v>
      </c>
      <c r="F5116" s="17"/>
      <c r="G5116" s="18" t="n">
        <v>4.55</v>
      </c>
      <c r="H5116" s="18" t="n">
        <v>0</v>
      </c>
      <c r="I5116" s="18" t="n">
        <f aca="false">((I5115 + G5116) - H5116)</f>
        <v>21590.56</v>
      </c>
      <c r="J5116" s="18" t="n">
        <v>0.45</v>
      </c>
      <c r="K5116" s="19" t="n">
        <v>10</v>
      </c>
      <c r="L5116" s="17" t="s">
        <v>44</v>
      </c>
    </row>
    <row r="5117" s="11" customFormat="true" ht="10.95" hidden="false" customHeight="true" outlineLevel="0" collapsed="false">
      <c r="A5117" s="16" t="n">
        <v>45413</v>
      </c>
      <c r="B5117" s="17" t="s">
        <v>2620</v>
      </c>
      <c r="C5117" s="17" t="s">
        <v>1593</v>
      </c>
      <c r="D5117" s="17" t="s">
        <v>1391</v>
      </c>
      <c r="E5117" s="17" t="s">
        <v>2720</v>
      </c>
      <c r="F5117" s="17" t="s">
        <v>2721</v>
      </c>
      <c r="G5117" s="18" t="n">
        <v>665</v>
      </c>
      <c r="H5117" s="18" t="n">
        <v>0</v>
      </c>
      <c r="I5117" s="18" t="n">
        <f aca="false">((I5116 + G5117) - H5117)</f>
        <v>22255.56</v>
      </c>
      <c r="J5117" s="18" t="n">
        <v>66.5</v>
      </c>
      <c r="K5117" s="19" t="n">
        <v>10</v>
      </c>
      <c r="L5117" s="17" t="s">
        <v>44</v>
      </c>
    </row>
    <row r="5118" s="11" customFormat="true" ht="10.95" hidden="false" customHeight="true" outlineLevel="0" collapsed="false">
      <c r="A5118" s="16" t="n">
        <v>45414</v>
      </c>
      <c r="B5118" s="17" t="s">
        <v>2620</v>
      </c>
      <c r="C5118" s="17" t="s">
        <v>1593</v>
      </c>
      <c r="D5118" s="17" t="s">
        <v>1407</v>
      </c>
      <c r="E5118" s="17" t="s">
        <v>2717</v>
      </c>
      <c r="F5118" s="17"/>
      <c r="G5118" s="18" t="n">
        <v>4.55</v>
      </c>
      <c r="H5118" s="18" t="n">
        <v>0</v>
      </c>
      <c r="I5118" s="18" t="n">
        <f aca="false">((I5117 + G5118) - H5118)</f>
        <v>22260.11</v>
      </c>
      <c r="J5118" s="18" t="n">
        <v>0.45</v>
      </c>
      <c r="K5118" s="19" t="n">
        <v>10</v>
      </c>
      <c r="L5118" s="17" t="s">
        <v>44</v>
      </c>
    </row>
    <row r="5119" s="11" customFormat="true" ht="10.95" hidden="false" customHeight="true" outlineLevel="0" collapsed="false">
      <c r="A5119" s="16" t="n">
        <v>45414</v>
      </c>
      <c r="B5119" s="17" t="s">
        <v>2620</v>
      </c>
      <c r="C5119" s="17" t="s">
        <v>1593</v>
      </c>
      <c r="D5119" s="17" t="s">
        <v>1407</v>
      </c>
      <c r="E5119" s="17" t="s">
        <v>2722</v>
      </c>
      <c r="F5119" s="17"/>
      <c r="G5119" s="18" t="n">
        <v>56.51</v>
      </c>
      <c r="H5119" s="18" t="n">
        <v>0</v>
      </c>
      <c r="I5119" s="18" t="n">
        <f aca="false">((I5118 + G5119) - H5119)</f>
        <v>22316.62</v>
      </c>
      <c r="J5119" s="18" t="n">
        <v>0</v>
      </c>
      <c r="K5119" s="19" t="n">
        <v>0</v>
      </c>
      <c r="L5119" s="17" t="s">
        <v>1406</v>
      </c>
    </row>
    <row r="5120" s="11" customFormat="true" ht="10.95" hidden="false" customHeight="true" outlineLevel="0" collapsed="false">
      <c r="A5120" s="16" t="n">
        <v>45414</v>
      </c>
      <c r="B5120" s="17" t="s">
        <v>2620</v>
      </c>
      <c r="C5120" s="17" t="s">
        <v>1593</v>
      </c>
      <c r="D5120" s="17" t="s">
        <v>1407</v>
      </c>
      <c r="E5120" s="17" t="s">
        <v>2723</v>
      </c>
      <c r="F5120" s="17"/>
      <c r="G5120" s="18" t="n">
        <v>183.29</v>
      </c>
      <c r="H5120" s="18" t="n">
        <v>0</v>
      </c>
      <c r="I5120" s="18" t="n">
        <f aca="false">((I5119 + G5120) - H5120)</f>
        <v>22499.91</v>
      </c>
      <c r="J5120" s="18" t="n">
        <v>0</v>
      </c>
      <c r="K5120" s="19" t="n">
        <v>0</v>
      </c>
      <c r="L5120" s="17" t="s">
        <v>1406</v>
      </c>
    </row>
    <row r="5121" s="11" customFormat="true" ht="10.95" hidden="false" customHeight="true" outlineLevel="0" collapsed="false">
      <c r="A5121" s="16" t="n">
        <v>45415</v>
      </c>
      <c r="B5121" s="17" t="s">
        <v>2620</v>
      </c>
      <c r="C5121" s="17" t="s">
        <v>1593</v>
      </c>
      <c r="D5121" s="17" t="s">
        <v>1407</v>
      </c>
      <c r="E5121" s="17" t="s">
        <v>2724</v>
      </c>
      <c r="F5121" s="17"/>
      <c r="G5121" s="18" t="n">
        <v>4.55</v>
      </c>
      <c r="H5121" s="18" t="n">
        <v>0</v>
      </c>
      <c r="I5121" s="18" t="n">
        <f aca="false">((I5120 + G5121) - H5121)</f>
        <v>22504.46</v>
      </c>
      <c r="J5121" s="18" t="n">
        <v>0.45</v>
      </c>
      <c r="K5121" s="19" t="n">
        <v>10</v>
      </c>
      <c r="L5121" s="17" t="s">
        <v>44</v>
      </c>
    </row>
    <row r="5122" s="11" customFormat="true" ht="10.95" hidden="false" customHeight="true" outlineLevel="0" collapsed="false">
      <c r="A5122" s="16" t="n">
        <v>45416</v>
      </c>
      <c r="B5122" s="17" t="s">
        <v>2620</v>
      </c>
      <c r="C5122" s="17" t="s">
        <v>1593</v>
      </c>
      <c r="D5122" s="17" t="s">
        <v>1407</v>
      </c>
      <c r="E5122" s="17" t="s">
        <v>2724</v>
      </c>
      <c r="F5122" s="17"/>
      <c r="G5122" s="18" t="n">
        <v>4.55</v>
      </c>
      <c r="H5122" s="18" t="n">
        <v>0</v>
      </c>
      <c r="I5122" s="18" t="n">
        <f aca="false">((I5121 + G5122) - H5122)</f>
        <v>22509.01</v>
      </c>
      <c r="J5122" s="18" t="n">
        <v>0.45</v>
      </c>
      <c r="K5122" s="19" t="n">
        <v>10</v>
      </c>
      <c r="L5122" s="17" t="s">
        <v>44</v>
      </c>
    </row>
    <row r="5123" s="11" customFormat="true" ht="10.95" hidden="false" customHeight="true" outlineLevel="0" collapsed="false">
      <c r="A5123" s="16" t="n">
        <v>45420</v>
      </c>
      <c r="B5123" s="17" t="s">
        <v>2620</v>
      </c>
      <c r="C5123" s="17" t="s">
        <v>1593</v>
      </c>
      <c r="D5123" s="17" t="s">
        <v>1391</v>
      </c>
      <c r="E5123" s="17" t="s">
        <v>2711</v>
      </c>
      <c r="F5123" s="17" t="s">
        <v>2725</v>
      </c>
      <c r="G5123" s="18" t="n">
        <v>95.41</v>
      </c>
      <c r="H5123" s="18" t="n">
        <v>0</v>
      </c>
      <c r="I5123" s="18" t="n">
        <f aca="false">((I5122 + G5123) - H5123)</f>
        <v>22604.42</v>
      </c>
      <c r="J5123" s="18" t="n">
        <v>9.54</v>
      </c>
      <c r="K5123" s="19" t="n">
        <v>10</v>
      </c>
      <c r="L5123" s="17" t="s">
        <v>44</v>
      </c>
    </row>
    <row r="5124" s="11" customFormat="true" ht="10.95" hidden="false" customHeight="true" outlineLevel="0" collapsed="false">
      <c r="A5124" s="16" t="n">
        <v>45425</v>
      </c>
      <c r="B5124" s="17" t="s">
        <v>2620</v>
      </c>
      <c r="C5124" s="17" t="s">
        <v>1593</v>
      </c>
      <c r="D5124" s="17" t="s">
        <v>1391</v>
      </c>
      <c r="E5124" s="17" t="s">
        <v>2726</v>
      </c>
      <c r="F5124" s="17" t="s">
        <v>2727</v>
      </c>
      <c r="G5124" s="18" t="n">
        <v>289</v>
      </c>
      <c r="H5124" s="18" t="n">
        <v>0</v>
      </c>
      <c r="I5124" s="18" t="n">
        <f aca="false">((I5123 + G5124) - H5124)</f>
        <v>22893.42</v>
      </c>
      <c r="J5124" s="18" t="n">
        <v>28.9</v>
      </c>
      <c r="K5124" s="19" t="n">
        <v>10</v>
      </c>
      <c r="L5124" s="17" t="s">
        <v>44</v>
      </c>
    </row>
    <row r="5125" s="11" customFormat="true" ht="10.95" hidden="false" customHeight="true" outlineLevel="0" collapsed="false">
      <c r="A5125" s="16" t="n">
        <v>45425</v>
      </c>
      <c r="B5125" s="17" t="s">
        <v>2620</v>
      </c>
      <c r="C5125" s="17" t="s">
        <v>1593</v>
      </c>
      <c r="D5125" s="17" t="s">
        <v>1391</v>
      </c>
      <c r="E5125" s="17" t="s">
        <v>2728</v>
      </c>
      <c r="F5125" s="17" t="s">
        <v>2729</v>
      </c>
      <c r="G5125" s="18" t="n">
        <v>438</v>
      </c>
      <c r="H5125" s="18" t="n">
        <v>0</v>
      </c>
      <c r="I5125" s="18" t="n">
        <f aca="false">((I5124 + G5125) - H5125)</f>
        <v>23331.42</v>
      </c>
      <c r="J5125" s="18" t="n">
        <v>43.8</v>
      </c>
      <c r="K5125" s="19" t="n">
        <v>10</v>
      </c>
      <c r="L5125" s="17" t="s">
        <v>44</v>
      </c>
    </row>
    <row r="5126" s="11" customFormat="true" ht="10.95" hidden="false" customHeight="true" outlineLevel="0" collapsed="false">
      <c r="A5126" s="16" t="n">
        <v>45425</v>
      </c>
      <c r="B5126" s="17" t="s">
        <v>2620</v>
      </c>
      <c r="C5126" s="17" t="s">
        <v>1593</v>
      </c>
      <c r="D5126" s="17" t="s">
        <v>1391</v>
      </c>
      <c r="E5126" s="17" t="s">
        <v>2728</v>
      </c>
      <c r="F5126" s="17" t="s">
        <v>2730</v>
      </c>
      <c r="G5126" s="18" t="n">
        <v>289</v>
      </c>
      <c r="H5126" s="18" t="n">
        <v>0</v>
      </c>
      <c r="I5126" s="18" t="n">
        <f aca="false">((I5125 + G5126) - H5126)</f>
        <v>23620.42</v>
      </c>
      <c r="J5126" s="18" t="n">
        <v>28.9</v>
      </c>
      <c r="K5126" s="19" t="n">
        <v>10</v>
      </c>
      <c r="L5126" s="17" t="s">
        <v>44</v>
      </c>
    </row>
    <row r="5127" s="11" customFormat="true" ht="10.95" hidden="false" customHeight="true" outlineLevel="0" collapsed="false">
      <c r="A5127" s="16" t="n">
        <v>45426</v>
      </c>
      <c r="B5127" s="17" t="s">
        <v>2620</v>
      </c>
      <c r="C5127" s="17" t="s">
        <v>1593</v>
      </c>
      <c r="D5127" s="17" t="s">
        <v>1391</v>
      </c>
      <c r="E5127" s="17" t="s">
        <v>2731</v>
      </c>
      <c r="F5127" s="17" t="s">
        <v>2732</v>
      </c>
      <c r="G5127" s="18" t="n">
        <v>195.04</v>
      </c>
      <c r="H5127" s="18" t="n">
        <v>0</v>
      </c>
      <c r="I5127" s="18" t="n">
        <f aca="false">((I5126 + G5127) - H5127)</f>
        <v>23815.46</v>
      </c>
      <c r="J5127" s="18" t="n">
        <v>19.5</v>
      </c>
      <c r="K5127" s="19" t="n">
        <v>10</v>
      </c>
      <c r="L5127" s="17" t="s">
        <v>44</v>
      </c>
    </row>
    <row r="5128" s="11" customFormat="true" ht="10.95" hidden="false" customHeight="true" outlineLevel="0" collapsed="false">
      <c r="A5128" s="16" t="n">
        <v>45435</v>
      </c>
      <c r="B5128" s="17" t="s">
        <v>2620</v>
      </c>
      <c r="C5128" s="17" t="s">
        <v>1593</v>
      </c>
      <c r="D5128" s="17" t="s">
        <v>1391</v>
      </c>
      <c r="E5128" s="17" t="s">
        <v>2733</v>
      </c>
      <c r="F5128" s="17" t="s">
        <v>2734</v>
      </c>
      <c r="G5128" s="18" t="n">
        <v>53.64</v>
      </c>
      <c r="H5128" s="18" t="n">
        <v>0</v>
      </c>
      <c r="I5128" s="18" t="n">
        <f aca="false">((I5127 + G5128) - H5128)</f>
        <v>23869.1</v>
      </c>
      <c r="J5128" s="18" t="n">
        <v>5.36</v>
      </c>
      <c r="K5128" s="19" t="n">
        <v>10</v>
      </c>
      <c r="L5128" s="17" t="s">
        <v>44</v>
      </c>
    </row>
    <row r="5129" s="11" customFormat="true" ht="10.95" hidden="false" customHeight="true" outlineLevel="0" collapsed="false">
      <c r="A5129" s="16" t="n">
        <v>45437</v>
      </c>
      <c r="B5129" s="17" t="s">
        <v>2620</v>
      </c>
      <c r="C5129" s="17" t="s">
        <v>1593</v>
      </c>
      <c r="D5129" s="17" t="s">
        <v>1407</v>
      </c>
      <c r="E5129" s="17" t="s">
        <v>2735</v>
      </c>
      <c r="F5129" s="17"/>
      <c r="G5129" s="18" t="n">
        <v>122.73</v>
      </c>
      <c r="H5129" s="18" t="n">
        <v>0</v>
      </c>
      <c r="I5129" s="18" t="n">
        <f aca="false">((I5128 + G5129) - H5129)</f>
        <v>23991.83</v>
      </c>
      <c r="J5129" s="18" t="n">
        <v>12.27</v>
      </c>
      <c r="K5129" s="19" t="n">
        <v>10</v>
      </c>
      <c r="L5129" s="17" t="s">
        <v>44</v>
      </c>
    </row>
    <row r="5130" s="11" customFormat="true" ht="10.95" hidden="false" customHeight="true" outlineLevel="0" collapsed="false">
      <c r="A5130" s="16" t="n">
        <v>45439</v>
      </c>
      <c r="B5130" s="17" t="s">
        <v>2620</v>
      </c>
      <c r="C5130" s="17" t="s">
        <v>1593</v>
      </c>
      <c r="D5130" s="17" t="s">
        <v>1391</v>
      </c>
      <c r="E5130" s="17" t="s">
        <v>2736</v>
      </c>
      <c r="F5130" s="17" t="s">
        <v>2737</v>
      </c>
      <c r="G5130" s="18" t="n">
        <v>1991.55</v>
      </c>
      <c r="H5130" s="18" t="n">
        <v>0</v>
      </c>
      <c r="I5130" s="18" t="n">
        <f aca="false">((I5129 + G5130) - H5130)</f>
        <v>25983.38</v>
      </c>
      <c r="J5130" s="18" t="n">
        <v>199.16</v>
      </c>
      <c r="K5130" s="19" t="n">
        <v>10</v>
      </c>
      <c r="L5130" s="17" t="s">
        <v>44</v>
      </c>
    </row>
    <row r="5131" s="11" customFormat="true" ht="10.95" hidden="false" customHeight="true" outlineLevel="0" collapsed="false">
      <c r="A5131" s="16" t="n">
        <v>45440</v>
      </c>
      <c r="B5131" s="17" t="s">
        <v>2620</v>
      </c>
      <c r="C5131" s="17" t="s">
        <v>1593</v>
      </c>
      <c r="D5131" s="17" t="s">
        <v>1407</v>
      </c>
      <c r="E5131" s="17" t="s">
        <v>2719</v>
      </c>
      <c r="F5131" s="17"/>
      <c r="G5131" s="18" t="n">
        <v>35.45</v>
      </c>
      <c r="H5131" s="18" t="n">
        <v>0</v>
      </c>
      <c r="I5131" s="18" t="n">
        <f aca="false">((I5130 + G5131) - H5131)</f>
        <v>26018.83</v>
      </c>
      <c r="J5131" s="18" t="n">
        <v>3.55</v>
      </c>
      <c r="K5131" s="19" t="n">
        <v>10</v>
      </c>
      <c r="L5131" s="17" t="s">
        <v>44</v>
      </c>
    </row>
    <row r="5132" s="11" customFormat="true" ht="10.95" hidden="false" customHeight="true" outlineLevel="0" collapsed="false">
      <c r="A5132" s="16" t="n">
        <v>45444</v>
      </c>
      <c r="B5132" s="17" t="s">
        <v>2620</v>
      </c>
      <c r="C5132" s="17" t="s">
        <v>1593</v>
      </c>
      <c r="D5132" s="17" t="s">
        <v>1391</v>
      </c>
      <c r="E5132" s="17" t="s">
        <v>2738</v>
      </c>
      <c r="F5132" s="17" t="s">
        <v>2739</v>
      </c>
      <c r="G5132" s="18" t="n">
        <v>179.97</v>
      </c>
      <c r="H5132" s="18" t="n">
        <v>0</v>
      </c>
      <c r="I5132" s="18" t="n">
        <f aca="false">((I5131 + G5132) - H5132)</f>
        <v>26198.8</v>
      </c>
      <c r="J5132" s="18" t="n">
        <v>0</v>
      </c>
      <c r="K5132" s="19" t="n">
        <v>0</v>
      </c>
      <c r="L5132" s="17" t="s">
        <v>1406</v>
      </c>
    </row>
    <row r="5133" s="11" customFormat="true" ht="10.95" hidden="false" customHeight="true" outlineLevel="0" collapsed="false">
      <c r="A5133" s="16" t="n">
        <v>45444</v>
      </c>
      <c r="B5133" s="17" t="s">
        <v>2620</v>
      </c>
      <c r="C5133" s="17" t="s">
        <v>1593</v>
      </c>
      <c r="D5133" s="17" t="s">
        <v>1391</v>
      </c>
      <c r="E5133" s="17" t="s">
        <v>2740</v>
      </c>
      <c r="F5133" s="17" t="s">
        <v>2741</v>
      </c>
      <c r="G5133" s="18" t="n">
        <v>665</v>
      </c>
      <c r="H5133" s="18" t="n">
        <v>0</v>
      </c>
      <c r="I5133" s="18" t="n">
        <f aca="false">((I5132 + G5133) - H5133)</f>
        <v>26863.8</v>
      </c>
      <c r="J5133" s="18" t="n">
        <v>66.5</v>
      </c>
      <c r="K5133" s="19" t="n">
        <v>10</v>
      </c>
      <c r="L5133" s="17" t="s">
        <v>44</v>
      </c>
    </row>
    <row r="5134" s="11" customFormat="true" ht="10.95" hidden="false" customHeight="true" outlineLevel="0" collapsed="false">
      <c r="A5134" s="16" t="n">
        <v>45446</v>
      </c>
      <c r="B5134" s="17" t="s">
        <v>2620</v>
      </c>
      <c r="C5134" s="17" t="s">
        <v>1593</v>
      </c>
      <c r="D5134" s="17" t="s">
        <v>1407</v>
      </c>
      <c r="E5134" s="17" t="s">
        <v>2716</v>
      </c>
      <c r="F5134" s="17"/>
      <c r="G5134" s="18" t="n">
        <v>104.97</v>
      </c>
      <c r="H5134" s="18" t="n">
        <v>0</v>
      </c>
      <c r="I5134" s="18" t="n">
        <f aca="false">((I5133 + G5134) - H5134)</f>
        <v>26968.77</v>
      </c>
      <c r="J5134" s="18" t="n">
        <v>0</v>
      </c>
      <c r="K5134" s="19" t="n">
        <v>0</v>
      </c>
      <c r="L5134" s="17" t="s">
        <v>1406</v>
      </c>
    </row>
    <row r="5135" s="11" customFormat="true" ht="10.95" hidden="false" customHeight="true" outlineLevel="0" collapsed="false">
      <c r="A5135" s="16" t="n">
        <v>45452</v>
      </c>
      <c r="B5135" s="17" t="s">
        <v>2620</v>
      </c>
      <c r="C5135" s="17" t="s">
        <v>1593</v>
      </c>
      <c r="D5135" s="17" t="s">
        <v>1407</v>
      </c>
      <c r="E5135" s="17" t="s">
        <v>2742</v>
      </c>
      <c r="F5135" s="17"/>
      <c r="G5135" s="18" t="n">
        <v>113.45</v>
      </c>
      <c r="H5135" s="18" t="n">
        <v>0</v>
      </c>
      <c r="I5135" s="18" t="n">
        <f aca="false">((I5134 + G5135) - H5135)</f>
        <v>27082.22</v>
      </c>
      <c r="J5135" s="18" t="n">
        <v>11.35</v>
      </c>
      <c r="K5135" s="19" t="n">
        <v>10</v>
      </c>
      <c r="L5135" s="17" t="s">
        <v>44</v>
      </c>
    </row>
    <row r="5136" s="11" customFormat="true" ht="10.95" hidden="false" customHeight="true" outlineLevel="0" collapsed="false">
      <c r="A5136" s="16" t="n">
        <v>45457</v>
      </c>
      <c r="B5136" s="17" t="s">
        <v>2620</v>
      </c>
      <c r="C5136" s="17" t="s">
        <v>1593</v>
      </c>
      <c r="D5136" s="17" t="s">
        <v>1391</v>
      </c>
      <c r="E5136" s="17" t="s">
        <v>2743</v>
      </c>
      <c r="F5136" s="17" t="s">
        <v>2744</v>
      </c>
      <c r="G5136" s="18" t="n">
        <v>264.94</v>
      </c>
      <c r="H5136" s="18" t="n">
        <v>0</v>
      </c>
      <c r="I5136" s="18" t="n">
        <f aca="false">((I5135 + G5136) - H5136)</f>
        <v>27347.16</v>
      </c>
      <c r="J5136" s="18" t="n">
        <v>26.49</v>
      </c>
      <c r="K5136" s="19" t="n">
        <v>10</v>
      </c>
      <c r="L5136" s="17" t="s">
        <v>44</v>
      </c>
    </row>
    <row r="5137" s="11" customFormat="true" ht="10.95" hidden="false" customHeight="true" outlineLevel="0" collapsed="false">
      <c r="A5137" s="16" t="n">
        <v>45457</v>
      </c>
      <c r="B5137" s="17" t="s">
        <v>2620</v>
      </c>
      <c r="C5137" s="17" t="s">
        <v>1593</v>
      </c>
      <c r="D5137" s="17" t="s">
        <v>1407</v>
      </c>
      <c r="E5137" s="17" t="s">
        <v>2745</v>
      </c>
      <c r="F5137" s="17"/>
      <c r="G5137" s="18" t="n">
        <v>4.55</v>
      </c>
      <c r="H5137" s="18" t="n">
        <v>0</v>
      </c>
      <c r="I5137" s="18" t="n">
        <f aca="false">((I5136 + G5137) - H5137)</f>
        <v>27351.71</v>
      </c>
      <c r="J5137" s="18" t="n">
        <v>0.45</v>
      </c>
      <c r="K5137" s="19" t="n">
        <v>10</v>
      </c>
      <c r="L5137" s="17" t="s">
        <v>44</v>
      </c>
    </row>
    <row r="5138" s="11" customFormat="true" ht="10.95" hidden="false" customHeight="true" outlineLevel="0" collapsed="false">
      <c r="A5138" s="16" t="n">
        <v>45461</v>
      </c>
      <c r="B5138" s="17" t="s">
        <v>2620</v>
      </c>
      <c r="C5138" s="17" t="s">
        <v>1593</v>
      </c>
      <c r="D5138" s="17" t="s">
        <v>1407</v>
      </c>
      <c r="E5138" s="17" t="s">
        <v>2716</v>
      </c>
      <c r="F5138" s="17"/>
      <c r="G5138" s="18" t="n">
        <v>105.54</v>
      </c>
      <c r="H5138" s="18" t="n">
        <v>0</v>
      </c>
      <c r="I5138" s="18" t="n">
        <f aca="false">((I5137 + G5138) - H5138)</f>
        <v>27457.25</v>
      </c>
      <c r="J5138" s="18" t="n">
        <v>0</v>
      </c>
      <c r="K5138" s="19" t="n">
        <v>0</v>
      </c>
      <c r="L5138" s="17" t="s">
        <v>1406</v>
      </c>
    </row>
    <row r="5139" s="11" customFormat="true" ht="10.95" hidden="false" customHeight="true" outlineLevel="0" collapsed="false">
      <c r="A5139" s="16" t="n">
        <v>45468</v>
      </c>
      <c r="B5139" s="17" t="s">
        <v>2620</v>
      </c>
      <c r="C5139" s="17" t="s">
        <v>1593</v>
      </c>
      <c r="D5139" s="17" t="s">
        <v>1407</v>
      </c>
      <c r="E5139" s="17" t="s">
        <v>2746</v>
      </c>
      <c r="F5139" s="17"/>
      <c r="G5139" s="18" t="n">
        <v>71.12</v>
      </c>
      <c r="H5139" s="18" t="n">
        <v>0</v>
      </c>
      <c r="I5139" s="18" t="n">
        <f aca="false">((I5138 + G5139) - H5139)</f>
        <v>27528.37</v>
      </c>
      <c r="J5139" s="18" t="n">
        <v>7.11</v>
      </c>
      <c r="K5139" s="19" t="n">
        <v>10</v>
      </c>
      <c r="L5139" s="17" t="s">
        <v>44</v>
      </c>
    </row>
    <row r="5140" s="11" customFormat="true" ht="10.95" hidden="false" customHeight="true" outlineLevel="0" collapsed="false">
      <c r="A5140" s="16" t="n">
        <v>45470</v>
      </c>
      <c r="B5140" s="17" t="s">
        <v>2620</v>
      </c>
      <c r="C5140" s="17" t="s">
        <v>1593</v>
      </c>
      <c r="D5140" s="17" t="s">
        <v>1407</v>
      </c>
      <c r="E5140" s="17" t="s">
        <v>2747</v>
      </c>
      <c r="F5140" s="17"/>
      <c r="G5140" s="18" t="n">
        <v>35.45</v>
      </c>
      <c r="H5140" s="18" t="n">
        <v>0</v>
      </c>
      <c r="I5140" s="18" t="n">
        <f aca="false">((I5139 + G5140) - H5140)</f>
        <v>27563.82</v>
      </c>
      <c r="J5140" s="18" t="n">
        <v>3.55</v>
      </c>
      <c r="K5140" s="19" t="n">
        <v>10</v>
      </c>
      <c r="L5140" s="17" t="s">
        <v>44</v>
      </c>
    </row>
    <row r="5141" s="11" customFormat="true" ht="10.95" hidden="false" customHeight="true" outlineLevel="0" collapsed="false">
      <c r="A5141" s="16" t="n">
        <v>45472</v>
      </c>
      <c r="B5141" s="17" t="s">
        <v>2620</v>
      </c>
      <c r="C5141" s="17" t="s">
        <v>1593</v>
      </c>
      <c r="D5141" s="17" t="s">
        <v>1407</v>
      </c>
      <c r="E5141" s="17" t="s">
        <v>2748</v>
      </c>
      <c r="F5141" s="17"/>
      <c r="G5141" s="18" t="n">
        <v>87.09</v>
      </c>
      <c r="H5141" s="18" t="n">
        <v>0</v>
      </c>
      <c r="I5141" s="18" t="n">
        <f aca="false">((I5140 + G5141) - H5141)</f>
        <v>27650.91</v>
      </c>
      <c r="J5141" s="18" t="n">
        <v>8.71</v>
      </c>
      <c r="K5141" s="19" t="n">
        <v>10</v>
      </c>
      <c r="L5141" s="17" t="s">
        <v>44</v>
      </c>
    </row>
    <row r="5142" s="11" customFormat="true" ht="10.95" hidden="false" customHeight="true" outlineLevel="0" collapsed="false">
      <c r="A5142" s="21" t="s">
        <v>2749</v>
      </c>
      <c r="B5142" s="21"/>
      <c r="C5142" s="21"/>
      <c r="D5142" s="21"/>
      <c r="E5142" s="21"/>
      <c r="F5142" s="21"/>
      <c r="G5142" s="22" t="n">
        <f aca="false">SUM(G5016:G5141)</f>
        <v>27666.66</v>
      </c>
      <c r="H5142" s="22" t="n">
        <f aca="false">SUM(H5016:H5141)</f>
        <v>15.75</v>
      </c>
      <c r="I5142" s="22" t="n">
        <f aca="false">I5141</f>
        <v>27650.91</v>
      </c>
      <c r="J5142" s="22" t="n">
        <f aca="false">SUM(J5016:J5141)</f>
        <v>2540.01</v>
      </c>
      <c r="K5142" s="21"/>
      <c r="L5142" s="21"/>
    </row>
    <row r="5143" s="11" customFormat="true" ht="10.95" hidden="false" customHeight="true" outlineLevel="0" collapsed="false">
      <c r="A5143" s="21" t="s">
        <v>784</v>
      </c>
      <c r="B5143" s="21"/>
      <c r="C5143" s="21"/>
      <c r="D5143" s="21"/>
      <c r="E5143" s="21"/>
      <c r="F5143" s="21"/>
      <c r="G5143" s="22" t="n">
        <v>27650.91</v>
      </c>
      <c r="H5143" s="22" t="n">
        <v>0</v>
      </c>
      <c r="I5143" s="22" t="n">
        <v>0</v>
      </c>
      <c r="J5143" s="22" t="n">
        <v>0</v>
      </c>
      <c r="K5143" s="21"/>
      <c r="L5143" s="21"/>
    </row>
    <row r="5144" s="11" customFormat="true" ht="10.95" hidden="false" customHeight="true" outlineLevel="0" collapsed="false">
      <c r="A5144" s="9" t="s">
        <v>785</v>
      </c>
      <c r="B5144" s="9"/>
      <c r="C5144" s="9"/>
      <c r="D5144" s="9"/>
      <c r="E5144" s="9"/>
      <c r="F5144" s="9"/>
      <c r="G5144" s="10" t="n">
        <v>27650.91</v>
      </c>
      <c r="H5144" s="10" t="n">
        <v>0</v>
      </c>
      <c r="I5144" s="10" t="n">
        <f aca="false">I5141</f>
        <v>27650.91</v>
      </c>
      <c r="J5144" s="10" t="n">
        <v>0</v>
      </c>
      <c r="K5144" s="9"/>
      <c r="L5144" s="9"/>
    </row>
    <row r="5145" customFormat="false" ht="13.35" hidden="false" customHeight="true" outlineLevel="0" collapsed="false"/>
    <row r="5146" s="7" customFormat="true" ht="12.1" hidden="false" customHeight="true" outlineLevel="0" collapsed="false">
      <c r="A5146" s="8" t="s">
        <v>2750</v>
      </c>
      <c r="B5146" s="8"/>
      <c r="C5146" s="8"/>
      <c r="D5146" s="8"/>
      <c r="E5146" s="8"/>
      <c r="F5146" s="8"/>
      <c r="G5146" s="8"/>
      <c r="H5146" s="8"/>
      <c r="I5146" s="8"/>
      <c r="J5146" s="8"/>
      <c r="K5146" s="8"/>
      <c r="L5146" s="8"/>
    </row>
    <row r="5147" s="11" customFormat="true" ht="10.95" hidden="false" customHeight="true" outlineLevel="0" collapsed="false">
      <c r="A5147" s="9" t="s">
        <v>16</v>
      </c>
      <c r="B5147" s="9"/>
      <c r="C5147" s="9"/>
      <c r="D5147" s="9"/>
      <c r="E5147" s="9"/>
      <c r="F5147" s="9"/>
      <c r="G5147" s="10" t="n">
        <v>0</v>
      </c>
      <c r="H5147" s="10" t="n">
        <v>0</v>
      </c>
      <c r="I5147" s="10" t="n">
        <f aca="false">(G5147 - H5147)</f>
        <v>0</v>
      </c>
      <c r="J5147" s="10" t="n">
        <v>0</v>
      </c>
      <c r="K5147" s="9"/>
      <c r="L5147" s="9"/>
    </row>
    <row r="5148" s="11" customFormat="true" ht="10.95" hidden="false" customHeight="true" outlineLevel="0" collapsed="false">
      <c r="A5148" s="12" t="n">
        <v>45133</v>
      </c>
      <c r="B5148" s="13" t="s">
        <v>2751</v>
      </c>
      <c r="C5148" s="13" t="s">
        <v>1593</v>
      </c>
      <c r="D5148" s="13" t="s">
        <v>1407</v>
      </c>
      <c r="E5148" s="13" t="s">
        <v>2752</v>
      </c>
      <c r="F5148" s="13"/>
      <c r="G5148" s="14" t="n">
        <v>961.83</v>
      </c>
      <c r="H5148" s="14" t="n">
        <v>0</v>
      </c>
      <c r="I5148" s="14" t="n">
        <f aca="false">((I5147 + G5148) - H5148)</f>
        <v>961.83</v>
      </c>
      <c r="J5148" s="14" t="n">
        <v>96.18</v>
      </c>
      <c r="K5148" s="15" t="n">
        <v>10</v>
      </c>
      <c r="L5148" s="13" t="s">
        <v>44</v>
      </c>
    </row>
    <row r="5149" s="11" customFormat="true" ht="10.95" hidden="false" customHeight="true" outlineLevel="0" collapsed="false">
      <c r="A5149" s="16" t="n">
        <v>45133</v>
      </c>
      <c r="B5149" s="17" t="s">
        <v>2751</v>
      </c>
      <c r="C5149" s="17" t="s">
        <v>1593</v>
      </c>
      <c r="D5149" s="17" t="s">
        <v>1407</v>
      </c>
      <c r="E5149" s="17" t="s">
        <v>2753</v>
      </c>
      <c r="F5149" s="17"/>
      <c r="G5149" s="18" t="n">
        <v>5.29</v>
      </c>
      <c r="H5149" s="18" t="n">
        <v>0</v>
      </c>
      <c r="I5149" s="18" t="n">
        <f aca="false">((I5148 + G5149) - H5149)</f>
        <v>967.12</v>
      </c>
      <c r="J5149" s="18" t="n">
        <v>0.53</v>
      </c>
      <c r="K5149" s="19" t="n">
        <v>10</v>
      </c>
      <c r="L5149" s="17" t="s">
        <v>44</v>
      </c>
    </row>
    <row r="5150" s="11" customFormat="true" ht="10.95" hidden="false" customHeight="true" outlineLevel="0" collapsed="false">
      <c r="A5150" s="16" t="n">
        <v>45138</v>
      </c>
      <c r="B5150" s="17" t="s">
        <v>2751</v>
      </c>
      <c r="C5150" s="17" t="s">
        <v>1593</v>
      </c>
      <c r="D5150" s="17" t="s">
        <v>1407</v>
      </c>
      <c r="E5150" s="17" t="s">
        <v>2754</v>
      </c>
      <c r="F5150" s="17"/>
      <c r="G5150" s="18" t="n">
        <v>1000</v>
      </c>
      <c r="H5150" s="18" t="n">
        <v>0</v>
      </c>
      <c r="I5150" s="18" t="n">
        <f aca="false">((I5149 + G5150) - H5150)</f>
        <v>1967.12</v>
      </c>
      <c r="J5150" s="18" t="n">
        <v>0</v>
      </c>
      <c r="K5150" s="19" t="n">
        <v>0</v>
      </c>
      <c r="L5150" s="17" t="s">
        <v>1406</v>
      </c>
    </row>
    <row r="5151" s="11" customFormat="true" ht="10.95" hidden="false" customHeight="true" outlineLevel="0" collapsed="false">
      <c r="A5151" s="16" t="n">
        <v>45139</v>
      </c>
      <c r="B5151" s="17" t="s">
        <v>2751</v>
      </c>
      <c r="C5151" s="17" t="s">
        <v>1593</v>
      </c>
      <c r="D5151" s="17" t="s">
        <v>1407</v>
      </c>
      <c r="E5151" s="17" t="s">
        <v>2755</v>
      </c>
      <c r="F5151" s="17"/>
      <c r="G5151" s="18" t="n">
        <v>896.46</v>
      </c>
      <c r="H5151" s="18" t="n">
        <v>0</v>
      </c>
      <c r="I5151" s="18" t="n">
        <f aca="false">((I5150 + G5151) - H5151)</f>
        <v>2863.58</v>
      </c>
      <c r="J5151" s="18" t="n">
        <v>89.65</v>
      </c>
      <c r="K5151" s="19" t="n">
        <v>10</v>
      </c>
      <c r="L5151" s="17" t="s">
        <v>44</v>
      </c>
    </row>
    <row r="5152" s="11" customFormat="true" ht="10.95" hidden="false" customHeight="true" outlineLevel="0" collapsed="false">
      <c r="A5152" s="16" t="n">
        <v>45142</v>
      </c>
      <c r="B5152" s="17" t="s">
        <v>2751</v>
      </c>
      <c r="C5152" s="17" t="s">
        <v>1593</v>
      </c>
      <c r="D5152" s="17" t="s">
        <v>1407</v>
      </c>
      <c r="E5152" s="17" t="s">
        <v>2756</v>
      </c>
      <c r="F5152" s="17"/>
      <c r="G5152" s="18" t="n">
        <v>3.69</v>
      </c>
      <c r="H5152" s="18" t="n">
        <v>0</v>
      </c>
      <c r="I5152" s="18" t="n">
        <f aca="false">((I5151 + G5152) - H5152)</f>
        <v>2867.27</v>
      </c>
      <c r="J5152" s="18" t="n">
        <v>0.37</v>
      </c>
      <c r="K5152" s="19" t="n">
        <v>10</v>
      </c>
      <c r="L5152" s="17" t="s">
        <v>44</v>
      </c>
    </row>
    <row r="5153" s="11" customFormat="true" ht="10.95" hidden="false" customHeight="true" outlineLevel="0" collapsed="false">
      <c r="A5153" s="16" t="n">
        <v>45142</v>
      </c>
      <c r="B5153" s="17" t="s">
        <v>2751</v>
      </c>
      <c r="C5153" s="17" t="s">
        <v>1593</v>
      </c>
      <c r="D5153" s="17" t="s">
        <v>1407</v>
      </c>
      <c r="E5153" s="17" t="s">
        <v>2757</v>
      </c>
      <c r="F5153" s="17"/>
      <c r="G5153" s="18" t="n">
        <v>5.54</v>
      </c>
      <c r="H5153" s="18" t="n">
        <v>0</v>
      </c>
      <c r="I5153" s="18" t="n">
        <f aca="false">((I5152 + G5153) - H5153)</f>
        <v>2872.81</v>
      </c>
      <c r="J5153" s="18" t="n">
        <v>0.55</v>
      </c>
      <c r="K5153" s="19" t="n">
        <v>10</v>
      </c>
      <c r="L5153" s="17" t="s">
        <v>44</v>
      </c>
    </row>
    <row r="5154" s="11" customFormat="true" ht="10.95" hidden="false" customHeight="true" outlineLevel="0" collapsed="false">
      <c r="A5154" s="16" t="n">
        <v>45142</v>
      </c>
      <c r="B5154" s="17" t="s">
        <v>2751</v>
      </c>
      <c r="C5154" s="17" t="s">
        <v>1593</v>
      </c>
      <c r="D5154" s="17" t="s">
        <v>1407</v>
      </c>
      <c r="E5154" s="17" t="s">
        <v>2758</v>
      </c>
      <c r="F5154" s="17"/>
      <c r="G5154" s="18" t="n">
        <v>271.82</v>
      </c>
      <c r="H5154" s="18" t="n">
        <v>0</v>
      </c>
      <c r="I5154" s="18" t="n">
        <f aca="false">((I5153 + G5154) - H5154)</f>
        <v>3144.63</v>
      </c>
      <c r="J5154" s="18" t="n">
        <v>27.18</v>
      </c>
      <c r="K5154" s="19" t="n">
        <v>10</v>
      </c>
      <c r="L5154" s="17" t="s">
        <v>44</v>
      </c>
    </row>
    <row r="5155" s="11" customFormat="true" ht="10.95" hidden="false" customHeight="true" outlineLevel="0" collapsed="false">
      <c r="A5155" s="16" t="n">
        <v>45143</v>
      </c>
      <c r="B5155" s="17" t="s">
        <v>2751</v>
      </c>
      <c r="C5155" s="17" t="s">
        <v>1593</v>
      </c>
      <c r="D5155" s="17" t="s">
        <v>1407</v>
      </c>
      <c r="E5155" s="17" t="s">
        <v>2759</v>
      </c>
      <c r="F5155" s="17"/>
      <c r="G5155" s="18" t="n">
        <v>43.18</v>
      </c>
      <c r="H5155" s="18" t="n">
        <v>0</v>
      </c>
      <c r="I5155" s="18" t="n">
        <f aca="false">((I5154 + G5155) - H5155)</f>
        <v>3187.81</v>
      </c>
      <c r="J5155" s="18" t="n">
        <v>4.32</v>
      </c>
      <c r="K5155" s="19" t="n">
        <v>10</v>
      </c>
      <c r="L5155" s="17" t="s">
        <v>44</v>
      </c>
    </row>
    <row r="5156" s="11" customFormat="true" ht="10.95" hidden="false" customHeight="true" outlineLevel="0" collapsed="false">
      <c r="A5156" s="16" t="n">
        <v>45160</v>
      </c>
      <c r="B5156" s="17" t="s">
        <v>2751</v>
      </c>
      <c r="C5156" s="17" t="s">
        <v>1593</v>
      </c>
      <c r="D5156" s="17" t="s">
        <v>1407</v>
      </c>
      <c r="E5156" s="17" t="s">
        <v>2760</v>
      </c>
      <c r="F5156" s="17"/>
      <c r="G5156" s="18" t="n">
        <v>590.14</v>
      </c>
      <c r="H5156" s="18" t="n">
        <v>0</v>
      </c>
      <c r="I5156" s="18" t="n">
        <f aca="false">((I5155 + G5156) - H5156)</f>
        <v>3777.95</v>
      </c>
      <c r="J5156" s="18" t="n">
        <v>59.01</v>
      </c>
      <c r="K5156" s="19" t="n">
        <v>10</v>
      </c>
      <c r="L5156" s="17" t="s">
        <v>44</v>
      </c>
    </row>
    <row r="5157" s="11" customFormat="true" ht="10.95" hidden="false" customHeight="true" outlineLevel="0" collapsed="false">
      <c r="A5157" s="16" t="n">
        <v>45161</v>
      </c>
      <c r="B5157" s="17" t="s">
        <v>2751</v>
      </c>
      <c r="C5157" s="17" t="s">
        <v>1593</v>
      </c>
      <c r="D5157" s="17" t="s">
        <v>1407</v>
      </c>
      <c r="E5157" s="17" t="s">
        <v>2761</v>
      </c>
      <c r="F5157" s="17"/>
      <c r="G5157" s="18" t="n">
        <v>36.36</v>
      </c>
      <c r="H5157" s="18" t="n">
        <v>0</v>
      </c>
      <c r="I5157" s="18" t="n">
        <f aca="false">((I5156 + G5157) - H5157)</f>
        <v>3814.31</v>
      </c>
      <c r="J5157" s="18" t="n">
        <v>3.64</v>
      </c>
      <c r="K5157" s="19" t="n">
        <v>10</v>
      </c>
      <c r="L5157" s="17" t="s">
        <v>44</v>
      </c>
    </row>
    <row r="5158" s="11" customFormat="true" ht="10.95" hidden="false" customHeight="true" outlineLevel="0" collapsed="false">
      <c r="A5158" s="16" t="n">
        <v>45176</v>
      </c>
      <c r="B5158" s="17" t="s">
        <v>2751</v>
      </c>
      <c r="C5158" s="17" t="s">
        <v>1593</v>
      </c>
      <c r="D5158" s="17" t="s">
        <v>1407</v>
      </c>
      <c r="E5158" s="17" t="s">
        <v>2752</v>
      </c>
      <c r="F5158" s="17"/>
      <c r="G5158" s="18" t="n">
        <v>480.91</v>
      </c>
      <c r="H5158" s="18" t="n">
        <v>0</v>
      </c>
      <c r="I5158" s="18" t="n">
        <f aca="false">((I5157 + G5158) - H5158)</f>
        <v>4295.22</v>
      </c>
      <c r="J5158" s="18" t="n">
        <v>48.09</v>
      </c>
      <c r="K5158" s="19" t="n">
        <v>10</v>
      </c>
      <c r="L5158" s="17" t="s">
        <v>44</v>
      </c>
    </row>
    <row r="5159" s="11" customFormat="true" ht="10.95" hidden="false" customHeight="true" outlineLevel="0" collapsed="false">
      <c r="A5159" s="16" t="n">
        <v>45176</v>
      </c>
      <c r="B5159" s="17" t="s">
        <v>2751</v>
      </c>
      <c r="C5159" s="17" t="s">
        <v>1593</v>
      </c>
      <c r="D5159" s="17" t="s">
        <v>1407</v>
      </c>
      <c r="E5159" s="17" t="s">
        <v>2762</v>
      </c>
      <c r="F5159" s="17"/>
      <c r="G5159" s="18" t="n">
        <v>2.65</v>
      </c>
      <c r="H5159" s="18" t="n">
        <v>0</v>
      </c>
      <c r="I5159" s="18" t="n">
        <f aca="false">((I5158 + G5159) - H5159)</f>
        <v>4297.87</v>
      </c>
      <c r="J5159" s="18" t="n">
        <v>0.26</v>
      </c>
      <c r="K5159" s="19" t="n">
        <v>10</v>
      </c>
      <c r="L5159" s="17" t="s">
        <v>44</v>
      </c>
    </row>
    <row r="5160" s="11" customFormat="true" ht="10.95" hidden="false" customHeight="true" outlineLevel="0" collapsed="false">
      <c r="A5160" s="16" t="n">
        <v>45181</v>
      </c>
      <c r="B5160" s="17" t="s">
        <v>2751</v>
      </c>
      <c r="C5160" s="17" t="s">
        <v>1593</v>
      </c>
      <c r="D5160" s="17" t="s">
        <v>1407</v>
      </c>
      <c r="E5160" s="17" t="s">
        <v>2752</v>
      </c>
      <c r="F5160" s="17"/>
      <c r="G5160" s="18" t="n">
        <v>544.55</v>
      </c>
      <c r="H5160" s="18" t="n">
        <v>0</v>
      </c>
      <c r="I5160" s="18" t="n">
        <f aca="false">((I5159 + G5160) - H5160)</f>
        <v>4842.42</v>
      </c>
      <c r="J5160" s="18" t="n">
        <v>54.46</v>
      </c>
      <c r="K5160" s="19" t="n">
        <v>10</v>
      </c>
      <c r="L5160" s="17" t="s">
        <v>44</v>
      </c>
    </row>
    <row r="5161" s="11" customFormat="true" ht="10.95" hidden="false" customHeight="true" outlineLevel="0" collapsed="false">
      <c r="A5161" s="16" t="n">
        <v>45181</v>
      </c>
      <c r="B5161" s="17" t="s">
        <v>2751</v>
      </c>
      <c r="C5161" s="17" t="s">
        <v>1593</v>
      </c>
      <c r="D5161" s="17" t="s">
        <v>1407</v>
      </c>
      <c r="E5161" s="17" t="s">
        <v>2762</v>
      </c>
      <c r="F5161" s="17"/>
      <c r="G5161" s="18" t="n">
        <v>2.99</v>
      </c>
      <c r="H5161" s="18" t="n">
        <v>0</v>
      </c>
      <c r="I5161" s="18" t="n">
        <f aca="false">((I5160 + G5161) - H5161)</f>
        <v>4845.41</v>
      </c>
      <c r="J5161" s="18" t="n">
        <v>0.3</v>
      </c>
      <c r="K5161" s="19" t="n">
        <v>10</v>
      </c>
      <c r="L5161" s="17" t="s">
        <v>44</v>
      </c>
    </row>
    <row r="5162" s="11" customFormat="true" ht="10.95" hidden="false" customHeight="true" outlineLevel="0" collapsed="false">
      <c r="A5162" s="16" t="n">
        <v>45183</v>
      </c>
      <c r="B5162" s="17" t="s">
        <v>2751</v>
      </c>
      <c r="C5162" s="17" t="s">
        <v>1593</v>
      </c>
      <c r="D5162" s="17" t="s">
        <v>1407</v>
      </c>
      <c r="E5162" s="17" t="s">
        <v>2763</v>
      </c>
      <c r="F5162" s="17"/>
      <c r="G5162" s="18" t="n">
        <v>1000</v>
      </c>
      <c r="H5162" s="18" t="n">
        <v>0</v>
      </c>
      <c r="I5162" s="18" t="n">
        <f aca="false">((I5161 + G5162) - H5162)</f>
        <v>5845.41</v>
      </c>
      <c r="J5162" s="18" t="n">
        <v>0</v>
      </c>
      <c r="K5162" s="19" t="n">
        <v>0</v>
      </c>
      <c r="L5162" s="17" t="s">
        <v>1406</v>
      </c>
    </row>
    <row r="5163" s="11" customFormat="true" ht="10.95" hidden="false" customHeight="true" outlineLevel="0" collapsed="false">
      <c r="A5163" s="16" t="n">
        <v>45184</v>
      </c>
      <c r="B5163" s="17" t="s">
        <v>2751</v>
      </c>
      <c r="C5163" s="17" t="s">
        <v>1593</v>
      </c>
      <c r="D5163" s="17" t="s">
        <v>1407</v>
      </c>
      <c r="E5163" s="17" t="s">
        <v>2755</v>
      </c>
      <c r="F5163" s="17"/>
      <c r="G5163" s="18" t="n">
        <v>716.04</v>
      </c>
      <c r="H5163" s="18" t="n">
        <v>0</v>
      </c>
      <c r="I5163" s="18" t="n">
        <f aca="false">((I5162 + G5163) - H5163)</f>
        <v>6561.45</v>
      </c>
      <c r="J5163" s="18" t="n">
        <v>71.6</v>
      </c>
      <c r="K5163" s="19" t="n">
        <v>10</v>
      </c>
      <c r="L5163" s="17" t="s">
        <v>44</v>
      </c>
    </row>
    <row r="5164" s="11" customFormat="true" ht="10.95" hidden="false" customHeight="true" outlineLevel="0" collapsed="false">
      <c r="A5164" s="16" t="n">
        <v>45188</v>
      </c>
      <c r="B5164" s="17" t="s">
        <v>2751</v>
      </c>
      <c r="C5164" s="17" t="s">
        <v>1593</v>
      </c>
      <c r="D5164" s="17" t="s">
        <v>1407</v>
      </c>
      <c r="E5164" s="17" t="s">
        <v>2757</v>
      </c>
      <c r="F5164" s="17"/>
      <c r="G5164" s="18" t="n">
        <v>3.69</v>
      </c>
      <c r="H5164" s="18" t="n">
        <v>0</v>
      </c>
      <c r="I5164" s="18" t="n">
        <f aca="false">((I5163 + G5164) - H5164)</f>
        <v>6565.14</v>
      </c>
      <c r="J5164" s="18" t="n">
        <v>0.37</v>
      </c>
      <c r="K5164" s="19" t="n">
        <v>10</v>
      </c>
      <c r="L5164" s="17" t="s">
        <v>44</v>
      </c>
    </row>
    <row r="5165" s="11" customFormat="true" ht="10.95" hidden="false" customHeight="true" outlineLevel="0" collapsed="false">
      <c r="A5165" s="16" t="n">
        <v>45225</v>
      </c>
      <c r="B5165" s="17" t="s">
        <v>2751</v>
      </c>
      <c r="C5165" s="17" t="s">
        <v>1593</v>
      </c>
      <c r="D5165" s="17" t="s">
        <v>1407</v>
      </c>
      <c r="E5165" s="17" t="s">
        <v>2764</v>
      </c>
      <c r="F5165" s="17"/>
      <c r="G5165" s="18" t="n">
        <v>308.89</v>
      </c>
      <c r="H5165" s="18" t="n">
        <v>0</v>
      </c>
      <c r="I5165" s="18" t="n">
        <f aca="false">((I5164 + G5165) - H5165)</f>
        <v>6874.03</v>
      </c>
      <c r="J5165" s="18" t="n">
        <v>30.89</v>
      </c>
      <c r="K5165" s="19" t="n">
        <v>10</v>
      </c>
      <c r="L5165" s="17" t="s">
        <v>44</v>
      </c>
    </row>
    <row r="5166" s="11" customFormat="true" ht="10.95" hidden="false" customHeight="true" outlineLevel="0" collapsed="false">
      <c r="A5166" s="16" t="n">
        <v>45226</v>
      </c>
      <c r="B5166" s="17" t="s">
        <v>2751</v>
      </c>
      <c r="C5166" s="17" t="s">
        <v>1593</v>
      </c>
      <c r="D5166" s="17" t="s">
        <v>1407</v>
      </c>
      <c r="E5166" s="17" t="s">
        <v>2765</v>
      </c>
      <c r="F5166" s="17"/>
      <c r="G5166" s="18" t="n">
        <v>966.92</v>
      </c>
      <c r="H5166" s="18" t="n">
        <v>0</v>
      </c>
      <c r="I5166" s="18" t="n">
        <f aca="false">((I5165 + G5166) - H5166)</f>
        <v>7840.95</v>
      </c>
      <c r="J5166" s="18" t="n">
        <v>96.69</v>
      </c>
      <c r="K5166" s="19" t="n">
        <v>10</v>
      </c>
      <c r="L5166" s="17" t="s">
        <v>44</v>
      </c>
    </row>
    <row r="5167" s="11" customFormat="true" ht="10.95" hidden="false" customHeight="true" outlineLevel="0" collapsed="false">
      <c r="A5167" s="16" t="n">
        <v>45230</v>
      </c>
      <c r="B5167" s="17" t="s">
        <v>2751</v>
      </c>
      <c r="C5167" s="17" t="s">
        <v>1593</v>
      </c>
      <c r="D5167" s="17" t="s">
        <v>1407</v>
      </c>
      <c r="E5167" s="17" t="s">
        <v>2766</v>
      </c>
      <c r="F5167" s="17"/>
      <c r="G5167" s="18" t="n">
        <v>1000</v>
      </c>
      <c r="H5167" s="18" t="n">
        <v>0</v>
      </c>
      <c r="I5167" s="18" t="n">
        <f aca="false">((I5166 + G5167) - H5167)</f>
        <v>8840.95</v>
      </c>
      <c r="J5167" s="18" t="n">
        <v>0</v>
      </c>
      <c r="K5167" s="19" t="n">
        <v>0</v>
      </c>
      <c r="L5167" s="17" t="s">
        <v>1406</v>
      </c>
    </row>
    <row r="5168" s="11" customFormat="true" ht="10.95" hidden="false" customHeight="true" outlineLevel="0" collapsed="false">
      <c r="A5168" s="16" t="n">
        <v>45230</v>
      </c>
      <c r="B5168" s="17" t="s">
        <v>2751</v>
      </c>
      <c r="C5168" s="17" t="s">
        <v>1593</v>
      </c>
      <c r="D5168" s="17" t="s">
        <v>1407</v>
      </c>
      <c r="E5168" s="17" t="s">
        <v>2764</v>
      </c>
      <c r="F5168" s="17"/>
      <c r="G5168" s="18" t="n">
        <v>144.8</v>
      </c>
      <c r="H5168" s="18" t="n">
        <v>0</v>
      </c>
      <c r="I5168" s="18" t="n">
        <f aca="false">((I5167 + G5168) - H5168)</f>
        <v>8985.75</v>
      </c>
      <c r="J5168" s="18" t="n">
        <v>14.48</v>
      </c>
      <c r="K5168" s="19" t="n">
        <v>10</v>
      </c>
      <c r="L5168" s="17" t="s">
        <v>44</v>
      </c>
    </row>
    <row r="5169" s="11" customFormat="true" ht="10.95" hidden="false" customHeight="true" outlineLevel="0" collapsed="false">
      <c r="A5169" s="16" t="n">
        <v>45231</v>
      </c>
      <c r="B5169" s="17" t="s">
        <v>2751</v>
      </c>
      <c r="C5169" s="17" t="s">
        <v>1593</v>
      </c>
      <c r="D5169" s="17" t="s">
        <v>1407</v>
      </c>
      <c r="E5169" s="17" t="s">
        <v>2767</v>
      </c>
      <c r="F5169" s="17"/>
      <c r="G5169" s="18" t="n">
        <v>717.88</v>
      </c>
      <c r="H5169" s="18" t="n">
        <v>0</v>
      </c>
      <c r="I5169" s="18" t="n">
        <f aca="false">((I5168 + G5169) - H5169)</f>
        <v>9703.63</v>
      </c>
      <c r="J5169" s="18" t="n">
        <v>71.79</v>
      </c>
      <c r="K5169" s="19" t="n">
        <v>10</v>
      </c>
      <c r="L5169" s="17" t="s">
        <v>44</v>
      </c>
    </row>
    <row r="5170" s="11" customFormat="true" ht="10.95" hidden="false" customHeight="true" outlineLevel="0" collapsed="false">
      <c r="A5170" s="16" t="n">
        <v>45233</v>
      </c>
      <c r="B5170" s="17" t="s">
        <v>2751</v>
      </c>
      <c r="C5170" s="17" t="s">
        <v>1593</v>
      </c>
      <c r="D5170" s="17" t="s">
        <v>1407</v>
      </c>
      <c r="E5170" s="17" t="s">
        <v>2768</v>
      </c>
      <c r="F5170" s="17"/>
      <c r="G5170" s="18" t="n">
        <v>123.65</v>
      </c>
      <c r="H5170" s="18" t="n">
        <v>0</v>
      </c>
      <c r="I5170" s="18" t="n">
        <f aca="false">((I5169 + G5170) - H5170)</f>
        <v>9827.28</v>
      </c>
      <c r="J5170" s="18" t="n">
        <v>12.36</v>
      </c>
      <c r="K5170" s="19" t="n">
        <v>10</v>
      </c>
      <c r="L5170" s="17" t="s">
        <v>44</v>
      </c>
    </row>
    <row r="5171" s="11" customFormat="true" ht="10.95" hidden="false" customHeight="true" outlineLevel="0" collapsed="false">
      <c r="A5171" s="16" t="n">
        <v>45272</v>
      </c>
      <c r="B5171" s="17" t="s">
        <v>2751</v>
      </c>
      <c r="C5171" s="17" t="s">
        <v>1593</v>
      </c>
      <c r="D5171" s="17" t="s">
        <v>1407</v>
      </c>
      <c r="E5171" s="17" t="s">
        <v>2752</v>
      </c>
      <c r="F5171" s="17"/>
      <c r="G5171" s="18" t="n">
        <v>262.29</v>
      </c>
      <c r="H5171" s="18" t="n">
        <v>0</v>
      </c>
      <c r="I5171" s="18" t="n">
        <f aca="false">((I5170 + G5171) - H5171)</f>
        <v>10089.57</v>
      </c>
      <c r="J5171" s="18" t="n">
        <v>26.23</v>
      </c>
      <c r="K5171" s="19" t="n">
        <v>10</v>
      </c>
      <c r="L5171" s="17" t="s">
        <v>44</v>
      </c>
    </row>
    <row r="5172" s="11" customFormat="true" ht="10.95" hidden="false" customHeight="true" outlineLevel="0" collapsed="false">
      <c r="A5172" s="16" t="n">
        <v>45272</v>
      </c>
      <c r="B5172" s="17" t="s">
        <v>2751</v>
      </c>
      <c r="C5172" s="17" t="s">
        <v>1593</v>
      </c>
      <c r="D5172" s="17" t="s">
        <v>1407</v>
      </c>
      <c r="E5172" s="17" t="s">
        <v>2769</v>
      </c>
      <c r="F5172" s="17"/>
      <c r="G5172" s="18" t="n">
        <v>328.67</v>
      </c>
      <c r="H5172" s="18" t="n">
        <v>0</v>
      </c>
      <c r="I5172" s="18" t="n">
        <f aca="false">((I5171 + G5172) - H5172)</f>
        <v>10418.24</v>
      </c>
      <c r="J5172" s="18" t="n">
        <v>32.87</v>
      </c>
      <c r="K5172" s="19" t="n">
        <v>10</v>
      </c>
      <c r="L5172" s="17" t="s">
        <v>44</v>
      </c>
    </row>
    <row r="5173" s="11" customFormat="true" ht="10.95" hidden="false" customHeight="true" outlineLevel="0" collapsed="false">
      <c r="A5173" s="16" t="n">
        <v>45272</v>
      </c>
      <c r="B5173" s="17" t="s">
        <v>2751</v>
      </c>
      <c r="C5173" s="17" t="s">
        <v>1593</v>
      </c>
      <c r="D5173" s="17" t="s">
        <v>1407</v>
      </c>
      <c r="E5173" s="17" t="s">
        <v>2752</v>
      </c>
      <c r="F5173" s="17"/>
      <c r="G5173" s="18" t="n">
        <v>996.15</v>
      </c>
      <c r="H5173" s="18" t="n">
        <v>0</v>
      </c>
      <c r="I5173" s="18" t="n">
        <f aca="false">((I5172 + G5173) - H5173)</f>
        <v>11414.39</v>
      </c>
      <c r="J5173" s="18" t="n">
        <v>99.62</v>
      </c>
      <c r="K5173" s="19" t="n">
        <v>10</v>
      </c>
      <c r="L5173" s="17" t="s">
        <v>44</v>
      </c>
    </row>
    <row r="5174" s="11" customFormat="true" ht="10.95" hidden="false" customHeight="true" outlineLevel="0" collapsed="false">
      <c r="A5174" s="16" t="n">
        <v>45277</v>
      </c>
      <c r="B5174" s="17" t="s">
        <v>2751</v>
      </c>
      <c r="C5174" s="17" t="s">
        <v>1593</v>
      </c>
      <c r="D5174" s="17" t="s">
        <v>1407</v>
      </c>
      <c r="E5174" s="17" t="s">
        <v>2766</v>
      </c>
      <c r="F5174" s="17"/>
      <c r="G5174" s="18" t="n">
        <v>200</v>
      </c>
      <c r="H5174" s="18" t="n">
        <v>0</v>
      </c>
      <c r="I5174" s="18" t="n">
        <f aca="false">((I5173 + G5174) - H5174)</f>
        <v>11614.39</v>
      </c>
      <c r="J5174" s="18" t="n">
        <v>0</v>
      </c>
      <c r="K5174" s="19" t="n">
        <v>0</v>
      </c>
      <c r="L5174" s="17" t="s">
        <v>1406</v>
      </c>
    </row>
    <row r="5175" s="11" customFormat="true" ht="10.95" hidden="false" customHeight="true" outlineLevel="0" collapsed="false">
      <c r="A5175" s="16" t="n">
        <v>45278</v>
      </c>
      <c r="B5175" s="17" t="s">
        <v>2751</v>
      </c>
      <c r="C5175" s="17" t="s">
        <v>1593</v>
      </c>
      <c r="D5175" s="17" t="s">
        <v>1407</v>
      </c>
      <c r="E5175" s="17" t="s">
        <v>2770</v>
      </c>
      <c r="F5175" s="17"/>
      <c r="G5175" s="18" t="n">
        <v>42.95</v>
      </c>
      <c r="H5175" s="18" t="n">
        <v>0</v>
      </c>
      <c r="I5175" s="18" t="n">
        <f aca="false">((I5174 + G5175) - H5175)</f>
        <v>11657.34</v>
      </c>
      <c r="J5175" s="18" t="n">
        <v>4.3</v>
      </c>
      <c r="K5175" s="19" t="n">
        <v>10</v>
      </c>
      <c r="L5175" s="17" t="s">
        <v>44</v>
      </c>
    </row>
    <row r="5176" s="11" customFormat="true" ht="10.95" hidden="false" customHeight="true" outlineLevel="0" collapsed="false">
      <c r="A5176" s="16" t="n">
        <v>45280</v>
      </c>
      <c r="B5176" s="17" t="s">
        <v>2751</v>
      </c>
      <c r="C5176" s="17" t="s">
        <v>1593</v>
      </c>
      <c r="D5176" s="17" t="s">
        <v>1407</v>
      </c>
      <c r="E5176" s="17" t="s">
        <v>2771</v>
      </c>
      <c r="F5176" s="17"/>
      <c r="G5176" s="18" t="n">
        <v>467.73</v>
      </c>
      <c r="H5176" s="18" t="n">
        <v>0</v>
      </c>
      <c r="I5176" s="18" t="n">
        <f aca="false">((I5175 + G5176) - H5176)</f>
        <v>12125.07</v>
      </c>
      <c r="J5176" s="18" t="n">
        <v>46.77</v>
      </c>
      <c r="K5176" s="19" t="n">
        <v>10</v>
      </c>
      <c r="L5176" s="17" t="s">
        <v>44</v>
      </c>
    </row>
    <row r="5177" s="11" customFormat="true" ht="10.95" hidden="false" customHeight="true" outlineLevel="0" collapsed="false">
      <c r="A5177" s="16" t="n">
        <v>45288</v>
      </c>
      <c r="B5177" s="17" t="s">
        <v>2751</v>
      </c>
      <c r="C5177" s="17" t="s">
        <v>1593</v>
      </c>
      <c r="D5177" s="17" t="s">
        <v>1407</v>
      </c>
      <c r="E5177" s="17" t="s">
        <v>2772</v>
      </c>
      <c r="F5177" s="17"/>
      <c r="G5177" s="18" t="n">
        <v>112.55</v>
      </c>
      <c r="H5177" s="18" t="n">
        <v>0</v>
      </c>
      <c r="I5177" s="18" t="n">
        <f aca="false">((I5176 + G5177) - H5177)</f>
        <v>12237.62</v>
      </c>
      <c r="J5177" s="18" t="n">
        <v>11.26</v>
      </c>
      <c r="K5177" s="19" t="n">
        <v>10</v>
      </c>
      <c r="L5177" s="17" t="s">
        <v>44</v>
      </c>
    </row>
    <row r="5178" s="11" customFormat="true" ht="10.95" hidden="false" customHeight="true" outlineLevel="0" collapsed="false">
      <c r="A5178" s="16" t="n">
        <v>45288</v>
      </c>
      <c r="B5178" s="17" t="s">
        <v>2751</v>
      </c>
      <c r="C5178" s="17" t="s">
        <v>1593</v>
      </c>
      <c r="D5178" s="17" t="s">
        <v>1407</v>
      </c>
      <c r="E5178" s="17" t="s">
        <v>2766</v>
      </c>
      <c r="F5178" s="17"/>
      <c r="G5178" s="18" t="n">
        <v>200</v>
      </c>
      <c r="H5178" s="18" t="n">
        <v>0</v>
      </c>
      <c r="I5178" s="18" t="n">
        <f aca="false">((I5177 + G5178) - H5178)</f>
        <v>12437.62</v>
      </c>
      <c r="J5178" s="18" t="n">
        <v>0</v>
      </c>
      <c r="K5178" s="19" t="n">
        <v>0</v>
      </c>
      <c r="L5178" s="17" t="s">
        <v>1406</v>
      </c>
    </row>
    <row r="5179" s="11" customFormat="true" ht="10.95" hidden="false" customHeight="true" outlineLevel="0" collapsed="false">
      <c r="A5179" s="16" t="n">
        <v>45288</v>
      </c>
      <c r="B5179" s="17" t="s">
        <v>2751</v>
      </c>
      <c r="C5179" s="17" t="s">
        <v>1593</v>
      </c>
      <c r="D5179" s="17" t="s">
        <v>1407</v>
      </c>
      <c r="E5179" s="17" t="s">
        <v>2766</v>
      </c>
      <c r="F5179" s="17"/>
      <c r="G5179" s="18" t="n">
        <v>200</v>
      </c>
      <c r="H5179" s="18" t="n">
        <v>0</v>
      </c>
      <c r="I5179" s="18" t="n">
        <f aca="false">((I5178 + G5179) - H5179)</f>
        <v>12637.62</v>
      </c>
      <c r="J5179" s="18" t="n">
        <v>0</v>
      </c>
      <c r="K5179" s="19" t="n">
        <v>0</v>
      </c>
      <c r="L5179" s="17" t="s">
        <v>1406</v>
      </c>
    </row>
    <row r="5180" s="11" customFormat="true" ht="10.95" hidden="false" customHeight="true" outlineLevel="0" collapsed="false">
      <c r="A5180" s="16" t="n">
        <v>45288</v>
      </c>
      <c r="B5180" s="17" t="s">
        <v>2751</v>
      </c>
      <c r="C5180" s="17" t="s">
        <v>1593</v>
      </c>
      <c r="D5180" s="17" t="s">
        <v>1407</v>
      </c>
      <c r="E5180" s="17" t="s">
        <v>2772</v>
      </c>
      <c r="F5180" s="17"/>
      <c r="G5180" s="18" t="n">
        <v>188.97</v>
      </c>
      <c r="H5180" s="18" t="n">
        <v>0</v>
      </c>
      <c r="I5180" s="18" t="n">
        <f aca="false">((I5179 + G5180) - H5180)</f>
        <v>12826.59</v>
      </c>
      <c r="J5180" s="18" t="n">
        <v>18.9</v>
      </c>
      <c r="K5180" s="19" t="n">
        <v>10</v>
      </c>
      <c r="L5180" s="17" t="s">
        <v>44</v>
      </c>
    </row>
    <row r="5181" s="11" customFormat="true" ht="10.95" hidden="false" customHeight="true" outlineLevel="0" collapsed="false">
      <c r="A5181" s="16" t="n">
        <v>45288</v>
      </c>
      <c r="B5181" s="17" t="s">
        <v>2751</v>
      </c>
      <c r="C5181" s="17" t="s">
        <v>1593</v>
      </c>
      <c r="D5181" s="17" t="s">
        <v>1407</v>
      </c>
      <c r="E5181" s="17" t="s">
        <v>2773</v>
      </c>
      <c r="F5181" s="17"/>
      <c r="G5181" s="18" t="n">
        <v>253.71</v>
      </c>
      <c r="H5181" s="18" t="n">
        <v>0</v>
      </c>
      <c r="I5181" s="18" t="n">
        <f aca="false">((I5180 + G5181) - H5181)</f>
        <v>13080.3</v>
      </c>
      <c r="J5181" s="18" t="n">
        <v>25.37</v>
      </c>
      <c r="K5181" s="19" t="n">
        <v>10</v>
      </c>
      <c r="L5181" s="17" t="s">
        <v>44</v>
      </c>
    </row>
    <row r="5182" s="11" customFormat="true" ht="10.95" hidden="false" customHeight="true" outlineLevel="0" collapsed="false">
      <c r="A5182" s="16" t="n">
        <v>45320</v>
      </c>
      <c r="B5182" s="17" t="s">
        <v>2751</v>
      </c>
      <c r="C5182" s="17" t="s">
        <v>1593</v>
      </c>
      <c r="D5182" s="17" t="s">
        <v>1407</v>
      </c>
      <c r="E5182" s="17" t="s">
        <v>2774</v>
      </c>
      <c r="F5182" s="17"/>
      <c r="G5182" s="18" t="n">
        <v>54.77</v>
      </c>
      <c r="H5182" s="18" t="n">
        <v>0</v>
      </c>
      <c r="I5182" s="18" t="n">
        <f aca="false">((I5181 + G5182) - H5182)</f>
        <v>13135.07</v>
      </c>
      <c r="J5182" s="18" t="n">
        <v>5.48</v>
      </c>
      <c r="K5182" s="19" t="n">
        <v>10</v>
      </c>
      <c r="L5182" s="17" t="s">
        <v>44</v>
      </c>
    </row>
    <row r="5183" s="11" customFormat="true" ht="10.95" hidden="false" customHeight="true" outlineLevel="0" collapsed="false">
      <c r="A5183" s="16" t="n">
        <v>45321</v>
      </c>
      <c r="B5183" s="17" t="s">
        <v>2751</v>
      </c>
      <c r="C5183" s="17" t="s">
        <v>1593</v>
      </c>
      <c r="D5183" s="17" t="s">
        <v>1407</v>
      </c>
      <c r="E5183" s="17" t="s">
        <v>2775</v>
      </c>
      <c r="F5183" s="17"/>
      <c r="G5183" s="18" t="n">
        <v>400</v>
      </c>
      <c r="H5183" s="18" t="n">
        <v>0</v>
      </c>
      <c r="I5183" s="18" t="n">
        <f aca="false">((I5182 + G5183) - H5183)</f>
        <v>13535.07</v>
      </c>
      <c r="J5183" s="18" t="n">
        <v>0</v>
      </c>
      <c r="K5183" s="19" t="n">
        <v>0</v>
      </c>
      <c r="L5183" s="17" t="s">
        <v>1406</v>
      </c>
    </row>
    <row r="5184" s="11" customFormat="true" ht="10.95" hidden="false" customHeight="true" outlineLevel="0" collapsed="false">
      <c r="A5184" s="16" t="n">
        <v>45337</v>
      </c>
      <c r="B5184" s="17" t="s">
        <v>2751</v>
      </c>
      <c r="C5184" s="17" t="s">
        <v>1593</v>
      </c>
      <c r="D5184" s="17" t="s">
        <v>1407</v>
      </c>
      <c r="E5184" s="17" t="s">
        <v>2766</v>
      </c>
      <c r="F5184" s="17"/>
      <c r="G5184" s="18" t="n">
        <v>200</v>
      </c>
      <c r="H5184" s="18" t="n">
        <v>0</v>
      </c>
      <c r="I5184" s="18" t="n">
        <f aca="false">((I5183 + G5184) - H5184)</f>
        <v>13735.07</v>
      </c>
      <c r="J5184" s="18" t="n">
        <v>0</v>
      </c>
      <c r="K5184" s="19" t="n">
        <v>0</v>
      </c>
      <c r="L5184" s="17" t="s">
        <v>1406</v>
      </c>
    </row>
    <row r="5185" s="11" customFormat="true" ht="10.95" hidden="false" customHeight="true" outlineLevel="0" collapsed="false">
      <c r="A5185" s="16" t="n">
        <v>45355</v>
      </c>
      <c r="B5185" s="17" t="s">
        <v>2751</v>
      </c>
      <c r="C5185" s="17" t="s">
        <v>1593</v>
      </c>
      <c r="D5185" s="17" t="s">
        <v>1407</v>
      </c>
      <c r="E5185" s="17" t="s">
        <v>2773</v>
      </c>
      <c r="F5185" s="17"/>
      <c r="G5185" s="18" t="n">
        <v>331.49</v>
      </c>
      <c r="H5185" s="18" t="n">
        <v>0</v>
      </c>
      <c r="I5185" s="18" t="n">
        <f aca="false">((I5184 + G5185) - H5185)</f>
        <v>14066.56</v>
      </c>
      <c r="J5185" s="18" t="n">
        <v>33.15</v>
      </c>
      <c r="K5185" s="19" t="n">
        <v>10</v>
      </c>
      <c r="L5185" s="17" t="s">
        <v>44</v>
      </c>
    </row>
    <row r="5186" s="11" customFormat="true" ht="10.95" hidden="false" customHeight="true" outlineLevel="0" collapsed="false">
      <c r="A5186" s="16" t="n">
        <v>45472</v>
      </c>
      <c r="B5186" s="17" t="s">
        <v>2751</v>
      </c>
      <c r="C5186" s="17" t="s">
        <v>1593</v>
      </c>
      <c r="D5186" s="17" t="s">
        <v>1407</v>
      </c>
      <c r="E5186" s="17" t="s">
        <v>2776</v>
      </c>
      <c r="F5186" s="17"/>
      <c r="G5186" s="18" t="n">
        <v>1223.64</v>
      </c>
      <c r="H5186" s="18" t="n">
        <v>0</v>
      </c>
      <c r="I5186" s="18" t="n">
        <f aca="false">((I5185 + G5186) - H5186)</f>
        <v>15290.2</v>
      </c>
      <c r="J5186" s="18" t="n">
        <v>122.36</v>
      </c>
      <c r="K5186" s="19" t="n">
        <v>10</v>
      </c>
      <c r="L5186" s="17" t="s">
        <v>44</v>
      </c>
    </row>
    <row r="5187" s="11" customFormat="true" ht="10.95" hidden="false" customHeight="true" outlineLevel="0" collapsed="false">
      <c r="A5187" s="16" t="n">
        <v>45472</v>
      </c>
      <c r="B5187" s="17" t="s">
        <v>2751</v>
      </c>
      <c r="C5187" s="17" t="s">
        <v>1593</v>
      </c>
      <c r="D5187" s="17" t="s">
        <v>1407</v>
      </c>
      <c r="E5187" s="17" t="s">
        <v>2776</v>
      </c>
      <c r="F5187" s="17"/>
      <c r="G5187" s="18" t="n">
        <v>11.99</v>
      </c>
      <c r="H5187" s="18" t="n">
        <v>0</v>
      </c>
      <c r="I5187" s="18" t="n">
        <f aca="false">((I5186 + G5187) - H5187)</f>
        <v>15302.19</v>
      </c>
      <c r="J5187" s="18" t="n">
        <v>1.2</v>
      </c>
      <c r="K5187" s="19" t="n">
        <v>10</v>
      </c>
      <c r="L5187" s="17" t="s">
        <v>44</v>
      </c>
    </row>
    <row r="5188" s="11" customFormat="true" ht="10.95" hidden="false" customHeight="true" outlineLevel="0" collapsed="false">
      <c r="A5188" s="21" t="s">
        <v>2777</v>
      </c>
      <c r="B5188" s="21"/>
      <c r="C5188" s="21"/>
      <c r="D5188" s="21"/>
      <c r="E5188" s="21"/>
      <c r="F5188" s="21"/>
      <c r="G5188" s="22" t="n">
        <f aca="false">SUM(G5148:G5187)</f>
        <v>15302.19</v>
      </c>
      <c r="H5188" s="22" t="n">
        <f aca="false">SUM(H5148:H5187)</f>
        <v>0</v>
      </c>
      <c r="I5188" s="22" t="n">
        <f aca="false">I5187</f>
        <v>15302.19</v>
      </c>
      <c r="J5188" s="22" t="n">
        <f aca="false">SUM(J5148:J5187)</f>
        <v>1110.23</v>
      </c>
      <c r="K5188" s="21"/>
      <c r="L5188" s="21"/>
    </row>
    <row r="5189" s="11" customFormat="true" ht="10.95" hidden="false" customHeight="true" outlineLevel="0" collapsed="false">
      <c r="A5189" s="21" t="s">
        <v>784</v>
      </c>
      <c r="B5189" s="21"/>
      <c r="C5189" s="21"/>
      <c r="D5189" s="21"/>
      <c r="E5189" s="21"/>
      <c r="F5189" s="21"/>
      <c r="G5189" s="22" t="n">
        <v>15302.19</v>
      </c>
      <c r="H5189" s="22" t="n">
        <v>0</v>
      </c>
      <c r="I5189" s="22" t="n">
        <v>0</v>
      </c>
      <c r="J5189" s="22" t="n">
        <v>0</v>
      </c>
      <c r="K5189" s="21"/>
      <c r="L5189" s="21"/>
    </row>
    <row r="5190" s="11" customFormat="true" ht="10.95" hidden="false" customHeight="true" outlineLevel="0" collapsed="false">
      <c r="A5190" s="9" t="s">
        <v>785</v>
      </c>
      <c r="B5190" s="9"/>
      <c r="C5190" s="9"/>
      <c r="D5190" s="9"/>
      <c r="E5190" s="9"/>
      <c r="F5190" s="9"/>
      <c r="G5190" s="10" t="n">
        <v>15302.19</v>
      </c>
      <c r="H5190" s="10" t="n">
        <v>0</v>
      </c>
      <c r="I5190" s="10" t="n">
        <f aca="false">I5187</f>
        <v>15302.19</v>
      </c>
      <c r="J5190" s="10" t="n">
        <v>0</v>
      </c>
      <c r="K5190" s="9"/>
      <c r="L5190" s="9"/>
    </row>
    <row r="5191" customFormat="false" ht="13.35" hidden="false" customHeight="true" outlineLevel="0" collapsed="false"/>
    <row r="5192" s="7" customFormat="true" ht="12.1" hidden="false" customHeight="true" outlineLevel="0" collapsed="false">
      <c r="A5192" s="8" t="s">
        <v>2778</v>
      </c>
      <c r="B5192" s="8"/>
      <c r="C5192" s="8"/>
      <c r="D5192" s="8"/>
      <c r="E5192" s="8"/>
      <c r="F5192" s="8"/>
      <c r="G5192" s="8"/>
      <c r="H5192" s="8"/>
      <c r="I5192" s="8"/>
      <c r="J5192" s="8"/>
      <c r="K5192" s="8"/>
      <c r="L5192" s="8"/>
    </row>
    <row r="5193" s="11" customFormat="true" ht="10.95" hidden="false" customHeight="true" outlineLevel="0" collapsed="false">
      <c r="A5193" s="9" t="s">
        <v>16</v>
      </c>
      <c r="B5193" s="9"/>
      <c r="C5193" s="9"/>
      <c r="D5193" s="9"/>
      <c r="E5193" s="9"/>
      <c r="F5193" s="9"/>
      <c r="G5193" s="10" t="n">
        <v>0</v>
      </c>
      <c r="H5193" s="10" t="n">
        <v>0</v>
      </c>
      <c r="I5193" s="10" t="n">
        <f aca="false">(G5193 - H5193)</f>
        <v>0</v>
      </c>
      <c r="J5193" s="10" t="n">
        <v>0</v>
      </c>
      <c r="K5193" s="9"/>
      <c r="L5193" s="9"/>
    </row>
    <row r="5194" s="11" customFormat="true" ht="10.95" hidden="false" customHeight="true" outlineLevel="0" collapsed="false">
      <c r="A5194" s="12" t="n">
        <v>45112</v>
      </c>
      <c r="B5194" s="13" t="s">
        <v>2779</v>
      </c>
      <c r="C5194" s="13" t="s">
        <v>1593</v>
      </c>
      <c r="D5194" s="13" t="s">
        <v>1407</v>
      </c>
      <c r="E5194" s="13" t="s">
        <v>2780</v>
      </c>
      <c r="F5194" s="13" t="s">
        <v>2781</v>
      </c>
      <c r="G5194" s="14" t="n">
        <v>24.92</v>
      </c>
      <c r="H5194" s="14" t="n">
        <v>0</v>
      </c>
      <c r="I5194" s="14" t="n">
        <f aca="false">((I5193 + G5194) - H5194)</f>
        <v>24.92</v>
      </c>
      <c r="J5194" s="14" t="n">
        <v>0</v>
      </c>
      <c r="K5194" s="15" t="n">
        <v>0</v>
      </c>
      <c r="L5194" s="13" t="s">
        <v>1406</v>
      </c>
    </row>
    <row r="5195" s="11" customFormat="true" ht="10.95" hidden="false" customHeight="true" outlineLevel="0" collapsed="false">
      <c r="A5195" s="16" t="n">
        <v>45129</v>
      </c>
      <c r="B5195" s="17" t="s">
        <v>2779</v>
      </c>
      <c r="C5195" s="17" t="s">
        <v>1593</v>
      </c>
      <c r="D5195" s="17" t="s">
        <v>1407</v>
      </c>
      <c r="E5195" s="17" t="s">
        <v>2780</v>
      </c>
      <c r="F5195" s="17" t="s">
        <v>2781</v>
      </c>
      <c r="G5195" s="18" t="n">
        <v>10</v>
      </c>
      <c r="H5195" s="18" t="n">
        <v>0</v>
      </c>
      <c r="I5195" s="18" t="n">
        <f aca="false">((I5194 + G5195) - H5195)</f>
        <v>34.92</v>
      </c>
      <c r="J5195" s="18" t="n">
        <v>0</v>
      </c>
      <c r="K5195" s="19" t="n">
        <v>0</v>
      </c>
      <c r="L5195" s="17" t="s">
        <v>1406</v>
      </c>
    </row>
    <row r="5196" s="11" customFormat="true" ht="10.95" hidden="false" customHeight="true" outlineLevel="0" collapsed="false">
      <c r="A5196" s="16" t="n">
        <v>45132</v>
      </c>
      <c r="B5196" s="17" t="s">
        <v>2779</v>
      </c>
      <c r="C5196" s="17" t="s">
        <v>1593</v>
      </c>
      <c r="D5196" s="17" t="s">
        <v>1407</v>
      </c>
      <c r="E5196" s="17" t="s">
        <v>2780</v>
      </c>
      <c r="F5196" s="17" t="s">
        <v>2781</v>
      </c>
      <c r="G5196" s="18" t="n">
        <v>5</v>
      </c>
      <c r="H5196" s="18" t="n">
        <v>0</v>
      </c>
      <c r="I5196" s="18" t="n">
        <f aca="false">((I5195 + G5196) - H5196)</f>
        <v>39.92</v>
      </c>
      <c r="J5196" s="18" t="n">
        <v>0</v>
      </c>
      <c r="K5196" s="19" t="n">
        <v>0</v>
      </c>
      <c r="L5196" s="17" t="s">
        <v>1406</v>
      </c>
    </row>
    <row r="5197" s="11" customFormat="true" ht="10.95" hidden="false" customHeight="true" outlineLevel="0" collapsed="false">
      <c r="A5197" s="16" t="n">
        <v>45132</v>
      </c>
      <c r="B5197" s="17" t="s">
        <v>2779</v>
      </c>
      <c r="C5197" s="17" t="s">
        <v>1593</v>
      </c>
      <c r="D5197" s="17" t="s">
        <v>1407</v>
      </c>
      <c r="E5197" s="17" t="s">
        <v>2780</v>
      </c>
      <c r="F5197" s="17" t="s">
        <v>2781</v>
      </c>
      <c r="G5197" s="18" t="n">
        <v>5</v>
      </c>
      <c r="H5197" s="18" t="n">
        <v>0</v>
      </c>
      <c r="I5197" s="18" t="n">
        <f aca="false">((I5196 + G5197) - H5197)</f>
        <v>44.92</v>
      </c>
      <c r="J5197" s="18" t="n">
        <v>0</v>
      </c>
      <c r="K5197" s="19" t="n">
        <v>0</v>
      </c>
      <c r="L5197" s="17" t="s">
        <v>1406</v>
      </c>
    </row>
    <row r="5198" s="11" customFormat="true" ht="10.95" hidden="false" customHeight="true" outlineLevel="0" collapsed="false">
      <c r="A5198" s="16" t="n">
        <v>45132</v>
      </c>
      <c r="B5198" s="17" t="s">
        <v>2779</v>
      </c>
      <c r="C5198" s="17" t="s">
        <v>1593</v>
      </c>
      <c r="D5198" s="17" t="s">
        <v>1407</v>
      </c>
      <c r="E5198" s="17" t="s">
        <v>2780</v>
      </c>
      <c r="F5198" s="17" t="s">
        <v>2781</v>
      </c>
      <c r="G5198" s="18" t="n">
        <v>20.24</v>
      </c>
      <c r="H5198" s="18" t="n">
        <v>0</v>
      </c>
      <c r="I5198" s="18" t="n">
        <f aca="false">((I5197 + G5198) - H5198)</f>
        <v>65.16</v>
      </c>
      <c r="J5198" s="18" t="n">
        <v>0</v>
      </c>
      <c r="K5198" s="19" t="n">
        <v>0</v>
      </c>
      <c r="L5198" s="17" t="s">
        <v>1406</v>
      </c>
    </row>
    <row r="5199" s="11" customFormat="true" ht="10.95" hidden="false" customHeight="true" outlineLevel="0" collapsed="false">
      <c r="A5199" s="16" t="n">
        <v>45132</v>
      </c>
      <c r="B5199" s="17" t="s">
        <v>2779</v>
      </c>
      <c r="C5199" s="17" t="s">
        <v>1593</v>
      </c>
      <c r="D5199" s="17" t="s">
        <v>1407</v>
      </c>
      <c r="E5199" s="17" t="s">
        <v>2780</v>
      </c>
      <c r="F5199" s="17" t="s">
        <v>2781</v>
      </c>
      <c r="G5199" s="18" t="n">
        <v>32.53</v>
      </c>
      <c r="H5199" s="18" t="n">
        <v>0</v>
      </c>
      <c r="I5199" s="18" t="n">
        <f aca="false">((I5198 + G5199) - H5199)</f>
        <v>97.69</v>
      </c>
      <c r="J5199" s="18" t="n">
        <v>0</v>
      </c>
      <c r="K5199" s="19" t="n">
        <v>0</v>
      </c>
      <c r="L5199" s="17" t="s">
        <v>1406</v>
      </c>
    </row>
    <row r="5200" s="11" customFormat="true" ht="10.95" hidden="false" customHeight="true" outlineLevel="0" collapsed="false">
      <c r="A5200" s="16" t="n">
        <v>45132</v>
      </c>
      <c r="B5200" s="17" t="s">
        <v>2779</v>
      </c>
      <c r="C5200" s="17" t="s">
        <v>1593</v>
      </c>
      <c r="D5200" s="17" t="s">
        <v>1407</v>
      </c>
      <c r="E5200" s="17" t="s">
        <v>2780</v>
      </c>
      <c r="F5200" s="17" t="s">
        <v>2781</v>
      </c>
      <c r="G5200" s="18" t="n">
        <v>133.32</v>
      </c>
      <c r="H5200" s="18" t="n">
        <v>0</v>
      </c>
      <c r="I5200" s="18" t="n">
        <f aca="false">((I5199 + G5200) - H5200)</f>
        <v>231.01</v>
      </c>
      <c r="J5200" s="18" t="n">
        <v>0</v>
      </c>
      <c r="K5200" s="19" t="n">
        <v>0</v>
      </c>
      <c r="L5200" s="17" t="s">
        <v>1406</v>
      </c>
    </row>
    <row r="5201" s="11" customFormat="true" ht="10.95" hidden="false" customHeight="true" outlineLevel="0" collapsed="false">
      <c r="A5201" s="16" t="n">
        <v>45140</v>
      </c>
      <c r="B5201" s="17" t="s">
        <v>2779</v>
      </c>
      <c r="C5201" s="17" t="s">
        <v>1593</v>
      </c>
      <c r="D5201" s="17" t="s">
        <v>1407</v>
      </c>
      <c r="E5201" s="17" t="s">
        <v>2780</v>
      </c>
      <c r="F5201" s="17" t="s">
        <v>2781</v>
      </c>
      <c r="G5201" s="18" t="n">
        <v>5</v>
      </c>
      <c r="H5201" s="18" t="n">
        <v>0</v>
      </c>
      <c r="I5201" s="18" t="n">
        <f aca="false">((I5200 + G5201) - H5201)</f>
        <v>236.01</v>
      </c>
      <c r="J5201" s="18" t="n">
        <v>0</v>
      </c>
      <c r="K5201" s="19" t="n">
        <v>0</v>
      </c>
      <c r="L5201" s="17" t="s">
        <v>1406</v>
      </c>
    </row>
    <row r="5202" s="11" customFormat="true" ht="10.95" hidden="false" customHeight="true" outlineLevel="0" collapsed="false">
      <c r="A5202" s="16" t="n">
        <v>45140</v>
      </c>
      <c r="B5202" s="17" t="s">
        <v>2779</v>
      </c>
      <c r="C5202" s="17" t="s">
        <v>1593</v>
      </c>
      <c r="D5202" s="17" t="s">
        <v>1407</v>
      </c>
      <c r="E5202" s="17" t="s">
        <v>2780</v>
      </c>
      <c r="F5202" s="17" t="s">
        <v>2781</v>
      </c>
      <c r="G5202" s="18" t="n">
        <v>5</v>
      </c>
      <c r="H5202" s="18" t="n">
        <v>0</v>
      </c>
      <c r="I5202" s="18" t="n">
        <f aca="false">((I5201 + G5202) - H5202)</f>
        <v>241.01</v>
      </c>
      <c r="J5202" s="18" t="n">
        <v>0</v>
      </c>
      <c r="K5202" s="19" t="n">
        <v>0</v>
      </c>
      <c r="L5202" s="17" t="s">
        <v>1406</v>
      </c>
    </row>
    <row r="5203" s="11" customFormat="true" ht="10.95" hidden="false" customHeight="true" outlineLevel="0" collapsed="false">
      <c r="A5203" s="16" t="n">
        <v>45140</v>
      </c>
      <c r="B5203" s="17" t="s">
        <v>2779</v>
      </c>
      <c r="C5203" s="17" t="s">
        <v>1593</v>
      </c>
      <c r="D5203" s="17" t="s">
        <v>1407</v>
      </c>
      <c r="E5203" s="17" t="s">
        <v>2780</v>
      </c>
      <c r="F5203" s="17" t="s">
        <v>2781</v>
      </c>
      <c r="G5203" s="18" t="n">
        <v>65.03</v>
      </c>
      <c r="H5203" s="18" t="n">
        <v>0</v>
      </c>
      <c r="I5203" s="18" t="n">
        <f aca="false">((I5202 + G5203) - H5203)</f>
        <v>306.04</v>
      </c>
      <c r="J5203" s="18" t="n">
        <v>0</v>
      </c>
      <c r="K5203" s="19" t="n">
        <v>0</v>
      </c>
      <c r="L5203" s="17" t="s">
        <v>1406</v>
      </c>
    </row>
    <row r="5204" s="11" customFormat="true" ht="10.95" hidden="false" customHeight="true" outlineLevel="0" collapsed="false">
      <c r="A5204" s="16" t="n">
        <v>45141</v>
      </c>
      <c r="B5204" s="17" t="s">
        <v>2779</v>
      </c>
      <c r="C5204" s="17" t="s">
        <v>1593</v>
      </c>
      <c r="D5204" s="17" t="s">
        <v>1407</v>
      </c>
      <c r="E5204" s="17" t="s">
        <v>2780</v>
      </c>
      <c r="F5204" s="17" t="s">
        <v>2781</v>
      </c>
      <c r="G5204" s="18" t="n">
        <v>5</v>
      </c>
      <c r="H5204" s="18" t="n">
        <v>0</v>
      </c>
      <c r="I5204" s="18" t="n">
        <f aca="false">((I5203 + G5204) - H5204)</f>
        <v>311.04</v>
      </c>
      <c r="J5204" s="18" t="n">
        <v>0</v>
      </c>
      <c r="K5204" s="19" t="n">
        <v>0</v>
      </c>
      <c r="L5204" s="17" t="s">
        <v>1406</v>
      </c>
    </row>
    <row r="5205" s="11" customFormat="true" ht="10.95" hidden="false" customHeight="true" outlineLevel="0" collapsed="false">
      <c r="A5205" s="16" t="n">
        <v>45141</v>
      </c>
      <c r="B5205" s="17" t="s">
        <v>2779</v>
      </c>
      <c r="C5205" s="17" t="s">
        <v>1593</v>
      </c>
      <c r="D5205" s="17" t="s">
        <v>1407</v>
      </c>
      <c r="E5205" s="17" t="s">
        <v>2780</v>
      </c>
      <c r="F5205" s="17" t="s">
        <v>2781</v>
      </c>
      <c r="G5205" s="18" t="n">
        <v>5</v>
      </c>
      <c r="H5205" s="18" t="n">
        <v>0</v>
      </c>
      <c r="I5205" s="18" t="n">
        <f aca="false">((I5204 + G5205) - H5205)</f>
        <v>316.04</v>
      </c>
      <c r="J5205" s="18" t="n">
        <v>0</v>
      </c>
      <c r="K5205" s="19" t="n">
        <v>0</v>
      </c>
      <c r="L5205" s="17" t="s">
        <v>1406</v>
      </c>
    </row>
    <row r="5206" s="11" customFormat="true" ht="10.95" hidden="false" customHeight="true" outlineLevel="0" collapsed="false">
      <c r="A5206" s="16" t="n">
        <v>45141</v>
      </c>
      <c r="B5206" s="17" t="s">
        <v>2779</v>
      </c>
      <c r="C5206" s="17" t="s">
        <v>1593</v>
      </c>
      <c r="D5206" s="17" t="s">
        <v>1407</v>
      </c>
      <c r="E5206" s="17" t="s">
        <v>2780</v>
      </c>
      <c r="F5206" s="17" t="s">
        <v>2781</v>
      </c>
      <c r="G5206" s="18" t="n">
        <v>12.53</v>
      </c>
      <c r="H5206" s="18" t="n">
        <v>0</v>
      </c>
      <c r="I5206" s="18" t="n">
        <f aca="false">((I5205 + G5206) - H5206)</f>
        <v>328.57</v>
      </c>
      <c r="J5206" s="18" t="n">
        <v>0</v>
      </c>
      <c r="K5206" s="19" t="n">
        <v>0</v>
      </c>
      <c r="L5206" s="17" t="s">
        <v>1406</v>
      </c>
    </row>
    <row r="5207" s="11" customFormat="true" ht="10.95" hidden="false" customHeight="true" outlineLevel="0" collapsed="false">
      <c r="A5207" s="16" t="n">
        <v>45141</v>
      </c>
      <c r="B5207" s="17" t="s">
        <v>2779</v>
      </c>
      <c r="C5207" s="17" t="s">
        <v>1593</v>
      </c>
      <c r="D5207" s="17" t="s">
        <v>1407</v>
      </c>
      <c r="E5207" s="17" t="s">
        <v>2780</v>
      </c>
      <c r="F5207" s="17" t="s">
        <v>2781</v>
      </c>
      <c r="G5207" s="18" t="n">
        <v>25.85</v>
      </c>
      <c r="H5207" s="18" t="n">
        <v>0</v>
      </c>
      <c r="I5207" s="18" t="n">
        <f aca="false">((I5206 + G5207) - H5207)</f>
        <v>354.42</v>
      </c>
      <c r="J5207" s="18" t="n">
        <v>0</v>
      </c>
      <c r="K5207" s="19" t="n">
        <v>0</v>
      </c>
      <c r="L5207" s="17" t="s">
        <v>1406</v>
      </c>
    </row>
    <row r="5208" s="11" customFormat="true" ht="10.95" hidden="false" customHeight="true" outlineLevel="0" collapsed="false">
      <c r="A5208" s="16" t="n">
        <v>45141</v>
      </c>
      <c r="B5208" s="17" t="s">
        <v>2779</v>
      </c>
      <c r="C5208" s="17" t="s">
        <v>1593</v>
      </c>
      <c r="D5208" s="17" t="s">
        <v>1407</v>
      </c>
      <c r="E5208" s="17" t="s">
        <v>2780</v>
      </c>
      <c r="F5208" s="17" t="s">
        <v>2781</v>
      </c>
      <c r="G5208" s="18" t="n">
        <v>30.12</v>
      </c>
      <c r="H5208" s="18" t="n">
        <v>0</v>
      </c>
      <c r="I5208" s="18" t="n">
        <f aca="false">((I5207 + G5208) - H5208)</f>
        <v>384.54</v>
      </c>
      <c r="J5208" s="18" t="n">
        <v>0</v>
      </c>
      <c r="K5208" s="19" t="n">
        <v>0</v>
      </c>
      <c r="L5208" s="17" t="s">
        <v>1406</v>
      </c>
    </row>
    <row r="5209" s="11" customFormat="true" ht="10.95" hidden="false" customHeight="true" outlineLevel="0" collapsed="false">
      <c r="A5209" s="16" t="n">
        <v>45142</v>
      </c>
      <c r="B5209" s="17" t="s">
        <v>2779</v>
      </c>
      <c r="C5209" s="17" t="s">
        <v>1593</v>
      </c>
      <c r="D5209" s="17" t="s">
        <v>1407</v>
      </c>
      <c r="E5209" s="17" t="s">
        <v>2780</v>
      </c>
      <c r="F5209" s="17" t="s">
        <v>2781</v>
      </c>
      <c r="G5209" s="18" t="n">
        <v>5</v>
      </c>
      <c r="H5209" s="18" t="n">
        <v>0</v>
      </c>
      <c r="I5209" s="18" t="n">
        <f aca="false">((I5208 + G5209) - H5209)</f>
        <v>389.54</v>
      </c>
      <c r="J5209" s="18" t="n">
        <v>0</v>
      </c>
      <c r="K5209" s="19" t="n">
        <v>0</v>
      </c>
      <c r="L5209" s="17" t="s">
        <v>1406</v>
      </c>
    </row>
    <row r="5210" s="11" customFormat="true" ht="10.95" hidden="false" customHeight="true" outlineLevel="0" collapsed="false">
      <c r="A5210" s="16" t="n">
        <v>45142</v>
      </c>
      <c r="B5210" s="17" t="s">
        <v>2779</v>
      </c>
      <c r="C5210" s="17" t="s">
        <v>1593</v>
      </c>
      <c r="D5210" s="17" t="s">
        <v>1407</v>
      </c>
      <c r="E5210" s="17" t="s">
        <v>2780</v>
      </c>
      <c r="F5210" s="17" t="s">
        <v>2781</v>
      </c>
      <c r="G5210" s="18" t="n">
        <v>5</v>
      </c>
      <c r="H5210" s="18" t="n">
        <v>0</v>
      </c>
      <c r="I5210" s="18" t="n">
        <f aca="false">((I5209 + G5210) - H5210)</f>
        <v>394.54</v>
      </c>
      <c r="J5210" s="18" t="n">
        <v>0</v>
      </c>
      <c r="K5210" s="19" t="n">
        <v>0</v>
      </c>
      <c r="L5210" s="17" t="s">
        <v>1406</v>
      </c>
    </row>
    <row r="5211" s="11" customFormat="true" ht="10.95" hidden="false" customHeight="true" outlineLevel="0" collapsed="false">
      <c r="A5211" s="16" t="n">
        <v>45142</v>
      </c>
      <c r="B5211" s="17" t="s">
        <v>2779</v>
      </c>
      <c r="C5211" s="17" t="s">
        <v>1593</v>
      </c>
      <c r="D5211" s="17" t="s">
        <v>1407</v>
      </c>
      <c r="E5211" s="17" t="s">
        <v>2780</v>
      </c>
      <c r="F5211" s="17" t="s">
        <v>2781</v>
      </c>
      <c r="G5211" s="18" t="n">
        <v>25.13</v>
      </c>
      <c r="H5211" s="18" t="n">
        <v>0</v>
      </c>
      <c r="I5211" s="18" t="n">
        <f aca="false">((I5210 + G5211) - H5211)</f>
        <v>419.67</v>
      </c>
      <c r="J5211" s="18" t="n">
        <v>0</v>
      </c>
      <c r="K5211" s="19" t="n">
        <v>0</v>
      </c>
      <c r="L5211" s="17" t="s">
        <v>1406</v>
      </c>
    </row>
    <row r="5212" s="11" customFormat="true" ht="10.95" hidden="false" customHeight="true" outlineLevel="0" collapsed="false">
      <c r="A5212" s="16" t="n">
        <v>45142</v>
      </c>
      <c r="B5212" s="17" t="s">
        <v>2779</v>
      </c>
      <c r="C5212" s="17" t="s">
        <v>1593</v>
      </c>
      <c r="D5212" s="17" t="s">
        <v>1407</v>
      </c>
      <c r="E5212" s="17" t="s">
        <v>2780</v>
      </c>
      <c r="F5212" s="17" t="s">
        <v>2781</v>
      </c>
      <c r="G5212" s="18" t="n">
        <v>25.25</v>
      </c>
      <c r="H5212" s="18" t="n">
        <v>0</v>
      </c>
      <c r="I5212" s="18" t="n">
        <f aca="false">((I5211 + G5212) - H5212)</f>
        <v>444.92</v>
      </c>
      <c r="J5212" s="18" t="n">
        <v>0</v>
      </c>
      <c r="K5212" s="19" t="n">
        <v>0</v>
      </c>
      <c r="L5212" s="17" t="s">
        <v>1406</v>
      </c>
    </row>
    <row r="5213" s="11" customFormat="true" ht="10.95" hidden="false" customHeight="true" outlineLevel="0" collapsed="false">
      <c r="A5213" s="16" t="n">
        <v>45142</v>
      </c>
      <c r="B5213" s="17" t="s">
        <v>2779</v>
      </c>
      <c r="C5213" s="17" t="s">
        <v>1593</v>
      </c>
      <c r="D5213" s="17" t="s">
        <v>1407</v>
      </c>
      <c r="E5213" s="17" t="s">
        <v>2780</v>
      </c>
      <c r="F5213" s="17" t="s">
        <v>2781</v>
      </c>
      <c r="G5213" s="18" t="n">
        <v>28.58</v>
      </c>
      <c r="H5213" s="18" t="n">
        <v>0</v>
      </c>
      <c r="I5213" s="18" t="n">
        <f aca="false">((I5212 + G5213) - H5213)</f>
        <v>473.5</v>
      </c>
      <c r="J5213" s="18" t="n">
        <v>0</v>
      </c>
      <c r="K5213" s="19" t="n">
        <v>0</v>
      </c>
      <c r="L5213" s="17" t="s">
        <v>1406</v>
      </c>
    </row>
    <row r="5214" s="11" customFormat="true" ht="10.95" hidden="false" customHeight="true" outlineLevel="0" collapsed="false">
      <c r="A5214" s="16" t="n">
        <v>45143</v>
      </c>
      <c r="B5214" s="17" t="s">
        <v>2779</v>
      </c>
      <c r="C5214" s="17" t="s">
        <v>1593</v>
      </c>
      <c r="D5214" s="17" t="s">
        <v>1407</v>
      </c>
      <c r="E5214" s="17" t="s">
        <v>2780</v>
      </c>
      <c r="F5214" s="17" t="s">
        <v>2781</v>
      </c>
      <c r="G5214" s="18" t="n">
        <v>5</v>
      </c>
      <c r="H5214" s="18" t="n">
        <v>0</v>
      </c>
      <c r="I5214" s="18" t="n">
        <f aca="false">((I5213 + G5214) - H5214)</f>
        <v>478.5</v>
      </c>
      <c r="J5214" s="18" t="n">
        <v>0</v>
      </c>
      <c r="K5214" s="19" t="n">
        <v>0</v>
      </c>
      <c r="L5214" s="17" t="s">
        <v>1406</v>
      </c>
    </row>
    <row r="5215" s="11" customFormat="true" ht="10.95" hidden="false" customHeight="true" outlineLevel="0" collapsed="false">
      <c r="A5215" s="16" t="n">
        <v>45143</v>
      </c>
      <c r="B5215" s="17" t="s">
        <v>2779</v>
      </c>
      <c r="C5215" s="17" t="s">
        <v>1593</v>
      </c>
      <c r="D5215" s="17" t="s">
        <v>1407</v>
      </c>
      <c r="E5215" s="17" t="s">
        <v>2780</v>
      </c>
      <c r="F5215" s="17" t="s">
        <v>2781</v>
      </c>
      <c r="G5215" s="18" t="n">
        <v>5</v>
      </c>
      <c r="H5215" s="18" t="n">
        <v>0</v>
      </c>
      <c r="I5215" s="18" t="n">
        <f aca="false">((I5214 + G5215) - H5215)</f>
        <v>483.5</v>
      </c>
      <c r="J5215" s="18" t="n">
        <v>0</v>
      </c>
      <c r="K5215" s="19" t="n">
        <v>0</v>
      </c>
      <c r="L5215" s="17" t="s">
        <v>1406</v>
      </c>
    </row>
    <row r="5216" s="11" customFormat="true" ht="10.95" hidden="false" customHeight="true" outlineLevel="0" collapsed="false">
      <c r="A5216" s="16" t="n">
        <v>45143</v>
      </c>
      <c r="B5216" s="17" t="s">
        <v>2779</v>
      </c>
      <c r="C5216" s="17" t="s">
        <v>1593</v>
      </c>
      <c r="D5216" s="17" t="s">
        <v>1407</v>
      </c>
      <c r="E5216" s="17" t="s">
        <v>2780</v>
      </c>
      <c r="F5216" s="17" t="s">
        <v>2781</v>
      </c>
      <c r="G5216" s="18" t="n">
        <v>5</v>
      </c>
      <c r="H5216" s="18" t="n">
        <v>0</v>
      </c>
      <c r="I5216" s="18" t="n">
        <f aca="false">((I5215 + G5216) - H5216)</f>
        <v>488.5</v>
      </c>
      <c r="J5216" s="18" t="n">
        <v>0</v>
      </c>
      <c r="K5216" s="19" t="n">
        <v>0</v>
      </c>
      <c r="L5216" s="17" t="s">
        <v>1406</v>
      </c>
    </row>
    <row r="5217" s="11" customFormat="true" ht="10.95" hidden="false" customHeight="true" outlineLevel="0" collapsed="false">
      <c r="A5217" s="16" t="n">
        <v>45143</v>
      </c>
      <c r="B5217" s="17" t="s">
        <v>2779</v>
      </c>
      <c r="C5217" s="17" t="s">
        <v>1593</v>
      </c>
      <c r="D5217" s="17" t="s">
        <v>1407</v>
      </c>
      <c r="E5217" s="17" t="s">
        <v>2780</v>
      </c>
      <c r="F5217" s="17" t="s">
        <v>2781</v>
      </c>
      <c r="G5217" s="18" t="n">
        <v>5</v>
      </c>
      <c r="H5217" s="18" t="n">
        <v>0</v>
      </c>
      <c r="I5217" s="18" t="n">
        <f aca="false">((I5216 + G5217) - H5217)</f>
        <v>493.5</v>
      </c>
      <c r="J5217" s="18" t="n">
        <v>0</v>
      </c>
      <c r="K5217" s="19" t="n">
        <v>0</v>
      </c>
      <c r="L5217" s="17" t="s">
        <v>1406</v>
      </c>
    </row>
    <row r="5218" s="11" customFormat="true" ht="10.95" hidden="false" customHeight="true" outlineLevel="0" collapsed="false">
      <c r="A5218" s="16" t="n">
        <v>45143</v>
      </c>
      <c r="B5218" s="17" t="s">
        <v>2779</v>
      </c>
      <c r="C5218" s="17" t="s">
        <v>1593</v>
      </c>
      <c r="D5218" s="17" t="s">
        <v>1407</v>
      </c>
      <c r="E5218" s="17" t="s">
        <v>2780</v>
      </c>
      <c r="F5218" s="17" t="s">
        <v>2781</v>
      </c>
      <c r="G5218" s="18" t="n">
        <v>16.28</v>
      </c>
      <c r="H5218" s="18" t="n">
        <v>0</v>
      </c>
      <c r="I5218" s="18" t="n">
        <f aca="false">((I5217 + G5218) - H5218)</f>
        <v>509.78</v>
      </c>
      <c r="J5218" s="18" t="n">
        <v>0</v>
      </c>
      <c r="K5218" s="19" t="n">
        <v>0</v>
      </c>
      <c r="L5218" s="17" t="s">
        <v>1406</v>
      </c>
    </row>
    <row r="5219" s="11" customFormat="true" ht="10.95" hidden="false" customHeight="true" outlineLevel="0" collapsed="false">
      <c r="A5219" s="16" t="n">
        <v>45143</v>
      </c>
      <c r="B5219" s="17" t="s">
        <v>2779</v>
      </c>
      <c r="C5219" s="17" t="s">
        <v>1593</v>
      </c>
      <c r="D5219" s="17" t="s">
        <v>1407</v>
      </c>
      <c r="E5219" s="17" t="s">
        <v>2780</v>
      </c>
      <c r="F5219" s="17" t="s">
        <v>2781</v>
      </c>
      <c r="G5219" s="18" t="n">
        <v>22.93</v>
      </c>
      <c r="H5219" s="18" t="n">
        <v>0</v>
      </c>
      <c r="I5219" s="18" t="n">
        <f aca="false">((I5218 + G5219) - H5219)</f>
        <v>532.71</v>
      </c>
      <c r="J5219" s="18" t="n">
        <v>0</v>
      </c>
      <c r="K5219" s="19" t="n">
        <v>0</v>
      </c>
      <c r="L5219" s="17" t="s">
        <v>1406</v>
      </c>
    </row>
    <row r="5220" s="11" customFormat="true" ht="10.95" hidden="false" customHeight="true" outlineLevel="0" collapsed="false">
      <c r="A5220" s="16" t="n">
        <v>45143</v>
      </c>
      <c r="B5220" s="17" t="s">
        <v>2779</v>
      </c>
      <c r="C5220" s="17" t="s">
        <v>1593</v>
      </c>
      <c r="D5220" s="17" t="s">
        <v>1407</v>
      </c>
      <c r="E5220" s="17" t="s">
        <v>2780</v>
      </c>
      <c r="F5220" s="17" t="s">
        <v>2781</v>
      </c>
      <c r="G5220" s="18" t="n">
        <v>25.37</v>
      </c>
      <c r="H5220" s="18" t="n">
        <v>0</v>
      </c>
      <c r="I5220" s="18" t="n">
        <f aca="false">((I5219 + G5220) - H5220)</f>
        <v>558.08</v>
      </c>
      <c r="J5220" s="18" t="n">
        <v>0</v>
      </c>
      <c r="K5220" s="19" t="n">
        <v>0</v>
      </c>
      <c r="L5220" s="17" t="s">
        <v>1406</v>
      </c>
    </row>
    <row r="5221" s="11" customFormat="true" ht="10.95" hidden="false" customHeight="true" outlineLevel="0" collapsed="false">
      <c r="A5221" s="16" t="n">
        <v>45143</v>
      </c>
      <c r="B5221" s="17" t="s">
        <v>2779</v>
      </c>
      <c r="C5221" s="17" t="s">
        <v>1593</v>
      </c>
      <c r="D5221" s="17" t="s">
        <v>1407</v>
      </c>
      <c r="E5221" s="17" t="s">
        <v>2780</v>
      </c>
      <c r="F5221" s="17" t="s">
        <v>2781</v>
      </c>
      <c r="G5221" s="18" t="n">
        <v>30.71</v>
      </c>
      <c r="H5221" s="18" t="n">
        <v>0</v>
      </c>
      <c r="I5221" s="18" t="n">
        <f aca="false">((I5220 + G5221) - H5221)</f>
        <v>588.79</v>
      </c>
      <c r="J5221" s="18" t="n">
        <v>0</v>
      </c>
      <c r="K5221" s="19" t="n">
        <v>0</v>
      </c>
      <c r="L5221" s="17" t="s">
        <v>1406</v>
      </c>
    </row>
    <row r="5222" s="11" customFormat="true" ht="10.95" hidden="false" customHeight="true" outlineLevel="0" collapsed="false">
      <c r="A5222" s="16" t="n">
        <v>45146</v>
      </c>
      <c r="B5222" s="17" t="s">
        <v>2779</v>
      </c>
      <c r="C5222" s="17" t="s">
        <v>1593</v>
      </c>
      <c r="D5222" s="17" t="s">
        <v>1407</v>
      </c>
      <c r="E5222" s="17" t="s">
        <v>2780</v>
      </c>
      <c r="F5222" s="17" t="s">
        <v>2781</v>
      </c>
      <c r="G5222" s="18" t="n">
        <v>5</v>
      </c>
      <c r="H5222" s="18" t="n">
        <v>0</v>
      </c>
      <c r="I5222" s="18" t="n">
        <f aca="false">((I5221 + G5222) - H5222)</f>
        <v>593.79</v>
      </c>
      <c r="J5222" s="18" t="n">
        <v>0</v>
      </c>
      <c r="K5222" s="19" t="n">
        <v>0</v>
      </c>
      <c r="L5222" s="17" t="s">
        <v>1406</v>
      </c>
    </row>
    <row r="5223" s="11" customFormat="true" ht="10.95" hidden="false" customHeight="true" outlineLevel="0" collapsed="false">
      <c r="A5223" s="16" t="n">
        <v>45146</v>
      </c>
      <c r="B5223" s="17" t="s">
        <v>2779</v>
      </c>
      <c r="C5223" s="17" t="s">
        <v>1593</v>
      </c>
      <c r="D5223" s="17" t="s">
        <v>1407</v>
      </c>
      <c r="E5223" s="17" t="s">
        <v>2780</v>
      </c>
      <c r="F5223" s="17" t="s">
        <v>2781</v>
      </c>
      <c r="G5223" s="18" t="n">
        <v>13.01</v>
      </c>
      <c r="H5223" s="18" t="n">
        <v>0</v>
      </c>
      <c r="I5223" s="18" t="n">
        <f aca="false">((I5222 + G5223) - H5223)</f>
        <v>606.8</v>
      </c>
      <c r="J5223" s="18" t="n">
        <v>0</v>
      </c>
      <c r="K5223" s="19" t="n">
        <v>0</v>
      </c>
      <c r="L5223" s="17" t="s">
        <v>1406</v>
      </c>
    </row>
    <row r="5224" s="11" customFormat="true" ht="10.95" hidden="false" customHeight="true" outlineLevel="0" collapsed="false">
      <c r="A5224" s="16" t="n">
        <v>45168</v>
      </c>
      <c r="B5224" s="17" t="s">
        <v>2779</v>
      </c>
      <c r="C5224" s="17" t="s">
        <v>1593</v>
      </c>
      <c r="D5224" s="17" t="s">
        <v>1407</v>
      </c>
      <c r="E5224" s="17" t="s">
        <v>2782</v>
      </c>
      <c r="F5224" s="17"/>
      <c r="G5224" s="18" t="n">
        <v>2000</v>
      </c>
      <c r="H5224" s="18" t="n">
        <v>0</v>
      </c>
      <c r="I5224" s="18" t="n">
        <f aca="false">((I5223 + G5224) - H5224)</f>
        <v>2606.8</v>
      </c>
      <c r="J5224" s="18" t="n">
        <v>0</v>
      </c>
      <c r="K5224" s="19" t="n">
        <v>0</v>
      </c>
      <c r="L5224" s="17" t="s">
        <v>1406</v>
      </c>
    </row>
    <row r="5225" s="11" customFormat="true" ht="10.95" hidden="false" customHeight="true" outlineLevel="0" collapsed="false">
      <c r="A5225" s="16" t="n">
        <v>45170</v>
      </c>
      <c r="B5225" s="17" t="s">
        <v>2779</v>
      </c>
      <c r="C5225" s="17" t="s">
        <v>1593</v>
      </c>
      <c r="D5225" s="17" t="s">
        <v>1407</v>
      </c>
      <c r="E5225" s="17" t="s">
        <v>2780</v>
      </c>
      <c r="F5225" s="17" t="s">
        <v>2781</v>
      </c>
      <c r="G5225" s="18" t="n">
        <v>10.52</v>
      </c>
      <c r="H5225" s="18" t="n">
        <v>0</v>
      </c>
      <c r="I5225" s="18" t="n">
        <f aca="false">((I5224 + G5225) - H5225)</f>
        <v>2617.32</v>
      </c>
      <c r="J5225" s="18" t="n">
        <v>0</v>
      </c>
      <c r="K5225" s="19" t="n">
        <v>0</v>
      </c>
      <c r="L5225" s="17" t="s">
        <v>1406</v>
      </c>
    </row>
    <row r="5226" s="11" customFormat="true" ht="10.95" hidden="false" customHeight="true" outlineLevel="0" collapsed="false">
      <c r="A5226" s="16" t="n">
        <v>45174</v>
      </c>
      <c r="B5226" s="17" t="s">
        <v>2779</v>
      </c>
      <c r="C5226" s="17" t="s">
        <v>1593</v>
      </c>
      <c r="D5226" s="17" t="s">
        <v>1407</v>
      </c>
      <c r="E5226" s="17" t="s">
        <v>2780</v>
      </c>
      <c r="F5226" s="17" t="s">
        <v>2781</v>
      </c>
      <c r="G5226" s="18" t="n">
        <v>17.96</v>
      </c>
      <c r="H5226" s="18" t="n">
        <v>0</v>
      </c>
      <c r="I5226" s="18" t="n">
        <f aca="false">((I5225 + G5226) - H5226)</f>
        <v>2635.28</v>
      </c>
      <c r="J5226" s="18" t="n">
        <v>0</v>
      </c>
      <c r="K5226" s="19" t="n">
        <v>0</v>
      </c>
      <c r="L5226" s="17" t="s">
        <v>1406</v>
      </c>
    </row>
    <row r="5227" s="11" customFormat="true" ht="10.95" hidden="false" customHeight="true" outlineLevel="0" collapsed="false">
      <c r="A5227" s="16" t="n">
        <v>45225</v>
      </c>
      <c r="B5227" s="17" t="s">
        <v>2779</v>
      </c>
      <c r="C5227" s="17" t="s">
        <v>1593</v>
      </c>
      <c r="D5227" s="17" t="s">
        <v>1407</v>
      </c>
      <c r="E5227" s="17" t="s">
        <v>2780</v>
      </c>
      <c r="F5227" s="17" t="s">
        <v>2781</v>
      </c>
      <c r="G5227" s="18" t="n">
        <v>5</v>
      </c>
      <c r="H5227" s="18" t="n">
        <v>0</v>
      </c>
      <c r="I5227" s="18" t="n">
        <f aca="false">((I5226 + G5227) - H5227)</f>
        <v>2640.28</v>
      </c>
      <c r="J5227" s="18" t="n">
        <v>0</v>
      </c>
      <c r="K5227" s="19" t="n">
        <v>0</v>
      </c>
      <c r="L5227" s="17" t="s">
        <v>1406</v>
      </c>
    </row>
    <row r="5228" s="11" customFormat="true" ht="10.95" hidden="false" customHeight="true" outlineLevel="0" collapsed="false">
      <c r="A5228" s="16" t="n">
        <v>45225</v>
      </c>
      <c r="B5228" s="17" t="s">
        <v>2779</v>
      </c>
      <c r="C5228" s="17" t="s">
        <v>1593</v>
      </c>
      <c r="D5228" s="17" t="s">
        <v>1407</v>
      </c>
      <c r="E5228" s="17" t="s">
        <v>2780</v>
      </c>
      <c r="F5228" s="17" t="s">
        <v>2781</v>
      </c>
      <c r="G5228" s="18" t="n">
        <v>5</v>
      </c>
      <c r="H5228" s="18" t="n">
        <v>0</v>
      </c>
      <c r="I5228" s="18" t="n">
        <f aca="false">((I5227 + G5228) - H5228)</f>
        <v>2645.28</v>
      </c>
      <c r="J5228" s="18" t="n">
        <v>0</v>
      </c>
      <c r="K5228" s="19" t="n">
        <v>0</v>
      </c>
      <c r="L5228" s="17" t="s">
        <v>1406</v>
      </c>
    </row>
    <row r="5229" s="11" customFormat="true" ht="10.95" hidden="false" customHeight="true" outlineLevel="0" collapsed="false">
      <c r="A5229" s="16" t="n">
        <v>45225</v>
      </c>
      <c r="B5229" s="17" t="s">
        <v>2779</v>
      </c>
      <c r="C5229" s="17" t="s">
        <v>1593</v>
      </c>
      <c r="D5229" s="17" t="s">
        <v>1407</v>
      </c>
      <c r="E5229" s="17" t="s">
        <v>2780</v>
      </c>
      <c r="F5229" s="17" t="s">
        <v>2781</v>
      </c>
      <c r="G5229" s="18" t="n">
        <v>11.25</v>
      </c>
      <c r="H5229" s="18" t="n">
        <v>0</v>
      </c>
      <c r="I5229" s="18" t="n">
        <f aca="false">((I5228 + G5229) - H5229)</f>
        <v>2656.53</v>
      </c>
      <c r="J5229" s="18" t="n">
        <v>0</v>
      </c>
      <c r="K5229" s="19" t="n">
        <v>0</v>
      </c>
      <c r="L5229" s="17" t="s">
        <v>1406</v>
      </c>
    </row>
    <row r="5230" s="11" customFormat="true" ht="10.95" hidden="false" customHeight="true" outlineLevel="0" collapsed="false">
      <c r="A5230" s="16" t="n">
        <v>45225</v>
      </c>
      <c r="B5230" s="17" t="s">
        <v>2779</v>
      </c>
      <c r="C5230" s="17" t="s">
        <v>1593</v>
      </c>
      <c r="D5230" s="17" t="s">
        <v>1407</v>
      </c>
      <c r="E5230" s="17" t="s">
        <v>2780</v>
      </c>
      <c r="F5230" s="17" t="s">
        <v>2781</v>
      </c>
      <c r="G5230" s="18" t="n">
        <v>11.27</v>
      </c>
      <c r="H5230" s="18" t="n">
        <v>0</v>
      </c>
      <c r="I5230" s="18" t="n">
        <f aca="false">((I5229 + G5230) - H5230)</f>
        <v>2667.8</v>
      </c>
      <c r="J5230" s="18" t="n">
        <v>0</v>
      </c>
      <c r="K5230" s="19" t="n">
        <v>0</v>
      </c>
      <c r="L5230" s="17" t="s">
        <v>1406</v>
      </c>
    </row>
    <row r="5231" s="11" customFormat="true" ht="10.95" hidden="false" customHeight="true" outlineLevel="0" collapsed="false">
      <c r="A5231" s="16" t="n">
        <v>45231</v>
      </c>
      <c r="B5231" s="17" t="s">
        <v>2779</v>
      </c>
      <c r="C5231" s="17" t="s">
        <v>1593</v>
      </c>
      <c r="D5231" s="17" t="s">
        <v>1276</v>
      </c>
      <c r="E5231" s="17" t="s">
        <v>2783</v>
      </c>
      <c r="F5231" s="17"/>
      <c r="G5231" s="18" t="n">
        <v>0</v>
      </c>
      <c r="H5231" s="18" t="n">
        <v>39.99</v>
      </c>
      <c r="I5231" s="18" t="n">
        <f aca="false">((I5230 + G5231) - H5231)</f>
        <v>2627.81</v>
      </c>
      <c r="J5231" s="18" t="n">
        <v>0</v>
      </c>
      <c r="K5231" s="19" t="n">
        <v>0</v>
      </c>
      <c r="L5231" s="17" t="s">
        <v>1406</v>
      </c>
    </row>
    <row r="5232" s="11" customFormat="true" ht="10.95" hidden="false" customHeight="true" outlineLevel="0" collapsed="false">
      <c r="A5232" s="16" t="n">
        <v>45231</v>
      </c>
      <c r="B5232" s="17" t="s">
        <v>2779</v>
      </c>
      <c r="C5232" s="17" t="s">
        <v>1593</v>
      </c>
      <c r="D5232" s="17" t="s">
        <v>1276</v>
      </c>
      <c r="E5232" s="17" t="s">
        <v>2783</v>
      </c>
      <c r="F5232" s="17"/>
      <c r="G5232" s="18" t="n">
        <v>0</v>
      </c>
      <c r="H5232" s="18" t="n">
        <v>39.99</v>
      </c>
      <c r="I5232" s="18" t="n">
        <f aca="false">((I5231 + G5232) - H5232)</f>
        <v>2587.82</v>
      </c>
      <c r="J5232" s="18" t="n">
        <v>0</v>
      </c>
      <c r="K5232" s="19" t="n">
        <v>0</v>
      </c>
      <c r="L5232" s="17" t="s">
        <v>1406</v>
      </c>
    </row>
    <row r="5233" s="11" customFormat="true" ht="10.95" hidden="false" customHeight="true" outlineLevel="0" collapsed="false">
      <c r="A5233" s="16" t="n">
        <v>45231</v>
      </c>
      <c r="B5233" s="17" t="s">
        <v>2779</v>
      </c>
      <c r="C5233" s="17" t="s">
        <v>1593</v>
      </c>
      <c r="D5233" s="17" t="s">
        <v>1276</v>
      </c>
      <c r="E5233" s="17" t="s">
        <v>2783</v>
      </c>
      <c r="F5233" s="17"/>
      <c r="G5233" s="18" t="n">
        <v>0</v>
      </c>
      <c r="H5233" s="18" t="n">
        <v>98.68</v>
      </c>
      <c r="I5233" s="18" t="n">
        <f aca="false">((I5232 + G5233) - H5233)</f>
        <v>2489.14</v>
      </c>
      <c r="J5233" s="18" t="n">
        <v>0</v>
      </c>
      <c r="K5233" s="19" t="n">
        <v>0</v>
      </c>
      <c r="L5233" s="17" t="s">
        <v>1406</v>
      </c>
    </row>
    <row r="5234" s="11" customFormat="true" ht="10.95" hidden="false" customHeight="true" outlineLevel="0" collapsed="false">
      <c r="A5234" s="16" t="n">
        <v>45237</v>
      </c>
      <c r="B5234" s="17" t="s">
        <v>2779</v>
      </c>
      <c r="C5234" s="17" t="s">
        <v>1593</v>
      </c>
      <c r="D5234" s="17" t="s">
        <v>1407</v>
      </c>
      <c r="E5234" s="17" t="s">
        <v>2780</v>
      </c>
      <c r="F5234" s="17" t="s">
        <v>2781</v>
      </c>
      <c r="G5234" s="18" t="n">
        <v>2.25</v>
      </c>
      <c r="H5234" s="18" t="n">
        <v>0</v>
      </c>
      <c r="I5234" s="18" t="n">
        <f aca="false">((I5233 + G5234) - H5234)</f>
        <v>2491.39</v>
      </c>
      <c r="J5234" s="18" t="n">
        <v>0</v>
      </c>
      <c r="K5234" s="19" t="n">
        <v>0</v>
      </c>
      <c r="L5234" s="17" t="s">
        <v>1406</v>
      </c>
    </row>
    <row r="5235" s="11" customFormat="true" ht="10.95" hidden="false" customHeight="true" outlineLevel="0" collapsed="false">
      <c r="A5235" s="16" t="n">
        <v>45249</v>
      </c>
      <c r="B5235" s="17" t="s">
        <v>2779</v>
      </c>
      <c r="C5235" s="17" t="s">
        <v>1593</v>
      </c>
      <c r="D5235" s="17" t="s">
        <v>1407</v>
      </c>
      <c r="E5235" s="17" t="s">
        <v>2784</v>
      </c>
      <c r="F5235" s="17"/>
      <c r="G5235" s="18" t="n">
        <v>1768.58</v>
      </c>
      <c r="H5235" s="18" t="n">
        <v>0</v>
      </c>
      <c r="I5235" s="18" t="n">
        <f aca="false">((I5234 + G5235) - H5235)</f>
        <v>4259.97</v>
      </c>
      <c r="J5235" s="18" t="n">
        <v>176.86</v>
      </c>
      <c r="K5235" s="19" t="n">
        <v>10</v>
      </c>
      <c r="L5235" s="17" t="s">
        <v>44</v>
      </c>
    </row>
    <row r="5236" s="11" customFormat="true" ht="10.95" hidden="false" customHeight="true" outlineLevel="0" collapsed="false">
      <c r="A5236" s="16" t="n">
        <v>45250</v>
      </c>
      <c r="B5236" s="17" t="s">
        <v>2779</v>
      </c>
      <c r="C5236" s="17" t="s">
        <v>1593</v>
      </c>
      <c r="D5236" s="17" t="s">
        <v>1407</v>
      </c>
      <c r="E5236" s="17" t="s">
        <v>2785</v>
      </c>
      <c r="F5236" s="17"/>
      <c r="G5236" s="18" t="n">
        <v>9153.55</v>
      </c>
      <c r="H5236" s="18" t="n">
        <v>0</v>
      </c>
      <c r="I5236" s="18" t="n">
        <f aca="false">((I5235 + G5236) - H5236)</f>
        <v>13413.52</v>
      </c>
      <c r="J5236" s="18" t="n">
        <v>915.36</v>
      </c>
      <c r="K5236" s="19" t="n">
        <v>10</v>
      </c>
      <c r="L5236" s="17" t="s">
        <v>44</v>
      </c>
    </row>
    <row r="5237" s="11" customFormat="true" ht="10.95" hidden="false" customHeight="true" outlineLevel="0" collapsed="false">
      <c r="A5237" s="16" t="n">
        <v>45265</v>
      </c>
      <c r="B5237" s="17" t="s">
        <v>2779</v>
      </c>
      <c r="C5237" s="17" t="s">
        <v>1593</v>
      </c>
      <c r="D5237" s="17" t="s">
        <v>1407</v>
      </c>
      <c r="E5237" s="17" t="s">
        <v>2780</v>
      </c>
      <c r="F5237" s="17" t="s">
        <v>2786</v>
      </c>
      <c r="G5237" s="18" t="n">
        <v>16.6</v>
      </c>
      <c r="H5237" s="18" t="n">
        <v>0</v>
      </c>
      <c r="I5237" s="18" t="n">
        <f aca="false">((I5236 + G5237) - H5237)</f>
        <v>13430.12</v>
      </c>
      <c r="J5237" s="18" t="n">
        <v>0</v>
      </c>
      <c r="K5237" s="19" t="n">
        <v>0</v>
      </c>
      <c r="L5237" s="17" t="s">
        <v>1406</v>
      </c>
    </row>
    <row r="5238" s="11" customFormat="true" ht="10.95" hidden="false" customHeight="true" outlineLevel="0" collapsed="false">
      <c r="A5238" s="16" t="n">
        <v>45267</v>
      </c>
      <c r="B5238" s="17" t="s">
        <v>2779</v>
      </c>
      <c r="C5238" s="17" t="s">
        <v>1593</v>
      </c>
      <c r="D5238" s="17" t="s">
        <v>1407</v>
      </c>
      <c r="E5238" s="17" t="s">
        <v>2780</v>
      </c>
      <c r="F5238" s="17" t="s">
        <v>2781</v>
      </c>
      <c r="G5238" s="18" t="n">
        <v>10</v>
      </c>
      <c r="H5238" s="18" t="n">
        <v>0</v>
      </c>
      <c r="I5238" s="18" t="n">
        <f aca="false">((I5237 + G5238) - H5238)</f>
        <v>13440.12</v>
      </c>
      <c r="J5238" s="18" t="n">
        <v>0</v>
      </c>
      <c r="K5238" s="19" t="n">
        <v>0</v>
      </c>
      <c r="L5238" s="17" t="s">
        <v>1406</v>
      </c>
    </row>
    <row r="5239" s="11" customFormat="true" ht="10.95" hidden="false" customHeight="true" outlineLevel="0" collapsed="false">
      <c r="A5239" s="16" t="n">
        <v>45267</v>
      </c>
      <c r="B5239" s="17" t="s">
        <v>2779</v>
      </c>
      <c r="C5239" s="17" t="s">
        <v>1593</v>
      </c>
      <c r="D5239" s="17" t="s">
        <v>1407</v>
      </c>
      <c r="E5239" s="17" t="s">
        <v>2780</v>
      </c>
      <c r="F5239" s="17" t="s">
        <v>2781</v>
      </c>
      <c r="G5239" s="18" t="n">
        <v>11.26</v>
      </c>
      <c r="H5239" s="18" t="n">
        <v>0</v>
      </c>
      <c r="I5239" s="18" t="n">
        <f aca="false">((I5238 + G5239) - H5239)</f>
        <v>13451.38</v>
      </c>
      <c r="J5239" s="18" t="n">
        <v>0</v>
      </c>
      <c r="K5239" s="19" t="n">
        <v>0</v>
      </c>
      <c r="L5239" s="17" t="s">
        <v>1406</v>
      </c>
    </row>
    <row r="5240" s="11" customFormat="true" ht="10.95" hidden="false" customHeight="true" outlineLevel="0" collapsed="false">
      <c r="A5240" s="16" t="n">
        <v>45268</v>
      </c>
      <c r="B5240" s="17" t="s">
        <v>2779</v>
      </c>
      <c r="C5240" s="17" t="s">
        <v>1593</v>
      </c>
      <c r="D5240" s="17" t="s">
        <v>1407</v>
      </c>
      <c r="E5240" s="17" t="s">
        <v>2787</v>
      </c>
      <c r="F5240" s="17"/>
      <c r="G5240" s="18" t="n">
        <v>298.35</v>
      </c>
      <c r="H5240" s="18" t="n">
        <v>0</v>
      </c>
      <c r="I5240" s="18" t="n">
        <f aca="false">((I5239 + G5240) - H5240)</f>
        <v>13749.73</v>
      </c>
      <c r="J5240" s="18" t="n">
        <v>0</v>
      </c>
      <c r="K5240" s="19" t="n">
        <v>0</v>
      </c>
      <c r="L5240" s="17" t="s">
        <v>1406</v>
      </c>
    </row>
    <row r="5241" s="11" customFormat="true" ht="10.95" hidden="false" customHeight="true" outlineLevel="0" collapsed="false">
      <c r="A5241" s="16" t="n">
        <v>45269</v>
      </c>
      <c r="B5241" s="17" t="s">
        <v>2779</v>
      </c>
      <c r="C5241" s="17" t="s">
        <v>1593</v>
      </c>
      <c r="D5241" s="17" t="s">
        <v>1407</v>
      </c>
      <c r="E5241" s="17" t="s">
        <v>2780</v>
      </c>
      <c r="F5241" s="17" t="s">
        <v>2781</v>
      </c>
      <c r="G5241" s="18" t="n">
        <v>10.98</v>
      </c>
      <c r="H5241" s="18" t="n">
        <v>0</v>
      </c>
      <c r="I5241" s="18" t="n">
        <f aca="false">((I5240 + G5241) - H5241)</f>
        <v>13760.71</v>
      </c>
      <c r="J5241" s="18" t="n">
        <v>0</v>
      </c>
      <c r="K5241" s="19" t="n">
        <v>0</v>
      </c>
      <c r="L5241" s="17" t="s">
        <v>1406</v>
      </c>
    </row>
    <row r="5242" s="11" customFormat="true" ht="10.95" hidden="false" customHeight="true" outlineLevel="0" collapsed="false">
      <c r="A5242" s="16" t="n">
        <v>45272</v>
      </c>
      <c r="B5242" s="17" t="s">
        <v>2779</v>
      </c>
      <c r="C5242" s="17" t="s">
        <v>1593</v>
      </c>
      <c r="D5242" s="17" t="s">
        <v>1407</v>
      </c>
      <c r="E5242" s="17" t="s">
        <v>2780</v>
      </c>
      <c r="F5242" s="17" t="s">
        <v>2781</v>
      </c>
      <c r="G5242" s="18" t="n">
        <v>5</v>
      </c>
      <c r="H5242" s="18" t="n">
        <v>0</v>
      </c>
      <c r="I5242" s="18" t="n">
        <f aca="false">((I5241 + G5242) - H5242)</f>
        <v>13765.71</v>
      </c>
      <c r="J5242" s="18" t="n">
        <v>0</v>
      </c>
      <c r="K5242" s="19" t="n">
        <v>0</v>
      </c>
      <c r="L5242" s="17" t="s">
        <v>1406</v>
      </c>
    </row>
    <row r="5243" s="11" customFormat="true" ht="10.95" hidden="false" customHeight="true" outlineLevel="0" collapsed="false">
      <c r="A5243" s="16" t="n">
        <v>45272</v>
      </c>
      <c r="B5243" s="17" t="s">
        <v>2779</v>
      </c>
      <c r="C5243" s="17" t="s">
        <v>1593</v>
      </c>
      <c r="D5243" s="17" t="s">
        <v>1407</v>
      </c>
      <c r="E5243" s="17" t="s">
        <v>2780</v>
      </c>
      <c r="F5243" s="17" t="s">
        <v>2781</v>
      </c>
      <c r="G5243" s="18" t="n">
        <v>5</v>
      </c>
      <c r="H5243" s="18" t="n">
        <v>0</v>
      </c>
      <c r="I5243" s="18" t="n">
        <f aca="false">((I5242 + G5243) - H5243)</f>
        <v>13770.71</v>
      </c>
      <c r="J5243" s="18" t="n">
        <v>0</v>
      </c>
      <c r="K5243" s="19" t="n">
        <v>0</v>
      </c>
      <c r="L5243" s="17" t="s">
        <v>1406</v>
      </c>
    </row>
    <row r="5244" s="11" customFormat="true" ht="10.95" hidden="false" customHeight="true" outlineLevel="0" collapsed="false">
      <c r="A5244" s="16" t="n">
        <v>45272</v>
      </c>
      <c r="B5244" s="17" t="s">
        <v>2779</v>
      </c>
      <c r="C5244" s="17" t="s">
        <v>1593</v>
      </c>
      <c r="D5244" s="17" t="s">
        <v>1407</v>
      </c>
      <c r="E5244" s="17" t="s">
        <v>2780</v>
      </c>
      <c r="F5244" s="17" t="s">
        <v>2781</v>
      </c>
      <c r="G5244" s="18" t="n">
        <v>5</v>
      </c>
      <c r="H5244" s="18" t="n">
        <v>0</v>
      </c>
      <c r="I5244" s="18" t="n">
        <f aca="false">((I5243 + G5244) - H5244)</f>
        <v>13775.71</v>
      </c>
      <c r="J5244" s="18" t="n">
        <v>0</v>
      </c>
      <c r="K5244" s="19" t="n">
        <v>0</v>
      </c>
      <c r="L5244" s="17" t="s">
        <v>1406</v>
      </c>
    </row>
    <row r="5245" s="11" customFormat="true" ht="10.95" hidden="false" customHeight="true" outlineLevel="0" collapsed="false">
      <c r="A5245" s="16" t="n">
        <v>45272</v>
      </c>
      <c r="B5245" s="17" t="s">
        <v>2779</v>
      </c>
      <c r="C5245" s="17" t="s">
        <v>1593</v>
      </c>
      <c r="D5245" s="17" t="s">
        <v>1407</v>
      </c>
      <c r="E5245" s="17" t="s">
        <v>2780</v>
      </c>
      <c r="F5245" s="17" t="s">
        <v>2781</v>
      </c>
      <c r="G5245" s="18" t="n">
        <v>13.34</v>
      </c>
      <c r="H5245" s="18" t="n">
        <v>0</v>
      </c>
      <c r="I5245" s="18" t="n">
        <f aca="false">((I5244 + G5245) - H5245)</f>
        <v>13789.05</v>
      </c>
      <c r="J5245" s="18" t="n">
        <v>0</v>
      </c>
      <c r="K5245" s="19" t="n">
        <v>0</v>
      </c>
      <c r="L5245" s="17" t="s">
        <v>1406</v>
      </c>
    </row>
    <row r="5246" s="11" customFormat="true" ht="10.95" hidden="false" customHeight="true" outlineLevel="0" collapsed="false">
      <c r="A5246" s="16" t="n">
        <v>45272</v>
      </c>
      <c r="B5246" s="17" t="s">
        <v>2779</v>
      </c>
      <c r="C5246" s="17" t="s">
        <v>1593</v>
      </c>
      <c r="D5246" s="17" t="s">
        <v>1407</v>
      </c>
      <c r="E5246" s="17" t="s">
        <v>2780</v>
      </c>
      <c r="F5246" s="17" t="s">
        <v>2781</v>
      </c>
      <c r="G5246" s="18" t="n">
        <v>14.32</v>
      </c>
      <c r="H5246" s="18" t="n">
        <v>0</v>
      </c>
      <c r="I5246" s="18" t="n">
        <f aca="false">((I5245 + G5246) - H5246)</f>
        <v>13803.37</v>
      </c>
      <c r="J5246" s="18" t="n">
        <v>0</v>
      </c>
      <c r="K5246" s="19" t="n">
        <v>0</v>
      </c>
      <c r="L5246" s="17" t="s">
        <v>1406</v>
      </c>
    </row>
    <row r="5247" s="11" customFormat="true" ht="10.95" hidden="false" customHeight="true" outlineLevel="0" collapsed="false">
      <c r="A5247" s="16" t="n">
        <v>45272</v>
      </c>
      <c r="B5247" s="17" t="s">
        <v>2779</v>
      </c>
      <c r="C5247" s="17" t="s">
        <v>1593</v>
      </c>
      <c r="D5247" s="17" t="s">
        <v>1407</v>
      </c>
      <c r="E5247" s="17" t="s">
        <v>2780</v>
      </c>
      <c r="F5247" s="17" t="s">
        <v>2781</v>
      </c>
      <c r="G5247" s="18" t="n">
        <v>17.3</v>
      </c>
      <c r="H5247" s="18" t="n">
        <v>0</v>
      </c>
      <c r="I5247" s="18" t="n">
        <f aca="false">((I5246 + G5247) - H5247)</f>
        <v>13820.67</v>
      </c>
      <c r="J5247" s="18" t="n">
        <v>0</v>
      </c>
      <c r="K5247" s="19" t="n">
        <v>0</v>
      </c>
      <c r="L5247" s="17" t="s">
        <v>1406</v>
      </c>
    </row>
    <row r="5248" s="11" customFormat="true" ht="10.95" hidden="false" customHeight="true" outlineLevel="0" collapsed="false">
      <c r="A5248" s="16" t="n">
        <v>45280</v>
      </c>
      <c r="B5248" s="17" t="s">
        <v>2779</v>
      </c>
      <c r="C5248" s="17" t="s">
        <v>1593</v>
      </c>
      <c r="D5248" s="17" t="s">
        <v>1407</v>
      </c>
      <c r="E5248" s="17" t="s">
        <v>2780</v>
      </c>
      <c r="F5248" s="17" t="s">
        <v>2781</v>
      </c>
      <c r="G5248" s="18" t="n">
        <v>5</v>
      </c>
      <c r="H5248" s="18" t="n">
        <v>0</v>
      </c>
      <c r="I5248" s="18" t="n">
        <f aca="false">((I5247 + G5248) - H5248)</f>
        <v>13825.67</v>
      </c>
      <c r="J5248" s="18" t="n">
        <v>0</v>
      </c>
      <c r="K5248" s="19" t="n">
        <v>0</v>
      </c>
      <c r="L5248" s="17" t="s">
        <v>1406</v>
      </c>
    </row>
    <row r="5249" s="11" customFormat="true" ht="10.95" hidden="false" customHeight="true" outlineLevel="0" collapsed="false">
      <c r="A5249" s="16" t="n">
        <v>45280</v>
      </c>
      <c r="B5249" s="17" t="s">
        <v>2779</v>
      </c>
      <c r="C5249" s="17" t="s">
        <v>1593</v>
      </c>
      <c r="D5249" s="17" t="s">
        <v>1407</v>
      </c>
      <c r="E5249" s="17" t="s">
        <v>2780</v>
      </c>
      <c r="F5249" s="17" t="s">
        <v>2781</v>
      </c>
      <c r="G5249" s="18" t="n">
        <v>14.42</v>
      </c>
      <c r="H5249" s="18" t="n">
        <v>0</v>
      </c>
      <c r="I5249" s="18" t="n">
        <f aca="false">((I5248 + G5249) - H5249)</f>
        <v>13840.09</v>
      </c>
      <c r="J5249" s="18" t="n">
        <v>0</v>
      </c>
      <c r="K5249" s="19" t="n">
        <v>0</v>
      </c>
      <c r="L5249" s="17" t="s">
        <v>1406</v>
      </c>
    </row>
    <row r="5250" s="11" customFormat="true" ht="10.95" hidden="false" customHeight="true" outlineLevel="0" collapsed="false">
      <c r="A5250" s="16" t="n">
        <v>45281</v>
      </c>
      <c r="B5250" s="17" t="s">
        <v>2779</v>
      </c>
      <c r="C5250" s="17" t="s">
        <v>1593</v>
      </c>
      <c r="D5250" s="17" t="s">
        <v>1407</v>
      </c>
      <c r="E5250" s="17" t="s">
        <v>2780</v>
      </c>
      <c r="F5250" s="17" t="s">
        <v>2781</v>
      </c>
      <c r="G5250" s="18" t="n">
        <v>5</v>
      </c>
      <c r="H5250" s="18" t="n">
        <v>0</v>
      </c>
      <c r="I5250" s="18" t="n">
        <f aca="false">((I5249 + G5250) - H5250)</f>
        <v>13845.09</v>
      </c>
      <c r="J5250" s="18" t="n">
        <v>0</v>
      </c>
      <c r="K5250" s="19" t="n">
        <v>0</v>
      </c>
      <c r="L5250" s="17" t="s">
        <v>1406</v>
      </c>
    </row>
    <row r="5251" s="11" customFormat="true" ht="10.95" hidden="false" customHeight="true" outlineLevel="0" collapsed="false">
      <c r="A5251" s="16" t="n">
        <v>45281</v>
      </c>
      <c r="B5251" s="17" t="s">
        <v>2779</v>
      </c>
      <c r="C5251" s="17" t="s">
        <v>1593</v>
      </c>
      <c r="D5251" s="17" t="s">
        <v>1407</v>
      </c>
      <c r="E5251" s="17" t="s">
        <v>2780</v>
      </c>
      <c r="F5251" s="17" t="s">
        <v>2781</v>
      </c>
      <c r="G5251" s="18" t="n">
        <v>5</v>
      </c>
      <c r="H5251" s="18" t="n">
        <v>0</v>
      </c>
      <c r="I5251" s="18" t="n">
        <f aca="false">((I5250 + G5251) - H5251)</f>
        <v>13850.09</v>
      </c>
      <c r="J5251" s="18" t="n">
        <v>0</v>
      </c>
      <c r="K5251" s="19" t="n">
        <v>0</v>
      </c>
      <c r="L5251" s="17" t="s">
        <v>1406</v>
      </c>
    </row>
    <row r="5252" s="11" customFormat="true" ht="10.95" hidden="false" customHeight="true" outlineLevel="0" collapsed="false">
      <c r="A5252" s="16" t="n">
        <v>45281</v>
      </c>
      <c r="B5252" s="17" t="s">
        <v>2779</v>
      </c>
      <c r="C5252" s="17" t="s">
        <v>1593</v>
      </c>
      <c r="D5252" s="17" t="s">
        <v>1407</v>
      </c>
      <c r="E5252" s="17" t="s">
        <v>2780</v>
      </c>
      <c r="F5252" s="17" t="s">
        <v>2781</v>
      </c>
      <c r="G5252" s="18" t="n">
        <v>13.23</v>
      </c>
      <c r="H5252" s="18" t="n">
        <v>0</v>
      </c>
      <c r="I5252" s="18" t="n">
        <f aca="false">((I5251 + G5252) - H5252)</f>
        <v>13863.32</v>
      </c>
      <c r="J5252" s="18" t="n">
        <v>0</v>
      </c>
      <c r="K5252" s="19" t="n">
        <v>0</v>
      </c>
      <c r="L5252" s="17" t="s">
        <v>1406</v>
      </c>
    </row>
    <row r="5253" s="11" customFormat="true" ht="10.95" hidden="false" customHeight="true" outlineLevel="0" collapsed="false">
      <c r="A5253" s="16" t="n">
        <v>45281</v>
      </c>
      <c r="B5253" s="17" t="s">
        <v>2779</v>
      </c>
      <c r="C5253" s="17" t="s">
        <v>1593</v>
      </c>
      <c r="D5253" s="17" t="s">
        <v>1407</v>
      </c>
      <c r="E5253" s="17" t="s">
        <v>2780</v>
      </c>
      <c r="F5253" s="17" t="s">
        <v>2781</v>
      </c>
      <c r="G5253" s="18" t="n">
        <v>14.87</v>
      </c>
      <c r="H5253" s="18" t="n">
        <v>0</v>
      </c>
      <c r="I5253" s="18" t="n">
        <f aca="false">((I5252 + G5253) - H5253)</f>
        <v>13878.19</v>
      </c>
      <c r="J5253" s="18" t="n">
        <v>0</v>
      </c>
      <c r="K5253" s="19" t="n">
        <v>0</v>
      </c>
      <c r="L5253" s="17" t="s">
        <v>1406</v>
      </c>
    </row>
    <row r="5254" s="11" customFormat="true" ht="10.95" hidden="false" customHeight="true" outlineLevel="0" collapsed="false">
      <c r="A5254" s="16" t="n">
        <v>45281</v>
      </c>
      <c r="B5254" s="17" t="s">
        <v>2779</v>
      </c>
      <c r="C5254" s="17" t="s">
        <v>1593</v>
      </c>
      <c r="D5254" s="17" t="s">
        <v>1407</v>
      </c>
      <c r="E5254" s="17" t="s">
        <v>2788</v>
      </c>
      <c r="F5254" s="17"/>
      <c r="G5254" s="18" t="n">
        <v>9104.6</v>
      </c>
      <c r="H5254" s="18" t="n">
        <v>0</v>
      </c>
      <c r="I5254" s="18" t="n">
        <f aca="false">((I5253 + G5254) - H5254)</f>
        <v>22982.79</v>
      </c>
      <c r="J5254" s="18" t="n">
        <v>910.46</v>
      </c>
      <c r="K5254" s="19" t="n">
        <v>10</v>
      </c>
      <c r="L5254" s="17" t="s">
        <v>44</v>
      </c>
    </row>
    <row r="5255" s="11" customFormat="true" ht="10.95" hidden="false" customHeight="true" outlineLevel="0" collapsed="false">
      <c r="A5255" s="16" t="n">
        <v>45282</v>
      </c>
      <c r="B5255" s="17" t="s">
        <v>2779</v>
      </c>
      <c r="C5255" s="17" t="s">
        <v>1593</v>
      </c>
      <c r="D5255" s="17" t="s">
        <v>1407</v>
      </c>
      <c r="E5255" s="17" t="s">
        <v>2780</v>
      </c>
      <c r="F5255" s="17" t="s">
        <v>2781</v>
      </c>
      <c r="G5255" s="18" t="n">
        <v>5</v>
      </c>
      <c r="H5255" s="18" t="n">
        <v>0</v>
      </c>
      <c r="I5255" s="18" t="n">
        <f aca="false">((I5254 + G5255) - H5255)</f>
        <v>22987.79</v>
      </c>
      <c r="J5255" s="18" t="n">
        <v>0</v>
      </c>
      <c r="K5255" s="19" t="n">
        <v>0</v>
      </c>
      <c r="L5255" s="17" t="s">
        <v>1406</v>
      </c>
    </row>
    <row r="5256" s="11" customFormat="true" ht="10.95" hidden="false" customHeight="true" outlineLevel="0" collapsed="false">
      <c r="A5256" s="16" t="n">
        <v>45282</v>
      </c>
      <c r="B5256" s="17" t="s">
        <v>2779</v>
      </c>
      <c r="C5256" s="17" t="s">
        <v>1593</v>
      </c>
      <c r="D5256" s="17" t="s">
        <v>1407</v>
      </c>
      <c r="E5256" s="17" t="s">
        <v>2780</v>
      </c>
      <c r="F5256" s="17" t="s">
        <v>2781</v>
      </c>
      <c r="G5256" s="18" t="n">
        <v>5</v>
      </c>
      <c r="H5256" s="18" t="n">
        <v>0</v>
      </c>
      <c r="I5256" s="18" t="n">
        <f aca="false">((I5255 + G5256) - H5256)</f>
        <v>22992.79</v>
      </c>
      <c r="J5256" s="18" t="n">
        <v>0</v>
      </c>
      <c r="K5256" s="19" t="n">
        <v>0</v>
      </c>
      <c r="L5256" s="17" t="s">
        <v>1406</v>
      </c>
    </row>
    <row r="5257" s="11" customFormat="true" ht="10.95" hidden="false" customHeight="true" outlineLevel="0" collapsed="false">
      <c r="A5257" s="16" t="n">
        <v>45282</v>
      </c>
      <c r="B5257" s="17" t="s">
        <v>2779</v>
      </c>
      <c r="C5257" s="17" t="s">
        <v>1593</v>
      </c>
      <c r="D5257" s="17" t="s">
        <v>1407</v>
      </c>
      <c r="E5257" s="17" t="s">
        <v>2780</v>
      </c>
      <c r="F5257" s="17" t="s">
        <v>2781</v>
      </c>
      <c r="G5257" s="18" t="n">
        <v>5</v>
      </c>
      <c r="H5257" s="18" t="n">
        <v>0</v>
      </c>
      <c r="I5257" s="18" t="n">
        <f aca="false">((I5256 + G5257) - H5257)</f>
        <v>22997.79</v>
      </c>
      <c r="J5257" s="18" t="n">
        <v>0</v>
      </c>
      <c r="K5257" s="19" t="n">
        <v>0</v>
      </c>
      <c r="L5257" s="17" t="s">
        <v>1406</v>
      </c>
    </row>
    <row r="5258" s="11" customFormat="true" ht="10.95" hidden="false" customHeight="true" outlineLevel="0" collapsed="false">
      <c r="A5258" s="16" t="n">
        <v>45282</v>
      </c>
      <c r="B5258" s="17" t="s">
        <v>2779</v>
      </c>
      <c r="C5258" s="17" t="s">
        <v>1593</v>
      </c>
      <c r="D5258" s="17" t="s">
        <v>1407</v>
      </c>
      <c r="E5258" s="17" t="s">
        <v>2780</v>
      </c>
      <c r="F5258" s="17" t="s">
        <v>2781</v>
      </c>
      <c r="G5258" s="18" t="n">
        <v>5</v>
      </c>
      <c r="H5258" s="18" t="n">
        <v>0</v>
      </c>
      <c r="I5258" s="18" t="n">
        <f aca="false">((I5257 + G5258) - H5258)</f>
        <v>23002.79</v>
      </c>
      <c r="J5258" s="18" t="n">
        <v>0</v>
      </c>
      <c r="K5258" s="19" t="n">
        <v>0</v>
      </c>
      <c r="L5258" s="17" t="s">
        <v>1406</v>
      </c>
    </row>
    <row r="5259" s="11" customFormat="true" ht="10.95" hidden="false" customHeight="true" outlineLevel="0" collapsed="false">
      <c r="A5259" s="16" t="n">
        <v>45282</v>
      </c>
      <c r="B5259" s="17" t="s">
        <v>2779</v>
      </c>
      <c r="C5259" s="17" t="s">
        <v>1593</v>
      </c>
      <c r="D5259" s="17" t="s">
        <v>1407</v>
      </c>
      <c r="E5259" s="17" t="s">
        <v>2780</v>
      </c>
      <c r="F5259" s="17" t="s">
        <v>2781</v>
      </c>
      <c r="G5259" s="18" t="n">
        <v>13.23</v>
      </c>
      <c r="H5259" s="18" t="n">
        <v>0</v>
      </c>
      <c r="I5259" s="18" t="n">
        <f aca="false">((I5258 + G5259) - H5259)</f>
        <v>23016.02</v>
      </c>
      <c r="J5259" s="18" t="n">
        <v>0</v>
      </c>
      <c r="K5259" s="19" t="n">
        <v>0</v>
      </c>
      <c r="L5259" s="17" t="s">
        <v>1406</v>
      </c>
    </row>
    <row r="5260" s="11" customFormat="true" ht="10.95" hidden="false" customHeight="true" outlineLevel="0" collapsed="false">
      <c r="A5260" s="16" t="n">
        <v>45282</v>
      </c>
      <c r="B5260" s="17" t="s">
        <v>2779</v>
      </c>
      <c r="C5260" s="17" t="s">
        <v>1593</v>
      </c>
      <c r="D5260" s="17" t="s">
        <v>1407</v>
      </c>
      <c r="E5260" s="17" t="s">
        <v>2780</v>
      </c>
      <c r="F5260" s="17" t="s">
        <v>2781</v>
      </c>
      <c r="G5260" s="18" t="n">
        <v>13.37</v>
      </c>
      <c r="H5260" s="18" t="n">
        <v>0</v>
      </c>
      <c r="I5260" s="18" t="n">
        <f aca="false">((I5259 + G5260) - H5260)</f>
        <v>23029.39</v>
      </c>
      <c r="J5260" s="18" t="n">
        <v>0</v>
      </c>
      <c r="K5260" s="19" t="n">
        <v>0</v>
      </c>
      <c r="L5260" s="17" t="s">
        <v>1406</v>
      </c>
    </row>
    <row r="5261" s="11" customFormat="true" ht="10.95" hidden="false" customHeight="true" outlineLevel="0" collapsed="false">
      <c r="A5261" s="16" t="n">
        <v>45282</v>
      </c>
      <c r="B5261" s="17" t="s">
        <v>2779</v>
      </c>
      <c r="C5261" s="17" t="s">
        <v>1593</v>
      </c>
      <c r="D5261" s="17" t="s">
        <v>1407</v>
      </c>
      <c r="E5261" s="17" t="s">
        <v>2780</v>
      </c>
      <c r="F5261" s="17" t="s">
        <v>2781</v>
      </c>
      <c r="G5261" s="18" t="n">
        <v>15.1</v>
      </c>
      <c r="H5261" s="18" t="n">
        <v>0</v>
      </c>
      <c r="I5261" s="18" t="n">
        <f aca="false">((I5260 + G5261) - H5261)</f>
        <v>23044.49</v>
      </c>
      <c r="J5261" s="18" t="n">
        <v>0</v>
      </c>
      <c r="K5261" s="19" t="n">
        <v>0</v>
      </c>
      <c r="L5261" s="17" t="s">
        <v>1406</v>
      </c>
    </row>
    <row r="5262" s="11" customFormat="true" ht="10.95" hidden="false" customHeight="true" outlineLevel="0" collapsed="false">
      <c r="A5262" s="16" t="n">
        <v>45282</v>
      </c>
      <c r="B5262" s="17" t="s">
        <v>2779</v>
      </c>
      <c r="C5262" s="17" t="s">
        <v>1593</v>
      </c>
      <c r="D5262" s="17" t="s">
        <v>1407</v>
      </c>
      <c r="E5262" s="17" t="s">
        <v>2780</v>
      </c>
      <c r="F5262" s="17" t="s">
        <v>2781</v>
      </c>
      <c r="G5262" s="18" t="n">
        <v>17.9</v>
      </c>
      <c r="H5262" s="18" t="n">
        <v>0</v>
      </c>
      <c r="I5262" s="18" t="n">
        <f aca="false">((I5261 + G5262) - H5262)</f>
        <v>23062.39</v>
      </c>
      <c r="J5262" s="18" t="n">
        <v>0</v>
      </c>
      <c r="K5262" s="19" t="n">
        <v>0</v>
      </c>
      <c r="L5262" s="17" t="s">
        <v>1406</v>
      </c>
    </row>
    <row r="5263" s="11" customFormat="true" ht="10.95" hidden="false" customHeight="true" outlineLevel="0" collapsed="false">
      <c r="A5263" s="16" t="n">
        <v>45288</v>
      </c>
      <c r="B5263" s="17" t="s">
        <v>2779</v>
      </c>
      <c r="C5263" s="17" t="s">
        <v>1593</v>
      </c>
      <c r="D5263" s="17" t="s">
        <v>1407</v>
      </c>
      <c r="E5263" s="17" t="s">
        <v>2789</v>
      </c>
      <c r="F5263" s="17"/>
      <c r="G5263" s="18" t="n">
        <v>58.54</v>
      </c>
      <c r="H5263" s="18" t="n">
        <v>0</v>
      </c>
      <c r="I5263" s="18" t="n">
        <f aca="false">((I5262 + G5263) - H5263)</f>
        <v>23120.93</v>
      </c>
      <c r="J5263" s="18" t="n">
        <v>0</v>
      </c>
      <c r="K5263" s="19" t="n">
        <v>0</v>
      </c>
      <c r="L5263" s="17" t="s">
        <v>1406</v>
      </c>
    </row>
    <row r="5264" s="11" customFormat="true" ht="10.95" hidden="false" customHeight="true" outlineLevel="0" collapsed="false">
      <c r="A5264" s="16" t="n">
        <v>45288</v>
      </c>
      <c r="B5264" s="17" t="s">
        <v>2779</v>
      </c>
      <c r="C5264" s="17" t="s">
        <v>1593</v>
      </c>
      <c r="D5264" s="17" t="s">
        <v>1407</v>
      </c>
      <c r="E5264" s="17" t="s">
        <v>2790</v>
      </c>
      <c r="F5264" s="17"/>
      <c r="G5264" s="18" t="n">
        <v>67.99</v>
      </c>
      <c r="H5264" s="18" t="n">
        <v>0</v>
      </c>
      <c r="I5264" s="18" t="n">
        <f aca="false">((I5263 + G5264) - H5264)</f>
        <v>23188.92</v>
      </c>
      <c r="J5264" s="18" t="n">
        <v>0</v>
      </c>
      <c r="K5264" s="19" t="n">
        <v>0</v>
      </c>
      <c r="L5264" s="17" t="s">
        <v>1406</v>
      </c>
    </row>
    <row r="5265" s="11" customFormat="true" ht="10.95" hidden="false" customHeight="true" outlineLevel="0" collapsed="false">
      <c r="A5265" s="16" t="n">
        <v>45289</v>
      </c>
      <c r="B5265" s="17" t="s">
        <v>2779</v>
      </c>
      <c r="C5265" s="17" t="s">
        <v>1593</v>
      </c>
      <c r="D5265" s="17" t="s">
        <v>1407</v>
      </c>
      <c r="E5265" s="17" t="s">
        <v>2791</v>
      </c>
      <c r="F5265" s="17"/>
      <c r="G5265" s="18" t="n">
        <v>669.33</v>
      </c>
      <c r="H5265" s="18" t="n">
        <v>0</v>
      </c>
      <c r="I5265" s="18" t="n">
        <f aca="false">((I5264 + G5265) - H5265)</f>
        <v>23858.25</v>
      </c>
      <c r="J5265" s="18" t="n">
        <v>0</v>
      </c>
      <c r="K5265" s="19" t="n">
        <v>0</v>
      </c>
      <c r="L5265" s="17" t="s">
        <v>1406</v>
      </c>
    </row>
    <row r="5266" s="11" customFormat="true" ht="10.95" hidden="false" customHeight="true" outlineLevel="0" collapsed="false">
      <c r="A5266" s="16" t="n">
        <v>45289</v>
      </c>
      <c r="B5266" s="17" t="s">
        <v>2779</v>
      </c>
      <c r="C5266" s="17" t="s">
        <v>1593</v>
      </c>
      <c r="D5266" s="17" t="s">
        <v>1407</v>
      </c>
      <c r="E5266" s="17" t="s">
        <v>2791</v>
      </c>
      <c r="F5266" s="17"/>
      <c r="G5266" s="18" t="n">
        <v>5.46</v>
      </c>
      <c r="H5266" s="18" t="n">
        <v>0</v>
      </c>
      <c r="I5266" s="18" t="n">
        <f aca="false">((I5265 + G5266) - H5266)</f>
        <v>23863.71</v>
      </c>
      <c r="J5266" s="18" t="n">
        <v>0</v>
      </c>
      <c r="K5266" s="19" t="n">
        <v>0</v>
      </c>
      <c r="L5266" s="17" t="s">
        <v>1406</v>
      </c>
    </row>
    <row r="5267" s="11" customFormat="true" ht="10.95" hidden="false" customHeight="true" outlineLevel="0" collapsed="false">
      <c r="A5267" s="16" t="n">
        <v>45289</v>
      </c>
      <c r="B5267" s="17" t="s">
        <v>2779</v>
      </c>
      <c r="C5267" s="17" t="s">
        <v>1593</v>
      </c>
      <c r="D5267" s="17" t="s">
        <v>1407</v>
      </c>
      <c r="E5267" s="17" t="s">
        <v>2791</v>
      </c>
      <c r="F5267" s="17"/>
      <c r="G5267" s="18" t="n">
        <v>931.48</v>
      </c>
      <c r="H5267" s="18" t="n">
        <v>0</v>
      </c>
      <c r="I5267" s="18" t="n">
        <f aca="false">((I5266 + G5267) - H5267)</f>
        <v>24795.19</v>
      </c>
      <c r="J5267" s="18" t="n">
        <v>0</v>
      </c>
      <c r="K5267" s="19" t="n">
        <v>0</v>
      </c>
      <c r="L5267" s="17" t="s">
        <v>1406</v>
      </c>
    </row>
    <row r="5268" s="11" customFormat="true" ht="10.95" hidden="false" customHeight="true" outlineLevel="0" collapsed="false">
      <c r="A5268" s="16" t="n">
        <v>45294</v>
      </c>
      <c r="B5268" s="17" t="s">
        <v>2779</v>
      </c>
      <c r="C5268" s="17" t="s">
        <v>1593</v>
      </c>
      <c r="D5268" s="17" t="s">
        <v>1276</v>
      </c>
      <c r="E5268" s="17" t="s">
        <v>2792</v>
      </c>
      <c r="F5268" s="17"/>
      <c r="G5268" s="18" t="n">
        <v>0</v>
      </c>
      <c r="H5268" s="18" t="n">
        <v>369.15</v>
      </c>
      <c r="I5268" s="18" t="n">
        <f aca="false">((I5267 + G5268) - H5268)</f>
        <v>24426.04</v>
      </c>
      <c r="J5268" s="18" t="n">
        <v>0</v>
      </c>
      <c r="K5268" s="19" t="n">
        <v>0</v>
      </c>
      <c r="L5268" s="17" t="s">
        <v>1406</v>
      </c>
    </row>
    <row r="5269" s="11" customFormat="true" ht="10.95" hidden="false" customHeight="true" outlineLevel="0" collapsed="false">
      <c r="A5269" s="16" t="n">
        <v>45294</v>
      </c>
      <c r="B5269" s="17" t="s">
        <v>2779</v>
      </c>
      <c r="C5269" s="17" t="s">
        <v>1593</v>
      </c>
      <c r="D5269" s="17" t="s">
        <v>1276</v>
      </c>
      <c r="E5269" s="17" t="s">
        <v>2792</v>
      </c>
      <c r="F5269" s="17"/>
      <c r="G5269" s="18" t="n">
        <v>0</v>
      </c>
      <c r="H5269" s="18" t="n">
        <v>369.15</v>
      </c>
      <c r="I5269" s="18" t="n">
        <f aca="false">((I5268 + G5269) - H5269)</f>
        <v>24056.89</v>
      </c>
      <c r="J5269" s="18" t="n">
        <v>0</v>
      </c>
      <c r="K5269" s="19" t="n">
        <v>0</v>
      </c>
      <c r="L5269" s="17" t="s">
        <v>1406</v>
      </c>
    </row>
    <row r="5270" s="11" customFormat="true" ht="10.95" hidden="false" customHeight="true" outlineLevel="0" collapsed="false">
      <c r="A5270" s="16" t="n">
        <v>45294</v>
      </c>
      <c r="B5270" s="17" t="s">
        <v>2779</v>
      </c>
      <c r="C5270" s="17" t="s">
        <v>1593</v>
      </c>
      <c r="D5270" s="17" t="s">
        <v>1407</v>
      </c>
      <c r="E5270" s="17" t="s">
        <v>2790</v>
      </c>
      <c r="F5270" s="17"/>
      <c r="G5270" s="18" t="n">
        <v>821.28</v>
      </c>
      <c r="H5270" s="18" t="n">
        <v>0</v>
      </c>
      <c r="I5270" s="18" t="n">
        <f aca="false">((I5269 + G5270) - H5270)</f>
        <v>24878.17</v>
      </c>
      <c r="J5270" s="18" t="n">
        <v>0</v>
      </c>
      <c r="K5270" s="19" t="n">
        <v>0</v>
      </c>
      <c r="L5270" s="17" t="s">
        <v>1406</v>
      </c>
    </row>
    <row r="5271" s="11" customFormat="true" ht="10.95" hidden="false" customHeight="true" outlineLevel="0" collapsed="false">
      <c r="A5271" s="16" t="n">
        <v>45295</v>
      </c>
      <c r="B5271" s="17" t="s">
        <v>2779</v>
      </c>
      <c r="C5271" s="17" t="s">
        <v>1593</v>
      </c>
      <c r="D5271" s="17" t="s">
        <v>1407</v>
      </c>
      <c r="E5271" s="17" t="s">
        <v>2793</v>
      </c>
      <c r="F5271" s="17" t="s">
        <v>1707</v>
      </c>
      <c r="G5271" s="18" t="n">
        <v>721.82</v>
      </c>
      <c r="H5271" s="18" t="n">
        <v>0</v>
      </c>
      <c r="I5271" s="18" t="n">
        <f aca="false">((I5270 + G5271) - H5271)</f>
        <v>25599.99</v>
      </c>
      <c r="J5271" s="18" t="n">
        <v>72.18</v>
      </c>
      <c r="K5271" s="19" t="n">
        <v>10</v>
      </c>
      <c r="L5271" s="17" t="s">
        <v>44</v>
      </c>
    </row>
    <row r="5272" s="11" customFormat="true" ht="10.95" hidden="false" customHeight="true" outlineLevel="0" collapsed="false">
      <c r="A5272" s="16" t="n">
        <v>45296</v>
      </c>
      <c r="B5272" s="17" t="s">
        <v>2779</v>
      </c>
      <c r="C5272" s="17" t="s">
        <v>1593</v>
      </c>
      <c r="D5272" s="17" t="s">
        <v>1407</v>
      </c>
      <c r="E5272" s="17" t="s">
        <v>2780</v>
      </c>
      <c r="F5272" s="17" t="s">
        <v>2781</v>
      </c>
      <c r="G5272" s="18" t="n">
        <v>16.93</v>
      </c>
      <c r="H5272" s="18" t="n">
        <v>0</v>
      </c>
      <c r="I5272" s="18" t="n">
        <f aca="false">((I5271 + G5272) - H5272)</f>
        <v>25616.92</v>
      </c>
      <c r="J5272" s="18" t="n">
        <v>0</v>
      </c>
      <c r="K5272" s="19" t="n">
        <v>0</v>
      </c>
      <c r="L5272" s="17" t="s">
        <v>1406</v>
      </c>
    </row>
    <row r="5273" s="11" customFormat="true" ht="10.95" hidden="false" customHeight="true" outlineLevel="0" collapsed="false">
      <c r="A5273" s="16" t="n">
        <v>45296</v>
      </c>
      <c r="B5273" s="17" t="s">
        <v>2779</v>
      </c>
      <c r="C5273" s="17" t="s">
        <v>1593</v>
      </c>
      <c r="D5273" s="17" t="s">
        <v>1407</v>
      </c>
      <c r="E5273" s="17" t="s">
        <v>2794</v>
      </c>
      <c r="F5273" s="17"/>
      <c r="G5273" s="18" t="n">
        <v>16810.31</v>
      </c>
      <c r="H5273" s="18" t="n">
        <v>0</v>
      </c>
      <c r="I5273" s="18" t="n">
        <f aca="false">((I5272 + G5273) - H5273)</f>
        <v>42427.23</v>
      </c>
      <c r="J5273" s="18" t="n">
        <v>1681.03</v>
      </c>
      <c r="K5273" s="19" t="n">
        <v>10</v>
      </c>
      <c r="L5273" s="17" t="s">
        <v>44</v>
      </c>
    </row>
    <row r="5274" s="11" customFormat="true" ht="10.95" hidden="false" customHeight="true" outlineLevel="0" collapsed="false">
      <c r="A5274" s="16" t="n">
        <v>45300</v>
      </c>
      <c r="B5274" s="17" t="s">
        <v>2779</v>
      </c>
      <c r="C5274" s="17" t="s">
        <v>1593</v>
      </c>
      <c r="D5274" s="17" t="s">
        <v>1407</v>
      </c>
      <c r="E5274" s="17" t="s">
        <v>2795</v>
      </c>
      <c r="F5274" s="17"/>
      <c r="G5274" s="18" t="n">
        <v>31.37</v>
      </c>
      <c r="H5274" s="18" t="n">
        <v>0</v>
      </c>
      <c r="I5274" s="18" t="n">
        <f aca="false">((I5273 + G5274) - H5274)</f>
        <v>42458.6</v>
      </c>
      <c r="J5274" s="18" t="n">
        <v>0</v>
      </c>
      <c r="K5274" s="19" t="n">
        <v>0</v>
      </c>
      <c r="L5274" s="17" t="s">
        <v>1406</v>
      </c>
    </row>
    <row r="5275" s="11" customFormat="true" ht="10.95" hidden="false" customHeight="true" outlineLevel="0" collapsed="false">
      <c r="A5275" s="16" t="n">
        <v>45300</v>
      </c>
      <c r="B5275" s="17" t="s">
        <v>2779</v>
      </c>
      <c r="C5275" s="17" t="s">
        <v>1593</v>
      </c>
      <c r="D5275" s="17" t="s">
        <v>1407</v>
      </c>
      <c r="E5275" s="17" t="s">
        <v>2796</v>
      </c>
      <c r="F5275" s="17"/>
      <c r="G5275" s="18" t="n">
        <v>2344.08</v>
      </c>
      <c r="H5275" s="18" t="n">
        <v>0</v>
      </c>
      <c r="I5275" s="18" t="n">
        <f aca="false">((I5274 + G5275) - H5275)</f>
        <v>44802.68</v>
      </c>
      <c r="J5275" s="18" t="n">
        <v>0</v>
      </c>
      <c r="K5275" s="19" t="n">
        <v>0</v>
      </c>
      <c r="L5275" s="17" t="s">
        <v>1406</v>
      </c>
    </row>
    <row r="5276" s="11" customFormat="true" ht="10.95" hidden="false" customHeight="true" outlineLevel="0" collapsed="false">
      <c r="A5276" s="16" t="n">
        <v>45305</v>
      </c>
      <c r="B5276" s="17" t="s">
        <v>2779</v>
      </c>
      <c r="C5276" s="17" t="s">
        <v>1593</v>
      </c>
      <c r="D5276" s="17" t="s">
        <v>1407</v>
      </c>
      <c r="E5276" s="17" t="s">
        <v>2797</v>
      </c>
      <c r="F5276" s="17"/>
      <c r="G5276" s="18" t="n">
        <v>500</v>
      </c>
      <c r="H5276" s="18" t="n">
        <v>0</v>
      </c>
      <c r="I5276" s="18" t="n">
        <f aca="false">((I5275 + G5276) - H5276)</f>
        <v>45302.68</v>
      </c>
      <c r="J5276" s="18" t="n">
        <v>0</v>
      </c>
      <c r="K5276" s="19" t="n">
        <v>0</v>
      </c>
      <c r="L5276" s="17" t="s">
        <v>1406</v>
      </c>
    </row>
    <row r="5277" s="11" customFormat="true" ht="10.95" hidden="false" customHeight="true" outlineLevel="0" collapsed="false">
      <c r="A5277" s="16" t="n">
        <v>45307</v>
      </c>
      <c r="B5277" s="17" t="s">
        <v>2779</v>
      </c>
      <c r="C5277" s="17" t="s">
        <v>1593</v>
      </c>
      <c r="D5277" s="17" t="s">
        <v>1407</v>
      </c>
      <c r="E5277" s="17" t="s">
        <v>2798</v>
      </c>
      <c r="F5277" s="17"/>
      <c r="G5277" s="18" t="n">
        <v>82.29</v>
      </c>
      <c r="H5277" s="18" t="n">
        <v>0</v>
      </c>
      <c r="I5277" s="18" t="n">
        <f aca="false">((I5276 + G5277) - H5277)</f>
        <v>45384.97</v>
      </c>
      <c r="J5277" s="18" t="n">
        <v>0</v>
      </c>
      <c r="K5277" s="19" t="n">
        <v>0</v>
      </c>
      <c r="L5277" s="17" t="s">
        <v>1406</v>
      </c>
    </row>
    <row r="5278" s="11" customFormat="true" ht="10.95" hidden="false" customHeight="true" outlineLevel="0" collapsed="false">
      <c r="A5278" s="16" t="n">
        <v>45308</v>
      </c>
      <c r="B5278" s="17" t="s">
        <v>2779</v>
      </c>
      <c r="C5278" s="17" t="s">
        <v>1593</v>
      </c>
      <c r="D5278" s="17" t="s">
        <v>1407</v>
      </c>
      <c r="E5278" s="17" t="s">
        <v>2799</v>
      </c>
      <c r="F5278" s="17"/>
      <c r="G5278" s="18" t="n">
        <v>14.98</v>
      </c>
      <c r="H5278" s="18" t="n">
        <v>0</v>
      </c>
      <c r="I5278" s="18" t="n">
        <f aca="false">((I5277 + G5278) - H5278)</f>
        <v>45399.95</v>
      </c>
      <c r="J5278" s="18" t="n">
        <v>0</v>
      </c>
      <c r="K5278" s="19" t="n">
        <v>0</v>
      </c>
      <c r="L5278" s="17" t="s">
        <v>1406</v>
      </c>
    </row>
    <row r="5279" s="11" customFormat="true" ht="10.95" hidden="false" customHeight="true" outlineLevel="0" collapsed="false">
      <c r="A5279" s="16" t="n">
        <v>45309</v>
      </c>
      <c r="B5279" s="17" t="s">
        <v>2779</v>
      </c>
      <c r="C5279" s="17" t="s">
        <v>1593</v>
      </c>
      <c r="D5279" s="17" t="s">
        <v>1407</v>
      </c>
      <c r="E5279" s="17" t="s">
        <v>2800</v>
      </c>
      <c r="F5279" s="17"/>
      <c r="G5279" s="18" t="n">
        <v>340.84</v>
      </c>
      <c r="H5279" s="18" t="n">
        <v>0</v>
      </c>
      <c r="I5279" s="18" t="n">
        <f aca="false">((I5278 + G5279) - H5279)</f>
        <v>45740.79</v>
      </c>
      <c r="J5279" s="18" t="n">
        <v>0</v>
      </c>
      <c r="K5279" s="19" t="n">
        <v>0</v>
      </c>
      <c r="L5279" s="17" t="s">
        <v>1406</v>
      </c>
    </row>
    <row r="5280" s="11" customFormat="true" ht="10.95" hidden="false" customHeight="true" outlineLevel="0" collapsed="false">
      <c r="A5280" s="16" t="n">
        <v>45309</v>
      </c>
      <c r="B5280" s="17" t="s">
        <v>2779</v>
      </c>
      <c r="C5280" s="17" t="s">
        <v>1593</v>
      </c>
      <c r="D5280" s="17" t="s">
        <v>1407</v>
      </c>
      <c r="E5280" s="17" t="s">
        <v>2801</v>
      </c>
      <c r="F5280" s="17"/>
      <c r="G5280" s="18" t="n">
        <v>1538.09</v>
      </c>
      <c r="H5280" s="18" t="n">
        <v>0</v>
      </c>
      <c r="I5280" s="18" t="n">
        <f aca="false">((I5279 + G5280) - H5280)</f>
        <v>47278.88</v>
      </c>
      <c r="J5280" s="18" t="n">
        <v>0</v>
      </c>
      <c r="K5280" s="19" t="n">
        <v>0</v>
      </c>
      <c r="L5280" s="17" t="s">
        <v>1406</v>
      </c>
    </row>
    <row r="5281" s="11" customFormat="true" ht="10.95" hidden="false" customHeight="true" outlineLevel="0" collapsed="false">
      <c r="A5281" s="16" t="n">
        <v>45310</v>
      </c>
      <c r="B5281" s="17" t="s">
        <v>2779</v>
      </c>
      <c r="C5281" s="17" t="s">
        <v>1593</v>
      </c>
      <c r="D5281" s="17" t="s">
        <v>1407</v>
      </c>
      <c r="E5281" s="17" t="s">
        <v>2802</v>
      </c>
      <c r="F5281" s="17"/>
      <c r="G5281" s="18" t="n">
        <v>82.32</v>
      </c>
      <c r="H5281" s="18" t="n">
        <v>0</v>
      </c>
      <c r="I5281" s="18" t="n">
        <f aca="false">((I5280 + G5281) - H5281)</f>
        <v>47361.2</v>
      </c>
      <c r="J5281" s="18" t="n">
        <v>0</v>
      </c>
      <c r="K5281" s="19" t="n">
        <v>0</v>
      </c>
      <c r="L5281" s="17" t="s">
        <v>1406</v>
      </c>
    </row>
    <row r="5282" s="11" customFormat="true" ht="10.95" hidden="false" customHeight="true" outlineLevel="0" collapsed="false">
      <c r="A5282" s="16" t="n">
        <v>45310</v>
      </c>
      <c r="B5282" s="17" t="s">
        <v>2779</v>
      </c>
      <c r="C5282" s="17" t="s">
        <v>1593</v>
      </c>
      <c r="D5282" s="17" t="s">
        <v>1407</v>
      </c>
      <c r="E5282" s="17" t="s">
        <v>2803</v>
      </c>
      <c r="F5282" s="17"/>
      <c r="G5282" s="18" t="n">
        <v>54.26</v>
      </c>
      <c r="H5282" s="18" t="n">
        <v>0</v>
      </c>
      <c r="I5282" s="18" t="n">
        <f aca="false">((I5281 + G5282) - H5282)</f>
        <v>47415.46</v>
      </c>
      <c r="J5282" s="18" t="n">
        <v>0</v>
      </c>
      <c r="K5282" s="19" t="n">
        <v>0</v>
      </c>
      <c r="L5282" s="17" t="s">
        <v>1406</v>
      </c>
    </row>
    <row r="5283" s="11" customFormat="true" ht="10.95" hidden="false" customHeight="true" outlineLevel="0" collapsed="false">
      <c r="A5283" s="16" t="n">
        <v>45312</v>
      </c>
      <c r="B5283" s="17" t="s">
        <v>2779</v>
      </c>
      <c r="C5283" s="17" t="s">
        <v>1593</v>
      </c>
      <c r="D5283" s="17" t="s">
        <v>1276</v>
      </c>
      <c r="E5283" s="17" t="s">
        <v>2804</v>
      </c>
      <c r="F5283" s="17"/>
      <c r="G5283" s="18" t="n">
        <v>0</v>
      </c>
      <c r="H5283" s="18" t="n">
        <v>8853.55</v>
      </c>
      <c r="I5283" s="18" t="n">
        <f aca="false">((I5282 + G5283) - H5283)</f>
        <v>38561.91</v>
      </c>
      <c r="J5283" s="18" t="n">
        <v>-885.36</v>
      </c>
      <c r="K5283" s="19" t="n">
        <v>10</v>
      </c>
      <c r="L5283" s="17" t="s">
        <v>44</v>
      </c>
    </row>
    <row r="5284" s="11" customFormat="true" ht="10.95" hidden="false" customHeight="true" outlineLevel="0" collapsed="false">
      <c r="A5284" s="16" t="n">
        <v>45314</v>
      </c>
      <c r="B5284" s="17" t="s">
        <v>2779</v>
      </c>
      <c r="C5284" s="17" t="s">
        <v>1593</v>
      </c>
      <c r="D5284" s="17" t="s">
        <v>1407</v>
      </c>
      <c r="E5284" s="17" t="s">
        <v>2805</v>
      </c>
      <c r="F5284" s="17"/>
      <c r="G5284" s="18" t="n">
        <v>817.75</v>
      </c>
      <c r="H5284" s="18" t="n">
        <v>0</v>
      </c>
      <c r="I5284" s="18" t="n">
        <f aca="false">((I5283 + G5284) - H5284)</f>
        <v>39379.66</v>
      </c>
      <c r="J5284" s="18" t="n">
        <v>0</v>
      </c>
      <c r="K5284" s="19" t="n">
        <v>0</v>
      </c>
      <c r="L5284" s="17" t="s">
        <v>1406</v>
      </c>
    </row>
    <row r="5285" s="11" customFormat="true" ht="10.95" hidden="false" customHeight="true" outlineLevel="0" collapsed="false">
      <c r="A5285" s="16" t="n">
        <v>45314</v>
      </c>
      <c r="B5285" s="17" t="s">
        <v>2779</v>
      </c>
      <c r="C5285" s="17" t="s">
        <v>1593</v>
      </c>
      <c r="D5285" s="17" t="s">
        <v>1407</v>
      </c>
      <c r="E5285" s="17" t="s">
        <v>2806</v>
      </c>
      <c r="F5285" s="17"/>
      <c r="G5285" s="18" t="n">
        <v>10.36</v>
      </c>
      <c r="H5285" s="18" t="n">
        <v>0</v>
      </c>
      <c r="I5285" s="18" t="n">
        <f aca="false">((I5284 + G5285) - H5285)</f>
        <v>39390.02</v>
      </c>
      <c r="J5285" s="18" t="n">
        <v>0</v>
      </c>
      <c r="K5285" s="19" t="n">
        <v>0</v>
      </c>
      <c r="L5285" s="17" t="s">
        <v>1406</v>
      </c>
    </row>
    <row r="5286" s="11" customFormat="true" ht="10.95" hidden="false" customHeight="true" outlineLevel="0" collapsed="false">
      <c r="A5286" s="16" t="n">
        <v>45314</v>
      </c>
      <c r="B5286" s="17" t="s">
        <v>2779</v>
      </c>
      <c r="C5286" s="17" t="s">
        <v>1593</v>
      </c>
      <c r="D5286" s="17" t="s">
        <v>1407</v>
      </c>
      <c r="E5286" s="17" t="s">
        <v>2807</v>
      </c>
      <c r="F5286" s="17"/>
      <c r="G5286" s="18" t="n">
        <v>785.77</v>
      </c>
      <c r="H5286" s="18" t="n">
        <v>0</v>
      </c>
      <c r="I5286" s="18" t="n">
        <f aca="false">((I5285 + G5286) - H5286)</f>
        <v>40175.79</v>
      </c>
      <c r="J5286" s="18" t="n">
        <v>0</v>
      </c>
      <c r="K5286" s="19" t="n">
        <v>0</v>
      </c>
      <c r="L5286" s="17" t="s">
        <v>1406</v>
      </c>
    </row>
    <row r="5287" s="11" customFormat="true" ht="10.95" hidden="false" customHeight="true" outlineLevel="0" collapsed="false">
      <c r="A5287" s="16" t="n">
        <v>45315</v>
      </c>
      <c r="B5287" s="17" t="s">
        <v>2779</v>
      </c>
      <c r="C5287" s="17" t="s">
        <v>1593</v>
      </c>
      <c r="D5287" s="17" t="s">
        <v>1407</v>
      </c>
      <c r="E5287" s="17" t="s">
        <v>2808</v>
      </c>
      <c r="F5287" s="17"/>
      <c r="G5287" s="18" t="n">
        <v>17.83</v>
      </c>
      <c r="H5287" s="18" t="n">
        <v>0</v>
      </c>
      <c r="I5287" s="18" t="n">
        <f aca="false">((I5286 + G5287) - H5287)</f>
        <v>40193.62</v>
      </c>
      <c r="J5287" s="18" t="n">
        <v>0</v>
      </c>
      <c r="K5287" s="19" t="n">
        <v>0</v>
      </c>
      <c r="L5287" s="17" t="s">
        <v>1406</v>
      </c>
    </row>
    <row r="5288" s="11" customFormat="true" ht="10.95" hidden="false" customHeight="true" outlineLevel="0" collapsed="false">
      <c r="A5288" s="16" t="n">
        <v>45315</v>
      </c>
      <c r="B5288" s="17" t="s">
        <v>2779</v>
      </c>
      <c r="C5288" s="17" t="s">
        <v>1593</v>
      </c>
      <c r="D5288" s="17" t="s">
        <v>1407</v>
      </c>
      <c r="E5288" s="17" t="s">
        <v>2809</v>
      </c>
      <c r="F5288" s="17"/>
      <c r="G5288" s="18" t="n">
        <v>36.55</v>
      </c>
      <c r="H5288" s="18" t="n">
        <v>0</v>
      </c>
      <c r="I5288" s="18" t="n">
        <f aca="false">((I5287 + G5288) - H5288)</f>
        <v>40230.17</v>
      </c>
      <c r="J5288" s="18" t="n">
        <v>0</v>
      </c>
      <c r="K5288" s="19" t="n">
        <v>0</v>
      </c>
      <c r="L5288" s="17" t="s">
        <v>1406</v>
      </c>
    </row>
    <row r="5289" s="11" customFormat="true" ht="10.95" hidden="false" customHeight="true" outlineLevel="0" collapsed="false">
      <c r="A5289" s="16" t="n">
        <v>45315</v>
      </c>
      <c r="B5289" s="17" t="s">
        <v>2779</v>
      </c>
      <c r="C5289" s="17" t="s">
        <v>1593</v>
      </c>
      <c r="D5289" s="17" t="s">
        <v>1407</v>
      </c>
      <c r="E5289" s="17" t="s">
        <v>2810</v>
      </c>
      <c r="F5289" s="17"/>
      <c r="G5289" s="18" t="n">
        <v>389.59</v>
      </c>
      <c r="H5289" s="18" t="n">
        <v>0</v>
      </c>
      <c r="I5289" s="18" t="n">
        <f aca="false">((I5288 + G5289) - H5289)</f>
        <v>40619.76</v>
      </c>
      <c r="J5289" s="18" t="n">
        <v>0</v>
      </c>
      <c r="K5289" s="19" t="n">
        <v>0</v>
      </c>
      <c r="L5289" s="17" t="s">
        <v>1406</v>
      </c>
    </row>
    <row r="5290" s="11" customFormat="true" ht="10.95" hidden="false" customHeight="true" outlineLevel="0" collapsed="false">
      <c r="A5290" s="16" t="n">
        <v>45315</v>
      </c>
      <c r="B5290" s="17" t="s">
        <v>2779</v>
      </c>
      <c r="C5290" s="17" t="s">
        <v>1593</v>
      </c>
      <c r="D5290" s="17" t="s">
        <v>1407</v>
      </c>
      <c r="E5290" s="17" t="s">
        <v>2811</v>
      </c>
      <c r="F5290" s="17"/>
      <c r="G5290" s="18" t="n">
        <v>78.29</v>
      </c>
      <c r="H5290" s="18" t="n">
        <v>0</v>
      </c>
      <c r="I5290" s="18" t="n">
        <f aca="false">((I5289 + G5290) - H5290)</f>
        <v>40698.05</v>
      </c>
      <c r="J5290" s="18" t="n">
        <v>0</v>
      </c>
      <c r="K5290" s="19" t="n">
        <v>0</v>
      </c>
      <c r="L5290" s="17" t="s">
        <v>1406</v>
      </c>
    </row>
    <row r="5291" s="11" customFormat="true" ht="10.95" hidden="false" customHeight="true" outlineLevel="0" collapsed="false">
      <c r="A5291" s="16" t="n">
        <v>45316</v>
      </c>
      <c r="B5291" s="17" t="s">
        <v>2779</v>
      </c>
      <c r="C5291" s="17" t="s">
        <v>1593</v>
      </c>
      <c r="D5291" s="17" t="s">
        <v>1407</v>
      </c>
      <c r="E5291" s="17" t="s">
        <v>2812</v>
      </c>
      <c r="F5291" s="17"/>
      <c r="G5291" s="18" t="n">
        <v>405.22</v>
      </c>
      <c r="H5291" s="18" t="n">
        <v>0</v>
      </c>
      <c r="I5291" s="18" t="n">
        <f aca="false">((I5290 + G5291) - H5291)</f>
        <v>41103.27</v>
      </c>
      <c r="J5291" s="18" t="n">
        <v>0</v>
      </c>
      <c r="K5291" s="19" t="n">
        <v>0</v>
      </c>
      <c r="L5291" s="17" t="s">
        <v>1406</v>
      </c>
    </row>
    <row r="5292" s="11" customFormat="true" ht="10.95" hidden="false" customHeight="true" outlineLevel="0" collapsed="false">
      <c r="A5292" s="16" t="n">
        <v>45316</v>
      </c>
      <c r="B5292" s="17" t="s">
        <v>2779</v>
      </c>
      <c r="C5292" s="17" t="s">
        <v>1593</v>
      </c>
      <c r="D5292" s="17" t="s">
        <v>1276</v>
      </c>
      <c r="E5292" s="17" t="s">
        <v>2813</v>
      </c>
      <c r="F5292" s="17"/>
      <c r="G5292" s="18" t="n">
        <v>0</v>
      </c>
      <c r="H5292" s="18" t="n">
        <v>375.98</v>
      </c>
      <c r="I5292" s="18" t="n">
        <f aca="false">((I5291 + G5292) - H5292)</f>
        <v>40727.29</v>
      </c>
      <c r="J5292" s="18" t="n">
        <v>0</v>
      </c>
      <c r="K5292" s="19" t="n">
        <v>0</v>
      </c>
      <c r="L5292" s="17" t="s">
        <v>1406</v>
      </c>
    </row>
    <row r="5293" s="11" customFormat="true" ht="10.95" hidden="false" customHeight="true" outlineLevel="0" collapsed="false">
      <c r="A5293" s="16" t="n">
        <v>45317</v>
      </c>
      <c r="B5293" s="17" t="s">
        <v>2779</v>
      </c>
      <c r="C5293" s="17" t="s">
        <v>1593</v>
      </c>
      <c r="D5293" s="17" t="s">
        <v>1407</v>
      </c>
      <c r="E5293" s="17" t="s">
        <v>2808</v>
      </c>
      <c r="F5293" s="17"/>
      <c r="G5293" s="18" t="n">
        <v>17.16</v>
      </c>
      <c r="H5293" s="18" t="n">
        <v>0</v>
      </c>
      <c r="I5293" s="18" t="n">
        <f aca="false">((I5292 + G5293) - H5293)</f>
        <v>40744.45</v>
      </c>
      <c r="J5293" s="18" t="n">
        <v>0</v>
      </c>
      <c r="K5293" s="19" t="n">
        <v>0</v>
      </c>
      <c r="L5293" s="17" t="s">
        <v>1406</v>
      </c>
    </row>
    <row r="5294" s="11" customFormat="true" ht="10.95" hidden="false" customHeight="true" outlineLevel="0" collapsed="false">
      <c r="A5294" s="16" t="n">
        <v>45317</v>
      </c>
      <c r="B5294" s="17" t="s">
        <v>2779</v>
      </c>
      <c r="C5294" s="17" t="s">
        <v>1593</v>
      </c>
      <c r="D5294" s="17" t="s">
        <v>1407</v>
      </c>
      <c r="E5294" s="17" t="s">
        <v>2814</v>
      </c>
      <c r="F5294" s="17"/>
      <c r="G5294" s="18" t="n">
        <v>382.51</v>
      </c>
      <c r="H5294" s="18" t="n">
        <v>0</v>
      </c>
      <c r="I5294" s="18" t="n">
        <f aca="false">((I5293 + G5294) - H5294)</f>
        <v>41126.96</v>
      </c>
      <c r="J5294" s="18" t="n">
        <v>0</v>
      </c>
      <c r="K5294" s="19" t="n">
        <v>0</v>
      </c>
      <c r="L5294" s="17" t="s">
        <v>1406</v>
      </c>
    </row>
    <row r="5295" s="11" customFormat="true" ht="10.95" hidden="false" customHeight="true" outlineLevel="0" collapsed="false">
      <c r="A5295" s="16" t="n">
        <v>45317</v>
      </c>
      <c r="B5295" s="17" t="s">
        <v>2779</v>
      </c>
      <c r="C5295" s="17" t="s">
        <v>1593</v>
      </c>
      <c r="D5295" s="17" t="s">
        <v>1407</v>
      </c>
      <c r="E5295" s="17" t="s">
        <v>2815</v>
      </c>
      <c r="F5295" s="17"/>
      <c r="G5295" s="18" t="n">
        <v>9.81</v>
      </c>
      <c r="H5295" s="18" t="n">
        <v>0</v>
      </c>
      <c r="I5295" s="18" t="n">
        <f aca="false">((I5294 + G5295) - H5295)</f>
        <v>41136.77</v>
      </c>
      <c r="J5295" s="18" t="n">
        <v>0</v>
      </c>
      <c r="K5295" s="19" t="n">
        <v>0</v>
      </c>
      <c r="L5295" s="17" t="s">
        <v>1406</v>
      </c>
    </row>
    <row r="5296" s="11" customFormat="true" ht="10.95" hidden="false" customHeight="true" outlineLevel="0" collapsed="false">
      <c r="A5296" s="16" t="n">
        <v>45317</v>
      </c>
      <c r="B5296" s="17" t="s">
        <v>2779</v>
      </c>
      <c r="C5296" s="17" t="s">
        <v>1593</v>
      </c>
      <c r="D5296" s="17" t="s">
        <v>1407</v>
      </c>
      <c r="E5296" s="17" t="s">
        <v>2816</v>
      </c>
      <c r="F5296" s="17"/>
      <c r="G5296" s="18" t="n">
        <v>5.57</v>
      </c>
      <c r="H5296" s="18" t="n">
        <v>0</v>
      </c>
      <c r="I5296" s="18" t="n">
        <f aca="false">((I5295 + G5296) - H5296)</f>
        <v>41142.34</v>
      </c>
      <c r="J5296" s="18" t="n">
        <v>0</v>
      </c>
      <c r="K5296" s="19" t="n">
        <v>0</v>
      </c>
      <c r="L5296" s="17" t="s">
        <v>1406</v>
      </c>
    </row>
    <row r="5297" s="11" customFormat="true" ht="10.95" hidden="false" customHeight="true" outlineLevel="0" collapsed="false">
      <c r="A5297" s="16" t="n">
        <v>45317</v>
      </c>
      <c r="B5297" s="17" t="s">
        <v>2779</v>
      </c>
      <c r="C5297" s="17" t="s">
        <v>1593</v>
      </c>
      <c r="D5297" s="17" t="s">
        <v>1407</v>
      </c>
      <c r="E5297" s="17" t="s">
        <v>2817</v>
      </c>
      <c r="F5297" s="17"/>
      <c r="G5297" s="18" t="n">
        <v>196.46</v>
      </c>
      <c r="H5297" s="18" t="n">
        <v>0</v>
      </c>
      <c r="I5297" s="18" t="n">
        <f aca="false">((I5296 + G5297) - H5297)</f>
        <v>41338.8</v>
      </c>
      <c r="J5297" s="18" t="n">
        <v>0</v>
      </c>
      <c r="K5297" s="19" t="n">
        <v>0</v>
      </c>
      <c r="L5297" s="17" t="s">
        <v>1406</v>
      </c>
    </row>
    <row r="5298" s="11" customFormat="true" ht="10.95" hidden="false" customHeight="true" outlineLevel="0" collapsed="false">
      <c r="A5298" s="16" t="n">
        <v>45317</v>
      </c>
      <c r="B5298" s="17" t="s">
        <v>2779</v>
      </c>
      <c r="C5298" s="17" t="s">
        <v>1593</v>
      </c>
      <c r="D5298" s="17" t="s">
        <v>1407</v>
      </c>
      <c r="E5298" s="17" t="s">
        <v>2818</v>
      </c>
      <c r="F5298" s="17"/>
      <c r="G5298" s="18" t="n">
        <v>213.27</v>
      </c>
      <c r="H5298" s="18" t="n">
        <v>0</v>
      </c>
      <c r="I5298" s="18" t="n">
        <f aca="false">((I5297 + G5298) - H5298)</f>
        <v>41552.07</v>
      </c>
      <c r="J5298" s="18" t="n">
        <v>0</v>
      </c>
      <c r="K5298" s="19" t="n">
        <v>0</v>
      </c>
      <c r="L5298" s="17" t="s">
        <v>1406</v>
      </c>
    </row>
    <row r="5299" s="11" customFormat="true" ht="10.95" hidden="false" customHeight="true" outlineLevel="0" collapsed="false">
      <c r="A5299" s="16" t="n">
        <v>45318</v>
      </c>
      <c r="B5299" s="17" t="s">
        <v>2779</v>
      </c>
      <c r="C5299" s="17" t="s">
        <v>1593</v>
      </c>
      <c r="D5299" s="17" t="s">
        <v>1407</v>
      </c>
      <c r="E5299" s="17" t="s">
        <v>2819</v>
      </c>
      <c r="F5299" s="17"/>
      <c r="G5299" s="18" t="n">
        <v>637.64</v>
      </c>
      <c r="H5299" s="18" t="n">
        <v>0</v>
      </c>
      <c r="I5299" s="18" t="n">
        <f aca="false">((I5298 + G5299) - H5299)</f>
        <v>42189.71</v>
      </c>
      <c r="J5299" s="18" t="n">
        <v>0</v>
      </c>
      <c r="K5299" s="19" t="n">
        <v>0</v>
      </c>
      <c r="L5299" s="17" t="s">
        <v>1406</v>
      </c>
    </row>
    <row r="5300" s="11" customFormat="true" ht="10.95" hidden="false" customHeight="true" outlineLevel="0" collapsed="false">
      <c r="A5300" s="16" t="n">
        <v>45321</v>
      </c>
      <c r="B5300" s="17" t="s">
        <v>2779</v>
      </c>
      <c r="C5300" s="17" t="s">
        <v>1593</v>
      </c>
      <c r="D5300" s="17" t="s">
        <v>1407</v>
      </c>
      <c r="E5300" s="17" t="s">
        <v>2820</v>
      </c>
      <c r="F5300" s="17"/>
      <c r="G5300" s="18" t="n">
        <v>9.86</v>
      </c>
      <c r="H5300" s="18" t="n">
        <v>0</v>
      </c>
      <c r="I5300" s="18" t="n">
        <f aca="false">((I5299 + G5300) - H5300)</f>
        <v>42199.57</v>
      </c>
      <c r="J5300" s="18" t="n">
        <v>0</v>
      </c>
      <c r="K5300" s="19" t="n">
        <v>0</v>
      </c>
      <c r="L5300" s="17" t="s">
        <v>1406</v>
      </c>
    </row>
    <row r="5301" s="11" customFormat="true" ht="10.95" hidden="false" customHeight="true" outlineLevel="0" collapsed="false">
      <c r="A5301" s="16" t="n">
        <v>45321</v>
      </c>
      <c r="B5301" s="17" t="s">
        <v>2779</v>
      </c>
      <c r="C5301" s="17" t="s">
        <v>1593</v>
      </c>
      <c r="D5301" s="17" t="s">
        <v>1407</v>
      </c>
      <c r="E5301" s="17" t="s">
        <v>2820</v>
      </c>
      <c r="F5301" s="17"/>
      <c r="G5301" s="18" t="n">
        <v>64.74</v>
      </c>
      <c r="H5301" s="18" t="n">
        <v>0</v>
      </c>
      <c r="I5301" s="18" t="n">
        <f aca="false">((I5300 + G5301) - H5301)</f>
        <v>42264.31</v>
      </c>
      <c r="J5301" s="18" t="n">
        <v>0</v>
      </c>
      <c r="K5301" s="19" t="n">
        <v>0</v>
      </c>
      <c r="L5301" s="17" t="s">
        <v>1406</v>
      </c>
    </row>
    <row r="5302" s="11" customFormat="true" ht="10.95" hidden="false" customHeight="true" outlineLevel="0" collapsed="false">
      <c r="A5302" s="16" t="n">
        <v>45321</v>
      </c>
      <c r="B5302" s="17" t="s">
        <v>2779</v>
      </c>
      <c r="C5302" s="17" t="s">
        <v>1593</v>
      </c>
      <c r="D5302" s="17" t="s">
        <v>1407</v>
      </c>
      <c r="E5302" s="17" t="s">
        <v>2801</v>
      </c>
      <c r="F5302" s="17"/>
      <c r="G5302" s="18" t="n">
        <v>392.73</v>
      </c>
      <c r="H5302" s="18" t="n">
        <v>0</v>
      </c>
      <c r="I5302" s="18" t="n">
        <f aca="false">((I5301 + G5302) - H5302)</f>
        <v>42657.04</v>
      </c>
      <c r="J5302" s="18" t="n">
        <v>0</v>
      </c>
      <c r="K5302" s="19" t="n">
        <v>0</v>
      </c>
      <c r="L5302" s="17" t="s">
        <v>1406</v>
      </c>
    </row>
    <row r="5303" s="11" customFormat="true" ht="10.95" hidden="false" customHeight="true" outlineLevel="0" collapsed="false">
      <c r="A5303" s="16" t="n">
        <v>45321</v>
      </c>
      <c r="B5303" s="17" t="s">
        <v>2779</v>
      </c>
      <c r="C5303" s="17" t="s">
        <v>1593</v>
      </c>
      <c r="D5303" s="17" t="s">
        <v>1407</v>
      </c>
      <c r="E5303" s="17" t="s">
        <v>2811</v>
      </c>
      <c r="F5303" s="17"/>
      <c r="G5303" s="18" t="n">
        <v>2.8</v>
      </c>
      <c r="H5303" s="18" t="n">
        <v>0</v>
      </c>
      <c r="I5303" s="18" t="n">
        <f aca="false">((I5302 + G5303) - H5303)</f>
        <v>42659.84</v>
      </c>
      <c r="J5303" s="18" t="n">
        <v>0</v>
      </c>
      <c r="K5303" s="19" t="n">
        <v>0</v>
      </c>
      <c r="L5303" s="17" t="s">
        <v>1406</v>
      </c>
    </row>
    <row r="5304" s="11" customFormat="true" ht="10.95" hidden="false" customHeight="true" outlineLevel="0" collapsed="false">
      <c r="A5304" s="16" t="n">
        <v>45321</v>
      </c>
      <c r="B5304" s="17" t="s">
        <v>2779</v>
      </c>
      <c r="C5304" s="17" t="s">
        <v>1593</v>
      </c>
      <c r="D5304" s="17" t="s">
        <v>1407</v>
      </c>
      <c r="E5304" s="17" t="s">
        <v>2811</v>
      </c>
      <c r="F5304" s="17"/>
      <c r="G5304" s="18" t="n">
        <v>6.51</v>
      </c>
      <c r="H5304" s="18" t="n">
        <v>0</v>
      </c>
      <c r="I5304" s="18" t="n">
        <f aca="false">((I5303 + G5304) - H5304)</f>
        <v>42666.35</v>
      </c>
      <c r="J5304" s="18" t="n">
        <v>0</v>
      </c>
      <c r="K5304" s="19" t="n">
        <v>0</v>
      </c>
      <c r="L5304" s="17" t="s">
        <v>1406</v>
      </c>
    </row>
    <row r="5305" s="11" customFormat="true" ht="10.95" hidden="false" customHeight="true" outlineLevel="0" collapsed="false">
      <c r="A5305" s="16" t="n">
        <v>45321</v>
      </c>
      <c r="B5305" s="17" t="s">
        <v>2779</v>
      </c>
      <c r="C5305" s="17" t="s">
        <v>1593</v>
      </c>
      <c r="D5305" s="17" t="s">
        <v>1407</v>
      </c>
      <c r="E5305" s="17" t="s">
        <v>2821</v>
      </c>
      <c r="F5305" s="17"/>
      <c r="G5305" s="18" t="n">
        <v>24.2</v>
      </c>
      <c r="H5305" s="18" t="n">
        <v>0</v>
      </c>
      <c r="I5305" s="18" t="n">
        <f aca="false">((I5304 + G5305) - H5305)</f>
        <v>42690.55</v>
      </c>
      <c r="J5305" s="18" t="n">
        <v>0</v>
      </c>
      <c r="K5305" s="19" t="n">
        <v>0</v>
      </c>
      <c r="L5305" s="17" t="s">
        <v>1406</v>
      </c>
    </row>
    <row r="5306" s="11" customFormat="true" ht="10.95" hidden="false" customHeight="true" outlineLevel="0" collapsed="false">
      <c r="A5306" s="16" t="n">
        <v>45321</v>
      </c>
      <c r="B5306" s="17" t="s">
        <v>2779</v>
      </c>
      <c r="C5306" s="17" t="s">
        <v>1593</v>
      </c>
      <c r="D5306" s="17" t="s">
        <v>1407</v>
      </c>
      <c r="E5306" s="17" t="s">
        <v>2822</v>
      </c>
      <c r="F5306" s="17"/>
      <c r="G5306" s="18" t="n">
        <v>32</v>
      </c>
      <c r="H5306" s="18" t="n">
        <v>0</v>
      </c>
      <c r="I5306" s="18" t="n">
        <f aca="false">((I5305 + G5306) - H5306)</f>
        <v>42722.55</v>
      </c>
      <c r="J5306" s="18" t="n">
        <v>0</v>
      </c>
      <c r="K5306" s="19" t="n">
        <v>0</v>
      </c>
      <c r="L5306" s="17" t="s">
        <v>1406</v>
      </c>
    </row>
    <row r="5307" s="11" customFormat="true" ht="10.95" hidden="false" customHeight="true" outlineLevel="0" collapsed="false">
      <c r="A5307" s="16" t="n">
        <v>45321</v>
      </c>
      <c r="B5307" s="17" t="s">
        <v>2779</v>
      </c>
      <c r="C5307" s="17" t="s">
        <v>1593</v>
      </c>
      <c r="D5307" s="17" t="s">
        <v>1407</v>
      </c>
      <c r="E5307" s="17" t="s">
        <v>2823</v>
      </c>
      <c r="F5307" s="17"/>
      <c r="G5307" s="18" t="n">
        <v>36.66</v>
      </c>
      <c r="H5307" s="18" t="n">
        <v>0</v>
      </c>
      <c r="I5307" s="18" t="n">
        <f aca="false">((I5306 + G5307) - H5307)</f>
        <v>42759.21</v>
      </c>
      <c r="J5307" s="18" t="n">
        <v>0</v>
      </c>
      <c r="K5307" s="19" t="n">
        <v>0</v>
      </c>
      <c r="L5307" s="17" t="s">
        <v>1406</v>
      </c>
    </row>
    <row r="5308" s="11" customFormat="true" ht="10.95" hidden="false" customHeight="true" outlineLevel="0" collapsed="false">
      <c r="A5308" s="16" t="n">
        <v>45321</v>
      </c>
      <c r="B5308" s="17" t="s">
        <v>2779</v>
      </c>
      <c r="C5308" s="17" t="s">
        <v>1593</v>
      </c>
      <c r="D5308" s="17" t="s">
        <v>1407</v>
      </c>
      <c r="E5308" s="17" t="s">
        <v>2824</v>
      </c>
      <c r="F5308" s="17"/>
      <c r="G5308" s="18" t="n">
        <v>37.79</v>
      </c>
      <c r="H5308" s="18" t="n">
        <v>0</v>
      </c>
      <c r="I5308" s="18" t="n">
        <f aca="false">((I5307 + G5308) - H5308)</f>
        <v>42797</v>
      </c>
      <c r="J5308" s="18" t="n">
        <v>0</v>
      </c>
      <c r="K5308" s="19" t="n">
        <v>0</v>
      </c>
      <c r="L5308" s="17" t="s">
        <v>1406</v>
      </c>
    </row>
    <row r="5309" s="11" customFormat="true" ht="10.95" hidden="false" customHeight="true" outlineLevel="0" collapsed="false">
      <c r="A5309" s="16" t="n">
        <v>45321</v>
      </c>
      <c r="B5309" s="17" t="s">
        <v>2779</v>
      </c>
      <c r="C5309" s="17" t="s">
        <v>1593</v>
      </c>
      <c r="D5309" s="17" t="s">
        <v>1407</v>
      </c>
      <c r="E5309" s="17" t="s">
        <v>2816</v>
      </c>
      <c r="F5309" s="17"/>
      <c r="G5309" s="18" t="n">
        <v>76.72</v>
      </c>
      <c r="H5309" s="18" t="n">
        <v>0</v>
      </c>
      <c r="I5309" s="18" t="n">
        <f aca="false">((I5308 + G5309) - H5309)</f>
        <v>42873.72</v>
      </c>
      <c r="J5309" s="18" t="n">
        <v>0</v>
      </c>
      <c r="K5309" s="19" t="n">
        <v>0</v>
      </c>
      <c r="L5309" s="17" t="s">
        <v>1406</v>
      </c>
    </row>
    <row r="5310" s="11" customFormat="true" ht="10.95" hidden="false" customHeight="true" outlineLevel="0" collapsed="false">
      <c r="A5310" s="16" t="n">
        <v>45322</v>
      </c>
      <c r="B5310" s="17" t="s">
        <v>2779</v>
      </c>
      <c r="C5310" s="17" t="s">
        <v>1593</v>
      </c>
      <c r="D5310" s="17" t="s">
        <v>1407</v>
      </c>
      <c r="E5310" s="17" t="s">
        <v>2780</v>
      </c>
      <c r="F5310" s="17" t="s">
        <v>2781</v>
      </c>
      <c r="G5310" s="18" t="n">
        <v>194.75</v>
      </c>
      <c r="H5310" s="18" t="n">
        <v>0</v>
      </c>
      <c r="I5310" s="18" t="n">
        <f aca="false">((I5309 + G5310) - H5310)</f>
        <v>43068.47</v>
      </c>
      <c r="J5310" s="18" t="n">
        <v>0</v>
      </c>
      <c r="K5310" s="19" t="n">
        <v>0</v>
      </c>
      <c r="L5310" s="17" t="s">
        <v>1406</v>
      </c>
    </row>
    <row r="5311" s="11" customFormat="true" ht="10.95" hidden="false" customHeight="true" outlineLevel="0" collapsed="false">
      <c r="A5311" s="16" t="n">
        <v>45323</v>
      </c>
      <c r="B5311" s="17" t="s">
        <v>2779</v>
      </c>
      <c r="C5311" s="17" t="s">
        <v>1593</v>
      </c>
      <c r="D5311" s="17" t="s">
        <v>1407</v>
      </c>
      <c r="E5311" s="17" t="s">
        <v>2801</v>
      </c>
      <c r="F5311" s="17"/>
      <c r="G5311" s="18" t="n">
        <v>1020.06</v>
      </c>
      <c r="H5311" s="18" t="n">
        <v>0</v>
      </c>
      <c r="I5311" s="18" t="n">
        <f aca="false">((I5310 + G5311) - H5311)</f>
        <v>44088.53</v>
      </c>
      <c r="J5311" s="18" t="n">
        <v>0</v>
      </c>
      <c r="K5311" s="19" t="n">
        <v>0</v>
      </c>
      <c r="L5311" s="17" t="s">
        <v>1406</v>
      </c>
    </row>
    <row r="5312" s="11" customFormat="true" ht="10.95" hidden="false" customHeight="true" outlineLevel="0" collapsed="false">
      <c r="A5312" s="16" t="n">
        <v>45335</v>
      </c>
      <c r="B5312" s="17" t="s">
        <v>2779</v>
      </c>
      <c r="C5312" s="17" t="s">
        <v>1593</v>
      </c>
      <c r="D5312" s="17" t="s">
        <v>1407</v>
      </c>
      <c r="E5312" s="17" t="s">
        <v>2825</v>
      </c>
      <c r="F5312" s="17"/>
      <c r="G5312" s="18" t="n">
        <v>201.6</v>
      </c>
      <c r="H5312" s="18" t="n">
        <v>0</v>
      </c>
      <c r="I5312" s="18" t="n">
        <f aca="false">((I5311 + G5312) - H5312)</f>
        <v>44290.13</v>
      </c>
      <c r="J5312" s="18" t="n">
        <v>0</v>
      </c>
      <c r="K5312" s="19" t="n">
        <v>0</v>
      </c>
      <c r="L5312" s="17" t="s">
        <v>1406</v>
      </c>
    </row>
    <row r="5313" s="11" customFormat="true" ht="10.95" hidden="false" customHeight="true" outlineLevel="0" collapsed="false">
      <c r="A5313" s="16" t="n">
        <v>45356</v>
      </c>
      <c r="B5313" s="17" t="s">
        <v>2779</v>
      </c>
      <c r="C5313" s="17" t="s">
        <v>1593</v>
      </c>
      <c r="D5313" s="17" t="s">
        <v>1407</v>
      </c>
      <c r="E5313" s="17" t="s">
        <v>2780</v>
      </c>
      <c r="F5313" s="17" t="s">
        <v>2781</v>
      </c>
      <c r="G5313" s="18" t="n">
        <v>4.75</v>
      </c>
      <c r="H5313" s="18" t="n">
        <v>0</v>
      </c>
      <c r="I5313" s="18" t="n">
        <f aca="false">((I5312 + G5313) - H5313)</f>
        <v>44294.88</v>
      </c>
      <c r="J5313" s="18" t="n">
        <v>0</v>
      </c>
      <c r="K5313" s="19" t="n">
        <v>0</v>
      </c>
      <c r="L5313" s="17" t="s">
        <v>1406</v>
      </c>
    </row>
    <row r="5314" s="11" customFormat="true" ht="10.95" hidden="false" customHeight="true" outlineLevel="0" collapsed="false">
      <c r="A5314" s="16" t="n">
        <v>45356</v>
      </c>
      <c r="B5314" s="17" t="s">
        <v>2779</v>
      </c>
      <c r="C5314" s="17" t="s">
        <v>1593</v>
      </c>
      <c r="D5314" s="17" t="s">
        <v>1407</v>
      </c>
      <c r="E5314" s="17" t="s">
        <v>2780</v>
      </c>
      <c r="F5314" s="17" t="s">
        <v>2781</v>
      </c>
      <c r="G5314" s="18" t="n">
        <v>47.52</v>
      </c>
      <c r="H5314" s="18" t="n">
        <v>0</v>
      </c>
      <c r="I5314" s="18" t="n">
        <f aca="false">((I5313 + G5314) - H5314)</f>
        <v>44342.4</v>
      </c>
      <c r="J5314" s="18" t="n">
        <v>0</v>
      </c>
      <c r="K5314" s="19" t="n">
        <v>0</v>
      </c>
      <c r="L5314" s="17" t="s">
        <v>1406</v>
      </c>
    </row>
    <row r="5315" s="11" customFormat="true" ht="10.95" hidden="false" customHeight="true" outlineLevel="0" collapsed="false">
      <c r="A5315" s="16" t="n">
        <v>45370</v>
      </c>
      <c r="B5315" s="17" t="s">
        <v>2779</v>
      </c>
      <c r="C5315" s="17" t="s">
        <v>1593</v>
      </c>
      <c r="D5315" s="17" t="s">
        <v>1407</v>
      </c>
      <c r="E5315" s="17" t="s">
        <v>2826</v>
      </c>
      <c r="F5315" s="17"/>
      <c r="G5315" s="18" t="n">
        <v>586.73</v>
      </c>
      <c r="H5315" s="18" t="n">
        <v>0</v>
      </c>
      <c r="I5315" s="18" t="n">
        <f aca="false">((I5314 + G5315) - H5315)</f>
        <v>44929.13</v>
      </c>
      <c r="J5315" s="18" t="n">
        <v>58.67</v>
      </c>
      <c r="K5315" s="19" t="n">
        <v>10</v>
      </c>
      <c r="L5315" s="17" t="s">
        <v>44</v>
      </c>
    </row>
    <row r="5316" s="11" customFormat="true" ht="10.95" hidden="false" customHeight="true" outlineLevel="0" collapsed="false">
      <c r="A5316" s="16" t="n">
        <v>45370</v>
      </c>
      <c r="B5316" s="17" t="s">
        <v>2779</v>
      </c>
      <c r="C5316" s="17" t="s">
        <v>1593</v>
      </c>
      <c r="D5316" s="17" t="s">
        <v>1407</v>
      </c>
      <c r="E5316" s="17" t="s">
        <v>2827</v>
      </c>
      <c r="F5316" s="17"/>
      <c r="G5316" s="18" t="n">
        <v>600.45</v>
      </c>
      <c r="H5316" s="18" t="n">
        <v>0</v>
      </c>
      <c r="I5316" s="18" t="n">
        <f aca="false">((I5315 + G5316) - H5316)</f>
        <v>45529.58</v>
      </c>
      <c r="J5316" s="18" t="n">
        <v>60.05</v>
      </c>
      <c r="K5316" s="19" t="n">
        <v>10</v>
      </c>
      <c r="L5316" s="17" t="s">
        <v>44</v>
      </c>
    </row>
    <row r="5317" s="11" customFormat="true" ht="10.95" hidden="false" customHeight="true" outlineLevel="0" collapsed="false">
      <c r="A5317" s="16" t="n">
        <v>45370</v>
      </c>
      <c r="B5317" s="17" t="s">
        <v>2779</v>
      </c>
      <c r="C5317" s="17" t="s">
        <v>1593</v>
      </c>
      <c r="D5317" s="17" t="s">
        <v>1407</v>
      </c>
      <c r="E5317" s="17" t="s">
        <v>2828</v>
      </c>
      <c r="F5317" s="17"/>
      <c r="G5317" s="18" t="n">
        <v>702.13</v>
      </c>
      <c r="H5317" s="18" t="n">
        <v>0</v>
      </c>
      <c r="I5317" s="18" t="n">
        <f aca="false">((I5316 + G5317) - H5317)</f>
        <v>46231.71</v>
      </c>
      <c r="J5317" s="18" t="n">
        <v>70.21</v>
      </c>
      <c r="K5317" s="19" t="n">
        <v>10</v>
      </c>
      <c r="L5317" s="17" t="s">
        <v>44</v>
      </c>
    </row>
    <row r="5318" s="11" customFormat="true" ht="10.95" hidden="false" customHeight="true" outlineLevel="0" collapsed="false">
      <c r="A5318" s="16" t="n">
        <v>45370</v>
      </c>
      <c r="B5318" s="17" t="s">
        <v>2779</v>
      </c>
      <c r="C5318" s="17" t="s">
        <v>1593</v>
      </c>
      <c r="D5318" s="17" t="s">
        <v>1407</v>
      </c>
      <c r="E5318" s="17" t="s">
        <v>2829</v>
      </c>
      <c r="F5318" s="17"/>
      <c r="G5318" s="18" t="n">
        <v>629.45</v>
      </c>
      <c r="H5318" s="18" t="n">
        <v>0</v>
      </c>
      <c r="I5318" s="18" t="n">
        <f aca="false">((I5317 + G5318) - H5318)</f>
        <v>46861.16</v>
      </c>
      <c r="J5318" s="18" t="n">
        <v>62.95</v>
      </c>
      <c r="K5318" s="19" t="n">
        <v>10</v>
      </c>
      <c r="L5318" s="17" t="s">
        <v>44</v>
      </c>
    </row>
    <row r="5319" s="11" customFormat="true" ht="10.95" hidden="false" customHeight="true" outlineLevel="0" collapsed="false">
      <c r="A5319" s="16" t="n">
        <v>45390</v>
      </c>
      <c r="B5319" s="17" t="s">
        <v>2779</v>
      </c>
      <c r="C5319" s="17" t="s">
        <v>1593</v>
      </c>
      <c r="D5319" s="17" t="s">
        <v>1407</v>
      </c>
      <c r="E5319" s="17" t="s">
        <v>2766</v>
      </c>
      <c r="F5319" s="17"/>
      <c r="G5319" s="18" t="n">
        <v>349.79</v>
      </c>
      <c r="H5319" s="18" t="n">
        <v>0</v>
      </c>
      <c r="I5319" s="18" t="n">
        <f aca="false">((I5318 + G5319) - H5319)</f>
        <v>47210.95</v>
      </c>
      <c r="J5319" s="18" t="n">
        <v>0</v>
      </c>
      <c r="K5319" s="19" t="n">
        <v>0</v>
      </c>
      <c r="L5319" s="17" t="s">
        <v>1406</v>
      </c>
    </row>
    <row r="5320" s="11" customFormat="true" ht="10.95" hidden="false" customHeight="true" outlineLevel="0" collapsed="false">
      <c r="A5320" s="16" t="n">
        <v>45391</v>
      </c>
      <c r="B5320" s="17" t="s">
        <v>2779</v>
      </c>
      <c r="C5320" s="17" t="s">
        <v>1593</v>
      </c>
      <c r="D5320" s="17" t="s">
        <v>1407</v>
      </c>
      <c r="E5320" s="17" t="s">
        <v>2830</v>
      </c>
      <c r="F5320" s="17"/>
      <c r="G5320" s="18" t="n">
        <v>37.69</v>
      </c>
      <c r="H5320" s="18" t="n">
        <v>0</v>
      </c>
      <c r="I5320" s="18" t="n">
        <f aca="false">((I5319 + G5320) - H5320)</f>
        <v>47248.64</v>
      </c>
      <c r="J5320" s="18" t="n">
        <v>0</v>
      </c>
      <c r="K5320" s="19" t="n">
        <v>0</v>
      </c>
      <c r="L5320" s="17" t="s">
        <v>1406</v>
      </c>
    </row>
    <row r="5321" s="11" customFormat="true" ht="10.95" hidden="false" customHeight="true" outlineLevel="0" collapsed="false">
      <c r="A5321" s="16" t="n">
        <v>45392</v>
      </c>
      <c r="B5321" s="17" t="s">
        <v>2779</v>
      </c>
      <c r="C5321" s="17" t="s">
        <v>1593</v>
      </c>
      <c r="D5321" s="17" t="s">
        <v>1407</v>
      </c>
      <c r="E5321" s="17" t="s">
        <v>2831</v>
      </c>
      <c r="F5321" s="17"/>
      <c r="G5321" s="18" t="n">
        <v>82.47</v>
      </c>
      <c r="H5321" s="18" t="n">
        <v>0</v>
      </c>
      <c r="I5321" s="18" t="n">
        <f aca="false">((I5320 + G5321) - H5321)</f>
        <v>47331.11</v>
      </c>
      <c r="J5321" s="18" t="n">
        <v>0</v>
      </c>
      <c r="K5321" s="19" t="n">
        <v>0</v>
      </c>
      <c r="L5321" s="17" t="s">
        <v>1406</v>
      </c>
    </row>
    <row r="5322" s="11" customFormat="true" ht="10.95" hidden="false" customHeight="true" outlineLevel="0" collapsed="false">
      <c r="A5322" s="16" t="n">
        <v>45392</v>
      </c>
      <c r="B5322" s="17" t="s">
        <v>2779</v>
      </c>
      <c r="C5322" s="17" t="s">
        <v>1593</v>
      </c>
      <c r="D5322" s="17" t="s">
        <v>1407</v>
      </c>
      <c r="E5322" s="17" t="s">
        <v>2832</v>
      </c>
      <c r="F5322" s="17"/>
      <c r="G5322" s="18" t="n">
        <v>121.85</v>
      </c>
      <c r="H5322" s="18" t="n">
        <v>0</v>
      </c>
      <c r="I5322" s="18" t="n">
        <f aca="false">((I5321 + G5322) - H5322)</f>
        <v>47452.96</v>
      </c>
      <c r="J5322" s="18" t="n">
        <v>0</v>
      </c>
      <c r="K5322" s="19" t="n">
        <v>0</v>
      </c>
      <c r="L5322" s="17" t="s">
        <v>1406</v>
      </c>
    </row>
    <row r="5323" s="11" customFormat="true" ht="10.95" hidden="false" customHeight="true" outlineLevel="0" collapsed="false">
      <c r="A5323" s="16" t="n">
        <v>45392</v>
      </c>
      <c r="B5323" s="17" t="s">
        <v>2779</v>
      </c>
      <c r="C5323" s="17" t="s">
        <v>1593</v>
      </c>
      <c r="D5323" s="17" t="s">
        <v>1407</v>
      </c>
      <c r="E5323" s="17" t="s">
        <v>2833</v>
      </c>
      <c r="F5323" s="17"/>
      <c r="G5323" s="18" t="n">
        <v>220.77</v>
      </c>
      <c r="H5323" s="18" t="n">
        <v>0</v>
      </c>
      <c r="I5323" s="18" t="n">
        <f aca="false">((I5322 + G5323) - H5323)</f>
        <v>47673.73</v>
      </c>
      <c r="J5323" s="18" t="n">
        <v>0</v>
      </c>
      <c r="K5323" s="19" t="n">
        <v>0</v>
      </c>
      <c r="L5323" s="17" t="s">
        <v>1406</v>
      </c>
    </row>
    <row r="5324" s="11" customFormat="true" ht="10.95" hidden="false" customHeight="true" outlineLevel="0" collapsed="false">
      <c r="A5324" s="16" t="n">
        <v>45393</v>
      </c>
      <c r="B5324" s="17" t="s">
        <v>2779</v>
      </c>
      <c r="C5324" s="17" t="s">
        <v>1593</v>
      </c>
      <c r="D5324" s="17" t="s">
        <v>1407</v>
      </c>
      <c r="E5324" s="17" t="s">
        <v>2834</v>
      </c>
      <c r="F5324" s="17"/>
      <c r="G5324" s="18" t="n">
        <v>220.5</v>
      </c>
      <c r="H5324" s="18" t="n">
        <v>0</v>
      </c>
      <c r="I5324" s="18" t="n">
        <f aca="false">((I5323 + G5324) - H5324)</f>
        <v>47894.23</v>
      </c>
      <c r="J5324" s="18" t="n">
        <v>0</v>
      </c>
      <c r="K5324" s="19" t="n">
        <v>0</v>
      </c>
      <c r="L5324" s="17" t="s">
        <v>1406</v>
      </c>
    </row>
    <row r="5325" s="11" customFormat="true" ht="10.95" hidden="false" customHeight="true" outlineLevel="0" collapsed="false">
      <c r="A5325" s="16" t="n">
        <v>45393</v>
      </c>
      <c r="B5325" s="17" t="s">
        <v>2779</v>
      </c>
      <c r="C5325" s="17" t="s">
        <v>1593</v>
      </c>
      <c r="D5325" s="17" t="s">
        <v>1407</v>
      </c>
      <c r="E5325" s="17" t="s">
        <v>2780</v>
      </c>
      <c r="F5325" s="17" t="s">
        <v>2781</v>
      </c>
      <c r="G5325" s="18" t="n">
        <v>7.63</v>
      </c>
      <c r="H5325" s="18" t="n">
        <v>0</v>
      </c>
      <c r="I5325" s="18" t="n">
        <f aca="false">((I5324 + G5325) - H5325)</f>
        <v>47901.86</v>
      </c>
      <c r="J5325" s="18" t="n">
        <v>0</v>
      </c>
      <c r="K5325" s="19" t="n">
        <v>0</v>
      </c>
      <c r="L5325" s="17" t="s">
        <v>1406</v>
      </c>
    </row>
    <row r="5326" s="11" customFormat="true" ht="10.95" hidden="false" customHeight="true" outlineLevel="0" collapsed="false">
      <c r="A5326" s="16" t="n">
        <v>45393</v>
      </c>
      <c r="B5326" s="17" t="s">
        <v>2779</v>
      </c>
      <c r="C5326" s="17" t="s">
        <v>1593</v>
      </c>
      <c r="D5326" s="17" t="s">
        <v>1407</v>
      </c>
      <c r="E5326" s="17" t="s">
        <v>2780</v>
      </c>
      <c r="F5326" s="17" t="s">
        <v>2781</v>
      </c>
      <c r="G5326" s="18" t="n">
        <v>23.14</v>
      </c>
      <c r="H5326" s="18" t="n">
        <v>0</v>
      </c>
      <c r="I5326" s="18" t="n">
        <f aca="false">((I5325 + G5326) - H5326)</f>
        <v>47925</v>
      </c>
      <c r="J5326" s="18" t="n">
        <v>0</v>
      </c>
      <c r="K5326" s="19" t="n">
        <v>0</v>
      </c>
      <c r="L5326" s="17" t="s">
        <v>1406</v>
      </c>
    </row>
    <row r="5327" s="11" customFormat="true" ht="10.95" hidden="false" customHeight="true" outlineLevel="0" collapsed="false">
      <c r="A5327" s="16" t="n">
        <v>45393</v>
      </c>
      <c r="B5327" s="17" t="s">
        <v>2779</v>
      </c>
      <c r="C5327" s="17" t="s">
        <v>1593</v>
      </c>
      <c r="D5327" s="17" t="s">
        <v>1407</v>
      </c>
      <c r="E5327" s="17" t="s">
        <v>2780</v>
      </c>
      <c r="F5327" s="17" t="s">
        <v>2781</v>
      </c>
      <c r="G5327" s="18" t="n">
        <v>35.64</v>
      </c>
      <c r="H5327" s="18" t="n">
        <v>0</v>
      </c>
      <c r="I5327" s="18" t="n">
        <f aca="false">((I5326 + G5327) - H5327)</f>
        <v>47960.64</v>
      </c>
      <c r="J5327" s="18" t="n">
        <v>0</v>
      </c>
      <c r="K5327" s="19" t="n">
        <v>0</v>
      </c>
      <c r="L5327" s="17" t="s">
        <v>1406</v>
      </c>
    </row>
    <row r="5328" s="11" customFormat="true" ht="10.95" hidden="false" customHeight="true" outlineLevel="0" collapsed="false">
      <c r="A5328" s="16" t="n">
        <v>45393</v>
      </c>
      <c r="B5328" s="17" t="s">
        <v>2779</v>
      </c>
      <c r="C5328" s="17" t="s">
        <v>1593</v>
      </c>
      <c r="D5328" s="17" t="s">
        <v>1407</v>
      </c>
      <c r="E5328" s="17" t="s">
        <v>2835</v>
      </c>
      <c r="F5328" s="17"/>
      <c r="G5328" s="18" t="n">
        <v>805.59</v>
      </c>
      <c r="H5328" s="18" t="n">
        <v>0</v>
      </c>
      <c r="I5328" s="18" t="n">
        <f aca="false">((I5327 + G5328) - H5328)</f>
        <v>48766.23</v>
      </c>
      <c r="J5328" s="18" t="n">
        <v>0</v>
      </c>
      <c r="K5328" s="19" t="n">
        <v>0</v>
      </c>
      <c r="L5328" s="17" t="s">
        <v>1406</v>
      </c>
    </row>
    <row r="5329" s="11" customFormat="true" ht="10.95" hidden="false" customHeight="true" outlineLevel="0" collapsed="false">
      <c r="A5329" s="16" t="n">
        <v>45393</v>
      </c>
      <c r="B5329" s="17" t="s">
        <v>2779</v>
      </c>
      <c r="C5329" s="17" t="s">
        <v>1593</v>
      </c>
      <c r="D5329" s="17" t="s">
        <v>1407</v>
      </c>
      <c r="E5329" s="17" t="s">
        <v>2836</v>
      </c>
      <c r="F5329" s="17"/>
      <c r="G5329" s="18" t="n">
        <v>8209.7</v>
      </c>
      <c r="H5329" s="18" t="n">
        <v>0</v>
      </c>
      <c r="I5329" s="18" t="n">
        <f aca="false">((I5328 + G5329) - H5329)</f>
        <v>56975.93</v>
      </c>
      <c r="J5329" s="18" t="n">
        <v>820.97</v>
      </c>
      <c r="K5329" s="19" t="n">
        <v>10</v>
      </c>
      <c r="L5329" s="17" t="s">
        <v>44</v>
      </c>
    </row>
    <row r="5330" s="11" customFormat="true" ht="10.95" hidden="false" customHeight="true" outlineLevel="0" collapsed="false">
      <c r="A5330" s="16" t="n">
        <v>45394</v>
      </c>
      <c r="B5330" s="17" t="s">
        <v>2779</v>
      </c>
      <c r="C5330" s="17" t="s">
        <v>1593</v>
      </c>
      <c r="D5330" s="17" t="s">
        <v>1407</v>
      </c>
      <c r="E5330" s="17" t="s">
        <v>2780</v>
      </c>
      <c r="F5330" s="17" t="s">
        <v>2781</v>
      </c>
      <c r="G5330" s="18" t="n">
        <v>7.63</v>
      </c>
      <c r="H5330" s="18" t="n">
        <v>0</v>
      </c>
      <c r="I5330" s="18" t="n">
        <f aca="false">((I5329 + G5330) - H5330)</f>
        <v>56983.56</v>
      </c>
      <c r="J5330" s="18" t="n">
        <v>0</v>
      </c>
      <c r="K5330" s="19" t="n">
        <v>0</v>
      </c>
      <c r="L5330" s="17" t="s">
        <v>1406</v>
      </c>
    </row>
    <row r="5331" s="11" customFormat="true" ht="10.95" hidden="false" customHeight="true" outlineLevel="0" collapsed="false">
      <c r="A5331" s="16" t="n">
        <v>45394</v>
      </c>
      <c r="B5331" s="17" t="s">
        <v>2779</v>
      </c>
      <c r="C5331" s="17" t="s">
        <v>1593</v>
      </c>
      <c r="D5331" s="17" t="s">
        <v>1407</v>
      </c>
      <c r="E5331" s="17" t="s">
        <v>2780</v>
      </c>
      <c r="F5331" s="17" t="s">
        <v>2781</v>
      </c>
      <c r="G5331" s="18" t="n">
        <v>7.63</v>
      </c>
      <c r="H5331" s="18" t="n">
        <v>0</v>
      </c>
      <c r="I5331" s="18" t="n">
        <f aca="false">((I5330 + G5331) - H5331)</f>
        <v>56991.19</v>
      </c>
      <c r="J5331" s="18" t="n">
        <v>0</v>
      </c>
      <c r="K5331" s="19" t="n">
        <v>0</v>
      </c>
      <c r="L5331" s="17" t="s">
        <v>1406</v>
      </c>
    </row>
    <row r="5332" s="11" customFormat="true" ht="10.95" hidden="false" customHeight="true" outlineLevel="0" collapsed="false">
      <c r="A5332" s="16" t="n">
        <v>45394</v>
      </c>
      <c r="B5332" s="17" t="s">
        <v>2779</v>
      </c>
      <c r="C5332" s="17" t="s">
        <v>1593</v>
      </c>
      <c r="D5332" s="17" t="s">
        <v>1407</v>
      </c>
      <c r="E5332" s="17" t="s">
        <v>2837</v>
      </c>
      <c r="F5332" s="17"/>
      <c r="G5332" s="18" t="n">
        <v>12.13</v>
      </c>
      <c r="H5332" s="18" t="n">
        <v>0</v>
      </c>
      <c r="I5332" s="18" t="n">
        <f aca="false">((I5331 + G5332) - H5332)</f>
        <v>57003.32</v>
      </c>
      <c r="J5332" s="18" t="n">
        <v>0</v>
      </c>
      <c r="K5332" s="19" t="n">
        <v>0</v>
      </c>
      <c r="L5332" s="17" t="s">
        <v>1406</v>
      </c>
    </row>
    <row r="5333" s="11" customFormat="true" ht="10.95" hidden="false" customHeight="true" outlineLevel="0" collapsed="false">
      <c r="A5333" s="16" t="n">
        <v>45394</v>
      </c>
      <c r="B5333" s="17" t="s">
        <v>2779</v>
      </c>
      <c r="C5333" s="17" t="s">
        <v>1593</v>
      </c>
      <c r="D5333" s="17" t="s">
        <v>1407</v>
      </c>
      <c r="E5333" s="17" t="s">
        <v>2780</v>
      </c>
      <c r="F5333" s="17" t="s">
        <v>2781</v>
      </c>
      <c r="G5333" s="18" t="n">
        <v>24.65</v>
      </c>
      <c r="H5333" s="18" t="n">
        <v>0</v>
      </c>
      <c r="I5333" s="18" t="n">
        <f aca="false">((I5332 + G5333) - H5333)</f>
        <v>57027.97</v>
      </c>
      <c r="J5333" s="18" t="n">
        <v>0</v>
      </c>
      <c r="K5333" s="19" t="n">
        <v>0</v>
      </c>
      <c r="L5333" s="17" t="s">
        <v>1406</v>
      </c>
    </row>
    <row r="5334" s="11" customFormat="true" ht="10.95" hidden="false" customHeight="true" outlineLevel="0" collapsed="false">
      <c r="A5334" s="16" t="n">
        <v>45394</v>
      </c>
      <c r="B5334" s="17" t="s">
        <v>2779</v>
      </c>
      <c r="C5334" s="17" t="s">
        <v>1593</v>
      </c>
      <c r="D5334" s="17" t="s">
        <v>1407</v>
      </c>
      <c r="E5334" s="17" t="s">
        <v>2838</v>
      </c>
      <c r="F5334" s="17"/>
      <c r="G5334" s="18" t="n">
        <v>74.68</v>
      </c>
      <c r="H5334" s="18" t="n">
        <v>0</v>
      </c>
      <c r="I5334" s="18" t="n">
        <f aca="false">((I5333 + G5334) - H5334)</f>
        <v>57102.65</v>
      </c>
      <c r="J5334" s="18" t="n">
        <v>0</v>
      </c>
      <c r="K5334" s="19" t="n">
        <v>0</v>
      </c>
      <c r="L5334" s="17" t="s">
        <v>1406</v>
      </c>
    </row>
    <row r="5335" s="11" customFormat="true" ht="10.95" hidden="false" customHeight="true" outlineLevel="0" collapsed="false">
      <c r="A5335" s="16" t="n">
        <v>45394</v>
      </c>
      <c r="B5335" s="17" t="s">
        <v>2779</v>
      </c>
      <c r="C5335" s="17" t="s">
        <v>1593</v>
      </c>
      <c r="D5335" s="17" t="s">
        <v>1407</v>
      </c>
      <c r="E5335" s="17" t="s">
        <v>2839</v>
      </c>
      <c r="F5335" s="17"/>
      <c r="G5335" s="18" t="n">
        <v>3.24</v>
      </c>
      <c r="H5335" s="18" t="n">
        <v>0</v>
      </c>
      <c r="I5335" s="18" t="n">
        <f aca="false">((I5334 + G5335) - H5335)</f>
        <v>57105.89</v>
      </c>
      <c r="J5335" s="18" t="n">
        <v>0</v>
      </c>
      <c r="K5335" s="19" t="n">
        <v>0</v>
      </c>
      <c r="L5335" s="17" t="s">
        <v>1406</v>
      </c>
    </row>
    <row r="5336" s="11" customFormat="true" ht="10.95" hidden="false" customHeight="true" outlineLevel="0" collapsed="false">
      <c r="A5336" s="16" t="n">
        <v>45395</v>
      </c>
      <c r="B5336" s="17" t="s">
        <v>2779</v>
      </c>
      <c r="C5336" s="17" t="s">
        <v>1593</v>
      </c>
      <c r="D5336" s="17" t="s">
        <v>1407</v>
      </c>
      <c r="E5336" s="17" t="s">
        <v>2840</v>
      </c>
      <c r="F5336" s="17"/>
      <c r="G5336" s="18" t="n">
        <v>2047.93</v>
      </c>
      <c r="H5336" s="18" t="n">
        <v>0</v>
      </c>
      <c r="I5336" s="18" t="n">
        <f aca="false">((I5335 + G5336) - H5336)</f>
        <v>59153.82</v>
      </c>
      <c r="J5336" s="18" t="n">
        <v>0</v>
      </c>
      <c r="K5336" s="19" t="n">
        <v>0</v>
      </c>
      <c r="L5336" s="17" t="s">
        <v>1406</v>
      </c>
    </row>
    <row r="5337" s="11" customFormat="true" ht="10.95" hidden="false" customHeight="true" outlineLevel="0" collapsed="false">
      <c r="A5337" s="16" t="n">
        <v>45396</v>
      </c>
      <c r="B5337" s="17" t="s">
        <v>2779</v>
      </c>
      <c r="C5337" s="17" t="s">
        <v>1593</v>
      </c>
      <c r="D5337" s="17" t="s">
        <v>1407</v>
      </c>
      <c r="E5337" s="17" t="s">
        <v>2841</v>
      </c>
      <c r="F5337" s="17"/>
      <c r="G5337" s="18" t="n">
        <v>2329.95</v>
      </c>
      <c r="H5337" s="18" t="n">
        <v>0</v>
      </c>
      <c r="I5337" s="18" t="n">
        <f aca="false">((I5336 + G5337) - H5337)</f>
        <v>61483.77</v>
      </c>
      <c r="J5337" s="18" t="n">
        <v>0</v>
      </c>
      <c r="K5337" s="19" t="n">
        <v>0</v>
      </c>
      <c r="L5337" s="17" t="s">
        <v>1406</v>
      </c>
    </row>
    <row r="5338" s="11" customFormat="true" ht="10.95" hidden="false" customHeight="true" outlineLevel="0" collapsed="false">
      <c r="A5338" s="16" t="n">
        <v>45397</v>
      </c>
      <c r="B5338" s="17" t="s">
        <v>2779</v>
      </c>
      <c r="C5338" s="17" t="s">
        <v>1593</v>
      </c>
      <c r="D5338" s="17" t="s">
        <v>1407</v>
      </c>
      <c r="E5338" s="17" t="s">
        <v>2838</v>
      </c>
      <c r="F5338" s="17"/>
      <c r="G5338" s="18" t="n">
        <v>93.6</v>
      </c>
      <c r="H5338" s="18" t="n">
        <v>0</v>
      </c>
      <c r="I5338" s="18" t="n">
        <f aca="false">((I5337 + G5338) - H5338)</f>
        <v>61577.37</v>
      </c>
      <c r="J5338" s="18" t="n">
        <v>0</v>
      </c>
      <c r="K5338" s="19" t="n">
        <v>0</v>
      </c>
      <c r="L5338" s="17" t="s">
        <v>1406</v>
      </c>
    </row>
    <row r="5339" s="11" customFormat="true" ht="10.95" hidden="false" customHeight="true" outlineLevel="0" collapsed="false">
      <c r="A5339" s="16" t="n">
        <v>45397</v>
      </c>
      <c r="B5339" s="17" t="s">
        <v>2779</v>
      </c>
      <c r="C5339" s="17" t="s">
        <v>1593</v>
      </c>
      <c r="D5339" s="17" t="s">
        <v>1407</v>
      </c>
      <c r="E5339" s="17" t="s">
        <v>2842</v>
      </c>
      <c r="F5339" s="17"/>
      <c r="G5339" s="18" t="n">
        <v>15.23</v>
      </c>
      <c r="H5339" s="18" t="n">
        <v>0</v>
      </c>
      <c r="I5339" s="18" t="n">
        <f aca="false">((I5338 + G5339) - H5339)</f>
        <v>61592.6</v>
      </c>
      <c r="J5339" s="18" t="n">
        <v>0</v>
      </c>
      <c r="K5339" s="19" t="n">
        <v>0</v>
      </c>
      <c r="L5339" s="17" t="s">
        <v>1406</v>
      </c>
    </row>
    <row r="5340" s="11" customFormat="true" ht="10.95" hidden="false" customHeight="true" outlineLevel="0" collapsed="false">
      <c r="A5340" s="16" t="n">
        <v>45397</v>
      </c>
      <c r="B5340" s="17" t="s">
        <v>2779</v>
      </c>
      <c r="C5340" s="17" t="s">
        <v>1593</v>
      </c>
      <c r="D5340" s="17" t="s">
        <v>1407</v>
      </c>
      <c r="E5340" s="17" t="s">
        <v>2842</v>
      </c>
      <c r="F5340" s="17"/>
      <c r="G5340" s="18" t="n">
        <v>15.19</v>
      </c>
      <c r="H5340" s="18" t="n">
        <v>0</v>
      </c>
      <c r="I5340" s="18" t="n">
        <f aca="false">((I5339 + G5340) - H5340)</f>
        <v>61607.79</v>
      </c>
      <c r="J5340" s="18" t="n">
        <v>0</v>
      </c>
      <c r="K5340" s="19" t="n">
        <v>0</v>
      </c>
      <c r="L5340" s="17" t="s">
        <v>1406</v>
      </c>
    </row>
    <row r="5341" s="11" customFormat="true" ht="10.95" hidden="false" customHeight="true" outlineLevel="0" collapsed="false">
      <c r="A5341" s="16" t="n">
        <v>45397</v>
      </c>
      <c r="B5341" s="17" t="s">
        <v>2779</v>
      </c>
      <c r="C5341" s="17" t="s">
        <v>1593</v>
      </c>
      <c r="D5341" s="17" t="s">
        <v>1407</v>
      </c>
      <c r="E5341" s="17" t="s">
        <v>2843</v>
      </c>
      <c r="F5341" s="17"/>
      <c r="G5341" s="18" t="n">
        <v>44.68</v>
      </c>
      <c r="H5341" s="18" t="n">
        <v>0</v>
      </c>
      <c r="I5341" s="18" t="n">
        <f aca="false">((I5340 + G5341) - H5341)</f>
        <v>61652.47</v>
      </c>
      <c r="J5341" s="18" t="n">
        <v>0</v>
      </c>
      <c r="K5341" s="19" t="n">
        <v>0</v>
      </c>
      <c r="L5341" s="17" t="s">
        <v>1406</v>
      </c>
    </row>
    <row r="5342" s="11" customFormat="true" ht="10.95" hidden="false" customHeight="true" outlineLevel="0" collapsed="false">
      <c r="A5342" s="16" t="n">
        <v>45397</v>
      </c>
      <c r="B5342" s="17" t="s">
        <v>2779</v>
      </c>
      <c r="C5342" s="17" t="s">
        <v>1593</v>
      </c>
      <c r="D5342" s="17" t="s">
        <v>1407</v>
      </c>
      <c r="E5342" s="17" t="s">
        <v>2844</v>
      </c>
      <c r="F5342" s="17"/>
      <c r="G5342" s="18" t="n">
        <v>17.65</v>
      </c>
      <c r="H5342" s="18" t="n">
        <v>0</v>
      </c>
      <c r="I5342" s="18" t="n">
        <f aca="false">((I5341 + G5342) - H5342)</f>
        <v>61670.12</v>
      </c>
      <c r="J5342" s="18" t="n">
        <v>0</v>
      </c>
      <c r="K5342" s="19" t="n">
        <v>0</v>
      </c>
      <c r="L5342" s="17" t="s">
        <v>1406</v>
      </c>
    </row>
    <row r="5343" s="11" customFormat="true" ht="10.95" hidden="false" customHeight="true" outlineLevel="0" collapsed="false">
      <c r="A5343" s="16" t="n">
        <v>45397</v>
      </c>
      <c r="B5343" s="17" t="s">
        <v>2779</v>
      </c>
      <c r="C5343" s="17" t="s">
        <v>1593</v>
      </c>
      <c r="D5343" s="17" t="s">
        <v>1407</v>
      </c>
      <c r="E5343" s="17" t="s">
        <v>2845</v>
      </c>
      <c r="F5343" s="17"/>
      <c r="G5343" s="18" t="n">
        <v>29.71</v>
      </c>
      <c r="H5343" s="18" t="n">
        <v>0</v>
      </c>
      <c r="I5343" s="18" t="n">
        <f aca="false">((I5342 + G5343) - H5343)</f>
        <v>61699.83</v>
      </c>
      <c r="J5343" s="18" t="n">
        <v>0</v>
      </c>
      <c r="K5343" s="19" t="n">
        <v>0</v>
      </c>
      <c r="L5343" s="17" t="s">
        <v>1406</v>
      </c>
    </row>
    <row r="5344" s="11" customFormat="true" ht="10.95" hidden="false" customHeight="true" outlineLevel="0" collapsed="false">
      <c r="A5344" s="16" t="n">
        <v>45397</v>
      </c>
      <c r="B5344" s="17" t="s">
        <v>2779</v>
      </c>
      <c r="C5344" s="17" t="s">
        <v>1593</v>
      </c>
      <c r="D5344" s="17" t="s">
        <v>1407</v>
      </c>
      <c r="E5344" s="17" t="s">
        <v>2844</v>
      </c>
      <c r="F5344" s="17"/>
      <c r="G5344" s="18" t="n">
        <v>15.36</v>
      </c>
      <c r="H5344" s="18" t="n">
        <v>0</v>
      </c>
      <c r="I5344" s="18" t="n">
        <f aca="false">((I5343 + G5344) - H5344)</f>
        <v>61715.19</v>
      </c>
      <c r="J5344" s="18" t="n">
        <v>0</v>
      </c>
      <c r="K5344" s="19" t="n">
        <v>0</v>
      </c>
      <c r="L5344" s="17" t="s">
        <v>1406</v>
      </c>
    </row>
    <row r="5345" s="11" customFormat="true" ht="10.95" hidden="false" customHeight="true" outlineLevel="0" collapsed="false">
      <c r="A5345" s="16" t="n">
        <v>45397</v>
      </c>
      <c r="B5345" s="17" t="s">
        <v>2779</v>
      </c>
      <c r="C5345" s="17" t="s">
        <v>1593</v>
      </c>
      <c r="D5345" s="17" t="s">
        <v>1407</v>
      </c>
      <c r="E5345" s="17" t="s">
        <v>2846</v>
      </c>
      <c r="F5345" s="17"/>
      <c r="G5345" s="18" t="n">
        <v>30.86</v>
      </c>
      <c r="H5345" s="18" t="n">
        <v>0</v>
      </c>
      <c r="I5345" s="18" t="n">
        <f aca="false">((I5344 + G5345) - H5345)</f>
        <v>61746.05</v>
      </c>
      <c r="J5345" s="18" t="n">
        <v>0</v>
      </c>
      <c r="K5345" s="19" t="n">
        <v>0</v>
      </c>
      <c r="L5345" s="17" t="s">
        <v>1406</v>
      </c>
    </row>
    <row r="5346" s="11" customFormat="true" ht="10.95" hidden="false" customHeight="true" outlineLevel="0" collapsed="false">
      <c r="A5346" s="16" t="n">
        <v>45397</v>
      </c>
      <c r="B5346" s="17" t="s">
        <v>2779</v>
      </c>
      <c r="C5346" s="17" t="s">
        <v>1593</v>
      </c>
      <c r="D5346" s="17" t="s">
        <v>1407</v>
      </c>
      <c r="E5346" s="17" t="s">
        <v>2847</v>
      </c>
      <c r="F5346" s="17"/>
      <c r="G5346" s="18" t="n">
        <v>96.07</v>
      </c>
      <c r="H5346" s="18" t="n">
        <v>0</v>
      </c>
      <c r="I5346" s="18" t="n">
        <f aca="false">((I5345 + G5346) - H5346)</f>
        <v>61842.12</v>
      </c>
      <c r="J5346" s="18" t="n">
        <v>0</v>
      </c>
      <c r="K5346" s="19" t="n">
        <v>0</v>
      </c>
      <c r="L5346" s="17" t="s">
        <v>1406</v>
      </c>
    </row>
    <row r="5347" s="11" customFormat="true" ht="10.95" hidden="false" customHeight="true" outlineLevel="0" collapsed="false">
      <c r="A5347" s="16" t="n">
        <v>45397</v>
      </c>
      <c r="B5347" s="17" t="s">
        <v>2779</v>
      </c>
      <c r="C5347" s="17" t="s">
        <v>1593</v>
      </c>
      <c r="D5347" s="17" t="s">
        <v>1407</v>
      </c>
      <c r="E5347" s="17" t="s">
        <v>2848</v>
      </c>
      <c r="F5347" s="17"/>
      <c r="G5347" s="18" t="n">
        <v>36.45</v>
      </c>
      <c r="H5347" s="18" t="n">
        <v>0</v>
      </c>
      <c r="I5347" s="18" t="n">
        <f aca="false">((I5346 + G5347) - H5347)</f>
        <v>61878.57</v>
      </c>
      <c r="J5347" s="18" t="n">
        <v>0</v>
      </c>
      <c r="K5347" s="19" t="n">
        <v>0</v>
      </c>
      <c r="L5347" s="17" t="s">
        <v>1406</v>
      </c>
    </row>
    <row r="5348" s="11" customFormat="true" ht="10.95" hidden="false" customHeight="true" outlineLevel="0" collapsed="false">
      <c r="A5348" s="16" t="n">
        <v>45397</v>
      </c>
      <c r="B5348" s="17" t="s">
        <v>2779</v>
      </c>
      <c r="C5348" s="17" t="s">
        <v>1593</v>
      </c>
      <c r="D5348" s="17" t="s">
        <v>1407</v>
      </c>
      <c r="E5348" s="17" t="s">
        <v>2849</v>
      </c>
      <c r="F5348" s="17"/>
      <c r="G5348" s="18" t="n">
        <v>103.43</v>
      </c>
      <c r="H5348" s="18" t="n">
        <v>0</v>
      </c>
      <c r="I5348" s="18" t="n">
        <f aca="false">((I5347 + G5348) - H5348)</f>
        <v>61982</v>
      </c>
      <c r="J5348" s="18" t="n">
        <v>0</v>
      </c>
      <c r="K5348" s="19" t="n">
        <v>0</v>
      </c>
      <c r="L5348" s="17" t="s">
        <v>1406</v>
      </c>
    </row>
    <row r="5349" s="11" customFormat="true" ht="10.95" hidden="false" customHeight="true" outlineLevel="0" collapsed="false">
      <c r="A5349" s="16" t="n">
        <v>45397</v>
      </c>
      <c r="B5349" s="17" t="s">
        <v>2779</v>
      </c>
      <c r="C5349" s="17" t="s">
        <v>1593</v>
      </c>
      <c r="D5349" s="17" t="s">
        <v>1407</v>
      </c>
      <c r="E5349" s="17" t="s">
        <v>2850</v>
      </c>
      <c r="F5349" s="17"/>
      <c r="G5349" s="18" t="n">
        <v>31.28</v>
      </c>
      <c r="H5349" s="18" t="n">
        <v>0</v>
      </c>
      <c r="I5349" s="18" t="n">
        <f aca="false">((I5348 + G5349) - H5349)</f>
        <v>62013.28</v>
      </c>
      <c r="J5349" s="18" t="n">
        <v>0</v>
      </c>
      <c r="K5349" s="19" t="n">
        <v>0</v>
      </c>
      <c r="L5349" s="17" t="s">
        <v>1406</v>
      </c>
    </row>
    <row r="5350" s="11" customFormat="true" ht="10.95" hidden="false" customHeight="true" outlineLevel="0" collapsed="false">
      <c r="A5350" s="16" t="n">
        <v>45398</v>
      </c>
      <c r="B5350" s="17" t="s">
        <v>2779</v>
      </c>
      <c r="C5350" s="17" t="s">
        <v>1593</v>
      </c>
      <c r="D5350" s="17" t="s">
        <v>1407</v>
      </c>
      <c r="E5350" s="17" t="s">
        <v>2851</v>
      </c>
      <c r="F5350" s="17"/>
      <c r="G5350" s="18" t="n">
        <v>1571.74</v>
      </c>
      <c r="H5350" s="18" t="n">
        <v>0</v>
      </c>
      <c r="I5350" s="18" t="n">
        <f aca="false">((I5349 + G5350) - H5350)</f>
        <v>63585.02</v>
      </c>
      <c r="J5350" s="18" t="n">
        <v>0</v>
      </c>
      <c r="K5350" s="19" t="n">
        <v>0</v>
      </c>
      <c r="L5350" s="17" t="s">
        <v>1406</v>
      </c>
    </row>
    <row r="5351" s="11" customFormat="true" ht="10.95" hidden="false" customHeight="true" outlineLevel="0" collapsed="false">
      <c r="A5351" s="16" t="n">
        <v>45398</v>
      </c>
      <c r="B5351" s="17" t="s">
        <v>2779</v>
      </c>
      <c r="C5351" s="17" t="s">
        <v>1593</v>
      </c>
      <c r="D5351" s="17" t="s">
        <v>1407</v>
      </c>
      <c r="E5351" s="17" t="s">
        <v>2852</v>
      </c>
      <c r="F5351" s="17"/>
      <c r="G5351" s="18" t="n">
        <v>22.08</v>
      </c>
      <c r="H5351" s="18" t="n">
        <v>0</v>
      </c>
      <c r="I5351" s="18" t="n">
        <f aca="false">((I5350 + G5351) - H5351)</f>
        <v>63607.1</v>
      </c>
      <c r="J5351" s="18" t="n">
        <v>0</v>
      </c>
      <c r="K5351" s="19" t="n">
        <v>0</v>
      </c>
      <c r="L5351" s="17" t="s">
        <v>1406</v>
      </c>
    </row>
    <row r="5352" s="11" customFormat="true" ht="10.95" hidden="false" customHeight="true" outlineLevel="0" collapsed="false">
      <c r="A5352" s="16" t="n">
        <v>45399</v>
      </c>
      <c r="B5352" s="17" t="s">
        <v>2779</v>
      </c>
      <c r="C5352" s="17" t="s">
        <v>1593</v>
      </c>
      <c r="D5352" s="17" t="s">
        <v>1407</v>
      </c>
      <c r="E5352" s="17" t="s">
        <v>2853</v>
      </c>
      <c r="F5352" s="17"/>
      <c r="G5352" s="18" t="n">
        <v>23.44</v>
      </c>
      <c r="H5352" s="18" t="n">
        <v>0</v>
      </c>
      <c r="I5352" s="18" t="n">
        <f aca="false">((I5351 + G5352) - H5352)</f>
        <v>63630.54</v>
      </c>
      <c r="J5352" s="18" t="n">
        <v>0</v>
      </c>
      <c r="K5352" s="19" t="n">
        <v>0</v>
      </c>
      <c r="L5352" s="17" t="s">
        <v>1406</v>
      </c>
    </row>
    <row r="5353" s="11" customFormat="true" ht="10.95" hidden="false" customHeight="true" outlineLevel="0" collapsed="false">
      <c r="A5353" s="16" t="n">
        <v>45399</v>
      </c>
      <c r="B5353" s="17" t="s">
        <v>2779</v>
      </c>
      <c r="C5353" s="17" t="s">
        <v>1593</v>
      </c>
      <c r="D5353" s="17" t="s">
        <v>1407</v>
      </c>
      <c r="E5353" s="17" t="s">
        <v>2854</v>
      </c>
      <c r="F5353" s="17"/>
      <c r="G5353" s="18" t="n">
        <v>1522.55</v>
      </c>
      <c r="H5353" s="18" t="n">
        <v>0</v>
      </c>
      <c r="I5353" s="18" t="n">
        <f aca="false">((I5352 + G5353) - H5353)</f>
        <v>65153.09</v>
      </c>
      <c r="J5353" s="18" t="n">
        <v>0</v>
      </c>
      <c r="K5353" s="19" t="n">
        <v>0</v>
      </c>
      <c r="L5353" s="17" t="s">
        <v>1406</v>
      </c>
    </row>
    <row r="5354" s="11" customFormat="true" ht="10.95" hidden="false" customHeight="true" outlineLevel="0" collapsed="false">
      <c r="A5354" s="16" t="n">
        <v>45401</v>
      </c>
      <c r="B5354" s="17" t="s">
        <v>2779</v>
      </c>
      <c r="C5354" s="17" t="s">
        <v>1593</v>
      </c>
      <c r="D5354" s="17" t="s">
        <v>1407</v>
      </c>
      <c r="E5354" s="17" t="s">
        <v>2855</v>
      </c>
      <c r="F5354" s="17"/>
      <c r="G5354" s="18" t="n">
        <v>498.4</v>
      </c>
      <c r="H5354" s="18" t="n">
        <v>0</v>
      </c>
      <c r="I5354" s="18" t="n">
        <f aca="false">((I5353 + G5354) - H5354)</f>
        <v>65651.49</v>
      </c>
      <c r="J5354" s="18" t="n">
        <v>0</v>
      </c>
      <c r="K5354" s="19" t="n">
        <v>0</v>
      </c>
      <c r="L5354" s="17" t="s">
        <v>1406</v>
      </c>
    </row>
    <row r="5355" s="11" customFormat="true" ht="10.95" hidden="false" customHeight="true" outlineLevel="0" collapsed="false">
      <c r="A5355" s="16" t="n">
        <v>45402</v>
      </c>
      <c r="B5355" s="17" t="s">
        <v>2779</v>
      </c>
      <c r="C5355" s="17" t="s">
        <v>1593</v>
      </c>
      <c r="D5355" s="17" t="s">
        <v>1407</v>
      </c>
      <c r="E5355" s="17" t="s">
        <v>2856</v>
      </c>
      <c r="F5355" s="17"/>
      <c r="G5355" s="18" t="n">
        <v>488.03</v>
      </c>
      <c r="H5355" s="18" t="n">
        <v>0</v>
      </c>
      <c r="I5355" s="18" t="n">
        <f aca="false">((I5354 + G5355) - H5355)</f>
        <v>66139.52</v>
      </c>
      <c r="J5355" s="18" t="n">
        <v>0</v>
      </c>
      <c r="K5355" s="19" t="n">
        <v>0</v>
      </c>
      <c r="L5355" s="17" t="s">
        <v>1406</v>
      </c>
    </row>
    <row r="5356" s="11" customFormat="true" ht="10.95" hidden="false" customHeight="true" outlineLevel="0" collapsed="false">
      <c r="A5356" s="16" t="n">
        <v>45402</v>
      </c>
      <c r="B5356" s="17" t="s">
        <v>2779</v>
      </c>
      <c r="C5356" s="17" t="s">
        <v>1593</v>
      </c>
      <c r="D5356" s="17" t="s">
        <v>1407</v>
      </c>
      <c r="E5356" s="17" t="s">
        <v>2857</v>
      </c>
      <c r="F5356" s="17"/>
      <c r="G5356" s="18" t="n">
        <v>454.45</v>
      </c>
      <c r="H5356" s="18" t="n">
        <v>0</v>
      </c>
      <c r="I5356" s="18" t="n">
        <f aca="false">((I5355 + G5356) - H5356)</f>
        <v>66593.97</v>
      </c>
      <c r="J5356" s="18" t="n">
        <v>0</v>
      </c>
      <c r="K5356" s="19" t="n">
        <v>0</v>
      </c>
      <c r="L5356" s="17" t="s">
        <v>1406</v>
      </c>
    </row>
    <row r="5357" s="11" customFormat="true" ht="10.95" hidden="false" customHeight="true" outlineLevel="0" collapsed="false">
      <c r="A5357" s="16" t="n">
        <v>45405</v>
      </c>
      <c r="B5357" s="17" t="s">
        <v>2779</v>
      </c>
      <c r="C5357" s="17" t="s">
        <v>1593</v>
      </c>
      <c r="D5357" s="17" t="s">
        <v>1407</v>
      </c>
      <c r="E5357" s="17" t="s">
        <v>2858</v>
      </c>
      <c r="F5357" s="17"/>
      <c r="G5357" s="18" t="n">
        <v>9.97</v>
      </c>
      <c r="H5357" s="18" t="n">
        <v>0</v>
      </c>
      <c r="I5357" s="18" t="n">
        <f aca="false">((I5356 + G5357) - H5357)</f>
        <v>66603.94</v>
      </c>
      <c r="J5357" s="18" t="n">
        <v>0</v>
      </c>
      <c r="K5357" s="19" t="n">
        <v>0</v>
      </c>
      <c r="L5357" s="17" t="s">
        <v>1406</v>
      </c>
    </row>
    <row r="5358" s="11" customFormat="true" ht="10.95" hidden="false" customHeight="true" outlineLevel="0" collapsed="false">
      <c r="A5358" s="16" t="n">
        <v>45405</v>
      </c>
      <c r="B5358" s="17" t="s">
        <v>2779</v>
      </c>
      <c r="C5358" s="17" t="s">
        <v>1593</v>
      </c>
      <c r="D5358" s="17" t="s">
        <v>1407</v>
      </c>
      <c r="E5358" s="17" t="s">
        <v>2859</v>
      </c>
      <c r="F5358" s="17"/>
      <c r="G5358" s="18" t="n">
        <v>15.45</v>
      </c>
      <c r="H5358" s="18" t="n">
        <v>0</v>
      </c>
      <c r="I5358" s="18" t="n">
        <f aca="false">((I5357 + G5358) - H5358)</f>
        <v>66619.39</v>
      </c>
      <c r="J5358" s="18" t="n">
        <v>0</v>
      </c>
      <c r="K5358" s="19" t="n">
        <v>0</v>
      </c>
      <c r="L5358" s="17" t="s">
        <v>1406</v>
      </c>
    </row>
    <row r="5359" s="11" customFormat="true" ht="10.95" hidden="false" customHeight="true" outlineLevel="0" collapsed="false">
      <c r="A5359" s="16" t="n">
        <v>45406</v>
      </c>
      <c r="B5359" s="17" t="s">
        <v>2779</v>
      </c>
      <c r="C5359" s="17" t="s">
        <v>1593</v>
      </c>
      <c r="D5359" s="17" t="s">
        <v>1407</v>
      </c>
      <c r="E5359" s="17" t="s">
        <v>2860</v>
      </c>
      <c r="F5359" s="17"/>
      <c r="G5359" s="18" t="n">
        <v>1301.5</v>
      </c>
      <c r="H5359" s="18" t="n">
        <v>0</v>
      </c>
      <c r="I5359" s="18" t="n">
        <f aca="false">((I5358 + G5359) - H5359)</f>
        <v>67920.89</v>
      </c>
      <c r="J5359" s="18" t="n">
        <v>0</v>
      </c>
      <c r="K5359" s="19" t="n">
        <v>0</v>
      </c>
      <c r="L5359" s="17" t="s">
        <v>1406</v>
      </c>
    </row>
    <row r="5360" s="11" customFormat="true" ht="10.95" hidden="false" customHeight="true" outlineLevel="0" collapsed="false">
      <c r="A5360" s="16" t="n">
        <v>45407</v>
      </c>
      <c r="B5360" s="17" t="s">
        <v>2779</v>
      </c>
      <c r="C5360" s="17" t="s">
        <v>1593</v>
      </c>
      <c r="D5360" s="17" t="s">
        <v>1407</v>
      </c>
      <c r="E5360" s="17" t="s">
        <v>2780</v>
      </c>
      <c r="F5360" s="17" t="s">
        <v>2781</v>
      </c>
      <c r="G5360" s="18" t="n">
        <v>21.59</v>
      </c>
      <c r="H5360" s="18" t="n">
        <v>0</v>
      </c>
      <c r="I5360" s="18" t="n">
        <f aca="false">((I5359 + G5360) - H5360)</f>
        <v>67942.48</v>
      </c>
      <c r="J5360" s="18" t="n">
        <v>0</v>
      </c>
      <c r="K5360" s="19" t="n">
        <v>0</v>
      </c>
      <c r="L5360" s="17" t="s">
        <v>1406</v>
      </c>
    </row>
    <row r="5361" s="11" customFormat="true" ht="10.95" hidden="false" customHeight="true" outlineLevel="0" collapsed="false">
      <c r="A5361" s="16" t="n">
        <v>45407</v>
      </c>
      <c r="B5361" s="17" t="s">
        <v>2779</v>
      </c>
      <c r="C5361" s="17" t="s">
        <v>1593</v>
      </c>
      <c r="D5361" s="17" t="s">
        <v>1407</v>
      </c>
      <c r="E5361" s="17" t="s">
        <v>2780</v>
      </c>
      <c r="F5361" s="17" t="s">
        <v>2781</v>
      </c>
      <c r="G5361" s="18" t="n">
        <v>32.95</v>
      </c>
      <c r="H5361" s="18" t="n">
        <v>0</v>
      </c>
      <c r="I5361" s="18" t="n">
        <f aca="false">((I5360 + G5361) - H5361)</f>
        <v>67975.43</v>
      </c>
      <c r="J5361" s="18" t="n">
        <v>0</v>
      </c>
      <c r="K5361" s="19" t="n">
        <v>0</v>
      </c>
      <c r="L5361" s="17" t="s">
        <v>1406</v>
      </c>
    </row>
    <row r="5362" s="11" customFormat="true" ht="10.95" hidden="false" customHeight="true" outlineLevel="0" collapsed="false">
      <c r="A5362" s="16" t="n">
        <v>45407</v>
      </c>
      <c r="B5362" s="17" t="s">
        <v>2779</v>
      </c>
      <c r="C5362" s="17" t="s">
        <v>1593</v>
      </c>
      <c r="D5362" s="17" t="s">
        <v>1407</v>
      </c>
      <c r="E5362" s="17" t="s">
        <v>2861</v>
      </c>
      <c r="F5362" s="17"/>
      <c r="G5362" s="18" t="n">
        <v>13.35</v>
      </c>
      <c r="H5362" s="18" t="n">
        <v>0</v>
      </c>
      <c r="I5362" s="18" t="n">
        <f aca="false">((I5361 + G5362) - H5362)</f>
        <v>67988.78</v>
      </c>
      <c r="J5362" s="18" t="n">
        <v>0</v>
      </c>
      <c r="K5362" s="19" t="n">
        <v>0</v>
      </c>
      <c r="L5362" s="17" t="s">
        <v>1406</v>
      </c>
    </row>
    <row r="5363" s="11" customFormat="true" ht="10.95" hidden="false" customHeight="true" outlineLevel="0" collapsed="false">
      <c r="A5363" s="16" t="n">
        <v>45407</v>
      </c>
      <c r="B5363" s="17" t="s">
        <v>2779</v>
      </c>
      <c r="C5363" s="17" t="s">
        <v>1593</v>
      </c>
      <c r="D5363" s="17" t="s">
        <v>1407</v>
      </c>
      <c r="E5363" s="17" t="s">
        <v>2862</v>
      </c>
      <c r="F5363" s="17"/>
      <c r="G5363" s="18" t="n">
        <v>1278.96</v>
      </c>
      <c r="H5363" s="18" t="n">
        <v>0</v>
      </c>
      <c r="I5363" s="18" t="n">
        <f aca="false">((I5362 + G5363) - H5363)</f>
        <v>69267.74</v>
      </c>
      <c r="J5363" s="18" t="n">
        <v>0</v>
      </c>
      <c r="K5363" s="19" t="n">
        <v>0</v>
      </c>
      <c r="L5363" s="17" t="s">
        <v>1406</v>
      </c>
    </row>
    <row r="5364" s="11" customFormat="true" ht="10.95" hidden="false" customHeight="true" outlineLevel="0" collapsed="false">
      <c r="A5364" s="16" t="n">
        <v>45408</v>
      </c>
      <c r="B5364" s="17" t="s">
        <v>2779</v>
      </c>
      <c r="C5364" s="17" t="s">
        <v>1593</v>
      </c>
      <c r="D5364" s="17" t="s">
        <v>1407</v>
      </c>
      <c r="E5364" s="17" t="s">
        <v>2766</v>
      </c>
      <c r="F5364" s="17"/>
      <c r="G5364" s="18" t="n">
        <v>192.87</v>
      </c>
      <c r="H5364" s="18" t="n">
        <v>0</v>
      </c>
      <c r="I5364" s="18" t="n">
        <f aca="false">((I5363 + G5364) - H5364)</f>
        <v>69460.61</v>
      </c>
      <c r="J5364" s="18" t="n">
        <v>0</v>
      </c>
      <c r="K5364" s="19" t="n">
        <v>0</v>
      </c>
      <c r="L5364" s="17" t="s">
        <v>1406</v>
      </c>
    </row>
    <row r="5365" s="11" customFormat="true" ht="10.95" hidden="false" customHeight="true" outlineLevel="0" collapsed="false">
      <c r="A5365" s="16" t="n">
        <v>45409</v>
      </c>
      <c r="B5365" s="17" t="s">
        <v>2779</v>
      </c>
      <c r="C5365" s="17" t="s">
        <v>1593</v>
      </c>
      <c r="D5365" s="17" t="s">
        <v>1407</v>
      </c>
      <c r="E5365" s="17" t="s">
        <v>2780</v>
      </c>
      <c r="F5365" s="17" t="s">
        <v>2781</v>
      </c>
      <c r="G5365" s="18" t="n">
        <v>23.18</v>
      </c>
      <c r="H5365" s="18" t="n">
        <v>0</v>
      </c>
      <c r="I5365" s="18" t="n">
        <f aca="false">((I5364 + G5365) - H5365)</f>
        <v>69483.79</v>
      </c>
      <c r="J5365" s="18" t="n">
        <v>0</v>
      </c>
      <c r="K5365" s="19" t="n">
        <v>0</v>
      </c>
      <c r="L5365" s="17" t="s">
        <v>1406</v>
      </c>
    </row>
    <row r="5366" s="11" customFormat="true" ht="10.95" hidden="false" customHeight="true" outlineLevel="0" collapsed="false">
      <c r="A5366" s="16" t="n">
        <v>45409</v>
      </c>
      <c r="B5366" s="17" t="s">
        <v>2779</v>
      </c>
      <c r="C5366" s="17" t="s">
        <v>1593</v>
      </c>
      <c r="D5366" s="17" t="s">
        <v>1407</v>
      </c>
      <c r="E5366" s="17" t="s">
        <v>2780</v>
      </c>
      <c r="F5366" s="17" t="s">
        <v>2781</v>
      </c>
      <c r="G5366" s="18" t="n">
        <v>26.22</v>
      </c>
      <c r="H5366" s="18" t="n">
        <v>0</v>
      </c>
      <c r="I5366" s="18" t="n">
        <f aca="false">((I5365 + G5366) - H5366)</f>
        <v>69510.01</v>
      </c>
      <c r="J5366" s="18" t="n">
        <v>0</v>
      </c>
      <c r="K5366" s="19" t="n">
        <v>0</v>
      </c>
      <c r="L5366" s="17" t="s">
        <v>1406</v>
      </c>
    </row>
    <row r="5367" s="11" customFormat="true" ht="10.95" hidden="false" customHeight="true" outlineLevel="0" collapsed="false">
      <c r="A5367" s="16" t="n">
        <v>45409</v>
      </c>
      <c r="B5367" s="17" t="s">
        <v>2779</v>
      </c>
      <c r="C5367" s="17" t="s">
        <v>1593</v>
      </c>
      <c r="D5367" s="17" t="s">
        <v>1407</v>
      </c>
      <c r="E5367" s="17" t="s">
        <v>2780</v>
      </c>
      <c r="F5367" s="17" t="s">
        <v>2781</v>
      </c>
      <c r="G5367" s="18" t="n">
        <v>26.5</v>
      </c>
      <c r="H5367" s="18" t="n">
        <v>0</v>
      </c>
      <c r="I5367" s="18" t="n">
        <f aca="false">((I5366 + G5367) - H5367)</f>
        <v>69536.51</v>
      </c>
      <c r="J5367" s="18" t="n">
        <v>0</v>
      </c>
      <c r="K5367" s="19" t="n">
        <v>0</v>
      </c>
      <c r="L5367" s="17" t="s">
        <v>1406</v>
      </c>
    </row>
    <row r="5368" s="11" customFormat="true" ht="10.95" hidden="false" customHeight="true" outlineLevel="0" collapsed="false">
      <c r="A5368" s="16" t="n">
        <v>45409</v>
      </c>
      <c r="B5368" s="17" t="s">
        <v>2779</v>
      </c>
      <c r="C5368" s="17" t="s">
        <v>1593</v>
      </c>
      <c r="D5368" s="17" t="s">
        <v>1407</v>
      </c>
      <c r="E5368" s="17" t="s">
        <v>2780</v>
      </c>
      <c r="F5368" s="17" t="s">
        <v>2781</v>
      </c>
      <c r="G5368" s="18" t="n">
        <v>32.32</v>
      </c>
      <c r="H5368" s="18" t="n">
        <v>0</v>
      </c>
      <c r="I5368" s="18" t="n">
        <f aca="false">((I5367 + G5368) - H5368)</f>
        <v>69568.83</v>
      </c>
      <c r="J5368" s="18" t="n">
        <v>0</v>
      </c>
      <c r="K5368" s="19" t="n">
        <v>0</v>
      </c>
      <c r="L5368" s="17" t="s">
        <v>1406</v>
      </c>
    </row>
    <row r="5369" s="11" customFormat="true" ht="10.95" hidden="false" customHeight="true" outlineLevel="0" collapsed="false">
      <c r="A5369" s="16" t="n">
        <v>45409</v>
      </c>
      <c r="B5369" s="17" t="s">
        <v>2779</v>
      </c>
      <c r="C5369" s="17" t="s">
        <v>1593</v>
      </c>
      <c r="D5369" s="17" t="s">
        <v>1407</v>
      </c>
      <c r="E5369" s="17" t="s">
        <v>2863</v>
      </c>
      <c r="F5369" s="17"/>
      <c r="G5369" s="18" t="n">
        <v>124.31</v>
      </c>
      <c r="H5369" s="18" t="n">
        <v>0</v>
      </c>
      <c r="I5369" s="18" t="n">
        <f aca="false">((I5368 + G5369) - H5369)</f>
        <v>69693.14</v>
      </c>
      <c r="J5369" s="18" t="n">
        <v>0</v>
      </c>
      <c r="K5369" s="19" t="n">
        <v>0</v>
      </c>
      <c r="L5369" s="17" t="s">
        <v>1406</v>
      </c>
    </row>
    <row r="5370" s="11" customFormat="true" ht="10.95" hidden="false" customHeight="true" outlineLevel="0" collapsed="false">
      <c r="A5370" s="16" t="n">
        <v>45411</v>
      </c>
      <c r="B5370" s="17" t="s">
        <v>2779</v>
      </c>
      <c r="C5370" s="17" t="s">
        <v>1593</v>
      </c>
      <c r="D5370" s="17" t="s">
        <v>1407</v>
      </c>
      <c r="E5370" s="17" t="s">
        <v>2864</v>
      </c>
      <c r="F5370" s="17"/>
      <c r="G5370" s="18" t="n">
        <v>602.86</v>
      </c>
      <c r="H5370" s="18" t="n">
        <v>0</v>
      </c>
      <c r="I5370" s="18" t="n">
        <f aca="false">((I5369 + G5370) - H5370)</f>
        <v>70296</v>
      </c>
      <c r="J5370" s="18" t="n">
        <v>0</v>
      </c>
      <c r="K5370" s="19" t="n">
        <v>0</v>
      </c>
      <c r="L5370" s="17" t="s">
        <v>1406</v>
      </c>
    </row>
    <row r="5371" s="11" customFormat="true" ht="10.95" hidden="false" customHeight="true" outlineLevel="0" collapsed="false">
      <c r="A5371" s="16" t="n">
        <v>45411</v>
      </c>
      <c r="B5371" s="17" t="s">
        <v>2779</v>
      </c>
      <c r="C5371" s="17" t="s">
        <v>1593</v>
      </c>
      <c r="D5371" s="17" t="s">
        <v>1407</v>
      </c>
      <c r="E5371" s="17" t="s">
        <v>2865</v>
      </c>
      <c r="F5371" s="17"/>
      <c r="G5371" s="18" t="n">
        <v>494.5</v>
      </c>
      <c r="H5371" s="18" t="n">
        <v>0</v>
      </c>
      <c r="I5371" s="18" t="n">
        <f aca="false">((I5370 + G5371) - H5371)</f>
        <v>70790.5</v>
      </c>
      <c r="J5371" s="18" t="n">
        <v>0</v>
      </c>
      <c r="K5371" s="19" t="n">
        <v>0</v>
      </c>
      <c r="L5371" s="17" t="s">
        <v>1406</v>
      </c>
    </row>
    <row r="5372" s="11" customFormat="true" ht="10.95" hidden="false" customHeight="true" outlineLevel="0" collapsed="false">
      <c r="A5372" s="16" t="n">
        <v>45412</v>
      </c>
      <c r="B5372" s="17" t="s">
        <v>2779</v>
      </c>
      <c r="C5372" s="17" t="s">
        <v>1593</v>
      </c>
      <c r="D5372" s="17" t="s">
        <v>1407</v>
      </c>
      <c r="E5372" s="17" t="s">
        <v>2866</v>
      </c>
      <c r="F5372" s="17"/>
      <c r="G5372" s="18" t="n">
        <v>6.76</v>
      </c>
      <c r="H5372" s="18" t="n">
        <v>0</v>
      </c>
      <c r="I5372" s="18" t="n">
        <f aca="false">((I5371 + G5372) - H5372)</f>
        <v>70797.26</v>
      </c>
      <c r="J5372" s="18" t="n">
        <v>0</v>
      </c>
      <c r="K5372" s="19" t="n">
        <v>0</v>
      </c>
      <c r="L5372" s="17" t="s">
        <v>1406</v>
      </c>
    </row>
    <row r="5373" s="11" customFormat="true" ht="10.95" hidden="false" customHeight="true" outlineLevel="0" collapsed="false">
      <c r="A5373" s="16" t="n">
        <v>45412</v>
      </c>
      <c r="B5373" s="17" t="s">
        <v>2779</v>
      </c>
      <c r="C5373" s="17" t="s">
        <v>1593</v>
      </c>
      <c r="D5373" s="17" t="s">
        <v>1407</v>
      </c>
      <c r="E5373" s="17" t="s">
        <v>2780</v>
      </c>
      <c r="F5373" s="17" t="s">
        <v>2781</v>
      </c>
      <c r="G5373" s="18" t="n">
        <v>15.29</v>
      </c>
      <c r="H5373" s="18" t="n">
        <v>0</v>
      </c>
      <c r="I5373" s="18" t="n">
        <f aca="false">((I5372 + G5373) - H5373)</f>
        <v>70812.55</v>
      </c>
      <c r="J5373" s="18" t="n">
        <v>0</v>
      </c>
      <c r="K5373" s="19" t="n">
        <v>0</v>
      </c>
      <c r="L5373" s="17" t="s">
        <v>1406</v>
      </c>
    </row>
    <row r="5374" s="11" customFormat="true" ht="10.95" hidden="false" customHeight="true" outlineLevel="0" collapsed="false">
      <c r="A5374" s="16" t="n">
        <v>45412</v>
      </c>
      <c r="B5374" s="17" t="s">
        <v>2779</v>
      </c>
      <c r="C5374" s="17" t="s">
        <v>1593</v>
      </c>
      <c r="D5374" s="17" t="s">
        <v>1407</v>
      </c>
      <c r="E5374" s="17" t="s">
        <v>2780</v>
      </c>
      <c r="F5374" s="17" t="s">
        <v>2781</v>
      </c>
      <c r="G5374" s="18" t="n">
        <v>20.63</v>
      </c>
      <c r="H5374" s="18" t="n">
        <v>0</v>
      </c>
      <c r="I5374" s="18" t="n">
        <f aca="false">((I5373 + G5374) - H5374)</f>
        <v>70833.18</v>
      </c>
      <c r="J5374" s="18" t="n">
        <v>0</v>
      </c>
      <c r="K5374" s="19" t="n">
        <v>0</v>
      </c>
      <c r="L5374" s="17" t="s">
        <v>1406</v>
      </c>
    </row>
    <row r="5375" s="11" customFormat="true" ht="10.95" hidden="false" customHeight="true" outlineLevel="0" collapsed="false">
      <c r="A5375" s="16" t="n">
        <v>45412</v>
      </c>
      <c r="B5375" s="17" t="s">
        <v>2779</v>
      </c>
      <c r="C5375" s="17" t="s">
        <v>1593</v>
      </c>
      <c r="D5375" s="17" t="s">
        <v>1407</v>
      </c>
      <c r="E5375" s="17" t="s">
        <v>2780</v>
      </c>
      <c r="F5375" s="17" t="s">
        <v>2781</v>
      </c>
      <c r="G5375" s="18" t="n">
        <v>21.04</v>
      </c>
      <c r="H5375" s="18" t="n">
        <v>0</v>
      </c>
      <c r="I5375" s="18" t="n">
        <f aca="false">((I5374 + G5375) - H5375)</f>
        <v>70854.22</v>
      </c>
      <c r="J5375" s="18" t="n">
        <v>0</v>
      </c>
      <c r="K5375" s="19" t="n">
        <v>0</v>
      </c>
      <c r="L5375" s="17" t="s">
        <v>1406</v>
      </c>
    </row>
    <row r="5376" s="11" customFormat="true" ht="10.95" hidden="false" customHeight="true" outlineLevel="0" collapsed="false">
      <c r="A5376" s="16" t="n">
        <v>45412</v>
      </c>
      <c r="B5376" s="17" t="s">
        <v>2779</v>
      </c>
      <c r="C5376" s="17" t="s">
        <v>1593</v>
      </c>
      <c r="D5376" s="17" t="s">
        <v>1407</v>
      </c>
      <c r="E5376" s="17" t="s">
        <v>2780</v>
      </c>
      <c r="F5376" s="17" t="s">
        <v>2781</v>
      </c>
      <c r="G5376" s="18" t="n">
        <v>24.52</v>
      </c>
      <c r="H5376" s="18" t="n">
        <v>0</v>
      </c>
      <c r="I5376" s="18" t="n">
        <f aca="false">((I5375 + G5376) - H5376)</f>
        <v>70878.74</v>
      </c>
      <c r="J5376" s="18" t="n">
        <v>0</v>
      </c>
      <c r="K5376" s="19" t="n">
        <v>0</v>
      </c>
      <c r="L5376" s="17" t="s">
        <v>1406</v>
      </c>
    </row>
    <row r="5377" s="11" customFormat="true" ht="10.95" hidden="false" customHeight="true" outlineLevel="0" collapsed="false">
      <c r="A5377" s="16" t="n">
        <v>45412</v>
      </c>
      <c r="B5377" s="17" t="s">
        <v>2779</v>
      </c>
      <c r="C5377" s="17" t="s">
        <v>1593</v>
      </c>
      <c r="D5377" s="17" t="s">
        <v>1407</v>
      </c>
      <c r="E5377" s="17" t="s">
        <v>2780</v>
      </c>
      <c r="F5377" s="17" t="s">
        <v>2781</v>
      </c>
      <c r="G5377" s="18" t="n">
        <v>33.43</v>
      </c>
      <c r="H5377" s="18" t="n">
        <v>0</v>
      </c>
      <c r="I5377" s="18" t="n">
        <f aca="false">((I5376 + G5377) - H5377)</f>
        <v>70912.17</v>
      </c>
      <c r="J5377" s="18" t="n">
        <v>0</v>
      </c>
      <c r="K5377" s="19" t="n">
        <v>0</v>
      </c>
      <c r="L5377" s="17" t="s">
        <v>1406</v>
      </c>
    </row>
    <row r="5378" s="11" customFormat="true" ht="10.95" hidden="false" customHeight="true" outlineLevel="0" collapsed="false">
      <c r="A5378" s="16" t="n">
        <v>45412</v>
      </c>
      <c r="B5378" s="17" t="s">
        <v>2779</v>
      </c>
      <c r="C5378" s="17" t="s">
        <v>1593</v>
      </c>
      <c r="D5378" s="17" t="s">
        <v>1407</v>
      </c>
      <c r="E5378" s="17" t="s">
        <v>2863</v>
      </c>
      <c r="F5378" s="17"/>
      <c r="G5378" s="18" t="n">
        <v>49.35</v>
      </c>
      <c r="H5378" s="18" t="n">
        <v>0</v>
      </c>
      <c r="I5378" s="18" t="n">
        <f aca="false">((I5377 + G5378) - H5378)</f>
        <v>70961.52</v>
      </c>
      <c r="J5378" s="18" t="n">
        <v>0</v>
      </c>
      <c r="K5378" s="19" t="n">
        <v>0</v>
      </c>
      <c r="L5378" s="17" t="s">
        <v>1406</v>
      </c>
    </row>
    <row r="5379" s="11" customFormat="true" ht="10.95" hidden="false" customHeight="true" outlineLevel="0" collapsed="false">
      <c r="A5379" s="16" t="n">
        <v>45412</v>
      </c>
      <c r="B5379" s="17" t="s">
        <v>2779</v>
      </c>
      <c r="C5379" s="17" t="s">
        <v>1593</v>
      </c>
      <c r="D5379" s="17" t="s">
        <v>1407</v>
      </c>
      <c r="E5379" s="17" t="s">
        <v>2867</v>
      </c>
      <c r="F5379" s="17"/>
      <c r="G5379" s="18" t="n">
        <v>284.96</v>
      </c>
      <c r="H5379" s="18" t="n">
        <v>0</v>
      </c>
      <c r="I5379" s="18" t="n">
        <f aca="false">((I5378 + G5379) - H5379)</f>
        <v>71246.48</v>
      </c>
      <c r="J5379" s="18" t="n">
        <v>0</v>
      </c>
      <c r="K5379" s="19" t="n">
        <v>0</v>
      </c>
      <c r="L5379" s="17" t="s">
        <v>1406</v>
      </c>
    </row>
    <row r="5380" s="11" customFormat="true" ht="10.95" hidden="false" customHeight="true" outlineLevel="0" collapsed="false">
      <c r="A5380" s="16" t="n">
        <v>45412</v>
      </c>
      <c r="B5380" s="17" t="s">
        <v>2779</v>
      </c>
      <c r="C5380" s="17" t="s">
        <v>1593</v>
      </c>
      <c r="D5380" s="17" t="s">
        <v>1407</v>
      </c>
      <c r="E5380" s="17" t="s">
        <v>2868</v>
      </c>
      <c r="F5380" s="17"/>
      <c r="G5380" s="18" t="n">
        <v>1551.22</v>
      </c>
      <c r="H5380" s="18" t="n">
        <v>0</v>
      </c>
      <c r="I5380" s="18" t="n">
        <f aca="false">((I5379 + G5380) - H5380)</f>
        <v>72797.7</v>
      </c>
      <c r="J5380" s="18" t="n">
        <v>0</v>
      </c>
      <c r="K5380" s="19" t="n">
        <v>0</v>
      </c>
      <c r="L5380" s="17" t="s">
        <v>1406</v>
      </c>
    </row>
    <row r="5381" s="11" customFormat="true" ht="10.95" hidden="false" customHeight="true" outlineLevel="0" collapsed="false">
      <c r="A5381" s="16" t="n">
        <v>45414</v>
      </c>
      <c r="B5381" s="17" t="s">
        <v>2779</v>
      </c>
      <c r="C5381" s="17" t="s">
        <v>1593</v>
      </c>
      <c r="D5381" s="17" t="s">
        <v>1407</v>
      </c>
      <c r="E5381" s="17" t="s">
        <v>2869</v>
      </c>
      <c r="F5381" s="17"/>
      <c r="G5381" s="18" t="n">
        <v>4047.42</v>
      </c>
      <c r="H5381" s="18" t="n">
        <v>0</v>
      </c>
      <c r="I5381" s="18" t="n">
        <f aca="false">((I5380 + G5381) - H5381)</f>
        <v>76845.12</v>
      </c>
      <c r="J5381" s="18" t="n">
        <v>0</v>
      </c>
      <c r="K5381" s="19" t="n">
        <v>0</v>
      </c>
      <c r="L5381" s="17" t="s">
        <v>1406</v>
      </c>
    </row>
    <row r="5382" s="11" customFormat="true" ht="10.95" hidden="false" customHeight="true" outlineLevel="0" collapsed="false">
      <c r="A5382" s="16" t="n">
        <v>45419</v>
      </c>
      <c r="B5382" s="17" t="s">
        <v>2779</v>
      </c>
      <c r="C5382" s="17" t="s">
        <v>1593</v>
      </c>
      <c r="D5382" s="17" t="s">
        <v>1407</v>
      </c>
      <c r="E5382" s="17" t="s">
        <v>2780</v>
      </c>
      <c r="F5382" s="17" t="s">
        <v>2781</v>
      </c>
      <c r="G5382" s="18" t="n">
        <v>18.89</v>
      </c>
      <c r="H5382" s="18" t="n">
        <v>0</v>
      </c>
      <c r="I5382" s="18" t="n">
        <f aca="false">((I5381 + G5382) - H5382)</f>
        <v>76864.01</v>
      </c>
      <c r="J5382" s="18" t="n">
        <v>0</v>
      </c>
      <c r="K5382" s="19" t="n">
        <v>0</v>
      </c>
      <c r="L5382" s="17" t="s">
        <v>1406</v>
      </c>
    </row>
    <row r="5383" s="11" customFormat="true" ht="10.95" hidden="false" customHeight="true" outlineLevel="0" collapsed="false">
      <c r="A5383" s="16" t="n">
        <v>45419</v>
      </c>
      <c r="B5383" s="17" t="s">
        <v>2779</v>
      </c>
      <c r="C5383" s="17" t="s">
        <v>1593</v>
      </c>
      <c r="D5383" s="17" t="s">
        <v>1407</v>
      </c>
      <c r="E5383" s="17" t="s">
        <v>2870</v>
      </c>
      <c r="F5383" s="17"/>
      <c r="G5383" s="18" t="n">
        <v>518</v>
      </c>
      <c r="H5383" s="18" t="n">
        <v>0</v>
      </c>
      <c r="I5383" s="18" t="n">
        <f aca="false">((I5382 + G5383) - H5383)</f>
        <v>77382.01</v>
      </c>
      <c r="J5383" s="18" t="n">
        <v>0</v>
      </c>
      <c r="K5383" s="19" t="n">
        <v>0</v>
      </c>
      <c r="L5383" s="17" t="s">
        <v>1406</v>
      </c>
    </row>
    <row r="5384" s="11" customFormat="true" ht="10.95" hidden="false" customHeight="true" outlineLevel="0" collapsed="false">
      <c r="A5384" s="16" t="n">
        <v>45426</v>
      </c>
      <c r="B5384" s="17" t="s">
        <v>2779</v>
      </c>
      <c r="C5384" s="17" t="s">
        <v>1593</v>
      </c>
      <c r="D5384" s="17" t="s">
        <v>1407</v>
      </c>
      <c r="E5384" s="17" t="s">
        <v>2780</v>
      </c>
      <c r="F5384" s="17" t="s">
        <v>2781</v>
      </c>
      <c r="G5384" s="18" t="n">
        <v>10.18</v>
      </c>
      <c r="H5384" s="18" t="n">
        <v>0</v>
      </c>
      <c r="I5384" s="18" t="n">
        <f aca="false">((I5383 + G5384) - H5384)</f>
        <v>77392.19</v>
      </c>
      <c r="J5384" s="18" t="n">
        <v>0</v>
      </c>
      <c r="K5384" s="19" t="n">
        <v>0</v>
      </c>
      <c r="L5384" s="17" t="s">
        <v>1406</v>
      </c>
    </row>
    <row r="5385" s="11" customFormat="true" ht="10.95" hidden="false" customHeight="true" outlineLevel="0" collapsed="false">
      <c r="A5385" s="16" t="n">
        <v>45426</v>
      </c>
      <c r="B5385" s="17" t="s">
        <v>2779</v>
      </c>
      <c r="C5385" s="17" t="s">
        <v>1593</v>
      </c>
      <c r="D5385" s="17" t="s">
        <v>1407</v>
      </c>
      <c r="E5385" s="17" t="s">
        <v>2871</v>
      </c>
      <c r="F5385" s="17"/>
      <c r="G5385" s="18" t="n">
        <v>2.95</v>
      </c>
      <c r="H5385" s="18" t="n">
        <v>0</v>
      </c>
      <c r="I5385" s="18" t="n">
        <f aca="false">((I5384 + G5385) - H5385)</f>
        <v>77395.14</v>
      </c>
      <c r="J5385" s="18" t="n">
        <v>0</v>
      </c>
      <c r="K5385" s="19" t="n">
        <v>0</v>
      </c>
      <c r="L5385" s="17" t="s">
        <v>1406</v>
      </c>
    </row>
    <row r="5386" s="11" customFormat="true" ht="10.95" hidden="false" customHeight="true" outlineLevel="0" collapsed="false">
      <c r="A5386" s="16" t="n">
        <v>45448</v>
      </c>
      <c r="B5386" s="17" t="s">
        <v>2779</v>
      </c>
      <c r="C5386" s="17" t="s">
        <v>1593</v>
      </c>
      <c r="D5386" s="17" t="s">
        <v>1407</v>
      </c>
      <c r="E5386" s="17" t="s">
        <v>2780</v>
      </c>
      <c r="F5386" s="17" t="s">
        <v>2781</v>
      </c>
      <c r="G5386" s="18" t="n">
        <v>1.02</v>
      </c>
      <c r="H5386" s="18" t="n">
        <v>0</v>
      </c>
      <c r="I5386" s="18" t="n">
        <f aca="false">((I5385 + G5386) - H5386)</f>
        <v>77396.16</v>
      </c>
      <c r="J5386" s="18" t="n">
        <v>0</v>
      </c>
      <c r="K5386" s="19" t="n">
        <v>0</v>
      </c>
      <c r="L5386" s="17" t="s">
        <v>1406</v>
      </c>
    </row>
    <row r="5387" s="11" customFormat="true" ht="10.95" hidden="false" customHeight="true" outlineLevel="0" collapsed="false">
      <c r="A5387" s="16" t="n">
        <v>45454</v>
      </c>
      <c r="B5387" s="17" t="s">
        <v>2779</v>
      </c>
      <c r="C5387" s="17" t="s">
        <v>1593</v>
      </c>
      <c r="D5387" s="17" t="s">
        <v>1407</v>
      </c>
      <c r="E5387" s="17" t="s">
        <v>2872</v>
      </c>
      <c r="F5387" s="17"/>
      <c r="G5387" s="18" t="n">
        <v>1000</v>
      </c>
      <c r="H5387" s="18" t="n">
        <v>0</v>
      </c>
      <c r="I5387" s="18" t="n">
        <f aca="false">((I5386 + G5387) - H5387)</f>
        <v>78396.16</v>
      </c>
      <c r="J5387" s="18" t="n">
        <v>0</v>
      </c>
      <c r="K5387" s="19" t="n">
        <v>0</v>
      </c>
      <c r="L5387" s="17" t="s">
        <v>1406</v>
      </c>
    </row>
    <row r="5388" s="11" customFormat="true" ht="10.95" hidden="false" customHeight="true" outlineLevel="0" collapsed="false">
      <c r="A5388" s="16" t="n">
        <v>45456</v>
      </c>
      <c r="B5388" s="17" t="s">
        <v>2779</v>
      </c>
      <c r="C5388" s="17" t="s">
        <v>1593</v>
      </c>
      <c r="D5388" s="17" t="s">
        <v>1407</v>
      </c>
      <c r="E5388" s="17" t="s">
        <v>2873</v>
      </c>
      <c r="F5388" s="17"/>
      <c r="G5388" s="18" t="n">
        <v>476.6</v>
      </c>
      <c r="H5388" s="18" t="n">
        <v>0</v>
      </c>
      <c r="I5388" s="18" t="n">
        <f aca="false">((I5387 + G5388) - H5388)</f>
        <v>78872.76</v>
      </c>
      <c r="J5388" s="18" t="n">
        <v>0</v>
      </c>
      <c r="K5388" s="19" t="n">
        <v>0</v>
      </c>
      <c r="L5388" s="17" t="s">
        <v>1406</v>
      </c>
    </row>
    <row r="5389" s="11" customFormat="true" ht="10.95" hidden="false" customHeight="true" outlineLevel="0" collapsed="false">
      <c r="A5389" s="16" t="n">
        <v>45456</v>
      </c>
      <c r="B5389" s="17" t="s">
        <v>2779</v>
      </c>
      <c r="C5389" s="17" t="s">
        <v>1593</v>
      </c>
      <c r="D5389" s="17" t="s">
        <v>1407</v>
      </c>
      <c r="E5389" s="17" t="s">
        <v>2873</v>
      </c>
      <c r="F5389" s="17"/>
      <c r="G5389" s="18" t="n">
        <v>16.92</v>
      </c>
      <c r="H5389" s="18" t="n">
        <v>0</v>
      </c>
      <c r="I5389" s="18" t="n">
        <f aca="false">((I5388 + G5389) - H5389)</f>
        <v>78889.68</v>
      </c>
      <c r="J5389" s="18" t="n">
        <v>0</v>
      </c>
      <c r="K5389" s="19" t="n">
        <v>0</v>
      </c>
      <c r="L5389" s="17" t="s">
        <v>1406</v>
      </c>
    </row>
    <row r="5390" s="11" customFormat="true" ht="10.95" hidden="false" customHeight="true" outlineLevel="0" collapsed="false">
      <c r="A5390" s="16" t="n">
        <v>45457</v>
      </c>
      <c r="B5390" s="17" t="s">
        <v>2779</v>
      </c>
      <c r="C5390" s="17" t="s">
        <v>1593</v>
      </c>
      <c r="D5390" s="17" t="s">
        <v>1407</v>
      </c>
      <c r="E5390" s="17" t="s">
        <v>2871</v>
      </c>
      <c r="F5390" s="17"/>
      <c r="G5390" s="18" t="n">
        <v>2.95</v>
      </c>
      <c r="H5390" s="18" t="n">
        <v>0</v>
      </c>
      <c r="I5390" s="18" t="n">
        <f aca="false">((I5389 + G5390) - H5390)</f>
        <v>78892.63</v>
      </c>
      <c r="J5390" s="18" t="n">
        <v>0</v>
      </c>
      <c r="K5390" s="19" t="n">
        <v>0</v>
      </c>
      <c r="L5390" s="17" t="s">
        <v>1406</v>
      </c>
    </row>
    <row r="5391" s="11" customFormat="true" ht="10.95" hidden="false" customHeight="true" outlineLevel="0" collapsed="false">
      <c r="A5391" s="16" t="n">
        <v>45458</v>
      </c>
      <c r="B5391" s="17" t="s">
        <v>2779</v>
      </c>
      <c r="C5391" s="17" t="s">
        <v>1593</v>
      </c>
      <c r="D5391" s="17" t="s">
        <v>1407</v>
      </c>
      <c r="E5391" s="17" t="s">
        <v>2874</v>
      </c>
      <c r="F5391" s="17"/>
      <c r="G5391" s="18" t="n">
        <v>24.19</v>
      </c>
      <c r="H5391" s="18" t="n">
        <v>0</v>
      </c>
      <c r="I5391" s="18" t="n">
        <f aca="false">((I5390 + G5391) - H5391)</f>
        <v>78916.82</v>
      </c>
      <c r="J5391" s="18" t="n">
        <v>0</v>
      </c>
      <c r="K5391" s="19" t="n">
        <v>0</v>
      </c>
      <c r="L5391" s="17" t="s">
        <v>1406</v>
      </c>
    </row>
    <row r="5392" s="11" customFormat="true" ht="10.95" hidden="false" customHeight="true" outlineLevel="0" collapsed="false">
      <c r="A5392" s="16" t="n">
        <v>45458</v>
      </c>
      <c r="B5392" s="17" t="s">
        <v>2779</v>
      </c>
      <c r="C5392" s="17" t="s">
        <v>1593</v>
      </c>
      <c r="D5392" s="17" t="s">
        <v>1407</v>
      </c>
      <c r="E5392" s="17" t="s">
        <v>2875</v>
      </c>
      <c r="F5392" s="17"/>
      <c r="G5392" s="18" t="n">
        <v>51.03</v>
      </c>
      <c r="H5392" s="18" t="n">
        <v>0</v>
      </c>
      <c r="I5392" s="18" t="n">
        <f aca="false">((I5391 + G5392) - H5392)</f>
        <v>78967.85</v>
      </c>
      <c r="J5392" s="18" t="n">
        <v>0</v>
      </c>
      <c r="K5392" s="19" t="n">
        <v>0</v>
      </c>
      <c r="L5392" s="17" t="s">
        <v>1406</v>
      </c>
    </row>
    <row r="5393" s="11" customFormat="true" ht="10.95" hidden="false" customHeight="true" outlineLevel="0" collapsed="false">
      <c r="A5393" s="16" t="n">
        <v>45459</v>
      </c>
      <c r="B5393" s="17" t="s">
        <v>2779</v>
      </c>
      <c r="C5393" s="17" t="s">
        <v>1593</v>
      </c>
      <c r="D5393" s="17" t="s">
        <v>1407</v>
      </c>
      <c r="E5393" s="17" t="s">
        <v>2876</v>
      </c>
      <c r="F5393" s="17"/>
      <c r="G5393" s="18" t="n">
        <v>521.67</v>
      </c>
      <c r="H5393" s="18" t="n">
        <v>0</v>
      </c>
      <c r="I5393" s="18" t="n">
        <f aca="false">((I5392 + G5393) - H5393)</f>
        <v>79489.52</v>
      </c>
      <c r="J5393" s="18" t="n">
        <v>0</v>
      </c>
      <c r="K5393" s="19" t="n">
        <v>0</v>
      </c>
      <c r="L5393" s="17" t="s">
        <v>1406</v>
      </c>
    </row>
    <row r="5394" s="11" customFormat="true" ht="10.95" hidden="false" customHeight="true" outlineLevel="0" collapsed="false">
      <c r="A5394" s="16" t="n">
        <v>45460</v>
      </c>
      <c r="B5394" s="17" t="s">
        <v>2779</v>
      </c>
      <c r="C5394" s="17" t="s">
        <v>1593</v>
      </c>
      <c r="D5394" s="17" t="s">
        <v>1407</v>
      </c>
      <c r="E5394" s="17" t="s">
        <v>2877</v>
      </c>
      <c r="F5394" s="17"/>
      <c r="G5394" s="18" t="n">
        <v>571.09</v>
      </c>
      <c r="H5394" s="18" t="n">
        <v>0</v>
      </c>
      <c r="I5394" s="18" t="n">
        <f aca="false">((I5393 + G5394) - H5394)</f>
        <v>80060.61</v>
      </c>
      <c r="J5394" s="18" t="n">
        <v>0</v>
      </c>
      <c r="K5394" s="19" t="n">
        <v>0</v>
      </c>
      <c r="L5394" s="17" t="s">
        <v>1406</v>
      </c>
    </row>
    <row r="5395" s="11" customFormat="true" ht="10.95" hidden="false" customHeight="true" outlineLevel="0" collapsed="false">
      <c r="A5395" s="16" t="n">
        <v>45461</v>
      </c>
      <c r="B5395" s="17" t="s">
        <v>2779</v>
      </c>
      <c r="C5395" s="17" t="s">
        <v>1593</v>
      </c>
      <c r="D5395" s="17" t="s">
        <v>1407</v>
      </c>
      <c r="E5395" s="17" t="s">
        <v>2878</v>
      </c>
      <c r="F5395" s="17"/>
      <c r="G5395" s="18" t="n">
        <v>190.14</v>
      </c>
      <c r="H5395" s="18" t="n">
        <v>0</v>
      </c>
      <c r="I5395" s="18" t="n">
        <f aca="false">((I5394 + G5395) - H5395)</f>
        <v>80250.75</v>
      </c>
      <c r="J5395" s="18" t="n">
        <v>0</v>
      </c>
      <c r="K5395" s="19" t="n">
        <v>0</v>
      </c>
      <c r="L5395" s="17" t="s">
        <v>1406</v>
      </c>
    </row>
    <row r="5396" s="11" customFormat="true" ht="10.95" hidden="false" customHeight="true" outlineLevel="0" collapsed="false">
      <c r="A5396" s="16" t="n">
        <v>45463</v>
      </c>
      <c r="B5396" s="17" t="s">
        <v>2779</v>
      </c>
      <c r="C5396" s="17" t="s">
        <v>1593</v>
      </c>
      <c r="D5396" s="17" t="s">
        <v>1407</v>
      </c>
      <c r="E5396" s="17" t="s">
        <v>2879</v>
      </c>
      <c r="F5396" s="17"/>
      <c r="G5396" s="18" t="n">
        <v>2911.69</v>
      </c>
      <c r="H5396" s="18" t="n">
        <v>0</v>
      </c>
      <c r="I5396" s="18" t="n">
        <f aca="false">((I5395 + G5396) - H5396)</f>
        <v>83162.44</v>
      </c>
      <c r="J5396" s="18" t="n">
        <v>0</v>
      </c>
      <c r="K5396" s="19" t="n">
        <v>0</v>
      </c>
      <c r="L5396" s="17" t="s">
        <v>1406</v>
      </c>
    </row>
    <row r="5397" s="11" customFormat="true" ht="10.95" hidden="false" customHeight="true" outlineLevel="0" collapsed="false">
      <c r="A5397" s="16" t="n">
        <v>45463</v>
      </c>
      <c r="B5397" s="17" t="s">
        <v>2779</v>
      </c>
      <c r="C5397" s="17" t="s">
        <v>1593</v>
      </c>
      <c r="D5397" s="17" t="s">
        <v>1407</v>
      </c>
      <c r="E5397" s="17" t="s">
        <v>2851</v>
      </c>
      <c r="F5397" s="17"/>
      <c r="G5397" s="18" t="n">
        <v>681.99</v>
      </c>
      <c r="H5397" s="18" t="n">
        <v>0</v>
      </c>
      <c r="I5397" s="18" t="n">
        <f aca="false">((I5396 + G5397) - H5397)</f>
        <v>83844.43</v>
      </c>
      <c r="J5397" s="18" t="n">
        <v>0</v>
      </c>
      <c r="K5397" s="19" t="n">
        <v>0</v>
      </c>
      <c r="L5397" s="17" t="s">
        <v>1406</v>
      </c>
    </row>
    <row r="5398" s="11" customFormat="true" ht="10.95" hidden="false" customHeight="true" outlineLevel="0" collapsed="false">
      <c r="A5398" s="16" t="n">
        <v>45464</v>
      </c>
      <c r="B5398" s="17" t="s">
        <v>2779</v>
      </c>
      <c r="C5398" s="17" t="s">
        <v>1593</v>
      </c>
      <c r="D5398" s="17" t="s">
        <v>1276</v>
      </c>
      <c r="E5398" s="17" t="s">
        <v>2880</v>
      </c>
      <c r="F5398" s="17"/>
      <c r="G5398" s="18" t="n">
        <v>0</v>
      </c>
      <c r="H5398" s="18" t="n">
        <v>926.24</v>
      </c>
      <c r="I5398" s="18" t="n">
        <f aca="false">((I5397 + G5398) - H5398)</f>
        <v>82918.19</v>
      </c>
      <c r="J5398" s="18" t="n">
        <v>0</v>
      </c>
      <c r="K5398" s="19" t="n">
        <v>0</v>
      </c>
      <c r="L5398" s="17" t="s">
        <v>1406</v>
      </c>
    </row>
    <row r="5399" s="11" customFormat="true" ht="10.95" hidden="false" customHeight="true" outlineLevel="0" collapsed="false">
      <c r="A5399" s="16" t="n">
        <v>45466</v>
      </c>
      <c r="B5399" s="17" t="s">
        <v>2779</v>
      </c>
      <c r="C5399" s="17" t="s">
        <v>1593</v>
      </c>
      <c r="D5399" s="17" t="s">
        <v>1407</v>
      </c>
      <c r="E5399" s="17" t="s">
        <v>2881</v>
      </c>
      <c r="F5399" s="17"/>
      <c r="G5399" s="18" t="n">
        <v>705.45</v>
      </c>
      <c r="H5399" s="18" t="n">
        <v>0</v>
      </c>
      <c r="I5399" s="18" t="n">
        <f aca="false">((I5398 + G5399) - H5399)</f>
        <v>83623.64</v>
      </c>
      <c r="J5399" s="18" t="n">
        <v>0</v>
      </c>
      <c r="K5399" s="19" t="n">
        <v>0</v>
      </c>
      <c r="L5399" s="17" t="s">
        <v>1406</v>
      </c>
    </row>
    <row r="5400" s="11" customFormat="true" ht="10.95" hidden="false" customHeight="true" outlineLevel="0" collapsed="false">
      <c r="A5400" s="16" t="n">
        <v>45466</v>
      </c>
      <c r="B5400" s="17" t="s">
        <v>2779</v>
      </c>
      <c r="C5400" s="17" t="s">
        <v>1593</v>
      </c>
      <c r="D5400" s="17" t="s">
        <v>1407</v>
      </c>
      <c r="E5400" s="17" t="s">
        <v>2881</v>
      </c>
      <c r="F5400" s="17"/>
      <c r="G5400" s="18" t="n">
        <v>705.45</v>
      </c>
      <c r="H5400" s="18" t="n">
        <v>0</v>
      </c>
      <c r="I5400" s="18" t="n">
        <f aca="false">((I5399 + G5400) - H5400)</f>
        <v>84329.09</v>
      </c>
      <c r="J5400" s="18" t="n">
        <v>0</v>
      </c>
      <c r="K5400" s="19" t="n">
        <v>0</v>
      </c>
      <c r="L5400" s="17" t="s">
        <v>1406</v>
      </c>
    </row>
    <row r="5401" s="11" customFormat="true" ht="10.95" hidden="false" customHeight="true" outlineLevel="0" collapsed="false">
      <c r="A5401" s="16" t="n">
        <v>45469</v>
      </c>
      <c r="B5401" s="17" t="s">
        <v>2779</v>
      </c>
      <c r="C5401" s="17" t="s">
        <v>1593</v>
      </c>
      <c r="D5401" s="17" t="s">
        <v>1407</v>
      </c>
      <c r="E5401" s="17" t="s">
        <v>2882</v>
      </c>
      <c r="F5401" s="17"/>
      <c r="G5401" s="18" t="n">
        <v>445.85</v>
      </c>
      <c r="H5401" s="18" t="n">
        <v>0</v>
      </c>
      <c r="I5401" s="18" t="n">
        <f aca="false">((I5400 + G5401) - H5401)</f>
        <v>84774.94</v>
      </c>
      <c r="J5401" s="18" t="n">
        <v>0</v>
      </c>
      <c r="K5401" s="19" t="n">
        <v>0</v>
      </c>
      <c r="L5401" s="17" t="s">
        <v>1406</v>
      </c>
    </row>
    <row r="5402" s="11" customFormat="true" ht="10.95" hidden="false" customHeight="true" outlineLevel="0" collapsed="false">
      <c r="A5402" s="16" t="n">
        <v>45473</v>
      </c>
      <c r="B5402" s="17" t="s">
        <v>2779</v>
      </c>
      <c r="C5402" s="17" t="s">
        <v>1593</v>
      </c>
      <c r="D5402" s="17" t="s">
        <v>1396</v>
      </c>
      <c r="E5402" s="17" t="s">
        <v>2883</v>
      </c>
      <c r="F5402" s="17" t="s">
        <v>2884</v>
      </c>
      <c r="G5402" s="18" t="n">
        <v>0.52</v>
      </c>
      <c r="H5402" s="18" t="n">
        <v>0</v>
      </c>
      <c r="I5402" s="18" t="n">
        <f aca="false">((I5401 + G5402) - H5402)</f>
        <v>84775.46</v>
      </c>
      <c r="J5402" s="18" t="n">
        <v>0</v>
      </c>
      <c r="K5402" s="19" t="n">
        <v>0</v>
      </c>
      <c r="L5402" s="17" t="s">
        <v>1399</v>
      </c>
    </row>
    <row r="5403" s="11" customFormat="true" ht="10.95" hidden="false" customHeight="true" outlineLevel="0" collapsed="false">
      <c r="A5403" s="21" t="s">
        <v>2885</v>
      </c>
      <c r="B5403" s="21"/>
      <c r="C5403" s="21"/>
      <c r="D5403" s="21"/>
      <c r="E5403" s="21"/>
      <c r="F5403" s="21"/>
      <c r="G5403" s="22" t="n">
        <f aca="false">SUM(G5194:G5402)</f>
        <v>95848.19</v>
      </c>
      <c r="H5403" s="22" t="n">
        <f aca="false">SUM(H5194:H5402)</f>
        <v>11072.73</v>
      </c>
      <c r="I5403" s="22" t="n">
        <f aca="false">I5402</f>
        <v>84775.46</v>
      </c>
      <c r="J5403" s="22" t="n">
        <f aca="false">SUM(J5194:J5402)</f>
        <v>3943.38</v>
      </c>
      <c r="K5403" s="21"/>
      <c r="L5403" s="21"/>
    </row>
    <row r="5404" s="11" customFormat="true" ht="10.95" hidden="false" customHeight="true" outlineLevel="0" collapsed="false">
      <c r="A5404" s="21" t="s">
        <v>784</v>
      </c>
      <c r="B5404" s="21"/>
      <c r="C5404" s="21"/>
      <c r="D5404" s="21"/>
      <c r="E5404" s="21"/>
      <c r="F5404" s="21"/>
      <c r="G5404" s="22" t="n">
        <v>84775.46</v>
      </c>
      <c r="H5404" s="22" t="n">
        <v>0</v>
      </c>
      <c r="I5404" s="22" t="n">
        <v>0</v>
      </c>
      <c r="J5404" s="22" t="n">
        <v>0</v>
      </c>
      <c r="K5404" s="21"/>
      <c r="L5404" s="21"/>
    </row>
    <row r="5405" s="11" customFormat="true" ht="10.95" hidden="false" customHeight="true" outlineLevel="0" collapsed="false">
      <c r="A5405" s="9" t="s">
        <v>785</v>
      </c>
      <c r="B5405" s="9"/>
      <c r="C5405" s="9"/>
      <c r="D5405" s="9"/>
      <c r="E5405" s="9"/>
      <c r="F5405" s="9"/>
      <c r="G5405" s="10" t="n">
        <v>84775.46</v>
      </c>
      <c r="H5405" s="10" t="n">
        <v>0</v>
      </c>
      <c r="I5405" s="10" t="n">
        <f aca="false">I5402</f>
        <v>84775.46</v>
      </c>
      <c r="J5405" s="10" t="n">
        <v>0</v>
      </c>
      <c r="K5405" s="9"/>
      <c r="L5405" s="9"/>
    </row>
    <row r="5406" customFormat="false" ht="13.35" hidden="false" customHeight="true" outlineLevel="0" collapsed="false"/>
    <row r="5407" s="7" customFormat="true" ht="12.1" hidden="false" customHeight="true" outlineLevel="0" collapsed="false">
      <c r="A5407" s="8" t="s">
        <v>2886</v>
      </c>
      <c r="B5407" s="8"/>
      <c r="C5407" s="8"/>
      <c r="D5407" s="8"/>
      <c r="E5407" s="8"/>
      <c r="F5407" s="8"/>
      <c r="G5407" s="8"/>
      <c r="H5407" s="8"/>
      <c r="I5407" s="8"/>
      <c r="J5407" s="8"/>
      <c r="K5407" s="8"/>
      <c r="L5407" s="8"/>
    </row>
    <row r="5408" s="11" customFormat="true" ht="10.95" hidden="false" customHeight="true" outlineLevel="0" collapsed="false">
      <c r="A5408" s="9" t="s">
        <v>16</v>
      </c>
      <c r="B5408" s="9"/>
      <c r="C5408" s="9"/>
      <c r="D5408" s="9"/>
      <c r="E5408" s="9"/>
      <c r="F5408" s="9"/>
      <c r="G5408" s="10" t="n">
        <v>0</v>
      </c>
      <c r="H5408" s="10" t="n">
        <v>0</v>
      </c>
      <c r="I5408" s="10" t="n">
        <f aca="false">(G5408 - H5408)</f>
        <v>0</v>
      </c>
      <c r="J5408" s="10" t="n">
        <v>0</v>
      </c>
      <c r="K5408" s="9"/>
      <c r="L5408" s="9"/>
    </row>
    <row r="5409" s="11" customFormat="true" ht="10.95" hidden="false" customHeight="true" outlineLevel="0" collapsed="false">
      <c r="A5409" s="12" t="n">
        <v>45473</v>
      </c>
      <c r="B5409" s="13" t="s">
        <v>2887</v>
      </c>
      <c r="C5409" s="13" t="s">
        <v>1593</v>
      </c>
      <c r="D5409" s="13"/>
      <c r="E5409" s="13" t="s">
        <v>2888</v>
      </c>
      <c r="F5409" s="13"/>
      <c r="G5409" s="14" t="n">
        <v>688.54</v>
      </c>
      <c r="H5409" s="14" t="n">
        <v>0</v>
      </c>
      <c r="I5409" s="14" t="n">
        <f aca="false">((I5408 + G5409) - H5409)</f>
        <v>688.54</v>
      </c>
      <c r="J5409" s="14" t="n">
        <v>0</v>
      </c>
      <c r="K5409" s="15" t="n">
        <v>0</v>
      </c>
      <c r="L5409" s="13"/>
    </row>
    <row r="5410" s="11" customFormat="true" ht="10.95" hidden="false" customHeight="true" outlineLevel="0" collapsed="false">
      <c r="A5410" s="21" t="s">
        <v>2889</v>
      </c>
      <c r="B5410" s="21"/>
      <c r="C5410" s="21"/>
      <c r="D5410" s="21"/>
      <c r="E5410" s="21"/>
      <c r="F5410" s="21"/>
      <c r="G5410" s="22" t="n">
        <f aca="false">G5409</f>
        <v>688.54</v>
      </c>
      <c r="H5410" s="22" t="n">
        <f aca="false">H5409</f>
        <v>0</v>
      </c>
      <c r="I5410" s="22" t="n">
        <f aca="false">I5409</f>
        <v>688.54</v>
      </c>
      <c r="J5410" s="22" t="n">
        <f aca="false">J5409</f>
        <v>0</v>
      </c>
      <c r="K5410" s="21"/>
      <c r="L5410" s="21"/>
    </row>
    <row r="5411" s="11" customFormat="true" ht="10.95" hidden="false" customHeight="true" outlineLevel="0" collapsed="false">
      <c r="A5411" s="21" t="s">
        <v>784</v>
      </c>
      <c r="B5411" s="21"/>
      <c r="C5411" s="21"/>
      <c r="D5411" s="21"/>
      <c r="E5411" s="21"/>
      <c r="F5411" s="21"/>
      <c r="G5411" s="22" t="n">
        <v>688.54</v>
      </c>
      <c r="H5411" s="22" t="n">
        <v>0</v>
      </c>
      <c r="I5411" s="22" t="n">
        <v>0</v>
      </c>
      <c r="J5411" s="22" t="n">
        <v>0</v>
      </c>
      <c r="K5411" s="21"/>
      <c r="L5411" s="21"/>
    </row>
    <row r="5412" s="11" customFormat="true" ht="10.95" hidden="false" customHeight="true" outlineLevel="0" collapsed="false">
      <c r="A5412" s="9" t="s">
        <v>785</v>
      </c>
      <c r="B5412" s="9"/>
      <c r="C5412" s="9"/>
      <c r="D5412" s="9"/>
      <c r="E5412" s="9"/>
      <c r="F5412" s="9"/>
      <c r="G5412" s="10" t="n">
        <v>688.54</v>
      </c>
      <c r="H5412" s="10" t="n">
        <v>0</v>
      </c>
      <c r="I5412" s="10" t="n">
        <f aca="false">I5409</f>
        <v>688.54</v>
      </c>
      <c r="J5412" s="10" t="n">
        <v>0</v>
      </c>
      <c r="K5412" s="9"/>
      <c r="L5412" s="9"/>
    </row>
    <row r="5413" customFormat="false" ht="13.35" hidden="false" customHeight="true" outlineLevel="0" collapsed="false"/>
    <row r="5414" s="7" customFormat="true" ht="12.1" hidden="false" customHeight="true" outlineLevel="0" collapsed="false">
      <c r="A5414" s="8" t="s">
        <v>2890</v>
      </c>
      <c r="B5414" s="8"/>
      <c r="C5414" s="8"/>
      <c r="D5414" s="8"/>
      <c r="E5414" s="8"/>
      <c r="F5414" s="8"/>
      <c r="G5414" s="8"/>
      <c r="H5414" s="8"/>
      <c r="I5414" s="8"/>
      <c r="J5414" s="8"/>
      <c r="K5414" s="8"/>
      <c r="L5414" s="8"/>
    </row>
    <row r="5415" s="11" customFormat="true" ht="10.95" hidden="false" customHeight="true" outlineLevel="0" collapsed="false">
      <c r="A5415" s="9" t="s">
        <v>16</v>
      </c>
      <c r="B5415" s="9"/>
      <c r="C5415" s="9"/>
      <c r="D5415" s="9"/>
      <c r="E5415" s="9"/>
      <c r="F5415" s="9"/>
      <c r="G5415" s="10" t="n">
        <v>0</v>
      </c>
      <c r="H5415" s="10" t="n">
        <v>0</v>
      </c>
      <c r="I5415" s="10" t="n">
        <f aca="false">(G5415 - H5415)</f>
        <v>0</v>
      </c>
      <c r="J5415" s="10" t="n">
        <v>0</v>
      </c>
      <c r="K5415" s="9"/>
      <c r="L5415" s="9"/>
    </row>
    <row r="5416" s="11" customFormat="true" ht="10.95" hidden="false" customHeight="true" outlineLevel="0" collapsed="false">
      <c r="A5416" s="12" t="n">
        <v>45473</v>
      </c>
      <c r="B5416" s="13" t="s">
        <v>2891</v>
      </c>
      <c r="C5416" s="13" t="s">
        <v>1593</v>
      </c>
      <c r="D5416" s="13"/>
      <c r="E5416" s="13" t="s">
        <v>2888</v>
      </c>
      <c r="F5416" s="13"/>
      <c r="G5416" s="14" t="n">
        <v>1182.77</v>
      </c>
      <c r="H5416" s="14" t="n">
        <v>0</v>
      </c>
      <c r="I5416" s="14" t="n">
        <f aca="false">((I5415 + G5416) - H5416)</f>
        <v>1182.77</v>
      </c>
      <c r="J5416" s="14" t="n">
        <v>0</v>
      </c>
      <c r="K5416" s="15" t="n">
        <v>0</v>
      </c>
      <c r="L5416" s="13"/>
    </row>
    <row r="5417" s="11" customFormat="true" ht="10.95" hidden="false" customHeight="true" outlineLevel="0" collapsed="false">
      <c r="A5417" s="21" t="s">
        <v>2892</v>
      </c>
      <c r="B5417" s="21"/>
      <c r="C5417" s="21"/>
      <c r="D5417" s="21"/>
      <c r="E5417" s="21"/>
      <c r="F5417" s="21"/>
      <c r="G5417" s="22" t="n">
        <f aca="false">G5416</f>
        <v>1182.77</v>
      </c>
      <c r="H5417" s="22" t="n">
        <f aca="false">H5416</f>
        <v>0</v>
      </c>
      <c r="I5417" s="22" t="n">
        <f aca="false">I5416</f>
        <v>1182.77</v>
      </c>
      <c r="J5417" s="22" t="n">
        <f aca="false">J5416</f>
        <v>0</v>
      </c>
      <c r="K5417" s="21"/>
      <c r="L5417" s="21"/>
    </row>
    <row r="5418" s="11" customFormat="true" ht="10.95" hidden="false" customHeight="true" outlineLevel="0" collapsed="false">
      <c r="A5418" s="21" t="s">
        <v>784</v>
      </c>
      <c r="B5418" s="21"/>
      <c r="C5418" s="21"/>
      <c r="D5418" s="21"/>
      <c r="E5418" s="21"/>
      <c r="F5418" s="21"/>
      <c r="G5418" s="22" t="n">
        <v>1182.77</v>
      </c>
      <c r="H5418" s="22" t="n">
        <v>0</v>
      </c>
      <c r="I5418" s="22" t="n">
        <v>0</v>
      </c>
      <c r="J5418" s="22" t="n">
        <v>0</v>
      </c>
      <c r="K5418" s="21"/>
      <c r="L5418" s="21"/>
    </row>
    <row r="5419" s="11" customFormat="true" ht="10.95" hidden="false" customHeight="true" outlineLevel="0" collapsed="false">
      <c r="A5419" s="9" t="s">
        <v>785</v>
      </c>
      <c r="B5419" s="9"/>
      <c r="C5419" s="9"/>
      <c r="D5419" s="9"/>
      <c r="E5419" s="9"/>
      <c r="F5419" s="9"/>
      <c r="G5419" s="10" t="n">
        <v>1182.77</v>
      </c>
      <c r="H5419" s="10" t="n">
        <v>0</v>
      </c>
      <c r="I5419" s="10" t="n">
        <f aca="false">I5416</f>
        <v>1182.77</v>
      </c>
      <c r="J5419" s="10" t="n">
        <v>0</v>
      </c>
      <c r="K5419" s="9"/>
      <c r="L5419" s="9"/>
    </row>
    <row r="5420" customFormat="false" ht="13.35" hidden="false" customHeight="true" outlineLevel="0" collapsed="false"/>
    <row r="5421" s="7" customFormat="true" ht="12.1" hidden="false" customHeight="true" outlineLevel="0" collapsed="false">
      <c r="A5421" s="8" t="s">
        <v>2893</v>
      </c>
      <c r="B5421" s="8"/>
      <c r="C5421" s="8"/>
      <c r="D5421" s="8"/>
      <c r="E5421" s="8"/>
      <c r="F5421" s="8"/>
      <c r="G5421" s="8"/>
      <c r="H5421" s="8"/>
      <c r="I5421" s="8"/>
      <c r="J5421" s="8"/>
      <c r="K5421" s="8"/>
      <c r="L5421" s="8"/>
    </row>
    <row r="5422" s="11" customFormat="true" ht="10.95" hidden="false" customHeight="true" outlineLevel="0" collapsed="false">
      <c r="A5422" s="9" t="s">
        <v>16</v>
      </c>
      <c r="B5422" s="9"/>
      <c r="C5422" s="9"/>
      <c r="D5422" s="9"/>
      <c r="E5422" s="9"/>
      <c r="F5422" s="9"/>
      <c r="G5422" s="10" t="n">
        <v>0</v>
      </c>
      <c r="H5422" s="10" t="n">
        <v>0</v>
      </c>
      <c r="I5422" s="10" t="n">
        <f aca="false">(G5422 - H5422)</f>
        <v>0</v>
      </c>
      <c r="J5422" s="10" t="n">
        <v>0</v>
      </c>
      <c r="K5422" s="9"/>
      <c r="L5422" s="9"/>
    </row>
    <row r="5423" s="11" customFormat="true" ht="10.95" hidden="false" customHeight="true" outlineLevel="0" collapsed="false">
      <c r="A5423" s="12" t="n">
        <v>45108</v>
      </c>
      <c r="B5423" s="13" t="s">
        <v>2894</v>
      </c>
      <c r="C5423" s="13" t="s">
        <v>1593</v>
      </c>
      <c r="D5423" s="13" t="s">
        <v>2895</v>
      </c>
      <c r="E5423" s="13" t="s">
        <v>2896</v>
      </c>
      <c r="F5423" s="13" t="s">
        <v>1278</v>
      </c>
      <c r="G5423" s="14" t="n">
        <v>0.8</v>
      </c>
      <c r="H5423" s="14" t="n">
        <v>0</v>
      </c>
      <c r="I5423" s="14" t="n">
        <f aca="false">((I5422 + G5423) - H5423)</f>
        <v>0.8</v>
      </c>
      <c r="J5423" s="14" t="n">
        <v>0</v>
      </c>
      <c r="K5423" s="15" t="n">
        <v>0</v>
      </c>
      <c r="L5423" s="13"/>
    </row>
    <row r="5424" s="11" customFormat="true" ht="10.95" hidden="false" customHeight="true" outlineLevel="0" collapsed="false">
      <c r="A5424" s="16" t="n">
        <v>45110</v>
      </c>
      <c r="B5424" s="17" t="s">
        <v>2894</v>
      </c>
      <c r="C5424" s="17" t="s">
        <v>1593</v>
      </c>
      <c r="D5424" s="17" t="s">
        <v>2895</v>
      </c>
      <c r="E5424" s="17" t="s">
        <v>2897</v>
      </c>
      <c r="F5424" s="17" t="s">
        <v>1280</v>
      </c>
      <c r="G5424" s="18" t="n">
        <v>5.14</v>
      </c>
      <c r="H5424" s="18" t="n">
        <v>0</v>
      </c>
      <c r="I5424" s="18" t="n">
        <f aca="false">((I5423 + G5424) - H5424)</f>
        <v>5.94</v>
      </c>
      <c r="J5424" s="18" t="n">
        <v>0</v>
      </c>
      <c r="K5424" s="19" t="n">
        <v>0</v>
      </c>
      <c r="L5424" s="17"/>
    </row>
    <row r="5425" s="11" customFormat="true" ht="10.95" hidden="false" customHeight="true" outlineLevel="0" collapsed="false">
      <c r="A5425" s="16" t="n">
        <v>45111</v>
      </c>
      <c r="B5425" s="17" t="s">
        <v>2894</v>
      </c>
      <c r="C5425" s="17" t="s">
        <v>1593</v>
      </c>
      <c r="D5425" s="17" t="s">
        <v>2895</v>
      </c>
      <c r="E5425" s="17" t="s">
        <v>2898</v>
      </c>
      <c r="F5425" s="17" t="s">
        <v>2899</v>
      </c>
      <c r="G5425" s="18" t="n">
        <v>17.61</v>
      </c>
      <c r="H5425" s="18" t="n">
        <v>0</v>
      </c>
      <c r="I5425" s="18" t="n">
        <f aca="false">((I5424 + G5425) - H5425)</f>
        <v>23.55</v>
      </c>
      <c r="J5425" s="18" t="n">
        <v>0</v>
      </c>
      <c r="K5425" s="19" t="n">
        <v>0</v>
      </c>
      <c r="L5425" s="17"/>
    </row>
    <row r="5426" s="11" customFormat="true" ht="10.95" hidden="false" customHeight="true" outlineLevel="0" collapsed="false">
      <c r="A5426" s="16" t="n">
        <v>45112</v>
      </c>
      <c r="B5426" s="17" t="s">
        <v>2894</v>
      </c>
      <c r="C5426" s="17" t="s">
        <v>1593</v>
      </c>
      <c r="D5426" s="17" t="s">
        <v>2895</v>
      </c>
      <c r="E5426" s="17" t="s">
        <v>2900</v>
      </c>
      <c r="F5426" s="17" t="s">
        <v>2901</v>
      </c>
      <c r="G5426" s="18" t="n">
        <v>58.94</v>
      </c>
      <c r="H5426" s="18" t="n">
        <v>0</v>
      </c>
      <c r="I5426" s="18" t="n">
        <f aca="false">((I5425 + G5426) - H5426)</f>
        <v>82.49</v>
      </c>
      <c r="J5426" s="18" t="n">
        <v>0</v>
      </c>
      <c r="K5426" s="19" t="n">
        <v>0</v>
      </c>
      <c r="L5426" s="17"/>
    </row>
    <row r="5427" s="11" customFormat="true" ht="10.95" hidden="false" customHeight="true" outlineLevel="0" collapsed="false">
      <c r="A5427" s="16" t="n">
        <v>45112</v>
      </c>
      <c r="B5427" s="17" t="s">
        <v>2894</v>
      </c>
      <c r="C5427" s="17" t="s">
        <v>1593</v>
      </c>
      <c r="D5427" s="17" t="s">
        <v>2895</v>
      </c>
      <c r="E5427" s="17" t="s">
        <v>2900</v>
      </c>
      <c r="F5427" s="17" t="s">
        <v>2902</v>
      </c>
      <c r="G5427" s="18" t="n">
        <v>39.05</v>
      </c>
      <c r="H5427" s="18" t="n">
        <v>0</v>
      </c>
      <c r="I5427" s="18" t="n">
        <f aca="false">((I5426 + G5427) - H5427)</f>
        <v>121.54</v>
      </c>
      <c r="J5427" s="18" t="n">
        <v>0</v>
      </c>
      <c r="K5427" s="19" t="n">
        <v>0</v>
      </c>
      <c r="L5427" s="17"/>
    </row>
    <row r="5428" s="11" customFormat="true" ht="10.95" hidden="false" customHeight="true" outlineLevel="0" collapsed="false">
      <c r="A5428" s="16" t="n">
        <v>45114</v>
      </c>
      <c r="B5428" s="17" t="s">
        <v>2894</v>
      </c>
      <c r="C5428" s="17" t="s">
        <v>1593</v>
      </c>
      <c r="D5428" s="17" t="s">
        <v>2903</v>
      </c>
      <c r="E5428" s="17" t="s">
        <v>2904</v>
      </c>
      <c r="F5428" s="17" t="s">
        <v>2905</v>
      </c>
      <c r="G5428" s="18" t="n">
        <v>1.87</v>
      </c>
      <c r="H5428" s="18" t="n">
        <v>0</v>
      </c>
      <c r="I5428" s="18" t="n">
        <f aca="false">((I5427 + G5428) - H5428)</f>
        <v>123.41</v>
      </c>
      <c r="J5428" s="18" t="n">
        <v>0</v>
      </c>
      <c r="K5428" s="19" t="n">
        <v>0</v>
      </c>
      <c r="L5428" s="17"/>
    </row>
    <row r="5429" s="11" customFormat="true" ht="10.95" hidden="false" customHeight="true" outlineLevel="0" collapsed="false">
      <c r="A5429" s="16" t="n">
        <v>45118</v>
      </c>
      <c r="B5429" s="17" t="s">
        <v>2894</v>
      </c>
      <c r="C5429" s="17" t="s">
        <v>1593</v>
      </c>
      <c r="D5429" s="17" t="s">
        <v>2903</v>
      </c>
      <c r="E5429" s="17" t="s">
        <v>2904</v>
      </c>
      <c r="F5429" s="17" t="s">
        <v>1405</v>
      </c>
      <c r="G5429" s="18" t="n">
        <v>0</v>
      </c>
      <c r="H5429" s="18" t="n">
        <v>7.25</v>
      </c>
      <c r="I5429" s="18" t="n">
        <f aca="false">((I5428 + G5429) - H5429)</f>
        <v>116.16</v>
      </c>
      <c r="J5429" s="18" t="n">
        <v>0</v>
      </c>
      <c r="K5429" s="19" t="n">
        <v>0</v>
      </c>
      <c r="L5429" s="17"/>
    </row>
    <row r="5430" s="11" customFormat="true" ht="10.95" hidden="false" customHeight="true" outlineLevel="0" collapsed="false">
      <c r="A5430" s="16" t="n">
        <v>45119</v>
      </c>
      <c r="B5430" s="17" t="s">
        <v>2894</v>
      </c>
      <c r="C5430" s="17" t="s">
        <v>1593</v>
      </c>
      <c r="D5430" s="17" t="s">
        <v>2895</v>
      </c>
      <c r="E5430" s="17" t="s">
        <v>2906</v>
      </c>
      <c r="F5430" s="17" t="s">
        <v>2907</v>
      </c>
      <c r="G5430" s="18" t="n">
        <v>16.87</v>
      </c>
      <c r="H5430" s="18" t="n">
        <v>0</v>
      </c>
      <c r="I5430" s="18" t="n">
        <f aca="false">((I5429 + G5430) - H5430)</f>
        <v>133.03</v>
      </c>
      <c r="J5430" s="18" t="n">
        <v>0</v>
      </c>
      <c r="K5430" s="19" t="n">
        <v>0</v>
      </c>
      <c r="L5430" s="17"/>
    </row>
    <row r="5431" s="11" customFormat="true" ht="10.95" hidden="false" customHeight="true" outlineLevel="0" collapsed="false">
      <c r="A5431" s="16" t="n">
        <v>45120</v>
      </c>
      <c r="B5431" s="17" t="s">
        <v>2894</v>
      </c>
      <c r="C5431" s="17" t="s">
        <v>1593</v>
      </c>
      <c r="D5431" s="17" t="s">
        <v>2903</v>
      </c>
      <c r="E5431" s="17" t="s">
        <v>2908</v>
      </c>
      <c r="F5431" s="17" t="s">
        <v>2207</v>
      </c>
      <c r="G5431" s="18" t="n">
        <v>4.97</v>
      </c>
      <c r="H5431" s="18" t="n">
        <v>0</v>
      </c>
      <c r="I5431" s="18" t="n">
        <f aca="false">((I5430 + G5431) - H5431)</f>
        <v>138</v>
      </c>
      <c r="J5431" s="18" t="n">
        <v>0</v>
      </c>
      <c r="K5431" s="19" t="n">
        <v>0</v>
      </c>
      <c r="L5431" s="17"/>
    </row>
    <row r="5432" s="11" customFormat="true" ht="10.95" hidden="false" customHeight="true" outlineLevel="0" collapsed="false">
      <c r="A5432" s="16" t="n">
        <v>45124</v>
      </c>
      <c r="B5432" s="17" t="s">
        <v>2894</v>
      </c>
      <c r="C5432" s="17" t="s">
        <v>1593</v>
      </c>
      <c r="D5432" s="17" t="s">
        <v>2895</v>
      </c>
      <c r="E5432" s="17" t="s">
        <v>2897</v>
      </c>
      <c r="F5432" s="17" t="s">
        <v>1282</v>
      </c>
      <c r="G5432" s="18" t="n">
        <v>23.33</v>
      </c>
      <c r="H5432" s="18" t="n">
        <v>0</v>
      </c>
      <c r="I5432" s="18" t="n">
        <f aca="false">((I5431 + G5432) - H5432)</f>
        <v>161.33</v>
      </c>
      <c r="J5432" s="18" t="n">
        <v>0</v>
      </c>
      <c r="K5432" s="19" t="n">
        <v>0</v>
      </c>
      <c r="L5432" s="17"/>
    </row>
    <row r="5433" s="11" customFormat="true" ht="10.95" hidden="false" customHeight="true" outlineLevel="0" collapsed="false">
      <c r="A5433" s="16" t="n">
        <v>45126</v>
      </c>
      <c r="B5433" s="17" t="s">
        <v>2894</v>
      </c>
      <c r="C5433" s="17" t="s">
        <v>1593</v>
      </c>
      <c r="D5433" s="17" t="s">
        <v>2895</v>
      </c>
      <c r="E5433" s="17" t="s">
        <v>2909</v>
      </c>
      <c r="F5433" s="17" t="s">
        <v>1284</v>
      </c>
      <c r="G5433" s="18" t="n">
        <v>95.31</v>
      </c>
      <c r="H5433" s="18" t="n">
        <v>0</v>
      </c>
      <c r="I5433" s="18" t="n">
        <f aca="false">((I5432 + G5433) - H5433)</f>
        <v>256.64</v>
      </c>
      <c r="J5433" s="18" t="n">
        <v>0</v>
      </c>
      <c r="K5433" s="19" t="n">
        <v>0</v>
      </c>
      <c r="L5433" s="17"/>
    </row>
    <row r="5434" s="11" customFormat="true" ht="10.95" hidden="false" customHeight="true" outlineLevel="0" collapsed="false">
      <c r="A5434" s="16" t="n">
        <v>45131</v>
      </c>
      <c r="B5434" s="17" t="s">
        <v>2894</v>
      </c>
      <c r="C5434" s="17" t="s">
        <v>1593</v>
      </c>
      <c r="D5434" s="17" t="s">
        <v>2895</v>
      </c>
      <c r="E5434" s="17" t="s">
        <v>2910</v>
      </c>
      <c r="F5434" s="17" t="s">
        <v>2911</v>
      </c>
      <c r="G5434" s="18" t="n">
        <v>12.17</v>
      </c>
      <c r="H5434" s="18" t="n">
        <v>0</v>
      </c>
      <c r="I5434" s="18" t="n">
        <f aca="false">((I5433 + G5434) - H5434)</f>
        <v>268.81</v>
      </c>
      <c r="J5434" s="18" t="n">
        <v>0</v>
      </c>
      <c r="K5434" s="19" t="n">
        <v>0</v>
      </c>
      <c r="L5434" s="17"/>
    </row>
    <row r="5435" s="11" customFormat="true" ht="10.95" hidden="false" customHeight="true" outlineLevel="0" collapsed="false">
      <c r="A5435" s="16" t="n">
        <v>45131</v>
      </c>
      <c r="B5435" s="17" t="s">
        <v>2894</v>
      </c>
      <c r="C5435" s="17" t="s">
        <v>1593</v>
      </c>
      <c r="D5435" s="17" t="s">
        <v>2895</v>
      </c>
      <c r="E5435" s="17" t="s">
        <v>2910</v>
      </c>
      <c r="F5435" s="17" t="s">
        <v>2912</v>
      </c>
      <c r="G5435" s="18" t="n">
        <v>0</v>
      </c>
      <c r="H5435" s="18" t="n">
        <v>63.61</v>
      </c>
      <c r="I5435" s="18" t="n">
        <f aca="false">((I5434 + G5435) - H5435)</f>
        <v>205.2</v>
      </c>
      <c r="J5435" s="18" t="n">
        <v>0</v>
      </c>
      <c r="K5435" s="19" t="n">
        <v>0</v>
      </c>
      <c r="L5435" s="17"/>
    </row>
    <row r="5436" s="11" customFormat="true" ht="10.95" hidden="false" customHeight="true" outlineLevel="0" collapsed="false">
      <c r="A5436" s="16" t="n">
        <v>45131</v>
      </c>
      <c r="B5436" s="17" t="s">
        <v>2894</v>
      </c>
      <c r="C5436" s="17" t="s">
        <v>1593</v>
      </c>
      <c r="D5436" s="17" t="s">
        <v>2895</v>
      </c>
      <c r="E5436" s="17" t="s">
        <v>2910</v>
      </c>
      <c r="F5436" s="17" t="s">
        <v>2913</v>
      </c>
      <c r="G5436" s="18" t="n">
        <v>3.04</v>
      </c>
      <c r="H5436" s="18" t="n">
        <v>0</v>
      </c>
      <c r="I5436" s="18" t="n">
        <f aca="false">((I5435 + G5436) - H5436)</f>
        <v>208.24</v>
      </c>
      <c r="J5436" s="18" t="n">
        <v>0</v>
      </c>
      <c r="K5436" s="19" t="n">
        <v>0</v>
      </c>
      <c r="L5436" s="17"/>
    </row>
    <row r="5437" s="11" customFormat="true" ht="10.95" hidden="false" customHeight="true" outlineLevel="0" collapsed="false">
      <c r="A5437" s="16" t="n">
        <v>45131</v>
      </c>
      <c r="B5437" s="17" t="s">
        <v>2894</v>
      </c>
      <c r="C5437" s="17" t="s">
        <v>1593</v>
      </c>
      <c r="D5437" s="17" t="s">
        <v>2895</v>
      </c>
      <c r="E5437" s="17" t="s">
        <v>2910</v>
      </c>
      <c r="F5437" s="17" t="s">
        <v>2914</v>
      </c>
      <c r="G5437" s="18" t="n">
        <v>126.23</v>
      </c>
      <c r="H5437" s="18" t="n">
        <v>0</v>
      </c>
      <c r="I5437" s="18" t="n">
        <f aca="false">((I5436 + G5437) - H5437)</f>
        <v>334.47</v>
      </c>
      <c r="J5437" s="18" t="n">
        <v>0</v>
      </c>
      <c r="K5437" s="19" t="n">
        <v>0</v>
      </c>
      <c r="L5437" s="17"/>
    </row>
    <row r="5438" s="11" customFormat="true" ht="10.95" hidden="false" customHeight="true" outlineLevel="0" collapsed="false">
      <c r="A5438" s="16" t="n">
        <v>45131</v>
      </c>
      <c r="B5438" s="17" t="s">
        <v>2894</v>
      </c>
      <c r="C5438" s="17" t="s">
        <v>1593</v>
      </c>
      <c r="D5438" s="17" t="s">
        <v>2895</v>
      </c>
      <c r="E5438" s="17" t="s">
        <v>2910</v>
      </c>
      <c r="F5438" s="17" t="s">
        <v>2915</v>
      </c>
      <c r="G5438" s="18" t="n">
        <v>217.34</v>
      </c>
      <c r="H5438" s="18" t="n">
        <v>0</v>
      </c>
      <c r="I5438" s="18" t="n">
        <f aca="false">((I5437 + G5438) - H5438)</f>
        <v>551.81</v>
      </c>
      <c r="J5438" s="18" t="n">
        <v>0</v>
      </c>
      <c r="K5438" s="19" t="n">
        <v>0</v>
      </c>
      <c r="L5438" s="17"/>
    </row>
    <row r="5439" s="11" customFormat="true" ht="10.95" hidden="false" customHeight="true" outlineLevel="0" collapsed="false">
      <c r="A5439" s="16" t="n">
        <v>45131</v>
      </c>
      <c r="B5439" s="17" t="s">
        <v>2894</v>
      </c>
      <c r="C5439" s="17" t="s">
        <v>1593</v>
      </c>
      <c r="D5439" s="17" t="s">
        <v>2895</v>
      </c>
      <c r="E5439" s="17" t="s">
        <v>2900</v>
      </c>
      <c r="F5439" s="17" t="s">
        <v>2916</v>
      </c>
      <c r="G5439" s="18" t="n">
        <v>8.94</v>
      </c>
      <c r="H5439" s="18" t="n">
        <v>0</v>
      </c>
      <c r="I5439" s="18" t="n">
        <f aca="false">((I5438 + G5439) - H5439)</f>
        <v>560.75</v>
      </c>
      <c r="J5439" s="18" t="n">
        <v>0</v>
      </c>
      <c r="K5439" s="19" t="n">
        <v>0</v>
      </c>
      <c r="L5439" s="17"/>
    </row>
    <row r="5440" s="11" customFormat="true" ht="10.95" hidden="false" customHeight="true" outlineLevel="0" collapsed="false">
      <c r="A5440" s="16" t="n">
        <v>45133</v>
      </c>
      <c r="B5440" s="17" t="s">
        <v>2894</v>
      </c>
      <c r="C5440" s="17" t="s">
        <v>1593</v>
      </c>
      <c r="D5440" s="17" t="s">
        <v>2895</v>
      </c>
      <c r="E5440" s="17" t="s">
        <v>2917</v>
      </c>
      <c r="F5440" s="17" t="s">
        <v>2918</v>
      </c>
      <c r="G5440" s="18" t="n">
        <v>122.38</v>
      </c>
      <c r="H5440" s="18" t="n">
        <v>0</v>
      </c>
      <c r="I5440" s="18" t="n">
        <f aca="false">((I5439 + G5440) - H5440)</f>
        <v>683.13</v>
      </c>
      <c r="J5440" s="18" t="n">
        <v>0</v>
      </c>
      <c r="K5440" s="19" t="n">
        <v>0</v>
      </c>
      <c r="L5440" s="17"/>
    </row>
    <row r="5441" s="11" customFormat="true" ht="10.95" hidden="false" customHeight="true" outlineLevel="0" collapsed="false">
      <c r="A5441" s="16" t="n">
        <v>45139</v>
      </c>
      <c r="B5441" s="17" t="s">
        <v>2894</v>
      </c>
      <c r="C5441" s="17" t="s">
        <v>1593</v>
      </c>
      <c r="D5441" s="17" t="s">
        <v>2895</v>
      </c>
      <c r="E5441" s="17" t="s">
        <v>2906</v>
      </c>
      <c r="F5441" s="17" t="s">
        <v>2919</v>
      </c>
      <c r="G5441" s="18" t="n">
        <v>50.29</v>
      </c>
      <c r="H5441" s="18" t="n">
        <v>0</v>
      </c>
      <c r="I5441" s="18" t="n">
        <f aca="false">((I5440 + G5441) - H5441)</f>
        <v>733.42</v>
      </c>
      <c r="J5441" s="18" t="n">
        <v>0</v>
      </c>
      <c r="K5441" s="19" t="n">
        <v>0</v>
      </c>
      <c r="L5441" s="17"/>
    </row>
    <row r="5442" s="11" customFormat="true" ht="10.95" hidden="false" customHeight="true" outlineLevel="0" collapsed="false">
      <c r="A5442" s="16" t="n">
        <v>45139</v>
      </c>
      <c r="B5442" s="17" t="s">
        <v>2894</v>
      </c>
      <c r="C5442" s="17" t="s">
        <v>1593</v>
      </c>
      <c r="D5442" s="17" t="s">
        <v>2895</v>
      </c>
      <c r="E5442" s="17" t="s">
        <v>2900</v>
      </c>
      <c r="F5442" s="17" t="s">
        <v>2920</v>
      </c>
      <c r="G5442" s="18" t="n">
        <v>3.15</v>
      </c>
      <c r="H5442" s="18" t="n">
        <v>0</v>
      </c>
      <c r="I5442" s="18" t="n">
        <f aca="false">((I5441 + G5442) - H5442)</f>
        <v>736.57</v>
      </c>
      <c r="J5442" s="18" t="n">
        <v>0</v>
      </c>
      <c r="K5442" s="19" t="n">
        <v>0</v>
      </c>
      <c r="L5442" s="17"/>
    </row>
    <row r="5443" s="11" customFormat="true" ht="10.95" hidden="false" customHeight="true" outlineLevel="0" collapsed="false">
      <c r="A5443" s="16" t="n">
        <v>45139</v>
      </c>
      <c r="B5443" s="17" t="s">
        <v>2894</v>
      </c>
      <c r="C5443" s="17" t="s">
        <v>1593</v>
      </c>
      <c r="D5443" s="17" t="s">
        <v>2895</v>
      </c>
      <c r="E5443" s="17" t="s">
        <v>2900</v>
      </c>
      <c r="F5443" s="17" t="s">
        <v>2921</v>
      </c>
      <c r="G5443" s="18" t="n">
        <v>0.42</v>
      </c>
      <c r="H5443" s="18" t="n">
        <v>0</v>
      </c>
      <c r="I5443" s="18" t="n">
        <f aca="false">((I5442 + G5443) - H5443)</f>
        <v>736.99</v>
      </c>
      <c r="J5443" s="18" t="n">
        <v>0</v>
      </c>
      <c r="K5443" s="19" t="n">
        <v>0</v>
      </c>
      <c r="L5443" s="17"/>
    </row>
    <row r="5444" s="11" customFormat="true" ht="10.95" hidden="false" customHeight="true" outlineLevel="0" collapsed="false">
      <c r="A5444" s="16" t="n">
        <v>45140</v>
      </c>
      <c r="B5444" s="17" t="s">
        <v>2894</v>
      </c>
      <c r="C5444" s="17" t="s">
        <v>1593</v>
      </c>
      <c r="D5444" s="17" t="s">
        <v>2895</v>
      </c>
      <c r="E5444" s="17" t="s">
        <v>2897</v>
      </c>
      <c r="F5444" s="17" t="s">
        <v>1288</v>
      </c>
      <c r="G5444" s="18" t="n">
        <v>2.67</v>
      </c>
      <c r="H5444" s="18" t="n">
        <v>0</v>
      </c>
      <c r="I5444" s="18" t="n">
        <f aca="false">((I5443 + G5444) - H5444)</f>
        <v>739.66</v>
      </c>
      <c r="J5444" s="18" t="n">
        <v>0</v>
      </c>
      <c r="K5444" s="19" t="n">
        <v>0</v>
      </c>
      <c r="L5444" s="17"/>
    </row>
    <row r="5445" s="11" customFormat="true" ht="10.95" hidden="false" customHeight="true" outlineLevel="0" collapsed="false">
      <c r="A5445" s="16" t="n">
        <v>45141</v>
      </c>
      <c r="B5445" s="17" t="s">
        <v>2894</v>
      </c>
      <c r="C5445" s="17" t="s">
        <v>1593</v>
      </c>
      <c r="D5445" s="17" t="s">
        <v>2895</v>
      </c>
      <c r="E5445" s="17" t="s">
        <v>2922</v>
      </c>
      <c r="F5445" s="17" t="s">
        <v>2923</v>
      </c>
      <c r="G5445" s="18" t="n">
        <v>0</v>
      </c>
      <c r="H5445" s="18" t="n">
        <v>143.99</v>
      </c>
      <c r="I5445" s="18" t="n">
        <f aca="false">((I5444 + G5445) - H5445)</f>
        <v>595.67</v>
      </c>
      <c r="J5445" s="18" t="n">
        <v>0</v>
      </c>
      <c r="K5445" s="19" t="n">
        <v>0</v>
      </c>
      <c r="L5445" s="17"/>
    </row>
    <row r="5446" s="11" customFormat="true" ht="10.95" hidden="false" customHeight="true" outlineLevel="0" collapsed="false">
      <c r="A5446" s="16" t="n">
        <v>45141</v>
      </c>
      <c r="B5446" s="17" t="s">
        <v>2894</v>
      </c>
      <c r="C5446" s="17" t="s">
        <v>1593</v>
      </c>
      <c r="D5446" s="17" t="s">
        <v>2895</v>
      </c>
      <c r="E5446" s="17" t="s">
        <v>2898</v>
      </c>
      <c r="F5446" s="17" t="s">
        <v>2924</v>
      </c>
      <c r="G5446" s="18" t="n">
        <v>16.93</v>
      </c>
      <c r="H5446" s="18" t="n">
        <v>0</v>
      </c>
      <c r="I5446" s="18" t="n">
        <f aca="false">((I5445 + G5446) - H5446)</f>
        <v>612.6</v>
      </c>
      <c r="J5446" s="18" t="n">
        <v>0</v>
      </c>
      <c r="K5446" s="19" t="n">
        <v>0</v>
      </c>
      <c r="L5446" s="17"/>
    </row>
    <row r="5447" s="11" customFormat="true" ht="10.95" hidden="false" customHeight="true" outlineLevel="0" collapsed="false">
      <c r="A5447" s="16" t="n">
        <v>45143</v>
      </c>
      <c r="B5447" s="17" t="s">
        <v>2894</v>
      </c>
      <c r="C5447" s="17" t="s">
        <v>1593</v>
      </c>
      <c r="D5447" s="17" t="s">
        <v>2903</v>
      </c>
      <c r="E5447" s="17" t="s">
        <v>2904</v>
      </c>
      <c r="F5447" s="17" t="s">
        <v>1416</v>
      </c>
      <c r="G5447" s="18" t="n">
        <v>61</v>
      </c>
      <c r="H5447" s="18" t="n">
        <v>0</v>
      </c>
      <c r="I5447" s="18" t="n">
        <f aca="false">((I5446 + G5447) - H5447)</f>
        <v>673.6</v>
      </c>
      <c r="J5447" s="18" t="n">
        <v>0</v>
      </c>
      <c r="K5447" s="19" t="n">
        <v>0</v>
      </c>
      <c r="L5447" s="17"/>
    </row>
    <row r="5448" s="11" customFormat="true" ht="10.95" hidden="false" customHeight="true" outlineLevel="0" collapsed="false">
      <c r="A5448" s="16" t="n">
        <v>45146</v>
      </c>
      <c r="B5448" s="17" t="s">
        <v>2894</v>
      </c>
      <c r="C5448" s="17" t="s">
        <v>1593</v>
      </c>
      <c r="D5448" s="17" t="s">
        <v>2895</v>
      </c>
      <c r="E5448" s="17" t="s">
        <v>2925</v>
      </c>
      <c r="F5448" s="17" t="s">
        <v>2926</v>
      </c>
      <c r="G5448" s="18" t="n">
        <v>1.02</v>
      </c>
      <c r="H5448" s="18" t="n">
        <v>0</v>
      </c>
      <c r="I5448" s="18" t="n">
        <f aca="false">((I5447 + G5448) - H5448)</f>
        <v>674.62</v>
      </c>
      <c r="J5448" s="18" t="n">
        <v>0</v>
      </c>
      <c r="K5448" s="19" t="n">
        <v>0</v>
      </c>
      <c r="L5448" s="17"/>
    </row>
    <row r="5449" s="11" customFormat="true" ht="10.95" hidden="false" customHeight="true" outlineLevel="0" collapsed="false">
      <c r="A5449" s="16" t="n">
        <v>45149</v>
      </c>
      <c r="B5449" s="17" t="s">
        <v>2894</v>
      </c>
      <c r="C5449" s="17" t="s">
        <v>1593</v>
      </c>
      <c r="D5449" s="17" t="s">
        <v>2895</v>
      </c>
      <c r="E5449" s="17" t="s">
        <v>2900</v>
      </c>
      <c r="F5449" s="17" t="s">
        <v>2927</v>
      </c>
      <c r="G5449" s="18" t="n">
        <v>12.12</v>
      </c>
      <c r="H5449" s="18" t="n">
        <v>0</v>
      </c>
      <c r="I5449" s="18" t="n">
        <f aca="false">((I5448 + G5449) - H5449)</f>
        <v>686.74</v>
      </c>
      <c r="J5449" s="18" t="n">
        <v>0</v>
      </c>
      <c r="K5449" s="19" t="n">
        <v>0</v>
      </c>
      <c r="L5449" s="17"/>
    </row>
    <row r="5450" s="11" customFormat="true" ht="10.95" hidden="false" customHeight="true" outlineLevel="0" collapsed="false">
      <c r="A5450" s="16" t="n">
        <v>45149</v>
      </c>
      <c r="B5450" s="17" t="s">
        <v>2894</v>
      </c>
      <c r="C5450" s="17" t="s">
        <v>1593</v>
      </c>
      <c r="D5450" s="17" t="s">
        <v>2895</v>
      </c>
      <c r="E5450" s="17" t="s">
        <v>2900</v>
      </c>
      <c r="F5450" s="17" t="s">
        <v>2928</v>
      </c>
      <c r="G5450" s="18" t="n">
        <v>15.49</v>
      </c>
      <c r="H5450" s="18" t="n">
        <v>0</v>
      </c>
      <c r="I5450" s="18" t="n">
        <f aca="false">((I5449 + G5450) - H5450)</f>
        <v>702.23</v>
      </c>
      <c r="J5450" s="18" t="n">
        <v>0</v>
      </c>
      <c r="K5450" s="19" t="n">
        <v>0</v>
      </c>
      <c r="L5450" s="17"/>
    </row>
    <row r="5451" s="11" customFormat="true" ht="10.95" hidden="false" customHeight="true" outlineLevel="0" collapsed="false">
      <c r="A5451" s="16" t="n">
        <v>45149</v>
      </c>
      <c r="B5451" s="17" t="s">
        <v>2894</v>
      </c>
      <c r="C5451" s="17" t="s">
        <v>1593</v>
      </c>
      <c r="D5451" s="17" t="s">
        <v>2895</v>
      </c>
      <c r="E5451" s="17" t="s">
        <v>2900</v>
      </c>
      <c r="F5451" s="17" t="s">
        <v>2929</v>
      </c>
      <c r="G5451" s="18" t="n">
        <v>6.75</v>
      </c>
      <c r="H5451" s="18" t="n">
        <v>0</v>
      </c>
      <c r="I5451" s="18" t="n">
        <f aca="false">((I5450 + G5451) - H5451)</f>
        <v>708.98</v>
      </c>
      <c r="J5451" s="18" t="n">
        <v>0</v>
      </c>
      <c r="K5451" s="19" t="n">
        <v>0</v>
      </c>
      <c r="L5451" s="17"/>
    </row>
    <row r="5452" s="11" customFormat="true" ht="10.95" hidden="false" customHeight="true" outlineLevel="0" collapsed="false">
      <c r="A5452" s="16" t="n">
        <v>45149</v>
      </c>
      <c r="B5452" s="17" t="s">
        <v>2894</v>
      </c>
      <c r="C5452" s="17" t="s">
        <v>1593</v>
      </c>
      <c r="D5452" s="17" t="s">
        <v>2895</v>
      </c>
      <c r="E5452" s="17" t="s">
        <v>2900</v>
      </c>
      <c r="F5452" s="17" t="s">
        <v>2930</v>
      </c>
      <c r="G5452" s="18" t="n">
        <v>1.78</v>
      </c>
      <c r="H5452" s="18" t="n">
        <v>0</v>
      </c>
      <c r="I5452" s="18" t="n">
        <f aca="false">((I5451 + G5452) - H5452)</f>
        <v>710.76</v>
      </c>
      <c r="J5452" s="18" t="n">
        <v>0</v>
      </c>
      <c r="K5452" s="19" t="n">
        <v>0</v>
      </c>
      <c r="L5452" s="17"/>
    </row>
    <row r="5453" s="11" customFormat="true" ht="10.95" hidden="false" customHeight="true" outlineLevel="0" collapsed="false">
      <c r="A5453" s="16" t="n">
        <v>45149</v>
      </c>
      <c r="B5453" s="17" t="s">
        <v>2894</v>
      </c>
      <c r="C5453" s="17" t="s">
        <v>1593</v>
      </c>
      <c r="D5453" s="17" t="s">
        <v>2895</v>
      </c>
      <c r="E5453" s="17" t="s">
        <v>2900</v>
      </c>
      <c r="F5453" s="17" t="s">
        <v>2931</v>
      </c>
      <c r="G5453" s="18" t="n">
        <v>26.93</v>
      </c>
      <c r="H5453" s="18" t="n">
        <v>0</v>
      </c>
      <c r="I5453" s="18" t="n">
        <f aca="false">((I5452 + G5453) - H5453)</f>
        <v>737.69</v>
      </c>
      <c r="J5453" s="18" t="n">
        <v>0</v>
      </c>
      <c r="K5453" s="19" t="n">
        <v>0</v>
      </c>
      <c r="L5453" s="17"/>
    </row>
    <row r="5454" s="11" customFormat="true" ht="10.95" hidden="false" customHeight="true" outlineLevel="0" collapsed="false">
      <c r="A5454" s="16" t="n">
        <v>45149</v>
      </c>
      <c r="B5454" s="17" t="s">
        <v>2894</v>
      </c>
      <c r="C5454" s="17" t="s">
        <v>1593</v>
      </c>
      <c r="D5454" s="17" t="s">
        <v>2895</v>
      </c>
      <c r="E5454" s="17" t="s">
        <v>2900</v>
      </c>
      <c r="F5454" s="17" t="s">
        <v>2932</v>
      </c>
      <c r="G5454" s="18" t="n">
        <v>12.39</v>
      </c>
      <c r="H5454" s="18" t="n">
        <v>0</v>
      </c>
      <c r="I5454" s="18" t="n">
        <f aca="false">((I5453 + G5454) - H5454)</f>
        <v>750.08</v>
      </c>
      <c r="J5454" s="18" t="n">
        <v>0</v>
      </c>
      <c r="K5454" s="19" t="n">
        <v>0</v>
      </c>
      <c r="L5454" s="17"/>
    </row>
    <row r="5455" s="11" customFormat="true" ht="10.95" hidden="false" customHeight="true" outlineLevel="0" collapsed="false">
      <c r="A5455" s="16" t="n">
        <v>45149</v>
      </c>
      <c r="B5455" s="17" t="s">
        <v>2894</v>
      </c>
      <c r="C5455" s="17" t="s">
        <v>1593</v>
      </c>
      <c r="D5455" s="17" t="s">
        <v>2903</v>
      </c>
      <c r="E5455" s="17" t="s">
        <v>2933</v>
      </c>
      <c r="F5455" s="17" t="s">
        <v>2265</v>
      </c>
      <c r="G5455" s="18" t="n">
        <v>2.2</v>
      </c>
      <c r="H5455" s="18" t="n">
        <v>0</v>
      </c>
      <c r="I5455" s="18" t="n">
        <f aca="false">((I5454 + G5455) - H5455)</f>
        <v>752.28</v>
      </c>
      <c r="J5455" s="18" t="n">
        <v>0</v>
      </c>
      <c r="K5455" s="19" t="n">
        <v>0</v>
      </c>
      <c r="L5455" s="17"/>
    </row>
    <row r="5456" s="11" customFormat="true" ht="10.95" hidden="false" customHeight="true" outlineLevel="0" collapsed="false">
      <c r="A5456" s="16" t="n">
        <v>45153</v>
      </c>
      <c r="B5456" s="17" t="s">
        <v>2894</v>
      </c>
      <c r="C5456" s="17" t="s">
        <v>1593</v>
      </c>
      <c r="D5456" s="17" t="s">
        <v>2895</v>
      </c>
      <c r="E5456" s="17" t="s">
        <v>2896</v>
      </c>
      <c r="F5456" s="17" t="s">
        <v>1290</v>
      </c>
      <c r="G5456" s="18" t="n">
        <v>0.09</v>
      </c>
      <c r="H5456" s="18" t="n">
        <v>0</v>
      </c>
      <c r="I5456" s="18" t="n">
        <f aca="false">((I5455 + G5456) - H5456)</f>
        <v>752.37</v>
      </c>
      <c r="J5456" s="18" t="n">
        <v>0</v>
      </c>
      <c r="K5456" s="19" t="n">
        <v>0</v>
      </c>
      <c r="L5456" s="17"/>
    </row>
    <row r="5457" s="11" customFormat="true" ht="10.95" hidden="false" customHeight="true" outlineLevel="0" collapsed="false">
      <c r="A5457" s="16" t="n">
        <v>45155</v>
      </c>
      <c r="B5457" s="17" t="s">
        <v>2894</v>
      </c>
      <c r="C5457" s="17" t="s">
        <v>1593</v>
      </c>
      <c r="D5457" s="17" t="s">
        <v>2895</v>
      </c>
      <c r="E5457" s="17" t="s">
        <v>2934</v>
      </c>
      <c r="F5457" s="17" t="s">
        <v>2935</v>
      </c>
      <c r="G5457" s="18" t="n">
        <v>0</v>
      </c>
      <c r="H5457" s="18" t="n">
        <v>121.03</v>
      </c>
      <c r="I5457" s="18" t="n">
        <f aca="false">((I5456 + G5457) - H5457)</f>
        <v>631.34</v>
      </c>
      <c r="J5457" s="18" t="n">
        <v>0</v>
      </c>
      <c r="K5457" s="19" t="n">
        <v>0</v>
      </c>
      <c r="L5457" s="17"/>
    </row>
    <row r="5458" s="11" customFormat="true" ht="10.95" hidden="false" customHeight="true" outlineLevel="0" collapsed="false">
      <c r="A5458" s="16" t="n">
        <v>45155</v>
      </c>
      <c r="B5458" s="17" t="s">
        <v>2894</v>
      </c>
      <c r="C5458" s="17" t="s">
        <v>1593</v>
      </c>
      <c r="D5458" s="17" t="s">
        <v>2903</v>
      </c>
      <c r="E5458" s="17" t="s">
        <v>2908</v>
      </c>
      <c r="F5458" s="17" t="s">
        <v>2215</v>
      </c>
      <c r="G5458" s="18" t="n">
        <v>28.44</v>
      </c>
      <c r="H5458" s="18" t="n">
        <v>0</v>
      </c>
      <c r="I5458" s="18" t="n">
        <f aca="false">((I5457 + G5458) - H5458)</f>
        <v>659.78</v>
      </c>
      <c r="J5458" s="18" t="n">
        <v>0</v>
      </c>
      <c r="K5458" s="19" t="n">
        <v>0</v>
      </c>
      <c r="L5458" s="17"/>
    </row>
    <row r="5459" s="11" customFormat="true" ht="10.95" hidden="false" customHeight="true" outlineLevel="0" collapsed="false">
      <c r="A5459" s="16" t="n">
        <v>45161</v>
      </c>
      <c r="B5459" s="17" t="s">
        <v>2894</v>
      </c>
      <c r="C5459" s="17" t="s">
        <v>1593</v>
      </c>
      <c r="D5459" s="17" t="s">
        <v>2895</v>
      </c>
      <c r="E5459" s="17" t="s">
        <v>2900</v>
      </c>
      <c r="F5459" s="17" t="s">
        <v>2936</v>
      </c>
      <c r="G5459" s="18" t="n">
        <v>3.14</v>
      </c>
      <c r="H5459" s="18" t="n">
        <v>0</v>
      </c>
      <c r="I5459" s="18" t="n">
        <f aca="false">((I5458 + G5459) - H5459)</f>
        <v>662.92</v>
      </c>
      <c r="J5459" s="18" t="n">
        <v>0</v>
      </c>
      <c r="K5459" s="19" t="n">
        <v>0</v>
      </c>
      <c r="L5459" s="17"/>
    </row>
    <row r="5460" s="11" customFormat="true" ht="10.95" hidden="false" customHeight="true" outlineLevel="0" collapsed="false">
      <c r="A5460" s="16" t="n">
        <v>45168</v>
      </c>
      <c r="B5460" s="17" t="s">
        <v>2894</v>
      </c>
      <c r="C5460" s="17" t="s">
        <v>1593</v>
      </c>
      <c r="D5460" s="17" t="s">
        <v>2895</v>
      </c>
      <c r="E5460" s="17" t="s">
        <v>2937</v>
      </c>
      <c r="F5460" s="17" t="s">
        <v>1292</v>
      </c>
      <c r="G5460" s="18" t="n">
        <v>13.7</v>
      </c>
      <c r="H5460" s="18" t="n">
        <v>0</v>
      </c>
      <c r="I5460" s="18" t="n">
        <f aca="false">((I5459 + G5460) - H5460)</f>
        <v>676.62</v>
      </c>
      <c r="J5460" s="18" t="n">
        <v>0</v>
      </c>
      <c r="K5460" s="19" t="n">
        <v>0</v>
      </c>
      <c r="L5460" s="17"/>
    </row>
    <row r="5461" s="11" customFormat="true" ht="10.95" hidden="false" customHeight="true" outlineLevel="0" collapsed="false">
      <c r="A5461" s="16" t="n">
        <v>45168</v>
      </c>
      <c r="B5461" s="17" t="s">
        <v>2894</v>
      </c>
      <c r="C5461" s="17" t="s">
        <v>1593</v>
      </c>
      <c r="D5461" s="17" t="s">
        <v>2895</v>
      </c>
      <c r="E5461" s="17" t="s">
        <v>2937</v>
      </c>
      <c r="F5461" s="17" t="s">
        <v>1294</v>
      </c>
      <c r="G5461" s="18" t="n">
        <v>9.12</v>
      </c>
      <c r="H5461" s="18" t="n">
        <v>0</v>
      </c>
      <c r="I5461" s="18" t="n">
        <f aca="false">((I5460 + G5461) - H5461)</f>
        <v>685.74</v>
      </c>
      <c r="J5461" s="18" t="n">
        <v>0</v>
      </c>
      <c r="K5461" s="19" t="n">
        <v>0</v>
      </c>
      <c r="L5461" s="17"/>
    </row>
    <row r="5462" s="11" customFormat="true" ht="10.95" hidden="false" customHeight="true" outlineLevel="0" collapsed="false">
      <c r="A5462" s="16" t="n">
        <v>45169</v>
      </c>
      <c r="B5462" s="17" t="s">
        <v>2894</v>
      </c>
      <c r="C5462" s="17" t="s">
        <v>1593</v>
      </c>
      <c r="D5462" s="17" t="s">
        <v>2895</v>
      </c>
      <c r="E5462" s="17" t="s">
        <v>2900</v>
      </c>
      <c r="F5462" s="17" t="s">
        <v>2938</v>
      </c>
      <c r="G5462" s="18" t="n">
        <v>38.5</v>
      </c>
      <c r="H5462" s="18" t="n">
        <v>0</v>
      </c>
      <c r="I5462" s="18" t="n">
        <f aca="false">((I5461 + G5462) - H5462)</f>
        <v>724.24</v>
      </c>
      <c r="J5462" s="18" t="n">
        <v>0</v>
      </c>
      <c r="K5462" s="19" t="n">
        <v>0</v>
      </c>
      <c r="L5462" s="17"/>
    </row>
    <row r="5463" s="11" customFormat="true" ht="10.95" hidden="false" customHeight="true" outlineLevel="0" collapsed="false">
      <c r="A5463" s="16" t="n">
        <v>45169</v>
      </c>
      <c r="B5463" s="17" t="s">
        <v>2894</v>
      </c>
      <c r="C5463" s="17" t="s">
        <v>1593</v>
      </c>
      <c r="D5463" s="17" t="s">
        <v>2895</v>
      </c>
      <c r="E5463" s="17" t="s">
        <v>2900</v>
      </c>
      <c r="F5463" s="17" t="s">
        <v>2939</v>
      </c>
      <c r="G5463" s="18" t="n">
        <v>2.33</v>
      </c>
      <c r="H5463" s="18" t="n">
        <v>0</v>
      </c>
      <c r="I5463" s="18" t="n">
        <f aca="false">((I5462 + G5463) - H5463)</f>
        <v>726.57</v>
      </c>
      <c r="J5463" s="18" t="n">
        <v>0</v>
      </c>
      <c r="K5463" s="19" t="n">
        <v>0</v>
      </c>
      <c r="L5463" s="17"/>
    </row>
    <row r="5464" s="11" customFormat="true" ht="10.95" hidden="false" customHeight="true" outlineLevel="0" collapsed="false">
      <c r="A5464" s="16" t="n">
        <v>45169</v>
      </c>
      <c r="B5464" s="17" t="s">
        <v>2894</v>
      </c>
      <c r="C5464" s="17" t="s">
        <v>1593</v>
      </c>
      <c r="D5464" s="17" t="s">
        <v>2895</v>
      </c>
      <c r="E5464" s="17" t="s">
        <v>2900</v>
      </c>
      <c r="F5464" s="17" t="s">
        <v>2940</v>
      </c>
      <c r="G5464" s="18" t="n">
        <v>16.18</v>
      </c>
      <c r="H5464" s="18" t="n">
        <v>0</v>
      </c>
      <c r="I5464" s="18" t="n">
        <f aca="false">((I5463 + G5464) - H5464)</f>
        <v>742.75</v>
      </c>
      <c r="J5464" s="18" t="n">
        <v>0</v>
      </c>
      <c r="K5464" s="19" t="n">
        <v>0</v>
      </c>
      <c r="L5464" s="17"/>
    </row>
    <row r="5465" s="11" customFormat="true" ht="10.95" hidden="false" customHeight="true" outlineLevel="0" collapsed="false">
      <c r="A5465" s="16" t="n">
        <v>45169</v>
      </c>
      <c r="B5465" s="17" t="s">
        <v>2894</v>
      </c>
      <c r="C5465" s="17" t="s">
        <v>1593</v>
      </c>
      <c r="D5465" s="17" t="s">
        <v>2895</v>
      </c>
      <c r="E5465" s="17" t="s">
        <v>2900</v>
      </c>
      <c r="F5465" s="17" t="s">
        <v>2941</v>
      </c>
      <c r="G5465" s="18" t="n">
        <v>22.14</v>
      </c>
      <c r="H5465" s="18" t="n">
        <v>0</v>
      </c>
      <c r="I5465" s="18" t="n">
        <f aca="false">((I5464 + G5465) - H5465)</f>
        <v>764.89</v>
      </c>
      <c r="J5465" s="18" t="n">
        <v>0</v>
      </c>
      <c r="K5465" s="19" t="n">
        <v>0</v>
      </c>
      <c r="L5465" s="17"/>
    </row>
    <row r="5466" s="11" customFormat="true" ht="10.95" hidden="false" customHeight="true" outlineLevel="0" collapsed="false">
      <c r="A5466" s="16" t="n">
        <v>45170</v>
      </c>
      <c r="B5466" s="17" t="s">
        <v>2894</v>
      </c>
      <c r="C5466" s="17" t="s">
        <v>1593</v>
      </c>
      <c r="D5466" s="17" t="s">
        <v>2895</v>
      </c>
      <c r="E5466" s="17" t="s">
        <v>2896</v>
      </c>
      <c r="F5466" s="17" t="s">
        <v>1296</v>
      </c>
      <c r="G5466" s="18" t="n">
        <v>2.27</v>
      </c>
      <c r="H5466" s="18" t="n">
        <v>0</v>
      </c>
      <c r="I5466" s="18" t="n">
        <f aca="false">((I5465 + G5466) - H5466)</f>
        <v>767.16</v>
      </c>
      <c r="J5466" s="18" t="n">
        <v>0</v>
      </c>
      <c r="K5466" s="19" t="n">
        <v>0</v>
      </c>
      <c r="L5466" s="17"/>
    </row>
    <row r="5467" s="11" customFormat="true" ht="10.95" hidden="false" customHeight="true" outlineLevel="0" collapsed="false">
      <c r="A5467" s="16" t="n">
        <v>45171</v>
      </c>
      <c r="B5467" s="17" t="s">
        <v>2894</v>
      </c>
      <c r="C5467" s="17" t="s">
        <v>1593</v>
      </c>
      <c r="D5467" s="17" t="s">
        <v>2895</v>
      </c>
      <c r="E5467" s="17" t="s">
        <v>2897</v>
      </c>
      <c r="F5467" s="17" t="s">
        <v>1298</v>
      </c>
      <c r="G5467" s="18" t="n">
        <v>13.77</v>
      </c>
      <c r="H5467" s="18" t="n">
        <v>0</v>
      </c>
      <c r="I5467" s="18" t="n">
        <f aca="false">((I5466 + G5467) - H5467)</f>
        <v>780.93</v>
      </c>
      <c r="J5467" s="18" t="n">
        <v>0</v>
      </c>
      <c r="K5467" s="19" t="n">
        <v>0</v>
      </c>
      <c r="L5467" s="17"/>
    </row>
    <row r="5468" s="11" customFormat="true" ht="10.95" hidden="false" customHeight="true" outlineLevel="0" collapsed="false">
      <c r="A5468" s="16" t="n">
        <v>45173</v>
      </c>
      <c r="B5468" s="17" t="s">
        <v>2894</v>
      </c>
      <c r="C5468" s="17" t="s">
        <v>1593</v>
      </c>
      <c r="D5468" s="17" t="s">
        <v>2895</v>
      </c>
      <c r="E5468" s="17" t="s">
        <v>2898</v>
      </c>
      <c r="F5468" s="17" t="s">
        <v>2942</v>
      </c>
      <c r="G5468" s="18" t="n">
        <v>28.26</v>
      </c>
      <c r="H5468" s="18" t="n">
        <v>0</v>
      </c>
      <c r="I5468" s="18" t="n">
        <f aca="false">((I5467 + G5468) - H5468)</f>
        <v>809.19</v>
      </c>
      <c r="J5468" s="18" t="n">
        <v>0</v>
      </c>
      <c r="K5468" s="19" t="n">
        <v>0</v>
      </c>
      <c r="L5468" s="17"/>
    </row>
    <row r="5469" s="11" customFormat="true" ht="10.95" hidden="false" customHeight="true" outlineLevel="0" collapsed="false">
      <c r="A5469" s="16" t="n">
        <v>45173</v>
      </c>
      <c r="B5469" s="17" t="s">
        <v>2894</v>
      </c>
      <c r="C5469" s="17" t="s">
        <v>1593</v>
      </c>
      <c r="D5469" s="17" t="s">
        <v>2903</v>
      </c>
      <c r="E5469" s="17" t="s">
        <v>2943</v>
      </c>
      <c r="F5469" s="17" t="s">
        <v>1777</v>
      </c>
      <c r="G5469" s="18" t="n">
        <v>8.71</v>
      </c>
      <c r="H5469" s="18" t="n">
        <v>0</v>
      </c>
      <c r="I5469" s="18" t="n">
        <f aca="false">((I5468 + G5469) - H5469)</f>
        <v>817.9</v>
      </c>
      <c r="J5469" s="18" t="n">
        <v>0</v>
      </c>
      <c r="K5469" s="19" t="n">
        <v>0</v>
      </c>
      <c r="L5469" s="17"/>
    </row>
    <row r="5470" s="11" customFormat="true" ht="10.95" hidden="false" customHeight="true" outlineLevel="0" collapsed="false">
      <c r="A5470" s="16" t="n">
        <v>45176</v>
      </c>
      <c r="B5470" s="17" t="s">
        <v>2894</v>
      </c>
      <c r="C5470" s="17" t="s">
        <v>1593</v>
      </c>
      <c r="D5470" s="17" t="s">
        <v>2895</v>
      </c>
      <c r="E5470" s="17" t="s">
        <v>2922</v>
      </c>
      <c r="F5470" s="17" t="s">
        <v>2944</v>
      </c>
      <c r="G5470" s="18" t="n">
        <v>0</v>
      </c>
      <c r="H5470" s="18" t="n">
        <v>253.48</v>
      </c>
      <c r="I5470" s="18" t="n">
        <f aca="false">((I5469 + G5470) - H5470)</f>
        <v>564.42</v>
      </c>
      <c r="J5470" s="18" t="n">
        <v>0</v>
      </c>
      <c r="K5470" s="19" t="n">
        <v>0</v>
      </c>
      <c r="L5470" s="17"/>
    </row>
    <row r="5471" s="11" customFormat="true" ht="10.95" hidden="false" customHeight="true" outlineLevel="0" collapsed="false">
      <c r="A5471" s="16" t="n">
        <v>45176</v>
      </c>
      <c r="B5471" s="17" t="s">
        <v>2894</v>
      </c>
      <c r="C5471" s="17" t="s">
        <v>1593</v>
      </c>
      <c r="D5471" s="17" t="s">
        <v>2895</v>
      </c>
      <c r="E5471" s="17" t="s">
        <v>2922</v>
      </c>
      <c r="F5471" s="17" t="s">
        <v>2945</v>
      </c>
      <c r="G5471" s="18" t="n">
        <v>83</v>
      </c>
      <c r="H5471" s="18" t="n">
        <v>0</v>
      </c>
      <c r="I5471" s="18" t="n">
        <f aca="false">((I5470 + G5471) - H5471)</f>
        <v>647.42</v>
      </c>
      <c r="J5471" s="18" t="n">
        <v>0</v>
      </c>
      <c r="K5471" s="19" t="n">
        <v>0</v>
      </c>
      <c r="L5471" s="17"/>
    </row>
    <row r="5472" s="11" customFormat="true" ht="10.95" hidden="false" customHeight="true" outlineLevel="0" collapsed="false">
      <c r="A5472" s="16" t="n">
        <v>45176</v>
      </c>
      <c r="B5472" s="17" t="s">
        <v>2894</v>
      </c>
      <c r="C5472" s="17" t="s">
        <v>1593</v>
      </c>
      <c r="D5472" s="17" t="s">
        <v>2895</v>
      </c>
      <c r="E5472" s="17" t="s">
        <v>2906</v>
      </c>
      <c r="F5472" s="17" t="s">
        <v>2946</v>
      </c>
      <c r="G5472" s="18" t="n">
        <v>76.95</v>
      </c>
      <c r="H5472" s="18" t="n">
        <v>0</v>
      </c>
      <c r="I5472" s="18" t="n">
        <f aca="false">((I5471 + G5472) - H5472)</f>
        <v>724.37</v>
      </c>
      <c r="J5472" s="18" t="n">
        <v>0</v>
      </c>
      <c r="K5472" s="19" t="n">
        <v>0</v>
      </c>
      <c r="L5472" s="17"/>
    </row>
    <row r="5473" s="11" customFormat="true" ht="10.95" hidden="false" customHeight="true" outlineLevel="0" collapsed="false">
      <c r="A5473" s="16" t="n">
        <v>45177</v>
      </c>
      <c r="B5473" s="17" t="s">
        <v>2894</v>
      </c>
      <c r="C5473" s="17" t="s">
        <v>1593</v>
      </c>
      <c r="D5473" s="17" t="s">
        <v>2903</v>
      </c>
      <c r="E5473" s="17" t="s">
        <v>2904</v>
      </c>
      <c r="F5473" s="17" t="s">
        <v>1437</v>
      </c>
      <c r="G5473" s="18" t="n">
        <v>0</v>
      </c>
      <c r="H5473" s="18" t="n">
        <v>33.94</v>
      </c>
      <c r="I5473" s="18" t="n">
        <f aca="false">((I5472 + G5473) - H5473)</f>
        <v>690.43</v>
      </c>
      <c r="J5473" s="18" t="n">
        <v>0</v>
      </c>
      <c r="K5473" s="19" t="n">
        <v>0</v>
      </c>
      <c r="L5473" s="17"/>
    </row>
    <row r="5474" s="11" customFormat="true" ht="10.95" hidden="false" customHeight="true" outlineLevel="0" collapsed="false">
      <c r="A5474" s="16" t="n">
        <v>45180</v>
      </c>
      <c r="B5474" s="17" t="s">
        <v>2894</v>
      </c>
      <c r="C5474" s="17" t="s">
        <v>1593</v>
      </c>
      <c r="D5474" s="17" t="s">
        <v>2895</v>
      </c>
      <c r="E5474" s="17" t="s">
        <v>2947</v>
      </c>
      <c r="F5474" s="17" t="s">
        <v>2948</v>
      </c>
      <c r="G5474" s="18" t="n">
        <v>239.22</v>
      </c>
      <c r="H5474" s="18" t="n">
        <v>0</v>
      </c>
      <c r="I5474" s="18" t="n">
        <f aca="false">((I5473 + G5474) - H5474)</f>
        <v>929.65</v>
      </c>
      <c r="J5474" s="18" t="n">
        <v>0</v>
      </c>
      <c r="K5474" s="19" t="n">
        <v>0</v>
      </c>
      <c r="L5474" s="17"/>
    </row>
    <row r="5475" s="11" customFormat="true" ht="10.95" hidden="false" customHeight="true" outlineLevel="0" collapsed="false">
      <c r="A5475" s="16" t="n">
        <v>45182</v>
      </c>
      <c r="B5475" s="17" t="s">
        <v>2894</v>
      </c>
      <c r="C5475" s="17" t="s">
        <v>1593</v>
      </c>
      <c r="D5475" s="17" t="s">
        <v>2895</v>
      </c>
      <c r="E5475" s="17" t="s">
        <v>2900</v>
      </c>
      <c r="F5475" s="17" t="s">
        <v>2949</v>
      </c>
      <c r="G5475" s="18" t="n">
        <v>32.94</v>
      </c>
      <c r="H5475" s="18" t="n">
        <v>0</v>
      </c>
      <c r="I5475" s="18" t="n">
        <f aca="false">((I5474 + G5475) - H5475)</f>
        <v>962.59</v>
      </c>
      <c r="J5475" s="18" t="n">
        <v>0</v>
      </c>
      <c r="K5475" s="19" t="n">
        <v>0</v>
      </c>
      <c r="L5475" s="17"/>
    </row>
    <row r="5476" s="11" customFormat="true" ht="10.95" hidden="false" customHeight="true" outlineLevel="0" collapsed="false">
      <c r="A5476" s="16" t="n">
        <v>45182</v>
      </c>
      <c r="B5476" s="17" t="s">
        <v>2894</v>
      </c>
      <c r="C5476" s="17" t="s">
        <v>1593</v>
      </c>
      <c r="D5476" s="17" t="s">
        <v>2895</v>
      </c>
      <c r="E5476" s="17" t="s">
        <v>2900</v>
      </c>
      <c r="F5476" s="17" t="s">
        <v>2950</v>
      </c>
      <c r="G5476" s="18" t="n">
        <v>18.15</v>
      </c>
      <c r="H5476" s="18" t="n">
        <v>0</v>
      </c>
      <c r="I5476" s="18" t="n">
        <f aca="false">((I5475 + G5476) - H5476)</f>
        <v>980.74</v>
      </c>
      <c r="J5476" s="18" t="n">
        <v>0</v>
      </c>
      <c r="K5476" s="19" t="n">
        <v>0</v>
      </c>
      <c r="L5476" s="17"/>
    </row>
    <row r="5477" s="11" customFormat="true" ht="10.95" hidden="false" customHeight="true" outlineLevel="0" collapsed="false">
      <c r="A5477" s="16" t="n">
        <v>45189</v>
      </c>
      <c r="B5477" s="17" t="s">
        <v>2894</v>
      </c>
      <c r="C5477" s="17" t="s">
        <v>1593</v>
      </c>
      <c r="D5477" s="17" t="s">
        <v>2895</v>
      </c>
      <c r="E5477" s="17" t="s">
        <v>2951</v>
      </c>
      <c r="F5477" s="17" t="s">
        <v>2952</v>
      </c>
      <c r="G5477" s="18" t="n">
        <v>40.48</v>
      </c>
      <c r="H5477" s="18" t="n">
        <v>0</v>
      </c>
      <c r="I5477" s="18" t="n">
        <f aca="false">((I5476 + G5477) - H5477)</f>
        <v>1021.22</v>
      </c>
      <c r="J5477" s="18" t="n">
        <v>0</v>
      </c>
      <c r="K5477" s="19" t="n">
        <v>0</v>
      </c>
      <c r="L5477" s="17"/>
    </row>
    <row r="5478" s="11" customFormat="true" ht="10.95" hidden="false" customHeight="true" outlineLevel="0" collapsed="false">
      <c r="A5478" s="16" t="n">
        <v>45190</v>
      </c>
      <c r="B5478" s="17" t="s">
        <v>2894</v>
      </c>
      <c r="C5478" s="17" t="s">
        <v>1593</v>
      </c>
      <c r="D5478" s="17" t="s">
        <v>2895</v>
      </c>
      <c r="E5478" s="17" t="s">
        <v>2900</v>
      </c>
      <c r="F5478" s="17" t="s">
        <v>2953</v>
      </c>
      <c r="G5478" s="18" t="n">
        <v>5.63</v>
      </c>
      <c r="H5478" s="18" t="n">
        <v>0</v>
      </c>
      <c r="I5478" s="18" t="n">
        <f aca="false">((I5477 + G5478) - H5478)</f>
        <v>1026.85</v>
      </c>
      <c r="J5478" s="18" t="n">
        <v>0</v>
      </c>
      <c r="K5478" s="19" t="n">
        <v>0</v>
      </c>
      <c r="L5478" s="17"/>
    </row>
    <row r="5479" s="11" customFormat="true" ht="10.95" hidden="false" customHeight="true" outlineLevel="0" collapsed="false">
      <c r="A5479" s="16" t="n">
        <v>45191</v>
      </c>
      <c r="B5479" s="17" t="s">
        <v>2894</v>
      </c>
      <c r="C5479" s="17" t="s">
        <v>1593</v>
      </c>
      <c r="D5479" s="17" t="s">
        <v>2903</v>
      </c>
      <c r="E5479" s="17" t="s">
        <v>2954</v>
      </c>
      <c r="F5479" s="17" t="s">
        <v>2624</v>
      </c>
      <c r="G5479" s="18" t="n">
        <v>4.4</v>
      </c>
      <c r="H5479" s="18" t="n">
        <v>0</v>
      </c>
      <c r="I5479" s="18" t="n">
        <f aca="false">((I5478 + G5479) - H5479)</f>
        <v>1031.25</v>
      </c>
      <c r="J5479" s="18" t="n">
        <v>0</v>
      </c>
      <c r="K5479" s="19" t="n">
        <v>0</v>
      </c>
      <c r="L5479" s="17"/>
    </row>
    <row r="5480" s="11" customFormat="true" ht="10.95" hidden="false" customHeight="true" outlineLevel="0" collapsed="false">
      <c r="A5480" s="16" t="n">
        <v>45191</v>
      </c>
      <c r="B5480" s="17" t="s">
        <v>2894</v>
      </c>
      <c r="C5480" s="17" t="s">
        <v>1593</v>
      </c>
      <c r="D5480" s="17" t="s">
        <v>2895</v>
      </c>
      <c r="E5480" s="17" t="s">
        <v>2925</v>
      </c>
      <c r="F5480" s="17" t="s">
        <v>2955</v>
      </c>
      <c r="G5480" s="18" t="n">
        <v>7.86</v>
      </c>
      <c r="H5480" s="18" t="n">
        <v>0</v>
      </c>
      <c r="I5480" s="18" t="n">
        <f aca="false">((I5479 + G5480) - H5480)</f>
        <v>1039.11</v>
      </c>
      <c r="J5480" s="18" t="n">
        <v>0</v>
      </c>
      <c r="K5480" s="19" t="n">
        <v>0</v>
      </c>
      <c r="L5480" s="17"/>
    </row>
    <row r="5481" s="11" customFormat="true" ht="10.95" hidden="false" customHeight="true" outlineLevel="0" collapsed="false">
      <c r="A5481" s="16" t="n">
        <v>45194</v>
      </c>
      <c r="B5481" s="17" t="s">
        <v>2894</v>
      </c>
      <c r="C5481" s="17" t="s">
        <v>1593</v>
      </c>
      <c r="D5481" s="17" t="s">
        <v>2895</v>
      </c>
      <c r="E5481" s="17" t="s">
        <v>2910</v>
      </c>
      <c r="F5481" s="17" t="s">
        <v>2956</v>
      </c>
      <c r="G5481" s="18" t="n">
        <v>91.6</v>
      </c>
      <c r="H5481" s="18" t="n">
        <v>0</v>
      </c>
      <c r="I5481" s="18" t="n">
        <f aca="false">((I5480 + G5481) - H5481)</f>
        <v>1130.71</v>
      </c>
      <c r="J5481" s="18" t="n">
        <v>0</v>
      </c>
      <c r="K5481" s="19" t="n">
        <v>0</v>
      </c>
      <c r="L5481" s="17"/>
    </row>
    <row r="5482" s="11" customFormat="true" ht="10.95" hidden="false" customHeight="true" outlineLevel="0" collapsed="false">
      <c r="A5482" s="16" t="n">
        <v>45194</v>
      </c>
      <c r="B5482" s="17" t="s">
        <v>2894</v>
      </c>
      <c r="C5482" s="17" t="s">
        <v>1593</v>
      </c>
      <c r="D5482" s="17" t="s">
        <v>2895</v>
      </c>
      <c r="E5482" s="17" t="s">
        <v>2910</v>
      </c>
      <c r="F5482" s="17" t="s">
        <v>2957</v>
      </c>
      <c r="G5482" s="18" t="n">
        <v>19.59</v>
      </c>
      <c r="H5482" s="18" t="n">
        <v>0</v>
      </c>
      <c r="I5482" s="18" t="n">
        <f aca="false">((I5481 + G5482) - H5482)</f>
        <v>1150.3</v>
      </c>
      <c r="J5482" s="18" t="n">
        <v>0</v>
      </c>
      <c r="K5482" s="19" t="n">
        <v>0</v>
      </c>
      <c r="L5482" s="17"/>
    </row>
    <row r="5483" s="11" customFormat="true" ht="10.95" hidden="false" customHeight="true" outlineLevel="0" collapsed="false">
      <c r="A5483" s="16" t="n">
        <v>45200</v>
      </c>
      <c r="B5483" s="17" t="s">
        <v>2894</v>
      </c>
      <c r="C5483" s="17" t="s">
        <v>1593</v>
      </c>
      <c r="D5483" s="17" t="s">
        <v>2895</v>
      </c>
      <c r="E5483" s="17" t="s">
        <v>2897</v>
      </c>
      <c r="F5483" s="17" t="s">
        <v>1308</v>
      </c>
      <c r="G5483" s="18" t="n">
        <v>13.72</v>
      </c>
      <c r="H5483" s="18" t="n">
        <v>0</v>
      </c>
      <c r="I5483" s="18" t="n">
        <f aca="false">((I5482 + G5483) - H5483)</f>
        <v>1164.02</v>
      </c>
      <c r="J5483" s="18" t="n">
        <v>0</v>
      </c>
      <c r="K5483" s="19" t="n">
        <v>0</v>
      </c>
      <c r="L5483" s="17"/>
    </row>
    <row r="5484" s="11" customFormat="true" ht="10.95" hidden="false" customHeight="true" outlineLevel="0" collapsed="false">
      <c r="A5484" s="16" t="n">
        <v>45200</v>
      </c>
      <c r="B5484" s="17" t="s">
        <v>2894</v>
      </c>
      <c r="C5484" s="17" t="s">
        <v>1593</v>
      </c>
      <c r="D5484" s="17" t="s">
        <v>2895</v>
      </c>
      <c r="E5484" s="17" t="s">
        <v>2896</v>
      </c>
      <c r="F5484" s="17" t="s">
        <v>1310</v>
      </c>
      <c r="G5484" s="18" t="n">
        <v>1.96</v>
      </c>
      <c r="H5484" s="18" t="n">
        <v>0</v>
      </c>
      <c r="I5484" s="18" t="n">
        <f aca="false">((I5483 + G5484) - H5484)</f>
        <v>1165.98</v>
      </c>
      <c r="J5484" s="18" t="n">
        <v>0</v>
      </c>
      <c r="K5484" s="19" t="n">
        <v>0</v>
      </c>
      <c r="L5484" s="17"/>
    </row>
    <row r="5485" s="11" customFormat="true" ht="10.95" hidden="false" customHeight="true" outlineLevel="0" collapsed="false">
      <c r="A5485" s="16" t="n">
        <v>45201</v>
      </c>
      <c r="B5485" s="17" t="s">
        <v>2894</v>
      </c>
      <c r="C5485" s="17" t="s">
        <v>1593</v>
      </c>
      <c r="D5485" s="17" t="s">
        <v>2895</v>
      </c>
      <c r="E5485" s="17" t="s">
        <v>2917</v>
      </c>
      <c r="F5485" s="17" t="s">
        <v>2958</v>
      </c>
      <c r="G5485" s="18" t="n">
        <v>89.06</v>
      </c>
      <c r="H5485" s="18" t="n">
        <v>0</v>
      </c>
      <c r="I5485" s="18" t="n">
        <f aca="false">((I5484 + G5485) - H5485)</f>
        <v>1255.04</v>
      </c>
      <c r="J5485" s="18" t="n">
        <v>0</v>
      </c>
      <c r="K5485" s="19" t="n">
        <v>0</v>
      </c>
      <c r="L5485" s="17"/>
    </row>
    <row r="5486" s="11" customFormat="true" ht="10.95" hidden="false" customHeight="true" outlineLevel="0" collapsed="false">
      <c r="A5486" s="16" t="n">
        <v>45201</v>
      </c>
      <c r="B5486" s="17" t="s">
        <v>2894</v>
      </c>
      <c r="C5486" s="17" t="s">
        <v>1593</v>
      </c>
      <c r="D5486" s="17" t="s">
        <v>2895</v>
      </c>
      <c r="E5486" s="17" t="s">
        <v>2917</v>
      </c>
      <c r="F5486" s="17" t="s">
        <v>2959</v>
      </c>
      <c r="G5486" s="18" t="n">
        <v>14.28</v>
      </c>
      <c r="H5486" s="18" t="n">
        <v>0</v>
      </c>
      <c r="I5486" s="18" t="n">
        <f aca="false">((I5485 + G5486) - H5486)</f>
        <v>1269.32</v>
      </c>
      <c r="J5486" s="18" t="n">
        <v>0</v>
      </c>
      <c r="K5486" s="19" t="n">
        <v>0</v>
      </c>
      <c r="L5486" s="17"/>
    </row>
    <row r="5487" s="11" customFormat="true" ht="10.95" hidden="false" customHeight="true" outlineLevel="0" collapsed="false">
      <c r="A5487" s="16" t="n">
        <v>45201</v>
      </c>
      <c r="B5487" s="17" t="s">
        <v>2894</v>
      </c>
      <c r="C5487" s="17" t="s">
        <v>1593</v>
      </c>
      <c r="D5487" s="17" t="s">
        <v>2895</v>
      </c>
      <c r="E5487" s="17" t="s">
        <v>2898</v>
      </c>
      <c r="F5487" s="17" t="s">
        <v>2960</v>
      </c>
      <c r="G5487" s="18" t="n">
        <v>23.75</v>
      </c>
      <c r="H5487" s="18" t="n">
        <v>0</v>
      </c>
      <c r="I5487" s="18" t="n">
        <f aca="false">((I5486 + G5487) - H5487)</f>
        <v>1293.07</v>
      </c>
      <c r="J5487" s="18" t="n">
        <v>0</v>
      </c>
      <c r="K5487" s="19" t="n">
        <v>0</v>
      </c>
      <c r="L5487" s="17"/>
    </row>
    <row r="5488" s="11" customFormat="true" ht="10.95" hidden="false" customHeight="true" outlineLevel="0" collapsed="false">
      <c r="A5488" s="16" t="n">
        <v>45202</v>
      </c>
      <c r="B5488" s="17" t="s">
        <v>2894</v>
      </c>
      <c r="C5488" s="17" t="s">
        <v>1593</v>
      </c>
      <c r="D5488" s="17" t="s">
        <v>2903</v>
      </c>
      <c r="E5488" s="17" t="s">
        <v>2904</v>
      </c>
      <c r="F5488" s="17" t="s">
        <v>2961</v>
      </c>
      <c r="G5488" s="18" t="n">
        <v>1.02</v>
      </c>
      <c r="H5488" s="18" t="n">
        <v>0</v>
      </c>
      <c r="I5488" s="18" t="n">
        <f aca="false">((I5487 + G5488) - H5488)</f>
        <v>1294.09</v>
      </c>
      <c r="J5488" s="18" t="n">
        <v>0</v>
      </c>
      <c r="K5488" s="19" t="n">
        <v>0</v>
      </c>
      <c r="L5488" s="17"/>
    </row>
    <row r="5489" s="11" customFormat="true" ht="10.95" hidden="false" customHeight="true" outlineLevel="0" collapsed="false">
      <c r="A5489" s="16" t="n">
        <v>45203</v>
      </c>
      <c r="B5489" s="17" t="s">
        <v>2894</v>
      </c>
      <c r="C5489" s="17" t="s">
        <v>1593</v>
      </c>
      <c r="D5489" s="17" t="s">
        <v>2895</v>
      </c>
      <c r="E5489" s="17" t="s">
        <v>2947</v>
      </c>
      <c r="F5489" s="17" t="s">
        <v>2962</v>
      </c>
      <c r="G5489" s="18" t="n">
        <v>66.19</v>
      </c>
      <c r="H5489" s="18" t="n">
        <v>0</v>
      </c>
      <c r="I5489" s="18" t="n">
        <f aca="false">((I5488 + G5489) - H5489)</f>
        <v>1360.28</v>
      </c>
      <c r="J5489" s="18" t="n">
        <v>0</v>
      </c>
      <c r="K5489" s="19" t="n">
        <v>0</v>
      </c>
      <c r="L5489" s="17"/>
    </row>
    <row r="5490" s="11" customFormat="true" ht="10.95" hidden="false" customHeight="true" outlineLevel="0" collapsed="false">
      <c r="A5490" s="16" t="n">
        <v>45205</v>
      </c>
      <c r="B5490" s="17" t="s">
        <v>2894</v>
      </c>
      <c r="C5490" s="17" t="s">
        <v>1593</v>
      </c>
      <c r="D5490" s="17" t="s">
        <v>2903</v>
      </c>
      <c r="E5490" s="17" t="s">
        <v>2904</v>
      </c>
      <c r="F5490" s="17" t="s">
        <v>1446</v>
      </c>
      <c r="G5490" s="18" t="n">
        <v>44.42</v>
      </c>
      <c r="H5490" s="18" t="n">
        <v>0</v>
      </c>
      <c r="I5490" s="18" t="n">
        <f aca="false">((I5489 + G5490) - H5490)</f>
        <v>1404.7</v>
      </c>
      <c r="J5490" s="18" t="n">
        <v>0</v>
      </c>
      <c r="K5490" s="19" t="n">
        <v>0</v>
      </c>
      <c r="L5490" s="17"/>
    </row>
    <row r="5491" s="11" customFormat="true" ht="10.95" hidden="false" customHeight="true" outlineLevel="0" collapsed="false">
      <c r="A5491" s="16" t="n">
        <v>45206</v>
      </c>
      <c r="B5491" s="17" t="s">
        <v>2894</v>
      </c>
      <c r="C5491" s="17" t="s">
        <v>1593</v>
      </c>
      <c r="D5491" s="17" t="s">
        <v>2903</v>
      </c>
      <c r="E5491" s="17" t="s">
        <v>2963</v>
      </c>
      <c r="F5491" s="17" t="s">
        <v>2649</v>
      </c>
      <c r="G5491" s="18" t="n">
        <v>4.73</v>
      </c>
      <c r="H5491" s="18" t="n">
        <v>0</v>
      </c>
      <c r="I5491" s="18" t="n">
        <f aca="false">((I5490 + G5491) - H5491)</f>
        <v>1409.43</v>
      </c>
      <c r="J5491" s="18" t="n">
        <v>0</v>
      </c>
      <c r="K5491" s="19" t="n">
        <v>0</v>
      </c>
      <c r="L5491" s="17"/>
    </row>
    <row r="5492" s="11" customFormat="true" ht="10.95" hidden="false" customHeight="true" outlineLevel="0" collapsed="false">
      <c r="A5492" s="16" t="n">
        <v>45208</v>
      </c>
      <c r="B5492" s="17" t="s">
        <v>2894</v>
      </c>
      <c r="C5492" s="17" t="s">
        <v>1593</v>
      </c>
      <c r="D5492" s="17" t="s">
        <v>2895</v>
      </c>
      <c r="E5492" s="17" t="s">
        <v>2964</v>
      </c>
      <c r="F5492" s="17" t="s">
        <v>1312</v>
      </c>
      <c r="G5492" s="18" t="n">
        <v>29.49</v>
      </c>
      <c r="H5492" s="18" t="n">
        <v>0</v>
      </c>
      <c r="I5492" s="18" t="n">
        <f aca="false">((I5491 + G5492) - H5492)</f>
        <v>1438.92</v>
      </c>
      <c r="J5492" s="18" t="n">
        <v>0</v>
      </c>
      <c r="K5492" s="19" t="n">
        <v>0</v>
      </c>
      <c r="L5492" s="17"/>
    </row>
    <row r="5493" s="11" customFormat="true" ht="10.95" hidden="false" customHeight="true" outlineLevel="0" collapsed="false">
      <c r="A5493" s="16" t="n">
        <v>45208</v>
      </c>
      <c r="B5493" s="17" t="s">
        <v>2894</v>
      </c>
      <c r="C5493" s="17" t="s">
        <v>1593</v>
      </c>
      <c r="D5493" s="17" t="s">
        <v>2895</v>
      </c>
      <c r="E5493" s="17" t="s">
        <v>2900</v>
      </c>
      <c r="F5493" s="17" t="s">
        <v>2965</v>
      </c>
      <c r="G5493" s="18" t="n">
        <v>2.13</v>
      </c>
      <c r="H5493" s="18" t="n">
        <v>0</v>
      </c>
      <c r="I5493" s="18" t="n">
        <f aca="false">((I5492 + G5493) - H5493)</f>
        <v>1441.05</v>
      </c>
      <c r="J5493" s="18" t="n">
        <v>0</v>
      </c>
      <c r="K5493" s="19" t="n">
        <v>0</v>
      </c>
      <c r="L5493" s="17"/>
    </row>
    <row r="5494" s="11" customFormat="true" ht="10.95" hidden="false" customHeight="true" outlineLevel="0" collapsed="false">
      <c r="A5494" s="16" t="n">
        <v>45208</v>
      </c>
      <c r="B5494" s="17" t="s">
        <v>2894</v>
      </c>
      <c r="C5494" s="17" t="s">
        <v>1593</v>
      </c>
      <c r="D5494" s="17" t="s">
        <v>2895</v>
      </c>
      <c r="E5494" s="17" t="s">
        <v>2900</v>
      </c>
      <c r="F5494" s="17" t="s">
        <v>2966</v>
      </c>
      <c r="G5494" s="18" t="n">
        <v>4.57</v>
      </c>
      <c r="H5494" s="18" t="n">
        <v>0</v>
      </c>
      <c r="I5494" s="18" t="n">
        <f aca="false">((I5493 + G5494) - H5494)</f>
        <v>1445.62</v>
      </c>
      <c r="J5494" s="18" t="n">
        <v>0</v>
      </c>
      <c r="K5494" s="19" t="n">
        <v>0</v>
      </c>
      <c r="L5494" s="17"/>
    </row>
    <row r="5495" s="11" customFormat="true" ht="10.95" hidden="false" customHeight="true" outlineLevel="0" collapsed="false">
      <c r="A5495" s="16" t="n">
        <v>45208</v>
      </c>
      <c r="B5495" s="17" t="s">
        <v>2894</v>
      </c>
      <c r="C5495" s="17" t="s">
        <v>1593</v>
      </c>
      <c r="D5495" s="17" t="s">
        <v>2895</v>
      </c>
      <c r="E5495" s="17" t="s">
        <v>2900</v>
      </c>
      <c r="F5495" s="17" t="s">
        <v>2967</v>
      </c>
      <c r="G5495" s="18" t="n">
        <v>0.33</v>
      </c>
      <c r="H5495" s="18" t="n">
        <v>0</v>
      </c>
      <c r="I5495" s="18" t="n">
        <f aca="false">((I5494 + G5495) - H5495)</f>
        <v>1445.95</v>
      </c>
      <c r="J5495" s="18" t="n">
        <v>0</v>
      </c>
      <c r="K5495" s="19" t="n">
        <v>0</v>
      </c>
      <c r="L5495" s="17"/>
    </row>
    <row r="5496" s="11" customFormat="true" ht="10.95" hidden="false" customHeight="true" outlineLevel="0" collapsed="false">
      <c r="A5496" s="16" t="n">
        <v>45211</v>
      </c>
      <c r="B5496" s="17" t="s">
        <v>2894</v>
      </c>
      <c r="C5496" s="17" t="s">
        <v>1593</v>
      </c>
      <c r="D5496" s="17" t="s">
        <v>2895</v>
      </c>
      <c r="E5496" s="17" t="s">
        <v>2906</v>
      </c>
      <c r="F5496" s="17" t="s">
        <v>2968</v>
      </c>
      <c r="G5496" s="18" t="n">
        <v>32.18</v>
      </c>
      <c r="H5496" s="18" t="n">
        <v>0</v>
      </c>
      <c r="I5496" s="18" t="n">
        <f aca="false">((I5495 + G5496) - H5496)</f>
        <v>1478.13</v>
      </c>
      <c r="J5496" s="18" t="n">
        <v>0</v>
      </c>
      <c r="K5496" s="19" t="n">
        <v>0</v>
      </c>
      <c r="L5496" s="17"/>
    </row>
    <row r="5497" s="11" customFormat="true" ht="10.95" hidden="false" customHeight="true" outlineLevel="0" collapsed="false">
      <c r="A5497" s="16" t="n">
        <v>45211</v>
      </c>
      <c r="B5497" s="17" t="s">
        <v>2894</v>
      </c>
      <c r="C5497" s="17" t="s">
        <v>1593</v>
      </c>
      <c r="D5497" s="17" t="s">
        <v>2903</v>
      </c>
      <c r="E5497" s="17" t="s">
        <v>2908</v>
      </c>
      <c r="F5497" s="17" t="s">
        <v>1427</v>
      </c>
      <c r="G5497" s="18" t="n">
        <v>18.33</v>
      </c>
      <c r="H5497" s="18" t="n">
        <v>0</v>
      </c>
      <c r="I5497" s="18" t="n">
        <f aca="false">((I5496 + G5497) - H5497)</f>
        <v>1496.46</v>
      </c>
      <c r="J5497" s="18" t="n">
        <v>0</v>
      </c>
      <c r="K5497" s="19" t="n">
        <v>0</v>
      </c>
      <c r="L5497" s="17"/>
    </row>
    <row r="5498" s="11" customFormat="true" ht="10.95" hidden="false" customHeight="true" outlineLevel="0" collapsed="false">
      <c r="A5498" s="16" t="n">
        <v>45211</v>
      </c>
      <c r="B5498" s="17" t="s">
        <v>2894</v>
      </c>
      <c r="C5498" s="17" t="s">
        <v>1593</v>
      </c>
      <c r="D5498" s="17" t="s">
        <v>2903</v>
      </c>
      <c r="E5498" s="17" t="s">
        <v>2908</v>
      </c>
      <c r="F5498" s="17" t="s">
        <v>2300</v>
      </c>
      <c r="G5498" s="18" t="n">
        <v>15.77</v>
      </c>
      <c r="H5498" s="18" t="n">
        <v>0</v>
      </c>
      <c r="I5498" s="18" t="n">
        <f aca="false">((I5497 + G5498) - H5498)</f>
        <v>1512.23</v>
      </c>
      <c r="J5498" s="18" t="n">
        <v>0</v>
      </c>
      <c r="K5498" s="19" t="n">
        <v>0</v>
      </c>
      <c r="L5498" s="17"/>
    </row>
    <row r="5499" s="11" customFormat="true" ht="10.95" hidden="false" customHeight="true" outlineLevel="0" collapsed="false">
      <c r="A5499" s="16" t="n">
        <v>45211</v>
      </c>
      <c r="B5499" s="17" t="s">
        <v>2894</v>
      </c>
      <c r="C5499" s="17" t="s">
        <v>1593</v>
      </c>
      <c r="D5499" s="17" t="s">
        <v>2903</v>
      </c>
      <c r="E5499" s="17" t="s">
        <v>2969</v>
      </c>
      <c r="F5499" s="17" t="s">
        <v>2331</v>
      </c>
      <c r="G5499" s="18" t="n">
        <v>1.48</v>
      </c>
      <c r="H5499" s="18" t="n">
        <v>0</v>
      </c>
      <c r="I5499" s="18" t="n">
        <f aca="false">((I5498 + G5499) - H5499)</f>
        <v>1513.71</v>
      </c>
      <c r="J5499" s="18" t="n">
        <v>0</v>
      </c>
      <c r="K5499" s="19" t="n">
        <v>0</v>
      </c>
      <c r="L5499" s="17"/>
    </row>
    <row r="5500" s="11" customFormat="true" ht="10.95" hidden="false" customHeight="true" outlineLevel="0" collapsed="false">
      <c r="A5500" s="16" t="n">
        <v>45216</v>
      </c>
      <c r="B5500" s="17" t="s">
        <v>2894</v>
      </c>
      <c r="C5500" s="17" t="s">
        <v>1593</v>
      </c>
      <c r="D5500" s="17" t="s">
        <v>2895</v>
      </c>
      <c r="E5500" s="17" t="s">
        <v>2951</v>
      </c>
      <c r="F5500" s="17" t="s">
        <v>2970</v>
      </c>
      <c r="G5500" s="18" t="n">
        <v>35.63</v>
      </c>
      <c r="H5500" s="18" t="n">
        <v>0</v>
      </c>
      <c r="I5500" s="18" t="n">
        <f aca="false">((I5499 + G5500) - H5500)</f>
        <v>1549.34</v>
      </c>
      <c r="J5500" s="18" t="n">
        <v>0</v>
      </c>
      <c r="K5500" s="19" t="n">
        <v>0</v>
      </c>
      <c r="L5500" s="17"/>
    </row>
    <row r="5501" s="11" customFormat="true" ht="10.95" hidden="false" customHeight="true" outlineLevel="0" collapsed="false">
      <c r="A5501" s="16" t="n">
        <v>45216</v>
      </c>
      <c r="B5501" s="17" t="s">
        <v>2894</v>
      </c>
      <c r="C5501" s="17" t="s">
        <v>1593</v>
      </c>
      <c r="D5501" s="17" t="s">
        <v>2895</v>
      </c>
      <c r="E5501" s="17" t="s">
        <v>2951</v>
      </c>
      <c r="F5501" s="17" t="s">
        <v>2971</v>
      </c>
      <c r="G5501" s="18" t="n">
        <v>27.64</v>
      </c>
      <c r="H5501" s="18" t="n">
        <v>0</v>
      </c>
      <c r="I5501" s="18" t="n">
        <f aca="false">((I5500 + G5501) - H5501)</f>
        <v>1576.98</v>
      </c>
      <c r="J5501" s="18" t="n">
        <v>0</v>
      </c>
      <c r="K5501" s="19" t="n">
        <v>0</v>
      </c>
      <c r="L5501" s="17"/>
    </row>
    <row r="5502" s="11" customFormat="true" ht="10.95" hidden="false" customHeight="true" outlineLevel="0" collapsed="false">
      <c r="A5502" s="16" t="n">
        <v>45217</v>
      </c>
      <c r="B5502" s="17" t="s">
        <v>2894</v>
      </c>
      <c r="C5502" s="17" t="s">
        <v>1593</v>
      </c>
      <c r="D5502" s="17" t="s">
        <v>2895</v>
      </c>
      <c r="E5502" s="17" t="s">
        <v>2900</v>
      </c>
      <c r="F5502" s="17" t="s">
        <v>2972</v>
      </c>
      <c r="G5502" s="18" t="n">
        <v>19.29</v>
      </c>
      <c r="H5502" s="18" t="n">
        <v>0</v>
      </c>
      <c r="I5502" s="18" t="n">
        <f aca="false">((I5501 + G5502) - H5502)</f>
        <v>1596.27</v>
      </c>
      <c r="J5502" s="18" t="n">
        <v>0</v>
      </c>
      <c r="K5502" s="19" t="n">
        <v>0</v>
      </c>
      <c r="L5502" s="17"/>
    </row>
    <row r="5503" s="11" customFormat="true" ht="10.95" hidden="false" customHeight="true" outlineLevel="0" collapsed="false">
      <c r="A5503" s="16" t="n">
        <v>45217</v>
      </c>
      <c r="B5503" s="17" t="s">
        <v>2894</v>
      </c>
      <c r="C5503" s="17" t="s">
        <v>1593</v>
      </c>
      <c r="D5503" s="17" t="s">
        <v>2895</v>
      </c>
      <c r="E5503" s="17" t="s">
        <v>2900</v>
      </c>
      <c r="F5503" s="17" t="s">
        <v>2973</v>
      </c>
      <c r="G5503" s="18" t="n">
        <v>5.39</v>
      </c>
      <c r="H5503" s="18" t="n">
        <v>0</v>
      </c>
      <c r="I5503" s="18" t="n">
        <f aca="false">((I5502 + G5503) - H5503)</f>
        <v>1601.66</v>
      </c>
      <c r="J5503" s="18" t="n">
        <v>0</v>
      </c>
      <c r="K5503" s="19" t="n">
        <v>0</v>
      </c>
      <c r="L5503" s="17"/>
    </row>
    <row r="5504" s="11" customFormat="true" ht="10.95" hidden="false" customHeight="true" outlineLevel="0" collapsed="false">
      <c r="A5504" s="16" t="n">
        <v>45217</v>
      </c>
      <c r="B5504" s="17" t="s">
        <v>2894</v>
      </c>
      <c r="C5504" s="17" t="s">
        <v>1593</v>
      </c>
      <c r="D5504" s="17" t="s">
        <v>2895</v>
      </c>
      <c r="E5504" s="17" t="s">
        <v>2925</v>
      </c>
      <c r="F5504" s="17" t="s">
        <v>2974</v>
      </c>
      <c r="G5504" s="18" t="n">
        <v>4.31</v>
      </c>
      <c r="H5504" s="18" t="n">
        <v>0</v>
      </c>
      <c r="I5504" s="18" t="n">
        <f aca="false">((I5503 + G5504) - H5504)</f>
        <v>1605.97</v>
      </c>
      <c r="J5504" s="18" t="n">
        <v>0</v>
      </c>
      <c r="K5504" s="19" t="n">
        <v>0</v>
      </c>
      <c r="L5504" s="17"/>
    </row>
    <row r="5505" s="11" customFormat="true" ht="10.95" hidden="false" customHeight="true" outlineLevel="0" collapsed="false">
      <c r="A5505" s="16" t="n">
        <v>45217</v>
      </c>
      <c r="B5505" s="17" t="s">
        <v>2894</v>
      </c>
      <c r="C5505" s="17" t="s">
        <v>1593</v>
      </c>
      <c r="D5505" s="17" t="s">
        <v>2895</v>
      </c>
      <c r="E5505" s="17" t="s">
        <v>2925</v>
      </c>
      <c r="F5505" s="17" t="s">
        <v>2975</v>
      </c>
      <c r="G5505" s="18" t="n">
        <v>9.04</v>
      </c>
      <c r="H5505" s="18" t="n">
        <v>0</v>
      </c>
      <c r="I5505" s="18" t="n">
        <f aca="false">((I5504 + G5505) - H5505)</f>
        <v>1615.01</v>
      </c>
      <c r="J5505" s="18" t="n">
        <v>0</v>
      </c>
      <c r="K5505" s="19" t="n">
        <v>0</v>
      </c>
      <c r="L5505" s="17"/>
    </row>
    <row r="5506" s="11" customFormat="true" ht="10.95" hidden="false" customHeight="true" outlineLevel="0" collapsed="false">
      <c r="A5506" s="16" t="n">
        <v>45217</v>
      </c>
      <c r="B5506" s="17" t="s">
        <v>2894</v>
      </c>
      <c r="C5506" s="17" t="s">
        <v>1593</v>
      </c>
      <c r="D5506" s="17" t="s">
        <v>2895</v>
      </c>
      <c r="E5506" s="17" t="s">
        <v>2925</v>
      </c>
      <c r="F5506" s="17" t="s">
        <v>2976</v>
      </c>
      <c r="G5506" s="18" t="n">
        <v>0</v>
      </c>
      <c r="H5506" s="18" t="n">
        <v>4.36</v>
      </c>
      <c r="I5506" s="18" t="n">
        <f aca="false">((I5505 + G5506) - H5506)</f>
        <v>1610.65</v>
      </c>
      <c r="J5506" s="18" t="n">
        <v>0</v>
      </c>
      <c r="K5506" s="19" t="n">
        <v>0</v>
      </c>
      <c r="L5506" s="17"/>
    </row>
    <row r="5507" s="11" customFormat="true" ht="10.95" hidden="false" customHeight="true" outlineLevel="0" collapsed="false">
      <c r="A5507" s="16" t="n">
        <v>45217</v>
      </c>
      <c r="B5507" s="17" t="s">
        <v>2894</v>
      </c>
      <c r="C5507" s="17" t="s">
        <v>1593</v>
      </c>
      <c r="D5507" s="17" t="s">
        <v>2895</v>
      </c>
      <c r="E5507" s="17" t="s">
        <v>2925</v>
      </c>
      <c r="F5507" s="17" t="s">
        <v>2977</v>
      </c>
      <c r="G5507" s="18" t="n">
        <v>6.47</v>
      </c>
      <c r="H5507" s="18" t="n">
        <v>0</v>
      </c>
      <c r="I5507" s="18" t="n">
        <f aca="false">((I5506 + G5507) - H5507)</f>
        <v>1617.12</v>
      </c>
      <c r="J5507" s="18" t="n">
        <v>0</v>
      </c>
      <c r="K5507" s="19" t="n">
        <v>0</v>
      </c>
      <c r="L5507" s="17"/>
    </row>
    <row r="5508" s="11" customFormat="true" ht="10.95" hidden="false" customHeight="true" outlineLevel="0" collapsed="false">
      <c r="A5508" s="16" t="n">
        <v>45218</v>
      </c>
      <c r="B5508" s="17" t="s">
        <v>2894</v>
      </c>
      <c r="C5508" s="17" t="s">
        <v>1593</v>
      </c>
      <c r="D5508" s="17" t="s">
        <v>2903</v>
      </c>
      <c r="E5508" s="17" t="s">
        <v>2978</v>
      </c>
      <c r="F5508" s="17" t="s">
        <v>2334</v>
      </c>
      <c r="G5508" s="18" t="n">
        <v>4.98</v>
      </c>
      <c r="H5508" s="18" t="n">
        <v>0</v>
      </c>
      <c r="I5508" s="18" t="n">
        <f aca="false">((I5507 + G5508) - H5508)</f>
        <v>1622.1</v>
      </c>
      <c r="J5508" s="18" t="n">
        <v>0</v>
      </c>
      <c r="K5508" s="19" t="n">
        <v>0</v>
      </c>
      <c r="L5508" s="17"/>
    </row>
    <row r="5509" s="11" customFormat="true" ht="10.95" hidden="false" customHeight="true" outlineLevel="0" collapsed="false">
      <c r="A5509" s="16" t="n">
        <v>45218</v>
      </c>
      <c r="B5509" s="17" t="s">
        <v>2894</v>
      </c>
      <c r="C5509" s="17" t="s">
        <v>1593</v>
      </c>
      <c r="D5509" s="17" t="s">
        <v>2895</v>
      </c>
      <c r="E5509" s="17" t="s">
        <v>2922</v>
      </c>
      <c r="F5509" s="17" t="s">
        <v>2979</v>
      </c>
      <c r="G5509" s="18" t="n">
        <v>108.74</v>
      </c>
      <c r="H5509" s="18" t="n">
        <v>0</v>
      </c>
      <c r="I5509" s="18" t="n">
        <f aca="false">((I5508 + G5509) - H5509)</f>
        <v>1730.84</v>
      </c>
      <c r="J5509" s="18" t="n">
        <v>0</v>
      </c>
      <c r="K5509" s="19" t="n">
        <v>0</v>
      </c>
      <c r="L5509" s="17"/>
    </row>
    <row r="5510" s="11" customFormat="true" ht="10.95" hidden="false" customHeight="true" outlineLevel="0" collapsed="false">
      <c r="A5510" s="16" t="n">
        <v>45223</v>
      </c>
      <c r="B5510" s="17" t="s">
        <v>2894</v>
      </c>
      <c r="C5510" s="17" t="s">
        <v>1593</v>
      </c>
      <c r="D5510" s="17" t="s">
        <v>2903</v>
      </c>
      <c r="E5510" s="17" t="s">
        <v>2980</v>
      </c>
      <c r="F5510" s="17" t="s">
        <v>2357</v>
      </c>
      <c r="G5510" s="18" t="n">
        <v>0.85</v>
      </c>
      <c r="H5510" s="18" t="n">
        <v>0</v>
      </c>
      <c r="I5510" s="18" t="n">
        <f aca="false">((I5509 + G5510) - H5510)</f>
        <v>1731.69</v>
      </c>
      <c r="J5510" s="18" t="n">
        <v>0</v>
      </c>
      <c r="K5510" s="19" t="n">
        <v>0</v>
      </c>
      <c r="L5510" s="17"/>
    </row>
    <row r="5511" s="11" customFormat="true" ht="10.95" hidden="false" customHeight="true" outlineLevel="0" collapsed="false">
      <c r="A5511" s="16" t="n">
        <v>45225</v>
      </c>
      <c r="B5511" s="17" t="s">
        <v>2894</v>
      </c>
      <c r="C5511" s="17" t="s">
        <v>1593</v>
      </c>
      <c r="D5511" s="17" t="s">
        <v>2895</v>
      </c>
      <c r="E5511" s="17" t="s">
        <v>2900</v>
      </c>
      <c r="F5511" s="17" t="s">
        <v>2981</v>
      </c>
      <c r="G5511" s="18" t="n">
        <v>26.69</v>
      </c>
      <c r="H5511" s="18" t="n">
        <v>0</v>
      </c>
      <c r="I5511" s="18" t="n">
        <f aca="false">((I5510 + G5511) - H5511)</f>
        <v>1758.38</v>
      </c>
      <c r="J5511" s="18" t="n">
        <v>0</v>
      </c>
      <c r="K5511" s="19" t="n">
        <v>0</v>
      </c>
      <c r="L5511" s="17"/>
    </row>
    <row r="5512" s="11" customFormat="true" ht="10.95" hidden="false" customHeight="true" outlineLevel="0" collapsed="false">
      <c r="A5512" s="16" t="n">
        <v>45225</v>
      </c>
      <c r="B5512" s="17" t="s">
        <v>2894</v>
      </c>
      <c r="C5512" s="17" t="s">
        <v>1593</v>
      </c>
      <c r="D5512" s="17" t="s">
        <v>2895</v>
      </c>
      <c r="E5512" s="17" t="s">
        <v>2900</v>
      </c>
      <c r="F5512" s="17" t="s">
        <v>2982</v>
      </c>
      <c r="G5512" s="18" t="n">
        <v>47.06</v>
      </c>
      <c r="H5512" s="18" t="n">
        <v>0</v>
      </c>
      <c r="I5512" s="18" t="n">
        <f aca="false">((I5511 + G5512) - H5512)</f>
        <v>1805.44</v>
      </c>
      <c r="J5512" s="18" t="n">
        <v>0</v>
      </c>
      <c r="K5512" s="19" t="n">
        <v>0</v>
      </c>
      <c r="L5512" s="17"/>
    </row>
    <row r="5513" s="11" customFormat="true" ht="10.95" hidden="false" customHeight="true" outlineLevel="0" collapsed="false">
      <c r="A5513" s="16" t="n">
        <v>45225</v>
      </c>
      <c r="B5513" s="17" t="s">
        <v>2894</v>
      </c>
      <c r="C5513" s="17" t="s">
        <v>1593</v>
      </c>
      <c r="D5513" s="17" t="s">
        <v>2895</v>
      </c>
      <c r="E5513" s="17" t="s">
        <v>2900</v>
      </c>
      <c r="F5513" s="17" t="s">
        <v>2983</v>
      </c>
      <c r="G5513" s="18" t="n">
        <v>21.64</v>
      </c>
      <c r="H5513" s="18" t="n">
        <v>0</v>
      </c>
      <c r="I5513" s="18" t="n">
        <f aca="false">((I5512 + G5513) - H5513)</f>
        <v>1827.08</v>
      </c>
      <c r="J5513" s="18" t="n">
        <v>0</v>
      </c>
      <c r="K5513" s="19" t="n">
        <v>0</v>
      </c>
      <c r="L5513" s="17"/>
    </row>
    <row r="5514" s="11" customFormat="true" ht="10.95" hidden="false" customHeight="true" outlineLevel="0" collapsed="false">
      <c r="A5514" s="16" t="n">
        <v>45225</v>
      </c>
      <c r="B5514" s="17" t="s">
        <v>2894</v>
      </c>
      <c r="C5514" s="17" t="s">
        <v>1593</v>
      </c>
      <c r="D5514" s="17" t="s">
        <v>2895</v>
      </c>
      <c r="E5514" s="17" t="s">
        <v>2925</v>
      </c>
      <c r="F5514" s="17" t="s">
        <v>2984</v>
      </c>
      <c r="G5514" s="18" t="n">
        <v>5.23</v>
      </c>
      <c r="H5514" s="18" t="n">
        <v>0</v>
      </c>
      <c r="I5514" s="18" t="n">
        <f aca="false">((I5513 + G5514) - H5514)</f>
        <v>1832.31</v>
      </c>
      <c r="J5514" s="18" t="n">
        <v>0</v>
      </c>
      <c r="K5514" s="19" t="n">
        <v>0</v>
      </c>
      <c r="L5514" s="17"/>
    </row>
    <row r="5515" s="11" customFormat="true" ht="10.95" hidden="false" customHeight="true" outlineLevel="0" collapsed="false">
      <c r="A5515" s="16" t="n">
        <v>45230</v>
      </c>
      <c r="B5515" s="17" t="s">
        <v>2894</v>
      </c>
      <c r="C5515" s="17" t="s">
        <v>1593</v>
      </c>
      <c r="D5515" s="17" t="s">
        <v>2903</v>
      </c>
      <c r="E5515" s="17" t="s">
        <v>2985</v>
      </c>
      <c r="F5515" s="17" t="s">
        <v>2362</v>
      </c>
      <c r="G5515" s="18" t="n">
        <v>1.37</v>
      </c>
      <c r="H5515" s="18" t="n">
        <v>0</v>
      </c>
      <c r="I5515" s="18" t="n">
        <f aca="false">((I5514 + G5515) - H5515)</f>
        <v>1833.68</v>
      </c>
      <c r="J5515" s="18" t="n">
        <v>0</v>
      </c>
      <c r="K5515" s="19" t="n">
        <v>0</v>
      </c>
      <c r="L5515" s="17"/>
    </row>
    <row r="5516" s="11" customFormat="true" ht="10.95" hidden="false" customHeight="true" outlineLevel="0" collapsed="false">
      <c r="A5516" s="16" t="n">
        <v>45231</v>
      </c>
      <c r="B5516" s="17" t="s">
        <v>2894</v>
      </c>
      <c r="C5516" s="17" t="s">
        <v>1593</v>
      </c>
      <c r="D5516" s="17" t="s">
        <v>2895</v>
      </c>
      <c r="E5516" s="17" t="s">
        <v>2896</v>
      </c>
      <c r="F5516" s="17" t="s">
        <v>1318</v>
      </c>
      <c r="G5516" s="18" t="n">
        <v>2.04</v>
      </c>
      <c r="H5516" s="18" t="n">
        <v>0</v>
      </c>
      <c r="I5516" s="18" t="n">
        <f aca="false">((I5515 + G5516) - H5516)</f>
        <v>1835.72</v>
      </c>
      <c r="J5516" s="18" t="n">
        <v>0</v>
      </c>
      <c r="K5516" s="19" t="n">
        <v>0</v>
      </c>
      <c r="L5516" s="17"/>
    </row>
    <row r="5517" s="11" customFormat="true" ht="10.95" hidden="false" customHeight="true" outlineLevel="0" collapsed="false">
      <c r="A5517" s="16" t="n">
        <v>45231</v>
      </c>
      <c r="B5517" s="17" t="s">
        <v>2894</v>
      </c>
      <c r="C5517" s="17" t="s">
        <v>1593</v>
      </c>
      <c r="D5517" s="17" t="s">
        <v>2895</v>
      </c>
      <c r="E5517" s="17" t="s">
        <v>2897</v>
      </c>
      <c r="F5517" s="17" t="s">
        <v>1320</v>
      </c>
      <c r="G5517" s="18" t="n">
        <v>12.94</v>
      </c>
      <c r="H5517" s="18" t="n">
        <v>0</v>
      </c>
      <c r="I5517" s="18" t="n">
        <f aca="false">((I5516 + G5517) - H5517)</f>
        <v>1848.66</v>
      </c>
      <c r="J5517" s="18" t="n">
        <v>0</v>
      </c>
      <c r="K5517" s="19" t="n">
        <v>0</v>
      </c>
      <c r="L5517" s="17"/>
    </row>
    <row r="5518" s="11" customFormat="true" ht="10.95" hidden="false" customHeight="true" outlineLevel="0" collapsed="false">
      <c r="A5518" s="16" t="n">
        <v>45231</v>
      </c>
      <c r="B5518" s="17" t="s">
        <v>2894</v>
      </c>
      <c r="C5518" s="17" t="s">
        <v>1593</v>
      </c>
      <c r="D5518" s="17" t="s">
        <v>2895</v>
      </c>
      <c r="E5518" s="17" t="s">
        <v>2898</v>
      </c>
      <c r="F5518" s="17" t="s">
        <v>2986</v>
      </c>
      <c r="G5518" s="18" t="n">
        <v>29.38</v>
      </c>
      <c r="H5518" s="18" t="n">
        <v>0</v>
      </c>
      <c r="I5518" s="18" t="n">
        <f aca="false">((I5517 + G5518) - H5518)</f>
        <v>1878.04</v>
      </c>
      <c r="J5518" s="18" t="n">
        <v>0</v>
      </c>
      <c r="K5518" s="19" t="n">
        <v>0</v>
      </c>
      <c r="L5518" s="17"/>
    </row>
    <row r="5519" s="11" customFormat="true" ht="10.95" hidden="false" customHeight="true" outlineLevel="0" collapsed="false">
      <c r="A5519" s="16" t="n">
        <v>45232</v>
      </c>
      <c r="B5519" s="17" t="s">
        <v>2894</v>
      </c>
      <c r="C5519" s="17" t="s">
        <v>1593</v>
      </c>
      <c r="D5519" s="17" t="s">
        <v>2895</v>
      </c>
      <c r="E5519" s="17" t="s">
        <v>2909</v>
      </c>
      <c r="F5519" s="17" t="s">
        <v>1322</v>
      </c>
      <c r="G5519" s="18" t="n">
        <v>26.68</v>
      </c>
      <c r="H5519" s="18" t="n">
        <v>0</v>
      </c>
      <c r="I5519" s="18" t="n">
        <f aca="false">((I5518 + G5519) - H5519)</f>
        <v>1904.72</v>
      </c>
      <c r="J5519" s="18" t="n">
        <v>0</v>
      </c>
      <c r="K5519" s="19" t="n">
        <v>0</v>
      </c>
      <c r="L5519" s="17"/>
    </row>
    <row r="5520" s="11" customFormat="true" ht="10.95" hidden="false" customHeight="true" outlineLevel="0" collapsed="false">
      <c r="A5520" s="16" t="n">
        <v>45233</v>
      </c>
      <c r="B5520" s="17" t="s">
        <v>2894</v>
      </c>
      <c r="C5520" s="17" t="s">
        <v>1593</v>
      </c>
      <c r="D5520" s="17" t="s">
        <v>2895</v>
      </c>
      <c r="E5520" s="17" t="s">
        <v>2917</v>
      </c>
      <c r="F5520" s="17" t="s">
        <v>2987</v>
      </c>
      <c r="G5520" s="18" t="n">
        <v>64.53</v>
      </c>
      <c r="H5520" s="18" t="n">
        <v>0</v>
      </c>
      <c r="I5520" s="18" t="n">
        <f aca="false">((I5519 + G5520) - H5520)</f>
        <v>1969.25</v>
      </c>
      <c r="J5520" s="18" t="n">
        <v>0</v>
      </c>
      <c r="K5520" s="19" t="n">
        <v>0</v>
      </c>
      <c r="L5520" s="17"/>
    </row>
    <row r="5521" s="11" customFormat="true" ht="10.95" hidden="false" customHeight="true" outlineLevel="0" collapsed="false">
      <c r="A5521" s="16" t="n">
        <v>45236</v>
      </c>
      <c r="B5521" s="17" t="s">
        <v>2894</v>
      </c>
      <c r="C5521" s="17" t="s">
        <v>1593</v>
      </c>
      <c r="D5521" s="17" t="s">
        <v>2895</v>
      </c>
      <c r="E5521" s="17" t="s">
        <v>2988</v>
      </c>
      <c r="F5521" s="17" t="s">
        <v>2989</v>
      </c>
      <c r="G5521" s="18" t="n">
        <v>235.34</v>
      </c>
      <c r="H5521" s="18" t="n">
        <v>0</v>
      </c>
      <c r="I5521" s="18" t="n">
        <f aca="false">((I5520 + G5521) - H5521)</f>
        <v>2204.59</v>
      </c>
      <c r="J5521" s="18" t="n">
        <v>0</v>
      </c>
      <c r="K5521" s="19" t="n">
        <v>0</v>
      </c>
      <c r="L5521" s="17"/>
    </row>
    <row r="5522" s="11" customFormat="true" ht="10.95" hidden="false" customHeight="true" outlineLevel="0" collapsed="false">
      <c r="A5522" s="16" t="n">
        <v>45237</v>
      </c>
      <c r="B5522" s="17" t="s">
        <v>2894</v>
      </c>
      <c r="C5522" s="17" t="s">
        <v>1593</v>
      </c>
      <c r="D5522" s="17" t="s">
        <v>2903</v>
      </c>
      <c r="E5522" s="17" t="s">
        <v>2904</v>
      </c>
      <c r="F5522" s="17" t="s">
        <v>1457</v>
      </c>
      <c r="G5522" s="18" t="n">
        <v>30.33</v>
      </c>
      <c r="H5522" s="18" t="n">
        <v>0</v>
      </c>
      <c r="I5522" s="18" t="n">
        <f aca="false">((I5521 + G5522) - H5522)</f>
        <v>2234.92</v>
      </c>
      <c r="J5522" s="18" t="n">
        <v>0</v>
      </c>
      <c r="K5522" s="19" t="n">
        <v>0</v>
      </c>
      <c r="L5522" s="17"/>
    </row>
    <row r="5523" s="11" customFormat="true" ht="10.95" hidden="false" customHeight="true" outlineLevel="0" collapsed="false">
      <c r="A5523" s="16" t="n">
        <v>45239</v>
      </c>
      <c r="B5523" s="17" t="s">
        <v>2894</v>
      </c>
      <c r="C5523" s="17" t="s">
        <v>1593</v>
      </c>
      <c r="D5523" s="17" t="s">
        <v>2895</v>
      </c>
      <c r="E5523" s="17" t="s">
        <v>2906</v>
      </c>
      <c r="F5523" s="17" t="s">
        <v>2990</v>
      </c>
      <c r="G5523" s="18" t="n">
        <v>58.2</v>
      </c>
      <c r="H5523" s="18" t="n">
        <v>0</v>
      </c>
      <c r="I5523" s="18" t="n">
        <f aca="false">((I5522 + G5523) - H5523)</f>
        <v>2293.12</v>
      </c>
      <c r="J5523" s="18" t="n">
        <v>0</v>
      </c>
      <c r="K5523" s="19" t="n">
        <v>0</v>
      </c>
      <c r="L5523" s="17"/>
    </row>
    <row r="5524" s="11" customFormat="true" ht="10.95" hidden="false" customHeight="true" outlineLevel="0" collapsed="false">
      <c r="A5524" s="16" t="n">
        <v>45240</v>
      </c>
      <c r="B5524" s="17" t="s">
        <v>2894</v>
      </c>
      <c r="C5524" s="17" t="s">
        <v>1593</v>
      </c>
      <c r="D5524" s="17" t="s">
        <v>2895</v>
      </c>
      <c r="E5524" s="17" t="s">
        <v>2947</v>
      </c>
      <c r="F5524" s="17" t="s">
        <v>2991</v>
      </c>
      <c r="G5524" s="18" t="n">
        <v>75.4</v>
      </c>
      <c r="H5524" s="18" t="n">
        <v>0</v>
      </c>
      <c r="I5524" s="18" t="n">
        <f aca="false">((I5523 + G5524) - H5524)</f>
        <v>2368.52</v>
      </c>
      <c r="J5524" s="18" t="n">
        <v>0</v>
      </c>
      <c r="K5524" s="19" t="n">
        <v>0</v>
      </c>
      <c r="L5524" s="17"/>
    </row>
    <row r="5525" s="11" customFormat="true" ht="10.95" hidden="false" customHeight="true" outlineLevel="0" collapsed="false">
      <c r="A5525" s="16" t="n">
        <v>45240</v>
      </c>
      <c r="B5525" s="17" t="s">
        <v>2894</v>
      </c>
      <c r="C5525" s="17" t="s">
        <v>1593</v>
      </c>
      <c r="D5525" s="17" t="s">
        <v>2895</v>
      </c>
      <c r="E5525" s="17" t="s">
        <v>2900</v>
      </c>
      <c r="F5525" s="17" t="s">
        <v>2992</v>
      </c>
      <c r="G5525" s="18" t="n">
        <v>37.6</v>
      </c>
      <c r="H5525" s="18" t="n">
        <v>0</v>
      </c>
      <c r="I5525" s="18" t="n">
        <f aca="false">((I5524 + G5525) - H5525)</f>
        <v>2406.12</v>
      </c>
      <c r="J5525" s="18" t="n">
        <v>0</v>
      </c>
      <c r="K5525" s="19" t="n">
        <v>0</v>
      </c>
      <c r="L5525" s="17"/>
    </row>
    <row r="5526" s="11" customFormat="true" ht="10.95" hidden="false" customHeight="true" outlineLevel="0" collapsed="false">
      <c r="A5526" s="16" t="n">
        <v>45240</v>
      </c>
      <c r="B5526" s="17" t="s">
        <v>2894</v>
      </c>
      <c r="C5526" s="17" t="s">
        <v>1593</v>
      </c>
      <c r="D5526" s="17" t="s">
        <v>2895</v>
      </c>
      <c r="E5526" s="17" t="s">
        <v>2900</v>
      </c>
      <c r="F5526" s="17" t="s">
        <v>2993</v>
      </c>
      <c r="G5526" s="18" t="n">
        <v>9.92</v>
      </c>
      <c r="H5526" s="18" t="n">
        <v>0</v>
      </c>
      <c r="I5526" s="18" t="n">
        <f aca="false">((I5525 + G5526) - H5526)</f>
        <v>2416.04</v>
      </c>
      <c r="J5526" s="18" t="n">
        <v>0</v>
      </c>
      <c r="K5526" s="19" t="n">
        <v>0</v>
      </c>
      <c r="L5526" s="17"/>
    </row>
    <row r="5527" s="11" customFormat="true" ht="10.95" hidden="false" customHeight="true" outlineLevel="0" collapsed="false">
      <c r="A5527" s="16" t="n">
        <v>45240</v>
      </c>
      <c r="B5527" s="17" t="s">
        <v>2894</v>
      </c>
      <c r="C5527" s="17" t="s">
        <v>1593</v>
      </c>
      <c r="D5527" s="17" t="s">
        <v>2895</v>
      </c>
      <c r="E5527" s="17" t="s">
        <v>2900</v>
      </c>
      <c r="F5527" s="17" t="s">
        <v>2994</v>
      </c>
      <c r="G5527" s="18" t="n">
        <v>2.66</v>
      </c>
      <c r="H5527" s="18" t="n">
        <v>0</v>
      </c>
      <c r="I5527" s="18" t="n">
        <f aca="false">((I5526 + G5527) - H5527)</f>
        <v>2418.7</v>
      </c>
      <c r="J5527" s="18" t="n">
        <v>0</v>
      </c>
      <c r="K5527" s="19" t="n">
        <v>0</v>
      </c>
      <c r="L5527" s="17"/>
    </row>
    <row r="5528" s="11" customFormat="true" ht="10.95" hidden="false" customHeight="true" outlineLevel="0" collapsed="false">
      <c r="A5528" s="16" t="n">
        <v>45240</v>
      </c>
      <c r="B5528" s="17" t="s">
        <v>2894</v>
      </c>
      <c r="C5528" s="17" t="s">
        <v>1593</v>
      </c>
      <c r="D5528" s="17" t="s">
        <v>2895</v>
      </c>
      <c r="E5528" s="17" t="s">
        <v>2900</v>
      </c>
      <c r="F5528" s="17" t="s">
        <v>2995</v>
      </c>
      <c r="G5528" s="18" t="n">
        <v>21.58</v>
      </c>
      <c r="H5528" s="18" t="n">
        <v>0</v>
      </c>
      <c r="I5528" s="18" t="n">
        <f aca="false">((I5527 + G5528) - H5528)</f>
        <v>2440.28</v>
      </c>
      <c r="J5528" s="18" t="n">
        <v>0</v>
      </c>
      <c r="K5528" s="19" t="n">
        <v>0</v>
      </c>
      <c r="L5528" s="17"/>
    </row>
    <row r="5529" s="11" customFormat="true" ht="10.95" hidden="false" customHeight="true" outlineLevel="0" collapsed="false">
      <c r="A5529" s="16" t="n">
        <v>45243</v>
      </c>
      <c r="B5529" s="17" t="s">
        <v>2894</v>
      </c>
      <c r="C5529" s="17" t="s">
        <v>1593</v>
      </c>
      <c r="D5529" s="17" t="s">
        <v>2895</v>
      </c>
      <c r="E5529" s="17" t="s">
        <v>2910</v>
      </c>
      <c r="F5529" s="17" t="s">
        <v>2996</v>
      </c>
      <c r="G5529" s="18" t="n">
        <v>84.97</v>
      </c>
      <c r="H5529" s="18" t="n">
        <v>0</v>
      </c>
      <c r="I5529" s="18" t="n">
        <f aca="false">((I5528 + G5529) - H5529)</f>
        <v>2525.25</v>
      </c>
      <c r="J5529" s="18" t="n">
        <v>0</v>
      </c>
      <c r="K5529" s="19" t="n">
        <v>0</v>
      </c>
      <c r="L5529" s="17"/>
    </row>
    <row r="5530" s="11" customFormat="true" ht="10.95" hidden="false" customHeight="true" outlineLevel="0" collapsed="false">
      <c r="A5530" s="16" t="n">
        <v>45243</v>
      </c>
      <c r="B5530" s="17" t="s">
        <v>2894</v>
      </c>
      <c r="C5530" s="17" t="s">
        <v>1593</v>
      </c>
      <c r="D5530" s="17" t="s">
        <v>2895</v>
      </c>
      <c r="E5530" s="17" t="s">
        <v>2910</v>
      </c>
      <c r="F5530" s="17" t="s">
        <v>2997</v>
      </c>
      <c r="G5530" s="18" t="n">
        <v>12.43</v>
      </c>
      <c r="H5530" s="18" t="n">
        <v>0</v>
      </c>
      <c r="I5530" s="18" t="n">
        <f aca="false">((I5529 + G5530) - H5530)</f>
        <v>2537.68</v>
      </c>
      <c r="J5530" s="18" t="n">
        <v>0</v>
      </c>
      <c r="K5530" s="19" t="n">
        <v>0</v>
      </c>
      <c r="L5530" s="17"/>
    </row>
    <row r="5531" s="11" customFormat="true" ht="10.95" hidden="false" customHeight="true" outlineLevel="0" collapsed="false">
      <c r="A5531" s="16" t="n">
        <v>45244</v>
      </c>
      <c r="B5531" s="17" t="s">
        <v>2894</v>
      </c>
      <c r="C5531" s="17" t="s">
        <v>1593</v>
      </c>
      <c r="D5531" s="17" t="s">
        <v>2903</v>
      </c>
      <c r="E5531" s="17" t="s">
        <v>2943</v>
      </c>
      <c r="F5531" s="17" t="s">
        <v>1777</v>
      </c>
      <c r="G5531" s="18" t="n">
        <v>19.93</v>
      </c>
      <c r="H5531" s="18" t="n">
        <v>0</v>
      </c>
      <c r="I5531" s="18" t="n">
        <f aca="false">((I5530 + G5531) - H5531)</f>
        <v>2557.61</v>
      </c>
      <c r="J5531" s="18" t="n">
        <v>0</v>
      </c>
      <c r="K5531" s="19" t="n">
        <v>0</v>
      </c>
      <c r="L5531" s="17"/>
    </row>
    <row r="5532" s="11" customFormat="true" ht="10.95" hidden="false" customHeight="true" outlineLevel="0" collapsed="false">
      <c r="A5532" s="16" t="n">
        <v>45252</v>
      </c>
      <c r="B5532" s="17" t="s">
        <v>2894</v>
      </c>
      <c r="C5532" s="17" t="s">
        <v>1593</v>
      </c>
      <c r="D5532" s="17" t="s">
        <v>2895</v>
      </c>
      <c r="E5532" s="17" t="s">
        <v>2900</v>
      </c>
      <c r="F5532" s="17" t="s">
        <v>2998</v>
      </c>
      <c r="G5532" s="18" t="n">
        <v>4.39</v>
      </c>
      <c r="H5532" s="18" t="n">
        <v>0</v>
      </c>
      <c r="I5532" s="18" t="n">
        <f aca="false">((I5531 + G5532) - H5532)</f>
        <v>2562</v>
      </c>
      <c r="J5532" s="18" t="n">
        <v>0</v>
      </c>
      <c r="K5532" s="19" t="n">
        <v>0</v>
      </c>
      <c r="L5532" s="17"/>
    </row>
    <row r="5533" s="11" customFormat="true" ht="10.95" hidden="false" customHeight="true" outlineLevel="0" collapsed="false">
      <c r="A5533" s="16" t="n">
        <v>45257</v>
      </c>
      <c r="B5533" s="17" t="s">
        <v>2894</v>
      </c>
      <c r="C5533" s="17" t="s">
        <v>1593</v>
      </c>
      <c r="D5533" s="17" t="s">
        <v>2895</v>
      </c>
      <c r="E5533" s="17" t="s">
        <v>2934</v>
      </c>
      <c r="F5533" s="17" t="s">
        <v>2999</v>
      </c>
      <c r="G5533" s="18" t="n">
        <v>113.07</v>
      </c>
      <c r="H5533" s="18" t="n">
        <v>0</v>
      </c>
      <c r="I5533" s="18" t="n">
        <f aca="false">((I5532 + G5533) - H5533)</f>
        <v>2675.07</v>
      </c>
      <c r="J5533" s="18" t="n">
        <v>0</v>
      </c>
      <c r="K5533" s="19" t="n">
        <v>0</v>
      </c>
      <c r="L5533" s="17"/>
    </row>
    <row r="5534" s="11" customFormat="true" ht="10.95" hidden="false" customHeight="true" outlineLevel="0" collapsed="false">
      <c r="A5534" s="16" t="n">
        <v>45261</v>
      </c>
      <c r="B5534" s="17" t="s">
        <v>2894</v>
      </c>
      <c r="C5534" s="17" t="s">
        <v>1593</v>
      </c>
      <c r="D5534" s="17" t="s">
        <v>2895</v>
      </c>
      <c r="E5534" s="17" t="s">
        <v>2896</v>
      </c>
      <c r="F5534" s="17" t="s">
        <v>1326</v>
      </c>
      <c r="G5534" s="18" t="n">
        <v>2.36</v>
      </c>
      <c r="H5534" s="18" t="n">
        <v>0</v>
      </c>
      <c r="I5534" s="18" t="n">
        <f aca="false">((I5533 + G5534) - H5534)</f>
        <v>2677.43</v>
      </c>
      <c r="J5534" s="18" t="n">
        <v>0</v>
      </c>
      <c r="K5534" s="19" t="n">
        <v>0</v>
      </c>
      <c r="L5534" s="17"/>
    </row>
    <row r="5535" s="11" customFormat="true" ht="10.95" hidden="false" customHeight="true" outlineLevel="0" collapsed="false">
      <c r="A5535" s="16" t="n">
        <v>45261</v>
      </c>
      <c r="B5535" s="17" t="s">
        <v>2894</v>
      </c>
      <c r="C5535" s="17" t="s">
        <v>1593</v>
      </c>
      <c r="D5535" s="17" t="s">
        <v>2895</v>
      </c>
      <c r="E5535" s="17" t="s">
        <v>2898</v>
      </c>
      <c r="F5535" s="17" t="s">
        <v>3000</v>
      </c>
      <c r="G5535" s="18" t="n">
        <v>15.55</v>
      </c>
      <c r="H5535" s="18" t="n">
        <v>0</v>
      </c>
      <c r="I5535" s="18" t="n">
        <f aca="false">((I5534 + G5535) - H5535)</f>
        <v>2692.98</v>
      </c>
      <c r="J5535" s="18" t="n">
        <v>0</v>
      </c>
      <c r="K5535" s="19" t="n">
        <v>0</v>
      </c>
      <c r="L5535" s="17"/>
    </row>
    <row r="5536" s="11" customFormat="true" ht="10.95" hidden="false" customHeight="true" outlineLevel="0" collapsed="false">
      <c r="A5536" s="16" t="n">
        <v>45262</v>
      </c>
      <c r="B5536" s="17" t="s">
        <v>2894</v>
      </c>
      <c r="C5536" s="17" t="s">
        <v>1593</v>
      </c>
      <c r="D5536" s="17" t="s">
        <v>2895</v>
      </c>
      <c r="E5536" s="17" t="s">
        <v>2964</v>
      </c>
      <c r="F5536" s="17" t="s">
        <v>1328</v>
      </c>
      <c r="G5536" s="18" t="n">
        <v>48.61</v>
      </c>
      <c r="H5536" s="18" t="n">
        <v>0</v>
      </c>
      <c r="I5536" s="18" t="n">
        <f aca="false">((I5535 + G5536) - H5536)</f>
        <v>2741.59</v>
      </c>
      <c r="J5536" s="18" t="n">
        <v>0</v>
      </c>
      <c r="K5536" s="19" t="n">
        <v>0</v>
      </c>
      <c r="L5536" s="17"/>
    </row>
    <row r="5537" s="11" customFormat="true" ht="10.95" hidden="false" customHeight="true" outlineLevel="0" collapsed="false">
      <c r="A5537" s="16" t="n">
        <v>45264</v>
      </c>
      <c r="B5537" s="17" t="s">
        <v>2894</v>
      </c>
      <c r="C5537" s="17" t="s">
        <v>1593</v>
      </c>
      <c r="D5537" s="17" t="s">
        <v>2895</v>
      </c>
      <c r="E5537" s="17" t="s">
        <v>2922</v>
      </c>
      <c r="F5537" s="17" t="s">
        <v>2979</v>
      </c>
      <c r="G5537" s="18" t="n">
        <v>497.69</v>
      </c>
      <c r="H5537" s="18" t="n">
        <v>0</v>
      </c>
      <c r="I5537" s="18" t="n">
        <f aca="false">((I5536 + G5537) - H5537)</f>
        <v>3239.28</v>
      </c>
      <c r="J5537" s="18" t="n">
        <v>0</v>
      </c>
      <c r="K5537" s="19" t="n">
        <v>0</v>
      </c>
      <c r="L5537" s="17"/>
    </row>
    <row r="5538" s="11" customFormat="true" ht="10.95" hidden="false" customHeight="true" outlineLevel="0" collapsed="false">
      <c r="A5538" s="16" t="n">
        <v>45264</v>
      </c>
      <c r="B5538" s="17" t="s">
        <v>2894</v>
      </c>
      <c r="C5538" s="17" t="s">
        <v>1593</v>
      </c>
      <c r="D5538" s="17" t="s">
        <v>2895</v>
      </c>
      <c r="E5538" s="17" t="s">
        <v>2922</v>
      </c>
      <c r="F5538" s="17" t="s">
        <v>3001</v>
      </c>
      <c r="G5538" s="18" t="n">
        <v>787.79</v>
      </c>
      <c r="H5538" s="18" t="n">
        <v>0</v>
      </c>
      <c r="I5538" s="18" t="n">
        <f aca="false">((I5537 + G5538) - H5538)</f>
        <v>4027.07</v>
      </c>
      <c r="J5538" s="18" t="n">
        <v>0</v>
      </c>
      <c r="K5538" s="19" t="n">
        <v>0</v>
      </c>
      <c r="L5538" s="17"/>
    </row>
    <row r="5539" s="11" customFormat="true" ht="10.95" hidden="false" customHeight="true" outlineLevel="0" collapsed="false">
      <c r="A5539" s="16" t="n">
        <v>45265</v>
      </c>
      <c r="B5539" s="17" t="s">
        <v>2894</v>
      </c>
      <c r="C5539" s="17" t="s">
        <v>1593</v>
      </c>
      <c r="D5539" s="17" t="s">
        <v>2903</v>
      </c>
      <c r="E5539" s="17" t="s">
        <v>2963</v>
      </c>
      <c r="F5539" s="17" t="s">
        <v>2668</v>
      </c>
      <c r="G5539" s="18" t="n">
        <v>1.32</v>
      </c>
      <c r="H5539" s="18" t="n">
        <v>0</v>
      </c>
      <c r="I5539" s="18" t="n">
        <f aca="false">((I5538 + G5539) - H5539)</f>
        <v>4028.39</v>
      </c>
      <c r="J5539" s="18" t="n">
        <v>0</v>
      </c>
      <c r="K5539" s="19" t="n">
        <v>0</v>
      </c>
      <c r="L5539" s="17"/>
    </row>
    <row r="5540" s="11" customFormat="true" ht="10.95" hidden="false" customHeight="true" outlineLevel="0" collapsed="false">
      <c r="A5540" s="16" t="n">
        <v>45265</v>
      </c>
      <c r="B5540" s="17" t="s">
        <v>2894</v>
      </c>
      <c r="C5540" s="17" t="s">
        <v>1593</v>
      </c>
      <c r="D5540" s="17" t="s">
        <v>2895</v>
      </c>
      <c r="E5540" s="17" t="s">
        <v>2900</v>
      </c>
      <c r="F5540" s="17" t="s">
        <v>3002</v>
      </c>
      <c r="G5540" s="18" t="n">
        <v>15.67</v>
      </c>
      <c r="H5540" s="18" t="n">
        <v>0</v>
      </c>
      <c r="I5540" s="18" t="n">
        <f aca="false">((I5539 + G5540) - H5540)</f>
        <v>4044.06</v>
      </c>
      <c r="J5540" s="18" t="n">
        <v>0</v>
      </c>
      <c r="K5540" s="19" t="n">
        <v>0</v>
      </c>
      <c r="L5540" s="17"/>
    </row>
    <row r="5541" s="11" customFormat="true" ht="10.95" hidden="false" customHeight="true" outlineLevel="0" collapsed="false">
      <c r="A5541" s="16" t="n">
        <v>45265</v>
      </c>
      <c r="B5541" s="17" t="s">
        <v>2894</v>
      </c>
      <c r="C5541" s="17" t="s">
        <v>1593</v>
      </c>
      <c r="D5541" s="17" t="s">
        <v>2895</v>
      </c>
      <c r="E5541" s="17" t="s">
        <v>2900</v>
      </c>
      <c r="F5541" s="17" t="s">
        <v>3003</v>
      </c>
      <c r="G5541" s="18" t="n">
        <v>7.33</v>
      </c>
      <c r="H5541" s="18" t="n">
        <v>0</v>
      </c>
      <c r="I5541" s="18" t="n">
        <f aca="false">((I5540 + G5541) - H5541)</f>
        <v>4051.39</v>
      </c>
      <c r="J5541" s="18" t="n">
        <v>0</v>
      </c>
      <c r="K5541" s="19" t="n">
        <v>0</v>
      </c>
      <c r="L5541" s="17"/>
    </row>
    <row r="5542" s="11" customFormat="true" ht="10.95" hidden="false" customHeight="true" outlineLevel="0" collapsed="false">
      <c r="A5542" s="16" t="n">
        <v>45265</v>
      </c>
      <c r="B5542" s="17" t="s">
        <v>2894</v>
      </c>
      <c r="C5542" s="17" t="s">
        <v>1593</v>
      </c>
      <c r="D5542" s="17" t="s">
        <v>2895</v>
      </c>
      <c r="E5542" s="17" t="s">
        <v>2900</v>
      </c>
      <c r="F5542" s="17" t="s">
        <v>3004</v>
      </c>
      <c r="G5542" s="18" t="n">
        <v>0.95</v>
      </c>
      <c r="H5542" s="18" t="n">
        <v>0</v>
      </c>
      <c r="I5542" s="18" t="n">
        <f aca="false">((I5541 + G5542) - H5542)</f>
        <v>4052.34</v>
      </c>
      <c r="J5542" s="18" t="n">
        <v>0</v>
      </c>
      <c r="K5542" s="19" t="n">
        <v>0</v>
      </c>
      <c r="L5542" s="17"/>
    </row>
    <row r="5543" s="11" customFormat="true" ht="10.95" hidden="false" customHeight="true" outlineLevel="0" collapsed="false">
      <c r="A5543" s="16" t="n">
        <v>45265</v>
      </c>
      <c r="B5543" s="17" t="s">
        <v>2894</v>
      </c>
      <c r="C5543" s="17" t="s">
        <v>1593</v>
      </c>
      <c r="D5543" s="17" t="s">
        <v>2895</v>
      </c>
      <c r="E5543" s="17" t="s">
        <v>2900</v>
      </c>
      <c r="F5543" s="17" t="s">
        <v>3005</v>
      </c>
      <c r="G5543" s="18" t="n">
        <v>7.27</v>
      </c>
      <c r="H5543" s="18" t="n">
        <v>0</v>
      </c>
      <c r="I5543" s="18" t="n">
        <f aca="false">((I5542 + G5543) - H5543)</f>
        <v>4059.61</v>
      </c>
      <c r="J5543" s="18" t="n">
        <v>0</v>
      </c>
      <c r="K5543" s="19" t="n">
        <v>0</v>
      </c>
      <c r="L5543" s="17"/>
    </row>
    <row r="5544" s="11" customFormat="true" ht="10.95" hidden="false" customHeight="true" outlineLevel="0" collapsed="false">
      <c r="A5544" s="16" t="n">
        <v>45266</v>
      </c>
      <c r="B5544" s="17" t="s">
        <v>2894</v>
      </c>
      <c r="C5544" s="17" t="s">
        <v>1593</v>
      </c>
      <c r="D5544" s="17" t="s">
        <v>2895</v>
      </c>
      <c r="E5544" s="17" t="s">
        <v>2934</v>
      </c>
      <c r="F5544" s="17" t="s">
        <v>3006</v>
      </c>
      <c r="G5544" s="18" t="n">
        <v>198.04</v>
      </c>
      <c r="H5544" s="18" t="n">
        <v>0</v>
      </c>
      <c r="I5544" s="18" t="n">
        <f aca="false">((I5543 + G5544) - H5544)</f>
        <v>4257.65</v>
      </c>
      <c r="J5544" s="18" t="n">
        <v>0</v>
      </c>
      <c r="K5544" s="19" t="n">
        <v>0</v>
      </c>
      <c r="L5544" s="17"/>
    </row>
    <row r="5545" s="11" customFormat="true" ht="10.95" hidden="false" customHeight="true" outlineLevel="0" collapsed="false">
      <c r="A5545" s="16" t="n">
        <v>45266</v>
      </c>
      <c r="B5545" s="17" t="s">
        <v>2894</v>
      </c>
      <c r="C5545" s="17" t="s">
        <v>1593</v>
      </c>
      <c r="D5545" s="17" t="s">
        <v>2895</v>
      </c>
      <c r="E5545" s="17" t="s">
        <v>2906</v>
      </c>
      <c r="F5545" s="17" t="s">
        <v>3007</v>
      </c>
      <c r="G5545" s="18" t="n">
        <v>10.44</v>
      </c>
      <c r="H5545" s="18" t="n">
        <v>0</v>
      </c>
      <c r="I5545" s="18" t="n">
        <f aca="false">((I5544 + G5545) - H5545)</f>
        <v>4268.09</v>
      </c>
      <c r="J5545" s="18" t="n">
        <v>0</v>
      </c>
      <c r="K5545" s="19" t="n">
        <v>0</v>
      </c>
      <c r="L5545" s="17"/>
    </row>
    <row r="5546" s="11" customFormat="true" ht="10.95" hidden="false" customHeight="true" outlineLevel="0" collapsed="false">
      <c r="A5546" s="16" t="n">
        <v>45267</v>
      </c>
      <c r="B5546" s="17" t="s">
        <v>2894</v>
      </c>
      <c r="C5546" s="17" t="s">
        <v>1593</v>
      </c>
      <c r="D5546" s="17" t="s">
        <v>2903</v>
      </c>
      <c r="E5546" s="17" t="s">
        <v>2904</v>
      </c>
      <c r="F5546" s="17" t="s">
        <v>1472</v>
      </c>
      <c r="G5546" s="18" t="n">
        <v>1.3</v>
      </c>
      <c r="H5546" s="18" t="n">
        <v>0</v>
      </c>
      <c r="I5546" s="18" t="n">
        <f aca="false">((I5545 + G5546) - H5546)</f>
        <v>4269.39</v>
      </c>
      <c r="J5546" s="18" t="n">
        <v>0</v>
      </c>
      <c r="K5546" s="19" t="n">
        <v>0</v>
      </c>
      <c r="L5546" s="17"/>
    </row>
    <row r="5547" s="11" customFormat="true" ht="10.95" hidden="false" customHeight="true" outlineLevel="0" collapsed="false">
      <c r="A5547" s="16" t="n">
        <v>45267</v>
      </c>
      <c r="B5547" s="17" t="s">
        <v>2894</v>
      </c>
      <c r="C5547" s="17" t="s">
        <v>1593</v>
      </c>
      <c r="D5547" s="17" t="s">
        <v>2903</v>
      </c>
      <c r="E5547" s="17" t="s">
        <v>3008</v>
      </c>
      <c r="F5547" s="17" t="s">
        <v>1624</v>
      </c>
      <c r="G5547" s="18" t="n">
        <v>5.76</v>
      </c>
      <c r="H5547" s="18" t="n">
        <v>0</v>
      </c>
      <c r="I5547" s="18" t="n">
        <f aca="false">((I5546 + G5547) - H5547)</f>
        <v>4275.15</v>
      </c>
      <c r="J5547" s="18" t="n">
        <v>0</v>
      </c>
      <c r="K5547" s="19" t="n">
        <v>0</v>
      </c>
      <c r="L5547" s="17"/>
    </row>
    <row r="5548" s="11" customFormat="true" ht="10.95" hidden="false" customHeight="true" outlineLevel="0" collapsed="false">
      <c r="A5548" s="16" t="n">
        <v>45267</v>
      </c>
      <c r="B5548" s="17" t="s">
        <v>2894</v>
      </c>
      <c r="C5548" s="17" t="s">
        <v>1593</v>
      </c>
      <c r="D5548" s="17" t="s">
        <v>2903</v>
      </c>
      <c r="E5548" s="17" t="s">
        <v>3008</v>
      </c>
      <c r="F5548" s="17" t="s">
        <v>1626</v>
      </c>
      <c r="G5548" s="18" t="n">
        <v>0.73</v>
      </c>
      <c r="H5548" s="18" t="n">
        <v>0</v>
      </c>
      <c r="I5548" s="18" t="n">
        <f aca="false">((I5547 + G5548) - H5548)</f>
        <v>4275.88</v>
      </c>
      <c r="J5548" s="18" t="n">
        <v>0</v>
      </c>
      <c r="K5548" s="19" t="n">
        <v>0</v>
      </c>
      <c r="L5548" s="17"/>
    </row>
    <row r="5549" s="11" customFormat="true" ht="10.95" hidden="false" customHeight="true" outlineLevel="0" collapsed="false">
      <c r="A5549" s="16" t="n">
        <v>45267</v>
      </c>
      <c r="B5549" s="17" t="s">
        <v>2894</v>
      </c>
      <c r="C5549" s="17" t="s">
        <v>1593</v>
      </c>
      <c r="D5549" s="17" t="s">
        <v>2903</v>
      </c>
      <c r="E5549" s="17" t="s">
        <v>3008</v>
      </c>
      <c r="F5549" s="17" t="s">
        <v>1617</v>
      </c>
      <c r="G5549" s="18" t="n">
        <v>0</v>
      </c>
      <c r="H5549" s="18" t="n">
        <v>7.57</v>
      </c>
      <c r="I5549" s="18" t="n">
        <f aca="false">((I5548 + G5549) - H5549)</f>
        <v>4268.31</v>
      </c>
      <c r="J5549" s="18" t="n">
        <v>0</v>
      </c>
      <c r="K5549" s="19" t="n">
        <v>0</v>
      </c>
      <c r="L5549" s="17"/>
    </row>
    <row r="5550" s="11" customFormat="true" ht="10.95" hidden="false" customHeight="true" outlineLevel="0" collapsed="false">
      <c r="A5550" s="16" t="n">
        <v>45267</v>
      </c>
      <c r="B5550" s="17" t="s">
        <v>2894</v>
      </c>
      <c r="C5550" s="17" t="s">
        <v>1593</v>
      </c>
      <c r="D5550" s="17" t="s">
        <v>2903</v>
      </c>
      <c r="E5550" s="17" t="s">
        <v>3008</v>
      </c>
      <c r="F5550" s="17" t="s">
        <v>1620</v>
      </c>
      <c r="G5550" s="18" t="n">
        <v>0</v>
      </c>
      <c r="H5550" s="18" t="n">
        <v>9.64</v>
      </c>
      <c r="I5550" s="18" t="n">
        <f aca="false">((I5549 + G5550) - H5550)</f>
        <v>4258.67</v>
      </c>
      <c r="J5550" s="18" t="n">
        <v>0</v>
      </c>
      <c r="K5550" s="19" t="n">
        <v>0</v>
      </c>
      <c r="L5550" s="17"/>
    </row>
    <row r="5551" s="11" customFormat="true" ht="10.95" hidden="false" customHeight="true" outlineLevel="0" collapsed="false">
      <c r="A5551" s="16" t="n">
        <v>45267</v>
      </c>
      <c r="B5551" s="17" t="s">
        <v>2894</v>
      </c>
      <c r="C5551" s="17" t="s">
        <v>1593</v>
      </c>
      <c r="D5551" s="17" t="s">
        <v>2903</v>
      </c>
      <c r="E5551" s="17" t="s">
        <v>3008</v>
      </c>
      <c r="F5551" s="17" t="s">
        <v>1619</v>
      </c>
      <c r="G5551" s="18" t="n">
        <v>0</v>
      </c>
      <c r="H5551" s="18" t="n">
        <v>47.06</v>
      </c>
      <c r="I5551" s="18" t="n">
        <f aca="false">((I5550 + G5551) - H5551)</f>
        <v>4211.61</v>
      </c>
      <c r="J5551" s="18" t="n">
        <v>0</v>
      </c>
      <c r="K5551" s="19" t="n">
        <v>0</v>
      </c>
      <c r="L5551" s="17"/>
    </row>
    <row r="5552" s="11" customFormat="true" ht="10.95" hidden="false" customHeight="true" outlineLevel="0" collapsed="false">
      <c r="A5552" s="16" t="n">
        <v>45268</v>
      </c>
      <c r="B5552" s="17" t="s">
        <v>2894</v>
      </c>
      <c r="C5552" s="17" t="s">
        <v>1593</v>
      </c>
      <c r="D5552" s="17" t="s">
        <v>2895</v>
      </c>
      <c r="E5552" s="17" t="s">
        <v>2922</v>
      </c>
      <c r="F5552" s="17" t="s">
        <v>3009</v>
      </c>
      <c r="G5552" s="18" t="n">
        <v>306.67</v>
      </c>
      <c r="H5552" s="18" t="n">
        <v>0</v>
      </c>
      <c r="I5552" s="18" t="n">
        <f aca="false">((I5551 + G5552) - H5552)</f>
        <v>4518.28</v>
      </c>
      <c r="J5552" s="18" t="n">
        <v>0</v>
      </c>
      <c r="K5552" s="19" t="n">
        <v>0</v>
      </c>
      <c r="L5552" s="17"/>
    </row>
    <row r="5553" s="11" customFormat="true" ht="10.95" hidden="false" customHeight="true" outlineLevel="0" collapsed="false">
      <c r="A5553" s="16" t="n">
        <v>45271</v>
      </c>
      <c r="B5553" s="17" t="s">
        <v>2894</v>
      </c>
      <c r="C5553" s="17" t="s">
        <v>1593</v>
      </c>
      <c r="D5553" s="17" t="s">
        <v>2895</v>
      </c>
      <c r="E5553" s="17" t="s">
        <v>2925</v>
      </c>
      <c r="F5553" s="17" t="s">
        <v>3010</v>
      </c>
      <c r="G5553" s="18" t="n">
        <v>8.07</v>
      </c>
      <c r="H5553" s="18" t="n">
        <v>0</v>
      </c>
      <c r="I5553" s="18" t="n">
        <f aca="false">((I5552 + G5553) - H5553)</f>
        <v>4526.35</v>
      </c>
      <c r="J5553" s="18" t="n">
        <v>0</v>
      </c>
      <c r="K5553" s="19" t="n">
        <v>0</v>
      </c>
      <c r="L5553" s="17"/>
    </row>
    <row r="5554" s="11" customFormat="true" ht="10.95" hidden="false" customHeight="true" outlineLevel="0" collapsed="false">
      <c r="A5554" s="16" t="n">
        <v>45272</v>
      </c>
      <c r="B5554" s="17" t="s">
        <v>2894</v>
      </c>
      <c r="C5554" s="17" t="s">
        <v>1593</v>
      </c>
      <c r="D5554" s="17" t="s">
        <v>2895</v>
      </c>
      <c r="E5554" s="17" t="s">
        <v>2934</v>
      </c>
      <c r="F5554" s="17" t="s">
        <v>3011</v>
      </c>
      <c r="G5554" s="18" t="n">
        <v>220.02</v>
      </c>
      <c r="H5554" s="18" t="n">
        <v>0</v>
      </c>
      <c r="I5554" s="18" t="n">
        <f aca="false">((I5553 + G5554) - H5554)</f>
        <v>4746.37</v>
      </c>
      <c r="J5554" s="18" t="n">
        <v>0</v>
      </c>
      <c r="K5554" s="19" t="n">
        <v>0</v>
      </c>
      <c r="L5554" s="17"/>
    </row>
    <row r="5555" s="11" customFormat="true" ht="10.95" hidden="false" customHeight="true" outlineLevel="0" collapsed="false">
      <c r="A5555" s="16" t="n">
        <v>45273</v>
      </c>
      <c r="B5555" s="17" t="s">
        <v>2894</v>
      </c>
      <c r="C5555" s="17" t="s">
        <v>1593</v>
      </c>
      <c r="D5555" s="17" t="s">
        <v>2895</v>
      </c>
      <c r="E5555" s="17" t="s">
        <v>2937</v>
      </c>
      <c r="F5555" s="17" t="s">
        <v>1330</v>
      </c>
      <c r="G5555" s="18" t="n">
        <v>10.73</v>
      </c>
      <c r="H5555" s="18" t="n">
        <v>0</v>
      </c>
      <c r="I5555" s="18" t="n">
        <f aca="false">((I5554 + G5555) - H5555)</f>
        <v>4757.1</v>
      </c>
      <c r="J5555" s="18" t="n">
        <v>0</v>
      </c>
      <c r="K5555" s="19" t="n">
        <v>0</v>
      </c>
      <c r="L5555" s="17"/>
    </row>
    <row r="5556" s="11" customFormat="true" ht="10.95" hidden="false" customHeight="true" outlineLevel="0" collapsed="false">
      <c r="A5556" s="16" t="n">
        <v>45273</v>
      </c>
      <c r="B5556" s="17" t="s">
        <v>2894</v>
      </c>
      <c r="C5556" s="17" t="s">
        <v>1593</v>
      </c>
      <c r="D5556" s="17" t="s">
        <v>2895</v>
      </c>
      <c r="E5556" s="17" t="s">
        <v>2937</v>
      </c>
      <c r="F5556" s="17" t="s">
        <v>1332</v>
      </c>
      <c r="G5556" s="18" t="n">
        <v>16.08</v>
      </c>
      <c r="H5556" s="18" t="n">
        <v>0</v>
      </c>
      <c r="I5556" s="18" t="n">
        <f aca="false">((I5555 + G5556) - H5556)</f>
        <v>4773.18</v>
      </c>
      <c r="J5556" s="18" t="n">
        <v>0</v>
      </c>
      <c r="K5556" s="19" t="n">
        <v>0</v>
      </c>
      <c r="L5556" s="17"/>
    </row>
    <row r="5557" s="11" customFormat="true" ht="10.95" hidden="false" customHeight="true" outlineLevel="0" collapsed="false">
      <c r="A5557" s="16" t="n">
        <v>45275</v>
      </c>
      <c r="B5557" s="17" t="s">
        <v>2894</v>
      </c>
      <c r="C5557" s="17" t="s">
        <v>1593</v>
      </c>
      <c r="D5557" s="17" t="s">
        <v>2895</v>
      </c>
      <c r="E5557" s="17" t="s">
        <v>2897</v>
      </c>
      <c r="F5557" s="17" t="s">
        <v>1334</v>
      </c>
      <c r="G5557" s="18" t="n">
        <v>58.81</v>
      </c>
      <c r="H5557" s="18" t="n">
        <v>0</v>
      </c>
      <c r="I5557" s="18" t="n">
        <f aca="false">((I5556 + G5557) - H5557)</f>
        <v>4831.99</v>
      </c>
      <c r="J5557" s="18" t="n">
        <v>0</v>
      </c>
      <c r="K5557" s="19" t="n">
        <v>0</v>
      </c>
      <c r="L5557" s="17"/>
    </row>
    <row r="5558" s="11" customFormat="true" ht="10.95" hidden="false" customHeight="true" outlineLevel="0" collapsed="false">
      <c r="A5558" s="16" t="n">
        <v>45275</v>
      </c>
      <c r="B5558" s="17" t="s">
        <v>2894</v>
      </c>
      <c r="C5558" s="17" t="s">
        <v>1593</v>
      </c>
      <c r="D5558" s="17" t="s">
        <v>2895</v>
      </c>
      <c r="E5558" s="17" t="s">
        <v>2897</v>
      </c>
      <c r="F5558" s="17" t="s">
        <v>1336</v>
      </c>
      <c r="G5558" s="18" t="n">
        <v>176.44</v>
      </c>
      <c r="H5558" s="18" t="n">
        <v>0</v>
      </c>
      <c r="I5558" s="18" t="n">
        <f aca="false">((I5557 + G5558) - H5558)</f>
        <v>5008.43</v>
      </c>
      <c r="J5558" s="18" t="n">
        <v>0</v>
      </c>
      <c r="K5558" s="19" t="n">
        <v>0</v>
      </c>
      <c r="L5558" s="17"/>
    </row>
    <row r="5559" s="11" customFormat="true" ht="10.95" hidden="false" customHeight="true" outlineLevel="0" collapsed="false">
      <c r="A5559" s="16" t="n">
        <v>45275</v>
      </c>
      <c r="B5559" s="17" t="s">
        <v>2894</v>
      </c>
      <c r="C5559" s="17" t="s">
        <v>1593</v>
      </c>
      <c r="D5559" s="17" t="s">
        <v>2895</v>
      </c>
      <c r="E5559" s="17" t="s">
        <v>2897</v>
      </c>
      <c r="F5559" s="17" t="s">
        <v>1338</v>
      </c>
      <c r="G5559" s="18" t="n">
        <v>348.99</v>
      </c>
      <c r="H5559" s="18" t="n">
        <v>0</v>
      </c>
      <c r="I5559" s="18" t="n">
        <f aca="false">((I5558 + G5559) - H5559)</f>
        <v>5357.42</v>
      </c>
      <c r="J5559" s="18" t="n">
        <v>0</v>
      </c>
      <c r="K5559" s="19" t="n">
        <v>0</v>
      </c>
      <c r="L5559" s="17"/>
    </row>
    <row r="5560" s="11" customFormat="true" ht="10.95" hidden="false" customHeight="true" outlineLevel="0" collapsed="false">
      <c r="A5560" s="16" t="n">
        <v>45275</v>
      </c>
      <c r="B5560" s="17" t="s">
        <v>2894</v>
      </c>
      <c r="C5560" s="17" t="s">
        <v>1593</v>
      </c>
      <c r="D5560" s="17" t="s">
        <v>2903</v>
      </c>
      <c r="E5560" s="17" t="s">
        <v>2908</v>
      </c>
      <c r="F5560" s="17" t="s">
        <v>2364</v>
      </c>
      <c r="G5560" s="18" t="n">
        <v>0</v>
      </c>
      <c r="H5560" s="18" t="n">
        <v>1.75</v>
      </c>
      <c r="I5560" s="18" t="n">
        <f aca="false">((I5559 + G5560) - H5560)</f>
        <v>5355.67</v>
      </c>
      <c r="J5560" s="18" t="n">
        <v>0</v>
      </c>
      <c r="K5560" s="19" t="n">
        <v>0</v>
      </c>
      <c r="L5560" s="17"/>
    </row>
    <row r="5561" s="11" customFormat="true" ht="10.95" hidden="false" customHeight="true" outlineLevel="0" collapsed="false">
      <c r="A5561" s="16" t="n">
        <v>45279</v>
      </c>
      <c r="B5561" s="17" t="s">
        <v>2894</v>
      </c>
      <c r="C5561" s="17" t="s">
        <v>1593</v>
      </c>
      <c r="D5561" s="17" t="s">
        <v>2903</v>
      </c>
      <c r="E5561" s="17" t="s">
        <v>3012</v>
      </c>
      <c r="F5561" s="17" t="s">
        <v>2404</v>
      </c>
      <c r="G5561" s="18" t="n">
        <v>0</v>
      </c>
      <c r="H5561" s="18" t="n">
        <v>53.88</v>
      </c>
      <c r="I5561" s="18" t="n">
        <f aca="false">((I5560 + G5561) - H5561)</f>
        <v>5301.79</v>
      </c>
      <c r="J5561" s="18" t="n">
        <v>0</v>
      </c>
      <c r="K5561" s="19" t="n">
        <v>0</v>
      </c>
      <c r="L5561" s="17"/>
    </row>
    <row r="5562" s="11" customFormat="true" ht="10.95" hidden="false" customHeight="true" outlineLevel="0" collapsed="false">
      <c r="A5562" s="16" t="n">
        <v>45279</v>
      </c>
      <c r="B5562" s="17" t="s">
        <v>2894</v>
      </c>
      <c r="C5562" s="17" t="s">
        <v>1593</v>
      </c>
      <c r="D5562" s="17" t="s">
        <v>2903</v>
      </c>
      <c r="E5562" s="17" t="s">
        <v>3013</v>
      </c>
      <c r="F5562" s="17" t="s">
        <v>2402</v>
      </c>
      <c r="G5562" s="18" t="n">
        <v>34.53</v>
      </c>
      <c r="H5562" s="18" t="n">
        <v>0</v>
      </c>
      <c r="I5562" s="18" t="n">
        <f aca="false">((I5561 + G5562) - H5562)</f>
        <v>5336.32</v>
      </c>
      <c r="J5562" s="18" t="n">
        <v>0</v>
      </c>
      <c r="K5562" s="19" t="n">
        <v>0</v>
      </c>
      <c r="L5562" s="17"/>
    </row>
    <row r="5563" s="11" customFormat="true" ht="10.95" hidden="false" customHeight="true" outlineLevel="0" collapsed="false">
      <c r="A5563" s="16" t="n">
        <v>45280</v>
      </c>
      <c r="B5563" s="17" t="s">
        <v>2894</v>
      </c>
      <c r="C5563" s="17" t="s">
        <v>1593</v>
      </c>
      <c r="D5563" s="17" t="s">
        <v>2895</v>
      </c>
      <c r="E5563" s="17" t="s">
        <v>2917</v>
      </c>
      <c r="F5563" s="17" t="s">
        <v>3014</v>
      </c>
      <c r="G5563" s="18" t="n">
        <v>67.47</v>
      </c>
      <c r="H5563" s="18" t="n">
        <v>0</v>
      </c>
      <c r="I5563" s="18" t="n">
        <f aca="false">((I5562 + G5563) - H5563)</f>
        <v>5403.79</v>
      </c>
      <c r="J5563" s="18" t="n">
        <v>0</v>
      </c>
      <c r="K5563" s="19" t="n">
        <v>0</v>
      </c>
      <c r="L5563" s="17"/>
    </row>
    <row r="5564" s="11" customFormat="true" ht="10.95" hidden="false" customHeight="true" outlineLevel="0" collapsed="false">
      <c r="A5564" s="16" t="n">
        <v>45280</v>
      </c>
      <c r="B5564" s="17" t="s">
        <v>2894</v>
      </c>
      <c r="C5564" s="17" t="s">
        <v>1593</v>
      </c>
      <c r="D5564" s="17" t="s">
        <v>2895</v>
      </c>
      <c r="E5564" s="17" t="s">
        <v>2951</v>
      </c>
      <c r="F5564" s="17" t="s">
        <v>3015</v>
      </c>
      <c r="G5564" s="18" t="n">
        <v>20.49</v>
      </c>
      <c r="H5564" s="18" t="n">
        <v>0</v>
      </c>
      <c r="I5564" s="18" t="n">
        <f aca="false">((I5563 + G5564) - H5564)</f>
        <v>5424.28</v>
      </c>
      <c r="J5564" s="18" t="n">
        <v>0</v>
      </c>
      <c r="K5564" s="19" t="n">
        <v>0</v>
      </c>
      <c r="L5564" s="17"/>
    </row>
    <row r="5565" s="11" customFormat="true" ht="10.95" hidden="false" customHeight="true" outlineLevel="0" collapsed="false">
      <c r="A5565" s="16" t="n">
        <v>45280</v>
      </c>
      <c r="B5565" s="17" t="s">
        <v>2894</v>
      </c>
      <c r="C5565" s="17" t="s">
        <v>1593</v>
      </c>
      <c r="D5565" s="17" t="s">
        <v>2895</v>
      </c>
      <c r="E5565" s="17" t="s">
        <v>2951</v>
      </c>
      <c r="F5565" s="17" t="s">
        <v>3016</v>
      </c>
      <c r="G5565" s="18" t="n">
        <v>27.42</v>
      </c>
      <c r="H5565" s="18" t="n">
        <v>0</v>
      </c>
      <c r="I5565" s="18" t="n">
        <f aca="false">((I5564 + G5565) - H5565)</f>
        <v>5451.7</v>
      </c>
      <c r="J5565" s="18" t="n">
        <v>0</v>
      </c>
      <c r="K5565" s="19" t="n">
        <v>0</v>
      </c>
      <c r="L5565" s="17"/>
    </row>
    <row r="5566" s="11" customFormat="true" ht="10.95" hidden="false" customHeight="true" outlineLevel="0" collapsed="false">
      <c r="A5566" s="16" t="n">
        <v>45281</v>
      </c>
      <c r="B5566" s="17" t="s">
        <v>2894</v>
      </c>
      <c r="C5566" s="17" t="s">
        <v>1593</v>
      </c>
      <c r="D5566" s="17" t="s">
        <v>2895</v>
      </c>
      <c r="E5566" s="17" t="s">
        <v>2900</v>
      </c>
      <c r="F5566" s="17" t="s">
        <v>3017</v>
      </c>
      <c r="G5566" s="18" t="n">
        <v>13.92</v>
      </c>
      <c r="H5566" s="18" t="n">
        <v>0</v>
      </c>
      <c r="I5566" s="18" t="n">
        <f aca="false">((I5565 + G5566) - H5566)</f>
        <v>5465.62</v>
      </c>
      <c r="J5566" s="18" t="n">
        <v>0</v>
      </c>
      <c r="K5566" s="19" t="n">
        <v>0</v>
      </c>
      <c r="L5566" s="17"/>
    </row>
    <row r="5567" s="11" customFormat="true" ht="10.95" hidden="false" customHeight="true" outlineLevel="0" collapsed="false">
      <c r="A5567" s="16" t="n">
        <v>45281</v>
      </c>
      <c r="B5567" s="17" t="s">
        <v>2894</v>
      </c>
      <c r="C5567" s="17" t="s">
        <v>1593</v>
      </c>
      <c r="D5567" s="17" t="s">
        <v>2895</v>
      </c>
      <c r="E5567" s="17" t="s">
        <v>2900</v>
      </c>
      <c r="F5567" s="17" t="s">
        <v>3018</v>
      </c>
      <c r="G5567" s="18" t="n">
        <v>106.25</v>
      </c>
      <c r="H5567" s="18" t="n">
        <v>0</v>
      </c>
      <c r="I5567" s="18" t="n">
        <f aca="false">((I5566 + G5567) - H5567)</f>
        <v>5571.87</v>
      </c>
      <c r="J5567" s="18" t="n">
        <v>0</v>
      </c>
      <c r="K5567" s="19" t="n">
        <v>0</v>
      </c>
      <c r="L5567" s="17"/>
    </row>
    <row r="5568" s="11" customFormat="true" ht="10.95" hidden="false" customHeight="true" outlineLevel="0" collapsed="false">
      <c r="A5568" s="16" t="n">
        <v>45282</v>
      </c>
      <c r="B5568" s="17" t="s">
        <v>2894</v>
      </c>
      <c r="C5568" s="17" t="s">
        <v>1593</v>
      </c>
      <c r="D5568" s="17" t="s">
        <v>2895</v>
      </c>
      <c r="E5568" s="17" t="s">
        <v>2947</v>
      </c>
      <c r="F5568" s="17" t="s">
        <v>3019</v>
      </c>
      <c r="G5568" s="18" t="n">
        <v>74.94</v>
      </c>
      <c r="H5568" s="18" t="n">
        <v>0</v>
      </c>
      <c r="I5568" s="18" t="n">
        <f aca="false">((I5567 + G5568) - H5568)</f>
        <v>5646.81</v>
      </c>
      <c r="J5568" s="18" t="n">
        <v>0</v>
      </c>
      <c r="K5568" s="19" t="n">
        <v>0</v>
      </c>
      <c r="L5568" s="17"/>
    </row>
    <row r="5569" s="11" customFormat="true" ht="10.95" hidden="false" customHeight="true" outlineLevel="0" collapsed="false">
      <c r="A5569" s="16" t="n">
        <v>45287</v>
      </c>
      <c r="B5569" s="17" t="s">
        <v>2894</v>
      </c>
      <c r="C5569" s="17" t="s">
        <v>1593</v>
      </c>
      <c r="D5569" s="17" t="s">
        <v>2895</v>
      </c>
      <c r="E5569" s="17" t="s">
        <v>2910</v>
      </c>
      <c r="F5569" s="17" t="s">
        <v>3020</v>
      </c>
      <c r="G5569" s="18" t="n">
        <v>74.76</v>
      </c>
      <c r="H5569" s="18" t="n">
        <v>0</v>
      </c>
      <c r="I5569" s="18" t="n">
        <f aca="false">((I5568 + G5569) - H5569)</f>
        <v>5721.57</v>
      </c>
      <c r="J5569" s="18" t="n">
        <v>0</v>
      </c>
      <c r="K5569" s="19" t="n">
        <v>0</v>
      </c>
      <c r="L5569" s="17"/>
    </row>
    <row r="5570" s="11" customFormat="true" ht="10.95" hidden="false" customHeight="true" outlineLevel="0" collapsed="false">
      <c r="A5570" s="16" t="n">
        <v>45292</v>
      </c>
      <c r="B5570" s="17" t="s">
        <v>2894</v>
      </c>
      <c r="C5570" s="17" t="s">
        <v>1593</v>
      </c>
      <c r="D5570" s="17" t="s">
        <v>2895</v>
      </c>
      <c r="E5570" s="17" t="s">
        <v>2964</v>
      </c>
      <c r="F5570" s="17" t="s">
        <v>1342</v>
      </c>
      <c r="G5570" s="18" t="n">
        <v>79.17</v>
      </c>
      <c r="H5570" s="18" t="n">
        <v>0</v>
      </c>
      <c r="I5570" s="18" t="n">
        <f aca="false">((I5569 + G5570) - H5570)</f>
        <v>5800.74</v>
      </c>
      <c r="J5570" s="18" t="n">
        <v>0</v>
      </c>
      <c r="K5570" s="19" t="n">
        <v>0</v>
      </c>
      <c r="L5570" s="17"/>
    </row>
    <row r="5571" s="11" customFormat="true" ht="10.95" hidden="false" customHeight="true" outlineLevel="0" collapsed="false">
      <c r="A5571" s="16" t="n">
        <v>45293</v>
      </c>
      <c r="B5571" s="17" t="s">
        <v>2894</v>
      </c>
      <c r="C5571" s="17" t="s">
        <v>1593</v>
      </c>
      <c r="D5571" s="17" t="s">
        <v>2895</v>
      </c>
      <c r="E5571" s="17" t="s">
        <v>2896</v>
      </c>
      <c r="F5571" s="17" t="s">
        <v>1344</v>
      </c>
      <c r="G5571" s="18" t="n">
        <v>1.74</v>
      </c>
      <c r="H5571" s="18" t="n">
        <v>0</v>
      </c>
      <c r="I5571" s="18" t="n">
        <f aca="false">((I5570 + G5571) - H5571)</f>
        <v>5802.48</v>
      </c>
      <c r="J5571" s="18" t="n">
        <v>0</v>
      </c>
      <c r="K5571" s="19" t="n">
        <v>0</v>
      </c>
      <c r="L5571" s="17"/>
    </row>
    <row r="5572" s="11" customFormat="true" ht="10.95" hidden="false" customHeight="true" outlineLevel="0" collapsed="false">
      <c r="A5572" s="16" t="n">
        <v>45294</v>
      </c>
      <c r="B5572" s="17" t="s">
        <v>2894</v>
      </c>
      <c r="C5572" s="17" t="s">
        <v>1593</v>
      </c>
      <c r="D5572" s="17" t="s">
        <v>2895</v>
      </c>
      <c r="E5572" s="17" t="s">
        <v>2898</v>
      </c>
      <c r="F5572" s="17" t="s">
        <v>3021</v>
      </c>
      <c r="G5572" s="18" t="n">
        <v>26.19</v>
      </c>
      <c r="H5572" s="18" t="n">
        <v>0</v>
      </c>
      <c r="I5572" s="18" t="n">
        <f aca="false">((I5571 + G5572) - H5572)</f>
        <v>5828.67</v>
      </c>
      <c r="J5572" s="18" t="n">
        <v>0</v>
      </c>
      <c r="K5572" s="19" t="n">
        <v>0</v>
      </c>
      <c r="L5572" s="17"/>
    </row>
    <row r="5573" s="11" customFormat="true" ht="10.95" hidden="false" customHeight="true" outlineLevel="0" collapsed="false">
      <c r="A5573" s="16" t="n">
        <v>45295</v>
      </c>
      <c r="B5573" s="17" t="s">
        <v>2894</v>
      </c>
      <c r="C5573" s="17" t="s">
        <v>1593</v>
      </c>
      <c r="D5573" s="17" t="s">
        <v>2895</v>
      </c>
      <c r="E5573" s="17" t="s">
        <v>2964</v>
      </c>
      <c r="F5573" s="17" t="s">
        <v>1346</v>
      </c>
      <c r="G5573" s="18" t="n">
        <v>11.97</v>
      </c>
      <c r="H5573" s="18" t="n">
        <v>0</v>
      </c>
      <c r="I5573" s="18" t="n">
        <f aca="false">((I5572 + G5573) - H5573)</f>
        <v>5840.64</v>
      </c>
      <c r="J5573" s="18" t="n">
        <v>0</v>
      </c>
      <c r="K5573" s="19" t="n">
        <v>0</v>
      </c>
      <c r="L5573" s="17"/>
    </row>
    <row r="5574" s="11" customFormat="true" ht="10.95" hidden="false" customHeight="true" outlineLevel="0" collapsed="false">
      <c r="A5574" s="16" t="n">
        <v>45295</v>
      </c>
      <c r="B5574" s="17" t="s">
        <v>2894</v>
      </c>
      <c r="C5574" s="17" t="s">
        <v>1593</v>
      </c>
      <c r="D5574" s="17" t="s">
        <v>2895</v>
      </c>
      <c r="E5574" s="17" t="s">
        <v>2922</v>
      </c>
      <c r="F5574" s="17" t="s">
        <v>3022</v>
      </c>
      <c r="G5574" s="18" t="n">
        <v>174.92</v>
      </c>
      <c r="H5574" s="18" t="n">
        <v>0</v>
      </c>
      <c r="I5574" s="18" t="n">
        <f aca="false">((I5573 + G5574) - H5574)</f>
        <v>6015.56</v>
      </c>
      <c r="J5574" s="18" t="n">
        <v>0</v>
      </c>
      <c r="K5574" s="19" t="n">
        <v>0</v>
      </c>
      <c r="L5574" s="17"/>
    </row>
    <row r="5575" s="11" customFormat="true" ht="10.95" hidden="false" customHeight="true" outlineLevel="0" collapsed="false">
      <c r="A5575" s="16" t="n">
        <v>45295</v>
      </c>
      <c r="B5575" s="17" t="s">
        <v>2894</v>
      </c>
      <c r="C5575" s="17" t="s">
        <v>1593</v>
      </c>
      <c r="D5575" s="17" t="s">
        <v>2903</v>
      </c>
      <c r="E5575" s="17" t="s">
        <v>2963</v>
      </c>
      <c r="F5575" s="17" t="s">
        <v>2677</v>
      </c>
      <c r="G5575" s="18" t="n">
        <v>0.89</v>
      </c>
      <c r="H5575" s="18" t="n">
        <v>0</v>
      </c>
      <c r="I5575" s="18" t="n">
        <f aca="false">((I5574 + G5575) - H5575)</f>
        <v>6016.45</v>
      </c>
      <c r="J5575" s="18" t="n">
        <v>0</v>
      </c>
      <c r="K5575" s="19" t="n">
        <v>0</v>
      </c>
      <c r="L5575" s="17"/>
    </row>
    <row r="5576" s="11" customFormat="true" ht="10.95" hidden="false" customHeight="true" outlineLevel="0" collapsed="false">
      <c r="A5576" s="16" t="n">
        <v>45296</v>
      </c>
      <c r="B5576" s="17" t="s">
        <v>2894</v>
      </c>
      <c r="C5576" s="17" t="s">
        <v>1593</v>
      </c>
      <c r="D5576" s="17" t="s">
        <v>2895</v>
      </c>
      <c r="E5576" s="17" t="s">
        <v>2947</v>
      </c>
      <c r="F5576" s="17" t="s">
        <v>3023</v>
      </c>
      <c r="G5576" s="18" t="n">
        <v>108.52</v>
      </c>
      <c r="H5576" s="18" t="n">
        <v>0</v>
      </c>
      <c r="I5576" s="18" t="n">
        <f aca="false">((I5575 + G5576) - H5576)</f>
        <v>6124.97</v>
      </c>
      <c r="J5576" s="18" t="n">
        <v>0</v>
      </c>
      <c r="K5576" s="19" t="n">
        <v>0</v>
      </c>
      <c r="L5576" s="17"/>
    </row>
    <row r="5577" s="11" customFormat="true" ht="10.95" hidden="false" customHeight="true" outlineLevel="0" collapsed="false">
      <c r="A5577" s="16" t="n">
        <v>45296</v>
      </c>
      <c r="B5577" s="17" t="s">
        <v>2894</v>
      </c>
      <c r="C5577" s="17" t="s">
        <v>1593</v>
      </c>
      <c r="D5577" s="17" t="s">
        <v>2903</v>
      </c>
      <c r="E5577" s="17" t="s">
        <v>3008</v>
      </c>
      <c r="F5577" s="17" t="s">
        <v>1628</v>
      </c>
      <c r="G5577" s="18" t="n">
        <v>1.17</v>
      </c>
      <c r="H5577" s="18" t="n">
        <v>0</v>
      </c>
      <c r="I5577" s="18" t="n">
        <f aca="false">((I5576 + G5577) - H5577)</f>
        <v>6126.14</v>
      </c>
      <c r="J5577" s="18" t="n">
        <v>0</v>
      </c>
      <c r="K5577" s="19" t="n">
        <v>0</v>
      </c>
      <c r="L5577" s="17"/>
    </row>
    <row r="5578" s="11" customFormat="true" ht="10.95" hidden="false" customHeight="true" outlineLevel="0" collapsed="false">
      <c r="A5578" s="16" t="n">
        <v>45301</v>
      </c>
      <c r="B5578" s="17" t="s">
        <v>2894</v>
      </c>
      <c r="C5578" s="17" t="s">
        <v>1593</v>
      </c>
      <c r="D5578" s="17" t="s">
        <v>2895</v>
      </c>
      <c r="E5578" s="17" t="s">
        <v>2906</v>
      </c>
      <c r="F5578" s="17" t="s">
        <v>3024</v>
      </c>
      <c r="G5578" s="18" t="n">
        <v>45.1</v>
      </c>
      <c r="H5578" s="18" t="n">
        <v>0</v>
      </c>
      <c r="I5578" s="18" t="n">
        <f aca="false">((I5577 + G5578) - H5578)</f>
        <v>6171.24</v>
      </c>
      <c r="J5578" s="18" t="n">
        <v>0</v>
      </c>
      <c r="K5578" s="19" t="n">
        <v>0</v>
      </c>
      <c r="L5578" s="17"/>
    </row>
    <row r="5579" s="11" customFormat="true" ht="10.95" hidden="false" customHeight="true" outlineLevel="0" collapsed="false">
      <c r="A5579" s="16" t="n">
        <v>45301</v>
      </c>
      <c r="B5579" s="17" t="s">
        <v>2894</v>
      </c>
      <c r="C5579" s="17" t="s">
        <v>1593</v>
      </c>
      <c r="D5579" s="17" t="s">
        <v>2903</v>
      </c>
      <c r="E5579" s="17" t="s">
        <v>2908</v>
      </c>
      <c r="F5579" s="17" t="s">
        <v>2399</v>
      </c>
      <c r="G5579" s="18" t="n">
        <v>0</v>
      </c>
      <c r="H5579" s="18" t="n">
        <v>13.53</v>
      </c>
      <c r="I5579" s="18" t="n">
        <f aca="false">((I5578 + G5579) - H5579)</f>
        <v>6157.71</v>
      </c>
      <c r="J5579" s="18" t="n">
        <v>0</v>
      </c>
      <c r="K5579" s="19" t="n">
        <v>0</v>
      </c>
      <c r="L5579" s="17"/>
    </row>
    <row r="5580" s="11" customFormat="true" ht="10.95" hidden="false" customHeight="true" outlineLevel="0" collapsed="false">
      <c r="A5580" s="16" t="n">
        <v>45302</v>
      </c>
      <c r="B5580" s="17" t="s">
        <v>2894</v>
      </c>
      <c r="C5580" s="17" t="s">
        <v>1593</v>
      </c>
      <c r="D5580" s="17" t="s">
        <v>2903</v>
      </c>
      <c r="E5580" s="17" t="s">
        <v>2904</v>
      </c>
      <c r="F5580" s="17" t="s">
        <v>1486</v>
      </c>
      <c r="G5580" s="18" t="n">
        <v>96.07</v>
      </c>
      <c r="H5580" s="18" t="n">
        <v>0</v>
      </c>
      <c r="I5580" s="18" t="n">
        <f aca="false">((I5579 + G5580) - H5580)</f>
        <v>6253.78</v>
      </c>
      <c r="J5580" s="18" t="n">
        <v>0</v>
      </c>
      <c r="K5580" s="19" t="n">
        <v>0</v>
      </c>
      <c r="L5580" s="17"/>
    </row>
    <row r="5581" s="11" customFormat="true" ht="10.95" hidden="false" customHeight="true" outlineLevel="0" collapsed="false">
      <c r="A5581" s="16" t="n">
        <v>45302</v>
      </c>
      <c r="B5581" s="17" t="s">
        <v>2894</v>
      </c>
      <c r="C5581" s="17" t="s">
        <v>1593</v>
      </c>
      <c r="D5581" s="17" t="s">
        <v>2895</v>
      </c>
      <c r="E5581" s="17" t="s">
        <v>2900</v>
      </c>
      <c r="F5581" s="17" t="s">
        <v>3025</v>
      </c>
      <c r="G5581" s="18" t="n">
        <v>0.82</v>
      </c>
      <c r="H5581" s="18" t="n">
        <v>0</v>
      </c>
      <c r="I5581" s="18" t="n">
        <f aca="false">((I5580 + G5581) - H5581)</f>
        <v>6254.6</v>
      </c>
      <c r="J5581" s="18" t="n">
        <v>0</v>
      </c>
      <c r="K5581" s="19" t="n">
        <v>0</v>
      </c>
      <c r="L5581" s="17"/>
    </row>
    <row r="5582" s="11" customFormat="true" ht="10.95" hidden="false" customHeight="true" outlineLevel="0" collapsed="false">
      <c r="A5582" s="16" t="n">
        <v>45302</v>
      </c>
      <c r="B5582" s="17" t="s">
        <v>2894</v>
      </c>
      <c r="C5582" s="17" t="s">
        <v>1593</v>
      </c>
      <c r="D5582" s="17" t="s">
        <v>2895</v>
      </c>
      <c r="E5582" s="17" t="s">
        <v>2900</v>
      </c>
      <c r="F5582" s="17" t="s">
        <v>3026</v>
      </c>
      <c r="G5582" s="18" t="n">
        <v>11.75</v>
      </c>
      <c r="H5582" s="18" t="n">
        <v>0</v>
      </c>
      <c r="I5582" s="18" t="n">
        <f aca="false">((I5581 + G5582) - H5582)</f>
        <v>6266.35</v>
      </c>
      <c r="J5582" s="18" t="n">
        <v>0</v>
      </c>
      <c r="K5582" s="19" t="n">
        <v>0</v>
      </c>
      <c r="L5582" s="17"/>
    </row>
    <row r="5583" s="11" customFormat="true" ht="10.95" hidden="false" customHeight="true" outlineLevel="0" collapsed="false">
      <c r="A5583" s="16" t="n">
        <v>45302</v>
      </c>
      <c r="B5583" s="17" t="s">
        <v>2894</v>
      </c>
      <c r="C5583" s="17" t="s">
        <v>1593</v>
      </c>
      <c r="D5583" s="17" t="s">
        <v>2895</v>
      </c>
      <c r="E5583" s="17" t="s">
        <v>2900</v>
      </c>
      <c r="F5583" s="17" t="s">
        <v>3027</v>
      </c>
      <c r="G5583" s="18" t="n">
        <v>3.23</v>
      </c>
      <c r="H5583" s="18" t="n">
        <v>0</v>
      </c>
      <c r="I5583" s="18" t="n">
        <f aca="false">((I5582 + G5583) - H5583)</f>
        <v>6269.58</v>
      </c>
      <c r="J5583" s="18" t="n">
        <v>0</v>
      </c>
      <c r="K5583" s="19" t="n">
        <v>0</v>
      </c>
      <c r="L5583" s="17"/>
    </row>
    <row r="5584" s="11" customFormat="true" ht="10.95" hidden="false" customHeight="true" outlineLevel="0" collapsed="false">
      <c r="A5584" s="16" t="n">
        <v>45302</v>
      </c>
      <c r="B5584" s="17" t="s">
        <v>2894</v>
      </c>
      <c r="C5584" s="17" t="s">
        <v>1593</v>
      </c>
      <c r="D5584" s="17" t="s">
        <v>2895</v>
      </c>
      <c r="E5584" s="17" t="s">
        <v>2900</v>
      </c>
      <c r="F5584" s="17" t="s">
        <v>3028</v>
      </c>
      <c r="G5584" s="18" t="n">
        <v>6.24</v>
      </c>
      <c r="H5584" s="18" t="n">
        <v>0</v>
      </c>
      <c r="I5584" s="18" t="n">
        <f aca="false">((I5583 + G5584) - H5584)</f>
        <v>6275.82</v>
      </c>
      <c r="J5584" s="18" t="n">
        <v>0</v>
      </c>
      <c r="K5584" s="19" t="n">
        <v>0</v>
      </c>
      <c r="L5584" s="17"/>
    </row>
    <row r="5585" s="11" customFormat="true" ht="10.95" hidden="false" customHeight="true" outlineLevel="0" collapsed="false">
      <c r="A5585" s="16" t="n">
        <v>45302</v>
      </c>
      <c r="B5585" s="17" t="s">
        <v>2894</v>
      </c>
      <c r="C5585" s="17" t="s">
        <v>1593</v>
      </c>
      <c r="D5585" s="17" t="s">
        <v>2895</v>
      </c>
      <c r="E5585" s="17" t="s">
        <v>2900</v>
      </c>
      <c r="F5585" s="17" t="s">
        <v>3029</v>
      </c>
      <c r="G5585" s="18" t="n">
        <v>6.18</v>
      </c>
      <c r="H5585" s="18" t="n">
        <v>0</v>
      </c>
      <c r="I5585" s="18" t="n">
        <f aca="false">((I5584 + G5585) - H5585)</f>
        <v>6282</v>
      </c>
      <c r="J5585" s="18" t="n">
        <v>0</v>
      </c>
      <c r="K5585" s="19" t="n">
        <v>0</v>
      </c>
      <c r="L5585" s="17"/>
    </row>
    <row r="5586" s="11" customFormat="true" ht="10.95" hidden="false" customHeight="true" outlineLevel="0" collapsed="false">
      <c r="A5586" s="16" t="n">
        <v>45302</v>
      </c>
      <c r="B5586" s="17" t="s">
        <v>2894</v>
      </c>
      <c r="C5586" s="17" t="s">
        <v>1593</v>
      </c>
      <c r="D5586" s="17" t="s">
        <v>2895</v>
      </c>
      <c r="E5586" s="17" t="s">
        <v>2900</v>
      </c>
      <c r="F5586" s="17" t="s">
        <v>3030</v>
      </c>
      <c r="G5586" s="18" t="n">
        <v>4.97</v>
      </c>
      <c r="H5586" s="18" t="n">
        <v>0</v>
      </c>
      <c r="I5586" s="18" t="n">
        <f aca="false">((I5585 + G5586) - H5586)</f>
        <v>6286.97</v>
      </c>
      <c r="J5586" s="18" t="n">
        <v>0</v>
      </c>
      <c r="K5586" s="19" t="n">
        <v>0</v>
      </c>
      <c r="L5586" s="17"/>
    </row>
    <row r="5587" s="11" customFormat="true" ht="10.95" hidden="false" customHeight="true" outlineLevel="0" collapsed="false">
      <c r="A5587" s="16" t="n">
        <v>45303</v>
      </c>
      <c r="B5587" s="17" t="s">
        <v>2894</v>
      </c>
      <c r="C5587" s="17" t="s">
        <v>1593</v>
      </c>
      <c r="D5587" s="17" t="s">
        <v>2895</v>
      </c>
      <c r="E5587" s="17" t="s">
        <v>2934</v>
      </c>
      <c r="F5587" s="17" t="s">
        <v>3031</v>
      </c>
      <c r="G5587" s="18" t="n">
        <v>89.5</v>
      </c>
      <c r="H5587" s="18" t="n">
        <v>0</v>
      </c>
      <c r="I5587" s="18" t="n">
        <f aca="false">((I5586 + G5587) - H5587)</f>
        <v>6376.47</v>
      </c>
      <c r="J5587" s="18" t="n">
        <v>0</v>
      </c>
      <c r="K5587" s="19" t="n">
        <v>0</v>
      </c>
      <c r="L5587" s="17"/>
    </row>
    <row r="5588" s="11" customFormat="true" ht="10.95" hidden="false" customHeight="true" outlineLevel="0" collapsed="false">
      <c r="A5588" s="16" t="n">
        <v>45309</v>
      </c>
      <c r="B5588" s="17" t="s">
        <v>2894</v>
      </c>
      <c r="C5588" s="17" t="s">
        <v>1593</v>
      </c>
      <c r="D5588" s="17" t="s">
        <v>2895</v>
      </c>
      <c r="E5588" s="17" t="s">
        <v>2917</v>
      </c>
      <c r="F5588" s="17" t="s">
        <v>3032</v>
      </c>
      <c r="G5588" s="18" t="n">
        <v>83.9</v>
      </c>
      <c r="H5588" s="18" t="n">
        <v>0</v>
      </c>
      <c r="I5588" s="18" t="n">
        <f aca="false">((I5587 + G5588) - H5588)</f>
        <v>6460.37</v>
      </c>
      <c r="J5588" s="18" t="n">
        <v>0</v>
      </c>
      <c r="K5588" s="19" t="n">
        <v>0</v>
      </c>
      <c r="L5588" s="17"/>
    </row>
    <row r="5589" s="11" customFormat="true" ht="10.95" hidden="false" customHeight="true" outlineLevel="0" collapsed="false">
      <c r="A5589" s="16" t="n">
        <v>45310</v>
      </c>
      <c r="B5589" s="17" t="s">
        <v>2894</v>
      </c>
      <c r="C5589" s="17" t="s">
        <v>1593</v>
      </c>
      <c r="D5589" s="17" t="s">
        <v>2895</v>
      </c>
      <c r="E5589" s="17" t="s">
        <v>2925</v>
      </c>
      <c r="F5589" s="17" t="s">
        <v>3033</v>
      </c>
      <c r="G5589" s="18" t="n">
        <v>0.57</v>
      </c>
      <c r="H5589" s="18" t="n">
        <v>0</v>
      </c>
      <c r="I5589" s="18" t="n">
        <f aca="false">((I5588 + G5589) - H5589)</f>
        <v>6460.94</v>
      </c>
      <c r="J5589" s="18" t="n">
        <v>0</v>
      </c>
      <c r="K5589" s="19" t="n">
        <v>0</v>
      </c>
      <c r="L5589" s="17"/>
    </row>
    <row r="5590" s="11" customFormat="true" ht="10.95" hidden="false" customHeight="true" outlineLevel="0" collapsed="false">
      <c r="A5590" s="16" t="n">
        <v>45310</v>
      </c>
      <c r="B5590" s="17" t="s">
        <v>2894</v>
      </c>
      <c r="C5590" s="17" t="s">
        <v>1593</v>
      </c>
      <c r="D5590" s="17" t="s">
        <v>2895</v>
      </c>
      <c r="E5590" s="17" t="s">
        <v>2925</v>
      </c>
      <c r="F5590" s="17" t="s">
        <v>3034</v>
      </c>
      <c r="G5590" s="18" t="n">
        <v>42.84</v>
      </c>
      <c r="H5590" s="18" t="n">
        <v>0</v>
      </c>
      <c r="I5590" s="18" t="n">
        <f aca="false">((I5589 + G5590) - H5590)</f>
        <v>6503.78</v>
      </c>
      <c r="J5590" s="18" t="n">
        <v>0</v>
      </c>
      <c r="K5590" s="19" t="n">
        <v>0</v>
      </c>
      <c r="L5590" s="17"/>
    </row>
    <row r="5591" s="11" customFormat="true" ht="10.95" hidden="false" customHeight="true" outlineLevel="0" collapsed="false">
      <c r="A5591" s="16" t="n">
        <v>45311</v>
      </c>
      <c r="B5591" s="17" t="s">
        <v>2894</v>
      </c>
      <c r="C5591" s="17" t="s">
        <v>1593</v>
      </c>
      <c r="D5591" s="17" t="s">
        <v>2903</v>
      </c>
      <c r="E5591" s="17" t="s">
        <v>3035</v>
      </c>
      <c r="F5591" s="17" t="s">
        <v>3036</v>
      </c>
      <c r="G5591" s="18" t="n">
        <v>83.39</v>
      </c>
      <c r="H5591" s="18" t="n">
        <v>0</v>
      </c>
      <c r="I5591" s="18" t="n">
        <f aca="false">((I5590 + G5591) - H5591)</f>
        <v>6587.17</v>
      </c>
      <c r="J5591" s="18" t="n">
        <v>0</v>
      </c>
      <c r="K5591" s="19" t="n">
        <v>0</v>
      </c>
      <c r="L5591" s="17"/>
    </row>
    <row r="5592" s="11" customFormat="true" ht="10.95" hidden="false" customHeight="true" outlineLevel="0" collapsed="false">
      <c r="A5592" s="16" t="n">
        <v>45316</v>
      </c>
      <c r="B5592" s="17" t="s">
        <v>2894</v>
      </c>
      <c r="C5592" s="17" t="s">
        <v>1593</v>
      </c>
      <c r="D5592" s="17" t="s">
        <v>2895</v>
      </c>
      <c r="E5592" s="17" t="s">
        <v>2900</v>
      </c>
      <c r="F5592" s="17" t="s">
        <v>3037</v>
      </c>
      <c r="G5592" s="18" t="n">
        <v>2.07</v>
      </c>
      <c r="H5592" s="18" t="n">
        <v>0</v>
      </c>
      <c r="I5592" s="18" t="n">
        <f aca="false">((I5591 + G5592) - H5592)</f>
        <v>6589.24</v>
      </c>
      <c r="J5592" s="18" t="n">
        <v>0</v>
      </c>
      <c r="K5592" s="19" t="n">
        <v>0</v>
      </c>
      <c r="L5592" s="17"/>
    </row>
    <row r="5593" s="11" customFormat="true" ht="10.95" hidden="false" customHeight="true" outlineLevel="0" collapsed="false">
      <c r="A5593" s="16" t="n">
        <v>45316</v>
      </c>
      <c r="B5593" s="17" t="s">
        <v>2894</v>
      </c>
      <c r="C5593" s="17" t="s">
        <v>1593</v>
      </c>
      <c r="D5593" s="17" t="s">
        <v>2895</v>
      </c>
      <c r="E5593" s="17" t="s">
        <v>2910</v>
      </c>
      <c r="F5593" s="17" t="s">
        <v>3038</v>
      </c>
      <c r="G5593" s="18" t="n">
        <v>711.93</v>
      </c>
      <c r="H5593" s="18" t="n">
        <v>0</v>
      </c>
      <c r="I5593" s="18" t="n">
        <f aca="false">((I5592 + G5593) - H5593)</f>
        <v>7301.17</v>
      </c>
      <c r="J5593" s="18" t="n">
        <v>0</v>
      </c>
      <c r="K5593" s="19" t="n">
        <v>0</v>
      </c>
      <c r="L5593" s="17"/>
    </row>
    <row r="5594" s="11" customFormat="true" ht="10.95" hidden="false" customHeight="true" outlineLevel="0" collapsed="false">
      <c r="A5594" s="16" t="n">
        <v>45316</v>
      </c>
      <c r="B5594" s="17" t="s">
        <v>2894</v>
      </c>
      <c r="C5594" s="17" t="s">
        <v>1593</v>
      </c>
      <c r="D5594" s="17" t="s">
        <v>2895</v>
      </c>
      <c r="E5594" s="17" t="s">
        <v>2910</v>
      </c>
      <c r="F5594" s="17" t="s">
        <v>3039</v>
      </c>
      <c r="G5594" s="18" t="n">
        <v>361.87</v>
      </c>
      <c r="H5594" s="18" t="n">
        <v>0</v>
      </c>
      <c r="I5594" s="18" t="n">
        <f aca="false">((I5593 + G5594) - H5594)</f>
        <v>7663.04</v>
      </c>
      <c r="J5594" s="18" t="n">
        <v>0</v>
      </c>
      <c r="K5594" s="19" t="n">
        <v>0</v>
      </c>
      <c r="L5594" s="17"/>
    </row>
    <row r="5595" s="11" customFormat="true" ht="10.95" hidden="false" customHeight="true" outlineLevel="0" collapsed="false">
      <c r="A5595" s="16" t="n">
        <v>45321</v>
      </c>
      <c r="B5595" s="17" t="s">
        <v>2894</v>
      </c>
      <c r="C5595" s="17" t="s">
        <v>1593</v>
      </c>
      <c r="D5595" s="17" t="s">
        <v>2895</v>
      </c>
      <c r="E5595" s="17" t="s">
        <v>2909</v>
      </c>
      <c r="F5595" s="17" t="s">
        <v>3040</v>
      </c>
      <c r="G5595" s="18" t="n">
        <v>189.12</v>
      </c>
      <c r="H5595" s="18" t="n">
        <v>0</v>
      </c>
      <c r="I5595" s="18" t="n">
        <f aca="false">((I5594 + G5595) - H5595)</f>
        <v>7852.16</v>
      </c>
      <c r="J5595" s="18" t="n">
        <v>0</v>
      </c>
      <c r="K5595" s="19" t="n">
        <v>0</v>
      </c>
      <c r="L5595" s="17"/>
    </row>
    <row r="5596" s="11" customFormat="true" ht="10.95" hidden="false" customHeight="true" outlineLevel="0" collapsed="false">
      <c r="A5596" s="16" t="n">
        <v>45322</v>
      </c>
      <c r="B5596" s="17" t="s">
        <v>2894</v>
      </c>
      <c r="C5596" s="17" t="s">
        <v>1593</v>
      </c>
      <c r="D5596" s="17" t="s">
        <v>2903</v>
      </c>
      <c r="E5596" s="17" t="s">
        <v>2904</v>
      </c>
      <c r="F5596" s="17" t="s">
        <v>3041</v>
      </c>
      <c r="G5596" s="18" t="n">
        <v>1.71</v>
      </c>
      <c r="H5596" s="18" t="n">
        <v>0</v>
      </c>
      <c r="I5596" s="18" t="n">
        <f aca="false">((I5595 + G5596) - H5596)</f>
        <v>7853.87</v>
      </c>
      <c r="J5596" s="18" t="n">
        <v>0</v>
      </c>
      <c r="K5596" s="19" t="n">
        <v>0</v>
      </c>
      <c r="L5596" s="17"/>
    </row>
    <row r="5597" s="11" customFormat="true" ht="10.95" hidden="false" customHeight="true" outlineLevel="0" collapsed="false">
      <c r="A5597" s="16" t="n">
        <v>45323</v>
      </c>
      <c r="B5597" s="17" t="s">
        <v>2894</v>
      </c>
      <c r="C5597" s="17" t="s">
        <v>1593</v>
      </c>
      <c r="D5597" s="17" t="s">
        <v>2895</v>
      </c>
      <c r="E5597" s="17" t="s">
        <v>2896</v>
      </c>
      <c r="F5597" s="17" t="s">
        <v>1354</v>
      </c>
      <c r="G5597" s="18" t="n">
        <v>1.7</v>
      </c>
      <c r="H5597" s="18" t="n">
        <v>0</v>
      </c>
      <c r="I5597" s="18" t="n">
        <f aca="false">((I5596 + G5597) - H5597)</f>
        <v>7855.57</v>
      </c>
      <c r="J5597" s="18" t="n">
        <v>0</v>
      </c>
      <c r="K5597" s="19" t="n">
        <v>0</v>
      </c>
      <c r="L5597" s="17"/>
    </row>
    <row r="5598" s="11" customFormat="true" ht="10.95" hidden="false" customHeight="true" outlineLevel="0" collapsed="false">
      <c r="A5598" s="16" t="n">
        <v>45323</v>
      </c>
      <c r="B5598" s="17" t="s">
        <v>2894</v>
      </c>
      <c r="C5598" s="17" t="s">
        <v>1593</v>
      </c>
      <c r="D5598" s="17" t="s">
        <v>2895</v>
      </c>
      <c r="E5598" s="17" t="s">
        <v>2964</v>
      </c>
      <c r="F5598" s="17" t="s">
        <v>1356</v>
      </c>
      <c r="G5598" s="18" t="n">
        <v>8.8</v>
      </c>
      <c r="H5598" s="18" t="n">
        <v>0</v>
      </c>
      <c r="I5598" s="18" t="n">
        <f aca="false">((I5597 + G5598) - H5598)</f>
        <v>7864.37</v>
      </c>
      <c r="J5598" s="18" t="n">
        <v>0</v>
      </c>
      <c r="K5598" s="19" t="n">
        <v>0</v>
      </c>
      <c r="L5598" s="17"/>
    </row>
    <row r="5599" s="11" customFormat="true" ht="10.95" hidden="false" customHeight="true" outlineLevel="0" collapsed="false">
      <c r="A5599" s="16" t="n">
        <v>45323</v>
      </c>
      <c r="B5599" s="17" t="s">
        <v>2894</v>
      </c>
      <c r="C5599" s="17" t="s">
        <v>1593</v>
      </c>
      <c r="D5599" s="17" t="s">
        <v>2895</v>
      </c>
      <c r="E5599" s="17" t="s">
        <v>2951</v>
      </c>
      <c r="F5599" s="17" t="s">
        <v>3042</v>
      </c>
      <c r="G5599" s="18" t="n">
        <v>43.24</v>
      </c>
      <c r="H5599" s="18" t="n">
        <v>0</v>
      </c>
      <c r="I5599" s="18" t="n">
        <f aca="false">((I5598 + G5599) - H5599)</f>
        <v>7907.61</v>
      </c>
      <c r="J5599" s="18" t="n">
        <v>0</v>
      </c>
      <c r="K5599" s="19" t="n">
        <v>0</v>
      </c>
      <c r="L5599" s="17"/>
    </row>
    <row r="5600" s="11" customFormat="true" ht="10.95" hidden="false" customHeight="true" outlineLevel="0" collapsed="false">
      <c r="A5600" s="16" t="n">
        <v>45323</v>
      </c>
      <c r="B5600" s="17" t="s">
        <v>2894</v>
      </c>
      <c r="C5600" s="17" t="s">
        <v>1593</v>
      </c>
      <c r="D5600" s="17" t="s">
        <v>2895</v>
      </c>
      <c r="E5600" s="17" t="s">
        <v>2951</v>
      </c>
      <c r="F5600" s="17" t="s">
        <v>3043</v>
      </c>
      <c r="G5600" s="18" t="n">
        <v>45.4</v>
      </c>
      <c r="H5600" s="18" t="n">
        <v>0</v>
      </c>
      <c r="I5600" s="18" t="n">
        <f aca="false">((I5599 + G5600) - H5600)</f>
        <v>7953.01</v>
      </c>
      <c r="J5600" s="18" t="n">
        <v>0</v>
      </c>
      <c r="K5600" s="19" t="n">
        <v>0</v>
      </c>
      <c r="L5600" s="17"/>
    </row>
    <row r="5601" s="11" customFormat="true" ht="10.95" hidden="false" customHeight="true" outlineLevel="0" collapsed="false">
      <c r="A5601" s="16" t="n">
        <v>45323</v>
      </c>
      <c r="B5601" s="17" t="s">
        <v>2894</v>
      </c>
      <c r="C5601" s="17" t="s">
        <v>1593</v>
      </c>
      <c r="D5601" s="17" t="s">
        <v>2895</v>
      </c>
      <c r="E5601" s="17" t="s">
        <v>2898</v>
      </c>
      <c r="F5601" s="17" t="s">
        <v>3044</v>
      </c>
      <c r="G5601" s="18" t="n">
        <v>23.01</v>
      </c>
      <c r="H5601" s="18" t="n">
        <v>0</v>
      </c>
      <c r="I5601" s="18" t="n">
        <f aca="false">((I5600 + G5601) - H5601)</f>
        <v>7976.02</v>
      </c>
      <c r="J5601" s="18" t="n">
        <v>0</v>
      </c>
      <c r="K5601" s="19" t="n">
        <v>0</v>
      </c>
      <c r="L5601" s="17"/>
    </row>
    <row r="5602" s="11" customFormat="true" ht="10.95" hidden="false" customHeight="true" outlineLevel="0" collapsed="false">
      <c r="A5602" s="16" t="n">
        <v>45323</v>
      </c>
      <c r="B5602" s="17" t="s">
        <v>2894</v>
      </c>
      <c r="C5602" s="17" t="s">
        <v>1593</v>
      </c>
      <c r="D5602" s="17" t="s">
        <v>2895</v>
      </c>
      <c r="E5602" s="17" t="s">
        <v>3045</v>
      </c>
      <c r="F5602" s="17" t="s">
        <v>3046</v>
      </c>
      <c r="G5602" s="18" t="n">
        <v>206.1</v>
      </c>
      <c r="H5602" s="18" t="n">
        <v>0</v>
      </c>
      <c r="I5602" s="18" t="n">
        <f aca="false">((I5601 + G5602) - H5602)</f>
        <v>8182.12</v>
      </c>
      <c r="J5602" s="18" t="n">
        <v>0</v>
      </c>
      <c r="K5602" s="19" t="n">
        <v>0</v>
      </c>
      <c r="L5602" s="17"/>
    </row>
    <row r="5603" s="11" customFormat="true" ht="10.95" hidden="false" customHeight="true" outlineLevel="0" collapsed="false">
      <c r="A5603" s="16" t="n">
        <v>45324</v>
      </c>
      <c r="B5603" s="17" t="s">
        <v>2894</v>
      </c>
      <c r="C5603" s="17" t="s">
        <v>1593</v>
      </c>
      <c r="D5603" s="17" t="s">
        <v>2903</v>
      </c>
      <c r="E5603" s="17" t="s">
        <v>2963</v>
      </c>
      <c r="F5603" s="17" t="s">
        <v>2687</v>
      </c>
      <c r="G5603" s="18" t="n">
        <v>0</v>
      </c>
      <c r="H5603" s="18" t="n">
        <v>2.32</v>
      </c>
      <c r="I5603" s="18" t="n">
        <f aca="false">((I5602 + G5603) - H5603)</f>
        <v>8179.8</v>
      </c>
      <c r="J5603" s="18" t="n">
        <v>0</v>
      </c>
      <c r="K5603" s="19" t="n">
        <v>0</v>
      </c>
      <c r="L5603" s="17"/>
    </row>
    <row r="5604" s="11" customFormat="true" ht="10.95" hidden="false" customHeight="true" outlineLevel="0" collapsed="false">
      <c r="A5604" s="16" t="n">
        <v>45324</v>
      </c>
      <c r="B5604" s="17" t="s">
        <v>2894</v>
      </c>
      <c r="C5604" s="17" t="s">
        <v>1593</v>
      </c>
      <c r="D5604" s="17" t="s">
        <v>2895</v>
      </c>
      <c r="E5604" s="17" t="s">
        <v>2922</v>
      </c>
      <c r="F5604" s="17" t="s">
        <v>3047</v>
      </c>
      <c r="G5604" s="18" t="n">
        <v>224.37</v>
      </c>
      <c r="H5604" s="18" t="n">
        <v>0</v>
      </c>
      <c r="I5604" s="18" t="n">
        <f aca="false">((I5603 + G5604) - H5604)</f>
        <v>8404.17</v>
      </c>
      <c r="J5604" s="18" t="n">
        <v>0</v>
      </c>
      <c r="K5604" s="19" t="n">
        <v>0</v>
      </c>
      <c r="L5604" s="17"/>
    </row>
    <row r="5605" s="11" customFormat="true" ht="10.95" hidden="false" customHeight="true" outlineLevel="0" collapsed="false">
      <c r="A5605" s="16" t="n">
        <v>45324</v>
      </c>
      <c r="B5605" s="17" t="s">
        <v>2894</v>
      </c>
      <c r="C5605" s="17" t="s">
        <v>1593</v>
      </c>
      <c r="D5605" s="17" t="s">
        <v>2903</v>
      </c>
      <c r="E5605" s="17" t="s">
        <v>3048</v>
      </c>
      <c r="F5605" s="17" t="s">
        <v>2069</v>
      </c>
      <c r="G5605" s="18" t="n">
        <v>8.33</v>
      </c>
      <c r="H5605" s="18" t="n">
        <v>0</v>
      </c>
      <c r="I5605" s="18" t="n">
        <f aca="false">((I5604 + G5605) - H5605)</f>
        <v>8412.5</v>
      </c>
      <c r="J5605" s="18" t="n">
        <v>0</v>
      </c>
      <c r="K5605" s="19" t="n">
        <v>0</v>
      </c>
      <c r="L5605" s="17"/>
    </row>
    <row r="5606" s="11" customFormat="true" ht="10.95" hidden="false" customHeight="true" outlineLevel="0" collapsed="false">
      <c r="A5606" s="16" t="n">
        <v>45324</v>
      </c>
      <c r="B5606" s="17" t="s">
        <v>2894</v>
      </c>
      <c r="C5606" s="17" t="s">
        <v>1593</v>
      </c>
      <c r="D5606" s="17" t="s">
        <v>2903</v>
      </c>
      <c r="E5606" s="17" t="s">
        <v>2943</v>
      </c>
      <c r="F5606" s="17" t="s">
        <v>1785</v>
      </c>
      <c r="G5606" s="18" t="n">
        <v>18.37</v>
      </c>
      <c r="H5606" s="18" t="n">
        <v>0</v>
      </c>
      <c r="I5606" s="18" t="n">
        <f aca="false">((I5605 + G5606) - H5606)</f>
        <v>8430.87</v>
      </c>
      <c r="J5606" s="18" t="n">
        <v>0</v>
      </c>
      <c r="K5606" s="19" t="n">
        <v>0</v>
      </c>
      <c r="L5606" s="17"/>
    </row>
    <row r="5607" s="11" customFormat="true" ht="10.95" hidden="false" customHeight="true" outlineLevel="0" collapsed="false">
      <c r="A5607" s="16" t="n">
        <v>45324</v>
      </c>
      <c r="B5607" s="17" t="s">
        <v>2894</v>
      </c>
      <c r="C5607" s="17" t="s">
        <v>1593</v>
      </c>
      <c r="D5607" s="17" t="s">
        <v>2903</v>
      </c>
      <c r="E5607" s="17" t="s">
        <v>3049</v>
      </c>
      <c r="F5607" s="17" t="s">
        <v>1604</v>
      </c>
      <c r="G5607" s="18" t="n">
        <v>642.18</v>
      </c>
      <c r="H5607" s="18" t="n">
        <v>0</v>
      </c>
      <c r="I5607" s="18" t="n">
        <f aca="false">((I5606 + G5607) - H5607)</f>
        <v>9073.05</v>
      </c>
      <c r="J5607" s="18" t="n">
        <v>0</v>
      </c>
      <c r="K5607" s="19" t="n">
        <v>0</v>
      </c>
      <c r="L5607" s="17"/>
    </row>
    <row r="5608" s="11" customFormat="true" ht="10.95" hidden="false" customHeight="true" outlineLevel="0" collapsed="false">
      <c r="A5608" s="16" t="n">
        <v>45325</v>
      </c>
      <c r="B5608" s="17" t="s">
        <v>2894</v>
      </c>
      <c r="C5608" s="17" t="s">
        <v>1593</v>
      </c>
      <c r="D5608" s="17" t="s">
        <v>2903</v>
      </c>
      <c r="E5608" s="17" t="s">
        <v>2904</v>
      </c>
      <c r="F5608" s="17" t="s">
        <v>1507</v>
      </c>
      <c r="G5608" s="18" t="n">
        <v>41.34</v>
      </c>
      <c r="H5608" s="18" t="n">
        <v>0</v>
      </c>
      <c r="I5608" s="18" t="n">
        <f aca="false">((I5607 + G5608) - H5608)</f>
        <v>9114.39</v>
      </c>
      <c r="J5608" s="18" t="n">
        <v>0</v>
      </c>
      <c r="K5608" s="19" t="n">
        <v>0</v>
      </c>
      <c r="L5608" s="17"/>
    </row>
    <row r="5609" s="11" customFormat="true" ht="10.95" hidden="false" customHeight="true" outlineLevel="0" collapsed="false">
      <c r="A5609" s="16" t="n">
        <v>45327</v>
      </c>
      <c r="B5609" s="17" t="s">
        <v>2894</v>
      </c>
      <c r="C5609" s="17" t="s">
        <v>1593</v>
      </c>
      <c r="D5609" s="17" t="s">
        <v>2895</v>
      </c>
      <c r="E5609" s="17" t="s">
        <v>2925</v>
      </c>
      <c r="F5609" s="17" t="s">
        <v>3050</v>
      </c>
      <c r="G5609" s="18" t="n">
        <v>0</v>
      </c>
      <c r="H5609" s="18" t="n">
        <v>3.04</v>
      </c>
      <c r="I5609" s="18" t="n">
        <f aca="false">((I5608 + G5609) - H5609)</f>
        <v>9111.35</v>
      </c>
      <c r="J5609" s="18" t="n">
        <v>0</v>
      </c>
      <c r="K5609" s="19" t="n">
        <v>0</v>
      </c>
      <c r="L5609" s="17"/>
    </row>
    <row r="5610" s="11" customFormat="true" ht="10.95" hidden="false" customHeight="true" outlineLevel="0" collapsed="false">
      <c r="A5610" s="16" t="n">
        <v>45327</v>
      </c>
      <c r="B5610" s="17" t="s">
        <v>2894</v>
      </c>
      <c r="C5610" s="17" t="s">
        <v>1593</v>
      </c>
      <c r="D5610" s="17" t="s">
        <v>2895</v>
      </c>
      <c r="E5610" s="17" t="s">
        <v>2925</v>
      </c>
      <c r="F5610" s="17" t="s">
        <v>3051</v>
      </c>
      <c r="G5610" s="18" t="n">
        <v>4.59</v>
      </c>
      <c r="H5610" s="18" t="n">
        <v>0</v>
      </c>
      <c r="I5610" s="18" t="n">
        <f aca="false">((I5609 + G5610) - H5610)</f>
        <v>9115.94</v>
      </c>
      <c r="J5610" s="18" t="n">
        <v>0</v>
      </c>
      <c r="K5610" s="19" t="n">
        <v>0</v>
      </c>
      <c r="L5610" s="17"/>
    </row>
    <row r="5611" s="11" customFormat="true" ht="10.95" hidden="false" customHeight="true" outlineLevel="0" collapsed="false">
      <c r="A5611" s="16" t="n">
        <v>45327</v>
      </c>
      <c r="B5611" s="17" t="s">
        <v>2894</v>
      </c>
      <c r="C5611" s="17" t="s">
        <v>1593</v>
      </c>
      <c r="D5611" s="17" t="s">
        <v>2895</v>
      </c>
      <c r="E5611" s="17" t="s">
        <v>2925</v>
      </c>
      <c r="F5611" s="17" t="s">
        <v>3052</v>
      </c>
      <c r="G5611" s="18" t="n">
        <v>14.93</v>
      </c>
      <c r="H5611" s="18" t="n">
        <v>0</v>
      </c>
      <c r="I5611" s="18" t="n">
        <f aca="false">((I5610 + G5611) - H5611)</f>
        <v>9130.87</v>
      </c>
      <c r="J5611" s="18" t="n">
        <v>0</v>
      </c>
      <c r="K5611" s="19" t="n">
        <v>0</v>
      </c>
      <c r="L5611" s="17"/>
    </row>
    <row r="5612" s="11" customFormat="true" ht="10.95" hidden="false" customHeight="true" outlineLevel="0" collapsed="false">
      <c r="A5612" s="16" t="n">
        <v>45327</v>
      </c>
      <c r="B5612" s="17" t="s">
        <v>2894</v>
      </c>
      <c r="C5612" s="17" t="s">
        <v>1593</v>
      </c>
      <c r="D5612" s="17" t="s">
        <v>2895</v>
      </c>
      <c r="E5612" s="17" t="s">
        <v>2925</v>
      </c>
      <c r="F5612" s="17" t="s">
        <v>3053</v>
      </c>
      <c r="G5612" s="18" t="n">
        <v>8.49</v>
      </c>
      <c r="H5612" s="18" t="n">
        <v>0</v>
      </c>
      <c r="I5612" s="18" t="n">
        <f aca="false">((I5611 + G5612) - H5612)</f>
        <v>9139.36</v>
      </c>
      <c r="J5612" s="18" t="n">
        <v>0</v>
      </c>
      <c r="K5612" s="19" t="n">
        <v>0</v>
      </c>
      <c r="L5612" s="17"/>
    </row>
    <row r="5613" s="11" customFormat="true" ht="10.95" hidden="false" customHeight="true" outlineLevel="0" collapsed="false">
      <c r="A5613" s="16" t="n">
        <v>45327</v>
      </c>
      <c r="B5613" s="17" t="s">
        <v>2894</v>
      </c>
      <c r="C5613" s="17" t="s">
        <v>1593</v>
      </c>
      <c r="D5613" s="17" t="s">
        <v>2895</v>
      </c>
      <c r="E5613" s="17" t="s">
        <v>2925</v>
      </c>
      <c r="F5613" s="17" t="s">
        <v>3054</v>
      </c>
      <c r="G5613" s="18" t="n">
        <v>0</v>
      </c>
      <c r="H5613" s="18" t="n">
        <v>4.76</v>
      </c>
      <c r="I5613" s="18" t="n">
        <f aca="false">((I5612 + G5613) - H5613)</f>
        <v>9134.6</v>
      </c>
      <c r="J5613" s="18" t="n">
        <v>0</v>
      </c>
      <c r="K5613" s="19" t="n">
        <v>0</v>
      </c>
      <c r="L5613" s="17"/>
    </row>
    <row r="5614" s="11" customFormat="true" ht="10.95" hidden="false" customHeight="true" outlineLevel="0" collapsed="false">
      <c r="A5614" s="16" t="n">
        <v>45327</v>
      </c>
      <c r="B5614" s="17" t="s">
        <v>2894</v>
      </c>
      <c r="C5614" s="17" t="s">
        <v>1593</v>
      </c>
      <c r="D5614" s="17" t="s">
        <v>2895</v>
      </c>
      <c r="E5614" s="17" t="s">
        <v>2925</v>
      </c>
      <c r="F5614" s="17" t="s">
        <v>3055</v>
      </c>
      <c r="G5614" s="18" t="n">
        <v>8.64</v>
      </c>
      <c r="H5614" s="18" t="n">
        <v>0</v>
      </c>
      <c r="I5614" s="18" t="n">
        <f aca="false">((I5613 + G5614) - H5614)</f>
        <v>9143.24</v>
      </c>
      <c r="J5614" s="18" t="n">
        <v>0</v>
      </c>
      <c r="K5614" s="19" t="n">
        <v>0</v>
      </c>
      <c r="L5614" s="17"/>
    </row>
    <row r="5615" s="11" customFormat="true" ht="10.95" hidden="false" customHeight="true" outlineLevel="0" collapsed="false">
      <c r="A5615" s="16" t="n">
        <v>45327</v>
      </c>
      <c r="B5615" s="17" t="s">
        <v>2894</v>
      </c>
      <c r="C5615" s="17" t="s">
        <v>1593</v>
      </c>
      <c r="D5615" s="17" t="s">
        <v>2903</v>
      </c>
      <c r="E5615" s="17" t="s">
        <v>2908</v>
      </c>
      <c r="F5615" s="17" t="s">
        <v>2441</v>
      </c>
      <c r="G5615" s="18" t="n">
        <v>14.36</v>
      </c>
      <c r="H5615" s="18" t="n">
        <v>0</v>
      </c>
      <c r="I5615" s="18" t="n">
        <f aca="false">((I5614 + G5615) - H5615)</f>
        <v>9157.6</v>
      </c>
      <c r="J5615" s="18" t="n">
        <v>0</v>
      </c>
      <c r="K5615" s="19" t="n">
        <v>0</v>
      </c>
      <c r="L5615" s="17"/>
    </row>
    <row r="5616" s="11" customFormat="true" ht="10.95" hidden="false" customHeight="true" outlineLevel="0" collapsed="false">
      <c r="A5616" s="16" t="n">
        <v>45328</v>
      </c>
      <c r="B5616" s="17" t="s">
        <v>2894</v>
      </c>
      <c r="C5616" s="17" t="s">
        <v>1593</v>
      </c>
      <c r="D5616" s="17" t="s">
        <v>2903</v>
      </c>
      <c r="E5616" s="17" t="s">
        <v>3008</v>
      </c>
      <c r="F5616" s="17" t="s">
        <v>1629</v>
      </c>
      <c r="G5616" s="18" t="n">
        <v>0.84</v>
      </c>
      <c r="H5616" s="18" t="n">
        <v>0</v>
      </c>
      <c r="I5616" s="18" t="n">
        <f aca="false">((I5615 + G5616) - H5616)</f>
        <v>9158.44</v>
      </c>
      <c r="J5616" s="18" t="n">
        <v>0</v>
      </c>
      <c r="K5616" s="19" t="n">
        <v>0</v>
      </c>
      <c r="L5616" s="17"/>
    </row>
    <row r="5617" s="11" customFormat="true" ht="10.95" hidden="false" customHeight="true" outlineLevel="0" collapsed="false">
      <c r="A5617" s="16" t="n">
        <v>45329</v>
      </c>
      <c r="B5617" s="17" t="s">
        <v>2894</v>
      </c>
      <c r="C5617" s="17" t="s">
        <v>1593</v>
      </c>
      <c r="D5617" s="17" t="s">
        <v>2895</v>
      </c>
      <c r="E5617" s="17" t="s">
        <v>2900</v>
      </c>
      <c r="F5617" s="17" t="s">
        <v>3056</v>
      </c>
      <c r="G5617" s="18" t="n">
        <v>11.36</v>
      </c>
      <c r="H5617" s="18" t="n">
        <v>0</v>
      </c>
      <c r="I5617" s="18" t="n">
        <f aca="false">((I5616 + G5617) - H5617)</f>
        <v>9169.8</v>
      </c>
      <c r="J5617" s="18" t="n">
        <v>0</v>
      </c>
      <c r="K5617" s="19" t="n">
        <v>0</v>
      </c>
      <c r="L5617" s="17"/>
    </row>
    <row r="5618" s="11" customFormat="true" ht="10.95" hidden="false" customHeight="true" outlineLevel="0" collapsed="false">
      <c r="A5618" s="16" t="n">
        <v>45334</v>
      </c>
      <c r="B5618" s="17" t="s">
        <v>2894</v>
      </c>
      <c r="C5618" s="17" t="s">
        <v>1593</v>
      </c>
      <c r="D5618" s="17" t="s">
        <v>2895</v>
      </c>
      <c r="E5618" s="17" t="s">
        <v>3057</v>
      </c>
      <c r="F5618" s="17" t="s">
        <v>3058</v>
      </c>
      <c r="G5618" s="18" t="n">
        <v>15.04</v>
      </c>
      <c r="H5618" s="18" t="n">
        <v>0</v>
      </c>
      <c r="I5618" s="18" t="n">
        <f aca="false">((I5617 + G5618) - H5618)</f>
        <v>9184.84</v>
      </c>
      <c r="J5618" s="18" t="n">
        <v>0</v>
      </c>
      <c r="K5618" s="19" t="n">
        <v>0</v>
      </c>
      <c r="L5618" s="17"/>
    </row>
    <row r="5619" s="11" customFormat="true" ht="10.95" hidden="false" customHeight="true" outlineLevel="0" collapsed="false">
      <c r="A5619" s="16" t="n">
        <v>45335</v>
      </c>
      <c r="B5619" s="17" t="s">
        <v>2894</v>
      </c>
      <c r="C5619" s="17" t="s">
        <v>1593</v>
      </c>
      <c r="D5619" s="17" t="s">
        <v>2895</v>
      </c>
      <c r="E5619" s="17" t="s">
        <v>2906</v>
      </c>
      <c r="F5619" s="17" t="s">
        <v>3059</v>
      </c>
      <c r="G5619" s="18" t="n">
        <v>29.78</v>
      </c>
      <c r="H5619" s="18" t="n">
        <v>0</v>
      </c>
      <c r="I5619" s="18" t="n">
        <f aca="false">((I5618 + G5619) - H5619)</f>
        <v>9214.62</v>
      </c>
      <c r="J5619" s="18" t="n">
        <v>0</v>
      </c>
      <c r="K5619" s="19" t="n">
        <v>0</v>
      </c>
      <c r="L5619" s="17"/>
    </row>
    <row r="5620" s="11" customFormat="true" ht="10.95" hidden="false" customHeight="true" outlineLevel="0" collapsed="false">
      <c r="A5620" s="16" t="n">
        <v>45335</v>
      </c>
      <c r="B5620" s="17" t="s">
        <v>2894</v>
      </c>
      <c r="C5620" s="17" t="s">
        <v>1593</v>
      </c>
      <c r="D5620" s="17" t="s">
        <v>2903</v>
      </c>
      <c r="E5620" s="17" t="s">
        <v>3060</v>
      </c>
      <c r="F5620" s="17" t="s">
        <v>3061</v>
      </c>
      <c r="G5620" s="18" t="n">
        <v>178.14</v>
      </c>
      <c r="H5620" s="18" t="n">
        <v>0</v>
      </c>
      <c r="I5620" s="18" t="n">
        <f aca="false">((I5619 + G5620) - H5620)</f>
        <v>9392.76</v>
      </c>
      <c r="J5620" s="18" t="n">
        <v>0</v>
      </c>
      <c r="K5620" s="19" t="n">
        <v>0</v>
      </c>
      <c r="L5620" s="17"/>
    </row>
    <row r="5621" s="11" customFormat="true" ht="10.95" hidden="false" customHeight="true" outlineLevel="0" collapsed="false">
      <c r="A5621" s="16" t="n">
        <v>45338</v>
      </c>
      <c r="B5621" s="17" t="s">
        <v>2894</v>
      </c>
      <c r="C5621" s="17" t="s">
        <v>1593</v>
      </c>
      <c r="D5621" s="17" t="s">
        <v>2895</v>
      </c>
      <c r="E5621" s="17" t="s">
        <v>2900</v>
      </c>
      <c r="F5621" s="17" t="s">
        <v>3062</v>
      </c>
      <c r="G5621" s="18" t="n">
        <v>6.36</v>
      </c>
      <c r="H5621" s="18" t="n">
        <v>0</v>
      </c>
      <c r="I5621" s="18" t="n">
        <f aca="false">((I5620 + G5621) - H5621)</f>
        <v>9399.12</v>
      </c>
      <c r="J5621" s="18" t="n">
        <v>0</v>
      </c>
      <c r="K5621" s="19" t="n">
        <v>0</v>
      </c>
      <c r="L5621" s="17"/>
    </row>
    <row r="5622" s="11" customFormat="true" ht="10.95" hidden="false" customHeight="true" outlineLevel="0" collapsed="false">
      <c r="A5622" s="16" t="n">
        <v>45338</v>
      </c>
      <c r="B5622" s="17" t="s">
        <v>2894</v>
      </c>
      <c r="C5622" s="17" t="s">
        <v>1593</v>
      </c>
      <c r="D5622" s="17" t="s">
        <v>2895</v>
      </c>
      <c r="E5622" s="17" t="s">
        <v>2900</v>
      </c>
      <c r="F5622" s="17" t="s">
        <v>3063</v>
      </c>
      <c r="G5622" s="18" t="n">
        <v>0.84</v>
      </c>
      <c r="H5622" s="18" t="n">
        <v>0</v>
      </c>
      <c r="I5622" s="18" t="n">
        <f aca="false">((I5621 + G5622) - H5622)</f>
        <v>9399.96</v>
      </c>
      <c r="J5622" s="18" t="n">
        <v>0</v>
      </c>
      <c r="K5622" s="19" t="n">
        <v>0</v>
      </c>
      <c r="L5622" s="17"/>
    </row>
    <row r="5623" s="11" customFormat="true" ht="10.95" hidden="false" customHeight="true" outlineLevel="0" collapsed="false">
      <c r="A5623" s="16" t="n">
        <v>45338</v>
      </c>
      <c r="B5623" s="17" t="s">
        <v>2894</v>
      </c>
      <c r="C5623" s="17" t="s">
        <v>1593</v>
      </c>
      <c r="D5623" s="17" t="s">
        <v>2895</v>
      </c>
      <c r="E5623" s="17" t="s">
        <v>2900</v>
      </c>
      <c r="F5623" s="17" t="s">
        <v>3064</v>
      </c>
      <c r="G5623" s="18" t="n">
        <v>6.42</v>
      </c>
      <c r="H5623" s="18" t="n">
        <v>0</v>
      </c>
      <c r="I5623" s="18" t="n">
        <f aca="false">((I5622 + G5623) - H5623)</f>
        <v>9406.38</v>
      </c>
      <c r="J5623" s="18" t="n">
        <v>0</v>
      </c>
      <c r="K5623" s="19" t="n">
        <v>0</v>
      </c>
      <c r="L5623" s="17"/>
    </row>
    <row r="5624" s="11" customFormat="true" ht="10.95" hidden="false" customHeight="true" outlineLevel="0" collapsed="false">
      <c r="A5624" s="16" t="n">
        <v>45338</v>
      </c>
      <c r="B5624" s="17" t="s">
        <v>2894</v>
      </c>
      <c r="C5624" s="17" t="s">
        <v>1593</v>
      </c>
      <c r="D5624" s="17" t="s">
        <v>2895</v>
      </c>
      <c r="E5624" s="17" t="s">
        <v>2900</v>
      </c>
      <c r="F5624" s="17" t="s">
        <v>3065</v>
      </c>
      <c r="G5624" s="18" t="n">
        <v>12.09</v>
      </c>
      <c r="H5624" s="18" t="n">
        <v>0</v>
      </c>
      <c r="I5624" s="18" t="n">
        <f aca="false">((I5623 + G5624) - H5624)</f>
        <v>9418.47</v>
      </c>
      <c r="J5624" s="18" t="n">
        <v>0</v>
      </c>
      <c r="K5624" s="19" t="n">
        <v>0</v>
      </c>
      <c r="L5624" s="17"/>
    </row>
    <row r="5625" s="11" customFormat="true" ht="10.95" hidden="false" customHeight="true" outlineLevel="0" collapsed="false">
      <c r="A5625" s="16" t="n">
        <v>45338</v>
      </c>
      <c r="B5625" s="17" t="s">
        <v>2894</v>
      </c>
      <c r="C5625" s="17" t="s">
        <v>1593</v>
      </c>
      <c r="D5625" s="17" t="s">
        <v>2895</v>
      </c>
      <c r="E5625" s="17" t="s">
        <v>2900</v>
      </c>
      <c r="F5625" s="17" t="s">
        <v>3066</v>
      </c>
      <c r="G5625" s="18" t="n">
        <v>1.69</v>
      </c>
      <c r="H5625" s="18" t="n">
        <v>0</v>
      </c>
      <c r="I5625" s="18" t="n">
        <f aca="false">((I5624 + G5625) - H5625)</f>
        <v>9420.16</v>
      </c>
      <c r="J5625" s="18" t="n">
        <v>0</v>
      </c>
      <c r="K5625" s="19" t="n">
        <v>0</v>
      </c>
      <c r="L5625" s="17"/>
    </row>
    <row r="5626" s="11" customFormat="true" ht="10.95" hidden="false" customHeight="true" outlineLevel="0" collapsed="false">
      <c r="A5626" s="16" t="n">
        <v>45338</v>
      </c>
      <c r="B5626" s="17" t="s">
        <v>2894</v>
      </c>
      <c r="C5626" s="17" t="s">
        <v>1593</v>
      </c>
      <c r="D5626" s="17" t="s">
        <v>2895</v>
      </c>
      <c r="E5626" s="17" t="s">
        <v>2900</v>
      </c>
      <c r="F5626" s="17" t="s">
        <v>3067</v>
      </c>
      <c r="G5626" s="18" t="n">
        <v>2.16</v>
      </c>
      <c r="H5626" s="18" t="n">
        <v>0</v>
      </c>
      <c r="I5626" s="18" t="n">
        <f aca="false">((I5625 + G5626) - H5626)</f>
        <v>9422.32</v>
      </c>
      <c r="J5626" s="18" t="n">
        <v>0</v>
      </c>
      <c r="K5626" s="19" t="n">
        <v>0</v>
      </c>
      <c r="L5626" s="17"/>
    </row>
    <row r="5627" s="11" customFormat="true" ht="10.95" hidden="false" customHeight="true" outlineLevel="0" collapsed="false">
      <c r="A5627" s="16" t="n">
        <v>45338</v>
      </c>
      <c r="B5627" s="17" t="s">
        <v>2894</v>
      </c>
      <c r="C5627" s="17" t="s">
        <v>1593</v>
      </c>
      <c r="D5627" s="17" t="s">
        <v>2895</v>
      </c>
      <c r="E5627" s="17" t="s">
        <v>2900</v>
      </c>
      <c r="F5627" s="17" t="s">
        <v>3068</v>
      </c>
      <c r="G5627" s="18" t="n">
        <v>0</v>
      </c>
      <c r="H5627" s="18" t="n">
        <v>2.09</v>
      </c>
      <c r="I5627" s="18" t="n">
        <f aca="false">((I5626 + G5627) - H5627)</f>
        <v>9420.23</v>
      </c>
      <c r="J5627" s="18" t="n">
        <v>0</v>
      </c>
      <c r="K5627" s="19" t="n">
        <v>0</v>
      </c>
      <c r="L5627" s="17"/>
    </row>
    <row r="5628" s="11" customFormat="true" ht="10.95" hidden="false" customHeight="true" outlineLevel="0" collapsed="false">
      <c r="A5628" s="16" t="n">
        <v>45338</v>
      </c>
      <c r="B5628" s="17" t="s">
        <v>2894</v>
      </c>
      <c r="C5628" s="17" t="s">
        <v>1593</v>
      </c>
      <c r="D5628" s="17" t="s">
        <v>2895</v>
      </c>
      <c r="E5628" s="17" t="s">
        <v>2900</v>
      </c>
      <c r="F5628" s="17" t="s">
        <v>3069</v>
      </c>
      <c r="G5628" s="18" t="n">
        <v>11.06</v>
      </c>
      <c r="H5628" s="18" t="n">
        <v>0</v>
      </c>
      <c r="I5628" s="18" t="n">
        <f aca="false">((I5627 + G5628) - H5628)</f>
        <v>9431.29</v>
      </c>
      <c r="J5628" s="18" t="n">
        <v>0</v>
      </c>
      <c r="K5628" s="19" t="n">
        <v>0</v>
      </c>
      <c r="L5628" s="17"/>
    </row>
    <row r="5629" s="11" customFormat="true" ht="10.95" hidden="false" customHeight="true" outlineLevel="0" collapsed="false">
      <c r="A5629" s="16" t="n">
        <v>45338</v>
      </c>
      <c r="B5629" s="17" t="s">
        <v>2894</v>
      </c>
      <c r="C5629" s="17" t="s">
        <v>1593</v>
      </c>
      <c r="D5629" s="17" t="s">
        <v>2895</v>
      </c>
      <c r="E5629" s="17" t="s">
        <v>2900</v>
      </c>
      <c r="F5629" s="17" t="s">
        <v>3070</v>
      </c>
      <c r="G5629" s="18" t="n">
        <v>5.09</v>
      </c>
      <c r="H5629" s="18" t="n">
        <v>0</v>
      </c>
      <c r="I5629" s="18" t="n">
        <f aca="false">((I5628 + G5629) - H5629)</f>
        <v>9436.38</v>
      </c>
      <c r="J5629" s="18" t="n">
        <v>0</v>
      </c>
      <c r="K5629" s="19" t="n">
        <v>0</v>
      </c>
      <c r="L5629" s="17"/>
    </row>
    <row r="5630" s="11" customFormat="true" ht="10.95" hidden="false" customHeight="true" outlineLevel="0" collapsed="false">
      <c r="A5630" s="16" t="n">
        <v>45338</v>
      </c>
      <c r="B5630" s="17" t="s">
        <v>2894</v>
      </c>
      <c r="C5630" s="17" t="s">
        <v>1593</v>
      </c>
      <c r="D5630" s="17" t="s">
        <v>2895</v>
      </c>
      <c r="E5630" s="17" t="s">
        <v>2900</v>
      </c>
      <c r="F5630" s="17" t="s">
        <v>3071</v>
      </c>
      <c r="G5630" s="18" t="n">
        <v>6.52</v>
      </c>
      <c r="H5630" s="18" t="n">
        <v>0</v>
      </c>
      <c r="I5630" s="18" t="n">
        <f aca="false">((I5629 + G5630) - H5630)</f>
        <v>9442.9</v>
      </c>
      <c r="J5630" s="18" t="n">
        <v>0</v>
      </c>
      <c r="K5630" s="19" t="n">
        <v>0</v>
      </c>
      <c r="L5630" s="17"/>
    </row>
    <row r="5631" s="11" customFormat="true" ht="10.95" hidden="false" customHeight="true" outlineLevel="0" collapsed="false">
      <c r="A5631" s="16" t="n">
        <v>45342</v>
      </c>
      <c r="B5631" s="17" t="s">
        <v>2894</v>
      </c>
      <c r="C5631" s="17" t="s">
        <v>1593</v>
      </c>
      <c r="D5631" s="17" t="s">
        <v>2895</v>
      </c>
      <c r="E5631" s="17" t="s">
        <v>2934</v>
      </c>
      <c r="F5631" s="17" t="s">
        <v>3072</v>
      </c>
      <c r="G5631" s="18" t="n">
        <v>16.44</v>
      </c>
      <c r="H5631" s="18" t="n">
        <v>0</v>
      </c>
      <c r="I5631" s="18" t="n">
        <f aca="false">((I5630 + G5631) - H5631)</f>
        <v>9459.34</v>
      </c>
      <c r="J5631" s="18" t="n">
        <v>0</v>
      </c>
      <c r="K5631" s="19" t="n">
        <v>0</v>
      </c>
      <c r="L5631" s="17"/>
    </row>
    <row r="5632" s="11" customFormat="true" ht="10.95" hidden="false" customHeight="true" outlineLevel="0" collapsed="false">
      <c r="A5632" s="16" t="n">
        <v>45342</v>
      </c>
      <c r="B5632" s="17" t="s">
        <v>2894</v>
      </c>
      <c r="C5632" s="17" t="s">
        <v>1593</v>
      </c>
      <c r="D5632" s="17" t="s">
        <v>2895</v>
      </c>
      <c r="E5632" s="17" t="s">
        <v>2934</v>
      </c>
      <c r="F5632" s="17" t="s">
        <v>3073</v>
      </c>
      <c r="G5632" s="18" t="n">
        <v>34.47</v>
      </c>
      <c r="H5632" s="18" t="n">
        <v>0</v>
      </c>
      <c r="I5632" s="18" t="n">
        <f aca="false">((I5631 + G5632) - H5632)</f>
        <v>9493.81</v>
      </c>
      <c r="J5632" s="18" t="n">
        <v>0</v>
      </c>
      <c r="K5632" s="19" t="n">
        <v>0</v>
      </c>
      <c r="L5632" s="17"/>
    </row>
    <row r="5633" s="11" customFormat="true" ht="10.95" hidden="false" customHeight="true" outlineLevel="0" collapsed="false">
      <c r="A5633" s="16" t="n">
        <v>45346</v>
      </c>
      <c r="B5633" s="17" t="s">
        <v>2894</v>
      </c>
      <c r="C5633" s="17" t="s">
        <v>1593</v>
      </c>
      <c r="D5633" s="17" t="s">
        <v>2895</v>
      </c>
      <c r="E5633" s="17" t="s">
        <v>2909</v>
      </c>
      <c r="F5633" s="17" t="s">
        <v>1358</v>
      </c>
      <c r="G5633" s="18" t="n">
        <v>35.41</v>
      </c>
      <c r="H5633" s="18" t="n">
        <v>0</v>
      </c>
      <c r="I5633" s="18" t="n">
        <f aca="false">((I5632 + G5633) - H5633)</f>
        <v>9529.22</v>
      </c>
      <c r="J5633" s="18" t="n">
        <v>0</v>
      </c>
      <c r="K5633" s="19" t="n">
        <v>0</v>
      </c>
      <c r="L5633" s="17"/>
    </row>
    <row r="5634" s="11" customFormat="true" ht="10.95" hidden="false" customHeight="true" outlineLevel="0" collapsed="false">
      <c r="A5634" s="16" t="n">
        <v>45348</v>
      </c>
      <c r="B5634" s="17" t="s">
        <v>2894</v>
      </c>
      <c r="C5634" s="17" t="s">
        <v>1593</v>
      </c>
      <c r="D5634" s="17" t="s">
        <v>2895</v>
      </c>
      <c r="E5634" s="17" t="s">
        <v>2900</v>
      </c>
      <c r="F5634" s="17" t="s">
        <v>3074</v>
      </c>
      <c r="G5634" s="18" t="n">
        <v>3.24</v>
      </c>
      <c r="H5634" s="18" t="n">
        <v>0</v>
      </c>
      <c r="I5634" s="18" t="n">
        <f aca="false">((I5633 + G5634) - H5634)</f>
        <v>9532.46</v>
      </c>
      <c r="J5634" s="18" t="n">
        <v>0</v>
      </c>
      <c r="K5634" s="19" t="n">
        <v>0</v>
      </c>
      <c r="L5634" s="17"/>
    </row>
    <row r="5635" s="11" customFormat="true" ht="10.95" hidden="false" customHeight="true" outlineLevel="0" collapsed="false">
      <c r="A5635" s="16" t="n">
        <v>45348</v>
      </c>
      <c r="B5635" s="17" t="s">
        <v>2894</v>
      </c>
      <c r="C5635" s="17" t="s">
        <v>1593</v>
      </c>
      <c r="D5635" s="17" t="s">
        <v>2895</v>
      </c>
      <c r="E5635" s="17" t="s">
        <v>2925</v>
      </c>
      <c r="F5635" s="17" t="s">
        <v>3075</v>
      </c>
      <c r="G5635" s="18" t="n">
        <v>6.32</v>
      </c>
      <c r="H5635" s="18" t="n">
        <v>0</v>
      </c>
      <c r="I5635" s="18" t="n">
        <f aca="false">((I5634 + G5635) - H5635)</f>
        <v>9538.78</v>
      </c>
      <c r="J5635" s="18" t="n">
        <v>0</v>
      </c>
      <c r="K5635" s="19" t="n">
        <v>0</v>
      </c>
      <c r="L5635" s="17"/>
    </row>
    <row r="5636" s="11" customFormat="true" ht="10.95" hidden="false" customHeight="true" outlineLevel="0" collapsed="false">
      <c r="A5636" s="16" t="n">
        <v>45348</v>
      </c>
      <c r="B5636" s="17" t="s">
        <v>2894</v>
      </c>
      <c r="C5636" s="17" t="s">
        <v>1593</v>
      </c>
      <c r="D5636" s="17" t="s">
        <v>2895</v>
      </c>
      <c r="E5636" s="17" t="s">
        <v>2925</v>
      </c>
      <c r="F5636" s="17" t="s">
        <v>3076</v>
      </c>
      <c r="G5636" s="18" t="n">
        <v>11.92</v>
      </c>
      <c r="H5636" s="18" t="n">
        <v>0</v>
      </c>
      <c r="I5636" s="18" t="n">
        <f aca="false">((I5635 + G5636) - H5636)</f>
        <v>9550.7</v>
      </c>
      <c r="J5636" s="18" t="n">
        <v>0</v>
      </c>
      <c r="K5636" s="19" t="n">
        <v>0</v>
      </c>
      <c r="L5636" s="17"/>
    </row>
    <row r="5637" s="11" customFormat="true" ht="10.95" hidden="false" customHeight="true" outlineLevel="0" collapsed="false">
      <c r="A5637" s="16" t="n">
        <v>45348</v>
      </c>
      <c r="B5637" s="17" t="s">
        <v>2894</v>
      </c>
      <c r="C5637" s="17" t="s">
        <v>1593</v>
      </c>
      <c r="D5637" s="17" t="s">
        <v>2895</v>
      </c>
      <c r="E5637" s="17" t="s">
        <v>2900</v>
      </c>
      <c r="F5637" s="17" t="s">
        <v>3077</v>
      </c>
      <c r="G5637" s="18" t="n">
        <v>6.09</v>
      </c>
      <c r="H5637" s="18" t="n">
        <v>0</v>
      </c>
      <c r="I5637" s="18" t="n">
        <f aca="false">((I5636 + G5637) - H5637)</f>
        <v>9556.79</v>
      </c>
      <c r="J5637" s="18" t="n">
        <v>0</v>
      </c>
      <c r="K5637" s="19" t="n">
        <v>0</v>
      </c>
      <c r="L5637" s="17"/>
    </row>
    <row r="5638" s="11" customFormat="true" ht="10.95" hidden="false" customHeight="true" outlineLevel="0" collapsed="false">
      <c r="A5638" s="16" t="n">
        <v>45350</v>
      </c>
      <c r="B5638" s="17" t="s">
        <v>2894</v>
      </c>
      <c r="C5638" s="17" t="s">
        <v>1593</v>
      </c>
      <c r="D5638" s="17" t="s">
        <v>2895</v>
      </c>
      <c r="E5638" s="17" t="s">
        <v>2910</v>
      </c>
      <c r="F5638" s="17" t="s">
        <v>3078</v>
      </c>
      <c r="G5638" s="18" t="n">
        <v>23.79</v>
      </c>
      <c r="H5638" s="18" t="n">
        <v>0</v>
      </c>
      <c r="I5638" s="18" t="n">
        <f aca="false">((I5637 + G5638) - H5638)</f>
        <v>9580.58</v>
      </c>
      <c r="J5638" s="18" t="n">
        <v>0</v>
      </c>
      <c r="K5638" s="19" t="n">
        <v>0</v>
      </c>
      <c r="L5638" s="17"/>
    </row>
    <row r="5639" s="11" customFormat="true" ht="10.95" hidden="false" customHeight="true" outlineLevel="0" collapsed="false">
      <c r="A5639" s="16" t="n">
        <v>45350</v>
      </c>
      <c r="B5639" s="17" t="s">
        <v>2894</v>
      </c>
      <c r="C5639" s="17" t="s">
        <v>1593</v>
      </c>
      <c r="D5639" s="17" t="s">
        <v>2895</v>
      </c>
      <c r="E5639" s="17" t="s">
        <v>2910</v>
      </c>
      <c r="F5639" s="17" t="s">
        <v>3079</v>
      </c>
      <c r="G5639" s="18" t="n">
        <v>172.81</v>
      </c>
      <c r="H5639" s="18" t="n">
        <v>0</v>
      </c>
      <c r="I5639" s="18" t="n">
        <f aca="false">((I5638 + G5639) - H5639)</f>
        <v>9753.39</v>
      </c>
      <c r="J5639" s="18" t="n">
        <v>0</v>
      </c>
      <c r="K5639" s="19" t="n">
        <v>0</v>
      </c>
      <c r="L5639" s="17"/>
    </row>
    <row r="5640" s="11" customFormat="true" ht="10.95" hidden="false" customHeight="true" outlineLevel="0" collapsed="false">
      <c r="A5640" s="16" t="n">
        <v>45350</v>
      </c>
      <c r="B5640" s="17" t="s">
        <v>2894</v>
      </c>
      <c r="C5640" s="17" t="s">
        <v>1593</v>
      </c>
      <c r="D5640" s="17" t="s">
        <v>2895</v>
      </c>
      <c r="E5640" s="17" t="s">
        <v>2900</v>
      </c>
      <c r="F5640" s="17" t="s">
        <v>3080</v>
      </c>
      <c r="G5640" s="18" t="n">
        <v>0.22</v>
      </c>
      <c r="H5640" s="18" t="n">
        <v>0</v>
      </c>
      <c r="I5640" s="18" t="n">
        <f aca="false">((I5639 + G5640) - H5640)</f>
        <v>9753.61</v>
      </c>
      <c r="J5640" s="18" t="n">
        <v>0</v>
      </c>
      <c r="K5640" s="19" t="n">
        <v>0</v>
      </c>
      <c r="L5640" s="17"/>
    </row>
    <row r="5641" s="11" customFormat="true" ht="10.95" hidden="false" customHeight="true" outlineLevel="0" collapsed="false">
      <c r="A5641" s="16" t="n">
        <v>45350</v>
      </c>
      <c r="B5641" s="17" t="s">
        <v>2894</v>
      </c>
      <c r="C5641" s="17" t="s">
        <v>1593</v>
      </c>
      <c r="D5641" s="17" t="s">
        <v>2895</v>
      </c>
      <c r="E5641" s="17" t="s">
        <v>2900</v>
      </c>
      <c r="F5641" s="17" t="s">
        <v>3081</v>
      </c>
      <c r="G5641" s="18" t="n">
        <v>3.18</v>
      </c>
      <c r="H5641" s="18" t="n">
        <v>0</v>
      </c>
      <c r="I5641" s="18" t="n">
        <f aca="false">((I5640 + G5641) - H5641)</f>
        <v>9756.79</v>
      </c>
      <c r="J5641" s="18" t="n">
        <v>0</v>
      </c>
      <c r="K5641" s="19" t="n">
        <v>0</v>
      </c>
      <c r="L5641" s="17"/>
    </row>
    <row r="5642" s="11" customFormat="true" ht="10.95" hidden="false" customHeight="true" outlineLevel="0" collapsed="false">
      <c r="A5642" s="16" t="n">
        <v>45352</v>
      </c>
      <c r="B5642" s="17" t="s">
        <v>2894</v>
      </c>
      <c r="C5642" s="17" t="s">
        <v>1593</v>
      </c>
      <c r="D5642" s="17" t="s">
        <v>2895</v>
      </c>
      <c r="E5642" s="17" t="s">
        <v>2896</v>
      </c>
      <c r="F5642" s="17" t="s">
        <v>1362</v>
      </c>
      <c r="G5642" s="18" t="n">
        <v>0.16</v>
      </c>
      <c r="H5642" s="18" t="n">
        <v>0</v>
      </c>
      <c r="I5642" s="18" t="n">
        <f aca="false">((I5641 + G5642) - H5642)</f>
        <v>9756.95</v>
      </c>
      <c r="J5642" s="18" t="n">
        <v>0</v>
      </c>
      <c r="K5642" s="19" t="n">
        <v>0</v>
      </c>
      <c r="L5642" s="17"/>
    </row>
    <row r="5643" s="11" customFormat="true" ht="10.95" hidden="false" customHeight="true" outlineLevel="0" collapsed="false">
      <c r="A5643" s="16" t="n">
        <v>45352</v>
      </c>
      <c r="B5643" s="17" t="s">
        <v>2894</v>
      </c>
      <c r="C5643" s="17" t="s">
        <v>1593</v>
      </c>
      <c r="D5643" s="17" t="s">
        <v>2895</v>
      </c>
      <c r="E5643" s="17" t="s">
        <v>2964</v>
      </c>
      <c r="F5643" s="17" t="s">
        <v>1364</v>
      </c>
      <c r="G5643" s="18" t="n">
        <v>0.98</v>
      </c>
      <c r="H5643" s="18" t="n">
        <v>0</v>
      </c>
      <c r="I5643" s="18" t="n">
        <f aca="false">((I5642 + G5643) - H5643)</f>
        <v>9757.93</v>
      </c>
      <c r="J5643" s="18" t="n">
        <v>0</v>
      </c>
      <c r="K5643" s="19" t="n">
        <v>0</v>
      </c>
      <c r="L5643" s="17"/>
    </row>
    <row r="5644" s="11" customFormat="true" ht="10.95" hidden="false" customHeight="true" outlineLevel="0" collapsed="false">
      <c r="A5644" s="16" t="n">
        <v>45352</v>
      </c>
      <c r="B5644" s="17" t="s">
        <v>2894</v>
      </c>
      <c r="C5644" s="17" t="s">
        <v>1593</v>
      </c>
      <c r="D5644" s="17" t="s">
        <v>2895</v>
      </c>
      <c r="E5644" s="17" t="s">
        <v>2964</v>
      </c>
      <c r="F5644" s="17" t="s">
        <v>1366</v>
      </c>
      <c r="G5644" s="18" t="n">
        <v>4.91</v>
      </c>
      <c r="H5644" s="18" t="n">
        <v>0</v>
      </c>
      <c r="I5644" s="18" t="n">
        <f aca="false">((I5643 + G5644) - H5644)</f>
        <v>9762.84</v>
      </c>
      <c r="J5644" s="18" t="n">
        <v>0</v>
      </c>
      <c r="K5644" s="19" t="n">
        <v>0</v>
      </c>
      <c r="L5644" s="17"/>
    </row>
    <row r="5645" s="11" customFormat="true" ht="10.95" hidden="false" customHeight="true" outlineLevel="0" collapsed="false">
      <c r="A5645" s="16" t="n">
        <v>45352</v>
      </c>
      <c r="B5645" s="17" t="s">
        <v>2894</v>
      </c>
      <c r="C5645" s="17" t="s">
        <v>1593</v>
      </c>
      <c r="D5645" s="17" t="s">
        <v>2895</v>
      </c>
      <c r="E5645" s="17" t="s">
        <v>2898</v>
      </c>
      <c r="F5645" s="17" t="s">
        <v>3082</v>
      </c>
      <c r="G5645" s="18" t="n">
        <v>29.71</v>
      </c>
      <c r="H5645" s="18" t="n">
        <v>0</v>
      </c>
      <c r="I5645" s="18" t="n">
        <f aca="false">((I5644 + G5645) - H5645)</f>
        <v>9792.55</v>
      </c>
      <c r="J5645" s="18" t="n">
        <v>0</v>
      </c>
      <c r="K5645" s="19" t="n">
        <v>0</v>
      </c>
      <c r="L5645" s="17"/>
    </row>
    <row r="5646" s="11" customFormat="true" ht="10.95" hidden="false" customHeight="true" outlineLevel="0" collapsed="false">
      <c r="A5646" s="16" t="n">
        <v>45355</v>
      </c>
      <c r="B5646" s="17" t="s">
        <v>2894</v>
      </c>
      <c r="C5646" s="17" t="s">
        <v>1593</v>
      </c>
      <c r="D5646" s="17" t="s">
        <v>2895</v>
      </c>
      <c r="E5646" s="17" t="s">
        <v>2947</v>
      </c>
      <c r="F5646" s="17" t="s">
        <v>3083</v>
      </c>
      <c r="G5646" s="18" t="n">
        <v>67.14</v>
      </c>
      <c r="H5646" s="18" t="n">
        <v>0</v>
      </c>
      <c r="I5646" s="18" t="n">
        <f aca="false">((I5645 + G5646) - H5646)</f>
        <v>9859.69</v>
      </c>
      <c r="J5646" s="18" t="n">
        <v>0</v>
      </c>
      <c r="K5646" s="19" t="n">
        <v>0</v>
      </c>
      <c r="L5646" s="17"/>
    </row>
    <row r="5647" s="11" customFormat="true" ht="10.95" hidden="false" customHeight="true" outlineLevel="0" collapsed="false">
      <c r="A5647" s="16" t="n">
        <v>45356</v>
      </c>
      <c r="B5647" s="17" t="s">
        <v>2894</v>
      </c>
      <c r="C5647" s="17" t="s">
        <v>1593</v>
      </c>
      <c r="D5647" s="17" t="s">
        <v>2903</v>
      </c>
      <c r="E5647" s="17" t="s">
        <v>3008</v>
      </c>
      <c r="F5647" s="17" t="s">
        <v>1631</v>
      </c>
      <c r="G5647" s="18" t="n">
        <v>0.55</v>
      </c>
      <c r="H5647" s="18" t="n">
        <v>0</v>
      </c>
      <c r="I5647" s="18" t="n">
        <f aca="false">((I5646 + G5647) - H5647)</f>
        <v>9860.24</v>
      </c>
      <c r="J5647" s="18" t="n">
        <v>0</v>
      </c>
      <c r="K5647" s="19" t="n">
        <v>0</v>
      </c>
      <c r="L5647" s="17"/>
    </row>
    <row r="5648" s="11" customFormat="true" ht="10.95" hidden="false" customHeight="true" outlineLevel="0" collapsed="false">
      <c r="A5648" s="16" t="n">
        <v>45356</v>
      </c>
      <c r="B5648" s="17" t="s">
        <v>2894</v>
      </c>
      <c r="C5648" s="17" t="s">
        <v>1593</v>
      </c>
      <c r="D5648" s="17" t="s">
        <v>2903</v>
      </c>
      <c r="E5648" s="17" t="s">
        <v>2904</v>
      </c>
      <c r="F5648" s="17" t="s">
        <v>1523</v>
      </c>
      <c r="G5648" s="18" t="n">
        <v>2.94</v>
      </c>
      <c r="H5648" s="18" t="n">
        <v>0</v>
      </c>
      <c r="I5648" s="18" t="n">
        <f aca="false">((I5647 + G5648) - H5648)</f>
        <v>9863.18</v>
      </c>
      <c r="J5648" s="18" t="n">
        <v>0</v>
      </c>
      <c r="K5648" s="19" t="n">
        <v>0</v>
      </c>
      <c r="L5648" s="17"/>
    </row>
    <row r="5649" s="11" customFormat="true" ht="10.95" hidden="false" customHeight="true" outlineLevel="0" collapsed="false">
      <c r="A5649" s="16" t="n">
        <v>45357</v>
      </c>
      <c r="B5649" s="17" t="s">
        <v>2894</v>
      </c>
      <c r="C5649" s="17" t="s">
        <v>1593</v>
      </c>
      <c r="D5649" s="17" t="s">
        <v>2895</v>
      </c>
      <c r="E5649" s="17" t="s">
        <v>2947</v>
      </c>
      <c r="F5649" s="17" t="s">
        <v>3084</v>
      </c>
      <c r="G5649" s="18" t="n">
        <v>96.15</v>
      </c>
      <c r="H5649" s="18" t="n">
        <v>0</v>
      </c>
      <c r="I5649" s="18" t="n">
        <f aca="false">((I5648 + G5649) - H5649)</f>
        <v>9959.33</v>
      </c>
      <c r="J5649" s="18" t="n">
        <v>0</v>
      </c>
      <c r="K5649" s="19" t="n">
        <v>0</v>
      </c>
      <c r="L5649" s="17"/>
    </row>
    <row r="5650" s="11" customFormat="true" ht="10.95" hidden="false" customHeight="true" outlineLevel="0" collapsed="false">
      <c r="A5650" s="16" t="n">
        <v>45358</v>
      </c>
      <c r="B5650" s="17" t="s">
        <v>2894</v>
      </c>
      <c r="C5650" s="17" t="s">
        <v>1593</v>
      </c>
      <c r="D5650" s="17" t="s">
        <v>2895</v>
      </c>
      <c r="E5650" s="17" t="s">
        <v>2934</v>
      </c>
      <c r="F5650" s="17" t="s">
        <v>3085</v>
      </c>
      <c r="G5650" s="18" t="n">
        <v>39.26</v>
      </c>
      <c r="H5650" s="18" t="n">
        <v>0</v>
      </c>
      <c r="I5650" s="18" t="n">
        <f aca="false">((I5649 + G5650) - H5650)</f>
        <v>9998.59</v>
      </c>
      <c r="J5650" s="18" t="n">
        <v>0</v>
      </c>
      <c r="K5650" s="19" t="n">
        <v>0</v>
      </c>
      <c r="L5650" s="17"/>
    </row>
    <row r="5651" s="11" customFormat="true" ht="10.95" hidden="false" customHeight="true" outlineLevel="0" collapsed="false">
      <c r="A5651" s="16" t="n">
        <v>45358</v>
      </c>
      <c r="B5651" s="17" t="s">
        <v>2894</v>
      </c>
      <c r="C5651" s="17" t="s">
        <v>1593</v>
      </c>
      <c r="D5651" s="17" t="s">
        <v>2895</v>
      </c>
      <c r="E5651" s="17" t="s">
        <v>2922</v>
      </c>
      <c r="F5651" s="17" t="s">
        <v>3086</v>
      </c>
      <c r="G5651" s="18" t="n">
        <v>252.36</v>
      </c>
      <c r="H5651" s="18" t="n">
        <v>0</v>
      </c>
      <c r="I5651" s="18" t="n">
        <f aca="false">((I5650 + G5651) - H5651)</f>
        <v>10250.95</v>
      </c>
      <c r="J5651" s="18" t="n">
        <v>0</v>
      </c>
      <c r="K5651" s="19" t="n">
        <v>0</v>
      </c>
      <c r="L5651" s="17"/>
    </row>
    <row r="5652" s="11" customFormat="true" ht="10.95" hidden="false" customHeight="true" outlineLevel="0" collapsed="false">
      <c r="A5652" s="16" t="n">
        <v>45358</v>
      </c>
      <c r="B5652" s="17" t="s">
        <v>2894</v>
      </c>
      <c r="C5652" s="17" t="s">
        <v>1593</v>
      </c>
      <c r="D5652" s="17" t="s">
        <v>2895</v>
      </c>
      <c r="E5652" s="17" t="s">
        <v>2947</v>
      </c>
      <c r="F5652" s="17" t="s">
        <v>3087</v>
      </c>
      <c r="G5652" s="18" t="n">
        <v>60.97</v>
      </c>
      <c r="H5652" s="18" t="n">
        <v>0</v>
      </c>
      <c r="I5652" s="18" t="n">
        <f aca="false">((I5651 + G5652) - H5652)</f>
        <v>10311.92</v>
      </c>
      <c r="J5652" s="18" t="n">
        <v>0</v>
      </c>
      <c r="K5652" s="19" t="n">
        <v>0</v>
      </c>
      <c r="L5652" s="17"/>
    </row>
    <row r="5653" s="11" customFormat="true" ht="10.95" hidden="false" customHeight="true" outlineLevel="0" collapsed="false">
      <c r="A5653" s="16" t="n">
        <v>45358</v>
      </c>
      <c r="B5653" s="17" t="s">
        <v>2894</v>
      </c>
      <c r="C5653" s="17" t="s">
        <v>1593</v>
      </c>
      <c r="D5653" s="17" t="s">
        <v>2895</v>
      </c>
      <c r="E5653" s="17" t="s">
        <v>3088</v>
      </c>
      <c r="F5653" s="17" t="s">
        <v>3089</v>
      </c>
      <c r="G5653" s="18" t="n">
        <v>55.35</v>
      </c>
      <c r="H5653" s="18" t="n">
        <v>0</v>
      </c>
      <c r="I5653" s="18" t="n">
        <f aca="false">((I5652 + G5653) - H5653)</f>
        <v>10367.27</v>
      </c>
      <c r="J5653" s="18" t="n">
        <v>0</v>
      </c>
      <c r="K5653" s="19" t="n">
        <v>0</v>
      </c>
      <c r="L5653" s="17"/>
    </row>
    <row r="5654" s="11" customFormat="true" ht="10.95" hidden="false" customHeight="true" outlineLevel="0" collapsed="false">
      <c r="A5654" s="16" t="n">
        <v>45358</v>
      </c>
      <c r="B5654" s="17" t="s">
        <v>2894</v>
      </c>
      <c r="C5654" s="17" t="s">
        <v>1593</v>
      </c>
      <c r="D5654" s="17" t="s">
        <v>2903</v>
      </c>
      <c r="E5654" s="17" t="s">
        <v>3035</v>
      </c>
      <c r="F5654" s="17" t="s">
        <v>3090</v>
      </c>
      <c r="G5654" s="18" t="n">
        <v>38.29</v>
      </c>
      <c r="H5654" s="18" t="n">
        <v>0</v>
      </c>
      <c r="I5654" s="18" t="n">
        <f aca="false">((I5653 + G5654) - H5654)</f>
        <v>10405.56</v>
      </c>
      <c r="J5654" s="18" t="n">
        <v>0</v>
      </c>
      <c r="K5654" s="19" t="n">
        <v>0</v>
      </c>
      <c r="L5654" s="17"/>
    </row>
    <row r="5655" s="11" customFormat="true" ht="10.95" hidden="false" customHeight="true" outlineLevel="0" collapsed="false">
      <c r="A5655" s="16" t="n">
        <v>45362</v>
      </c>
      <c r="B5655" s="17" t="s">
        <v>2894</v>
      </c>
      <c r="C5655" s="17" t="s">
        <v>1593</v>
      </c>
      <c r="D5655" s="17" t="s">
        <v>2895</v>
      </c>
      <c r="E5655" s="17" t="s">
        <v>2906</v>
      </c>
      <c r="F5655" s="17" t="s">
        <v>3091</v>
      </c>
      <c r="G5655" s="18" t="n">
        <v>94.48</v>
      </c>
      <c r="H5655" s="18" t="n">
        <v>0</v>
      </c>
      <c r="I5655" s="18" t="n">
        <f aca="false">((I5654 + G5655) - H5655)</f>
        <v>10500.04</v>
      </c>
      <c r="J5655" s="18" t="n">
        <v>0</v>
      </c>
      <c r="K5655" s="19" t="n">
        <v>0</v>
      </c>
      <c r="L5655" s="17"/>
    </row>
    <row r="5656" s="11" customFormat="true" ht="10.95" hidden="false" customHeight="true" outlineLevel="0" collapsed="false">
      <c r="A5656" s="16" t="n">
        <v>45363</v>
      </c>
      <c r="B5656" s="17" t="s">
        <v>2894</v>
      </c>
      <c r="C5656" s="17" t="s">
        <v>1593</v>
      </c>
      <c r="D5656" s="17" t="s">
        <v>2895</v>
      </c>
      <c r="E5656" s="17" t="s">
        <v>2900</v>
      </c>
      <c r="F5656" s="17" t="s">
        <v>3092</v>
      </c>
      <c r="G5656" s="18" t="n">
        <v>41.28</v>
      </c>
      <c r="H5656" s="18" t="n">
        <v>0</v>
      </c>
      <c r="I5656" s="18" t="n">
        <f aca="false">((I5655 + G5656) - H5656)</f>
        <v>10541.32</v>
      </c>
      <c r="J5656" s="18" t="n">
        <v>0</v>
      </c>
      <c r="K5656" s="19" t="n">
        <v>0</v>
      </c>
      <c r="L5656" s="17"/>
    </row>
    <row r="5657" s="11" customFormat="true" ht="10.95" hidden="false" customHeight="true" outlineLevel="0" collapsed="false">
      <c r="A5657" s="16" t="n">
        <v>45365</v>
      </c>
      <c r="B5657" s="17" t="s">
        <v>2894</v>
      </c>
      <c r="C5657" s="17" t="s">
        <v>1593</v>
      </c>
      <c r="D5657" s="17" t="s">
        <v>2903</v>
      </c>
      <c r="E5657" s="17" t="s">
        <v>3049</v>
      </c>
      <c r="F5657" s="17" t="s">
        <v>1606</v>
      </c>
      <c r="G5657" s="18" t="n">
        <v>64.28</v>
      </c>
      <c r="H5657" s="18" t="n">
        <v>0</v>
      </c>
      <c r="I5657" s="18" t="n">
        <f aca="false">((I5656 + G5657) - H5657)</f>
        <v>10605.6</v>
      </c>
      <c r="J5657" s="18" t="n">
        <v>0</v>
      </c>
      <c r="K5657" s="19" t="n">
        <v>0</v>
      </c>
      <c r="L5657" s="17"/>
    </row>
    <row r="5658" s="11" customFormat="true" ht="10.95" hidden="false" customHeight="true" outlineLevel="0" collapsed="false">
      <c r="A5658" s="16" t="n">
        <v>45365</v>
      </c>
      <c r="B5658" s="17" t="s">
        <v>2894</v>
      </c>
      <c r="C5658" s="17" t="s">
        <v>1593</v>
      </c>
      <c r="D5658" s="17" t="s">
        <v>2903</v>
      </c>
      <c r="E5658" s="17" t="s">
        <v>2908</v>
      </c>
      <c r="F5658" s="17" t="s">
        <v>2474</v>
      </c>
      <c r="G5658" s="18" t="n">
        <v>0</v>
      </c>
      <c r="H5658" s="18" t="n">
        <v>8.87</v>
      </c>
      <c r="I5658" s="18" t="n">
        <f aca="false">((I5657 + G5658) - H5658)</f>
        <v>10596.73</v>
      </c>
      <c r="J5658" s="18" t="n">
        <v>0</v>
      </c>
      <c r="K5658" s="19" t="n">
        <v>0</v>
      </c>
      <c r="L5658" s="17"/>
    </row>
    <row r="5659" s="11" customFormat="true" ht="10.95" hidden="false" customHeight="true" outlineLevel="0" collapsed="false">
      <c r="A5659" s="16" t="n">
        <v>45369</v>
      </c>
      <c r="B5659" s="17" t="s">
        <v>2894</v>
      </c>
      <c r="C5659" s="17" t="s">
        <v>1593</v>
      </c>
      <c r="D5659" s="17" t="s">
        <v>2895</v>
      </c>
      <c r="E5659" s="17" t="s">
        <v>2934</v>
      </c>
      <c r="F5659" s="17" t="s">
        <v>3093</v>
      </c>
      <c r="G5659" s="18" t="n">
        <v>150.53</v>
      </c>
      <c r="H5659" s="18" t="n">
        <v>0</v>
      </c>
      <c r="I5659" s="18" t="n">
        <f aca="false">((I5658 + G5659) - H5659)</f>
        <v>10747.26</v>
      </c>
      <c r="J5659" s="18" t="n">
        <v>0</v>
      </c>
      <c r="K5659" s="19" t="n">
        <v>0</v>
      </c>
      <c r="L5659" s="17"/>
    </row>
    <row r="5660" s="11" customFormat="true" ht="10.95" hidden="false" customHeight="true" outlineLevel="0" collapsed="false">
      <c r="A5660" s="16" t="n">
        <v>45371</v>
      </c>
      <c r="B5660" s="17" t="s">
        <v>2894</v>
      </c>
      <c r="C5660" s="17" t="s">
        <v>1593</v>
      </c>
      <c r="D5660" s="17" t="s">
        <v>2895</v>
      </c>
      <c r="E5660" s="17" t="s">
        <v>2900</v>
      </c>
      <c r="F5660" s="17" t="s">
        <v>3094</v>
      </c>
      <c r="G5660" s="18" t="n">
        <v>27.48</v>
      </c>
      <c r="H5660" s="18" t="n">
        <v>0</v>
      </c>
      <c r="I5660" s="18" t="n">
        <f aca="false">((I5659 + G5660) - H5660)</f>
        <v>10774.74</v>
      </c>
      <c r="J5660" s="18" t="n">
        <v>0</v>
      </c>
      <c r="K5660" s="19" t="n">
        <v>0</v>
      </c>
      <c r="L5660" s="17"/>
    </row>
    <row r="5661" s="11" customFormat="true" ht="10.95" hidden="false" customHeight="true" outlineLevel="0" collapsed="false">
      <c r="A5661" s="16" t="n">
        <v>45371</v>
      </c>
      <c r="B5661" s="17" t="s">
        <v>2894</v>
      </c>
      <c r="C5661" s="17" t="s">
        <v>1593</v>
      </c>
      <c r="D5661" s="17" t="s">
        <v>2895</v>
      </c>
      <c r="E5661" s="17" t="s">
        <v>2900</v>
      </c>
      <c r="F5661" s="17" t="s">
        <v>3095</v>
      </c>
      <c r="G5661" s="18" t="n">
        <v>72.35</v>
      </c>
      <c r="H5661" s="18" t="n">
        <v>0</v>
      </c>
      <c r="I5661" s="18" t="n">
        <f aca="false">((I5660 + G5661) - H5661)</f>
        <v>10847.09</v>
      </c>
      <c r="J5661" s="18" t="n">
        <v>0</v>
      </c>
      <c r="K5661" s="19" t="n">
        <v>0</v>
      </c>
      <c r="L5661" s="17"/>
    </row>
    <row r="5662" s="11" customFormat="true" ht="10.95" hidden="false" customHeight="true" outlineLevel="0" collapsed="false">
      <c r="A5662" s="16" t="n">
        <v>45371</v>
      </c>
      <c r="B5662" s="17" t="s">
        <v>2894</v>
      </c>
      <c r="C5662" s="17" t="s">
        <v>1593</v>
      </c>
      <c r="D5662" s="17" t="s">
        <v>2895</v>
      </c>
      <c r="E5662" s="17" t="s">
        <v>2900</v>
      </c>
      <c r="F5662" s="17" t="s">
        <v>3096</v>
      </c>
      <c r="G5662" s="18" t="n">
        <v>8.51</v>
      </c>
      <c r="H5662" s="18" t="n">
        <v>0</v>
      </c>
      <c r="I5662" s="18" t="n">
        <f aca="false">((I5661 + G5662) - H5662)</f>
        <v>10855.6</v>
      </c>
      <c r="J5662" s="18" t="n">
        <v>0</v>
      </c>
      <c r="K5662" s="19" t="n">
        <v>0</v>
      </c>
      <c r="L5662" s="17"/>
    </row>
    <row r="5663" s="11" customFormat="true" ht="10.95" hidden="false" customHeight="true" outlineLevel="0" collapsed="false">
      <c r="A5663" s="16" t="n">
        <v>45371</v>
      </c>
      <c r="B5663" s="17" t="s">
        <v>2894</v>
      </c>
      <c r="C5663" s="17" t="s">
        <v>1593</v>
      </c>
      <c r="D5663" s="17" t="s">
        <v>2895</v>
      </c>
      <c r="E5663" s="17" t="s">
        <v>2900</v>
      </c>
      <c r="F5663" s="17" t="s">
        <v>3097</v>
      </c>
      <c r="G5663" s="18" t="n">
        <v>1375.2</v>
      </c>
      <c r="H5663" s="18" t="n">
        <v>0</v>
      </c>
      <c r="I5663" s="18" t="n">
        <f aca="false">((I5662 + G5663) - H5663)</f>
        <v>12230.8</v>
      </c>
      <c r="J5663" s="18" t="n">
        <v>0</v>
      </c>
      <c r="K5663" s="19" t="n">
        <v>0</v>
      </c>
      <c r="L5663" s="17"/>
    </row>
    <row r="5664" s="11" customFormat="true" ht="10.95" hidden="false" customHeight="true" outlineLevel="0" collapsed="false">
      <c r="A5664" s="16" t="n">
        <v>45373</v>
      </c>
      <c r="B5664" s="17" t="s">
        <v>2894</v>
      </c>
      <c r="C5664" s="17" t="s">
        <v>1593</v>
      </c>
      <c r="D5664" s="17" t="s">
        <v>2903</v>
      </c>
      <c r="E5664" s="17" t="s">
        <v>3098</v>
      </c>
      <c r="F5664" s="17" t="s">
        <v>2524</v>
      </c>
      <c r="G5664" s="18" t="n">
        <v>0.18</v>
      </c>
      <c r="H5664" s="18" t="n">
        <v>0</v>
      </c>
      <c r="I5664" s="18" t="n">
        <f aca="false">((I5663 + G5664) - H5664)</f>
        <v>12230.98</v>
      </c>
      <c r="J5664" s="18" t="n">
        <v>0</v>
      </c>
      <c r="K5664" s="19" t="n">
        <v>0</v>
      </c>
      <c r="L5664" s="17"/>
    </row>
    <row r="5665" s="11" customFormat="true" ht="10.95" hidden="false" customHeight="true" outlineLevel="0" collapsed="false">
      <c r="A5665" s="16" t="n">
        <v>45376</v>
      </c>
      <c r="B5665" s="17" t="s">
        <v>2894</v>
      </c>
      <c r="C5665" s="17" t="s">
        <v>1593</v>
      </c>
      <c r="D5665" s="17" t="s">
        <v>2903</v>
      </c>
      <c r="E5665" s="17" t="s">
        <v>3035</v>
      </c>
      <c r="F5665" s="17" t="s">
        <v>3099</v>
      </c>
      <c r="G5665" s="18" t="n">
        <v>30.31</v>
      </c>
      <c r="H5665" s="18" t="n">
        <v>0</v>
      </c>
      <c r="I5665" s="18" t="n">
        <f aca="false">((I5664 + G5665) - H5665)</f>
        <v>12261.29</v>
      </c>
      <c r="J5665" s="18" t="n">
        <v>0</v>
      </c>
      <c r="K5665" s="19" t="n">
        <v>0</v>
      </c>
      <c r="L5665" s="17"/>
    </row>
    <row r="5666" s="11" customFormat="true" ht="10.95" hidden="false" customHeight="true" outlineLevel="0" collapsed="false">
      <c r="A5666" s="16" t="n">
        <v>45379</v>
      </c>
      <c r="B5666" s="17" t="s">
        <v>2894</v>
      </c>
      <c r="C5666" s="17" t="s">
        <v>1593</v>
      </c>
      <c r="D5666" s="17" t="s">
        <v>2895</v>
      </c>
      <c r="E5666" s="17" t="s">
        <v>2900</v>
      </c>
      <c r="F5666" s="17" t="s">
        <v>3100</v>
      </c>
      <c r="G5666" s="18" t="n">
        <v>41.29</v>
      </c>
      <c r="H5666" s="18" t="n">
        <v>0</v>
      </c>
      <c r="I5666" s="18" t="n">
        <f aca="false">((I5665 + G5666) - H5666)</f>
        <v>12302.58</v>
      </c>
      <c r="J5666" s="18" t="n">
        <v>0</v>
      </c>
      <c r="K5666" s="19" t="n">
        <v>0</v>
      </c>
      <c r="L5666" s="17"/>
    </row>
    <row r="5667" s="11" customFormat="true" ht="10.95" hidden="false" customHeight="true" outlineLevel="0" collapsed="false">
      <c r="A5667" s="16" t="n">
        <v>45379</v>
      </c>
      <c r="B5667" s="17" t="s">
        <v>2894</v>
      </c>
      <c r="C5667" s="17" t="s">
        <v>1593</v>
      </c>
      <c r="D5667" s="17" t="s">
        <v>2895</v>
      </c>
      <c r="E5667" s="17" t="s">
        <v>2900</v>
      </c>
      <c r="F5667" s="17" t="s">
        <v>3101</v>
      </c>
      <c r="G5667" s="18" t="n">
        <v>5.42</v>
      </c>
      <c r="H5667" s="18" t="n">
        <v>0</v>
      </c>
      <c r="I5667" s="18" t="n">
        <f aca="false">((I5666 + G5667) - H5667)</f>
        <v>12308</v>
      </c>
      <c r="J5667" s="18" t="n">
        <v>0</v>
      </c>
      <c r="K5667" s="19" t="n">
        <v>0</v>
      </c>
      <c r="L5667" s="17"/>
    </row>
    <row r="5668" s="11" customFormat="true" ht="10.95" hidden="false" customHeight="true" outlineLevel="0" collapsed="false">
      <c r="A5668" s="16" t="n">
        <v>45384</v>
      </c>
      <c r="B5668" s="17" t="s">
        <v>2894</v>
      </c>
      <c r="C5668" s="17" t="s">
        <v>1593</v>
      </c>
      <c r="D5668" s="17" t="s">
        <v>2895</v>
      </c>
      <c r="E5668" s="17" t="s">
        <v>2898</v>
      </c>
      <c r="F5668" s="17" t="s">
        <v>3102</v>
      </c>
      <c r="G5668" s="18" t="n">
        <v>27.74</v>
      </c>
      <c r="H5668" s="18" t="n">
        <v>0</v>
      </c>
      <c r="I5668" s="18" t="n">
        <f aca="false">((I5667 + G5668) - H5668)</f>
        <v>12335.74</v>
      </c>
      <c r="J5668" s="18" t="n">
        <v>0</v>
      </c>
      <c r="K5668" s="19" t="n">
        <v>0</v>
      </c>
      <c r="L5668" s="17"/>
    </row>
    <row r="5669" s="11" customFormat="true" ht="10.95" hidden="false" customHeight="true" outlineLevel="0" collapsed="false">
      <c r="A5669" s="16" t="n">
        <v>45385</v>
      </c>
      <c r="B5669" s="17" t="s">
        <v>2894</v>
      </c>
      <c r="C5669" s="17" t="s">
        <v>1593</v>
      </c>
      <c r="D5669" s="17" t="s">
        <v>2895</v>
      </c>
      <c r="E5669" s="17" t="s">
        <v>2925</v>
      </c>
      <c r="F5669" s="17" t="s">
        <v>3103</v>
      </c>
      <c r="G5669" s="18" t="n">
        <v>4.98</v>
      </c>
      <c r="H5669" s="18" t="n">
        <v>0</v>
      </c>
      <c r="I5669" s="18" t="n">
        <f aca="false">((I5668 + G5669) - H5669)</f>
        <v>12340.72</v>
      </c>
      <c r="J5669" s="18" t="n">
        <v>0</v>
      </c>
      <c r="K5669" s="19" t="n">
        <v>0</v>
      </c>
      <c r="L5669" s="17"/>
    </row>
    <row r="5670" s="11" customFormat="true" ht="10.95" hidden="false" customHeight="true" outlineLevel="0" collapsed="false">
      <c r="A5670" s="16" t="n">
        <v>45385</v>
      </c>
      <c r="B5670" s="17" t="s">
        <v>2894</v>
      </c>
      <c r="C5670" s="17" t="s">
        <v>1593</v>
      </c>
      <c r="D5670" s="17" t="s">
        <v>2895</v>
      </c>
      <c r="E5670" s="17" t="s">
        <v>2925</v>
      </c>
      <c r="F5670" s="17" t="s">
        <v>3104</v>
      </c>
      <c r="G5670" s="18" t="n">
        <v>7.7</v>
      </c>
      <c r="H5670" s="18" t="n">
        <v>0</v>
      </c>
      <c r="I5670" s="18" t="n">
        <f aca="false">((I5669 + G5670) - H5670)</f>
        <v>12348.42</v>
      </c>
      <c r="J5670" s="18" t="n">
        <v>0</v>
      </c>
      <c r="K5670" s="19" t="n">
        <v>0</v>
      </c>
      <c r="L5670" s="17"/>
    </row>
    <row r="5671" s="11" customFormat="true" ht="10.95" hidden="false" customHeight="true" outlineLevel="0" collapsed="false">
      <c r="A5671" s="16" t="n">
        <v>45385</v>
      </c>
      <c r="B5671" s="17" t="s">
        <v>2894</v>
      </c>
      <c r="C5671" s="17" t="s">
        <v>1593</v>
      </c>
      <c r="D5671" s="17" t="s">
        <v>2895</v>
      </c>
      <c r="E5671" s="17" t="s">
        <v>2925</v>
      </c>
      <c r="F5671" s="17" t="s">
        <v>3105</v>
      </c>
      <c r="G5671" s="18" t="n">
        <v>9.39</v>
      </c>
      <c r="H5671" s="18" t="n">
        <v>0</v>
      </c>
      <c r="I5671" s="18" t="n">
        <f aca="false">((I5670 + G5671) - H5671)</f>
        <v>12357.81</v>
      </c>
      <c r="J5671" s="18" t="n">
        <v>0</v>
      </c>
      <c r="K5671" s="19" t="n">
        <v>0</v>
      </c>
      <c r="L5671" s="17"/>
    </row>
    <row r="5672" s="11" customFormat="true" ht="10.95" hidden="false" customHeight="true" outlineLevel="0" collapsed="false">
      <c r="A5672" s="16" t="n">
        <v>45385</v>
      </c>
      <c r="B5672" s="17" t="s">
        <v>2894</v>
      </c>
      <c r="C5672" s="17" t="s">
        <v>1593</v>
      </c>
      <c r="D5672" s="17" t="s">
        <v>2895</v>
      </c>
      <c r="E5672" s="17" t="s">
        <v>2896</v>
      </c>
      <c r="F5672" s="17" t="s">
        <v>3106</v>
      </c>
      <c r="G5672" s="18" t="n">
        <v>7.29</v>
      </c>
      <c r="H5672" s="18" t="n">
        <v>0</v>
      </c>
      <c r="I5672" s="18" t="n">
        <f aca="false">((I5671 + G5672) - H5672)</f>
        <v>12365.1</v>
      </c>
      <c r="J5672" s="18" t="n">
        <v>0</v>
      </c>
      <c r="K5672" s="19" t="n">
        <v>0</v>
      </c>
      <c r="L5672" s="17"/>
    </row>
    <row r="5673" s="11" customFormat="true" ht="10.95" hidden="false" customHeight="true" outlineLevel="0" collapsed="false">
      <c r="A5673" s="16" t="n">
        <v>45385</v>
      </c>
      <c r="B5673" s="17" t="s">
        <v>2894</v>
      </c>
      <c r="C5673" s="17" t="s">
        <v>1593</v>
      </c>
      <c r="D5673" s="17" t="s">
        <v>2895</v>
      </c>
      <c r="E5673" s="17" t="s">
        <v>2964</v>
      </c>
      <c r="F5673" s="17" t="s">
        <v>3107</v>
      </c>
      <c r="G5673" s="18" t="n">
        <v>94.15</v>
      </c>
      <c r="H5673" s="18" t="n">
        <v>0</v>
      </c>
      <c r="I5673" s="18" t="n">
        <f aca="false">((I5672 + G5673) - H5673)</f>
        <v>12459.25</v>
      </c>
      <c r="J5673" s="18" t="n">
        <v>0</v>
      </c>
      <c r="K5673" s="19" t="n">
        <v>0</v>
      </c>
      <c r="L5673" s="17"/>
    </row>
    <row r="5674" s="11" customFormat="true" ht="10.95" hidden="false" customHeight="true" outlineLevel="0" collapsed="false">
      <c r="A5674" s="16" t="n">
        <v>45385</v>
      </c>
      <c r="B5674" s="17" t="s">
        <v>2894</v>
      </c>
      <c r="C5674" s="17" t="s">
        <v>1593</v>
      </c>
      <c r="D5674" s="17" t="s">
        <v>2895</v>
      </c>
      <c r="E5674" s="17" t="s">
        <v>2964</v>
      </c>
      <c r="F5674" s="17" t="s">
        <v>3108</v>
      </c>
      <c r="G5674" s="18" t="n">
        <v>30.83</v>
      </c>
      <c r="H5674" s="18" t="n">
        <v>0</v>
      </c>
      <c r="I5674" s="18" t="n">
        <f aca="false">((I5673 + G5674) - H5674)</f>
        <v>12490.08</v>
      </c>
      <c r="J5674" s="18" t="n">
        <v>0</v>
      </c>
      <c r="K5674" s="19" t="n">
        <v>0</v>
      </c>
      <c r="L5674" s="17"/>
    </row>
    <row r="5675" s="11" customFormat="true" ht="10.95" hidden="false" customHeight="true" outlineLevel="0" collapsed="false">
      <c r="A5675" s="16" t="n">
        <v>45385</v>
      </c>
      <c r="B5675" s="17" t="s">
        <v>2894</v>
      </c>
      <c r="C5675" s="17" t="s">
        <v>1593</v>
      </c>
      <c r="D5675" s="17" t="s">
        <v>2895</v>
      </c>
      <c r="E5675" s="17" t="s">
        <v>2964</v>
      </c>
      <c r="F5675" s="17" t="s">
        <v>3109</v>
      </c>
      <c r="G5675" s="18" t="n">
        <v>20.55</v>
      </c>
      <c r="H5675" s="18" t="n">
        <v>0</v>
      </c>
      <c r="I5675" s="18" t="n">
        <f aca="false">((I5674 + G5675) - H5675)</f>
        <v>12510.63</v>
      </c>
      <c r="J5675" s="18" t="n">
        <v>0</v>
      </c>
      <c r="K5675" s="19" t="n">
        <v>0</v>
      </c>
      <c r="L5675" s="17"/>
    </row>
    <row r="5676" s="11" customFormat="true" ht="10.95" hidden="false" customHeight="true" outlineLevel="0" collapsed="false">
      <c r="A5676" s="16" t="n">
        <v>45385</v>
      </c>
      <c r="B5676" s="17" t="s">
        <v>2894</v>
      </c>
      <c r="C5676" s="17" t="s">
        <v>1593</v>
      </c>
      <c r="D5676" s="17" t="s">
        <v>2895</v>
      </c>
      <c r="E5676" s="17" t="s">
        <v>2964</v>
      </c>
      <c r="F5676" s="17" t="s">
        <v>3110</v>
      </c>
      <c r="G5676" s="18" t="n">
        <v>20.55</v>
      </c>
      <c r="H5676" s="18" t="n">
        <v>0</v>
      </c>
      <c r="I5676" s="18" t="n">
        <f aca="false">((I5675 + G5676) - H5676)</f>
        <v>12531.18</v>
      </c>
      <c r="J5676" s="18" t="n">
        <v>0</v>
      </c>
      <c r="K5676" s="19" t="n">
        <v>0</v>
      </c>
      <c r="L5676" s="17"/>
    </row>
    <row r="5677" s="11" customFormat="true" ht="10.95" hidden="false" customHeight="true" outlineLevel="0" collapsed="false">
      <c r="A5677" s="16" t="n">
        <v>45385</v>
      </c>
      <c r="B5677" s="17" t="s">
        <v>2894</v>
      </c>
      <c r="C5677" s="17" t="s">
        <v>1593</v>
      </c>
      <c r="D5677" s="17" t="s">
        <v>2895</v>
      </c>
      <c r="E5677" s="17" t="s">
        <v>2964</v>
      </c>
      <c r="F5677" s="17" t="s">
        <v>3111</v>
      </c>
      <c r="G5677" s="18" t="n">
        <v>66.53</v>
      </c>
      <c r="H5677" s="18" t="n">
        <v>0</v>
      </c>
      <c r="I5677" s="18" t="n">
        <f aca="false">((I5676 + G5677) - H5677)</f>
        <v>12597.71</v>
      </c>
      <c r="J5677" s="18" t="n">
        <v>0</v>
      </c>
      <c r="K5677" s="19" t="n">
        <v>0</v>
      </c>
      <c r="L5677" s="17"/>
    </row>
    <row r="5678" s="11" customFormat="true" ht="10.95" hidden="false" customHeight="true" outlineLevel="0" collapsed="false">
      <c r="A5678" s="16" t="n">
        <v>45385</v>
      </c>
      <c r="B5678" s="17" t="s">
        <v>2894</v>
      </c>
      <c r="C5678" s="17" t="s">
        <v>1593</v>
      </c>
      <c r="D5678" s="17" t="s">
        <v>2903</v>
      </c>
      <c r="E5678" s="17" t="s">
        <v>2904</v>
      </c>
      <c r="F5678" s="17" t="s">
        <v>1540</v>
      </c>
      <c r="G5678" s="18" t="n">
        <v>3.04</v>
      </c>
      <c r="H5678" s="18" t="n">
        <v>0</v>
      </c>
      <c r="I5678" s="18" t="n">
        <f aca="false">((I5677 + G5678) - H5678)</f>
        <v>12600.75</v>
      </c>
      <c r="J5678" s="18" t="n">
        <v>0</v>
      </c>
      <c r="K5678" s="19" t="n">
        <v>0</v>
      </c>
      <c r="L5678" s="17"/>
    </row>
    <row r="5679" s="11" customFormat="true" ht="10.95" hidden="false" customHeight="true" outlineLevel="0" collapsed="false">
      <c r="A5679" s="16" t="n">
        <v>45386</v>
      </c>
      <c r="B5679" s="17" t="s">
        <v>2894</v>
      </c>
      <c r="C5679" s="17" t="s">
        <v>1593</v>
      </c>
      <c r="D5679" s="17" t="s">
        <v>2895</v>
      </c>
      <c r="E5679" s="17" t="s">
        <v>2917</v>
      </c>
      <c r="F5679" s="17" t="s">
        <v>3112</v>
      </c>
      <c r="G5679" s="18" t="n">
        <v>1.94</v>
      </c>
      <c r="H5679" s="18" t="n">
        <v>0</v>
      </c>
      <c r="I5679" s="18" t="n">
        <f aca="false">((I5678 + G5679) - H5679)</f>
        <v>12602.69</v>
      </c>
      <c r="J5679" s="18" t="n">
        <v>0</v>
      </c>
      <c r="K5679" s="19" t="n">
        <v>0</v>
      </c>
      <c r="L5679" s="17"/>
    </row>
    <row r="5680" s="11" customFormat="true" ht="10.95" hidden="false" customHeight="true" outlineLevel="0" collapsed="false">
      <c r="A5680" s="16" t="n">
        <v>45386</v>
      </c>
      <c r="B5680" s="17" t="s">
        <v>2894</v>
      </c>
      <c r="C5680" s="17" t="s">
        <v>1593</v>
      </c>
      <c r="D5680" s="17" t="s">
        <v>2895</v>
      </c>
      <c r="E5680" s="17" t="s">
        <v>2917</v>
      </c>
      <c r="F5680" s="17" t="s">
        <v>3113</v>
      </c>
      <c r="G5680" s="18" t="n">
        <v>555.41</v>
      </c>
      <c r="H5680" s="18" t="n">
        <v>0</v>
      </c>
      <c r="I5680" s="18" t="n">
        <f aca="false">((I5679 + G5680) - H5680)</f>
        <v>13158.1</v>
      </c>
      <c r="J5680" s="18" t="n">
        <v>0</v>
      </c>
      <c r="K5680" s="19" t="n">
        <v>0</v>
      </c>
      <c r="L5680" s="17"/>
    </row>
    <row r="5681" s="11" customFormat="true" ht="10.95" hidden="false" customHeight="true" outlineLevel="0" collapsed="false">
      <c r="A5681" s="16" t="n">
        <v>45386</v>
      </c>
      <c r="B5681" s="17" t="s">
        <v>2894</v>
      </c>
      <c r="C5681" s="17" t="s">
        <v>1593</v>
      </c>
      <c r="D5681" s="17" t="s">
        <v>2895</v>
      </c>
      <c r="E5681" s="17" t="s">
        <v>2917</v>
      </c>
      <c r="F5681" s="17" t="s">
        <v>3114</v>
      </c>
      <c r="G5681" s="18" t="n">
        <v>12.75</v>
      </c>
      <c r="H5681" s="18" t="n">
        <v>0</v>
      </c>
      <c r="I5681" s="18" t="n">
        <f aca="false">((I5680 + G5681) - H5681)</f>
        <v>13170.85</v>
      </c>
      <c r="J5681" s="18" t="n">
        <v>0</v>
      </c>
      <c r="K5681" s="19" t="n">
        <v>0</v>
      </c>
      <c r="L5681" s="17"/>
    </row>
    <row r="5682" s="11" customFormat="true" ht="10.95" hidden="false" customHeight="true" outlineLevel="0" collapsed="false">
      <c r="A5682" s="16" t="n">
        <v>45386</v>
      </c>
      <c r="B5682" s="17" t="s">
        <v>2894</v>
      </c>
      <c r="C5682" s="17" t="s">
        <v>1593</v>
      </c>
      <c r="D5682" s="17" t="s">
        <v>2895</v>
      </c>
      <c r="E5682" s="17" t="s">
        <v>2917</v>
      </c>
      <c r="F5682" s="17" t="s">
        <v>3115</v>
      </c>
      <c r="G5682" s="18" t="n">
        <v>10.08</v>
      </c>
      <c r="H5682" s="18" t="n">
        <v>0</v>
      </c>
      <c r="I5682" s="18" t="n">
        <f aca="false">((I5681 + G5682) - H5682)</f>
        <v>13180.93</v>
      </c>
      <c r="J5682" s="18" t="n">
        <v>0</v>
      </c>
      <c r="K5682" s="19" t="n">
        <v>0</v>
      </c>
      <c r="L5682" s="17"/>
    </row>
    <row r="5683" s="11" customFormat="true" ht="10.95" hidden="false" customHeight="true" outlineLevel="0" collapsed="false">
      <c r="A5683" s="16" t="n">
        <v>45386</v>
      </c>
      <c r="B5683" s="17" t="s">
        <v>2894</v>
      </c>
      <c r="C5683" s="17" t="s">
        <v>1593</v>
      </c>
      <c r="D5683" s="17" t="s">
        <v>2895</v>
      </c>
      <c r="E5683" s="17" t="s">
        <v>2917</v>
      </c>
      <c r="F5683" s="17" t="s">
        <v>3116</v>
      </c>
      <c r="G5683" s="18" t="n">
        <v>42.96</v>
      </c>
      <c r="H5683" s="18" t="n">
        <v>0</v>
      </c>
      <c r="I5683" s="18" t="n">
        <f aca="false">((I5682 + G5683) - H5683)</f>
        <v>13223.89</v>
      </c>
      <c r="J5683" s="18" t="n">
        <v>0</v>
      </c>
      <c r="K5683" s="19" t="n">
        <v>0</v>
      </c>
      <c r="L5683" s="17"/>
    </row>
    <row r="5684" s="11" customFormat="true" ht="10.95" hidden="false" customHeight="true" outlineLevel="0" collapsed="false">
      <c r="A5684" s="16" t="n">
        <v>45386</v>
      </c>
      <c r="B5684" s="17" t="s">
        <v>2894</v>
      </c>
      <c r="C5684" s="17" t="s">
        <v>1593</v>
      </c>
      <c r="D5684" s="17" t="s">
        <v>2895</v>
      </c>
      <c r="E5684" s="17" t="s">
        <v>2917</v>
      </c>
      <c r="F5684" s="17" t="s">
        <v>3117</v>
      </c>
      <c r="G5684" s="18" t="n">
        <v>8.76</v>
      </c>
      <c r="H5684" s="18" t="n">
        <v>0</v>
      </c>
      <c r="I5684" s="18" t="n">
        <f aca="false">((I5683 + G5684) - H5684)</f>
        <v>13232.65</v>
      </c>
      <c r="J5684" s="18" t="n">
        <v>0</v>
      </c>
      <c r="K5684" s="19" t="n">
        <v>0</v>
      </c>
      <c r="L5684" s="17"/>
    </row>
    <row r="5685" s="11" customFormat="true" ht="10.95" hidden="false" customHeight="true" outlineLevel="0" collapsed="false">
      <c r="A5685" s="16" t="n">
        <v>45387</v>
      </c>
      <c r="B5685" s="17" t="s">
        <v>2894</v>
      </c>
      <c r="C5685" s="17" t="s">
        <v>1593</v>
      </c>
      <c r="D5685" s="17" t="s">
        <v>2895</v>
      </c>
      <c r="E5685" s="17" t="s">
        <v>2947</v>
      </c>
      <c r="F5685" s="17" t="s">
        <v>3118</v>
      </c>
      <c r="G5685" s="18" t="n">
        <v>79.29</v>
      </c>
      <c r="H5685" s="18" t="n">
        <v>0</v>
      </c>
      <c r="I5685" s="18" t="n">
        <f aca="false">((I5684 + G5685) - H5685)</f>
        <v>13311.94</v>
      </c>
      <c r="J5685" s="18" t="n">
        <v>0</v>
      </c>
      <c r="K5685" s="19" t="n">
        <v>0</v>
      </c>
      <c r="L5685" s="17"/>
    </row>
    <row r="5686" s="11" customFormat="true" ht="10.95" hidden="false" customHeight="true" outlineLevel="0" collapsed="false">
      <c r="A5686" s="16" t="n">
        <v>45387</v>
      </c>
      <c r="B5686" s="17" t="s">
        <v>2894</v>
      </c>
      <c r="C5686" s="17" t="s">
        <v>1593</v>
      </c>
      <c r="D5686" s="17" t="s">
        <v>2903</v>
      </c>
      <c r="E5686" s="17" t="s">
        <v>3119</v>
      </c>
      <c r="F5686" s="17" t="s">
        <v>2535</v>
      </c>
      <c r="G5686" s="18" t="n">
        <v>2.14</v>
      </c>
      <c r="H5686" s="18" t="n">
        <v>0</v>
      </c>
      <c r="I5686" s="18" t="n">
        <f aca="false">((I5685 + G5686) - H5686)</f>
        <v>13314.08</v>
      </c>
      <c r="J5686" s="18" t="n">
        <v>0</v>
      </c>
      <c r="K5686" s="19" t="n">
        <v>0</v>
      </c>
      <c r="L5686" s="17"/>
    </row>
    <row r="5687" s="11" customFormat="true" ht="10.95" hidden="false" customHeight="true" outlineLevel="0" collapsed="false">
      <c r="A5687" s="16" t="n">
        <v>45388</v>
      </c>
      <c r="B5687" s="17" t="s">
        <v>2894</v>
      </c>
      <c r="C5687" s="17" t="s">
        <v>1593</v>
      </c>
      <c r="D5687" s="17" t="s">
        <v>2903</v>
      </c>
      <c r="E5687" s="17" t="s">
        <v>2969</v>
      </c>
      <c r="F5687" s="17" t="s">
        <v>2533</v>
      </c>
      <c r="G5687" s="18" t="n">
        <v>0.62</v>
      </c>
      <c r="H5687" s="18" t="n">
        <v>0</v>
      </c>
      <c r="I5687" s="18" t="n">
        <f aca="false">((I5686 + G5687) - H5687)</f>
        <v>13314.7</v>
      </c>
      <c r="J5687" s="18" t="n">
        <v>0</v>
      </c>
      <c r="K5687" s="19" t="n">
        <v>0</v>
      </c>
      <c r="L5687" s="17"/>
    </row>
    <row r="5688" s="11" customFormat="true" ht="10.95" hidden="false" customHeight="true" outlineLevel="0" collapsed="false">
      <c r="A5688" s="16" t="n">
        <v>45391</v>
      </c>
      <c r="B5688" s="17" t="s">
        <v>2894</v>
      </c>
      <c r="C5688" s="17" t="s">
        <v>1593</v>
      </c>
      <c r="D5688" s="17" t="s">
        <v>2903</v>
      </c>
      <c r="E5688" s="17" t="s">
        <v>2908</v>
      </c>
      <c r="F5688" s="17" t="s">
        <v>1535</v>
      </c>
      <c r="G5688" s="18" t="n">
        <v>0</v>
      </c>
      <c r="H5688" s="18" t="n">
        <v>1.34</v>
      </c>
      <c r="I5688" s="18" t="n">
        <f aca="false">((I5687 + G5688) - H5688)</f>
        <v>13313.36</v>
      </c>
      <c r="J5688" s="18" t="n">
        <v>0</v>
      </c>
      <c r="K5688" s="19" t="n">
        <v>0</v>
      </c>
      <c r="L5688" s="17"/>
    </row>
    <row r="5689" s="11" customFormat="true" ht="10.95" hidden="false" customHeight="true" outlineLevel="0" collapsed="false">
      <c r="A5689" s="16" t="n">
        <v>45392</v>
      </c>
      <c r="B5689" s="17" t="s">
        <v>2894</v>
      </c>
      <c r="C5689" s="17" t="s">
        <v>1593</v>
      </c>
      <c r="D5689" s="17" t="s">
        <v>2895</v>
      </c>
      <c r="E5689" s="17" t="s">
        <v>2934</v>
      </c>
      <c r="F5689" s="17" t="s">
        <v>3120</v>
      </c>
      <c r="G5689" s="18" t="n">
        <v>206.71</v>
      </c>
      <c r="H5689" s="18" t="n">
        <v>0</v>
      </c>
      <c r="I5689" s="18" t="n">
        <f aca="false">((I5688 + G5689) - H5689)</f>
        <v>13520.07</v>
      </c>
      <c r="J5689" s="18" t="n">
        <v>0</v>
      </c>
      <c r="K5689" s="19" t="n">
        <v>0</v>
      </c>
      <c r="L5689" s="17"/>
    </row>
    <row r="5690" s="11" customFormat="true" ht="10.95" hidden="false" customHeight="true" outlineLevel="0" collapsed="false">
      <c r="A5690" s="16" t="n">
        <v>45392</v>
      </c>
      <c r="B5690" s="17" t="s">
        <v>2894</v>
      </c>
      <c r="C5690" s="17" t="s">
        <v>1593</v>
      </c>
      <c r="D5690" s="17" t="s">
        <v>2895</v>
      </c>
      <c r="E5690" s="17" t="s">
        <v>2934</v>
      </c>
      <c r="F5690" s="17" t="s">
        <v>3121</v>
      </c>
      <c r="G5690" s="18" t="n">
        <v>29.21</v>
      </c>
      <c r="H5690" s="18" t="n">
        <v>0</v>
      </c>
      <c r="I5690" s="18" t="n">
        <f aca="false">((I5689 + G5690) - H5690)</f>
        <v>13549.28</v>
      </c>
      <c r="J5690" s="18" t="n">
        <v>0</v>
      </c>
      <c r="K5690" s="19" t="n">
        <v>0</v>
      </c>
      <c r="L5690" s="17"/>
    </row>
    <row r="5691" s="11" customFormat="true" ht="10.95" hidden="false" customHeight="true" outlineLevel="0" collapsed="false">
      <c r="A5691" s="16" t="n">
        <v>45392</v>
      </c>
      <c r="B5691" s="17" t="s">
        <v>2894</v>
      </c>
      <c r="C5691" s="17" t="s">
        <v>1593</v>
      </c>
      <c r="D5691" s="17" t="s">
        <v>2895</v>
      </c>
      <c r="E5691" s="17" t="s">
        <v>2906</v>
      </c>
      <c r="F5691" s="17" t="s">
        <v>3122</v>
      </c>
      <c r="G5691" s="18" t="n">
        <v>78.61</v>
      </c>
      <c r="H5691" s="18" t="n">
        <v>0</v>
      </c>
      <c r="I5691" s="18" t="n">
        <f aca="false">((I5690 + G5691) - H5691)</f>
        <v>13627.89</v>
      </c>
      <c r="J5691" s="18" t="n">
        <v>0</v>
      </c>
      <c r="K5691" s="19" t="n">
        <v>0</v>
      </c>
      <c r="L5691" s="17"/>
    </row>
    <row r="5692" s="11" customFormat="true" ht="10.95" hidden="false" customHeight="true" outlineLevel="0" collapsed="false">
      <c r="A5692" s="16" t="n">
        <v>45399</v>
      </c>
      <c r="B5692" s="17" t="s">
        <v>2894</v>
      </c>
      <c r="C5692" s="17" t="s">
        <v>1593</v>
      </c>
      <c r="D5692" s="17" t="s">
        <v>2895</v>
      </c>
      <c r="E5692" s="17" t="s">
        <v>2900</v>
      </c>
      <c r="F5692" s="17" t="s">
        <v>3123</v>
      </c>
      <c r="G5692" s="18" t="n">
        <v>72.71</v>
      </c>
      <c r="H5692" s="18" t="n">
        <v>0</v>
      </c>
      <c r="I5692" s="18" t="n">
        <f aca="false">((I5691 + G5692) - H5692)</f>
        <v>13700.6</v>
      </c>
      <c r="J5692" s="18" t="n">
        <v>0</v>
      </c>
      <c r="K5692" s="19" t="n">
        <v>0</v>
      </c>
      <c r="L5692" s="17"/>
    </row>
    <row r="5693" s="11" customFormat="true" ht="10.95" hidden="false" customHeight="true" outlineLevel="0" collapsed="false">
      <c r="A5693" s="16" t="n">
        <v>45399</v>
      </c>
      <c r="B5693" s="17" t="s">
        <v>2894</v>
      </c>
      <c r="C5693" s="17" t="s">
        <v>1593</v>
      </c>
      <c r="D5693" s="17" t="s">
        <v>2895</v>
      </c>
      <c r="E5693" s="17" t="s">
        <v>2900</v>
      </c>
      <c r="F5693" s="17" t="s">
        <v>3124</v>
      </c>
      <c r="G5693" s="18" t="n">
        <v>55.89</v>
      </c>
      <c r="H5693" s="18" t="n">
        <v>0</v>
      </c>
      <c r="I5693" s="18" t="n">
        <f aca="false">((I5692 + G5693) - H5693)</f>
        <v>13756.49</v>
      </c>
      <c r="J5693" s="18" t="n">
        <v>0</v>
      </c>
      <c r="K5693" s="19" t="n">
        <v>0</v>
      </c>
      <c r="L5693" s="17"/>
    </row>
    <row r="5694" s="11" customFormat="true" ht="10.95" hidden="false" customHeight="true" outlineLevel="0" collapsed="false">
      <c r="A5694" s="16" t="n">
        <v>45399</v>
      </c>
      <c r="B5694" s="17" t="s">
        <v>2894</v>
      </c>
      <c r="C5694" s="17" t="s">
        <v>1593</v>
      </c>
      <c r="D5694" s="17" t="s">
        <v>2895</v>
      </c>
      <c r="E5694" s="17" t="s">
        <v>2900</v>
      </c>
      <c r="F5694" s="17" t="s">
        <v>3125</v>
      </c>
      <c r="G5694" s="18" t="n">
        <v>36.97</v>
      </c>
      <c r="H5694" s="18" t="n">
        <v>0</v>
      </c>
      <c r="I5694" s="18" t="n">
        <f aca="false">((I5693 + G5694) - H5694)</f>
        <v>13793.46</v>
      </c>
      <c r="J5694" s="18" t="n">
        <v>0</v>
      </c>
      <c r="K5694" s="19" t="n">
        <v>0</v>
      </c>
      <c r="L5694" s="17"/>
    </row>
    <row r="5695" s="11" customFormat="true" ht="10.95" hidden="false" customHeight="true" outlineLevel="0" collapsed="false">
      <c r="A5695" s="16" t="n">
        <v>45399</v>
      </c>
      <c r="B5695" s="17" t="s">
        <v>2894</v>
      </c>
      <c r="C5695" s="17" t="s">
        <v>1593</v>
      </c>
      <c r="D5695" s="17" t="s">
        <v>2895</v>
      </c>
      <c r="E5695" s="17" t="s">
        <v>2900</v>
      </c>
      <c r="F5695" s="17" t="s">
        <v>3126</v>
      </c>
      <c r="G5695" s="18" t="n">
        <v>20.57</v>
      </c>
      <c r="H5695" s="18" t="n">
        <v>0</v>
      </c>
      <c r="I5695" s="18" t="n">
        <f aca="false">((I5694 + G5695) - H5695)</f>
        <v>13814.03</v>
      </c>
      <c r="J5695" s="18" t="n">
        <v>0</v>
      </c>
      <c r="K5695" s="19" t="n">
        <v>0</v>
      </c>
      <c r="L5695" s="17"/>
    </row>
    <row r="5696" s="11" customFormat="true" ht="10.95" hidden="false" customHeight="true" outlineLevel="0" collapsed="false">
      <c r="A5696" s="16" t="n">
        <v>45402</v>
      </c>
      <c r="B5696" s="17" t="s">
        <v>2894</v>
      </c>
      <c r="C5696" s="17" t="s">
        <v>1593</v>
      </c>
      <c r="D5696" s="17" t="s">
        <v>2903</v>
      </c>
      <c r="E5696" s="17" t="s">
        <v>3098</v>
      </c>
      <c r="F5696" s="17" t="s">
        <v>2552</v>
      </c>
      <c r="G5696" s="18" t="n">
        <v>0.03</v>
      </c>
      <c r="H5696" s="18" t="n">
        <v>0</v>
      </c>
      <c r="I5696" s="18" t="n">
        <f aca="false">((I5695 + G5696) - H5696)</f>
        <v>13814.06</v>
      </c>
      <c r="J5696" s="18" t="n">
        <v>0</v>
      </c>
      <c r="K5696" s="19" t="n">
        <v>0</v>
      </c>
      <c r="L5696" s="17"/>
    </row>
    <row r="5697" s="11" customFormat="true" ht="10.95" hidden="false" customHeight="true" outlineLevel="0" collapsed="false">
      <c r="A5697" s="16" t="n">
        <v>45413</v>
      </c>
      <c r="B5697" s="17" t="s">
        <v>2894</v>
      </c>
      <c r="C5697" s="17" t="s">
        <v>1593</v>
      </c>
      <c r="D5697" s="17" t="s">
        <v>2895</v>
      </c>
      <c r="E5697" s="17" t="s">
        <v>3127</v>
      </c>
      <c r="F5697" s="17" t="s">
        <v>1368</v>
      </c>
      <c r="G5697" s="18" t="n">
        <v>39.15</v>
      </c>
      <c r="H5697" s="18" t="n">
        <v>0</v>
      </c>
      <c r="I5697" s="18" t="n">
        <f aca="false">((I5696 + G5697) - H5697)</f>
        <v>13853.21</v>
      </c>
      <c r="J5697" s="18" t="n">
        <v>0</v>
      </c>
      <c r="K5697" s="19" t="n">
        <v>0</v>
      </c>
      <c r="L5697" s="17"/>
    </row>
    <row r="5698" s="11" customFormat="true" ht="10.95" hidden="false" customHeight="true" outlineLevel="0" collapsed="false">
      <c r="A5698" s="16" t="n">
        <v>45413</v>
      </c>
      <c r="B5698" s="17" t="s">
        <v>2894</v>
      </c>
      <c r="C5698" s="17" t="s">
        <v>1593</v>
      </c>
      <c r="D5698" s="17" t="s">
        <v>2895</v>
      </c>
      <c r="E5698" s="17" t="s">
        <v>2896</v>
      </c>
      <c r="F5698" s="17" t="s">
        <v>1370</v>
      </c>
      <c r="G5698" s="18" t="n">
        <v>1.59</v>
      </c>
      <c r="H5698" s="18" t="n">
        <v>0</v>
      </c>
      <c r="I5698" s="18" t="n">
        <f aca="false">((I5697 + G5698) - H5698)</f>
        <v>13854.8</v>
      </c>
      <c r="J5698" s="18" t="n">
        <v>0</v>
      </c>
      <c r="K5698" s="19" t="n">
        <v>0</v>
      </c>
      <c r="L5698" s="17"/>
    </row>
    <row r="5699" s="11" customFormat="true" ht="10.95" hidden="false" customHeight="true" outlineLevel="0" collapsed="false">
      <c r="A5699" s="16" t="n">
        <v>45413</v>
      </c>
      <c r="B5699" s="17" t="s">
        <v>2894</v>
      </c>
      <c r="C5699" s="17" t="s">
        <v>1593</v>
      </c>
      <c r="D5699" s="17" t="s">
        <v>2895</v>
      </c>
      <c r="E5699" s="17" t="s">
        <v>2900</v>
      </c>
      <c r="F5699" s="17" t="s">
        <v>3128</v>
      </c>
      <c r="G5699" s="18" t="n">
        <v>24.12</v>
      </c>
      <c r="H5699" s="18" t="n">
        <v>0</v>
      </c>
      <c r="I5699" s="18" t="n">
        <f aca="false">((I5698 + G5699) - H5699)</f>
        <v>13878.92</v>
      </c>
      <c r="J5699" s="18" t="n">
        <v>0</v>
      </c>
      <c r="K5699" s="19" t="n">
        <v>0</v>
      </c>
      <c r="L5699" s="17"/>
    </row>
    <row r="5700" s="11" customFormat="true" ht="10.95" hidden="false" customHeight="true" outlineLevel="0" collapsed="false">
      <c r="A5700" s="16" t="n">
        <v>45413</v>
      </c>
      <c r="B5700" s="17" t="s">
        <v>2894</v>
      </c>
      <c r="C5700" s="17" t="s">
        <v>1593</v>
      </c>
      <c r="D5700" s="17" t="s">
        <v>2895</v>
      </c>
      <c r="E5700" s="17" t="s">
        <v>2900</v>
      </c>
      <c r="F5700" s="17" t="s">
        <v>3129</v>
      </c>
      <c r="G5700" s="18" t="n">
        <v>52.33</v>
      </c>
      <c r="H5700" s="18" t="n">
        <v>0</v>
      </c>
      <c r="I5700" s="18" t="n">
        <f aca="false">((I5699 + G5700) - H5700)</f>
        <v>13931.25</v>
      </c>
      <c r="J5700" s="18" t="n">
        <v>0</v>
      </c>
      <c r="K5700" s="19" t="n">
        <v>0</v>
      </c>
      <c r="L5700" s="17"/>
    </row>
    <row r="5701" s="11" customFormat="true" ht="10.95" hidden="false" customHeight="true" outlineLevel="0" collapsed="false">
      <c r="A5701" s="16" t="n">
        <v>45413</v>
      </c>
      <c r="B5701" s="17" t="s">
        <v>2894</v>
      </c>
      <c r="C5701" s="17" t="s">
        <v>1593</v>
      </c>
      <c r="D5701" s="17" t="s">
        <v>2895</v>
      </c>
      <c r="E5701" s="17" t="s">
        <v>2900</v>
      </c>
      <c r="F5701" s="17" t="s">
        <v>3130</v>
      </c>
      <c r="G5701" s="18" t="n">
        <v>28.95</v>
      </c>
      <c r="H5701" s="18" t="n">
        <v>0</v>
      </c>
      <c r="I5701" s="18" t="n">
        <f aca="false">((I5700 + G5701) - H5701)</f>
        <v>13960.2</v>
      </c>
      <c r="J5701" s="18" t="n">
        <v>0</v>
      </c>
      <c r="K5701" s="19" t="n">
        <v>0</v>
      </c>
      <c r="L5701" s="17"/>
    </row>
    <row r="5702" s="11" customFormat="true" ht="10.95" hidden="false" customHeight="true" outlineLevel="0" collapsed="false">
      <c r="A5702" s="16" t="n">
        <v>45413</v>
      </c>
      <c r="B5702" s="17" t="s">
        <v>2894</v>
      </c>
      <c r="C5702" s="17" t="s">
        <v>1593</v>
      </c>
      <c r="D5702" s="17" t="s">
        <v>2895</v>
      </c>
      <c r="E5702" s="17" t="s">
        <v>2900</v>
      </c>
      <c r="F5702" s="17" t="s">
        <v>3131</v>
      </c>
      <c r="G5702" s="18" t="n">
        <v>8.07</v>
      </c>
      <c r="H5702" s="18" t="n">
        <v>0</v>
      </c>
      <c r="I5702" s="18" t="n">
        <f aca="false">((I5701 + G5702) - H5702)</f>
        <v>13968.27</v>
      </c>
      <c r="J5702" s="18" t="n">
        <v>0</v>
      </c>
      <c r="K5702" s="19" t="n">
        <v>0</v>
      </c>
      <c r="L5702" s="17"/>
    </row>
    <row r="5703" s="11" customFormat="true" ht="10.95" hidden="false" customHeight="true" outlineLevel="0" collapsed="false">
      <c r="A5703" s="16" t="n">
        <v>45413</v>
      </c>
      <c r="B5703" s="17" t="s">
        <v>2894</v>
      </c>
      <c r="C5703" s="17" t="s">
        <v>1593</v>
      </c>
      <c r="D5703" s="17" t="s">
        <v>2895</v>
      </c>
      <c r="E5703" s="17" t="s">
        <v>2898</v>
      </c>
      <c r="F5703" s="17" t="s">
        <v>3132</v>
      </c>
      <c r="G5703" s="18" t="n">
        <v>28.01</v>
      </c>
      <c r="H5703" s="18" t="n">
        <v>0</v>
      </c>
      <c r="I5703" s="18" t="n">
        <f aca="false">((I5702 + G5703) - H5703)</f>
        <v>13996.28</v>
      </c>
      <c r="J5703" s="18" t="n">
        <v>0</v>
      </c>
      <c r="K5703" s="19" t="n">
        <v>0</v>
      </c>
      <c r="L5703" s="17"/>
    </row>
    <row r="5704" s="11" customFormat="true" ht="10.95" hidden="false" customHeight="true" outlineLevel="0" collapsed="false">
      <c r="A5704" s="16" t="n">
        <v>45414</v>
      </c>
      <c r="B5704" s="17" t="s">
        <v>2894</v>
      </c>
      <c r="C5704" s="17" t="s">
        <v>1593</v>
      </c>
      <c r="D5704" s="17" t="s">
        <v>2895</v>
      </c>
      <c r="E5704" s="17" t="s">
        <v>2922</v>
      </c>
      <c r="F5704" s="17" t="s">
        <v>3133</v>
      </c>
      <c r="G5704" s="18" t="n">
        <v>117.41</v>
      </c>
      <c r="H5704" s="18" t="n">
        <v>0</v>
      </c>
      <c r="I5704" s="18" t="n">
        <f aca="false">((I5703 + G5704) - H5704)</f>
        <v>14113.69</v>
      </c>
      <c r="J5704" s="18" t="n">
        <v>0</v>
      </c>
      <c r="K5704" s="19" t="n">
        <v>0</v>
      </c>
      <c r="L5704" s="17"/>
    </row>
    <row r="5705" s="11" customFormat="true" ht="10.95" hidden="false" customHeight="true" outlineLevel="0" collapsed="false">
      <c r="A5705" s="16" t="n">
        <v>45414</v>
      </c>
      <c r="B5705" s="17" t="s">
        <v>2894</v>
      </c>
      <c r="C5705" s="17" t="s">
        <v>1593</v>
      </c>
      <c r="D5705" s="17" t="s">
        <v>2895</v>
      </c>
      <c r="E5705" s="17" t="s">
        <v>2925</v>
      </c>
      <c r="F5705" s="17" t="s">
        <v>3134</v>
      </c>
      <c r="G5705" s="18" t="n">
        <v>13.5</v>
      </c>
      <c r="H5705" s="18" t="n">
        <v>0</v>
      </c>
      <c r="I5705" s="18" t="n">
        <f aca="false">((I5704 + G5705) - H5705)</f>
        <v>14127.19</v>
      </c>
      <c r="J5705" s="18" t="n">
        <v>0</v>
      </c>
      <c r="K5705" s="19" t="n">
        <v>0</v>
      </c>
      <c r="L5705" s="17"/>
    </row>
    <row r="5706" s="11" customFormat="true" ht="10.95" hidden="false" customHeight="true" outlineLevel="0" collapsed="false">
      <c r="A5706" s="16" t="n">
        <v>45414</v>
      </c>
      <c r="B5706" s="17" t="s">
        <v>2894</v>
      </c>
      <c r="C5706" s="17" t="s">
        <v>1593</v>
      </c>
      <c r="D5706" s="17" t="s">
        <v>2895</v>
      </c>
      <c r="E5706" s="17" t="s">
        <v>2925</v>
      </c>
      <c r="F5706" s="17" t="s">
        <v>3135</v>
      </c>
      <c r="G5706" s="18" t="n">
        <v>13.06</v>
      </c>
      <c r="H5706" s="18" t="n">
        <v>0</v>
      </c>
      <c r="I5706" s="18" t="n">
        <f aca="false">((I5705 + G5706) - H5706)</f>
        <v>14140.25</v>
      </c>
      <c r="J5706" s="18" t="n">
        <v>0</v>
      </c>
      <c r="K5706" s="19" t="n">
        <v>0</v>
      </c>
      <c r="L5706" s="17"/>
    </row>
    <row r="5707" s="11" customFormat="true" ht="10.95" hidden="false" customHeight="true" outlineLevel="0" collapsed="false">
      <c r="A5707" s="16" t="n">
        <v>45414</v>
      </c>
      <c r="B5707" s="17" t="s">
        <v>2894</v>
      </c>
      <c r="C5707" s="17" t="s">
        <v>1593</v>
      </c>
      <c r="D5707" s="17" t="s">
        <v>2895</v>
      </c>
      <c r="E5707" s="17" t="s">
        <v>2925</v>
      </c>
      <c r="F5707" s="17" t="s">
        <v>3136</v>
      </c>
      <c r="G5707" s="18" t="n">
        <v>11.43</v>
      </c>
      <c r="H5707" s="18" t="n">
        <v>0</v>
      </c>
      <c r="I5707" s="18" t="n">
        <f aca="false">((I5706 + G5707) - H5707)</f>
        <v>14151.68</v>
      </c>
      <c r="J5707" s="18" t="n">
        <v>0</v>
      </c>
      <c r="K5707" s="19" t="n">
        <v>0</v>
      </c>
      <c r="L5707" s="17"/>
    </row>
    <row r="5708" s="11" customFormat="true" ht="10.95" hidden="false" customHeight="true" outlineLevel="0" collapsed="false">
      <c r="A5708" s="16" t="n">
        <v>45414</v>
      </c>
      <c r="B5708" s="17" t="s">
        <v>2894</v>
      </c>
      <c r="C5708" s="17" t="s">
        <v>1593</v>
      </c>
      <c r="D5708" s="17" t="s">
        <v>2903</v>
      </c>
      <c r="E5708" s="17" t="s">
        <v>3008</v>
      </c>
      <c r="F5708" s="17" t="s">
        <v>1635</v>
      </c>
      <c r="G5708" s="18" t="n">
        <v>0</v>
      </c>
      <c r="H5708" s="18" t="n">
        <v>1.7</v>
      </c>
      <c r="I5708" s="18" t="n">
        <f aca="false">((I5707 + G5708) - H5708)</f>
        <v>14149.98</v>
      </c>
      <c r="J5708" s="18" t="n">
        <v>0</v>
      </c>
      <c r="K5708" s="19" t="n">
        <v>0</v>
      </c>
      <c r="L5708" s="17"/>
    </row>
    <row r="5709" s="11" customFormat="true" ht="10.95" hidden="false" customHeight="true" outlineLevel="0" collapsed="false">
      <c r="A5709" s="16" t="n">
        <v>45415</v>
      </c>
      <c r="B5709" s="17" t="s">
        <v>2894</v>
      </c>
      <c r="C5709" s="17" t="s">
        <v>1593</v>
      </c>
      <c r="D5709" s="17" t="s">
        <v>2903</v>
      </c>
      <c r="E5709" s="17" t="s">
        <v>2904</v>
      </c>
      <c r="F5709" s="17" t="s">
        <v>1555</v>
      </c>
      <c r="G5709" s="18" t="n">
        <v>0</v>
      </c>
      <c r="H5709" s="18" t="n">
        <v>85.61</v>
      </c>
      <c r="I5709" s="18" t="n">
        <f aca="false">((I5708 + G5709) - H5709)</f>
        <v>14064.37</v>
      </c>
      <c r="J5709" s="18" t="n">
        <v>0</v>
      </c>
      <c r="K5709" s="19" t="n">
        <v>0</v>
      </c>
      <c r="L5709" s="17"/>
    </row>
    <row r="5710" s="11" customFormat="true" ht="10.95" hidden="false" customHeight="true" outlineLevel="0" collapsed="false">
      <c r="A5710" s="16" t="n">
        <v>45415</v>
      </c>
      <c r="B5710" s="17" t="s">
        <v>2894</v>
      </c>
      <c r="C5710" s="17" t="s">
        <v>1593</v>
      </c>
      <c r="D5710" s="17" t="s">
        <v>2895</v>
      </c>
      <c r="E5710" s="17" t="s">
        <v>3088</v>
      </c>
      <c r="F5710" s="17" t="s">
        <v>3137</v>
      </c>
      <c r="G5710" s="18" t="n">
        <v>11.03</v>
      </c>
      <c r="H5710" s="18" t="n">
        <v>0</v>
      </c>
      <c r="I5710" s="18" t="n">
        <f aca="false">((I5709 + G5710) - H5710)</f>
        <v>14075.4</v>
      </c>
      <c r="J5710" s="18" t="n">
        <v>0</v>
      </c>
      <c r="K5710" s="19" t="n">
        <v>0</v>
      </c>
      <c r="L5710" s="17"/>
    </row>
    <row r="5711" s="11" customFormat="true" ht="10.95" hidden="false" customHeight="true" outlineLevel="0" collapsed="false">
      <c r="A5711" s="16" t="n">
        <v>45416</v>
      </c>
      <c r="B5711" s="17" t="s">
        <v>2894</v>
      </c>
      <c r="C5711" s="17" t="s">
        <v>1593</v>
      </c>
      <c r="D5711" s="17" t="s">
        <v>2903</v>
      </c>
      <c r="E5711" s="17" t="s">
        <v>2969</v>
      </c>
      <c r="F5711" s="17" t="s">
        <v>1559</v>
      </c>
      <c r="G5711" s="18" t="n">
        <v>0.54</v>
      </c>
      <c r="H5711" s="18" t="n">
        <v>0</v>
      </c>
      <c r="I5711" s="18" t="n">
        <f aca="false">((I5710 + G5711) - H5711)</f>
        <v>14075.94</v>
      </c>
      <c r="J5711" s="18" t="n">
        <v>0</v>
      </c>
      <c r="K5711" s="19" t="n">
        <v>0</v>
      </c>
      <c r="L5711" s="17"/>
    </row>
    <row r="5712" s="11" customFormat="true" ht="10.95" hidden="false" customHeight="true" outlineLevel="0" collapsed="false">
      <c r="A5712" s="16" t="n">
        <v>45418</v>
      </c>
      <c r="B5712" s="17" t="s">
        <v>2894</v>
      </c>
      <c r="C5712" s="17" t="s">
        <v>1593</v>
      </c>
      <c r="D5712" s="17" t="s">
        <v>2895</v>
      </c>
      <c r="E5712" s="17" t="s">
        <v>2922</v>
      </c>
      <c r="F5712" s="17" t="s">
        <v>3138</v>
      </c>
      <c r="G5712" s="18" t="n">
        <v>351.26</v>
      </c>
      <c r="H5712" s="18" t="n">
        <v>0</v>
      </c>
      <c r="I5712" s="18" t="n">
        <f aca="false">((I5711 + G5712) - H5712)</f>
        <v>14427.2</v>
      </c>
      <c r="J5712" s="18" t="n">
        <v>0</v>
      </c>
      <c r="K5712" s="19" t="n">
        <v>0</v>
      </c>
      <c r="L5712" s="17"/>
    </row>
    <row r="5713" s="11" customFormat="true" ht="10.95" hidden="false" customHeight="true" outlineLevel="0" collapsed="false">
      <c r="A5713" s="16" t="n">
        <v>45418</v>
      </c>
      <c r="B5713" s="17" t="s">
        <v>2894</v>
      </c>
      <c r="C5713" s="17" t="s">
        <v>1593</v>
      </c>
      <c r="D5713" s="17" t="s">
        <v>2895</v>
      </c>
      <c r="E5713" s="17" t="s">
        <v>2947</v>
      </c>
      <c r="F5713" s="17" t="s">
        <v>3139</v>
      </c>
      <c r="G5713" s="18" t="n">
        <v>92.45</v>
      </c>
      <c r="H5713" s="18" t="n">
        <v>0</v>
      </c>
      <c r="I5713" s="18" t="n">
        <f aca="false">((I5712 + G5713) - H5713)</f>
        <v>14519.65</v>
      </c>
      <c r="J5713" s="18" t="n">
        <v>0</v>
      </c>
      <c r="K5713" s="19" t="n">
        <v>0</v>
      </c>
      <c r="L5713" s="17"/>
    </row>
    <row r="5714" s="11" customFormat="true" ht="10.95" hidden="false" customHeight="true" outlineLevel="0" collapsed="false">
      <c r="A5714" s="16" t="n">
        <v>45419</v>
      </c>
      <c r="B5714" s="17" t="s">
        <v>2894</v>
      </c>
      <c r="C5714" s="17" t="s">
        <v>1593</v>
      </c>
      <c r="D5714" s="17" t="s">
        <v>2903</v>
      </c>
      <c r="E5714" s="17" t="s">
        <v>3035</v>
      </c>
      <c r="F5714" s="17" t="s">
        <v>3140</v>
      </c>
      <c r="G5714" s="18" t="n">
        <v>6.69</v>
      </c>
      <c r="H5714" s="18" t="n">
        <v>0</v>
      </c>
      <c r="I5714" s="18" t="n">
        <f aca="false">((I5713 + G5714) - H5714)</f>
        <v>14526.34</v>
      </c>
      <c r="J5714" s="18" t="n">
        <v>0</v>
      </c>
      <c r="K5714" s="19" t="n">
        <v>0</v>
      </c>
      <c r="L5714" s="17"/>
    </row>
    <row r="5715" s="11" customFormat="true" ht="10.95" hidden="false" customHeight="true" outlineLevel="0" collapsed="false">
      <c r="A5715" s="16" t="n">
        <v>45427</v>
      </c>
      <c r="B5715" s="17" t="s">
        <v>2894</v>
      </c>
      <c r="C5715" s="17" t="s">
        <v>1593</v>
      </c>
      <c r="D5715" s="17" t="s">
        <v>2895</v>
      </c>
      <c r="E5715" s="17" t="s">
        <v>2900</v>
      </c>
      <c r="F5715" s="17" t="s">
        <v>3141</v>
      </c>
      <c r="G5715" s="18" t="n">
        <v>18.84</v>
      </c>
      <c r="H5715" s="18" t="n">
        <v>0</v>
      </c>
      <c r="I5715" s="18" t="n">
        <f aca="false">((I5714 + G5715) - H5715)</f>
        <v>14545.18</v>
      </c>
      <c r="J5715" s="18" t="n">
        <v>0</v>
      </c>
      <c r="K5715" s="19" t="n">
        <v>0</v>
      </c>
      <c r="L5715" s="17"/>
    </row>
    <row r="5716" s="11" customFormat="true" ht="10.95" hidden="false" customHeight="true" outlineLevel="0" collapsed="false">
      <c r="A5716" s="16" t="n">
        <v>45427</v>
      </c>
      <c r="B5716" s="17" t="s">
        <v>2894</v>
      </c>
      <c r="C5716" s="17" t="s">
        <v>1593</v>
      </c>
      <c r="D5716" s="17" t="s">
        <v>2895</v>
      </c>
      <c r="E5716" s="17" t="s">
        <v>2900</v>
      </c>
      <c r="F5716" s="17" t="s">
        <v>3142</v>
      </c>
      <c r="G5716" s="18" t="n">
        <v>4.51</v>
      </c>
      <c r="H5716" s="18" t="n">
        <v>0</v>
      </c>
      <c r="I5716" s="18" t="n">
        <f aca="false">((I5715 + G5716) - H5716)</f>
        <v>14549.69</v>
      </c>
      <c r="J5716" s="18" t="n">
        <v>0</v>
      </c>
      <c r="K5716" s="19" t="n">
        <v>0</v>
      </c>
      <c r="L5716" s="17"/>
    </row>
    <row r="5717" s="11" customFormat="true" ht="10.95" hidden="false" customHeight="true" outlineLevel="0" collapsed="false">
      <c r="A5717" s="16" t="n">
        <v>45427</v>
      </c>
      <c r="B5717" s="17" t="s">
        <v>2894</v>
      </c>
      <c r="C5717" s="17" t="s">
        <v>1593</v>
      </c>
      <c r="D5717" s="17" t="s">
        <v>2895</v>
      </c>
      <c r="E5717" s="17" t="s">
        <v>2900</v>
      </c>
      <c r="F5717" s="17" t="s">
        <v>3143</v>
      </c>
      <c r="G5717" s="18" t="n">
        <v>3.56</v>
      </c>
      <c r="H5717" s="18" t="n">
        <v>0</v>
      </c>
      <c r="I5717" s="18" t="n">
        <f aca="false">((I5716 + G5717) - H5717)</f>
        <v>14553.25</v>
      </c>
      <c r="J5717" s="18" t="n">
        <v>0</v>
      </c>
      <c r="K5717" s="19" t="n">
        <v>0</v>
      </c>
      <c r="L5717" s="17"/>
    </row>
    <row r="5718" s="11" customFormat="true" ht="10.95" hidden="false" customHeight="true" outlineLevel="0" collapsed="false">
      <c r="A5718" s="16" t="n">
        <v>45427</v>
      </c>
      <c r="B5718" s="17" t="s">
        <v>2894</v>
      </c>
      <c r="C5718" s="17" t="s">
        <v>1593</v>
      </c>
      <c r="D5718" s="17" t="s">
        <v>2895</v>
      </c>
      <c r="E5718" s="17" t="s">
        <v>2900</v>
      </c>
      <c r="F5718" s="17" t="s">
        <v>3144</v>
      </c>
      <c r="G5718" s="18" t="n">
        <v>38.37</v>
      </c>
      <c r="H5718" s="18" t="n">
        <v>0</v>
      </c>
      <c r="I5718" s="18" t="n">
        <f aca="false">((I5717 + G5718) - H5718)</f>
        <v>14591.62</v>
      </c>
      <c r="J5718" s="18" t="n">
        <v>0</v>
      </c>
      <c r="K5718" s="19" t="n">
        <v>0</v>
      </c>
      <c r="L5718" s="17"/>
    </row>
    <row r="5719" s="11" customFormat="true" ht="10.95" hidden="false" customHeight="true" outlineLevel="0" collapsed="false">
      <c r="A5719" s="16" t="n">
        <v>45427</v>
      </c>
      <c r="B5719" s="17" t="s">
        <v>2894</v>
      </c>
      <c r="C5719" s="17" t="s">
        <v>1593</v>
      </c>
      <c r="D5719" s="17" t="s">
        <v>2895</v>
      </c>
      <c r="E5719" s="17" t="s">
        <v>2900</v>
      </c>
      <c r="F5719" s="17" t="s">
        <v>3145</v>
      </c>
      <c r="G5719" s="18" t="n">
        <v>36.93</v>
      </c>
      <c r="H5719" s="18" t="n">
        <v>0</v>
      </c>
      <c r="I5719" s="18" t="n">
        <f aca="false">((I5718 + G5719) - H5719)</f>
        <v>14628.55</v>
      </c>
      <c r="J5719" s="18" t="n">
        <v>0</v>
      </c>
      <c r="K5719" s="19" t="n">
        <v>0</v>
      </c>
      <c r="L5719" s="17"/>
    </row>
    <row r="5720" s="11" customFormat="true" ht="10.95" hidden="false" customHeight="true" outlineLevel="0" collapsed="false">
      <c r="A5720" s="16" t="n">
        <v>45428</v>
      </c>
      <c r="B5720" s="17" t="s">
        <v>2894</v>
      </c>
      <c r="C5720" s="17" t="s">
        <v>1593</v>
      </c>
      <c r="D5720" s="17" t="s">
        <v>2903</v>
      </c>
      <c r="E5720" s="17" t="s">
        <v>3146</v>
      </c>
      <c r="F5720" s="17" t="s">
        <v>3147</v>
      </c>
      <c r="G5720" s="18" t="n">
        <v>0</v>
      </c>
      <c r="H5720" s="18" t="n">
        <v>24.18</v>
      </c>
      <c r="I5720" s="18" t="n">
        <f aca="false">((I5719 + G5720) - H5720)</f>
        <v>14604.37</v>
      </c>
      <c r="J5720" s="18" t="n">
        <v>0</v>
      </c>
      <c r="K5720" s="19" t="n">
        <v>0</v>
      </c>
      <c r="L5720" s="17"/>
    </row>
    <row r="5721" s="11" customFormat="true" ht="10.95" hidden="false" customHeight="true" outlineLevel="0" collapsed="false">
      <c r="A5721" s="16" t="n">
        <v>45429</v>
      </c>
      <c r="B5721" s="17" t="s">
        <v>2894</v>
      </c>
      <c r="C5721" s="17" t="s">
        <v>1593</v>
      </c>
      <c r="D5721" s="17" t="s">
        <v>2895</v>
      </c>
      <c r="E5721" s="17" t="s">
        <v>2906</v>
      </c>
      <c r="F5721" s="17" t="s">
        <v>3148</v>
      </c>
      <c r="G5721" s="18" t="n">
        <v>51.11</v>
      </c>
      <c r="H5721" s="18" t="n">
        <v>0</v>
      </c>
      <c r="I5721" s="18" t="n">
        <f aca="false">((I5720 + G5721) - H5721)</f>
        <v>14655.48</v>
      </c>
      <c r="J5721" s="18" t="n">
        <v>0</v>
      </c>
      <c r="K5721" s="19" t="n">
        <v>0</v>
      </c>
      <c r="L5721" s="17"/>
    </row>
    <row r="5722" s="11" customFormat="true" ht="10.95" hidden="false" customHeight="true" outlineLevel="0" collapsed="false">
      <c r="A5722" s="16" t="n">
        <v>45429</v>
      </c>
      <c r="B5722" s="17" t="s">
        <v>2894</v>
      </c>
      <c r="C5722" s="17" t="s">
        <v>1593</v>
      </c>
      <c r="D5722" s="17" t="s">
        <v>2895</v>
      </c>
      <c r="E5722" s="17" t="s">
        <v>2925</v>
      </c>
      <c r="F5722" s="17" t="s">
        <v>3149</v>
      </c>
      <c r="G5722" s="18" t="n">
        <v>10.66</v>
      </c>
      <c r="H5722" s="18" t="n">
        <v>0</v>
      </c>
      <c r="I5722" s="18" t="n">
        <f aca="false">((I5721 + G5722) - H5722)</f>
        <v>14666.14</v>
      </c>
      <c r="J5722" s="18" t="n">
        <v>0</v>
      </c>
      <c r="K5722" s="19" t="n">
        <v>0</v>
      </c>
      <c r="L5722" s="17"/>
    </row>
    <row r="5723" s="11" customFormat="true" ht="10.95" hidden="false" customHeight="true" outlineLevel="0" collapsed="false">
      <c r="A5723" s="16" t="n">
        <v>45429</v>
      </c>
      <c r="B5723" s="17" t="s">
        <v>2894</v>
      </c>
      <c r="C5723" s="17" t="s">
        <v>1593</v>
      </c>
      <c r="D5723" s="17" t="s">
        <v>2895</v>
      </c>
      <c r="E5723" s="17" t="s">
        <v>2925</v>
      </c>
      <c r="F5723" s="17" t="s">
        <v>3150</v>
      </c>
      <c r="G5723" s="18" t="n">
        <v>3.9</v>
      </c>
      <c r="H5723" s="18" t="n">
        <v>0</v>
      </c>
      <c r="I5723" s="18" t="n">
        <f aca="false">((I5722 + G5723) - H5723)</f>
        <v>14670.04</v>
      </c>
      <c r="J5723" s="18" t="n">
        <v>0</v>
      </c>
      <c r="K5723" s="19" t="n">
        <v>0</v>
      </c>
      <c r="L5723" s="17"/>
    </row>
    <row r="5724" s="11" customFormat="true" ht="10.95" hidden="false" customHeight="true" outlineLevel="0" collapsed="false">
      <c r="A5724" s="16" t="n">
        <v>45435</v>
      </c>
      <c r="B5724" s="17" t="s">
        <v>2894</v>
      </c>
      <c r="C5724" s="17" t="s">
        <v>1593</v>
      </c>
      <c r="D5724" s="17" t="s">
        <v>2895</v>
      </c>
      <c r="E5724" s="17" t="s">
        <v>3088</v>
      </c>
      <c r="F5724" s="17" t="s">
        <v>3151</v>
      </c>
      <c r="G5724" s="18" t="n">
        <v>6.91</v>
      </c>
      <c r="H5724" s="18" t="n">
        <v>0</v>
      </c>
      <c r="I5724" s="18" t="n">
        <f aca="false">((I5723 + G5724) - H5724)</f>
        <v>14676.95</v>
      </c>
      <c r="J5724" s="18" t="n">
        <v>0</v>
      </c>
      <c r="K5724" s="19" t="n">
        <v>0</v>
      </c>
      <c r="L5724" s="17"/>
    </row>
    <row r="5725" s="11" customFormat="true" ht="10.95" hidden="false" customHeight="true" outlineLevel="0" collapsed="false">
      <c r="A5725" s="16" t="n">
        <v>45436</v>
      </c>
      <c r="B5725" s="17" t="s">
        <v>2894</v>
      </c>
      <c r="C5725" s="17" t="s">
        <v>1593</v>
      </c>
      <c r="D5725" s="17" t="s">
        <v>2895</v>
      </c>
      <c r="E5725" s="17" t="s">
        <v>3127</v>
      </c>
      <c r="F5725" s="17" t="s">
        <v>1374</v>
      </c>
      <c r="G5725" s="18" t="n">
        <v>34.94</v>
      </c>
      <c r="H5725" s="18" t="n">
        <v>0</v>
      </c>
      <c r="I5725" s="18" t="n">
        <f aca="false">((I5724 + G5725) - H5725)</f>
        <v>14711.89</v>
      </c>
      <c r="J5725" s="18" t="n">
        <v>0</v>
      </c>
      <c r="K5725" s="19" t="n">
        <v>0</v>
      </c>
      <c r="L5725" s="17"/>
    </row>
    <row r="5726" s="11" customFormat="true" ht="10.95" hidden="false" customHeight="true" outlineLevel="0" collapsed="false">
      <c r="A5726" s="16" t="n">
        <v>45440</v>
      </c>
      <c r="B5726" s="17" t="s">
        <v>2894</v>
      </c>
      <c r="C5726" s="17" t="s">
        <v>1593</v>
      </c>
      <c r="D5726" s="17" t="s">
        <v>2895</v>
      </c>
      <c r="E5726" s="17" t="s">
        <v>3057</v>
      </c>
      <c r="F5726" s="17" t="s">
        <v>3152</v>
      </c>
      <c r="G5726" s="18" t="n">
        <v>56.04</v>
      </c>
      <c r="H5726" s="18" t="n">
        <v>0</v>
      </c>
      <c r="I5726" s="18" t="n">
        <f aca="false">((I5725 + G5726) - H5726)</f>
        <v>14767.93</v>
      </c>
      <c r="J5726" s="18" t="n">
        <v>0</v>
      </c>
      <c r="K5726" s="19" t="n">
        <v>0</v>
      </c>
      <c r="L5726" s="17"/>
    </row>
    <row r="5727" s="11" customFormat="true" ht="10.95" hidden="false" customHeight="true" outlineLevel="0" collapsed="false">
      <c r="A5727" s="16" t="n">
        <v>45441</v>
      </c>
      <c r="B5727" s="17" t="s">
        <v>2894</v>
      </c>
      <c r="C5727" s="17" t="s">
        <v>1593</v>
      </c>
      <c r="D5727" s="17" t="s">
        <v>2895</v>
      </c>
      <c r="E5727" s="17" t="s">
        <v>3153</v>
      </c>
      <c r="F5727" s="17" t="s">
        <v>3154</v>
      </c>
      <c r="G5727" s="18" t="n">
        <v>336.9</v>
      </c>
      <c r="H5727" s="18" t="n">
        <v>0</v>
      </c>
      <c r="I5727" s="18" t="n">
        <f aca="false">((I5726 + G5727) - H5727)</f>
        <v>15104.83</v>
      </c>
      <c r="J5727" s="18" t="n">
        <v>0</v>
      </c>
      <c r="K5727" s="19" t="n">
        <v>0</v>
      </c>
      <c r="L5727" s="17"/>
    </row>
    <row r="5728" s="11" customFormat="true" ht="10.95" hidden="false" customHeight="true" outlineLevel="0" collapsed="false">
      <c r="A5728" s="16" t="n">
        <v>45441</v>
      </c>
      <c r="B5728" s="17" t="s">
        <v>2894</v>
      </c>
      <c r="C5728" s="17" t="s">
        <v>1593</v>
      </c>
      <c r="D5728" s="17" t="s">
        <v>2895</v>
      </c>
      <c r="E5728" s="17" t="s">
        <v>3155</v>
      </c>
      <c r="F5728" s="17" t="s">
        <v>3156</v>
      </c>
      <c r="G5728" s="18" t="n">
        <v>355.34</v>
      </c>
      <c r="H5728" s="18" t="n">
        <v>0</v>
      </c>
      <c r="I5728" s="18" t="n">
        <f aca="false">((I5727 + G5728) - H5728)</f>
        <v>15460.17</v>
      </c>
      <c r="J5728" s="18" t="n">
        <v>0</v>
      </c>
      <c r="K5728" s="19" t="n">
        <v>0</v>
      </c>
      <c r="L5728" s="17"/>
    </row>
    <row r="5729" s="11" customFormat="true" ht="10.95" hidden="false" customHeight="true" outlineLevel="0" collapsed="false">
      <c r="A5729" s="16" t="n">
        <v>45441</v>
      </c>
      <c r="B5729" s="17" t="s">
        <v>2894</v>
      </c>
      <c r="C5729" s="17" t="s">
        <v>1593</v>
      </c>
      <c r="D5729" s="17" t="s">
        <v>2903</v>
      </c>
      <c r="E5729" s="17" t="s">
        <v>3157</v>
      </c>
      <c r="F5729" s="17" t="s">
        <v>3158</v>
      </c>
      <c r="G5729" s="18" t="n">
        <v>131.11</v>
      </c>
      <c r="H5729" s="18" t="n">
        <v>0</v>
      </c>
      <c r="I5729" s="18" t="n">
        <f aca="false">((I5728 + G5729) - H5729)</f>
        <v>15591.28</v>
      </c>
      <c r="J5729" s="18" t="n">
        <v>0</v>
      </c>
      <c r="K5729" s="19" t="n">
        <v>0</v>
      </c>
      <c r="L5729" s="17"/>
    </row>
    <row r="5730" s="11" customFormat="true" ht="10.95" hidden="false" customHeight="true" outlineLevel="0" collapsed="false">
      <c r="A5730" s="16" t="n">
        <v>45443</v>
      </c>
      <c r="B5730" s="17" t="s">
        <v>2894</v>
      </c>
      <c r="C5730" s="17" t="s">
        <v>1593</v>
      </c>
      <c r="D5730" s="17" t="s">
        <v>2895</v>
      </c>
      <c r="E5730" s="17" t="s">
        <v>2934</v>
      </c>
      <c r="F5730" s="17" t="s">
        <v>3159</v>
      </c>
      <c r="G5730" s="18" t="n">
        <v>50.16</v>
      </c>
      <c r="H5730" s="18" t="n">
        <v>0</v>
      </c>
      <c r="I5730" s="18" t="n">
        <f aca="false">((I5729 + G5730) - H5730)</f>
        <v>15641.44</v>
      </c>
      <c r="J5730" s="18" t="n">
        <v>0</v>
      </c>
      <c r="K5730" s="19" t="n">
        <v>0</v>
      </c>
      <c r="L5730" s="17"/>
    </row>
    <row r="5731" s="11" customFormat="true" ht="10.95" hidden="false" customHeight="true" outlineLevel="0" collapsed="false">
      <c r="A5731" s="16" t="n">
        <v>45444</v>
      </c>
      <c r="B5731" s="17" t="s">
        <v>2894</v>
      </c>
      <c r="C5731" s="17" t="s">
        <v>1593</v>
      </c>
      <c r="D5731" s="17" t="s">
        <v>2895</v>
      </c>
      <c r="E5731" s="17" t="s">
        <v>2896</v>
      </c>
      <c r="F5731" s="17" t="s">
        <v>1376</v>
      </c>
      <c r="G5731" s="18" t="n">
        <v>2.23</v>
      </c>
      <c r="H5731" s="18" t="n">
        <v>0</v>
      </c>
      <c r="I5731" s="18" t="n">
        <f aca="false">((I5730 + G5731) - H5731)</f>
        <v>15643.67</v>
      </c>
      <c r="J5731" s="18" t="n">
        <v>0</v>
      </c>
      <c r="K5731" s="19" t="n">
        <v>0</v>
      </c>
      <c r="L5731" s="17"/>
    </row>
    <row r="5732" s="11" customFormat="true" ht="10.95" hidden="false" customHeight="true" outlineLevel="0" collapsed="false">
      <c r="A5732" s="16" t="n">
        <v>45444</v>
      </c>
      <c r="B5732" s="17" t="s">
        <v>2894</v>
      </c>
      <c r="C5732" s="17" t="s">
        <v>1593</v>
      </c>
      <c r="D5732" s="17" t="s">
        <v>2903</v>
      </c>
      <c r="E5732" s="17" t="s">
        <v>3160</v>
      </c>
      <c r="F5732" s="17" t="s">
        <v>2560</v>
      </c>
      <c r="G5732" s="18" t="n">
        <v>12.4</v>
      </c>
      <c r="H5732" s="18" t="n">
        <v>0</v>
      </c>
      <c r="I5732" s="18" t="n">
        <f aca="false">((I5731 + G5732) - H5732)</f>
        <v>15656.07</v>
      </c>
      <c r="J5732" s="18" t="n">
        <v>0</v>
      </c>
      <c r="K5732" s="19" t="n">
        <v>0</v>
      </c>
      <c r="L5732" s="17"/>
    </row>
    <row r="5733" s="11" customFormat="true" ht="10.95" hidden="false" customHeight="true" outlineLevel="0" collapsed="false">
      <c r="A5733" s="16" t="n">
        <v>45446</v>
      </c>
      <c r="B5733" s="17" t="s">
        <v>2894</v>
      </c>
      <c r="C5733" s="17" t="s">
        <v>1593</v>
      </c>
      <c r="D5733" s="17" t="s">
        <v>2895</v>
      </c>
      <c r="E5733" s="17" t="s">
        <v>2951</v>
      </c>
      <c r="F5733" s="17" t="s">
        <v>3161</v>
      </c>
      <c r="G5733" s="18" t="n">
        <v>63.82</v>
      </c>
      <c r="H5733" s="18" t="n">
        <v>0</v>
      </c>
      <c r="I5733" s="18" t="n">
        <f aca="false">((I5732 + G5733) - H5733)</f>
        <v>15719.89</v>
      </c>
      <c r="J5733" s="18" t="n">
        <v>0</v>
      </c>
      <c r="K5733" s="19" t="n">
        <v>0</v>
      </c>
      <c r="L5733" s="17"/>
    </row>
    <row r="5734" s="11" customFormat="true" ht="10.95" hidden="false" customHeight="true" outlineLevel="0" collapsed="false">
      <c r="A5734" s="16" t="n">
        <v>45446</v>
      </c>
      <c r="B5734" s="17" t="s">
        <v>2894</v>
      </c>
      <c r="C5734" s="17" t="s">
        <v>1593</v>
      </c>
      <c r="D5734" s="17" t="s">
        <v>2895</v>
      </c>
      <c r="E5734" s="17" t="s">
        <v>2951</v>
      </c>
      <c r="F5734" s="17" t="s">
        <v>3162</v>
      </c>
      <c r="G5734" s="18" t="n">
        <v>28.82</v>
      </c>
      <c r="H5734" s="18" t="n">
        <v>0</v>
      </c>
      <c r="I5734" s="18" t="n">
        <f aca="false">((I5733 + G5734) - H5734)</f>
        <v>15748.71</v>
      </c>
      <c r="J5734" s="18" t="n">
        <v>0</v>
      </c>
      <c r="K5734" s="19" t="n">
        <v>0</v>
      </c>
      <c r="L5734" s="17"/>
    </row>
    <row r="5735" s="11" customFormat="true" ht="10.95" hidden="false" customHeight="true" outlineLevel="0" collapsed="false">
      <c r="A5735" s="16" t="n">
        <v>45446</v>
      </c>
      <c r="B5735" s="17" t="s">
        <v>2894</v>
      </c>
      <c r="C5735" s="17" t="s">
        <v>1593</v>
      </c>
      <c r="D5735" s="17" t="s">
        <v>2895</v>
      </c>
      <c r="E5735" s="17" t="s">
        <v>2951</v>
      </c>
      <c r="F5735" s="17" t="s">
        <v>3163</v>
      </c>
      <c r="G5735" s="18" t="n">
        <v>16.95</v>
      </c>
      <c r="H5735" s="18" t="n">
        <v>0</v>
      </c>
      <c r="I5735" s="18" t="n">
        <f aca="false">((I5734 + G5735) - H5735)</f>
        <v>15765.66</v>
      </c>
      <c r="J5735" s="18" t="n">
        <v>0</v>
      </c>
      <c r="K5735" s="19" t="n">
        <v>0</v>
      </c>
      <c r="L5735" s="17"/>
    </row>
    <row r="5736" s="11" customFormat="true" ht="10.95" hidden="false" customHeight="true" outlineLevel="0" collapsed="false">
      <c r="A5736" s="16" t="n">
        <v>45446</v>
      </c>
      <c r="B5736" s="17" t="s">
        <v>2894</v>
      </c>
      <c r="C5736" s="17" t="s">
        <v>1593</v>
      </c>
      <c r="D5736" s="17" t="s">
        <v>2895</v>
      </c>
      <c r="E5736" s="17" t="s">
        <v>2925</v>
      </c>
      <c r="F5736" s="17" t="s">
        <v>3164</v>
      </c>
      <c r="G5736" s="18" t="n">
        <v>2.95</v>
      </c>
      <c r="H5736" s="18" t="n">
        <v>0</v>
      </c>
      <c r="I5736" s="18" t="n">
        <f aca="false">((I5735 + G5736) - H5736)</f>
        <v>15768.61</v>
      </c>
      <c r="J5736" s="18" t="n">
        <v>0</v>
      </c>
      <c r="K5736" s="19" t="n">
        <v>0</v>
      </c>
      <c r="L5736" s="17"/>
    </row>
    <row r="5737" s="11" customFormat="true" ht="10.95" hidden="false" customHeight="true" outlineLevel="0" collapsed="false">
      <c r="A5737" s="16" t="n">
        <v>45446</v>
      </c>
      <c r="B5737" s="17" t="s">
        <v>2894</v>
      </c>
      <c r="C5737" s="17" t="s">
        <v>1593</v>
      </c>
      <c r="D5737" s="17" t="s">
        <v>2903</v>
      </c>
      <c r="E5737" s="17" t="s">
        <v>2963</v>
      </c>
      <c r="F5737" s="17" t="s">
        <v>2739</v>
      </c>
      <c r="G5737" s="18" t="n">
        <v>0</v>
      </c>
      <c r="H5737" s="18" t="n">
        <v>0.21</v>
      </c>
      <c r="I5737" s="18" t="n">
        <f aca="false">((I5736 + G5737) - H5737)</f>
        <v>15768.4</v>
      </c>
      <c r="J5737" s="18" t="n">
        <v>0</v>
      </c>
      <c r="K5737" s="19" t="n">
        <v>0</v>
      </c>
      <c r="L5737" s="17"/>
    </row>
    <row r="5738" s="11" customFormat="true" ht="10.95" hidden="false" customHeight="true" outlineLevel="0" collapsed="false">
      <c r="A5738" s="16" t="n">
        <v>45447</v>
      </c>
      <c r="B5738" s="17" t="s">
        <v>2894</v>
      </c>
      <c r="C5738" s="17" t="s">
        <v>1593</v>
      </c>
      <c r="D5738" s="17" t="s">
        <v>2895</v>
      </c>
      <c r="E5738" s="17" t="s">
        <v>2925</v>
      </c>
      <c r="F5738" s="17" t="s">
        <v>3165</v>
      </c>
      <c r="G5738" s="18" t="n">
        <v>36.51</v>
      </c>
      <c r="H5738" s="18" t="n">
        <v>0</v>
      </c>
      <c r="I5738" s="18" t="n">
        <f aca="false">((I5737 + G5738) - H5738)</f>
        <v>15804.91</v>
      </c>
      <c r="J5738" s="18" t="n">
        <v>0</v>
      </c>
      <c r="K5738" s="19" t="n">
        <v>0</v>
      </c>
      <c r="L5738" s="17"/>
    </row>
    <row r="5739" s="11" customFormat="true" ht="10.95" hidden="false" customHeight="true" outlineLevel="0" collapsed="false">
      <c r="A5739" s="16" t="n">
        <v>45447</v>
      </c>
      <c r="B5739" s="17" t="s">
        <v>2894</v>
      </c>
      <c r="C5739" s="17" t="s">
        <v>1593</v>
      </c>
      <c r="D5739" s="17" t="s">
        <v>2895</v>
      </c>
      <c r="E5739" s="17" t="s">
        <v>2900</v>
      </c>
      <c r="F5739" s="17" t="s">
        <v>3166</v>
      </c>
      <c r="G5739" s="18" t="n">
        <v>1.95</v>
      </c>
      <c r="H5739" s="18" t="n">
        <v>0</v>
      </c>
      <c r="I5739" s="18" t="n">
        <f aca="false">((I5738 + G5739) - H5739)</f>
        <v>15806.86</v>
      </c>
      <c r="J5739" s="18" t="n">
        <v>0</v>
      </c>
      <c r="K5739" s="19" t="n">
        <v>0</v>
      </c>
      <c r="L5739" s="17"/>
    </row>
    <row r="5740" s="11" customFormat="true" ht="10.95" hidden="false" customHeight="true" outlineLevel="0" collapsed="false">
      <c r="A5740" s="16" t="n">
        <v>45447</v>
      </c>
      <c r="B5740" s="17" t="s">
        <v>2894</v>
      </c>
      <c r="C5740" s="17" t="s">
        <v>1593</v>
      </c>
      <c r="D5740" s="17" t="s">
        <v>2895</v>
      </c>
      <c r="E5740" s="17" t="s">
        <v>2900</v>
      </c>
      <c r="F5740" s="17" t="s">
        <v>3167</v>
      </c>
      <c r="G5740" s="18" t="n">
        <v>5.52</v>
      </c>
      <c r="H5740" s="18" t="n">
        <v>0</v>
      </c>
      <c r="I5740" s="18" t="n">
        <f aca="false">((I5739 + G5740) - H5740)</f>
        <v>15812.38</v>
      </c>
      <c r="J5740" s="18" t="n">
        <v>0</v>
      </c>
      <c r="K5740" s="19" t="n">
        <v>0</v>
      </c>
      <c r="L5740" s="17"/>
    </row>
    <row r="5741" s="11" customFormat="true" ht="10.95" hidden="false" customHeight="true" outlineLevel="0" collapsed="false">
      <c r="A5741" s="16" t="n">
        <v>45447</v>
      </c>
      <c r="B5741" s="17" t="s">
        <v>2894</v>
      </c>
      <c r="C5741" s="17" t="s">
        <v>1593</v>
      </c>
      <c r="D5741" s="17" t="s">
        <v>2895</v>
      </c>
      <c r="E5741" s="17" t="s">
        <v>2900</v>
      </c>
      <c r="F5741" s="17" t="s">
        <v>3168</v>
      </c>
      <c r="G5741" s="18" t="n">
        <v>2.48</v>
      </c>
      <c r="H5741" s="18" t="n">
        <v>0</v>
      </c>
      <c r="I5741" s="18" t="n">
        <f aca="false">((I5740 + G5741) - H5741)</f>
        <v>15814.86</v>
      </c>
      <c r="J5741" s="18" t="n">
        <v>0</v>
      </c>
      <c r="K5741" s="19" t="n">
        <v>0</v>
      </c>
      <c r="L5741" s="17"/>
    </row>
    <row r="5742" s="11" customFormat="true" ht="10.95" hidden="false" customHeight="true" outlineLevel="0" collapsed="false">
      <c r="A5742" s="16" t="n">
        <v>45447</v>
      </c>
      <c r="B5742" s="17" t="s">
        <v>2894</v>
      </c>
      <c r="C5742" s="17" t="s">
        <v>1593</v>
      </c>
      <c r="D5742" s="17" t="s">
        <v>2895</v>
      </c>
      <c r="E5742" s="17" t="s">
        <v>2900</v>
      </c>
      <c r="F5742" s="17" t="s">
        <v>3169</v>
      </c>
      <c r="G5742" s="18" t="n">
        <v>0.33</v>
      </c>
      <c r="H5742" s="18" t="n">
        <v>0</v>
      </c>
      <c r="I5742" s="18" t="n">
        <f aca="false">((I5741 + G5742) - H5742)</f>
        <v>15815.19</v>
      </c>
      <c r="J5742" s="18" t="n">
        <v>0</v>
      </c>
      <c r="K5742" s="19" t="n">
        <v>0</v>
      </c>
      <c r="L5742" s="17"/>
    </row>
    <row r="5743" s="11" customFormat="true" ht="10.95" hidden="false" customHeight="true" outlineLevel="0" collapsed="false">
      <c r="A5743" s="16" t="n">
        <v>45447</v>
      </c>
      <c r="B5743" s="17" t="s">
        <v>2894</v>
      </c>
      <c r="C5743" s="17" t="s">
        <v>1593</v>
      </c>
      <c r="D5743" s="17" t="s">
        <v>2895</v>
      </c>
      <c r="E5743" s="17" t="s">
        <v>2898</v>
      </c>
      <c r="F5743" s="17" t="s">
        <v>3170</v>
      </c>
      <c r="G5743" s="18" t="n">
        <v>22.66</v>
      </c>
      <c r="H5743" s="18" t="n">
        <v>0</v>
      </c>
      <c r="I5743" s="18" t="n">
        <f aca="false">((I5742 + G5743) - H5743)</f>
        <v>15837.85</v>
      </c>
      <c r="J5743" s="18" t="n">
        <v>0</v>
      </c>
      <c r="K5743" s="19" t="n">
        <v>0</v>
      </c>
      <c r="L5743" s="17"/>
    </row>
    <row r="5744" s="11" customFormat="true" ht="10.95" hidden="false" customHeight="true" outlineLevel="0" collapsed="false">
      <c r="A5744" s="16" t="n">
        <v>45447</v>
      </c>
      <c r="B5744" s="17" t="s">
        <v>2894</v>
      </c>
      <c r="C5744" s="17" t="s">
        <v>1593</v>
      </c>
      <c r="D5744" s="17" t="s">
        <v>2903</v>
      </c>
      <c r="E5744" s="17" t="s">
        <v>2969</v>
      </c>
      <c r="F5744" s="17" t="s">
        <v>1573</v>
      </c>
      <c r="G5744" s="18" t="n">
        <v>1.31</v>
      </c>
      <c r="H5744" s="18" t="n">
        <v>0</v>
      </c>
      <c r="I5744" s="18" t="n">
        <f aca="false">((I5743 + G5744) - H5744)</f>
        <v>15839.16</v>
      </c>
      <c r="J5744" s="18" t="n">
        <v>0</v>
      </c>
      <c r="K5744" s="19" t="n">
        <v>0</v>
      </c>
      <c r="L5744" s="17"/>
    </row>
    <row r="5745" s="11" customFormat="true" ht="10.95" hidden="false" customHeight="true" outlineLevel="0" collapsed="false">
      <c r="A5745" s="16" t="n">
        <v>45448</v>
      </c>
      <c r="B5745" s="17" t="s">
        <v>2894</v>
      </c>
      <c r="C5745" s="17" t="s">
        <v>1593</v>
      </c>
      <c r="D5745" s="17" t="s">
        <v>2895</v>
      </c>
      <c r="E5745" s="17" t="s">
        <v>2947</v>
      </c>
      <c r="F5745" s="17" t="s">
        <v>3171</v>
      </c>
      <c r="G5745" s="18" t="n">
        <v>162.35</v>
      </c>
      <c r="H5745" s="18" t="n">
        <v>0</v>
      </c>
      <c r="I5745" s="18" t="n">
        <f aca="false">((I5744 + G5745) - H5745)</f>
        <v>16001.51</v>
      </c>
      <c r="J5745" s="18" t="n">
        <v>0</v>
      </c>
      <c r="K5745" s="19" t="n">
        <v>0</v>
      </c>
      <c r="L5745" s="17"/>
    </row>
    <row r="5746" s="11" customFormat="true" ht="10.95" hidden="false" customHeight="true" outlineLevel="0" collapsed="false">
      <c r="A5746" s="16" t="n">
        <v>45448</v>
      </c>
      <c r="B5746" s="17" t="s">
        <v>2894</v>
      </c>
      <c r="C5746" s="17" t="s">
        <v>1593</v>
      </c>
      <c r="D5746" s="17" t="s">
        <v>2903</v>
      </c>
      <c r="E5746" s="17" t="s">
        <v>2904</v>
      </c>
      <c r="F5746" s="17" t="s">
        <v>1569</v>
      </c>
      <c r="G5746" s="18" t="n">
        <v>9.71</v>
      </c>
      <c r="H5746" s="18" t="n">
        <v>0</v>
      </c>
      <c r="I5746" s="18" t="n">
        <f aca="false">((I5745 + G5746) - H5746)</f>
        <v>16011.22</v>
      </c>
      <c r="J5746" s="18" t="n">
        <v>0</v>
      </c>
      <c r="K5746" s="19" t="n">
        <v>0</v>
      </c>
      <c r="L5746" s="17"/>
    </row>
    <row r="5747" s="11" customFormat="true" ht="10.95" hidden="false" customHeight="true" outlineLevel="0" collapsed="false">
      <c r="A5747" s="16" t="n">
        <v>45449</v>
      </c>
      <c r="B5747" s="17" t="s">
        <v>2894</v>
      </c>
      <c r="C5747" s="17" t="s">
        <v>1593</v>
      </c>
      <c r="D5747" s="17" t="s">
        <v>2895</v>
      </c>
      <c r="E5747" s="17" t="s">
        <v>2922</v>
      </c>
      <c r="F5747" s="17" t="s">
        <v>3172</v>
      </c>
      <c r="G5747" s="18" t="n">
        <v>284.68</v>
      </c>
      <c r="H5747" s="18" t="n">
        <v>0</v>
      </c>
      <c r="I5747" s="18" t="n">
        <f aca="false">((I5746 + G5747) - H5747)</f>
        <v>16295.9</v>
      </c>
      <c r="J5747" s="18" t="n">
        <v>0</v>
      </c>
      <c r="K5747" s="19" t="n">
        <v>0</v>
      </c>
      <c r="L5747" s="17"/>
    </row>
    <row r="5748" s="11" customFormat="true" ht="10.95" hidden="false" customHeight="true" outlineLevel="0" collapsed="false">
      <c r="A5748" s="16" t="n">
        <v>45450</v>
      </c>
      <c r="B5748" s="17" t="s">
        <v>2894</v>
      </c>
      <c r="C5748" s="17" t="s">
        <v>1593</v>
      </c>
      <c r="D5748" s="17" t="s">
        <v>2903</v>
      </c>
      <c r="E5748" s="17" t="s">
        <v>2909</v>
      </c>
      <c r="F5748" s="17" t="s">
        <v>1595</v>
      </c>
      <c r="G5748" s="18" t="n">
        <v>30.31</v>
      </c>
      <c r="H5748" s="18" t="n">
        <v>0</v>
      </c>
      <c r="I5748" s="18" t="n">
        <f aca="false">((I5747 + G5748) - H5748)</f>
        <v>16326.21</v>
      </c>
      <c r="J5748" s="18" t="n">
        <v>0</v>
      </c>
      <c r="K5748" s="19" t="n">
        <v>0</v>
      </c>
      <c r="L5748" s="17"/>
    </row>
    <row r="5749" s="11" customFormat="true" ht="10.95" hidden="false" customHeight="true" outlineLevel="0" collapsed="false">
      <c r="A5749" s="16" t="n">
        <v>45455</v>
      </c>
      <c r="B5749" s="17" t="s">
        <v>2894</v>
      </c>
      <c r="C5749" s="17" t="s">
        <v>1593</v>
      </c>
      <c r="D5749" s="17" t="s">
        <v>2895</v>
      </c>
      <c r="E5749" s="17" t="s">
        <v>2906</v>
      </c>
      <c r="F5749" s="17" t="s">
        <v>3173</v>
      </c>
      <c r="G5749" s="18" t="n">
        <v>40.17</v>
      </c>
      <c r="H5749" s="18" t="n">
        <v>0</v>
      </c>
      <c r="I5749" s="18" t="n">
        <f aca="false">((I5748 + G5749) - H5749)</f>
        <v>16366.38</v>
      </c>
      <c r="J5749" s="18" t="n">
        <v>0</v>
      </c>
      <c r="K5749" s="19" t="n">
        <v>0</v>
      </c>
      <c r="L5749" s="17"/>
    </row>
    <row r="5750" s="11" customFormat="true" ht="10.95" hidden="false" customHeight="true" outlineLevel="0" collapsed="false">
      <c r="A5750" s="16" t="n">
        <v>45455</v>
      </c>
      <c r="B5750" s="17" t="s">
        <v>2894</v>
      </c>
      <c r="C5750" s="17" t="s">
        <v>1593</v>
      </c>
      <c r="D5750" s="17" t="s">
        <v>2903</v>
      </c>
      <c r="E5750" s="17" t="s">
        <v>2908</v>
      </c>
      <c r="F5750" s="17" t="s">
        <v>2563</v>
      </c>
      <c r="G5750" s="18" t="n">
        <v>0</v>
      </c>
      <c r="H5750" s="18" t="n">
        <v>8.8</v>
      </c>
      <c r="I5750" s="18" t="n">
        <f aca="false">((I5749 + G5750) - H5750)</f>
        <v>16357.58</v>
      </c>
      <c r="J5750" s="18" t="n">
        <v>0</v>
      </c>
      <c r="K5750" s="19" t="n">
        <v>0</v>
      </c>
      <c r="L5750" s="17"/>
    </row>
    <row r="5751" s="11" customFormat="true" ht="10.95" hidden="false" customHeight="true" outlineLevel="0" collapsed="false">
      <c r="A5751" s="16" t="n">
        <v>45460</v>
      </c>
      <c r="B5751" s="17" t="s">
        <v>2894</v>
      </c>
      <c r="C5751" s="17" t="s">
        <v>1593</v>
      </c>
      <c r="D5751" s="17" t="s">
        <v>2895</v>
      </c>
      <c r="E5751" s="17" t="s">
        <v>2934</v>
      </c>
      <c r="F5751" s="17" t="s">
        <v>3174</v>
      </c>
      <c r="G5751" s="18" t="n">
        <v>28.09</v>
      </c>
      <c r="H5751" s="18" t="n">
        <v>0</v>
      </c>
      <c r="I5751" s="18" t="n">
        <f aca="false">((I5750 + G5751) - H5751)</f>
        <v>16385.67</v>
      </c>
      <c r="J5751" s="18" t="n">
        <v>0</v>
      </c>
      <c r="K5751" s="19" t="n">
        <v>0</v>
      </c>
      <c r="L5751" s="17"/>
    </row>
    <row r="5752" s="11" customFormat="true" ht="10.95" hidden="false" customHeight="true" outlineLevel="0" collapsed="false">
      <c r="A5752" s="16" t="n">
        <v>45460</v>
      </c>
      <c r="B5752" s="17" t="s">
        <v>2894</v>
      </c>
      <c r="C5752" s="17" t="s">
        <v>1593</v>
      </c>
      <c r="D5752" s="17" t="s">
        <v>2895</v>
      </c>
      <c r="E5752" s="17" t="s">
        <v>2934</v>
      </c>
      <c r="F5752" s="17" t="s">
        <v>3175</v>
      </c>
      <c r="G5752" s="18" t="n">
        <v>162.3</v>
      </c>
      <c r="H5752" s="18" t="n">
        <v>0</v>
      </c>
      <c r="I5752" s="18" t="n">
        <f aca="false">((I5751 + G5752) - H5752)</f>
        <v>16547.97</v>
      </c>
      <c r="J5752" s="18" t="n">
        <v>0</v>
      </c>
      <c r="K5752" s="19" t="n">
        <v>0</v>
      </c>
      <c r="L5752" s="17"/>
    </row>
    <row r="5753" s="11" customFormat="true" ht="10.95" hidden="false" customHeight="true" outlineLevel="0" collapsed="false">
      <c r="A5753" s="16" t="n">
        <v>45460</v>
      </c>
      <c r="B5753" s="17" t="s">
        <v>2894</v>
      </c>
      <c r="C5753" s="17" t="s">
        <v>1593</v>
      </c>
      <c r="D5753" s="17" t="s">
        <v>2895</v>
      </c>
      <c r="E5753" s="17" t="s">
        <v>2964</v>
      </c>
      <c r="F5753" s="17" t="s">
        <v>3176</v>
      </c>
      <c r="G5753" s="18" t="n">
        <v>61.04</v>
      </c>
      <c r="H5753" s="18" t="n">
        <v>0</v>
      </c>
      <c r="I5753" s="18" t="n">
        <f aca="false">((I5752 + G5753) - H5753)</f>
        <v>16609.01</v>
      </c>
      <c r="J5753" s="18" t="n">
        <v>0</v>
      </c>
      <c r="K5753" s="19" t="n">
        <v>0</v>
      </c>
      <c r="L5753" s="17"/>
    </row>
    <row r="5754" s="11" customFormat="true" ht="10.95" hidden="false" customHeight="true" outlineLevel="0" collapsed="false">
      <c r="A5754" s="16" t="n">
        <v>45460</v>
      </c>
      <c r="B5754" s="17" t="s">
        <v>2894</v>
      </c>
      <c r="C5754" s="17" t="s">
        <v>1593</v>
      </c>
      <c r="D5754" s="17" t="s">
        <v>2895</v>
      </c>
      <c r="E5754" s="17" t="s">
        <v>2964</v>
      </c>
      <c r="F5754" s="17" t="s">
        <v>3177</v>
      </c>
      <c r="G5754" s="18" t="n">
        <v>305.17</v>
      </c>
      <c r="H5754" s="18" t="n">
        <v>0</v>
      </c>
      <c r="I5754" s="18" t="n">
        <f aca="false">((I5753 + G5754) - H5754)</f>
        <v>16914.18</v>
      </c>
      <c r="J5754" s="18" t="n">
        <v>0</v>
      </c>
      <c r="K5754" s="19" t="n">
        <v>0</v>
      </c>
      <c r="L5754" s="17"/>
    </row>
    <row r="5755" s="11" customFormat="true" ht="10.95" hidden="false" customHeight="true" outlineLevel="0" collapsed="false">
      <c r="A5755" s="16" t="n">
        <v>45464</v>
      </c>
      <c r="B5755" s="17" t="s">
        <v>2894</v>
      </c>
      <c r="C5755" s="17" t="s">
        <v>1593</v>
      </c>
      <c r="D5755" s="17" t="s">
        <v>2895</v>
      </c>
      <c r="E5755" s="17" t="s">
        <v>2900</v>
      </c>
      <c r="F5755" s="17" t="s">
        <v>3178</v>
      </c>
      <c r="G5755" s="18" t="n">
        <v>51.74</v>
      </c>
      <c r="H5755" s="18" t="n">
        <v>0</v>
      </c>
      <c r="I5755" s="18" t="n">
        <f aca="false">((I5754 + G5755) - H5755)</f>
        <v>16965.92</v>
      </c>
      <c r="J5755" s="18" t="n">
        <v>0</v>
      </c>
      <c r="K5755" s="19" t="n">
        <v>0</v>
      </c>
      <c r="L5755" s="17"/>
    </row>
    <row r="5756" s="11" customFormat="true" ht="10.95" hidden="false" customHeight="true" outlineLevel="0" collapsed="false">
      <c r="A5756" s="16" t="n">
        <v>45464</v>
      </c>
      <c r="B5756" s="17" t="s">
        <v>2894</v>
      </c>
      <c r="C5756" s="17" t="s">
        <v>1593</v>
      </c>
      <c r="D5756" s="17" t="s">
        <v>2895</v>
      </c>
      <c r="E5756" s="17" t="s">
        <v>2900</v>
      </c>
      <c r="F5756" s="17" t="s">
        <v>3179</v>
      </c>
      <c r="G5756" s="18" t="n">
        <v>21.38</v>
      </c>
      <c r="H5756" s="18" t="n">
        <v>0</v>
      </c>
      <c r="I5756" s="18" t="n">
        <f aca="false">((I5755 + G5756) - H5756)</f>
        <v>16987.3</v>
      </c>
      <c r="J5756" s="18" t="n">
        <v>0</v>
      </c>
      <c r="K5756" s="19" t="n">
        <v>0</v>
      </c>
      <c r="L5756" s="17"/>
    </row>
    <row r="5757" s="11" customFormat="true" ht="10.95" hidden="false" customHeight="true" outlineLevel="0" collapsed="false">
      <c r="A5757" s="16" t="n">
        <v>45464</v>
      </c>
      <c r="B5757" s="17" t="s">
        <v>2894</v>
      </c>
      <c r="C5757" s="17" t="s">
        <v>1593</v>
      </c>
      <c r="D5757" s="17" t="s">
        <v>2895</v>
      </c>
      <c r="E5757" s="17" t="s">
        <v>2900</v>
      </c>
      <c r="F5757" s="17" t="s">
        <v>3180</v>
      </c>
      <c r="G5757" s="18" t="n">
        <v>2.16</v>
      </c>
      <c r="H5757" s="18" t="n">
        <v>0</v>
      </c>
      <c r="I5757" s="18" t="n">
        <f aca="false">((I5756 + G5757) - H5757)</f>
        <v>16989.46</v>
      </c>
      <c r="J5757" s="18" t="n">
        <v>0</v>
      </c>
      <c r="K5757" s="19" t="n">
        <v>0</v>
      </c>
      <c r="L5757" s="17"/>
    </row>
    <row r="5758" s="11" customFormat="true" ht="10.95" hidden="false" customHeight="true" outlineLevel="0" collapsed="false">
      <c r="A5758" s="16" t="n">
        <v>45467</v>
      </c>
      <c r="B5758" s="17" t="s">
        <v>2894</v>
      </c>
      <c r="C5758" s="17" t="s">
        <v>1593</v>
      </c>
      <c r="D5758" s="17" t="s">
        <v>2895</v>
      </c>
      <c r="E5758" s="17" t="s">
        <v>3088</v>
      </c>
      <c r="F5758" s="17" t="s">
        <v>3181</v>
      </c>
      <c r="G5758" s="18" t="n">
        <v>7.21</v>
      </c>
      <c r="H5758" s="18" t="n">
        <v>0</v>
      </c>
      <c r="I5758" s="18" t="n">
        <f aca="false">((I5757 + G5758) - H5758)</f>
        <v>16996.67</v>
      </c>
      <c r="J5758" s="18" t="n">
        <v>0</v>
      </c>
      <c r="K5758" s="19" t="n">
        <v>0</v>
      </c>
      <c r="L5758" s="17"/>
    </row>
    <row r="5759" s="11" customFormat="true" ht="10.95" hidden="false" customHeight="true" outlineLevel="0" collapsed="false">
      <c r="A5759" s="16" t="n">
        <v>45467</v>
      </c>
      <c r="B5759" s="17" t="s">
        <v>2894</v>
      </c>
      <c r="C5759" s="17" t="s">
        <v>1593</v>
      </c>
      <c r="D5759" s="17" t="s">
        <v>2903</v>
      </c>
      <c r="E5759" s="17" t="s">
        <v>3035</v>
      </c>
      <c r="F5759" s="17" t="s">
        <v>3182</v>
      </c>
      <c r="G5759" s="18" t="n">
        <v>0</v>
      </c>
      <c r="H5759" s="18" t="n">
        <v>4.37</v>
      </c>
      <c r="I5759" s="18" t="n">
        <f aca="false">((I5758 + G5759) - H5759)</f>
        <v>16992.3</v>
      </c>
      <c r="J5759" s="18" t="n">
        <v>0</v>
      </c>
      <c r="K5759" s="19" t="n">
        <v>0</v>
      </c>
      <c r="L5759" s="17"/>
    </row>
    <row r="5760" s="11" customFormat="true" ht="10.95" hidden="false" customHeight="true" outlineLevel="0" collapsed="false">
      <c r="A5760" s="16" t="n">
        <v>45470</v>
      </c>
      <c r="B5760" s="17" t="s">
        <v>2894</v>
      </c>
      <c r="C5760" s="17" t="s">
        <v>1593</v>
      </c>
      <c r="D5760" s="17" t="s">
        <v>2895</v>
      </c>
      <c r="E5760" s="17" t="s">
        <v>3127</v>
      </c>
      <c r="F5760" s="17" t="s">
        <v>1382</v>
      </c>
      <c r="G5760" s="18" t="n">
        <v>29.8</v>
      </c>
      <c r="H5760" s="18" t="n">
        <v>0</v>
      </c>
      <c r="I5760" s="18" t="n">
        <f aca="false">((I5759 + G5760) - H5760)</f>
        <v>17022.1</v>
      </c>
      <c r="J5760" s="18" t="n">
        <v>0</v>
      </c>
      <c r="K5760" s="19" t="n">
        <v>0</v>
      </c>
      <c r="L5760" s="17"/>
    </row>
    <row r="5761" s="11" customFormat="true" ht="10.95" hidden="false" customHeight="true" outlineLevel="0" collapsed="false">
      <c r="A5761" s="16" t="n">
        <v>45473</v>
      </c>
      <c r="B5761" s="17" t="s">
        <v>2894</v>
      </c>
      <c r="C5761" s="17" t="s">
        <v>1593</v>
      </c>
      <c r="D5761" s="17" t="s">
        <v>2895</v>
      </c>
      <c r="E5761" s="17" t="s">
        <v>2964</v>
      </c>
      <c r="F5761" s="17" t="s">
        <v>1384</v>
      </c>
      <c r="G5761" s="18" t="n">
        <v>16.38</v>
      </c>
      <c r="H5761" s="18" t="n">
        <v>0</v>
      </c>
      <c r="I5761" s="18" t="n">
        <f aca="false">((I5760 + G5761) - H5761)</f>
        <v>17038.48</v>
      </c>
      <c r="J5761" s="18" t="n">
        <v>0</v>
      </c>
      <c r="K5761" s="19" t="n">
        <v>0</v>
      </c>
      <c r="L5761" s="17"/>
    </row>
    <row r="5762" s="11" customFormat="true" ht="10.95" hidden="false" customHeight="true" outlineLevel="0" collapsed="false">
      <c r="A5762" s="16" t="n">
        <v>45473</v>
      </c>
      <c r="B5762" s="17" t="s">
        <v>2894</v>
      </c>
      <c r="C5762" s="17" t="s">
        <v>1593</v>
      </c>
      <c r="D5762" s="17" t="s">
        <v>2895</v>
      </c>
      <c r="E5762" s="17" t="s">
        <v>2964</v>
      </c>
      <c r="F5762" s="17" t="s">
        <v>1386</v>
      </c>
      <c r="G5762" s="18" t="n">
        <v>9.63</v>
      </c>
      <c r="H5762" s="18" t="n">
        <v>0</v>
      </c>
      <c r="I5762" s="18" t="n">
        <f aca="false">((I5761 + G5762) - H5762)</f>
        <v>17048.11</v>
      </c>
      <c r="J5762" s="18" t="n">
        <v>0</v>
      </c>
      <c r="K5762" s="19" t="n">
        <v>0</v>
      </c>
      <c r="L5762" s="17"/>
    </row>
    <row r="5763" s="11" customFormat="true" ht="10.95" hidden="false" customHeight="true" outlineLevel="0" collapsed="false">
      <c r="A5763" s="16" t="n">
        <v>45473</v>
      </c>
      <c r="B5763" s="17" t="s">
        <v>2894</v>
      </c>
      <c r="C5763" s="17" t="s">
        <v>1593</v>
      </c>
      <c r="D5763" s="17" t="s">
        <v>1396</v>
      </c>
      <c r="E5763" s="17" t="s">
        <v>1771</v>
      </c>
      <c r="F5763" s="17" t="s">
        <v>1772</v>
      </c>
      <c r="G5763" s="18" t="n">
        <v>0.2</v>
      </c>
      <c r="H5763" s="18" t="n">
        <v>0</v>
      </c>
      <c r="I5763" s="18" t="n">
        <f aca="false">((I5762 + G5763) - H5763)</f>
        <v>17048.31</v>
      </c>
      <c r="J5763" s="18" t="n">
        <v>0</v>
      </c>
      <c r="K5763" s="19" t="n">
        <v>0</v>
      </c>
      <c r="L5763" s="17" t="s">
        <v>1399</v>
      </c>
    </row>
    <row r="5764" s="11" customFormat="true" ht="10.95" hidden="false" customHeight="true" outlineLevel="0" collapsed="false">
      <c r="A5764" s="16" t="n">
        <v>45473</v>
      </c>
      <c r="B5764" s="17" t="s">
        <v>2894</v>
      </c>
      <c r="C5764" s="17" t="s">
        <v>1593</v>
      </c>
      <c r="D5764" s="17" t="s">
        <v>1396</v>
      </c>
      <c r="E5764" s="17" t="s">
        <v>1588</v>
      </c>
      <c r="F5764" s="17" t="s">
        <v>1589</v>
      </c>
      <c r="G5764" s="18" t="n">
        <v>6.86</v>
      </c>
      <c r="H5764" s="18" t="n">
        <v>0</v>
      </c>
      <c r="I5764" s="18" t="n">
        <f aca="false">((I5763 + G5764) - H5764)</f>
        <v>17055.17</v>
      </c>
      <c r="J5764" s="18" t="n">
        <v>0</v>
      </c>
      <c r="K5764" s="19" t="n">
        <v>0</v>
      </c>
      <c r="L5764" s="17" t="s">
        <v>1399</v>
      </c>
    </row>
    <row r="5765" s="11" customFormat="true" ht="10.95" hidden="false" customHeight="true" outlineLevel="0" collapsed="false">
      <c r="A5765" s="21" t="s">
        <v>3183</v>
      </c>
      <c r="B5765" s="21"/>
      <c r="C5765" s="21"/>
      <c r="D5765" s="21"/>
      <c r="E5765" s="21"/>
      <c r="F5765" s="21"/>
      <c r="G5765" s="22" t="n">
        <f aca="false">SUM(G5423:G5764)</f>
        <v>17963.55</v>
      </c>
      <c r="H5765" s="22" t="n">
        <f aca="false">SUM(H5423:H5764)</f>
        <v>908.38</v>
      </c>
      <c r="I5765" s="22" t="n">
        <f aca="false">I5764</f>
        <v>17055.17</v>
      </c>
      <c r="J5765" s="22" t="n">
        <f aca="false">SUM(J5423:J5764)</f>
        <v>0</v>
      </c>
      <c r="K5765" s="21"/>
      <c r="L5765" s="21"/>
    </row>
    <row r="5766" s="11" customFormat="true" ht="10.95" hidden="false" customHeight="true" outlineLevel="0" collapsed="false">
      <c r="A5766" s="21" t="s">
        <v>784</v>
      </c>
      <c r="B5766" s="21"/>
      <c r="C5766" s="21"/>
      <c r="D5766" s="21"/>
      <c r="E5766" s="21"/>
      <c r="F5766" s="21"/>
      <c r="G5766" s="22" t="n">
        <v>17055.17</v>
      </c>
      <c r="H5766" s="22" t="n">
        <v>0</v>
      </c>
      <c r="I5766" s="22" t="n">
        <v>0</v>
      </c>
      <c r="J5766" s="22" t="n">
        <v>0</v>
      </c>
      <c r="K5766" s="21"/>
      <c r="L5766" s="21"/>
    </row>
    <row r="5767" s="11" customFormat="true" ht="10.95" hidden="false" customHeight="true" outlineLevel="0" collapsed="false">
      <c r="A5767" s="9" t="s">
        <v>785</v>
      </c>
      <c r="B5767" s="9"/>
      <c r="C5767" s="9"/>
      <c r="D5767" s="9"/>
      <c r="E5767" s="9"/>
      <c r="F5767" s="9"/>
      <c r="G5767" s="10" t="n">
        <v>17055.17</v>
      </c>
      <c r="H5767" s="10" t="n">
        <v>0</v>
      </c>
      <c r="I5767" s="10" t="n">
        <f aca="false">I5764</f>
        <v>17055.17</v>
      </c>
      <c r="J5767" s="10" t="n">
        <v>0</v>
      </c>
      <c r="K5767" s="9"/>
      <c r="L5767" s="9"/>
    </row>
    <row r="5768" customFormat="false" ht="13.35" hidden="false" customHeight="true" outlineLevel="0" collapsed="false"/>
    <row r="5769" s="7" customFormat="true" ht="12.1" hidden="false" customHeight="true" outlineLevel="0" collapsed="false">
      <c r="A5769" s="8" t="s">
        <v>3184</v>
      </c>
      <c r="B5769" s="8"/>
      <c r="C5769" s="8"/>
      <c r="D5769" s="8"/>
      <c r="E5769" s="8"/>
      <c r="F5769" s="8"/>
      <c r="G5769" s="8"/>
      <c r="H5769" s="8"/>
      <c r="I5769" s="8"/>
      <c r="J5769" s="8"/>
      <c r="K5769" s="8"/>
      <c r="L5769" s="8"/>
    </row>
    <row r="5770" s="11" customFormat="true" ht="10.95" hidden="false" customHeight="true" outlineLevel="0" collapsed="false">
      <c r="A5770" s="9" t="s">
        <v>16</v>
      </c>
      <c r="B5770" s="9"/>
      <c r="C5770" s="9"/>
      <c r="D5770" s="9"/>
      <c r="E5770" s="9"/>
      <c r="F5770" s="9"/>
      <c r="G5770" s="10" t="n">
        <v>0</v>
      </c>
      <c r="H5770" s="10" t="n">
        <v>0</v>
      </c>
      <c r="I5770" s="10" t="n">
        <f aca="false">(G5770 - H5770)</f>
        <v>0</v>
      </c>
      <c r="J5770" s="10" t="n">
        <v>0</v>
      </c>
      <c r="K5770" s="9"/>
      <c r="L5770" s="9"/>
    </row>
    <row r="5771" s="11" customFormat="true" ht="10.95" hidden="false" customHeight="true" outlineLevel="0" collapsed="false">
      <c r="A5771" s="12" t="n">
        <v>45124</v>
      </c>
      <c r="B5771" s="13" t="s">
        <v>3185</v>
      </c>
      <c r="C5771" s="13" t="s">
        <v>1390</v>
      </c>
      <c r="D5771" s="13" t="s">
        <v>1391</v>
      </c>
      <c r="E5771" s="13" t="s">
        <v>3186</v>
      </c>
      <c r="F5771" s="13" t="s">
        <v>3187</v>
      </c>
      <c r="G5771" s="14" t="n">
        <v>199</v>
      </c>
      <c r="H5771" s="14" t="n">
        <v>0</v>
      </c>
      <c r="I5771" s="14" t="n">
        <f aca="false">((I5770 + G5771) - H5771)</f>
        <v>199</v>
      </c>
      <c r="J5771" s="14" t="n">
        <v>19.9</v>
      </c>
      <c r="K5771" s="15" t="n">
        <v>10</v>
      </c>
      <c r="L5771" s="13" t="s">
        <v>44</v>
      </c>
    </row>
    <row r="5772" s="11" customFormat="true" ht="10.95" hidden="false" customHeight="true" outlineLevel="0" collapsed="false">
      <c r="A5772" s="16" t="n">
        <v>45139</v>
      </c>
      <c r="B5772" s="17" t="s">
        <v>3185</v>
      </c>
      <c r="C5772" s="17" t="s">
        <v>1390</v>
      </c>
      <c r="D5772" s="17" t="s">
        <v>1407</v>
      </c>
      <c r="E5772" s="17" t="s">
        <v>3188</v>
      </c>
      <c r="F5772" s="17"/>
      <c r="G5772" s="18" t="n">
        <v>466.22</v>
      </c>
      <c r="H5772" s="18" t="n">
        <v>0</v>
      </c>
      <c r="I5772" s="18" t="n">
        <f aca="false">((I5771 + G5772) - H5772)</f>
        <v>665.22</v>
      </c>
      <c r="J5772" s="18" t="n">
        <v>46.62</v>
      </c>
      <c r="K5772" s="19" t="n">
        <v>10</v>
      </c>
      <c r="L5772" s="17" t="s">
        <v>44</v>
      </c>
    </row>
    <row r="5773" s="11" customFormat="true" ht="10.95" hidden="false" customHeight="true" outlineLevel="0" collapsed="false">
      <c r="A5773" s="16" t="n">
        <v>45163</v>
      </c>
      <c r="B5773" s="17" t="s">
        <v>3185</v>
      </c>
      <c r="C5773" s="17" t="s">
        <v>1390</v>
      </c>
      <c r="D5773" s="17" t="s">
        <v>1391</v>
      </c>
      <c r="E5773" s="17" t="s">
        <v>3189</v>
      </c>
      <c r="F5773" s="17" t="s">
        <v>3190</v>
      </c>
      <c r="G5773" s="18" t="n">
        <v>21288.18</v>
      </c>
      <c r="H5773" s="18" t="n">
        <v>0</v>
      </c>
      <c r="I5773" s="18" t="n">
        <f aca="false">((I5772 + G5773) - H5773)</f>
        <v>21953.4</v>
      </c>
      <c r="J5773" s="18" t="n">
        <v>2128.82</v>
      </c>
      <c r="K5773" s="19" t="n">
        <v>10</v>
      </c>
      <c r="L5773" s="17" t="s">
        <v>44</v>
      </c>
    </row>
    <row r="5774" s="11" customFormat="true" ht="10.95" hidden="false" customHeight="true" outlineLevel="0" collapsed="false">
      <c r="A5774" s="16" t="n">
        <v>45170</v>
      </c>
      <c r="B5774" s="17" t="s">
        <v>3185</v>
      </c>
      <c r="C5774" s="17" t="s">
        <v>1390</v>
      </c>
      <c r="D5774" s="17" t="s">
        <v>1407</v>
      </c>
      <c r="E5774" s="17" t="s">
        <v>3191</v>
      </c>
      <c r="F5774" s="17"/>
      <c r="G5774" s="18" t="n">
        <v>4554.81</v>
      </c>
      <c r="H5774" s="18" t="n">
        <v>0</v>
      </c>
      <c r="I5774" s="18" t="n">
        <f aca="false">((I5773 + G5774) - H5774)</f>
        <v>26508.21</v>
      </c>
      <c r="J5774" s="18" t="n">
        <v>455.48</v>
      </c>
      <c r="K5774" s="19" t="n">
        <v>10</v>
      </c>
      <c r="L5774" s="17" t="s">
        <v>44</v>
      </c>
    </row>
    <row r="5775" s="11" customFormat="true" ht="10.95" hidden="false" customHeight="true" outlineLevel="0" collapsed="false">
      <c r="A5775" s="16" t="n">
        <v>45225</v>
      </c>
      <c r="B5775" s="17" t="s">
        <v>3185</v>
      </c>
      <c r="C5775" s="17" t="s">
        <v>1390</v>
      </c>
      <c r="D5775" s="17" t="s">
        <v>1391</v>
      </c>
      <c r="E5775" s="17" t="s">
        <v>3192</v>
      </c>
      <c r="F5775" s="17" t="s">
        <v>3193</v>
      </c>
      <c r="G5775" s="18" t="n">
        <v>8154.73</v>
      </c>
      <c r="H5775" s="18" t="n">
        <v>0</v>
      </c>
      <c r="I5775" s="18" t="n">
        <f aca="false">((I5774 + G5775) - H5775)</f>
        <v>34662.94</v>
      </c>
      <c r="J5775" s="18" t="n">
        <v>815.47</v>
      </c>
      <c r="K5775" s="19" t="n">
        <v>10</v>
      </c>
      <c r="L5775" s="17" t="s">
        <v>44</v>
      </c>
    </row>
    <row r="5776" s="11" customFormat="true" ht="10.95" hidden="false" customHeight="true" outlineLevel="0" collapsed="false">
      <c r="A5776" s="16" t="n">
        <v>45225</v>
      </c>
      <c r="B5776" s="17" t="s">
        <v>3185</v>
      </c>
      <c r="C5776" s="17" t="s">
        <v>1390</v>
      </c>
      <c r="D5776" s="17" t="s">
        <v>1391</v>
      </c>
      <c r="E5776" s="17" t="s">
        <v>3194</v>
      </c>
      <c r="F5776" s="17" t="s">
        <v>3195</v>
      </c>
      <c r="G5776" s="18" t="n">
        <v>4554.81</v>
      </c>
      <c r="H5776" s="18" t="n">
        <v>0</v>
      </c>
      <c r="I5776" s="18" t="n">
        <f aca="false">((I5775 + G5776) - H5776)</f>
        <v>39217.75</v>
      </c>
      <c r="J5776" s="18" t="n">
        <v>455.48</v>
      </c>
      <c r="K5776" s="19" t="n">
        <v>10</v>
      </c>
      <c r="L5776" s="17" t="s">
        <v>44</v>
      </c>
    </row>
    <row r="5777" s="11" customFormat="true" ht="10.95" hidden="false" customHeight="true" outlineLevel="0" collapsed="false">
      <c r="A5777" s="16" t="n">
        <v>45254</v>
      </c>
      <c r="B5777" s="17" t="s">
        <v>3185</v>
      </c>
      <c r="C5777" s="17" t="s">
        <v>1390</v>
      </c>
      <c r="D5777" s="17" t="s">
        <v>1391</v>
      </c>
      <c r="E5777" s="17" t="s">
        <v>3196</v>
      </c>
      <c r="F5777" s="17" t="s">
        <v>3197</v>
      </c>
      <c r="G5777" s="18" t="n">
        <v>21288.18</v>
      </c>
      <c r="H5777" s="18" t="n">
        <v>0</v>
      </c>
      <c r="I5777" s="18" t="n">
        <f aca="false">((I5776 + G5777) - H5777)</f>
        <v>60505.93</v>
      </c>
      <c r="J5777" s="18" t="n">
        <v>2128.82</v>
      </c>
      <c r="K5777" s="19" t="n">
        <v>10</v>
      </c>
      <c r="L5777" s="17" t="s">
        <v>44</v>
      </c>
    </row>
    <row r="5778" s="11" customFormat="true" ht="10.95" hidden="false" customHeight="true" outlineLevel="0" collapsed="false">
      <c r="A5778" s="16" t="n">
        <v>45271</v>
      </c>
      <c r="B5778" s="17" t="s">
        <v>3185</v>
      </c>
      <c r="C5778" s="17" t="s">
        <v>1390</v>
      </c>
      <c r="D5778" s="17" t="s">
        <v>1391</v>
      </c>
      <c r="E5778" s="17" t="s">
        <v>3198</v>
      </c>
      <c r="F5778" s="17" t="s">
        <v>3199</v>
      </c>
      <c r="G5778" s="18" t="n">
        <v>18000</v>
      </c>
      <c r="H5778" s="18" t="n">
        <v>0</v>
      </c>
      <c r="I5778" s="18" t="n">
        <f aca="false">((I5777 + G5778) - H5778)</f>
        <v>78505.93</v>
      </c>
      <c r="J5778" s="18" t="n">
        <v>1800</v>
      </c>
      <c r="K5778" s="19" t="n">
        <v>10</v>
      </c>
      <c r="L5778" s="17" t="s">
        <v>44</v>
      </c>
    </row>
    <row r="5779" s="11" customFormat="true" ht="10.95" hidden="false" customHeight="true" outlineLevel="0" collapsed="false">
      <c r="A5779" s="16" t="n">
        <v>45274</v>
      </c>
      <c r="B5779" s="17" t="s">
        <v>3185</v>
      </c>
      <c r="C5779" s="17" t="s">
        <v>1390</v>
      </c>
      <c r="D5779" s="17" t="s">
        <v>1391</v>
      </c>
      <c r="E5779" s="17" t="s">
        <v>3200</v>
      </c>
      <c r="F5779" s="17" t="s">
        <v>3201</v>
      </c>
      <c r="G5779" s="18" t="n">
        <v>388.49</v>
      </c>
      <c r="H5779" s="18" t="n">
        <v>0</v>
      </c>
      <c r="I5779" s="18" t="n">
        <f aca="false">((I5778 + G5779) - H5779)</f>
        <v>78894.42</v>
      </c>
      <c r="J5779" s="18" t="n">
        <v>38.85</v>
      </c>
      <c r="K5779" s="19" t="n">
        <v>10</v>
      </c>
      <c r="L5779" s="17" t="s">
        <v>44</v>
      </c>
    </row>
    <row r="5780" s="11" customFormat="true" ht="10.95" hidden="false" customHeight="true" outlineLevel="0" collapsed="false">
      <c r="A5780" s="16" t="n">
        <v>45276</v>
      </c>
      <c r="B5780" s="17" t="s">
        <v>3185</v>
      </c>
      <c r="C5780" s="17" t="s">
        <v>1390</v>
      </c>
      <c r="D5780" s="17" t="s">
        <v>1407</v>
      </c>
      <c r="E5780" s="17" t="s">
        <v>3202</v>
      </c>
      <c r="F5780" s="17"/>
      <c r="G5780" s="18" t="n">
        <v>1661.15</v>
      </c>
      <c r="H5780" s="18" t="n">
        <v>0</v>
      </c>
      <c r="I5780" s="18" t="n">
        <f aca="false">((I5779 + G5780) - H5780)</f>
        <v>80555.57</v>
      </c>
      <c r="J5780" s="18" t="n">
        <v>166.12</v>
      </c>
      <c r="K5780" s="19" t="n">
        <v>10</v>
      </c>
      <c r="L5780" s="17" t="s">
        <v>44</v>
      </c>
    </row>
    <row r="5781" s="11" customFormat="true" ht="10.95" hidden="false" customHeight="true" outlineLevel="0" collapsed="false">
      <c r="A5781" s="16" t="n">
        <v>45287</v>
      </c>
      <c r="B5781" s="17" t="s">
        <v>3185</v>
      </c>
      <c r="C5781" s="17" t="s">
        <v>1390</v>
      </c>
      <c r="D5781" s="17" t="s">
        <v>1407</v>
      </c>
      <c r="E5781" s="17" t="s">
        <v>3203</v>
      </c>
      <c r="F5781" s="17"/>
      <c r="G5781" s="18" t="n">
        <v>2479.17</v>
      </c>
      <c r="H5781" s="18" t="n">
        <v>0</v>
      </c>
      <c r="I5781" s="18" t="n">
        <f aca="false">((I5780 + G5781) - H5781)</f>
        <v>83034.74</v>
      </c>
      <c r="J5781" s="18" t="n">
        <v>0</v>
      </c>
      <c r="K5781" s="19" t="n">
        <v>0</v>
      </c>
      <c r="L5781" s="17" t="s">
        <v>1406</v>
      </c>
    </row>
    <row r="5782" s="11" customFormat="true" ht="10.95" hidden="false" customHeight="true" outlineLevel="0" collapsed="false">
      <c r="A5782" s="16" t="n">
        <v>45297</v>
      </c>
      <c r="B5782" s="17" t="s">
        <v>3185</v>
      </c>
      <c r="C5782" s="17" t="s">
        <v>1390</v>
      </c>
      <c r="D5782" s="17" t="s">
        <v>1407</v>
      </c>
      <c r="E5782" s="17" t="s">
        <v>3204</v>
      </c>
      <c r="F5782" s="17"/>
      <c r="G5782" s="18" t="n">
        <v>1561.61</v>
      </c>
      <c r="H5782" s="18" t="n">
        <v>0</v>
      </c>
      <c r="I5782" s="18" t="n">
        <f aca="false">((I5781 + G5782) - H5782)</f>
        <v>84596.35</v>
      </c>
      <c r="J5782" s="18" t="n">
        <v>0</v>
      </c>
      <c r="K5782" s="19" t="n">
        <v>0</v>
      </c>
      <c r="L5782" s="17" t="s">
        <v>1406</v>
      </c>
    </row>
    <row r="5783" s="11" customFormat="true" ht="10.95" hidden="false" customHeight="true" outlineLevel="0" collapsed="false">
      <c r="A5783" s="16" t="n">
        <v>45298</v>
      </c>
      <c r="B5783" s="17" t="s">
        <v>3185</v>
      </c>
      <c r="C5783" s="17" t="s">
        <v>1390</v>
      </c>
      <c r="D5783" s="17" t="s">
        <v>1391</v>
      </c>
      <c r="E5783" s="17" t="s">
        <v>3205</v>
      </c>
      <c r="F5783" s="17" t="s">
        <v>3206</v>
      </c>
      <c r="G5783" s="18" t="n">
        <v>10927</v>
      </c>
      <c r="H5783" s="18" t="n">
        <v>0</v>
      </c>
      <c r="I5783" s="18" t="n">
        <f aca="false">((I5782 + G5783) - H5783)</f>
        <v>95523.35</v>
      </c>
      <c r="J5783" s="18" t="n">
        <v>1092.7</v>
      </c>
      <c r="K5783" s="19" t="n">
        <v>10</v>
      </c>
      <c r="L5783" s="17" t="s">
        <v>44</v>
      </c>
    </row>
    <row r="5784" s="11" customFormat="true" ht="10.95" hidden="false" customHeight="true" outlineLevel="0" collapsed="false">
      <c r="A5784" s="16" t="n">
        <v>45300</v>
      </c>
      <c r="B5784" s="17" t="s">
        <v>3185</v>
      </c>
      <c r="C5784" s="17" t="s">
        <v>1390</v>
      </c>
      <c r="D5784" s="17" t="s">
        <v>1391</v>
      </c>
      <c r="E5784" s="17" t="s">
        <v>3207</v>
      </c>
      <c r="F5784" s="17" t="s">
        <v>3208</v>
      </c>
      <c r="G5784" s="18" t="n">
        <v>2945</v>
      </c>
      <c r="H5784" s="18" t="n">
        <v>0</v>
      </c>
      <c r="I5784" s="18" t="n">
        <f aca="false">((I5783 + G5784) - H5784)</f>
        <v>98468.35</v>
      </c>
      <c r="J5784" s="18" t="n">
        <v>294.5</v>
      </c>
      <c r="K5784" s="19" t="n">
        <v>10</v>
      </c>
      <c r="L5784" s="17" t="s">
        <v>44</v>
      </c>
    </row>
    <row r="5785" s="11" customFormat="true" ht="10.95" hidden="false" customHeight="true" outlineLevel="0" collapsed="false">
      <c r="A5785" s="16" t="n">
        <v>45300</v>
      </c>
      <c r="B5785" s="17" t="s">
        <v>3185</v>
      </c>
      <c r="C5785" s="17" t="s">
        <v>1390</v>
      </c>
      <c r="D5785" s="17" t="s">
        <v>1391</v>
      </c>
      <c r="E5785" s="17" t="s">
        <v>3209</v>
      </c>
      <c r="F5785" s="17" t="s">
        <v>3210</v>
      </c>
      <c r="G5785" s="18" t="n">
        <v>3516.18</v>
      </c>
      <c r="H5785" s="18" t="n">
        <v>0</v>
      </c>
      <c r="I5785" s="18" t="n">
        <f aca="false">((I5784 + G5785) - H5785)</f>
        <v>101984.53</v>
      </c>
      <c r="J5785" s="18" t="n">
        <v>351.62</v>
      </c>
      <c r="K5785" s="19" t="n">
        <v>10</v>
      </c>
      <c r="L5785" s="17" t="s">
        <v>44</v>
      </c>
    </row>
    <row r="5786" s="11" customFormat="true" ht="10.95" hidden="false" customHeight="true" outlineLevel="0" collapsed="false">
      <c r="A5786" s="16" t="n">
        <v>45303</v>
      </c>
      <c r="B5786" s="17" t="s">
        <v>3185</v>
      </c>
      <c r="C5786" s="17" t="s">
        <v>1390</v>
      </c>
      <c r="D5786" s="17" t="s">
        <v>1407</v>
      </c>
      <c r="E5786" s="17" t="s">
        <v>3211</v>
      </c>
      <c r="F5786" s="17"/>
      <c r="G5786" s="18" t="n">
        <v>6439.15</v>
      </c>
      <c r="H5786" s="18" t="n">
        <v>0</v>
      </c>
      <c r="I5786" s="18" t="n">
        <f aca="false">((I5785 + G5786) - H5786)</f>
        <v>108423.68</v>
      </c>
      <c r="J5786" s="18" t="n">
        <v>0</v>
      </c>
      <c r="K5786" s="19" t="n">
        <v>0</v>
      </c>
      <c r="L5786" s="17" t="s">
        <v>1406</v>
      </c>
    </row>
    <row r="5787" s="11" customFormat="true" ht="10.95" hidden="false" customHeight="true" outlineLevel="0" collapsed="false">
      <c r="A5787" s="16" t="n">
        <v>45308</v>
      </c>
      <c r="B5787" s="17" t="s">
        <v>3185</v>
      </c>
      <c r="C5787" s="17" t="s">
        <v>1390</v>
      </c>
      <c r="D5787" s="17" t="s">
        <v>1391</v>
      </c>
      <c r="E5787" s="17" t="s">
        <v>3212</v>
      </c>
      <c r="F5787" s="17" t="s">
        <v>3213</v>
      </c>
      <c r="G5787" s="18" t="n">
        <v>199</v>
      </c>
      <c r="H5787" s="18" t="n">
        <v>0</v>
      </c>
      <c r="I5787" s="18" t="n">
        <f aca="false">((I5786 + G5787) - H5787)</f>
        <v>108622.68</v>
      </c>
      <c r="J5787" s="18" t="n">
        <v>19.9</v>
      </c>
      <c r="K5787" s="19" t="n">
        <v>10</v>
      </c>
      <c r="L5787" s="17" t="s">
        <v>44</v>
      </c>
    </row>
    <row r="5788" s="11" customFormat="true" ht="10.95" hidden="false" customHeight="true" outlineLevel="0" collapsed="false">
      <c r="A5788" s="16" t="n">
        <v>45316</v>
      </c>
      <c r="B5788" s="17" t="s">
        <v>3185</v>
      </c>
      <c r="C5788" s="17" t="s">
        <v>1390</v>
      </c>
      <c r="D5788" s="17" t="s">
        <v>1391</v>
      </c>
      <c r="E5788" s="17" t="s">
        <v>3214</v>
      </c>
      <c r="F5788" s="17" t="s">
        <v>3215</v>
      </c>
      <c r="G5788" s="18" t="n">
        <v>8154.73</v>
      </c>
      <c r="H5788" s="18" t="n">
        <v>0</v>
      </c>
      <c r="I5788" s="18" t="n">
        <f aca="false">((I5787 + G5788) - H5788)</f>
        <v>116777.41</v>
      </c>
      <c r="J5788" s="18" t="n">
        <v>815.47</v>
      </c>
      <c r="K5788" s="19" t="n">
        <v>10</v>
      </c>
      <c r="L5788" s="17" t="s">
        <v>44</v>
      </c>
    </row>
    <row r="5789" s="11" customFormat="true" ht="10.95" hidden="false" customHeight="true" outlineLevel="0" collapsed="false">
      <c r="A5789" s="16" t="n">
        <v>45321</v>
      </c>
      <c r="B5789" s="17" t="s">
        <v>3185</v>
      </c>
      <c r="C5789" s="17" t="s">
        <v>1390</v>
      </c>
      <c r="D5789" s="17" t="s">
        <v>1391</v>
      </c>
      <c r="E5789" s="17" t="s">
        <v>3216</v>
      </c>
      <c r="F5789" s="17" t="s">
        <v>3217</v>
      </c>
      <c r="G5789" s="18" t="n">
        <v>199</v>
      </c>
      <c r="H5789" s="18" t="n">
        <v>0</v>
      </c>
      <c r="I5789" s="18" t="n">
        <f aca="false">((I5788 + G5789) - H5789)</f>
        <v>116976.41</v>
      </c>
      <c r="J5789" s="18" t="n">
        <v>19.9</v>
      </c>
      <c r="K5789" s="19" t="n">
        <v>10</v>
      </c>
      <c r="L5789" s="17" t="s">
        <v>44</v>
      </c>
    </row>
    <row r="5790" s="11" customFormat="true" ht="10.95" hidden="false" customHeight="true" outlineLevel="0" collapsed="false">
      <c r="A5790" s="16" t="n">
        <v>45352</v>
      </c>
      <c r="B5790" s="17" t="s">
        <v>3185</v>
      </c>
      <c r="C5790" s="17" t="s">
        <v>1390</v>
      </c>
      <c r="D5790" s="17" t="s">
        <v>1407</v>
      </c>
      <c r="E5790" s="17" t="s">
        <v>3218</v>
      </c>
      <c r="F5790" s="17"/>
      <c r="G5790" s="18" t="n">
        <v>4554.81</v>
      </c>
      <c r="H5790" s="18" t="n">
        <v>0</v>
      </c>
      <c r="I5790" s="18" t="n">
        <f aca="false">((I5789 + G5790) - H5790)</f>
        <v>121531.22</v>
      </c>
      <c r="J5790" s="18" t="n">
        <v>455.48</v>
      </c>
      <c r="K5790" s="19" t="n">
        <v>10</v>
      </c>
      <c r="L5790" s="17" t="s">
        <v>44</v>
      </c>
    </row>
    <row r="5791" s="11" customFormat="true" ht="10.95" hidden="false" customHeight="true" outlineLevel="0" collapsed="false">
      <c r="A5791" s="16" t="n">
        <v>45372</v>
      </c>
      <c r="B5791" s="17" t="s">
        <v>3185</v>
      </c>
      <c r="C5791" s="17" t="s">
        <v>1390</v>
      </c>
      <c r="D5791" s="17" t="s">
        <v>1407</v>
      </c>
      <c r="E5791" s="17" t="s">
        <v>3219</v>
      </c>
      <c r="F5791" s="17"/>
      <c r="G5791" s="18" t="n">
        <v>16400</v>
      </c>
      <c r="H5791" s="18" t="n">
        <v>0</v>
      </c>
      <c r="I5791" s="18" t="n">
        <f aca="false">((I5790 + G5791) - H5791)</f>
        <v>137931.22</v>
      </c>
      <c r="J5791" s="18" t="n">
        <v>1640</v>
      </c>
      <c r="K5791" s="19" t="n">
        <v>10</v>
      </c>
      <c r="L5791" s="17" t="s">
        <v>44</v>
      </c>
    </row>
    <row r="5792" s="11" customFormat="true" ht="10.95" hidden="false" customHeight="true" outlineLevel="0" collapsed="false">
      <c r="A5792" s="16" t="n">
        <v>45384</v>
      </c>
      <c r="B5792" s="17" t="s">
        <v>3185</v>
      </c>
      <c r="C5792" s="17" t="s">
        <v>1390</v>
      </c>
      <c r="D5792" s="17" t="s">
        <v>1407</v>
      </c>
      <c r="E5792" s="17" t="s">
        <v>3220</v>
      </c>
      <c r="F5792" s="17"/>
      <c r="G5792" s="18" t="n">
        <v>21288.18</v>
      </c>
      <c r="H5792" s="18" t="n">
        <v>0</v>
      </c>
      <c r="I5792" s="18" t="n">
        <f aca="false">((I5791 + G5792) - H5792)</f>
        <v>159219.4</v>
      </c>
      <c r="J5792" s="18" t="n">
        <v>2128.82</v>
      </c>
      <c r="K5792" s="19" t="n">
        <v>10</v>
      </c>
      <c r="L5792" s="17" t="s">
        <v>44</v>
      </c>
    </row>
    <row r="5793" s="11" customFormat="true" ht="10.95" hidden="false" customHeight="true" outlineLevel="0" collapsed="false">
      <c r="A5793" s="16" t="n">
        <v>45398</v>
      </c>
      <c r="B5793" s="17" t="s">
        <v>3185</v>
      </c>
      <c r="C5793" s="17" t="s">
        <v>1390</v>
      </c>
      <c r="D5793" s="17" t="s">
        <v>1407</v>
      </c>
      <c r="E5793" s="17" t="s">
        <v>3221</v>
      </c>
      <c r="F5793" s="17"/>
      <c r="G5793" s="18" t="n">
        <v>202.34</v>
      </c>
      <c r="H5793" s="18" t="n">
        <v>0</v>
      </c>
      <c r="I5793" s="18" t="n">
        <f aca="false">((I5792 + G5793) - H5793)</f>
        <v>159421.74</v>
      </c>
      <c r="J5793" s="18" t="n">
        <v>0</v>
      </c>
      <c r="K5793" s="19" t="n">
        <v>0</v>
      </c>
      <c r="L5793" s="17" t="s">
        <v>1406</v>
      </c>
    </row>
    <row r="5794" s="11" customFormat="true" ht="10.95" hidden="false" customHeight="true" outlineLevel="0" collapsed="false">
      <c r="A5794" s="16" t="n">
        <v>45407</v>
      </c>
      <c r="B5794" s="17" t="s">
        <v>3185</v>
      </c>
      <c r="C5794" s="17" t="s">
        <v>1390</v>
      </c>
      <c r="D5794" s="17" t="s">
        <v>1391</v>
      </c>
      <c r="E5794" s="17" t="s">
        <v>3222</v>
      </c>
      <c r="F5794" s="17" t="s">
        <v>3223</v>
      </c>
      <c r="G5794" s="18" t="n">
        <v>4554.81</v>
      </c>
      <c r="H5794" s="18" t="n">
        <v>0</v>
      </c>
      <c r="I5794" s="18" t="n">
        <f aca="false">((I5793 + G5794) - H5794)</f>
        <v>163976.55</v>
      </c>
      <c r="J5794" s="18" t="n">
        <v>455.48</v>
      </c>
      <c r="K5794" s="19" t="n">
        <v>10</v>
      </c>
      <c r="L5794" s="17" t="s">
        <v>44</v>
      </c>
    </row>
    <row r="5795" s="11" customFormat="true" ht="10.95" hidden="false" customHeight="true" outlineLevel="0" collapsed="false">
      <c r="A5795" s="16" t="n">
        <v>45407</v>
      </c>
      <c r="B5795" s="17" t="s">
        <v>3185</v>
      </c>
      <c r="C5795" s="17" t="s">
        <v>1390</v>
      </c>
      <c r="D5795" s="17" t="s">
        <v>1391</v>
      </c>
      <c r="E5795" s="17" t="s">
        <v>3224</v>
      </c>
      <c r="F5795" s="17" t="s">
        <v>3225</v>
      </c>
      <c r="G5795" s="18" t="n">
        <v>8154.73</v>
      </c>
      <c r="H5795" s="18" t="n">
        <v>0</v>
      </c>
      <c r="I5795" s="18" t="n">
        <f aca="false">((I5794 + G5795) - H5795)</f>
        <v>172131.28</v>
      </c>
      <c r="J5795" s="18" t="n">
        <v>815.47</v>
      </c>
      <c r="K5795" s="19" t="n">
        <v>10</v>
      </c>
      <c r="L5795" s="17" t="s">
        <v>44</v>
      </c>
    </row>
    <row r="5796" s="11" customFormat="true" ht="10.95" hidden="false" customHeight="true" outlineLevel="0" collapsed="false">
      <c r="A5796" s="16" t="n">
        <v>45436</v>
      </c>
      <c r="B5796" s="17" t="s">
        <v>3185</v>
      </c>
      <c r="C5796" s="17" t="s">
        <v>1390</v>
      </c>
      <c r="D5796" s="17" t="s">
        <v>1391</v>
      </c>
      <c r="E5796" s="17" t="s">
        <v>3226</v>
      </c>
      <c r="F5796" s="17" t="s">
        <v>3227</v>
      </c>
      <c r="G5796" s="18" t="n">
        <v>21288.18</v>
      </c>
      <c r="H5796" s="18" t="n">
        <v>0</v>
      </c>
      <c r="I5796" s="18" t="n">
        <f aca="false">((I5795 + G5796) - H5796)</f>
        <v>193419.46</v>
      </c>
      <c r="J5796" s="18" t="n">
        <v>2128.82</v>
      </c>
      <c r="K5796" s="19" t="n">
        <v>10</v>
      </c>
      <c r="L5796" s="17" t="s">
        <v>44</v>
      </c>
    </row>
    <row r="5797" s="11" customFormat="true" ht="10.95" hidden="false" customHeight="true" outlineLevel="0" collapsed="false">
      <c r="A5797" s="16" t="n">
        <v>45443</v>
      </c>
      <c r="B5797" s="17" t="s">
        <v>3185</v>
      </c>
      <c r="C5797" s="17" t="s">
        <v>1390</v>
      </c>
      <c r="D5797" s="17" t="s">
        <v>1407</v>
      </c>
      <c r="E5797" s="17" t="s">
        <v>3228</v>
      </c>
      <c r="F5797" s="17"/>
      <c r="G5797" s="18" t="n">
        <v>5299.79</v>
      </c>
      <c r="H5797" s="18" t="n">
        <v>0</v>
      </c>
      <c r="I5797" s="18" t="n">
        <f aca="false">((I5796 + G5797) - H5797)</f>
        <v>198719.25</v>
      </c>
      <c r="J5797" s="18" t="n">
        <v>0</v>
      </c>
      <c r="K5797" s="19" t="n">
        <v>0</v>
      </c>
      <c r="L5797" s="17" t="s">
        <v>1406</v>
      </c>
    </row>
    <row r="5798" s="11" customFormat="true" ht="21.3" hidden="false" customHeight="true" outlineLevel="0" collapsed="false">
      <c r="A5798" s="16" t="n">
        <v>45449</v>
      </c>
      <c r="B5798" s="17" t="s">
        <v>3185</v>
      </c>
      <c r="C5798" s="17" t="s">
        <v>1390</v>
      </c>
      <c r="D5798" s="17" t="s">
        <v>1391</v>
      </c>
      <c r="E5798" s="20" t="s">
        <v>3229</v>
      </c>
      <c r="F5798" s="17" t="s">
        <v>3230</v>
      </c>
      <c r="G5798" s="18" t="n">
        <v>3858.05</v>
      </c>
      <c r="H5798" s="18" t="n">
        <v>0</v>
      </c>
      <c r="I5798" s="18" t="n">
        <f aca="false">((I5797 + G5798) - H5798)</f>
        <v>202577.3</v>
      </c>
      <c r="J5798" s="18" t="n">
        <v>385.81</v>
      </c>
      <c r="K5798" s="19" t="n">
        <v>10</v>
      </c>
      <c r="L5798" s="17" t="s">
        <v>44</v>
      </c>
    </row>
    <row r="5799" s="11" customFormat="true" ht="31.65" hidden="false" customHeight="true" outlineLevel="0" collapsed="false">
      <c r="A5799" s="16" t="n">
        <v>45449</v>
      </c>
      <c r="B5799" s="17" t="s">
        <v>3185</v>
      </c>
      <c r="C5799" s="17" t="s">
        <v>1390</v>
      </c>
      <c r="D5799" s="17" t="s">
        <v>1391</v>
      </c>
      <c r="E5799" s="20" t="s">
        <v>3231</v>
      </c>
      <c r="F5799" s="17" t="s">
        <v>3232</v>
      </c>
      <c r="G5799" s="18" t="n">
        <v>4593.89</v>
      </c>
      <c r="H5799" s="18" t="n">
        <v>0</v>
      </c>
      <c r="I5799" s="18" t="n">
        <f aca="false">((I5798 + G5799) - H5799)</f>
        <v>207171.19</v>
      </c>
      <c r="J5799" s="18" t="n">
        <v>459.39</v>
      </c>
      <c r="K5799" s="19" t="n">
        <v>10</v>
      </c>
      <c r="L5799" s="17" t="s">
        <v>44</v>
      </c>
    </row>
    <row r="5800" s="11" customFormat="true" ht="10.95" hidden="false" customHeight="true" outlineLevel="0" collapsed="false">
      <c r="A5800" s="16" t="n">
        <v>45457</v>
      </c>
      <c r="B5800" s="17" t="s">
        <v>3185</v>
      </c>
      <c r="C5800" s="17" t="s">
        <v>1390</v>
      </c>
      <c r="D5800" s="17" t="s">
        <v>1407</v>
      </c>
      <c r="E5800" s="17" t="s">
        <v>3233</v>
      </c>
      <c r="F5800" s="17"/>
      <c r="G5800" s="18" t="n">
        <v>208.14</v>
      </c>
      <c r="H5800" s="18" t="n">
        <v>0</v>
      </c>
      <c r="I5800" s="18" t="n">
        <f aca="false">((I5799 + G5800) - H5800)</f>
        <v>207379.33</v>
      </c>
      <c r="J5800" s="18" t="n">
        <v>20.81</v>
      </c>
      <c r="K5800" s="19" t="n">
        <v>10</v>
      </c>
      <c r="L5800" s="17" t="s">
        <v>44</v>
      </c>
    </row>
    <row r="5801" s="11" customFormat="true" ht="10.95" hidden="false" customHeight="true" outlineLevel="0" collapsed="false">
      <c r="A5801" s="16" t="n">
        <v>45457</v>
      </c>
      <c r="B5801" s="17" t="s">
        <v>3185</v>
      </c>
      <c r="C5801" s="17" t="s">
        <v>1390</v>
      </c>
      <c r="D5801" s="17" t="s">
        <v>1407</v>
      </c>
      <c r="E5801" s="17" t="s">
        <v>3233</v>
      </c>
      <c r="F5801" s="17"/>
      <c r="G5801" s="18" t="n">
        <v>283.81</v>
      </c>
      <c r="H5801" s="18" t="n">
        <v>0</v>
      </c>
      <c r="I5801" s="18" t="n">
        <f aca="false">((I5800 + G5801) - H5801)</f>
        <v>207663.14</v>
      </c>
      <c r="J5801" s="18" t="n">
        <v>28.38</v>
      </c>
      <c r="K5801" s="19" t="n">
        <v>10</v>
      </c>
      <c r="L5801" s="17" t="s">
        <v>44</v>
      </c>
    </row>
    <row r="5802" s="11" customFormat="true" ht="10.95" hidden="false" customHeight="true" outlineLevel="0" collapsed="false">
      <c r="A5802" s="16" t="n">
        <v>45457</v>
      </c>
      <c r="B5802" s="17" t="s">
        <v>3185</v>
      </c>
      <c r="C5802" s="17" t="s">
        <v>1390</v>
      </c>
      <c r="D5802" s="17" t="s">
        <v>1407</v>
      </c>
      <c r="E5802" s="17" t="s">
        <v>3234</v>
      </c>
      <c r="F5802" s="17"/>
      <c r="G5802" s="18" t="n">
        <v>42.1</v>
      </c>
      <c r="H5802" s="18" t="n">
        <v>0</v>
      </c>
      <c r="I5802" s="18" t="n">
        <f aca="false">((I5801 + G5802) - H5802)</f>
        <v>207705.24</v>
      </c>
      <c r="J5802" s="18" t="n">
        <v>0</v>
      </c>
      <c r="K5802" s="19" t="n">
        <v>0</v>
      </c>
      <c r="L5802" s="17" t="s">
        <v>1406</v>
      </c>
    </row>
    <row r="5803" s="11" customFormat="true" ht="10.95" hidden="false" customHeight="true" outlineLevel="0" collapsed="false">
      <c r="A5803" s="16" t="n">
        <v>45457</v>
      </c>
      <c r="B5803" s="17" t="s">
        <v>3185</v>
      </c>
      <c r="C5803" s="17" t="s">
        <v>1390</v>
      </c>
      <c r="D5803" s="17" t="s">
        <v>1407</v>
      </c>
      <c r="E5803" s="17" t="s">
        <v>3234</v>
      </c>
      <c r="F5803" s="17"/>
      <c r="G5803" s="18" t="n">
        <v>303.19</v>
      </c>
      <c r="H5803" s="18" t="n">
        <v>0</v>
      </c>
      <c r="I5803" s="18" t="n">
        <f aca="false">((I5802 + G5803) - H5803)</f>
        <v>208008.43</v>
      </c>
      <c r="J5803" s="18" t="n">
        <v>0</v>
      </c>
      <c r="K5803" s="19" t="n">
        <v>0</v>
      </c>
      <c r="L5803" s="17" t="s">
        <v>1406</v>
      </c>
    </row>
    <row r="5804" s="11" customFormat="true" ht="10.95" hidden="false" customHeight="true" outlineLevel="0" collapsed="false">
      <c r="A5804" s="16" t="n">
        <v>45457</v>
      </c>
      <c r="B5804" s="17" t="s">
        <v>3185</v>
      </c>
      <c r="C5804" s="17" t="s">
        <v>1390</v>
      </c>
      <c r="D5804" s="17" t="s">
        <v>1407</v>
      </c>
      <c r="E5804" s="17" t="s">
        <v>3235</v>
      </c>
      <c r="F5804" s="17"/>
      <c r="G5804" s="18" t="n">
        <v>93.32</v>
      </c>
      <c r="H5804" s="18" t="n">
        <v>0</v>
      </c>
      <c r="I5804" s="18" t="n">
        <f aca="false">((I5803 + G5804) - H5804)</f>
        <v>208101.75</v>
      </c>
      <c r="J5804" s="18" t="n">
        <v>0</v>
      </c>
      <c r="K5804" s="19" t="n">
        <v>0</v>
      </c>
      <c r="L5804" s="17" t="s">
        <v>1406</v>
      </c>
    </row>
    <row r="5805" s="11" customFormat="true" ht="10.95" hidden="false" customHeight="true" outlineLevel="0" collapsed="false">
      <c r="A5805" s="16" t="n">
        <v>45458</v>
      </c>
      <c r="B5805" s="17" t="s">
        <v>3185</v>
      </c>
      <c r="C5805" s="17" t="s">
        <v>1390</v>
      </c>
      <c r="D5805" s="17" t="s">
        <v>1407</v>
      </c>
      <c r="E5805" s="17" t="s">
        <v>3236</v>
      </c>
      <c r="F5805" s="17"/>
      <c r="G5805" s="18" t="n">
        <v>71.61</v>
      </c>
      <c r="H5805" s="18" t="n">
        <v>0</v>
      </c>
      <c r="I5805" s="18" t="n">
        <f aca="false">((I5804 + G5805) - H5805)</f>
        <v>208173.36</v>
      </c>
      <c r="J5805" s="18" t="n">
        <v>0</v>
      </c>
      <c r="K5805" s="19" t="n">
        <v>0</v>
      </c>
      <c r="L5805" s="17" t="s">
        <v>1406</v>
      </c>
    </row>
    <row r="5806" s="11" customFormat="true" ht="10.95" hidden="false" customHeight="true" outlineLevel="0" collapsed="false">
      <c r="A5806" s="16" t="n">
        <v>45460</v>
      </c>
      <c r="B5806" s="17" t="s">
        <v>3185</v>
      </c>
      <c r="C5806" s="17" t="s">
        <v>1390</v>
      </c>
      <c r="D5806" s="17" t="s">
        <v>1407</v>
      </c>
      <c r="E5806" s="17" t="s">
        <v>3237</v>
      </c>
      <c r="F5806" s="17"/>
      <c r="G5806" s="18" t="n">
        <v>33000</v>
      </c>
      <c r="H5806" s="18" t="n">
        <v>0</v>
      </c>
      <c r="I5806" s="18" t="n">
        <f aca="false">((I5805 + G5806) - H5806)</f>
        <v>241173.36</v>
      </c>
      <c r="J5806" s="18" t="n">
        <v>3300</v>
      </c>
      <c r="K5806" s="19" t="n">
        <v>10</v>
      </c>
      <c r="L5806" s="17" t="s">
        <v>44</v>
      </c>
    </row>
    <row r="5807" s="11" customFormat="true" ht="10.95" hidden="false" customHeight="true" outlineLevel="0" collapsed="false">
      <c r="A5807" s="16" t="n">
        <v>45471</v>
      </c>
      <c r="B5807" s="17" t="s">
        <v>3185</v>
      </c>
      <c r="C5807" s="17" t="s">
        <v>1390</v>
      </c>
      <c r="D5807" s="17" t="s">
        <v>1391</v>
      </c>
      <c r="E5807" s="17" t="s">
        <v>3238</v>
      </c>
      <c r="F5807" s="17" t="s">
        <v>3239</v>
      </c>
      <c r="G5807" s="18" t="n">
        <v>1032</v>
      </c>
      <c r="H5807" s="18" t="n">
        <v>0</v>
      </c>
      <c r="I5807" s="18" t="n">
        <f aca="false">((I5806 + G5807) - H5807)</f>
        <v>242205.36</v>
      </c>
      <c r="J5807" s="18" t="n">
        <v>103.2</v>
      </c>
      <c r="K5807" s="19" t="n">
        <v>10</v>
      </c>
      <c r="L5807" s="17" t="s">
        <v>44</v>
      </c>
    </row>
    <row r="5808" s="11" customFormat="true" ht="10.95" hidden="false" customHeight="true" outlineLevel="0" collapsed="false">
      <c r="A5808" s="21" t="s">
        <v>3240</v>
      </c>
      <c r="B5808" s="21"/>
      <c r="C5808" s="21"/>
      <c r="D5808" s="21"/>
      <c r="E5808" s="21"/>
      <c r="F5808" s="21"/>
      <c r="G5808" s="22" t="n">
        <f aca="false">SUM(G5771:G5807)</f>
        <v>242205.36</v>
      </c>
      <c r="H5808" s="22" t="n">
        <f aca="false">SUM(H5771:H5807)</f>
        <v>0</v>
      </c>
      <c r="I5808" s="22" t="n">
        <f aca="false">I5807</f>
        <v>242205.36</v>
      </c>
      <c r="J5808" s="22" t="n">
        <f aca="false">SUM(J5771:J5807)</f>
        <v>22571.31</v>
      </c>
      <c r="K5808" s="21"/>
      <c r="L5808" s="21"/>
    </row>
    <row r="5809" s="11" customFormat="true" ht="10.95" hidden="false" customHeight="true" outlineLevel="0" collapsed="false">
      <c r="A5809" s="21" t="s">
        <v>784</v>
      </c>
      <c r="B5809" s="21"/>
      <c r="C5809" s="21"/>
      <c r="D5809" s="21"/>
      <c r="E5809" s="21"/>
      <c r="F5809" s="21"/>
      <c r="G5809" s="22" t="n">
        <v>242205.36</v>
      </c>
      <c r="H5809" s="22" t="n">
        <v>0</v>
      </c>
      <c r="I5809" s="22" t="n">
        <v>0</v>
      </c>
      <c r="J5809" s="22" t="n">
        <v>0</v>
      </c>
      <c r="K5809" s="21"/>
      <c r="L5809" s="21"/>
    </row>
    <row r="5810" s="11" customFormat="true" ht="10.95" hidden="false" customHeight="true" outlineLevel="0" collapsed="false">
      <c r="A5810" s="9" t="s">
        <v>785</v>
      </c>
      <c r="B5810" s="9"/>
      <c r="C5810" s="9"/>
      <c r="D5810" s="9"/>
      <c r="E5810" s="9"/>
      <c r="F5810" s="9"/>
      <c r="G5810" s="10" t="n">
        <v>242205.36</v>
      </c>
      <c r="H5810" s="10" t="n">
        <v>0</v>
      </c>
      <c r="I5810" s="10" t="n">
        <f aca="false">I5807</f>
        <v>242205.36</v>
      </c>
      <c r="J5810" s="10" t="n">
        <v>0</v>
      </c>
      <c r="K5810" s="9"/>
      <c r="L5810" s="9"/>
    </row>
    <row r="5811" customFormat="false" ht="13.35" hidden="false" customHeight="true" outlineLevel="0" collapsed="false"/>
    <row r="5812" s="7" customFormat="true" ht="12.1" hidden="false" customHeight="true" outlineLevel="0" collapsed="false">
      <c r="A5812" s="8" t="s">
        <v>3241</v>
      </c>
      <c r="B5812" s="8"/>
      <c r="C5812" s="8"/>
      <c r="D5812" s="8"/>
      <c r="E5812" s="8"/>
      <c r="F5812" s="8"/>
      <c r="G5812" s="8"/>
      <c r="H5812" s="8"/>
      <c r="I5812" s="8"/>
      <c r="J5812" s="8"/>
      <c r="K5812" s="8"/>
      <c r="L5812" s="8"/>
    </row>
    <row r="5813" s="11" customFormat="true" ht="10.95" hidden="false" customHeight="true" outlineLevel="0" collapsed="false">
      <c r="A5813" s="9" t="s">
        <v>16</v>
      </c>
      <c r="B5813" s="9"/>
      <c r="C5813" s="9"/>
      <c r="D5813" s="9"/>
      <c r="E5813" s="9"/>
      <c r="F5813" s="9"/>
      <c r="G5813" s="10" t="n">
        <v>0</v>
      </c>
      <c r="H5813" s="10" t="n">
        <v>0</v>
      </c>
      <c r="I5813" s="10" t="n">
        <f aca="false">(G5813 - H5813)</f>
        <v>0</v>
      </c>
      <c r="J5813" s="10" t="n">
        <v>0</v>
      </c>
      <c r="K5813" s="9"/>
      <c r="L5813" s="9"/>
    </row>
    <row r="5814" s="11" customFormat="true" ht="10.95" hidden="false" customHeight="true" outlineLevel="0" collapsed="false">
      <c r="A5814" s="12" t="n">
        <v>45109</v>
      </c>
      <c r="B5814" s="13" t="s">
        <v>3242</v>
      </c>
      <c r="C5814" s="13" t="s">
        <v>1390</v>
      </c>
      <c r="D5814" s="13" t="s">
        <v>1391</v>
      </c>
      <c r="E5814" s="13" t="s">
        <v>3243</v>
      </c>
      <c r="F5814" s="13" t="s">
        <v>3244</v>
      </c>
      <c r="G5814" s="14" t="n">
        <v>900.76</v>
      </c>
      <c r="H5814" s="14" t="n">
        <v>0</v>
      </c>
      <c r="I5814" s="14" t="n">
        <f aca="false">((I5813 + G5814) - H5814)</f>
        <v>900.76</v>
      </c>
      <c r="J5814" s="14" t="n">
        <v>90.08</v>
      </c>
      <c r="K5814" s="15" t="n">
        <v>10</v>
      </c>
      <c r="L5814" s="13" t="s">
        <v>44</v>
      </c>
    </row>
    <row r="5815" s="11" customFormat="true" ht="10.95" hidden="false" customHeight="true" outlineLevel="0" collapsed="false">
      <c r="A5815" s="16" t="n">
        <v>45116</v>
      </c>
      <c r="B5815" s="17" t="s">
        <v>3242</v>
      </c>
      <c r="C5815" s="17" t="s">
        <v>1390</v>
      </c>
      <c r="D5815" s="17" t="s">
        <v>1391</v>
      </c>
      <c r="E5815" s="17" t="s">
        <v>3245</v>
      </c>
      <c r="F5815" s="17" t="s">
        <v>3246</v>
      </c>
      <c r="G5815" s="18" t="n">
        <v>2785</v>
      </c>
      <c r="H5815" s="18" t="n">
        <v>0</v>
      </c>
      <c r="I5815" s="18" t="n">
        <f aca="false">((I5814 + G5815) - H5815)</f>
        <v>3685.76</v>
      </c>
      <c r="J5815" s="18" t="n">
        <v>278.5</v>
      </c>
      <c r="K5815" s="19" t="n">
        <v>10</v>
      </c>
      <c r="L5815" s="17" t="s">
        <v>44</v>
      </c>
    </row>
    <row r="5816" s="11" customFormat="true" ht="10.95" hidden="false" customHeight="true" outlineLevel="0" collapsed="false">
      <c r="A5816" s="16" t="n">
        <v>45129</v>
      </c>
      <c r="B5816" s="17" t="s">
        <v>3242</v>
      </c>
      <c r="C5816" s="17" t="s">
        <v>1390</v>
      </c>
      <c r="D5816" s="17" t="s">
        <v>1391</v>
      </c>
      <c r="E5816" s="17" t="s">
        <v>3247</v>
      </c>
      <c r="F5816" s="17" t="s">
        <v>3248</v>
      </c>
      <c r="G5816" s="18" t="n">
        <v>2641</v>
      </c>
      <c r="H5816" s="18" t="n">
        <v>0</v>
      </c>
      <c r="I5816" s="18" t="n">
        <f aca="false">((I5815 + G5816) - H5816)</f>
        <v>6326.76</v>
      </c>
      <c r="J5816" s="18" t="n">
        <v>264.1</v>
      </c>
      <c r="K5816" s="19" t="n">
        <v>10</v>
      </c>
      <c r="L5816" s="17" t="s">
        <v>44</v>
      </c>
    </row>
    <row r="5817" s="11" customFormat="true" ht="10.95" hidden="false" customHeight="true" outlineLevel="0" collapsed="false">
      <c r="A5817" s="16" t="n">
        <v>45141</v>
      </c>
      <c r="B5817" s="17" t="s">
        <v>3242</v>
      </c>
      <c r="C5817" s="17" t="s">
        <v>1390</v>
      </c>
      <c r="D5817" s="17" t="s">
        <v>1391</v>
      </c>
      <c r="E5817" s="17" t="s">
        <v>3249</v>
      </c>
      <c r="F5817" s="17" t="s">
        <v>3250</v>
      </c>
      <c r="G5817" s="18" t="n">
        <v>906.78</v>
      </c>
      <c r="H5817" s="18" t="n">
        <v>0</v>
      </c>
      <c r="I5817" s="18" t="n">
        <f aca="false">((I5816 + G5817) - H5817)</f>
        <v>7233.54</v>
      </c>
      <c r="J5817" s="18" t="n">
        <v>90.68</v>
      </c>
      <c r="K5817" s="19" t="n">
        <v>10</v>
      </c>
      <c r="L5817" s="17" t="s">
        <v>44</v>
      </c>
    </row>
    <row r="5818" s="11" customFormat="true" ht="10.95" hidden="false" customHeight="true" outlineLevel="0" collapsed="false">
      <c r="A5818" s="16" t="n">
        <v>45147</v>
      </c>
      <c r="B5818" s="17" t="s">
        <v>3242</v>
      </c>
      <c r="C5818" s="17" t="s">
        <v>1390</v>
      </c>
      <c r="D5818" s="17" t="s">
        <v>1391</v>
      </c>
      <c r="E5818" s="17" t="s">
        <v>3251</v>
      </c>
      <c r="F5818" s="17" t="s">
        <v>3252</v>
      </c>
      <c r="G5818" s="18" t="n">
        <v>2785</v>
      </c>
      <c r="H5818" s="18" t="n">
        <v>0</v>
      </c>
      <c r="I5818" s="18" t="n">
        <f aca="false">((I5817 + G5818) - H5818)</f>
        <v>10018.54</v>
      </c>
      <c r="J5818" s="18" t="n">
        <v>278.5</v>
      </c>
      <c r="K5818" s="19" t="n">
        <v>10</v>
      </c>
      <c r="L5818" s="17" t="s">
        <v>44</v>
      </c>
    </row>
    <row r="5819" s="11" customFormat="true" ht="10.95" hidden="false" customHeight="true" outlineLevel="0" collapsed="false">
      <c r="A5819" s="16" t="n">
        <v>45152</v>
      </c>
      <c r="B5819" s="17" t="s">
        <v>3242</v>
      </c>
      <c r="C5819" s="17" t="s">
        <v>1390</v>
      </c>
      <c r="D5819" s="17" t="s">
        <v>1391</v>
      </c>
      <c r="E5819" s="17" t="s">
        <v>3253</v>
      </c>
      <c r="F5819" s="17" t="s">
        <v>3254</v>
      </c>
      <c r="G5819" s="18" t="n">
        <v>550</v>
      </c>
      <c r="H5819" s="18" t="n">
        <v>0</v>
      </c>
      <c r="I5819" s="18" t="n">
        <f aca="false">((I5818 + G5819) - H5819)</f>
        <v>10568.54</v>
      </c>
      <c r="J5819" s="18" t="n">
        <v>55</v>
      </c>
      <c r="K5819" s="19" t="n">
        <v>10</v>
      </c>
      <c r="L5819" s="17" t="s">
        <v>44</v>
      </c>
    </row>
    <row r="5820" s="11" customFormat="true" ht="10.95" hidden="false" customHeight="true" outlineLevel="0" collapsed="false">
      <c r="A5820" s="16" t="n">
        <v>45160</v>
      </c>
      <c r="B5820" s="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7" t="s">
        <v>44</v>
      </c>
    </row>
    <row r="5821" s="11" customFormat="true" ht="10.95" hidden="false" customHeight="true" outlineLevel="0" collapsed="false">
      <c r="A5821" s="16" t="n">
        <v>45172</v>
      </c>
      <c r="B5821" s="17" t="s">
        <v>3242</v>
      </c>
      <c r="C5821" s="17" t="s">
        <v>1390</v>
      </c>
      <c r="D5821" s="17" t="s">
        <v>1391</v>
      </c>
      <c r="E5821" s="17" t="s">
        <v>3257</v>
      </c>
      <c r="F5821" s="17" t="s">
        <v>3258</v>
      </c>
      <c r="G5821" s="18" t="n">
        <v>945.07</v>
      </c>
      <c r="H5821" s="18" t="n">
        <v>0</v>
      </c>
      <c r="I5821" s="18" t="n">
        <f aca="false">((I5820 + G5821) - H5821)</f>
        <v>14154.61</v>
      </c>
      <c r="J5821" s="18" t="n">
        <v>94.51</v>
      </c>
      <c r="K5821" s="19" t="n">
        <v>10</v>
      </c>
      <c r="L5821" s="17" t="s">
        <v>44</v>
      </c>
    </row>
    <row r="5822" s="11" customFormat="true" ht="10.95" hidden="false" customHeight="true" outlineLevel="0" collapsed="false">
      <c r="A5822" s="16" t="n">
        <v>45178</v>
      </c>
      <c r="B5822" s="17" t="s">
        <v>3242</v>
      </c>
      <c r="C5822" s="17" t="s">
        <v>1390</v>
      </c>
      <c r="D5822" s="17" t="s">
        <v>1391</v>
      </c>
      <c r="E5822" s="17" t="s">
        <v>3259</v>
      </c>
      <c r="F5822" s="17" t="s">
        <v>3260</v>
      </c>
      <c r="G5822" s="18" t="n">
        <v>2961</v>
      </c>
      <c r="H5822" s="18" t="n">
        <v>0</v>
      </c>
      <c r="I5822" s="18" t="n">
        <f aca="false">((I5821 + G5822) - H5822)</f>
        <v>17115.61</v>
      </c>
      <c r="J5822" s="18" t="n">
        <v>296.1</v>
      </c>
      <c r="K5822" s="19" t="n">
        <v>10</v>
      </c>
      <c r="L5822" s="17" t="s">
        <v>44</v>
      </c>
    </row>
    <row r="5823" s="11" customFormat="true" ht="10.95" hidden="false" customHeight="true" outlineLevel="0" collapsed="false">
      <c r="A5823" s="16" t="n">
        <v>45190</v>
      </c>
      <c r="B5823" s="17" t="s">
        <v>3242</v>
      </c>
      <c r="C5823" s="17" t="s">
        <v>1390</v>
      </c>
      <c r="D5823" s="17" t="s">
        <v>1391</v>
      </c>
      <c r="E5823" s="17" t="s">
        <v>3261</v>
      </c>
      <c r="F5823" s="17" t="s">
        <v>3262</v>
      </c>
      <c r="G5823" s="18" t="n">
        <v>2641</v>
      </c>
      <c r="H5823" s="18" t="n">
        <v>0</v>
      </c>
      <c r="I5823" s="18" t="n">
        <f aca="false">((I5822 + G5823) - H5823)</f>
        <v>19756.61</v>
      </c>
      <c r="J5823" s="18" t="n">
        <v>264.1</v>
      </c>
      <c r="K5823" s="19" t="n">
        <v>10</v>
      </c>
      <c r="L5823" s="17" t="s">
        <v>44</v>
      </c>
    </row>
    <row r="5824" s="11" customFormat="true" ht="10.95" hidden="false" customHeight="true" outlineLevel="0" collapsed="false">
      <c r="A5824" s="16" t="n">
        <v>45201</v>
      </c>
      <c r="B5824" s="17" t="s">
        <v>3242</v>
      </c>
      <c r="C5824" s="17" t="s">
        <v>1390</v>
      </c>
      <c r="D5824" s="17" t="s">
        <v>1391</v>
      </c>
      <c r="E5824" s="17" t="s">
        <v>3263</v>
      </c>
      <c r="F5824" s="17" t="s">
        <v>3264</v>
      </c>
      <c r="G5824" s="18" t="n">
        <v>930.62</v>
      </c>
      <c r="H5824" s="18" t="n">
        <v>0</v>
      </c>
      <c r="I5824" s="18" t="n">
        <f aca="false">((I5823 + G5824) - H5824)</f>
        <v>20687.23</v>
      </c>
      <c r="J5824" s="18" t="n">
        <v>93.06</v>
      </c>
      <c r="K5824" s="19" t="n">
        <v>10</v>
      </c>
      <c r="L5824" s="17" t="s">
        <v>44</v>
      </c>
    </row>
    <row r="5825" s="11" customFormat="true" ht="10.95" hidden="false" customHeight="true" outlineLevel="0" collapsed="false">
      <c r="A5825" s="16" t="n">
        <v>45203</v>
      </c>
      <c r="B5825" s="17" t="s">
        <v>3242</v>
      </c>
      <c r="C5825" s="17" t="s">
        <v>1390</v>
      </c>
      <c r="D5825" s="17" t="s">
        <v>1391</v>
      </c>
      <c r="E5825" s="17" t="s">
        <v>3265</v>
      </c>
      <c r="F5825" s="17" t="s">
        <v>3266</v>
      </c>
      <c r="G5825" s="18" t="n">
        <v>199</v>
      </c>
      <c r="H5825" s="18" t="n">
        <v>0</v>
      </c>
      <c r="I5825" s="18" t="n">
        <f aca="false">((I5824 + G5825) - H5825)</f>
        <v>20886.23</v>
      </c>
      <c r="J5825" s="18" t="n">
        <v>19.9</v>
      </c>
      <c r="K5825" s="19" t="n">
        <v>10</v>
      </c>
      <c r="L5825" s="17" t="s">
        <v>44</v>
      </c>
    </row>
    <row r="5826" s="11" customFormat="true" ht="10.95" hidden="false" customHeight="true" outlineLevel="0" collapsed="false">
      <c r="A5826" s="16" t="n">
        <v>45208</v>
      </c>
      <c r="B5826" s="17" t="s">
        <v>3242</v>
      </c>
      <c r="C5826" s="17" t="s">
        <v>1390</v>
      </c>
      <c r="D5826" s="17" t="s">
        <v>1391</v>
      </c>
      <c r="E5826" s="17" t="s">
        <v>3267</v>
      </c>
      <c r="F5826" s="17" t="s">
        <v>3268</v>
      </c>
      <c r="G5826" s="18" t="n">
        <v>2785</v>
      </c>
      <c r="H5826" s="18" t="n">
        <v>0</v>
      </c>
      <c r="I5826" s="18" t="n">
        <f aca="false">((I5825 + G5826) - H5826)</f>
        <v>23671.23</v>
      </c>
      <c r="J5826" s="18" t="n">
        <v>278.5</v>
      </c>
      <c r="K5826" s="19" t="n">
        <v>10</v>
      </c>
      <c r="L5826" s="17" t="s">
        <v>44</v>
      </c>
    </row>
    <row r="5827" s="11" customFormat="true" ht="10.95" hidden="false" customHeight="true" outlineLevel="0" collapsed="false">
      <c r="A5827" s="16" t="n">
        <v>45221</v>
      </c>
      <c r="B5827" s="17" t="s">
        <v>3242</v>
      </c>
      <c r="C5827" s="17" t="s">
        <v>1390</v>
      </c>
      <c r="D5827" s="17" t="s">
        <v>1391</v>
      </c>
      <c r="E5827" s="17" t="s">
        <v>3269</v>
      </c>
      <c r="F5827" s="17" t="s">
        <v>3270</v>
      </c>
      <c r="G5827" s="18" t="n">
        <v>2641</v>
      </c>
      <c r="H5827" s="18" t="n">
        <v>0</v>
      </c>
      <c r="I5827" s="18" t="n">
        <f aca="false">((I5826 + G5827) - H5827)</f>
        <v>26312.23</v>
      </c>
      <c r="J5827" s="18" t="n">
        <v>264.1</v>
      </c>
      <c r="K5827" s="19" t="n">
        <v>10</v>
      </c>
      <c r="L5827" s="17" t="s">
        <v>44</v>
      </c>
    </row>
    <row r="5828" s="11" customFormat="true" ht="10.95" hidden="false" customHeight="true" outlineLevel="0" collapsed="false">
      <c r="A5828" s="16" t="n">
        <v>45233</v>
      </c>
      <c r="B5828" s="17" t="s">
        <v>3242</v>
      </c>
      <c r="C5828" s="17" t="s">
        <v>1390</v>
      </c>
      <c r="D5828" s="17" t="s">
        <v>1391</v>
      </c>
      <c r="E5828" s="17" t="s">
        <v>3271</v>
      </c>
      <c r="F5828" s="17" t="s">
        <v>3272</v>
      </c>
      <c r="G5828" s="18" t="n">
        <v>962.91</v>
      </c>
      <c r="H5828" s="18" t="n">
        <v>0</v>
      </c>
      <c r="I5828" s="18" t="n">
        <f aca="false">((I5827 + G5828) - H5828)</f>
        <v>27275.14</v>
      </c>
      <c r="J5828" s="18" t="n">
        <v>96.29</v>
      </c>
      <c r="K5828" s="19" t="n">
        <v>10</v>
      </c>
      <c r="L5828" s="17" t="s">
        <v>44</v>
      </c>
    </row>
    <row r="5829" s="11" customFormat="true" ht="10.95" hidden="false" customHeight="true" outlineLevel="0" collapsed="false">
      <c r="A5829" s="16" t="n">
        <v>45239</v>
      </c>
      <c r="B5829" s="17" t="s">
        <v>3242</v>
      </c>
      <c r="C5829" s="17" t="s">
        <v>1390</v>
      </c>
      <c r="D5829" s="17" t="s">
        <v>1391</v>
      </c>
      <c r="E5829" s="17" t="s">
        <v>3273</v>
      </c>
      <c r="F5829" s="17" t="s">
        <v>3274</v>
      </c>
      <c r="G5829" s="18" t="n">
        <v>2785</v>
      </c>
      <c r="H5829" s="18" t="n">
        <v>0</v>
      </c>
      <c r="I5829" s="18" t="n">
        <f aca="false">((I5828 + G5829) - H5829)</f>
        <v>30060.14</v>
      </c>
      <c r="J5829" s="18" t="n">
        <v>278.5</v>
      </c>
      <c r="K5829" s="19" t="n">
        <v>10</v>
      </c>
      <c r="L5829" s="17" t="s">
        <v>44</v>
      </c>
    </row>
    <row r="5830" s="11" customFormat="true" ht="10.95" hidden="false" customHeight="true" outlineLevel="0" collapsed="false">
      <c r="A5830" s="16" t="n">
        <v>45251</v>
      </c>
      <c r="B5830" s="17" t="s">
        <v>3242</v>
      </c>
      <c r="C5830" s="17" t="s">
        <v>1390</v>
      </c>
      <c r="D5830" s="17" t="s">
        <v>1391</v>
      </c>
      <c r="E5830" s="17" t="s">
        <v>3275</v>
      </c>
      <c r="F5830" s="17" t="s">
        <v>3276</v>
      </c>
      <c r="G5830" s="18" t="n">
        <v>2641</v>
      </c>
      <c r="H5830" s="18" t="n">
        <v>0</v>
      </c>
      <c r="I5830" s="18" t="n">
        <f aca="false">((I5829 + G5830) - H5830)</f>
        <v>32701.14</v>
      </c>
      <c r="J5830" s="18" t="n">
        <v>264.1</v>
      </c>
      <c r="K5830" s="19" t="n">
        <v>10</v>
      </c>
      <c r="L5830" s="17" t="s">
        <v>44</v>
      </c>
    </row>
    <row r="5831" s="11" customFormat="true" ht="10.95" hidden="false" customHeight="true" outlineLevel="0" collapsed="false">
      <c r="A5831" s="16" t="n">
        <v>45263</v>
      </c>
      <c r="B5831" s="17" t="s">
        <v>3242</v>
      </c>
      <c r="C5831" s="17" t="s">
        <v>1390</v>
      </c>
      <c r="D5831" s="17" t="s">
        <v>1391</v>
      </c>
      <c r="E5831" s="17" t="s">
        <v>3277</v>
      </c>
      <c r="F5831" s="17" t="s">
        <v>3278</v>
      </c>
      <c r="G5831" s="18" t="n">
        <v>916.84</v>
      </c>
      <c r="H5831" s="18" t="n">
        <v>0</v>
      </c>
      <c r="I5831" s="18" t="n">
        <f aca="false">((I5830 + G5831) - H5831)</f>
        <v>33617.98</v>
      </c>
      <c r="J5831" s="18" t="n">
        <v>91.68</v>
      </c>
      <c r="K5831" s="19" t="n">
        <v>10</v>
      </c>
      <c r="L5831" s="17" t="s">
        <v>44</v>
      </c>
    </row>
    <row r="5832" s="11" customFormat="true" ht="10.95" hidden="false" customHeight="true" outlineLevel="0" collapsed="false">
      <c r="A5832" s="16" t="n">
        <v>45269</v>
      </c>
      <c r="B5832" s="17" t="s">
        <v>3242</v>
      </c>
      <c r="C5832" s="17" t="s">
        <v>1390</v>
      </c>
      <c r="D5832" s="17" t="s">
        <v>1391</v>
      </c>
      <c r="E5832" s="17" t="s">
        <v>3279</v>
      </c>
      <c r="F5832" s="17" t="s">
        <v>3280</v>
      </c>
      <c r="G5832" s="18" t="n">
        <v>2785</v>
      </c>
      <c r="H5832" s="18" t="n">
        <v>0</v>
      </c>
      <c r="I5832" s="18" t="n">
        <f aca="false">((I5831 + G5832) - H5832)</f>
        <v>36402.98</v>
      </c>
      <c r="J5832" s="18" t="n">
        <v>278.5</v>
      </c>
      <c r="K5832" s="19" t="n">
        <v>10</v>
      </c>
      <c r="L5832" s="17" t="s">
        <v>44</v>
      </c>
    </row>
    <row r="5833" s="11" customFormat="true" ht="10.95" hidden="false" customHeight="true" outlineLevel="0" collapsed="false">
      <c r="A5833" s="16" t="n">
        <v>45282</v>
      </c>
      <c r="B5833" s="17" t="s">
        <v>3242</v>
      </c>
      <c r="C5833" s="17" t="s">
        <v>1390</v>
      </c>
      <c r="D5833" s="17" t="s">
        <v>1391</v>
      </c>
      <c r="E5833" s="17" t="s">
        <v>3281</v>
      </c>
      <c r="F5833" s="17" t="s">
        <v>3282</v>
      </c>
      <c r="G5833" s="18" t="n">
        <v>2641</v>
      </c>
      <c r="H5833" s="18" t="n">
        <v>0</v>
      </c>
      <c r="I5833" s="18" t="n">
        <f aca="false">((I5832 + G5833) - H5833)</f>
        <v>39043.98</v>
      </c>
      <c r="J5833" s="18" t="n">
        <v>264.1</v>
      </c>
      <c r="K5833" s="19" t="n">
        <v>10</v>
      </c>
      <c r="L5833" s="17" t="s">
        <v>44</v>
      </c>
    </row>
    <row r="5834" s="11" customFormat="true" ht="10.95" hidden="false" customHeight="true" outlineLevel="0" collapsed="false">
      <c r="A5834" s="16" t="n">
        <v>45294</v>
      </c>
      <c r="B5834" s="17" t="s">
        <v>3242</v>
      </c>
      <c r="C5834" s="17" t="s">
        <v>1390</v>
      </c>
      <c r="D5834" s="17" t="s">
        <v>1391</v>
      </c>
      <c r="E5834" s="17" t="s">
        <v>3283</v>
      </c>
      <c r="F5834" s="17" t="s">
        <v>3284</v>
      </c>
      <c r="G5834" s="18" t="n">
        <v>910.7</v>
      </c>
      <c r="H5834" s="18" t="n">
        <v>0</v>
      </c>
      <c r="I5834" s="18" t="n">
        <f aca="false">((I5833 + G5834) - H5834)</f>
        <v>39954.68</v>
      </c>
      <c r="J5834" s="18" t="n">
        <v>91.07</v>
      </c>
      <c r="K5834" s="19" t="n">
        <v>10</v>
      </c>
      <c r="L5834" s="17" t="s">
        <v>44</v>
      </c>
    </row>
    <row r="5835" s="11" customFormat="true" ht="10.95" hidden="false" customHeight="true" outlineLevel="0" collapsed="false">
      <c r="A5835" s="16" t="n">
        <v>45295</v>
      </c>
      <c r="B5835" s="17" t="s">
        <v>3242</v>
      </c>
      <c r="C5835" s="17" t="s">
        <v>1390</v>
      </c>
      <c r="D5835" s="17" t="s">
        <v>19</v>
      </c>
      <c r="E5835" s="17" t="s">
        <v>3285</v>
      </c>
      <c r="F5835" s="17" t="s">
        <v>3286</v>
      </c>
      <c r="G5835" s="18" t="n">
        <v>0</v>
      </c>
      <c r="H5835" s="18" t="n">
        <v>2757.7</v>
      </c>
      <c r="I5835" s="18" t="n">
        <f aca="false">((I5834 + G5835) - H5835)</f>
        <v>37196.98</v>
      </c>
      <c r="J5835" s="18" t="n">
        <v>0</v>
      </c>
      <c r="K5835" s="19" t="n">
        <v>0</v>
      </c>
      <c r="L5835" s="17" t="s">
        <v>1406</v>
      </c>
    </row>
    <row r="5836" s="11" customFormat="true" ht="10.95" hidden="false" customHeight="true" outlineLevel="0" collapsed="false">
      <c r="A5836" s="16" t="n">
        <v>45300</v>
      </c>
      <c r="B5836" s="17" t="s">
        <v>3242</v>
      </c>
      <c r="C5836" s="17" t="s">
        <v>1390</v>
      </c>
      <c r="D5836" s="17" t="s">
        <v>1391</v>
      </c>
      <c r="E5836" s="17" t="s">
        <v>3287</v>
      </c>
      <c r="F5836" s="17" t="s">
        <v>3288</v>
      </c>
      <c r="G5836" s="18" t="n">
        <v>3843.01</v>
      </c>
      <c r="H5836" s="18" t="n">
        <v>0</v>
      </c>
      <c r="I5836" s="18" t="n">
        <f aca="false">((I5835 + G5836) - H5836)</f>
        <v>41039.99</v>
      </c>
      <c r="J5836" s="18" t="n">
        <v>384.3</v>
      </c>
      <c r="K5836" s="19" t="n">
        <v>10</v>
      </c>
      <c r="L5836" s="17" t="s">
        <v>44</v>
      </c>
    </row>
    <row r="5837" s="11" customFormat="true" ht="10.95" hidden="false" customHeight="true" outlineLevel="0" collapsed="false">
      <c r="A5837" s="16" t="n">
        <v>45310</v>
      </c>
      <c r="B5837" s="17" t="s">
        <v>3242</v>
      </c>
      <c r="C5837" s="17" t="s">
        <v>1390</v>
      </c>
      <c r="D5837" s="17" t="s">
        <v>1391</v>
      </c>
      <c r="E5837" s="17" t="s">
        <v>3289</v>
      </c>
      <c r="F5837" s="17" t="s">
        <v>3036</v>
      </c>
      <c r="G5837" s="18" t="n">
        <v>3757.9</v>
      </c>
      <c r="H5837" s="18" t="n">
        <v>0</v>
      </c>
      <c r="I5837" s="18" t="n">
        <f aca="false">((I5836 + G5837) - H5837)</f>
        <v>44797.89</v>
      </c>
      <c r="J5837" s="18" t="n">
        <v>0</v>
      </c>
      <c r="K5837" s="19" t="n">
        <v>0</v>
      </c>
      <c r="L5837" s="17" t="s">
        <v>1406</v>
      </c>
    </row>
    <row r="5838" s="11" customFormat="true" ht="10.95" hidden="false" customHeight="true" outlineLevel="0" collapsed="false">
      <c r="A5838" s="16" t="n">
        <v>45313</v>
      </c>
      <c r="B5838" s="17" t="s">
        <v>3242</v>
      </c>
      <c r="C5838" s="17" t="s">
        <v>1390</v>
      </c>
      <c r="D5838" s="17" t="s">
        <v>1391</v>
      </c>
      <c r="E5838" s="17" t="s">
        <v>3290</v>
      </c>
      <c r="F5838" s="17" t="s">
        <v>3291</v>
      </c>
      <c r="G5838" s="18" t="n">
        <v>2641</v>
      </c>
      <c r="H5838" s="18" t="n">
        <v>0</v>
      </c>
      <c r="I5838" s="18" t="n">
        <f aca="false">((I5837 + G5838) - H5838)</f>
        <v>47438.89</v>
      </c>
      <c r="J5838" s="18" t="n">
        <v>264.1</v>
      </c>
      <c r="K5838" s="19" t="n">
        <v>10</v>
      </c>
      <c r="L5838" s="17" t="s">
        <v>44</v>
      </c>
    </row>
    <row r="5839" s="11" customFormat="true" ht="10.95" hidden="false" customHeight="true" outlineLevel="0" collapsed="false">
      <c r="A5839" s="16" t="n">
        <v>45323</v>
      </c>
      <c r="B5839" s="17" t="s">
        <v>3242</v>
      </c>
      <c r="C5839" s="17" t="s">
        <v>1390</v>
      </c>
      <c r="D5839" s="17" t="s">
        <v>1391</v>
      </c>
      <c r="E5839" s="17" t="s">
        <v>3292</v>
      </c>
      <c r="F5839" s="17" t="s">
        <v>3090</v>
      </c>
      <c r="G5839" s="18" t="n">
        <v>2115.52</v>
      </c>
      <c r="H5839" s="18" t="n">
        <v>0</v>
      </c>
      <c r="I5839" s="18" t="n">
        <f aca="false">((I5838 + G5839) - H5839)</f>
        <v>49554.41</v>
      </c>
      <c r="J5839" s="18" t="n">
        <v>0</v>
      </c>
      <c r="K5839" s="19" t="n">
        <v>0</v>
      </c>
      <c r="L5839" s="17" t="s">
        <v>1406</v>
      </c>
    </row>
    <row r="5840" s="11" customFormat="true" ht="10.95" hidden="false" customHeight="true" outlineLevel="0" collapsed="false">
      <c r="A5840" s="16" t="n">
        <v>45324</v>
      </c>
      <c r="B5840" s="17" t="s">
        <v>3242</v>
      </c>
      <c r="C5840" s="17" t="s">
        <v>1390</v>
      </c>
      <c r="D5840" s="17" t="s">
        <v>1391</v>
      </c>
      <c r="E5840" s="17" t="s">
        <v>3293</v>
      </c>
      <c r="F5840" s="17" t="s">
        <v>3294</v>
      </c>
      <c r="G5840" s="18" t="n">
        <v>920.35</v>
      </c>
      <c r="H5840" s="18" t="n">
        <v>0</v>
      </c>
      <c r="I5840" s="18" t="n">
        <f aca="false">((I5839 + G5840) - H5840)</f>
        <v>50474.76</v>
      </c>
      <c r="J5840" s="18" t="n">
        <v>92.03</v>
      </c>
      <c r="K5840" s="19" t="n">
        <v>10</v>
      </c>
      <c r="L5840" s="17" t="s">
        <v>44</v>
      </c>
    </row>
    <row r="5841" s="11" customFormat="true" ht="10.95" hidden="false" customHeight="true" outlineLevel="0" collapsed="false">
      <c r="A5841" s="16" t="n">
        <v>45331</v>
      </c>
      <c r="B5841" s="17" t="s">
        <v>3242</v>
      </c>
      <c r="C5841" s="17" t="s">
        <v>1390</v>
      </c>
      <c r="D5841" s="17" t="s">
        <v>1391</v>
      </c>
      <c r="E5841" s="17" t="s">
        <v>3295</v>
      </c>
      <c r="F5841" s="17" t="s">
        <v>3296</v>
      </c>
      <c r="G5841" s="18" t="n">
        <v>2785</v>
      </c>
      <c r="H5841" s="18" t="n">
        <v>0</v>
      </c>
      <c r="I5841" s="18" t="n">
        <f aca="false">((I5840 + G5841) - H5841)</f>
        <v>53259.76</v>
      </c>
      <c r="J5841" s="18" t="n">
        <v>278.5</v>
      </c>
      <c r="K5841" s="19" t="n">
        <v>10</v>
      </c>
      <c r="L5841" s="17" t="s">
        <v>44</v>
      </c>
    </row>
    <row r="5842" s="11" customFormat="true" ht="10.95" hidden="false" customHeight="true" outlineLevel="0" collapsed="false">
      <c r="A5842" s="16" t="n">
        <v>45342</v>
      </c>
      <c r="B5842" s="17" t="s">
        <v>3242</v>
      </c>
      <c r="C5842" s="17" t="s">
        <v>1390</v>
      </c>
      <c r="D5842" s="17" t="s">
        <v>1391</v>
      </c>
      <c r="E5842" s="17" t="s">
        <v>3297</v>
      </c>
      <c r="F5842" s="17" t="s">
        <v>3298</v>
      </c>
      <c r="G5842" s="18" t="n">
        <v>3436</v>
      </c>
      <c r="H5842" s="18" t="n">
        <v>0</v>
      </c>
      <c r="I5842" s="18" t="n">
        <f aca="false">((I5841 + G5842) - H5842)</f>
        <v>56695.76</v>
      </c>
      <c r="J5842" s="18" t="n">
        <v>343.6</v>
      </c>
      <c r="K5842" s="19" t="n">
        <v>10</v>
      </c>
      <c r="L5842" s="17" t="s">
        <v>44</v>
      </c>
    </row>
    <row r="5843" s="11" customFormat="true" ht="10.95" hidden="false" customHeight="true" outlineLevel="0" collapsed="false">
      <c r="A5843" s="16" t="n">
        <v>45342</v>
      </c>
      <c r="B5843" s="17" t="s">
        <v>3242</v>
      </c>
      <c r="C5843" s="17" t="s">
        <v>1390</v>
      </c>
      <c r="D5843" s="17" t="s">
        <v>1391</v>
      </c>
      <c r="E5843" s="17" t="s">
        <v>3299</v>
      </c>
      <c r="F5843" s="17" t="s">
        <v>3300</v>
      </c>
      <c r="G5843" s="18" t="n">
        <v>305</v>
      </c>
      <c r="H5843" s="18" t="n">
        <v>0</v>
      </c>
      <c r="I5843" s="18" t="n">
        <f aca="false">((I5842 + G5843) - H5843)</f>
        <v>57000.76</v>
      </c>
      <c r="J5843" s="18" t="n">
        <v>30.5</v>
      </c>
      <c r="K5843" s="19" t="n">
        <v>10</v>
      </c>
      <c r="L5843" s="17" t="s">
        <v>44</v>
      </c>
    </row>
    <row r="5844" s="11" customFormat="true" ht="10.95" hidden="false" customHeight="true" outlineLevel="0" collapsed="false">
      <c r="A5844" s="16" t="n">
        <v>45352</v>
      </c>
      <c r="B5844" s="17" t="s">
        <v>3242</v>
      </c>
      <c r="C5844" s="17" t="s">
        <v>1390</v>
      </c>
      <c r="D5844" s="17" t="s">
        <v>1391</v>
      </c>
      <c r="E5844" s="17" t="s">
        <v>3301</v>
      </c>
      <c r="F5844" s="17" t="s">
        <v>3099</v>
      </c>
      <c r="G5844" s="18" t="n">
        <v>1942.71</v>
      </c>
      <c r="H5844" s="18" t="n">
        <v>0</v>
      </c>
      <c r="I5844" s="18" t="n">
        <f aca="false">((I5843 + G5844) - H5844)</f>
        <v>58943.47</v>
      </c>
      <c r="J5844" s="18" t="n">
        <v>0</v>
      </c>
      <c r="K5844" s="19" t="n">
        <v>0</v>
      </c>
      <c r="L5844" s="17" t="s">
        <v>1406</v>
      </c>
    </row>
    <row r="5845" s="11" customFormat="true" ht="10.95" hidden="false" customHeight="true" outlineLevel="0" collapsed="false">
      <c r="A5845" s="16" t="n">
        <v>45353</v>
      </c>
      <c r="B5845" s="17" t="s">
        <v>3242</v>
      </c>
      <c r="C5845" s="17" t="s">
        <v>1390</v>
      </c>
      <c r="D5845" s="17" t="s">
        <v>1391</v>
      </c>
      <c r="E5845" s="17" t="s">
        <v>3302</v>
      </c>
      <c r="F5845" s="17" t="s">
        <v>3303</v>
      </c>
      <c r="G5845" s="18" t="n">
        <v>1524.85</v>
      </c>
      <c r="H5845" s="18" t="n">
        <v>0</v>
      </c>
      <c r="I5845" s="18" t="n">
        <f aca="false">((I5844 + G5845) - H5845)</f>
        <v>60468.32</v>
      </c>
      <c r="J5845" s="18" t="n">
        <v>152.48</v>
      </c>
      <c r="K5845" s="19" t="n">
        <v>10</v>
      </c>
      <c r="L5845" s="17" t="s">
        <v>44</v>
      </c>
    </row>
    <row r="5846" s="11" customFormat="true" ht="10.95" hidden="false" customHeight="true" outlineLevel="0" collapsed="false">
      <c r="A5846" s="16" t="n">
        <v>45360</v>
      </c>
      <c r="B5846" s="17" t="s">
        <v>3242</v>
      </c>
      <c r="C5846" s="17" t="s">
        <v>1390</v>
      </c>
      <c r="D5846" s="17" t="s">
        <v>1391</v>
      </c>
      <c r="E5846" s="17" t="s">
        <v>3304</v>
      </c>
      <c r="F5846" s="17" t="s">
        <v>3305</v>
      </c>
      <c r="G5846" s="18" t="n">
        <v>3657.59</v>
      </c>
      <c r="H5846" s="18" t="n">
        <v>0</v>
      </c>
      <c r="I5846" s="18" t="n">
        <f aca="false">((I5845 + G5846) - H5846)</f>
        <v>64125.91</v>
      </c>
      <c r="J5846" s="18" t="n">
        <v>365.76</v>
      </c>
      <c r="K5846" s="19" t="n">
        <v>10</v>
      </c>
      <c r="L5846" s="17" t="s">
        <v>44</v>
      </c>
    </row>
    <row r="5847" s="11" customFormat="true" ht="10.95" hidden="false" customHeight="true" outlineLevel="0" collapsed="false">
      <c r="A5847" s="16" t="n">
        <v>45373</v>
      </c>
      <c r="B5847" s="17" t="s">
        <v>3242</v>
      </c>
      <c r="C5847" s="17" t="s">
        <v>1390</v>
      </c>
      <c r="D5847" s="17" t="s">
        <v>1391</v>
      </c>
      <c r="E5847" s="17" t="s">
        <v>3306</v>
      </c>
      <c r="F5847" s="17" t="s">
        <v>3307</v>
      </c>
      <c r="G5847" s="18" t="n">
        <v>2563.41</v>
      </c>
      <c r="H5847" s="18" t="n">
        <v>0</v>
      </c>
      <c r="I5847" s="18" t="n">
        <f aca="false">((I5846 + G5847) - H5847)</f>
        <v>66689.32</v>
      </c>
      <c r="J5847" s="18" t="n">
        <v>256.34</v>
      </c>
      <c r="K5847" s="19" t="n">
        <v>10</v>
      </c>
      <c r="L5847" s="17" t="s">
        <v>44</v>
      </c>
    </row>
    <row r="5848" s="11" customFormat="true" ht="10.95" hidden="false" customHeight="true" outlineLevel="0" collapsed="false">
      <c r="A5848" s="16" t="n">
        <v>45383</v>
      </c>
      <c r="B5848" s="17" t="s">
        <v>3242</v>
      </c>
      <c r="C5848" s="17" t="s">
        <v>1390</v>
      </c>
      <c r="D5848" s="17" t="s">
        <v>1391</v>
      </c>
      <c r="E5848" s="17" t="s">
        <v>3308</v>
      </c>
      <c r="F5848" s="17" t="s">
        <v>3140</v>
      </c>
      <c r="G5848" s="18" t="n">
        <v>3048.44</v>
      </c>
      <c r="H5848" s="18" t="n">
        <v>0</v>
      </c>
      <c r="I5848" s="18" t="n">
        <f aca="false">((I5847 + G5848) - H5848)</f>
        <v>69737.76</v>
      </c>
      <c r="J5848" s="18" t="n">
        <v>0</v>
      </c>
      <c r="K5848" s="19" t="n">
        <v>0</v>
      </c>
      <c r="L5848" s="17" t="s">
        <v>1406</v>
      </c>
    </row>
    <row r="5849" s="11" customFormat="true" ht="10.95" hidden="false" customHeight="true" outlineLevel="0" collapsed="false">
      <c r="A5849" s="16" t="n">
        <v>45385</v>
      </c>
      <c r="B5849" s="17" t="s">
        <v>3242</v>
      </c>
      <c r="C5849" s="17" t="s">
        <v>1390</v>
      </c>
      <c r="D5849" s="17" t="s">
        <v>1391</v>
      </c>
      <c r="E5849" s="17" t="s">
        <v>3309</v>
      </c>
      <c r="F5849" s="17" t="s">
        <v>3310</v>
      </c>
      <c r="G5849" s="18" t="n">
        <v>891.35</v>
      </c>
      <c r="H5849" s="18" t="n">
        <v>0</v>
      </c>
      <c r="I5849" s="18" t="n">
        <f aca="false">((I5848 + G5849) - H5849)</f>
        <v>70629.11</v>
      </c>
      <c r="J5849" s="18" t="n">
        <v>89.14</v>
      </c>
      <c r="K5849" s="19" t="n">
        <v>10</v>
      </c>
      <c r="L5849" s="17" t="s">
        <v>44</v>
      </c>
    </row>
    <row r="5850" s="11" customFormat="true" ht="10.95" hidden="false" customHeight="true" outlineLevel="0" collapsed="false">
      <c r="A5850" s="16" t="n">
        <v>45390</v>
      </c>
      <c r="B5850" s="17" t="s">
        <v>3242</v>
      </c>
      <c r="C5850" s="17" t="s">
        <v>1390</v>
      </c>
      <c r="D5850" s="17" t="s">
        <v>1391</v>
      </c>
      <c r="E5850" s="17" t="s">
        <v>3311</v>
      </c>
      <c r="F5850" s="17" t="s">
        <v>3312</v>
      </c>
      <c r="G5850" s="18" t="n">
        <v>597.28</v>
      </c>
      <c r="H5850" s="18" t="n">
        <v>0</v>
      </c>
      <c r="I5850" s="18" t="n">
        <f aca="false">((I5849 + G5850) - H5850)</f>
        <v>71226.39</v>
      </c>
      <c r="J5850" s="18" t="n">
        <v>59.73</v>
      </c>
      <c r="K5850" s="19" t="n">
        <v>10</v>
      </c>
      <c r="L5850" s="17" t="s">
        <v>44</v>
      </c>
    </row>
    <row r="5851" s="11" customFormat="true" ht="10.95" hidden="false" customHeight="true" outlineLevel="0" collapsed="false">
      <c r="A5851" s="16" t="n">
        <v>45391</v>
      </c>
      <c r="B5851" s="17" t="s">
        <v>3242</v>
      </c>
      <c r="C5851" s="17" t="s">
        <v>1390</v>
      </c>
      <c r="D5851" s="17" t="s">
        <v>1391</v>
      </c>
      <c r="E5851" s="17" t="s">
        <v>3313</v>
      </c>
      <c r="F5851" s="17" t="s">
        <v>3314</v>
      </c>
      <c r="G5851" s="18" t="n">
        <v>2785</v>
      </c>
      <c r="H5851" s="18" t="n">
        <v>0</v>
      </c>
      <c r="I5851" s="18" t="n">
        <f aca="false">((I5850 + G5851) - H5851)</f>
        <v>74011.39</v>
      </c>
      <c r="J5851" s="18" t="n">
        <v>278.5</v>
      </c>
      <c r="K5851" s="19" t="n">
        <v>10</v>
      </c>
      <c r="L5851" s="17" t="s">
        <v>44</v>
      </c>
    </row>
    <row r="5852" s="11" customFormat="true" ht="10.95" hidden="false" customHeight="true" outlineLevel="0" collapsed="false">
      <c r="A5852" s="16" t="n">
        <v>45403</v>
      </c>
      <c r="B5852" s="17" t="s">
        <v>3242</v>
      </c>
      <c r="C5852" s="17" t="s">
        <v>1390</v>
      </c>
      <c r="D5852" s="17" t="s">
        <v>1391</v>
      </c>
      <c r="E5852" s="17" t="s">
        <v>3315</v>
      </c>
      <c r="F5852" s="17" t="s">
        <v>3316</v>
      </c>
      <c r="G5852" s="18" t="n">
        <v>3531</v>
      </c>
      <c r="H5852" s="18" t="n">
        <v>0</v>
      </c>
      <c r="I5852" s="18" t="n">
        <f aca="false">((I5851 + G5852) - H5852)</f>
        <v>77542.39</v>
      </c>
      <c r="J5852" s="18" t="n">
        <v>353.1</v>
      </c>
      <c r="K5852" s="19" t="n">
        <v>10</v>
      </c>
      <c r="L5852" s="17" t="s">
        <v>44</v>
      </c>
    </row>
    <row r="5853" s="11" customFormat="true" ht="10.95" hidden="false" customHeight="true" outlineLevel="0" collapsed="false">
      <c r="A5853" s="16" t="n">
        <v>45413</v>
      </c>
      <c r="B5853" s="17" t="s">
        <v>3242</v>
      </c>
      <c r="C5853" s="17" t="s">
        <v>1390</v>
      </c>
      <c r="D5853" s="17" t="s">
        <v>1391</v>
      </c>
      <c r="E5853" s="17" t="s">
        <v>3317</v>
      </c>
      <c r="F5853" s="17" t="s">
        <v>3182</v>
      </c>
      <c r="G5853" s="18" t="n">
        <v>2496.15</v>
      </c>
      <c r="H5853" s="18" t="n">
        <v>0</v>
      </c>
      <c r="I5853" s="18" t="n">
        <f aca="false">((I5852 + G5853) - H5853)</f>
        <v>80038.54</v>
      </c>
      <c r="J5853" s="18" t="n">
        <v>0</v>
      </c>
      <c r="K5853" s="19" t="n">
        <v>0</v>
      </c>
      <c r="L5853" s="17" t="s">
        <v>1406</v>
      </c>
    </row>
    <row r="5854" s="11" customFormat="true" ht="10.95" hidden="false" customHeight="true" outlineLevel="0" collapsed="false">
      <c r="A5854" s="16" t="n">
        <v>45413</v>
      </c>
      <c r="B5854" s="17" t="s">
        <v>3242</v>
      </c>
      <c r="C5854" s="17" t="s">
        <v>1390</v>
      </c>
      <c r="D5854" s="17" t="s">
        <v>1391</v>
      </c>
      <c r="E5854" s="17" t="s">
        <v>3318</v>
      </c>
      <c r="F5854" s="17" t="s">
        <v>3147</v>
      </c>
      <c r="G5854" s="18" t="n">
        <v>2164.76</v>
      </c>
      <c r="H5854" s="18" t="n">
        <v>0</v>
      </c>
      <c r="I5854" s="18" t="n">
        <f aca="false">((I5853 + G5854) - H5854)</f>
        <v>82203.3</v>
      </c>
      <c r="J5854" s="18" t="n">
        <v>0</v>
      </c>
      <c r="K5854" s="19" t="n">
        <v>0</v>
      </c>
      <c r="L5854" s="17" t="s">
        <v>1406</v>
      </c>
    </row>
    <row r="5855" s="11" customFormat="true" ht="10.95" hidden="false" customHeight="true" outlineLevel="0" collapsed="false">
      <c r="A5855" s="16" t="n">
        <v>45414</v>
      </c>
      <c r="B5855" s="17" t="s">
        <v>3242</v>
      </c>
      <c r="C5855" s="17" t="s">
        <v>1390</v>
      </c>
      <c r="D5855" s="17" t="s">
        <v>1391</v>
      </c>
      <c r="E5855" s="17" t="s">
        <v>3319</v>
      </c>
      <c r="F5855" s="17" t="s">
        <v>3320</v>
      </c>
      <c r="G5855" s="18" t="n">
        <v>154.11</v>
      </c>
      <c r="H5855" s="18" t="n">
        <v>0</v>
      </c>
      <c r="I5855" s="18" t="n">
        <f aca="false">((I5854 + G5855) - H5855)</f>
        <v>82357.41</v>
      </c>
      <c r="J5855" s="18" t="n">
        <v>15.41</v>
      </c>
      <c r="K5855" s="19" t="n">
        <v>10</v>
      </c>
      <c r="L5855" s="17" t="s">
        <v>44</v>
      </c>
    </row>
    <row r="5856" s="11" customFormat="true" ht="10.95" hidden="false" customHeight="true" outlineLevel="0" collapsed="false">
      <c r="A5856" s="16" t="n">
        <v>45420</v>
      </c>
      <c r="B5856" s="17" t="s">
        <v>3242</v>
      </c>
      <c r="C5856" s="17" t="s">
        <v>1390</v>
      </c>
      <c r="D5856" s="17" t="s">
        <v>1391</v>
      </c>
      <c r="E5856" s="17" t="s">
        <v>3321</v>
      </c>
      <c r="F5856" s="17" t="s">
        <v>3322</v>
      </c>
      <c r="G5856" s="18" t="n">
        <v>529.59</v>
      </c>
      <c r="H5856" s="18" t="n">
        <v>0</v>
      </c>
      <c r="I5856" s="18" t="n">
        <f aca="false">((I5855 + G5856) - H5856)</f>
        <v>82887</v>
      </c>
      <c r="J5856" s="18" t="n">
        <v>52.96</v>
      </c>
      <c r="K5856" s="19" t="n">
        <v>10</v>
      </c>
      <c r="L5856" s="17" t="s">
        <v>44</v>
      </c>
    </row>
    <row r="5857" s="11" customFormat="true" ht="10.95" hidden="false" customHeight="true" outlineLevel="0" collapsed="false">
      <c r="A5857" s="16" t="n">
        <v>45421</v>
      </c>
      <c r="B5857" s="17" t="s">
        <v>3242</v>
      </c>
      <c r="C5857" s="17" t="s">
        <v>1390</v>
      </c>
      <c r="D5857" s="17" t="s">
        <v>1391</v>
      </c>
      <c r="E5857" s="17" t="s">
        <v>3323</v>
      </c>
      <c r="F5857" s="17" t="s">
        <v>3324</v>
      </c>
      <c r="G5857" s="18" t="n">
        <v>2785</v>
      </c>
      <c r="H5857" s="18" t="n">
        <v>0</v>
      </c>
      <c r="I5857" s="18" t="n">
        <f aca="false">((I5856 + G5857) - H5857)</f>
        <v>85672</v>
      </c>
      <c r="J5857" s="18" t="n">
        <v>278.5</v>
      </c>
      <c r="K5857" s="19" t="n">
        <v>10</v>
      </c>
      <c r="L5857" s="17" t="s">
        <v>44</v>
      </c>
    </row>
    <row r="5858" s="11" customFormat="true" ht="10.95" hidden="false" customHeight="true" outlineLevel="0" collapsed="false">
      <c r="A5858" s="16" t="n">
        <v>45434</v>
      </c>
      <c r="B5858" s="17" t="s">
        <v>3242</v>
      </c>
      <c r="C5858" s="17" t="s">
        <v>1390</v>
      </c>
      <c r="D5858" s="17" t="s">
        <v>1391</v>
      </c>
      <c r="E5858" s="17" t="s">
        <v>3325</v>
      </c>
      <c r="F5858" s="17" t="s">
        <v>3326</v>
      </c>
      <c r="G5858" s="18" t="n">
        <v>3531</v>
      </c>
      <c r="H5858" s="18" t="n">
        <v>0</v>
      </c>
      <c r="I5858" s="18" t="n">
        <f aca="false">((I5857 + G5858) - H5858)</f>
        <v>89203</v>
      </c>
      <c r="J5858" s="18" t="n">
        <v>353.1</v>
      </c>
      <c r="K5858" s="19" t="n">
        <v>10</v>
      </c>
      <c r="L5858" s="17" t="s">
        <v>44</v>
      </c>
    </row>
    <row r="5859" s="11" customFormat="true" ht="10.95" hidden="false" customHeight="true" outlineLevel="0" collapsed="false">
      <c r="A5859" s="16" t="n">
        <v>45439</v>
      </c>
      <c r="B5859" s="17" t="s">
        <v>3242</v>
      </c>
      <c r="C5859" s="17" t="s">
        <v>1390</v>
      </c>
      <c r="D5859" s="17" t="s">
        <v>1391</v>
      </c>
      <c r="E5859" s="17" t="s">
        <v>3327</v>
      </c>
      <c r="F5859" s="17" t="s">
        <v>3158</v>
      </c>
      <c r="G5859" s="18" t="n">
        <v>3980.47</v>
      </c>
      <c r="H5859" s="18" t="n">
        <v>0</v>
      </c>
      <c r="I5859" s="18" t="n">
        <f aca="false">((I5858 + G5859) - H5859)</f>
        <v>93183.47</v>
      </c>
      <c r="J5859" s="18" t="n">
        <v>0</v>
      </c>
      <c r="K5859" s="19" t="n">
        <v>0</v>
      </c>
      <c r="L5859" s="17" t="s">
        <v>1406</v>
      </c>
    </row>
    <row r="5860" s="11" customFormat="true" ht="10.95" hidden="false" customHeight="true" outlineLevel="0" collapsed="false">
      <c r="A5860" s="16" t="n">
        <v>45444</v>
      </c>
      <c r="B5860" s="17" t="s">
        <v>3242</v>
      </c>
      <c r="C5860" s="17" t="s">
        <v>1390</v>
      </c>
      <c r="D5860" s="17" t="s">
        <v>1391</v>
      </c>
      <c r="E5860" s="17" t="s">
        <v>3328</v>
      </c>
      <c r="F5860" s="17" t="s">
        <v>3329</v>
      </c>
      <c r="G5860" s="18" t="n">
        <v>3535.59</v>
      </c>
      <c r="H5860" s="18" t="n">
        <v>0</v>
      </c>
      <c r="I5860" s="18" t="n">
        <f aca="false">((I5859 + G5860) - H5860)</f>
        <v>96719.06</v>
      </c>
      <c r="J5860" s="18" t="n">
        <v>0</v>
      </c>
      <c r="K5860" s="19" t="n">
        <v>0</v>
      </c>
      <c r="L5860" s="17" t="s">
        <v>1406</v>
      </c>
    </row>
    <row r="5861" s="11" customFormat="true" ht="10.95" hidden="false" customHeight="true" outlineLevel="0" collapsed="false">
      <c r="A5861" s="16" t="n">
        <v>45444</v>
      </c>
      <c r="B5861" s="17" t="s">
        <v>3242</v>
      </c>
      <c r="C5861" s="17" t="s">
        <v>1390</v>
      </c>
      <c r="D5861" s="17" t="s">
        <v>1391</v>
      </c>
      <c r="E5861" s="17" t="s">
        <v>3330</v>
      </c>
      <c r="F5861" s="17" t="s">
        <v>3331</v>
      </c>
      <c r="G5861" s="18" t="n">
        <v>4258.94</v>
      </c>
      <c r="H5861" s="18" t="n">
        <v>0</v>
      </c>
      <c r="I5861" s="18" t="n">
        <f aca="false">((I5860 + G5861) - H5861)</f>
        <v>100978</v>
      </c>
      <c r="J5861" s="18" t="n">
        <v>0</v>
      </c>
      <c r="K5861" s="19" t="n">
        <v>0</v>
      </c>
      <c r="L5861" s="17" t="s">
        <v>1406</v>
      </c>
    </row>
    <row r="5862" s="11" customFormat="true" ht="10.95" hidden="false" customHeight="true" outlineLevel="0" collapsed="false">
      <c r="A5862" s="16" t="n">
        <v>45445</v>
      </c>
      <c r="B5862" s="17" t="s">
        <v>3242</v>
      </c>
      <c r="C5862" s="17" t="s">
        <v>1390</v>
      </c>
      <c r="D5862" s="17" t="s">
        <v>1391</v>
      </c>
      <c r="E5862" s="17" t="s">
        <v>3332</v>
      </c>
      <c r="F5862" s="17" t="s">
        <v>3333</v>
      </c>
      <c r="G5862" s="18" t="n">
        <v>173.28</v>
      </c>
      <c r="H5862" s="18" t="n">
        <v>0</v>
      </c>
      <c r="I5862" s="18" t="n">
        <f aca="false">((I5861 + G5862) - H5862)</f>
        <v>101151.28</v>
      </c>
      <c r="J5862" s="18" t="n">
        <v>17.33</v>
      </c>
      <c r="K5862" s="19" t="n">
        <v>10</v>
      </c>
      <c r="L5862" s="17" t="s">
        <v>44</v>
      </c>
    </row>
    <row r="5863" s="11" customFormat="true" ht="10.95" hidden="false" customHeight="true" outlineLevel="0" collapsed="false">
      <c r="A5863" s="16" t="n">
        <v>45451</v>
      </c>
      <c r="B5863" s="17" t="s">
        <v>3242</v>
      </c>
      <c r="C5863" s="17" t="s">
        <v>1390</v>
      </c>
      <c r="D5863" s="17" t="s">
        <v>1391</v>
      </c>
      <c r="E5863" s="17" t="s">
        <v>3334</v>
      </c>
      <c r="F5863" s="17" t="s">
        <v>3335</v>
      </c>
      <c r="G5863" s="18" t="n">
        <v>541.2</v>
      </c>
      <c r="H5863" s="18" t="n">
        <v>0</v>
      </c>
      <c r="I5863" s="18" t="n">
        <f aca="false">((I5862 + G5863) - H5863)</f>
        <v>101692.48</v>
      </c>
      <c r="J5863" s="18" t="n">
        <v>54.12</v>
      </c>
      <c r="K5863" s="19" t="n">
        <v>10</v>
      </c>
      <c r="L5863" s="17" t="s">
        <v>44</v>
      </c>
    </row>
    <row r="5864" s="11" customFormat="true" ht="10.95" hidden="false" customHeight="true" outlineLevel="0" collapsed="false">
      <c r="A5864" s="16" t="n">
        <v>45452</v>
      </c>
      <c r="B5864" s="17" t="s">
        <v>3242</v>
      </c>
      <c r="C5864" s="17" t="s">
        <v>1390</v>
      </c>
      <c r="D5864" s="17" t="s">
        <v>1391</v>
      </c>
      <c r="E5864" s="17" t="s">
        <v>3336</v>
      </c>
      <c r="F5864" s="17" t="s">
        <v>3337</v>
      </c>
      <c r="G5864" s="18" t="n">
        <v>2785</v>
      </c>
      <c r="H5864" s="18" t="n">
        <v>0</v>
      </c>
      <c r="I5864" s="18" t="n">
        <f aca="false">((I5863 + G5864) - H5864)</f>
        <v>104477.48</v>
      </c>
      <c r="J5864" s="18" t="n">
        <v>278.5</v>
      </c>
      <c r="K5864" s="19" t="n">
        <v>10</v>
      </c>
      <c r="L5864" s="17" t="s">
        <v>44</v>
      </c>
    </row>
    <row r="5865" s="11" customFormat="true" ht="10.95" hidden="false" customHeight="true" outlineLevel="0" collapsed="false">
      <c r="A5865" s="16" t="n">
        <v>45457</v>
      </c>
      <c r="B5865" s="17" t="s">
        <v>3242</v>
      </c>
      <c r="C5865" s="17" t="s">
        <v>1390</v>
      </c>
      <c r="D5865" s="17" t="s">
        <v>1391</v>
      </c>
      <c r="E5865" s="17" t="s">
        <v>3338</v>
      </c>
      <c r="F5865" s="17" t="s">
        <v>3339</v>
      </c>
      <c r="G5865" s="18" t="n">
        <v>199</v>
      </c>
      <c r="H5865" s="18" t="n">
        <v>0</v>
      </c>
      <c r="I5865" s="18" t="n">
        <f aca="false">((I5864 + G5865) - H5865)</f>
        <v>104676.48</v>
      </c>
      <c r="J5865" s="18" t="n">
        <v>19.9</v>
      </c>
      <c r="K5865" s="19" t="n">
        <v>10</v>
      </c>
      <c r="L5865" s="17" t="s">
        <v>44</v>
      </c>
    </row>
    <row r="5866" s="11" customFormat="true" ht="10.95" hidden="false" customHeight="true" outlineLevel="0" collapsed="false">
      <c r="A5866" s="16" t="n">
        <v>45459</v>
      </c>
      <c r="B5866" s="17" t="s">
        <v>3242</v>
      </c>
      <c r="C5866" s="17" t="s">
        <v>1390</v>
      </c>
      <c r="D5866" s="17" t="s">
        <v>1391</v>
      </c>
      <c r="E5866" s="17" t="s">
        <v>3340</v>
      </c>
      <c r="F5866" s="17" t="s">
        <v>3341</v>
      </c>
      <c r="G5866" s="18" t="n">
        <v>199</v>
      </c>
      <c r="H5866" s="18" t="n">
        <v>0</v>
      </c>
      <c r="I5866" s="18" t="n">
        <f aca="false">((I5865 + G5866) - H5866)</f>
        <v>104875.48</v>
      </c>
      <c r="J5866" s="18" t="n">
        <v>19.9</v>
      </c>
      <c r="K5866" s="19" t="n">
        <v>10</v>
      </c>
      <c r="L5866" s="17" t="s">
        <v>44</v>
      </c>
    </row>
    <row r="5867" s="11" customFormat="true" ht="10.95" hidden="false" customHeight="true" outlineLevel="0" collapsed="false">
      <c r="A5867" s="16" t="n">
        <v>45464</v>
      </c>
      <c r="B5867" s="17" t="s">
        <v>3242</v>
      </c>
      <c r="C5867" s="17" t="s">
        <v>1390</v>
      </c>
      <c r="D5867" s="17" t="s">
        <v>1391</v>
      </c>
      <c r="E5867" s="17" t="s">
        <v>3342</v>
      </c>
      <c r="F5867" s="17" t="s">
        <v>3343</v>
      </c>
      <c r="G5867" s="18" t="n">
        <v>3531</v>
      </c>
      <c r="H5867" s="18" t="n">
        <v>0</v>
      </c>
      <c r="I5867" s="18" t="n">
        <f aca="false">((I5866 + G5867) - H5867)</f>
        <v>108406.48</v>
      </c>
      <c r="J5867" s="18" t="n">
        <v>353.1</v>
      </c>
      <c r="K5867" s="19" t="n">
        <v>10</v>
      </c>
      <c r="L5867" s="17" t="s">
        <v>44</v>
      </c>
    </row>
    <row r="5868" s="11" customFormat="true" ht="10.95" hidden="false" customHeight="true" outlineLevel="0" collapsed="false">
      <c r="A5868" s="16" t="n">
        <v>45473</v>
      </c>
      <c r="B5868" s="17" t="s">
        <v>3242</v>
      </c>
      <c r="C5868" s="17" t="s">
        <v>1390</v>
      </c>
      <c r="D5868" s="17" t="s">
        <v>1396</v>
      </c>
      <c r="E5868" s="17" t="s">
        <v>1588</v>
      </c>
      <c r="F5868" s="17" t="s">
        <v>1589</v>
      </c>
      <c r="G5868" s="18" t="n">
        <v>0</v>
      </c>
      <c r="H5868" s="18" t="n">
        <v>4258.94</v>
      </c>
      <c r="I5868" s="18" t="n">
        <f aca="false">((I5867 + G5868) - H5868)</f>
        <v>104147.54</v>
      </c>
      <c r="J5868" s="18" t="n">
        <v>0</v>
      </c>
      <c r="K5868" s="19" t="n">
        <v>0</v>
      </c>
      <c r="L5868" s="17" t="s">
        <v>1399</v>
      </c>
    </row>
    <row r="5869" s="11" customFormat="true" ht="10.95" hidden="false" customHeight="true" outlineLevel="0" collapsed="false">
      <c r="A5869" s="21" t="s">
        <v>3344</v>
      </c>
      <c r="B5869" s="21"/>
      <c r="C5869" s="21"/>
      <c r="D5869" s="21"/>
      <c r="E5869" s="21"/>
      <c r="F5869" s="21"/>
      <c r="G5869" s="22" t="n">
        <f aca="false">SUM(G5814:G5868)</f>
        <v>111164.18</v>
      </c>
      <c r="H5869" s="22" t="n">
        <f aca="false">SUM(H5814:H5868)</f>
        <v>7016.64</v>
      </c>
      <c r="I5869" s="22" t="n">
        <f aca="false">I5868</f>
        <v>104147.54</v>
      </c>
      <c r="J5869" s="22" t="n">
        <f aca="false">SUM(J5814:J5868)</f>
        <v>8386.37</v>
      </c>
      <c r="K5869" s="21"/>
      <c r="L5869" s="21"/>
    </row>
    <row r="5870" s="11" customFormat="true" ht="10.95" hidden="false" customHeight="true" outlineLevel="0" collapsed="false">
      <c r="A5870" s="21" t="s">
        <v>784</v>
      </c>
      <c r="B5870" s="21"/>
      <c r="C5870" s="21"/>
      <c r="D5870" s="21"/>
      <c r="E5870" s="21"/>
      <c r="F5870" s="21"/>
      <c r="G5870" s="22" t="n">
        <v>104147.54</v>
      </c>
      <c r="H5870" s="22" t="n">
        <v>0</v>
      </c>
      <c r="I5870" s="22" t="n">
        <v>0</v>
      </c>
      <c r="J5870" s="22" t="n">
        <v>0</v>
      </c>
      <c r="K5870" s="21"/>
      <c r="L5870" s="21"/>
    </row>
    <row r="5871" s="11" customFormat="true" ht="10.95" hidden="false" customHeight="true" outlineLevel="0" collapsed="false">
      <c r="A5871" s="9" t="s">
        <v>785</v>
      </c>
      <c r="B5871" s="9"/>
      <c r="C5871" s="9"/>
      <c r="D5871" s="9"/>
      <c r="E5871" s="9"/>
      <c r="F5871" s="9"/>
      <c r="G5871" s="10" t="n">
        <v>104147.54</v>
      </c>
      <c r="H5871" s="10" t="n">
        <v>0</v>
      </c>
      <c r="I5871" s="10" t="n">
        <f aca="false">I5868</f>
        <v>104147.54</v>
      </c>
      <c r="J5871" s="10" t="n">
        <v>0</v>
      </c>
      <c r="K5871" s="9"/>
      <c r="L5871" s="9"/>
    </row>
    <row r="5872" customFormat="false" ht="13.35" hidden="false" customHeight="true" outlineLevel="0" collapsed="false"/>
    <row r="5873" s="7" customFormat="true" ht="12.1" hidden="false" customHeight="true" outlineLevel="0" collapsed="false">
      <c r="A5873" s="8" t="s">
        <v>3345</v>
      </c>
      <c r="B5873" s="8"/>
      <c r="C5873" s="8"/>
      <c r="D5873" s="8"/>
      <c r="E5873" s="8"/>
      <c r="F5873" s="8"/>
      <c r="G5873" s="8"/>
      <c r="H5873" s="8"/>
      <c r="I5873" s="8"/>
      <c r="J5873" s="8"/>
      <c r="K5873" s="8"/>
      <c r="L5873" s="8"/>
    </row>
    <row r="5874" s="11" customFormat="true" ht="10.95" hidden="false" customHeight="true" outlineLevel="0" collapsed="false">
      <c r="A5874" s="9" t="s">
        <v>16</v>
      </c>
      <c r="B5874" s="9"/>
      <c r="C5874" s="9"/>
      <c r="D5874" s="9"/>
      <c r="E5874" s="9"/>
      <c r="F5874" s="9"/>
      <c r="G5874" s="10" t="n">
        <v>0</v>
      </c>
      <c r="H5874" s="10" t="n">
        <v>0</v>
      </c>
      <c r="I5874" s="10" t="n">
        <f aca="false">(G5874 - H5874)</f>
        <v>0</v>
      </c>
      <c r="J5874" s="10" t="n">
        <v>0</v>
      </c>
      <c r="K5874" s="9"/>
      <c r="L5874" s="9"/>
    </row>
    <row r="5875" s="11" customFormat="true" ht="10.95" hidden="false" customHeight="true" outlineLevel="0" collapsed="false">
      <c r="A5875" s="12" t="n">
        <v>45119</v>
      </c>
      <c r="B5875" s="13" t="s">
        <v>3346</v>
      </c>
      <c r="C5875" s="13" t="s">
        <v>1593</v>
      </c>
      <c r="D5875" s="13" t="s">
        <v>1407</v>
      </c>
      <c r="E5875" s="13" t="s">
        <v>3347</v>
      </c>
      <c r="F5875" s="13"/>
      <c r="G5875" s="14" t="n">
        <v>30</v>
      </c>
      <c r="H5875" s="14" t="n">
        <v>0</v>
      </c>
      <c r="I5875" s="14" t="n">
        <f aca="false">((I5874 + G5875) - H5875)</f>
        <v>30</v>
      </c>
      <c r="J5875" s="14" t="n">
        <v>0</v>
      </c>
      <c r="K5875" s="15" t="n">
        <v>0</v>
      </c>
      <c r="L5875" s="13" t="s">
        <v>1406</v>
      </c>
    </row>
    <row r="5876" s="11" customFormat="true" ht="10.95" hidden="false" customHeight="true" outlineLevel="0" collapsed="false">
      <c r="A5876" s="16" t="n">
        <v>45120</v>
      </c>
      <c r="B5876" s="17" t="s">
        <v>3346</v>
      </c>
      <c r="C5876" s="17" t="s">
        <v>1593</v>
      </c>
      <c r="D5876" s="17" t="s">
        <v>1407</v>
      </c>
      <c r="E5876" s="17" t="s">
        <v>3348</v>
      </c>
      <c r="F5876" s="17"/>
      <c r="G5876" s="18" t="n">
        <v>101.01</v>
      </c>
      <c r="H5876" s="18" t="n">
        <v>0</v>
      </c>
      <c r="I5876" s="18" t="n">
        <f aca="false">((I5875 + G5876) - H5876)</f>
        <v>131.01</v>
      </c>
      <c r="J5876" s="18" t="n">
        <v>0</v>
      </c>
      <c r="K5876" s="19" t="n">
        <v>0</v>
      </c>
      <c r="L5876" s="17" t="s">
        <v>1406</v>
      </c>
    </row>
    <row r="5877" s="11" customFormat="true" ht="10.95" hidden="false" customHeight="true" outlineLevel="0" collapsed="false">
      <c r="A5877" s="16" t="n">
        <v>45135</v>
      </c>
      <c r="B5877" s="17" t="s">
        <v>3346</v>
      </c>
      <c r="C5877" s="17" t="s">
        <v>1593</v>
      </c>
      <c r="D5877" s="17" t="s">
        <v>1407</v>
      </c>
      <c r="E5877" s="17" t="s">
        <v>3349</v>
      </c>
      <c r="F5877" s="17"/>
      <c r="G5877" s="18" t="n">
        <v>5</v>
      </c>
      <c r="H5877" s="18" t="n">
        <v>0</v>
      </c>
      <c r="I5877" s="18" t="n">
        <f aca="false">((I5876 + G5877) - H5877)</f>
        <v>136.01</v>
      </c>
      <c r="J5877" s="18" t="n">
        <v>0</v>
      </c>
      <c r="K5877" s="19" t="n">
        <v>0</v>
      </c>
      <c r="L5877" s="17" t="s">
        <v>1406</v>
      </c>
    </row>
    <row r="5878" s="11" customFormat="true" ht="10.95" hidden="false" customHeight="true" outlineLevel="0" collapsed="false">
      <c r="A5878" s="16" t="n">
        <v>45150</v>
      </c>
      <c r="B5878" s="17" t="s">
        <v>3346</v>
      </c>
      <c r="C5878" s="17" t="s">
        <v>1593</v>
      </c>
      <c r="D5878" s="17" t="s">
        <v>1407</v>
      </c>
      <c r="E5878" s="17" t="s">
        <v>3347</v>
      </c>
      <c r="F5878" s="17"/>
      <c r="G5878" s="18" t="n">
        <v>30</v>
      </c>
      <c r="H5878" s="18" t="n">
        <v>0</v>
      </c>
      <c r="I5878" s="18" t="n">
        <f aca="false">((I5877 + G5878) - H5878)</f>
        <v>166.01</v>
      </c>
      <c r="J5878" s="18" t="n">
        <v>0</v>
      </c>
      <c r="K5878" s="19" t="n">
        <v>0</v>
      </c>
      <c r="L5878" s="17" t="s">
        <v>1406</v>
      </c>
    </row>
    <row r="5879" s="11" customFormat="true" ht="10.95" hidden="false" customHeight="true" outlineLevel="0" collapsed="false">
      <c r="A5879" s="16" t="n">
        <v>45166</v>
      </c>
      <c r="B5879" s="17" t="s">
        <v>3346</v>
      </c>
      <c r="C5879" s="17" t="s">
        <v>1593</v>
      </c>
      <c r="D5879" s="17" t="s">
        <v>1407</v>
      </c>
      <c r="E5879" s="17" t="s">
        <v>3349</v>
      </c>
      <c r="F5879" s="17"/>
      <c r="G5879" s="18" t="n">
        <v>5</v>
      </c>
      <c r="H5879" s="18" t="n">
        <v>0</v>
      </c>
      <c r="I5879" s="18" t="n">
        <f aca="false">((I5878 + G5879) - H5879)</f>
        <v>171.01</v>
      </c>
      <c r="J5879" s="18" t="n">
        <v>0</v>
      </c>
      <c r="K5879" s="19" t="n">
        <v>0</v>
      </c>
      <c r="L5879" s="17" t="s">
        <v>1406</v>
      </c>
    </row>
    <row r="5880" s="11" customFormat="true" ht="10.95" hidden="false" customHeight="true" outlineLevel="0" collapsed="false">
      <c r="A5880" s="16" t="n">
        <v>45169</v>
      </c>
      <c r="B5880" s="17" t="s">
        <v>3346</v>
      </c>
      <c r="C5880" s="17" t="s">
        <v>1593</v>
      </c>
      <c r="D5880" s="17" t="s">
        <v>1407</v>
      </c>
      <c r="E5880" s="17" t="s">
        <v>3350</v>
      </c>
      <c r="F5880" s="17"/>
      <c r="G5880" s="18" t="n">
        <v>50</v>
      </c>
      <c r="H5880" s="18" t="n">
        <v>0</v>
      </c>
      <c r="I5880" s="18" t="n">
        <f aca="false">((I5879 + G5880) - H5880)</f>
        <v>221.01</v>
      </c>
      <c r="J5880" s="18" t="n">
        <v>0</v>
      </c>
      <c r="K5880" s="19" t="n">
        <v>0</v>
      </c>
      <c r="L5880" s="17" t="s">
        <v>1406</v>
      </c>
    </row>
    <row r="5881" s="11" customFormat="true" ht="10.95" hidden="false" customHeight="true" outlineLevel="0" collapsed="false">
      <c r="A5881" s="16" t="n">
        <v>45182</v>
      </c>
      <c r="B5881" s="17" t="s">
        <v>3346</v>
      </c>
      <c r="C5881" s="17" t="s">
        <v>1593</v>
      </c>
      <c r="D5881" s="17" t="s">
        <v>1407</v>
      </c>
      <c r="E5881" s="17" t="s">
        <v>3347</v>
      </c>
      <c r="F5881" s="17"/>
      <c r="G5881" s="18" t="n">
        <v>30</v>
      </c>
      <c r="H5881" s="18" t="n">
        <v>0</v>
      </c>
      <c r="I5881" s="18" t="n">
        <f aca="false">((I5880 + G5881) - H5881)</f>
        <v>251.01</v>
      </c>
      <c r="J5881" s="18" t="n">
        <v>0</v>
      </c>
      <c r="K5881" s="19" t="n">
        <v>0</v>
      </c>
      <c r="L5881" s="17" t="s">
        <v>1406</v>
      </c>
    </row>
    <row r="5882" s="11" customFormat="true" ht="10.95" hidden="false" customHeight="true" outlineLevel="0" collapsed="false">
      <c r="A5882" s="16" t="n">
        <v>45183</v>
      </c>
      <c r="B5882" s="17" t="s">
        <v>3346</v>
      </c>
      <c r="C5882" s="17" t="s">
        <v>1593</v>
      </c>
      <c r="D5882" s="17" t="s">
        <v>1407</v>
      </c>
      <c r="E5882" s="17" t="s">
        <v>3351</v>
      </c>
      <c r="F5882" s="17"/>
      <c r="G5882" s="18" t="n">
        <v>50.85</v>
      </c>
      <c r="H5882" s="18" t="n">
        <v>0</v>
      </c>
      <c r="I5882" s="18" t="n">
        <f aca="false">((I5881 + G5882) - H5882)</f>
        <v>301.86</v>
      </c>
      <c r="J5882" s="18" t="n">
        <v>0</v>
      </c>
      <c r="K5882" s="19" t="n">
        <v>0</v>
      </c>
      <c r="L5882" s="17" t="s">
        <v>1406</v>
      </c>
    </row>
    <row r="5883" s="11" customFormat="true" ht="10.95" hidden="false" customHeight="true" outlineLevel="0" collapsed="false">
      <c r="A5883" s="16" t="n">
        <v>45199</v>
      </c>
      <c r="B5883" s="17" t="s">
        <v>3346</v>
      </c>
      <c r="C5883" s="17" t="s">
        <v>1593</v>
      </c>
      <c r="D5883" s="17" t="s">
        <v>1407</v>
      </c>
      <c r="E5883" s="17" t="s">
        <v>3349</v>
      </c>
      <c r="F5883" s="17"/>
      <c r="G5883" s="18" t="n">
        <v>5</v>
      </c>
      <c r="H5883" s="18" t="n">
        <v>0</v>
      </c>
      <c r="I5883" s="18" t="n">
        <f aca="false">((I5882 + G5883) - H5883)</f>
        <v>306.86</v>
      </c>
      <c r="J5883" s="18" t="n">
        <v>0</v>
      </c>
      <c r="K5883" s="19" t="n">
        <v>0</v>
      </c>
      <c r="L5883" s="17" t="s">
        <v>1406</v>
      </c>
    </row>
    <row r="5884" s="11" customFormat="true" ht="10.95" hidden="false" customHeight="true" outlineLevel="0" collapsed="false">
      <c r="A5884" s="16" t="n">
        <v>45211</v>
      </c>
      <c r="B5884" s="17" t="s">
        <v>3346</v>
      </c>
      <c r="C5884" s="17" t="s">
        <v>1593</v>
      </c>
      <c r="D5884" s="17" t="s">
        <v>1407</v>
      </c>
      <c r="E5884" s="17" t="s">
        <v>3347</v>
      </c>
      <c r="F5884" s="17"/>
      <c r="G5884" s="18" t="n">
        <v>30</v>
      </c>
      <c r="H5884" s="18" t="n">
        <v>0</v>
      </c>
      <c r="I5884" s="18" t="n">
        <f aca="false">((I5883 + G5884) - H5884)</f>
        <v>336.86</v>
      </c>
      <c r="J5884" s="18" t="n">
        <v>0</v>
      </c>
      <c r="K5884" s="19" t="n">
        <v>0</v>
      </c>
      <c r="L5884" s="17" t="s">
        <v>1406</v>
      </c>
    </row>
    <row r="5885" s="11" customFormat="true" ht="10.95" hidden="false" customHeight="true" outlineLevel="0" collapsed="false">
      <c r="A5885" s="16" t="n">
        <v>45226</v>
      </c>
      <c r="B5885" s="17" t="s">
        <v>3346</v>
      </c>
      <c r="C5885" s="17" t="s">
        <v>1593</v>
      </c>
      <c r="D5885" s="17" t="s">
        <v>1407</v>
      </c>
      <c r="E5885" s="17" t="s">
        <v>3352</v>
      </c>
      <c r="F5885" s="17"/>
      <c r="G5885" s="18" t="n">
        <v>50</v>
      </c>
      <c r="H5885" s="18" t="n">
        <v>0</v>
      </c>
      <c r="I5885" s="18" t="n">
        <f aca="false">((I5884 + G5885) - H5885)</f>
        <v>386.86</v>
      </c>
      <c r="J5885" s="18" t="n">
        <v>0</v>
      </c>
      <c r="K5885" s="19" t="n">
        <v>0</v>
      </c>
      <c r="L5885" s="17" t="s">
        <v>1406</v>
      </c>
    </row>
    <row r="5886" s="11" customFormat="true" ht="10.95" hidden="false" customHeight="true" outlineLevel="0" collapsed="false">
      <c r="A5886" s="16" t="n">
        <v>45230</v>
      </c>
      <c r="B5886" s="17" t="s">
        <v>3346</v>
      </c>
      <c r="C5886" s="17" t="s">
        <v>1593</v>
      </c>
      <c r="D5886" s="17" t="s">
        <v>1407</v>
      </c>
      <c r="E5886" s="17" t="s">
        <v>3349</v>
      </c>
      <c r="F5886" s="17"/>
      <c r="G5886" s="18" t="n">
        <v>5</v>
      </c>
      <c r="H5886" s="18" t="n">
        <v>0</v>
      </c>
      <c r="I5886" s="18" t="n">
        <f aca="false">((I5885 + G5886) - H5886)</f>
        <v>391.86</v>
      </c>
      <c r="J5886" s="18" t="n">
        <v>0</v>
      </c>
      <c r="K5886" s="19" t="n">
        <v>0</v>
      </c>
      <c r="L5886" s="17" t="s">
        <v>1406</v>
      </c>
    </row>
    <row r="5887" s="11" customFormat="true" ht="10.95" hidden="false" customHeight="true" outlineLevel="0" collapsed="false">
      <c r="A5887" s="16" t="n">
        <v>45239</v>
      </c>
      <c r="B5887" s="17" t="s">
        <v>3346</v>
      </c>
      <c r="C5887" s="17" t="s">
        <v>1593</v>
      </c>
      <c r="D5887" s="17" t="s">
        <v>1407</v>
      </c>
      <c r="E5887" s="17" t="s">
        <v>3353</v>
      </c>
      <c r="F5887" s="17"/>
      <c r="G5887" s="18" t="n">
        <v>120</v>
      </c>
      <c r="H5887" s="18" t="n">
        <v>0</v>
      </c>
      <c r="I5887" s="18" t="n">
        <f aca="false">((I5886 + G5887) - H5887)</f>
        <v>511.86</v>
      </c>
      <c r="J5887" s="18" t="n">
        <v>0</v>
      </c>
      <c r="K5887" s="19" t="n">
        <v>0</v>
      </c>
      <c r="L5887" s="17" t="s">
        <v>1406</v>
      </c>
    </row>
    <row r="5888" s="11" customFormat="true" ht="10.95" hidden="false" customHeight="true" outlineLevel="0" collapsed="false">
      <c r="A5888" s="16" t="n">
        <v>45244</v>
      </c>
      <c r="B5888" s="17" t="s">
        <v>3346</v>
      </c>
      <c r="C5888" s="17" t="s">
        <v>1593</v>
      </c>
      <c r="D5888" s="17" t="s">
        <v>1407</v>
      </c>
      <c r="E5888" s="17" t="s">
        <v>3347</v>
      </c>
      <c r="F5888" s="17"/>
      <c r="G5888" s="18" t="n">
        <v>30</v>
      </c>
      <c r="H5888" s="18" t="n">
        <v>0</v>
      </c>
      <c r="I5888" s="18" t="n">
        <f aca="false">((I5887 + G5888) - H5888)</f>
        <v>541.86</v>
      </c>
      <c r="J5888" s="18" t="n">
        <v>0</v>
      </c>
      <c r="K5888" s="19" t="n">
        <v>0</v>
      </c>
      <c r="L5888" s="17" t="s">
        <v>1406</v>
      </c>
    </row>
    <row r="5889" s="11" customFormat="true" ht="10.95" hidden="false" customHeight="true" outlineLevel="0" collapsed="false">
      <c r="A5889" s="16" t="n">
        <v>45247</v>
      </c>
      <c r="B5889" s="17" t="s">
        <v>3346</v>
      </c>
      <c r="C5889" s="17" t="s">
        <v>1593</v>
      </c>
      <c r="D5889" s="17" t="s">
        <v>1407</v>
      </c>
      <c r="E5889" s="17" t="s">
        <v>3354</v>
      </c>
      <c r="F5889" s="17"/>
      <c r="G5889" s="18" t="n">
        <v>69</v>
      </c>
      <c r="H5889" s="18" t="n">
        <v>0</v>
      </c>
      <c r="I5889" s="18" t="n">
        <f aca="false">((I5888 + G5889) - H5889)</f>
        <v>610.86</v>
      </c>
      <c r="J5889" s="18" t="n">
        <v>0</v>
      </c>
      <c r="K5889" s="19" t="n">
        <v>0</v>
      </c>
      <c r="L5889" s="17" t="s">
        <v>1406</v>
      </c>
    </row>
    <row r="5890" s="11" customFormat="true" ht="10.95" hidden="false" customHeight="true" outlineLevel="0" collapsed="false">
      <c r="A5890" s="16" t="n">
        <v>45272</v>
      </c>
      <c r="B5890" s="17" t="s">
        <v>3346</v>
      </c>
      <c r="C5890" s="17" t="s">
        <v>1593</v>
      </c>
      <c r="D5890" s="17" t="s">
        <v>1407</v>
      </c>
      <c r="E5890" s="17" t="s">
        <v>3355</v>
      </c>
      <c r="F5890" s="17"/>
      <c r="G5890" s="18" t="n">
        <v>10.4</v>
      </c>
      <c r="H5890" s="18" t="n">
        <v>0</v>
      </c>
      <c r="I5890" s="18" t="n">
        <f aca="false">((I5889 + G5890) - H5890)</f>
        <v>621.26</v>
      </c>
      <c r="J5890" s="18" t="n">
        <v>0</v>
      </c>
      <c r="K5890" s="19" t="n">
        <v>0</v>
      </c>
      <c r="L5890" s="17" t="s">
        <v>1406</v>
      </c>
    </row>
    <row r="5891" s="11" customFormat="true" ht="10.95" hidden="false" customHeight="true" outlineLevel="0" collapsed="false">
      <c r="A5891" s="16" t="n">
        <v>45273</v>
      </c>
      <c r="B5891" s="17" t="s">
        <v>3346</v>
      </c>
      <c r="C5891" s="17" t="s">
        <v>1593</v>
      </c>
      <c r="D5891" s="17" t="s">
        <v>1407</v>
      </c>
      <c r="E5891" s="17" t="s">
        <v>3347</v>
      </c>
      <c r="F5891" s="17"/>
      <c r="G5891" s="18" t="n">
        <v>30</v>
      </c>
      <c r="H5891" s="18" t="n">
        <v>0</v>
      </c>
      <c r="I5891" s="18" t="n">
        <f aca="false">((I5890 + G5891) - H5891)</f>
        <v>651.26</v>
      </c>
      <c r="J5891" s="18" t="n">
        <v>0</v>
      </c>
      <c r="K5891" s="19" t="n">
        <v>0</v>
      </c>
      <c r="L5891" s="17" t="s">
        <v>1406</v>
      </c>
    </row>
    <row r="5892" s="11" customFormat="true" ht="10.95" hidden="false" customHeight="true" outlineLevel="0" collapsed="false">
      <c r="A5892" s="16" t="n">
        <v>45303</v>
      </c>
      <c r="B5892" s="17" t="s">
        <v>3346</v>
      </c>
      <c r="C5892" s="17" t="s">
        <v>1593</v>
      </c>
      <c r="D5892" s="17" t="s">
        <v>1407</v>
      </c>
      <c r="E5892" s="17" t="s">
        <v>3347</v>
      </c>
      <c r="F5892" s="17"/>
      <c r="G5892" s="18" t="n">
        <v>30</v>
      </c>
      <c r="H5892" s="18" t="n">
        <v>0</v>
      </c>
      <c r="I5892" s="18" t="n">
        <f aca="false">((I5891 + G5892) - H5892)</f>
        <v>681.26</v>
      </c>
      <c r="J5892" s="18" t="n">
        <v>0</v>
      </c>
      <c r="K5892" s="19" t="n">
        <v>0</v>
      </c>
      <c r="L5892" s="17" t="s">
        <v>1406</v>
      </c>
    </row>
    <row r="5893" s="11" customFormat="true" ht="10.95" hidden="false" customHeight="true" outlineLevel="0" collapsed="false">
      <c r="A5893" s="16" t="n">
        <v>45322</v>
      </c>
      <c r="B5893" s="17" t="s">
        <v>3346</v>
      </c>
      <c r="C5893" s="17" t="s">
        <v>1593</v>
      </c>
      <c r="D5893" s="17" t="s">
        <v>1407</v>
      </c>
      <c r="E5893" s="17" t="s">
        <v>3351</v>
      </c>
      <c r="F5893" s="17"/>
      <c r="G5893" s="18" t="n">
        <v>50.85</v>
      </c>
      <c r="H5893" s="18" t="n">
        <v>0</v>
      </c>
      <c r="I5893" s="18" t="n">
        <f aca="false">((I5892 + G5893) - H5893)</f>
        <v>732.11</v>
      </c>
      <c r="J5893" s="18" t="n">
        <v>0</v>
      </c>
      <c r="K5893" s="19" t="n">
        <v>0</v>
      </c>
      <c r="L5893" s="17" t="s">
        <v>1406</v>
      </c>
    </row>
    <row r="5894" s="11" customFormat="true" ht="10.95" hidden="false" customHeight="true" outlineLevel="0" collapsed="false">
      <c r="A5894" s="16" t="n">
        <v>45336</v>
      </c>
      <c r="B5894" s="17" t="s">
        <v>3346</v>
      </c>
      <c r="C5894" s="17" t="s">
        <v>1593</v>
      </c>
      <c r="D5894" s="17" t="s">
        <v>1407</v>
      </c>
      <c r="E5894" s="17" t="s">
        <v>3347</v>
      </c>
      <c r="F5894" s="17"/>
      <c r="G5894" s="18" t="n">
        <v>30</v>
      </c>
      <c r="H5894" s="18" t="n">
        <v>0</v>
      </c>
      <c r="I5894" s="18" t="n">
        <f aca="false">((I5893 + G5894) - H5894)</f>
        <v>762.11</v>
      </c>
      <c r="J5894" s="18" t="n">
        <v>0</v>
      </c>
      <c r="K5894" s="19" t="n">
        <v>0</v>
      </c>
      <c r="L5894" s="17" t="s">
        <v>1406</v>
      </c>
    </row>
    <row r="5895" s="11" customFormat="true" ht="10.95" hidden="false" customHeight="true" outlineLevel="0" collapsed="false">
      <c r="A5895" s="16" t="n">
        <v>45364</v>
      </c>
      <c r="B5895" s="17" t="s">
        <v>3346</v>
      </c>
      <c r="C5895" s="17" t="s">
        <v>1593</v>
      </c>
      <c r="D5895" s="17" t="s">
        <v>1407</v>
      </c>
      <c r="E5895" s="17" t="s">
        <v>3347</v>
      </c>
      <c r="F5895" s="17"/>
      <c r="G5895" s="18" t="n">
        <v>30</v>
      </c>
      <c r="H5895" s="18" t="n">
        <v>0</v>
      </c>
      <c r="I5895" s="18" t="n">
        <f aca="false">((I5894 + G5895) - H5895)</f>
        <v>792.11</v>
      </c>
      <c r="J5895" s="18" t="n">
        <v>0</v>
      </c>
      <c r="K5895" s="19" t="n">
        <v>0</v>
      </c>
      <c r="L5895" s="17" t="s">
        <v>1406</v>
      </c>
    </row>
    <row r="5896" s="11" customFormat="true" ht="10.95" hidden="false" customHeight="true" outlineLevel="0" collapsed="false">
      <c r="A5896" s="16" t="n">
        <v>45394</v>
      </c>
      <c r="B5896" s="17" t="s">
        <v>3346</v>
      </c>
      <c r="C5896" s="17" t="s">
        <v>1593</v>
      </c>
      <c r="D5896" s="17" t="s">
        <v>1407</v>
      </c>
      <c r="E5896" s="17" t="s">
        <v>3347</v>
      </c>
      <c r="F5896" s="17"/>
      <c r="G5896" s="18" t="n">
        <v>30</v>
      </c>
      <c r="H5896" s="18" t="n">
        <v>0</v>
      </c>
      <c r="I5896" s="18" t="n">
        <f aca="false">((I5895 + G5896) - H5896)</f>
        <v>822.11</v>
      </c>
      <c r="J5896" s="18" t="n">
        <v>0</v>
      </c>
      <c r="K5896" s="19" t="n">
        <v>0</v>
      </c>
      <c r="L5896" s="17" t="s">
        <v>1406</v>
      </c>
    </row>
    <row r="5897" s="11" customFormat="true" ht="10.95" hidden="false" customHeight="true" outlineLevel="0" collapsed="false">
      <c r="A5897" s="16" t="n">
        <v>45426</v>
      </c>
      <c r="B5897" s="17" t="s">
        <v>3346</v>
      </c>
      <c r="C5897" s="17" t="s">
        <v>1593</v>
      </c>
      <c r="D5897" s="17" t="s">
        <v>1407</v>
      </c>
      <c r="E5897" s="17" t="s">
        <v>3347</v>
      </c>
      <c r="F5897" s="17"/>
      <c r="G5897" s="18" t="n">
        <v>30</v>
      </c>
      <c r="H5897" s="18" t="n">
        <v>0</v>
      </c>
      <c r="I5897" s="18" t="n">
        <f aca="false">((I5896 + G5897) - H5897)</f>
        <v>852.11</v>
      </c>
      <c r="J5897" s="18" t="n">
        <v>0</v>
      </c>
      <c r="K5897" s="19" t="n">
        <v>0</v>
      </c>
      <c r="L5897" s="17" t="s">
        <v>1406</v>
      </c>
    </row>
    <row r="5898" s="11" customFormat="true" ht="10.95" hidden="false" customHeight="true" outlineLevel="0" collapsed="false">
      <c r="A5898" s="16" t="n">
        <v>45455</v>
      </c>
      <c r="B5898" s="17" t="s">
        <v>3346</v>
      </c>
      <c r="C5898" s="17" t="s">
        <v>1593</v>
      </c>
      <c r="D5898" s="17" t="s">
        <v>1407</v>
      </c>
      <c r="E5898" s="17" t="s">
        <v>3347</v>
      </c>
      <c r="F5898" s="17"/>
      <c r="G5898" s="18" t="n">
        <v>30</v>
      </c>
      <c r="H5898" s="18" t="n">
        <v>0</v>
      </c>
      <c r="I5898" s="18" t="n">
        <f aca="false">((I5897 + G5898) - H5898)</f>
        <v>882.11</v>
      </c>
      <c r="J5898" s="18" t="n">
        <v>0</v>
      </c>
      <c r="K5898" s="19" t="n">
        <v>0</v>
      </c>
      <c r="L5898" s="17" t="s">
        <v>1406</v>
      </c>
    </row>
    <row r="5899" s="11" customFormat="true" ht="10.95" hidden="false" customHeight="true" outlineLevel="0" collapsed="false">
      <c r="A5899" s="21" t="s">
        <v>3356</v>
      </c>
      <c r="B5899" s="21"/>
      <c r="C5899" s="21"/>
      <c r="D5899" s="21"/>
      <c r="E5899" s="21"/>
      <c r="F5899" s="21"/>
      <c r="G5899" s="22" t="n">
        <f aca="false">SUM(G5875:G5898)</f>
        <v>882.11</v>
      </c>
      <c r="H5899" s="22" t="n">
        <f aca="false">SUM(H5875:H5898)</f>
        <v>0</v>
      </c>
      <c r="I5899" s="22" t="n">
        <f aca="false">I5898</f>
        <v>882.11</v>
      </c>
      <c r="J5899" s="22" t="n">
        <f aca="false">SUM(J5875:J5898)</f>
        <v>0</v>
      </c>
      <c r="K5899" s="21"/>
      <c r="L5899" s="21"/>
    </row>
    <row r="5900" s="11" customFormat="true" ht="10.95" hidden="false" customHeight="true" outlineLevel="0" collapsed="false">
      <c r="A5900" s="21" t="s">
        <v>784</v>
      </c>
      <c r="B5900" s="21"/>
      <c r="C5900" s="21"/>
      <c r="D5900" s="21"/>
      <c r="E5900" s="21"/>
      <c r="F5900" s="21"/>
      <c r="G5900" s="22" t="n">
        <v>882.11</v>
      </c>
      <c r="H5900" s="22" t="n">
        <v>0</v>
      </c>
      <c r="I5900" s="22" t="n">
        <v>0</v>
      </c>
      <c r="J5900" s="22" t="n">
        <v>0</v>
      </c>
      <c r="K5900" s="21"/>
      <c r="L5900" s="21"/>
    </row>
    <row r="5901" s="11" customFormat="true" ht="10.95" hidden="false" customHeight="true" outlineLevel="0" collapsed="false">
      <c r="A5901" s="9" t="s">
        <v>785</v>
      </c>
      <c r="B5901" s="9"/>
      <c r="C5901" s="9"/>
      <c r="D5901" s="9"/>
      <c r="E5901" s="9"/>
      <c r="F5901" s="9"/>
      <c r="G5901" s="10" t="n">
        <v>882.11</v>
      </c>
      <c r="H5901" s="10" t="n">
        <v>0</v>
      </c>
      <c r="I5901" s="10" t="n">
        <f aca="false">I5898</f>
        <v>882.11</v>
      </c>
      <c r="J5901" s="10" t="n">
        <v>0</v>
      </c>
      <c r="K5901" s="9"/>
      <c r="L5901" s="9"/>
    </row>
    <row r="5902" customFormat="false" ht="13.35" hidden="false" customHeight="true" outlineLevel="0" collapsed="false"/>
    <row r="5903" s="7" customFormat="true" ht="12.1" hidden="false" customHeight="true" outlineLevel="0" collapsed="false">
      <c r="A5903" s="8" t="s">
        <v>3357</v>
      </c>
      <c r="B5903" s="8"/>
      <c r="C5903" s="8"/>
      <c r="D5903" s="8"/>
      <c r="E5903" s="8"/>
      <c r="F5903" s="8"/>
      <c r="G5903" s="8"/>
      <c r="H5903" s="8"/>
      <c r="I5903" s="8"/>
      <c r="J5903" s="8"/>
      <c r="K5903" s="8"/>
      <c r="L5903" s="8"/>
    </row>
    <row r="5904" s="11" customFormat="true" ht="10.95" hidden="false" customHeight="true" outlineLevel="0" collapsed="false">
      <c r="A5904" s="9" t="s">
        <v>16</v>
      </c>
      <c r="B5904" s="9"/>
      <c r="C5904" s="9"/>
      <c r="D5904" s="9"/>
      <c r="E5904" s="9"/>
      <c r="F5904" s="9"/>
      <c r="G5904" s="10" t="n">
        <v>0</v>
      </c>
      <c r="H5904" s="10" t="n">
        <v>0</v>
      </c>
      <c r="I5904" s="10" t="n">
        <f aca="false">(G5904 - H5904)</f>
        <v>0</v>
      </c>
      <c r="J5904" s="10" t="n">
        <v>0</v>
      </c>
      <c r="K5904" s="9"/>
      <c r="L5904" s="9"/>
    </row>
    <row r="5905" s="11" customFormat="true" ht="10.95" hidden="false" customHeight="true" outlineLevel="0" collapsed="false">
      <c r="A5905" s="12" t="n">
        <v>45160</v>
      </c>
      <c r="B5905" s="13" t="s">
        <v>3358</v>
      </c>
      <c r="C5905" s="13" t="s">
        <v>1593</v>
      </c>
      <c r="D5905" s="13" t="s">
        <v>1391</v>
      </c>
      <c r="E5905" s="13" t="s">
        <v>3359</v>
      </c>
      <c r="F5905" s="13" t="s">
        <v>3360</v>
      </c>
      <c r="G5905" s="14" t="n">
        <v>136.36</v>
      </c>
      <c r="H5905" s="14" t="n">
        <v>0</v>
      </c>
      <c r="I5905" s="14" t="n">
        <f aca="false">((I5904 + G5905) - H5905)</f>
        <v>136.36</v>
      </c>
      <c r="J5905" s="14" t="n">
        <v>13.64</v>
      </c>
      <c r="K5905" s="15" t="n">
        <v>10</v>
      </c>
      <c r="L5905" s="13" t="s">
        <v>44</v>
      </c>
    </row>
    <row r="5906" s="11" customFormat="true" ht="10.95" hidden="false" customHeight="true" outlineLevel="0" collapsed="false">
      <c r="A5906" s="16" t="n">
        <v>45175</v>
      </c>
      <c r="B5906" s="17" t="s">
        <v>3358</v>
      </c>
      <c r="C5906" s="17" t="s">
        <v>1593</v>
      </c>
      <c r="D5906" s="17" t="s">
        <v>1391</v>
      </c>
      <c r="E5906" s="17" t="s">
        <v>3361</v>
      </c>
      <c r="F5906" s="17" t="s">
        <v>3362</v>
      </c>
      <c r="G5906" s="18" t="n">
        <v>136.36</v>
      </c>
      <c r="H5906" s="18" t="n">
        <v>0</v>
      </c>
      <c r="I5906" s="18" t="n">
        <f aca="false">((I5905 + G5906) - H5906)</f>
        <v>272.72</v>
      </c>
      <c r="J5906" s="18" t="n">
        <v>13.64</v>
      </c>
      <c r="K5906" s="19" t="n">
        <v>10</v>
      </c>
      <c r="L5906" s="17" t="s">
        <v>44</v>
      </c>
    </row>
    <row r="5907" s="11" customFormat="true" ht="10.95" hidden="false" customHeight="true" outlineLevel="0" collapsed="false">
      <c r="A5907" s="16" t="n">
        <v>45208</v>
      </c>
      <c r="B5907" s="17" t="s">
        <v>3358</v>
      </c>
      <c r="C5907" s="17" t="s">
        <v>1593</v>
      </c>
      <c r="D5907" s="17" t="s">
        <v>1391</v>
      </c>
      <c r="E5907" s="17" t="s">
        <v>3363</v>
      </c>
      <c r="F5907" s="17" t="s">
        <v>3364</v>
      </c>
      <c r="G5907" s="18" t="n">
        <v>136.36</v>
      </c>
      <c r="H5907" s="18" t="n">
        <v>0</v>
      </c>
      <c r="I5907" s="18" t="n">
        <f aca="false">((I5906 + G5907) - H5907)</f>
        <v>409.08</v>
      </c>
      <c r="J5907" s="18" t="n">
        <v>13.64</v>
      </c>
      <c r="K5907" s="19" t="n">
        <v>10</v>
      </c>
      <c r="L5907" s="17" t="s">
        <v>44</v>
      </c>
    </row>
    <row r="5908" s="11" customFormat="true" ht="10.95" hidden="false" customHeight="true" outlineLevel="0" collapsed="false">
      <c r="A5908" s="16" t="n">
        <v>45230</v>
      </c>
      <c r="B5908" s="17" t="s">
        <v>3358</v>
      </c>
      <c r="C5908" s="17" t="s">
        <v>1593</v>
      </c>
      <c r="D5908" s="17" t="s">
        <v>1391</v>
      </c>
      <c r="E5908" s="17" t="s">
        <v>3365</v>
      </c>
      <c r="F5908" s="17" t="s">
        <v>3366</v>
      </c>
      <c r="G5908" s="18" t="n">
        <v>136.36</v>
      </c>
      <c r="H5908" s="18" t="n">
        <v>0</v>
      </c>
      <c r="I5908" s="18" t="n">
        <f aca="false">((I5907 + G5908) - H5908)</f>
        <v>545.44</v>
      </c>
      <c r="J5908" s="18" t="n">
        <v>13.64</v>
      </c>
      <c r="K5908" s="19" t="n">
        <v>10</v>
      </c>
      <c r="L5908" s="17" t="s">
        <v>44</v>
      </c>
    </row>
    <row r="5909" s="11" customFormat="true" ht="10.95" hidden="false" customHeight="true" outlineLevel="0" collapsed="false">
      <c r="A5909" s="21" t="s">
        <v>3367</v>
      </c>
      <c r="B5909" s="21"/>
      <c r="C5909" s="21"/>
      <c r="D5909" s="21"/>
      <c r="E5909" s="21"/>
      <c r="F5909" s="21"/>
      <c r="G5909" s="22" t="n">
        <f aca="false">SUM(G5905:G5908)</f>
        <v>545.44</v>
      </c>
      <c r="H5909" s="22" t="n">
        <f aca="false">SUM(H5905:H5908)</f>
        <v>0</v>
      </c>
      <c r="I5909" s="22" t="n">
        <f aca="false">I5908</f>
        <v>545.44</v>
      </c>
      <c r="J5909" s="22" t="n">
        <f aca="false">SUM(J5905:J5908)</f>
        <v>54.56</v>
      </c>
      <c r="K5909" s="21"/>
      <c r="L5909" s="21"/>
    </row>
    <row r="5910" s="11" customFormat="true" ht="10.95" hidden="false" customHeight="true" outlineLevel="0" collapsed="false">
      <c r="A5910" s="21" t="s">
        <v>784</v>
      </c>
      <c r="B5910" s="21"/>
      <c r="C5910" s="21"/>
      <c r="D5910" s="21"/>
      <c r="E5910" s="21"/>
      <c r="F5910" s="21"/>
      <c r="G5910" s="22" t="n">
        <v>545.44</v>
      </c>
      <c r="H5910" s="22" t="n">
        <v>0</v>
      </c>
      <c r="I5910" s="22" t="n">
        <v>0</v>
      </c>
      <c r="J5910" s="22" t="n">
        <v>0</v>
      </c>
      <c r="K5910" s="21"/>
      <c r="L5910" s="21"/>
    </row>
    <row r="5911" s="11" customFormat="true" ht="10.95" hidden="false" customHeight="true" outlineLevel="0" collapsed="false">
      <c r="A5911" s="9" t="s">
        <v>785</v>
      </c>
      <c r="B5911" s="9"/>
      <c r="C5911" s="9"/>
      <c r="D5911" s="9"/>
      <c r="E5911" s="9"/>
      <c r="F5911" s="9"/>
      <c r="G5911" s="10" t="n">
        <v>545.44</v>
      </c>
      <c r="H5911" s="10" t="n">
        <v>0</v>
      </c>
      <c r="I5911" s="10" t="n">
        <f aca="false">I5908</f>
        <v>545.44</v>
      </c>
      <c r="J5911" s="10" t="n">
        <v>0</v>
      </c>
      <c r="K5911" s="9"/>
      <c r="L5911" s="9"/>
    </row>
    <row r="5912" customFormat="false" ht="13.35" hidden="false" customHeight="true" outlineLevel="0" collapsed="false"/>
    <row r="5913" s="7" customFormat="true" ht="12.1" hidden="false" customHeight="true" outlineLevel="0" collapsed="false">
      <c r="A5913" s="8" t="s">
        <v>3368</v>
      </c>
      <c r="B5913" s="8"/>
      <c r="C5913" s="8"/>
      <c r="D5913" s="8"/>
      <c r="E5913" s="8"/>
      <c r="F5913" s="8"/>
      <c r="G5913" s="8"/>
      <c r="H5913" s="8"/>
      <c r="I5913" s="8"/>
      <c r="J5913" s="8"/>
      <c r="K5913" s="8"/>
      <c r="L5913" s="8"/>
    </row>
    <row r="5914" s="11" customFormat="true" ht="10.95" hidden="false" customHeight="true" outlineLevel="0" collapsed="false">
      <c r="A5914" s="9" t="s">
        <v>16</v>
      </c>
      <c r="B5914" s="9"/>
      <c r="C5914" s="9"/>
      <c r="D5914" s="9"/>
      <c r="E5914" s="9"/>
      <c r="F5914" s="9"/>
      <c r="G5914" s="10" t="n">
        <v>135669.3</v>
      </c>
      <c r="H5914" s="10" t="n">
        <v>0</v>
      </c>
      <c r="I5914" s="10" t="n">
        <f aca="false">(G5914 - H5914)</f>
        <v>135669.3</v>
      </c>
      <c r="J5914" s="10" t="n">
        <v>0</v>
      </c>
      <c r="K5914" s="9"/>
      <c r="L5914" s="9"/>
    </row>
    <row r="5915" s="11" customFormat="true" ht="10.95" hidden="false" customHeight="true" outlineLevel="0" collapsed="false">
      <c r="A5915" s="12" t="n">
        <v>45108</v>
      </c>
      <c r="B5915" s="13" t="s">
        <v>3369</v>
      </c>
      <c r="C5915" s="13" t="s">
        <v>3370</v>
      </c>
      <c r="D5915" s="13" t="s">
        <v>2895</v>
      </c>
      <c r="E5915" s="13" t="s">
        <v>2896</v>
      </c>
      <c r="F5915" s="13" t="s">
        <v>3371</v>
      </c>
      <c r="G5915" s="14" t="n">
        <v>0</v>
      </c>
      <c r="H5915" s="14" t="n">
        <v>87.82</v>
      </c>
      <c r="I5915" s="14" t="n">
        <f aca="false">((I5914 + G5915) - H5915)</f>
        <v>135581.48</v>
      </c>
      <c r="J5915" s="14" t="n">
        <v>0</v>
      </c>
      <c r="K5915" s="15" t="n">
        <v>0</v>
      </c>
      <c r="L5915" s="13"/>
    </row>
    <row r="5916" s="11" customFormat="true" ht="10.95" hidden="false" customHeight="true" outlineLevel="0" collapsed="false">
      <c r="A5916" s="16" t="n">
        <v>45110</v>
      </c>
      <c r="B5916" s="17" t="s">
        <v>3369</v>
      </c>
      <c r="C5916" s="17" t="s">
        <v>3370</v>
      </c>
      <c r="D5916" s="17" t="s">
        <v>2895</v>
      </c>
      <c r="E5916" s="17" t="s">
        <v>2897</v>
      </c>
      <c r="F5916" s="17" t="s">
        <v>3372</v>
      </c>
      <c r="G5916" s="18" t="n">
        <v>0</v>
      </c>
      <c r="H5916" s="18" t="n">
        <v>585.76</v>
      </c>
      <c r="I5916" s="18" t="n">
        <f aca="false">((I5915 + G5916) - H5916)</f>
        <v>134995.72</v>
      </c>
      <c r="J5916" s="18" t="n">
        <v>0</v>
      </c>
      <c r="K5916" s="19" t="n">
        <v>0</v>
      </c>
      <c r="L5916" s="17"/>
    </row>
    <row r="5917" s="11" customFormat="true" ht="10.95" hidden="false" customHeight="true" outlineLevel="0" collapsed="false">
      <c r="A5917" s="16" t="n">
        <v>45110</v>
      </c>
      <c r="B5917" s="17" t="s">
        <v>3369</v>
      </c>
      <c r="C5917" s="17" t="s">
        <v>3370</v>
      </c>
      <c r="D5917" s="17" t="s">
        <v>2895</v>
      </c>
      <c r="E5917" s="17" t="s">
        <v>3373</v>
      </c>
      <c r="F5917" s="17" t="s">
        <v>3374</v>
      </c>
      <c r="G5917" s="18" t="n">
        <v>0</v>
      </c>
      <c r="H5917" s="18" t="n">
        <v>1386</v>
      </c>
      <c r="I5917" s="18" t="n">
        <f aca="false">((I5916 + G5917) - H5917)</f>
        <v>133609.72</v>
      </c>
      <c r="J5917" s="18" t="n">
        <v>0</v>
      </c>
      <c r="K5917" s="19" t="n">
        <v>0</v>
      </c>
      <c r="L5917" s="17"/>
    </row>
    <row r="5918" s="11" customFormat="true" ht="10.95" hidden="false" customHeight="true" outlineLevel="0" collapsed="false">
      <c r="A5918" s="16" t="n">
        <v>45111</v>
      </c>
      <c r="B5918" s="17" t="s">
        <v>3369</v>
      </c>
      <c r="C5918" s="17" t="s">
        <v>3370</v>
      </c>
      <c r="D5918" s="17" t="s">
        <v>2895</v>
      </c>
      <c r="E5918" s="17" t="s">
        <v>3375</v>
      </c>
      <c r="F5918" s="17" t="s">
        <v>3376</v>
      </c>
      <c r="G5918" s="18" t="n">
        <v>0</v>
      </c>
      <c r="H5918" s="18" t="n">
        <v>480.7</v>
      </c>
      <c r="I5918" s="18" t="n">
        <f aca="false">((I5917 + G5918) - H5918)</f>
        <v>133129.02</v>
      </c>
      <c r="J5918" s="18" t="n">
        <v>0</v>
      </c>
      <c r="K5918" s="19" t="n">
        <v>0</v>
      </c>
      <c r="L5918" s="17"/>
    </row>
    <row r="5919" s="11" customFormat="true" ht="10.95" hidden="false" customHeight="true" outlineLevel="0" collapsed="false">
      <c r="A5919" s="16" t="n">
        <v>45111</v>
      </c>
      <c r="B5919" s="17" t="s">
        <v>3369</v>
      </c>
      <c r="C5919" s="17" t="s">
        <v>3370</v>
      </c>
      <c r="D5919" s="17" t="s">
        <v>2895</v>
      </c>
      <c r="E5919" s="17" t="s">
        <v>3375</v>
      </c>
      <c r="F5919" s="17" t="s">
        <v>3377</v>
      </c>
      <c r="G5919" s="18" t="n">
        <v>0</v>
      </c>
      <c r="H5919" s="18" t="n">
        <v>280.5</v>
      </c>
      <c r="I5919" s="18" t="n">
        <f aca="false">((I5918 + G5919) - H5919)</f>
        <v>132848.52</v>
      </c>
      <c r="J5919" s="18" t="n">
        <v>0</v>
      </c>
      <c r="K5919" s="19" t="n">
        <v>0</v>
      </c>
      <c r="L5919" s="17"/>
    </row>
    <row r="5920" s="11" customFormat="true" ht="10.95" hidden="false" customHeight="true" outlineLevel="0" collapsed="false">
      <c r="A5920" s="16" t="n">
        <v>45111</v>
      </c>
      <c r="B5920" s="17" t="s">
        <v>3369</v>
      </c>
      <c r="C5920" s="17" t="s">
        <v>3370</v>
      </c>
      <c r="D5920" s="17" t="s">
        <v>2895</v>
      </c>
      <c r="E5920" s="17" t="s">
        <v>3378</v>
      </c>
      <c r="F5920" s="17" t="s">
        <v>3379</v>
      </c>
      <c r="G5920" s="18" t="n">
        <v>0</v>
      </c>
      <c r="H5920" s="18" t="n">
        <v>413.6</v>
      </c>
      <c r="I5920" s="18" t="n">
        <f aca="false">((I5919 + G5920) - H5920)</f>
        <v>132434.92</v>
      </c>
      <c r="J5920" s="18" t="n">
        <v>0</v>
      </c>
      <c r="K5920" s="19" t="n">
        <v>0</v>
      </c>
      <c r="L5920" s="17"/>
    </row>
    <row r="5921" s="11" customFormat="true" ht="10.95" hidden="false" customHeight="true" outlineLevel="0" collapsed="false">
      <c r="A5921" s="16" t="n">
        <v>45111</v>
      </c>
      <c r="B5921" s="17" t="s">
        <v>3369</v>
      </c>
      <c r="C5921" s="17" t="s">
        <v>3370</v>
      </c>
      <c r="D5921" s="17" t="s">
        <v>2895</v>
      </c>
      <c r="E5921" s="17" t="s">
        <v>2898</v>
      </c>
      <c r="F5921" s="17" t="s">
        <v>3380</v>
      </c>
      <c r="G5921" s="18" t="n">
        <v>0</v>
      </c>
      <c r="H5921" s="18" t="n">
        <v>757.66</v>
      </c>
      <c r="I5921" s="18" t="n">
        <f aca="false">((I5920 + G5921) - H5921)</f>
        <v>131677.26</v>
      </c>
      <c r="J5921" s="18" t="n">
        <v>0</v>
      </c>
      <c r="K5921" s="19" t="n">
        <v>0</v>
      </c>
      <c r="L5921" s="17"/>
    </row>
    <row r="5922" s="11" customFormat="true" ht="10.95" hidden="false" customHeight="true" outlineLevel="0" collapsed="false">
      <c r="A5922" s="16" t="n">
        <v>45112</v>
      </c>
      <c r="B5922" s="17" t="s">
        <v>3369</v>
      </c>
      <c r="C5922" s="17" t="s">
        <v>3370</v>
      </c>
      <c r="D5922" s="17" t="s">
        <v>19</v>
      </c>
      <c r="E5922" s="17" t="s">
        <v>3381</v>
      </c>
      <c r="F5922" s="17" t="s">
        <v>941</v>
      </c>
      <c r="G5922" s="18" t="n">
        <v>5852.3</v>
      </c>
      <c r="H5922" s="18" t="n">
        <v>0</v>
      </c>
      <c r="I5922" s="18" t="n">
        <f aca="false">((I5921 + G5922) - H5922)</f>
        <v>137529.56</v>
      </c>
      <c r="J5922" s="18" t="n">
        <v>0</v>
      </c>
      <c r="K5922" s="19" t="n">
        <v>0</v>
      </c>
      <c r="L5922" s="17"/>
    </row>
    <row r="5923" s="11" customFormat="true" ht="10.95" hidden="false" customHeight="true" outlineLevel="0" collapsed="false">
      <c r="A5923" s="16" t="n">
        <v>45112</v>
      </c>
      <c r="B5923" s="17" t="s">
        <v>3369</v>
      </c>
      <c r="C5923" s="17" t="s">
        <v>3370</v>
      </c>
      <c r="D5923" s="17" t="s">
        <v>2895</v>
      </c>
      <c r="E5923" s="17" t="s">
        <v>3382</v>
      </c>
      <c r="F5923" s="17" t="s">
        <v>3383</v>
      </c>
      <c r="G5923" s="18" t="n">
        <v>0</v>
      </c>
      <c r="H5923" s="18" t="n">
        <v>20653.6</v>
      </c>
      <c r="I5923" s="18" t="n">
        <f aca="false">((I5922 + G5923) - H5923)</f>
        <v>116875.96</v>
      </c>
      <c r="J5923" s="18" t="n">
        <v>0</v>
      </c>
      <c r="K5923" s="19" t="n">
        <v>0</v>
      </c>
      <c r="L5923" s="17"/>
    </row>
    <row r="5924" s="11" customFormat="true" ht="10.95" hidden="false" customHeight="true" outlineLevel="0" collapsed="false">
      <c r="A5924" s="16" t="n">
        <v>45112</v>
      </c>
      <c r="B5924" s="17" t="s">
        <v>3369</v>
      </c>
      <c r="C5924" s="17" t="s">
        <v>3370</v>
      </c>
      <c r="D5924" s="17" t="s">
        <v>2895</v>
      </c>
      <c r="E5924" s="17" t="s">
        <v>3384</v>
      </c>
      <c r="F5924" s="17" t="s">
        <v>3385</v>
      </c>
      <c r="G5924" s="18" t="n">
        <v>0</v>
      </c>
      <c r="H5924" s="18" t="n">
        <v>3135</v>
      </c>
      <c r="I5924" s="18" t="n">
        <f aca="false">((I5923 + G5924) - H5924)</f>
        <v>113740.96</v>
      </c>
      <c r="J5924" s="18" t="n">
        <v>0</v>
      </c>
      <c r="K5924" s="19" t="n">
        <v>0</v>
      </c>
      <c r="L5924" s="17"/>
    </row>
    <row r="5925" s="11" customFormat="true" ht="10.95" hidden="false" customHeight="true" outlineLevel="0" collapsed="false">
      <c r="A5925" s="16" t="n">
        <v>45112</v>
      </c>
      <c r="B5925" s="17" t="s">
        <v>3369</v>
      </c>
      <c r="C5925" s="17" t="s">
        <v>3370</v>
      </c>
      <c r="D5925" s="17" t="s">
        <v>2895</v>
      </c>
      <c r="E5925" s="17" t="s">
        <v>3384</v>
      </c>
      <c r="F5925" s="17" t="s">
        <v>3386</v>
      </c>
      <c r="G5925" s="18" t="n">
        <v>0</v>
      </c>
      <c r="H5925" s="18" t="n">
        <v>572</v>
      </c>
      <c r="I5925" s="18" t="n">
        <f aca="false">((I5924 + G5925) - H5925)</f>
        <v>113168.96</v>
      </c>
      <c r="J5925" s="18" t="n">
        <v>0</v>
      </c>
      <c r="K5925" s="19" t="n">
        <v>0</v>
      </c>
      <c r="L5925" s="17"/>
    </row>
    <row r="5926" s="11" customFormat="true" ht="10.95" hidden="false" customHeight="true" outlineLevel="0" collapsed="false">
      <c r="A5926" s="16" t="n">
        <v>45112</v>
      </c>
      <c r="B5926" s="17" t="s">
        <v>3369</v>
      </c>
      <c r="C5926" s="17" t="s">
        <v>3370</v>
      </c>
      <c r="D5926" s="17" t="s">
        <v>2895</v>
      </c>
      <c r="E5926" s="17" t="s">
        <v>3384</v>
      </c>
      <c r="F5926" s="17" t="s">
        <v>3387</v>
      </c>
      <c r="G5926" s="18" t="n">
        <v>0</v>
      </c>
      <c r="H5926" s="18" t="n">
        <v>2194.5</v>
      </c>
      <c r="I5926" s="18" t="n">
        <f aca="false">((I5925 + G5926) - H5926)</f>
        <v>110974.46</v>
      </c>
      <c r="J5926" s="18" t="n">
        <v>0</v>
      </c>
      <c r="K5926" s="19" t="n">
        <v>0</v>
      </c>
      <c r="L5926" s="17"/>
    </row>
    <row r="5927" s="11" customFormat="true" ht="10.95" hidden="false" customHeight="true" outlineLevel="0" collapsed="false">
      <c r="A5927" s="16" t="n">
        <v>45112</v>
      </c>
      <c r="B5927" s="17" t="s">
        <v>3369</v>
      </c>
      <c r="C5927" s="17" t="s">
        <v>3370</v>
      </c>
      <c r="D5927" s="17" t="s">
        <v>2895</v>
      </c>
      <c r="E5927" s="17" t="s">
        <v>3384</v>
      </c>
      <c r="F5927" s="17" t="s">
        <v>3388</v>
      </c>
      <c r="G5927" s="18" t="n">
        <v>0</v>
      </c>
      <c r="H5927" s="18" t="n">
        <v>1672</v>
      </c>
      <c r="I5927" s="18" t="n">
        <f aca="false">((I5926 + G5927) - H5927)</f>
        <v>109302.46</v>
      </c>
      <c r="J5927" s="18" t="n">
        <v>0</v>
      </c>
      <c r="K5927" s="19" t="n">
        <v>0</v>
      </c>
      <c r="L5927" s="17"/>
    </row>
    <row r="5928" s="11" customFormat="true" ht="10.95" hidden="false" customHeight="true" outlineLevel="0" collapsed="false">
      <c r="A5928" s="16" t="n">
        <v>45112</v>
      </c>
      <c r="B5928" s="17" t="s">
        <v>3369</v>
      </c>
      <c r="C5928" s="17" t="s">
        <v>3370</v>
      </c>
      <c r="D5928" s="17" t="s">
        <v>2895</v>
      </c>
      <c r="E5928" s="17" t="s">
        <v>3389</v>
      </c>
      <c r="F5928" s="17" t="s">
        <v>3390</v>
      </c>
      <c r="G5928" s="18" t="n">
        <v>0</v>
      </c>
      <c r="H5928" s="18" t="n">
        <v>4510</v>
      </c>
      <c r="I5928" s="18" t="n">
        <f aca="false">((I5927 + G5928) - H5928)</f>
        <v>104792.46</v>
      </c>
      <c r="J5928" s="18" t="n">
        <v>0</v>
      </c>
      <c r="K5928" s="19" t="n">
        <v>0</v>
      </c>
      <c r="L5928" s="17"/>
    </row>
    <row r="5929" s="11" customFormat="true" ht="10.95" hidden="false" customHeight="true" outlineLevel="0" collapsed="false">
      <c r="A5929" s="16" t="n">
        <v>45112</v>
      </c>
      <c r="B5929" s="17" t="s">
        <v>3369</v>
      </c>
      <c r="C5929" s="17" t="s">
        <v>3370</v>
      </c>
      <c r="D5929" s="17" t="s">
        <v>2895</v>
      </c>
      <c r="E5929" s="17" t="s">
        <v>3391</v>
      </c>
      <c r="F5929" s="17" t="s">
        <v>3392</v>
      </c>
      <c r="G5929" s="18" t="n">
        <v>0</v>
      </c>
      <c r="H5929" s="18" t="n">
        <v>1100.06</v>
      </c>
      <c r="I5929" s="18" t="n">
        <f aca="false">((I5928 + G5929) - H5929)</f>
        <v>103692.4</v>
      </c>
      <c r="J5929" s="18" t="n">
        <v>0</v>
      </c>
      <c r="K5929" s="19" t="n">
        <v>0</v>
      </c>
      <c r="L5929" s="17"/>
    </row>
    <row r="5930" s="11" customFormat="true" ht="10.95" hidden="false" customHeight="true" outlineLevel="0" collapsed="false">
      <c r="A5930" s="16" t="n">
        <v>45112</v>
      </c>
      <c r="B5930" s="17" t="s">
        <v>3369</v>
      </c>
      <c r="C5930" s="17" t="s">
        <v>3370</v>
      </c>
      <c r="D5930" s="17" t="s">
        <v>2895</v>
      </c>
      <c r="E5930" s="17" t="s">
        <v>2900</v>
      </c>
      <c r="F5930" s="17" t="s">
        <v>3393</v>
      </c>
      <c r="G5930" s="18" t="n">
        <v>0</v>
      </c>
      <c r="H5930" s="18" t="n">
        <v>9305.65</v>
      </c>
      <c r="I5930" s="18" t="n">
        <f aca="false">((I5929 + G5930) - H5930)</f>
        <v>94386.7499999999</v>
      </c>
      <c r="J5930" s="18" t="n">
        <v>0</v>
      </c>
      <c r="K5930" s="19" t="n">
        <v>0</v>
      </c>
      <c r="L5930" s="17"/>
    </row>
    <row r="5931" s="11" customFormat="true" ht="10.95" hidden="false" customHeight="true" outlineLevel="0" collapsed="false">
      <c r="A5931" s="16" t="n">
        <v>45112</v>
      </c>
      <c r="B5931" s="17" t="s">
        <v>3369</v>
      </c>
      <c r="C5931" s="17" t="s">
        <v>3370</v>
      </c>
      <c r="D5931" s="17" t="s">
        <v>2895</v>
      </c>
      <c r="E5931" s="17" t="s">
        <v>2900</v>
      </c>
      <c r="F5931" s="17" t="s">
        <v>3394</v>
      </c>
      <c r="G5931" s="18" t="n">
        <v>0</v>
      </c>
      <c r="H5931" s="18" t="n">
        <v>1038.4</v>
      </c>
      <c r="I5931" s="18" t="n">
        <f aca="false">((I5930 + G5931) - H5931)</f>
        <v>93348.35</v>
      </c>
      <c r="J5931" s="18" t="n">
        <v>0</v>
      </c>
      <c r="K5931" s="19" t="n">
        <v>0</v>
      </c>
      <c r="L5931" s="17"/>
    </row>
    <row r="5932" s="11" customFormat="true" ht="10.95" hidden="false" customHeight="true" outlineLevel="0" collapsed="false">
      <c r="A5932" s="16" t="n">
        <v>45113</v>
      </c>
      <c r="B5932" s="17" t="s">
        <v>3369</v>
      </c>
      <c r="C5932" s="17" t="s">
        <v>3370</v>
      </c>
      <c r="D5932" s="17" t="s">
        <v>2895</v>
      </c>
      <c r="E5932" s="17" t="s">
        <v>3395</v>
      </c>
      <c r="F5932" s="17" t="s">
        <v>3396</v>
      </c>
      <c r="G5932" s="18" t="n">
        <v>0</v>
      </c>
      <c r="H5932" s="18" t="n">
        <v>6795.36</v>
      </c>
      <c r="I5932" s="18" t="n">
        <f aca="false">((I5931 + G5932) - H5932)</f>
        <v>86552.99</v>
      </c>
      <c r="J5932" s="18" t="n">
        <v>0</v>
      </c>
      <c r="K5932" s="19" t="n">
        <v>0</v>
      </c>
      <c r="L5932" s="17"/>
    </row>
    <row r="5933" s="11" customFormat="true" ht="10.95" hidden="false" customHeight="true" outlineLevel="0" collapsed="false">
      <c r="A5933" s="16" t="n">
        <v>45113</v>
      </c>
      <c r="B5933" s="17" t="s">
        <v>3369</v>
      </c>
      <c r="C5933" s="17" t="s">
        <v>3370</v>
      </c>
      <c r="D5933" s="17" t="s">
        <v>2895</v>
      </c>
      <c r="E5933" s="17" t="s">
        <v>3397</v>
      </c>
      <c r="F5933" s="17" t="s">
        <v>3398</v>
      </c>
      <c r="G5933" s="18" t="n">
        <v>0</v>
      </c>
      <c r="H5933" s="18" t="n">
        <v>5280</v>
      </c>
      <c r="I5933" s="18" t="n">
        <f aca="false">((I5932 + G5933) - H5933)</f>
        <v>81272.99</v>
      </c>
      <c r="J5933" s="18" t="n">
        <v>0</v>
      </c>
      <c r="K5933" s="19" t="n">
        <v>0</v>
      </c>
      <c r="L5933" s="17"/>
    </row>
    <row r="5934" s="11" customFormat="true" ht="10.95" hidden="false" customHeight="true" outlineLevel="0" collapsed="false">
      <c r="A5934" s="16" t="n">
        <v>45113</v>
      </c>
      <c r="B5934" s="17" t="s">
        <v>3369</v>
      </c>
      <c r="C5934" s="17" t="s">
        <v>3370</v>
      </c>
      <c r="D5934" s="17" t="s">
        <v>2895</v>
      </c>
      <c r="E5934" s="17" t="s">
        <v>3399</v>
      </c>
      <c r="F5934" s="17" t="s">
        <v>3400</v>
      </c>
      <c r="G5934" s="18" t="n">
        <v>0</v>
      </c>
      <c r="H5934" s="18" t="n">
        <v>1022.45</v>
      </c>
      <c r="I5934" s="18" t="n">
        <f aca="false">((I5933 + G5934) - H5934)</f>
        <v>80250.54</v>
      </c>
      <c r="J5934" s="18" t="n">
        <v>0</v>
      </c>
      <c r="K5934" s="19" t="n">
        <v>0</v>
      </c>
      <c r="L5934" s="17"/>
    </row>
    <row r="5935" s="11" customFormat="true" ht="10.95" hidden="false" customHeight="true" outlineLevel="0" collapsed="false">
      <c r="A5935" s="16" t="n">
        <v>45113</v>
      </c>
      <c r="B5935" s="17" t="s">
        <v>3369</v>
      </c>
      <c r="C5935" s="17" t="s">
        <v>3370</v>
      </c>
      <c r="D5935" s="17" t="s">
        <v>2895</v>
      </c>
      <c r="E5935" s="17" t="s">
        <v>3401</v>
      </c>
      <c r="F5935" s="17" t="s">
        <v>3402</v>
      </c>
      <c r="G5935" s="18" t="n">
        <v>0</v>
      </c>
      <c r="H5935" s="18" t="n">
        <v>561</v>
      </c>
      <c r="I5935" s="18" t="n">
        <f aca="false">((I5934 + G5935) - H5935)</f>
        <v>79689.54</v>
      </c>
      <c r="J5935" s="18" t="n">
        <v>0</v>
      </c>
      <c r="K5935" s="19" t="n">
        <v>0</v>
      </c>
      <c r="L5935" s="17"/>
    </row>
    <row r="5936" s="11" customFormat="true" ht="10.95" hidden="false" customHeight="true" outlineLevel="0" collapsed="false">
      <c r="A5936" s="16" t="n">
        <v>45117</v>
      </c>
      <c r="B5936" s="17" t="s">
        <v>3369</v>
      </c>
      <c r="C5936" s="17" t="s">
        <v>3370</v>
      </c>
      <c r="D5936" s="17" t="s">
        <v>2895</v>
      </c>
      <c r="E5936" s="17" t="s">
        <v>3403</v>
      </c>
      <c r="F5936" s="17" t="s">
        <v>3404</v>
      </c>
      <c r="G5936" s="18" t="n">
        <v>0</v>
      </c>
      <c r="H5936" s="18" t="n">
        <v>310.2</v>
      </c>
      <c r="I5936" s="18" t="n">
        <f aca="false">((I5935 + G5936) - H5936)</f>
        <v>79379.34</v>
      </c>
      <c r="J5936" s="18" t="n">
        <v>0</v>
      </c>
      <c r="K5936" s="19" t="n">
        <v>0</v>
      </c>
      <c r="L5936" s="17"/>
    </row>
    <row r="5937" s="11" customFormat="true" ht="10.95" hidden="false" customHeight="true" outlineLevel="0" collapsed="false">
      <c r="A5937" s="16" t="n">
        <v>45117</v>
      </c>
      <c r="B5937" s="17" t="s">
        <v>3369</v>
      </c>
      <c r="C5937" s="17" t="s">
        <v>3370</v>
      </c>
      <c r="D5937" s="17" t="s">
        <v>2895</v>
      </c>
      <c r="E5937" s="17" t="s">
        <v>3403</v>
      </c>
      <c r="F5937" s="17" t="s">
        <v>3405</v>
      </c>
      <c r="G5937" s="18" t="n">
        <v>0</v>
      </c>
      <c r="H5937" s="18" t="n">
        <v>517</v>
      </c>
      <c r="I5937" s="18" t="n">
        <f aca="false">((I5936 + G5937) - H5937)</f>
        <v>78862.34</v>
      </c>
      <c r="J5937" s="18" t="n">
        <v>0</v>
      </c>
      <c r="K5937" s="19" t="n">
        <v>0</v>
      </c>
      <c r="L5937" s="17"/>
    </row>
    <row r="5938" s="11" customFormat="true" ht="10.95" hidden="false" customHeight="true" outlineLevel="0" collapsed="false">
      <c r="A5938" s="16" t="n">
        <v>45117</v>
      </c>
      <c r="B5938" s="17" t="s">
        <v>3369</v>
      </c>
      <c r="C5938" s="17" t="s">
        <v>3370</v>
      </c>
      <c r="D5938" s="17" t="s">
        <v>2895</v>
      </c>
      <c r="E5938" s="17" t="s">
        <v>3403</v>
      </c>
      <c r="F5938" s="17" t="s">
        <v>3406</v>
      </c>
      <c r="G5938" s="18" t="n">
        <v>0</v>
      </c>
      <c r="H5938" s="18" t="n">
        <v>517</v>
      </c>
      <c r="I5938" s="18" t="n">
        <f aca="false">((I5937 + G5938) - H5938)</f>
        <v>78345.34</v>
      </c>
      <c r="J5938" s="18" t="n">
        <v>0</v>
      </c>
      <c r="K5938" s="19" t="n">
        <v>0</v>
      </c>
      <c r="L5938" s="17"/>
    </row>
    <row r="5939" s="11" customFormat="true" ht="10.95" hidden="false" customHeight="true" outlineLevel="0" collapsed="false">
      <c r="A5939" s="16" t="n">
        <v>45117</v>
      </c>
      <c r="B5939" s="17" t="s">
        <v>3369</v>
      </c>
      <c r="C5939" s="17" t="s">
        <v>3370</v>
      </c>
      <c r="D5939" s="17" t="s">
        <v>2895</v>
      </c>
      <c r="E5939" s="17" t="s">
        <v>3403</v>
      </c>
      <c r="F5939" s="17" t="s">
        <v>3407</v>
      </c>
      <c r="G5939" s="18" t="n">
        <v>0</v>
      </c>
      <c r="H5939" s="18" t="n">
        <v>316.8</v>
      </c>
      <c r="I5939" s="18" t="n">
        <f aca="false">((I5938 + G5939) - H5939)</f>
        <v>78028.54</v>
      </c>
      <c r="J5939" s="18" t="n">
        <v>0</v>
      </c>
      <c r="K5939" s="19" t="n">
        <v>0</v>
      </c>
      <c r="L5939" s="17"/>
    </row>
    <row r="5940" s="11" customFormat="true" ht="10.95" hidden="false" customHeight="true" outlineLevel="0" collapsed="false">
      <c r="A5940" s="16" t="n">
        <v>45117</v>
      </c>
      <c r="B5940" s="17" t="s">
        <v>3369</v>
      </c>
      <c r="C5940" s="17" t="s">
        <v>3370</v>
      </c>
      <c r="D5940" s="17" t="s">
        <v>2895</v>
      </c>
      <c r="E5940" s="17" t="s">
        <v>3403</v>
      </c>
      <c r="F5940" s="17" t="s">
        <v>3408</v>
      </c>
      <c r="G5940" s="18" t="n">
        <v>0</v>
      </c>
      <c r="H5940" s="18" t="n">
        <v>316.8</v>
      </c>
      <c r="I5940" s="18" t="n">
        <f aca="false">((I5939 + G5940) - H5940)</f>
        <v>77711.74</v>
      </c>
      <c r="J5940" s="18" t="n">
        <v>0</v>
      </c>
      <c r="K5940" s="19" t="n">
        <v>0</v>
      </c>
      <c r="L5940" s="17"/>
    </row>
    <row r="5941" s="11" customFormat="true" ht="10.95" hidden="false" customHeight="true" outlineLevel="0" collapsed="false">
      <c r="A5941" s="16" t="n">
        <v>45118</v>
      </c>
      <c r="B5941" s="17" t="s">
        <v>3369</v>
      </c>
      <c r="C5941" s="17" t="s">
        <v>3370</v>
      </c>
      <c r="D5941" s="17" t="s">
        <v>19</v>
      </c>
      <c r="E5941" s="17" t="s">
        <v>3409</v>
      </c>
      <c r="F5941" s="17" t="s">
        <v>790</v>
      </c>
      <c r="G5941" s="18" t="n">
        <v>11840.14</v>
      </c>
      <c r="H5941" s="18" t="n">
        <v>0</v>
      </c>
      <c r="I5941" s="18" t="n">
        <f aca="false">((I5940 + G5941) - H5941)</f>
        <v>89551.88</v>
      </c>
      <c r="J5941" s="18" t="n">
        <v>0</v>
      </c>
      <c r="K5941" s="19" t="n">
        <v>0</v>
      </c>
      <c r="L5941" s="17"/>
    </row>
    <row r="5942" s="11" customFormat="true" ht="10.95" hidden="false" customHeight="true" outlineLevel="0" collapsed="false">
      <c r="A5942" s="16" t="n">
        <v>45118</v>
      </c>
      <c r="B5942" s="17" t="s">
        <v>3369</v>
      </c>
      <c r="C5942" s="17" t="s">
        <v>3370</v>
      </c>
      <c r="D5942" s="17" t="s">
        <v>2895</v>
      </c>
      <c r="E5942" s="17" t="s">
        <v>3410</v>
      </c>
      <c r="F5942" s="17" t="s">
        <v>3411</v>
      </c>
      <c r="G5942" s="18" t="n">
        <v>0</v>
      </c>
      <c r="H5942" s="18" t="n">
        <v>968</v>
      </c>
      <c r="I5942" s="18" t="n">
        <f aca="false">((I5941 + G5942) - H5942)</f>
        <v>88583.88</v>
      </c>
      <c r="J5942" s="18" t="n">
        <v>0</v>
      </c>
      <c r="K5942" s="19" t="n">
        <v>0</v>
      </c>
      <c r="L5942" s="17"/>
    </row>
    <row r="5943" s="11" customFormat="true" ht="10.95" hidden="false" customHeight="true" outlineLevel="0" collapsed="false">
      <c r="A5943" s="16" t="n">
        <v>45119</v>
      </c>
      <c r="B5943" s="17" t="s">
        <v>3369</v>
      </c>
      <c r="C5943" s="17" t="s">
        <v>3370</v>
      </c>
      <c r="D5943" s="17" t="s">
        <v>2895</v>
      </c>
      <c r="E5943" s="17" t="s">
        <v>2906</v>
      </c>
      <c r="F5943" s="17" t="s">
        <v>3412</v>
      </c>
      <c r="G5943" s="18" t="n">
        <v>0</v>
      </c>
      <c r="H5943" s="18" t="n">
        <v>3067.26</v>
      </c>
      <c r="I5943" s="18" t="n">
        <f aca="false">((I5942 + G5943) - H5943)</f>
        <v>85516.62</v>
      </c>
      <c r="J5943" s="18" t="n">
        <v>0</v>
      </c>
      <c r="K5943" s="19" t="n">
        <v>0</v>
      </c>
      <c r="L5943" s="17"/>
    </row>
    <row r="5944" s="11" customFormat="true" ht="10.95" hidden="false" customHeight="true" outlineLevel="0" collapsed="false">
      <c r="A5944" s="16" t="n">
        <v>45124</v>
      </c>
      <c r="B5944" s="17" t="s">
        <v>3369</v>
      </c>
      <c r="C5944" s="17" t="s">
        <v>3370</v>
      </c>
      <c r="D5944" s="17" t="s">
        <v>2895</v>
      </c>
      <c r="E5944" s="17" t="s">
        <v>2897</v>
      </c>
      <c r="F5944" s="17" t="s">
        <v>3413</v>
      </c>
      <c r="G5944" s="18" t="n">
        <v>0</v>
      </c>
      <c r="H5944" s="18" t="n">
        <v>1710.46</v>
      </c>
      <c r="I5944" s="18" t="n">
        <f aca="false">((I5943 + G5944) - H5944)</f>
        <v>83806.16</v>
      </c>
      <c r="J5944" s="18" t="n">
        <v>0</v>
      </c>
      <c r="K5944" s="19" t="n">
        <v>0</v>
      </c>
      <c r="L5944" s="17"/>
    </row>
    <row r="5945" s="11" customFormat="true" ht="10.95" hidden="false" customHeight="true" outlineLevel="0" collapsed="false">
      <c r="A5945" s="16" t="n">
        <v>45126</v>
      </c>
      <c r="B5945" s="17" t="s">
        <v>3369</v>
      </c>
      <c r="C5945" s="17" t="s">
        <v>3370</v>
      </c>
      <c r="D5945" s="17" t="s">
        <v>19</v>
      </c>
      <c r="E5945" s="17" t="s">
        <v>3414</v>
      </c>
      <c r="F5945" s="17" t="s">
        <v>943</v>
      </c>
      <c r="G5945" s="18" t="n">
        <v>4927</v>
      </c>
      <c r="H5945" s="18" t="n">
        <v>0</v>
      </c>
      <c r="I5945" s="18" t="n">
        <f aca="false">((I5944 + G5945) - H5945)</f>
        <v>88733.16</v>
      </c>
      <c r="J5945" s="18" t="n">
        <v>0</v>
      </c>
      <c r="K5945" s="19" t="n">
        <v>0</v>
      </c>
      <c r="L5945" s="17"/>
    </row>
    <row r="5946" s="11" customFormat="true" ht="10.95" hidden="false" customHeight="true" outlineLevel="0" collapsed="false">
      <c r="A5946" s="16" t="n">
        <v>45126</v>
      </c>
      <c r="B5946" s="17" t="s">
        <v>3369</v>
      </c>
      <c r="C5946" s="17" t="s">
        <v>3370</v>
      </c>
      <c r="D5946" s="17" t="s">
        <v>2895</v>
      </c>
      <c r="E5946" s="17" t="s">
        <v>2909</v>
      </c>
      <c r="F5946" s="17" t="s">
        <v>943</v>
      </c>
      <c r="G5946" s="18" t="n">
        <v>0</v>
      </c>
      <c r="H5946" s="18" t="n">
        <v>4927</v>
      </c>
      <c r="I5946" s="18" t="n">
        <f aca="false">((I5945 + G5946) - H5946)</f>
        <v>83806.16</v>
      </c>
      <c r="J5946" s="18" t="n">
        <v>0</v>
      </c>
      <c r="K5946" s="19" t="n">
        <v>0</v>
      </c>
      <c r="L5946" s="17"/>
    </row>
    <row r="5947" s="11" customFormat="true" ht="10.95" hidden="false" customHeight="true" outlineLevel="0" collapsed="false">
      <c r="A5947" s="16" t="n">
        <v>45127</v>
      </c>
      <c r="B5947" s="17" t="s">
        <v>3369</v>
      </c>
      <c r="C5947" s="17" t="s">
        <v>3370</v>
      </c>
      <c r="D5947" s="17" t="s">
        <v>2895</v>
      </c>
      <c r="E5947" s="17" t="s">
        <v>3415</v>
      </c>
      <c r="F5947" s="17" t="s">
        <v>3416</v>
      </c>
      <c r="G5947" s="18" t="n">
        <v>0</v>
      </c>
      <c r="H5947" s="18" t="n">
        <v>1052.7</v>
      </c>
      <c r="I5947" s="18" t="n">
        <f aca="false">((I5946 + G5947) - H5947)</f>
        <v>82753.46</v>
      </c>
      <c r="J5947" s="18" t="n">
        <v>0</v>
      </c>
      <c r="K5947" s="19" t="n">
        <v>0</v>
      </c>
      <c r="L5947" s="17"/>
    </row>
    <row r="5948" s="11" customFormat="true" ht="10.95" hidden="false" customHeight="true" outlineLevel="0" collapsed="false">
      <c r="A5948" s="16" t="n">
        <v>45131</v>
      </c>
      <c r="B5948" s="17" t="s">
        <v>3369</v>
      </c>
      <c r="C5948" s="17" t="s">
        <v>3370</v>
      </c>
      <c r="D5948" s="17" t="s">
        <v>2895</v>
      </c>
      <c r="E5948" s="17" t="s">
        <v>2910</v>
      </c>
      <c r="F5948" s="17" t="s">
        <v>3417</v>
      </c>
      <c r="G5948" s="18" t="n">
        <v>0</v>
      </c>
      <c r="H5948" s="18" t="n">
        <v>579</v>
      </c>
      <c r="I5948" s="18" t="n">
        <f aca="false">((I5947 + G5948) - H5948)</f>
        <v>82174.46</v>
      </c>
      <c r="J5948" s="18" t="n">
        <v>0</v>
      </c>
      <c r="K5948" s="19" t="n">
        <v>0</v>
      </c>
      <c r="L5948" s="17"/>
    </row>
    <row r="5949" s="11" customFormat="true" ht="10.95" hidden="false" customHeight="true" outlineLevel="0" collapsed="false">
      <c r="A5949" s="16" t="n">
        <v>45131</v>
      </c>
      <c r="B5949" s="17" t="s">
        <v>3369</v>
      </c>
      <c r="C5949" s="17" t="s">
        <v>3370</v>
      </c>
      <c r="D5949" s="17" t="s">
        <v>2895</v>
      </c>
      <c r="E5949" s="17" t="s">
        <v>2910</v>
      </c>
      <c r="F5949" s="17" t="s">
        <v>3418</v>
      </c>
      <c r="G5949" s="18" t="n">
        <v>0</v>
      </c>
      <c r="H5949" s="18" t="n">
        <v>11312.61</v>
      </c>
      <c r="I5949" s="18" t="n">
        <f aca="false">((I5948 + G5949) - H5949)</f>
        <v>70861.85</v>
      </c>
      <c r="J5949" s="18" t="n">
        <v>0</v>
      </c>
      <c r="K5949" s="19" t="n">
        <v>0</v>
      </c>
      <c r="L5949" s="17"/>
    </row>
    <row r="5950" s="11" customFormat="true" ht="10.95" hidden="false" customHeight="true" outlineLevel="0" collapsed="false">
      <c r="A5950" s="16" t="n">
        <v>45131</v>
      </c>
      <c r="B5950" s="17" t="s">
        <v>3369</v>
      </c>
      <c r="C5950" s="17" t="s">
        <v>3370</v>
      </c>
      <c r="D5950" s="17" t="s">
        <v>2895</v>
      </c>
      <c r="E5950" s="17" t="s">
        <v>2910</v>
      </c>
      <c r="F5950" s="17" t="s">
        <v>3419</v>
      </c>
      <c r="G5950" s="18" t="n">
        <v>0</v>
      </c>
      <c r="H5950" s="18" t="n">
        <v>144.75</v>
      </c>
      <c r="I5950" s="18" t="n">
        <f aca="false">((I5949 + G5950) - H5950)</f>
        <v>70717.1</v>
      </c>
      <c r="J5950" s="18" t="n">
        <v>0</v>
      </c>
      <c r="K5950" s="19" t="n">
        <v>0</v>
      </c>
      <c r="L5950" s="17"/>
    </row>
    <row r="5951" s="11" customFormat="true" ht="10.95" hidden="false" customHeight="true" outlineLevel="0" collapsed="false">
      <c r="A5951" s="16" t="n">
        <v>45131</v>
      </c>
      <c r="B5951" s="17" t="s">
        <v>3369</v>
      </c>
      <c r="C5951" s="17" t="s">
        <v>3370</v>
      </c>
      <c r="D5951" s="17" t="s">
        <v>2895</v>
      </c>
      <c r="E5951" s="17" t="s">
        <v>2910</v>
      </c>
      <c r="F5951" s="17" t="s">
        <v>3420</v>
      </c>
      <c r="G5951" s="18" t="n">
        <v>0</v>
      </c>
      <c r="H5951" s="18" t="n">
        <v>5062.49</v>
      </c>
      <c r="I5951" s="18" t="n">
        <f aca="false">((I5950 + G5951) - H5951)</f>
        <v>65654.6099999999</v>
      </c>
      <c r="J5951" s="18" t="n">
        <v>0</v>
      </c>
      <c r="K5951" s="19" t="n">
        <v>0</v>
      </c>
      <c r="L5951" s="17"/>
    </row>
    <row r="5952" s="11" customFormat="true" ht="10.95" hidden="false" customHeight="true" outlineLevel="0" collapsed="false">
      <c r="A5952" s="16" t="n">
        <v>45131</v>
      </c>
      <c r="B5952" s="17" t="s">
        <v>3369</v>
      </c>
      <c r="C5952" s="17" t="s">
        <v>3370</v>
      </c>
      <c r="D5952" s="17" t="s">
        <v>2895</v>
      </c>
      <c r="E5952" s="17" t="s">
        <v>2910</v>
      </c>
      <c r="F5952" s="17" t="s">
        <v>790</v>
      </c>
      <c r="G5952" s="18" t="n">
        <v>0</v>
      </c>
      <c r="H5952" s="18" t="n">
        <v>11840.14</v>
      </c>
      <c r="I5952" s="18" t="n">
        <f aca="false">((I5951 + G5952) - H5952)</f>
        <v>53814.4699999999</v>
      </c>
      <c r="J5952" s="18" t="n">
        <v>0</v>
      </c>
      <c r="K5952" s="19" t="n">
        <v>0</v>
      </c>
      <c r="L5952" s="17"/>
    </row>
    <row r="5953" s="11" customFormat="true" ht="10.95" hidden="false" customHeight="true" outlineLevel="0" collapsed="false">
      <c r="A5953" s="16" t="n">
        <v>45131</v>
      </c>
      <c r="B5953" s="17" t="s">
        <v>3369</v>
      </c>
      <c r="C5953" s="17" t="s">
        <v>3370</v>
      </c>
      <c r="D5953" s="17" t="s">
        <v>2895</v>
      </c>
      <c r="E5953" s="17" t="s">
        <v>2900</v>
      </c>
      <c r="F5953" s="17" t="s">
        <v>3421</v>
      </c>
      <c r="G5953" s="18" t="n">
        <v>0</v>
      </c>
      <c r="H5953" s="18" t="n">
        <v>794.62</v>
      </c>
      <c r="I5953" s="18" t="n">
        <f aca="false">((I5952 + G5953) - H5953)</f>
        <v>53019.8499999999</v>
      </c>
      <c r="J5953" s="18" t="n">
        <v>0</v>
      </c>
      <c r="K5953" s="19" t="n">
        <v>0</v>
      </c>
      <c r="L5953" s="17"/>
    </row>
    <row r="5954" s="11" customFormat="true" ht="10.95" hidden="false" customHeight="true" outlineLevel="0" collapsed="false">
      <c r="A5954" s="16" t="n">
        <v>45132</v>
      </c>
      <c r="B5954" s="17" t="s">
        <v>3369</v>
      </c>
      <c r="C5954" s="17" t="s">
        <v>3370</v>
      </c>
      <c r="D5954" s="17" t="s">
        <v>19</v>
      </c>
      <c r="E5954" s="17" t="s">
        <v>3422</v>
      </c>
      <c r="F5954" s="17" t="s">
        <v>956</v>
      </c>
      <c r="G5954" s="18" t="n">
        <v>7203.8</v>
      </c>
      <c r="H5954" s="18" t="n">
        <v>0</v>
      </c>
      <c r="I5954" s="18" t="n">
        <f aca="false">((I5953 + G5954) - H5954)</f>
        <v>60223.6499999999</v>
      </c>
      <c r="J5954" s="18" t="n">
        <v>0</v>
      </c>
      <c r="K5954" s="19" t="n">
        <v>0</v>
      </c>
      <c r="L5954" s="17"/>
    </row>
    <row r="5955" s="11" customFormat="true" ht="10.95" hidden="false" customHeight="true" outlineLevel="0" collapsed="false">
      <c r="A5955" s="16" t="n">
        <v>45132</v>
      </c>
      <c r="B5955" s="17" t="s">
        <v>3369</v>
      </c>
      <c r="C5955" s="17" t="s">
        <v>3370</v>
      </c>
      <c r="D5955" s="17" t="s">
        <v>19</v>
      </c>
      <c r="E5955" s="17" t="s">
        <v>3423</v>
      </c>
      <c r="F5955" s="17" t="s">
        <v>794</v>
      </c>
      <c r="G5955" s="18" t="n">
        <v>89.22</v>
      </c>
      <c r="H5955" s="18" t="n">
        <v>0</v>
      </c>
      <c r="I5955" s="18" t="n">
        <f aca="false">((I5954 + G5955) - H5955)</f>
        <v>60312.8699999999</v>
      </c>
      <c r="J5955" s="18" t="n">
        <v>0</v>
      </c>
      <c r="K5955" s="19" t="n">
        <v>0</v>
      </c>
      <c r="L5955" s="17"/>
    </row>
    <row r="5956" s="11" customFormat="true" ht="10.95" hidden="false" customHeight="true" outlineLevel="0" collapsed="false">
      <c r="A5956" s="16" t="n">
        <v>45132</v>
      </c>
      <c r="B5956" s="17" t="s">
        <v>3369</v>
      </c>
      <c r="C5956" s="17" t="s">
        <v>3370</v>
      </c>
      <c r="D5956" s="17" t="s">
        <v>19</v>
      </c>
      <c r="E5956" s="17" t="s">
        <v>3424</v>
      </c>
      <c r="F5956" s="17" t="s">
        <v>21</v>
      </c>
      <c r="G5956" s="18" t="n">
        <v>413.6</v>
      </c>
      <c r="H5956" s="18" t="n">
        <v>0</v>
      </c>
      <c r="I5956" s="18" t="n">
        <f aca="false">((I5955 + G5956) - H5956)</f>
        <v>60726.4699999999</v>
      </c>
      <c r="J5956" s="18" t="n">
        <v>0</v>
      </c>
      <c r="K5956" s="19" t="n">
        <v>0</v>
      </c>
      <c r="L5956" s="17"/>
    </row>
    <row r="5957" s="11" customFormat="true" ht="10.95" hidden="false" customHeight="true" outlineLevel="0" collapsed="false">
      <c r="A5957" s="16" t="n">
        <v>45132</v>
      </c>
      <c r="B5957" s="17" t="s">
        <v>3369</v>
      </c>
      <c r="C5957" s="17" t="s">
        <v>3370</v>
      </c>
      <c r="D5957" s="17" t="s">
        <v>19</v>
      </c>
      <c r="E5957" s="17" t="s">
        <v>3425</v>
      </c>
      <c r="F5957" s="17" t="s">
        <v>1073</v>
      </c>
      <c r="G5957" s="18" t="n">
        <v>763.61</v>
      </c>
      <c r="H5957" s="18" t="n">
        <v>0</v>
      </c>
      <c r="I5957" s="18" t="n">
        <f aca="false">((I5956 + G5957) - H5957)</f>
        <v>61490.0799999999</v>
      </c>
      <c r="J5957" s="18" t="n">
        <v>0</v>
      </c>
      <c r="K5957" s="19" t="n">
        <v>0</v>
      </c>
      <c r="L5957" s="17"/>
    </row>
    <row r="5958" s="11" customFormat="true" ht="10.95" hidden="false" customHeight="true" outlineLevel="0" collapsed="false">
      <c r="A5958" s="16" t="n">
        <v>45132</v>
      </c>
      <c r="B5958" s="17" t="s">
        <v>3369</v>
      </c>
      <c r="C5958" s="17" t="s">
        <v>3370</v>
      </c>
      <c r="D5958" s="17" t="s">
        <v>19</v>
      </c>
      <c r="E5958" s="17" t="s">
        <v>3426</v>
      </c>
      <c r="F5958" s="17" t="s">
        <v>24</v>
      </c>
      <c r="G5958" s="18" t="n">
        <v>1386</v>
      </c>
      <c r="H5958" s="18" t="n">
        <v>0</v>
      </c>
      <c r="I5958" s="18" t="n">
        <f aca="false">((I5957 + G5958) - H5958)</f>
        <v>62876.0799999999</v>
      </c>
      <c r="J5958" s="18" t="n">
        <v>0</v>
      </c>
      <c r="K5958" s="19" t="n">
        <v>0</v>
      </c>
      <c r="L5958" s="17"/>
    </row>
    <row r="5959" s="11" customFormat="true" ht="10.95" hidden="false" customHeight="true" outlineLevel="0" collapsed="false">
      <c r="A5959" s="16" t="n">
        <v>45132</v>
      </c>
      <c r="B5959" s="17" t="s">
        <v>3369</v>
      </c>
      <c r="C5959" s="17" t="s">
        <v>3370</v>
      </c>
      <c r="D5959" s="17" t="s">
        <v>19</v>
      </c>
      <c r="E5959" s="17" t="s">
        <v>3427</v>
      </c>
      <c r="F5959" s="17" t="s">
        <v>27</v>
      </c>
      <c r="G5959" s="18" t="n">
        <v>561</v>
      </c>
      <c r="H5959" s="18" t="n">
        <v>0</v>
      </c>
      <c r="I5959" s="18" t="n">
        <f aca="false">((I5958 + G5959) - H5959)</f>
        <v>63437.0799999999</v>
      </c>
      <c r="J5959" s="18" t="n">
        <v>0</v>
      </c>
      <c r="K5959" s="19" t="n">
        <v>0</v>
      </c>
      <c r="L5959" s="17"/>
    </row>
    <row r="5960" s="11" customFormat="true" ht="10.95" hidden="false" customHeight="true" outlineLevel="0" collapsed="false">
      <c r="A5960" s="16" t="n">
        <v>45132</v>
      </c>
      <c r="B5960" s="17" t="s">
        <v>3369</v>
      </c>
      <c r="C5960" s="17" t="s">
        <v>3370</v>
      </c>
      <c r="D5960" s="17" t="s">
        <v>19</v>
      </c>
      <c r="E5960" s="17" t="s">
        <v>3428</v>
      </c>
      <c r="F5960" s="17" t="s">
        <v>29</v>
      </c>
      <c r="G5960" s="18" t="n">
        <v>919.6</v>
      </c>
      <c r="H5960" s="18" t="n">
        <v>0</v>
      </c>
      <c r="I5960" s="18" t="n">
        <f aca="false">((I5959 + G5960) - H5960)</f>
        <v>64356.6799999999</v>
      </c>
      <c r="J5960" s="18" t="n">
        <v>0</v>
      </c>
      <c r="K5960" s="19" t="n">
        <v>0</v>
      </c>
      <c r="L5960" s="17"/>
    </row>
    <row r="5961" s="11" customFormat="true" ht="10.95" hidden="false" customHeight="true" outlineLevel="0" collapsed="false">
      <c r="A5961" s="16" t="n">
        <v>45132</v>
      </c>
      <c r="B5961" s="17" t="s">
        <v>3369</v>
      </c>
      <c r="C5961" s="17" t="s">
        <v>3370</v>
      </c>
      <c r="D5961" s="17" t="s">
        <v>19</v>
      </c>
      <c r="E5961" s="17" t="s">
        <v>3429</v>
      </c>
      <c r="F5961" s="17" t="s">
        <v>31</v>
      </c>
      <c r="G5961" s="18" t="n">
        <v>93.5</v>
      </c>
      <c r="H5961" s="18" t="n">
        <v>0</v>
      </c>
      <c r="I5961" s="18" t="n">
        <f aca="false">((I5960 + G5961) - H5961)</f>
        <v>64450.1799999999</v>
      </c>
      <c r="J5961" s="18" t="n">
        <v>0</v>
      </c>
      <c r="K5961" s="19" t="n">
        <v>0</v>
      </c>
      <c r="L5961" s="17"/>
    </row>
    <row r="5962" s="11" customFormat="true" ht="10.95" hidden="false" customHeight="true" outlineLevel="0" collapsed="false">
      <c r="A5962" s="16" t="n">
        <v>45132</v>
      </c>
      <c r="B5962" s="17" t="s">
        <v>3369</v>
      </c>
      <c r="C5962" s="17" t="s">
        <v>3370</v>
      </c>
      <c r="D5962" s="17" t="s">
        <v>19</v>
      </c>
      <c r="E5962" s="17" t="s">
        <v>3430</v>
      </c>
      <c r="F5962" s="17" t="s">
        <v>796</v>
      </c>
      <c r="G5962" s="18" t="n">
        <v>478.42</v>
      </c>
      <c r="H5962" s="18" t="n">
        <v>0</v>
      </c>
      <c r="I5962" s="18" t="n">
        <f aca="false">((I5961 + G5962) - H5962)</f>
        <v>64928.5999999999</v>
      </c>
      <c r="J5962" s="18" t="n">
        <v>0</v>
      </c>
      <c r="K5962" s="19" t="n">
        <v>0</v>
      </c>
      <c r="L5962" s="17"/>
    </row>
    <row r="5963" s="11" customFormat="true" ht="10.95" hidden="false" customHeight="true" outlineLevel="0" collapsed="false">
      <c r="A5963" s="16" t="n">
        <v>45132</v>
      </c>
      <c r="B5963" s="17" t="s">
        <v>3369</v>
      </c>
      <c r="C5963" s="17" t="s">
        <v>3370</v>
      </c>
      <c r="D5963" s="17" t="s">
        <v>19</v>
      </c>
      <c r="E5963" s="17" t="s">
        <v>3430</v>
      </c>
      <c r="F5963" s="17" t="s">
        <v>797</v>
      </c>
      <c r="G5963" s="18" t="n">
        <v>318.94</v>
      </c>
      <c r="H5963" s="18" t="n">
        <v>0</v>
      </c>
      <c r="I5963" s="18" t="n">
        <f aca="false">((I5962 + G5963) - H5963)</f>
        <v>65247.5399999999</v>
      </c>
      <c r="J5963" s="18" t="n">
        <v>0</v>
      </c>
      <c r="K5963" s="19" t="n">
        <v>0</v>
      </c>
      <c r="L5963" s="17"/>
    </row>
    <row r="5964" s="11" customFormat="true" ht="10.95" hidden="false" customHeight="true" outlineLevel="0" collapsed="false">
      <c r="A5964" s="16" t="n">
        <v>45132</v>
      </c>
      <c r="B5964" s="17" t="s">
        <v>3369</v>
      </c>
      <c r="C5964" s="17" t="s">
        <v>3370</v>
      </c>
      <c r="D5964" s="17" t="s">
        <v>19</v>
      </c>
      <c r="E5964" s="17" t="s">
        <v>3431</v>
      </c>
      <c r="F5964" s="17" t="s">
        <v>33</v>
      </c>
      <c r="G5964" s="18" t="n">
        <v>357.5</v>
      </c>
      <c r="H5964" s="18" t="n">
        <v>0</v>
      </c>
      <c r="I5964" s="18" t="n">
        <f aca="false">((I5963 + G5964) - H5964)</f>
        <v>65605.04</v>
      </c>
      <c r="J5964" s="18" t="n">
        <v>0</v>
      </c>
      <c r="K5964" s="19" t="n">
        <v>0</v>
      </c>
      <c r="L5964" s="17"/>
    </row>
    <row r="5965" s="11" customFormat="true" ht="10.95" hidden="false" customHeight="true" outlineLevel="0" collapsed="false">
      <c r="A5965" s="16" t="n">
        <v>45132</v>
      </c>
      <c r="B5965" s="17" t="s">
        <v>3369</v>
      </c>
      <c r="C5965" s="17" t="s">
        <v>3370</v>
      </c>
      <c r="D5965" s="17" t="s">
        <v>19</v>
      </c>
      <c r="E5965" s="17" t="s">
        <v>3432</v>
      </c>
      <c r="F5965" s="17" t="s">
        <v>37</v>
      </c>
      <c r="G5965" s="18" t="n">
        <v>1094.5</v>
      </c>
      <c r="H5965" s="18" t="n">
        <v>0</v>
      </c>
      <c r="I5965" s="18" t="n">
        <f aca="false">((I5964 + G5965) - H5965)</f>
        <v>66699.54</v>
      </c>
      <c r="J5965" s="18" t="n">
        <v>0</v>
      </c>
      <c r="K5965" s="19" t="n">
        <v>0</v>
      </c>
      <c r="L5965" s="17"/>
    </row>
    <row r="5966" s="11" customFormat="true" ht="10.95" hidden="false" customHeight="true" outlineLevel="0" collapsed="false">
      <c r="A5966" s="16" t="n">
        <v>45132</v>
      </c>
      <c r="B5966" s="17" t="s">
        <v>3369</v>
      </c>
      <c r="C5966" s="17" t="s">
        <v>3370</v>
      </c>
      <c r="D5966" s="17" t="s">
        <v>19</v>
      </c>
      <c r="E5966" s="17" t="s">
        <v>3433</v>
      </c>
      <c r="F5966" s="17" t="s">
        <v>41</v>
      </c>
      <c r="G5966" s="18" t="n">
        <v>4207.5</v>
      </c>
      <c r="H5966" s="18" t="n">
        <v>0</v>
      </c>
      <c r="I5966" s="18" t="n">
        <f aca="false">((I5965 + G5966) - H5966)</f>
        <v>70907.04</v>
      </c>
      <c r="J5966" s="18" t="n">
        <v>0</v>
      </c>
      <c r="K5966" s="19" t="n">
        <v>0</v>
      </c>
      <c r="L5966" s="17"/>
    </row>
    <row r="5967" s="11" customFormat="true" ht="10.95" hidden="false" customHeight="true" outlineLevel="0" collapsed="false">
      <c r="A5967" s="16" t="n">
        <v>45132</v>
      </c>
      <c r="B5967" s="17" t="s">
        <v>3369</v>
      </c>
      <c r="C5967" s="17" t="s">
        <v>3370</v>
      </c>
      <c r="D5967" s="17" t="s">
        <v>19</v>
      </c>
      <c r="E5967" s="17" t="s">
        <v>3433</v>
      </c>
      <c r="F5967" s="17" t="s">
        <v>43</v>
      </c>
      <c r="G5967" s="18" t="n">
        <v>4182.2</v>
      </c>
      <c r="H5967" s="18" t="n">
        <v>0</v>
      </c>
      <c r="I5967" s="18" t="n">
        <f aca="false">((I5966 + G5967) - H5967)</f>
        <v>75089.24</v>
      </c>
      <c r="J5967" s="18" t="n">
        <v>0</v>
      </c>
      <c r="K5967" s="19" t="n">
        <v>0</v>
      </c>
      <c r="L5967" s="17"/>
    </row>
    <row r="5968" s="11" customFormat="true" ht="10.95" hidden="false" customHeight="true" outlineLevel="0" collapsed="false">
      <c r="A5968" s="16" t="n">
        <v>45132</v>
      </c>
      <c r="B5968" s="17" t="s">
        <v>3369</v>
      </c>
      <c r="C5968" s="17" t="s">
        <v>3370</v>
      </c>
      <c r="D5968" s="17" t="s">
        <v>19</v>
      </c>
      <c r="E5968" s="17" t="s">
        <v>3434</v>
      </c>
      <c r="F5968" s="17" t="s">
        <v>48</v>
      </c>
      <c r="G5968" s="18" t="n">
        <v>396</v>
      </c>
      <c r="H5968" s="18" t="n">
        <v>0</v>
      </c>
      <c r="I5968" s="18" t="n">
        <f aca="false">((I5967 + G5968) - H5968)</f>
        <v>75485.24</v>
      </c>
      <c r="J5968" s="18" t="n">
        <v>0</v>
      </c>
      <c r="K5968" s="19" t="n">
        <v>0</v>
      </c>
      <c r="L5968" s="17"/>
    </row>
    <row r="5969" s="11" customFormat="true" ht="10.95" hidden="false" customHeight="true" outlineLevel="0" collapsed="false">
      <c r="A5969" s="16" t="n">
        <v>45132</v>
      </c>
      <c r="B5969" s="17" t="s">
        <v>3369</v>
      </c>
      <c r="C5969" s="17" t="s">
        <v>3370</v>
      </c>
      <c r="D5969" s="17" t="s">
        <v>19</v>
      </c>
      <c r="E5969" s="17" t="s">
        <v>3435</v>
      </c>
      <c r="F5969" s="17" t="s">
        <v>51</v>
      </c>
      <c r="G5969" s="18" t="n">
        <v>2244</v>
      </c>
      <c r="H5969" s="18" t="n">
        <v>0</v>
      </c>
      <c r="I5969" s="18" t="n">
        <f aca="false">((I5968 + G5969) - H5969)</f>
        <v>77729.24</v>
      </c>
      <c r="J5969" s="18" t="n">
        <v>0</v>
      </c>
      <c r="K5969" s="19" t="n">
        <v>0</v>
      </c>
      <c r="L5969" s="17"/>
    </row>
    <row r="5970" s="11" customFormat="true" ht="10.95" hidden="false" customHeight="true" outlineLevel="0" collapsed="false">
      <c r="A5970" s="16" t="n">
        <v>45132</v>
      </c>
      <c r="B5970" s="17" t="s">
        <v>3369</v>
      </c>
      <c r="C5970" s="17" t="s">
        <v>3370</v>
      </c>
      <c r="D5970" s="17" t="s">
        <v>19</v>
      </c>
      <c r="E5970" s="17" t="s">
        <v>3436</v>
      </c>
      <c r="F5970" s="17" t="s">
        <v>799</v>
      </c>
      <c r="G5970" s="18" t="n">
        <v>2821.5</v>
      </c>
      <c r="H5970" s="18" t="n">
        <v>0</v>
      </c>
      <c r="I5970" s="18" t="n">
        <f aca="false">((I5969 + G5970) - H5970)</f>
        <v>80550.74</v>
      </c>
      <c r="J5970" s="18" t="n">
        <v>0</v>
      </c>
      <c r="K5970" s="19" t="n">
        <v>0</v>
      </c>
      <c r="L5970" s="17"/>
    </row>
    <row r="5971" s="11" customFormat="true" ht="10.95" hidden="false" customHeight="true" outlineLevel="0" collapsed="false">
      <c r="A5971" s="16" t="n">
        <v>45132</v>
      </c>
      <c r="B5971" s="17" t="s">
        <v>3369</v>
      </c>
      <c r="C5971" s="17" t="s">
        <v>3370</v>
      </c>
      <c r="D5971" s="17" t="s">
        <v>19</v>
      </c>
      <c r="E5971" s="17" t="s">
        <v>3436</v>
      </c>
      <c r="F5971" s="17" t="s">
        <v>800</v>
      </c>
      <c r="G5971" s="18" t="n">
        <v>2194.5</v>
      </c>
      <c r="H5971" s="18" t="n">
        <v>0</v>
      </c>
      <c r="I5971" s="18" t="n">
        <f aca="false">((I5970 + G5971) - H5971)</f>
        <v>82745.24</v>
      </c>
      <c r="J5971" s="18" t="n">
        <v>0</v>
      </c>
      <c r="K5971" s="19" t="n">
        <v>0</v>
      </c>
      <c r="L5971" s="17"/>
    </row>
    <row r="5972" s="11" customFormat="true" ht="10.95" hidden="false" customHeight="true" outlineLevel="0" collapsed="false">
      <c r="A5972" s="16" t="n">
        <v>45132</v>
      </c>
      <c r="B5972" s="17" t="s">
        <v>3369</v>
      </c>
      <c r="C5972" s="17" t="s">
        <v>3370</v>
      </c>
      <c r="D5972" s="17" t="s">
        <v>19</v>
      </c>
      <c r="E5972" s="17" t="s">
        <v>3436</v>
      </c>
      <c r="F5972" s="17" t="s">
        <v>802</v>
      </c>
      <c r="G5972" s="18" t="n">
        <v>786.5</v>
      </c>
      <c r="H5972" s="18" t="n">
        <v>0</v>
      </c>
      <c r="I5972" s="18" t="n">
        <f aca="false">((I5971 + G5972) - H5972)</f>
        <v>83531.74</v>
      </c>
      <c r="J5972" s="18" t="n">
        <v>0</v>
      </c>
      <c r="K5972" s="19" t="n">
        <v>0</v>
      </c>
      <c r="L5972" s="17"/>
    </row>
    <row r="5973" s="11" customFormat="true" ht="10.95" hidden="false" customHeight="true" outlineLevel="0" collapsed="false">
      <c r="A5973" s="16" t="n">
        <v>45132</v>
      </c>
      <c r="B5973" s="17" t="s">
        <v>3369</v>
      </c>
      <c r="C5973" s="17" t="s">
        <v>3370</v>
      </c>
      <c r="D5973" s="17" t="s">
        <v>19</v>
      </c>
      <c r="E5973" s="17" t="s">
        <v>3436</v>
      </c>
      <c r="F5973" s="17" t="s">
        <v>804</v>
      </c>
      <c r="G5973" s="18" t="n">
        <v>1672</v>
      </c>
      <c r="H5973" s="18" t="n">
        <v>0</v>
      </c>
      <c r="I5973" s="18" t="n">
        <f aca="false">((I5972 + G5973) - H5973)</f>
        <v>85203.74</v>
      </c>
      <c r="J5973" s="18" t="n">
        <v>0</v>
      </c>
      <c r="K5973" s="19" t="n">
        <v>0</v>
      </c>
      <c r="L5973" s="17"/>
    </row>
    <row r="5974" s="11" customFormat="true" ht="10.95" hidden="false" customHeight="true" outlineLevel="0" collapsed="false">
      <c r="A5974" s="16" t="n">
        <v>45132</v>
      </c>
      <c r="B5974" s="17" t="s">
        <v>3369</v>
      </c>
      <c r="C5974" s="17" t="s">
        <v>3370</v>
      </c>
      <c r="D5974" s="17" t="s">
        <v>19</v>
      </c>
      <c r="E5974" s="17" t="s">
        <v>3437</v>
      </c>
      <c r="F5974" s="17" t="s">
        <v>53</v>
      </c>
      <c r="G5974" s="18" t="n">
        <v>1100.06</v>
      </c>
      <c r="H5974" s="18" t="n">
        <v>0</v>
      </c>
      <c r="I5974" s="18" t="n">
        <f aca="false">((I5973 + G5974) - H5974)</f>
        <v>86303.7999999999</v>
      </c>
      <c r="J5974" s="18" t="n">
        <v>0</v>
      </c>
      <c r="K5974" s="19" t="n">
        <v>0</v>
      </c>
      <c r="L5974" s="17"/>
    </row>
    <row r="5975" s="11" customFormat="true" ht="10.95" hidden="false" customHeight="true" outlineLevel="0" collapsed="false">
      <c r="A5975" s="16" t="n">
        <v>45132</v>
      </c>
      <c r="B5975" s="17" t="s">
        <v>3369</v>
      </c>
      <c r="C5975" s="17" t="s">
        <v>3370</v>
      </c>
      <c r="D5975" s="17" t="s">
        <v>19</v>
      </c>
      <c r="E5975" s="17" t="s">
        <v>3438</v>
      </c>
      <c r="F5975" s="17" t="s">
        <v>1076</v>
      </c>
      <c r="G5975" s="18" t="n">
        <v>3094.04</v>
      </c>
      <c r="H5975" s="18" t="n">
        <v>0</v>
      </c>
      <c r="I5975" s="18" t="n">
        <f aca="false">((I5974 + G5975) - H5975)</f>
        <v>89397.8399999999</v>
      </c>
      <c r="J5975" s="18" t="n">
        <v>0</v>
      </c>
      <c r="K5975" s="19" t="n">
        <v>0</v>
      </c>
      <c r="L5975" s="17"/>
    </row>
    <row r="5976" s="11" customFormat="true" ht="10.95" hidden="false" customHeight="true" outlineLevel="0" collapsed="false">
      <c r="A5976" s="16" t="n">
        <v>45132</v>
      </c>
      <c r="B5976" s="17" t="s">
        <v>3369</v>
      </c>
      <c r="C5976" s="17" t="s">
        <v>3370</v>
      </c>
      <c r="D5976" s="17" t="s">
        <v>19</v>
      </c>
      <c r="E5976" s="17" t="s">
        <v>3439</v>
      </c>
      <c r="F5976" s="17" t="s">
        <v>55</v>
      </c>
      <c r="G5976" s="18" t="n">
        <v>1052.7</v>
      </c>
      <c r="H5976" s="18" t="n">
        <v>0</v>
      </c>
      <c r="I5976" s="18" t="n">
        <f aca="false">((I5975 + G5976) - H5976)</f>
        <v>90450.5399999999</v>
      </c>
      <c r="J5976" s="18" t="n">
        <v>0</v>
      </c>
      <c r="K5976" s="19" t="n">
        <v>0</v>
      </c>
      <c r="L5976" s="17"/>
    </row>
    <row r="5977" s="11" customFormat="true" ht="10.95" hidden="false" customHeight="true" outlineLevel="0" collapsed="false">
      <c r="A5977" s="16" t="n">
        <v>45132</v>
      </c>
      <c r="B5977" s="17" t="s">
        <v>3369</v>
      </c>
      <c r="C5977" s="17" t="s">
        <v>3370</v>
      </c>
      <c r="D5977" s="17" t="s">
        <v>19</v>
      </c>
      <c r="E5977" s="17" t="s">
        <v>3440</v>
      </c>
      <c r="F5977" s="17" t="s">
        <v>1078</v>
      </c>
      <c r="G5977" s="18" t="n">
        <v>1395.08</v>
      </c>
      <c r="H5977" s="18" t="n">
        <v>0</v>
      </c>
      <c r="I5977" s="18" t="n">
        <f aca="false">((I5976 + G5977) - H5977)</f>
        <v>91845.6199999999</v>
      </c>
      <c r="J5977" s="18" t="n">
        <v>0</v>
      </c>
      <c r="K5977" s="19" t="n">
        <v>0</v>
      </c>
      <c r="L5977" s="17"/>
    </row>
    <row r="5978" s="11" customFormat="true" ht="10.95" hidden="false" customHeight="true" outlineLevel="0" collapsed="false">
      <c r="A5978" s="16" t="n">
        <v>45132</v>
      </c>
      <c r="B5978" s="17" t="s">
        <v>3369</v>
      </c>
      <c r="C5978" s="17" t="s">
        <v>3370</v>
      </c>
      <c r="D5978" s="17" t="s">
        <v>19</v>
      </c>
      <c r="E5978" s="17" t="s">
        <v>3441</v>
      </c>
      <c r="F5978" s="17" t="s">
        <v>1082</v>
      </c>
      <c r="G5978" s="18" t="n">
        <v>180</v>
      </c>
      <c r="H5978" s="18" t="n">
        <v>0</v>
      </c>
      <c r="I5978" s="18" t="n">
        <f aca="false">((I5977 + G5978) - H5978)</f>
        <v>92025.6199999999</v>
      </c>
      <c r="J5978" s="18" t="n">
        <v>0</v>
      </c>
      <c r="K5978" s="19" t="n">
        <v>0</v>
      </c>
      <c r="L5978" s="17"/>
    </row>
    <row r="5979" s="11" customFormat="true" ht="10.95" hidden="false" customHeight="true" outlineLevel="0" collapsed="false">
      <c r="A5979" s="16" t="n">
        <v>45132</v>
      </c>
      <c r="B5979" s="17" t="s">
        <v>3369</v>
      </c>
      <c r="C5979" s="17" t="s">
        <v>3370</v>
      </c>
      <c r="D5979" s="17" t="s">
        <v>19</v>
      </c>
      <c r="E5979" s="17" t="s">
        <v>3442</v>
      </c>
      <c r="F5979" s="17" t="s">
        <v>60</v>
      </c>
      <c r="G5979" s="18" t="n">
        <v>9394</v>
      </c>
      <c r="H5979" s="18" t="n">
        <v>0</v>
      </c>
      <c r="I5979" s="18" t="n">
        <f aca="false">((I5978 + G5979) - H5979)</f>
        <v>101419.62</v>
      </c>
      <c r="J5979" s="18" t="n">
        <v>0</v>
      </c>
      <c r="K5979" s="19" t="n">
        <v>0</v>
      </c>
      <c r="L5979" s="17"/>
    </row>
    <row r="5980" s="11" customFormat="true" ht="10.95" hidden="false" customHeight="true" outlineLevel="0" collapsed="false">
      <c r="A5980" s="16" t="n">
        <v>45132</v>
      </c>
      <c r="B5980" s="17" t="s">
        <v>3369</v>
      </c>
      <c r="C5980" s="17" t="s">
        <v>3370</v>
      </c>
      <c r="D5980" s="17" t="s">
        <v>19</v>
      </c>
      <c r="E5980" s="17" t="s">
        <v>3443</v>
      </c>
      <c r="F5980" s="17" t="s">
        <v>65</v>
      </c>
      <c r="G5980" s="18" t="n">
        <v>4510</v>
      </c>
      <c r="H5980" s="18" t="n">
        <v>0</v>
      </c>
      <c r="I5980" s="18" t="n">
        <f aca="false">((I5979 + G5980) - H5980)</f>
        <v>105929.62</v>
      </c>
      <c r="J5980" s="18" t="n">
        <v>0</v>
      </c>
      <c r="K5980" s="19" t="n">
        <v>0</v>
      </c>
      <c r="L5980" s="17"/>
    </row>
    <row r="5981" s="11" customFormat="true" ht="10.95" hidden="false" customHeight="true" outlineLevel="0" collapsed="false">
      <c r="A5981" s="16" t="n">
        <v>45132</v>
      </c>
      <c r="B5981" s="17" t="s">
        <v>3369</v>
      </c>
      <c r="C5981" s="17" t="s">
        <v>3370</v>
      </c>
      <c r="D5981" s="17" t="s">
        <v>19</v>
      </c>
      <c r="E5981" s="17" t="s">
        <v>3444</v>
      </c>
      <c r="F5981" s="17" t="s">
        <v>70</v>
      </c>
      <c r="G5981" s="18" t="n">
        <v>968</v>
      </c>
      <c r="H5981" s="18" t="n">
        <v>0</v>
      </c>
      <c r="I5981" s="18" t="n">
        <f aca="false">((I5980 + G5981) - H5981)</f>
        <v>106897.62</v>
      </c>
      <c r="J5981" s="18" t="n">
        <v>0</v>
      </c>
      <c r="K5981" s="19" t="n">
        <v>0</v>
      </c>
      <c r="L5981" s="17"/>
    </row>
    <row r="5982" s="11" customFormat="true" ht="10.95" hidden="false" customHeight="true" outlineLevel="0" collapsed="false">
      <c r="A5982" s="16" t="n">
        <v>45132</v>
      </c>
      <c r="B5982" s="17" t="s">
        <v>3369</v>
      </c>
      <c r="C5982" s="17" t="s">
        <v>3370</v>
      </c>
      <c r="D5982" s="17" t="s">
        <v>19</v>
      </c>
      <c r="E5982" s="17" t="s">
        <v>3445</v>
      </c>
      <c r="F5982" s="17" t="s">
        <v>72</v>
      </c>
      <c r="G5982" s="18" t="n">
        <v>1784.2</v>
      </c>
      <c r="H5982" s="18" t="n">
        <v>0</v>
      </c>
      <c r="I5982" s="18" t="n">
        <f aca="false">((I5981 + G5982) - H5982)</f>
        <v>108681.82</v>
      </c>
      <c r="J5982" s="18" t="n">
        <v>0</v>
      </c>
      <c r="K5982" s="19" t="n">
        <v>0</v>
      </c>
      <c r="L5982" s="17"/>
    </row>
    <row r="5983" s="11" customFormat="true" ht="10.95" hidden="false" customHeight="true" outlineLevel="0" collapsed="false">
      <c r="A5983" s="16" t="n">
        <v>45132</v>
      </c>
      <c r="B5983" s="17" t="s">
        <v>3369</v>
      </c>
      <c r="C5983" s="17" t="s">
        <v>3370</v>
      </c>
      <c r="D5983" s="17" t="s">
        <v>19</v>
      </c>
      <c r="E5983" s="17" t="s">
        <v>3446</v>
      </c>
      <c r="F5983" s="17" t="s">
        <v>75</v>
      </c>
      <c r="G5983" s="18" t="n">
        <v>1654.4</v>
      </c>
      <c r="H5983" s="18" t="n">
        <v>0</v>
      </c>
      <c r="I5983" s="18" t="n">
        <f aca="false">((I5982 + G5983) - H5983)</f>
        <v>110336.22</v>
      </c>
      <c r="J5983" s="18" t="n">
        <v>0</v>
      </c>
      <c r="K5983" s="19" t="n">
        <v>0</v>
      </c>
      <c r="L5983" s="17"/>
    </row>
    <row r="5984" s="11" customFormat="true" ht="10.95" hidden="false" customHeight="true" outlineLevel="0" collapsed="false">
      <c r="A5984" s="16" t="n">
        <v>45132</v>
      </c>
      <c r="B5984" s="17" t="s">
        <v>3369</v>
      </c>
      <c r="C5984" s="17" t="s">
        <v>3370</v>
      </c>
      <c r="D5984" s="17" t="s">
        <v>19</v>
      </c>
      <c r="E5984" s="17" t="s">
        <v>3447</v>
      </c>
      <c r="F5984" s="17" t="s">
        <v>77</v>
      </c>
      <c r="G5984" s="18" t="n">
        <v>827.2</v>
      </c>
      <c r="H5984" s="18" t="n">
        <v>0</v>
      </c>
      <c r="I5984" s="18" t="n">
        <f aca="false">((I5983 + G5984) - H5984)</f>
        <v>111163.42</v>
      </c>
      <c r="J5984" s="18" t="n">
        <v>0</v>
      </c>
      <c r="K5984" s="19" t="n">
        <v>0</v>
      </c>
      <c r="L5984" s="17"/>
    </row>
    <row r="5985" s="11" customFormat="true" ht="10.95" hidden="false" customHeight="true" outlineLevel="0" collapsed="false">
      <c r="A5985" s="16" t="n">
        <v>45132</v>
      </c>
      <c r="B5985" s="17" t="s">
        <v>3369</v>
      </c>
      <c r="C5985" s="17" t="s">
        <v>3370</v>
      </c>
      <c r="D5985" s="17" t="s">
        <v>19</v>
      </c>
      <c r="E5985" s="17" t="s">
        <v>3447</v>
      </c>
      <c r="F5985" s="17" t="s">
        <v>79</v>
      </c>
      <c r="G5985" s="18" t="n">
        <v>638</v>
      </c>
      <c r="H5985" s="18" t="n">
        <v>0</v>
      </c>
      <c r="I5985" s="18" t="n">
        <f aca="false">((I5984 + G5985) - H5985)</f>
        <v>111801.42</v>
      </c>
      <c r="J5985" s="18" t="n">
        <v>0</v>
      </c>
      <c r="K5985" s="19" t="n">
        <v>0</v>
      </c>
      <c r="L5985" s="17"/>
    </row>
    <row r="5986" s="11" customFormat="true" ht="10.95" hidden="false" customHeight="true" outlineLevel="0" collapsed="false">
      <c r="A5986" s="16" t="n">
        <v>45132</v>
      </c>
      <c r="B5986" s="17" t="s">
        <v>3369</v>
      </c>
      <c r="C5986" s="17" t="s">
        <v>3370</v>
      </c>
      <c r="D5986" s="17" t="s">
        <v>19</v>
      </c>
      <c r="E5986" s="17" t="s">
        <v>3447</v>
      </c>
      <c r="F5986" s="17" t="s">
        <v>81</v>
      </c>
      <c r="G5986" s="18" t="n">
        <v>206.8</v>
      </c>
      <c r="H5986" s="18" t="n">
        <v>0</v>
      </c>
      <c r="I5986" s="18" t="n">
        <f aca="false">((I5985 + G5986) - H5986)</f>
        <v>112008.22</v>
      </c>
      <c r="J5986" s="18" t="n">
        <v>0</v>
      </c>
      <c r="K5986" s="19" t="n">
        <v>0</v>
      </c>
      <c r="L5986" s="17"/>
    </row>
    <row r="5987" s="11" customFormat="true" ht="10.95" hidden="false" customHeight="true" outlineLevel="0" collapsed="false">
      <c r="A5987" s="16" t="n">
        <v>45132</v>
      </c>
      <c r="B5987" s="17" t="s">
        <v>3369</v>
      </c>
      <c r="C5987" s="17" t="s">
        <v>3370</v>
      </c>
      <c r="D5987" s="17" t="s">
        <v>19</v>
      </c>
      <c r="E5987" s="17" t="s">
        <v>3447</v>
      </c>
      <c r="F5987" s="17" t="s">
        <v>82</v>
      </c>
      <c r="G5987" s="18" t="n">
        <v>1361.25</v>
      </c>
      <c r="H5987" s="18" t="n">
        <v>0</v>
      </c>
      <c r="I5987" s="18" t="n">
        <f aca="false">((I5986 + G5987) - H5987)</f>
        <v>113369.47</v>
      </c>
      <c r="J5987" s="18" t="n">
        <v>0</v>
      </c>
      <c r="K5987" s="19" t="n">
        <v>0</v>
      </c>
      <c r="L5987" s="17"/>
    </row>
    <row r="5988" s="11" customFormat="true" ht="10.95" hidden="false" customHeight="true" outlineLevel="0" collapsed="false">
      <c r="A5988" s="16" t="n">
        <v>45132</v>
      </c>
      <c r="B5988" s="17" t="s">
        <v>3369</v>
      </c>
      <c r="C5988" s="17" t="s">
        <v>3370</v>
      </c>
      <c r="D5988" s="17" t="s">
        <v>19</v>
      </c>
      <c r="E5988" s="17" t="s">
        <v>3447</v>
      </c>
      <c r="F5988" s="17" t="s">
        <v>85</v>
      </c>
      <c r="G5988" s="18" t="n">
        <v>517</v>
      </c>
      <c r="H5988" s="18" t="n">
        <v>0</v>
      </c>
      <c r="I5988" s="18" t="n">
        <f aca="false">((I5987 + G5988) - H5988)</f>
        <v>113886.47</v>
      </c>
      <c r="J5988" s="18" t="n">
        <v>0</v>
      </c>
      <c r="K5988" s="19" t="n">
        <v>0</v>
      </c>
      <c r="L5988" s="17"/>
    </row>
    <row r="5989" s="11" customFormat="true" ht="10.95" hidden="false" customHeight="true" outlineLevel="0" collapsed="false">
      <c r="A5989" s="16" t="n">
        <v>45132</v>
      </c>
      <c r="B5989" s="17" t="s">
        <v>3369</v>
      </c>
      <c r="C5989" s="17" t="s">
        <v>3370</v>
      </c>
      <c r="D5989" s="17" t="s">
        <v>19</v>
      </c>
      <c r="E5989" s="17" t="s">
        <v>3447</v>
      </c>
      <c r="F5989" s="17" t="s">
        <v>86</v>
      </c>
      <c r="G5989" s="18" t="n">
        <v>316.8</v>
      </c>
      <c r="H5989" s="18" t="n">
        <v>0</v>
      </c>
      <c r="I5989" s="18" t="n">
        <f aca="false">((I5988 + G5989) - H5989)</f>
        <v>114203.27</v>
      </c>
      <c r="J5989" s="18" t="n">
        <v>0</v>
      </c>
      <c r="K5989" s="19" t="n">
        <v>0</v>
      </c>
      <c r="L5989" s="17"/>
    </row>
    <row r="5990" s="11" customFormat="true" ht="10.95" hidden="false" customHeight="true" outlineLevel="0" collapsed="false">
      <c r="A5990" s="16" t="n">
        <v>45132</v>
      </c>
      <c r="B5990" s="17" t="s">
        <v>3369</v>
      </c>
      <c r="C5990" s="17" t="s">
        <v>3370</v>
      </c>
      <c r="D5990" s="17" t="s">
        <v>19</v>
      </c>
      <c r="E5990" s="17" t="s">
        <v>3447</v>
      </c>
      <c r="F5990" s="17" t="s">
        <v>90</v>
      </c>
      <c r="G5990" s="18" t="n">
        <v>627</v>
      </c>
      <c r="H5990" s="18" t="n">
        <v>0</v>
      </c>
      <c r="I5990" s="18" t="n">
        <f aca="false">((I5989 + G5990) - H5990)</f>
        <v>114830.27</v>
      </c>
      <c r="J5990" s="18" t="n">
        <v>0</v>
      </c>
      <c r="K5990" s="19" t="n">
        <v>0</v>
      </c>
      <c r="L5990" s="17"/>
    </row>
    <row r="5991" s="11" customFormat="true" ht="10.95" hidden="false" customHeight="true" outlineLevel="0" collapsed="false">
      <c r="A5991" s="16" t="n">
        <v>45132</v>
      </c>
      <c r="B5991" s="17" t="s">
        <v>3369</v>
      </c>
      <c r="C5991" s="17" t="s">
        <v>3370</v>
      </c>
      <c r="D5991" s="17" t="s">
        <v>19</v>
      </c>
      <c r="E5991" s="17" t="s">
        <v>3447</v>
      </c>
      <c r="F5991" s="17" t="s">
        <v>92</v>
      </c>
      <c r="G5991" s="18" t="n">
        <v>2484.9</v>
      </c>
      <c r="H5991" s="18" t="n">
        <v>0</v>
      </c>
      <c r="I5991" s="18" t="n">
        <f aca="false">((I5990 + G5991) - H5991)</f>
        <v>117315.17</v>
      </c>
      <c r="J5991" s="18" t="n">
        <v>0</v>
      </c>
      <c r="K5991" s="19" t="n">
        <v>0</v>
      </c>
      <c r="L5991" s="17"/>
    </row>
    <row r="5992" s="11" customFormat="true" ht="10.95" hidden="false" customHeight="true" outlineLevel="0" collapsed="false">
      <c r="A5992" s="16" t="n">
        <v>45132</v>
      </c>
      <c r="B5992" s="17" t="s">
        <v>3369</v>
      </c>
      <c r="C5992" s="17" t="s">
        <v>3370</v>
      </c>
      <c r="D5992" s="17" t="s">
        <v>19</v>
      </c>
      <c r="E5992" s="17" t="s">
        <v>3447</v>
      </c>
      <c r="F5992" s="17" t="s">
        <v>96</v>
      </c>
      <c r="G5992" s="18" t="n">
        <v>1258.4</v>
      </c>
      <c r="H5992" s="18" t="n">
        <v>0</v>
      </c>
      <c r="I5992" s="18" t="n">
        <f aca="false">((I5991 + G5992) - H5992)</f>
        <v>118573.57</v>
      </c>
      <c r="J5992" s="18" t="n">
        <v>0</v>
      </c>
      <c r="K5992" s="19" t="n">
        <v>0</v>
      </c>
      <c r="L5992" s="17"/>
    </row>
    <row r="5993" s="11" customFormat="true" ht="10.95" hidden="false" customHeight="true" outlineLevel="0" collapsed="false">
      <c r="A5993" s="16" t="n">
        <v>45132</v>
      </c>
      <c r="B5993" s="17" t="s">
        <v>3369</v>
      </c>
      <c r="C5993" s="17" t="s">
        <v>3370</v>
      </c>
      <c r="D5993" s="17" t="s">
        <v>19</v>
      </c>
      <c r="E5993" s="17" t="s">
        <v>3447</v>
      </c>
      <c r="F5993" s="17" t="s">
        <v>99</v>
      </c>
      <c r="G5993" s="18" t="n">
        <v>310.2</v>
      </c>
      <c r="H5993" s="18" t="n">
        <v>0</v>
      </c>
      <c r="I5993" s="18" t="n">
        <f aca="false">((I5992 + G5993) - H5993)</f>
        <v>118883.77</v>
      </c>
      <c r="J5993" s="18" t="n">
        <v>0</v>
      </c>
      <c r="K5993" s="19" t="n">
        <v>0</v>
      </c>
      <c r="L5993" s="17"/>
    </row>
    <row r="5994" s="11" customFormat="true" ht="10.95" hidden="false" customHeight="true" outlineLevel="0" collapsed="false">
      <c r="A5994" s="16" t="n">
        <v>45132</v>
      </c>
      <c r="B5994" s="17" t="s">
        <v>3369</v>
      </c>
      <c r="C5994" s="17" t="s">
        <v>3370</v>
      </c>
      <c r="D5994" s="17" t="s">
        <v>19</v>
      </c>
      <c r="E5994" s="17" t="s">
        <v>3447</v>
      </c>
      <c r="F5994" s="17" t="s">
        <v>101</v>
      </c>
      <c r="G5994" s="18" t="n">
        <v>310.2</v>
      </c>
      <c r="H5994" s="18" t="n">
        <v>0</v>
      </c>
      <c r="I5994" s="18" t="n">
        <f aca="false">((I5993 + G5994) - H5994)</f>
        <v>119193.97</v>
      </c>
      <c r="J5994" s="18" t="n">
        <v>0</v>
      </c>
      <c r="K5994" s="19" t="n">
        <v>0</v>
      </c>
      <c r="L5994" s="17"/>
    </row>
    <row r="5995" s="11" customFormat="true" ht="10.95" hidden="false" customHeight="true" outlineLevel="0" collapsed="false">
      <c r="A5995" s="16" t="n">
        <v>45132</v>
      </c>
      <c r="B5995" s="17" t="s">
        <v>3369</v>
      </c>
      <c r="C5995" s="17" t="s">
        <v>3370</v>
      </c>
      <c r="D5995" s="17" t="s">
        <v>19</v>
      </c>
      <c r="E5995" s="17" t="s">
        <v>3447</v>
      </c>
      <c r="F5995" s="17" t="s">
        <v>103</v>
      </c>
      <c r="G5995" s="18" t="n">
        <v>517</v>
      </c>
      <c r="H5995" s="18" t="n">
        <v>0</v>
      </c>
      <c r="I5995" s="18" t="n">
        <f aca="false">((I5994 + G5995) - H5995)</f>
        <v>119710.97</v>
      </c>
      <c r="J5995" s="18" t="n">
        <v>0</v>
      </c>
      <c r="K5995" s="19" t="n">
        <v>0</v>
      </c>
      <c r="L5995" s="17"/>
    </row>
    <row r="5996" s="11" customFormat="true" ht="10.95" hidden="false" customHeight="true" outlineLevel="0" collapsed="false">
      <c r="A5996" s="16" t="n">
        <v>45132</v>
      </c>
      <c r="B5996" s="17" t="s">
        <v>3369</v>
      </c>
      <c r="C5996" s="17" t="s">
        <v>3370</v>
      </c>
      <c r="D5996" s="17" t="s">
        <v>19</v>
      </c>
      <c r="E5996" s="17" t="s">
        <v>3447</v>
      </c>
      <c r="F5996" s="17" t="s">
        <v>105</v>
      </c>
      <c r="G5996" s="18" t="n">
        <v>1034</v>
      </c>
      <c r="H5996" s="18" t="n">
        <v>0</v>
      </c>
      <c r="I5996" s="18" t="n">
        <f aca="false">((I5995 + G5996) - H5996)</f>
        <v>120744.97</v>
      </c>
      <c r="J5996" s="18" t="n">
        <v>0</v>
      </c>
      <c r="K5996" s="19" t="n">
        <v>0</v>
      </c>
      <c r="L5996" s="17"/>
    </row>
    <row r="5997" s="11" customFormat="true" ht="10.95" hidden="false" customHeight="true" outlineLevel="0" collapsed="false">
      <c r="A5997" s="16" t="n">
        <v>45132</v>
      </c>
      <c r="B5997" s="17" t="s">
        <v>3369</v>
      </c>
      <c r="C5997" s="17" t="s">
        <v>3370</v>
      </c>
      <c r="D5997" s="17" t="s">
        <v>19</v>
      </c>
      <c r="E5997" s="17" t="s">
        <v>3447</v>
      </c>
      <c r="F5997" s="17" t="s">
        <v>107</v>
      </c>
      <c r="G5997" s="18" t="n">
        <v>310.2</v>
      </c>
      <c r="H5997" s="18" t="n">
        <v>0</v>
      </c>
      <c r="I5997" s="18" t="n">
        <f aca="false">((I5996 + G5997) - H5997)</f>
        <v>121055.17</v>
      </c>
      <c r="J5997" s="18" t="n">
        <v>0</v>
      </c>
      <c r="K5997" s="19" t="n">
        <v>0</v>
      </c>
      <c r="L5997" s="17"/>
    </row>
    <row r="5998" s="11" customFormat="true" ht="10.95" hidden="false" customHeight="true" outlineLevel="0" collapsed="false">
      <c r="A5998" s="16" t="n">
        <v>45132</v>
      </c>
      <c r="B5998" s="17" t="s">
        <v>3369</v>
      </c>
      <c r="C5998" s="17" t="s">
        <v>3370</v>
      </c>
      <c r="D5998" s="17" t="s">
        <v>19</v>
      </c>
      <c r="E5998" s="17" t="s">
        <v>3447</v>
      </c>
      <c r="F5998" s="17" t="s">
        <v>109</v>
      </c>
      <c r="G5998" s="18" t="n">
        <v>930.6</v>
      </c>
      <c r="H5998" s="18" t="n">
        <v>0</v>
      </c>
      <c r="I5998" s="18" t="n">
        <f aca="false">((I5997 + G5998) - H5998)</f>
        <v>121985.77</v>
      </c>
      <c r="J5998" s="18" t="n">
        <v>0</v>
      </c>
      <c r="K5998" s="19" t="n">
        <v>0</v>
      </c>
      <c r="L5998" s="17"/>
    </row>
    <row r="5999" s="11" customFormat="true" ht="10.95" hidden="false" customHeight="true" outlineLevel="0" collapsed="false">
      <c r="A5999" s="16" t="n">
        <v>45132</v>
      </c>
      <c r="B5999" s="17" t="s">
        <v>3369</v>
      </c>
      <c r="C5999" s="17" t="s">
        <v>3370</v>
      </c>
      <c r="D5999" s="17" t="s">
        <v>19</v>
      </c>
      <c r="E5999" s="17" t="s">
        <v>3448</v>
      </c>
      <c r="F5999" s="17" t="s">
        <v>111</v>
      </c>
      <c r="G5999" s="18" t="n">
        <v>480.7</v>
      </c>
      <c r="H5999" s="18" t="n">
        <v>0</v>
      </c>
      <c r="I5999" s="18" t="n">
        <f aca="false">((I5998 + G5999) - H5999)</f>
        <v>122466.47</v>
      </c>
      <c r="J5999" s="18" t="n">
        <v>0</v>
      </c>
      <c r="K5999" s="19" t="n">
        <v>0</v>
      </c>
      <c r="L5999" s="17"/>
    </row>
    <row r="6000" s="11" customFormat="true" ht="10.95" hidden="false" customHeight="true" outlineLevel="0" collapsed="false">
      <c r="A6000" s="16" t="n">
        <v>45132</v>
      </c>
      <c r="B6000" s="17" t="s">
        <v>3369</v>
      </c>
      <c r="C6000" s="17" t="s">
        <v>3370</v>
      </c>
      <c r="D6000" s="17" t="s">
        <v>19</v>
      </c>
      <c r="E6000" s="17" t="s">
        <v>3448</v>
      </c>
      <c r="F6000" s="17" t="s">
        <v>115</v>
      </c>
      <c r="G6000" s="18" t="n">
        <v>280.5</v>
      </c>
      <c r="H6000" s="18" t="n">
        <v>0</v>
      </c>
      <c r="I6000" s="18" t="n">
        <f aca="false">((I5999 + G6000) - H6000)</f>
        <v>122746.97</v>
      </c>
      <c r="J6000" s="18" t="n">
        <v>0</v>
      </c>
      <c r="K6000" s="19" t="n">
        <v>0</v>
      </c>
      <c r="L6000" s="17"/>
    </row>
    <row r="6001" s="11" customFormat="true" ht="10.95" hidden="false" customHeight="true" outlineLevel="0" collapsed="false">
      <c r="A6001" s="16" t="n">
        <v>45132</v>
      </c>
      <c r="B6001" s="17" t="s">
        <v>3369</v>
      </c>
      <c r="C6001" s="17" t="s">
        <v>3370</v>
      </c>
      <c r="D6001" s="17" t="s">
        <v>19</v>
      </c>
      <c r="E6001" s="17" t="s">
        <v>3449</v>
      </c>
      <c r="F6001" s="17" t="s">
        <v>806</v>
      </c>
      <c r="G6001" s="18" t="n">
        <v>594.59</v>
      </c>
      <c r="H6001" s="18" t="n">
        <v>0</v>
      </c>
      <c r="I6001" s="18" t="n">
        <f aca="false">((I6000 + G6001) - H6001)</f>
        <v>123341.56</v>
      </c>
      <c r="J6001" s="18" t="n">
        <v>0</v>
      </c>
      <c r="K6001" s="19" t="n">
        <v>0</v>
      </c>
      <c r="L6001" s="17"/>
    </row>
    <row r="6002" s="11" customFormat="true" ht="10.95" hidden="false" customHeight="true" outlineLevel="0" collapsed="false">
      <c r="A6002" s="16" t="n">
        <v>45132</v>
      </c>
      <c r="B6002" s="17" t="s">
        <v>3369</v>
      </c>
      <c r="C6002" s="17" t="s">
        <v>3370</v>
      </c>
      <c r="D6002" s="17" t="s">
        <v>19</v>
      </c>
      <c r="E6002" s="17" t="s">
        <v>3450</v>
      </c>
      <c r="F6002" s="17" t="s">
        <v>1084</v>
      </c>
      <c r="G6002" s="18" t="n">
        <v>265.23</v>
      </c>
      <c r="H6002" s="18" t="n">
        <v>0</v>
      </c>
      <c r="I6002" s="18" t="n">
        <f aca="false">((I6001 + G6002) - H6002)</f>
        <v>123606.79</v>
      </c>
      <c r="J6002" s="18" t="n">
        <v>0</v>
      </c>
      <c r="K6002" s="19" t="n">
        <v>0</v>
      </c>
      <c r="L6002" s="17"/>
    </row>
    <row r="6003" s="11" customFormat="true" ht="10.95" hidden="false" customHeight="true" outlineLevel="0" collapsed="false">
      <c r="A6003" s="16" t="n">
        <v>45132</v>
      </c>
      <c r="B6003" s="17" t="s">
        <v>3369</v>
      </c>
      <c r="C6003" s="17" t="s">
        <v>3370</v>
      </c>
      <c r="D6003" s="17" t="s">
        <v>19</v>
      </c>
      <c r="E6003" s="17" t="s">
        <v>3450</v>
      </c>
      <c r="F6003" s="17" t="s">
        <v>1086</v>
      </c>
      <c r="G6003" s="18" t="n">
        <v>801.66</v>
      </c>
      <c r="H6003" s="18" t="n">
        <v>0</v>
      </c>
      <c r="I6003" s="18" t="n">
        <f aca="false">((I6002 + G6003) - H6003)</f>
        <v>124408.45</v>
      </c>
      <c r="J6003" s="18" t="n">
        <v>0</v>
      </c>
      <c r="K6003" s="19" t="n">
        <v>0</v>
      </c>
      <c r="L6003" s="17"/>
    </row>
    <row r="6004" s="11" customFormat="true" ht="10.95" hidden="false" customHeight="true" outlineLevel="0" collapsed="false">
      <c r="A6004" s="16" t="n">
        <v>45132</v>
      </c>
      <c r="B6004" s="17" t="s">
        <v>3369</v>
      </c>
      <c r="C6004" s="17" t="s">
        <v>3370</v>
      </c>
      <c r="D6004" s="17" t="s">
        <v>19</v>
      </c>
      <c r="E6004" s="17" t="s">
        <v>3450</v>
      </c>
      <c r="F6004" s="17" t="s">
        <v>1091</v>
      </c>
      <c r="G6004" s="18" t="n">
        <v>1743.3</v>
      </c>
      <c r="H6004" s="18" t="n">
        <v>0</v>
      </c>
      <c r="I6004" s="18" t="n">
        <f aca="false">((I6003 + G6004) - H6004)</f>
        <v>126151.75</v>
      </c>
      <c r="J6004" s="18" t="n">
        <v>0</v>
      </c>
      <c r="K6004" s="19" t="n">
        <v>0</v>
      </c>
      <c r="L6004" s="17"/>
    </row>
    <row r="6005" s="11" customFormat="true" ht="10.95" hidden="false" customHeight="true" outlineLevel="0" collapsed="false">
      <c r="A6005" s="16" t="n">
        <v>45132</v>
      </c>
      <c r="B6005" s="17" t="s">
        <v>3369</v>
      </c>
      <c r="C6005" s="17" t="s">
        <v>3370</v>
      </c>
      <c r="D6005" s="17" t="s">
        <v>19</v>
      </c>
      <c r="E6005" s="17" t="s">
        <v>3450</v>
      </c>
      <c r="F6005" s="17" t="s">
        <v>1093</v>
      </c>
      <c r="G6005" s="18" t="n">
        <v>1002.42</v>
      </c>
      <c r="H6005" s="18" t="n">
        <v>0</v>
      </c>
      <c r="I6005" s="18" t="n">
        <f aca="false">((I6004 + G6005) - H6005)</f>
        <v>127154.17</v>
      </c>
      <c r="J6005" s="18" t="n">
        <v>0</v>
      </c>
      <c r="K6005" s="19" t="n">
        <v>0</v>
      </c>
      <c r="L6005" s="17"/>
    </row>
    <row r="6006" s="11" customFormat="true" ht="10.95" hidden="false" customHeight="true" outlineLevel="0" collapsed="false">
      <c r="A6006" s="16" t="n">
        <v>45132</v>
      </c>
      <c r="B6006" s="17" t="s">
        <v>3369</v>
      </c>
      <c r="C6006" s="17" t="s">
        <v>3370</v>
      </c>
      <c r="D6006" s="17" t="s">
        <v>19</v>
      </c>
      <c r="E6006" s="17" t="s">
        <v>3450</v>
      </c>
      <c r="F6006" s="17" t="s">
        <v>1096</v>
      </c>
      <c r="G6006" s="18" t="n">
        <v>1817.9</v>
      </c>
      <c r="H6006" s="18" t="n">
        <v>0</v>
      </c>
      <c r="I6006" s="18" t="n">
        <f aca="false">((I6005 + G6006) - H6006)</f>
        <v>128972.07</v>
      </c>
      <c r="J6006" s="18" t="n">
        <v>0</v>
      </c>
      <c r="K6006" s="19" t="n">
        <v>0</v>
      </c>
      <c r="L6006" s="17"/>
    </row>
    <row r="6007" s="11" customFormat="true" ht="10.95" hidden="false" customHeight="true" outlineLevel="0" collapsed="false">
      <c r="A6007" s="16" t="n">
        <v>45132</v>
      </c>
      <c r="B6007" s="17" t="s">
        <v>3369</v>
      </c>
      <c r="C6007" s="17" t="s">
        <v>3370</v>
      </c>
      <c r="D6007" s="17" t="s">
        <v>19</v>
      </c>
      <c r="E6007" s="17" t="s">
        <v>3450</v>
      </c>
      <c r="F6007" s="17" t="s">
        <v>1099</v>
      </c>
      <c r="G6007" s="18" t="n">
        <v>132.61</v>
      </c>
      <c r="H6007" s="18" t="n">
        <v>0</v>
      </c>
      <c r="I6007" s="18" t="n">
        <f aca="false">((I6006 + G6007) - H6007)</f>
        <v>129104.68</v>
      </c>
      <c r="J6007" s="18" t="n">
        <v>0</v>
      </c>
      <c r="K6007" s="19" t="n">
        <v>0</v>
      </c>
      <c r="L6007" s="17"/>
    </row>
    <row r="6008" s="11" customFormat="true" ht="10.95" hidden="false" customHeight="true" outlineLevel="0" collapsed="false">
      <c r="A6008" s="16" t="n">
        <v>45132</v>
      </c>
      <c r="B6008" s="17" t="s">
        <v>3369</v>
      </c>
      <c r="C6008" s="17" t="s">
        <v>3370</v>
      </c>
      <c r="D6008" s="17" t="s">
        <v>19</v>
      </c>
      <c r="E6008" s="17" t="s">
        <v>3451</v>
      </c>
      <c r="F6008" s="17" t="s">
        <v>117</v>
      </c>
      <c r="G6008" s="18" t="n">
        <v>1399.2</v>
      </c>
      <c r="H6008" s="18" t="n">
        <v>0</v>
      </c>
      <c r="I6008" s="18" t="n">
        <f aca="false">((I6007 + G6008) - H6008)</f>
        <v>130503.88</v>
      </c>
      <c r="J6008" s="18" t="n">
        <v>0</v>
      </c>
      <c r="K6008" s="19" t="n">
        <v>0</v>
      </c>
      <c r="L6008" s="17"/>
    </row>
    <row r="6009" s="11" customFormat="true" ht="10.95" hidden="false" customHeight="true" outlineLevel="0" collapsed="false">
      <c r="A6009" s="16" t="n">
        <v>45132</v>
      </c>
      <c r="B6009" s="17" t="s">
        <v>3369</v>
      </c>
      <c r="C6009" s="17" t="s">
        <v>3370</v>
      </c>
      <c r="D6009" s="17" t="s">
        <v>2895</v>
      </c>
      <c r="E6009" s="17" t="s">
        <v>3403</v>
      </c>
      <c r="F6009" s="17" t="s">
        <v>3452</v>
      </c>
      <c r="G6009" s="18" t="n">
        <v>0</v>
      </c>
      <c r="H6009" s="18" t="n">
        <v>1034</v>
      </c>
      <c r="I6009" s="18" t="n">
        <f aca="false">((I6008 + G6009) - H6009)</f>
        <v>129469.88</v>
      </c>
      <c r="J6009" s="18" t="n">
        <v>0</v>
      </c>
      <c r="K6009" s="19" t="n">
        <v>0</v>
      </c>
      <c r="L6009" s="17"/>
    </row>
    <row r="6010" s="11" customFormat="true" ht="10.95" hidden="false" customHeight="true" outlineLevel="0" collapsed="false">
      <c r="A6010" s="16" t="n">
        <v>45132</v>
      </c>
      <c r="B6010" s="17" t="s">
        <v>3369</v>
      </c>
      <c r="C6010" s="17" t="s">
        <v>3370</v>
      </c>
      <c r="D6010" s="17" t="s">
        <v>2895</v>
      </c>
      <c r="E6010" s="17" t="s">
        <v>3453</v>
      </c>
      <c r="F6010" s="17" t="s">
        <v>31</v>
      </c>
      <c r="G6010" s="18" t="n">
        <v>0</v>
      </c>
      <c r="H6010" s="18" t="n">
        <v>93.5</v>
      </c>
      <c r="I6010" s="18" t="n">
        <f aca="false">((I6009 + G6010) - H6010)</f>
        <v>129376.38</v>
      </c>
      <c r="J6010" s="18" t="n">
        <v>0</v>
      </c>
      <c r="K6010" s="19" t="n">
        <v>0</v>
      </c>
      <c r="L6010" s="17"/>
    </row>
    <row r="6011" s="11" customFormat="true" ht="10.95" hidden="false" customHeight="true" outlineLevel="0" collapsed="false">
      <c r="A6011" s="16" t="n">
        <v>45132</v>
      </c>
      <c r="B6011" s="17" t="s">
        <v>3369</v>
      </c>
      <c r="C6011" s="17" t="s">
        <v>3370</v>
      </c>
      <c r="D6011" s="17" t="s">
        <v>19</v>
      </c>
      <c r="E6011" s="17" t="s">
        <v>3454</v>
      </c>
      <c r="F6011" s="17" t="s">
        <v>120</v>
      </c>
      <c r="G6011" s="18" t="n">
        <v>18256.15</v>
      </c>
      <c r="H6011" s="18" t="n">
        <v>0</v>
      </c>
      <c r="I6011" s="18" t="n">
        <f aca="false">((I6010 + G6011) - H6011)</f>
        <v>147632.53</v>
      </c>
      <c r="J6011" s="18" t="n">
        <v>0</v>
      </c>
      <c r="K6011" s="19" t="n">
        <v>0</v>
      </c>
      <c r="L6011" s="17"/>
    </row>
    <row r="6012" s="11" customFormat="true" ht="10.95" hidden="false" customHeight="true" outlineLevel="0" collapsed="false">
      <c r="A6012" s="16" t="n">
        <v>45132</v>
      </c>
      <c r="B6012" s="17" t="s">
        <v>3369</v>
      </c>
      <c r="C6012" s="17" t="s">
        <v>3370</v>
      </c>
      <c r="D6012" s="17" t="s">
        <v>19</v>
      </c>
      <c r="E6012" s="17" t="s">
        <v>3450</v>
      </c>
      <c r="F6012" s="17" t="s">
        <v>1100</v>
      </c>
      <c r="G6012" s="18" t="n">
        <v>1010.01</v>
      </c>
      <c r="H6012" s="18" t="n">
        <v>0</v>
      </c>
      <c r="I6012" s="18" t="n">
        <f aca="false">((I6011 + G6012) - H6012)</f>
        <v>148642.54</v>
      </c>
      <c r="J6012" s="18" t="n">
        <v>0</v>
      </c>
      <c r="K6012" s="19" t="n">
        <v>0</v>
      </c>
      <c r="L6012" s="17"/>
    </row>
    <row r="6013" s="11" customFormat="true" ht="10.95" hidden="false" customHeight="true" outlineLevel="0" collapsed="false">
      <c r="A6013" s="16" t="n">
        <v>45133</v>
      </c>
      <c r="B6013" s="17" t="s">
        <v>3369</v>
      </c>
      <c r="C6013" s="17" t="s">
        <v>3370</v>
      </c>
      <c r="D6013" s="17" t="s">
        <v>2895</v>
      </c>
      <c r="E6013" s="17" t="s">
        <v>2917</v>
      </c>
      <c r="F6013" s="17" t="s">
        <v>3455</v>
      </c>
      <c r="G6013" s="18" t="n">
        <v>0</v>
      </c>
      <c r="H6013" s="18" t="n">
        <v>2246</v>
      </c>
      <c r="I6013" s="18" t="n">
        <f aca="false">((I6012 + G6013) - H6013)</f>
        <v>146396.54</v>
      </c>
      <c r="J6013" s="18" t="n">
        <v>0</v>
      </c>
      <c r="K6013" s="19" t="n">
        <v>0</v>
      </c>
      <c r="L6013" s="17"/>
    </row>
    <row r="6014" s="11" customFormat="true" ht="10.95" hidden="false" customHeight="true" outlineLevel="0" collapsed="false">
      <c r="A6014" s="16" t="n">
        <v>45134</v>
      </c>
      <c r="B6014" s="17" t="s">
        <v>3369</v>
      </c>
      <c r="C6014" s="17" t="s">
        <v>3370</v>
      </c>
      <c r="D6014" s="17" t="s">
        <v>2895</v>
      </c>
      <c r="E6014" s="17" t="s">
        <v>3456</v>
      </c>
      <c r="F6014" s="17" t="s">
        <v>51</v>
      </c>
      <c r="G6014" s="18" t="n">
        <v>0</v>
      </c>
      <c r="H6014" s="18" t="n">
        <v>2244</v>
      </c>
      <c r="I6014" s="18" t="n">
        <f aca="false">((I6013 + G6014) - H6014)</f>
        <v>144152.54</v>
      </c>
      <c r="J6014" s="18" t="n">
        <v>0</v>
      </c>
      <c r="K6014" s="19" t="n">
        <v>0</v>
      </c>
      <c r="L6014" s="17"/>
    </row>
    <row r="6015" s="11" customFormat="true" ht="10.95" hidden="false" customHeight="true" outlineLevel="0" collapsed="false">
      <c r="A6015" s="16" t="n">
        <v>45135</v>
      </c>
      <c r="B6015" s="17" t="s">
        <v>3369</v>
      </c>
      <c r="C6015" s="17" t="s">
        <v>3370</v>
      </c>
      <c r="D6015" s="17" t="s">
        <v>2895</v>
      </c>
      <c r="E6015" s="17" t="s">
        <v>3457</v>
      </c>
      <c r="F6015" s="17" t="s">
        <v>3458</v>
      </c>
      <c r="G6015" s="18" t="n">
        <v>0</v>
      </c>
      <c r="H6015" s="18" t="n">
        <v>9130</v>
      </c>
      <c r="I6015" s="18" t="n">
        <f aca="false">((I6014 + G6015) - H6015)</f>
        <v>135022.54</v>
      </c>
      <c r="J6015" s="18" t="n">
        <v>0</v>
      </c>
      <c r="K6015" s="19" t="n">
        <v>0</v>
      </c>
      <c r="L6015" s="17"/>
    </row>
    <row r="6016" s="11" customFormat="true" ht="10.95" hidden="false" customHeight="true" outlineLevel="0" collapsed="false">
      <c r="A6016" s="16" t="n">
        <v>45135</v>
      </c>
      <c r="B6016" s="17" t="s">
        <v>3369</v>
      </c>
      <c r="C6016" s="17" t="s">
        <v>3370</v>
      </c>
      <c r="D6016" s="17" t="s">
        <v>2895</v>
      </c>
      <c r="E6016" s="17" t="s">
        <v>3459</v>
      </c>
      <c r="F6016" s="17" t="s">
        <v>72</v>
      </c>
      <c r="G6016" s="18" t="n">
        <v>0</v>
      </c>
      <c r="H6016" s="18" t="n">
        <v>1784.2</v>
      </c>
      <c r="I6016" s="18" t="n">
        <f aca="false">((I6015 + G6016) - H6016)</f>
        <v>133238.34</v>
      </c>
      <c r="J6016" s="18" t="n">
        <v>0</v>
      </c>
      <c r="K6016" s="19" t="n">
        <v>0</v>
      </c>
      <c r="L6016" s="17"/>
    </row>
    <row r="6017" s="11" customFormat="true" ht="10.95" hidden="false" customHeight="true" outlineLevel="0" collapsed="false">
      <c r="A6017" s="16" t="n">
        <v>45138</v>
      </c>
      <c r="B6017" s="17" t="s">
        <v>3369</v>
      </c>
      <c r="C6017" s="17" t="s">
        <v>3370</v>
      </c>
      <c r="D6017" s="17" t="s">
        <v>2895</v>
      </c>
      <c r="E6017" s="17" t="s">
        <v>3460</v>
      </c>
      <c r="F6017" s="17" t="s">
        <v>41</v>
      </c>
      <c r="G6017" s="18" t="n">
        <v>0</v>
      </c>
      <c r="H6017" s="18" t="n">
        <v>4207.5</v>
      </c>
      <c r="I6017" s="18" t="n">
        <f aca="false">((I6016 + G6017) - H6017)</f>
        <v>129030.84</v>
      </c>
      <c r="J6017" s="18" t="n">
        <v>0</v>
      </c>
      <c r="K6017" s="19" t="n">
        <v>0</v>
      </c>
      <c r="L6017" s="17"/>
    </row>
    <row r="6018" s="11" customFormat="true" ht="10.95" hidden="false" customHeight="true" outlineLevel="0" collapsed="false">
      <c r="A6018" s="16" t="n">
        <v>45138</v>
      </c>
      <c r="B6018" s="17" t="s">
        <v>3369</v>
      </c>
      <c r="C6018" s="17" t="s">
        <v>3370</v>
      </c>
      <c r="D6018" s="17" t="s">
        <v>2895</v>
      </c>
      <c r="E6018" s="17" t="s">
        <v>3460</v>
      </c>
      <c r="F6018" s="17" t="s">
        <v>43</v>
      </c>
      <c r="G6018" s="18" t="n">
        <v>0</v>
      </c>
      <c r="H6018" s="18" t="n">
        <v>4182.2</v>
      </c>
      <c r="I6018" s="18" t="n">
        <f aca="false">((I6017 + G6018) - H6018)</f>
        <v>124848.64</v>
      </c>
      <c r="J6018" s="18" t="n">
        <v>0</v>
      </c>
      <c r="K6018" s="19" t="n">
        <v>0</v>
      </c>
      <c r="L6018" s="17"/>
    </row>
    <row r="6019" s="11" customFormat="true" ht="10.95" hidden="false" customHeight="true" outlineLevel="0" collapsed="false">
      <c r="A6019" s="16" t="n">
        <v>45138</v>
      </c>
      <c r="B6019" s="17" t="s">
        <v>3369</v>
      </c>
      <c r="C6019" s="17" t="s">
        <v>3370</v>
      </c>
      <c r="D6019" s="17" t="s">
        <v>2895</v>
      </c>
      <c r="E6019" s="17" t="s">
        <v>3384</v>
      </c>
      <c r="F6019" s="17" t="s">
        <v>3461</v>
      </c>
      <c r="G6019" s="18" t="n">
        <v>0</v>
      </c>
      <c r="H6019" s="18" t="n">
        <v>1672</v>
      </c>
      <c r="I6019" s="18" t="n">
        <f aca="false">((I6018 + G6019) - H6019)</f>
        <v>123176.64</v>
      </c>
      <c r="J6019" s="18" t="n">
        <v>0</v>
      </c>
      <c r="K6019" s="19" t="n">
        <v>0</v>
      </c>
      <c r="L6019" s="17"/>
    </row>
    <row r="6020" s="11" customFormat="true" ht="10.95" hidden="false" customHeight="true" outlineLevel="0" collapsed="false">
      <c r="A6020" s="16" t="n">
        <v>45138</v>
      </c>
      <c r="B6020" s="17" t="s">
        <v>3369</v>
      </c>
      <c r="C6020" s="17" t="s">
        <v>3370</v>
      </c>
      <c r="D6020" s="17" t="s">
        <v>2895</v>
      </c>
      <c r="E6020" s="17" t="s">
        <v>3384</v>
      </c>
      <c r="F6020" s="17" t="s">
        <v>3462</v>
      </c>
      <c r="G6020" s="18" t="n">
        <v>0</v>
      </c>
      <c r="H6020" s="18" t="n">
        <v>572</v>
      </c>
      <c r="I6020" s="18" t="n">
        <f aca="false">((I6019 + G6020) - H6020)</f>
        <v>122604.64</v>
      </c>
      <c r="J6020" s="18" t="n">
        <v>0</v>
      </c>
      <c r="K6020" s="19" t="n">
        <v>0</v>
      </c>
      <c r="L6020" s="17"/>
    </row>
    <row r="6021" s="11" customFormat="true" ht="10.95" hidden="false" customHeight="true" outlineLevel="0" collapsed="false">
      <c r="A6021" s="16" t="n">
        <v>45138</v>
      </c>
      <c r="B6021" s="17" t="s">
        <v>3369</v>
      </c>
      <c r="C6021" s="17" t="s">
        <v>3370</v>
      </c>
      <c r="D6021" s="17" t="s">
        <v>2895</v>
      </c>
      <c r="E6021" s="17" t="s">
        <v>3384</v>
      </c>
      <c r="F6021" s="17" t="s">
        <v>3463</v>
      </c>
      <c r="G6021" s="18" t="n">
        <v>0</v>
      </c>
      <c r="H6021" s="18" t="n">
        <v>2194.5</v>
      </c>
      <c r="I6021" s="18" t="n">
        <f aca="false">((I6020 + G6021) - H6021)</f>
        <v>120410.14</v>
      </c>
      <c r="J6021" s="18" t="n">
        <v>0</v>
      </c>
      <c r="K6021" s="19" t="n">
        <v>0</v>
      </c>
      <c r="L6021" s="17"/>
    </row>
    <row r="6022" s="11" customFormat="true" ht="10.95" hidden="false" customHeight="true" outlineLevel="0" collapsed="false">
      <c r="A6022" s="16" t="n">
        <v>45138</v>
      </c>
      <c r="B6022" s="17" t="s">
        <v>3369</v>
      </c>
      <c r="C6022" s="17" t="s">
        <v>3370</v>
      </c>
      <c r="D6022" s="17" t="s">
        <v>2895</v>
      </c>
      <c r="E6022" s="17" t="s">
        <v>3384</v>
      </c>
      <c r="F6022" s="17" t="s">
        <v>3464</v>
      </c>
      <c r="G6022" s="18" t="n">
        <v>0</v>
      </c>
      <c r="H6022" s="18" t="n">
        <v>2821.5</v>
      </c>
      <c r="I6022" s="18" t="n">
        <f aca="false">((I6021 + G6022) - H6022)</f>
        <v>117588.64</v>
      </c>
      <c r="J6022" s="18" t="n">
        <v>0</v>
      </c>
      <c r="K6022" s="19" t="n">
        <v>0</v>
      </c>
      <c r="L6022" s="17"/>
    </row>
    <row r="6023" s="11" customFormat="true" ht="10.95" hidden="false" customHeight="true" outlineLevel="0" collapsed="false">
      <c r="A6023" s="16" t="n">
        <v>45138</v>
      </c>
      <c r="B6023" s="17" t="s">
        <v>3369</v>
      </c>
      <c r="C6023" s="17" t="s">
        <v>3370</v>
      </c>
      <c r="D6023" s="17" t="s">
        <v>2895</v>
      </c>
      <c r="E6023" s="17" t="s">
        <v>3465</v>
      </c>
      <c r="F6023" s="17" t="s">
        <v>37</v>
      </c>
      <c r="G6023" s="18" t="n">
        <v>0</v>
      </c>
      <c r="H6023" s="18" t="n">
        <v>1094.5</v>
      </c>
      <c r="I6023" s="18" t="n">
        <f aca="false">((I6022 + G6023) - H6023)</f>
        <v>116494.14</v>
      </c>
      <c r="J6023" s="18" t="n">
        <v>0</v>
      </c>
      <c r="K6023" s="19" t="n">
        <v>0</v>
      </c>
      <c r="L6023" s="17"/>
    </row>
    <row r="6024" s="11" customFormat="true" ht="10.95" hidden="false" customHeight="true" outlineLevel="0" collapsed="false">
      <c r="A6024" s="16" t="n">
        <v>45138</v>
      </c>
      <c r="B6024" s="17" t="s">
        <v>3369</v>
      </c>
      <c r="C6024" s="17" t="s">
        <v>3370</v>
      </c>
      <c r="D6024" s="17" t="s">
        <v>2895</v>
      </c>
      <c r="E6024" s="17" t="s">
        <v>3466</v>
      </c>
      <c r="F6024" s="17" t="s">
        <v>48</v>
      </c>
      <c r="G6024" s="18" t="n">
        <v>0</v>
      </c>
      <c r="H6024" s="18" t="n">
        <v>396</v>
      </c>
      <c r="I6024" s="18" t="n">
        <f aca="false">((I6023 + G6024) - H6024)</f>
        <v>116098.14</v>
      </c>
      <c r="J6024" s="18" t="n">
        <v>0</v>
      </c>
      <c r="K6024" s="19" t="n">
        <v>0</v>
      </c>
      <c r="L6024" s="17"/>
    </row>
    <row r="6025" s="11" customFormat="true" ht="10.95" hidden="false" customHeight="true" outlineLevel="0" collapsed="false">
      <c r="A6025" s="16" t="n">
        <v>45139</v>
      </c>
      <c r="B6025" s="17" t="s">
        <v>3369</v>
      </c>
      <c r="C6025" s="17" t="s">
        <v>3370</v>
      </c>
      <c r="D6025" s="17" t="s">
        <v>2895</v>
      </c>
      <c r="E6025" s="17" t="s">
        <v>3467</v>
      </c>
      <c r="F6025" s="17" t="s">
        <v>29</v>
      </c>
      <c r="G6025" s="18" t="n">
        <v>0</v>
      </c>
      <c r="H6025" s="18" t="n">
        <v>919.6</v>
      </c>
      <c r="I6025" s="18" t="n">
        <f aca="false">((I6024 + G6025) - H6025)</f>
        <v>115178.54</v>
      </c>
      <c r="J6025" s="18" t="n">
        <v>0</v>
      </c>
      <c r="K6025" s="19" t="n">
        <v>0</v>
      </c>
      <c r="L6025" s="17"/>
    </row>
    <row r="6026" s="11" customFormat="true" ht="10.95" hidden="false" customHeight="true" outlineLevel="0" collapsed="false">
      <c r="A6026" s="16" t="n">
        <v>45139</v>
      </c>
      <c r="B6026" s="17" t="s">
        <v>3369</v>
      </c>
      <c r="C6026" s="17" t="s">
        <v>3370</v>
      </c>
      <c r="D6026" s="17" t="s">
        <v>2895</v>
      </c>
      <c r="E6026" s="17" t="s">
        <v>3382</v>
      </c>
      <c r="F6026" s="17" t="s">
        <v>3468</v>
      </c>
      <c r="G6026" s="18" t="n">
        <v>0</v>
      </c>
      <c r="H6026" s="18" t="n">
        <v>16044.6</v>
      </c>
      <c r="I6026" s="18" t="n">
        <f aca="false">((I6025 + G6026) - H6026)</f>
        <v>99133.9399999999</v>
      </c>
      <c r="J6026" s="18" t="n">
        <v>0</v>
      </c>
      <c r="K6026" s="19" t="n">
        <v>0</v>
      </c>
      <c r="L6026" s="17"/>
    </row>
    <row r="6027" s="11" customFormat="true" ht="10.95" hidden="false" customHeight="true" outlineLevel="0" collapsed="false">
      <c r="A6027" s="16" t="n">
        <v>45139</v>
      </c>
      <c r="B6027" s="17" t="s">
        <v>3369</v>
      </c>
      <c r="C6027" s="17" t="s">
        <v>3370</v>
      </c>
      <c r="D6027" s="17" t="s">
        <v>2895</v>
      </c>
      <c r="E6027" s="17" t="s">
        <v>3403</v>
      </c>
      <c r="F6027" s="17" t="s">
        <v>107</v>
      </c>
      <c r="G6027" s="18" t="n">
        <v>0</v>
      </c>
      <c r="H6027" s="18" t="n">
        <v>310.2</v>
      </c>
      <c r="I6027" s="18" t="n">
        <f aca="false">((I6026 + G6027) - H6027)</f>
        <v>98823.7399999999</v>
      </c>
      <c r="J6027" s="18" t="n">
        <v>0</v>
      </c>
      <c r="K6027" s="19" t="n">
        <v>0</v>
      </c>
      <c r="L6027" s="17"/>
    </row>
    <row r="6028" s="11" customFormat="true" ht="10.95" hidden="false" customHeight="true" outlineLevel="0" collapsed="false">
      <c r="A6028" s="16" t="n">
        <v>45139</v>
      </c>
      <c r="B6028" s="17" t="s">
        <v>3369</v>
      </c>
      <c r="C6028" s="17" t="s">
        <v>3370</v>
      </c>
      <c r="D6028" s="17" t="s">
        <v>2895</v>
      </c>
      <c r="E6028" s="17" t="s">
        <v>3403</v>
      </c>
      <c r="F6028" s="17" t="s">
        <v>77</v>
      </c>
      <c r="G6028" s="18" t="n">
        <v>0</v>
      </c>
      <c r="H6028" s="18" t="n">
        <v>827.2</v>
      </c>
      <c r="I6028" s="18" t="n">
        <f aca="false">((I6027 + G6028) - H6028)</f>
        <v>97996.5399999999</v>
      </c>
      <c r="J6028" s="18" t="n">
        <v>0</v>
      </c>
      <c r="K6028" s="19" t="n">
        <v>0</v>
      </c>
      <c r="L6028" s="17"/>
    </row>
    <row r="6029" s="11" customFormat="true" ht="10.95" hidden="false" customHeight="true" outlineLevel="0" collapsed="false">
      <c r="A6029" s="16" t="n">
        <v>45139</v>
      </c>
      <c r="B6029" s="17" t="s">
        <v>3369</v>
      </c>
      <c r="C6029" s="17" t="s">
        <v>3370</v>
      </c>
      <c r="D6029" s="17" t="s">
        <v>2895</v>
      </c>
      <c r="E6029" s="17" t="s">
        <v>3403</v>
      </c>
      <c r="F6029" s="17" t="s">
        <v>3469</v>
      </c>
      <c r="G6029" s="18" t="n">
        <v>0</v>
      </c>
      <c r="H6029" s="18" t="n">
        <v>310.2</v>
      </c>
      <c r="I6029" s="18" t="n">
        <f aca="false">((I6028 + G6029) - H6029)</f>
        <v>97686.3399999999</v>
      </c>
      <c r="J6029" s="18" t="n">
        <v>0</v>
      </c>
      <c r="K6029" s="19" t="n">
        <v>0</v>
      </c>
      <c r="L6029" s="17"/>
    </row>
    <row r="6030" s="11" customFormat="true" ht="10.95" hidden="false" customHeight="true" outlineLevel="0" collapsed="false">
      <c r="A6030" s="16" t="n">
        <v>45139</v>
      </c>
      <c r="B6030" s="17" t="s">
        <v>3369</v>
      </c>
      <c r="C6030" s="17" t="s">
        <v>3370</v>
      </c>
      <c r="D6030" s="17" t="s">
        <v>2895</v>
      </c>
      <c r="E6030" s="17" t="s">
        <v>3403</v>
      </c>
      <c r="F6030" s="17" t="s">
        <v>101</v>
      </c>
      <c r="G6030" s="18" t="n">
        <v>0</v>
      </c>
      <c r="H6030" s="18" t="n">
        <v>310.2</v>
      </c>
      <c r="I6030" s="18" t="n">
        <f aca="false">((I6029 + G6030) - H6030)</f>
        <v>97376.1399999999</v>
      </c>
      <c r="J6030" s="18" t="n">
        <v>0</v>
      </c>
      <c r="K6030" s="19" t="n">
        <v>0</v>
      </c>
      <c r="L6030" s="17"/>
    </row>
    <row r="6031" s="11" customFormat="true" ht="10.95" hidden="false" customHeight="true" outlineLevel="0" collapsed="false">
      <c r="A6031" s="16" t="n">
        <v>45139</v>
      </c>
      <c r="B6031" s="17" t="s">
        <v>3369</v>
      </c>
      <c r="C6031" s="17" t="s">
        <v>3370</v>
      </c>
      <c r="D6031" s="17" t="s">
        <v>2895</v>
      </c>
      <c r="E6031" s="17" t="s">
        <v>3403</v>
      </c>
      <c r="F6031" s="17" t="s">
        <v>96</v>
      </c>
      <c r="G6031" s="18" t="n">
        <v>0</v>
      </c>
      <c r="H6031" s="18" t="n">
        <v>1258.4</v>
      </c>
      <c r="I6031" s="18" t="n">
        <f aca="false">((I6030 + G6031) - H6031)</f>
        <v>96117.7399999999</v>
      </c>
      <c r="J6031" s="18" t="n">
        <v>0</v>
      </c>
      <c r="K6031" s="19" t="n">
        <v>0</v>
      </c>
      <c r="L6031" s="17"/>
    </row>
    <row r="6032" s="11" customFormat="true" ht="10.95" hidden="false" customHeight="true" outlineLevel="0" collapsed="false">
      <c r="A6032" s="16" t="n">
        <v>45139</v>
      </c>
      <c r="B6032" s="17" t="s">
        <v>3369</v>
      </c>
      <c r="C6032" s="17" t="s">
        <v>3370</v>
      </c>
      <c r="D6032" s="17" t="s">
        <v>2895</v>
      </c>
      <c r="E6032" s="17" t="s">
        <v>3403</v>
      </c>
      <c r="F6032" s="17" t="s">
        <v>92</v>
      </c>
      <c r="G6032" s="18" t="n">
        <v>0</v>
      </c>
      <c r="H6032" s="18" t="n">
        <v>2484.9</v>
      </c>
      <c r="I6032" s="18" t="n">
        <f aca="false">((I6031 + G6032) - H6032)</f>
        <v>93632.8399999999</v>
      </c>
      <c r="J6032" s="18" t="n">
        <v>0</v>
      </c>
      <c r="K6032" s="19" t="n">
        <v>0</v>
      </c>
      <c r="L6032" s="17"/>
    </row>
    <row r="6033" s="11" customFormat="true" ht="10.95" hidden="false" customHeight="true" outlineLevel="0" collapsed="false">
      <c r="A6033" s="16" t="n">
        <v>45139</v>
      </c>
      <c r="B6033" s="17" t="s">
        <v>3369</v>
      </c>
      <c r="C6033" s="17" t="s">
        <v>3370</v>
      </c>
      <c r="D6033" s="17" t="s">
        <v>2895</v>
      </c>
      <c r="E6033" s="17" t="s">
        <v>3403</v>
      </c>
      <c r="F6033" s="17" t="s">
        <v>3470</v>
      </c>
      <c r="G6033" s="18" t="n">
        <v>0</v>
      </c>
      <c r="H6033" s="18" t="n">
        <v>310.2</v>
      </c>
      <c r="I6033" s="18" t="n">
        <f aca="false">((I6032 + G6033) - H6033)</f>
        <v>93322.6399999999</v>
      </c>
      <c r="J6033" s="18" t="n">
        <v>0</v>
      </c>
      <c r="K6033" s="19" t="n">
        <v>0</v>
      </c>
      <c r="L6033" s="17"/>
    </row>
    <row r="6034" s="11" customFormat="true" ht="10.95" hidden="false" customHeight="true" outlineLevel="0" collapsed="false">
      <c r="A6034" s="16" t="n">
        <v>45139</v>
      </c>
      <c r="B6034" s="17" t="s">
        <v>3369</v>
      </c>
      <c r="C6034" s="17" t="s">
        <v>3370</v>
      </c>
      <c r="D6034" s="17" t="s">
        <v>2895</v>
      </c>
      <c r="E6034" s="17" t="s">
        <v>3403</v>
      </c>
      <c r="F6034" s="17" t="s">
        <v>3471</v>
      </c>
      <c r="G6034" s="18" t="n">
        <v>0</v>
      </c>
      <c r="H6034" s="18" t="n">
        <v>310.2</v>
      </c>
      <c r="I6034" s="18" t="n">
        <f aca="false">((I6033 + G6034) - H6034)</f>
        <v>93012.4399999999</v>
      </c>
      <c r="J6034" s="18" t="n">
        <v>0</v>
      </c>
      <c r="K6034" s="19" t="n">
        <v>0</v>
      </c>
      <c r="L6034" s="17"/>
    </row>
    <row r="6035" s="11" customFormat="true" ht="10.95" hidden="false" customHeight="true" outlineLevel="0" collapsed="false">
      <c r="A6035" s="16" t="n">
        <v>45139</v>
      </c>
      <c r="B6035" s="17" t="s">
        <v>3369</v>
      </c>
      <c r="C6035" s="17" t="s">
        <v>3370</v>
      </c>
      <c r="D6035" s="17" t="s">
        <v>2895</v>
      </c>
      <c r="E6035" s="17" t="s">
        <v>3403</v>
      </c>
      <c r="F6035" s="17" t="s">
        <v>105</v>
      </c>
      <c r="G6035" s="18" t="n">
        <v>0</v>
      </c>
      <c r="H6035" s="18" t="n">
        <v>1034</v>
      </c>
      <c r="I6035" s="18" t="n">
        <f aca="false">((I6034 + G6035) - H6035)</f>
        <v>91978.4399999999</v>
      </c>
      <c r="J6035" s="18" t="n">
        <v>0</v>
      </c>
      <c r="K6035" s="19" t="n">
        <v>0</v>
      </c>
      <c r="L6035" s="17"/>
    </row>
    <row r="6036" s="11" customFormat="true" ht="10.95" hidden="false" customHeight="true" outlineLevel="0" collapsed="false">
      <c r="A6036" s="16" t="n">
        <v>45139</v>
      </c>
      <c r="B6036" s="17" t="s">
        <v>3369</v>
      </c>
      <c r="C6036" s="17" t="s">
        <v>3370</v>
      </c>
      <c r="D6036" s="17" t="s">
        <v>2895</v>
      </c>
      <c r="E6036" s="17" t="s">
        <v>3403</v>
      </c>
      <c r="F6036" s="17" t="s">
        <v>99</v>
      </c>
      <c r="G6036" s="18" t="n">
        <v>0</v>
      </c>
      <c r="H6036" s="18" t="n">
        <v>310.2</v>
      </c>
      <c r="I6036" s="18" t="n">
        <f aca="false">((I6035 + G6036) - H6036)</f>
        <v>91668.2399999999</v>
      </c>
      <c r="J6036" s="18" t="n">
        <v>0</v>
      </c>
      <c r="K6036" s="19" t="n">
        <v>0</v>
      </c>
      <c r="L6036" s="17"/>
    </row>
    <row r="6037" s="11" customFormat="true" ht="10.95" hidden="false" customHeight="true" outlineLevel="0" collapsed="false">
      <c r="A6037" s="16" t="n">
        <v>45139</v>
      </c>
      <c r="B6037" s="17" t="s">
        <v>3369</v>
      </c>
      <c r="C6037" s="17" t="s">
        <v>3370</v>
      </c>
      <c r="D6037" s="17" t="s">
        <v>2895</v>
      </c>
      <c r="E6037" s="17" t="s">
        <v>3403</v>
      </c>
      <c r="F6037" s="17" t="s">
        <v>90</v>
      </c>
      <c r="G6037" s="18" t="n">
        <v>0</v>
      </c>
      <c r="H6037" s="18" t="n">
        <v>627</v>
      </c>
      <c r="I6037" s="18" t="n">
        <f aca="false">((I6036 + G6037) - H6037)</f>
        <v>91041.2399999999</v>
      </c>
      <c r="J6037" s="18" t="n">
        <v>0</v>
      </c>
      <c r="K6037" s="19" t="n">
        <v>0</v>
      </c>
      <c r="L6037" s="17"/>
    </row>
    <row r="6038" s="11" customFormat="true" ht="10.95" hidden="false" customHeight="true" outlineLevel="0" collapsed="false">
      <c r="A6038" s="16" t="n">
        <v>45139</v>
      </c>
      <c r="B6038" s="17" t="s">
        <v>3369</v>
      </c>
      <c r="C6038" s="17" t="s">
        <v>3370</v>
      </c>
      <c r="D6038" s="17" t="s">
        <v>2895</v>
      </c>
      <c r="E6038" s="17" t="s">
        <v>3403</v>
      </c>
      <c r="F6038" s="17" t="s">
        <v>86</v>
      </c>
      <c r="G6038" s="18" t="n">
        <v>0</v>
      </c>
      <c r="H6038" s="18" t="n">
        <v>316.8</v>
      </c>
      <c r="I6038" s="18" t="n">
        <f aca="false">((I6037 + G6038) - H6038)</f>
        <v>90724.4399999999</v>
      </c>
      <c r="J6038" s="18" t="n">
        <v>0</v>
      </c>
      <c r="K6038" s="19" t="n">
        <v>0</v>
      </c>
      <c r="L6038" s="17"/>
    </row>
    <row r="6039" s="11" customFormat="true" ht="10.95" hidden="false" customHeight="true" outlineLevel="0" collapsed="false">
      <c r="A6039" s="16" t="n">
        <v>45139</v>
      </c>
      <c r="B6039" s="17" t="s">
        <v>3369</v>
      </c>
      <c r="C6039" s="17" t="s">
        <v>3370</v>
      </c>
      <c r="D6039" s="17" t="s">
        <v>2895</v>
      </c>
      <c r="E6039" s="17" t="s">
        <v>3403</v>
      </c>
      <c r="F6039" s="17" t="s">
        <v>82</v>
      </c>
      <c r="G6039" s="18" t="n">
        <v>0</v>
      </c>
      <c r="H6039" s="18" t="n">
        <v>1361.25</v>
      </c>
      <c r="I6039" s="18" t="n">
        <f aca="false">((I6038 + G6039) - H6039)</f>
        <v>89363.1899999999</v>
      </c>
      <c r="J6039" s="18" t="n">
        <v>0</v>
      </c>
      <c r="K6039" s="19" t="n">
        <v>0</v>
      </c>
      <c r="L6039" s="17"/>
    </row>
    <row r="6040" s="11" customFormat="true" ht="10.95" hidden="false" customHeight="true" outlineLevel="0" collapsed="false">
      <c r="A6040" s="16" t="n">
        <v>45139</v>
      </c>
      <c r="B6040" s="17" t="s">
        <v>3369</v>
      </c>
      <c r="C6040" s="17" t="s">
        <v>3370</v>
      </c>
      <c r="D6040" s="17" t="s">
        <v>2895</v>
      </c>
      <c r="E6040" s="17" t="s">
        <v>3403</v>
      </c>
      <c r="F6040" s="17" t="s">
        <v>81</v>
      </c>
      <c r="G6040" s="18" t="n">
        <v>0</v>
      </c>
      <c r="H6040" s="18" t="n">
        <v>206.8</v>
      </c>
      <c r="I6040" s="18" t="n">
        <f aca="false">((I6039 + G6040) - H6040)</f>
        <v>89156.3899999999</v>
      </c>
      <c r="J6040" s="18" t="n">
        <v>0</v>
      </c>
      <c r="K6040" s="19" t="n">
        <v>0</v>
      </c>
      <c r="L6040" s="17"/>
    </row>
    <row r="6041" s="11" customFormat="true" ht="10.95" hidden="false" customHeight="true" outlineLevel="0" collapsed="false">
      <c r="A6041" s="16" t="n">
        <v>45139</v>
      </c>
      <c r="B6041" s="17" t="s">
        <v>3369</v>
      </c>
      <c r="C6041" s="17" t="s">
        <v>3370</v>
      </c>
      <c r="D6041" s="17" t="s">
        <v>2895</v>
      </c>
      <c r="E6041" s="17" t="s">
        <v>3403</v>
      </c>
      <c r="F6041" s="17" t="s">
        <v>103</v>
      </c>
      <c r="G6041" s="18" t="n">
        <v>0</v>
      </c>
      <c r="H6041" s="18" t="n">
        <v>517</v>
      </c>
      <c r="I6041" s="18" t="n">
        <f aca="false">((I6040 + G6041) - H6041)</f>
        <v>88639.3899999999</v>
      </c>
      <c r="J6041" s="18" t="n">
        <v>0</v>
      </c>
      <c r="K6041" s="19" t="n">
        <v>0</v>
      </c>
      <c r="L6041" s="17"/>
    </row>
    <row r="6042" s="11" customFormat="true" ht="10.95" hidden="false" customHeight="true" outlineLevel="0" collapsed="false">
      <c r="A6042" s="16" t="n">
        <v>45139</v>
      </c>
      <c r="B6042" s="17" t="s">
        <v>3369</v>
      </c>
      <c r="C6042" s="17" t="s">
        <v>3370</v>
      </c>
      <c r="D6042" s="17" t="s">
        <v>2895</v>
      </c>
      <c r="E6042" s="17" t="s">
        <v>3403</v>
      </c>
      <c r="F6042" s="17" t="s">
        <v>85</v>
      </c>
      <c r="G6042" s="18" t="n">
        <v>0</v>
      </c>
      <c r="H6042" s="18" t="n">
        <v>517</v>
      </c>
      <c r="I6042" s="18" t="n">
        <f aca="false">((I6041 + G6042) - H6042)</f>
        <v>88122.3899999999</v>
      </c>
      <c r="J6042" s="18" t="n">
        <v>0</v>
      </c>
      <c r="K6042" s="19" t="n">
        <v>0</v>
      </c>
      <c r="L6042" s="17"/>
    </row>
    <row r="6043" s="11" customFormat="true" ht="10.95" hidden="false" customHeight="true" outlineLevel="0" collapsed="false">
      <c r="A6043" s="16" t="n">
        <v>45139</v>
      </c>
      <c r="B6043" s="17" t="s">
        <v>3369</v>
      </c>
      <c r="C6043" s="17" t="s">
        <v>3370</v>
      </c>
      <c r="D6043" s="17" t="s">
        <v>2895</v>
      </c>
      <c r="E6043" s="17" t="s">
        <v>3472</v>
      </c>
      <c r="F6043" s="17" t="s">
        <v>3473</v>
      </c>
      <c r="G6043" s="18" t="n">
        <v>0</v>
      </c>
      <c r="H6043" s="18" t="n">
        <v>1399.2</v>
      </c>
      <c r="I6043" s="18" t="n">
        <f aca="false">((I6042 + G6043) - H6043)</f>
        <v>86723.1899999999</v>
      </c>
      <c r="J6043" s="18" t="n">
        <v>0</v>
      </c>
      <c r="K6043" s="19" t="n">
        <v>0</v>
      </c>
      <c r="L6043" s="17"/>
    </row>
    <row r="6044" s="11" customFormat="true" ht="10.95" hidden="false" customHeight="true" outlineLevel="0" collapsed="false">
      <c r="A6044" s="16" t="n">
        <v>45139</v>
      </c>
      <c r="B6044" s="17" t="s">
        <v>3369</v>
      </c>
      <c r="C6044" s="17" t="s">
        <v>3370</v>
      </c>
      <c r="D6044" s="17" t="s">
        <v>2895</v>
      </c>
      <c r="E6044" s="17" t="s">
        <v>2906</v>
      </c>
      <c r="F6044" s="17" t="s">
        <v>1076</v>
      </c>
      <c r="G6044" s="18" t="n">
        <v>0</v>
      </c>
      <c r="H6044" s="18" t="n">
        <v>3094.04</v>
      </c>
      <c r="I6044" s="18" t="n">
        <f aca="false">((I6043 + G6044) - H6044)</f>
        <v>83629.1499999999</v>
      </c>
      <c r="J6044" s="18" t="n">
        <v>0</v>
      </c>
      <c r="K6044" s="19" t="n">
        <v>0</v>
      </c>
      <c r="L6044" s="17"/>
    </row>
    <row r="6045" s="11" customFormat="true" ht="10.95" hidden="false" customHeight="true" outlineLevel="0" collapsed="false">
      <c r="A6045" s="16" t="n">
        <v>45139</v>
      </c>
      <c r="B6045" s="17" t="s">
        <v>3369</v>
      </c>
      <c r="C6045" s="17" t="s">
        <v>3370</v>
      </c>
      <c r="D6045" s="17" t="s">
        <v>2895</v>
      </c>
      <c r="E6045" s="17" t="s">
        <v>3474</v>
      </c>
      <c r="F6045" s="17" t="s">
        <v>33</v>
      </c>
      <c r="G6045" s="18" t="n">
        <v>0</v>
      </c>
      <c r="H6045" s="18" t="n">
        <v>357.5</v>
      </c>
      <c r="I6045" s="18" t="n">
        <f aca="false">((I6044 + G6045) - H6045)</f>
        <v>83271.6499999999</v>
      </c>
      <c r="J6045" s="18" t="n">
        <v>0</v>
      </c>
      <c r="K6045" s="19" t="n">
        <v>0</v>
      </c>
      <c r="L6045" s="17"/>
    </row>
    <row r="6046" s="11" customFormat="true" ht="10.95" hidden="false" customHeight="true" outlineLevel="0" collapsed="false">
      <c r="A6046" s="16" t="n">
        <v>45139</v>
      </c>
      <c r="B6046" s="17" t="s">
        <v>3369</v>
      </c>
      <c r="C6046" s="17" t="s">
        <v>3370</v>
      </c>
      <c r="D6046" s="17" t="s">
        <v>2895</v>
      </c>
      <c r="E6046" s="17" t="s">
        <v>2900</v>
      </c>
      <c r="F6046" s="17" t="s">
        <v>3475</v>
      </c>
      <c r="G6046" s="18" t="n">
        <v>0</v>
      </c>
      <c r="H6046" s="18" t="n">
        <v>993.62</v>
      </c>
      <c r="I6046" s="18" t="n">
        <f aca="false">((I6045 + G6046) - H6046)</f>
        <v>82278.0299999999</v>
      </c>
      <c r="J6046" s="18" t="n">
        <v>0</v>
      </c>
      <c r="K6046" s="19" t="n">
        <v>0</v>
      </c>
      <c r="L6046" s="17"/>
    </row>
    <row r="6047" s="11" customFormat="true" ht="10.95" hidden="false" customHeight="true" outlineLevel="0" collapsed="false">
      <c r="A6047" s="16" t="n">
        <v>45139</v>
      </c>
      <c r="B6047" s="17" t="s">
        <v>3369</v>
      </c>
      <c r="C6047" s="17" t="s">
        <v>3370</v>
      </c>
      <c r="D6047" s="17" t="s">
        <v>2895</v>
      </c>
      <c r="E6047" s="17" t="s">
        <v>2900</v>
      </c>
      <c r="F6047" s="17" t="s">
        <v>3476</v>
      </c>
      <c r="G6047" s="18" t="n">
        <v>0</v>
      </c>
      <c r="H6047" s="18" t="n">
        <v>131.45</v>
      </c>
      <c r="I6047" s="18" t="n">
        <f aca="false">((I6046 + G6047) - H6047)</f>
        <v>82146.5799999999</v>
      </c>
      <c r="J6047" s="18" t="n">
        <v>0</v>
      </c>
      <c r="K6047" s="19" t="n">
        <v>0</v>
      </c>
      <c r="L6047" s="17"/>
    </row>
    <row r="6048" s="11" customFormat="true" ht="10.95" hidden="false" customHeight="true" outlineLevel="0" collapsed="false">
      <c r="A6048" s="16" t="n">
        <v>45140</v>
      </c>
      <c r="B6048" s="17" t="s">
        <v>3369</v>
      </c>
      <c r="C6048" s="17" t="s">
        <v>3370</v>
      </c>
      <c r="D6048" s="17" t="s">
        <v>2895</v>
      </c>
      <c r="E6048" s="17" t="s">
        <v>2897</v>
      </c>
      <c r="F6048" s="17" t="s">
        <v>806</v>
      </c>
      <c r="G6048" s="18" t="n">
        <v>0</v>
      </c>
      <c r="H6048" s="18" t="n">
        <v>594.59</v>
      </c>
      <c r="I6048" s="18" t="n">
        <f aca="false">((I6047 + G6048) - H6048)</f>
        <v>81551.99</v>
      </c>
      <c r="J6048" s="18" t="n">
        <v>0</v>
      </c>
      <c r="K6048" s="19" t="n">
        <v>0</v>
      </c>
      <c r="L6048" s="17"/>
    </row>
    <row r="6049" s="11" customFormat="true" ht="10.95" hidden="false" customHeight="true" outlineLevel="0" collapsed="false">
      <c r="A6049" s="16" t="n">
        <v>45140</v>
      </c>
      <c r="B6049" s="17" t="s">
        <v>3369</v>
      </c>
      <c r="C6049" s="17" t="s">
        <v>3370</v>
      </c>
      <c r="D6049" s="17" t="s">
        <v>2895</v>
      </c>
      <c r="E6049" s="17" t="s">
        <v>3391</v>
      </c>
      <c r="F6049" s="17" t="s">
        <v>53</v>
      </c>
      <c r="G6049" s="18" t="n">
        <v>0</v>
      </c>
      <c r="H6049" s="18" t="n">
        <v>1100.06</v>
      </c>
      <c r="I6049" s="18" t="n">
        <f aca="false">((I6048 + G6049) - H6049)</f>
        <v>80451.93</v>
      </c>
      <c r="J6049" s="18" t="n">
        <v>0</v>
      </c>
      <c r="K6049" s="19" t="n">
        <v>0</v>
      </c>
      <c r="L6049" s="17"/>
    </row>
    <row r="6050" s="11" customFormat="true" ht="10.95" hidden="false" customHeight="true" outlineLevel="0" collapsed="false">
      <c r="A6050" s="16" t="n">
        <v>45141</v>
      </c>
      <c r="B6050" s="17" t="s">
        <v>3369</v>
      </c>
      <c r="C6050" s="17" t="s">
        <v>3370</v>
      </c>
      <c r="D6050" s="17" t="s">
        <v>162</v>
      </c>
      <c r="E6050" s="17" t="s">
        <v>3454</v>
      </c>
      <c r="F6050" s="17" t="s">
        <v>164</v>
      </c>
      <c r="G6050" s="18" t="n">
        <v>0</v>
      </c>
      <c r="H6050" s="18" t="n">
        <v>389.4</v>
      </c>
      <c r="I6050" s="18" t="n">
        <f aca="false">((I6049 + G6050) - H6050)</f>
        <v>80062.53</v>
      </c>
      <c r="J6050" s="18" t="n">
        <v>0</v>
      </c>
      <c r="K6050" s="19" t="n">
        <v>0</v>
      </c>
      <c r="L6050" s="17"/>
    </row>
    <row r="6051" s="11" customFormat="true" ht="10.95" hidden="false" customHeight="true" outlineLevel="0" collapsed="false">
      <c r="A6051" s="16" t="n">
        <v>45141</v>
      </c>
      <c r="B6051" s="17" t="s">
        <v>3369</v>
      </c>
      <c r="C6051" s="17" t="s">
        <v>3370</v>
      </c>
      <c r="D6051" s="17" t="s">
        <v>3477</v>
      </c>
      <c r="E6051" s="17" t="s">
        <v>3454</v>
      </c>
      <c r="F6051" s="17" t="s">
        <v>164</v>
      </c>
      <c r="G6051" s="18" t="n">
        <v>389.4</v>
      </c>
      <c r="H6051" s="18" t="n">
        <v>0</v>
      </c>
      <c r="I6051" s="18" t="n">
        <f aca="false">((I6050 + G6051) - H6051)</f>
        <v>80451.93</v>
      </c>
      <c r="J6051" s="18" t="n">
        <v>0</v>
      </c>
      <c r="K6051" s="19" t="n">
        <v>0</v>
      </c>
      <c r="L6051" s="17"/>
    </row>
    <row r="6052" s="11" customFormat="true" ht="10.95" hidden="false" customHeight="true" outlineLevel="0" collapsed="false">
      <c r="A6052" s="16" t="n">
        <v>45141</v>
      </c>
      <c r="B6052" s="17" t="s">
        <v>3369</v>
      </c>
      <c r="C6052" s="17" t="s">
        <v>3370</v>
      </c>
      <c r="D6052" s="17" t="s">
        <v>3477</v>
      </c>
      <c r="E6052" s="17" t="s">
        <v>3454</v>
      </c>
      <c r="F6052" s="17" t="s">
        <v>3468</v>
      </c>
      <c r="G6052" s="18" t="n">
        <v>0</v>
      </c>
      <c r="H6052" s="18" t="n">
        <v>389.4</v>
      </c>
      <c r="I6052" s="18" t="n">
        <f aca="false">((I6051 + G6052) - H6052)</f>
        <v>80062.53</v>
      </c>
      <c r="J6052" s="18" t="n">
        <v>0</v>
      </c>
      <c r="K6052" s="19" t="n">
        <v>0</v>
      </c>
      <c r="L6052" s="17"/>
    </row>
    <row r="6053" s="11" customFormat="true" ht="10.95" hidden="false" customHeight="true" outlineLevel="0" collapsed="false">
      <c r="A6053" s="16" t="n">
        <v>45141</v>
      </c>
      <c r="B6053" s="17" t="s">
        <v>3369</v>
      </c>
      <c r="C6053" s="17" t="s">
        <v>3370</v>
      </c>
      <c r="D6053" s="17" t="s">
        <v>2895</v>
      </c>
      <c r="E6053" s="17" t="s">
        <v>2922</v>
      </c>
      <c r="F6053" s="17" t="s">
        <v>3478</v>
      </c>
      <c r="G6053" s="18" t="n">
        <v>0</v>
      </c>
      <c r="H6053" s="18" t="n">
        <v>7721.8</v>
      </c>
      <c r="I6053" s="18" t="n">
        <f aca="false">((I6052 + G6053) - H6053)</f>
        <v>72340.73</v>
      </c>
      <c r="J6053" s="18" t="n">
        <v>0</v>
      </c>
      <c r="K6053" s="19" t="n">
        <v>0</v>
      </c>
      <c r="L6053" s="17"/>
    </row>
    <row r="6054" s="11" customFormat="true" ht="10.95" hidden="false" customHeight="true" outlineLevel="0" collapsed="false">
      <c r="A6054" s="16" t="n">
        <v>45141</v>
      </c>
      <c r="B6054" s="17" t="s">
        <v>3369</v>
      </c>
      <c r="C6054" s="17" t="s">
        <v>3370</v>
      </c>
      <c r="D6054" s="17" t="s">
        <v>2895</v>
      </c>
      <c r="E6054" s="17" t="s">
        <v>3389</v>
      </c>
      <c r="F6054" s="17" t="s">
        <v>65</v>
      </c>
      <c r="G6054" s="18" t="n">
        <v>0</v>
      </c>
      <c r="H6054" s="18" t="n">
        <v>4510</v>
      </c>
      <c r="I6054" s="18" t="n">
        <f aca="false">((I6053 + G6054) - H6054)</f>
        <v>67830.73</v>
      </c>
      <c r="J6054" s="18" t="n">
        <v>0</v>
      </c>
      <c r="K6054" s="19" t="n">
        <v>0</v>
      </c>
      <c r="L6054" s="17"/>
    </row>
    <row r="6055" s="11" customFormat="true" ht="10.95" hidden="false" customHeight="true" outlineLevel="0" collapsed="false">
      <c r="A6055" s="16" t="n">
        <v>45141</v>
      </c>
      <c r="B6055" s="17" t="s">
        <v>3369</v>
      </c>
      <c r="C6055" s="17" t="s">
        <v>3370</v>
      </c>
      <c r="D6055" s="17" t="s">
        <v>2895</v>
      </c>
      <c r="E6055" s="17" t="s">
        <v>3373</v>
      </c>
      <c r="F6055" s="17" t="s">
        <v>3479</v>
      </c>
      <c r="G6055" s="18" t="n">
        <v>0</v>
      </c>
      <c r="H6055" s="18" t="n">
        <v>1386</v>
      </c>
      <c r="I6055" s="18" t="n">
        <f aca="false">((I6054 + G6055) - H6055)</f>
        <v>66444.73</v>
      </c>
      <c r="J6055" s="18" t="n">
        <v>0</v>
      </c>
      <c r="K6055" s="19" t="n">
        <v>0</v>
      </c>
      <c r="L6055" s="17"/>
    </row>
    <row r="6056" s="11" customFormat="true" ht="10.95" hidden="false" customHeight="true" outlineLevel="0" collapsed="false">
      <c r="A6056" s="16" t="n">
        <v>45141</v>
      </c>
      <c r="B6056" s="17" t="s">
        <v>3369</v>
      </c>
      <c r="C6056" s="17" t="s">
        <v>3370</v>
      </c>
      <c r="D6056" s="17" t="s">
        <v>2895</v>
      </c>
      <c r="E6056" s="17" t="s">
        <v>3410</v>
      </c>
      <c r="F6056" s="17" t="s">
        <v>70</v>
      </c>
      <c r="G6056" s="18" t="n">
        <v>0</v>
      </c>
      <c r="H6056" s="18" t="n">
        <v>968</v>
      </c>
      <c r="I6056" s="18" t="n">
        <f aca="false">((I6055 + G6056) - H6056)</f>
        <v>65476.73</v>
      </c>
      <c r="J6056" s="18" t="n">
        <v>0</v>
      </c>
      <c r="K6056" s="19" t="n">
        <v>0</v>
      </c>
      <c r="L6056" s="17"/>
    </row>
    <row r="6057" s="11" customFormat="true" ht="10.95" hidden="false" customHeight="true" outlineLevel="0" collapsed="false">
      <c r="A6057" s="16" t="n">
        <v>45141</v>
      </c>
      <c r="B6057" s="17" t="s">
        <v>3369</v>
      </c>
      <c r="C6057" s="17" t="s">
        <v>3370</v>
      </c>
      <c r="D6057" s="17" t="s">
        <v>2895</v>
      </c>
      <c r="E6057" s="17" t="s">
        <v>2898</v>
      </c>
      <c r="F6057" s="17" t="s">
        <v>1073</v>
      </c>
      <c r="G6057" s="18" t="n">
        <v>0</v>
      </c>
      <c r="H6057" s="18" t="n">
        <v>763.61</v>
      </c>
      <c r="I6057" s="18" t="n">
        <f aca="false">((I6056 + G6057) - H6057)</f>
        <v>64713.12</v>
      </c>
      <c r="J6057" s="18" t="n">
        <v>0</v>
      </c>
      <c r="K6057" s="19" t="n">
        <v>0</v>
      </c>
      <c r="L6057" s="17"/>
    </row>
    <row r="6058" s="11" customFormat="true" ht="10.95" hidden="false" customHeight="true" outlineLevel="0" collapsed="false">
      <c r="A6058" s="16" t="n">
        <v>45141</v>
      </c>
      <c r="B6058" s="17" t="s">
        <v>3369</v>
      </c>
      <c r="C6058" s="17" t="s">
        <v>3370</v>
      </c>
      <c r="D6058" s="17" t="s">
        <v>2895</v>
      </c>
      <c r="E6058" s="17" t="s">
        <v>3480</v>
      </c>
      <c r="F6058" s="17" t="s">
        <v>3481</v>
      </c>
      <c r="G6058" s="18" t="n">
        <v>0</v>
      </c>
      <c r="H6058" s="18" t="n">
        <v>180</v>
      </c>
      <c r="I6058" s="18" t="n">
        <f aca="false">((I6057 + G6058) - H6058)</f>
        <v>64533.12</v>
      </c>
      <c r="J6058" s="18" t="n">
        <v>0</v>
      </c>
      <c r="K6058" s="19" t="n">
        <v>0</v>
      </c>
      <c r="L6058" s="17"/>
    </row>
    <row r="6059" s="11" customFormat="true" ht="10.95" hidden="false" customHeight="true" outlineLevel="0" collapsed="false">
      <c r="A6059" s="16" t="n">
        <v>45142</v>
      </c>
      <c r="B6059" s="17" t="s">
        <v>3369</v>
      </c>
      <c r="C6059" s="17" t="s">
        <v>3370</v>
      </c>
      <c r="D6059" s="17" t="s">
        <v>2895</v>
      </c>
      <c r="E6059" s="17" t="s">
        <v>3482</v>
      </c>
      <c r="F6059" s="17" t="s">
        <v>75</v>
      </c>
      <c r="G6059" s="18" t="n">
        <v>0</v>
      </c>
      <c r="H6059" s="18" t="n">
        <v>1654.4</v>
      </c>
      <c r="I6059" s="18" t="n">
        <f aca="false">((I6058 + G6059) - H6059)</f>
        <v>62878.72</v>
      </c>
      <c r="J6059" s="18" t="n">
        <v>0</v>
      </c>
      <c r="K6059" s="19" t="n">
        <v>0</v>
      </c>
      <c r="L6059" s="17"/>
    </row>
    <row r="6060" s="11" customFormat="true" ht="10.95" hidden="false" customHeight="true" outlineLevel="0" collapsed="false">
      <c r="A6060" s="16" t="n">
        <v>45142</v>
      </c>
      <c r="B6060" s="17" t="s">
        <v>3369</v>
      </c>
      <c r="C6060" s="17" t="s">
        <v>3370</v>
      </c>
      <c r="D6060" s="17" t="s">
        <v>2895</v>
      </c>
      <c r="E6060" s="17" t="s">
        <v>3378</v>
      </c>
      <c r="F6060" s="17" t="s">
        <v>21</v>
      </c>
      <c r="G6060" s="18" t="n">
        <v>0</v>
      </c>
      <c r="H6060" s="18" t="n">
        <v>413.6</v>
      </c>
      <c r="I6060" s="18" t="n">
        <f aca="false">((I6059 + G6060) - H6060)</f>
        <v>62465.12</v>
      </c>
      <c r="J6060" s="18" t="n">
        <v>0</v>
      </c>
      <c r="K6060" s="19" t="n">
        <v>0</v>
      </c>
      <c r="L6060" s="17"/>
    </row>
    <row r="6061" s="11" customFormat="true" ht="10.95" hidden="false" customHeight="true" outlineLevel="0" collapsed="false">
      <c r="A6061" s="16" t="n">
        <v>45145</v>
      </c>
      <c r="B6061" s="17" t="s">
        <v>3369</v>
      </c>
      <c r="C6061" s="17" t="s">
        <v>3370</v>
      </c>
      <c r="D6061" s="17" t="s">
        <v>2895</v>
      </c>
      <c r="E6061" s="17" t="s">
        <v>3401</v>
      </c>
      <c r="F6061" s="17" t="s">
        <v>27</v>
      </c>
      <c r="G6061" s="18" t="n">
        <v>0</v>
      </c>
      <c r="H6061" s="18" t="n">
        <v>561</v>
      </c>
      <c r="I6061" s="18" t="n">
        <f aca="false">((I6060 + G6061) - H6061)</f>
        <v>61904.12</v>
      </c>
      <c r="J6061" s="18" t="n">
        <v>0</v>
      </c>
      <c r="K6061" s="19" t="n">
        <v>0</v>
      </c>
      <c r="L6061" s="17"/>
    </row>
    <row r="6062" s="11" customFormat="true" ht="10.95" hidden="false" customHeight="true" outlineLevel="0" collapsed="false">
      <c r="A6062" s="16" t="n">
        <v>45146</v>
      </c>
      <c r="B6062" s="17" t="s">
        <v>3369</v>
      </c>
      <c r="C6062" s="17" t="s">
        <v>3370</v>
      </c>
      <c r="D6062" s="17" t="s">
        <v>2895</v>
      </c>
      <c r="E6062" s="17" t="s">
        <v>2925</v>
      </c>
      <c r="F6062" s="17" t="s">
        <v>797</v>
      </c>
      <c r="G6062" s="18" t="n">
        <v>0</v>
      </c>
      <c r="H6062" s="18" t="n">
        <v>318.94</v>
      </c>
      <c r="I6062" s="18" t="n">
        <f aca="false">((I6061 + G6062) - H6062)</f>
        <v>61585.18</v>
      </c>
      <c r="J6062" s="18" t="n">
        <v>0</v>
      </c>
      <c r="K6062" s="19" t="n">
        <v>0</v>
      </c>
      <c r="L6062" s="17"/>
    </row>
    <row r="6063" s="11" customFormat="true" ht="10.95" hidden="false" customHeight="true" outlineLevel="0" collapsed="false">
      <c r="A6063" s="16" t="n">
        <v>45147</v>
      </c>
      <c r="B6063" s="17" t="s">
        <v>3369</v>
      </c>
      <c r="C6063" s="17" t="s">
        <v>3370</v>
      </c>
      <c r="D6063" s="17" t="s">
        <v>19</v>
      </c>
      <c r="E6063" s="17" t="s">
        <v>3483</v>
      </c>
      <c r="F6063" s="17" t="s">
        <v>166</v>
      </c>
      <c r="G6063" s="18" t="n">
        <v>352</v>
      </c>
      <c r="H6063" s="18" t="n">
        <v>0</v>
      </c>
      <c r="I6063" s="18" t="n">
        <f aca="false">((I6062 + G6063) - H6063)</f>
        <v>61937.18</v>
      </c>
      <c r="J6063" s="18" t="n">
        <v>0</v>
      </c>
      <c r="K6063" s="19" t="n">
        <v>0</v>
      </c>
      <c r="L6063" s="17"/>
    </row>
    <row r="6064" s="11" customFormat="true" ht="10.95" hidden="false" customHeight="true" outlineLevel="0" collapsed="false">
      <c r="A6064" s="16" t="n">
        <v>45147</v>
      </c>
      <c r="B6064" s="17" t="s">
        <v>3369</v>
      </c>
      <c r="C6064" s="17" t="s">
        <v>3370</v>
      </c>
      <c r="D6064" s="17" t="s">
        <v>2895</v>
      </c>
      <c r="E6064" s="17" t="s">
        <v>3484</v>
      </c>
      <c r="F6064" s="17" t="s">
        <v>166</v>
      </c>
      <c r="G6064" s="18" t="n">
        <v>0</v>
      </c>
      <c r="H6064" s="18" t="n">
        <v>352</v>
      </c>
      <c r="I6064" s="18" t="n">
        <f aca="false">((I6063 + G6064) - H6064)</f>
        <v>61585.18</v>
      </c>
      <c r="J6064" s="18" t="n">
        <v>0</v>
      </c>
      <c r="K6064" s="19" t="n">
        <v>0</v>
      </c>
      <c r="L6064" s="17"/>
    </row>
    <row r="6065" s="11" customFormat="true" ht="10.95" hidden="false" customHeight="true" outlineLevel="0" collapsed="false">
      <c r="A6065" s="16" t="n">
        <v>45149</v>
      </c>
      <c r="B6065" s="17" t="s">
        <v>3369</v>
      </c>
      <c r="C6065" s="17" t="s">
        <v>3370</v>
      </c>
      <c r="D6065" s="17" t="s">
        <v>2895</v>
      </c>
      <c r="E6065" s="17" t="s">
        <v>2900</v>
      </c>
      <c r="F6065" s="17" t="s">
        <v>3485</v>
      </c>
      <c r="G6065" s="18" t="n">
        <v>0</v>
      </c>
      <c r="H6065" s="18" t="n">
        <v>1801.93</v>
      </c>
      <c r="I6065" s="18" t="n">
        <f aca="false">((I6064 + G6065) - H6065)</f>
        <v>59783.25</v>
      </c>
      <c r="J6065" s="18" t="n">
        <v>0</v>
      </c>
      <c r="K6065" s="19" t="n">
        <v>0</v>
      </c>
      <c r="L6065" s="17"/>
    </row>
    <row r="6066" s="11" customFormat="true" ht="10.95" hidden="false" customHeight="true" outlineLevel="0" collapsed="false">
      <c r="A6066" s="16" t="n">
        <v>45149</v>
      </c>
      <c r="B6066" s="17" t="s">
        <v>3369</v>
      </c>
      <c r="C6066" s="17" t="s">
        <v>3370</v>
      </c>
      <c r="D6066" s="17" t="s">
        <v>2895</v>
      </c>
      <c r="E6066" s="17" t="s">
        <v>2900</v>
      </c>
      <c r="F6066" s="17" t="s">
        <v>1093</v>
      </c>
      <c r="G6066" s="18" t="n">
        <v>0</v>
      </c>
      <c r="H6066" s="18" t="n">
        <v>1002.42</v>
      </c>
      <c r="I6066" s="18" t="n">
        <f aca="false">((I6065 + G6066) - H6066)</f>
        <v>58780.83</v>
      </c>
      <c r="J6066" s="18" t="n">
        <v>0</v>
      </c>
      <c r="K6066" s="19" t="n">
        <v>0</v>
      </c>
      <c r="L6066" s="17"/>
    </row>
    <row r="6067" s="11" customFormat="true" ht="10.95" hidden="false" customHeight="true" outlineLevel="0" collapsed="false">
      <c r="A6067" s="16" t="n">
        <v>45149</v>
      </c>
      <c r="B6067" s="17" t="s">
        <v>3369</v>
      </c>
      <c r="C6067" s="17" t="s">
        <v>3370</v>
      </c>
      <c r="D6067" s="17" t="s">
        <v>2895</v>
      </c>
      <c r="E6067" s="17" t="s">
        <v>2900</v>
      </c>
      <c r="F6067" s="17" t="s">
        <v>3486</v>
      </c>
      <c r="G6067" s="18" t="n">
        <v>0</v>
      </c>
      <c r="H6067" s="18" t="n">
        <v>1002.75</v>
      </c>
      <c r="I6067" s="18" t="n">
        <f aca="false">((I6066 + G6067) - H6067)</f>
        <v>57778.08</v>
      </c>
      <c r="J6067" s="18" t="n">
        <v>0</v>
      </c>
      <c r="K6067" s="19" t="n">
        <v>0</v>
      </c>
      <c r="L6067" s="17"/>
    </row>
    <row r="6068" s="11" customFormat="true" ht="10.95" hidden="false" customHeight="true" outlineLevel="0" collapsed="false">
      <c r="A6068" s="16" t="n">
        <v>45149</v>
      </c>
      <c r="B6068" s="17" t="s">
        <v>3369</v>
      </c>
      <c r="C6068" s="17" t="s">
        <v>3370</v>
      </c>
      <c r="D6068" s="17" t="s">
        <v>2895</v>
      </c>
      <c r="E6068" s="17" t="s">
        <v>2900</v>
      </c>
      <c r="F6068" s="17" t="s">
        <v>3487</v>
      </c>
      <c r="G6068" s="18" t="n">
        <v>0</v>
      </c>
      <c r="H6068" s="18" t="n">
        <v>262.9</v>
      </c>
      <c r="I6068" s="18" t="n">
        <f aca="false">((I6067 + G6068) - H6068)</f>
        <v>57515.18</v>
      </c>
      <c r="J6068" s="18" t="n">
        <v>0</v>
      </c>
      <c r="K6068" s="19" t="n">
        <v>0</v>
      </c>
      <c r="L6068" s="17"/>
    </row>
    <row r="6069" s="11" customFormat="true" ht="10.95" hidden="false" customHeight="true" outlineLevel="0" collapsed="false">
      <c r="A6069" s="16" t="n">
        <v>45149</v>
      </c>
      <c r="B6069" s="17" t="s">
        <v>3369</v>
      </c>
      <c r="C6069" s="17" t="s">
        <v>3370</v>
      </c>
      <c r="D6069" s="17" t="s">
        <v>2895</v>
      </c>
      <c r="E6069" s="17" t="s">
        <v>2900</v>
      </c>
      <c r="F6069" s="17" t="s">
        <v>1091</v>
      </c>
      <c r="G6069" s="18" t="n">
        <v>0</v>
      </c>
      <c r="H6069" s="18" t="n">
        <v>1743.3</v>
      </c>
      <c r="I6069" s="18" t="n">
        <f aca="false">((I6068 + G6069) - H6069)</f>
        <v>55771.88</v>
      </c>
      <c r="J6069" s="18" t="n">
        <v>0</v>
      </c>
      <c r="K6069" s="19" t="n">
        <v>0</v>
      </c>
      <c r="L6069" s="17"/>
    </row>
    <row r="6070" s="11" customFormat="true" ht="10.95" hidden="false" customHeight="true" outlineLevel="0" collapsed="false">
      <c r="A6070" s="16" t="n">
        <v>45149</v>
      </c>
      <c r="B6070" s="17" t="s">
        <v>3369</v>
      </c>
      <c r="C6070" s="17" t="s">
        <v>3370</v>
      </c>
      <c r="D6070" s="17" t="s">
        <v>2895</v>
      </c>
      <c r="E6070" s="17" t="s">
        <v>2900</v>
      </c>
      <c r="F6070" s="17" t="s">
        <v>1086</v>
      </c>
      <c r="G6070" s="18" t="n">
        <v>0</v>
      </c>
      <c r="H6070" s="18" t="n">
        <v>801.66</v>
      </c>
      <c r="I6070" s="18" t="n">
        <f aca="false">((I6069 + G6070) - H6070)</f>
        <v>54970.2199999999</v>
      </c>
      <c r="J6070" s="18" t="n">
        <v>0</v>
      </c>
      <c r="K6070" s="19" t="n">
        <v>0</v>
      </c>
      <c r="L6070" s="17"/>
    </row>
    <row r="6071" s="11" customFormat="true" ht="10.95" hidden="false" customHeight="true" outlineLevel="0" collapsed="false">
      <c r="A6071" s="16" t="n">
        <v>45153</v>
      </c>
      <c r="B6071" s="17" t="s">
        <v>3369</v>
      </c>
      <c r="C6071" s="17" t="s">
        <v>3370</v>
      </c>
      <c r="D6071" s="17" t="s">
        <v>2895</v>
      </c>
      <c r="E6071" s="17" t="s">
        <v>2896</v>
      </c>
      <c r="F6071" s="17" t="s">
        <v>794</v>
      </c>
      <c r="G6071" s="18" t="n">
        <v>0</v>
      </c>
      <c r="H6071" s="18" t="n">
        <v>89.22</v>
      </c>
      <c r="I6071" s="18" t="n">
        <f aca="false">((I6070 + G6071) - H6071)</f>
        <v>54880.9999999999</v>
      </c>
      <c r="J6071" s="18" t="n">
        <v>0</v>
      </c>
      <c r="K6071" s="19" t="n">
        <v>0</v>
      </c>
      <c r="L6071" s="17"/>
    </row>
    <row r="6072" s="11" customFormat="true" ht="10.95" hidden="false" customHeight="true" outlineLevel="0" collapsed="false">
      <c r="A6072" s="16" t="n">
        <v>45153</v>
      </c>
      <c r="B6072" s="17" t="s">
        <v>3369</v>
      </c>
      <c r="C6072" s="17" t="s">
        <v>3370</v>
      </c>
      <c r="D6072" s="17" t="s">
        <v>2895</v>
      </c>
      <c r="E6072" s="17" t="s">
        <v>3415</v>
      </c>
      <c r="F6072" s="17" t="s">
        <v>55</v>
      </c>
      <c r="G6072" s="18" t="n">
        <v>0</v>
      </c>
      <c r="H6072" s="18" t="n">
        <v>1052.7</v>
      </c>
      <c r="I6072" s="18" t="n">
        <f aca="false">((I6071 + G6072) - H6072)</f>
        <v>53828.2999999999</v>
      </c>
      <c r="J6072" s="18" t="n">
        <v>0</v>
      </c>
      <c r="K6072" s="19" t="n">
        <v>0</v>
      </c>
      <c r="L6072" s="17"/>
    </row>
    <row r="6073" s="11" customFormat="true" ht="10.95" hidden="false" customHeight="true" outlineLevel="0" collapsed="false">
      <c r="A6073" s="16" t="n">
        <v>45153</v>
      </c>
      <c r="B6073" s="17" t="s">
        <v>3369</v>
      </c>
      <c r="C6073" s="17" t="s">
        <v>3370</v>
      </c>
      <c r="D6073" s="17" t="s">
        <v>2895</v>
      </c>
      <c r="E6073" s="17" t="s">
        <v>3403</v>
      </c>
      <c r="F6073" s="17" t="s">
        <v>3488</v>
      </c>
      <c r="G6073" s="18" t="n">
        <v>0</v>
      </c>
      <c r="H6073" s="18" t="n">
        <v>930.6</v>
      </c>
      <c r="I6073" s="18" t="n">
        <f aca="false">((I6072 + G6073) - H6073)</f>
        <v>52897.6999999999</v>
      </c>
      <c r="J6073" s="18" t="n">
        <v>0</v>
      </c>
      <c r="K6073" s="19" t="n">
        <v>0</v>
      </c>
      <c r="L6073" s="17"/>
    </row>
    <row r="6074" s="11" customFormat="true" ht="10.95" hidden="false" customHeight="true" outlineLevel="0" collapsed="false">
      <c r="A6074" s="16" t="n">
        <v>45155</v>
      </c>
      <c r="B6074" s="17" t="s">
        <v>3369</v>
      </c>
      <c r="C6074" s="17" t="s">
        <v>3370</v>
      </c>
      <c r="D6074" s="17" t="s">
        <v>2895</v>
      </c>
      <c r="E6074" s="17" t="s">
        <v>2934</v>
      </c>
      <c r="F6074" s="17" t="s">
        <v>941</v>
      </c>
      <c r="G6074" s="18" t="n">
        <v>0</v>
      </c>
      <c r="H6074" s="18" t="n">
        <v>5852.3</v>
      </c>
      <c r="I6074" s="18" t="n">
        <f aca="false">((I6073 + G6074) - H6074)</f>
        <v>47045.3999999999</v>
      </c>
      <c r="J6074" s="18" t="n">
        <v>0</v>
      </c>
      <c r="K6074" s="19" t="n">
        <v>0</v>
      </c>
      <c r="L6074" s="17"/>
    </row>
    <row r="6075" s="11" customFormat="true" ht="10.95" hidden="false" customHeight="true" outlineLevel="0" collapsed="false">
      <c r="A6075" s="16" t="n">
        <v>45161</v>
      </c>
      <c r="B6075" s="17" t="s">
        <v>3369</v>
      </c>
      <c r="C6075" s="17" t="s">
        <v>3370</v>
      </c>
      <c r="D6075" s="17" t="s">
        <v>19</v>
      </c>
      <c r="E6075" s="17" t="s">
        <v>3442</v>
      </c>
      <c r="F6075" s="17" t="s">
        <v>168</v>
      </c>
      <c r="G6075" s="18" t="n">
        <v>2002</v>
      </c>
      <c r="H6075" s="18" t="n">
        <v>0</v>
      </c>
      <c r="I6075" s="18" t="n">
        <f aca="false">((I6074 + G6075) - H6075)</f>
        <v>49047.3999999999</v>
      </c>
      <c r="J6075" s="18" t="n">
        <v>0</v>
      </c>
      <c r="K6075" s="19" t="n">
        <v>0</v>
      </c>
      <c r="L6075" s="17"/>
    </row>
    <row r="6076" s="11" customFormat="true" ht="10.95" hidden="false" customHeight="true" outlineLevel="0" collapsed="false">
      <c r="A6076" s="16" t="n">
        <v>45161</v>
      </c>
      <c r="B6076" s="17" t="s">
        <v>3369</v>
      </c>
      <c r="C6076" s="17" t="s">
        <v>3370</v>
      </c>
      <c r="D6076" s="17" t="s">
        <v>19</v>
      </c>
      <c r="E6076" s="17" t="s">
        <v>3442</v>
      </c>
      <c r="F6076" s="17" t="s">
        <v>170</v>
      </c>
      <c r="G6076" s="18" t="n">
        <v>9999</v>
      </c>
      <c r="H6076" s="18" t="n">
        <v>0</v>
      </c>
      <c r="I6076" s="18" t="n">
        <f aca="false">((I6075 + G6076) - H6076)</f>
        <v>59046.3999999999</v>
      </c>
      <c r="J6076" s="18" t="n">
        <v>0</v>
      </c>
      <c r="K6076" s="19" t="n">
        <v>0</v>
      </c>
      <c r="L6076" s="17"/>
    </row>
    <row r="6077" s="11" customFormat="true" ht="10.95" hidden="false" customHeight="true" outlineLevel="0" collapsed="false">
      <c r="A6077" s="16" t="n">
        <v>45161</v>
      </c>
      <c r="B6077" s="17" t="s">
        <v>3369</v>
      </c>
      <c r="C6077" s="17" t="s">
        <v>3370</v>
      </c>
      <c r="D6077" s="17" t="s">
        <v>19</v>
      </c>
      <c r="E6077" s="17" t="s">
        <v>3489</v>
      </c>
      <c r="F6077" s="17" t="s">
        <v>959</v>
      </c>
      <c r="G6077" s="18" t="n">
        <v>7446.23</v>
      </c>
      <c r="H6077" s="18" t="n">
        <v>0</v>
      </c>
      <c r="I6077" s="18" t="n">
        <f aca="false">((I6076 + G6077) - H6077)</f>
        <v>66492.63</v>
      </c>
      <c r="J6077" s="18" t="n">
        <v>0</v>
      </c>
      <c r="K6077" s="19" t="n">
        <v>0</v>
      </c>
      <c r="L6077" s="17"/>
    </row>
    <row r="6078" s="11" customFormat="true" ht="10.95" hidden="false" customHeight="true" outlineLevel="0" collapsed="false">
      <c r="A6078" s="16" t="n">
        <v>45161</v>
      </c>
      <c r="B6078" s="17" t="s">
        <v>3369</v>
      </c>
      <c r="C6078" s="17" t="s">
        <v>3370</v>
      </c>
      <c r="D6078" s="17" t="s">
        <v>19</v>
      </c>
      <c r="E6078" s="17" t="s">
        <v>3490</v>
      </c>
      <c r="F6078" s="17" t="s">
        <v>172</v>
      </c>
      <c r="G6078" s="18" t="n">
        <v>3103.65</v>
      </c>
      <c r="H6078" s="18" t="n">
        <v>0</v>
      </c>
      <c r="I6078" s="18" t="n">
        <f aca="false">((I6077 + G6078) - H6078)</f>
        <v>69596.2799999999</v>
      </c>
      <c r="J6078" s="18" t="n">
        <v>0</v>
      </c>
      <c r="K6078" s="19" t="n">
        <v>0</v>
      </c>
      <c r="L6078" s="17"/>
    </row>
    <row r="6079" s="11" customFormat="true" ht="10.95" hidden="false" customHeight="true" outlineLevel="0" collapsed="false">
      <c r="A6079" s="16" t="n">
        <v>45161</v>
      </c>
      <c r="B6079" s="17" t="s">
        <v>3369</v>
      </c>
      <c r="C6079" s="17" t="s">
        <v>3370</v>
      </c>
      <c r="D6079" s="17" t="s">
        <v>19</v>
      </c>
      <c r="E6079" s="17" t="s">
        <v>3422</v>
      </c>
      <c r="F6079" s="17" t="s">
        <v>963</v>
      </c>
      <c r="G6079" s="18" t="n">
        <v>7539.13</v>
      </c>
      <c r="H6079" s="18" t="n">
        <v>0</v>
      </c>
      <c r="I6079" s="18" t="n">
        <f aca="false">((I6078 + G6079) - H6079)</f>
        <v>77135.41</v>
      </c>
      <c r="J6079" s="18" t="n">
        <v>0</v>
      </c>
      <c r="K6079" s="19" t="n">
        <v>0</v>
      </c>
      <c r="L6079" s="17"/>
    </row>
    <row r="6080" s="11" customFormat="true" ht="10.95" hidden="false" customHeight="true" outlineLevel="0" collapsed="false">
      <c r="A6080" s="16" t="n">
        <v>45161</v>
      </c>
      <c r="B6080" s="17" t="s">
        <v>3369</v>
      </c>
      <c r="C6080" s="17" t="s">
        <v>3370</v>
      </c>
      <c r="D6080" s="17" t="s">
        <v>19</v>
      </c>
      <c r="E6080" s="17" t="s">
        <v>3423</v>
      </c>
      <c r="F6080" s="17" t="s">
        <v>808</v>
      </c>
      <c r="G6080" s="18" t="n">
        <v>91.72</v>
      </c>
      <c r="H6080" s="18" t="n">
        <v>0</v>
      </c>
      <c r="I6080" s="18" t="n">
        <f aca="false">((I6079 + G6080) - H6080)</f>
        <v>77227.13</v>
      </c>
      <c r="J6080" s="18" t="n">
        <v>0</v>
      </c>
      <c r="K6080" s="19" t="n">
        <v>0</v>
      </c>
      <c r="L6080" s="17"/>
    </row>
    <row r="6081" s="11" customFormat="true" ht="10.95" hidden="false" customHeight="true" outlineLevel="0" collapsed="false">
      <c r="A6081" s="16" t="n">
        <v>45161</v>
      </c>
      <c r="B6081" s="17" t="s">
        <v>3369</v>
      </c>
      <c r="C6081" s="17" t="s">
        <v>3370</v>
      </c>
      <c r="D6081" s="17" t="s">
        <v>19</v>
      </c>
      <c r="E6081" s="17" t="s">
        <v>3424</v>
      </c>
      <c r="F6081" s="17" t="s">
        <v>173</v>
      </c>
      <c r="G6081" s="18" t="n">
        <v>413.6</v>
      </c>
      <c r="H6081" s="18" t="n">
        <v>0</v>
      </c>
      <c r="I6081" s="18" t="n">
        <f aca="false">((I6080 + G6081) - H6081)</f>
        <v>77640.73</v>
      </c>
      <c r="J6081" s="18" t="n">
        <v>0</v>
      </c>
      <c r="K6081" s="19" t="n">
        <v>0</v>
      </c>
      <c r="L6081" s="17"/>
    </row>
    <row r="6082" s="11" customFormat="true" ht="10.95" hidden="false" customHeight="true" outlineLevel="0" collapsed="false">
      <c r="A6082" s="16" t="n">
        <v>45161</v>
      </c>
      <c r="B6082" s="17" t="s">
        <v>3369</v>
      </c>
      <c r="C6082" s="17" t="s">
        <v>3370</v>
      </c>
      <c r="D6082" s="17" t="s">
        <v>19</v>
      </c>
      <c r="E6082" s="17" t="s">
        <v>3491</v>
      </c>
      <c r="F6082" s="17" t="s">
        <v>965</v>
      </c>
      <c r="G6082" s="18" t="n">
        <v>531.82</v>
      </c>
      <c r="H6082" s="18" t="n">
        <v>0</v>
      </c>
      <c r="I6082" s="18" t="n">
        <f aca="false">((I6081 + G6082) - H6082)</f>
        <v>78172.55</v>
      </c>
      <c r="J6082" s="18" t="n">
        <v>0</v>
      </c>
      <c r="K6082" s="19" t="n">
        <v>0</v>
      </c>
      <c r="L6082" s="17"/>
    </row>
    <row r="6083" s="11" customFormat="true" ht="10.95" hidden="false" customHeight="true" outlineLevel="0" collapsed="false">
      <c r="A6083" s="16" t="n">
        <v>45161</v>
      </c>
      <c r="B6083" s="17" t="s">
        <v>3369</v>
      </c>
      <c r="C6083" s="17" t="s">
        <v>3370</v>
      </c>
      <c r="D6083" s="17" t="s">
        <v>19</v>
      </c>
      <c r="E6083" s="17" t="s">
        <v>3491</v>
      </c>
      <c r="F6083" s="17" t="s">
        <v>966</v>
      </c>
      <c r="G6083" s="18" t="n">
        <v>354.54</v>
      </c>
      <c r="H6083" s="18" t="n">
        <v>0</v>
      </c>
      <c r="I6083" s="18" t="n">
        <f aca="false">((I6082 + G6083) - H6083)</f>
        <v>78527.09</v>
      </c>
      <c r="J6083" s="18" t="n">
        <v>0</v>
      </c>
      <c r="K6083" s="19" t="n">
        <v>0</v>
      </c>
      <c r="L6083" s="17"/>
    </row>
    <row r="6084" s="11" customFormat="true" ht="10.95" hidden="false" customHeight="true" outlineLevel="0" collapsed="false">
      <c r="A6084" s="16" t="n">
        <v>45161</v>
      </c>
      <c r="B6084" s="17" t="s">
        <v>3369</v>
      </c>
      <c r="C6084" s="17" t="s">
        <v>3370</v>
      </c>
      <c r="D6084" s="17" t="s">
        <v>19</v>
      </c>
      <c r="E6084" s="17" t="s">
        <v>3425</v>
      </c>
      <c r="F6084" s="17" t="s">
        <v>1103</v>
      </c>
      <c r="G6084" s="18" t="n">
        <v>767.43</v>
      </c>
      <c r="H6084" s="18" t="n">
        <v>0</v>
      </c>
      <c r="I6084" s="18" t="n">
        <f aca="false">((I6083 + G6084) - H6084)</f>
        <v>79294.52</v>
      </c>
      <c r="J6084" s="18" t="n">
        <v>0</v>
      </c>
      <c r="K6084" s="19" t="n">
        <v>0</v>
      </c>
      <c r="L6084" s="17"/>
    </row>
    <row r="6085" s="11" customFormat="true" ht="10.95" hidden="false" customHeight="true" outlineLevel="0" collapsed="false">
      <c r="A6085" s="16" t="n">
        <v>45161</v>
      </c>
      <c r="B6085" s="17" t="s">
        <v>3369</v>
      </c>
      <c r="C6085" s="17" t="s">
        <v>3370</v>
      </c>
      <c r="D6085" s="17" t="s">
        <v>19</v>
      </c>
      <c r="E6085" s="17" t="s">
        <v>3426</v>
      </c>
      <c r="F6085" s="17" t="s">
        <v>174</v>
      </c>
      <c r="G6085" s="18" t="n">
        <v>1386</v>
      </c>
      <c r="H6085" s="18" t="n">
        <v>0</v>
      </c>
      <c r="I6085" s="18" t="n">
        <f aca="false">((I6084 + G6085) - H6085)</f>
        <v>80680.52</v>
      </c>
      <c r="J6085" s="18" t="n">
        <v>0</v>
      </c>
      <c r="K6085" s="19" t="n">
        <v>0</v>
      </c>
      <c r="L6085" s="17"/>
    </row>
    <row r="6086" s="11" customFormat="true" ht="10.95" hidden="false" customHeight="true" outlineLevel="0" collapsed="false">
      <c r="A6086" s="16" t="n">
        <v>45161</v>
      </c>
      <c r="B6086" s="17" t="s">
        <v>3369</v>
      </c>
      <c r="C6086" s="17" t="s">
        <v>3370</v>
      </c>
      <c r="D6086" s="17" t="s">
        <v>19</v>
      </c>
      <c r="E6086" s="17" t="s">
        <v>3427</v>
      </c>
      <c r="F6086" s="17" t="s">
        <v>175</v>
      </c>
      <c r="G6086" s="18" t="n">
        <v>561</v>
      </c>
      <c r="H6086" s="18" t="n">
        <v>0</v>
      </c>
      <c r="I6086" s="18" t="n">
        <f aca="false">((I6085 + G6086) - H6086)</f>
        <v>81241.52</v>
      </c>
      <c r="J6086" s="18" t="n">
        <v>0</v>
      </c>
      <c r="K6086" s="19" t="n">
        <v>0</v>
      </c>
      <c r="L6086" s="17"/>
    </row>
    <row r="6087" s="11" customFormat="true" ht="10.95" hidden="false" customHeight="true" outlineLevel="0" collapsed="false">
      <c r="A6087" s="16" t="n">
        <v>45161</v>
      </c>
      <c r="B6087" s="17" t="s">
        <v>3369</v>
      </c>
      <c r="C6087" s="17" t="s">
        <v>3370</v>
      </c>
      <c r="D6087" s="17" t="s">
        <v>19</v>
      </c>
      <c r="E6087" s="17" t="s">
        <v>3428</v>
      </c>
      <c r="F6087" s="17" t="s">
        <v>176</v>
      </c>
      <c r="G6087" s="18" t="n">
        <v>919.6</v>
      </c>
      <c r="H6087" s="18" t="n">
        <v>0</v>
      </c>
      <c r="I6087" s="18" t="n">
        <f aca="false">((I6086 + G6087) - H6087)</f>
        <v>82161.12</v>
      </c>
      <c r="J6087" s="18" t="n">
        <v>0</v>
      </c>
      <c r="K6087" s="19" t="n">
        <v>0</v>
      </c>
      <c r="L6087" s="17"/>
    </row>
    <row r="6088" s="11" customFormat="true" ht="10.95" hidden="false" customHeight="true" outlineLevel="0" collapsed="false">
      <c r="A6088" s="16" t="n">
        <v>45161</v>
      </c>
      <c r="B6088" s="17" t="s">
        <v>3369</v>
      </c>
      <c r="C6088" s="17" t="s">
        <v>3370</v>
      </c>
      <c r="D6088" s="17" t="s">
        <v>19</v>
      </c>
      <c r="E6088" s="17" t="s">
        <v>3429</v>
      </c>
      <c r="F6088" s="17" t="s">
        <v>177</v>
      </c>
      <c r="G6088" s="18" t="n">
        <v>93.5</v>
      </c>
      <c r="H6088" s="18" t="n">
        <v>0</v>
      </c>
      <c r="I6088" s="18" t="n">
        <f aca="false">((I6087 + G6088) - H6088)</f>
        <v>82254.62</v>
      </c>
      <c r="J6088" s="18" t="n">
        <v>0</v>
      </c>
      <c r="K6088" s="19" t="n">
        <v>0</v>
      </c>
      <c r="L6088" s="17"/>
    </row>
    <row r="6089" s="11" customFormat="true" ht="10.95" hidden="false" customHeight="true" outlineLevel="0" collapsed="false">
      <c r="A6089" s="16" t="n">
        <v>45161</v>
      </c>
      <c r="B6089" s="17" t="s">
        <v>3369</v>
      </c>
      <c r="C6089" s="17" t="s">
        <v>3370</v>
      </c>
      <c r="D6089" s="17" t="s">
        <v>19</v>
      </c>
      <c r="E6089" s="17" t="s">
        <v>3492</v>
      </c>
      <c r="F6089" s="17" t="s">
        <v>179</v>
      </c>
      <c r="G6089" s="18" t="n">
        <v>5228.3</v>
      </c>
      <c r="H6089" s="18" t="n">
        <v>0</v>
      </c>
      <c r="I6089" s="18" t="n">
        <f aca="false">((I6088 + G6089) - H6089)</f>
        <v>87482.92</v>
      </c>
      <c r="J6089" s="18" t="n">
        <v>0</v>
      </c>
      <c r="K6089" s="19" t="n">
        <v>0</v>
      </c>
      <c r="L6089" s="17"/>
    </row>
    <row r="6090" s="11" customFormat="true" ht="10.95" hidden="false" customHeight="true" outlineLevel="0" collapsed="false">
      <c r="A6090" s="16" t="n">
        <v>45161</v>
      </c>
      <c r="B6090" s="17" t="s">
        <v>3369</v>
      </c>
      <c r="C6090" s="17" t="s">
        <v>3370</v>
      </c>
      <c r="D6090" s="17" t="s">
        <v>19</v>
      </c>
      <c r="E6090" s="17" t="s">
        <v>3430</v>
      </c>
      <c r="F6090" s="17" t="s">
        <v>809</v>
      </c>
      <c r="G6090" s="18" t="n">
        <v>491.82</v>
      </c>
      <c r="H6090" s="18" t="n">
        <v>0</v>
      </c>
      <c r="I6090" s="18" t="n">
        <f aca="false">((I6089 + G6090) - H6090)</f>
        <v>87974.74</v>
      </c>
      <c r="J6090" s="18" t="n">
        <v>0</v>
      </c>
      <c r="K6090" s="19" t="n">
        <v>0</v>
      </c>
      <c r="L6090" s="17"/>
    </row>
    <row r="6091" s="11" customFormat="true" ht="10.95" hidden="false" customHeight="true" outlineLevel="0" collapsed="false">
      <c r="A6091" s="16" t="n">
        <v>45161</v>
      </c>
      <c r="B6091" s="17" t="s">
        <v>3369</v>
      </c>
      <c r="C6091" s="17" t="s">
        <v>3370</v>
      </c>
      <c r="D6091" s="17" t="s">
        <v>19</v>
      </c>
      <c r="E6091" s="17" t="s">
        <v>3430</v>
      </c>
      <c r="F6091" s="17" t="s">
        <v>810</v>
      </c>
      <c r="G6091" s="18" t="n">
        <v>327.88</v>
      </c>
      <c r="H6091" s="18" t="n">
        <v>0</v>
      </c>
      <c r="I6091" s="18" t="n">
        <f aca="false">((I6090 + G6091) - H6091)</f>
        <v>88302.62</v>
      </c>
      <c r="J6091" s="18" t="n">
        <v>0</v>
      </c>
      <c r="K6091" s="19" t="n">
        <v>0</v>
      </c>
      <c r="L6091" s="17"/>
    </row>
    <row r="6092" s="11" customFormat="true" ht="10.95" hidden="false" customHeight="true" outlineLevel="0" collapsed="false">
      <c r="A6092" s="16" t="n">
        <v>45161</v>
      </c>
      <c r="B6092" s="17" t="s">
        <v>3369</v>
      </c>
      <c r="C6092" s="17" t="s">
        <v>3370</v>
      </c>
      <c r="D6092" s="17" t="s">
        <v>19</v>
      </c>
      <c r="E6092" s="17" t="s">
        <v>3431</v>
      </c>
      <c r="F6092" s="17" t="s">
        <v>184</v>
      </c>
      <c r="G6092" s="18" t="n">
        <v>357.5</v>
      </c>
      <c r="H6092" s="18" t="n">
        <v>0</v>
      </c>
      <c r="I6092" s="18" t="n">
        <f aca="false">((I6091 + G6092) - H6092)</f>
        <v>88660.12</v>
      </c>
      <c r="J6092" s="18" t="n">
        <v>0</v>
      </c>
      <c r="K6092" s="19" t="n">
        <v>0</v>
      </c>
      <c r="L6092" s="17"/>
    </row>
    <row r="6093" s="11" customFormat="true" ht="10.95" hidden="false" customHeight="true" outlineLevel="0" collapsed="false">
      <c r="A6093" s="16" t="n">
        <v>45161</v>
      </c>
      <c r="B6093" s="17" t="s">
        <v>3369</v>
      </c>
      <c r="C6093" s="17" t="s">
        <v>3370</v>
      </c>
      <c r="D6093" s="17" t="s">
        <v>19</v>
      </c>
      <c r="E6093" s="17" t="s">
        <v>3432</v>
      </c>
      <c r="F6093" s="17" t="s">
        <v>185</v>
      </c>
      <c r="G6093" s="18" t="n">
        <v>1094.5</v>
      </c>
      <c r="H6093" s="18" t="n">
        <v>0</v>
      </c>
      <c r="I6093" s="18" t="n">
        <f aca="false">((I6092 + G6093) - H6093)</f>
        <v>89754.62</v>
      </c>
      <c r="J6093" s="18" t="n">
        <v>0</v>
      </c>
      <c r="K6093" s="19" t="n">
        <v>0</v>
      </c>
      <c r="L6093" s="17"/>
    </row>
    <row r="6094" s="11" customFormat="true" ht="10.95" hidden="false" customHeight="true" outlineLevel="0" collapsed="false">
      <c r="A6094" s="16" t="n">
        <v>45161</v>
      </c>
      <c r="B6094" s="17" t="s">
        <v>3369</v>
      </c>
      <c r="C6094" s="17" t="s">
        <v>3370</v>
      </c>
      <c r="D6094" s="17" t="s">
        <v>19</v>
      </c>
      <c r="E6094" s="17" t="s">
        <v>3433</v>
      </c>
      <c r="F6094" s="17" t="s">
        <v>186</v>
      </c>
      <c r="G6094" s="18" t="n">
        <v>4207.5</v>
      </c>
      <c r="H6094" s="18" t="n">
        <v>0</v>
      </c>
      <c r="I6094" s="18" t="n">
        <f aca="false">((I6093 + G6094) - H6094)</f>
        <v>93962.12</v>
      </c>
      <c r="J6094" s="18" t="n">
        <v>0</v>
      </c>
      <c r="K6094" s="19" t="n">
        <v>0</v>
      </c>
      <c r="L6094" s="17"/>
    </row>
    <row r="6095" s="11" customFormat="true" ht="10.95" hidden="false" customHeight="true" outlineLevel="0" collapsed="false">
      <c r="A6095" s="16" t="n">
        <v>45161</v>
      </c>
      <c r="B6095" s="17" t="s">
        <v>3369</v>
      </c>
      <c r="C6095" s="17" t="s">
        <v>3370</v>
      </c>
      <c r="D6095" s="17" t="s">
        <v>19</v>
      </c>
      <c r="E6095" s="17" t="s">
        <v>3433</v>
      </c>
      <c r="F6095" s="17" t="s">
        <v>187</v>
      </c>
      <c r="G6095" s="18" t="n">
        <v>4182.2</v>
      </c>
      <c r="H6095" s="18" t="n">
        <v>0</v>
      </c>
      <c r="I6095" s="18" t="n">
        <f aca="false">((I6094 + G6095) - H6095)</f>
        <v>98144.32</v>
      </c>
      <c r="J6095" s="18" t="n">
        <v>0</v>
      </c>
      <c r="K6095" s="19" t="n">
        <v>0</v>
      </c>
      <c r="L6095" s="17"/>
    </row>
    <row r="6096" s="11" customFormat="true" ht="10.95" hidden="false" customHeight="true" outlineLevel="0" collapsed="false">
      <c r="A6096" s="16" t="n">
        <v>45161</v>
      </c>
      <c r="B6096" s="17" t="s">
        <v>3369</v>
      </c>
      <c r="C6096" s="17" t="s">
        <v>3370</v>
      </c>
      <c r="D6096" s="17" t="s">
        <v>19</v>
      </c>
      <c r="E6096" s="17" t="s">
        <v>3434</v>
      </c>
      <c r="F6096" s="17" t="s">
        <v>188</v>
      </c>
      <c r="G6096" s="18" t="n">
        <v>416</v>
      </c>
      <c r="H6096" s="18" t="n">
        <v>0</v>
      </c>
      <c r="I6096" s="18" t="n">
        <f aca="false">((I6095 + G6096) - H6096)</f>
        <v>98560.32</v>
      </c>
      <c r="J6096" s="18" t="n">
        <v>0</v>
      </c>
      <c r="K6096" s="19" t="n">
        <v>0</v>
      </c>
      <c r="L6096" s="17"/>
    </row>
    <row r="6097" s="11" customFormat="true" ht="10.95" hidden="false" customHeight="true" outlineLevel="0" collapsed="false">
      <c r="A6097" s="16" t="n">
        <v>45161</v>
      </c>
      <c r="B6097" s="17" t="s">
        <v>3369</v>
      </c>
      <c r="C6097" s="17" t="s">
        <v>3370</v>
      </c>
      <c r="D6097" s="17" t="s">
        <v>19</v>
      </c>
      <c r="E6097" s="17" t="s">
        <v>3435</v>
      </c>
      <c r="F6097" s="17" t="s">
        <v>191</v>
      </c>
      <c r="G6097" s="18" t="n">
        <v>2244</v>
      </c>
      <c r="H6097" s="18" t="n">
        <v>0</v>
      </c>
      <c r="I6097" s="18" t="n">
        <f aca="false">((I6096 + G6097) - H6097)</f>
        <v>100804.32</v>
      </c>
      <c r="J6097" s="18" t="n">
        <v>0</v>
      </c>
      <c r="K6097" s="19" t="n">
        <v>0</v>
      </c>
      <c r="L6097" s="17"/>
    </row>
    <row r="6098" s="11" customFormat="true" ht="10.95" hidden="false" customHeight="true" outlineLevel="0" collapsed="false">
      <c r="A6098" s="16" t="n">
        <v>45161</v>
      </c>
      <c r="B6098" s="17" t="s">
        <v>3369</v>
      </c>
      <c r="C6098" s="17" t="s">
        <v>3370</v>
      </c>
      <c r="D6098" s="17" t="s">
        <v>19</v>
      </c>
      <c r="E6098" s="17" t="s">
        <v>3493</v>
      </c>
      <c r="F6098" s="17" t="s">
        <v>193</v>
      </c>
      <c r="G6098" s="18" t="n">
        <v>561</v>
      </c>
      <c r="H6098" s="18" t="n">
        <v>0</v>
      </c>
      <c r="I6098" s="18" t="n">
        <f aca="false">((I6097 + G6098) - H6098)</f>
        <v>101365.32</v>
      </c>
      <c r="J6098" s="18" t="n">
        <v>0</v>
      </c>
      <c r="K6098" s="19" t="n">
        <v>0</v>
      </c>
      <c r="L6098" s="17"/>
    </row>
    <row r="6099" s="11" customFormat="true" ht="10.95" hidden="false" customHeight="true" outlineLevel="0" collapsed="false">
      <c r="A6099" s="16" t="n">
        <v>45161</v>
      </c>
      <c r="B6099" s="17" t="s">
        <v>3369</v>
      </c>
      <c r="C6099" s="17" t="s">
        <v>3370</v>
      </c>
      <c r="D6099" s="17" t="s">
        <v>19</v>
      </c>
      <c r="E6099" s="17" t="s">
        <v>3436</v>
      </c>
      <c r="F6099" s="17" t="s">
        <v>811</v>
      </c>
      <c r="G6099" s="18" t="n">
        <v>2821.5</v>
      </c>
      <c r="H6099" s="18" t="n">
        <v>0</v>
      </c>
      <c r="I6099" s="18" t="n">
        <f aca="false">((I6098 + G6099) - H6099)</f>
        <v>104186.82</v>
      </c>
      <c r="J6099" s="18" t="n">
        <v>0</v>
      </c>
      <c r="K6099" s="19" t="n">
        <v>0</v>
      </c>
      <c r="L6099" s="17"/>
    </row>
    <row r="6100" s="11" customFormat="true" ht="10.95" hidden="false" customHeight="true" outlineLevel="0" collapsed="false">
      <c r="A6100" s="16" t="n">
        <v>45161</v>
      </c>
      <c r="B6100" s="17" t="s">
        <v>3369</v>
      </c>
      <c r="C6100" s="17" t="s">
        <v>3370</v>
      </c>
      <c r="D6100" s="17" t="s">
        <v>19</v>
      </c>
      <c r="E6100" s="17" t="s">
        <v>3436</v>
      </c>
      <c r="F6100" s="17" t="s">
        <v>812</v>
      </c>
      <c r="G6100" s="18" t="n">
        <v>2194.5</v>
      </c>
      <c r="H6100" s="18" t="n">
        <v>0</v>
      </c>
      <c r="I6100" s="18" t="n">
        <f aca="false">((I6099 + G6100) - H6100)</f>
        <v>106381.32</v>
      </c>
      <c r="J6100" s="18" t="n">
        <v>0</v>
      </c>
      <c r="K6100" s="19" t="n">
        <v>0</v>
      </c>
      <c r="L6100" s="17"/>
    </row>
    <row r="6101" s="11" customFormat="true" ht="10.95" hidden="false" customHeight="true" outlineLevel="0" collapsed="false">
      <c r="A6101" s="16" t="n">
        <v>45161</v>
      </c>
      <c r="B6101" s="17" t="s">
        <v>3369</v>
      </c>
      <c r="C6101" s="17" t="s">
        <v>3370</v>
      </c>
      <c r="D6101" s="17" t="s">
        <v>19</v>
      </c>
      <c r="E6101" s="17" t="s">
        <v>3436</v>
      </c>
      <c r="F6101" s="17" t="s">
        <v>813</v>
      </c>
      <c r="G6101" s="18" t="n">
        <v>643.5</v>
      </c>
      <c r="H6101" s="18" t="n">
        <v>0</v>
      </c>
      <c r="I6101" s="18" t="n">
        <f aca="false">((I6100 + G6101) - H6101)</f>
        <v>107024.82</v>
      </c>
      <c r="J6101" s="18" t="n">
        <v>0</v>
      </c>
      <c r="K6101" s="19" t="n">
        <v>0</v>
      </c>
      <c r="L6101" s="17"/>
    </row>
    <row r="6102" s="11" customFormat="true" ht="10.95" hidden="false" customHeight="true" outlineLevel="0" collapsed="false">
      <c r="A6102" s="16" t="n">
        <v>45161</v>
      </c>
      <c r="B6102" s="17" t="s">
        <v>3369</v>
      </c>
      <c r="C6102" s="17" t="s">
        <v>3370</v>
      </c>
      <c r="D6102" s="17" t="s">
        <v>19</v>
      </c>
      <c r="E6102" s="17" t="s">
        <v>3436</v>
      </c>
      <c r="F6102" s="17" t="s">
        <v>814</v>
      </c>
      <c r="G6102" s="18" t="n">
        <v>1672</v>
      </c>
      <c r="H6102" s="18" t="n">
        <v>0</v>
      </c>
      <c r="I6102" s="18" t="n">
        <f aca="false">((I6101 + G6102) - H6102)</f>
        <v>108696.82</v>
      </c>
      <c r="J6102" s="18" t="n">
        <v>0</v>
      </c>
      <c r="K6102" s="19" t="n">
        <v>0</v>
      </c>
      <c r="L6102" s="17"/>
    </row>
    <row r="6103" s="11" customFormat="true" ht="10.95" hidden="false" customHeight="true" outlineLevel="0" collapsed="false">
      <c r="A6103" s="16" t="n">
        <v>45161</v>
      </c>
      <c r="B6103" s="17" t="s">
        <v>3369</v>
      </c>
      <c r="C6103" s="17" t="s">
        <v>3370</v>
      </c>
      <c r="D6103" s="17" t="s">
        <v>19</v>
      </c>
      <c r="E6103" s="17" t="s">
        <v>3409</v>
      </c>
      <c r="F6103" s="17" t="s">
        <v>816</v>
      </c>
      <c r="G6103" s="18" t="n">
        <v>3026.6</v>
      </c>
      <c r="H6103" s="18" t="n">
        <v>0</v>
      </c>
      <c r="I6103" s="18" t="n">
        <f aca="false">((I6102 + G6103) - H6103)</f>
        <v>111723.42</v>
      </c>
      <c r="J6103" s="18" t="n">
        <v>0</v>
      </c>
      <c r="K6103" s="19" t="n">
        <v>0</v>
      </c>
      <c r="L6103" s="17"/>
    </row>
    <row r="6104" s="11" customFormat="true" ht="10.95" hidden="false" customHeight="true" outlineLevel="0" collapsed="false">
      <c r="A6104" s="16" t="n">
        <v>45161</v>
      </c>
      <c r="B6104" s="17" t="s">
        <v>3369</v>
      </c>
      <c r="C6104" s="17" t="s">
        <v>3370</v>
      </c>
      <c r="D6104" s="17" t="s">
        <v>19</v>
      </c>
      <c r="E6104" s="17" t="s">
        <v>3409</v>
      </c>
      <c r="F6104" s="17" t="s">
        <v>817</v>
      </c>
      <c r="G6104" s="18" t="n">
        <v>646.94</v>
      </c>
      <c r="H6104" s="18" t="n">
        <v>0</v>
      </c>
      <c r="I6104" s="18" t="n">
        <f aca="false">((I6103 + G6104) - H6104)</f>
        <v>112370.36</v>
      </c>
      <c r="J6104" s="18" t="n">
        <v>0</v>
      </c>
      <c r="K6104" s="19" t="n">
        <v>0</v>
      </c>
      <c r="L6104" s="17"/>
    </row>
    <row r="6105" s="11" customFormat="true" ht="10.95" hidden="false" customHeight="true" outlineLevel="0" collapsed="false">
      <c r="A6105" s="16" t="n">
        <v>45161</v>
      </c>
      <c r="B6105" s="17" t="s">
        <v>3369</v>
      </c>
      <c r="C6105" s="17" t="s">
        <v>3370</v>
      </c>
      <c r="D6105" s="17" t="s">
        <v>19</v>
      </c>
      <c r="E6105" s="17" t="s">
        <v>3437</v>
      </c>
      <c r="F6105" s="17" t="s">
        <v>194</v>
      </c>
      <c r="G6105" s="18" t="n">
        <v>2077.76</v>
      </c>
      <c r="H6105" s="18" t="n">
        <v>0</v>
      </c>
      <c r="I6105" s="18" t="n">
        <f aca="false">((I6104 + G6105) - H6105)</f>
        <v>114448.12</v>
      </c>
      <c r="J6105" s="18" t="n">
        <v>0</v>
      </c>
      <c r="K6105" s="19" t="n">
        <v>0</v>
      </c>
      <c r="L6105" s="17"/>
    </row>
    <row r="6106" s="11" customFormat="true" ht="10.95" hidden="false" customHeight="true" outlineLevel="0" collapsed="false">
      <c r="A6106" s="16" t="n">
        <v>45161</v>
      </c>
      <c r="B6106" s="17" t="s">
        <v>3369</v>
      </c>
      <c r="C6106" s="17" t="s">
        <v>3370</v>
      </c>
      <c r="D6106" s="17" t="s">
        <v>19</v>
      </c>
      <c r="E6106" s="17" t="s">
        <v>3438</v>
      </c>
      <c r="F6106" s="17" t="s">
        <v>1104</v>
      </c>
      <c r="G6106" s="18" t="n">
        <v>3106.71</v>
      </c>
      <c r="H6106" s="18" t="n">
        <v>0</v>
      </c>
      <c r="I6106" s="18" t="n">
        <f aca="false">((I6105 + G6106) - H6106)</f>
        <v>117554.83</v>
      </c>
      <c r="J6106" s="18" t="n">
        <v>0</v>
      </c>
      <c r="K6106" s="19" t="n">
        <v>0</v>
      </c>
      <c r="L6106" s="17"/>
    </row>
    <row r="6107" s="11" customFormat="true" ht="10.95" hidden="false" customHeight="true" outlineLevel="0" collapsed="false">
      <c r="A6107" s="16" t="n">
        <v>45161</v>
      </c>
      <c r="B6107" s="17" t="s">
        <v>3369</v>
      </c>
      <c r="C6107" s="17" t="s">
        <v>3370</v>
      </c>
      <c r="D6107" s="17" t="s">
        <v>19</v>
      </c>
      <c r="E6107" s="17" t="s">
        <v>3439</v>
      </c>
      <c r="F6107" s="17" t="s">
        <v>197</v>
      </c>
      <c r="G6107" s="18" t="n">
        <v>1052.7</v>
      </c>
      <c r="H6107" s="18" t="n">
        <v>0</v>
      </c>
      <c r="I6107" s="18" t="n">
        <f aca="false">((I6106 + G6107) - H6107)</f>
        <v>118607.53</v>
      </c>
      <c r="J6107" s="18" t="n">
        <v>0</v>
      </c>
      <c r="K6107" s="19" t="n">
        <v>0</v>
      </c>
      <c r="L6107" s="17"/>
    </row>
    <row r="6108" s="11" customFormat="true" ht="10.95" hidden="false" customHeight="true" outlineLevel="0" collapsed="false">
      <c r="A6108" s="16" t="n">
        <v>45161</v>
      </c>
      <c r="B6108" s="17" t="s">
        <v>3369</v>
      </c>
      <c r="C6108" s="17" t="s">
        <v>3370</v>
      </c>
      <c r="D6108" s="17" t="s">
        <v>19</v>
      </c>
      <c r="E6108" s="17" t="s">
        <v>3440</v>
      </c>
      <c r="F6108" s="17" t="s">
        <v>1105</v>
      </c>
      <c r="G6108" s="18" t="n">
        <v>1400.79</v>
      </c>
      <c r="H6108" s="18" t="n">
        <v>0</v>
      </c>
      <c r="I6108" s="18" t="n">
        <f aca="false">((I6107 + G6108) - H6108)</f>
        <v>120008.32</v>
      </c>
      <c r="J6108" s="18" t="n">
        <v>0</v>
      </c>
      <c r="K6108" s="19" t="n">
        <v>0</v>
      </c>
      <c r="L6108" s="17"/>
    </row>
    <row r="6109" s="11" customFormat="true" ht="10.95" hidden="false" customHeight="true" outlineLevel="0" collapsed="false">
      <c r="A6109" s="16" t="n">
        <v>45161</v>
      </c>
      <c r="B6109" s="17" t="s">
        <v>3369</v>
      </c>
      <c r="C6109" s="17" t="s">
        <v>3370</v>
      </c>
      <c r="D6109" s="17" t="s">
        <v>19</v>
      </c>
      <c r="E6109" s="17" t="s">
        <v>3441</v>
      </c>
      <c r="F6109" s="17" t="s">
        <v>1106</v>
      </c>
      <c r="G6109" s="18" t="n">
        <v>180</v>
      </c>
      <c r="H6109" s="18" t="n">
        <v>0</v>
      </c>
      <c r="I6109" s="18" t="n">
        <f aca="false">((I6108 + G6109) - H6109)</f>
        <v>120188.32</v>
      </c>
      <c r="J6109" s="18" t="n">
        <v>0</v>
      </c>
      <c r="K6109" s="19" t="n">
        <v>0</v>
      </c>
      <c r="L6109" s="17"/>
    </row>
    <row r="6110" s="11" customFormat="true" ht="10.95" hidden="false" customHeight="true" outlineLevel="0" collapsed="false">
      <c r="A6110" s="16" t="n">
        <v>45161</v>
      </c>
      <c r="B6110" s="17" t="s">
        <v>3369</v>
      </c>
      <c r="C6110" s="17" t="s">
        <v>3370</v>
      </c>
      <c r="D6110" s="17" t="s">
        <v>19</v>
      </c>
      <c r="E6110" s="17" t="s">
        <v>3443</v>
      </c>
      <c r="F6110" s="17" t="s">
        <v>198</v>
      </c>
      <c r="G6110" s="18" t="n">
        <v>5599</v>
      </c>
      <c r="H6110" s="18" t="n">
        <v>0</v>
      </c>
      <c r="I6110" s="18" t="n">
        <f aca="false">((I6109 + G6110) - H6110)</f>
        <v>125787.32</v>
      </c>
      <c r="J6110" s="18" t="n">
        <v>0</v>
      </c>
      <c r="K6110" s="19" t="n">
        <v>0</v>
      </c>
      <c r="L6110" s="17"/>
    </row>
    <row r="6111" s="11" customFormat="true" ht="10.95" hidden="false" customHeight="true" outlineLevel="0" collapsed="false">
      <c r="A6111" s="16" t="n">
        <v>45161</v>
      </c>
      <c r="B6111" s="17" t="s">
        <v>3369</v>
      </c>
      <c r="C6111" s="17" t="s">
        <v>3370</v>
      </c>
      <c r="D6111" s="17" t="s">
        <v>19</v>
      </c>
      <c r="E6111" s="17" t="s">
        <v>3444</v>
      </c>
      <c r="F6111" s="17" t="s">
        <v>200</v>
      </c>
      <c r="G6111" s="18" t="n">
        <v>968</v>
      </c>
      <c r="H6111" s="18" t="n">
        <v>0</v>
      </c>
      <c r="I6111" s="18" t="n">
        <f aca="false">((I6110 + G6111) - H6111)</f>
        <v>126755.32</v>
      </c>
      <c r="J6111" s="18" t="n">
        <v>0</v>
      </c>
      <c r="K6111" s="19" t="n">
        <v>0</v>
      </c>
      <c r="L6111" s="17"/>
    </row>
    <row r="6112" s="11" customFormat="true" ht="10.95" hidden="false" customHeight="true" outlineLevel="0" collapsed="false">
      <c r="A6112" s="16" t="n">
        <v>45161</v>
      </c>
      <c r="B6112" s="17" t="s">
        <v>3369</v>
      </c>
      <c r="C6112" s="17" t="s">
        <v>3370</v>
      </c>
      <c r="D6112" s="17" t="s">
        <v>19</v>
      </c>
      <c r="E6112" s="17" t="s">
        <v>3494</v>
      </c>
      <c r="F6112" s="17" t="s">
        <v>202</v>
      </c>
      <c r="G6112" s="18" t="n">
        <v>1784.2</v>
      </c>
      <c r="H6112" s="18" t="n">
        <v>0</v>
      </c>
      <c r="I6112" s="18" t="n">
        <f aca="false">((I6111 + G6112) - H6112)</f>
        <v>128539.52</v>
      </c>
      <c r="J6112" s="18" t="n">
        <v>0</v>
      </c>
      <c r="K6112" s="19" t="n">
        <v>0</v>
      </c>
      <c r="L6112" s="17"/>
    </row>
    <row r="6113" s="11" customFormat="true" ht="10.95" hidden="false" customHeight="true" outlineLevel="0" collapsed="false">
      <c r="A6113" s="16" t="n">
        <v>45161</v>
      </c>
      <c r="B6113" s="17" t="s">
        <v>3369</v>
      </c>
      <c r="C6113" s="17" t="s">
        <v>3370</v>
      </c>
      <c r="D6113" s="17" t="s">
        <v>19</v>
      </c>
      <c r="E6113" s="17" t="s">
        <v>3446</v>
      </c>
      <c r="F6113" s="17" t="s">
        <v>204</v>
      </c>
      <c r="G6113" s="18" t="n">
        <v>1654.4</v>
      </c>
      <c r="H6113" s="18" t="n">
        <v>0</v>
      </c>
      <c r="I6113" s="18" t="n">
        <f aca="false">((I6112 + G6113) - H6113)</f>
        <v>130193.92</v>
      </c>
      <c r="J6113" s="18" t="n">
        <v>0</v>
      </c>
      <c r="K6113" s="19" t="n">
        <v>0</v>
      </c>
      <c r="L6113" s="17"/>
    </row>
    <row r="6114" s="11" customFormat="true" ht="10.95" hidden="false" customHeight="true" outlineLevel="0" collapsed="false">
      <c r="A6114" s="16" t="n">
        <v>45161</v>
      </c>
      <c r="B6114" s="17" t="s">
        <v>3369</v>
      </c>
      <c r="C6114" s="17" t="s">
        <v>3370</v>
      </c>
      <c r="D6114" s="17" t="s">
        <v>19</v>
      </c>
      <c r="E6114" s="17" t="s">
        <v>3447</v>
      </c>
      <c r="F6114" s="17" t="s">
        <v>205</v>
      </c>
      <c r="G6114" s="18" t="n">
        <v>827.2</v>
      </c>
      <c r="H6114" s="18" t="n">
        <v>0</v>
      </c>
      <c r="I6114" s="18" t="n">
        <f aca="false">((I6113 + G6114) - H6114)</f>
        <v>131021.12</v>
      </c>
      <c r="J6114" s="18" t="n">
        <v>0</v>
      </c>
      <c r="K6114" s="19" t="n">
        <v>0</v>
      </c>
      <c r="L6114" s="17"/>
    </row>
    <row r="6115" s="11" customFormat="true" ht="10.95" hidden="false" customHeight="true" outlineLevel="0" collapsed="false">
      <c r="A6115" s="16" t="n">
        <v>45161</v>
      </c>
      <c r="B6115" s="17" t="s">
        <v>3369</v>
      </c>
      <c r="C6115" s="17" t="s">
        <v>3370</v>
      </c>
      <c r="D6115" s="17" t="s">
        <v>19</v>
      </c>
      <c r="E6115" s="17" t="s">
        <v>3447</v>
      </c>
      <c r="F6115" s="17" t="s">
        <v>206</v>
      </c>
      <c r="G6115" s="18" t="n">
        <v>638</v>
      </c>
      <c r="H6115" s="18" t="n">
        <v>0</v>
      </c>
      <c r="I6115" s="18" t="n">
        <f aca="false">((I6114 + G6115) - H6115)</f>
        <v>131659.12</v>
      </c>
      <c r="J6115" s="18" t="n">
        <v>0</v>
      </c>
      <c r="K6115" s="19" t="n">
        <v>0</v>
      </c>
      <c r="L6115" s="17"/>
    </row>
    <row r="6116" s="11" customFormat="true" ht="10.95" hidden="false" customHeight="true" outlineLevel="0" collapsed="false">
      <c r="A6116" s="16" t="n">
        <v>45161</v>
      </c>
      <c r="B6116" s="17" t="s">
        <v>3369</v>
      </c>
      <c r="C6116" s="17" t="s">
        <v>3370</v>
      </c>
      <c r="D6116" s="17" t="s">
        <v>19</v>
      </c>
      <c r="E6116" s="17" t="s">
        <v>3447</v>
      </c>
      <c r="F6116" s="17" t="s">
        <v>207</v>
      </c>
      <c r="G6116" s="18" t="n">
        <v>206.8</v>
      </c>
      <c r="H6116" s="18" t="n">
        <v>0</v>
      </c>
      <c r="I6116" s="18" t="n">
        <f aca="false">((I6115 + G6116) - H6116)</f>
        <v>131865.92</v>
      </c>
      <c r="J6116" s="18" t="n">
        <v>0</v>
      </c>
      <c r="K6116" s="19" t="n">
        <v>0</v>
      </c>
      <c r="L6116" s="17"/>
    </row>
    <row r="6117" s="11" customFormat="true" ht="10.95" hidden="false" customHeight="true" outlineLevel="0" collapsed="false">
      <c r="A6117" s="16" t="n">
        <v>45161</v>
      </c>
      <c r="B6117" s="17" t="s">
        <v>3369</v>
      </c>
      <c r="C6117" s="17" t="s">
        <v>3370</v>
      </c>
      <c r="D6117" s="17" t="s">
        <v>19</v>
      </c>
      <c r="E6117" s="17" t="s">
        <v>3447</v>
      </c>
      <c r="F6117" s="17" t="s">
        <v>208</v>
      </c>
      <c r="G6117" s="18" t="n">
        <v>1361.25</v>
      </c>
      <c r="H6117" s="18" t="n">
        <v>0</v>
      </c>
      <c r="I6117" s="18" t="n">
        <f aca="false">((I6116 + G6117) - H6117)</f>
        <v>133227.17</v>
      </c>
      <c r="J6117" s="18" t="n">
        <v>0</v>
      </c>
      <c r="K6117" s="19" t="n">
        <v>0</v>
      </c>
      <c r="L6117" s="17"/>
    </row>
    <row r="6118" s="11" customFormat="true" ht="10.95" hidden="false" customHeight="true" outlineLevel="0" collapsed="false">
      <c r="A6118" s="16" t="n">
        <v>45161</v>
      </c>
      <c r="B6118" s="17" t="s">
        <v>3369</v>
      </c>
      <c r="C6118" s="17" t="s">
        <v>3370</v>
      </c>
      <c r="D6118" s="17" t="s">
        <v>19</v>
      </c>
      <c r="E6118" s="17" t="s">
        <v>3447</v>
      </c>
      <c r="F6118" s="17" t="s">
        <v>209</v>
      </c>
      <c r="G6118" s="18" t="n">
        <v>517</v>
      </c>
      <c r="H6118" s="18" t="n">
        <v>0</v>
      </c>
      <c r="I6118" s="18" t="n">
        <f aca="false">((I6117 + G6118) - H6118)</f>
        <v>133744.17</v>
      </c>
      <c r="J6118" s="18" t="n">
        <v>0</v>
      </c>
      <c r="K6118" s="19" t="n">
        <v>0</v>
      </c>
      <c r="L6118" s="17"/>
    </row>
    <row r="6119" s="11" customFormat="true" ht="10.95" hidden="false" customHeight="true" outlineLevel="0" collapsed="false">
      <c r="A6119" s="16" t="n">
        <v>45161</v>
      </c>
      <c r="B6119" s="17" t="s">
        <v>3369</v>
      </c>
      <c r="C6119" s="17" t="s">
        <v>3370</v>
      </c>
      <c r="D6119" s="17" t="s">
        <v>19</v>
      </c>
      <c r="E6119" s="17" t="s">
        <v>3447</v>
      </c>
      <c r="F6119" s="17" t="s">
        <v>210</v>
      </c>
      <c r="G6119" s="18" t="n">
        <v>316.8</v>
      </c>
      <c r="H6119" s="18" t="n">
        <v>0</v>
      </c>
      <c r="I6119" s="18" t="n">
        <f aca="false">((I6118 + G6119) - H6119)</f>
        <v>134060.97</v>
      </c>
      <c r="J6119" s="18" t="n">
        <v>0</v>
      </c>
      <c r="K6119" s="19" t="n">
        <v>0</v>
      </c>
      <c r="L6119" s="17"/>
    </row>
    <row r="6120" s="11" customFormat="true" ht="10.95" hidden="false" customHeight="true" outlineLevel="0" collapsed="false">
      <c r="A6120" s="16" t="n">
        <v>45161</v>
      </c>
      <c r="B6120" s="17" t="s">
        <v>3369</v>
      </c>
      <c r="C6120" s="17" t="s">
        <v>3370</v>
      </c>
      <c r="D6120" s="17" t="s">
        <v>19</v>
      </c>
      <c r="E6120" s="17" t="s">
        <v>3447</v>
      </c>
      <c r="F6120" s="17" t="s">
        <v>211</v>
      </c>
      <c r="G6120" s="18" t="n">
        <v>627</v>
      </c>
      <c r="H6120" s="18" t="n">
        <v>0</v>
      </c>
      <c r="I6120" s="18" t="n">
        <f aca="false">((I6119 + G6120) - H6120)</f>
        <v>134687.97</v>
      </c>
      <c r="J6120" s="18" t="n">
        <v>0</v>
      </c>
      <c r="K6120" s="19" t="n">
        <v>0</v>
      </c>
      <c r="L6120" s="17"/>
    </row>
    <row r="6121" s="11" customFormat="true" ht="10.95" hidden="false" customHeight="true" outlineLevel="0" collapsed="false">
      <c r="A6121" s="16" t="n">
        <v>45161</v>
      </c>
      <c r="B6121" s="17" t="s">
        <v>3369</v>
      </c>
      <c r="C6121" s="17" t="s">
        <v>3370</v>
      </c>
      <c r="D6121" s="17" t="s">
        <v>19</v>
      </c>
      <c r="E6121" s="17" t="s">
        <v>3447</v>
      </c>
      <c r="F6121" s="17" t="s">
        <v>212</v>
      </c>
      <c r="G6121" s="18" t="n">
        <v>2484.9</v>
      </c>
      <c r="H6121" s="18" t="n">
        <v>0</v>
      </c>
      <c r="I6121" s="18" t="n">
        <f aca="false">((I6120 + G6121) - H6121)</f>
        <v>137172.87</v>
      </c>
      <c r="J6121" s="18" t="n">
        <v>0</v>
      </c>
      <c r="K6121" s="19" t="n">
        <v>0</v>
      </c>
      <c r="L6121" s="17"/>
    </row>
    <row r="6122" s="11" customFormat="true" ht="10.95" hidden="false" customHeight="true" outlineLevel="0" collapsed="false">
      <c r="A6122" s="16" t="n">
        <v>45161</v>
      </c>
      <c r="B6122" s="17" t="s">
        <v>3369</v>
      </c>
      <c r="C6122" s="17" t="s">
        <v>3370</v>
      </c>
      <c r="D6122" s="17" t="s">
        <v>19</v>
      </c>
      <c r="E6122" s="17" t="s">
        <v>3447</v>
      </c>
      <c r="F6122" s="17" t="s">
        <v>213</v>
      </c>
      <c r="G6122" s="18" t="n">
        <v>1258.4</v>
      </c>
      <c r="H6122" s="18" t="n">
        <v>0</v>
      </c>
      <c r="I6122" s="18" t="n">
        <f aca="false">((I6121 + G6122) - H6122)</f>
        <v>138431.27</v>
      </c>
      <c r="J6122" s="18" t="n">
        <v>0</v>
      </c>
      <c r="K6122" s="19" t="n">
        <v>0</v>
      </c>
      <c r="L6122" s="17"/>
    </row>
    <row r="6123" s="11" customFormat="true" ht="10.95" hidden="false" customHeight="true" outlineLevel="0" collapsed="false">
      <c r="A6123" s="16" t="n">
        <v>45161</v>
      </c>
      <c r="B6123" s="17" t="s">
        <v>3369</v>
      </c>
      <c r="C6123" s="17" t="s">
        <v>3370</v>
      </c>
      <c r="D6123" s="17" t="s">
        <v>19</v>
      </c>
      <c r="E6123" s="17" t="s">
        <v>3447</v>
      </c>
      <c r="F6123" s="17" t="s">
        <v>214</v>
      </c>
      <c r="G6123" s="18" t="n">
        <v>310.2</v>
      </c>
      <c r="H6123" s="18" t="n">
        <v>0</v>
      </c>
      <c r="I6123" s="18" t="n">
        <f aca="false">((I6122 + G6123) - H6123)</f>
        <v>138741.47</v>
      </c>
      <c r="J6123" s="18" t="n">
        <v>0</v>
      </c>
      <c r="K6123" s="19" t="n">
        <v>0</v>
      </c>
      <c r="L6123" s="17"/>
    </row>
    <row r="6124" s="11" customFormat="true" ht="10.95" hidden="false" customHeight="true" outlineLevel="0" collapsed="false">
      <c r="A6124" s="16" t="n">
        <v>45161</v>
      </c>
      <c r="B6124" s="17" t="s">
        <v>3369</v>
      </c>
      <c r="C6124" s="17" t="s">
        <v>3370</v>
      </c>
      <c r="D6124" s="17" t="s">
        <v>19</v>
      </c>
      <c r="E6124" s="17" t="s">
        <v>3447</v>
      </c>
      <c r="F6124" s="17" t="s">
        <v>215</v>
      </c>
      <c r="G6124" s="18" t="n">
        <v>310.2</v>
      </c>
      <c r="H6124" s="18" t="n">
        <v>0</v>
      </c>
      <c r="I6124" s="18" t="n">
        <f aca="false">((I6123 + G6124) - H6124)</f>
        <v>139051.67</v>
      </c>
      <c r="J6124" s="18" t="n">
        <v>0</v>
      </c>
      <c r="K6124" s="19" t="n">
        <v>0</v>
      </c>
      <c r="L6124" s="17"/>
    </row>
    <row r="6125" s="11" customFormat="true" ht="10.95" hidden="false" customHeight="true" outlineLevel="0" collapsed="false">
      <c r="A6125" s="16" t="n">
        <v>45161</v>
      </c>
      <c r="B6125" s="17" t="s">
        <v>3369</v>
      </c>
      <c r="C6125" s="17" t="s">
        <v>3370</v>
      </c>
      <c r="D6125" s="17" t="s">
        <v>19</v>
      </c>
      <c r="E6125" s="17" t="s">
        <v>3447</v>
      </c>
      <c r="F6125" s="17" t="s">
        <v>216</v>
      </c>
      <c r="G6125" s="18" t="n">
        <v>517</v>
      </c>
      <c r="H6125" s="18" t="n">
        <v>0</v>
      </c>
      <c r="I6125" s="18" t="n">
        <f aca="false">((I6124 + G6125) - H6125)</f>
        <v>139568.67</v>
      </c>
      <c r="J6125" s="18" t="n">
        <v>0</v>
      </c>
      <c r="K6125" s="19" t="n">
        <v>0</v>
      </c>
      <c r="L6125" s="17"/>
    </row>
    <row r="6126" s="11" customFormat="true" ht="10.95" hidden="false" customHeight="true" outlineLevel="0" collapsed="false">
      <c r="A6126" s="16" t="n">
        <v>45161</v>
      </c>
      <c r="B6126" s="17" t="s">
        <v>3369</v>
      </c>
      <c r="C6126" s="17" t="s">
        <v>3370</v>
      </c>
      <c r="D6126" s="17" t="s">
        <v>19</v>
      </c>
      <c r="E6126" s="17" t="s">
        <v>3447</v>
      </c>
      <c r="F6126" s="17" t="s">
        <v>217</v>
      </c>
      <c r="G6126" s="18" t="n">
        <v>1034</v>
      </c>
      <c r="H6126" s="18" t="n">
        <v>0</v>
      </c>
      <c r="I6126" s="18" t="n">
        <f aca="false">((I6125 + G6126) - H6126)</f>
        <v>140602.67</v>
      </c>
      <c r="J6126" s="18" t="n">
        <v>0</v>
      </c>
      <c r="K6126" s="19" t="n">
        <v>0</v>
      </c>
      <c r="L6126" s="17"/>
    </row>
    <row r="6127" s="11" customFormat="true" ht="10.95" hidden="false" customHeight="true" outlineLevel="0" collapsed="false">
      <c r="A6127" s="16" t="n">
        <v>45161</v>
      </c>
      <c r="B6127" s="17" t="s">
        <v>3369</v>
      </c>
      <c r="C6127" s="17" t="s">
        <v>3370</v>
      </c>
      <c r="D6127" s="17" t="s">
        <v>19</v>
      </c>
      <c r="E6127" s="17" t="s">
        <v>3447</v>
      </c>
      <c r="F6127" s="17" t="s">
        <v>218</v>
      </c>
      <c r="G6127" s="18" t="n">
        <v>723.8</v>
      </c>
      <c r="H6127" s="18" t="n">
        <v>0</v>
      </c>
      <c r="I6127" s="18" t="n">
        <f aca="false">((I6126 + G6127) - H6127)</f>
        <v>141326.47</v>
      </c>
      <c r="J6127" s="18" t="n">
        <v>0</v>
      </c>
      <c r="K6127" s="19" t="n">
        <v>0</v>
      </c>
      <c r="L6127" s="17"/>
    </row>
    <row r="6128" s="11" customFormat="true" ht="10.95" hidden="false" customHeight="true" outlineLevel="0" collapsed="false">
      <c r="A6128" s="16" t="n">
        <v>45161</v>
      </c>
      <c r="B6128" s="17" t="s">
        <v>3369</v>
      </c>
      <c r="C6128" s="17" t="s">
        <v>3370</v>
      </c>
      <c r="D6128" s="17" t="s">
        <v>19</v>
      </c>
      <c r="E6128" s="17" t="s">
        <v>3495</v>
      </c>
      <c r="F6128" s="17" t="s">
        <v>1108</v>
      </c>
      <c r="G6128" s="18" t="n">
        <v>7082.27</v>
      </c>
      <c r="H6128" s="18" t="n">
        <v>0</v>
      </c>
      <c r="I6128" s="18" t="n">
        <f aca="false">((I6127 + G6128) - H6128)</f>
        <v>148408.74</v>
      </c>
      <c r="J6128" s="18" t="n">
        <v>0</v>
      </c>
      <c r="K6128" s="19" t="n">
        <v>0</v>
      </c>
      <c r="L6128" s="17"/>
    </row>
    <row r="6129" s="11" customFormat="true" ht="10.95" hidden="false" customHeight="true" outlineLevel="0" collapsed="false">
      <c r="A6129" s="16" t="n">
        <v>45161</v>
      </c>
      <c r="B6129" s="17" t="s">
        <v>3369</v>
      </c>
      <c r="C6129" s="17" t="s">
        <v>3370</v>
      </c>
      <c r="D6129" s="17" t="s">
        <v>19</v>
      </c>
      <c r="E6129" s="17" t="s">
        <v>3448</v>
      </c>
      <c r="F6129" s="17" t="s">
        <v>219</v>
      </c>
      <c r="G6129" s="18" t="n">
        <v>480.7</v>
      </c>
      <c r="H6129" s="18" t="n">
        <v>0</v>
      </c>
      <c r="I6129" s="18" t="n">
        <f aca="false">((I6128 + G6129) - H6129)</f>
        <v>148889.44</v>
      </c>
      <c r="J6129" s="18" t="n">
        <v>0</v>
      </c>
      <c r="K6129" s="19" t="n">
        <v>0</v>
      </c>
      <c r="L6129" s="17"/>
    </row>
    <row r="6130" s="11" customFormat="true" ht="10.95" hidden="false" customHeight="true" outlineLevel="0" collapsed="false">
      <c r="A6130" s="16" t="n">
        <v>45161</v>
      </c>
      <c r="B6130" s="17" t="s">
        <v>3369</v>
      </c>
      <c r="C6130" s="17" t="s">
        <v>3370</v>
      </c>
      <c r="D6130" s="17" t="s">
        <v>19</v>
      </c>
      <c r="E6130" s="17" t="s">
        <v>3448</v>
      </c>
      <c r="F6130" s="17" t="s">
        <v>220</v>
      </c>
      <c r="G6130" s="18" t="n">
        <v>280.5</v>
      </c>
      <c r="H6130" s="18" t="n">
        <v>0</v>
      </c>
      <c r="I6130" s="18" t="n">
        <f aca="false">((I6129 + G6130) - H6130)</f>
        <v>149169.94</v>
      </c>
      <c r="J6130" s="18" t="n">
        <v>0</v>
      </c>
      <c r="K6130" s="19" t="n">
        <v>0</v>
      </c>
      <c r="L6130" s="17"/>
    </row>
    <row r="6131" s="11" customFormat="true" ht="10.95" hidden="false" customHeight="true" outlineLevel="0" collapsed="false">
      <c r="A6131" s="16" t="n">
        <v>45161</v>
      </c>
      <c r="B6131" s="17" t="s">
        <v>3369</v>
      </c>
      <c r="C6131" s="17" t="s">
        <v>3370</v>
      </c>
      <c r="D6131" s="17" t="s">
        <v>19</v>
      </c>
      <c r="E6131" s="17" t="s">
        <v>3449</v>
      </c>
      <c r="F6131" s="17" t="s">
        <v>818</v>
      </c>
      <c r="G6131" s="18" t="n">
        <v>611.67</v>
      </c>
      <c r="H6131" s="18" t="n">
        <v>0</v>
      </c>
      <c r="I6131" s="18" t="n">
        <f aca="false">((I6130 + G6131) - H6131)</f>
        <v>149781.61</v>
      </c>
      <c r="J6131" s="18" t="n">
        <v>0</v>
      </c>
      <c r="K6131" s="19" t="n">
        <v>0</v>
      </c>
      <c r="L6131" s="17"/>
    </row>
    <row r="6132" s="11" customFormat="true" ht="10.95" hidden="false" customHeight="true" outlineLevel="0" collapsed="false">
      <c r="A6132" s="16" t="n">
        <v>45161</v>
      </c>
      <c r="B6132" s="17" t="s">
        <v>3369</v>
      </c>
      <c r="C6132" s="17" t="s">
        <v>3370</v>
      </c>
      <c r="D6132" s="17" t="s">
        <v>19</v>
      </c>
      <c r="E6132" s="17" t="s">
        <v>3450</v>
      </c>
      <c r="F6132" s="17" t="s">
        <v>1118</v>
      </c>
      <c r="G6132" s="18" t="n">
        <v>266.42</v>
      </c>
      <c r="H6132" s="18" t="n">
        <v>0</v>
      </c>
      <c r="I6132" s="18" t="n">
        <f aca="false">((I6131 + G6132) - H6132)</f>
        <v>150048.03</v>
      </c>
      <c r="J6132" s="18" t="n">
        <v>0</v>
      </c>
      <c r="K6132" s="19" t="n">
        <v>0</v>
      </c>
      <c r="L6132" s="17"/>
    </row>
    <row r="6133" s="11" customFormat="true" ht="10.95" hidden="false" customHeight="true" outlineLevel="0" collapsed="false">
      <c r="A6133" s="16" t="n">
        <v>45161</v>
      </c>
      <c r="B6133" s="17" t="s">
        <v>3369</v>
      </c>
      <c r="C6133" s="17" t="s">
        <v>3370</v>
      </c>
      <c r="D6133" s="17" t="s">
        <v>19</v>
      </c>
      <c r="E6133" s="17" t="s">
        <v>3450</v>
      </c>
      <c r="F6133" s="17" t="s">
        <v>1119</v>
      </c>
      <c r="G6133" s="18" t="n">
        <v>805.27</v>
      </c>
      <c r="H6133" s="18" t="n">
        <v>0</v>
      </c>
      <c r="I6133" s="18" t="n">
        <f aca="false">((I6132 + G6133) - H6133)</f>
        <v>150853.3</v>
      </c>
      <c r="J6133" s="18" t="n">
        <v>0</v>
      </c>
      <c r="K6133" s="19" t="n">
        <v>0</v>
      </c>
      <c r="L6133" s="17"/>
    </row>
    <row r="6134" s="11" customFormat="true" ht="10.95" hidden="false" customHeight="true" outlineLevel="0" collapsed="false">
      <c r="A6134" s="16" t="n">
        <v>45161</v>
      </c>
      <c r="B6134" s="17" t="s">
        <v>3369</v>
      </c>
      <c r="C6134" s="17" t="s">
        <v>3370</v>
      </c>
      <c r="D6134" s="17" t="s">
        <v>19</v>
      </c>
      <c r="E6134" s="17" t="s">
        <v>3450</v>
      </c>
      <c r="F6134" s="17" t="s">
        <v>1120</v>
      </c>
      <c r="G6134" s="18" t="n">
        <v>1751.14</v>
      </c>
      <c r="H6134" s="18" t="n">
        <v>0</v>
      </c>
      <c r="I6134" s="18" t="n">
        <f aca="false">((I6133 + G6134) - H6134)</f>
        <v>152604.44</v>
      </c>
      <c r="J6134" s="18" t="n">
        <v>0</v>
      </c>
      <c r="K6134" s="19" t="n">
        <v>0</v>
      </c>
      <c r="L6134" s="17"/>
    </row>
    <row r="6135" s="11" customFormat="true" ht="10.95" hidden="false" customHeight="true" outlineLevel="0" collapsed="false">
      <c r="A6135" s="16" t="n">
        <v>45161</v>
      </c>
      <c r="B6135" s="17" t="s">
        <v>3369</v>
      </c>
      <c r="C6135" s="17" t="s">
        <v>3370</v>
      </c>
      <c r="D6135" s="17" t="s">
        <v>19</v>
      </c>
      <c r="E6135" s="17" t="s">
        <v>3450</v>
      </c>
      <c r="F6135" s="17" t="s">
        <v>1121</v>
      </c>
      <c r="G6135" s="18" t="n">
        <v>1006.93</v>
      </c>
      <c r="H6135" s="18" t="n">
        <v>0</v>
      </c>
      <c r="I6135" s="18" t="n">
        <f aca="false">((I6134 + G6135) - H6135)</f>
        <v>153611.37</v>
      </c>
      <c r="J6135" s="18" t="n">
        <v>0</v>
      </c>
      <c r="K6135" s="19" t="n">
        <v>0</v>
      </c>
      <c r="L6135" s="17"/>
    </row>
    <row r="6136" s="11" customFormat="true" ht="10.95" hidden="false" customHeight="true" outlineLevel="0" collapsed="false">
      <c r="A6136" s="16" t="n">
        <v>45161</v>
      </c>
      <c r="B6136" s="17" t="s">
        <v>3369</v>
      </c>
      <c r="C6136" s="17" t="s">
        <v>3370</v>
      </c>
      <c r="D6136" s="17" t="s">
        <v>19</v>
      </c>
      <c r="E6136" s="17" t="s">
        <v>3450</v>
      </c>
      <c r="F6136" s="17" t="s">
        <v>1122</v>
      </c>
      <c r="G6136" s="18" t="n">
        <v>1826.07</v>
      </c>
      <c r="H6136" s="18" t="n">
        <v>0</v>
      </c>
      <c r="I6136" s="18" t="n">
        <f aca="false">((I6135 + G6136) - H6136)</f>
        <v>155437.44</v>
      </c>
      <c r="J6136" s="18" t="n">
        <v>0</v>
      </c>
      <c r="K6136" s="19" t="n">
        <v>0</v>
      </c>
      <c r="L6136" s="17"/>
    </row>
    <row r="6137" s="11" customFormat="true" ht="10.95" hidden="false" customHeight="true" outlineLevel="0" collapsed="false">
      <c r="A6137" s="16" t="n">
        <v>45161</v>
      </c>
      <c r="B6137" s="17" t="s">
        <v>3369</v>
      </c>
      <c r="C6137" s="17" t="s">
        <v>3370</v>
      </c>
      <c r="D6137" s="17" t="s">
        <v>19</v>
      </c>
      <c r="E6137" s="17" t="s">
        <v>3450</v>
      </c>
      <c r="F6137" s="17" t="s">
        <v>1123</v>
      </c>
      <c r="G6137" s="18" t="n">
        <v>133.21</v>
      </c>
      <c r="H6137" s="18" t="n">
        <v>0</v>
      </c>
      <c r="I6137" s="18" t="n">
        <f aca="false">((I6136 + G6137) - H6137)</f>
        <v>155570.65</v>
      </c>
      <c r="J6137" s="18" t="n">
        <v>0</v>
      </c>
      <c r="K6137" s="19" t="n">
        <v>0</v>
      </c>
      <c r="L6137" s="17"/>
    </row>
    <row r="6138" s="11" customFormat="true" ht="10.95" hidden="false" customHeight="true" outlineLevel="0" collapsed="false">
      <c r="A6138" s="16" t="n">
        <v>45161</v>
      </c>
      <c r="B6138" s="17" t="s">
        <v>3369</v>
      </c>
      <c r="C6138" s="17" t="s">
        <v>3370</v>
      </c>
      <c r="D6138" s="17" t="s">
        <v>19</v>
      </c>
      <c r="E6138" s="17" t="s">
        <v>3451</v>
      </c>
      <c r="F6138" s="17" t="s">
        <v>221</v>
      </c>
      <c r="G6138" s="18" t="n">
        <v>1399.2</v>
      </c>
      <c r="H6138" s="18" t="n">
        <v>0</v>
      </c>
      <c r="I6138" s="18" t="n">
        <f aca="false">((I6137 + G6138) - H6138)</f>
        <v>156969.85</v>
      </c>
      <c r="J6138" s="18" t="n">
        <v>0</v>
      </c>
      <c r="K6138" s="19" t="n">
        <v>0</v>
      </c>
      <c r="L6138" s="17"/>
    </row>
    <row r="6139" s="11" customFormat="true" ht="10.95" hidden="false" customHeight="true" outlineLevel="0" collapsed="false">
      <c r="A6139" s="16" t="n">
        <v>45161</v>
      </c>
      <c r="B6139" s="17" t="s">
        <v>3369</v>
      </c>
      <c r="C6139" s="17" t="s">
        <v>3370</v>
      </c>
      <c r="D6139" s="17" t="s">
        <v>19</v>
      </c>
      <c r="E6139" s="17" t="s">
        <v>3454</v>
      </c>
      <c r="F6139" s="17" t="s">
        <v>222</v>
      </c>
      <c r="G6139" s="18" t="n">
        <v>17323.3</v>
      </c>
      <c r="H6139" s="18" t="n">
        <v>0</v>
      </c>
      <c r="I6139" s="18" t="n">
        <f aca="false">((I6138 + G6139) - H6139)</f>
        <v>174293.15</v>
      </c>
      <c r="J6139" s="18" t="n">
        <v>0</v>
      </c>
      <c r="K6139" s="19" t="n">
        <v>0</v>
      </c>
      <c r="L6139" s="17"/>
    </row>
    <row r="6140" s="11" customFormat="true" ht="10.95" hidden="false" customHeight="true" outlineLevel="0" collapsed="false">
      <c r="A6140" s="16" t="n">
        <v>45161</v>
      </c>
      <c r="B6140" s="17" t="s">
        <v>3369</v>
      </c>
      <c r="C6140" s="17" t="s">
        <v>3370</v>
      </c>
      <c r="D6140" s="17" t="s">
        <v>2895</v>
      </c>
      <c r="E6140" s="17" t="s">
        <v>3453</v>
      </c>
      <c r="F6140" s="17" t="s">
        <v>177</v>
      </c>
      <c r="G6140" s="18" t="n">
        <v>0</v>
      </c>
      <c r="H6140" s="18" t="n">
        <v>93.5</v>
      </c>
      <c r="I6140" s="18" t="n">
        <f aca="false">((I6139 + G6140) - H6140)</f>
        <v>174199.65</v>
      </c>
      <c r="J6140" s="18" t="n">
        <v>0</v>
      </c>
      <c r="K6140" s="19" t="n">
        <v>0</v>
      </c>
      <c r="L6140" s="17"/>
    </row>
    <row r="6141" s="11" customFormat="true" ht="10.95" hidden="false" customHeight="true" outlineLevel="0" collapsed="false">
      <c r="A6141" s="16" t="n">
        <v>45161</v>
      </c>
      <c r="B6141" s="17" t="s">
        <v>3369</v>
      </c>
      <c r="C6141" s="17" t="s">
        <v>3370</v>
      </c>
      <c r="D6141" s="17" t="s">
        <v>2895</v>
      </c>
      <c r="E6141" s="17" t="s">
        <v>2900</v>
      </c>
      <c r="F6141" s="17" t="s">
        <v>1084</v>
      </c>
      <c r="G6141" s="18" t="n">
        <v>0</v>
      </c>
      <c r="H6141" s="18" t="n">
        <v>265.23</v>
      </c>
      <c r="I6141" s="18" t="n">
        <f aca="false">((I6140 + G6141) - H6141)</f>
        <v>173934.42</v>
      </c>
      <c r="J6141" s="18" t="n">
        <v>0</v>
      </c>
      <c r="K6141" s="19" t="n">
        <v>0</v>
      </c>
      <c r="L6141" s="17"/>
    </row>
    <row r="6142" s="11" customFormat="true" ht="10.95" hidden="false" customHeight="true" outlineLevel="0" collapsed="false">
      <c r="A6142" s="16" t="n">
        <v>45161</v>
      </c>
      <c r="B6142" s="17" t="s">
        <v>3369</v>
      </c>
      <c r="C6142" s="17" t="s">
        <v>3370</v>
      </c>
      <c r="D6142" s="17" t="s">
        <v>19</v>
      </c>
      <c r="E6142" s="17" t="s">
        <v>3450</v>
      </c>
      <c r="F6142" s="17" t="s">
        <v>1124</v>
      </c>
      <c r="G6142" s="18" t="n">
        <v>1015.78</v>
      </c>
      <c r="H6142" s="18" t="n">
        <v>0</v>
      </c>
      <c r="I6142" s="18" t="n">
        <f aca="false">((I6141 + G6142) - H6142)</f>
        <v>174950.2</v>
      </c>
      <c r="J6142" s="18" t="n">
        <v>0</v>
      </c>
      <c r="K6142" s="19" t="n">
        <v>0</v>
      </c>
      <c r="L6142" s="17"/>
    </row>
    <row r="6143" s="11" customFormat="true" ht="10.95" hidden="false" customHeight="true" outlineLevel="0" collapsed="false">
      <c r="A6143" s="16" t="n">
        <v>45161</v>
      </c>
      <c r="B6143" s="17" t="s">
        <v>3369</v>
      </c>
      <c r="C6143" s="17" t="s">
        <v>3370</v>
      </c>
      <c r="D6143" s="17" t="s">
        <v>19</v>
      </c>
      <c r="E6143" s="17" t="s">
        <v>3447</v>
      </c>
      <c r="F6143" s="17" t="s">
        <v>227</v>
      </c>
      <c r="G6143" s="18" t="n">
        <v>103.4</v>
      </c>
      <c r="H6143" s="18" t="n">
        <v>0</v>
      </c>
      <c r="I6143" s="18" t="n">
        <f aca="false">((I6142 + G6143) - H6143)</f>
        <v>175053.6</v>
      </c>
      <c r="J6143" s="18" t="n">
        <v>0</v>
      </c>
      <c r="K6143" s="19" t="n">
        <v>0</v>
      </c>
      <c r="L6143" s="17"/>
    </row>
    <row r="6144" s="11" customFormat="true" ht="10.95" hidden="false" customHeight="true" outlineLevel="0" collapsed="false">
      <c r="A6144" s="16" t="n">
        <v>45162</v>
      </c>
      <c r="B6144" s="17" t="s">
        <v>3369</v>
      </c>
      <c r="C6144" s="17" t="s">
        <v>3370</v>
      </c>
      <c r="D6144" s="17" t="s">
        <v>2895</v>
      </c>
      <c r="E6144" s="17" t="s">
        <v>3384</v>
      </c>
      <c r="F6144" s="17" t="s">
        <v>802</v>
      </c>
      <c r="G6144" s="18" t="n">
        <v>0</v>
      </c>
      <c r="H6144" s="18" t="n">
        <v>786.5</v>
      </c>
      <c r="I6144" s="18" t="n">
        <f aca="false">((I6143 + G6144) - H6144)</f>
        <v>174267.1</v>
      </c>
      <c r="J6144" s="18" t="n">
        <v>0</v>
      </c>
      <c r="K6144" s="19" t="n">
        <v>0</v>
      </c>
      <c r="L6144" s="17"/>
    </row>
    <row r="6145" s="11" customFormat="true" ht="10.95" hidden="false" customHeight="true" outlineLevel="0" collapsed="false">
      <c r="A6145" s="16" t="n">
        <v>45162</v>
      </c>
      <c r="B6145" s="17" t="s">
        <v>3369</v>
      </c>
      <c r="C6145" s="17" t="s">
        <v>3370</v>
      </c>
      <c r="D6145" s="17" t="s">
        <v>2895</v>
      </c>
      <c r="E6145" s="17" t="s">
        <v>3384</v>
      </c>
      <c r="F6145" s="17" t="s">
        <v>799</v>
      </c>
      <c r="G6145" s="18" t="n">
        <v>0</v>
      </c>
      <c r="H6145" s="18" t="n">
        <v>2821.5</v>
      </c>
      <c r="I6145" s="18" t="n">
        <f aca="false">((I6144 + G6145) - H6145)</f>
        <v>171445.6</v>
      </c>
      <c r="J6145" s="18" t="n">
        <v>0</v>
      </c>
      <c r="K6145" s="19" t="n">
        <v>0</v>
      </c>
      <c r="L6145" s="17"/>
    </row>
    <row r="6146" s="11" customFormat="true" ht="10.95" hidden="false" customHeight="true" outlineLevel="0" collapsed="false">
      <c r="A6146" s="16" t="n">
        <v>45162</v>
      </c>
      <c r="B6146" s="17" t="s">
        <v>3369</v>
      </c>
      <c r="C6146" s="17" t="s">
        <v>3370</v>
      </c>
      <c r="D6146" s="17" t="s">
        <v>2895</v>
      </c>
      <c r="E6146" s="17" t="s">
        <v>3384</v>
      </c>
      <c r="F6146" s="17" t="s">
        <v>804</v>
      </c>
      <c r="G6146" s="18" t="n">
        <v>0</v>
      </c>
      <c r="H6146" s="18" t="n">
        <v>1672</v>
      </c>
      <c r="I6146" s="18" t="n">
        <f aca="false">((I6145 + G6146) - H6146)</f>
        <v>169773.6</v>
      </c>
      <c r="J6146" s="18" t="n">
        <v>0</v>
      </c>
      <c r="K6146" s="19" t="n">
        <v>0</v>
      </c>
      <c r="L6146" s="17"/>
    </row>
    <row r="6147" s="11" customFormat="true" ht="10.95" hidden="false" customHeight="true" outlineLevel="0" collapsed="false">
      <c r="A6147" s="16" t="n">
        <v>45162</v>
      </c>
      <c r="B6147" s="17" t="s">
        <v>3369</v>
      </c>
      <c r="C6147" s="17" t="s">
        <v>3370</v>
      </c>
      <c r="D6147" s="17" t="s">
        <v>2895</v>
      </c>
      <c r="E6147" s="17" t="s">
        <v>3384</v>
      </c>
      <c r="F6147" s="17" t="s">
        <v>800</v>
      </c>
      <c r="G6147" s="18" t="n">
        <v>0</v>
      </c>
      <c r="H6147" s="18" t="n">
        <v>2194.5</v>
      </c>
      <c r="I6147" s="18" t="n">
        <f aca="false">((I6146 + G6147) - H6147)</f>
        <v>167579.1</v>
      </c>
      <c r="J6147" s="18" t="n">
        <v>0</v>
      </c>
      <c r="K6147" s="19" t="n">
        <v>0</v>
      </c>
      <c r="L6147" s="17"/>
    </row>
    <row r="6148" s="11" customFormat="true" ht="10.95" hidden="false" customHeight="true" outlineLevel="0" collapsed="false">
      <c r="A6148" s="16" t="n">
        <v>45162</v>
      </c>
      <c r="B6148" s="17" t="s">
        <v>3369</v>
      </c>
      <c r="C6148" s="17" t="s">
        <v>3370</v>
      </c>
      <c r="D6148" s="17" t="s">
        <v>2895</v>
      </c>
      <c r="E6148" s="17" t="s">
        <v>3480</v>
      </c>
      <c r="F6148" s="17" t="s">
        <v>1082</v>
      </c>
      <c r="G6148" s="18" t="n">
        <v>0</v>
      </c>
      <c r="H6148" s="18" t="n">
        <v>180</v>
      </c>
      <c r="I6148" s="18" t="n">
        <f aca="false">((I6147 + G6148) - H6148)</f>
        <v>167399.1</v>
      </c>
      <c r="J6148" s="18" t="n">
        <v>0</v>
      </c>
      <c r="K6148" s="19" t="n">
        <v>0</v>
      </c>
      <c r="L6148" s="17"/>
    </row>
    <row r="6149" s="11" customFormat="true" ht="10.95" hidden="false" customHeight="true" outlineLevel="0" collapsed="false">
      <c r="A6149" s="16" t="n">
        <v>45166</v>
      </c>
      <c r="B6149" s="17" t="s">
        <v>3369</v>
      </c>
      <c r="C6149" s="17" t="s">
        <v>3370</v>
      </c>
      <c r="D6149" s="17" t="s">
        <v>162</v>
      </c>
      <c r="E6149" s="17" t="s">
        <v>3490</v>
      </c>
      <c r="F6149" s="17" t="s">
        <v>228</v>
      </c>
      <c r="G6149" s="18" t="n">
        <v>0</v>
      </c>
      <c r="H6149" s="18" t="n">
        <v>300.3</v>
      </c>
      <c r="I6149" s="18" t="n">
        <f aca="false">((I6148 + G6149) - H6149)</f>
        <v>167098.8</v>
      </c>
      <c r="J6149" s="18" t="n">
        <v>0</v>
      </c>
      <c r="K6149" s="19" t="n">
        <v>0</v>
      </c>
      <c r="L6149" s="17"/>
    </row>
    <row r="6150" s="11" customFormat="true" ht="10.95" hidden="false" customHeight="true" outlineLevel="0" collapsed="false">
      <c r="A6150" s="16" t="n">
        <v>45166</v>
      </c>
      <c r="B6150" s="17" t="s">
        <v>3369</v>
      </c>
      <c r="C6150" s="17" t="s">
        <v>3370</v>
      </c>
      <c r="D6150" s="17" t="s">
        <v>3477</v>
      </c>
      <c r="E6150" s="17" t="s">
        <v>3490</v>
      </c>
      <c r="F6150" s="17" t="s">
        <v>172</v>
      </c>
      <c r="G6150" s="18" t="n">
        <v>0</v>
      </c>
      <c r="H6150" s="18" t="n">
        <v>300.3</v>
      </c>
      <c r="I6150" s="18" t="n">
        <f aca="false">((I6149 + G6150) - H6150)</f>
        <v>166798.5</v>
      </c>
      <c r="J6150" s="18" t="n">
        <v>0</v>
      </c>
      <c r="K6150" s="19" t="n">
        <v>0</v>
      </c>
      <c r="L6150" s="17"/>
    </row>
    <row r="6151" s="11" customFormat="true" ht="10.95" hidden="false" customHeight="true" outlineLevel="0" collapsed="false">
      <c r="A6151" s="16" t="n">
        <v>45166</v>
      </c>
      <c r="B6151" s="17" t="s">
        <v>3369</v>
      </c>
      <c r="C6151" s="17" t="s">
        <v>3370</v>
      </c>
      <c r="D6151" s="17" t="s">
        <v>3477</v>
      </c>
      <c r="E6151" s="17" t="s">
        <v>3490</v>
      </c>
      <c r="F6151" s="17" t="s">
        <v>228</v>
      </c>
      <c r="G6151" s="18" t="n">
        <v>300.3</v>
      </c>
      <c r="H6151" s="18" t="n">
        <v>0</v>
      </c>
      <c r="I6151" s="18" t="n">
        <f aca="false">((I6150 + G6151) - H6151)</f>
        <v>167098.8</v>
      </c>
      <c r="J6151" s="18" t="n">
        <v>0</v>
      </c>
      <c r="K6151" s="19" t="n">
        <v>0</v>
      </c>
      <c r="L6151" s="17"/>
    </row>
    <row r="6152" s="11" customFormat="true" ht="10.95" hidden="false" customHeight="true" outlineLevel="0" collapsed="false">
      <c r="A6152" s="16" t="n">
        <v>45167</v>
      </c>
      <c r="B6152" s="17" t="s">
        <v>3369</v>
      </c>
      <c r="C6152" s="17" t="s">
        <v>3370</v>
      </c>
      <c r="D6152" s="17" t="s">
        <v>19</v>
      </c>
      <c r="E6152" s="17" t="s">
        <v>3495</v>
      </c>
      <c r="F6152" s="17" t="s">
        <v>1126</v>
      </c>
      <c r="G6152" s="18" t="n">
        <v>2325.26</v>
      </c>
      <c r="H6152" s="18" t="n">
        <v>0</v>
      </c>
      <c r="I6152" s="18" t="n">
        <f aca="false">((I6151 + G6152) - H6152)</f>
        <v>169424.06</v>
      </c>
      <c r="J6152" s="18" t="n">
        <v>0</v>
      </c>
      <c r="K6152" s="19" t="n">
        <v>0</v>
      </c>
      <c r="L6152" s="17"/>
    </row>
    <row r="6153" s="11" customFormat="true" ht="10.95" hidden="false" customHeight="true" outlineLevel="0" collapsed="false">
      <c r="A6153" s="16" t="n">
        <v>45167</v>
      </c>
      <c r="B6153" s="17" t="s">
        <v>3369</v>
      </c>
      <c r="C6153" s="17" t="s">
        <v>3370</v>
      </c>
      <c r="D6153" s="17" t="s">
        <v>2895</v>
      </c>
      <c r="E6153" s="17" t="s">
        <v>3375</v>
      </c>
      <c r="F6153" s="17" t="s">
        <v>219</v>
      </c>
      <c r="G6153" s="18" t="n">
        <v>0</v>
      </c>
      <c r="H6153" s="18" t="n">
        <v>480.7</v>
      </c>
      <c r="I6153" s="18" t="n">
        <f aca="false">((I6152 + G6153) - H6153)</f>
        <v>168943.36</v>
      </c>
      <c r="J6153" s="18" t="n">
        <v>0</v>
      </c>
      <c r="K6153" s="19" t="n">
        <v>0</v>
      </c>
      <c r="L6153" s="17"/>
    </row>
    <row r="6154" s="11" customFormat="true" ht="10.95" hidden="false" customHeight="true" outlineLevel="0" collapsed="false">
      <c r="A6154" s="16" t="n">
        <v>45167</v>
      </c>
      <c r="B6154" s="17" t="s">
        <v>3369</v>
      </c>
      <c r="C6154" s="17" t="s">
        <v>3370</v>
      </c>
      <c r="D6154" s="17" t="s">
        <v>2895</v>
      </c>
      <c r="E6154" s="17" t="s">
        <v>3375</v>
      </c>
      <c r="F6154" s="17" t="s">
        <v>115</v>
      </c>
      <c r="G6154" s="18" t="n">
        <v>0</v>
      </c>
      <c r="H6154" s="18" t="n">
        <v>280.5</v>
      </c>
      <c r="I6154" s="18" t="n">
        <f aca="false">((I6153 + G6154) - H6154)</f>
        <v>168662.86</v>
      </c>
      <c r="J6154" s="18" t="n">
        <v>0</v>
      </c>
      <c r="K6154" s="19" t="n">
        <v>0</v>
      </c>
      <c r="L6154" s="17"/>
    </row>
    <row r="6155" s="11" customFormat="true" ht="10.95" hidden="false" customHeight="true" outlineLevel="0" collapsed="false">
      <c r="A6155" s="16" t="n">
        <v>45167</v>
      </c>
      <c r="B6155" s="17" t="s">
        <v>3369</v>
      </c>
      <c r="C6155" s="17" t="s">
        <v>3370</v>
      </c>
      <c r="D6155" s="17" t="s">
        <v>2895</v>
      </c>
      <c r="E6155" s="17" t="s">
        <v>3375</v>
      </c>
      <c r="F6155" s="17" t="s">
        <v>111</v>
      </c>
      <c r="G6155" s="18" t="n">
        <v>0</v>
      </c>
      <c r="H6155" s="18" t="n">
        <v>480.7</v>
      </c>
      <c r="I6155" s="18" t="n">
        <f aca="false">((I6154 + G6155) - H6155)</f>
        <v>168182.16</v>
      </c>
      <c r="J6155" s="18" t="n">
        <v>0</v>
      </c>
      <c r="K6155" s="19" t="n">
        <v>0</v>
      </c>
      <c r="L6155" s="17"/>
    </row>
    <row r="6156" s="11" customFormat="true" ht="10.95" hidden="false" customHeight="true" outlineLevel="0" collapsed="false">
      <c r="A6156" s="16" t="n">
        <v>45167</v>
      </c>
      <c r="B6156" s="17" t="s">
        <v>3369</v>
      </c>
      <c r="C6156" s="17" t="s">
        <v>3370</v>
      </c>
      <c r="D6156" s="17" t="s">
        <v>2895</v>
      </c>
      <c r="E6156" s="17" t="s">
        <v>3375</v>
      </c>
      <c r="F6156" s="17" t="s">
        <v>220</v>
      </c>
      <c r="G6156" s="18" t="n">
        <v>0</v>
      </c>
      <c r="H6156" s="18" t="n">
        <v>280.5</v>
      </c>
      <c r="I6156" s="18" t="n">
        <f aca="false">((I6155 + G6156) - H6156)</f>
        <v>167901.66</v>
      </c>
      <c r="J6156" s="18" t="n">
        <v>0</v>
      </c>
      <c r="K6156" s="19" t="n">
        <v>0</v>
      </c>
      <c r="L6156" s="17"/>
    </row>
    <row r="6157" s="11" customFormat="true" ht="10.95" hidden="false" customHeight="true" outlineLevel="0" collapsed="false">
      <c r="A6157" s="16" t="n">
        <v>45167</v>
      </c>
      <c r="B6157" s="17" t="s">
        <v>3369</v>
      </c>
      <c r="C6157" s="17" t="s">
        <v>3370</v>
      </c>
      <c r="D6157" s="17" t="s">
        <v>2895</v>
      </c>
      <c r="E6157" s="17" t="s">
        <v>3378</v>
      </c>
      <c r="F6157" s="17" t="s">
        <v>173</v>
      </c>
      <c r="G6157" s="18" t="n">
        <v>0</v>
      </c>
      <c r="H6157" s="18" t="n">
        <v>413.6</v>
      </c>
      <c r="I6157" s="18" t="n">
        <f aca="false">((I6156 + G6157) - H6157)</f>
        <v>167488.06</v>
      </c>
      <c r="J6157" s="18" t="n">
        <v>0</v>
      </c>
      <c r="K6157" s="19" t="n">
        <v>0</v>
      </c>
      <c r="L6157" s="17"/>
    </row>
    <row r="6158" s="11" customFormat="true" ht="10.95" hidden="false" customHeight="true" outlineLevel="0" collapsed="false">
      <c r="A6158" s="16" t="n">
        <v>45168</v>
      </c>
      <c r="B6158" s="17" t="s">
        <v>3369</v>
      </c>
      <c r="C6158" s="17" t="s">
        <v>3370</v>
      </c>
      <c r="D6158" s="17" t="s">
        <v>2895</v>
      </c>
      <c r="E6158" s="17" t="s">
        <v>2937</v>
      </c>
      <c r="F6158" s="17" t="s">
        <v>965</v>
      </c>
      <c r="G6158" s="18" t="n">
        <v>0</v>
      </c>
      <c r="H6158" s="18" t="n">
        <v>531.82</v>
      </c>
      <c r="I6158" s="18" t="n">
        <f aca="false">((I6157 + G6158) - H6158)</f>
        <v>166956.24</v>
      </c>
      <c r="J6158" s="18" t="n">
        <v>0</v>
      </c>
      <c r="K6158" s="19" t="n">
        <v>0</v>
      </c>
      <c r="L6158" s="17"/>
    </row>
    <row r="6159" s="11" customFormat="true" ht="10.95" hidden="false" customHeight="true" outlineLevel="0" collapsed="false">
      <c r="A6159" s="16" t="n">
        <v>45168</v>
      </c>
      <c r="B6159" s="17" t="s">
        <v>3369</v>
      </c>
      <c r="C6159" s="17" t="s">
        <v>3370</v>
      </c>
      <c r="D6159" s="17" t="s">
        <v>2895</v>
      </c>
      <c r="E6159" s="17" t="s">
        <v>2937</v>
      </c>
      <c r="F6159" s="17" t="s">
        <v>966</v>
      </c>
      <c r="G6159" s="18" t="n">
        <v>0</v>
      </c>
      <c r="H6159" s="18" t="n">
        <v>354.54</v>
      </c>
      <c r="I6159" s="18" t="n">
        <f aca="false">((I6158 + G6159) - H6159)</f>
        <v>166601.7</v>
      </c>
      <c r="J6159" s="18" t="n">
        <v>0</v>
      </c>
      <c r="K6159" s="19" t="n">
        <v>0</v>
      </c>
      <c r="L6159" s="17"/>
    </row>
    <row r="6160" s="11" customFormat="true" ht="10.95" hidden="false" customHeight="true" outlineLevel="0" collapsed="false">
      <c r="A6160" s="16" t="n">
        <v>45168</v>
      </c>
      <c r="B6160" s="17" t="s">
        <v>3369</v>
      </c>
      <c r="C6160" s="17" t="s">
        <v>3370</v>
      </c>
      <c r="D6160" s="17" t="s">
        <v>2895</v>
      </c>
      <c r="E6160" s="17" t="s">
        <v>3472</v>
      </c>
      <c r="F6160" s="17" t="s">
        <v>117</v>
      </c>
      <c r="G6160" s="18" t="n">
        <v>0</v>
      </c>
      <c r="H6160" s="18" t="n">
        <v>1278.2</v>
      </c>
      <c r="I6160" s="18" t="n">
        <f aca="false">((I6159 + G6160) - H6160)</f>
        <v>165323.5</v>
      </c>
      <c r="J6160" s="18" t="n">
        <v>0</v>
      </c>
      <c r="K6160" s="19" t="n">
        <v>0</v>
      </c>
      <c r="L6160" s="17"/>
    </row>
    <row r="6161" s="11" customFormat="true" ht="10.95" hidden="false" customHeight="true" outlineLevel="0" collapsed="false">
      <c r="A6161" s="16" t="n">
        <v>45169</v>
      </c>
      <c r="B6161" s="17" t="s">
        <v>3369</v>
      </c>
      <c r="C6161" s="17" t="s">
        <v>3370</v>
      </c>
      <c r="D6161" s="17" t="s">
        <v>2895</v>
      </c>
      <c r="E6161" s="17" t="s">
        <v>3496</v>
      </c>
      <c r="F6161" s="17" t="s">
        <v>179</v>
      </c>
      <c r="G6161" s="18" t="n">
        <v>0</v>
      </c>
      <c r="H6161" s="18" t="n">
        <v>5228.3</v>
      </c>
      <c r="I6161" s="18" t="n">
        <f aca="false">((I6160 + G6161) - H6161)</f>
        <v>160095.2</v>
      </c>
      <c r="J6161" s="18" t="n">
        <v>0</v>
      </c>
      <c r="K6161" s="19" t="n">
        <v>0</v>
      </c>
      <c r="L6161" s="17"/>
    </row>
    <row r="6162" s="11" customFormat="true" ht="10.95" hidden="false" customHeight="true" outlineLevel="0" collapsed="false">
      <c r="A6162" s="16" t="n">
        <v>45169</v>
      </c>
      <c r="B6162" s="17" t="s">
        <v>3369</v>
      </c>
      <c r="C6162" s="17" t="s">
        <v>3370</v>
      </c>
      <c r="D6162" s="17" t="s">
        <v>2895</v>
      </c>
      <c r="E6162" s="17" t="s">
        <v>3497</v>
      </c>
      <c r="F6162" s="17" t="s">
        <v>202</v>
      </c>
      <c r="G6162" s="18" t="n">
        <v>0</v>
      </c>
      <c r="H6162" s="18" t="n">
        <v>1784.2</v>
      </c>
      <c r="I6162" s="18" t="n">
        <f aca="false">((I6161 + G6162) - H6162)</f>
        <v>158311</v>
      </c>
      <c r="J6162" s="18" t="n">
        <v>0</v>
      </c>
      <c r="K6162" s="19" t="n">
        <v>0</v>
      </c>
      <c r="L6162" s="17"/>
    </row>
    <row r="6163" s="11" customFormat="true" ht="10.95" hidden="false" customHeight="true" outlineLevel="0" collapsed="false">
      <c r="A6163" s="16" t="n">
        <v>45169</v>
      </c>
      <c r="B6163" s="17" t="s">
        <v>3369</v>
      </c>
      <c r="C6163" s="17" t="s">
        <v>3370</v>
      </c>
      <c r="D6163" s="17" t="s">
        <v>2895</v>
      </c>
      <c r="E6163" s="17" t="s">
        <v>3465</v>
      </c>
      <c r="F6163" s="17" t="s">
        <v>185</v>
      </c>
      <c r="G6163" s="18" t="n">
        <v>0</v>
      </c>
      <c r="H6163" s="18" t="n">
        <v>1094.5</v>
      </c>
      <c r="I6163" s="18" t="n">
        <f aca="false">((I6162 + G6163) - H6163)</f>
        <v>157216.5</v>
      </c>
      <c r="J6163" s="18" t="n">
        <v>0</v>
      </c>
      <c r="K6163" s="19" t="n">
        <v>0</v>
      </c>
      <c r="L6163" s="17"/>
    </row>
    <row r="6164" s="11" customFormat="true" ht="10.95" hidden="false" customHeight="true" outlineLevel="0" collapsed="false">
      <c r="A6164" s="16" t="n">
        <v>45169</v>
      </c>
      <c r="B6164" s="17" t="s">
        <v>3369</v>
      </c>
      <c r="C6164" s="17" t="s">
        <v>3370</v>
      </c>
      <c r="D6164" s="17" t="s">
        <v>2895</v>
      </c>
      <c r="E6164" s="17" t="s">
        <v>3466</v>
      </c>
      <c r="F6164" s="17" t="s">
        <v>188</v>
      </c>
      <c r="G6164" s="18" t="n">
        <v>0</v>
      </c>
      <c r="H6164" s="18" t="n">
        <v>416</v>
      </c>
      <c r="I6164" s="18" t="n">
        <f aca="false">((I6163 + G6164) - H6164)</f>
        <v>156800.5</v>
      </c>
      <c r="J6164" s="18" t="n">
        <v>0</v>
      </c>
      <c r="K6164" s="19" t="n">
        <v>0</v>
      </c>
      <c r="L6164" s="17"/>
    </row>
    <row r="6165" s="11" customFormat="true" ht="10.95" hidden="false" customHeight="true" outlineLevel="0" collapsed="false">
      <c r="A6165" s="16" t="n">
        <v>45169</v>
      </c>
      <c r="B6165" s="17" t="s">
        <v>3369</v>
      </c>
      <c r="C6165" s="17" t="s">
        <v>3370</v>
      </c>
      <c r="D6165" s="17" t="s">
        <v>2895</v>
      </c>
      <c r="E6165" s="17" t="s">
        <v>2900</v>
      </c>
      <c r="F6165" s="17" t="s">
        <v>1120</v>
      </c>
      <c r="G6165" s="18" t="n">
        <v>0</v>
      </c>
      <c r="H6165" s="18" t="n">
        <v>1751.14</v>
      </c>
      <c r="I6165" s="18" t="n">
        <f aca="false">((I6164 + G6165) - H6165)</f>
        <v>155049.36</v>
      </c>
      <c r="J6165" s="18" t="n">
        <v>0</v>
      </c>
      <c r="K6165" s="19" t="n">
        <v>0</v>
      </c>
      <c r="L6165" s="17"/>
    </row>
    <row r="6166" s="11" customFormat="true" ht="10.95" hidden="false" customHeight="true" outlineLevel="0" collapsed="false">
      <c r="A6166" s="16" t="n">
        <v>45169</v>
      </c>
      <c r="B6166" s="17" t="s">
        <v>3369</v>
      </c>
      <c r="C6166" s="17" t="s">
        <v>3370</v>
      </c>
      <c r="D6166" s="17" t="s">
        <v>2895</v>
      </c>
      <c r="E6166" s="17" t="s">
        <v>2900</v>
      </c>
      <c r="F6166" s="17" t="s">
        <v>1099</v>
      </c>
      <c r="G6166" s="18" t="n">
        <v>0</v>
      </c>
      <c r="H6166" s="18" t="n">
        <v>132.61</v>
      </c>
      <c r="I6166" s="18" t="n">
        <f aca="false">((I6165 + G6166) - H6166)</f>
        <v>154916.75</v>
      </c>
      <c r="J6166" s="18" t="n">
        <v>0</v>
      </c>
      <c r="K6166" s="19" t="n">
        <v>0</v>
      </c>
      <c r="L6166" s="17"/>
    </row>
    <row r="6167" s="11" customFormat="true" ht="10.95" hidden="false" customHeight="true" outlineLevel="0" collapsed="false">
      <c r="A6167" s="16" t="n">
        <v>45169</v>
      </c>
      <c r="B6167" s="17" t="s">
        <v>3369</v>
      </c>
      <c r="C6167" s="17" t="s">
        <v>3370</v>
      </c>
      <c r="D6167" s="17" t="s">
        <v>2895</v>
      </c>
      <c r="E6167" s="17" t="s">
        <v>2900</v>
      </c>
      <c r="F6167" s="17" t="s">
        <v>1100</v>
      </c>
      <c r="G6167" s="18" t="n">
        <v>0</v>
      </c>
      <c r="H6167" s="18" t="n">
        <v>1010.01</v>
      </c>
      <c r="I6167" s="18" t="n">
        <f aca="false">((I6166 + G6167) - H6167)</f>
        <v>153906.74</v>
      </c>
      <c r="J6167" s="18" t="n">
        <v>0</v>
      </c>
      <c r="K6167" s="19" t="n">
        <v>0</v>
      </c>
      <c r="L6167" s="17"/>
    </row>
    <row r="6168" s="11" customFormat="true" ht="10.95" hidden="false" customHeight="true" outlineLevel="0" collapsed="false">
      <c r="A6168" s="16" t="n">
        <v>45169</v>
      </c>
      <c r="B6168" s="17" t="s">
        <v>3369</v>
      </c>
      <c r="C6168" s="17" t="s">
        <v>3370</v>
      </c>
      <c r="D6168" s="17" t="s">
        <v>2895</v>
      </c>
      <c r="E6168" s="17" t="s">
        <v>2900</v>
      </c>
      <c r="F6168" s="17" t="s">
        <v>1121</v>
      </c>
      <c r="G6168" s="18" t="n">
        <v>0</v>
      </c>
      <c r="H6168" s="18" t="n">
        <v>1006.93</v>
      </c>
      <c r="I6168" s="18" t="n">
        <f aca="false">((I6167 + G6168) - H6168)</f>
        <v>152899.81</v>
      </c>
      <c r="J6168" s="18" t="n">
        <v>0</v>
      </c>
      <c r="K6168" s="19" t="n">
        <v>0</v>
      </c>
      <c r="L6168" s="17"/>
    </row>
    <row r="6169" s="11" customFormat="true" ht="10.95" hidden="false" customHeight="true" outlineLevel="0" collapsed="false">
      <c r="A6169" s="16" t="n">
        <v>45170</v>
      </c>
      <c r="B6169" s="17" t="s">
        <v>3369</v>
      </c>
      <c r="C6169" s="17" t="s">
        <v>3370</v>
      </c>
      <c r="D6169" s="17" t="s">
        <v>2895</v>
      </c>
      <c r="E6169" s="17" t="s">
        <v>2896</v>
      </c>
      <c r="F6169" s="17" t="s">
        <v>808</v>
      </c>
      <c r="G6169" s="18" t="n">
        <v>0</v>
      </c>
      <c r="H6169" s="18" t="n">
        <v>91.72</v>
      </c>
      <c r="I6169" s="18" t="n">
        <f aca="false">((I6168 + G6169) - H6169)</f>
        <v>152808.09</v>
      </c>
      <c r="J6169" s="18" t="n">
        <v>0</v>
      </c>
      <c r="K6169" s="19" t="n">
        <v>0</v>
      </c>
      <c r="L6169" s="17"/>
    </row>
    <row r="6170" s="11" customFormat="true" ht="10.95" hidden="false" customHeight="true" outlineLevel="0" collapsed="false">
      <c r="A6170" s="16" t="n">
        <v>45170</v>
      </c>
      <c r="B6170" s="17" t="s">
        <v>3369</v>
      </c>
      <c r="C6170" s="17" t="s">
        <v>3370</v>
      </c>
      <c r="D6170" s="17" t="s">
        <v>2895</v>
      </c>
      <c r="E6170" s="17" t="s">
        <v>3382</v>
      </c>
      <c r="F6170" s="17" t="s">
        <v>120</v>
      </c>
      <c r="G6170" s="18" t="n">
        <v>0</v>
      </c>
      <c r="H6170" s="18" t="n">
        <v>18256.15</v>
      </c>
      <c r="I6170" s="18" t="n">
        <f aca="false">((I6169 + G6170) - H6170)</f>
        <v>134551.94</v>
      </c>
      <c r="J6170" s="18" t="n">
        <v>0</v>
      </c>
      <c r="K6170" s="19" t="n">
        <v>0</v>
      </c>
      <c r="L6170" s="17"/>
    </row>
    <row r="6171" s="11" customFormat="true" ht="10.95" hidden="false" customHeight="true" outlineLevel="0" collapsed="false">
      <c r="A6171" s="16" t="n">
        <v>45170</v>
      </c>
      <c r="B6171" s="17" t="s">
        <v>3369</v>
      </c>
      <c r="C6171" s="17" t="s">
        <v>3370</v>
      </c>
      <c r="D6171" s="17" t="s">
        <v>2895</v>
      </c>
      <c r="E6171" s="17" t="s">
        <v>3482</v>
      </c>
      <c r="F6171" s="17" t="s">
        <v>204</v>
      </c>
      <c r="G6171" s="18" t="n">
        <v>0</v>
      </c>
      <c r="H6171" s="18" t="n">
        <v>1654.4</v>
      </c>
      <c r="I6171" s="18" t="n">
        <f aca="false">((I6170 + G6171) - H6171)</f>
        <v>132897.54</v>
      </c>
      <c r="J6171" s="18" t="n">
        <v>0</v>
      </c>
      <c r="K6171" s="19" t="n">
        <v>0</v>
      </c>
      <c r="L6171" s="17"/>
    </row>
    <row r="6172" s="11" customFormat="true" ht="10.95" hidden="false" customHeight="true" outlineLevel="0" collapsed="false">
      <c r="A6172" s="16" t="n">
        <v>45170</v>
      </c>
      <c r="B6172" s="17" t="s">
        <v>3369</v>
      </c>
      <c r="C6172" s="17" t="s">
        <v>3370</v>
      </c>
      <c r="D6172" s="17" t="s">
        <v>2895</v>
      </c>
      <c r="E6172" s="17" t="s">
        <v>3410</v>
      </c>
      <c r="F6172" s="17" t="s">
        <v>200</v>
      </c>
      <c r="G6172" s="18" t="n">
        <v>0</v>
      </c>
      <c r="H6172" s="18" t="n">
        <v>968</v>
      </c>
      <c r="I6172" s="18" t="n">
        <f aca="false">((I6171 + G6172) - H6172)</f>
        <v>131929.54</v>
      </c>
      <c r="J6172" s="18" t="n">
        <v>0</v>
      </c>
      <c r="K6172" s="19" t="n">
        <v>0</v>
      </c>
      <c r="L6172" s="17"/>
    </row>
    <row r="6173" s="11" customFormat="true" ht="10.95" hidden="false" customHeight="true" outlineLevel="0" collapsed="false">
      <c r="A6173" s="16" t="n">
        <v>45170</v>
      </c>
      <c r="B6173" s="17" t="s">
        <v>3369</v>
      </c>
      <c r="C6173" s="17" t="s">
        <v>3370</v>
      </c>
      <c r="D6173" s="17" t="s">
        <v>2895</v>
      </c>
      <c r="E6173" s="17" t="s">
        <v>3474</v>
      </c>
      <c r="F6173" s="17" t="s">
        <v>184</v>
      </c>
      <c r="G6173" s="18" t="n">
        <v>0</v>
      </c>
      <c r="H6173" s="18" t="n">
        <v>357.5</v>
      </c>
      <c r="I6173" s="18" t="n">
        <f aca="false">((I6172 + G6173) - H6173)</f>
        <v>131572.04</v>
      </c>
      <c r="J6173" s="18" t="n">
        <v>0</v>
      </c>
      <c r="K6173" s="19" t="n">
        <v>0</v>
      </c>
      <c r="L6173" s="17"/>
    </row>
    <row r="6174" s="11" customFormat="true" ht="10.95" hidden="false" customHeight="true" outlineLevel="0" collapsed="false">
      <c r="A6174" s="16" t="n">
        <v>45170</v>
      </c>
      <c r="B6174" s="17" t="s">
        <v>3369</v>
      </c>
      <c r="C6174" s="17" t="s">
        <v>3370</v>
      </c>
      <c r="D6174" s="17" t="s">
        <v>2895</v>
      </c>
      <c r="E6174" s="17" t="s">
        <v>3373</v>
      </c>
      <c r="F6174" s="17" t="s">
        <v>24</v>
      </c>
      <c r="G6174" s="18" t="n">
        <v>0</v>
      </c>
      <c r="H6174" s="18" t="n">
        <v>1386</v>
      </c>
      <c r="I6174" s="18" t="n">
        <f aca="false">((I6173 + G6174) - H6174)</f>
        <v>130186.04</v>
      </c>
      <c r="J6174" s="18" t="n">
        <v>0</v>
      </c>
      <c r="K6174" s="19" t="n">
        <v>0</v>
      </c>
      <c r="L6174" s="17"/>
    </row>
    <row r="6175" s="11" customFormat="true" ht="10.95" hidden="false" customHeight="true" outlineLevel="0" collapsed="false">
      <c r="A6175" s="16" t="n">
        <v>45171</v>
      </c>
      <c r="B6175" s="17" t="s">
        <v>3369</v>
      </c>
      <c r="C6175" s="17" t="s">
        <v>3370</v>
      </c>
      <c r="D6175" s="17" t="s">
        <v>2895</v>
      </c>
      <c r="E6175" s="17" t="s">
        <v>2897</v>
      </c>
      <c r="F6175" s="17" t="s">
        <v>818</v>
      </c>
      <c r="G6175" s="18" t="n">
        <v>0</v>
      </c>
      <c r="H6175" s="18" t="n">
        <v>611.67</v>
      </c>
      <c r="I6175" s="18" t="n">
        <f aca="false">((I6174 + G6175) - H6175)</f>
        <v>129574.37</v>
      </c>
      <c r="J6175" s="18" t="n">
        <v>0</v>
      </c>
      <c r="K6175" s="19" t="n">
        <v>0</v>
      </c>
      <c r="L6175" s="17"/>
    </row>
    <row r="6176" s="11" customFormat="true" ht="10.95" hidden="false" customHeight="true" outlineLevel="0" collapsed="false">
      <c r="A6176" s="16" t="n">
        <v>45173</v>
      </c>
      <c r="B6176" s="17" t="s">
        <v>3369</v>
      </c>
      <c r="C6176" s="17" t="s">
        <v>3370</v>
      </c>
      <c r="D6176" s="17" t="s">
        <v>2895</v>
      </c>
      <c r="E6176" s="17" t="s">
        <v>3460</v>
      </c>
      <c r="F6176" s="17" t="s">
        <v>186</v>
      </c>
      <c r="G6176" s="18" t="n">
        <v>0</v>
      </c>
      <c r="H6176" s="18" t="n">
        <v>4207.5</v>
      </c>
      <c r="I6176" s="18" t="n">
        <f aca="false">((I6175 + G6176) - H6176)</f>
        <v>125366.87</v>
      </c>
      <c r="J6176" s="18" t="n">
        <v>0</v>
      </c>
      <c r="K6176" s="19" t="n">
        <v>0</v>
      </c>
      <c r="L6176" s="17"/>
    </row>
    <row r="6177" s="11" customFormat="true" ht="10.95" hidden="false" customHeight="true" outlineLevel="0" collapsed="false">
      <c r="A6177" s="16" t="n">
        <v>45173</v>
      </c>
      <c r="B6177" s="17" t="s">
        <v>3369</v>
      </c>
      <c r="C6177" s="17" t="s">
        <v>3370</v>
      </c>
      <c r="D6177" s="17" t="s">
        <v>2895</v>
      </c>
      <c r="E6177" s="17" t="s">
        <v>3460</v>
      </c>
      <c r="F6177" s="17" t="s">
        <v>187</v>
      </c>
      <c r="G6177" s="18" t="n">
        <v>0</v>
      </c>
      <c r="H6177" s="18" t="n">
        <v>4182.2</v>
      </c>
      <c r="I6177" s="18" t="n">
        <f aca="false">((I6176 + G6177) - H6177)</f>
        <v>121184.67</v>
      </c>
      <c r="J6177" s="18" t="n">
        <v>0</v>
      </c>
      <c r="K6177" s="19" t="n">
        <v>0</v>
      </c>
      <c r="L6177" s="17"/>
    </row>
    <row r="6178" s="11" customFormat="true" ht="10.95" hidden="false" customHeight="true" outlineLevel="0" collapsed="false">
      <c r="A6178" s="16" t="n">
        <v>45173</v>
      </c>
      <c r="B6178" s="17" t="s">
        <v>3369</v>
      </c>
      <c r="C6178" s="17" t="s">
        <v>3370</v>
      </c>
      <c r="D6178" s="17" t="s">
        <v>2895</v>
      </c>
      <c r="E6178" s="17" t="s">
        <v>2898</v>
      </c>
      <c r="F6178" s="17" t="s">
        <v>1103</v>
      </c>
      <c r="G6178" s="18" t="n">
        <v>0</v>
      </c>
      <c r="H6178" s="18" t="n">
        <v>767.43</v>
      </c>
      <c r="I6178" s="18" t="n">
        <f aca="false">((I6177 + G6178) - H6178)</f>
        <v>120417.24</v>
      </c>
      <c r="J6178" s="18" t="n">
        <v>0</v>
      </c>
      <c r="K6178" s="19" t="n">
        <v>0</v>
      </c>
      <c r="L6178" s="17"/>
    </row>
    <row r="6179" s="11" customFormat="true" ht="10.95" hidden="false" customHeight="true" outlineLevel="0" collapsed="false">
      <c r="A6179" s="16" t="n">
        <v>45174</v>
      </c>
      <c r="B6179" s="17" t="s">
        <v>3369</v>
      </c>
      <c r="C6179" s="17" t="s">
        <v>3370</v>
      </c>
      <c r="D6179" s="17" t="s">
        <v>2895</v>
      </c>
      <c r="E6179" s="17" t="s">
        <v>3467</v>
      </c>
      <c r="F6179" s="17" t="s">
        <v>176</v>
      </c>
      <c r="G6179" s="18" t="n">
        <v>0</v>
      </c>
      <c r="H6179" s="18" t="n">
        <v>919.6</v>
      </c>
      <c r="I6179" s="18" t="n">
        <f aca="false">((I6178 + G6179) - H6179)</f>
        <v>119497.64</v>
      </c>
      <c r="J6179" s="18" t="n">
        <v>0</v>
      </c>
      <c r="K6179" s="19" t="n">
        <v>0</v>
      </c>
      <c r="L6179" s="17"/>
    </row>
    <row r="6180" s="11" customFormat="true" ht="10.95" hidden="false" customHeight="true" outlineLevel="0" collapsed="false">
      <c r="A6180" s="16" t="n">
        <v>45175</v>
      </c>
      <c r="B6180" s="17" t="s">
        <v>3369</v>
      </c>
      <c r="C6180" s="17" t="s">
        <v>3370</v>
      </c>
      <c r="D6180" s="17" t="s">
        <v>2895</v>
      </c>
      <c r="E6180" s="17" t="s">
        <v>3389</v>
      </c>
      <c r="F6180" s="17" t="s">
        <v>198</v>
      </c>
      <c r="G6180" s="18" t="n">
        <v>0</v>
      </c>
      <c r="H6180" s="18" t="n">
        <v>5599</v>
      </c>
      <c r="I6180" s="18" t="n">
        <f aca="false">((I6179 + G6180) - H6180)</f>
        <v>113898.64</v>
      </c>
      <c r="J6180" s="18" t="n">
        <v>0</v>
      </c>
      <c r="K6180" s="19" t="n">
        <v>0</v>
      </c>
      <c r="L6180" s="17"/>
    </row>
    <row r="6181" s="11" customFormat="true" ht="10.95" hidden="false" customHeight="true" outlineLevel="0" collapsed="false">
      <c r="A6181" s="16" t="n">
        <v>45175</v>
      </c>
      <c r="B6181" s="17" t="s">
        <v>3369</v>
      </c>
      <c r="C6181" s="17" t="s">
        <v>3370</v>
      </c>
      <c r="D6181" s="17" t="s">
        <v>2895</v>
      </c>
      <c r="E6181" s="17" t="s">
        <v>3401</v>
      </c>
      <c r="F6181" s="17" t="s">
        <v>175</v>
      </c>
      <c r="G6181" s="18" t="n">
        <v>0</v>
      </c>
      <c r="H6181" s="18" t="n">
        <v>561</v>
      </c>
      <c r="I6181" s="18" t="n">
        <f aca="false">((I6180 + G6181) - H6181)</f>
        <v>113337.64</v>
      </c>
      <c r="J6181" s="18" t="n">
        <v>0</v>
      </c>
      <c r="K6181" s="19" t="n">
        <v>0</v>
      </c>
      <c r="L6181" s="17"/>
    </row>
    <row r="6182" s="11" customFormat="true" ht="10.95" hidden="false" customHeight="true" outlineLevel="0" collapsed="false">
      <c r="A6182" s="16" t="n">
        <v>45176</v>
      </c>
      <c r="B6182" s="17" t="s">
        <v>3369</v>
      </c>
      <c r="C6182" s="17" t="s">
        <v>3370</v>
      </c>
      <c r="D6182" s="17" t="s">
        <v>2895</v>
      </c>
      <c r="E6182" s="17" t="s">
        <v>2922</v>
      </c>
      <c r="F6182" s="17" t="s">
        <v>956</v>
      </c>
      <c r="G6182" s="18" t="n">
        <v>0</v>
      </c>
      <c r="H6182" s="18" t="n">
        <v>7203.8</v>
      </c>
      <c r="I6182" s="18" t="n">
        <f aca="false">((I6181 + G6182) - H6182)</f>
        <v>106133.84</v>
      </c>
      <c r="J6182" s="18" t="n">
        <v>0</v>
      </c>
      <c r="K6182" s="19" t="n">
        <v>0</v>
      </c>
      <c r="L6182" s="17"/>
    </row>
    <row r="6183" s="11" customFormat="true" ht="10.95" hidden="false" customHeight="true" outlineLevel="0" collapsed="false">
      <c r="A6183" s="16" t="n">
        <v>45176</v>
      </c>
      <c r="B6183" s="17" t="s">
        <v>3369</v>
      </c>
      <c r="C6183" s="17" t="s">
        <v>3370</v>
      </c>
      <c r="D6183" s="17" t="s">
        <v>2895</v>
      </c>
      <c r="E6183" s="17" t="s">
        <v>2922</v>
      </c>
      <c r="F6183" s="17" t="s">
        <v>963</v>
      </c>
      <c r="G6183" s="18" t="n">
        <v>0</v>
      </c>
      <c r="H6183" s="18" t="n">
        <v>7539.13</v>
      </c>
      <c r="I6183" s="18" t="n">
        <f aca="false">((I6182 + G6183) - H6183)</f>
        <v>98594.7099999999</v>
      </c>
      <c r="J6183" s="18" t="n">
        <v>0</v>
      </c>
      <c r="K6183" s="19" t="n">
        <v>0</v>
      </c>
      <c r="L6183" s="17"/>
    </row>
    <row r="6184" s="11" customFormat="true" ht="10.95" hidden="false" customHeight="true" outlineLevel="0" collapsed="false">
      <c r="A6184" s="16" t="n">
        <v>45176</v>
      </c>
      <c r="B6184" s="17" t="s">
        <v>3369</v>
      </c>
      <c r="C6184" s="17" t="s">
        <v>3370</v>
      </c>
      <c r="D6184" s="17" t="s">
        <v>2895</v>
      </c>
      <c r="E6184" s="17" t="s">
        <v>2906</v>
      </c>
      <c r="F6184" s="17" t="s">
        <v>1104</v>
      </c>
      <c r="G6184" s="18" t="n">
        <v>0</v>
      </c>
      <c r="H6184" s="18" t="n">
        <v>3106.71</v>
      </c>
      <c r="I6184" s="18" t="n">
        <f aca="false">((I6183 + G6184) - H6184)</f>
        <v>95487.9999999999</v>
      </c>
      <c r="J6184" s="18" t="n">
        <v>0</v>
      </c>
      <c r="K6184" s="19" t="n">
        <v>0</v>
      </c>
      <c r="L6184" s="17"/>
    </row>
    <row r="6185" s="11" customFormat="true" ht="10.95" hidden="false" customHeight="true" outlineLevel="0" collapsed="false">
      <c r="A6185" s="16" t="n">
        <v>45176</v>
      </c>
      <c r="B6185" s="17" t="s">
        <v>3369</v>
      </c>
      <c r="C6185" s="17" t="s">
        <v>3370</v>
      </c>
      <c r="D6185" s="17" t="s">
        <v>2895</v>
      </c>
      <c r="E6185" s="17" t="s">
        <v>3456</v>
      </c>
      <c r="F6185" s="17" t="s">
        <v>191</v>
      </c>
      <c r="G6185" s="18" t="n">
        <v>0</v>
      </c>
      <c r="H6185" s="18" t="n">
        <v>2244</v>
      </c>
      <c r="I6185" s="18" t="n">
        <f aca="false">((I6184 + G6185) - H6185)</f>
        <v>93243.9999999999</v>
      </c>
      <c r="J6185" s="18" t="n">
        <v>0</v>
      </c>
      <c r="K6185" s="19" t="n">
        <v>0</v>
      </c>
      <c r="L6185" s="17"/>
    </row>
    <row r="6186" s="11" customFormat="true" ht="10.95" hidden="false" customHeight="true" outlineLevel="0" collapsed="false">
      <c r="A6186" s="16" t="n">
        <v>45177</v>
      </c>
      <c r="B6186" s="17" t="s">
        <v>3369</v>
      </c>
      <c r="C6186" s="17" t="s">
        <v>3370</v>
      </c>
      <c r="D6186" s="17" t="s">
        <v>2895</v>
      </c>
      <c r="E6186" s="17" t="s">
        <v>3457</v>
      </c>
      <c r="F6186" s="17" t="s">
        <v>60</v>
      </c>
      <c r="G6186" s="18" t="n">
        <v>0</v>
      </c>
      <c r="H6186" s="18" t="n">
        <v>9394</v>
      </c>
      <c r="I6186" s="18" t="n">
        <f aca="false">((I6185 + G6186) - H6186)</f>
        <v>83849.9999999999</v>
      </c>
      <c r="J6186" s="18" t="n">
        <v>0</v>
      </c>
      <c r="K6186" s="19" t="n">
        <v>0</v>
      </c>
      <c r="L6186" s="17"/>
    </row>
    <row r="6187" s="11" customFormat="true" ht="10.95" hidden="false" customHeight="true" outlineLevel="0" collapsed="false">
      <c r="A6187" s="16" t="n">
        <v>45177</v>
      </c>
      <c r="B6187" s="17" t="s">
        <v>3369</v>
      </c>
      <c r="C6187" s="17" t="s">
        <v>3370</v>
      </c>
      <c r="D6187" s="17" t="s">
        <v>2895</v>
      </c>
      <c r="E6187" s="17" t="s">
        <v>3391</v>
      </c>
      <c r="F6187" s="17" t="s">
        <v>194</v>
      </c>
      <c r="G6187" s="18" t="n">
        <v>0</v>
      </c>
      <c r="H6187" s="18" t="n">
        <v>2077.76</v>
      </c>
      <c r="I6187" s="18" t="n">
        <f aca="false">((I6186 + G6187) - H6187)</f>
        <v>81772.2399999999</v>
      </c>
      <c r="J6187" s="18" t="n">
        <v>0</v>
      </c>
      <c r="K6187" s="19" t="n">
        <v>0</v>
      </c>
      <c r="L6187" s="17"/>
    </row>
    <row r="6188" s="11" customFormat="true" ht="10.95" hidden="false" customHeight="true" outlineLevel="0" collapsed="false">
      <c r="A6188" s="16" t="n">
        <v>45180</v>
      </c>
      <c r="B6188" s="17" t="s">
        <v>3369</v>
      </c>
      <c r="C6188" s="17" t="s">
        <v>3370</v>
      </c>
      <c r="D6188" s="17" t="s">
        <v>2895</v>
      </c>
      <c r="E6188" s="17" t="s">
        <v>2947</v>
      </c>
      <c r="F6188" s="17" t="s">
        <v>959</v>
      </c>
      <c r="G6188" s="18" t="n">
        <v>0</v>
      </c>
      <c r="H6188" s="18" t="n">
        <v>7446.23</v>
      </c>
      <c r="I6188" s="18" t="n">
        <f aca="false">((I6187 + G6188) - H6188)</f>
        <v>74326.0099999999</v>
      </c>
      <c r="J6188" s="18" t="n">
        <v>0</v>
      </c>
      <c r="K6188" s="19" t="n">
        <v>0</v>
      </c>
      <c r="L6188" s="17"/>
    </row>
    <row r="6189" s="11" customFormat="true" ht="10.95" hidden="false" customHeight="true" outlineLevel="0" collapsed="false">
      <c r="A6189" s="16" t="n">
        <v>45181</v>
      </c>
      <c r="B6189" s="17" t="s">
        <v>3369</v>
      </c>
      <c r="C6189" s="17" t="s">
        <v>3370</v>
      </c>
      <c r="D6189" s="17" t="s">
        <v>2895</v>
      </c>
      <c r="E6189" s="17" t="s">
        <v>3415</v>
      </c>
      <c r="F6189" s="17" t="s">
        <v>197</v>
      </c>
      <c r="G6189" s="18" t="n">
        <v>0</v>
      </c>
      <c r="H6189" s="18" t="n">
        <v>1052.7</v>
      </c>
      <c r="I6189" s="18" t="n">
        <f aca="false">((I6188 + G6189) - H6189)</f>
        <v>73273.3099999999</v>
      </c>
      <c r="J6189" s="18" t="n">
        <v>0</v>
      </c>
      <c r="K6189" s="19" t="n">
        <v>0</v>
      </c>
      <c r="L6189" s="17"/>
    </row>
    <row r="6190" s="11" customFormat="true" ht="10.95" hidden="false" customHeight="true" outlineLevel="0" collapsed="false">
      <c r="A6190" s="16" t="n">
        <v>45182</v>
      </c>
      <c r="B6190" s="17" t="s">
        <v>3369</v>
      </c>
      <c r="C6190" s="17" t="s">
        <v>3370</v>
      </c>
      <c r="D6190" s="17" t="s">
        <v>2895</v>
      </c>
      <c r="E6190" s="17" t="s">
        <v>2900</v>
      </c>
      <c r="F6190" s="17" t="s">
        <v>1096</v>
      </c>
      <c r="G6190" s="18" t="n">
        <v>0</v>
      </c>
      <c r="H6190" s="18" t="n">
        <v>1817.9</v>
      </c>
      <c r="I6190" s="18" t="n">
        <f aca="false">((I6189 + G6190) - H6190)</f>
        <v>71455.4099999999</v>
      </c>
      <c r="J6190" s="18" t="n">
        <v>0</v>
      </c>
      <c r="K6190" s="19" t="n">
        <v>0</v>
      </c>
      <c r="L6190" s="17"/>
    </row>
    <row r="6191" s="11" customFormat="true" ht="10.95" hidden="false" customHeight="true" outlineLevel="0" collapsed="false">
      <c r="A6191" s="16" t="n">
        <v>45182</v>
      </c>
      <c r="B6191" s="17" t="s">
        <v>3369</v>
      </c>
      <c r="C6191" s="17" t="s">
        <v>3370</v>
      </c>
      <c r="D6191" s="17" t="s">
        <v>2895</v>
      </c>
      <c r="E6191" s="17" t="s">
        <v>2900</v>
      </c>
      <c r="F6191" s="17" t="s">
        <v>1119</v>
      </c>
      <c r="G6191" s="18" t="n">
        <v>0</v>
      </c>
      <c r="H6191" s="18" t="n">
        <v>805.27</v>
      </c>
      <c r="I6191" s="18" t="n">
        <f aca="false">((I6190 + G6191) - H6191)</f>
        <v>70650.1399999999</v>
      </c>
      <c r="J6191" s="18" t="n">
        <v>0</v>
      </c>
      <c r="K6191" s="19" t="n">
        <v>0</v>
      </c>
      <c r="L6191" s="17"/>
    </row>
    <row r="6192" s="11" customFormat="true" ht="10.95" hidden="false" customHeight="true" outlineLevel="0" collapsed="false">
      <c r="A6192" s="16" t="n">
        <v>45187</v>
      </c>
      <c r="B6192" s="17" t="s">
        <v>3369</v>
      </c>
      <c r="C6192" s="17" t="s">
        <v>3370</v>
      </c>
      <c r="D6192" s="17" t="s">
        <v>2895</v>
      </c>
      <c r="E6192" s="17" t="s">
        <v>3498</v>
      </c>
      <c r="F6192" s="17" t="s">
        <v>193</v>
      </c>
      <c r="G6192" s="18" t="n">
        <v>0</v>
      </c>
      <c r="H6192" s="18" t="n">
        <v>561</v>
      </c>
      <c r="I6192" s="18" t="n">
        <f aca="false">((I6191 + G6192) - H6192)</f>
        <v>70089.1399999999</v>
      </c>
      <c r="J6192" s="18" t="n">
        <v>0</v>
      </c>
      <c r="K6192" s="19" t="n">
        <v>0</v>
      </c>
      <c r="L6192" s="17"/>
    </row>
    <row r="6193" s="11" customFormat="true" ht="10.95" hidden="false" customHeight="true" outlineLevel="0" collapsed="false">
      <c r="A6193" s="16" t="n">
        <v>45189</v>
      </c>
      <c r="B6193" s="17" t="s">
        <v>3369</v>
      </c>
      <c r="C6193" s="17" t="s">
        <v>3370</v>
      </c>
      <c r="D6193" s="17" t="s">
        <v>2895</v>
      </c>
      <c r="E6193" s="17" t="s">
        <v>2951</v>
      </c>
      <c r="F6193" s="17" t="s">
        <v>1078</v>
      </c>
      <c r="G6193" s="18" t="n">
        <v>0</v>
      </c>
      <c r="H6193" s="18" t="n">
        <v>1395.08</v>
      </c>
      <c r="I6193" s="18" t="n">
        <f aca="false">((I6192 + G6193) - H6193)</f>
        <v>68694.0599999999</v>
      </c>
      <c r="J6193" s="18" t="n">
        <v>0</v>
      </c>
      <c r="K6193" s="19" t="n">
        <v>0</v>
      </c>
      <c r="L6193" s="17"/>
    </row>
    <row r="6194" s="11" customFormat="true" ht="10.95" hidden="false" customHeight="true" outlineLevel="0" collapsed="false">
      <c r="A6194" s="16" t="n">
        <v>45190</v>
      </c>
      <c r="B6194" s="17" t="s">
        <v>3369</v>
      </c>
      <c r="C6194" s="17" t="s">
        <v>3370</v>
      </c>
      <c r="D6194" s="17" t="s">
        <v>2895</v>
      </c>
      <c r="E6194" s="17" t="s">
        <v>2900</v>
      </c>
      <c r="F6194" s="17" t="s">
        <v>1118</v>
      </c>
      <c r="G6194" s="18" t="n">
        <v>0</v>
      </c>
      <c r="H6194" s="18" t="n">
        <v>266.42</v>
      </c>
      <c r="I6194" s="18" t="n">
        <f aca="false">((I6193 + G6194) - H6194)</f>
        <v>68427.6399999999</v>
      </c>
      <c r="J6194" s="18" t="n">
        <v>0</v>
      </c>
      <c r="K6194" s="19" t="n">
        <v>0</v>
      </c>
      <c r="L6194" s="17"/>
    </row>
    <row r="6195" s="11" customFormat="true" ht="10.95" hidden="false" customHeight="true" outlineLevel="0" collapsed="false">
      <c r="A6195" s="16" t="n">
        <v>45191</v>
      </c>
      <c r="B6195" s="17" t="s">
        <v>3369</v>
      </c>
      <c r="C6195" s="17" t="s">
        <v>3370</v>
      </c>
      <c r="D6195" s="17" t="s">
        <v>2895</v>
      </c>
      <c r="E6195" s="17" t="s">
        <v>2925</v>
      </c>
      <c r="F6195" s="17" t="s">
        <v>810</v>
      </c>
      <c r="G6195" s="18" t="n">
        <v>0</v>
      </c>
      <c r="H6195" s="18" t="n">
        <v>327.88</v>
      </c>
      <c r="I6195" s="18" t="n">
        <f aca="false">((I6194 + G6195) - H6195)</f>
        <v>68099.7599999999</v>
      </c>
      <c r="J6195" s="18" t="n">
        <v>0</v>
      </c>
      <c r="K6195" s="19" t="n">
        <v>0</v>
      </c>
      <c r="L6195" s="17"/>
    </row>
    <row r="6196" s="11" customFormat="true" ht="10.95" hidden="false" customHeight="true" outlineLevel="0" collapsed="false">
      <c r="A6196" s="16" t="n">
        <v>45193</v>
      </c>
      <c r="B6196" s="17" t="s">
        <v>3369</v>
      </c>
      <c r="C6196" s="17" t="s">
        <v>3370</v>
      </c>
      <c r="D6196" s="17" t="s">
        <v>2895</v>
      </c>
      <c r="E6196" s="17" t="s">
        <v>3457</v>
      </c>
      <c r="F6196" s="17" t="s">
        <v>168</v>
      </c>
      <c r="G6196" s="18" t="n">
        <v>0</v>
      </c>
      <c r="H6196" s="18" t="n">
        <v>2002</v>
      </c>
      <c r="I6196" s="18" t="n">
        <f aca="false">((I6195 + G6196) - H6196)</f>
        <v>66097.7599999999</v>
      </c>
      <c r="J6196" s="18" t="n">
        <v>0</v>
      </c>
      <c r="K6196" s="19" t="n">
        <v>0</v>
      </c>
      <c r="L6196" s="17"/>
    </row>
    <row r="6197" s="11" customFormat="true" ht="10.95" hidden="false" customHeight="true" outlineLevel="0" collapsed="false">
      <c r="A6197" s="16" t="n">
        <v>45193</v>
      </c>
      <c r="B6197" s="17" t="s">
        <v>3369</v>
      </c>
      <c r="C6197" s="17" t="s">
        <v>3370</v>
      </c>
      <c r="D6197" s="17" t="s">
        <v>2895</v>
      </c>
      <c r="E6197" s="17" t="s">
        <v>3457</v>
      </c>
      <c r="F6197" s="17" t="s">
        <v>170</v>
      </c>
      <c r="G6197" s="18" t="n">
        <v>0</v>
      </c>
      <c r="H6197" s="18" t="n">
        <v>9999</v>
      </c>
      <c r="I6197" s="18" t="n">
        <f aca="false">((I6196 + G6197) - H6197)</f>
        <v>56098.7599999999</v>
      </c>
      <c r="J6197" s="18" t="n">
        <v>0</v>
      </c>
      <c r="K6197" s="19" t="n">
        <v>0</v>
      </c>
      <c r="L6197" s="17"/>
    </row>
    <row r="6198" s="11" customFormat="true" ht="10.95" hidden="false" customHeight="true" outlineLevel="0" collapsed="false">
      <c r="A6198" s="16" t="n">
        <v>45194</v>
      </c>
      <c r="B6198" s="17" t="s">
        <v>3369</v>
      </c>
      <c r="C6198" s="17" t="s">
        <v>3370</v>
      </c>
      <c r="D6198" s="17" t="s">
        <v>2895</v>
      </c>
      <c r="E6198" s="17" t="s">
        <v>2910</v>
      </c>
      <c r="F6198" s="17" t="s">
        <v>816</v>
      </c>
      <c r="G6198" s="18" t="n">
        <v>0</v>
      </c>
      <c r="H6198" s="18" t="n">
        <v>3026.6</v>
      </c>
      <c r="I6198" s="18" t="n">
        <f aca="false">((I6197 + G6198) - H6198)</f>
        <v>53072.1599999999</v>
      </c>
      <c r="J6198" s="18" t="n">
        <v>0</v>
      </c>
      <c r="K6198" s="19" t="n">
        <v>0</v>
      </c>
      <c r="L6198" s="17"/>
    </row>
    <row r="6199" s="11" customFormat="true" ht="10.95" hidden="false" customHeight="true" outlineLevel="0" collapsed="false">
      <c r="A6199" s="16" t="n">
        <v>45194</v>
      </c>
      <c r="B6199" s="17" t="s">
        <v>3369</v>
      </c>
      <c r="C6199" s="17" t="s">
        <v>3370</v>
      </c>
      <c r="D6199" s="17" t="s">
        <v>2895</v>
      </c>
      <c r="E6199" s="17" t="s">
        <v>2910</v>
      </c>
      <c r="F6199" s="17" t="s">
        <v>817</v>
      </c>
      <c r="G6199" s="18" t="n">
        <v>0</v>
      </c>
      <c r="H6199" s="18" t="n">
        <v>646.94</v>
      </c>
      <c r="I6199" s="18" t="n">
        <f aca="false">((I6198 + G6199) - H6199)</f>
        <v>52425.2199999999</v>
      </c>
      <c r="J6199" s="18" t="n">
        <v>0</v>
      </c>
      <c r="K6199" s="19" t="n">
        <v>0</v>
      </c>
      <c r="L6199" s="17"/>
    </row>
    <row r="6200" s="11" customFormat="true" ht="10.95" hidden="false" customHeight="true" outlineLevel="0" collapsed="false">
      <c r="A6200" s="16" t="n">
        <v>45195</v>
      </c>
      <c r="B6200" s="17" t="s">
        <v>3369</v>
      </c>
      <c r="C6200" s="17" t="s">
        <v>3370</v>
      </c>
      <c r="D6200" s="17" t="s">
        <v>19</v>
      </c>
      <c r="E6200" s="17" t="s">
        <v>3499</v>
      </c>
      <c r="F6200" s="17" t="s">
        <v>230</v>
      </c>
      <c r="G6200" s="18" t="n">
        <v>88</v>
      </c>
      <c r="H6200" s="18" t="n">
        <v>0</v>
      </c>
      <c r="I6200" s="18" t="n">
        <f aca="false">((I6199 + G6200) - H6200)</f>
        <v>52513.2199999999</v>
      </c>
      <c r="J6200" s="18" t="n">
        <v>0</v>
      </c>
      <c r="K6200" s="19" t="n">
        <v>0</v>
      </c>
      <c r="L6200" s="17"/>
    </row>
    <row r="6201" s="11" customFormat="true" ht="10.95" hidden="false" customHeight="true" outlineLevel="0" collapsed="false">
      <c r="A6201" s="16" t="n">
        <v>45195</v>
      </c>
      <c r="B6201" s="17" t="s">
        <v>3369</v>
      </c>
      <c r="C6201" s="17" t="s">
        <v>3370</v>
      </c>
      <c r="D6201" s="17" t="s">
        <v>2895</v>
      </c>
      <c r="E6201" s="17" t="s">
        <v>3500</v>
      </c>
      <c r="F6201" s="17" t="s">
        <v>230</v>
      </c>
      <c r="G6201" s="18" t="n">
        <v>0</v>
      </c>
      <c r="H6201" s="18" t="n">
        <v>88</v>
      </c>
      <c r="I6201" s="18" t="n">
        <f aca="false">((I6200 + G6201) - H6201)</f>
        <v>52425.2199999999</v>
      </c>
      <c r="J6201" s="18" t="n">
        <v>0</v>
      </c>
      <c r="K6201" s="19" t="n">
        <v>0</v>
      </c>
      <c r="L6201" s="17"/>
    </row>
    <row r="6202" s="11" customFormat="true" ht="10.95" hidden="false" customHeight="true" outlineLevel="0" collapsed="false">
      <c r="A6202" s="16" t="n">
        <v>45195</v>
      </c>
      <c r="B6202" s="17" t="s">
        <v>3369</v>
      </c>
      <c r="C6202" s="17" t="s">
        <v>3370</v>
      </c>
      <c r="D6202" s="17" t="s">
        <v>2895</v>
      </c>
      <c r="E6202" s="17" t="s">
        <v>3403</v>
      </c>
      <c r="F6202" s="17" t="s">
        <v>205</v>
      </c>
      <c r="G6202" s="18" t="n">
        <v>0</v>
      </c>
      <c r="H6202" s="18" t="n">
        <v>827.2</v>
      </c>
      <c r="I6202" s="18" t="n">
        <f aca="false">((I6201 + G6202) - H6202)</f>
        <v>51598.0199999999</v>
      </c>
      <c r="J6202" s="18" t="n">
        <v>0</v>
      </c>
      <c r="K6202" s="19" t="n">
        <v>0</v>
      </c>
      <c r="L6202" s="17"/>
    </row>
    <row r="6203" s="11" customFormat="true" ht="10.95" hidden="false" customHeight="true" outlineLevel="0" collapsed="false">
      <c r="A6203" s="16" t="n">
        <v>45195</v>
      </c>
      <c r="B6203" s="17" t="s">
        <v>3369</v>
      </c>
      <c r="C6203" s="17" t="s">
        <v>3370</v>
      </c>
      <c r="D6203" s="17" t="s">
        <v>2895</v>
      </c>
      <c r="E6203" s="17" t="s">
        <v>3403</v>
      </c>
      <c r="F6203" s="17" t="s">
        <v>209</v>
      </c>
      <c r="G6203" s="18" t="n">
        <v>0</v>
      </c>
      <c r="H6203" s="18" t="n">
        <v>517</v>
      </c>
      <c r="I6203" s="18" t="n">
        <f aca="false">((I6202 + G6203) - H6203)</f>
        <v>51081.0199999999</v>
      </c>
      <c r="J6203" s="18" t="n">
        <v>0</v>
      </c>
      <c r="K6203" s="19" t="n">
        <v>0</v>
      </c>
      <c r="L6203" s="17"/>
    </row>
    <row r="6204" s="11" customFormat="true" ht="10.95" hidden="false" customHeight="true" outlineLevel="0" collapsed="false">
      <c r="A6204" s="16" t="n">
        <v>45195</v>
      </c>
      <c r="B6204" s="17" t="s">
        <v>3369</v>
      </c>
      <c r="C6204" s="17" t="s">
        <v>3370</v>
      </c>
      <c r="D6204" s="17" t="s">
        <v>2895</v>
      </c>
      <c r="E6204" s="17" t="s">
        <v>3403</v>
      </c>
      <c r="F6204" s="17" t="s">
        <v>109</v>
      </c>
      <c r="G6204" s="18" t="n">
        <v>0</v>
      </c>
      <c r="H6204" s="18" t="n">
        <v>930.6</v>
      </c>
      <c r="I6204" s="18" t="n">
        <f aca="false">((I6203 + G6204) - H6204)</f>
        <v>50150.4199999999</v>
      </c>
      <c r="J6204" s="18" t="n">
        <v>0</v>
      </c>
      <c r="K6204" s="19" t="n">
        <v>0</v>
      </c>
      <c r="L6204" s="17"/>
    </row>
    <row r="6205" s="11" customFormat="true" ht="10.95" hidden="false" customHeight="true" outlineLevel="0" collapsed="false">
      <c r="A6205" s="16" t="n">
        <v>45195</v>
      </c>
      <c r="B6205" s="17" t="s">
        <v>3369</v>
      </c>
      <c r="C6205" s="17" t="s">
        <v>3370</v>
      </c>
      <c r="D6205" s="17" t="s">
        <v>2895</v>
      </c>
      <c r="E6205" s="17" t="s">
        <v>3403</v>
      </c>
      <c r="F6205" s="17" t="s">
        <v>214</v>
      </c>
      <c r="G6205" s="18" t="n">
        <v>0</v>
      </c>
      <c r="H6205" s="18" t="n">
        <v>310.2</v>
      </c>
      <c r="I6205" s="18" t="n">
        <f aca="false">((I6204 + G6205) - H6205)</f>
        <v>49840.2199999999</v>
      </c>
      <c r="J6205" s="18" t="n">
        <v>0</v>
      </c>
      <c r="K6205" s="19" t="n">
        <v>0</v>
      </c>
      <c r="L6205" s="17"/>
    </row>
    <row r="6206" s="11" customFormat="true" ht="10.95" hidden="false" customHeight="true" outlineLevel="0" collapsed="false">
      <c r="A6206" s="16" t="n">
        <v>45195</v>
      </c>
      <c r="B6206" s="17" t="s">
        <v>3369</v>
      </c>
      <c r="C6206" s="17" t="s">
        <v>3370</v>
      </c>
      <c r="D6206" s="17" t="s">
        <v>2895</v>
      </c>
      <c r="E6206" s="17" t="s">
        <v>3403</v>
      </c>
      <c r="F6206" s="17" t="s">
        <v>210</v>
      </c>
      <c r="G6206" s="18" t="n">
        <v>0</v>
      </c>
      <c r="H6206" s="18" t="n">
        <v>316.8</v>
      </c>
      <c r="I6206" s="18" t="n">
        <f aca="false">((I6205 + G6206) - H6206)</f>
        <v>49523.4199999999</v>
      </c>
      <c r="J6206" s="18" t="n">
        <v>0</v>
      </c>
      <c r="K6206" s="19" t="n">
        <v>0</v>
      </c>
      <c r="L6206" s="17"/>
    </row>
    <row r="6207" s="11" customFormat="true" ht="10.95" hidden="false" customHeight="true" outlineLevel="0" collapsed="false">
      <c r="A6207" s="16" t="n">
        <v>45195</v>
      </c>
      <c r="B6207" s="17" t="s">
        <v>3369</v>
      </c>
      <c r="C6207" s="17" t="s">
        <v>3370</v>
      </c>
      <c r="D6207" s="17" t="s">
        <v>2895</v>
      </c>
      <c r="E6207" s="17" t="s">
        <v>3403</v>
      </c>
      <c r="F6207" s="17" t="s">
        <v>207</v>
      </c>
      <c r="G6207" s="18" t="n">
        <v>0</v>
      </c>
      <c r="H6207" s="18" t="n">
        <v>206.8</v>
      </c>
      <c r="I6207" s="18" t="n">
        <f aca="false">((I6206 + G6207) - H6207)</f>
        <v>49316.6199999999</v>
      </c>
      <c r="J6207" s="18" t="n">
        <v>0</v>
      </c>
      <c r="K6207" s="19" t="n">
        <v>0</v>
      </c>
      <c r="L6207" s="17"/>
    </row>
    <row r="6208" s="11" customFormat="true" ht="10.95" hidden="false" customHeight="true" outlineLevel="0" collapsed="false">
      <c r="A6208" s="16" t="n">
        <v>45195</v>
      </c>
      <c r="B6208" s="17" t="s">
        <v>3369</v>
      </c>
      <c r="C6208" s="17" t="s">
        <v>3370</v>
      </c>
      <c r="D6208" s="17" t="s">
        <v>2895</v>
      </c>
      <c r="E6208" s="17" t="s">
        <v>3403</v>
      </c>
      <c r="F6208" s="17" t="s">
        <v>217</v>
      </c>
      <c r="G6208" s="18" t="n">
        <v>0</v>
      </c>
      <c r="H6208" s="18" t="n">
        <v>1034</v>
      </c>
      <c r="I6208" s="18" t="n">
        <f aca="false">((I6207 + G6208) - H6208)</f>
        <v>48282.6199999999</v>
      </c>
      <c r="J6208" s="18" t="n">
        <v>0</v>
      </c>
      <c r="K6208" s="19" t="n">
        <v>0</v>
      </c>
      <c r="L6208" s="17"/>
    </row>
    <row r="6209" s="11" customFormat="true" ht="10.95" hidden="false" customHeight="true" outlineLevel="0" collapsed="false">
      <c r="A6209" s="16" t="n">
        <v>45195</v>
      </c>
      <c r="B6209" s="17" t="s">
        <v>3369</v>
      </c>
      <c r="C6209" s="17" t="s">
        <v>3370</v>
      </c>
      <c r="D6209" s="17" t="s">
        <v>2895</v>
      </c>
      <c r="E6209" s="17" t="s">
        <v>3403</v>
      </c>
      <c r="F6209" s="17" t="s">
        <v>213</v>
      </c>
      <c r="G6209" s="18" t="n">
        <v>0</v>
      </c>
      <c r="H6209" s="18" t="n">
        <v>1258.4</v>
      </c>
      <c r="I6209" s="18" t="n">
        <f aca="false">((I6208 + G6209) - H6209)</f>
        <v>47024.2199999999</v>
      </c>
      <c r="J6209" s="18" t="n">
        <v>0</v>
      </c>
      <c r="K6209" s="19" t="n">
        <v>0</v>
      </c>
      <c r="L6209" s="17"/>
    </row>
    <row r="6210" s="11" customFormat="true" ht="10.95" hidden="false" customHeight="true" outlineLevel="0" collapsed="false">
      <c r="A6210" s="16" t="n">
        <v>45195</v>
      </c>
      <c r="B6210" s="17" t="s">
        <v>3369</v>
      </c>
      <c r="C6210" s="17" t="s">
        <v>3370</v>
      </c>
      <c r="D6210" s="17" t="s">
        <v>2895</v>
      </c>
      <c r="E6210" s="17" t="s">
        <v>3403</v>
      </c>
      <c r="F6210" s="17" t="s">
        <v>211</v>
      </c>
      <c r="G6210" s="18" t="n">
        <v>0</v>
      </c>
      <c r="H6210" s="18" t="n">
        <v>627</v>
      </c>
      <c r="I6210" s="18" t="n">
        <f aca="false">((I6209 + G6210) - H6210)</f>
        <v>46397.2199999999</v>
      </c>
      <c r="J6210" s="18" t="n">
        <v>0</v>
      </c>
      <c r="K6210" s="19" t="n">
        <v>0</v>
      </c>
      <c r="L6210" s="17"/>
    </row>
    <row r="6211" s="11" customFormat="true" ht="10.95" hidden="false" customHeight="true" outlineLevel="0" collapsed="false">
      <c r="A6211" s="16" t="n">
        <v>45195</v>
      </c>
      <c r="B6211" s="17" t="s">
        <v>3369</v>
      </c>
      <c r="C6211" s="17" t="s">
        <v>3370</v>
      </c>
      <c r="D6211" s="17" t="s">
        <v>2895</v>
      </c>
      <c r="E6211" s="17" t="s">
        <v>3403</v>
      </c>
      <c r="F6211" s="17" t="s">
        <v>208</v>
      </c>
      <c r="G6211" s="18" t="n">
        <v>0</v>
      </c>
      <c r="H6211" s="18" t="n">
        <v>1361.25</v>
      </c>
      <c r="I6211" s="18" t="n">
        <f aca="false">((I6210 + G6211) - H6211)</f>
        <v>45035.9699999999</v>
      </c>
      <c r="J6211" s="18" t="n">
        <v>0</v>
      </c>
      <c r="K6211" s="19" t="n">
        <v>0</v>
      </c>
      <c r="L6211" s="17"/>
    </row>
    <row r="6212" s="11" customFormat="true" ht="10.95" hidden="false" customHeight="true" outlineLevel="0" collapsed="false">
      <c r="A6212" s="16" t="n">
        <v>45196</v>
      </c>
      <c r="B6212" s="17" t="s">
        <v>3369</v>
      </c>
      <c r="C6212" s="17" t="s">
        <v>3370</v>
      </c>
      <c r="D6212" s="17" t="s">
        <v>19</v>
      </c>
      <c r="E6212" s="17" t="s">
        <v>3450</v>
      </c>
      <c r="F6212" s="17" t="s">
        <v>1127</v>
      </c>
      <c r="G6212" s="18" t="n">
        <v>1011.05</v>
      </c>
      <c r="H6212" s="18" t="n">
        <v>0</v>
      </c>
      <c r="I6212" s="18" t="n">
        <f aca="false">((I6211 + G6212) - H6212)</f>
        <v>46047.0199999999</v>
      </c>
      <c r="J6212" s="18" t="n">
        <v>0</v>
      </c>
      <c r="K6212" s="19" t="n">
        <v>0</v>
      </c>
      <c r="L6212" s="17"/>
    </row>
    <row r="6213" s="11" customFormat="true" ht="10.95" hidden="false" customHeight="true" outlineLevel="0" collapsed="false">
      <c r="A6213" s="16" t="n">
        <v>45196</v>
      </c>
      <c r="B6213" s="17" t="s">
        <v>3369</v>
      </c>
      <c r="C6213" s="17" t="s">
        <v>3370</v>
      </c>
      <c r="D6213" s="17" t="s">
        <v>19</v>
      </c>
      <c r="E6213" s="17" t="s">
        <v>3501</v>
      </c>
      <c r="F6213" s="17" t="s">
        <v>232</v>
      </c>
      <c r="G6213" s="18" t="n">
        <v>471.9</v>
      </c>
      <c r="H6213" s="18" t="n">
        <v>0</v>
      </c>
      <c r="I6213" s="18" t="n">
        <f aca="false">((I6212 + G6213) - H6213)</f>
        <v>46518.9199999999</v>
      </c>
      <c r="J6213" s="18" t="n">
        <v>0</v>
      </c>
      <c r="K6213" s="19" t="n">
        <v>0</v>
      </c>
      <c r="L6213" s="17"/>
    </row>
    <row r="6214" s="11" customFormat="true" ht="10.95" hidden="false" customHeight="true" outlineLevel="0" collapsed="false">
      <c r="A6214" s="16" t="n">
        <v>45196</v>
      </c>
      <c r="B6214" s="17" t="s">
        <v>3369</v>
      </c>
      <c r="C6214" s="17" t="s">
        <v>3370</v>
      </c>
      <c r="D6214" s="17" t="s">
        <v>19</v>
      </c>
      <c r="E6214" s="17" t="s">
        <v>3502</v>
      </c>
      <c r="F6214" s="17" t="s">
        <v>234</v>
      </c>
      <c r="G6214" s="18" t="n">
        <v>998.25</v>
      </c>
      <c r="H6214" s="18" t="n">
        <v>0</v>
      </c>
      <c r="I6214" s="18" t="n">
        <f aca="false">((I6213 + G6214) - H6214)</f>
        <v>47517.1699999999</v>
      </c>
      <c r="J6214" s="18" t="n">
        <v>0</v>
      </c>
      <c r="K6214" s="19" t="n">
        <v>0</v>
      </c>
      <c r="L6214" s="17"/>
    </row>
    <row r="6215" s="11" customFormat="true" ht="10.95" hidden="false" customHeight="true" outlineLevel="0" collapsed="false">
      <c r="A6215" s="16" t="n">
        <v>45196</v>
      </c>
      <c r="B6215" s="17" t="s">
        <v>3369</v>
      </c>
      <c r="C6215" s="17" t="s">
        <v>3370</v>
      </c>
      <c r="D6215" s="17" t="s">
        <v>19</v>
      </c>
      <c r="E6215" s="17" t="s">
        <v>3489</v>
      </c>
      <c r="F6215" s="17" t="s">
        <v>967</v>
      </c>
      <c r="G6215" s="18" t="n">
        <v>1823.13</v>
      </c>
      <c r="H6215" s="18" t="n">
        <v>0</v>
      </c>
      <c r="I6215" s="18" t="n">
        <f aca="false">((I6214 + G6215) - H6215)</f>
        <v>49340.2999999999</v>
      </c>
      <c r="J6215" s="18" t="n">
        <v>0</v>
      </c>
      <c r="K6215" s="19" t="n">
        <v>0</v>
      </c>
      <c r="L6215" s="17"/>
    </row>
    <row r="6216" s="11" customFormat="true" ht="10.95" hidden="false" customHeight="true" outlineLevel="0" collapsed="false">
      <c r="A6216" s="16" t="n">
        <v>45196</v>
      </c>
      <c r="B6216" s="17" t="s">
        <v>3369</v>
      </c>
      <c r="C6216" s="17" t="s">
        <v>3370</v>
      </c>
      <c r="D6216" s="17" t="s">
        <v>19</v>
      </c>
      <c r="E6216" s="17" t="s">
        <v>3490</v>
      </c>
      <c r="F6216" s="17" t="s">
        <v>236</v>
      </c>
      <c r="G6216" s="18" t="n">
        <v>1034.55</v>
      </c>
      <c r="H6216" s="18" t="n">
        <v>0</v>
      </c>
      <c r="I6216" s="18" t="n">
        <f aca="false">((I6215 + G6216) - H6216)</f>
        <v>50374.8499999999</v>
      </c>
      <c r="J6216" s="18" t="n">
        <v>0</v>
      </c>
      <c r="K6216" s="19" t="n">
        <v>0</v>
      </c>
      <c r="L6216" s="17"/>
    </row>
    <row r="6217" s="11" customFormat="true" ht="10.95" hidden="false" customHeight="true" outlineLevel="0" collapsed="false">
      <c r="A6217" s="16" t="n">
        <v>45196</v>
      </c>
      <c r="B6217" s="17" t="s">
        <v>3369</v>
      </c>
      <c r="C6217" s="17" t="s">
        <v>3370</v>
      </c>
      <c r="D6217" s="17" t="s">
        <v>19</v>
      </c>
      <c r="E6217" s="17" t="s">
        <v>3422</v>
      </c>
      <c r="F6217" s="17" t="s">
        <v>968</v>
      </c>
      <c r="G6217" s="18" t="n">
        <v>13239.28</v>
      </c>
      <c r="H6217" s="18" t="n">
        <v>0</v>
      </c>
      <c r="I6217" s="18" t="n">
        <f aca="false">((I6216 + G6217) - H6217)</f>
        <v>63614.1299999999</v>
      </c>
      <c r="J6217" s="18" t="n">
        <v>0</v>
      </c>
      <c r="K6217" s="19" t="n">
        <v>0</v>
      </c>
      <c r="L6217" s="17"/>
    </row>
    <row r="6218" s="11" customFormat="true" ht="10.95" hidden="false" customHeight="true" outlineLevel="0" collapsed="false">
      <c r="A6218" s="16" t="n">
        <v>45196</v>
      </c>
      <c r="B6218" s="17" t="s">
        <v>3369</v>
      </c>
      <c r="C6218" s="17" t="s">
        <v>3370</v>
      </c>
      <c r="D6218" s="17" t="s">
        <v>19</v>
      </c>
      <c r="E6218" s="17" t="s">
        <v>3423</v>
      </c>
      <c r="F6218" s="17" t="s">
        <v>819</v>
      </c>
      <c r="G6218" s="18" t="n">
        <v>91.24</v>
      </c>
      <c r="H6218" s="18" t="n">
        <v>0</v>
      </c>
      <c r="I6218" s="18" t="n">
        <f aca="false">((I6217 + G6218) - H6218)</f>
        <v>63705.3699999999</v>
      </c>
      <c r="J6218" s="18" t="n">
        <v>0</v>
      </c>
      <c r="K6218" s="19" t="n">
        <v>0</v>
      </c>
      <c r="L6218" s="17"/>
    </row>
    <row r="6219" s="11" customFormat="true" ht="10.95" hidden="false" customHeight="true" outlineLevel="0" collapsed="false">
      <c r="A6219" s="16" t="n">
        <v>45196</v>
      </c>
      <c r="B6219" s="17" t="s">
        <v>3369</v>
      </c>
      <c r="C6219" s="17" t="s">
        <v>3370</v>
      </c>
      <c r="D6219" s="17" t="s">
        <v>19</v>
      </c>
      <c r="E6219" s="17" t="s">
        <v>3424</v>
      </c>
      <c r="F6219" s="17" t="s">
        <v>237</v>
      </c>
      <c r="G6219" s="18" t="n">
        <v>413.6</v>
      </c>
      <c r="H6219" s="18" t="n">
        <v>0</v>
      </c>
      <c r="I6219" s="18" t="n">
        <f aca="false">((I6218 + G6219) - H6219)</f>
        <v>64118.9699999999</v>
      </c>
      <c r="J6219" s="18" t="n">
        <v>0</v>
      </c>
      <c r="K6219" s="19" t="n">
        <v>0</v>
      </c>
      <c r="L6219" s="17"/>
    </row>
    <row r="6220" s="11" customFormat="true" ht="10.95" hidden="false" customHeight="true" outlineLevel="0" collapsed="false">
      <c r="A6220" s="16" t="n">
        <v>45196</v>
      </c>
      <c r="B6220" s="17" t="s">
        <v>3369</v>
      </c>
      <c r="C6220" s="17" t="s">
        <v>3370</v>
      </c>
      <c r="D6220" s="17" t="s">
        <v>19</v>
      </c>
      <c r="E6220" s="17" t="s">
        <v>3425</v>
      </c>
      <c r="F6220" s="17" t="s">
        <v>1128</v>
      </c>
      <c r="G6220" s="18" t="n">
        <v>771.39</v>
      </c>
      <c r="H6220" s="18" t="n">
        <v>0</v>
      </c>
      <c r="I6220" s="18" t="n">
        <f aca="false">((I6219 + G6220) - H6220)</f>
        <v>64890.3599999999</v>
      </c>
      <c r="J6220" s="18" t="n">
        <v>0</v>
      </c>
      <c r="K6220" s="19" t="n">
        <v>0</v>
      </c>
      <c r="L6220" s="17"/>
    </row>
    <row r="6221" s="11" customFormat="true" ht="10.95" hidden="false" customHeight="true" outlineLevel="0" collapsed="false">
      <c r="A6221" s="16" t="n">
        <v>45196</v>
      </c>
      <c r="B6221" s="17" t="s">
        <v>3369</v>
      </c>
      <c r="C6221" s="17" t="s">
        <v>3370</v>
      </c>
      <c r="D6221" s="17" t="s">
        <v>19</v>
      </c>
      <c r="E6221" s="17" t="s">
        <v>3426</v>
      </c>
      <c r="F6221" s="17" t="s">
        <v>238</v>
      </c>
      <c r="G6221" s="18" t="n">
        <v>1386</v>
      </c>
      <c r="H6221" s="18" t="n">
        <v>0</v>
      </c>
      <c r="I6221" s="18" t="n">
        <f aca="false">((I6220 + G6221) - H6221)</f>
        <v>66276.3599999999</v>
      </c>
      <c r="J6221" s="18" t="n">
        <v>0</v>
      </c>
      <c r="K6221" s="19" t="n">
        <v>0</v>
      </c>
      <c r="L6221" s="17"/>
    </row>
    <row r="6222" s="11" customFormat="true" ht="10.95" hidden="false" customHeight="true" outlineLevel="0" collapsed="false">
      <c r="A6222" s="16" t="n">
        <v>45196</v>
      </c>
      <c r="B6222" s="17" t="s">
        <v>3369</v>
      </c>
      <c r="C6222" s="17" t="s">
        <v>3370</v>
      </c>
      <c r="D6222" s="17" t="s">
        <v>19</v>
      </c>
      <c r="E6222" s="17" t="s">
        <v>3427</v>
      </c>
      <c r="F6222" s="17" t="s">
        <v>239</v>
      </c>
      <c r="G6222" s="18" t="n">
        <v>561</v>
      </c>
      <c r="H6222" s="18" t="n">
        <v>0</v>
      </c>
      <c r="I6222" s="18" t="n">
        <f aca="false">((I6221 + G6222) - H6222)</f>
        <v>66837.3599999999</v>
      </c>
      <c r="J6222" s="18" t="n">
        <v>0</v>
      </c>
      <c r="K6222" s="19" t="n">
        <v>0</v>
      </c>
      <c r="L6222" s="17"/>
    </row>
    <row r="6223" s="11" customFormat="true" ht="10.95" hidden="false" customHeight="true" outlineLevel="0" collapsed="false">
      <c r="A6223" s="16" t="n">
        <v>45196</v>
      </c>
      <c r="B6223" s="17" t="s">
        <v>3369</v>
      </c>
      <c r="C6223" s="17" t="s">
        <v>3370</v>
      </c>
      <c r="D6223" s="17" t="s">
        <v>19</v>
      </c>
      <c r="E6223" s="17" t="s">
        <v>3428</v>
      </c>
      <c r="F6223" s="17" t="s">
        <v>240</v>
      </c>
      <c r="G6223" s="18" t="n">
        <v>919.6</v>
      </c>
      <c r="H6223" s="18" t="n">
        <v>0</v>
      </c>
      <c r="I6223" s="18" t="n">
        <f aca="false">((I6222 + G6223) - H6223)</f>
        <v>67756.9599999999</v>
      </c>
      <c r="J6223" s="18" t="n">
        <v>0</v>
      </c>
      <c r="K6223" s="19" t="n">
        <v>0</v>
      </c>
      <c r="L6223" s="17"/>
    </row>
    <row r="6224" s="11" customFormat="true" ht="10.95" hidden="false" customHeight="true" outlineLevel="0" collapsed="false">
      <c r="A6224" s="16" t="n">
        <v>45196</v>
      </c>
      <c r="B6224" s="17" t="s">
        <v>3369</v>
      </c>
      <c r="C6224" s="17" t="s">
        <v>3370</v>
      </c>
      <c r="D6224" s="17" t="s">
        <v>19</v>
      </c>
      <c r="E6224" s="17" t="s">
        <v>3429</v>
      </c>
      <c r="F6224" s="17" t="s">
        <v>241</v>
      </c>
      <c r="G6224" s="18" t="n">
        <v>93.5</v>
      </c>
      <c r="H6224" s="18" t="n">
        <v>0</v>
      </c>
      <c r="I6224" s="18" t="n">
        <f aca="false">((I6223 + G6224) - H6224)</f>
        <v>67850.4599999999</v>
      </c>
      <c r="J6224" s="18" t="n">
        <v>0</v>
      </c>
      <c r="K6224" s="19" t="n">
        <v>0</v>
      </c>
      <c r="L6224" s="17"/>
    </row>
    <row r="6225" s="11" customFormat="true" ht="10.95" hidden="false" customHeight="true" outlineLevel="0" collapsed="false">
      <c r="A6225" s="16" t="n">
        <v>45196</v>
      </c>
      <c r="B6225" s="17" t="s">
        <v>3369</v>
      </c>
      <c r="C6225" s="17" t="s">
        <v>3370</v>
      </c>
      <c r="D6225" s="17" t="s">
        <v>19</v>
      </c>
      <c r="E6225" s="17" t="s">
        <v>3430</v>
      </c>
      <c r="F6225" s="17" t="s">
        <v>820</v>
      </c>
      <c r="G6225" s="18" t="n">
        <v>489.25</v>
      </c>
      <c r="H6225" s="18" t="n">
        <v>0</v>
      </c>
      <c r="I6225" s="18" t="n">
        <f aca="false">((I6224 + G6225) - H6225)</f>
        <v>68339.7099999999</v>
      </c>
      <c r="J6225" s="18" t="n">
        <v>0</v>
      </c>
      <c r="K6225" s="19" t="n">
        <v>0</v>
      </c>
      <c r="L6225" s="17"/>
    </row>
    <row r="6226" s="11" customFormat="true" ht="10.95" hidden="false" customHeight="true" outlineLevel="0" collapsed="false">
      <c r="A6226" s="16" t="n">
        <v>45196</v>
      </c>
      <c r="B6226" s="17" t="s">
        <v>3369</v>
      </c>
      <c r="C6226" s="17" t="s">
        <v>3370</v>
      </c>
      <c r="D6226" s="17" t="s">
        <v>19</v>
      </c>
      <c r="E6226" s="17" t="s">
        <v>3430</v>
      </c>
      <c r="F6226" s="17" t="s">
        <v>821</v>
      </c>
      <c r="G6226" s="18" t="n">
        <v>326.17</v>
      </c>
      <c r="H6226" s="18" t="n">
        <v>0</v>
      </c>
      <c r="I6226" s="18" t="n">
        <f aca="false">((I6225 + G6226) - H6226)</f>
        <v>68665.8799999999</v>
      </c>
      <c r="J6226" s="18" t="n">
        <v>0</v>
      </c>
      <c r="K6226" s="19" t="n">
        <v>0</v>
      </c>
      <c r="L6226" s="17"/>
    </row>
    <row r="6227" s="11" customFormat="true" ht="10.95" hidden="false" customHeight="true" outlineLevel="0" collapsed="false">
      <c r="A6227" s="16" t="n">
        <v>45196</v>
      </c>
      <c r="B6227" s="17" t="s">
        <v>3369</v>
      </c>
      <c r="C6227" s="17" t="s">
        <v>3370</v>
      </c>
      <c r="D6227" s="17" t="s">
        <v>19</v>
      </c>
      <c r="E6227" s="17" t="s">
        <v>3431</v>
      </c>
      <c r="F6227" s="17" t="s">
        <v>242</v>
      </c>
      <c r="G6227" s="18" t="n">
        <v>357.5</v>
      </c>
      <c r="H6227" s="18" t="n">
        <v>0</v>
      </c>
      <c r="I6227" s="18" t="n">
        <f aca="false">((I6226 + G6227) - H6227)</f>
        <v>69023.3799999999</v>
      </c>
      <c r="J6227" s="18" t="n">
        <v>0</v>
      </c>
      <c r="K6227" s="19" t="n">
        <v>0</v>
      </c>
      <c r="L6227" s="17"/>
    </row>
    <row r="6228" s="11" customFormat="true" ht="10.95" hidden="false" customHeight="true" outlineLevel="0" collapsed="false">
      <c r="A6228" s="16" t="n">
        <v>45196</v>
      </c>
      <c r="B6228" s="17" t="s">
        <v>3369</v>
      </c>
      <c r="C6228" s="17" t="s">
        <v>3370</v>
      </c>
      <c r="D6228" s="17" t="s">
        <v>19</v>
      </c>
      <c r="E6228" s="17" t="s">
        <v>3432</v>
      </c>
      <c r="F6228" s="17" t="s">
        <v>243</v>
      </c>
      <c r="G6228" s="18" t="n">
        <v>1094.5</v>
      </c>
      <c r="H6228" s="18" t="n">
        <v>0</v>
      </c>
      <c r="I6228" s="18" t="n">
        <f aca="false">((I6227 + G6228) - H6228)</f>
        <v>70117.8799999999</v>
      </c>
      <c r="J6228" s="18" t="n">
        <v>0</v>
      </c>
      <c r="K6228" s="19" t="n">
        <v>0</v>
      </c>
      <c r="L6228" s="17"/>
    </row>
    <row r="6229" s="11" customFormat="true" ht="10.95" hidden="false" customHeight="true" outlineLevel="0" collapsed="false">
      <c r="A6229" s="16" t="n">
        <v>45196</v>
      </c>
      <c r="B6229" s="17" t="s">
        <v>3369</v>
      </c>
      <c r="C6229" s="17" t="s">
        <v>3370</v>
      </c>
      <c r="D6229" s="17" t="s">
        <v>19</v>
      </c>
      <c r="E6229" s="17" t="s">
        <v>3433</v>
      </c>
      <c r="F6229" s="17" t="s">
        <v>244</v>
      </c>
      <c r="G6229" s="18" t="n">
        <v>4677.2</v>
      </c>
      <c r="H6229" s="18" t="n">
        <v>0</v>
      </c>
      <c r="I6229" s="18" t="n">
        <f aca="false">((I6228 + G6229) - H6229)</f>
        <v>74795.0799999999</v>
      </c>
      <c r="J6229" s="18" t="n">
        <v>0</v>
      </c>
      <c r="K6229" s="19" t="n">
        <v>0</v>
      </c>
      <c r="L6229" s="17"/>
    </row>
    <row r="6230" s="11" customFormat="true" ht="10.95" hidden="false" customHeight="true" outlineLevel="0" collapsed="false">
      <c r="A6230" s="16" t="n">
        <v>45196</v>
      </c>
      <c r="B6230" s="17" t="s">
        <v>3369</v>
      </c>
      <c r="C6230" s="17" t="s">
        <v>3370</v>
      </c>
      <c r="D6230" s="17" t="s">
        <v>19</v>
      </c>
      <c r="E6230" s="17" t="s">
        <v>3433</v>
      </c>
      <c r="F6230" s="17" t="s">
        <v>246</v>
      </c>
      <c r="G6230" s="18" t="n">
        <v>4207.5</v>
      </c>
      <c r="H6230" s="18" t="n">
        <v>0</v>
      </c>
      <c r="I6230" s="18" t="n">
        <f aca="false">((I6229 + G6230) - H6230)</f>
        <v>79002.5799999999</v>
      </c>
      <c r="J6230" s="18" t="n">
        <v>0</v>
      </c>
      <c r="K6230" s="19" t="n">
        <v>0</v>
      </c>
      <c r="L6230" s="17"/>
    </row>
    <row r="6231" s="11" customFormat="true" ht="10.95" hidden="false" customHeight="true" outlineLevel="0" collapsed="false">
      <c r="A6231" s="16" t="n">
        <v>45196</v>
      </c>
      <c r="B6231" s="17" t="s">
        <v>3369</v>
      </c>
      <c r="C6231" s="17" t="s">
        <v>3370</v>
      </c>
      <c r="D6231" s="17" t="s">
        <v>19</v>
      </c>
      <c r="E6231" s="17" t="s">
        <v>3434</v>
      </c>
      <c r="F6231" s="17" t="s">
        <v>247</v>
      </c>
      <c r="G6231" s="18" t="n">
        <v>396</v>
      </c>
      <c r="H6231" s="18" t="n">
        <v>0</v>
      </c>
      <c r="I6231" s="18" t="n">
        <f aca="false">((I6230 + G6231) - H6231)</f>
        <v>79398.5799999999</v>
      </c>
      <c r="J6231" s="18" t="n">
        <v>0</v>
      </c>
      <c r="K6231" s="19" t="n">
        <v>0</v>
      </c>
      <c r="L6231" s="17"/>
    </row>
    <row r="6232" s="11" customFormat="true" ht="10.95" hidden="false" customHeight="true" outlineLevel="0" collapsed="false">
      <c r="A6232" s="16" t="n">
        <v>45196</v>
      </c>
      <c r="B6232" s="17" t="s">
        <v>3369</v>
      </c>
      <c r="C6232" s="17" t="s">
        <v>3370</v>
      </c>
      <c r="D6232" s="17" t="s">
        <v>19</v>
      </c>
      <c r="E6232" s="17" t="s">
        <v>3435</v>
      </c>
      <c r="F6232" s="17" t="s">
        <v>248</v>
      </c>
      <c r="G6232" s="18" t="n">
        <v>2244</v>
      </c>
      <c r="H6232" s="18" t="n">
        <v>0</v>
      </c>
      <c r="I6232" s="18" t="n">
        <f aca="false">((I6231 + G6232) - H6232)</f>
        <v>81642.5799999999</v>
      </c>
      <c r="J6232" s="18" t="n">
        <v>0</v>
      </c>
      <c r="K6232" s="19" t="n">
        <v>0</v>
      </c>
      <c r="L6232" s="17"/>
    </row>
    <row r="6233" s="11" customFormat="true" ht="10.95" hidden="false" customHeight="true" outlineLevel="0" collapsed="false">
      <c r="A6233" s="16" t="n">
        <v>45196</v>
      </c>
      <c r="B6233" s="17" t="s">
        <v>3369</v>
      </c>
      <c r="C6233" s="17" t="s">
        <v>3370</v>
      </c>
      <c r="D6233" s="17" t="s">
        <v>19</v>
      </c>
      <c r="E6233" s="17" t="s">
        <v>3436</v>
      </c>
      <c r="F6233" s="17" t="s">
        <v>822</v>
      </c>
      <c r="G6233" s="18" t="n">
        <v>2821.5</v>
      </c>
      <c r="H6233" s="18" t="n">
        <v>0</v>
      </c>
      <c r="I6233" s="18" t="n">
        <f aca="false">((I6232 + G6233) - H6233)</f>
        <v>84464.0799999999</v>
      </c>
      <c r="J6233" s="18" t="n">
        <v>0</v>
      </c>
      <c r="K6233" s="19" t="n">
        <v>0</v>
      </c>
      <c r="L6233" s="17"/>
    </row>
    <row r="6234" s="11" customFormat="true" ht="10.95" hidden="false" customHeight="true" outlineLevel="0" collapsed="false">
      <c r="A6234" s="16" t="n">
        <v>45196</v>
      </c>
      <c r="B6234" s="17" t="s">
        <v>3369</v>
      </c>
      <c r="C6234" s="17" t="s">
        <v>3370</v>
      </c>
      <c r="D6234" s="17" t="s">
        <v>19</v>
      </c>
      <c r="E6234" s="17" t="s">
        <v>3436</v>
      </c>
      <c r="F6234" s="17" t="s">
        <v>823</v>
      </c>
      <c r="G6234" s="18" t="n">
        <v>2194.5</v>
      </c>
      <c r="H6234" s="18" t="n">
        <v>0</v>
      </c>
      <c r="I6234" s="18" t="n">
        <f aca="false">((I6233 + G6234) - H6234)</f>
        <v>86658.5799999999</v>
      </c>
      <c r="J6234" s="18" t="n">
        <v>0</v>
      </c>
      <c r="K6234" s="19" t="n">
        <v>0</v>
      </c>
      <c r="L6234" s="17"/>
    </row>
    <row r="6235" s="11" customFormat="true" ht="10.95" hidden="false" customHeight="true" outlineLevel="0" collapsed="false">
      <c r="A6235" s="16" t="n">
        <v>45196</v>
      </c>
      <c r="B6235" s="17" t="s">
        <v>3369</v>
      </c>
      <c r="C6235" s="17" t="s">
        <v>3370</v>
      </c>
      <c r="D6235" s="17" t="s">
        <v>19</v>
      </c>
      <c r="E6235" s="17" t="s">
        <v>3436</v>
      </c>
      <c r="F6235" s="17" t="s">
        <v>824</v>
      </c>
      <c r="G6235" s="18" t="n">
        <v>1716</v>
      </c>
      <c r="H6235" s="18" t="n">
        <v>0</v>
      </c>
      <c r="I6235" s="18" t="n">
        <f aca="false">((I6234 + G6235) - H6235)</f>
        <v>88374.5799999999</v>
      </c>
      <c r="J6235" s="18" t="n">
        <v>0</v>
      </c>
      <c r="K6235" s="19" t="n">
        <v>0</v>
      </c>
      <c r="L6235" s="17"/>
    </row>
    <row r="6236" s="11" customFormat="true" ht="10.95" hidden="false" customHeight="true" outlineLevel="0" collapsed="false">
      <c r="A6236" s="16" t="n">
        <v>45196</v>
      </c>
      <c r="B6236" s="17" t="s">
        <v>3369</v>
      </c>
      <c r="C6236" s="17" t="s">
        <v>3370</v>
      </c>
      <c r="D6236" s="17" t="s">
        <v>19</v>
      </c>
      <c r="E6236" s="17" t="s">
        <v>3436</v>
      </c>
      <c r="F6236" s="17" t="s">
        <v>827</v>
      </c>
      <c r="G6236" s="18" t="n">
        <v>1672</v>
      </c>
      <c r="H6236" s="18" t="n">
        <v>0</v>
      </c>
      <c r="I6236" s="18" t="n">
        <f aca="false">((I6235 + G6236) - H6236)</f>
        <v>90046.5799999999</v>
      </c>
      <c r="J6236" s="18" t="n">
        <v>0</v>
      </c>
      <c r="K6236" s="19" t="n">
        <v>0</v>
      </c>
      <c r="L6236" s="17"/>
    </row>
    <row r="6237" s="11" customFormat="true" ht="10.95" hidden="false" customHeight="true" outlineLevel="0" collapsed="false">
      <c r="A6237" s="16" t="n">
        <v>45196</v>
      </c>
      <c r="B6237" s="17" t="s">
        <v>3369</v>
      </c>
      <c r="C6237" s="17" t="s">
        <v>3370</v>
      </c>
      <c r="D6237" s="17" t="s">
        <v>19</v>
      </c>
      <c r="E6237" s="17" t="s">
        <v>3437</v>
      </c>
      <c r="F6237" s="17" t="s">
        <v>249</v>
      </c>
      <c r="G6237" s="18" t="n">
        <v>1100.06</v>
      </c>
      <c r="H6237" s="18" t="n">
        <v>0</v>
      </c>
      <c r="I6237" s="18" t="n">
        <f aca="false">((I6236 + G6237) - H6237)</f>
        <v>91146.6399999999</v>
      </c>
      <c r="J6237" s="18" t="n">
        <v>0</v>
      </c>
      <c r="K6237" s="19" t="n">
        <v>0</v>
      </c>
      <c r="L6237" s="17"/>
    </row>
    <row r="6238" s="11" customFormat="true" ht="10.95" hidden="false" customHeight="true" outlineLevel="0" collapsed="false">
      <c r="A6238" s="16" t="n">
        <v>45196</v>
      </c>
      <c r="B6238" s="17" t="s">
        <v>3369</v>
      </c>
      <c r="C6238" s="17" t="s">
        <v>3370</v>
      </c>
      <c r="D6238" s="17" t="s">
        <v>19</v>
      </c>
      <c r="E6238" s="17" t="s">
        <v>3438</v>
      </c>
      <c r="F6238" s="17" t="s">
        <v>1129</v>
      </c>
      <c r="G6238" s="18" t="n">
        <v>3124.39</v>
      </c>
      <c r="H6238" s="18" t="n">
        <v>0</v>
      </c>
      <c r="I6238" s="18" t="n">
        <f aca="false">((I6237 + G6238) - H6238)</f>
        <v>94271.0299999999</v>
      </c>
      <c r="J6238" s="18" t="n">
        <v>0</v>
      </c>
      <c r="K6238" s="19" t="n">
        <v>0</v>
      </c>
      <c r="L6238" s="17"/>
    </row>
    <row r="6239" s="11" customFormat="true" ht="10.95" hidden="false" customHeight="true" outlineLevel="0" collapsed="false">
      <c r="A6239" s="16" t="n">
        <v>45196</v>
      </c>
      <c r="B6239" s="17" t="s">
        <v>3369</v>
      </c>
      <c r="C6239" s="17" t="s">
        <v>3370</v>
      </c>
      <c r="D6239" s="17" t="s">
        <v>19</v>
      </c>
      <c r="E6239" s="17" t="s">
        <v>3439</v>
      </c>
      <c r="F6239" s="17" t="s">
        <v>250</v>
      </c>
      <c r="G6239" s="18" t="n">
        <v>1052.7</v>
      </c>
      <c r="H6239" s="18" t="n">
        <v>0</v>
      </c>
      <c r="I6239" s="18" t="n">
        <f aca="false">((I6238 + G6239) - H6239)</f>
        <v>95323.7299999999</v>
      </c>
      <c r="J6239" s="18" t="n">
        <v>0</v>
      </c>
      <c r="K6239" s="19" t="n">
        <v>0</v>
      </c>
      <c r="L6239" s="17"/>
    </row>
    <row r="6240" s="11" customFormat="true" ht="10.95" hidden="false" customHeight="true" outlineLevel="0" collapsed="false">
      <c r="A6240" s="16" t="n">
        <v>45196</v>
      </c>
      <c r="B6240" s="17" t="s">
        <v>3369</v>
      </c>
      <c r="C6240" s="17" t="s">
        <v>3370</v>
      </c>
      <c r="D6240" s="17" t="s">
        <v>19</v>
      </c>
      <c r="E6240" s="17" t="s">
        <v>3440</v>
      </c>
      <c r="F6240" s="17" t="s">
        <v>1130</v>
      </c>
      <c r="G6240" s="18" t="n">
        <v>1408.77</v>
      </c>
      <c r="H6240" s="18" t="n">
        <v>0</v>
      </c>
      <c r="I6240" s="18" t="n">
        <f aca="false">((I6239 + G6240) - H6240)</f>
        <v>96732.4999999999</v>
      </c>
      <c r="J6240" s="18" t="n">
        <v>0</v>
      </c>
      <c r="K6240" s="19" t="n">
        <v>0</v>
      </c>
      <c r="L6240" s="17"/>
    </row>
    <row r="6241" s="11" customFormat="true" ht="10.95" hidden="false" customHeight="true" outlineLevel="0" collapsed="false">
      <c r="A6241" s="16" t="n">
        <v>45196</v>
      </c>
      <c r="B6241" s="17" t="s">
        <v>3369</v>
      </c>
      <c r="C6241" s="17" t="s">
        <v>3370</v>
      </c>
      <c r="D6241" s="17" t="s">
        <v>19</v>
      </c>
      <c r="E6241" s="17" t="s">
        <v>3441</v>
      </c>
      <c r="F6241" s="17" t="s">
        <v>1131</v>
      </c>
      <c r="G6241" s="18" t="n">
        <v>180</v>
      </c>
      <c r="H6241" s="18" t="n">
        <v>0</v>
      </c>
      <c r="I6241" s="18" t="n">
        <f aca="false">((I6240 + G6241) - H6241)</f>
        <v>96912.4999999999</v>
      </c>
      <c r="J6241" s="18" t="n">
        <v>0</v>
      </c>
      <c r="K6241" s="19" t="n">
        <v>0</v>
      </c>
      <c r="L6241" s="17"/>
    </row>
    <row r="6242" s="11" customFormat="true" ht="10.95" hidden="false" customHeight="true" outlineLevel="0" collapsed="false">
      <c r="A6242" s="16" t="n">
        <v>45196</v>
      </c>
      <c r="B6242" s="17" t="s">
        <v>3369</v>
      </c>
      <c r="C6242" s="17" t="s">
        <v>3370</v>
      </c>
      <c r="D6242" s="17" t="s">
        <v>19</v>
      </c>
      <c r="E6242" s="17" t="s">
        <v>3442</v>
      </c>
      <c r="F6242" s="17" t="s">
        <v>251</v>
      </c>
      <c r="G6242" s="18" t="n">
        <v>9999</v>
      </c>
      <c r="H6242" s="18" t="n">
        <v>0</v>
      </c>
      <c r="I6242" s="18" t="n">
        <f aca="false">((I6241 + G6242) - H6242)</f>
        <v>106911.5</v>
      </c>
      <c r="J6242" s="18" t="n">
        <v>0</v>
      </c>
      <c r="K6242" s="19" t="n">
        <v>0</v>
      </c>
      <c r="L6242" s="17"/>
    </row>
    <row r="6243" s="11" customFormat="true" ht="10.95" hidden="false" customHeight="true" outlineLevel="0" collapsed="false">
      <c r="A6243" s="16" t="n">
        <v>45196</v>
      </c>
      <c r="B6243" s="17" t="s">
        <v>3369</v>
      </c>
      <c r="C6243" s="17" t="s">
        <v>3370</v>
      </c>
      <c r="D6243" s="17" t="s">
        <v>19</v>
      </c>
      <c r="E6243" s="17" t="s">
        <v>3443</v>
      </c>
      <c r="F6243" s="17" t="s">
        <v>252</v>
      </c>
      <c r="G6243" s="18" t="n">
        <v>4873</v>
      </c>
      <c r="H6243" s="18" t="n">
        <v>0</v>
      </c>
      <c r="I6243" s="18" t="n">
        <f aca="false">((I6242 + G6243) - H6243)</f>
        <v>111784.5</v>
      </c>
      <c r="J6243" s="18" t="n">
        <v>0</v>
      </c>
      <c r="K6243" s="19" t="n">
        <v>0</v>
      </c>
      <c r="L6243" s="17"/>
    </row>
    <row r="6244" s="11" customFormat="true" ht="10.95" hidden="false" customHeight="true" outlineLevel="0" collapsed="false">
      <c r="A6244" s="16" t="n">
        <v>45196</v>
      </c>
      <c r="B6244" s="17" t="s">
        <v>3369</v>
      </c>
      <c r="C6244" s="17" t="s">
        <v>3370</v>
      </c>
      <c r="D6244" s="17" t="s">
        <v>19</v>
      </c>
      <c r="E6244" s="17" t="s">
        <v>3444</v>
      </c>
      <c r="F6244" s="17" t="s">
        <v>253</v>
      </c>
      <c r="G6244" s="18" t="n">
        <v>968</v>
      </c>
      <c r="H6244" s="18" t="n">
        <v>0</v>
      </c>
      <c r="I6244" s="18" t="n">
        <f aca="false">((I6243 + G6244) - H6244)</f>
        <v>112752.5</v>
      </c>
      <c r="J6244" s="18" t="n">
        <v>0</v>
      </c>
      <c r="K6244" s="19" t="n">
        <v>0</v>
      </c>
      <c r="L6244" s="17"/>
    </row>
    <row r="6245" s="11" customFormat="true" ht="10.95" hidden="false" customHeight="true" outlineLevel="0" collapsed="false">
      <c r="A6245" s="16" t="n">
        <v>45196</v>
      </c>
      <c r="B6245" s="17" t="s">
        <v>3369</v>
      </c>
      <c r="C6245" s="17" t="s">
        <v>3370</v>
      </c>
      <c r="D6245" s="17" t="s">
        <v>19</v>
      </c>
      <c r="E6245" s="17" t="s">
        <v>3494</v>
      </c>
      <c r="F6245" s="17" t="s">
        <v>254</v>
      </c>
      <c r="G6245" s="18" t="n">
        <v>1784.2</v>
      </c>
      <c r="H6245" s="18" t="n">
        <v>0</v>
      </c>
      <c r="I6245" s="18" t="n">
        <f aca="false">((I6244 + G6245) - H6245)</f>
        <v>114536.7</v>
      </c>
      <c r="J6245" s="18" t="n">
        <v>0</v>
      </c>
      <c r="K6245" s="19" t="n">
        <v>0</v>
      </c>
      <c r="L6245" s="17"/>
    </row>
    <row r="6246" s="11" customFormat="true" ht="10.95" hidden="false" customHeight="true" outlineLevel="0" collapsed="false">
      <c r="A6246" s="16" t="n">
        <v>45196</v>
      </c>
      <c r="B6246" s="17" t="s">
        <v>3369</v>
      </c>
      <c r="C6246" s="17" t="s">
        <v>3370</v>
      </c>
      <c r="D6246" s="17" t="s">
        <v>19</v>
      </c>
      <c r="E6246" s="17" t="s">
        <v>3446</v>
      </c>
      <c r="F6246" s="17" t="s">
        <v>255</v>
      </c>
      <c r="G6246" s="18" t="n">
        <v>2068</v>
      </c>
      <c r="H6246" s="18" t="n">
        <v>0</v>
      </c>
      <c r="I6246" s="18" t="n">
        <f aca="false">((I6245 + G6246) - H6246)</f>
        <v>116604.7</v>
      </c>
      <c r="J6246" s="18" t="n">
        <v>0</v>
      </c>
      <c r="K6246" s="19" t="n">
        <v>0</v>
      </c>
      <c r="L6246" s="17"/>
    </row>
    <row r="6247" s="11" customFormat="true" ht="10.95" hidden="false" customHeight="true" outlineLevel="0" collapsed="false">
      <c r="A6247" s="16" t="n">
        <v>45196</v>
      </c>
      <c r="B6247" s="17" t="s">
        <v>3369</v>
      </c>
      <c r="C6247" s="17" t="s">
        <v>3370</v>
      </c>
      <c r="D6247" s="17" t="s">
        <v>19</v>
      </c>
      <c r="E6247" s="17" t="s">
        <v>3447</v>
      </c>
      <c r="F6247" s="17" t="s">
        <v>260</v>
      </c>
      <c r="G6247" s="18" t="n">
        <v>3660.25</v>
      </c>
      <c r="H6247" s="18" t="n">
        <v>0</v>
      </c>
      <c r="I6247" s="18" t="n">
        <f aca="false">((I6246 + G6247) - H6247)</f>
        <v>120264.95</v>
      </c>
      <c r="J6247" s="18" t="n">
        <v>0</v>
      </c>
      <c r="K6247" s="19" t="n">
        <v>0</v>
      </c>
      <c r="L6247" s="17"/>
    </row>
    <row r="6248" s="11" customFormat="true" ht="10.95" hidden="false" customHeight="true" outlineLevel="0" collapsed="false">
      <c r="A6248" s="16" t="n">
        <v>45196</v>
      </c>
      <c r="B6248" s="17" t="s">
        <v>3369</v>
      </c>
      <c r="C6248" s="17" t="s">
        <v>3370</v>
      </c>
      <c r="D6248" s="17" t="s">
        <v>19</v>
      </c>
      <c r="E6248" s="17" t="s">
        <v>3447</v>
      </c>
      <c r="F6248" s="17" t="s">
        <v>262</v>
      </c>
      <c r="G6248" s="18" t="n">
        <v>827.2</v>
      </c>
      <c r="H6248" s="18" t="n">
        <v>0</v>
      </c>
      <c r="I6248" s="18" t="n">
        <f aca="false">((I6247 + G6248) - H6248)</f>
        <v>121092.15</v>
      </c>
      <c r="J6248" s="18" t="n">
        <v>0</v>
      </c>
      <c r="K6248" s="19" t="n">
        <v>0</v>
      </c>
      <c r="L6248" s="17"/>
    </row>
    <row r="6249" s="11" customFormat="true" ht="10.95" hidden="false" customHeight="true" outlineLevel="0" collapsed="false">
      <c r="A6249" s="16" t="n">
        <v>45196</v>
      </c>
      <c r="B6249" s="17" t="s">
        <v>3369</v>
      </c>
      <c r="C6249" s="17" t="s">
        <v>3370</v>
      </c>
      <c r="D6249" s="17" t="s">
        <v>19</v>
      </c>
      <c r="E6249" s="17" t="s">
        <v>3447</v>
      </c>
      <c r="F6249" s="17" t="s">
        <v>263</v>
      </c>
      <c r="G6249" s="18" t="n">
        <v>638</v>
      </c>
      <c r="H6249" s="18" t="n">
        <v>0</v>
      </c>
      <c r="I6249" s="18" t="n">
        <f aca="false">((I6248 + G6249) - H6249)</f>
        <v>121730.15</v>
      </c>
      <c r="J6249" s="18" t="n">
        <v>0</v>
      </c>
      <c r="K6249" s="19" t="n">
        <v>0</v>
      </c>
      <c r="L6249" s="17"/>
    </row>
    <row r="6250" s="11" customFormat="true" ht="10.95" hidden="false" customHeight="true" outlineLevel="0" collapsed="false">
      <c r="A6250" s="16" t="n">
        <v>45196</v>
      </c>
      <c r="B6250" s="17" t="s">
        <v>3369</v>
      </c>
      <c r="C6250" s="17" t="s">
        <v>3370</v>
      </c>
      <c r="D6250" s="17" t="s">
        <v>19</v>
      </c>
      <c r="E6250" s="17" t="s">
        <v>3447</v>
      </c>
      <c r="F6250" s="17" t="s">
        <v>264</v>
      </c>
      <c r="G6250" s="18" t="n">
        <v>206.8</v>
      </c>
      <c r="H6250" s="18" t="n">
        <v>0</v>
      </c>
      <c r="I6250" s="18" t="n">
        <f aca="false">((I6249 + G6250) - H6250)</f>
        <v>121936.95</v>
      </c>
      <c r="J6250" s="18" t="n">
        <v>0</v>
      </c>
      <c r="K6250" s="19" t="n">
        <v>0</v>
      </c>
      <c r="L6250" s="17"/>
    </row>
    <row r="6251" s="11" customFormat="true" ht="10.95" hidden="false" customHeight="true" outlineLevel="0" collapsed="false">
      <c r="A6251" s="16" t="n">
        <v>45196</v>
      </c>
      <c r="B6251" s="17" t="s">
        <v>3369</v>
      </c>
      <c r="C6251" s="17" t="s">
        <v>3370</v>
      </c>
      <c r="D6251" s="17" t="s">
        <v>19</v>
      </c>
      <c r="E6251" s="17" t="s">
        <v>3447</v>
      </c>
      <c r="F6251" s="17" t="s">
        <v>265</v>
      </c>
      <c r="G6251" s="18" t="n">
        <v>1878.25</v>
      </c>
      <c r="H6251" s="18" t="n">
        <v>0</v>
      </c>
      <c r="I6251" s="18" t="n">
        <f aca="false">((I6250 + G6251) - H6251)</f>
        <v>123815.2</v>
      </c>
      <c r="J6251" s="18" t="n">
        <v>0</v>
      </c>
      <c r="K6251" s="19" t="n">
        <v>0</v>
      </c>
      <c r="L6251" s="17"/>
    </row>
    <row r="6252" s="11" customFormat="true" ht="10.95" hidden="false" customHeight="true" outlineLevel="0" collapsed="false">
      <c r="A6252" s="16" t="n">
        <v>45196</v>
      </c>
      <c r="B6252" s="17" t="s">
        <v>3369</v>
      </c>
      <c r="C6252" s="17" t="s">
        <v>3370</v>
      </c>
      <c r="D6252" s="17" t="s">
        <v>19</v>
      </c>
      <c r="E6252" s="17" t="s">
        <v>3447</v>
      </c>
      <c r="F6252" s="17" t="s">
        <v>270</v>
      </c>
      <c r="G6252" s="18" t="n">
        <v>517</v>
      </c>
      <c r="H6252" s="18" t="n">
        <v>0</v>
      </c>
      <c r="I6252" s="18" t="n">
        <f aca="false">((I6251 + G6252) - H6252)</f>
        <v>124332.2</v>
      </c>
      <c r="J6252" s="18" t="n">
        <v>0</v>
      </c>
      <c r="K6252" s="19" t="n">
        <v>0</v>
      </c>
      <c r="L6252" s="17"/>
    </row>
    <row r="6253" s="11" customFormat="true" ht="10.95" hidden="false" customHeight="true" outlineLevel="0" collapsed="false">
      <c r="A6253" s="16" t="n">
        <v>45196</v>
      </c>
      <c r="B6253" s="17" t="s">
        <v>3369</v>
      </c>
      <c r="C6253" s="17" t="s">
        <v>3370</v>
      </c>
      <c r="D6253" s="17" t="s">
        <v>19</v>
      </c>
      <c r="E6253" s="17" t="s">
        <v>3447</v>
      </c>
      <c r="F6253" s="17" t="s">
        <v>271</v>
      </c>
      <c r="G6253" s="18" t="n">
        <v>316.8</v>
      </c>
      <c r="H6253" s="18" t="n">
        <v>0</v>
      </c>
      <c r="I6253" s="18" t="n">
        <f aca="false">((I6252 + G6253) - H6253)</f>
        <v>124649</v>
      </c>
      <c r="J6253" s="18" t="n">
        <v>0</v>
      </c>
      <c r="K6253" s="19" t="n">
        <v>0</v>
      </c>
      <c r="L6253" s="17"/>
    </row>
    <row r="6254" s="11" customFormat="true" ht="10.95" hidden="false" customHeight="true" outlineLevel="0" collapsed="false">
      <c r="A6254" s="16" t="n">
        <v>45196</v>
      </c>
      <c r="B6254" s="17" t="s">
        <v>3369</v>
      </c>
      <c r="C6254" s="17" t="s">
        <v>3370</v>
      </c>
      <c r="D6254" s="17" t="s">
        <v>19</v>
      </c>
      <c r="E6254" s="17" t="s">
        <v>3447</v>
      </c>
      <c r="F6254" s="17" t="s">
        <v>272</v>
      </c>
      <c r="G6254" s="18" t="n">
        <v>627</v>
      </c>
      <c r="H6254" s="18" t="n">
        <v>0</v>
      </c>
      <c r="I6254" s="18" t="n">
        <f aca="false">((I6253 + G6254) - H6254)</f>
        <v>125276</v>
      </c>
      <c r="J6254" s="18" t="n">
        <v>0</v>
      </c>
      <c r="K6254" s="19" t="n">
        <v>0</v>
      </c>
      <c r="L6254" s="17"/>
    </row>
    <row r="6255" s="11" customFormat="true" ht="10.95" hidden="false" customHeight="true" outlineLevel="0" collapsed="false">
      <c r="A6255" s="16" t="n">
        <v>45196</v>
      </c>
      <c r="B6255" s="17" t="s">
        <v>3369</v>
      </c>
      <c r="C6255" s="17" t="s">
        <v>3370</v>
      </c>
      <c r="D6255" s="17" t="s">
        <v>19</v>
      </c>
      <c r="E6255" s="17" t="s">
        <v>3447</v>
      </c>
      <c r="F6255" s="17" t="s">
        <v>273</v>
      </c>
      <c r="G6255" s="18" t="n">
        <v>2484.9</v>
      </c>
      <c r="H6255" s="18" t="n">
        <v>0</v>
      </c>
      <c r="I6255" s="18" t="n">
        <f aca="false">((I6254 + G6255) - H6255)</f>
        <v>127760.9</v>
      </c>
      <c r="J6255" s="18" t="n">
        <v>0</v>
      </c>
      <c r="K6255" s="19" t="n">
        <v>0</v>
      </c>
      <c r="L6255" s="17"/>
    </row>
    <row r="6256" s="11" customFormat="true" ht="10.95" hidden="false" customHeight="true" outlineLevel="0" collapsed="false">
      <c r="A6256" s="16" t="n">
        <v>45196</v>
      </c>
      <c r="B6256" s="17" t="s">
        <v>3369</v>
      </c>
      <c r="C6256" s="17" t="s">
        <v>3370</v>
      </c>
      <c r="D6256" s="17" t="s">
        <v>19</v>
      </c>
      <c r="E6256" s="17" t="s">
        <v>3447</v>
      </c>
      <c r="F6256" s="17" t="s">
        <v>274</v>
      </c>
      <c r="G6256" s="18" t="n">
        <v>1258.4</v>
      </c>
      <c r="H6256" s="18" t="n">
        <v>0</v>
      </c>
      <c r="I6256" s="18" t="n">
        <f aca="false">((I6255 + G6256) - H6256)</f>
        <v>129019.3</v>
      </c>
      <c r="J6256" s="18" t="n">
        <v>0</v>
      </c>
      <c r="K6256" s="19" t="n">
        <v>0</v>
      </c>
      <c r="L6256" s="17"/>
    </row>
    <row r="6257" s="11" customFormat="true" ht="10.95" hidden="false" customHeight="true" outlineLevel="0" collapsed="false">
      <c r="A6257" s="16" t="n">
        <v>45196</v>
      </c>
      <c r="B6257" s="17" t="s">
        <v>3369</v>
      </c>
      <c r="C6257" s="17" t="s">
        <v>3370</v>
      </c>
      <c r="D6257" s="17" t="s">
        <v>19</v>
      </c>
      <c r="E6257" s="17" t="s">
        <v>3447</v>
      </c>
      <c r="F6257" s="17" t="s">
        <v>275</v>
      </c>
      <c r="G6257" s="18" t="n">
        <v>310.2</v>
      </c>
      <c r="H6257" s="18" t="n">
        <v>0</v>
      </c>
      <c r="I6257" s="18" t="n">
        <f aca="false">((I6256 + G6257) - H6257)</f>
        <v>129329.5</v>
      </c>
      <c r="J6257" s="18" t="n">
        <v>0</v>
      </c>
      <c r="K6257" s="19" t="n">
        <v>0</v>
      </c>
      <c r="L6257" s="17"/>
    </row>
    <row r="6258" s="11" customFormat="true" ht="10.95" hidden="false" customHeight="true" outlineLevel="0" collapsed="false">
      <c r="A6258" s="16" t="n">
        <v>45196</v>
      </c>
      <c r="B6258" s="17" t="s">
        <v>3369</v>
      </c>
      <c r="C6258" s="17" t="s">
        <v>3370</v>
      </c>
      <c r="D6258" s="17" t="s">
        <v>19</v>
      </c>
      <c r="E6258" s="17" t="s">
        <v>3447</v>
      </c>
      <c r="F6258" s="17" t="s">
        <v>276</v>
      </c>
      <c r="G6258" s="18" t="n">
        <v>310.2</v>
      </c>
      <c r="H6258" s="18" t="n">
        <v>0</v>
      </c>
      <c r="I6258" s="18" t="n">
        <f aca="false">((I6257 + G6258) - H6258)</f>
        <v>129639.7</v>
      </c>
      <c r="J6258" s="18" t="n">
        <v>0</v>
      </c>
      <c r="K6258" s="19" t="n">
        <v>0</v>
      </c>
      <c r="L6258" s="17"/>
    </row>
    <row r="6259" s="11" customFormat="true" ht="10.95" hidden="false" customHeight="true" outlineLevel="0" collapsed="false">
      <c r="A6259" s="16" t="n">
        <v>45196</v>
      </c>
      <c r="B6259" s="17" t="s">
        <v>3369</v>
      </c>
      <c r="C6259" s="17" t="s">
        <v>3370</v>
      </c>
      <c r="D6259" s="17" t="s">
        <v>19</v>
      </c>
      <c r="E6259" s="17" t="s">
        <v>3447</v>
      </c>
      <c r="F6259" s="17" t="s">
        <v>277</v>
      </c>
      <c r="G6259" s="18" t="n">
        <v>517</v>
      </c>
      <c r="H6259" s="18" t="n">
        <v>0</v>
      </c>
      <c r="I6259" s="18" t="n">
        <f aca="false">((I6258 + G6259) - H6259)</f>
        <v>130156.7</v>
      </c>
      <c r="J6259" s="18" t="n">
        <v>0</v>
      </c>
      <c r="K6259" s="19" t="n">
        <v>0</v>
      </c>
      <c r="L6259" s="17"/>
    </row>
    <row r="6260" s="11" customFormat="true" ht="10.95" hidden="false" customHeight="true" outlineLevel="0" collapsed="false">
      <c r="A6260" s="16" t="n">
        <v>45196</v>
      </c>
      <c r="B6260" s="17" t="s">
        <v>3369</v>
      </c>
      <c r="C6260" s="17" t="s">
        <v>3370</v>
      </c>
      <c r="D6260" s="17" t="s">
        <v>19</v>
      </c>
      <c r="E6260" s="17" t="s">
        <v>3447</v>
      </c>
      <c r="F6260" s="17" t="s">
        <v>278</v>
      </c>
      <c r="G6260" s="18" t="n">
        <v>1344.2</v>
      </c>
      <c r="H6260" s="18" t="n">
        <v>0</v>
      </c>
      <c r="I6260" s="18" t="n">
        <f aca="false">((I6259 + G6260) - H6260)</f>
        <v>131500.9</v>
      </c>
      <c r="J6260" s="18" t="n">
        <v>0</v>
      </c>
      <c r="K6260" s="19" t="n">
        <v>0</v>
      </c>
      <c r="L6260" s="17"/>
    </row>
    <row r="6261" s="11" customFormat="true" ht="10.95" hidden="false" customHeight="true" outlineLevel="0" collapsed="false">
      <c r="A6261" s="16" t="n">
        <v>45196</v>
      </c>
      <c r="B6261" s="17" t="s">
        <v>3369</v>
      </c>
      <c r="C6261" s="17" t="s">
        <v>3370</v>
      </c>
      <c r="D6261" s="17" t="s">
        <v>19</v>
      </c>
      <c r="E6261" s="17" t="s">
        <v>3447</v>
      </c>
      <c r="F6261" s="17" t="s">
        <v>279</v>
      </c>
      <c r="G6261" s="18" t="n">
        <v>103.4</v>
      </c>
      <c r="H6261" s="18" t="n">
        <v>0</v>
      </c>
      <c r="I6261" s="18" t="n">
        <f aca="false">((I6260 + G6261) - H6261)</f>
        <v>131604.3</v>
      </c>
      <c r="J6261" s="18" t="n">
        <v>0</v>
      </c>
      <c r="K6261" s="19" t="n">
        <v>0</v>
      </c>
      <c r="L6261" s="17"/>
    </row>
    <row r="6262" s="11" customFormat="true" ht="10.95" hidden="false" customHeight="true" outlineLevel="0" collapsed="false">
      <c r="A6262" s="16" t="n">
        <v>45196</v>
      </c>
      <c r="B6262" s="17" t="s">
        <v>3369</v>
      </c>
      <c r="C6262" s="17" t="s">
        <v>3370</v>
      </c>
      <c r="D6262" s="17" t="s">
        <v>19</v>
      </c>
      <c r="E6262" s="17" t="s">
        <v>3447</v>
      </c>
      <c r="F6262" s="17" t="s">
        <v>280</v>
      </c>
      <c r="G6262" s="18" t="n">
        <v>723.8</v>
      </c>
      <c r="H6262" s="18" t="n">
        <v>0</v>
      </c>
      <c r="I6262" s="18" t="n">
        <f aca="false">((I6261 + G6262) - H6262)</f>
        <v>132328.1</v>
      </c>
      <c r="J6262" s="18" t="n">
        <v>0</v>
      </c>
      <c r="K6262" s="19" t="n">
        <v>0</v>
      </c>
      <c r="L6262" s="17"/>
    </row>
    <row r="6263" s="11" customFormat="true" ht="10.95" hidden="false" customHeight="true" outlineLevel="0" collapsed="false">
      <c r="A6263" s="16" t="n">
        <v>45196</v>
      </c>
      <c r="B6263" s="17" t="s">
        <v>3369</v>
      </c>
      <c r="C6263" s="17" t="s">
        <v>3370</v>
      </c>
      <c r="D6263" s="17" t="s">
        <v>19</v>
      </c>
      <c r="E6263" s="17" t="s">
        <v>3449</v>
      </c>
      <c r="F6263" s="17" t="s">
        <v>828</v>
      </c>
      <c r="G6263" s="18" t="n">
        <v>609.12</v>
      </c>
      <c r="H6263" s="18" t="n">
        <v>0</v>
      </c>
      <c r="I6263" s="18" t="n">
        <f aca="false">((I6262 + G6263) - H6263)</f>
        <v>132937.22</v>
      </c>
      <c r="J6263" s="18" t="n">
        <v>0</v>
      </c>
      <c r="K6263" s="19" t="n">
        <v>0</v>
      </c>
      <c r="L6263" s="17"/>
    </row>
    <row r="6264" s="11" customFormat="true" ht="10.95" hidden="false" customHeight="true" outlineLevel="0" collapsed="false">
      <c r="A6264" s="16" t="n">
        <v>45196</v>
      </c>
      <c r="B6264" s="17" t="s">
        <v>3369</v>
      </c>
      <c r="C6264" s="17" t="s">
        <v>3370</v>
      </c>
      <c r="D6264" s="17" t="s">
        <v>19</v>
      </c>
      <c r="E6264" s="17" t="s">
        <v>3450</v>
      </c>
      <c r="F6264" s="17" t="s">
        <v>1132</v>
      </c>
      <c r="G6264" s="18" t="n">
        <v>267.8</v>
      </c>
      <c r="H6264" s="18" t="n">
        <v>0</v>
      </c>
      <c r="I6264" s="18" t="n">
        <f aca="false">((I6263 + G6264) - H6264)</f>
        <v>133205.02</v>
      </c>
      <c r="J6264" s="18" t="n">
        <v>0</v>
      </c>
      <c r="K6264" s="19" t="n">
        <v>0</v>
      </c>
      <c r="L6264" s="17"/>
    </row>
    <row r="6265" s="11" customFormat="true" ht="10.95" hidden="false" customHeight="true" outlineLevel="0" collapsed="false">
      <c r="A6265" s="16" t="n">
        <v>45196</v>
      </c>
      <c r="B6265" s="17" t="s">
        <v>3369</v>
      </c>
      <c r="C6265" s="17" t="s">
        <v>3370</v>
      </c>
      <c r="D6265" s="17" t="s">
        <v>19</v>
      </c>
      <c r="E6265" s="17" t="s">
        <v>3450</v>
      </c>
      <c r="F6265" s="17" t="s">
        <v>1133</v>
      </c>
      <c r="G6265" s="18" t="n">
        <v>809.46</v>
      </c>
      <c r="H6265" s="18" t="n">
        <v>0</v>
      </c>
      <c r="I6265" s="18" t="n">
        <f aca="false">((I6264 + G6265) - H6265)</f>
        <v>134014.48</v>
      </c>
      <c r="J6265" s="18" t="n">
        <v>0</v>
      </c>
      <c r="K6265" s="19" t="n">
        <v>0</v>
      </c>
      <c r="L6265" s="17"/>
    </row>
    <row r="6266" s="11" customFormat="true" ht="10.95" hidden="false" customHeight="true" outlineLevel="0" collapsed="false">
      <c r="A6266" s="16" t="n">
        <v>45196</v>
      </c>
      <c r="B6266" s="17" t="s">
        <v>3369</v>
      </c>
      <c r="C6266" s="17" t="s">
        <v>3370</v>
      </c>
      <c r="D6266" s="17" t="s">
        <v>19</v>
      </c>
      <c r="E6266" s="17" t="s">
        <v>3450</v>
      </c>
      <c r="F6266" s="17" t="s">
        <v>1134</v>
      </c>
      <c r="G6266" s="18" t="n">
        <v>1760.26</v>
      </c>
      <c r="H6266" s="18" t="n">
        <v>0</v>
      </c>
      <c r="I6266" s="18" t="n">
        <f aca="false">((I6265 + G6266) - H6266)</f>
        <v>135774.74</v>
      </c>
      <c r="J6266" s="18" t="n">
        <v>0</v>
      </c>
      <c r="K6266" s="19" t="n">
        <v>0</v>
      </c>
      <c r="L6266" s="17"/>
    </row>
    <row r="6267" s="11" customFormat="true" ht="10.95" hidden="false" customHeight="true" outlineLevel="0" collapsed="false">
      <c r="A6267" s="16" t="n">
        <v>45196</v>
      </c>
      <c r="B6267" s="17" t="s">
        <v>3369</v>
      </c>
      <c r="C6267" s="17" t="s">
        <v>3370</v>
      </c>
      <c r="D6267" s="17" t="s">
        <v>19</v>
      </c>
      <c r="E6267" s="17" t="s">
        <v>3450</v>
      </c>
      <c r="F6267" s="17" t="s">
        <v>1135</v>
      </c>
      <c r="G6267" s="18" t="n">
        <v>1835.58</v>
      </c>
      <c r="H6267" s="18" t="n">
        <v>0</v>
      </c>
      <c r="I6267" s="18" t="n">
        <f aca="false">((I6266 + G6267) - H6267)</f>
        <v>137610.32</v>
      </c>
      <c r="J6267" s="18" t="n">
        <v>0</v>
      </c>
      <c r="K6267" s="19" t="n">
        <v>0</v>
      </c>
      <c r="L6267" s="17"/>
    </row>
    <row r="6268" s="11" customFormat="true" ht="10.95" hidden="false" customHeight="true" outlineLevel="0" collapsed="false">
      <c r="A6268" s="16" t="n">
        <v>45196</v>
      </c>
      <c r="B6268" s="17" t="s">
        <v>3369</v>
      </c>
      <c r="C6268" s="17" t="s">
        <v>3370</v>
      </c>
      <c r="D6268" s="17" t="s">
        <v>19</v>
      </c>
      <c r="E6268" s="17" t="s">
        <v>3450</v>
      </c>
      <c r="F6268" s="17" t="s">
        <v>1136</v>
      </c>
      <c r="G6268" s="18" t="n">
        <v>133.82</v>
      </c>
      <c r="H6268" s="18" t="n">
        <v>0</v>
      </c>
      <c r="I6268" s="18" t="n">
        <f aca="false">((I6267 + G6268) - H6268)</f>
        <v>137744.14</v>
      </c>
      <c r="J6268" s="18" t="n">
        <v>0</v>
      </c>
      <c r="K6268" s="19" t="n">
        <v>0</v>
      </c>
      <c r="L6268" s="17"/>
    </row>
    <row r="6269" s="11" customFormat="true" ht="10.95" hidden="false" customHeight="true" outlineLevel="0" collapsed="false">
      <c r="A6269" s="16" t="n">
        <v>45196</v>
      </c>
      <c r="B6269" s="17" t="s">
        <v>3369</v>
      </c>
      <c r="C6269" s="17" t="s">
        <v>3370</v>
      </c>
      <c r="D6269" s="17" t="s">
        <v>19</v>
      </c>
      <c r="E6269" s="17" t="s">
        <v>3450</v>
      </c>
      <c r="F6269" s="17" t="s">
        <v>1137</v>
      </c>
      <c r="G6269" s="18" t="n">
        <v>1020.86</v>
      </c>
      <c r="H6269" s="18" t="n">
        <v>0</v>
      </c>
      <c r="I6269" s="18" t="n">
        <f aca="false">((I6268 + G6269) - H6269)</f>
        <v>138765</v>
      </c>
      <c r="J6269" s="18" t="n">
        <v>0</v>
      </c>
      <c r="K6269" s="19" t="n">
        <v>0</v>
      </c>
      <c r="L6269" s="17"/>
    </row>
    <row r="6270" s="11" customFormat="true" ht="10.95" hidden="false" customHeight="true" outlineLevel="0" collapsed="false">
      <c r="A6270" s="16" t="n">
        <v>45196</v>
      </c>
      <c r="B6270" s="17" t="s">
        <v>3369</v>
      </c>
      <c r="C6270" s="17" t="s">
        <v>3370</v>
      </c>
      <c r="D6270" s="17" t="s">
        <v>19</v>
      </c>
      <c r="E6270" s="17" t="s">
        <v>3454</v>
      </c>
      <c r="F6270" s="17" t="s">
        <v>281</v>
      </c>
      <c r="G6270" s="18" t="n">
        <v>16797.72</v>
      </c>
      <c r="H6270" s="18" t="n">
        <v>0</v>
      </c>
      <c r="I6270" s="18" t="n">
        <f aca="false">((I6269 + G6270) - H6270)</f>
        <v>155562.72</v>
      </c>
      <c r="J6270" s="18" t="n">
        <v>0</v>
      </c>
      <c r="K6270" s="19" t="n">
        <v>0</v>
      </c>
      <c r="L6270" s="17"/>
    </row>
    <row r="6271" s="11" customFormat="true" ht="10.95" hidden="false" customHeight="true" outlineLevel="0" collapsed="false">
      <c r="A6271" s="16" t="n">
        <v>45196</v>
      </c>
      <c r="B6271" s="17" t="s">
        <v>3369</v>
      </c>
      <c r="C6271" s="17" t="s">
        <v>3370</v>
      </c>
      <c r="D6271" s="17" t="s">
        <v>2895</v>
      </c>
      <c r="E6271" s="17" t="s">
        <v>3453</v>
      </c>
      <c r="F6271" s="17" t="s">
        <v>241</v>
      </c>
      <c r="G6271" s="18" t="n">
        <v>0</v>
      </c>
      <c r="H6271" s="18" t="n">
        <v>93.5</v>
      </c>
      <c r="I6271" s="18" t="n">
        <f aca="false">((I6270 + G6271) - H6271)</f>
        <v>155469.22</v>
      </c>
      <c r="J6271" s="18" t="n">
        <v>0</v>
      </c>
      <c r="K6271" s="19" t="n">
        <v>0</v>
      </c>
      <c r="L6271" s="17"/>
    </row>
    <row r="6272" s="11" customFormat="true" ht="10.95" hidden="false" customHeight="true" outlineLevel="0" collapsed="false">
      <c r="A6272" s="16" t="n">
        <v>45196</v>
      </c>
      <c r="B6272" s="17" t="s">
        <v>3369</v>
      </c>
      <c r="C6272" s="17" t="s">
        <v>3370</v>
      </c>
      <c r="D6272" s="17" t="s">
        <v>19</v>
      </c>
      <c r="E6272" s="17" t="s">
        <v>3451</v>
      </c>
      <c r="F6272" s="17" t="s">
        <v>285</v>
      </c>
      <c r="G6272" s="18" t="n">
        <v>1278.2</v>
      </c>
      <c r="H6272" s="18" t="n">
        <v>0</v>
      </c>
      <c r="I6272" s="18" t="n">
        <f aca="false">((I6271 + G6272) - H6272)</f>
        <v>156747.42</v>
      </c>
      <c r="J6272" s="18" t="n">
        <v>0</v>
      </c>
      <c r="K6272" s="19" t="n">
        <v>0</v>
      </c>
      <c r="L6272" s="17"/>
    </row>
    <row r="6273" s="11" customFormat="true" ht="10.95" hidden="false" customHeight="true" outlineLevel="0" collapsed="false">
      <c r="A6273" s="16" t="n">
        <v>45197</v>
      </c>
      <c r="B6273" s="17" t="s">
        <v>3369</v>
      </c>
      <c r="C6273" s="17" t="s">
        <v>3370</v>
      </c>
      <c r="D6273" s="17" t="s">
        <v>2895</v>
      </c>
      <c r="E6273" s="17" t="s">
        <v>3503</v>
      </c>
      <c r="F6273" s="17" t="s">
        <v>234</v>
      </c>
      <c r="G6273" s="18" t="n">
        <v>0</v>
      </c>
      <c r="H6273" s="18" t="n">
        <v>998.25</v>
      </c>
      <c r="I6273" s="18" t="n">
        <f aca="false">((I6272 + G6273) - H6273)</f>
        <v>155749.17</v>
      </c>
      <c r="J6273" s="18" t="n">
        <v>0</v>
      </c>
      <c r="K6273" s="19" t="n">
        <v>0</v>
      </c>
      <c r="L6273" s="17"/>
    </row>
    <row r="6274" s="11" customFormat="true" ht="10.95" hidden="false" customHeight="true" outlineLevel="0" collapsed="false">
      <c r="A6274" s="16" t="n">
        <v>45197</v>
      </c>
      <c r="B6274" s="17" t="s">
        <v>3369</v>
      </c>
      <c r="C6274" s="17" t="s">
        <v>3370</v>
      </c>
      <c r="D6274" s="17" t="s">
        <v>2895</v>
      </c>
      <c r="E6274" s="17" t="s">
        <v>3456</v>
      </c>
      <c r="F6274" s="17" t="s">
        <v>248</v>
      </c>
      <c r="G6274" s="18" t="n">
        <v>0</v>
      </c>
      <c r="H6274" s="18" t="n">
        <v>2244</v>
      </c>
      <c r="I6274" s="18" t="n">
        <f aca="false">((I6273 + G6274) - H6274)</f>
        <v>153505.17</v>
      </c>
      <c r="J6274" s="18" t="n">
        <v>0</v>
      </c>
      <c r="K6274" s="19" t="n">
        <v>0</v>
      </c>
      <c r="L6274" s="17"/>
    </row>
    <row r="6275" s="11" customFormat="true" ht="10.95" hidden="false" customHeight="true" outlineLevel="0" collapsed="false">
      <c r="A6275" s="16" t="n">
        <v>45197</v>
      </c>
      <c r="B6275" s="17" t="s">
        <v>3369</v>
      </c>
      <c r="C6275" s="17" t="s">
        <v>3370</v>
      </c>
      <c r="D6275" s="17" t="s">
        <v>2895</v>
      </c>
      <c r="E6275" s="17" t="s">
        <v>3504</v>
      </c>
      <c r="F6275" s="17" t="s">
        <v>236</v>
      </c>
      <c r="G6275" s="18" t="n">
        <v>0</v>
      </c>
      <c r="H6275" s="18" t="n">
        <v>1034.55</v>
      </c>
      <c r="I6275" s="18" t="n">
        <f aca="false">((I6274 + G6275) - H6275)</f>
        <v>152470.62</v>
      </c>
      <c r="J6275" s="18" t="n">
        <v>0</v>
      </c>
      <c r="K6275" s="19" t="n">
        <v>0</v>
      </c>
      <c r="L6275" s="17"/>
    </row>
    <row r="6276" s="11" customFormat="true" ht="10.95" hidden="false" customHeight="true" outlineLevel="0" collapsed="false">
      <c r="A6276" s="16" t="n">
        <v>45197</v>
      </c>
      <c r="B6276" s="17" t="s">
        <v>3369</v>
      </c>
      <c r="C6276" s="17" t="s">
        <v>3370</v>
      </c>
      <c r="D6276" s="17" t="s">
        <v>2895</v>
      </c>
      <c r="E6276" s="17" t="s">
        <v>3466</v>
      </c>
      <c r="F6276" s="17" t="s">
        <v>247</v>
      </c>
      <c r="G6276" s="18" t="n">
        <v>0</v>
      </c>
      <c r="H6276" s="18" t="n">
        <v>396</v>
      </c>
      <c r="I6276" s="18" t="n">
        <f aca="false">((I6275 + G6276) - H6276)</f>
        <v>152074.62</v>
      </c>
      <c r="J6276" s="18" t="n">
        <v>0</v>
      </c>
      <c r="K6276" s="19" t="n">
        <v>0</v>
      </c>
      <c r="L6276" s="17"/>
    </row>
    <row r="6277" s="11" customFormat="true" ht="10.95" hidden="false" customHeight="true" outlineLevel="0" collapsed="false">
      <c r="A6277" s="16" t="n">
        <v>45197</v>
      </c>
      <c r="B6277" s="17" t="s">
        <v>3369</v>
      </c>
      <c r="C6277" s="17" t="s">
        <v>3370</v>
      </c>
      <c r="D6277" s="17" t="s">
        <v>2895</v>
      </c>
      <c r="E6277" s="17" t="s">
        <v>3480</v>
      </c>
      <c r="F6277" s="17" t="s">
        <v>1106</v>
      </c>
      <c r="G6277" s="18" t="n">
        <v>0</v>
      </c>
      <c r="H6277" s="18" t="n">
        <v>180</v>
      </c>
      <c r="I6277" s="18" t="n">
        <f aca="false">((I6276 + G6277) - H6277)</f>
        <v>151894.62</v>
      </c>
      <c r="J6277" s="18" t="n">
        <v>0</v>
      </c>
      <c r="K6277" s="19" t="n">
        <v>0</v>
      </c>
      <c r="L6277" s="17"/>
    </row>
    <row r="6278" s="11" customFormat="true" ht="10.95" hidden="false" customHeight="true" outlineLevel="0" collapsed="false">
      <c r="A6278" s="16" t="n">
        <v>45197</v>
      </c>
      <c r="B6278" s="17" t="s">
        <v>3369</v>
      </c>
      <c r="C6278" s="17" t="s">
        <v>3370</v>
      </c>
      <c r="D6278" s="17" t="s">
        <v>2895</v>
      </c>
      <c r="E6278" s="17" t="s">
        <v>3472</v>
      </c>
      <c r="F6278" s="17" t="s">
        <v>221</v>
      </c>
      <c r="G6278" s="18" t="n">
        <v>0</v>
      </c>
      <c r="H6278" s="18" t="n">
        <v>1278.2</v>
      </c>
      <c r="I6278" s="18" t="n">
        <f aca="false">((I6277 + G6278) - H6278)</f>
        <v>150616.42</v>
      </c>
      <c r="J6278" s="18" t="n">
        <v>0</v>
      </c>
      <c r="K6278" s="19" t="n">
        <v>0</v>
      </c>
      <c r="L6278" s="17"/>
    </row>
    <row r="6279" s="11" customFormat="true" ht="10.95" hidden="false" customHeight="true" outlineLevel="0" collapsed="false">
      <c r="A6279" s="16" t="n">
        <v>45198</v>
      </c>
      <c r="B6279" s="17" t="s">
        <v>3369</v>
      </c>
      <c r="C6279" s="17" t="s">
        <v>3370</v>
      </c>
      <c r="D6279" s="17" t="s">
        <v>2895</v>
      </c>
      <c r="E6279" s="17" t="s">
        <v>3467</v>
      </c>
      <c r="F6279" s="17" t="s">
        <v>240</v>
      </c>
      <c r="G6279" s="18" t="n">
        <v>0</v>
      </c>
      <c r="H6279" s="18" t="n">
        <v>919.6</v>
      </c>
      <c r="I6279" s="18" t="n">
        <f aca="false">((I6278 + G6279) - H6279)</f>
        <v>149696.82</v>
      </c>
      <c r="J6279" s="18" t="n">
        <v>0</v>
      </c>
      <c r="K6279" s="19" t="n">
        <v>0</v>
      </c>
      <c r="L6279" s="17"/>
    </row>
    <row r="6280" s="11" customFormat="true" ht="10.95" hidden="false" customHeight="true" outlineLevel="0" collapsed="false">
      <c r="A6280" s="16" t="n">
        <v>45198</v>
      </c>
      <c r="B6280" s="17" t="s">
        <v>3369</v>
      </c>
      <c r="C6280" s="17" t="s">
        <v>3370</v>
      </c>
      <c r="D6280" s="17" t="s">
        <v>2895</v>
      </c>
      <c r="E6280" s="17" t="s">
        <v>3382</v>
      </c>
      <c r="F6280" s="17" t="s">
        <v>222</v>
      </c>
      <c r="G6280" s="18" t="n">
        <v>0</v>
      </c>
      <c r="H6280" s="18" t="n">
        <v>17323.3</v>
      </c>
      <c r="I6280" s="18" t="n">
        <f aca="false">((I6279 + G6280) - H6280)</f>
        <v>132373.52</v>
      </c>
      <c r="J6280" s="18" t="n">
        <v>0</v>
      </c>
      <c r="K6280" s="19" t="n">
        <v>0</v>
      </c>
      <c r="L6280" s="17"/>
    </row>
    <row r="6281" s="11" customFormat="true" ht="10.95" hidden="false" customHeight="true" outlineLevel="0" collapsed="false">
      <c r="A6281" s="16" t="n">
        <v>45198</v>
      </c>
      <c r="B6281" s="17" t="s">
        <v>3369</v>
      </c>
      <c r="C6281" s="17" t="s">
        <v>3370</v>
      </c>
      <c r="D6281" s="17" t="s">
        <v>2895</v>
      </c>
      <c r="E6281" s="17" t="s">
        <v>3465</v>
      </c>
      <c r="F6281" s="17" t="s">
        <v>243</v>
      </c>
      <c r="G6281" s="18" t="n">
        <v>0</v>
      </c>
      <c r="H6281" s="18" t="n">
        <v>1094.5</v>
      </c>
      <c r="I6281" s="18" t="n">
        <f aca="false">((I6280 + G6281) - H6281)</f>
        <v>131279.02</v>
      </c>
      <c r="J6281" s="18" t="n">
        <v>0</v>
      </c>
      <c r="K6281" s="19" t="n">
        <v>0</v>
      </c>
      <c r="L6281" s="17"/>
    </row>
    <row r="6282" s="11" customFormat="true" ht="10.95" hidden="false" customHeight="true" outlineLevel="0" collapsed="false">
      <c r="A6282" s="16" t="n">
        <v>45198</v>
      </c>
      <c r="B6282" s="17" t="s">
        <v>3369</v>
      </c>
      <c r="C6282" s="17" t="s">
        <v>3370</v>
      </c>
      <c r="D6282" s="17" t="s">
        <v>2895</v>
      </c>
      <c r="E6282" s="17" t="s">
        <v>3474</v>
      </c>
      <c r="F6282" s="17" t="s">
        <v>242</v>
      </c>
      <c r="G6282" s="18" t="n">
        <v>0</v>
      </c>
      <c r="H6282" s="18" t="n">
        <v>357.5</v>
      </c>
      <c r="I6282" s="18" t="n">
        <f aca="false">((I6281 + G6282) - H6282)</f>
        <v>130921.52</v>
      </c>
      <c r="J6282" s="18" t="n">
        <v>0</v>
      </c>
      <c r="K6282" s="19" t="n">
        <v>0</v>
      </c>
      <c r="L6282" s="17"/>
    </row>
    <row r="6283" s="11" customFormat="true" ht="10.95" hidden="false" customHeight="true" outlineLevel="0" collapsed="false">
      <c r="A6283" s="16" t="n">
        <v>45200</v>
      </c>
      <c r="B6283" s="17" t="s">
        <v>3369</v>
      </c>
      <c r="C6283" s="17" t="s">
        <v>3370</v>
      </c>
      <c r="D6283" s="17" t="s">
        <v>2895</v>
      </c>
      <c r="E6283" s="17" t="s">
        <v>2897</v>
      </c>
      <c r="F6283" s="17" t="s">
        <v>828</v>
      </c>
      <c r="G6283" s="18" t="n">
        <v>0</v>
      </c>
      <c r="H6283" s="18" t="n">
        <v>609.12</v>
      </c>
      <c r="I6283" s="18" t="n">
        <f aca="false">((I6282 + G6283) - H6283)</f>
        <v>130312.4</v>
      </c>
      <c r="J6283" s="18" t="n">
        <v>0</v>
      </c>
      <c r="K6283" s="19" t="n">
        <v>0</v>
      </c>
      <c r="L6283" s="17"/>
    </row>
    <row r="6284" s="11" customFormat="true" ht="10.95" hidden="false" customHeight="true" outlineLevel="0" collapsed="false">
      <c r="A6284" s="16" t="n">
        <v>45200</v>
      </c>
      <c r="B6284" s="17" t="s">
        <v>3369</v>
      </c>
      <c r="C6284" s="17" t="s">
        <v>3370</v>
      </c>
      <c r="D6284" s="17" t="s">
        <v>2895</v>
      </c>
      <c r="E6284" s="17" t="s">
        <v>2896</v>
      </c>
      <c r="F6284" s="17" t="s">
        <v>819</v>
      </c>
      <c r="G6284" s="18" t="n">
        <v>0</v>
      </c>
      <c r="H6284" s="18" t="n">
        <v>91.24</v>
      </c>
      <c r="I6284" s="18" t="n">
        <f aca="false">((I6283 + G6284) - H6284)</f>
        <v>130221.16</v>
      </c>
      <c r="J6284" s="18" t="n">
        <v>0</v>
      </c>
      <c r="K6284" s="19" t="n">
        <v>0</v>
      </c>
      <c r="L6284" s="17"/>
    </row>
    <row r="6285" s="11" customFormat="true" ht="10.95" hidden="false" customHeight="true" outlineLevel="0" collapsed="false">
      <c r="A6285" s="16" t="n">
        <v>45201</v>
      </c>
      <c r="B6285" s="17" t="s">
        <v>3369</v>
      </c>
      <c r="C6285" s="17" t="s">
        <v>3370</v>
      </c>
      <c r="D6285" s="17" t="s">
        <v>2895</v>
      </c>
      <c r="E6285" s="17" t="s">
        <v>2917</v>
      </c>
      <c r="F6285" s="17" t="s">
        <v>1108</v>
      </c>
      <c r="G6285" s="18" t="n">
        <v>0</v>
      </c>
      <c r="H6285" s="18" t="n">
        <v>7082.27</v>
      </c>
      <c r="I6285" s="18" t="n">
        <f aca="false">((I6284 + G6285) - H6285)</f>
        <v>123138.89</v>
      </c>
      <c r="J6285" s="18" t="n">
        <v>0</v>
      </c>
      <c r="K6285" s="19" t="n">
        <v>0</v>
      </c>
      <c r="L6285" s="17"/>
    </row>
    <row r="6286" s="11" customFormat="true" ht="10.95" hidden="false" customHeight="true" outlineLevel="0" collapsed="false">
      <c r="A6286" s="16" t="n">
        <v>45201</v>
      </c>
      <c r="B6286" s="17" t="s">
        <v>3369</v>
      </c>
      <c r="C6286" s="17" t="s">
        <v>3370</v>
      </c>
      <c r="D6286" s="17" t="s">
        <v>2895</v>
      </c>
      <c r="E6286" s="17" t="s">
        <v>2917</v>
      </c>
      <c r="F6286" s="17" t="s">
        <v>1126</v>
      </c>
      <c r="G6286" s="18" t="n">
        <v>0</v>
      </c>
      <c r="H6286" s="18" t="n">
        <v>2325.26</v>
      </c>
      <c r="I6286" s="18" t="n">
        <f aca="false">((I6285 + G6286) - H6286)</f>
        <v>120813.63</v>
      </c>
      <c r="J6286" s="18" t="n">
        <v>0</v>
      </c>
      <c r="K6286" s="19" t="n">
        <v>0</v>
      </c>
      <c r="L6286" s="17"/>
    </row>
    <row r="6287" s="11" customFormat="true" ht="10.95" hidden="false" customHeight="true" outlineLevel="0" collapsed="false">
      <c r="A6287" s="16" t="n">
        <v>45201</v>
      </c>
      <c r="B6287" s="17" t="s">
        <v>3369</v>
      </c>
      <c r="C6287" s="17" t="s">
        <v>3370</v>
      </c>
      <c r="D6287" s="17" t="s">
        <v>2895</v>
      </c>
      <c r="E6287" s="17" t="s">
        <v>3460</v>
      </c>
      <c r="F6287" s="17" t="s">
        <v>246</v>
      </c>
      <c r="G6287" s="18" t="n">
        <v>0</v>
      </c>
      <c r="H6287" s="18" t="n">
        <v>4207.5</v>
      </c>
      <c r="I6287" s="18" t="n">
        <f aca="false">((I6286 + G6287) - H6287)</f>
        <v>116606.13</v>
      </c>
      <c r="J6287" s="18" t="n">
        <v>0</v>
      </c>
      <c r="K6287" s="19" t="n">
        <v>0</v>
      </c>
      <c r="L6287" s="17"/>
    </row>
    <row r="6288" s="11" customFormat="true" ht="10.95" hidden="false" customHeight="true" outlineLevel="0" collapsed="false">
      <c r="A6288" s="16" t="n">
        <v>45201</v>
      </c>
      <c r="B6288" s="17" t="s">
        <v>3369</v>
      </c>
      <c r="C6288" s="17" t="s">
        <v>3370</v>
      </c>
      <c r="D6288" s="17" t="s">
        <v>2895</v>
      </c>
      <c r="E6288" s="17" t="s">
        <v>2898</v>
      </c>
      <c r="F6288" s="17" t="s">
        <v>1128</v>
      </c>
      <c r="G6288" s="18" t="n">
        <v>0</v>
      </c>
      <c r="H6288" s="18" t="n">
        <v>771.39</v>
      </c>
      <c r="I6288" s="18" t="n">
        <f aca="false">((I6287 + G6288) - H6288)</f>
        <v>115834.74</v>
      </c>
      <c r="J6288" s="18" t="n">
        <v>0</v>
      </c>
      <c r="K6288" s="19" t="n">
        <v>0</v>
      </c>
      <c r="L6288" s="17"/>
    </row>
    <row r="6289" s="11" customFormat="true" ht="10.95" hidden="false" customHeight="true" outlineLevel="0" collapsed="false">
      <c r="A6289" s="16" t="n">
        <v>45202</v>
      </c>
      <c r="B6289" s="17" t="s">
        <v>3369</v>
      </c>
      <c r="C6289" s="17" t="s">
        <v>3370</v>
      </c>
      <c r="D6289" s="17" t="s">
        <v>2895</v>
      </c>
      <c r="E6289" s="17" t="s">
        <v>3384</v>
      </c>
      <c r="F6289" s="17" t="s">
        <v>814</v>
      </c>
      <c r="G6289" s="18" t="n">
        <v>0</v>
      </c>
      <c r="H6289" s="18" t="n">
        <v>1672</v>
      </c>
      <c r="I6289" s="18" t="n">
        <f aca="false">((I6288 + G6289) - H6289)</f>
        <v>114162.74</v>
      </c>
      <c r="J6289" s="18" t="n">
        <v>0</v>
      </c>
      <c r="K6289" s="19" t="n">
        <v>0</v>
      </c>
      <c r="L6289" s="17"/>
    </row>
    <row r="6290" s="11" customFormat="true" ht="10.95" hidden="false" customHeight="true" outlineLevel="0" collapsed="false">
      <c r="A6290" s="16" t="n">
        <v>45202</v>
      </c>
      <c r="B6290" s="17" t="s">
        <v>3369</v>
      </c>
      <c r="C6290" s="17" t="s">
        <v>3370</v>
      </c>
      <c r="D6290" s="17" t="s">
        <v>2895</v>
      </c>
      <c r="E6290" s="17" t="s">
        <v>3384</v>
      </c>
      <c r="F6290" s="17" t="s">
        <v>812</v>
      </c>
      <c r="G6290" s="18" t="n">
        <v>0</v>
      </c>
      <c r="H6290" s="18" t="n">
        <v>2194.5</v>
      </c>
      <c r="I6290" s="18" t="n">
        <f aca="false">((I6289 + G6290) - H6290)</f>
        <v>111968.24</v>
      </c>
      <c r="J6290" s="18" t="n">
        <v>0</v>
      </c>
      <c r="K6290" s="19" t="n">
        <v>0</v>
      </c>
      <c r="L6290" s="17"/>
    </row>
    <row r="6291" s="11" customFormat="true" ht="10.95" hidden="false" customHeight="true" outlineLevel="0" collapsed="false">
      <c r="A6291" s="16" t="n">
        <v>45202</v>
      </c>
      <c r="B6291" s="17" t="s">
        <v>3369</v>
      </c>
      <c r="C6291" s="17" t="s">
        <v>3370</v>
      </c>
      <c r="D6291" s="17" t="s">
        <v>2895</v>
      </c>
      <c r="E6291" s="17" t="s">
        <v>3384</v>
      </c>
      <c r="F6291" s="17" t="s">
        <v>813</v>
      </c>
      <c r="G6291" s="18" t="n">
        <v>0</v>
      </c>
      <c r="H6291" s="18" t="n">
        <v>643.5</v>
      </c>
      <c r="I6291" s="18" t="n">
        <f aca="false">((I6290 + G6291) - H6291)</f>
        <v>111324.74</v>
      </c>
      <c r="J6291" s="18" t="n">
        <v>0</v>
      </c>
      <c r="K6291" s="19" t="n">
        <v>0</v>
      </c>
      <c r="L6291" s="17"/>
    </row>
    <row r="6292" s="11" customFormat="true" ht="10.95" hidden="false" customHeight="true" outlineLevel="0" collapsed="false">
      <c r="A6292" s="16" t="n">
        <v>45202</v>
      </c>
      <c r="B6292" s="17" t="s">
        <v>3369</v>
      </c>
      <c r="C6292" s="17" t="s">
        <v>3370</v>
      </c>
      <c r="D6292" s="17" t="s">
        <v>2895</v>
      </c>
      <c r="E6292" s="17" t="s">
        <v>3384</v>
      </c>
      <c r="F6292" s="17" t="s">
        <v>811</v>
      </c>
      <c r="G6292" s="18" t="n">
        <v>0</v>
      </c>
      <c r="H6292" s="18" t="n">
        <v>2821.5</v>
      </c>
      <c r="I6292" s="18" t="n">
        <f aca="false">((I6291 + G6292) - H6292)</f>
        <v>108503.24</v>
      </c>
      <c r="J6292" s="18" t="n">
        <v>0</v>
      </c>
      <c r="K6292" s="19" t="n">
        <v>0</v>
      </c>
      <c r="L6292" s="17"/>
    </row>
    <row r="6293" s="11" customFormat="true" ht="10.95" hidden="false" customHeight="true" outlineLevel="0" collapsed="false">
      <c r="A6293" s="16" t="n">
        <v>45202</v>
      </c>
      <c r="B6293" s="17" t="s">
        <v>3369</v>
      </c>
      <c r="C6293" s="17" t="s">
        <v>3370</v>
      </c>
      <c r="D6293" s="17" t="s">
        <v>2895</v>
      </c>
      <c r="E6293" s="17" t="s">
        <v>3505</v>
      </c>
      <c r="F6293" s="17" t="s">
        <v>232</v>
      </c>
      <c r="G6293" s="18" t="n">
        <v>0</v>
      </c>
      <c r="H6293" s="18" t="n">
        <v>471.9</v>
      </c>
      <c r="I6293" s="18" t="n">
        <f aca="false">((I6292 + G6293) - H6293)</f>
        <v>108031.34</v>
      </c>
      <c r="J6293" s="18" t="n">
        <v>0</v>
      </c>
      <c r="K6293" s="19" t="n">
        <v>0</v>
      </c>
      <c r="L6293" s="17"/>
    </row>
    <row r="6294" s="11" customFormat="true" ht="10.95" hidden="false" customHeight="true" outlineLevel="0" collapsed="false">
      <c r="A6294" s="16" t="n">
        <v>45202</v>
      </c>
      <c r="B6294" s="17" t="s">
        <v>3369</v>
      </c>
      <c r="C6294" s="17" t="s">
        <v>3370</v>
      </c>
      <c r="D6294" s="17" t="s">
        <v>2895</v>
      </c>
      <c r="E6294" s="17" t="s">
        <v>3403</v>
      </c>
      <c r="F6294" s="17" t="s">
        <v>227</v>
      </c>
      <c r="G6294" s="18" t="n">
        <v>0</v>
      </c>
      <c r="H6294" s="18" t="n">
        <v>103.4</v>
      </c>
      <c r="I6294" s="18" t="n">
        <f aca="false">((I6293 + G6294) - H6294)</f>
        <v>107927.94</v>
      </c>
      <c r="J6294" s="18" t="n">
        <v>0</v>
      </c>
      <c r="K6294" s="19" t="n">
        <v>0</v>
      </c>
      <c r="L6294" s="17"/>
    </row>
    <row r="6295" s="11" customFormat="true" ht="10.95" hidden="false" customHeight="true" outlineLevel="0" collapsed="false">
      <c r="A6295" s="16" t="n">
        <v>45202</v>
      </c>
      <c r="B6295" s="17" t="s">
        <v>3369</v>
      </c>
      <c r="C6295" s="17" t="s">
        <v>3370</v>
      </c>
      <c r="D6295" s="17" t="s">
        <v>2895</v>
      </c>
      <c r="E6295" s="17" t="s">
        <v>3403</v>
      </c>
      <c r="F6295" s="17" t="s">
        <v>212</v>
      </c>
      <c r="G6295" s="18" t="n">
        <v>0</v>
      </c>
      <c r="H6295" s="18" t="n">
        <v>2484.9</v>
      </c>
      <c r="I6295" s="18" t="n">
        <f aca="false">((I6294 + G6295) - H6295)</f>
        <v>105443.04</v>
      </c>
      <c r="J6295" s="18" t="n">
        <v>0</v>
      </c>
      <c r="K6295" s="19" t="n">
        <v>0</v>
      </c>
      <c r="L6295" s="17"/>
    </row>
    <row r="6296" s="11" customFormat="true" ht="10.95" hidden="false" customHeight="true" outlineLevel="0" collapsed="false">
      <c r="A6296" s="16" t="n">
        <v>45202</v>
      </c>
      <c r="B6296" s="17" t="s">
        <v>3369</v>
      </c>
      <c r="C6296" s="17" t="s">
        <v>3370</v>
      </c>
      <c r="D6296" s="17" t="s">
        <v>2895</v>
      </c>
      <c r="E6296" s="17" t="s">
        <v>3403</v>
      </c>
      <c r="F6296" s="17" t="s">
        <v>216</v>
      </c>
      <c r="G6296" s="18" t="n">
        <v>0</v>
      </c>
      <c r="H6296" s="18" t="n">
        <v>517</v>
      </c>
      <c r="I6296" s="18" t="n">
        <f aca="false">((I6295 + G6296) - H6296)</f>
        <v>104926.04</v>
      </c>
      <c r="J6296" s="18" t="n">
        <v>0</v>
      </c>
      <c r="K6296" s="19" t="n">
        <v>0</v>
      </c>
      <c r="L6296" s="17"/>
    </row>
    <row r="6297" s="11" customFormat="true" ht="10.95" hidden="false" customHeight="true" outlineLevel="0" collapsed="false">
      <c r="A6297" s="16" t="n">
        <v>45202</v>
      </c>
      <c r="B6297" s="17" t="s">
        <v>3369</v>
      </c>
      <c r="C6297" s="17" t="s">
        <v>3370</v>
      </c>
      <c r="D6297" s="17" t="s">
        <v>2895</v>
      </c>
      <c r="E6297" s="17" t="s">
        <v>3403</v>
      </c>
      <c r="F6297" s="17" t="s">
        <v>215</v>
      </c>
      <c r="G6297" s="18" t="n">
        <v>0</v>
      </c>
      <c r="H6297" s="18" t="n">
        <v>310.2</v>
      </c>
      <c r="I6297" s="18" t="n">
        <f aca="false">((I6296 + G6297) - H6297)</f>
        <v>104615.84</v>
      </c>
      <c r="J6297" s="18" t="n">
        <v>0</v>
      </c>
      <c r="K6297" s="19" t="n">
        <v>0</v>
      </c>
      <c r="L6297" s="17"/>
    </row>
    <row r="6298" s="11" customFormat="true" ht="10.95" hidden="false" customHeight="true" outlineLevel="0" collapsed="false">
      <c r="A6298" s="16" t="n">
        <v>45202</v>
      </c>
      <c r="B6298" s="17" t="s">
        <v>3369</v>
      </c>
      <c r="C6298" s="17" t="s">
        <v>3370</v>
      </c>
      <c r="D6298" s="17" t="s">
        <v>19</v>
      </c>
      <c r="E6298" s="17" t="s">
        <v>3495</v>
      </c>
      <c r="F6298" s="17" t="s">
        <v>1139</v>
      </c>
      <c r="G6298" s="18" t="n">
        <v>1384.87</v>
      </c>
      <c r="H6298" s="18" t="n">
        <v>0</v>
      </c>
      <c r="I6298" s="18" t="n">
        <f aca="false">((I6297 + G6298) - H6298)</f>
        <v>106000.71</v>
      </c>
      <c r="J6298" s="18" t="n">
        <v>0</v>
      </c>
      <c r="K6298" s="19" t="n">
        <v>0</v>
      </c>
      <c r="L6298" s="17"/>
    </row>
    <row r="6299" s="11" customFormat="true" ht="10.95" hidden="false" customHeight="true" outlineLevel="0" collapsed="false">
      <c r="A6299" s="16" t="n">
        <v>45203</v>
      </c>
      <c r="B6299" s="17" t="s">
        <v>3369</v>
      </c>
      <c r="C6299" s="17" t="s">
        <v>3370</v>
      </c>
      <c r="D6299" s="17" t="s">
        <v>19</v>
      </c>
      <c r="E6299" s="17" t="s">
        <v>3506</v>
      </c>
      <c r="F6299" s="17" t="s">
        <v>972</v>
      </c>
      <c r="G6299" s="18" t="n">
        <v>1593.23</v>
      </c>
      <c r="H6299" s="18" t="n">
        <v>0</v>
      </c>
      <c r="I6299" s="18" t="n">
        <f aca="false">((I6298 + G6299) - H6299)</f>
        <v>107593.94</v>
      </c>
      <c r="J6299" s="18" t="n">
        <v>0</v>
      </c>
      <c r="K6299" s="19" t="n">
        <v>0</v>
      </c>
      <c r="L6299" s="17"/>
    </row>
    <row r="6300" s="11" customFormat="true" ht="10.95" hidden="false" customHeight="true" outlineLevel="0" collapsed="false">
      <c r="A6300" s="16" t="n">
        <v>45203</v>
      </c>
      <c r="B6300" s="17" t="s">
        <v>3369</v>
      </c>
      <c r="C6300" s="17" t="s">
        <v>3370</v>
      </c>
      <c r="D6300" s="17" t="s">
        <v>2895</v>
      </c>
      <c r="E6300" s="17" t="s">
        <v>3389</v>
      </c>
      <c r="F6300" s="17" t="s">
        <v>252</v>
      </c>
      <c r="G6300" s="18" t="n">
        <v>0</v>
      </c>
      <c r="H6300" s="18" t="n">
        <v>4873</v>
      </c>
      <c r="I6300" s="18" t="n">
        <f aca="false">((I6299 + G6300) - H6300)</f>
        <v>102720.94</v>
      </c>
      <c r="J6300" s="18" t="n">
        <v>0</v>
      </c>
      <c r="K6300" s="19" t="n">
        <v>0</v>
      </c>
      <c r="L6300" s="17"/>
    </row>
    <row r="6301" s="11" customFormat="true" ht="10.95" hidden="false" customHeight="true" outlineLevel="0" collapsed="false">
      <c r="A6301" s="16" t="n">
        <v>45203</v>
      </c>
      <c r="B6301" s="17" t="s">
        <v>3369</v>
      </c>
      <c r="C6301" s="17" t="s">
        <v>3370</v>
      </c>
      <c r="D6301" s="17" t="s">
        <v>2895</v>
      </c>
      <c r="E6301" s="17" t="s">
        <v>2947</v>
      </c>
      <c r="F6301" s="17" t="s">
        <v>967</v>
      </c>
      <c r="G6301" s="18" t="n">
        <v>0</v>
      </c>
      <c r="H6301" s="18" t="n">
        <v>1823.13</v>
      </c>
      <c r="I6301" s="18" t="n">
        <f aca="false">((I6300 + G6301) - H6301)</f>
        <v>100897.81</v>
      </c>
      <c r="J6301" s="18" t="n">
        <v>0</v>
      </c>
      <c r="K6301" s="19" t="n">
        <v>0</v>
      </c>
      <c r="L6301" s="17"/>
    </row>
    <row r="6302" s="11" customFormat="true" ht="10.95" hidden="false" customHeight="true" outlineLevel="0" collapsed="false">
      <c r="A6302" s="16" t="n">
        <v>45204</v>
      </c>
      <c r="B6302" s="17" t="s">
        <v>3369</v>
      </c>
      <c r="C6302" s="17" t="s">
        <v>3370</v>
      </c>
      <c r="D6302" s="17" t="s">
        <v>2895</v>
      </c>
      <c r="E6302" s="17" t="s">
        <v>3460</v>
      </c>
      <c r="F6302" s="17" t="s">
        <v>244</v>
      </c>
      <c r="G6302" s="18" t="n">
        <v>0</v>
      </c>
      <c r="H6302" s="18" t="n">
        <v>4677.2</v>
      </c>
      <c r="I6302" s="18" t="n">
        <f aca="false">((I6301 + G6302) - H6302)</f>
        <v>96220.6099999999</v>
      </c>
      <c r="J6302" s="18" t="n">
        <v>0</v>
      </c>
      <c r="K6302" s="19" t="n">
        <v>0</v>
      </c>
      <c r="L6302" s="17"/>
    </row>
    <row r="6303" s="11" customFormat="true" ht="10.95" hidden="false" customHeight="true" outlineLevel="0" collapsed="false">
      <c r="A6303" s="16" t="n">
        <v>45204</v>
      </c>
      <c r="B6303" s="17" t="s">
        <v>3369</v>
      </c>
      <c r="C6303" s="17" t="s">
        <v>3370</v>
      </c>
      <c r="D6303" s="17" t="s">
        <v>2895</v>
      </c>
      <c r="E6303" s="17" t="s">
        <v>3497</v>
      </c>
      <c r="F6303" s="17" t="s">
        <v>254</v>
      </c>
      <c r="G6303" s="18" t="n">
        <v>0</v>
      </c>
      <c r="H6303" s="18" t="n">
        <v>1784.2</v>
      </c>
      <c r="I6303" s="18" t="n">
        <f aca="false">((I6302 + G6303) - H6303)</f>
        <v>94436.4099999999</v>
      </c>
      <c r="J6303" s="18" t="n">
        <v>0</v>
      </c>
      <c r="K6303" s="19" t="n">
        <v>0</v>
      </c>
      <c r="L6303" s="17"/>
    </row>
    <row r="6304" s="11" customFormat="true" ht="10.95" hidden="false" customHeight="true" outlineLevel="0" collapsed="false">
      <c r="A6304" s="16" t="n">
        <v>45204</v>
      </c>
      <c r="B6304" s="17" t="s">
        <v>3369</v>
      </c>
      <c r="C6304" s="17" t="s">
        <v>3370</v>
      </c>
      <c r="D6304" s="17" t="s">
        <v>2895</v>
      </c>
      <c r="E6304" s="17" t="s">
        <v>3401</v>
      </c>
      <c r="F6304" s="17" t="s">
        <v>239</v>
      </c>
      <c r="G6304" s="18" t="n">
        <v>0</v>
      </c>
      <c r="H6304" s="18" t="n">
        <v>561</v>
      </c>
      <c r="I6304" s="18" t="n">
        <f aca="false">((I6303 + G6304) - H6304)</f>
        <v>93875.4099999999</v>
      </c>
      <c r="J6304" s="18" t="n">
        <v>0</v>
      </c>
      <c r="K6304" s="19" t="n">
        <v>0</v>
      </c>
      <c r="L6304" s="17"/>
    </row>
    <row r="6305" s="11" customFormat="true" ht="10.95" hidden="false" customHeight="true" outlineLevel="0" collapsed="false">
      <c r="A6305" s="16" t="n">
        <v>45205</v>
      </c>
      <c r="B6305" s="17" t="s">
        <v>3369</v>
      </c>
      <c r="C6305" s="17" t="s">
        <v>3370</v>
      </c>
      <c r="D6305" s="17" t="s">
        <v>2895</v>
      </c>
      <c r="E6305" s="17" t="s">
        <v>3504</v>
      </c>
      <c r="F6305" s="17" t="s">
        <v>172</v>
      </c>
      <c r="G6305" s="18" t="n">
        <v>0</v>
      </c>
      <c r="H6305" s="18" t="n">
        <v>2803.35</v>
      </c>
      <c r="I6305" s="18" t="n">
        <f aca="false">((I6304 + G6305) - H6305)</f>
        <v>91072.0599999999</v>
      </c>
      <c r="J6305" s="18" t="n">
        <v>0</v>
      </c>
      <c r="K6305" s="19" t="n">
        <v>0</v>
      </c>
      <c r="L6305" s="17"/>
    </row>
    <row r="6306" s="11" customFormat="true" ht="10.95" hidden="false" customHeight="true" outlineLevel="0" collapsed="false">
      <c r="A6306" s="16" t="n">
        <v>45205</v>
      </c>
      <c r="B6306" s="17" t="s">
        <v>3369</v>
      </c>
      <c r="C6306" s="17" t="s">
        <v>3370</v>
      </c>
      <c r="D6306" s="17" t="s">
        <v>2895</v>
      </c>
      <c r="E6306" s="17" t="s">
        <v>3482</v>
      </c>
      <c r="F6306" s="17" t="s">
        <v>255</v>
      </c>
      <c r="G6306" s="18" t="n">
        <v>0</v>
      </c>
      <c r="H6306" s="18" t="n">
        <v>2068</v>
      </c>
      <c r="I6306" s="18" t="n">
        <f aca="false">((I6305 + G6306) - H6306)</f>
        <v>89004.0599999999</v>
      </c>
      <c r="J6306" s="18" t="n">
        <v>0</v>
      </c>
      <c r="K6306" s="19" t="n">
        <v>0</v>
      </c>
      <c r="L6306" s="17"/>
    </row>
    <row r="6307" s="11" customFormat="true" ht="10.95" hidden="false" customHeight="true" outlineLevel="0" collapsed="false">
      <c r="A6307" s="16" t="n">
        <v>45205</v>
      </c>
      <c r="B6307" s="17" t="s">
        <v>3369</v>
      </c>
      <c r="C6307" s="17" t="s">
        <v>3370</v>
      </c>
      <c r="D6307" s="17" t="s">
        <v>2895</v>
      </c>
      <c r="E6307" s="17" t="s">
        <v>3410</v>
      </c>
      <c r="F6307" s="17" t="s">
        <v>253</v>
      </c>
      <c r="G6307" s="18" t="n">
        <v>0</v>
      </c>
      <c r="H6307" s="18" t="n">
        <v>968</v>
      </c>
      <c r="I6307" s="18" t="n">
        <f aca="false">((I6306 + G6307) - H6307)</f>
        <v>88036.0599999999</v>
      </c>
      <c r="J6307" s="18" t="n">
        <v>0</v>
      </c>
      <c r="K6307" s="19" t="n">
        <v>0</v>
      </c>
      <c r="L6307" s="17"/>
    </row>
    <row r="6308" s="11" customFormat="true" ht="10.95" hidden="false" customHeight="true" outlineLevel="0" collapsed="false">
      <c r="A6308" s="16" t="n">
        <v>45205</v>
      </c>
      <c r="B6308" s="17" t="s">
        <v>3369</v>
      </c>
      <c r="C6308" s="17" t="s">
        <v>3370</v>
      </c>
      <c r="D6308" s="17" t="s">
        <v>2895</v>
      </c>
      <c r="E6308" s="17" t="s">
        <v>3378</v>
      </c>
      <c r="F6308" s="17" t="s">
        <v>237</v>
      </c>
      <c r="G6308" s="18" t="n">
        <v>0</v>
      </c>
      <c r="H6308" s="18" t="n">
        <v>413.6</v>
      </c>
      <c r="I6308" s="18" t="n">
        <f aca="false">((I6307 + G6308) - H6308)</f>
        <v>87622.4599999999</v>
      </c>
      <c r="J6308" s="18" t="n">
        <v>0</v>
      </c>
      <c r="K6308" s="19" t="n">
        <v>0</v>
      </c>
      <c r="L6308" s="17"/>
    </row>
    <row r="6309" s="11" customFormat="true" ht="10.95" hidden="false" customHeight="true" outlineLevel="0" collapsed="false">
      <c r="A6309" s="16" t="n">
        <v>45208</v>
      </c>
      <c r="B6309" s="17" t="s">
        <v>3369</v>
      </c>
      <c r="C6309" s="17" t="s">
        <v>3370</v>
      </c>
      <c r="D6309" s="17" t="s">
        <v>2895</v>
      </c>
      <c r="E6309" s="17" t="s">
        <v>2964</v>
      </c>
      <c r="F6309" s="17" t="s">
        <v>972</v>
      </c>
      <c r="G6309" s="18" t="n">
        <v>0</v>
      </c>
      <c r="H6309" s="18" t="n">
        <v>1593.23</v>
      </c>
      <c r="I6309" s="18" t="n">
        <f aca="false">((I6308 + G6309) - H6309)</f>
        <v>86029.2299999999</v>
      </c>
      <c r="J6309" s="18" t="n">
        <v>0</v>
      </c>
      <c r="K6309" s="19" t="n">
        <v>0</v>
      </c>
      <c r="L6309" s="17"/>
    </row>
    <row r="6310" s="11" customFormat="true" ht="10.95" hidden="false" customHeight="true" outlineLevel="0" collapsed="false">
      <c r="A6310" s="16" t="n">
        <v>45208</v>
      </c>
      <c r="B6310" s="17" t="s">
        <v>3369</v>
      </c>
      <c r="C6310" s="17" t="s">
        <v>3370</v>
      </c>
      <c r="D6310" s="17" t="s">
        <v>2895</v>
      </c>
      <c r="E6310" s="17" t="s">
        <v>2900</v>
      </c>
      <c r="F6310" s="17" t="s">
        <v>1124</v>
      </c>
      <c r="G6310" s="18" t="n">
        <v>0</v>
      </c>
      <c r="H6310" s="18" t="n">
        <v>1015.78</v>
      </c>
      <c r="I6310" s="18" t="n">
        <f aca="false">((I6309 + G6310) - H6310)</f>
        <v>85013.4499999999</v>
      </c>
      <c r="J6310" s="18" t="n">
        <v>0</v>
      </c>
      <c r="K6310" s="19" t="n">
        <v>0</v>
      </c>
      <c r="L6310" s="17"/>
    </row>
    <row r="6311" s="11" customFormat="true" ht="10.95" hidden="false" customHeight="true" outlineLevel="0" collapsed="false">
      <c r="A6311" s="16" t="n">
        <v>45208</v>
      </c>
      <c r="B6311" s="17" t="s">
        <v>3369</v>
      </c>
      <c r="C6311" s="17" t="s">
        <v>3370</v>
      </c>
      <c r="D6311" s="17" t="s">
        <v>2895</v>
      </c>
      <c r="E6311" s="17" t="s">
        <v>2900</v>
      </c>
      <c r="F6311" s="17" t="s">
        <v>1122</v>
      </c>
      <c r="G6311" s="18" t="n">
        <v>0</v>
      </c>
      <c r="H6311" s="18" t="n">
        <v>1826.07</v>
      </c>
      <c r="I6311" s="18" t="n">
        <f aca="false">((I6310 + G6311) - H6311)</f>
        <v>83187.3799999998</v>
      </c>
      <c r="J6311" s="18" t="n">
        <v>0</v>
      </c>
      <c r="K6311" s="19" t="n">
        <v>0</v>
      </c>
      <c r="L6311" s="17"/>
    </row>
    <row r="6312" s="11" customFormat="true" ht="10.95" hidden="false" customHeight="true" outlineLevel="0" collapsed="false">
      <c r="A6312" s="16" t="n">
        <v>45208</v>
      </c>
      <c r="B6312" s="17" t="s">
        <v>3369</v>
      </c>
      <c r="C6312" s="17" t="s">
        <v>3370</v>
      </c>
      <c r="D6312" s="17" t="s">
        <v>2895</v>
      </c>
      <c r="E6312" s="17" t="s">
        <v>2900</v>
      </c>
      <c r="F6312" s="17" t="s">
        <v>1123</v>
      </c>
      <c r="G6312" s="18" t="n">
        <v>0</v>
      </c>
      <c r="H6312" s="18" t="n">
        <v>133.21</v>
      </c>
      <c r="I6312" s="18" t="n">
        <f aca="false">((I6311 + G6312) - H6312)</f>
        <v>83054.1699999998</v>
      </c>
      <c r="J6312" s="18" t="n">
        <v>0</v>
      </c>
      <c r="K6312" s="19" t="n">
        <v>0</v>
      </c>
      <c r="L6312" s="17"/>
    </row>
    <row r="6313" s="11" customFormat="true" ht="10.95" hidden="false" customHeight="true" outlineLevel="0" collapsed="false">
      <c r="A6313" s="16" t="n">
        <v>45209</v>
      </c>
      <c r="B6313" s="17" t="s">
        <v>3369</v>
      </c>
      <c r="C6313" s="17" t="s">
        <v>3370</v>
      </c>
      <c r="D6313" s="17" t="s">
        <v>19</v>
      </c>
      <c r="E6313" s="17" t="s">
        <v>3447</v>
      </c>
      <c r="F6313" s="17" t="s">
        <v>287</v>
      </c>
      <c r="G6313" s="18" t="n">
        <v>143.55</v>
      </c>
      <c r="H6313" s="18" t="n">
        <v>0</v>
      </c>
      <c r="I6313" s="18" t="n">
        <f aca="false">((I6312 + G6313) - H6313)</f>
        <v>83197.7199999998</v>
      </c>
      <c r="J6313" s="18" t="n">
        <v>0</v>
      </c>
      <c r="K6313" s="19" t="n">
        <v>0</v>
      </c>
      <c r="L6313" s="17"/>
    </row>
    <row r="6314" s="11" customFormat="true" ht="10.95" hidden="false" customHeight="true" outlineLevel="0" collapsed="false">
      <c r="A6314" s="16" t="n">
        <v>45209</v>
      </c>
      <c r="B6314" s="17" t="s">
        <v>3369</v>
      </c>
      <c r="C6314" s="17" t="s">
        <v>3370</v>
      </c>
      <c r="D6314" s="17" t="s">
        <v>162</v>
      </c>
      <c r="E6314" s="17" t="s">
        <v>3451</v>
      </c>
      <c r="F6314" s="17" t="s">
        <v>289</v>
      </c>
      <c r="G6314" s="18" t="n">
        <v>0</v>
      </c>
      <c r="H6314" s="18" t="n">
        <v>242</v>
      </c>
      <c r="I6314" s="18" t="n">
        <f aca="false">((I6313 + G6314) - H6314)</f>
        <v>82955.7199999998</v>
      </c>
      <c r="J6314" s="18" t="n">
        <v>0</v>
      </c>
      <c r="K6314" s="19" t="n">
        <v>0</v>
      </c>
      <c r="L6314" s="17"/>
    </row>
    <row r="6315" s="11" customFormat="true" ht="10.95" hidden="false" customHeight="true" outlineLevel="0" collapsed="false">
      <c r="A6315" s="16" t="n">
        <v>45209</v>
      </c>
      <c r="B6315" s="17" t="s">
        <v>3369</v>
      </c>
      <c r="C6315" s="17" t="s">
        <v>3370</v>
      </c>
      <c r="D6315" s="17" t="s">
        <v>3477</v>
      </c>
      <c r="E6315" s="17" t="s">
        <v>3451</v>
      </c>
      <c r="F6315" s="17" t="s">
        <v>289</v>
      </c>
      <c r="G6315" s="18" t="n">
        <v>121</v>
      </c>
      <c r="H6315" s="18" t="n">
        <v>0</v>
      </c>
      <c r="I6315" s="18" t="n">
        <f aca="false">((I6314 + G6315) - H6315)</f>
        <v>83076.7199999998</v>
      </c>
      <c r="J6315" s="18" t="n">
        <v>0</v>
      </c>
      <c r="K6315" s="19" t="n">
        <v>0</v>
      </c>
      <c r="L6315" s="17"/>
    </row>
    <row r="6316" s="11" customFormat="true" ht="10.95" hidden="false" customHeight="true" outlineLevel="0" collapsed="false">
      <c r="A6316" s="16" t="n">
        <v>45209</v>
      </c>
      <c r="B6316" s="17" t="s">
        <v>3369</v>
      </c>
      <c r="C6316" s="17" t="s">
        <v>3370</v>
      </c>
      <c r="D6316" s="17" t="s">
        <v>3477</v>
      </c>
      <c r="E6316" s="17" t="s">
        <v>3451</v>
      </c>
      <c r="F6316" s="17" t="s">
        <v>117</v>
      </c>
      <c r="G6316" s="18" t="n">
        <v>0</v>
      </c>
      <c r="H6316" s="18" t="n">
        <v>121</v>
      </c>
      <c r="I6316" s="18" t="n">
        <f aca="false">((I6315 + G6316) - H6316)</f>
        <v>82955.7199999998</v>
      </c>
      <c r="J6316" s="18" t="n">
        <v>0</v>
      </c>
      <c r="K6316" s="19" t="n">
        <v>0</v>
      </c>
      <c r="L6316" s="17"/>
    </row>
    <row r="6317" s="11" customFormat="true" ht="10.95" hidden="false" customHeight="true" outlineLevel="0" collapsed="false">
      <c r="A6317" s="16" t="n">
        <v>45209</v>
      </c>
      <c r="B6317" s="17" t="s">
        <v>3369</v>
      </c>
      <c r="C6317" s="17" t="s">
        <v>3370</v>
      </c>
      <c r="D6317" s="17" t="s">
        <v>3477</v>
      </c>
      <c r="E6317" s="17" t="s">
        <v>3451</v>
      </c>
      <c r="F6317" s="17" t="s">
        <v>289</v>
      </c>
      <c r="G6317" s="18" t="n">
        <v>121</v>
      </c>
      <c r="H6317" s="18" t="n">
        <v>0</v>
      </c>
      <c r="I6317" s="18" t="n">
        <f aca="false">((I6316 + G6317) - H6317)</f>
        <v>83076.7199999998</v>
      </c>
      <c r="J6317" s="18" t="n">
        <v>0</v>
      </c>
      <c r="K6317" s="19" t="n">
        <v>0</v>
      </c>
      <c r="L6317" s="17"/>
    </row>
    <row r="6318" s="11" customFormat="true" ht="10.95" hidden="false" customHeight="true" outlineLevel="0" collapsed="false">
      <c r="A6318" s="16" t="n">
        <v>45209</v>
      </c>
      <c r="B6318" s="17" t="s">
        <v>3369</v>
      </c>
      <c r="C6318" s="17" t="s">
        <v>3370</v>
      </c>
      <c r="D6318" s="17" t="s">
        <v>3477</v>
      </c>
      <c r="E6318" s="17" t="s">
        <v>3451</v>
      </c>
      <c r="F6318" s="17" t="s">
        <v>221</v>
      </c>
      <c r="G6318" s="18" t="n">
        <v>0</v>
      </c>
      <c r="H6318" s="18" t="n">
        <v>121</v>
      </c>
      <c r="I6318" s="18" t="n">
        <f aca="false">((I6317 + G6318) - H6318)</f>
        <v>82955.7199999998</v>
      </c>
      <c r="J6318" s="18" t="n">
        <v>0</v>
      </c>
      <c r="K6318" s="19" t="n">
        <v>0</v>
      </c>
      <c r="L6318" s="17"/>
    </row>
    <row r="6319" s="11" customFormat="true" ht="10.95" hidden="false" customHeight="true" outlineLevel="0" collapsed="false">
      <c r="A6319" s="16" t="n">
        <v>45210</v>
      </c>
      <c r="B6319" s="17" t="s">
        <v>3369</v>
      </c>
      <c r="C6319" s="17" t="s">
        <v>3370</v>
      </c>
      <c r="D6319" s="17" t="s">
        <v>2895</v>
      </c>
      <c r="E6319" s="17" t="s">
        <v>3391</v>
      </c>
      <c r="F6319" s="17" t="s">
        <v>249</v>
      </c>
      <c r="G6319" s="18" t="n">
        <v>0</v>
      </c>
      <c r="H6319" s="18" t="n">
        <v>1100.06</v>
      </c>
      <c r="I6319" s="18" t="n">
        <f aca="false">((I6318 + G6319) - H6319)</f>
        <v>81855.6599999998</v>
      </c>
      <c r="J6319" s="18" t="n">
        <v>0</v>
      </c>
      <c r="K6319" s="19" t="n">
        <v>0</v>
      </c>
      <c r="L6319" s="17"/>
    </row>
    <row r="6320" s="11" customFormat="true" ht="10.95" hidden="false" customHeight="true" outlineLevel="0" collapsed="false">
      <c r="A6320" s="16" t="n">
        <v>45211</v>
      </c>
      <c r="B6320" s="17" t="s">
        <v>3369</v>
      </c>
      <c r="C6320" s="17" t="s">
        <v>3370</v>
      </c>
      <c r="D6320" s="17" t="s">
        <v>2895</v>
      </c>
      <c r="E6320" s="17" t="s">
        <v>2906</v>
      </c>
      <c r="F6320" s="17" t="s">
        <v>1129</v>
      </c>
      <c r="G6320" s="18" t="n">
        <v>0</v>
      </c>
      <c r="H6320" s="18" t="n">
        <v>3124.39</v>
      </c>
      <c r="I6320" s="18" t="n">
        <f aca="false">((I6319 + G6320) - H6320)</f>
        <v>78731.2699999998</v>
      </c>
      <c r="J6320" s="18" t="n">
        <v>0</v>
      </c>
      <c r="K6320" s="19" t="n">
        <v>0</v>
      </c>
      <c r="L6320" s="17"/>
    </row>
    <row r="6321" s="11" customFormat="true" ht="10.95" hidden="false" customHeight="true" outlineLevel="0" collapsed="false">
      <c r="A6321" s="16" t="n">
        <v>45216</v>
      </c>
      <c r="B6321" s="17" t="s">
        <v>3369</v>
      </c>
      <c r="C6321" s="17" t="s">
        <v>3370</v>
      </c>
      <c r="D6321" s="17" t="s">
        <v>2895</v>
      </c>
      <c r="E6321" s="17" t="s">
        <v>3403</v>
      </c>
      <c r="F6321" s="17" t="s">
        <v>218</v>
      </c>
      <c r="G6321" s="18" t="n">
        <v>0</v>
      </c>
      <c r="H6321" s="18" t="n">
        <v>723.8</v>
      </c>
      <c r="I6321" s="18" t="n">
        <f aca="false">((I6320 + G6321) - H6321)</f>
        <v>78007.4699999998</v>
      </c>
      <c r="J6321" s="18" t="n">
        <v>0</v>
      </c>
      <c r="K6321" s="19" t="n">
        <v>0</v>
      </c>
      <c r="L6321" s="17"/>
    </row>
    <row r="6322" s="11" customFormat="true" ht="10.95" hidden="false" customHeight="true" outlineLevel="0" collapsed="false">
      <c r="A6322" s="16" t="n">
        <v>45216</v>
      </c>
      <c r="B6322" s="17" t="s">
        <v>3369</v>
      </c>
      <c r="C6322" s="17" t="s">
        <v>3370</v>
      </c>
      <c r="D6322" s="17" t="s">
        <v>2895</v>
      </c>
      <c r="E6322" s="17" t="s">
        <v>3403</v>
      </c>
      <c r="F6322" s="17" t="s">
        <v>287</v>
      </c>
      <c r="G6322" s="18" t="n">
        <v>0</v>
      </c>
      <c r="H6322" s="18" t="n">
        <v>143.55</v>
      </c>
      <c r="I6322" s="18" t="n">
        <f aca="false">((I6321 + G6322) - H6322)</f>
        <v>77863.9199999998</v>
      </c>
      <c r="J6322" s="18" t="n">
        <v>0</v>
      </c>
      <c r="K6322" s="19" t="n">
        <v>0</v>
      </c>
      <c r="L6322" s="17"/>
    </row>
    <row r="6323" s="11" customFormat="true" ht="10.95" hidden="false" customHeight="true" outlineLevel="0" collapsed="false">
      <c r="A6323" s="16" t="n">
        <v>45216</v>
      </c>
      <c r="B6323" s="17" t="s">
        <v>3369</v>
      </c>
      <c r="C6323" s="17" t="s">
        <v>3370</v>
      </c>
      <c r="D6323" s="17" t="s">
        <v>2895</v>
      </c>
      <c r="E6323" s="17" t="s">
        <v>3403</v>
      </c>
      <c r="F6323" s="17" t="s">
        <v>3507</v>
      </c>
      <c r="G6323" s="18" t="n">
        <v>0</v>
      </c>
      <c r="H6323" s="18" t="n">
        <v>759</v>
      </c>
      <c r="I6323" s="18" t="n">
        <f aca="false">((I6322 + G6323) - H6323)</f>
        <v>77104.9199999998</v>
      </c>
      <c r="J6323" s="18" t="n">
        <v>0</v>
      </c>
      <c r="K6323" s="19" t="n">
        <v>0</v>
      </c>
      <c r="L6323" s="17"/>
    </row>
    <row r="6324" s="11" customFormat="true" ht="10.95" hidden="false" customHeight="true" outlineLevel="0" collapsed="false">
      <c r="A6324" s="16" t="n">
        <v>45216</v>
      </c>
      <c r="B6324" s="17" t="s">
        <v>3369</v>
      </c>
      <c r="C6324" s="17" t="s">
        <v>3370</v>
      </c>
      <c r="D6324" s="17" t="s">
        <v>2895</v>
      </c>
      <c r="E6324" s="17" t="s">
        <v>3403</v>
      </c>
      <c r="F6324" s="17" t="s">
        <v>79</v>
      </c>
      <c r="G6324" s="18" t="n">
        <v>0</v>
      </c>
      <c r="H6324" s="18" t="n">
        <v>638</v>
      </c>
      <c r="I6324" s="18" t="n">
        <f aca="false">((I6323 + G6324) - H6324)</f>
        <v>76466.9199999998</v>
      </c>
      <c r="J6324" s="18" t="n">
        <v>0</v>
      </c>
      <c r="K6324" s="19" t="n">
        <v>0</v>
      </c>
      <c r="L6324" s="17"/>
    </row>
    <row r="6325" s="11" customFormat="true" ht="10.95" hidden="false" customHeight="true" outlineLevel="0" collapsed="false">
      <c r="A6325" s="16" t="n">
        <v>45216</v>
      </c>
      <c r="B6325" s="17" t="s">
        <v>3369</v>
      </c>
      <c r="C6325" s="17" t="s">
        <v>3370</v>
      </c>
      <c r="D6325" s="17" t="s">
        <v>2895</v>
      </c>
      <c r="E6325" s="17" t="s">
        <v>3403</v>
      </c>
      <c r="F6325" s="17" t="s">
        <v>206</v>
      </c>
      <c r="G6325" s="18" t="n">
        <v>0</v>
      </c>
      <c r="H6325" s="18" t="n">
        <v>638</v>
      </c>
      <c r="I6325" s="18" t="n">
        <f aca="false">((I6324 + G6325) - H6325)</f>
        <v>75828.9199999998</v>
      </c>
      <c r="J6325" s="18" t="n">
        <v>0</v>
      </c>
      <c r="K6325" s="19" t="n">
        <v>0</v>
      </c>
      <c r="L6325" s="17"/>
    </row>
    <row r="6326" s="11" customFormat="true" ht="10.95" hidden="false" customHeight="true" outlineLevel="0" collapsed="false">
      <c r="A6326" s="16" t="n">
        <v>45216</v>
      </c>
      <c r="B6326" s="17" t="s">
        <v>3369</v>
      </c>
      <c r="C6326" s="17" t="s">
        <v>3370</v>
      </c>
      <c r="D6326" s="17" t="s">
        <v>2895</v>
      </c>
      <c r="E6326" s="17" t="s">
        <v>3403</v>
      </c>
      <c r="F6326" s="17" t="s">
        <v>278</v>
      </c>
      <c r="G6326" s="18" t="n">
        <v>0</v>
      </c>
      <c r="H6326" s="18" t="n">
        <v>1344.2</v>
      </c>
      <c r="I6326" s="18" t="n">
        <f aca="false">((I6325 + G6326) - H6326)</f>
        <v>74484.7199999998</v>
      </c>
      <c r="J6326" s="18" t="n">
        <v>0</v>
      </c>
      <c r="K6326" s="19" t="n">
        <v>0</v>
      </c>
      <c r="L6326" s="17"/>
    </row>
    <row r="6327" s="11" customFormat="true" ht="10.95" hidden="false" customHeight="true" outlineLevel="0" collapsed="false">
      <c r="A6327" s="16" t="n">
        <v>45216</v>
      </c>
      <c r="B6327" s="17" t="s">
        <v>3369</v>
      </c>
      <c r="C6327" s="17" t="s">
        <v>3370</v>
      </c>
      <c r="D6327" s="17" t="s">
        <v>2895</v>
      </c>
      <c r="E6327" s="17" t="s">
        <v>3373</v>
      </c>
      <c r="F6327" s="17" t="s">
        <v>174</v>
      </c>
      <c r="G6327" s="18" t="n">
        <v>0</v>
      </c>
      <c r="H6327" s="18" t="n">
        <v>1386</v>
      </c>
      <c r="I6327" s="18" t="n">
        <f aca="false">((I6326 + G6327) - H6327)</f>
        <v>73098.7199999998</v>
      </c>
      <c r="J6327" s="18" t="n">
        <v>0</v>
      </c>
      <c r="K6327" s="19" t="n">
        <v>0</v>
      </c>
      <c r="L6327" s="17"/>
    </row>
    <row r="6328" s="11" customFormat="true" ht="10.95" hidden="false" customHeight="true" outlineLevel="0" collapsed="false">
      <c r="A6328" s="16" t="n">
        <v>45216</v>
      </c>
      <c r="B6328" s="17" t="s">
        <v>3369</v>
      </c>
      <c r="C6328" s="17" t="s">
        <v>3370</v>
      </c>
      <c r="D6328" s="17" t="s">
        <v>2895</v>
      </c>
      <c r="E6328" s="17" t="s">
        <v>2951</v>
      </c>
      <c r="F6328" s="17" t="s">
        <v>1130</v>
      </c>
      <c r="G6328" s="18" t="n">
        <v>0</v>
      </c>
      <c r="H6328" s="18" t="n">
        <v>1408.77</v>
      </c>
      <c r="I6328" s="18" t="n">
        <f aca="false">((I6327 + G6328) - H6328)</f>
        <v>71689.9499999998</v>
      </c>
      <c r="J6328" s="18" t="n">
        <v>0</v>
      </c>
      <c r="K6328" s="19" t="n">
        <v>0</v>
      </c>
      <c r="L6328" s="17"/>
    </row>
    <row r="6329" s="11" customFormat="true" ht="10.95" hidden="false" customHeight="true" outlineLevel="0" collapsed="false">
      <c r="A6329" s="16" t="n">
        <v>45216</v>
      </c>
      <c r="B6329" s="17" t="s">
        <v>3369</v>
      </c>
      <c r="C6329" s="17" t="s">
        <v>3370</v>
      </c>
      <c r="D6329" s="17" t="s">
        <v>2895</v>
      </c>
      <c r="E6329" s="17" t="s">
        <v>2951</v>
      </c>
      <c r="F6329" s="17" t="s">
        <v>1105</v>
      </c>
      <c r="G6329" s="18" t="n">
        <v>0</v>
      </c>
      <c r="H6329" s="18" t="n">
        <v>1400.79</v>
      </c>
      <c r="I6329" s="18" t="n">
        <f aca="false">((I6328 + G6329) - H6329)</f>
        <v>70289.1599999998</v>
      </c>
      <c r="J6329" s="18" t="n">
        <v>0</v>
      </c>
      <c r="K6329" s="19" t="n">
        <v>0</v>
      </c>
      <c r="L6329" s="17"/>
    </row>
    <row r="6330" s="11" customFormat="true" ht="10.95" hidden="false" customHeight="true" outlineLevel="0" collapsed="false">
      <c r="A6330" s="16" t="n">
        <v>45217</v>
      </c>
      <c r="B6330" s="17" t="s">
        <v>3369</v>
      </c>
      <c r="C6330" s="17" t="s">
        <v>3370</v>
      </c>
      <c r="D6330" s="17" t="s">
        <v>2895</v>
      </c>
      <c r="E6330" s="17" t="s">
        <v>2900</v>
      </c>
      <c r="F6330" s="17" t="s">
        <v>1127</v>
      </c>
      <c r="G6330" s="18" t="n">
        <v>0</v>
      </c>
      <c r="H6330" s="18" t="n">
        <v>1011.05</v>
      </c>
      <c r="I6330" s="18" t="n">
        <f aca="false">((I6329 + G6330) - H6330)</f>
        <v>69278.1099999998</v>
      </c>
      <c r="J6330" s="18" t="n">
        <v>0</v>
      </c>
      <c r="K6330" s="19" t="n">
        <v>0</v>
      </c>
      <c r="L6330" s="17"/>
    </row>
    <row r="6331" s="11" customFormat="true" ht="10.95" hidden="false" customHeight="true" outlineLevel="0" collapsed="false">
      <c r="A6331" s="16" t="n">
        <v>45217</v>
      </c>
      <c r="B6331" s="17" t="s">
        <v>3369</v>
      </c>
      <c r="C6331" s="17" t="s">
        <v>3370</v>
      </c>
      <c r="D6331" s="17" t="s">
        <v>2895</v>
      </c>
      <c r="E6331" s="17" t="s">
        <v>2900</v>
      </c>
      <c r="F6331" s="17" t="s">
        <v>1132</v>
      </c>
      <c r="G6331" s="18" t="n">
        <v>0</v>
      </c>
      <c r="H6331" s="18" t="n">
        <v>267.8</v>
      </c>
      <c r="I6331" s="18" t="n">
        <f aca="false">((I6330 + G6331) - H6331)</f>
        <v>69010.3099999998</v>
      </c>
      <c r="J6331" s="18" t="n">
        <v>0</v>
      </c>
      <c r="K6331" s="19" t="n">
        <v>0</v>
      </c>
      <c r="L6331" s="17"/>
    </row>
    <row r="6332" s="11" customFormat="true" ht="10.95" hidden="false" customHeight="true" outlineLevel="0" collapsed="false">
      <c r="A6332" s="16" t="n">
        <v>45217</v>
      </c>
      <c r="B6332" s="17" t="s">
        <v>3369</v>
      </c>
      <c r="C6332" s="17" t="s">
        <v>3370</v>
      </c>
      <c r="D6332" s="17" t="s">
        <v>2895</v>
      </c>
      <c r="E6332" s="17" t="s">
        <v>2925</v>
      </c>
      <c r="F6332" s="17" t="s">
        <v>821</v>
      </c>
      <c r="G6332" s="18" t="n">
        <v>0</v>
      </c>
      <c r="H6332" s="18" t="n">
        <v>326.17</v>
      </c>
      <c r="I6332" s="18" t="n">
        <f aca="false">((I6331 + G6332) - H6332)</f>
        <v>68684.1399999998</v>
      </c>
      <c r="J6332" s="18" t="n">
        <v>0</v>
      </c>
      <c r="K6332" s="19" t="n">
        <v>0</v>
      </c>
      <c r="L6332" s="17"/>
    </row>
    <row r="6333" s="11" customFormat="true" ht="10.95" hidden="false" customHeight="true" outlineLevel="0" collapsed="false">
      <c r="A6333" s="16" t="n">
        <v>45217</v>
      </c>
      <c r="B6333" s="17" t="s">
        <v>3369</v>
      </c>
      <c r="C6333" s="17" t="s">
        <v>3370</v>
      </c>
      <c r="D6333" s="17" t="s">
        <v>2895</v>
      </c>
      <c r="E6333" s="17" t="s">
        <v>2925</v>
      </c>
      <c r="F6333" s="17" t="s">
        <v>809</v>
      </c>
      <c r="G6333" s="18" t="n">
        <v>0</v>
      </c>
      <c r="H6333" s="18" t="n">
        <v>491.82</v>
      </c>
      <c r="I6333" s="18" t="n">
        <f aca="false">((I6332 + G6333) - H6333)</f>
        <v>68192.3199999998</v>
      </c>
      <c r="J6333" s="18" t="n">
        <v>0</v>
      </c>
      <c r="K6333" s="19" t="n">
        <v>0</v>
      </c>
      <c r="L6333" s="17"/>
    </row>
    <row r="6334" s="11" customFormat="true" ht="10.95" hidden="false" customHeight="true" outlineLevel="0" collapsed="false">
      <c r="A6334" s="16" t="n">
        <v>45217</v>
      </c>
      <c r="B6334" s="17" t="s">
        <v>3369</v>
      </c>
      <c r="C6334" s="17" t="s">
        <v>3370</v>
      </c>
      <c r="D6334" s="17" t="s">
        <v>2895</v>
      </c>
      <c r="E6334" s="17" t="s">
        <v>2925</v>
      </c>
      <c r="F6334" s="17" t="s">
        <v>796</v>
      </c>
      <c r="G6334" s="18" t="n">
        <v>0</v>
      </c>
      <c r="H6334" s="18" t="n">
        <v>478.42</v>
      </c>
      <c r="I6334" s="18" t="n">
        <f aca="false">((I6333 + G6334) - H6334)</f>
        <v>67713.8999999998</v>
      </c>
      <c r="J6334" s="18" t="n">
        <v>0</v>
      </c>
      <c r="K6334" s="19" t="n">
        <v>0</v>
      </c>
      <c r="L6334" s="17"/>
    </row>
    <row r="6335" s="11" customFormat="true" ht="10.95" hidden="false" customHeight="true" outlineLevel="0" collapsed="false">
      <c r="A6335" s="16" t="n">
        <v>45217</v>
      </c>
      <c r="B6335" s="17" t="s">
        <v>3369</v>
      </c>
      <c r="C6335" s="17" t="s">
        <v>3370</v>
      </c>
      <c r="D6335" s="17" t="s">
        <v>2895</v>
      </c>
      <c r="E6335" s="17" t="s">
        <v>2925</v>
      </c>
      <c r="F6335" s="17" t="s">
        <v>820</v>
      </c>
      <c r="G6335" s="18" t="n">
        <v>0</v>
      </c>
      <c r="H6335" s="18" t="n">
        <v>489.25</v>
      </c>
      <c r="I6335" s="18" t="n">
        <f aca="false">((I6334 + G6335) - H6335)</f>
        <v>67224.6499999998</v>
      </c>
      <c r="J6335" s="18" t="n">
        <v>0</v>
      </c>
      <c r="K6335" s="19" t="n">
        <v>0</v>
      </c>
      <c r="L6335" s="17"/>
    </row>
    <row r="6336" s="11" customFormat="true" ht="10.95" hidden="false" customHeight="true" outlineLevel="0" collapsed="false">
      <c r="A6336" s="16" t="n">
        <v>45218</v>
      </c>
      <c r="B6336" s="17" t="s">
        <v>3369</v>
      </c>
      <c r="C6336" s="17" t="s">
        <v>3370</v>
      </c>
      <c r="D6336" s="17" t="s">
        <v>2895</v>
      </c>
      <c r="E6336" s="17" t="s">
        <v>2922</v>
      </c>
      <c r="F6336" s="17" t="s">
        <v>968</v>
      </c>
      <c r="G6336" s="18" t="n">
        <v>0</v>
      </c>
      <c r="H6336" s="18" t="n">
        <v>5953.76</v>
      </c>
      <c r="I6336" s="18" t="n">
        <f aca="false">((I6335 + G6336) - H6336)</f>
        <v>61270.8899999998</v>
      </c>
      <c r="J6336" s="18" t="n">
        <v>0</v>
      </c>
      <c r="K6336" s="19" t="n">
        <v>0</v>
      </c>
      <c r="L6336" s="17"/>
    </row>
    <row r="6337" s="11" customFormat="true" ht="10.95" hidden="false" customHeight="true" outlineLevel="0" collapsed="false">
      <c r="A6337" s="16" t="n">
        <v>45222</v>
      </c>
      <c r="B6337" s="17" t="s">
        <v>3369</v>
      </c>
      <c r="C6337" s="17" t="s">
        <v>3370</v>
      </c>
      <c r="D6337" s="17" t="s">
        <v>19</v>
      </c>
      <c r="E6337" s="17" t="s">
        <v>3501</v>
      </c>
      <c r="F6337" s="17" t="s">
        <v>290</v>
      </c>
      <c r="G6337" s="18" t="n">
        <v>157.3</v>
      </c>
      <c r="H6337" s="18" t="n">
        <v>0</v>
      </c>
      <c r="I6337" s="18" t="n">
        <f aca="false">((I6336 + G6337) - H6337)</f>
        <v>61428.1899999998</v>
      </c>
      <c r="J6337" s="18" t="n">
        <v>0</v>
      </c>
      <c r="K6337" s="19" t="n">
        <v>0</v>
      </c>
      <c r="L6337" s="17"/>
    </row>
    <row r="6338" s="11" customFormat="true" ht="10.95" hidden="false" customHeight="true" outlineLevel="0" collapsed="false">
      <c r="A6338" s="16" t="n">
        <v>45222</v>
      </c>
      <c r="B6338" s="17" t="s">
        <v>3369</v>
      </c>
      <c r="C6338" s="17" t="s">
        <v>3370</v>
      </c>
      <c r="D6338" s="17" t="s">
        <v>19</v>
      </c>
      <c r="E6338" s="17" t="s">
        <v>3502</v>
      </c>
      <c r="F6338" s="17" t="s">
        <v>291</v>
      </c>
      <c r="G6338" s="18" t="n">
        <v>199.65</v>
      </c>
      <c r="H6338" s="18" t="n">
        <v>0</v>
      </c>
      <c r="I6338" s="18" t="n">
        <f aca="false">((I6337 + G6338) - H6338)</f>
        <v>61627.8399999998</v>
      </c>
      <c r="J6338" s="18" t="n">
        <v>0</v>
      </c>
      <c r="K6338" s="19" t="n">
        <v>0</v>
      </c>
      <c r="L6338" s="17"/>
    </row>
    <row r="6339" s="11" customFormat="true" ht="10.95" hidden="false" customHeight="true" outlineLevel="0" collapsed="false">
      <c r="A6339" s="16" t="n">
        <v>45222</v>
      </c>
      <c r="B6339" s="17" t="s">
        <v>3369</v>
      </c>
      <c r="C6339" s="17" t="s">
        <v>3370</v>
      </c>
      <c r="D6339" s="17" t="s">
        <v>19</v>
      </c>
      <c r="E6339" s="17" t="s">
        <v>3489</v>
      </c>
      <c r="F6339" s="17" t="s">
        <v>975</v>
      </c>
      <c r="G6339" s="18" t="n">
        <v>1853.47</v>
      </c>
      <c r="H6339" s="18" t="n">
        <v>0</v>
      </c>
      <c r="I6339" s="18" t="n">
        <f aca="false">((I6338 + G6339) - H6339)</f>
        <v>63481.3099999998</v>
      </c>
      <c r="J6339" s="18" t="n">
        <v>0</v>
      </c>
      <c r="K6339" s="19" t="n">
        <v>0</v>
      </c>
      <c r="L6339" s="17"/>
    </row>
    <row r="6340" s="11" customFormat="true" ht="10.95" hidden="false" customHeight="true" outlineLevel="0" collapsed="false">
      <c r="A6340" s="16" t="n">
        <v>45222</v>
      </c>
      <c r="B6340" s="17" t="s">
        <v>3369</v>
      </c>
      <c r="C6340" s="17" t="s">
        <v>3370</v>
      </c>
      <c r="D6340" s="17" t="s">
        <v>19</v>
      </c>
      <c r="E6340" s="17" t="s">
        <v>3490</v>
      </c>
      <c r="F6340" s="17" t="s">
        <v>292</v>
      </c>
      <c r="G6340" s="18" t="n">
        <v>1034.55</v>
      </c>
      <c r="H6340" s="18" t="n">
        <v>0</v>
      </c>
      <c r="I6340" s="18" t="n">
        <f aca="false">((I6339 + G6340) - H6340)</f>
        <v>64515.8599999998</v>
      </c>
      <c r="J6340" s="18" t="n">
        <v>0</v>
      </c>
      <c r="K6340" s="19" t="n">
        <v>0</v>
      </c>
      <c r="L6340" s="17"/>
    </row>
    <row r="6341" s="11" customFormat="true" ht="10.95" hidden="false" customHeight="true" outlineLevel="0" collapsed="false">
      <c r="A6341" s="16" t="n">
        <v>45222</v>
      </c>
      <c r="B6341" s="17" t="s">
        <v>3369</v>
      </c>
      <c r="C6341" s="17" t="s">
        <v>3370</v>
      </c>
      <c r="D6341" s="17" t="s">
        <v>19</v>
      </c>
      <c r="E6341" s="17" t="s">
        <v>3422</v>
      </c>
      <c r="F6341" s="17" t="s">
        <v>976</v>
      </c>
      <c r="G6341" s="18" t="n">
        <v>10218.4</v>
      </c>
      <c r="H6341" s="18" t="n">
        <v>0</v>
      </c>
      <c r="I6341" s="18" t="n">
        <f aca="false">((I6340 + G6341) - H6341)</f>
        <v>74734.2599999998</v>
      </c>
      <c r="J6341" s="18" t="n">
        <v>0</v>
      </c>
      <c r="K6341" s="19" t="n">
        <v>0</v>
      </c>
      <c r="L6341" s="17"/>
    </row>
    <row r="6342" s="11" customFormat="true" ht="10.95" hidden="false" customHeight="true" outlineLevel="0" collapsed="false">
      <c r="A6342" s="16" t="n">
        <v>45222</v>
      </c>
      <c r="B6342" s="17" t="s">
        <v>3369</v>
      </c>
      <c r="C6342" s="17" t="s">
        <v>3370</v>
      </c>
      <c r="D6342" s="17" t="s">
        <v>19</v>
      </c>
      <c r="E6342" s="17" t="s">
        <v>3423</v>
      </c>
      <c r="F6342" s="17" t="s">
        <v>829</v>
      </c>
      <c r="G6342" s="18" t="n">
        <v>92.31</v>
      </c>
      <c r="H6342" s="18" t="n">
        <v>0</v>
      </c>
      <c r="I6342" s="18" t="n">
        <f aca="false">((I6341 + G6342) - H6342)</f>
        <v>74826.5699999998</v>
      </c>
      <c r="J6342" s="18" t="n">
        <v>0</v>
      </c>
      <c r="K6342" s="19" t="n">
        <v>0</v>
      </c>
      <c r="L6342" s="17"/>
    </row>
    <row r="6343" s="11" customFormat="true" ht="10.95" hidden="false" customHeight="true" outlineLevel="0" collapsed="false">
      <c r="A6343" s="16" t="n">
        <v>45222</v>
      </c>
      <c r="B6343" s="17" t="s">
        <v>3369</v>
      </c>
      <c r="C6343" s="17" t="s">
        <v>3370</v>
      </c>
      <c r="D6343" s="17" t="s">
        <v>19</v>
      </c>
      <c r="E6343" s="17" t="s">
        <v>3424</v>
      </c>
      <c r="F6343" s="17" t="s">
        <v>293</v>
      </c>
      <c r="G6343" s="18" t="n">
        <v>413.6</v>
      </c>
      <c r="H6343" s="18" t="n">
        <v>0</v>
      </c>
      <c r="I6343" s="18" t="n">
        <f aca="false">((I6342 + G6343) - H6343)</f>
        <v>75240.1699999998</v>
      </c>
      <c r="J6343" s="18" t="n">
        <v>0</v>
      </c>
      <c r="K6343" s="19" t="n">
        <v>0</v>
      </c>
      <c r="L6343" s="17"/>
    </row>
    <row r="6344" s="11" customFormat="true" ht="10.95" hidden="false" customHeight="true" outlineLevel="0" collapsed="false">
      <c r="A6344" s="16" t="n">
        <v>45222</v>
      </c>
      <c r="B6344" s="17" t="s">
        <v>3369</v>
      </c>
      <c r="C6344" s="17" t="s">
        <v>3370</v>
      </c>
      <c r="D6344" s="17" t="s">
        <v>19</v>
      </c>
      <c r="E6344" s="17" t="s">
        <v>3425</v>
      </c>
      <c r="F6344" s="17" t="s">
        <v>1140</v>
      </c>
      <c r="G6344" s="18" t="n">
        <v>765.78</v>
      </c>
      <c r="H6344" s="18" t="n">
        <v>0</v>
      </c>
      <c r="I6344" s="18" t="n">
        <f aca="false">((I6343 + G6344) - H6344)</f>
        <v>76005.9499999998</v>
      </c>
      <c r="J6344" s="18" t="n">
        <v>0</v>
      </c>
      <c r="K6344" s="19" t="n">
        <v>0</v>
      </c>
      <c r="L6344" s="17"/>
    </row>
    <row r="6345" s="11" customFormat="true" ht="10.95" hidden="false" customHeight="true" outlineLevel="0" collapsed="false">
      <c r="A6345" s="16" t="n">
        <v>45222</v>
      </c>
      <c r="B6345" s="17" t="s">
        <v>3369</v>
      </c>
      <c r="C6345" s="17" t="s">
        <v>3370</v>
      </c>
      <c r="D6345" s="17" t="s">
        <v>19</v>
      </c>
      <c r="E6345" s="17" t="s">
        <v>3426</v>
      </c>
      <c r="F6345" s="17" t="s">
        <v>294</v>
      </c>
      <c r="G6345" s="18" t="n">
        <v>1386</v>
      </c>
      <c r="H6345" s="18" t="n">
        <v>0</v>
      </c>
      <c r="I6345" s="18" t="n">
        <f aca="false">((I6344 + G6345) - H6345)</f>
        <v>77391.9499999998</v>
      </c>
      <c r="J6345" s="18" t="n">
        <v>0</v>
      </c>
      <c r="K6345" s="19" t="n">
        <v>0</v>
      </c>
      <c r="L6345" s="17"/>
    </row>
    <row r="6346" s="11" customFormat="true" ht="10.95" hidden="false" customHeight="true" outlineLevel="0" collapsed="false">
      <c r="A6346" s="16" t="n">
        <v>45222</v>
      </c>
      <c r="B6346" s="17" t="s">
        <v>3369</v>
      </c>
      <c r="C6346" s="17" t="s">
        <v>3370</v>
      </c>
      <c r="D6346" s="17" t="s">
        <v>19</v>
      </c>
      <c r="E6346" s="17" t="s">
        <v>3427</v>
      </c>
      <c r="F6346" s="17" t="s">
        <v>295</v>
      </c>
      <c r="G6346" s="18" t="n">
        <v>561</v>
      </c>
      <c r="H6346" s="18" t="n">
        <v>0</v>
      </c>
      <c r="I6346" s="18" t="n">
        <f aca="false">((I6345 + G6346) - H6346)</f>
        <v>77952.9499999998</v>
      </c>
      <c r="J6346" s="18" t="n">
        <v>0</v>
      </c>
      <c r="K6346" s="19" t="n">
        <v>0</v>
      </c>
      <c r="L6346" s="17"/>
    </row>
    <row r="6347" s="11" customFormat="true" ht="10.95" hidden="false" customHeight="true" outlineLevel="0" collapsed="false">
      <c r="A6347" s="16" t="n">
        <v>45222</v>
      </c>
      <c r="B6347" s="17" t="s">
        <v>3369</v>
      </c>
      <c r="C6347" s="17" t="s">
        <v>3370</v>
      </c>
      <c r="D6347" s="17" t="s">
        <v>19</v>
      </c>
      <c r="E6347" s="17" t="s">
        <v>3428</v>
      </c>
      <c r="F6347" s="17" t="s">
        <v>296</v>
      </c>
      <c r="G6347" s="18" t="n">
        <v>919.6</v>
      </c>
      <c r="H6347" s="18" t="n">
        <v>0</v>
      </c>
      <c r="I6347" s="18" t="n">
        <f aca="false">((I6346 + G6347) - H6347)</f>
        <v>78872.5499999998</v>
      </c>
      <c r="J6347" s="18" t="n">
        <v>0</v>
      </c>
      <c r="K6347" s="19" t="n">
        <v>0</v>
      </c>
      <c r="L6347" s="17"/>
    </row>
    <row r="6348" s="11" customFormat="true" ht="10.95" hidden="false" customHeight="true" outlineLevel="0" collapsed="false">
      <c r="A6348" s="16" t="n">
        <v>45222</v>
      </c>
      <c r="B6348" s="17" t="s">
        <v>3369</v>
      </c>
      <c r="C6348" s="17" t="s">
        <v>3370</v>
      </c>
      <c r="D6348" s="17" t="s">
        <v>19</v>
      </c>
      <c r="E6348" s="17" t="s">
        <v>3429</v>
      </c>
      <c r="F6348" s="17" t="s">
        <v>297</v>
      </c>
      <c r="G6348" s="18" t="n">
        <v>93.5</v>
      </c>
      <c r="H6348" s="18" t="n">
        <v>0</v>
      </c>
      <c r="I6348" s="18" t="n">
        <f aca="false">((I6347 + G6348) - H6348)</f>
        <v>78966.0499999998</v>
      </c>
      <c r="J6348" s="18" t="n">
        <v>0</v>
      </c>
      <c r="K6348" s="19" t="n">
        <v>0</v>
      </c>
      <c r="L6348" s="17"/>
    </row>
    <row r="6349" s="11" customFormat="true" ht="10.95" hidden="false" customHeight="true" outlineLevel="0" collapsed="false">
      <c r="A6349" s="16" t="n">
        <v>45222</v>
      </c>
      <c r="B6349" s="17" t="s">
        <v>3369</v>
      </c>
      <c r="C6349" s="17" t="s">
        <v>3370</v>
      </c>
      <c r="D6349" s="17" t="s">
        <v>19</v>
      </c>
      <c r="E6349" s="17" t="s">
        <v>3430</v>
      </c>
      <c r="F6349" s="17" t="s">
        <v>830</v>
      </c>
      <c r="G6349" s="18" t="n">
        <v>495.01</v>
      </c>
      <c r="H6349" s="18" t="n">
        <v>0</v>
      </c>
      <c r="I6349" s="18" t="n">
        <f aca="false">((I6348 + G6349) - H6349)</f>
        <v>79461.0599999998</v>
      </c>
      <c r="J6349" s="18" t="n">
        <v>0</v>
      </c>
      <c r="K6349" s="19" t="n">
        <v>0</v>
      </c>
      <c r="L6349" s="17"/>
    </row>
    <row r="6350" s="11" customFormat="true" ht="10.95" hidden="false" customHeight="true" outlineLevel="0" collapsed="false">
      <c r="A6350" s="16" t="n">
        <v>45222</v>
      </c>
      <c r="B6350" s="17" t="s">
        <v>3369</v>
      </c>
      <c r="C6350" s="17" t="s">
        <v>3370</v>
      </c>
      <c r="D6350" s="17" t="s">
        <v>19</v>
      </c>
      <c r="E6350" s="17" t="s">
        <v>3430</v>
      </c>
      <c r="F6350" s="17" t="s">
        <v>831</v>
      </c>
      <c r="G6350" s="18" t="n">
        <v>330.01</v>
      </c>
      <c r="H6350" s="18" t="n">
        <v>0</v>
      </c>
      <c r="I6350" s="18" t="n">
        <f aca="false">((I6349 + G6350) - H6350)</f>
        <v>79791.0699999998</v>
      </c>
      <c r="J6350" s="18" t="n">
        <v>0</v>
      </c>
      <c r="K6350" s="19" t="n">
        <v>0</v>
      </c>
      <c r="L6350" s="17"/>
    </row>
    <row r="6351" s="11" customFormat="true" ht="10.95" hidden="false" customHeight="true" outlineLevel="0" collapsed="false">
      <c r="A6351" s="16" t="n">
        <v>45222</v>
      </c>
      <c r="B6351" s="17" t="s">
        <v>3369</v>
      </c>
      <c r="C6351" s="17" t="s">
        <v>3370</v>
      </c>
      <c r="D6351" s="17" t="s">
        <v>19</v>
      </c>
      <c r="E6351" s="17" t="s">
        <v>3431</v>
      </c>
      <c r="F6351" s="17" t="s">
        <v>298</v>
      </c>
      <c r="G6351" s="18" t="n">
        <v>357.5</v>
      </c>
      <c r="H6351" s="18" t="n">
        <v>0</v>
      </c>
      <c r="I6351" s="18" t="n">
        <f aca="false">((I6350 + G6351) - H6351)</f>
        <v>80148.5699999998</v>
      </c>
      <c r="J6351" s="18" t="n">
        <v>0</v>
      </c>
      <c r="K6351" s="19" t="n">
        <v>0</v>
      </c>
      <c r="L6351" s="17"/>
    </row>
    <row r="6352" s="11" customFormat="true" ht="10.95" hidden="false" customHeight="true" outlineLevel="0" collapsed="false">
      <c r="A6352" s="16" t="n">
        <v>45222</v>
      </c>
      <c r="B6352" s="17" t="s">
        <v>3369</v>
      </c>
      <c r="C6352" s="17" t="s">
        <v>3370</v>
      </c>
      <c r="D6352" s="17" t="s">
        <v>19</v>
      </c>
      <c r="E6352" s="17" t="s">
        <v>3432</v>
      </c>
      <c r="F6352" s="17" t="s">
        <v>299</v>
      </c>
      <c r="G6352" s="18" t="n">
        <v>1094.5</v>
      </c>
      <c r="H6352" s="18" t="n">
        <v>0</v>
      </c>
      <c r="I6352" s="18" t="n">
        <f aca="false">((I6351 + G6352) - H6352)</f>
        <v>81243.0699999998</v>
      </c>
      <c r="J6352" s="18" t="n">
        <v>0</v>
      </c>
      <c r="K6352" s="19" t="n">
        <v>0</v>
      </c>
      <c r="L6352" s="17"/>
    </row>
    <row r="6353" s="11" customFormat="true" ht="10.95" hidden="false" customHeight="true" outlineLevel="0" collapsed="false">
      <c r="A6353" s="16" t="n">
        <v>45222</v>
      </c>
      <c r="B6353" s="17" t="s">
        <v>3369</v>
      </c>
      <c r="C6353" s="17" t="s">
        <v>3370</v>
      </c>
      <c r="D6353" s="17" t="s">
        <v>19</v>
      </c>
      <c r="E6353" s="17" t="s">
        <v>3433</v>
      </c>
      <c r="F6353" s="17" t="s">
        <v>300</v>
      </c>
      <c r="G6353" s="18" t="n">
        <v>4207.5</v>
      </c>
      <c r="H6353" s="18" t="n">
        <v>0</v>
      </c>
      <c r="I6353" s="18" t="n">
        <f aca="false">((I6352 + G6353) - H6353)</f>
        <v>85450.5699999998</v>
      </c>
      <c r="J6353" s="18" t="n">
        <v>0</v>
      </c>
      <c r="K6353" s="19" t="n">
        <v>0</v>
      </c>
      <c r="L6353" s="17"/>
    </row>
    <row r="6354" s="11" customFormat="true" ht="10.95" hidden="false" customHeight="true" outlineLevel="0" collapsed="false">
      <c r="A6354" s="16" t="n">
        <v>45222</v>
      </c>
      <c r="B6354" s="17" t="s">
        <v>3369</v>
      </c>
      <c r="C6354" s="17" t="s">
        <v>3370</v>
      </c>
      <c r="D6354" s="17" t="s">
        <v>19</v>
      </c>
      <c r="E6354" s="17" t="s">
        <v>3433</v>
      </c>
      <c r="F6354" s="17" t="s">
        <v>301</v>
      </c>
      <c r="G6354" s="18" t="n">
        <v>4182.2</v>
      </c>
      <c r="H6354" s="18" t="n">
        <v>0</v>
      </c>
      <c r="I6354" s="18" t="n">
        <f aca="false">((I6353 + G6354) - H6354)</f>
        <v>89632.7699999998</v>
      </c>
      <c r="J6354" s="18" t="n">
        <v>0</v>
      </c>
      <c r="K6354" s="19" t="n">
        <v>0</v>
      </c>
      <c r="L6354" s="17"/>
    </row>
    <row r="6355" s="11" customFormat="true" ht="10.95" hidden="false" customHeight="true" outlineLevel="0" collapsed="false">
      <c r="A6355" s="16" t="n">
        <v>45222</v>
      </c>
      <c r="B6355" s="17" t="s">
        <v>3369</v>
      </c>
      <c r="C6355" s="17" t="s">
        <v>3370</v>
      </c>
      <c r="D6355" s="17" t="s">
        <v>19</v>
      </c>
      <c r="E6355" s="17" t="s">
        <v>3434</v>
      </c>
      <c r="F6355" s="17" t="s">
        <v>302</v>
      </c>
      <c r="G6355" s="18" t="n">
        <v>396</v>
      </c>
      <c r="H6355" s="18" t="n">
        <v>0</v>
      </c>
      <c r="I6355" s="18" t="n">
        <f aca="false">((I6354 + G6355) - H6355)</f>
        <v>90028.7699999998</v>
      </c>
      <c r="J6355" s="18" t="n">
        <v>0</v>
      </c>
      <c r="K6355" s="19" t="n">
        <v>0</v>
      </c>
      <c r="L6355" s="17"/>
    </row>
    <row r="6356" s="11" customFormat="true" ht="10.95" hidden="false" customHeight="true" outlineLevel="0" collapsed="false">
      <c r="A6356" s="16" t="n">
        <v>45222</v>
      </c>
      <c r="B6356" s="17" t="s">
        <v>3369</v>
      </c>
      <c r="C6356" s="17" t="s">
        <v>3370</v>
      </c>
      <c r="D6356" s="17" t="s">
        <v>19</v>
      </c>
      <c r="E6356" s="17" t="s">
        <v>3435</v>
      </c>
      <c r="F6356" s="17" t="s">
        <v>303</v>
      </c>
      <c r="G6356" s="18" t="n">
        <v>2244</v>
      </c>
      <c r="H6356" s="18" t="n">
        <v>0</v>
      </c>
      <c r="I6356" s="18" t="n">
        <f aca="false">((I6355 + G6356) - H6356)</f>
        <v>92272.7699999998</v>
      </c>
      <c r="J6356" s="18" t="n">
        <v>0</v>
      </c>
      <c r="K6356" s="19" t="n">
        <v>0</v>
      </c>
      <c r="L6356" s="17"/>
    </row>
    <row r="6357" s="11" customFormat="true" ht="10.95" hidden="false" customHeight="true" outlineLevel="0" collapsed="false">
      <c r="A6357" s="16" t="n">
        <v>45222</v>
      </c>
      <c r="B6357" s="17" t="s">
        <v>3369</v>
      </c>
      <c r="C6357" s="17" t="s">
        <v>3370</v>
      </c>
      <c r="D6357" s="17" t="s">
        <v>19</v>
      </c>
      <c r="E6357" s="17" t="s">
        <v>3436</v>
      </c>
      <c r="F6357" s="17" t="s">
        <v>832</v>
      </c>
      <c r="G6357" s="18" t="n">
        <v>2821.5</v>
      </c>
      <c r="H6357" s="18" t="n">
        <v>0</v>
      </c>
      <c r="I6357" s="18" t="n">
        <f aca="false">((I6356 + G6357) - H6357)</f>
        <v>95094.2699999998</v>
      </c>
      <c r="J6357" s="18" t="n">
        <v>0</v>
      </c>
      <c r="K6357" s="19" t="n">
        <v>0</v>
      </c>
      <c r="L6357" s="17"/>
    </row>
    <row r="6358" s="11" customFormat="true" ht="10.95" hidden="false" customHeight="true" outlineLevel="0" collapsed="false">
      <c r="A6358" s="16" t="n">
        <v>45222</v>
      </c>
      <c r="B6358" s="17" t="s">
        <v>3369</v>
      </c>
      <c r="C6358" s="17" t="s">
        <v>3370</v>
      </c>
      <c r="D6358" s="17" t="s">
        <v>19</v>
      </c>
      <c r="E6358" s="17" t="s">
        <v>3436</v>
      </c>
      <c r="F6358" s="17" t="s">
        <v>833</v>
      </c>
      <c r="G6358" s="18" t="n">
        <v>2194.5</v>
      </c>
      <c r="H6358" s="18" t="n">
        <v>0</v>
      </c>
      <c r="I6358" s="18" t="n">
        <f aca="false">((I6357 + G6358) - H6358)</f>
        <v>97288.7699999998</v>
      </c>
      <c r="J6358" s="18" t="n">
        <v>0</v>
      </c>
      <c r="K6358" s="19" t="n">
        <v>0</v>
      </c>
      <c r="L6358" s="17"/>
    </row>
    <row r="6359" s="11" customFormat="true" ht="10.95" hidden="false" customHeight="true" outlineLevel="0" collapsed="false">
      <c r="A6359" s="16" t="n">
        <v>45222</v>
      </c>
      <c r="B6359" s="17" t="s">
        <v>3369</v>
      </c>
      <c r="C6359" s="17" t="s">
        <v>3370</v>
      </c>
      <c r="D6359" s="17" t="s">
        <v>19</v>
      </c>
      <c r="E6359" s="17" t="s">
        <v>3436</v>
      </c>
      <c r="F6359" s="17" t="s">
        <v>834</v>
      </c>
      <c r="G6359" s="18" t="n">
        <v>1001</v>
      </c>
      <c r="H6359" s="18" t="n">
        <v>0</v>
      </c>
      <c r="I6359" s="18" t="n">
        <f aca="false">((I6358 + G6359) - H6359)</f>
        <v>98289.7699999998</v>
      </c>
      <c r="J6359" s="18" t="n">
        <v>0</v>
      </c>
      <c r="K6359" s="19" t="n">
        <v>0</v>
      </c>
      <c r="L6359" s="17"/>
    </row>
    <row r="6360" s="11" customFormat="true" ht="10.95" hidden="false" customHeight="true" outlineLevel="0" collapsed="false">
      <c r="A6360" s="16" t="n">
        <v>45222</v>
      </c>
      <c r="B6360" s="17" t="s">
        <v>3369</v>
      </c>
      <c r="C6360" s="17" t="s">
        <v>3370</v>
      </c>
      <c r="D6360" s="17" t="s">
        <v>19</v>
      </c>
      <c r="E6360" s="17" t="s">
        <v>3436</v>
      </c>
      <c r="F6360" s="17" t="s">
        <v>835</v>
      </c>
      <c r="G6360" s="18" t="n">
        <v>1672</v>
      </c>
      <c r="H6360" s="18" t="n">
        <v>0</v>
      </c>
      <c r="I6360" s="18" t="n">
        <f aca="false">((I6359 + G6360) - H6360)</f>
        <v>99961.7699999998</v>
      </c>
      <c r="J6360" s="18" t="n">
        <v>0</v>
      </c>
      <c r="K6360" s="19" t="n">
        <v>0</v>
      </c>
      <c r="L6360" s="17"/>
    </row>
    <row r="6361" s="11" customFormat="true" ht="10.95" hidden="false" customHeight="true" outlineLevel="0" collapsed="false">
      <c r="A6361" s="16" t="n">
        <v>45222</v>
      </c>
      <c r="B6361" s="17" t="s">
        <v>3369</v>
      </c>
      <c r="C6361" s="17" t="s">
        <v>3370</v>
      </c>
      <c r="D6361" s="17" t="s">
        <v>19</v>
      </c>
      <c r="E6361" s="17" t="s">
        <v>3409</v>
      </c>
      <c r="F6361" s="17" t="s">
        <v>836</v>
      </c>
      <c r="G6361" s="18" t="n">
        <v>571.17</v>
      </c>
      <c r="H6361" s="18" t="n">
        <v>0</v>
      </c>
      <c r="I6361" s="18" t="n">
        <f aca="false">((I6360 + G6361) - H6361)</f>
        <v>100532.94</v>
      </c>
      <c r="J6361" s="18" t="n">
        <v>0</v>
      </c>
      <c r="K6361" s="19" t="n">
        <v>0</v>
      </c>
      <c r="L6361" s="17"/>
    </row>
    <row r="6362" s="11" customFormat="true" ht="10.95" hidden="false" customHeight="true" outlineLevel="0" collapsed="false">
      <c r="A6362" s="16" t="n">
        <v>45222</v>
      </c>
      <c r="B6362" s="17" t="s">
        <v>3369</v>
      </c>
      <c r="C6362" s="17" t="s">
        <v>3370</v>
      </c>
      <c r="D6362" s="17" t="s">
        <v>19</v>
      </c>
      <c r="E6362" s="17" t="s">
        <v>3409</v>
      </c>
      <c r="F6362" s="17" t="s">
        <v>837</v>
      </c>
      <c r="G6362" s="18" t="n">
        <v>3906.79</v>
      </c>
      <c r="H6362" s="18" t="n">
        <v>0</v>
      </c>
      <c r="I6362" s="18" t="n">
        <f aca="false">((I6361 + G6362) - H6362)</f>
        <v>104439.73</v>
      </c>
      <c r="J6362" s="18" t="n">
        <v>0</v>
      </c>
      <c r="K6362" s="19" t="n">
        <v>0</v>
      </c>
      <c r="L6362" s="17"/>
    </row>
    <row r="6363" s="11" customFormat="true" ht="10.95" hidden="false" customHeight="true" outlineLevel="0" collapsed="false">
      <c r="A6363" s="16" t="n">
        <v>45222</v>
      </c>
      <c r="B6363" s="17" t="s">
        <v>3369</v>
      </c>
      <c r="C6363" s="17" t="s">
        <v>3370</v>
      </c>
      <c r="D6363" s="17" t="s">
        <v>19</v>
      </c>
      <c r="E6363" s="17" t="s">
        <v>3437</v>
      </c>
      <c r="F6363" s="17" t="s">
        <v>304</v>
      </c>
      <c r="G6363" s="18" t="n">
        <v>1100.06</v>
      </c>
      <c r="H6363" s="18" t="n">
        <v>0</v>
      </c>
      <c r="I6363" s="18" t="n">
        <f aca="false">((I6362 + G6363) - H6363)</f>
        <v>105539.79</v>
      </c>
      <c r="J6363" s="18" t="n">
        <v>0</v>
      </c>
      <c r="K6363" s="19" t="n">
        <v>0</v>
      </c>
      <c r="L6363" s="17"/>
    </row>
    <row r="6364" s="11" customFormat="true" ht="10.95" hidden="false" customHeight="true" outlineLevel="0" collapsed="false">
      <c r="A6364" s="16" t="n">
        <v>45222</v>
      </c>
      <c r="B6364" s="17" t="s">
        <v>3369</v>
      </c>
      <c r="C6364" s="17" t="s">
        <v>3370</v>
      </c>
      <c r="D6364" s="17" t="s">
        <v>19</v>
      </c>
      <c r="E6364" s="17" t="s">
        <v>3438</v>
      </c>
      <c r="F6364" s="17" t="s">
        <v>1141</v>
      </c>
      <c r="G6364" s="18" t="n">
        <v>3100.03</v>
      </c>
      <c r="H6364" s="18" t="n">
        <v>0</v>
      </c>
      <c r="I6364" s="18" t="n">
        <f aca="false">((I6363 + G6364) - H6364)</f>
        <v>108639.82</v>
      </c>
      <c r="J6364" s="18" t="n">
        <v>0</v>
      </c>
      <c r="K6364" s="19" t="n">
        <v>0</v>
      </c>
      <c r="L6364" s="17"/>
    </row>
    <row r="6365" s="11" customFormat="true" ht="10.95" hidden="false" customHeight="true" outlineLevel="0" collapsed="false">
      <c r="A6365" s="16" t="n">
        <v>45222</v>
      </c>
      <c r="B6365" s="17" t="s">
        <v>3369</v>
      </c>
      <c r="C6365" s="17" t="s">
        <v>3370</v>
      </c>
      <c r="D6365" s="17" t="s">
        <v>19</v>
      </c>
      <c r="E6365" s="17" t="s">
        <v>3439</v>
      </c>
      <c r="F6365" s="17" t="s">
        <v>305</v>
      </c>
      <c r="G6365" s="18" t="n">
        <v>1052.7</v>
      </c>
      <c r="H6365" s="18" t="n">
        <v>0</v>
      </c>
      <c r="I6365" s="18" t="n">
        <f aca="false">((I6364 + G6365) - H6365)</f>
        <v>109692.52</v>
      </c>
      <c r="J6365" s="18" t="n">
        <v>0</v>
      </c>
      <c r="K6365" s="19" t="n">
        <v>0</v>
      </c>
      <c r="L6365" s="17"/>
    </row>
    <row r="6366" s="11" customFormat="true" ht="10.95" hidden="false" customHeight="true" outlineLevel="0" collapsed="false">
      <c r="A6366" s="16" t="n">
        <v>45222</v>
      </c>
      <c r="B6366" s="17" t="s">
        <v>3369</v>
      </c>
      <c r="C6366" s="17" t="s">
        <v>3370</v>
      </c>
      <c r="D6366" s="17" t="s">
        <v>19</v>
      </c>
      <c r="E6366" s="17" t="s">
        <v>3440</v>
      </c>
      <c r="F6366" s="17" t="s">
        <v>1142</v>
      </c>
      <c r="G6366" s="18" t="n">
        <v>1702.25</v>
      </c>
      <c r="H6366" s="18" t="n">
        <v>0</v>
      </c>
      <c r="I6366" s="18" t="n">
        <f aca="false">((I6365 + G6366) - H6366)</f>
        <v>111394.77</v>
      </c>
      <c r="J6366" s="18" t="n">
        <v>0</v>
      </c>
      <c r="K6366" s="19" t="n">
        <v>0</v>
      </c>
      <c r="L6366" s="17"/>
    </row>
    <row r="6367" s="11" customFormat="true" ht="10.95" hidden="false" customHeight="true" outlineLevel="0" collapsed="false">
      <c r="A6367" s="16" t="n">
        <v>45222</v>
      </c>
      <c r="B6367" s="17" t="s">
        <v>3369</v>
      </c>
      <c r="C6367" s="17" t="s">
        <v>3370</v>
      </c>
      <c r="D6367" s="17" t="s">
        <v>19</v>
      </c>
      <c r="E6367" s="17" t="s">
        <v>3441</v>
      </c>
      <c r="F6367" s="17" t="s">
        <v>1144</v>
      </c>
      <c r="G6367" s="18" t="n">
        <v>180</v>
      </c>
      <c r="H6367" s="18" t="n">
        <v>0</v>
      </c>
      <c r="I6367" s="18" t="n">
        <f aca="false">((I6366 + G6367) - H6367)</f>
        <v>111574.77</v>
      </c>
      <c r="J6367" s="18" t="n">
        <v>0</v>
      </c>
      <c r="K6367" s="19" t="n">
        <v>0</v>
      </c>
      <c r="L6367" s="17"/>
    </row>
    <row r="6368" s="11" customFormat="true" ht="10.95" hidden="false" customHeight="true" outlineLevel="0" collapsed="false">
      <c r="A6368" s="16" t="n">
        <v>45222</v>
      </c>
      <c r="B6368" s="17" t="s">
        <v>3369</v>
      </c>
      <c r="C6368" s="17" t="s">
        <v>3370</v>
      </c>
      <c r="D6368" s="17" t="s">
        <v>19</v>
      </c>
      <c r="E6368" s="17" t="s">
        <v>3442</v>
      </c>
      <c r="F6368" s="17" t="s">
        <v>306</v>
      </c>
      <c r="G6368" s="18" t="n">
        <v>9999</v>
      </c>
      <c r="H6368" s="18" t="n">
        <v>0</v>
      </c>
      <c r="I6368" s="18" t="n">
        <f aca="false">((I6367 + G6368) - H6368)</f>
        <v>121573.77</v>
      </c>
      <c r="J6368" s="18" t="n">
        <v>0</v>
      </c>
      <c r="K6368" s="19" t="n">
        <v>0</v>
      </c>
      <c r="L6368" s="17"/>
    </row>
    <row r="6369" s="11" customFormat="true" ht="10.95" hidden="false" customHeight="true" outlineLevel="0" collapsed="false">
      <c r="A6369" s="16" t="n">
        <v>45222</v>
      </c>
      <c r="B6369" s="17" t="s">
        <v>3369</v>
      </c>
      <c r="C6369" s="17" t="s">
        <v>3370</v>
      </c>
      <c r="D6369" s="17" t="s">
        <v>19</v>
      </c>
      <c r="E6369" s="17" t="s">
        <v>3443</v>
      </c>
      <c r="F6369" s="17" t="s">
        <v>307</v>
      </c>
      <c r="G6369" s="18" t="n">
        <v>4873</v>
      </c>
      <c r="H6369" s="18" t="n">
        <v>0</v>
      </c>
      <c r="I6369" s="18" t="n">
        <f aca="false">((I6368 + G6369) - H6369)</f>
        <v>126446.77</v>
      </c>
      <c r="J6369" s="18" t="n">
        <v>0</v>
      </c>
      <c r="K6369" s="19" t="n">
        <v>0</v>
      </c>
      <c r="L6369" s="17"/>
    </row>
    <row r="6370" s="11" customFormat="true" ht="10.95" hidden="false" customHeight="true" outlineLevel="0" collapsed="false">
      <c r="A6370" s="16" t="n">
        <v>45222</v>
      </c>
      <c r="B6370" s="17" t="s">
        <v>3369</v>
      </c>
      <c r="C6370" s="17" t="s">
        <v>3370</v>
      </c>
      <c r="D6370" s="17" t="s">
        <v>19</v>
      </c>
      <c r="E6370" s="17" t="s">
        <v>3444</v>
      </c>
      <c r="F6370" s="17" t="s">
        <v>308</v>
      </c>
      <c r="G6370" s="18" t="n">
        <v>968</v>
      </c>
      <c r="H6370" s="18" t="n">
        <v>0</v>
      </c>
      <c r="I6370" s="18" t="n">
        <f aca="false">((I6369 + G6370) - H6370)</f>
        <v>127414.77</v>
      </c>
      <c r="J6370" s="18" t="n">
        <v>0</v>
      </c>
      <c r="K6370" s="19" t="n">
        <v>0</v>
      </c>
      <c r="L6370" s="17"/>
    </row>
    <row r="6371" s="11" customFormat="true" ht="10.95" hidden="false" customHeight="true" outlineLevel="0" collapsed="false">
      <c r="A6371" s="16" t="n">
        <v>45222</v>
      </c>
      <c r="B6371" s="17" t="s">
        <v>3369</v>
      </c>
      <c r="C6371" s="17" t="s">
        <v>3370</v>
      </c>
      <c r="D6371" s="17" t="s">
        <v>19</v>
      </c>
      <c r="E6371" s="17" t="s">
        <v>3446</v>
      </c>
      <c r="F6371" s="17" t="s">
        <v>309</v>
      </c>
      <c r="G6371" s="18" t="n">
        <v>2068</v>
      </c>
      <c r="H6371" s="18" t="n">
        <v>0</v>
      </c>
      <c r="I6371" s="18" t="n">
        <f aca="false">((I6370 + G6371) - H6371)</f>
        <v>129482.77</v>
      </c>
      <c r="J6371" s="18" t="n">
        <v>0</v>
      </c>
      <c r="K6371" s="19" t="n">
        <v>0</v>
      </c>
      <c r="L6371" s="17"/>
    </row>
    <row r="6372" s="11" customFormat="true" ht="10.95" hidden="false" customHeight="true" outlineLevel="0" collapsed="false">
      <c r="A6372" s="16" t="n">
        <v>45222</v>
      </c>
      <c r="B6372" s="17" t="s">
        <v>3369</v>
      </c>
      <c r="C6372" s="17" t="s">
        <v>3370</v>
      </c>
      <c r="D6372" s="17" t="s">
        <v>19</v>
      </c>
      <c r="E6372" s="17" t="s">
        <v>3508</v>
      </c>
      <c r="F6372" s="17" t="s">
        <v>311</v>
      </c>
      <c r="G6372" s="18" t="n">
        <v>264</v>
      </c>
      <c r="H6372" s="18" t="n">
        <v>0</v>
      </c>
      <c r="I6372" s="18" t="n">
        <f aca="false">((I6371 + G6372) - H6372)</f>
        <v>129746.77</v>
      </c>
      <c r="J6372" s="18" t="n">
        <v>0</v>
      </c>
      <c r="K6372" s="19" t="n">
        <v>0</v>
      </c>
      <c r="L6372" s="17"/>
    </row>
    <row r="6373" s="11" customFormat="true" ht="10.95" hidden="false" customHeight="true" outlineLevel="0" collapsed="false">
      <c r="A6373" s="16" t="n">
        <v>45222</v>
      </c>
      <c r="B6373" s="17" t="s">
        <v>3369</v>
      </c>
      <c r="C6373" s="17" t="s">
        <v>3370</v>
      </c>
      <c r="D6373" s="17" t="s">
        <v>19</v>
      </c>
      <c r="E6373" s="17" t="s">
        <v>3447</v>
      </c>
      <c r="F6373" s="17" t="s">
        <v>312</v>
      </c>
      <c r="G6373" s="18" t="n">
        <v>618.75</v>
      </c>
      <c r="H6373" s="18" t="n">
        <v>0</v>
      </c>
      <c r="I6373" s="18" t="n">
        <f aca="false">((I6372 + G6373) - H6373)</f>
        <v>130365.52</v>
      </c>
      <c r="J6373" s="18" t="n">
        <v>0</v>
      </c>
      <c r="K6373" s="19" t="n">
        <v>0</v>
      </c>
      <c r="L6373" s="17"/>
    </row>
    <row r="6374" s="11" customFormat="true" ht="10.95" hidden="false" customHeight="true" outlineLevel="0" collapsed="false">
      <c r="A6374" s="16" t="n">
        <v>45222</v>
      </c>
      <c r="B6374" s="17" t="s">
        <v>3369</v>
      </c>
      <c r="C6374" s="17" t="s">
        <v>3370</v>
      </c>
      <c r="D6374" s="17" t="s">
        <v>19</v>
      </c>
      <c r="E6374" s="17" t="s">
        <v>3447</v>
      </c>
      <c r="F6374" s="17" t="s">
        <v>313</v>
      </c>
      <c r="G6374" s="18" t="n">
        <v>827.2</v>
      </c>
      <c r="H6374" s="18" t="n">
        <v>0</v>
      </c>
      <c r="I6374" s="18" t="n">
        <f aca="false">((I6373 + G6374) - H6374)</f>
        <v>131192.72</v>
      </c>
      <c r="J6374" s="18" t="n">
        <v>0</v>
      </c>
      <c r="K6374" s="19" t="n">
        <v>0</v>
      </c>
      <c r="L6374" s="17"/>
    </row>
    <row r="6375" s="11" customFormat="true" ht="10.95" hidden="false" customHeight="true" outlineLevel="0" collapsed="false">
      <c r="A6375" s="16" t="n">
        <v>45222</v>
      </c>
      <c r="B6375" s="17" t="s">
        <v>3369</v>
      </c>
      <c r="C6375" s="17" t="s">
        <v>3370</v>
      </c>
      <c r="D6375" s="17" t="s">
        <v>19</v>
      </c>
      <c r="E6375" s="17" t="s">
        <v>3447</v>
      </c>
      <c r="F6375" s="17" t="s">
        <v>314</v>
      </c>
      <c r="G6375" s="18" t="n">
        <v>638</v>
      </c>
      <c r="H6375" s="18" t="n">
        <v>0</v>
      </c>
      <c r="I6375" s="18" t="n">
        <f aca="false">((I6374 + G6375) - H6375)</f>
        <v>131830.72</v>
      </c>
      <c r="J6375" s="18" t="n">
        <v>0</v>
      </c>
      <c r="K6375" s="19" t="n">
        <v>0</v>
      </c>
      <c r="L6375" s="17"/>
    </row>
    <row r="6376" s="11" customFormat="true" ht="10.95" hidden="false" customHeight="true" outlineLevel="0" collapsed="false">
      <c r="A6376" s="16" t="n">
        <v>45222</v>
      </c>
      <c r="B6376" s="17" t="s">
        <v>3369</v>
      </c>
      <c r="C6376" s="17" t="s">
        <v>3370</v>
      </c>
      <c r="D6376" s="17" t="s">
        <v>19</v>
      </c>
      <c r="E6376" s="17" t="s">
        <v>3447</v>
      </c>
      <c r="F6376" s="17" t="s">
        <v>315</v>
      </c>
      <c r="G6376" s="18" t="n">
        <v>206.8</v>
      </c>
      <c r="H6376" s="18" t="n">
        <v>0</v>
      </c>
      <c r="I6376" s="18" t="n">
        <f aca="false">((I6375 + G6376) - H6376)</f>
        <v>132037.52</v>
      </c>
      <c r="J6376" s="18" t="n">
        <v>0</v>
      </c>
      <c r="K6376" s="19" t="n">
        <v>0</v>
      </c>
      <c r="L6376" s="17"/>
    </row>
    <row r="6377" s="11" customFormat="true" ht="10.95" hidden="false" customHeight="true" outlineLevel="0" collapsed="false">
      <c r="A6377" s="16" t="n">
        <v>45222</v>
      </c>
      <c r="B6377" s="17" t="s">
        <v>3369</v>
      </c>
      <c r="C6377" s="17" t="s">
        <v>3370</v>
      </c>
      <c r="D6377" s="17" t="s">
        <v>19</v>
      </c>
      <c r="E6377" s="17" t="s">
        <v>3447</v>
      </c>
      <c r="F6377" s="17" t="s">
        <v>316</v>
      </c>
      <c r="G6377" s="18" t="n">
        <v>1464.65</v>
      </c>
      <c r="H6377" s="18" t="n">
        <v>0</v>
      </c>
      <c r="I6377" s="18" t="n">
        <f aca="false">((I6376 + G6377) - H6377)</f>
        <v>133502.17</v>
      </c>
      <c r="J6377" s="18" t="n">
        <v>0</v>
      </c>
      <c r="K6377" s="19" t="n">
        <v>0</v>
      </c>
      <c r="L6377" s="17"/>
    </row>
    <row r="6378" s="11" customFormat="true" ht="10.95" hidden="false" customHeight="true" outlineLevel="0" collapsed="false">
      <c r="A6378" s="16" t="n">
        <v>45222</v>
      </c>
      <c r="B6378" s="17" t="s">
        <v>3369</v>
      </c>
      <c r="C6378" s="17" t="s">
        <v>3370</v>
      </c>
      <c r="D6378" s="17" t="s">
        <v>19</v>
      </c>
      <c r="E6378" s="17" t="s">
        <v>3447</v>
      </c>
      <c r="F6378" s="17" t="s">
        <v>317</v>
      </c>
      <c r="G6378" s="18" t="n">
        <v>517</v>
      </c>
      <c r="H6378" s="18" t="n">
        <v>0</v>
      </c>
      <c r="I6378" s="18" t="n">
        <f aca="false">((I6377 + G6378) - H6378)</f>
        <v>134019.17</v>
      </c>
      <c r="J6378" s="18" t="n">
        <v>0</v>
      </c>
      <c r="K6378" s="19" t="n">
        <v>0</v>
      </c>
      <c r="L6378" s="17"/>
    </row>
    <row r="6379" s="11" customFormat="true" ht="10.95" hidden="false" customHeight="true" outlineLevel="0" collapsed="false">
      <c r="A6379" s="16" t="n">
        <v>45222</v>
      </c>
      <c r="B6379" s="17" t="s">
        <v>3369</v>
      </c>
      <c r="C6379" s="17" t="s">
        <v>3370</v>
      </c>
      <c r="D6379" s="17" t="s">
        <v>19</v>
      </c>
      <c r="E6379" s="17" t="s">
        <v>3447</v>
      </c>
      <c r="F6379" s="17" t="s">
        <v>318</v>
      </c>
      <c r="G6379" s="18" t="n">
        <v>316.8</v>
      </c>
      <c r="H6379" s="18" t="n">
        <v>0</v>
      </c>
      <c r="I6379" s="18" t="n">
        <f aca="false">((I6378 + G6379) - H6379)</f>
        <v>134335.97</v>
      </c>
      <c r="J6379" s="18" t="n">
        <v>0</v>
      </c>
      <c r="K6379" s="19" t="n">
        <v>0</v>
      </c>
      <c r="L6379" s="17"/>
    </row>
    <row r="6380" s="11" customFormat="true" ht="10.95" hidden="false" customHeight="true" outlineLevel="0" collapsed="false">
      <c r="A6380" s="16" t="n">
        <v>45222</v>
      </c>
      <c r="B6380" s="17" t="s">
        <v>3369</v>
      </c>
      <c r="C6380" s="17" t="s">
        <v>3370</v>
      </c>
      <c r="D6380" s="17" t="s">
        <v>19</v>
      </c>
      <c r="E6380" s="17" t="s">
        <v>3447</v>
      </c>
      <c r="F6380" s="17" t="s">
        <v>319</v>
      </c>
      <c r="G6380" s="18" t="n">
        <v>627</v>
      </c>
      <c r="H6380" s="18" t="n">
        <v>0</v>
      </c>
      <c r="I6380" s="18" t="n">
        <f aca="false">((I6379 + G6380) - H6380)</f>
        <v>134962.97</v>
      </c>
      <c r="J6380" s="18" t="n">
        <v>0</v>
      </c>
      <c r="K6380" s="19" t="n">
        <v>0</v>
      </c>
      <c r="L6380" s="17"/>
    </row>
    <row r="6381" s="11" customFormat="true" ht="10.95" hidden="false" customHeight="true" outlineLevel="0" collapsed="false">
      <c r="A6381" s="16" t="n">
        <v>45222</v>
      </c>
      <c r="B6381" s="17" t="s">
        <v>3369</v>
      </c>
      <c r="C6381" s="17" t="s">
        <v>3370</v>
      </c>
      <c r="D6381" s="17" t="s">
        <v>19</v>
      </c>
      <c r="E6381" s="17" t="s">
        <v>3447</v>
      </c>
      <c r="F6381" s="17" t="s">
        <v>320</v>
      </c>
      <c r="G6381" s="18" t="n">
        <v>2484.9</v>
      </c>
      <c r="H6381" s="18" t="n">
        <v>0</v>
      </c>
      <c r="I6381" s="18" t="n">
        <f aca="false">((I6380 + G6381) - H6381)</f>
        <v>137447.87</v>
      </c>
      <c r="J6381" s="18" t="n">
        <v>0</v>
      </c>
      <c r="K6381" s="19" t="n">
        <v>0</v>
      </c>
      <c r="L6381" s="17"/>
    </row>
    <row r="6382" s="11" customFormat="true" ht="10.95" hidden="false" customHeight="true" outlineLevel="0" collapsed="false">
      <c r="A6382" s="16" t="n">
        <v>45222</v>
      </c>
      <c r="B6382" s="17" t="s">
        <v>3369</v>
      </c>
      <c r="C6382" s="17" t="s">
        <v>3370</v>
      </c>
      <c r="D6382" s="17" t="s">
        <v>19</v>
      </c>
      <c r="E6382" s="17" t="s">
        <v>3447</v>
      </c>
      <c r="F6382" s="17" t="s">
        <v>321</v>
      </c>
      <c r="G6382" s="18" t="n">
        <v>1258.4</v>
      </c>
      <c r="H6382" s="18" t="n">
        <v>0</v>
      </c>
      <c r="I6382" s="18" t="n">
        <f aca="false">((I6381 + G6382) - H6382)</f>
        <v>138706.27</v>
      </c>
      <c r="J6382" s="18" t="n">
        <v>0</v>
      </c>
      <c r="K6382" s="19" t="n">
        <v>0</v>
      </c>
      <c r="L6382" s="17"/>
    </row>
    <row r="6383" s="11" customFormat="true" ht="10.95" hidden="false" customHeight="true" outlineLevel="0" collapsed="false">
      <c r="A6383" s="16" t="n">
        <v>45222</v>
      </c>
      <c r="B6383" s="17" t="s">
        <v>3369</v>
      </c>
      <c r="C6383" s="17" t="s">
        <v>3370</v>
      </c>
      <c r="D6383" s="17" t="s">
        <v>19</v>
      </c>
      <c r="E6383" s="17" t="s">
        <v>3447</v>
      </c>
      <c r="F6383" s="17" t="s">
        <v>322</v>
      </c>
      <c r="G6383" s="18" t="n">
        <v>310.2</v>
      </c>
      <c r="H6383" s="18" t="n">
        <v>0</v>
      </c>
      <c r="I6383" s="18" t="n">
        <f aca="false">((I6382 + G6383) - H6383)</f>
        <v>139016.47</v>
      </c>
      <c r="J6383" s="18" t="n">
        <v>0</v>
      </c>
      <c r="K6383" s="19" t="n">
        <v>0</v>
      </c>
      <c r="L6383" s="17"/>
    </row>
    <row r="6384" s="11" customFormat="true" ht="10.95" hidden="false" customHeight="true" outlineLevel="0" collapsed="false">
      <c r="A6384" s="16" t="n">
        <v>45222</v>
      </c>
      <c r="B6384" s="17" t="s">
        <v>3369</v>
      </c>
      <c r="C6384" s="17" t="s">
        <v>3370</v>
      </c>
      <c r="D6384" s="17" t="s">
        <v>19</v>
      </c>
      <c r="E6384" s="17" t="s">
        <v>3447</v>
      </c>
      <c r="F6384" s="17" t="s">
        <v>323</v>
      </c>
      <c r="G6384" s="18" t="n">
        <v>310.2</v>
      </c>
      <c r="H6384" s="18" t="n">
        <v>0</v>
      </c>
      <c r="I6384" s="18" t="n">
        <f aca="false">((I6383 + G6384) - H6384)</f>
        <v>139326.67</v>
      </c>
      <c r="J6384" s="18" t="n">
        <v>0</v>
      </c>
      <c r="K6384" s="19" t="n">
        <v>0</v>
      </c>
      <c r="L6384" s="17"/>
    </row>
    <row r="6385" s="11" customFormat="true" ht="10.95" hidden="false" customHeight="true" outlineLevel="0" collapsed="false">
      <c r="A6385" s="16" t="n">
        <v>45222</v>
      </c>
      <c r="B6385" s="17" t="s">
        <v>3369</v>
      </c>
      <c r="C6385" s="17" t="s">
        <v>3370</v>
      </c>
      <c r="D6385" s="17" t="s">
        <v>19</v>
      </c>
      <c r="E6385" s="17" t="s">
        <v>3447</v>
      </c>
      <c r="F6385" s="17" t="s">
        <v>324</v>
      </c>
      <c r="G6385" s="18" t="n">
        <v>827.2</v>
      </c>
      <c r="H6385" s="18" t="n">
        <v>0</v>
      </c>
      <c r="I6385" s="18" t="n">
        <f aca="false">((I6384 + G6385) - H6385)</f>
        <v>140153.87</v>
      </c>
      <c r="J6385" s="18" t="n">
        <v>0</v>
      </c>
      <c r="K6385" s="19" t="n">
        <v>0</v>
      </c>
      <c r="L6385" s="17"/>
    </row>
    <row r="6386" s="11" customFormat="true" ht="10.95" hidden="false" customHeight="true" outlineLevel="0" collapsed="false">
      <c r="A6386" s="16" t="n">
        <v>45222</v>
      </c>
      <c r="B6386" s="17" t="s">
        <v>3369</v>
      </c>
      <c r="C6386" s="17" t="s">
        <v>3370</v>
      </c>
      <c r="D6386" s="17" t="s">
        <v>19</v>
      </c>
      <c r="E6386" s="17" t="s">
        <v>3447</v>
      </c>
      <c r="F6386" s="17" t="s">
        <v>325</v>
      </c>
      <c r="G6386" s="18" t="n">
        <v>1137.4</v>
      </c>
      <c r="H6386" s="18" t="n">
        <v>0</v>
      </c>
      <c r="I6386" s="18" t="n">
        <f aca="false">((I6385 + G6386) - H6386)</f>
        <v>141291.27</v>
      </c>
      <c r="J6386" s="18" t="n">
        <v>0</v>
      </c>
      <c r="K6386" s="19" t="n">
        <v>0</v>
      </c>
      <c r="L6386" s="17"/>
    </row>
    <row r="6387" s="11" customFormat="true" ht="10.95" hidden="false" customHeight="true" outlineLevel="0" collapsed="false">
      <c r="A6387" s="16" t="n">
        <v>45222</v>
      </c>
      <c r="B6387" s="17" t="s">
        <v>3369</v>
      </c>
      <c r="C6387" s="17" t="s">
        <v>3370</v>
      </c>
      <c r="D6387" s="17" t="s">
        <v>19</v>
      </c>
      <c r="E6387" s="17" t="s">
        <v>3447</v>
      </c>
      <c r="F6387" s="17" t="s">
        <v>326</v>
      </c>
      <c r="G6387" s="18" t="n">
        <v>103.4</v>
      </c>
      <c r="H6387" s="18" t="n">
        <v>0</v>
      </c>
      <c r="I6387" s="18" t="n">
        <f aca="false">((I6386 + G6387) - H6387)</f>
        <v>141394.67</v>
      </c>
      <c r="J6387" s="18" t="n">
        <v>0</v>
      </c>
      <c r="K6387" s="19" t="n">
        <v>0</v>
      </c>
      <c r="L6387" s="17"/>
    </row>
    <row r="6388" s="11" customFormat="true" ht="10.95" hidden="false" customHeight="true" outlineLevel="0" collapsed="false">
      <c r="A6388" s="16" t="n">
        <v>45222</v>
      </c>
      <c r="B6388" s="17" t="s">
        <v>3369</v>
      </c>
      <c r="C6388" s="17" t="s">
        <v>3370</v>
      </c>
      <c r="D6388" s="17" t="s">
        <v>19</v>
      </c>
      <c r="E6388" s="17" t="s">
        <v>3447</v>
      </c>
      <c r="F6388" s="17" t="s">
        <v>327</v>
      </c>
      <c r="G6388" s="18" t="n">
        <v>723.8</v>
      </c>
      <c r="H6388" s="18" t="n">
        <v>0</v>
      </c>
      <c r="I6388" s="18" t="n">
        <f aca="false">((I6387 + G6388) - H6388)</f>
        <v>142118.47</v>
      </c>
      <c r="J6388" s="18" t="n">
        <v>0</v>
      </c>
      <c r="K6388" s="19" t="n">
        <v>0</v>
      </c>
      <c r="L6388" s="17"/>
    </row>
    <row r="6389" s="11" customFormat="true" ht="10.95" hidden="false" customHeight="true" outlineLevel="0" collapsed="false">
      <c r="A6389" s="16" t="n">
        <v>45222</v>
      </c>
      <c r="B6389" s="17" t="s">
        <v>3369</v>
      </c>
      <c r="C6389" s="17" t="s">
        <v>3370</v>
      </c>
      <c r="D6389" s="17" t="s">
        <v>19</v>
      </c>
      <c r="E6389" s="17" t="s">
        <v>3449</v>
      </c>
      <c r="F6389" s="17" t="s">
        <v>838</v>
      </c>
      <c r="G6389" s="18" t="n">
        <v>614.95</v>
      </c>
      <c r="H6389" s="18" t="n">
        <v>0</v>
      </c>
      <c r="I6389" s="18" t="n">
        <f aca="false">((I6388 + G6389) - H6389)</f>
        <v>142733.42</v>
      </c>
      <c r="J6389" s="18" t="n">
        <v>0</v>
      </c>
      <c r="K6389" s="19" t="n">
        <v>0</v>
      </c>
      <c r="L6389" s="17"/>
    </row>
    <row r="6390" s="11" customFormat="true" ht="10.95" hidden="false" customHeight="true" outlineLevel="0" collapsed="false">
      <c r="A6390" s="16" t="n">
        <v>45222</v>
      </c>
      <c r="B6390" s="17" t="s">
        <v>3369</v>
      </c>
      <c r="C6390" s="17" t="s">
        <v>3370</v>
      </c>
      <c r="D6390" s="17" t="s">
        <v>19</v>
      </c>
      <c r="E6390" s="17" t="s">
        <v>3450</v>
      </c>
      <c r="F6390" s="17" t="s">
        <v>1145</v>
      </c>
      <c r="G6390" s="18" t="n">
        <v>265.6</v>
      </c>
      <c r="H6390" s="18" t="n">
        <v>0</v>
      </c>
      <c r="I6390" s="18" t="n">
        <f aca="false">((I6389 + G6390) - H6390)</f>
        <v>142999.02</v>
      </c>
      <c r="J6390" s="18" t="n">
        <v>0</v>
      </c>
      <c r="K6390" s="19" t="n">
        <v>0</v>
      </c>
      <c r="L6390" s="17"/>
    </row>
    <row r="6391" s="11" customFormat="true" ht="10.95" hidden="false" customHeight="true" outlineLevel="0" collapsed="false">
      <c r="A6391" s="16" t="n">
        <v>45222</v>
      </c>
      <c r="B6391" s="17" t="s">
        <v>3369</v>
      </c>
      <c r="C6391" s="17" t="s">
        <v>3370</v>
      </c>
      <c r="D6391" s="17" t="s">
        <v>19</v>
      </c>
      <c r="E6391" s="17" t="s">
        <v>3450</v>
      </c>
      <c r="F6391" s="17" t="s">
        <v>1146</v>
      </c>
      <c r="G6391" s="18" t="n">
        <v>802.8</v>
      </c>
      <c r="H6391" s="18" t="n">
        <v>0</v>
      </c>
      <c r="I6391" s="18" t="n">
        <f aca="false">((I6390 + G6391) - H6391)</f>
        <v>143801.82</v>
      </c>
      <c r="J6391" s="18" t="n">
        <v>0</v>
      </c>
      <c r="K6391" s="19" t="n">
        <v>0</v>
      </c>
      <c r="L6391" s="17"/>
    </row>
    <row r="6392" s="11" customFormat="true" ht="10.95" hidden="false" customHeight="true" outlineLevel="0" collapsed="false">
      <c r="A6392" s="16" t="n">
        <v>45222</v>
      </c>
      <c r="B6392" s="17" t="s">
        <v>3369</v>
      </c>
      <c r="C6392" s="17" t="s">
        <v>3370</v>
      </c>
      <c r="D6392" s="17" t="s">
        <v>19</v>
      </c>
      <c r="E6392" s="17" t="s">
        <v>3450</v>
      </c>
      <c r="F6392" s="17" t="s">
        <v>1147</v>
      </c>
      <c r="G6392" s="18" t="n">
        <v>1745.78</v>
      </c>
      <c r="H6392" s="18" t="n">
        <v>0</v>
      </c>
      <c r="I6392" s="18" t="n">
        <f aca="false">((I6391 + G6392) - H6392)</f>
        <v>145547.6</v>
      </c>
      <c r="J6392" s="18" t="n">
        <v>0</v>
      </c>
      <c r="K6392" s="19" t="n">
        <v>0</v>
      </c>
      <c r="L6392" s="17"/>
    </row>
    <row r="6393" s="11" customFormat="true" ht="10.95" hidden="false" customHeight="true" outlineLevel="0" collapsed="false">
      <c r="A6393" s="16" t="n">
        <v>45222</v>
      </c>
      <c r="B6393" s="17" t="s">
        <v>3369</v>
      </c>
      <c r="C6393" s="17" t="s">
        <v>3370</v>
      </c>
      <c r="D6393" s="17" t="s">
        <v>19</v>
      </c>
      <c r="E6393" s="17" t="s">
        <v>3450</v>
      </c>
      <c r="F6393" s="17" t="s">
        <v>1148</v>
      </c>
      <c r="G6393" s="18" t="n">
        <v>1003.85</v>
      </c>
      <c r="H6393" s="18" t="n">
        <v>0</v>
      </c>
      <c r="I6393" s="18" t="n">
        <f aca="false">((I6392 + G6393) - H6393)</f>
        <v>146551.45</v>
      </c>
      <c r="J6393" s="18" t="n">
        <v>0</v>
      </c>
      <c r="K6393" s="19" t="n">
        <v>0</v>
      </c>
      <c r="L6393" s="17"/>
    </row>
    <row r="6394" s="11" customFormat="true" ht="10.95" hidden="false" customHeight="true" outlineLevel="0" collapsed="false">
      <c r="A6394" s="16" t="n">
        <v>45222</v>
      </c>
      <c r="B6394" s="17" t="s">
        <v>3369</v>
      </c>
      <c r="C6394" s="17" t="s">
        <v>3370</v>
      </c>
      <c r="D6394" s="17" t="s">
        <v>19</v>
      </c>
      <c r="E6394" s="17" t="s">
        <v>3450</v>
      </c>
      <c r="F6394" s="17" t="s">
        <v>1149</v>
      </c>
      <c r="G6394" s="18" t="n">
        <v>2167.24</v>
      </c>
      <c r="H6394" s="18" t="n">
        <v>0</v>
      </c>
      <c r="I6394" s="18" t="n">
        <f aca="false">((I6393 + G6394) - H6394)</f>
        <v>148718.69</v>
      </c>
      <c r="J6394" s="18" t="n">
        <v>0</v>
      </c>
      <c r="K6394" s="19" t="n">
        <v>0</v>
      </c>
      <c r="L6394" s="17"/>
    </row>
    <row r="6395" s="11" customFormat="true" ht="10.95" hidden="false" customHeight="true" outlineLevel="0" collapsed="false">
      <c r="A6395" s="16" t="n">
        <v>45222</v>
      </c>
      <c r="B6395" s="17" t="s">
        <v>3369</v>
      </c>
      <c r="C6395" s="17" t="s">
        <v>3370</v>
      </c>
      <c r="D6395" s="17" t="s">
        <v>19</v>
      </c>
      <c r="E6395" s="17" t="s">
        <v>3450</v>
      </c>
      <c r="F6395" s="17" t="s">
        <v>1150</v>
      </c>
      <c r="G6395" s="18" t="n">
        <v>132.8</v>
      </c>
      <c r="H6395" s="18" t="n">
        <v>0</v>
      </c>
      <c r="I6395" s="18" t="n">
        <f aca="false">((I6394 + G6395) - H6395)</f>
        <v>148851.49</v>
      </c>
      <c r="J6395" s="18" t="n">
        <v>0</v>
      </c>
      <c r="K6395" s="19" t="n">
        <v>0</v>
      </c>
      <c r="L6395" s="17"/>
    </row>
    <row r="6396" s="11" customFormat="true" ht="10.95" hidden="false" customHeight="true" outlineLevel="0" collapsed="false">
      <c r="A6396" s="16" t="n">
        <v>45222</v>
      </c>
      <c r="B6396" s="17" t="s">
        <v>3369</v>
      </c>
      <c r="C6396" s="17" t="s">
        <v>3370</v>
      </c>
      <c r="D6396" s="17" t="s">
        <v>19</v>
      </c>
      <c r="E6396" s="17" t="s">
        <v>3450</v>
      </c>
      <c r="F6396" s="17" t="s">
        <v>1151</v>
      </c>
      <c r="G6396" s="18" t="n">
        <v>1013.07</v>
      </c>
      <c r="H6396" s="18" t="n">
        <v>0</v>
      </c>
      <c r="I6396" s="18" t="n">
        <f aca="false">((I6395 + G6396) - H6396)</f>
        <v>149864.56</v>
      </c>
      <c r="J6396" s="18" t="n">
        <v>0</v>
      </c>
      <c r="K6396" s="19" t="n">
        <v>0</v>
      </c>
      <c r="L6396" s="17"/>
    </row>
    <row r="6397" s="11" customFormat="true" ht="10.95" hidden="false" customHeight="true" outlineLevel="0" collapsed="false">
      <c r="A6397" s="16" t="n">
        <v>45222</v>
      </c>
      <c r="B6397" s="17" t="s">
        <v>3369</v>
      </c>
      <c r="C6397" s="17" t="s">
        <v>3370</v>
      </c>
      <c r="D6397" s="17" t="s">
        <v>19</v>
      </c>
      <c r="E6397" s="17" t="s">
        <v>3451</v>
      </c>
      <c r="F6397" s="17" t="s">
        <v>328</v>
      </c>
      <c r="G6397" s="18" t="n">
        <v>1278.2</v>
      </c>
      <c r="H6397" s="18" t="n">
        <v>0</v>
      </c>
      <c r="I6397" s="18" t="n">
        <f aca="false">((I6396 + G6397) - H6397)</f>
        <v>151142.76</v>
      </c>
      <c r="J6397" s="18" t="n">
        <v>0</v>
      </c>
      <c r="K6397" s="19" t="n">
        <v>0</v>
      </c>
      <c r="L6397" s="17"/>
    </row>
    <row r="6398" s="11" customFormat="true" ht="10.95" hidden="false" customHeight="true" outlineLevel="0" collapsed="false">
      <c r="A6398" s="16" t="n">
        <v>45222</v>
      </c>
      <c r="B6398" s="17" t="s">
        <v>3369</v>
      </c>
      <c r="C6398" s="17" t="s">
        <v>3370</v>
      </c>
      <c r="D6398" s="17" t="s">
        <v>2895</v>
      </c>
      <c r="E6398" s="17" t="s">
        <v>3453</v>
      </c>
      <c r="F6398" s="17" t="s">
        <v>297</v>
      </c>
      <c r="G6398" s="18" t="n">
        <v>0</v>
      </c>
      <c r="H6398" s="18" t="n">
        <v>93.5</v>
      </c>
      <c r="I6398" s="18" t="n">
        <f aca="false">((I6397 + G6398) - H6398)</f>
        <v>151049.26</v>
      </c>
      <c r="J6398" s="18" t="n">
        <v>0</v>
      </c>
      <c r="K6398" s="19" t="n">
        <v>0</v>
      </c>
      <c r="L6398" s="17"/>
    </row>
    <row r="6399" s="11" customFormat="true" ht="10.95" hidden="false" customHeight="true" outlineLevel="0" collapsed="false">
      <c r="A6399" s="16" t="n">
        <v>45222</v>
      </c>
      <c r="B6399" s="17" t="s">
        <v>3369</v>
      </c>
      <c r="C6399" s="17" t="s">
        <v>3370</v>
      </c>
      <c r="D6399" s="17" t="s">
        <v>19</v>
      </c>
      <c r="E6399" s="17" t="s">
        <v>3494</v>
      </c>
      <c r="F6399" s="17" t="s">
        <v>329</v>
      </c>
      <c r="G6399" s="18" t="n">
        <v>1071.4</v>
      </c>
      <c r="H6399" s="18" t="n">
        <v>0</v>
      </c>
      <c r="I6399" s="18" t="n">
        <f aca="false">((I6398 + G6399) - H6399)</f>
        <v>152120.66</v>
      </c>
      <c r="J6399" s="18" t="n">
        <v>0</v>
      </c>
      <c r="K6399" s="19" t="n">
        <v>0</v>
      </c>
      <c r="L6399" s="17"/>
    </row>
    <row r="6400" s="11" customFormat="true" ht="10.95" hidden="false" customHeight="true" outlineLevel="0" collapsed="false">
      <c r="A6400" s="16" t="n">
        <v>45222</v>
      </c>
      <c r="B6400" s="17" t="s">
        <v>3369</v>
      </c>
      <c r="C6400" s="17" t="s">
        <v>3370</v>
      </c>
      <c r="D6400" s="17" t="s">
        <v>19</v>
      </c>
      <c r="E6400" s="17" t="s">
        <v>3454</v>
      </c>
      <c r="F6400" s="17" t="s">
        <v>330</v>
      </c>
      <c r="G6400" s="18" t="n">
        <v>16315.92</v>
      </c>
      <c r="H6400" s="18" t="n">
        <v>0</v>
      </c>
      <c r="I6400" s="18" t="n">
        <f aca="false">((I6399 + G6400) - H6400)</f>
        <v>168436.58</v>
      </c>
      <c r="J6400" s="18" t="n">
        <v>0</v>
      </c>
      <c r="K6400" s="19" t="n">
        <v>0</v>
      </c>
      <c r="L6400" s="17"/>
    </row>
    <row r="6401" s="11" customFormat="true" ht="10.95" hidden="false" customHeight="true" outlineLevel="0" collapsed="false">
      <c r="A6401" s="16" t="n">
        <v>45222</v>
      </c>
      <c r="B6401" s="17" t="s">
        <v>3369</v>
      </c>
      <c r="C6401" s="17" t="s">
        <v>3370</v>
      </c>
      <c r="D6401" s="17" t="s">
        <v>19</v>
      </c>
      <c r="E6401" s="17" t="s">
        <v>3495</v>
      </c>
      <c r="F6401" s="17" t="s">
        <v>1153</v>
      </c>
      <c r="G6401" s="18" t="n">
        <v>4016.56</v>
      </c>
      <c r="H6401" s="18" t="n">
        <v>0</v>
      </c>
      <c r="I6401" s="18" t="n">
        <f aca="false">((I6400 + G6401) - H6401)</f>
        <v>172453.14</v>
      </c>
      <c r="J6401" s="18" t="n">
        <v>0</v>
      </c>
      <c r="K6401" s="19" t="n">
        <v>0</v>
      </c>
      <c r="L6401" s="17"/>
    </row>
    <row r="6402" s="11" customFormat="true" ht="10.95" hidden="false" customHeight="true" outlineLevel="0" collapsed="false">
      <c r="A6402" s="16" t="n">
        <v>45223</v>
      </c>
      <c r="B6402" s="17" t="s">
        <v>3369</v>
      </c>
      <c r="C6402" s="17" t="s">
        <v>3370</v>
      </c>
      <c r="D6402" s="17" t="s">
        <v>2895</v>
      </c>
      <c r="E6402" s="17" t="s">
        <v>3509</v>
      </c>
      <c r="F6402" s="17" t="s">
        <v>311</v>
      </c>
      <c r="G6402" s="18" t="n">
        <v>0</v>
      </c>
      <c r="H6402" s="18" t="n">
        <v>264</v>
      </c>
      <c r="I6402" s="18" t="n">
        <f aca="false">((I6401 + G6402) - H6402)</f>
        <v>172189.14</v>
      </c>
      <c r="J6402" s="18" t="n">
        <v>0</v>
      </c>
      <c r="K6402" s="19" t="n">
        <v>0</v>
      </c>
      <c r="L6402" s="17"/>
    </row>
    <row r="6403" s="11" customFormat="true" ht="10.95" hidden="false" customHeight="true" outlineLevel="0" collapsed="false">
      <c r="A6403" s="16" t="n">
        <v>45223</v>
      </c>
      <c r="B6403" s="17" t="s">
        <v>3369</v>
      </c>
      <c r="C6403" s="17" t="s">
        <v>3370</v>
      </c>
      <c r="D6403" s="17" t="s">
        <v>2895</v>
      </c>
      <c r="E6403" s="17" t="s">
        <v>3505</v>
      </c>
      <c r="F6403" s="17" t="s">
        <v>290</v>
      </c>
      <c r="G6403" s="18" t="n">
        <v>0</v>
      </c>
      <c r="H6403" s="18" t="n">
        <v>157.3</v>
      </c>
      <c r="I6403" s="18" t="n">
        <f aca="false">((I6402 + G6403) - H6403)</f>
        <v>172031.84</v>
      </c>
      <c r="J6403" s="18" t="n">
        <v>0</v>
      </c>
      <c r="K6403" s="19" t="n">
        <v>0</v>
      </c>
      <c r="L6403" s="17"/>
    </row>
    <row r="6404" s="11" customFormat="true" ht="10.95" hidden="false" customHeight="true" outlineLevel="0" collapsed="false">
      <c r="A6404" s="16" t="n">
        <v>45224</v>
      </c>
      <c r="B6404" s="17" t="s">
        <v>3369</v>
      </c>
      <c r="C6404" s="17" t="s">
        <v>3370</v>
      </c>
      <c r="D6404" s="17" t="s">
        <v>19</v>
      </c>
      <c r="E6404" s="17" t="s">
        <v>3510</v>
      </c>
      <c r="F6404" s="17" t="s">
        <v>840</v>
      </c>
      <c r="G6404" s="18" t="n">
        <v>6595.23</v>
      </c>
      <c r="H6404" s="18" t="n">
        <v>0</v>
      </c>
      <c r="I6404" s="18" t="n">
        <f aca="false">((I6403 + G6404) - H6404)</f>
        <v>178627.07</v>
      </c>
      <c r="J6404" s="18" t="n">
        <v>0</v>
      </c>
      <c r="K6404" s="19" t="n">
        <v>0</v>
      </c>
      <c r="L6404" s="17"/>
    </row>
    <row r="6405" s="11" customFormat="true" ht="10.95" hidden="false" customHeight="true" outlineLevel="0" collapsed="false">
      <c r="A6405" s="16" t="n">
        <v>45225</v>
      </c>
      <c r="B6405" s="17" t="s">
        <v>3369</v>
      </c>
      <c r="C6405" s="17" t="s">
        <v>3370</v>
      </c>
      <c r="D6405" s="17" t="s">
        <v>2895</v>
      </c>
      <c r="E6405" s="17" t="s">
        <v>3456</v>
      </c>
      <c r="F6405" s="17" t="s">
        <v>303</v>
      </c>
      <c r="G6405" s="18" t="n">
        <v>0</v>
      </c>
      <c r="H6405" s="18" t="n">
        <v>2244</v>
      </c>
      <c r="I6405" s="18" t="n">
        <f aca="false">((I6404 + G6405) - H6405)</f>
        <v>176383.07</v>
      </c>
      <c r="J6405" s="18" t="n">
        <v>0</v>
      </c>
      <c r="K6405" s="19" t="n">
        <v>0</v>
      </c>
      <c r="L6405" s="17"/>
    </row>
    <row r="6406" s="11" customFormat="true" ht="10.95" hidden="false" customHeight="true" outlineLevel="0" collapsed="false">
      <c r="A6406" s="16" t="n">
        <v>45225</v>
      </c>
      <c r="B6406" s="17" t="s">
        <v>3369</v>
      </c>
      <c r="C6406" s="17" t="s">
        <v>3370</v>
      </c>
      <c r="D6406" s="17" t="s">
        <v>2895</v>
      </c>
      <c r="E6406" s="17" t="s">
        <v>3480</v>
      </c>
      <c r="F6406" s="17" t="s">
        <v>1131</v>
      </c>
      <c r="G6406" s="18" t="n">
        <v>0</v>
      </c>
      <c r="H6406" s="18" t="n">
        <v>180</v>
      </c>
      <c r="I6406" s="18" t="n">
        <f aca="false">((I6405 + G6406) - H6406)</f>
        <v>176203.07</v>
      </c>
      <c r="J6406" s="18" t="n">
        <v>0</v>
      </c>
      <c r="K6406" s="19" t="n">
        <v>0</v>
      </c>
      <c r="L6406" s="17"/>
    </row>
    <row r="6407" s="11" customFormat="true" ht="10.95" hidden="false" customHeight="true" outlineLevel="0" collapsed="false">
      <c r="A6407" s="16" t="n">
        <v>45225</v>
      </c>
      <c r="B6407" s="17" t="s">
        <v>3369</v>
      </c>
      <c r="C6407" s="17" t="s">
        <v>3370</v>
      </c>
      <c r="D6407" s="17" t="s">
        <v>2895</v>
      </c>
      <c r="E6407" s="17" t="s">
        <v>2900</v>
      </c>
      <c r="F6407" s="17" t="s">
        <v>1137</v>
      </c>
      <c r="G6407" s="18" t="n">
        <v>0</v>
      </c>
      <c r="H6407" s="18" t="n">
        <v>1020.86</v>
      </c>
      <c r="I6407" s="18" t="n">
        <f aca="false">((I6406 + G6407) - H6407)</f>
        <v>175182.21</v>
      </c>
      <c r="J6407" s="18" t="n">
        <v>0</v>
      </c>
      <c r="K6407" s="19" t="n">
        <v>0</v>
      </c>
      <c r="L6407" s="17"/>
    </row>
    <row r="6408" s="11" customFormat="true" ht="10.95" hidden="false" customHeight="true" outlineLevel="0" collapsed="false">
      <c r="A6408" s="16" t="n">
        <v>45225</v>
      </c>
      <c r="B6408" s="17" t="s">
        <v>3369</v>
      </c>
      <c r="C6408" s="17" t="s">
        <v>3370</v>
      </c>
      <c r="D6408" s="17" t="s">
        <v>2895</v>
      </c>
      <c r="E6408" s="17" t="s">
        <v>2900</v>
      </c>
      <c r="F6408" s="17" t="s">
        <v>1134</v>
      </c>
      <c r="G6408" s="18" t="n">
        <v>0</v>
      </c>
      <c r="H6408" s="18" t="n">
        <v>1760.26</v>
      </c>
      <c r="I6408" s="18" t="n">
        <f aca="false">((I6407 + G6408) - H6408)</f>
        <v>173421.95</v>
      </c>
      <c r="J6408" s="18" t="n">
        <v>0</v>
      </c>
      <c r="K6408" s="19" t="n">
        <v>0</v>
      </c>
      <c r="L6408" s="17"/>
    </row>
    <row r="6409" s="11" customFormat="true" ht="10.95" hidden="false" customHeight="true" outlineLevel="0" collapsed="false">
      <c r="A6409" s="16" t="n">
        <v>45225</v>
      </c>
      <c r="B6409" s="17" t="s">
        <v>3369</v>
      </c>
      <c r="C6409" s="17" t="s">
        <v>3370</v>
      </c>
      <c r="D6409" s="17" t="s">
        <v>2895</v>
      </c>
      <c r="E6409" s="17" t="s">
        <v>2900</v>
      </c>
      <c r="F6409" s="17" t="s">
        <v>1133</v>
      </c>
      <c r="G6409" s="18" t="n">
        <v>0</v>
      </c>
      <c r="H6409" s="18" t="n">
        <v>809.46</v>
      </c>
      <c r="I6409" s="18" t="n">
        <f aca="false">((I6408 + G6409) - H6409)</f>
        <v>172612.49</v>
      </c>
      <c r="J6409" s="18" t="n">
        <v>0</v>
      </c>
      <c r="K6409" s="19" t="n">
        <v>0</v>
      </c>
      <c r="L6409" s="17"/>
    </row>
    <row r="6410" s="11" customFormat="true" ht="10.95" hidden="false" customHeight="true" outlineLevel="0" collapsed="false">
      <c r="A6410" s="16" t="n">
        <v>45225</v>
      </c>
      <c r="B6410" s="17" t="s">
        <v>3369</v>
      </c>
      <c r="C6410" s="17" t="s">
        <v>3370</v>
      </c>
      <c r="D6410" s="17" t="s">
        <v>2895</v>
      </c>
      <c r="E6410" s="17" t="s">
        <v>2925</v>
      </c>
      <c r="F6410" s="17" t="s">
        <v>831</v>
      </c>
      <c r="G6410" s="18" t="n">
        <v>0</v>
      </c>
      <c r="H6410" s="18" t="n">
        <v>330.01</v>
      </c>
      <c r="I6410" s="18" t="n">
        <f aca="false">((I6409 + G6410) - H6410)</f>
        <v>172282.48</v>
      </c>
      <c r="J6410" s="18" t="n">
        <v>0</v>
      </c>
      <c r="K6410" s="19" t="n">
        <v>0</v>
      </c>
      <c r="L6410" s="17"/>
    </row>
    <row r="6411" s="11" customFormat="true" ht="10.95" hidden="false" customHeight="true" outlineLevel="0" collapsed="false">
      <c r="A6411" s="16" t="n">
        <v>45226</v>
      </c>
      <c r="B6411" s="17" t="s">
        <v>3369</v>
      </c>
      <c r="C6411" s="17" t="s">
        <v>3370</v>
      </c>
      <c r="D6411" s="17" t="s">
        <v>2895</v>
      </c>
      <c r="E6411" s="17" t="s">
        <v>3467</v>
      </c>
      <c r="F6411" s="17" t="s">
        <v>296</v>
      </c>
      <c r="G6411" s="18" t="n">
        <v>0</v>
      </c>
      <c r="H6411" s="18" t="n">
        <v>919.6</v>
      </c>
      <c r="I6411" s="18" t="n">
        <f aca="false">((I6410 + G6411) - H6411)</f>
        <v>171362.88</v>
      </c>
      <c r="J6411" s="18" t="n">
        <v>0</v>
      </c>
      <c r="K6411" s="19" t="n">
        <v>0</v>
      </c>
      <c r="L6411" s="17"/>
    </row>
    <row r="6412" s="11" customFormat="true" ht="10.95" hidden="false" customHeight="true" outlineLevel="0" collapsed="false">
      <c r="A6412" s="16" t="n">
        <v>45226</v>
      </c>
      <c r="B6412" s="17" t="s">
        <v>3369</v>
      </c>
      <c r="C6412" s="17" t="s">
        <v>3370</v>
      </c>
      <c r="D6412" s="17" t="s">
        <v>2895</v>
      </c>
      <c r="E6412" s="17" t="s">
        <v>3482</v>
      </c>
      <c r="F6412" s="17" t="s">
        <v>309</v>
      </c>
      <c r="G6412" s="18" t="n">
        <v>0</v>
      </c>
      <c r="H6412" s="18" t="n">
        <v>2068</v>
      </c>
      <c r="I6412" s="18" t="n">
        <f aca="false">((I6411 + G6412) - H6412)</f>
        <v>169294.88</v>
      </c>
      <c r="J6412" s="18" t="n">
        <v>0</v>
      </c>
      <c r="K6412" s="19" t="n">
        <v>0</v>
      </c>
      <c r="L6412" s="17"/>
    </row>
    <row r="6413" s="11" customFormat="true" ht="10.95" hidden="false" customHeight="true" outlineLevel="0" collapsed="false">
      <c r="A6413" s="16" t="n">
        <v>45226</v>
      </c>
      <c r="B6413" s="17" t="s">
        <v>3369</v>
      </c>
      <c r="C6413" s="17" t="s">
        <v>3370</v>
      </c>
      <c r="D6413" s="17" t="s">
        <v>2895</v>
      </c>
      <c r="E6413" s="17" t="s">
        <v>3504</v>
      </c>
      <c r="F6413" s="17" t="s">
        <v>292</v>
      </c>
      <c r="G6413" s="18" t="n">
        <v>0</v>
      </c>
      <c r="H6413" s="18" t="n">
        <v>1034.55</v>
      </c>
      <c r="I6413" s="18" t="n">
        <f aca="false">((I6412 + G6413) - H6413)</f>
        <v>168260.33</v>
      </c>
      <c r="J6413" s="18" t="n">
        <v>0</v>
      </c>
      <c r="K6413" s="19" t="n">
        <v>0</v>
      </c>
      <c r="L6413" s="17"/>
    </row>
    <row r="6414" s="11" customFormat="true" ht="10.95" hidden="false" customHeight="true" outlineLevel="0" collapsed="false">
      <c r="A6414" s="16" t="n">
        <v>45226</v>
      </c>
      <c r="B6414" s="17" t="s">
        <v>3369</v>
      </c>
      <c r="C6414" s="17" t="s">
        <v>3370</v>
      </c>
      <c r="D6414" s="17" t="s">
        <v>2895</v>
      </c>
      <c r="E6414" s="17" t="s">
        <v>3410</v>
      </c>
      <c r="F6414" s="17" t="s">
        <v>308</v>
      </c>
      <c r="G6414" s="18" t="n">
        <v>0</v>
      </c>
      <c r="H6414" s="18" t="n">
        <v>968</v>
      </c>
      <c r="I6414" s="18" t="n">
        <f aca="false">((I6413 + G6414) - H6414)</f>
        <v>167292.33</v>
      </c>
      <c r="J6414" s="18" t="n">
        <v>0</v>
      </c>
      <c r="K6414" s="19" t="n">
        <v>0</v>
      </c>
      <c r="L6414" s="17"/>
    </row>
    <row r="6415" s="11" customFormat="true" ht="10.95" hidden="false" customHeight="true" outlineLevel="0" collapsed="false">
      <c r="A6415" s="16" t="n">
        <v>45226</v>
      </c>
      <c r="B6415" s="17" t="s">
        <v>3369</v>
      </c>
      <c r="C6415" s="17" t="s">
        <v>3370</v>
      </c>
      <c r="D6415" s="17" t="s">
        <v>2895</v>
      </c>
      <c r="E6415" s="17" t="s">
        <v>3466</v>
      </c>
      <c r="F6415" s="17" t="s">
        <v>302</v>
      </c>
      <c r="G6415" s="18" t="n">
        <v>0</v>
      </c>
      <c r="H6415" s="18" t="n">
        <v>396</v>
      </c>
      <c r="I6415" s="18" t="n">
        <f aca="false">((I6414 + G6415) - H6415)</f>
        <v>166896.33</v>
      </c>
      <c r="J6415" s="18" t="n">
        <v>0</v>
      </c>
      <c r="K6415" s="19" t="n">
        <v>0</v>
      </c>
      <c r="L6415" s="17"/>
    </row>
    <row r="6416" s="11" customFormat="true" ht="10.95" hidden="false" customHeight="true" outlineLevel="0" collapsed="false">
      <c r="A6416" s="16" t="n">
        <v>45229</v>
      </c>
      <c r="B6416" s="17" t="s">
        <v>3369</v>
      </c>
      <c r="C6416" s="17" t="s">
        <v>3370</v>
      </c>
      <c r="D6416" s="17" t="s">
        <v>2895</v>
      </c>
      <c r="E6416" s="17" t="s">
        <v>3382</v>
      </c>
      <c r="F6416" s="17" t="s">
        <v>281</v>
      </c>
      <c r="G6416" s="18" t="n">
        <v>0</v>
      </c>
      <c r="H6416" s="18" t="n">
        <v>16797.72</v>
      </c>
      <c r="I6416" s="18" t="n">
        <f aca="false">((I6415 + G6416) - H6416)</f>
        <v>150098.61</v>
      </c>
      <c r="J6416" s="18" t="n">
        <v>0</v>
      </c>
      <c r="K6416" s="19" t="n">
        <v>0</v>
      </c>
      <c r="L6416" s="17"/>
    </row>
    <row r="6417" s="11" customFormat="true" ht="10.95" hidden="false" customHeight="true" outlineLevel="0" collapsed="false">
      <c r="A6417" s="16" t="n">
        <v>45229</v>
      </c>
      <c r="B6417" s="17" t="s">
        <v>3369</v>
      </c>
      <c r="C6417" s="17" t="s">
        <v>3370</v>
      </c>
      <c r="D6417" s="17" t="s">
        <v>2895</v>
      </c>
      <c r="E6417" s="17" t="s">
        <v>3378</v>
      </c>
      <c r="F6417" s="17" t="s">
        <v>293</v>
      </c>
      <c r="G6417" s="18" t="n">
        <v>0</v>
      </c>
      <c r="H6417" s="18" t="n">
        <v>413.6</v>
      </c>
      <c r="I6417" s="18" t="n">
        <f aca="false">((I6416 + G6417) - H6417)</f>
        <v>149685.01</v>
      </c>
      <c r="J6417" s="18" t="n">
        <v>0</v>
      </c>
      <c r="K6417" s="19" t="n">
        <v>0</v>
      </c>
      <c r="L6417" s="17"/>
    </row>
    <row r="6418" s="11" customFormat="true" ht="10.95" hidden="false" customHeight="true" outlineLevel="0" collapsed="false">
      <c r="A6418" s="16" t="n">
        <v>45229</v>
      </c>
      <c r="B6418" s="17" t="s">
        <v>3369</v>
      </c>
      <c r="C6418" s="17" t="s">
        <v>3370</v>
      </c>
      <c r="D6418" s="17" t="s">
        <v>2895</v>
      </c>
      <c r="E6418" s="17" t="s">
        <v>3474</v>
      </c>
      <c r="F6418" s="17" t="s">
        <v>298</v>
      </c>
      <c r="G6418" s="18" t="n">
        <v>0</v>
      </c>
      <c r="H6418" s="18" t="n">
        <v>357.5</v>
      </c>
      <c r="I6418" s="18" t="n">
        <f aca="false">((I6417 + G6418) - H6418)</f>
        <v>149327.51</v>
      </c>
      <c r="J6418" s="18" t="n">
        <v>0</v>
      </c>
      <c r="K6418" s="19" t="n">
        <v>0</v>
      </c>
      <c r="L6418" s="17"/>
    </row>
    <row r="6419" s="11" customFormat="true" ht="10.95" hidden="false" customHeight="true" outlineLevel="0" collapsed="false">
      <c r="A6419" s="16" t="n">
        <v>45230</v>
      </c>
      <c r="B6419" s="17" t="s">
        <v>3369</v>
      </c>
      <c r="C6419" s="17" t="s">
        <v>3370</v>
      </c>
      <c r="D6419" s="17" t="s">
        <v>19</v>
      </c>
      <c r="E6419" s="17" t="s">
        <v>3414</v>
      </c>
      <c r="F6419" s="17" t="s">
        <v>978</v>
      </c>
      <c r="G6419" s="18" t="n">
        <v>1510.16</v>
      </c>
      <c r="H6419" s="18" t="n">
        <v>0</v>
      </c>
      <c r="I6419" s="18" t="n">
        <f aca="false">((I6418 + G6419) - H6419)</f>
        <v>150837.67</v>
      </c>
      <c r="J6419" s="18" t="n">
        <v>0</v>
      </c>
      <c r="K6419" s="19" t="n">
        <v>0</v>
      </c>
      <c r="L6419" s="17"/>
    </row>
    <row r="6420" s="11" customFormat="true" ht="10.95" hidden="false" customHeight="true" outlineLevel="0" collapsed="false">
      <c r="A6420" s="16" t="n">
        <v>45230</v>
      </c>
      <c r="B6420" s="17" t="s">
        <v>3369</v>
      </c>
      <c r="C6420" s="17" t="s">
        <v>3370</v>
      </c>
      <c r="D6420" s="17" t="s">
        <v>2895</v>
      </c>
      <c r="E6420" s="17" t="s">
        <v>3460</v>
      </c>
      <c r="F6420" s="17" t="s">
        <v>300</v>
      </c>
      <c r="G6420" s="18" t="n">
        <v>0</v>
      </c>
      <c r="H6420" s="18" t="n">
        <v>4207.5</v>
      </c>
      <c r="I6420" s="18" t="n">
        <f aca="false">((I6419 + G6420) - H6420)</f>
        <v>146630.17</v>
      </c>
      <c r="J6420" s="18" t="n">
        <v>0</v>
      </c>
      <c r="K6420" s="19" t="n">
        <v>0</v>
      </c>
      <c r="L6420" s="17"/>
    </row>
    <row r="6421" s="11" customFormat="true" ht="10.95" hidden="false" customHeight="true" outlineLevel="0" collapsed="false">
      <c r="A6421" s="16" t="n">
        <v>45230</v>
      </c>
      <c r="B6421" s="17" t="s">
        <v>3369</v>
      </c>
      <c r="C6421" s="17" t="s">
        <v>3370</v>
      </c>
      <c r="D6421" s="17" t="s">
        <v>2895</v>
      </c>
      <c r="E6421" s="17" t="s">
        <v>3460</v>
      </c>
      <c r="F6421" s="17" t="s">
        <v>301</v>
      </c>
      <c r="G6421" s="18" t="n">
        <v>0</v>
      </c>
      <c r="H6421" s="18" t="n">
        <v>4182.2</v>
      </c>
      <c r="I6421" s="18" t="n">
        <f aca="false">((I6420 + G6421) - H6421)</f>
        <v>142447.97</v>
      </c>
      <c r="J6421" s="18" t="n">
        <v>0</v>
      </c>
      <c r="K6421" s="19" t="n">
        <v>0</v>
      </c>
      <c r="L6421" s="17"/>
    </row>
    <row r="6422" s="11" customFormat="true" ht="10.95" hidden="false" customHeight="true" outlineLevel="0" collapsed="false">
      <c r="A6422" s="16" t="n">
        <v>45230</v>
      </c>
      <c r="B6422" s="17" t="s">
        <v>3369</v>
      </c>
      <c r="C6422" s="17" t="s">
        <v>3370</v>
      </c>
      <c r="D6422" s="17" t="s">
        <v>2895</v>
      </c>
      <c r="E6422" s="17" t="s">
        <v>3472</v>
      </c>
      <c r="F6422" s="17" t="s">
        <v>285</v>
      </c>
      <c r="G6422" s="18" t="n">
        <v>0</v>
      </c>
      <c r="H6422" s="18" t="n">
        <v>1278.2</v>
      </c>
      <c r="I6422" s="18" t="n">
        <f aca="false">((I6421 + G6422) - H6422)</f>
        <v>141169.77</v>
      </c>
      <c r="J6422" s="18" t="n">
        <v>0</v>
      </c>
      <c r="K6422" s="19" t="n">
        <v>0</v>
      </c>
      <c r="L6422" s="17"/>
    </row>
    <row r="6423" s="11" customFormat="true" ht="10.95" hidden="false" customHeight="true" outlineLevel="0" collapsed="false">
      <c r="A6423" s="16" t="n">
        <v>45230</v>
      </c>
      <c r="B6423" s="17" t="s">
        <v>3369</v>
      </c>
      <c r="C6423" s="17" t="s">
        <v>3370</v>
      </c>
      <c r="D6423" s="17" t="s">
        <v>2895</v>
      </c>
      <c r="E6423" s="17" t="s">
        <v>3465</v>
      </c>
      <c r="F6423" s="17" t="s">
        <v>299</v>
      </c>
      <c r="G6423" s="18" t="n">
        <v>0</v>
      </c>
      <c r="H6423" s="18" t="n">
        <v>1094.5</v>
      </c>
      <c r="I6423" s="18" t="n">
        <f aca="false">((I6422 + G6423) - H6423)</f>
        <v>140075.27</v>
      </c>
      <c r="J6423" s="18" t="n">
        <v>0</v>
      </c>
      <c r="K6423" s="19" t="n">
        <v>0</v>
      </c>
      <c r="L6423" s="17"/>
    </row>
    <row r="6424" s="11" customFormat="true" ht="10.95" hidden="false" customHeight="true" outlineLevel="0" collapsed="false">
      <c r="A6424" s="16" t="n">
        <v>45230</v>
      </c>
      <c r="B6424" s="17" t="s">
        <v>3369</v>
      </c>
      <c r="C6424" s="17" t="s">
        <v>3370</v>
      </c>
      <c r="D6424" s="17" t="s">
        <v>2895</v>
      </c>
      <c r="E6424" s="17" t="s">
        <v>3415</v>
      </c>
      <c r="F6424" s="17" t="s">
        <v>250</v>
      </c>
      <c r="G6424" s="18" t="n">
        <v>0</v>
      </c>
      <c r="H6424" s="18" t="n">
        <v>1052.7</v>
      </c>
      <c r="I6424" s="18" t="n">
        <f aca="false">((I6423 + G6424) - H6424)</f>
        <v>139022.57</v>
      </c>
      <c r="J6424" s="18" t="n">
        <v>0</v>
      </c>
      <c r="K6424" s="19" t="n">
        <v>0</v>
      </c>
      <c r="L6424" s="17"/>
    </row>
    <row r="6425" s="11" customFormat="true" ht="10.95" hidden="false" customHeight="true" outlineLevel="0" collapsed="false">
      <c r="A6425" s="16" t="n">
        <v>45230</v>
      </c>
      <c r="B6425" s="17" t="s">
        <v>3369</v>
      </c>
      <c r="C6425" s="17" t="s">
        <v>3370</v>
      </c>
      <c r="D6425" s="17" t="s">
        <v>2895</v>
      </c>
      <c r="E6425" s="17" t="s">
        <v>3403</v>
      </c>
      <c r="F6425" s="17" t="s">
        <v>279</v>
      </c>
      <c r="G6425" s="18" t="n">
        <v>0</v>
      </c>
      <c r="H6425" s="18" t="n">
        <v>103.4</v>
      </c>
      <c r="I6425" s="18" t="n">
        <f aca="false">((I6424 + G6425) - H6425)</f>
        <v>138919.17</v>
      </c>
      <c r="J6425" s="18" t="n">
        <v>0</v>
      </c>
      <c r="K6425" s="19" t="n">
        <v>0</v>
      </c>
      <c r="L6425" s="17"/>
    </row>
    <row r="6426" s="11" customFormat="true" ht="10.95" hidden="false" customHeight="true" outlineLevel="0" collapsed="false">
      <c r="A6426" s="16" t="n">
        <v>45230</v>
      </c>
      <c r="B6426" s="17" t="s">
        <v>3369</v>
      </c>
      <c r="C6426" s="17" t="s">
        <v>3370</v>
      </c>
      <c r="D6426" s="17" t="s">
        <v>2895</v>
      </c>
      <c r="E6426" s="17" t="s">
        <v>3403</v>
      </c>
      <c r="F6426" s="17" t="s">
        <v>275</v>
      </c>
      <c r="G6426" s="18" t="n">
        <v>0</v>
      </c>
      <c r="H6426" s="18" t="n">
        <v>310.2</v>
      </c>
      <c r="I6426" s="18" t="n">
        <f aca="false">((I6425 + G6426) - H6426)</f>
        <v>138608.97</v>
      </c>
      <c r="J6426" s="18" t="n">
        <v>0</v>
      </c>
      <c r="K6426" s="19" t="n">
        <v>0</v>
      </c>
      <c r="L6426" s="17"/>
    </row>
    <row r="6427" s="11" customFormat="true" ht="10.95" hidden="false" customHeight="true" outlineLevel="0" collapsed="false">
      <c r="A6427" s="16" t="n">
        <v>45230</v>
      </c>
      <c r="B6427" s="17" t="s">
        <v>3369</v>
      </c>
      <c r="C6427" s="17" t="s">
        <v>3370</v>
      </c>
      <c r="D6427" s="17" t="s">
        <v>2895</v>
      </c>
      <c r="E6427" s="17" t="s">
        <v>3403</v>
      </c>
      <c r="F6427" s="17" t="s">
        <v>277</v>
      </c>
      <c r="G6427" s="18" t="n">
        <v>0</v>
      </c>
      <c r="H6427" s="18" t="n">
        <v>517</v>
      </c>
      <c r="I6427" s="18" t="n">
        <f aca="false">((I6426 + G6427) - H6427)</f>
        <v>138091.97</v>
      </c>
      <c r="J6427" s="18" t="n">
        <v>0</v>
      </c>
      <c r="K6427" s="19" t="n">
        <v>0</v>
      </c>
      <c r="L6427" s="17"/>
    </row>
    <row r="6428" s="11" customFormat="true" ht="10.95" hidden="false" customHeight="true" outlineLevel="0" collapsed="false">
      <c r="A6428" s="16" t="n">
        <v>45231</v>
      </c>
      <c r="B6428" s="17" t="s">
        <v>3369</v>
      </c>
      <c r="C6428" s="17" t="s">
        <v>3370</v>
      </c>
      <c r="D6428" s="17" t="s">
        <v>2895</v>
      </c>
      <c r="E6428" s="17" t="s">
        <v>2896</v>
      </c>
      <c r="F6428" s="17" t="s">
        <v>829</v>
      </c>
      <c r="G6428" s="18" t="n">
        <v>0</v>
      </c>
      <c r="H6428" s="18" t="n">
        <v>92.31</v>
      </c>
      <c r="I6428" s="18" t="n">
        <f aca="false">((I6427 + G6428) - H6428)</f>
        <v>137999.66</v>
      </c>
      <c r="J6428" s="18" t="n">
        <v>0</v>
      </c>
      <c r="K6428" s="19" t="n">
        <v>0</v>
      </c>
      <c r="L6428" s="17"/>
    </row>
    <row r="6429" s="11" customFormat="true" ht="10.95" hidden="false" customHeight="true" outlineLevel="0" collapsed="false">
      <c r="A6429" s="16" t="n">
        <v>45231</v>
      </c>
      <c r="B6429" s="17" t="s">
        <v>3369</v>
      </c>
      <c r="C6429" s="17" t="s">
        <v>3370</v>
      </c>
      <c r="D6429" s="17" t="s">
        <v>19</v>
      </c>
      <c r="E6429" s="17" t="s">
        <v>3511</v>
      </c>
      <c r="F6429" s="17" t="s">
        <v>332</v>
      </c>
      <c r="G6429" s="18" t="n">
        <v>770</v>
      </c>
      <c r="H6429" s="18" t="n">
        <v>0</v>
      </c>
      <c r="I6429" s="18" t="n">
        <f aca="false">((I6428 + G6429) - H6429)</f>
        <v>138769.66</v>
      </c>
      <c r="J6429" s="18" t="n">
        <v>0</v>
      </c>
      <c r="K6429" s="19" t="n">
        <v>0</v>
      </c>
      <c r="L6429" s="17"/>
    </row>
    <row r="6430" s="11" customFormat="true" ht="10.95" hidden="false" customHeight="true" outlineLevel="0" collapsed="false">
      <c r="A6430" s="16" t="n">
        <v>45231</v>
      </c>
      <c r="B6430" s="17" t="s">
        <v>3369</v>
      </c>
      <c r="C6430" s="17" t="s">
        <v>3370</v>
      </c>
      <c r="D6430" s="17" t="s">
        <v>2895</v>
      </c>
      <c r="E6430" s="17" t="s">
        <v>2897</v>
      </c>
      <c r="F6430" s="17" t="s">
        <v>838</v>
      </c>
      <c r="G6430" s="18" t="n">
        <v>0</v>
      </c>
      <c r="H6430" s="18" t="n">
        <v>614.95</v>
      </c>
      <c r="I6430" s="18" t="n">
        <f aca="false">((I6429 + G6430) - H6430)</f>
        <v>138154.71</v>
      </c>
      <c r="J6430" s="18" t="n">
        <v>0</v>
      </c>
      <c r="K6430" s="19" t="n">
        <v>0</v>
      </c>
      <c r="L6430" s="17"/>
    </row>
    <row r="6431" s="11" customFormat="true" ht="10.95" hidden="false" customHeight="true" outlineLevel="0" collapsed="false">
      <c r="A6431" s="16" t="n">
        <v>45231</v>
      </c>
      <c r="B6431" s="17" t="s">
        <v>3369</v>
      </c>
      <c r="C6431" s="17" t="s">
        <v>3370</v>
      </c>
      <c r="D6431" s="17" t="s">
        <v>2895</v>
      </c>
      <c r="E6431" s="17" t="s">
        <v>3389</v>
      </c>
      <c r="F6431" s="17" t="s">
        <v>307</v>
      </c>
      <c r="G6431" s="18" t="n">
        <v>0</v>
      </c>
      <c r="H6431" s="18" t="n">
        <v>4873</v>
      </c>
      <c r="I6431" s="18" t="n">
        <f aca="false">((I6430 + G6431) - H6431)</f>
        <v>133281.71</v>
      </c>
      <c r="J6431" s="18" t="n">
        <v>0</v>
      </c>
      <c r="K6431" s="19" t="n">
        <v>0</v>
      </c>
      <c r="L6431" s="17"/>
    </row>
    <row r="6432" s="11" customFormat="true" ht="10.95" hidden="false" customHeight="true" outlineLevel="0" collapsed="false">
      <c r="A6432" s="16" t="n">
        <v>45231</v>
      </c>
      <c r="B6432" s="17" t="s">
        <v>3369</v>
      </c>
      <c r="C6432" s="17" t="s">
        <v>3370</v>
      </c>
      <c r="D6432" s="17" t="s">
        <v>2895</v>
      </c>
      <c r="E6432" s="17" t="s">
        <v>3373</v>
      </c>
      <c r="F6432" s="17" t="s">
        <v>238</v>
      </c>
      <c r="G6432" s="18" t="n">
        <v>0</v>
      </c>
      <c r="H6432" s="18" t="n">
        <v>1386</v>
      </c>
      <c r="I6432" s="18" t="n">
        <f aca="false">((I6431 + G6432) - H6432)</f>
        <v>131895.71</v>
      </c>
      <c r="J6432" s="18" t="n">
        <v>0</v>
      </c>
      <c r="K6432" s="19" t="n">
        <v>0</v>
      </c>
      <c r="L6432" s="17"/>
    </row>
    <row r="6433" s="11" customFormat="true" ht="10.95" hidden="false" customHeight="true" outlineLevel="0" collapsed="false">
      <c r="A6433" s="16" t="n">
        <v>45231</v>
      </c>
      <c r="B6433" s="17" t="s">
        <v>3369</v>
      </c>
      <c r="C6433" s="17" t="s">
        <v>3370</v>
      </c>
      <c r="D6433" s="17" t="s">
        <v>2895</v>
      </c>
      <c r="E6433" s="17" t="s">
        <v>3391</v>
      </c>
      <c r="F6433" s="17" t="s">
        <v>304</v>
      </c>
      <c r="G6433" s="18" t="n">
        <v>0</v>
      </c>
      <c r="H6433" s="18" t="n">
        <v>1100.06</v>
      </c>
      <c r="I6433" s="18" t="n">
        <f aca="false">((I6432 + G6433) - H6433)</f>
        <v>130795.65</v>
      </c>
      <c r="J6433" s="18" t="n">
        <v>0</v>
      </c>
      <c r="K6433" s="19" t="n">
        <v>0</v>
      </c>
      <c r="L6433" s="17"/>
    </row>
    <row r="6434" s="11" customFormat="true" ht="10.95" hidden="false" customHeight="true" outlineLevel="0" collapsed="false">
      <c r="A6434" s="16" t="n">
        <v>45231</v>
      </c>
      <c r="B6434" s="17" t="s">
        <v>3369</v>
      </c>
      <c r="C6434" s="17" t="s">
        <v>3370</v>
      </c>
      <c r="D6434" s="17" t="s">
        <v>2895</v>
      </c>
      <c r="E6434" s="17" t="s">
        <v>2898</v>
      </c>
      <c r="F6434" s="17" t="s">
        <v>1140</v>
      </c>
      <c r="G6434" s="18" t="n">
        <v>0</v>
      </c>
      <c r="H6434" s="18" t="n">
        <v>765.78</v>
      </c>
      <c r="I6434" s="18" t="n">
        <f aca="false">((I6433 + G6434) - H6434)</f>
        <v>130029.87</v>
      </c>
      <c r="J6434" s="18" t="n">
        <v>0</v>
      </c>
      <c r="K6434" s="19" t="n">
        <v>0</v>
      </c>
      <c r="L6434" s="17"/>
    </row>
    <row r="6435" s="11" customFormat="true" ht="10.95" hidden="false" customHeight="true" outlineLevel="0" collapsed="false">
      <c r="A6435" s="16" t="n">
        <v>45232</v>
      </c>
      <c r="B6435" s="17" t="s">
        <v>3369</v>
      </c>
      <c r="C6435" s="17" t="s">
        <v>3370</v>
      </c>
      <c r="D6435" s="17" t="s">
        <v>2895</v>
      </c>
      <c r="E6435" s="17" t="s">
        <v>2909</v>
      </c>
      <c r="F6435" s="17" t="s">
        <v>978</v>
      </c>
      <c r="G6435" s="18" t="n">
        <v>0</v>
      </c>
      <c r="H6435" s="18" t="n">
        <v>1510.16</v>
      </c>
      <c r="I6435" s="18" t="n">
        <f aca="false">((I6434 + G6435) - H6435)</f>
        <v>128519.71</v>
      </c>
      <c r="J6435" s="18" t="n">
        <v>0</v>
      </c>
      <c r="K6435" s="19" t="n">
        <v>0</v>
      </c>
      <c r="L6435" s="17"/>
    </row>
    <row r="6436" s="11" customFormat="true" ht="10.95" hidden="false" customHeight="true" outlineLevel="0" collapsed="false">
      <c r="A6436" s="16" t="n">
        <v>45232</v>
      </c>
      <c r="B6436" s="17" t="s">
        <v>3369</v>
      </c>
      <c r="C6436" s="17" t="s">
        <v>3370</v>
      </c>
      <c r="D6436" s="17" t="s">
        <v>2895</v>
      </c>
      <c r="E6436" s="17" t="s">
        <v>3497</v>
      </c>
      <c r="F6436" s="17" t="s">
        <v>329</v>
      </c>
      <c r="G6436" s="18" t="n">
        <v>0</v>
      </c>
      <c r="H6436" s="18" t="n">
        <v>1071.4</v>
      </c>
      <c r="I6436" s="18" t="n">
        <f aca="false">((I6435 + G6436) - H6436)</f>
        <v>127448.31</v>
      </c>
      <c r="J6436" s="18" t="n">
        <v>0</v>
      </c>
      <c r="K6436" s="19" t="n">
        <v>0</v>
      </c>
      <c r="L6436" s="17"/>
    </row>
    <row r="6437" s="11" customFormat="true" ht="10.95" hidden="false" customHeight="true" outlineLevel="0" collapsed="false">
      <c r="A6437" s="16" t="n">
        <v>45232</v>
      </c>
      <c r="B6437" s="17" t="s">
        <v>3369</v>
      </c>
      <c r="C6437" s="17" t="s">
        <v>3370</v>
      </c>
      <c r="D6437" s="17" t="s">
        <v>2895</v>
      </c>
      <c r="E6437" s="17" t="s">
        <v>3401</v>
      </c>
      <c r="F6437" s="17" t="s">
        <v>295</v>
      </c>
      <c r="G6437" s="18" t="n">
        <v>0</v>
      </c>
      <c r="H6437" s="18" t="n">
        <v>561</v>
      </c>
      <c r="I6437" s="18" t="n">
        <f aca="false">((I6436 + G6437) - H6437)</f>
        <v>126887.31</v>
      </c>
      <c r="J6437" s="18" t="n">
        <v>0</v>
      </c>
      <c r="K6437" s="19" t="n">
        <v>0</v>
      </c>
      <c r="L6437" s="17"/>
    </row>
    <row r="6438" s="11" customFormat="true" ht="10.95" hidden="false" customHeight="true" outlineLevel="0" collapsed="false">
      <c r="A6438" s="16" t="n">
        <v>45233</v>
      </c>
      <c r="B6438" s="17" t="s">
        <v>3369</v>
      </c>
      <c r="C6438" s="17" t="s">
        <v>3370</v>
      </c>
      <c r="D6438" s="17" t="s">
        <v>2895</v>
      </c>
      <c r="E6438" s="17" t="s">
        <v>3384</v>
      </c>
      <c r="F6438" s="17" t="s">
        <v>824</v>
      </c>
      <c r="G6438" s="18" t="n">
        <v>0</v>
      </c>
      <c r="H6438" s="18" t="n">
        <v>1716</v>
      </c>
      <c r="I6438" s="18" t="n">
        <f aca="false">((I6437 + G6438) - H6438)</f>
        <v>125171.31</v>
      </c>
      <c r="J6438" s="18" t="n">
        <v>0</v>
      </c>
      <c r="K6438" s="19" t="n">
        <v>0</v>
      </c>
      <c r="L6438" s="17"/>
    </row>
    <row r="6439" s="11" customFormat="true" ht="10.95" hidden="false" customHeight="true" outlineLevel="0" collapsed="false">
      <c r="A6439" s="16" t="n">
        <v>45233</v>
      </c>
      <c r="B6439" s="17" t="s">
        <v>3369</v>
      </c>
      <c r="C6439" s="17" t="s">
        <v>3370</v>
      </c>
      <c r="D6439" s="17" t="s">
        <v>2895</v>
      </c>
      <c r="E6439" s="17" t="s">
        <v>3384</v>
      </c>
      <c r="F6439" s="17" t="s">
        <v>827</v>
      </c>
      <c r="G6439" s="18" t="n">
        <v>0</v>
      </c>
      <c r="H6439" s="18" t="n">
        <v>1672</v>
      </c>
      <c r="I6439" s="18" t="n">
        <f aca="false">((I6438 + G6439) - H6439)</f>
        <v>123499.31</v>
      </c>
      <c r="J6439" s="18" t="n">
        <v>0</v>
      </c>
      <c r="K6439" s="19" t="n">
        <v>0</v>
      </c>
      <c r="L6439" s="17"/>
    </row>
    <row r="6440" s="11" customFormat="true" ht="10.95" hidden="false" customHeight="true" outlineLevel="0" collapsed="false">
      <c r="A6440" s="16" t="n">
        <v>45233</v>
      </c>
      <c r="B6440" s="17" t="s">
        <v>3369</v>
      </c>
      <c r="C6440" s="17" t="s">
        <v>3370</v>
      </c>
      <c r="D6440" s="17" t="s">
        <v>2895</v>
      </c>
      <c r="E6440" s="17" t="s">
        <v>3384</v>
      </c>
      <c r="F6440" s="17" t="s">
        <v>823</v>
      </c>
      <c r="G6440" s="18" t="n">
        <v>0</v>
      </c>
      <c r="H6440" s="18" t="n">
        <v>2194.5</v>
      </c>
      <c r="I6440" s="18" t="n">
        <f aca="false">((I6439 + G6440) - H6440)</f>
        <v>121304.81</v>
      </c>
      <c r="J6440" s="18" t="n">
        <v>0</v>
      </c>
      <c r="K6440" s="19" t="n">
        <v>0</v>
      </c>
      <c r="L6440" s="17"/>
    </row>
    <row r="6441" s="11" customFormat="true" ht="10.95" hidden="false" customHeight="true" outlineLevel="0" collapsed="false">
      <c r="A6441" s="16" t="n">
        <v>45233</v>
      </c>
      <c r="B6441" s="17" t="s">
        <v>3369</v>
      </c>
      <c r="C6441" s="17" t="s">
        <v>3370</v>
      </c>
      <c r="D6441" s="17" t="s">
        <v>2895</v>
      </c>
      <c r="E6441" s="17" t="s">
        <v>3384</v>
      </c>
      <c r="F6441" s="17" t="s">
        <v>822</v>
      </c>
      <c r="G6441" s="18" t="n">
        <v>0</v>
      </c>
      <c r="H6441" s="18" t="n">
        <v>2821.5</v>
      </c>
      <c r="I6441" s="18" t="n">
        <f aca="false">((I6440 + G6441) - H6441)</f>
        <v>118483.31</v>
      </c>
      <c r="J6441" s="18" t="n">
        <v>0</v>
      </c>
      <c r="K6441" s="19" t="n">
        <v>0</v>
      </c>
      <c r="L6441" s="17"/>
    </row>
    <row r="6442" s="11" customFormat="true" ht="10.95" hidden="false" customHeight="true" outlineLevel="0" collapsed="false">
      <c r="A6442" s="16" t="n">
        <v>45233</v>
      </c>
      <c r="B6442" s="17" t="s">
        <v>3369</v>
      </c>
      <c r="C6442" s="17" t="s">
        <v>3370</v>
      </c>
      <c r="D6442" s="17" t="s">
        <v>2895</v>
      </c>
      <c r="E6442" s="17" t="s">
        <v>2917</v>
      </c>
      <c r="F6442" s="17" t="s">
        <v>1139</v>
      </c>
      <c r="G6442" s="18" t="n">
        <v>0</v>
      </c>
      <c r="H6442" s="18" t="n">
        <v>1384.87</v>
      </c>
      <c r="I6442" s="18" t="n">
        <f aca="false">((I6441 + G6442) - H6442)</f>
        <v>117098.44</v>
      </c>
      <c r="J6442" s="18" t="n">
        <v>0</v>
      </c>
      <c r="K6442" s="19" t="n">
        <v>0</v>
      </c>
      <c r="L6442" s="17"/>
    </row>
    <row r="6443" s="11" customFormat="true" ht="10.95" hidden="false" customHeight="true" outlineLevel="0" collapsed="false">
      <c r="A6443" s="16" t="n">
        <v>45236</v>
      </c>
      <c r="B6443" s="17" t="s">
        <v>3369</v>
      </c>
      <c r="C6443" s="17" t="s">
        <v>3370</v>
      </c>
      <c r="D6443" s="17" t="s">
        <v>2895</v>
      </c>
      <c r="E6443" s="17" t="s">
        <v>2988</v>
      </c>
      <c r="F6443" s="17" t="s">
        <v>840</v>
      </c>
      <c r="G6443" s="18" t="n">
        <v>0</v>
      </c>
      <c r="H6443" s="18" t="n">
        <v>6595.23</v>
      </c>
      <c r="I6443" s="18" t="n">
        <f aca="false">((I6442 + G6443) - H6443)</f>
        <v>110503.21</v>
      </c>
      <c r="J6443" s="18" t="n">
        <v>0</v>
      </c>
      <c r="K6443" s="19" t="n">
        <v>0</v>
      </c>
      <c r="L6443" s="17"/>
    </row>
    <row r="6444" s="11" customFormat="true" ht="10.95" hidden="false" customHeight="true" outlineLevel="0" collapsed="false">
      <c r="A6444" s="16" t="n">
        <v>45236</v>
      </c>
      <c r="B6444" s="17" t="s">
        <v>3369</v>
      </c>
      <c r="C6444" s="17" t="s">
        <v>3370</v>
      </c>
      <c r="D6444" s="17" t="s">
        <v>2895</v>
      </c>
      <c r="E6444" s="17" t="s">
        <v>3512</v>
      </c>
      <c r="F6444" s="17" t="s">
        <v>332</v>
      </c>
      <c r="G6444" s="18" t="n">
        <v>0</v>
      </c>
      <c r="H6444" s="18" t="n">
        <v>770</v>
      </c>
      <c r="I6444" s="18" t="n">
        <f aca="false">((I6443 + G6444) - H6444)</f>
        <v>109733.21</v>
      </c>
      <c r="J6444" s="18" t="n">
        <v>0</v>
      </c>
      <c r="K6444" s="19" t="n">
        <v>0</v>
      </c>
      <c r="L6444" s="17"/>
    </row>
    <row r="6445" s="11" customFormat="true" ht="10.95" hidden="false" customHeight="true" outlineLevel="0" collapsed="false">
      <c r="A6445" s="16" t="n">
        <v>45239</v>
      </c>
      <c r="B6445" s="17" t="s">
        <v>3369</v>
      </c>
      <c r="C6445" s="17" t="s">
        <v>3370</v>
      </c>
      <c r="D6445" s="17" t="s">
        <v>2895</v>
      </c>
      <c r="E6445" s="17" t="s">
        <v>2906</v>
      </c>
      <c r="F6445" s="17" t="s">
        <v>1141</v>
      </c>
      <c r="G6445" s="18" t="n">
        <v>0</v>
      </c>
      <c r="H6445" s="18" t="n">
        <v>3100.03</v>
      </c>
      <c r="I6445" s="18" t="n">
        <f aca="false">((I6444 + G6445) - H6445)</f>
        <v>106633.18</v>
      </c>
      <c r="J6445" s="18" t="n">
        <v>0</v>
      </c>
      <c r="K6445" s="19" t="n">
        <v>0</v>
      </c>
      <c r="L6445" s="17"/>
    </row>
    <row r="6446" s="11" customFormat="true" ht="10.95" hidden="false" customHeight="true" outlineLevel="0" collapsed="false">
      <c r="A6446" s="16" t="n">
        <v>45240</v>
      </c>
      <c r="B6446" s="17" t="s">
        <v>3369</v>
      </c>
      <c r="C6446" s="17" t="s">
        <v>3370</v>
      </c>
      <c r="D6446" s="17" t="s">
        <v>2895</v>
      </c>
      <c r="E6446" s="17" t="s">
        <v>2947</v>
      </c>
      <c r="F6446" s="17" t="s">
        <v>975</v>
      </c>
      <c r="G6446" s="18" t="n">
        <v>0</v>
      </c>
      <c r="H6446" s="18" t="n">
        <v>1853.47</v>
      </c>
      <c r="I6446" s="18" t="n">
        <f aca="false">((I6445 + G6446) - H6446)</f>
        <v>104779.71</v>
      </c>
      <c r="J6446" s="18" t="n">
        <v>0</v>
      </c>
      <c r="K6446" s="19" t="n">
        <v>0</v>
      </c>
      <c r="L6446" s="17"/>
    </row>
    <row r="6447" s="11" customFormat="true" ht="10.95" hidden="false" customHeight="true" outlineLevel="0" collapsed="false">
      <c r="A6447" s="16" t="n">
        <v>45240</v>
      </c>
      <c r="B6447" s="17" t="s">
        <v>3369</v>
      </c>
      <c r="C6447" s="17" t="s">
        <v>3370</v>
      </c>
      <c r="D6447" s="17" t="s">
        <v>2895</v>
      </c>
      <c r="E6447" s="17" t="s">
        <v>2900</v>
      </c>
      <c r="F6447" s="17" t="s">
        <v>1135</v>
      </c>
      <c r="G6447" s="18" t="n">
        <v>0</v>
      </c>
      <c r="H6447" s="18" t="n">
        <v>1835.58</v>
      </c>
      <c r="I6447" s="18" t="n">
        <f aca="false">((I6446 + G6447) - H6447)</f>
        <v>102944.13</v>
      </c>
      <c r="J6447" s="18" t="n">
        <v>0</v>
      </c>
      <c r="K6447" s="19" t="n">
        <v>0</v>
      </c>
      <c r="L6447" s="17"/>
    </row>
    <row r="6448" s="11" customFormat="true" ht="10.95" hidden="false" customHeight="true" outlineLevel="0" collapsed="false">
      <c r="A6448" s="16" t="n">
        <v>45240</v>
      </c>
      <c r="B6448" s="17" t="s">
        <v>3369</v>
      </c>
      <c r="C6448" s="17" t="s">
        <v>3370</v>
      </c>
      <c r="D6448" s="17" t="s">
        <v>2895</v>
      </c>
      <c r="E6448" s="17" t="s">
        <v>2900</v>
      </c>
      <c r="F6448" s="17" t="s">
        <v>1146</v>
      </c>
      <c r="G6448" s="18" t="n">
        <v>0</v>
      </c>
      <c r="H6448" s="18" t="n">
        <v>802.8</v>
      </c>
      <c r="I6448" s="18" t="n">
        <f aca="false">((I6447 + G6448) - H6448)</f>
        <v>102141.33</v>
      </c>
      <c r="J6448" s="18" t="n">
        <v>0</v>
      </c>
      <c r="K6448" s="19" t="n">
        <v>0</v>
      </c>
      <c r="L6448" s="17"/>
    </row>
    <row r="6449" s="11" customFormat="true" ht="10.95" hidden="false" customHeight="true" outlineLevel="0" collapsed="false">
      <c r="A6449" s="16" t="n">
        <v>45240</v>
      </c>
      <c r="B6449" s="17" t="s">
        <v>3369</v>
      </c>
      <c r="C6449" s="17" t="s">
        <v>3370</v>
      </c>
      <c r="D6449" s="17" t="s">
        <v>2895</v>
      </c>
      <c r="E6449" s="17" t="s">
        <v>2900</v>
      </c>
      <c r="F6449" s="17" t="s">
        <v>1136</v>
      </c>
      <c r="G6449" s="18" t="n">
        <v>0</v>
      </c>
      <c r="H6449" s="18" t="n">
        <v>133.82</v>
      </c>
      <c r="I6449" s="18" t="n">
        <f aca="false">((I6448 + G6449) - H6449)</f>
        <v>102007.51</v>
      </c>
      <c r="J6449" s="18" t="n">
        <v>0</v>
      </c>
      <c r="K6449" s="19" t="n">
        <v>0</v>
      </c>
      <c r="L6449" s="17"/>
    </row>
    <row r="6450" s="11" customFormat="true" ht="10.95" hidden="false" customHeight="true" outlineLevel="0" collapsed="false">
      <c r="A6450" s="16" t="n">
        <v>45240</v>
      </c>
      <c r="B6450" s="17" t="s">
        <v>3369</v>
      </c>
      <c r="C6450" s="17" t="s">
        <v>3370</v>
      </c>
      <c r="D6450" s="17" t="s">
        <v>2895</v>
      </c>
      <c r="E6450" s="17" t="s">
        <v>2900</v>
      </c>
      <c r="F6450" s="17" t="s">
        <v>1147</v>
      </c>
      <c r="G6450" s="18" t="n">
        <v>0</v>
      </c>
      <c r="H6450" s="18" t="n">
        <v>1745.78</v>
      </c>
      <c r="I6450" s="18" t="n">
        <f aca="false">((I6449 + G6450) - H6450)</f>
        <v>100261.73</v>
      </c>
      <c r="J6450" s="18" t="n">
        <v>0</v>
      </c>
      <c r="K6450" s="19" t="n">
        <v>0</v>
      </c>
      <c r="L6450" s="17"/>
    </row>
    <row r="6451" s="11" customFormat="true" ht="10.95" hidden="false" customHeight="true" outlineLevel="0" collapsed="false">
      <c r="A6451" s="16" t="n">
        <v>45243</v>
      </c>
      <c r="B6451" s="17" t="s">
        <v>3369</v>
      </c>
      <c r="C6451" s="17" t="s">
        <v>3370</v>
      </c>
      <c r="D6451" s="17" t="s">
        <v>2895</v>
      </c>
      <c r="E6451" s="17" t="s">
        <v>2910</v>
      </c>
      <c r="F6451" s="17" t="s">
        <v>837</v>
      </c>
      <c r="G6451" s="18" t="n">
        <v>0</v>
      </c>
      <c r="H6451" s="18" t="n">
        <v>3906.79</v>
      </c>
      <c r="I6451" s="18" t="n">
        <f aca="false">((I6450 + G6451) - H6451)</f>
        <v>96354.9399999998</v>
      </c>
      <c r="J6451" s="18" t="n">
        <v>0</v>
      </c>
      <c r="K6451" s="19" t="n">
        <v>0</v>
      </c>
      <c r="L6451" s="17"/>
    </row>
    <row r="6452" s="11" customFormat="true" ht="10.95" hidden="false" customHeight="true" outlineLevel="0" collapsed="false">
      <c r="A6452" s="16" t="n">
        <v>45243</v>
      </c>
      <c r="B6452" s="17" t="s">
        <v>3369</v>
      </c>
      <c r="C6452" s="17" t="s">
        <v>3370</v>
      </c>
      <c r="D6452" s="17" t="s">
        <v>2895</v>
      </c>
      <c r="E6452" s="17" t="s">
        <v>2910</v>
      </c>
      <c r="F6452" s="17" t="s">
        <v>836</v>
      </c>
      <c r="G6452" s="18" t="n">
        <v>0</v>
      </c>
      <c r="H6452" s="18" t="n">
        <v>571.17</v>
      </c>
      <c r="I6452" s="18" t="n">
        <f aca="false">((I6451 + G6452) - H6452)</f>
        <v>95783.7699999998</v>
      </c>
      <c r="J6452" s="18" t="n">
        <v>0</v>
      </c>
      <c r="K6452" s="19" t="n">
        <v>0</v>
      </c>
      <c r="L6452" s="17"/>
    </row>
    <row r="6453" s="11" customFormat="true" ht="10.95" hidden="false" customHeight="true" outlineLevel="0" collapsed="false">
      <c r="A6453" s="16" t="n">
        <v>45243</v>
      </c>
      <c r="B6453" s="17" t="s">
        <v>3369</v>
      </c>
      <c r="C6453" s="17" t="s">
        <v>3370</v>
      </c>
      <c r="D6453" s="17" t="s">
        <v>2895</v>
      </c>
      <c r="E6453" s="17" t="s">
        <v>3403</v>
      </c>
      <c r="F6453" s="17" t="s">
        <v>273</v>
      </c>
      <c r="G6453" s="18" t="n">
        <v>0</v>
      </c>
      <c r="H6453" s="18" t="n">
        <v>2484.9</v>
      </c>
      <c r="I6453" s="18" t="n">
        <f aca="false">((I6452 + G6453) - H6453)</f>
        <v>93298.8699999998</v>
      </c>
      <c r="J6453" s="18" t="n">
        <v>0</v>
      </c>
      <c r="K6453" s="19" t="n">
        <v>0</v>
      </c>
      <c r="L6453" s="17"/>
    </row>
    <row r="6454" s="11" customFormat="true" ht="10.95" hidden="false" customHeight="true" outlineLevel="0" collapsed="false">
      <c r="A6454" s="16" t="n">
        <v>45243</v>
      </c>
      <c r="B6454" s="17" t="s">
        <v>3369</v>
      </c>
      <c r="C6454" s="17" t="s">
        <v>3370</v>
      </c>
      <c r="D6454" s="17" t="s">
        <v>2895</v>
      </c>
      <c r="E6454" s="17" t="s">
        <v>3403</v>
      </c>
      <c r="F6454" s="17" t="s">
        <v>270</v>
      </c>
      <c r="G6454" s="18" t="n">
        <v>0</v>
      </c>
      <c r="H6454" s="18" t="n">
        <v>517</v>
      </c>
      <c r="I6454" s="18" t="n">
        <f aca="false">((I6453 + G6454) - H6454)</f>
        <v>92781.8699999998</v>
      </c>
      <c r="J6454" s="18" t="n">
        <v>0</v>
      </c>
      <c r="K6454" s="19" t="n">
        <v>0</v>
      </c>
      <c r="L6454" s="17"/>
    </row>
    <row r="6455" s="11" customFormat="true" ht="10.95" hidden="false" customHeight="true" outlineLevel="0" collapsed="false">
      <c r="A6455" s="16" t="n">
        <v>45243</v>
      </c>
      <c r="B6455" s="17" t="s">
        <v>3369</v>
      </c>
      <c r="C6455" s="17" t="s">
        <v>3370</v>
      </c>
      <c r="D6455" s="17" t="s">
        <v>2895</v>
      </c>
      <c r="E6455" s="17" t="s">
        <v>3403</v>
      </c>
      <c r="F6455" s="17" t="s">
        <v>276</v>
      </c>
      <c r="G6455" s="18" t="n">
        <v>0</v>
      </c>
      <c r="H6455" s="18" t="n">
        <v>310.2</v>
      </c>
      <c r="I6455" s="18" t="n">
        <f aca="false">((I6454 + G6455) - H6455)</f>
        <v>92471.6699999998</v>
      </c>
      <c r="J6455" s="18" t="n">
        <v>0</v>
      </c>
      <c r="K6455" s="19" t="n">
        <v>0</v>
      </c>
      <c r="L6455" s="17"/>
    </row>
    <row r="6456" s="11" customFormat="true" ht="10.95" hidden="false" customHeight="true" outlineLevel="0" collapsed="false">
      <c r="A6456" s="16" t="n">
        <v>45243</v>
      </c>
      <c r="B6456" s="17" t="s">
        <v>3369</v>
      </c>
      <c r="C6456" s="17" t="s">
        <v>3370</v>
      </c>
      <c r="D6456" s="17" t="s">
        <v>2895</v>
      </c>
      <c r="E6456" s="17" t="s">
        <v>3403</v>
      </c>
      <c r="F6456" s="17" t="s">
        <v>274</v>
      </c>
      <c r="G6456" s="18" t="n">
        <v>0</v>
      </c>
      <c r="H6456" s="18" t="n">
        <v>1258.4</v>
      </c>
      <c r="I6456" s="18" t="n">
        <f aca="false">((I6455 + G6456) - H6456)</f>
        <v>91213.2699999998</v>
      </c>
      <c r="J6456" s="18" t="n">
        <v>0</v>
      </c>
      <c r="K6456" s="19" t="n">
        <v>0</v>
      </c>
      <c r="L6456" s="17"/>
    </row>
    <row r="6457" s="11" customFormat="true" ht="10.95" hidden="false" customHeight="true" outlineLevel="0" collapsed="false">
      <c r="A6457" s="16" t="n">
        <v>45243</v>
      </c>
      <c r="B6457" s="17" t="s">
        <v>3369</v>
      </c>
      <c r="C6457" s="17" t="s">
        <v>3370</v>
      </c>
      <c r="D6457" s="17" t="s">
        <v>2895</v>
      </c>
      <c r="E6457" s="17" t="s">
        <v>3403</v>
      </c>
      <c r="F6457" s="17" t="s">
        <v>272</v>
      </c>
      <c r="G6457" s="18" t="n">
        <v>0</v>
      </c>
      <c r="H6457" s="18" t="n">
        <v>627</v>
      </c>
      <c r="I6457" s="18" t="n">
        <f aca="false">((I6456 + G6457) - H6457)</f>
        <v>90586.2699999998</v>
      </c>
      <c r="J6457" s="18" t="n">
        <v>0</v>
      </c>
      <c r="K6457" s="19" t="n">
        <v>0</v>
      </c>
      <c r="L6457" s="17"/>
    </row>
    <row r="6458" s="11" customFormat="true" ht="10.95" hidden="false" customHeight="true" outlineLevel="0" collapsed="false">
      <c r="A6458" s="16" t="n">
        <v>45243</v>
      </c>
      <c r="B6458" s="17" t="s">
        <v>3369</v>
      </c>
      <c r="C6458" s="17" t="s">
        <v>3370</v>
      </c>
      <c r="D6458" s="17" t="s">
        <v>2895</v>
      </c>
      <c r="E6458" s="17" t="s">
        <v>3403</v>
      </c>
      <c r="F6458" s="17" t="s">
        <v>264</v>
      </c>
      <c r="G6458" s="18" t="n">
        <v>0</v>
      </c>
      <c r="H6458" s="18" t="n">
        <v>206.8</v>
      </c>
      <c r="I6458" s="18" t="n">
        <f aca="false">((I6457 + G6458) - H6458)</f>
        <v>90379.4699999998</v>
      </c>
      <c r="J6458" s="18" t="n">
        <v>0</v>
      </c>
      <c r="K6458" s="19" t="n">
        <v>0</v>
      </c>
      <c r="L6458" s="17"/>
    </row>
    <row r="6459" s="11" customFormat="true" ht="10.95" hidden="false" customHeight="true" outlineLevel="0" collapsed="false">
      <c r="A6459" s="16" t="n">
        <v>45243</v>
      </c>
      <c r="B6459" s="17" t="s">
        <v>3369</v>
      </c>
      <c r="C6459" s="17" t="s">
        <v>3370</v>
      </c>
      <c r="D6459" s="17" t="s">
        <v>2895</v>
      </c>
      <c r="E6459" s="17" t="s">
        <v>3403</v>
      </c>
      <c r="F6459" s="17" t="s">
        <v>271</v>
      </c>
      <c r="G6459" s="18" t="n">
        <v>0</v>
      </c>
      <c r="H6459" s="18" t="n">
        <v>316.8</v>
      </c>
      <c r="I6459" s="18" t="n">
        <f aca="false">((I6458 + G6459) - H6459)</f>
        <v>90062.6699999998</v>
      </c>
      <c r="J6459" s="18" t="n">
        <v>0</v>
      </c>
      <c r="K6459" s="19" t="n">
        <v>0</v>
      </c>
      <c r="L6459" s="17"/>
    </row>
    <row r="6460" s="11" customFormat="true" ht="10.95" hidden="false" customHeight="true" outlineLevel="0" collapsed="false">
      <c r="A6460" s="16" t="n">
        <v>45243</v>
      </c>
      <c r="B6460" s="17" t="s">
        <v>3369</v>
      </c>
      <c r="C6460" s="17" t="s">
        <v>3370</v>
      </c>
      <c r="D6460" s="17" t="s">
        <v>2895</v>
      </c>
      <c r="E6460" s="17" t="s">
        <v>3403</v>
      </c>
      <c r="F6460" s="17" t="s">
        <v>262</v>
      </c>
      <c r="G6460" s="18" t="n">
        <v>0</v>
      </c>
      <c r="H6460" s="18" t="n">
        <v>827.2</v>
      </c>
      <c r="I6460" s="18" t="n">
        <f aca="false">((I6459 + G6460) - H6460)</f>
        <v>89235.4699999998</v>
      </c>
      <c r="J6460" s="18" t="n">
        <v>0</v>
      </c>
      <c r="K6460" s="19" t="n">
        <v>0</v>
      </c>
      <c r="L6460" s="17"/>
    </row>
    <row r="6461" s="11" customFormat="true" ht="10.95" hidden="false" customHeight="true" outlineLevel="0" collapsed="false">
      <c r="A6461" s="16" t="n">
        <v>45243</v>
      </c>
      <c r="B6461" s="17" t="s">
        <v>3369</v>
      </c>
      <c r="C6461" s="17" t="s">
        <v>3370</v>
      </c>
      <c r="D6461" s="17" t="s">
        <v>2895</v>
      </c>
      <c r="E6461" s="17" t="s">
        <v>3403</v>
      </c>
      <c r="F6461" s="17" t="s">
        <v>260</v>
      </c>
      <c r="G6461" s="18" t="n">
        <v>0</v>
      </c>
      <c r="H6461" s="18" t="n">
        <v>3660.25</v>
      </c>
      <c r="I6461" s="18" t="n">
        <f aca="false">((I6460 + G6461) - H6461)</f>
        <v>85575.2199999998</v>
      </c>
      <c r="J6461" s="18" t="n">
        <v>0</v>
      </c>
      <c r="K6461" s="19" t="n">
        <v>0</v>
      </c>
      <c r="L6461" s="17"/>
    </row>
    <row r="6462" s="11" customFormat="true" ht="10.95" hidden="false" customHeight="true" outlineLevel="0" collapsed="false">
      <c r="A6462" s="16" t="n">
        <v>45244</v>
      </c>
      <c r="B6462" s="17" t="s">
        <v>3369</v>
      </c>
      <c r="C6462" s="17" t="s">
        <v>3370</v>
      </c>
      <c r="D6462" s="17" t="s">
        <v>19</v>
      </c>
      <c r="E6462" s="17" t="s">
        <v>3381</v>
      </c>
      <c r="F6462" s="17" t="s">
        <v>941</v>
      </c>
      <c r="G6462" s="18" t="n">
        <v>3019.33</v>
      </c>
      <c r="H6462" s="18" t="n">
        <v>0</v>
      </c>
      <c r="I6462" s="18" t="n">
        <f aca="false">((I6461 + G6462) - H6462)</f>
        <v>88594.5499999998</v>
      </c>
      <c r="J6462" s="18" t="n">
        <v>0</v>
      </c>
      <c r="K6462" s="19" t="n">
        <v>0</v>
      </c>
      <c r="L6462" s="17"/>
    </row>
    <row r="6463" s="11" customFormat="true" ht="10.95" hidden="false" customHeight="true" outlineLevel="0" collapsed="false">
      <c r="A6463" s="16" t="n">
        <v>45246</v>
      </c>
      <c r="B6463" s="17" t="s">
        <v>3369</v>
      </c>
      <c r="C6463" s="17" t="s">
        <v>3370</v>
      </c>
      <c r="D6463" s="17" t="s">
        <v>2895</v>
      </c>
      <c r="E6463" s="17" t="s">
        <v>3457</v>
      </c>
      <c r="F6463" s="17" t="s">
        <v>251</v>
      </c>
      <c r="G6463" s="18" t="n">
        <v>0</v>
      </c>
      <c r="H6463" s="18" t="n">
        <v>9999</v>
      </c>
      <c r="I6463" s="18" t="n">
        <f aca="false">((I6462 + G6463) - H6463)</f>
        <v>78595.5499999998</v>
      </c>
      <c r="J6463" s="18" t="n">
        <v>0</v>
      </c>
      <c r="K6463" s="19" t="n">
        <v>0</v>
      </c>
      <c r="L6463" s="17"/>
    </row>
    <row r="6464" s="11" customFormat="true" ht="10.95" hidden="false" customHeight="true" outlineLevel="0" collapsed="false">
      <c r="A6464" s="16" t="n">
        <v>45246</v>
      </c>
      <c r="B6464" s="17" t="s">
        <v>3369</v>
      </c>
      <c r="C6464" s="17" t="s">
        <v>3370</v>
      </c>
      <c r="D6464" s="17" t="s">
        <v>2895</v>
      </c>
      <c r="E6464" s="17" t="s">
        <v>3457</v>
      </c>
      <c r="F6464" s="17" t="s">
        <v>306</v>
      </c>
      <c r="G6464" s="18" t="n">
        <v>0</v>
      </c>
      <c r="H6464" s="18" t="n">
        <v>9999</v>
      </c>
      <c r="I6464" s="18" t="n">
        <f aca="false">((I6463 + G6464) - H6464)</f>
        <v>68596.5499999998</v>
      </c>
      <c r="J6464" s="18" t="n">
        <v>0</v>
      </c>
      <c r="K6464" s="19" t="n">
        <v>0</v>
      </c>
      <c r="L6464" s="17"/>
    </row>
    <row r="6465" s="11" customFormat="true" ht="10.95" hidden="false" customHeight="true" outlineLevel="0" collapsed="false">
      <c r="A6465" s="16" t="n">
        <v>45247</v>
      </c>
      <c r="B6465" s="17" t="s">
        <v>3369</v>
      </c>
      <c r="C6465" s="17" t="s">
        <v>3370</v>
      </c>
      <c r="D6465" s="17" t="s">
        <v>2895</v>
      </c>
      <c r="E6465" s="17" t="s">
        <v>3415</v>
      </c>
      <c r="F6465" s="17" t="s">
        <v>305</v>
      </c>
      <c r="G6465" s="18" t="n">
        <v>0</v>
      </c>
      <c r="H6465" s="18" t="n">
        <v>1052.7</v>
      </c>
      <c r="I6465" s="18" t="n">
        <f aca="false">((I6464 + G6465) - H6465)</f>
        <v>67543.8499999998</v>
      </c>
      <c r="J6465" s="18" t="n">
        <v>0</v>
      </c>
      <c r="K6465" s="19" t="n">
        <v>0</v>
      </c>
      <c r="L6465" s="17"/>
    </row>
    <row r="6466" s="11" customFormat="true" ht="10.95" hidden="false" customHeight="true" outlineLevel="0" collapsed="false">
      <c r="A6466" s="16" t="n">
        <v>45252</v>
      </c>
      <c r="B6466" s="17" t="s">
        <v>3369</v>
      </c>
      <c r="C6466" s="17" t="s">
        <v>3370</v>
      </c>
      <c r="D6466" s="17" t="s">
        <v>2895</v>
      </c>
      <c r="E6466" s="17" t="s">
        <v>2900</v>
      </c>
      <c r="F6466" s="17" t="s">
        <v>1145</v>
      </c>
      <c r="G6466" s="18" t="n">
        <v>0</v>
      </c>
      <c r="H6466" s="18" t="n">
        <v>265.6</v>
      </c>
      <c r="I6466" s="18" t="n">
        <f aca="false">((I6465 + G6466) - H6466)</f>
        <v>67278.2499999998</v>
      </c>
      <c r="J6466" s="18" t="n">
        <v>0</v>
      </c>
      <c r="K6466" s="19" t="n">
        <v>0</v>
      </c>
      <c r="L6466" s="17"/>
    </row>
    <row r="6467" s="11" customFormat="true" ht="10.95" hidden="false" customHeight="true" outlineLevel="0" collapsed="false">
      <c r="A6467" s="16" t="n">
        <v>45253</v>
      </c>
      <c r="B6467" s="17" t="s">
        <v>3369</v>
      </c>
      <c r="C6467" s="17" t="s">
        <v>3370</v>
      </c>
      <c r="D6467" s="17" t="s">
        <v>19</v>
      </c>
      <c r="E6467" s="17" t="s">
        <v>3501</v>
      </c>
      <c r="F6467" s="17" t="s">
        <v>333</v>
      </c>
      <c r="G6467" s="18" t="n">
        <v>157.3</v>
      </c>
      <c r="H6467" s="18" t="n">
        <v>0</v>
      </c>
      <c r="I6467" s="18" t="n">
        <f aca="false">((I6466 + G6467) - H6467)</f>
        <v>67435.5499999998</v>
      </c>
      <c r="J6467" s="18" t="n">
        <v>0</v>
      </c>
      <c r="K6467" s="19" t="n">
        <v>0</v>
      </c>
      <c r="L6467" s="17"/>
    </row>
    <row r="6468" s="11" customFormat="true" ht="10.95" hidden="false" customHeight="true" outlineLevel="0" collapsed="false">
      <c r="A6468" s="16" t="n">
        <v>45253</v>
      </c>
      <c r="B6468" s="17" t="s">
        <v>3369</v>
      </c>
      <c r="C6468" s="17" t="s">
        <v>3370</v>
      </c>
      <c r="D6468" s="17" t="s">
        <v>19</v>
      </c>
      <c r="E6468" s="17" t="s">
        <v>3502</v>
      </c>
      <c r="F6468" s="17" t="s">
        <v>334</v>
      </c>
      <c r="G6468" s="18" t="n">
        <v>199.65</v>
      </c>
      <c r="H6468" s="18" t="n">
        <v>0</v>
      </c>
      <c r="I6468" s="18" t="n">
        <f aca="false">((I6467 + G6468) - H6468)</f>
        <v>67635.1999999998</v>
      </c>
      <c r="J6468" s="18" t="n">
        <v>0</v>
      </c>
      <c r="K6468" s="19" t="n">
        <v>0</v>
      </c>
      <c r="L6468" s="17"/>
    </row>
    <row r="6469" s="11" customFormat="true" ht="10.95" hidden="false" customHeight="true" outlineLevel="0" collapsed="false">
      <c r="A6469" s="16" t="n">
        <v>45253</v>
      </c>
      <c r="B6469" s="17" t="s">
        <v>3369</v>
      </c>
      <c r="C6469" s="17" t="s">
        <v>3370</v>
      </c>
      <c r="D6469" s="17" t="s">
        <v>19</v>
      </c>
      <c r="E6469" s="17" t="s">
        <v>3489</v>
      </c>
      <c r="F6469" s="17" t="s">
        <v>979</v>
      </c>
      <c r="G6469" s="18" t="n">
        <v>1838.96</v>
      </c>
      <c r="H6469" s="18" t="n">
        <v>0</v>
      </c>
      <c r="I6469" s="18" t="n">
        <f aca="false">((I6468 + G6469) - H6469)</f>
        <v>69474.1599999998</v>
      </c>
      <c r="J6469" s="18" t="n">
        <v>0</v>
      </c>
      <c r="K6469" s="19" t="n">
        <v>0</v>
      </c>
      <c r="L6469" s="17"/>
    </row>
    <row r="6470" s="11" customFormat="true" ht="10.95" hidden="false" customHeight="true" outlineLevel="0" collapsed="false">
      <c r="A6470" s="16" t="n">
        <v>45253</v>
      </c>
      <c r="B6470" s="17" t="s">
        <v>3369</v>
      </c>
      <c r="C6470" s="17" t="s">
        <v>3370</v>
      </c>
      <c r="D6470" s="17" t="s">
        <v>19</v>
      </c>
      <c r="E6470" s="17" t="s">
        <v>3490</v>
      </c>
      <c r="F6470" s="17" t="s">
        <v>335</v>
      </c>
      <c r="G6470" s="18" t="n">
        <v>1034.55</v>
      </c>
      <c r="H6470" s="18" t="n">
        <v>0</v>
      </c>
      <c r="I6470" s="18" t="n">
        <f aca="false">((I6469 + G6470) - H6470)</f>
        <v>70508.7099999998</v>
      </c>
      <c r="J6470" s="18" t="n">
        <v>0</v>
      </c>
      <c r="K6470" s="19" t="n">
        <v>0</v>
      </c>
      <c r="L6470" s="17"/>
    </row>
    <row r="6471" s="11" customFormat="true" ht="10.95" hidden="false" customHeight="true" outlineLevel="0" collapsed="false">
      <c r="A6471" s="16" t="n">
        <v>45253</v>
      </c>
      <c r="B6471" s="17" t="s">
        <v>3369</v>
      </c>
      <c r="C6471" s="17" t="s">
        <v>3370</v>
      </c>
      <c r="D6471" s="17" t="s">
        <v>19</v>
      </c>
      <c r="E6471" s="17" t="s">
        <v>3422</v>
      </c>
      <c r="F6471" s="17" t="s">
        <v>980</v>
      </c>
      <c r="G6471" s="18" t="n">
        <v>9247.24</v>
      </c>
      <c r="H6471" s="18" t="n">
        <v>0</v>
      </c>
      <c r="I6471" s="18" t="n">
        <f aca="false">((I6470 + G6471) - H6471)</f>
        <v>79755.9499999998</v>
      </c>
      <c r="J6471" s="18" t="n">
        <v>0</v>
      </c>
      <c r="K6471" s="19" t="n">
        <v>0</v>
      </c>
      <c r="L6471" s="17"/>
    </row>
    <row r="6472" s="11" customFormat="true" ht="10.95" hidden="false" customHeight="true" outlineLevel="0" collapsed="false">
      <c r="A6472" s="16" t="n">
        <v>45253</v>
      </c>
      <c r="B6472" s="17" t="s">
        <v>3369</v>
      </c>
      <c r="C6472" s="17" t="s">
        <v>3370</v>
      </c>
      <c r="D6472" s="17" t="s">
        <v>19</v>
      </c>
      <c r="E6472" s="17" t="s">
        <v>3423</v>
      </c>
      <c r="F6472" s="17" t="s">
        <v>843</v>
      </c>
      <c r="G6472" s="18" t="n">
        <v>91.11</v>
      </c>
      <c r="H6472" s="18" t="n">
        <v>0</v>
      </c>
      <c r="I6472" s="18" t="n">
        <f aca="false">((I6471 + G6472) - H6472)</f>
        <v>79847.0599999998</v>
      </c>
      <c r="J6472" s="18" t="n">
        <v>0</v>
      </c>
      <c r="K6472" s="19" t="n">
        <v>0</v>
      </c>
      <c r="L6472" s="17"/>
    </row>
    <row r="6473" s="11" customFormat="true" ht="10.95" hidden="false" customHeight="true" outlineLevel="0" collapsed="false">
      <c r="A6473" s="16" t="n">
        <v>45253</v>
      </c>
      <c r="B6473" s="17" t="s">
        <v>3369</v>
      </c>
      <c r="C6473" s="17" t="s">
        <v>3370</v>
      </c>
      <c r="D6473" s="17" t="s">
        <v>19</v>
      </c>
      <c r="E6473" s="17" t="s">
        <v>3424</v>
      </c>
      <c r="F6473" s="17" t="s">
        <v>336</v>
      </c>
      <c r="G6473" s="18" t="n">
        <v>413.6</v>
      </c>
      <c r="H6473" s="18" t="n">
        <v>0</v>
      </c>
      <c r="I6473" s="18" t="n">
        <f aca="false">((I6472 + G6473) - H6473)</f>
        <v>80260.6599999998</v>
      </c>
      <c r="J6473" s="18" t="n">
        <v>0</v>
      </c>
      <c r="K6473" s="19" t="n">
        <v>0</v>
      </c>
      <c r="L6473" s="17"/>
    </row>
    <row r="6474" s="11" customFormat="true" ht="10.95" hidden="false" customHeight="true" outlineLevel="0" collapsed="false">
      <c r="A6474" s="16" t="n">
        <v>45253</v>
      </c>
      <c r="B6474" s="17" t="s">
        <v>3369</v>
      </c>
      <c r="C6474" s="17" t="s">
        <v>3370</v>
      </c>
      <c r="D6474" s="17" t="s">
        <v>19</v>
      </c>
      <c r="E6474" s="17" t="s">
        <v>3506</v>
      </c>
      <c r="F6474" s="17" t="s">
        <v>981</v>
      </c>
      <c r="G6474" s="18" t="n">
        <v>1600.64</v>
      </c>
      <c r="H6474" s="18" t="n">
        <v>0</v>
      </c>
      <c r="I6474" s="18" t="n">
        <f aca="false">((I6473 + G6474) - H6474)</f>
        <v>81861.2999999998</v>
      </c>
      <c r="J6474" s="18" t="n">
        <v>0</v>
      </c>
      <c r="K6474" s="19" t="n">
        <v>0</v>
      </c>
      <c r="L6474" s="17"/>
    </row>
    <row r="6475" s="11" customFormat="true" ht="10.95" hidden="false" customHeight="true" outlineLevel="0" collapsed="false">
      <c r="A6475" s="16" t="n">
        <v>45253</v>
      </c>
      <c r="B6475" s="17" t="s">
        <v>3369</v>
      </c>
      <c r="C6475" s="17" t="s">
        <v>3370</v>
      </c>
      <c r="D6475" s="17" t="s">
        <v>19</v>
      </c>
      <c r="E6475" s="17" t="s">
        <v>3491</v>
      </c>
      <c r="F6475" s="17" t="s">
        <v>982</v>
      </c>
      <c r="G6475" s="18" t="n">
        <v>524.23</v>
      </c>
      <c r="H6475" s="18" t="n">
        <v>0</v>
      </c>
      <c r="I6475" s="18" t="n">
        <f aca="false">((I6474 + G6475) - H6475)</f>
        <v>82385.5299999998</v>
      </c>
      <c r="J6475" s="18" t="n">
        <v>0</v>
      </c>
      <c r="K6475" s="19" t="n">
        <v>0</v>
      </c>
      <c r="L6475" s="17"/>
    </row>
    <row r="6476" s="11" customFormat="true" ht="10.95" hidden="false" customHeight="true" outlineLevel="0" collapsed="false">
      <c r="A6476" s="16" t="n">
        <v>45253</v>
      </c>
      <c r="B6476" s="17" t="s">
        <v>3369</v>
      </c>
      <c r="C6476" s="17" t="s">
        <v>3370</v>
      </c>
      <c r="D6476" s="17" t="s">
        <v>19</v>
      </c>
      <c r="E6476" s="17" t="s">
        <v>3491</v>
      </c>
      <c r="F6476" s="17" t="s">
        <v>983</v>
      </c>
      <c r="G6476" s="18" t="n">
        <v>349.49</v>
      </c>
      <c r="H6476" s="18" t="n">
        <v>0</v>
      </c>
      <c r="I6476" s="18" t="n">
        <f aca="false">((I6475 + G6476) - H6476)</f>
        <v>82735.0199999998</v>
      </c>
      <c r="J6476" s="18" t="n">
        <v>0</v>
      </c>
      <c r="K6476" s="19" t="n">
        <v>0</v>
      </c>
      <c r="L6476" s="17"/>
    </row>
    <row r="6477" s="11" customFormat="true" ht="10.95" hidden="false" customHeight="true" outlineLevel="0" collapsed="false">
      <c r="A6477" s="16" t="n">
        <v>45253</v>
      </c>
      <c r="B6477" s="17" t="s">
        <v>3369</v>
      </c>
      <c r="C6477" s="17" t="s">
        <v>3370</v>
      </c>
      <c r="D6477" s="17" t="s">
        <v>19</v>
      </c>
      <c r="E6477" s="17" t="s">
        <v>3425</v>
      </c>
      <c r="F6477" s="17" t="s">
        <v>1155</v>
      </c>
      <c r="G6477" s="18" t="n">
        <v>763.82</v>
      </c>
      <c r="H6477" s="18" t="n">
        <v>0</v>
      </c>
      <c r="I6477" s="18" t="n">
        <f aca="false">((I6476 + G6477) - H6477)</f>
        <v>83498.8399999998</v>
      </c>
      <c r="J6477" s="18" t="n">
        <v>0</v>
      </c>
      <c r="K6477" s="19" t="n">
        <v>0</v>
      </c>
      <c r="L6477" s="17"/>
    </row>
    <row r="6478" s="11" customFormat="true" ht="10.95" hidden="false" customHeight="true" outlineLevel="0" collapsed="false">
      <c r="A6478" s="16" t="n">
        <v>45253</v>
      </c>
      <c r="B6478" s="17" t="s">
        <v>3369</v>
      </c>
      <c r="C6478" s="17" t="s">
        <v>3370</v>
      </c>
      <c r="D6478" s="17" t="s">
        <v>19</v>
      </c>
      <c r="E6478" s="17" t="s">
        <v>3426</v>
      </c>
      <c r="F6478" s="17" t="s">
        <v>337</v>
      </c>
      <c r="G6478" s="18" t="n">
        <v>1386</v>
      </c>
      <c r="H6478" s="18" t="n">
        <v>0</v>
      </c>
      <c r="I6478" s="18" t="n">
        <f aca="false">((I6477 + G6478) - H6478)</f>
        <v>84884.8399999998</v>
      </c>
      <c r="J6478" s="18" t="n">
        <v>0</v>
      </c>
      <c r="K6478" s="19" t="n">
        <v>0</v>
      </c>
      <c r="L6478" s="17"/>
    </row>
    <row r="6479" s="11" customFormat="true" ht="10.95" hidden="false" customHeight="true" outlineLevel="0" collapsed="false">
      <c r="A6479" s="16" t="n">
        <v>45253</v>
      </c>
      <c r="B6479" s="17" t="s">
        <v>3369</v>
      </c>
      <c r="C6479" s="17" t="s">
        <v>3370</v>
      </c>
      <c r="D6479" s="17" t="s">
        <v>19</v>
      </c>
      <c r="E6479" s="17" t="s">
        <v>3427</v>
      </c>
      <c r="F6479" s="17" t="s">
        <v>338</v>
      </c>
      <c r="G6479" s="18" t="n">
        <v>561</v>
      </c>
      <c r="H6479" s="18" t="n">
        <v>0</v>
      </c>
      <c r="I6479" s="18" t="n">
        <f aca="false">((I6478 + G6479) - H6479)</f>
        <v>85445.8399999998</v>
      </c>
      <c r="J6479" s="18" t="n">
        <v>0</v>
      </c>
      <c r="K6479" s="19" t="n">
        <v>0</v>
      </c>
      <c r="L6479" s="17"/>
    </row>
    <row r="6480" s="11" customFormat="true" ht="10.95" hidden="false" customHeight="true" outlineLevel="0" collapsed="false">
      <c r="A6480" s="16" t="n">
        <v>45253</v>
      </c>
      <c r="B6480" s="17" t="s">
        <v>3369</v>
      </c>
      <c r="C6480" s="17" t="s">
        <v>3370</v>
      </c>
      <c r="D6480" s="17" t="s">
        <v>19</v>
      </c>
      <c r="E6480" s="17" t="s">
        <v>3428</v>
      </c>
      <c r="F6480" s="17" t="s">
        <v>339</v>
      </c>
      <c r="G6480" s="18" t="n">
        <v>919.6</v>
      </c>
      <c r="H6480" s="18" t="n">
        <v>0</v>
      </c>
      <c r="I6480" s="18" t="n">
        <f aca="false">((I6479 + G6480) - H6480)</f>
        <v>86365.4399999998</v>
      </c>
      <c r="J6480" s="18" t="n">
        <v>0</v>
      </c>
      <c r="K6480" s="19" t="n">
        <v>0</v>
      </c>
      <c r="L6480" s="17"/>
    </row>
    <row r="6481" s="11" customFormat="true" ht="10.95" hidden="false" customHeight="true" outlineLevel="0" collapsed="false">
      <c r="A6481" s="16" t="n">
        <v>45253</v>
      </c>
      <c r="B6481" s="17" t="s">
        <v>3369</v>
      </c>
      <c r="C6481" s="17" t="s">
        <v>3370</v>
      </c>
      <c r="D6481" s="17" t="s">
        <v>19</v>
      </c>
      <c r="E6481" s="17" t="s">
        <v>3429</v>
      </c>
      <c r="F6481" s="17" t="s">
        <v>340</v>
      </c>
      <c r="G6481" s="18" t="n">
        <v>93.5</v>
      </c>
      <c r="H6481" s="18" t="n">
        <v>0</v>
      </c>
      <c r="I6481" s="18" t="n">
        <f aca="false">((I6480 + G6481) - H6481)</f>
        <v>86458.9399999998</v>
      </c>
      <c r="J6481" s="18" t="n">
        <v>0</v>
      </c>
      <c r="K6481" s="19" t="n">
        <v>0</v>
      </c>
      <c r="L6481" s="17"/>
    </row>
    <row r="6482" s="11" customFormat="true" ht="10.95" hidden="false" customHeight="true" outlineLevel="0" collapsed="false">
      <c r="A6482" s="16" t="n">
        <v>45253</v>
      </c>
      <c r="B6482" s="17" t="s">
        <v>3369</v>
      </c>
      <c r="C6482" s="17" t="s">
        <v>3370</v>
      </c>
      <c r="D6482" s="17" t="s">
        <v>19</v>
      </c>
      <c r="E6482" s="17" t="s">
        <v>3513</v>
      </c>
      <c r="F6482" s="17" t="s">
        <v>342</v>
      </c>
      <c r="G6482" s="18" t="n">
        <v>2548.26</v>
      </c>
      <c r="H6482" s="18" t="n">
        <v>0</v>
      </c>
      <c r="I6482" s="18" t="n">
        <f aca="false">((I6481 + G6482) - H6482)</f>
        <v>89007.1999999998</v>
      </c>
      <c r="J6482" s="18" t="n">
        <v>0</v>
      </c>
      <c r="K6482" s="19" t="n">
        <v>0</v>
      </c>
      <c r="L6482" s="17"/>
    </row>
    <row r="6483" s="11" customFormat="true" ht="10.95" hidden="false" customHeight="true" outlineLevel="0" collapsed="false">
      <c r="A6483" s="16" t="n">
        <v>45253</v>
      </c>
      <c r="B6483" s="17" t="s">
        <v>3369</v>
      </c>
      <c r="C6483" s="17" t="s">
        <v>3370</v>
      </c>
      <c r="D6483" s="17" t="s">
        <v>19</v>
      </c>
      <c r="E6483" s="17" t="s">
        <v>3492</v>
      </c>
      <c r="F6483" s="17" t="s">
        <v>343</v>
      </c>
      <c r="G6483" s="18" t="n">
        <v>5184.3</v>
      </c>
      <c r="H6483" s="18" t="n">
        <v>0</v>
      </c>
      <c r="I6483" s="18" t="n">
        <f aca="false">((I6482 + G6483) - H6483)</f>
        <v>94191.4999999998</v>
      </c>
      <c r="J6483" s="18" t="n">
        <v>0</v>
      </c>
      <c r="K6483" s="19" t="n">
        <v>0</v>
      </c>
      <c r="L6483" s="17"/>
    </row>
    <row r="6484" s="11" customFormat="true" ht="10.95" hidden="false" customHeight="true" outlineLevel="0" collapsed="false">
      <c r="A6484" s="16" t="n">
        <v>45253</v>
      </c>
      <c r="B6484" s="17" t="s">
        <v>3369</v>
      </c>
      <c r="C6484" s="17" t="s">
        <v>3370</v>
      </c>
      <c r="D6484" s="17" t="s">
        <v>19</v>
      </c>
      <c r="E6484" s="17" t="s">
        <v>3430</v>
      </c>
      <c r="F6484" s="17" t="s">
        <v>844</v>
      </c>
      <c r="G6484" s="18" t="n">
        <v>488.57</v>
      </c>
      <c r="H6484" s="18" t="n">
        <v>0</v>
      </c>
      <c r="I6484" s="18" t="n">
        <f aca="false">((I6483 + G6484) - H6484)</f>
        <v>94680.0699999999</v>
      </c>
      <c r="J6484" s="18" t="n">
        <v>0</v>
      </c>
      <c r="K6484" s="19" t="n">
        <v>0</v>
      </c>
      <c r="L6484" s="17"/>
    </row>
    <row r="6485" s="11" customFormat="true" ht="10.95" hidden="false" customHeight="true" outlineLevel="0" collapsed="false">
      <c r="A6485" s="16" t="n">
        <v>45253</v>
      </c>
      <c r="B6485" s="17" t="s">
        <v>3369</v>
      </c>
      <c r="C6485" s="17" t="s">
        <v>3370</v>
      </c>
      <c r="D6485" s="17" t="s">
        <v>19</v>
      </c>
      <c r="E6485" s="17" t="s">
        <v>3430</v>
      </c>
      <c r="F6485" s="17" t="s">
        <v>845</v>
      </c>
      <c r="G6485" s="18" t="n">
        <v>325.71</v>
      </c>
      <c r="H6485" s="18" t="n">
        <v>0</v>
      </c>
      <c r="I6485" s="18" t="n">
        <f aca="false">((I6484 + G6485) - H6485)</f>
        <v>95005.7799999999</v>
      </c>
      <c r="J6485" s="18" t="n">
        <v>0</v>
      </c>
      <c r="K6485" s="19" t="n">
        <v>0</v>
      </c>
      <c r="L6485" s="17"/>
    </row>
    <row r="6486" s="11" customFormat="true" ht="10.95" hidden="false" customHeight="true" outlineLevel="0" collapsed="false">
      <c r="A6486" s="16" t="n">
        <v>45253</v>
      </c>
      <c r="B6486" s="17" t="s">
        <v>3369</v>
      </c>
      <c r="C6486" s="17" t="s">
        <v>3370</v>
      </c>
      <c r="D6486" s="17" t="s">
        <v>19</v>
      </c>
      <c r="E6486" s="17" t="s">
        <v>3431</v>
      </c>
      <c r="F6486" s="17" t="s">
        <v>344</v>
      </c>
      <c r="G6486" s="18" t="n">
        <v>357.5</v>
      </c>
      <c r="H6486" s="18" t="n">
        <v>0</v>
      </c>
      <c r="I6486" s="18" t="n">
        <f aca="false">((I6485 + G6486) - H6486)</f>
        <v>95363.2799999999</v>
      </c>
      <c r="J6486" s="18" t="n">
        <v>0</v>
      </c>
      <c r="K6486" s="19" t="n">
        <v>0</v>
      </c>
      <c r="L6486" s="17"/>
    </row>
    <row r="6487" s="11" customFormat="true" ht="10.95" hidden="false" customHeight="true" outlineLevel="0" collapsed="false">
      <c r="A6487" s="16" t="n">
        <v>45253</v>
      </c>
      <c r="B6487" s="17" t="s">
        <v>3369</v>
      </c>
      <c r="C6487" s="17" t="s">
        <v>3370</v>
      </c>
      <c r="D6487" s="17" t="s">
        <v>19</v>
      </c>
      <c r="E6487" s="17" t="s">
        <v>3432</v>
      </c>
      <c r="F6487" s="17" t="s">
        <v>345</v>
      </c>
      <c r="G6487" s="18" t="n">
        <v>1094.5</v>
      </c>
      <c r="H6487" s="18" t="n">
        <v>0</v>
      </c>
      <c r="I6487" s="18" t="n">
        <f aca="false">((I6486 + G6487) - H6487)</f>
        <v>96457.7799999999</v>
      </c>
      <c r="J6487" s="18" t="n">
        <v>0</v>
      </c>
      <c r="K6487" s="19" t="n">
        <v>0</v>
      </c>
      <c r="L6487" s="17"/>
    </row>
    <row r="6488" s="11" customFormat="true" ht="10.95" hidden="false" customHeight="true" outlineLevel="0" collapsed="false">
      <c r="A6488" s="16" t="n">
        <v>45253</v>
      </c>
      <c r="B6488" s="17" t="s">
        <v>3369</v>
      </c>
      <c r="C6488" s="17" t="s">
        <v>3370</v>
      </c>
      <c r="D6488" s="17" t="s">
        <v>19</v>
      </c>
      <c r="E6488" s="17" t="s">
        <v>3434</v>
      </c>
      <c r="F6488" s="17" t="s">
        <v>346</v>
      </c>
      <c r="G6488" s="18" t="n">
        <v>396</v>
      </c>
      <c r="H6488" s="18" t="n">
        <v>0</v>
      </c>
      <c r="I6488" s="18" t="n">
        <f aca="false">((I6487 + G6488) - H6488)</f>
        <v>96853.7799999999</v>
      </c>
      <c r="J6488" s="18" t="n">
        <v>0</v>
      </c>
      <c r="K6488" s="19" t="n">
        <v>0</v>
      </c>
      <c r="L6488" s="17"/>
    </row>
    <row r="6489" s="11" customFormat="true" ht="10.95" hidden="false" customHeight="true" outlineLevel="0" collapsed="false">
      <c r="A6489" s="16" t="n">
        <v>45253</v>
      </c>
      <c r="B6489" s="17" t="s">
        <v>3369</v>
      </c>
      <c r="C6489" s="17" t="s">
        <v>3370</v>
      </c>
      <c r="D6489" s="17" t="s">
        <v>19</v>
      </c>
      <c r="E6489" s="17" t="s">
        <v>3435</v>
      </c>
      <c r="F6489" s="17" t="s">
        <v>348</v>
      </c>
      <c r="G6489" s="18" t="n">
        <v>34.5</v>
      </c>
      <c r="H6489" s="18" t="n">
        <v>0</v>
      </c>
      <c r="I6489" s="18" t="n">
        <f aca="false">((I6488 + G6489) - H6489)</f>
        <v>96888.2799999999</v>
      </c>
      <c r="J6489" s="18" t="n">
        <v>0</v>
      </c>
      <c r="K6489" s="19" t="n">
        <v>0</v>
      </c>
      <c r="L6489" s="17"/>
    </row>
    <row r="6490" s="11" customFormat="true" ht="10.95" hidden="false" customHeight="true" outlineLevel="0" collapsed="false">
      <c r="A6490" s="16" t="n">
        <v>45253</v>
      </c>
      <c r="B6490" s="17" t="s">
        <v>3369</v>
      </c>
      <c r="C6490" s="17" t="s">
        <v>3370</v>
      </c>
      <c r="D6490" s="17" t="s">
        <v>19</v>
      </c>
      <c r="E6490" s="17" t="s">
        <v>3435</v>
      </c>
      <c r="F6490" s="17" t="s">
        <v>349</v>
      </c>
      <c r="G6490" s="18" t="n">
        <v>2244</v>
      </c>
      <c r="H6490" s="18" t="n">
        <v>0</v>
      </c>
      <c r="I6490" s="18" t="n">
        <f aca="false">((I6489 + G6490) - H6490)</f>
        <v>99132.2799999999</v>
      </c>
      <c r="J6490" s="18" t="n">
        <v>0</v>
      </c>
      <c r="K6490" s="19" t="n">
        <v>0</v>
      </c>
      <c r="L6490" s="17"/>
    </row>
    <row r="6491" s="11" customFormat="true" ht="10.95" hidden="false" customHeight="true" outlineLevel="0" collapsed="false">
      <c r="A6491" s="16" t="n">
        <v>45253</v>
      </c>
      <c r="B6491" s="17" t="s">
        <v>3369</v>
      </c>
      <c r="C6491" s="17" t="s">
        <v>3370</v>
      </c>
      <c r="D6491" s="17" t="s">
        <v>19</v>
      </c>
      <c r="E6491" s="17" t="s">
        <v>3493</v>
      </c>
      <c r="F6491" s="17" t="s">
        <v>350</v>
      </c>
      <c r="G6491" s="18" t="n">
        <v>561</v>
      </c>
      <c r="H6491" s="18" t="n">
        <v>0</v>
      </c>
      <c r="I6491" s="18" t="n">
        <f aca="false">((I6490 + G6491) - H6491)</f>
        <v>99693.2799999999</v>
      </c>
      <c r="J6491" s="18" t="n">
        <v>0</v>
      </c>
      <c r="K6491" s="19" t="n">
        <v>0</v>
      </c>
      <c r="L6491" s="17"/>
    </row>
    <row r="6492" s="11" customFormat="true" ht="10.95" hidden="false" customHeight="true" outlineLevel="0" collapsed="false">
      <c r="A6492" s="16" t="n">
        <v>45253</v>
      </c>
      <c r="B6492" s="17" t="s">
        <v>3369</v>
      </c>
      <c r="C6492" s="17" t="s">
        <v>3370</v>
      </c>
      <c r="D6492" s="17" t="s">
        <v>19</v>
      </c>
      <c r="E6492" s="17" t="s">
        <v>3436</v>
      </c>
      <c r="F6492" s="17" t="s">
        <v>846</v>
      </c>
      <c r="G6492" s="18" t="n">
        <v>2821.5</v>
      </c>
      <c r="H6492" s="18" t="n">
        <v>0</v>
      </c>
      <c r="I6492" s="18" t="n">
        <f aca="false">((I6491 + G6492) - H6492)</f>
        <v>102514.78</v>
      </c>
      <c r="J6492" s="18" t="n">
        <v>0</v>
      </c>
      <c r="K6492" s="19" t="n">
        <v>0</v>
      </c>
      <c r="L6492" s="17"/>
    </row>
    <row r="6493" s="11" customFormat="true" ht="10.95" hidden="false" customHeight="true" outlineLevel="0" collapsed="false">
      <c r="A6493" s="16" t="n">
        <v>45253</v>
      </c>
      <c r="B6493" s="17" t="s">
        <v>3369</v>
      </c>
      <c r="C6493" s="17" t="s">
        <v>3370</v>
      </c>
      <c r="D6493" s="17" t="s">
        <v>19</v>
      </c>
      <c r="E6493" s="17" t="s">
        <v>3436</v>
      </c>
      <c r="F6493" s="17" t="s">
        <v>847</v>
      </c>
      <c r="G6493" s="18" t="n">
        <v>1001</v>
      </c>
      <c r="H6493" s="18" t="n">
        <v>0</v>
      </c>
      <c r="I6493" s="18" t="n">
        <f aca="false">((I6492 + G6493) - H6493)</f>
        <v>103515.78</v>
      </c>
      <c r="J6493" s="18" t="n">
        <v>0</v>
      </c>
      <c r="K6493" s="19" t="n">
        <v>0</v>
      </c>
      <c r="L6493" s="17"/>
    </row>
    <row r="6494" s="11" customFormat="true" ht="10.95" hidden="false" customHeight="true" outlineLevel="0" collapsed="false">
      <c r="A6494" s="16" t="n">
        <v>45253</v>
      </c>
      <c r="B6494" s="17" t="s">
        <v>3369</v>
      </c>
      <c r="C6494" s="17" t="s">
        <v>3370</v>
      </c>
      <c r="D6494" s="17" t="s">
        <v>19</v>
      </c>
      <c r="E6494" s="17" t="s">
        <v>3436</v>
      </c>
      <c r="F6494" s="17" t="s">
        <v>848</v>
      </c>
      <c r="G6494" s="18" t="n">
        <v>1672</v>
      </c>
      <c r="H6494" s="18" t="n">
        <v>0</v>
      </c>
      <c r="I6494" s="18" t="n">
        <f aca="false">((I6493 + G6494) - H6494)</f>
        <v>105187.78</v>
      </c>
      <c r="J6494" s="18" t="n">
        <v>0</v>
      </c>
      <c r="K6494" s="19" t="n">
        <v>0</v>
      </c>
      <c r="L6494" s="17"/>
    </row>
    <row r="6495" s="11" customFormat="true" ht="10.95" hidden="false" customHeight="true" outlineLevel="0" collapsed="false">
      <c r="A6495" s="16" t="n">
        <v>45253</v>
      </c>
      <c r="B6495" s="17" t="s">
        <v>3369</v>
      </c>
      <c r="C6495" s="17" t="s">
        <v>3370</v>
      </c>
      <c r="D6495" s="17" t="s">
        <v>19</v>
      </c>
      <c r="E6495" s="17" t="s">
        <v>3437</v>
      </c>
      <c r="F6495" s="17" t="s">
        <v>351</v>
      </c>
      <c r="G6495" s="18" t="n">
        <v>1100.06</v>
      </c>
      <c r="H6495" s="18" t="n">
        <v>0</v>
      </c>
      <c r="I6495" s="18" t="n">
        <f aca="false">((I6494 + G6495) - H6495)</f>
        <v>106287.84</v>
      </c>
      <c r="J6495" s="18" t="n">
        <v>0</v>
      </c>
      <c r="K6495" s="19" t="n">
        <v>0</v>
      </c>
      <c r="L6495" s="17"/>
    </row>
    <row r="6496" s="11" customFormat="true" ht="10.95" hidden="false" customHeight="true" outlineLevel="0" collapsed="false">
      <c r="A6496" s="16" t="n">
        <v>45253</v>
      </c>
      <c r="B6496" s="17" t="s">
        <v>3369</v>
      </c>
      <c r="C6496" s="17" t="s">
        <v>3370</v>
      </c>
      <c r="D6496" s="17" t="s">
        <v>19</v>
      </c>
      <c r="E6496" s="17" t="s">
        <v>3438</v>
      </c>
      <c r="F6496" s="17" t="s">
        <v>1156</v>
      </c>
      <c r="G6496" s="18" t="n">
        <v>3092.44</v>
      </c>
      <c r="H6496" s="18" t="n">
        <v>0</v>
      </c>
      <c r="I6496" s="18" t="n">
        <f aca="false">((I6495 + G6496) - H6496)</f>
        <v>109380.28</v>
      </c>
      <c r="J6496" s="18" t="n">
        <v>0</v>
      </c>
      <c r="K6496" s="19" t="n">
        <v>0</v>
      </c>
      <c r="L6496" s="17"/>
    </row>
    <row r="6497" s="11" customFormat="true" ht="10.95" hidden="false" customHeight="true" outlineLevel="0" collapsed="false">
      <c r="A6497" s="16" t="n">
        <v>45253</v>
      </c>
      <c r="B6497" s="17" t="s">
        <v>3369</v>
      </c>
      <c r="C6497" s="17" t="s">
        <v>3370</v>
      </c>
      <c r="D6497" s="17" t="s">
        <v>19</v>
      </c>
      <c r="E6497" s="17" t="s">
        <v>3439</v>
      </c>
      <c r="F6497" s="17" t="s">
        <v>352</v>
      </c>
      <c r="G6497" s="18" t="n">
        <v>1052.7</v>
      </c>
      <c r="H6497" s="18" t="n">
        <v>0</v>
      </c>
      <c r="I6497" s="18" t="n">
        <f aca="false">((I6496 + G6497) - H6497)</f>
        <v>110432.98</v>
      </c>
      <c r="J6497" s="18" t="n">
        <v>0</v>
      </c>
      <c r="K6497" s="19" t="n">
        <v>0</v>
      </c>
      <c r="L6497" s="17"/>
    </row>
    <row r="6498" s="11" customFormat="true" ht="10.95" hidden="false" customHeight="true" outlineLevel="0" collapsed="false">
      <c r="A6498" s="16" t="n">
        <v>45253</v>
      </c>
      <c r="B6498" s="17" t="s">
        <v>3369</v>
      </c>
      <c r="C6498" s="17" t="s">
        <v>3370</v>
      </c>
      <c r="D6498" s="17" t="s">
        <v>19</v>
      </c>
      <c r="E6498" s="17" t="s">
        <v>3440</v>
      </c>
      <c r="F6498" s="17" t="s">
        <v>1157</v>
      </c>
      <c r="G6498" s="18" t="n">
        <v>1495.6</v>
      </c>
      <c r="H6498" s="18" t="n">
        <v>0</v>
      </c>
      <c r="I6498" s="18" t="n">
        <f aca="false">((I6497 + G6498) - H6498)</f>
        <v>111928.58</v>
      </c>
      <c r="J6498" s="18" t="n">
        <v>0</v>
      </c>
      <c r="K6498" s="19" t="n">
        <v>0</v>
      </c>
      <c r="L6498" s="17"/>
    </row>
    <row r="6499" s="11" customFormat="true" ht="10.95" hidden="false" customHeight="true" outlineLevel="0" collapsed="false">
      <c r="A6499" s="16" t="n">
        <v>45253</v>
      </c>
      <c r="B6499" s="17" t="s">
        <v>3369</v>
      </c>
      <c r="C6499" s="17" t="s">
        <v>3370</v>
      </c>
      <c r="D6499" s="17" t="s">
        <v>19</v>
      </c>
      <c r="E6499" s="17" t="s">
        <v>3441</v>
      </c>
      <c r="F6499" s="17" t="s">
        <v>1158</v>
      </c>
      <c r="G6499" s="18" t="n">
        <v>180</v>
      </c>
      <c r="H6499" s="18" t="n">
        <v>0</v>
      </c>
      <c r="I6499" s="18" t="n">
        <f aca="false">((I6498 + G6499) - H6499)</f>
        <v>112108.58</v>
      </c>
      <c r="J6499" s="18" t="n">
        <v>0</v>
      </c>
      <c r="K6499" s="19" t="n">
        <v>0</v>
      </c>
      <c r="L6499" s="17"/>
    </row>
    <row r="6500" s="11" customFormat="true" ht="10.95" hidden="false" customHeight="true" outlineLevel="0" collapsed="false">
      <c r="A6500" s="16" t="n">
        <v>45253</v>
      </c>
      <c r="B6500" s="17" t="s">
        <v>3369</v>
      </c>
      <c r="C6500" s="17" t="s">
        <v>3370</v>
      </c>
      <c r="D6500" s="17" t="s">
        <v>19</v>
      </c>
      <c r="E6500" s="17" t="s">
        <v>3443</v>
      </c>
      <c r="F6500" s="17" t="s">
        <v>353</v>
      </c>
      <c r="G6500" s="18" t="n">
        <v>5236</v>
      </c>
      <c r="H6500" s="18" t="n">
        <v>0</v>
      </c>
      <c r="I6500" s="18" t="n">
        <f aca="false">((I6499 + G6500) - H6500)</f>
        <v>117344.58</v>
      </c>
      <c r="J6500" s="18" t="n">
        <v>0</v>
      </c>
      <c r="K6500" s="19" t="n">
        <v>0</v>
      </c>
      <c r="L6500" s="17"/>
    </row>
    <row r="6501" s="11" customFormat="true" ht="10.95" hidden="false" customHeight="true" outlineLevel="0" collapsed="false">
      <c r="A6501" s="16" t="n">
        <v>45253</v>
      </c>
      <c r="B6501" s="17" t="s">
        <v>3369</v>
      </c>
      <c r="C6501" s="17" t="s">
        <v>3370</v>
      </c>
      <c r="D6501" s="17" t="s">
        <v>19</v>
      </c>
      <c r="E6501" s="17" t="s">
        <v>3444</v>
      </c>
      <c r="F6501" s="17" t="s">
        <v>354</v>
      </c>
      <c r="G6501" s="18" t="n">
        <v>968</v>
      </c>
      <c r="H6501" s="18" t="n">
        <v>0</v>
      </c>
      <c r="I6501" s="18" t="n">
        <f aca="false">((I6500 + G6501) - H6501)</f>
        <v>118312.58</v>
      </c>
      <c r="J6501" s="18" t="n">
        <v>0</v>
      </c>
      <c r="K6501" s="19" t="n">
        <v>0</v>
      </c>
      <c r="L6501" s="17"/>
    </row>
    <row r="6502" s="11" customFormat="true" ht="10.95" hidden="false" customHeight="true" outlineLevel="0" collapsed="false">
      <c r="A6502" s="16" t="n">
        <v>45253</v>
      </c>
      <c r="B6502" s="17" t="s">
        <v>3369</v>
      </c>
      <c r="C6502" s="17" t="s">
        <v>3370</v>
      </c>
      <c r="D6502" s="17" t="s">
        <v>19</v>
      </c>
      <c r="E6502" s="17" t="s">
        <v>3494</v>
      </c>
      <c r="F6502" s="17" t="s">
        <v>355</v>
      </c>
      <c r="G6502" s="18" t="n">
        <v>1071.4</v>
      </c>
      <c r="H6502" s="18" t="n">
        <v>0</v>
      </c>
      <c r="I6502" s="18" t="n">
        <f aca="false">((I6501 + G6502) - H6502)</f>
        <v>119383.98</v>
      </c>
      <c r="J6502" s="18" t="n">
        <v>0</v>
      </c>
      <c r="K6502" s="19" t="n">
        <v>0</v>
      </c>
      <c r="L6502" s="17"/>
    </row>
    <row r="6503" s="11" customFormat="true" ht="10.95" hidden="false" customHeight="true" outlineLevel="0" collapsed="false">
      <c r="A6503" s="16" t="n">
        <v>45253</v>
      </c>
      <c r="B6503" s="17" t="s">
        <v>3369</v>
      </c>
      <c r="C6503" s="17" t="s">
        <v>3370</v>
      </c>
      <c r="D6503" s="17" t="s">
        <v>19</v>
      </c>
      <c r="E6503" s="17" t="s">
        <v>3446</v>
      </c>
      <c r="F6503" s="17" t="s">
        <v>356</v>
      </c>
      <c r="G6503" s="18" t="n">
        <v>1861.2</v>
      </c>
      <c r="H6503" s="18" t="n">
        <v>0</v>
      </c>
      <c r="I6503" s="18" t="n">
        <f aca="false">((I6502 + G6503) - H6503)</f>
        <v>121245.18</v>
      </c>
      <c r="J6503" s="18" t="n">
        <v>0</v>
      </c>
      <c r="K6503" s="19" t="n">
        <v>0</v>
      </c>
      <c r="L6503" s="17"/>
    </row>
    <row r="6504" s="11" customFormat="true" ht="10.95" hidden="false" customHeight="true" outlineLevel="0" collapsed="false">
      <c r="A6504" s="16" t="n">
        <v>45253</v>
      </c>
      <c r="B6504" s="17" t="s">
        <v>3369</v>
      </c>
      <c r="C6504" s="17" t="s">
        <v>3370</v>
      </c>
      <c r="D6504" s="17" t="s">
        <v>19</v>
      </c>
      <c r="E6504" s="17" t="s">
        <v>3447</v>
      </c>
      <c r="F6504" s="17" t="s">
        <v>357</v>
      </c>
      <c r="G6504" s="18" t="n">
        <v>618.75</v>
      </c>
      <c r="H6504" s="18" t="n">
        <v>0</v>
      </c>
      <c r="I6504" s="18" t="n">
        <f aca="false">((I6503 + G6504) - H6504)</f>
        <v>121863.93</v>
      </c>
      <c r="J6504" s="18" t="n">
        <v>0</v>
      </c>
      <c r="K6504" s="19" t="n">
        <v>0</v>
      </c>
      <c r="L6504" s="17"/>
    </row>
    <row r="6505" s="11" customFormat="true" ht="10.95" hidden="false" customHeight="true" outlineLevel="0" collapsed="false">
      <c r="A6505" s="16" t="n">
        <v>45253</v>
      </c>
      <c r="B6505" s="17" t="s">
        <v>3369</v>
      </c>
      <c r="C6505" s="17" t="s">
        <v>3370</v>
      </c>
      <c r="D6505" s="17" t="s">
        <v>19</v>
      </c>
      <c r="E6505" s="17" t="s">
        <v>3447</v>
      </c>
      <c r="F6505" s="17" t="s">
        <v>358</v>
      </c>
      <c r="G6505" s="18" t="n">
        <v>827.2</v>
      </c>
      <c r="H6505" s="18" t="n">
        <v>0</v>
      </c>
      <c r="I6505" s="18" t="n">
        <f aca="false">((I6504 + G6505) - H6505)</f>
        <v>122691.13</v>
      </c>
      <c r="J6505" s="18" t="n">
        <v>0</v>
      </c>
      <c r="K6505" s="19" t="n">
        <v>0</v>
      </c>
      <c r="L6505" s="17"/>
    </row>
    <row r="6506" s="11" customFormat="true" ht="10.95" hidden="false" customHeight="true" outlineLevel="0" collapsed="false">
      <c r="A6506" s="16" t="n">
        <v>45253</v>
      </c>
      <c r="B6506" s="17" t="s">
        <v>3369</v>
      </c>
      <c r="C6506" s="17" t="s">
        <v>3370</v>
      </c>
      <c r="D6506" s="17" t="s">
        <v>19</v>
      </c>
      <c r="E6506" s="17" t="s">
        <v>3447</v>
      </c>
      <c r="F6506" s="17" t="s">
        <v>359</v>
      </c>
      <c r="G6506" s="18" t="n">
        <v>638</v>
      </c>
      <c r="H6506" s="18" t="n">
        <v>0</v>
      </c>
      <c r="I6506" s="18" t="n">
        <f aca="false">((I6505 + G6506) - H6506)</f>
        <v>123329.13</v>
      </c>
      <c r="J6506" s="18" t="n">
        <v>0</v>
      </c>
      <c r="K6506" s="19" t="n">
        <v>0</v>
      </c>
      <c r="L6506" s="17"/>
    </row>
    <row r="6507" s="11" customFormat="true" ht="10.95" hidden="false" customHeight="true" outlineLevel="0" collapsed="false">
      <c r="A6507" s="16" t="n">
        <v>45253</v>
      </c>
      <c r="B6507" s="17" t="s">
        <v>3369</v>
      </c>
      <c r="C6507" s="17" t="s">
        <v>3370</v>
      </c>
      <c r="D6507" s="17" t="s">
        <v>19</v>
      </c>
      <c r="E6507" s="17" t="s">
        <v>3447</v>
      </c>
      <c r="F6507" s="17" t="s">
        <v>360</v>
      </c>
      <c r="G6507" s="18" t="n">
        <v>206.8</v>
      </c>
      <c r="H6507" s="18" t="n">
        <v>0</v>
      </c>
      <c r="I6507" s="18" t="n">
        <f aca="false">((I6506 + G6507) - H6507)</f>
        <v>123535.93</v>
      </c>
      <c r="J6507" s="18" t="n">
        <v>0</v>
      </c>
      <c r="K6507" s="19" t="n">
        <v>0</v>
      </c>
      <c r="L6507" s="17"/>
    </row>
    <row r="6508" s="11" customFormat="true" ht="10.95" hidden="false" customHeight="true" outlineLevel="0" collapsed="false">
      <c r="A6508" s="16" t="n">
        <v>45253</v>
      </c>
      <c r="B6508" s="17" t="s">
        <v>3369</v>
      </c>
      <c r="C6508" s="17" t="s">
        <v>3370</v>
      </c>
      <c r="D6508" s="17" t="s">
        <v>19</v>
      </c>
      <c r="E6508" s="17" t="s">
        <v>3447</v>
      </c>
      <c r="F6508" s="17" t="s">
        <v>361</v>
      </c>
      <c r="G6508" s="18" t="n">
        <v>517</v>
      </c>
      <c r="H6508" s="18" t="n">
        <v>0</v>
      </c>
      <c r="I6508" s="18" t="n">
        <f aca="false">((I6507 + G6508) - H6508)</f>
        <v>124052.93</v>
      </c>
      <c r="J6508" s="18" t="n">
        <v>0</v>
      </c>
      <c r="K6508" s="19" t="n">
        <v>0</v>
      </c>
      <c r="L6508" s="17"/>
    </row>
    <row r="6509" s="11" customFormat="true" ht="10.95" hidden="false" customHeight="true" outlineLevel="0" collapsed="false">
      <c r="A6509" s="16" t="n">
        <v>45253</v>
      </c>
      <c r="B6509" s="17" t="s">
        <v>3369</v>
      </c>
      <c r="C6509" s="17" t="s">
        <v>3370</v>
      </c>
      <c r="D6509" s="17" t="s">
        <v>19</v>
      </c>
      <c r="E6509" s="17" t="s">
        <v>3447</v>
      </c>
      <c r="F6509" s="17" t="s">
        <v>362</v>
      </c>
      <c r="G6509" s="18" t="n">
        <v>316.8</v>
      </c>
      <c r="H6509" s="18" t="n">
        <v>0</v>
      </c>
      <c r="I6509" s="18" t="n">
        <f aca="false">((I6508 + G6509) - H6509)</f>
        <v>124369.73</v>
      </c>
      <c r="J6509" s="18" t="n">
        <v>0</v>
      </c>
      <c r="K6509" s="19" t="n">
        <v>0</v>
      </c>
      <c r="L6509" s="17"/>
    </row>
    <row r="6510" s="11" customFormat="true" ht="10.95" hidden="false" customHeight="true" outlineLevel="0" collapsed="false">
      <c r="A6510" s="16" t="n">
        <v>45253</v>
      </c>
      <c r="B6510" s="17" t="s">
        <v>3369</v>
      </c>
      <c r="C6510" s="17" t="s">
        <v>3370</v>
      </c>
      <c r="D6510" s="17" t="s">
        <v>19</v>
      </c>
      <c r="E6510" s="17" t="s">
        <v>3447</v>
      </c>
      <c r="F6510" s="17" t="s">
        <v>363</v>
      </c>
      <c r="G6510" s="18" t="n">
        <v>627</v>
      </c>
      <c r="H6510" s="18" t="n">
        <v>0</v>
      </c>
      <c r="I6510" s="18" t="n">
        <f aca="false">((I6509 + G6510) - H6510)</f>
        <v>124996.73</v>
      </c>
      <c r="J6510" s="18" t="n">
        <v>0</v>
      </c>
      <c r="K6510" s="19" t="n">
        <v>0</v>
      </c>
      <c r="L6510" s="17"/>
    </row>
    <row r="6511" s="11" customFormat="true" ht="10.95" hidden="false" customHeight="true" outlineLevel="0" collapsed="false">
      <c r="A6511" s="16" t="n">
        <v>45253</v>
      </c>
      <c r="B6511" s="17" t="s">
        <v>3369</v>
      </c>
      <c r="C6511" s="17" t="s">
        <v>3370</v>
      </c>
      <c r="D6511" s="17" t="s">
        <v>19</v>
      </c>
      <c r="E6511" s="17" t="s">
        <v>3447</v>
      </c>
      <c r="F6511" s="17" t="s">
        <v>364</v>
      </c>
      <c r="G6511" s="18" t="n">
        <v>1258.4</v>
      </c>
      <c r="H6511" s="18" t="n">
        <v>0</v>
      </c>
      <c r="I6511" s="18" t="n">
        <f aca="false">((I6510 + G6511) - H6511)</f>
        <v>126255.13</v>
      </c>
      <c r="J6511" s="18" t="n">
        <v>0</v>
      </c>
      <c r="K6511" s="19" t="n">
        <v>0</v>
      </c>
      <c r="L6511" s="17"/>
    </row>
    <row r="6512" s="11" customFormat="true" ht="10.95" hidden="false" customHeight="true" outlineLevel="0" collapsed="false">
      <c r="A6512" s="16" t="n">
        <v>45253</v>
      </c>
      <c r="B6512" s="17" t="s">
        <v>3369</v>
      </c>
      <c r="C6512" s="17" t="s">
        <v>3370</v>
      </c>
      <c r="D6512" s="17" t="s">
        <v>19</v>
      </c>
      <c r="E6512" s="17" t="s">
        <v>3447</v>
      </c>
      <c r="F6512" s="17" t="s">
        <v>365</v>
      </c>
      <c r="G6512" s="18" t="n">
        <v>310.2</v>
      </c>
      <c r="H6512" s="18" t="n">
        <v>0</v>
      </c>
      <c r="I6512" s="18" t="n">
        <f aca="false">((I6511 + G6512) - H6512)</f>
        <v>126565.33</v>
      </c>
      <c r="J6512" s="18" t="n">
        <v>0</v>
      </c>
      <c r="K6512" s="19" t="n">
        <v>0</v>
      </c>
      <c r="L6512" s="17"/>
    </row>
    <row r="6513" s="11" customFormat="true" ht="10.95" hidden="false" customHeight="true" outlineLevel="0" collapsed="false">
      <c r="A6513" s="16" t="n">
        <v>45253</v>
      </c>
      <c r="B6513" s="17" t="s">
        <v>3369</v>
      </c>
      <c r="C6513" s="17" t="s">
        <v>3370</v>
      </c>
      <c r="D6513" s="17" t="s">
        <v>19</v>
      </c>
      <c r="E6513" s="17" t="s">
        <v>3447</v>
      </c>
      <c r="F6513" s="17" t="s">
        <v>366</v>
      </c>
      <c r="G6513" s="18" t="n">
        <v>310.2</v>
      </c>
      <c r="H6513" s="18" t="n">
        <v>0</v>
      </c>
      <c r="I6513" s="18" t="n">
        <f aca="false">((I6512 + G6513) - H6513)</f>
        <v>126875.53</v>
      </c>
      <c r="J6513" s="18" t="n">
        <v>0</v>
      </c>
      <c r="K6513" s="19" t="n">
        <v>0</v>
      </c>
      <c r="L6513" s="17"/>
    </row>
    <row r="6514" s="11" customFormat="true" ht="10.95" hidden="false" customHeight="true" outlineLevel="0" collapsed="false">
      <c r="A6514" s="16" t="n">
        <v>45253</v>
      </c>
      <c r="B6514" s="17" t="s">
        <v>3369</v>
      </c>
      <c r="C6514" s="17" t="s">
        <v>3370</v>
      </c>
      <c r="D6514" s="17" t="s">
        <v>19</v>
      </c>
      <c r="E6514" s="17" t="s">
        <v>3447</v>
      </c>
      <c r="F6514" s="17" t="s">
        <v>367</v>
      </c>
      <c r="G6514" s="18" t="n">
        <v>620.4</v>
      </c>
      <c r="H6514" s="18" t="n">
        <v>0</v>
      </c>
      <c r="I6514" s="18" t="n">
        <f aca="false">((I6513 + G6514) - H6514)</f>
        <v>127495.93</v>
      </c>
      <c r="J6514" s="18" t="n">
        <v>0</v>
      </c>
      <c r="K6514" s="19" t="n">
        <v>0</v>
      </c>
      <c r="L6514" s="17"/>
    </row>
    <row r="6515" s="11" customFormat="true" ht="10.95" hidden="false" customHeight="true" outlineLevel="0" collapsed="false">
      <c r="A6515" s="16" t="n">
        <v>45253</v>
      </c>
      <c r="B6515" s="17" t="s">
        <v>3369</v>
      </c>
      <c r="C6515" s="17" t="s">
        <v>3370</v>
      </c>
      <c r="D6515" s="17" t="s">
        <v>19</v>
      </c>
      <c r="E6515" s="17" t="s">
        <v>3447</v>
      </c>
      <c r="F6515" s="17" t="s">
        <v>368</v>
      </c>
      <c r="G6515" s="18" t="n">
        <v>1137.4</v>
      </c>
      <c r="H6515" s="18" t="n">
        <v>0</v>
      </c>
      <c r="I6515" s="18" t="n">
        <f aca="false">((I6514 + G6515) - H6515)</f>
        <v>128633.33</v>
      </c>
      <c r="J6515" s="18" t="n">
        <v>0</v>
      </c>
      <c r="K6515" s="19" t="n">
        <v>0</v>
      </c>
      <c r="L6515" s="17"/>
    </row>
    <row r="6516" s="11" customFormat="true" ht="10.95" hidden="false" customHeight="true" outlineLevel="0" collapsed="false">
      <c r="A6516" s="16" t="n">
        <v>45253</v>
      </c>
      <c r="B6516" s="17" t="s">
        <v>3369</v>
      </c>
      <c r="C6516" s="17" t="s">
        <v>3370</v>
      </c>
      <c r="D6516" s="17" t="s">
        <v>19</v>
      </c>
      <c r="E6516" s="17" t="s">
        <v>3447</v>
      </c>
      <c r="F6516" s="17" t="s">
        <v>369</v>
      </c>
      <c r="G6516" s="18" t="n">
        <v>103.4</v>
      </c>
      <c r="H6516" s="18" t="n">
        <v>0</v>
      </c>
      <c r="I6516" s="18" t="n">
        <f aca="false">((I6515 + G6516) - H6516)</f>
        <v>128736.73</v>
      </c>
      <c r="J6516" s="18" t="n">
        <v>0</v>
      </c>
      <c r="K6516" s="19" t="n">
        <v>0</v>
      </c>
      <c r="L6516" s="17"/>
    </row>
    <row r="6517" s="11" customFormat="true" ht="10.95" hidden="false" customHeight="true" outlineLevel="0" collapsed="false">
      <c r="A6517" s="16" t="n">
        <v>45253</v>
      </c>
      <c r="B6517" s="17" t="s">
        <v>3369</v>
      </c>
      <c r="C6517" s="17" t="s">
        <v>3370</v>
      </c>
      <c r="D6517" s="17" t="s">
        <v>19</v>
      </c>
      <c r="E6517" s="17" t="s">
        <v>3447</v>
      </c>
      <c r="F6517" s="17" t="s">
        <v>370</v>
      </c>
      <c r="G6517" s="18" t="n">
        <v>723.8</v>
      </c>
      <c r="H6517" s="18" t="n">
        <v>0</v>
      </c>
      <c r="I6517" s="18" t="n">
        <f aca="false">((I6516 + G6517) - H6517)</f>
        <v>129460.53</v>
      </c>
      <c r="J6517" s="18" t="n">
        <v>0</v>
      </c>
      <c r="K6517" s="19" t="n">
        <v>0</v>
      </c>
      <c r="L6517" s="17"/>
    </row>
    <row r="6518" s="11" customFormat="true" ht="10.95" hidden="false" customHeight="true" outlineLevel="0" collapsed="false">
      <c r="A6518" s="16" t="n">
        <v>45253</v>
      </c>
      <c r="B6518" s="17" t="s">
        <v>3369</v>
      </c>
      <c r="C6518" s="17" t="s">
        <v>3370</v>
      </c>
      <c r="D6518" s="17" t="s">
        <v>19</v>
      </c>
      <c r="E6518" s="17" t="s">
        <v>3449</v>
      </c>
      <c r="F6518" s="17" t="s">
        <v>850</v>
      </c>
      <c r="G6518" s="18" t="n">
        <v>10418.44</v>
      </c>
      <c r="H6518" s="18" t="n">
        <v>0</v>
      </c>
      <c r="I6518" s="18" t="n">
        <f aca="false">((I6517 + G6518) - H6518)</f>
        <v>139878.97</v>
      </c>
      <c r="J6518" s="18" t="n">
        <v>0</v>
      </c>
      <c r="K6518" s="19" t="n">
        <v>0</v>
      </c>
      <c r="L6518" s="17"/>
    </row>
    <row r="6519" s="11" customFormat="true" ht="10.95" hidden="false" customHeight="true" outlineLevel="0" collapsed="false">
      <c r="A6519" s="16" t="n">
        <v>45253</v>
      </c>
      <c r="B6519" s="17" t="s">
        <v>3369</v>
      </c>
      <c r="C6519" s="17" t="s">
        <v>3370</v>
      </c>
      <c r="D6519" s="17" t="s">
        <v>19</v>
      </c>
      <c r="E6519" s="17" t="s">
        <v>3449</v>
      </c>
      <c r="F6519" s="17" t="s">
        <v>854</v>
      </c>
      <c r="G6519" s="18" t="n">
        <v>5276.55</v>
      </c>
      <c r="H6519" s="18" t="n">
        <v>0</v>
      </c>
      <c r="I6519" s="18" t="n">
        <f aca="false">((I6518 + G6519) - H6519)</f>
        <v>145155.52</v>
      </c>
      <c r="J6519" s="18" t="n">
        <v>0</v>
      </c>
      <c r="K6519" s="19" t="n">
        <v>0</v>
      </c>
      <c r="L6519" s="17"/>
    </row>
    <row r="6520" s="11" customFormat="true" ht="10.95" hidden="false" customHeight="true" outlineLevel="0" collapsed="false">
      <c r="A6520" s="16" t="n">
        <v>45253</v>
      </c>
      <c r="B6520" s="17" t="s">
        <v>3369</v>
      </c>
      <c r="C6520" s="17" t="s">
        <v>3370</v>
      </c>
      <c r="D6520" s="17" t="s">
        <v>19</v>
      </c>
      <c r="E6520" s="17" t="s">
        <v>3449</v>
      </c>
      <c r="F6520" s="17" t="s">
        <v>857</v>
      </c>
      <c r="G6520" s="18" t="n">
        <v>1758.85</v>
      </c>
      <c r="H6520" s="18" t="n">
        <v>0</v>
      </c>
      <c r="I6520" s="18" t="n">
        <f aca="false">((I6519 + G6520) - H6520)</f>
        <v>146914.37</v>
      </c>
      <c r="J6520" s="18" t="n">
        <v>0</v>
      </c>
      <c r="K6520" s="19" t="n">
        <v>0</v>
      </c>
      <c r="L6520" s="17"/>
    </row>
    <row r="6521" s="11" customFormat="true" ht="10.95" hidden="false" customHeight="true" outlineLevel="0" collapsed="false">
      <c r="A6521" s="16" t="n">
        <v>45253</v>
      </c>
      <c r="B6521" s="17" t="s">
        <v>3369</v>
      </c>
      <c r="C6521" s="17" t="s">
        <v>3370</v>
      </c>
      <c r="D6521" s="17" t="s">
        <v>19</v>
      </c>
      <c r="E6521" s="17" t="s">
        <v>3450</v>
      </c>
      <c r="F6521" s="17" t="s">
        <v>1159</v>
      </c>
      <c r="G6521" s="18" t="n">
        <v>265.07</v>
      </c>
      <c r="H6521" s="18" t="n">
        <v>0</v>
      </c>
      <c r="I6521" s="18" t="n">
        <f aca="false">((I6520 + G6521) - H6521)</f>
        <v>147179.44</v>
      </c>
      <c r="J6521" s="18" t="n">
        <v>0</v>
      </c>
      <c r="K6521" s="19" t="n">
        <v>0</v>
      </c>
      <c r="L6521" s="17"/>
    </row>
    <row r="6522" s="11" customFormat="true" ht="10.95" hidden="false" customHeight="true" outlineLevel="0" collapsed="false">
      <c r="A6522" s="16" t="n">
        <v>45253</v>
      </c>
      <c r="B6522" s="17" t="s">
        <v>3369</v>
      </c>
      <c r="C6522" s="17" t="s">
        <v>3370</v>
      </c>
      <c r="D6522" s="17" t="s">
        <v>19</v>
      </c>
      <c r="E6522" s="17" t="s">
        <v>3450</v>
      </c>
      <c r="F6522" s="17" t="s">
        <v>1160</v>
      </c>
      <c r="G6522" s="18" t="n">
        <v>801.18</v>
      </c>
      <c r="H6522" s="18" t="n">
        <v>0</v>
      </c>
      <c r="I6522" s="18" t="n">
        <f aca="false">((I6521 + G6522) - H6522)</f>
        <v>147980.62</v>
      </c>
      <c r="J6522" s="18" t="n">
        <v>0</v>
      </c>
      <c r="K6522" s="19" t="n">
        <v>0</v>
      </c>
      <c r="L6522" s="17"/>
    </row>
    <row r="6523" s="11" customFormat="true" ht="10.95" hidden="false" customHeight="true" outlineLevel="0" collapsed="false">
      <c r="A6523" s="16" t="n">
        <v>45253</v>
      </c>
      <c r="B6523" s="17" t="s">
        <v>3369</v>
      </c>
      <c r="C6523" s="17" t="s">
        <v>3370</v>
      </c>
      <c r="D6523" s="17" t="s">
        <v>19</v>
      </c>
      <c r="E6523" s="17" t="s">
        <v>3450</v>
      </c>
      <c r="F6523" s="17" t="s">
        <v>1161</v>
      </c>
      <c r="G6523" s="18" t="n">
        <v>1742.26</v>
      </c>
      <c r="H6523" s="18" t="n">
        <v>0</v>
      </c>
      <c r="I6523" s="18" t="n">
        <f aca="false">((I6522 + G6523) - H6523)</f>
        <v>149722.88</v>
      </c>
      <c r="J6523" s="18" t="n">
        <v>0</v>
      </c>
      <c r="K6523" s="19" t="n">
        <v>0</v>
      </c>
      <c r="L6523" s="17"/>
    </row>
    <row r="6524" s="11" customFormat="true" ht="10.95" hidden="false" customHeight="true" outlineLevel="0" collapsed="false">
      <c r="A6524" s="16" t="n">
        <v>45253</v>
      </c>
      <c r="B6524" s="17" t="s">
        <v>3369</v>
      </c>
      <c r="C6524" s="17" t="s">
        <v>3370</v>
      </c>
      <c r="D6524" s="17" t="s">
        <v>19</v>
      </c>
      <c r="E6524" s="17" t="s">
        <v>3450</v>
      </c>
      <c r="F6524" s="17" t="s">
        <v>1162</v>
      </c>
      <c r="G6524" s="18" t="n">
        <v>1001.8</v>
      </c>
      <c r="H6524" s="18" t="n">
        <v>0</v>
      </c>
      <c r="I6524" s="18" t="n">
        <f aca="false">((I6523 + G6524) - H6524)</f>
        <v>150724.68</v>
      </c>
      <c r="J6524" s="18" t="n">
        <v>0</v>
      </c>
      <c r="K6524" s="19" t="n">
        <v>0</v>
      </c>
      <c r="L6524" s="17"/>
    </row>
    <row r="6525" s="11" customFormat="true" ht="10.95" hidden="false" customHeight="true" outlineLevel="0" collapsed="false">
      <c r="A6525" s="16" t="n">
        <v>45253</v>
      </c>
      <c r="B6525" s="17" t="s">
        <v>3369</v>
      </c>
      <c r="C6525" s="17" t="s">
        <v>3370</v>
      </c>
      <c r="D6525" s="17" t="s">
        <v>19</v>
      </c>
      <c r="E6525" s="17" t="s">
        <v>3450</v>
      </c>
      <c r="F6525" s="17" t="s">
        <v>1163</v>
      </c>
      <c r="G6525" s="18" t="n">
        <v>1903.29</v>
      </c>
      <c r="H6525" s="18" t="n">
        <v>0</v>
      </c>
      <c r="I6525" s="18" t="n">
        <f aca="false">((I6524 + G6525) - H6525)</f>
        <v>152627.97</v>
      </c>
      <c r="J6525" s="18" t="n">
        <v>0</v>
      </c>
      <c r="K6525" s="19" t="n">
        <v>0</v>
      </c>
      <c r="L6525" s="17"/>
    </row>
    <row r="6526" s="11" customFormat="true" ht="10.95" hidden="false" customHeight="true" outlineLevel="0" collapsed="false">
      <c r="A6526" s="16" t="n">
        <v>45253</v>
      </c>
      <c r="B6526" s="17" t="s">
        <v>3369</v>
      </c>
      <c r="C6526" s="17" t="s">
        <v>3370</v>
      </c>
      <c r="D6526" s="17" t="s">
        <v>19</v>
      </c>
      <c r="E6526" s="17" t="s">
        <v>3450</v>
      </c>
      <c r="F6526" s="17" t="s">
        <v>1164</v>
      </c>
      <c r="G6526" s="18" t="n">
        <v>132.53</v>
      </c>
      <c r="H6526" s="18" t="n">
        <v>0</v>
      </c>
      <c r="I6526" s="18" t="n">
        <f aca="false">((I6525 + G6526) - H6526)</f>
        <v>152760.5</v>
      </c>
      <c r="J6526" s="18" t="n">
        <v>0</v>
      </c>
      <c r="K6526" s="19" t="n">
        <v>0</v>
      </c>
      <c r="L6526" s="17"/>
    </row>
    <row r="6527" s="11" customFormat="true" ht="10.95" hidden="false" customHeight="true" outlineLevel="0" collapsed="false">
      <c r="A6527" s="16" t="n">
        <v>45253</v>
      </c>
      <c r="B6527" s="17" t="s">
        <v>3369</v>
      </c>
      <c r="C6527" s="17" t="s">
        <v>3370</v>
      </c>
      <c r="D6527" s="17" t="s">
        <v>19</v>
      </c>
      <c r="E6527" s="17" t="s">
        <v>3450</v>
      </c>
      <c r="F6527" s="17" t="s">
        <v>1165</v>
      </c>
      <c r="G6527" s="18" t="n">
        <v>1011.01</v>
      </c>
      <c r="H6527" s="18" t="n">
        <v>0</v>
      </c>
      <c r="I6527" s="18" t="n">
        <f aca="false">((I6526 + G6527) - H6527)</f>
        <v>153771.51</v>
      </c>
      <c r="J6527" s="18" t="n">
        <v>0</v>
      </c>
      <c r="K6527" s="19" t="n">
        <v>0</v>
      </c>
      <c r="L6527" s="17"/>
    </row>
    <row r="6528" s="11" customFormat="true" ht="10.95" hidden="false" customHeight="true" outlineLevel="0" collapsed="false">
      <c r="A6528" s="16" t="n">
        <v>45253</v>
      </c>
      <c r="B6528" s="17" t="s">
        <v>3369</v>
      </c>
      <c r="C6528" s="17" t="s">
        <v>3370</v>
      </c>
      <c r="D6528" s="17" t="s">
        <v>19</v>
      </c>
      <c r="E6528" s="17" t="s">
        <v>3450</v>
      </c>
      <c r="F6528" s="17" t="s">
        <v>1167</v>
      </c>
      <c r="G6528" s="18" t="n">
        <v>523.91</v>
      </c>
      <c r="H6528" s="18" t="n">
        <v>0</v>
      </c>
      <c r="I6528" s="18" t="n">
        <f aca="false">((I6527 + G6528) - H6528)</f>
        <v>154295.42</v>
      </c>
      <c r="J6528" s="18" t="n">
        <v>0</v>
      </c>
      <c r="K6528" s="19" t="n">
        <v>0</v>
      </c>
      <c r="L6528" s="17"/>
    </row>
    <row r="6529" s="11" customFormat="true" ht="10.95" hidden="false" customHeight="true" outlineLevel="0" collapsed="false">
      <c r="A6529" s="16" t="n">
        <v>45253</v>
      </c>
      <c r="B6529" s="17" t="s">
        <v>3369</v>
      </c>
      <c r="C6529" s="17" t="s">
        <v>3370</v>
      </c>
      <c r="D6529" s="17" t="s">
        <v>19</v>
      </c>
      <c r="E6529" s="17" t="s">
        <v>3451</v>
      </c>
      <c r="F6529" s="17" t="s">
        <v>371</v>
      </c>
      <c r="G6529" s="18" t="n">
        <v>1278.2</v>
      </c>
      <c r="H6529" s="18" t="n">
        <v>0</v>
      </c>
      <c r="I6529" s="18" t="n">
        <f aca="false">((I6528 + G6529) - H6529)</f>
        <v>155573.62</v>
      </c>
      <c r="J6529" s="18" t="n">
        <v>0</v>
      </c>
      <c r="K6529" s="19" t="n">
        <v>0</v>
      </c>
      <c r="L6529" s="17"/>
    </row>
    <row r="6530" s="11" customFormat="true" ht="10.95" hidden="false" customHeight="true" outlineLevel="0" collapsed="false">
      <c r="A6530" s="16" t="n">
        <v>45253</v>
      </c>
      <c r="B6530" s="17" t="s">
        <v>3369</v>
      </c>
      <c r="C6530" s="17" t="s">
        <v>3370</v>
      </c>
      <c r="D6530" s="17" t="s">
        <v>19</v>
      </c>
      <c r="E6530" s="17" t="s">
        <v>3454</v>
      </c>
      <c r="F6530" s="17" t="s">
        <v>372</v>
      </c>
      <c r="G6530" s="18" t="n">
        <v>18112.77</v>
      </c>
      <c r="H6530" s="18" t="n">
        <v>0</v>
      </c>
      <c r="I6530" s="18" t="n">
        <f aca="false">((I6529 + G6530) - H6530)</f>
        <v>173686.39</v>
      </c>
      <c r="J6530" s="18" t="n">
        <v>0</v>
      </c>
      <c r="K6530" s="19" t="n">
        <v>0</v>
      </c>
      <c r="L6530" s="17"/>
    </row>
    <row r="6531" s="11" customFormat="true" ht="10.95" hidden="false" customHeight="true" outlineLevel="0" collapsed="false">
      <c r="A6531" s="16" t="n">
        <v>45253</v>
      </c>
      <c r="B6531" s="17" t="s">
        <v>3369</v>
      </c>
      <c r="C6531" s="17" t="s">
        <v>3370</v>
      </c>
      <c r="D6531" s="17" t="s">
        <v>19</v>
      </c>
      <c r="E6531" s="17" t="s">
        <v>3450</v>
      </c>
      <c r="F6531" s="17" t="s">
        <v>1169</v>
      </c>
      <c r="G6531" s="18" t="n">
        <v>1325.37</v>
      </c>
      <c r="H6531" s="18" t="n">
        <v>0</v>
      </c>
      <c r="I6531" s="18" t="n">
        <f aca="false">((I6530 + G6531) - H6531)</f>
        <v>175011.76</v>
      </c>
      <c r="J6531" s="18" t="n">
        <v>0</v>
      </c>
      <c r="K6531" s="19" t="n">
        <v>0</v>
      </c>
      <c r="L6531" s="17"/>
    </row>
    <row r="6532" s="11" customFormat="true" ht="10.95" hidden="false" customHeight="true" outlineLevel="0" collapsed="false">
      <c r="A6532" s="16" t="n">
        <v>45253</v>
      </c>
      <c r="B6532" s="17" t="s">
        <v>3369</v>
      </c>
      <c r="C6532" s="17" t="s">
        <v>3370</v>
      </c>
      <c r="D6532" s="17" t="s">
        <v>19</v>
      </c>
      <c r="E6532" s="17" t="s">
        <v>3442</v>
      </c>
      <c r="F6532" s="17" t="s">
        <v>376</v>
      </c>
      <c r="G6532" s="18" t="n">
        <v>9999</v>
      </c>
      <c r="H6532" s="18" t="n">
        <v>0</v>
      </c>
      <c r="I6532" s="18" t="n">
        <f aca="false">((I6531 + G6532) - H6532)</f>
        <v>185010.76</v>
      </c>
      <c r="J6532" s="18" t="n">
        <v>0</v>
      </c>
      <c r="K6532" s="19" t="n">
        <v>0</v>
      </c>
      <c r="L6532" s="17"/>
    </row>
    <row r="6533" s="11" customFormat="true" ht="10.95" hidden="false" customHeight="true" outlineLevel="0" collapsed="false">
      <c r="A6533" s="16" t="n">
        <v>45253</v>
      </c>
      <c r="B6533" s="17" t="s">
        <v>3369</v>
      </c>
      <c r="C6533" s="17" t="s">
        <v>3370</v>
      </c>
      <c r="D6533" s="17" t="s">
        <v>2895</v>
      </c>
      <c r="E6533" s="17" t="s">
        <v>3453</v>
      </c>
      <c r="F6533" s="17" t="s">
        <v>340</v>
      </c>
      <c r="G6533" s="18" t="n">
        <v>0</v>
      </c>
      <c r="H6533" s="18" t="n">
        <v>93.5</v>
      </c>
      <c r="I6533" s="18" t="n">
        <f aca="false">((I6532 + G6533) - H6533)</f>
        <v>184917.26</v>
      </c>
      <c r="J6533" s="18" t="n">
        <v>0</v>
      </c>
      <c r="K6533" s="19" t="n">
        <v>0</v>
      </c>
      <c r="L6533" s="17"/>
    </row>
    <row r="6534" s="11" customFormat="true" ht="10.95" hidden="false" customHeight="true" outlineLevel="0" collapsed="false">
      <c r="A6534" s="16" t="n">
        <v>45253</v>
      </c>
      <c r="B6534" s="17" t="s">
        <v>3369</v>
      </c>
      <c r="C6534" s="17" t="s">
        <v>3370</v>
      </c>
      <c r="D6534" s="17" t="s">
        <v>19</v>
      </c>
      <c r="E6534" s="17" t="s">
        <v>3409</v>
      </c>
      <c r="F6534" s="17" t="s">
        <v>858</v>
      </c>
      <c r="G6534" s="18" t="n">
        <v>16741.9</v>
      </c>
      <c r="H6534" s="18" t="n">
        <v>0</v>
      </c>
      <c r="I6534" s="18" t="n">
        <f aca="false">((I6533 + G6534) - H6534)</f>
        <v>201659.16</v>
      </c>
      <c r="J6534" s="18" t="n">
        <v>0</v>
      </c>
      <c r="K6534" s="19" t="n">
        <v>0</v>
      </c>
      <c r="L6534" s="17"/>
    </row>
    <row r="6535" s="11" customFormat="true" ht="10.95" hidden="false" customHeight="true" outlineLevel="0" collapsed="false">
      <c r="A6535" s="16" t="n">
        <v>45253</v>
      </c>
      <c r="B6535" s="17" t="s">
        <v>3369</v>
      </c>
      <c r="C6535" s="17" t="s">
        <v>3370</v>
      </c>
      <c r="D6535" s="17" t="s">
        <v>19</v>
      </c>
      <c r="E6535" s="17" t="s">
        <v>3447</v>
      </c>
      <c r="F6535" s="17" t="s">
        <v>377</v>
      </c>
      <c r="G6535" s="18" t="n">
        <v>1967.9</v>
      </c>
      <c r="H6535" s="18" t="n">
        <v>0</v>
      </c>
      <c r="I6535" s="18" t="n">
        <f aca="false">((I6534 + G6535) - H6535)</f>
        <v>203627.06</v>
      </c>
      <c r="J6535" s="18" t="n">
        <v>0</v>
      </c>
      <c r="K6535" s="19" t="n">
        <v>0</v>
      </c>
      <c r="L6535" s="17"/>
    </row>
    <row r="6536" s="11" customFormat="true" ht="10.95" hidden="false" customHeight="true" outlineLevel="0" collapsed="false">
      <c r="A6536" s="16" t="n">
        <v>45253</v>
      </c>
      <c r="B6536" s="17" t="s">
        <v>3369</v>
      </c>
      <c r="C6536" s="17" t="s">
        <v>3370</v>
      </c>
      <c r="D6536" s="17" t="s">
        <v>19</v>
      </c>
      <c r="E6536" s="17" t="s">
        <v>3495</v>
      </c>
      <c r="F6536" s="17" t="s">
        <v>1170</v>
      </c>
      <c r="G6536" s="18" t="n">
        <v>10162.61</v>
      </c>
      <c r="H6536" s="18" t="n">
        <v>0</v>
      </c>
      <c r="I6536" s="18" t="n">
        <f aca="false">((I6535 + G6536) - H6536)</f>
        <v>213789.67</v>
      </c>
      <c r="J6536" s="18" t="n">
        <v>0</v>
      </c>
      <c r="K6536" s="19" t="n">
        <v>0</v>
      </c>
      <c r="L6536" s="17"/>
    </row>
    <row r="6537" s="11" customFormat="true" ht="10.95" hidden="false" customHeight="true" outlineLevel="0" collapsed="false">
      <c r="A6537" s="16" t="n">
        <v>45253</v>
      </c>
      <c r="B6537" s="17" t="s">
        <v>3369</v>
      </c>
      <c r="C6537" s="17" t="s">
        <v>3370</v>
      </c>
      <c r="D6537" s="17" t="s">
        <v>19</v>
      </c>
      <c r="E6537" s="17" t="s">
        <v>3430</v>
      </c>
      <c r="F6537" s="17" t="s">
        <v>860</v>
      </c>
      <c r="G6537" s="18" t="n">
        <v>1837.71</v>
      </c>
      <c r="H6537" s="18" t="n">
        <v>0</v>
      </c>
      <c r="I6537" s="18" t="n">
        <f aca="false">((I6536 + G6537) - H6537)</f>
        <v>215627.38</v>
      </c>
      <c r="J6537" s="18" t="n">
        <v>0</v>
      </c>
      <c r="K6537" s="19" t="n">
        <v>0</v>
      </c>
      <c r="L6537" s="17"/>
    </row>
    <row r="6538" s="11" customFormat="true" ht="10.95" hidden="false" customHeight="true" outlineLevel="0" collapsed="false">
      <c r="A6538" s="16" t="n">
        <v>45253</v>
      </c>
      <c r="B6538" s="17" t="s">
        <v>3369</v>
      </c>
      <c r="C6538" s="17" t="s">
        <v>3370</v>
      </c>
      <c r="D6538" s="17" t="s">
        <v>19</v>
      </c>
      <c r="E6538" s="17" t="s">
        <v>3409</v>
      </c>
      <c r="F6538" s="17" t="s">
        <v>862</v>
      </c>
      <c r="G6538" s="18" t="n">
        <v>32937.61</v>
      </c>
      <c r="H6538" s="18" t="n">
        <v>0</v>
      </c>
      <c r="I6538" s="18" t="n">
        <f aca="false">((I6537 + G6538) - H6538)</f>
        <v>248564.99</v>
      </c>
      <c r="J6538" s="18" t="n">
        <v>0</v>
      </c>
      <c r="K6538" s="19" t="n">
        <v>0</v>
      </c>
      <c r="L6538" s="17"/>
    </row>
    <row r="6539" s="11" customFormat="true" ht="10.95" hidden="false" customHeight="true" outlineLevel="0" collapsed="false">
      <c r="A6539" s="16" t="n">
        <v>45253</v>
      </c>
      <c r="B6539" s="17" t="s">
        <v>3369</v>
      </c>
      <c r="C6539" s="17" t="s">
        <v>3370</v>
      </c>
      <c r="D6539" s="17" t="s">
        <v>19</v>
      </c>
      <c r="E6539" s="17" t="s">
        <v>3447</v>
      </c>
      <c r="F6539" s="17" t="s">
        <v>378</v>
      </c>
      <c r="G6539" s="18" t="n">
        <v>1568.05</v>
      </c>
      <c r="H6539" s="18" t="n">
        <v>0</v>
      </c>
      <c r="I6539" s="18" t="n">
        <f aca="false">((I6538 + G6539) - H6539)</f>
        <v>250133.04</v>
      </c>
      <c r="J6539" s="18" t="n">
        <v>0</v>
      </c>
      <c r="K6539" s="19" t="n">
        <v>0</v>
      </c>
      <c r="L6539" s="17"/>
    </row>
    <row r="6540" s="11" customFormat="true" ht="10.95" hidden="false" customHeight="true" outlineLevel="0" collapsed="false">
      <c r="A6540" s="16" t="n">
        <v>45254</v>
      </c>
      <c r="B6540" s="17" t="s">
        <v>3369</v>
      </c>
      <c r="C6540" s="17" t="s">
        <v>3370</v>
      </c>
      <c r="D6540" s="17" t="s">
        <v>19</v>
      </c>
      <c r="E6540" s="17" t="s">
        <v>3381</v>
      </c>
      <c r="F6540" s="17" t="s">
        <v>941</v>
      </c>
      <c r="G6540" s="18" t="n">
        <v>5986.78</v>
      </c>
      <c r="H6540" s="18" t="n">
        <v>0</v>
      </c>
      <c r="I6540" s="18" t="n">
        <f aca="false">((I6539 + G6540) - H6540)</f>
        <v>256119.82</v>
      </c>
      <c r="J6540" s="18" t="n">
        <v>0</v>
      </c>
      <c r="K6540" s="19" t="n">
        <v>0</v>
      </c>
      <c r="L6540" s="17"/>
    </row>
    <row r="6541" s="11" customFormat="true" ht="10.95" hidden="false" customHeight="true" outlineLevel="0" collapsed="false">
      <c r="A6541" s="16" t="n">
        <v>45254</v>
      </c>
      <c r="B6541" s="17" t="s">
        <v>3369</v>
      </c>
      <c r="C6541" s="17" t="s">
        <v>3370</v>
      </c>
      <c r="D6541" s="17" t="s">
        <v>2895</v>
      </c>
      <c r="E6541" s="17" t="s">
        <v>3480</v>
      </c>
      <c r="F6541" s="17" t="s">
        <v>1144</v>
      </c>
      <c r="G6541" s="18" t="n">
        <v>0</v>
      </c>
      <c r="H6541" s="18" t="n">
        <v>180</v>
      </c>
      <c r="I6541" s="18" t="n">
        <f aca="false">((I6540 + G6541) - H6541)</f>
        <v>255939.82</v>
      </c>
      <c r="J6541" s="18" t="n">
        <v>0</v>
      </c>
      <c r="K6541" s="19" t="n">
        <v>0</v>
      </c>
      <c r="L6541" s="17"/>
    </row>
    <row r="6542" s="11" customFormat="true" ht="10.95" hidden="false" customHeight="true" outlineLevel="0" collapsed="false">
      <c r="A6542" s="16" t="n">
        <v>45257</v>
      </c>
      <c r="B6542" s="17" t="s">
        <v>3369</v>
      </c>
      <c r="C6542" s="17" t="s">
        <v>3370</v>
      </c>
      <c r="D6542" s="17" t="s">
        <v>2895</v>
      </c>
      <c r="E6542" s="17" t="s">
        <v>2934</v>
      </c>
      <c r="F6542" s="17" t="s">
        <v>941</v>
      </c>
      <c r="G6542" s="18" t="n">
        <v>0</v>
      </c>
      <c r="H6542" s="18" t="n">
        <v>3019.33</v>
      </c>
      <c r="I6542" s="18" t="n">
        <f aca="false">((I6541 + G6542) - H6542)</f>
        <v>252920.49</v>
      </c>
      <c r="J6542" s="18" t="n">
        <v>0</v>
      </c>
      <c r="K6542" s="19" t="n">
        <v>0</v>
      </c>
      <c r="L6542" s="17"/>
    </row>
    <row r="6543" s="11" customFormat="true" ht="10.95" hidden="false" customHeight="true" outlineLevel="0" collapsed="false">
      <c r="A6543" s="16" t="n">
        <v>45257</v>
      </c>
      <c r="B6543" s="17" t="s">
        <v>3369</v>
      </c>
      <c r="C6543" s="17" t="s">
        <v>3370</v>
      </c>
      <c r="D6543" s="17" t="s">
        <v>2895</v>
      </c>
      <c r="E6543" s="17" t="s">
        <v>3498</v>
      </c>
      <c r="F6543" s="17" t="s">
        <v>350</v>
      </c>
      <c r="G6543" s="18" t="n">
        <v>0</v>
      </c>
      <c r="H6543" s="18" t="n">
        <v>561</v>
      </c>
      <c r="I6543" s="18" t="n">
        <f aca="false">((I6542 + G6543) - H6543)</f>
        <v>252359.49</v>
      </c>
      <c r="J6543" s="18" t="n">
        <v>0</v>
      </c>
      <c r="K6543" s="19" t="n">
        <v>0</v>
      </c>
      <c r="L6543" s="17"/>
    </row>
    <row r="6544" s="11" customFormat="true" ht="10.95" hidden="false" customHeight="true" outlineLevel="0" collapsed="false">
      <c r="A6544" s="16" t="n">
        <v>45257</v>
      </c>
      <c r="B6544" s="17" t="s">
        <v>3369</v>
      </c>
      <c r="C6544" s="17" t="s">
        <v>3370</v>
      </c>
      <c r="D6544" s="17" t="s">
        <v>2895</v>
      </c>
      <c r="E6544" s="17" t="s">
        <v>3378</v>
      </c>
      <c r="F6544" s="17" t="s">
        <v>336</v>
      </c>
      <c r="G6544" s="18" t="n">
        <v>0</v>
      </c>
      <c r="H6544" s="18" t="n">
        <v>413.6</v>
      </c>
      <c r="I6544" s="18" t="n">
        <f aca="false">((I6543 + G6544) - H6544)</f>
        <v>251945.89</v>
      </c>
      <c r="J6544" s="18" t="n">
        <v>0</v>
      </c>
      <c r="K6544" s="19" t="n">
        <v>0</v>
      </c>
      <c r="L6544" s="17"/>
    </row>
    <row r="6545" s="11" customFormat="true" ht="10.95" hidden="false" customHeight="true" outlineLevel="0" collapsed="false">
      <c r="A6545" s="16" t="n">
        <v>45258</v>
      </c>
      <c r="B6545" s="17" t="s">
        <v>3369</v>
      </c>
      <c r="C6545" s="17" t="s">
        <v>3370</v>
      </c>
      <c r="D6545" s="17" t="s">
        <v>2895</v>
      </c>
      <c r="E6545" s="17" t="s">
        <v>3497</v>
      </c>
      <c r="F6545" s="17" t="s">
        <v>355</v>
      </c>
      <c r="G6545" s="18" t="n">
        <v>0</v>
      </c>
      <c r="H6545" s="18" t="n">
        <v>1071.4</v>
      </c>
      <c r="I6545" s="18" t="n">
        <f aca="false">((I6544 + G6545) - H6545)</f>
        <v>250874.49</v>
      </c>
      <c r="J6545" s="18" t="n">
        <v>0</v>
      </c>
      <c r="K6545" s="19" t="n">
        <v>0</v>
      </c>
      <c r="L6545" s="17"/>
    </row>
    <row r="6546" s="11" customFormat="true" ht="10.95" hidden="false" customHeight="true" outlineLevel="0" collapsed="false">
      <c r="A6546" s="16" t="n">
        <v>45259</v>
      </c>
      <c r="B6546" s="17" t="s">
        <v>3369</v>
      </c>
      <c r="C6546" s="17" t="s">
        <v>3370</v>
      </c>
      <c r="D6546" s="17" t="s">
        <v>2895</v>
      </c>
      <c r="E6546" s="17" t="s">
        <v>3467</v>
      </c>
      <c r="F6546" s="17" t="s">
        <v>339</v>
      </c>
      <c r="G6546" s="18" t="n">
        <v>0</v>
      </c>
      <c r="H6546" s="18" t="n">
        <v>919.6</v>
      </c>
      <c r="I6546" s="18" t="n">
        <f aca="false">((I6545 + G6546) - H6546)</f>
        <v>249954.89</v>
      </c>
      <c r="J6546" s="18" t="n">
        <v>0</v>
      </c>
      <c r="K6546" s="19" t="n">
        <v>0</v>
      </c>
      <c r="L6546" s="17"/>
    </row>
    <row r="6547" s="11" customFormat="true" ht="10.95" hidden="false" customHeight="true" outlineLevel="0" collapsed="false">
      <c r="A6547" s="16" t="n">
        <v>45259</v>
      </c>
      <c r="B6547" s="17" t="s">
        <v>3369</v>
      </c>
      <c r="C6547" s="17" t="s">
        <v>3370</v>
      </c>
      <c r="D6547" s="17" t="s">
        <v>2895</v>
      </c>
      <c r="E6547" s="17" t="s">
        <v>3384</v>
      </c>
      <c r="F6547" s="17" t="s">
        <v>833</v>
      </c>
      <c r="G6547" s="18" t="n">
        <v>0</v>
      </c>
      <c r="H6547" s="18" t="n">
        <v>2194.5</v>
      </c>
      <c r="I6547" s="18" t="n">
        <f aca="false">((I6546 + G6547) - H6547)</f>
        <v>247760.39</v>
      </c>
      <c r="J6547" s="18" t="n">
        <v>0</v>
      </c>
      <c r="K6547" s="19" t="n">
        <v>0</v>
      </c>
      <c r="L6547" s="17"/>
    </row>
    <row r="6548" s="11" customFormat="true" ht="10.95" hidden="false" customHeight="true" outlineLevel="0" collapsed="false">
      <c r="A6548" s="16" t="n">
        <v>45259</v>
      </c>
      <c r="B6548" s="17" t="s">
        <v>3369</v>
      </c>
      <c r="C6548" s="17" t="s">
        <v>3370</v>
      </c>
      <c r="D6548" s="17" t="s">
        <v>2895</v>
      </c>
      <c r="E6548" s="17" t="s">
        <v>3384</v>
      </c>
      <c r="F6548" s="17" t="s">
        <v>832</v>
      </c>
      <c r="G6548" s="18" t="n">
        <v>0</v>
      </c>
      <c r="H6548" s="18" t="n">
        <v>2821.5</v>
      </c>
      <c r="I6548" s="18" t="n">
        <f aca="false">((I6547 + G6548) - H6548)</f>
        <v>244938.89</v>
      </c>
      <c r="J6548" s="18" t="n">
        <v>0</v>
      </c>
      <c r="K6548" s="19" t="n">
        <v>0</v>
      </c>
      <c r="L6548" s="17"/>
    </row>
    <row r="6549" s="11" customFormat="true" ht="10.95" hidden="false" customHeight="true" outlineLevel="0" collapsed="false">
      <c r="A6549" s="16" t="n">
        <v>45259</v>
      </c>
      <c r="B6549" s="17" t="s">
        <v>3369</v>
      </c>
      <c r="C6549" s="17" t="s">
        <v>3370</v>
      </c>
      <c r="D6549" s="17" t="s">
        <v>2895</v>
      </c>
      <c r="E6549" s="17" t="s">
        <v>3384</v>
      </c>
      <c r="F6549" s="17" t="s">
        <v>835</v>
      </c>
      <c r="G6549" s="18" t="n">
        <v>0</v>
      </c>
      <c r="H6549" s="18" t="n">
        <v>1672</v>
      </c>
      <c r="I6549" s="18" t="n">
        <f aca="false">((I6548 + G6549) - H6549)</f>
        <v>243266.89</v>
      </c>
      <c r="J6549" s="18" t="n">
        <v>0</v>
      </c>
      <c r="K6549" s="19" t="n">
        <v>0</v>
      </c>
      <c r="L6549" s="17"/>
    </row>
    <row r="6550" s="11" customFormat="true" ht="10.95" hidden="false" customHeight="true" outlineLevel="0" collapsed="false">
      <c r="A6550" s="16" t="n">
        <v>45259</v>
      </c>
      <c r="B6550" s="17" t="s">
        <v>3369</v>
      </c>
      <c r="C6550" s="17" t="s">
        <v>3370</v>
      </c>
      <c r="D6550" s="17" t="s">
        <v>2895</v>
      </c>
      <c r="E6550" s="17" t="s">
        <v>3384</v>
      </c>
      <c r="F6550" s="17" t="s">
        <v>834</v>
      </c>
      <c r="G6550" s="18" t="n">
        <v>0</v>
      </c>
      <c r="H6550" s="18" t="n">
        <v>1001</v>
      </c>
      <c r="I6550" s="18" t="n">
        <f aca="false">((I6549 + G6550) - H6550)</f>
        <v>242265.89</v>
      </c>
      <c r="J6550" s="18" t="n">
        <v>0</v>
      </c>
      <c r="K6550" s="19" t="n">
        <v>0</v>
      </c>
      <c r="L6550" s="17"/>
    </row>
    <row r="6551" s="11" customFormat="true" ht="10.95" hidden="false" customHeight="true" outlineLevel="0" collapsed="false">
      <c r="A6551" s="16" t="n">
        <v>45259</v>
      </c>
      <c r="B6551" s="17" t="s">
        <v>3369</v>
      </c>
      <c r="C6551" s="17" t="s">
        <v>3370</v>
      </c>
      <c r="D6551" s="17" t="s">
        <v>2895</v>
      </c>
      <c r="E6551" s="17" t="s">
        <v>3496</v>
      </c>
      <c r="F6551" s="17" t="s">
        <v>343</v>
      </c>
      <c r="G6551" s="18" t="n">
        <v>0</v>
      </c>
      <c r="H6551" s="18" t="n">
        <v>5184.3</v>
      </c>
      <c r="I6551" s="18" t="n">
        <f aca="false">((I6550 + G6551) - H6551)</f>
        <v>237081.59</v>
      </c>
      <c r="J6551" s="18" t="n">
        <v>0</v>
      </c>
      <c r="K6551" s="19" t="n">
        <v>0</v>
      </c>
      <c r="L6551" s="17"/>
    </row>
    <row r="6552" s="11" customFormat="true" ht="10.95" hidden="false" customHeight="true" outlineLevel="0" collapsed="false">
      <c r="A6552" s="16" t="n">
        <v>45259</v>
      </c>
      <c r="B6552" s="17" t="s">
        <v>3369</v>
      </c>
      <c r="C6552" s="17" t="s">
        <v>3370</v>
      </c>
      <c r="D6552" s="17" t="s">
        <v>2895</v>
      </c>
      <c r="E6552" s="17" t="s">
        <v>3466</v>
      </c>
      <c r="F6552" s="17" t="s">
        <v>346</v>
      </c>
      <c r="G6552" s="18" t="n">
        <v>0</v>
      </c>
      <c r="H6552" s="18" t="n">
        <v>396</v>
      </c>
      <c r="I6552" s="18" t="n">
        <f aca="false">((I6551 + G6552) - H6552)</f>
        <v>236685.59</v>
      </c>
      <c r="J6552" s="18" t="n">
        <v>0</v>
      </c>
      <c r="K6552" s="19" t="n">
        <v>0</v>
      </c>
      <c r="L6552" s="17"/>
    </row>
    <row r="6553" s="11" customFormat="true" ht="10.95" hidden="false" customHeight="true" outlineLevel="0" collapsed="false">
      <c r="A6553" s="16" t="n">
        <v>45259</v>
      </c>
      <c r="B6553" s="17" t="s">
        <v>3369</v>
      </c>
      <c r="C6553" s="17" t="s">
        <v>3370</v>
      </c>
      <c r="D6553" s="17" t="s">
        <v>2895</v>
      </c>
      <c r="E6553" s="17" t="s">
        <v>3505</v>
      </c>
      <c r="F6553" s="17" t="s">
        <v>333</v>
      </c>
      <c r="G6553" s="18" t="n">
        <v>0</v>
      </c>
      <c r="H6553" s="18" t="n">
        <v>157.3</v>
      </c>
      <c r="I6553" s="18" t="n">
        <f aca="false">((I6552 + G6553) - H6553)</f>
        <v>236528.29</v>
      </c>
      <c r="J6553" s="18" t="n">
        <v>0</v>
      </c>
      <c r="K6553" s="19" t="n">
        <v>0</v>
      </c>
      <c r="L6553" s="17"/>
    </row>
    <row r="6554" s="11" customFormat="true" ht="10.95" hidden="false" customHeight="true" outlineLevel="0" collapsed="false">
      <c r="A6554" s="16" t="n">
        <v>45260</v>
      </c>
      <c r="B6554" s="17" t="s">
        <v>3369</v>
      </c>
      <c r="C6554" s="17" t="s">
        <v>3370</v>
      </c>
      <c r="D6554" s="17" t="s">
        <v>2895</v>
      </c>
      <c r="E6554" s="17" t="s">
        <v>3382</v>
      </c>
      <c r="F6554" s="17" t="s">
        <v>330</v>
      </c>
      <c r="G6554" s="18" t="n">
        <v>0</v>
      </c>
      <c r="H6554" s="18" t="n">
        <v>16315.92</v>
      </c>
      <c r="I6554" s="18" t="n">
        <f aca="false">((I6553 + G6554) - H6554)</f>
        <v>220212.37</v>
      </c>
      <c r="J6554" s="18" t="n">
        <v>0</v>
      </c>
      <c r="K6554" s="19" t="n">
        <v>0</v>
      </c>
      <c r="L6554" s="17"/>
    </row>
    <row r="6555" s="11" customFormat="true" ht="10.95" hidden="false" customHeight="true" outlineLevel="0" collapsed="false">
      <c r="A6555" s="16" t="n">
        <v>45260</v>
      </c>
      <c r="B6555" s="17" t="s">
        <v>3369</v>
      </c>
      <c r="C6555" s="17" t="s">
        <v>3370</v>
      </c>
      <c r="D6555" s="17" t="s">
        <v>2895</v>
      </c>
      <c r="E6555" s="17" t="s">
        <v>3456</v>
      </c>
      <c r="F6555" s="17" t="s">
        <v>348</v>
      </c>
      <c r="G6555" s="18" t="n">
        <v>0</v>
      </c>
      <c r="H6555" s="18" t="n">
        <v>34.5</v>
      </c>
      <c r="I6555" s="18" t="n">
        <f aca="false">((I6554 + G6555) - H6555)</f>
        <v>220177.87</v>
      </c>
      <c r="J6555" s="18" t="n">
        <v>0</v>
      </c>
      <c r="K6555" s="19" t="n">
        <v>0</v>
      </c>
      <c r="L6555" s="17"/>
    </row>
    <row r="6556" s="11" customFormat="true" ht="10.95" hidden="false" customHeight="true" outlineLevel="0" collapsed="false">
      <c r="A6556" s="16" t="n">
        <v>45260</v>
      </c>
      <c r="B6556" s="17" t="s">
        <v>3369</v>
      </c>
      <c r="C6556" s="17" t="s">
        <v>3370</v>
      </c>
      <c r="D6556" s="17" t="s">
        <v>2895</v>
      </c>
      <c r="E6556" s="17" t="s">
        <v>3456</v>
      </c>
      <c r="F6556" s="17" t="s">
        <v>349</v>
      </c>
      <c r="G6556" s="18" t="n">
        <v>0</v>
      </c>
      <c r="H6556" s="18" t="n">
        <v>2244</v>
      </c>
      <c r="I6556" s="18" t="n">
        <f aca="false">((I6555 + G6556) - H6556)</f>
        <v>217933.87</v>
      </c>
      <c r="J6556" s="18" t="n">
        <v>0</v>
      </c>
      <c r="K6556" s="19" t="n">
        <v>0</v>
      </c>
      <c r="L6556" s="17"/>
    </row>
    <row r="6557" s="11" customFormat="true" ht="10.95" hidden="false" customHeight="true" outlineLevel="0" collapsed="false">
      <c r="A6557" s="16" t="n">
        <v>45260</v>
      </c>
      <c r="B6557" s="17" t="s">
        <v>3369</v>
      </c>
      <c r="C6557" s="17" t="s">
        <v>3370</v>
      </c>
      <c r="D6557" s="17" t="s">
        <v>2895</v>
      </c>
      <c r="E6557" s="17" t="s">
        <v>3465</v>
      </c>
      <c r="F6557" s="17" t="s">
        <v>345</v>
      </c>
      <c r="G6557" s="18" t="n">
        <v>0</v>
      </c>
      <c r="H6557" s="18" t="n">
        <v>1094.5</v>
      </c>
      <c r="I6557" s="18" t="n">
        <f aca="false">((I6556 + G6557) - H6557)</f>
        <v>216839.37</v>
      </c>
      <c r="J6557" s="18" t="n">
        <v>0</v>
      </c>
      <c r="K6557" s="19" t="n">
        <v>0</v>
      </c>
      <c r="L6557" s="17"/>
    </row>
    <row r="6558" s="11" customFormat="true" ht="10.95" hidden="false" customHeight="true" outlineLevel="0" collapsed="false">
      <c r="A6558" s="16" t="n">
        <v>45260</v>
      </c>
      <c r="B6558" s="17" t="s">
        <v>3369</v>
      </c>
      <c r="C6558" s="17" t="s">
        <v>3370</v>
      </c>
      <c r="D6558" s="17" t="s">
        <v>2895</v>
      </c>
      <c r="E6558" s="17" t="s">
        <v>3410</v>
      </c>
      <c r="F6558" s="17" t="s">
        <v>354</v>
      </c>
      <c r="G6558" s="18" t="n">
        <v>0</v>
      </c>
      <c r="H6558" s="18" t="n">
        <v>968</v>
      </c>
      <c r="I6558" s="18" t="n">
        <f aca="false">((I6557 + G6558) - H6558)</f>
        <v>215871.37</v>
      </c>
      <c r="J6558" s="18" t="n">
        <v>0</v>
      </c>
      <c r="K6558" s="19" t="n">
        <v>0</v>
      </c>
      <c r="L6558" s="17"/>
    </row>
    <row r="6559" s="11" customFormat="true" ht="10.95" hidden="false" customHeight="true" outlineLevel="0" collapsed="false">
      <c r="A6559" s="16" t="n">
        <v>45261</v>
      </c>
      <c r="B6559" s="17" t="s">
        <v>3369</v>
      </c>
      <c r="C6559" s="17" t="s">
        <v>3370</v>
      </c>
      <c r="D6559" s="17" t="s">
        <v>2895</v>
      </c>
      <c r="E6559" s="17" t="s">
        <v>2896</v>
      </c>
      <c r="F6559" s="17" t="s">
        <v>843</v>
      </c>
      <c r="G6559" s="18" t="n">
        <v>0</v>
      </c>
      <c r="H6559" s="18" t="n">
        <v>91.11</v>
      </c>
      <c r="I6559" s="18" t="n">
        <f aca="false">((I6558 + G6559) - H6559)</f>
        <v>215780.26</v>
      </c>
      <c r="J6559" s="18" t="n">
        <v>0</v>
      </c>
      <c r="K6559" s="19" t="n">
        <v>0</v>
      </c>
      <c r="L6559" s="17"/>
    </row>
    <row r="6560" s="11" customFormat="true" ht="10.95" hidden="false" customHeight="true" outlineLevel="0" collapsed="false">
      <c r="A6560" s="16" t="n">
        <v>45261</v>
      </c>
      <c r="B6560" s="17" t="s">
        <v>3369</v>
      </c>
      <c r="C6560" s="17" t="s">
        <v>3370</v>
      </c>
      <c r="D6560" s="17" t="s">
        <v>2895</v>
      </c>
      <c r="E6560" s="17" t="s">
        <v>3482</v>
      </c>
      <c r="F6560" s="17" t="s">
        <v>356</v>
      </c>
      <c r="G6560" s="18" t="n">
        <v>0</v>
      </c>
      <c r="H6560" s="18" t="n">
        <v>1861.2</v>
      </c>
      <c r="I6560" s="18" t="n">
        <f aca="false">((I6559 + G6560) - H6560)</f>
        <v>213919.06</v>
      </c>
      <c r="J6560" s="18" t="n">
        <v>0</v>
      </c>
      <c r="K6560" s="19" t="n">
        <v>0</v>
      </c>
      <c r="L6560" s="17"/>
    </row>
    <row r="6561" s="11" customFormat="true" ht="10.95" hidden="false" customHeight="true" outlineLevel="0" collapsed="false">
      <c r="A6561" s="16" t="n">
        <v>45261</v>
      </c>
      <c r="B6561" s="17" t="s">
        <v>3369</v>
      </c>
      <c r="C6561" s="17" t="s">
        <v>3370</v>
      </c>
      <c r="D6561" s="17" t="s">
        <v>2895</v>
      </c>
      <c r="E6561" s="17" t="s">
        <v>3472</v>
      </c>
      <c r="F6561" s="17" t="s">
        <v>328</v>
      </c>
      <c r="G6561" s="18" t="n">
        <v>0</v>
      </c>
      <c r="H6561" s="18" t="n">
        <v>1278.2</v>
      </c>
      <c r="I6561" s="18" t="n">
        <f aca="false">((I6560 + G6561) - H6561)</f>
        <v>212640.86</v>
      </c>
      <c r="J6561" s="18" t="n">
        <v>0</v>
      </c>
      <c r="K6561" s="19" t="n">
        <v>0</v>
      </c>
      <c r="L6561" s="17"/>
    </row>
    <row r="6562" s="11" customFormat="true" ht="10.95" hidden="false" customHeight="true" outlineLevel="0" collapsed="false">
      <c r="A6562" s="16" t="n">
        <v>45261</v>
      </c>
      <c r="B6562" s="17" t="s">
        <v>3369</v>
      </c>
      <c r="C6562" s="17" t="s">
        <v>3370</v>
      </c>
      <c r="D6562" s="17" t="s">
        <v>2895</v>
      </c>
      <c r="E6562" s="17" t="s">
        <v>3415</v>
      </c>
      <c r="F6562" s="17" t="s">
        <v>352</v>
      </c>
      <c r="G6562" s="18" t="n">
        <v>0</v>
      </c>
      <c r="H6562" s="18" t="n">
        <v>1052.7</v>
      </c>
      <c r="I6562" s="18" t="n">
        <f aca="false">((I6561 + G6562) - H6562)</f>
        <v>211588.16</v>
      </c>
      <c r="J6562" s="18" t="n">
        <v>0</v>
      </c>
      <c r="K6562" s="19" t="n">
        <v>0</v>
      </c>
      <c r="L6562" s="17"/>
    </row>
    <row r="6563" s="11" customFormat="true" ht="10.95" hidden="false" customHeight="true" outlineLevel="0" collapsed="false">
      <c r="A6563" s="16" t="n">
        <v>45261</v>
      </c>
      <c r="B6563" s="17" t="s">
        <v>3369</v>
      </c>
      <c r="C6563" s="17" t="s">
        <v>3370</v>
      </c>
      <c r="D6563" s="17" t="s">
        <v>2895</v>
      </c>
      <c r="E6563" s="17" t="s">
        <v>2898</v>
      </c>
      <c r="F6563" s="17" t="s">
        <v>1155</v>
      </c>
      <c r="G6563" s="18" t="n">
        <v>0</v>
      </c>
      <c r="H6563" s="18" t="n">
        <v>763.82</v>
      </c>
      <c r="I6563" s="18" t="n">
        <f aca="false">((I6562 + G6563) - H6563)</f>
        <v>210824.34</v>
      </c>
      <c r="J6563" s="18" t="n">
        <v>0</v>
      </c>
      <c r="K6563" s="19" t="n">
        <v>0</v>
      </c>
      <c r="L6563" s="17"/>
    </row>
    <row r="6564" s="11" customFormat="true" ht="10.95" hidden="false" customHeight="true" outlineLevel="0" collapsed="false">
      <c r="A6564" s="16" t="n">
        <v>45261</v>
      </c>
      <c r="B6564" s="17" t="s">
        <v>3369</v>
      </c>
      <c r="C6564" s="17" t="s">
        <v>3370</v>
      </c>
      <c r="D6564" s="17" t="s">
        <v>2895</v>
      </c>
      <c r="E6564" s="17" t="s">
        <v>3474</v>
      </c>
      <c r="F6564" s="17" t="s">
        <v>344</v>
      </c>
      <c r="G6564" s="18" t="n">
        <v>0</v>
      </c>
      <c r="H6564" s="18" t="n">
        <v>357.5</v>
      </c>
      <c r="I6564" s="18" t="n">
        <f aca="false">((I6563 + G6564) - H6564)</f>
        <v>210466.84</v>
      </c>
      <c r="J6564" s="18" t="n">
        <v>0</v>
      </c>
      <c r="K6564" s="19" t="n">
        <v>0</v>
      </c>
      <c r="L6564" s="17"/>
    </row>
    <row r="6565" s="11" customFormat="true" ht="10.95" hidden="false" customHeight="true" outlineLevel="0" collapsed="false">
      <c r="A6565" s="16" t="n">
        <v>45261</v>
      </c>
      <c r="B6565" s="17" t="s">
        <v>3369</v>
      </c>
      <c r="C6565" s="17" t="s">
        <v>3370</v>
      </c>
      <c r="D6565" s="17" t="s">
        <v>2895</v>
      </c>
      <c r="E6565" s="17" t="s">
        <v>3401</v>
      </c>
      <c r="F6565" s="17" t="s">
        <v>338</v>
      </c>
      <c r="G6565" s="18" t="n">
        <v>0</v>
      </c>
      <c r="H6565" s="18" t="n">
        <v>561</v>
      </c>
      <c r="I6565" s="18" t="n">
        <f aca="false">((I6564 + G6565) - H6565)</f>
        <v>209905.84</v>
      </c>
      <c r="J6565" s="18" t="n">
        <v>0</v>
      </c>
      <c r="K6565" s="19" t="n">
        <v>0</v>
      </c>
      <c r="L6565" s="17"/>
    </row>
    <row r="6566" s="11" customFormat="true" ht="10.95" hidden="false" customHeight="true" outlineLevel="0" collapsed="false">
      <c r="A6566" s="16" t="n">
        <v>45262</v>
      </c>
      <c r="B6566" s="17" t="s">
        <v>3369</v>
      </c>
      <c r="C6566" s="17" t="s">
        <v>3370</v>
      </c>
      <c r="D6566" s="17" t="s">
        <v>2895</v>
      </c>
      <c r="E6566" s="17" t="s">
        <v>2964</v>
      </c>
      <c r="F6566" s="17" t="s">
        <v>981</v>
      </c>
      <c r="G6566" s="18" t="n">
        <v>0</v>
      </c>
      <c r="H6566" s="18" t="n">
        <v>1600.64</v>
      </c>
      <c r="I6566" s="18" t="n">
        <f aca="false">((I6565 + G6566) - H6566)</f>
        <v>208305.2</v>
      </c>
      <c r="J6566" s="18" t="n">
        <v>0</v>
      </c>
      <c r="K6566" s="19" t="n">
        <v>0</v>
      </c>
      <c r="L6566" s="17"/>
    </row>
    <row r="6567" s="11" customFormat="true" ht="10.95" hidden="false" customHeight="true" outlineLevel="0" collapsed="false">
      <c r="A6567" s="16" t="n">
        <v>45262</v>
      </c>
      <c r="B6567" s="17" t="s">
        <v>3369</v>
      </c>
      <c r="C6567" s="17" t="s">
        <v>3370</v>
      </c>
      <c r="D6567" s="17" t="s">
        <v>2895</v>
      </c>
      <c r="E6567" s="17" t="s">
        <v>3391</v>
      </c>
      <c r="F6567" s="17" t="s">
        <v>351</v>
      </c>
      <c r="G6567" s="18" t="n">
        <v>0</v>
      </c>
      <c r="H6567" s="18" t="n">
        <v>1100.06</v>
      </c>
      <c r="I6567" s="18" t="n">
        <f aca="false">((I6566 + G6567) - H6567)</f>
        <v>207205.14</v>
      </c>
      <c r="J6567" s="18" t="n">
        <v>0</v>
      </c>
      <c r="K6567" s="19" t="n">
        <v>0</v>
      </c>
      <c r="L6567" s="17"/>
    </row>
    <row r="6568" s="11" customFormat="true" ht="10.95" hidden="false" customHeight="true" outlineLevel="0" collapsed="false">
      <c r="A6568" s="16" t="n">
        <v>45264</v>
      </c>
      <c r="B6568" s="17" t="s">
        <v>3369</v>
      </c>
      <c r="C6568" s="17" t="s">
        <v>3370</v>
      </c>
      <c r="D6568" s="17" t="s">
        <v>19</v>
      </c>
      <c r="E6568" s="17" t="s">
        <v>3433</v>
      </c>
      <c r="F6568" s="17" t="s">
        <v>379</v>
      </c>
      <c r="G6568" s="18" t="n">
        <v>4207.5</v>
      </c>
      <c r="H6568" s="18" t="n">
        <v>0</v>
      </c>
      <c r="I6568" s="18" t="n">
        <f aca="false">((I6567 + G6568) - H6568)</f>
        <v>211412.64</v>
      </c>
      <c r="J6568" s="18" t="n">
        <v>0</v>
      </c>
      <c r="K6568" s="19" t="n">
        <v>0</v>
      </c>
      <c r="L6568" s="17"/>
    </row>
    <row r="6569" s="11" customFormat="true" ht="10.95" hidden="false" customHeight="true" outlineLevel="0" collapsed="false">
      <c r="A6569" s="16" t="n">
        <v>45264</v>
      </c>
      <c r="B6569" s="17" t="s">
        <v>3369</v>
      </c>
      <c r="C6569" s="17" t="s">
        <v>3370</v>
      </c>
      <c r="D6569" s="17" t="s">
        <v>19</v>
      </c>
      <c r="E6569" s="17" t="s">
        <v>3433</v>
      </c>
      <c r="F6569" s="17" t="s">
        <v>380</v>
      </c>
      <c r="G6569" s="18" t="n">
        <v>4182.2</v>
      </c>
      <c r="H6569" s="18" t="n">
        <v>0</v>
      </c>
      <c r="I6569" s="18" t="n">
        <f aca="false">((I6568 + G6569) - H6569)</f>
        <v>215594.84</v>
      </c>
      <c r="J6569" s="18" t="n">
        <v>0</v>
      </c>
      <c r="K6569" s="19" t="n">
        <v>0</v>
      </c>
      <c r="L6569" s="17"/>
    </row>
    <row r="6570" s="11" customFormat="true" ht="10.95" hidden="false" customHeight="true" outlineLevel="0" collapsed="false">
      <c r="A6570" s="16" t="n">
        <v>45264</v>
      </c>
      <c r="B6570" s="17" t="s">
        <v>3369</v>
      </c>
      <c r="C6570" s="17" t="s">
        <v>3370</v>
      </c>
      <c r="D6570" s="17" t="s">
        <v>19</v>
      </c>
      <c r="E6570" s="17" t="s">
        <v>3381</v>
      </c>
      <c r="F6570" s="17" t="s">
        <v>985</v>
      </c>
      <c r="G6570" s="18" t="n">
        <v>12565.42</v>
      </c>
      <c r="H6570" s="18" t="n">
        <v>0</v>
      </c>
      <c r="I6570" s="18" t="n">
        <f aca="false">((I6569 + G6570) - H6570)</f>
        <v>228160.26</v>
      </c>
      <c r="J6570" s="18" t="n">
        <v>0</v>
      </c>
      <c r="K6570" s="19" t="n">
        <v>0</v>
      </c>
      <c r="L6570" s="17"/>
    </row>
    <row r="6571" s="11" customFormat="true" ht="10.95" hidden="false" customHeight="true" outlineLevel="0" collapsed="false">
      <c r="A6571" s="16" t="n">
        <v>45264</v>
      </c>
      <c r="B6571" s="17" t="s">
        <v>3369</v>
      </c>
      <c r="C6571" s="17" t="s">
        <v>3370</v>
      </c>
      <c r="D6571" s="17" t="s">
        <v>19</v>
      </c>
      <c r="E6571" s="17" t="s">
        <v>3514</v>
      </c>
      <c r="F6571" s="17" t="s">
        <v>382</v>
      </c>
      <c r="G6571" s="18" t="n">
        <v>2750</v>
      </c>
      <c r="H6571" s="18" t="n">
        <v>0</v>
      </c>
      <c r="I6571" s="18" t="n">
        <f aca="false">((I6570 + G6571) - H6571)</f>
        <v>230910.26</v>
      </c>
      <c r="J6571" s="18" t="n">
        <v>0</v>
      </c>
      <c r="K6571" s="19" t="n">
        <v>0</v>
      </c>
      <c r="L6571" s="17"/>
    </row>
    <row r="6572" s="11" customFormat="true" ht="10.95" hidden="false" customHeight="true" outlineLevel="0" collapsed="false">
      <c r="A6572" s="16" t="n">
        <v>45264</v>
      </c>
      <c r="B6572" s="17" t="s">
        <v>3369</v>
      </c>
      <c r="C6572" s="17" t="s">
        <v>3370</v>
      </c>
      <c r="D6572" s="17" t="s">
        <v>2895</v>
      </c>
      <c r="E6572" s="17" t="s">
        <v>2922</v>
      </c>
      <c r="F6572" s="17" t="s">
        <v>968</v>
      </c>
      <c r="G6572" s="18" t="n">
        <v>0</v>
      </c>
      <c r="H6572" s="18" t="n">
        <v>7285.52</v>
      </c>
      <c r="I6572" s="18" t="n">
        <f aca="false">((I6571 + G6572) - H6572)</f>
        <v>223624.74</v>
      </c>
      <c r="J6572" s="18" t="n">
        <v>0</v>
      </c>
      <c r="K6572" s="19" t="n">
        <v>0</v>
      </c>
      <c r="L6572" s="17"/>
    </row>
    <row r="6573" s="11" customFormat="true" ht="10.95" hidden="false" customHeight="true" outlineLevel="0" collapsed="false">
      <c r="A6573" s="16" t="n">
        <v>45264</v>
      </c>
      <c r="B6573" s="17" t="s">
        <v>3369</v>
      </c>
      <c r="C6573" s="17" t="s">
        <v>3370</v>
      </c>
      <c r="D6573" s="17" t="s">
        <v>2895</v>
      </c>
      <c r="E6573" s="17" t="s">
        <v>2922</v>
      </c>
      <c r="F6573" s="17" t="s">
        <v>976</v>
      </c>
      <c r="G6573" s="18" t="n">
        <v>0</v>
      </c>
      <c r="H6573" s="18" t="n">
        <v>10218.4</v>
      </c>
      <c r="I6573" s="18" t="n">
        <f aca="false">((I6572 + G6573) - H6573)</f>
        <v>213406.34</v>
      </c>
      <c r="J6573" s="18" t="n">
        <v>0</v>
      </c>
      <c r="K6573" s="19" t="n">
        <v>0</v>
      </c>
      <c r="L6573" s="17"/>
    </row>
    <row r="6574" s="11" customFormat="true" ht="10.95" hidden="false" customHeight="true" outlineLevel="0" collapsed="false">
      <c r="A6574" s="16" t="n">
        <v>45265</v>
      </c>
      <c r="B6574" s="17" t="s">
        <v>3369</v>
      </c>
      <c r="C6574" s="17" t="s">
        <v>3370</v>
      </c>
      <c r="D6574" s="17" t="s">
        <v>2895</v>
      </c>
      <c r="E6574" s="17" t="s">
        <v>2900</v>
      </c>
      <c r="F6574" s="17" t="s">
        <v>1149</v>
      </c>
      <c r="G6574" s="18" t="n">
        <v>0</v>
      </c>
      <c r="H6574" s="18" t="n">
        <v>2167.24</v>
      </c>
      <c r="I6574" s="18" t="n">
        <f aca="false">((I6573 + G6574) - H6574)</f>
        <v>211239.1</v>
      </c>
      <c r="J6574" s="18" t="n">
        <v>0</v>
      </c>
      <c r="K6574" s="19" t="n">
        <v>0</v>
      </c>
      <c r="L6574" s="17"/>
    </row>
    <row r="6575" s="11" customFormat="true" ht="10.95" hidden="false" customHeight="true" outlineLevel="0" collapsed="false">
      <c r="A6575" s="16" t="n">
        <v>45265</v>
      </c>
      <c r="B6575" s="17" t="s">
        <v>3369</v>
      </c>
      <c r="C6575" s="17" t="s">
        <v>3370</v>
      </c>
      <c r="D6575" s="17" t="s">
        <v>2895</v>
      </c>
      <c r="E6575" s="17" t="s">
        <v>2900</v>
      </c>
      <c r="F6575" s="17" t="s">
        <v>1151</v>
      </c>
      <c r="G6575" s="18" t="n">
        <v>0</v>
      </c>
      <c r="H6575" s="18" t="n">
        <v>1013.07</v>
      </c>
      <c r="I6575" s="18" t="n">
        <f aca="false">((I6574 + G6575) - H6575)</f>
        <v>210226.03</v>
      </c>
      <c r="J6575" s="18" t="n">
        <v>0</v>
      </c>
      <c r="K6575" s="19" t="n">
        <v>0</v>
      </c>
      <c r="L6575" s="17"/>
    </row>
    <row r="6576" s="11" customFormat="true" ht="10.95" hidden="false" customHeight="true" outlineLevel="0" collapsed="false">
      <c r="A6576" s="16" t="n">
        <v>45265</v>
      </c>
      <c r="B6576" s="17" t="s">
        <v>3369</v>
      </c>
      <c r="C6576" s="17" t="s">
        <v>3370</v>
      </c>
      <c r="D6576" s="17" t="s">
        <v>2895</v>
      </c>
      <c r="E6576" s="17" t="s">
        <v>2900</v>
      </c>
      <c r="F6576" s="17" t="s">
        <v>1150</v>
      </c>
      <c r="G6576" s="18" t="n">
        <v>0</v>
      </c>
      <c r="H6576" s="18" t="n">
        <v>132.8</v>
      </c>
      <c r="I6576" s="18" t="n">
        <f aca="false">((I6575 + G6576) - H6576)</f>
        <v>210093.23</v>
      </c>
      <c r="J6576" s="18" t="n">
        <v>0</v>
      </c>
      <c r="K6576" s="19" t="n">
        <v>0</v>
      </c>
      <c r="L6576" s="17"/>
    </row>
    <row r="6577" s="11" customFormat="true" ht="10.95" hidden="false" customHeight="true" outlineLevel="0" collapsed="false">
      <c r="A6577" s="16" t="n">
        <v>45265</v>
      </c>
      <c r="B6577" s="17" t="s">
        <v>3369</v>
      </c>
      <c r="C6577" s="17" t="s">
        <v>3370</v>
      </c>
      <c r="D6577" s="17" t="s">
        <v>2895</v>
      </c>
      <c r="E6577" s="17" t="s">
        <v>2900</v>
      </c>
      <c r="F6577" s="17" t="s">
        <v>1148</v>
      </c>
      <c r="G6577" s="18" t="n">
        <v>0</v>
      </c>
      <c r="H6577" s="18" t="n">
        <v>1003.85</v>
      </c>
      <c r="I6577" s="18" t="n">
        <f aca="false">((I6576 + G6577) - H6577)</f>
        <v>209089.38</v>
      </c>
      <c r="J6577" s="18" t="n">
        <v>0</v>
      </c>
      <c r="K6577" s="19" t="n">
        <v>0</v>
      </c>
      <c r="L6577" s="17"/>
    </row>
    <row r="6578" s="11" customFormat="true" ht="10.95" hidden="false" customHeight="true" outlineLevel="0" collapsed="false">
      <c r="A6578" s="16" t="n">
        <v>45266</v>
      </c>
      <c r="B6578" s="17" t="s">
        <v>3369</v>
      </c>
      <c r="C6578" s="17" t="s">
        <v>3370</v>
      </c>
      <c r="D6578" s="17" t="s">
        <v>2895</v>
      </c>
      <c r="E6578" s="17" t="s">
        <v>2934</v>
      </c>
      <c r="F6578" s="17" t="s">
        <v>941</v>
      </c>
      <c r="G6578" s="18" t="n">
        <v>0</v>
      </c>
      <c r="H6578" s="18" t="n">
        <v>5986.78</v>
      </c>
      <c r="I6578" s="18" t="n">
        <f aca="false">((I6577 + G6578) - H6578)</f>
        <v>203102.6</v>
      </c>
      <c r="J6578" s="18" t="n">
        <v>0</v>
      </c>
      <c r="K6578" s="19" t="n">
        <v>0</v>
      </c>
      <c r="L6578" s="17"/>
    </row>
    <row r="6579" s="11" customFormat="true" ht="10.95" hidden="false" customHeight="true" outlineLevel="0" collapsed="false">
      <c r="A6579" s="16" t="n">
        <v>45266</v>
      </c>
      <c r="B6579" s="17" t="s">
        <v>3369</v>
      </c>
      <c r="C6579" s="17" t="s">
        <v>3370</v>
      </c>
      <c r="D6579" s="17" t="s">
        <v>2895</v>
      </c>
      <c r="E6579" s="17" t="s">
        <v>3389</v>
      </c>
      <c r="F6579" s="17" t="s">
        <v>353</v>
      </c>
      <c r="G6579" s="18" t="n">
        <v>0</v>
      </c>
      <c r="H6579" s="18" t="n">
        <v>5236</v>
      </c>
      <c r="I6579" s="18" t="n">
        <f aca="false">((I6578 + G6579) - H6579)</f>
        <v>197866.6</v>
      </c>
      <c r="J6579" s="18" t="n">
        <v>0</v>
      </c>
      <c r="K6579" s="19" t="n">
        <v>0</v>
      </c>
      <c r="L6579" s="17"/>
    </row>
    <row r="6580" s="11" customFormat="true" ht="10.95" hidden="false" customHeight="true" outlineLevel="0" collapsed="false">
      <c r="A6580" s="16" t="n">
        <v>45266</v>
      </c>
      <c r="B6580" s="17" t="s">
        <v>3369</v>
      </c>
      <c r="C6580" s="17" t="s">
        <v>3370</v>
      </c>
      <c r="D6580" s="17" t="s">
        <v>2895</v>
      </c>
      <c r="E6580" s="17" t="s">
        <v>2906</v>
      </c>
      <c r="F6580" s="17" t="s">
        <v>1156</v>
      </c>
      <c r="G6580" s="18" t="n">
        <v>0</v>
      </c>
      <c r="H6580" s="18" t="n">
        <v>3092.44</v>
      </c>
      <c r="I6580" s="18" t="n">
        <f aca="false">((I6579 + G6580) - H6580)</f>
        <v>194774.16</v>
      </c>
      <c r="J6580" s="18" t="n">
        <v>0</v>
      </c>
      <c r="K6580" s="19" t="n">
        <v>0</v>
      </c>
      <c r="L6580" s="17"/>
    </row>
    <row r="6581" s="11" customFormat="true" ht="10.95" hidden="false" customHeight="true" outlineLevel="0" collapsed="false">
      <c r="A6581" s="16" t="n">
        <v>45268</v>
      </c>
      <c r="B6581" s="17" t="s">
        <v>3369</v>
      </c>
      <c r="C6581" s="17" t="s">
        <v>3370</v>
      </c>
      <c r="D6581" s="17" t="s">
        <v>2895</v>
      </c>
      <c r="E6581" s="17" t="s">
        <v>2922</v>
      </c>
      <c r="F6581" s="17" t="s">
        <v>980</v>
      </c>
      <c r="G6581" s="18" t="n">
        <v>0</v>
      </c>
      <c r="H6581" s="18" t="n">
        <v>9247.24</v>
      </c>
      <c r="I6581" s="18" t="n">
        <f aca="false">((I6580 + G6581) - H6581)</f>
        <v>185526.92</v>
      </c>
      <c r="J6581" s="18" t="n">
        <v>0</v>
      </c>
      <c r="K6581" s="19" t="n">
        <v>0</v>
      </c>
      <c r="L6581" s="17"/>
    </row>
    <row r="6582" s="11" customFormat="true" ht="10.95" hidden="false" customHeight="true" outlineLevel="0" collapsed="false">
      <c r="A6582" s="16" t="n">
        <v>45271</v>
      </c>
      <c r="B6582" s="17" t="s">
        <v>3369</v>
      </c>
      <c r="C6582" s="17" t="s">
        <v>3370</v>
      </c>
      <c r="D6582" s="17" t="s">
        <v>19</v>
      </c>
      <c r="E6582" s="17" t="s">
        <v>3434</v>
      </c>
      <c r="F6582" s="17" t="s">
        <v>383</v>
      </c>
      <c r="G6582" s="18" t="n">
        <v>396</v>
      </c>
      <c r="H6582" s="18" t="n">
        <v>0</v>
      </c>
      <c r="I6582" s="18" t="n">
        <f aca="false">((I6581 + G6582) - H6582)</f>
        <v>185922.92</v>
      </c>
      <c r="J6582" s="18" t="n">
        <v>0</v>
      </c>
      <c r="K6582" s="19" t="n">
        <v>0</v>
      </c>
      <c r="L6582" s="17"/>
    </row>
    <row r="6583" s="11" customFormat="true" ht="10.95" hidden="false" customHeight="true" outlineLevel="0" collapsed="false">
      <c r="A6583" s="16" t="n">
        <v>45271</v>
      </c>
      <c r="B6583" s="17" t="s">
        <v>3369</v>
      </c>
      <c r="C6583" s="17" t="s">
        <v>3370</v>
      </c>
      <c r="D6583" s="17" t="s">
        <v>2895</v>
      </c>
      <c r="E6583" s="17" t="s">
        <v>3460</v>
      </c>
      <c r="F6583" s="17" t="s">
        <v>380</v>
      </c>
      <c r="G6583" s="18" t="n">
        <v>0</v>
      </c>
      <c r="H6583" s="18" t="n">
        <v>4182.2</v>
      </c>
      <c r="I6583" s="18" t="n">
        <f aca="false">((I6582 + G6583) - H6583)</f>
        <v>181740.72</v>
      </c>
      <c r="J6583" s="18" t="n">
        <v>0</v>
      </c>
      <c r="K6583" s="19" t="n">
        <v>0</v>
      </c>
      <c r="L6583" s="17"/>
    </row>
    <row r="6584" s="11" customFormat="true" ht="10.95" hidden="false" customHeight="true" outlineLevel="0" collapsed="false">
      <c r="A6584" s="16" t="n">
        <v>45271</v>
      </c>
      <c r="B6584" s="17" t="s">
        <v>3369</v>
      </c>
      <c r="C6584" s="17" t="s">
        <v>3370</v>
      </c>
      <c r="D6584" s="17" t="s">
        <v>2895</v>
      </c>
      <c r="E6584" s="17" t="s">
        <v>3460</v>
      </c>
      <c r="F6584" s="17" t="s">
        <v>379</v>
      </c>
      <c r="G6584" s="18" t="n">
        <v>0</v>
      </c>
      <c r="H6584" s="18" t="n">
        <v>4207.5</v>
      </c>
      <c r="I6584" s="18" t="n">
        <f aca="false">((I6583 + G6584) - H6584)</f>
        <v>177533.22</v>
      </c>
      <c r="J6584" s="18" t="n">
        <v>0</v>
      </c>
      <c r="K6584" s="19" t="n">
        <v>0</v>
      </c>
      <c r="L6584" s="17"/>
    </row>
    <row r="6585" s="11" customFormat="true" ht="10.95" hidden="false" customHeight="true" outlineLevel="0" collapsed="false">
      <c r="A6585" s="16" t="n">
        <v>45271</v>
      </c>
      <c r="B6585" s="17" t="s">
        <v>3369</v>
      </c>
      <c r="C6585" s="17" t="s">
        <v>3370</v>
      </c>
      <c r="D6585" s="17" t="s">
        <v>2895</v>
      </c>
      <c r="E6585" s="17" t="s">
        <v>3515</v>
      </c>
      <c r="F6585" s="17" t="s">
        <v>342</v>
      </c>
      <c r="G6585" s="18" t="n">
        <v>0</v>
      </c>
      <c r="H6585" s="18" t="n">
        <v>2548.26</v>
      </c>
      <c r="I6585" s="18" t="n">
        <f aca="false">((I6584 + G6585) - H6585)</f>
        <v>174984.96</v>
      </c>
      <c r="J6585" s="18" t="n">
        <v>0</v>
      </c>
      <c r="K6585" s="19" t="n">
        <v>0</v>
      </c>
      <c r="L6585" s="17"/>
    </row>
    <row r="6586" s="11" customFormat="true" ht="10.95" hidden="false" customHeight="true" outlineLevel="0" collapsed="false">
      <c r="A6586" s="16" t="n">
        <v>45271</v>
      </c>
      <c r="B6586" s="17" t="s">
        <v>3369</v>
      </c>
      <c r="C6586" s="17" t="s">
        <v>3370</v>
      </c>
      <c r="D6586" s="17" t="s">
        <v>2895</v>
      </c>
      <c r="E6586" s="17" t="s">
        <v>2925</v>
      </c>
      <c r="F6586" s="17" t="s">
        <v>845</v>
      </c>
      <c r="G6586" s="18" t="n">
        <v>0</v>
      </c>
      <c r="H6586" s="18" t="n">
        <v>325.71</v>
      </c>
      <c r="I6586" s="18" t="n">
        <f aca="false">((I6585 + G6586) - H6586)</f>
        <v>174659.25</v>
      </c>
      <c r="J6586" s="18" t="n">
        <v>0</v>
      </c>
      <c r="K6586" s="19" t="n">
        <v>0</v>
      </c>
      <c r="L6586" s="17"/>
    </row>
    <row r="6587" s="11" customFormat="true" ht="10.95" hidden="false" customHeight="true" outlineLevel="0" collapsed="false">
      <c r="A6587" s="16" t="n">
        <v>45272</v>
      </c>
      <c r="B6587" s="17" t="s">
        <v>3369</v>
      </c>
      <c r="C6587" s="17" t="s">
        <v>3370</v>
      </c>
      <c r="D6587" s="17" t="s">
        <v>2895</v>
      </c>
      <c r="E6587" s="17" t="s">
        <v>2934</v>
      </c>
      <c r="F6587" s="17" t="s">
        <v>985</v>
      </c>
      <c r="G6587" s="18" t="n">
        <v>0</v>
      </c>
      <c r="H6587" s="18" t="n">
        <v>12565.42</v>
      </c>
      <c r="I6587" s="18" t="n">
        <f aca="false">((I6586 + G6587) - H6587)</f>
        <v>162093.83</v>
      </c>
      <c r="J6587" s="18" t="n">
        <v>0</v>
      </c>
      <c r="K6587" s="19" t="n">
        <v>0</v>
      </c>
      <c r="L6587" s="17"/>
    </row>
    <row r="6588" s="11" customFormat="true" ht="10.95" hidden="false" customHeight="true" outlineLevel="0" collapsed="false">
      <c r="A6588" s="16" t="n">
        <v>45272</v>
      </c>
      <c r="B6588" s="17" t="s">
        <v>3369</v>
      </c>
      <c r="C6588" s="17" t="s">
        <v>3370</v>
      </c>
      <c r="D6588" s="17" t="s">
        <v>2895</v>
      </c>
      <c r="E6588" s="17" t="s">
        <v>3397</v>
      </c>
      <c r="F6588" s="17" t="s">
        <v>382</v>
      </c>
      <c r="G6588" s="18" t="n">
        <v>0</v>
      </c>
      <c r="H6588" s="18" t="n">
        <v>2750</v>
      </c>
      <c r="I6588" s="18" t="n">
        <f aca="false">((I6587 + G6588) - H6588)</f>
        <v>159343.83</v>
      </c>
      <c r="J6588" s="18" t="n">
        <v>0</v>
      </c>
      <c r="K6588" s="19" t="n">
        <v>0</v>
      </c>
      <c r="L6588" s="17"/>
    </row>
    <row r="6589" s="11" customFormat="true" ht="10.95" hidden="false" customHeight="true" outlineLevel="0" collapsed="false">
      <c r="A6589" s="16" t="n">
        <v>45273</v>
      </c>
      <c r="B6589" s="17" t="s">
        <v>3369</v>
      </c>
      <c r="C6589" s="17" t="s">
        <v>3370</v>
      </c>
      <c r="D6589" s="17" t="s">
        <v>2895</v>
      </c>
      <c r="E6589" s="17" t="s">
        <v>2937</v>
      </c>
      <c r="F6589" s="17" t="s">
        <v>983</v>
      </c>
      <c r="G6589" s="18" t="n">
        <v>0</v>
      </c>
      <c r="H6589" s="18" t="n">
        <v>349.49</v>
      </c>
      <c r="I6589" s="18" t="n">
        <f aca="false">((I6588 + G6589) - H6589)</f>
        <v>158994.34</v>
      </c>
      <c r="J6589" s="18" t="n">
        <v>0</v>
      </c>
      <c r="K6589" s="19" t="n">
        <v>0</v>
      </c>
      <c r="L6589" s="17"/>
    </row>
    <row r="6590" s="11" customFormat="true" ht="10.95" hidden="false" customHeight="true" outlineLevel="0" collapsed="false">
      <c r="A6590" s="16" t="n">
        <v>45273</v>
      </c>
      <c r="B6590" s="17" t="s">
        <v>3369</v>
      </c>
      <c r="C6590" s="17" t="s">
        <v>3370</v>
      </c>
      <c r="D6590" s="17" t="s">
        <v>2895</v>
      </c>
      <c r="E6590" s="17" t="s">
        <v>2937</v>
      </c>
      <c r="F6590" s="17" t="s">
        <v>982</v>
      </c>
      <c r="G6590" s="18" t="n">
        <v>0</v>
      </c>
      <c r="H6590" s="18" t="n">
        <v>524.23</v>
      </c>
      <c r="I6590" s="18" t="n">
        <f aca="false">((I6589 + G6590) - H6590)</f>
        <v>158470.11</v>
      </c>
      <c r="J6590" s="18" t="n">
        <v>0</v>
      </c>
      <c r="K6590" s="19" t="n">
        <v>0</v>
      </c>
      <c r="L6590" s="17"/>
    </row>
    <row r="6591" s="11" customFormat="true" ht="10.95" hidden="false" customHeight="true" outlineLevel="0" collapsed="false">
      <c r="A6591" s="16" t="n">
        <v>45273</v>
      </c>
      <c r="B6591" s="17" t="s">
        <v>3369</v>
      </c>
      <c r="C6591" s="17" t="s">
        <v>3370</v>
      </c>
      <c r="D6591" s="17" t="s">
        <v>2895</v>
      </c>
      <c r="E6591" s="17" t="s">
        <v>3403</v>
      </c>
      <c r="F6591" s="17" t="s">
        <v>316</v>
      </c>
      <c r="G6591" s="18" t="n">
        <v>0</v>
      </c>
      <c r="H6591" s="18" t="n">
        <v>1464.65</v>
      </c>
      <c r="I6591" s="18" t="n">
        <f aca="false">((I6590 + G6591) - H6591)</f>
        <v>157005.46</v>
      </c>
      <c r="J6591" s="18" t="n">
        <v>0</v>
      </c>
      <c r="K6591" s="19" t="n">
        <v>0</v>
      </c>
      <c r="L6591" s="17"/>
    </row>
    <row r="6592" s="11" customFormat="true" ht="10.95" hidden="false" customHeight="true" outlineLevel="0" collapsed="false">
      <c r="A6592" s="16" t="n">
        <v>45273</v>
      </c>
      <c r="B6592" s="17" t="s">
        <v>3369</v>
      </c>
      <c r="C6592" s="17" t="s">
        <v>3370</v>
      </c>
      <c r="D6592" s="17" t="s">
        <v>2895</v>
      </c>
      <c r="E6592" s="17" t="s">
        <v>3403</v>
      </c>
      <c r="F6592" s="17" t="s">
        <v>315</v>
      </c>
      <c r="G6592" s="18" t="n">
        <v>0</v>
      </c>
      <c r="H6592" s="18" t="n">
        <v>206.8</v>
      </c>
      <c r="I6592" s="18" t="n">
        <f aca="false">((I6591 + G6592) - H6592)</f>
        <v>156798.66</v>
      </c>
      <c r="J6592" s="18" t="n">
        <v>0</v>
      </c>
      <c r="K6592" s="19" t="n">
        <v>0</v>
      </c>
      <c r="L6592" s="17"/>
    </row>
    <row r="6593" s="11" customFormat="true" ht="10.95" hidden="false" customHeight="true" outlineLevel="0" collapsed="false">
      <c r="A6593" s="16" t="n">
        <v>45273</v>
      </c>
      <c r="B6593" s="17" t="s">
        <v>3369</v>
      </c>
      <c r="C6593" s="17" t="s">
        <v>3370</v>
      </c>
      <c r="D6593" s="17" t="s">
        <v>2895</v>
      </c>
      <c r="E6593" s="17" t="s">
        <v>3403</v>
      </c>
      <c r="F6593" s="17" t="s">
        <v>327</v>
      </c>
      <c r="G6593" s="18" t="n">
        <v>0</v>
      </c>
      <c r="H6593" s="18" t="n">
        <v>723.8</v>
      </c>
      <c r="I6593" s="18" t="n">
        <f aca="false">((I6592 + G6593) - H6593)</f>
        <v>156074.86</v>
      </c>
      <c r="J6593" s="18" t="n">
        <v>0</v>
      </c>
      <c r="K6593" s="19" t="n">
        <v>0</v>
      </c>
      <c r="L6593" s="17"/>
    </row>
    <row r="6594" s="11" customFormat="true" ht="10.95" hidden="false" customHeight="true" outlineLevel="0" collapsed="false">
      <c r="A6594" s="16" t="n">
        <v>45273</v>
      </c>
      <c r="B6594" s="17" t="s">
        <v>3369</v>
      </c>
      <c r="C6594" s="17" t="s">
        <v>3370</v>
      </c>
      <c r="D6594" s="17" t="s">
        <v>2895</v>
      </c>
      <c r="E6594" s="17" t="s">
        <v>3403</v>
      </c>
      <c r="F6594" s="17" t="s">
        <v>320</v>
      </c>
      <c r="G6594" s="18" t="n">
        <v>0</v>
      </c>
      <c r="H6594" s="18" t="n">
        <v>2484.9</v>
      </c>
      <c r="I6594" s="18" t="n">
        <f aca="false">((I6593 + G6594) - H6594)</f>
        <v>153589.96</v>
      </c>
      <c r="J6594" s="18" t="n">
        <v>0</v>
      </c>
      <c r="K6594" s="19" t="n">
        <v>0</v>
      </c>
      <c r="L6594" s="17"/>
    </row>
    <row r="6595" s="11" customFormat="true" ht="10.95" hidden="false" customHeight="true" outlineLevel="0" collapsed="false">
      <c r="A6595" s="16" t="n">
        <v>45273</v>
      </c>
      <c r="B6595" s="17" t="s">
        <v>3369</v>
      </c>
      <c r="C6595" s="17" t="s">
        <v>3370</v>
      </c>
      <c r="D6595" s="17" t="s">
        <v>2895</v>
      </c>
      <c r="E6595" s="17" t="s">
        <v>3403</v>
      </c>
      <c r="F6595" s="17" t="s">
        <v>319</v>
      </c>
      <c r="G6595" s="18" t="n">
        <v>0</v>
      </c>
      <c r="H6595" s="18" t="n">
        <v>627</v>
      </c>
      <c r="I6595" s="18" t="n">
        <f aca="false">((I6594 + G6595) - H6595)</f>
        <v>152962.96</v>
      </c>
      <c r="J6595" s="18" t="n">
        <v>0</v>
      </c>
      <c r="K6595" s="19" t="n">
        <v>0</v>
      </c>
      <c r="L6595" s="17"/>
    </row>
    <row r="6596" s="11" customFormat="true" ht="10.95" hidden="false" customHeight="true" outlineLevel="0" collapsed="false">
      <c r="A6596" s="16" t="n">
        <v>45273</v>
      </c>
      <c r="B6596" s="17" t="s">
        <v>3369</v>
      </c>
      <c r="C6596" s="17" t="s">
        <v>3370</v>
      </c>
      <c r="D6596" s="17" t="s">
        <v>2895</v>
      </c>
      <c r="E6596" s="17" t="s">
        <v>3403</v>
      </c>
      <c r="F6596" s="17" t="s">
        <v>312</v>
      </c>
      <c r="G6596" s="18" t="n">
        <v>0</v>
      </c>
      <c r="H6596" s="18" t="n">
        <v>618.75</v>
      </c>
      <c r="I6596" s="18" t="n">
        <f aca="false">((I6595 + G6596) - H6596)</f>
        <v>152344.21</v>
      </c>
      <c r="J6596" s="18" t="n">
        <v>0</v>
      </c>
      <c r="K6596" s="19" t="n">
        <v>0</v>
      </c>
      <c r="L6596" s="17"/>
    </row>
    <row r="6597" s="11" customFormat="true" ht="10.95" hidden="false" customHeight="true" outlineLevel="0" collapsed="false">
      <c r="A6597" s="16" t="n">
        <v>45273</v>
      </c>
      <c r="B6597" s="17" t="s">
        <v>3369</v>
      </c>
      <c r="C6597" s="17" t="s">
        <v>3370</v>
      </c>
      <c r="D6597" s="17" t="s">
        <v>2895</v>
      </c>
      <c r="E6597" s="17" t="s">
        <v>3403</v>
      </c>
      <c r="F6597" s="17" t="s">
        <v>280</v>
      </c>
      <c r="G6597" s="18" t="n">
        <v>0</v>
      </c>
      <c r="H6597" s="18" t="n">
        <v>723.8</v>
      </c>
      <c r="I6597" s="18" t="n">
        <f aca="false">((I6596 + G6597) - H6597)</f>
        <v>151620.41</v>
      </c>
      <c r="J6597" s="18" t="n">
        <v>0</v>
      </c>
      <c r="K6597" s="19" t="n">
        <v>0</v>
      </c>
      <c r="L6597" s="17"/>
    </row>
    <row r="6598" s="11" customFormat="true" ht="10.95" hidden="false" customHeight="true" outlineLevel="0" collapsed="false">
      <c r="A6598" s="16" t="n">
        <v>45273</v>
      </c>
      <c r="B6598" s="17" t="s">
        <v>3369</v>
      </c>
      <c r="C6598" s="17" t="s">
        <v>3370</v>
      </c>
      <c r="D6598" s="17" t="s">
        <v>2895</v>
      </c>
      <c r="E6598" s="17" t="s">
        <v>3403</v>
      </c>
      <c r="F6598" s="17" t="s">
        <v>265</v>
      </c>
      <c r="G6598" s="18" t="n">
        <v>0</v>
      </c>
      <c r="H6598" s="18" t="n">
        <v>1878.25</v>
      </c>
      <c r="I6598" s="18" t="n">
        <f aca="false">((I6597 + G6598) - H6598)</f>
        <v>149742.16</v>
      </c>
      <c r="J6598" s="18" t="n">
        <v>0</v>
      </c>
      <c r="K6598" s="19" t="n">
        <v>0</v>
      </c>
      <c r="L6598" s="17"/>
    </row>
    <row r="6599" s="11" customFormat="true" ht="10.95" hidden="false" customHeight="true" outlineLevel="0" collapsed="false">
      <c r="A6599" s="16" t="n">
        <v>45273</v>
      </c>
      <c r="B6599" s="17" t="s">
        <v>3369</v>
      </c>
      <c r="C6599" s="17" t="s">
        <v>3370</v>
      </c>
      <c r="D6599" s="17" t="s">
        <v>2895</v>
      </c>
      <c r="E6599" s="17" t="s">
        <v>3403</v>
      </c>
      <c r="F6599" s="17" t="s">
        <v>325</v>
      </c>
      <c r="G6599" s="18" t="n">
        <v>0</v>
      </c>
      <c r="H6599" s="18" t="n">
        <v>1137.4</v>
      </c>
      <c r="I6599" s="18" t="n">
        <f aca="false">((I6598 + G6599) - H6599)</f>
        <v>148604.76</v>
      </c>
      <c r="J6599" s="18" t="n">
        <v>0</v>
      </c>
      <c r="K6599" s="19" t="n">
        <v>0</v>
      </c>
      <c r="L6599" s="17"/>
    </row>
    <row r="6600" s="11" customFormat="true" ht="10.95" hidden="false" customHeight="true" outlineLevel="0" collapsed="false">
      <c r="A6600" s="16" t="n">
        <v>45273</v>
      </c>
      <c r="B6600" s="17" t="s">
        <v>3369</v>
      </c>
      <c r="C6600" s="17" t="s">
        <v>3370</v>
      </c>
      <c r="D6600" s="17" t="s">
        <v>2895</v>
      </c>
      <c r="E6600" s="17" t="s">
        <v>3403</v>
      </c>
      <c r="F6600" s="17" t="s">
        <v>324</v>
      </c>
      <c r="G6600" s="18" t="n">
        <v>0</v>
      </c>
      <c r="H6600" s="18" t="n">
        <v>827.2</v>
      </c>
      <c r="I6600" s="18" t="n">
        <f aca="false">((I6599 + G6600) - H6600)</f>
        <v>147777.56</v>
      </c>
      <c r="J6600" s="18" t="n">
        <v>0</v>
      </c>
      <c r="K6600" s="19" t="n">
        <v>0</v>
      </c>
      <c r="L6600" s="17"/>
    </row>
    <row r="6601" s="11" customFormat="true" ht="10.95" hidden="false" customHeight="true" outlineLevel="0" collapsed="false">
      <c r="A6601" s="16" t="n">
        <v>45273</v>
      </c>
      <c r="B6601" s="17" t="s">
        <v>3369</v>
      </c>
      <c r="C6601" s="17" t="s">
        <v>3370</v>
      </c>
      <c r="D6601" s="17" t="s">
        <v>2895</v>
      </c>
      <c r="E6601" s="17" t="s">
        <v>3403</v>
      </c>
      <c r="F6601" s="17" t="s">
        <v>323</v>
      </c>
      <c r="G6601" s="18" t="n">
        <v>0</v>
      </c>
      <c r="H6601" s="18" t="n">
        <v>310.2</v>
      </c>
      <c r="I6601" s="18" t="n">
        <f aca="false">((I6600 + G6601) - H6601)</f>
        <v>147467.36</v>
      </c>
      <c r="J6601" s="18" t="n">
        <v>0</v>
      </c>
      <c r="K6601" s="19" t="n">
        <v>0</v>
      </c>
      <c r="L6601" s="17"/>
    </row>
    <row r="6602" s="11" customFormat="true" ht="10.95" hidden="false" customHeight="true" outlineLevel="0" collapsed="false">
      <c r="A6602" s="16" t="n">
        <v>45273</v>
      </c>
      <c r="B6602" s="17" t="s">
        <v>3369</v>
      </c>
      <c r="C6602" s="17" t="s">
        <v>3370</v>
      </c>
      <c r="D6602" s="17" t="s">
        <v>2895</v>
      </c>
      <c r="E6602" s="17" t="s">
        <v>3403</v>
      </c>
      <c r="F6602" s="17" t="s">
        <v>322</v>
      </c>
      <c r="G6602" s="18" t="n">
        <v>0</v>
      </c>
      <c r="H6602" s="18" t="n">
        <v>310.2</v>
      </c>
      <c r="I6602" s="18" t="n">
        <f aca="false">((I6601 + G6602) - H6602)</f>
        <v>147157.16</v>
      </c>
      <c r="J6602" s="18" t="n">
        <v>0</v>
      </c>
      <c r="K6602" s="19" t="n">
        <v>0</v>
      </c>
      <c r="L6602" s="17"/>
    </row>
    <row r="6603" s="11" customFormat="true" ht="10.95" hidden="false" customHeight="true" outlineLevel="0" collapsed="false">
      <c r="A6603" s="16" t="n">
        <v>45273</v>
      </c>
      <c r="B6603" s="17" t="s">
        <v>3369</v>
      </c>
      <c r="C6603" s="17" t="s">
        <v>3370</v>
      </c>
      <c r="D6603" s="17" t="s">
        <v>2895</v>
      </c>
      <c r="E6603" s="17" t="s">
        <v>3403</v>
      </c>
      <c r="F6603" s="17" t="s">
        <v>321</v>
      </c>
      <c r="G6603" s="18" t="n">
        <v>0</v>
      </c>
      <c r="H6603" s="18" t="n">
        <v>1258.4</v>
      </c>
      <c r="I6603" s="18" t="n">
        <f aca="false">((I6602 + G6603) - H6603)</f>
        <v>145898.76</v>
      </c>
      <c r="J6603" s="18" t="n">
        <v>0</v>
      </c>
      <c r="K6603" s="19" t="n">
        <v>0</v>
      </c>
      <c r="L6603" s="17"/>
    </row>
    <row r="6604" s="11" customFormat="true" ht="10.95" hidden="false" customHeight="true" outlineLevel="0" collapsed="false">
      <c r="A6604" s="16" t="n">
        <v>45273</v>
      </c>
      <c r="B6604" s="17" t="s">
        <v>3369</v>
      </c>
      <c r="C6604" s="17" t="s">
        <v>3370</v>
      </c>
      <c r="D6604" s="17" t="s">
        <v>2895</v>
      </c>
      <c r="E6604" s="17" t="s">
        <v>3403</v>
      </c>
      <c r="F6604" s="17" t="s">
        <v>318</v>
      </c>
      <c r="G6604" s="18" t="n">
        <v>0</v>
      </c>
      <c r="H6604" s="18" t="n">
        <v>316.8</v>
      </c>
      <c r="I6604" s="18" t="n">
        <f aca="false">((I6603 + G6604) - H6604)</f>
        <v>145581.96</v>
      </c>
      <c r="J6604" s="18" t="n">
        <v>0</v>
      </c>
      <c r="K6604" s="19" t="n">
        <v>0</v>
      </c>
      <c r="L6604" s="17"/>
    </row>
    <row r="6605" s="11" customFormat="true" ht="10.95" hidden="false" customHeight="true" outlineLevel="0" collapsed="false">
      <c r="A6605" s="16" t="n">
        <v>45273</v>
      </c>
      <c r="B6605" s="17" t="s">
        <v>3369</v>
      </c>
      <c r="C6605" s="17" t="s">
        <v>3370</v>
      </c>
      <c r="D6605" s="17" t="s">
        <v>2895</v>
      </c>
      <c r="E6605" s="17" t="s">
        <v>3403</v>
      </c>
      <c r="F6605" s="17" t="s">
        <v>326</v>
      </c>
      <c r="G6605" s="18" t="n">
        <v>0</v>
      </c>
      <c r="H6605" s="18" t="n">
        <v>103.4</v>
      </c>
      <c r="I6605" s="18" t="n">
        <f aca="false">((I6604 + G6605) - H6605)</f>
        <v>145478.56</v>
      </c>
      <c r="J6605" s="18" t="n">
        <v>0</v>
      </c>
      <c r="K6605" s="19" t="n">
        <v>0</v>
      </c>
      <c r="L6605" s="17"/>
    </row>
    <row r="6606" s="11" customFormat="true" ht="10.95" hidden="false" customHeight="true" outlineLevel="0" collapsed="false">
      <c r="A6606" s="16" t="n">
        <v>45273</v>
      </c>
      <c r="B6606" s="17" t="s">
        <v>3369</v>
      </c>
      <c r="C6606" s="17" t="s">
        <v>3370</v>
      </c>
      <c r="D6606" s="17" t="s">
        <v>2895</v>
      </c>
      <c r="E6606" s="17" t="s">
        <v>3403</v>
      </c>
      <c r="F6606" s="17" t="s">
        <v>317</v>
      </c>
      <c r="G6606" s="18" t="n">
        <v>0</v>
      </c>
      <c r="H6606" s="18" t="n">
        <v>517</v>
      </c>
      <c r="I6606" s="18" t="n">
        <f aca="false">((I6605 + G6606) - H6606)</f>
        <v>144961.56</v>
      </c>
      <c r="J6606" s="18" t="n">
        <v>0</v>
      </c>
      <c r="K6606" s="19" t="n">
        <v>0</v>
      </c>
      <c r="L6606" s="17"/>
    </row>
    <row r="6607" s="11" customFormat="true" ht="10.95" hidden="false" customHeight="true" outlineLevel="0" collapsed="false">
      <c r="A6607" s="16" t="n">
        <v>45273</v>
      </c>
      <c r="B6607" s="17" t="s">
        <v>3369</v>
      </c>
      <c r="C6607" s="17" t="s">
        <v>3370</v>
      </c>
      <c r="D6607" s="17" t="s">
        <v>2895</v>
      </c>
      <c r="E6607" s="17" t="s">
        <v>3403</v>
      </c>
      <c r="F6607" s="17" t="s">
        <v>313</v>
      </c>
      <c r="G6607" s="18" t="n">
        <v>0</v>
      </c>
      <c r="H6607" s="18" t="n">
        <v>827.2</v>
      </c>
      <c r="I6607" s="18" t="n">
        <f aca="false">((I6606 + G6607) - H6607)</f>
        <v>144134.36</v>
      </c>
      <c r="J6607" s="18" t="n">
        <v>0</v>
      </c>
      <c r="K6607" s="19" t="n">
        <v>0</v>
      </c>
      <c r="L6607" s="17"/>
    </row>
    <row r="6608" s="11" customFormat="true" ht="10.95" hidden="false" customHeight="true" outlineLevel="0" collapsed="false">
      <c r="A6608" s="16" t="n">
        <v>45275</v>
      </c>
      <c r="B6608" s="17" t="s">
        <v>3369</v>
      </c>
      <c r="C6608" s="17" t="s">
        <v>3370</v>
      </c>
      <c r="D6608" s="17" t="s">
        <v>2895</v>
      </c>
      <c r="E6608" s="17" t="s">
        <v>2897</v>
      </c>
      <c r="F6608" s="17" t="s">
        <v>857</v>
      </c>
      <c r="G6608" s="18" t="n">
        <v>0</v>
      </c>
      <c r="H6608" s="18" t="n">
        <v>1758.85</v>
      </c>
      <c r="I6608" s="18" t="n">
        <f aca="false">((I6607 + G6608) - H6608)</f>
        <v>142375.51</v>
      </c>
      <c r="J6608" s="18" t="n">
        <v>0</v>
      </c>
      <c r="K6608" s="19" t="n">
        <v>0</v>
      </c>
      <c r="L6608" s="17"/>
    </row>
    <row r="6609" s="11" customFormat="true" ht="10.95" hidden="false" customHeight="true" outlineLevel="0" collapsed="false">
      <c r="A6609" s="16" t="n">
        <v>45275</v>
      </c>
      <c r="B6609" s="17" t="s">
        <v>3369</v>
      </c>
      <c r="C6609" s="17" t="s">
        <v>3370</v>
      </c>
      <c r="D6609" s="17" t="s">
        <v>2895</v>
      </c>
      <c r="E6609" s="17" t="s">
        <v>2897</v>
      </c>
      <c r="F6609" s="17" t="s">
        <v>854</v>
      </c>
      <c r="G6609" s="18" t="n">
        <v>0</v>
      </c>
      <c r="H6609" s="18" t="n">
        <v>5276.55</v>
      </c>
      <c r="I6609" s="18" t="n">
        <f aca="false">((I6608 + G6609) - H6609)</f>
        <v>137098.96</v>
      </c>
      <c r="J6609" s="18" t="n">
        <v>0</v>
      </c>
      <c r="K6609" s="19" t="n">
        <v>0</v>
      </c>
      <c r="L6609" s="17"/>
    </row>
    <row r="6610" s="11" customFormat="true" ht="10.95" hidden="false" customHeight="true" outlineLevel="0" collapsed="false">
      <c r="A6610" s="16" t="n">
        <v>45275</v>
      </c>
      <c r="B6610" s="17" t="s">
        <v>3369</v>
      </c>
      <c r="C6610" s="17" t="s">
        <v>3370</v>
      </c>
      <c r="D6610" s="17" t="s">
        <v>2895</v>
      </c>
      <c r="E6610" s="17" t="s">
        <v>2897</v>
      </c>
      <c r="F6610" s="17" t="s">
        <v>850</v>
      </c>
      <c r="G6610" s="18" t="n">
        <v>0</v>
      </c>
      <c r="H6610" s="18" t="n">
        <v>10418.44</v>
      </c>
      <c r="I6610" s="18" t="n">
        <f aca="false">((I6609 + G6610) - H6610)</f>
        <v>126680.52</v>
      </c>
      <c r="J6610" s="18" t="n">
        <v>0</v>
      </c>
      <c r="K6610" s="19" t="n">
        <v>0</v>
      </c>
      <c r="L6610" s="17"/>
    </row>
    <row r="6611" s="11" customFormat="true" ht="10.95" hidden="false" customHeight="true" outlineLevel="0" collapsed="false">
      <c r="A6611" s="16" t="n">
        <v>45278</v>
      </c>
      <c r="B6611" s="17" t="s">
        <v>3369</v>
      </c>
      <c r="C6611" s="17" t="s">
        <v>3370</v>
      </c>
      <c r="D6611" s="17" t="s">
        <v>19</v>
      </c>
      <c r="E6611" s="17" t="s">
        <v>3450</v>
      </c>
      <c r="F6611" s="17" t="s">
        <v>1173</v>
      </c>
      <c r="G6611" s="18" t="n">
        <v>7078.8</v>
      </c>
      <c r="H6611" s="18" t="n">
        <v>0</v>
      </c>
      <c r="I6611" s="18" t="n">
        <f aca="false">((I6610 + G6611) - H6611)</f>
        <v>133759.32</v>
      </c>
      <c r="J6611" s="18" t="n">
        <v>0</v>
      </c>
      <c r="K6611" s="19" t="n">
        <v>0</v>
      </c>
      <c r="L6611" s="17"/>
    </row>
    <row r="6612" s="11" customFormat="true" ht="10.95" hidden="false" customHeight="true" outlineLevel="0" collapsed="false">
      <c r="A6612" s="16" t="n">
        <v>45280</v>
      </c>
      <c r="B6612" s="17" t="s">
        <v>3369</v>
      </c>
      <c r="C6612" s="17" t="s">
        <v>3370</v>
      </c>
      <c r="D6612" s="17" t="s">
        <v>19</v>
      </c>
      <c r="E6612" s="17" t="s">
        <v>3381</v>
      </c>
      <c r="F6612" s="17" t="s">
        <v>987</v>
      </c>
      <c r="G6612" s="18" t="n">
        <v>891.89</v>
      </c>
      <c r="H6612" s="18" t="n">
        <v>0</v>
      </c>
      <c r="I6612" s="18" t="n">
        <f aca="false">((I6611 + G6612) - H6612)</f>
        <v>134651.21</v>
      </c>
      <c r="J6612" s="18" t="n">
        <v>0</v>
      </c>
      <c r="K6612" s="19" t="n">
        <v>0</v>
      </c>
      <c r="L6612" s="17"/>
    </row>
    <row r="6613" s="11" customFormat="true" ht="10.95" hidden="false" customHeight="true" outlineLevel="0" collapsed="false">
      <c r="A6613" s="16" t="n">
        <v>45280</v>
      </c>
      <c r="B6613" s="17" t="s">
        <v>3369</v>
      </c>
      <c r="C6613" s="17" t="s">
        <v>3370</v>
      </c>
      <c r="D6613" s="17" t="s">
        <v>19</v>
      </c>
      <c r="E6613" s="17" t="s">
        <v>3501</v>
      </c>
      <c r="F6613" s="17" t="s">
        <v>384</v>
      </c>
      <c r="G6613" s="18" t="n">
        <v>157.3</v>
      </c>
      <c r="H6613" s="18" t="n">
        <v>0</v>
      </c>
      <c r="I6613" s="18" t="n">
        <f aca="false">((I6612 + G6613) - H6613)</f>
        <v>134808.51</v>
      </c>
      <c r="J6613" s="18" t="n">
        <v>0</v>
      </c>
      <c r="K6613" s="19" t="n">
        <v>0</v>
      </c>
      <c r="L6613" s="17"/>
    </row>
    <row r="6614" s="11" customFormat="true" ht="10.95" hidden="false" customHeight="true" outlineLevel="0" collapsed="false">
      <c r="A6614" s="16" t="n">
        <v>45280</v>
      </c>
      <c r="B6614" s="17" t="s">
        <v>3369</v>
      </c>
      <c r="C6614" s="17" t="s">
        <v>3370</v>
      </c>
      <c r="D6614" s="17" t="s">
        <v>19</v>
      </c>
      <c r="E6614" s="17" t="s">
        <v>3502</v>
      </c>
      <c r="F6614" s="17" t="s">
        <v>385</v>
      </c>
      <c r="G6614" s="18" t="n">
        <v>199.65</v>
      </c>
      <c r="H6614" s="18" t="n">
        <v>0</v>
      </c>
      <c r="I6614" s="18" t="n">
        <f aca="false">((I6613 + G6614) - H6614)</f>
        <v>135008.16</v>
      </c>
      <c r="J6614" s="18" t="n">
        <v>0</v>
      </c>
      <c r="K6614" s="19" t="n">
        <v>0</v>
      </c>
      <c r="L6614" s="17"/>
    </row>
    <row r="6615" s="11" customFormat="true" ht="10.95" hidden="false" customHeight="true" outlineLevel="0" collapsed="false">
      <c r="A6615" s="16" t="n">
        <v>45280</v>
      </c>
      <c r="B6615" s="17" t="s">
        <v>3369</v>
      </c>
      <c r="C6615" s="17" t="s">
        <v>3370</v>
      </c>
      <c r="D6615" s="17" t="s">
        <v>19</v>
      </c>
      <c r="E6615" s="17" t="s">
        <v>3489</v>
      </c>
      <c r="F6615" s="17" t="s">
        <v>988</v>
      </c>
      <c r="G6615" s="18" t="n">
        <v>1791.89</v>
      </c>
      <c r="H6615" s="18" t="n">
        <v>0</v>
      </c>
      <c r="I6615" s="18" t="n">
        <f aca="false">((I6614 + G6615) - H6615)</f>
        <v>136800.05</v>
      </c>
      <c r="J6615" s="18" t="n">
        <v>0</v>
      </c>
      <c r="K6615" s="19" t="n">
        <v>0</v>
      </c>
      <c r="L6615" s="17"/>
    </row>
    <row r="6616" s="11" customFormat="true" ht="10.95" hidden="false" customHeight="true" outlineLevel="0" collapsed="false">
      <c r="A6616" s="16" t="n">
        <v>45280</v>
      </c>
      <c r="B6616" s="17" t="s">
        <v>3369</v>
      </c>
      <c r="C6616" s="17" t="s">
        <v>3370</v>
      </c>
      <c r="D6616" s="17" t="s">
        <v>19</v>
      </c>
      <c r="E6616" s="17" t="s">
        <v>3490</v>
      </c>
      <c r="F6616" s="17" t="s">
        <v>386</v>
      </c>
      <c r="G6616" s="18" t="n">
        <v>1034.55</v>
      </c>
      <c r="H6616" s="18" t="n">
        <v>0</v>
      </c>
      <c r="I6616" s="18" t="n">
        <f aca="false">((I6615 + G6616) - H6616)</f>
        <v>137834.6</v>
      </c>
      <c r="J6616" s="18" t="n">
        <v>0</v>
      </c>
      <c r="K6616" s="19" t="n">
        <v>0</v>
      </c>
      <c r="L6616" s="17"/>
    </row>
    <row r="6617" s="11" customFormat="true" ht="10.95" hidden="false" customHeight="true" outlineLevel="0" collapsed="false">
      <c r="A6617" s="16" t="n">
        <v>45280</v>
      </c>
      <c r="B6617" s="17" t="s">
        <v>3369</v>
      </c>
      <c r="C6617" s="17" t="s">
        <v>3370</v>
      </c>
      <c r="D6617" s="17" t="s">
        <v>19</v>
      </c>
      <c r="E6617" s="17" t="s">
        <v>3422</v>
      </c>
      <c r="F6617" s="17" t="s">
        <v>989</v>
      </c>
      <c r="G6617" s="18" t="n">
        <v>9238.62</v>
      </c>
      <c r="H6617" s="18" t="n">
        <v>0</v>
      </c>
      <c r="I6617" s="18" t="n">
        <f aca="false">((I6616 + G6617) - H6617)</f>
        <v>147073.22</v>
      </c>
      <c r="J6617" s="18" t="n">
        <v>0</v>
      </c>
      <c r="K6617" s="19" t="n">
        <v>0</v>
      </c>
      <c r="L6617" s="17"/>
    </row>
    <row r="6618" s="11" customFormat="true" ht="10.95" hidden="false" customHeight="true" outlineLevel="0" collapsed="false">
      <c r="A6618" s="16" t="n">
        <v>45280</v>
      </c>
      <c r="B6618" s="17" t="s">
        <v>3369</v>
      </c>
      <c r="C6618" s="17" t="s">
        <v>3370</v>
      </c>
      <c r="D6618" s="17" t="s">
        <v>19</v>
      </c>
      <c r="E6618" s="17" t="s">
        <v>3423</v>
      </c>
      <c r="F6618" s="17" t="s">
        <v>863</v>
      </c>
      <c r="G6618" s="18" t="n">
        <v>88.96</v>
      </c>
      <c r="H6618" s="18" t="n">
        <v>0</v>
      </c>
      <c r="I6618" s="18" t="n">
        <f aca="false">((I6617 + G6618) - H6618)</f>
        <v>147162.18</v>
      </c>
      <c r="J6618" s="18" t="n">
        <v>0</v>
      </c>
      <c r="K6618" s="19" t="n">
        <v>0</v>
      </c>
      <c r="L6618" s="17"/>
    </row>
    <row r="6619" s="11" customFormat="true" ht="10.95" hidden="false" customHeight="true" outlineLevel="0" collapsed="false">
      <c r="A6619" s="16" t="n">
        <v>45280</v>
      </c>
      <c r="B6619" s="17" t="s">
        <v>3369</v>
      </c>
      <c r="C6619" s="17" t="s">
        <v>3370</v>
      </c>
      <c r="D6619" s="17" t="s">
        <v>19</v>
      </c>
      <c r="E6619" s="17" t="s">
        <v>3424</v>
      </c>
      <c r="F6619" s="17" t="s">
        <v>387</v>
      </c>
      <c r="G6619" s="18" t="n">
        <v>413.6</v>
      </c>
      <c r="H6619" s="18" t="n">
        <v>0</v>
      </c>
      <c r="I6619" s="18" t="n">
        <f aca="false">((I6618 + G6619) - H6619)</f>
        <v>147575.78</v>
      </c>
      <c r="J6619" s="18" t="n">
        <v>0</v>
      </c>
      <c r="K6619" s="19" t="n">
        <v>0</v>
      </c>
      <c r="L6619" s="17"/>
    </row>
    <row r="6620" s="11" customFormat="true" ht="10.95" hidden="false" customHeight="true" outlineLevel="0" collapsed="false">
      <c r="A6620" s="16" t="n">
        <v>45280</v>
      </c>
      <c r="B6620" s="17" t="s">
        <v>3369</v>
      </c>
      <c r="C6620" s="17" t="s">
        <v>3370</v>
      </c>
      <c r="D6620" s="17" t="s">
        <v>19</v>
      </c>
      <c r="E6620" s="17" t="s">
        <v>3506</v>
      </c>
      <c r="F6620" s="17" t="s">
        <v>990</v>
      </c>
      <c r="G6620" s="18" t="n">
        <v>3831.45</v>
      </c>
      <c r="H6620" s="18" t="n">
        <v>0</v>
      </c>
      <c r="I6620" s="18" t="n">
        <f aca="false">((I6619 + G6620) - H6620)</f>
        <v>151407.23</v>
      </c>
      <c r="J6620" s="18" t="n">
        <v>0</v>
      </c>
      <c r="K6620" s="19" t="n">
        <v>0</v>
      </c>
      <c r="L6620" s="17"/>
    </row>
    <row r="6621" s="11" customFormat="true" ht="10.95" hidden="false" customHeight="true" outlineLevel="0" collapsed="false">
      <c r="A6621" s="16" t="n">
        <v>45280</v>
      </c>
      <c r="B6621" s="17" t="s">
        <v>3369</v>
      </c>
      <c r="C6621" s="17" t="s">
        <v>3370</v>
      </c>
      <c r="D6621" s="17" t="s">
        <v>19</v>
      </c>
      <c r="E6621" s="17" t="s">
        <v>3425</v>
      </c>
      <c r="F6621" s="17" t="s">
        <v>1174</v>
      </c>
      <c r="G6621" s="18" t="n">
        <v>768.68</v>
      </c>
      <c r="H6621" s="18" t="n">
        <v>0</v>
      </c>
      <c r="I6621" s="18" t="n">
        <f aca="false">((I6620 + G6621) - H6621)</f>
        <v>152175.91</v>
      </c>
      <c r="J6621" s="18" t="n">
        <v>0</v>
      </c>
      <c r="K6621" s="19" t="n">
        <v>0</v>
      </c>
      <c r="L6621" s="17"/>
    </row>
    <row r="6622" s="11" customFormat="true" ht="10.95" hidden="false" customHeight="true" outlineLevel="0" collapsed="false">
      <c r="A6622" s="16" t="n">
        <v>45280</v>
      </c>
      <c r="B6622" s="17" t="s">
        <v>3369</v>
      </c>
      <c r="C6622" s="17" t="s">
        <v>3370</v>
      </c>
      <c r="D6622" s="17" t="s">
        <v>19</v>
      </c>
      <c r="E6622" s="17" t="s">
        <v>3426</v>
      </c>
      <c r="F6622" s="17" t="s">
        <v>388</v>
      </c>
      <c r="G6622" s="18" t="n">
        <v>1386</v>
      </c>
      <c r="H6622" s="18" t="n">
        <v>0</v>
      </c>
      <c r="I6622" s="18" t="n">
        <f aca="false">((I6621 + G6622) - H6622)</f>
        <v>153561.91</v>
      </c>
      <c r="J6622" s="18" t="n">
        <v>0</v>
      </c>
      <c r="K6622" s="19" t="n">
        <v>0</v>
      </c>
      <c r="L6622" s="17"/>
    </row>
    <row r="6623" s="11" customFormat="true" ht="10.95" hidden="false" customHeight="true" outlineLevel="0" collapsed="false">
      <c r="A6623" s="16" t="n">
        <v>45280</v>
      </c>
      <c r="B6623" s="17" t="s">
        <v>3369</v>
      </c>
      <c r="C6623" s="17" t="s">
        <v>3370</v>
      </c>
      <c r="D6623" s="17" t="s">
        <v>19</v>
      </c>
      <c r="E6623" s="17" t="s">
        <v>3427</v>
      </c>
      <c r="F6623" s="17" t="s">
        <v>389</v>
      </c>
      <c r="G6623" s="18" t="n">
        <v>561</v>
      </c>
      <c r="H6623" s="18" t="n">
        <v>0</v>
      </c>
      <c r="I6623" s="18" t="n">
        <f aca="false">((I6622 + G6623) - H6623)</f>
        <v>154122.91</v>
      </c>
      <c r="J6623" s="18" t="n">
        <v>0</v>
      </c>
      <c r="K6623" s="19" t="n">
        <v>0</v>
      </c>
      <c r="L6623" s="17"/>
    </row>
    <row r="6624" s="11" customFormat="true" ht="10.95" hidden="false" customHeight="true" outlineLevel="0" collapsed="false">
      <c r="A6624" s="16" t="n">
        <v>45280</v>
      </c>
      <c r="B6624" s="17" t="s">
        <v>3369</v>
      </c>
      <c r="C6624" s="17" t="s">
        <v>3370</v>
      </c>
      <c r="D6624" s="17" t="s">
        <v>19</v>
      </c>
      <c r="E6624" s="17" t="s">
        <v>3429</v>
      </c>
      <c r="F6624" s="17" t="s">
        <v>390</v>
      </c>
      <c r="G6624" s="18" t="n">
        <v>93.5</v>
      </c>
      <c r="H6624" s="18" t="n">
        <v>0</v>
      </c>
      <c r="I6624" s="18" t="n">
        <f aca="false">((I6623 + G6624) - H6624)</f>
        <v>154216.41</v>
      </c>
      <c r="J6624" s="18" t="n">
        <v>0</v>
      </c>
      <c r="K6624" s="19" t="n">
        <v>0</v>
      </c>
      <c r="L6624" s="17"/>
    </row>
    <row r="6625" s="11" customFormat="true" ht="10.95" hidden="false" customHeight="true" outlineLevel="0" collapsed="false">
      <c r="A6625" s="16" t="n">
        <v>45280</v>
      </c>
      <c r="B6625" s="17" t="s">
        <v>3369</v>
      </c>
      <c r="C6625" s="17" t="s">
        <v>3370</v>
      </c>
      <c r="D6625" s="17" t="s">
        <v>19</v>
      </c>
      <c r="E6625" s="17" t="s">
        <v>3430</v>
      </c>
      <c r="F6625" s="17" t="s">
        <v>864</v>
      </c>
      <c r="G6625" s="18" t="n">
        <v>477.04</v>
      </c>
      <c r="H6625" s="18" t="n">
        <v>0</v>
      </c>
      <c r="I6625" s="18" t="n">
        <f aca="false">((I6624 + G6625) - H6625)</f>
        <v>154693.45</v>
      </c>
      <c r="J6625" s="18" t="n">
        <v>0</v>
      </c>
      <c r="K6625" s="19" t="n">
        <v>0</v>
      </c>
      <c r="L6625" s="17"/>
    </row>
    <row r="6626" s="11" customFormat="true" ht="10.95" hidden="false" customHeight="true" outlineLevel="0" collapsed="false">
      <c r="A6626" s="16" t="n">
        <v>45280</v>
      </c>
      <c r="B6626" s="17" t="s">
        <v>3369</v>
      </c>
      <c r="C6626" s="17" t="s">
        <v>3370</v>
      </c>
      <c r="D6626" s="17" t="s">
        <v>19</v>
      </c>
      <c r="E6626" s="17" t="s">
        <v>3430</v>
      </c>
      <c r="F6626" s="17" t="s">
        <v>865</v>
      </c>
      <c r="G6626" s="18" t="n">
        <v>318.03</v>
      </c>
      <c r="H6626" s="18" t="n">
        <v>0</v>
      </c>
      <c r="I6626" s="18" t="n">
        <f aca="false">((I6625 + G6626) - H6626)</f>
        <v>155011.48</v>
      </c>
      <c r="J6626" s="18" t="n">
        <v>0</v>
      </c>
      <c r="K6626" s="19" t="n">
        <v>0</v>
      </c>
      <c r="L6626" s="17"/>
    </row>
    <row r="6627" s="11" customFormat="true" ht="10.95" hidden="false" customHeight="true" outlineLevel="0" collapsed="false">
      <c r="A6627" s="16" t="n">
        <v>45280</v>
      </c>
      <c r="B6627" s="17" t="s">
        <v>3369</v>
      </c>
      <c r="C6627" s="17" t="s">
        <v>3370</v>
      </c>
      <c r="D6627" s="17" t="s">
        <v>19</v>
      </c>
      <c r="E6627" s="17" t="s">
        <v>3431</v>
      </c>
      <c r="F6627" s="17" t="s">
        <v>391</v>
      </c>
      <c r="G6627" s="18" t="n">
        <v>357.5</v>
      </c>
      <c r="H6627" s="18" t="n">
        <v>0</v>
      </c>
      <c r="I6627" s="18" t="n">
        <f aca="false">((I6626 + G6627) - H6627)</f>
        <v>155368.98</v>
      </c>
      <c r="J6627" s="18" t="n">
        <v>0</v>
      </c>
      <c r="K6627" s="19" t="n">
        <v>0</v>
      </c>
      <c r="L6627" s="17"/>
    </row>
    <row r="6628" s="11" customFormat="true" ht="10.95" hidden="false" customHeight="true" outlineLevel="0" collapsed="false">
      <c r="A6628" s="16" t="n">
        <v>45280</v>
      </c>
      <c r="B6628" s="17" t="s">
        <v>3369</v>
      </c>
      <c r="C6628" s="17" t="s">
        <v>3370</v>
      </c>
      <c r="D6628" s="17" t="s">
        <v>19</v>
      </c>
      <c r="E6628" s="17" t="s">
        <v>3432</v>
      </c>
      <c r="F6628" s="17" t="s">
        <v>392</v>
      </c>
      <c r="G6628" s="18" t="n">
        <v>1094.5</v>
      </c>
      <c r="H6628" s="18" t="n">
        <v>0</v>
      </c>
      <c r="I6628" s="18" t="n">
        <f aca="false">((I6627 + G6628) - H6628)</f>
        <v>156463.48</v>
      </c>
      <c r="J6628" s="18" t="n">
        <v>0</v>
      </c>
      <c r="K6628" s="19" t="n">
        <v>0</v>
      </c>
      <c r="L6628" s="17"/>
    </row>
    <row r="6629" s="11" customFormat="true" ht="10.95" hidden="false" customHeight="true" outlineLevel="0" collapsed="false">
      <c r="A6629" s="16" t="n">
        <v>45280</v>
      </c>
      <c r="B6629" s="17" t="s">
        <v>3369</v>
      </c>
      <c r="C6629" s="17" t="s">
        <v>3370</v>
      </c>
      <c r="D6629" s="17" t="s">
        <v>19</v>
      </c>
      <c r="E6629" s="17" t="s">
        <v>3433</v>
      </c>
      <c r="F6629" s="17" t="s">
        <v>393</v>
      </c>
      <c r="G6629" s="18" t="n">
        <v>4207.5</v>
      </c>
      <c r="H6629" s="18" t="n">
        <v>0</v>
      </c>
      <c r="I6629" s="18" t="n">
        <f aca="false">((I6628 + G6629) - H6629)</f>
        <v>160670.98</v>
      </c>
      <c r="J6629" s="18" t="n">
        <v>0</v>
      </c>
      <c r="K6629" s="19" t="n">
        <v>0</v>
      </c>
      <c r="L6629" s="17"/>
    </row>
    <row r="6630" s="11" customFormat="true" ht="10.95" hidden="false" customHeight="true" outlineLevel="0" collapsed="false">
      <c r="A6630" s="16" t="n">
        <v>45280</v>
      </c>
      <c r="B6630" s="17" t="s">
        <v>3369</v>
      </c>
      <c r="C6630" s="17" t="s">
        <v>3370</v>
      </c>
      <c r="D6630" s="17" t="s">
        <v>19</v>
      </c>
      <c r="E6630" s="17" t="s">
        <v>3433</v>
      </c>
      <c r="F6630" s="17" t="s">
        <v>394</v>
      </c>
      <c r="G6630" s="18" t="n">
        <v>4182.2</v>
      </c>
      <c r="H6630" s="18" t="n">
        <v>0</v>
      </c>
      <c r="I6630" s="18" t="n">
        <f aca="false">((I6629 + G6630) - H6630)</f>
        <v>164853.18</v>
      </c>
      <c r="J6630" s="18" t="n">
        <v>0</v>
      </c>
      <c r="K6630" s="19" t="n">
        <v>0</v>
      </c>
      <c r="L6630" s="17"/>
    </row>
    <row r="6631" s="11" customFormat="true" ht="10.95" hidden="false" customHeight="true" outlineLevel="0" collapsed="false">
      <c r="A6631" s="16" t="n">
        <v>45280</v>
      </c>
      <c r="B6631" s="17" t="s">
        <v>3369</v>
      </c>
      <c r="C6631" s="17" t="s">
        <v>3370</v>
      </c>
      <c r="D6631" s="17" t="s">
        <v>19</v>
      </c>
      <c r="E6631" s="17" t="s">
        <v>3435</v>
      </c>
      <c r="F6631" s="17" t="s">
        <v>396</v>
      </c>
      <c r="G6631" s="18" t="n">
        <v>28516.08</v>
      </c>
      <c r="H6631" s="18" t="n">
        <v>0</v>
      </c>
      <c r="I6631" s="18" t="n">
        <f aca="false">((I6630 + G6631) - H6631)</f>
        <v>193369.26</v>
      </c>
      <c r="J6631" s="18" t="n">
        <v>0</v>
      </c>
      <c r="K6631" s="19" t="n">
        <v>0</v>
      </c>
      <c r="L6631" s="17"/>
    </row>
    <row r="6632" s="11" customFormat="true" ht="10.95" hidden="false" customHeight="true" outlineLevel="0" collapsed="false">
      <c r="A6632" s="16" t="n">
        <v>45280</v>
      </c>
      <c r="B6632" s="17" t="s">
        <v>3369</v>
      </c>
      <c r="C6632" s="17" t="s">
        <v>3370</v>
      </c>
      <c r="D6632" s="17" t="s">
        <v>19</v>
      </c>
      <c r="E6632" s="17" t="s">
        <v>3435</v>
      </c>
      <c r="F6632" s="17" t="s">
        <v>398</v>
      </c>
      <c r="G6632" s="18" t="n">
        <v>2244</v>
      </c>
      <c r="H6632" s="18" t="n">
        <v>0</v>
      </c>
      <c r="I6632" s="18" t="n">
        <f aca="false">((I6631 + G6632) - H6632)</f>
        <v>195613.26</v>
      </c>
      <c r="J6632" s="18" t="n">
        <v>0</v>
      </c>
      <c r="K6632" s="19" t="n">
        <v>0</v>
      </c>
      <c r="L6632" s="17"/>
    </row>
    <row r="6633" s="11" customFormat="true" ht="10.95" hidden="false" customHeight="true" outlineLevel="0" collapsed="false">
      <c r="A6633" s="16" t="n">
        <v>45280</v>
      </c>
      <c r="B6633" s="17" t="s">
        <v>3369</v>
      </c>
      <c r="C6633" s="17" t="s">
        <v>3370</v>
      </c>
      <c r="D6633" s="17" t="s">
        <v>19</v>
      </c>
      <c r="E6633" s="17" t="s">
        <v>3436</v>
      </c>
      <c r="F6633" s="17" t="s">
        <v>866</v>
      </c>
      <c r="G6633" s="18" t="n">
        <v>2403.5</v>
      </c>
      <c r="H6633" s="18" t="n">
        <v>0</v>
      </c>
      <c r="I6633" s="18" t="n">
        <f aca="false">((I6632 + G6633) - H6633)</f>
        <v>198016.76</v>
      </c>
      <c r="J6633" s="18" t="n">
        <v>0</v>
      </c>
      <c r="K6633" s="19" t="n">
        <v>0</v>
      </c>
      <c r="L6633" s="17"/>
    </row>
    <row r="6634" s="11" customFormat="true" ht="10.95" hidden="false" customHeight="true" outlineLevel="0" collapsed="false">
      <c r="A6634" s="16" t="n">
        <v>45280</v>
      </c>
      <c r="B6634" s="17" t="s">
        <v>3369</v>
      </c>
      <c r="C6634" s="17" t="s">
        <v>3370</v>
      </c>
      <c r="D6634" s="17" t="s">
        <v>19</v>
      </c>
      <c r="E6634" s="17" t="s">
        <v>3436</v>
      </c>
      <c r="F6634" s="17" t="s">
        <v>867</v>
      </c>
      <c r="G6634" s="18" t="n">
        <v>1001</v>
      </c>
      <c r="H6634" s="18" t="n">
        <v>0</v>
      </c>
      <c r="I6634" s="18" t="n">
        <f aca="false">((I6633 + G6634) - H6634)</f>
        <v>199017.76</v>
      </c>
      <c r="J6634" s="18" t="n">
        <v>0</v>
      </c>
      <c r="K6634" s="19" t="n">
        <v>0</v>
      </c>
      <c r="L6634" s="17"/>
    </row>
    <row r="6635" s="11" customFormat="true" ht="10.95" hidden="false" customHeight="true" outlineLevel="0" collapsed="false">
      <c r="A6635" s="16" t="n">
        <v>45280</v>
      </c>
      <c r="B6635" s="17" t="s">
        <v>3369</v>
      </c>
      <c r="C6635" s="17" t="s">
        <v>3370</v>
      </c>
      <c r="D6635" s="17" t="s">
        <v>19</v>
      </c>
      <c r="E6635" s="17" t="s">
        <v>3436</v>
      </c>
      <c r="F6635" s="17" t="s">
        <v>868</v>
      </c>
      <c r="G6635" s="18" t="n">
        <v>1672</v>
      </c>
      <c r="H6635" s="18" t="n">
        <v>0</v>
      </c>
      <c r="I6635" s="18" t="n">
        <f aca="false">((I6634 + G6635) - H6635)</f>
        <v>200689.76</v>
      </c>
      <c r="J6635" s="18" t="n">
        <v>0</v>
      </c>
      <c r="K6635" s="19" t="n">
        <v>0</v>
      </c>
      <c r="L6635" s="17"/>
    </row>
    <row r="6636" s="11" customFormat="true" ht="10.95" hidden="false" customHeight="true" outlineLevel="0" collapsed="false">
      <c r="A6636" s="16" t="n">
        <v>45280</v>
      </c>
      <c r="B6636" s="17" t="s">
        <v>3369</v>
      </c>
      <c r="C6636" s="17" t="s">
        <v>3370</v>
      </c>
      <c r="D6636" s="17" t="s">
        <v>19</v>
      </c>
      <c r="E6636" s="17" t="s">
        <v>3409</v>
      </c>
      <c r="F6636" s="17" t="s">
        <v>869</v>
      </c>
      <c r="G6636" s="18" t="n">
        <v>2515.15</v>
      </c>
      <c r="H6636" s="18" t="n">
        <v>0</v>
      </c>
      <c r="I6636" s="18" t="n">
        <f aca="false">((I6635 + G6636) - H6636)</f>
        <v>203204.91</v>
      </c>
      <c r="J6636" s="18" t="n">
        <v>0</v>
      </c>
      <c r="K6636" s="19" t="n">
        <v>0</v>
      </c>
      <c r="L6636" s="17"/>
    </row>
    <row r="6637" s="11" customFormat="true" ht="10.95" hidden="false" customHeight="true" outlineLevel="0" collapsed="false">
      <c r="A6637" s="16" t="n">
        <v>45280</v>
      </c>
      <c r="B6637" s="17" t="s">
        <v>3369</v>
      </c>
      <c r="C6637" s="17" t="s">
        <v>3370</v>
      </c>
      <c r="D6637" s="17" t="s">
        <v>19</v>
      </c>
      <c r="E6637" s="17" t="s">
        <v>3437</v>
      </c>
      <c r="F6637" s="17" t="s">
        <v>399</v>
      </c>
      <c r="G6637" s="18" t="n">
        <v>1100.06</v>
      </c>
      <c r="H6637" s="18" t="n">
        <v>0</v>
      </c>
      <c r="I6637" s="18" t="n">
        <f aca="false">((I6636 + G6637) - H6637)</f>
        <v>204304.97</v>
      </c>
      <c r="J6637" s="18" t="n">
        <v>0</v>
      </c>
      <c r="K6637" s="19" t="n">
        <v>0</v>
      </c>
      <c r="L6637" s="17"/>
    </row>
    <row r="6638" s="11" customFormat="true" ht="10.95" hidden="false" customHeight="true" outlineLevel="0" collapsed="false">
      <c r="A6638" s="16" t="n">
        <v>45280</v>
      </c>
      <c r="B6638" s="17" t="s">
        <v>3369</v>
      </c>
      <c r="C6638" s="17" t="s">
        <v>3370</v>
      </c>
      <c r="D6638" s="17" t="s">
        <v>19</v>
      </c>
      <c r="E6638" s="17" t="s">
        <v>3438</v>
      </c>
      <c r="F6638" s="17" t="s">
        <v>1175</v>
      </c>
      <c r="G6638" s="18" t="n">
        <v>3116.68</v>
      </c>
      <c r="H6638" s="18" t="n">
        <v>0</v>
      </c>
      <c r="I6638" s="18" t="n">
        <f aca="false">((I6637 + G6638) - H6638)</f>
        <v>207421.65</v>
      </c>
      <c r="J6638" s="18" t="n">
        <v>0</v>
      </c>
      <c r="K6638" s="19" t="n">
        <v>0</v>
      </c>
      <c r="L6638" s="17"/>
    </row>
    <row r="6639" s="11" customFormat="true" ht="10.95" hidden="false" customHeight="true" outlineLevel="0" collapsed="false">
      <c r="A6639" s="16" t="n">
        <v>45280</v>
      </c>
      <c r="B6639" s="17" t="s">
        <v>3369</v>
      </c>
      <c r="C6639" s="17" t="s">
        <v>3370</v>
      </c>
      <c r="D6639" s="17" t="s">
        <v>19</v>
      </c>
      <c r="E6639" s="17" t="s">
        <v>3439</v>
      </c>
      <c r="F6639" s="17" t="s">
        <v>400</v>
      </c>
      <c r="G6639" s="18" t="n">
        <v>1052.7</v>
      </c>
      <c r="H6639" s="18" t="n">
        <v>0</v>
      </c>
      <c r="I6639" s="18" t="n">
        <f aca="false">((I6638 + G6639) - H6639)</f>
        <v>208474.35</v>
      </c>
      <c r="J6639" s="18" t="n">
        <v>0</v>
      </c>
      <c r="K6639" s="19" t="n">
        <v>0</v>
      </c>
      <c r="L6639" s="17"/>
    </row>
    <row r="6640" s="11" customFormat="true" ht="10.95" hidden="false" customHeight="true" outlineLevel="0" collapsed="false">
      <c r="A6640" s="16" t="n">
        <v>45280</v>
      </c>
      <c r="B6640" s="17" t="s">
        <v>3369</v>
      </c>
      <c r="C6640" s="17" t="s">
        <v>3370</v>
      </c>
      <c r="D6640" s="17" t="s">
        <v>19</v>
      </c>
      <c r="E6640" s="17" t="s">
        <v>3440</v>
      </c>
      <c r="F6640" s="17" t="s">
        <v>1176</v>
      </c>
      <c r="G6640" s="18" t="n">
        <v>1507.32</v>
      </c>
      <c r="H6640" s="18" t="n">
        <v>0</v>
      </c>
      <c r="I6640" s="18" t="n">
        <f aca="false">((I6639 + G6640) - H6640)</f>
        <v>209981.67</v>
      </c>
      <c r="J6640" s="18" t="n">
        <v>0</v>
      </c>
      <c r="K6640" s="19" t="n">
        <v>0</v>
      </c>
      <c r="L6640" s="17"/>
    </row>
    <row r="6641" s="11" customFormat="true" ht="10.95" hidden="false" customHeight="true" outlineLevel="0" collapsed="false">
      <c r="A6641" s="16" t="n">
        <v>45280</v>
      </c>
      <c r="B6641" s="17" t="s">
        <v>3369</v>
      </c>
      <c r="C6641" s="17" t="s">
        <v>3370</v>
      </c>
      <c r="D6641" s="17" t="s">
        <v>19</v>
      </c>
      <c r="E6641" s="17" t="s">
        <v>3441</v>
      </c>
      <c r="F6641" s="17" t="s">
        <v>1177</v>
      </c>
      <c r="G6641" s="18" t="n">
        <v>180</v>
      </c>
      <c r="H6641" s="18" t="n">
        <v>0</v>
      </c>
      <c r="I6641" s="18" t="n">
        <f aca="false">((I6640 + G6641) - H6641)</f>
        <v>210161.67</v>
      </c>
      <c r="J6641" s="18" t="n">
        <v>0</v>
      </c>
      <c r="K6641" s="19" t="n">
        <v>0</v>
      </c>
      <c r="L6641" s="17"/>
    </row>
    <row r="6642" s="11" customFormat="true" ht="10.95" hidden="false" customHeight="true" outlineLevel="0" collapsed="false">
      <c r="A6642" s="16" t="n">
        <v>45280</v>
      </c>
      <c r="B6642" s="17" t="s">
        <v>3369</v>
      </c>
      <c r="C6642" s="17" t="s">
        <v>3370</v>
      </c>
      <c r="D6642" s="17" t="s">
        <v>19</v>
      </c>
      <c r="E6642" s="17" t="s">
        <v>3442</v>
      </c>
      <c r="F6642" s="17" t="s">
        <v>401</v>
      </c>
      <c r="G6642" s="18" t="n">
        <v>9999</v>
      </c>
      <c r="H6642" s="18" t="n">
        <v>0</v>
      </c>
      <c r="I6642" s="18" t="n">
        <f aca="false">((I6641 + G6642) - H6642)</f>
        <v>220160.67</v>
      </c>
      <c r="J6642" s="18" t="n">
        <v>0</v>
      </c>
      <c r="K6642" s="19" t="n">
        <v>0</v>
      </c>
      <c r="L6642" s="17"/>
    </row>
    <row r="6643" s="11" customFormat="true" ht="10.95" hidden="false" customHeight="true" outlineLevel="0" collapsed="false">
      <c r="A6643" s="16" t="n">
        <v>45280</v>
      </c>
      <c r="B6643" s="17" t="s">
        <v>3369</v>
      </c>
      <c r="C6643" s="17" t="s">
        <v>3370</v>
      </c>
      <c r="D6643" s="17" t="s">
        <v>19</v>
      </c>
      <c r="E6643" s="17" t="s">
        <v>3443</v>
      </c>
      <c r="F6643" s="17" t="s">
        <v>402</v>
      </c>
      <c r="G6643" s="18" t="n">
        <v>4994</v>
      </c>
      <c r="H6643" s="18" t="n">
        <v>0</v>
      </c>
      <c r="I6643" s="18" t="n">
        <f aca="false">((I6642 + G6643) - H6643)</f>
        <v>225154.67</v>
      </c>
      <c r="J6643" s="18" t="n">
        <v>0</v>
      </c>
      <c r="K6643" s="19" t="n">
        <v>0</v>
      </c>
      <c r="L6643" s="17"/>
    </row>
    <row r="6644" s="11" customFormat="true" ht="10.95" hidden="false" customHeight="true" outlineLevel="0" collapsed="false">
      <c r="A6644" s="16" t="n">
        <v>45280</v>
      </c>
      <c r="B6644" s="17" t="s">
        <v>3369</v>
      </c>
      <c r="C6644" s="17" t="s">
        <v>3370</v>
      </c>
      <c r="D6644" s="17" t="s">
        <v>19</v>
      </c>
      <c r="E6644" s="17" t="s">
        <v>3444</v>
      </c>
      <c r="F6644" s="17" t="s">
        <v>403</v>
      </c>
      <c r="G6644" s="18" t="n">
        <v>968</v>
      </c>
      <c r="H6644" s="18" t="n">
        <v>0</v>
      </c>
      <c r="I6644" s="18" t="n">
        <f aca="false">((I6643 + G6644) - H6644)</f>
        <v>226122.67</v>
      </c>
      <c r="J6644" s="18" t="n">
        <v>0</v>
      </c>
      <c r="K6644" s="19" t="n">
        <v>0</v>
      </c>
      <c r="L6644" s="17"/>
    </row>
    <row r="6645" s="11" customFormat="true" ht="10.95" hidden="false" customHeight="true" outlineLevel="0" collapsed="false">
      <c r="A6645" s="16" t="n">
        <v>45280</v>
      </c>
      <c r="B6645" s="17" t="s">
        <v>3369</v>
      </c>
      <c r="C6645" s="17" t="s">
        <v>3370</v>
      </c>
      <c r="D6645" s="17" t="s">
        <v>19</v>
      </c>
      <c r="E6645" s="17" t="s">
        <v>3494</v>
      </c>
      <c r="F6645" s="17" t="s">
        <v>404</v>
      </c>
      <c r="G6645" s="18" t="n">
        <v>1071.4</v>
      </c>
      <c r="H6645" s="18" t="n">
        <v>0</v>
      </c>
      <c r="I6645" s="18" t="n">
        <f aca="false">((I6644 + G6645) - H6645)</f>
        <v>227194.07</v>
      </c>
      <c r="J6645" s="18" t="n">
        <v>0</v>
      </c>
      <c r="K6645" s="19" t="n">
        <v>0</v>
      </c>
      <c r="L6645" s="17"/>
    </row>
    <row r="6646" s="11" customFormat="true" ht="10.95" hidden="false" customHeight="true" outlineLevel="0" collapsed="false">
      <c r="A6646" s="16" t="n">
        <v>45280</v>
      </c>
      <c r="B6646" s="17" t="s">
        <v>3369</v>
      </c>
      <c r="C6646" s="17" t="s">
        <v>3370</v>
      </c>
      <c r="D6646" s="17" t="s">
        <v>19</v>
      </c>
      <c r="E6646" s="17" t="s">
        <v>3446</v>
      </c>
      <c r="F6646" s="17" t="s">
        <v>405</v>
      </c>
      <c r="G6646" s="18" t="n">
        <v>1861.2</v>
      </c>
      <c r="H6646" s="18" t="n">
        <v>0</v>
      </c>
      <c r="I6646" s="18" t="n">
        <f aca="false">((I6645 + G6646) - H6646)</f>
        <v>229055.27</v>
      </c>
      <c r="J6646" s="18" t="n">
        <v>0</v>
      </c>
      <c r="K6646" s="19" t="n">
        <v>0</v>
      </c>
      <c r="L6646" s="17"/>
    </row>
    <row r="6647" s="11" customFormat="true" ht="10.95" hidden="false" customHeight="true" outlineLevel="0" collapsed="false">
      <c r="A6647" s="16" t="n">
        <v>45280</v>
      </c>
      <c r="B6647" s="17" t="s">
        <v>3369</v>
      </c>
      <c r="C6647" s="17" t="s">
        <v>3370</v>
      </c>
      <c r="D6647" s="17" t="s">
        <v>19</v>
      </c>
      <c r="E6647" s="17" t="s">
        <v>3447</v>
      </c>
      <c r="F6647" s="17" t="s">
        <v>406</v>
      </c>
      <c r="G6647" s="18" t="n">
        <v>618.75</v>
      </c>
      <c r="H6647" s="18" t="n">
        <v>0</v>
      </c>
      <c r="I6647" s="18" t="n">
        <f aca="false">((I6646 + G6647) - H6647)</f>
        <v>229674.02</v>
      </c>
      <c r="J6647" s="18" t="n">
        <v>0</v>
      </c>
      <c r="K6647" s="19" t="n">
        <v>0</v>
      </c>
      <c r="L6647" s="17"/>
    </row>
    <row r="6648" s="11" customFormat="true" ht="10.95" hidden="false" customHeight="true" outlineLevel="0" collapsed="false">
      <c r="A6648" s="16" t="n">
        <v>45280</v>
      </c>
      <c r="B6648" s="17" t="s">
        <v>3369</v>
      </c>
      <c r="C6648" s="17" t="s">
        <v>3370</v>
      </c>
      <c r="D6648" s="17" t="s">
        <v>19</v>
      </c>
      <c r="E6648" s="17" t="s">
        <v>3447</v>
      </c>
      <c r="F6648" s="17" t="s">
        <v>407</v>
      </c>
      <c r="G6648" s="18" t="n">
        <v>827.2</v>
      </c>
      <c r="H6648" s="18" t="n">
        <v>0</v>
      </c>
      <c r="I6648" s="18" t="n">
        <f aca="false">((I6647 + G6648) - H6648)</f>
        <v>230501.22</v>
      </c>
      <c r="J6648" s="18" t="n">
        <v>0</v>
      </c>
      <c r="K6648" s="19" t="n">
        <v>0</v>
      </c>
      <c r="L6648" s="17"/>
    </row>
    <row r="6649" s="11" customFormat="true" ht="10.95" hidden="false" customHeight="true" outlineLevel="0" collapsed="false">
      <c r="A6649" s="16" t="n">
        <v>45280</v>
      </c>
      <c r="B6649" s="17" t="s">
        <v>3369</v>
      </c>
      <c r="C6649" s="17" t="s">
        <v>3370</v>
      </c>
      <c r="D6649" s="17" t="s">
        <v>19</v>
      </c>
      <c r="E6649" s="17" t="s">
        <v>3447</v>
      </c>
      <c r="F6649" s="17" t="s">
        <v>408</v>
      </c>
      <c r="G6649" s="18" t="n">
        <v>638</v>
      </c>
      <c r="H6649" s="18" t="n">
        <v>0</v>
      </c>
      <c r="I6649" s="18" t="n">
        <f aca="false">((I6648 + G6649) - H6649)</f>
        <v>231139.22</v>
      </c>
      <c r="J6649" s="18" t="n">
        <v>0</v>
      </c>
      <c r="K6649" s="19" t="n">
        <v>0</v>
      </c>
      <c r="L6649" s="17"/>
    </row>
    <row r="6650" s="11" customFormat="true" ht="10.95" hidden="false" customHeight="true" outlineLevel="0" collapsed="false">
      <c r="A6650" s="16" t="n">
        <v>45280</v>
      </c>
      <c r="B6650" s="17" t="s">
        <v>3369</v>
      </c>
      <c r="C6650" s="17" t="s">
        <v>3370</v>
      </c>
      <c r="D6650" s="17" t="s">
        <v>19</v>
      </c>
      <c r="E6650" s="17" t="s">
        <v>3447</v>
      </c>
      <c r="F6650" s="17" t="s">
        <v>409</v>
      </c>
      <c r="G6650" s="18" t="n">
        <v>206.8</v>
      </c>
      <c r="H6650" s="18" t="n">
        <v>0</v>
      </c>
      <c r="I6650" s="18" t="n">
        <f aca="false">((I6649 + G6650) - H6650)</f>
        <v>231346.02</v>
      </c>
      <c r="J6650" s="18" t="n">
        <v>0</v>
      </c>
      <c r="K6650" s="19" t="n">
        <v>0</v>
      </c>
      <c r="L6650" s="17"/>
    </row>
    <row r="6651" s="11" customFormat="true" ht="10.95" hidden="false" customHeight="true" outlineLevel="0" collapsed="false">
      <c r="A6651" s="16" t="n">
        <v>45280</v>
      </c>
      <c r="B6651" s="17" t="s">
        <v>3369</v>
      </c>
      <c r="C6651" s="17" t="s">
        <v>3370</v>
      </c>
      <c r="D6651" s="17" t="s">
        <v>19</v>
      </c>
      <c r="E6651" s="17" t="s">
        <v>3447</v>
      </c>
      <c r="F6651" s="17" t="s">
        <v>410</v>
      </c>
      <c r="G6651" s="18" t="n">
        <v>1568.05</v>
      </c>
      <c r="H6651" s="18" t="n">
        <v>0</v>
      </c>
      <c r="I6651" s="18" t="n">
        <f aca="false">((I6650 + G6651) - H6651)</f>
        <v>232914.07</v>
      </c>
      <c r="J6651" s="18" t="n">
        <v>0</v>
      </c>
      <c r="K6651" s="19" t="n">
        <v>0</v>
      </c>
      <c r="L6651" s="17"/>
    </row>
    <row r="6652" s="11" customFormat="true" ht="10.95" hidden="false" customHeight="true" outlineLevel="0" collapsed="false">
      <c r="A6652" s="16" t="n">
        <v>45280</v>
      </c>
      <c r="B6652" s="17" t="s">
        <v>3369</v>
      </c>
      <c r="C6652" s="17" t="s">
        <v>3370</v>
      </c>
      <c r="D6652" s="17" t="s">
        <v>19</v>
      </c>
      <c r="E6652" s="17" t="s">
        <v>3447</v>
      </c>
      <c r="F6652" s="17" t="s">
        <v>411</v>
      </c>
      <c r="G6652" s="18" t="n">
        <v>517</v>
      </c>
      <c r="H6652" s="18" t="n">
        <v>0</v>
      </c>
      <c r="I6652" s="18" t="n">
        <f aca="false">((I6651 + G6652) - H6652)</f>
        <v>233431.07</v>
      </c>
      <c r="J6652" s="18" t="n">
        <v>0</v>
      </c>
      <c r="K6652" s="19" t="n">
        <v>0</v>
      </c>
      <c r="L6652" s="17"/>
    </row>
    <row r="6653" s="11" customFormat="true" ht="10.95" hidden="false" customHeight="true" outlineLevel="0" collapsed="false">
      <c r="A6653" s="16" t="n">
        <v>45280</v>
      </c>
      <c r="B6653" s="17" t="s">
        <v>3369</v>
      </c>
      <c r="C6653" s="17" t="s">
        <v>3370</v>
      </c>
      <c r="D6653" s="17" t="s">
        <v>19</v>
      </c>
      <c r="E6653" s="17" t="s">
        <v>3447</v>
      </c>
      <c r="F6653" s="17" t="s">
        <v>412</v>
      </c>
      <c r="G6653" s="18" t="n">
        <v>316.8</v>
      </c>
      <c r="H6653" s="18" t="n">
        <v>0</v>
      </c>
      <c r="I6653" s="18" t="n">
        <f aca="false">((I6652 + G6653) - H6653)</f>
        <v>233747.87</v>
      </c>
      <c r="J6653" s="18" t="n">
        <v>0</v>
      </c>
      <c r="K6653" s="19" t="n">
        <v>0</v>
      </c>
      <c r="L6653" s="17"/>
    </row>
    <row r="6654" s="11" customFormat="true" ht="10.95" hidden="false" customHeight="true" outlineLevel="0" collapsed="false">
      <c r="A6654" s="16" t="n">
        <v>45280</v>
      </c>
      <c r="B6654" s="17" t="s">
        <v>3369</v>
      </c>
      <c r="C6654" s="17" t="s">
        <v>3370</v>
      </c>
      <c r="D6654" s="17" t="s">
        <v>19</v>
      </c>
      <c r="E6654" s="17" t="s">
        <v>3447</v>
      </c>
      <c r="F6654" s="17" t="s">
        <v>413</v>
      </c>
      <c r="G6654" s="18" t="n">
        <v>627</v>
      </c>
      <c r="H6654" s="18" t="n">
        <v>0</v>
      </c>
      <c r="I6654" s="18" t="n">
        <f aca="false">((I6653 + G6654) - H6654)</f>
        <v>234374.87</v>
      </c>
      <c r="J6654" s="18" t="n">
        <v>0</v>
      </c>
      <c r="K6654" s="19" t="n">
        <v>0</v>
      </c>
      <c r="L6654" s="17"/>
    </row>
    <row r="6655" s="11" customFormat="true" ht="10.95" hidden="false" customHeight="true" outlineLevel="0" collapsed="false">
      <c r="A6655" s="16" t="n">
        <v>45280</v>
      </c>
      <c r="B6655" s="17" t="s">
        <v>3369</v>
      </c>
      <c r="C6655" s="17" t="s">
        <v>3370</v>
      </c>
      <c r="D6655" s="17" t="s">
        <v>19</v>
      </c>
      <c r="E6655" s="17" t="s">
        <v>3447</v>
      </c>
      <c r="F6655" s="17" t="s">
        <v>414</v>
      </c>
      <c r="G6655" s="18" t="n">
        <v>1967.9</v>
      </c>
      <c r="H6655" s="18" t="n">
        <v>0</v>
      </c>
      <c r="I6655" s="18" t="n">
        <f aca="false">((I6654 + G6655) - H6655)</f>
        <v>236342.77</v>
      </c>
      <c r="J6655" s="18" t="n">
        <v>0</v>
      </c>
      <c r="K6655" s="19" t="n">
        <v>0</v>
      </c>
      <c r="L6655" s="17"/>
    </row>
    <row r="6656" s="11" customFormat="true" ht="10.95" hidden="false" customHeight="true" outlineLevel="0" collapsed="false">
      <c r="A6656" s="16" t="n">
        <v>45280</v>
      </c>
      <c r="B6656" s="17" t="s">
        <v>3369</v>
      </c>
      <c r="C6656" s="17" t="s">
        <v>3370</v>
      </c>
      <c r="D6656" s="17" t="s">
        <v>19</v>
      </c>
      <c r="E6656" s="17" t="s">
        <v>3447</v>
      </c>
      <c r="F6656" s="17" t="s">
        <v>415</v>
      </c>
      <c r="G6656" s="18" t="n">
        <v>1258.4</v>
      </c>
      <c r="H6656" s="18" t="n">
        <v>0</v>
      </c>
      <c r="I6656" s="18" t="n">
        <f aca="false">((I6655 + G6656) - H6656)</f>
        <v>237601.17</v>
      </c>
      <c r="J6656" s="18" t="n">
        <v>0</v>
      </c>
      <c r="K6656" s="19" t="n">
        <v>0</v>
      </c>
      <c r="L6656" s="17"/>
    </row>
    <row r="6657" s="11" customFormat="true" ht="10.95" hidden="false" customHeight="true" outlineLevel="0" collapsed="false">
      <c r="A6657" s="16" t="n">
        <v>45280</v>
      </c>
      <c r="B6657" s="17" t="s">
        <v>3369</v>
      </c>
      <c r="C6657" s="17" t="s">
        <v>3370</v>
      </c>
      <c r="D6657" s="17" t="s">
        <v>19</v>
      </c>
      <c r="E6657" s="17" t="s">
        <v>3447</v>
      </c>
      <c r="F6657" s="17" t="s">
        <v>416</v>
      </c>
      <c r="G6657" s="18" t="n">
        <v>310.2</v>
      </c>
      <c r="H6657" s="18" t="n">
        <v>0</v>
      </c>
      <c r="I6657" s="18" t="n">
        <f aca="false">((I6656 + G6657) - H6657)</f>
        <v>237911.37</v>
      </c>
      <c r="J6657" s="18" t="n">
        <v>0</v>
      </c>
      <c r="K6657" s="19" t="n">
        <v>0</v>
      </c>
      <c r="L6657" s="17"/>
    </row>
    <row r="6658" s="11" customFormat="true" ht="10.95" hidden="false" customHeight="true" outlineLevel="0" collapsed="false">
      <c r="A6658" s="16" t="n">
        <v>45280</v>
      </c>
      <c r="B6658" s="17" t="s">
        <v>3369</v>
      </c>
      <c r="C6658" s="17" t="s">
        <v>3370</v>
      </c>
      <c r="D6658" s="17" t="s">
        <v>19</v>
      </c>
      <c r="E6658" s="17" t="s">
        <v>3447</v>
      </c>
      <c r="F6658" s="17" t="s">
        <v>417</v>
      </c>
      <c r="G6658" s="18" t="n">
        <v>310.2</v>
      </c>
      <c r="H6658" s="18" t="n">
        <v>0</v>
      </c>
      <c r="I6658" s="18" t="n">
        <f aca="false">((I6657 + G6658) - H6658)</f>
        <v>238221.57</v>
      </c>
      <c r="J6658" s="18" t="n">
        <v>0</v>
      </c>
      <c r="K6658" s="19" t="n">
        <v>0</v>
      </c>
      <c r="L6658" s="17"/>
    </row>
    <row r="6659" s="11" customFormat="true" ht="10.95" hidden="false" customHeight="true" outlineLevel="0" collapsed="false">
      <c r="A6659" s="16" t="n">
        <v>45280</v>
      </c>
      <c r="B6659" s="17" t="s">
        <v>3369</v>
      </c>
      <c r="C6659" s="17" t="s">
        <v>3370</v>
      </c>
      <c r="D6659" s="17" t="s">
        <v>19</v>
      </c>
      <c r="E6659" s="17" t="s">
        <v>3447</v>
      </c>
      <c r="F6659" s="17" t="s">
        <v>418</v>
      </c>
      <c r="G6659" s="18" t="n">
        <v>620.4</v>
      </c>
      <c r="H6659" s="18" t="n">
        <v>0</v>
      </c>
      <c r="I6659" s="18" t="n">
        <f aca="false">((I6658 + G6659) - H6659)</f>
        <v>238841.97</v>
      </c>
      <c r="J6659" s="18" t="n">
        <v>0</v>
      </c>
      <c r="K6659" s="19" t="n">
        <v>0</v>
      </c>
      <c r="L6659" s="17"/>
    </row>
    <row r="6660" s="11" customFormat="true" ht="10.95" hidden="false" customHeight="true" outlineLevel="0" collapsed="false">
      <c r="A6660" s="16" t="n">
        <v>45280</v>
      </c>
      <c r="B6660" s="17" t="s">
        <v>3369</v>
      </c>
      <c r="C6660" s="17" t="s">
        <v>3370</v>
      </c>
      <c r="D6660" s="17" t="s">
        <v>19</v>
      </c>
      <c r="E6660" s="17" t="s">
        <v>3447</v>
      </c>
      <c r="F6660" s="17" t="s">
        <v>419</v>
      </c>
      <c r="G6660" s="18" t="n">
        <v>1137.4</v>
      </c>
      <c r="H6660" s="18" t="n">
        <v>0</v>
      </c>
      <c r="I6660" s="18" t="n">
        <f aca="false">((I6659 + G6660) - H6660)</f>
        <v>239979.37</v>
      </c>
      <c r="J6660" s="18" t="n">
        <v>0</v>
      </c>
      <c r="K6660" s="19" t="n">
        <v>0</v>
      </c>
      <c r="L6660" s="17"/>
    </row>
    <row r="6661" s="11" customFormat="true" ht="10.95" hidden="false" customHeight="true" outlineLevel="0" collapsed="false">
      <c r="A6661" s="16" t="n">
        <v>45280</v>
      </c>
      <c r="B6661" s="17" t="s">
        <v>3369</v>
      </c>
      <c r="C6661" s="17" t="s">
        <v>3370</v>
      </c>
      <c r="D6661" s="17" t="s">
        <v>19</v>
      </c>
      <c r="E6661" s="17" t="s">
        <v>3447</v>
      </c>
      <c r="F6661" s="17" t="s">
        <v>420</v>
      </c>
      <c r="G6661" s="18" t="n">
        <v>103.4</v>
      </c>
      <c r="H6661" s="18" t="n">
        <v>0</v>
      </c>
      <c r="I6661" s="18" t="n">
        <f aca="false">((I6660 + G6661) - H6661)</f>
        <v>240082.77</v>
      </c>
      <c r="J6661" s="18" t="n">
        <v>0</v>
      </c>
      <c r="K6661" s="19" t="n">
        <v>0</v>
      </c>
      <c r="L6661" s="17"/>
    </row>
    <row r="6662" s="11" customFormat="true" ht="10.95" hidden="false" customHeight="true" outlineLevel="0" collapsed="false">
      <c r="A6662" s="16" t="n">
        <v>45280</v>
      </c>
      <c r="B6662" s="17" t="s">
        <v>3369</v>
      </c>
      <c r="C6662" s="17" t="s">
        <v>3370</v>
      </c>
      <c r="D6662" s="17" t="s">
        <v>19</v>
      </c>
      <c r="E6662" s="17" t="s">
        <v>3447</v>
      </c>
      <c r="F6662" s="17" t="s">
        <v>421</v>
      </c>
      <c r="G6662" s="18" t="n">
        <v>723.8</v>
      </c>
      <c r="H6662" s="18" t="n">
        <v>0</v>
      </c>
      <c r="I6662" s="18" t="n">
        <f aca="false">((I6661 + G6662) - H6662)</f>
        <v>240806.57</v>
      </c>
      <c r="J6662" s="18" t="n">
        <v>0</v>
      </c>
      <c r="K6662" s="19" t="n">
        <v>0</v>
      </c>
      <c r="L6662" s="17"/>
    </row>
    <row r="6663" s="11" customFormat="true" ht="10.95" hidden="false" customHeight="true" outlineLevel="0" collapsed="false">
      <c r="A6663" s="16" t="n">
        <v>45280</v>
      </c>
      <c r="B6663" s="17" t="s">
        <v>3369</v>
      </c>
      <c r="C6663" s="17" t="s">
        <v>3370</v>
      </c>
      <c r="D6663" s="17" t="s">
        <v>19</v>
      </c>
      <c r="E6663" s="17" t="s">
        <v>3495</v>
      </c>
      <c r="F6663" s="17" t="s">
        <v>1178</v>
      </c>
      <c r="G6663" s="18" t="n">
        <v>389.47</v>
      </c>
      <c r="H6663" s="18" t="n">
        <v>0</v>
      </c>
      <c r="I6663" s="18" t="n">
        <f aca="false">((I6662 + G6663) - H6663)</f>
        <v>241196.04</v>
      </c>
      <c r="J6663" s="18" t="n">
        <v>0</v>
      </c>
      <c r="K6663" s="19" t="n">
        <v>0</v>
      </c>
      <c r="L6663" s="17"/>
    </row>
    <row r="6664" s="11" customFormat="true" ht="10.95" hidden="false" customHeight="true" outlineLevel="0" collapsed="false">
      <c r="A6664" s="16" t="n">
        <v>45280</v>
      </c>
      <c r="B6664" s="17" t="s">
        <v>3369</v>
      </c>
      <c r="C6664" s="17" t="s">
        <v>3370</v>
      </c>
      <c r="D6664" s="17" t="s">
        <v>19</v>
      </c>
      <c r="E6664" s="17" t="s">
        <v>3450</v>
      </c>
      <c r="F6664" s="17" t="s">
        <v>1179</v>
      </c>
      <c r="G6664" s="18" t="n">
        <v>267.07</v>
      </c>
      <c r="H6664" s="18" t="n">
        <v>0</v>
      </c>
      <c r="I6664" s="18" t="n">
        <f aca="false">((I6663 + G6664) - H6664)</f>
        <v>241463.11</v>
      </c>
      <c r="J6664" s="18" t="n">
        <v>0</v>
      </c>
      <c r="K6664" s="19" t="n">
        <v>0</v>
      </c>
      <c r="L6664" s="17"/>
    </row>
    <row r="6665" s="11" customFormat="true" ht="10.95" hidden="false" customHeight="true" outlineLevel="0" collapsed="false">
      <c r="A6665" s="16" t="n">
        <v>45280</v>
      </c>
      <c r="B6665" s="17" t="s">
        <v>3369</v>
      </c>
      <c r="C6665" s="17" t="s">
        <v>3370</v>
      </c>
      <c r="D6665" s="17" t="s">
        <v>19</v>
      </c>
      <c r="E6665" s="17" t="s">
        <v>3450</v>
      </c>
      <c r="F6665" s="17" t="s">
        <v>1180</v>
      </c>
      <c r="G6665" s="18" t="n">
        <v>807.23</v>
      </c>
      <c r="H6665" s="18" t="n">
        <v>0</v>
      </c>
      <c r="I6665" s="18" t="n">
        <f aca="false">((I6664 + G6665) - H6665)</f>
        <v>242270.34</v>
      </c>
      <c r="J6665" s="18" t="n">
        <v>0</v>
      </c>
      <c r="K6665" s="19" t="n">
        <v>0</v>
      </c>
      <c r="L6665" s="17"/>
    </row>
    <row r="6666" s="11" customFormat="true" ht="10.95" hidden="false" customHeight="true" outlineLevel="0" collapsed="false">
      <c r="A6666" s="16" t="n">
        <v>45280</v>
      </c>
      <c r="B6666" s="17" t="s">
        <v>3369</v>
      </c>
      <c r="C6666" s="17" t="s">
        <v>3370</v>
      </c>
      <c r="D6666" s="17" t="s">
        <v>19</v>
      </c>
      <c r="E6666" s="17" t="s">
        <v>3450</v>
      </c>
      <c r="F6666" s="17" t="s">
        <v>1181</v>
      </c>
      <c r="G6666" s="18" t="n">
        <v>1755.41</v>
      </c>
      <c r="H6666" s="18" t="n">
        <v>0</v>
      </c>
      <c r="I6666" s="18" t="n">
        <f aca="false">((I6665 + G6666) - H6666)</f>
        <v>244025.75</v>
      </c>
      <c r="J6666" s="18" t="n">
        <v>0</v>
      </c>
      <c r="K6666" s="19" t="n">
        <v>0</v>
      </c>
      <c r="L6666" s="17"/>
    </row>
    <row r="6667" s="11" customFormat="true" ht="10.95" hidden="false" customHeight="true" outlineLevel="0" collapsed="false">
      <c r="A6667" s="16" t="n">
        <v>45280</v>
      </c>
      <c r="B6667" s="17" t="s">
        <v>3369</v>
      </c>
      <c r="C6667" s="17" t="s">
        <v>3370</v>
      </c>
      <c r="D6667" s="17" t="s">
        <v>19</v>
      </c>
      <c r="E6667" s="17" t="s">
        <v>3450</v>
      </c>
      <c r="F6667" s="17" t="s">
        <v>1182</v>
      </c>
      <c r="G6667" s="18" t="n">
        <v>1009.38</v>
      </c>
      <c r="H6667" s="18" t="n">
        <v>0</v>
      </c>
      <c r="I6667" s="18" t="n">
        <f aca="false">((I6666 + G6667) - H6667)</f>
        <v>245035.13</v>
      </c>
      <c r="J6667" s="18" t="n">
        <v>0</v>
      </c>
      <c r="K6667" s="19" t="n">
        <v>0</v>
      </c>
      <c r="L6667" s="17"/>
    </row>
    <row r="6668" s="11" customFormat="true" ht="10.95" hidden="false" customHeight="true" outlineLevel="0" collapsed="false">
      <c r="A6668" s="16" t="n">
        <v>45280</v>
      </c>
      <c r="B6668" s="17" t="s">
        <v>3369</v>
      </c>
      <c r="C6668" s="17" t="s">
        <v>3370</v>
      </c>
      <c r="D6668" s="17" t="s">
        <v>19</v>
      </c>
      <c r="E6668" s="17" t="s">
        <v>3450</v>
      </c>
      <c r="F6668" s="17" t="s">
        <v>1183</v>
      </c>
      <c r="G6668" s="18" t="n">
        <v>1917.69</v>
      </c>
      <c r="H6668" s="18" t="n">
        <v>0</v>
      </c>
      <c r="I6668" s="18" t="n">
        <f aca="false">((I6667 + G6668) - H6668)</f>
        <v>246952.82</v>
      </c>
      <c r="J6668" s="18" t="n">
        <v>0</v>
      </c>
      <c r="K6668" s="19" t="n">
        <v>0</v>
      </c>
      <c r="L6668" s="17"/>
    </row>
    <row r="6669" s="11" customFormat="true" ht="10.95" hidden="false" customHeight="true" outlineLevel="0" collapsed="false">
      <c r="A6669" s="16" t="n">
        <v>45280</v>
      </c>
      <c r="B6669" s="17" t="s">
        <v>3369</v>
      </c>
      <c r="C6669" s="17" t="s">
        <v>3370</v>
      </c>
      <c r="D6669" s="17" t="s">
        <v>19</v>
      </c>
      <c r="E6669" s="17" t="s">
        <v>3450</v>
      </c>
      <c r="F6669" s="17" t="s">
        <v>1184</v>
      </c>
      <c r="G6669" s="18" t="n">
        <v>133.53</v>
      </c>
      <c r="H6669" s="18" t="n">
        <v>0</v>
      </c>
      <c r="I6669" s="18" t="n">
        <f aca="false">((I6668 + G6669) - H6669)</f>
        <v>247086.35</v>
      </c>
      <c r="J6669" s="18" t="n">
        <v>0</v>
      </c>
      <c r="K6669" s="19" t="n">
        <v>0</v>
      </c>
      <c r="L6669" s="17"/>
    </row>
    <row r="6670" s="11" customFormat="true" ht="10.95" hidden="false" customHeight="true" outlineLevel="0" collapsed="false">
      <c r="A6670" s="16" t="n">
        <v>45280</v>
      </c>
      <c r="B6670" s="17" t="s">
        <v>3369</v>
      </c>
      <c r="C6670" s="17" t="s">
        <v>3370</v>
      </c>
      <c r="D6670" s="17" t="s">
        <v>19</v>
      </c>
      <c r="E6670" s="17" t="s">
        <v>3450</v>
      </c>
      <c r="F6670" s="17" t="s">
        <v>1185</v>
      </c>
      <c r="G6670" s="18" t="n">
        <v>1018.66</v>
      </c>
      <c r="H6670" s="18" t="n">
        <v>0</v>
      </c>
      <c r="I6670" s="18" t="n">
        <f aca="false">((I6669 + G6670) - H6670)</f>
        <v>248105.01</v>
      </c>
      <c r="J6670" s="18" t="n">
        <v>0</v>
      </c>
      <c r="K6670" s="19" t="n">
        <v>0</v>
      </c>
      <c r="L6670" s="17"/>
    </row>
    <row r="6671" s="11" customFormat="true" ht="10.95" hidden="false" customHeight="true" outlineLevel="0" collapsed="false">
      <c r="A6671" s="16" t="n">
        <v>45280</v>
      </c>
      <c r="B6671" s="17" t="s">
        <v>3369</v>
      </c>
      <c r="C6671" s="17" t="s">
        <v>3370</v>
      </c>
      <c r="D6671" s="17" t="s">
        <v>19</v>
      </c>
      <c r="E6671" s="17" t="s">
        <v>3451</v>
      </c>
      <c r="F6671" s="17" t="s">
        <v>422</v>
      </c>
      <c r="G6671" s="18" t="n">
        <v>1278.2</v>
      </c>
      <c r="H6671" s="18" t="n">
        <v>0</v>
      </c>
      <c r="I6671" s="18" t="n">
        <f aca="false">((I6670 + G6671) - H6671)</f>
        <v>249383.21</v>
      </c>
      <c r="J6671" s="18" t="n">
        <v>0</v>
      </c>
      <c r="K6671" s="19" t="n">
        <v>0</v>
      </c>
      <c r="L6671" s="17"/>
    </row>
    <row r="6672" s="11" customFormat="true" ht="10.95" hidden="false" customHeight="true" outlineLevel="0" collapsed="false">
      <c r="A6672" s="16" t="n">
        <v>45280</v>
      </c>
      <c r="B6672" s="17" t="s">
        <v>3369</v>
      </c>
      <c r="C6672" s="17" t="s">
        <v>3370</v>
      </c>
      <c r="D6672" s="17" t="s">
        <v>19</v>
      </c>
      <c r="E6672" s="17" t="s">
        <v>3428</v>
      </c>
      <c r="F6672" s="17" t="s">
        <v>423</v>
      </c>
      <c r="G6672" s="18" t="n">
        <v>1954.15</v>
      </c>
      <c r="H6672" s="18" t="n">
        <v>0</v>
      </c>
      <c r="I6672" s="18" t="n">
        <f aca="false">((I6671 + G6672) - H6672)</f>
        <v>251337.36</v>
      </c>
      <c r="J6672" s="18" t="n">
        <v>0</v>
      </c>
      <c r="K6672" s="19" t="n">
        <v>0</v>
      </c>
      <c r="L6672" s="17"/>
    </row>
    <row r="6673" s="11" customFormat="true" ht="10.95" hidden="false" customHeight="true" outlineLevel="0" collapsed="false">
      <c r="A6673" s="16" t="n">
        <v>45280</v>
      </c>
      <c r="B6673" s="17" t="s">
        <v>3369</v>
      </c>
      <c r="C6673" s="17" t="s">
        <v>3370</v>
      </c>
      <c r="D6673" s="17" t="s">
        <v>2895</v>
      </c>
      <c r="E6673" s="17" t="s">
        <v>3467</v>
      </c>
      <c r="F6673" s="17" t="s">
        <v>423</v>
      </c>
      <c r="G6673" s="18" t="n">
        <v>0</v>
      </c>
      <c r="H6673" s="18" t="n">
        <v>1954.15</v>
      </c>
      <c r="I6673" s="18" t="n">
        <f aca="false">((I6672 + G6673) - H6673)</f>
        <v>249383.21</v>
      </c>
      <c r="J6673" s="18" t="n">
        <v>0</v>
      </c>
      <c r="K6673" s="19" t="n">
        <v>0</v>
      </c>
      <c r="L6673" s="17"/>
    </row>
    <row r="6674" s="11" customFormat="true" ht="10.95" hidden="false" customHeight="true" outlineLevel="0" collapsed="false">
      <c r="A6674" s="16" t="n">
        <v>45280</v>
      </c>
      <c r="B6674" s="17" t="s">
        <v>3369</v>
      </c>
      <c r="C6674" s="17" t="s">
        <v>3370</v>
      </c>
      <c r="D6674" s="17" t="s">
        <v>19</v>
      </c>
      <c r="E6674" s="17" t="s">
        <v>3454</v>
      </c>
      <c r="F6674" s="17" t="s">
        <v>426</v>
      </c>
      <c r="G6674" s="18" t="n">
        <v>18800.82</v>
      </c>
      <c r="H6674" s="18" t="n">
        <v>0</v>
      </c>
      <c r="I6674" s="18" t="n">
        <f aca="false">((I6673 + G6674) - H6674)</f>
        <v>268184.03</v>
      </c>
      <c r="J6674" s="18" t="n">
        <v>0</v>
      </c>
      <c r="K6674" s="19" t="n">
        <v>0</v>
      </c>
      <c r="L6674" s="17"/>
    </row>
    <row r="6675" s="11" customFormat="true" ht="10.95" hidden="false" customHeight="true" outlineLevel="0" collapsed="false">
      <c r="A6675" s="16" t="n">
        <v>45280</v>
      </c>
      <c r="B6675" s="17" t="s">
        <v>3369</v>
      </c>
      <c r="C6675" s="17" t="s">
        <v>3370</v>
      </c>
      <c r="D6675" s="17" t="s">
        <v>2895</v>
      </c>
      <c r="E6675" s="17" t="s">
        <v>3453</v>
      </c>
      <c r="F6675" s="17" t="s">
        <v>390</v>
      </c>
      <c r="G6675" s="18" t="n">
        <v>0</v>
      </c>
      <c r="H6675" s="18" t="n">
        <v>93.5</v>
      </c>
      <c r="I6675" s="18" t="n">
        <f aca="false">((I6674 + G6675) - H6675)</f>
        <v>268090.53</v>
      </c>
      <c r="J6675" s="18" t="n">
        <v>0</v>
      </c>
      <c r="K6675" s="19" t="n">
        <v>0</v>
      </c>
      <c r="L6675" s="17"/>
    </row>
    <row r="6676" s="11" customFormat="true" ht="10.95" hidden="false" customHeight="true" outlineLevel="0" collapsed="false">
      <c r="A6676" s="16" t="n">
        <v>45280</v>
      </c>
      <c r="B6676" s="17" t="s">
        <v>3369</v>
      </c>
      <c r="C6676" s="17" t="s">
        <v>3370</v>
      </c>
      <c r="D6676" s="17" t="s">
        <v>2895</v>
      </c>
      <c r="E6676" s="17" t="s">
        <v>2917</v>
      </c>
      <c r="F6676" s="17" t="s">
        <v>1153</v>
      </c>
      <c r="G6676" s="18" t="n">
        <v>0</v>
      </c>
      <c r="H6676" s="18" t="n">
        <v>4016.56</v>
      </c>
      <c r="I6676" s="18" t="n">
        <f aca="false">((I6675 + G6676) - H6676)</f>
        <v>264073.97</v>
      </c>
      <c r="J6676" s="18" t="n">
        <v>0</v>
      </c>
      <c r="K6676" s="19" t="n">
        <v>0</v>
      </c>
      <c r="L6676" s="17"/>
    </row>
    <row r="6677" s="11" customFormat="true" ht="10.95" hidden="false" customHeight="true" outlineLevel="0" collapsed="false">
      <c r="A6677" s="16" t="n">
        <v>45280</v>
      </c>
      <c r="B6677" s="17" t="s">
        <v>3369</v>
      </c>
      <c r="C6677" s="17" t="s">
        <v>3370</v>
      </c>
      <c r="D6677" s="17" t="s">
        <v>2895</v>
      </c>
      <c r="E6677" s="17" t="s">
        <v>2951</v>
      </c>
      <c r="F6677" s="17" t="s">
        <v>1157</v>
      </c>
      <c r="G6677" s="18" t="n">
        <v>0</v>
      </c>
      <c r="H6677" s="18" t="n">
        <v>1495.6</v>
      </c>
      <c r="I6677" s="18" t="n">
        <f aca="false">((I6676 + G6677) - H6677)</f>
        <v>262578.37</v>
      </c>
      <c r="J6677" s="18" t="n">
        <v>0</v>
      </c>
      <c r="K6677" s="19" t="n">
        <v>0</v>
      </c>
      <c r="L6677" s="17"/>
    </row>
    <row r="6678" s="11" customFormat="true" ht="10.95" hidden="false" customHeight="true" outlineLevel="0" collapsed="false">
      <c r="A6678" s="16" t="n">
        <v>45280</v>
      </c>
      <c r="B6678" s="17" t="s">
        <v>3369</v>
      </c>
      <c r="C6678" s="17" t="s">
        <v>3370</v>
      </c>
      <c r="D6678" s="17" t="s">
        <v>2895</v>
      </c>
      <c r="E6678" s="17" t="s">
        <v>2951</v>
      </c>
      <c r="F6678" s="17" t="s">
        <v>1142</v>
      </c>
      <c r="G6678" s="18" t="n">
        <v>0</v>
      </c>
      <c r="H6678" s="18" t="n">
        <v>1702.25</v>
      </c>
      <c r="I6678" s="18" t="n">
        <f aca="false">((I6677 + G6678) - H6678)</f>
        <v>260876.12</v>
      </c>
      <c r="J6678" s="18" t="n">
        <v>0</v>
      </c>
      <c r="K6678" s="19" t="n">
        <v>0</v>
      </c>
      <c r="L6678" s="17"/>
    </row>
    <row r="6679" s="11" customFormat="true" ht="10.95" hidden="false" customHeight="true" outlineLevel="0" collapsed="false">
      <c r="A6679" s="16" t="n">
        <v>45280</v>
      </c>
      <c r="B6679" s="17" t="s">
        <v>3369</v>
      </c>
      <c r="C6679" s="17" t="s">
        <v>3370</v>
      </c>
      <c r="D6679" s="17" t="s">
        <v>19</v>
      </c>
      <c r="E6679" s="17" t="s">
        <v>3430</v>
      </c>
      <c r="F6679" s="17" t="s">
        <v>870</v>
      </c>
      <c r="G6679" s="18" t="n">
        <v>598.42</v>
      </c>
      <c r="H6679" s="18" t="n">
        <v>0</v>
      </c>
      <c r="I6679" s="18" t="n">
        <f aca="false">((I6678 + G6679) - H6679)</f>
        <v>261474.54</v>
      </c>
      <c r="J6679" s="18" t="n">
        <v>0</v>
      </c>
      <c r="K6679" s="19" t="n">
        <v>0</v>
      </c>
      <c r="L6679" s="17"/>
    </row>
    <row r="6680" s="11" customFormat="true" ht="10.95" hidden="false" customHeight="true" outlineLevel="0" collapsed="false">
      <c r="A6680" s="16" t="n">
        <v>45280</v>
      </c>
      <c r="B6680" s="17" t="s">
        <v>3369</v>
      </c>
      <c r="C6680" s="17" t="s">
        <v>3370</v>
      </c>
      <c r="D6680" s="17" t="s">
        <v>19</v>
      </c>
      <c r="E6680" s="17" t="s">
        <v>3506</v>
      </c>
      <c r="F6680" s="17" t="s">
        <v>992</v>
      </c>
      <c r="G6680" s="18" t="n">
        <v>763.34</v>
      </c>
      <c r="H6680" s="18" t="n">
        <v>0</v>
      </c>
      <c r="I6680" s="18" t="n">
        <f aca="false">((I6679 + G6680) - H6680)</f>
        <v>262237.88</v>
      </c>
      <c r="J6680" s="18" t="n">
        <v>0</v>
      </c>
      <c r="K6680" s="19" t="n">
        <v>0</v>
      </c>
      <c r="L6680" s="17"/>
    </row>
    <row r="6681" s="11" customFormat="true" ht="10.95" hidden="false" customHeight="true" outlineLevel="0" collapsed="false">
      <c r="A6681" s="16" t="n">
        <v>45280</v>
      </c>
      <c r="B6681" s="17" t="s">
        <v>3369</v>
      </c>
      <c r="C6681" s="17" t="s">
        <v>3370</v>
      </c>
      <c r="D6681" s="17" t="s">
        <v>19</v>
      </c>
      <c r="E6681" s="17" t="s">
        <v>3516</v>
      </c>
      <c r="F6681" s="17" t="s">
        <v>872</v>
      </c>
      <c r="G6681" s="18" t="n">
        <v>4301.41</v>
      </c>
      <c r="H6681" s="18" t="n">
        <v>0</v>
      </c>
      <c r="I6681" s="18" t="n">
        <f aca="false">((I6680 + G6681) - H6681)</f>
        <v>266539.29</v>
      </c>
      <c r="J6681" s="18" t="n">
        <v>0</v>
      </c>
      <c r="K6681" s="19" t="n">
        <v>0</v>
      </c>
      <c r="L6681" s="17"/>
    </row>
    <row r="6682" s="11" customFormat="true" ht="10.95" hidden="false" customHeight="true" outlineLevel="0" collapsed="false">
      <c r="A6682" s="16" t="n">
        <v>45281</v>
      </c>
      <c r="B6682" s="17" t="s">
        <v>3369</v>
      </c>
      <c r="C6682" s="17" t="s">
        <v>3370</v>
      </c>
      <c r="D6682" s="17" t="s">
        <v>19</v>
      </c>
      <c r="E6682" s="17" t="s">
        <v>3381</v>
      </c>
      <c r="F6682" s="17" t="s">
        <v>941</v>
      </c>
      <c r="G6682" s="18" t="n">
        <v>5853.06</v>
      </c>
      <c r="H6682" s="18" t="n">
        <v>0</v>
      </c>
      <c r="I6682" s="18" t="n">
        <f aca="false">((I6681 + G6682) - H6682)</f>
        <v>272392.35</v>
      </c>
      <c r="J6682" s="18" t="n">
        <v>0</v>
      </c>
      <c r="K6682" s="19" t="n">
        <v>0</v>
      </c>
      <c r="L6682" s="17"/>
    </row>
    <row r="6683" s="11" customFormat="true" ht="10.95" hidden="false" customHeight="true" outlineLevel="0" collapsed="false">
      <c r="A6683" s="16" t="n">
        <v>45281</v>
      </c>
      <c r="B6683" s="17" t="s">
        <v>3369</v>
      </c>
      <c r="C6683" s="17" t="s">
        <v>3370</v>
      </c>
      <c r="D6683" s="17" t="s">
        <v>2895</v>
      </c>
      <c r="E6683" s="17" t="s">
        <v>3382</v>
      </c>
      <c r="F6683" s="17" t="s">
        <v>426</v>
      </c>
      <c r="G6683" s="18" t="n">
        <v>0</v>
      </c>
      <c r="H6683" s="18" t="n">
        <v>18800.82</v>
      </c>
      <c r="I6683" s="18" t="n">
        <f aca="false">((I6682 + G6683) - H6683)</f>
        <v>253591.53</v>
      </c>
      <c r="J6683" s="18" t="n">
        <v>0</v>
      </c>
      <c r="K6683" s="19" t="n">
        <v>0</v>
      </c>
      <c r="L6683" s="17"/>
    </row>
    <row r="6684" s="11" customFormat="true" ht="10.95" hidden="false" customHeight="true" outlineLevel="0" collapsed="false">
      <c r="A6684" s="16" t="n">
        <v>45281</v>
      </c>
      <c r="B6684" s="17" t="s">
        <v>3369</v>
      </c>
      <c r="C6684" s="17" t="s">
        <v>3370</v>
      </c>
      <c r="D6684" s="17" t="s">
        <v>2895</v>
      </c>
      <c r="E6684" s="17" t="s">
        <v>3382</v>
      </c>
      <c r="F6684" s="17" t="s">
        <v>372</v>
      </c>
      <c r="G6684" s="18" t="n">
        <v>0</v>
      </c>
      <c r="H6684" s="18" t="n">
        <v>18112.77</v>
      </c>
      <c r="I6684" s="18" t="n">
        <f aca="false">((I6683 + G6684) - H6684)</f>
        <v>235478.76</v>
      </c>
      <c r="J6684" s="18" t="n">
        <v>0</v>
      </c>
      <c r="K6684" s="19" t="n">
        <v>0</v>
      </c>
      <c r="L6684" s="17"/>
    </row>
    <row r="6685" s="11" customFormat="true" ht="10.95" hidden="false" customHeight="true" outlineLevel="0" collapsed="false">
      <c r="A6685" s="16" t="n">
        <v>45281</v>
      </c>
      <c r="B6685" s="17" t="s">
        <v>3369</v>
      </c>
      <c r="C6685" s="17" t="s">
        <v>3370</v>
      </c>
      <c r="D6685" s="17" t="s">
        <v>2895</v>
      </c>
      <c r="E6685" s="17" t="s">
        <v>3384</v>
      </c>
      <c r="F6685" s="17" t="s">
        <v>848</v>
      </c>
      <c r="G6685" s="18" t="n">
        <v>0</v>
      </c>
      <c r="H6685" s="18" t="n">
        <v>1672</v>
      </c>
      <c r="I6685" s="18" t="n">
        <f aca="false">((I6684 + G6685) - H6685)</f>
        <v>233806.76</v>
      </c>
      <c r="J6685" s="18" t="n">
        <v>0</v>
      </c>
      <c r="K6685" s="19" t="n">
        <v>0</v>
      </c>
      <c r="L6685" s="17"/>
    </row>
    <row r="6686" s="11" customFormat="true" ht="10.95" hidden="false" customHeight="true" outlineLevel="0" collapsed="false">
      <c r="A6686" s="16" t="n">
        <v>45281</v>
      </c>
      <c r="B6686" s="17" t="s">
        <v>3369</v>
      </c>
      <c r="C6686" s="17" t="s">
        <v>3370</v>
      </c>
      <c r="D6686" s="17" t="s">
        <v>2895</v>
      </c>
      <c r="E6686" s="17" t="s">
        <v>3384</v>
      </c>
      <c r="F6686" s="17" t="s">
        <v>847</v>
      </c>
      <c r="G6686" s="18" t="n">
        <v>0</v>
      </c>
      <c r="H6686" s="18" t="n">
        <v>1001</v>
      </c>
      <c r="I6686" s="18" t="n">
        <f aca="false">((I6685 + G6686) - H6686)</f>
        <v>232805.76</v>
      </c>
      <c r="J6686" s="18" t="n">
        <v>0</v>
      </c>
      <c r="K6686" s="19" t="n">
        <v>0</v>
      </c>
      <c r="L6686" s="17"/>
    </row>
    <row r="6687" s="11" customFormat="true" ht="10.95" hidden="false" customHeight="true" outlineLevel="0" collapsed="false">
      <c r="A6687" s="16" t="n">
        <v>45281</v>
      </c>
      <c r="B6687" s="17" t="s">
        <v>3369</v>
      </c>
      <c r="C6687" s="17" t="s">
        <v>3370</v>
      </c>
      <c r="D6687" s="17" t="s">
        <v>2895</v>
      </c>
      <c r="E6687" s="17" t="s">
        <v>3384</v>
      </c>
      <c r="F6687" s="17" t="s">
        <v>846</v>
      </c>
      <c r="G6687" s="18" t="n">
        <v>0</v>
      </c>
      <c r="H6687" s="18" t="n">
        <v>2821.5</v>
      </c>
      <c r="I6687" s="18" t="n">
        <f aca="false">((I6686 + G6687) - H6687)</f>
        <v>229984.26</v>
      </c>
      <c r="J6687" s="18" t="n">
        <v>0</v>
      </c>
      <c r="K6687" s="19" t="n">
        <v>0</v>
      </c>
      <c r="L6687" s="17"/>
    </row>
    <row r="6688" s="11" customFormat="true" ht="10.95" hidden="false" customHeight="true" outlineLevel="0" collapsed="false">
      <c r="A6688" s="16" t="n">
        <v>45281</v>
      </c>
      <c r="B6688" s="17" t="s">
        <v>3369</v>
      </c>
      <c r="C6688" s="17" t="s">
        <v>3370</v>
      </c>
      <c r="D6688" s="17" t="s">
        <v>2895</v>
      </c>
      <c r="E6688" s="17" t="s">
        <v>3504</v>
      </c>
      <c r="F6688" s="17" t="s">
        <v>335</v>
      </c>
      <c r="G6688" s="18" t="n">
        <v>0</v>
      </c>
      <c r="H6688" s="18" t="n">
        <v>1034.55</v>
      </c>
      <c r="I6688" s="18" t="n">
        <f aca="false">((I6687 + G6688) - H6688)</f>
        <v>228949.71</v>
      </c>
      <c r="J6688" s="18" t="n">
        <v>0</v>
      </c>
      <c r="K6688" s="19" t="n">
        <v>0</v>
      </c>
      <c r="L6688" s="17"/>
    </row>
    <row r="6689" s="11" customFormat="true" ht="10.95" hidden="false" customHeight="true" outlineLevel="0" collapsed="false">
      <c r="A6689" s="16" t="n">
        <v>45281</v>
      </c>
      <c r="B6689" s="17" t="s">
        <v>3369</v>
      </c>
      <c r="C6689" s="17" t="s">
        <v>3370</v>
      </c>
      <c r="D6689" s="17" t="s">
        <v>2895</v>
      </c>
      <c r="E6689" s="17" t="s">
        <v>2900</v>
      </c>
      <c r="F6689" s="17" t="s">
        <v>1169</v>
      </c>
      <c r="G6689" s="18" t="n">
        <v>0</v>
      </c>
      <c r="H6689" s="18" t="n">
        <v>1325.37</v>
      </c>
      <c r="I6689" s="18" t="n">
        <f aca="false">((I6688 + G6689) - H6689)</f>
        <v>227624.34</v>
      </c>
      <c r="J6689" s="18" t="n">
        <v>0</v>
      </c>
      <c r="K6689" s="19" t="n">
        <v>0</v>
      </c>
      <c r="L6689" s="17"/>
    </row>
    <row r="6690" s="11" customFormat="true" ht="10.95" hidden="false" customHeight="true" outlineLevel="0" collapsed="false">
      <c r="A6690" s="16" t="n">
        <v>45281</v>
      </c>
      <c r="B6690" s="17" t="s">
        <v>3369</v>
      </c>
      <c r="C6690" s="17" t="s">
        <v>3370</v>
      </c>
      <c r="D6690" s="17" t="s">
        <v>2895</v>
      </c>
      <c r="E6690" s="17" t="s">
        <v>2900</v>
      </c>
      <c r="F6690" s="17" t="s">
        <v>1173</v>
      </c>
      <c r="G6690" s="18" t="n">
        <v>0</v>
      </c>
      <c r="H6690" s="18" t="n">
        <v>7078.8</v>
      </c>
      <c r="I6690" s="18" t="n">
        <f aca="false">((I6689 + G6690) - H6690)</f>
        <v>220545.54</v>
      </c>
      <c r="J6690" s="18" t="n">
        <v>0</v>
      </c>
      <c r="K6690" s="19" t="n">
        <v>0</v>
      </c>
      <c r="L6690" s="17"/>
    </row>
    <row r="6691" s="11" customFormat="true" ht="10.95" hidden="false" customHeight="true" outlineLevel="0" collapsed="false">
      <c r="A6691" s="16" t="n">
        <v>45282</v>
      </c>
      <c r="B6691" s="17" t="s">
        <v>3369</v>
      </c>
      <c r="C6691" s="17" t="s">
        <v>3370</v>
      </c>
      <c r="D6691" s="17" t="s">
        <v>2895</v>
      </c>
      <c r="E6691" s="17" t="s">
        <v>3472</v>
      </c>
      <c r="F6691" s="17" t="s">
        <v>371</v>
      </c>
      <c r="G6691" s="18" t="n">
        <v>0</v>
      </c>
      <c r="H6691" s="18" t="n">
        <v>1278.2</v>
      </c>
      <c r="I6691" s="18" t="n">
        <f aca="false">((I6690 + G6691) - H6691)</f>
        <v>219267.34</v>
      </c>
      <c r="J6691" s="18" t="n">
        <v>0</v>
      </c>
      <c r="K6691" s="19" t="n">
        <v>0</v>
      </c>
      <c r="L6691" s="17"/>
    </row>
    <row r="6692" s="11" customFormat="true" ht="10.95" hidden="false" customHeight="true" outlineLevel="0" collapsed="false">
      <c r="A6692" s="16" t="n">
        <v>45282</v>
      </c>
      <c r="B6692" s="17" t="s">
        <v>3369</v>
      </c>
      <c r="C6692" s="17" t="s">
        <v>3370</v>
      </c>
      <c r="D6692" s="17" t="s">
        <v>2895</v>
      </c>
      <c r="E6692" s="17" t="s">
        <v>2947</v>
      </c>
      <c r="F6692" s="17" t="s">
        <v>988</v>
      </c>
      <c r="G6692" s="18" t="n">
        <v>0</v>
      </c>
      <c r="H6692" s="18" t="n">
        <v>1791.89</v>
      </c>
      <c r="I6692" s="18" t="n">
        <f aca="false">((I6691 + G6692) - H6692)</f>
        <v>217475.45</v>
      </c>
      <c r="J6692" s="18" t="n">
        <v>0</v>
      </c>
      <c r="K6692" s="19" t="n">
        <v>0</v>
      </c>
      <c r="L6692" s="17"/>
    </row>
    <row r="6693" s="11" customFormat="true" ht="10.95" hidden="false" customHeight="true" outlineLevel="0" collapsed="false">
      <c r="A6693" s="16" t="n">
        <v>45287</v>
      </c>
      <c r="B6693" s="17" t="s">
        <v>3369</v>
      </c>
      <c r="C6693" s="17" t="s">
        <v>3370</v>
      </c>
      <c r="D6693" s="17" t="s">
        <v>2895</v>
      </c>
      <c r="E6693" s="17" t="s">
        <v>2910</v>
      </c>
      <c r="F6693" s="17" t="s">
        <v>869</v>
      </c>
      <c r="G6693" s="18" t="n">
        <v>0</v>
      </c>
      <c r="H6693" s="18" t="n">
        <v>2515.15</v>
      </c>
      <c r="I6693" s="18" t="n">
        <f aca="false">((I6692 + G6693) - H6693)</f>
        <v>214960.3</v>
      </c>
      <c r="J6693" s="18" t="n">
        <v>0</v>
      </c>
      <c r="K6693" s="19" t="n">
        <v>0</v>
      </c>
      <c r="L6693" s="17"/>
    </row>
    <row r="6694" s="11" customFormat="true" ht="10.95" hidden="false" customHeight="true" outlineLevel="0" collapsed="false">
      <c r="A6694" s="16" t="n">
        <v>45287</v>
      </c>
      <c r="B6694" s="17" t="s">
        <v>3369</v>
      </c>
      <c r="C6694" s="17" t="s">
        <v>3370</v>
      </c>
      <c r="D6694" s="17" t="s">
        <v>2895</v>
      </c>
      <c r="E6694" s="17" t="s">
        <v>3497</v>
      </c>
      <c r="F6694" s="17" t="s">
        <v>404</v>
      </c>
      <c r="G6694" s="18" t="n">
        <v>0</v>
      </c>
      <c r="H6694" s="18" t="n">
        <v>1071.4</v>
      </c>
      <c r="I6694" s="18" t="n">
        <f aca="false">((I6693 + G6694) - H6694)</f>
        <v>213888.9</v>
      </c>
      <c r="J6694" s="18" t="n">
        <v>0</v>
      </c>
      <c r="K6694" s="19" t="n">
        <v>0</v>
      </c>
      <c r="L6694" s="17"/>
    </row>
    <row r="6695" s="11" customFormat="true" ht="10.95" hidden="false" customHeight="true" outlineLevel="0" collapsed="false">
      <c r="A6695" s="16" t="n">
        <v>45287</v>
      </c>
      <c r="B6695" s="17" t="s">
        <v>3369</v>
      </c>
      <c r="C6695" s="17" t="s">
        <v>3370</v>
      </c>
      <c r="D6695" s="17" t="s">
        <v>2895</v>
      </c>
      <c r="E6695" s="17" t="s">
        <v>3378</v>
      </c>
      <c r="F6695" s="17" t="s">
        <v>387</v>
      </c>
      <c r="G6695" s="18" t="n">
        <v>0</v>
      </c>
      <c r="H6695" s="18" t="n">
        <v>413.6</v>
      </c>
      <c r="I6695" s="18" t="n">
        <f aca="false">((I6694 + G6695) - H6695)</f>
        <v>213475.3</v>
      </c>
      <c r="J6695" s="18" t="n">
        <v>0</v>
      </c>
      <c r="K6695" s="19" t="n">
        <v>0</v>
      </c>
      <c r="L6695" s="17"/>
    </row>
    <row r="6696" s="11" customFormat="true" ht="10.95" hidden="false" customHeight="true" outlineLevel="0" collapsed="false">
      <c r="A6696" s="16" t="n">
        <v>45288</v>
      </c>
      <c r="B6696" s="17" t="s">
        <v>3369</v>
      </c>
      <c r="C6696" s="17" t="s">
        <v>3370</v>
      </c>
      <c r="D6696" s="17" t="s">
        <v>2895</v>
      </c>
      <c r="E6696" s="17" t="s">
        <v>3466</v>
      </c>
      <c r="F6696" s="17" t="s">
        <v>383</v>
      </c>
      <c r="G6696" s="18" t="n">
        <v>0</v>
      </c>
      <c r="H6696" s="18" t="n">
        <v>396</v>
      </c>
      <c r="I6696" s="18" t="n">
        <f aca="false">((I6695 + G6696) - H6696)</f>
        <v>213079.3</v>
      </c>
      <c r="J6696" s="18" t="n">
        <v>0</v>
      </c>
      <c r="K6696" s="19" t="n">
        <v>0</v>
      </c>
      <c r="L6696" s="17"/>
    </row>
    <row r="6697" s="11" customFormat="true" ht="10.95" hidden="false" customHeight="true" outlineLevel="0" collapsed="false">
      <c r="A6697" s="16" t="n">
        <v>45288</v>
      </c>
      <c r="B6697" s="17" t="s">
        <v>3369</v>
      </c>
      <c r="C6697" s="17" t="s">
        <v>3370</v>
      </c>
      <c r="D6697" s="17" t="s">
        <v>2895</v>
      </c>
      <c r="E6697" s="17" t="s">
        <v>3505</v>
      </c>
      <c r="F6697" s="17" t="s">
        <v>384</v>
      </c>
      <c r="G6697" s="18" t="n">
        <v>0</v>
      </c>
      <c r="H6697" s="18" t="n">
        <v>157.3</v>
      </c>
      <c r="I6697" s="18" t="n">
        <f aca="false">((I6696 + G6697) - H6697)</f>
        <v>212922</v>
      </c>
      <c r="J6697" s="18" t="n">
        <v>0</v>
      </c>
      <c r="K6697" s="19" t="n">
        <v>0</v>
      </c>
      <c r="L6697" s="17"/>
    </row>
    <row r="6698" s="11" customFormat="true" ht="10.95" hidden="false" customHeight="true" outlineLevel="0" collapsed="false">
      <c r="A6698" s="16" t="n">
        <v>45289</v>
      </c>
      <c r="B6698" s="17" t="s">
        <v>3369</v>
      </c>
      <c r="C6698" s="17" t="s">
        <v>3370</v>
      </c>
      <c r="D6698" s="17" t="s">
        <v>2895</v>
      </c>
      <c r="E6698" s="17" t="s">
        <v>3465</v>
      </c>
      <c r="F6698" s="17" t="s">
        <v>392</v>
      </c>
      <c r="G6698" s="18" t="n">
        <v>0</v>
      </c>
      <c r="H6698" s="18" t="n">
        <v>1094.5</v>
      </c>
      <c r="I6698" s="18" t="n">
        <f aca="false">((I6697 + G6698) - H6698)</f>
        <v>211827.5</v>
      </c>
      <c r="J6698" s="18" t="n">
        <v>0</v>
      </c>
      <c r="K6698" s="19" t="n">
        <v>0</v>
      </c>
      <c r="L6698" s="17"/>
    </row>
    <row r="6699" s="11" customFormat="true" ht="10.95" hidden="false" customHeight="true" outlineLevel="0" collapsed="false">
      <c r="A6699" s="16" t="n">
        <v>45289</v>
      </c>
      <c r="B6699" s="17" t="s">
        <v>3369</v>
      </c>
      <c r="C6699" s="17" t="s">
        <v>3370</v>
      </c>
      <c r="D6699" s="17" t="s">
        <v>2895</v>
      </c>
      <c r="E6699" s="17" t="s">
        <v>3415</v>
      </c>
      <c r="F6699" s="17" t="s">
        <v>400</v>
      </c>
      <c r="G6699" s="18" t="n">
        <v>0</v>
      </c>
      <c r="H6699" s="18" t="n">
        <v>1052.7</v>
      </c>
      <c r="I6699" s="18" t="n">
        <f aca="false">((I6698 + G6699) - H6699)</f>
        <v>210774.8</v>
      </c>
      <c r="J6699" s="18" t="n">
        <v>0</v>
      </c>
      <c r="K6699" s="19" t="n">
        <v>0</v>
      </c>
      <c r="L6699" s="17"/>
    </row>
    <row r="6700" s="11" customFormat="true" ht="10.95" hidden="false" customHeight="true" outlineLevel="0" collapsed="false">
      <c r="A6700" s="16" t="n">
        <v>45292</v>
      </c>
      <c r="B6700" s="17" t="s">
        <v>3369</v>
      </c>
      <c r="C6700" s="17" t="s">
        <v>3370</v>
      </c>
      <c r="D6700" s="17" t="s">
        <v>2895</v>
      </c>
      <c r="E6700" s="17" t="s">
        <v>2964</v>
      </c>
      <c r="F6700" s="17" t="s">
        <v>990</v>
      </c>
      <c r="G6700" s="18" t="n">
        <v>0</v>
      </c>
      <c r="H6700" s="18" t="n">
        <v>3831.45</v>
      </c>
      <c r="I6700" s="18" t="n">
        <f aca="false">((I6699 + G6700) - H6700)</f>
        <v>206943.35</v>
      </c>
      <c r="J6700" s="18" t="n">
        <v>0</v>
      </c>
      <c r="K6700" s="19" t="n">
        <v>0</v>
      </c>
      <c r="L6700" s="17"/>
    </row>
    <row r="6701" s="11" customFormat="true" ht="10.95" hidden="false" customHeight="true" outlineLevel="0" collapsed="false">
      <c r="A6701" s="16" t="n">
        <v>45293</v>
      </c>
      <c r="B6701" s="17" t="s">
        <v>3369</v>
      </c>
      <c r="C6701" s="17" t="s">
        <v>3370</v>
      </c>
      <c r="D6701" s="17" t="s">
        <v>2895</v>
      </c>
      <c r="E6701" s="17" t="s">
        <v>2896</v>
      </c>
      <c r="F6701" s="17" t="s">
        <v>863</v>
      </c>
      <c r="G6701" s="18" t="n">
        <v>0</v>
      </c>
      <c r="H6701" s="18" t="n">
        <v>88.96</v>
      </c>
      <c r="I6701" s="18" t="n">
        <f aca="false">((I6700 + G6701) - H6701)</f>
        <v>206854.39</v>
      </c>
      <c r="J6701" s="18" t="n">
        <v>0</v>
      </c>
      <c r="K6701" s="19" t="n">
        <v>0</v>
      </c>
      <c r="L6701" s="17"/>
    </row>
    <row r="6702" s="11" customFormat="true" ht="10.95" hidden="false" customHeight="true" outlineLevel="0" collapsed="false">
      <c r="A6702" s="16" t="n">
        <v>45293</v>
      </c>
      <c r="B6702" s="17" t="s">
        <v>3369</v>
      </c>
      <c r="C6702" s="17" t="s">
        <v>3370</v>
      </c>
      <c r="D6702" s="17" t="s">
        <v>2895</v>
      </c>
      <c r="E6702" s="17" t="s">
        <v>3384</v>
      </c>
      <c r="F6702" s="17" t="s">
        <v>866</v>
      </c>
      <c r="G6702" s="18" t="n">
        <v>0</v>
      </c>
      <c r="H6702" s="18" t="n">
        <v>2403.5</v>
      </c>
      <c r="I6702" s="18" t="n">
        <f aca="false">((I6701 + G6702) - H6702)</f>
        <v>204450.89</v>
      </c>
      <c r="J6702" s="18" t="n">
        <v>0</v>
      </c>
      <c r="K6702" s="19" t="n">
        <v>0</v>
      </c>
      <c r="L6702" s="17"/>
    </row>
    <row r="6703" s="11" customFormat="true" ht="10.95" hidden="false" customHeight="true" outlineLevel="0" collapsed="false">
      <c r="A6703" s="16" t="n">
        <v>45293</v>
      </c>
      <c r="B6703" s="17" t="s">
        <v>3369</v>
      </c>
      <c r="C6703" s="17" t="s">
        <v>3370</v>
      </c>
      <c r="D6703" s="17" t="s">
        <v>2895</v>
      </c>
      <c r="E6703" s="17" t="s">
        <v>3384</v>
      </c>
      <c r="F6703" s="17" t="s">
        <v>868</v>
      </c>
      <c r="G6703" s="18" t="n">
        <v>0</v>
      </c>
      <c r="H6703" s="18" t="n">
        <v>1672</v>
      </c>
      <c r="I6703" s="18" t="n">
        <f aca="false">((I6702 + G6703) - H6703)</f>
        <v>202778.89</v>
      </c>
      <c r="J6703" s="18" t="n">
        <v>0</v>
      </c>
      <c r="K6703" s="19" t="n">
        <v>0</v>
      </c>
      <c r="L6703" s="17"/>
    </row>
    <row r="6704" s="11" customFormat="true" ht="10.95" hidden="false" customHeight="true" outlineLevel="0" collapsed="false">
      <c r="A6704" s="16" t="n">
        <v>45293</v>
      </c>
      <c r="B6704" s="17" t="s">
        <v>3369</v>
      </c>
      <c r="C6704" s="17" t="s">
        <v>3370</v>
      </c>
      <c r="D6704" s="17" t="s">
        <v>2895</v>
      </c>
      <c r="E6704" s="17" t="s">
        <v>3384</v>
      </c>
      <c r="F6704" s="17" t="s">
        <v>867</v>
      </c>
      <c r="G6704" s="18" t="n">
        <v>0</v>
      </c>
      <c r="H6704" s="18" t="n">
        <v>1001</v>
      </c>
      <c r="I6704" s="18" t="n">
        <f aca="false">((I6703 + G6704) - H6704)</f>
        <v>201777.89</v>
      </c>
      <c r="J6704" s="18" t="n">
        <v>0</v>
      </c>
      <c r="K6704" s="19" t="n">
        <v>0</v>
      </c>
      <c r="L6704" s="17"/>
    </row>
    <row r="6705" s="11" customFormat="true" ht="10.95" hidden="false" customHeight="true" outlineLevel="0" collapsed="false">
      <c r="A6705" s="16" t="n">
        <v>45293</v>
      </c>
      <c r="B6705" s="17" t="s">
        <v>3369</v>
      </c>
      <c r="C6705" s="17" t="s">
        <v>3370</v>
      </c>
      <c r="D6705" s="17" t="s">
        <v>2895</v>
      </c>
      <c r="E6705" s="17" t="s">
        <v>3391</v>
      </c>
      <c r="F6705" s="17" t="s">
        <v>399</v>
      </c>
      <c r="G6705" s="18" t="n">
        <v>0</v>
      </c>
      <c r="H6705" s="18" t="n">
        <v>1100.06</v>
      </c>
      <c r="I6705" s="18" t="n">
        <f aca="false">((I6704 + G6705) - H6705)</f>
        <v>200677.83</v>
      </c>
      <c r="J6705" s="18" t="n">
        <v>0</v>
      </c>
      <c r="K6705" s="19" t="n">
        <v>0</v>
      </c>
      <c r="L6705" s="17"/>
    </row>
    <row r="6706" s="11" customFormat="true" ht="10.95" hidden="false" customHeight="true" outlineLevel="0" collapsed="false">
      <c r="A6706" s="16" t="n">
        <v>45293</v>
      </c>
      <c r="B6706" s="17" t="s">
        <v>3369</v>
      </c>
      <c r="C6706" s="17" t="s">
        <v>3370</v>
      </c>
      <c r="D6706" s="17" t="s">
        <v>2895</v>
      </c>
      <c r="E6706" s="17" t="s">
        <v>3474</v>
      </c>
      <c r="F6706" s="17" t="s">
        <v>391</v>
      </c>
      <c r="G6706" s="18" t="n">
        <v>0</v>
      </c>
      <c r="H6706" s="18" t="n">
        <v>357.5</v>
      </c>
      <c r="I6706" s="18" t="n">
        <f aca="false">((I6705 + G6706) - H6706)</f>
        <v>200320.33</v>
      </c>
      <c r="J6706" s="18" t="n">
        <v>0</v>
      </c>
      <c r="K6706" s="19" t="n">
        <v>0</v>
      </c>
      <c r="L6706" s="17"/>
    </row>
    <row r="6707" s="11" customFormat="true" ht="10.95" hidden="false" customHeight="true" outlineLevel="0" collapsed="false">
      <c r="A6707" s="16" t="n">
        <v>45294</v>
      </c>
      <c r="B6707" s="17" t="s">
        <v>3369</v>
      </c>
      <c r="C6707" s="17" t="s">
        <v>3370</v>
      </c>
      <c r="D6707" s="17" t="s">
        <v>2895</v>
      </c>
      <c r="E6707" s="17" t="s">
        <v>3389</v>
      </c>
      <c r="F6707" s="17" t="s">
        <v>402</v>
      </c>
      <c r="G6707" s="18" t="n">
        <v>0</v>
      </c>
      <c r="H6707" s="18" t="n">
        <v>4994</v>
      </c>
      <c r="I6707" s="18" t="n">
        <f aca="false">((I6706 + G6707) - H6707)</f>
        <v>195326.33</v>
      </c>
      <c r="J6707" s="18" t="n">
        <v>0</v>
      </c>
      <c r="K6707" s="19" t="n">
        <v>0</v>
      </c>
      <c r="L6707" s="17"/>
    </row>
    <row r="6708" s="11" customFormat="true" ht="10.95" hidden="false" customHeight="true" outlineLevel="0" collapsed="false">
      <c r="A6708" s="16" t="n">
        <v>45294</v>
      </c>
      <c r="B6708" s="17" t="s">
        <v>3369</v>
      </c>
      <c r="C6708" s="17" t="s">
        <v>3370</v>
      </c>
      <c r="D6708" s="17" t="s">
        <v>2895</v>
      </c>
      <c r="E6708" s="17" t="s">
        <v>2898</v>
      </c>
      <c r="F6708" s="17" t="s">
        <v>1174</v>
      </c>
      <c r="G6708" s="18" t="n">
        <v>0</v>
      </c>
      <c r="H6708" s="18" t="n">
        <v>768.68</v>
      </c>
      <c r="I6708" s="18" t="n">
        <f aca="false">((I6707 + G6708) - H6708)</f>
        <v>194557.65</v>
      </c>
      <c r="J6708" s="18" t="n">
        <v>0</v>
      </c>
      <c r="K6708" s="19" t="n">
        <v>0</v>
      </c>
      <c r="L6708" s="17"/>
    </row>
    <row r="6709" s="11" customFormat="true" ht="10.95" hidden="false" customHeight="true" outlineLevel="0" collapsed="false">
      <c r="A6709" s="16" t="n">
        <v>45295</v>
      </c>
      <c r="B6709" s="17" t="s">
        <v>3369</v>
      </c>
      <c r="C6709" s="17" t="s">
        <v>3370</v>
      </c>
      <c r="D6709" s="17" t="s">
        <v>2895</v>
      </c>
      <c r="E6709" s="17" t="s">
        <v>2964</v>
      </c>
      <c r="F6709" s="17" t="s">
        <v>992</v>
      </c>
      <c r="G6709" s="18" t="n">
        <v>0</v>
      </c>
      <c r="H6709" s="18" t="n">
        <v>763.34</v>
      </c>
      <c r="I6709" s="18" t="n">
        <f aca="false">((I6708 + G6709) - H6709)</f>
        <v>193794.31</v>
      </c>
      <c r="J6709" s="18" t="n">
        <v>0</v>
      </c>
      <c r="K6709" s="19" t="n">
        <v>0</v>
      </c>
      <c r="L6709" s="17"/>
    </row>
    <row r="6710" s="11" customFormat="true" ht="10.95" hidden="false" customHeight="true" outlineLevel="0" collapsed="false">
      <c r="A6710" s="16" t="n">
        <v>45295</v>
      </c>
      <c r="B6710" s="17" t="s">
        <v>3369</v>
      </c>
      <c r="C6710" s="17" t="s">
        <v>3370</v>
      </c>
      <c r="D6710" s="17" t="s">
        <v>2895</v>
      </c>
      <c r="E6710" s="17" t="s">
        <v>3456</v>
      </c>
      <c r="F6710" s="17" t="s">
        <v>396</v>
      </c>
      <c r="G6710" s="18" t="n">
        <v>0</v>
      </c>
      <c r="H6710" s="18" t="n">
        <v>28516.08</v>
      </c>
      <c r="I6710" s="18" t="n">
        <f aca="false">((I6709 + G6710) - H6710)</f>
        <v>165278.23</v>
      </c>
      <c r="J6710" s="18" t="n">
        <v>0</v>
      </c>
      <c r="K6710" s="19" t="n">
        <v>0</v>
      </c>
      <c r="L6710" s="17"/>
    </row>
    <row r="6711" s="11" customFormat="true" ht="10.95" hidden="false" customHeight="true" outlineLevel="0" collapsed="false">
      <c r="A6711" s="16" t="n">
        <v>45295</v>
      </c>
      <c r="B6711" s="17" t="s">
        <v>3369</v>
      </c>
      <c r="C6711" s="17" t="s">
        <v>3370</v>
      </c>
      <c r="D6711" s="17" t="s">
        <v>2895</v>
      </c>
      <c r="E6711" s="17" t="s">
        <v>2922</v>
      </c>
      <c r="F6711" s="17" t="s">
        <v>989</v>
      </c>
      <c r="G6711" s="18" t="n">
        <v>0</v>
      </c>
      <c r="H6711" s="18" t="n">
        <v>9238.62</v>
      </c>
      <c r="I6711" s="18" t="n">
        <f aca="false">((I6710 + G6711) - H6711)</f>
        <v>156039.61</v>
      </c>
      <c r="J6711" s="18" t="n">
        <v>0</v>
      </c>
      <c r="K6711" s="19" t="n">
        <v>0</v>
      </c>
      <c r="L6711" s="17"/>
    </row>
    <row r="6712" s="11" customFormat="true" ht="10.95" hidden="false" customHeight="true" outlineLevel="0" collapsed="false">
      <c r="A6712" s="16" t="n">
        <v>45295</v>
      </c>
      <c r="B6712" s="17" t="s">
        <v>3369</v>
      </c>
      <c r="C6712" s="17" t="s">
        <v>3370</v>
      </c>
      <c r="D6712" s="17" t="s">
        <v>2895</v>
      </c>
      <c r="E6712" s="17" t="s">
        <v>3456</v>
      </c>
      <c r="F6712" s="17" t="s">
        <v>398</v>
      </c>
      <c r="G6712" s="18" t="n">
        <v>0</v>
      </c>
      <c r="H6712" s="18" t="n">
        <v>2244</v>
      </c>
      <c r="I6712" s="18" t="n">
        <f aca="false">((I6711 + G6712) - H6712)</f>
        <v>153795.61</v>
      </c>
      <c r="J6712" s="18" t="n">
        <v>0</v>
      </c>
      <c r="K6712" s="19" t="n">
        <v>0</v>
      </c>
      <c r="L6712" s="17"/>
    </row>
    <row r="6713" s="11" customFormat="true" ht="10.95" hidden="false" customHeight="true" outlineLevel="0" collapsed="false">
      <c r="A6713" s="16" t="n">
        <v>45295</v>
      </c>
      <c r="B6713" s="17" t="s">
        <v>3369</v>
      </c>
      <c r="C6713" s="17" t="s">
        <v>3370</v>
      </c>
      <c r="D6713" s="17" t="s">
        <v>2895</v>
      </c>
      <c r="E6713" s="17" t="s">
        <v>3504</v>
      </c>
      <c r="F6713" s="17" t="s">
        <v>386</v>
      </c>
      <c r="G6713" s="18" t="n">
        <v>0</v>
      </c>
      <c r="H6713" s="18" t="n">
        <v>1034.55</v>
      </c>
      <c r="I6713" s="18" t="n">
        <f aca="false">((I6712 + G6713) - H6713)</f>
        <v>152761.06</v>
      </c>
      <c r="J6713" s="18" t="n">
        <v>0</v>
      </c>
      <c r="K6713" s="19" t="n">
        <v>0</v>
      </c>
      <c r="L6713" s="17"/>
    </row>
    <row r="6714" s="11" customFormat="true" ht="10.95" hidden="false" customHeight="true" outlineLevel="0" collapsed="false">
      <c r="A6714" s="16" t="n">
        <v>45295</v>
      </c>
      <c r="B6714" s="17" t="s">
        <v>3369</v>
      </c>
      <c r="C6714" s="17" t="s">
        <v>3370</v>
      </c>
      <c r="D6714" s="17" t="s">
        <v>2895</v>
      </c>
      <c r="E6714" s="17" t="s">
        <v>3480</v>
      </c>
      <c r="F6714" s="17" t="s">
        <v>1158</v>
      </c>
      <c r="G6714" s="18" t="n">
        <v>0</v>
      </c>
      <c r="H6714" s="18" t="n">
        <v>180</v>
      </c>
      <c r="I6714" s="18" t="n">
        <f aca="false">((I6713 + G6714) - H6714)</f>
        <v>152581.06</v>
      </c>
      <c r="J6714" s="18" t="n">
        <v>0</v>
      </c>
      <c r="K6714" s="19" t="n">
        <v>0</v>
      </c>
      <c r="L6714" s="17"/>
    </row>
    <row r="6715" s="11" customFormat="true" ht="10.95" hidden="false" customHeight="true" outlineLevel="0" collapsed="false">
      <c r="A6715" s="16" t="n">
        <v>45295</v>
      </c>
      <c r="B6715" s="17" t="s">
        <v>3369</v>
      </c>
      <c r="C6715" s="17" t="s">
        <v>3370</v>
      </c>
      <c r="D6715" s="17" t="s">
        <v>19</v>
      </c>
      <c r="E6715" s="17" t="s">
        <v>3517</v>
      </c>
      <c r="F6715" s="17" t="s">
        <v>3286</v>
      </c>
      <c r="G6715" s="18" t="n">
        <v>2757.7</v>
      </c>
      <c r="H6715" s="18" t="n">
        <v>0</v>
      </c>
      <c r="I6715" s="18" t="n">
        <f aca="false">((I6714 + G6715) - H6715)</f>
        <v>155338.76</v>
      </c>
      <c r="J6715" s="18" t="n">
        <v>0</v>
      </c>
      <c r="K6715" s="19" t="n">
        <v>0</v>
      </c>
      <c r="L6715" s="17"/>
    </row>
    <row r="6716" s="11" customFormat="true" ht="10.95" hidden="false" customHeight="true" outlineLevel="0" collapsed="false">
      <c r="A6716" s="16" t="n">
        <v>45295</v>
      </c>
      <c r="B6716" s="17" t="s">
        <v>3369</v>
      </c>
      <c r="C6716" s="17" t="s">
        <v>3370</v>
      </c>
      <c r="D6716" s="17" t="s">
        <v>2895</v>
      </c>
      <c r="E6716" s="17" t="s">
        <v>3518</v>
      </c>
      <c r="F6716" s="17" t="s">
        <v>3286</v>
      </c>
      <c r="G6716" s="18" t="n">
        <v>0</v>
      </c>
      <c r="H6716" s="18" t="n">
        <v>2757.7</v>
      </c>
      <c r="I6716" s="18" t="n">
        <f aca="false">((I6715 + G6716) - H6716)</f>
        <v>152581.06</v>
      </c>
      <c r="J6716" s="18" t="n">
        <v>0</v>
      </c>
      <c r="K6716" s="19" t="n">
        <v>0</v>
      </c>
      <c r="L6716" s="17"/>
    </row>
    <row r="6717" s="11" customFormat="true" ht="10.95" hidden="false" customHeight="true" outlineLevel="0" collapsed="false">
      <c r="A6717" s="16" t="n">
        <v>45296</v>
      </c>
      <c r="B6717" s="17" t="s">
        <v>3369</v>
      </c>
      <c r="C6717" s="17" t="s">
        <v>3370</v>
      </c>
      <c r="D6717" s="17" t="s">
        <v>2895</v>
      </c>
      <c r="E6717" s="17" t="s">
        <v>2947</v>
      </c>
      <c r="F6717" s="17" t="s">
        <v>979</v>
      </c>
      <c r="G6717" s="18" t="n">
        <v>0</v>
      </c>
      <c r="H6717" s="18" t="n">
        <v>1838.96</v>
      </c>
      <c r="I6717" s="18" t="n">
        <f aca="false">((I6716 + G6717) - H6717)</f>
        <v>150742.1</v>
      </c>
      <c r="J6717" s="18" t="n">
        <v>0</v>
      </c>
      <c r="K6717" s="19" t="n">
        <v>0</v>
      </c>
      <c r="L6717" s="17"/>
    </row>
    <row r="6718" s="11" customFormat="true" ht="10.95" hidden="false" customHeight="true" outlineLevel="0" collapsed="false">
      <c r="A6718" s="16" t="n">
        <v>45301</v>
      </c>
      <c r="B6718" s="17" t="s">
        <v>3369</v>
      </c>
      <c r="C6718" s="17" t="s">
        <v>3370</v>
      </c>
      <c r="D6718" s="17" t="s">
        <v>2895</v>
      </c>
      <c r="E6718" s="17" t="s">
        <v>2906</v>
      </c>
      <c r="F6718" s="17" t="s">
        <v>1175</v>
      </c>
      <c r="G6718" s="18" t="n">
        <v>0</v>
      </c>
      <c r="H6718" s="18" t="n">
        <v>3116.68</v>
      </c>
      <c r="I6718" s="18" t="n">
        <f aca="false">((I6717 + G6718) - H6718)</f>
        <v>147625.42</v>
      </c>
      <c r="J6718" s="18" t="n">
        <v>0</v>
      </c>
      <c r="K6718" s="19" t="n">
        <v>0</v>
      </c>
      <c r="L6718" s="17"/>
    </row>
    <row r="6719" s="11" customFormat="true" ht="10.95" hidden="false" customHeight="true" outlineLevel="0" collapsed="false">
      <c r="A6719" s="16" t="n">
        <v>45302</v>
      </c>
      <c r="B6719" s="17" t="s">
        <v>3369</v>
      </c>
      <c r="C6719" s="17" t="s">
        <v>3370</v>
      </c>
      <c r="D6719" s="17" t="s">
        <v>2895</v>
      </c>
      <c r="E6719" s="17" t="s">
        <v>3457</v>
      </c>
      <c r="F6719" s="17" t="s">
        <v>376</v>
      </c>
      <c r="G6719" s="18" t="n">
        <v>0</v>
      </c>
      <c r="H6719" s="18" t="n">
        <v>9999</v>
      </c>
      <c r="I6719" s="18" t="n">
        <f aca="false">((I6718 + G6719) - H6719)</f>
        <v>137626.42</v>
      </c>
      <c r="J6719" s="18" t="n">
        <v>0</v>
      </c>
      <c r="K6719" s="19" t="n">
        <v>0</v>
      </c>
      <c r="L6719" s="17"/>
    </row>
    <row r="6720" s="11" customFormat="true" ht="10.95" hidden="false" customHeight="true" outlineLevel="0" collapsed="false">
      <c r="A6720" s="16" t="n">
        <v>45302</v>
      </c>
      <c r="B6720" s="17" t="s">
        <v>3369</v>
      </c>
      <c r="C6720" s="17" t="s">
        <v>3370</v>
      </c>
      <c r="D6720" s="17" t="s">
        <v>2895</v>
      </c>
      <c r="E6720" s="17" t="s">
        <v>3401</v>
      </c>
      <c r="F6720" s="17" t="s">
        <v>389</v>
      </c>
      <c r="G6720" s="18" t="n">
        <v>0</v>
      </c>
      <c r="H6720" s="18" t="n">
        <v>561</v>
      </c>
      <c r="I6720" s="18" t="n">
        <f aca="false">((I6719 + G6720) - H6720)</f>
        <v>137065.42</v>
      </c>
      <c r="J6720" s="18" t="n">
        <v>0</v>
      </c>
      <c r="K6720" s="19" t="n">
        <v>0</v>
      </c>
      <c r="L6720" s="17"/>
    </row>
    <row r="6721" s="11" customFormat="true" ht="10.95" hidden="false" customHeight="true" outlineLevel="0" collapsed="false">
      <c r="A6721" s="16" t="n">
        <v>45302</v>
      </c>
      <c r="B6721" s="17" t="s">
        <v>3369</v>
      </c>
      <c r="C6721" s="17" t="s">
        <v>3370</v>
      </c>
      <c r="D6721" s="17" t="s">
        <v>2895</v>
      </c>
      <c r="E6721" s="17" t="s">
        <v>3403</v>
      </c>
      <c r="F6721" s="17" t="s">
        <v>263</v>
      </c>
      <c r="G6721" s="18" t="n">
        <v>0</v>
      </c>
      <c r="H6721" s="18" t="n">
        <v>638</v>
      </c>
      <c r="I6721" s="18" t="n">
        <f aca="false">((I6720 + G6721) - H6721)</f>
        <v>136427.42</v>
      </c>
      <c r="J6721" s="18" t="n">
        <v>0</v>
      </c>
      <c r="K6721" s="19" t="n">
        <v>0</v>
      </c>
      <c r="L6721" s="17"/>
    </row>
    <row r="6722" s="11" customFormat="true" ht="10.95" hidden="false" customHeight="true" outlineLevel="0" collapsed="false">
      <c r="A6722" s="16" t="n">
        <v>45302</v>
      </c>
      <c r="B6722" s="17" t="s">
        <v>3369</v>
      </c>
      <c r="C6722" s="17" t="s">
        <v>3370</v>
      </c>
      <c r="D6722" s="17" t="s">
        <v>2895</v>
      </c>
      <c r="E6722" s="17" t="s">
        <v>3403</v>
      </c>
      <c r="F6722" s="17" t="s">
        <v>407</v>
      </c>
      <c r="G6722" s="18" t="n">
        <v>0</v>
      </c>
      <c r="H6722" s="18" t="n">
        <v>827.2</v>
      </c>
      <c r="I6722" s="18" t="n">
        <f aca="false">((I6721 + G6722) - H6722)</f>
        <v>135600.22</v>
      </c>
      <c r="J6722" s="18" t="n">
        <v>0</v>
      </c>
      <c r="K6722" s="19" t="n">
        <v>0</v>
      </c>
      <c r="L6722" s="17"/>
    </row>
    <row r="6723" s="11" customFormat="true" ht="10.95" hidden="false" customHeight="true" outlineLevel="0" collapsed="false">
      <c r="A6723" s="16" t="n">
        <v>45302</v>
      </c>
      <c r="B6723" s="17" t="s">
        <v>3369</v>
      </c>
      <c r="C6723" s="17" t="s">
        <v>3370</v>
      </c>
      <c r="D6723" s="17" t="s">
        <v>2895</v>
      </c>
      <c r="E6723" s="17" t="s">
        <v>3403</v>
      </c>
      <c r="F6723" s="17" t="s">
        <v>365</v>
      </c>
      <c r="G6723" s="18" t="n">
        <v>0</v>
      </c>
      <c r="H6723" s="18" t="n">
        <v>310.2</v>
      </c>
      <c r="I6723" s="18" t="n">
        <f aca="false">((I6722 + G6723) - H6723)</f>
        <v>135290.02</v>
      </c>
      <c r="J6723" s="18" t="n">
        <v>0</v>
      </c>
      <c r="K6723" s="19" t="n">
        <v>0</v>
      </c>
      <c r="L6723" s="17"/>
    </row>
    <row r="6724" s="11" customFormat="true" ht="10.95" hidden="false" customHeight="true" outlineLevel="0" collapsed="false">
      <c r="A6724" s="16" t="n">
        <v>45302</v>
      </c>
      <c r="B6724" s="17" t="s">
        <v>3369</v>
      </c>
      <c r="C6724" s="17" t="s">
        <v>3370</v>
      </c>
      <c r="D6724" s="17" t="s">
        <v>2895</v>
      </c>
      <c r="E6724" s="17" t="s">
        <v>3403</v>
      </c>
      <c r="F6724" s="17" t="s">
        <v>361</v>
      </c>
      <c r="G6724" s="18" t="n">
        <v>0</v>
      </c>
      <c r="H6724" s="18" t="n">
        <v>517</v>
      </c>
      <c r="I6724" s="18" t="n">
        <f aca="false">((I6723 + G6724) - H6724)</f>
        <v>134773.02</v>
      </c>
      <c r="J6724" s="18" t="n">
        <v>0</v>
      </c>
      <c r="K6724" s="19" t="n">
        <v>0</v>
      </c>
      <c r="L6724" s="17"/>
    </row>
    <row r="6725" s="11" customFormat="true" ht="10.95" hidden="false" customHeight="true" outlineLevel="0" collapsed="false">
      <c r="A6725" s="16" t="n">
        <v>45302</v>
      </c>
      <c r="B6725" s="17" t="s">
        <v>3369</v>
      </c>
      <c r="C6725" s="17" t="s">
        <v>3370</v>
      </c>
      <c r="D6725" s="17" t="s">
        <v>2895</v>
      </c>
      <c r="E6725" s="17" t="s">
        <v>3403</v>
      </c>
      <c r="F6725" s="17" t="s">
        <v>357</v>
      </c>
      <c r="G6725" s="18" t="n">
        <v>0</v>
      </c>
      <c r="H6725" s="18" t="n">
        <v>618.75</v>
      </c>
      <c r="I6725" s="18" t="n">
        <f aca="false">((I6724 + G6725) - H6725)</f>
        <v>134154.27</v>
      </c>
      <c r="J6725" s="18" t="n">
        <v>0</v>
      </c>
      <c r="K6725" s="19" t="n">
        <v>0</v>
      </c>
      <c r="L6725" s="17"/>
    </row>
    <row r="6726" s="11" customFormat="true" ht="10.95" hidden="false" customHeight="true" outlineLevel="0" collapsed="false">
      <c r="A6726" s="16" t="n">
        <v>45302</v>
      </c>
      <c r="B6726" s="17" t="s">
        <v>3369</v>
      </c>
      <c r="C6726" s="17" t="s">
        <v>3370</v>
      </c>
      <c r="D6726" s="17" t="s">
        <v>2895</v>
      </c>
      <c r="E6726" s="17" t="s">
        <v>3403</v>
      </c>
      <c r="F6726" s="17" t="s">
        <v>409</v>
      </c>
      <c r="G6726" s="18" t="n">
        <v>0</v>
      </c>
      <c r="H6726" s="18" t="n">
        <v>206.8</v>
      </c>
      <c r="I6726" s="18" t="n">
        <f aca="false">((I6725 + G6726) - H6726)</f>
        <v>133947.47</v>
      </c>
      <c r="J6726" s="18" t="n">
        <v>0</v>
      </c>
      <c r="K6726" s="19" t="n">
        <v>0</v>
      </c>
      <c r="L6726" s="17"/>
    </row>
    <row r="6727" s="11" customFormat="true" ht="10.95" hidden="false" customHeight="true" outlineLevel="0" collapsed="false">
      <c r="A6727" s="16" t="n">
        <v>45302</v>
      </c>
      <c r="B6727" s="17" t="s">
        <v>3369</v>
      </c>
      <c r="C6727" s="17" t="s">
        <v>3370</v>
      </c>
      <c r="D6727" s="17" t="s">
        <v>2895</v>
      </c>
      <c r="E6727" s="17" t="s">
        <v>3403</v>
      </c>
      <c r="F6727" s="17" t="s">
        <v>314</v>
      </c>
      <c r="G6727" s="18" t="n">
        <v>0</v>
      </c>
      <c r="H6727" s="18" t="n">
        <v>638</v>
      </c>
      <c r="I6727" s="18" t="n">
        <f aca="false">((I6726 + G6727) - H6727)</f>
        <v>133309.47</v>
      </c>
      <c r="J6727" s="18" t="n">
        <v>0</v>
      </c>
      <c r="K6727" s="19" t="n">
        <v>0</v>
      </c>
      <c r="L6727" s="17"/>
    </row>
    <row r="6728" s="11" customFormat="true" ht="10.95" hidden="false" customHeight="true" outlineLevel="0" collapsed="false">
      <c r="A6728" s="16" t="n">
        <v>45302</v>
      </c>
      <c r="B6728" s="17" t="s">
        <v>3369</v>
      </c>
      <c r="C6728" s="17" t="s">
        <v>3370</v>
      </c>
      <c r="D6728" s="17" t="s">
        <v>2895</v>
      </c>
      <c r="E6728" s="17" t="s">
        <v>3403</v>
      </c>
      <c r="F6728" s="17" t="s">
        <v>368</v>
      </c>
      <c r="G6728" s="18" t="n">
        <v>0</v>
      </c>
      <c r="H6728" s="18" t="n">
        <v>1137.4</v>
      </c>
      <c r="I6728" s="18" t="n">
        <f aca="false">((I6727 + G6728) - H6728)</f>
        <v>132172.07</v>
      </c>
      <c r="J6728" s="18" t="n">
        <v>0</v>
      </c>
      <c r="K6728" s="19" t="n">
        <v>0</v>
      </c>
      <c r="L6728" s="17"/>
    </row>
    <row r="6729" s="11" customFormat="true" ht="10.95" hidden="false" customHeight="true" outlineLevel="0" collapsed="false">
      <c r="A6729" s="16" t="n">
        <v>45302</v>
      </c>
      <c r="B6729" s="17" t="s">
        <v>3369</v>
      </c>
      <c r="C6729" s="17" t="s">
        <v>3370</v>
      </c>
      <c r="D6729" s="17" t="s">
        <v>2895</v>
      </c>
      <c r="E6729" s="17" t="s">
        <v>3403</v>
      </c>
      <c r="F6729" s="17" t="s">
        <v>363</v>
      </c>
      <c r="G6729" s="18" t="n">
        <v>0</v>
      </c>
      <c r="H6729" s="18" t="n">
        <v>627</v>
      </c>
      <c r="I6729" s="18" t="n">
        <f aca="false">((I6728 + G6729) - H6729)</f>
        <v>131545.07</v>
      </c>
      <c r="J6729" s="18" t="n">
        <v>0</v>
      </c>
      <c r="K6729" s="19" t="n">
        <v>0</v>
      </c>
      <c r="L6729" s="17"/>
    </row>
    <row r="6730" s="11" customFormat="true" ht="10.95" hidden="false" customHeight="true" outlineLevel="0" collapsed="false">
      <c r="A6730" s="16" t="n">
        <v>45302</v>
      </c>
      <c r="B6730" s="17" t="s">
        <v>3369</v>
      </c>
      <c r="C6730" s="17" t="s">
        <v>3370</v>
      </c>
      <c r="D6730" s="17" t="s">
        <v>2895</v>
      </c>
      <c r="E6730" s="17" t="s">
        <v>3403</v>
      </c>
      <c r="F6730" s="17" t="s">
        <v>360</v>
      </c>
      <c r="G6730" s="18" t="n">
        <v>0</v>
      </c>
      <c r="H6730" s="18" t="n">
        <v>206.8</v>
      </c>
      <c r="I6730" s="18" t="n">
        <f aca="false">((I6729 + G6730) - H6730)</f>
        <v>131338.27</v>
      </c>
      <c r="J6730" s="18" t="n">
        <v>0</v>
      </c>
      <c r="K6730" s="19" t="n">
        <v>0</v>
      </c>
      <c r="L6730" s="17"/>
    </row>
    <row r="6731" s="11" customFormat="true" ht="10.95" hidden="false" customHeight="true" outlineLevel="0" collapsed="false">
      <c r="A6731" s="16" t="n">
        <v>45302</v>
      </c>
      <c r="B6731" s="17" t="s">
        <v>3369</v>
      </c>
      <c r="C6731" s="17" t="s">
        <v>3370</v>
      </c>
      <c r="D6731" s="17" t="s">
        <v>2895</v>
      </c>
      <c r="E6731" s="17" t="s">
        <v>3403</v>
      </c>
      <c r="F6731" s="17" t="s">
        <v>359</v>
      </c>
      <c r="G6731" s="18" t="n">
        <v>0</v>
      </c>
      <c r="H6731" s="18" t="n">
        <v>638</v>
      </c>
      <c r="I6731" s="18" t="n">
        <f aca="false">((I6730 + G6731) - H6731)</f>
        <v>130700.27</v>
      </c>
      <c r="J6731" s="18" t="n">
        <v>0</v>
      </c>
      <c r="K6731" s="19" t="n">
        <v>0</v>
      </c>
      <c r="L6731" s="17"/>
    </row>
    <row r="6732" s="11" customFormat="true" ht="10.95" hidden="false" customHeight="true" outlineLevel="0" collapsed="false">
      <c r="A6732" s="16" t="n">
        <v>45302</v>
      </c>
      <c r="B6732" s="17" t="s">
        <v>3369</v>
      </c>
      <c r="C6732" s="17" t="s">
        <v>3370</v>
      </c>
      <c r="D6732" s="17" t="s">
        <v>2895</v>
      </c>
      <c r="E6732" s="17" t="s">
        <v>3403</v>
      </c>
      <c r="F6732" s="17" t="s">
        <v>358</v>
      </c>
      <c r="G6732" s="18" t="n">
        <v>0</v>
      </c>
      <c r="H6732" s="18" t="n">
        <v>827.2</v>
      </c>
      <c r="I6732" s="18" t="n">
        <f aca="false">((I6731 + G6732) - H6732)</f>
        <v>129873.07</v>
      </c>
      <c r="J6732" s="18" t="n">
        <v>0</v>
      </c>
      <c r="K6732" s="19" t="n">
        <v>0</v>
      </c>
      <c r="L6732" s="17"/>
    </row>
    <row r="6733" s="11" customFormat="true" ht="10.95" hidden="false" customHeight="true" outlineLevel="0" collapsed="false">
      <c r="A6733" s="16" t="n">
        <v>45302</v>
      </c>
      <c r="B6733" s="17" t="s">
        <v>3369</v>
      </c>
      <c r="C6733" s="17" t="s">
        <v>3370</v>
      </c>
      <c r="D6733" s="17" t="s">
        <v>2895</v>
      </c>
      <c r="E6733" s="17" t="s">
        <v>3403</v>
      </c>
      <c r="F6733" s="17" t="s">
        <v>416</v>
      </c>
      <c r="G6733" s="18" t="n">
        <v>0</v>
      </c>
      <c r="H6733" s="18" t="n">
        <v>310.2</v>
      </c>
      <c r="I6733" s="18" t="n">
        <f aca="false">((I6732 + G6733) - H6733)</f>
        <v>129562.87</v>
      </c>
      <c r="J6733" s="18" t="n">
        <v>0</v>
      </c>
      <c r="K6733" s="19" t="n">
        <v>0</v>
      </c>
      <c r="L6733" s="17"/>
    </row>
    <row r="6734" s="11" customFormat="true" ht="10.95" hidden="false" customHeight="true" outlineLevel="0" collapsed="false">
      <c r="A6734" s="16" t="n">
        <v>45302</v>
      </c>
      <c r="B6734" s="17" t="s">
        <v>3369</v>
      </c>
      <c r="C6734" s="17" t="s">
        <v>3370</v>
      </c>
      <c r="D6734" s="17" t="s">
        <v>2895</v>
      </c>
      <c r="E6734" s="17" t="s">
        <v>3403</v>
      </c>
      <c r="F6734" s="17" t="s">
        <v>412</v>
      </c>
      <c r="G6734" s="18" t="n">
        <v>0</v>
      </c>
      <c r="H6734" s="18" t="n">
        <v>316.8</v>
      </c>
      <c r="I6734" s="18" t="n">
        <f aca="false">((I6733 + G6734) - H6734)</f>
        <v>129246.07</v>
      </c>
      <c r="J6734" s="18" t="n">
        <v>0</v>
      </c>
      <c r="K6734" s="19" t="n">
        <v>0</v>
      </c>
      <c r="L6734" s="17"/>
    </row>
    <row r="6735" s="11" customFormat="true" ht="10.95" hidden="false" customHeight="true" outlineLevel="0" collapsed="false">
      <c r="A6735" s="16" t="n">
        <v>45302</v>
      </c>
      <c r="B6735" s="17" t="s">
        <v>3369</v>
      </c>
      <c r="C6735" s="17" t="s">
        <v>3370</v>
      </c>
      <c r="D6735" s="17" t="s">
        <v>2895</v>
      </c>
      <c r="E6735" s="17" t="s">
        <v>3403</v>
      </c>
      <c r="F6735" s="17" t="s">
        <v>362</v>
      </c>
      <c r="G6735" s="18" t="n">
        <v>0</v>
      </c>
      <c r="H6735" s="18" t="n">
        <v>316.8</v>
      </c>
      <c r="I6735" s="18" t="n">
        <f aca="false">((I6734 + G6735) - H6735)</f>
        <v>128929.27</v>
      </c>
      <c r="J6735" s="18" t="n">
        <v>0</v>
      </c>
      <c r="K6735" s="19" t="n">
        <v>0</v>
      </c>
      <c r="L6735" s="17"/>
    </row>
    <row r="6736" s="11" customFormat="true" ht="10.95" hidden="false" customHeight="true" outlineLevel="0" collapsed="false">
      <c r="A6736" s="16" t="n">
        <v>45302</v>
      </c>
      <c r="B6736" s="17" t="s">
        <v>3369</v>
      </c>
      <c r="C6736" s="17" t="s">
        <v>3370</v>
      </c>
      <c r="D6736" s="17" t="s">
        <v>2895</v>
      </c>
      <c r="E6736" s="17" t="s">
        <v>3403</v>
      </c>
      <c r="F6736" s="17" t="s">
        <v>378</v>
      </c>
      <c r="G6736" s="18" t="n">
        <v>0</v>
      </c>
      <c r="H6736" s="18" t="n">
        <v>1568.05</v>
      </c>
      <c r="I6736" s="18" t="n">
        <f aca="false">((I6735 + G6736) - H6736)</f>
        <v>127361.22</v>
      </c>
      <c r="J6736" s="18" t="n">
        <v>0</v>
      </c>
      <c r="K6736" s="19" t="n">
        <v>0</v>
      </c>
      <c r="L6736" s="17"/>
    </row>
    <row r="6737" s="11" customFormat="true" ht="10.95" hidden="false" customHeight="true" outlineLevel="0" collapsed="false">
      <c r="A6737" s="16" t="n">
        <v>45302</v>
      </c>
      <c r="B6737" s="17" t="s">
        <v>3369</v>
      </c>
      <c r="C6737" s="17" t="s">
        <v>3370</v>
      </c>
      <c r="D6737" s="17" t="s">
        <v>2895</v>
      </c>
      <c r="E6737" s="17" t="s">
        <v>3403</v>
      </c>
      <c r="F6737" s="17" t="s">
        <v>411</v>
      </c>
      <c r="G6737" s="18" t="n">
        <v>0</v>
      </c>
      <c r="H6737" s="18" t="n">
        <v>517</v>
      </c>
      <c r="I6737" s="18" t="n">
        <f aca="false">((I6736 + G6737) - H6737)</f>
        <v>126844.22</v>
      </c>
      <c r="J6737" s="18" t="n">
        <v>0</v>
      </c>
      <c r="K6737" s="19" t="n">
        <v>0</v>
      </c>
      <c r="L6737" s="17"/>
    </row>
    <row r="6738" s="11" customFormat="true" ht="10.95" hidden="false" customHeight="true" outlineLevel="0" collapsed="false">
      <c r="A6738" s="16" t="n">
        <v>45302</v>
      </c>
      <c r="B6738" s="17" t="s">
        <v>3369</v>
      </c>
      <c r="C6738" s="17" t="s">
        <v>3370</v>
      </c>
      <c r="D6738" s="17" t="s">
        <v>2895</v>
      </c>
      <c r="E6738" s="17" t="s">
        <v>2900</v>
      </c>
      <c r="F6738" s="17" t="s">
        <v>1164</v>
      </c>
      <c r="G6738" s="18" t="n">
        <v>0</v>
      </c>
      <c r="H6738" s="18" t="n">
        <v>132.53</v>
      </c>
      <c r="I6738" s="18" t="n">
        <f aca="false">((I6737 + G6738) - H6738)</f>
        <v>126711.69</v>
      </c>
      <c r="J6738" s="18" t="n">
        <v>0</v>
      </c>
      <c r="K6738" s="19" t="n">
        <v>0</v>
      </c>
      <c r="L6738" s="17"/>
    </row>
    <row r="6739" s="11" customFormat="true" ht="10.95" hidden="false" customHeight="true" outlineLevel="0" collapsed="false">
      <c r="A6739" s="16" t="n">
        <v>45302</v>
      </c>
      <c r="B6739" s="17" t="s">
        <v>3369</v>
      </c>
      <c r="C6739" s="17" t="s">
        <v>3370</v>
      </c>
      <c r="D6739" s="17" t="s">
        <v>2895</v>
      </c>
      <c r="E6739" s="17" t="s">
        <v>2900</v>
      </c>
      <c r="F6739" s="17" t="s">
        <v>1163</v>
      </c>
      <c r="G6739" s="18" t="n">
        <v>0</v>
      </c>
      <c r="H6739" s="18" t="n">
        <v>1903.29</v>
      </c>
      <c r="I6739" s="18" t="n">
        <f aca="false">((I6738 + G6739) - H6739)</f>
        <v>124808.4</v>
      </c>
      <c r="J6739" s="18" t="n">
        <v>0</v>
      </c>
      <c r="K6739" s="19" t="n">
        <v>0</v>
      </c>
      <c r="L6739" s="17"/>
    </row>
    <row r="6740" s="11" customFormat="true" ht="10.95" hidden="false" customHeight="true" outlineLevel="0" collapsed="false">
      <c r="A6740" s="16" t="n">
        <v>45302</v>
      </c>
      <c r="B6740" s="17" t="s">
        <v>3369</v>
      </c>
      <c r="C6740" s="17" t="s">
        <v>3370</v>
      </c>
      <c r="D6740" s="17" t="s">
        <v>2895</v>
      </c>
      <c r="E6740" s="17" t="s">
        <v>2900</v>
      </c>
      <c r="F6740" s="17" t="s">
        <v>1167</v>
      </c>
      <c r="G6740" s="18" t="n">
        <v>0</v>
      </c>
      <c r="H6740" s="18" t="n">
        <v>523.91</v>
      </c>
      <c r="I6740" s="18" t="n">
        <f aca="false">((I6739 + G6740) - H6740)</f>
        <v>124284.49</v>
      </c>
      <c r="J6740" s="18" t="n">
        <v>0</v>
      </c>
      <c r="K6740" s="19" t="n">
        <v>0</v>
      </c>
      <c r="L6740" s="17"/>
    </row>
    <row r="6741" s="11" customFormat="true" ht="10.95" hidden="false" customHeight="true" outlineLevel="0" collapsed="false">
      <c r="A6741" s="16" t="n">
        <v>45302</v>
      </c>
      <c r="B6741" s="17" t="s">
        <v>3369</v>
      </c>
      <c r="C6741" s="17" t="s">
        <v>3370</v>
      </c>
      <c r="D6741" s="17" t="s">
        <v>2895</v>
      </c>
      <c r="E6741" s="17" t="s">
        <v>2900</v>
      </c>
      <c r="F6741" s="17" t="s">
        <v>1165</v>
      </c>
      <c r="G6741" s="18" t="n">
        <v>0</v>
      </c>
      <c r="H6741" s="18" t="n">
        <v>1011.01</v>
      </c>
      <c r="I6741" s="18" t="n">
        <f aca="false">((I6740 + G6741) - H6741)</f>
        <v>123273.48</v>
      </c>
      <c r="J6741" s="18" t="n">
        <v>0</v>
      </c>
      <c r="K6741" s="19" t="n">
        <v>0</v>
      </c>
      <c r="L6741" s="17"/>
    </row>
    <row r="6742" s="11" customFormat="true" ht="10.95" hidden="false" customHeight="true" outlineLevel="0" collapsed="false">
      <c r="A6742" s="16" t="n">
        <v>45302</v>
      </c>
      <c r="B6742" s="17" t="s">
        <v>3369</v>
      </c>
      <c r="C6742" s="17" t="s">
        <v>3370</v>
      </c>
      <c r="D6742" s="17" t="s">
        <v>2895</v>
      </c>
      <c r="E6742" s="17" t="s">
        <v>2900</v>
      </c>
      <c r="F6742" s="17" t="s">
        <v>1162</v>
      </c>
      <c r="G6742" s="18" t="n">
        <v>0</v>
      </c>
      <c r="H6742" s="18" t="n">
        <v>1001.8</v>
      </c>
      <c r="I6742" s="18" t="n">
        <f aca="false">((I6741 + G6742) - H6742)</f>
        <v>122271.68</v>
      </c>
      <c r="J6742" s="18" t="n">
        <v>0</v>
      </c>
      <c r="K6742" s="19" t="n">
        <v>0</v>
      </c>
      <c r="L6742" s="17"/>
    </row>
    <row r="6743" s="11" customFormat="true" ht="10.95" hidden="false" customHeight="true" outlineLevel="0" collapsed="false">
      <c r="A6743" s="16" t="n">
        <v>45302</v>
      </c>
      <c r="B6743" s="17" t="s">
        <v>3369</v>
      </c>
      <c r="C6743" s="17" t="s">
        <v>3370</v>
      </c>
      <c r="D6743" s="17" t="s">
        <v>2895</v>
      </c>
      <c r="E6743" s="17" t="s">
        <v>2900</v>
      </c>
      <c r="F6743" s="17" t="s">
        <v>1160</v>
      </c>
      <c r="G6743" s="18" t="n">
        <v>0</v>
      </c>
      <c r="H6743" s="18" t="n">
        <v>801.18</v>
      </c>
      <c r="I6743" s="18" t="n">
        <f aca="false">((I6742 + G6743) - H6743)</f>
        <v>121470.5</v>
      </c>
      <c r="J6743" s="18" t="n">
        <v>0</v>
      </c>
      <c r="K6743" s="19" t="n">
        <v>0</v>
      </c>
      <c r="L6743" s="17"/>
    </row>
    <row r="6744" s="11" customFormat="true" ht="10.95" hidden="false" customHeight="true" outlineLevel="0" collapsed="false">
      <c r="A6744" s="16" t="n">
        <v>45303</v>
      </c>
      <c r="B6744" s="17" t="s">
        <v>3369</v>
      </c>
      <c r="C6744" s="17" t="s">
        <v>3370</v>
      </c>
      <c r="D6744" s="17" t="s">
        <v>2895</v>
      </c>
      <c r="E6744" s="17" t="s">
        <v>3482</v>
      </c>
      <c r="F6744" s="17" t="s">
        <v>405</v>
      </c>
      <c r="G6744" s="18" t="n">
        <v>0</v>
      </c>
      <c r="H6744" s="18" t="n">
        <v>1861.2</v>
      </c>
      <c r="I6744" s="18" t="n">
        <f aca="false">((I6743 + G6744) - H6744)</f>
        <v>119609.3</v>
      </c>
      <c r="J6744" s="18" t="n">
        <v>0</v>
      </c>
      <c r="K6744" s="19" t="n">
        <v>0</v>
      </c>
      <c r="L6744" s="17"/>
    </row>
    <row r="6745" s="11" customFormat="true" ht="10.95" hidden="false" customHeight="true" outlineLevel="0" collapsed="false">
      <c r="A6745" s="16" t="n">
        <v>45303</v>
      </c>
      <c r="B6745" s="17" t="s">
        <v>3369</v>
      </c>
      <c r="C6745" s="17" t="s">
        <v>3370</v>
      </c>
      <c r="D6745" s="17" t="s">
        <v>2895</v>
      </c>
      <c r="E6745" s="17" t="s">
        <v>2934</v>
      </c>
      <c r="F6745" s="17" t="s">
        <v>941</v>
      </c>
      <c r="G6745" s="18" t="n">
        <v>0</v>
      </c>
      <c r="H6745" s="18" t="n">
        <v>5853.06</v>
      </c>
      <c r="I6745" s="18" t="n">
        <f aca="false">((I6744 + G6745) - H6745)</f>
        <v>113756.24</v>
      </c>
      <c r="J6745" s="18" t="n">
        <v>0</v>
      </c>
      <c r="K6745" s="19" t="n">
        <v>0</v>
      </c>
      <c r="L6745" s="17"/>
    </row>
    <row r="6746" s="11" customFormat="true" ht="10.95" hidden="false" customHeight="true" outlineLevel="0" collapsed="false">
      <c r="A6746" s="16" t="n">
        <v>45306</v>
      </c>
      <c r="B6746" s="17" t="s">
        <v>3369</v>
      </c>
      <c r="C6746" s="17" t="s">
        <v>3370</v>
      </c>
      <c r="D6746" s="17" t="s">
        <v>2895</v>
      </c>
      <c r="E6746" s="17" t="s">
        <v>3460</v>
      </c>
      <c r="F6746" s="17" t="s">
        <v>393</v>
      </c>
      <c r="G6746" s="18" t="n">
        <v>0</v>
      </c>
      <c r="H6746" s="18" t="n">
        <v>4207.5</v>
      </c>
      <c r="I6746" s="18" t="n">
        <f aca="false">((I6745 + G6746) - H6746)</f>
        <v>109548.74</v>
      </c>
      <c r="J6746" s="18" t="n">
        <v>0</v>
      </c>
      <c r="K6746" s="19" t="n">
        <v>0</v>
      </c>
      <c r="L6746" s="17"/>
    </row>
    <row r="6747" s="11" customFormat="true" ht="10.95" hidden="false" customHeight="true" outlineLevel="0" collapsed="false">
      <c r="A6747" s="16" t="n">
        <v>45306</v>
      </c>
      <c r="B6747" s="17" t="s">
        <v>3369</v>
      </c>
      <c r="C6747" s="17" t="s">
        <v>3370</v>
      </c>
      <c r="D6747" s="17" t="s">
        <v>2895</v>
      </c>
      <c r="E6747" s="17" t="s">
        <v>3460</v>
      </c>
      <c r="F6747" s="17" t="s">
        <v>394</v>
      </c>
      <c r="G6747" s="18" t="n">
        <v>0</v>
      </c>
      <c r="H6747" s="18" t="n">
        <v>4182.2</v>
      </c>
      <c r="I6747" s="18" t="n">
        <f aca="false">((I6746 + G6747) - H6747)</f>
        <v>105366.54</v>
      </c>
      <c r="J6747" s="18" t="n">
        <v>0</v>
      </c>
      <c r="K6747" s="19" t="n">
        <v>0</v>
      </c>
      <c r="L6747" s="17"/>
    </row>
    <row r="6748" s="11" customFormat="true" ht="10.95" hidden="false" customHeight="true" outlineLevel="0" collapsed="false">
      <c r="A6748" s="16" t="n">
        <v>45306</v>
      </c>
      <c r="B6748" s="17" t="s">
        <v>3369</v>
      </c>
      <c r="C6748" s="17" t="s">
        <v>3370</v>
      </c>
      <c r="D6748" s="17" t="s">
        <v>2895</v>
      </c>
      <c r="E6748" s="17" t="s">
        <v>3373</v>
      </c>
      <c r="F6748" s="17" t="s">
        <v>294</v>
      </c>
      <c r="G6748" s="18" t="n">
        <v>0</v>
      </c>
      <c r="H6748" s="18" t="n">
        <v>1386</v>
      </c>
      <c r="I6748" s="18" t="n">
        <f aca="false">((I6747 + G6748) - H6748)</f>
        <v>103980.54</v>
      </c>
      <c r="J6748" s="18" t="n">
        <v>0</v>
      </c>
      <c r="K6748" s="19" t="n">
        <v>0</v>
      </c>
      <c r="L6748" s="17"/>
    </row>
    <row r="6749" s="11" customFormat="true" ht="10.95" hidden="false" customHeight="true" outlineLevel="0" collapsed="false">
      <c r="A6749" s="16" t="n">
        <v>45306</v>
      </c>
      <c r="B6749" s="17" t="s">
        <v>3369</v>
      </c>
      <c r="C6749" s="17" t="s">
        <v>3370</v>
      </c>
      <c r="D6749" s="17" t="s">
        <v>2895</v>
      </c>
      <c r="E6749" s="17" t="s">
        <v>3503</v>
      </c>
      <c r="F6749" s="17" t="s">
        <v>334</v>
      </c>
      <c r="G6749" s="18" t="n">
        <v>0</v>
      </c>
      <c r="H6749" s="18" t="n">
        <v>199.65</v>
      </c>
      <c r="I6749" s="18" t="n">
        <f aca="false">((I6748 + G6749) - H6749)</f>
        <v>103780.89</v>
      </c>
      <c r="J6749" s="18" t="n">
        <v>0</v>
      </c>
      <c r="K6749" s="19" t="n">
        <v>0</v>
      </c>
      <c r="L6749" s="17"/>
    </row>
    <row r="6750" s="11" customFormat="true" ht="10.95" hidden="false" customHeight="true" outlineLevel="0" collapsed="false">
      <c r="A6750" s="16" t="n">
        <v>45306</v>
      </c>
      <c r="B6750" s="17" t="s">
        <v>3369</v>
      </c>
      <c r="C6750" s="17" t="s">
        <v>3370</v>
      </c>
      <c r="D6750" s="17" t="s">
        <v>2895</v>
      </c>
      <c r="E6750" s="17" t="s">
        <v>3503</v>
      </c>
      <c r="F6750" s="17" t="s">
        <v>385</v>
      </c>
      <c r="G6750" s="18" t="n">
        <v>0</v>
      </c>
      <c r="H6750" s="18" t="n">
        <v>199.65</v>
      </c>
      <c r="I6750" s="18" t="n">
        <f aca="false">((I6749 + G6750) - H6750)</f>
        <v>103581.24</v>
      </c>
      <c r="J6750" s="18" t="n">
        <v>0</v>
      </c>
      <c r="K6750" s="19" t="n">
        <v>0</v>
      </c>
      <c r="L6750" s="17"/>
    </row>
    <row r="6751" s="11" customFormat="true" ht="10.95" hidden="false" customHeight="true" outlineLevel="0" collapsed="false">
      <c r="A6751" s="16" t="n">
        <v>45306</v>
      </c>
      <c r="B6751" s="17" t="s">
        <v>3369</v>
      </c>
      <c r="C6751" s="17" t="s">
        <v>3370</v>
      </c>
      <c r="D6751" s="17" t="s">
        <v>2895</v>
      </c>
      <c r="E6751" s="17" t="s">
        <v>3503</v>
      </c>
      <c r="F6751" s="17" t="s">
        <v>291</v>
      </c>
      <c r="G6751" s="18" t="n">
        <v>0</v>
      </c>
      <c r="H6751" s="18" t="n">
        <v>199.65</v>
      </c>
      <c r="I6751" s="18" t="n">
        <f aca="false">((I6750 + G6751) - H6751)</f>
        <v>103381.59</v>
      </c>
      <c r="J6751" s="18" t="n">
        <v>0</v>
      </c>
      <c r="K6751" s="19" t="n">
        <v>0</v>
      </c>
      <c r="L6751" s="17"/>
    </row>
    <row r="6752" s="11" customFormat="true" ht="10.95" hidden="false" customHeight="true" outlineLevel="0" collapsed="false">
      <c r="A6752" s="16" t="n">
        <v>45309</v>
      </c>
      <c r="B6752" s="17" t="s">
        <v>3369</v>
      </c>
      <c r="C6752" s="17" t="s">
        <v>3370</v>
      </c>
      <c r="D6752" s="17" t="s">
        <v>2895</v>
      </c>
      <c r="E6752" s="17" t="s">
        <v>2917</v>
      </c>
      <c r="F6752" s="17" t="s">
        <v>1170</v>
      </c>
      <c r="G6752" s="18" t="n">
        <v>0</v>
      </c>
      <c r="H6752" s="18" t="n">
        <v>10162.61</v>
      </c>
      <c r="I6752" s="18" t="n">
        <f aca="false">((I6751 + G6752) - H6752)</f>
        <v>93218.9799999999</v>
      </c>
      <c r="J6752" s="18" t="n">
        <v>0</v>
      </c>
      <c r="K6752" s="19" t="n">
        <v>0</v>
      </c>
      <c r="L6752" s="17"/>
    </row>
    <row r="6753" s="11" customFormat="true" ht="10.95" hidden="false" customHeight="true" outlineLevel="0" collapsed="false">
      <c r="A6753" s="16" t="n">
        <v>45310</v>
      </c>
      <c r="B6753" s="17" t="s">
        <v>3369</v>
      </c>
      <c r="C6753" s="17" t="s">
        <v>3370</v>
      </c>
      <c r="D6753" s="17" t="s">
        <v>2895</v>
      </c>
      <c r="E6753" s="17" t="s">
        <v>3410</v>
      </c>
      <c r="F6753" s="17" t="s">
        <v>403</v>
      </c>
      <c r="G6753" s="18" t="n">
        <v>0</v>
      </c>
      <c r="H6753" s="18" t="n">
        <v>968</v>
      </c>
      <c r="I6753" s="18" t="n">
        <f aca="false">((I6752 + G6753) - H6753)</f>
        <v>92250.9799999999</v>
      </c>
      <c r="J6753" s="18" t="n">
        <v>0</v>
      </c>
      <c r="K6753" s="19" t="n">
        <v>0</v>
      </c>
      <c r="L6753" s="17"/>
    </row>
    <row r="6754" s="11" customFormat="true" ht="10.95" hidden="false" customHeight="true" outlineLevel="0" collapsed="false">
      <c r="A6754" s="16" t="n">
        <v>45310</v>
      </c>
      <c r="B6754" s="17" t="s">
        <v>3369</v>
      </c>
      <c r="C6754" s="17" t="s">
        <v>3370</v>
      </c>
      <c r="D6754" s="17" t="s">
        <v>2895</v>
      </c>
      <c r="E6754" s="17" t="s">
        <v>2925</v>
      </c>
      <c r="F6754" s="17" t="s">
        <v>865</v>
      </c>
      <c r="G6754" s="18" t="n">
        <v>0</v>
      </c>
      <c r="H6754" s="18" t="n">
        <v>318.03</v>
      </c>
      <c r="I6754" s="18" t="n">
        <f aca="false">((I6753 + G6754) - H6754)</f>
        <v>91932.9499999999</v>
      </c>
      <c r="J6754" s="18" t="n">
        <v>0</v>
      </c>
      <c r="K6754" s="19" t="n">
        <v>0</v>
      </c>
      <c r="L6754" s="17"/>
    </row>
    <row r="6755" s="11" customFormat="true" ht="10.95" hidden="false" customHeight="true" outlineLevel="0" collapsed="false">
      <c r="A6755" s="16" t="n">
        <v>45310</v>
      </c>
      <c r="B6755" s="17" t="s">
        <v>3369</v>
      </c>
      <c r="C6755" s="17" t="s">
        <v>3370</v>
      </c>
      <c r="D6755" s="17" t="s">
        <v>2895</v>
      </c>
      <c r="E6755" s="17" t="s">
        <v>2925</v>
      </c>
      <c r="F6755" s="17" t="s">
        <v>860</v>
      </c>
      <c r="G6755" s="18" t="n">
        <v>0</v>
      </c>
      <c r="H6755" s="18" t="n">
        <v>1837.71</v>
      </c>
      <c r="I6755" s="18" t="n">
        <f aca="false">((I6754 + G6755) - H6755)</f>
        <v>90095.2399999999</v>
      </c>
      <c r="J6755" s="18" t="n">
        <v>0</v>
      </c>
      <c r="K6755" s="19" t="n">
        <v>0</v>
      </c>
      <c r="L6755" s="17"/>
    </row>
    <row r="6756" s="11" customFormat="true" ht="10.95" hidden="false" customHeight="true" outlineLevel="0" collapsed="false">
      <c r="A6756" s="16" t="n">
        <v>45314</v>
      </c>
      <c r="B6756" s="17" t="s">
        <v>3369</v>
      </c>
      <c r="C6756" s="17" t="s">
        <v>3370</v>
      </c>
      <c r="D6756" s="17" t="s">
        <v>2895</v>
      </c>
      <c r="E6756" s="17" t="s">
        <v>3403</v>
      </c>
      <c r="F6756" s="17" t="s">
        <v>377</v>
      </c>
      <c r="G6756" s="18" t="n">
        <v>0</v>
      </c>
      <c r="H6756" s="18" t="n">
        <v>1967.9</v>
      </c>
      <c r="I6756" s="18" t="n">
        <f aca="false">((I6755 + G6756) - H6756)</f>
        <v>88127.3399999999</v>
      </c>
      <c r="J6756" s="18" t="n">
        <v>0</v>
      </c>
      <c r="K6756" s="19" t="n">
        <v>0</v>
      </c>
      <c r="L6756" s="17"/>
    </row>
    <row r="6757" s="11" customFormat="true" ht="10.95" hidden="false" customHeight="true" outlineLevel="0" collapsed="false">
      <c r="A6757" s="16" t="n">
        <v>45314</v>
      </c>
      <c r="B6757" s="17" t="s">
        <v>3369</v>
      </c>
      <c r="C6757" s="17" t="s">
        <v>3370</v>
      </c>
      <c r="D6757" s="17" t="s">
        <v>2895</v>
      </c>
      <c r="E6757" s="17" t="s">
        <v>3403</v>
      </c>
      <c r="F6757" s="17" t="s">
        <v>370</v>
      </c>
      <c r="G6757" s="18" t="n">
        <v>0</v>
      </c>
      <c r="H6757" s="18" t="n">
        <v>103.4</v>
      </c>
      <c r="I6757" s="18" t="n">
        <f aca="false">((I6756 + G6757) - H6757)</f>
        <v>88023.9399999999</v>
      </c>
      <c r="J6757" s="18" t="n">
        <v>0</v>
      </c>
      <c r="K6757" s="19" t="n">
        <v>0</v>
      </c>
      <c r="L6757" s="17"/>
    </row>
    <row r="6758" s="11" customFormat="true" ht="10.95" hidden="false" customHeight="true" outlineLevel="0" collapsed="false">
      <c r="A6758" s="16" t="n">
        <v>45314</v>
      </c>
      <c r="B6758" s="17" t="s">
        <v>3369</v>
      </c>
      <c r="C6758" s="17" t="s">
        <v>3370</v>
      </c>
      <c r="D6758" s="17" t="s">
        <v>2895</v>
      </c>
      <c r="E6758" s="17" t="s">
        <v>3403</v>
      </c>
      <c r="F6758" s="17" t="s">
        <v>369</v>
      </c>
      <c r="G6758" s="18" t="n">
        <v>0</v>
      </c>
      <c r="H6758" s="18" t="n">
        <v>103.4</v>
      </c>
      <c r="I6758" s="18" t="n">
        <f aca="false">((I6757 + G6758) - H6758)</f>
        <v>87920.54</v>
      </c>
      <c r="J6758" s="18" t="n">
        <v>0</v>
      </c>
      <c r="K6758" s="19" t="n">
        <v>0</v>
      </c>
      <c r="L6758" s="17"/>
    </row>
    <row r="6759" s="11" customFormat="true" ht="10.95" hidden="false" customHeight="true" outlineLevel="0" collapsed="false">
      <c r="A6759" s="16" t="n">
        <v>45314</v>
      </c>
      <c r="B6759" s="17" t="s">
        <v>3369</v>
      </c>
      <c r="C6759" s="17" t="s">
        <v>3370</v>
      </c>
      <c r="D6759" s="17" t="s">
        <v>2895</v>
      </c>
      <c r="E6759" s="17" t="s">
        <v>3403</v>
      </c>
      <c r="F6759" s="17" t="s">
        <v>364</v>
      </c>
      <c r="G6759" s="18" t="n">
        <v>0</v>
      </c>
      <c r="H6759" s="18" t="n">
        <v>1258.4</v>
      </c>
      <c r="I6759" s="18" t="n">
        <f aca="false">((I6758 + G6759) - H6759)</f>
        <v>86662.14</v>
      </c>
      <c r="J6759" s="18" t="n">
        <v>0</v>
      </c>
      <c r="K6759" s="19" t="n">
        <v>0</v>
      </c>
      <c r="L6759" s="17"/>
    </row>
    <row r="6760" s="11" customFormat="true" ht="10.95" hidden="false" customHeight="true" outlineLevel="0" collapsed="false">
      <c r="A6760" s="16" t="n">
        <v>45314</v>
      </c>
      <c r="B6760" s="17" t="s">
        <v>3369</v>
      </c>
      <c r="C6760" s="17" t="s">
        <v>3370</v>
      </c>
      <c r="D6760" s="17" t="s">
        <v>2895</v>
      </c>
      <c r="E6760" s="17" t="s">
        <v>3403</v>
      </c>
      <c r="F6760" s="17" t="s">
        <v>417</v>
      </c>
      <c r="G6760" s="18" t="n">
        <v>0</v>
      </c>
      <c r="H6760" s="18" t="n">
        <v>310.2</v>
      </c>
      <c r="I6760" s="18" t="n">
        <f aca="false">((I6759 + G6760) - H6760)</f>
        <v>86351.94</v>
      </c>
      <c r="J6760" s="18" t="n">
        <v>0</v>
      </c>
      <c r="K6760" s="19" t="n">
        <v>0</v>
      </c>
      <c r="L6760" s="17"/>
    </row>
    <row r="6761" s="11" customFormat="true" ht="10.95" hidden="false" customHeight="true" outlineLevel="0" collapsed="false">
      <c r="A6761" s="16" t="n">
        <v>45314</v>
      </c>
      <c r="B6761" s="17" t="s">
        <v>3369</v>
      </c>
      <c r="C6761" s="17" t="s">
        <v>3370</v>
      </c>
      <c r="D6761" s="17" t="s">
        <v>2895</v>
      </c>
      <c r="E6761" s="17" t="s">
        <v>3403</v>
      </c>
      <c r="F6761" s="17" t="s">
        <v>414</v>
      </c>
      <c r="G6761" s="18" t="n">
        <v>0</v>
      </c>
      <c r="H6761" s="18" t="n">
        <v>1967.9</v>
      </c>
      <c r="I6761" s="18" t="n">
        <f aca="false">((I6760 + G6761) - H6761)</f>
        <v>84384.04</v>
      </c>
      <c r="J6761" s="18" t="n">
        <v>0</v>
      </c>
      <c r="K6761" s="19" t="n">
        <v>0</v>
      </c>
      <c r="L6761" s="17"/>
    </row>
    <row r="6762" s="11" customFormat="true" ht="10.95" hidden="false" customHeight="true" outlineLevel="0" collapsed="false">
      <c r="A6762" s="16" t="n">
        <v>45314</v>
      </c>
      <c r="B6762" s="17" t="s">
        <v>3369</v>
      </c>
      <c r="C6762" s="17" t="s">
        <v>3370</v>
      </c>
      <c r="D6762" s="17" t="s">
        <v>2895</v>
      </c>
      <c r="E6762" s="17" t="s">
        <v>3403</v>
      </c>
      <c r="F6762" s="17" t="s">
        <v>366</v>
      </c>
      <c r="G6762" s="18" t="n">
        <v>0</v>
      </c>
      <c r="H6762" s="18" t="n">
        <v>310.2</v>
      </c>
      <c r="I6762" s="18" t="n">
        <f aca="false">((I6761 + G6762) - H6762)</f>
        <v>84073.84</v>
      </c>
      <c r="J6762" s="18" t="n">
        <v>0</v>
      </c>
      <c r="K6762" s="19" t="n">
        <v>0</v>
      </c>
      <c r="L6762" s="17"/>
    </row>
    <row r="6763" s="11" customFormat="true" ht="10.95" hidden="false" customHeight="true" outlineLevel="0" collapsed="false">
      <c r="A6763" s="16" t="n">
        <v>45314</v>
      </c>
      <c r="B6763" s="17" t="s">
        <v>3369</v>
      </c>
      <c r="C6763" s="17" t="s">
        <v>3370</v>
      </c>
      <c r="D6763" s="17" t="s">
        <v>2895</v>
      </c>
      <c r="E6763" s="17" t="s">
        <v>3403</v>
      </c>
      <c r="F6763" s="17" t="s">
        <v>420</v>
      </c>
      <c r="G6763" s="18" t="n">
        <v>0</v>
      </c>
      <c r="H6763" s="18" t="n">
        <v>103.4</v>
      </c>
      <c r="I6763" s="18" t="n">
        <f aca="false">((I6762 + G6763) - H6763)</f>
        <v>83970.44</v>
      </c>
      <c r="J6763" s="18" t="n">
        <v>0</v>
      </c>
      <c r="K6763" s="19" t="n">
        <v>0</v>
      </c>
      <c r="L6763" s="17"/>
    </row>
    <row r="6764" s="11" customFormat="true" ht="10.95" hidden="false" customHeight="true" outlineLevel="0" collapsed="false">
      <c r="A6764" s="16" t="n">
        <v>45314</v>
      </c>
      <c r="B6764" s="17" t="s">
        <v>3369</v>
      </c>
      <c r="C6764" s="17" t="s">
        <v>3370</v>
      </c>
      <c r="D6764" s="17" t="s">
        <v>2895</v>
      </c>
      <c r="E6764" s="17" t="s">
        <v>3403</v>
      </c>
      <c r="F6764" s="17" t="s">
        <v>415</v>
      </c>
      <c r="G6764" s="18" t="n">
        <v>0</v>
      </c>
      <c r="H6764" s="18" t="n">
        <v>1258.4</v>
      </c>
      <c r="I6764" s="18" t="n">
        <f aca="false">((I6763 + G6764) - H6764)</f>
        <v>82712.04</v>
      </c>
      <c r="J6764" s="18" t="n">
        <v>0</v>
      </c>
      <c r="K6764" s="19" t="n">
        <v>0</v>
      </c>
      <c r="L6764" s="17"/>
    </row>
    <row r="6765" s="11" customFormat="true" ht="10.95" hidden="false" customHeight="true" outlineLevel="0" collapsed="false">
      <c r="A6765" s="16" t="n">
        <v>45316</v>
      </c>
      <c r="B6765" s="17" t="s">
        <v>3369</v>
      </c>
      <c r="C6765" s="17" t="s">
        <v>3370</v>
      </c>
      <c r="D6765" s="17" t="s">
        <v>19</v>
      </c>
      <c r="E6765" s="17" t="s">
        <v>3381</v>
      </c>
      <c r="F6765" s="17" t="s">
        <v>993</v>
      </c>
      <c r="G6765" s="18" t="n">
        <v>909.92</v>
      </c>
      <c r="H6765" s="18" t="n">
        <v>0</v>
      </c>
      <c r="I6765" s="18" t="n">
        <f aca="false">((I6764 + G6765) - H6765)</f>
        <v>83621.96</v>
      </c>
      <c r="J6765" s="18" t="n">
        <v>0</v>
      </c>
      <c r="K6765" s="19" t="n">
        <v>0</v>
      </c>
      <c r="L6765" s="17"/>
    </row>
    <row r="6766" s="11" customFormat="true" ht="10.95" hidden="false" customHeight="true" outlineLevel="0" collapsed="false">
      <c r="A6766" s="16" t="n">
        <v>45316</v>
      </c>
      <c r="B6766" s="17" t="s">
        <v>3369</v>
      </c>
      <c r="C6766" s="17" t="s">
        <v>3370</v>
      </c>
      <c r="D6766" s="17" t="s">
        <v>19</v>
      </c>
      <c r="E6766" s="17" t="s">
        <v>3414</v>
      </c>
      <c r="F6766" s="17" t="s">
        <v>994</v>
      </c>
      <c r="G6766" s="18" t="n">
        <v>3284.91</v>
      </c>
      <c r="H6766" s="18" t="n">
        <v>0</v>
      </c>
      <c r="I6766" s="18" t="n">
        <f aca="false">((I6765 + G6766) - H6766)</f>
        <v>86906.87</v>
      </c>
      <c r="J6766" s="18" t="n">
        <v>0</v>
      </c>
      <c r="K6766" s="19" t="n">
        <v>0</v>
      </c>
      <c r="L6766" s="17"/>
    </row>
    <row r="6767" s="11" customFormat="true" ht="10.95" hidden="false" customHeight="true" outlineLevel="0" collapsed="false">
      <c r="A6767" s="16" t="n">
        <v>45316</v>
      </c>
      <c r="B6767" s="17" t="s">
        <v>3369</v>
      </c>
      <c r="C6767" s="17" t="s">
        <v>3370</v>
      </c>
      <c r="D6767" s="17" t="s">
        <v>19</v>
      </c>
      <c r="E6767" s="17" t="s">
        <v>3501</v>
      </c>
      <c r="F6767" s="17" t="s">
        <v>433</v>
      </c>
      <c r="G6767" s="18" t="n">
        <v>157.3</v>
      </c>
      <c r="H6767" s="18" t="n">
        <v>0</v>
      </c>
      <c r="I6767" s="18" t="n">
        <f aca="false">((I6766 + G6767) - H6767)</f>
        <v>87064.17</v>
      </c>
      <c r="J6767" s="18" t="n">
        <v>0</v>
      </c>
      <c r="K6767" s="19" t="n">
        <v>0</v>
      </c>
      <c r="L6767" s="17"/>
    </row>
    <row r="6768" s="11" customFormat="true" ht="10.95" hidden="false" customHeight="true" outlineLevel="0" collapsed="false">
      <c r="A6768" s="16" t="n">
        <v>45316</v>
      </c>
      <c r="B6768" s="17" t="s">
        <v>3369</v>
      </c>
      <c r="C6768" s="17" t="s">
        <v>3370</v>
      </c>
      <c r="D6768" s="17" t="s">
        <v>19</v>
      </c>
      <c r="E6768" s="17" t="s">
        <v>3502</v>
      </c>
      <c r="F6768" s="17" t="s">
        <v>434</v>
      </c>
      <c r="G6768" s="18" t="n">
        <v>199.65</v>
      </c>
      <c r="H6768" s="18" t="n">
        <v>0</v>
      </c>
      <c r="I6768" s="18" t="n">
        <f aca="false">((I6767 + G6768) - H6768)</f>
        <v>87263.82</v>
      </c>
      <c r="J6768" s="18" t="n">
        <v>0</v>
      </c>
      <c r="K6768" s="19" t="n">
        <v>0</v>
      </c>
      <c r="L6768" s="17"/>
    </row>
    <row r="6769" s="11" customFormat="true" ht="10.95" hidden="false" customHeight="true" outlineLevel="0" collapsed="false">
      <c r="A6769" s="16" t="n">
        <v>45316</v>
      </c>
      <c r="B6769" s="17" t="s">
        <v>3369</v>
      </c>
      <c r="C6769" s="17" t="s">
        <v>3370</v>
      </c>
      <c r="D6769" s="17" t="s">
        <v>19</v>
      </c>
      <c r="E6769" s="17" t="s">
        <v>3489</v>
      </c>
      <c r="F6769" s="17" t="s">
        <v>995</v>
      </c>
      <c r="G6769" s="18" t="n">
        <v>1828.67</v>
      </c>
      <c r="H6769" s="18" t="n">
        <v>0</v>
      </c>
      <c r="I6769" s="18" t="n">
        <f aca="false">((I6768 + G6769) - H6769)</f>
        <v>89092.49</v>
      </c>
      <c r="J6769" s="18" t="n">
        <v>0</v>
      </c>
      <c r="K6769" s="19" t="n">
        <v>0</v>
      </c>
      <c r="L6769" s="17"/>
    </row>
    <row r="6770" s="11" customFormat="true" ht="10.95" hidden="false" customHeight="true" outlineLevel="0" collapsed="false">
      <c r="A6770" s="16" t="n">
        <v>45316</v>
      </c>
      <c r="B6770" s="17" t="s">
        <v>3369</v>
      </c>
      <c r="C6770" s="17" t="s">
        <v>3370</v>
      </c>
      <c r="D6770" s="17" t="s">
        <v>19</v>
      </c>
      <c r="E6770" s="17" t="s">
        <v>3490</v>
      </c>
      <c r="F6770" s="17" t="s">
        <v>435</v>
      </c>
      <c r="G6770" s="18" t="n">
        <v>1034.55</v>
      </c>
      <c r="H6770" s="18" t="n">
        <v>0</v>
      </c>
      <c r="I6770" s="18" t="n">
        <f aca="false">((I6769 + G6770) - H6770)</f>
        <v>90127.04</v>
      </c>
      <c r="J6770" s="18" t="n">
        <v>0</v>
      </c>
      <c r="K6770" s="19" t="n">
        <v>0</v>
      </c>
      <c r="L6770" s="17"/>
    </row>
    <row r="6771" s="11" customFormat="true" ht="10.95" hidden="false" customHeight="true" outlineLevel="0" collapsed="false">
      <c r="A6771" s="16" t="n">
        <v>45316</v>
      </c>
      <c r="B6771" s="17" t="s">
        <v>3369</v>
      </c>
      <c r="C6771" s="17" t="s">
        <v>3370</v>
      </c>
      <c r="D6771" s="17" t="s">
        <v>19</v>
      </c>
      <c r="E6771" s="17" t="s">
        <v>3422</v>
      </c>
      <c r="F6771" s="17" t="s">
        <v>996</v>
      </c>
      <c r="G6771" s="18" t="n">
        <v>9276.82</v>
      </c>
      <c r="H6771" s="18" t="n">
        <v>0</v>
      </c>
      <c r="I6771" s="18" t="n">
        <f aca="false">((I6770 + G6771) - H6771)</f>
        <v>99403.86</v>
      </c>
      <c r="J6771" s="18" t="n">
        <v>0</v>
      </c>
      <c r="K6771" s="19" t="n">
        <v>0</v>
      </c>
      <c r="L6771" s="17"/>
    </row>
    <row r="6772" s="11" customFormat="true" ht="10.95" hidden="false" customHeight="true" outlineLevel="0" collapsed="false">
      <c r="A6772" s="16" t="n">
        <v>45316</v>
      </c>
      <c r="B6772" s="17" t="s">
        <v>3369</v>
      </c>
      <c r="C6772" s="17" t="s">
        <v>3370</v>
      </c>
      <c r="D6772" s="17" t="s">
        <v>19</v>
      </c>
      <c r="E6772" s="17" t="s">
        <v>3423</v>
      </c>
      <c r="F6772" s="17" t="s">
        <v>874</v>
      </c>
      <c r="G6772" s="18" t="n">
        <v>90.81</v>
      </c>
      <c r="H6772" s="18" t="n">
        <v>0</v>
      </c>
      <c r="I6772" s="18" t="n">
        <f aca="false">((I6771 + G6772) - H6772)</f>
        <v>99494.67</v>
      </c>
      <c r="J6772" s="18" t="n">
        <v>0</v>
      </c>
      <c r="K6772" s="19" t="n">
        <v>0</v>
      </c>
      <c r="L6772" s="17"/>
    </row>
    <row r="6773" s="11" customFormat="true" ht="10.95" hidden="false" customHeight="true" outlineLevel="0" collapsed="false">
      <c r="A6773" s="16" t="n">
        <v>45316</v>
      </c>
      <c r="B6773" s="17" t="s">
        <v>3369</v>
      </c>
      <c r="C6773" s="17" t="s">
        <v>3370</v>
      </c>
      <c r="D6773" s="17" t="s">
        <v>19</v>
      </c>
      <c r="E6773" s="17" t="s">
        <v>3424</v>
      </c>
      <c r="F6773" s="17" t="s">
        <v>436</v>
      </c>
      <c r="G6773" s="18" t="n">
        <v>413.6</v>
      </c>
      <c r="H6773" s="18" t="n">
        <v>0</v>
      </c>
      <c r="I6773" s="18" t="n">
        <f aca="false">((I6772 + G6773) - H6773)</f>
        <v>99908.27</v>
      </c>
      <c r="J6773" s="18" t="n">
        <v>0</v>
      </c>
      <c r="K6773" s="19" t="n">
        <v>0</v>
      </c>
      <c r="L6773" s="17"/>
    </row>
    <row r="6774" s="11" customFormat="true" ht="10.95" hidden="false" customHeight="true" outlineLevel="0" collapsed="false">
      <c r="A6774" s="16" t="n">
        <v>45316</v>
      </c>
      <c r="B6774" s="17" t="s">
        <v>3369</v>
      </c>
      <c r="C6774" s="17" t="s">
        <v>3370</v>
      </c>
      <c r="D6774" s="17" t="s">
        <v>19</v>
      </c>
      <c r="E6774" s="17" t="s">
        <v>3506</v>
      </c>
      <c r="F6774" s="17" t="s">
        <v>997</v>
      </c>
      <c r="G6774" s="18" t="n">
        <v>347.53</v>
      </c>
      <c r="H6774" s="18" t="n">
        <v>0</v>
      </c>
      <c r="I6774" s="18" t="n">
        <f aca="false">((I6773 + G6774) - H6774)</f>
        <v>100255.8</v>
      </c>
      <c r="J6774" s="18" t="n">
        <v>0</v>
      </c>
      <c r="K6774" s="19" t="n">
        <v>0</v>
      </c>
      <c r="L6774" s="17"/>
    </row>
    <row r="6775" s="11" customFormat="true" ht="10.95" hidden="false" customHeight="true" outlineLevel="0" collapsed="false">
      <c r="A6775" s="16" t="n">
        <v>45316</v>
      </c>
      <c r="B6775" s="17" t="s">
        <v>3369</v>
      </c>
      <c r="C6775" s="17" t="s">
        <v>3370</v>
      </c>
      <c r="D6775" s="17" t="s">
        <v>19</v>
      </c>
      <c r="E6775" s="17" t="s">
        <v>3425</v>
      </c>
      <c r="F6775" s="17" t="s">
        <v>1186</v>
      </c>
      <c r="G6775" s="18" t="n">
        <v>771</v>
      </c>
      <c r="H6775" s="18" t="n">
        <v>0</v>
      </c>
      <c r="I6775" s="18" t="n">
        <f aca="false">((I6774 + G6775) - H6775)</f>
        <v>101026.8</v>
      </c>
      <c r="J6775" s="18" t="n">
        <v>0</v>
      </c>
      <c r="K6775" s="19" t="n">
        <v>0</v>
      </c>
      <c r="L6775" s="17"/>
    </row>
    <row r="6776" s="11" customFormat="true" ht="10.95" hidden="false" customHeight="true" outlineLevel="0" collapsed="false">
      <c r="A6776" s="16" t="n">
        <v>45316</v>
      </c>
      <c r="B6776" s="17" t="s">
        <v>3369</v>
      </c>
      <c r="C6776" s="17" t="s">
        <v>3370</v>
      </c>
      <c r="D6776" s="17" t="s">
        <v>19</v>
      </c>
      <c r="E6776" s="17" t="s">
        <v>3426</v>
      </c>
      <c r="F6776" s="17" t="s">
        <v>437</v>
      </c>
      <c r="G6776" s="18" t="n">
        <v>1386</v>
      </c>
      <c r="H6776" s="18" t="n">
        <v>0</v>
      </c>
      <c r="I6776" s="18" t="n">
        <f aca="false">((I6775 + G6776) - H6776)</f>
        <v>102412.8</v>
      </c>
      <c r="J6776" s="18" t="n">
        <v>0</v>
      </c>
      <c r="K6776" s="19" t="n">
        <v>0</v>
      </c>
      <c r="L6776" s="17"/>
    </row>
    <row r="6777" s="11" customFormat="true" ht="10.95" hidden="false" customHeight="true" outlineLevel="0" collapsed="false">
      <c r="A6777" s="16" t="n">
        <v>45316</v>
      </c>
      <c r="B6777" s="17" t="s">
        <v>3369</v>
      </c>
      <c r="C6777" s="17" t="s">
        <v>3370</v>
      </c>
      <c r="D6777" s="17" t="s">
        <v>19</v>
      </c>
      <c r="E6777" s="17" t="s">
        <v>3427</v>
      </c>
      <c r="F6777" s="17" t="s">
        <v>438</v>
      </c>
      <c r="G6777" s="18" t="n">
        <v>561</v>
      </c>
      <c r="H6777" s="18" t="n">
        <v>0</v>
      </c>
      <c r="I6777" s="18" t="n">
        <f aca="false">((I6776 + G6777) - H6777)</f>
        <v>102973.8</v>
      </c>
      <c r="J6777" s="18" t="n">
        <v>0</v>
      </c>
      <c r="K6777" s="19" t="n">
        <v>0</v>
      </c>
      <c r="L6777" s="17"/>
    </row>
    <row r="6778" s="11" customFormat="true" ht="10.95" hidden="false" customHeight="true" outlineLevel="0" collapsed="false">
      <c r="A6778" s="16" t="n">
        <v>45316</v>
      </c>
      <c r="B6778" s="17" t="s">
        <v>3369</v>
      </c>
      <c r="C6778" s="17" t="s">
        <v>3370</v>
      </c>
      <c r="D6778" s="17" t="s">
        <v>19</v>
      </c>
      <c r="E6778" s="17" t="s">
        <v>3428</v>
      </c>
      <c r="F6778" s="17" t="s">
        <v>439</v>
      </c>
      <c r="G6778" s="18" t="n">
        <v>1264.45</v>
      </c>
      <c r="H6778" s="18" t="n">
        <v>0</v>
      </c>
      <c r="I6778" s="18" t="n">
        <f aca="false">((I6777 + G6778) - H6778)</f>
        <v>104238.25</v>
      </c>
      <c r="J6778" s="18" t="n">
        <v>0</v>
      </c>
      <c r="K6778" s="19" t="n">
        <v>0</v>
      </c>
      <c r="L6778" s="17"/>
    </row>
    <row r="6779" s="11" customFormat="true" ht="10.95" hidden="false" customHeight="true" outlineLevel="0" collapsed="false">
      <c r="A6779" s="16" t="n">
        <v>45316</v>
      </c>
      <c r="B6779" s="17" t="s">
        <v>3369</v>
      </c>
      <c r="C6779" s="17" t="s">
        <v>3370</v>
      </c>
      <c r="D6779" s="17" t="s">
        <v>19</v>
      </c>
      <c r="E6779" s="17" t="s">
        <v>3429</v>
      </c>
      <c r="F6779" s="17" t="s">
        <v>440</v>
      </c>
      <c r="G6779" s="18" t="n">
        <v>93.5</v>
      </c>
      <c r="H6779" s="18" t="n">
        <v>0</v>
      </c>
      <c r="I6779" s="18" t="n">
        <f aca="false">((I6778 + G6779) - H6779)</f>
        <v>104331.75</v>
      </c>
      <c r="J6779" s="18" t="n">
        <v>0</v>
      </c>
      <c r="K6779" s="19" t="n">
        <v>0</v>
      </c>
      <c r="L6779" s="17"/>
    </row>
    <row r="6780" s="11" customFormat="true" ht="10.95" hidden="false" customHeight="true" outlineLevel="0" collapsed="false">
      <c r="A6780" s="16" t="n">
        <v>45316</v>
      </c>
      <c r="B6780" s="17" t="s">
        <v>3369</v>
      </c>
      <c r="C6780" s="17" t="s">
        <v>3370</v>
      </c>
      <c r="D6780" s="17" t="s">
        <v>19</v>
      </c>
      <c r="E6780" s="17" t="s">
        <v>3430</v>
      </c>
      <c r="F6780" s="17" t="s">
        <v>875</v>
      </c>
      <c r="G6780" s="18" t="n">
        <v>611.82</v>
      </c>
      <c r="H6780" s="18" t="n">
        <v>0</v>
      </c>
      <c r="I6780" s="18" t="n">
        <f aca="false">((I6779 + G6780) - H6780)</f>
        <v>104943.57</v>
      </c>
      <c r="J6780" s="18" t="n">
        <v>0</v>
      </c>
      <c r="K6780" s="19" t="n">
        <v>0</v>
      </c>
      <c r="L6780" s="17"/>
    </row>
    <row r="6781" s="11" customFormat="true" ht="10.95" hidden="false" customHeight="true" outlineLevel="0" collapsed="false">
      <c r="A6781" s="16" t="n">
        <v>45316</v>
      </c>
      <c r="B6781" s="17" t="s">
        <v>3369</v>
      </c>
      <c r="C6781" s="17" t="s">
        <v>3370</v>
      </c>
      <c r="D6781" s="17" t="s">
        <v>19</v>
      </c>
      <c r="E6781" s="17" t="s">
        <v>3430</v>
      </c>
      <c r="F6781" s="17" t="s">
        <v>876</v>
      </c>
      <c r="G6781" s="18" t="n">
        <v>486.96</v>
      </c>
      <c r="H6781" s="18" t="n">
        <v>0</v>
      </c>
      <c r="I6781" s="18" t="n">
        <f aca="false">((I6780 + G6781) - H6781)</f>
        <v>105430.53</v>
      </c>
      <c r="J6781" s="18" t="n">
        <v>0</v>
      </c>
      <c r="K6781" s="19" t="n">
        <v>0</v>
      </c>
      <c r="L6781" s="17"/>
    </row>
    <row r="6782" s="11" customFormat="true" ht="10.95" hidden="false" customHeight="true" outlineLevel="0" collapsed="false">
      <c r="A6782" s="16" t="n">
        <v>45316</v>
      </c>
      <c r="B6782" s="17" t="s">
        <v>3369</v>
      </c>
      <c r="C6782" s="17" t="s">
        <v>3370</v>
      </c>
      <c r="D6782" s="17" t="s">
        <v>19</v>
      </c>
      <c r="E6782" s="17" t="s">
        <v>3430</v>
      </c>
      <c r="F6782" s="17" t="s">
        <v>877</v>
      </c>
      <c r="G6782" s="18" t="n">
        <v>324.64</v>
      </c>
      <c r="H6782" s="18" t="n">
        <v>0</v>
      </c>
      <c r="I6782" s="18" t="n">
        <f aca="false">((I6781 + G6782) - H6782)</f>
        <v>105755.17</v>
      </c>
      <c r="J6782" s="18" t="n">
        <v>0</v>
      </c>
      <c r="K6782" s="19" t="n">
        <v>0</v>
      </c>
      <c r="L6782" s="17"/>
    </row>
    <row r="6783" s="11" customFormat="true" ht="10.95" hidden="false" customHeight="true" outlineLevel="0" collapsed="false">
      <c r="A6783" s="16" t="n">
        <v>45316</v>
      </c>
      <c r="B6783" s="17" t="s">
        <v>3369</v>
      </c>
      <c r="C6783" s="17" t="s">
        <v>3370</v>
      </c>
      <c r="D6783" s="17" t="s">
        <v>19</v>
      </c>
      <c r="E6783" s="17" t="s">
        <v>3431</v>
      </c>
      <c r="F6783" s="17" t="s">
        <v>441</v>
      </c>
      <c r="G6783" s="18" t="n">
        <v>357.5</v>
      </c>
      <c r="H6783" s="18" t="n">
        <v>0</v>
      </c>
      <c r="I6783" s="18" t="n">
        <f aca="false">((I6782 + G6783) - H6783)</f>
        <v>106112.67</v>
      </c>
      <c r="J6783" s="18" t="n">
        <v>0</v>
      </c>
      <c r="K6783" s="19" t="n">
        <v>0</v>
      </c>
      <c r="L6783" s="17"/>
    </row>
    <row r="6784" s="11" customFormat="true" ht="10.95" hidden="false" customHeight="true" outlineLevel="0" collapsed="false">
      <c r="A6784" s="16" t="n">
        <v>45316</v>
      </c>
      <c r="B6784" s="17" t="s">
        <v>3369</v>
      </c>
      <c r="C6784" s="17" t="s">
        <v>3370</v>
      </c>
      <c r="D6784" s="17" t="s">
        <v>19</v>
      </c>
      <c r="E6784" s="17" t="s">
        <v>3432</v>
      </c>
      <c r="F6784" s="17" t="s">
        <v>442</v>
      </c>
      <c r="G6784" s="18" t="n">
        <v>1094.5</v>
      </c>
      <c r="H6784" s="18" t="n">
        <v>0</v>
      </c>
      <c r="I6784" s="18" t="n">
        <f aca="false">((I6783 + G6784) - H6784)</f>
        <v>107207.17</v>
      </c>
      <c r="J6784" s="18" t="n">
        <v>0</v>
      </c>
      <c r="K6784" s="19" t="n">
        <v>0</v>
      </c>
      <c r="L6784" s="17"/>
    </row>
    <row r="6785" s="11" customFormat="true" ht="10.95" hidden="false" customHeight="true" outlineLevel="0" collapsed="false">
      <c r="A6785" s="16" t="n">
        <v>45316</v>
      </c>
      <c r="B6785" s="17" t="s">
        <v>3369</v>
      </c>
      <c r="C6785" s="17" t="s">
        <v>3370</v>
      </c>
      <c r="D6785" s="17" t="s">
        <v>19</v>
      </c>
      <c r="E6785" s="17" t="s">
        <v>3434</v>
      </c>
      <c r="F6785" s="17" t="s">
        <v>443</v>
      </c>
      <c r="G6785" s="18" t="n">
        <v>396</v>
      </c>
      <c r="H6785" s="18" t="n">
        <v>0</v>
      </c>
      <c r="I6785" s="18" t="n">
        <f aca="false">((I6784 + G6785) - H6785)</f>
        <v>107603.17</v>
      </c>
      <c r="J6785" s="18" t="n">
        <v>0</v>
      </c>
      <c r="K6785" s="19" t="n">
        <v>0</v>
      </c>
      <c r="L6785" s="17"/>
    </row>
    <row r="6786" s="11" customFormat="true" ht="10.95" hidden="false" customHeight="true" outlineLevel="0" collapsed="false">
      <c r="A6786" s="16" t="n">
        <v>45316</v>
      </c>
      <c r="B6786" s="17" t="s">
        <v>3369</v>
      </c>
      <c r="C6786" s="17" t="s">
        <v>3370</v>
      </c>
      <c r="D6786" s="17" t="s">
        <v>19</v>
      </c>
      <c r="E6786" s="17" t="s">
        <v>3435</v>
      </c>
      <c r="F6786" s="17" t="s">
        <v>444</v>
      </c>
      <c r="G6786" s="18" t="n">
        <v>2244</v>
      </c>
      <c r="H6786" s="18" t="n">
        <v>0</v>
      </c>
      <c r="I6786" s="18" t="n">
        <f aca="false">((I6785 + G6786) - H6786)</f>
        <v>109847.17</v>
      </c>
      <c r="J6786" s="18" t="n">
        <v>0</v>
      </c>
      <c r="K6786" s="19" t="n">
        <v>0</v>
      </c>
      <c r="L6786" s="17"/>
    </row>
    <row r="6787" s="11" customFormat="true" ht="10.95" hidden="false" customHeight="true" outlineLevel="0" collapsed="false">
      <c r="A6787" s="16" t="n">
        <v>45316</v>
      </c>
      <c r="B6787" s="17" t="s">
        <v>3369</v>
      </c>
      <c r="C6787" s="17" t="s">
        <v>3370</v>
      </c>
      <c r="D6787" s="17" t="s">
        <v>19</v>
      </c>
      <c r="E6787" s="17" t="s">
        <v>3436</v>
      </c>
      <c r="F6787" s="17" t="s">
        <v>878</v>
      </c>
      <c r="G6787" s="18" t="n">
        <v>2403.5</v>
      </c>
      <c r="H6787" s="18" t="n">
        <v>0</v>
      </c>
      <c r="I6787" s="18" t="n">
        <f aca="false">((I6786 + G6787) - H6787)</f>
        <v>112250.67</v>
      </c>
      <c r="J6787" s="18" t="n">
        <v>0</v>
      </c>
      <c r="K6787" s="19" t="n">
        <v>0</v>
      </c>
      <c r="L6787" s="17"/>
    </row>
    <row r="6788" s="11" customFormat="true" ht="10.95" hidden="false" customHeight="true" outlineLevel="0" collapsed="false">
      <c r="A6788" s="16" t="n">
        <v>45316</v>
      </c>
      <c r="B6788" s="17" t="s">
        <v>3369</v>
      </c>
      <c r="C6788" s="17" t="s">
        <v>3370</v>
      </c>
      <c r="D6788" s="17" t="s">
        <v>19</v>
      </c>
      <c r="E6788" s="17" t="s">
        <v>3436</v>
      </c>
      <c r="F6788" s="17" t="s">
        <v>879</v>
      </c>
      <c r="G6788" s="18" t="n">
        <v>1001</v>
      </c>
      <c r="H6788" s="18" t="n">
        <v>0</v>
      </c>
      <c r="I6788" s="18" t="n">
        <f aca="false">((I6787 + G6788) - H6788)</f>
        <v>113251.67</v>
      </c>
      <c r="J6788" s="18" t="n">
        <v>0</v>
      </c>
      <c r="K6788" s="19" t="n">
        <v>0</v>
      </c>
      <c r="L6788" s="17"/>
    </row>
    <row r="6789" s="11" customFormat="true" ht="10.95" hidden="false" customHeight="true" outlineLevel="0" collapsed="false">
      <c r="A6789" s="16" t="n">
        <v>45316</v>
      </c>
      <c r="B6789" s="17" t="s">
        <v>3369</v>
      </c>
      <c r="C6789" s="17" t="s">
        <v>3370</v>
      </c>
      <c r="D6789" s="17" t="s">
        <v>19</v>
      </c>
      <c r="E6789" s="17" t="s">
        <v>3436</v>
      </c>
      <c r="F6789" s="17" t="s">
        <v>880</v>
      </c>
      <c r="G6789" s="18" t="n">
        <v>1672</v>
      </c>
      <c r="H6789" s="18" t="n">
        <v>0</v>
      </c>
      <c r="I6789" s="18" t="n">
        <f aca="false">((I6788 + G6789) - H6789)</f>
        <v>114923.67</v>
      </c>
      <c r="J6789" s="18" t="n">
        <v>0</v>
      </c>
      <c r="K6789" s="19" t="n">
        <v>0</v>
      </c>
      <c r="L6789" s="17"/>
    </row>
    <row r="6790" s="11" customFormat="true" ht="10.95" hidden="false" customHeight="true" outlineLevel="0" collapsed="false">
      <c r="A6790" s="16" t="n">
        <v>45316</v>
      </c>
      <c r="B6790" s="17" t="s">
        <v>3369</v>
      </c>
      <c r="C6790" s="17" t="s">
        <v>3370</v>
      </c>
      <c r="D6790" s="17" t="s">
        <v>19</v>
      </c>
      <c r="E6790" s="17" t="s">
        <v>3409</v>
      </c>
      <c r="F6790" s="17" t="s">
        <v>881</v>
      </c>
      <c r="G6790" s="18" t="n">
        <v>9304.68</v>
      </c>
      <c r="H6790" s="18" t="n">
        <v>0</v>
      </c>
      <c r="I6790" s="18" t="n">
        <f aca="false">((I6789 + G6790) - H6790)</f>
        <v>124228.35</v>
      </c>
      <c r="J6790" s="18" t="n">
        <v>0</v>
      </c>
      <c r="K6790" s="19" t="n">
        <v>0</v>
      </c>
      <c r="L6790" s="17"/>
    </row>
    <row r="6791" s="11" customFormat="true" ht="10.95" hidden="false" customHeight="true" outlineLevel="0" collapsed="false">
      <c r="A6791" s="16" t="n">
        <v>45316</v>
      </c>
      <c r="B6791" s="17" t="s">
        <v>3369</v>
      </c>
      <c r="C6791" s="17" t="s">
        <v>3370</v>
      </c>
      <c r="D6791" s="17" t="s">
        <v>19</v>
      </c>
      <c r="E6791" s="17" t="s">
        <v>3437</v>
      </c>
      <c r="F6791" s="17" t="s">
        <v>445</v>
      </c>
      <c r="G6791" s="18" t="n">
        <v>1100.06</v>
      </c>
      <c r="H6791" s="18" t="n">
        <v>0</v>
      </c>
      <c r="I6791" s="18" t="n">
        <f aca="false">((I6790 + G6791) - H6791)</f>
        <v>125328.41</v>
      </c>
      <c r="J6791" s="18" t="n">
        <v>0</v>
      </c>
      <c r="K6791" s="19" t="n">
        <v>0</v>
      </c>
      <c r="L6791" s="17"/>
    </row>
    <row r="6792" s="11" customFormat="true" ht="10.95" hidden="false" customHeight="true" outlineLevel="0" collapsed="false">
      <c r="A6792" s="16" t="n">
        <v>45316</v>
      </c>
      <c r="B6792" s="17" t="s">
        <v>3369</v>
      </c>
      <c r="C6792" s="17" t="s">
        <v>3370</v>
      </c>
      <c r="D6792" s="17" t="s">
        <v>19</v>
      </c>
      <c r="E6792" s="17" t="s">
        <v>3438</v>
      </c>
      <c r="F6792" s="17" t="s">
        <v>1187</v>
      </c>
      <c r="G6792" s="18" t="n">
        <v>3121.14</v>
      </c>
      <c r="H6792" s="18" t="n">
        <v>0</v>
      </c>
      <c r="I6792" s="18" t="n">
        <f aca="false">((I6791 + G6792) - H6792)</f>
        <v>128449.55</v>
      </c>
      <c r="J6792" s="18" t="n">
        <v>0</v>
      </c>
      <c r="K6792" s="19" t="n">
        <v>0</v>
      </c>
      <c r="L6792" s="17"/>
    </row>
    <row r="6793" s="11" customFormat="true" ht="10.95" hidden="false" customHeight="true" outlineLevel="0" collapsed="false">
      <c r="A6793" s="16" t="n">
        <v>45316</v>
      </c>
      <c r="B6793" s="17" t="s">
        <v>3369</v>
      </c>
      <c r="C6793" s="17" t="s">
        <v>3370</v>
      </c>
      <c r="D6793" s="17" t="s">
        <v>19</v>
      </c>
      <c r="E6793" s="17" t="s">
        <v>3439</v>
      </c>
      <c r="F6793" s="17" t="s">
        <v>446</v>
      </c>
      <c r="G6793" s="18" t="n">
        <v>1052.7</v>
      </c>
      <c r="H6793" s="18" t="n">
        <v>0</v>
      </c>
      <c r="I6793" s="18" t="n">
        <f aca="false">((I6792 + G6793) - H6793)</f>
        <v>129502.25</v>
      </c>
      <c r="J6793" s="18" t="n">
        <v>0</v>
      </c>
      <c r="K6793" s="19" t="n">
        <v>0</v>
      </c>
      <c r="L6793" s="17"/>
    </row>
    <row r="6794" s="11" customFormat="true" ht="10.95" hidden="false" customHeight="true" outlineLevel="0" collapsed="false">
      <c r="A6794" s="16" t="n">
        <v>45316</v>
      </c>
      <c r="B6794" s="17" t="s">
        <v>3369</v>
      </c>
      <c r="C6794" s="17" t="s">
        <v>3370</v>
      </c>
      <c r="D6794" s="17" t="s">
        <v>19</v>
      </c>
      <c r="E6794" s="17" t="s">
        <v>3440</v>
      </c>
      <c r="F6794" s="17" t="s">
        <v>1188</v>
      </c>
      <c r="G6794" s="18" t="n">
        <v>1509.48</v>
      </c>
      <c r="H6794" s="18" t="n">
        <v>0</v>
      </c>
      <c r="I6794" s="18" t="n">
        <f aca="false">((I6793 + G6794) - H6794)</f>
        <v>131011.73</v>
      </c>
      <c r="J6794" s="18" t="n">
        <v>0</v>
      </c>
      <c r="K6794" s="19" t="n">
        <v>0</v>
      </c>
      <c r="L6794" s="17"/>
    </row>
    <row r="6795" s="11" customFormat="true" ht="10.95" hidden="false" customHeight="true" outlineLevel="0" collapsed="false">
      <c r="A6795" s="16" t="n">
        <v>45316</v>
      </c>
      <c r="B6795" s="17" t="s">
        <v>3369</v>
      </c>
      <c r="C6795" s="17" t="s">
        <v>3370</v>
      </c>
      <c r="D6795" s="17" t="s">
        <v>19</v>
      </c>
      <c r="E6795" s="17" t="s">
        <v>3441</v>
      </c>
      <c r="F6795" s="17" t="s">
        <v>1189</v>
      </c>
      <c r="G6795" s="18" t="n">
        <v>180</v>
      </c>
      <c r="H6795" s="18" t="n">
        <v>0</v>
      </c>
      <c r="I6795" s="18" t="n">
        <f aca="false">((I6794 + G6795) - H6795)</f>
        <v>131191.73</v>
      </c>
      <c r="J6795" s="18" t="n">
        <v>0</v>
      </c>
      <c r="K6795" s="19" t="n">
        <v>0</v>
      </c>
      <c r="L6795" s="17"/>
    </row>
    <row r="6796" s="11" customFormat="true" ht="10.95" hidden="false" customHeight="true" outlineLevel="0" collapsed="false">
      <c r="A6796" s="16" t="n">
        <v>45316</v>
      </c>
      <c r="B6796" s="17" t="s">
        <v>3369</v>
      </c>
      <c r="C6796" s="17" t="s">
        <v>3370</v>
      </c>
      <c r="D6796" s="17" t="s">
        <v>19</v>
      </c>
      <c r="E6796" s="17" t="s">
        <v>3442</v>
      </c>
      <c r="F6796" s="17" t="s">
        <v>447</v>
      </c>
      <c r="G6796" s="18" t="n">
        <v>9999</v>
      </c>
      <c r="H6796" s="18" t="n">
        <v>0</v>
      </c>
      <c r="I6796" s="18" t="n">
        <f aca="false">((I6795 + G6796) - H6796)</f>
        <v>141190.73</v>
      </c>
      <c r="J6796" s="18" t="n">
        <v>0</v>
      </c>
      <c r="K6796" s="19" t="n">
        <v>0</v>
      </c>
      <c r="L6796" s="17"/>
    </row>
    <row r="6797" s="11" customFormat="true" ht="10.95" hidden="false" customHeight="true" outlineLevel="0" collapsed="false">
      <c r="A6797" s="16" t="n">
        <v>45316</v>
      </c>
      <c r="B6797" s="17" t="s">
        <v>3369</v>
      </c>
      <c r="C6797" s="17" t="s">
        <v>3370</v>
      </c>
      <c r="D6797" s="17" t="s">
        <v>19</v>
      </c>
      <c r="E6797" s="17" t="s">
        <v>3443</v>
      </c>
      <c r="F6797" s="17" t="s">
        <v>448</v>
      </c>
      <c r="G6797" s="18" t="n">
        <v>4994</v>
      </c>
      <c r="H6797" s="18" t="n">
        <v>0</v>
      </c>
      <c r="I6797" s="18" t="n">
        <f aca="false">((I6796 + G6797) - H6797)</f>
        <v>146184.73</v>
      </c>
      <c r="J6797" s="18" t="n">
        <v>0</v>
      </c>
      <c r="K6797" s="19" t="n">
        <v>0</v>
      </c>
      <c r="L6797" s="17"/>
    </row>
    <row r="6798" s="11" customFormat="true" ht="10.95" hidden="false" customHeight="true" outlineLevel="0" collapsed="false">
      <c r="A6798" s="16" t="n">
        <v>45316</v>
      </c>
      <c r="B6798" s="17" t="s">
        <v>3369</v>
      </c>
      <c r="C6798" s="17" t="s">
        <v>3370</v>
      </c>
      <c r="D6798" s="17" t="s">
        <v>19</v>
      </c>
      <c r="E6798" s="17" t="s">
        <v>3444</v>
      </c>
      <c r="F6798" s="17" t="s">
        <v>449</v>
      </c>
      <c r="G6798" s="18" t="n">
        <v>968</v>
      </c>
      <c r="H6798" s="18" t="n">
        <v>0</v>
      </c>
      <c r="I6798" s="18" t="n">
        <f aca="false">((I6797 + G6798) - H6798)</f>
        <v>147152.73</v>
      </c>
      <c r="J6798" s="18" t="n">
        <v>0</v>
      </c>
      <c r="K6798" s="19" t="n">
        <v>0</v>
      </c>
      <c r="L6798" s="17"/>
    </row>
    <row r="6799" s="11" customFormat="true" ht="10.95" hidden="false" customHeight="true" outlineLevel="0" collapsed="false">
      <c r="A6799" s="16" t="n">
        <v>45316</v>
      </c>
      <c r="B6799" s="17" t="s">
        <v>3369</v>
      </c>
      <c r="C6799" s="17" t="s">
        <v>3370</v>
      </c>
      <c r="D6799" s="17" t="s">
        <v>19</v>
      </c>
      <c r="E6799" s="17" t="s">
        <v>3494</v>
      </c>
      <c r="F6799" s="17" t="s">
        <v>450</v>
      </c>
      <c r="G6799" s="18" t="n">
        <v>1071.4</v>
      </c>
      <c r="H6799" s="18" t="n">
        <v>0</v>
      </c>
      <c r="I6799" s="18" t="n">
        <f aca="false">((I6798 + G6799) - H6799)</f>
        <v>148224.13</v>
      </c>
      <c r="J6799" s="18" t="n">
        <v>0</v>
      </c>
      <c r="K6799" s="19" t="n">
        <v>0</v>
      </c>
      <c r="L6799" s="17"/>
    </row>
    <row r="6800" s="11" customFormat="true" ht="10.95" hidden="false" customHeight="true" outlineLevel="0" collapsed="false">
      <c r="A6800" s="16" t="n">
        <v>45316</v>
      </c>
      <c r="B6800" s="17" t="s">
        <v>3369</v>
      </c>
      <c r="C6800" s="17" t="s">
        <v>3370</v>
      </c>
      <c r="D6800" s="17" t="s">
        <v>19</v>
      </c>
      <c r="E6800" s="17" t="s">
        <v>3446</v>
      </c>
      <c r="F6800" s="17" t="s">
        <v>451</v>
      </c>
      <c r="G6800" s="18" t="n">
        <v>1861.2</v>
      </c>
      <c r="H6800" s="18" t="n">
        <v>0</v>
      </c>
      <c r="I6800" s="18" t="n">
        <f aca="false">((I6799 + G6800) - H6800)</f>
        <v>150085.33</v>
      </c>
      <c r="J6800" s="18" t="n">
        <v>0</v>
      </c>
      <c r="K6800" s="19" t="n">
        <v>0</v>
      </c>
      <c r="L6800" s="17"/>
    </row>
    <row r="6801" s="11" customFormat="true" ht="10.95" hidden="false" customHeight="true" outlineLevel="0" collapsed="false">
      <c r="A6801" s="16" t="n">
        <v>45316</v>
      </c>
      <c r="B6801" s="17" t="s">
        <v>3369</v>
      </c>
      <c r="C6801" s="17" t="s">
        <v>3370</v>
      </c>
      <c r="D6801" s="17" t="s">
        <v>19</v>
      </c>
      <c r="E6801" s="17" t="s">
        <v>3447</v>
      </c>
      <c r="F6801" s="17" t="s">
        <v>452</v>
      </c>
      <c r="G6801" s="18" t="n">
        <v>618.75</v>
      </c>
      <c r="H6801" s="18" t="n">
        <v>0</v>
      </c>
      <c r="I6801" s="18" t="n">
        <f aca="false">((I6800 + G6801) - H6801)</f>
        <v>150704.08</v>
      </c>
      <c r="J6801" s="18" t="n">
        <v>0</v>
      </c>
      <c r="K6801" s="19" t="n">
        <v>0</v>
      </c>
      <c r="L6801" s="17"/>
    </row>
    <row r="6802" s="11" customFormat="true" ht="10.95" hidden="false" customHeight="true" outlineLevel="0" collapsed="false">
      <c r="A6802" s="16" t="n">
        <v>45316</v>
      </c>
      <c r="B6802" s="17" t="s">
        <v>3369</v>
      </c>
      <c r="C6802" s="17" t="s">
        <v>3370</v>
      </c>
      <c r="D6802" s="17" t="s">
        <v>19</v>
      </c>
      <c r="E6802" s="17" t="s">
        <v>3447</v>
      </c>
      <c r="F6802" s="17" t="s">
        <v>453</v>
      </c>
      <c r="G6802" s="18" t="n">
        <v>827.2</v>
      </c>
      <c r="H6802" s="18" t="n">
        <v>0</v>
      </c>
      <c r="I6802" s="18" t="n">
        <f aca="false">((I6801 + G6802) - H6802)</f>
        <v>151531.28</v>
      </c>
      <c r="J6802" s="18" t="n">
        <v>0</v>
      </c>
      <c r="K6802" s="19" t="n">
        <v>0</v>
      </c>
      <c r="L6802" s="17"/>
    </row>
    <row r="6803" s="11" customFormat="true" ht="10.95" hidden="false" customHeight="true" outlineLevel="0" collapsed="false">
      <c r="A6803" s="16" t="n">
        <v>45316</v>
      </c>
      <c r="B6803" s="17" t="s">
        <v>3369</v>
      </c>
      <c r="C6803" s="17" t="s">
        <v>3370</v>
      </c>
      <c r="D6803" s="17" t="s">
        <v>19</v>
      </c>
      <c r="E6803" s="17" t="s">
        <v>3447</v>
      </c>
      <c r="F6803" s="17" t="s">
        <v>454</v>
      </c>
      <c r="G6803" s="18" t="n">
        <v>948.2</v>
      </c>
      <c r="H6803" s="18" t="n">
        <v>0</v>
      </c>
      <c r="I6803" s="18" t="n">
        <f aca="false">((I6802 + G6803) - H6803)</f>
        <v>152479.48</v>
      </c>
      <c r="J6803" s="18" t="n">
        <v>0</v>
      </c>
      <c r="K6803" s="19" t="n">
        <v>0</v>
      </c>
      <c r="L6803" s="17"/>
    </row>
    <row r="6804" s="11" customFormat="true" ht="10.95" hidden="false" customHeight="true" outlineLevel="0" collapsed="false">
      <c r="A6804" s="16" t="n">
        <v>45316</v>
      </c>
      <c r="B6804" s="17" t="s">
        <v>3369</v>
      </c>
      <c r="C6804" s="17" t="s">
        <v>3370</v>
      </c>
      <c r="D6804" s="17" t="s">
        <v>19</v>
      </c>
      <c r="E6804" s="17" t="s">
        <v>3447</v>
      </c>
      <c r="F6804" s="17" t="s">
        <v>456</v>
      </c>
      <c r="G6804" s="18" t="n">
        <v>206.8</v>
      </c>
      <c r="H6804" s="18" t="n">
        <v>0</v>
      </c>
      <c r="I6804" s="18" t="n">
        <f aca="false">((I6803 + G6804) - H6804)</f>
        <v>152686.28</v>
      </c>
      <c r="J6804" s="18" t="n">
        <v>0</v>
      </c>
      <c r="K6804" s="19" t="n">
        <v>0</v>
      </c>
      <c r="L6804" s="17"/>
    </row>
    <row r="6805" s="11" customFormat="true" ht="10.95" hidden="false" customHeight="true" outlineLevel="0" collapsed="false">
      <c r="A6805" s="16" t="n">
        <v>45316</v>
      </c>
      <c r="B6805" s="17" t="s">
        <v>3369</v>
      </c>
      <c r="C6805" s="17" t="s">
        <v>3370</v>
      </c>
      <c r="D6805" s="17" t="s">
        <v>19</v>
      </c>
      <c r="E6805" s="17" t="s">
        <v>3447</v>
      </c>
      <c r="F6805" s="17" t="s">
        <v>457</v>
      </c>
      <c r="G6805" s="18" t="n">
        <v>1568.05</v>
      </c>
      <c r="H6805" s="18" t="n">
        <v>0</v>
      </c>
      <c r="I6805" s="18" t="n">
        <f aca="false">((I6804 + G6805) - H6805)</f>
        <v>154254.33</v>
      </c>
      <c r="J6805" s="18" t="n">
        <v>0</v>
      </c>
      <c r="K6805" s="19" t="n">
        <v>0</v>
      </c>
      <c r="L6805" s="17"/>
    </row>
    <row r="6806" s="11" customFormat="true" ht="10.95" hidden="false" customHeight="true" outlineLevel="0" collapsed="false">
      <c r="A6806" s="16" t="n">
        <v>45316</v>
      </c>
      <c r="B6806" s="17" t="s">
        <v>3369</v>
      </c>
      <c r="C6806" s="17" t="s">
        <v>3370</v>
      </c>
      <c r="D6806" s="17" t="s">
        <v>19</v>
      </c>
      <c r="E6806" s="17" t="s">
        <v>3447</v>
      </c>
      <c r="F6806" s="17" t="s">
        <v>458</v>
      </c>
      <c r="G6806" s="18" t="n">
        <v>517</v>
      </c>
      <c r="H6806" s="18" t="n">
        <v>0</v>
      </c>
      <c r="I6806" s="18" t="n">
        <f aca="false">((I6805 + G6806) - H6806)</f>
        <v>154771.33</v>
      </c>
      <c r="J6806" s="18" t="n">
        <v>0</v>
      </c>
      <c r="K6806" s="19" t="n">
        <v>0</v>
      </c>
      <c r="L6806" s="17"/>
    </row>
    <row r="6807" s="11" customFormat="true" ht="10.95" hidden="false" customHeight="true" outlineLevel="0" collapsed="false">
      <c r="A6807" s="16" t="n">
        <v>45316</v>
      </c>
      <c r="B6807" s="17" t="s">
        <v>3369</v>
      </c>
      <c r="C6807" s="17" t="s">
        <v>3370</v>
      </c>
      <c r="D6807" s="17" t="s">
        <v>19</v>
      </c>
      <c r="E6807" s="17" t="s">
        <v>3447</v>
      </c>
      <c r="F6807" s="17" t="s">
        <v>459</v>
      </c>
      <c r="G6807" s="18" t="n">
        <v>316.8</v>
      </c>
      <c r="H6807" s="18" t="n">
        <v>0</v>
      </c>
      <c r="I6807" s="18" t="n">
        <f aca="false">((I6806 + G6807) - H6807)</f>
        <v>155088.13</v>
      </c>
      <c r="J6807" s="18" t="n">
        <v>0</v>
      </c>
      <c r="K6807" s="19" t="n">
        <v>0</v>
      </c>
      <c r="L6807" s="17"/>
    </row>
    <row r="6808" s="11" customFormat="true" ht="10.95" hidden="false" customHeight="true" outlineLevel="0" collapsed="false">
      <c r="A6808" s="16" t="n">
        <v>45316</v>
      </c>
      <c r="B6808" s="17" t="s">
        <v>3369</v>
      </c>
      <c r="C6808" s="17" t="s">
        <v>3370</v>
      </c>
      <c r="D6808" s="17" t="s">
        <v>19</v>
      </c>
      <c r="E6808" s="17" t="s">
        <v>3447</v>
      </c>
      <c r="F6808" s="17" t="s">
        <v>460</v>
      </c>
      <c r="G6808" s="18" t="n">
        <v>627</v>
      </c>
      <c r="H6808" s="18" t="n">
        <v>0</v>
      </c>
      <c r="I6808" s="18" t="n">
        <f aca="false">((I6807 + G6808) - H6808)</f>
        <v>155715.13</v>
      </c>
      <c r="J6808" s="18" t="n">
        <v>0</v>
      </c>
      <c r="K6808" s="19" t="n">
        <v>0</v>
      </c>
      <c r="L6808" s="17"/>
    </row>
    <row r="6809" s="11" customFormat="true" ht="10.95" hidden="false" customHeight="true" outlineLevel="0" collapsed="false">
      <c r="A6809" s="16" t="n">
        <v>45316</v>
      </c>
      <c r="B6809" s="17" t="s">
        <v>3369</v>
      </c>
      <c r="C6809" s="17" t="s">
        <v>3370</v>
      </c>
      <c r="D6809" s="17" t="s">
        <v>19</v>
      </c>
      <c r="E6809" s="17" t="s">
        <v>3447</v>
      </c>
      <c r="F6809" s="17" t="s">
        <v>461</v>
      </c>
      <c r="G6809" s="18" t="n">
        <v>1967.9</v>
      </c>
      <c r="H6809" s="18" t="n">
        <v>0</v>
      </c>
      <c r="I6809" s="18" t="n">
        <f aca="false">((I6808 + G6809) - H6809)</f>
        <v>157683.03</v>
      </c>
      <c r="J6809" s="18" t="n">
        <v>0</v>
      </c>
      <c r="K6809" s="19" t="n">
        <v>0</v>
      </c>
      <c r="L6809" s="17"/>
    </row>
    <row r="6810" s="11" customFormat="true" ht="10.95" hidden="false" customHeight="true" outlineLevel="0" collapsed="false">
      <c r="A6810" s="16" t="n">
        <v>45316</v>
      </c>
      <c r="B6810" s="17" t="s">
        <v>3369</v>
      </c>
      <c r="C6810" s="17" t="s">
        <v>3370</v>
      </c>
      <c r="D6810" s="17" t="s">
        <v>19</v>
      </c>
      <c r="E6810" s="17" t="s">
        <v>3447</v>
      </c>
      <c r="F6810" s="17" t="s">
        <v>462</v>
      </c>
      <c r="G6810" s="18" t="n">
        <v>1258.4</v>
      </c>
      <c r="H6810" s="18" t="n">
        <v>0</v>
      </c>
      <c r="I6810" s="18" t="n">
        <f aca="false">((I6809 + G6810) - H6810)</f>
        <v>158941.43</v>
      </c>
      <c r="J6810" s="18" t="n">
        <v>0</v>
      </c>
      <c r="K6810" s="19" t="n">
        <v>0</v>
      </c>
      <c r="L6810" s="17"/>
    </row>
    <row r="6811" s="11" customFormat="true" ht="10.95" hidden="false" customHeight="true" outlineLevel="0" collapsed="false">
      <c r="A6811" s="16" t="n">
        <v>45316</v>
      </c>
      <c r="B6811" s="17" t="s">
        <v>3369</v>
      </c>
      <c r="C6811" s="17" t="s">
        <v>3370</v>
      </c>
      <c r="D6811" s="17" t="s">
        <v>19</v>
      </c>
      <c r="E6811" s="17" t="s">
        <v>3447</v>
      </c>
      <c r="F6811" s="17" t="s">
        <v>463</v>
      </c>
      <c r="G6811" s="18" t="n">
        <v>310.2</v>
      </c>
      <c r="H6811" s="18" t="n">
        <v>0</v>
      </c>
      <c r="I6811" s="18" t="n">
        <f aca="false">((I6810 + G6811) - H6811)</f>
        <v>159251.63</v>
      </c>
      <c r="J6811" s="18" t="n">
        <v>0</v>
      </c>
      <c r="K6811" s="19" t="n">
        <v>0</v>
      </c>
      <c r="L6811" s="17"/>
    </row>
    <row r="6812" s="11" customFormat="true" ht="10.95" hidden="false" customHeight="true" outlineLevel="0" collapsed="false">
      <c r="A6812" s="16" t="n">
        <v>45316</v>
      </c>
      <c r="B6812" s="17" t="s">
        <v>3369</v>
      </c>
      <c r="C6812" s="17" t="s">
        <v>3370</v>
      </c>
      <c r="D6812" s="17" t="s">
        <v>19</v>
      </c>
      <c r="E6812" s="17" t="s">
        <v>3447</v>
      </c>
      <c r="F6812" s="17" t="s">
        <v>464</v>
      </c>
      <c r="G6812" s="18" t="n">
        <v>310.2</v>
      </c>
      <c r="H6812" s="18" t="n">
        <v>0</v>
      </c>
      <c r="I6812" s="18" t="n">
        <f aca="false">((I6811 + G6812) - H6812)</f>
        <v>159561.83</v>
      </c>
      <c r="J6812" s="18" t="n">
        <v>0</v>
      </c>
      <c r="K6812" s="19" t="n">
        <v>0</v>
      </c>
      <c r="L6812" s="17"/>
    </row>
    <row r="6813" s="11" customFormat="true" ht="10.95" hidden="false" customHeight="true" outlineLevel="0" collapsed="false">
      <c r="A6813" s="16" t="n">
        <v>45316</v>
      </c>
      <c r="B6813" s="17" t="s">
        <v>3369</v>
      </c>
      <c r="C6813" s="17" t="s">
        <v>3370</v>
      </c>
      <c r="D6813" s="17" t="s">
        <v>19</v>
      </c>
      <c r="E6813" s="17" t="s">
        <v>3447</v>
      </c>
      <c r="F6813" s="17" t="s">
        <v>465</v>
      </c>
      <c r="G6813" s="18" t="n">
        <v>620.4</v>
      </c>
      <c r="H6813" s="18" t="n">
        <v>0</v>
      </c>
      <c r="I6813" s="18" t="n">
        <f aca="false">((I6812 + G6813) - H6813)</f>
        <v>160182.23</v>
      </c>
      <c r="J6813" s="18" t="n">
        <v>0</v>
      </c>
      <c r="K6813" s="19" t="n">
        <v>0</v>
      </c>
      <c r="L6813" s="17"/>
    </row>
    <row r="6814" s="11" customFormat="true" ht="10.95" hidden="false" customHeight="true" outlineLevel="0" collapsed="false">
      <c r="A6814" s="16" t="n">
        <v>45316</v>
      </c>
      <c r="B6814" s="17" t="s">
        <v>3369</v>
      </c>
      <c r="C6814" s="17" t="s">
        <v>3370</v>
      </c>
      <c r="D6814" s="17" t="s">
        <v>19</v>
      </c>
      <c r="E6814" s="17" t="s">
        <v>3447</v>
      </c>
      <c r="F6814" s="17" t="s">
        <v>466</v>
      </c>
      <c r="G6814" s="18" t="n">
        <v>1137.4</v>
      </c>
      <c r="H6814" s="18" t="n">
        <v>0</v>
      </c>
      <c r="I6814" s="18" t="n">
        <f aca="false">((I6813 + G6814) - H6814)</f>
        <v>161319.63</v>
      </c>
      <c r="J6814" s="18" t="n">
        <v>0</v>
      </c>
      <c r="K6814" s="19" t="n">
        <v>0</v>
      </c>
      <c r="L6814" s="17"/>
    </row>
    <row r="6815" s="11" customFormat="true" ht="10.95" hidden="false" customHeight="true" outlineLevel="0" collapsed="false">
      <c r="A6815" s="16" t="n">
        <v>45316</v>
      </c>
      <c r="B6815" s="17" t="s">
        <v>3369</v>
      </c>
      <c r="C6815" s="17" t="s">
        <v>3370</v>
      </c>
      <c r="D6815" s="17" t="s">
        <v>19</v>
      </c>
      <c r="E6815" s="17" t="s">
        <v>3447</v>
      </c>
      <c r="F6815" s="17" t="s">
        <v>467</v>
      </c>
      <c r="G6815" s="18" t="n">
        <v>103.4</v>
      </c>
      <c r="H6815" s="18" t="n">
        <v>0</v>
      </c>
      <c r="I6815" s="18" t="n">
        <f aca="false">((I6814 + G6815) - H6815)</f>
        <v>161423.03</v>
      </c>
      <c r="J6815" s="18" t="n">
        <v>0</v>
      </c>
      <c r="K6815" s="19" t="n">
        <v>0</v>
      </c>
      <c r="L6815" s="17"/>
    </row>
    <row r="6816" s="11" customFormat="true" ht="10.95" hidden="false" customHeight="true" outlineLevel="0" collapsed="false">
      <c r="A6816" s="16" t="n">
        <v>45316</v>
      </c>
      <c r="B6816" s="17" t="s">
        <v>3369</v>
      </c>
      <c r="C6816" s="17" t="s">
        <v>3370</v>
      </c>
      <c r="D6816" s="17" t="s">
        <v>19</v>
      </c>
      <c r="E6816" s="17" t="s">
        <v>3447</v>
      </c>
      <c r="F6816" s="17" t="s">
        <v>468</v>
      </c>
      <c r="G6816" s="18" t="n">
        <v>723.8</v>
      </c>
      <c r="H6816" s="18" t="n">
        <v>0</v>
      </c>
      <c r="I6816" s="18" t="n">
        <f aca="false">((I6815 + G6816) - H6816)</f>
        <v>162146.83</v>
      </c>
      <c r="J6816" s="18" t="n">
        <v>0</v>
      </c>
      <c r="K6816" s="19" t="n">
        <v>0</v>
      </c>
      <c r="L6816" s="17"/>
    </row>
    <row r="6817" s="11" customFormat="true" ht="10.95" hidden="false" customHeight="true" outlineLevel="0" collapsed="false">
      <c r="A6817" s="16" t="n">
        <v>45316</v>
      </c>
      <c r="B6817" s="17" t="s">
        <v>3369</v>
      </c>
      <c r="C6817" s="17" t="s">
        <v>3370</v>
      </c>
      <c r="D6817" s="17" t="s">
        <v>19</v>
      </c>
      <c r="E6817" s="17" t="s">
        <v>3495</v>
      </c>
      <c r="F6817" s="17" t="s">
        <v>1190</v>
      </c>
      <c r="G6817" s="18" t="n">
        <v>292.62</v>
      </c>
      <c r="H6817" s="18" t="n">
        <v>0</v>
      </c>
      <c r="I6817" s="18" t="n">
        <f aca="false">((I6816 + G6817) - H6817)</f>
        <v>162439.45</v>
      </c>
      <c r="J6817" s="18" t="n">
        <v>0</v>
      </c>
      <c r="K6817" s="19" t="n">
        <v>0</v>
      </c>
      <c r="L6817" s="17"/>
    </row>
    <row r="6818" s="11" customFormat="true" ht="10.95" hidden="false" customHeight="true" outlineLevel="0" collapsed="false">
      <c r="A6818" s="16" t="n">
        <v>45316</v>
      </c>
      <c r="B6818" s="17" t="s">
        <v>3369</v>
      </c>
      <c r="C6818" s="17" t="s">
        <v>3370</v>
      </c>
      <c r="D6818" s="17" t="s">
        <v>19</v>
      </c>
      <c r="E6818" s="17" t="s">
        <v>3450</v>
      </c>
      <c r="F6818" s="17" t="s">
        <v>1191</v>
      </c>
      <c r="G6818" s="18" t="n">
        <v>267.54</v>
      </c>
      <c r="H6818" s="18" t="n">
        <v>0</v>
      </c>
      <c r="I6818" s="18" t="n">
        <f aca="false">((I6817 + G6818) - H6818)</f>
        <v>162706.99</v>
      </c>
      <c r="J6818" s="18" t="n">
        <v>0</v>
      </c>
      <c r="K6818" s="19" t="n">
        <v>0</v>
      </c>
      <c r="L6818" s="17"/>
    </row>
    <row r="6819" s="11" customFormat="true" ht="10.95" hidden="false" customHeight="true" outlineLevel="0" collapsed="false">
      <c r="A6819" s="16" t="n">
        <v>45316</v>
      </c>
      <c r="B6819" s="17" t="s">
        <v>3369</v>
      </c>
      <c r="C6819" s="17" t="s">
        <v>3370</v>
      </c>
      <c r="D6819" s="17" t="s">
        <v>19</v>
      </c>
      <c r="E6819" s="17" t="s">
        <v>3450</v>
      </c>
      <c r="F6819" s="17" t="s">
        <v>1192</v>
      </c>
      <c r="G6819" s="18" t="n">
        <v>808.65</v>
      </c>
      <c r="H6819" s="18" t="n">
        <v>0</v>
      </c>
      <c r="I6819" s="18" t="n">
        <f aca="false">((I6818 + G6819) - H6819)</f>
        <v>163515.64</v>
      </c>
      <c r="J6819" s="18" t="n">
        <v>0</v>
      </c>
      <c r="K6819" s="19" t="n">
        <v>0</v>
      </c>
      <c r="L6819" s="17"/>
    </row>
    <row r="6820" s="11" customFormat="true" ht="10.95" hidden="false" customHeight="true" outlineLevel="0" collapsed="false">
      <c r="A6820" s="16" t="n">
        <v>45316</v>
      </c>
      <c r="B6820" s="17" t="s">
        <v>3369</v>
      </c>
      <c r="C6820" s="17" t="s">
        <v>3370</v>
      </c>
      <c r="D6820" s="17" t="s">
        <v>19</v>
      </c>
      <c r="E6820" s="17" t="s">
        <v>3450</v>
      </c>
      <c r="F6820" s="17" t="s">
        <v>1193</v>
      </c>
      <c r="G6820" s="18" t="n">
        <v>2017.67</v>
      </c>
      <c r="H6820" s="18" t="n">
        <v>0</v>
      </c>
      <c r="I6820" s="18" t="n">
        <f aca="false">((I6819 + G6820) - H6820)</f>
        <v>165533.31</v>
      </c>
      <c r="J6820" s="18" t="n">
        <v>0</v>
      </c>
      <c r="K6820" s="19" t="n">
        <v>0</v>
      </c>
      <c r="L6820" s="17"/>
    </row>
    <row r="6821" s="11" customFormat="true" ht="10.95" hidden="false" customHeight="true" outlineLevel="0" collapsed="false">
      <c r="A6821" s="16" t="n">
        <v>45316</v>
      </c>
      <c r="B6821" s="17" t="s">
        <v>3369</v>
      </c>
      <c r="C6821" s="17" t="s">
        <v>3370</v>
      </c>
      <c r="D6821" s="17" t="s">
        <v>19</v>
      </c>
      <c r="E6821" s="17" t="s">
        <v>3450</v>
      </c>
      <c r="F6821" s="17" t="s">
        <v>1195</v>
      </c>
      <c r="G6821" s="18" t="n">
        <v>1011.16</v>
      </c>
      <c r="H6821" s="18" t="n">
        <v>0</v>
      </c>
      <c r="I6821" s="18" t="n">
        <f aca="false">((I6820 + G6821) - H6821)</f>
        <v>166544.47</v>
      </c>
      <c r="J6821" s="18" t="n">
        <v>0</v>
      </c>
      <c r="K6821" s="19" t="n">
        <v>0</v>
      </c>
      <c r="L6821" s="17"/>
    </row>
    <row r="6822" s="11" customFormat="true" ht="10.95" hidden="false" customHeight="true" outlineLevel="0" collapsed="false">
      <c r="A6822" s="16" t="n">
        <v>45316</v>
      </c>
      <c r="B6822" s="17" t="s">
        <v>3369</v>
      </c>
      <c r="C6822" s="17" t="s">
        <v>3370</v>
      </c>
      <c r="D6822" s="17" t="s">
        <v>19</v>
      </c>
      <c r="E6822" s="17" t="s">
        <v>3450</v>
      </c>
      <c r="F6822" s="17" t="s">
        <v>1196</v>
      </c>
      <c r="G6822" s="18" t="n">
        <v>1921.06</v>
      </c>
      <c r="H6822" s="18" t="n">
        <v>0</v>
      </c>
      <c r="I6822" s="18" t="n">
        <f aca="false">((I6821 + G6822) - H6822)</f>
        <v>168465.53</v>
      </c>
      <c r="J6822" s="18" t="n">
        <v>0</v>
      </c>
      <c r="K6822" s="19" t="n">
        <v>0</v>
      </c>
      <c r="L6822" s="17"/>
    </row>
    <row r="6823" s="11" customFormat="true" ht="10.95" hidden="false" customHeight="true" outlineLevel="0" collapsed="false">
      <c r="A6823" s="16" t="n">
        <v>45316</v>
      </c>
      <c r="B6823" s="17" t="s">
        <v>3369</v>
      </c>
      <c r="C6823" s="17" t="s">
        <v>3370</v>
      </c>
      <c r="D6823" s="17" t="s">
        <v>19</v>
      </c>
      <c r="E6823" s="17" t="s">
        <v>3450</v>
      </c>
      <c r="F6823" s="17" t="s">
        <v>1197</v>
      </c>
      <c r="G6823" s="18" t="n">
        <v>133.77</v>
      </c>
      <c r="H6823" s="18" t="n">
        <v>0</v>
      </c>
      <c r="I6823" s="18" t="n">
        <f aca="false">((I6822 + G6823) - H6823)</f>
        <v>168599.3</v>
      </c>
      <c r="J6823" s="18" t="n">
        <v>0</v>
      </c>
      <c r="K6823" s="19" t="n">
        <v>0</v>
      </c>
      <c r="L6823" s="17"/>
    </row>
    <row r="6824" s="11" customFormat="true" ht="10.95" hidden="false" customHeight="true" outlineLevel="0" collapsed="false">
      <c r="A6824" s="16" t="n">
        <v>45316</v>
      </c>
      <c r="B6824" s="17" t="s">
        <v>3369</v>
      </c>
      <c r="C6824" s="17" t="s">
        <v>3370</v>
      </c>
      <c r="D6824" s="17" t="s">
        <v>19</v>
      </c>
      <c r="E6824" s="17" t="s">
        <v>3450</v>
      </c>
      <c r="F6824" s="17" t="s">
        <v>1198</v>
      </c>
      <c r="G6824" s="18" t="n">
        <v>1020.45</v>
      </c>
      <c r="H6824" s="18" t="n">
        <v>0</v>
      </c>
      <c r="I6824" s="18" t="n">
        <f aca="false">((I6823 + G6824) - H6824)</f>
        <v>169619.75</v>
      </c>
      <c r="J6824" s="18" t="n">
        <v>0</v>
      </c>
      <c r="K6824" s="19" t="n">
        <v>0</v>
      </c>
      <c r="L6824" s="17"/>
    </row>
    <row r="6825" s="11" customFormat="true" ht="10.95" hidden="false" customHeight="true" outlineLevel="0" collapsed="false">
      <c r="A6825" s="16" t="n">
        <v>45316</v>
      </c>
      <c r="B6825" s="17" t="s">
        <v>3369</v>
      </c>
      <c r="C6825" s="17" t="s">
        <v>3370</v>
      </c>
      <c r="D6825" s="17" t="s">
        <v>19</v>
      </c>
      <c r="E6825" s="17" t="s">
        <v>3451</v>
      </c>
      <c r="F6825" s="17" t="s">
        <v>469</v>
      </c>
      <c r="G6825" s="18" t="n">
        <v>1278.2</v>
      </c>
      <c r="H6825" s="18" t="n">
        <v>0</v>
      </c>
      <c r="I6825" s="18" t="n">
        <f aca="false">((I6824 + G6825) - H6825)</f>
        <v>170897.95</v>
      </c>
      <c r="J6825" s="18" t="n">
        <v>0</v>
      </c>
      <c r="K6825" s="19" t="n">
        <v>0</v>
      </c>
      <c r="L6825" s="17"/>
    </row>
    <row r="6826" s="11" customFormat="true" ht="10.95" hidden="false" customHeight="true" outlineLevel="0" collapsed="false">
      <c r="A6826" s="16" t="n">
        <v>45316</v>
      </c>
      <c r="B6826" s="17" t="s">
        <v>3369</v>
      </c>
      <c r="C6826" s="17" t="s">
        <v>3370</v>
      </c>
      <c r="D6826" s="17" t="s">
        <v>2895</v>
      </c>
      <c r="E6826" s="17" t="s">
        <v>2900</v>
      </c>
      <c r="F6826" s="17" t="s">
        <v>1159</v>
      </c>
      <c r="G6826" s="18" t="n">
        <v>0</v>
      </c>
      <c r="H6826" s="18" t="n">
        <v>265.07</v>
      </c>
      <c r="I6826" s="18" t="n">
        <f aca="false">((I6825 + G6826) - H6826)</f>
        <v>170632.88</v>
      </c>
      <c r="J6826" s="18" t="n">
        <v>0</v>
      </c>
      <c r="K6826" s="19" t="n">
        <v>0</v>
      </c>
      <c r="L6826" s="17"/>
    </row>
    <row r="6827" s="11" customFormat="true" ht="10.95" hidden="false" customHeight="true" outlineLevel="0" collapsed="false">
      <c r="A6827" s="16" t="n">
        <v>45316</v>
      </c>
      <c r="B6827" s="17" t="s">
        <v>3369</v>
      </c>
      <c r="C6827" s="17" t="s">
        <v>3370</v>
      </c>
      <c r="D6827" s="17" t="s">
        <v>2895</v>
      </c>
      <c r="E6827" s="17" t="s">
        <v>3480</v>
      </c>
      <c r="F6827" s="17" t="s">
        <v>1177</v>
      </c>
      <c r="G6827" s="18" t="n">
        <v>0</v>
      </c>
      <c r="H6827" s="18" t="n">
        <v>180</v>
      </c>
      <c r="I6827" s="18" t="n">
        <f aca="false">((I6826 + G6827) - H6827)</f>
        <v>170452.88</v>
      </c>
      <c r="J6827" s="18" t="n">
        <v>0</v>
      </c>
      <c r="K6827" s="19" t="n">
        <v>0</v>
      </c>
      <c r="L6827" s="17"/>
    </row>
    <row r="6828" s="11" customFormat="true" ht="10.95" hidden="false" customHeight="true" outlineLevel="0" collapsed="false">
      <c r="A6828" s="16" t="n">
        <v>45316</v>
      </c>
      <c r="B6828" s="17" t="s">
        <v>3369</v>
      </c>
      <c r="C6828" s="17" t="s">
        <v>3370</v>
      </c>
      <c r="D6828" s="17" t="s">
        <v>2895</v>
      </c>
      <c r="E6828" s="17" t="s">
        <v>3453</v>
      </c>
      <c r="F6828" s="17" t="s">
        <v>440</v>
      </c>
      <c r="G6828" s="18" t="n">
        <v>0</v>
      </c>
      <c r="H6828" s="18" t="n">
        <v>93.5</v>
      </c>
      <c r="I6828" s="18" t="n">
        <f aca="false">((I6827 + G6828) - H6828)</f>
        <v>170359.38</v>
      </c>
      <c r="J6828" s="18" t="n">
        <v>0</v>
      </c>
      <c r="K6828" s="19" t="n">
        <v>0</v>
      </c>
      <c r="L6828" s="17"/>
    </row>
    <row r="6829" s="11" customFormat="true" ht="10.95" hidden="false" customHeight="true" outlineLevel="0" collapsed="false">
      <c r="A6829" s="16" t="n">
        <v>45316</v>
      </c>
      <c r="B6829" s="17" t="s">
        <v>3369</v>
      </c>
      <c r="C6829" s="17" t="s">
        <v>3370</v>
      </c>
      <c r="D6829" s="17" t="s">
        <v>2895</v>
      </c>
      <c r="E6829" s="17" t="s">
        <v>2910</v>
      </c>
      <c r="F6829" s="17" t="s">
        <v>862</v>
      </c>
      <c r="G6829" s="18" t="n">
        <v>0</v>
      </c>
      <c r="H6829" s="18" t="n">
        <v>32937.61</v>
      </c>
      <c r="I6829" s="18" t="n">
        <f aca="false">((I6828 + G6829) - H6829)</f>
        <v>137421.77</v>
      </c>
      <c r="J6829" s="18" t="n">
        <v>0</v>
      </c>
      <c r="K6829" s="19" t="n">
        <v>0</v>
      </c>
      <c r="L6829" s="17"/>
    </row>
    <row r="6830" s="11" customFormat="true" ht="10.95" hidden="false" customHeight="true" outlineLevel="0" collapsed="false">
      <c r="A6830" s="16" t="n">
        <v>45316</v>
      </c>
      <c r="B6830" s="17" t="s">
        <v>3369</v>
      </c>
      <c r="C6830" s="17" t="s">
        <v>3370</v>
      </c>
      <c r="D6830" s="17" t="s">
        <v>2895</v>
      </c>
      <c r="E6830" s="17" t="s">
        <v>2910</v>
      </c>
      <c r="F6830" s="17" t="s">
        <v>858</v>
      </c>
      <c r="G6830" s="18" t="n">
        <v>0</v>
      </c>
      <c r="H6830" s="18" t="n">
        <v>16741.9</v>
      </c>
      <c r="I6830" s="18" t="n">
        <f aca="false">((I6829 + G6830) - H6830)</f>
        <v>120679.87</v>
      </c>
      <c r="J6830" s="18" t="n">
        <v>0</v>
      </c>
      <c r="K6830" s="19" t="n">
        <v>0</v>
      </c>
      <c r="L6830" s="17"/>
    </row>
    <row r="6831" s="11" customFormat="true" ht="10.95" hidden="false" customHeight="true" outlineLevel="0" collapsed="false">
      <c r="A6831" s="16" t="n">
        <v>45316</v>
      </c>
      <c r="B6831" s="17" t="s">
        <v>3369</v>
      </c>
      <c r="C6831" s="17" t="s">
        <v>3370</v>
      </c>
      <c r="D6831" s="17" t="s">
        <v>19</v>
      </c>
      <c r="E6831" s="17" t="s">
        <v>3454</v>
      </c>
      <c r="F6831" s="17" t="s">
        <v>470</v>
      </c>
      <c r="G6831" s="18" t="n">
        <v>17105.72</v>
      </c>
      <c r="H6831" s="18" t="n">
        <v>0</v>
      </c>
      <c r="I6831" s="18" t="n">
        <f aca="false">((I6830 + G6831) - H6831)</f>
        <v>137785.59</v>
      </c>
      <c r="J6831" s="18" t="n">
        <v>0</v>
      </c>
      <c r="K6831" s="19" t="n">
        <v>0</v>
      </c>
      <c r="L6831" s="17"/>
    </row>
    <row r="6832" s="11" customFormat="true" ht="10.95" hidden="false" customHeight="true" outlineLevel="0" collapsed="false">
      <c r="A6832" s="16" t="n">
        <v>45316</v>
      </c>
      <c r="B6832" s="17" t="s">
        <v>3369</v>
      </c>
      <c r="C6832" s="17" t="s">
        <v>3370</v>
      </c>
      <c r="D6832" s="17" t="s">
        <v>19</v>
      </c>
      <c r="E6832" s="17" t="s">
        <v>3506</v>
      </c>
      <c r="F6832" s="17" t="s">
        <v>998</v>
      </c>
      <c r="G6832" s="18" t="n">
        <v>725.21</v>
      </c>
      <c r="H6832" s="18" t="n">
        <v>0</v>
      </c>
      <c r="I6832" s="18" t="n">
        <f aca="false">((I6831 + G6832) - H6832)</f>
        <v>138510.8</v>
      </c>
      <c r="J6832" s="18" t="n">
        <v>0</v>
      </c>
      <c r="K6832" s="19" t="n">
        <v>0</v>
      </c>
      <c r="L6832" s="17"/>
    </row>
    <row r="6833" s="11" customFormat="true" ht="10.95" hidden="false" customHeight="true" outlineLevel="0" collapsed="false">
      <c r="A6833" s="16" t="n">
        <v>45316</v>
      </c>
      <c r="B6833" s="17" t="s">
        <v>3369</v>
      </c>
      <c r="C6833" s="17" t="s">
        <v>3370</v>
      </c>
      <c r="D6833" s="17" t="s">
        <v>19</v>
      </c>
      <c r="E6833" s="17" t="s">
        <v>3506</v>
      </c>
      <c r="F6833" s="17" t="s">
        <v>999</v>
      </c>
      <c r="G6833" s="18" t="n">
        <v>3626.07</v>
      </c>
      <c r="H6833" s="18" t="n">
        <v>0</v>
      </c>
      <c r="I6833" s="18" t="n">
        <f aca="false">((I6832 + G6833) - H6833)</f>
        <v>142136.87</v>
      </c>
      <c r="J6833" s="18" t="n">
        <v>0</v>
      </c>
      <c r="K6833" s="19" t="n">
        <v>0</v>
      </c>
      <c r="L6833" s="17"/>
    </row>
    <row r="6834" s="11" customFormat="true" ht="10.95" hidden="false" customHeight="true" outlineLevel="0" collapsed="false">
      <c r="A6834" s="16" t="n">
        <v>45321</v>
      </c>
      <c r="B6834" s="17" t="s">
        <v>3369</v>
      </c>
      <c r="C6834" s="17" t="s">
        <v>3370</v>
      </c>
      <c r="D6834" s="17" t="s">
        <v>2895</v>
      </c>
      <c r="E6834" s="17" t="s">
        <v>3466</v>
      </c>
      <c r="F6834" s="17" t="s">
        <v>443</v>
      </c>
      <c r="G6834" s="18" t="n">
        <v>0</v>
      </c>
      <c r="H6834" s="18" t="n">
        <v>396</v>
      </c>
      <c r="I6834" s="18" t="n">
        <f aca="false">((I6833 + G6834) - H6834)</f>
        <v>141740.87</v>
      </c>
      <c r="J6834" s="18" t="n">
        <v>0</v>
      </c>
      <c r="K6834" s="19" t="n">
        <v>0</v>
      </c>
      <c r="L6834" s="17"/>
    </row>
    <row r="6835" s="11" customFormat="true" ht="10.95" hidden="false" customHeight="true" outlineLevel="0" collapsed="false">
      <c r="A6835" s="16" t="n">
        <v>45321</v>
      </c>
      <c r="B6835" s="17" t="s">
        <v>3369</v>
      </c>
      <c r="C6835" s="17" t="s">
        <v>3370</v>
      </c>
      <c r="D6835" s="17" t="s">
        <v>2895</v>
      </c>
      <c r="E6835" s="17" t="s">
        <v>2909</v>
      </c>
      <c r="F6835" s="17" t="s">
        <v>994</v>
      </c>
      <c r="G6835" s="18" t="n">
        <v>0</v>
      </c>
      <c r="H6835" s="18" t="n">
        <v>3284.91</v>
      </c>
      <c r="I6835" s="18" t="n">
        <f aca="false">((I6834 + G6835) - H6835)</f>
        <v>138455.96</v>
      </c>
      <c r="J6835" s="18" t="n">
        <v>0</v>
      </c>
      <c r="K6835" s="19" t="n">
        <v>0</v>
      </c>
      <c r="L6835" s="17"/>
    </row>
    <row r="6836" s="11" customFormat="true" ht="10.95" hidden="false" customHeight="true" outlineLevel="0" collapsed="false">
      <c r="A6836" s="16" t="n">
        <v>45322</v>
      </c>
      <c r="B6836" s="17" t="s">
        <v>3369</v>
      </c>
      <c r="C6836" s="17" t="s">
        <v>3370</v>
      </c>
      <c r="D6836" s="17" t="s">
        <v>2895</v>
      </c>
      <c r="E6836" s="17" t="s">
        <v>3389</v>
      </c>
      <c r="F6836" s="17" t="s">
        <v>448</v>
      </c>
      <c r="G6836" s="18" t="n">
        <v>0</v>
      </c>
      <c r="H6836" s="18" t="n">
        <v>4994</v>
      </c>
      <c r="I6836" s="18" t="n">
        <f aca="false">((I6835 + G6836) - H6836)</f>
        <v>133461.96</v>
      </c>
      <c r="J6836" s="18" t="n">
        <v>0</v>
      </c>
      <c r="K6836" s="19" t="n">
        <v>0</v>
      </c>
      <c r="L6836" s="17"/>
    </row>
    <row r="6837" s="11" customFormat="true" ht="10.95" hidden="false" customHeight="true" outlineLevel="0" collapsed="false">
      <c r="A6837" s="16" t="n">
        <v>45322</v>
      </c>
      <c r="B6837" s="17" t="s">
        <v>3369</v>
      </c>
      <c r="C6837" s="17" t="s">
        <v>3370</v>
      </c>
      <c r="D6837" s="17" t="s">
        <v>2895</v>
      </c>
      <c r="E6837" s="17" t="s">
        <v>3373</v>
      </c>
      <c r="F6837" s="17" t="s">
        <v>337</v>
      </c>
      <c r="G6837" s="18" t="n">
        <v>0</v>
      </c>
      <c r="H6837" s="18" t="n">
        <v>1386</v>
      </c>
      <c r="I6837" s="18" t="n">
        <f aca="false">((I6836 + G6837) - H6837)</f>
        <v>132075.96</v>
      </c>
      <c r="J6837" s="18" t="n">
        <v>0</v>
      </c>
      <c r="K6837" s="19" t="n">
        <v>0</v>
      </c>
      <c r="L6837" s="17"/>
    </row>
    <row r="6838" s="11" customFormat="true" ht="10.95" hidden="false" customHeight="true" outlineLevel="0" collapsed="false">
      <c r="A6838" s="16" t="n">
        <v>45322</v>
      </c>
      <c r="B6838" s="17" t="s">
        <v>3369</v>
      </c>
      <c r="C6838" s="17" t="s">
        <v>3370</v>
      </c>
      <c r="D6838" s="17" t="s">
        <v>2895</v>
      </c>
      <c r="E6838" s="17" t="s">
        <v>3465</v>
      </c>
      <c r="F6838" s="17" t="s">
        <v>442</v>
      </c>
      <c r="G6838" s="18" t="n">
        <v>0</v>
      </c>
      <c r="H6838" s="18" t="n">
        <v>1094.5</v>
      </c>
      <c r="I6838" s="18" t="n">
        <f aca="false">((I6837 + G6838) - H6838)</f>
        <v>130981.46</v>
      </c>
      <c r="J6838" s="18" t="n">
        <v>0</v>
      </c>
      <c r="K6838" s="19" t="n">
        <v>0</v>
      </c>
      <c r="L6838" s="17"/>
    </row>
    <row r="6839" s="11" customFormat="true" ht="10.95" hidden="false" customHeight="true" outlineLevel="0" collapsed="false">
      <c r="A6839" s="16" t="n">
        <v>45322</v>
      </c>
      <c r="B6839" s="17" t="s">
        <v>3369</v>
      </c>
      <c r="C6839" s="17" t="s">
        <v>3370</v>
      </c>
      <c r="D6839" s="17" t="s">
        <v>2895</v>
      </c>
      <c r="E6839" s="17" t="s">
        <v>3378</v>
      </c>
      <c r="F6839" s="17" t="s">
        <v>436</v>
      </c>
      <c r="G6839" s="18" t="n">
        <v>0</v>
      </c>
      <c r="H6839" s="18" t="n">
        <v>413.6</v>
      </c>
      <c r="I6839" s="18" t="n">
        <f aca="false">((I6838 + G6839) - H6839)</f>
        <v>130567.86</v>
      </c>
      <c r="J6839" s="18" t="n">
        <v>0</v>
      </c>
      <c r="K6839" s="19" t="n">
        <v>0</v>
      </c>
      <c r="L6839" s="17"/>
    </row>
    <row r="6840" s="11" customFormat="true" ht="10.95" hidden="false" customHeight="true" outlineLevel="0" collapsed="false">
      <c r="A6840" s="16" t="n">
        <v>45322</v>
      </c>
      <c r="B6840" s="17" t="s">
        <v>3369</v>
      </c>
      <c r="C6840" s="17" t="s">
        <v>3370</v>
      </c>
      <c r="D6840" s="17" t="s">
        <v>2895</v>
      </c>
      <c r="E6840" s="17" t="s">
        <v>3505</v>
      </c>
      <c r="F6840" s="17" t="s">
        <v>433</v>
      </c>
      <c r="G6840" s="18" t="n">
        <v>0</v>
      </c>
      <c r="H6840" s="18" t="n">
        <v>157.3</v>
      </c>
      <c r="I6840" s="18" t="n">
        <f aca="false">((I6839 + G6840) - H6840)</f>
        <v>130410.56</v>
      </c>
      <c r="J6840" s="18" t="n">
        <v>0</v>
      </c>
      <c r="K6840" s="19" t="n">
        <v>0</v>
      </c>
      <c r="L6840" s="17"/>
    </row>
    <row r="6841" s="11" customFormat="true" ht="10.95" hidden="false" customHeight="true" outlineLevel="0" collapsed="false">
      <c r="A6841" s="16" t="n">
        <v>45322</v>
      </c>
      <c r="B6841" s="17" t="s">
        <v>3369</v>
      </c>
      <c r="C6841" s="17" t="s">
        <v>3370</v>
      </c>
      <c r="D6841" s="17" t="s">
        <v>2895</v>
      </c>
      <c r="E6841" s="17" t="s">
        <v>3467</v>
      </c>
      <c r="F6841" s="17" t="s">
        <v>439</v>
      </c>
      <c r="G6841" s="18" t="n">
        <v>0</v>
      </c>
      <c r="H6841" s="18" t="n">
        <v>1264.45</v>
      </c>
      <c r="I6841" s="18" t="n">
        <f aca="false">((I6840 + G6841) - H6841)</f>
        <v>129146.11</v>
      </c>
      <c r="J6841" s="18" t="n">
        <v>0</v>
      </c>
      <c r="K6841" s="19" t="n">
        <v>0</v>
      </c>
      <c r="L6841" s="17"/>
    </row>
    <row r="6842" s="11" customFormat="true" ht="10.95" hidden="false" customHeight="true" outlineLevel="0" collapsed="false">
      <c r="A6842" s="16" t="n">
        <v>45323</v>
      </c>
      <c r="B6842" s="17" t="s">
        <v>3369</v>
      </c>
      <c r="C6842" s="17" t="s">
        <v>3370</v>
      </c>
      <c r="D6842" s="17" t="s">
        <v>2895</v>
      </c>
      <c r="E6842" s="17" t="s">
        <v>2896</v>
      </c>
      <c r="F6842" s="17" t="s">
        <v>874</v>
      </c>
      <c r="G6842" s="18" t="n">
        <v>0</v>
      </c>
      <c r="H6842" s="18" t="n">
        <v>90.81</v>
      </c>
      <c r="I6842" s="18" t="n">
        <f aca="false">((I6841 + G6842) - H6842)</f>
        <v>129055.3</v>
      </c>
      <c r="J6842" s="18" t="n">
        <v>0</v>
      </c>
      <c r="K6842" s="19" t="n">
        <v>0</v>
      </c>
      <c r="L6842" s="17"/>
    </row>
    <row r="6843" s="11" customFormat="true" ht="10.95" hidden="false" customHeight="true" outlineLevel="0" collapsed="false">
      <c r="A6843" s="16" t="n">
        <v>45323</v>
      </c>
      <c r="B6843" s="17" t="s">
        <v>3369</v>
      </c>
      <c r="C6843" s="17" t="s">
        <v>3370</v>
      </c>
      <c r="D6843" s="17" t="s">
        <v>2895</v>
      </c>
      <c r="E6843" s="17" t="s">
        <v>2964</v>
      </c>
      <c r="F6843" s="17" t="s">
        <v>997</v>
      </c>
      <c r="G6843" s="18" t="n">
        <v>0</v>
      </c>
      <c r="H6843" s="18" t="n">
        <v>347.53</v>
      </c>
      <c r="I6843" s="18" t="n">
        <f aca="false">((I6842 + G6843) - H6843)</f>
        <v>128707.77</v>
      </c>
      <c r="J6843" s="18" t="n">
        <v>0</v>
      </c>
      <c r="K6843" s="19" t="n">
        <v>0</v>
      </c>
      <c r="L6843" s="17"/>
    </row>
    <row r="6844" s="11" customFormat="true" ht="10.95" hidden="false" customHeight="true" outlineLevel="0" collapsed="false">
      <c r="A6844" s="16" t="n">
        <v>45323</v>
      </c>
      <c r="B6844" s="17" t="s">
        <v>3369</v>
      </c>
      <c r="C6844" s="17" t="s">
        <v>3370</v>
      </c>
      <c r="D6844" s="17" t="s">
        <v>2895</v>
      </c>
      <c r="E6844" s="17" t="s">
        <v>2951</v>
      </c>
      <c r="F6844" s="17" t="s">
        <v>1176</v>
      </c>
      <c r="G6844" s="18" t="n">
        <v>0</v>
      </c>
      <c r="H6844" s="18" t="n">
        <v>1507.32</v>
      </c>
      <c r="I6844" s="18" t="n">
        <f aca="false">((I6843 + G6844) - H6844)</f>
        <v>127200.45</v>
      </c>
      <c r="J6844" s="18" t="n">
        <v>0</v>
      </c>
      <c r="K6844" s="19" t="n">
        <v>0</v>
      </c>
      <c r="L6844" s="17"/>
    </row>
    <row r="6845" s="11" customFormat="true" ht="10.95" hidden="false" customHeight="true" outlineLevel="0" collapsed="false">
      <c r="A6845" s="16" t="n">
        <v>45323</v>
      </c>
      <c r="B6845" s="17" t="s">
        <v>3369</v>
      </c>
      <c r="C6845" s="17" t="s">
        <v>3370</v>
      </c>
      <c r="D6845" s="17" t="s">
        <v>2895</v>
      </c>
      <c r="E6845" s="17" t="s">
        <v>2951</v>
      </c>
      <c r="F6845" s="17" t="s">
        <v>1188</v>
      </c>
      <c r="G6845" s="18" t="n">
        <v>0</v>
      </c>
      <c r="H6845" s="18" t="n">
        <v>1509.48</v>
      </c>
      <c r="I6845" s="18" t="n">
        <f aca="false">((I6844 + G6845) - H6845)</f>
        <v>125690.97</v>
      </c>
      <c r="J6845" s="18" t="n">
        <v>0</v>
      </c>
      <c r="K6845" s="19" t="n">
        <v>0</v>
      </c>
      <c r="L6845" s="17"/>
    </row>
    <row r="6846" s="11" customFormat="true" ht="10.95" hidden="false" customHeight="true" outlineLevel="0" collapsed="false">
      <c r="A6846" s="16" t="n">
        <v>45323</v>
      </c>
      <c r="B6846" s="17" t="s">
        <v>3369</v>
      </c>
      <c r="C6846" s="17" t="s">
        <v>3370</v>
      </c>
      <c r="D6846" s="17" t="s">
        <v>2895</v>
      </c>
      <c r="E6846" s="17" t="s">
        <v>3456</v>
      </c>
      <c r="F6846" s="17" t="s">
        <v>444</v>
      </c>
      <c r="G6846" s="18" t="n">
        <v>0</v>
      </c>
      <c r="H6846" s="18" t="n">
        <v>2244</v>
      </c>
      <c r="I6846" s="18" t="n">
        <f aca="false">((I6845 + G6846) - H6846)</f>
        <v>123446.97</v>
      </c>
      <c r="J6846" s="18" t="n">
        <v>0</v>
      </c>
      <c r="K6846" s="19" t="n">
        <v>0</v>
      </c>
      <c r="L6846" s="17"/>
    </row>
    <row r="6847" s="11" customFormat="true" ht="10.95" hidden="false" customHeight="true" outlineLevel="0" collapsed="false">
      <c r="A6847" s="16" t="n">
        <v>45323</v>
      </c>
      <c r="B6847" s="17" t="s">
        <v>3369</v>
      </c>
      <c r="C6847" s="17" t="s">
        <v>3370</v>
      </c>
      <c r="D6847" s="17" t="s">
        <v>2895</v>
      </c>
      <c r="E6847" s="17" t="s">
        <v>3472</v>
      </c>
      <c r="F6847" s="17" t="s">
        <v>422</v>
      </c>
      <c r="G6847" s="18" t="n">
        <v>0</v>
      </c>
      <c r="H6847" s="18" t="n">
        <v>1278.2</v>
      </c>
      <c r="I6847" s="18" t="n">
        <f aca="false">((I6846 + G6847) - H6847)</f>
        <v>122168.77</v>
      </c>
      <c r="J6847" s="18" t="n">
        <v>0</v>
      </c>
      <c r="K6847" s="19" t="n">
        <v>0</v>
      </c>
      <c r="L6847" s="17"/>
    </row>
    <row r="6848" s="11" customFormat="true" ht="10.95" hidden="false" customHeight="true" outlineLevel="0" collapsed="false">
      <c r="A6848" s="16" t="n">
        <v>45323</v>
      </c>
      <c r="B6848" s="17" t="s">
        <v>3369</v>
      </c>
      <c r="C6848" s="17" t="s">
        <v>3370</v>
      </c>
      <c r="D6848" s="17" t="s">
        <v>2895</v>
      </c>
      <c r="E6848" s="17" t="s">
        <v>3497</v>
      </c>
      <c r="F6848" s="17" t="s">
        <v>450</v>
      </c>
      <c r="G6848" s="18" t="n">
        <v>0</v>
      </c>
      <c r="H6848" s="18" t="n">
        <v>1071.4</v>
      </c>
      <c r="I6848" s="18" t="n">
        <f aca="false">((I6847 + G6848) - H6848)</f>
        <v>121097.37</v>
      </c>
      <c r="J6848" s="18" t="n">
        <v>0</v>
      </c>
      <c r="K6848" s="19" t="n">
        <v>0</v>
      </c>
      <c r="L6848" s="17"/>
    </row>
    <row r="6849" s="11" customFormat="true" ht="10.95" hidden="false" customHeight="true" outlineLevel="0" collapsed="false">
      <c r="A6849" s="16" t="n">
        <v>45323</v>
      </c>
      <c r="B6849" s="17" t="s">
        <v>3369</v>
      </c>
      <c r="C6849" s="17" t="s">
        <v>3370</v>
      </c>
      <c r="D6849" s="17" t="s">
        <v>2895</v>
      </c>
      <c r="E6849" s="17" t="s">
        <v>3504</v>
      </c>
      <c r="F6849" s="17" t="s">
        <v>435</v>
      </c>
      <c r="G6849" s="18" t="n">
        <v>0</v>
      </c>
      <c r="H6849" s="18" t="n">
        <v>1034.55</v>
      </c>
      <c r="I6849" s="18" t="n">
        <f aca="false">((I6848 + G6849) - H6849)</f>
        <v>120062.82</v>
      </c>
      <c r="J6849" s="18" t="n">
        <v>0</v>
      </c>
      <c r="K6849" s="19" t="n">
        <v>0</v>
      </c>
      <c r="L6849" s="17"/>
    </row>
    <row r="6850" s="11" customFormat="true" ht="10.95" hidden="false" customHeight="true" outlineLevel="0" collapsed="false">
      <c r="A6850" s="16" t="n">
        <v>45323</v>
      </c>
      <c r="B6850" s="17" t="s">
        <v>3369</v>
      </c>
      <c r="C6850" s="17" t="s">
        <v>3370</v>
      </c>
      <c r="D6850" s="17" t="s">
        <v>2895</v>
      </c>
      <c r="E6850" s="17" t="s">
        <v>2898</v>
      </c>
      <c r="F6850" s="17" t="s">
        <v>1186</v>
      </c>
      <c r="G6850" s="18" t="n">
        <v>0</v>
      </c>
      <c r="H6850" s="18" t="n">
        <v>771</v>
      </c>
      <c r="I6850" s="18" t="n">
        <f aca="false">((I6849 + G6850) - H6850)</f>
        <v>119291.82</v>
      </c>
      <c r="J6850" s="18" t="n">
        <v>0</v>
      </c>
      <c r="K6850" s="19" t="n">
        <v>0</v>
      </c>
      <c r="L6850" s="17"/>
    </row>
    <row r="6851" s="11" customFormat="true" ht="10.95" hidden="false" customHeight="true" outlineLevel="0" collapsed="false">
      <c r="A6851" s="16" t="n">
        <v>45323</v>
      </c>
      <c r="B6851" s="17" t="s">
        <v>3369</v>
      </c>
      <c r="C6851" s="17" t="s">
        <v>3370</v>
      </c>
      <c r="D6851" s="17" t="s">
        <v>2895</v>
      </c>
      <c r="E6851" s="17" t="s">
        <v>3401</v>
      </c>
      <c r="F6851" s="17" t="s">
        <v>438</v>
      </c>
      <c r="G6851" s="18" t="n">
        <v>0</v>
      </c>
      <c r="H6851" s="18" t="n">
        <v>561</v>
      </c>
      <c r="I6851" s="18" t="n">
        <f aca="false">((I6850 + G6851) - H6851)</f>
        <v>118730.82</v>
      </c>
      <c r="J6851" s="18" t="n">
        <v>0</v>
      </c>
      <c r="K6851" s="19" t="n">
        <v>0</v>
      </c>
      <c r="L6851" s="17"/>
    </row>
    <row r="6852" s="11" customFormat="true" ht="10.95" hidden="false" customHeight="true" outlineLevel="0" collapsed="false">
      <c r="A6852" s="16" t="n">
        <v>45323</v>
      </c>
      <c r="B6852" s="17" t="s">
        <v>3369</v>
      </c>
      <c r="C6852" s="17" t="s">
        <v>3370</v>
      </c>
      <c r="D6852" s="17" t="s">
        <v>2895</v>
      </c>
      <c r="E6852" s="17" t="s">
        <v>3474</v>
      </c>
      <c r="F6852" s="17" t="s">
        <v>441</v>
      </c>
      <c r="G6852" s="18" t="n">
        <v>0</v>
      </c>
      <c r="H6852" s="18" t="n">
        <v>257.5</v>
      </c>
      <c r="I6852" s="18" t="n">
        <f aca="false">((I6851 + G6852) - H6852)</f>
        <v>118473.32</v>
      </c>
      <c r="J6852" s="18" t="n">
        <v>0</v>
      </c>
      <c r="K6852" s="19" t="n">
        <v>0</v>
      </c>
      <c r="L6852" s="17"/>
    </row>
    <row r="6853" s="11" customFormat="true" ht="10.95" hidden="false" customHeight="true" outlineLevel="0" collapsed="false">
      <c r="A6853" s="16" t="n">
        <v>45323</v>
      </c>
      <c r="B6853" s="17" t="s">
        <v>3369</v>
      </c>
      <c r="C6853" s="17" t="s">
        <v>3370</v>
      </c>
      <c r="D6853" s="17" t="s">
        <v>2895</v>
      </c>
      <c r="E6853" s="17" t="s">
        <v>3045</v>
      </c>
      <c r="F6853" s="17" t="s">
        <v>872</v>
      </c>
      <c r="G6853" s="18" t="n">
        <v>0</v>
      </c>
      <c r="H6853" s="18" t="n">
        <v>4301.41</v>
      </c>
      <c r="I6853" s="18" t="n">
        <f aca="false">((I6852 + G6853) - H6853)</f>
        <v>114171.91</v>
      </c>
      <c r="J6853" s="18" t="n">
        <v>0</v>
      </c>
      <c r="K6853" s="19" t="n">
        <v>0</v>
      </c>
      <c r="L6853" s="17"/>
    </row>
    <row r="6854" s="11" customFormat="true" ht="10.95" hidden="false" customHeight="true" outlineLevel="0" collapsed="false">
      <c r="A6854" s="16" t="n">
        <v>45324</v>
      </c>
      <c r="B6854" s="17" t="s">
        <v>3369</v>
      </c>
      <c r="C6854" s="17" t="s">
        <v>3370</v>
      </c>
      <c r="D6854" s="17" t="s">
        <v>19</v>
      </c>
      <c r="E6854" s="17" t="s">
        <v>3519</v>
      </c>
      <c r="F6854" s="17" t="s">
        <v>1001</v>
      </c>
      <c r="G6854" s="18" t="n">
        <v>1092.88</v>
      </c>
      <c r="H6854" s="18" t="n">
        <v>0</v>
      </c>
      <c r="I6854" s="18" t="n">
        <f aca="false">((I6853 + G6854) - H6854)</f>
        <v>115264.79</v>
      </c>
      <c r="J6854" s="18" t="n">
        <v>0</v>
      </c>
      <c r="K6854" s="19" t="n">
        <v>0</v>
      </c>
      <c r="L6854" s="17"/>
    </row>
    <row r="6855" s="11" customFormat="true" ht="10.95" hidden="false" customHeight="true" outlineLevel="0" collapsed="false">
      <c r="A6855" s="16" t="n">
        <v>45324</v>
      </c>
      <c r="B6855" s="17" t="s">
        <v>3369</v>
      </c>
      <c r="C6855" s="17" t="s">
        <v>3370</v>
      </c>
      <c r="D6855" s="17" t="s">
        <v>2895</v>
      </c>
      <c r="E6855" s="17" t="s">
        <v>2922</v>
      </c>
      <c r="F6855" s="17" t="s">
        <v>996</v>
      </c>
      <c r="G6855" s="18" t="n">
        <v>0</v>
      </c>
      <c r="H6855" s="18" t="n">
        <v>9276.82</v>
      </c>
      <c r="I6855" s="18" t="n">
        <f aca="false">((I6854 + G6855) - H6855)</f>
        <v>105987.97</v>
      </c>
      <c r="J6855" s="18" t="n">
        <v>0</v>
      </c>
      <c r="K6855" s="19" t="n">
        <v>0</v>
      </c>
      <c r="L6855" s="17"/>
    </row>
    <row r="6856" s="11" customFormat="true" ht="10.95" hidden="false" customHeight="true" outlineLevel="0" collapsed="false">
      <c r="A6856" s="16" t="n">
        <v>45324</v>
      </c>
      <c r="B6856" s="17" t="s">
        <v>3369</v>
      </c>
      <c r="C6856" s="17" t="s">
        <v>3370</v>
      </c>
      <c r="D6856" s="17" t="s">
        <v>2895</v>
      </c>
      <c r="E6856" s="17" t="s">
        <v>3503</v>
      </c>
      <c r="F6856" s="17" t="s">
        <v>434</v>
      </c>
      <c r="G6856" s="18" t="n">
        <v>0</v>
      </c>
      <c r="H6856" s="18" t="n">
        <v>199.65</v>
      </c>
      <c r="I6856" s="18" t="n">
        <f aca="false">((I6855 + G6856) - H6856)</f>
        <v>105788.32</v>
      </c>
      <c r="J6856" s="18" t="n">
        <v>0</v>
      </c>
      <c r="K6856" s="19" t="n">
        <v>0</v>
      </c>
      <c r="L6856" s="17"/>
    </row>
    <row r="6857" s="11" customFormat="true" ht="10.95" hidden="false" customHeight="true" outlineLevel="0" collapsed="false">
      <c r="A6857" s="16" t="n">
        <v>45324</v>
      </c>
      <c r="B6857" s="17" t="s">
        <v>3369</v>
      </c>
      <c r="C6857" s="17" t="s">
        <v>3370</v>
      </c>
      <c r="D6857" s="17" t="s">
        <v>2895</v>
      </c>
      <c r="E6857" s="17" t="s">
        <v>3474</v>
      </c>
      <c r="F6857" s="17" t="s">
        <v>441</v>
      </c>
      <c r="G6857" s="18" t="n">
        <v>0</v>
      </c>
      <c r="H6857" s="18" t="n">
        <v>100</v>
      </c>
      <c r="I6857" s="18" t="n">
        <f aca="false">((I6856 + G6857) - H6857)</f>
        <v>105688.32</v>
      </c>
      <c r="J6857" s="18" t="n">
        <v>0</v>
      </c>
      <c r="K6857" s="19" t="n">
        <v>0</v>
      </c>
      <c r="L6857" s="17"/>
    </row>
    <row r="6858" s="11" customFormat="true" ht="10.95" hidden="false" customHeight="true" outlineLevel="0" collapsed="false">
      <c r="A6858" s="16" t="n">
        <v>45324</v>
      </c>
      <c r="B6858" s="17" t="s">
        <v>3369</v>
      </c>
      <c r="C6858" s="17" t="s">
        <v>3370</v>
      </c>
      <c r="D6858" s="17" t="s">
        <v>2895</v>
      </c>
      <c r="E6858" s="17" t="s">
        <v>3391</v>
      </c>
      <c r="F6858" s="17" t="s">
        <v>445</v>
      </c>
      <c r="G6858" s="18" t="n">
        <v>0</v>
      </c>
      <c r="H6858" s="18" t="n">
        <v>1100.06</v>
      </c>
      <c r="I6858" s="18" t="n">
        <f aca="false">((I6857 + G6858) - H6858)</f>
        <v>104588.26</v>
      </c>
      <c r="J6858" s="18" t="n">
        <v>0</v>
      </c>
      <c r="K6858" s="19" t="n">
        <v>0</v>
      </c>
      <c r="L6858" s="17"/>
    </row>
    <row r="6859" s="11" customFormat="true" ht="10.95" hidden="false" customHeight="true" outlineLevel="0" collapsed="false">
      <c r="A6859" s="16" t="n">
        <v>45327</v>
      </c>
      <c r="B6859" s="17" t="s">
        <v>3369</v>
      </c>
      <c r="C6859" s="17" t="s">
        <v>3370</v>
      </c>
      <c r="D6859" s="17" t="s">
        <v>2895</v>
      </c>
      <c r="E6859" s="17" t="s">
        <v>2925</v>
      </c>
      <c r="F6859" s="17" t="s">
        <v>864</v>
      </c>
      <c r="G6859" s="18" t="n">
        <v>0</v>
      </c>
      <c r="H6859" s="18" t="n">
        <v>477.04</v>
      </c>
      <c r="I6859" s="18" t="n">
        <f aca="false">((I6858 + G6859) - H6859)</f>
        <v>104111.22</v>
      </c>
      <c r="J6859" s="18" t="n">
        <v>0</v>
      </c>
      <c r="K6859" s="19" t="n">
        <v>0</v>
      </c>
      <c r="L6859" s="17"/>
    </row>
    <row r="6860" s="11" customFormat="true" ht="10.95" hidden="false" customHeight="true" outlineLevel="0" collapsed="false">
      <c r="A6860" s="16" t="n">
        <v>45327</v>
      </c>
      <c r="B6860" s="17" t="s">
        <v>3369</v>
      </c>
      <c r="C6860" s="17" t="s">
        <v>3370</v>
      </c>
      <c r="D6860" s="17" t="s">
        <v>2895</v>
      </c>
      <c r="E6860" s="17" t="s">
        <v>2925</v>
      </c>
      <c r="F6860" s="17" t="s">
        <v>877</v>
      </c>
      <c r="G6860" s="18" t="n">
        <v>0</v>
      </c>
      <c r="H6860" s="18" t="n">
        <v>324.64</v>
      </c>
      <c r="I6860" s="18" t="n">
        <f aca="false">((I6859 + G6860) - H6860)</f>
        <v>103786.58</v>
      </c>
      <c r="J6860" s="18" t="n">
        <v>0</v>
      </c>
      <c r="K6860" s="19" t="n">
        <v>0</v>
      </c>
      <c r="L6860" s="17"/>
    </row>
    <row r="6861" s="11" customFormat="true" ht="10.95" hidden="false" customHeight="true" outlineLevel="0" collapsed="false">
      <c r="A6861" s="16" t="n">
        <v>45327</v>
      </c>
      <c r="B6861" s="17" t="s">
        <v>3369</v>
      </c>
      <c r="C6861" s="17" t="s">
        <v>3370</v>
      </c>
      <c r="D6861" s="17" t="s">
        <v>2895</v>
      </c>
      <c r="E6861" s="17" t="s">
        <v>2925</v>
      </c>
      <c r="F6861" s="17" t="s">
        <v>830</v>
      </c>
      <c r="G6861" s="18" t="n">
        <v>0</v>
      </c>
      <c r="H6861" s="18" t="n">
        <v>495.01</v>
      </c>
      <c r="I6861" s="18" t="n">
        <f aca="false">((I6860 + G6861) - H6861)</f>
        <v>103291.57</v>
      </c>
      <c r="J6861" s="18" t="n">
        <v>0</v>
      </c>
      <c r="K6861" s="19" t="n">
        <v>0</v>
      </c>
      <c r="L6861" s="17"/>
    </row>
    <row r="6862" s="11" customFormat="true" ht="10.95" hidden="false" customHeight="true" outlineLevel="0" collapsed="false">
      <c r="A6862" s="16" t="n">
        <v>45327</v>
      </c>
      <c r="B6862" s="17" t="s">
        <v>3369</v>
      </c>
      <c r="C6862" s="17" t="s">
        <v>3370</v>
      </c>
      <c r="D6862" s="17" t="s">
        <v>2895</v>
      </c>
      <c r="E6862" s="17" t="s">
        <v>2925</v>
      </c>
      <c r="F6862" s="17" t="s">
        <v>844</v>
      </c>
      <c r="G6862" s="18" t="n">
        <v>0</v>
      </c>
      <c r="H6862" s="18" t="n">
        <v>488.57</v>
      </c>
      <c r="I6862" s="18" t="n">
        <f aca="false">((I6861 + G6862) - H6862)</f>
        <v>102803</v>
      </c>
      <c r="J6862" s="18" t="n">
        <v>0</v>
      </c>
      <c r="K6862" s="19" t="n">
        <v>0</v>
      </c>
      <c r="L6862" s="17"/>
    </row>
    <row r="6863" s="11" customFormat="true" ht="10.95" hidden="false" customHeight="true" outlineLevel="0" collapsed="false">
      <c r="A6863" s="16" t="n">
        <v>45327</v>
      </c>
      <c r="B6863" s="17" t="s">
        <v>3369</v>
      </c>
      <c r="C6863" s="17" t="s">
        <v>3370</v>
      </c>
      <c r="D6863" s="17" t="s">
        <v>2895</v>
      </c>
      <c r="E6863" s="17" t="s">
        <v>2925</v>
      </c>
      <c r="F6863" s="17" t="s">
        <v>870</v>
      </c>
      <c r="G6863" s="18" t="n">
        <v>0</v>
      </c>
      <c r="H6863" s="18" t="n">
        <v>598.42</v>
      </c>
      <c r="I6863" s="18" t="n">
        <f aca="false">((I6862 + G6863) - H6863)</f>
        <v>102204.58</v>
      </c>
      <c r="J6863" s="18" t="n">
        <v>0</v>
      </c>
      <c r="K6863" s="19" t="n">
        <v>0</v>
      </c>
      <c r="L6863" s="17"/>
    </row>
    <row r="6864" s="11" customFormat="true" ht="10.95" hidden="false" customHeight="true" outlineLevel="0" collapsed="false">
      <c r="A6864" s="16" t="n">
        <v>45327</v>
      </c>
      <c r="B6864" s="17" t="s">
        <v>3369</v>
      </c>
      <c r="C6864" s="17" t="s">
        <v>3370</v>
      </c>
      <c r="D6864" s="17" t="s">
        <v>2895</v>
      </c>
      <c r="E6864" s="17" t="s">
        <v>2925</v>
      </c>
      <c r="F6864" s="17" t="s">
        <v>875</v>
      </c>
      <c r="G6864" s="18" t="n">
        <v>0</v>
      </c>
      <c r="H6864" s="18" t="n">
        <v>611.82</v>
      </c>
      <c r="I6864" s="18" t="n">
        <f aca="false">((I6863 + G6864) - H6864)</f>
        <v>101592.76</v>
      </c>
      <c r="J6864" s="18" t="n">
        <v>0</v>
      </c>
      <c r="K6864" s="19" t="n">
        <v>0</v>
      </c>
      <c r="L6864" s="17"/>
    </row>
    <row r="6865" s="11" customFormat="true" ht="10.95" hidden="false" customHeight="true" outlineLevel="0" collapsed="false">
      <c r="A6865" s="16" t="n">
        <v>45327</v>
      </c>
      <c r="B6865" s="17" t="s">
        <v>3369</v>
      </c>
      <c r="C6865" s="17" t="s">
        <v>3370</v>
      </c>
      <c r="D6865" s="17" t="s">
        <v>2895</v>
      </c>
      <c r="E6865" s="17" t="s">
        <v>3410</v>
      </c>
      <c r="F6865" s="17" t="s">
        <v>449</v>
      </c>
      <c r="G6865" s="18" t="n">
        <v>0</v>
      </c>
      <c r="H6865" s="18" t="n">
        <v>968</v>
      </c>
      <c r="I6865" s="18" t="n">
        <f aca="false">((I6864 + G6865) - H6865)</f>
        <v>100624.76</v>
      </c>
      <c r="J6865" s="18" t="n">
        <v>0</v>
      </c>
      <c r="K6865" s="19" t="n">
        <v>0</v>
      </c>
      <c r="L6865" s="17"/>
    </row>
    <row r="6866" s="11" customFormat="true" ht="10.95" hidden="false" customHeight="true" outlineLevel="0" collapsed="false">
      <c r="A6866" s="16" t="n">
        <v>45328</v>
      </c>
      <c r="B6866" s="17" t="s">
        <v>3369</v>
      </c>
      <c r="C6866" s="17" t="s">
        <v>3370</v>
      </c>
      <c r="D6866" s="17" t="s">
        <v>2895</v>
      </c>
      <c r="E6866" s="17" t="s">
        <v>3415</v>
      </c>
      <c r="F6866" s="17" t="s">
        <v>446</v>
      </c>
      <c r="G6866" s="18" t="n">
        <v>0</v>
      </c>
      <c r="H6866" s="18" t="n">
        <v>1052.7</v>
      </c>
      <c r="I6866" s="18" t="n">
        <f aca="false">((I6865 + G6866) - H6866)</f>
        <v>99572.06</v>
      </c>
      <c r="J6866" s="18" t="n">
        <v>0</v>
      </c>
      <c r="K6866" s="19" t="n">
        <v>0</v>
      </c>
      <c r="L6866" s="17"/>
    </row>
    <row r="6867" s="11" customFormat="true" ht="10.95" hidden="false" customHeight="true" outlineLevel="0" collapsed="false">
      <c r="A6867" s="16" t="n">
        <v>45329</v>
      </c>
      <c r="B6867" s="17" t="s">
        <v>3369</v>
      </c>
      <c r="C6867" s="17" t="s">
        <v>3370</v>
      </c>
      <c r="D6867" s="17" t="s">
        <v>2895</v>
      </c>
      <c r="E6867" s="17" t="s">
        <v>3373</v>
      </c>
      <c r="F6867" s="17" t="s">
        <v>388</v>
      </c>
      <c r="G6867" s="18" t="n">
        <v>0</v>
      </c>
      <c r="H6867" s="18" t="n">
        <v>1386</v>
      </c>
      <c r="I6867" s="18" t="n">
        <f aca="false">((I6866 + G6867) - H6867)</f>
        <v>98186.06</v>
      </c>
      <c r="J6867" s="18" t="n">
        <v>0</v>
      </c>
      <c r="K6867" s="19" t="n">
        <v>0</v>
      </c>
      <c r="L6867" s="17"/>
    </row>
    <row r="6868" s="11" customFormat="true" ht="10.95" hidden="false" customHeight="true" outlineLevel="0" collapsed="false">
      <c r="A6868" s="16" t="n">
        <v>45329</v>
      </c>
      <c r="B6868" s="17" t="s">
        <v>3369</v>
      </c>
      <c r="C6868" s="17" t="s">
        <v>3370</v>
      </c>
      <c r="D6868" s="17" t="s">
        <v>2895</v>
      </c>
      <c r="E6868" s="17" t="s">
        <v>2900</v>
      </c>
      <c r="F6868" s="17" t="s">
        <v>1195</v>
      </c>
      <c r="G6868" s="18" t="n">
        <v>0</v>
      </c>
      <c r="H6868" s="18" t="n">
        <v>1011.16</v>
      </c>
      <c r="I6868" s="18" t="n">
        <f aca="false">((I6867 + G6868) - H6868)</f>
        <v>97174.9</v>
      </c>
      <c r="J6868" s="18" t="n">
        <v>0</v>
      </c>
      <c r="K6868" s="19" t="n">
        <v>0</v>
      </c>
      <c r="L6868" s="17"/>
    </row>
    <row r="6869" s="11" customFormat="true" ht="10.95" hidden="false" customHeight="true" outlineLevel="0" collapsed="false">
      <c r="A6869" s="16" t="n">
        <v>45330</v>
      </c>
      <c r="B6869" s="17" t="s">
        <v>3369</v>
      </c>
      <c r="C6869" s="17" t="s">
        <v>3370</v>
      </c>
      <c r="D6869" s="17" t="s">
        <v>2895</v>
      </c>
      <c r="E6869" s="17" t="s">
        <v>3403</v>
      </c>
      <c r="F6869" s="17" t="s">
        <v>461</v>
      </c>
      <c r="G6869" s="18" t="n">
        <v>0</v>
      </c>
      <c r="H6869" s="18" t="n">
        <v>1967.9</v>
      </c>
      <c r="I6869" s="18" t="n">
        <f aca="false">((I6868 + G6869) - H6869)</f>
        <v>95207</v>
      </c>
      <c r="J6869" s="18" t="n">
        <v>0</v>
      </c>
      <c r="K6869" s="19" t="n">
        <v>0</v>
      </c>
      <c r="L6869" s="17"/>
    </row>
    <row r="6870" s="11" customFormat="true" ht="10.95" hidden="false" customHeight="true" outlineLevel="0" collapsed="false">
      <c r="A6870" s="16" t="n">
        <v>45330</v>
      </c>
      <c r="B6870" s="17" t="s">
        <v>3369</v>
      </c>
      <c r="C6870" s="17" t="s">
        <v>3370</v>
      </c>
      <c r="D6870" s="17" t="s">
        <v>2895</v>
      </c>
      <c r="E6870" s="17" t="s">
        <v>3403</v>
      </c>
      <c r="F6870" s="17" t="s">
        <v>466</v>
      </c>
      <c r="G6870" s="18" t="n">
        <v>0</v>
      </c>
      <c r="H6870" s="18" t="n">
        <v>1137.4</v>
      </c>
      <c r="I6870" s="18" t="n">
        <f aca="false">((I6869 + G6870) - H6870)</f>
        <v>94069.6</v>
      </c>
      <c r="J6870" s="18" t="n">
        <v>0</v>
      </c>
      <c r="K6870" s="19" t="n">
        <v>0</v>
      </c>
      <c r="L6870" s="17"/>
    </row>
    <row r="6871" s="11" customFormat="true" ht="10.95" hidden="false" customHeight="true" outlineLevel="0" collapsed="false">
      <c r="A6871" s="16" t="n">
        <v>45330</v>
      </c>
      <c r="B6871" s="17" t="s">
        <v>3369</v>
      </c>
      <c r="C6871" s="17" t="s">
        <v>3370</v>
      </c>
      <c r="D6871" s="17" t="s">
        <v>2895</v>
      </c>
      <c r="E6871" s="17" t="s">
        <v>3403</v>
      </c>
      <c r="F6871" s="17" t="s">
        <v>419</v>
      </c>
      <c r="G6871" s="18" t="n">
        <v>0</v>
      </c>
      <c r="H6871" s="18" t="n">
        <v>1137.4</v>
      </c>
      <c r="I6871" s="18" t="n">
        <f aca="false">((I6870 + G6871) - H6871)</f>
        <v>92932.2</v>
      </c>
      <c r="J6871" s="18" t="n">
        <v>0</v>
      </c>
      <c r="K6871" s="19" t="n">
        <v>0</v>
      </c>
      <c r="L6871" s="17"/>
    </row>
    <row r="6872" s="11" customFormat="true" ht="10.95" hidden="false" customHeight="true" outlineLevel="0" collapsed="false">
      <c r="A6872" s="16" t="n">
        <v>45330</v>
      </c>
      <c r="B6872" s="17" t="s">
        <v>3369</v>
      </c>
      <c r="C6872" s="17" t="s">
        <v>3370</v>
      </c>
      <c r="D6872" s="17" t="s">
        <v>2895</v>
      </c>
      <c r="E6872" s="17" t="s">
        <v>3403</v>
      </c>
      <c r="F6872" s="17" t="s">
        <v>459</v>
      </c>
      <c r="G6872" s="18" t="n">
        <v>0</v>
      </c>
      <c r="H6872" s="18" t="n">
        <v>316.8</v>
      </c>
      <c r="I6872" s="18" t="n">
        <f aca="false">((I6871 + G6872) - H6872)</f>
        <v>92615.4</v>
      </c>
      <c r="J6872" s="18" t="n">
        <v>0</v>
      </c>
      <c r="K6872" s="19" t="n">
        <v>0</v>
      </c>
      <c r="L6872" s="17"/>
    </row>
    <row r="6873" s="11" customFormat="true" ht="10.95" hidden="false" customHeight="true" outlineLevel="0" collapsed="false">
      <c r="A6873" s="16" t="n">
        <v>45330</v>
      </c>
      <c r="B6873" s="17" t="s">
        <v>3369</v>
      </c>
      <c r="C6873" s="17" t="s">
        <v>3370</v>
      </c>
      <c r="D6873" s="17" t="s">
        <v>2895</v>
      </c>
      <c r="E6873" s="17" t="s">
        <v>3403</v>
      </c>
      <c r="F6873" s="17" t="s">
        <v>456</v>
      </c>
      <c r="G6873" s="18" t="n">
        <v>0</v>
      </c>
      <c r="H6873" s="18" t="n">
        <v>206.8</v>
      </c>
      <c r="I6873" s="18" t="n">
        <f aca="false">((I6872 + G6873) - H6873)</f>
        <v>92408.6</v>
      </c>
      <c r="J6873" s="18" t="n">
        <v>0</v>
      </c>
      <c r="K6873" s="19" t="n">
        <v>0</v>
      </c>
      <c r="L6873" s="17"/>
    </row>
    <row r="6874" s="11" customFormat="true" ht="10.95" hidden="false" customHeight="true" outlineLevel="0" collapsed="false">
      <c r="A6874" s="16" t="n">
        <v>45330</v>
      </c>
      <c r="B6874" s="17" t="s">
        <v>3369</v>
      </c>
      <c r="C6874" s="17" t="s">
        <v>3370</v>
      </c>
      <c r="D6874" s="17" t="s">
        <v>2895</v>
      </c>
      <c r="E6874" s="17" t="s">
        <v>3403</v>
      </c>
      <c r="F6874" s="17" t="s">
        <v>453</v>
      </c>
      <c r="G6874" s="18" t="n">
        <v>0</v>
      </c>
      <c r="H6874" s="18" t="n">
        <v>827.2</v>
      </c>
      <c r="I6874" s="18" t="n">
        <f aca="false">((I6873 + G6874) - H6874)</f>
        <v>91581.4</v>
      </c>
      <c r="J6874" s="18" t="n">
        <v>0</v>
      </c>
      <c r="K6874" s="19" t="n">
        <v>0</v>
      </c>
      <c r="L6874" s="17"/>
    </row>
    <row r="6875" s="11" customFormat="true" ht="10.95" hidden="false" customHeight="true" outlineLevel="0" collapsed="false">
      <c r="A6875" s="16" t="n">
        <v>45330</v>
      </c>
      <c r="B6875" s="17" t="s">
        <v>3369</v>
      </c>
      <c r="C6875" s="17" t="s">
        <v>3370</v>
      </c>
      <c r="D6875" s="17" t="s">
        <v>2895</v>
      </c>
      <c r="E6875" s="17" t="s">
        <v>3403</v>
      </c>
      <c r="F6875" s="17" t="s">
        <v>370</v>
      </c>
      <c r="G6875" s="18" t="n">
        <v>0</v>
      </c>
      <c r="H6875" s="18" t="n">
        <v>620.4</v>
      </c>
      <c r="I6875" s="18" t="n">
        <f aca="false">((I6874 + G6875) - H6875)</f>
        <v>90961</v>
      </c>
      <c r="J6875" s="18" t="n">
        <v>0</v>
      </c>
      <c r="K6875" s="19" t="n">
        <v>0</v>
      </c>
      <c r="L6875" s="17"/>
    </row>
    <row r="6876" s="11" customFormat="true" ht="10.95" hidden="false" customHeight="true" outlineLevel="0" collapsed="false">
      <c r="A6876" s="16" t="n">
        <v>45330</v>
      </c>
      <c r="B6876" s="17" t="s">
        <v>3369</v>
      </c>
      <c r="C6876" s="17" t="s">
        <v>3370</v>
      </c>
      <c r="D6876" s="17" t="s">
        <v>2895</v>
      </c>
      <c r="E6876" s="17" t="s">
        <v>3403</v>
      </c>
      <c r="F6876" s="17" t="s">
        <v>367</v>
      </c>
      <c r="G6876" s="18" t="n">
        <v>0</v>
      </c>
      <c r="H6876" s="18" t="n">
        <v>620.4</v>
      </c>
      <c r="I6876" s="18" t="n">
        <f aca="false">((I6875 + G6876) - H6876)</f>
        <v>90340.6</v>
      </c>
      <c r="J6876" s="18" t="n">
        <v>0</v>
      </c>
      <c r="K6876" s="19" t="n">
        <v>0</v>
      </c>
      <c r="L6876" s="17"/>
    </row>
    <row r="6877" s="11" customFormat="true" ht="10.95" hidden="false" customHeight="true" outlineLevel="0" collapsed="false">
      <c r="A6877" s="16" t="n">
        <v>45330</v>
      </c>
      <c r="B6877" s="17" t="s">
        <v>3369</v>
      </c>
      <c r="C6877" s="17" t="s">
        <v>3370</v>
      </c>
      <c r="D6877" s="17" t="s">
        <v>2895</v>
      </c>
      <c r="E6877" s="17" t="s">
        <v>3403</v>
      </c>
      <c r="F6877" s="17" t="s">
        <v>418</v>
      </c>
      <c r="G6877" s="18" t="n">
        <v>0</v>
      </c>
      <c r="H6877" s="18" t="n">
        <v>620.4</v>
      </c>
      <c r="I6877" s="18" t="n">
        <f aca="false">((I6876 + G6877) - H6877)</f>
        <v>89720.2</v>
      </c>
      <c r="J6877" s="18" t="n">
        <v>0</v>
      </c>
      <c r="K6877" s="19" t="n">
        <v>0</v>
      </c>
      <c r="L6877" s="17"/>
    </row>
    <row r="6878" s="11" customFormat="true" ht="10.95" hidden="false" customHeight="true" outlineLevel="0" collapsed="false">
      <c r="A6878" s="16" t="n">
        <v>45330</v>
      </c>
      <c r="B6878" s="17" t="s">
        <v>3369</v>
      </c>
      <c r="C6878" s="17" t="s">
        <v>3370</v>
      </c>
      <c r="D6878" s="17" t="s">
        <v>2895</v>
      </c>
      <c r="E6878" s="17" t="s">
        <v>3403</v>
      </c>
      <c r="F6878" s="17" t="s">
        <v>467</v>
      </c>
      <c r="G6878" s="18" t="n">
        <v>0</v>
      </c>
      <c r="H6878" s="18" t="n">
        <v>103.4</v>
      </c>
      <c r="I6878" s="18" t="n">
        <f aca="false">((I6877 + G6878) - H6878)</f>
        <v>89616.8</v>
      </c>
      <c r="J6878" s="18" t="n">
        <v>0</v>
      </c>
      <c r="K6878" s="19" t="n">
        <v>0</v>
      </c>
      <c r="L6878" s="17"/>
    </row>
    <row r="6879" s="11" customFormat="true" ht="10.95" hidden="false" customHeight="true" outlineLevel="0" collapsed="false">
      <c r="A6879" s="16" t="n">
        <v>45330</v>
      </c>
      <c r="B6879" s="17" t="s">
        <v>3369</v>
      </c>
      <c r="C6879" s="17" t="s">
        <v>3370</v>
      </c>
      <c r="D6879" s="17" t="s">
        <v>2895</v>
      </c>
      <c r="E6879" s="17" t="s">
        <v>3403</v>
      </c>
      <c r="F6879" s="17" t="s">
        <v>465</v>
      </c>
      <c r="G6879" s="18" t="n">
        <v>0</v>
      </c>
      <c r="H6879" s="18" t="n">
        <v>620.4</v>
      </c>
      <c r="I6879" s="18" t="n">
        <f aca="false">((I6878 + G6879) - H6879)</f>
        <v>88996.4</v>
      </c>
      <c r="J6879" s="18" t="n">
        <v>0</v>
      </c>
      <c r="K6879" s="19" t="n">
        <v>0</v>
      </c>
      <c r="L6879" s="17"/>
    </row>
    <row r="6880" s="11" customFormat="true" ht="10.95" hidden="false" customHeight="true" outlineLevel="0" collapsed="false">
      <c r="A6880" s="16" t="n">
        <v>45330</v>
      </c>
      <c r="B6880" s="17" t="s">
        <v>3369</v>
      </c>
      <c r="C6880" s="17" t="s">
        <v>3370</v>
      </c>
      <c r="D6880" s="17" t="s">
        <v>2895</v>
      </c>
      <c r="E6880" s="17" t="s">
        <v>3403</v>
      </c>
      <c r="F6880" s="17" t="s">
        <v>463</v>
      </c>
      <c r="G6880" s="18" t="n">
        <v>0</v>
      </c>
      <c r="H6880" s="18" t="n">
        <v>310.2</v>
      </c>
      <c r="I6880" s="18" t="n">
        <f aca="false">((I6879 + G6880) - H6880)</f>
        <v>88686.2</v>
      </c>
      <c r="J6880" s="18" t="n">
        <v>0</v>
      </c>
      <c r="K6880" s="19" t="n">
        <v>0</v>
      </c>
      <c r="L6880" s="17"/>
    </row>
    <row r="6881" s="11" customFormat="true" ht="10.95" hidden="false" customHeight="true" outlineLevel="0" collapsed="false">
      <c r="A6881" s="16" t="n">
        <v>45330</v>
      </c>
      <c r="B6881" s="17" t="s">
        <v>3369</v>
      </c>
      <c r="C6881" s="17" t="s">
        <v>3370</v>
      </c>
      <c r="D6881" s="17" t="s">
        <v>2895</v>
      </c>
      <c r="E6881" s="17" t="s">
        <v>3403</v>
      </c>
      <c r="F6881" s="17" t="s">
        <v>462</v>
      </c>
      <c r="G6881" s="18" t="n">
        <v>0</v>
      </c>
      <c r="H6881" s="18" t="n">
        <v>1258.4</v>
      </c>
      <c r="I6881" s="18" t="n">
        <f aca="false">((I6880 + G6881) - H6881)</f>
        <v>87427.8</v>
      </c>
      <c r="J6881" s="18" t="n">
        <v>0</v>
      </c>
      <c r="K6881" s="19" t="n">
        <v>0</v>
      </c>
      <c r="L6881" s="17"/>
    </row>
    <row r="6882" s="11" customFormat="true" ht="10.95" hidden="false" customHeight="true" outlineLevel="0" collapsed="false">
      <c r="A6882" s="16" t="n">
        <v>45330</v>
      </c>
      <c r="B6882" s="17" t="s">
        <v>3369</v>
      </c>
      <c r="C6882" s="17" t="s">
        <v>3370</v>
      </c>
      <c r="D6882" s="17" t="s">
        <v>2895</v>
      </c>
      <c r="E6882" s="17" t="s">
        <v>3403</v>
      </c>
      <c r="F6882" s="17" t="s">
        <v>458</v>
      </c>
      <c r="G6882" s="18" t="n">
        <v>0</v>
      </c>
      <c r="H6882" s="18" t="n">
        <v>517</v>
      </c>
      <c r="I6882" s="18" t="n">
        <f aca="false">((I6881 + G6882) - H6882)</f>
        <v>86910.8</v>
      </c>
      <c r="J6882" s="18" t="n">
        <v>0</v>
      </c>
      <c r="K6882" s="19" t="n">
        <v>0</v>
      </c>
      <c r="L6882" s="17"/>
    </row>
    <row r="6883" s="11" customFormat="true" ht="10.95" hidden="false" customHeight="true" outlineLevel="0" collapsed="false">
      <c r="A6883" s="16" t="n">
        <v>45330</v>
      </c>
      <c r="B6883" s="17" t="s">
        <v>3369</v>
      </c>
      <c r="C6883" s="17" t="s">
        <v>3370</v>
      </c>
      <c r="D6883" s="17" t="s">
        <v>2895</v>
      </c>
      <c r="E6883" s="17" t="s">
        <v>3403</v>
      </c>
      <c r="F6883" s="17" t="s">
        <v>413</v>
      </c>
      <c r="G6883" s="18" t="n">
        <v>0</v>
      </c>
      <c r="H6883" s="18" t="n">
        <v>627</v>
      </c>
      <c r="I6883" s="18" t="n">
        <f aca="false">((I6882 + G6883) - H6883)</f>
        <v>86283.8</v>
      </c>
      <c r="J6883" s="18" t="n">
        <v>0</v>
      </c>
      <c r="K6883" s="19" t="n">
        <v>0</v>
      </c>
      <c r="L6883" s="17"/>
    </row>
    <row r="6884" s="11" customFormat="true" ht="10.95" hidden="false" customHeight="true" outlineLevel="0" collapsed="false">
      <c r="A6884" s="16" t="n">
        <v>45330</v>
      </c>
      <c r="B6884" s="17" t="s">
        <v>3369</v>
      </c>
      <c r="C6884" s="17" t="s">
        <v>3370</v>
      </c>
      <c r="D6884" s="17" t="s">
        <v>2895</v>
      </c>
      <c r="E6884" s="17" t="s">
        <v>3403</v>
      </c>
      <c r="F6884" s="17" t="s">
        <v>464</v>
      </c>
      <c r="G6884" s="18" t="n">
        <v>0</v>
      </c>
      <c r="H6884" s="18" t="n">
        <v>310.2</v>
      </c>
      <c r="I6884" s="18" t="n">
        <f aca="false">((I6883 + G6884) - H6884)</f>
        <v>85973.6</v>
      </c>
      <c r="J6884" s="18" t="n">
        <v>0</v>
      </c>
      <c r="K6884" s="19" t="n">
        <v>0</v>
      </c>
      <c r="L6884" s="17"/>
    </row>
    <row r="6885" s="11" customFormat="true" ht="10.95" hidden="false" customHeight="true" outlineLevel="0" collapsed="false">
      <c r="A6885" s="16" t="n">
        <v>45330</v>
      </c>
      <c r="B6885" s="17" t="s">
        <v>3369</v>
      </c>
      <c r="C6885" s="17" t="s">
        <v>3370</v>
      </c>
      <c r="D6885" s="17" t="s">
        <v>2895</v>
      </c>
      <c r="E6885" s="17" t="s">
        <v>3403</v>
      </c>
      <c r="F6885" s="17" t="s">
        <v>460</v>
      </c>
      <c r="G6885" s="18" t="n">
        <v>0</v>
      </c>
      <c r="H6885" s="18" t="n">
        <v>627</v>
      </c>
      <c r="I6885" s="18" t="n">
        <f aca="false">((I6884 + G6885) - H6885)</f>
        <v>85346.6</v>
      </c>
      <c r="J6885" s="18" t="n">
        <v>0</v>
      </c>
      <c r="K6885" s="19" t="n">
        <v>0</v>
      </c>
      <c r="L6885" s="17"/>
    </row>
    <row r="6886" s="11" customFormat="true" ht="10.95" hidden="false" customHeight="true" outlineLevel="0" collapsed="false">
      <c r="A6886" s="16" t="n">
        <v>45331</v>
      </c>
      <c r="B6886" s="17" t="s">
        <v>3369</v>
      </c>
      <c r="C6886" s="17" t="s">
        <v>3370</v>
      </c>
      <c r="D6886" s="17" t="s">
        <v>2895</v>
      </c>
      <c r="E6886" s="17" t="s">
        <v>3457</v>
      </c>
      <c r="F6886" s="17" t="s">
        <v>401</v>
      </c>
      <c r="G6886" s="18" t="n">
        <v>0</v>
      </c>
      <c r="H6886" s="18" t="n">
        <v>9999</v>
      </c>
      <c r="I6886" s="18" t="n">
        <f aca="false">((I6885 + G6886) - H6886)</f>
        <v>75347.6</v>
      </c>
      <c r="J6886" s="18" t="n">
        <v>0</v>
      </c>
      <c r="K6886" s="19" t="n">
        <v>0</v>
      </c>
      <c r="L6886" s="17"/>
    </row>
    <row r="6887" s="11" customFormat="true" ht="10.95" hidden="false" customHeight="true" outlineLevel="0" collapsed="false">
      <c r="A6887" s="16" t="n">
        <v>45331</v>
      </c>
      <c r="B6887" s="17" t="s">
        <v>3369</v>
      </c>
      <c r="C6887" s="17" t="s">
        <v>3370</v>
      </c>
      <c r="D6887" s="17" t="s">
        <v>2895</v>
      </c>
      <c r="E6887" s="17" t="s">
        <v>3482</v>
      </c>
      <c r="F6887" s="17" t="s">
        <v>451</v>
      </c>
      <c r="G6887" s="18" t="n">
        <v>0</v>
      </c>
      <c r="H6887" s="18" t="n">
        <v>1861.2</v>
      </c>
      <c r="I6887" s="18" t="n">
        <f aca="false">((I6886 + G6887) - H6887)</f>
        <v>73486.4</v>
      </c>
      <c r="J6887" s="18" t="n">
        <v>0</v>
      </c>
      <c r="K6887" s="19" t="n">
        <v>0</v>
      </c>
      <c r="L6887" s="17"/>
    </row>
    <row r="6888" s="11" customFormat="true" ht="10.95" hidden="false" customHeight="true" outlineLevel="0" collapsed="false">
      <c r="A6888" s="16" t="n">
        <v>45334</v>
      </c>
      <c r="B6888" s="17" t="s">
        <v>3369</v>
      </c>
      <c r="C6888" s="17" t="s">
        <v>3370</v>
      </c>
      <c r="D6888" s="17" t="s">
        <v>2895</v>
      </c>
      <c r="E6888" s="17" t="s">
        <v>3057</v>
      </c>
      <c r="F6888" s="17" t="s">
        <v>1001</v>
      </c>
      <c r="G6888" s="18" t="n">
        <v>0</v>
      </c>
      <c r="H6888" s="18" t="n">
        <v>1092.88</v>
      </c>
      <c r="I6888" s="18" t="n">
        <f aca="false">((I6887 + G6888) - H6888)</f>
        <v>72393.52</v>
      </c>
      <c r="J6888" s="18" t="n">
        <v>0</v>
      </c>
      <c r="K6888" s="19" t="n">
        <v>0</v>
      </c>
      <c r="L6888" s="17"/>
    </row>
    <row r="6889" s="11" customFormat="true" ht="10.95" hidden="false" customHeight="true" outlineLevel="0" collapsed="false">
      <c r="A6889" s="16" t="n">
        <v>45335</v>
      </c>
      <c r="B6889" s="17" t="s">
        <v>3369</v>
      </c>
      <c r="C6889" s="17" t="s">
        <v>3370</v>
      </c>
      <c r="D6889" s="17" t="s">
        <v>2895</v>
      </c>
      <c r="E6889" s="17" t="s">
        <v>2906</v>
      </c>
      <c r="F6889" s="17" t="s">
        <v>1187</v>
      </c>
      <c r="G6889" s="18" t="n">
        <v>0</v>
      </c>
      <c r="H6889" s="18" t="n">
        <v>3121.14</v>
      </c>
      <c r="I6889" s="18" t="n">
        <f aca="false">((I6888 + G6889) - H6889)</f>
        <v>69272.38</v>
      </c>
      <c r="J6889" s="18" t="n">
        <v>0</v>
      </c>
      <c r="K6889" s="19" t="n">
        <v>0</v>
      </c>
      <c r="L6889" s="17"/>
    </row>
    <row r="6890" s="11" customFormat="true" ht="10.95" hidden="false" customHeight="true" outlineLevel="0" collapsed="false">
      <c r="A6890" s="16" t="n">
        <v>45338</v>
      </c>
      <c r="B6890" s="17" t="s">
        <v>3369</v>
      </c>
      <c r="C6890" s="17" t="s">
        <v>3370</v>
      </c>
      <c r="D6890" s="17" t="s">
        <v>2895</v>
      </c>
      <c r="E6890" s="17" t="s">
        <v>2900</v>
      </c>
      <c r="F6890" s="17" t="s">
        <v>1182</v>
      </c>
      <c r="G6890" s="18" t="n">
        <v>0</v>
      </c>
      <c r="H6890" s="18" t="n">
        <v>1009.38</v>
      </c>
      <c r="I6890" s="18" t="n">
        <f aca="false">((I6889 + G6890) - H6890)</f>
        <v>68263</v>
      </c>
      <c r="J6890" s="18" t="n">
        <v>0</v>
      </c>
      <c r="K6890" s="19" t="n">
        <v>0</v>
      </c>
      <c r="L6890" s="17"/>
    </row>
    <row r="6891" s="11" customFormat="true" ht="10.95" hidden="false" customHeight="true" outlineLevel="0" collapsed="false">
      <c r="A6891" s="16" t="n">
        <v>45338</v>
      </c>
      <c r="B6891" s="17" t="s">
        <v>3369</v>
      </c>
      <c r="C6891" s="17" t="s">
        <v>3370</v>
      </c>
      <c r="D6891" s="17" t="s">
        <v>2895</v>
      </c>
      <c r="E6891" s="17" t="s">
        <v>2900</v>
      </c>
      <c r="F6891" s="17" t="s">
        <v>1184</v>
      </c>
      <c r="G6891" s="18" t="n">
        <v>0</v>
      </c>
      <c r="H6891" s="18" t="n">
        <v>133.53</v>
      </c>
      <c r="I6891" s="18" t="n">
        <f aca="false">((I6890 + G6891) - H6891)</f>
        <v>68129.47</v>
      </c>
      <c r="J6891" s="18" t="n">
        <v>0</v>
      </c>
      <c r="K6891" s="19" t="n">
        <v>0</v>
      </c>
      <c r="L6891" s="17"/>
    </row>
    <row r="6892" s="11" customFormat="true" ht="10.95" hidden="false" customHeight="true" outlineLevel="0" collapsed="false">
      <c r="A6892" s="16" t="n">
        <v>45338</v>
      </c>
      <c r="B6892" s="17" t="s">
        <v>3369</v>
      </c>
      <c r="C6892" s="17" t="s">
        <v>3370</v>
      </c>
      <c r="D6892" s="17" t="s">
        <v>2895</v>
      </c>
      <c r="E6892" s="17" t="s">
        <v>2900</v>
      </c>
      <c r="F6892" s="17" t="s">
        <v>1185</v>
      </c>
      <c r="G6892" s="18" t="n">
        <v>0</v>
      </c>
      <c r="H6892" s="18" t="n">
        <v>1018.66</v>
      </c>
      <c r="I6892" s="18" t="n">
        <f aca="false">((I6891 + G6892) - H6892)</f>
        <v>67110.81</v>
      </c>
      <c r="J6892" s="18" t="n">
        <v>0</v>
      </c>
      <c r="K6892" s="19" t="n">
        <v>0</v>
      </c>
      <c r="L6892" s="17"/>
    </row>
    <row r="6893" s="11" customFormat="true" ht="10.95" hidden="false" customHeight="true" outlineLevel="0" collapsed="false">
      <c r="A6893" s="16" t="n">
        <v>45338</v>
      </c>
      <c r="B6893" s="17" t="s">
        <v>3369</v>
      </c>
      <c r="C6893" s="17" t="s">
        <v>3370</v>
      </c>
      <c r="D6893" s="17" t="s">
        <v>2895</v>
      </c>
      <c r="E6893" s="17" t="s">
        <v>2900</v>
      </c>
      <c r="F6893" s="17" t="s">
        <v>1183</v>
      </c>
      <c r="G6893" s="18" t="n">
        <v>0</v>
      </c>
      <c r="H6893" s="18" t="n">
        <v>1917.69</v>
      </c>
      <c r="I6893" s="18" t="n">
        <f aca="false">((I6892 + G6893) - H6893)</f>
        <v>65193.12</v>
      </c>
      <c r="J6893" s="18" t="n">
        <v>0</v>
      </c>
      <c r="K6893" s="19" t="n">
        <v>0</v>
      </c>
      <c r="L6893" s="17"/>
    </row>
    <row r="6894" s="11" customFormat="true" ht="10.95" hidden="false" customHeight="true" outlineLevel="0" collapsed="false">
      <c r="A6894" s="16" t="n">
        <v>45338</v>
      </c>
      <c r="B6894" s="17" t="s">
        <v>3369</v>
      </c>
      <c r="C6894" s="17" t="s">
        <v>3370</v>
      </c>
      <c r="D6894" s="17" t="s">
        <v>2895</v>
      </c>
      <c r="E6894" s="17" t="s">
        <v>2900</v>
      </c>
      <c r="F6894" s="17" t="s">
        <v>1179</v>
      </c>
      <c r="G6894" s="18" t="n">
        <v>0</v>
      </c>
      <c r="H6894" s="18" t="n">
        <v>267.07</v>
      </c>
      <c r="I6894" s="18" t="n">
        <f aca="false">((I6893 + G6894) - H6894)</f>
        <v>64926.05</v>
      </c>
      <c r="J6894" s="18" t="n">
        <v>0</v>
      </c>
      <c r="K6894" s="19" t="n">
        <v>0</v>
      </c>
      <c r="L6894" s="17"/>
    </row>
    <row r="6895" s="11" customFormat="true" ht="10.95" hidden="false" customHeight="true" outlineLevel="0" collapsed="false">
      <c r="A6895" s="16" t="n">
        <v>45338</v>
      </c>
      <c r="B6895" s="17" t="s">
        <v>3369</v>
      </c>
      <c r="C6895" s="17" t="s">
        <v>3370</v>
      </c>
      <c r="D6895" s="17" t="s">
        <v>2895</v>
      </c>
      <c r="E6895" s="17" t="s">
        <v>2900</v>
      </c>
      <c r="F6895" s="17" t="s">
        <v>1191</v>
      </c>
      <c r="G6895" s="18" t="n">
        <v>0</v>
      </c>
      <c r="H6895" s="18" t="n">
        <v>267.54</v>
      </c>
      <c r="I6895" s="18" t="n">
        <f aca="false">((I6894 + G6895) - H6895)</f>
        <v>64658.51</v>
      </c>
      <c r="J6895" s="18" t="n">
        <v>0</v>
      </c>
      <c r="K6895" s="19" t="n">
        <v>0</v>
      </c>
      <c r="L6895" s="17"/>
    </row>
    <row r="6896" s="11" customFormat="true" ht="10.95" hidden="false" customHeight="true" outlineLevel="0" collapsed="false">
      <c r="A6896" s="16" t="n">
        <v>45338</v>
      </c>
      <c r="B6896" s="17" t="s">
        <v>3369</v>
      </c>
      <c r="C6896" s="17" t="s">
        <v>3370</v>
      </c>
      <c r="D6896" s="17" t="s">
        <v>2895</v>
      </c>
      <c r="E6896" s="17" t="s">
        <v>2900</v>
      </c>
      <c r="F6896" s="17" t="s">
        <v>1161</v>
      </c>
      <c r="G6896" s="18" t="n">
        <v>0</v>
      </c>
      <c r="H6896" s="18" t="n">
        <v>1742.26</v>
      </c>
      <c r="I6896" s="18" t="n">
        <f aca="false">((I6895 + G6896) - H6896)</f>
        <v>62916.25</v>
      </c>
      <c r="J6896" s="18" t="n">
        <v>0</v>
      </c>
      <c r="K6896" s="19" t="n">
        <v>0</v>
      </c>
      <c r="L6896" s="17"/>
    </row>
    <row r="6897" s="11" customFormat="true" ht="10.95" hidden="false" customHeight="true" outlineLevel="0" collapsed="false">
      <c r="A6897" s="16" t="n">
        <v>45338</v>
      </c>
      <c r="B6897" s="17" t="s">
        <v>3369</v>
      </c>
      <c r="C6897" s="17" t="s">
        <v>3370</v>
      </c>
      <c r="D6897" s="17" t="s">
        <v>2895</v>
      </c>
      <c r="E6897" s="17" t="s">
        <v>2900</v>
      </c>
      <c r="F6897" s="17" t="s">
        <v>1181</v>
      </c>
      <c r="G6897" s="18" t="n">
        <v>0</v>
      </c>
      <c r="H6897" s="18" t="n">
        <v>1755.41</v>
      </c>
      <c r="I6897" s="18" t="n">
        <f aca="false">((I6896 + G6897) - H6897)</f>
        <v>61160.84</v>
      </c>
      <c r="J6897" s="18" t="n">
        <v>0</v>
      </c>
      <c r="K6897" s="19" t="n">
        <v>0</v>
      </c>
      <c r="L6897" s="17"/>
    </row>
    <row r="6898" s="11" customFormat="true" ht="10.95" hidden="false" customHeight="true" outlineLevel="0" collapsed="false">
      <c r="A6898" s="16" t="n">
        <v>45338</v>
      </c>
      <c r="B6898" s="17" t="s">
        <v>3369</v>
      </c>
      <c r="C6898" s="17" t="s">
        <v>3370</v>
      </c>
      <c r="D6898" s="17" t="s">
        <v>2895</v>
      </c>
      <c r="E6898" s="17" t="s">
        <v>2900</v>
      </c>
      <c r="F6898" s="17" t="s">
        <v>1180</v>
      </c>
      <c r="G6898" s="18" t="n">
        <v>0</v>
      </c>
      <c r="H6898" s="18" t="n">
        <v>807.23</v>
      </c>
      <c r="I6898" s="18" t="n">
        <f aca="false">((I6897 + G6898) - H6898)</f>
        <v>60353.61</v>
      </c>
      <c r="J6898" s="18" t="n">
        <v>0</v>
      </c>
      <c r="K6898" s="19" t="n">
        <v>0</v>
      </c>
      <c r="L6898" s="17"/>
    </row>
    <row r="6899" s="11" customFormat="true" ht="10.95" hidden="false" customHeight="true" outlineLevel="0" collapsed="false">
      <c r="A6899" s="16" t="n">
        <v>45338</v>
      </c>
      <c r="B6899" s="17" t="s">
        <v>3369</v>
      </c>
      <c r="C6899" s="17" t="s">
        <v>3370</v>
      </c>
      <c r="D6899" s="17" t="s">
        <v>2895</v>
      </c>
      <c r="E6899" s="17" t="s">
        <v>2900</v>
      </c>
      <c r="F6899" s="17" t="s">
        <v>1192</v>
      </c>
      <c r="G6899" s="18" t="n">
        <v>0</v>
      </c>
      <c r="H6899" s="18" t="n">
        <v>808.65</v>
      </c>
      <c r="I6899" s="18" t="n">
        <f aca="false">((I6898 + G6899) - H6899)</f>
        <v>59544.96</v>
      </c>
      <c r="J6899" s="18" t="n">
        <v>0</v>
      </c>
      <c r="K6899" s="19" t="n">
        <v>0</v>
      </c>
      <c r="L6899" s="17"/>
    </row>
    <row r="6900" s="11" customFormat="true" ht="10.95" hidden="false" customHeight="true" outlineLevel="0" collapsed="false">
      <c r="A6900" s="16" t="n">
        <v>45342</v>
      </c>
      <c r="B6900" s="17" t="s">
        <v>3369</v>
      </c>
      <c r="C6900" s="17" t="s">
        <v>3370</v>
      </c>
      <c r="D6900" s="17" t="s">
        <v>2895</v>
      </c>
      <c r="E6900" s="17" t="s">
        <v>2934</v>
      </c>
      <c r="F6900" s="17" t="s">
        <v>987</v>
      </c>
      <c r="G6900" s="18" t="n">
        <v>0</v>
      </c>
      <c r="H6900" s="18" t="n">
        <v>891.89</v>
      </c>
      <c r="I6900" s="18" t="n">
        <f aca="false">((I6899 + G6900) - H6900)</f>
        <v>58653.07</v>
      </c>
      <c r="J6900" s="18" t="n">
        <v>0</v>
      </c>
      <c r="K6900" s="19" t="n">
        <v>0</v>
      </c>
      <c r="L6900" s="17"/>
    </row>
    <row r="6901" s="11" customFormat="true" ht="10.95" hidden="false" customHeight="true" outlineLevel="0" collapsed="false">
      <c r="A6901" s="16" t="n">
        <v>45342</v>
      </c>
      <c r="B6901" s="17" t="s">
        <v>3369</v>
      </c>
      <c r="C6901" s="17" t="s">
        <v>3370</v>
      </c>
      <c r="D6901" s="17" t="s">
        <v>2895</v>
      </c>
      <c r="E6901" s="17" t="s">
        <v>2934</v>
      </c>
      <c r="F6901" s="17" t="s">
        <v>993</v>
      </c>
      <c r="G6901" s="18" t="n">
        <v>0</v>
      </c>
      <c r="H6901" s="18" t="n">
        <v>909.92</v>
      </c>
      <c r="I6901" s="18" t="n">
        <f aca="false">((I6900 + G6901) - H6901)</f>
        <v>57743.15</v>
      </c>
      <c r="J6901" s="18" t="n">
        <v>0</v>
      </c>
      <c r="K6901" s="19" t="n">
        <v>0</v>
      </c>
      <c r="L6901" s="17"/>
    </row>
    <row r="6902" s="11" customFormat="true" ht="10.95" hidden="false" customHeight="true" outlineLevel="0" collapsed="false">
      <c r="A6902" s="16" t="n">
        <v>45343</v>
      </c>
      <c r="B6902" s="17" t="s">
        <v>3369</v>
      </c>
      <c r="C6902" s="17" t="s">
        <v>3370</v>
      </c>
      <c r="D6902" s="17" t="s">
        <v>162</v>
      </c>
      <c r="E6902" s="17" t="s">
        <v>3502</v>
      </c>
      <c r="F6902" s="17" t="s">
        <v>473</v>
      </c>
      <c r="G6902" s="18" t="n">
        <v>0</v>
      </c>
      <c r="H6902" s="18" t="n">
        <v>1089</v>
      </c>
      <c r="I6902" s="18" t="n">
        <f aca="false">((I6901 + G6902) - H6902)</f>
        <v>56654.15</v>
      </c>
      <c r="J6902" s="18" t="n">
        <v>0</v>
      </c>
      <c r="K6902" s="19" t="n">
        <v>0</v>
      </c>
      <c r="L6902" s="17"/>
    </row>
    <row r="6903" s="11" customFormat="true" ht="10.95" hidden="false" customHeight="true" outlineLevel="0" collapsed="false">
      <c r="A6903" s="16" t="n">
        <v>45343</v>
      </c>
      <c r="B6903" s="17" t="s">
        <v>3369</v>
      </c>
      <c r="C6903" s="17" t="s">
        <v>3370</v>
      </c>
      <c r="D6903" s="17" t="s">
        <v>19</v>
      </c>
      <c r="E6903" s="17" t="s">
        <v>3381</v>
      </c>
      <c r="F6903" s="17" t="s">
        <v>1002</v>
      </c>
      <c r="G6903" s="18" t="n">
        <v>905.6</v>
      </c>
      <c r="H6903" s="18" t="n">
        <v>0</v>
      </c>
      <c r="I6903" s="18" t="n">
        <f aca="false">((I6902 + G6903) - H6903)</f>
        <v>57559.75</v>
      </c>
      <c r="J6903" s="18" t="n">
        <v>0</v>
      </c>
      <c r="K6903" s="19" t="n">
        <v>0</v>
      </c>
      <c r="L6903" s="17"/>
    </row>
    <row r="6904" s="11" customFormat="true" ht="10.95" hidden="false" customHeight="true" outlineLevel="0" collapsed="false">
      <c r="A6904" s="16" t="n">
        <v>45343</v>
      </c>
      <c r="B6904" s="17" t="s">
        <v>3369</v>
      </c>
      <c r="C6904" s="17" t="s">
        <v>3370</v>
      </c>
      <c r="D6904" s="17" t="s">
        <v>19</v>
      </c>
      <c r="E6904" s="17" t="s">
        <v>3414</v>
      </c>
      <c r="F6904" s="17" t="s">
        <v>475</v>
      </c>
      <c r="G6904" s="18" t="n">
        <v>1856.89</v>
      </c>
      <c r="H6904" s="18" t="n">
        <v>0</v>
      </c>
      <c r="I6904" s="18" t="n">
        <f aca="false">((I6903 + G6904) - H6904)</f>
        <v>59416.64</v>
      </c>
      <c r="J6904" s="18" t="n">
        <v>0</v>
      </c>
      <c r="K6904" s="19" t="n">
        <v>0</v>
      </c>
      <c r="L6904" s="17"/>
    </row>
    <row r="6905" s="11" customFormat="true" ht="10.95" hidden="false" customHeight="true" outlineLevel="0" collapsed="false">
      <c r="A6905" s="16" t="n">
        <v>45343</v>
      </c>
      <c r="B6905" s="17" t="s">
        <v>3369</v>
      </c>
      <c r="C6905" s="17" t="s">
        <v>3370</v>
      </c>
      <c r="D6905" s="17" t="s">
        <v>19</v>
      </c>
      <c r="E6905" s="17" t="s">
        <v>3501</v>
      </c>
      <c r="F6905" s="17" t="s">
        <v>476</v>
      </c>
      <c r="G6905" s="18" t="n">
        <v>157.3</v>
      </c>
      <c r="H6905" s="18" t="n">
        <v>0</v>
      </c>
      <c r="I6905" s="18" t="n">
        <f aca="false">((I6904 + G6905) - H6905)</f>
        <v>59573.94</v>
      </c>
      <c r="J6905" s="18" t="n">
        <v>0</v>
      </c>
      <c r="K6905" s="19" t="n">
        <v>0</v>
      </c>
      <c r="L6905" s="17"/>
    </row>
    <row r="6906" s="11" customFormat="true" ht="10.95" hidden="false" customHeight="true" outlineLevel="0" collapsed="false">
      <c r="A6906" s="16" t="n">
        <v>45343</v>
      </c>
      <c r="B6906" s="17" t="s">
        <v>3369</v>
      </c>
      <c r="C6906" s="17" t="s">
        <v>3370</v>
      </c>
      <c r="D6906" s="17" t="s">
        <v>19</v>
      </c>
      <c r="E6906" s="17" t="s">
        <v>3489</v>
      </c>
      <c r="F6906" s="17" t="s">
        <v>1003</v>
      </c>
      <c r="G6906" s="18" t="n">
        <v>1820.77</v>
      </c>
      <c r="H6906" s="18" t="n">
        <v>0</v>
      </c>
      <c r="I6906" s="18" t="n">
        <f aca="false">((I6905 + G6906) - H6906)</f>
        <v>61394.71</v>
      </c>
      <c r="J6906" s="18" t="n">
        <v>0</v>
      </c>
      <c r="K6906" s="19" t="n">
        <v>0</v>
      </c>
      <c r="L6906" s="17"/>
    </row>
    <row r="6907" s="11" customFormat="true" ht="10.95" hidden="false" customHeight="true" outlineLevel="0" collapsed="false">
      <c r="A6907" s="16" t="n">
        <v>45343</v>
      </c>
      <c r="B6907" s="17" t="s">
        <v>3369</v>
      </c>
      <c r="C6907" s="17" t="s">
        <v>3370</v>
      </c>
      <c r="D6907" s="17" t="s">
        <v>19</v>
      </c>
      <c r="E6907" s="17" t="s">
        <v>3490</v>
      </c>
      <c r="F6907" s="17" t="s">
        <v>477</v>
      </c>
      <c r="G6907" s="18" t="n">
        <v>1034.55</v>
      </c>
      <c r="H6907" s="18" t="n">
        <v>0</v>
      </c>
      <c r="I6907" s="18" t="n">
        <f aca="false">((I6906 + G6907) - H6907)</f>
        <v>62429.26</v>
      </c>
      <c r="J6907" s="18" t="n">
        <v>0</v>
      </c>
      <c r="K6907" s="19" t="n">
        <v>0</v>
      </c>
      <c r="L6907" s="17"/>
    </row>
    <row r="6908" s="11" customFormat="true" ht="10.95" hidden="false" customHeight="true" outlineLevel="0" collapsed="false">
      <c r="A6908" s="16" t="n">
        <v>45343</v>
      </c>
      <c r="B6908" s="17" t="s">
        <v>3369</v>
      </c>
      <c r="C6908" s="17" t="s">
        <v>3370</v>
      </c>
      <c r="D6908" s="17" t="s">
        <v>19</v>
      </c>
      <c r="E6908" s="17" t="s">
        <v>3422</v>
      </c>
      <c r="F6908" s="17" t="s">
        <v>1004</v>
      </c>
      <c r="G6908" s="18" t="n">
        <v>10208.05</v>
      </c>
      <c r="H6908" s="18" t="n">
        <v>0</v>
      </c>
      <c r="I6908" s="18" t="n">
        <f aca="false">((I6907 + G6908) - H6908)</f>
        <v>72637.31</v>
      </c>
      <c r="J6908" s="18" t="n">
        <v>0</v>
      </c>
      <c r="K6908" s="19" t="n">
        <v>0</v>
      </c>
      <c r="L6908" s="17"/>
    </row>
    <row r="6909" s="11" customFormat="true" ht="10.95" hidden="false" customHeight="true" outlineLevel="0" collapsed="false">
      <c r="A6909" s="16" t="n">
        <v>45343</v>
      </c>
      <c r="B6909" s="17" t="s">
        <v>3369</v>
      </c>
      <c r="C6909" s="17" t="s">
        <v>3370</v>
      </c>
      <c r="D6909" s="17" t="s">
        <v>19</v>
      </c>
      <c r="E6909" s="17" t="s">
        <v>3423</v>
      </c>
      <c r="F6909" s="17" t="s">
        <v>882</v>
      </c>
      <c r="G6909" s="18" t="n">
        <v>90.73</v>
      </c>
      <c r="H6909" s="18" t="n">
        <v>0</v>
      </c>
      <c r="I6909" s="18" t="n">
        <f aca="false">((I6908 + G6909) - H6909)</f>
        <v>72728.04</v>
      </c>
      <c r="J6909" s="18" t="n">
        <v>0</v>
      </c>
      <c r="K6909" s="19" t="n">
        <v>0</v>
      </c>
      <c r="L6909" s="17"/>
    </row>
    <row r="6910" s="11" customFormat="true" ht="10.95" hidden="false" customHeight="true" outlineLevel="0" collapsed="false">
      <c r="A6910" s="16" t="n">
        <v>45343</v>
      </c>
      <c r="B6910" s="17" t="s">
        <v>3369</v>
      </c>
      <c r="C6910" s="17" t="s">
        <v>3370</v>
      </c>
      <c r="D6910" s="17" t="s">
        <v>19</v>
      </c>
      <c r="E6910" s="17" t="s">
        <v>3424</v>
      </c>
      <c r="F6910" s="17" t="s">
        <v>478</v>
      </c>
      <c r="G6910" s="18" t="n">
        <v>413.6</v>
      </c>
      <c r="H6910" s="18" t="n">
        <v>0</v>
      </c>
      <c r="I6910" s="18" t="n">
        <f aca="false">((I6909 + G6910) - H6910)</f>
        <v>73141.64</v>
      </c>
      <c r="J6910" s="18" t="n">
        <v>0</v>
      </c>
      <c r="K6910" s="19" t="n">
        <v>0</v>
      </c>
      <c r="L6910" s="17"/>
    </row>
    <row r="6911" s="11" customFormat="true" ht="10.95" hidden="false" customHeight="true" outlineLevel="0" collapsed="false">
      <c r="A6911" s="16" t="n">
        <v>45343</v>
      </c>
      <c r="B6911" s="17" t="s">
        <v>3369</v>
      </c>
      <c r="C6911" s="17" t="s">
        <v>3370</v>
      </c>
      <c r="D6911" s="17" t="s">
        <v>19</v>
      </c>
      <c r="E6911" s="17" t="s">
        <v>3506</v>
      </c>
      <c r="F6911" s="17" t="s">
        <v>1006</v>
      </c>
      <c r="G6911" s="18" t="n">
        <v>321.31</v>
      </c>
      <c r="H6911" s="18" t="n">
        <v>0</v>
      </c>
      <c r="I6911" s="18" t="n">
        <f aca="false">((I6910 + G6911) - H6911)</f>
        <v>73462.95</v>
      </c>
      <c r="J6911" s="18" t="n">
        <v>0</v>
      </c>
      <c r="K6911" s="19" t="n">
        <v>0</v>
      </c>
      <c r="L6911" s="17"/>
    </row>
    <row r="6912" s="11" customFormat="true" ht="10.95" hidden="false" customHeight="true" outlineLevel="0" collapsed="false">
      <c r="A6912" s="16" t="n">
        <v>45343</v>
      </c>
      <c r="B6912" s="17" t="s">
        <v>3369</v>
      </c>
      <c r="C6912" s="17" t="s">
        <v>3370</v>
      </c>
      <c r="D6912" s="17" t="s">
        <v>19</v>
      </c>
      <c r="E6912" s="17" t="s">
        <v>3506</v>
      </c>
      <c r="F6912" s="17" t="s">
        <v>1007</v>
      </c>
      <c r="G6912" s="18" t="n">
        <v>1471.61</v>
      </c>
      <c r="H6912" s="18" t="n">
        <v>0</v>
      </c>
      <c r="I6912" s="18" t="n">
        <f aca="false">((I6911 + G6912) - H6912)</f>
        <v>74934.56</v>
      </c>
      <c r="J6912" s="18" t="n">
        <v>0</v>
      </c>
      <c r="K6912" s="19" t="n">
        <v>0</v>
      </c>
      <c r="L6912" s="17"/>
    </row>
    <row r="6913" s="11" customFormat="true" ht="10.95" hidden="false" customHeight="true" outlineLevel="0" collapsed="false">
      <c r="A6913" s="16" t="n">
        <v>45343</v>
      </c>
      <c r="B6913" s="17" t="s">
        <v>3369</v>
      </c>
      <c r="C6913" s="17" t="s">
        <v>3370</v>
      </c>
      <c r="D6913" s="17" t="s">
        <v>19</v>
      </c>
      <c r="E6913" s="17" t="s">
        <v>3506</v>
      </c>
      <c r="F6913" s="17" t="s">
        <v>1008</v>
      </c>
      <c r="G6913" s="18" t="n">
        <v>481.97</v>
      </c>
      <c r="H6913" s="18" t="n">
        <v>0</v>
      </c>
      <c r="I6913" s="18" t="n">
        <f aca="false">((I6912 + G6913) - H6913)</f>
        <v>75416.53</v>
      </c>
      <c r="J6913" s="18" t="n">
        <v>0</v>
      </c>
      <c r="K6913" s="19" t="n">
        <v>0</v>
      </c>
      <c r="L6913" s="17"/>
    </row>
    <row r="6914" s="11" customFormat="true" ht="10.95" hidden="false" customHeight="true" outlineLevel="0" collapsed="false">
      <c r="A6914" s="16" t="n">
        <v>45343</v>
      </c>
      <c r="B6914" s="17" t="s">
        <v>3369</v>
      </c>
      <c r="C6914" s="17" t="s">
        <v>3370</v>
      </c>
      <c r="D6914" s="17" t="s">
        <v>19</v>
      </c>
      <c r="E6914" s="17" t="s">
        <v>3506</v>
      </c>
      <c r="F6914" s="17" t="s">
        <v>1009</v>
      </c>
      <c r="G6914" s="18" t="n">
        <v>321.31</v>
      </c>
      <c r="H6914" s="18" t="n">
        <v>0</v>
      </c>
      <c r="I6914" s="18" t="n">
        <f aca="false">((I6913 + G6914) - H6914)</f>
        <v>75737.84</v>
      </c>
      <c r="J6914" s="18" t="n">
        <v>0</v>
      </c>
      <c r="K6914" s="19" t="n">
        <v>0</v>
      </c>
      <c r="L6914" s="17"/>
    </row>
    <row r="6915" s="11" customFormat="true" ht="10.95" hidden="false" customHeight="true" outlineLevel="0" collapsed="false">
      <c r="A6915" s="16" t="n">
        <v>45343</v>
      </c>
      <c r="B6915" s="17" t="s">
        <v>3369</v>
      </c>
      <c r="C6915" s="17" t="s">
        <v>3370</v>
      </c>
      <c r="D6915" s="17" t="s">
        <v>19</v>
      </c>
      <c r="E6915" s="17" t="s">
        <v>3425</v>
      </c>
      <c r="F6915" s="17" t="s">
        <v>1199</v>
      </c>
      <c r="G6915" s="18" t="n">
        <v>781.95</v>
      </c>
      <c r="H6915" s="18" t="n">
        <v>0</v>
      </c>
      <c r="I6915" s="18" t="n">
        <f aca="false">((I6914 + G6915) - H6915)</f>
        <v>76519.79</v>
      </c>
      <c r="J6915" s="18" t="n">
        <v>0</v>
      </c>
      <c r="K6915" s="19" t="n">
        <v>0</v>
      </c>
      <c r="L6915" s="17"/>
    </row>
    <row r="6916" s="11" customFormat="true" ht="10.95" hidden="false" customHeight="true" outlineLevel="0" collapsed="false">
      <c r="A6916" s="16" t="n">
        <v>45343</v>
      </c>
      <c r="B6916" s="17" t="s">
        <v>3369</v>
      </c>
      <c r="C6916" s="17" t="s">
        <v>3370</v>
      </c>
      <c r="D6916" s="17" t="s">
        <v>19</v>
      </c>
      <c r="E6916" s="17" t="s">
        <v>3426</v>
      </c>
      <c r="F6916" s="17" t="s">
        <v>479</v>
      </c>
      <c r="G6916" s="18" t="n">
        <v>1765.5</v>
      </c>
      <c r="H6916" s="18" t="n">
        <v>0</v>
      </c>
      <c r="I6916" s="18" t="n">
        <f aca="false">((I6915 + G6916) - H6916)</f>
        <v>78285.29</v>
      </c>
      <c r="J6916" s="18" t="n">
        <v>0</v>
      </c>
      <c r="K6916" s="19" t="n">
        <v>0</v>
      </c>
      <c r="L6916" s="17"/>
    </row>
    <row r="6917" s="11" customFormat="true" ht="10.95" hidden="false" customHeight="true" outlineLevel="0" collapsed="false">
      <c r="A6917" s="16" t="n">
        <v>45343</v>
      </c>
      <c r="B6917" s="17" t="s">
        <v>3369</v>
      </c>
      <c r="C6917" s="17" t="s">
        <v>3370</v>
      </c>
      <c r="D6917" s="17" t="s">
        <v>19</v>
      </c>
      <c r="E6917" s="17" t="s">
        <v>3428</v>
      </c>
      <c r="F6917" s="17" t="s">
        <v>481</v>
      </c>
      <c r="G6917" s="18" t="n">
        <v>1869.45</v>
      </c>
      <c r="H6917" s="18" t="n">
        <v>0</v>
      </c>
      <c r="I6917" s="18" t="n">
        <f aca="false">((I6916 + G6917) - H6917)</f>
        <v>80154.74</v>
      </c>
      <c r="J6917" s="18" t="n">
        <v>0</v>
      </c>
      <c r="K6917" s="19" t="n">
        <v>0</v>
      </c>
      <c r="L6917" s="17"/>
    </row>
    <row r="6918" s="11" customFormat="true" ht="10.95" hidden="false" customHeight="true" outlineLevel="0" collapsed="false">
      <c r="A6918" s="16" t="n">
        <v>45343</v>
      </c>
      <c r="B6918" s="17" t="s">
        <v>3369</v>
      </c>
      <c r="C6918" s="17" t="s">
        <v>3370</v>
      </c>
      <c r="D6918" s="17" t="s">
        <v>19</v>
      </c>
      <c r="E6918" s="17" t="s">
        <v>3492</v>
      </c>
      <c r="F6918" s="17" t="s">
        <v>484</v>
      </c>
      <c r="G6918" s="18" t="n">
        <v>5184.3</v>
      </c>
      <c r="H6918" s="18" t="n">
        <v>0</v>
      </c>
      <c r="I6918" s="18" t="n">
        <f aca="false">((I6917 + G6918) - H6918)</f>
        <v>85339.04</v>
      </c>
      <c r="J6918" s="18" t="n">
        <v>0</v>
      </c>
      <c r="K6918" s="19" t="n">
        <v>0</v>
      </c>
      <c r="L6918" s="17"/>
    </row>
    <row r="6919" s="11" customFormat="true" ht="10.95" hidden="false" customHeight="true" outlineLevel="0" collapsed="false">
      <c r="A6919" s="16" t="n">
        <v>45343</v>
      </c>
      <c r="B6919" s="17" t="s">
        <v>3369</v>
      </c>
      <c r="C6919" s="17" t="s">
        <v>3370</v>
      </c>
      <c r="D6919" s="17" t="s">
        <v>19</v>
      </c>
      <c r="E6919" s="17" t="s">
        <v>3430</v>
      </c>
      <c r="F6919" s="17" t="s">
        <v>883</v>
      </c>
      <c r="G6919" s="18" t="n">
        <v>611.27</v>
      </c>
      <c r="H6919" s="18" t="n">
        <v>0</v>
      </c>
      <c r="I6919" s="18" t="n">
        <f aca="false">((I6918 + G6919) - H6919)</f>
        <v>85950.31</v>
      </c>
      <c r="J6919" s="18" t="n">
        <v>0</v>
      </c>
      <c r="K6919" s="19" t="n">
        <v>0</v>
      </c>
      <c r="L6919" s="17"/>
    </row>
    <row r="6920" s="11" customFormat="true" ht="10.95" hidden="false" customHeight="true" outlineLevel="0" collapsed="false">
      <c r="A6920" s="16" t="n">
        <v>45343</v>
      </c>
      <c r="B6920" s="17" t="s">
        <v>3369</v>
      </c>
      <c r="C6920" s="17" t="s">
        <v>3370</v>
      </c>
      <c r="D6920" s="17" t="s">
        <v>19</v>
      </c>
      <c r="E6920" s="17" t="s">
        <v>3430</v>
      </c>
      <c r="F6920" s="17" t="s">
        <v>884</v>
      </c>
      <c r="G6920" s="18" t="n">
        <v>486.52</v>
      </c>
      <c r="H6920" s="18" t="n">
        <v>0</v>
      </c>
      <c r="I6920" s="18" t="n">
        <f aca="false">((I6919 + G6920) - H6920)</f>
        <v>86436.83</v>
      </c>
      <c r="J6920" s="18" t="n">
        <v>0</v>
      </c>
      <c r="K6920" s="19" t="n">
        <v>0</v>
      </c>
      <c r="L6920" s="17"/>
    </row>
    <row r="6921" s="11" customFormat="true" ht="10.95" hidden="false" customHeight="true" outlineLevel="0" collapsed="false">
      <c r="A6921" s="16" t="n">
        <v>45343</v>
      </c>
      <c r="B6921" s="17" t="s">
        <v>3369</v>
      </c>
      <c r="C6921" s="17" t="s">
        <v>3370</v>
      </c>
      <c r="D6921" s="17" t="s">
        <v>19</v>
      </c>
      <c r="E6921" s="17" t="s">
        <v>3430</v>
      </c>
      <c r="F6921" s="17" t="s">
        <v>885</v>
      </c>
      <c r="G6921" s="18" t="n">
        <v>324.35</v>
      </c>
      <c r="H6921" s="18" t="n">
        <v>0</v>
      </c>
      <c r="I6921" s="18" t="n">
        <f aca="false">((I6920 + G6921) - H6921)</f>
        <v>86761.18</v>
      </c>
      <c r="J6921" s="18" t="n">
        <v>0</v>
      </c>
      <c r="K6921" s="19" t="n">
        <v>0</v>
      </c>
      <c r="L6921" s="17"/>
    </row>
    <row r="6922" s="11" customFormat="true" ht="10.95" hidden="false" customHeight="true" outlineLevel="0" collapsed="false">
      <c r="A6922" s="16" t="n">
        <v>45343</v>
      </c>
      <c r="B6922" s="17" t="s">
        <v>3369</v>
      </c>
      <c r="C6922" s="17" t="s">
        <v>3370</v>
      </c>
      <c r="D6922" s="17" t="s">
        <v>19</v>
      </c>
      <c r="E6922" s="17" t="s">
        <v>3431</v>
      </c>
      <c r="F6922" s="17" t="s">
        <v>485</v>
      </c>
      <c r="G6922" s="18" t="n">
        <v>357.5</v>
      </c>
      <c r="H6922" s="18" t="n">
        <v>0</v>
      </c>
      <c r="I6922" s="18" t="n">
        <f aca="false">((I6921 + G6922) - H6922)</f>
        <v>87118.68</v>
      </c>
      <c r="J6922" s="18" t="n">
        <v>0</v>
      </c>
      <c r="K6922" s="19" t="n">
        <v>0</v>
      </c>
      <c r="L6922" s="17"/>
    </row>
    <row r="6923" s="11" customFormat="true" ht="10.95" hidden="false" customHeight="true" outlineLevel="0" collapsed="false">
      <c r="A6923" s="16" t="n">
        <v>45343</v>
      </c>
      <c r="B6923" s="17" t="s">
        <v>3369</v>
      </c>
      <c r="C6923" s="17" t="s">
        <v>3370</v>
      </c>
      <c r="D6923" s="17" t="s">
        <v>19</v>
      </c>
      <c r="E6923" s="17" t="s">
        <v>3432</v>
      </c>
      <c r="F6923" s="17" t="s">
        <v>487</v>
      </c>
      <c r="G6923" s="18" t="n">
        <v>1094.5</v>
      </c>
      <c r="H6923" s="18" t="n">
        <v>0</v>
      </c>
      <c r="I6923" s="18" t="n">
        <f aca="false">((I6922 + G6923) - H6923)</f>
        <v>88213.18</v>
      </c>
      <c r="J6923" s="18" t="n">
        <v>0</v>
      </c>
      <c r="K6923" s="19" t="n">
        <v>0</v>
      </c>
      <c r="L6923" s="17"/>
    </row>
    <row r="6924" s="11" customFormat="true" ht="10.95" hidden="false" customHeight="true" outlineLevel="0" collapsed="false">
      <c r="A6924" s="16" t="n">
        <v>45343</v>
      </c>
      <c r="B6924" s="17" t="s">
        <v>3369</v>
      </c>
      <c r="C6924" s="17" t="s">
        <v>3370</v>
      </c>
      <c r="D6924" s="17" t="s">
        <v>19</v>
      </c>
      <c r="E6924" s="17" t="s">
        <v>3434</v>
      </c>
      <c r="F6924" s="17" t="s">
        <v>488</v>
      </c>
      <c r="G6924" s="18" t="n">
        <v>396</v>
      </c>
      <c r="H6924" s="18" t="n">
        <v>0</v>
      </c>
      <c r="I6924" s="18" t="n">
        <f aca="false">((I6923 + G6924) - H6924)</f>
        <v>88609.18</v>
      </c>
      <c r="J6924" s="18" t="n">
        <v>0</v>
      </c>
      <c r="K6924" s="19" t="n">
        <v>0</v>
      </c>
      <c r="L6924" s="17"/>
    </row>
    <row r="6925" s="11" customFormat="true" ht="10.95" hidden="false" customHeight="true" outlineLevel="0" collapsed="false">
      <c r="A6925" s="16" t="n">
        <v>45343</v>
      </c>
      <c r="B6925" s="17" t="s">
        <v>3369</v>
      </c>
      <c r="C6925" s="17" t="s">
        <v>3370</v>
      </c>
      <c r="D6925" s="17" t="s">
        <v>19</v>
      </c>
      <c r="E6925" s="17" t="s">
        <v>3435</v>
      </c>
      <c r="F6925" s="17" t="s">
        <v>489</v>
      </c>
      <c r="G6925" s="18" t="n">
        <v>2244</v>
      </c>
      <c r="H6925" s="18" t="n">
        <v>0</v>
      </c>
      <c r="I6925" s="18" t="n">
        <f aca="false">((I6924 + G6925) - H6925)</f>
        <v>90853.18</v>
      </c>
      <c r="J6925" s="18" t="n">
        <v>0</v>
      </c>
      <c r="K6925" s="19" t="n">
        <v>0</v>
      </c>
      <c r="L6925" s="17"/>
    </row>
    <row r="6926" s="11" customFormat="true" ht="10.95" hidden="false" customHeight="true" outlineLevel="0" collapsed="false">
      <c r="A6926" s="16" t="n">
        <v>45343</v>
      </c>
      <c r="B6926" s="17" t="s">
        <v>3369</v>
      </c>
      <c r="C6926" s="17" t="s">
        <v>3370</v>
      </c>
      <c r="D6926" s="17" t="s">
        <v>19</v>
      </c>
      <c r="E6926" s="17" t="s">
        <v>3493</v>
      </c>
      <c r="F6926" s="17" t="s">
        <v>490</v>
      </c>
      <c r="G6926" s="18" t="n">
        <v>561</v>
      </c>
      <c r="H6926" s="18" t="n">
        <v>0</v>
      </c>
      <c r="I6926" s="18" t="n">
        <f aca="false">((I6925 + G6926) - H6926)</f>
        <v>91414.18</v>
      </c>
      <c r="J6926" s="18" t="n">
        <v>0</v>
      </c>
      <c r="K6926" s="19" t="n">
        <v>0</v>
      </c>
      <c r="L6926" s="17"/>
    </row>
    <row r="6927" s="11" customFormat="true" ht="10.95" hidden="false" customHeight="true" outlineLevel="0" collapsed="false">
      <c r="A6927" s="16" t="n">
        <v>45343</v>
      </c>
      <c r="B6927" s="17" t="s">
        <v>3369</v>
      </c>
      <c r="C6927" s="17" t="s">
        <v>3370</v>
      </c>
      <c r="D6927" s="17" t="s">
        <v>19</v>
      </c>
      <c r="E6927" s="17" t="s">
        <v>3436</v>
      </c>
      <c r="F6927" s="17" t="s">
        <v>886</v>
      </c>
      <c r="G6927" s="18" t="n">
        <v>2403.5</v>
      </c>
      <c r="H6927" s="18" t="n">
        <v>0</v>
      </c>
      <c r="I6927" s="18" t="n">
        <f aca="false">((I6926 + G6927) - H6927)</f>
        <v>93817.68</v>
      </c>
      <c r="J6927" s="18" t="n">
        <v>0</v>
      </c>
      <c r="K6927" s="19" t="n">
        <v>0</v>
      </c>
      <c r="L6927" s="17"/>
    </row>
    <row r="6928" s="11" customFormat="true" ht="10.95" hidden="false" customHeight="true" outlineLevel="0" collapsed="false">
      <c r="A6928" s="16" t="n">
        <v>45343</v>
      </c>
      <c r="B6928" s="17" t="s">
        <v>3369</v>
      </c>
      <c r="C6928" s="17" t="s">
        <v>3370</v>
      </c>
      <c r="D6928" s="17" t="s">
        <v>19</v>
      </c>
      <c r="E6928" s="17" t="s">
        <v>3436</v>
      </c>
      <c r="F6928" s="17" t="s">
        <v>888</v>
      </c>
      <c r="G6928" s="18" t="n">
        <v>1001</v>
      </c>
      <c r="H6928" s="18" t="n">
        <v>0</v>
      </c>
      <c r="I6928" s="18" t="n">
        <f aca="false">((I6927 + G6928) - H6928)</f>
        <v>94818.68</v>
      </c>
      <c r="J6928" s="18" t="n">
        <v>0</v>
      </c>
      <c r="K6928" s="19" t="n">
        <v>0</v>
      </c>
      <c r="L6928" s="17"/>
    </row>
    <row r="6929" s="11" customFormat="true" ht="10.95" hidden="false" customHeight="true" outlineLevel="0" collapsed="false">
      <c r="A6929" s="16" t="n">
        <v>45343</v>
      </c>
      <c r="B6929" s="17" t="s">
        <v>3369</v>
      </c>
      <c r="C6929" s="17" t="s">
        <v>3370</v>
      </c>
      <c r="D6929" s="17" t="s">
        <v>19</v>
      </c>
      <c r="E6929" s="17" t="s">
        <v>3436</v>
      </c>
      <c r="F6929" s="17" t="s">
        <v>889</v>
      </c>
      <c r="G6929" s="18" t="n">
        <v>1672</v>
      </c>
      <c r="H6929" s="18" t="n">
        <v>0</v>
      </c>
      <c r="I6929" s="18" t="n">
        <f aca="false">((I6928 + G6929) - H6929)</f>
        <v>96490.68</v>
      </c>
      <c r="J6929" s="18" t="n">
        <v>0</v>
      </c>
      <c r="K6929" s="19" t="n">
        <v>0</v>
      </c>
      <c r="L6929" s="17"/>
    </row>
    <row r="6930" s="11" customFormat="true" ht="10.95" hidden="false" customHeight="true" outlineLevel="0" collapsed="false">
      <c r="A6930" s="16" t="n">
        <v>45343</v>
      </c>
      <c r="B6930" s="17" t="s">
        <v>3369</v>
      </c>
      <c r="C6930" s="17" t="s">
        <v>3370</v>
      </c>
      <c r="D6930" s="17" t="s">
        <v>19</v>
      </c>
      <c r="E6930" s="17" t="s">
        <v>3409</v>
      </c>
      <c r="F6930" s="17" t="s">
        <v>890</v>
      </c>
      <c r="G6930" s="18" t="n">
        <v>1281.08</v>
      </c>
      <c r="H6930" s="18" t="n">
        <v>0</v>
      </c>
      <c r="I6930" s="18" t="n">
        <f aca="false">((I6929 + G6930) - H6930)</f>
        <v>97771.76</v>
      </c>
      <c r="J6930" s="18" t="n">
        <v>0</v>
      </c>
      <c r="K6930" s="19" t="n">
        <v>0</v>
      </c>
      <c r="L6930" s="17"/>
    </row>
    <row r="6931" s="11" customFormat="true" ht="10.95" hidden="false" customHeight="true" outlineLevel="0" collapsed="false">
      <c r="A6931" s="16" t="n">
        <v>45343</v>
      </c>
      <c r="B6931" s="17" t="s">
        <v>3369</v>
      </c>
      <c r="C6931" s="17" t="s">
        <v>3370</v>
      </c>
      <c r="D6931" s="17" t="s">
        <v>19</v>
      </c>
      <c r="E6931" s="17" t="s">
        <v>3438</v>
      </c>
      <c r="F6931" s="17" t="s">
        <v>1200</v>
      </c>
      <c r="G6931" s="18" t="n">
        <v>3165.78</v>
      </c>
      <c r="H6931" s="18" t="n">
        <v>0</v>
      </c>
      <c r="I6931" s="18" t="n">
        <f aca="false">((I6930 + G6931) - H6931)</f>
        <v>100937.54</v>
      </c>
      <c r="J6931" s="18" t="n">
        <v>0</v>
      </c>
      <c r="K6931" s="19" t="n">
        <v>0</v>
      </c>
      <c r="L6931" s="17"/>
    </row>
    <row r="6932" s="11" customFormat="true" ht="10.95" hidden="false" customHeight="true" outlineLevel="0" collapsed="false">
      <c r="A6932" s="16" t="n">
        <v>45343</v>
      </c>
      <c r="B6932" s="17" t="s">
        <v>3369</v>
      </c>
      <c r="C6932" s="17" t="s">
        <v>3370</v>
      </c>
      <c r="D6932" s="17" t="s">
        <v>19</v>
      </c>
      <c r="E6932" s="17" t="s">
        <v>3439</v>
      </c>
      <c r="F6932" s="17" t="s">
        <v>492</v>
      </c>
      <c r="G6932" s="18" t="n">
        <v>1052.7</v>
      </c>
      <c r="H6932" s="18" t="n">
        <v>0</v>
      </c>
      <c r="I6932" s="18" t="n">
        <f aca="false">((I6931 + G6932) - H6932)</f>
        <v>101990.24</v>
      </c>
      <c r="J6932" s="18" t="n">
        <v>0</v>
      </c>
      <c r="K6932" s="19" t="n">
        <v>0</v>
      </c>
      <c r="L6932" s="17"/>
    </row>
    <row r="6933" s="11" customFormat="true" ht="10.95" hidden="false" customHeight="true" outlineLevel="0" collapsed="false">
      <c r="A6933" s="16" t="n">
        <v>45343</v>
      </c>
      <c r="B6933" s="17" t="s">
        <v>3369</v>
      </c>
      <c r="C6933" s="17" t="s">
        <v>3370</v>
      </c>
      <c r="D6933" s="17" t="s">
        <v>19</v>
      </c>
      <c r="E6933" s="17" t="s">
        <v>3440</v>
      </c>
      <c r="F6933" s="17" t="s">
        <v>1201</v>
      </c>
      <c r="G6933" s="18" t="n">
        <v>1531.07</v>
      </c>
      <c r="H6933" s="18" t="n">
        <v>0</v>
      </c>
      <c r="I6933" s="18" t="n">
        <f aca="false">((I6932 + G6933) - H6933)</f>
        <v>103521.31</v>
      </c>
      <c r="J6933" s="18" t="n">
        <v>0</v>
      </c>
      <c r="K6933" s="19" t="n">
        <v>0</v>
      </c>
      <c r="L6933" s="17"/>
    </row>
    <row r="6934" s="11" customFormat="true" ht="10.95" hidden="false" customHeight="true" outlineLevel="0" collapsed="false">
      <c r="A6934" s="16" t="n">
        <v>45343</v>
      </c>
      <c r="B6934" s="17" t="s">
        <v>3369</v>
      </c>
      <c r="C6934" s="17" t="s">
        <v>3370</v>
      </c>
      <c r="D6934" s="17" t="s">
        <v>19</v>
      </c>
      <c r="E6934" s="17" t="s">
        <v>3441</v>
      </c>
      <c r="F6934" s="17" t="s">
        <v>1203</v>
      </c>
      <c r="G6934" s="18" t="n">
        <v>180</v>
      </c>
      <c r="H6934" s="18" t="n">
        <v>0</v>
      </c>
      <c r="I6934" s="18" t="n">
        <f aca="false">((I6933 + G6934) - H6934)</f>
        <v>103701.31</v>
      </c>
      <c r="J6934" s="18" t="n">
        <v>0</v>
      </c>
      <c r="K6934" s="19" t="n">
        <v>0</v>
      </c>
      <c r="L6934" s="17"/>
    </row>
    <row r="6935" s="11" customFormat="true" ht="10.95" hidden="false" customHeight="true" outlineLevel="0" collapsed="false">
      <c r="A6935" s="16" t="n">
        <v>45343</v>
      </c>
      <c r="B6935" s="17" t="s">
        <v>3369</v>
      </c>
      <c r="C6935" s="17" t="s">
        <v>3370</v>
      </c>
      <c r="D6935" s="17" t="s">
        <v>19</v>
      </c>
      <c r="E6935" s="17" t="s">
        <v>3442</v>
      </c>
      <c r="F6935" s="17" t="s">
        <v>494</v>
      </c>
      <c r="G6935" s="18" t="n">
        <v>9999</v>
      </c>
      <c r="H6935" s="18" t="n">
        <v>0</v>
      </c>
      <c r="I6935" s="18" t="n">
        <f aca="false">((I6934 + G6935) - H6935)</f>
        <v>113700.31</v>
      </c>
      <c r="J6935" s="18" t="n">
        <v>0</v>
      </c>
      <c r="K6935" s="19" t="n">
        <v>0</v>
      </c>
      <c r="L6935" s="17"/>
    </row>
    <row r="6936" s="11" customFormat="true" ht="10.95" hidden="false" customHeight="true" outlineLevel="0" collapsed="false">
      <c r="A6936" s="16" t="n">
        <v>45343</v>
      </c>
      <c r="B6936" s="17" t="s">
        <v>3369</v>
      </c>
      <c r="C6936" s="17" t="s">
        <v>3370</v>
      </c>
      <c r="D6936" s="17" t="s">
        <v>19</v>
      </c>
      <c r="E6936" s="17" t="s">
        <v>3443</v>
      </c>
      <c r="F6936" s="17" t="s">
        <v>495</v>
      </c>
      <c r="G6936" s="18" t="n">
        <v>4994</v>
      </c>
      <c r="H6936" s="18" t="n">
        <v>0</v>
      </c>
      <c r="I6936" s="18" t="n">
        <f aca="false">((I6935 + G6936) - H6936)</f>
        <v>118694.31</v>
      </c>
      <c r="J6936" s="18" t="n">
        <v>0</v>
      </c>
      <c r="K6936" s="19" t="n">
        <v>0</v>
      </c>
      <c r="L6936" s="17"/>
    </row>
    <row r="6937" s="11" customFormat="true" ht="10.95" hidden="false" customHeight="true" outlineLevel="0" collapsed="false">
      <c r="A6937" s="16" t="n">
        <v>45343</v>
      </c>
      <c r="B6937" s="17" t="s">
        <v>3369</v>
      </c>
      <c r="C6937" s="17" t="s">
        <v>3370</v>
      </c>
      <c r="D6937" s="17" t="s">
        <v>19</v>
      </c>
      <c r="E6937" s="17" t="s">
        <v>3444</v>
      </c>
      <c r="F6937" s="17" t="s">
        <v>496</v>
      </c>
      <c r="G6937" s="18" t="n">
        <v>968</v>
      </c>
      <c r="H6937" s="18" t="n">
        <v>0</v>
      </c>
      <c r="I6937" s="18" t="n">
        <f aca="false">((I6936 + G6937) - H6937)</f>
        <v>119662.31</v>
      </c>
      <c r="J6937" s="18" t="n">
        <v>0</v>
      </c>
      <c r="K6937" s="19" t="n">
        <v>0</v>
      </c>
      <c r="L6937" s="17"/>
    </row>
    <row r="6938" s="11" customFormat="true" ht="10.95" hidden="false" customHeight="true" outlineLevel="0" collapsed="false">
      <c r="A6938" s="16" t="n">
        <v>45343</v>
      </c>
      <c r="B6938" s="17" t="s">
        <v>3369</v>
      </c>
      <c r="C6938" s="17" t="s">
        <v>3370</v>
      </c>
      <c r="D6938" s="17" t="s">
        <v>19</v>
      </c>
      <c r="E6938" s="17" t="s">
        <v>3494</v>
      </c>
      <c r="F6938" s="17" t="s">
        <v>497</v>
      </c>
      <c r="G6938" s="18" t="n">
        <v>913</v>
      </c>
      <c r="H6938" s="18" t="n">
        <v>0</v>
      </c>
      <c r="I6938" s="18" t="n">
        <f aca="false">((I6937 + G6938) - H6938)</f>
        <v>120575.31</v>
      </c>
      <c r="J6938" s="18" t="n">
        <v>0</v>
      </c>
      <c r="K6938" s="19" t="n">
        <v>0</v>
      </c>
      <c r="L6938" s="17"/>
    </row>
    <row r="6939" s="11" customFormat="true" ht="10.95" hidden="false" customHeight="true" outlineLevel="0" collapsed="false">
      <c r="A6939" s="16" t="n">
        <v>45343</v>
      </c>
      <c r="B6939" s="17" t="s">
        <v>3369</v>
      </c>
      <c r="C6939" s="17" t="s">
        <v>3370</v>
      </c>
      <c r="D6939" s="17" t="s">
        <v>19</v>
      </c>
      <c r="E6939" s="17" t="s">
        <v>3446</v>
      </c>
      <c r="F6939" s="17" t="s">
        <v>498</v>
      </c>
      <c r="G6939" s="18" t="n">
        <v>1861.2</v>
      </c>
      <c r="H6939" s="18" t="n">
        <v>0</v>
      </c>
      <c r="I6939" s="18" t="n">
        <f aca="false">((I6938 + G6939) - H6939)</f>
        <v>122436.51</v>
      </c>
      <c r="J6939" s="18" t="n">
        <v>0</v>
      </c>
      <c r="K6939" s="19" t="n">
        <v>0</v>
      </c>
      <c r="L6939" s="17"/>
    </row>
    <row r="6940" s="11" customFormat="true" ht="10.95" hidden="false" customHeight="true" outlineLevel="0" collapsed="false">
      <c r="A6940" s="16" t="n">
        <v>45343</v>
      </c>
      <c r="B6940" s="17" t="s">
        <v>3369</v>
      </c>
      <c r="C6940" s="17" t="s">
        <v>3370</v>
      </c>
      <c r="D6940" s="17" t="s">
        <v>19</v>
      </c>
      <c r="E6940" s="17" t="s">
        <v>3447</v>
      </c>
      <c r="F6940" s="17" t="s">
        <v>500</v>
      </c>
      <c r="G6940" s="18" t="n">
        <v>689.7</v>
      </c>
      <c r="H6940" s="18" t="n">
        <v>0</v>
      </c>
      <c r="I6940" s="18" t="n">
        <f aca="false">((I6939 + G6940) - H6940)</f>
        <v>123126.21</v>
      </c>
      <c r="J6940" s="18" t="n">
        <v>0</v>
      </c>
      <c r="K6940" s="19" t="n">
        <v>0</v>
      </c>
      <c r="L6940" s="17"/>
    </row>
    <row r="6941" s="11" customFormat="true" ht="10.95" hidden="false" customHeight="true" outlineLevel="0" collapsed="false">
      <c r="A6941" s="16" t="n">
        <v>45343</v>
      </c>
      <c r="B6941" s="17" t="s">
        <v>3369</v>
      </c>
      <c r="C6941" s="17" t="s">
        <v>3370</v>
      </c>
      <c r="D6941" s="17" t="s">
        <v>19</v>
      </c>
      <c r="E6941" s="17" t="s">
        <v>3447</v>
      </c>
      <c r="F6941" s="17" t="s">
        <v>504</v>
      </c>
      <c r="G6941" s="18" t="n">
        <v>344.85</v>
      </c>
      <c r="H6941" s="18" t="n">
        <v>0</v>
      </c>
      <c r="I6941" s="18" t="n">
        <f aca="false">((I6940 + G6941) - H6941)</f>
        <v>123471.06</v>
      </c>
      <c r="J6941" s="18" t="n">
        <v>0</v>
      </c>
      <c r="K6941" s="19" t="n">
        <v>0</v>
      </c>
      <c r="L6941" s="17"/>
    </row>
    <row r="6942" s="11" customFormat="true" ht="10.95" hidden="false" customHeight="true" outlineLevel="0" collapsed="false">
      <c r="A6942" s="16" t="n">
        <v>45343</v>
      </c>
      <c r="B6942" s="17" t="s">
        <v>3369</v>
      </c>
      <c r="C6942" s="17" t="s">
        <v>3370</v>
      </c>
      <c r="D6942" s="17" t="s">
        <v>19</v>
      </c>
      <c r="E6942" s="17" t="s">
        <v>3447</v>
      </c>
      <c r="F6942" s="17" t="s">
        <v>507</v>
      </c>
      <c r="G6942" s="18" t="n">
        <v>618.75</v>
      </c>
      <c r="H6942" s="18" t="n">
        <v>0</v>
      </c>
      <c r="I6942" s="18" t="n">
        <f aca="false">((I6941 + G6942) - H6942)</f>
        <v>124089.81</v>
      </c>
      <c r="J6942" s="18" t="n">
        <v>0</v>
      </c>
      <c r="K6942" s="19" t="n">
        <v>0</v>
      </c>
      <c r="L6942" s="17"/>
    </row>
    <row r="6943" s="11" customFormat="true" ht="10.95" hidden="false" customHeight="true" outlineLevel="0" collapsed="false">
      <c r="A6943" s="16" t="n">
        <v>45343</v>
      </c>
      <c r="B6943" s="17" t="s">
        <v>3369</v>
      </c>
      <c r="C6943" s="17" t="s">
        <v>3370</v>
      </c>
      <c r="D6943" s="17" t="s">
        <v>19</v>
      </c>
      <c r="E6943" s="17" t="s">
        <v>3447</v>
      </c>
      <c r="F6943" s="17" t="s">
        <v>508</v>
      </c>
      <c r="G6943" s="18" t="n">
        <v>827.2</v>
      </c>
      <c r="H6943" s="18" t="n">
        <v>0</v>
      </c>
      <c r="I6943" s="18" t="n">
        <f aca="false">((I6942 + G6943) - H6943)</f>
        <v>124917.01</v>
      </c>
      <c r="J6943" s="18" t="n">
        <v>0</v>
      </c>
      <c r="K6943" s="19" t="n">
        <v>0</v>
      </c>
      <c r="L6943" s="17"/>
    </row>
    <row r="6944" s="11" customFormat="true" ht="10.95" hidden="false" customHeight="true" outlineLevel="0" collapsed="false">
      <c r="A6944" s="16" t="n">
        <v>45343</v>
      </c>
      <c r="B6944" s="17" t="s">
        <v>3369</v>
      </c>
      <c r="C6944" s="17" t="s">
        <v>3370</v>
      </c>
      <c r="D6944" s="17" t="s">
        <v>19</v>
      </c>
      <c r="E6944" s="17" t="s">
        <v>3447</v>
      </c>
      <c r="F6944" s="17" t="s">
        <v>509</v>
      </c>
      <c r="G6944" s="18" t="n">
        <v>741.4</v>
      </c>
      <c r="H6944" s="18" t="n">
        <v>0</v>
      </c>
      <c r="I6944" s="18" t="n">
        <f aca="false">((I6943 + G6944) - H6944)</f>
        <v>125658.41</v>
      </c>
      <c r="J6944" s="18" t="n">
        <v>0</v>
      </c>
      <c r="K6944" s="19" t="n">
        <v>0</v>
      </c>
      <c r="L6944" s="17"/>
    </row>
    <row r="6945" s="11" customFormat="true" ht="10.95" hidden="false" customHeight="true" outlineLevel="0" collapsed="false">
      <c r="A6945" s="16" t="n">
        <v>45343</v>
      </c>
      <c r="B6945" s="17" t="s">
        <v>3369</v>
      </c>
      <c r="C6945" s="17" t="s">
        <v>3370</v>
      </c>
      <c r="D6945" s="17" t="s">
        <v>19</v>
      </c>
      <c r="E6945" s="17" t="s">
        <v>3447</v>
      </c>
      <c r="F6945" s="17" t="s">
        <v>510</v>
      </c>
      <c r="G6945" s="18" t="n">
        <v>206.8</v>
      </c>
      <c r="H6945" s="18" t="n">
        <v>0</v>
      </c>
      <c r="I6945" s="18" t="n">
        <f aca="false">((I6944 + G6945) - H6945)</f>
        <v>125865.21</v>
      </c>
      <c r="J6945" s="18" t="n">
        <v>0</v>
      </c>
      <c r="K6945" s="19" t="n">
        <v>0</v>
      </c>
      <c r="L6945" s="17"/>
    </row>
    <row r="6946" s="11" customFormat="true" ht="10.95" hidden="false" customHeight="true" outlineLevel="0" collapsed="false">
      <c r="A6946" s="16" t="n">
        <v>45343</v>
      </c>
      <c r="B6946" s="17" t="s">
        <v>3369</v>
      </c>
      <c r="C6946" s="17" t="s">
        <v>3370</v>
      </c>
      <c r="D6946" s="17" t="s">
        <v>19</v>
      </c>
      <c r="E6946" s="17" t="s">
        <v>3447</v>
      </c>
      <c r="F6946" s="17" t="s">
        <v>511</v>
      </c>
      <c r="G6946" s="18" t="n">
        <v>3088.25</v>
      </c>
      <c r="H6946" s="18" t="n">
        <v>0</v>
      </c>
      <c r="I6946" s="18" t="n">
        <f aca="false">((I6945 + G6946) - H6946)</f>
        <v>128953.46</v>
      </c>
      <c r="J6946" s="18" t="n">
        <v>0</v>
      </c>
      <c r="K6946" s="19" t="n">
        <v>0</v>
      </c>
      <c r="L6946" s="17"/>
    </row>
    <row r="6947" s="11" customFormat="true" ht="10.95" hidden="false" customHeight="true" outlineLevel="0" collapsed="false">
      <c r="A6947" s="16" t="n">
        <v>45343</v>
      </c>
      <c r="B6947" s="17" t="s">
        <v>3369</v>
      </c>
      <c r="C6947" s="17" t="s">
        <v>3370</v>
      </c>
      <c r="D6947" s="17" t="s">
        <v>19</v>
      </c>
      <c r="E6947" s="17" t="s">
        <v>3447</v>
      </c>
      <c r="F6947" s="17" t="s">
        <v>514</v>
      </c>
      <c r="G6947" s="18" t="n">
        <v>517</v>
      </c>
      <c r="H6947" s="18" t="n">
        <v>0</v>
      </c>
      <c r="I6947" s="18" t="n">
        <f aca="false">((I6946 + G6947) - H6947)</f>
        <v>129470.46</v>
      </c>
      <c r="J6947" s="18" t="n">
        <v>0</v>
      </c>
      <c r="K6947" s="19" t="n">
        <v>0</v>
      </c>
      <c r="L6947" s="17"/>
    </row>
    <row r="6948" s="11" customFormat="true" ht="10.95" hidden="false" customHeight="true" outlineLevel="0" collapsed="false">
      <c r="A6948" s="16" t="n">
        <v>45343</v>
      </c>
      <c r="B6948" s="17" t="s">
        <v>3369</v>
      </c>
      <c r="C6948" s="17" t="s">
        <v>3370</v>
      </c>
      <c r="D6948" s="17" t="s">
        <v>19</v>
      </c>
      <c r="E6948" s="17" t="s">
        <v>3447</v>
      </c>
      <c r="F6948" s="17" t="s">
        <v>515</v>
      </c>
      <c r="G6948" s="18" t="n">
        <v>316.8</v>
      </c>
      <c r="H6948" s="18" t="n">
        <v>0</v>
      </c>
      <c r="I6948" s="18" t="n">
        <f aca="false">((I6947 + G6948) - H6948)</f>
        <v>129787.26</v>
      </c>
      <c r="J6948" s="18" t="n">
        <v>0</v>
      </c>
      <c r="K6948" s="19" t="n">
        <v>0</v>
      </c>
      <c r="L6948" s="17"/>
    </row>
    <row r="6949" s="11" customFormat="true" ht="10.95" hidden="false" customHeight="true" outlineLevel="0" collapsed="false">
      <c r="A6949" s="16" t="n">
        <v>45343</v>
      </c>
      <c r="B6949" s="17" t="s">
        <v>3369</v>
      </c>
      <c r="C6949" s="17" t="s">
        <v>3370</v>
      </c>
      <c r="D6949" s="17" t="s">
        <v>19</v>
      </c>
      <c r="E6949" s="17" t="s">
        <v>3447</v>
      </c>
      <c r="F6949" s="17" t="s">
        <v>516</v>
      </c>
      <c r="G6949" s="18" t="n">
        <v>627</v>
      </c>
      <c r="H6949" s="18" t="n">
        <v>0</v>
      </c>
      <c r="I6949" s="18" t="n">
        <f aca="false">((I6948 + G6949) - H6949)</f>
        <v>130414.26</v>
      </c>
      <c r="J6949" s="18" t="n">
        <v>0</v>
      </c>
      <c r="K6949" s="19" t="n">
        <v>0</v>
      </c>
      <c r="L6949" s="17"/>
    </row>
    <row r="6950" s="11" customFormat="true" ht="10.95" hidden="false" customHeight="true" outlineLevel="0" collapsed="false">
      <c r="A6950" s="16" t="n">
        <v>45343</v>
      </c>
      <c r="B6950" s="17" t="s">
        <v>3369</v>
      </c>
      <c r="C6950" s="17" t="s">
        <v>3370</v>
      </c>
      <c r="D6950" s="17" t="s">
        <v>19</v>
      </c>
      <c r="E6950" s="17" t="s">
        <v>3447</v>
      </c>
      <c r="F6950" s="17" t="s">
        <v>517</v>
      </c>
      <c r="G6950" s="18" t="n">
        <v>1967.9</v>
      </c>
      <c r="H6950" s="18" t="n">
        <v>0</v>
      </c>
      <c r="I6950" s="18" t="n">
        <f aca="false">((I6949 + G6950) - H6950)</f>
        <v>132382.16</v>
      </c>
      <c r="J6950" s="18" t="n">
        <v>0</v>
      </c>
      <c r="K6950" s="19" t="n">
        <v>0</v>
      </c>
      <c r="L6950" s="17"/>
    </row>
    <row r="6951" s="11" customFormat="true" ht="10.95" hidden="false" customHeight="true" outlineLevel="0" collapsed="false">
      <c r="A6951" s="16" t="n">
        <v>45343</v>
      </c>
      <c r="B6951" s="17" t="s">
        <v>3369</v>
      </c>
      <c r="C6951" s="17" t="s">
        <v>3370</v>
      </c>
      <c r="D6951" s="17" t="s">
        <v>19</v>
      </c>
      <c r="E6951" s="17" t="s">
        <v>3447</v>
      </c>
      <c r="F6951" s="17" t="s">
        <v>518</v>
      </c>
      <c r="G6951" s="18" t="n">
        <v>1258.4</v>
      </c>
      <c r="H6951" s="18" t="n">
        <v>0</v>
      </c>
      <c r="I6951" s="18" t="n">
        <f aca="false">((I6950 + G6951) - H6951)</f>
        <v>133640.56</v>
      </c>
      <c r="J6951" s="18" t="n">
        <v>0</v>
      </c>
      <c r="K6951" s="19" t="n">
        <v>0</v>
      </c>
      <c r="L6951" s="17"/>
    </row>
    <row r="6952" s="11" customFormat="true" ht="10.95" hidden="false" customHeight="true" outlineLevel="0" collapsed="false">
      <c r="A6952" s="16" t="n">
        <v>45343</v>
      </c>
      <c r="B6952" s="17" t="s">
        <v>3369</v>
      </c>
      <c r="C6952" s="17" t="s">
        <v>3370</v>
      </c>
      <c r="D6952" s="17" t="s">
        <v>19</v>
      </c>
      <c r="E6952" s="17" t="s">
        <v>3447</v>
      </c>
      <c r="F6952" s="17" t="s">
        <v>519</v>
      </c>
      <c r="G6952" s="18" t="n">
        <v>310.2</v>
      </c>
      <c r="H6952" s="18" t="n">
        <v>0</v>
      </c>
      <c r="I6952" s="18" t="n">
        <f aca="false">((I6951 + G6952) - H6952)</f>
        <v>133950.76</v>
      </c>
      <c r="J6952" s="18" t="n">
        <v>0</v>
      </c>
      <c r="K6952" s="19" t="n">
        <v>0</v>
      </c>
      <c r="L6952" s="17"/>
    </row>
    <row r="6953" s="11" customFormat="true" ht="10.95" hidden="false" customHeight="true" outlineLevel="0" collapsed="false">
      <c r="A6953" s="16" t="n">
        <v>45343</v>
      </c>
      <c r="B6953" s="17" t="s">
        <v>3369</v>
      </c>
      <c r="C6953" s="17" t="s">
        <v>3370</v>
      </c>
      <c r="D6953" s="17" t="s">
        <v>19</v>
      </c>
      <c r="E6953" s="17" t="s">
        <v>3447</v>
      </c>
      <c r="F6953" s="17" t="s">
        <v>520</v>
      </c>
      <c r="G6953" s="18" t="n">
        <v>310.2</v>
      </c>
      <c r="H6953" s="18" t="n">
        <v>0</v>
      </c>
      <c r="I6953" s="18" t="n">
        <f aca="false">((I6952 + G6953) - H6953)</f>
        <v>134260.96</v>
      </c>
      <c r="J6953" s="18" t="n">
        <v>0</v>
      </c>
      <c r="K6953" s="19" t="n">
        <v>0</v>
      </c>
      <c r="L6953" s="17"/>
    </row>
    <row r="6954" s="11" customFormat="true" ht="10.95" hidden="false" customHeight="true" outlineLevel="0" collapsed="false">
      <c r="A6954" s="16" t="n">
        <v>45343</v>
      </c>
      <c r="B6954" s="17" t="s">
        <v>3369</v>
      </c>
      <c r="C6954" s="17" t="s">
        <v>3370</v>
      </c>
      <c r="D6954" s="17" t="s">
        <v>19</v>
      </c>
      <c r="E6954" s="17" t="s">
        <v>3447</v>
      </c>
      <c r="F6954" s="17" t="s">
        <v>521</v>
      </c>
      <c r="G6954" s="18" t="n">
        <v>620.4</v>
      </c>
      <c r="H6954" s="18" t="n">
        <v>0</v>
      </c>
      <c r="I6954" s="18" t="n">
        <f aca="false">((I6953 + G6954) - H6954)</f>
        <v>134881.36</v>
      </c>
      <c r="J6954" s="18" t="n">
        <v>0</v>
      </c>
      <c r="K6954" s="19" t="n">
        <v>0</v>
      </c>
      <c r="L6954" s="17"/>
    </row>
    <row r="6955" s="11" customFormat="true" ht="10.95" hidden="false" customHeight="true" outlineLevel="0" collapsed="false">
      <c r="A6955" s="16" t="n">
        <v>45343</v>
      </c>
      <c r="B6955" s="17" t="s">
        <v>3369</v>
      </c>
      <c r="C6955" s="17" t="s">
        <v>3370</v>
      </c>
      <c r="D6955" s="17" t="s">
        <v>19</v>
      </c>
      <c r="E6955" s="17" t="s">
        <v>3447</v>
      </c>
      <c r="F6955" s="17" t="s">
        <v>522</v>
      </c>
      <c r="G6955" s="18" t="n">
        <v>1137.4</v>
      </c>
      <c r="H6955" s="18" t="n">
        <v>0</v>
      </c>
      <c r="I6955" s="18" t="n">
        <f aca="false">((I6954 + G6955) - H6955)</f>
        <v>136018.76</v>
      </c>
      <c r="J6955" s="18" t="n">
        <v>0</v>
      </c>
      <c r="K6955" s="19" t="n">
        <v>0</v>
      </c>
      <c r="L6955" s="17"/>
    </row>
    <row r="6956" s="11" customFormat="true" ht="10.95" hidden="false" customHeight="true" outlineLevel="0" collapsed="false">
      <c r="A6956" s="16" t="n">
        <v>45343</v>
      </c>
      <c r="B6956" s="17" t="s">
        <v>3369</v>
      </c>
      <c r="C6956" s="17" t="s">
        <v>3370</v>
      </c>
      <c r="D6956" s="17" t="s">
        <v>19</v>
      </c>
      <c r="E6956" s="17" t="s">
        <v>3447</v>
      </c>
      <c r="F6956" s="17" t="s">
        <v>523</v>
      </c>
      <c r="G6956" s="18" t="n">
        <v>103.4</v>
      </c>
      <c r="H6956" s="18" t="n">
        <v>0</v>
      </c>
      <c r="I6956" s="18" t="n">
        <f aca="false">((I6955 + G6956) - H6956)</f>
        <v>136122.16</v>
      </c>
      <c r="J6956" s="18" t="n">
        <v>0</v>
      </c>
      <c r="K6956" s="19" t="n">
        <v>0</v>
      </c>
      <c r="L6956" s="17"/>
    </row>
    <row r="6957" s="11" customFormat="true" ht="10.95" hidden="false" customHeight="true" outlineLevel="0" collapsed="false">
      <c r="A6957" s="16" t="n">
        <v>45343</v>
      </c>
      <c r="B6957" s="17" t="s">
        <v>3369</v>
      </c>
      <c r="C6957" s="17" t="s">
        <v>3370</v>
      </c>
      <c r="D6957" s="17" t="s">
        <v>19</v>
      </c>
      <c r="E6957" s="17" t="s">
        <v>3447</v>
      </c>
      <c r="F6957" s="17" t="s">
        <v>524</v>
      </c>
      <c r="G6957" s="18" t="n">
        <v>723.8</v>
      </c>
      <c r="H6957" s="18" t="n">
        <v>0</v>
      </c>
      <c r="I6957" s="18" t="n">
        <f aca="false">((I6956 + G6957) - H6957)</f>
        <v>136845.96</v>
      </c>
      <c r="J6957" s="18" t="n">
        <v>0</v>
      </c>
      <c r="K6957" s="19" t="n">
        <v>0</v>
      </c>
      <c r="L6957" s="17"/>
    </row>
    <row r="6958" s="11" customFormat="true" ht="10.95" hidden="false" customHeight="true" outlineLevel="0" collapsed="false">
      <c r="A6958" s="16" t="n">
        <v>45343</v>
      </c>
      <c r="B6958" s="17" t="s">
        <v>3369</v>
      </c>
      <c r="C6958" s="17" t="s">
        <v>3370</v>
      </c>
      <c r="D6958" s="17" t="s">
        <v>19</v>
      </c>
      <c r="E6958" s="17" t="s">
        <v>3495</v>
      </c>
      <c r="F6958" s="17" t="s">
        <v>1204</v>
      </c>
      <c r="G6958" s="18" t="n">
        <v>186.36</v>
      </c>
      <c r="H6958" s="18" t="n">
        <v>0</v>
      </c>
      <c r="I6958" s="18" t="n">
        <f aca="false">((I6957 + G6958) - H6958)</f>
        <v>137032.32</v>
      </c>
      <c r="J6958" s="18" t="n">
        <v>0</v>
      </c>
      <c r="K6958" s="19" t="n">
        <v>0</v>
      </c>
      <c r="L6958" s="17"/>
    </row>
    <row r="6959" s="11" customFormat="true" ht="10.95" hidden="false" customHeight="true" outlineLevel="0" collapsed="false">
      <c r="A6959" s="16" t="n">
        <v>45343</v>
      </c>
      <c r="B6959" s="17" t="s">
        <v>3369</v>
      </c>
      <c r="C6959" s="17" t="s">
        <v>3370</v>
      </c>
      <c r="D6959" s="17" t="s">
        <v>19</v>
      </c>
      <c r="E6959" s="17" t="s">
        <v>3495</v>
      </c>
      <c r="F6959" s="17" t="s">
        <v>1206</v>
      </c>
      <c r="G6959" s="18" t="n">
        <v>913.93</v>
      </c>
      <c r="H6959" s="18" t="n">
        <v>0</v>
      </c>
      <c r="I6959" s="18" t="n">
        <f aca="false">((I6958 + G6959) - H6959)</f>
        <v>137946.25</v>
      </c>
      <c r="J6959" s="18" t="n">
        <v>0</v>
      </c>
      <c r="K6959" s="19" t="n">
        <v>0</v>
      </c>
      <c r="L6959" s="17"/>
    </row>
    <row r="6960" s="11" customFormat="true" ht="10.95" hidden="false" customHeight="true" outlineLevel="0" collapsed="false">
      <c r="A6960" s="16" t="n">
        <v>45343</v>
      </c>
      <c r="B6960" s="17" t="s">
        <v>3369</v>
      </c>
      <c r="C6960" s="17" t="s">
        <v>3370</v>
      </c>
      <c r="D6960" s="17" t="s">
        <v>19</v>
      </c>
      <c r="E6960" s="17" t="s">
        <v>3495</v>
      </c>
      <c r="F6960" s="17" t="s">
        <v>1210</v>
      </c>
      <c r="G6960" s="18" t="n">
        <v>11814.31</v>
      </c>
      <c r="H6960" s="18" t="n">
        <v>0</v>
      </c>
      <c r="I6960" s="18" t="n">
        <f aca="false">((I6959 + G6960) - H6960)</f>
        <v>149760.56</v>
      </c>
      <c r="J6960" s="18" t="n">
        <v>0</v>
      </c>
      <c r="K6960" s="19" t="n">
        <v>0</v>
      </c>
      <c r="L6960" s="17"/>
    </row>
    <row r="6961" s="11" customFormat="true" ht="10.95" hidden="false" customHeight="true" outlineLevel="0" collapsed="false">
      <c r="A6961" s="16" t="n">
        <v>45343</v>
      </c>
      <c r="B6961" s="17" t="s">
        <v>3369</v>
      </c>
      <c r="C6961" s="17" t="s">
        <v>3370</v>
      </c>
      <c r="D6961" s="17" t="s">
        <v>19</v>
      </c>
      <c r="E6961" s="17" t="s">
        <v>3450</v>
      </c>
      <c r="F6961" s="17" t="s">
        <v>1212</v>
      </c>
      <c r="G6961" s="18" t="n">
        <v>271.07</v>
      </c>
      <c r="H6961" s="18" t="n">
        <v>0</v>
      </c>
      <c r="I6961" s="18" t="n">
        <f aca="false">((I6960 + G6961) - H6961)</f>
        <v>150031.63</v>
      </c>
      <c r="J6961" s="18" t="n">
        <v>0</v>
      </c>
      <c r="K6961" s="19" t="n">
        <v>0</v>
      </c>
      <c r="L6961" s="17"/>
    </row>
    <row r="6962" s="11" customFormat="true" ht="10.95" hidden="false" customHeight="true" outlineLevel="0" collapsed="false">
      <c r="A6962" s="16" t="n">
        <v>45343</v>
      </c>
      <c r="B6962" s="17" t="s">
        <v>3369</v>
      </c>
      <c r="C6962" s="17" t="s">
        <v>3370</v>
      </c>
      <c r="D6962" s="17" t="s">
        <v>19</v>
      </c>
      <c r="E6962" s="17" t="s">
        <v>3450</v>
      </c>
      <c r="F6962" s="17" t="s">
        <v>1213</v>
      </c>
      <c r="G6962" s="18" t="n">
        <v>1869.28</v>
      </c>
      <c r="H6962" s="18" t="n">
        <v>0</v>
      </c>
      <c r="I6962" s="18" t="n">
        <f aca="false">((I6961 + G6962) - H6962)</f>
        <v>151900.91</v>
      </c>
      <c r="J6962" s="18" t="n">
        <v>0</v>
      </c>
      <c r="K6962" s="19" t="n">
        <v>0</v>
      </c>
      <c r="L6962" s="17"/>
    </row>
    <row r="6963" s="11" customFormat="true" ht="10.95" hidden="false" customHeight="true" outlineLevel="0" collapsed="false">
      <c r="A6963" s="16" t="n">
        <v>45343</v>
      </c>
      <c r="B6963" s="17" t="s">
        <v>3369</v>
      </c>
      <c r="C6963" s="17" t="s">
        <v>3370</v>
      </c>
      <c r="D6963" s="17" t="s">
        <v>19</v>
      </c>
      <c r="E6963" s="17" t="s">
        <v>3450</v>
      </c>
      <c r="F6963" s="17" t="s">
        <v>1214</v>
      </c>
      <c r="G6963" s="18" t="n">
        <v>2300.37</v>
      </c>
      <c r="H6963" s="18" t="n">
        <v>0</v>
      </c>
      <c r="I6963" s="18" t="n">
        <f aca="false">((I6962 + G6963) - H6963)</f>
        <v>154201.28</v>
      </c>
      <c r="J6963" s="18" t="n">
        <v>0</v>
      </c>
      <c r="K6963" s="19" t="n">
        <v>0</v>
      </c>
      <c r="L6963" s="17"/>
    </row>
    <row r="6964" s="11" customFormat="true" ht="10.95" hidden="false" customHeight="true" outlineLevel="0" collapsed="false">
      <c r="A6964" s="16" t="n">
        <v>45343</v>
      </c>
      <c r="B6964" s="17" t="s">
        <v>3369</v>
      </c>
      <c r="C6964" s="17" t="s">
        <v>3370</v>
      </c>
      <c r="D6964" s="17" t="s">
        <v>19</v>
      </c>
      <c r="E6964" s="17" t="s">
        <v>3450</v>
      </c>
      <c r="F6964" s="17" t="s">
        <v>1216</v>
      </c>
      <c r="G6964" s="18" t="n">
        <v>135.54</v>
      </c>
      <c r="H6964" s="18" t="n">
        <v>0</v>
      </c>
      <c r="I6964" s="18" t="n">
        <f aca="false">((I6963 + G6964) - H6964)</f>
        <v>154336.82</v>
      </c>
      <c r="J6964" s="18" t="n">
        <v>0</v>
      </c>
      <c r="K6964" s="19" t="n">
        <v>0</v>
      </c>
      <c r="L6964" s="17"/>
    </row>
    <row r="6965" s="11" customFormat="true" ht="10.95" hidden="false" customHeight="true" outlineLevel="0" collapsed="false">
      <c r="A6965" s="16" t="n">
        <v>45343</v>
      </c>
      <c r="B6965" s="17" t="s">
        <v>3369</v>
      </c>
      <c r="C6965" s="17" t="s">
        <v>3370</v>
      </c>
      <c r="D6965" s="17" t="s">
        <v>19</v>
      </c>
      <c r="E6965" s="17" t="s">
        <v>3450</v>
      </c>
      <c r="F6965" s="17" t="s">
        <v>1217</v>
      </c>
      <c r="G6965" s="18" t="n">
        <v>1033.94</v>
      </c>
      <c r="H6965" s="18" t="n">
        <v>0</v>
      </c>
      <c r="I6965" s="18" t="n">
        <f aca="false">((I6964 + G6965) - H6965)</f>
        <v>155370.76</v>
      </c>
      <c r="J6965" s="18" t="n">
        <v>0</v>
      </c>
      <c r="K6965" s="19" t="n">
        <v>0</v>
      </c>
      <c r="L6965" s="17"/>
    </row>
    <row r="6966" s="11" customFormat="true" ht="10.95" hidden="false" customHeight="true" outlineLevel="0" collapsed="false">
      <c r="A6966" s="16" t="n">
        <v>45343</v>
      </c>
      <c r="B6966" s="17" t="s">
        <v>3369</v>
      </c>
      <c r="C6966" s="17" t="s">
        <v>3370</v>
      </c>
      <c r="D6966" s="17" t="s">
        <v>19</v>
      </c>
      <c r="E6966" s="17" t="s">
        <v>3451</v>
      </c>
      <c r="F6966" s="17" t="s">
        <v>525</v>
      </c>
      <c r="G6966" s="18" t="n">
        <v>1278.2</v>
      </c>
      <c r="H6966" s="18" t="n">
        <v>0</v>
      </c>
      <c r="I6966" s="18" t="n">
        <f aca="false">((I6965 + G6966) - H6966)</f>
        <v>156648.96</v>
      </c>
      <c r="J6966" s="18" t="n">
        <v>0</v>
      </c>
      <c r="K6966" s="19" t="n">
        <v>0</v>
      </c>
      <c r="L6966" s="17"/>
    </row>
    <row r="6967" s="11" customFormat="true" ht="10.95" hidden="false" customHeight="true" outlineLevel="0" collapsed="false">
      <c r="A6967" s="16" t="n">
        <v>45343</v>
      </c>
      <c r="B6967" s="17" t="s">
        <v>3369</v>
      </c>
      <c r="C6967" s="17" t="s">
        <v>3370</v>
      </c>
      <c r="D6967" s="17" t="s">
        <v>19</v>
      </c>
      <c r="E6967" s="17" t="s">
        <v>3502</v>
      </c>
      <c r="F6967" s="17" t="s">
        <v>526</v>
      </c>
      <c r="G6967" s="18" t="n">
        <v>78.65</v>
      </c>
      <c r="H6967" s="18" t="n">
        <v>0</v>
      </c>
      <c r="I6967" s="18" t="n">
        <f aca="false">((I6966 + G6967) - H6967)</f>
        <v>156727.61</v>
      </c>
      <c r="J6967" s="18" t="n">
        <v>0</v>
      </c>
      <c r="K6967" s="19" t="n">
        <v>0</v>
      </c>
      <c r="L6967" s="17"/>
    </row>
    <row r="6968" s="11" customFormat="true" ht="10.95" hidden="false" customHeight="true" outlineLevel="0" collapsed="false">
      <c r="A6968" s="16" t="n">
        <v>45343</v>
      </c>
      <c r="B6968" s="17" t="s">
        <v>3369</v>
      </c>
      <c r="C6968" s="17" t="s">
        <v>3370</v>
      </c>
      <c r="D6968" s="17" t="s">
        <v>3477</v>
      </c>
      <c r="E6968" s="17" t="s">
        <v>3502</v>
      </c>
      <c r="F6968" s="17" t="s">
        <v>526</v>
      </c>
      <c r="G6968" s="18" t="n">
        <v>0</v>
      </c>
      <c r="H6968" s="18" t="n">
        <v>78.65</v>
      </c>
      <c r="I6968" s="18" t="n">
        <f aca="false">((I6967 + G6968) - H6968)</f>
        <v>156648.96</v>
      </c>
      <c r="J6968" s="18" t="n">
        <v>0</v>
      </c>
      <c r="K6968" s="19" t="n">
        <v>0</v>
      </c>
      <c r="L6968" s="17"/>
    </row>
    <row r="6969" s="11" customFormat="true" ht="10.95" hidden="false" customHeight="true" outlineLevel="0" collapsed="false">
      <c r="A6969" s="16" t="n">
        <v>45343</v>
      </c>
      <c r="B6969" s="17" t="s">
        <v>3369</v>
      </c>
      <c r="C6969" s="17" t="s">
        <v>3370</v>
      </c>
      <c r="D6969" s="17" t="s">
        <v>3477</v>
      </c>
      <c r="E6969" s="17" t="s">
        <v>3502</v>
      </c>
      <c r="F6969" s="17" t="s">
        <v>473</v>
      </c>
      <c r="G6969" s="18" t="n">
        <v>78.65</v>
      </c>
      <c r="H6969" s="18" t="n">
        <v>0</v>
      </c>
      <c r="I6969" s="18" t="n">
        <f aca="false">((I6968 + G6969) - H6969)</f>
        <v>156727.61</v>
      </c>
      <c r="J6969" s="18" t="n">
        <v>0</v>
      </c>
      <c r="K6969" s="19" t="n">
        <v>0</v>
      </c>
      <c r="L6969" s="17"/>
    </row>
    <row r="6970" s="11" customFormat="true" ht="10.95" hidden="false" customHeight="true" outlineLevel="0" collapsed="false">
      <c r="A6970" s="16" t="n">
        <v>45343</v>
      </c>
      <c r="B6970" s="17" t="s">
        <v>3369</v>
      </c>
      <c r="C6970" s="17" t="s">
        <v>3370</v>
      </c>
      <c r="D6970" s="17" t="s">
        <v>19</v>
      </c>
      <c r="E6970" s="17" t="s">
        <v>3437</v>
      </c>
      <c r="F6970" s="17" t="s">
        <v>527</v>
      </c>
      <c r="G6970" s="18" t="n">
        <v>1188.06</v>
      </c>
      <c r="H6970" s="18" t="n">
        <v>0</v>
      </c>
      <c r="I6970" s="18" t="n">
        <f aca="false">((I6969 + G6970) - H6970)</f>
        <v>157915.67</v>
      </c>
      <c r="J6970" s="18" t="n">
        <v>0</v>
      </c>
      <c r="K6970" s="19" t="n">
        <v>0</v>
      </c>
      <c r="L6970" s="17"/>
    </row>
    <row r="6971" s="11" customFormat="true" ht="10.95" hidden="false" customHeight="true" outlineLevel="0" collapsed="false">
      <c r="A6971" s="16" t="n">
        <v>45343</v>
      </c>
      <c r="B6971" s="17" t="s">
        <v>3369</v>
      </c>
      <c r="C6971" s="17" t="s">
        <v>3370</v>
      </c>
      <c r="D6971" s="17" t="s">
        <v>19</v>
      </c>
      <c r="E6971" s="17" t="s">
        <v>3450</v>
      </c>
      <c r="F6971" s="17" t="s">
        <v>1218</v>
      </c>
      <c r="G6971" s="18" t="n">
        <v>43612.33</v>
      </c>
      <c r="H6971" s="18" t="n">
        <v>0</v>
      </c>
      <c r="I6971" s="18" t="n">
        <f aca="false">((I6970 + G6971) - H6971)</f>
        <v>201528</v>
      </c>
      <c r="J6971" s="18" t="n">
        <v>0</v>
      </c>
      <c r="K6971" s="19" t="n">
        <v>0</v>
      </c>
      <c r="L6971" s="17"/>
    </row>
    <row r="6972" s="11" customFormat="true" ht="10.95" hidden="false" customHeight="true" outlineLevel="0" collapsed="false">
      <c r="A6972" s="16" t="n">
        <v>45343</v>
      </c>
      <c r="B6972" s="17" t="s">
        <v>3369</v>
      </c>
      <c r="C6972" s="17" t="s">
        <v>3370</v>
      </c>
      <c r="D6972" s="17" t="s">
        <v>19</v>
      </c>
      <c r="E6972" s="17" t="s">
        <v>3427</v>
      </c>
      <c r="F6972" s="17" t="s">
        <v>529</v>
      </c>
      <c r="G6972" s="18" t="n">
        <v>748</v>
      </c>
      <c r="H6972" s="18" t="n">
        <v>0</v>
      </c>
      <c r="I6972" s="18" t="n">
        <f aca="false">((I6971 + G6972) - H6972)</f>
        <v>202276</v>
      </c>
      <c r="J6972" s="18" t="n">
        <v>0</v>
      </c>
      <c r="K6972" s="19" t="n">
        <v>0</v>
      </c>
      <c r="L6972" s="17"/>
    </row>
    <row r="6973" s="11" customFormat="true" ht="10.95" hidden="false" customHeight="true" outlineLevel="0" collapsed="false">
      <c r="A6973" s="16" t="n">
        <v>45343</v>
      </c>
      <c r="B6973" s="17" t="s">
        <v>3369</v>
      </c>
      <c r="C6973" s="17" t="s">
        <v>3370</v>
      </c>
      <c r="D6973" s="17" t="s">
        <v>19</v>
      </c>
      <c r="E6973" s="17" t="s">
        <v>3454</v>
      </c>
      <c r="F6973" s="17" t="s">
        <v>531</v>
      </c>
      <c r="G6973" s="18" t="n">
        <v>18421.87</v>
      </c>
      <c r="H6973" s="18" t="n">
        <v>0</v>
      </c>
      <c r="I6973" s="18" t="n">
        <f aca="false">((I6972 + G6973) - H6973)</f>
        <v>220697.87</v>
      </c>
      <c r="J6973" s="18" t="n">
        <v>0</v>
      </c>
      <c r="K6973" s="19" t="n">
        <v>0</v>
      </c>
      <c r="L6973" s="17"/>
    </row>
    <row r="6974" s="11" customFormat="true" ht="10.95" hidden="false" customHeight="true" outlineLevel="0" collapsed="false">
      <c r="A6974" s="16" t="n">
        <v>45343</v>
      </c>
      <c r="B6974" s="17" t="s">
        <v>3369</v>
      </c>
      <c r="C6974" s="17" t="s">
        <v>3370</v>
      </c>
      <c r="D6974" s="17" t="s">
        <v>19</v>
      </c>
      <c r="E6974" s="17" t="s">
        <v>3429</v>
      </c>
      <c r="F6974" s="17" t="s">
        <v>536</v>
      </c>
      <c r="G6974" s="18" t="n">
        <v>93.5</v>
      </c>
      <c r="H6974" s="18" t="n">
        <v>0</v>
      </c>
      <c r="I6974" s="18" t="n">
        <f aca="false">((I6973 + G6974) - H6974)</f>
        <v>220791.37</v>
      </c>
      <c r="J6974" s="18" t="n">
        <v>0</v>
      </c>
      <c r="K6974" s="19" t="n">
        <v>0</v>
      </c>
      <c r="L6974" s="17"/>
    </row>
    <row r="6975" s="11" customFormat="true" ht="10.95" hidden="false" customHeight="true" outlineLevel="0" collapsed="false">
      <c r="A6975" s="16" t="n">
        <v>45343</v>
      </c>
      <c r="B6975" s="17" t="s">
        <v>3369</v>
      </c>
      <c r="C6975" s="17" t="s">
        <v>3370</v>
      </c>
      <c r="D6975" s="17" t="s">
        <v>2895</v>
      </c>
      <c r="E6975" s="17" t="s">
        <v>3453</v>
      </c>
      <c r="F6975" s="17" t="s">
        <v>536</v>
      </c>
      <c r="G6975" s="18" t="n">
        <v>0</v>
      </c>
      <c r="H6975" s="18" t="n">
        <v>93.5</v>
      </c>
      <c r="I6975" s="18" t="n">
        <f aca="false">((I6974 + G6975) - H6975)</f>
        <v>220697.87</v>
      </c>
      <c r="J6975" s="18" t="n">
        <v>0</v>
      </c>
      <c r="K6975" s="19" t="n">
        <v>0</v>
      </c>
      <c r="L6975" s="17"/>
    </row>
    <row r="6976" s="11" customFormat="true" ht="10.95" hidden="false" customHeight="true" outlineLevel="0" collapsed="false">
      <c r="A6976" s="16" t="n">
        <v>45343</v>
      </c>
      <c r="B6976" s="17" t="s">
        <v>3369</v>
      </c>
      <c r="C6976" s="17" t="s">
        <v>3370</v>
      </c>
      <c r="D6976" s="17" t="s">
        <v>2895</v>
      </c>
      <c r="E6976" s="17" t="s">
        <v>3403</v>
      </c>
      <c r="F6976" s="17" t="s">
        <v>406</v>
      </c>
      <c r="G6976" s="18" t="n">
        <v>0</v>
      </c>
      <c r="H6976" s="18" t="n">
        <v>618.75</v>
      </c>
      <c r="I6976" s="18" t="n">
        <f aca="false">((I6975 + G6976) - H6976)</f>
        <v>220079.12</v>
      </c>
      <c r="J6976" s="18" t="n">
        <v>0</v>
      </c>
      <c r="K6976" s="19" t="n">
        <v>0</v>
      </c>
      <c r="L6976" s="17"/>
    </row>
    <row r="6977" s="11" customFormat="true" ht="10.95" hidden="false" customHeight="true" outlineLevel="0" collapsed="false">
      <c r="A6977" s="16" t="n">
        <v>45343</v>
      </c>
      <c r="B6977" s="17" t="s">
        <v>3369</v>
      </c>
      <c r="C6977" s="17" t="s">
        <v>3370</v>
      </c>
      <c r="D6977" s="17" t="s">
        <v>2895</v>
      </c>
      <c r="E6977" s="17" t="s">
        <v>3403</v>
      </c>
      <c r="F6977" s="17" t="s">
        <v>408</v>
      </c>
      <c r="G6977" s="18" t="n">
        <v>0</v>
      </c>
      <c r="H6977" s="18" t="n">
        <v>638</v>
      </c>
      <c r="I6977" s="18" t="n">
        <f aca="false">((I6976 + G6977) - H6977)</f>
        <v>219441.12</v>
      </c>
      <c r="J6977" s="18" t="n">
        <v>0</v>
      </c>
      <c r="K6977" s="19" t="n">
        <v>0</v>
      </c>
      <c r="L6977" s="17"/>
    </row>
    <row r="6978" s="11" customFormat="true" ht="10.95" hidden="false" customHeight="true" outlineLevel="0" collapsed="false">
      <c r="A6978" s="16" t="n">
        <v>45343</v>
      </c>
      <c r="B6978" s="17" t="s">
        <v>3369</v>
      </c>
      <c r="C6978" s="17" t="s">
        <v>3370</v>
      </c>
      <c r="D6978" s="17" t="s">
        <v>2895</v>
      </c>
      <c r="E6978" s="17" t="s">
        <v>3403</v>
      </c>
      <c r="F6978" s="17" t="s">
        <v>452</v>
      </c>
      <c r="G6978" s="18" t="n">
        <v>0</v>
      </c>
      <c r="H6978" s="18" t="n">
        <v>618.75</v>
      </c>
      <c r="I6978" s="18" t="n">
        <f aca="false">((I6977 + G6978) - H6978)</f>
        <v>218822.37</v>
      </c>
      <c r="J6978" s="18" t="n">
        <v>0</v>
      </c>
      <c r="K6978" s="19" t="n">
        <v>0</v>
      </c>
      <c r="L6978" s="17"/>
    </row>
    <row r="6979" s="11" customFormat="true" ht="10.95" hidden="false" customHeight="true" outlineLevel="0" collapsed="false">
      <c r="A6979" s="16" t="n">
        <v>45343</v>
      </c>
      <c r="B6979" s="17" t="s">
        <v>3369</v>
      </c>
      <c r="C6979" s="17" t="s">
        <v>3370</v>
      </c>
      <c r="D6979" s="17" t="s">
        <v>19</v>
      </c>
      <c r="E6979" s="17" t="s">
        <v>3450</v>
      </c>
      <c r="F6979" s="17" t="s">
        <v>1219</v>
      </c>
      <c r="G6979" s="18" t="n">
        <v>811.03</v>
      </c>
      <c r="H6979" s="18" t="n">
        <v>0</v>
      </c>
      <c r="I6979" s="18" t="n">
        <f aca="false">((I6978 + G6979) - H6979)</f>
        <v>219633.4</v>
      </c>
      <c r="J6979" s="18" t="n">
        <v>0</v>
      </c>
      <c r="K6979" s="19" t="n">
        <v>0</v>
      </c>
      <c r="L6979" s="17"/>
    </row>
    <row r="6980" s="11" customFormat="true" ht="10.95" hidden="false" customHeight="true" outlineLevel="0" collapsed="false">
      <c r="A6980" s="16" t="n">
        <v>45343</v>
      </c>
      <c r="B6980" s="17" t="s">
        <v>3369</v>
      </c>
      <c r="C6980" s="17" t="s">
        <v>3370</v>
      </c>
      <c r="D6980" s="17" t="s">
        <v>19</v>
      </c>
      <c r="E6980" s="17" t="s">
        <v>3450</v>
      </c>
      <c r="F6980" s="17" t="s">
        <v>1220</v>
      </c>
      <c r="G6980" s="18" t="n">
        <v>1352.66</v>
      </c>
      <c r="H6980" s="18" t="n">
        <v>0</v>
      </c>
      <c r="I6980" s="18" t="n">
        <f aca="false">((I6979 + G6980) - H6980)</f>
        <v>220986.06</v>
      </c>
      <c r="J6980" s="18" t="n">
        <v>0</v>
      </c>
      <c r="K6980" s="19" t="n">
        <v>0</v>
      </c>
      <c r="L6980" s="17"/>
    </row>
    <row r="6981" s="11" customFormat="true" ht="10.95" hidden="false" customHeight="true" outlineLevel="0" collapsed="false">
      <c r="A6981" s="16" t="n">
        <v>45344</v>
      </c>
      <c r="B6981" s="17" t="s">
        <v>3369</v>
      </c>
      <c r="C6981" s="17" t="s">
        <v>3370</v>
      </c>
      <c r="D6981" s="17" t="s">
        <v>19</v>
      </c>
      <c r="E6981" s="17" t="s">
        <v>3442</v>
      </c>
      <c r="F6981" s="17" t="s">
        <v>537</v>
      </c>
      <c r="G6981" s="18" t="n">
        <v>19998</v>
      </c>
      <c r="H6981" s="18" t="n">
        <v>0</v>
      </c>
      <c r="I6981" s="18" t="n">
        <f aca="false">((I6980 + G6981) - H6981)</f>
        <v>240984.06</v>
      </c>
      <c r="J6981" s="18" t="n">
        <v>0</v>
      </c>
      <c r="K6981" s="19" t="n">
        <v>0</v>
      </c>
      <c r="L6981" s="17"/>
    </row>
    <row r="6982" s="11" customFormat="true" ht="10.95" hidden="false" customHeight="true" outlineLevel="0" collapsed="false">
      <c r="A6982" s="16" t="n">
        <v>45345</v>
      </c>
      <c r="B6982" s="17" t="s">
        <v>3369</v>
      </c>
      <c r="C6982" s="17" t="s">
        <v>3370</v>
      </c>
      <c r="D6982" s="17" t="s">
        <v>19</v>
      </c>
      <c r="E6982" s="17" t="s">
        <v>3520</v>
      </c>
      <c r="F6982" s="17" t="s">
        <v>1011</v>
      </c>
      <c r="G6982" s="18" t="n">
        <v>1262.72</v>
      </c>
      <c r="H6982" s="18" t="n">
        <v>0</v>
      </c>
      <c r="I6982" s="18" t="n">
        <f aca="false">((I6981 + G6982) - H6982)</f>
        <v>242246.78</v>
      </c>
      <c r="J6982" s="18" t="n">
        <v>0</v>
      </c>
      <c r="K6982" s="19" t="n">
        <v>0</v>
      </c>
      <c r="L6982" s="17"/>
    </row>
    <row r="6983" s="11" customFormat="true" ht="10.95" hidden="false" customHeight="true" outlineLevel="0" collapsed="false">
      <c r="A6983" s="16" t="n">
        <v>45346</v>
      </c>
      <c r="B6983" s="17" t="s">
        <v>3369</v>
      </c>
      <c r="C6983" s="17" t="s">
        <v>3370</v>
      </c>
      <c r="D6983" s="17" t="s">
        <v>2895</v>
      </c>
      <c r="E6983" s="17" t="s">
        <v>2909</v>
      </c>
      <c r="F6983" s="17" t="s">
        <v>475</v>
      </c>
      <c r="G6983" s="18" t="n">
        <v>0</v>
      </c>
      <c r="H6983" s="18" t="n">
        <v>1856.89</v>
      </c>
      <c r="I6983" s="18" t="n">
        <f aca="false">((I6982 + G6983) - H6983)</f>
        <v>240389.89</v>
      </c>
      <c r="J6983" s="18" t="n">
        <v>0</v>
      </c>
      <c r="K6983" s="19" t="n">
        <v>0</v>
      </c>
      <c r="L6983" s="17"/>
    </row>
    <row r="6984" s="11" customFormat="true" ht="10.95" hidden="false" customHeight="true" outlineLevel="0" collapsed="false">
      <c r="A6984" s="16" t="n">
        <v>45348</v>
      </c>
      <c r="B6984" s="17" t="s">
        <v>3369</v>
      </c>
      <c r="C6984" s="17" t="s">
        <v>3370</v>
      </c>
      <c r="D6984" s="17" t="s">
        <v>2895</v>
      </c>
      <c r="E6984" s="17" t="s">
        <v>3403</v>
      </c>
      <c r="F6984" s="17" t="s">
        <v>454</v>
      </c>
      <c r="G6984" s="18" t="n">
        <v>0</v>
      </c>
      <c r="H6984" s="18" t="n">
        <v>948.2</v>
      </c>
      <c r="I6984" s="18" t="n">
        <f aca="false">((I6983 + G6984) - H6984)</f>
        <v>239441.69</v>
      </c>
      <c r="J6984" s="18" t="n">
        <v>0</v>
      </c>
      <c r="K6984" s="19" t="n">
        <v>0</v>
      </c>
      <c r="L6984" s="17"/>
    </row>
    <row r="6985" s="11" customFormat="true" ht="10.95" hidden="false" customHeight="true" outlineLevel="0" collapsed="false">
      <c r="A6985" s="16" t="n">
        <v>45348</v>
      </c>
      <c r="B6985" s="17" t="s">
        <v>3369</v>
      </c>
      <c r="C6985" s="17" t="s">
        <v>3370</v>
      </c>
      <c r="D6985" s="17" t="s">
        <v>2895</v>
      </c>
      <c r="E6985" s="17" t="s">
        <v>3403</v>
      </c>
      <c r="F6985" s="17" t="s">
        <v>410</v>
      </c>
      <c r="G6985" s="18" t="n">
        <v>0</v>
      </c>
      <c r="H6985" s="18" t="n">
        <v>1568.05</v>
      </c>
      <c r="I6985" s="18" t="n">
        <f aca="false">((I6984 + G6985) - H6985)</f>
        <v>237873.64</v>
      </c>
      <c r="J6985" s="18" t="n">
        <v>0</v>
      </c>
      <c r="K6985" s="19" t="n">
        <v>0</v>
      </c>
      <c r="L6985" s="17"/>
    </row>
    <row r="6986" s="11" customFormat="true" ht="10.95" hidden="false" customHeight="true" outlineLevel="0" collapsed="false">
      <c r="A6986" s="16" t="n">
        <v>45348</v>
      </c>
      <c r="B6986" s="17" t="s">
        <v>3369</v>
      </c>
      <c r="C6986" s="17" t="s">
        <v>3370</v>
      </c>
      <c r="D6986" s="17" t="s">
        <v>2895</v>
      </c>
      <c r="E6986" s="17" t="s">
        <v>3403</v>
      </c>
      <c r="F6986" s="17" t="s">
        <v>457</v>
      </c>
      <c r="G6986" s="18" t="n">
        <v>0</v>
      </c>
      <c r="H6986" s="18" t="n">
        <v>1568.05</v>
      </c>
      <c r="I6986" s="18" t="n">
        <f aca="false">((I6985 + G6986) - H6986)</f>
        <v>236305.59</v>
      </c>
      <c r="J6986" s="18" t="n">
        <v>0</v>
      </c>
      <c r="K6986" s="19" t="n">
        <v>0</v>
      </c>
      <c r="L6986" s="17"/>
    </row>
    <row r="6987" s="11" customFormat="true" ht="10.95" hidden="false" customHeight="true" outlineLevel="0" collapsed="false">
      <c r="A6987" s="16" t="n">
        <v>45348</v>
      </c>
      <c r="B6987" s="17" t="s">
        <v>3369</v>
      </c>
      <c r="C6987" s="17" t="s">
        <v>3370</v>
      </c>
      <c r="D6987" s="17" t="s">
        <v>2895</v>
      </c>
      <c r="E6987" s="17" t="s">
        <v>2900</v>
      </c>
      <c r="F6987" s="17" t="s">
        <v>1198</v>
      </c>
      <c r="G6987" s="18" t="n">
        <v>0</v>
      </c>
      <c r="H6987" s="18" t="n">
        <v>1020.45</v>
      </c>
      <c r="I6987" s="18" t="n">
        <f aca="false">((I6986 + G6987) - H6987)</f>
        <v>235285.14</v>
      </c>
      <c r="J6987" s="18" t="n">
        <v>0</v>
      </c>
      <c r="K6987" s="19" t="n">
        <v>0</v>
      </c>
      <c r="L6987" s="17"/>
    </row>
    <row r="6988" s="11" customFormat="true" ht="10.95" hidden="false" customHeight="true" outlineLevel="0" collapsed="false">
      <c r="A6988" s="16" t="n">
        <v>45348</v>
      </c>
      <c r="B6988" s="17" t="s">
        <v>3369</v>
      </c>
      <c r="C6988" s="17" t="s">
        <v>3370</v>
      </c>
      <c r="D6988" s="17" t="s">
        <v>2895</v>
      </c>
      <c r="E6988" s="17" t="s">
        <v>2925</v>
      </c>
      <c r="F6988" s="17" t="s">
        <v>885</v>
      </c>
      <c r="G6988" s="18" t="n">
        <v>0</v>
      </c>
      <c r="H6988" s="18" t="n">
        <v>324.35</v>
      </c>
      <c r="I6988" s="18" t="n">
        <f aca="false">((I6987 + G6988) - H6988)</f>
        <v>234960.79</v>
      </c>
      <c r="J6988" s="18" t="n">
        <v>0</v>
      </c>
      <c r="K6988" s="19" t="n">
        <v>0</v>
      </c>
      <c r="L6988" s="17"/>
    </row>
    <row r="6989" s="11" customFormat="true" ht="10.95" hidden="false" customHeight="true" outlineLevel="0" collapsed="false">
      <c r="A6989" s="16" t="n">
        <v>45348</v>
      </c>
      <c r="B6989" s="17" t="s">
        <v>3369</v>
      </c>
      <c r="C6989" s="17" t="s">
        <v>3370</v>
      </c>
      <c r="D6989" s="17" t="s">
        <v>2895</v>
      </c>
      <c r="E6989" s="17" t="s">
        <v>2925</v>
      </c>
      <c r="F6989" s="17" t="s">
        <v>883</v>
      </c>
      <c r="G6989" s="18" t="n">
        <v>0</v>
      </c>
      <c r="H6989" s="18" t="n">
        <v>611.27</v>
      </c>
      <c r="I6989" s="18" t="n">
        <f aca="false">((I6988 + G6989) - H6989)</f>
        <v>234349.52</v>
      </c>
      <c r="J6989" s="18" t="n">
        <v>0</v>
      </c>
      <c r="K6989" s="19" t="n">
        <v>0</v>
      </c>
      <c r="L6989" s="17"/>
    </row>
    <row r="6990" s="11" customFormat="true" ht="10.95" hidden="false" customHeight="true" outlineLevel="0" collapsed="false">
      <c r="A6990" s="16" t="n">
        <v>45348</v>
      </c>
      <c r="B6990" s="17" t="s">
        <v>3369</v>
      </c>
      <c r="C6990" s="17" t="s">
        <v>3370</v>
      </c>
      <c r="D6990" s="17" t="s">
        <v>2895</v>
      </c>
      <c r="E6990" s="17" t="s">
        <v>2900</v>
      </c>
      <c r="F6990" s="17" t="s">
        <v>1196</v>
      </c>
      <c r="G6990" s="18" t="n">
        <v>0</v>
      </c>
      <c r="H6990" s="18" t="n">
        <v>1921.06</v>
      </c>
      <c r="I6990" s="18" t="n">
        <f aca="false">((I6989 + G6990) - H6990)</f>
        <v>232428.46</v>
      </c>
      <c r="J6990" s="18" t="n">
        <v>0</v>
      </c>
      <c r="K6990" s="19" t="n">
        <v>0</v>
      </c>
      <c r="L6990" s="17"/>
    </row>
    <row r="6991" s="11" customFormat="true" ht="10.95" hidden="false" customHeight="true" outlineLevel="0" collapsed="false">
      <c r="A6991" s="16" t="n">
        <v>45349</v>
      </c>
      <c r="B6991" s="17" t="s">
        <v>3369</v>
      </c>
      <c r="C6991" s="17" t="s">
        <v>3370</v>
      </c>
      <c r="D6991" s="17" t="s">
        <v>2895</v>
      </c>
      <c r="E6991" s="17" t="s">
        <v>3384</v>
      </c>
      <c r="F6991" s="17" t="s">
        <v>878</v>
      </c>
      <c r="G6991" s="18" t="n">
        <v>0</v>
      </c>
      <c r="H6991" s="18" t="n">
        <v>2403.5</v>
      </c>
      <c r="I6991" s="18" t="n">
        <f aca="false">((I6990 + G6991) - H6991)</f>
        <v>230024.96</v>
      </c>
      <c r="J6991" s="18" t="n">
        <v>0</v>
      </c>
      <c r="K6991" s="19" t="n">
        <v>0</v>
      </c>
      <c r="L6991" s="17"/>
    </row>
    <row r="6992" s="11" customFormat="true" ht="10.95" hidden="false" customHeight="true" outlineLevel="0" collapsed="false">
      <c r="A6992" s="16" t="n">
        <v>45349</v>
      </c>
      <c r="B6992" s="17" t="s">
        <v>3369</v>
      </c>
      <c r="C6992" s="17" t="s">
        <v>3370</v>
      </c>
      <c r="D6992" s="17" t="s">
        <v>2895</v>
      </c>
      <c r="E6992" s="17" t="s">
        <v>3384</v>
      </c>
      <c r="F6992" s="17" t="s">
        <v>879</v>
      </c>
      <c r="G6992" s="18" t="n">
        <v>0</v>
      </c>
      <c r="H6992" s="18" t="n">
        <v>1001</v>
      </c>
      <c r="I6992" s="18" t="n">
        <f aca="false">((I6991 + G6992) - H6992)</f>
        <v>229023.96</v>
      </c>
      <c r="J6992" s="18" t="n">
        <v>0</v>
      </c>
      <c r="K6992" s="19" t="n">
        <v>0</v>
      </c>
      <c r="L6992" s="17"/>
    </row>
    <row r="6993" s="11" customFormat="true" ht="10.95" hidden="false" customHeight="true" outlineLevel="0" collapsed="false">
      <c r="A6993" s="16" t="n">
        <v>45349</v>
      </c>
      <c r="B6993" s="17" t="s">
        <v>3369</v>
      </c>
      <c r="C6993" s="17" t="s">
        <v>3370</v>
      </c>
      <c r="D6993" s="17" t="s">
        <v>2895</v>
      </c>
      <c r="E6993" s="17" t="s">
        <v>3384</v>
      </c>
      <c r="F6993" s="17" t="s">
        <v>880</v>
      </c>
      <c r="G6993" s="18" t="n">
        <v>0</v>
      </c>
      <c r="H6993" s="18" t="n">
        <v>1672</v>
      </c>
      <c r="I6993" s="18" t="n">
        <f aca="false">((I6992 + G6993) - H6993)</f>
        <v>227351.96</v>
      </c>
      <c r="J6993" s="18" t="n">
        <v>0</v>
      </c>
      <c r="K6993" s="19" t="n">
        <v>0</v>
      </c>
      <c r="L6993" s="17"/>
    </row>
    <row r="6994" s="11" customFormat="true" ht="10.95" hidden="false" customHeight="true" outlineLevel="0" collapsed="false">
      <c r="A6994" s="16" t="n">
        <v>45350</v>
      </c>
      <c r="B6994" s="17" t="s">
        <v>3369</v>
      </c>
      <c r="C6994" s="17" t="s">
        <v>3370</v>
      </c>
      <c r="D6994" s="17" t="s">
        <v>2895</v>
      </c>
      <c r="E6994" s="17" t="s">
        <v>3382</v>
      </c>
      <c r="F6994" s="17" t="s">
        <v>470</v>
      </c>
      <c r="G6994" s="18" t="n">
        <v>0</v>
      </c>
      <c r="H6994" s="18" t="n">
        <v>17105.72</v>
      </c>
      <c r="I6994" s="18" t="n">
        <f aca="false">((I6993 + G6994) - H6994)</f>
        <v>210246.24</v>
      </c>
      <c r="J6994" s="18" t="n">
        <v>0</v>
      </c>
      <c r="K6994" s="19" t="n">
        <v>0</v>
      </c>
      <c r="L6994" s="17"/>
    </row>
    <row r="6995" s="11" customFormat="true" ht="10.95" hidden="false" customHeight="true" outlineLevel="0" collapsed="false">
      <c r="A6995" s="16" t="n">
        <v>45350</v>
      </c>
      <c r="B6995" s="17" t="s">
        <v>3369</v>
      </c>
      <c r="C6995" s="17" t="s">
        <v>3370</v>
      </c>
      <c r="D6995" s="17" t="s">
        <v>2895</v>
      </c>
      <c r="E6995" s="17" t="s">
        <v>2910</v>
      </c>
      <c r="F6995" s="17" t="s">
        <v>890</v>
      </c>
      <c r="G6995" s="18" t="n">
        <v>0</v>
      </c>
      <c r="H6995" s="18" t="n">
        <v>1281.08</v>
      </c>
      <c r="I6995" s="18" t="n">
        <f aca="false">((I6994 + G6995) - H6995)</f>
        <v>208965.16</v>
      </c>
      <c r="J6995" s="18" t="n">
        <v>0</v>
      </c>
      <c r="K6995" s="19" t="n">
        <v>0</v>
      </c>
      <c r="L6995" s="17"/>
    </row>
    <row r="6996" s="11" customFormat="true" ht="10.95" hidden="false" customHeight="true" outlineLevel="0" collapsed="false">
      <c r="A6996" s="16" t="n">
        <v>45350</v>
      </c>
      <c r="B6996" s="17" t="s">
        <v>3369</v>
      </c>
      <c r="C6996" s="17" t="s">
        <v>3370</v>
      </c>
      <c r="D6996" s="17" t="s">
        <v>2895</v>
      </c>
      <c r="E6996" s="17" t="s">
        <v>2910</v>
      </c>
      <c r="F6996" s="17" t="s">
        <v>881</v>
      </c>
      <c r="G6996" s="18" t="n">
        <v>0</v>
      </c>
      <c r="H6996" s="18" t="n">
        <v>9304.68</v>
      </c>
      <c r="I6996" s="18" t="n">
        <f aca="false">((I6995 + G6996) - H6996)</f>
        <v>199660.48</v>
      </c>
      <c r="J6996" s="18" t="n">
        <v>0</v>
      </c>
      <c r="K6996" s="19" t="n">
        <v>0</v>
      </c>
      <c r="L6996" s="17"/>
    </row>
    <row r="6997" s="11" customFormat="true" ht="10.95" hidden="false" customHeight="true" outlineLevel="0" collapsed="false">
      <c r="A6997" s="16" t="n">
        <v>45350</v>
      </c>
      <c r="B6997" s="17" t="s">
        <v>3369</v>
      </c>
      <c r="C6997" s="17" t="s">
        <v>3370</v>
      </c>
      <c r="D6997" s="17" t="s">
        <v>2895</v>
      </c>
      <c r="E6997" s="17" t="s">
        <v>3496</v>
      </c>
      <c r="F6997" s="17" t="s">
        <v>484</v>
      </c>
      <c r="G6997" s="18" t="n">
        <v>0</v>
      </c>
      <c r="H6997" s="18" t="n">
        <v>5184.3</v>
      </c>
      <c r="I6997" s="18" t="n">
        <f aca="false">((I6996 + G6997) - H6997)</f>
        <v>194476.18</v>
      </c>
      <c r="J6997" s="18" t="n">
        <v>0</v>
      </c>
      <c r="K6997" s="19" t="n">
        <v>0</v>
      </c>
      <c r="L6997" s="17"/>
    </row>
    <row r="6998" s="11" customFormat="true" ht="10.95" hidden="false" customHeight="true" outlineLevel="0" collapsed="false">
      <c r="A6998" s="16" t="n">
        <v>45350</v>
      </c>
      <c r="B6998" s="17" t="s">
        <v>3369</v>
      </c>
      <c r="C6998" s="17" t="s">
        <v>3370</v>
      </c>
      <c r="D6998" s="17" t="s">
        <v>2895</v>
      </c>
      <c r="E6998" s="17" t="s">
        <v>3389</v>
      </c>
      <c r="F6998" s="17" t="s">
        <v>495</v>
      </c>
      <c r="G6998" s="18" t="n">
        <v>0</v>
      </c>
      <c r="H6998" s="18" t="n">
        <v>4994</v>
      </c>
      <c r="I6998" s="18" t="n">
        <f aca="false">((I6997 + G6998) - H6998)</f>
        <v>189482.18</v>
      </c>
      <c r="J6998" s="18" t="n">
        <v>0</v>
      </c>
      <c r="K6998" s="19" t="n">
        <v>0</v>
      </c>
      <c r="L6998" s="17"/>
    </row>
    <row r="6999" s="11" customFormat="true" ht="10.95" hidden="false" customHeight="true" outlineLevel="0" collapsed="false">
      <c r="A6999" s="16" t="n">
        <v>45350</v>
      </c>
      <c r="B6999" s="17" t="s">
        <v>3369</v>
      </c>
      <c r="C6999" s="17" t="s">
        <v>3370</v>
      </c>
      <c r="D6999" s="17" t="s">
        <v>2895</v>
      </c>
      <c r="E6999" s="17" t="s">
        <v>3466</v>
      </c>
      <c r="F6999" s="17" t="s">
        <v>488</v>
      </c>
      <c r="G6999" s="18" t="n">
        <v>0</v>
      </c>
      <c r="H6999" s="18" t="n">
        <v>396</v>
      </c>
      <c r="I6999" s="18" t="n">
        <f aca="false">((I6998 + G6999) - H6999)</f>
        <v>189086.18</v>
      </c>
      <c r="J6999" s="18" t="n">
        <v>0</v>
      </c>
      <c r="K6999" s="19" t="n">
        <v>0</v>
      </c>
      <c r="L6999" s="17"/>
    </row>
    <row r="7000" s="11" customFormat="true" ht="10.95" hidden="false" customHeight="true" outlineLevel="0" collapsed="false">
      <c r="A7000" s="16" t="n">
        <v>45350</v>
      </c>
      <c r="B7000" s="17" t="s">
        <v>3369</v>
      </c>
      <c r="C7000" s="17" t="s">
        <v>3370</v>
      </c>
      <c r="D7000" s="17" t="s">
        <v>2895</v>
      </c>
      <c r="E7000" s="17" t="s">
        <v>3505</v>
      </c>
      <c r="F7000" s="17" t="s">
        <v>476</v>
      </c>
      <c r="G7000" s="18" t="n">
        <v>0</v>
      </c>
      <c r="H7000" s="18" t="n">
        <v>157.3</v>
      </c>
      <c r="I7000" s="18" t="n">
        <f aca="false">((I6999 + G7000) - H7000)</f>
        <v>188928.88</v>
      </c>
      <c r="J7000" s="18" t="n">
        <v>0</v>
      </c>
      <c r="K7000" s="19" t="n">
        <v>0</v>
      </c>
      <c r="L7000" s="17"/>
    </row>
    <row r="7001" s="11" customFormat="true" ht="10.95" hidden="false" customHeight="true" outlineLevel="0" collapsed="false">
      <c r="A7001" s="16" t="n">
        <v>45350</v>
      </c>
      <c r="B7001" s="17" t="s">
        <v>3369</v>
      </c>
      <c r="C7001" s="17" t="s">
        <v>3370</v>
      </c>
      <c r="D7001" s="17" t="s">
        <v>2895</v>
      </c>
      <c r="E7001" s="17" t="s">
        <v>2900</v>
      </c>
      <c r="F7001" s="17" t="s">
        <v>1197</v>
      </c>
      <c r="G7001" s="18" t="n">
        <v>0</v>
      </c>
      <c r="H7001" s="18" t="n">
        <v>133.77</v>
      </c>
      <c r="I7001" s="18" t="n">
        <f aca="false">((I7000 + G7001) - H7001)</f>
        <v>188795.11</v>
      </c>
      <c r="J7001" s="18" t="n">
        <v>0</v>
      </c>
      <c r="K7001" s="19" t="n">
        <v>0</v>
      </c>
      <c r="L7001" s="17"/>
    </row>
    <row r="7002" s="11" customFormat="true" ht="10.95" hidden="false" customHeight="true" outlineLevel="0" collapsed="false">
      <c r="A7002" s="16" t="n">
        <v>45350</v>
      </c>
      <c r="B7002" s="17" t="s">
        <v>3369</v>
      </c>
      <c r="C7002" s="17" t="s">
        <v>3370</v>
      </c>
      <c r="D7002" s="17" t="s">
        <v>2895</v>
      </c>
      <c r="E7002" s="17" t="s">
        <v>2900</v>
      </c>
      <c r="F7002" s="17" t="s">
        <v>1193</v>
      </c>
      <c r="G7002" s="18" t="n">
        <v>0</v>
      </c>
      <c r="H7002" s="18" t="n">
        <v>2017.67</v>
      </c>
      <c r="I7002" s="18" t="n">
        <f aca="false">((I7001 + G7002) - H7002)</f>
        <v>186777.44</v>
      </c>
      <c r="J7002" s="18" t="n">
        <v>0</v>
      </c>
      <c r="K7002" s="19" t="n">
        <v>0</v>
      </c>
      <c r="L7002" s="17"/>
    </row>
    <row r="7003" s="11" customFormat="true" ht="10.95" hidden="false" customHeight="true" outlineLevel="0" collapsed="false">
      <c r="A7003" s="16" t="n">
        <v>45351</v>
      </c>
      <c r="B7003" s="17" t="s">
        <v>3369</v>
      </c>
      <c r="C7003" s="17" t="s">
        <v>3370</v>
      </c>
      <c r="D7003" s="17" t="s">
        <v>19</v>
      </c>
      <c r="E7003" s="17" t="s">
        <v>3450</v>
      </c>
      <c r="F7003" s="17" t="s">
        <v>1222</v>
      </c>
      <c r="G7003" s="18" t="n">
        <v>1766.4</v>
      </c>
      <c r="H7003" s="18" t="n">
        <v>0</v>
      </c>
      <c r="I7003" s="18" t="n">
        <f aca="false">((I7002 + G7003) - H7003)</f>
        <v>188543.84</v>
      </c>
      <c r="J7003" s="18" t="n">
        <v>0</v>
      </c>
      <c r="K7003" s="19" t="n">
        <v>0</v>
      </c>
      <c r="L7003" s="17"/>
    </row>
    <row r="7004" s="11" customFormat="true" ht="10.95" hidden="false" customHeight="true" outlineLevel="0" collapsed="false">
      <c r="A7004" s="16" t="n">
        <v>45351</v>
      </c>
      <c r="B7004" s="17" t="s">
        <v>3369</v>
      </c>
      <c r="C7004" s="17" t="s">
        <v>3370</v>
      </c>
      <c r="D7004" s="17" t="s">
        <v>19</v>
      </c>
      <c r="E7004" s="17" t="s">
        <v>3489</v>
      </c>
      <c r="F7004" s="17" t="s">
        <v>1014</v>
      </c>
      <c r="G7004" s="18" t="n">
        <v>3003.93</v>
      </c>
      <c r="H7004" s="18" t="n">
        <v>0</v>
      </c>
      <c r="I7004" s="18" t="n">
        <f aca="false">((I7003 + G7004) - H7004)</f>
        <v>191547.77</v>
      </c>
      <c r="J7004" s="18" t="n">
        <v>0</v>
      </c>
      <c r="K7004" s="19" t="n">
        <v>0</v>
      </c>
      <c r="L7004" s="17"/>
    </row>
    <row r="7005" s="11" customFormat="true" ht="10.95" hidden="false" customHeight="true" outlineLevel="0" collapsed="false">
      <c r="A7005" s="16" t="n">
        <v>45351</v>
      </c>
      <c r="B7005" s="17" t="s">
        <v>3369</v>
      </c>
      <c r="C7005" s="17" t="s">
        <v>3370</v>
      </c>
      <c r="D7005" s="17" t="s">
        <v>2895</v>
      </c>
      <c r="E7005" s="17" t="s">
        <v>3456</v>
      </c>
      <c r="F7005" s="17" t="s">
        <v>489</v>
      </c>
      <c r="G7005" s="18" t="n">
        <v>0</v>
      </c>
      <c r="H7005" s="18" t="n">
        <v>2244</v>
      </c>
      <c r="I7005" s="18" t="n">
        <f aca="false">((I7004 + G7005) - H7005)</f>
        <v>189303.77</v>
      </c>
      <c r="J7005" s="18" t="n">
        <v>0</v>
      </c>
      <c r="K7005" s="19" t="n">
        <v>0</v>
      </c>
      <c r="L7005" s="17"/>
    </row>
    <row r="7006" s="11" customFormat="true" ht="10.95" hidden="false" customHeight="true" outlineLevel="0" collapsed="false">
      <c r="A7006" s="16" t="n">
        <v>45351</v>
      </c>
      <c r="B7006" s="17" t="s">
        <v>3369</v>
      </c>
      <c r="C7006" s="17" t="s">
        <v>3370</v>
      </c>
      <c r="D7006" s="17" t="s">
        <v>2895</v>
      </c>
      <c r="E7006" s="17" t="s">
        <v>3465</v>
      </c>
      <c r="F7006" s="17" t="s">
        <v>487</v>
      </c>
      <c r="G7006" s="18" t="n">
        <v>0</v>
      </c>
      <c r="H7006" s="18" t="n">
        <v>1094.5</v>
      </c>
      <c r="I7006" s="18" t="n">
        <f aca="false">((I7005 + G7006) - H7006)</f>
        <v>188209.27</v>
      </c>
      <c r="J7006" s="18" t="n">
        <v>0</v>
      </c>
      <c r="K7006" s="19" t="n">
        <v>0</v>
      </c>
      <c r="L7006" s="17"/>
    </row>
    <row r="7007" s="11" customFormat="true" ht="10.95" hidden="false" customHeight="true" outlineLevel="0" collapsed="false">
      <c r="A7007" s="16" t="n">
        <v>45351</v>
      </c>
      <c r="B7007" s="17" t="s">
        <v>3369</v>
      </c>
      <c r="C7007" s="17" t="s">
        <v>3370</v>
      </c>
      <c r="D7007" s="17" t="s">
        <v>2895</v>
      </c>
      <c r="E7007" s="17" t="s">
        <v>3497</v>
      </c>
      <c r="F7007" s="17" t="s">
        <v>497</v>
      </c>
      <c r="G7007" s="18" t="n">
        <v>0</v>
      </c>
      <c r="H7007" s="18" t="n">
        <v>913</v>
      </c>
      <c r="I7007" s="18" t="n">
        <f aca="false">((I7006 + G7007) - H7007)</f>
        <v>187296.27</v>
      </c>
      <c r="J7007" s="18" t="n">
        <v>0</v>
      </c>
      <c r="K7007" s="19" t="n">
        <v>0</v>
      </c>
      <c r="L7007" s="17"/>
    </row>
    <row r="7008" s="11" customFormat="true" ht="10.95" hidden="false" customHeight="true" outlineLevel="0" collapsed="false">
      <c r="A7008" s="16" t="n">
        <v>45351</v>
      </c>
      <c r="B7008" s="17" t="s">
        <v>3369</v>
      </c>
      <c r="C7008" s="17" t="s">
        <v>3370</v>
      </c>
      <c r="D7008" s="17" t="s">
        <v>2895</v>
      </c>
      <c r="E7008" s="17" t="s">
        <v>3401</v>
      </c>
      <c r="F7008" s="17" t="s">
        <v>529</v>
      </c>
      <c r="G7008" s="18" t="n">
        <v>0</v>
      </c>
      <c r="H7008" s="18" t="n">
        <v>748</v>
      </c>
      <c r="I7008" s="18" t="n">
        <f aca="false">((I7007 + G7008) - H7008)</f>
        <v>186548.27</v>
      </c>
      <c r="J7008" s="18" t="n">
        <v>0</v>
      </c>
      <c r="K7008" s="19" t="n">
        <v>0</v>
      </c>
      <c r="L7008" s="17"/>
    </row>
    <row r="7009" s="11" customFormat="true" ht="10.95" hidden="false" customHeight="true" outlineLevel="0" collapsed="false">
      <c r="A7009" s="16" t="n">
        <v>45351</v>
      </c>
      <c r="B7009" s="17" t="s">
        <v>3369</v>
      </c>
      <c r="C7009" s="17" t="s">
        <v>3370</v>
      </c>
      <c r="D7009" s="17" t="s">
        <v>2895</v>
      </c>
      <c r="E7009" s="17" t="s">
        <v>3498</v>
      </c>
      <c r="F7009" s="17" t="s">
        <v>490</v>
      </c>
      <c r="G7009" s="18" t="n">
        <v>0</v>
      </c>
      <c r="H7009" s="18" t="n">
        <v>561</v>
      </c>
      <c r="I7009" s="18" t="n">
        <f aca="false">((I7008 + G7009) - H7009)</f>
        <v>185987.27</v>
      </c>
      <c r="J7009" s="18" t="n">
        <v>0</v>
      </c>
      <c r="K7009" s="19" t="n">
        <v>0</v>
      </c>
      <c r="L7009" s="17"/>
    </row>
    <row r="7010" s="11" customFormat="true" ht="10.95" hidden="false" customHeight="true" outlineLevel="0" collapsed="false">
      <c r="A7010" s="16" t="n">
        <v>45351</v>
      </c>
      <c r="B7010" s="17" t="s">
        <v>3369</v>
      </c>
      <c r="C7010" s="17" t="s">
        <v>3370</v>
      </c>
      <c r="D7010" s="17" t="s">
        <v>2895</v>
      </c>
      <c r="E7010" s="17" t="s">
        <v>3474</v>
      </c>
      <c r="F7010" s="17" t="s">
        <v>485</v>
      </c>
      <c r="G7010" s="18" t="n">
        <v>0</v>
      </c>
      <c r="H7010" s="18" t="n">
        <v>357.5</v>
      </c>
      <c r="I7010" s="18" t="n">
        <f aca="false">((I7009 + G7010) - H7010)</f>
        <v>185629.77</v>
      </c>
      <c r="J7010" s="18" t="n">
        <v>0</v>
      </c>
      <c r="K7010" s="19" t="n">
        <v>0</v>
      </c>
      <c r="L7010" s="17"/>
    </row>
    <row r="7011" s="11" customFormat="true" ht="10.95" hidden="false" customHeight="true" outlineLevel="0" collapsed="false">
      <c r="A7011" s="16" t="n">
        <v>45351</v>
      </c>
      <c r="B7011" s="17" t="s">
        <v>3369</v>
      </c>
      <c r="C7011" s="17" t="s">
        <v>3370</v>
      </c>
      <c r="D7011" s="17" t="s">
        <v>2895</v>
      </c>
      <c r="E7011" s="17" t="s">
        <v>3480</v>
      </c>
      <c r="F7011" s="17" t="s">
        <v>1189</v>
      </c>
      <c r="G7011" s="18" t="n">
        <v>0</v>
      </c>
      <c r="H7011" s="18" t="n">
        <v>180</v>
      </c>
      <c r="I7011" s="18" t="n">
        <f aca="false">((I7010 + G7011) - H7011)</f>
        <v>185449.77</v>
      </c>
      <c r="J7011" s="18" t="n">
        <v>0</v>
      </c>
      <c r="K7011" s="19" t="n">
        <v>0</v>
      </c>
      <c r="L7011" s="17"/>
    </row>
    <row r="7012" s="11" customFormat="true" ht="10.95" hidden="false" customHeight="true" outlineLevel="0" collapsed="false">
      <c r="A7012" s="16" t="n">
        <v>45352</v>
      </c>
      <c r="B7012" s="17" t="s">
        <v>3369</v>
      </c>
      <c r="C7012" s="17" t="s">
        <v>3370</v>
      </c>
      <c r="D7012" s="17" t="s">
        <v>2895</v>
      </c>
      <c r="E7012" s="17" t="s">
        <v>3467</v>
      </c>
      <c r="F7012" s="17" t="s">
        <v>481</v>
      </c>
      <c r="G7012" s="18" t="n">
        <v>0</v>
      </c>
      <c r="H7012" s="18" t="n">
        <v>1869.45</v>
      </c>
      <c r="I7012" s="18" t="n">
        <f aca="false">((I7011 + G7012) - H7012)</f>
        <v>183580.32</v>
      </c>
      <c r="J7012" s="18" t="n">
        <v>0</v>
      </c>
      <c r="K7012" s="19" t="n">
        <v>0</v>
      </c>
      <c r="L7012" s="17"/>
    </row>
    <row r="7013" s="11" customFormat="true" ht="10.95" hidden="false" customHeight="true" outlineLevel="0" collapsed="false">
      <c r="A7013" s="16" t="n">
        <v>45352</v>
      </c>
      <c r="B7013" s="17" t="s">
        <v>3369</v>
      </c>
      <c r="C7013" s="17" t="s">
        <v>3370</v>
      </c>
      <c r="D7013" s="17" t="s">
        <v>2895</v>
      </c>
      <c r="E7013" s="17" t="s">
        <v>2896</v>
      </c>
      <c r="F7013" s="17" t="s">
        <v>882</v>
      </c>
      <c r="G7013" s="18" t="n">
        <v>0</v>
      </c>
      <c r="H7013" s="18" t="n">
        <v>90.73</v>
      </c>
      <c r="I7013" s="18" t="n">
        <f aca="false">((I7012 + G7013) - H7013)</f>
        <v>183489.59</v>
      </c>
      <c r="J7013" s="18" t="n">
        <v>0</v>
      </c>
      <c r="K7013" s="19" t="n">
        <v>0</v>
      </c>
      <c r="L7013" s="17"/>
    </row>
    <row r="7014" s="11" customFormat="true" ht="10.95" hidden="false" customHeight="true" outlineLevel="0" collapsed="false">
      <c r="A7014" s="16" t="n">
        <v>45352</v>
      </c>
      <c r="B7014" s="17" t="s">
        <v>3369</v>
      </c>
      <c r="C7014" s="17" t="s">
        <v>3370</v>
      </c>
      <c r="D7014" s="17" t="s">
        <v>2895</v>
      </c>
      <c r="E7014" s="17" t="s">
        <v>2964</v>
      </c>
      <c r="F7014" s="17" t="s">
        <v>998</v>
      </c>
      <c r="G7014" s="18" t="n">
        <v>0</v>
      </c>
      <c r="H7014" s="18" t="n">
        <v>725.21</v>
      </c>
      <c r="I7014" s="18" t="n">
        <f aca="false">((I7013 + G7014) - H7014)</f>
        <v>182764.38</v>
      </c>
      <c r="J7014" s="18" t="n">
        <v>0</v>
      </c>
      <c r="K7014" s="19" t="n">
        <v>0</v>
      </c>
      <c r="L7014" s="17"/>
    </row>
    <row r="7015" s="11" customFormat="true" ht="10.95" hidden="false" customHeight="true" outlineLevel="0" collapsed="false">
      <c r="A7015" s="16" t="n">
        <v>45352</v>
      </c>
      <c r="B7015" s="17" t="s">
        <v>3369</v>
      </c>
      <c r="C7015" s="17" t="s">
        <v>3370</v>
      </c>
      <c r="D7015" s="17" t="s">
        <v>2895</v>
      </c>
      <c r="E7015" s="17" t="s">
        <v>2964</v>
      </c>
      <c r="F7015" s="17" t="s">
        <v>999</v>
      </c>
      <c r="G7015" s="18" t="n">
        <v>0</v>
      </c>
      <c r="H7015" s="18" t="n">
        <v>3626.07</v>
      </c>
      <c r="I7015" s="18" t="n">
        <f aca="false">((I7014 + G7015) - H7015)</f>
        <v>179138.31</v>
      </c>
      <c r="J7015" s="18" t="n">
        <v>0</v>
      </c>
      <c r="K7015" s="19" t="n">
        <v>0</v>
      </c>
      <c r="L7015" s="17"/>
    </row>
    <row r="7016" s="11" customFormat="true" ht="10.95" hidden="false" customHeight="true" outlineLevel="0" collapsed="false">
      <c r="A7016" s="16" t="n">
        <v>45352</v>
      </c>
      <c r="B7016" s="17" t="s">
        <v>3369</v>
      </c>
      <c r="C7016" s="17" t="s">
        <v>3370</v>
      </c>
      <c r="D7016" s="17" t="s">
        <v>2895</v>
      </c>
      <c r="E7016" s="17" t="s">
        <v>3482</v>
      </c>
      <c r="F7016" s="17" t="s">
        <v>498</v>
      </c>
      <c r="G7016" s="18" t="n">
        <v>0</v>
      </c>
      <c r="H7016" s="18" t="n">
        <v>1861.2</v>
      </c>
      <c r="I7016" s="18" t="n">
        <f aca="false">((I7015 + G7016) - H7016)</f>
        <v>177277.11</v>
      </c>
      <c r="J7016" s="18" t="n">
        <v>0</v>
      </c>
      <c r="K7016" s="19" t="n">
        <v>0</v>
      </c>
      <c r="L7016" s="17"/>
    </row>
    <row r="7017" s="11" customFormat="true" ht="10.95" hidden="false" customHeight="true" outlineLevel="0" collapsed="false">
      <c r="A7017" s="16" t="n">
        <v>45352</v>
      </c>
      <c r="B7017" s="17" t="s">
        <v>3369</v>
      </c>
      <c r="C7017" s="17" t="s">
        <v>3370</v>
      </c>
      <c r="D7017" s="17" t="s">
        <v>2895</v>
      </c>
      <c r="E7017" s="17" t="s">
        <v>3472</v>
      </c>
      <c r="F7017" s="17" t="s">
        <v>469</v>
      </c>
      <c r="G7017" s="18" t="n">
        <v>0</v>
      </c>
      <c r="H7017" s="18" t="n">
        <v>1278.2</v>
      </c>
      <c r="I7017" s="18" t="n">
        <f aca="false">((I7016 + G7017) - H7017)</f>
        <v>175998.91</v>
      </c>
      <c r="J7017" s="18" t="n">
        <v>0</v>
      </c>
      <c r="K7017" s="19" t="n">
        <v>0</v>
      </c>
      <c r="L7017" s="17"/>
    </row>
    <row r="7018" s="11" customFormat="true" ht="10.95" hidden="false" customHeight="true" outlineLevel="0" collapsed="false">
      <c r="A7018" s="16" t="n">
        <v>45352</v>
      </c>
      <c r="B7018" s="17" t="s">
        <v>3369</v>
      </c>
      <c r="C7018" s="17" t="s">
        <v>3370</v>
      </c>
      <c r="D7018" s="17" t="s">
        <v>2895</v>
      </c>
      <c r="E7018" s="17" t="s">
        <v>3391</v>
      </c>
      <c r="F7018" s="17" t="s">
        <v>527</v>
      </c>
      <c r="G7018" s="18" t="n">
        <v>0</v>
      </c>
      <c r="H7018" s="18" t="n">
        <v>1188.06</v>
      </c>
      <c r="I7018" s="18" t="n">
        <f aca="false">((I7017 + G7018) - H7018)</f>
        <v>174810.85</v>
      </c>
      <c r="J7018" s="18" t="n">
        <v>0</v>
      </c>
      <c r="K7018" s="19" t="n">
        <v>0</v>
      </c>
      <c r="L7018" s="17"/>
    </row>
    <row r="7019" s="11" customFormat="true" ht="10.95" hidden="false" customHeight="true" outlineLevel="0" collapsed="false">
      <c r="A7019" s="16" t="n">
        <v>45352</v>
      </c>
      <c r="B7019" s="17" t="s">
        <v>3369</v>
      </c>
      <c r="C7019" s="17" t="s">
        <v>3370</v>
      </c>
      <c r="D7019" s="17" t="s">
        <v>2895</v>
      </c>
      <c r="E7019" s="17" t="s">
        <v>3504</v>
      </c>
      <c r="F7019" s="17" t="s">
        <v>477</v>
      </c>
      <c r="G7019" s="18" t="n">
        <v>0</v>
      </c>
      <c r="H7019" s="18" t="n">
        <v>1034.55</v>
      </c>
      <c r="I7019" s="18" t="n">
        <f aca="false">((I7018 + G7019) - H7019)</f>
        <v>173776.3</v>
      </c>
      <c r="J7019" s="18" t="n">
        <v>0</v>
      </c>
      <c r="K7019" s="19" t="n">
        <v>0</v>
      </c>
      <c r="L7019" s="17"/>
    </row>
    <row r="7020" s="11" customFormat="true" ht="10.95" hidden="false" customHeight="true" outlineLevel="0" collapsed="false">
      <c r="A7020" s="16" t="n">
        <v>45352</v>
      </c>
      <c r="B7020" s="17" t="s">
        <v>3369</v>
      </c>
      <c r="C7020" s="17" t="s">
        <v>3370</v>
      </c>
      <c r="D7020" s="17" t="s">
        <v>2895</v>
      </c>
      <c r="E7020" s="17" t="s">
        <v>2898</v>
      </c>
      <c r="F7020" s="17" t="s">
        <v>1199</v>
      </c>
      <c r="G7020" s="18" t="n">
        <v>0</v>
      </c>
      <c r="H7020" s="18" t="n">
        <v>781.95</v>
      </c>
      <c r="I7020" s="18" t="n">
        <f aca="false">((I7019 + G7020) - H7020)</f>
        <v>172994.35</v>
      </c>
      <c r="J7020" s="18" t="n">
        <v>0</v>
      </c>
      <c r="K7020" s="19" t="n">
        <v>0</v>
      </c>
      <c r="L7020" s="17"/>
    </row>
    <row r="7021" s="11" customFormat="true" ht="10.95" hidden="false" customHeight="true" outlineLevel="0" collapsed="false">
      <c r="A7021" s="16" t="n">
        <v>45355</v>
      </c>
      <c r="B7021" s="17" t="s">
        <v>3369</v>
      </c>
      <c r="C7021" s="17" t="s">
        <v>3370</v>
      </c>
      <c r="D7021" s="17" t="s">
        <v>19</v>
      </c>
      <c r="E7021" s="17" t="s">
        <v>3381</v>
      </c>
      <c r="F7021" s="17" t="s">
        <v>941</v>
      </c>
      <c r="G7021" s="18" t="n">
        <v>5979.83</v>
      </c>
      <c r="H7021" s="18" t="n">
        <v>0</v>
      </c>
      <c r="I7021" s="18" t="n">
        <f aca="false">((I7020 + G7021) - H7021)</f>
        <v>178974.18</v>
      </c>
      <c r="J7021" s="18" t="n">
        <v>0</v>
      </c>
      <c r="K7021" s="19" t="n">
        <v>0</v>
      </c>
      <c r="L7021" s="17"/>
    </row>
    <row r="7022" s="11" customFormat="true" ht="10.95" hidden="false" customHeight="true" outlineLevel="0" collapsed="false">
      <c r="A7022" s="16" t="n">
        <v>45355</v>
      </c>
      <c r="B7022" s="17" t="s">
        <v>3369</v>
      </c>
      <c r="C7022" s="17" t="s">
        <v>3370</v>
      </c>
      <c r="D7022" s="17" t="s">
        <v>19</v>
      </c>
      <c r="E7022" s="17" t="s">
        <v>3521</v>
      </c>
      <c r="F7022" s="17" t="s">
        <v>539</v>
      </c>
      <c r="G7022" s="18" t="n">
        <v>2138.4</v>
      </c>
      <c r="H7022" s="18" t="n">
        <v>0</v>
      </c>
      <c r="I7022" s="18" t="n">
        <f aca="false">((I7021 + G7022) - H7022)</f>
        <v>181112.58</v>
      </c>
      <c r="J7022" s="18" t="n">
        <v>0</v>
      </c>
      <c r="K7022" s="19" t="n">
        <v>0</v>
      </c>
      <c r="L7022" s="17"/>
    </row>
    <row r="7023" s="11" customFormat="true" ht="10.95" hidden="false" customHeight="true" outlineLevel="0" collapsed="false">
      <c r="A7023" s="16" t="n">
        <v>45355</v>
      </c>
      <c r="B7023" s="17" t="s">
        <v>3369</v>
      </c>
      <c r="C7023" s="17" t="s">
        <v>3370</v>
      </c>
      <c r="D7023" s="17" t="s">
        <v>2895</v>
      </c>
      <c r="E7023" s="17" t="s">
        <v>2947</v>
      </c>
      <c r="F7023" s="17" t="s">
        <v>995</v>
      </c>
      <c r="G7023" s="18" t="n">
        <v>0</v>
      </c>
      <c r="H7023" s="18" t="n">
        <v>1828.67</v>
      </c>
      <c r="I7023" s="18" t="n">
        <f aca="false">((I7022 + G7023) - H7023)</f>
        <v>179283.91</v>
      </c>
      <c r="J7023" s="18" t="n">
        <v>0</v>
      </c>
      <c r="K7023" s="19" t="n">
        <v>0</v>
      </c>
      <c r="L7023" s="17"/>
    </row>
    <row r="7024" s="11" customFormat="true" ht="10.95" hidden="false" customHeight="true" outlineLevel="0" collapsed="false">
      <c r="A7024" s="16" t="n">
        <v>45356</v>
      </c>
      <c r="B7024" s="17" t="s">
        <v>3369</v>
      </c>
      <c r="C7024" s="17" t="s">
        <v>3370</v>
      </c>
      <c r="D7024" s="17" t="s">
        <v>19</v>
      </c>
      <c r="E7024" s="17" t="s">
        <v>3522</v>
      </c>
      <c r="F7024" s="17" t="s">
        <v>543</v>
      </c>
      <c r="G7024" s="18" t="n">
        <v>6826.6</v>
      </c>
      <c r="H7024" s="18" t="n">
        <v>0</v>
      </c>
      <c r="I7024" s="18" t="n">
        <f aca="false">((I7023 + G7024) - H7024)</f>
        <v>186110.51</v>
      </c>
      <c r="J7024" s="18" t="n">
        <v>0</v>
      </c>
      <c r="K7024" s="19" t="n">
        <v>0</v>
      </c>
      <c r="L7024" s="17"/>
    </row>
    <row r="7025" s="11" customFormat="true" ht="10.95" hidden="false" customHeight="true" outlineLevel="0" collapsed="false">
      <c r="A7025" s="16" t="n">
        <v>45356</v>
      </c>
      <c r="B7025" s="17" t="s">
        <v>3369</v>
      </c>
      <c r="C7025" s="17" t="s">
        <v>3370</v>
      </c>
      <c r="D7025" s="17" t="s">
        <v>3523</v>
      </c>
      <c r="E7025" s="17" t="s">
        <v>3522</v>
      </c>
      <c r="F7025" s="17" t="s">
        <v>543</v>
      </c>
      <c r="G7025" s="18" t="n">
        <v>0</v>
      </c>
      <c r="H7025" s="18" t="n">
        <v>6826.6</v>
      </c>
      <c r="I7025" s="18" t="n">
        <f aca="false">((I7024 + G7025) - H7025)</f>
        <v>179283.91</v>
      </c>
      <c r="J7025" s="18" t="n">
        <v>0</v>
      </c>
      <c r="K7025" s="19" t="n">
        <v>0</v>
      </c>
      <c r="L7025" s="17"/>
    </row>
    <row r="7026" s="11" customFormat="true" ht="10.95" hidden="false" customHeight="true" outlineLevel="0" collapsed="false">
      <c r="A7026" s="16" t="n">
        <v>45356</v>
      </c>
      <c r="B7026" s="17" t="s">
        <v>3369</v>
      </c>
      <c r="C7026" s="17" t="s">
        <v>3370</v>
      </c>
      <c r="D7026" s="17" t="s">
        <v>3523</v>
      </c>
      <c r="E7026" s="17" t="s">
        <v>3524</v>
      </c>
      <c r="F7026" s="17"/>
      <c r="G7026" s="18" t="n">
        <v>6826.6</v>
      </c>
      <c r="H7026" s="18" t="n">
        <v>0</v>
      </c>
      <c r="I7026" s="18" t="n">
        <f aca="false">((I7025 + G7026) - H7026)</f>
        <v>186110.51</v>
      </c>
      <c r="J7026" s="18" t="n">
        <v>0</v>
      </c>
      <c r="K7026" s="19" t="n">
        <v>0</v>
      </c>
      <c r="L7026" s="17" t="s">
        <v>1399</v>
      </c>
    </row>
    <row r="7027" s="11" customFormat="true" ht="10.95" hidden="false" customHeight="true" outlineLevel="0" collapsed="false">
      <c r="A7027" s="16" t="n">
        <v>45356</v>
      </c>
      <c r="B7027" s="17" t="s">
        <v>3369</v>
      </c>
      <c r="C7027" s="17" t="s">
        <v>3370</v>
      </c>
      <c r="D7027" s="17" t="s">
        <v>2895</v>
      </c>
      <c r="E7027" s="17" t="s">
        <v>3410</v>
      </c>
      <c r="F7027" s="17" t="s">
        <v>496</v>
      </c>
      <c r="G7027" s="18" t="n">
        <v>0</v>
      </c>
      <c r="H7027" s="18" t="n">
        <v>968</v>
      </c>
      <c r="I7027" s="18" t="n">
        <f aca="false">((I7026 + G7027) - H7027)</f>
        <v>185142.51</v>
      </c>
      <c r="J7027" s="18" t="n">
        <v>0</v>
      </c>
      <c r="K7027" s="19" t="n">
        <v>0</v>
      </c>
      <c r="L7027" s="17"/>
    </row>
    <row r="7028" s="11" customFormat="true" ht="10.95" hidden="false" customHeight="true" outlineLevel="0" collapsed="false">
      <c r="A7028" s="16" t="n">
        <v>45357</v>
      </c>
      <c r="B7028" s="17" t="s">
        <v>3369</v>
      </c>
      <c r="C7028" s="17" t="s">
        <v>3370</v>
      </c>
      <c r="D7028" s="17" t="s">
        <v>2895</v>
      </c>
      <c r="E7028" s="17" t="s">
        <v>2947</v>
      </c>
      <c r="F7028" s="17" t="s">
        <v>1014</v>
      </c>
      <c r="G7028" s="18" t="n">
        <v>0</v>
      </c>
      <c r="H7028" s="18" t="n">
        <v>3003.93</v>
      </c>
      <c r="I7028" s="18" t="n">
        <f aca="false">((I7027 + G7028) - H7028)</f>
        <v>182138.58</v>
      </c>
      <c r="J7028" s="18" t="n">
        <v>0</v>
      </c>
      <c r="K7028" s="19" t="n">
        <v>0</v>
      </c>
      <c r="L7028" s="17"/>
    </row>
    <row r="7029" s="11" customFormat="true" ht="10.95" hidden="false" customHeight="true" outlineLevel="0" collapsed="false">
      <c r="A7029" s="16" t="n">
        <v>45358</v>
      </c>
      <c r="B7029" s="17" t="s">
        <v>3369</v>
      </c>
      <c r="C7029" s="17" t="s">
        <v>3370</v>
      </c>
      <c r="D7029" s="17" t="s">
        <v>2895</v>
      </c>
      <c r="E7029" s="17" t="s">
        <v>2934</v>
      </c>
      <c r="F7029" s="17" t="s">
        <v>1002</v>
      </c>
      <c r="G7029" s="18" t="n">
        <v>0</v>
      </c>
      <c r="H7029" s="18" t="n">
        <v>905.6</v>
      </c>
      <c r="I7029" s="18" t="n">
        <f aca="false">((I7028 + G7029) - H7029)</f>
        <v>181232.98</v>
      </c>
      <c r="J7029" s="18" t="n">
        <v>0</v>
      </c>
      <c r="K7029" s="19" t="n">
        <v>0</v>
      </c>
      <c r="L7029" s="17"/>
    </row>
    <row r="7030" s="11" customFormat="true" ht="10.95" hidden="false" customHeight="true" outlineLevel="0" collapsed="false">
      <c r="A7030" s="16" t="n">
        <v>45358</v>
      </c>
      <c r="B7030" s="17" t="s">
        <v>3369</v>
      </c>
      <c r="C7030" s="17" t="s">
        <v>3370</v>
      </c>
      <c r="D7030" s="17" t="s">
        <v>2895</v>
      </c>
      <c r="E7030" s="17" t="s">
        <v>2922</v>
      </c>
      <c r="F7030" s="17" t="s">
        <v>1004</v>
      </c>
      <c r="G7030" s="18" t="n">
        <v>0</v>
      </c>
      <c r="H7030" s="18" t="n">
        <v>10208.05</v>
      </c>
      <c r="I7030" s="18" t="n">
        <f aca="false">((I7029 + G7030) - H7030)</f>
        <v>171024.93</v>
      </c>
      <c r="J7030" s="18" t="n">
        <v>0</v>
      </c>
      <c r="K7030" s="19" t="n">
        <v>0</v>
      </c>
      <c r="L7030" s="17"/>
    </row>
    <row r="7031" s="11" customFormat="true" ht="10.95" hidden="false" customHeight="true" outlineLevel="0" collapsed="false">
      <c r="A7031" s="16" t="n">
        <v>45358</v>
      </c>
      <c r="B7031" s="17" t="s">
        <v>3369</v>
      </c>
      <c r="C7031" s="17" t="s">
        <v>3370</v>
      </c>
      <c r="D7031" s="17" t="s">
        <v>2895</v>
      </c>
      <c r="E7031" s="17" t="s">
        <v>2947</v>
      </c>
      <c r="F7031" s="17" t="s">
        <v>1003</v>
      </c>
      <c r="G7031" s="18" t="n">
        <v>0</v>
      </c>
      <c r="H7031" s="18" t="n">
        <v>1820.77</v>
      </c>
      <c r="I7031" s="18" t="n">
        <f aca="false">((I7030 + G7031) - H7031)</f>
        <v>169204.16</v>
      </c>
      <c r="J7031" s="18" t="n">
        <v>0</v>
      </c>
      <c r="K7031" s="19" t="n">
        <v>0</v>
      </c>
      <c r="L7031" s="17"/>
    </row>
    <row r="7032" s="11" customFormat="true" ht="10.95" hidden="false" customHeight="true" outlineLevel="0" collapsed="false">
      <c r="A7032" s="16" t="n">
        <v>45358</v>
      </c>
      <c r="B7032" s="17" t="s">
        <v>3369</v>
      </c>
      <c r="C7032" s="17" t="s">
        <v>3370</v>
      </c>
      <c r="D7032" s="17" t="s">
        <v>2895</v>
      </c>
      <c r="E7032" s="17" t="s">
        <v>3088</v>
      </c>
      <c r="F7032" s="17" t="s">
        <v>1011</v>
      </c>
      <c r="G7032" s="18" t="n">
        <v>0</v>
      </c>
      <c r="H7032" s="18" t="n">
        <v>1262.72</v>
      </c>
      <c r="I7032" s="18" t="n">
        <f aca="false">((I7031 + G7032) - H7032)</f>
        <v>167941.44</v>
      </c>
      <c r="J7032" s="18" t="n">
        <v>0</v>
      </c>
      <c r="K7032" s="19" t="n">
        <v>0</v>
      </c>
      <c r="L7032" s="17"/>
    </row>
    <row r="7033" s="11" customFormat="true" ht="10.95" hidden="false" customHeight="true" outlineLevel="0" collapsed="false">
      <c r="A7033" s="16" t="n">
        <v>45362</v>
      </c>
      <c r="B7033" s="17" t="s">
        <v>3369</v>
      </c>
      <c r="C7033" s="17" t="s">
        <v>3370</v>
      </c>
      <c r="D7033" s="17" t="s">
        <v>2895</v>
      </c>
      <c r="E7033" s="17" t="s">
        <v>3373</v>
      </c>
      <c r="F7033" s="17" t="s">
        <v>437</v>
      </c>
      <c r="G7033" s="18" t="n">
        <v>0</v>
      </c>
      <c r="H7033" s="18" t="n">
        <v>1386</v>
      </c>
      <c r="I7033" s="18" t="n">
        <f aca="false">((I7032 + G7033) - H7033)</f>
        <v>166555.44</v>
      </c>
      <c r="J7033" s="18" t="n">
        <v>0</v>
      </c>
      <c r="K7033" s="19" t="n">
        <v>0</v>
      </c>
      <c r="L7033" s="17"/>
    </row>
    <row r="7034" s="11" customFormat="true" ht="10.95" hidden="false" customHeight="true" outlineLevel="0" collapsed="false">
      <c r="A7034" s="16" t="n">
        <v>45362</v>
      </c>
      <c r="B7034" s="17" t="s">
        <v>3369</v>
      </c>
      <c r="C7034" s="17" t="s">
        <v>3370</v>
      </c>
      <c r="D7034" s="17" t="s">
        <v>2895</v>
      </c>
      <c r="E7034" s="17" t="s">
        <v>2906</v>
      </c>
      <c r="F7034" s="17" t="s">
        <v>1200</v>
      </c>
      <c r="G7034" s="18" t="n">
        <v>0</v>
      </c>
      <c r="H7034" s="18" t="n">
        <v>3165.78</v>
      </c>
      <c r="I7034" s="18" t="n">
        <f aca="false">((I7033 + G7034) - H7034)</f>
        <v>163389.66</v>
      </c>
      <c r="J7034" s="18" t="n">
        <v>0</v>
      </c>
      <c r="K7034" s="19" t="n">
        <v>0</v>
      </c>
      <c r="L7034" s="17"/>
    </row>
    <row r="7035" s="11" customFormat="true" ht="10.95" hidden="false" customHeight="true" outlineLevel="0" collapsed="false">
      <c r="A7035" s="16" t="n">
        <v>45362</v>
      </c>
      <c r="B7035" s="17" t="s">
        <v>3369</v>
      </c>
      <c r="C7035" s="17" t="s">
        <v>3370</v>
      </c>
      <c r="D7035" s="17" t="s">
        <v>2895</v>
      </c>
      <c r="E7035" s="17" t="s">
        <v>3403</v>
      </c>
      <c r="F7035" s="17" t="s">
        <v>517</v>
      </c>
      <c r="G7035" s="18" t="n">
        <v>0</v>
      </c>
      <c r="H7035" s="18" t="n">
        <v>1967.9</v>
      </c>
      <c r="I7035" s="18" t="n">
        <f aca="false">((I7034 + G7035) - H7035)</f>
        <v>161421.76</v>
      </c>
      <c r="J7035" s="18" t="n">
        <v>0</v>
      </c>
      <c r="K7035" s="19" t="n">
        <v>0</v>
      </c>
      <c r="L7035" s="17"/>
    </row>
    <row r="7036" s="11" customFormat="true" ht="10.95" hidden="false" customHeight="true" outlineLevel="0" collapsed="false">
      <c r="A7036" s="16" t="n">
        <v>45362</v>
      </c>
      <c r="B7036" s="17" t="s">
        <v>3369</v>
      </c>
      <c r="C7036" s="17" t="s">
        <v>3370</v>
      </c>
      <c r="D7036" s="17" t="s">
        <v>2895</v>
      </c>
      <c r="E7036" s="17" t="s">
        <v>3403</v>
      </c>
      <c r="F7036" s="17" t="s">
        <v>504</v>
      </c>
      <c r="G7036" s="18" t="n">
        <v>0</v>
      </c>
      <c r="H7036" s="18" t="n">
        <v>344.85</v>
      </c>
      <c r="I7036" s="18" t="n">
        <f aca="false">((I7035 + G7036) - H7036)</f>
        <v>161076.91</v>
      </c>
      <c r="J7036" s="18" t="n">
        <v>0</v>
      </c>
      <c r="K7036" s="19" t="n">
        <v>0</v>
      </c>
      <c r="L7036" s="17"/>
    </row>
    <row r="7037" s="11" customFormat="true" ht="10.95" hidden="false" customHeight="true" outlineLevel="0" collapsed="false">
      <c r="A7037" s="16" t="n">
        <v>45362</v>
      </c>
      <c r="B7037" s="17" t="s">
        <v>3369</v>
      </c>
      <c r="C7037" s="17" t="s">
        <v>3370</v>
      </c>
      <c r="D7037" s="17" t="s">
        <v>2895</v>
      </c>
      <c r="E7037" s="17" t="s">
        <v>3403</v>
      </c>
      <c r="F7037" s="17" t="s">
        <v>519</v>
      </c>
      <c r="G7037" s="18" t="n">
        <v>0</v>
      </c>
      <c r="H7037" s="18" t="n">
        <v>310.2</v>
      </c>
      <c r="I7037" s="18" t="n">
        <f aca="false">((I7036 + G7037) - H7037)</f>
        <v>160766.71</v>
      </c>
      <c r="J7037" s="18" t="n">
        <v>0</v>
      </c>
      <c r="K7037" s="19" t="n">
        <v>0</v>
      </c>
      <c r="L7037" s="17"/>
    </row>
    <row r="7038" s="11" customFormat="true" ht="10.95" hidden="false" customHeight="true" outlineLevel="0" collapsed="false">
      <c r="A7038" s="16" t="n">
        <v>45362</v>
      </c>
      <c r="B7038" s="17" t="s">
        <v>3369</v>
      </c>
      <c r="C7038" s="17" t="s">
        <v>3370</v>
      </c>
      <c r="D7038" s="17" t="s">
        <v>2895</v>
      </c>
      <c r="E7038" s="17" t="s">
        <v>3403</v>
      </c>
      <c r="F7038" s="17" t="s">
        <v>515</v>
      </c>
      <c r="G7038" s="18" t="n">
        <v>0</v>
      </c>
      <c r="H7038" s="18" t="n">
        <v>316.8</v>
      </c>
      <c r="I7038" s="18" t="n">
        <f aca="false">((I7037 + G7038) - H7038)</f>
        <v>160449.91</v>
      </c>
      <c r="J7038" s="18" t="n">
        <v>0</v>
      </c>
      <c r="K7038" s="19" t="n">
        <v>0</v>
      </c>
      <c r="L7038" s="17"/>
    </row>
    <row r="7039" s="11" customFormat="true" ht="10.95" hidden="false" customHeight="true" outlineLevel="0" collapsed="false">
      <c r="A7039" s="16" t="n">
        <v>45362</v>
      </c>
      <c r="B7039" s="17" t="s">
        <v>3369</v>
      </c>
      <c r="C7039" s="17" t="s">
        <v>3370</v>
      </c>
      <c r="D7039" s="17" t="s">
        <v>2895</v>
      </c>
      <c r="E7039" s="17" t="s">
        <v>3403</v>
      </c>
      <c r="F7039" s="17" t="s">
        <v>514</v>
      </c>
      <c r="G7039" s="18" t="n">
        <v>0</v>
      </c>
      <c r="H7039" s="18" t="n">
        <v>517</v>
      </c>
      <c r="I7039" s="18" t="n">
        <f aca="false">((I7038 + G7039) - H7039)</f>
        <v>159932.91</v>
      </c>
      <c r="J7039" s="18" t="n">
        <v>0</v>
      </c>
      <c r="K7039" s="19" t="n">
        <v>0</v>
      </c>
      <c r="L7039" s="17"/>
    </row>
    <row r="7040" s="11" customFormat="true" ht="10.95" hidden="false" customHeight="true" outlineLevel="0" collapsed="false">
      <c r="A7040" s="16" t="n">
        <v>45362</v>
      </c>
      <c r="B7040" s="17" t="s">
        <v>3369</v>
      </c>
      <c r="C7040" s="17" t="s">
        <v>3370</v>
      </c>
      <c r="D7040" s="17" t="s">
        <v>2895</v>
      </c>
      <c r="E7040" s="17" t="s">
        <v>3403</v>
      </c>
      <c r="F7040" s="17" t="s">
        <v>508</v>
      </c>
      <c r="G7040" s="18" t="n">
        <v>0</v>
      </c>
      <c r="H7040" s="18" t="n">
        <v>827.2</v>
      </c>
      <c r="I7040" s="18" t="n">
        <f aca="false">((I7039 + G7040) - H7040)</f>
        <v>159105.71</v>
      </c>
      <c r="J7040" s="18" t="n">
        <v>0</v>
      </c>
      <c r="K7040" s="19" t="n">
        <v>0</v>
      </c>
      <c r="L7040" s="17"/>
    </row>
    <row r="7041" s="11" customFormat="true" ht="10.95" hidden="false" customHeight="true" outlineLevel="0" collapsed="false">
      <c r="A7041" s="16" t="n">
        <v>45362</v>
      </c>
      <c r="B7041" s="17" t="s">
        <v>3369</v>
      </c>
      <c r="C7041" s="17" t="s">
        <v>3370</v>
      </c>
      <c r="D7041" s="17" t="s">
        <v>2895</v>
      </c>
      <c r="E7041" s="17" t="s">
        <v>3403</v>
      </c>
      <c r="F7041" s="17" t="s">
        <v>421</v>
      </c>
      <c r="G7041" s="18" t="n">
        <v>0</v>
      </c>
      <c r="H7041" s="18" t="n">
        <v>723.8</v>
      </c>
      <c r="I7041" s="18" t="n">
        <f aca="false">((I7040 + G7041) - H7041)</f>
        <v>158381.91</v>
      </c>
      <c r="J7041" s="18" t="n">
        <v>0</v>
      </c>
      <c r="K7041" s="19" t="n">
        <v>0</v>
      </c>
      <c r="L7041" s="17"/>
    </row>
    <row r="7042" s="11" customFormat="true" ht="10.95" hidden="false" customHeight="true" outlineLevel="0" collapsed="false">
      <c r="A7042" s="16" t="n">
        <v>45362</v>
      </c>
      <c r="B7042" s="17" t="s">
        <v>3369</v>
      </c>
      <c r="C7042" s="17" t="s">
        <v>3370</v>
      </c>
      <c r="D7042" s="17" t="s">
        <v>2895</v>
      </c>
      <c r="E7042" s="17" t="s">
        <v>3403</v>
      </c>
      <c r="F7042" s="17" t="s">
        <v>522</v>
      </c>
      <c r="G7042" s="18" t="n">
        <v>0</v>
      </c>
      <c r="H7042" s="18" t="n">
        <v>1137.4</v>
      </c>
      <c r="I7042" s="18" t="n">
        <f aca="false">((I7041 + G7042) - H7042)</f>
        <v>157244.51</v>
      </c>
      <c r="J7042" s="18" t="n">
        <v>0</v>
      </c>
      <c r="K7042" s="19" t="n">
        <v>0</v>
      </c>
      <c r="L7042" s="17"/>
    </row>
    <row r="7043" s="11" customFormat="true" ht="10.95" hidden="false" customHeight="true" outlineLevel="0" collapsed="false">
      <c r="A7043" s="16" t="n">
        <v>45362</v>
      </c>
      <c r="B7043" s="17" t="s">
        <v>3369</v>
      </c>
      <c r="C7043" s="17" t="s">
        <v>3370</v>
      </c>
      <c r="D7043" s="17" t="s">
        <v>2895</v>
      </c>
      <c r="E7043" s="17" t="s">
        <v>3403</v>
      </c>
      <c r="F7043" s="17" t="s">
        <v>518</v>
      </c>
      <c r="G7043" s="18" t="n">
        <v>0</v>
      </c>
      <c r="H7043" s="18" t="n">
        <v>1258.4</v>
      </c>
      <c r="I7043" s="18" t="n">
        <f aca="false">((I7042 + G7043) - H7043)</f>
        <v>155986.11</v>
      </c>
      <c r="J7043" s="18" t="n">
        <v>0</v>
      </c>
      <c r="K7043" s="19" t="n">
        <v>0</v>
      </c>
      <c r="L7043" s="17"/>
    </row>
    <row r="7044" s="11" customFormat="true" ht="10.95" hidden="false" customHeight="true" outlineLevel="0" collapsed="false">
      <c r="A7044" s="16" t="n">
        <v>45362</v>
      </c>
      <c r="B7044" s="17" t="s">
        <v>3369</v>
      </c>
      <c r="C7044" s="17" t="s">
        <v>3370</v>
      </c>
      <c r="D7044" s="17" t="s">
        <v>2895</v>
      </c>
      <c r="E7044" s="17" t="s">
        <v>3403</v>
      </c>
      <c r="F7044" s="17" t="s">
        <v>516</v>
      </c>
      <c r="G7044" s="18" t="n">
        <v>0</v>
      </c>
      <c r="H7044" s="18" t="n">
        <v>627</v>
      </c>
      <c r="I7044" s="18" t="n">
        <f aca="false">((I7043 + G7044) - H7044)</f>
        <v>155359.11</v>
      </c>
      <c r="J7044" s="18" t="n">
        <v>0</v>
      </c>
      <c r="K7044" s="19" t="n">
        <v>0</v>
      </c>
      <c r="L7044" s="17"/>
    </row>
    <row r="7045" s="11" customFormat="true" ht="10.95" hidden="false" customHeight="true" outlineLevel="0" collapsed="false">
      <c r="A7045" s="16" t="n">
        <v>45362</v>
      </c>
      <c r="B7045" s="17" t="s">
        <v>3369</v>
      </c>
      <c r="C7045" s="17" t="s">
        <v>3370</v>
      </c>
      <c r="D7045" s="17" t="s">
        <v>2895</v>
      </c>
      <c r="E7045" s="17" t="s">
        <v>3403</v>
      </c>
      <c r="F7045" s="17" t="s">
        <v>510</v>
      </c>
      <c r="G7045" s="18" t="n">
        <v>0</v>
      </c>
      <c r="H7045" s="18" t="n">
        <v>206.8</v>
      </c>
      <c r="I7045" s="18" t="n">
        <f aca="false">((I7044 + G7045) - H7045)</f>
        <v>155152.31</v>
      </c>
      <c r="J7045" s="18" t="n">
        <v>0</v>
      </c>
      <c r="K7045" s="19" t="n">
        <v>0</v>
      </c>
      <c r="L7045" s="17"/>
    </row>
    <row r="7046" s="11" customFormat="true" ht="10.95" hidden="false" customHeight="true" outlineLevel="0" collapsed="false">
      <c r="A7046" s="16" t="n">
        <v>45362</v>
      </c>
      <c r="B7046" s="17" t="s">
        <v>3369</v>
      </c>
      <c r="C7046" s="17" t="s">
        <v>3370</v>
      </c>
      <c r="D7046" s="17" t="s">
        <v>2895</v>
      </c>
      <c r="E7046" s="17" t="s">
        <v>3403</v>
      </c>
      <c r="F7046" s="17" t="s">
        <v>509</v>
      </c>
      <c r="G7046" s="18" t="n">
        <v>0</v>
      </c>
      <c r="H7046" s="18" t="n">
        <v>741.4</v>
      </c>
      <c r="I7046" s="18" t="n">
        <f aca="false">((I7045 + G7046) - H7046)</f>
        <v>154410.91</v>
      </c>
      <c r="J7046" s="18" t="n">
        <v>0</v>
      </c>
      <c r="K7046" s="19" t="n">
        <v>0</v>
      </c>
      <c r="L7046" s="17"/>
    </row>
    <row r="7047" s="11" customFormat="true" ht="10.95" hidden="false" customHeight="true" outlineLevel="0" collapsed="false">
      <c r="A7047" s="16" t="n">
        <v>45362</v>
      </c>
      <c r="B7047" s="17" t="s">
        <v>3369</v>
      </c>
      <c r="C7047" s="17" t="s">
        <v>3370</v>
      </c>
      <c r="D7047" s="17" t="s">
        <v>2895</v>
      </c>
      <c r="E7047" s="17" t="s">
        <v>3403</v>
      </c>
      <c r="F7047" s="17" t="s">
        <v>507</v>
      </c>
      <c r="G7047" s="18" t="n">
        <v>0</v>
      </c>
      <c r="H7047" s="18" t="n">
        <v>618.75</v>
      </c>
      <c r="I7047" s="18" t="n">
        <f aca="false">((I7046 + G7047) - H7047)</f>
        <v>153792.16</v>
      </c>
      <c r="J7047" s="18" t="n">
        <v>0</v>
      </c>
      <c r="K7047" s="19" t="n">
        <v>0</v>
      </c>
      <c r="L7047" s="17"/>
    </row>
    <row r="7048" s="11" customFormat="true" ht="10.95" hidden="false" customHeight="true" outlineLevel="0" collapsed="false">
      <c r="A7048" s="16" t="n">
        <v>45363</v>
      </c>
      <c r="B7048" s="17" t="s">
        <v>3369</v>
      </c>
      <c r="C7048" s="17" t="s">
        <v>3370</v>
      </c>
      <c r="D7048" s="17" t="s">
        <v>2895</v>
      </c>
      <c r="E7048" s="17" t="s">
        <v>3525</v>
      </c>
      <c r="F7048" s="17" t="s">
        <v>539</v>
      </c>
      <c r="G7048" s="18" t="n">
        <v>0</v>
      </c>
      <c r="H7048" s="18" t="n">
        <v>2138.4</v>
      </c>
      <c r="I7048" s="18" t="n">
        <f aca="false">((I7047 + G7048) - H7048)</f>
        <v>151653.76</v>
      </c>
      <c r="J7048" s="18" t="n">
        <v>0</v>
      </c>
      <c r="K7048" s="19" t="n">
        <v>0</v>
      </c>
      <c r="L7048" s="17"/>
    </row>
    <row r="7049" s="11" customFormat="true" ht="10.95" hidden="false" customHeight="true" outlineLevel="0" collapsed="false">
      <c r="A7049" s="16" t="n">
        <v>45363</v>
      </c>
      <c r="B7049" s="17" t="s">
        <v>3369</v>
      </c>
      <c r="C7049" s="17" t="s">
        <v>3370</v>
      </c>
      <c r="D7049" s="17" t="s">
        <v>2895</v>
      </c>
      <c r="E7049" s="17" t="s">
        <v>2900</v>
      </c>
      <c r="F7049" s="17" t="s">
        <v>1222</v>
      </c>
      <c r="G7049" s="18" t="n">
        <v>0</v>
      </c>
      <c r="H7049" s="18" t="n">
        <v>1766.4</v>
      </c>
      <c r="I7049" s="18" t="n">
        <f aca="false">((I7048 + G7049) - H7049)</f>
        <v>149887.36</v>
      </c>
      <c r="J7049" s="18" t="n">
        <v>0</v>
      </c>
      <c r="K7049" s="19" t="n">
        <v>0</v>
      </c>
      <c r="L7049" s="17"/>
    </row>
    <row r="7050" s="11" customFormat="true" ht="10.95" hidden="false" customHeight="true" outlineLevel="0" collapsed="false">
      <c r="A7050" s="16" t="n">
        <v>45366</v>
      </c>
      <c r="B7050" s="17" t="s">
        <v>3369</v>
      </c>
      <c r="C7050" s="17" t="s">
        <v>3370</v>
      </c>
      <c r="D7050" s="17" t="s">
        <v>19</v>
      </c>
      <c r="E7050" s="17" t="s">
        <v>3526</v>
      </c>
      <c r="F7050" s="17" t="s">
        <v>1016</v>
      </c>
      <c r="G7050" s="18" t="n">
        <v>11129.47</v>
      </c>
      <c r="H7050" s="18" t="n">
        <v>0</v>
      </c>
      <c r="I7050" s="18" t="n">
        <f aca="false">((I7049 + G7050) - H7050)</f>
        <v>161016.83</v>
      </c>
      <c r="J7050" s="18" t="n">
        <v>0</v>
      </c>
      <c r="K7050" s="19" t="n">
        <v>0</v>
      </c>
      <c r="L7050" s="17"/>
    </row>
    <row r="7051" s="11" customFormat="true" ht="10.95" hidden="false" customHeight="true" outlineLevel="0" collapsed="false">
      <c r="A7051" s="16" t="n">
        <v>45369</v>
      </c>
      <c r="B7051" s="17" t="s">
        <v>3369</v>
      </c>
      <c r="C7051" s="17" t="s">
        <v>3370</v>
      </c>
      <c r="D7051" s="17" t="s">
        <v>2895</v>
      </c>
      <c r="E7051" s="17" t="s">
        <v>3415</v>
      </c>
      <c r="F7051" s="17" t="s">
        <v>492</v>
      </c>
      <c r="G7051" s="18" t="n">
        <v>0</v>
      </c>
      <c r="H7051" s="18" t="n">
        <v>1052.7</v>
      </c>
      <c r="I7051" s="18" t="n">
        <f aca="false">((I7050 + G7051) - H7051)</f>
        <v>159964.13</v>
      </c>
      <c r="J7051" s="18" t="n">
        <v>0</v>
      </c>
      <c r="K7051" s="19" t="n">
        <v>0</v>
      </c>
      <c r="L7051" s="17"/>
    </row>
    <row r="7052" s="11" customFormat="true" ht="10.95" hidden="false" customHeight="true" outlineLevel="0" collapsed="false">
      <c r="A7052" s="16" t="n">
        <v>45369</v>
      </c>
      <c r="B7052" s="17" t="s">
        <v>3369</v>
      </c>
      <c r="C7052" s="17" t="s">
        <v>3370</v>
      </c>
      <c r="D7052" s="17" t="s">
        <v>2895</v>
      </c>
      <c r="E7052" s="17" t="s">
        <v>2934</v>
      </c>
      <c r="F7052" s="17" t="s">
        <v>941</v>
      </c>
      <c r="G7052" s="18" t="n">
        <v>0</v>
      </c>
      <c r="H7052" s="18" t="n">
        <v>5979.83</v>
      </c>
      <c r="I7052" s="18" t="n">
        <f aca="false">((I7051 + G7052) - H7052)</f>
        <v>153984.3</v>
      </c>
      <c r="J7052" s="18" t="n">
        <v>0</v>
      </c>
      <c r="K7052" s="19" t="n">
        <v>0</v>
      </c>
      <c r="L7052" s="17"/>
    </row>
    <row r="7053" s="11" customFormat="true" ht="10.95" hidden="false" customHeight="true" outlineLevel="0" collapsed="false">
      <c r="A7053" s="16" t="n">
        <v>45370</v>
      </c>
      <c r="B7053" s="17" t="s">
        <v>3369</v>
      </c>
      <c r="C7053" s="17" t="s">
        <v>3370</v>
      </c>
      <c r="D7053" s="17" t="s">
        <v>2895</v>
      </c>
      <c r="E7053" s="17" t="s">
        <v>3403</v>
      </c>
      <c r="F7053" s="17" t="s">
        <v>500</v>
      </c>
      <c r="G7053" s="18" t="n">
        <v>0</v>
      </c>
      <c r="H7053" s="18" t="n">
        <v>689.7</v>
      </c>
      <c r="I7053" s="18" t="n">
        <f aca="false">((I7052 + G7053) - H7053)</f>
        <v>153294.6</v>
      </c>
      <c r="J7053" s="18" t="n">
        <v>0</v>
      </c>
      <c r="K7053" s="19" t="n">
        <v>0</v>
      </c>
      <c r="L7053" s="17"/>
    </row>
    <row r="7054" s="11" customFormat="true" ht="10.95" hidden="false" customHeight="true" outlineLevel="0" collapsed="false">
      <c r="A7054" s="16" t="n">
        <v>45371</v>
      </c>
      <c r="B7054" s="17" t="s">
        <v>3369</v>
      </c>
      <c r="C7054" s="17" t="s">
        <v>3370</v>
      </c>
      <c r="D7054" s="17" t="s">
        <v>2895</v>
      </c>
      <c r="E7054" s="17" t="s">
        <v>2900</v>
      </c>
      <c r="F7054" s="17" t="s">
        <v>1219</v>
      </c>
      <c r="G7054" s="18" t="n">
        <v>0</v>
      </c>
      <c r="H7054" s="18" t="n">
        <v>811.03</v>
      </c>
      <c r="I7054" s="18" t="n">
        <f aca="false">((I7053 + G7054) - H7054)</f>
        <v>152483.57</v>
      </c>
      <c r="J7054" s="18" t="n">
        <v>0</v>
      </c>
      <c r="K7054" s="19" t="n">
        <v>0</v>
      </c>
      <c r="L7054" s="17"/>
    </row>
    <row r="7055" s="11" customFormat="true" ht="10.95" hidden="false" customHeight="true" outlineLevel="0" collapsed="false">
      <c r="A7055" s="16" t="n">
        <v>45371</v>
      </c>
      <c r="B7055" s="17" t="s">
        <v>3369</v>
      </c>
      <c r="C7055" s="17" t="s">
        <v>3370</v>
      </c>
      <c r="D7055" s="17" t="s">
        <v>2895</v>
      </c>
      <c r="E7055" s="17" t="s">
        <v>2900</v>
      </c>
      <c r="F7055" s="17" t="s">
        <v>1214</v>
      </c>
      <c r="G7055" s="18" t="n">
        <v>0</v>
      </c>
      <c r="H7055" s="18" t="n">
        <v>2300.37</v>
      </c>
      <c r="I7055" s="18" t="n">
        <f aca="false">((I7054 + G7055) - H7055)</f>
        <v>150183.2</v>
      </c>
      <c r="J7055" s="18" t="n">
        <v>0</v>
      </c>
      <c r="K7055" s="19" t="n">
        <v>0</v>
      </c>
      <c r="L7055" s="17"/>
    </row>
    <row r="7056" s="11" customFormat="true" ht="10.95" hidden="false" customHeight="true" outlineLevel="0" collapsed="false">
      <c r="A7056" s="16" t="n">
        <v>45371</v>
      </c>
      <c r="B7056" s="17" t="s">
        <v>3369</v>
      </c>
      <c r="C7056" s="17" t="s">
        <v>3370</v>
      </c>
      <c r="D7056" s="17" t="s">
        <v>2895</v>
      </c>
      <c r="E7056" s="17" t="s">
        <v>2900</v>
      </c>
      <c r="F7056" s="17" t="s">
        <v>1212</v>
      </c>
      <c r="G7056" s="18" t="n">
        <v>0</v>
      </c>
      <c r="H7056" s="18" t="n">
        <v>271.07</v>
      </c>
      <c r="I7056" s="18" t="n">
        <f aca="false">((I7055 + G7056) - H7056)</f>
        <v>149912.13</v>
      </c>
      <c r="J7056" s="18" t="n">
        <v>0</v>
      </c>
      <c r="K7056" s="19" t="n">
        <v>0</v>
      </c>
      <c r="L7056" s="17"/>
    </row>
    <row r="7057" s="11" customFormat="true" ht="10.95" hidden="false" customHeight="true" outlineLevel="0" collapsed="false">
      <c r="A7057" s="16" t="n">
        <v>45371</v>
      </c>
      <c r="B7057" s="17" t="s">
        <v>3369</v>
      </c>
      <c r="C7057" s="17" t="s">
        <v>3370</v>
      </c>
      <c r="D7057" s="17" t="s">
        <v>2895</v>
      </c>
      <c r="E7057" s="17" t="s">
        <v>2900</v>
      </c>
      <c r="F7057" s="17" t="s">
        <v>1218</v>
      </c>
      <c r="G7057" s="18" t="n">
        <v>0</v>
      </c>
      <c r="H7057" s="18" t="n">
        <v>43612.33</v>
      </c>
      <c r="I7057" s="18" t="n">
        <f aca="false">((I7056 + G7057) - H7057)</f>
        <v>106299.8</v>
      </c>
      <c r="J7057" s="18" t="n">
        <v>0</v>
      </c>
      <c r="K7057" s="19" t="n">
        <v>0</v>
      </c>
      <c r="L7057" s="17"/>
    </row>
    <row r="7058" s="11" customFormat="true" ht="10.95" hidden="false" customHeight="true" outlineLevel="0" collapsed="false">
      <c r="A7058" s="16" t="n">
        <v>45372</v>
      </c>
      <c r="B7058" s="17" t="s">
        <v>3369</v>
      </c>
      <c r="C7058" s="17" t="s">
        <v>3370</v>
      </c>
      <c r="D7058" s="17" t="s">
        <v>19</v>
      </c>
      <c r="E7058" s="17" t="s">
        <v>3502</v>
      </c>
      <c r="F7058" s="17" t="s">
        <v>544</v>
      </c>
      <c r="G7058" s="18" t="n">
        <v>78.65</v>
      </c>
      <c r="H7058" s="18" t="n">
        <v>0</v>
      </c>
      <c r="I7058" s="18" t="n">
        <f aca="false">((I7057 + G7058) - H7058)</f>
        <v>106378.45</v>
      </c>
      <c r="J7058" s="18" t="n">
        <v>0</v>
      </c>
      <c r="K7058" s="19" t="n">
        <v>0</v>
      </c>
      <c r="L7058" s="17"/>
    </row>
    <row r="7059" s="11" customFormat="true" ht="10.95" hidden="false" customHeight="true" outlineLevel="0" collapsed="false">
      <c r="A7059" s="16" t="n">
        <v>45372</v>
      </c>
      <c r="B7059" s="17" t="s">
        <v>3369</v>
      </c>
      <c r="C7059" s="17" t="s">
        <v>3370</v>
      </c>
      <c r="D7059" s="17" t="s">
        <v>3477</v>
      </c>
      <c r="E7059" s="17" t="s">
        <v>3502</v>
      </c>
      <c r="F7059" s="17" t="s">
        <v>544</v>
      </c>
      <c r="G7059" s="18" t="n">
        <v>0</v>
      </c>
      <c r="H7059" s="18" t="n">
        <v>78.65</v>
      </c>
      <c r="I7059" s="18" t="n">
        <f aca="false">((I7058 + G7059) - H7059)</f>
        <v>106299.8</v>
      </c>
      <c r="J7059" s="18" t="n">
        <v>0</v>
      </c>
      <c r="K7059" s="19" t="n">
        <v>0</v>
      </c>
      <c r="L7059" s="17"/>
    </row>
    <row r="7060" s="11" customFormat="true" ht="10.95" hidden="false" customHeight="true" outlineLevel="0" collapsed="false">
      <c r="A7060" s="16" t="n">
        <v>45372</v>
      </c>
      <c r="B7060" s="17" t="s">
        <v>3369</v>
      </c>
      <c r="C7060" s="17" t="s">
        <v>3370</v>
      </c>
      <c r="D7060" s="17" t="s">
        <v>3477</v>
      </c>
      <c r="E7060" s="17" t="s">
        <v>3502</v>
      </c>
      <c r="F7060" s="17" t="s">
        <v>473</v>
      </c>
      <c r="G7060" s="18" t="n">
        <v>78.65</v>
      </c>
      <c r="H7060" s="18" t="n">
        <v>0</v>
      </c>
      <c r="I7060" s="18" t="n">
        <f aca="false">((I7059 + G7060) - H7060)</f>
        <v>106378.45</v>
      </c>
      <c r="J7060" s="18" t="n">
        <v>0</v>
      </c>
      <c r="K7060" s="19" t="n">
        <v>0</v>
      </c>
      <c r="L7060" s="17"/>
    </row>
    <row r="7061" s="11" customFormat="true" ht="10.95" hidden="false" customHeight="true" outlineLevel="0" collapsed="false">
      <c r="A7061" s="16" t="n">
        <v>45372</v>
      </c>
      <c r="B7061" s="17" t="s">
        <v>3369</v>
      </c>
      <c r="C7061" s="17" t="s">
        <v>3370</v>
      </c>
      <c r="D7061" s="17" t="s">
        <v>19</v>
      </c>
      <c r="E7061" s="17" t="s">
        <v>3521</v>
      </c>
      <c r="F7061" s="17" t="s">
        <v>546</v>
      </c>
      <c r="G7061" s="18" t="n">
        <v>712.8</v>
      </c>
      <c r="H7061" s="18" t="n">
        <v>0</v>
      </c>
      <c r="I7061" s="18" t="n">
        <f aca="false">((I7060 + G7061) - H7061)</f>
        <v>107091.25</v>
      </c>
      <c r="J7061" s="18" t="n">
        <v>0</v>
      </c>
      <c r="K7061" s="19" t="n">
        <v>0</v>
      </c>
      <c r="L7061" s="17"/>
    </row>
    <row r="7062" s="11" customFormat="true" ht="10.95" hidden="false" customHeight="true" outlineLevel="0" collapsed="false">
      <c r="A7062" s="16" t="n">
        <v>45372</v>
      </c>
      <c r="B7062" s="17" t="s">
        <v>3369</v>
      </c>
      <c r="C7062" s="17" t="s">
        <v>3370</v>
      </c>
      <c r="D7062" s="17" t="s">
        <v>19</v>
      </c>
      <c r="E7062" s="17" t="s">
        <v>3520</v>
      </c>
      <c r="F7062" s="17" t="s">
        <v>1018</v>
      </c>
      <c r="G7062" s="18" t="n">
        <v>223.12</v>
      </c>
      <c r="H7062" s="18" t="n">
        <v>0</v>
      </c>
      <c r="I7062" s="18" t="n">
        <f aca="false">((I7061 + G7062) - H7062)</f>
        <v>107314.37</v>
      </c>
      <c r="J7062" s="18" t="n">
        <v>0</v>
      </c>
      <c r="K7062" s="19" t="n">
        <v>0</v>
      </c>
      <c r="L7062" s="17"/>
    </row>
    <row r="7063" s="11" customFormat="true" ht="10.95" hidden="false" customHeight="true" outlineLevel="0" collapsed="false">
      <c r="A7063" s="16" t="n">
        <v>45372</v>
      </c>
      <c r="B7063" s="17" t="s">
        <v>3369</v>
      </c>
      <c r="C7063" s="17" t="s">
        <v>3370</v>
      </c>
      <c r="D7063" s="17" t="s">
        <v>19</v>
      </c>
      <c r="E7063" s="17" t="s">
        <v>3381</v>
      </c>
      <c r="F7063" s="17" t="s">
        <v>1019</v>
      </c>
      <c r="G7063" s="18" t="n">
        <v>909.01</v>
      </c>
      <c r="H7063" s="18" t="n">
        <v>0</v>
      </c>
      <c r="I7063" s="18" t="n">
        <f aca="false">((I7062 + G7063) - H7063)</f>
        <v>108223.38</v>
      </c>
      <c r="J7063" s="18" t="n">
        <v>0</v>
      </c>
      <c r="K7063" s="19" t="n">
        <v>0</v>
      </c>
      <c r="L7063" s="17"/>
    </row>
    <row r="7064" s="11" customFormat="true" ht="10.95" hidden="false" customHeight="true" outlineLevel="0" collapsed="false">
      <c r="A7064" s="16" t="n">
        <v>45372</v>
      </c>
      <c r="B7064" s="17" t="s">
        <v>3369</v>
      </c>
      <c r="C7064" s="17" t="s">
        <v>3370</v>
      </c>
      <c r="D7064" s="17" t="s">
        <v>19</v>
      </c>
      <c r="E7064" s="17" t="s">
        <v>3501</v>
      </c>
      <c r="F7064" s="17" t="s">
        <v>547</v>
      </c>
      <c r="G7064" s="18" t="n">
        <v>157.3</v>
      </c>
      <c r="H7064" s="18" t="n">
        <v>0</v>
      </c>
      <c r="I7064" s="18" t="n">
        <f aca="false">((I7063 + G7064) - H7064)</f>
        <v>108380.68</v>
      </c>
      <c r="J7064" s="18" t="n">
        <v>0</v>
      </c>
      <c r="K7064" s="19" t="n">
        <v>0</v>
      </c>
      <c r="L7064" s="17"/>
    </row>
    <row r="7065" s="11" customFormat="true" ht="10.95" hidden="false" customHeight="true" outlineLevel="0" collapsed="false">
      <c r="A7065" s="16" t="n">
        <v>45372</v>
      </c>
      <c r="B7065" s="17" t="s">
        <v>3369</v>
      </c>
      <c r="C7065" s="17" t="s">
        <v>3370</v>
      </c>
      <c r="D7065" s="17" t="s">
        <v>19</v>
      </c>
      <c r="E7065" s="17" t="s">
        <v>3489</v>
      </c>
      <c r="F7065" s="17" t="s">
        <v>1020</v>
      </c>
      <c r="G7065" s="18" t="n">
        <v>1826.27</v>
      </c>
      <c r="H7065" s="18" t="n">
        <v>0</v>
      </c>
      <c r="I7065" s="18" t="n">
        <f aca="false">((I7064 + G7065) - H7065)</f>
        <v>110206.95</v>
      </c>
      <c r="J7065" s="18" t="n">
        <v>0</v>
      </c>
      <c r="K7065" s="19" t="n">
        <v>0</v>
      </c>
      <c r="L7065" s="17"/>
    </row>
    <row r="7066" s="11" customFormat="true" ht="10.95" hidden="false" customHeight="true" outlineLevel="0" collapsed="false">
      <c r="A7066" s="16" t="n">
        <v>45372</v>
      </c>
      <c r="B7066" s="17" t="s">
        <v>3369</v>
      </c>
      <c r="C7066" s="17" t="s">
        <v>3370</v>
      </c>
      <c r="D7066" s="17" t="s">
        <v>19</v>
      </c>
      <c r="E7066" s="17" t="s">
        <v>3490</v>
      </c>
      <c r="F7066" s="17" t="s">
        <v>548</v>
      </c>
      <c r="G7066" s="18" t="n">
        <v>1034.55</v>
      </c>
      <c r="H7066" s="18" t="n">
        <v>0</v>
      </c>
      <c r="I7066" s="18" t="n">
        <f aca="false">((I7065 + G7066) - H7066)</f>
        <v>111241.5</v>
      </c>
      <c r="J7066" s="18" t="n">
        <v>0</v>
      </c>
      <c r="K7066" s="19" t="n">
        <v>0</v>
      </c>
      <c r="L7066" s="17"/>
    </row>
    <row r="7067" s="11" customFormat="true" ht="10.95" hidden="false" customHeight="true" outlineLevel="0" collapsed="false">
      <c r="A7067" s="16" t="n">
        <v>45372</v>
      </c>
      <c r="B7067" s="17" t="s">
        <v>3369</v>
      </c>
      <c r="C7067" s="17" t="s">
        <v>3370</v>
      </c>
      <c r="D7067" s="17" t="s">
        <v>19</v>
      </c>
      <c r="E7067" s="17" t="s">
        <v>3422</v>
      </c>
      <c r="F7067" s="17" t="s">
        <v>1021</v>
      </c>
      <c r="G7067" s="18" t="n">
        <v>9763.51</v>
      </c>
      <c r="H7067" s="18" t="n">
        <v>0</v>
      </c>
      <c r="I7067" s="18" t="n">
        <f aca="false">((I7066 + G7067) - H7067)</f>
        <v>121005.01</v>
      </c>
      <c r="J7067" s="18" t="n">
        <v>0</v>
      </c>
      <c r="K7067" s="19" t="n">
        <v>0</v>
      </c>
      <c r="L7067" s="17"/>
    </row>
    <row r="7068" s="11" customFormat="true" ht="10.95" hidden="false" customHeight="true" outlineLevel="0" collapsed="false">
      <c r="A7068" s="16" t="n">
        <v>45372</v>
      </c>
      <c r="B7068" s="17" t="s">
        <v>3369</v>
      </c>
      <c r="C7068" s="17" t="s">
        <v>3370</v>
      </c>
      <c r="D7068" s="17" t="s">
        <v>19</v>
      </c>
      <c r="E7068" s="17" t="s">
        <v>3423</v>
      </c>
      <c r="F7068" s="17" t="s">
        <v>891</v>
      </c>
      <c r="G7068" s="18" t="n">
        <v>90.42</v>
      </c>
      <c r="H7068" s="18" t="n">
        <v>0</v>
      </c>
      <c r="I7068" s="18" t="n">
        <f aca="false">((I7067 + G7068) - H7068)</f>
        <v>121095.43</v>
      </c>
      <c r="J7068" s="18" t="n">
        <v>0</v>
      </c>
      <c r="K7068" s="19" t="n">
        <v>0</v>
      </c>
      <c r="L7068" s="17"/>
    </row>
    <row r="7069" s="11" customFormat="true" ht="10.95" hidden="false" customHeight="true" outlineLevel="0" collapsed="false">
      <c r="A7069" s="16" t="n">
        <v>45372</v>
      </c>
      <c r="B7069" s="17" t="s">
        <v>3369</v>
      </c>
      <c r="C7069" s="17" t="s">
        <v>3370</v>
      </c>
      <c r="D7069" s="17" t="s">
        <v>19</v>
      </c>
      <c r="E7069" s="17" t="s">
        <v>3424</v>
      </c>
      <c r="F7069" s="17" t="s">
        <v>549</v>
      </c>
      <c r="G7069" s="18" t="n">
        <v>413.6</v>
      </c>
      <c r="H7069" s="18" t="n">
        <v>0</v>
      </c>
      <c r="I7069" s="18" t="n">
        <f aca="false">((I7068 + G7069) - H7069)</f>
        <v>121509.03</v>
      </c>
      <c r="J7069" s="18" t="n">
        <v>0</v>
      </c>
      <c r="K7069" s="19" t="n">
        <v>0</v>
      </c>
      <c r="L7069" s="17"/>
    </row>
    <row r="7070" s="11" customFormat="true" ht="10.95" hidden="false" customHeight="true" outlineLevel="0" collapsed="false">
      <c r="A7070" s="16" t="n">
        <v>45372</v>
      </c>
      <c r="B7070" s="17" t="s">
        <v>3369</v>
      </c>
      <c r="C7070" s="17" t="s">
        <v>3370</v>
      </c>
      <c r="D7070" s="17" t="s">
        <v>19</v>
      </c>
      <c r="E7070" s="17" t="s">
        <v>3425</v>
      </c>
      <c r="F7070" s="17" t="s">
        <v>1223</v>
      </c>
      <c r="G7070" s="18" t="n">
        <v>764.01</v>
      </c>
      <c r="H7070" s="18" t="n">
        <v>0</v>
      </c>
      <c r="I7070" s="18" t="n">
        <f aca="false">((I7069 + G7070) - H7070)</f>
        <v>122273.04</v>
      </c>
      <c r="J7070" s="18" t="n">
        <v>0</v>
      </c>
      <c r="K7070" s="19" t="n">
        <v>0</v>
      </c>
      <c r="L7070" s="17"/>
    </row>
    <row r="7071" s="11" customFormat="true" ht="10.95" hidden="false" customHeight="true" outlineLevel="0" collapsed="false">
      <c r="A7071" s="16" t="n">
        <v>45372</v>
      </c>
      <c r="B7071" s="17" t="s">
        <v>3369</v>
      </c>
      <c r="C7071" s="17" t="s">
        <v>3370</v>
      </c>
      <c r="D7071" s="17" t="s">
        <v>19</v>
      </c>
      <c r="E7071" s="17" t="s">
        <v>3426</v>
      </c>
      <c r="F7071" s="17" t="s">
        <v>550</v>
      </c>
      <c r="G7071" s="18" t="n">
        <v>1512.5</v>
      </c>
      <c r="H7071" s="18" t="n">
        <v>0</v>
      </c>
      <c r="I7071" s="18" t="n">
        <f aca="false">((I7070 + G7071) - H7071)</f>
        <v>123785.54</v>
      </c>
      <c r="J7071" s="18" t="n">
        <v>0</v>
      </c>
      <c r="K7071" s="19" t="n">
        <v>0</v>
      </c>
      <c r="L7071" s="17"/>
    </row>
    <row r="7072" s="11" customFormat="true" ht="10.95" hidden="false" customHeight="true" outlineLevel="0" collapsed="false">
      <c r="A7072" s="16" t="n">
        <v>45372</v>
      </c>
      <c r="B7072" s="17" t="s">
        <v>3369</v>
      </c>
      <c r="C7072" s="17" t="s">
        <v>3370</v>
      </c>
      <c r="D7072" s="17" t="s">
        <v>19</v>
      </c>
      <c r="E7072" s="17" t="s">
        <v>3427</v>
      </c>
      <c r="F7072" s="17" t="s">
        <v>551</v>
      </c>
      <c r="G7072" s="18" t="n">
        <v>654.5</v>
      </c>
      <c r="H7072" s="18" t="n">
        <v>0</v>
      </c>
      <c r="I7072" s="18" t="n">
        <f aca="false">((I7071 + G7072) - H7072)</f>
        <v>124440.04</v>
      </c>
      <c r="J7072" s="18" t="n">
        <v>0</v>
      </c>
      <c r="K7072" s="19" t="n">
        <v>0</v>
      </c>
      <c r="L7072" s="17"/>
    </row>
    <row r="7073" s="11" customFormat="true" ht="10.95" hidden="false" customHeight="true" outlineLevel="0" collapsed="false">
      <c r="A7073" s="16" t="n">
        <v>45372</v>
      </c>
      <c r="B7073" s="17" t="s">
        <v>3369</v>
      </c>
      <c r="C7073" s="17" t="s">
        <v>3370</v>
      </c>
      <c r="D7073" s="17" t="s">
        <v>19</v>
      </c>
      <c r="E7073" s="17" t="s">
        <v>3428</v>
      </c>
      <c r="F7073" s="17" t="s">
        <v>552</v>
      </c>
      <c r="G7073" s="18" t="n">
        <v>1385.45</v>
      </c>
      <c r="H7073" s="18" t="n">
        <v>0</v>
      </c>
      <c r="I7073" s="18" t="n">
        <f aca="false">((I7072 + G7073) - H7073)</f>
        <v>125825.49</v>
      </c>
      <c r="J7073" s="18" t="n">
        <v>0</v>
      </c>
      <c r="K7073" s="19" t="n">
        <v>0</v>
      </c>
      <c r="L7073" s="17"/>
    </row>
    <row r="7074" s="11" customFormat="true" ht="10.95" hidden="false" customHeight="true" outlineLevel="0" collapsed="false">
      <c r="A7074" s="16" t="n">
        <v>45372</v>
      </c>
      <c r="B7074" s="17" t="s">
        <v>3369</v>
      </c>
      <c r="C7074" s="17" t="s">
        <v>3370</v>
      </c>
      <c r="D7074" s="17" t="s">
        <v>19</v>
      </c>
      <c r="E7074" s="17" t="s">
        <v>3429</v>
      </c>
      <c r="F7074" s="17" t="s">
        <v>553</v>
      </c>
      <c r="G7074" s="18" t="n">
        <v>93.5</v>
      </c>
      <c r="H7074" s="18" t="n">
        <v>0</v>
      </c>
      <c r="I7074" s="18" t="n">
        <f aca="false">((I7073 + G7074) - H7074)</f>
        <v>125918.99</v>
      </c>
      <c r="J7074" s="18" t="n">
        <v>0</v>
      </c>
      <c r="K7074" s="19" t="n">
        <v>0</v>
      </c>
      <c r="L7074" s="17"/>
    </row>
    <row r="7075" s="11" customFormat="true" ht="10.95" hidden="false" customHeight="true" outlineLevel="0" collapsed="false">
      <c r="A7075" s="16" t="n">
        <v>45372</v>
      </c>
      <c r="B7075" s="17" t="s">
        <v>3369</v>
      </c>
      <c r="C7075" s="17" t="s">
        <v>3370</v>
      </c>
      <c r="D7075" s="17" t="s">
        <v>19</v>
      </c>
      <c r="E7075" s="17" t="s">
        <v>3430</v>
      </c>
      <c r="F7075" s="17" t="s">
        <v>892</v>
      </c>
      <c r="G7075" s="18" t="n">
        <v>609.21</v>
      </c>
      <c r="H7075" s="18" t="n">
        <v>0</v>
      </c>
      <c r="I7075" s="18" t="n">
        <f aca="false">((I7074 + G7075) - H7075)</f>
        <v>126528.2</v>
      </c>
      <c r="J7075" s="18" t="n">
        <v>0</v>
      </c>
      <c r="K7075" s="19" t="n">
        <v>0</v>
      </c>
      <c r="L7075" s="17"/>
    </row>
    <row r="7076" s="11" customFormat="true" ht="10.95" hidden="false" customHeight="true" outlineLevel="0" collapsed="false">
      <c r="A7076" s="16" t="n">
        <v>45372</v>
      </c>
      <c r="B7076" s="17" t="s">
        <v>3369</v>
      </c>
      <c r="C7076" s="17" t="s">
        <v>3370</v>
      </c>
      <c r="D7076" s="17" t="s">
        <v>19</v>
      </c>
      <c r="E7076" s="17" t="s">
        <v>3430</v>
      </c>
      <c r="F7076" s="17" t="s">
        <v>893</v>
      </c>
      <c r="G7076" s="18" t="n">
        <v>484.88</v>
      </c>
      <c r="H7076" s="18" t="n">
        <v>0</v>
      </c>
      <c r="I7076" s="18" t="n">
        <f aca="false">((I7075 + G7076) - H7076)</f>
        <v>127013.08</v>
      </c>
      <c r="J7076" s="18" t="n">
        <v>0</v>
      </c>
      <c r="K7076" s="19" t="n">
        <v>0</v>
      </c>
      <c r="L7076" s="17"/>
    </row>
    <row r="7077" s="11" customFormat="true" ht="10.95" hidden="false" customHeight="true" outlineLevel="0" collapsed="false">
      <c r="A7077" s="16" t="n">
        <v>45372</v>
      </c>
      <c r="B7077" s="17" t="s">
        <v>3369</v>
      </c>
      <c r="C7077" s="17" t="s">
        <v>3370</v>
      </c>
      <c r="D7077" s="17" t="s">
        <v>19</v>
      </c>
      <c r="E7077" s="17" t="s">
        <v>3430</v>
      </c>
      <c r="F7077" s="17" t="s">
        <v>894</v>
      </c>
      <c r="G7077" s="18" t="n">
        <v>323.25</v>
      </c>
      <c r="H7077" s="18" t="n">
        <v>0</v>
      </c>
      <c r="I7077" s="18" t="n">
        <f aca="false">((I7076 + G7077) - H7077)</f>
        <v>127336.33</v>
      </c>
      <c r="J7077" s="18" t="n">
        <v>0</v>
      </c>
      <c r="K7077" s="19" t="n">
        <v>0</v>
      </c>
      <c r="L7077" s="17"/>
    </row>
    <row r="7078" s="11" customFormat="true" ht="10.95" hidden="false" customHeight="true" outlineLevel="0" collapsed="false">
      <c r="A7078" s="16" t="n">
        <v>45372</v>
      </c>
      <c r="B7078" s="17" t="s">
        <v>3369</v>
      </c>
      <c r="C7078" s="17" t="s">
        <v>3370</v>
      </c>
      <c r="D7078" s="17" t="s">
        <v>19</v>
      </c>
      <c r="E7078" s="17" t="s">
        <v>3431</v>
      </c>
      <c r="F7078" s="17" t="s">
        <v>554</v>
      </c>
      <c r="G7078" s="18" t="n">
        <v>357.5</v>
      </c>
      <c r="H7078" s="18" t="n">
        <v>0</v>
      </c>
      <c r="I7078" s="18" t="n">
        <f aca="false">((I7077 + G7078) - H7078)</f>
        <v>127693.83</v>
      </c>
      <c r="J7078" s="18" t="n">
        <v>0</v>
      </c>
      <c r="K7078" s="19" t="n">
        <v>0</v>
      </c>
      <c r="L7078" s="17"/>
    </row>
    <row r="7079" s="11" customFormat="true" ht="10.95" hidden="false" customHeight="true" outlineLevel="0" collapsed="false">
      <c r="A7079" s="16" t="n">
        <v>45372</v>
      </c>
      <c r="B7079" s="17" t="s">
        <v>3369</v>
      </c>
      <c r="C7079" s="17" t="s">
        <v>3370</v>
      </c>
      <c r="D7079" s="17" t="s">
        <v>19</v>
      </c>
      <c r="E7079" s="17" t="s">
        <v>3432</v>
      </c>
      <c r="F7079" s="17" t="s">
        <v>555</v>
      </c>
      <c r="G7079" s="18" t="n">
        <v>1094.5</v>
      </c>
      <c r="H7079" s="18" t="n">
        <v>0</v>
      </c>
      <c r="I7079" s="18" t="n">
        <f aca="false">((I7078 + G7079) - H7079)</f>
        <v>128788.33</v>
      </c>
      <c r="J7079" s="18" t="n">
        <v>0</v>
      </c>
      <c r="K7079" s="19" t="n">
        <v>0</v>
      </c>
      <c r="L7079" s="17"/>
    </row>
    <row r="7080" s="11" customFormat="true" ht="10.95" hidden="false" customHeight="true" outlineLevel="0" collapsed="false">
      <c r="A7080" s="16" t="n">
        <v>45372</v>
      </c>
      <c r="B7080" s="17" t="s">
        <v>3369</v>
      </c>
      <c r="C7080" s="17" t="s">
        <v>3370</v>
      </c>
      <c r="D7080" s="17" t="s">
        <v>19</v>
      </c>
      <c r="E7080" s="17" t="s">
        <v>3434</v>
      </c>
      <c r="F7080" s="17" t="s">
        <v>556</v>
      </c>
      <c r="G7080" s="18" t="n">
        <v>396</v>
      </c>
      <c r="H7080" s="18" t="n">
        <v>0</v>
      </c>
      <c r="I7080" s="18" t="n">
        <f aca="false">((I7079 + G7080) - H7080)</f>
        <v>129184.33</v>
      </c>
      <c r="J7080" s="18" t="n">
        <v>0</v>
      </c>
      <c r="K7080" s="19" t="n">
        <v>0</v>
      </c>
      <c r="L7080" s="17"/>
    </row>
    <row r="7081" s="11" customFormat="true" ht="10.95" hidden="false" customHeight="true" outlineLevel="0" collapsed="false">
      <c r="A7081" s="16" t="n">
        <v>45372</v>
      </c>
      <c r="B7081" s="17" t="s">
        <v>3369</v>
      </c>
      <c r="C7081" s="17" t="s">
        <v>3370</v>
      </c>
      <c r="D7081" s="17" t="s">
        <v>19</v>
      </c>
      <c r="E7081" s="17" t="s">
        <v>3435</v>
      </c>
      <c r="F7081" s="17" t="s">
        <v>557</v>
      </c>
      <c r="G7081" s="18" t="n">
        <v>2244</v>
      </c>
      <c r="H7081" s="18" t="n">
        <v>0</v>
      </c>
      <c r="I7081" s="18" t="n">
        <f aca="false">((I7080 + G7081) - H7081)</f>
        <v>131428.33</v>
      </c>
      <c r="J7081" s="18" t="n">
        <v>0</v>
      </c>
      <c r="K7081" s="19" t="n">
        <v>0</v>
      </c>
      <c r="L7081" s="17"/>
    </row>
    <row r="7082" s="11" customFormat="true" ht="10.95" hidden="false" customHeight="true" outlineLevel="0" collapsed="false">
      <c r="A7082" s="16" t="n">
        <v>45372</v>
      </c>
      <c r="B7082" s="17" t="s">
        <v>3369</v>
      </c>
      <c r="C7082" s="17" t="s">
        <v>3370</v>
      </c>
      <c r="D7082" s="17" t="s">
        <v>19</v>
      </c>
      <c r="E7082" s="17" t="s">
        <v>3436</v>
      </c>
      <c r="F7082" s="17" t="s">
        <v>895</v>
      </c>
      <c r="G7082" s="18" t="n">
        <v>2403.5</v>
      </c>
      <c r="H7082" s="18" t="n">
        <v>0</v>
      </c>
      <c r="I7082" s="18" t="n">
        <f aca="false">((I7081 + G7082) - H7082)</f>
        <v>133831.83</v>
      </c>
      <c r="J7082" s="18" t="n">
        <v>0</v>
      </c>
      <c r="K7082" s="19" t="n">
        <v>0</v>
      </c>
      <c r="L7082" s="17"/>
    </row>
    <row r="7083" s="11" customFormat="true" ht="10.95" hidden="false" customHeight="true" outlineLevel="0" collapsed="false">
      <c r="A7083" s="16" t="n">
        <v>45372</v>
      </c>
      <c r="B7083" s="17" t="s">
        <v>3369</v>
      </c>
      <c r="C7083" s="17" t="s">
        <v>3370</v>
      </c>
      <c r="D7083" s="17" t="s">
        <v>19</v>
      </c>
      <c r="E7083" s="17" t="s">
        <v>3436</v>
      </c>
      <c r="F7083" s="17" t="s">
        <v>896</v>
      </c>
      <c r="G7083" s="18" t="n">
        <v>1001</v>
      </c>
      <c r="H7083" s="18" t="n">
        <v>0</v>
      </c>
      <c r="I7083" s="18" t="n">
        <f aca="false">((I7082 + G7083) - H7083)</f>
        <v>134832.83</v>
      </c>
      <c r="J7083" s="18" t="n">
        <v>0</v>
      </c>
      <c r="K7083" s="19" t="n">
        <v>0</v>
      </c>
      <c r="L7083" s="17"/>
    </row>
    <row r="7084" s="11" customFormat="true" ht="10.95" hidden="false" customHeight="true" outlineLevel="0" collapsed="false">
      <c r="A7084" s="16" t="n">
        <v>45372</v>
      </c>
      <c r="B7084" s="17" t="s">
        <v>3369</v>
      </c>
      <c r="C7084" s="17" t="s">
        <v>3370</v>
      </c>
      <c r="D7084" s="17" t="s">
        <v>19</v>
      </c>
      <c r="E7084" s="17" t="s">
        <v>3436</v>
      </c>
      <c r="F7084" s="17" t="s">
        <v>897</v>
      </c>
      <c r="G7084" s="18" t="n">
        <v>1672</v>
      </c>
      <c r="H7084" s="18" t="n">
        <v>0</v>
      </c>
      <c r="I7084" s="18" t="n">
        <f aca="false">((I7083 + G7084) - H7084)</f>
        <v>136504.83</v>
      </c>
      <c r="J7084" s="18" t="n">
        <v>0</v>
      </c>
      <c r="K7084" s="19" t="n">
        <v>0</v>
      </c>
      <c r="L7084" s="17"/>
    </row>
    <row r="7085" s="11" customFormat="true" ht="10.95" hidden="false" customHeight="true" outlineLevel="0" collapsed="false">
      <c r="A7085" s="16" t="n">
        <v>45372</v>
      </c>
      <c r="B7085" s="17" t="s">
        <v>3369</v>
      </c>
      <c r="C7085" s="17" t="s">
        <v>3370</v>
      </c>
      <c r="D7085" s="17" t="s">
        <v>19</v>
      </c>
      <c r="E7085" s="17" t="s">
        <v>3437</v>
      </c>
      <c r="F7085" s="17" t="s">
        <v>558</v>
      </c>
      <c r="G7085" s="18" t="n">
        <v>1100.06</v>
      </c>
      <c r="H7085" s="18" t="n">
        <v>0</v>
      </c>
      <c r="I7085" s="18" t="n">
        <f aca="false">((I7084 + G7085) - H7085)</f>
        <v>137604.89</v>
      </c>
      <c r="J7085" s="18" t="n">
        <v>0</v>
      </c>
      <c r="K7085" s="19" t="n">
        <v>0</v>
      </c>
      <c r="L7085" s="17"/>
    </row>
    <row r="7086" s="11" customFormat="true" ht="10.95" hidden="false" customHeight="true" outlineLevel="0" collapsed="false">
      <c r="A7086" s="16" t="n">
        <v>45372</v>
      </c>
      <c r="B7086" s="17" t="s">
        <v>3369</v>
      </c>
      <c r="C7086" s="17" t="s">
        <v>3370</v>
      </c>
      <c r="D7086" s="17" t="s">
        <v>19</v>
      </c>
      <c r="E7086" s="17" t="s">
        <v>3438</v>
      </c>
      <c r="F7086" s="17" t="s">
        <v>1224</v>
      </c>
      <c r="G7086" s="18" t="n">
        <v>3092.87</v>
      </c>
      <c r="H7086" s="18" t="n">
        <v>0</v>
      </c>
      <c r="I7086" s="18" t="n">
        <f aca="false">((I7085 + G7086) - H7086)</f>
        <v>140697.76</v>
      </c>
      <c r="J7086" s="18" t="n">
        <v>0</v>
      </c>
      <c r="K7086" s="19" t="n">
        <v>0</v>
      </c>
      <c r="L7086" s="17"/>
    </row>
    <row r="7087" s="11" customFormat="true" ht="10.95" hidden="false" customHeight="true" outlineLevel="0" collapsed="false">
      <c r="A7087" s="16" t="n">
        <v>45372</v>
      </c>
      <c r="B7087" s="17" t="s">
        <v>3369</v>
      </c>
      <c r="C7087" s="17" t="s">
        <v>3370</v>
      </c>
      <c r="D7087" s="17" t="s">
        <v>19</v>
      </c>
      <c r="E7087" s="17" t="s">
        <v>3439</v>
      </c>
      <c r="F7087" s="17" t="s">
        <v>559</v>
      </c>
      <c r="G7087" s="18" t="n">
        <v>1052.7</v>
      </c>
      <c r="H7087" s="18" t="n">
        <v>0</v>
      </c>
      <c r="I7087" s="18" t="n">
        <f aca="false">((I7086 + G7087) - H7087)</f>
        <v>141750.46</v>
      </c>
      <c r="J7087" s="18" t="n">
        <v>0</v>
      </c>
      <c r="K7087" s="19" t="n">
        <v>0</v>
      </c>
      <c r="L7087" s="17"/>
    </row>
    <row r="7088" s="11" customFormat="true" ht="10.95" hidden="false" customHeight="true" outlineLevel="0" collapsed="false">
      <c r="A7088" s="16" t="n">
        <v>45372</v>
      </c>
      <c r="B7088" s="17" t="s">
        <v>3369</v>
      </c>
      <c r="C7088" s="17" t="s">
        <v>3370</v>
      </c>
      <c r="D7088" s="17" t="s">
        <v>19</v>
      </c>
      <c r="E7088" s="17" t="s">
        <v>3440</v>
      </c>
      <c r="F7088" s="17" t="s">
        <v>1225</v>
      </c>
      <c r="G7088" s="18" t="n">
        <v>1496.07</v>
      </c>
      <c r="H7088" s="18" t="n">
        <v>0</v>
      </c>
      <c r="I7088" s="18" t="n">
        <f aca="false">((I7087 + G7088) - H7088)</f>
        <v>143246.53</v>
      </c>
      <c r="J7088" s="18" t="n">
        <v>0</v>
      </c>
      <c r="K7088" s="19" t="n">
        <v>0</v>
      </c>
      <c r="L7088" s="17"/>
    </row>
    <row r="7089" s="11" customFormat="true" ht="10.95" hidden="false" customHeight="true" outlineLevel="0" collapsed="false">
      <c r="A7089" s="16" t="n">
        <v>45372</v>
      </c>
      <c r="B7089" s="17" t="s">
        <v>3369</v>
      </c>
      <c r="C7089" s="17" t="s">
        <v>3370</v>
      </c>
      <c r="D7089" s="17" t="s">
        <v>19</v>
      </c>
      <c r="E7089" s="17" t="s">
        <v>3441</v>
      </c>
      <c r="F7089" s="17" t="s">
        <v>1226</v>
      </c>
      <c r="G7089" s="18" t="n">
        <v>180</v>
      </c>
      <c r="H7089" s="18" t="n">
        <v>0</v>
      </c>
      <c r="I7089" s="18" t="n">
        <f aca="false">((I7088 + G7089) - H7089)</f>
        <v>143426.53</v>
      </c>
      <c r="J7089" s="18" t="n">
        <v>0</v>
      </c>
      <c r="K7089" s="19" t="n">
        <v>0</v>
      </c>
      <c r="L7089" s="17"/>
    </row>
    <row r="7090" s="11" customFormat="true" ht="10.95" hidden="false" customHeight="true" outlineLevel="0" collapsed="false">
      <c r="A7090" s="16" t="n">
        <v>45372</v>
      </c>
      <c r="B7090" s="17" t="s">
        <v>3369</v>
      </c>
      <c r="C7090" s="17" t="s">
        <v>3370</v>
      </c>
      <c r="D7090" s="17" t="s">
        <v>19</v>
      </c>
      <c r="E7090" s="17" t="s">
        <v>3442</v>
      </c>
      <c r="F7090" s="17" t="s">
        <v>560</v>
      </c>
      <c r="G7090" s="18" t="n">
        <v>9999</v>
      </c>
      <c r="H7090" s="18" t="n">
        <v>0</v>
      </c>
      <c r="I7090" s="18" t="n">
        <f aca="false">((I7089 + G7090) - H7090)</f>
        <v>153425.53</v>
      </c>
      <c r="J7090" s="18" t="n">
        <v>0</v>
      </c>
      <c r="K7090" s="19" t="n">
        <v>0</v>
      </c>
      <c r="L7090" s="17"/>
    </row>
    <row r="7091" s="11" customFormat="true" ht="10.95" hidden="false" customHeight="true" outlineLevel="0" collapsed="false">
      <c r="A7091" s="16" t="n">
        <v>45372</v>
      </c>
      <c r="B7091" s="17" t="s">
        <v>3369</v>
      </c>
      <c r="C7091" s="17" t="s">
        <v>3370</v>
      </c>
      <c r="D7091" s="17" t="s">
        <v>19</v>
      </c>
      <c r="E7091" s="17" t="s">
        <v>3442</v>
      </c>
      <c r="F7091" s="17" t="s">
        <v>561</v>
      </c>
      <c r="G7091" s="18" t="n">
        <v>9999</v>
      </c>
      <c r="H7091" s="18" t="n">
        <v>0</v>
      </c>
      <c r="I7091" s="18" t="n">
        <f aca="false">((I7090 + G7091) - H7091)</f>
        <v>163424.53</v>
      </c>
      <c r="J7091" s="18" t="n">
        <v>0</v>
      </c>
      <c r="K7091" s="19" t="n">
        <v>0</v>
      </c>
      <c r="L7091" s="17"/>
    </row>
    <row r="7092" s="11" customFormat="true" ht="10.95" hidden="false" customHeight="true" outlineLevel="0" collapsed="false">
      <c r="A7092" s="16" t="n">
        <v>45372</v>
      </c>
      <c r="B7092" s="17" t="s">
        <v>3369</v>
      </c>
      <c r="C7092" s="17" t="s">
        <v>3370</v>
      </c>
      <c r="D7092" s="17" t="s">
        <v>19</v>
      </c>
      <c r="E7092" s="17" t="s">
        <v>3443</v>
      </c>
      <c r="F7092" s="17" t="s">
        <v>562</v>
      </c>
      <c r="G7092" s="18" t="n">
        <v>4994</v>
      </c>
      <c r="H7092" s="18" t="n">
        <v>0</v>
      </c>
      <c r="I7092" s="18" t="n">
        <f aca="false">((I7091 + G7092) - H7092)</f>
        <v>168418.53</v>
      </c>
      <c r="J7092" s="18" t="n">
        <v>0</v>
      </c>
      <c r="K7092" s="19" t="n">
        <v>0</v>
      </c>
      <c r="L7092" s="17"/>
    </row>
    <row r="7093" s="11" customFormat="true" ht="10.95" hidden="false" customHeight="true" outlineLevel="0" collapsed="false">
      <c r="A7093" s="16" t="n">
        <v>45372</v>
      </c>
      <c r="B7093" s="17" t="s">
        <v>3369</v>
      </c>
      <c r="C7093" s="17" t="s">
        <v>3370</v>
      </c>
      <c r="D7093" s="17" t="s">
        <v>19</v>
      </c>
      <c r="E7093" s="17" t="s">
        <v>3444</v>
      </c>
      <c r="F7093" s="17" t="s">
        <v>563</v>
      </c>
      <c r="G7093" s="18" t="n">
        <v>968</v>
      </c>
      <c r="H7093" s="18" t="n">
        <v>0</v>
      </c>
      <c r="I7093" s="18" t="n">
        <f aca="false">((I7092 + G7093) - H7093)</f>
        <v>169386.53</v>
      </c>
      <c r="J7093" s="18" t="n">
        <v>0</v>
      </c>
      <c r="K7093" s="19" t="n">
        <v>0</v>
      </c>
      <c r="L7093" s="17"/>
    </row>
    <row r="7094" s="11" customFormat="true" ht="10.95" hidden="false" customHeight="true" outlineLevel="0" collapsed="false">
      <c r="A7094" s="16" t="n">
        <v>45372</v>
      </c>
      <c r="B7094" s="17" t="s">
        <v>3369</v>
      </c>
      <c r="C7094" s="17" t="s">
        <v>3370</v>
      </c>
      <c r="D7094" s="17" t="s">
        <v>19</v>
      </c>
      <c r="E7094" s="17" t="s">
        <v>3494</v>
      </c>
      <c r="F7094" s="17" t="s">
        <v>564</v>
      </c>
      <c r="G7094" s="18" t="n">
        <v>913</v>
      </c>
      <c r="H7094" s="18" t="n">
        <v>0</v>
      </c>
      <c r="I7094" s="18" t="n">
        <f aca="false">((I7093 + G7094) - H7094)</f>
        <v>170299.53</v>
      </c>
      <c r="J7094" s="18" t="n">
        <v>0</v>
      </c>
      <c r="K7094" s="19" t="n">
        <v>0</v>
      </c>
      <c r="L7094" s="17"/>
    </row>
    <row r="7095" s="11" customFormat="true" ht="10.95" hidden="false" customHeight="true" outlineLevel="0" collapsed="false">
      <c r="A7095" s="16" t="n">
        <v>45372</v>
      </c>
      <c r="B7095" s="17" t="s">
        <v>3369</v>
      </c>
      <c r="C7095" s="17" t="s">
        <v>3370</v>
      </c>
      <c r="D7095" s="17" t="s">
        <v>19</v>
      </c>
      <c r="E7095" s="17" t="s">
        <v>3446</v>
      </c>
      <c r="F7095" s="17" t="s">
        <v>565</v>
      </c>
      <c r="G7095" s="18" t="n">
        <v>1861.2</v>
      </c>
      <c r="H7095" s="18" t="n">
        <v>0</v>
      </c>
      <c r="I7095" s="18" t="n">
        <f aca="false">((I7094 + G7095) - H7095)</f>
        <v>172160.73</v>
      </c>
      <c r="J7095" s="18" t="n">
        <v>0</v>
      </c>
      <c r="K7095" s="19" t="n">
        <v>0</v>
      </c>
      <c r="L7095" s="17"/>
    </row>
    <row r="7096" s="11" customFormat="true" ht="10.95" hidden="false" customHeight="true" outlineLevel="0" collapsed="false">
      <c r="A7096" s="16" t="n">
        <v>45372</v>
      </c>
      <c r="B7096" s="17" t="s">
        <v>3369</v>
      </c>
      <c r="C7096" s="17" t="s">
        <v>3370</v>
      </c>
      <c r="D7096" s="17" t="s">
        <v>19</v>
      </c>
      <c r="E7096" s="17" t="s">
        <v>3447</v>
      </c>
      <c r="F7096" s="17" t="s">
        <v>567</v>
      </c>
      <c r="G7096" s="18" t="n">
        <v>229.9</v>
      </c>
      <c r="H7096" s="18" t="n">
        <v>0</v>
      </c>
      <c r="I7096" s="18" t="n">
        <f aca="false">((I7095 + G7096) - H7096)</f>
        <v>172390.63</v>
      </c>
      <c r="J7096" s="18" t="n">
        <v>0</v>
      </c>
      <c r="K7096" s="19" t="n">
        <v>0</v>
      </c>
      <c r="L7096" s="17"/>
    </row>
    <row r="7097" s="11" customFormat="true" ht="10.95" hidden="false" customHeight="true" outlineLevel="0" collapsed="false">
      <c r="A7097" s="16" t="n">
        <v>45372</v>
      </c>
      <c r="B7097" s="17" t="s">
        <v>3369</v>
      </c>
      <c r="C7097" s="17" t="s">
        <v>3370</v>
      </c>
      <c r="D7097" s="17" t="s">
        <v>19</v>
      </c>
      <c r="E7097" s="17" t="s">
        <v>3447</v>
      </c>
      <c r="F7097" s="17" t="s">
        <v>568</v>
      </c>
      <c r="G7097" s="18" t="n">
        <v>114.95</v>
      </c>
      <c r="H7097" s="18" t="n">
        <v>0</v>
      </c>
      <c r="I7097" s="18" t="n">
        <f aca="false">((I7096 + G7097) - H7097)</f>
        <v>172505.58</v>
      </c>
      <c r="J7097" s="18" t="n">
        <v>0</v>
      </c>
      <c r="K7097" s="19" t="n">
        <v>0</v>
      </c>
      <c r="L7097" s="17"/>
    </row>
    <row r="7098" s="11" customFormat="true" ht="10.95" hidden="false" customHeight="true" outlineLevel="0" collapsed="false">
      <c r="A7098" s="16" t="n">
        <v>45372</v>
      </c>
      <c r="B7098" s="17" t="s">
        <v>3369</v>
      </c>
      <c r="C7098" s="17" t="s">
        <v>3370</v>
      </c>
      <c r="D7098" s="17" t="s">
        <v>19</v>
      </c>
      <c r="E7098" s="17" t="s">
        <v>3447</v>
      </c>
      <c r="F7098" s="17" t="s">
        <v>569</v>
      </c>
      <c r="G7098" s="18" t="n">
        <v>618.75</v>
      </c>
      <c r="H7098" s="18" t="n">
        <v>0</v>
      </c>
      <c r="I7098" s="18" t="n">
        <f aca="false">((I7097 + G7098) - H7098)</f>
        <v>173124.33</v>
      </c>
      <c r="J7098" s="18" t="n">
        <v>0</v>
      </c>
      <c r="K7098" s="19" t="n">
        <v>0</v>
      </c>
      <c r="L7098" s="17"/>
    </row>
    <row r="7099" s="11" customFormat="true" ht="10.95" hidden="false" customHeight="true" outlineLevel="0" collapsed="false">
      <c r="A7099" s="16" t="n">
        <v>45372</v>
      </c>
      <c r="B7099" s="17" t="s">
        <v>3369</v>
      </c>
      <c r="C7099" s="17" t="s">
        <v>3370</v>
      </c>
      <c r="D7099" s="17" t="s">
        <v>19</v>
      </c>
      <c r="E7099" s="17" t="s">
        <v>3447</v>
      </c>
      <c r="F7099" s="17" t="s">
        <v>570</v>
      </c>
      <c r="G7099" s="18" t="n">
        <v>827.2</v>
      </c>
      <c r="H7099" s="18" t="n">
        <v>0</v>
      </c>
      <c r="I7099" s="18" t="n">
        <f aca="false">((I7098 + G7099) - H7099)</f>
        <v>173951.53</v>
      </c>
      <c r="J7099" s="18" t="n">
        <v>0</v>
      </c>
      <c r="K7099" s="19" t="n">
        <v>0</v>
      </c>
      <c r="L7099" s="17"/>
    </row>
    <row r="7100" s="11" customFormat="true" ht="10.95" hidden="false" customHeight="true" outlineLevel="0" collapsed="false">
      <c r="A7100" s="16" t="n">
        <v>45372</v>
      </c>
      <c r="B7100" s="17" t="s">
        <v>3369</v>
      </c>
      <c r="C7100" s="17" t="s">
        <v>3370</v>
      </c>
      <c r="D7100" s="17" t="s">
        <v>19</v>
      </c>
      <c r="E7100" s="17" t="s">
        <v>3447</v>
      </c>
      <c r="F7100" s="17" t="s">
        <v>571</v>
      </c>
      <c r="G7100" s="18" t="n">
        <v>206.8</v>
      </c>
      <c r="H7100" s="18" t="n">
        <v>0</v>
      </c>
      <c r="I7100" s="18" t="n">
        <f aca="false">((I7099 + G7100) - H7100)</f>
        <v>174158.33</v>
      </c>
      <c r="J7100" s="18" t="n">
        <v>0</v>
      </c>
      <c r="K7100" s="19" t="n">
        <v>0</v>
      </c>
      <c r="L7100" s="17"/>
    </row>
    <row r="7101" s="11" customFormat="true" ht="10.95" hidden="false" customHeight="true" outlineLevel="0" collapsed="false">
      <c r="A7101" s="16" t="n">
        <v>45372</v>
      </c>
      <c r="B7101" s="17" t="s">
        <v>3369</v>
      </c>
      <c r="C7101" s="17" t="s">
        <v>3370</v>
      </c>
      <c r="D7101" s="17" t="s">
        <v>19</v>
      </c>
      <c r="E7101" s="17" t="s">
        <v>3447</v>
      </c>
      <c r="F7101" s="17" t="s">
        <v>572</v>
      </c>
      <c r="G7101" s="18" t="n">
        <v>1792.45</v>
      </c>
      <c r="H7101" s="18" t="n">
        <v>0</v>
      </c>
      <c r="I7101" s="18" t="n">
        <f aca="false">((I7100 + G7101) - H7101)</f>
        <v>175950.78</v>
      </c>
      <c r="J7101" s="18" t="n">
        <v>0</v>
      </c>
      <c r="K7101" s="19" t="n">
        <v>0</v>
      </c>
      <c r="L7101" s="17"/>
    </row>
    <row r="7102" s="11" customFormat="true" ht="10.95" hidden="false" customHeight="true" outlineLevel="0" collapsed="false">
      <c r="A7102" s="16" t="n">
        <v>45372</v>
      </c>
      <c r="B7102" s="17" t="s">
        <v>3369</v>
      </c>
      <c r="C7102" s="17" t="s">
        <v>3370</v>
      </c>
      <c r="D7102" s="17" t="s">
        <v>19</v>
      </c>
      <c r="E7102" s="17" t="s">
        <v>3447</v>
      </c>
      <c r="F7102" s="17" t="s">
        <v>573</v>
      </c>
      <c r="G7102" s="18" t="n">
        <v>517</v>
      </c>
      <c r="H7102" s="18" t="n">
        <v>0</v>
      </c>
      <c r="I7102" s="18" t="n">
        <f aca="false">((I7101 + G7102) - H7102)</f>
        <v>176467.78</v>
      </c>
      <c r="J7102" s="18" t="n">
        <v>0</v>
      </c>
      <c r="K7102" s="19" t="n">
        <v>0</v>
      </c>
      <c r="L7102" s="17"/>
    </row>
    <row r="7103" s="11" customFormat="true" ht="10.95" hidden="false" customHeight="true" outlineLevel="0" collapsed="false">
      <c r="A7103" s="16" t="n">
        <v>45372</v>
      </c>
      <c r="B7103" s="17" t="s">
        <v>3369</v>
      </c>
      <c r="C7103" s="17" t="s">
        <v>3370</v>
      </c>
      <c r="D7103" s="17" t="s">
        <v>19</v>
      </c>
      <c r="E7103" s="17" t="s">
        <v>3447</v>
      </c>
      <c r="F7103" s="17" t="s">
        <v>574</v>
      </c>
      <c r="G7103" s="18" t="n">
        <v>316.8</v>
      </c>
      <c r="H7103" s="18" t="n">
        <v>0</v>
      </c>
      <c r="I7103" s="18" t="n">
        <f aca="false">((I7102 + G7103) - H7103)</f>
        <v>176784.58</v>
      </c>
      <c r="J7103" s="18" t="n">
        <v>0</v>
      </c>
      <c r="K7103" s="19" t="n">
        <v>0</v>
      </c>
      <c r="L7103" s="17"/>
    </row>
    <row r="7104" s="11" customFormat="true" ht="10.95" hidden="false" customHeight="true" outlineLevel="0" collapsed="false">
      <c r="A7104" s="16" t="n">
        <v>45372</v>
      </c>
      <c r="B7104" s="17" t="s">
        <v>3369</v>
      </c>
      <c r="C7104" s="17" t="s">
        <v>3370</v>
      </c>
      <c r="D7104" s="17" t="s">
        <v>19</v>
      </c>
      <c r="E7104" s="17" t="s">
        <v>3447</v>
      </c>
      <c r="F7104" s="17" t="s">
        <v>575</v>
      </c>
      <c r="G7104" s="18" t="n">
        <v>627</v>
      </c>
      <c r="H7104" s="18" t="n">
        <v>0</v>
      </c>
      <c r="I7104" s="18" t="n">
        <f aca="false">((I7103 + G7104) - H7104)</f>
        <v>177411.58</v>
      </c>
      <c r="J7104" s="18" t="n">
        <v>0</v>
      </c>
      <c r="K7104" s="19" t="n">
        <v>0</v>
      </c>
      <c r="L7104" s="17"/>
    </row>
    <row r="7105" s="11" customFormat="true" ht="10.95" hidden="false" customHeight="true" outlineLevel="0" collapsed="false">
      <c r="A7105" s="16" t="n">
        <v>45372</v>
      </c>
      <c r="B7105" s="17" t="s">
        <v>3369</v>
      </c>
      <c r="C7105" s="17" t="s">
        <v>3370</v>
      </c>
      <c r="D7105" s="17" t="s">
        <v>19</v>
      </c>
      <c r="E7105" s="17" t="s">
        <v>3447</v>
      </c>
      <c r="F7105" s="17" t="s">
        <v>576</v>
      </c>
      <c r="G7105" s="18" t="n">
        <v>1967.9</v>
      </c>
      <c r="H7105" s="18" t="n">
        <v>0</v>
      </c>
      <c r="I7105" s="18" t="n">
        <f aca="false">((I7104 + G7105) - H7105)</f>
        <v>179379.48</v>
      </c>
      <c r="J7105" s="18" t="n">
        <v>0</v>
      </c>
      <c r="K7105" s="19" t="n">
        <v>0</v>
      </c>
      <c r="L7105" s="17"/>
    </row>
    <row r="7106" s="11" customFormat="true" ht="10.95" hidden="false" customHeight="true" outlineLevel="0" collapsed="false">
      <c r="A7106" s="16" t="n">
        <v>45372</v>
      </c>
      <c r="B7106" s="17" t="s">
        <v>3369</v>
      </c>
      <c r="C7106" s="17" t="s">
        <v>3370</v>
      </c>
      <c r="D7106" s="17" t="s">
        <v>19</v>
      </c>
      <c r="E7106" s="17" t="s">
        <v>3447</v>
      </c>
      <c r="F7106" s="17" t="s">
        <v>577</v>
      </c>
      <c r="G7106" s="18" t="n">
        <v>1568.6</v>
      </c>
      <c r="H7106" s="18" t="n">
        <v>0</v>
      </c>
      <c r="I7106" s="18" t="n">
        <f aca="false">((I7105 + G7106) - H7106)</f>
        <v>180948.08</v>
      </c>
      <c r="J7106" s="18" t="n">
        <v>0</v>
      </c>
      <c r="K7106" s="19" t="n">
        <v>0</v>
      </c>
      <c r="L7106" s="17"/>
    </row>
    <row r="7107" s="11" customFormat="true" ht="10.95" hidden="false" customHeight="true" outlineLevel="0" collapsed="false">
      <c r="A7107" s="16" t="n">
        <v>45372</v>
      </c>
      <c r="B7107" s="17" t="s">
        <v>3369</v>
      </c>
      <c r="C7107" s="17" t="s">
        <v>3370</v>
      </c>
      <c r="D7107" s="17" t="s">
        <v>19</v>
      </c>
      <c r="E7107" s="17" t="s">
        <v>3447</v>
      </c>
      <c r="F7107" s="17" t="s">
        <v>579</v>
      </c>
      <c r="G7107" s="18" t="n">
        <v>310.2</v>
      </c>
      <c r="H7107" s="18" t="n">
        <v>0</v>
      </c>
      <c r="I7107" s="18" t="n">
        <f aca="false">((I7106 + G7107) - H7107)</f>
        <v>181258.28</v>
      </c>
      <c r="J7107" s="18" t="n">
        <v>0</v>
      </c>
      <c r="K7107" s="19" t="n">
        <v>0</v>
      </c>
      <c r="L7107" s="17"/>
    </row>
    <row r="7108" s="11" customFormat="true" ht="10.95" hidden="false" customHeight="true" outlineLevel="0" collapsed="false">
      <c r="A7108" s="16" t="n">
        <v>45372</v>
      </c>
      <c r="B7108" s="17" t="s">
        <v>3369</v>
      </c>
      <c r="C7108" s="17" t="s">
        <v>3370</v>
      </c>
      <c r="D7108" s="17" t="s">
        <v>19</v>
      </c>
      <c r="E7108" s="17" t="s">
        <v>3447</v>
      </c>
      <c r="F7108" s="17" t="s">
        <v>580</v>
      </c>
      <c r="G7108" s="18" t="n">
        <v>310.2</v>
      </c>
      <c r="H7108" s="18" t="n">
        <v>0</v>
      </c>
      <c r="I7108" s="18" t="n">
        <f aca="false">((I7107 + G7108) - H7108)</f>
        <v>181568.48</v>
      </c>
      <c r="J7108" s="18" t="n">
        <v>0</v>
      </c>
      <c r="K7108" s="19" t="n">
        <v>0</v>
      </c>
      <c r="L7108" s="17"/>
    </row>
    <row r="7109" s="11" customFormat="true" ht="10.95" hidden="false" customHeight="true" outlineLevel="0" collapsed="false">
      <c r="A7109" s="16" t="n">
        <v>45372</v>
      </c>
      <c r="B7109" s="17" t="s">
        <v>3369</v>
      </c>
      <c r="C7109" s="17" t="s">
        <v>3370</v>
      </c>
      <c r="D7109" s="17" t="s">
        <v>19</v>
      </c>
      <c r="E7109" s="17" t="s">
        <v>3447</v>
      </c>
      <c r="F7109" s="17" t="s">
        <v>581</v>
      </c>
      <c r="G7109" s="18" t="n">
        <v>620.4</v>
      </c>
      <c r="H7109" s="18" t="n">
        <v>0</v>
      </c>
      <c r="I7109" s="18" t="n">
        <f aca="false">((I7108 + G7109) - H7109)</f>
        <v>182188.88</v>
      </c>
      <c r="J7109" s="18" t="n">
        <v>0</v>
      </c>
      <c r="K7109" s="19" t="n">
        <v>0</v>
      </c>
      <c r="L7109" s="17"/>
    </row>
    <row r="7110" s="11" customFormat="true" ht="10.95" hidden="false" customHeight="true" outlineLevel="0" collapsed="false">
      <c r="A7110" s="16" t="n">
        <v>45372</v>
      </c>
      <c r="B7110" s="17" t="s">
        <v>3369</v>
      </c>
      <c r="C7110" s="17" t="s">
        <v>3370</v>
      </c>
      <c r="D7110" s="17" t="s">
        <v>19</v>
      </c>
      <c r="E7110" s="17" t="s">
        <v>3447</v>
      </c>
      <c r="F7110" s="17" t="s">
        <v>582</v>
      </c>
      <c r="G7110" s="18" t="n">
        <v>1137.4</v>
      </c>
      <c r="H7110" s="18" t="n">
        <v>0</v>
      </c>
      <c r="I7110" s="18" t="n">
        <f aca="false">((I7109 + G7110) - H7110)</f>
        <v>183326.28</v>
      </c>
      <c r="J7110" s="18" t="n">
        <v>0</v>
      </c>
      <c r="K7110" s="19" t="n">
        <v>0</v>
      </c>
      <c r="L7110" s="17"/>
    </row>
    <row r="7111" s="11" customFormat="true" ht="10.95" hidden="false" customHeight="true" outlineLevel="0" collapsed="false">
      <c r="A7111" s="16" t="n">
        <v>45372</v>
      </c>
      <c r="B7111" s="17" t="s">
        <v>3369</v>
      </c>
      <c r="C7111" s="17" t="s">
        <v>3370</v>
      </c>
      <c r="D7111" s="17" t="s">
        <v>19</v>
      </c>
      <c r="E7111" s="17" t="s">
        <v>3447</v>
      </c>
      <c r="F7111" s="17" t="s">
        <v>583</v>
      </c>
      <c r="G7111" s="18" t="n">
        <v>103.4</v>
      </c>
      <c r="H7111" s="18" t="n">
        <v>0</v>
      </c>
      <c r="I7111" s="18" t="n">
        <f aca="false">((I7110 + G7111) - H7111)</f>
        <v>183429.68</v>
      </c>
      <c r="J7111" s="18" t="n">
        <v>0</v>
      </c>
      <c r="K7111" s="19" t="n">
        <v>0</v>
      </c>
      <c r="L7111" s="17"/>
    </row>
    <row r="7112" s="11" customFormat="true" ht="10.95" hidden="false" customHeight="true" outlineLevel="0" collapsed="false">
      <c r="A7112" s="16" t="n">
        <v>45372</v>
      </c>
      <c r="B7112" s="17" t="s">
        <v>3369</v>
      </c>
      <c r="C7112" s="17" t="s">
        <v>3370</v>
      </c>
      <c r="D7112" s="17" t="s">
        <v>19</v>
      </c>
      <c r="E7112" s="17" t="s">
        <v>3447</v>
      </c>
      <c r="F7112" s="17" t="s">
        <v>584</v>
      </c>
      <c r="G7112" s="18" t="n">
        <v>723.8</v>
      </c>
      <c r="H7112" s="18" t="n">
        <v>0</v>
      </c>
      <c r="I7112" s="18" t="n">
        <f aca="false">((I7111 + G7112) - H7112)</f>
        <v>184153.48</v>
      </c>
      <c r="J7112" s="18" t="n">
        <v>0</v>
      </c>
      <c r="K7112" s="19" t="n">
        <v>0</v>
      </c>
      <c r="L7112" s="17"/>
    </row>
    <row r="7113" s="11" customFormat="true" ht="10.95" hidden="false" customHeight="true" outlineLevel="0" collapsed="false">
      <c r="A7113" s="16" t="n">
        <v>45372</v>
      </c>
      <c r="B7113" s="17" t="s">
        <v>3369</v>
      </c>
      <c r="C7113" s="17" t="s">
        <v>3370</v>
      </c>
      <c r="D7113" s="17" t="s">
        <v>19</v>
      </c>
      <c r="E7113" s="17" t="s">
        <v>3450</v>
      </c>
      <c r="F7113" s="17" t="s">
        <v>1227</v>
      </c>
      <c r="G7113" s="18" t="n">
        <v>265.95</v>
      </c>
      <c r="H7113" s="18" t="n">
        <v>0</v>
      </c>
      <c r="I7113" s="18" t="n">
        <f aca="false">((I7112 + G7113) - H7113)</f>
        <v>184419.43</v>
      </c>
      <c r="J7113" s="18" t="n">
        <v>0</v>
      </c>
      <c r="K7113" s="19" t="n">
        <v>0</v>
      </c>
      <c r="L7113" s="17"/>
    </row>
    <row r="7114" s="11" customFormat="true" ht="10.95" hidden="false" customHeight="true" outlineLevel="0" collapsed="false">
      <c r="A7114" s="16" t="n">
        <v>45372</v>
      </c>
      <c r="B7114" s="17" t="s">
        <v>3369</v>
      </c>
      <c r="C7114" s="17" t="s">
        <v>3370</v>
      </c>
      <c r="D7114" s="17" t="s">
        <v>19</v>
      </c>
      <c r="E7114" s="17" t="s">
        <v>3450</v>
      </c>
      <c r="F7114" s="17" t="s">
        <v>1228</v>
      </c>
      <c r="G7114" s="18" t="n">
        <v>793.69</v>
      </c>
      <c r="H7114" s="18" t="n">
        <v>0</v>
      </c>
      <c r="I7114" s="18" t="n">
        <f aca="false">((I7113 + G7114) - H7114)</f>
        <v>185213.12</v>
      </c>
      <c r="J7114" s="18" t="n">
        <v>0</v>
      </c>
      <c r="K7114" s="19" t="n">
        <v>0</v>
      </c>
      <c r="L7114" s="17"/>
    </row>
    <row r="7115" s="11" customFormat="true" ht="10.95" hidden="false" customHeight="true" outlineLevel="0" collapsed="false">
      <c r="A7115" s="16" t="n">
        <v>45372</v>
      </c>
      <c r="B7115" s="17" t="s">
        <v>3369</v>
      </c>
      <c r="C7115" s="17" t="s">
        <v>3370</v>
      </c>
      <c r="D7115" s="17" t="s">
        <v>19</v>
      </c>
      <c r="E7115" s="17" t="s">
        <v>3450</v>
      </c>
      <c r="F7115" s="17" t="s">
        <v>1229</v>
      </c>
      <c r="G7115" s="18" t="n">
        <v>1830.53</v>
      </c>
      <c r="H7115" s="18" t="n">
        <v>0</v>
      </c>
      <c r="I7115" s="18" t="n">
        <f aca="false">((I7114 + G7115) - H7115)</f>
        <v>187043.65</v>
      </c>
      <c r="J7115" s="18" t="n">
        <v>0</v>
      </c>
      <c r="K7115" s="19" t="n">
        <v>0</v>
      </c>
      <c r="L7115" s="17"/>
    </row>
    <row r="7116" s="11" customFormat="true" ht="10.95" hidden="false" customHeight="true" outlineLevel="0" collapsed="false">
      <c r="A7116" s="16" t="n">
        <v>45372</v>
      </c>
      <c r="B7116" s="17" t="s">
        <v>3369</v>
      </c>
      <c r="C7116" s="17" t="s">
        <v>3370</v>
      </c>
      <c r="D7116" s="17" t="s">
        <v>19</v>
      </c>
      <c r="E7116" s="17" t="s">
        <v>3450</v>
      </c>
      <c r="F7116" s="17" t="s">
        <v>1230</v>
      </c>
      <c r="G7116" s="18" t="n">
        <v>1109.29</v>
      </c>
      <c r="H7116" s="18" t="n">
        <v>0</v>
      </c>
      <c r="I7116" s="18" t="n">
        <f aca="false">((I7115 + G7116) - H7116)</f>
        <v>188152.94</v>
      </c>
      <c r="J7116" s="18" t="n">
        <v>0</v>
      </c>
      <c r="K7116" s="19" t="n">
        <v>0</v>
      </c>
      <c r="L7116" s="17"/>
    </row>
    <row r="7117" s="11" customFormat="true" ht="10.95" hidden="false" customHeight="true" outlineLevel="0" collapsed="false">
      <c r="A7117" s="16" t="n">
        <v>45372</v>
      </c>
      <c r="B7117" s="17" t="s">
        <v>3369</v>
      </c>
      <c r="C7117" s="17" t="s">
        <v>3370</v>
      </c>
      <c r="D7117" s="17" t="s">
        <v>19</v>
      </c>
      <c r="E7117" s="17" t="s">
        <v>3450</v>
      </c>
      <c r="F7117" s="17" t="s">
        <v>1231</v>
      </c>
      <c r="G7117" s="18" t="n">
        <v>1992.76</v>
      </c>
      <c r="H7117" s="18" t="n">
        <v>0</v>
      </c>
      <c r="I7117" s="18" t="n">
        <f aca="false">((I7116 + G7117) - H7117)</f>
        <v>190145.7</v>
      </c>
      <c r="J7117" s="18" t="n">
        <v>0</v>
      </c>
      <c r="K7117" s="19" t="n">
        <v>0</v>
      </c>
      <c r="L7117" s="17"/>
    </row>
    <row r="7118" s="11" customFormat="true" ht="10.95" hidden="false" customHeight="true" outlineLevel="0" collapsed="false">
      <c r="A7118" s="16" t="n">
        <v>45372</v>
      </c>
      <c r="B7118" s="17" t="s">
        <v>3369</v>
      </c>
      <c r="C7118" s="17" t="s">
        <v>3370</v>
      </c>
      <c r="D7118" s="17" t="s">
        <v>19</v>
      </c>
      <c r="E7118" s="17" t="s">
        <v>3450</v>
      </c>
      <c r="F7118" s="17" t="s">
        <v>1232</v>
      </c>
      <c r="G7118" s="18" t="n">
        <v>132.73</v>
      </c>
      <c r="H7118" s="18" t="n">
        <v>0</v>
      </c>
      <c r="I7118" s="18" t="n">
        <f aca="false">((I7117 + G7118) - H7118)</f>
        <v>190278.43</v>
      </c>
      <c r="J7118" s="18" t="n">
        <v>0</v>
      </c>
      <c r="K7118" s="19" t="n">
        <v>0</v>
      </c>
      <c r="L7118" s="17"/>
    </row>
    <row r="7119" s="11" customFormat="true" ht="10.95" hidden="false" customHeight="true" outlineLevel="0" collapsed="false">
      <c r="A7119" s="16" t="n">
        <v>45372</v>
      </c>
      <c r="B7119" s="17" t="s">
        <v>3369</v>
      </c>
      <c r="C7119" s="17" t="s">
        <v>3370</v>
      </c>
      <c r="D7119" s="17" t="s">
        <v>19</v>
      </c>
      <c r="E7119" s="17" t="s">
        <v>3450</v>
      </c>
      <c r="F7119" s="17" t="s">
        <v>1233</v>
      </c>
      <c r="G7119" s="18" t="n">
        <v>1012.51</v>
      </c>
      <c r="H7119" s="18" t="n">
        <v>0</v>
      </c>
      <c r="I7119" s="18" t="n">
        <f aca="false">((I7118 + G7119) - H7119)</f>
        <v>191290.94</v>
      </c>
      <c r="J7119" s="18" t="n">
        <v>0</v>
      </c>
      <c r="K7119" s="19" t="n">
        <v>0</v>
      </c>
      <c r="L7119" s="17"/>
    </row>
    <row r="7120" s="11" customFormat="true" ht="10.95" hidden="false" customHeight="true" outlineLevel="0" collapsed="false">
      <c r="A7120" s="16" t="n">
        <v>45372</v>
      </c>
      <c r="B7120" s="17" t="s">
        <v>3369</v>
      </c>
      <c r="C7120" s="17" t="s">
        <v>3370</v>
      </c>
      <c r="D7120" s="17" t="s">
        <v>19</v>
      </c>
      <c r="E7120" s="17" t="s">
        <v>3451</v>
      </c>
      <c r="F7120" s="17" t="s">
        <v>585</v>
      </c>
      <c r="G7120" s="18" t="n">
        <v>1278.2</v>
      </c>
      <c r="H7120" s="18" t="n">
        <v>0</v>
      </c>
      <c r="I7120" s="18" t="n">
        <f aca="false">((I7119 + G7120) - H7120)</f>
        <v>192569.14</v>
      </c>
      <c r="J7120" s="18" t="n">
        <v>0</v>
      </c>
      <c r="K7120" s="19" t="n">
        <v>0</v>
      </c>
      <c r="L7120" s="17"/>
    </row>
    <row r="7121" s="11" customFormat="true" ht="10.95" hidden="false" customHeight="true" outlineLevel="0" collapsed="false">
      <c r="A7121" s="16" t="n">
        <v>45372</v>
      </c>
      <c r="B7121" s="17" t="s">
        <v>3369</v>
      </c>
      <c r="C7121" s="17" t="s">
        <v>3370</v>
      </c>
      <c r="D7121" s="17" t="s">
        <v>19</v>
      </c>
      <c r="E7121" s="17" t="s">
        <v>3454</v>
      </c>
      <c r="F7121" s="17" t="s">
        <v>586</v>
      </c>
      <c r="G7121" s="18" t="n">
        <v>18345.42</v>
      </c>
      <c r="H7121" s="18" t="n">
        <v>0</v>
      </c>
      <c r="I7121" s="18" t="n">
        <f aca="false">((I7120 + G7121) - H7121)</f>
        <v>210914.56</v>
      </c>
      <c r="J7121" s="18" t="n">
        <v>0</v>
      </c>
      <c r="K7121" s="19" t="n">
        <v>0</v>
      </c>
      <c r="L7121" s="17"/>
    </row>
    <row r="7122" s="11" customFormat="true" ht="10.95" hidden="false" customHeight="true" outlineLevel="0" collapsed="false">
      <c r="A7122" s="16" t="n">
        <v>45372</v>
      </c>
      <c r="B7122" s="17" t="s">
        <v>3369</v>
      </c>
      <c r="C7122" s="17" t="s">
        <v>3370</v>
      </c>
      <c r="D7122" s="17" t="s">
        <v>2895</v>
      </c>
      <c r="E7122" s="17" t="s">
        <v>3453</v>
      </c>
      <c r="F7122" s="17" t="s">
        <v>553</v>
      </c>
      <c r="G7122" s="18" t="n">
        <v>0</v>
      </c>
      <c r="H7122" s="18" t="n">
        <v>93.5</v>
      </c>
      <c r="I7122" s="18" t="n">
        <f aca="false">((I7121 + G7122) - H7122)</f>
        <v>210821.06</v>
      </c>
      <c r="J7122" s="18" t="n">
        <v>0</v>
      </c>
      <c r="K7122" s="19" t="n">
        <v>0</v>
      </c>
      <c r="L7122" s="17"/>
    </row>
    <row r="7123" s="11" customFormat="true" ht="10.95" hidden="false" customHeight="true" outlineLevel="0" collapsed="false">
      <c r="A7123" s="16" t="n">
        <v>45372</v>
      </c>
      <c r="B7123" s="17" t="s">
        <v>3369</v>
      </c>
      <c r="C7123" s="17" t="s">
        <v>3370</v>
      </c>
      <c r="D7123" s="17" t="s">
        <v>2895</v>
      </c>
      <c r="E7123" s="17" t="s">
        <v>3457</v>
      </c>
      <c r="F7123" s="17" t="s">
        <v>537</v>
      </c>
      <c r="G7123" s="18" t="n">
        <v>0</v>
      </c>
      <c r="H7123" s="18" t="n">
        <v>19998</v>
      </c>
      <c r="I7123" s="18" t="n">
        <f aca="false">((I7122 + G7123) - H7123)</f>
        <v>190823.06</v>
      </c>
      <c r="J7123" s="18" t="n">
        <v>0</v>
      </c>
      <c r="K7123" s="19" t="n">
        <v>0</v>
      </c>
      <c r="L7123" s="17"/>
    </row>
    <row r="7124" s="11" customFormat="true" ht="10.95" hidden="false" customHeight="true" outlineLevel="0" collapsed="false">
      <c r="A7124" s="16" t="n">
        <v>45372</v>
      </c>
      <c r="B7124" s="17" t="s">
        <v>3369</v>
      </c>
      <c r="C7124" s="17" t="s">
        <v>3370</v>
      </c>
      <c r="D7124" s="17" t="s">
        <v>2895</v>
      </c>
      <c r="E7124" s="17" t="s">
        <v>3457</v>
      </c>
      <c r="F7124" s="17" t="s">
        <v>494</v>
      </c>
      <c r="G7124" s="18" t="n">
        <v>0</v>
      </c>
      <c r="H7124" s="18" t="n">
        <v>9999</v>
      </c>
      <c r="I7124" s="18" t="n">
        <f aca="false">((I7123 + G7124) - H7124)</f>
        <v>180824.06</v>
      </c>
      <c r="J7124" s="18" t="n">
        <v>0</v>
      </c>
      <c r="K7124" s="19" t="n">
        <v>0</v>
      </c>
      <c r="L7124" s="17"/>
    </row>
    <row r="7125" s="11" customFormat="true" ht="10.95" hidden="false" customHeight="true" outlineLevel="0" collapsed="false">
      <c r="A7125" s="16" t="n">
        <v>45372</v>
      </c>
      <c r="B7125" s="17" t="s">
        <v>3369</v>
      </c>
      <c r="C7125" s="17" t="s">
        <v>3370</v>
      </c>
      <c r="D7125" s="17" t="s">
        <v>2895</v>
      </c>
      <c r="E7125" s="17" t="s">
        <v>3457</v>
      </c>
      <c r="F7125" s="17" t="s">
        <v>447</v>
      </c>
      <c r="G7125" s="18" t="n">
        <v>0</v>
      </c>
      <c r="H7125" s="18" t="n">
        <v>9999</v>
      </c>
      <c r="I7125" s="18" t="n">
        <f aca="false">((I7124 + G7125) - H7125)</f>
        <v>170825.06</v>
      </c>
      <c r="J7125" s="18" t="n">
        <v>0</v>
      </c>
      <c r="K7125" s="19" t="n">
        <v>0</v>
      </c>
      <c r="L7125" s="17"/>
    </row>
    <row r="7126" s="11" customFormat="true" ht="10.95" hidden="false" customHeight="true" outlineLevel="0" collapsed="false">
      <c r="A7126" s="16" t="n">
        <v>45372</v>
      </c>
      <c r="B7126" s="17" t="s">
        <v>3369</v>
      </c>
      <c r="C7126" s="17" t="s">
        <v>3370</v>
      </c>
      <c r="D7126" s="17" t="s">
        <v>19</v>
      </c>
      <c r="E7126" s="17" t="s">
        <v>3506</v>
      </c>
      <c r="F7126" s="17" t="s">
        <v>1022</v>
      </c>
      <c r="G7126" s="18" t="n">
        <v>992.86</v>
      </c>
      <c r="H7126" s="18" t="n">
        <v>0</v>
      </c>
      <c r="I7126" s="18" t="n">
        <f aca="false">((I7125 + G7126) - H7126)</f>
        <v>171817.92</v>
      </c>
      <c r="J7126" s="18" t="n">
        <v>0</v>
      </c>
      <c r="K7126" s="19" t="n">
        <v>0</v>
      </c>
      <c r="L7126" s="17"/>
    </row>
    <row r="7127" s="11" customFormat="true" ht="10.95" hidden="false" customHeight="true" outlineLevel="0" collapsed="false">
      <c r="A7127" s="16" t="n">
        <v>45372</v>
      </c>
      <c r="B7127" s="17" t="s">
        <v>3369</v>
      </c>
      <c r="C7127" s="17" t="s">
        <v>3370</v>
      </c>
      <c r="D7127" s="17" t="s">
        <v>19</v>
      </c>
      <c r="E7127" s="17" t="s">
        <v>3447</v>
      </c>
      <c r="F7127" s="17" t="s">
        <v>590</v>
      </c>
      <c r="G7127" s="18" t="n">
        <v>741.4</v>
      </c>
      <c r="H7127" s="18" t="n">
        <v>0</v>
      </c>
      <c r="I7127" s="18" t="n">
        <f aca="false">((I7126 + G7127) - H7127)</f>
        <v>172559.32</v>
      </c>
      <c r="J7127" s="18" t="n">
        <v>0</v>
      </c>
      <c r="K7127" s="19" t="n">
        <v>0</v>
      </c>
      <c r="L7127" s="17"/>
    </row>
    <row r="7128" s="11" customFormat="true" ht="10.95" hidden="false" customHeight="true" outlineLevel="0" collapsed="false">
      <c r="A7128" s="16" t="n">
        <v>45376</v>
      </c>
      <c r="B7128" s="17" t="s">
        <v>3369</v>
      </c>
      <c r="C7128" s="17" t="s">
        <v>3370</v>
      </c>
      <c r="D7128" s="17" t="s">
        <v>19</v>
      </c>
      <c r="E7128" s="17" t="s">
        <v>3430</v>
      </c>
      <c r="F7128" s="17" t="s">
        <v>899</v>
      </c>
      <c r="G7128" s="18" t="n">
        <v>356.58</v>
      </c>
      <c r="H7128" s="18" t="n">
        <v>0</v>
      </c>
      <c r="I7128" s="18" t="n">
        <f aca="false">((I7127 + G7128) - H7128)</f>
        <v>172915.9</v>
      </c>
      <c r="J7128" s="18" t="n">
        <v>0</v>
      </c>
      <c r="K7128" s="19" t="n">
        <v>0</v>
      </c>
      <c r="L7128" s="17"/>
    </row>
    <row r="7129" s="11" customFormat="true" ht="10.95" hidden="false" customHeight="true" outlineLevel="0" collapsed="false">
      <c r="A7129" s="16" t="n">
        <v>45377</v>
      </c>
      <c r="B7129" s="17" t="s">
        <v>3369</v>
      </c>
      <c r="C7129" s="17" t="s">
        <v>3370</v>
      </c>
      <c r="D7129" s="17" t="s">
        <v>19</v>
      </c>
      <c r="E7129" s="17" t="s">
        <v>3381</v>
      </c>
      <c r="F7129" s="17" t="s">
        <v>941</v>
      </c>
      <c r="G7129" s="18" t="n">
        <v>5965.38</v>
      </c>
      <c r="H7129" s="18" t="n">
        <v>0</v>
      </c>
      <c r="I7129" s="18" t="n">
        <f aca="false">((I7128 + G7129) - H7129)</f>
        <v>178881.28</v>
      </c>
      <c r="J7129" s="18" t="n">
        <v>0</v>
      </c>
      <c r="K7129" s="19" t="n">
        <v>0</v>
      </c>
      <c r="L7129" s="17"/>
    </row>
    <row r="7130" s="11" customFormat="true" ht="10.95" hidden="false" customHeight="true" outlineLevel="0" collapsed="false">
      <c r="A7130" s="16" t="n">
        <v>45377</v>
      </c>
      <c r="B7130" s="17" t="s">
        <v>3369</v>
      </c>
      <c r="C7130" s="17" t="s">
        <v>3370</v>
      </c>
      <c r="D7130" s="17" t="s">
        <v>2895</v>
      </c>
      <c r="E7130" s="17" t="s">
        <v>3389</v>
      </c>
      <c r="F7130" s="17" t="s">
        <v>562</v>
      </c>
      <c r="G7130" s="18" t="n">
        <v>0</v>
      </c>
      <c r="H7130" s="18" t="n">
        <v>4994</v>
      </c>
      <c r="I7130" s="18" t="n">
        <f aca="false">((I7129 + G7130) - H7130)</f>
        <v>173887.28</v>
      </c>
      <c r="J7130" s="18" t="n">
        <v>0</v>
      </c>
      <c r="K7130" s="19" t="n">
        <v>0</v>
      </c>
      <c r="L7130" s="17"/>
    </row>
    <row r="7131" s="11" customFormat="true" ht="10.95" hidden="false" customHeight="true" outlineLevel="0" collapsed="false">
      <c r="A7131" s="16" t="n">
        <v>45377</v>
      </c>
      <c r="B7131" s="17" t="s">
        <v>3369</v>
      </c>
      <c r="C7131" s="17" t="s">
        <v>3370</v>
      </c>
      <c r="D7131" s="17" t="s">
        <v>2895</v>
      </c>
      <c r="E7131" s="17" t="s">
        <v>3410</v>
      </c>
      <c r="F7131" s="17" t="s">
        <v>563</v>
      </c>
      <c r="G7131" s="18" t="n">
        <v>0</v>
      </c>
      <c r="H7131" s="18" t="n">
        <v>968</v>
      </c>
      <c r="I7131" s="18" t="n">
        <f aca="false">((I7130 + G7131) - H7131)</f>
        <v>172919.28</v>
      </c>
      <c r="J7131" s="18" t="n">
        <v>0</v>
      </c>
      <c r="K7131" s="19" t="n">
        <v>0</v>
      </c>
      <c r="L7131" s="17"/>
    </row>
    <row r="7132" s="11" customFormat="true" ht="10.95" hidden="false" customHeight="true" outlineLevel="0" collapsed="false">
      <c r="A7132" s="16" t="n">
        <v>45377</v>
      </c>
      <c r="B7132" s="17" t="s">
        <v>3369</v>
      </c>
      <c r="C7132" s="17" t="s">
        <v>3370</v>
      </c>
      <c r="D7132" s="17" t="s">
        <v>2895</v>
      </c>
      <c r="E7132" s="17" t="s">
        <v>3403</v>
      </c>
      <c r="F7132" s="17" t="s">
        <v>521</v>
      </c>
      <c r="G7132" s="18" t="n">
        <v>0</v>
      </c>
      <c r="H7132" s="18" t="n">
        <v>620.4</v>
      </c>
      <c r="I7132" s="18" t="n">
        <f aca="false">((I7131 + G7132) - H7132)</f>
        <v>172298.88</v>
      </c>
      <c r="J7132" s="18" t="n">
        <v>0</v>
      </c>
      <c r="K7132" s="19" t="n">
        <v>0</v>
      </c>
      <c r="L7132" s="17"/>
    </row>
    <row r="7133" s="11" customFormat="true" ht="10.95" hidden="false" customHeight="true" outlineLevel="0" collapsed="false">
      <c r="A7133" s="16" t="n">
        <v>45377</v>
      </c>
      <c r="B7133" s="17" t="s">
        <v>3369</v>
      </c>
      <c r="C7133" s="17" t="s">
        <v>3370</v>
      </c>
      <c r="D7133" s="17" t="s">
        <v>2895</v>
      </c>
      <c r="E7133" s="17" t="s">
        <v>3403</v>
      </c>
      <c r="F7133" s="17" t="s">
        <v>520</v>
      </c>
      <c r="G7133" s="18" t="n">
        <v>0</v>
      </c>
      <c r="H7133" s="18" t="n">
        <v>310.2</v>
      </c>
      <c r="I7133" s="18" t="n">
        <f aca="false">((I7132 + G7133) - H7133)</f>
        <v>171988.68</v>
      </c>
      <c r="J7133" s="18" t="n">
        <v>0</v>
      </c>
      <c r="K7133" s="19" t="n">
        <v>0</v>
      </c>
      <c r="L7133" s="17"/>
    </row>
    <row r="7134" s="11" customFormat="true" ht="10.95" hidden="false" customHeight="true" outlineLevel="0" collapsed="false">
      <c r="A7134" s="16" t="n">
        <v>45377</v>
      </c>
      <c r="B7134" s="17" t="s">
        <v>3369</v>
      </c>
      <c r="C7134" s="17" t="s">
        <v>3370</v>
      </c>
      <c r="D7134" s="17" t="s">
        <v>2895</v>
      </c>
      <c r="E7134" s="17" t="s">
        <v>3403</v>
      </c>
      <c r="F7134" s="17" t="s">
        <v>523</v>
      </c>
      <c r="G7134" s="18" t="n">
        <v>0</v>
      </c>
      <c r="H7134" s="18" t="n">
        <v>103.4</v>
      </c>
      <c r="I7134" s="18" t="n">
        <f aca="false">((I7133 + G7134) - H7134)</f>
        <v>171885.28</v>
      </c>
      <c r="J7134" s="18" t="n">
        <v>0</v>
      </c>
      <c r="K7134" s="19" t="n">
        <v>0</v>
      </c>
      <c r="L7134" s="17"/>
    </row>
    <row r="7135" s="11" customFormat="true" ht="10.95" hidden="false" customHeight="true" outlineLevel="0" collapsed="false">
      <c r="A7135" s="16" t="n">
        <v>45378</v>
      </c>
      <c r="B7135" s="17" t="s">
        <v>3369</v>
      </c>
      <c r="C7135" s="17" t="s">
        <v>3370</v>
      </c>
      <c r="D7135" s="17" t="s">
        <v>2895</v>
      </c>
      <c r="E7135" s="17" t="s">
        <v>3401</v>
      </c>
      <c r="F7135" s="17" t="s">
        <v>551</v>
      </c>
      <c r="G7135" s="18" t="n">
        <v>0</v>
      </c>
      <c r="H7135" s="18" t="n">
        <v>654.5</v>
      </c>
      <c r="I7135" s="18" t="n">
        <f aca="false">((I7134 + G7135) - H7135)</f>
        <v>171230.78</v>
      </c>
      <c r="J7135" s="18" t="n">
        <v>0</v>
      </c>
      <c r="K7135" s="19" t="n">
        <v>0</v>
      </c>
      <c r="L7135" s="17"/>
    </row>
    <row r="7136" s="11" customFormat="true" ht="10.95" hidden="false" customHeight="true" outlineLevel="0" collapsed="false">
      <c r="A7136" s="16" t="n">
        <v>45379</v>
      </c>
      <c r="B7136" s="17" t="s">
        <v>3369</v>
      </c>
      <c r="C7136" s="17" t="s">
        <v>3370</v>
      </c>
      <c r="D7136" s="17" t="s">
        <v>2895</v>
      </c>
      <c r="E7136" s="17" t="s">
        <v>3456</v>
      </c>
      <c r="F7136" s="17" t="s">
        <v>557</v>
      </c>
      <c r="G7136" s="18" t="n">
        <v>0</v>
      </c>
      <c r="H7136" s="18" t="n">
        <v>2244</v>
      </c>
      <c r="I7136" s="18" t="n">
        <f aca="false">((I7135 + G7136) - H7136)</f>
        <v>168986.78</v>
      </c>
      <c r="J7136" s="18" t="n">
        <v>0</v>
      </c>
      <c r="K7136" s="19" t="n">
        <v>0</v>
      </c>
      <c r="L7136" s="17"/>
    </row>
    <row r="7137" s="11" customFormat="true" ht="10.95" hidden="false" customHeight="true" outlineLevel="0" collapsed="false">
      <c r="A7137" s="16" t="n">
        <v>45379</v>
      </c>
      <c r="B7137" s="17" t="s">
        <v>3369</v>
      </c>
      <c r="C7137" s="17" t="s">
        <v>3370</v>
      </c>
      <c r="D7137" s="17" t="s">
        <v>2895</v>
      </c>
      <c r="E7137" s="17" t="s">
        <v>3465</v>
      </c>
      <c r="F7137" s="17" t="s">
        <v>555</v>
      </c>
      <c r="G7137" s="18" t="n">
        <v>0</v>
      </c>
      <c r="H7137" s="18" t="n">
        <v>1094.5</v>
      </c>
      <c r="I7137" s="18" t="n">
        <f aca="false">((I7136 + G7137) - H7137)</f>
        <v>167892.28</v>
      </c>
      <c r="J7137" s="18" t="n">
        <v>0</v>
      </c>
      <c r="K7137" s="19" t="n">
        <v>0</v>
      </c>
      <c r="L7137" s="17"/>
    </row>
    <row r="7138" s="11" customFormat="true" ht="10.95" hidden="false" customHeight="true" outlineLevel="0" collapsed="false">
      <c r="A7138" s="16" t="n">
        <v>45379</v>
      </c>
      <c r="B7138" s="17" t="s">
        <v>3369</v>
      </c>
      <c r="C7138" s="17" t="s">
        <v>3370</v>
      </c>
      <c r="D7138" s="17" t="s">
        <v>2895</v>
      </c>
      <c r="E7138" s="17" t="s">
        <v>3497</v>
      </c>
      <c r="F7138" s="17" t="s">
        <v>564</v>
      </c>
      <c r="G7138" s="18" t="n">
        <v>0</v>
      </c>
      <c r="H7138" s="18" t="n">
        <v>913</v>
      </c>
      <c r="I7138" s="18" t="n">
        <f aca="false">((I7137 + G7138) - H7138)</f>
        <v>166979.28</v>
      </c>
      <c r="J7138" s="18" t="n">
        <v>0</v>
      </c>
      <c r="K7138" s="19" t="n">
        <v>0</v>
      </c>
      <c r="L7138" s="17"/>
    </row>
    <row r="7139" s="11" customFormat="true" ht="10.95" hidden="false" customHeight="true" outlineLevel="0" collapsed="false">
      <c r="A7139" s="16" t="n">
        <v>45379</v>
      </c>
      <c r="B7139" s="17" t="s">
        <v>3369</v>
      </c>
      <c r="C7139" s="17" t="s">
        <v>3370</v>
      </c>
      <c r="D7139" s="17" t="s">
        <v>2895</v>
      </c>
      <c r="E7139" s="17" t="s">
        <v>3466</v>
      </c>
      <c r="F7139" s="17" t="s">
        <v>556</v>
      </c>
      <c r="G7139" s="18" t="n">
        <v>0</v>
      </c>
      <c r="H7139" s="18" t="n">
        <v>396</v>
      </c>
      <c r="I7139" s="18" t="n">
        <f aca="false">((I7138 + G7139) - H7139)</f>
        <v>166583.28</v>
      </c>
      <c r="J7139" s="18" t="n">
        <v>0</v>
      </c>
      <c r="K7139" s="19" t="n">
        <v>0</v>
      </c>
      <c r="L7139" s="17"/>
    </row>
    <row r="7140" s="11" customFormat="true" ht="10.95" hidden="false" customHeight="true" outlineLevel="0" collapsed="false">
      <c r="A7140" s="16" t="n">
        <v>45379</v>
      </c>
      <c r="B7140" s="17" t="s">
        <v>3369</v>
      </c>
      <c r="C7140" s="17" t="s">
        <v>3370</v>
      </c>
      <c r="D7140" s="17" t="s">
        <v>2895</v>
      </c>
      <c r="E7140" s="17" t="s">
        <v>3480</v>
      </c>
      <c r="F7140" s="17" t="s">
        <v>1203</v>
      </c>
      <c r="G7140" s="18" t="n">
        <v>0</v>
      </c>
      <c r="H7140" s="18" t="n">
        <v>180</v>
      </c>
      <c r="I7140" s="18" t="n">
        <f aca="false">((I7139 + G7140) - H7140)</f>
        <v>166403.28</v>
      </c>
      <c r="J7140" s="18" t="n">
        <v>0</v>
      </c>
      <c r="K7140" s="19" t="n">
        <v>0</v>
      </c>
      <c r="L7140" s="17"/>
    </row>
    <row r="7141" s="11" customFormat="true" ht="10.95" hidden="false" customHeight="true" outlineLevel="0" collapsed="false">
      <c r="A7141" s="16" t="n">
        <v>45379</v>
      </c>
      <c r="B7141" s="17" t="s">
        <v>3369</v>
      </c>
      <c r="C7141" s="17" t="s">
        <v>3370</v>
      </c>
      <c r="D7141" s="17" t="s">
        <v>2895</v>
      </c>
      <c r="E7141" s="17" t="s">
        <v>3403</v>
      </c>
      <c r="F7141" s="17" t="s">
        <v>468</v>
      </c>
      <c r="G7141" s="18" t="n">
        <v>0</v>
      </c>
      <c r="H7141" s="18" t="n">
        <v>723.8</v>
      </c>
      <c r="I7141" s="18" t="n">
        <f aca="false">((I7140 + G7141) - H7141)</f>
        <v>165679.48</v>
      </c>
      <c r="J7141" s="18" t="n">
        <v>0</v>
      </c>
      <c r="K7141" s="19" t="n">
        <v>0</v>
      </c>
      <c r="L7141" s="17"/>
    </row>
    <row r="7142" s="11" customFormat="true" ht="10.95" hidden="false" customHeight="true" outlineLevel="0" collapsed="false">
      <c r="A7142" s="16" t="n">
        <v>45379</v>
      </c>
      <c r="B7142" s="17" t="s">
        <v>3369</v>
      </c>
      <c r="C7142" s="17" t="s">
        <v>3370</v>
      </c>
      <c r="D7142" s="17" t="s">
        <v>2895</v>
      </c>
      <c r="E7142" s="17" t="s">
        <v>2900</v>
      </c>
      <c r="F7142" s="17" t="s">
        <v>1217</v>
      </c>
      <c r="G7142" s="18" t="n">
        <v>0</v>
      </c>
      <c r="H7142" s="18" t="n">
        <v>1033.94</v>
      </c>
      <c r="I7142" s="18" t="n">
        <f aca="false">((I7141 + G7142) - H7142)</f>
        <v>164645.54</v>
      </c>
      <c r="J7142" s="18" t="n">
        <v>0</v>
      </c>
      <c r="K7142" s="19" t="n">
        <v>0</v>
      </c>
      <c r="L7142" s="17"/>
    </row>
    <row r="7143" s="11" customFormat="true" ht="10.95" hidden="false" customHeight="true" outlineLevel="0" collapsed="false">
      <c r="A7143" s="16" t="n">
        <v>45379</v>
      </c>
      <c r="B7143" s="17" t="s">
        <v>3369</v>
      </c>
      <c r="C7143" s="17" t="s">
        <v>3370</v>
      </c>
      <c r="D7143" s="17" t="s">
        <v>2895</v>
      </c>
      <c r="E7143" s="17" t="s">
        <v>2900</v>
      </c>
      <c r="F7143" s="17" t="s">
        <v>1216</v>
      </c>
      <c r="G7143" s="18" t="n">
        <v>0</v>
      </c>
      <c r="H7143" s="18" t="n">
        <v>135.54</v>
      </c>
      <c r="I7143" s="18" t="n">
        <f aca="false">((I7142 + G7143) - H7143)</f>
        <v>164510</v>
      </c>
      <c r="J7143" s="18" t="n">
        <v>0</v>
      </c>
      <c r="K7143" s="19" t="n">
        <v>0</v>
      </c>
      <c r="L7143" s="17"/>
    </row>
    <row r="7144" s="11" customFormat="true" ht="10.95" hidden="false" customHeight="true" outlineLevel="0" collapsed="false">
      <c r="A7144" s="16" t="n">
        <v>45384</v>
      </c>
      <c r="B7144" s="17" t="s">
        <v>3369</v>
      </c>
      <c r="C7144" s="17" t="s">
        <v>3370</v>
      </c>
      <c r="D7144" s="17" t="s">
        <v>19</v>
      </c>
      <c r="E7144" s="17" t="s">
        <v>3450</v>
      </c>
      <c r="F7144" s="17" t="s">
        <v>1234</v>
      </c>
      <c r="G7144" s="18" t="n">
        <v>1725.7</v>
      </c>
      <c r="H7144" s="18" t="n">
        <v>0</v>
      </c>
      <c r="I7144" s="18" t="n">
        <f aca="false">((I7143 + G7144) - H7144)</f>
        <v>166235.7</v>
      </c>
      <c r="J7144" s="18" t="n">
        <v>0</v>
      </c>
      <c r="K7144" s="19" t="n">
        <v>0</v>
      </c>
      <c r="L7144" s="17"/>
    </row>
    <row r="7145" s="11" customFormat="true" ht="10.95" hidden="false" customHeight="true" outlineLevel="0" collapsed="false">
      <c r="A7145" s="16" t="n">
        <v>45384</v>
      </c>
      <c r="B7145" s="17" t="s">
        <v>3369</v>
      </c>
      <c r="C7145" s="17" t="s">
        <v>3370</v>
      </c>
      <c r="D7145" s="17" t="s">
        <v>19</v>
      </c>
      <c r="E7145" s="17" t="s">
        <v>3527</v>
      </c>
      <c r="F7145" s="17" t="s">
        <v>592</v>
      </c>
      <c r="G7145" s="18" t="n">
        <v>176</v>
      </c>
      <c r="H7145" s="18" t="n">
        <v>0</v>
      </c>
      <c r="I7145" s="18" t="n">
        <f aca="false">((I7144 + G7145) - H7145)</f>
        <v>166411.7</v>
      </c>
      <c r="J7145" s="18" t="n">
        <v>0</v>
      </c>
      <c r="K7145" s="19" t="n">
        <v>0</v>
      </c>
      <c r="L7145" s="17"/>
    </row>
    <row r="7146" s="11" customFormat="true" ht="10.95" hidden="false" customHeight="true" outlineLevel="0" collapsed="false">
      <c r="A7146" s="16" t="n">
        <v>45384</v>
      </c>
      <c r="B7146" s="17" t="s">
        <v>3369</v>
      </c>
      <c r="C7146" s="17" t="s">
        <v>3370</v>
      </c>
      <c r="D7146" s="17" t="s">
        <v>19</v>
      </c>
      <c r="E7146" s="17" t="s">
        <v>3495</v>
      </c>
      <c r="F7146" s="17" t="s">
        <v>1235</v>
      </c>
      <c r="G7146" s="18" t="n">
        <v>90.74</v>
      </c>
      <c r="H7146" s="18" t="n">
        <v>0</v>
      </c>
      <c r="I7146" s="18" t="n">
        <f aca="false">((I7145 + G7146) - H7146)</f>
        <v>166502.44</v>
      </c>
      <c r="J7146" s="18" t="n">
        <v>0</v>
      </c>
      <c r="K7146" s="19" t="n">
        <v>0</v>
      </c>
      <c r="L7146" s="17"/>
    </row>
    <row r="7147" s="11" customFormat="true" ht="10.95" hidden="false" customHeight="true" outlineLevel="0" collapsed="false">
      <c r="A7147" s="16" t="n">
        <v>45384</v>
      </c>
      <c r="B7147" s="17" t="s">
        <v>3369</v>
      </c>
      <c r="C7147" s="17" t="s">
        <v>3370</v>
      </c>
      <c r="D7147" s="17" t="s">
        <v>2895</v>
      </c>
      <c r="E7147" s="17" t="s">
        <v>3382</v>
      </c>
      <c r="F7147" s="17" t="s">
        <v>531</v>
      </c>
      <c r="G7147" s="18" t="n">
        <v>0</v>
      </c>
      <c r="H7147" s="18" t="n">
        <v>18421.87</v>
      </c>
      <c r="I7147" s="18" t="n">
        <f aca="false">((I7146 + G7147) - H7147)</f>
        <v>148080.57</v>
      </c>
      <c r="J7147" s="18" t="n">
        <v>0</v>
      </c>
      <c r="K7147" s="19" t="n">
        <v>0</v>
      </c>
      <c r="L7147" s="17"/>
    </row>
    <row r="7148" s="11" customFormat="true" ht="10.95" hidden="false" customHeight="true" outlineLevel="0" collapsed="false">
      <c r="A7148" s="16" t="n">
        <v>45384</v>
      </c>
      <c r="B7148" s="17" t="s">
        <v>3369</v>
      </c>
      <c r="C7148" s="17" t="s">
        <v>3370</v>
      </c>
      <c r="D7148" s="17" t="s">
        <v>2895</v>
      </c>
      <c r="E7148" s="17" t="s">
        <v>3415</v>
      </c>
      <c r="F7148" s="17" t="s">
        <v>559</v>
      </c>
      <c r="G7148" s="18" t="n">
        <v>0</v>
      </c>
      <c r="H7148" s="18" t="n">
        <v>1052.7</v>
      </c>
      <c r="I7148" s="18" t="n">
        <f aca="false">((I7147 + G7148) - H7148)</f>
        <v>147027.87</v>
      </c>
      <c r="J7148" s="18" t="n">
        <v>0</v>
      </c>
      <c r="K7148" s="19" t="n">
        <v>0</v>
      </c>
      <c r="L7148" s="17"/>
    </row>
    <row r="7149" s="11" customFormat="true" ht="10.95" hidden="false" customHeight="true" outlineLevel="0" collapsed="false">
      <c r="A7149" s="16" t="n">
        <v>45384</v>
      </c>
      <c r="B7149" s="17" t="s">
        <v>3369</v>
      </c>
      <c r="C7149" s="17" t="s">
        <v>3370</v>
      </c>
      <c r="D7149" s="17" t="s">
        <v>2895</v>
      </c>
      <c r="E7149" s="17" t="s">
        <v>2898</v>
      </c>
      <c r="F7149" s="17" t="s">
        <v>1223</v>
      </c>
      <c r="G7149" s="18" t="n">
        <v>0</v>
      </c>
      <c r="H7149" s="18" t="n">
        <v>764.01</v>
      </c>
      <c r="I7149" s="18" t="n">
        <f aca="false">((I7148 + G7149) - H7149)</f>
        <v>146263.86</v>
      </c>
      <c r="J7149" s="18" t="n">
        <v>0</v>
      </c>
      <c r="K7149" s="19" t="n">
        <v>0</v>
      </c>
      <c r="L7149" s="17"/>
    </row>
    <row r="7150" s="11" customFormat="true" ht="10.95" hidden="false" customHeight="true" outlineLevel="0" collapsed="false">
      <c r="A7150" s="16" t="n">
        <v>45384</v>
      </c>
      <c r="B7150" s="17" t="s">
        <v>3369</v>
      </c>
      <c r="C7150" s="17" t="s">
        <v>3370</v>
      </c>
      <c r="D7150" s="17" t="s">
        <v>2895</v>
      </c>
      <c r="E7150" s="17" t="s">
        <v>3474</v>
      </c>
      <c r="F7150" s="17" t="s">
        <v>554</v>
      </c>
      <c r="G7150" s="18" t="n">
        <v>0</v>
      </c>
      <c r="H7150" s="18" t="n">
        <v>357.5</v>
      </c>
      <c r="I7150" s="18" t="n">
        <f aca="false">((I7149 + G7150) - H7150)</f>
        <v>145906.36</v>
      </c>
      <c r="J7150" s="18" t="n">
        <v>0</v>
      </c>
      <c r="K7150" s="19" t="n">
        <v>0</v>
      </c>
      <c r="L7150" s="17"/>
    </row>
    <row r="7151" s="11" customFormat="true" ht="10.95" hidden="false" customHeight="true" outlineLevel="0" collapsed="false">
      <c r="A7151" s="16" t="n">
        <v>45385</v>
      </c>
      <c r="B7151" s="17" t="s">
        <v>3369</v>
      </c>
      <c r="C7151" s="17" t="s">
        <v>3370</v>
      </c>
      <c r="D7151" s="17" t="s">
        <v>2895</v>
      </c>
      <c r="E7151" s="17" t="s">
        <v>3472</v>
      </c>
      <c r="F7151" s="17" t="s">
        <v>525</v>
      </c>
      <c r="G7151" s="18" t="n">
        <v>0</v>
      </c>
      <c r="H7151" s="18" t="n">
        <v>1278.2</v>
      </c>
      <c r="I7151" s="18" t="n">
        <f aca="false">((I7150 + G7151) - H7151)</f>
        <v>144628.16</v>
      </c>
      <c r="J7151" s="18" t="n">
        <v>0</v>
      </c>
      <c r="K7151" s="19" t="n">
        <v>0</v>
      </c>
      <c r="L7151" s="17"/>
    </row>
    <row r="7152" s="11" customFormat="true" ht="10.95" hidden="false" customHeight="true" outlineLevel="0" collapsed="false">
      <c r="A7152" s="16" t="n">
        <v>45385</v>
      </c>
      <c r="B7152" s="17" t="s">
        <v>3369</v>
      </c>
      <c r="C7152" s="17" t="s">
        <v>3370</v>
      </c>
      <c r="D7152" s="17" t="s">
        <v>2895</v>
      </c>
      <c r="E7152" s="17" t="s">
        <v>2925</v>
      </c>
      <c r="F7152" s="17" t="s">
        <v>894</v>
      </c>
      <c r="G7152" s="18" t="n">
        <v>0</v>
      </c>
      <c r="H7152" s="18" t="n">
        <v>323.25</v>
      </c>
      <c r="I7152" s="18" t="n">
        <f aca="false">((I7151 + G7152) - H7152)</f>
        <v>144304.91</v>
      </c>
      <c r="J7152" s="18" t="n">
        <v>0</v>
      </c>
      <c r="K7152" s="19" t="n">
        <v>0</v>
      </c>
      <c r="L7152" s="17"/>
    </row>
    <row r="7153" s="11" customFormat="true" ht="10.95" hidden="false" customHeight="true" outlineLevel="0" collapsed="false">
      <c r="A7153" s="16" t="n">
        <v>45385</v>
      </c>
      <c r="B7153" s="17" t="s">
        <v>3369</v>
      </c>
      <c r="C7153" s="17" t="s">
        <v>3370</v>
      </c>
      <c r="D7153" s="17" t="s">
        <v>2895</v>
      </c>
      <c r="E7153" s="17" t="s">
        <v>2925</v>
      </c>
      <c r="F7153" s="17" t="s">
        <v>899</v>
      </c>
      <c r="G7153" s="18" t="n">
        <v>0</v>
      </c>
      <c r="H7153" s="18" t="n">
        <v>356.58</v>
      </c>
      <c r="I7153" s="18" t="n">
        <f aca="false">((I7152 + G7153) - H7153)</f>
        <v>143948.33</v>
      </c>
      <c r="J7153" s="18" t="n">
        <v>0</v>
      </c>
      <c r="K7153" s="19" t="n">
        <v>0</v>
      </c>
      <c r="L7153" s="17"/>
    </row>
    <row r="7154" s="11" customFormat="true" ht="10.95" hidden="false" customHeight="true" outlineLevel="0" collapsed="false">
      <c r="A7154" s="16" t="n">
        <v>45385</v>
      </c>
      <c r="B7154" s="17" t="s">
        <v>3369</v>
      </c>
      <c r="C7154" s="17" t="s">
        <v>3370</v>
      </c>
      <c r="D7154" s="17" t="s">
        <v>2895</v>
      </c>
      <c r="E7154" s="17" t="s">
        <v>2925</v>
      </c>
      <c r="F7154" s="17" t="s">
        <v>892</v>
      </c>
      <c r="G7154" s="18" t="n">
        <v>0</v>
      </c>
      <c r="H7154" s="18" t="n">
        <v>609.21</v>
      </c>
      <c r="I7154" s="18" t="n">
        <f aca="false">((I7153 + G7154) - H7154)</f>
        <v>143339.12</v>
      </c>
      <c r="J7154" s="18" t="n">
        <v>0</v>
      </c>
      <c r="K7154" s="19" t="n">
        <v>0</v>
      </c>
      <c r="L7154" s="17"/>
    </row>
    <row r="7155" s="11" customFormat="true" ht="10.95" hidden="false" customHeight="true" outlineLevel="0" collapsed="false">
      <c r="A7155" s="16" t="n">
        <v>45385</v>
      </c>
      <c r="B7155" s="17" t="s">
        <v>3369</v>
      </c>
      <c r="C7155" s="17" t="s">
        <v>3370</v>
      </c>
      <c r="D7155" s="17" t="s">
        <v>2895</v>
      </c>
      <c r="E7155" s="17" t="s">
        <v>3505</v>
      </c>
      <c r="F7155" s="17" t="s">
        <v>547</v>
      </c>
      <c r="G7155" s="18" t="n">
        <v>0</v>
      </c>
      <c r="H7155" s="18" t="n">
        <v>157.3</v>
      </c>
      <c r="I7155" s="18" t="n">
        <f aca="false">((I7154 + G7155) - H7155)</f>
        <v>143181.82</v>
      </c>
      <c r="J7155" s="18" t="n">
        <v>0</v>
      </c>
      <c r="K7155" s="19" t="n">
        <v>0</v>
      </c>
      <c r="L7155" s="17"/>
    </row>
    <row r="7156" s="11" customFormat="true" ht="10.95" hidden="false" customHeight="true" outlineLevel="0" collapsed="false">
      <c r="A7156" s="16" t="n">
        <v>45385</v>
      </c>
      <c r="B7156" s="17" t="s">
        <v>3369</v>
      </c>
      <c r="C7156" s="17" t="s">
        <v>3370</v>
      </c>
      <c r="D7156" s="17" t="s">
        <v>2895</v>
      </c>
      <c r="E7156" s="17" t="s">
        <v>3504</v>
      </c>
      <c r="F7156" s="17" t="s">
        <v>548</v>
      </c>
      <c r="G7156" s="18" t="n">
        <v>0</v>
      </c>
      <c r="H7156" s="18" t="n">
        <v>1034.55</v>
      </c>
      <c r="I7156" s="18" t="n">
        <f aca="false">((I7155 + G7156) - H7156)</f>
        <v>142147.27</v>
      </c>
      <c r="J7156" s="18" t="n">
        <v>0</v>
      </c>
      <c r="K7156" s="19" t="n">
        <v>0</v>
      </c>
      <c r="L7156" s="17"/>
    </row>
    <row r="7157" s="11" customFormat="true" ht="10.95" hidden="false" customHeight="true" outlineLevel="0" collapsed="false">
      <c r="A7157" s="16" t="n">
        <v>45385</v>
      </c>
      <c r="B7157" s="17" t="s">
        <v>3369</v>
      </c>
      <c r="C7157" s="17" t="s">
        <v>3370</v>
      </c>
      <c r="D7157" s="17" t="s">
        <v>2895</v>
      </c>
      <c r="E7157" s="17" t="s">
        <v>2896</v>
      </c>
      <c r="F7157" s="17" t="s">
        <v>891</v>
      </c>
      <c r="G7157" s="18" t="n">
        <v>0</v>
      </c>
      <c r="H7157" s="18" t="n">
        <v>90.42</v>
      </c>
      <c r="I7157" s="18" t="n">
        <f aca="false">((I7156 + G7157) - H7157)</f>
        <v>142056.85</v>
      </c>
      <c r="J7157" s="18" t="n">
        <v>0</v>
      </c>
      <c r="K7157" s="19" t="n">
        <v>0</v>
      </c>
      <c r="L7157" s="17"/>
    </row>
    <row r="7158" s="11" customFormat="true" ht="10.95" hidden="false" customHeight="true" outlineLevel="0" collapsed="false">
      <c r="A7158" s="16" t="n">
        <v>45385</v>
      </c>
      <c r="B7158" s="17" t="s">
        <v>3369</v>
      </c>
      <c r="C7158" s="17" t="s">
        <v>3370</v>
      </c>
      <c r="D7158" s="17" t="s">
        <v>2895</v>
      </c>
      <c r="E7158" s="17" t="s">
        <v>3467</v>
      </c>
      <c r="F7158" s="17" t="s">
        <v>552</v>
      </c>
      <c r="G7158" s="18" t="n">
        <v>0</v>
      </c>
      <c r="H7158" s="18" t="n">
        <v>1385.45</v>
      </c>
      <c r="I7158" s="18" t="n">
        <f aca="false">((I7157 + G7158) - H7158)</f>
        <v>140671.4</v>
      </c>
      <c r="J7158" s="18" t="n">
        <v>0</v>
      </c>
      <c r="K7158" s="19" t="n">
        <v>0</v>
      </c>
      <c r="L7158" s="17"/>
    </row>
    <row r="7159" s="11" customFormat="true" ht="10.95" hidden="false" customHeight="true" outlineLevel="0" collapsed="false">
      <c r="A7159" s="16" t="n">
        <v>45385</v>
      </c>
      <c r="B7159" s="17" t="s">
        <v>3369</v>
      </c>
      <c r="C7159" s="17" t="s">
        <v>3370</v>
      </c>
      <c r="D7159" s="17" t="s">
        <v>2895</v>
      </c>
      <c r="E7159" s="17" t="s">
        <v>2964</v>
      </c>
      <c r="F7159" s="17" t="s">
        <v>1007</v>
      </c>
      <c r="G7159" s="18" t="n">
        <v>0</v>
      </c>
      <c r="H7159" s="18" t="n">
        <v>1471.61</v>
      </c>
      <c r="I7159" s="18" t="n">
        <f aca="false">((I7158 + G7159) - H7159)</f>
        <v>139199.79</v>
      </c>
      <c r="J7159" s="18" t="n">
        <v>0</v>
      </c>
      <c r="K7159" s="19" t="n">
        <v>0</v>
      </c>
      <c r="L7159" s="17"/>
    </row>
    <row r="7160" s="11" customFormat="true" ht="10.95" hidden="false" customHeight="true" outlineLevel="0" collapsed="false">
      <c r="A7160" s="16" t="n">
        <v>45385</v>
      </c>
      <c r="B7160" s="17" t="s">
        <v>3369</v>
      </c>
      <c r="C7160" s="17" t="s">
        <v>3370</v>
      </c>
      <c r="D7160" s="17" t="s">
        <v>2895</v>
      </c>
      <c r="E7160" s="17" t="s">
        <v>2964</v>
      </c>
      <c r="F7160" s="17" t="s">
        <v>1008</v>
      </c>
      <c r="G7160" s="18" t="n">
        <v>0</v>
      </c>
      <c r="H7160" s="18" t="n">
        <v>481.97</v>
      </c>
      <c r="I7160" s="18" t="n">
        <f aca="false">((I7159 + G7160) - H7160)</f>
        <v>138717.82</v>
      </c>
      <c r="J7160" s="18" t="n">
        <v>0</v>
      </c>
      <c r="K7160" s="19" t="n">
        <v>0</v>
      </c>
      <c r="L7160" s="17"/>
    </row>
    <row r="7161" s="11" customFormat="true" ht="10.95" hidden="false" customHeight="true" outlineLevel="0" collapsed="false">
      <c r="A7161" s="16" t="n">
        <v>45385</v>
      </c>
      <c r="B7161" s="17" t="s">
        <v>3369</v>
      </c>
      <c r="C7161" s="17" t="s">
        <v>3370</v>
      </c>
      <c r="D7161" s="17" t="s">
        <v>2895</v>
      </c>
      <c r="E7161" s="17" t="s">
        <v>2964</v>
      </c>
      <c r="F7161" s="17" t="s">
        <v>1009</v>
      </c>
      <c r="G7161" s="18" t="n">
        <v>0</v>
      </c>
      <c r="H7161" s="18" t="n">
        <v>321.31</v>
      </c>
      <c r="I7161" s="18" t="n">
        <f aca="false">((I7160 + G7161) - H7161)</f>
        <v>138396.51</v>
      </c>
      <c r="J7161" s="18" t="n">
        <v>0</v>
      </c>
      <c r="K7161" s="19" t="n">
        <v>0</v>
      </c>
      <c r="L7161" s="17"/>
    </row>
    <row r="7162" s="11" customFormat="true" ht="10.95" hidden="false" customHeight="true" outlineLevel="0" collapsed="false">
      <c r="A7162" s="16" t="n">
        <v>45385</v>
      </c>
      <c r="B7162" s="17" t="s">
        <v>3369</v>
      </c>
      <c r="C7162" s="17" t="s">
        <v>3370</v>
      </c>
      <c r="D7162" s="17" t="s">
        <v>2895</v>
      </c>
      <c r="E7162" s="17" t="s">
        <v>2964</v>
      </c>
      <c r="F7162" s="17" t="s">
        <v>1006</v>
      </c>
      <c r="G7162" s="18" t="n">
        <v>0</v>
      </c>
      <c r="H7162" s="18" t="n">
        <v>321.31</v>
      </c>
      <c r="I7162" s="18" t="n">
        <f aca="false">((I7161 + G7162) - H7162)</f>
        <v>138075.2</v>
      </c>
      <c r="J7162" s="18" t="n">
        <v>0</v>
      </c>
      <c r="K7162" s="19" t="n">
        <v>0</v>
      </c>
      <c r="L7162" s="17"/>
    </row>
    <row r="7163" s="11" customFormat="true" ht="10.95" hidden="false" customHeight="true" outlineLevel="0" collapsed="false">
      <c r="A7163" s="16" t="n">
        <v>45385</v>
      </c>
      <c r="B7163" s="17" t="s">
        <v>3369</v>
      </c>
      <c r="C7163" s="17" t="s">
        <v>3370</v>
      </c>
      <c r="D7163" s="17" t="s">
        <v>2895</v>
      </c>
      <c r="E7163" s="17" t="s">
        <v>2964</v>
      </c>
      <c r="F7163" s="17" t="s">
        <v>1022</v>
      </c>
      <c r="G7163" s="18" t="n">
        <v>0</v>
      </c>
      <c r="H7163" s="18" t="n">
        <v>992.86</v>
      </c>
      <c r="I7163" s="18" t="n">
        <f aca="false">((I7162 + G7163) - H7163)</f>
        <v>137082.34</v>
      </c>
      <c r="J7163" s="18" t="n">
        <v>0</v>
      </c>
      <c r="K7163" s="19" t="n">
        <v>0</v>
      </c>
      <c r="L7163" s="17"/>
    </row>
    <row r="7164" s="11" customFormat="true" ht="10.95" hidden="false" customHeight="true" outlineLevel="0" collapsed="false">
      <c r="A7164" s="16" t="n">
        <v>45386</v>
      </c>
      <c r="B7164" s="17" t="s">
        <v>3369</v>
      </c>
      <c r="C7164" s="17" t="s">
        <v>3370</v>
      </c>
      <c r="D7164" s="17" t="s">
        <v>2895</v>
      </c>
      <c r="E7164" s="17" t="s">
        <v>3457</v>
      </c>
      <c r="F7164" s="17" t="s">
        <v>560</v>
      </c>
      <c r="G7164" s="18" t="n">
        <v>0</v>
      </c>
      <c r="H7164" s="18" t="n">
        <v>9999</v>
      </c>
      <c r="I7164" s="18" t="n">
        <f aca="false">((I7163 + G7164) - H7164)</f>
        <v>127083.34</v>
      </c>
      <c r="J7164" s="18" t="n">
        <v>0</v>
      </c>
      <c r="K7164" s="19" t="n">
        <v>0</v>
      </c>
      <c r="L7164" s="17"/>
    </row>
    <row r="7165" s="11" customFormat="true" ht="10.95" hidden="false" customHeight="true" outlineLevel="0" collapsed="false">
      <c r="A7165" s="16" t="n">
        <v>45386</v>
      </c>
      <c r="B7165" s="17" t="s">
        <v>3369</v>
      </c>
      <c r="C7165" s="17" t="s">
        <v>3370</v>
      </c>
      <c r="D7165" s="17" t="s">
        <v>2895</v>
      </c>
      <c r="E7165" s="17" t="s">
        <v>3457</v>
      </c>
      <c r="F7165" s="17" t="s">
        <v>561</v>
      </c>
      <c r="G7165" s="18" t="n">
        <v>0</v>
      </c>
      <c r="H7165" s="18" t="n">
        <v>9999</v>
      </c>
      <c r="I7165" s="18" t="n">
        <f aca="false">((I7164 + G7165) - H7165)</f>
        <v>117084.34</v>
      </c>
      <c r="J7165" s="18" t="n">
        <v>0</v>
      </c>
      <c r="K7165" s="19" t="n">
        <v>0</v>
      </c>
      <c r="L7165" s="17"/>
    </row>
    <row r="7166" s="11" customFormat="true" ht="10.95" hidden="false" customHeight="true" outlineLevel="0" collapsed="false">
      <c r="A7166" s="16" t="n">
        <v>45386</v>
      </c>
      <c r="B7166" s="17" t="s">
        <v>3369</v>
      </c>
      <c r="C7166" s="17" t="s">
        <v>3370</v>
      </c>
      <c r="D7166" s="17" t="s">
        <v>2895</v>
      </c>
      <c r="E7166" s="17" t="s">
        <v>2917</v>
      </c>
      <c r="F7166" s="17" t="s">
        <v>1235</v>
      </c>
      <c r="G7166" s="18" t="n">
        <v>0</v>
      </c>
      <c r="H7166" s="18" t="n">
        <v>90.74</v>
      </c>
      <c r="I7166" s="18" t="n">
        <f aca="false">((I7165 + G7166) - H7166)</f>
        <v>116993.6</v>
      </c>
      <c r="J7166" s="18" t="n">
        <v>0</v>
      </c>
      <c r="K7166" s="19" t="n">
        <v>0</v>
      </c>
      <c r="L7166" s="17"/>
    </row>
    <row r="7167" s="11" customFormat="true" ht="10.95" hidden="false" customHeight="true" outlineLevel="0" collapsed="false">
      <c r="A7167" s="16" t="n">
        <v>45386</v>
      </c>
      <c r="B7167" s="17" t="s">
        <v>3369</v>
      </c>
      <c r="C7167" s="17" t="s">
        <v>3370</v>
      </c>
      <c r="D7167" s="17" t="s">
        <v>2895</v>
      </c>
      <c r="E7167" s="17" t="s">
        <v>2917</v>
      </c>
      <c r="F7167" s="17" t="s">
        <v>1210</v>
      </c>
      <c r="G7167" s="18" t="n">
        <v>0</v>
      </c>
      <c r="H7167" s="18" t="n">
        <v>11814.31</v>
      </c>
      <c r="I7167" s="18" t="n">
        <f aca="false">((I7166 + G7167) - H7167)</f>
        <v>105179.29</v>
      </c>
      <c r="J7167" s="18" t="n">
        <v>0</v>
      </c>
      <c r="K7167" s="19" t="n">
        <v>0</v>
      </c>
      <c r="L7167" s="17"/>
    </row>
    <row r="7168" s="11" customFormat="true" ht="10.95" hidden="false" customHeight="true" outlineLevel="0" collapsed="false">
      <c r="A7168" s="16" t="n">
        <v>45386</v>
      </c>
      <c r="B7168" s="17" t="s">
        <v>3369</v>
      </c>
      <c r="C7168" s="17" t="s">
        <v>3370</v>
      </c>
      <c r="D7168" s="17" t="s">
        <v>2895</v>
      </c>
      <c r="E7168" s="17" t="s">
        <v>2917</v>
      </c>
      <c r="F7168" s="17" t="s">
        <v>1178</v>
      </c>
      <c r="G7168" s="18" t="n">
        <v>0</v>
      </c>
      <c r="H7168" s="18" t="n">
        <v>389.47</v>
      </c>
      <c r="I7168" s="18" t="n">
        <f aca="false">((I7167 + G7168) - H7168)</f>
        <v>104789.82</v>
      </c>
      <c r="J7168" s="18" t="n">
        <v>0</v>
      </c>
      <c r="K7168" s="19" t="n">
        <v>0</v>
      </c>
      <c r="L7168" s="17"/>
    </row>
    <row r="7169" s="11" customFormat="true" ht="10.95" hidden="false" customHeight="true" outlineLevel="0" collapsed="false">
      <c r="A7169" s="16" t="n">
        <v>45386</v>
      </c>
      <c r="B7169" s="17" t="s">
        <v>3369</v>
      </c>
      <c r="C7169" s="17" t="s">
        <v>3370</v>
      </c>
      <c r="D7169" s="17" t="s">
        <v>2895</v>
      </c>
      <c r="E7169" s="17" t="s">
        <v>2917</v>
      </c>
      <c r="F7169" s="17" t="s">
        <v>1190</v>
      </c>
      <c r="G7169" s="18" t="n">
        <v>0</v>
      </c>
      <c r="H7169" s="18" t="n">
        <v>292.62</v>
      </c>
      <c r="I7169" s="18" t="n">
        <f aca="false">((I7168 + G7169) - H7169)</f>
        <v>104497.2</v>
      </c>
      <c r="J7169" s="18" t="n">
        <v>0</v>
      </c>
      <c r="K7169" s="19" t="n">
        <v>0</v>
      </c>
      <c r="L7169" s="17"/>
    </row>
    <row r="7170" s="11" customFormat="true" ht="10.95" hidden="false" customHeight="true" outlineLevel="0" collapsed="false">
      <c r="A7170" s="16" t="n">
        <v>45386</v>
      </c>
      <c r="B7170" s="17" t="s">
        <v>3369</v>
      </c>
      <c r="C7170" s="17" t="s">
        <v>3370</v>
      </c>
      <c r="D7170" s="17" t="s">
        <v>2895</v>
      </c>
      <c r="E7170" s="17" t="s">
        <v>2917</v>
      </c>
      <c r="F7170" s="17" t="s">
        <v>1206</v>
      </c>
      <c r="G7170" s="18" t="n">
        <v>0</v>
      </c>
      <c r="H7170" s="18" t="n">
        <v>913.93</v>
      </c>
      <c r="I7170" s="18" t="n">
        <f aca="false">((I7169 + G7170) - H7170)</f>
        <v>103583.27</v>
      </c>
      <c r="J7170" s="18" t="n">
        <v>0</v>
      </c>
      <c r="K7170" s="19" t="n">
        <v>0</v>
      </c>
      <c r="L7170" s="17"/>
    </row>
    <row r="7171" s="11" customFormat="true" ht="10.95" hidden="false" customHeight="true" outlineLevel="0" collapsed="false">
      <c r="A7171" s="16" t="n">
        <v>45386</v>
      </c>
      <c r="B7171" s="17" t="s">
        <v>3369</v>
      </c>
      <c r="C7171" s="17" t="s">
        <v>3370</v>
      </c>
      <c r="D7171" s="17" t="s">
        <v>2895</v>
      </c>
      <c r="E7171" s="17" t="s">
        <v>2917</v>
      </c>
      <c r="F7171" s="17" t="s">
        <v>1204</v>
      </c>
      <c r="G7171" s="18" t="n">
        <v>0</v>
      </c>
      <c r="H7171" s="18" t="n">
        <v>186.36</v>
      </c>
      <c r="I7171" s="18" t="n">
        <f aca="false">((I7170 + G7171) - H7171)</f>
        <v>103396.91</v>
      </c>
      <c r="J7171" s="18" t="n">
        <v>0</v>
      </c>
      <c r="K7171" s="19" t="n">
        <v>0</v>
      </c>
      <c r="L7171" s="17"/>
    </row>
    <row r="7172" s="11" customFormat="true" ht="10.95" hidden="false" customHeight="true" outlineLevel="0" collapsed="false">
      <c r="A7172" s="16" t="n">
        <v>45386</v>
      </c>
      <c r="B7172" s="17" t="s">
        <v>3369</v>
      </c>
      <c r="C7172" s="17" t="s">
        <v>3370</v>
      </c>
      <c r="D7172" s="17" t="s">
        <v>2895</v>
      </c>
      <c r="E7172" s="17" t="s">
        <v>3391</v>
      </c>
      <c r="F7172" s="17" t="s">
        <v>558</v>
      </c>
      <c r="G7172" s="18" t="n">
        <v>0</v>
      </c>
      <c r="H7172" s="18" t="n">
        <v>1100.06</v>
      </c>
      <c r="I7172" s="18" t="n">
        <f aca="false">((I7171 + G7172) - H7172)</f>
        <v>102296.85</v>
      </c>
      <c r="J7172" s="18" t="n">
        <v>0</v>
      </c>
      <c r="K7172" s="19" t="n">
        <v>0</v>
      </c>
      <c r="L7172" s="17"/>
    </row>
    <row r="7173" s="11" customFormat="true" ht="10.95" hidden="false" customHeight="true" outlineLevel="0" collapsed="false">
      <c r="A7173" s="16" t="n">
        <v>45387</v>
      </c>
      <c r="B7173" s="17" t="s">
        <v>3369</v>
      </c>
      <c r="C7173" s="17" t="s">
        <v>3370</v>
      </c>
      <c r="D7173" s="17" t="s">
        <v>2895</v>
      </c>
      <c r="E7173" s="17" t="s">
        <v>3482</v>
      </c>
      <c r="F7173" s="17" t="s">
        <v>565</v>
      </c>
      <c r="G7173" s="18" t="n">
        <v>0</v>
      </c>
      <c r="H7173" s="18" t="n">
        <v>1861.2</v>
      </c>
      <c r="I7173" s="18" t="n">
        <f aca="false">((I7172 + G7173) - H7173)</f>
        <v>100435.65</v>
      </c>
      <c r="J7173" s="18" t="n">
        <v>0</v>
      </c>
      <c r="K7173" s="19" t="n">
        <v>0</v>
      </c>
      <c r="L7173" s="17"/>
    </row>
    <row r="7174" s="11" customFormat="true" ht="10.95" hidden="false" customHeight="true" outlineLevel="0" collapsed="false">
      <c r="A7174" s="16" t="n">
        <v>45387</v>
      </c>
      <c r="B7174" s="17" t="s">
        <v>3369</v>
      </c>
      <c r="C7174" s="17" t="s">
        <v>3370</v>
      </c>
      <c r="D7174" s="17" t="s">
        <v>2895</v>
      </c>
      <c r="E7174" s="17" t="s">
        <v>3384</v>
      </c>
      <c r="F7174" s="17" t="s">
        <v>888</v>
      </c>
      <c r="G7174" s="18" t="n">
        <v>0</v>
      </c>
      <c r="H7174" s="18" t="n">
        <v>1001</v>
      </c>
      <c r="I7174" s="18" t="n">
        <f aca="false">((I7173 + G7174) - H7174)</f>
        <v>99434.6500000001</v>
      </c>
      <c r="J7174" s="18" t="n">
        <v>0</v>
      </c>
      <c r="K7174" s="19" t="n">
        <v>0</v>
      </c>
      <c r="L7174" s="17"/>
    </row>
    <row r="7175" s="11" customFormat="true" ht="10.95" hidden="false" customHeight="true" outlineLevel="0" collapsed="false">
      <c r="A7175" s="16" t="n">
        <v>45387</v>
      </c>
      <c r="B7175" s="17" t="s">
        <v>3369</v>
      </c>
      <c r="C7175" s="17" t="s">
        <v>3370</v>
      </c>
      <c r="D7175" s="17" t="s">
        <v>2895</v>
      </c>
      <c r="E7175" s="17" t="s">
        <v>3384</v>
      </c>
      <c r="F7175" s="17" t="s">
        <v>886</v>
      </c>
      <c r="G7175" s="18" t="n">
        <v>0</v>
      </c>
      <c r="H7175" s="18" t="n">
        <v>2403.5</v>
      </c>
      <c r="I7175" s="18" t="n">
        <f aca="false">((I7174 + G7175) - H7175)</f>
        <v>97031.1500000001</v>
      </c>
      <c r="J7175" s="18" t="n">
        <v>0</v>
      </c>
      <c r="K7175" s="19" t="n">
        <v>0</v>
      </c>
      <c r="L7175" s="17"/>
    </row>
    <row r="7176" s="11" customFormat="true" ht="10.95" hidden="false" customHeight="true" outlineLevel="0" collapsed="false">
      <c r="A7176" s="16" t="n">
        <v>45387</v>
      </c>
      <c r="B7176" s="17" t="s">
        <v>3369</v>
      </c>
      <c r="C7176" s="17" t="s">
        <v>3370</v>
      </c>
      <c r="D7176" s="17" t="s">
        <v>2895</v>
      </c>
      <c r="E7176" s="17" t="s">
        <v>3384</v>
      </c>
      <c r="F7176" s="17" t="s">
        <v>889</v>
      </c>
      <c r="G7176" s="18" t="n">
        <v>0</v>
      </c>
      <c r="H7176" s="18" t="n">
        <v>1672</v>
      </c>
      <c r="I7176" s="18" t="n">
        <f aca="false">((I7175 + G7176) - H7176)</f>
        <v>95359.1500000001</v>
      </c>
      <c r="J7176" s="18" t="n">
        <v>0</v>
      </c>
      <c r="K7176" s="19" t="n">
        <v>0</v>
      </c>
      <c r="L7176" s="17"/>
    </row>
    <row r="7177" s="11" customFormat="true" ht="10.95" hidden="false" customHeight="true" outlineLevel="0" collapsed="false">
      <c r="A7177" s="16" t="n">
        <v>45387</v>
      </c>
      <c r="B7177" s="17" t="s">
        <v>3369</v>
      </c>
      <c r="C7177" s="17" t="s">
        <v>3370</v>
      </c>
      <c r="D7177" s="17" t="s">
        <v>2895</v>
      </c>
      <c r="E7177" s="17" t="s">
        <v>2947</v>
      </c>
      <c r="F7177" s="17" t="s">
        <v>1020</v>
      </c>
      <c r="G7177" s="18" t="n">
        <v>0</v>
      </c>
      <c r="H7177" s="18" t="n">
        <v>1826.27</v>
      </c>
      <c r="I7177" s="18" t="n">
        <f aca="false">((I7176 + G7177) - H7177)</f>
        <v>93532.8800000001</v>
      </c>
      <c r="J7177" s="18" t="n">
        <v>0</v>
      </c>
      <c r="K7177" s="19" t="n">
        <v>0</v>
      </c>
      <c r="L7177" s="17"/>
    </row>
    <row r="7178" s="11" customFormat="true" ht="10.95" hidden="false" customHeight="true" outlineLevel="0" collapsed="false">
      <c r="A7178" s="16" t="n">
        <v>45387</v>
      </c>
      <c r="B7178" s="17" t="s">
        <v>3369</v>
      </c>
      <c r="C7178" s="17" t="s">
        <v>3370</v>
      </c>
      <c r="D7178" s="17" t="s">
        <v>2895</v>
      </c>
      <c r="E7178" s="17" t="s">
        <v>3378</v>
      </c>
      <c r="F7178" s="17" t="s">
        <v>478</v>
      </c>
      <c r="G7178" s="18" t="n">
        <v>0</v>
      </c>
      <c r="H7178" s="18" t="n">
        <v>413.6</v>
      </c>
      <c r="I7178" s="18" t="n">
        <f aca="false">((I7177 + G7178) - H7178)</f>
        <v>93119.2800000001</v>
      </c>
      <c r="J7178" s="18" t="n">
        <v>0</v>
      </c>
      <c r="K7178" s="19" t="n">
        <v>0</v>
      </c>
      <c r="L7178" s="17"/>
    </row>
    <row r="7179" s="11" customFormat="true" ht="10.95" hidden="false" customHeight="true" outlineLevel="0" collapsed="false">
      <c r="A7179" s="16" t="n">
        <v>45387</v>
      </c>
      <c r="B7179" s="17" t="s">
        <v>3369</v>
      </c>
      <c r="C7179" s="17" t="s">
        <v>3370</v>
      </c>
      <c r="D7179" s="17" t="s">
        <v>2895</v>
      </c>
      <c r="E7179" s="17" t="s">
        <v>3373</v>
      </c>
      <c r="F7179" s="17" t="s">
        <v>550</v>
      </c>
      <c r="G7179" s="18" t="n">
        <v>0</v>
      </c>
      <c r="H7179" s="18" t="n">
        <v>1512.5</v>
      </c>
      <c r="I7179" s="18" t="n">
        <f aca="false">((I7178 + G7179) - H7179)</f>
        <v>91606.7800000001</v>
      </c>
      <c r="J7179" s="18" t="n">
        <v>0</v>
      </c>
      <c r="K7179" s="19" t="n">
        <v>0</v>
      </c>
      <c r="L7179" s="17"/>
    </row>
    <row r="7180" s="11" customFormat="true" ht="10.95" hidden="false" customHeight="true" outlineLevel="0" collapsed="false">
      <c r="A7180" s="16" t="n">
        <v>45387</v>
      </c>
      <c r="B7180" s="17" t="s">
        <v>3369</v>
      </c>
      <c r="C7180" s="17" t="s">
        <v>3370</v>
      </c>
      <c r="D7180" s="17" t="s">
        <v>19</v>
      </c>
      <c r="E7180" s="17" t="s">
        <v>3528</v>
      </c>
      <c r="F7180" s="17" t="s">
        <v>903</v>
      </c>
      <c r="G7180" s="18" t="n">
        <v>6451.74</v>
      </c>
      <c r="H7180" s="18" t="n">
        <v>0</v>
      </c>
      <c r="I7180" s="18" t="n">
        <f aca="false">((I7179 + G7180) - H7180)</f>
        <v>98058.5200000001</v>
      </c>
      <c r="J7180" s="18" t="n">
        <v>0</v>
      </c>
      <c r="K7180" s="19" t="n">
        <v>0</v>
      </c>
      <c r="L7180" s="17"/>
    </row>
    <row r="7181" s="11" customFormat="true" ht="10.95" hidden="false" customHeight="true" outlineLevel="0" collapsed="false">
      <c r="A7181" s="16" t="n">
        <v>45391</v>
      </c>
      <c r="B7181" s="17" t="s">
        <v>3369</v>
      </c>
      <c r="C7181" s="17" t="s">
        <v>3370</v>
      </c>
      <c r="D7181" s="17" t="s">
        <v>2895</v>
      </c>
      <c r="E7181" s="17" t="s">
        <v>3403</v>
      </c>
      <c r="F7181" s="17" t="s">
        <v>567</v>
      </c>
      <c r="G7181" s="18" t="n">
        <v>0</v>
      </c>
      <c r="H7181" s="18" t="n">
        <v>229.9</v>
      </c>
      <c r="I7181" s="18" t="n">
        <f aca="false">((I7180 + G7181) - H7181)</f>
        <v>97828.6200000001</v>
      </c>
      <c r="J7181" s="18" t="n">
        <v>0</v>
      </c>
      <c r="K7181" s="19" t="n">
        <v>0</v>
      </c>
      <c r="L7181" s="17"/>
    </row>
    <row r="7182" s="11" customFormat="true" ht="10.95" hidden="false" customHeight="true" outlineLevel="0" collapsed="false">
      <c r="A7182" s="16" t="n">
        <v>45391</v>
      </c>
      <c r="B7182" s="17" t="s">
        <v>3369</v>
      </c>
      <c r="C7182" s="17" t="s">
        <v>3370</v>
      </c>
      <c r="D7182" s="17" t="s">
        <v>2895</v>
      </c>
      <c r="E7182" s="17" t="s">
        <v>3403</v>
      </c>
      <c r="F7182" s="17" t="s">
        <v>575</v>
      </c>
      <c r="G7182" s="18" t="n">
        <v>0</v>
      </c>
      <c r="H7182" s="18" t="n">
        <v>627</v>
      </c>
      <c r="I7182" s="18" t="n">
        <f aca="false">((I7181 + G7182) - H7182)</f>
        <v>97201.6200000001</v>
      </c>
      <c r="J7182" s="18" t="n">
        <v>0</v>
      </c>
      <c r="K7182" s="19" t="n">
        <v>0</v>
      </c>
      <c r="L7182" s="17"/>
    </row>
    <row r="7183" s="11" customFormat="true" ht="10.95" hidden="false" customHeight="true" outlineLevel="0" collapsed="false">
      <c r="A7183" s="16" t="n">
        <v>45391</v>
      </c>
      <c r="B7183" s="17" t="s">
        <v>3369</v>
      </c>
      <c r="C7183" s="17" t="s">
        <v>3370</v>
      </c>
      <c r="D7183" s="17" t="s">
        <v>2895</v>
      </c>
      <c r="E7183" s="17" t="s">
        <v>3403</v>
      </c>
      <c r="F7183" s="17" t="s">
        <v>511</v>
      </c>
      <c r="G7183" s="18" t="n">
        <v>0</v>
      </c>
      <c r="H7183" s="18" t="n">
        <v>3088.25</v>
      </c>
      <c r="I7183" s="18" t="n">
        <f aca="false">((I7182 + G7183) - H7183)</f>
        <v>94113.3700000001</v>
      </c>
      <c r="J7183" s="18" t="n">
        <v>0</v>
      </c>
      <c r="K7183" s="19" t="n">
        <v>0</v>
      </c>
      <c r="L7183" s="17"/>
    </row>
    <row r="7184" s="11" customFormat="true" ht="10.95" hidden="false" customHeight="true" outlineLevel="0" collapsed="false">
      <c r="A7184" s="16" t="n">
        <v>45391</v>
      </c>
      <c r="B7184" s="17" t="s">
        <v>3369</v>
      </c>
      <c r="C7184" s="17" t="s">
        <v>3370</v>
      </c>
      <c r="D7184" s="17" t="s">
        <v>2895</v>
      </c>
      <c r="E7184" s="17" t="s">
        <v>3403</v>
      </c>
      <c r="F7184" s="17" t="s">
        <v>581</v>
      </c>
      <c r="G7184" s="18" t="n">
        <v>0</v>
      </c>
      <c r="H7184" s="18" t="n">
        <v>620.4</v>
      </c>
      <c r="I7184" s="18" t="n">
        <f aca="false">((I7183 + G7184) - H7184)</f>
        <v>93492.9700000001</v>
      </c>
      <c r="J7184" s="18" t="n">
        <v>0</v>
      </c>
      <c r="K7184" s="19" t="n">
        <v>0</v>
      </c>
      <c r="L7184" s="17"/>
    </row>
    <row r="7185" s="11" customFormat="true" ht="10.95" hidden="false" customHeight="true" outlineLevel="0" collapsed="false">
      <c r="A7185" s="16" t="n">
        <v>45391</v>
      </c>
      <c r="B7185" s="17" t="s">
        <v>3369</v>
      </c>
      <c r="C7185" s="17" t="s">
        <v>3370</v>
      </c>
      <c r="D7185" s="17" t="s">
        <v>2895</v>
      </c>
      <c r="E7185" s="17" t="s">
        <v>3403</v>
      </c>
      <c r="F7185" s="17" t="s">
        <v>576</v>
      </c>
      <c r="G7185" s="18" t="n">
        <v>0</v>
      </c>
      <c r="H7185" s="18" t="n">
        <v>1967.9</v>
      </c>
      <c r="I7185" s="18" t="n">
        <f aca="false">((I7184 + G7185) - H7185)</f>
        <v>91525.0700000001</v>
      </c>
      <c r="J7185" s="18" t="n">
        <v>0</v>
      </c>
      <c r="K7185" s="19" t="n">
        <v>0</v>
      </c>
      <c r="L7185" s="17"/>
    </row>
    <row r="7186" s="11" customFormat="true" ht="10.95" hidden="false" customHeight="true" outlineLevel="0" collapsed="false">
      <c r="A7186" s="16" t="n">
        <v>45391</v>
      </c>
      <c r="B7186" s="17" t="s">
        <v>3369</v>
      </c>
      <c r="C7186" s="17" t="s">
        <v>3370</v>
      </c>
      <c r="D7186" s="17" t="s">
        <v>2895</v>
      </c>
      <c r="E7186" s="17" t="s">
        <v>3403</v>
      </c>
      <c r="F7186" s="17" t="s">
        <v>569</v>
      </c>
      <c r="G7186" s="18" t="n">
        <v>0</v>
      </c>
      <c r="H7186" s="18" t="n">
        <v>618.75</v>
      </c>
      <c r="I7186" s="18" t="n">
        <f aca="false">((I7185 + G7186) - H7186)</f>
        <v>90906.3200000001</v>
      </c>
      <c r="J7186" s="18" t="n">
        <v>0</v>
      </c>
      <c r="K7186" s="19" t="n">
        <v>0</v>
      </c>
      <c r="L7186" s="17"/>
    </row>
    <row r="7187" s="11" customFormat="true" ht="10.95" hidden="false" customHeight="true" outlineLevel="0" collapsed="false">
      <c r="A7187" s="16" t="n">
        <v>45391</v>
      </c>
      <c r="B7187" s="17" t="s">
        <v>3369</v>
      </c>
      <c r="C7187" s="17" t="s">
        <v>3370</v>
      </c>
      <c r="D7187" s="17" t="s">
        <v>2895</v>
      </c>
      <c r="E7187" s="17" t="s">
        <v>3403</v>
      </c>
      <c r="F7187" s="17" t="s">
        <v>583</v>
      </c>
      <c r="G7187" s="18" t="n">
        <v>0</v>
      </c>
      <c r="H7187" s="18" t="n">
        <v>103.4</v>
      </c>
      <c r="I7187" s="18" t="n">
        <f aca="false">((I7186 + G7187) - H7187)</f>
        <v>90802.9200000001</v>
      </c>
      <c r="J7187" s="18" t="n">
        <v>0</v>
      </c>
      <c r="K7187" s="19" t="n">
        <v>0</v>
      </c>
      <c r="L7187" s="17"/>
    </row>
    <row r="7188" s="11" customFormat="true" ht="10.95" hidden="false" customHeight="true" outlineLevel="0" collapsed="false">
      <c r="A7188" s="16" t="n">
        <v>45391</v>
      </c>
      <c r="B7188" s="17" t="s">
        <v>3369</v>
      </c>
      <c r="C7188" s="17" t="s">
        <v>3370</v>
      </c>
      <c r="D7188" s="17" t="s">
        <v>2895</v>
      </c>
      <c r="E7188" s="17" t="s">
        <v>3403</v>
      </c>
      <c r="F7188" s="17" t="s">
        <v>580</v>
      </c>
      <c r="G7188" s="18" t="n">
        <v>0</v>
      </c>
      <c r="H7188" s="18" t="n">
        <v>310.2</v>
      </c>
      <c r="I7188" s="18" t="n">
        <f aca="false">((I7187 + G7188) - H7188)</f>
        <v>90492.7200000002</v>
      </c>
      <c r="J7188" s="18" t="n">
        <v>0</v>
      </c>
      <c r="K7188" s="19" t="n">
        <v>0</v>
      </c>
      <c r="L7188" s="17"/>
    </row>
    <row r="7189" s="11" customFormat="true" ht="10.95" hidden="false" customHeight="true" outlineLevel="0" collapsed="false">
      <c r="A7189" s="16" t="n">
        <v>45391</v>
      </c>
      <c r="B7189" s="17" t="s">
        <v>3369</v>
      </c>
      <c r="C7189" s="17" t="s">
        <v>3370</v>
      </c>
      <c r="D7189" s="17" t="s">
        <v>2895</v>
      </c>
      <c r="E7189" s="17" t="s">
        <v>3403</v>
      </c>
      <c r="F7189" s="17" t="s">
        <v>577</v>
      </c>
      <c r="G7189" s="18" t="n">
        <v>0</v>
      </c>
      <c r="H7189" s="18" t="n">
        <v>1568.6</v>
      </c>
      <c r="I7189" s="18" t="n">
        <f aca="false">((I7188 + G7189) - H7189)</f>
        <v>88924.1200000001</v>
      </c>
      <c r="J7189" s="18" t="n">
        <v>0</v>
      </c>
      <c r="K7189" s="19" t="n">
        <v>0</v>
      </c>
      <c r="L7189" s="17"/>
    </row>
    <row r="7190" s="11" customFormat="true" ht="10.95" hidden="false" customHeight="true" outlineLevel="0" collapsed="false">
      <c r="A7190" s="16" t="n">
        <v>45391</v>
      </c>
      <c r="B7190" s="17" t="s">
        <v>3369</v>
      </c>
      <c r="C7190" s="17" t="s">
        <v>3370</v>
      </c>
      <c r="D7190" s="17" t="s">
        <v>2895</v>
      </c>
      <c r="E7190" s="17" t="s">
        <v>3403</v>
      </c>
      <c r="F7190" s="17" t="s">
        <v>574</v>
      </c>
      <c r="G7190" s="18" t="n">
        <v>0</v>
      </c>
      <c r="H7190" s="18" t="n">
        <v>316.8</v>
      </c>
      <c r="I7190" s="18" t="n">
        <f aca="false">((I7189 + G7190) - H7190)</f>
        <v>88607.3200000001</v>
      </c>
      <c r="J7190" s="18" t="n">
        <v>0</v>
      </c>
      <c r="K7190" s="19" t="n">
        <v>0</v>
      </c>
      <c r="L7190" s="17"/>
    </row>
    <row r="7191" s="11" customFormat="true" ht="10.95" hidden="false" customHeight="true" outlineLevel="0" collapsed="false">
      <c r="A7191" s="16" t="n">
        <v>45391</v>
      </c>
      <c r="B7191" s="17" t="s">
        <v>3369</v>
      </c>
      <c r="C7191" s="17" t="s">
        <v>3370</v>
      </c>
      <c r="D7191" s="17" t="s">
        <v>2895</v>
      </c>
      <c r="E7191" s="17" t="s">
        <v>3403</v>
      </c>
      <c r="F7191" s="17" t="s">
        <v>573</v>
      </c>
      <c r="G7191" s="18" t="n">
        <v>0</v>
      </c>
      <c r="H7191" s="18" t="n">
        <v>517</v>
      </c>
      <c r="I7191" s="18" t="n">
        <f aca="false">((I7190 + G7191) - H7191)</f>
        <v>88090.3200000001</v>
      </c>
      <c r="J7191" s="18" t="n">
        <v>0</v>
      </c>
      <c r="K7191" s="19" t="n">
        <v>0</v>
      </c>
      <c r="L7191" s="17"/>
    </row>
    <row r="7192" s="11" customFormat="true" ht="10.95" hidden="false" customHeight="true" outlineLevel="0" collapsed="false">
      <c r="A7192" s="16" t="n">
        <v>45391</v>
      </c>
      <c r="B7192" s="17" t="s">
        <v>3369</v>
      </c>
      <c r="C7192" s="17" t="s">
        <v>3370</v>
      </c>
      <c r="D7192" s="17" t="s">
        <v>2895</v>
      </c>
      <c r="E7192" s="17" t="s">
        <v>3403</v>
      </c>
      <c r="F7192" s="17" t="s">
        <v>571</v>
      </c>
      <c r="G7192" s="18" t="n">
        <v>0</v>
      </c>
      <c r="H7192" s="18" t="n">
        <v>206.8</v>
      </c>
      <c r="I7192" s="18" t="n">
        <f aca="false">((I7191 + G7192) - H7192)</f>
        <v>87883.5200000001</v>
      </c>
      <c r="J7192" s="18" t="n">
        <v>0</v>
      </c>
      <c r="K7192" s="19" t="n">
        <v>0</v>
      </c>
      <c r="L7192" s="17"/>
    </row>
    <row r="7193" s="11" customFormat="true" ht="10.95" hidden="false" customHeight="true" outlineLevel="0" collapsed="false">
      <c r="A7193" s="16" t="n">
        <v>45391</v>
      </c>
      <c r="B7193" s="17" t="s">
        <v>3369</v>
      </c>
      <c r="C7193" s="17" t="s">
        <v>3370</v>
      </c>
      <c r="D7193" s="17" t="s">
        <v>2895</v>
      </c>
      <c r="E7193" s="17" t="s">
        <v>3403</v>
      </c>
      <c r="F7193" s="17" t="s">
        <v>590</v>
      </c>
      <c r="G7193" s="18" t="n">
        <v>0</v>
      </c>
      <c r="H7193" s="18" t="n">
        <v>741.4</v>
      </c>
      <c r="I7193" s="18" t="n">
        <f aca="false">((I7192 + G7193) - H7193)</f>
        <v>87142.1200000001</v>
      </c>
      <c r="J7193" s="18" t="n">
        <v>0</v>
      </c>
      <c r="K7193" s="19" t="n">
        <v>0</v>
      </c>
      <c r="L7193" s="17"/>
    </row>
    <row r="7194" s="11" customFormat="true" ht="10.95" hidden="false" customHeight="true" outlineLevel="0" collapsed="false">
      <c r="A7194" s="16" t="n">
        <v>45391</v>
      </c>
      <c r="B7194" s="17" t="s">
        <v>3369</v>
      </c>
      <c r="C7194" s="17" t="s">
        <v>3370</v>
      </c>
      <c r="D7194" s="17" t="s">
        <v>2895</v>
      </c>
      <c r="E7194" s="17" t="s">
        <v>3403</v>
      </c>
      <c r="F7194" s="17" t="s">
        <v>570</v>
      </c>
      <c r="G7194" s="18" t="n">
        <v>0</v>
      </c>
      <c r="H7194" s="18" t="n">
        <v>827.2</v>
      </c>
      <c r="I7194" s="18" t="n">
        <f aca="false">((I7193 + G7194) - H7194)</f>
        <v>86314.9200000001</v>
      </c>
      <c r="J7194" s="18" t="n">
        <v>0</v>
      </c>
      <c r="K7194" s="19" t="n">
        <v>0</v>
      </c>
      <c r="L7194" s="17"/>
    </row>
    <row r="7195" s="11" customFormat="true" ht="10.95" hidden="false" customHeight="true" outlineLevel="0" collapsed="false">
      <c r="A7195" s="16" t="n">
        <v>45391</v>
      </c>
      <c r="B7195" s="17" t="s">
        <v>3369</v>
      </c>
      <c r="C7195" s="17" t="s">
        <v>3370</v>
      </c>
      <c r="D7195" s="17" t="s">
        <v>2895</v>
      </c>
      <c r="E7195" s="17" t="s">
        <v>3529</v>
      </c>
      <c r="F7195" s="17" t="s">
        <v>592</v>
      </c>
      <c r="G7195" s="18" t="n">
        <v>0</v>
      </c>
      <c r="H7195" s="18" t="n">
        <v>176</v>
      </c>
      <c r="I7195" s="18" t="n">
        <f aca="false">((I7194 + G7195) - H7195)</f>
        <v>86138.9200000001</v>
      </c>
      <c r="J7195" s="18" t="n">
        <v>0</v>
      </c>
      <c r="K7195" s="19" t="n">
        <v>0</v>
      </c>
      <c r="L7195" s="17"/>
    </row>
    <row r="7196" s="11" customFormat="true" ht="10.95" hidden="false" customHeight="true" outlineLevel="0" collapsed="false">
      <c r="A7196" s="16" t="n">
        <v>45391</v>
      </c>
      <c r="B7196" s="17" t="s">
        <v>3369</v>
      </c>
      <c r="C7196" s="17" t="s">
        <v>3370</v>
      </c>
      <c r="D7196" s="17" t="s">
        <v>2895</v>
      </c>
      <c r="E7196" s="17" t="s">
        <v>3384</v>
      </c>
      <c r="F7196" s="17" t="s">
        <v>895</v>
      </c>
      <c r="G7196" s="18" t="n">
        <v>0</v>
      </c>
      <c r="H7196" s="18" t="n">
        <v>2403.5</v>
      </c>
      <c r="I7196" s="18" t="n">
        <f aca="false">((I7195 + G7196) - H7196)</f>
        <v>83735.4200000001</v>
      </c>
      <c r="J7196" s="18" t="n">
        <v>0</v>
      </c>
      <c r="K7196" s="19" t="n">
        <v>0</v>
      </c>
      <c r="L7196" s="17"/>
    </row>
    <row r="7197" s="11" customFormat="true" ht="10.95" hidden="false" customHeight="true" outlineLevel="0" collapsed="false">
      <c r="A7197" s="16" t="n">
        <v>45391</v>
      </c>
      <c r="B7197" s="17" t="s">
        <v>3369</v>
      </c>
      <c r="C7197" s="17" t="s">
        <v>3370</v>
      </c>
      <c r="D7197" s="17" t="s">
        <v>2895</v>
      </c>
      <c r="E7197" s="17" t="s">
        <v>3384</v>
      </c>
      <c r="F7197" s="17" t="s">
        <v>897</v>
      </c>
      <c r="G7197" s="18" t="n">
        <v>0</v>
      </c>
      <c r="H7197" s="18" t="n">
        <v>1672</v>
      </c>
      <c r="I7197" s="18" t="n">
        <f aca="false">((I7196 + G7197) - H7197)</f>
        <v>82063.4200000001</v>
      </c>
      <c r="J7197" s="18" t="n">
        <v>0</v>
      </c>
      <c r="K7197" s="19" t="n">
        <v>0</v>
      </c>
      <c r="L7197" s="17"/>
    </row>
    <row r="7198" s="11" customFormat="true" ht="10.95" hidden="false" customHeight="true" outlineLevel="0" collapsed="false">
      <c r="A7198" s="16" t="n">
        <v>45391</v>
      </c>
      <c r="B7198" s="17" t="s">
        <v>3369</v>
      </c>
      <c r="C7198" s="17" t="s">
        <v>3370</v>
      </c>
      <c r="D7198" s="17" t="s">
        <v>2895</v>
      </c>
      <c r="E7198" s="17" t="s">
        <v>3384</v>
      </c>
      <c r="F7198" s="17" t="s">
        <v>896</v>
      </c>
      <c r="G7198" s="18" t="n">
        <v>0</v>
      </c>
      <c r="H7198" s="18" t="n">
        <v>1001</v>
      </c>
      <c r="I7198" s="18" t="n">
        <f aca="false">((I7197 + G7198) - H7198)</f>
        <v>81062.4200000001</v>
      </c>
      <c r="J7198" s="18" t="n">
        <v>0</v>
      </c>
      <c r="K7198" s="19" t="n">
        <v>0</v>
      </c>
      <c r="L7198" s="17"/>
    </row>
    <row r="7199" s="11" customFormat="true" ht="10.95" hidden="false" customHeight="true" outlineLevel="0" collapsed="false">
      <c r="A7199" s="16" t="n">
        <v>45392</v>
      </c>
      <c r="B7199" s="17" t="s">
        <v>3369</v>
      </c>
      <c r="C7199" s="17" t="s">
        <v>3370</v>
      </c>
      <c r="D7199" s="17" t="s">
        <v>2895</v>
      </c>
      <c r="E7199" s="17" t="s">
        <v>2934</v>
      </c>
      <c r="F7199" s="17" t="s">
        <v>941</v>
      </c>
      <c r="G7199" s="18" t="n">
        <v>0</v>
      </c>
      <c r="H7199" s="18" t="n">
        <v>5965.38</v>
      </c>
      <c r="I7199" s="18" t="n">
        <f aca="false">((I7198 + G7199) - H7199)</f>
        <v>75097.0400000001</v>
      </c>
      <c r="J7199" s="18" t="n">
        <v>0</v>
      </c>
      <c r="K7199" s="19" t="n">
        <v>0</v>
      </c>
      <c r="L7199" s="17"/>
    </row>
    <row r="7200" s="11" customFormat="true" ht="10.95" hidden="false" customHeight="true" outlineLevel="0" collapsed="false">
      <c r="A7200" s="16" t="n">
        <v>45392</v>
      </c>
      <c r="B7200" s="17" t="s">
        <v>3369</v>
      </c>
      <c r="C7200" s="17" t="s">
        <v>3370</v>
      </c>
      <c r="D7200" s="17" t="s">
        <v>2895</v>
      </c>
      <c r="E7200" s="17" t="s">
        <v>2934</v>
      </c>
      <c r="F7200" s="17" t="s">
        <v>1019</v>
      </c>
      <c r="G7200" s="18" t="n">
        <v>0</v>
      </c>
      <c r="H7200" s="18" t="n">
        <v>909.01</v>
      </c>
      <c r="I7200" s="18" t="n">
        <f aca="false">((I7199 + G7200) - H7200)</f>
        <v>74188.0300000001</v>
      </c>
      <c r="J7200" s="18" t="n">
        <v>0</v>
      </c>
      <c r="K7200" s="19" t="n">
        <v>0</v>
      </c>
      <c r="L7200" s="17"/>
    </row>
    <row r="7201" s="11" customFormat="true" ht="10.95" hidden="false" customHeight="true" outlineLevel="0" collapsed="false">
      <c r="A7201" s="16" t="n">
        <v>45392</v>
      </c>
      <c r="B7201" s="17" t="s">
        <v>3369</v>
      </c>
      <c r="C7201" s="17" t="s">
        <v>3370</v>
      </c>
      <c r="D7201" s="17" t="s">
        <v>2895</v>
      </c>
      <c r="E7201" s="17" t="s">
        <v>2906</v>
      </c>
      <c r="F7201" s="17" t="s">
        <v>1224</v>
      </c>
      <c r="G7201" s="18" t="n">
        <v>0</v>
      </c>
      <c r="H7201" s="18" t="n">
        <v>3092.87</v>
      </c>
      <c r="I7201" s="18" t="n">
        <f aca="false">((I7200 + G7201) - H7201)</f>
        <v>71095.1600000002</v>
      </c>
      <c r="J7201" s="18" t="n">
        <v>0</v>
      </c>
      <c r="K7201" s="19" t="n">
        <v>0</v>
      </c>
      <c r="L7201" s="17"/>
    </row>
    <row r="7202" s="11" customFormat="true" ht="10.95" hidden="false" customHeight="true" outlineLevel="0" collapsed="false">
      <c r="A7202" s="16" t="n">
        <v>45399</v>
      </c>
      <c r="B7202" s="17" t="s">
        <v>3369</v>
      </c>
      <c r="C7202" s="17" t="s">
        <v>3370</v>
      </c>
      <c r="D7202" s="17" t="s">
        <v>2895</v>
      </c>
      <c r="E7202" s="17" t="s">
        <v>2900</v>
      </c>
      <c r="F7202" s="17" t="s">
        <v>1213</v>
      </c>
      <c r="G7202" s="18" t="n">
        <v>0</v>
      </c>
      <c r="H7202" s="18" t="n">
        <v>1869.28</v>
      </c>
      <c r="I7202" s="18" t="n">
        <f aca="false">((I7201 + G7202) - H7202)</f>
        <v>69225.8800000002</v>
      </c>
      <c r="J7202" s="18" t="n">
        <v>0</v>
      </c>
      <c r="K7202" s="19" t="n">
        <v>0</v>
      </c>
      <c r="L7202" s="17"/>
    </row>
    <row r="7203" s="11" customFormat="true" ht="10.95" hidden="false" customHeight="true" outlineLevel="0" collapsed="false">
      <c r="A7203" s="16" t="n">
        <v>45399</v>
      </c>
      <c r="B7203" s="17" t="s">
        <v>3369</v>
      </c>
      <c r="C7203" s="17" t="s">
        <v>3370</v>
      </c>
      <c r="D7203" s="17" t="s">
        <v>2895</v>
      </c>
      <c r="E7203" s="17" t="s">
        <v>2900</v>
      </c>
      <c r="F7203" s="17" t="s">
        <v>1220</v>
      </c>
      <c r="G7203" s="18" t="n">
        <v>0</v>
      </c>
      <c r="H7203" s="18" t="n">
        <v>1352.66</v>
      </c>
      <c r="I7203" s="18" t="n">
        <f aca="false">((I7202 + G7203) - H7203)</f>
        <v>67873.2200000002</v>
      </c>
      <c r="J7203" s="18" t="n">
        <v>0</v>
      </c>
      <c r="K7203" s="19" t="n">
        <v>0</v>
      </c>
      <c r="L7203" s="17"/>
    </row>
    <row r="7204" s="11" customFormat="true" ht="10.95" hidden="false" customHeight="true" outlineLevel="0" collapsed="false">
      <c r="A7204" s="16" t="n">
        <v>45399</v>
      </c>
      <c r="B7204" s="17" t="s">
        <v>3369</v>
      </c>
      <c r="C7204" s="17" t="s">
        <v>3370</v>
      </c>
      <c r="D7204" s="17" t="s">
        <v>2895</v>
      </c>
      <c r="E7204" s="17" t="s">
        <v>2900</v>
      </c>
      <c r="F7204" s="17" t="s">
        <v>1231</v>
      </c>
      <c r="G7204" s="18" t="n">
        <v>0</v>
      </c>
      <c r="H7204" s="18" t="n">
        <v>1992.76</v>
      </c>
      <c r="I7204" s="18" t="n">
        <f aca="false">((I7203 + G7204) - H7204)</f>
        <v>65880.4600000002</v>
      </c>
      <c r="J7204" s="18" t="n">
        <v>0</v>
      </c>
      <c r="K7204" s="19" t="n">
        <v>0</v>
      </c>
      <c r="L7204" s="17"/>
    </row>
    <row r="7205" s="11" customFormat="true" ht="10.95" hidden="false" customHeight="true" outlineLevel="0" collapsed="false">
      <c r="A7205" s="16" t="n">
        <v>45399</v>
      </c>
      <c r="B7205" s="17" t="s">
        <v>3369</v>
      </c>
      <c r="C7205" s="17" t="s">
        <v>3370</v>
      </c>
      <c r="D7205" s="17" t="s">
        <v>2895</v>
      </c>
      <c r="E7205" s="17" t="s">
        <v>2900</v>
      </c>
      <c r="F7205" s="17" t="s">
        <v>1230</v>
      </c>
      <c r="G7205" s="18" t="n">
        <v>0</v>
      </c>
      <c r="H7205" s="18" t="n">
        <v>1109.29</v>
      </c>
      <c r="I7205" s="18" t="n">
        <f aca="false">((I7204 + G7205) - H7205)</f>
        <v>64771.1700000002</v>
      </c>
      <c r="J7205" s="18" t="n">
        <v>0</v>
      </c>
      <c r="K7205" s="19" t="n">
        <v>0</v>
      </c>
      <c r="L7205" s="17"/>
    </row>
    <row r="7206" s="11" customFormat="true" ht="10.95" hidden="false" customHeight="true" outlineLevel="0" collapsed="false">
      <c r="A7206" s="16" t="n">
        <v>45405</v>
      </c>
      <c r="B7206" s="17" t="s">
        <v>3369</v>
      </c>
      <c r="C7206" s="17" t="s">
        <v>3370</v>
      </c>
      <c r="D7206" s="17" t="s">
        <v>2895</v>
      </c>
      <c r="E7206" s="17" t="s">
        <v>3403</v>
      </c>
      <c r="F7206" s="17" t="s">
        <v>582</v>
      </c>
      <c r="G7206" s="18" t="n">
        <v>0</v>
      </c>
      <c r="H7206" s="18" t="n">
        <v>1137.4</v>
      </c>
      <c r="I7206" s="18" t="n">
        <f aca="false">((I7205 + G7206) - H7206)</f>
        <v>63633.7700000002</v>
      </c>
      <c r="J7206" s="18" t="n">
        <v>0</v>
      </c>
      <c r="K7206" s="19" t="n">
        <v>0</v>
      </c>
      <c r="L7206" s="17"/>
    </row>
    <row r="7207" s="11" customFormat="true" ht="10.95" hidden="false" customHeight="true" outlineLevel="0" collapsed="false">
      <c r="A7207" s="16" t="n">
        <v>45405</v>
      </c>
      <c r="B7207" s="17" t="s">
        <v>3369</v>
      </c>
      <c r="C7207" s="17" t="s">
        <v>3370</v>
      </c>
      <c r="D7207" s="17" t="s">
        <v>2895</v>
      </c>
      <c r="E7207" s="17" t="s">
        <v>3403</v>
      </c>
      <c r="F7207" s="17" t="s">
        <v>579</v>
      </c>
      <c r="G7207" s="18" t="n">
        <v>0</v>
      </c>
      <c r="H7207" s="18" t="n">
        <v>310.2</v>
      </c>
      <c r="I7207" s="18" t="n">
        <f aca="false">((I7206 + G7207) - H7207)</f>
        <v>63323.5700000002</v>
      </c>
      <c r="J7207" s="18" t="n">
        <v>0</v>
      </c>
      <c r="K7207" s="19" t="n">
        <v>0</v>
      </c>
      <c r="L7207" s="17"/>
    </row>
    <row r="7208" s="11" customFormat="true" ht="10.95" hidden="false" customHeight="true" outlineLevel="0" collapsed="false">
      <c r="A7208" s="16" t="n">
        <v>45408</v>
      </c>
      <c r="B7208" s="17" t="s">
        <v>3369</v>
      </c>
      <c r="C7208" s="17" t="s">
        <v>3370</v>
      </c>
      <c r="D7208" s="17" t="s">
        <v>19</v>
      </c>
      <c r="E7208" s="17" t="s">
        <v>3502</v>
      </c>
      <c r="F7208" s="17" t="s">
        <v>593</v>
      </c>
      <c r="G7208" s="18" t="n">
        <v>78.65</v>
      </c>
      <c r="H7208" s="18" t="n">
        <v>0</v>
      </c>
      <c r="I7208" s="18" t="n">
        <f aca="false">((I7207 + G7208) - H7208)</f>
        <v>63402.2200000002</v>
      </c>
      <c r="J7208" s="18" t="n">
        <v>0</v>
      </c>
      <c r="K7208" s="19" t="n">
        <v>0</v>
      </c>
      <c r="L7208" s="17"/>
    </row>
    <row r="7209" s="11" customFormat="true" ht="10.95" hidden="false" customHeight="true" outlineLevel="0" collapsed="false">
      <c r="A7209" s="16" t="n">
        <v>45408</v>
      </c>
      <c r="B7209" s="17" t="s">
        <v>3369</v>
      </c>
      <c r="C7209" s="17" t="s">
        <v>3370</v>
      </c>
      <c r="D7209" s="17" t="s">
        <v>3477</v>
      </c>
      <c r="E7209" s="17" t="s">
        <v>3502</v>
      </c>
      <c r="F7209" s="17" t="s">
        <v>593</v>
      </c>
      <c r="G7209" s="18" t="n">
        <v>0</v>
      </c>
      <c r="H7209" s="18" t="n">
        <v>78.65</v>
      </c>
      <c r="I7209" s="18" t="n">
        <f aca="false">((I7208 + G7209) - H7209)</f>
        <v>63323.5700000002</v>
      </c>
      <c r="J7209" s="18" t="n">
        <v>0</v>
      </c>
      <c r="K7209" s="19" t="n">
        <v>0</v>
      </c>
      <c r="L7209" s="17"/>
    </row>
    <row r="7210" s="11" customFormat="true" ht="10.95" hidden="false" customHeight="true" outlineLevel="0" collapsed="false">
      <c r="A7210" s="16" t="n">
        <v>45408</v>
      </c>
      <c r="B7210" s="17" t="s">
        <v>3369</v>
      </c>
      <c r="C7210" s="17" t="s">
        <v>3370</v>
      </c>
      <c r="D7210" s="17" t="s">
        <v>3477</v>
      </c>
      <c r="E7210" s="17" t="s">
        <v>3502</v>
      </c>
      <c r="F7210" s="17" t="s">
        <v>473</v>
      </c>
      <c r="G7210" s="18" t="n">
        <v>78.65</v>
      </c>
      <c r="H7210" s="18" t="n">
        <v>0</v>
      </c>
      <c r="I7210" s="18" t="n">
        <f aca="false">((I7209 + G7210) - H7210)</f>
        <v>63402.2200000002</v>
      </c>
      <c r="J7210" s="18" t="n">
        <v>0</v>
      </c>
      <c r="K7210" s="19" t="n">
        <v>0</v>
      </c>
      <c r="L7210" s="17"/>
    </row>
    <row r="7211" s="11" customFormat="true" ht="10.95" hidden="false" customHeight="true" outlineLevel="0" collapsed="false">
      <c r="A7211" s="16" t="n">
        <v>45408</v>
      </c>
      <c r="B7211" s="17" t="s">
        <v>3369</v>
      </c>
      <c r="C7211" s="17" t="s">
        <v>3370</v>
      </c>
      <c r="D7211" s="17" t="s">
        <v>19</v>
      </c>
      <c r="E7211" s="17" t="s">
        <v>3530</v>
      </c>
      <c r="F7211" s="17" t="s">
        <v>595</v>
      </c>
      <c r="G7211" s="18" t="n">
        <v>459.8</v>
      </c>
      <c r="H7211" s="18" t="n">
        <v>0</v>
      </c>
      <c r="I7211" s="18" t="n">
        <f aca="false">((I7210 + G7211) - H7211)</f>
        <v>63862.0200000002</v>
      </c>
      <c r="J7211" s="18" t="n">
        <v>0</v>
      </c>
      <c r="K7211" s="19" t="n">
        <v>0</v>
      </c>
      <c r="L7211" s="17"/>
    </row>
    <row r="7212" s="11" customFormat="true" ht="10.95" hidden="false" customHeight="true" outlineLevel="0" collapsed="false">
      <c r="A7212" s="16" t="n">
        <v>45408</v>
      </c>
      <c r="B7212" s="17" t="s">
        <v>3369</v>
      </c>
      <c r="C7212" s="17" t="s">
        <v>3370</v>
      </c>
      <c r="D7212" s="17" t="s">
        <v>19</v>
      </c>
      <c r="E7212" s="17" t="s">
        <v>3521</v>
      </c>
      <c r="F7212" s="17" t="s">
        <v>599</v>
      </c>
      <c r="G7212" s="18" t="n">
        <v>712.8</v>
      </c>
      <c r="H7212" s="18" t="n">
        <v>0</v>
      </c>
      <c r="I7212" s="18" t="n">
        <f aca="false">((I7211 + G7212) - H7212)</f>
        <v>64574.8200000002</v>
      </c>
      <c r="J7212" s="18" t="n">
        <v>0</v>
      </c>
      <c r="K7212" s="19" t="n">
        <v>0</v>
      </c>
      <c r="L7212" s="17"/>
    </row>
    <row r="7213" s="11" customFormat="true" ht="10.95" hidden="false" customHeight="true" outlineLevel="0" collapsed="false">
      <c r="A7213" s="16" t="n">
        <v>45408</v>
      </c>
      <c r="B7213" s="17" t="s">
        <v>3369</v>
      </c>
      <c r="C7213" s="17" t="s">
        <v>3370</v>
      </c>
      <c r="D7213" s="17" t="s">
        <v>19</v>
      </c>
      <c r="E7213" s="17" t="s">
        <v>3520</v>
      </c>
      <c r="F7213" s="17" t="s">
        <v>1023</v>
      </c>
      <c r="G7213" s="18" t="n">
        <v>222.03</v>
      </c>
      <c r="H7213" s="18" t="n">
        <v>0</v>
      </c>
      <c r="I7213" s="18" t="n">
        <f aca="false">((I7212 + G7213) - H7213)</f>
        <v>64796.8500000002</v>
      </c>
      <c r="J7213" s="18" t="n">
        <v>0</v>
      </c>
      <c r="K7213" s="19" t="n">
        <v>0</v>
      </c>
      <c r="L7213" s="17"/>
    </row>
    <row r="7214" s="11" customFormat="true" ht="10.95" hidden="false" customHeight="true" outlineLevel="0" collapsed="false">
      <c r="A7214" s="16" t="n">
        <v>45408</v>
      </c>
      <c r="B7214" s="17" t="s">
        <v>3369</v>
      </c>
      <c r="C7214" s="17" t="s">
        <v>3370</v>
      </c>
      <c r="D7214" s="17" t="s">
        <v>19</v>
      </c>
      <c r="E7214" s="17" t="s">
        <v>3381</v>
      </c>
      <c r="F7214" s="17" t="s">
        <v>1024</v>
      </c>
      <c r="G7214" s="18" t="n">
        <v>904.57</v>
      </c>
      <c r="H7214" s="18" t="n">
        <v>0</v>
      </c>
      <c r="I7214" s="18" t="n">
        <f aca="false">((I7213 + G7214) - H7214)</f>
        <v>65701.4200000002</v>
      </c>
      <c r="J7214" s="18" t="n">
        <v>0</v>
      </c>
      <c r="K7214" s="19" t="n">
        <v>0</v>
      </c>
      <c r="L7214" s="17"/>
    </row>
    <row r="7215" s="11" customFormat="true" ht="10.95" hidden="false" customHeight="true" outlineLevel="0" collapsed="false">
      <c r="A7215" s="16" t="n">
        <v>45408</v>
      </c>
      <c r="B7215" s="17" t="s">
        <v>3369</v>
      </c>
      <c r="C7215" s="17" t="s">
        <v>3370</v>
      </c>
      <c r="D7215" s="17" t="s">
        <v>19</v>
      </c>
      <c r="E7215" s="17" t="s">
        <v>3501</v>
      </c>
      <c r="F7215" s="17" t="s">
        <v>600</v>
      </c>
      <c r="G7215" s="18" t="n">
        <v>157.3</v>
      </c>
      <c r="H7215" s="18" t="n">
        <v>0</v>
      </c>
      <c r="I7215" s="18" t="n">
        <f aca="false">((I7214 + G7215) - H7215)</f>
        <v>65858.7200000002</v>
      </c>
      <c r="J7215" s="18" t="n">
        <v>0</v>
      </c>
      <c r="K7215" s="19" t="n">
        <v>0</v>
      </c>
      <c r="L7215" s="17"/>
    </row>
    <row r="7216" s="11" customFormat="true" ht="10.95" hidden="false" customHeight="true" outlineLevel="0" collapsed="false">
      <c r="A7216" s="16" t="n">
        <v>45408</v>
      </c>
      <c r="B7216" s="17" t="s">
        <v>3369</v>
      </c>
      <c r="C7216" s="17" t="s">
        <v>3370</v>
      </c>
      <c r="D7216" s="17" t="s">
        <v>19</v>
      </c>
      <c r="E7216" s="17" t="s">
        <v>3489</v>
      </c>
      <c r="F7216" s="17" t="s">
        <v>1025</v>
      </c>
      <c r="G7216" s="18" t="n">
        <v>1817.36</v>
      </c>
      <c r="H7216" s="18" t="n">
        <v>0</v>
      </c>
      <c r="I7216" s="18" t="n">
        <f aca="false">((I7215 + G7216) - H7216)</f>
        <v>67676.0800000002</v>
      </c>
      <c r="J7216" s="18" t="n">
        <v>0</v>
      </c>
      <c r="K7216" s="19" t="n">
        <v>0</v>
      </c>
      <c r="L7216" s="17"/>
    </row>
    <row r="7217" s="11" customFormat="true" ht="10.95" hidden="false" customHeight="true" outlineLevel="0" collapsed="false">
      <c r="A7217" s="16" t="n">
        <v>45408</v>
      </c>
      <c r="B7217" s="17" t="s">
        <v>3369</v>
      </c>
      <c r="C7217" s="17" t="s">
        <v>3370</v>
      </c>
      <c r="D7217" s="17" t="s">
        <v>19</v>
      </c>
      <c r="E7217" s="17" t="s">
        <v>3490</v>
      </c>
      <c r="F7217" s="17" t="s">
        <v>601</v>
      </c>
      <c r="G7217" s="18" t="n">
        <v>1034.55</v>
      </c>
      <c r="H7217" s="18" t="n">
        <v>0</v>
      </c>
      <c r="I7217" s="18" t="n">
        <f aca="false">((I7216 + G7217) - H7217)</f>
        <v>68710.6300000002</v>
      </c>
      <c r="J7217" s="18" t="n">
        <v>0</v>
      </c>
      <c r="K7217" s="19" t="n">
        <v>0</v>
      </c>
      <c r="L7217" s="17"/>
    </row>
    <row r="7218" s="11" customFormat="true" ht="10.95" hidden="false" customHeight="true" outlineLevel="0" collapsed="false">
      <c r="A7218" s="16" t="n">
        <v>45408</v>
      </c>
      <c r="B7218" s="17" t="s">
        <v>3369</v>
      </c>
      <c r="C7218" s="17" t="s">
        <v>3370</v>
      </c>
      <c r="D7218" s="17" t="s">
        <v>19</v>
      </c>
      <c r="E7218" s="17" t="s">
        <v>3422</v>
      </c>
      <c r="F7218" s="17" t="s">
        <v>1026</v>
      </c>
      <c r="G7218" s="18" t="n">
        <v>9889.07</v>
      </c>
      <c r="H7218" s="18" t="n">
        <v>0</v>
      </c>
      <c r="I7218" s="18" t="n">
        <f aca="false">((I7217 + G7218) - H7218)</f>
        <v>78599.7000000002</v>
      </c>
      <c r="J7218" s="18" t="n">
        <v>0</v>
      </c>
      <c r="K7218" s="19" t="n">
        <v>0</v>
      </c>
      <c r="L7218" s="17"/>
    </row>
    <row r="7219" s="11" customFormat="true" ht="10.95" hidden="false" customHeight="true" outlineLevel="0" collapsed="false">
      <c r="A7219" s="16" t="n">
        <v>45408</v>
      </c>
      <c r="B7219" s="17" t="s">
        <v>3369</v>
      </c>
      <c r="C7219" s="17" t="s">
        <v>3370</v>
      </c>
      <c r="D7219" s="17" t="s">
        <v>19</v>
      </c>
      <c r="E7219" s="17" t="s">
        <v>3423</v>
      </c>
      <c r="F7219" s="17" t="s">
        <v>906</v>
      </c>
      <c r="G7219" s="18" t="n">
        <v>90.24</v>
      </c>
      <c r="H7219" s="18" t="n">
        <v>0</v>
      </c>
      <c r="I7219" s="18" t="n">
        <f aca="false">((I7218 + G7219) - H7219)</f>
        <v>78689.9400000002</v>
      </c>
      <c r="J7219" s="18" t="n">
        <v>0</v>
      </c>
      <c r="K7219" s="19" t="n">
        <v>0</v>
      </c>
      <c r="L7219" s="17"/>
    </row>
    <row r="7220" s="11" customFormat="true" ht="10.95" hidden="false" customHeight="true" outlineLevel="0" collapsed="false">
      <c r="A7220" s="16" t="n">
        <v>45408</v>
      </c>
      <c r="B7220" s="17" t="s">
        <v>3369</v>
      </c>
      <c r="C7220" s="17" t="s">
        <v>3370</v>
      </c>
      <c r="D7220" s="17" t="s">
        <v>19</v>
      </c>
      <c r="E7220" s="17" t="s">
        <v>3424</v>
      </c>
      <c r="F7220" s="17" t="s">
        <v>602</v>
      </c>
      <c r="G7220" s="18" t="n">
        <v>413.6</v>
      </c>
      <c r="H7220" s="18" t="n">
        <v>0</v>
      </c>
      <c r="I7220" s="18" t="n">
        <f aca="false">((I7219 + G7220) - H7220)</f>
        <v>79103.5400000002</v>
      </c>
      <c r="J7220" s="18" t="n">
        <v>0</v>
      </c>
      <c r="K7220" s="19" t="n">
        <v>0</v>
      </c>
      <c r="L7220" s="17"/>
    </row>
    <row r="7221" s="11" customFormat="true" ht="10.95" hidden="false" customHeight="true" outlineLevel="0" collapsed="false">
      <c r="A7221" s="16" t="n">
        <v>45408</v>
      </c>
      <c r="B7221" s="17" t="s">
        <v>3369</v>
      </c>
      <c r="C7221" s="17" t="s">
        <v>3370</v>
      </c>
      <c r="D7221" s="17" t="s">
        <v>19</v>
      </c>
      <c r="E7221" s="17" t="s">
        <v>3506</v>
      </c>
      <c r="F7221" s="17" t="s">
        <v>1027</v>
      </c>
      <c r="G7221" s="18" t="n">
        <v>721.6</v>
      </c>
      <c r="H7221" s="18" t="n">
        <v>0</v>
      </c>
      <c r="I7221" s="18" t="n">
        <f aca="false">((I7220 + G7221) - H7221)</f>
        <v>79825.1400000002</v>
      </c>
      <c r="J7221" s="18" t="n">
        <v>0</v>
      </c>
      <c r="K7221" s="19" t="n">
        <v>0</v>
      </c>
      <c r="L7221" s="17"/>
    </row>
    <row r="7222" s="11" customFormat="true" ht="10.95" hidden="false" customHeight="true" outlineLevel="0" collapsed="false">
      <c r="A7222" s="16" t="n">
        <v>45408</v>
      </c>
      <c r="B7222" s="17" t="s">
        <v>3369</v>
      </c>
      <c r="C7222" s="17" t="s">
        <v>3370</v>
      </c>
      <c r="D7222" s="17" t="s">
        <v>19</v>
      </c>
      <c r="E7222" s="17" t="s">
        <v>3506</v>
      </c>
      <c r="F7222" s="17" t="s">
        <v>1028</v>
      </c>
      <c r="G7222" s="18" t="n">
        <v>3607.99</v>
      </c>
      <c r="H7222" s="18" t="n">
        <v>0</v>
      </c>
      <c r="I7222" s="18" t="n">
        <f aca="false">((I7221 + G7222) - H7222)</f>
        <v>83433.1300000002</v>
      </c>
      <c r="J7222" s="18" t="n">
        <v>0</v>
      </c>
      <c r="K7222" s="19" t="n">
        <v>0</v>
      </c>
      <c r="L7222" s="17"/>
    </row>
    <row r="7223" s="11" customFormat="true" ht="10.95" hidden="false" customHeight="true" outlineLevel="0" collapsed="false">
      <c r="A7223" s="16" t="n">
        <v>45408</v>
      </c>
      <c r="B7223" s="17" t="s">
        <v>3369</v>
      </c>
      <c r="C7223" s="17" t="s">
        <v>3370</v>
      </c>
      <c r="D7223" s="17" t="s">
        <v>19</v>
      </c>
      <c r="E7223" s="17" t="s">
        <v>3425</v>
      </c>
      <c r="F7223" s="17" t="s">
        <v>1236</v>
      </c>
      <c r="G7223" s="18" t="n">
        <v>758.09</v>
      </c>
      <c r="H7223" s="18" t="n">
        <v>0</v>
      </c>
      <c r="I7223" s="18" t="n">
        <f aca="false">((I7222 + G7223) - H7223)</f>
        <v>84191.2200000002</v>
      </c>
      <c r="J7223" s="18" t="n">
        <v>0</v>
      </c>
      <c r="K7223" s="19" t="n">
        <v>0</v>
      </c>
      <c r="L7223" s="17"/>
    </row>
    <row r="7224" s="11" customFormat="true" ht="10.95" hidden="false" customHeight="true" outlineLevel="0" collapsed="false">
      <c r="A7224" s="16" t="n">
        <v>45408</v>
      </c>
      <c r="B7224" s="17" t="s">
        <v>3369</v>
      </c>
      <c r="C7224" s="17" t="s">
        <v>3370</v>
      </c>
      <c r="D7224" s="17" t="s">
        <v>19</v>
      </c>
      <c r="E7224" s="17" t="s">
        <v>3426</v>
      </c>
      <c r="F7224" s="17" t="s">
        <v>603</v>
      </c>
      <c r="G7224" s="18" t="n">
        <v>1512.5</v>
      </c>
      <c r="H7224" s="18" t="n">
        <v>0</v>
      </c>
      <c r="I7224" s="18" t="n">
        <f aca="false">((I7223 + G7224) - H7224)</f>
        <v>85703.7200000002</v>
      </c>
      <c r="J7224" s="18" t="n">
        <v>0</v>
      </c>
      <c r="K7224" s="19" t="n">
        <v>0</v>
      </c>
      <c r="L7224" s="17"/>
    </row>
    <row r="7225" s="11" customFormat="true" ht="10.95" hidden="false" customHeight="true" outlineLevel="0" collapsed="false">
      <c r="A7225" s="16" t="n">
        <v>45408</v>
      </c>
      <c r="B7225" s="17" t="s">
        <v>3369</v>
      </c>
      <c r="C7225" s="17" t="s">
        <v>3370</v>
      </c>
      <c r="D7225" s="17" t="s">
        <v>19</v>
      </c>
      <c r="E7225" s="17" t="s">
        <v>3427</v>
      </c>
      <c r="F7225" s="17" t="s">
        <v>604</v>
      </c>
      <c r="G7225" s="18" t="n">
        <v>654.5</v>
      </c>
      <c r="H7225" s="18" t="n">
        <v>0</v>
      </c>
      <c r="I7225" s="18" t="n">
        <f aca="false">((I7224 + G7225) - H7225)</f>
        <v>86358.2200000002</v>
      </c>
      <c r="J7225" s="18" t="n">
        <v>0</v>
      </c>
      <c r="K7225" s="19" t="n">
        <v>0</v>
      </c>
      <c r="L7225" s="17"/>
    </row>
    <row r="7226" s="11" customFormat="true" ht="10.95" hidden="false" customHeight="true" outlineLevel="0" collapsed="false">
      <c r="A7226" s="16" t="n">
        <v>45408</v>
      </c>
      <c r="B7226" s="17" t="s">
        <v>3369</v>
      </c>
      <c r="C7226" s="17" t="s">
        <v>3370</v>
      </c>
      <c r="D7226" s="17" t="s">
        <v>19</v>
      </c>
      <c r="E7226" s="17" t="s">
        <v>3428</v>
      </c>
      <c r="F7226" s="17" t="s">
        <v>605</v>
      </c>
      <c r="G7226" s="18" t="n">
        <v>1385.45</v>
      </c>
      <c r="H7226" s="18" t="n">
        <v>0</v>
      </c>
      <c r="I7226" s="18" t="n">
        <f aca="false">((I7225 + G7226) - H7226)</f>
        <v>87743.6700000002</v>
      </c>
      <c r="J7226" s="18" t="n">
        <v>0</v>
      </c>
      <c r="K7226" s="19" t="n">
        <v>0</v>
      </c>
      <c r="L7226" s="17"/>
    </row>
    <row r="7227" s="11" customFormat="true" ht="10.95" hidden="false" customHeight="true" outlineLevel="0" collapsed="false">
      <c r="A7227" s="16" t="n">
        <v>45408</v>
      </c>
      <c r="B7227" s="17" t="s">
        <v>3369</v>
      </c>
      <c r="C7227" s="17" t="s">
        <v>3370</v>
      </c>
      <c r="D7227" s="17" t="s">
        <v>19</v>
      </c>
      <c r="E7227" s="17" t="s">
        <v>3429</v>
      </c>
      <c r="F7227" s="17" t="s">
        <v>606</v>
      </c>
      <c r="G7227" s="18" t="n">
        <v>93.5</v>
      </c>
      <c r="H7227" s="18" t="n">
        <v>0</v>
      </c>
      <c r="I7227" s="18" t="n">
        <f aca="false">((I7226 + G7227) - H7227)</f>
        <v>87837.1700000002</v>
      </c>
      <c r="J7227" s="18" t="n">
        <v>0</v>
      </c>
      <c r="K7227" s="19" t="n">
        <v>0</v>
      </c>
      <c r="L7227" s="17"/>
    </row>
    <row r="7228" s="11" customFormat="true" ht="10.95" hidden="false" customHeight="true" outlineLevel="0" collapsed="false">
      <c r="A7228" s="16" t="n">
        <v>45408</v>
      </c>
      <c r="B7228" s="17" t="s">
        <v>3369</v>
      </c>
      <c r="C7228" s="17" t="s">
        <v>3370</v>
      </c>
      <c r="D7228" s="17" t="s">
        <v>19</v>
      </c>
      <c r="E7228" s="17" t="s">
        <v>3531</v>
      </c>
      <c r="F7228" s="17" t="s">
        <v>608</v>
      </c>
      <c r="G7228" s="18" t="n">
        <v>9438</v>
      </c>
      <c r="H7228" s="18" t="n">
        <v>0</v>
      </c>
      <c r="I7228" s="18" t="n">
        <f aca="false">((I7227 + G7228) - H7228)</f>
        <v>97275.1700000002</v>
      </c>
      <c r="J7228" s="18" t="n">
        <v>0</v>
      </c>
      <c r="K7228" s="19" t="n">
        <v>0</v>
      </c>
      <c r="L7228" s="17"/>
    </row>
    <row r="7229" s="11" customFormat="true" ht="10.95" hidden="false" customHeight="true" outlineLevel="0" collapsed="false">
      <c r="A7229" s="16" t="n">
        <v>45408</v>
      </c>
      <c r="B7229" s="17" t="s">
        <v>3369</v>
      </c>
      <c r="C7229" s="17" t="s">
        <v>3370</v>
      </c>
      <c r="D7229" s="17" t="s">
        <v>19</v>
      </c>
      <c r="E7229" s="17" t="s">
        <v>3430</v>
      </c>
      <c r="F7229" s="17" t="s">
        <v>908</v>
      </c>
      <c r="G7229" s="18" t="n">
        <v>117.88</v>
      </c>
      <c r="H7229" s="18" t="n">
        <v>0</v>
      </c>
      <c r="I7229" s="18" t="n">
        <f aca="false">((I7228 + G7229) - H7229)</f>
        <v>97393.0500000002</v>
      </c>
      <c r="J7229" s="18" t="n">
        <v>0</v>
      </c>
      <c r="K7229" s="19" t="n">
        <v>0</v>
      </c>
      <c r="L7229" s="17"/>
    </row>
    <row r="7230" s="11" customFormat="true" ht="10.95" hidden="false" customHeight="true" outlineLevel="0" collapsed="false">
      <c r="A7230" s="16" t="n">
        <v>45408</v>
      </c>
      <c r="B7230" s="17" t="s">
        <v>3369</v>
      </c>
      <c r="C7230" s="17" t="s">
        <v>3370</v>
      </c>
      <c r="D7230" s="17" t="s">
        <v>19</v>
      </c>
      <c r="E7230" s="17" t="s">
        <v>3430</v>
      </c>
      <c r="F7230" s="17" t="s">
        <v>909</v>
      </c>
      <c r="G7230" s="18" t="n">
        <v>608.02</v>
      </c>
      <c r="H7230" s="18" t="n">
        <v>0</v>
      </c>
      <c r="I7230" s="18" t="n">
        <f aca="false">((I7229 + G7230) - H7230)</f>
        <v>98001.0700000002</v>
      </c>
      <c r="J7230" s="18" t="n">
        <v>0</v>
      </c>
      <c r="K7230" s="19" t="n">
        <v>0</v>
      </c>
      <c r="L7230" s="17"/>
    </row>
    <row r="7231" s="11" customFormat="true" ht="10.95" hidden="false" customHeight="true" outlineLevel="0" collapsed="false">
      <c r="A7231" s="16" t="n">
        <v>45408</v>
      </c>
      <c r="B7231" s="17" t="s">
        <v>3369</v>
      </c>
      <c r="C7231" s="17" t="s">
        <v>3370</v>
      </c>
      <c r="D7231" s="17" t="s">
        <v>19</v>
      </c>
      <c r="E7231" s="17" t="s">
        <v>3430</v>
      </c>
      <c r="F7231" s="17" t="s">
        <v>910</v>
      </c>
      <c r="G7231" s="18" t="n">
        <v>322.62</v>
      </c>
      <c r="H7231" s="18" t="n">
        <v>0</v>
      </c>
      <c r="I7231" s="18" t="n">
        <f aca="false">((I7230 + G7231) - H7231)</f>
        <v>98323.6900000002</v>
      </c>
      <c r="J7231" s="18" t="n">
        <v>0</v>
      </c>
      <c r="K7231" s="19" t="n">
        <v>0</v>
      </c>
      <c r="L7231" s="17"/>
    </row>
    <row r="7232" s="11" customFormat="true" ht="10.95" hidden="false" customHeight="true" outlineLevel="0" collapsed="false">
      <c r="A7232" s="16" t="n">
        <v>45408</v>
      </c>
      <c r="B7232" s="17" t="s">
        <v>3369</v>
      </c>
      <c r="C7232" s="17" t="s">
        <v>3370</v>
      </c>
      <c r="D7232" s="17" t="s">
        <v>19</v>
      </c>
      <c r="E7232" s="17" t="s">
        <v>3431</v>
      </c>
      <c r="F7232" s="17" t="s">
        <v>609</v>
      </c>
      <c r="G7232" s="18" t="n">
        <v>357.5</v>
      </c>
      <c r="H7232" s="18" t="n">
        <v>0</v>
      </c>
      <c r="I7232" s="18" t="n">
        <f aca="false">((I7231 + G7232) - H7232)</f>
        <v>98681.1900000002</v>
      </c>
      <c r="J7232" s="18" t="n">
        <v>0</v>
      </c>
      <c r="K7232" s="19" t="n">
        <v>0</v>
      </c>
      <c r="L7232" s="17"/>
    </row>
    <row r="7233" s="11" customFormat="true" ht="10.95" hidden="false" customHeight="true" outlineLevel="0" collapsed="false">
      <c r="A7233" s="16" t="n">
        <v>45408</v>
      </c>
      <c r="B7233" s="17" t="s">
        <v>3369</v>
      </c>
      <c r="C7233" s="17" t="s">
        <v>3370</v>
      </c>
      <c r="D7233" s="17" t="s">
        <v>19</v>
      </c>
      <c r="E7233" s="17" t="s">
        <v>3432</v>
      </c>
      <c r="F7233" s="17" t="s">
        <v>610</v>
      </c>
      <c r="G7233" s="18" t="n">
        <v>1094.5</v>
      </c>
      <c r="H7233" s="18" t="n">
        <v>0</v>
      </c>
      <c r="I7233" s="18" t="n">
        <f aca="false">((I7232 + G7233) - H7233)</f>
        <v>99775.6900000002</v>
      </c>
      <c r="J7233" s="18" t="n">
        <v>0</v>
      </c>
      <c r="K7233" s="19" t="n">
        <v>0</v>
      </c>
      <c r="L7233" s="17"/>
    </row>
    <row r="7234" s="11" customFormat="true" ht="10.95" hidden="false" customHeight="true" outlineLevel="0" collapsed="false">
      <c r="A7234" s="16" t="n">
        <v>45408</v>
      </c>
      <c r="B7234" s="17" t="s">
        <v>3369</v>
      </c>
      <c r="C7234" s="17" t="s">
        <v>3370</v>
      </c>
      <c r="D7234" s="17" t="s">
        <v>19</v>
      </c>
      <c r="E7234" s="17" t="s">
        <v>3434</v>
      </c>
      <c r="F7234" s="17" t="s">
        <v>611</v>
      </c>
      <c r="G7234" s="18" t="n">
        <v>396</v>
      </c>
      <c r="H7234" s="18" t="n">
        <v>0</v>
      </c>
      <c r="I7234" s="18" t="n">
        <f aca="false">((I7233 + G7234) - H7234)</f>
        <v>100171.69</v>
      </c>
      <c r="J7234" s="18" t="n">
        <v>0</v>
      </c>
      <c r="K7234" s="19" t="n">
        <v>0</v>
      </c>
      <c r="L7234" s="17"/>
    </row>
    <row r="7235" s="11" customFormat="true" ht="10.95" hidden="false" customHeight="true" outlineLevel="0" collapsed="false">
      <c r="A7235" s="16" t="n">
        <v>45408</v>
      </c>
      <c r="B7235" s="17" t="s">
        <v>3369</v>
      </c>
      <c r="C7235" s="17" t="s">
        <v>3370</v>
      </c>
      <c r="D7235" s="17" t="s">
        <v>19</v>
      </c>
      <c r="E7235" s="17" t="s">
        <v>3435</v>
      </c>
      <c r="F7235" s="17" t="s">
        <v>612</v>
      </c>
      <c r="G7235" s="18" t="n">
        <v>2244</v>
      </c>
      <c r="H7235" s="18" t="n">
        <v>0</v>
      </c>
      <c r="I7235" s="18" t="n">
        <f aca="false">((I7234 + G7235) - H7235)</f>
        <v>102415.69</v>
      </c>
      <c r="J7235" s="18" t="n">
        <v>0</v>
      </c>
      <c r="K7235" s="19" t="n">
        <v>0</v>
      </c>
      <c r="L7235" s="17"/>
    </row>
    <row r="7236" s="11" customFormat="true" ht="10.95" hidden="false" customHeight="true" outlineLevel="0" collapsed="false">
      <c r="A7236" s="16" t="n">
        <v>45408</v>
      </c>
      <c r="B7236" s="17" t="s">
        <v>3369</v>
      </c>
      <c r="C7236" s="17" t="s">
        <v>3370</v>
      </c>
      <c r="D7236" s="17" t="s">
        <v>19</v>
      </c>
      <c r="E7236" s="17" t="s">
        <v>3436</v>
      </c>
      <c r="F7236" s="17" t="s">
        <v>911</v>
      </c>
      <c r="G7236" s="18" t="n">
        <v>2403.5</v>
      </c>
      <c r="H7236" s="18" t="n">
        <v>0</v>
      </c>
      <c r="I7236" s="18" t="n">
        <f aca="false">((I7235 + G7236) - H7236)</f>
        <v>104819.19</v>
      </c>
      <c r="J7236" s="18" t="n">
        <v>0</v>
      </c>
      <c r="K7236" s="19" t="n">
        <v>0</v>
      </c>
      <c r="L7236" s="17"/>
    </row>
    <row r="7237" s="11" customFormat="true" ht="10.95" hidden="false" customHeight="true" outlineLevel="0" collapsed="false">
      <c r="A7237" s="16" t="n">
        <v>45408</v>
      </c>
      <c r="B7237" s="17" t="s">
        <v>3369</v>
      </c>
      <c r="C7237" s="17" t="s">
        <v>3370</v>
      </c>
      <c r="D7237" s="17" t="s">
        <v>19</v>
      </c>
      <c r="E7237" s="17" t="s">
        <v>3436</v>
      </c>
      <c r="F7237" s="17" t="s">
        <v>912</v>
      </c>
      <c r="G7237" s="18" t="n">
        <v>1001</v>
      </c>
      <c r="H7237" s="18" t="n">
        <v>0</v>
      </c>
      <c r="I7237" s="18" t="n">
        <f aca="false">((I7236 + G7237) - H7237)</f>
        <v>105820.19</v>
      </c>
      <c r="J7237" s="18" t="n">
        <v>0</v>
      </c>
      <c r="K7237" s="19" t="n">
        <v>0</v>
      </c>
      <c r="L7237" s="17"/>
    </row>
    <row r="7238" s="11" customFormat="true" ht="10.95" hidden="false" customHeight="true" outlineLevel="0" collapsed="false">
      <c r="A7238" s="16" t="n">
        <v>45408</v>
      </c>
      <c r="B7238" s="17" t="s">
        <v>3369</v>
      </c>
      <c r="C7238" s="17" t="s">
        <v>3370</v>
      </c>
      <c r="D7238" s="17" t="s">
        <v>19</v>
      </c>
      <c r="E7238" s="17" t="s">
        <v>3436</v>
      </c>
      <c r="F7238" s="17" t="s">
        <v>913</v>
      </c>
      <c r="G7238" s="18" t="n">
        <v>1672</v>
      </c>
      <c r="H7238" s="18" t="n">
        <v>0</v>
      </c>
      <c r="I7238" s="18" t="n">
        <f aca="false">((I7237 + G7238) - H7238)</f>
        <v>107492.19</v>
      </c>
      <c r="J7238" s="18" t="n">
        <v>0</v>
      </c>
      <c r="K7238" s="19" t="n">
        <v>0</v>
      </c>
      <c r="L7238" s="17"/>
    </row>
    <row r="7239" s="11" customFormat="true" ht="10.95" hidden="false" customHeight="true" outlineLevel="0" collapsed="false">
      <c r="A7239" s="16" t="n">
        <v>45408</v>
      </c>
      <c r="B7239" s="17" t="s">
        <v>3369</v>
      </c>
      <c r="C7239" s="17" t="s">
        <v>3370</v>
      </c>
      <c r="D7239" s="17" t="s">
        <v>19</v>
      </c>
      <c r="E7239" s="17" t="s">
        <v>3437</v>
      </c>
      <c r="F7239" s="17" t="s">
        <v>613</v>
      </c>
      <c r="G7239" s="18" t="n">
        <v>1100.06</v>
      </c>
      <c r="H7239" s="18" t="n">
        <v>0</v>
      </c>
      <c r="I7239" s="18" t="n">
        <f aca="false">((I7238 + G7239) - H7239)</f>
        <v>108592.25</v>
      </c>
      <c r="J7239" s="18" t="n">
        <v>0</v>
      </c>
      <c r="K7239" s="19" t="n">
        <v>0</v>
      </c>
      <c r="L7239" s="17"/>
    </row>
    <row r="7240" s="11" customFormat="true" ht="10.95" hidden="false" customHeight="true" outlineLevel="0" collapsed="false">
      <c r="A7240" s="16" t="n">
        <v>45408</v>
      </c>
      <c r="B7240" s="17" t="s">
        <v>3369</v>
      </c>
      <c r="C7240" s="17" t="s">
        <v>3370</v>
      </c>
      <c r="D7240" s="17" t="s">
        <v>19</v>
      </c>
      <c r="E7240" s="17" t="s">
        <v>3438</v>
      </c>
      <c r="F7240" s="17" t="s">
        <v>1237</v>
      </c>
      <c r="G7240" s="18" t="n">
        <v>3068.89</v>
      </c>
      <c r="H7240" s="18" t="n">
        <v>0</v>
      </c>
      <c r="I7240" s="18" t="n">
        <f aca="false">((I7239 + G7240) - H7240)</f>
        <v>111661.14</v>
      </c>
      <c r="J7240" s="18" t="n">
        <v>0</v>
      </c>
      <c r="K7240" s="19" t="n">
        <v>0</v>
      </c>
      <c r="L7240" s="17"/>
    </row>
    <row r="7241" s="11" customFormat="true" ht="10.95" hidden="false" customHeight="true" outlineLevel="0" collapsed="false">
      <c r="A7241" s="16" t="n">
        <v>45408</v>
      </c>
      <c r="B7241" s="17" t="s">
        <v>3369</v>
      </c>
      <c r="C7241" s="17" t="s">
        <v>3370</v>
      </c>
      <c r="D7241" s="17" t="s">
        <v>19</v>
      </c>
      <c r="E7241" s="17" t="s">
        <v>3439</v>
      </c>
      <c r="F7241" s="17" t="s">
        <v>614</v>
      </c>
      <c r="G7241" s="18" t="n">
        <v>1052.7</v>
      </c>
      <c r="H7241" s="18" t="n">
        <v>0</v>
      </c>
      <c r="I7241" s="18" t="n">
        <f aca="false">((I7240 + G7241) - H7241)</f>
        <v>112713.84</v>
      </c>
      <c r="J7241" s="18" t="n">
        <v>0</v>
      </c>
      <c r="K7241" s="19" t="n">
        <v>0</v>
      </c>
      <c r="L7241" s="17"/>
    </row>
    <row r="7242" s="11" customFormat="true" ht="10.95" hidden="false" customHeight="true" outlineLevel="0" collapsed="false">
      <c r="A7242" s="16" t="n">
        <v>45408</v>
      </c>
      <c r="B7242" s="17" t="s">
        <v>3369</v>
      </c>
      <c r="C7242" s="17" t="s">
        <v>3370</v>
      </c>
      <c r="D7242" s="17" t="s">
        <v>19</v>
      </c>
      <c r="E7242" s="17" t="s">
        <v>3440</v>
      </c>
      <c r="F7242" s="17" t="s">
        <v>1238</v>
      </c>
      <c r="G7242" s="18" t="n">
        <v>1484.21</v>
      </c>
      <c r="H7242" s="18" t="n">
        <v>0</v>
      </c>
      <c r="I7242" s="18" t="n">
        <f aca="false">((I7241 + G7242) - H7242)</f>
        <v>114198.05</v>
      </c>
      <c r="J7242" s="18" t="n">
        <v>0</v>
      </c>
      <c r="K7242" s="19" t="n">
        <v>0</v>
      </c>
      <c r="L7242" s="17"/>
    </row>
    <row r="7243" s="11" customFormat="true" ht="10.95" hidden="false" customHeight="true" outlineLevel="0" collapsed="false">
      <c r="A7243" s="16" t="n">
        <v>45408</v>
      </c>
      <c r="B7243" s="17" t="s">
        <v>3369</v>
      </c>
      <c r="C7243" s="17" t="s">
        <v>3370</v>
      </c>
      <c r="D7243" s="17" t="s">
        <v>19</v>
      </c>
      <c r="E7243" s="17" t="s">
        <v>3441</v>
      </c>
      <c r="F7243" s="17" t="s">
        <v>1239</v>
      </c>
      <c r="G7243" s="18" t="n">
        <v>180</v>
      </c>
      <c r="H7243" s="18" t="n">
        <v>0</v>
      </c>
      <c r="I7243" s="18" t="n">
        <f aca="false">((I7242 + G7243) - H7243)</f>
        <v>114378.05</v>
      </c>
      <c r="J7243" s="18" t="n">
        <v>0</v>
      </c>
      <c r="K7243" s="19" t="n">
        <v>0</v>
      </c>
      <c r="L7243" s="17"/>
    </row>
    <row r="7244" s="11" customFormat="true" ht="10.95" hidden="false" customHeight="true" outlineLevel="0" collapsed="false">
      <c r="A7244" s="16" t="n">
        <v>45408</v>
      </c>
      <c r="B7244" s="17" t="s">
        <v>3369</v>
      </c>
      <c r="C7244" s="17" t="s">
        <v>3370</v>
      </c>
      <c r="D7244" s="17" t="s">
        <v>19</v>
      </c>
      <c r="E7244" s="17" t="s">
        <v>3442</v>
      </c>
      <c r="F7244" s="17" t="s">
        <v>615</v>
      </c>
      <c r="G7244" s="18" t="n">
        <v>9999</v>
      </c>
      <c r="H7244" s="18" t="n">
        <v>0</v>
      </c>
      <c r="I7244" s="18" t="n">
        <f aca="false">((I7243 + G7244) - H7244)</f>
        <v>124377.05</v>
      </c>
      <c r="J7244" s="18" t="n">
        <v>0</v>
      </c>
      <c r="K7244" s="19" t="n">
        <v>0</v>
      </c>
      <c r="L7244" s="17"/>
    </row>
    <row r="7245" s="11" customFormat="true" ht="10.95" hidden="false" customHeight="true" outlineLevel="0" collapsed="false">
      <c r="A7245" s="16" t="n">
        <v>45408</v>
      </c>
      <c r="B7245" s="17" t="s">
        <v>3369</v>
      </c>
      <c r="C7245" s="17" t="s">
        <v>3370</v>
      </c>
      <c r="D7245" s="17" t="s">
        <v>19</v>
      </c>
      <c r="E7245" s="17" t="s">
        <v>3442</v>
      </c>
      <c r="F7245" s="17" t="s">
        <v>616</v>
      </c>
      <c r="G7245" s="18" t="n">
        <v>10087</v>
      </c>
      <c r="H7245" s="18" t="n">
        <v>0</v>
      </c>
      <c r="I7245" s="18" t="n">
        <f aca="false">((I7244 + G7245) - H7245)</f>
        <v>134464.05</v>
      </c>
      <c r="J7245" s="18" t="n">
        <v>0</v>
      </c>
      <c r="K7245" s="19" t="n">
        <v>0</v>
      </c>
      <c r="L7245" s="17"/>
    </row>
    <row r="7246" s="11" customFormat="true" ht="10.95" hidden="false" customHeight="true" outlineLevel="0" collapsed="false">
      <c r="A7246" s="16" t="n">
        <v>45408</v>
      </c>
      <c r="B7246" s="17" t="s">
        <v>3369</v>
      </c>
      <c r="C7246" s="17" t="s">
        <v>3370</v>
      </c>
      <c r="D7246" s="17" t="s">
        <v>19</v>
      </c>
      <c r="E7246" s="17" t="s">
        <v>3443</v>
      </c>
      <c r="F7246" s="17" t="s">
        <v>618</v>
      </c>
      <c r="G7246" s="18" t="n">
        <v>4994</v>
      </c>
      <c r="H7246" s="18" t="n">
        <v>0</v>
      </c>
      <c r="I7246" s="18" t="n">
        <f aca="false">((I7245 + G7246) - H7246)</f>
        <v>139458.05</v>
      </c>
      <c r="J7246" s="18" t="n">
        <v>0</v>
      </c>
      <c r="K7246" s="19" t="n">
        <v>0</v>
      </c>
      <c r="L7246" s="17"/>
    </row>
    <row r="7247" s="11" customFormat="true" ht="10.95" hidden="false" customHeight="true" outlineLevel="0" collapsed="false">
      <c r="A7247" s="16" t="n">
        <v>45408</v>
      </c>
      <c r="B7247" s="17" t="s">
        <v>3369</v>
      </c>
      <c r="C7247" s="17" t="s">
        <v>3370</v>
      </c>
      <c r="D7247" s="17" t="s">
        <v>19</v>
      </c>
      <c r="E7247" s="17" t="s">
        <v>3444</v>
      </c>
      <c r="F7247" s="17" t="s">
        <v>619</v>
      </c>
      <c r="G7247" s="18" t="n">
        <v>968</v>
      </c>
      <c r="H7247" s="18" t="n">
        <v>0</v>
      </c>
      <c r="I7247" s="18" t="n">
        <f aca="false">((I7246 + G7247) - H7247)</f>
        <v>140426.05</v>
      </c>
      <c r="J7247" s="18" t="n">
        <v>0</v>
      </c>
      <c r="K7247" s="19" t="n">
        <v>0</v>
      </c>
      <c r="L7247" s="17"/>
    </row>
    <row r="7248" s="11" customFormat="true" ht="10.95" hidden="false" customHeight="true" outlineLevel="0" collapsed="false">
      <c r="A7248" s="16" t="n">
        <v>45408</v>
      </c>
      <c r="B7248" s="17" t="s">
        <v>3369</v>
      </c>
      <c r="C7248" s="17" t="s">
        <v>3370</v>
      </c>
      <c r="D7248" s="17" t="s">
        <v>19</v>
      </c>
      <c r="E7248" s="17" t="s">
        <v>3494</v>
      </c>
      <c r="F7248" s="17" t="s">
        <v>620</v>
      </c>
      <c r="G7248" s="18" t="n">
        <v>913</v>
      </c>
      <c r="H7248" s="18" t="n">
        <v>0</v>
      </c>
      <c r="I7248" s="18" t="n">
        <f aca="false">((I7247 + G7248) - H7248)</f>
        <v>141339.05</v>
      </c>
      <c r="J7248" s="18" t="n">
        <v>0</v>
      </c>
      <c r="K7248" s="19" t="n">
        <v>0</v>
      </c>
      <c r="L7248" s="17"/>
    </row>
    <row r="7249" s="11" customFormat="true" ht="10.95" hidden="false" customHeight="true" outlineLevel="0" collapsed="false">
      <c r="A7249" s="16" t="n">
        <v>45408</v>
      </c>
      <c r="B7249" s="17" t="s">
        <v>3369</v>
      </c>
      <c r="C7249" s="17" t="s">
        <v>3370</v>
      </c>
      <c r="D7249" s="17" t="s">
        <v>19</v>
      </c>
      <c r="E7249" s="17" t="s">
        <v>3446</v>
      </c>
      <c r="F7249" s="17" t="s">
        <v>621</v>
      </c>
      <c r="G7249" s="18" t="n">
        <v>1861.2</v>
      </c>
      <c r="H7249" s="18" t="n">
        <v>0</v>
      </c>
      <c r="I7249" s="18" t="n">
        <f aca="false">((I7248 + G7249) - H7249)</f>
        <v>143200.25</v>
      </c>
      <c r="J7249" s="18" t="n">
        <v>0</v>
      </c>
      <c r="K7249" s="19" t="n">
        <v>0</v>
      </c>
      <c r="L7249" s="17"/>
    </row>
    <row r="7250" s="11" customFormat="true" ht="10.95" hidden="false" customHeight="true" outlineLevel="0" collapsed="false">
      <c r="A7250" s="16" t="n">
        <v>45408</v>
      </c>
      <c r="B7250" s="17" t="s">
        <v>3369</v>
      </c>
      <c r="C7250" s="17" t="s">
        <v>3370</v>
      </c>
      <c r="D7250" s="17" t="s">
        <v>19</v>
      </c>
      <c r="E7250" s="17" t="s">
        <v>3447</v>
      </c>
      <c r="F7250" s="17" t="s">
        <v>622</v>
      </c>
      <c r="G7250" s="18" t="n">
        <v>229.9</v>
      </c>
      <c r="H7250" s="18" t="n">
        <v>0</v>
      </c>
      <c r="I7250" s="18" t="n">
        <f aca="false">((I7249 + G7250) - H7250)</f>
        <v>143430.15</v>
      </c>
      <c r="J7250" s="18" t="n">
        <v>0</v>
      </c>
      <c r="K7250" s="19" t="n">
        <v>0</v>
      </c>
      <c r="L7250" s="17"/>
    </row>
    <row r="7251" s="11" customFormat="true" ht="10.95" hidden="false" customHeight="true" outlineLevel="0" collapsed="false">
      <c r="A7251" s="16" t="n">
        <v>45408</v>
      </c>
      <c r="B7251" s="17" t="s">
        <v>3369</v>
      </c>
      <c r="C7251" s="17" t="s">
        <v>3370</v>
      </c>
      <c r="D7251" s="17" t="s">
        <v>19</v>
      </c>
      <c r="E7251" s="17" t="s">
        <v>3447</v>
      </c>
      <c r="F7251" s="17" t="s">
        <v>623</v>
      </c>
      <c r="G7251" s="18" t="n">
        <v>114.95</v>
      </c>
      <c r="H7251" s="18" t="n">
        <v>0</v>
      </c>
      <c r="I7251" s="18" t="n">
        <f aca="false">((I7250 + G7251) - H7251)</f>
        <v>143545.1</v>
      </c>
      <c r="J7251" s="18" t="n">
        <v>0</v>
      </c>
      <c r="K7251" s="19" t="n">
        <v>0</v>
      </c>
      <c r="L7251" s="17"/>
    </row>
    <row r="7252" s="11" customFormat="true" ht="10.95" hidden="false" customHeight="true" outlineLevel="0" collapsed="false">
      <c r="A7252" s="16" t="n">
        <v>45408</v>
      </c>
      <c r="B7252" s="17" t="s">
        <v>3369</v>
      </c>
      <c r="C7252" s="17" t="s">
        <v>3370</v>
      </c>
      <c r="D7252" s="17" t="s">
        <v>19</v>
      </c>
      <c r="E7252" s="17" t="s">
        <v>3447</v>
      </c>
      <c r="F7252" s="17" t="s">
        <v>624</v>
      </c>
      <c r="G7252" s="18" t="n">
        <v>618.75</v>
      </c>
      <c r="H7252" s="18" t="n">
        <v>0</v>
      </c>
      <c r="I7252" s="18" t="n">
        <f aca="false">((I7251 + G7252) - H7252)</f>
        <v>144163.85</v>
      </c>
      <c r="J7252" s="18" t="n">
        <v>0</v>
      </c>
      <c r="K7252" s="19" t="n">
        <v>0</v>
      </c>
      <c r="L7252" s="17"/>
    </row>
    <row r="7253" s="11" customFormat="true" ht="10.95" hidden="false" customHeight="true" outlineLevel="0" collapsed="false">
      <c r="A7253" s="16" t="n">
        <v>45408</v>
      </c>
      <c r="B7253" s="17" t="s">
        <v>3369</v>
      </c>
      <c r="C7253" s="17" t="s">
        <v>3370</v>
      </c>
      <c r="D7253" s="17" t="s">
        <v>19</v>
      </c>
      <c r="E7253" s="17" t="s">
        <v>3447</v>
      </c>
      <c r="F7253" s="17" t="s">
        <v>625</v>
      </c>
      <c r="G7253" s="18" t="n">
        <v>827.2</v>
      </c>
      <c r="H7253" s="18" t="n">
        <v>0</v>
      </c>
      <c r="I7253" s="18" t="n">
        <f aca="false">((I7252 + G7253) - H7253)</f>
        <v>144991.05</v>
      </c>
      <c r="J7253" s="18" t="n">
        <v>0</v>
      </c>
      <c r="K7253" s="19" t="n">
        <v>0</v>
      </c>
      <c r="L7253" s="17"/>
    </row>
    <row r="7254" s="11" customFormat="true" ht="10.95" hidden="false" customHeight="true" outlineLevel="0" collapsed="false">
      <c r="A7254" s="16" t="n">
        <v>45408</v>
      </c>
      <c r="B7254" s="17" t="s">
        <v>3369</v>
      </c>
      <c r="C7254" s="17" t="s">
        <v>3370</v>
      </c>
      <c r="D7254" s="17" t="s">
        <v>19</v>
      </c>
      <c r="E7254" s="17" t="s">
        <v>3447</v>
      </c>
      <c r="F7254" s="17" t="s">
        <v>626</v>
      </c>
      <c r="G7254" s="18" t="n">
        <v>741.4</v>
      </c>
      <c r="H7254" s="18" t="n">
        <v>0</v>
      </c>
      <c r="I7254" s="18" t="n">
        <f aca="false">((I7253 + G7254) - H7254)</f>
        <v>145732.45</v>
      </c>
      <c r="J7254" s="18" t="n">
        <v>0</v>
      </c>
      <c r="K7254" s="19" t="n">
        <v>0</v>
      </c>
      <c r="L7254" s="17"/>
    </row>
    <row r="7255" s="11" customFormat="true" ht="10.95" hidden="false" customHeight="true" outlineLevel="0" collapsed="false">
      <c r="A7255" s="16" t="n">
        <v>45408</v>
      </c>
      <c r="B7255" s="17" t="s">
        <v>3369</v>
      </c>
      <c r="C7255" s="17" t="s">
        <v>3370</v>
      </c>
      <c r="D7255" s="17" t="s">
        <v>19</v>
      </c>
      <c r="E7255" s="17" t="s">
        <v>3447</v>
      </c>
      <c r="F7255" s="17" t="s">
        <v>627</v>
      </c>
      <c r="G7255" s="18" t="n">
        <v>206.8</v>
      </c>
      <c r="H7255" s="18" t="n">
        <v>0</v>
      </c>
      <c r="I7255" s="18" t="n">
        <f aca="false">((I7254 + G7255) - H7255)</f>
        <v>145939.25</v>
      </c>
      <c r="J7255" s="18" t="n">
        <v>0</v>
      </c>
      <c r="K7255" s="19" t="n">
        <v>0</v>
      </c>
      <c r="L7255" s="17"/>
    </row>
    <row r="7256" s="11" customFormat="true" ht="10.95" hidden="false" customHeight="true" outlineLevel="0" collapsed="false">
      <c r="A7256" s="16" t="n">
        <v>45408</v>
      </c>
      <c r="B7256" s="17" t="s">
        <v>3369</v>
      </c>
      <c r="C7256" s="17" t="s">
        <v>3370</v>
      </c>
      <c r="D7256" s="17" t="s">
        <v>19</v>
      </c>
      <c r="E7256" s="17" t="s">
        <v>3447</v>
      </c>
      <c r="F7256" s="17" t="s">
        <v>628</v>
      </c>
      <c r="G7256" s="18" t="n">
        <v>1792.45</v>
      </c>
      <c r="H7256" s="18" t="n">
        <v>0</v>
      </c>
      <c r="I7256" s="18" t="n">
        <f aca="false">((I7255 + G7256) - H7256)</f>
        <v>147731.7</v>
      </c>
      <c r="J7256" s="18" t="n">
        <v>0</v>
      </c>
      <c r="K7256" s="19" t="n">
        <v>0</v>
      </c>
      <c r="L7256" s="17"/>
    </row>
    <row r="7257" s="11" customFormat="true" ht="10.95" hidden="false" customHeight="true" outlineLevel="0" collapsed="false">
      <c r="A7257" s="16" t="n">
        <v>45408</v>
      </c>
      <c r="B7257" s="17" t="s">
        <v>3369</v>
      </c>
      <c r="C7257" s="17" t="s">
        <v>3370</v>
      </c>
      <c r="D7257" s="17" t="s">
        <v>19</v>
      </c>
      <c r="E7257" s="17" t="s">
        <v>3447</v>
      </c>
      <c r="F7257" s="17" t="s">
        <v>629</v>
      </c>
      <c r="G7257" s="18" t="n">
        <v>517</v>
      </c>
      <c r="H7257" s="18" t="n">
        <v>0</v>
      </c>
      <c r="I7257" s="18" t="n">
        <f aca="false">((I7256 + G7257) - H7257)</f>
        <v>148248.7</v>
      </c>
      <c r="J7257" s="18" t="n">
        <v>0</v>
      </c>
      <c r="K7257" s="19" t="n">
        <v>0</v>
      </c>
      <c r="L7257" s="17"/>
    </row>
    <row r="7258" s="11" customFormat="true" ht="10.95" hidden="false" customHeight="true" outlineLevel="0" collapsed="false">
      <c r="A7258" s="16" t="n">
        <v>45408</v>
      </c>
      <c r="B7258" s="17" t="s">
        <v>3369</v>
      </c>
      <c r="C7258" s="17" t="s">
        <v>3370</v>
      </c>
      <c r="D7258" s="17" t="s">
        <v>19</v>
      </c>
      <c r="E7258" s="17" t="s">
        <v>3447</v>
      </c>
      <c r="F7258" s="17" t="s">
        <v>630</v>
      </c>
      <c r="G7258" s="18" t="n">
        <v>316.8</v>
      </c>
      <c r="H7258" s="18" t="n">
        <v>0</v>
      </c>
      <c r="I7258" s="18" t="n">
        <f aca="false">((I7257 + G7258) - H7258)</f>
        <v>148565.5</v>
      </c>
      <c r="J7258" s="18" t="n">
        <v>0</v>
      </c>
      <c r="K7258" s="19" t="n">
        <v>0</v>
      </c>
      <c r="L7258" s="17"/>
    </row>
    <row r="7259" s="11" customFormat="true" ht="10.95" hidden="false" customHeight="true" outlineLevel="0" collapsed="false">
      <c r="A7259" s="16" t="n">
        <v>45408</v>
      </c>
      <c r="B7259" s="17" t="s">
        <v>3369</v>
      </c>
      <c r="C7259" s="17" t="s">
        <v>3370</v>
      </c>
      <c r="D7259" s="17" t="s">
        <v>19</v>
      </c>
      <c r="E7259" s="17" t="s">
        <v>3447</v>
      </c>
      <c r="F7259" s="17" t="s">
        <v>631</v>
      </c>
      <c r="G7259" s="18" t="n">
        <v>627</v>
      </c>
      <c r="H7259" s="18" t="n">
        <v>0</v>
      </c>
      <c r="I7259" s="18" t="n">
        <f aca="false">((I7258 + G7259) - H7259)</f>
        <v>149192.5</v>
      </c>
      <c r="J7259" s="18" t="n">
        <v>0</v>
      </c>
      <c r="K7259" s="19" t="n">
        <v>0</v>
      </c>
      <c r="L7259" s="17"/>
    </row>
    <row r="7260" s="11" customFormat="true" ht="10.95" hidden="false" customHeight="true" outlineLevel="0" collapsed="false">
      <c r="A7260" s="16" t="n">
        <v>45408</v>
      </c>
      <c r="B7260" s="17" t="s">
        <v>3369</v>
      </c>
      <c r="C7260" s="17" t="s">
        <v>3370</v>
      </c>
      <c r="D7260" s="17" t="s">
        <v>19</v>
      </c>
      <c r="E7260" s="17" t="s">
        <v>3447</v>
      </c>
      <c r="F7260" s="17" t="s">
        <v>632</v>
      </c>
      <c r="G7260" s="18" t="n">
        <v>1967.9</v>
      </c>
      <c r="H7260" s="18" t="n">
        <v>0</v>
      </c>
      <c r="I7260" s="18" t="n">
        <f aca="false">((I7259 + G7260) - H7260)</f>
        <v>151160.4</v>
      </c>
      <c r="J7260" s="18" t="n">
        <v>0</v>
      </c>
      <c r="K7260" s="19" t="n">
        <v>0</v>
      </c>
      <c r="L7260" s="17"/>
    </row>
    <row r="7261" s="11" customFormat="true" ht="10.95" hidden="false" customHeight="true" outlineLevel="0" collapsed="false">
      <c r="A7261" s="16" t="n">
        <v>45408</v>
      </c>
      <c r="B7261" s="17" t="s">
        <v>3369</v>
      </c>
      <c r="C7261" s="17" t="s">
        <v>3370</v>
      </c>
      <c r="D7261" s="17" t="s">
        <v>19</v>
      </c>
      <c r="E7261" s="17" t="s">
        <v>3447</v>
      </c>
      <c r="F7261" s="17" t="s">
        <v>633</v>
      </c>
      <c r="G7261" s="18" t="n">
        <v>1361.8</v>
      </c>
      <c r="H7261" s="18" t="n">
        <v>0</v>
      </c>
      <c r="I7261" s="18" t="n">
        <f aca="false">((I7260 + G7261) - H7261)</f>
        <v>152522.2</v>
      </c>
      <c r="J7261" s="18" t="n">
        <v>0</v>
      </c>
      <c r="K7261" s="19" t="n">
        <v>0</v>
      </c>
      <c r="L7261" s="17"/>
    </row>
    <row r="7262" s="11" customFormat="true" ht="10.95" hidden="false" customHeight="true" outlineLevel="0" collapsed="false">
      <c r="A7262" s="16" t="n">
        <v>45408</v>
      </c>
      <c r="B7262" s="17" t="s">
        <v>3369</v>
      </c>
      <c r="C7262" s="17" t="s">
        <v>3370</v>
      </c>
      <c r="D7262" s="17" t="s">
        <v>19</v>
      </c>
      <c r="E7262" s="17" t="s">
        <v>3447</v>
      </c>
      <c r="F7262" s="17" t="s">
        <v>634</v>
      </c>
      <c r="G7262" s="18" t="n">
        <v>310.2</v>
      </c>
      <c r="H7262" s="18" t="n">
        <v>0</v>
      </c>
      <c r="I7262" s="18" t="n">
        <f aca="false">((I7261 + G7262) - H7262)</f>
        <v>152832.4</v>
      </c>
      <c r="J7262" s="18" t="n">
        <v>0</v>
      </c>
      <c r="K7262" s="19" t="n">
        <v>0</v>
      </c>
      <c r="L7262" s="17"/>
    </row>
    <row r="7263" s="11" customFormat="true" ht="10.95" hidden="false" customHeight="true" outlineLevel="0" collapsed="false">
      <c r="A7263" s="16" t="n">
        <v>45408</v>
      </c>
      <c r="B7263" s="17" t="s">
        <v>3369</v>
      </c>
      <c r="C7263" s="17" t="s">
        <v>3370</v>
      </c>
      <c r="D7263" s="17" t="s">
        <v>19</v>
      </c>
      <c r="E7263" s="17" t="s">
        <v>3447</v>
      </c>
      <c r="F7263" s="17" t="s">
        <v>635</v>
      </c>
      <c r="G7263" s="18" t="n">
        <v>310.2</v>
      </c>
      <c r="H7263" s="18" t="n">
        <v>0</v>
      </c>
      <c r="I7263" s="18" t="n">
        <f aca="false">((I7262 + G7263) - H7263)</f>
        <v>153142.6</v>
      </c>
      <c r="J7263" s="18" t="n">
        <v>0</v>
      </c>
      <c r="K7263" s="19" t="n">
        <v>0</v>
      </c>
      <c r="L7263" s="17"/>
    </row>
    <row r="7264" s="11" customFormat="true" ht="10.95" hidden="false" customHeight="true" outlineLevel="0" collapsed="false">
      <c r="A7264" s="16" t="n">
        <v>45408</v>
      </c>
      <c r="B7264" s="17" t="s">
        <v>3369</v>
      </c>
      <c r="C7264" s="17" t="s">
        <v>3370</v>
      </c>
      <c r="D7264" s="17" t="s">
        <v>19</v>
      </c>
      <c r="E7264" s="17" t="s">
        <v>3447</v>
      </c>
      <c r="F7264" s="17" t="s">
        <v>636</v>
      </c>
      <c r="G7264" s="18" t="n">
        <v>620.4</v>
      </c>
      <c r="H7264" s="18" t="n">
        <v>0</v>
      </c>
      <c r="I7264" s="18" t="n">
        <f aca="false">((I7263 + G7264) - H7264)</f>
        <v>153763</v>
      </c>
      <c r="J7264" s="18" t="n">
        <v>0</v>
      </c>
      <c r="K7264" s="19" t="n">
        <v>0</v>
      </c>
      <c r="L7264" s="17"/>
    </row>
    <row r="7265" s="11" customFormat="true" ht="10.95" hidden="false" customHeight="true" outlineLevel="0" collapsed="false">
      <c r="A7265" s="16" t="n">
        <v>45408</v>
      </c>
      <c r="B7265" s="17" t="s">
        <v>3369</v>
      </c>
      <c r="C7265" s="17" t="s">
        <v>3370</v>
      </c>
      <c r="D7265" s="17" t="s">
        <v>19</v>
      </c>
      <c r="E7265" s="17" t="s">
        <v>3447</v>
      </c>
      <c r="F7265" s="17" t="s">
        <v>637</v>
      </c>
      <c r="G7265" s="18" t="n">
        <v>1137.4</v>
      </c>
      <c r="H7265" s="18" t="n">
        <v>0</v>
      </c>
      <c r="I7265" s="18" t="n">
        <f aca="false">((I7264 + G7265) - H7265)</f>
        <v>154900.4</v>
      </c>
      <c r="J7265" s="18" t="n">
        <v>0</v>
      </c>
      <c r="K7265" s="19" t="n">
        <v>0</v>
      </c>
      <c r="L7265" s="17"/>
    </row>
    <row r="7266" s="11" customFormat="true" ht="10.95" hidden="false" customHeight="true" outlineLevel="0" collapsed="false">
      <c r="A7266" s="16" t="n">
        <v>45408</v>
      </c>
      <c r="B7266" s="17" t="s">
        <v>3369</v>
      </c>
      <c r="C7266" s="17" t="s">
        <v>3370</v>
      </c>
      <c r="D7266" s="17" t="s">
        <v>19</v>
      </c>
      <c r="E7266" s="17" t="s">
        <v>3447</v>
      </c>
      <c r="F7266" s="17" t="s">
        <v>638</v>
      </c>
      <c r="G7266" s="18" t="n">
        <v>103.4</v>
      </c>
      <c r="H7266" s="18" t="n">
        <v>0</v>
      </c>
      <c r="I7266" s="18" t="n">
        <f aca="false">((I7265 + G7266) - H7266)</f>
        <v>155003.8</v>
      </c>
      <c r="J7266" s="18" t="n">
        <v>0</v>
      </c>
      <c r="K7266" s="19" t="n">
        <v>0</v>
      </c>
      <c r="L7266" s="17"/>
    </row>
    <row r="7267" s="11" customFormat="true" ht="10.95" hidden="false" customHeight="true" outlineLevel="0" collapsed="false">
      <c r="A7267" s="16" t="n">
        <v>45408</v>
      </c>
      <c r="B7267" s="17" t="s">
        <v>3369</v>
      </c>
      <c r="C7267" s="17" t="s">
        <v>3370</v>
      </c>
      <c r="D7267" s="17" t="s">
        <v>19</v>
      </c>
      <c r="E7267" s="17" t="s">
        <v>3447</v>
      </c>
      <c r="F7267" s="17" t="s">
        <v>639</v>
      </c>
      <c r="G7267" s="18" t="n">
        <v>723.8</v>
      </c>
      <c r="H7267" s="18" t="n">
        <v>0</v>
      </c>
      <c r="I7267" s="18" t="n">
        <f aca="false">((I7266 + G7267) - H7267)</f>
        <v>155727.6</v>
      </c>
      <c r="J7267" s="18" t="n">
        <v>0</v>
      </c>
      <c r="K7267" s="19" t="n">
        <v>0</v>
      </c>
      <c r="L7267" s="17"/>
    </row>
    <row r="7268" s="11" customFormat="true" ht="10.95" hidden="false" customHeight="true" outlineLevel="0" collapsed="false">
      <c r="A7268" s="16" t="n">
        <v>45408</v>
      </c>
      <c r="B7268" s="17" t="s">
        <v>3369</v>
      </c>
      <c r="C7268" s="17" t="s">
        <v>3370</v>
      </c>
      <c r="D7268" s="17" t="s">
        <v>19</v>
      </c>
      <c r="E7268" s="17" t="s">
        <v>3450</v>
      </c>
      <c r="F7268" s="17" t="s">
        <v>1240</v>
      </c>
      <c r="G7268" s="18" t="n">
        <v>262.86</v>
      </c>
      <c r="H7268" s="18" t="n">
        <v>0</v>
      </c>
      <c r="I7268" s="18" t="n">
        <f aca="false">((I7267 + G7268) - H7268)</f>
        <v>155990.46</v>
      </c>
      <c r="J7268" s="18" t="n">
        <v>0</v>
      </c>
      <c r="K7268" s="19" t="n">
        <v>0</v>
      </c>
      <c r="L7268" s="17"/>
    </row>
    <row r="7269" s="11" customFormat="true" ht="10.95" hidden="false" customHeight="true" outlineLevel="0" collapsed="false">
      <c r="A7269" s="16" t="n">
        <v>45408</v>
      </c>
      <c r="B7269" s="17" t="s">
        <v>3369</v>
      </c>
      <c r="C7269" s="17" t="s">
        <v>3370</v>
      </c>
      <c r="D7269" s="17" t="s">
        <v>19</v>
      </c>
      <c r="E7269" s="17" t="s">
        <v>3450</v>
      </c>
      <c r="F7269" s="17" t="s">
        <v>1241</v>
      </c>
      <c r="G7269" s="18" t="n">
        <v>784.47</v>
      </c>
      <c r="H7269" s="18" t="n">
        <v>0</v>
      </c>
      <c r="I7269" s="18" t="n">
        <f aca="false">((I7268 + G7269) - H7269)</f>
        <v>156774.93</v>
      </c>
      <c r="J7269" s="18" t="n">
        <v>0</v>
      </c>
      <c r="K7269" s="19" t="n">
        <v>0</v>
      </c>
      <c r="L7269" s="17"/>
    </row>
    <row r="7270" s="11" customFormat="true" ht="10.95" hidden="false" customHeight="true" outlineLevel="0" collapsed="false">
      <c r="A7270" s="16" t="n">
        <v>45408</v>
      </c>
      <c r="B7270" s="17" t="s">
        <v>3369</v>
      </c>
      <c r="C7270" s="17" t="s">
        <v>3370</v>
      </c>
      <c r="D7270" s="17" t="s">
        <v>19</v>
      </c>
      <c r="E7270" s="17" t="s">
        <v>3450</v>
      </c>
      <c r="F7270" s="17" t="s">
        <v>1242</v>
      </c>
      <c r="G7270" s="18" t="n">
        <v>2152.15</v>
      </c>
      <c r="H7270" s="18" t="n">
        <v>0</v>
      </c>
      <c r="I7270" s="18" t="n">
        <f aca="false">((I7269 + G7270) - H7270)</f>
        <v>158927.08</v>
      </c>
      <c r="J7270" s="18" t="n">
        <v>0</v>
      </c>
      <c r="K7270" s="19" t="n">
        <v>0</v>
      </c>
      <c r="L7270" s="17"/>
    </row>
    <row r="7271" s="11" customFormat="true" ht="10.95" hidden="false" customHeight="true" outlineLevel="0" collapsed="false">
      <c r="A7271" s="16" t="n">
        <v>45408</v>
      </c>
      <c r="B7271" s="17" t="s">
        <v>3369</v>
      </c>
      <c r="C7271" s="17" t="s">
        <v>3370</v>
      </c>
      <c r="D7271" s="17" t="s">
        <v>19</v>
      </c>
      <c r="E7271" s="17" t="s">
        <v>3450</v>
      </c>
      <c r="F7271" s="17" t="s">
        <v>1243</v>
      </c>
      <c r="G7271" s="18" t="n">
        <v>1098.43</v>
      </c>
      <c r="H7271" s="18" t="n">
        <v>0</v>
      </c>
      <c r="I7271" s="18" t="n">
        <f aca="false">((I7270 + G7271) - H7271)</f>
        <v>160025.51</v>
      </c>
      <c r="J7271" s="18" t="n">
        <v>0</v>
      </c>
      <c r="K7271" s="19" t="n">
        <v>0</v>
      </c>
      <c r="L7271" s="17"/>
    </row>
    <row r="7272" s="11" customFormat="true" ht="10.95" hidden="false" customHeight="true" outlineLevel="0" collapsed="false">
      <c r="A7272" s="16" t="n">
        <v>45408</v>
      </c>
      <c r="B7272" s="17" t="s">
        <v>3369</v>
      </c>
      <c r="C7272" s="17" t="s">
        <v>3370</v>
      </c>
      <c r="D7272" s="17" t="s">
        <v>19</v>
      </c>
      <c r="E7272" s="17" t="s">
        <v>3450</v>
      </c>
      <c r="F7272" s="17" t="s">
        <v>1244</v>
      </c>
      <c r="G7272" s="18" t="n">
        <v>2230.64</v>
      </c>
      <c r="H7272" s="18" t="n">
        <v>0</v>
      </c>
      <c r="I7272" s="18" t="n">
        <f aca="false">((I7271 + G7272) - H7272)</f>
        <v>162256.15</v>
      </c>
      <c r="J7272" s="18" t="n">
        <v>0</v>
      </c>
      <c r="K7272" s="19" t="n">
        <v>0</v>
      </c>
      <c r="L7272" s="17"/>
    </row>
    <row r="7273" s="11" customFormat="true" ht="10.95" hidden="false" customHeight="true" outlineLevel="0" collapsed="false">
      <c r="A7273" s="16" t="n">
        <v>45408</v>
      </c>
      <c r="B7273" s="17" t="s">
        <v>3369</v>
      </c>
      <c r="C7273" s="17" t="s">
        <v>3370</v>
      </c>
      <c r="D7273" s="17" t="s">
        <v>19</v>
      </c>
      <c r="E7273" s="17" t="s">
        <v>3450</v>
      </c>
      <c r="F7273" s="17" t="s">
        <v>1245</v>
      </c>
      <c r="G7273" s="18" t="n">
        <v>131.43</v>
      </c>
      <c r="H7273" s="18" t="n">
        <v>0</v>
      </c>
      <c r="I7273" s="18" t="n">
        <f aca="false">((I7272 + G7273) - H7273)</f>
        <v>162387.58</v>
      </c>
      <c r="J7273" s="18" t="n">
        <v>0</v>
      </c>
      <c r="K7273" s="19" t="n">
        <v>0</v>
      </c>
      <c r="L7273" s="17"/>
    </row>
    <row r="7274" s="11" customFormat="true" ht="10.95" hidden="false" customHeight="true" outlineLevel="0" collapsed="false">
      <c r="A7274" s="16" t="n">
        <v>45408</v>
      </c>
      <c r="B7274" s="17" t="s">
        <v>3369</v>
      </c>
      <c r="C7274" s="17" t="s">
        <v>3370</v>
      </c>
      <c r="D7274" s="17" t="s">
        <v>19</v>
      </c>
      <c r="E7274" s="17" t="s">
        <v>3450</v>
      </c>
      <c r="F7274" s="17" t="s">
        <v>1246</v>
      </c>
      <c r="G7274" s="18" t="n">
        <v>1002.6</v>
      </c>
      <c r="H7274" s="18" t="n">
        <v>0</v>
      </c>
      <c r="I7274" s="18" t="n">
        <f aca="false">((I7273 + G7274) - H7274)</f>
        <v>163390.18</v>
      </c>
      <c r="J7274" s="18" t="n">
        <v>0</v>
      </c>
      <c r="K7274" s="19" t="n">
        <v>0</v>
      </c>
      <c r="L7274" s="17"/>
    </row>
    <row r="7275" s="11" customFormat="true" ht="10.95" hidden="false" customHeight="true" outlineLevel="0" collapsed="false">
      <c r="A7275" s="16" t="n">
        <v>45408</v>
      </c>
      <c r="B7275" s="17" t="s">
        <v>3369</v>
      </c>
      <c r="C7275" s="17" t="s">
        <v>3370</v>
      </c>
      <c r="D7275" s="17" t="s">
        <v>19</v>
      </c>
      <c r="E7275" s="17" t="s">
        <v>3532</v>
      </c>
      <c r="F7275" s="17" t="s">
        <v>641</v>
      </c>
      <c r="G7275" s="18" t="n">
        <v>16632</v>
      </c>
      <c r="H7275" s="18" t="n">
        <v>0</v>
      </c>
      <c r="I7275" s="18" t="n">
        <f aca="false">((I7274 + G7275) - H7275)</f>
        <v>180022.18</v>
      </c>
      <c r="J7275" s="18" t="n">
        <v>0</v>
      </c>
      <c r="K7275" s="19" t="n">
        <v>0</v>
      </c>
      <c r="L7275" s="17"/>
    </row>
    <row r="7276" s="11" customFormat="true" ht="10.95" hidden="false" customHeight="true" outlineLevel="0" collapsed="false">
      <c r="A7276" s="16" t="n">
        <v>45408</v>
      </c>
      <c r="B7276" s="17" t="s">
        <v>3369</v>
      </c>
      <c r="C7276" s="17" t="s">
        <v>3370</v>
      </c>
      <c r="D7276" s="17" t="s">
        <v>19</v>
      </c>
      <c r="E7276" s="17" t="s">
        <v>3451</v>
      </c>
      <c r="F7276" s="17" t="s">
        <v>643</v>
      </c>
      <c r="G7276" s="18" t="n">
        <v>1278.2</v>
      </c>
      <c r="H7276" s="18" t="n">
        <v>0</v>
      </c>
      <c r="I7276" s="18" t="n">
        <f aca="false">((I7275 + G7276) - H7276)</f>
        <v>181300.38</v>
      </c>
      <c r="J7276" s="18" t="n">
        <v>0</v>
      </c>
      <c r="K7276" s="19" t="n">
        <v>0</v>
      </c>
      <c r="L7276" s="17"/>
    </row>
    <row r="7277" s="11" customFormat="true" ht="10.95" hidden="false" customHeight="true" outlineLevel="0" collapsed="false">
      <c r="A7277" s="16" t="n">
        <v>45408</v>
      </c>
      <c r="B7277" s="17" t="s">
        <v>3369</v>
      </c>
      <c r="C7277" s="17" t="s">
        <v>3370</v>
      </c>
      <c r="D7277" s="17" t="s">
        <v>19</v>
      </c>
      <c r="E7277" s="17" t="s">
        <v>3454</v>
      </c>
      <c r="F7277" s="17" t="s">
        <v>644</v>
      </c>
      <c r="G7277" s="18" t="n">
        <v>19683.02</v>
      </c>
      <c r="H7277" s="18" t="n">
        <v>0</v>
      </c>
      <c r="I7277" s="18" t="n">
        <f aca="false">((I7276 + G7277) - H7277)</f>
        <v>200983.4</v>
      </c>
      <c r="J7277" s="18" t="n">
        <v>0</v>
      </c>
      <c r="K7277" s="19" t="n">
        <v>0</v>
      </c>
      <c r="L7277" s="17"/>
    </row>
    <row r="7278" s="11" customFormat="true" ht="10.95" hidden="false" customHeight="true" outlineLevel="0" collapsed="false">
      <c r="A7278" s="16" t="n">
        <v>45408</v>
      </c>
      <c r="B7278" s="17" t="s">
        <v>3369</v>
      </c>
      <c r="C7278" s="17" t="s">
        <v>3370</v>
      </c>
      <c r="D7278" s="17" t="s">
        <v>2895</v>
      </c>
      <c r="E7278" s="17" t="s">
        <v>3480</v>
      </c>
      <c r="F7278" s="17" t="s">
        <v>1226</v>
      </c>
      <c r="G7278" s="18" t="n">
        <v>0</v>
      </c>
      <c r="H7278" s="18" t="n">
        <v>180</v>
      </c>
      <c r="I7278" s="18" t="n">
        <f aca="false">((I7277 + G7278) - H7278)</f>
        <v>200803.4</v>
      </c>
      <c r="J7278" s="18" t="n">
        <v>0</v>
      </c>
      <c r="K7278" s="19" t="n">
        <v>0</v>
      </c>
      <c r="L7278" s="17"/>
    </row>
    <row r="7279" s="11" customFormat="true" ht="10.95" hidden="false" customHeight="true" outlineLevel="0" collapsed="false">
      <c r="A7279" s="16" t="n">
        <v>45409</v>
      </c>
      <c r="B7279" s="17" t="s">
        <v>3369</v>
      </c>
      <c r="C7279" s="17" t="s">
        <v>3370</v>
      </c>
      <c r="D7279" s="17" t="s">
        <v>2895</v>
      </c>
      <c r="E7279" s="17" t="s">
        <v>3453</v>
      </c>
      <c r="F7279" s="17" t="s">
        <v>606</v>
      </c>
      <c r="G7279" s="18" t="n">
        <v>0</v>
      </c>
      <c r="H7279" s="18" t="n">
        <v>93.5</v>
      </c>
      <c r="I7279" s="18" t="n">
        <f aca="false">((I7278 + G7279) - H7279)</f>
        <v>200709.9</v>
      </c>
      <c r="J7279" s="18" t="n">
        <v>0</v>
      </c>
      <c r="K7279" s="19" t="n">
        <v>0</v>
      </c>
      <c r="L7279" s="17"/>
    </row>
    <row r="7280" s="11" customFormat="true" ht="10.95" hidden="false" customHeight="true" outlineLevel="0" collapsed="false">
      <c r="A7280" s="16" t="n">
        <v>45411</v>
      </c>
      <c r="B7280" s="17" t="s">
        <v>3369</v>
      </c>
      <c r="C7280" s="17" t="s">
        <v>3370</v>
      </c>
      <c r="D7280" s="17" t="s">
        <v>19</v>
      </c>
      <c r="E7280" s="17" t="s">
        <v>3447</v>
      </c>
      <c r="F7280" s="17" t="s">
        <v>656</v>
      </c>
      <c r="G7280" s="18" t="n">
        <v>3063.5</v>
      </c>
      <c r="H7280" s="18" t="n">
        <v>0</v>
      </c>
      <c r="I7280" s="18" t="n">
        <f aca="false">((I7279 + G7280) - H7280)</f>
        <v>203773.4</v>
      </c>
      <c r="J7280" s="18" t="n">
        <v>0</v>
      </c>
      <c r="K7280" s="19" t="n">
        <v>0</v>
      </c>
      <c r="L7280" s="17"/>
    </row>
    <row r="7281" s="11" customFormat="true" ht="10.95" hidden="false" customHeight="true" outlineLevel="0" collapsed="false">
      <c r="A7281" s="16" t="n">
        <v>45411</v>
      </c>
      <c r="B7281" s="17" t="s">
        <v>3369</v>
      </c>
      <c r="C7281" s="17" t="s">
        <v>3370</v>
      </c>
      <c r="D7281" s="17" t="s">
        <v>19</v>
      </c>
      <c r="E7281" s="17" t="s">
        <v>3514</v>
      </c>
      <c r="F7281" s="17" t="s">
        <v>658</v>
      </c>
      <c r="G7281" s="18" t="n">
        <v>594</v>
      </c>
      <c r="H7281" s="18" t="n">
        <v>0</v>
      </c>
      <c r="I7281" s="18" t="n">
        <f aca="false">((I7280 + G7281) - H7281)</f>
        <v>204367.4</v>
      </c>
      <c r="J7281" s="18" t="n">
        <v>0</v>
      </c>
      <c r="K7281" s="19" t="n">
        <v>0</v>
      </c>
      <c r="L7281" s="17"/>
    </row>
    <row r="7282" s="11" customFormat="true" ht="10.95" hidden="false" customHeight="true" outlineLevel="0" collapsed="false">
      <c r="A7282" s="16" t="n">
        <v>45411</v>
      </c>
      <c r="B7282" s="17" t="s">
        <v>3369</v>
      </c>
      <c r="C7282" s="17" t="s">
        <v>3370</v>
      </c>
      <c r="D7282" s="17" t="s">
        <v>2895</v>
      </c>
      <c r="E7282" s="17" t="s">
        <v>3403</v>
      </c>
      <c r="F7282" s="17" t="s">
        <v>568</v>
      </c>
      <c r="G7282" s="18" t="n">
        <v>0</v>
      </c>
      <c r="H7282" s="18" t="n">
        <v>114.95</v>
      </c>
      <c r="I7282" s="18" t="n">
        <f aca="false">((I7281 + G7282) - H7282)</f>
        <v>204252.45</v>
      </c>
      <c r="J7282" s="18" t="n">
        <v>0</v>
      </c>
      <c r="K7282" s="19" t="n">
        <v>0</v>
      </c>
      <c r="L7282" s="17"/>
    </row>
    <row r="7283" s="11" customFormat="true" ht="10.95" hidden="false" customHeight="true" outlineLevel="0" collapsed="false">
      <c r="A7283" s="16" t="n">
        <v>45411</v>
      </c>
      <c r="B7283" s="17" t="s">
        <v>3369</v>
      </c>
      <c r="C7283" s="17" t="s">
        <v>3370</v>
      </c>
      <c r="D7283" s="17" t="s">
        <v>2895</v>
      </c>
      <c r="E7283" s="17" t="s">
        <v>3403</v>
      </c>
      <c r="F7283" s="17" t="s">
        <v>572</v>
      </c>
      <c r="G7283" s="18" t="n">
        <v>0</v>
      </c>
      <c r="H7283" s="18" t="n">
        <v>1792.45</v>
      </c>
      <c r="I7283" s="18" t="n">
        <f aca="false">((I7282 + G7283) - H7283)</f>
        <v>202460</v>
      </c>
      <c r="J7283" s="18" t="n">
        <v>0</v>
      </c>
      <c r="K7283" s="19" t="n">
        <v>0</v>
      </c>
      <c r="L7283" s="17"/>
    </row>
    <row r="7284" s="11" customFormat="true" ht="10.95" hidden="false" customHeight="true" outlineLevel="0" collapsed="false">
      <c r="A7284" s="16" t="n">
        <v>45411</v>
      </c>
      <c r="B7284" s="17" t="s">
        <v>3369</v>
      </c>
      <c r="C7284" s="17" t="s">
        <v>3370</v>
      </c>
      <c r="D7284" s="17" t="s">
        <v>2895</v>
      </c>
      <c r="E7284" s="17" t="s">
        <v>3466</v>
      </c>
      <c r="F7284" s="17" t="s">
        <v>611</v>
      </c>
      <c r="G7284" s="18" t="n">
        <v>0</v>
      </c>
      <c r="H7284" s="18" t="n">
        <v>396</v>
      </c>
      <c r="I7284" s="18" t="n">
        <f aca="false">((I7283 + G7284) - H7284)</f>
        <v>202064</v>
      </c>
      <c r="J7284" s="18" t="n">
        <v>0</v>
      </c>
      <c r="K7284" s="19" t="n">
        <v>0</v>
      </c>
      <c r="L7284" s="17"/>
    </row>
    <row r="7285" s="11" customFormat="true" ht="10.95" hidden="false" customHeight="true" outlineLevel="0" collapsed="false">
      <c r="A7285" s="16" t="n">
        <v>45412</v>
      </c>
      <c r="B7285" s="17" t="s">
        <v>3369</v>
      </c>
      <c r="C7285" s="17" t="s">
        <v>3370</v>
      </c>
      <c r="D7285" s="17" t="s">
        <v>19</v>
      </c>
      <c r="E7285" s="17" t="s">
        <v>3533</v>
      </c>
      <c r="F7285" s="17" t="s">
        <v>1030</v>
      </c>
      <c r="G7285" s="18" t="n">
        <v>4275.27</v>
      </c>
      <c r="H7285" s="18" t="n">
        <v>0</v>
      </c>
      <c r="I7285" s="18" t="n">
        <f aca="false">((I7284 + G7285) - H7285)</f>
        <v>206339.27</v>
      </c>
      <c r="J7285" s="18" t="n">
        <v>0</v>
      </c>
      <c r="K7285" s="19" t="n">
        <v>0</v>
      </c>
      <c r="L7285" s="17"/>
    </row>
    <row r="7286" s="11" customFormat="true" ht="10.95" hidden="false" customHeight="true" outlineLevel="0" collapsed="false">
      <c r="A7286" s="16" t="n">
        <v>45412</v>
      </c>
      <c r="B7286" s="17" t="s">
        <v>3369</v>
      </c>
      <c r="C7286" s="17" t="s">
        <v>3370</v>
      </c>
      <c r="D7286" s="17" t="s">
        <v>2895</v>
      </c>
      <c r="E7286" s="17" t="s">
        <v>3382</v>
      </c>
      <c r="F7286" s="17" t="s">
        <v>586</v>
      </c>
      <c r="G7286" s="18" t="n">
        <v>0</v>
      </c>
      <c r="H7286" s="18" t="n">
        <v>18345.42</v>
      </c>
      <c r="I7286" s="18" t="n">
        <f aca="false">((I7285 + G7286) - H7286)</f>
        <v>187993.85</v>
      </c>
      <c r="J7286" s="18" t="n">
        <v>0</v>
      </c>
      <c r="K7286" s="19" t="n">
        <v>0</v>
      </c>
      <c r="L7286" s="17"/>
    </row>
    <row r="7287" s="11" customFormat="true" ht="10.95" hidden="false" customHeight="true" outlineLevel="0" collapsed="false">
      <c r="A7287" s="16" t="n">
        <v>45412</v>
      </c>
      <c r="B7287" s="17" t="s">
        <v>3369</v>
      </c>
      <c r="C7287" s="17" t="s">
        <v>3370</v>
      </c>
      <c r="D7287" s="17" t="s">
        <v>2895</v>
      </c>
      <c r="E7287" s="17" t="s">
        <v>3373</v>
      </c>
      <c r="F7287" s="17" t="s">
        <v>479</v>
      </c>
      <c r="G7287" s="18" t="n">
        <v>0</v>
      </c>
      <c r="H7287" s="18" t="n">
        <v>1765.5</v>
      </c>
      <c r="I7287" s="18" t="n">
        <f aca="false">((I7286 + G7287) - H7287)</f>
        <v>186228.35</v>
      </c>
      <c r="J7287" s="18" t="n">
        <v>0</v>
      </c>
      <c r="K7287" s="19" t="n">
        <v>0</v>
      </c>
      <c r="L7287" s="17"/>
    </row>
    <row r="7288" s="11" customFormat="true" ht="10.95" hidden="false" customHeight="true" outlineLevel="0" collapsed="false">
      <c r="A7288" s="16" t="n">
        <v>45412</v>
      </c>
      <c r="B7288" s="17" t="s">
        <v>3369</v>
      </c>
      <c r="C7288" s="17" t="s">
        <v>3370</v>
      </c>
      <c r="D7288" s="17" t="s">
        <v>2895</v>
      </c>
      <c r="E7288" s="17" t="s">
        <v>3465</v>
      </c>
      <c r="F7288" s="17" t="s">
        <v>610</v>
      </c>
      <c r="G7288" s="18" t="n">
        <v>0</v>
      </c>
      <c r="H7288" s="18" t="n">
        <v>1094.5</v>
      </c>
      <c r="I7288" s="18" t="n">
        <f aca="false">((I7287 + G7288) - H7288)</f>
        <v>185133.85</v>
      </c>
      <c r="J7288" s="18" t="n">
        <v>0</v>
      </c>
      <c r="K7288" s="19" t="n">
        <v>0</v>
      </c>
      <c r="L7288" s="17"/>
    </row>
    <row r="7289" s="11" customFormat="true" ht="10.95" hidden="false" customHeight="true" outlineLevel="0" collapsed="false">
      <c r="A7289" s="16" t="n">
        <v>45412</v>
      </c>
      <c r="B7289" s="17" t="s">
        <v>3369</v>
      </c>
      <c r="C7289" s="17" t="s">
        <v>3370</v>
      </c>
      <c r="D7289" s="17" t="s">
        <v>2895</v>
      </c>
      <c r="E7289" s="17" t="s">
        <v>3397</v>
      </c>
      <c r="F7289" s="17" t="s">
        <v>658</v>
      </c>
      <c r="G7289" s="18" t="n">
        <v>0</v>
      </c>
      <c r="H7289" s="18" t="n">
        <v>594</v>
      </c>
      <c r="I7289" s="18" t="n">
        <f aca="false">((I7288 + G7289) - H7289)</f>
        <v>184539.85</v>
      </c>
      <c r="J7289" s="18" t="n">
        <v>0</v>
      </c>
      <c r="K7289" s="19" t="n">
        <v>0</v>
      </c>
      <c r="L7289" s="17"/>
    </row>
    <row r="7290" s="11" customFormat="true" ht="10.95" hidden="false" customHeight="true" outlineLevel="0" collapsed="false">
      <c r="A7290" s="16" t="n">
        <v>45413</v>
      </c>
      <c r="B7290" s="17" t="s">
        <v>3369</v>
      </c>
      <c r="C7290" s="17" t="s">
        <v>3370</v>
      </c>
      <c r="D7290" s="17" t="s">
        <v>2895</v>
      </c>
      <c r="E7290" s="17" t="s">
        <v>3127</v>
      </c>
      <c r="F7290" s="17" t="s">
        <v>1030</v>
      </c>
      <c r="G7290" s="18" t="n">
        <v>0</v>
      </c>
      <c r="H7290" s="18" t="n">
        <v>4275.27</v>
      </c>
      <c r="I7290" s="18" t="n">
        <f aca="false">((I7289 + G7290) - H7290)</f>
        <v>180264.58</v>
      </c>
      <c r="J7290" s="18" t="n">
        <v>0</v>
      </c>
      <c r="K7290" s="19" t="n">
        <v>0</v>
      </c>
      <c r="L7290" s="17"/>
    </row>
    <row r="7291" s="11" customFormat="true" ht="10.95" hidden="false" customHeight="true" outlineLevel="0" collapsed="false">
      <c r="A7291" s="16" t="n">
        <v>45413</v>
      </c>
      <c r="B7291" s="17" t="s">
        <v>3369</v>
      </c>
      <c r="C7291" s="17" t="s">
        <v>3370</v>
      </c>
      <c r="D7291" s="17" t="s">
        <v>19</v>
      </c>
      <c r="E7291" s="17" t="s">
        <v>3450</v>
      </c>
      <c r="F7291" s="17" t="s">
        <v>1247</v>
      </c>
      <c r="G7291" s="18" t="n">
        <v>171</v>
      </c>
      <c r="H7291" s="18" t="n">
        <v>0</v>
      </c>
      <c r="I7291" s="18" t="n">
        <f aca="false">((I7290 + G7291) - H7291)</f>
        <v>180435.58</v>
      </c>
      <c r="J7291" s="18" t="n">
        <v>0</v>
      </c>
      <c r="K7291" s="19" t="n">
        <v>0</v>
      </c>
      <c r="L7291" s="17"/>
    </row>
    <row r="7292" s="11" customFormat="true" ht="10.95" hidden="false" customHeight="true" outlineLevel="0" collapsed="false">
      <c r="A7292" s="16" t="n">
        <v>45413</v>
      </c>
      <c r="B7292" s="17" t="s">
        <v>3369</v>
      </c>
      <c r="C7292" s="17" t="s">
        <v>3370</v>
      </c>
      <c r="D7292" s="17" t="s">
        <v>2895</v>
      </c>
      <c r="E7292" s="17" t="s">
        <v>2896</v>
      </c>
      <c r="F7292" s="17" t="s">
        <v>906</v>
      </c>
      <c r="G7292" s="18" t="n">
        <v>0</v>
      </c>
      <c r="H7292" s="18" t="n">
        <v>90.24</v>
      </c>
      <c r="I7292" s="18" t="n">
        <f aca="false">((I7291 + G7292) - H7292)</f>
        <v>180345.34</v>
      </c>
      <c r="J7292" s="18" t="n">
        <v>0</v>
      </c>
      <c r="K7292" s="19" t="n">
        <v>0</v>
      </c>
      <c r="L7292" s="17"/>
    </row>
    <row r="7293" s="11" customFormat="true" ht="10.95" hidden="false" customHeight="true" outlineLevel="0" collapsed="false">
      <c r="A7293" s="16" t="n">
        <v>45413</v>
      </c>
      <c r="B7293" s="17" t="s">
        <v>3369</v>
      </c>
      <c r="C7293" s="17" t="s">
        <v>3370</v>
      </c>
      <c r="D7293" s="17" t="s">
        <v>2895</v>
      </c>
      <c r="E7293" s="17" t="s">
        <v>2900</v>
      </c>
      <c r="F7293" s="17" t="s">
        <v>1228</v>
      </c>
      <c r="G7293" s="18" t="n">
        <v>0</v>
      </c>
      <c r="H7293" s="18" t="n">
        <v>793.69</v>
      </c>
      <c r="I7293" s="18" t="n">
        <f aca="false">((I7292 + G7293) - H7293)</f>
        <v>179551.65</v>
      </c>
      <c r="J7293" s="18" t="n">
        <v>0</v>
      </c>
      <c r="K7293" s="19" t="n">
        <v>0</v>
      </c>
      <c r="L7293" s="17"/>
    </row>
    <row r="7294" s="11" customFormat="true" ht="10.95" hidden="false" customHeight="true" outlineLevel="0" collapsed="false">
      <c r="A7294" s="16" t="n">
        <v>45413</v>
      </c>
      <c r="B7294" s="17" t="s">
        <v>3369</v>
      </c>
      <c r="C7294" s="17" t="s">
        <v>3370</v>
      </c>
      <c r="D7294" s="17" t="s">
        <v>2895</v>
      </c>
      <c r="E7294" s="17" t="s">
        <v>2900</v>
      </c>
      <c r="F7294" s="17" t="s">
        <v>1229</v>
      </c>
      <c r="G7294" s="18" t="n">
        <v>0</v>
      </c>
      <c r="H7294" s="18" t="n">
        <v>1830.53</v>
      </c>
      <c r="I7294" s="18" t="n">
        <f aca="false">((I7293 + G7294) - H7294)</f>
        <v>177721.12</v>
      </c>
      <c r="J7294" s="18" t="n">
        <v>0</v>
      </c>
      <c r="K7294" s="19" t="n">
        <v>0</v>
      </c>
      <c r="L7294" s="17"/>
    </row>
    <row r="7295" s="11" customFormat="true" ht="10.95" hidden="false" customHeight="true" outlineLevel="0" collapsed="false">
      <c r="A7295" s="16" t="n">
        <v>45413</v>
      </c>
      <c r="B7295" s="17" t="s">
        <v>3369</v>
      </c>
      <c r="C7295" s="17" t="s">
        <v>3370</v>
      </c>
      <c r="D7295" s="17" t="s">
        <v>2895</v>
      </c>
      <c r="E7295" s="17" t="s">
        <v>2900</v>
      </c>
      <c r="F7295" s="17" t="s">
        <v>1233</v>
      </c>
      <c r="G7295" s="18" t="n">
        <v>0</v>
      </c>
      <c r="H7295" s="18" t="n">
        <v>1012.51</v>
      </c>
      <c r="I7295" s="18" t="n">
        <f aca="false">((I7294 + G7295) - H7295)</f>
        <v>176708.61</v>
      </c>
      <c r="J7295" s="18" t="n">
        <v>0</v>
      </c>
      <c r="K7295" s="19" t="n">
        <v>0</v>
      </c>
      <c r="L7295" s="17"/>
    </row>
    <row r="7296" s="11" customFormat="true" ht="10.95" hidden="false" customHeight="true" outlineLevel="0" collapsed="false">
      <c r="A7296" s="16" t="n">
        <v>45413</v>
      </c>
      <c r="B7296" s="17" t="s">
        <v>3369</v>
      </c>
      <c r="C7296" s="17" t="s">
        <v>3370</v>
      </c>
      <c r="D7296" s="17" t="s">
        <v>2895</v>
      </c>
      <c r="E7296" s="17" t="s">
        <v>2900</v>
      </c>
      <c r="F7296" s="17" t="s">
        <v>1227</v>
      </c>
      <c r="G7296" s="18" t="n">
        <v>0</v>
      </c>
      <c r="H7296" s="18" t="n">
        <v>265.95</v>
      </c>
      <c r="I7296" s="18" t="n">
        <f aca="false">((I7295 + G7296) - H7296)</f>
        <v>176442.66</v>
      </c>
      <c r="J7296" s="18" t="n">
        <v>0</v>
      </c>
      <c r="K7296" s="19" t="n">
        <v>0</v>
      </c>
      <c r="L7296" s="17"/>
    </row>
    <row r="7297" s="11" customFormat="true" ht="10.95" hidden="false" customHeight="true" outlineLevel="0" collapsed="false">
      <c r="A7297" s="16" t="n">
        <v>45413</v>
      </c>
      <c r="B7297" s="17" t="s">
        <v>3369</v>
      </c>
      <c r="C7297" s="17" t="s">
        <v>3370</v>
      </c>
      <c r="D7297" s="17" t="s">
        <v>2895</v>
      </c>
      <c r="E7297" s="17" t="s">
        <v>3534</v>
      </c>
      <c r="F7297" s="17" t="s">
        <v>595</v>
      </c>
      <c r="G7297" s="18" t="n">
        <v>0</v>
      </c>
      <c r="H7297" s="18" t="n">
        <v>459.8</v>
      </c>
      <c r="I7297" s="18" t="n">
        <f aca="false">((I7296 + G7297) - H7297)</f>
        <v>175982.86</v>
      </c>
      <c r="J7297" s="18" t="n">
        <v>0</v>
      </c>
      <c r="K7297" s="19" t="n">
        <v>0</v>
      </c>
      <c r="L7297" s="17"/>
    </row>
    <row r="7298" s="11" customFormat="true" ht="10.95" hidden="false" customHeight="true" outlineLevel="0" collapsed="false">
      <c r="A7298" s="16" t="n">
        <v>45413</v>
      </c>
      <c r="B7298" s="17" t="s">
        <v>3369</v>
      </c>
      <c r="C7298" s="17" t="s">
        <v>3370</v>
      </c>
      <c r="D7298" s="17" t="s">
        <v>2895</v>
      </c>
      <c r="E7298" s="17" t="s">
        <v>3474</v>
      </c>
      <c r="F7298" s="17" t="s">
        <v>609</v>
      </c>
      <c r="G7298" s="18" t="n">
        <v>0</v>
      </c>
      <c r="H7298" s="18" t="n">
        <v>357.5</v>
      </c>
      <c r="I7298" s="18" t="n">
        <f aca="false">((I7297 + G7298) - H7298)</f>
        <v>175625.36</v>
      </c>
      <c r="J7298" s="18" t="n">
        <v>0</v>
      </c>
      <c r="K7298" s="19" t="n">
        <v>0</v>
      </c>
      <c r="L7298" s="17"/>
    </row>
    <row r="7299" s="11" customFormat="true" ht="10.95" hidden="false" customHeight="true" outlineLevel="0" collapsed="false">
      <c r="A7299" s="16" t="n">
        <v>45413</v>
      </c>
      <c r="B7299" s="17" t="s">
        <v>3369</v>
      </c>
      <c r="C7299" s="17" t="s">
        <v>3370</v>
      </c>
      <c r="D7299" s="17" t="s">
        <v>2895</v>
      </c>
      <c r="E7299" s="17" t="s">
        <v>3505</v>
      </c>
      <c r="F7299" s="17" t="s">
        <v>600</v>
      </c>
      <c r="G7299" s="18" t="n">
        <v>0</v>
      </c>
      <c r="H7299" s="18" t="n">
        <v>157.3</v>
      </c>
      <c r="I7299" s="18" t="n">
        <f aca="false">((I7298 + G7299) - H7299)</f>
        <v>175468.06</v>
      </c>
      <c r="J7299" s="18" t="n">
        <v>0</v>
      </c>
      <c r="K7299" s="19" t="n">
        <v>0</v>
      </c>
      <c r="L7299" s="17"/>
    </row>
    <row r="7300" s="11" customFormat="true" ht="10.95" hidden="false" customHeight="true" outlineLevel="0" collapsed="false">
      <c r="A7300" s="16" t="n">
        <v>45413</v>
      </c>
      <c r="B7300" s="17" t="s">
        <v>3369</v>
      </c>
      <c r="C7300" s="17" t="s">
        <v>3370</v>
      </c>
      <c r="D7300" s="17" t="s">
        <v>2895</v>
      </c>
      <c r="E7300" s="17" t="s">
        <v>2898</v>
      </c>
      <c r="F7300" s="17" t="s">
        <v>1236</v>
      </c>
      <c r="G7300" s="18" t="n">
        <v>0</v>
      </c>
      <c r="H7300" s="18" t="n">
        <v>758.09</v>
      </c>
      <c r="I7300" s="18" t="n">
        <f aca="false">((I7299 + G7300) - H7300)</f>
        <v>174709.97</v>
      </c>
      <c r="J7300" s="18" t="n">
        <v>0</v>
      </c>
      <c r="K7300" s="19" t="n">
        <v>0</v>
      </c>
      <c r="L7300" s="17"/>
    </row>
    <row r="7301" s="11" customFormat="true" ht="10.95" hidden="false" customHeight="true" outlineLevel="0" collapsed="false">
      <c r="A7301" s="16" t="n">
        <v>45414</v>
      </c>
      <c r="B7301" s="17" t="s">
        <v>3369</v>
      </c>
      <c r="C7301" s="17" t="s">
        <v>3370</v>
      </c>
      <c r="D7301" s="17" t="s">
        <v>2895</v>
      </c>
      <c r="E7301" s="17" t="s">
        <v>2922</v>
      </c>
      <c r="F7301" s="17" t="s">
        <v>1021</v>
      </c>
      <c r="G7301" s="18" t="n">
        <v>0</v>
      </c>
      <c r="H7301" s="18" t="n">
        <v>9763.51</v>
      </c>
      <c r="I7301" s="18" t="n">
        <f aca="false">((I7300 + G7301) - H7301)</f>
        <v>164946.46</v>
      </c>
      <c r="J7301" s="18" t="n">
        <v>0</v>
      </c>
      <c r="K7301" s="19" t="n">
        <v>0</v>
      </c>
      <c r="L7301" s="17"/>
    </row>
    <row r="7302" s="11" customFormat="true" ht="10.95" hidden="false" customHeight="true" outlineLevel="0" collapsed="false">
      <c r="A7302" s="16" t="n">
        <v>45414</v>
      </c>
      <c r="B7302" s="17" t="s">
        <v>3369</v>
      </c>
      <c r="C7302" s="17" t="s">
        <v>3370</v>
      </c>
      <c r="D7302" s="17" t="s">
        <v>2895</v>
      </c>
      <c r="E7302" s="17" t="s">
        <v>3456</v>
      </c>
      <c r="F7302" s="17" t="s">
        <v>612</v>
      </c>
      <c r="G7302" s="18" t="n">
        <v>0</v>
      </c>
      <c r="H7302" s="18" t="n">
        <v>2244</v>
      </c>
      <c r="I7302" s="18" t="n">
        <f aca="false">((I7301 + G7302) - H7302)</f>
        <v>162702.46</v>
      </c>
      <c r="J7302" s="18" t="n">
        <v>0</v>
      </c>
      <c r="K7302" s="19" t="n">
        <v>0</v>
      </c>
      <c r="L7302" s="17"/>
    </row>
    <row r="7303" s="11" customFormat="true" ht="10.95" hidden="false" customHeight="true" outlineLevel="0" collapsed="false">
      <c r="A7303" s="16" t="n">
        <v>45414</v>
      </c>
      <c r="B7303" s="17" t="s">
        <v>3369</v>
      </c>
      <c r="C7303" s="17" t="s">
        <v>3370</v>
      </c>
      <c r="D7303" s="17" t="s">
        <v>2895</v>
      </c>
      <c r="E7303" s="17" t="s">
        <v>3391</v>
      </c>
      <c r="F7303" s="17" t="s">
        <v>613</v>
      </c>
      <c r="G7303" s="18" t="n">
        <v>0</v>
      </c>
      <c r="H7303" s="18" t="n">
        <v>1100.06</v>
      </c>
      <c r="I7303" s="18" t="n">
        <f aca="false">((I7302 + G7303) - H7303)</f>
        <v>161602.4</v>
      </c>
      <c r="J7303" s="18" t="n">
        <v>0</v>
      </c>
      <c r="K7303" s="19" t="n">
        <v>0</v>
      </c>
      <c r="L7303" s="17"/>
    </row>
    <row r="7304" s="11" customFormat="true" ht="10.95" hidden="false" customHeight="true" outlineLevel="0" collapsed="false">
      <c r="A7304" s="16" t="n">
        <v>45414</v>
      </c>
      <c r="B7304" s="17" t="s">
        <v>3369</v>
      </c>
      <c r="C7304" s="17" t="s">
        <v>3370</v>
      </c>
      <c r="D7304" s="17" t="s">
        <v>2895</v>
      </c>
      <c r="E7304" s="17" t="s">
        <v>3497</v>
      </c>
      <c r="F7304" s="17" t="s">
        <v>620</v>
      </c>
      <c r="G7304" s="18" t="n">
        <v>0</v>
      </c>
      <c r="H7304" s="18" t="n">
        <v>913</v>
      </c>
      <c r="I7304" s="18" t="n">
        <f aca="false">((I7303 + G7304) - H7304)</f>
        <v>160689.4</v>
      </c>
      <c r="J7304" s="18" t="n">
        <v>0</v>
      </c>
      <c r="K7304" s="19" t="n">
        <v>0</v>
      </c>
      <c r="L7304" s="17"/>
    </row>
    <row r="7305" s="11" customFormat="true" ht="10.95" hidden="false" customHeight="true" outlineLevel="0" collapsed="false">
      <c r="A7305" s="16" t="n">
        <v>45414</v>
      </c>
      <c r="B7305" s="17" t="s">
        <v>3369</v>
      </c>
      <c r="C7305" s="17" t="s">
        <v>3370</v>
      </c>
      <c r="D7305" s="17" t="s">
        <v>2895</v>
      </c>
      <c r="E7305" s="17" t="s">
        <v>3525</v>
      </c>
      <c r="F7305" s="17" t="s">
        <v>546</v>
      </c>
      <c r="G7305" s="18" t="n">
        <v>0</v>
      </c>
      <c r="H7305" s="18" t="n">
        <v>712.8</v>
      </c>
      <c r="I7305" s="18" t="n">
        <f aca="false">((I7304 + G7305) - H7305)</f>
        <v>159976.6</v>
      </c>
      <c r="J7305" s="18" t="n">
        <v>0</v>
      </c>
      <c r="K7305" s="19" t="n">
        <v>0</v>
      </c>
      <c r="L7305" s="17"/>
    </row>
    <row r="7306" s="11" customFormat="true" ht="10.95" hidden="false" customHeight="true" outlineLevel="0" collapsed="false">
      <c r="A7306" s="16" t="n">
        <v>45414</v>
      </c>
      <c r="B7306" s="17" t="s">
        <v>3369</v>
      </c>
      <c r="C7306" s="17" t="s">
        <v>3370</v>
      </c>
      <c r="D7306" s="17" t="s">
        <v>2895</v>
      </c>
      <c r="E7306" s="17" t="s">
        <v>3525</v>
      </c>
      <c r="F7306" s="17" t="s">
        <v>599</v>
      </c>
      <c r="G7306" s="18" t="n">
        <v>0</v>
      </c>
      <c r="H7306" s="18" t="n">
        <v>712.8</v>
      </c>
      <c r="I7306" s="18" t="n">
        <f aca="false">((I7305 + G7306) - H7306)</f>
        <v>159263.8</v>
      </c>
      <c r="J7306" s="18" t="n">
        <v>0</v>
      </c>
      <c r="K7306" s="19" t="n">
        <v>0</v>
      </c>
      <c r="L7306" s="17"/>
    </row>
    <row r="7307" s="11" customFormat="true" ht="10.95" hidden="false" customHeight="true" outlineLevel="0" collapsed="false">
      <c r="A7307" s="16" t="n">
        <v>45414</v>
      </c>
      <c r="B7307" s="17" t="s">
        <v>3369</v>
      </c>
      <c r="C7307" s="17" t="s">
        <v>3370</v>
      </c>
      <c r="D7307" s="17" t="s">
        <v>2895</v>
      </c>
      <c r="E7307" s="17" t="s">
        <v>3401</v>
      </c>
      <c r="F7307" s="17" t="s">
        <v>604</v>
      </c>
      <c r="G7307" s="18" t="n">
        <v>0</v>
      </c>
      <c r="H7307" s="18" t="n">
        <v>654.5</v>
      </c>
      <c r="I7307" s="18" t="n">
        <f aca="false">((I7306 + G7307) - H7307)</f>
        <v>158609.3</v>
      </c>
      <c r="J7307" s="18" t="n">
        <v>0</v>
      </c>
      <c r="K7307" s="19" t="n">
        <v>0</v>
      </c>
      <c r="L7307" s="17"/>
    </row>
    <row r="7308" s="11" customFormat="true" ht="10.95" hidden="false" customHeight="true" outlineLevel="0" collapsed="false">
      <c r="A7308" s="16" t="n">
        <v>45414</v>
      </c>
      <c r="B7308" s="17" t="s">
        <v>3369</v>
      </c>
      <c r="C7308" s="17" t="s">
        <v>3370</v>
      </c>
      <c r="D7308" s="17" t="s">
        <v>2895</v>
      </c>
      <c r="E7308" s="17" t="s">
        <v>2925</v>
      </c>
      <c r="F7308" s="17" t="s">
        <v>876</v>
      </c>
      <c r="G7308" s="18" t="n">
        <v>0</v>
      </c>
      <c r="H7308" s="18" t="n">
        <v>486.96</v>
      </c>
      <c r="I7308" s="18" t="n">
        <f aca="false">((I7307 + G7308) - H7308)</f>
        <v>158122.34</v>
      </c>
      <c r="J7308" s="18" t="n">
        <v>0</v>
      </c>
      <c r="K7308" s="19" t="n">
        <v>0</v>
      </c>
      <c r="L7308" s="17"/>
    </row>
    <row r="7309" s="11" customFormat="true" ht="10.95" hidden="false" customHeight="true" outlineLevel="0" collapsed="false">
      <c r="A7309" s="16" t="n">
        <v>45414</v>
      </c>
      <c r="B7309" s="17" t="s">
        <v>3369</v>
      </c>
      <c r="C7309" s="17" t="s">
        <v>3370</v>
      </c>
      <c r="D7309" s="17" t="s">
        <v>2895</v>
      </c>
      <c r="E7309" s="17" t="s">
        <v>2925</v>
      </c>
      <c r="F7309" s="17" t="s">
        <v>884</v>
      </c>
      <c r="G7309" s="18" t="n">
        <v>0</v>
      </c>
      <c r="H7309" s="18" t="n">
        <v>486.52</v>
      </c>
      <c r="I7309" s="18" t="n">
        <f aca="false">((I7308 + G7309) - H7309)</f>
        <v>157635.82</v>
      </c>
      <c r="J7309" s="18" t="n">
        <v>0</v>
      </c>
      <c r="K7309" s="19" t="n">
        <v>0</v>
      </c>
      <c r="L7309" s="17"/>
    </row>
    <row r="7310" s="11" customFormat="true" ht="10.95" hidden="false" customHeight="true" outlineLevel="0" collapsed="false">
      <c r="A7310" s="16" t="n">
        <v>45414</v>
      </c>
      <c r="B7310" s="17" t="s">
        <v>3369</v>
      </c>
      <c r="C7310" s="17" t="s">
        <v>3370</v>
      </c>
      <c r="D7310" s="17" t="s">
        <v>2895</v>
      </c>
      <c r="E7310" s="17" t="s">
        <v>2925</v>
      </c>
      <c r="F7310" s="17" t="s">
        <v>893</v>
      </c>
      <c r="G7310" s="18" t="n">
        <v>0</v>
      </c>
      <c r="H7310" s="18" t="n">
        <v>484.88</v>
      </c>
      <c r="I7310" s="18" t="n">
        <f aca="false">((I7309 + G7310) - H7310)</f>
        <v>157150.94</v>
      </c>
      <c r="J7310" s="18" t="n">
        <v>0</v>
      </c>
      <c r="K7310" s="19" t="n">
        <v>0</v>
      </c>
      <c r="L7310" s="17"/>
    </row>
    <row r="7311" s="11" customFormat="true" ht="10.95" hidden="false" customHeight="true" outlineLevel="0" collapsed="false">
      <c r="A7311" s="16" t="n">
        <v>45415</v>
      </c>
      <c r="B7311" s="17" t="s">
        <v>3369</v>
      </c>
      <c r="C7311" s="17" t="s">
        <v>3370</v>
      </c>
      <c r="D7311" s="17" t="s">
        <v>2895</v>
      </c>
      <c r="E7311" s="17" t="s">
        <v>3399</v>
      </c>
      <c r="F7311" s="17" t="s">
        <v>608</v>
      </c>
      <c r="G7311" s="18" t="n">
        <v>0</v>
      </c>
      <c r="H7311" s="18" t="n">
        <v>9438</v>
      </c>
      <c r="I7311" s="18" t="n">
        <f aca="false">((I7310 + G7311) - H7311)</f>
        <v>147712.94</v>
      </c>
      <c r="J7311" s="18" t="n">
        <v>0</v>
      </c>
      <c r="K7311" s="19" t="n">
        <v>0</v>
      </c>
      <c r="L7311" s="17"/>
    </row>
    <row r="7312" s="11" customFormat="true" ht="10.95" hidden="false" customHeight="true" outlineLevel="0" collapsed="false">
      <c r="A7312" s="16" t="n">
        <v>45415</v>
      </c>
      <c r="B7312" s="17" t="s">
        <v>3369</v>
      </c>
      <c r="C7312" s="17" t="s">
        <v>3370</v>
      </c>
      <c r="D7312" s="17" t="s">
        <v>2895</v>
      </c>
      <c r="E7312" s="17" t="s">
        <v>3504</v>
      </c>
      <c r="F7312" s="17" t="s">
        <v>601</v>
      </c>
      <c r="G7312" s="18" t="n">
        <v>0</v>
      </c>
      <c r="H7312" s="18" t="n">
        <v>1034.55</v>
      </c>
      <c r="I7312" s="18" t="n">
        <f aca="false">((I7311 + G7312) - H7312)</f>
        <v>146678.39</v>
      </c>
      <c r="J7312" s="18" t="n">
        <v>0</v>
      </c>
      <c r="K7312" s="19" t="n">
        <v>0</v>
      </c>
      <c r="L7312" s="17"/>
    </row>
    <row r="7313" s="11" customFormat="true" ht="10.95" hidden="false" customHeight="true" outlineLevel="0" collapsed="false">
      <c r="A7313" s="16" t="n">
        <v>45415</v>
      </c>
      <c r="B7313" s="17" t="s">
        <v>3369</v>
      </c>
      <c r="C7313" s="17" t="s">
        <v>3370</v>
      </c>
      <c r="D7313" s="17" t="s">
        <v>2895</v>
      </c>
      <c r="E7313" s="17" t="s">
        <v>3378</v>
      </c>
      <c r="F7313" s="17" t="s">
        <v>602</v>
      </c>
      <c r="G7313" s="18" t="n">
        <v>0</v>
      </c>
      <c r="H7313" s="18" t="n">
        <v>413.6</v>
      </c>
      <c r="I7313" s="18" t="n">
        <f aca="false">((I7312 + G7313) - H7313)</f>
        <v>146264.79</v>
      </c>
      <c r="J7313" s="18" t="n">
        <v>0</v>
      </c>
      <c r="K7313" s="19" t="n">
        <v>0</v>
      </c>
      <c r="L7313" s="17"/>
    </row>
    <row r="7314" s="11" customFormat="true" ht="10.95" hidden="false" customHeight="true" outlineLevel="0" collapsed="false">
      <c r="A7314" s="16" t="n">
        <v>45415</v>
      </c>
      <c r="B7314" s="17" t="s">
        <v>3369</v>
      </c>
      <c r="C7314" s="17" t="s">
        <v>3370</v>
      </c>
      <c r="D7314" s="17" t="s">
        <v>2895</v>
      </c>
      <c r="E7314" s="17" t="s">
        <v>3088</v>
      </c>
      <c r="F7314" s="17" t="s">
        <v>1023</v>
      </c>
      <c r="G7314" s="18" t="n">
        <v>0</v>
      </c>
      <c r="H7314" s="18" t="n">
        <v>222.03</v>
      </c>
      <c r="I7314" s="18" t="n">
        <f aca="false">((I7313 + G7314) - H7314)</f>
        <v>146042.76</v>
      </c>
      <c r="J7314" s="18" t="n">
        <v>0</v>
      </c>
      <c r="K7314" s="19" t="n">
        <v>0</v>
      </c>
      <c r="L7314" s="17"/>
    </row>
    <row r="7315" s="11" customFormat="true" ht="10.95" hidden="false" customHeight="true" outlineLevel="0" collapsed="false">
      <c r="A7315" s="16" t="n">
        <v>45417</v>
      </c>
      <c r="B7315" s="17" t="s">
        <v>3369</v>
      </c>
      <c r="C7315" s="17" t="s">
        <v>3370</v>
      </c>
      <c r="D7315" s="17" t="s">
        <v>2895</v>
      </c>
      <c r="E7315" s="17" t="s">
        <v>3535</v>
      </c>
      <c r="F7315" s="17" t="s">
        <v>641</v>
      </c>
      <c r="G7315" s="18" t="n">
        <v>0</v>
      </c>
      <c r="H7315" s="18" t="n">
        <v>16632</v>
      </c>
      <c r="I7315" s="18" t="n">
        <f aca="false">((I7314 + G7315) - H7315)</f>
        <v>129410.76</v>
      </c>
      <c r="J7315" s="18" t="n">
        <v>0</v>
      </c>
      <c r="K7315" s="19" t="n">
        <v>0</v>
      </c>
      <c r="L7315" s="17"/>
    </row>
    <row r="7316" s="11" customFormat="true" ht="10.95" hidden="false" customHeight="true" outlineLevel="0" collapsed="false">
      <c r="A7316" s="16" t="n">
        <v>45418</v>
      </c>
      <c r="B7316" s="17" t="s">
        <v>3369</v>
      </c>
      <c r="C7316" s="17" t="s">
        <v>3370</v>
      </c>
      <c r="D7316" s="17" t="s">
        <v>2895</v>
      </c>
      <c r="E7316" s="17" t="s">
        <v>3403</v>
      </c>
      <c r="F7316" s="17" t="s">
        <v>627</v>
      </c>
      <c r="G7316" s="18" t="n">
        <v>0</v>
      </c>
      <c r="H7316" s="18" t="n">
        <v>206.8</v>
      </c>
      <c r="I7316" s="18" t="n">
        <f aca="false">((I7315 + G7316) - H7316)</f>
        <v>129203.96</v>
      </c>
      <c r="J7316" s="18" t="n">
        <v>0</v>
      </c>
      <c r="K7316" s="19" t="n">
        <v>0</v>
      </c>
      <c r="L7316" s="17"/>
    </row>
    <row r="7317" s="11" customFormat="true" ht="10.95" hidden="false" customHeight="true" outlineLevel="0" collapsed="false">
      <c r="A7317" s="16" t="n">
        <v>45418</v>
      </c>
      <c r="B7317" s="17" t="s">
        <v>3369</v>
      </c>
      <c r="C7317" s="17" t="s">
        <v>3370</v>
      </c>
      <c r="D7317" s="17" t="s">
        <v>2895</v>
      </c>
      <c r="E7317" s="17" t="s">
        <v>3403</v>
      </c>
      <c r="F7317" s="17" t="s">
        <v>625</v>
      </c>
      <c r="G7317" s="18" t="n">
        <v>0</v>
      </c>
      <c r="H7317" s="18" t="n">
        <v>827.2</v>
      </c>
      <c r="I7317" s="18" t="n">
        <f aca="false">((I7316 + G7317) - H7317)</f>
        <v>128376.76</v>
      </c>
      <c r="J7317" s="18" t="n">
        <v>0</v>
      </c>
      <c r="K7317" s="19" t="n">
        <v>0</v>
      </c>
      <c r="L7317" s="17"/>
    </row>
    <row r="7318" s="11" customFormat="true" ht="10.95" hidden="false" customHeight="true" outlineLevel="0" collapsed="false">
      <c r="A7318" s="16" t="n">
        <v>45418</v>
      </c>
      <c r="B7318" s="17" t="s">
        <v>3369</v>
      </c>
      <c r="C7318" s="17" t="s">
        <v>3370</v>
      </c>
      <c r="D7318" s="17" t="s">
        <v>2895</v>
      </c>
      <c r="E7318" s="17" t="s">
        <v>3403</v>
      </c>
      <c r="F7318" s="17" t="s">
        <v>524</v>
      </c>
      <c r="G7318" s="18" t="n">
        <v>0</v>
      </c>
      <c r="H7318" s="18" t="n">
        <v>723.8</v>
      </c>
      <c r="I7318" s="18" t="n">
        <f aca="false">((I7317 + G7318) - H7318)</f>
        <v>127652.96</v>
      </c>
      <c r="J7318" s="18" t="n">
        <v>0</v>
      </c>
      <c r="K7318" s="19" t="n">
        <v>0</v>
      </c>
      <c r="L7318" s="17"/>
    </row>
    <row r="7319" s="11" customFormat="true" ht="10.95" hidden="false" customHeight="true" outlineLevel="0" collapsed="false">
      <c r="A7319" s="16" t="n">
        <v>45418</v>
      </c>
      <c r="B7319" s="17" t="s">
        <v>3369</v>
      </c>
      <c r="C7319" s="17" t="s">
        <v>3370</v>
      </c>
      <c r="D7319" s="17" t="s">
        <v>2895</v>
      </c>
      <c r="E7319" s="17" t="s">
        <v>3403</v>
      </c>
      <c r="F7319" s="17" t="s">
        <v>637</v>
      </c>
      <c r="G7319" s="18" t="n">
        <v>0</v>
      </c>
      <c r="H7319" s="18" t="n">
        <v>1137.4</v>
      </c>
      <c r="I7319" s="18" t="n">
        <f aca="false">((I7318 + G7319) - H7319)</f>
        <v>126515.56</v>
      </c>
      <c r="J7319" s="18" t="n">
        <v>0</v>
      </c>
      <c r="K7319" s="19" t="n">
        <v>0</v>
      </c>
      <c r="L7319" s="17"/>
    </row>
    <row r="7320" s="11" customFormat="true" ht="10.95" hidden="false" customHeight="true" outlineLevel="0" collapsed="false">
      <c r="A7320" s="16" t="n">
        <v>45418</v>
      </c>
      <c r="B7320" s="17" t="s">
        <v>3369</v>
      </c>
      <c r="C7320" s="17" t="s">
        <v>3370</v>
      </c>
      <c r="D7320" s="17" t="s">
        <v>2895</v>
      </c>
      <c r="E7320" s="17" t="s">
        <v>3403</v>
      </c>
      <c r="F7320" s="17" t="s">
        <v>633</v>
      </c>
      <c r="G7320" s="18" t="n">
        <v>0</v>
      </c>
      <c r="H7320" s="18" t="n">
        <v>1361.8</v>
      </c>
      <c r="I7320" s="18" t="n">
        <f aca="false">((I7319 + G7320) - H7320)</f>
        <v>125153.76</v>
      </c>
      <c r="J7320" s="18" t="n">
        <v>0</v>
      </c>
      <c r="K7320" s="19" t="n">
        <v>0</v>
      </c>
      <c r="L7320" s="17"/>
    </row>
    <row r="7321" s="11" customFormat="true" ht="10.95" hidden="false" customHeight="true" outlineLevel="0" collapsed="false">
      <c r="A7321" s="16" t="n">
        <v>45418</v>
      </c>
      <c r="B7321" s="17" t="s">
        <v>3369</v>
      </c>
      <c r="C7321" s="17" t="s">
        <v>3370</v>
      </c>
      <c r="D7321" s="17" t="s">
        <v>2895</v>
      </c>
      <c r="E7321" s="17" t="s">
        <v>3403</v>
      </c>
      <c r="F7321" s="17" t="s">
        <v>630</v>
      </c>
      <c r="G7321" s="18" t="n">
        <v>0</v>
      </c>
      <c r="H7321" s="18" t="n">
        <v>316.8</v>
      </c>
      <c r="I7321" s="18" t="n">
        <f aca="false">((I7320 + G7321) - H7321)</f>
        <v>124836.96</v>
      </c>
      <c r="J7321" s="18" t="n">
        <v>0</v>
      </c>
      <c r="K7321" s="19" t="n">
        <v>0</v>
      </c>
      <c r="L7321" s="17"/>
    </row>
    <row r="7322" s="11" customFormat="true" ht="10.95" hidden="false" customHeight="true" outlineLevel="0" collapsed="false">
      <c r="A7322" s="16" t="n">
        <v>45418</v>
      </c>
      <c r="B7322" s="17" t="s">
        <v>3369</v>
      </c>
      <c r="C7322" s="17" t="s">
        <v>3370</v>
      </c>
      <c r="D7322" s="17" t="s">
        <v>2895</v>
      </c>
      <c r="E7322" s="17" t="s">
        <v>3403</v>
      </c>
      <c r="F7322" s="17" t="s">
        <v>638</v>
      </c>
      <c r="G7322" s="18" t="n">
        <v>0</v>
      </c>
      <c r="H7322" s="18" t="n">
        <v>103.4</v>
      </c>
      <c r="I7322" s="18" t="n">
        <f aca="false">((I7321 + G7322) - H7322)</f>
        <v>124733.56</v>
      </c>
      <c r="J7322" s="18" t="n">
        <v>0</v>
      </c>
      <c r="K7322" s="19" t="n">
        <v>0</v>
      </c>
      <c r="L7322" s="17"/>
    </row>
    <row r="7323" s="11" customFormat="true" ht="10.95" hidden="false" customHeight="true" outlineLevel="0" collapsed="false">
      <c r="A7323" s="16" t="n">
        <v>45418</v>
      </c>
      <c r="B7323" s="17" t="s">
        <v>3369</v>
      </c>
      <c r="C7323" s="17" t="s">
        <v>3370</v>
      </c>
      <c r="D7323" s="17" t="s">
        <v>2895</v>
      </c>
      <c r="E7323" s="17" t="s">
        <v>3403</v>
      </c>
      <c r="F7323" s="17" t="s">
        <v>636</v>
      </c>
      <c r="G7323" s="18" t="n">
        <v>0</v>
      </c>
      <c r="H7323" s="18" t="n">
        <v>620.4</v>
      </c>
      <c r="I7323" s="18" t="n">
        <f aca="false">((I7322 + G7323) - H7323)</f>
        <v>124113.16</v>
      </c>
      <c r="J7323" s="18" t="n">
        <v>0</v>
      </c>
      <c r="K7323" s="19" t="n">
        <v>0</v>
      </c>
      <c r="L7323" s="17"/>
    </row>
    <row r="7324" s="11" customFormat="true" ht="10.95" hidden="false" customHeight="true" outlineLevel="0" collapsed="false">
      <c r="A7324" s="16" t="n">
        <v>45418</v>
      </c>
      <c r="B7324" s="17" t="s">
        <v>3369</v>
      </c>
      <c r="C7324" s="17" t="s">
        <v>3370</v>
      </c>
      <c r="D7324" s="17" t="s">
        <v>2895</v>
      </c>
      <c r="E7324" s="17" t="s">
        <v>3403</v>
      </c>
      <c r="F7324" s="17" t="s">
        <v>635</v>
      </c>
      <c r="G7324" s="18" t="n">
        <v>0</v>
      </c>
      <c r="H7324" s="18" t="n">
        <v>310.2</v>
      </c>
      <c r="I7324" s="18" t="n">
        <f aca="false">((I7323 + G7324) - H7324)</f>
        <v>123802.96</v>
      </c>
      <c r="J7324" s="18" t="n">
        <v>0</v>
      </c>
      <c r="K7324" s="19" t="n">
        <v>0</v>
      </c>
      <c r="L7324" s="17"/>
    </row>
    <row r="7325" s="11" customFormat="true" ht="10.95" hidden="false" customHeight="true" outlineLevel="0" collapsed="false">
      <c r="A7325" s="16" t="n">
        <v>45418</v>
      </c>
      <c r="B7325" s="17" t="s">
        <v>3369</v>
      </c>
      <c r="C7325" s="17" t="s">
        <v>3370</v>
      </c>
      <c r="D7325" s="17" t="s">
        <v>2895</v>
      </c>
      <c r="E7325" s="17" t="s">
        <v>3403</v>
      </c>
      <c r="F7325" s="17" t="s">
        <v>634</v>
      </c>
      <c r="G7325" s="18" t="n">
        <v>0</v>
      </c>
      <c r="H7325" s="18" t="n">
        <v>310.2</v>
      </c>
      <c r="I7325" s="18" t="n">
        <f aca="false">((I7324 + G7325) - H7325)</f>
        <v>123492.76</v>
      </c>
      <c r="J7325" s="18" t="n">
        <v>0</v>
      </c>
      <c r="K7325" s="19" t="n">
        <v>0</v>
      </c>
      <c r="L7325" s="17"/>
    </row>
    <row r="7326" s="11" customFormat="true" ht="10.95" hidden="false" customHeight="true" outlineLevel="0" collapsed="false">
      <c r="A7326" s="16" t="n">
        <v>45418</v>
      </c>
      <c r="B7326" s="17" t="s">
        <v>3369</v>
      </c>
      <c r="C7326" s="17" t="s">
        <v>3370</v>
      </c>
      <c r="D7326" s="17" t="s">
        <v>2895</v>
      </c>
      <c r="E7326" s="17" t="s">
        <v>3403</v>
      </c>
      <c r="F7326" s="17" t="s">
        <v>632</v>
      </c>
      <c r="G7326" s="18" t="n">
        <v>0</v>
      </c>
      <c r="H7326" s="18" t="n">
        <v>1967.9</v>
      </c>
      <c r="I7326" s="18" t="n">
        <f aca="false">((I7325 + G7326) - H7326)</f>
        <v>121524.86</v>
      </c>
      <c r="J7326" s="18" t="n">
        <v>0</v>
      </c>
      <c r="K7326" s="19" t="n">
        <v>0</v>
      </c>
      <c r="L7326" s="17"/>
    </row>
    <row r="7327" s="11" customFormat="true" ht="10.95" hidden="false" customHeight="true" outlineLevel="0" collapsed="false">
      <c r="A7327" s="16" t="n">
        <v>45418</v>
      </c>
      <c r="B7327" s="17" t="s">
        <v>3369</v>
      </c>
      <c r="C7327" s="17" t="s">
        <v>3370</v>
      </c>
      <c r="D7327" s="17" t="s">
        <v>2895</v>
      </c>
      <c r="E7327" s="17" t="s">
        <v>3403</v>
      </c>
      <c r="F7327" s="17" t="s">
        <v>624</v>
      </c>
      <c r="G7327" s="18" t="n">
        <v>0</v>
      </c>
      <c r="H7327" s="18" t="n">
        <v>618.75</v>
      </c>
      <c r="I7327" s="18" t="n">
        <f aca="false">((I7326 + G7327) - H7327)</f>
        <v>120906.11</v>
      </c>
      <c r="J7327" s="18" t="n">
        <v>0</v>
      </c>
      <c r="K7327" s="19" t="n">
        <v>0</v>
      </c>
      <c r="L7327" s="17"/>
    </row>
    <row r="7328" s="11" customFormat="true" ht="10.95" hidden="false" customHeight="true" outlineLevel="0" collapsed="false">
      <c r="A7328" s="16" t="n">
        <v>45418</v>
      </c>
      <c r="B7328" s="17" t="s">
        <v>3369</v>
      </c>
      <c r="C7328" s="17" t="s">
        <v>3370</v>
      </c>
      <c r="D7328" s="17" t="s">
        <v>2895</v>
      </c>
      <c r="E7328" s="17" t="s">
        <v>3403</v>
      </c>
      <c r="F7328" s="17" t="s">
        <v>622</v>
      </c>
      <c r="G7328" s="18" t="n">
        <v>0</v>
      </c>
      <c r="H7328" s="18" t="n">
        <v>229.9</v>
      </c>
      <c r="I7328" s="18" t="n">
        <f aca="false">((I7327 + G7328) - H7328)</f>
        <v>120676.21</v>
      </c>
      <c r="J7328" s="18" t="n">
        <v>0</v>
      </c>
      <c r="K7328" s="19" t="n">
        <v>0</v>
      </c>
      <c r="L7328" s="17"/>
    </row>
    <row r="7329" s="11" customFormat="true" ht="10.95" hidden="false" customHeight="true" outlineLevel="0" collapsed="false">
      <c r="A7329" s="16" t="n">
        <v>45418</v>
      </c>
      <c r="B7329" s="17" t="s">
        <v>3369</v>
      </c>
      <c r="C7329" s="17" t="s">
        <v>3370</v>
      </c>
      <c r="D7329" s="17" t="s">
        <v>2895</v>
      </c>
      <c r="E7329" s="17" t="s">
        <v>3403</v>
      </c>
      <c r="F7329" s="17" t="s">
        <v>656</v>
      </c>
      <c r="G7329" s="18" t="n">
        <v>0</v>
      </c>
      <c r="H7329" s="18" t="n">
        <v>3063.5</v>
      </c>
      <c r="I7329" s="18" t="n">
        <f aca="false">((I7328 + G7329) - H7329)</f>
        <v>117612.71</v>
      </c>
      <c r="J7329" s="18" t="n">
        <v>0</v>
      </c>
      <c r="K7329" s="19" t="n">
        <v>0</v>
      </c>
      <c r="L7329" s="17"/>
    </row>
    <row r="7330" s="11" customFormat="true" ht="10.95" hidden="false" customHeight="true" outlineLevel="0" collapsed="false">
      <c r="A7330" s="16" t="n">
        <v>45418</v>
      </c>
      <c r="B7330" s="17" t="s">
        <v>3369</v>
      </c>
      <c r="C7330" s="17" t="s">
        <v>3370</v>
      </c>
      <c r="D7330" s="17" t="s">
        <v>2895</v>
      </c>
      <c r="E7330" s="17" t="s">
        <v>3403</v>
      </c>
      <c r="F7330" s="17" t="s">
        <v>631</v>
      </c>
      <c r="G7330" s="18" t="n">
        <v>0</v>
      </c>
      <c r="H7330" s="18" t="n">
        <v>627</v>
      </c>
      <c r="I7330" s="18" t="n">
        <f aca="false">((I7329 + G7330) - H7330)</f>
        <v>116985.71</v>
      </c>
      <c r="J7330" s="18" t="n">
        <v>0</v>
      </c>
      <c r="K7330" s="19" t="n">
        <v>0</v>
      </c>
      <c r="L7330" s="17"/>
    </row>
    <row r="7331" s="11" customFormat="true" ht="10.95" hidden="false" customHeight="true" outlineLevel="0" collapsed="false">
      <c r="A7331" s="16" t="n">
        <v>45418</v>
      </c>
      <c r="B7331" s="17" t="s">
        <v>3369</v>
      </c>
      <c r="C7331" s="17" t="s">
        <v>3370</v>
      </c>
      <c r="D7331" s="17" t="s">
        <v>2895</v>
      </c>
      <c r="E7331" s="17" t="s">
        <v>3403</v>
      </c>
      <c r="F7331" s="17" t="s">
        <v>629</v>
      </c>
      <c r="G7331" s="18" t="n">
        <v>0</v>
      </c>
      <c r="H7331" s="18" t="n">
        <v>517</v>
      </c>
      <c r="I7331" s="18" t="n">
        <f aca="false">((I7330 + G7331) - H7331)</f>
        <v>116468.71</v>
      </c>
      <c r="J7331" s="18" t="n">
        <v>0</v>
      </c>
      <c r="K7331" s="19" t="n">
        <v>0</v>
      </c>
      <c r="L7331" s="17"/>
    </row>
    <row r="7332" s="11" customFormat="true" ht="10.95" hidden="false" customHeight="true" outlineLevel="0" collapsed="false">
      <c r="A7332" s="16" t="n">
        <v>45418</v>
      </c>
      <c r="B7332" s="17" t="s">
        <v>3369</v>
      </c>
      <c r="C7332" s="17" t="s">
        <v>3370</v>
      </c>
      <c r="D7332" s="17" t="s">
        <v>2895</v>
      </c>
      <c r="E7332" s="17" t="s">
        <v>3403</v>
      </c>
      <c r="F7332" s="17" t="s">
        <v>628</v>
      </c>
      <c r="G7332" s="18" t="n">
        <v>0</v>
      </c>
      <c r="H7332" s="18" t="n">
        <v>1792.45</v>
      </c>
      <c r="I7332" s="18" t="n">
        <f aca="false">((I7331 + G7332) - H7332)</f>
        <v>114676.26</v>
      </c>
      <c r="J7332" s="18" t="n">
        <v>0</v>
      </c>
      <c r="K7332" s="19" t="n">
        <v>0</v>
      </c>
      <c r="L7332" s="17"/>
    </row>
    <row r="7333" s="11" customFormat="true" ht="10.95" hidden="false" customHeight="true" outlineLevel="0" collapsed="false">
      <c r="A7333" s="16" t="n">
        <v>45418</v>
      </c>
      <c r="B7333" s="17" t="s">
        <v>3369</v>
      </c>
      <c r="C7333" s="17" t="s">
        <v>3370</v>
      </c>
      <c r="D7333" s="17" t="s">
        <v>2895</v>
      </c>
      <c r="E7333" s="17" t="s">
        <v>3403</v>
      </c>
      <c r="F7333" s="17" t="s">
        <v>626</v>
      </c>
      <c r="G7333" s="18" t="n">
        <v>0</v>
      </c>
      <c r="H7333" s="18" t="n">
        <v>741.4</v>
      </c>
      <c r="I7333" s="18" t="n">
        <f aca="false">((I7332 + G7333) - H7333)</f>
        <v>113934.86</v>
      </c>
      <c r="J7333" s="18" t="n">
        <v>0</v>
      </c>
      <c r="K7333" s="19" t="n">
        <v>0</v>
      </c>
      <c r="L7333" s="17"/>
    </row>
    <row r="7334" s="11" customFormat="true" ht="10.95" hidden="false" customHeight="true" outlineLevel="0" collapsed="false">
      <c r="A7334" s="16" t="n">
        <v>45418</v>
      </c>
      <c r="B7334" s="17" t="s">
        <v>3369</v>
      </c>
      <c r="C7334" s="17" t="s">
        <v>3370</v>
      </c>
      <c r="D7334" s="17" t="s">
        <v>2895</v>
      </c>
      <c r="E7334" s="17" t="s">
        <v>3403</v>
      </c>
      <c r="F7334" s="17" t="s">
        <v>623</v>
      </c>
      <c r="G7334" s="18" t="n">
        <v>0</v>
      </c>
      <c r="H7334" s="18" t="n">
        <v>114.95</v>
      </c>
      <c r="I7334" s="18" t="n">
        <f aca="false">((I7333 + G7334) - H7334)</f>
        <v>113819.91</v>
      </c>
      <c r="J7334" s="18" t="n">
        <v>0</v>
      </c>
      <c r="K7334" s="19" t="n">
        <v>0</v>
      </c>
      <c r="L7334" s="17"/>
    </row>
    <row r="7335" s="11" customFormat="true" ht="10.95" hidden="false" customHeight="true" outlineLevel="0" collapsed="false">
      <c r="A7335" s="16" t="n">
        <v>45418</v>
      </c>
      <c r="B7335" s="17" t="s">
        <v>3369</v>
      </c>
      <c r="C7335" s="17" t="s">
        <v>3370</v>
      </c>
      <c r="D7335" s="17" t="s">
        <v>2895</v>
      </c>
      <c r="E7335" s="17" t="s">
        <v>2922</v>
      </c>
      <c r="F7335" s="17" t="s">
        <v>1026</v>
      </c>
      <c r="G7335" s="18" t="n">
        <v>0</v>
      </c>
      <c r="H7335" s="18" t="n">
        <v>9889.07</v>
      </c>
      <c r="I7335" s="18" t="n">
        <f aca="false">((I7334 + G7335) - H7335)</f>
        <v>103930.84</v>
      </c>
      <c r="J7335" s="18" t="n">
        <v>0</v>
      </c>
      <c r="K7335" s="19" t="n">
        <v>0</v>
      </c>
      <c r="L7335" s="17"/>
    </row>
    <row r="7336" s="11" customFormat="true" ht="10.95" hidden="false" customHeight="true" outlineLevel="0" collapsed="false">
      <c r="A7336" s="16" t="n">
        <v>45418</v>
      </c>
      <c r="B7336" s="17" t="s">
        <v>3369</v>
      </c>
      <c r="C7336" s="17" t="s">
        <v>3370</v>
      </c>
      <c r="D7336" s="17" t="s">
        <v>2895</v>
      </c>
      <c r="E7336" s="17" t="s">
        <v>2947</v>
      </c>
      <c r="F7336" s="17" t="s">
        <v>1025</v>
      </c>
      <c r="G7336" s="18" t="n">
        <v>0</v>
      </c>
      <c r="H7336" s="18" t="n">
        <v>1817.36</v>
      </c>
      <c r="I7336" s="18" t="n">
        <f aca="false">((I7335 + G7336) - H7336)</f>
        <v>102113.48</v>
      </c>
      <c r="J7336" s="18" t="n">
        <v>0</v>
      </c>
      <c r="K7336" s="19" t="n">
        <v>0</v>
      </c>
      <c r="L7336" s="17"/>
    </row>
    <row r="7337" s="11" customFormat="true" ht="10.95" hidden="false" customHeight="true" outlineLevel="0" collapsed="false">
      <c r="A7337" s="16" t="n">
        <v>45418</v>
      </c>
      <c r="B7337" s="17" t="s">
        <v>3369</v>
      </c>
      <c r="C7337" s="17" t="s">
        <v>3370</v>
      </c>
      <c r="D7337" s="17" t="s">
        <v>2895</v>
      </c>
      <c r="E7337" s="17" t="s">
        <v>3472</v>
      </c>
      <c r="F7337" s="17" t="s">
        <v>585</v>
      </c>
      <c r="G7337" s="18" t="n">
        <v>0</v>
      </c>
      <c r="H7337" s="18" t="n">
        <v>1278.2</v>
      </c>
      <c r="I7337" s="18" t="n">
        <f aca="false">((I7336 + G7337) - H7337)</f>
        <v>100835.28</v>
      </c>
      <c r="J7337" s="18" t="n">
        <v>0</v>
      </c>
      <c r="K7337" s="19" t="n">
        <v>0</v>
      </c>
      <c r="L7337" s="17"/>
    </row>
    <row r="7338" s="11" customFormat="true" ht="10.95" hidden="false" customHeight="true" outlineLevel="0" collapsed="false">
      <c r="A7338" s="16" t="n">
        <v>45419</v>
      </c>
      <c r="B7338" s="17" t="s">
        <v>3369</v>
      </c>
      <c r="C7338" s="17" t="s">
        <v>3370</v>
      </c>
      <c r="D7338" s="17" t="s">
        <v>2895</v>
      </c>
      <c r="E7338" s="17" t="s">
        <v>3467</v>
      </c>
      <c r="F7338" s="17" t="s">
        <v>605</v>
      </c>
      <c r="G7338" s="18" t="n">
        <v>0</v>
      </c>
      <c r="H7338" s="18" t="n">
        <v>1385.45</v>
      </c>
      <c r="I7338" s="18" t="n">
        <f aca="false">((I7337 + G7338) - H7338)</f>
        <v>99449.8300000002</v>
      </c>
      <c r="J7338" s="18" t="n">
        <v>0</v>
      </c>
      <c r="K7338" s="19" t="n">
        <v>0</v>
      </c>
      <c r="L7338" s="17"/>
    </row>
    <row r="7339" s="11" customFormat="true" ht="10.95" hidden="false" customHeight="true" outlineLevel="0" collapsed="false">
      <c r="A7339" s="16" t="n">
        <v>45419</v>
      </c>
      <c r="B7339" s="17" t="s">
        <v>3369</v>
      </c>
      <c r="C7339" s="17" t="s">
        <v>3370</v>
      </c>
      <c r="D7339" s="17" t="s">
        <v>2895</v>
      </c>
      <c r="E7339" s="17" t="s">
        <v>3482</v>
      </c>
      <c r="F7339" s="17" t="s">
        <v>621</v>
      </c>
      <c r="G7339" s="18" t="n">
        <v>0</v>
      </c>
      <c r="H7339" s="18" t="n">
        <v>1861.2</v>
      </c>
      <c r="I7339" s="18" t="n">
        <f aca="false">((I7338 + G7339) - H7339)</f>
        <v>97588.6300000002</v>
      </c>
      <c r="J7339" s="18" t="n">
        <v>0</v>
      </c>
      <c r="K7339" s="19" t="n">
        <v>0</v>
      </c>
      <c r="L7339" s="17"/>
    </row>
    <row r="7340" s="11" customFormat="true" ht="10.95" hidden="false" customHeight="true" outlineLevel="0" collapsed="false">
      <c r="A7340" s="16" t="n">
        <v>45420</v>
      </c>
      <c r="B7340" s="17" t="s">
        <v>3369</v>
      </c>
      <c r="C7340" s="17" t="s">
        <v>3370</v>
      </c>
      <c r="D7340" s="17" t="s">
        <v>2895</v>
      </c>
      <c r="E7340" s="17" t="s">
        <v>3389</v>
      </c>
      <c r="F7340" s="17" t="s">
        <v>618</v>
      </c>
      <c r="G7340" s="18" t="n">
        <v>0</v>
      </c>
      <c r="H7340" s="18" t="n">
        <v>4994</v>
      </c>
      <c r="I7340" s="18" t="n">
        <f aca="false">((I7339 + G7340) - H7340)</f>
        <v>92594.6300000002</v>
      </c>
      <c r="J7340" s="18" t="n">
        <v>0</v>
      </c>
      <c r="K7340" s="19" t="n">
        <v>0</v>
      </c>
      <c r="L7340" s="17"/>
    </row>
    <row r="7341" s="11" customFormat="true" ht="10.95" hidden="false" customHeight="true" outlineLevel="0" collapsed="false">
      <c r="A7341" s="16" t="n">
        <v>45422</v>
      </c>
      <c r="B7341" s="17" t="s">
        <v>3369</v>
      </c>
      <c r="C7341" s="17" t="s">
        <v>3370</v>
      </c>
      <c r="D7341" s="17" t="s">
        <v>2895</v>
      </c>
      <c r="E7341" s="17" t="s">
        <v>3373</v>
      </c>
      <c r="F7341" s="17" t="s">
        <v>603</v>
      </c>
      <c r="G7341" s="18" t="n">
        <v>0</v>
      </c>
      <c r="H7341" s="18" t="n">
        <v>1512.5</v>
      </c>
      <c r="I7341" s="18" t="n">
        <f aca="false">((I7340 + G7341) - H7341)</f>
        <v>91082.1300000002</v>
      </c>
      <c r="J7341" s="18" t="n">
        <v>0</v>
      </c>
      <c r="K7341" s="19" t="n">
        <v>0</v>
      </c>
      <c r="L7341" s="17"/>
    </row>
    <row r="7342" s="11" customFormat="true" ht="10.95" hidden="false" customHeight="true" outlineLevel="0" collapsed="false">
      <c r="A7342" s="16" t="n">
        <v>45426</v>
      </c>
      <c r="B7342" s="17" t="s">
        <v>3369</v>
      </c>
      <c r="C7342" s="17" t="s">
        <v>3370</v>
      </c>
      <c r="D7342" s="17" t="s">
        <v>2895</v>
      </c>
      <c r="E7342" s="17" t="s">
        <v>3415</v>
      </c>
      <c r="F7342" s="17" t="s">
        <v>614</v>
      </c>
      <c r="G7342" s="18" t="n">
        <v>0</v>
      </c>
      <c r="H7342" s="18" t="n">
        <v>1052.7</v>
      </c>
      <c r="I7342" s="18" t="n">
        <f aca="false">((I7341 + G7342) - H7342)</f>
        <v>90029.4300000002</v>
      </c>
      <c r="J7342" s="18" t="n">
        <v>0</v>
      </c>
      <c r="K7342" s="19" t="n">
        <v>0</v>
      </c>
      <c r="L7342" s="17"/>
    </row>
    <row r="7343" s="11" customFormat="true" ht="10.95" hidden="false" customHeight="true" outlineLevel="0" collapsed="false">
      <c r="A7343" s="16" t="n">
        <v>45427</v>
      </c>
      <c r="B7343" s="17" t="s">
        <v>3369</v>
      </c>
      <c r="C7343" s="17" t="s">
        <v>3370</v>
      </c>
      <c r="D7343" s="17" t="s">
        <v>2895</v>
      </c>
      <c r="E7343" s="17" t="s">
        <v>2900</v>
      </c>
      <c r="F7343" s="17" t="s">
        <v>1243</v>
      </c>
      <c r="G7343" s="18" t="n">
        <v>0</v>
      </c>
      <c r="H7343" s="18" t="n">
        <v>1098.43</v>
      </c>
      <c r="I7343" s="18" t="n">
        <f aca="false">((I7342 + G7343) - H7343)</f>
        <v>88931.0000000002</v>
      </c>
      <c r="J7343" s="18" t="n">
        <v>0</v>
      </c>
      <c r="K7343" s="19" t="n">
        <v>0</v>
      </c>
      <c r="L7343" s="17"/>
    </row>
    <row r="7344" s="11" customFormat="true" ht="10.95" hidden="false" customHeight="true" outlineLevel="0" collapsed="false">
      <c r="A7344" s="16" t="n">
        <v>45427</v>
      </c>
      <c r="B7344" s="17" t="s">
        <v>3369</v>
      </c>
      <c r="C7344" s="17" t="s">
        <v>3370</v>
      </c>
      <c r="D7344" s="17" t="s">
        <v>2895</v>
      </c>
      <c r="E7344" s="17" t="s">
        <v>2900</v>
      </c>
      <c r="F7344" s="17" t="s">
        <v>1240</v>
      </c>
      <c r="G7344" s="18" t="n">
        <v>0</v>
      </c>
      <c r="H7344" s="18" t="n">
        <v>262.86</v>
      </c>
      <c r="I7344" s="18" t="n">
        <f aca="false">((I7343 + G7344) - H7344)</f>
        <v>88668.1400000002</v>
      </c>
      <c r="J7344" s="18" t="n">
        <v>0</v>
      </c>
      <c r="K7344" s="19" t="n">
        <v>0</v>
      </c>
      <c r="L7344" s="17"/>
    </row>
    <row r="7345" s="11" customFormat="true" ht="10.95" hidden="false" customHeight="true" outlineLevel="0" collapsed="false">
      <c r="A7345" s="16" t="n">
        <v>45427</v>
      </c>
      <c r="B7345" s="17" t="s">
        <v>3369</v>
      </c>
      <c r="C7345" s="17" t="s">
        <v>3370</v>
      </c>
      <c r="D7345" s="17" t="s">
        <v>2895</v>
      </c>
      <c r="E7345" s="17" t="s">
        <v>2900</v>
      </c>
      <c r="F7345" s="17" t="s">
        <v>1232</v>
      </c>
      <c r="G7345" s="18" t="n">
        <v>0</v>
      </c>
      <c r="H7345" s="18" t="n">
        <v>132.73</v>
      </c>
      <c r="I7345" s="18" t="n">
        <f aca="false">((I7344 + G7345) - H7345)</f>
        <v>88535.4100000002</v>
      </c>
      <c r="J7345" s="18" t="n">
        <v>0</v>
      </c>
      <c r="K7345" s="19" t="n">
        <v>0</v>
      </c>
      <c r="L7345" s="17"/>
    </row>
    <row r="7346" s="11" customFormat="true" ht="10.95" hidden="false" customHeight="true" outlineLevel="0" collapsed="false">
      <c r="A7346" s="16" t="n">
        <v>45427</v>
      </c>
      <c r="B7346" s="17" t="s">
        <v>3369</v>
      </c>
      <c r="C7346" s="17" t="s">
        <v>3370</v>
      </c>
      <c r="D7346" s="17" t="s">
        <v>2895</v>
      </c>
      <c r="E7346" s="17" t="s">
        <v>2900</v>
      </c>
      <c r="F7346" s="17" t="s">
        <v>1234</v>
      </c>
      <c r="G7346" s="18" t="n">
        <v>0</v>
      </c>
      <c r="H7346" s="18" t="n">
        <v>1725.7</v>
      </c>
      <c r="I7346" s="18" t="n">
        <f aca="false">((I7345 + G7346) - H7346)</f>
        <v>86809.7100000002</v>
      </c>
      <c r="J7346" s="18" t="n">
        <v>0</v>
      </c>
      <c r="K7346" s="19" t="n">
        <v>0</v>
      </c>
      <c r="L7346" s="17"/>
    </row>
    <row r="7347" s="11" customFormat="true" ht="10.95" hidden="false" customHeight="true" outlineLevel="0" collapsed="false">
      <c r="A7347" s="16" t="n">
        <v>45427</v>
      </c>
      <c r="B7347" s="17" t="s">
        <v>3369</v>
      </c>
      <c r="C7347" s="17" t="s">
        <v>3370</v>
      </c>
      <c r="D7347" s="17" t="s">
        <v>2895</v>
      </c>
      <c r="E7347" s="17" t="s">
        <v>2900</v>
      </c>
      <c r="F7347" s="17" t="s">
        <v>1242</v>
      </c>
      <c r="G7347" s="18" t="n">
        <v>0</v>
      </c>
      <c r="H7347" s="18" t="n">
        <v>2152.15</v>
      </c>
      <c r="I7347" s="18" t="n">
        <f aca="false">((I7346 + G7347) - H7347)</f>
        <v>84657.5600000002</v>
      </c>
      <c r="J7347" s="18" t="n">
        <v>0</v>
      </c>
      <c r="K7347" s="19" t="n">
        <v>0</v>
      </c>
      <c r="L7347" s="17"/>
    </row>
    <row r="7348" s="11" customFormat="true" ht="10.95" hidden="false" customHeight="true" outlineLevel="0" collapsed="false">
      <c r="A7348" s="16" t="n">
        <v>45428</v>
      </c>
      <c r="B7348" s="17" t="s">
        <v>3369</v>
      </c>
      <c r="C7348" s="17" t="s">
        <v>3370</v>
      </c>
      <c r="D7348" s="17" t="s">
        <v>2895</v>
      </c>
      <c r="E7348" s="17" t="s">
        <v>3457</v>
      </c>
      <c r="F7348" s="17" t="s">
        <v>616</v>
      </c>
      <c r="G7348" s="18" t="n">
        <v>0</v>
      </c>
      <c r="H7348" s="18" t="n">
        <v>10087</v>
      </c>
      <c r="I7348" s="18" t="n">
        <f aca="false">((I7347 + G7348) - H7348)</f>
        <v>74570.5600000002</v>
      </c>
      <c r="J7348" s="18" t="n">
        <v>0</v>
      </c>
      <c r="K7348" s="19" t="n">
        <v>0</v>
      </c>
      <c r="L7348" s="17"/>
    </row>
    <row r="7349" s="11" customFormat="true" ht="10.95" hidden="false" customHeight="true" outlineLevel="0" collapsed="false">
      <c r="A7349" s="16" t="n">
        <v>45428</v>
      </c>
      <c r="B7349" s="17" t="s">
        <v>3369</v>
      </c>
      <c r="C7349" s="17" t="s">
        <v>3370</v>
      </c>
      <c r="D7349" s="17" t="s">
        <v>2895</v>
      </c>
      <c r="E7349" s="17" t="s">
        <v>3457</v>
      </c>
      <c r="F7349" s="17" t="s">
        <v>615</v>
      </c>
      <c r="G7349" s="18" t="n">
        <v>0</v>
      </c>
      <c r="H7349" s="18" t="n">
        <v>9999</v>
      </c>
      <c r="I7349" s="18" t="n">
        <f aca="false">((I7348 + G7349) - H7349)</f>
        <v>64571.5600000002</v>
      </c>
      <c r="J7349" s="18" t="n">
        <v>0</v>
      </c>
      <c r="K7349" s="19" t="n">
        <v>0</v>
      </c>
      <c r="L7349" s="17"/>
    </row>
    <row r="7350" s="11" customFormat="true" ht="10.95" hidden="false" customHeight="true" outlineLevel="0" collapsed="false">
      <c r="A7350" s="16" t="n">
        <v>45428</v>
      </c>
      <c r="B7350" s="17" t="s">
        <v>3369</v>
      </c>
      <c r="C7350" s="17" t="s">
        <v>3370</v>
      </c>
      <c r="D7350" s="17" t="s">
        <v>2895</v>
      </c>
      <c r="E7350" s="17" t="s">
        <v>3410</v>
      </c>
      <c r="F7350" s="17" t="s">
        <v>619</v>
      </c>
      <c r="G7350" s="18" t="n">
        <v>0</v>
      </c>
      <c r="H7350" s="18" t="n">
        <v>968</v>
      </c>
      <c r="I7350" s="18" t="n">
        <f aca="false">((I7349 + G7350) - H7350)</f>
        <v>63603.5600000002</v>
      </c>
      <c r="J7350" s="18" t="n">
        <v>0</v>
      </c>
      <c r="K7350" s="19" t="n">
        <v>0</v>
      </c>
      <c r="L7350" s="17"/>
    </row>
    <row r="7351" s="11" customFormat="true" ht="10.95" hidden="false" customHeight="true" outlineLevel="0" collapsed="false">
      <c r="A7351" s="16" t="n">
        <v>45429</v>
      </c>
      <c r="B7351" s="17" t="s">
        <v>3369</v>
      </c>
      <c r="C7351" s="17" t="s">
        <v>3370</v>
      </c>
      <c r="D7351" s="17" t="s">
        <v>2895</v>
      </c>
      <c r="E7351" s="17" t="s">
        <v>2906</v>
      </c>
      <c r="F7351" s="17" t="s">
        <v>1237</v>
      </c>
      <c r="G7351" s="18" t="n">
        <v>0</v>
      </c>
      <c r="H7351" s="18" t="n">
        <v>3068.89</v>
      </c>
      <c r="I7351" s="18" t="n">
        <f aca="false">((I7350 + G7351) - H7351)</f>
        <v>60534.6700000002</v>
      </c>
      <c r="J7351" s="18" t="n">
        <v>0</v>
      </c>
      <c r="K7351" s="19" t="n">
        <v>0</v>
      </c>
      <c r="L7351" s="17"/>
    </row>
    <row r="7352" s="11" customFormat="true" ht="10.95" hidden="false" customHeight="true" outlineLevel="0" collapsed="false">
      <c r="A7352" s="16" t="n">
        <v>45429</v>
      </c>
      <c r="B7352" s="17" t="s">
        <v>3369</v>
      </c>
      <c r="C7352" s="17" t="s">
        <v>3370</v>
      </c>
      <c r="D7352" s="17" t="s">
        <v>2895</v>
      </c>
      <c r="E7352" s="17" t="s">
        <v>2925</v>
      </c>
      <c r="F7352" s="17" t="s">
        <v>910</v>
      </c>
      <c r="G7352" s="18" t="n">
        <v>0</v>
      </c>
      <c r="H7352" s="18" t="n">
        <v>322.62</v>
      </c>
      <c r="I7352" s="18" t="n">
        <f aca="false">((I7351 + G7352) - H7352)</f>
        <v>60212.0500000002</v>
      </c>
      <c r="J7352" s="18" t="n">
        <v>0</v>
      </c>
      <c r="K7352" s="19" t="n">
        <v>0</v>
      </c>
      <c r="L7352" s="17"/>
    </row>
    <row r="7353" s="11" customFormat="true" ht="10.95" hidden="false" customHeight="true" outlineLevel="0" collapsed="false">
      <c r="A7353" s="16" t="n">
        <v>45429</v>
      </c>
      <c r="B7353" s="17" t="s">
        <v>3369</v>
      </c>
      <c r="C7353" s="17" t="s">
        <v>3370</v>
      </c>
      <c r="D7353" s="17" t="s">
        <v>2895</v>
      </c>
      <c r="E7353" s="17" t="s">
        <v>2925</v>
      </c>
      <c r="F7353" s="17" t="s">
        <v>908</v>
      </c>
      <c r="G7353" s="18" t="n">
        <v>0</v>
      </c>
      <c r="H7353" s="18" t="n">
        <v>117.88</v>
      </c>
      <c r="I7353" s="18" t="n">
        <f aca="false">((I7352 + G7353) - H7353)</f>
        <v>60094.1700000002</v>
      </c>
      <c r="J7353" s="18" t="n">
        <v>0</v>
      </c>
      <c r="K7353" s="19" t="n">
        <v>0</v>
      </c>
      <c r="L7353" s="17"/>
    </row>
    <row r="7354" s="11" customFormat="true" ht="10.95" hidden="false" customHeight="true" outlineLevel="0" collapsed="false">
      <c r="A7354" s="16" t="n">
        <v>45434</v>
      </c>
      <c r="B7354" s="17" t="s">
        <v>3369</v>
      </c>
      <c r="C7354" s="17" t="s">
        <v>3370</v>
      </c>
      <c r="D7354" s="17" t="s">
        <v>19</v>
      </c>
      <c r="E7354" s="17" t="s">
        <v>3519</v>
      </c>
      <c r="F7354" s="17" t="s">
        <v>1034</v>
      </c>
      <c r="G7354" s="18" t="n">
        <v>2697.39</v>
      </c>
      <c r="H7354" s="18" t="n">
        <v>0</v>
      </c>
      <c r="I7354" s="18" t="n">
        <f aca="false">((I7353 + G7354) - H7354)</f>
        <v>62791.5600000002</v>
      </c>
      <c r="J7354" s="18" t="n">
        <v>0</v>
      </c>
      <c r="K7354" s="19" t="n">
        <v>0</v>
      </c>
      <c r="L7354" s="17"/>
    </row>
    <row r="7355" s="11" customFormat="true" ht="10.95" hidden="false" customHeight="true" outlineLevel="0" collapsed="false">
      <c r="A7355" s="16" t="n">
        <v>45434</v>
      </c>
      <c r="B7355" s="17" t="s">
        <v>3369</v>
      </c>
      <c r="C7355" s="17" t="s">
        <v>3370</v>
      </c>
      <c r="D7355" s="17" t="s">
        <v>19</v>
      </c>
      <c r="E7355" s="17" t="s">
        <v>3381</v>
      </c>
      <c r="F7355" s="17" t="s">
        <v>941</v>
      </c>
      <c r="G7355" s="18" t="n">
        <v>5858.67</v>
      </c>
      <c r="H7355" s="18" t="n">
        <v>0</v>
      </c>
      <c r="I7355" s="18" t="n">
        <f aca="false">((I7354 + G7355) - H7355)</f>
        <v>68650.2300000002</v>
      </c>
      <c r="J7355" s="18" t="n">
        <v>0</v>
      </c>
      <c r="K7355" s="19" t="n">
        <v>0</v>
      </c>
      <c r="L7355" s="17"/>
    </row>
    <row r="7356" s="11" customFormat="true" ht="10.95" hidden="false" customHeight="true" outlineLevel="0" collapsed="false">
      <c r="A7356" s="16" t="n">
        <v>45435</v>
      </c>
      <c r="B7356" s="17" t="s">
        <v>3369</v>
      </c>
      <c r="C7356" s="17" t="s">
        <v>3370</v>
      </c>
      <c r="D7356" s="17" t="s">
        <v>19</v>
      </c>
      <c r="E7356" s="17" t="s">
        <v>3536</v>
      </c>
      <c r="F7356" s="17" t="s">
        <v>660</v>
      </c>
      <c r="G7356" s="18" t="n">
        <v>3454</v>
      </c>
      <c r="H7356" s="18" t="n">
        <v>0</v>
      </c>
      <c r="I7356" s="18" t="n">
        <f aca="false">((I7355 + G7356) - H7356)</f>
        <v>72104.2300000002</v>
      </c>
      <c r="J7356" s="18" t="n">
        <v>0</v>
      </c>
      <c r="K7356" s="19" t="n">
        <v>0</v>
      </c>
      <c r="L7356" s="17"/>
    </row>
    <row r="7357" s="11" customFormat="true" ht="10.95" hidden="false" customHeight="true" outlineLevel="0" collapsed="false">
      <c r="A7357" s="16" t="n">
        <v>45435</v>
      </c>
      <c r="B7357" s="17" t="s">
        <v>3369</v>
      </c>
      <c r="C7357" s="17" t="s">
        <v>3370</v>
      </c>
      <c r="D7357" s="17" t="s">
        <v>19</v>
      </c>
      <c r="E7357" s="17" t="s">
        <v>3533</v>
      </c>
      <c r="F7357" s="17" t="s">
        <v>1036</v>
      </c>
      <c r="G7357" s="18" t="n">
        <v>1771.99</v>
      </c>
      <c r="H7357" s="18" t="n">
        <v>0</v>
      </c>
      <c r="I7357" s="18" t="n">
        <f aca="false">((I7356 + G7357) - H7357)</f>
        <v>73876.2200000002</v>
      </c>
      <c r="J7357" s="18" t="n">
        <v>0</v>
      </c>
      <c r="K7357" s="19" t="n">
        <v>0</v>
      </c>
      <c r="L7357" s="17"/>
    </row>
    <row r="7358" s="11" customFormat="true" ht="10.95" hidden="false" customHeight="true" outlineLevel="0" collapsed="false">
      <c r="A7358" s="16" t="n">
        <v>45435</v>
      </c>
      <c r="B7358" s="17" t="s">
        <v>3369</v>
      </c>
      <c r="C7358" s="17" t="s">
        <v>3370</v>
      </c>
      <c r="D7358" s="17" t="s">
        <v>19</v>
      </c>
      <c r="E7358" s="17" t="s">
        <v>3530</v>
      </c>
      <c r="F7358" s="17" t="s">
        <v>666</v>
      </c>
      <c r="G7358" s="18" t="n">
        <v>114.95</v>
      </c>
      <c r="H7358" s="18" t="n">
        <v>0</v>
      </c>
      <c r="I7358" s="18" t="n">
        <f aca="false">((I7357 + G7358) - H7358)</f>
        <v>73991.1700000002</v>
      </c>
      <c r="J7358" s="18" t="n">
        <v>0</v>
      </c>
      <c r="K7358" s="19" t="n">
        <v>0</v>
      </c>
      <c r="L7358" s="17"/>
    </row>
    <row r="7359" s="11" customFormat="true" ht="10.95" hidden="false" customHeight="true" outlineLevel="0" collapsed="false">
      <c r="A7359" s="16" t="n">
        <v>45435</v>
      </c>
      <c r="B7359" s="17" t="s">
        <v>3369</v>
      </c>
      <c r="C7359" s="17" t="s">
        <v>3370</v>
      </c>
      <c r="D7359" s="17" t="s">
        <v>19</v>
      </c>
      <c r="E7359" s="17" t="s">
        <v>3521</v>
      </c>
      <c r="F7359" s="17" t="s">
        <v>667</v>
      </c>
      <c r="G7359" s="18" t="n">
        <v>712.8</v>
      </c>
      <c r="H7359" s="18" t="n">
        <v>0</v>
      </c>
      <c r="I7359" s="18" t="n">
        <f aca="false">((I7358 + G7359) - H7359)</f>
        <v>74703.9700000002</v>
      </c>
      <c r="J7359" s="18" t="n">
        <v>0</v>
      </c>
      <c r="K7359" s="19" t="n">
        <v>0</v>
      </c>
      <c r="L7359" s="17"/>
    </row>
    <row r="7360" s="11" customFormat="true" ht="10.95" hidden="false" customHeight="true" outlineLevel="0" collapsed="false">
      <c r="A7360" s="16" t="n">
        <v>45435</v>
      </c>
      <c r="B7360" s="17" t="s">
        <v>3369</v>
      </c>
      <c r="C7360" s="17" t="s">
        <v>3370</v>
      </c>
      <c r="D7360" s="17" t="s">
        <v>19</v>
      </c>
      <c r="E7360" s="17" t="s">
        <v>3520</v>
      </c>
      <c r="F7360" s="17" t="s">
        <v>1038</v>
      </c>
      <c r="G7360" s="18" t="n">
        <v>220.51</v>
      </c>
      <c r="H7360" s="18" t="n">
        <v>0</v>
      </c>
      <c r="I7360" s="18" t="n">
        <f aca="false">((I7359 + G7360) - H7360)</f>
        <v>74924.4800000002</v>
      </c>
      <c r="J7360" s="18" t="n">
        <v>0</v>
      </c>
      <c r="K7360" s="19" t="n">
        <v>0</v>
      </c>
      <c r="L7360" s="17"/>
    </row>
    <row r="7361" s="11" customFormat="true" ht="10.95" hidden="false" customHeight="true" outlineLevel="0" collapsed="false">
      <c r="A7361" s="16" t="n">
        <v>45435</v>
      </c>
      <c r="B7361" s="17" t="s">
        <v>3369</v>
      </c>
      <c r="C7361" s="17" t="s">
        <v>3370</v>
      </c>
      <c r="D7361" s="17" t="s">
        <v>19</v>
      </c>
      <c r="E7361" s="17" t="s">
        <v>3381</v>
      </c>
      <c r="F7361" s="17" t="s">
        <v>1039</v>
      </c>
      <c r="G7361" s="18" t="n">
        <v>898.37</v>
      </c>
      <c r="H7361" s="18" t="n">
        <v>0</v>
      </c>
      <c r="I7361" s="18" t="n">
        <f aca="false">((I7360 + G7361) - H7361)</f>
        <v>75822.8500000002</v>
      </c>
      <c r="J7361" s="18" t="n">
        <v>0</v>
      </c>
      <c r="K7361" s="19" t="n">
        <v>0</v>
      </c>
      <c r="L7361" s="17"/>
    </row>
    <row r="7362" s="11" customFormat="true" ht="10.95" hidden="false" customHeight="true" outlineLevel="0" collapsed="false">
      <c r="A7362" s="16" t="n">
        <v>45435</v>
      </c>
      <c r="B7362" s="17" t="s">
        <v>3369</v>
      </c>
      <c r="C7362" s="17" t="s">
        <v>3370</v>
      </c>
      <c r="D7362" s="17" t="s">
        <v>19</v>
      </c>
      <c r="E7362" s="17" t="s">
        <v>3414</v>
      </c>
      <c r="F7362" s="17" t="s">
        <v>1041</v>
      </c>
      <c r="G7362" s="18" t="n">
        <v>17393.59</v>
      </c>
      <c r="H7362" s="18" t="n">
        <v>0</v>
      </c>
      <c r="I7362" s="18" t="n">
        <f aca="false">((I7361 + G7362) - H7362)</f>
        <v>93216.4400000002</v>
      </c>
      <c r="J7362" s="18" t="n">
        <v>0</v>
      </c>
      <c r="K7362" s="19" t="n">
        <v>0</v>
      </c>
      <c r="L7362" s="17"/>
    </row>
    <row r="7363" s="11" customFormat="true" ht="10.95" hidden="false" customHeight="true" outlineLevel="0" collapsed="false">
      <c r="A7363" s="16" t="n">
        <v>45435</v>
      </c>
      <c r="B7363" s="17" t="s">
        <v>3369</v>
      </c>
      <c r="C7363" s="17" t="s">
        <v>3370</v>
      </c>
      <c r="D7363" s="17" t="s">
        <v>19</v>
      </c>
      <c r="E7363" s="17" t="s">
        <v>3501</v>
      </c>
      <c r="F7363" s="17" t="s">
        <v>668</v>
      </c>
      <c r="G7363" s="18" t="n">
        <v>157.3</v>
      </c>
      <c r="H7363" s="18" t="n">
        <v>0</v>
      </c>
      <c r="I7363" s="18" t="n">
        <f aca="false">((I7362 + G7363) - H7363)</f>
        <v>93373.7400000002</v>
      </c>
      <c r="J7363" s="18" t="n">
        <v>0</v>
      </c>
      <c r="K7363" s="19" t="n">
        <v>0</v>
      </c>
      <c r="L7363" s="17"/>
    </row>
    <row r="7364" s="11" customFormat="true" ht="10.95" hidden="false" customHeight="true" outlineLevel="0" collapsed="false">
      <c r="A7364" s="16" t="n">
        <v>45435</v>
      </c>
      <c r="B7364" s="17" t="s">
        <v>3369</v>
      </c>
      <c r="C7364" s="17" t="s">
        <v>3370</v>
      </c>
      <c r="D7364" s="17" t="s">
        <v>19</v>
      </c>
      <c r="E7364" s="17" t="s">
        <v>3489</v>
      </c>
      <c r="F7364" s="17" t="s">
        <v>1043</v>
      </c>
      <c r="G7364" s="18" t="n">
        <v>5733.9</v>
      </c>
      <c r="H7364" s="18" t="n">
        <v>0</v>
      </c>
      <c r="I7364" s="18" t="n">
        <f aca="false">((I7363 + G7364) - H7364)</f>
        <v>99107.6400000002</v>
      </c>
      <c r="J7364" s="18" t="n">
        <v>0</v>
      </c>
      <c r="K7364" s="19" t="n">
        <v>0</v>
      </c>
      <c r="L7364" s="17"/>
    </row>
    <row r="7365" s="11" customFormat="true" ht="10.95" hidden="false" customHeight="true" outlineLevel="0" collapsed="false">
      <c r="A7365" s="16" t="n">
        <v>45435</v>
      </c>
      <c r="B7365" s="17" t="s">
        <v>3369</v>
      </c>
      <c r="C7365" s="17" t="s">
        <v>3370</v>
      </c>
      <c r="D7365" s="17" t="s">
        <v>19</v>
      </c>
      <c r="E7365" s="17" t="s">
        <v>3490</v>
      </c>
      <c r="F7365" s="17" t="s">
        <v>669</v>
      </c>
      <c r="G7365" s="18" t="n">
        <v>1034.55</v>
      </c>
      <c r="H7365" s="18" t="n">
        <v>0</v>
      </c>
      <c r="I7365" s="18" t="n">
        <f aca="false">((I7364 + G7365) - H7365)</f>
        <v>100142.19</v>
      </c>
      <c r="J7365" s="18" t="n">
        <v>0</v>
      </c>
      <c r="K7365" s="19" t="n">
        <v>0</v>
      </c>
      <c r="L7365" s="17"/>
    </row>
    <row r="7366" s="11" customFormat="true" ht="10.95" hidden="false" customHeight="true" outlineLevel="0" collapsed="false">
      <c r="A7366" s="16" t="n">
        <v>45435</v>
      </c>
      <c r="B7366" s="17" t="s">
        <v>3369</v>
      </c>
      <c r="C7366" s="17" t="s">
        <v>3370</v>
      </c>
      <c r="D7366" s="17" t="s">
        <v>19</v>
      </c>
      <c r="E7366" s="17" t="s">
        <v>3537</v>
      </c>
      <c r="F7366" s="17" t="s">
        <v>671</v>
      </c>
      <c r="G7366" s="18" t="n">
        <v>6795.36</v>
      </c>
      <c r="H7366" s="18" t="n">
        <v>0</v>
      </c>
      <c r="I7366" s="18" t="n">
        <f aca="false">((I7365 + G7366) - H7366)</f>
        <v>106937.55</v>
      </c>
      <c r="J7366" s="18" t="n">
        <v>0</v>
      </c>
      <c r="K7366" s="19" t="n">
        <v>0</v>
      </c>
      <c r="L7366" s="17"/>
    </row>
    <row r="7367" s="11" customFormat="true" ht="10.95" hidden="false" customHeight="true" outlineLevel="0" collapsed="false">
      <c r="A7367" s="16" t="n">
        <v>45435</v>
      </c>
      <c r="B7367" s="17" t="s">
        <v>3369</v>
      </c>
      <c r="C7367" s="17" t="s">
        <v>3370</v>
      </c>
      <c r="D7367" s="17" t="s">
        <v>19</v>
      </c>
      <c r="E7367" s="17" t="s">
        <v>3422</v>
      </c>
      <c r="F7367" s="17" t="s">
        <v>1047</v>
      </c>
      <c r="G7367" s="18" t="n">
        <v>9587.61</v>
      </c>
      <c r="H7367" s="18" t="n">
        <v>0</v>
      </c>
      <c r="I7367" s="18" t="n">
        <f aca="false">((I7366 + G7367) - H7367)</f>
        <v>116525.16</v>
      </c>
      <c r="J7367" s="18" t="n">
        <v>0</v>
      </c>
      <c r="K7367" s="19" t="n">
        <v>0</v>
      </c>
      <c r="L7367" s="17"/>
    </row>
    <row r="7368" s="11" customFormat="true" ht="10.95" hidden="false" customHeight="true" outlineLevel="0" collapsed="false">
      <c r="A7368" s="16" t="n">
        <v>45435</v>
      </c>
      <c r="B7368" s="17" t="s">
        <v>3369</v>
      </c>
      <c r="C7368" s="17" t="s">
        <v>3370</v>
      </c>
      <c r="D7368" s="17" t="s">
        <v>19</v>
      </c>
      <c r="E7368" s="17" t="s">
        <v>3423</v>
      </c>
      <c r="F7368" s="17" t="s">
        <v>914</v>
      </c>
      <c r="G7368" s="18" t="n">
        <v>89.44</v>
      </c>
      <c r="H7368" s="18" t="n">
        <v>0</v>
      </c>
      <c r="I7368" s="18" t="n">
        <f aca="false">((I7367 + G7368) - H7368)</f>
        <v>116614.6</v>
      </c>
      <c r="J7368" s="18" t="n">
        <v>0</v>
      </c>
      <c r="K7368" s="19" t="n">
        <v>0</v>
      </c>
      <c r="L7368" s="17"/>
    </row>
    <row r="7369" s="11" customFormat="true" ht="10.95" hidden="false" customHeight="true" outlineLevel="0" collapsed="false">
      <c r="A7369" s="16" t="n">
        <v>45435</v>
      </c>
      <c r="B7369" s="17" t="s">
        <v>3369</v>
      </c>
      <c r="C7369" s="17" t="s">
        <v>3370</v>
      </c>
      <c r="D7369" s="17" t="s">
        <v>19</v>
      </c>
      <c r="E7369" s="17" t="s">
        <v>3424</v>
      </c>
      <c r="F7369" s="17" t="s">
        <v>672</v>
      </c>
      <c r="G7369" s="18" t="n">
        <v>413.6</v>
      </c>
      <c r="H7369" s="18" t="n">
        <v>0</v>
      </c>
      <c r="I7369" s="18" t="n">
        <f aca="false">((I7368 + G7369) - H7369)</f>
        <v>117028.2</v>
      </c>
      <c r="J7369" s="18" t="n">
        <v>0</v>
      </c>
      <c r="K7369" s="19" t="n">
        <v>0</v>
      </c>
      <c r="L7369" s="17"/>
    </row>
    <row r="7370" s="11" customFormat="true" ht="10.95" hidden="false" customHeight="true" outlineLevel="0" collapsed="false">
      <c r="A7370" s="16" t="n">
        <v>45435</v>
      </c>
      <c r="B7370" s="17" t="s">
        <v>3369</v>
      </c>
      <c r="C7370" s="17" t="s">
        <v>3370</v>
      </c>
      <c r="D7370" s="17" t="s">
        <v>19</v>
      </c>
      <c r="E7370" s="17" t="s">
        <v>3506</v>
      </c>
      <c r="F7370" s="17" t="s">
        <v>1048</v>
      </c>
      <c r="G7370" s="18" t="n">
        <v>981.97</v>
      </c>
      <c r="H7370" s="18" t="n">
        <v>0</v>
      </c>
      <c r="I7370" s="18" t="n">
        <f aca="false">((I7369 + G7370) - H7370)</f>
        <v>118010.17</v>
      </c>
      <c r="J7370" s="18" t="n">
        <v>0</v>
      </c>
      <c r="K7370" s="19" t="n">
        <v>0</v>
      </c>
      <c r="L7370" s="17"/>
    </row>
    <row r="7371" s="11" customFormat="true" ht="10.95" hidden="false" customHeight="true" outlineLevel="0" collapsed="false">
      <c r="A7371" s="16" t="n">
        <v>45435</v>
      </c>
      <c r="B7371" s="17" t="s">
        <v>3369</v>
      </c>
      <c r="C7371" s="17" t="s">
        <v>3370</v>
      </c>
      <c r="D7371" s="17" t="s">
        <v>19</v>
      </c>
      <c r="E7371" s="17" t="s">
        <v>3506</v>
      </c>
      <c r="F7371" s="17" t="s">
        <v>1049</v>
      </c>
      <c r="G7371" s="18" t="n">
        <v>318.82</v>
      </c>
      <c r="H7371" s="18" t="n">
        <v>0</v>
      </c>
      <c r="I7371" s="18" t="n">
        <f aca="false">((I7370 + G7371) - H7371)</f>
        <v>118328.99</v>
      </c>
      <c r="J7371" s="18" t="n">
        <v>0</v>
      </c>
      <c r="K7371" s="19" t="n">
        <v>0</v>
      </c>
      <c r="L7371" s="17"/>
    </row>
    <row r="7372" s="11" customFormat="true" ht="10.95" hidden="false" customHeight="true" outlineLevel="0" collapsed="false">
      <c r="A7372" s="16" t="n">
        <v>45435</v>
      </c>
      <c r="B7372" s="17" t="s">
        <v>3369</v>
      </c>
      <c r="C7372" s="17" t="s">
        <v>3370</v>
      </c>
      <c r="D7372" s="17" t="s">
        <v>19</v>
      </c>
      <c r="E7372" s="17" t="s">
        <v>3506</v>
      </c>
      <c r="F7372" s="17" t="s">
        <v>1050</v>
      </c>
      <c r="G7372" s="18" t="n">
        <v>1460.21</v>
      </c>
      <c r="H7372" s="18" t="n">
        <v>0</v>
      </c>
      <c r="I7372" s="18" t="n">
        <f aca="false">((I7371 + G7372) - H7372)</f>
        <v>119789.2</v>
      </c>
      <c r="J7372" s="18" t="n">
        <v>0</v>
      </c>
      <c r="K7372" s="19" t="n">
        <v>0</v>
      </c>
      <c r="L7372" s="17"/>
    </row>
    <row r="7373" s="11" customFormat="true" ht="10.95" hidden="false" customHeight="true" outlineLevel="0" collapsed="false">
      <c r="A7373" s="16" t="n">
        <v>45435</v>
      </c>
      <c r="B7373" s="17" t="s">
        <v>3369</v>
      </c>
      <c r="C7373" s="17" t="s">
        <v>3370</v>
      </c>
      <c r="D7373" s="17" t="s">
        <v>19</v>
      </c>
      <c r="E7373" s="17" t="s">
        <v>3506</v>
      </c>
      <c r="F7373" s="17" t="s">
        <v>1051</v>
      </c>
      <c r="G7373" s="18" t="n">
        <v>478.23</v>
      </c>
      <c r="H7373" s="18" t="n">
        <v>0</v>
      </c>
      <c r="I7373" s="18" t="n">
        <f aca="false">((I7372 + G7373) - H7373)</f>
        <v>120267.43</v>
      </c>
      <c r="J7373" s="18" t="n">
        <v>0</v>
      </c>
      <c r="K7373" s="19" t="n">
        <v>0</v>
      </c>
      <c r="L7373" s="17"/>
    </row>
    <row r="7374" s="11" customFormat="true" ht="10.95" hidden="false" customHeight="true" outlineLevel="0" collapsed="false">
      <c r="A7374" s="16" t="n">
        <v>45435</v>
      </c>
      <c r="B7374" s="17" t="s">
        <v>3369</v>
      </c>
      <c r="C7374" s="17" t="s">
        <v>3370</v>
      </c>
      <c r="D7374" s="17" t="s">
        <v>19</v>
      </c>
      <c r="E7374" s="17" t="s">
        <v>3506</v>
      </c>
      <c r="F7374" s="17" t="s">
        <v>1052</v>
      </c>
      <c r="G7374" s="18" t="n">
        <v>318.82</v>
      </c>
      <c r="H7374" s="18" t="n">
        <v>0</v>
      </c>
      <c r="I7374" s="18" t="n">
        <f aca="false">((I7373 + G7374) - H7374)</f>
        <v>120586.25</v>
      </c>
      <c r="J7374" s="18" t="n">
        <v>0</v>
      </c>
      <c r="K7374" s="19" t="n">
        <v>0</v>
      </c>
      <c r="L7374" s="17"/>
    </row>
    <row r="7375" s="11" customFormat="true" ht="10.95" hidden="false" customHeight="true" outlineLevel="0" collapsed="false">
      <c r="A7375" s="16" t="n">
        <v>45435</v>
      </c>
      <c r="B7375" s="17" t="s">
        <v>3369</v>
      </c>
      <c r="C7375" s="17" t="s">
        <v>3370</v>
      </c>
      <c r="D7375" s="17" t="s">
        <v>19</v>
      </c>
      <c r="E7375" s="17" t="s">
        <v>3425</v>
      </c>
      <c r="F7375" s="17" t="s">
        <v>1248</v>
      </c>
      <c r="G7375" s="18" t="n">
        <v>765.7</v>
      </c>
      <c r="H7375" s="18" t="n">
        <v>0</v>
      </c>
      <c r="I7375" s="18" t="n">
        <f aca="false">((I7374 + G7375) - H7375)</f>
        <v>121351.95</v>
      </c>
      <c r="J7375" s="18" t="n">
        <v>0</v>
      </c>
      <c r="K7375" s="19" t="n">
        <v>0</v>
      </c>
      <c r="L7375" s="17"/>
    </row>
    <row r="7376" s="11" customFormat="true" ht="10.95" hidden="false" customHeight="true" outlineLevel="0" collapsed="false">
      <c r="A7376" s="16" t="n">
        <v>45435</v>
      </c>
      <c r="B7376" s="17" t="s">
        <v>3369</v>
      </c>
      <c r="C7376" s="17" t="s">
        <v>3370</v>
      </c>
      <c r="D7376" s="17" t="s">
        <v>19</v>
      </c>
      <c r="E7376" s="17" t="s">
        <v>3426</v>
      </c>
      <c r="F7376" s="17" t="s">
        <v>673</v>
      </c>
      <c r="G7376" s="18" t="n">
        <v>1512.5</v>
      </c>
      <c r="H7376" s="18" t="n">
        <v>0</v>
      </c>
      <c r="I7376" s="18" t="n">
        <f aca="false">((I7375 + G7376) - H7376)</f>
        <v>122864.45</v>
      </c>
      <c r="J7376" s="18" t="n">
        <v>0</v>
      </c>
      <c r="K7376" s="19" t="n">
        <v>0</v>
      </c>
      <c r="L7376" s="17"/>
    </row>
    <row r="7377" s="11" customFormat="true" ht="10.95" hidden="false" customHeight="true" outlineLevel="0" collapsed="false">
      <c r="A7377" s="16" t="n">
        <v>45435</v>
      </c>
      <c r="B7377" s="17" t="s">
        <v>3369</v>
      </c>
      <c r="C7377" s="17" t="s">
        <v>3370</v>
      </c>
      <c r="D7377" s="17" t="s">
        <v>19</v>
      </c>
      <c r="E7377" s="17" t="s">
        <v>3427</v>
      </c>
      <c r="F7377" s="17" t="s">
        <v>674</v>
      </c>
      <c r="G7377" s="18" t="n">
        <v>654.5</v>
      </c>
      <c r="H7377" s="18" t="n">
        <v>0</v>
      </c>
      <c r="I7377" s="18" t="n">
        <f aca="false">((I7376 + G7377) - H7377)</f>
        <v>123518.95</v>
      </c>
      <c r="J7377" s="18" t="n">
        <v>0</v>
      </c>
      <c r="K7377" s="19" t="n">
        <v>0</v>
      </c>
      <c r="L7377" s="17"/>
    </row>
    <row r="7378" s="11" customFormat="true" ht="10.95" hidden="false" customHeight="true" outlineLevel="0" collapsed="false">
      <c r="A7378" s="16" t="n">
        <v>45435</v>
      </c>
      <c r="B7378" s="17" t="s">
        <v>3369</v>
      </c>
      <c r="C7378" s="17" t="s">
        <v>3370</v>
      </c>
      <c r="D7378" s="17" t="s">
        <v>19</v>
      </c>
      <c r="E7378" s="17" t="s">
        <v>3428</v>
      </c>
      <c r="F7378" s="17" t="s">
        <v>675</v>
      </c>
      <c r="G7378" s="18" t="n">
        <v>1385.45</v>
      </c>
      <c r="H7378" s="18" t="n">
        <v>0</v>
      </c>
      <c r="I7378" s="18" t="n">
        <f aca="false">((I7377 + G7378) - H7378)</f>
        <v>124904.4</v>
      </c>
      <c r="J7378" s="18" t="n">
        <v>0</v>
      </c>
      <c r="K7378" s="19" t="n">
        <v>0</v>
      </c>
      <c r="L7378" s="17"/>
    </row>
    <row r="7379" s="11" customFormat="true" ht="10.95" hidden="false" customHeight="true" outlineLevel="0" collapsed="false">
      <c r="A7379" s="16" t="n">
        <v>45435</v>
      </c>
      <c r="B7379" s="17" t="s">
        <v>3369</v>
      </c>
      <c r="C7379" s="17" t="s">
        <v>3370</v>
      </c>
      <c r="D7379" s="17" t="s">
        <v>19</v>
      </c>
      <c r="E7379" s="17" t="s">
        <v>3429</v>
      </c>
      <c r="F7379" s="17" t="s">
        <v>676</v>
      </c>
      <c r="G7379" s="18" t="n">
        <v>93.5</v>
      </c>
      <c r="H7379" s="18" t="n">
        <v>0</v>
      </c>
      <c r="I7379" s="18" t="n">
        <f aca="false">((I7378 + G7379) - H7379)</f>
        <v>124997.9</v>
      </c>
      <c r="J7379" s="18" t="n">
        <v>0</v>
      </c>
      <c r="K7379" s="19" t="n">
        <v>0</v>
      </c>
      <c r="L7379" s="17"/>
    </row>
    <row r="7380" s="11" customFormat="true" ht="10.95" hidden="false" customHeight="true" outlineLevel="0" collapsed="false">
      <c r="A7380" s="16" t="n">
        <v>45435</v>
      </c>
      <c r="B7380" s="17" t="s">
        <v>3369</v>
      </c>
      <c r="C7380" s="17" t="s">
        <v>3370</v>
      </c>
      <c r="D7380" s="17" t="s">
        <v>19</v>
      </c>
      <c r="E7380" s="17" t="s">
        <v>3492</v>
      </c>
      <c r="F7380" s="17" t="s">
        <v>677</v>
      </c>
      <c r="G7380" s="18" t="n">
        <v>5414.1</v>
      </c>
      <c r="H7380" s="18" t="n">
        <v>0</v>
      </c>
      <c r="I7380" s="18" t="n">
        <f aca="false">((I7379 + G7380) - H7380)</f>
        <v>130412</v>
      </c>
      <c r="J7380" s="18" t="n">
        <v>0</v>
      </c>
      <c r="K7380" s="19" t="n">
        <v>0</v>
      </c>
      <c r="L7380" s="17"/>
    </row>
    <row r="7381" s="11" customFormat="true" ht="10.95" hidden="false" customHeight="true" outlineLevel="0" collapsed="false">
      <c r="A7381" s="16" t="n">
        <v>45435</v>
      </c>
      <c r="B7381" s="17" t="s">
        <v>3369</v>
      </c>
      <c r="C7381" s="17" t="s">
        <v>3370</v>
      </c>
      <c r="D7381" s="17" t="s">
        <v>19</v>
      </c>
      <c r="E7381" s="17" t="s">
        <v>3430</v>
      </c>
      <c r="F7381" s="17" t="s">
        <v>915</v>
      </c>
      <c r="G7381" s="18" t="n">
        <v>116.83</v>
      </c>
      <c r="H7381" s="18" t="n">
        <v>0</v>
      </c>
      <c r="I7381" s="18" t="n">
        <f aca="false">((I7380 + G7381) - H7381)</f>
        <v>130528.83</v>
      </c>
      <c r="J7381" s="18" t="n">
        <v>0</v>
      </c>
      <c r="K7381" s="19" t="n">
        <v>0</v>
      </c>
      <c r="L7381" s="17"/>
    </row>
    <row r="7382" s="11" customFormat="true" ht="10.95" hidden="false" customHeight="true" outlineLevel="0" collapsed="false">
      <c r="A7382" s="16" t="n">
        <v>45435</v>
      </c>
      <c r="B7382" s="17" t="s">
        <v>3369</v>
      </c>
      <c r="C7382" s="17" t="s">
        <v>3370</v>
      </c>
      <c r="D7382" s="17" t="s">
        <v>19</v>
      </c>
      <c r="E7382" s="17" t="s">
        <v>3430</v>
      </c>
      <c r="F7382" s="17" t="s">
        <v>916</v>
      </c>
      <c r="G7382" s="18" t="n">
        <v>602.59</v>
      </c>
      <c r="H7382" s="18" t="n">
        <v>0</v>
      </c>
      <c r="I7382" s="18" t="n">
        <f aca="false">((I7381 + G7382) - H7382)</f>
        <v>131131.42</v>
      </c>
      <c r="J7382" s="18" t="n">
        <v>0</v>
      </c>
      <c r="K7382" s="19" t="n">
        <v>0</v>
      </c>
      <c r="L7382" s="17"/>
    </row>
    <row r="7383" s="11" customFormat="true" ht="10.95" hidden="false" customHeight="true" outlineLevel="0" collapsed="false">
      <c r="A7383" s="16" t="n">
        <v>45435</v>
      </c>
      <c r="B7383" s="17" t="s">
        <v>3369</v>
      </c>
      <c r="C7383" s="17" t="s">
        <v>3370</v>
      </c>
      <c r="D7383" s="17" t="s">
        <v>19</v>
      </c>
      <c r="E7383" s="17" t="s">
        <v>3430</v>
      </c>
      <c r="F7383" s="17" t="s">
        <v>917</v>
      </c>
      <c r="G7383" s="18" t="n">
        <v>319.74</v>
      </c>
      <c r="H7383" s="18" t="n">
        <v>0</v>
      </c>
      <c r="I7383" s="18" t="n">
        <f aca="false">((I7382 + G7383) - H7383)</f>
        <v>131451.16</v>
      </c>
      <c r="J7383" s="18" t="n">
        <v>0</v>
      </c>
      <c r="K7383" s="19" t="n">
        <v>0</v>
      </c>
      <c r="L7383" s="17"/>
    </row>
    <row r="7384" s="11" customFormat="true" ht="10.95" hidden="false" customHeight="true" outlineLevel="0" collapsed="false">
      <c r="A7384" s="16" t="n">
        <v>45435</v>
      </c>
      <c r="B7384" s="17" t="s">
        <v>3369</v>
      </c>
      <c r="C7384" s="17" t="s">
        <v>3370</v>
      </c>
      <c r="D7384" s="17" t="s">
        <v>19</v>
      </c>
      <c r="E7384" s="17" t="s">
        <v>3431</v>
      </c>
      <c r="F7384" s="17" t="s">
        <v>680</v>
      </c>
      <c r="G7384" s="18" t="n">
        <v>357.5</v>
      </c>
      <c r="H7384" s="18" t="n">
        <v>0</v>
      </c>
      <c r="I7384" s="18" t="n">
        <f aca="false">((I7383 + G7384) - H7384)</f>
        <v>131808.66</v>
      </c>
      <c r="J7384" s="18" t="n">
        <v>0</v>
      </c>
      <c r="K7384" s="19" t="n">
        <v>0</v>
      </c>
      <c r="L7384" s="17"/>
    </row>
    <row r="7385" s="11" customFormat="true" ht="10.95" hidden="false" customHeight="true" outlineLevel="0" collapsed="false">
      <c r="A7385" s="16" t="n">
        <v>45435</v>
      </c>
      <c r="B7385" s="17" t="s">
        <v>3369</v>
      </c>
      <c r="C7385" s="17" t="s">
        <v>3370</v>
      </c>
      <c r="D7385" s="17" t="s">
        <v>19</v>
      </c>
      <c r="E7385" s="17" t="s">
        <v>3432</v>
      </c>
      <c r="F7385" s="17" t="s">
        <v>681</v>
      </c>
      <c r="G7385" s="18" t="n">
        <v>1094.5</v>
      </c>
      <c r="H7385" s="18" t="n">
        <v>0</v>
      </c>
      <c r="I7385" s="18" t="n">
        <f aca="false">((I7384 + G7385) - H7385)</f>
        <v>132903.16</v>
      </c>
      <c r="J7385" s="18" t="n">
        <v>0</v>
      </c>
      <c r="K7385" s="19" t="n">
        <v>0</v>
      </c>
      <c r="L7385" s="17"/>
    </row>
    <row r="7386" s="11" customFormat="true" ht="10.95" hidden="false" customHeight="true" outlineLevel="0" collapsed="false">
      <c r="A7386" s="16" t="n">
        <v>45435</v>
      </c>
      <c r="B7386" s="17" t="s">
        <v>3369</v>
      </c>
      <c r="C7386" s="17" t="s">
        <v>3370</v>
      </c>
      <c r="D7386" s="17" t="s">
        <v>19</v>
      </c>
      <c r="E7386" s="17" t="s">
        <v>3434</v>
      </c>
      <c r="F7386" s="17" t="s">
        <v>682</v>
      </c>
      <c r="G7386" s="18" t="n">
        <v>396</v>
      </c>
      <c r="H7386" s="18" t="n">
        <v>0</v>
      </c>
      <c r="I7386" s="18" t="n">
        <f aca="false">((I7385 + G7386) - H7386)</f>
        <v>133299.16</v>
      </c>
      <c r="J7386" s="18" t="n">
        <v>0</v>
      </c>
      <c r="K7386" s="19" t="n">
        <v>0</v>
      </c>
      <c r="L7386" s="17"/>
    </row>
    <row r="7387" s="11" customFormat="true" ht="10.95" hidden="false" customHeight="true" outlineLevel="0" collapsed="false">
      <c r="A7387" s="16" t="n">
        <v>45435</v>
      </c>
      <c r="B7387" s="17" t="s">
        <v>3369</v>
      </c>
      <c r="C7387" s="17" t="s">
        <v>3370</v>
      </c>
      <c r="D7387" s="17" t="s">
        <v>19</v>
      </c>
      <c r="E7387" s="17" t="s">
        <v>3435</v>
      </c>
      <c r="F7387" s="17" t="s">
        <v>683</v>
      </c>
      <c r="G7387" s="18" t="n">
        <v>103.5</v>
      </c>
      <c r="H7387" s="18" t="n">
        <v>0</v>
      </c>
      <c r="I7387" s="18" t="n">
        <f aca="false">((I7386 + G7387) - H7387)</f>
        <v>133402.66</v>
      </c>
      <c r="J7387" s="18" t="n">
        <v>0</v>
      </c>
      <c r="K7387" s="19" t="n">
        <v>0</v>
      </c>
      <c r="L7387" s="17"/>
    </row>
    <row r="7388" s="11" customFormat="true" ht="10.95" hidden="false" customHeight="true" outlineLevel="0" collapsed="false">
      <c r="A7388" s="16" t="n">
        <v>45435</v>
      </c>
      <c r="B7388" s="17" t="s">
        <v>3369</v>
      </c>
      <c r="C7388" s="17" t="s">
        <v>3370</v>
      </c>
      <c r="D7388" s="17" t="s">
        <v>19</v>
      </c>
      <c r="E7388" s="17" t="s">
        <v>3435</v>
      </c>
      <c r="F7388" s="17" t="s">
        <v>684</v>
      </c>
      <c r="G7388" s="18" t="n">
        <v>2244</v>
      </c>
      <c r="H7388" s="18" t="n">
        <v>0</v>
      </c>
      <c r="I7388" s="18" t="n">
        <f aca="false">((I7387 + G7388) - H7388)</f>
        <v>135646.66</v>
      </c>
      <c r="J7388" s="18" t="n">
        <v>0</v>
      </c>
      <c r="K7388" s="19" t="n">
        <v>0</v>
      </c>
      <c r="L7388" s="17"/>
    </row>
    <row r="7389" s="11" customFormat="true" ht="10.95" hidden="false" customHeight="true" outlineLevel="0" collapsed="false">
      <c r="A7389" s="16" t="n">
        <v>45435</v>
      </c>
      <c r="B7389" s="17" t="s">
        <v>3369</v>
      </c>
      <c r="C7389" s="17" t="s">
        <v>3370</v>
      </c>
      <c r="D7389" s="17" t="s">
        <v>19</v>
      </c>
      <c r="E7389" s="17" t="s">
        <v>3493</v>
      </c>
      <c r="F7389" s="17" t="s">
        <v>685</v>
      </c>
      <c r="G7389" s="18" t="n">
        <v>561</v>
      </c>
      <c r="H7389" s="18" t="n">
        <v>0</v>
      </c>
      <c r="I7389" s="18" t="n">
        <f aca="false">((I7388 + G7389) - H7389)</f>
        <v>136207.66</v>
      </c>
      <c r="J7389" s="18" t="n">
        <v>0</v>
      </c>
      <c r="K7389" s="19" t="n">
        <v>0</v>
      </c>
      <c r="L7389" s="17"/>
    </row>
    <row r="7390" s="11" customFormat="true" ht="10.95" hidden="false" customHeight="true" outlineLevel="0" collapsed="false">
      <c r="A7390" s="16" t="n">
        <v>45435</v>
      </c>
      <c r="B7390" s="17" t="s">
        <v>3369</v>
      </c>
      <c r="C7390" s="17" t="s">
        <v>3370</v>
      </c>
      <c r="D7390" s="17" t="s">
        <v>19</v>
      </c>
      <c r="E7390" s="17" t="s">
        <v>3436</v>
      </c>
      <c r="F7390" s="17" t="s">
        <v>918</v>
      </c>
      <c r="G7390" s="18" t="n">
        <v>2403.5</v>
      </c>
      <c r="H7390" s="18" t="n">
        <v>0</v>
      </c>
      <c r="I7390" s="18" t="n">
        <f aca="false">((I7389 + G7390) - H7390)</f>
        <v>138611.16</v>
      </c>
      <c r="J7390" s="18" t="n">
        <v>0</v>
      </c>
      <c r="K7390" s="19" t="n">
        <v>0</v>
      </c>
      <c r="L7390" s="17"/>
    </row>
    <row r="7391" s="11" customFormat="true" ht="10.95" hidden="false" customHeight="true" outlineLevel="0" collapsed="false">
      <c r="A7391" s="16" t="n">
        <v>45435</v>
      </c>
      <c r="B7391" s="17" t="s">
        <v>3369</v>
      </c>
      <c r="C7391" s="17" t="s">
        <v>3370</v>
      </c>
      <c r="D7391" s="17" t="s">
        <v>19</v>
      </c>
      <c r="E7391" s="17" t="s">
        <v>3436</v>
      </c>
      <c r="F7391" s="17" t="s">
        <v>919</v>
      </c>
      <c r="G7391" s="18" t="n">
        <v>1001</v>
      </c>
      <c r="H7391" s="18" t="n">
        <v>0</v>
      </c>
      <c r="I7391" s="18" t="n">
        <f aca="false">((I7390 + G7391) - H7391)</f>
        <v>139612.16</v>
      </c>
      <c r="J7391" s="18" t="n">
        <v>0</v>
      </c>
      <c r="K7391" s="19" t="n">
        <v>0</v>
      </c>
      <c r="L7391" s="17"/>
    </row>
    <row r="7392" s="11" customFormat="true" ht="10.95" hidden="false" customHeight="true" outlineLevel="0" collapsed="false">
      <c r="A7392" s="16" t="n">
        <v>45435</v>
      </c>
      <c r="B7392" s="17" t="s">
        <v>3369</v>
      </c>
      <c r="C7392" s="17" t="s">
        <v>3370</v>
      </c>
      <c r="D7392" s="17" t="s">
        <v>19</v>
      </c>
      <c r="E7392" s="17" t="s">
        <v>3436</v>
      </c>
      <c r="F7392" s="17" t="s">
        <v>920</v>
      </c>
      <c r="G7392" s="18" t="n">
        <v>1672</v>
      </c>
      <c r="H7392" s="18" t="n">
        <v>0</v>
      </c>
      <c r="I7392" s="18" t="n">
        <f aca="false">((I7391 + G7392) - H7392)</f>
        <v>141284.16</v>
      </c>
      <c r="J7392" s="18" t="n">
        <v>0</v>
      </c>
      <c r="K7392" s="19" t="n">
        <v>0</v>
      </c>
      <c r="L7392" s="17"/>
    </row>
    <row r="7393" s="11" customFormat="true" ht="10.95" hidden="false" customHeight="true" outlineLevel="0" collapsed="false">
      <c r="A7393" s="16" t="n">
        <v>45435</v>
      </c>
      <c r="B7393" s="17" t="s">
        <v>3369</v>
      </c>
      <c r="C7393" s="17" t="s">
        <v>3370</v>
      </c>
      <c r="D7393" s="17" t="s">
        <v>19</v>
      </c>
      <c r="E7393" s="17" t="s">
        <v>3437</v>
      </c>
      <c r="F7393" s="17" t="s">
        <v>686</v>
      </c>
      <c r="G7393" s="18" t="n">
        <v>1100.06</v>
      </c>
      <c r="H7393" s="18" t="n">
        <v>0</v>
      </c>
      <c r="I7393" s="18" t="n">
        <f aca="false">((I7392 + G7393) - H7393)</f>
        <v>142384.22</v>
      </c>
      <c r="J7393" s="18" t="n">
        <v>0</v>
      </c>
      <c r="K7393" s="19" t="n">
        <v>0</v>
      </c>
      <c r="L7393" s="17"/>
    </row>
    <row r="7394" s="11" customFormat="true" ht="10.95" hidden="false" customHeight="true" outlineLevel="0" collapsed="false">
      <c r="A7394" s="16" t="n">
        <v>45435</v>
      </c>
      <c r="B7394" s="17" t="s">
        <v>3369</v>
      </c>
      <c r="C7394" s="17" t="s">
        <v>3370</v>
      </c>
      <c r="D7394" s="17" t="s">
        <v>19</v>
      </c>
      <c r="E7394" s="17" t="s">
        <v>3438</v>
      </c>
      <c r="F7394" s="17" t="s">
        <v>1249</v>
      </c>
      <c r="G7394" s="18" t="n">
        <v>3099.72</v>
      </c>
      <c r="H7394" s="18" t="n">
        <v>0</v>
      </c>
      <c r="I7394" s="18" t="n">
        <f aca="false">((I7393 + G7394) - H7394)</f>
        <v>145483.94</v>
      </c>
      <c r="J7394" s="18" t="n">
        <v>0</v>
      </c>
      <c r="K7394" s="19" t="n">
        <v>0</v>
      </c>
      <c r="L7394" s="17"/>
    </row>
    <row r="7395" s="11" customFormat="true" ht="10.95" hidden="false" customHeight="true" outlineLevel="0" collapsed="false">
      <c r="A7395" s="16" t="n">
        <v>45435</v>
      </c>
      <c r="B7395" s="17" t="s">
        <v>3369</v>
      </c>
      <c r="C7395" s="17" t="s">
        <v>3370</v>
      </c>
      <c r="D7395" s="17" t="s">
        <v>19</v>
      </c>
      <c r="E7395" s="17" t="s">
        <v>3439</v>
      </c>
      <c r="F7395" s="17" t="s">
        <v>687</v>
      </c>
      <c r="G7395" s="18" t="n">
        <v>1052.7</v>
      </c>
      <c r="H7395" s="18" t="n">
        <v>0</v>
      </c>
      <c r="I7395" s="18" t="n">
        <f aca="false">((I7394 + G7395) - H7395)</f>
        <v>146536.64</v>
      </c>
      <c r="J7395" s="18" t="n">
        <v>0</v>
      </c>
      <c r="K7395" s="19" t="n">
        <v>0</v>
      </c>
      <c r="L7395" s="17"/>
    </row>
    <row r="7396" s="11" customFormat="true" ht="10.95" hidden="false" customHeight="true" outlineLevel="0" collapsed="false">
      <c r="A7396" s="16" t="n">
        <v>45435</v>
      </c>
      <c r="B7396" s="17" t="s">
        <v>3369</v>
      </c>
      <c r="C7396" s="17" t="s">
        <v>3370</v>
      </c>
      <c r="D7396" s="17" t="s">
        <v>19</v>
      </c>
      <c r="E7396" s="17" t="s">
        <v>3440</v>
      </c>
      <c r="F7396" s="17" t="s">
        <v>1250</v>
      </c>
      <c r="G7396" s="18" t="n">
        <v>1499.12</v>
      </c>
      <c r="H7396" s="18" t="n">
        <v>0</v>
      </c>
      <c r="I7396" s="18" t="n">
        <f aca="false">((I7395 + G7396) - H7396)</f>
        <v>148035.76</v>
      </c>
      <c r="J7396" s="18" t="n">
        <v>0</v>
      </c>
      <c r="K7396" s="19" t="n">
        <v>0</v>
      </c>
      <c r="L7396" s="17"/>
    </row>
    <row r="7397" s="11" customFormat="true" ht="10.95" hidden="false" customHeight="true" outlineLevel="0" collapsed="false">
      <c r="A7397" s="16" t="n">
        <v>45435</v>
      </c>
      <c r="B7397" s="17" t="s">
        <v>3369</v>
      </c>
      <c r="C7397" s="17" t="s">
        <v>3370</v>
      </c>
      <c r="D7397" s="17" t="s">
        <v>19</v>
      </c>
      <c r="E7397" s="17" t="s">
        <v>3441</v>
      </c>
      <c r="F7397" s="17" t="s">
        <v>1251</v>
      </c>
      <c r="G7397" s="18" t="n">
        <v>180</v>
      </c>
      <c r="H7397" s="18" t="n">
        <v>0</v>
      </c>
      <c r="I7397" s="18" t="n">
        <f aca="false">((I7396 + G7397) - H7397)</f>
        <v>148215.76</v>
      </c>
      <c r="J7397" s="18" t="n">
        <v>0</v>
      </c>
      <c r="K7397" s="19" t="n">
        <v>0</v>
      </c>
      <c r="L7397" s="17"/>
    </row>
    <row r="7398" s="11" customFormat="true" ht="10.95" hidden="false" customHeight="true" outlineLevel="0" collapsed="false">
      <c r="A7398" s="16" t="n">
        <v>45435</v>
      </c>
      <c r="B7398" s="17" t="s">
        <v>3369</v>
      </c>
      <c r="C7398" s="17" t="s">
        <v>3370</v>
      </c>
      <c r="D7398" s="17" t="s">
        <v>19</v>
      </c>
      <c r="E7398" s="17" t="s">
        <v>3442</v>
      </c>
      <c r="F7398" s="17" t="s">
        <v>688</v>
      </c>
      <c r="G7398" s="18" t="n">
        <v>9999</v>
      </c>
      <c r="H7398" s="18" t="n">
        <v>0</v>
      </c>
      <c r="I7398" s="18" t="n">
        <f aca="false">((I7397 + G7398) - H7398)</f>
        <v>158214.76</v>
      </c>
      <c r="J7398" s="18" t="n">
        <v>0</v>
      </c>
      <c r="K7398" s="19" t="n">
        <v>0</v>
      </c>
      <c r="L7398" s="17"/>
    </row>
    <row r="7399" s="11" customFormat="true" ht="10.95" hidden="false" customHeight="true" outlineLevel="0" collapsed="false">
      <c r="A7399" s="16" t="n">
        <v>45435</v>
      </c>
      <c r="B7399" s="17" t="s">
        <v>3369</v>
      </c>
      <c r="C7399" s="17" t="s">
        <v>3370</v>
      </c>
      <c r="D7399" s="17" t="s">
        <v>19</v>
      </c>
      <c r="E7399" s="17" t="s">
        <v>3442</v>
      </c>
      <c r="F7399" s="17" t="s">
        <v>689</v>
      </c>
      <c r="G7399" s="18" t="n">
        <v>9999</v>
      </c>
      <c r="H7399" s="18" t="n">
        <v>0</v>
      </c>
      <c r="I7399" s="18" t="n">
        <f aca="false">((I7398 + G7399) - H7399)</f>
        <v>168213.76</v>
      </c>
      <c r="J7399" s="18" t="n">
        <v>0</v>
      </c>
      <c r="K7399" s="19" t="n">
        <v>0</v>
      </c>
      <c r="L7399" s="17"/>
    </row>
    <row r="7400" s="11" customFormat="true" ht="10.95" hidden="false" customHeight="true" outlineLevel="0" collapsed="false">
      <c r="A7400" s="16" t="n">
        <v>45435</v>
      </c>
      <c r="B7400" s="17" t="s">
        <v>3369</v>
      </c>
      <c r="C7400" s="17" t="s">
        <v>3370</v>
      </c>
      <c r="D7400" s="17" t="s">
        <v>19</v>
      </c>
      <c r="E7400" s="17" t="s">
        <v>3443</v>
      </c>
      <c r="F7400" s="17" t="s">
        <v>690</v>
      </c>
      <c r="G7400" s="18" t="n">
        <v>4994</v>
      </c>
      <c r="H7400" s="18" t="n">
        <v>0</v>
      </c>
      <c r="I7400" s="18" t="n">
        <f aca="false">((I7399 + G7400) - H7400)</f>
        <v>173207.76</v>
      </c>
      <c r="J7400" s="18" t="n">
        <v>0</v>
      </c>
      <c r="K7400" s="19" t="n">
        <v>0</v>
      </c>
      <c r="L7400" s="17"/>
    </row>
    <row r="7401" s="11" customFormat="true" ht="10.95" hidden="false" customHeight="true" outlineLevel="0" collapsed="false">
      <c r="A7401" s="16" t="n">
        <v>45435</v>
      </c>
      <c r="B7401" s="17" t="s">
        <v>3369</v>
      </c>
      <c r="C7401" s="17" t="s">
        <v>3370</v>
      </c>
      <c r="D7401" s="17" t="s">
        <v>19</v>
      </c>
      <c r="E7401" s="17" t="s">
        <v>3444</v>
      </c>
      <c r="F7401" s="17" t="s">
        <v>691</v>
      </c>
      <c r="G7401" s="18" t="n">
        <v>968</v>
      </c>
      <c r="H7401" s="18" t="n">
        <v>0</v>
      </c>
      <c r="I7401" s="18" t="n">
        <f aca="false">((I7400 + G7401) - H7401)</f>
        <v>174175.76</v>
      </c>
      <c r="J7401" s="18" t="n">
        <v>0</v>
      </c>
      <c r="K7401" s="19" t="n">
        <v>0</v>
      </c>
      <c r="L7401" s="17"/>
    </row>
    <row r="7402" s="11" customFormat="true" ht="10.95" hidden="false" customHeight="true" outlineLevel="0" collapsed="false">
      <c r="A7402" s="16" t="n">
        <v>45435</v>
      </c>
      <c r="B7402" s="17" t="s">
        <v>3369</v>
      </c>
      <c r="C7402" s="17" t="s">
        <v>3370</v>
      </c>
      <c r="D7402" s="17" t="s">
        <v>19</v>
      </c>
      <c r="E7402" s="17" t="s">
        <v>3494</v>
      </c>
      <c r="F7402" s="17" t="s">
        <v>692</v>
      </c>
      <c r="G7402" s="18" t="n">
        <v>913</v>
      </c>
      <c r="H7402" s="18" t="n">
        <v>0</v>
      </c>
      <c r="I7402" s="18" t="n">
        <f aca="false">((I7401 + G7402) - H7402)</f>
        <v>175088.76</v>
      </c>
      <c r="J7402" s="18" t="n">
        <v>0</v>
      </c>
      <c r="K7402" s="19" t="n">
        <v>0</v>
      </c>
      <c r="L7402" s="17"/>
    </row>
    <row r="7403" s="11" customFormat="true" ht="10.95" hidden="false" customHeight="true" outlineLevel="0" collapsed="false">
      <c r="A7403" s="16" t="n">
        <v>45435</v>
      </c>
      <c r="B7403" s="17" t="s">
        <v>3369</v>
      </c>
      <c r="C7403" s="17" t="s">
        <v>3370</v>
      </c>
      <c r="D7403" s="17" t="s">
        <v>19</v>
      </c>
      <c r="E7403" s="17" t="s">
        <v>3446</v>
      </c>
      <c r="F7403" s="17" t="s">
        <v>693</v>
      </c>
      <c r="G7403" s="18" t="n">
        <v>1861.2</v>
      </c>
      <c r="H7403" s="18" t="n">
        <v>0</v>
      </c>
      <c r="I7403" s="18" t="n">
        <f aca="false">((I7402 + G7403) - H7403)</f>
        <v>176949.96</v>
      </c>
      <c r="J7403" s="18" t="n">
        <v>0</v>
      </c>
      <c r="K7403" s="19" t="n">
        <v>0</v>
      </c>
      <c r="L7403" s="17"/>
    </row>
    <row r="7404" s="11" customFormat="true" ht="10.95" hidden="false" customHeight="true" outlineLevel="0" collapsed="false">
      <c r="A7404" s="16" t="n">
        <v>45435</v>
      </c>
      <c r="B7404" s="17" t="s">
        <v>3369</v>
      </c>
      <c r="C7404" s="17" t="s">
        <v>3370</v>
      </c>
      <c r="D7404" s="17" t="s">
        <v>19</v>
      </c>
      <c r="E7404" s="17" t="s">
        <v>3447</v>
      </c>
      <c r="F7404" s="17" t="s">
        <v>694</v>
      </c>
      <c r="G7404" s="18" t="n">
        <v>114.95</v>
      </c>
      <c r="H7404" s="18" t="n">
        <v>0</v>
      </c>
      <c r="I7404" s="18" t="n">
        <f aca="false">((I7403 + G7404) - H7404)</f>
        <v>177064.91</v>
      </c>
      <c r="J7404" s="18" t="n">
        <v>0</v>
      </c>
      <c r="K7404" s="19" t="n">
        <v>0</v>
      </c>
      <c r="L7404" s="17"/>
    </row>
    <row r="7405" s="11" customFormat="true" ht="10.95" hidden="false" customHeight="true" outlineLevel="0" collapsed="false">
      <c r="A7405" s="16" t="n">
        <v>45435</v>
      </c>
      <c r="B7405" s="17" t="s">
        <v>3369</v>
      </c>
      <c r="C7405" s="17" t="s">
        <v>3370</v>
      </c>
      <c r="D7405" s="17" t="s">
        <v>19</v>
      </c>
      <c r="E7405" s="17" t="s">
        <v>3447</v>
      </c>
      <c r="F7405" s="17" t="s">
        <v>695</v>
      </c>
      <c r="G7405" s="18" t="n">
        <v>618.75</v>
      </c>
      <c r="H7405" s="18" t="n">
        <v>0</v>
      </c>
      <c r="I7405" s="18" t="n">
        <f aca="false">((I7404 + G7405) - H7405)</f>
        <v>177683.66</v>
      </c>
      <c r="J7405" s="18" t="n">
        <v>0</v>
      </c>
      <c r="K7405" s="19" t="n">
        <v>0</v>
      </c>
      <c r="L7405" s="17"/>
    </row>
    <row r="7406" s="11" customFormat="true" ht="10.95" hidden="false" customHeight="true" outlineLevel="0" collapsed="false">
      <c r="A7406" s="16" t="n">
        <v>45435</v>
      </c>
      <c r="B7406" s="17" t="s">
        <v>3369</v>
      </c>
      <c r="C7406" s="17" t="s">
        <v>3370</v>
      </c>
      <c r="D7406" s="17" t="s">
        <v>19</v>
      </c>
      <c r="E7406" s="17" t="s">
        <v>3447</v>
      </c>
      <c r="F7406" s="17" t="s">
        <v>696</v>
      </c>
      <c r="G7406" s="18" t="n">
        <v>827.2</v>
      </c>
      <c r="H7406" s="18" t="n">
        <v>0</v>
      </c>
      <c r="I7406" s="18" t="n">
        <f aca="false">((I7405 + G7406) - H7406)</f>
        <v>178510.86</v>
      </c>
      <c r="J7406" s="18" t="n">
        <v>0</v>
      </c>
      <c r="K7406" s="19" t="n">
        <v>0</v>
      </c>
      <c r="L7406" s="17"/>
    </row>
    <row r="7407" s="11" customFormat="true" ht="10.95" hidden="false" customHeight="true" outlineLevel="0" collapsed="false">
      <c r="A7407" s="16" t="n">
        <v>45435</v>
      </c>
      <c r="B7407" s="17" t="s">
        <v>3369</v>
      </c>
      <c r="C7407" s="17" t="s">
        <v>3370</v>
      </c>
      <c r="D7407" s="17" t="s">
        <v>19</v>
      </c>
      <c r="E7407" s="17" t="s">
        <v>3447</v>
      </c>
      <c r="F7407" s="17" t="s">
        <v>697</v>
      </c>
      <c r="G7407" s="18" t="n">
        <v>741.4</v>
      </c>
      <c r="H7407" s="18" t="n">
        <v>0</v>
      </c>
      <c r="I7407" s="18" t="n">
        <f aca="false">((I7406 + G7407) - H7407)</f>
        <v>179252.26</v>
      </c>
      <c r="J7407" s="18" t="n">
        <v>0</v>
      </c>
      <c r="K7407" s="19" t="n">
        <v>0</v>
      </c>
      <c r="L7407" s="17"/>
    </row>
    <row r="7408" s="11" customFormat="true" ht="10.95" hidden="false" customHeight="true" outlineLevel="0" collapsed="false">
      <c r="A7408" s="16" t="n">
        <v>45435</v>
      </c>
      <c r="B7408" s="17" t="s">
        <v>3369</v>
      </c>
      <c r="C7408" s="17" t="s">
        <v>3370</v>
      </c>
      <c r="D7408" s="17" t="s">
        <v>19</v>
      </c>
      <c r="E7408" s="17" t="s">
        <v>3447</v>
      </c>
      <c r="F7408" s="17" t="s">
        <v>698</v>
      </c>
      <c r="G7408" s="18" t="n">
        <v>206.8</v>
      </c>
      <c r="H7408" s="18" t="n">
        <v>0</v>
      </c>
      <c r="I7408" s="18" t="n">
        <f aca="false">((I7407 + G7408) - H7408)</f>
        <v>179459.06</v>
      </c>
      <c r="J7408" s="18" t="n">
        <v>0</v>
      </c>
      <c r="K7408" s="19" t="n">
        <v>0</v>
      </c>
      <c r="L7408" s="17"/>
    </row>
    <row r="7409" s="11" customFormat="true" ht="10.95" hidden="false" customHeight="true" outlineLevel="0" collapsed="false">
      <c r="A7409" s="16" t="n">
        <v>45435</v>
      </c>
      <c r="B7409" s="17" t="s">
        <v>3369</v>
      </c>
      <c r="C7409" s="17" t="s">
        <v>3370</v>
      </c>
      <c r="D7409" s="17" t="s">
        <v>19</v>
      </c>
      <c r="E7409" s="17" t="s">
        <v>3447</v>
      </c>
      <c r="F7409" s="17" t="s">
        <v>699</v>
      </c>
      <c r="G7409" s="18" t="n">
        <v>1792.45</v>
      </c>
      <c r="H7409" s="18" t="n">
        <v>0</v>
      </c>
      <c r="I7409" s="18" t="n">
        <f aca="false">((I7408 + G7409) - H7409)</f>
        <v>181251.51</v>
      </c>
      <c r="J7409" s="18" t="n">
        <v>0</v>
      </c>
      <c r="K7409" s="19" t="n">
        <v>0</v>
      </c>
      <c r="L7409" s="17"/>
    </row>
    <row r="7410" s="11" customFormat="true" ht="10.95" hidden="false" customHeight="true" outlineLevel="0" collapsed="false">
      <c r="A7410" s="16" t="n">
        <v>45435</v>
      </c>
      <c r="B7410" s="17" t="s">
        <v>3369</v>
      </c>
      <c r="C7410" s="17" t="s">
        <v>3370</v>
      </c>
      <c r="D7410" s="17" t="s">
        <v>19</v>
      </c>
      <c r="E7410" s="17" t="s">
        <v>3447</v>
      </c>
      <c r="F7410" s="17" t="s">
        <v>700</v>
      </c>
      <c r="G7410" s="18" t="n">
        <v>517</v>
      </c>
      <c r="H7410" s="18" t="n">
        <v>0</v>
      </c>
      <c r="I7410" s="18" t="n">
        <f aca="false">((I7409 + G7410) - H7410)</f>
        <v>181768.51</v>
      </c>
      <c r="J7410" s="18" t="n">
        <v>0</v>
      </c>
      <c r="K7410" s="19" t="n">
        <v>0</v>
      </c>
      <c r="L7410" s="17"/>
    </row>
    <row r="7411" s="11" customFormat="true" ht="10.95" hidden="false" customHeight="true" outlineLevel="0" collapsed="false">
      <c r="A7411" s="16" t="n">
        <v>45435</v>
      </c>
      <c r="B7411" s="17" t="s">
        <v>3369</v>
      </c>
      <c r="C7411" s="17" t="s">
        <v>3370</v>
      </c>
      <c r="D7411" s="17" t="s">
        <v>19</v>
      </c>
      <c r="E7411" s="17" t="s">
        <v>3447</v>
      </c>
      <c r="F7411" s="17" t="s">
        <v>701</v>
      </c>
      <c r="G7411" s="18" t="n">
        <v>316.8</v>
      </c>
      <c r="H7411" s="18" t="n">
        <v>0</v>
      </c>
      <c r="I7411" s="18" t="n">
        <f aca="false">((I7410 + G7411) - H7411)</f>
        <v>182085.31</v>
      </c>
      <c r="J7411" s="18" t="n">
        <v>0</v>
      </c>
      <c r="K7411" s="19" t="n">
        <v>0</v>
      </c>
      <c r="L7411" s="17"/>
    </row>
    <row r="7412" s="11" customFormat="true" ht="10.95" hidden="false" customHeight="true" outlineLevel="0" collapsed="false">
      <c r="A7412" s="16" t="n">
        <v>45435</v>
      </c>
      <c r="B7412" s="17" t="s">
        <v>3369</v>
      </c>
      <c r="C7412" s="17" t="s">
        <v>3370</v>
      </c>
      <c r="D7412" s="17" t="s">
        <v>19</v>
      </c>
      <c r="E7412" s="17" t="s">
        <v>3447</v>
      </c>
      <c r="F7412" s="17" t="s">
        <v>702</v>
      </c>
      <c r="G7412" s="18" t="n">
        <v>627</v>
      </c>
      <c r="H7412" s="18" t="n">
        <v>0</v>
      </c>
      <c r="I7412" s="18" t="n">
        <f aca="false">((I7411 + G7412) - H7412)</f>
        <v>182712.31</v>
      </c>
      <c r="J7412" s="18" t="n">
        <v>0</v>
      </c>
      <c r="K7412" s="19" t="n">
        <v>0</v>
      </c>
      <c r="L7412" s="17"/>
    </row>
    <row r="7413" s="11" customFormat="true" ht="10.95" hidden="false" customHeight="true" outlineLevel="0" collapsed="false">
      <c r="A7413" s="16" t="n">
        <v>45435</v>
      </c>
      <c r="B7413" s="17" t="s">
        <v>3369</v>
      </c>
      <c r="C7413" s="17" t="s">
        <v>3370</v>
      </c>
      <c r="D7413" s="17" t="s">
        <v>19</v>
      </c>
      <c r="E7413" s="17" t="s">
        <v>3447</v>
      </c>
      <c r="F7413" s="17" t="s">
        <v>703</v>
      </c>
      <c r="G7413" s="18" t="n">
        <v>1967.9</v>
      </c>
      <c r="H7413" s="18" t="n">
        <v>0</v>
      </c>
      <c r="I7413" s="18" t="n">
        <f aca="false">((I7412 + G7413) - H7413)</f>
        <v>184680.21</v>
      </c>
      <c r="J7413" s="18" t="n">
        <v>0</v>
      </c>
      <c r="K7413" s="19" t="n">
        <v>0</v>
      </c>
      <c r="L7413" s="17"/>
    </row>
    <row r="7414" s="11" customFormat="true" ht="10.95" hidden="false" customHeight="true" outlineLevel="0" collapsed="false">
      <c r="A7414" s="16" t="n">
        <v>45435</v>
      </c>
      <c r="B7414" s="17" t="s">
        <v>3369</v>
      </c>
      <c r="C7414" s="17" t="s">
        <v>3370</v>
      </c>
      <c r="D7414" s="17" t="s">
        <v>19</v>
      </c>
      <c r="E7414" s="17" t="s">
        <v>3447</v>
      </c>
      <c r="F7414" s="17" t="s">
        <v>704</v>
      </c>
      <c r="G7414" s="18" t="n">
        <v>1361.8</v>
      </c>
      <c r="H7414" s="18" t="n">
        <v>0</v>
      </c>
      <c r="I7414" s="18" t="n">
        <f aca="false">((I7413 + G7414) - H7414)</f>
        <v>186042.01</v>
      </c>
      <c r="J7414" s="18" t="n">
        <v>0</v>
      </c>
      <c r="K7414" s="19" t="n">
        <v>0</v>
      </c>
      <c r="L7414" s="17"/>
    </row>
    <row r="7415" s="11" customFormat="true" ht="10.95" hidden="false" customHeight="true" outlineLevel="0" collapsed="false">
      <c r="A7415" s="16" t="n">
        <v>45435</v>
      </c>
      <c r="B7415" s="17" t="s">
        <v>3369</v>
      </c>
      <c r="C7415" s="17" t="s">
        <v>3370</v>
      </c>
      <c r="D7415" s="17" t="s">
        <v>19</v>
      </c>
      <c r="E7415" s="17" t="s">
        <v>3447</v>
      </c>
      <c r="F7415" s="17" t="s">
        <v>705</v>
      </c>
      <c r="G7415" s="18" t="n">
        <v>310.2</v>
      </c>
      <c r="H7415" s="18" t="n">
        <v>0</v>
      </c>
      <c r="I7415" s="18" t="n">
        <f aca="false">((I7414 + G7415) - H7415)</f>
        <v>186352.21</v>
      </c>
      <c r="J7415" s="18" t="n">
        <v>0</v>
      </c>
      <c r="K7415" s="19" t="n">
        <v>0</v>
      </c>
      <c r="L7415" s="17"/>
    </row>
    <row r="7416" s="11" customFormat="true" ht="10.95" hidden="false" customHeight="true" outlineLevel="0" collapsed="false">
      <c r="A7416" s="16" t="n">
        <v>45435</v>
      </c>
      <c r="B7416" s="17" t="s">
        <v>3369</v>
      </c>
      <c r="C7416" s="17" t="s">
        <v>3370</v>
      </c>
      <c r="D7416" s="17" t="s">
        <v>19</v>
      </c>
      <c r="E7416" s="17" t="s">
        <v>3447</v>
      </c>
      <c r="F7416" s="17" t="s">
        <v>706</v>
      </c>
      <c r="G7416" s="18" t="n">
        <v>310.2</v>
      </c>
      <c r="H7416" s="18" t="n">
        <v>0</v>
      </c>
      <c r="I7416" s="18" t="n">
        <f aca="false">((I7415 + G7416) - H7416)</f>
        <v>186662.41</v>
      </c>
      <c r="J7416" s="18" t="n">
        <v>0</v>
      </c>
      <c r="K7416" s="19" t="n">
        <v>0</v>
      </c>
      <c r="L7416" s="17"/>
    </row>
    <row r="7417" s="11" customFormat="true" ht="10.95" hidden="false" customHeight="true" outlineLevel="0" collapsed="false">
      <c r="A7417" s="16" t="n">
        <v>45435</v>
      </c>
      <c r="B7417" s="17" t="s">
        <v>3369</v>
      </c>
      <c r="C7417" s="17" t="s">
        <v>3370</v>
      </c>
      <c r="D7417" s="17" t="s">
        <v>19</v>
      </c>
      <c r="E7417" s="17" t="s">
        <v>3447</v>
      </c>
      <c r="F7417" s="17" t="s">
        <v>707</v>
      </c>
      <c r="G7417" s="18" t="n">
        <v>620.4</v>
      </c>
      <c r="H7417" s="18" t="n">
        <v>0</v>
      </c>
      <c r="I7417" s="18" t="n">
        <f aca="false">((I7416 + G7417) - H7417)</f>
        <v>187282.81</v>
      </c>
      <c r="J7417" s="18" t="n">
        <v>0</v>
      </c>
      <c r="K7417" s="19" t="n">
        <v>0</v>
      </c>
      <c r="L7417" s="17"/>
    </row>
    <row r="7418" s="11" customFormat="true" ht="10.95" hidden="false" customHeight="true" outlineLevel="0" collapsed="false">
      <c r="A7418" s="16" t="n">
        <v>45435</v>
      </c>
      <c r="B7418" s="17" t="s">
        <v>3369</v>
      </c>
      <c r="C7418" s="17" t="s">
        <v>3370</v>
      </c>
      <c r="D7418" s="17" t="s">
        <v>19</v>
      </c>
      <c r="E7418" s="17" t="s">
        <v>3447</v>
      </c>
      <c r="F7418" s="17" t="s">
        <v>708</v>
      </c>
      <c r="G7418" s="18" t="n">
        <v>1137.4</v>
      </c>
      <c r="H7418" s="18" t="n">
        <v>0</v>
      </c>
      <c r="I7418" s="18" t="n">
        <f aca="false">((I7417 + G7418) - H7418)</f>
        <v>188420.21</v>
      </c>
      <c r="J7418" s="18" t="n">
        <v>0</v>
      </c>
      <c r="K7418" s="19" t="n">
        <v>0</v>
      </c>
      <c r="L7418" s="17"/>
    </row>
    <row r="7419" s="11" customFormat="true" ht="10.95" hidden="false" customHeight="true" outlineLevel="0" collapsed="false">
      <c r="A7419" s="16" t="n">
        <v>45435</v>
      </c>
      <c r="B7419" s="17" t="s">
        <v>3369</v>
      </c>
      <c r="C7419" s="17" t="s">
        <v>3370</v>
      </c>
      <c r="D7419" s="17" t="s">
        <v>19</v>
      </c>
      <c r="E7419" s="17" t="s">
        <v>3447</v>
      </c>
      <c r="F7419" s="17" t="s">
        <v>709</v>
      </c>
      <c r="G7419" s="18" t="n">
        <v>103.4</v>
      </c>
      <c r="H7419" s="18" t="n">
        <v>0</v>
      </c>
      <c r="I7419" s="18" t="n">
        <f aca="false">((I7418 + G7419) - H7419)</f>
        <v>188523.61</v>
      </c>
      <c r="J7419" s="18" t="n">
        <v>0</v>
      </c>
      <c r="K7419" s="19" t="n">
        <v>0</v>
      </c>
      <c r="L7419" s="17"/>
    </row>
    <row r="7420" s="11" customFormat="true" ht="10.95" hidden="false" customHeight="true" outlineLevel="0" collapsed="false">
      <c r="A7420" s="16" t="n">
        <v>45435</v>
      </c>
      <c r="B7420" s="17" t="s">
        <v>3369</v>
      </c>
      <c r="C7420" s="17" t="s">
        <v>3370</v>
      </c>
      <c r="D7420" s="17" t="s">
        <v>19</v>
      </c>
      <c r="E7420" s="17" t="s">
        <v>3447</v>
      </c>
      <c r="F7420" s="17" t="s">
        <v>710</v>
      </c>
      <c r="G7420" s="18" t="n">
        <v>723.8</v>
      </c>
      <c r="H7420" s="18" t="n">
        <v>0</v>
      </c>
      <c r="I7420" s="18" t="n">
        <f aca="false">((I7419 + G7420) - H7420)</f>
        <v>189247.41</v>
      </c>
      <c r="J7420" s="18" t="n">
        <v>0</v>
      </c>
      <c r="K7420" s="19" t="n">
        <v>0</v>
      </c>
      <c r="L7420" s="17"/>
    </row>
    <row r="7421" s="11" customFormat="true" ht="10.95" hidden="false" customHeight="true" outlineLevel="0" collapsed="false">
      <c r="A7421" s="16" t="n">
        <v>45435</v>
      </c>
      <c r="B7421" s="17" t="s">
        <v>3369</v>
      </c>
      <c r="C7421" s="17" t="s">
        <v>3370</v>
      </c>
      <c r="D7421" s="17" t="s">
        <v>19</v>
      </c>
      <c r="E7421" s="17" t="s">
        <v>3495</v>
      </c>
      <c r="F7421" s="17" t="s">
        <v>1252</v>
      </c>
      <c r="G7421" s="18" t="n">
        <v>11585.43</v>
      </c>
      <c r="H7421" s="18" t="n">
        <v>0</v>
      </c>
      <c r="I7421" s="18" t="n">
        <f aca="false">((I7420 + G7421) - H7421)</f>
        <v>200832.84</v>
      </c>
      <c r="J7421" s="18" t="n">
        <v>0</v>
      </c>
      <c r="K7421" s="19" t="n">
        <v>0</v>
      </c>
      <c r="L7421" s="17"/>
    </row>
    <row r="7422" s="11" customFormat="true" ht="10.95" hidden="false" customHeight="true" outlineLevel="0" collapsed="false">
      <c r="A7422" s="16" t="n">
        <v>45435</v>
      </c>
      <c r="B7422" s="17" t="s">
        <v>3369</v>
      </c>
      <c r="C7422" s="17" t="s">
        <v>3370</v>
      </c>
      <c r="D7422" s="17" t="s">
        <v>19</v>
      </c>
      <c r="E7422" s="17" t="s">
        <v>3450</v>
      </c>
      <c r="F7422" s="17" t="s">
        <v>1253</v>
      </c>
      <c r="G7422" s="18" t="n">
        <v>265.82</v>
      </c>
      <c r="H7422" s="18" t="n">
        <v>0</v>
      </c>
      <c r="I7422" s="18" t="n">
        <f aca="false">((I7421 + G7422) - H7422)</f>
        <v>201098.66</v>
      </c>
      <c r="J7422" s="18" t="n">
        <v>0</v>
      </c>
      <c r="K7422" s="19" t="n">
        <v>0</v>
      </c>
      <c r="L7422" s="17"/>
    </row>
    <row r="7423" s="11" customFormat="true" ht="10.95" hidden="false" customHeight="true" outlineLevel="0" collapsed="false">
      <c r="A7423" s="16" t="n">
        <v>45435</v>
      </c>
      <c r="B7423" s="17" t="s">
        <v>3369</v>
      </c>
      <c r="C7423" s="17" t="s">
        <v>3370</v>
      </c>
      <c r="D7423" s="17" t="s">
        <v>19</v>
      </c>
      <c r="E7423" s="17" t="s">
        <v>3450</v>
      </c>
      <c r="F7423" s="17" t="s">
        <v>1254</v>
      </c>
      <c r="G7423" s="18" t="n">
        <v>793.31</v>
      </c>
      <c r="H7423" s="18" t="n">
        <v>0</v>
      </c>
      <c r="I7423" s="18" t="n">
        <f aca="false">((I7422 + G7423) - H7423)</f>
        <v>201891.97</v>
      </c>
      <c r="J7423" s="18" t="n">
        <v>0</v>
      </c>
      <c r="K7423" s="19" t="n">
        <v>0</v>
      </c>
      <c r="L7423" s="17"/>
    </row>
    <row r="7424" s="11" customFormat="true" ht="10.95" hidden="false" customHeight="true" outlineLevel="0" collapsed="false">
      <c r="A7424" s="16" t="n">
        <v>45435</v>
      </c>
      <c r="B7424" s="17" t="s">
        <v>3369</v>
      </c>
      <c r="C7424" s="17" t="s">
        <v>3370</v>
      </c>
      <c r="D7424" s="17" t="s">
        <v>19</v>
      </c>
      <c r="E7424" s="17" t="s">
        <v>3450</v>
      </c>
      <c r="F7424" s="17" t="s">
        <v>1255</v>
      </c>
      <c r="G7424" s="18" t="n">
        <v>1918.91</v>
      </c>
      <c r="H7424" s="18" t="n">
        <v>0</v>
      </c>
      <c r="I7424" s="18" t="n">
        <f aca="false">((I7423 + G7424) - H7424)</f>
        <v>203810.88</v>
      </c>
      <c r="J7424" s="18" t="n">
        <v>0</v>
      </c>
      <c r="K7424" s="19" t="n">
        <v>0</v>
      </c>
      <c r="L7424" s="17"/>
    </row>
    <row r="7425" s="11" customFormat="true" ht="10.95" hidden="false" customHeight="true" outlineLevel="0" collapsed="false">
      <c r="A7425" s="16" t="n">
        <v>45435</v>
      </c>
      <c r="B7425" s="17" t="s">
        <v>3369</v>
      </c>
      <c r="C7425" s="17" t="s">
        <v>3370</v>
      </c>
      <c r="D7425" s="17" t="s">
        <v>19</v>
      </c>
      <c r="E7425" s="17" t="s">
        <v>3450</v>
      </c>
      <c r="F7425" s="17" t="s">
        <v>1256</v>
      </c>
      <c r="G7425" s="18" t="n">
        <v>2082.28</v>
      </c>
      <c r="H7425" s="18" t="n">
        <v>0</v>
      </c>
      <c r="I7425" s="18" t="n">
        <f aca="false">((I7424 + G7425) - H7425)</f>
        <v>205893.16</v>
      </c>
      <c r="J7425" s="18" t="n">
        <v>0</v>
      </c>
      <c r="K7425" s="19" t="n">
        <v>0</v>
      </c>
      <c r="L7425" s="17"/>
    </row>
    <row r="7426" s="11" customFormat="true" ht="10.95" hidden="false" customHeight="true" outlineLevel="0" collapsed="false">
      <c r="A7426" s="16" t="n">
        <v>45435</v>
      </c>
      <c r="B7426" s="17" t="s">
        <v>3369</v>
      </c>
      <c r="C7426" s="17" t="s">
        <v>3370</v>
      </c>
      <c r="D7426" s="17" t="s">
        <v>19</v>
      </c>
      <c r="E7426" s="17" t="s">
        <v>3450</v>
      </c>
      <c r="F7426" s="17" t="s">
        <v>1257</v>
      </c>
      <c r="G7426" s="18" t="n">
        <v>132.91</v>
      </c>
      <c r="H7426" s="18" t="n">
        <v>0</v>
      </c>
      <c r="I7426" s="18" t="n">
        <f aca="false">((I7425 + G7426) - H7426)</f>
        <v>206026.07</v>
      </c>
      <c r="J7426" s="18" t="n">
        <v>0</v>
      </c>
      <c r="K7426" s="19" t="n">
        <v>0</v>
      </c>
      <c r="L7426" s="17"/>
    </row>
    <row r="7427" s="11" customFormat="true" ht="10.95" hidden="false" customHeight="true" outlineLevel="0" collapsed="false">
      <c r="A7427" s="16" t="n">
        <v>45435</v>
      </c>
      <c r="B7427" s="17" t="s">
        <v>3369</v>
      </c>
      <c r="C7427" s="17" t="s">
        <v>3370</v>
      </c>
      <c r="D7427" s="17" t="s">
        <v>19</v>
      </c>
      <c r="E7427" s="17" t="s">
        <v>3450</v>
      </c>
      <c r="F7427" s="17" t="s">
        <v>1258</v>
      </c>
      <c r="G7427" s="18" t="n">
        <v>1013.91</v>
      </c>
      <c r="H7427" s="18" t="n">
        <v>0</v>
      </c>
      <c r="I7427" s="18" t="n">
        <f aca="false">((I7426 + G7427) - H7427)</f>
        <v>207039.98</v>
      </c>
      <c r="J7427" s="18" t="n">
        <v>0</v>
      </c>
      <c r="K7427" s="19" t="n">
        <v>0</v>
      </c>
      <c r="L7427" s="17"/>
    </row>
    <row r="7428" s="11" customFormat="true" ht="10.95" hidden="false" customHeight="true" outlineLevel="0" collapsed="false">
      <c r="A7428" s="16" t="n">
        <v>45435</v>
      </c>
      <c r="B7428" s="17" t="s">
        <v>3369</v>
      </c>
      <c r="C7428" s="17" t="s">
        <v>3370</v>
      </c>
      <c r="D7428" s="17" t="s">
        <v>19</v>
      </c>
      <c r="E7428" s="17" t="s">
        <v>3451</v>
      </c>
      <c r="F7428" s="17" t="s">
        <v>711</v>
      </c>
      <c r="G7428" s="18" t="n">
        <v>1278.2</v>
      </c>
      <c r="H7428" s="18" t="n">
        <v>0</v>
      </c>
      <c r="I7428" s="18" t="n">
        <f aca="false">((I7427 + G7428) - H7428)</f>
        <v>208318.18</v>
      </c>
      <c r="J7428" s="18" t="n">
        <v>0</v>
      </c>
      <c r="K7428" s="19" t="n">
        <v>0</v>
      </c>
      <c r="L7428" s="17"/>
    </row>
    <row r="7429" s="11" customFormat="true" ht="10.95" hidden="false" customHeight="true" outlineLevel="0" collapsed="false">
      <c r="A7429" s="16" t="n">
        <v>45435</v>
      </c>
      <c r="B7429" s="17" t="s">
        <v>3369</v>
      </c>
      <c r="C7429" s="17" t="s">
        <v>3370</v>
      </c>
      <c r="D7429" s="17" t="s">
        <v>19</v>
      </c>
      <c r="E7429" s="17" t="s">
        <v>3454</v>
      </c>
      <c r="F7429" s="17" t="s">
        <v>712</v>
      </c>
      <c r="G7429" s="18" t="n">
        <v>22758.62</v>
      </c>
      <c r="H7429" s="18" t="n">
        <v>0</v>
      </c>
      <c r="I7429" s="18" t="n">
        <f aca="false">((I7428 + G7429) - H7429)</f>
        <v>231076.8</v>
      </c>
      <c r="J7429" s="18" t="n">
        <v>0</v>
      </c>
      <c r="K7429" s="19" t="n">
        <v>0</v>
      </c>
      <c r="L7429" s="17"/>
    </row>
    <row r="7430" s="11" customFormat="true" ht="10.95" hidden="false" customHeight="true" outlineLevel="0" collapsed="false">
      <c r="A7430" s="16" t="n">
        <v>45435</v>
      </c>
      <c r="B7430" s="17" t="s">
        <v>3369</v>
      </c>
      <c r="C7430" s="17" t="s">
        <v>3370</v>
      </c>
      <c r="D7430" s="17" t="s">
        <v>19</v>
      </c>
      <c r="E7430" s="17" t="s">
        <v>3502</v>
      </c>
      <c r="F7430" s="17" t="s">
        <v>719</v>
      </c>
      <c r="G7430" s="18" t="n">
        <v>78.65</v>
      </c>
      <c r="H7430" s="18" t="n">
        <v>0</v>
      </c>
      <c r="I7430" s="18" t="n">
        <f aca="false">((I7429 + G7430) - H7430)</f>
        <v>231155.45</v>
      </c>
      <c r="J7430" s="18" t="n">
        <v>0</v>
      </c>
      <c r="K7430" s="19" t="n">
        <v>0</v>
      </c>
      <c r="L7430" s="17"/>
    </row>
    <row r="7431" s="11" customFormat="true" ht="10.95" hidden="false" customHeight="true" outlineLevel="0" collapsed="false">
      <c r="A7431" s="16" t="n">
        <v>45435</v>
      </c>
      <c r="B7431" s="17" t="s">
        <v>3369</v>
      </c>
      <c r="C7431" s="17" t="s">
        <v>3370</v>
      </c>
      <c r="D7431" s="17" t="s">
        <v>3477</v>
      </c>
      <c r="E7431" s="17" t="s">
        <v>3502</v>
      </c>
      <c r="F7431" s="17" t="s">
        <v>719</v>
      </c>
      <c r="G7431" s="18" t="n">
        <v>0</v>
      </c>
      <c r="H7431" s="18" t="n">
        <v>78.65</v>
      </c>
      <c r="I7431" s="18" t="n">
        <f aca="false">((I7430 + G7431) - H7431)</f>
        <v>231076.8</v>
      </c>
      <c r="J7431" s="18" t="n">
        <v>0</v>
      </c>
      <c r="K7431" s="19" t="n">
        <v>0</v>
      </c>
      <c r="L7431" s="17"/>
    </row>
    <row r="7432" s="11" customFormat="true" ht="10.95" hidden="false" customHeight="true" outlineLevel="0" collapsed="false">
      <c r="A7432" s="16" t="n">
        <v>45435</v>
      </c>
      <c r="B7432" s="17" t="s">
        <v>3369</v>
      </c>
      <c r="C7432" s="17" t="s">
        <v>3370</v>
      </c>
      <c r="D7432" s="17" t="s">
        <v>3477</v>
      </c>
      <c r="E7432" s="17" t="s">
        <v>3502</v>
      </c>
      <c r="F7432" s="17" t="s">
        <v>473</v>
      </c>
      <c r="G7432" s="18" t="n">
        <v>78.65</v>
      </c>
      <c r="H7432" s="18" t="n">
        <v>0</v>
      </c>
      <c r="I7432" s="18" t="n">
        <f aca="false">((I7431 + G7432) - H7432)</f>
        <v>231155.45</v>
      </c>
      <c r="J7432" s="18" t="n">
        <v>0</v>
      </c>
      <c r="K7432" s="19" t="n">
        <v>0</v>
      </c>
      <c r="L7432" s="17"/>
    </row>
    <row r="7433" s="11" customFormat="true" ht="10.95" hidden="false" customHeight="true" outlineLevel="0" collapsed="false">
      <c r="A7433" s="16" t="n">
        <v>45435</v>
      </c>
      <c r="B7433" s="17" t="s">
        <v>3369</v>
      </c>
      <c r="C7433" s="17" t="s">
        <v>3370</v>
      </c>
      <c r="D7433" s="17" t="s">
        <v>2895</v>
      </c>
      <c r="E7433" s="17" t="s">
        <v>3088</v>
      </c>
      <c r="F7433" s="17" t="s">
        <v>1018</v>
      </c>
      <c r="G7433" s="18" t="n">
        <v>0</v>
      </c>
      <c r="H7433" s="18" t="n">
        <v>223.12</v>
      </c>
      <c r="I7433" s="18" t="n">
        <f aca="false">((I7432 + G7433) - H7433)</f>
        <v>230932.33</v>
      </c>
      <c r="J7433" s="18" t="n">
        <v>0</v>
      </c>
      <c r="K7433" s="19" t="n">
        <v>0</v>
      </c>
      <c r="L7433" s="17"/>
    </row>
    <row r="7434" s="11" customFormat="true" ht="10.95" hidden="false" customHeight="true" outlineLevel="0" collapsed="false">
      <c r="A7434" s="16" t="n">
        <v>45435</v>
      </c>
      <c r="B7434" s="17" t="s">
        <v>3369</v>
      </c>
      <c r="C7434" s="17" t="s">
        <v>3370</v>
      </c>
      <c r="D7434" s="17" t="s">
        <v>2895</v>
      </c>
      <c r="E7434" s="17" t="s">
        <v>3453</v>
      </c>
      <c r="F7434" s="17" t="s">
        <v>676</v>
      </c>
      <c r="G7434" s="18" t="n">
        <v>0</v>
      </c>
      <c r="H7434" s="18" t="n">
        <v>93.5</v>
      </c>
      <c r="I7434" s="18" t="n">
        <f aca="false">((I7433 + G7434) - H7434)</f>
        <v>230838.83</v>
      </c>
      <c r="J7434" s="18" t="n">
        <v>0</v>
      </c>
      <c r="K7434" s="19" t="n">
        <v>0</v>
      </c>
      <c r="L7434" s="17"/>
    </row>
    <row r="7435" s="11" customFormat="true" ht="10.95" hidden="false" customHeight="true" outlineLevel="0" collapsed="false">
      <c r="A7435" s="16" t="n">
        <v>45435</v>
      </c>
      <c r="B7435" s="17" t="s">
        <v>3369</v>
      </c>
      <c r="C7435" s="17" t="s">
        <v>3370</v>
      </c>
      <c r="D7435" s="17" t="s">
        <v>19</v>
      </c>
      <c r="E7435" s="17" t="s">
        <v>3409</v>
      </c>
      <c r="F7435" s="17" t="s">
        <v>921</v>
      </c>
      <c r="G7435" s="18" t="n">
        <v>3778.48</v>
      </c>
      <c r="H7435" s="18" t="n">
        <v>0</v>
      </c>
      <c r="I7435" s="18" t="n">
        <f aca="false">((I7434 + G7435) - H7435)</f>
        <v>234617.31</v>
      </c>
      <c r="J7435" s="18" t="n">
        <v>0</v>
      </c>
      <c r="K7435" s="19" t="n">
        <v>0</v>
      </c>
      <c r="L7435" s="17"/>
    </row>
    <row r="7436" s="11" customFormat="true" ht="10.95" hidden="false" customHeight="true" outlineLevel="0" collapsed="false">
      <c r="A7436" s="16" t="n">
        <v>45435</v>
      </c>
      <c r="B7436" s="17" t="s">
        <v>3369</v>
      </c>
      <c r="C7436" s="17" t="s">
        <v>3370</v>
      </c>
      <c r="D7436" s="17" t="s">
        <v>19</v>
      </c>
      <c r="E7436" s="17" t="s">
        <v>3447</v>
      </c>
      <c r="F7436" s="17" t="s">
        <v>720</v>
      </c>
      <c r="G7436" s="18" t="n">
        <v>455.4</v>
      </c>
      <c r="H7436" s="18" t="n">
        <v>0</v>
      </c>
      <c r="I7436" s="18" t="n">
        <f aca="false">((I7435 + G7436) - H7436)</f>
        <v>235072.71</v>
      </c>
      <c r="J7436" s="18" t="n">
        <v>0</v>
      </c>
      <c r="K7436" s="19" t="n">
        <v>0</v>
      </c>
      <c r="L7436" s="17"/>
    </row>
    <row r="7437" s="11" customFormat="true" ht="10.95" hidden="false" customHeight="true" outlineLevel="0" collapsed="false">
      <c r="A7437" s="16" t="n">
        <v>45435</v>
      </c>
      <c r="B7437" s="17" t="s">
        <v>3369</v>
      </c>
      <c r="C7437" s="17" t="s">
        <v>3370</v>
      </c>
      <c r="D7437" s="17" t="s">
        <v>19</v>
      </c>
      <c r="E7437" s="17" t="s">
        <v>3450</v>
      </c>
      <c r="F7437" s="17" t="s">
        <v>1259</v>
      </c>
      <c r="G7437" s="18" t="n">
        <v>1110.35</v>
      </c>
      <c r="H7437" s="18" t="n">
        <v>0</v>
      </c>
      <c r="I7437" s="18" t="n">
        <f aca="false">((I7436 + G7437) - H7437)</f>
        <v>236183.06</v>
      </c>
      <c r="J7437" s="18" t="n">
        <v>0</v>
      </c>
      <c r="K7437" s="19" t="n">
        <v>0</v>
      </c>
      <c r="L7437" s="17"/>
    </row>
    <row r="7438" s="11" customFormat="true" ht="10.95" hidden="false" customHeight="true" outlineLevel="0" collapsed="false">
      <c r="A7438" s="16" t="n">
        <v>45436</v>
      </c>
      <c r="B7438" s="17" t="s">
        <v>3369</v>
      </c>
      <c r="C7438" s="17" t="s">
        <v>3370</v>
      </c>
      <c r="D7438" s="17" t="s">
        <v>2895</v>
      </c>
      <c r="E7438" s="17" t="s">
        <v>3127</v>
      </c>
      <c r="F7438" s="17" t="s">
        <v>1036</v>
      </c>
      <c r="G7438" s="18" t="n">
        <v>0</v>
      </c>
      <c r="H7438" s="18" t="n">
        <v>1771.99</v>
      </c>
      <c r="I7438" s="18" t="n">
        <f aca="false">((I7437 + G7438) - H7438)</f>
        <v>234411.07</v>
      </c>
      <c r="J7438" s="18" t="n">
        <v>0</v>
      </c>
      <c r="K7438" s="19" t="n">
        <v>0</v>
      </c>
      <c r="L7438" s="17"/>
    </row>
    <row r="7439" s="11" customFormat="true" ht="10.95" hidden="false" customHeight="true" outlineLevel="0" collapsed="false">
      <c r="A7439" s="16" t="n">
        <v>45440</v>
      </c>
      <c r="B7439" s="17" t="s">
        <v>3369</v>
      </c>
      <c r="C7439" s="17" t="s">
        <v>3370</v>
      </c>
      <c r="D7439" s="17" t="s">
        <v>2895</v>
      </c>
      <c r="E7439" s="17" t="s">
        <v>3057</v>
      </c>
      <c r="F7439" s="17" t="s">
        <v>1034</v>
      </c>
      <c r="G7439" s="18" t="n">
        <v>0</v>
      </c>
      <c r="H7439" s="18" t="n">
        <v>2697.39</v>
      </c>
      <c r="I7439" s="18" t="n">
        <f aca="false">((I7438 + G7439) - H7439)</f>
        <v>231713.68</v>
      </c>
      <c r="J7439" s="18" t="n">
        <v>0</v>
      </c>
      <c r="K7439" s="19" t="n">
        <v>0</v>
      </c>
      <c r="L7439" s="17"/>
    </row>
    <row r="7440" s="11" customFormat="true" ht="10.95" hidden="false" customHeight="true" outlineLevel="0" collapsed="false">
      <c r="A7440" s="16" t="n">
        <v>45440</v>
      </c>
      <c r="B7440" s="17" t="s">
        <v>3369</v>
      </c>
      <c r="C7440" s="17" t="s">
        <v>3370</v>
      </c>
      <c r="D7440" s="17" t="s">
        <v>2895</v>
      </c>
      <c r="E7440" s="17" t="s">
        <v>3498</v>
      </c>
      <c r="F7440" s="17" t="s">
        <v>685</v>
      </c>
      <c r="G7440" s="18" t="n">
        <v>0</v>
      </c>
      <c r="H7440" s="18" t="n">
        <v>561</v>
      </c>
      <c r="I7440" s="18" t="n">
        <f aca="false">((I7439 + G7440) - H7440)</f>
        <v>231152.68</v>
      </c>
      <c r="J7440" s="18" t="n">
        <v>0</v>
      </c>
      <c r="K7440" s="19" t="n">
        <v>0</v>
      </c>
      <c r="L7440" s="17"/>
    </row>
    <row r="7441" s="11" customFormat="true" ht="10.95" hidden="false" customHeight="true" outlineLevel="0" collapsed="false">
      <c r="A7441" s="16" t="n">
        <v>45441</v>
      </c>
      <c r="B7441" s="17" t="s">
        <v>3369</v>
      </c>
      <c r="C7441" s="17" t="s">
        <v>3370</v>
      </c>
      <c r="D7441" s="17" t="s">
        <v>2895</v>
      </c>
      <c r="E7441" s="17" t="s">
        <v>3153</v>
      </c>
      <c r="F7441" s="17" t="s">
        <v>1016</v>
      </c>
      <c r="G7441" s="18" t="n">
        <v>0</v>
      </c>
      <c r="H7441" s="18" t="n">
        <v>11129.47</v>
      </c>
      <c r="I7441" s="18" t="n">
        <f aca="false">((I7440 + G7441) - H7441)</f>
        <v>220023.21</v>
      </c>
      <c r="J7441" s="18" t="n">
        <v>0</v>
      </c>
      <c r="K7441" s="19" t="n">
        <v>0</v>
      </c>
      <c r="L7441" s="17"/>
    </row>
    <row r="7442" s="11" customFormat="true" ht="10.95" hidden="false" customHeight="true" outlineLevel="0" collapsed="false">
      <c r="A7442" s="16" t="n">
        <v>45441</v>
      </c>
      <c r="B7442" s="17" t="s">
        <v>3369</v>
      </c>
      <c r="C7442" s="17" t="s">
        <v>3370</v>
      </c>
      <c r="D7442" s="17" t="s">
        <v>2895</v>
      </c>
      <c r="E7442" s="17" t="s">
        <v>3505</v>
      </c>
      <c r="F7442" s="17" t="s">
        <v>668</v>
      </c>
      <c r="G7442" s="18" t="n">
        <v>0</v>
      </c>
      <c r="H7442" s="18" t="n">
        <v>157.3</v>
      </c>
      <c r="I7442" s="18" t="n">
        <f aca="false">((I7441 + G7442) - H7442)</f>
        <v>219865.91</v>
      </c>
      <c r="J7442" s="18" t="n">
        <v>0</v>
      </c>
      <c r="K7442" s="19" t="n">
        <v>0</v>
      </c>
      <c r="L7442" s="17"/>
    </row>
    <row r="7443" s="11" customFormat="true" ht="10.95" hidden="false" customHeight="true" outlineLevel="0" collapsed="false">
      <c r="A7443" s="16" t="n">
        <v>45441</v>
      </c>
      <c r="B7443" s="17" t="s">
        <v>3369</v>
      </c>
      <c r="C7443" s="17" t="s">
        <v>3370</v>
      </c>
      <c r="D7443" s="17" t="s">
        <v>2895</v>
      </c>
      <c r="E7443" s="17" t="s">
        <v>3155</v>
      </c>
      <c r="F7443" s="17" t="s">
        <v>903</v>
      </c>
      <c r="G7443" s="18" t="n">
        <v>0</v>
      </c>
      <c r="H7443" s="18" t="n">
        <v>6451.74</v>
      </c>
      <c r="I7443" s="18" t="n">
        <f aca="false">((I7442 + G7443) - H7443)</f>
        <v>213414.17</v>
      </c>
      <c r="J7443" s="18" t="n">
        <v>0</v>
      </c>
      <c r="K7443" s="19" t="n">
        <v>0</v>
      </c>
      <c r="L7443" s="17"/>
    </row>
    <row r="7444" s="11" customFormat="true" ht="10.95" hidden="false" customHeight="true" outlineLevel="0" collapsed="false">
      <c r="A7444" s="16" t="n">
        <v>45441</v>
      </c>
      <c r="B7444" s="17" t="s">
        <v>3369</v>
      </c>
      <c r="C7444" s="17" t="s">
        <v>3370</v>
      </c>
      <c r="D7444" s="17" t="s">
        <v>2895</v>
      </c>
      <c r="E7444" s="17" t="s">
        <v>3534</v>
      </c>
      <c r="F7444" s="17" t="s">
        <v>666</v>
      </c>
      <c r="G7444" s="18" t="n">
        <v>0</v>
      </c>
      <c r="H7444" s="18" t="n">
        <v>114.95</v>
      </c>
      <c r="I7444" s="18" t="n">
        <f aca="false">((I7443 + G7444) - H7444)</f>
        <v>213299.22</v>
      </c>
      <c r="J7444" s="18" t="n">
        <v>0</v>
      </c>
      <c r="K7444" s="19" t="n">
        <v>0</v>
      </c>
      <c r="L7444" s="17"/>
    </row>
    <row r="7445" s="11" customFormat="true" ht="10.95" hidden="false" customHeight="true" outlineLevel="0" collapsed="false">
      <c r="A7445" s="16" t="n">
        <v>45442</v>
      </c>
      <c r="B7445" s="17" t="s">
        <v>3369</v>
      </c>
      <c r="C7445" s="17" t="s">
        <v>3370</v>
      </c>
      <c r="D7445" s="17" t="s">
        <v>2895</v>
      </c>
      <c r="E7445" s="17" t="s">
        <v>3496</v>
      </c>
      <c r="F7445" s="17" t="s">
        <v>677</v>
      </c>
      <c r="G7445" s="18" t="n">
        <v>0</v>
      </c>
      <c r="H7445" s="18" t="n">
        <v>5414.1</v>
      </c>
      <c r="I7445" s="18" t="n">
        <f aca="false">((I7444 + G7445) - H7445)</f>
        <v>207885.12</v>
      </c>
      <c r="J7445" s="18" t="n">
        <v>0</v>
      </c>
      <c r="K7445" s="19" t="n">
        <v>0</v>
      </c>
      <c r="L7445" s="17"/>
    </row>
    <row r="7446" s="11" customFormat="true" ht="10.95" hidden="false" customHeight="true" outlineLevel="0" collapsed="false">
      <c r="A7446" s="16" t="n">
        <v>45442</v>
      </c>
      <c r="B7446" s="17" t="s">
        <v>3369</v>
      </c>
      <c r="C7446" s="17" t="s">
        <v>3370</v>
      </c>
      <c r="D7446" s="17" t="s">
        <v>2895</v>
      </c>
      <c r="E7446" s="17" t="s">
        <v>3456</v>
      </c>
      <c r="F7446" s="17" t="s">
        <v>684</v>
      </c>
      <c r="G7446" s="18" t="n">
        <v>0</v>
      </c>
      <c r="H7446" s="18" t="n">
        <v>2244</v>
      </c>
      <c r="I7446" s="18" t="n">
        <f aca="false">((I7445 + G7446) - H7446)</f>
        <v>205641.12</v>
      </c>
      <c r="J7446" s="18" t="n">
        <v>0</v>
      </c>
      <c r="K7446" s="19" t="n">
        <v>0</v>
      </c>
      <c r="L7446" s="17"/>
    </row>
    <row r="7447" s="11" customFormat="true" ht="10.95" hidden="false" customHeight="true" outlineLevel="0" collapsed="false">
      <c r="A7447" s="16" t="n">
        <v>45442</v>
      </c>
      <c r="B7447" s="17" t="s">
        <v>3369</v>
      </c>
      <c r="C7447" s="17" t="s">
        <v>3370</v>
      </c>
      <c r="D7447" s="17" t="s">
        <v>2895</v>
      </c>
      <c r="E7447" s="17" t="s">
        <v>3456</v>
      </c>
      <c r="F7447" s="17" t="s">
        <v>683</v>
      </c>
      <c r="G7447" s="18" t="n">
        <v>0</v>
      </c>
      <c r="H7447" s="18" t="n">
        <v>103.5</v>
      </c>
      <c r="I7447" s="18" t="n">
        <f aca="false">((I7446 + G7447) - H7447)</f>
        <v>205537.62</v>
      </c>
      <c r="J7447" s="18" t="n">
        <v>0</v>
      </c>
      <c r="K7447" s="19" t="n">
        <v>0</v>
      </c>
      <c r="L7447" s="17"/>
    </row>
    <row r="7448" s="11" customFormat="true" ht="10.95" hidden="false" customHeight="true" outlineLevel="0" collapsed="false">
      <c r="A7448" s="16" t="n">
        <v>45442</v>
      </c>
      <c r="B7448" s="17" t="s">
        <v>3369</v>
      </c>
      <c r="C7448" s="17" t="s">
        <v>3370</v>
      </c>
      <c r="D7448" s="17" t="s">
        <v>2895</v>
      </c>
      <c r="E7448" s="17" t="s">
        <v>3497</v>
      </c>
      <c r="F7448" s="17" t="s">
        <v>692</v>
      </c>
      <c r="G7448" s="18" t="n">
        <v>0</v>
      </c>
      <c r="H7448" s="18" t="n">
        <v>913</v>
      </c>
      <c r="I7448" s="18" t="n">
        <f aca="false">((I7447 + G7448) - H7448)</f>
        <v>204624.62</v>
      </c>
      <c r="J7448" s="18" t="n">
        <v>0</v>
      </c>
      <c r="K7448" s="19" t="n">
        <v>0</v>
      </c>
      <c r="L7448" s="17"/>
    </row>
    <row r="7449" s="11" customFormat="true" ht="10.95" hidden="false" customHeight="true" outlineLevel="0" collapsed="false">
      <c r="A7449" s="16" t="n">
        <v>45442</v>
      </c>
      <c r="B7449" s="17" t="s">
        <v>3369</v>
      </c>
      <c r="C7449" s="17" t="s">
        <v>3370</v>
      </c>
      <c r="D7449" s="17" t="s">
        <v>2895</v>
      </c>
      <c r="E7449" s="17" t="s">
        <v>3401</v>
      </c>
      <c r="F7449" s="17" t="s">
        <v>674</v>
      </c>
      <c r="G7449" s="18" t="n">
        <v>0</v>
      </c>
      <c r="H7449" s="18" t="n">
        <v>654.5</v>
      </c>
      <c r="I7449" s="18" t="n">
        <f aca="false">((I7448 + G7449) - H7449)</f>
        <v>203970.12</v>
      </c>
      <c r="J7449" s="18" t="n">
        <v>0</v>
      </c>
      <c r="K7449" s="19" t="n">
        <v>0</v>
      </c>
      <c r="L7449" s="17"/>
    </row>
    <row r="7450" s="11" customFormat="true" ht="10.95" hidden="false" customHeight="true" outlineLevel="0" collapsed="false">
      <c r="A7450" s="16" t="n">
        <v>45442</v>
      </c>
      <c r="B7450" s="17" t="s">
        <v>3369</v>
      </c>
      <c r="C7450" s="17" t="s">
        <v>3370</v>
      </c>
      <c r="D7450" s="17" t="s">
        <v>2895</v>
      </c>
      <c r="E7450" s="17" t="s">
        <v>3466</v>
      </c>
      <c r="F7450" s="17" t="s">
        <v>682</v>
      </c>
      <c r="G7450" s="18" t="n">
        <v>0</v>
      </c>
      <c r="H7450" s="18" t="n">
        <v>396</v>
      </c>
      <c r="I7450" s="18" t="n">
        <f aca="false">((I7449 + G7450) - H7450)</f>
        <v>203574.12</v>
      </c>
      <c r="J7450" s="18" t="n">
        <v>0</v>
      </c>
      <c r="K7450" s="19" t="n">
        <v>0</v>
      </c>
      <c r="L7450" s="17"/>
    </row>
    <row r="7451" s="11" customFormat="true" ht="10.95" hidden="false" customHeight="true" outlineLevel="0" collapsed="false">
      <c r="A7451" s="16" t="n">
        <v>45442</v>
      </c>
      <c r="B7451" s="17" t="s">
        <v>3369</v>
      </c>
      <c r="C7451" s="17" t="s">
        <v>3370</v>
      </c>
      <c r="D7451" s="17" t="s">
        <v>2895</v>
      </c>
      <c r="E7451" s="17" t="s">
        <v>3480</v>
      </c>
      <c r="F7451" s="17" t="s">
        <v>1239</v>
      </c>
      <c r="G7451" s="18" t="n">
        <v>0</v>
      </c>
      <c r="H7451" s="18" t="n">
        <v>180</v>
      </c>
      <c r="I7451" s="18" t="n">
        <f aca="false">((I7450 + G7451) - H7451)</f>
        <v>203394.12</v>
      </c>
      <c r="J7451" s="18" t="n">
        <v>0</v>
      </c>
      <c r="K7451" s="19" t="n">
        <v>0</v>
      </c>
      <c r="L7451" s="17"/>
    </row>
    <row r="7452" s="11" customFormat="true" ht="10.95" hidden="false" customHeight="true" outlineLevel="0" collapsed="false">
      <c r="A7452" s="16" t="n">
        <v>45443</v>
      </c>
      <c r="B7452" s="17" t="s">
        <v>3369</v>
      </c>
      <c r="C7452" s="17" t="s">
        <v>3370</v>
      </c>
      <c r="D7452" s="17" t="s">
        <v>19</v>
      </c>
      <c r="E7452" s="17" t="s">
        <v>3430</v>
      </c>
      <c r="F7452" s="17" t="s">
        <v>923</v>
      </c>
      <c r="G7452" s="18" t="n">
        <v>1437.25</v>
      </c>
      <c r="H7452" s="18" t="n">
        <v>0</v>
      </c>
      <c r="I7452" s="18" t="n">
        <f aca="false">((I7451 + G7452) - H7452)</f>
        <v>204831.37</v>
      </c>
      <c r="J7452" s="18" t="n">
        <v>0</v>
      </c>
      <c r="K7452" s="19" t="n">
        <v>0</v>
      </c>
      <c r="L7452" s="17"/>
    </row>
    <row r="7453" s="11" customFormat="true" ht="10.95" hidden="false" customHeight="true" outlineLevel="0" collapsed="false">
      <c r="A7453" s="16" t="n">
        <v>45443</v>
      </c>
      <c r="B7453" s="17" t="s">
        <v>3369</v>
      </c>
      <c r="C7453" s="17" t="s">
        <v>3370</v>
      </c>
      <c r="D7453" s="17" t="s">
        <v>2895</v>
      </c>
      <c r="E7453" s="17" t="s">
        <v>3382</v>
      </c>
      <c r="F7453" s="17" t="s">
        <v>644</v>
      </c>
      <c r="G7453" s="18" t="n">
        <v>0</v>
      </c>
      <c r="H7453" s="18" t="n">
        <v>19683.02</v>
      </c>
      <c r="I7453" s="18" t="n">
        <f aca="false">((I7452 + G7453) - H7453)</f>
        <v>185148.35</v>
      </c>
      <c r="J7453" s="18" t="n">
        <v>0</v>
      </c>
      <c r="K7453" s="19" t="n">
        <v>0</v>
      </c>
      <c r="L7453" s="17"/>
    </row>
    <row r="7454" s="11" customFormat="true" ht="10.95" hidden="false" customHeight="true" outlineLevel="0" collapsed="false">
      <c r="A7454" s="16" t="n">
        <v>45443</v>
      </c>
      <c r="B7454" s="17" t="s">
        <v>3369</v>
      </c>
      <c r="C7454" s="17" t="s">
        <v>3370</v>
      </c>
      <c r="D7454" s="17" t="s">
        <v>2895</v>
      </c>
      <c r="E7454" s="17" t="s">
        <v>3465</v>
      </c>
      <c r="F7454" s="17" t="s">
        <v>681</v>
      </c>
      <c r="G7454" s="18" t="n">
        <v>0</v>
      </c>
      <c r="H7454" s="18" t="n">
        <v>1094.5</v>
      </c>
      <c r="I7454" s="18" t="n">
        <f aca="false">((I7453 + G7454) - H7454)</f>
        <v>184053.85</v>
      </c>
      <c r="J7454" s="18" t="n">
        <v>0</v>
      </c>
      <c r="K7454" s="19" t="n">
        <v>0</v>
      </c>
      <c r="L7454" s="17"/>
    </row>
    <row r="7455" s="11" customFormat="true" ht="10.95" hidden="false" customHeight="true" outlineLevel="0" collapsed="false">
      <c r="A7455" s="16" t="n">
        <v>45443</v>
      </c>
      <c r="B7455" s="17" t="s">
        <v>3369</v>
      </c>
      <c r="C7455" s="17" t="s">
        <v>3370</v>
      </c>
      <c r="D7455" s="17" t="s">
        <v>2895</v>
      </c>
      <c r="E7455" s="17" t="s">
        <v>2934</v>
      </c>
      <c r="F7455" s="17" t="s">
        <v>1024</v>
      </c>
      <c r="G7455" s="18" t="n">
        <v>0</v>
      </c>
      <c r="H7455" s="18" t="n">
        <v>904.57</v>
      </c>
      <c r="I7455" s="18" t="n">
        <f aca="false">((I7454 + G7455) - H7455)</f>
        <v>183149.28</v>
      </c>
      <c r="J7455" s="18" t="n">
        <v>0</v>
      </c>
      <c r="K7455" s="19" t="n">
        <v>0</v>
      </c>
      <c r="L7455" s="17"/>
    </row>
    <row r="7456" s="11" customFormat="true" ht="10.95" hidden="false" customHeight="true" outlineLevel="0" collapsed="false">
      <c r="A7456" s="16" t="n">
        <v>45444</v>
      </c>
      <c r="B7456" s="17" t="s">
        <v>3369</v>
      </c>
      <c r="C7456" s="17" t="s">
        <v>3370</v>
      </c>
      <c r="D7456" s="17" t="s">
        <v>2895</v>
      </c>
      <c r="E7456" s="17" t="s">
        <v>2896</v>
      </c>
      <c r="F7456" s="17" t="s">
        <v>914</v>
      </c>
      <c r="G7456" s="18" t="n">
        <v>0</v>
      </c>
      <c r="H7456" s="18" t="n">
        <v>89.44</v>
      </c>
      <c r="I7456" s="18" t="n">
        <f aca="false">((I7455 + G7456) - H7456)</f>
        <v>183059.84</v>
      </c>
      <c r="J7456" s="18" t="n">
        <v>0</v>
      </c>
      <c r="K7456" s="19" t="n">
        <v>0</v>
      </c>
      <c r="L7456" s="17"/>
    </row>
    <row r="7457" s="11" customFormat="true" ht="10.95" hidden="false" customHeight="true" outlineLevel="0" collapsed="false">
      <c r="A7457" s="16" t="n">
        <v>45445</v>
      </c>
      <c r="B7457" s="17" t="s">
        <v>3369</v>
      </c>
      <c r="C7457" s="17" t="s">
        <v>3370</v>
      </c>
      <c r="D7457" s="17" t="s">
        <v>2895</v>
      </c>
      <c r="E7457" s="17" t="s">
        <v>3467</v>
      </c>
      <c r="F7457" s="17" t="s">
        <v>675</v>
      </c>
      <c r="G7457" s="18" t="n">
        <v>0</v>
      </c>
      <c r="H7457" s="18" t="n">
        <v>1385.45</v>
      </c>
      <c r="I7457" s="18" t="n">
        <f aca="false">((I7456 + G7457) - H7457)</f>
        <v>181674.39</v>
      </c>
      <c r="J7457" s="18" t="n">
        <v>0</v>
      </c>
      <c r="K7457" s="19" t="n">
        <v>0</v>
      </c>
      <c r="L7457" s="17"/>
    </row>
    <row r="7458" s="11" customFormat="true" ht="10.95" hidden="false" customHeight="true" outlineLevel="0" collapsed="false">
      <c r="A7458" s="16" t="n">
        <v>45446</v>
      </c>
      <c r="B7458" s="17" t="s">
        <v>3369</v>
      </c>
      <c r="C7458" s="17" t="s">
        <v>3370</v>
      </c>
      <c r="D7458" s="17" t="s">
        <v>2895</v>
      </c>
      <c r="E7458" s="17" t="s">
        <v>3378</v>
      </c>
      <c r="F7458" s="17" t="s">
        <v>549</v>
      </c>
      <c r="G7458" s="18" t="n">
        <v>0</v>
      </c>
      <c r="H7458" s="18" t="n">
        <v>413.6</v>
      </c>
      <c r="I7458" s="18" t="n">
        <f aca="false">((I7457 + G7458) - H7458)</f>
        <v>181260.79</v>
      </c>
      <c r="J7458" s="18" t="n">
        <v>0</v>
      </c>
      <c r="K7458" s="19" t="n">
        <v>0</v>
      </c>
      <c r="L7458" s="17"/>
    </row>
    <row r="7459" s="11" customFormat="true" ht="10.95" hidden="false" customHeight="true" outlineLevel="0" collapsed="false">
      <c r="A7459" s="16" t="n">
        <v>45446</v>
      </c>
      <c r="B7459" s="17" t="s">
        <v>3369</v>
      </c>
      <c r="C7459" s="17" t="s">
        <v>3370</v>
      </c>
      <c r="D7459" s="17" t="s">
        <v>2895</v>
      </c>
      <c r="E7459" s="17" t="s">
        <v>3403</v>
      </c>
      <c r="F7459" s="17" t="s">
        <v>697</v>
      </c>
      <c r="G7459" s="18" t="n">
        <v>0</v>
      </c>
      <c r="H7459" s="18" t="n">
        <v>741.4</v>
      </c>
      <c r="I7459" s="18" t="n">
        <f aca="false">((I7458 + G7459) - H7459)</f>
        <v>180519.39</v>
      </c>
      <c r="J7459" s="18" t="n">
        <v>0</v>
      </c>
      <c r="K7459" s="19" t="n">
        <v>0</v>
      </c>
      <c r="L7459" s="17"/>
    </row>
    <row r="7460" s="11" customFormat="true" ht="10.95" hidden="false" customHeight="true" outlineLevel="0" collapsed="false">
      <c r="A7460" s="16" t="n">
        <v>45446</v>
      </c>
      <c r="B7460" s="17" t="s">
        <v>3369</v>
      </c>
      <c r="C7460" s="17" t="s">
        <v>3370</v>
      </c>
      <c r="D7460" s="17" t="s">
        <v>2895</v>
      </c>
      <c r="E7460" s="17" t="s">
        <v>3403</v>
      </c>
      <c r="F7460" s="17" t="s">
        <v>705</v>
      </c>
      <c r="G7460" s="18" t="n">
        <v>0</v>
      </c>
      <c r="H7460" s="18" t="n">
        <v>310.2</v>
      </c>
      <c r="I7460" s="18" t="n">
        <f aca="false">((I7459 + G7460) - H7460)</f>
        <v>180209.19</v>
      </c>
      <c r="J7460" s="18" t="n">
        <v>0</v>
      </c>
      <c r="K7460" s="19" t="n">
        <v>0</v>
      </c>
      <c r="L7460" s="17"/>
    </row>
    <row r="7461" s="11" customFormat="true" ht="10.95" hidden="false" customHeight="true" outlineLevel="0" collapsed="false">
      <c r="A7461" s="16" t="n">
        <v>45446</v>
      </c>
      <c r="B7461" s="17" t="s">
        <v>3369</v>
      </c>
      <c r="C7461" s="17" t="s">
        <v>3370</v>
      </c>
      <c r="D7461" s="17" t="s">
        <v>2895</v>
      </c>
      <c r="E7461" s="17" t="s">
        <v>3403</v>
      </c>
      <c r="F7461" s="17" t="s">
        <v>708</v>
      </c>
      <c r="G7461" s="18" t="n">
        <v>0</v>
      </c>
      <c r="H7461" s="18" t="n">
        <v>1137.4</v>
      </c>
      <c r="I7461" s="18" t="n">
        <f aca="false">((I7460 + G7461) - H7461)</f>
        <v>179071.79</v>
      </c>
      <c r="J7461" s="18" t="n">
        <v>0</v>
      </c>
      <c r="K7461" s="19" t="n">
        <v>0</v>
      </c>
      <c r="L7461" s="17"/>
    </row>
    <row r="7462" s="11" customFormat="true" ht="10.95" hidden="false" customHeight="true" outlineLevel="0" collapsed="false">
      <c r="A7462" s="16" t="n">
        <v>45446</v>
      </c>
      <c r="B7462" s="17" t="s">
        <v>3369</v>
      </c>
      <c r="C7462" s="17" t="s">
        <v>3370</v>
      </c>
      <c r="D7462" s="17" t="s">
        <v>2895</v>
      </c>
      <c r="E7462" s="17" t="s">
        <v>3403</v>
      </c>
      <c r="F7462" s="17" t="s">
        <v>698</v>
      </c>
      <c r="G7462" s="18" t="n">
        <v>0</v>
      </c>
      <c r="H7462" s="18" t="n">
        <v>206.8</v>
      </c>
      <c r="I7462" s="18" t="n">
        <f aca="false">((I7461 + G7462) - H7462)</f>
        <v>178864.99</v>
      </c>
      <c r="J7462" s="18" t="n">
        <v>0</v>
      </c>
      <c r="K7462" s="19" t="n">
        <v>0</v>
      </c>
      <c r="L7462" s="17"/>
    </row>
    <row r="7463" s="11" customFormat="true" ht="10.95" hidden="false" customHeight="true" outlineLevel="0" collapsed="false">
      <c r="A7463" s="16" t="n">
        <v>45446</v>
      </c>
      <c r="B7463" s="17" t="s">
        <v>3369</v>
      </c>
      <c r="C7463" s="17" t="s">
        <v>3370</v>
      </c>
      <c r="D7463" s="17" t="s">
        <v>2895</v>
      </c>
      <c r="E7463" s="17" t="s">
        <v>3403</v>
      </c>
      <c r="F7463" s="17" t="s">
        <v>696</v>
      </c>
      <c r="G7463" s="18" t="n">
        <v>0</v>
      </c>
      <c r="H7463" s="18" t="n">
        <v>827.2</v>
      </c>
      <c r="I7463" s="18" t="n">
        <f aca="false">((I7462 + G7463) - H7463)</f>
        <v>178037.79</v>
      </c>
      <c r="J7463" s="18" t="n">
        <v>0</v>
      </c>
      <c r="K7463" s="19" t="n">
        <v>0</v>
      </c>
      <c r="L7463" s="17"/>
    </row>
    <row r="7464" s="11" customFormat="true" ht="10.95" hidden="false" customHeight="true" outlineLevel="0" collapsed="false">
      <c r="A7464" s="16" t="n">
        <v>45446</v>
      </c>
      <c r="B7464" s="17" t="s">
        <v>3369</v>
      </c>
      <c r="C7464" s="17" t="s">
        <v>3370</v>
      </c>
      <c r="D7464" s="17" t="s">
        <v>2895</v>
      </c>
      <c r="E7464" s="17" t="s">
        <v>3403</v>
      </c>
      <c r="F7464" s="17" t="s">
        <v>694</v>
      </c>
      <c r="G7464" s="18" t="n">
        <v>0</v>
      </c>
      <c r="H7464" s="18" t="n">
        <v>114.95</v>
      </c>
      <c r="I7464" s="18" t="n">
        <f aca="false">((I7463 + G7464) - H7464)</f>
        <v>177922.84</v>
      </c>
      <c r="J7464" s="18" t="n">
        <v>0</v>
      </c>
      <c r="K7464" s="19" t="n">
        <v>0</v>
      </c>
      <c r="L7464" s="17"/>
    </row>
    <row r="7465" s="11" customFormat="true" ht="10.95" hidden="false" customHeight="true" outlineLevel="0" collapsed="false">
      <c r="A7465" s="16" t="n">
        <v>45446</v>
      </c>
      <c r="B7465" s="17" t="s">
        <v>3369</v>
      </c>
      <c r="C7465" s="17" t="s">
        <v>3370</v>
      </c>
      <c r="D7465" s="17" t="s">
        <v>2895</v>
      </c>
      <c r="E7465" s="17" t="s">
        <v>3403</v>
      </c>
      <c r="F7465" s="17" t="s">
        <v>706</v>
      </c>
      <c r="G7465" s="18" t="n">
        <v>0</v>
      </c>
      <c r="H7465" s="18" t="n">
        <v>310.2</v>
      </c>
      <c r="I7465" s="18" t="n">
        <f aca="false">((I7464 + G7465) - H7465)</f>
        <v>177612.64</v>
      </c>
      <c r="J7465" s="18" t="n">
        <v>0</v>
      </c>
      <c r="K7465" s="19" t="n">
        <v>0</v>
      </c>
      <c r="L7465" s="17"/>
    </row>
    <row r="7466" s="11" customFormat="true" ht="10.95" hidden="false" customHeight="true" outlineLevel="0" collapsed="false">
      <c r="A7466" s="16" t="n">
        <v>45446</v>
      </c>
      <c r="B7466" s="17" t="s">
        <v>3369</v>
      </c>
      <c r="C7466" s="17" t="s">
        <v>3370</v>
      </c>
      <c r="D7466" s="17" t="s">
        <v>2895</v>
      </c>
      <c r="E7466" s="17" t="s">
        <v>3403</v>
      </c>
      <c r="F7466" s="17" t="s">
        <v>704</v>
      </c>
      <c r="G7466" s="18" t="n">
        <v>0</v>
      </c>
      <c r="H7466" s="18" t="n">
        <v>1361.8</v>
      </c>
      <c r="I7466" s="18" t="n">
        <f aca="false">((I7465 + G7466) - H7466)</f>
        <v>176250.84</v>
      </c>
      <c r="J7466" s="18" t="n">
        <v>0</v>
      </c>
      <c r="K7466" s="19" t="n">
        <v>0</v>
      </c>
      <c r="L7466" s="17"/>
    </row>
    <row r="7467" s="11" customFormat="true" ht="10.95" hidden="false" customHeight="true" outlineLevel="0" collapsed="false">
      <c r="A7467" s="16" t="n">
        <v>45446</v>
      </c>
      <c r="B7467" s="17" t="s">
        <v>3369</v>
      </c>
      <c r="C7467" s="17" t="s">
        <v>3370</v>
      </c>
      <c r="D7467" s="17" t="s">
        <v>2895</v>
      </c>
      <c r="E7467" s="17" t="s">
        <v>3403</v>
      </c>
      <c r="F7467" s="17" t="s">
        <v>703</v>
      </c>
      <c r="G7467" s="18" t="n">
        <v>0</v>
      </c>
      <c r="H7467" s="18" t="n">
        <v>1967.9</v>
      </c>
      <c r="I7467" s="18" t="n">
        <f aca="false">((I7466 + G7467) - H7467)</f>
        <v>174282.94</v>
      </c>
      <c r="J7467" s="18" t="n">
        <v>0</v>
      </c>
      <c r="K7467" s="19" t="n">
        <v>0</v>
      </c>
      <c r="L7467" s="17"/>
    </row>
    <row r="7468" s="11" customFormat="true" ht="10.95" hidden="false" customHeight="true" outlineLevel="0" collapsed="false">
      <c r="A7468" s="16" t="n">
        <v>45446</v>
      </c>
      <c r="B7468" s="17" t="s">
        <v>3369</v>
      </c>
      <c r="C7468" s="17" t="s">
        <v>3370</v>
      </c>
      <c r="D7468" s="17" t="s">
        <v>2895</v>
      </c>
      <c r="E7468" s="17" t="s">
        <v>3403</v>
      </c>
      <c r="F7468" s="17" t="s">
        <v>702</v>
      </c>
      <c r="G7468" s="18" t="n">
        <v>0</v>
      </c>
      <c r="H7468" s="18" t="n">
        <v>627</v>
      </c>
      <c r="I7468" s="18" t="n">
        <f aca="false">((I7467 + G7468) - H7468)</f>
        <v>173655.94</v>
      </c>
      <c r="J7468" s="18" t="n">
        <v>0</v>
      </c>
      <c r="K7468" s="19" t="n">
        <v>0</v>
      </c>
      <c r="L7468" s="17"/>
    </row>
    <row r="7469" s="11" customFormat="true" ht="10.95" hidden="false" customHeight="true" outlineLevel="0" collapsed="false">
      <c r="A7469" s="16" t="n">
        <v>45446</v>
      </c>
      <c r="B7469" s="17" t="s">
        <v>3369</v>
      </c>
      <c r="C7469" s="17" t="s">
        <v>3370</v>
      </c>
      <c r="D7469" s="17" t="s">
        <v>2895</v>
      </c>
      <c r="E7469" s="17" t="s">
        <v>3403</v>
      </c>
      <c r="F7469" s="17" t="s">
        <v>699</v>
      </c>
      <c r="G7469" s="18" t="n">
        <v>0</v>
      </c>
      <c r="H7469" s="18" t="n">
        <v>1792.45</v>
      </c>
      <c r="I7469" s="18" t="n">
        <f aca="false">((I7468 + G7469) - H7469)</f>
        <v>171863.49</v>
      </c>
      <c r="J7469" s="18" t="n">
        <v>0</v>
      </c>
      <c r="K7469" s="19" t="n">
        <v>0</v>
      </c>
      <c r="L7469" s="17"/>
    </row>
    <row r="7470" s="11" customFormat="true" ht="10.95" hidden="false" customHeight="true" outlineLevel="0" collapsed="false">
      <c r="A7470" s="16" t="n">
        <v>45446</v>
      </c>
      <c r="B7470" s="17" t="s">
        <v>3369</v>
      </c>
      <c r="C7470" s="17" t="s">
        <v>3370</v>
      </c>
      <c r="D7470" s="17" t="s">
        <v>2895</v>
      </c>
      <c r="E7470" s="17" t="s">
        <v>3403</v>
      </c>
      <c r="F7470" s="17" t="s">
        <v>695</v>
      </c>
      <c r="G7470" s="18" t="n">
        <v>0</v>
      </c>
      <c r="H7470" s="18" t="n">
        <v>618.75</v>
      </c>
      <c r="I7470" s="18" t="n">
        <f aca="false">((I7469 + G7470) - H7470)</f>
        <v>171244.74</v>
      </c>
      <c r="J7470" s="18" t="n">
        <v>0</v>
      </c>
      <c r="K7470" s="19" t="n">
        <v>0</v>
      </c>
      <c r="L7470" s="17"/>
    </row>
    <row r="7471" s="11" customFormat="true" ht="10.95" hidden="false" customHeight="true" outlineLevel="0" collapsed="false">
      <c r="A7471" s="16" t="n">
        <v>45446</v>
      </c>
      <c r="B7471" s="17" t="s">
        <v>3369</v>
      </c>
      <c r="C7471" s="17" t="s">
        <v>3370</v>
      </c>
      <c r="D7471" s="17" t="s">
        <v>2895</v>
      </c>
      <c r="E7471" s="17" t="s">
        <v>3403</v>
      </c>
      <c r="F7471" s="17" t="s">
        <v>720</v>
      </c>
      <c r="G7471" s="18" t="n">
        <v>0</v>
      </c>
      <c r="H7471" s="18" t="n">
        <v>455.4</v>
      </c>
      <c r="I7471" s="18" t="n">
        <f aca="false">((I7470 + G7471) - H7471)</f>
        <v>170789.34</v>
      </c>
      <c r="J7471" s="18" t="n">
        <v>0</v>
      </c>
      <c r="K7471" s="19" t="n">
        <v>0</v>
      </c>
      <c r="L7471" s="17"/>
    </row>
    <row r="7472" s="11" customFormat="true" ht="10.95" hidden="false" customHeight="true" outlineLevel="0" collapsed="false">
      <c r="A7472" s="16" t="n">
        <v>45446</v>
      </c>
      <c r="B7472" s="17" t="s">
        <v>3369</v>
      </c>
      <c r="C7472" s="17" t="s">
        <v>3370</v>
      </c>
      <c r="D7472" s="17" t="s">
        <v>2895</v>
      </c>
      <c r="E7472" s="17" t="s">
        <v>2951</v>
      </c>
      <c r="F7472" s="17" t="s">
        <v>1201</v>
      </c>
      <c r="G7472" s="18" t="n">
        <v>0</v>
      </c>
      <c r="H7472" s="18" t="n">
        <v>1531.07</v>
      </c>
      <c r="I7472" s="18" t="n">
        <f aca="false">((I7471 + G7472) - H7472)</f>
        <v>169258.27</v>
      </c>
      <c r="J7472" s="18" t="n">
        <v>0</v>
      </c>
      <c r="K7472" s="19" t="n">
        <v>0</v>
      </c>
      <c r="L7472" s="17"/>
    </row>
    <row r="7473" s="11" customFormat="true" ht="10.95" hidden="false" customHeight="true" outlineLevel="0" collapsed="false">
      <c r="A7473" s="16" t="n">
        <v>45446</v>
      </c>
      <c r="B7473" s="17" t="s">
        <v>3369</v>
      </c>
      <c r="C7473" s="17" t="s">
        <v>3370</v>
      </c>
      <c r="D7473" s="17" t="s">
        <v>2895</v>
      </c>
      <c r="E7473" s="17" t="s">
        <v>2951</v>
      </c>
      <c r="F7473" s="17" t="s">
        <v>1225</v>
      </c>
      <c r="G7473" s="18" t="n">
        <v>0</v>
      </c>
      <c r="H7473" s="18" t="n">
        <v>1496.07</v>
      </c>
      <c r="I7473" s="18" t="n">
        <f aca="false">((I7472 + G7473) - H7473)</f>
        <v>167762.2</v>
      </c>
      <c r="J7473" s="18" t="n">
        <v>0</v>
      </c>
      <c r="K7473" s="19" t="n">
        <v>0</v>
      </c>
      <c r="L7473" s="17"/>
    </row>
    <row r="7474" s="11" customFormat="true" ht="10.95" hidden="false" customHeight="true" outlineLevel="0" collapsed="false">
      <c r="A7474" s="16" t="n">
        <v>45446</v>
      </c>
      <c r="B7474" s="17" t="s">
        <v>3369</v>
      </c>
      <c r="C7474" s="17" t="s">
        <v>3370</v>
      </c>
      <c r="D7474" s="17" t="s">
        <v>2895</v>
      </c>
      <c r="E7474" s="17" t="s">
        <v>2951</v>
      </c>
      <c r="F7474" s="17" t="s">
        <v>1238</v>
      </c>
      <c r="G7474" s="18" t="n">
        <v>0</v>
      </c>
      <c r="H7474" s="18" t="n">
        <v>1484.21</v>
      </c>
      <c r="I7474" s="18" t="n">
        <f aca="false">((I7473 + G7474) - H7474)</f>
        <v>166277.99</v>
      </c>
      <c r="J7474" s="18" t="n">
        <v>0</v>
      </c>
      <c r="K7474" s="19" t="n">
        <v>0</v>
      </c>
      <c r="L7474" s="17"/>
    </row>
    <row r="7475" s="11" customFormat="true" ht="10.95" hidden="false" customHeight="true" outlineLevel="0" collapsed="false">
      <c r="A7475" s="16" t="n">
        <v>45446</v>
      </c>
      <c r="B7475" s="17" t="s">
        <v>3369</v>
      </c>
      <c r="C7475" s="17" t="s">
        <v>3370</v>
      </c>
      <c r="D7475" s="17" t="s">
        <v>2895</v>
      </c>
      <c r="E7475" s="17" t="s">
        <v>3472</v>
      </c>
      <c r="F7475" s="17" t="s">
        <v>643</v>
      </c>
      <c r="G7475" s="18" t="n">
        <v>0</v>
      </c>
      <c r="H7475" s="18" t="n">
        <v>1278.2</v>
      </c>
      <c r="I7475" s="18" t="n">
        <f aca="false">((I7474 + G7475) - H7475)</f>
        <v>164999.79</v>
      </c>
      <c r="J7475" s="18" t="n">
        <v>0</v>
      </c>
      <c r="K7475" s="19" t="n">
        <v>0</v>
      </c>
      <c r="L7475" s="17"/>
    </row>
    <row r="7476" s="11" customFormat="true" ht="10.95" hidden="false" customHeight="true" outlineLevel="0" collapsed="false">
      <c r="A7476" s="16" t="n">
        <v>45446</v>
      </c>
      <c r="B7476" s="17" t="s">
        <v>3369</v>
      </c>
      <c r="C7476" s="17" t="s">
        <v>3370</v>
      </c>
      <c r="D7476" s="17" t="s">
        <v>2895</v>
      </c>
      <c r="E7476" s="17" t="s">
        <v>3410</v>
      </c>
      <c r="F7476" s="17" t="s">
        <v>691</v>
      </c>
      <c r="G7476" s="18" t="n">
        <v>0</v>
      </c>
      <c r="H7476" s="18" t="n">
        <v>968</v>
      </c>
      <c r="I7476" s="18" t="n">
        <f aca="false">((I7475 + G7476) - H7476)</f>
        <v>164031.79</v>
      </c>
      <c r="J7476" s="18" t="n">
        <v>0</v>
      </c>
      <c r="K7476" s="19" t="n">
        <v>0</v>
      </c>
      <c r="L7476" s="17"/>
    </row>
    <row r="7477" s="11" customFormat="true" ht="10.95" hidden="false" customHeight="true" outlineLevel="0" collapsed="false">
      <c r="A7477" s="16" t="n">
        <v>45446</v>
      </c>
      <c r="B7477" s="17" t="s">
        <v>3369</v>
      </c>
      <c r="C7477" s="17" t="s">
        <v>3370</v>
      </c>
      <c r="D7477" s="17" t="s">
        <v>2895</v>
      </c>
      <c r="E7477" s="17" t="s">
        <v>2925</v>
      </c>
      <c r="F7477" s="17" t="s">
        <v>915</v>
      </c>
      <c r="G7477" s="18" t="n">
        <v>0</v>
      </c>
      <c r="H7477" s="18" t="n">
        <v>116.83</v>
      </c>
      <c r="I7477" s="18" t="n">
        <f aca="false">((I7476 + G7477) - H7477)</f>
        <v>163914.96</v>
      </c>
      <c r="J7477" s="18" t="n">
        <v>0</v>
      </c>
      <c r="K7477" s="19" t="n">
        <v>0</v>
      </c>
      <c r="L7477" s="17"/>
    </row>
    <row r="7478" s="11" customFormat="true" ht="10.95" hidden="false" customHeight="true" outlineLevel="0" collapsed="false">
      <c r="A7478" s="16" t="n">
        <v>45446</v>
      </c>
      <c r="B7478" s="17" t="s">
        <v>3369</v>
      </c>
      <c r="C7478" s="17" t="s">
        <v>3370</v>
      </c>
      <c r="D7478" s="17" t="s">
        <v>19</v>
      </c>
      <c r="E7478" s="17" t="s">
        <v>3538</v>
      </c>
      <c r="F7478" s="17" t="s">
        <v>1054</v>
      </c>
      <c r="G7478" s="18" t="n">
        <v>4897.51</v>
      </c>
      <c r="H7478" s="18" t="n">
        <v>0</v>
      </c>
      <c r="I7478" s="18" t="n">
        <f aca="false">((I7477 + G7478) - H7478)</f>
        <v>168812.47</v>
      </c>
      <c r="J7478" s="18" t="n">
        <v>0</v>
      </c>
      <c r="K7478" s="19" t="n">
        <v>0</v>
      </c>
      <c r="L7478" s="17"/>
    </row>
    <row r="7479" s="11" customFormat="true" ht="10.95" hidden="false" customHeight="true" outlineLevel="0" collapsed="false">
      <c r="A7479" s="16" t="n">
        <v>45447</v>
      </c>
      <c r="B7479" s="17" t="s">
        <v>3369</v>
      </c>
      <c r="C7479" s="17" t="s">
        <v>3370</v>
      </c>
      <c r="D7479" s="17" t="s">
        <v>2895</v>
      </c>
      <c r="E7479" s="17" t="s">
        <v>3389</v>
      </c>
      <c r="F7479" s="17" t="s">
        <v>690</v>
      </c>
      <c r="G7479" s="18" t="n">
        <v>0</v>
      </c>
      <c r="H7479" s="18" t="n">
        <v>4994</v>
      </c>
      <c r="I7479" s="18" t="n">
        <f aca="false">((I7478 + G7479) - H7479)</f>
        <v>163818.47</v>
      </c>
      <c r="J7479" s="18" t="n">
        <v>0</v>
      </c>
      <c r="K7479" s="19" t="n">
        <v>0</v>
      </c>
      <c r="L7479" s="17"/>
    </row>
    <row r="7480" s="11" customFormat="true" ht="10.95" hidden="false" customHeight="true" outlineLevel="0" collapsed="false">
      <c r="A7480" s="16" t="n">
        <v>45447</v>
      </c>
      <c r="B7480" s="17" t="s">
        <v>3369</v>
      </c>
      <c r="C7480" s="17" t="s">
        <v>3370</v>
      </c>
      <c r="D7480" s="17" t="s">
        <v>2895</v>
      </c>
      <c r="E7480" s="17" t="s">
        <v>2925</v>
      </c>
      <c r="F7480" s="17" t="s">
        <v>923</v>
      </c>
      <c r="G7480" s="18" t="n">
        <v>0</v>
      </c>
      <c r="H7480" s="18" t="n">
        <v>1437.25</v>
      </c>
      <c r="I7480" s="18" t="n">
        <f aca="false">((I7479 + G7480) - H7480)</f>
        <v>162381.22</v>
      </c>
      <c r="J7480" s="18" t="n">
        <v>0</v>
      </c>
      <c r="K7480" s="19" t="n">
        <v>0</v>
      </c>
      <c r="L7480" s="17"/>
    </row>
    <row r="7481" s="11" customFormat="true" ht="10.95" hidden="false" customHeight="true" outlineLevel="0" collapsed="false">
      <c r="A7481" s="16" t="n">
        <v>45447</v>
      </c>
      <c r="B7481" s="17" t="s">
        <v>3369</v>
      </c>
      <c r="C7481" s="17" t="s">
        <v>3370</v>
      </c>
      <c r="D7481" s="17" t="s">
        <v>2895</v>
      </c>
      <c r="E7481" s="17" t="s">
        <v>2900</v>
      </c>
      <c r="F7481" s="17" t="s">
        <v>1241</v>
      </c>
      <c r="G7481" s="18" t="n">
        <v>0</v>
      </c>
      <c r="H7481" s="18" t="n">
        <v>784.47</v>
      </c>
      <c r="I7481" s="18" t="n">
        <f aca="false">((I7480 + G7481) - H7481)</f>
        <v>161596.75</v>
      </c>
      <c r="J7481" s="18" t="n">
        <v>0</v>
      </c>
      <c r="K7481" s="19" t="n">
        <v>0</v>
      </c>
      <c r="L7481" s="17"/>
    </row>
    <row r="7482" s="11" customFormat="true" ht="10.95" hidden="false" customHeight="true" outlineLevel="0" collapsed="false">
      <c r="A7482" s="16" t="n">
        <v>45447</v>
      </c>
      <c r="B7482" s="17" t="s">
        <v>3369</v>
      </c>
      <c r="C7482" s="17" t="s">
        <v>3370</v>
      </c>
      <c r="D7482" s="17" t="s">
        <v>2895</v>
      </c>
      <c r="E7482" s="17" t="s">
        <v>2900</v>
      </c>
      <c r="F7482" s="17" t="s">
        <v>1244</v>
      </c>
      <c r="G7482" s="18" t="n">
        <v>0</v>
      </c>
      <c r="H7482" s="18" t="n">
        <v>2230.64</v>
      </c>
      <c r="I7482" s="18" t="n">
        <f aca="false">((I7481 + G7482) - H7482)</f>
        <v>159366.11</v>
      </c>
      <c r="J7482" s="18" t="n">
        <v>0</v>
      </c>
      <c r="K7482" s="19" t="n">
        <v>0</v>
      </c>
      <c r="L7482" s="17"/>
    </row>
    <row r="7483" s="11" customFormat="true" ht="10.95" hidden="false" customHeight="true" outlineLevel="0" collapsed="false">
      <c r="A7483" s="16" t="n">
        <v>45447</v>
      </c>
      <c r="B7483" s="17" t="s">
        <v>3369</v>
      </c>
      <c r="C7483" s="17" t="s">
        <v>3370</v>
      </c>
      <c r="D7483" s="17" t="s">
        <v>2895</v>
      </c>
      <c r="E7483" s="17" t="s">
        <v>2900</v>
      </c>
      <c r="F7483" s="17" t="s">
        <v>1246</v>
      </c>
      <c r="G7483" s="18" t="n">
        <v>0</v>
      </c>
      <c r="H7483" s="18" t="n">
        <v>1002.6</v>
      </c>
      <c r="I7483" s="18" t="n">
        <f aca="false">((I7482 + G7483) - H7483)</f>
        <v>158363.51</v>
      </c>
      <c r="J7483" s="18" t="n">
        <v>0</v>
      </c>
      <c r="K7483" s="19" t="n">
        <v>0</v>
      </c>
      <c r="L7483" s="17"/>
    </row>
    <row r="7484" s="11" customFormat="true" ht="10.95" hidden="false" customHeight="true" outlineLevel="0" collapsed="false">
      <c r="A7484" s="16" t="n">
        <v>45447</v>
      </c>
      <c r="B7484" s="17" t="s">
        <v>3369</v>
      </c>
      <c r="C7484" s="17" t="s">
        <v>3370</v>
      </c>
      <c r="D7484" s="17" t="s">
        <v>2895</v>
      </c>
      <c r="E7484" s="17" t="s">
        <v>2900</v>
      </c>
      <c r="F7484" s="17" t="s">
        <v>1245</v>
      </c>
      <c r="G7484" s="18" t="n">
        <v>0</v>
      </c>
      <c r="H7484" s="18" t="n">
        <v>131.43</v>
      </c>
      <c r="I7484" s="18" t="n">
        <f aca="false">((I7483 + G7484) - H7484)</f>
        <v>158232.08</v>
      </c>
      <c r="J7484" s="18" t="n">
        <v>0</v>
      </c>
      <c r="K7484" s="19" t="n">
        <v>0</v>
      </c>
      <c r="L7484" s="17"/>
    </row>
    <row r="7485" s="11" customFormat="true" ht="10.95" hidden="false" customHeight="true" outlineLevel="0" collapsed="false">
      <c r="A7485" s="16" t="n">
        <v>45447</v>
      </c>
      <c r="B7485" s="17" t="s">
        <v>3369</v>
      </c>
      <c r="C7485" s="17" t="s">
        <v>3370</v>
      </c>
      <c r="D7485" s="17" t="s">
        <v>2895</v>
      </c>
      <c r="E7485" s="17" t="s">
        <v>2898</v>
      </c>
      <c r="F7485" s="17" t="s">
        <v>1248</v>
      </c>
      <c r="G7485" s="18" t="n">
        <v>0</v>
      </c>
      <c r="H7485" s="18" t="n">
        <v>765.7</v>
      </c>
      <c r="I7485" s="18" t="n">
        <f aca="false">((I7484 + G7485) - H7485)</f>
        <v>157466.38</v>
      </c>
      <c r="J7485" s="18" t="n">
        <v>0</v>
      </c>
      <c r="K7485" s="19" t="n">
        <v>0</v>
      </c>
      <c r="L7485" s="17"/>
    </row>
    <row r="7486" s="11" customFormat="true" ht="10.95" hidden="false" customHeight="true" outlineLevel="0" collapsed="false">
      <c r="A7486" s="16" t="n">
        <v>45448</v>
      </c>
      <c r="B7486" s="17" t="s">
        <v>3369</v>
      </c>
      <c r="C7486" s="17" t="s">
        <v>3370</v>
      </c>
      <c r="D7486" s="17" t="s">
        <v>2895</v>
      </c>
      <c r="E7486" s="17" t="s">
        <v>2947</v>
      </c>
      <c r="F7486" s="17" t="s">
        <v>1043</v>
      </c>
      <c r="G7486" s="18" t="n">
        <v>0</v>
      </c>
      <c r="H7486" s="18" t="n">
        <v>5733.9</v>
      </c>
      <c r="I7486" s="18" t="n">
        <f aca="false">((I7485 + G7486) - H7486)</f>
        <v>151732.48</v>
      </c>
      <c r="J7486" s="18" t="n">
        <v>0</v>
      </c>
      <c r="K7486" s="19" t="n">
        <v>0</v>
      </c>
      <c r="L7486" s="17"/>
    </row>
    <row r="7487" s="11" customFormat="true" ht="10.95" hidden="false" customHeight="true" outlineLevel="0" collapsed="false">
      <c r="A7487" s="16" t="n">
        <v>45448</v>
      </c>
      <c r="B7487" s="17" t="s">
        <v>3369</v>
      </c>
      <c r="C7487" s="17" t="s">
        <v>3370</v>
      </c>
      <c r="D7487" s="17" t="s">
        <v>2895</v>
      </c>
      <c r="E7487" s="17" t="s">
        <v>3391</v>
      </c>
      <c r="F7487" s="17" t="s">
        <v>686</v>
      </c>
      <c r="G7487" s="18" t="n">
        <v>0</v>
      </c>
      <c r="H7487" s="18" t="n">
        <v>1100.06</v>
      </c>
      <c r="I7487" s="18" t="n">
        <f aca="false">((I7486 + G7487) - H7487)</f>
        <v>150632.42</v>
      </c>
      <c r="J7487" s="18" t="n">
        <v>0</v>
      </c>
      <c r="K7487" s="19" t="n">
        <v>0</v>
      </c>
      <c r="L7487" s="17"/>
    </row>
    <row r="7488" s="11" customFormat="true" ht="10.95" hidden="false" customHeight="true" outlineLevel="0" collapsed="false">
      <c r="A7488" s="16" t="n">
        <v>45449</v>
      </c>
      <c r="B7488" s="17" t="s">
        <v>3369</v>
      </c>
      <c r="C7488" s="17" t="s">
        <v>3370</v>
      </c>
      <c r="D7488" s="17" t="s">
        <v>2895</v>
      </c>
      <c r="E7488" s="17" t="s">
        <v>2922</v>
      </c>
      <c r="F7488" s="17" t="s">
        <v>1047</v>
      </c>
      <c r="G7488" s="18" t="n">
        <v>0</v>
      </c>
      <c r="H7488" s="18" t="n">
        <v>9587.61</v>
      </c>
      <c r="I7488" s="18" t="n">
        <f aca="false">((I7487 + G7488) - H7488)</f>
        <v>141044.81</v>
      </c>
      <c r="J7488" s="18" t="n">
        <v>0</v>
      </c>
      <c r="K7488" s="19" t="n">
        <v>0</v>
      </c>
      <c r="L7488" s="17"/>
    </row>
    <row r="7489" s="11" customFormat="true" ht="10.95" hidden="false" customHeight="true" outlineLevel="0" collapsed="false">
      <c r="A7489" s="16" t="n">
        <v>45450</v>
      </c>
      <c r="B7489" s="17" t="s">
        <v>3369</v>
      </c>
      <c r="C7489" s="17" t="s">
        <v>3370</v>
      </c>
      <c r="D7489" s="17" t="s">
        <v>2895</v>
      </c>
      <c r="E7489" s="17" t="s">
        <v>3384</v>
      </c>
      <c r="F7489" s="17" t="s">
        <v>913</v>
      </c>
      <c r="G7489" s="18" t="n">
        <v>0</v>
      </c>
      <c r="H7489" s="18" t="n">
        <v>1672</v>
      </c>
      <c r="I7489" s="18" t="n">
        <f aca="false">((I7488 + G7489) - H7489)</f>
        <v>139372.81</v>
      </c>
      <c r="J7489" s="18" t="n">
        <v>0</v>
      </c>
      <c r="K7489" s="19" t="n">
        <v>0</v>
      </c>
      <c r="L7489" s="17"/>
    </row>
    <row r="7490" s="11" customFormat="true" ht="10.95" hidden="false" customHeight="true" outlineLevel="0" collapsed="false">
      <c r="A7490" s="16" t="n">
        <v>45450</v>
      </c>
      <c r="B7490" s="17" t="s">
        <v>3369</v>
      </c>
      <c r="C7490" s="17" t="s">
        <v>3370</v>
      </c>
      <c r="D7490" s="17" t="s">
        <v>2895</v>
      </c>
      <c r="E7490" s="17" t="s">
        <v>3384</v>
      </c>
      <c r="F7490" s="17" t="s">
        <v>912</v>
      </c>
      <c r="G7490" s="18" t="n">
        <v>0</v>
      </c>
      <c r="H7490" s="18" t="n">
        <v>1001</v>
      </c>
      <c r="I7490" s="18" t="n">
        <f aca="false">((I7489 + G7490) - H7490)</f>
        <v>138371.81</v>
      </c>
      <c r="J7490" s="18" t="n">
        <v>0</v>
      </c>
      <c r="K7490" s="19" t="n">
        <v>0</v>
      </c>
      <c r="L7490" s="17"/>
    </row>
    <row r="7491" s="11" customFormat="true" ht="10.95" hidden="false" customHeight="true" outlineLevel="0" collapsed="false">
      <c r="A7491" s="16" t="n">
        <v>45450</v>
      </c>
      <c r="B7491" s="17" t="s">
        <v>3369</v>
      </c>
      <c r="C7491" s="17" t="s">
        <v>3370</v>
      </c>
      <c r="D7491" s="17" t="s">
        <v>2895</v>
      </c>
      <c r="E7491" s="17" t="s">
        <v>3384</v>
      </c>
      <c r="F7491" s="17" t="s">
        <v>911</v>
      </c>
      <c r="G7491" s="18" t="n">
        <v>0</v>
      </c>
      <c r="H7491" s="18" t="n">
        <v>2403.5</v>
      </c>
      <c r="I7491" s="18" t="n">
        <f aca="false">((I7490 + G7491) - H7491)</f>
        <v>135968.31</v>
      </c>
      <c r="J7491" s="18" t="n">
        <v>0</v>
      </c>
      <c r="K7491" s="19" t="n">
        <v>0</v>
      </c>
      <c r="L7491" s="17"/>
    </row>
    <row r="7492" s="11" customFormat="true" ht="10.95" hidden="false" customHeight="true" outlineLevel="0" collapsed="false">
      <c r="A7492" s="16" t="n">
        <v>45450</v>
      </c>
      <c r="B7492" s="17" t="s">
        <v>3369</v>
      </c>
      <c r="C7492" s="17" t="s">
        <v>3370</v>
      </c>
      <c r="D7492" s="17" t="s">
        <v>2895</v>
      </c>
      <c r="E7492" s="17" t="s">
        <v>3539</v>
      </c>
      <c r="F7492" s="17" t="s">
        <v>660</v>
      </c>
      <c r="G7492" s="18" t="n">
        <v>0</v>
      </c>
      <c r="H7492" s="18" t="n">
        <v>3454</v>
      </c>
      <c r="I7492" s="18" t="n">
        <f aca="false">((I7491 + G7492) - H7492)</f>
        <v>132514.31</v>
      </c>
      <c r="J7492" s="18" t="n">
        <v>0</v>
      </c>
      <c r="K7492" s="19" t="n">
        <v>0</v>
      </c>
      <c r="L7492" s="17"/>
    </row>
    <row r="7493" s="11" customFormat="true" ht="10.95" hidden="false" customHeight="true" outlineLevel="0" collapsed="false">
      <c r="A7493" s="16" t="n">
        <v>45453</v>
      </c>
      <c r="B7493" s="17" t="s">
        <v>3369</v>
      </c>
      <c r="C7493" s="17" t="s">
        <v>3370</v>
      </c>
      <c r="D7493" s="17" t="s">
        <v>2895</v>
      </c>
      <c r="E7493" s="17" t="s">
        <v>3504</v>
      </c>
      <c r="F7493" s="17" t="s">
        <v>669</v>
      </c>
      <c r="G7493" s="18" t="n">
        <v>0</v>
      </c>
      <c r="H7493" s="18" t="n">
        <v>1034.55</v>
      </c>
      <c r="I7493" s="18" t="n">
        <f aca="false">((I7492 + G7493) - H7493)</f>
        <v>131479.76</v>
      </c>
      <c r="J7493" s="18" t="n">
        <v>0</v>
      </c>
      <c r="K7493" s="19" t="n">
        <v>0</v>
      </c>
      <c r="L7493" s="17"/>
    </row>
    <row r="7494" s="11" customFormat="true" ht="10.95" hidden="false" customHeight="true" outlineLevel="0" collapsed="false">
      <c r="A7494" s="16" t="n">
        <v>45454</v>
      </c>
      <c r="B7494" s="17" t="s">
        <v>3369</v>
      </c>
      <c r="C7494" s="17" t="s">
        <v>3370</v>
      </c>
      <c r="D7494" s="17" t="s">
        <v>2895</v>
      </c>
      <c r="E7494" s="17" t="s">
        <v>3415</v>
      </c>
      <c r="F7494" s="17" t="s">
        <v>687</v>
      </c>
      <c r="G7494" s="18" t="n">
        <v>0</v>
      </c>
      <c r="H7494" s="18" t="n">
        <v>1052.7</v>
      </c>
      <c r="I7494" s="18" t="n">
        <f aca="false">((I7493 + G7494) - H7494)</f>
        <v>130427.06</v>
      </c>
      <c r="J7494" s="18" t="n">
        <v>0</v>
      </c>
      <c r="K7494" s="19" t="n">
        <v>0</v>
      </c>
      <c r="L7494" s="17"/>
    </row>
    <row r="7495" s="11" customFormat="true" ht="10.95" hidden="false" customHeight="true" outlineLevel="0" collapsed="false">
      <c r="A7495" s="16" t="n">
        <v>45454</v>
      </c>
      <c r="B7495" s="17" t="s">
        <v>3369</v>
      </c>
      <c r="C7495" s="17" t="s">
        <v>3370</v>
      </c>
      <c r="D7495" s="17" t="s">
        <v>2895</v>
      </c>
      <c r="E7495" s="17" t="s">
        <v>3403</v>
      </c>
      <c r="F7495" s="17" t="s">
        <v>701</v>
      </c>
      <c r="G7495" s="18" t="n">
        <v>0</v>
      </c>
      <c r="H7495" s="18" t="n">
        <v>316.8</v>
      </c>
      <c r="I7495" s="18" t="n">
        <f aca="false">((I7494 + G7495) - H7495)</f>
        <v>130110.26</v>
      </c>
      <c r="J7495" s="18" t="n">
        <v>0</v>
      </c>
      <c r="K7495" s="19" t="n">
        <v>0</v>
      </c>
      <c r="L7495" s="17"/>
    </row>
    <row r="7496" s="11" customFormat="true" ht="10.95" hidden="false" customHeight="true" outlineLevel="0" collapsed="false">
      <c r="A7496" s="16" t="n">
        <v>45454</v>
      </c>
      <c r="B7496" s="17" t="s">
        <v>3369</v>
      </c>
      <c r="C7496" s="17" t="s">
        <v>3370</v>
      </c>
      <c r="D7496" s="17" t="s">
        <v>2895</v>
      </c>
      <c r="E7496" s="17" t="s">
        <v>3403</v>
      </c>
      <c r="F7496" s="17" t="s">
        <v>584</v>
      </c>
      <c r="G7496" s="18" t="n">
        <v>0</v>
      </c>
      <c r="H7496" s="18" t="n">
        <v>723.8</v>
      </c>
      <c r="I7496" s="18" t="n">
        <f aca="false">((I7495 + G7496) - H7496)</f>
        <v>129386.46</v>
      </c>
      <c r="J7496" s="18" t="n">
        <v>0</v>
      </c>
      <c r="K7496" s="19" t="n">
        <v>0</v>
      </c>
      <c r="L7496" s="17"/>
    </row>
    <row r="7497" s="11" customFormat="true" ht="10.95" hidden="false" customHeight="true" outlineLevel="0" collapsed="false">
      <c r="A7497" s="16" t="n">
        <v>45455</v>
      </c>
      <c r="B7497" s="17" t="s">
        <v>3369</v>
      </c>
      <c r="C7497" s="17" t="s">
        <v>3370</v>
      </c>
      <c r="D7497" s="17" t="s">
        <v>2895</v>
      </c>
      <c r="E7497" s="17" t="s">
        <v>3384</v>
      </c>
      <c r="F7497" s="17" t="s">
        <v>920</v>
      </c>
      <c r="G7497" s="18" t="n">
        <v>0</v>
      </c>
      <c r="H7497" s="18" t="n">
        <v>1672</v>
      </c>
      <c r="I7497" s="18" t="n">
        <f aca="false">((I7496 + G7497) - H7497)</f>
        <v>127714.46</v>
      </c>
      <c r="J7497" s="18" t="n">
        <v>0</v>
      </c>
      <c r="K7497" s="19" t="n">
        <v>0</v>
      </c>
      <c r="L7497" s="17"/>
    </row>
    <row r="7498" s="11" customFormat="true" ht="10.95" hidden="false" customHeight="true" outlineLevel="0" collapsed="false">
      <c r="A7498" s="16" t="n">
        <v>45455</v>
      </c>
      <c r="B7498" s="17" t="s">
        <v>3369</v>
      </c>
      <c r="C7498" s="17" t="s">
        <v>3370</v>
      </c>
      <c r="D7498" s="17" t="s">
        <v>2895</v>
      </c>
      <c r="E7498" s="17" t="s">
        <v>3384</v>
      </c>
      <c r="F7498" s="17" t="s">
        <v>918</v>
      </c>
      <c r="G7498" s="18" t="n">
        <v>0</v>
      </c>
      <c r="H7498" s="18" t="n">
        <v>2403.5</v>
      </c>
      <c r="I7498" s="18" t="n">
        <f aca="false">((I7497 + G7498) - H7498)</f>
        <v>125310.96</v>
      </c>
      <c r="J7498" s="18" t="n">
        <v>0</v>
      </c>
      <c r="K7498" s="19" t="n">
        <v>0</v>
      </c>
      <c r="L7498" s="17"/>
    </row>
    <row r="7499" s="11" customFormat="true" ht="10.95" hidden="false" customHeight="true" outlineLevel="0" collapsed="false">
      <c r="A7499" s="16" t="n">
        <v>45455</v>
      </c>
      <c r="B7499" s="17" t="s">
        <v>3369</v>
      </c>
      <c r="C7499" s="17" t="s">
        <v>3370</v>
      </c>
      <c r="D7499" s="17" t="s">
        <v>2895</v>
      </c>
      <c r="E7499" s="17" t="s">
        <v>3384</v>
      </c>
      <c r="F7499" s="17" t="s">
        <v>919</v>
      </c>
      <c r="G7499" s="18" t="n">
        <v>0</v>
      </c>
      <c r="H7499" s="18" t="n">
        <v>1001</v>
      </c>
      <c r="I7499" s="18" t="n">
        <f aca="false">((I7498 + G7499) - H7499)</f>
        <v>124309.96</v>
      </c>
      <c r="J7499" s="18" t="n">
        <v>0</v>
      </c>
      <c r="K7499" s="19" t="n">
        <v>0</v>
      </c>
      <c r="L7499" s="17"/>
    </row>
    <row r="7500" s="11" customFormat="true" ht="10.95" hidden="false" customHeight="true" outlineLevel="0" collapsed="false">
      <c r="A7500" s="16" t="n">
        <v>45455</v>
      </c>
      <c r="B7500" s="17" t="s">
        <v>3369</v>
      </c>
      <c r="C7500" s="17" t="s">
        <v>3370</v>
      </c>
      <c r="D7500" s="17" t="s">
        <v>2895</v>
      </c>
      <c r="E7500" s="17" t="s">
        <v>2906</v>
      </c>
      <c r="F7500" s="17" t="s">
        <v>1249</v>
      </c>
      <c r="G7500" s="18" t="n">
        <v>0</v>
      </c>
      <c r="H7500" s="18" t="n">
        <v>3099.72</v>
      </c>
      <c r="I7500" s="18" t="n">
        <f aca="false">((I7499 + G7500) - H7500)</f>
        <v>121210.24</v>
      </c>
      <c r="J7500" s="18" t="n">
        <v>0</v>
      </c>
      <c r="K7500" s="19" t="n">
        <v>0</v>
      </c>
      <c r="L7500" s="17"/>
    </row>
    <row r="7501" s="11" customFormat="true" ht="10.95" hidden="false" customHeight="true" outlineLevel="0" collapsed="false">
      <c r="A7501" s="16" t="n">
        <v>45457</v>
      </c>
      <c r="B7501" s="17" t="s">
        <v>3369</v>
      </c>
      <c r="C7501" s="17" t="s">
        <v>3370</v>
      </c>
      <c r="D7501" s="17" t="s">
        <v>2895</v>
      </c>
      <c r="E7501" s="17" t="s">
        <v>3457</v>
      </c>
      <c r="F7501" s="17" t="s">
        <v>688</v>
      </c>
      <c r="G7501" s="18" t="n">
        <v>0</v>
      </c>
      <c r="H7501" s="18" t="n">
        <v>9999</v>
      </c>
      <c r="I7501" s="18" t="n">
        <f aca="false">((I7500 + G7501) - H7501)</f>
        <v>111211.24</v>
      </c>
      <c r="J7501" s="18" t="n">
        <v>0</v>
      </c>
      <c r="K7501" s="19" t="n">
        <v>0</v>
      </c>
      <c r="L7501" s="17"/>
    </row>
    <row r="7502" s="11" customFormat="true" ht="10.95" hidden="false" customHeight="true" outlineLevel="0" collapsed="false">
      <c r="A7502" s="16" t="n">
        <v>45457</v>
      </c>
      <c r="B7502" s="17" t="s">
        <v>3369</v>
      </c>
      <c r="C7502" s="17" t="s">
        <v>3370</v>
      </c>
      <c r="D7502" s="17" t="s">
        <v>2895</v>
      </c>
      <c r="E7502" s="17" t="s">
        <v>3457</v>
      </c>
      <c r="F7502" s="17" t="s">
        <v>689</v>
      </c>
      <c r="G7502" s="18" t="n">
        <v>0</v>
      </c>
      <c r="H7502" s="18" t="n">
        <v>9999</v>
      </c>
      <c r="I7502" s="18" t="n">
        <f aca="false">((I7501 + G7502) - H7502)</f>
        <v>101212.24</v>
      </c>
      <c r="J7502" s="18" t="n">
        <v>0</v>
      </c>
      <c r="K7502" s="19" t="n">
        <v>0</v>
      </c>
      <c r="L7502" s="17"/>
    </row>
    <row r="7503" s="11" customFormat="true" ht="10.95" hidden="false" customHeight="true" outlineLevel="0" collapsed="false">
      <c r="A7503" s="16" t="n">
        <v>45460</v>
      </c>
      <c r="B7503" s="17" t="s">
        <v>3369</v>
      </c>
      <c r="C7503" s="17" t="s">
        <v>3370</v>
      </c>
      <c r="D7503" s="17" t="s">
        <v>2895</v>
      </c>
      <c r="E7503" s="17" t="s">
        <v>2934</v>
      </c>
      <c r="F7503" s="17" t="s">
        <v>1039</v>
      </c>
      <c r="G7503" s="18" t="n">
        <v>0</v>
      </c>
      <c r="H7503" s="18" t="n">
        <v>898.37</v>
      </c>
      <c r="I7503" s="18" t="n">
        <f aca="false">((I7502 + G7503) - H7503)</f>
        <v>100313.87</v>
      </c>
      <c r="J7503" s="18" t="n">
        <v>0</v>
      </c>
      <c r="K7503" s="19" t="n">
        <v>0</v>
      </c>
      <c r="L7503" s="17"/>
    </row>
    <row r="7504" s="11" customFormat="true" ht="10.95" hidden="false" customHeight="true" outlineLevel="0" collapsed="false">
      <c r="A7504" s="16" t="n">
        <v>45460</v>
      </c>
      <c r="B7504" s="17" t="s">
        <v>3369</v>
      </c>
      <c r="C7504" s="17" t="s">
        <v>3370</v>
      </c>
      <c r="D7504" s="17" t="s">
        <v>2895</v>
      </c>
      <c r="E7504" s="17" t="s">
        <v>2934</v>
      </c>
      <c r="F7504" s="17" t="s">
        <v>941</v>
      </c>
      <c r="G7504" s="18" t="n">
        <v>0</v>
      </c>
      <c r="H7504" s="18" t="n">
        <v>5858.67</v>
      </c>
      <c r="I7504" s="18" t="n">
        <f aca="false">((I7503 + G7504) - H7504)</f>
        <v>94455.2000000002</v>
      </c>
      <c r="J7504" s="18" t="n">
        <v>0</v>
      </c>
      <c r="K7504" s="19" t="n">
        <v>0</v>
      </c>
      <c r="L7504" s="17"/>
    </row>
    <row r="7505" s="11" customFormat="true" ht="10.95" hidden="false" customHeight="true" outlineLevel="0" collapsed="false">
      <c r="A7505" s="16" t="n">
        <v>45460</v>
      </c>
      <c r="B7505" s="17" t="s">
        <v>3369</v>
      </c>
      <c r="C7505" s="17" t="s">
        <v>3370</v>
      </c>
      <c r="D7505" s="17" t="s">
        <v>2895</v>
      </c>
      <c r="E7505" s="17" t="s">
        <v>3474</v>
      </c>
      <c r="F7505" s="17" t="s">
        <v>680</v>
      </c>
      <c r="G7505" s="18" t="n">
        <v>0</v>
      </c>
      <c r="H7505" s="18" t="n">
        <v>357.5</v>
      </c>
      <c r="I7505" s="18" t="n">
        <f aca="false">((I7504 + G7505) - H7505)</f>
        <v>94097.7000000002</v>
      </c>
      <c r="J7505" s="18" t="n">
        <v>0</v>
      </c>
      <c r="K7505" s="19" t="n">
        <v>0</v>
      </c>
      <c r="L7505" s="17"/>
    </row>
    <row r="7506" s="11" customFormat="true" ht="10.95" hidden="false" customHeight="true" outlineLevel="0" collapsed="false">
      <c r="A7506" s="16" t="n">
        <v>45460</v>
      </c>
      <c r="B7506" s="17" t="s">
        <v>3369</v>
      </c>
      <c r="C7506" s="17" t="s">
        <v>3370</v>
      </c>
      <c r="D7506" s="17" t="s">
        <v>2895</v>
      </c>
      <c r="E7506" s="17" t="s">
        <v>2964</v>
      </c>
      <c r="F7506" s="17" t="s">
        <v>1027</v>
      </c>
      <c r="G7506" s="18" t="n">
        <v>0</v>
      </c>
      <c r="H7506" s="18" t="n">
        <v>721.6</v>
      </c>
      <c r="I7506" s="18" t="n">
        <f aca="false">((I7505 + G7506) - H7506)</f>
        <v>93376.1000000002</v>
      </c>
      <c r="J7506" s="18" t="n">
        <v>0</v>
      </c>
      <c r="K7506" s="19" t="n">
        <v>0</v>
      </c>
      <c r="L7506" s="17"/>
    </row>
    <row r="7507" s="11" customFormat="true" ht="10.95" hidden="false" customHeight="true" outlineLevel="0" collapsed="false">
      <c r="A7507" s="16" t="n">
        <v>45460</v>
      </c>
      <c r="B7507" s="17" t="s">
        <v>3369</v>
      </c>
      <c r="C7507" s="17" t="s">
        <v>3370</v>
      </c>
      <c r="D7507" s="17" t="s">
        <v>2895</v>
      </c>
      <c r="E7507" s="17" t="s">
        <v>2964</v>
      </c>
      <c r="F7507" s="17" t="s">
        <v>1028</v>
      </c>
      <c r="G7507" s="18" t="n">
        <v>0</v>
      </c>
      <c r="H7507" s="18" t="n">
        <v>3607.99</v>
      </c>
      <c r="I7507" s="18" t="n">
        <f aca="false">((I7506 + G7507) - H7507)</f>
        <v>89768.1100000002</v>
      </c>
      <c r="J7507" s="18" t="n">
        <v>0</v>
      </c>
      <c r="K7507" s="19" t="n">
        <v>0</v>
      </c>
      <c r="L7507" s="17"/>
    </row>
    <row r="7508" s="11" customFormat="true" ht="10.95" hidden="false" customHeight="true" outlineLevel="0" collapsed="false">
      <c r="A7508" s="16" t="n">
        <v>45460</v>
      </c>
      <c r="B7508" s="17" t="s">
        <v>3369</v>
      </c>
      <c r="C7508" s="17" t="s">
        <v>3370</v>
      </c>
      <c r="D7508" s="17" t="s">
        <v>2895</v>
      </c>
      <c r="E7508" s="17" t="s">
        <v>3403</v>
      </c>
      <c r="F7508" s="17" t="s">
        <v>709</v>
      </c>
      <c r="G7508" s="18" t="n">
        <v>0</v>
      </c>
      <c r="H7508" s="18" t="n">
        <v>103.4</v>
      </c>
      <c r="I7508" s="18" t="n">
        <f aca="false">((I7507 + G7508) - H7508)</f>
        <v>89664.7100000002</v>
      </c>
      <c r="J7508" s="18" t="n">
        <v>0</v>
      </c>
      <c r="K7508" s="19" t="n">
        <v>0</v>
      </c>
      <c r="L7508" s="17"/>
    </row>
    <row r="7509" s="11" customFormat="true" ht="10.95" hidden="false" customHeight="true" outlineLevel="0" collapsed="false">
      <c r="A7509" s="16" t="n">
        <v>45462</v>
      </c>
      <c r="B7509" s="17" t="s">
        <v>3369</v>
      </c>
      <c r="C7509" s="17" t="s">
        <v>3370</v>
      </c>
      <c r="D7509" s="17" t="s">
        <v>19</v>
      </c>
      <c r="E7509" s="17" t="s">
        <v>3506</v>
      </c>
      <c r="F7509" s="17" t="s">
        <v>1056</v>
      </c>
      <c r="G7509" s="18" t="n">
        <v>707.39</v>
      </c>
      <c r="H7509" s="18" t="n">
        <v>0</v>
      </c>
      <c r="I7509" s="18" t="n">
        <f aca="false">((I7508 + G7509) - H7509)</f>
        <v>90372.1000000002</v>
      </c>
      <c r="J7509" s="18" t="n">
        <v>0</v>
      </c>
      <c r="K7509" s="19" t="n">
        <v>0</v>
      </c>
      <c r="L7509" s="17"/>
    </row>
    <row r="7510" s="11" customFormat="true" ht="10.95" hidden="false" customHeight="true" outlineLevel="0" collapsed="false">
      <c r="A7510" s="16" t="n">
        <v>45462</v>
      </c>
      <c r="B7510" s="17" t="s">
        <v>3369</v>
      </c>
      <c r="C7510" s="17" t="s">
        <v>3370</v>
      </c>
      <c r="D7510" s="17" t="s">
        <v>19</v>
      </c>
      <c r="E7510" s="17" t="s">
        <v>3502</v>
      </c>
      <c r="F7510" s="17" t="s">
        <v>721</v>
      </c>
      <c r="G7510" s="18" t="n">
        <v>78.65</v>
      </c>
      <c r="H7510" s="18" t="n">
        <v>0</v>
      </c>
      <c r="I7510" s="18" t="n">
        <f aca="false">((I7509 + G7510) - H7510)</f>
        <v>90450.7500000002</v>
      </c>
      <c r="J7510" s="18" t="n">
        <v>0</v>
      </c>
      <c r="K7510" s="19" t="n">
        <v>0</v>
      </c>
      <c r="L7510" s="17"/>
    </row>
    <row r="7511" s="11" customFormat="true" ht="10.95" hidden="false" customHeight="true" outlineLevel="0" collapsed="false">
      <c r="A7511" s="16" t="n">
        <v>45462</v>
      </c>
      <c r="B7511" s="17" t="s">
        <v>3369</v>
      </c>
      <c r="C7511" s="17" t="s">
        <v>3370</v>
      </c>
      <c r="D7511" s="17" t="s">
        <v>3477</v>
      </c>
      <c r="E7511" s="17" t="s">
        <v>3502</v>
      </c>
      <c r="F7511" s="17" t="s">
        <v>721</v>
      </c>
      <c r="G7511" s="18" t="n">
        <v>0</v>
      </c>
      <c r="H7511" s="18" t="n">
        <v>78.65</v>
      </c>
      <c r="I7511" s="18" t="n">
        <f aca="false">((I7510 + G7511) - H7511)</f>
        <v>90372.1000000002</v>
      </c>
      <c r="J7511" s="18" t="n">
        <v>0</v>
      </c>
      <c r="K7511" s="19" t="n">
        <v>0</v>
      </c>
      <c r="L7511" s="17"/>
    </row>
    <row r="7512" s="11" customFormat="true" ht="10.95" hidden="false" customHeight="true" outlineLevel="0" collapsed="false">
      <c r="A7512" s="16" t="n">
        <v>45462</v>
      </c>
      <c r="B7512" s="17" t="s">
        <v>3369</v>
      </c>
      <c r="C7512" s="17" t="s">
        <v>3370</v>
      </c>
      <c r="D7512" s="17" t="s">
        <v>3477</v>
      </c>
      <c r="E7512" s="17" t="s">
        <v>3502</v>
      </c>
      <c r="F7512" s="17" t="s">
        <v>473</v>
      </c>
      <c r="G7512" s="18" t="n">
        <v>78.65</v>
      </c>
      <c r="H7512" s="18" t="n">
        <v>0</v>
      </c>
      <c r="I7512" s="18" t="n">
        <f aca="false">((I7511 + G7512) - H7512)</f>
        <v>90450.7500000002</v>
      </c>
      <c r="J7512" s="18" t="n">
        <v>0</v>
      </c>
      <c r="K7512" s="19" t="n">
        <v>0</v>
      </c>
      <c r="L7512" s="17"/>
    </row>
    <row r="7513" s="11" customFormat="true" ht="10.95" hidden="false" customHeight="true" outlineLevel="0" collapsed="false">
      <c r="A7513" s="16" t="n">
        <v>45462</v>
      </c>
      <c r="B7513" s="17" t="s">
        <v>3369</v>
      </c>
      <c r="C7513" s="17" t="s">
        <v>3370</v>
      </c>
      <c r="D7513" s="17" t="s">
        <v>19</v>
      </c>
      <c r="E7513" s="17" t="s">
        <v>3454</v>
      </c>
      <c r="F7513" s="17" t="s">
        <v>722</v>
      </c>
      <c r="G7513" s="18" t="n">
        <v>20924.37</v>
      </c>
      <c r="H7513" s="18" t="n">
        <v>0</v>
      </c>
      <c r="I7513" s="18" t="n">
        <f aca="false">((I7512 + G7513) - H7513)</f>
        <v>111375.12</v>
      </c>
      <c r="J7513" s="18" t="n">
        <v>0</v>
      </c>
      <c r="K7513" s="19" t="n">
        <v>0</v>
      </c>
      <c r="L7513" s="17"/>
    </row>
    <row r="7514" s="11" customFormat="true" ht="10.95" hidden="false" customHeight="true" outlineLevel="0" collapsed="false">
      <c r="A7514" s="16" t="n">
        <v>45462</v>
      </c>
      <c r="B7514" s="17" t="s">
        <v>3369</v>
      </c>
      <c r="C7514" s="17" t="s">
        <v>3370</v>
      </c>
      <c r="D7514" s="17" t="s">
        <v>19</v>
      </c>
      <c r="E7514" s="17" t="s">
        <v>3536</v>
      </c>
      <c r="F7514" s="17" t="s">
        <v>730</v>
      </c>
      <c r="G7514" s="18" t="n">
        <v>841.5</v>
      </c>
      <c r="H7514" s="18" t="n">
        <v>0</v>
      </c>
      <c r="I7514" s="18" t="n">
        <f aca="false">((I7513 + G7514) - H7514)</f>
        <v>112216.62</v>
      </c>
      <c r="J7514" s="18" t="n">
        <v>0</v>
      </c>
      <c r="K7514" s="19" t="n">
        <v>0</v>
      </c>
      <c r="L7514" s="17"/>
    </row>
    <row r="7515" s="11" customFormat="true" ht="10.95" hidden="false" customHeight="true" outlineLevel="0" collapsed="false">
      <c r="A7515" s="16" t="n">
        <v>45462</v>
      </c>
      <c r="B7515" s="17" t="s">
        <v>3369</v>
      </c>
      <c r="C7515" s="17" t="s">
        <v>3370</v>
      </c>
      <c r="D7515" s="17" t="s">
        <v>19</v>
      </c>
      <c r="E7515" s="17" t="s">
        <v>3533</v>
      </c>
      <c r="F7515" s="17" t="s">
        <v>1057</v>
      </c>
      <c r="G7515" s="18" t="n">
        <v>1651.14</v>
      </c>
      <c r="H7515" s="18" t="n">
        <v>0</v>
      </c>
      <c r="I7515" s="18" t="n">
        <f aca="false">((I7514 + G7515) - H7515)</f>
        <v>113867.76</v>
      </c>
      <c r="J7515" s="18" t="n">
        <v>0</v>
      </c>
      <c r="K7515" s="19" t="n">
        <v>0</v>
      </c>
      <c r="L7515" s="17"/>
    </row>
    <row r="7516" s="11" customFormat="true" ht="10.95" hidden="false" customHeight="true" outlineLevel="0" collapsed="false">
      <c r="A7516" s="16" t="n">
        <v>45462</v>
      </c>
      <c r="B7516" s="17" t="s">
        <v>3369</v>
      </c>
      <c r="C7516" s="17" t="s">
        <v>3370</v>
      </c>
      <c r="D7516" s="17" t="s">
        <v>19</v>
      </c>
      <c r="E7516" s="17" t="s">
        <v>3530</v>
      </c>
      <c r="F7516" s="17" t="s">
        <v>731</v>
      </c>
      <c r="G7516" s="18" t="n">
        <v>114.95</v>
      </c>
      <c r="H7516" s="18" t="n">
        <v>0</v>
      </c>
      <c r="I7516" s="18" t="n">
        <f aca="false">((I7515 + G7516) - H7516)</f>
        <v>113982.71</v>
      </c>
      <c r="J7516" s="18" t="n">
        <v>0</v>
      </c>
      <c r="K7516" s="19" t="n">
        <v>0</v>
      </c>
      <c r="L7516" s="17"/>
    </row>
    <row r="7517" s="11" customFormat="true" ht="10.95" hidden="false" customHeight="true" outlineLevel="0" collapsed="false">
      <c r="A7517" s="16" t="n">
        <v>45462</v>
      </c>
      <c r="B7517" s="17" t="s">
        <v>3369</v>
      </c>
      <c r="C7517" s="17" t="s">
        <v>3370</v>
      </c>
      <c r="D7517" s="17" t="s">
        <v>19</v>
      </c>
      <c r="E7517" s="17" t="s">
        <v>3521</v>
      </c>
      <c r="F7517" s="17" t="s">
        <v>732</v>
      </c>
      <c r="G7517" s="18" t="n">
        <v>712.8</v>
      </c>
      <c r="H7517" s="18" t="n">
        <v>0</v>
      </c>
      <c r="I7517" s="18" t="n">
        <f aca="false">((I7516 + G7517) - H7517)</f>
        <v>114695.51</v>
      </c>
      <c r="J7517" s="18" t="n">
        <v>0</v>
      </c>
      <c r="K7517" s="19" t="n">
        <v>0</v>
      </c>
      <c r="L7517" s="17"/>
    </row>
    <row r="7518" s="11" customFormat="true" ht="10.95" hidden="false" customHeight="true" outlineLevel="0" collapsed="false">
      <c r="A7518" s="16" t="n">
        <v>45462</v>
      </c>
      <c r="B7518" s="17" t="s">
        <v>3369</v>
      </c>
      <c r="C7518" s="17" t="s">
        <v>3370</v>
      </c>
      <c r="D7518" s="17" t="s">
        <v>19</v>
      </c>
      <c r="E7518" s="17" t="s">
        <v>3520</v>
      </c>
      <c r="F7518" s="17" t="s">
        <v>1058</v>
      </c>
      <c r="G7518" s="18" t="n">
        <v>217.55</v>
      </c>
      <c r="H7518" s="18" t="n">
        <v>0</v>
      </c>
      <c r="I7518" s="18" t="n">
        <f aca="false">((I7517 + G7518) - H7518)</f>
        <v>114913.06</v>
      </c>
      <c r="J7518" s="18" t="n">
        <v>0</v>
      </c>
      <c r="K7518" s="19" t="n">
        <v>0</v>
      </c>
      <c r="L7518" s="17"/>
    </row>
    <row r="7519" s="11" customFormat="true" ht="10.95" hidden="false" customHeight="true" outlineLevel="0" collapsed="false">
      <c r="A7519" s="16" t="n">
        <v>45462</v>
      </c>
      <c r="B7519" s="17" t="s">
        <v>3369</v>
      </c>
      <c r="C7519" s="17" t="s">
        <v>3370</v>
      </c>
      <c r="D7519" s="17" t="s">
        <v>19</v>
      </c>
      <c r="E7519" s="17" t="s">
        <v>3381</v>
      </c>
      <c r="F7519" s="17" t="s">
        <v>1059</v>
      </c>
      <c r="G7519" s="18" t="n">
        <v>886.31</v>
      </c>
      <c r="H7519" s="18" t="n">
        <v>0</v>
      </c>
      <c r="I7519" s="18" t="n">
        <f aca="false">((I7518 + G7519) - H7519)</f>
        <v>115799.37</v>
      </c>
      <c r="J7519" s="18" t="n">
        <v>0</v>
      </c>
      <c r="K7519" s="19" t="n">
        <v>0</v>
      </c>
      <c r="L7519" s="17"/>
    </row>
    <row r="7520" s="11" customFormat="true" ht="10.95" hidden="false" customHeight="true" outlineLevel="0" collapsed="false">
      <c r="A7520" s="16" t="n">
        <v>45462</v>
      </c>
      <c r="B7520" s="17" t="s">
        <v>3369</v>
      </c>
      <c r="C7520" s="17" t="s">
        <v>3370</v>
      </c>
      <c r="D7520" s="17" t="s">
        <v>19</v>
      </c>
      <c r="E7520" s="17" t="s">
        <v>3501</v>
      </c>
      <c r="F7520" s="17" t="s">
        <v>733</v>
      </c>
      <c r="G7520" s="18" t="n">
        <v>157.3</v>
      </c>
      <c r="H7520" s="18" t="n">
        <v>0</v>
      </c>
      <c r="I7520" s="18" t="n">
        <f aca="false">((I7519 + G7520) - H7520)</f>
        <v>115956.67</v>
      </c>
      <c r="J7520" s="18" t="n">
        <v>0</v>
      </c>
      <c r="K7520" s="19" t="n">
        <v>0</v>
      </c>
      <c r="L7520" s="17"/>
    </row>
    <row r="7521" s="11" customFormat="true" ht="10.95" hidden="false" customHeight="true" outlineLevel="0" collapsed="false">
      <c r="A7521" s="16" t="n">
        <v>45462</v>
      </c>
      <c r="B7521" s="17" t="s">
        <v>3369</v>
      </c>
      <c r="C7521" s="17" t="s">
        <v>3370</v>
      </c>
      <c r="D7521" s="17" t="s">
        <v>19</v>
      </c>
      <c r="E7521" s="17" t="s">
        <v>3489</v>
      </c>
      <c r="F7521" s="17" t="s">
        <v>1060</v>
      </c>
      <c r="G7521" s="18" t="n">
        <v>2784.61</v>
      </c>
      <c r="H7521" s="18" t="n">
        <v>0</v>
      </c>
      <c r="I7521" s="18" t="n">
        <f aca="false">((I7520 + G7521) - H7521)</f>
        <v>118741.28</v>
      </c>
      <c r="J7521" s="18" t="n">
        <v>0</v>
      </c>
      <c r="K7521" s="19" t="n">
        <v>0</v>
      </c>
      <c r="L7521" s="17"/>
    </row>
    <row r="7522" s="11" customFormat="true" ht="10.95" hidden="false" customHeight="true" outlineLevel="0" collapsed="false">
      <c r="A7522" s="16" t="n">
        <v>45462</v>
      </c>
      <c r="B7522" s="17" t="s">
        <v>3369</v>
      </c>
      <c r="C7522" s="17" t="s">
        <v>3370</v>
      </c>
      <c r="D7522" s="17" t="s">
        <v>19</v>
      </c>
      <c r="E7522" s="17" t="s">
        <v>3490</v>
      </c>
      <c r="F7522" s="17" t="s">
        <v>734</v>
      </c>
      <c r="G7522" s="18" t="n">
        <v>1034.55</v>
      </c>
      <c r="H7522" s="18" t="n">
        <v>0</v>
      </c>
      <c r="I7522" s="18" t="n">
        <f aca="false">((I7521 + G7522) - H7522)</f>
        <v>119775.83</v>
      </c>
      <c r="J7522" s="18" t="n">
        <v>0</v>
      </c>
      <c r="K7522" s="19" t="n">
        <v>0</v>
      </c>
      <c r="L7522" s="17"/>
    </row>
    <row r="7523" s="11" customFormat="true" ht="10.95" hidden="false" customHeight="true" outlineLevel="0" collapsed="false">
      <c r="A7523" s="16" t="n">
        <v>45462</v>
      </c>
      <c r="B7523" s="17" t="s">
        <v>3369</v>
      </c>
      <c r="C7523" s="17" t="s">
        <v>3370</v>
      </c>
      <c r="D7523" s="17" t="s">
        <v>19</v>
      </c>
      <c r="E7523" s="17" t="s">
        <v>3422</v>
      </c>
      <c r="F7523" s="17" t="s">
        <v>1061</v>
      </c>
      <c r="G7523" s="18" t="n">
        <v>9831.81</v>
      </c>
      <c r="H7523" s="18" t="n">
        <v>0</v>
      </c>
      <c r="I7523" s="18" t="n">
        <f aca="false">((I7522 + G7523) - H7523)</f>
        <v>129607.64</v>
      </c>
      <c r="J7523" s="18" t="n">
        <v>0</v>
      </c>
      <c r="K7523" s="19" t="n">
        <v>0</v>
      </c>
      <c r="L7523" s="17"/>
    </row>
    <row r="7524" s="11" customFormat="true" ht="10.95" hidden="false" customHeight="true" outlineLevel="0" collapsed="false">
      <c r="A7524" s="16" t="n">
        <v>45462</v>
      </c>
      <c r="B7524" s="17" t="s">
        <v>3369</v>
      </c>
      <c r="C7524" s="17" t="s">
        <v>3370</v>
      </c>
      <c r="D7524" s="17" t="s">
        <v>19</v>
      </c>
      <c r="E7524" s="17" t="s">
        <v>3423</v>
      </c>
      <c r="F7524" s="17" t="s">
        <v>926</v>
      </c>
      <c r="G7524" s="18" t="n">
        <v>88.88</v>
      </c>
      <c r="H7524" s="18" t="n">
        <v>0</v>
      </c>
      <c r="I7524" s="18" t="n">
        <f aca="false">((I7523 + G7524) - H7524)</f>
        <v>129696.52</v>
      </c>
      <c r="J7524" s="18" t="n">
        <v>0</v>
      </c>
      <c r="K7524" s="19" t="n">
        <v>0</v>
      </c>
      <c r="L7524" s="17"/>
    </row>
    <row r="7525" s="11" customFormat="true" ht="10.95" hidden="false" customHeight="true" outlineLevel="0" collapsed="false">
      <c r="A7525" s="16" t="n">
        <v>45462</v>
      </c>
      <c r="B7525" s="17" t="s">
        <v>3369</v>
      </c>
      <c r="C7525" s="17" t="s">
        <v>3370</v>
      </c>
      <c r="D7525" s="17" t="s">
        <v>19</v>
      </c>
      <c r="E7525" s="17" t="s">
        <v>3424</v>
      </c>
      <c r="F7525" s="17" t="s">
        <v>735</v>
      </c>
      <c r="G7525" s="18" t="n">
        <v>413.6</v>
      </c>
      <c r="H7525" s="18" t="n">
        <v>0</v>
      </c>
      <c r="I7525" s="18" t="n">
        <f aca="false">((I7524 + G7525) - H7525)</f>
        <v>130110.12</v>
      </c>
      <c r="J7525" s="18" t="n">
        <v>0</v>
      </c>
      <c r="K7525" s="19" t="n">
        <v>0</v>
      </c>
      <c r="L7525" s="17"/>
    </row>
    <row r="7526" s="11" customFormat="true" ht="10.95" hidden="false" customHeight="true" outlineLevel="0" collapsed="false">
      <c r="A7526" s="16" t="n">
        <v>45462</v>
      </c>
      <c r="B7526" s="17" t="s">
        <v>3369</v>
      </c>
      <c r="C7526" s="17" t="s">
        <v>3370</v>
      </c>
      <c r="D7526" s="17" t="s">
        <v>19</v>
      </c>
      <c r="E7526" s="17" t="s">
        <v>3425</v>
      </c>
      <c r="F7526" s="17" t="s">
        <v>1260</v>
      </c>
      <c r="G7526" s="18" t="n">
        <v>763.92</v>
      </c>
      <c r="H7526" s="18" t="n">
        <v>0</v>
      </c>
      <c r="I7526" s="18" t="n">
        <f aca="false">((I7525 + G7526) - H7526)</f>
        <v>130874.04</v>
      </c>
      <c r="J7526" s="18" t="n">
        <v>0</v>
      </c>
      <c r="K7526" s="19" t="n">
        <v>0</v>
      </c>
      <c r="L7526" s="17"/>
    </row>
    <row r="7527" s="11" customFormat="true" ht="10.95" hidden="false" customHeight="true" outlineLevel="0" collapsed="false">
      <c r="A7527" s="16" t="n">
        <v>45462</v>
      </c>
      <c r="B7527" s="17" t="s">
        <v>3369</v>
      </c>
      <c r="C7527" s="17" t="s">
        <v>3370</v>
      </c>
      <c r="D7527" s="17" t="s">
        <v>19</v>
      </c>
      <c r="E7527" s="17" t="s">
        <v>3426</v>
      </c>
      <c r="F7527" s="17" t="s">
        <v>736</v>
      </c>
      <c r="G7527" s="18" t="n">
        <v>1512.5</v>
      </c>
      <c r="H7527" s="18" t="n">
        <v>0</v>
      </c>
      <c r="I7527" s="18" t="n">
        <f aca="false">((I7526 + G7527) - H7527)</f>
        <v>132386.54</v>
      </c>
      <c r="J7527" s="18" t="n">
        <v>0</v>
      </c>
      <c r="K7527" s="19" t="n">
        <v>0</v>
      </c>
      <c r="L7527" s="17"/>
    </row>
    <row r="7528" s="11" customFormat="true" ht="10.95" hidden="false" customHeight="true" outlineLevel="0" collapsed="false">
      <c r="A7528" s="16" t="n">
        <v>45462</v>
      </c>
      <c r="B7528" s="17" t="s">
        <v>3369</v>
      </c>
      <c r="C7528" s="17" t="s">
        <v>3370</v>
      </c>
      <c r="D7528" s="17" t="s">
        <v>19</v>
      </c>
      <c r="E7528" s="17" t="s">
        <v>3427</v>
      </c>
      <c r="F7528" s="17" t="s">
        <v>737</v>
      </c>
      <c r="G7528" s="18" t="n">
        <v>654.5</v>
      </c>
      <c r="H7528" s="18" t="n">
        <v>0</v>
      </c>
      <c r="I7528" s="18" t="n">
        <f aca="false">((I7527 + G7528) - H7528)</f>
        <v>133041.04</v>
      </c>
      <c r="J7528" s="18" t="n">
        <v>0</v>
      </c>
      <c r="K7528" s="19" t="n">
        <v>0</v>
      </c>
      <c r="L7528" s="17"/>
    </row>
    <row r="7529" s="11" customFormat="true" ht="10.95" hidden="false" customHeight="true" outlineLevel="0" collapsed="false">
      <c r="A7529" s="16" t="n">
        <v>45462</v>
      </c>
      <c r="B7529" s="17" t="s">
        <v>3369</v>
      </c>
      <c r="C7529" s="17" t="s">
        <v>3370</v>
      </c>
      <c r="D7529" s="17" t="s">
        <v>19</v>
      </c>
      <c r="E7529" s="17" t="s">
        <v>3428</v>
      </c>
      <c r="F7529" s="17" t="s">
        <v>738</v>
      </c>
      <c r="G7529" s="18" t="n">
        <v>1385.45</v>
      </c>
      <c r="H7529" s="18" t="n">
        <v>0</v>
      </c>
      <c r="I7529" s="18" t="n">
        <f aca="false">((I7528 + G7529) - H7529)</f>
        <v>134426.49</v>
      </c>
      <c r="J7529" s="18" t="n">
        <v>0</v>
      </c>
      <c r="K7529" s="19" t="n">
        <v>0</v>
      </c>
      <c r="L7529" s="17"/>
    </row>
    <row r="7530" s="11" customFormat="true" ht="10.95" hidden="false" customHeight="true" outlineLevel="0" collapsed="false">
      <c r="A7530" s="16" t="n">
        <v>45462</v>
      </c>
      <c r="B7530" s="17" t="s">
        <v>3369</v>
      </c>
      <c r="C7530" s="17" t="s">
        <v>3370</v>
      </c>
      <c r="D7530" s="17" t="s">
        <v>19</v>
      </c>
      <c r="E7530" s="17" t="s">
        <v>3540</v>
      </c>
      <c r="F7530" s="17" t="s">
        <v>740</v>
      </c>
      <c r="G7530" s="18" t="n">
        <v>1379.4</v>
      </c>
      <c r="H7530" s="18" t="n">
        <v>0</v>
      </c>
      <c r="I7530" s="18" t="n">
        <f aca="false">((I7529 + G7530) - H7530)</f>
        <v>135805.89</v>
      </c>
      <c r="J7530" s="18" t="n">
        <v>0</v>
      </c>
      <c r="K7530" s="19" t="n">
        <v>0</v>
      </c>
      <c r="L7530" s="17"/>
    </row>
    <row r="7531" s="11" customFormat="true" ht="10.95" hidden="false" customHeight="true" outlineLevel="0" collapsed="false">
      <c r="A7531" s="16" t="n">
        <v>45462</v>
      </c>
      <c r="B7531" s="17" t="s">
        <v>3369</v>
      </c>
      <c r="C7531" s="17" t="s">
        <v>3370</v>
      </c>
      <c r="D7531" s="17" t="s">
        <v>19</v>
      </c>
      <c r="E7531" s="17" t="s">
        <v>3430</v>
      </c>
      <c r="F7531" s="17" t="s">
        <v>927</v>
      </c>
      <c r="G7531" s="18" t="n">
        <v>116.1</v>
      </c>
      <c r="H7531" s="18" t="n">
        <v>0</v>
      </c>
      <c r="I7531" s="18" t="n">
        <f aca="false">((I7530 + G7531) - H7531)</f>
        <v>135921.99</v>
      </c>
      <c r="J7531" s="18" t="n">
        <v>0</v>
      </c>
      <c r="K7531" s="19" t="n">
        <v>0</v>
      </c>
      <c r="L7531" s="17"/>
    </row>
    <row r="7532" s="11" customFormat="true" ht="10.95" hidden="false" customHeight="true" outlineLevel="0" collapsed="false">
      <c r="A7532" s="16" t="n">
        <v>45462</v>
      </c>
      <c r="B7532" s="17" t="s">
        <v>3369</v>
      </c>
      <c r="C7532" s="17" t="s">
        <v>3370</v>
      </c>
      <c r="D7532" s="17" t="s">
        <v>19</v>
      </c>
      <c r="E7532" s="17" t="s">
        <v>3430</v>
      </c>
      <c r="F7532" s="17" t="s">
        <v>928</v>
      </c>
      <c r="G7532" s="18" t="n">
        <v>317.76</v>
      </c>
      <c r="H7532" s="18" t="n">
        <v>0</v>
      </c>
      <c r="I7532" s="18" t="n">
        <f aca="false">((I7531 + G7532) - H7532)</f>
        <v>136239.75</v>
      </c>
      <c r="J7532" s="18" t="n">
        <v>0</v>
      </c>
      <c r="K7532" s="19" t="n">
        <v>0</v>
      </c>
      <c r="L7532" s="17"/>
    </row>
    <row r="7533" s="11" customFormat="true" ht="10.95" hidden="false" customHeight="true" outlineLevel="0" collapsed="false">
      <c r="A7533" s="16" t="n">
        <v>45462</v>
      </c>
      <c r="B7533" s="17" t="s">
        <v>3369</v>
      </c>
      <c r="C7533" s="17" t="s">
        <v>3370</v>
      </c>
      <c r="D7533" s="17" t="s">
        <v>19</v>
      </c>
      <c r="E7533" s="17" t="s">
        <v>3431</v>
      </c>
      <c r="F7533" s="17" t="s">
        <v>752</v>
      </c>
      <c r="G7533" s="18" t="n">
        <v>357.5</v>
      </c>
      <c r="H7533" s="18" t="n">
        <v>0</v>
      </c>
      <c r="I7533" s="18" t="n">
        <f aca="false">((I7532 + G7533) - H7533)</f>
        <v>136597.25</v>
      </c>
      <c r="J7533" s="18" t="n">
        <v>0</v>
      </c>
      <c r="K7533" s="19" t="n">
        <v>0</v>
      </c>
      <c r="L7533" s="17"/>
    </row>
    <row r="7534" s="11" customFormat="true" ht="10.95" hidden="false" customHeight="true" outlineLevel="0" collapsed="false">
      <c r="A7534" s="16" t="n">
        <v>45462</v>
      </c>
      <c r="B7534" s="17" t="s">
        <v>3369</v>
      </c>
      <c r="C7534" s="17" t="s">
        <v>3370</v>
      </c>
      <c r="D7534" s="17" t="s">
        <v>19</v>
      </c>
      <c r="E7534" s="17" t="s">
        <v>3432</v>
      </c>
      <c r="F7534" s="17" t="s">
        <v>753</v>
      </c>
      <c r="G7534" s="18" t="n">
        <v>1094.5</v>
      </c>
      <c r="H7534" s="18" t="n">
        <v>0</v>
      </c>
      <c r="I7534" s="18" t="n">
        <f aca="false">((I7533 + G7534) - H7534)</f>
        <v>137691.75</v>
      </c>
      <c r="J7534" s="18" t="n">
        <v>0</v>
      </c>
      <c r="K7534" s="19" t="n">
        <v>0</v>
      </c>
      <c r="L7534" s="17"/>
    </row>
    <row r="7535" s="11" customFormat="true" ht="10.95" hidden="false" customHeight="true" outlineLevel="0" collapsed="false">
      <c r="A7535" s="16" t="n">
        <v>45462</v>
      </c>
      <c r="B7535" s="17" t="s">
        <v>3369</v>
      </c>
      <c r="C7535" s="17" t="s">
        <v>3370</v>
      </c>
      <c r="D7535" s="17" t="s">
        <v>19</v>
      </c>
      <c r="E7535" s="17" t="s">
        <v>3434</v>
      </c>
      <c r="F7535" s="17" t="s">
        <v>754</v>
      </c>
      <c r="G7535" s="18" t="n">
        <v>396</v>
      </c>
      <c r="H7535" s="18" t="n">
        <v>0</v>
      </c>
      <c r="I7535" s="18" t="n">
        <f aca="false">((I7534 + G7535) - H7535)</f>
        <v>138087.75</v>
      </c>
      <c r="J7535" s="18" t="n">
        <v>0</v>
      </c>
      <c r="K7535" s="19" t="n">
        <v>0</v>
      </c>
      <c r="L7535" s="17"/>
    </row>
    <row r="7536" s="11" customFormat="true" ht="10.95" hidden="false" customHeight="true" outlineLevel="0" collapsed="false">
      <c r="A7536" s="16" t="n">
        <v>45462</v>
      </c>
      <c r="B7536" s="17" t="s">
        <v>3369</v>
      </c>
      <c r="C7536" s="17" t="s">
        <v>3370</v>
      </c>
      <c r="D7536" s="17" t="s">
        <v>19</v>
      </c>
      <c r="E7536" s="17" t="s">
        <v>3435</v>
      </c>
      <c r="F7536" s="17" t="s">
        <v>755</v>
      </c>
      <c r="G7536" s="18" t="n">
        <v>2244</v>
      </c>
      <c r="H7536" s="18" t="n">
        <v>0</v>
      </c>
      <c r="I7536" s="18" t="n">
        <f aca="false">((I7535 + G7536) - H7536)</f>
        <v>140331.75</v>
      </c>
      <c r="J7536" s="18" t="n">
        <v>0</v>
      </c>
      <c r="K7536" s="19" t="n">
        <v>0</v>
      </c>
      <c r="L7536" s="17"/>
    </row>
    <row r="7537" s="11" customFormat="true" ht="10.95" hidden="false" customHeight="true" outlineLevel="0" collapsed="false">
      <c r="A7537" s="16" t="n">
        <v>45462</v>
      </c>
      <c r="B7537" s="17" t="s">
        <v>3369</v>
      </c>
      <c r="C7537" s="17" t="s">
        <v>3370</v>
      </c>
      <c r="D7537" s="17" t="s">
        <v>19</v>
      </c>
      <c r="E7537" s="17" t="s">
        <v>3436</v>
      </c>
      <c r="F7537" s="17" t="s">
        <v>929</v>
      </c>
      <c r="G7537" s="18" t="n">
        <v>2717</v>
      </c>
      <c r="H7537" s="18" t="n">
        <v>0</v>
      </c>
      <c r="I7537" s="18" t="n">
        <f aca="false">((I7536 + G7537) - H7537)</f>
        <v>143048.75</v>
      </c>
      <c r="J7537" s="18" t="n">
        <v>0</v>
      </c>
      <c r="K7537" s="19" t="n">
        <v>0</v>
      </c>
      <c r="L7537" s="17"/>
    </row>
    <row r="7538" s="11" customFormat="true" ht="10.95" hidden="false" customHeight="true" outlineLevel="0" collapsed="false">
      <c r="A7538" s="16" t="n">
        <v>45462</v>
      </c>
      <c r="B7538" s="17" t="s">
        <v>3369</v>
      </c>
      <c r="C7538" s="17" t="s">
        <v>3370</v>
      </c>
      <c r="D7538" s="17" t="s">
        <v>19</v>
      </c>
      <c r="E7538" s="17" t="s">
        <v>3436</v>
      </c>
      <c r="F7538" s="17" t="s">
        <v>930</v>
      </c>
      <c r="G7538" s="18" t="n">
        <v>1001</v>
      </c>
      <c r="H7538" s="18" t="n">
        <v>0</v>
      </c>
      <c r="I7538" s="18" t="n">
        <f aca="false">((I7537 + G7538) - H7538)</f>
        <v>144049.75</v>
      </c>
      <c r="J7538" s="18" t="n">
        <v>0</v>
      </c>
      <c r="K7538" s="19" t="n">
        <v>0</v>
      </c>
      <c r="L7538" s="17"/>
    </row>
    <row r="7539" s="11" customFormat="true" ht="10.95" hidden="false" customHeight="true" outlineLevel="0" collapsed="false">
      <c r="A7539" s="16" t="n">
        <v>45462</v>
      </c>
      <c r="B7539" s="17" t="s">
        <v>3369</v>
      </c>
      <c r="C7539" s="17" t="s">
        <v>3370</v>
      </c>
      <c r="D7539" s="17" t="s">
        <v>19</v>
      </c>
      <c r="E7539" s="17" t="s">
        <v>3436</v>
      </c>
      <c r="F7539" s="17" t="s">
        <v>931</v>
      </c>
      <c r="G7539" s="18" t="n">
        <v>1567.5</v>
      </c>
      <c r="H7539" s="18" t="n">
        <v>0</v>
      </c>
      <c r="I7539" s="18" t="n">
        <f aca="false">((I7538 + G7539) - H7539)</f>
        <v>145617.25</v>
      </c>
      <c r="J7539" s="18" t="n">
        <v>0</v>
      </c>
      <c r="K7539" s="19" t="n">
        <v>0</v>
      </c>
      <c r="L7539" s="17"/>
    </row>
    <row r="7540" s="11" customFormat="true" ht="10.95" hidden="false" customHeight="true" outlineLevel="0" collapsed="false">
      <c r="A7540" s="16" t="n">
        <v>45462</v>
      </c>
      <c r="B7540" s="17" t="s">
        <v>3369</v>
      </c>
      <c r="C7540" s="17" t="s">
        <v>3370</v>
      </c>
      <c r="D7540" s="17" t="s">
        <v>19</v>
      </c>
      <c r="E7540" s="17" t="s">
        <v>3437</v>
      </c>
      <c r="F7540" s="17" t="s">
        <v>756</v>
      </c>
      <c r="G7540" s="18" t="n">
        <v>1100.06</v>
      </c>
      <c r="H7540" s="18" t="n">
        <v>0</v>
      </c>
      <c r="I7540" s="18" t="n">
        <f aca="false">((I7539 + G7540) - H7540)</f>
        <v>146717.31</v>
      </c>
      <c r="J7540" s="18" t="n">
        <v>0</v>
      </c>
      <c r="K7540" s="19" t="n">
        <v>0</v>
      </c>
      <c r="L7540" s="17"/>
    </row>
    <row r="7541" s="11" customFormat="true" ht="10.95" hidden="false" customHeight="true" outlineLevel="0" collapsed="false">
      <c r="A7541" s="16" t="n">
        <v>45462</v>
      </c>
      <c r="B7541" s="17" t="s">
        <v>3369</v>
      </c>
      <c r="C7541" s="17" t="s">
        <v>3370</v>
      </c>
      <c r="D7541" s="17" t="s">
        <v>19</v>
      </c>
      <c r="E7541" s="17" t="s">
        <v>3438</v>
      </c>
      <c r="F7541" s="17" t="s">
        <v>1261</v>
      </c>
      <c r="G7541" s="18" t="n">
        <v>3094.07</v>
      </c>
      <c r="H7541" s="18" t="n">
        <v>0</v>
      </c>
      <c r="I7541" s="18" t="n">
        <f aca="false">((I7540 + G7541) - H7541)</f>
        <v>149811.38</v>
      </c>
      <c r="J7541" s="18" t="n">
        <v>0</v>
      </c>
      <c r="K7541" s="19" t="n">
        <v>0</v>
      </c>
      <c r="L7541" s="17"/>
    </row>
    <row r="7542" s="11" customFormat="true" ht="10.95" hidden="false" customHeight="true" outlineLevel="0" collapsed="false">
      <c r="A7542" s="16" t="n">
        <v>45462</v>
      </c>
      <c r="B7542" s="17" t="s">
        <v>3369</v>
      </c>
      <c r="C7542" s="17" t="s">
        <v>3370</v>
      </c>
      <c r="D7542" s="17" t="s">
        <v>19</v>
      </c>
      <c r="E7542" s="17" t="s">
        <v>3439</v>
      </c>
      <c r="F7542" s="17" t="s">
        <v>757</v>
      </c>
      <c r="G7542" s="18" t="n">
        <v>1052.7</v>
      </c>
      <c r="H7542" s="18" t="n">
        <v>0</v>
      </c>
      <c r="I7542" s="18" t="n">
        <f aca="false">((I7541 + G7542) - H7542)</f>
        <v>150864.08</v>
      </c>
      <c r="J7542" s="18" t="n">
        <v>0</v>
      </c>
      <c r="K7542" s="19" t="n">
        <v>0</v>
      </c>
      <c r="L7542" s="17"/>
    </row>
    <row r="7543" s="11" customFormat="true" ht="10.95" hidden="false" customHeight="true" outlineLevel="0" collapsed="false">
      <c r="A7543" s="16" t="n">
        <v>45462</v>
      </c>
      <c r="B7543" s="17" t="s">
        <v>3369</v>
      </c>
      <c r="C7543" s="17" t="s">
        <v>3370</v>
      </c>
      <c r="D7543" s="17" t="s">
        <v>19</v>
      </c>
      <c r="E7543" s="17" t="s">
        <v>3440</v>
      </c>
      <c r="F7543" s="17" t="s">
        <v>1262</v>
      </c>
      <c r="G7543" s="18" t="n">
        <v>1496.39</v>
      </c>
      <c r="H7543" s="18" t="n">
        <v>0</v>
      </c>
      <c r="I7543" s="18" t="n">
        <f aca="false">((I7542 + G7543) - H7543)</f>
        <v>152360.47</v>
      </c>
      <c r="J7543" s="18" t="n">
        <v>0</v>
      </c>
      <c r="K7543" s="19" t="n">
        <v>0</v>
      </c>
      <c r="L7543" s="17"/>
    </row>
    <row r="7544" s="11" customFormat="true" ht="10.95" hidden="false" customHeight="true" outlineLevel="0" collapsed="false">
      <c r="A7544" s="16" t="n">
        <v>45462</v>
      </c>
      <c r="B7544" s="17" t="s">
        <v>3369</v>
      </c>
      <c r="C7544" s="17" t="s">
        <v>3370</v>
      </c>
      <c r="D7544" s="17" t="s">
        <v>19</v>
      </c>
      <c r="E7544" s="17" t="s">
        <v>3441</v>
      </c>
      <c r="F7544" s="17" t="s">
        <v>1263</v>
      </c>
      <c r="G7544" s="18" t="n">
        <v>180</v>
      </c>
      <c r="H7544" s="18" t="n">
        <v>0</v>
      </c>
      <c r="I7544" s="18" t="n">
        <f aca="false">((I7543 + G7544) - H7544)</f>
        <v>152540.47</v>
      </c>
      <c r="J7544" s="18" t="n">
        <v>0</v>
      </c>
      <c r="K7544" s="19" t="n">
        <v>0</v>
      </c>
      <c r="L7544" s="17"/>
    </row>
    <row r="7545" s="11" customFormat="true" ht="10.95" hidden="false" customHeight="true" outlineLevel="0" collapsed="false">
      <c r="A7545" s="16" t="n">
        <v>45462</v>
      </c>
      <c r="B7545" s="17" t="s">
        <v>3369</v>
      </c>
      <c r="C7545" s="17" t="s">
        <v>3370</v>
      </c>
      <c r="D7545" s="17" t="s">
        <v>19</v>
      </c>
      <c r="E7545" s="17" t="s">
        <v>3442</v>
      </c>
      <c r="F7545" s="17" t="s">
        <v>758</v>
      </c>
      <c r="G7545" s="18" t="n">
        <v>9999</v>
      </c>
      <c r="H7545" s="18" t="n">
        <v>0</v>
      </c>
      <c r="I7545" s="18" t="n">
        <f aca="false">((I7544 + G7545) - H7545)</f>
        <v>162539.47</v>
      </c>
      <c r="J7545" s="18" t="n">
        <v>0</v>
      </c>
      <c r="K7545" s="19" t="n">
        <v>0</v>
      </c>
      <c r="L7545" s="17"/>
    </row>
    <row r="7546" s="11" customFormat="true" ht="10.95" hidden="false" customHeight="true" outlineLevel="0" collapsed="false">
      <c r="A7546" s="16" t="n">
        <v>45462</v>
      </c>
      <c r="B7546" s="17" t="s">
        <v>3369</v>
      </c>
      <c r="C7546" s="17" t="s">
        <v>3370</v>
      </c>
      <c r="D7546" s="17" t="s">
        <v>19</v>
      </c>
      <c r="E7546" s="17" t="s">
        <v>3442</v>
      </c>
      <c r="F7546" s="17" t="s">
        <v>759</v>
      </c>
      <c r="G7546" s="18" t="n">
        <v>9999</v>
      </c>
      <c r="H7546" s="18" t="n">
        <v>0</v>
      </c>
      <c r="I7546" s="18" t="n">
        <f aca="false">((I7545 + G7546) - H7546)</f>
        <v>172538.47</v>
      </c>
      <c r="J7546" s="18" t="n">
        <v>0</v>
      </c>
      <c r="K7546" s="19" t="n">
        <v>0</v>
      </c>
      <c r="L7546" s="17"/>
    </row>
    <row r="7547" s="11" customFormat="true" ht="10.95" hidden="false" customHeight="true" outlineLevel="0" collapsed="false">
      <c r="A7547" s="16" t="n">
        <v>45462</v>
      </c>
      <c r="B7547" s="17" t="s">
        <v>3369</v>
      </c>
      <c r="C7547" s="17" t="s">
        <v>3370</v>
      </c>
      <c r="D7547" s="17" t="s">
        <v>19</v>
      </c>
      <c r="E7547" s="17" t="s">
        <v>3443</v>
      </c>
      <c r="F7547" s="17" t="s">
        <v>760</v>
      </c>
      <c r="G7547" s="18" t="n">
        <v>4994</v>
      </c>
      <c r="H7547" s="18" t="n">
        <v>0</v>
      </c>
      <c r="I7547" s="18" t="n">
        <f aca="false">((I7546 + G7547) - H7547)</f>
        <v>177532.47</v>
      </c>
      <c r="J7547" s="18" t="n">
        <v>0</v>
      </c>
      <c r="K7547" s="19" t="n">
        <v>0</v>
      </c>
      <c r="L7547" s="17"/>
    </row>
    <row r="7548" s="11" customFormat="true" ht="10.95" hidden="false" customHeight="true" outlineLevel="0" collapsed="false">
      <c r="A7548" s="16" t="n">
        <v>45462</v>
      </c>
      <c r="B7548" s="17" t="s">
        <v>3369</v>
      </c>
      <c r="C7548" s="17" t="s">
        <v>3370</v>
      </c>
      <c r="D7548" s="17" t="s">
        <v>19</v>
      </c>
      <c r="E7548" s="17" t="s">
        <v>3444</v>
      </c>
      <c r="F7548" s="17" t="s">
        <v>761</v>
      </c>
      <c r="G7548" s="18" t="n">
        <v>968</v>
      </c>
      <c r="H7548" s="18" t="n">
        <v>0</v>
      </c>
      <c r="I7548" s="18" t="n">
        <f aca="false">((I7547 + G7548) - H7548)</f>
        <v>178500.47</v>
      </c>
      <c r="J7548" s="18" t="n">
        <v>0</v>
      </c>
      <c r="K7548" s="19" t="n">
        <v>0</v>
      </c>
      <c r="L7548" s="17"/>
    </row>
    <row r="7549" s="11" customFormat="true" ht="10.95" hidden="false" customHeight="true" outlineLevel="0" collapsed="false">
      <c r="A7549" s="16" t="n">
        <v>45462</v>
      </c>
      <c r="B7549" s="17" t="s">
        <v>3369</v>
      </c>
      <c r="C7549" s="17" t="s">
        <v>3370</v>
      </c>
      <c r="D7549" s="17" t="s">
        <v>19</v>
      </c>
      <c r="E7549" s="17" t="s">
        <v>3494</v>
      </c>
      <c r="F7549" s="17" t="s">
        <v>762</v>
      </c>
      <c r="G7549" s="18" t="n">
        <v>913</v>
      </c>
      <c r="H7549" s="18" t="n">
        <v>0</v>
      </c>
      <c r="I7549" s="18" t="n">
        <f aca="false">((I7548 + G7549) - H7549)</f>
        <v>179413.47</v>
      </c>
      <c r="J7549" s="18" t="n">
        <v>0</v>
      </c>
      <c r="K7549" s="19" t="n">
        <v>0</v>
      </c>
      <c r="L7549" s="17"/>
    </row>
    <row r="7550" s="11" customFormat="true" ht="10.95" hidden="false" customHeight="true" outlineLevel="0" collapsed="false">
      <c r="A7550" s="16" t="n">
        <v>45462</v>
      </c>
      <c r="B7550" s="17" t="s">
        <v>3369</v>
      </c>
      <c r="C7550" s="17" t="s">
        <v>3370</v>
      </c>
      <c r="D7550" s="17" t="s">
        <v>19</v>
      </c>
      <c r="E7550" s="17" t="s">
        <v>3446</v>
      </c>
      <c r="F7550" s="17" t="s">
        <v>763</v>
      </c>
      <c r="G7550" s="18" t="n">
        <v>1861.2</v>
      </c>
      <c r="H7550" s="18" t="n">
        <v>0</v>
      </c>
      <c r="I7550" s="18" t="n">
        <f aca="false">((I7549 + G7550) - H7550)</f>
        <v>181274.67</v>
      </c>
      <c r="J7550" s="18" t="n">
        <v>0</v>
      </c>
      <c r="K7550" s="19" t="n">
        <v>0</v>
      </c>
      <c r="L7550" s="17"/>
    </row>
    <row r="7551" s="11" customFormat="true" ht="10.95" hidden="false" customHeight="true" outlineLevel="0" collapsed="false">
      <c r="A7551" s="16" t="n">
        <v>45462</v>
      </c>
      <c r="B7551" s="17" t="s">
        <v>3369</v>
      </c>
      <c r="C7551" s="17" t="s">
        <v>3370</v>
      </c>
      <c r="D7551" s="17" t="s">
        <v>19</v>
      </c>
      <c r="E7551" s="17" t="s">
        <v>3447</v>
      </c>
      <c r="F7551" s="17" t="s">
        <v>764</v>
      </c>
      <c r="G7551" s="18" t="n">
        <v>455.4</v>
      </c>
      <c r="H7551" s="18" t="n">
        <v>0</v>
      </c>
      <c r="I7551" s="18" t="n">
        <f aca="false">((I7550 + G7551) - H7551)</f>
        <v>181730.07</v>
      </c>
      <c r="J7551" s="18" t="n">
        <v>0</v>
      </c>
      <c r="K7551" s="19" t="n">
        <v>0</v>
      </c>
      <c r="L7551" s="17"/>
    </row>
    <row r="7552" s="11" customFormat="true" ht="10.95" hidden="false" customHeight="true" outlineLevel="0" collapsed="false">
      <c r="A7552" s="16" t="n">
        <v>45462</v>
      </c>
      <c r="B7552" s="17" t="s">
        <v>3369</v>
      </c>
      <c r="C7552" s="17" t="s">
        <v>3370</v>
      </c>
      <c r="D7552" s="17" t="s">
        <v>19</v>
      </c>
      <c r="E7552" s="17" t="s">
        <v>3447</v>
      </c>
      <c r="F7552" s="17" t="s">
        <v>765</v>
      </c>
      <c r="G7552" s="18" t="n">
        <v>114.95</v>
      </c>
      <c r="H7552" s="18" t="n">
        <v>0</v>
      </c>
      <c r="I7552" s="18" t="n">
        <f aca="false">((I7551 + G7552) - H7552)</f>
        <v>181845.02</v>
      </c>
      <c r="J7552" s="18" t="n">
        <v>0</v>
      </c>
      <c r="K7552" s="19" t="n">
        <v>0</v>
      </c>
      <c r="L7552" s="17"/>
    </row>
    <row r="7553" s="11" customFormat="true" ht="10.95" hidden="false" customHeight="true" outlineLevel="0" collapsed="false">
      <c r="A7553" s="16" t="n">
        <v>45462</v>
      </c>
      <c r="B7553" s="17" t="s">
        <v>3369</v>
      </c>
      <c r="C7553" s="17" t="s">
        <v>3370</v>
      </c>
      <c r="D7553" s="17" t="s">
        <v>19</v>
      </c>
      <c r="E7553" s="17" t="s">
        <v>3447</v>
      </c>
      <c r="F7553" s="17" t="s">
        <v>766</v>
      </c>
      <c r="G7553" s="18" t="n">
        <v>618.75</v>
      </c>
      <c r="H7553" s="18" t="n">
        <v>0</v>
      </c>
      <c r="I7553" s="18" t="n">
        <f aca="false">((I7552 + G7553) - H7553)</f>
        <v>182463.77</v>
      </c>
      <c r="J7553" s="18" t="n">
        <v>0</v>
      </c>
      <c r="K7553" s="19" t="n">
        <v>0</v>
      </c>
      <c r="L7553" s="17"/>
    </row>
    <row r="7554" s="11" customFormat="true" ht="10.95" hidden="false" customHeight="true" outlineLevel="0" collapsed="false">
      <c r="A7554" s="16" t="n">
        <v>45462</v>
      </c>
      <c r="B7554" s="17" t="s">
        <v>3369</v>
      </c>
      <c r="C7554" s="17" t="s">
        <v>3370</v>
      </c>
      <c r="D7554" s="17" t="s">
        <v>19</v>
      </c>
      <c r="E7554" s="17" t="s">
        <v>3447</v>
      </c>
      <c r="F7554" s="17" t="s">
        <v>767</v>
      </c>
      <c r="G7554" s="18" t="n">
        <v>827.2</v>
      </c>
      <c r="H7554" s="18" t="n">
        <v>0</v>
      </c>
      <c r="I7554" s="18" t="n">
        <f aca="false">((I7553 + G7554) - H7554)</f>
        <v>183290.97</v>
      </c>
      <c r="J7554" s="18" t="n">
        <v>0</v>
      </c>
      <c r="K7554" s="19" t="n">
        <v>0</v>
      </c>
      <c r="L7554" s="17"/>
    </row>
    <row r="7555" s="11" customFormat="true" ht="10.95" hidden="false" customHeight="true" outlineLevel="0" collapsed="false">
      <c r="A7555" s="16" t="n">
        <v>45462</v>
      </c>
      <c r="B7555" s="17" t="s">
        <v>3369</v>
      </c>
      <c r="C7555" s="17" t="s">
        <v>3370</v>
      </c>
      <c r="D7555" s="17" t="s">
        <v>19</v>
      </c>
      <c r="E7555" s="17" t="s">
        <v>3447</v>
      </c>
      <c r="F7555" s="17" t="s">
        <v>768</v>
      </c>
      <c r="G7555" s="18" t="n">
        <v>741.4</v>
      </c>
      <c r="H7555" s="18" t="n">
        <v>0</v>
      </c>
      <c r="I7555" s="18" t="n">
        <f aca="false">((I7554 + G7555) - H7555)</f>
        <v>184032.37</v>
      </c>
      <c r="J7555" s="18" t="n">
        <v>0</v>
      </c>
      <c r="K7555" s="19" t="n">
        <v>0</v>
      </c>
      <c r="L7555" s="17"/>
    </row>
    <row r="7556" s="11" customFormat="true" ht="10.95" hidden="false" customHeight="true" outlineLevel="0" collapsed="false">
      <c r="A7556" s="16" t="n">
        <v>45462</v>
      </c>
      <c r="B7556" s="17" t="s">
        <v>3369</v>
      </c>
      <c r="C7556" s="17" t="s">
        <v>3370</v>
      </c>
      <c r="D7556" s="17" t="s">
        <v>19</v>
      </c>
      <c r="E7556" s="17" t="s">
        <v>3447</v>
      </c>
      <c r="F7556" s="17" t="s">
        <v>769</v>
      </c>
      <c r="G7556" s="18" t="n">
        <v>206.8</v>
      </c>
      <c r="H7556" s="18" t="n">
        <v>0</v>
      </c>
      <c r="I7556" s="18" t="n">
        <f aca="false">((I7555 + G7556) - H7556)</f>
        <v>184239.17</v>
      </c>
      <c r="J7556" s="18" t="n">
        <v>0</v>
      </c>
      <c r="K7556" s="19" t="n">
        <v>0</v>
      </c>
      <c r="L7556" s="17"/>
    </row>
    <row r="7557" s="11" customFormat="true" ht="10.95" hidden="false" customHeight="true" outlineLevel="0" collapsed="false">
      <c r="A7557" s="16" t="n">
        <v>45462</v>
      </c>
      <c r="B7557" s="17" t="s">
        <v>3369</v>
      </c>
      <c r="C7557" s="17" t="s">
        <v>3370</v>
      </c>
      <c r="D7557" s="17" t="s">
        <v>19</v>
      </c>
      <c r="E7557" s="17" t="s">
        <v>3447</v>
      </c>
      <c r="F7557" s="17" t="s">
        <v>770</v>
      </c>
      <c r="G7557" s="18" t="n">
        <v>1792.45</v>
      </c>
      <c r="H7557" s="18" t="n">
        <v>0</v>
      </c>
      <c r="I7557" s="18" t="n">
        <f aca="false">((I7556 + G7557) - H7557)</f>
        <v>186031.62</v>
      </c>
      <c r="J7557" s="18" t="n">
        <v>0</v>
      </c>
      <c r="K7557" s="19" t="n">
        <v>0</v>
      </c>
      <c r="L7557" s="17"/>
    </row>
    <row r="7558" s="11" customFormat="true" ht="10.95" hidden="false" customHeight="true" outlineLevel="0" collapsed="false">
      <c r="A7558" s="16" t="n">
        <v>45462</v>
      </c>
      <c r="B7558" s="17" t="s">
        <v>3369</v>
      </c>
      <c r="C7558" s="17" t="s">
        <v>3370</v>
      </c>
      <c r="D7558" s="17" t="s">
        <v>19</v>
      </c>
      <c r="E7558" s="17" t="s">
        <v>3447</v>
      </c>
      <c r="F7558" s="17" t="s">
        <v>771</v>
      </c>
      <c r="G7558" s="18" t="n">
        <v>517</v>
      </c>
      <c r="H7558" s="18" t="n">
        <v>0</v>
      </c>
      <c r="I7558" s="18" t="n">
        <f aca="false">((I7557 + G7558) - H7558)</f>
        <v>186548.62</v>
      </c>
      <c r="J7558" s="18" t="n">
        <v>0</v>
      </c>
      <c r="K7558" s="19" t="n">
        <v>0</v>
      </c>
      <c r="L7558" s="17"/>
    </row>
    <row r="7559" s="11" customFormat="true" ht="10.95" hidden="false" customHeight="true" outlineLevel="0" collapsed="false">
      <c r="A7559" s="16" t="n">
        <v>45462</v>
      </c>
      <c r="B7559" s="17" t="s">
        <v>3369</v>
      </c>
      <c r="C7559" s="17" t="s">
        <v>3370</v>
      </c>
      <c r="D7559" s="17" t="s">
        <v>19</v>
      </c>
      <c r="E7559" s="17" t="s">
        <v>3447</v>
      </c>
      <c r="F7559" s="17" t="s">
        <v>772</v>
      </c>
      <c r="G7559" s="18" t="n">
        <v>316.8</v>
      </c>
      <c r="H7559" s="18" t="n">
        <v>0</v>
      </c>
      <c r="I7559" s="18" t="n">
        <f aca="false">((I7558 + G7559) - H7559)</f>
        <v>186865.42</v>
      </c>
      <c r="J7559" s="18" t="n">
        <v>0</v>
      </c>
      <c r="K7559" s="19" t="n">
        <v>0</v>
      </c>
      <c r="L7559" s="17"/>
    </row>
    <row r="7560" s="11" customFormat="true" ht="10.95" hidden="false" customHeight="true" outlineLevel="0" collapsed="false">
      <c r="A7560" s="16" t="n">
        <v>45462</v>
      </c>
      <c r="B7560" s="17" t="s">
        <v>3369</v>
      </c>
      <c r="C7560" s="17" t="s">
        <v>3370</v>
      </c>
      <c r="D7560" s="17" t="s">
        <v>19</v>
      </c>
      <c r="E7560" s="17" t="s">
        <v>3447</v>
      </c>
      <c r="F7560" s="17" t="s">
        <v>773</v>
      </c>
      <c r="G7560" s="18" t="n">
        <v>627</v>
      </c>
      <c r="H7560" s="18" t="n">
        <v>0</v>
      </c>
      <c r="I7560" s="18" t="n">
        <f aca="false">((I7559 + G7560) - H7560)</f>
        <v>187492.42</v>
      </c>
      <c r="J7560" s="18" t="n">
        <v>0</v>
      </c>
      <c r="K7560" s="19" t="n">
        <v>0</v>
      </c>
      <c r="L7560" s="17"/>
    </row>
    <row r="7561" s="11" customFormat="true" ht="10.95" hidden="false" customHeight="true" outlineLevel="0" collapsed="false">
      <c r="A7561" s="16" t="n">
        <v>45462</v>
      </c>
      <c r="B7561" s="17" t="s">
        <v>3369</v>
      </c>
      <c r="C7561" s="17" t="s">
        <v>3370</v>
      </c>
      <c r="D7561" s="17" t="s">
        <v>19</v>
      </c>
      <c r="E7561" s="17" t="s">
        <v>3447</v>
      </c>
      <c r="F7561" s="17" t="s">
        <v>774</v>
      </c>
      <c r="G7561" s="18" t="n">
        <v>1967.9</v>
      </c>
      <c r="H7561" s="18" t="n">
        <v>0</v>
      </c>
      <c r="I7561" s="18" t="n">
        <f aca="false">((I7560 + G7561) - H7561)</f>
        <v>189460.32</v>
      </c>
      <c r="J7561" s="18" t="n">
        <v>0</v>
      </c>
      <c r="K7561" s="19" t="n">
        <v>0</v>
      </c>
      <c r="L7561" s="17"/>
    </row>
    <row r="7562" s="11" customFormat="true" ht="10.95" hidden="false" customHeight="true" outlineLevel="0" collapsed="false">
      <c r="A7562" s="16" t="n">
        <v>45462</v>
      </c>
      <c r="B7562" s="17" t="s">
        <v>3369</v>
      </c>
      <c r="C7562" s="17" t="s">
        <v>3370</v>
      </c>
      <c r="D7562" s="17" t="s">
        <v>19</v>
      </c>
      <c r="E7562" s="17" t="s">
        <v>3447</v>
      </c>
      <c r="F7562" s="17" t="s">
        <v>775</v>
      </c>
      <c r="G7562" s="18" t="n">
        <v>1361.8</v>
      </c>
      <c r="H7562" s="18" t="n">
        <v>0</v>
      </c>
      <c r="I7562" s="18" t="n">
        <f aca="false">((I7561 + G7562) - H7562)</f>
        <v>190822.12</v>
      </c>
      <c r="J7562" s="18" t="n">
        <v>0</v>
      </c>
      <c r="K7562" s="19" t="n">
        <v>0</v>
      </c>
      <c r="L7562" s="17"/>
    </row>
    <row r="7563" s="11" customFormat="true" ht="10.95" hidden="false" customHeight="true" outlineLevel="0" collapsed="false">
      <c r="A7563" s="16" t="n">
        <v>45462</v>
      </c>
      <c r="B7563" s="17" t="s">
        <v>3369</v>
      </c>
      <c r="C7563" s="17" t="s">
        <v>3370</v>
      </c>
      <c r="D7563" s="17" t="s">
        <v>19</v>
      </c>
      <c r="E7563" s="17" t="s">
        <v>3447</v>
      </c>
      <c r="F7563" s="17" t="s">
        <v>776</v>
      </c>
      <c r="G7563" s="18" t="n">
        <v>310.2</v>
      </c>
      <c r="H7563" s="18" t="n">
        <v>0</v>
      </c>
      <c r="I7563" s="18" t="n">
        <f aca="false">((I7562 + G7563) - H7563)</f>
        <v>191132.32</v>
      </c>
      <c r="J7563" s="18" t="n">
        <v>0</v>
      </c>
      <c r="K7563" s="19" t="n">
        <v>0</v>
      </c>
      <c r="L7563" s="17"/>
    </row>
    <row r="7564" s="11" customFormat="true" ht="10.95" hidden="false" customHeight="true" outlineLevel="0" collapsed="false">
      <c r="A7564" s="16" t="n">
        <v>45462</v>
      </c>
      <c r="B7564" s="17" t="s">
        <v>3369</v>
      </c>
      <c r="C7564" s="17" t="s">
        <v>3370</v>
      </c>
      <c r="D7564" s="17" t="s">
        <v>19</v>
      </c>
      <c r="E7564" s="17" t="s">
        <v>3447</v>
      </c>
      <c r="F7564" s="17" t="s">
        <v>777</v>
      </c>
      <c r="G7564" s="18" t="n">
        <v>310.2</v>
      </c>
      <c r="H7564" s="18" t="n">
        <v>0</v>
      </c>
      <c r="I7564" s="18" t="n">
        <f aca="false">((I7563 + G7564) - H7564)</f>
        <v>191442.52</v>
      </c>
      <c r="J7564" s="18" t="n">
        <v>0</v>
      </c>
      <c r="K7564" s="19" t="n">
        <v>0</v>
      </c>
      <c r="L7564" s="17"/>
    </row>
    <row r="7565" s="11" customFormat="true" ht="10.95" hidden="false" customHeight="true" outlineLevel="0" collapsed="false">
      <c r="A7565" s="16" t="n">
        <v>45462</v>
      </c>
      <c r="B7565" s="17" t="s">
        <v>3369</v>
      </c>
      <c r="C7565" s="17" t="s">
        <v>3370</v>
      </c>
      <c r="D7565" s="17" t="s">
        <v>19</v>
      </c>
      <c r="E7565" s="17" t="s">
        <v>3447</v>
      </c>
      <c r="F7565" s="17" t="s">
        <v>778</v>
      </c>
      <c r="G7565" s="18" t="n">
        <v>620.4</v>
      </c>
      <c r="H7565" s="18" t="n">
        <v>0</v>
      </c>
      <c r="I7565" s="18" t="n">
        <f aca="false">((I7564 + G7565) - H7565)</f>
        <v>192062.92</v>
      </c>
      <c r="J7565" s="18" t="n">
        <v>0</v>
      </c>
      <c r="K7565" s="19" t="n">
        <v>0</v>
      </c>
      <c r="L7565" s="17"/>
    </row>
    <row r="7566" s="11" customFormat="true" ht="10.95" hidden="false" customHeight="true" outlineLevel="0" collapsed="false">
      <c r="A7566" s="16" t="n">
        <v>45462</v>
      </c>
      <c r="B7566" s="17" t="s">
        <v>3369</v>
      </c>
      <c r="C7566" s="17" t="s">
        <v>3370</v>
      </c>
      <c r="D7566" s="17" t="s">
        <v>19</v>
      </c>
      <c r="E7566" s="17" t="s">
        <v>3447</v>
      </c>
      <c r="F7566" s="17" t="s">
        <v>779</v>
      </c>
      <c r="G7566" s="18" t="n">
        <v>1137.4</v>
      </c>
      <c r="H7566" s="18" t="n">
        <v>0</v>
      </c>
      <c r="I7566" s="18" t="n">
        <f aca="false">((I7565 + G7566) - H7566)</f>
        <v>193200.32</v>
      </c>
      <c r="J7566" s="18" t="n">
        <v>0</v>
      </c>
      <c r="K7566" s="19" t="n">
        <v>0</v>
      </c>
      <c r="L7566" s="17"/>
    </row>
    <row r="7567" s="11" customFormat="true" ht="10.95" hidden="false" customHeight="true" outlineLevel="0" collapsed="false">
      <c r="A7567" s="16" t="n">
        <v>45462</v>
      </c>
      <c r="B7567" s="17" t="s">
        <v>3369</v>
      </c>
      <c r="C7567" s="17" t="s">
        <v>3370</v>
      </c>
      <c r="D7567" s="17" t="s">
        <v>19</v>
      </c>
      <c r="E7567" s="17" t="s">
        <v>3447</v>
      </c>
      <c r="F7567" s="17" t="s">
        <v>780</v>
      </c>
      <c r="G7567" s="18" t="n">
        <v>103.4</v>
      </c>
      <c r="H7567" s="18" t="n">
        <v>0</v>
      </c>
      <c r="I7567" s="18" t="n">
        <f aca="false">((I7566 + G7567) - H7567)</f>
        <v>193303.72</v>
      </c>
      <c r="J7567" s="18" t="n">
        <v>0</v>
      </c>
      <c r="K7567" s="19" t="n">
        <v>0</v>
      </c>
      <c r="L7567" s="17"/>
    </row>
    <row r="7568" s="11" customFormat="true" ht="10.95" hidden="false" customHeight="true" outlineLevel="0" collapsed="false">
      <c r="A7568" s="16" t="n">
        <v>45462</v>
      </c>
      <c r="B7568" s="17" t="s">
        <v>3369</v>
      </c>
      <c r="C7568" s="17" t="s">
        <v>3370</v>
      </c>
      <c r="D7568" s="17" t="s">
        <v>19</v>
      </c>
      <c r="E7568" s="17" t="s">
        <v>3447</v>
      </c>
      <c r="F7568" s="17" t="s">
        <v>781</v>
      </c>
      <c r="G7568" s="18" t="n">
        <v>723.8</v>
      </c>
      <c r="H7568" s="18" t="n">
        <v>0</v>
      </c>
      <c r="I7568" s="18" t="n">
        <f aca="false">((I7567 + G7568) - H7568)</f>
        <v>194027.52</v>
      </c>
      <c r="J7568" s="18" t="n">
        <v>0</v>
      </c>
      <c r="K7568" s="19" t="n">
        <v>0</v>
      </c>
      <c r="L7568" s="17"/>
    </row>
    <row r="7569" s="11" customFormat="true" ht="10.95" hidden="false" customHeight="true" outlineLevel="0" collapsed="false">
      <c r="A7569" s="16" t="n">
        <v>45462</v>
      </c>
      <c r="B7569" s="17" t="s">
        <v>3369</v>
      </c>
      <c r="C7569" s="17" t="s">
        <v>3370</v>
      </c>
      <c r="D7569" s="17" t="s">
        <v>19</v>
      </c>
      <c r="E7569" s="17" t="s">
        <v>3449</v>
      </c>
      <c r="F7569" s="17" t="s">
        <v>933</v>
      </c>
      <c r="G7569" s="18" t="n">
        <v>1727.19</v>
      </c>
      <c r="H7569" s="18" t="n">
        <v>0</v>
      </c>
      <c r="I7569" s="18" t="n">
        <f aca="false">((I7568 + G7569) - H7569)</f>
        <v>195754.71</v>
      </c>
      <c r="J7569" s="18" t="n">
        <v>0</v>
      </c>
      <c r="K7569" s="19" t="n">
        <v>0</v>
      </c>
      <c r="L7569" s="17"/>
    </row>
    <row r="7570" s="11" customFormat="true" ht="10.95" hidden="false" customHeight="true" outlineLevel="0" collapsed="false">
      <c r="A7570" s="16" t="n">
        <v>45462</v>
      </c>
      <c r="B7570" s="17" t="s">
        <v>3369</v>
      </c>
      <c r="C7570" s="17" t="s">
        <v>3370</v>
      </c>
      <c r="D7570" s="17" t="s">
        <v>19</v>
      </c>
      <c r="E7570" s="17" t="s">
        <v>3450</v>
      </c>
      <c r="F7570" s="17" t="s">
        <v>1265</v>
      </c>
      <c r="G7570" s="18" t="n">
        <v>9356.1</v>
      </c>
      <c r="H7570" s="18" t="n">
        <v>0</v>
      </c>
      <c r="I7570" s="18" t="n">
        <f aca="false">((I7569 + G7570) - H7570)</f>
        <v>205110.81</v>
      </c>
      <c r="J7570" s="18" t="n">
        <v>0</v>
      </c>
      <c r="K7570" s="19" t="n">
        <v>0</v>
      </c>
      <c r="L7570" s="17"/>
    </row>
    <row r="7571" s="11" customFormat="true" ht="10.95" hidden="false" customHeight="true" outlineLevel="0" collapsed="false">
      <c r="A7571" s="16" t="n">
        <v>45462</v>
      </c>
      <c r="B7571" s="17" t="s">
        <v>3369</v>
      </c>
      <c r="C7571" s="17" t="s">
        <v>3370</v>
      </c>
      <c r="D7571" s="17" t="s">
        <v>19</v>
      </c>
      <c r="E7571" s="17" t="s">
        <v>3450</v>
      </c>
      <c r="F7571" s="17" t="s">
        <v>1266</v>
      </c>
      <c r="G7571" s="18" t="n">
        <v>265.29</v>
      </c>
      <c r="H7571" s="18" t="n">
        <v>0</v>
      </c>
      <c r="I7571" s="18" t="n">
        <f aca="false">((I7570 + G7571) - H7571)</f>
        <v>205376.1</v>
      </c>
      <c r="J7571" s="18" t="n">
        <v>0</v>
      </c>
      <c r="K7571" s="19" t="n">
        <v>0</v>
      </c>
      <c r="L7571" s="17"/>
    </row>
    <row r="7572" s="11" customFormat="true" ht="10.95" hidden="false" customHeight="true" outlineLevel="0" collapsed="false">
      <c r="A7572" s="16" t="n">
        <v>45462</v>
      </c>
      <c r="B7572" s="17" t="s">
        <v>3369</v>
      </c>
      <c r="C7572" s="17" t="s">
        <v>3370</v>
      </c>
      <c r="D7572" s="17" t="s">
        <v>19</v>
      </c>
      <c r="E7572" s="17" t="s">
        <v>3450</v>
      </c>
      <c r="F7572" s="17" t="s">
        <v>1267</v>
      </c>
      <c r="G7572" s="18" t="n">
        <v>791.71</v>
      </c>
      <c r="H7572" s="18" t="n">
        <v>0</v>
      </c>
      <c r="I7572" s="18" t="n">
        <f aca="false">((I7571 + G7572) - H7572)</f>
        <v>206167.81</v>
      </c>
      <c r="J7572" s="18" t="n">
        <v>0</v>
      </c>
      <c r="K7572" s="19" t="n">
        <v>0</v>
      </c>
      <c r="L7572" s="17"/>
    </row>
    <row r="7573" s="11" customFormat="true" ht="10.95" hidden="false" customHeight="true" outlineLevel="0" collapsed="false">
      <c r="A7573" s="16" t="n">
        <v>45462</v>
      </c>
      <c r="B7573" s="17" t="s">
        <v>3369</v>
      </c>
      <c r="C7573" s="17" t="s">
        <v>3370</v>
      </c>
      <c r="D7573" s="17" t="s">
        <v>19</v>
      </c>
      <c r="E7573" s="17" t="s">
        <v>3450</v>
      </c>
      <c r="F7573" s="17" t="s">
        <v>1268</v>
      </c>
      <c r="G7573" s="18" t="n">
        <v>1915.03</v>
      </c>
      <c r="H7573" s="18" t="n">
        <v>0</v>
      </c>
      <c r="I7573" s="18" t="n">
        <f aca="false">((I7572 + G7573) - H7573)</f>
        <v>208082.84</v>
      </c>
      <c r="J7573" s="18" t="n">
        <v>0</v>
      </c>
      <c r="K7573" s="19" t="n">
        <v>0</v>
      </c>
      <c r="L7573" s="17"/>
    </row>
    <row r="7574" s="11" customFormat="true" ht="10.95" hidden="false" customHeight="true" outlineLevel="0" collapsed="false">
      <c r="A7574" s="16" t="n">
        <v>45462</v>
      </c>
      <c r="B7574" s="17" t="s">
        <v>3369</v>
      </c>
      <c r="C7574" s="17" t="s">
        <v>3370</v>
      </c>
      <c r="D7574" s="17" t="s">
        <v>19</v>
      </c>
      <c r="E7574" s="17" t="s">
        <v>3450</v>
      </c>
      <c r="F7574" s="17" t="s">
        <v>1269</v>
      </c>
      <c r="G7574" s="18" t="n">
        <v>2078.08</v>
      </c>
      <c r="H7574" s="18" t="n">
        <v>0</v>
      </c>
      <c r="I7574" s="18" t="n">
        <f aca="false">((I7573 + G7574) - H7574)</f>
        <v>210160.92</v>
      </c>
      <c r="J7574" s="18" t="n">
        <v>0</v>
      </c>
      <c r="K7574" s="19" t="n">
        <v>0</v>
      </c>
      <c r="L7574" s="17"/>
    </row>
    <row r="7575" s="11" customFormat="true" ht="10.95" hidden="false" customHeight="true" outlineLevel="0" collapsed="false">
      <c r="A7575" s="16" t="n">
        <v>45462</v>
      </c>
      <c r="B7575" s="17" t="s">
        <v>3369</v>
      </c>
      <c r="C7575" s="17" t="s">
        <v>3370</v>
      </c>
      <c r="D7575" s="17" t="s">
        <v>19</v>
      </c>
      <c r="E7575" s="17" t="s">
        <v>3450</v>
      </c>
      <c r="F7575" s="17" t="s">
        <v>1270</v>
      </c>
      <c r="G7575" s="18" t="n">
        <v>132.64</v>
      </c>
      <c r="H7575" s="18" t="n">
        <v>0</v>
      </c>
      <c r="I7575" s="18" t="n">
        <f aca="false">((I7574 + G7575) - H7575)</f>
        <v>210293.56</v>
      </c>
      <c r="J7575" s="18" t="n">
        <v>0</v>
      </c>
      <c r="K7575" s="19" t="n">
        <v>0</v>
      </c>
      <c r="L7575" s="17"/>
    </row>
    <row r="7576" s="11" customFormat="true" ht="10.95" hidden="false" customHeight="true" outlineLevel="0" collapsed="false">
      <c r="A7576" s="16" t="n">
        <v>45462</v>
      </c>
      <c r="B7576" s="17" t="s">
        <v>3369</v>
      </c>
      <c r="C7576" s="17" t="s">
        <v>3370</v>
      </c>
      <c r="D7576" s="17" t="s">
        <v>19</v>
      </c>
      <c r="E7576" s="17" t="s">
        <v>3450</v>
      </c>
      <c r="F7576" s="17" t="s">
        <v>1271</v>
      </c>
      <c r="G7576" s="18" t="n">
        <v>1011.86</v>
      </c>
      <c r="H7576" s="18" t="n">
        <v>0</v>
      </c>
      <c r="I7576" s="18" t="n">
        <f aca="false">((I7575 + G7576) - H7576)</f>
        <v>211305.42</v>
      </c>
      <c r="J7576" s="18" t="n">
        <v>0</v>
      </c>
      <c r="K7576" s="19" t="n">
        <v>0</v>
      </c>
      <c r="L7576" s="17"/>
    </row>
    <row r="7577" s="11" customFormat="true" ht="10.95" hidden="false" customHeight="true" outlineLevel="0" collapsed="false">
      <c r="A7577" s="16" t="n">
        <v>45462</v>
      </c>
      <c r="B7577" s="17" t="s">
        <v>3369</v>
      </c>
      <c r="C7577" s="17" t="s">
        <v>3370</v>
      </c>
      <c r="D7577" s="17" t="s">
        <v>19</v>
      </c>
      <c r="E7577" s="17" t="s">
        <v>3451</v>
      </c>
      <c r="F7577" s="17" t="s">
        <v>782</v>
      </c>
      <c r="G7577" s="18" t="n">
        <v>1278.2</v>
      </c>
      <c r="H7577" s="18" t="n">
        <v>0</v>
      </c>
      <c r="I7577" s="18" t="n">
        <f aca="false">((I7576 + G7577) - H7577)</f>
        <v>212583.62</v>
      </c>
      <c r="J7577" s="18" t="n">
        <v>0</v>
      </c>
      <c r="K7577" s="19" t="n">
        <v>0</v>
      </c>
      <c r="L7577" s="17"/>
    </row>
    <row r="7578" s="11" customFormat="true" ht="10.95" hidden="false" customHeight="true" outlineLevel="0" collapsed="false">
      <c r="A7578" s="16" t="n">
        <v>45462</v>
      </c>
      <c r="B7578" s="17" t="s">
        <v>3369</v>
      </c>
      <c r="C7578" s="17" t="s">
        <v>3370</v>
      </c>
      <c r="D7578" s="17" t="s">
        <v>19</v>
      </c>
      <c r="E7578" s="17" t="s">
        <v>3430</v>
      </c>
      <c r="F7578" s="17" t="s">
        <v>934</v>
      </c>
      <c r="G7578" s="18" t="n">
        <v>3711.31</v>
      </c>
      <c r="H7578" s="18" t="n">
        <v>0</v>
      </c>
      <c r="I7578" s="18" t="n">
        <f aca="false">((I7577 + G7578) - H7578)</f>
        <v>216294.93</v>
      </c>
      <c r="J7578" s="18" t="n">
        <v>0</v>
      </c>
      <c r="K7578" s="19" t="n">
        <v>0</v>
      </c>
      <c r="L7578" s="17"/>
    </row>
    <row r="7579" s="11" customFormat="true" ht="10.95" hidden="false" customHeight="true" outlineLevel="0" collapsed="false">
      <c r="A7579" s="16" t="n">
        <v>45462</v>
      </c>
      <c r="B7579" s="17" t="s">
        <v>3369</v>
      </c>
      <c r="C7579" s="17" t="s">
        <v>3370</v>
      </c>
      <c r="D7579" s="17" t="s">
        <v>19</v>
      </c>
      <c r="E7579" s="17" t="s">
        <v>3450</v>
      </c>
      <c r="F7579" s="17" t="s">
        <v>1272</v>
      </c>
      <c r="G7579" s="18" t="n">
        <v>1106.79</v>
      </c>
      <c r="H7579" s="18" t="n">
        <v>0</v>
      </c>
      <c r="I7579" s="18" t="n">
        <f aca="false">((I7578 + G7579) - H7579)</f>
        <v>217401.72</v>
      </c>
      <c r="J7579" s="18" t="n">
        <v>0</v>
      </c>
      <c r="K7579" s="19" t="n">
        <v>0</v>
      </c>
      <c r="L7579" s="17"/>
    </row>
    <row r="7580" s="11" customFormat="true" ht="10.95" hidden="false" customHeight="true" outlineLevel="0" collapsed="false">
      <c r="A7580" s="16" t="n">
        <v>45464</v>
      </c>
      <c r="B7580" s="17" t="s">
        <v>3369</v>
      </c>
      <c r="C7580" s="17" t="s">
        <v>3370</v>
      </c>
      <c r="D7580" s="17" t="s">
        <v>19</v>
      </c>
      <c r="E7580" s="17" t="s">
        <v>3506</v>
      </c>
      <c r="F7580" s="17" t="s">
        <v>1062</v>
      </c>
      <c r="G7580" s="18" t="n">
        <v>470.31</v>
      </c>
      <c r="H7580" s="18" t="n">
        <v>0</v>
      </c>
      <c r="I7580" s="18" t="n">
        <f aca="false">((I7579 + G7580) - H7580)</f>
        <v>217872.03</v>
      </c>
      <c r="J7580" s="18" t="n">
        <v>0</v>
      </c>
      <c r="K7580" s="19" t="n">
        <v>0</v>
      </c>
      <c r="L7580" s="17"/>
    </row>
    <row r="7581" s="11" customFormat="true" ht="10.95" hidden="false" customHeight="true" outlineLevel="0" collapsed="false">
      <c r="A7581" s="16" t="n">
        <v>45464</v>
      </c>
      <c r="B7581" s="17" t="s">
        <v>3369</v>
      </c>
      <c r="C7581" s="17" t="s">
        <v>3370</v>
      </c>
      <c r="D7581" s="17" t="s">
        <v>2895</v>
      </c>
      <c r="E7581" s="17" t="s">
        <v>3525</v>
      </c>
      <c r="F7581" s="17" t="s">
        <v>667</v>
      </c>
      <c r="G7581" s="18" t="n">
        <v>0</v>
      </c>
      <c r="H7581" s="18" t="n">
        <v>712.8</v>
      </c>
      <c r="I7581" s="18" t="n">
        <f aca="false">((I7580 + G7581) - H7581)</f>
        <v>217159.23</v>
      </c>
      <c r="J7581" s="18" t="n">
        <v>0</v>
      </c>
      <c r="K7581" s="19" t="n">
        <v>0</v>
      </c>
      <c r="L7581" s="17"/>
    </row>
    <row r="7582" s="11" customFormat="true" ht="10.95" hidden="false" customHeight="true" outlineLevel="0" collapsed="false">
      <c r="A7582" s="16" t="n">
        <v>45464</v>
      </c>
      <c r="B7582" s="17" t="s">
        <v>3369</v>
      </c>
      <c r="C7582" s="17" t="s">
        <v>3370</v>
      </c>
      <c r="D7582" s="17" t="s">
        <v>2895</v>
      </c>
      <c r="E7582" s="17" t="s">
        <v>3378</v>
      </c>
      <c r="F7582" s="17" t="s">
        <v>672</v>
      </c>
      <c r="G7582" s="18" t="n">
        <v>0</v>
      </c>
      <c r="H7582" s="18" t="n">
        <v>413.6</v>
      </c>
      <c r="I7582" s="18" t="n">
        <f aca="false">((I7581 + G7582) - H7582)</f>
        <v>216745.63</v>
      </c>
      <c r="J7582" s="18" t="n">
        <v>0</v>
      </c>
      <c r="K7582" s="19" t="n">
        <v>0</v>
      </c>
      <c r="L7582" s="17"/>
    </row>
    <row r="7583" s="11" customFormat="true" ht="10.95" hidden="false" customHeight="true" outlineLevel="0" collapsed="false">
      <c r="A7583" s="16" t="n">
        <v>45464</v>
      </c>
      <c r="B7583" s="17" t="s">
        <v>3369</v>
      </c>
      <c r="C7583" s="17" t="s">
        <v>3370</v>
      </c>
      <c r="D7583" s="17" t="s">
        <v>2895</v>
      </c>
      <c r="E7583" s="17" t="s">
        <v>2900</v>
      </c>
      <c r="F7583" s="17" t="s">
        <v>1255</v>
      </c>
      <c r="G7583" s="18" t="n">
        <v>0</v>
      </c>
      <c r="H7583" s="18" t="n">
        <v>1918.91</v>
      </c>
      <c r="I7583" s="18" t="n">
        <f aca="false">((I7582 + G7583) - H7583)</f>
        <v>214826.72</v>
      </c>
      <c r="J7583" s="18" t="n">
        <v>0</v>
      </c>
      <c r="K7583" s="19" t="n">
        <v>0</v>
      </c>
      <c r="L7583" s="17"/>
    </row>
    <row r="7584" s="11" customFormat="true" ht="10.95" hidden="false" customHeight="true" outlineLevel="0" collapsed="false">
      <c r="A7584" s="16" t="n">
        <v>45464</v>
      </c>
      <c r="B7584" s="17" t="s">
        <v>3369</v>
      </c>
      <c r="C7584" s="17" t="s">
        <v>3370</v>
      </c>
      <c r="D7584" s="17" t="s">
        <v>2895</v>
      </c>
      <c r="E7584" s="17" t="s">
        <v>2900</v>
      </c>
      <c r="F7584" s="17" t="s">
        <v>1254</v>
      </c>
      <c r="G7584" s="18" t="n">
        <v>0</v>
      </c>
      <c r="H7584" s="18" t="n">
        <v>793.31</v>
      </c>
      <c r="I7584" s="18" t="n">
        <f aca="false">((I7583 + G7584) - H7584)</f>
        <v>214033.41</v>
      </c>
      <c r="J7584" s="18" t="n">
        <v>0</v>
      </c>
      <c r="K7584" s="19" t="n">
        <v>0</v>
      </c>
      <c r="L7584" s="17"/>
    </row>
    <row r="7585" s="11" customFormat="true" ht="10.95" hidden="false" customHeight="true" outlineLevel="0" collapsed="false">
      <c r="A7585" s="16" t="n">
        <v>45464</v>
      </c>
      <c r="B7585" s="17" t="s">
        <v>3369</v>
      </c>
      <c r="C7585" s="17" t="s">
        <v>3370</v>
      </c>
      <c r="D7585" s="17" t="s">
        <v>2895</v>
      </c>
      <c r="E7585" s="17" t="s">
        <v>2900</v>
      </c>
      <c r="F7585" s="17" t="s">
        <v>1247</v>
      </c>
      <c r="G7585" s="18" t="n">
        <v>0</v>
      </c>
      <c r="H7585" s="18" t="n">
        <v>171</v>
      </c>
      <c r="I7585" s="18" t="n">
        <f aca="false">((I7584 + G7585) - H7585)</f>
        <v>213862.41</v>
      </c>
      <c r="J7585" s="18" t="n">
        <v>0</v>
      </c>
      <c r="K7585" s="19" t="n">
        <v>0</v>
      </c>
      <c r="L7585" s="17"/>
    </row>
    <row r="7586" s="11" customFormat="true" ht="10.95" hidden="false" customHeight="true" outlineLevel="0" collapsed="false">
      <c r="A7586" s="16" t="n">
        <v>45467</v>
      </c>
      <c r="B7586" s="17" t="s">
        <v>3369</v>
      </c>
      <c r="C7586" s="17" t="s">
        <v>3370</v>
      </c>
      <c r="D7586" s="17" t="s">
        <v>19</v>
      </c>
      <c r="E7586" s="17" t="s">
        <v>3430</v>
      </c>
      <c r="F7586" s="17" t="s">
        <v>936</v>
      </c>
      <c r="G7586" s="18" t="n">
        <v>533.8</v>
      </c>
      <c r="H7586" s="18" t="n">
        <v>0</v>
      </c>
      <c r="I7586" s="18" t="n">
        <f aca="false">((I7585 + G7586) - H7586)</f>
        <v>214396.21</v>
      </c>
      <c r="J7586" s="18" t="n">
        <v>0</v>
      </c>
      <c r="K7586" s="19" t="n">
        <v>0</v>
      </c>
      <c r="L7586" s="17"/>
    </row>
    <row r="7587" s="11" customFormat="true" ht="10.95" hidden="false" customHeight="true" outlineLevel="0" collapsed="false">
      <c r="A7587" s="16" t="n">
        <v>45467</v>
      </c>
      <c r="B7587" s="17" t="s">
        <v>3369</v>
      </c>
      <c r="C7587" s="17" t="s">
        <v>3370</v>
      </c>
      <c r="D7587" s="17" t="s">
        <v>2895</v>
      </c>
      <c r="E7587" s="17" t="s">
        <v>3541</v>
      </c>
      <c r="F7587" s="17" t="s">
        <v>740</v>
      </c>
      <c r="G7587" s="18" t="n">
        <v>0</v>
      </c>
      <c r="H7587" s="18" t="n">
        <v>1379.4</v>
      </c>
      <c r="I7587" s="18" t="n">
        <f aca="false">((I7586 + G7587) - H7587)</f>
        <v>213016.81</v>
      </c>
      <c r="J7587" s="18" t="n">
        <v>0</v>
      </c>
      <c r="K7587" s="19" t="n">
        <v>0</v>
      </c>
      <c r="L7587" s="17"/>
    </row>
    <row r="7588" s="11" customFormat="true" ht="10.95" hidden="false" customHeight="true" outlineLevel="0" collapsed="false">
      <c r="A7588" s="16" t="n">
        <v>45467</v>
      </c>
      <c r="B7588" s="17" t="s">
        <v>3369</v>
      </c>
      <c r="C7588" s="17" t="s">
        <v>3370</v>
      </c>
      <c r="D7588" s="17" t="s">
        <v>2895</v>
      </c>
      <c r="E7588" s="17" t="s">
        <v>3088</v>
      </c>
      <c r="F7588" s="17" t="s">
        <v>1038</v>
      </c>
      <c r="G7588" s="18" t="n">
        <v>0</v>
      </c>
      <c r="H7588" s="18" t="n">
        <v>220.51</v>
      </c>
      <c r="I7588" s="18" t="n">
        <f aca="false">((I7587 + G7588) - H7588)</f>
        <v>212796.3</v>
      </c>
      <c r="J7588" s="18" t="n">
        <v>0</v>
      </c>
      <c r="K7588" s="19" t="n">
        <v>0</v>
      </c>
      <c r="L7588" s="17"/>
    </row>
    <row r="7589" s="11" customFormat="true" ht="10.95" hidden="false" customHeight="true" outlineLevel="0" collapsed="false">
      <c r="A7589" s="16" t="n">
        <v>45467</v>
      </c>
      <c r="B7589" s="17" t="s">
        <v>3369</v>
      </c>
      <c r="C7589" s="17" t="s">
        <v>3370</v>
      </c>
      <c r="D7589" s="17" t="s">
        <v>2895</v>
      </c>
      <c r="E7589" s="17" t="s">
        <v>3403</v>
      </c>
      <c r="F7589" s="17" t="s">
        <v>700</v>
      </c>
      <c r="G7589" s="18" t="n">
        <v>0</v>
      </c>
      <c r="H7589" s="18" t="n">
        <v>517</v>
      </c>
      <c r="I7589" s="18" t="n">
        <f aca="false">((I7588 + G7589) - H7589)</f>
        <v>212279.3</v>
      </c>
      <c r="J7589" s="18" t="n">
        <v>0</v>
      </c>
      <c r="K7589" s="19" t="n">
        <v>0</v>
      </c>
      <c r="L7589" s="17"/>
    </row>
    <row r="7590" s="11" customFormat="true" ht="10.95" hidden="false" customHeight="true" outlineLevel="0" collapsed="false">
      <c r="A7590" s="16" t="n">
        <v>45467</v>
      </c>
      <c r="B7590" s="17" t="s">
        <v>3369</v>
      </c>
      <c r="C7590" s="17" t="s">
        <v>3370</v>
      </c>
      <c r="D7590" s="17" t="s">
        <v>2895</v>
      </c>
      <c r="E7590" s="17" t="s">
        <v>3403</v>
      </c>
      <c r="F7590" s="17" t="s">
        <v>707</v>
      </c>
      <c r="G7590" s="18" t="n">
        <v>0</v>
      </c>
      <c r="H7590" s="18" t="n">
        <v>620.4</v>
      </c>
      <c r="I7590" s="18" t="n">
        <f aca="false">((I7589 + G7590) - H7590)</f>
        <v>211658.9</v>
      </c>
      <c r="J7590" s="18" t="n">
        <v>0</v>
      </c>
      <c r="K7590" s="19" t="n">
        <v>0</v>
      </c>
      <c r="L7590" s="17"/>
    </row>
    <row r="7591" s="11" customFormat="true" ht="10.95" hidden="false" customHeight="true" outlineLevel="0" collapsed="false">
      <c r="A7591" s="16" t="n">
        <v>45468</v>
      </c>
      <c r="B7591" s="17" t="s">
        <v>3369</v>
      </c>
      <c r="C7591" s="17" t="s">
        <v>3370</v>
      </c>
      <c r="D7591" s="17" t="s">
        <v>19</v>
      </c>
      <c r="E7591" s="17" t="s">
        <v>3542</v>
      </c>
      <c r="F7591" s="17" t="s">
        <v>1064</v>
      </c>
      <c r="G7591" s="18" t="n">
        <v>22611.11</v>
      </c>
      <c r="H7591" s="18" t="n">
        <v>0</v>
      </c>
      <c r="I7591" s="18" t="n">
        <f aca="false">((I7590 + G7591) - H7591)</f>
        <v>234270.01</v>
      </c>
      <c r="J7591" s="18" t="n">
        <v>0</v>
      </c>
      <c r="K7591" s="19" t="n">
        <v>0</v>
      </c>
      <c r="L7591" s="17"/>
    </row>
    <row r="7592" s="11" customFormat="true" ht="10.95" hidden="false" customHeight="true" outlineLevel="0" collapsed="false">
      <c r="A7592" s="16" t="n">
        <v>45469</v>
      </c>
      <c r="B7592" s="17" t="s">
        <v>3369</v>
      </c>
      <c r="C7592" s="17" t="s">
        <v>3370</v>
      </c>
      <c r="D7592" s="17" t="s">
        <v>2895</v>
      </c>
      <c r="E7592" s="17" t="s">
        <v>3505</v>
      </c>
      <c r="F7592" s="17" t="s">
        <v>733</v>
      </c>
      <c r="G7592" s="18" t="n">
        <v>0</v>
      </c>
      <c r="H7592" s="18" t="n">
        <v>157.3</v>
      </c>
      <c r="I7592" s="18" t="n">
        <f aca="false">((I7591 + G7592) - H7592)</f>
        <v>234112.71</v>
      </c>
      <c r="J7592" s="18" t="n">
        <v>0</v>
      </c>
      <c r="K7592" s="19" t="n">
        <v>0</v>
      </c>
      <c r="L7592" s="17"/>
    </row>
    <row r="7593" s="11" customFormat="true" ht="10.95" hidden="false" customHeight="true" outlineLevel="0" collapsed="false">
      <c r="A7593" s="16" t="n">
        <v>45470</v>
      </c>
      <c r="B7593" s="17" t="s">
        <v>3369</v>
      </c>
      <c r="C7593" s="17" t="s">
        <v>3370</v>
      </c>
      <c r="D7593" s="17" t="s">
        <v>2895</v>
      </c>
      <c r="E7593" s="17" t="s">
        <v>3127</v>
      </c>
      <c r="F7593" s="17" t="s">
        <v>1057</v>
      </c>
      <c r="G7593" s="18" t="n">
        <v>0</v>
      </c>
      <c r="H7593" s="18" t="n">
        <v>1651.14</v>
      </c>
      <c r="I7593" s="18" t="n">
        <f aca="false">((I7592 + G7593) - H7593)</f>
        <v>232461.57</v>
      </c>
      <c r="J7593" s="18" t="n">
        <v>0</v>
      </c>
      <c r="K7593" s="19" t="n">
        <v>0</v>
      </c>
      <c r="L7593" s="17"/>
    </row>
    <row r="7594" s="11" customFormat="true" ht="10.95" hidden="false" customHeight="true" outlineLevel="0" collapsed="false">
      <c r="A7594" s="16" t="n">
        <v>45470</v>
      </c>
      <c r="B7594" s="17" t="s">
        <v>3369</v>
      </c>
      <c r="C7594" s="17" t="s">
        <v>3370</v>
      </c>
      <c r="D7594" s="17" t="s">
        <v>2895</v>
      </c>
      <c r="E7594" s="17" t="s">
        <v>3389</v>
      </c>
      <c r="F7594" s="17" t="s">
        <v>760</v>
      </c>
      <c r="G7594" s="18" t="n">
        <v>0</v>
      </c>
      <c r="H7594" s="18" t="n">
        <v>4994</v>
      </c>
      <c r="I7594" s="18" t="n">
        <f aca="false">((I7593 + G7594) - H7594)</f>
        <v>227467.57</v>
      </c>
      <c r="J7594" s="18" t="n">
        <v>0</v>
      </c>
      <c r="K7594" s="19" t="n">
        <v>0</v>
      </c>
      <c r="L7594" s="17"/>
    </row>
    <row r="7595" s="11" customFormat="true" ht="10.95" hidden="false" customHeight="true" outlineLevel="0" collapsed="false">
      <c r="A7595" s="16" t="n">
        <v>45470</v>
      </c>
      <c r="B7595" s="17" t="s">
        <v>3369</v>
      </c>
      <c r="C7595" s="17" t="s">
        <v>3370</v>
      </c>
      <c r="D7595" s="17" t="s">
        <v>2895</v>
      </c>
      <c r="E7595" s="17" t="s">
        <v>3456</v>
      </c>
      <c r="F7595" s="17" t="s">
        <v>755</v>
      </c>
      <c r="G7595" s="18" t="n">
        <v>0</v>
      </c>
      <c r="H7595" s="18" t="n">
        <v>2244</v>
      </c>
      <c r="I7595" s="18" t="n">
        <f aca="false">((I7594 + G7595) - H7595)</f>
        <v>225223.57</v>
      </c>
      <c r="J7595" s="18" t="n">
        <v>0</v>
      </c>
      <c r="K7595" s="19" t="n">
        <v>0</v>
      </c>
      <c r="L7595" s="17"/>
    </row>
    <row r="7596" s="11" customFormat="true" ht="10.95" hidden="false" customHeight="true" outlineLevel="0" collapsed="false">
      <c r="A7596" s="16" t="n">
        <v>45470</v>
      </c>
      <c r="B7596" s="17" t="s">
        <v>3369</v>
      </c>
      <c r="C7596" s="17" t="s">
        <v>3370</v>
      </c>
      <c r="D7596" s="17" t="s">
        <v>2895</v>
      </c>
      <c r="E7596" s="17" t="s">
        <v>3373</v>
      </c>
      <c r="F7596" s="17" t="s">
        <v>673</v>
      </c>
      <c r="G7596" s="18" t="n">
        <v>0</v>
      </c>
      <c r="H7596" s="18" t="n">
        <v>1512.5</v>
      </c>
      <c r="I7596" s="18" t="n">
        <f aca="false">((I7595 + G7596) - H7596)</f>
        <v>223711.07</v>
      </c>
      <c r="J7596" s="18" t="n">
        <v>0</v>
      </c>
      <c r="K7596" s="19" t="n">
        <v>0</v>
      </c>
      <c r="L7596" s="17"/>
    </row>
    <row r="7597" s="11" customFormat="true" ht="10.95" hidden="false" customHeight="true" outlineLevel="0" collapsed="false">
      <c r="A7597" s="16" t="n">
        <v>45470</v>
      </c>
      <c r="B7597" s="17" t="s">
        <v>3369</v>
      </c>
      <c r="C7597" s="17" t="s">
        <v>3370</v>
      </c>
      <c r="D7597" s="17" t="s">
        <v>2895</v>
      </c>
      <c r="E7597" s="17" t="s">
        <v>3497</v>
      </c>
      <c r="F7597" s="17" t="s">
        <v>762</v>
      </c>
      <c r="G7597" s="18" t="n">
        <v>0</v>
      </c>
      <c r="H7597" s="18" t="n">
        <v>913</v>
      </c>
      <c r="I7597" s="18" t="n">
        <f aca="false">((I7596 + G7597) - H7597)</f>
        <v>222798.07</v>
      </c>
      <c r="J7597" s="18" t="n">
        <v>0</v>
      </c>
      <c r="K7597" s="19" t="n">
        <v>0</v>
      </c>
      <c r="L7597" s="17"/>
    </row>
    <row r="7598" s="11" customFormat="true" ht="10.95" hidden="false" customHeight="true" outlineLevel="0" collapsed="false">
      <c r="A7598" s="16" t="n">
        <v>45470</v>
      </c>
      <c r="B7598" s="17" t="s">
        <v>3369</v>
      </c>
      <c r="C7598" s="17" t="s">
        <v>3370</v>
      </c>
      <c r="D7598" s="17" t="s">
        <v>2895</v>
      </c>
      <c r="E7598" s="17" t="s">
        <v>3401</v>
      </c>
      <c r="F7598" s="17" t="s">
        <v>737</v>
      </c>
      <c r="G7598" s="18" t="n">
        <v>0</v>
      </c>
      <c r="H7598" s="18" t="n">
        <v>654.5</v>
      </c>
      <c r="I7598" s="18" t="n">
        <f aca="false">((I7597 + G7598) - H7598)</f>
        <v>222143.57</v>
      </c>
      <c r="J7598" s="18" t="n">
        <v>0</v>
      </c>
      <c r="K7598" s="19" t="n">
        <v>0</v>
      </c>
      <c r="L7598" s="17"/>
    </row>
    <row r="7599" s="11" customFormat="true" ht="10.95" hidden="false" customHeight="true" outlineLevel="0" collapsed="false">
      <c r="A7599" s="16" t="n">
        <v>45470</v>
      </c>
      <c r="B7599" s="17" t="s">
        <v>3369</v>
      </c>
      <c r="C7599" s="17" t="s">
        <v>3370</v>
      </c>
      <c r="D7599" s="17" t="s">
        <v>2895</v>
      </c>
      <c r="E7599" s="17" t="s">
        <v>3466</v>
      </c>
      <c r="F7599" s="17" t="s">
        <v>754</v>
      </c>
      <c r="G7599" s="18" t="n">
        <v>0</v>
      </c>
      <c r="H7599" s="18" t="n">
        <v>396</v>
      </c>
      <c r="I7599" s="18" t="n">
        <f aca="false">((I7598 + G7599) - H7599)</f>
        <v>221747.57</v>
      </c>
      <c r="J7599" s="18" t="n">
        <v>0</v>
      </c>
      <c r="K7599" s="19" t="n">
        <v>0</v>
      </c>
      <c r="L7599" s="17"/>
    </row>
    <row r="7600" s="11" customFormat="true" ht="10.95" hidden="false" customHeight="true" outlineLevel="0" collapsed="false">
      <c r="A7600" s="16" t="n">
        <v>45470</v>
      </c>
      <c r="B7600" s="17" t="s">
        <v>3369</v>
      </c>
      <c r="C7600" s="17" t="s">
        <v>3370</v>
      </c>
      <c r="D7600" s="17" t="s">
        <v>2895</v>
      </c>
      <c r="E7600" s="17" t="s">
        <v>3480</v>
      </c>
      <c r="F7600" s="17" t="s">
        <v>1251</v>
      </c>
      <c r="G7600" s="18" t="n">
        <v>0</v>
      </c>
      <c r="H7600" s="18" t="n">
        <v>180</v>
      </c>
      <c r="I7600" s="18" t="n">
        <f aca="false">((I7599 + G7600) - H7600)</f>
        <v>221567.57</v>
      </c>
      <c r="J7600" s="18" t="n">
        <v>0</v>
      </c>
      <c r="K7600" s="19" t="n">
        <v>0</v>
      </c>
      <c r="L7600" s="17"/>
    </row>
    <row r="7601" s="11" customFormat="true" ht="10.95" hidden="false" customHeight="true" outlineLevel="0" collapsed="false">
      <c r="A7601" s="16" t="n">
        <v>45471</v>
      </c>
      <c r="B7601" s="17" t="s">
        <v>3369</v>
      </c>
      <c r="C7601" s="17" t="s">
        <v>3370</v>
      </c>
      <c r="D7601" s="17" t="s">
        <v>2895</v>
      </c>
      <c r="E7601" s="17" t="s">
        <v>3382</v>
      </c>
      <c r="F7601" s="17" t="s">
        <v>712</v>
      </c>
      <c r="G7601" s="18" t="n">
        <v>0</v>
      </c>
      <c r="H7601" s="18" t="n">
        <v>22758.62</v>
      </c>
      <c r="I7601" s="18" t="n">
        <f aca="false">((I7600 + G7601) - H7601)</f>
        <v>198808.95</v>
      </c>
      <c r="J7601" s="18" t="n">
        <v>0</v>
      </c>
      <c r="K7601" s="19" t="n">
        <v>0</v>
      </c>
      <c r="L7601" s="17"/>
    </row>
    <row r="7602" s="11" customFormat="true" ht="10.95" hidden="false" customHeight="true" outlineLevel="0" collapsed="false">
      <c r="A7602" s="16" t="n">
        <v>45471</v>
      </c>
      <c r="B7602" s="17" t="s">
        <v>3369</v>
      </c>
      <c r="C7602" s="17" t="s">
        <v>3370</v>
      </c>
      <c r="D7602" s="17" t="s">
        <v>2895</v>
      </c>
      <c r="E7602" s="17" t="s">
        <v>3482</v>
      </c>
      <c r="F7602" s="17" t="s">
        <v>763</v>
      </c>
      <c r="G7602" s="18" t="n">
        <v>0</v>
      </c>
      <c r="H7602" s="18" t="n">
        <v>1861.2</v>
      </c>
      <c r="I7602" s="18" t="n">
        <f aca="false">((I7601 + G7602) - H7602)</f>
        <v>196947.75</v>
      </c>
      <c r="J7602" s="18" t="n">
        <v>0</v>
      </c>
      <c r="K7602" s="19" t="n">
        <v>0</v>
      </c>
      <c r="L7602" s="17"/>
    </row>
    <row r="7603" s="11" customFormat="true" ht="10.95" hidden="false" customHeight="true" outlineLevel="0" collapsed="false">
      <c r="A7603" s="16" t="n">
        <v>45471</v>
      </c>
      <c r="B7603" s="17" t="s">
        <v>3369</v>
      </c>
      <c r="C7603" s="17" t="s">
        <v>3370</v>
      </c>
      <c r="D7603" s="17" t="s">
        <v>2895</v>
      </c>
      <c r="E7603" s="17" t="s">
        <v>3465</v>
      </c>
      <c r="F7603" s="17" t="s">
        <v>753</v>
      </c>
      <c r="G7603" s="18" t="n">
        <v>0</v>
      </c>
      <c r="H7603" s="18" t="n">
        <v>1094.5</v>
      </c>
      <c r="I7603" s="18" t="n">
        <f aca="false">((I7602 + G7603) - H7603)</f>
        <v>195853.25</v>
      </c>
      <c r="J7603" s="18" t="n">
        <v>0</v>
      </c>
      <c r="K7603" s="19" t="n">
        <v>0</v>
      </c>
      <c r="L7603" s="17"/>
    </row>
    <row r="7604" s="11" customFormat="true" ht="10.95" hidden="false" customHeight="true" outlineLevel="0" collapsed="false">
      <c r="A7604" s="16" t="n">
        <v>45473</v>
      </c>
      <c r="B7604" s="17" t="s">
        <v>3369</v>
      </c>
      <c r="C7604" s="17" t="s">
        <v>3370</v>
      </c>
      <c r="D7604" s="17" t="s">
        <v>2895</v>
      </c>
      <c r="E7604" s="17" t="s">
        <v>2964</v>
      </c>
      <c r="F7604" s="17" t="s">
        <v>1056</v>
      </c>
      <c r="G7604" s="18" t="n">
        <v>0</v>
      </c>
      <c r="H7604" s="18" t="n">
        <v>707.39</v>
      </c>
      <c r="I7604" s="18" t="n">
        <f aca="false">((I7603 + G7604) - H7604)</f>
        <v>195145.86</v>
      </c>
      <c r="J7604" s="18" t="n">
        <v>0</v>
      </c>
      <c r="K7604" s="19" t="n">
        <v>0</v>
      </c>
      <c r="L7604" s="17"/>
    </row>
    <row r="7605" s="11" customFormat="true" ht="10.95" hidden="false" customHeight="true" outlineLevel="0" collapsed="false">
      <c r="A7605" s="16" t="n">
        <v>45473</v>
      </c>
      <c r="B7605" s="17" t="s">
        <v>3369</v>
      </c>
      <c r="C7605" s="17" t="s">
        <v>3370</v>
      </c>
      <c r="D7605" s="17" t="s">
        <v>2895</v>
      </c>
      <c r="E7605" s="17" t="s">
        <v>2964</v>
      </c>
      <c r="F7605" s="17" t="s">
        <v>1062</v>
      </c>
      <c r="G7605" s="18" t="n">
        <v>0</v>
      </c>
      <c r="H7605" s="18" t="n">
        <v>470.31</v>
      </c>
      <c r="I7605" s="18" t="n">
        <f aca="false">((I7604 + G7605) - H7605)</f>
        <v>194675.55</v>
      </c>
      <c r="J7605" s="18" t="n">
        <v>0</v>
      </c>
      <c r="K7605" s="19" t="n">
        <v>0</v>
      </c>
      <c r="L7605" s="17"/>
    </row>
    <row r="7606" s="11" customFormat="true" ht="10.95" hidden="false" customHeight="true" outlineLevel="0" collapsed="false">
      <c r="A7606" s="16" t="n">
        <v>45473</v>
      </c>
      <c r="B7606" s="17" t="s">
        <v>3369</v>
      </c>
      <c r="C7606" s="17" t="s">
        <v>3370</v>
      </c>
      <c r="D7606" s="17" t="s">
        <v>2895</v>
      </c>
      <c r="E7606" s="17" t="s">
        <v>3474</v>
      </c>
      <c r="F7606" s="17" t="s">
        <v>752</v>
      </c>
      <c r="G7606" s="18" t="n">
        <v>0</v>
      </c>
      <c r="H7606" s="18" t="n">
        <v>357.5</v>
      </c>
      <c r="I7606" s="18" t="n">
        <f aca="false">((I7605 + G7606) - H7606)</f>
        <v>194318.05</v>
      </c>
      <c r="J7606" s="18" t="n">
        <v>0</v>
      </c>
      <c r="K7606" s="19" t="n">
        <v>0</v>
      </c>
      <c r="L7606" s="17"/>
    </row>
    <row r="7607" s="11" customFormat="true" ht="10.95" hidden="false" customHeight="true" outlineLevel="0" collapsed="false">
      <c r="A7607" s="16" t="n">
        <v>45473</v>
      </c>
      <c r="B7607" s="17" t="s">
        <v>3369</v>
      </c>
      <c r="C7607" s="17" t="s">
        <v>3370</v>
      </c>
      <c r="D7607" s="17"/>
      <c r="E7607" s="17" t="s">
        <v>2888</v>
      </c>
      <c r="F7607" s="17"/>
      <c r="G7607" s="18" t="n">
        <v>0</v>
      </c>
      <c r="H7607" s="18" t="n">
        <v>1242.17</v>
      </c>
      <c r="I7607" s="18" t="n">
        <f aca="false">((I7606 + G7607) - H7607)</f>
        <v>193075.88</v>
      </c>
      <c r="J7607" s="18" t="n">
        <v>0</v>
      </c>
      <c r="K7607" s="19" t="n">
        <v>0</v>
      </c>
      <c r="L7607" s="17"/>
    </row>
    <row r="7608" s="11" customFormat="true" ht="10.95" hidden="false" customHeight="true" outlineLevel="0" collapsed="false">
      <c r="A7608" s="21" t="s">
        <v>3543</v>
      </c>
      <c r="B7608" s="21"/>
      <c r="C7608" s="21"/>
      <c r="D7608" s="21"/>
      <c r="E7608" s="21"/>
      <c r="F7608" s="21"/>
      <c r="G7608" s="22" t="n">
        <f aca="false">SUM(G5915:G7607)</f>
        <v>1797631.53</v>
      </c>
      <c r="H7608" s="22" t="n">
        <f aca="false">SUM(H5915:H7607)</f>
        <v>1740224.95</v>
      </c>
      <c r="I7608" s="22" t="n">
        <f aca="false">I7607</f>
        <v>193075.88</v>
      </c>
      <c r="J7608" s="22" t="n">
        <f aca="false">SUM(J5915:J7607)</f>
        <v>0</v>
      </c>
      <c r="K7608" s="21"/>
      <c r="L7608" s="21"/>
    </row>
    <row r="7609" s="11" customFormat="true" ht="10.95" hidden="false" customHeight="true" outlineLevel="0" collapsed="false">
      <c r="A7609" s="21" t="s">
        <v>784</v>
      </c>
      <c r="B7609" s="21"/>
      <c r="C7609" s="21"/>
      <c r="D7609" s="21"/>
      <c r="E7609" s="21"/>
      <c r="F7609" s="21"/>
      <c r="G7609" s="22" t="n">
        <v>57406.58</v>
      </c>
      <c r="H7609" s="22" t="n">
        <v>0</v>
      </c>
      <c r="I7609" s="22" t="n">
        <v>0</v>
      </c>
      <c r="J7609" s="22" t="n">
        <v>0</v>
      </c>
      <c r="K7609" s="21"/>
      <c r="L7609" s="21"/>
    </row>
    <row r="7610" s="11" customFormat="true" ht="10.95" hidden="false" customHeight="true" outlineLevel="0" collapsed="false">
      <c r="A7610" s="9" t="s">
        <v>785</v>
      </c>
      <c r="B7610" s="9"/>
      <c r="C7610" s="9"/>
      <c r="D7610" s="9"/>
      <c r="E7610" s="9"/>
      <c r="F7610" s="9"/>
      <c r="G7610" s="10" t="n">
        <v>193075.88</v>
      </c>
      <c r="H7610" s="10" t="n">
        <v>0</v>
      </c>
      <c r="I7610" s="10" t="n">
        <f aca="false">I7607</f>
        <v>193075.88</v>
      </c>
      <c r="J7610" s="10" t="n">
        <v>0</v>
      </c>
      <c r="K7610" s="9"/>
      <c r="L7610" s="9"/>
    </row>
    <row r="7611" customFormat="false" ht="13.35" hidden="false" customHeight="true" outlineLevel="0" collapsed="false"/>
    <row r="7612" s="7" customFormat="true" ht="12.1" hidden="false" customHeight="true" outlineLevel="0" collapsed="false">
      <c r="A7612" s="8" t="s">
        <v>3544</v>
      </c>
      <c r="B7612" s="8"/>
      <c r="C7612" s="8"/>
      <c r="D7612" s="8"/>
      <c r="E7612" s="8"/>
      <c r="F7612" s="8"/>
      <c r="G7612" s="8"/>
      <c r="H7612" s="8"/>
      <c r="I7612" s="8"/>
      <c r="J7612" s="8"/>
      <c r="K7612" s="8"/>
      <c r="L7612" s="8"/>
    </row>
    <row r="7613" s="11" customFormat="true" ht="10.95" hidden="false" customHeight="true" outlineLevel="0" collapsed="false">
      <c r="A7613" s="9" t="s">
        <v>16</v>
      </c>
      <c r="B7613" s="9"/>
      <c r="C7613" s="9"/>
      <c r="D7613" s="9"/>
      <c r="E7613" s="9"/>
      <c r="F7613" s="9"/>
      <c r="G7613" s="10" t="n">
        <v>0.01</v>
      </c>
      <c r="H7613" s="10" t="n">
        <v>0</v>
      </c>
      <c r="I7613" s="10" t="n">
        <f aca="false">(G7613 - H7613)</f>
        <v>0.01</v>
      </c>
      <c r="J7613" s="10" t="n">
        <v>0</v>
      </c>
      <c r="K7613" s="9"/>
      <c r="L7613" s="9"/>
    </row>
    <row r="7614" s="11" customFormat="true" ht="10.95" hidden="false" customHeight="true" outlineLevel="0" collapsed="false">
      <c r="A7614" s="13"/>
      <c r="B7614" s="13" t="s">
        <v>3545</v>
      </c>
      <c r="C7614" s="13" t="s">
        <v>3370</v>
      </c>
      <c r="D7614" s="13"/>
      <c r="E7614" s="13" t="s">
        <v>3546</v>
      </c>
      <c r="F7614" s="13"/>
      <c r="G7614" s="14" t="n">
        <v>0</v>
      </c>
      <c r="H7614" s="14" t="n">
        <v>0</v>
      </c>
      <c r="I7614" s="14" t="n">
        <f aca="false">((I7613 + G7614) - H7614)</f>
        <v>0.01</v>
      </c>
      <c r="J7614" s="14" t="n">
        <v>0</v>
      </c>
      <c r="K7614" s="15" t="n">
        <v>0</v>
      </c>
      <c r="L7614" s="13"/>
    </row>
    <row r="7615" s="11" customFormat="true" ht="10.95" hidden="false" customHeight="true" outlineLevel="0" collapsed="false">
      <c r="A7615" s="21" t="s">
        <v>3547</v>
      </c>
      <c r="B7615" s="21"/>
      <c r="C7615" s="21"/>
      <c r="D7615" s="21"/>
      <c r="E7615" s="21"/>
      <c r="F7615" s="21"/>
      <c r="G7615" s="22" t="n">
        <f aca="false">G7614</f>
        <v>0</v>
      </c>
      <c r="H7615" s="22" t="n">
        <f aca="false">H7614</f>
        <v>0</v>
      </c>
      <c r="I7615" s="22" t="n">
        <f aca="false">I7614</f>
        <v>0.01</v>
      </c>
      <c r="J7615" s="22" t="n">
        <f aca="false">J7614</f>
        <v>0</v>
      </c>
      <c r="K7615" s="21"/>
      <c r="L7615" s="21"/>
    </row>
    <row r="7616" s="11" customFormat="true" ht="10.95" hidden="false" customHeight="true" outlineLevel="0" collapsed="false">
      <c r="A7616" s="21" t="s">
        <v>784</v>
      </c>
      <c r="B7616" s="21"/>
      <c r="C7616" s="21"/>
      <c r="D7616" s="21"/>
      <c r="E7616" s="21"/>
      <c r="F7616" s="21"/>
      <c r="G7616" s="22" t="n">
        <v>0</v>
      </c>
      <c r="H7616" s="22" t="n">
        <v>0</v>
      </c>
      <c r="I7616" s="22" t="n">
        <v>0</v>
      </c>
      <c r="J7616" s="22" t="n">
        <v>0</v>
      </c>
      <c r="K7616" s="21"/>
      <c r="L7616" s="21"/>
    </row>
    <row r="7617" s="11" customFormat="true" ht="10.95" hidden="false" customHeight="true" outlineLevel="0" collapsed="false">
      <c r="A7617" s="9" t="s">
        <v>785</v>
      </c>
      <c r="B7617" s="9"/>
      <c r="C7617" s="9"/>
      <c r="D7617" s="9"/>
      <c r="E7617" s="9"/>
      <c r="F7617" s="9"/>
      <c r="G7617" s="10" t="n">
        <v>0.01</v>
      </c>
      <c r="H7617" s="10" t="n">
        <v>0</v>
      </c>
      <c r="I7617" s="10" t="n">
        <f aca="false">I7614</f>
        <v>0.01</v>
      </c>
      <c r="J7617" s="10" t="n">
        <v>0</v>
      </c>
      <c r="K7617" s="9"/>
      <c r="L7617" s="9"/>
    </row>
    <row r="7618" customFormat="false" ht="13.35" hidden="false" customHeight="true" outlineLevel="0" collapsed="false"/>
    <row r="7619" s="7" customFormat="true" ht="12.1" hidden="false" customHeight="true" outlineLevel="0" collapsed="false">
      <c r="A7619" s="8" t="s">
        <v>3548</v>
      </c>
      <c r="B7619" s="8"/>
      <c r="C7619" s="8"/>
      <c r="D7619" s="8"/>
      <c r="E7619" s="8"/>
      <c r="F7619" s="8"/>
      <c r="G7619" s="8"/>
      <c r="H7619" s="8"/>
      <c r="I7619" s="8"/>
      <c r="J7619" s="8"/>
      <c r="K7619" s="8"/>
      <c r="L7619" s="8"/>
    </row>
    <row r="7620" s="11" customFormat="true" ht="10.95" hidden="false" customHeight="true" outlineLevel="0" collapsed="false">
      <c r="A7620" s="9" t="s">
        <v>16</v>
      </c>
      <c r="B7620" s="9"/>
      <c r="C7620" s="9"/>
      <c r="D7620" s="9"/>
      <c r="E7620" s="9"/>
      <c r="F7620" s="9"/>
      <c r="G7620" s="10" t="n">
        <v>0</v>
      </c>
      <c r="H7620" s="10" t="n">
        <v>0</v>
      </c>
      <c r="I7620" s="10" t="n">
        <f aca="false">(G7620 - H7620)</f>
        <v>0</v>
      </c>
      <c r="J7620" s="10" t="n">
        <v>0</v>
      </c>
      <c r="K7620" s="9"/>
      <c r="L7620" s="9"/>
    </row>
    <row r="7621" s="11" customFormat="true" ht="10.95" hidden="false" customHeight="true" outlineLevel="0" collapsed="false">
      <c r="A7621" s="12" t="n">
        <v>45167</v>
      </c>
      <c r="B7621" s="13" t="s">
        <v>3549</v>
      </c>
      <c r="C7621" s="13" t="s">
        <v>1593</v>
      </c>
      <c r="D7621" s="13" t="s">
        <v>1407</v>
      </c>
      <c r="E7621" s="13" t="s">
        <v>3550</v>
      </c>
      <c r="F7621" s="13"/>
      <c r="G7621" s="14" t="n">
        <v>90</v>
      </c>
      <c r="H7621" s="14" t="n">
        <v>0</v>
      </c>
      <c r="I7621" s="14" t="n">
        <f aca="false">((I7620 + G7621) - H7621)</f>
        <v>90</v>
      </c>
      <c r="J7621" s="14" t="n">
        <v>9</v>
      </c>
      <c r="K7621" s="15" t="n">
        <v>10</v>
      </c>
      <c r="L7621" s="13" t="s">
        <v>44</v>
      </c>
    </row>
    <row r="7622" s="11" customFormat="true" ht="10.95" hidden="false" customHeight="true" outlineLevel="0" collapsed="false">
      <c r="A7622" s="16" t="n">
        <v>45260</v>
      </c>
      <c r="B7622" s="17" t="s">
        <v>3549</v>
      </c>
      <c r="C7622" s="17" t="s">
        <v>1593</v>
      </c>
      <c r="D7622" s="17" t="s">
        <v>1407</v>
      </c>
      <c r="E7622" s="17" t="s">
        <v>3551</v>
      </c>
      <c r="F7622" s="17"/>
      <c r="G7622" s="18" t="n">
        <v>379.34</v>
      </c>
      <c r="H7622" s="18" t="n">
        <v>0</v>
      </c>
      <c r="I7622" s="18" t="n">
        <f aca="false">((I7621 + G7622) - H7622)</f>
        <v>469.34</v>
      </c>
      <c r="J7622" s="18" t="n">
        <v>0</v>
      </c>
      <c r="K7622" s="19" t="n">
        <v>0</v>
      </c>
      <c r="L7622" s="17" t="s">
        <v>1406</v>
      </c>
    </row>
    <row r="7623" s="11" customFormat="true" ht="10.95" hidden="false" customHeight="true" outlineLevel="0" collapsed="false">
      <c r="A7623" s="16" t="n">
        <v>45329</v>
      </c>
      <c r="B7623" s="17" t="s">
        <v>3549</v>
      </c>
      <c r="C7623" s="17" t="s">
        <v>1593</v>
      </c>
      <c r="D7623" s="17" t="s">
        <v>1407</v>
      </c>
      <c r="E7623" s="17" t="s">
        <v>3552</v>
      </c>
      <c r="F7623" s="17"/>
      <c r="G7623" s="18" t="n">
        <v>395</v>
      </c>
      <c r="H7623" s="18" t="n">
        <v>0</v>
      </c>
      <c r="I7623" s="18" t="n">
        <f aca="false">((I7622 + G7623) - H7623)</f>
        <v>864.34</v>
      </c>
      <c r="J7623" s="18" t="n">
        <v>0</v>
      </c>
      <c r="K7623" s="19" t="n">
        <v>0</v>
      </c>
      <c r="L7623" s="17" t="s">
        <v>1406</v>
      </c>
    </row>
    <row r="7624" s="11" customFormat="true" ht="10.95" hidden="false" customHeight="true" outlineLevel="0" collapsed="false">
      <c r="A7624" s="21" t="s">
        <v>3553</v>
      </c>
      <c r="B7624" s="21"/>
      <c r="C7624" s="21"/>
      <c r="D7624" s="21"/>
      <c r="E7624" s="21"/>
      <c r="F7624" s="21"/>
      <c r="G7624" s="22" t="n">
        <f aca="false">SUM(G7621:G7623)</f>
        <v>864.34</v>
      </c>
      <c r="H7624" s="22" t="n">
        <f aca="false">SUM(H7621:H7623)</f>
        <v>0</v>
      </c>
      <c r="I7624" s="22" t="n">
        <f aca="false">I7623</f>
        <v>864.34</v>
      </c>
      <c r="J7624" s="22" t="n">
        <f aca="false">SUM(J7621:J7623)</f>
        <v>9</v>
      </c>
      <c r="K7624" s="21"/>
      <c r="L7624" s="21"/>
    </row>
    <row r="7625" s="11" customFormat="true" ht="10.95" hidden="false" customHeight="true" outlineLevel="0" collapsed="false">
      <c r="A7625" s="21" t="s">
        <v>784</v>
      </c>
      <c r="B7625" s="21"/>
      <c r="C7625" s="21"/>
      <c r="D7625" s="21"/>
      <c r="E7625" s="21"/>
      <c r="F7625" s="21"/>
      <c r="G7625" s="22" t="n">
        <v>864.34</v>
      </c>
      <c r="H7625" s="22" t="n">
        <v>0</v>
      </c>
      <c r="I7625" s="22" t="n">
        <v>0</v>
      </c>
      <c r="J7625" s="22" t="n">
        <v>0</v>
      </c>
      <c r="K7625" s="21"/>
      <c r="L7625" s="21"/>
    </row>
    <row r="7626" s="11" customFormat="true" ht="10.95" hidden="false" customHeight="true" outlineLevel="0" collapsed="false">
      <c r="A7626" s="9" t="s">
        <v>785</v>
      </c>
      <c r="B7626" s="9"/>
      <c r="C7626" s="9"/>
      <c r="D7626" s="9"/>
      <c r="E7626" s="9"/>
      <c r="F7626" s="9"/>
      <c r="G7626" s="10" t="n">
        <v>864.34</v>
      </c>
      <c r="H7626" s="10" t="n">
        <v>0</v>
      </c>
      <c r="I7626" s="10" t="n">
        <f aca="false">I7623</f>
        <v>864.34</v>
      </c>
      <c r="J7626" s="10" t="n">
        <v>0</v>
      </c>
      <c r="K7626" s="9"/>
      <c r="L7626" s="9"/>
    </row>
    <row r="7627" customFormat="false" ht="13.35" hidden="false" customHeight="true" outlineLevel="0" collapsed="false"/>
    <row r="7628" s="7" customFormat="true" ht="12.1" hidden="false" customHeight="true" outlineLevel="0" collapsed="false">
      <c r="A7628" s="8" t="s">
        <v>3554</v>
      </c>
      <c r="B7628" s="8"/>
      <c r="C7628" s="8"/>
      <c r="D7628" s="8"/>
      <c r="E7628" s="8"/>
      <c r="F7628" s="8"/>
      <c r="G7628" s="8"/>
      <c r="H7628" s="8"/>
      <c r="I7628" s="8"/>
      <c r="J7628" s="8"/>
      <c r="K7628" s="8"/>
      <c r="L7628" s="8"/>
    </row>
    <row r="7629" s="11" customFormat="true" ht="10.95" hidden="false" customHeight="true" outlineLevel="0" collapsed="false">
      <c r="A7629" s="9" t="s">
        <v>16</v>
      </c>
      <c r="B7629" s="9"/>
      <c r="C7629" s="9"/>
      <c r="D7629" s="9"/>
      <c r="E7629" s="9"/>
      <c r="F7629" s="9"/>
      <c r="G7629" s="10" t="n">
        <v>13489.54</v>
      </c>
      <c r="H7629" s="10" t="n">
        <v>0</v>
      </c>
      <c r="I7629" s="10" t="n">
        <f aca="false">(G7629 - H7629)</f>
        <v>13489.54</v>
      </c>
      <c r="J7629" s="10" t="n">
        <v>0</v>
      </c>
      <c r="K7629" s="9"/>
      <c r="L7629" s="9"/>
    </row>
    <row r="7630" s="11" customFormat="true" ht="10.95" hidden="false" customHeight="true" outlineLevel="0" collapsed="false">
      <c r="A7630" s="12" t="n">
        <v>45118</v>
      </c>
      <c r="B7630" s="13" t="s">
        <v>3555</v>
      </c>
      <c r="C7630" s="13" t="s">
        <v>3556</v>
      </c>
      <c r="D7630" s="13" t="s">
        <v>1407</v>
      </c>
      <c r="E7630" s="13" t="s">
        <v>3557</v>
      </c>
      <c r="F7630" s="13"/>
      <c r="G7630" s="14" t="n">
        <v>316.35</v>
      </c>
      <c r="H7630" s="14" t="n">
        <v>0</v>
      </c>
      <c r="I7630" s="14" t="n">
        <f aca="false">((I7629 + G7630) - H7630)</f>
        <v>13805.89</v>
      </c>
      <c r="J7630" s="14" t="n">
        <v>31.64</v>
      </c>
      <c r="K7630" s="15" t="n">
        <v>10</v>
      </c>
      <c r="L7630" s="13" t="s">
        <v>44</v>
      </c>
    </row>
    <row r="7631" s="11" customFormat="true" ht="10.95" hidden="false" customHeight="true" outlineLevel="0" collapsed="false">
      <c r="A7631" s="16" t="n">
        <v>45118</v>
      </c>
      <c r="B7631" s="17" t="s">
        <v>3555</v>
      </c>
      <c r="C7631" s="17" t="s">
        <v>3556</v>
      </c>
      <c r="D7631" s="17" t="s">
        <v>1407</v>
      </c>
      <c r="E7631" s="17" t="s">
        <v>3558</v>
      </c>
      <c r="F7631" s="17"/>
      <c r="G7631" s="18" t="n">
        <v>470.14</v>
      </c>
      <c r="H7631" s="18" t="n">
        <v>0</v>
      </c>
      <c r="I7631" s="18" t="n">
        <f aca="false">((I7630 + G7631) - H7631)</f>
        <v>14276.03</v>
      </c>
      <c r="J7631" s="18" t="n">
        <v>47.01</v>
      </c>
      <c r="K7631" s="19" t="n">
        <v>10</v>
      </c>
      <c r="L7631" s="17" t="s">
        <v>44</v>
      </c>
    </row>
    <row r="7632" s="11" customFormat="true" ht="10.95" hidden="false" customHeight="true" outlineLevel="0" collapsed="false">
      <c r="A7632" s="16" t="n">
        <v>45145</v>
      </c>
      <c r="B7632" s="17" t="s">
        <v>3555</v>
      </c>
      <c r="C7632" s="17" t="s">
        <v>3556</v>
      </c>
      <c r="D7632" s="17" t="s">
        <v>1391</v>
      </c>
      <c r="E7632" s="17" t="s">
        <v>3559</v>
      </c>
      <c r="F7632" s="17" t="s">
        <v>1642</v>
      </c>
      <c r="G7632" s="18" t="n">
        <v>117.27</v>
      </c>
      <c r="H7632" s="18" t="n">
        <v>0</v>
      </c>
      <c r="I7632" s="18" t="n">
        <f aca="false">((I7631 + G7632) - H7632)</f>
        <v>14393.3</v>
      </c>
      <c r="J7632" s="18" t="n">
        <v>11.73</v>
      </c>
      <c r="K7632" s="19" t="n">
        <v>10</v>
      </c>
      <c r="L7632" s="17" t="s">
        <v>44</v>
      </c>
    </row>
    <row r="7633" s="11" customFormat="true" ht="10.95" hidden="false" customHeight="true" outlineLevel="0" collapsed="false">
      <c r="A7633" s="16" t="n">
        <v>45236</v>
      </c>
      <c r="B7633" s="17" t="s">
        <v>3555</v>
      </c>
      <c r="C7633" s="17" t="s">
        <v>3556</v>
      </c>
      <c r="D7633" s="17" t="s">
        <v>1391</v>
      </c>
      <c r="E7633" s="17" t="s">
        <v>3560</v>
      </c>
      <c r="F7633" s="17" t="s">
        <v>3561</v>
      </c>
      <c r="G7633" s="18" t="n">
        <v>347.73</v>
      </c>
      <c r="H7633" s="18" t="n">
        <v>0</v>
      </c>
      <c r="I7633" s="18" t="n">
        <f aca="false">((I7632 + G7633) - H7633)</f>
        <v>14741.03</v>
      </c>
      <c r="J7633" s="18" t="n">
        <v>34.77</v>
      </c>
      <c r="K7633" s="19" t="n">
        <v>10</v>
      </c>
      <c r="L7633" s="17" t="s">
        <v>44</v>
      </c>
    </row>
    <row r="7634" s="11" customFormat="true" ht="10.95" hidden="false" customHeight="true" outlineLevel="0" collapsed="false">
      <c r="A7634" s="16" t="n">
        <v>45293</v>
      </c>
      <c r="B7634" s="17" t="s">
        <v>3555</v>
      </c>
      <c r="C7634" s="17" t="s">
        <v>3556</v>
      </c>
      <c r="D7634" s="17" t="s">
        <v>1391</v>
      </c>
      <c r="E7634" s="17" t="s">
        <v>3562</v>
      </c>
      <c r="F7634" s="17"/>
      <c r="G7634" s="18" t="n">
        <v>154.9</v>
      </c>
      <c r="H7634" s="18" t="n">
        <v>0</v>
      </c>
      <c r="I7634" s="18" t="n">
        <f aca="false">((I7633 + G7634) - H7634)</f>
        <v>14895.93</v>
      </c>
      <c r="J7634" s="18" t="n">
        <v>15.49</v>
      </c>
      <c r="K7634" s="19" t="n">
        <v>10</v>
      </c>
      <c r="L7634" s="17" t="s">
        <v>44</v>
      </c>
    </row>
    <row r="7635" s="11" customFormat="true" ht="10.95" hidden="false" customHeight="true" outlineLevel="0" collapsed="false">
      <c r="A7635" s="16" t="n">
        <v>45363</v>
      </c>
      <c r="B7635" s="17" t="s">
        <v>3555</v>
      </c>
      <c r="C7635" s="17" t="s">
        <v>3556</v>
      </c>
      <c r="D7635" s="17" t="s">
        <v>1407</v>
      </c>
      <c r="E7635" s="17" t="s">
        <v>3563</v>
      </c>
      <c r="F7635" s="17"/>
      <c r="G7635" s="18" t="n">
        <v>73.65</v>
      </c>
      <c r="H7635" s="18" t="n">
        <v>0</v>
      </c>
      <c r="I7635" s="18" t="n">
        <f aca="false">((I7634 + G7635) - H7635)</f>
        <v>14969.58</v>
      </c>
      <c r="J7635" s="18" t="n">
        <v>7.36</v>
      </c>
      <c r="K7635" s="19" t="n">
        <v>10</v>
      </c>
      <c r="L7635" s="17" t="s">
        <v>44</v>
      </c>
    </row>
    <row r="7636" s="11" customFormat="true" ht="10.95" hidden="false" customHeight="true" outlineLevel="0" collapsed="false">
      <c r="A7636" s="16" t="n">
        <v>45363</v>
      </c>
      <c r="B7636" s="17" t="s">
        <v>3555</v>
      </c>
      <c r="C7636" s="17" t="s">
        <v>3556</v>
      </c>
      <c r="D7636" s="17" t="s">
        <v>1391</v>
      </c>
      <c r="E7636" s="17" t="s">
        <v>3564</v>
      </c>
      <c r="F7636" s="17" t="s">
        <v>3565</v>
      </c>
      <c r="G7636" s="18" t="n">
        <v>3151.55</v>
      </c>
      <c r="H7636" s="18" t="n">
        <v>0</v>
      </c>
      <c r="I7636" s="18" t="n">
        <f aca="false">((I7635 + G7636) - H7636)</f>
        <v>18121.13</v>
      </c>
      <c r="J7636" s="18" t="n">
        <v>315.15</v>
      </c>
      <c r="K7636" s="19" t="n">
        <v>10</v>
      </c>
      <c r="L7636" s="17" t="s">
        <v>44</v>
      </c>
    </row>
    <row r="7637" s="11" customFormat="true" ht="10.95" hidden="false" customHeight="true" outlineLevel="0" collapsed="false">
      <c r="A7637" s="16" t="n">
        <v>45368</v>
      </c>
      <c r="B7637" s="17" t="s">
        <v>3555</v>
      </c>
      <c r="C7637" s="17" t="s">
        <v>3556</v>
      </c>
      <c r="D7637" s="17" t="s">
        <v>1407</v>
      </c>
      <c r="E7637" s="17" t="s">
        <v>3566</v>
      </c>
      <c r="F7637" s="17"/>
      <c r="G7637" s="18" t="n">
        <v>1828.92</v>
      </c>
      <c r="H7637" s="18" t="n">
        <v>0</v>
      </c>
      <c r="I7637" s="18" t="n">
        <f aca="false">((I7636 + G7637) - H7637)</f>
        <v>19950.05</v>
      </c>
      <c r="J7637" s="18" t="n">
        <v>182.89</v>
      </c>
      <c r="K7637" s="19" t="n">
        <v>10</v>
      </c>
      <c r="L7637" s="17" t="s">
        <v>44</v>
      </c>
    </row>
    <row r="7638" s="11" customFormat="true" ht="10.95" hidden="false" customHeight="true" outlineLevel="0" collapsed="false">
      <c r="A7638" s="16" t="n">
        <v>45378</v>
      </c>
      <c r="B7638" s="17" t="s">
        <v>3555</v>
      </c>
      <c r="C7638" s="17" t="s">
        <v>3556</v>
      </c>
      <c r="D7638" s="17" t="s">
        <v>1407</v>
      </c>
      <c r="E7638" s="17" t="s">
        <v>3567</v>
      </c>
      <c r="F7638" s="17"/>
      <c r="G7638" s="18" t="n">
        <v>255.45</v>
      </c>
      <c r="H7638" s="18" t="n">
        <v>0</v>
      </c>
      <c r="I7638" s="18" t="n">
        <f aca="false">((I7637 + G7638) - H7638)</f>
        <v>20205.5</v>
      </c>
      <c r="J7638" s="18" t="n">
        <v>25.55</v>
      </c>
      <c r="K7638" s="19" t="n">
        <v>10</v>
      </c>
      <c r="L7638" s="17" t="s">
        <v>44</v>
      </c>
    </row>
    <row r="7639" s="11" customFormat="true" ht="10.95" hidden="false" customHeight="true" outlineLevel="0" collapsed="false">
      <c r="A7639" s="16" t="n">
        <v>45451</v>
      </c>
      <c r="B7639" s="17" t="s">
        <v>3555</v>
      </c>
      <c r="C7639" s="17" t="s">
        <v>3556</v>
      </c>
      <c r="D7639" s="17" t="s">
        <v>1407</v>
      </c>
      <c r="E7639" s="17" t="s">
        <v>3568</v>
      </c>
      <c r="F7639" s="17"/>
      <c r="G7639" s="18" t="n">
        <v>1545.45</v>
      </c>
      <c r="H7639" s="18" t="n">
        <v>0</v>
      </c>
      <c r="I7639" s="18" t="n">
        <f aca="false">((I7638 + G7639) - H7639)</f>
        <v>21750.95</v>
      </c>
      <c r="J7639" s="18" t="n">
        <v>154.55</v>
      </c>
      <c r="K7639" s="19" t="n">
        <v>10</v>
      </c>
      <c r="L7639" s="17" t="s">
        <v>44</v>
      </c>
    </row>
    <row r="7640" s="11" customFormat="true" ht="10.95" hidden="false" customHeight="true" outlineLevel="0" collapsed="false">
      <c r="A7640" s="16" t="n">
        <v>45455</v>
      </c>
      <c r="B7640" s="17" t="s">
        <v>3555</v>
      </c>
      <c r="C7640" s="17" t="s">
        <v>3556</v>
      </c>
      <c r="D7640" s="17" t="s">
        <v>1407</v>
      </c>
      <c r="E7640" s="17" t="s">
        <v>3569</v>
      </c>
      <c r="F7640" s="17"/>
      <c r="G7640" s="18" t="n">
        <v>199.09</v>
      </c>
      <c r="H7640" s="18" t="n">
        <v>0</v>
      </c>
      <c r="I7640" s="18" t="n">
        <f aca="false">((I7639 + G7640) - H7640)</f>
        <v>21950.04</v>
      </c>
      <c r="J7640" s="18" t="n">
        <v>19.91</v>
      </c>
      <c r="K7640" s="19" t="n">
        <v>10</v>
      </c>
      <c r="L7640" s="17" t="s">
        <v>44</v>
      </c>
    </row>
    <row r="7641" s="11" customFormat="true" ht="10.95" hidden="false" customHeight="true" outlineLevel="0" collapsed="false">
      <c r="A7641" s="16" t="n">
        <v>45462</v>
      </c>
      <c r="B7641" s="17" t="s">
        <v>3555</v>
      </c>
      <c r="C7641" s="17" t="s">
        <v>3556</v>
      </c>
      <c r="D7641" s="17" t="s">
        <v>1407</v>
      </c>
      <c r="E7641" s="17" t="s">
        <v>3570</v>
      </c>
      <c r="F7641" s="17"/>
      <c r="G7641" s="18" t="n">
        <v>74.26</v>
      </c>
      <c r="H7641" s="18" t="n">
        <v>0</v>
      </c>
      <c r="I7641" s="18" t="n">
        <f aca="false">((I7640 + G7641) - H7641)</f>
        <v>22024.3</v>
      </c>
      <c r="J7641" s="18" t="n">
        <v>7.43</v>
      </c>
      <c r="K7641" s="19" t="n">
        <v>10</v>
      </c>
      <c r="L7641" s="17" t="s">
        <v>44</v>
      </c>
    </row>
    <row r="7642" s="11" customFormat="true" ht="10.95" hidden="false" customHeight="true" outlineLevel="0" collapsed="false">
      <c r="A7642" s="16" t="n">
        <v>45473</v>
      </c>
      <c r="B7642" s="17" t="s">
        <v>3555</v>
      </c>
      <c r="C7642" s="17" t="s">
        <v>3556</v>
      </c>
      <c r="D7642" s="17" t="s">
        <v>1396</v>
      </c>
      <c r="E7642" s="17" t="s">
        <v>2094</v>
      </c>
      <c r="F7642" s="17" t="s">
        <v>2095</v>
      </c>
      <c r="G7642" s="18" t="n">
        <v>0</v>
      </c>
      <c r="H7642" s="18" t="n">
        <v>3837.76</v>
      </c>
      <c r="I7642" s="18" t="n">
        <f aca="false">((I7641 + G7642) - H7642)</f>
        <v>18186.54</v>
      </c>
      <c r="J7642" s="18" t="n">
        <v>0</v>
      </c>
      <c r="K7642" s="19" t="n">
        <v>0</v>
      </c>
      <c r="L7642" s="17" t="s">
        <v>1399</v>
      </c>
    </row>
    <row r="7643" s="11" customFormat="true" ht="10.95" hidden="false" customHeight="true" outlineLevel="0" collapsed="false">
      <c r="A7643" s="16" t="n">
        <v>45473</v>
      </c>
      <c r="B7643" s="17" t="s">
        <v>3555</v>
      </c>
      <c r="C7643" s="17" t="s">
        <v>3556</v>
      </c>
      <c r="D7643" s="17" t="s">
        <v>1396</v>
      </c>
      <c r="E7643" s="17" t="s">
        <v>2096</v>
      </c>
      <c r="F7643" s="17" t="s">
        <v>2097</v>
      </c>
      <c r="G7643" s="18" t="n">
        <v>3181.9</v>
      </c>
      <c r="H7643" s="18" t="n">
        <v>0</v>
      </c>
      <c r="I7643" s="18" t="n">
        <f aca="false">((I7642 + G7643) - H7643)</f>
        <v>21368.44</v>
      </c>
      <c r="J7643" s="18" t="n">
        <v>0</v>
      </c>
      <c r="K7643" s="19" t="n">
        <v>0</v>
      </c>
      <c r="L7643" s="17" t="s">
        <v>1399</v>
      </c>
    </row>
    <row r="7644" s="11" customFormat="true" ht="10.95" hidden="false" customHeight="true" outlineLevel="0" collapsed="false">
      <c r="A7644" s="21" t="s">
        <v>3571</v>
      </c>
      <c r="B7644" s="21"/>
      <c r="C7644" s="21"/>
      <c r="D7644" s="21"/>
      <c r="E7644" s="21"/>
      <c r="F7644" s="21"/>
      <c r="G7644" s="22" t="n">
        <f aca="false">SUM(G7630:G7643)</f>
        <v>11716.66</v>
      </c>
      <c r="H7644" s="22" t="n">
        <f aca="false">SUM(H7630:H7643)</f>
        <v>3837.76</v>
      </c>
      <c r="I7644" s="22" t="n">
        <f aca="false">I7643</f>
        <v>21368.44</v>
      </c>
      <c r="J7644" s="22" t="n">
        <f aca="false">SUM(J7630:J7643)</f>
        <v>853.48</v>
      </c>
      <c r="K7644" s="21"/>
      <c r="L7644" s="21"/>
    </row>
    <row r="7645" s="11" customFormat="true" ht="10.95" hidden="false" customHeight="true" outlineLevel="0" collapsed="false">
      <c r="A7645" s="21" t="s">
        <v>784</v>
      </c>
      <c r="B7645" s="21"/>
      <c r="C7645" s="21"/>
      <c r="D7645" s="21"/>
      <c r="E7645" s="21"/>
      <c r="F7645" s="21"/>
      <c r="G7645" s="22" t="n">
        <v>7878.9</v>
      </c>
      <c r="H7645" s="22" t="n">
        <v>0</v>
      </c>
      <c r="I7645" s="22" t="n">
        <v>0</v>
      </c>
      <c r="J7645" s="22" t="n">
        <v>0</v>
      </c>
      <c r="K7645" s="21"/>
      <c r="L7645" s="21"/>
    </row>
    <row r="7646" s="11" customFormat="true" ht="10.95" hidden="false" customHeight="true" outlineLevel="0" collapsed="false">
      <c r="A7646" s="9" t="s">
        <v>785</v>
      </c>
      <c r="B7646" s="9"/>
      <c r="C7646" s="9"/>
      <c r="D7646" s="9"/>
      <c r="E7646" s="9"/>
      <c r="F7646" s="9"/>
      <c r="G7646" s="10" t="n">
        <v>21368.44</v>
      </c>
      <c r="H7646" s="10" t="n">
        <v>0</v>
      </c>
      <c r="I7646" s="10" t="n">
        <f aca="false">I7643</f>
        <v>21368.44</v>
      </c>
      <c r="J7646" s="10" t="n">
        <v>0</v>
      </c>
      <c r="K7646" s="9"/>
      <c r="L7646" s="9"/>
    </row>
    <row r="7647" customFormat="false" ht="13.35" hidden="false" customHeight="true" outlineLevel="0" collapsed="false"/>
    <row r="7648" s="7" customFormat="true" ht="12.1" hidden="false" customHeight="true" outlineLevel="0" collapsed="false">
      <c r="A7648" s="8" t="s">
        <v>3572</v>
      </c>
      <c r="B7648" s="8"/>
      <c r="C7648" s="8"/>
      <c r="D7648" s="8"/>
      <c r="E7648" s="8"/>
      <c r="F7648" s="8"/>
      <c r="G7648" s="8"/>
      <c r="H7648" s="8"/>
      <c r="I7648" s="8"/>
      <c r="J7648" s="8"/>
      <c r="K7648" s="8"/>
      <c r="L7648" s="8"/>
    </row>
    <row r="7649" s="11" customFormat="true" ht="10.95" hidden="false" customHeight="true" outlineLevel="0" collapsed="false">
      <c r="A7649" s="9" t="s">
        <v>16</v>
      </c>
      <c r="B7649" s="9"/>
      <c r="C7649" s="9"/>
      <c r="D7649" s="9"/>
      <c r="E7649" s="9"/>
      <c r="F7649" s="9"/>
      <c r="G7649" s="10" t="n">
        <v>0</v>
      </c>
      <c r="H7649" s="10" t="n">
        <v>2228.57</v>
      </c>
      <c r="I7649" s="10" t="n">
        <f aca="false">(G7649 - H7649)</f>
        <v>-2228.57</v>
      </c>
      <c r="J7649" s="10" t="n">
        <v>0</v>
      </c>
      <c r="K7649" s="9"/>
      <c r="L7649" s="9"/>
    </row>
    <row r="7650" s="11" customFormat="true" ht="10.95" hidden="false" customHeight="true" outlineLevel="0" collapsed="false">
      <c r="A7650" s="12" t="n">
        <v>45138</v>
      </c>
      <c r="B7650" s="13" t="s">
        <v>3573</v>
      </c>
      <c r="C7650" s="13" t="s">
        <v>3556</v>
      </c>
      <c r="D7650" s="13"/>
      <c r="E7650" s="13" t="s">
        <v>1791</v>
      </c>
      <c r="F7650" s="13"/>
      <c r="G7650" s="14" t="n">
        <v>0</v>
      </c>
      <c r="H7650" s="14" t="n">
        <v>77.96</v>
      </c>
      <c r="I7650" s="14" t="n">
        <f aca="false">((I7649 + G7650) - H7650)</f>
        <v>-2306.53</v>
      </c>
      <c r="J7650" s="14" t="n">
        <v>0</v>
      </c>
      <c r="K7650" s="15" t="n">
        <v>0</v>
      </c>
      <c r="L7650" s="13"/>
    </row>
    <row r="7651" s="11" customFormat="true" ht="10.95" hidden="false" customHeight="true" outlineLevel="0" collapsed="false">
      <c r="A7651" s="16" t="n">
        <v>45138</v>
      </c>
      <c r="B7651" s="17" t="s">
        <v>3573</v>
      </c>
      <c r="C7651" s="17" t="s">
        <v>3556</v>
      </c>
      <c r="D7651" s="17"/>
      <c r="E7651" s="17" t="s">
        <v>1797</v>
      </c>
      <c r="F7651" s="17"/>
      <c r="G7651" s="18" t="n">
        <v>0</v>
      </c>
      <c r="H7651" s="18" t="n">
        <v>13.9</v>
      </c>
      <c r="I7651" s="18" t="n">
        <f aca="false">((I7650 + G7651) - H7651)</f>
        <v>-2320.43</v>
      </c>
      <c r="J7651" s="18" t="n">
        <v>0</v>
      </c>
      <c r="K7651" s="19" t="n">
        <v>0</v>
      </c>
      <c r="L7651" s="17"/>
    </row>
    <row r="7652" s="11" customFormat="true" ht="10.95" hidden="false" customHeight="true" outlineLevel="0" collapsed="false">
      <c r="A7652" s="16" t="n">
        <v>45138</v>
      </c>
      <c r="B7652" s="17" t="s">
        <v>3573</v>
      </c>
      <c r="C7652" s="17" t="s">
        <v>3556</v>
      </c>
      <c r="D7652" s="17"/>
      <c r="E7652" s="17" t="s">
        <v>1798</v>
      </c>
      <c r="F7652" s="17"/>
      <c r="G7652" s="18" t="n">
        <v>0</v>
      </c>
      <c r="H7652" s="18" t="n">
        <v>10.47</v>
      </c>
      <c r="I7652" s="18" t="n">
        <f aca="false">((I7651 + G7652) - H7652)</f>
        <v>-2330.9</v>
      </c>
      <c r="J7652" s="18" t="n">
        <v>0</v>
      </c>
      <c r="K7652" s="19" t="n">
        <v>0</v>
      </c>
      <c r="L7652" s="17"/>
    </row>
    <row r="7653" s="11" customFormat="true" ht="10.95" hidden="false" customHeight="true" outlineLevel="0" collapsed="false">
      <c r="A7653" s="16" t="n">
        <v>45169</v>
      </c>
      <c r="B7653" s="17" t="s">
        <v>3573</v>
      </c>
      <c r="C7653" s="17" t="s">
        <v>3556</v>
      </c>
      <c r="D7653" s="17"/>
      <c r="E7653" s="17" t="s">
        <v>1803</v>
      </c>
      <c r="F7653" s="17"/>
      <c r="G7653" s="18" t="n">
        <v>0</v>
      </c>
      <c r="H7653" s="18" t="n">
        <v>77.96</v>
      </c>
      <c r="I7653" s="18" t="n">
        <f aca="false">((I7652 + G7653) - H7653)</f>
        <v>-2408.86</v>
      </c>
      <c r="J7653" s="18" t="n">
        <v>0</v>
      </c>
      <c r="K7653" s="19" t="n">
        <v>0</v>
      </c>
      <c r="L7653" s="17"/>
    </row>
    <row r="7654" s="11" customFormat="true" ht="10.95" hidden="false" customHeight="true" outlineLevel="0" collapsed="false">
      <c r="A7654" s="16" t="n">
        <v>45169</v>
      </c>
      <c r="B7654" s="17" t="s">
        <v>3573</v>
      </c>
      <c r="C7654" s="17" t="s">
        <v>3556</v>
      </c>
      <c r="D7654" s="17"/>
      <c r="E7654" s="17" t="s">
        <v>1809</v>
      </c>
      <c r="F7654" s="17"/>
      <c r="G7654" s="18" t="n">
        <v>0</v>
      </c>
      <c r="H7654" s="18" t="n">
        <v>13.91</v>
      </c>
      <c r="I7654" s="18" t="n">
        <f aca="false">((I7653 + G7654) - H7654)</f>
        <v>-2422.77</v>
      </c>
      <c r="J7654" s="18" t="n">
        <v>0</v>
      </c>
      <c r="K7654" s="19" t="n">
        <v>0</v>
      </c>
      <c r="L7654" s="17"/>
    </row>
    <row r="7655" s="11" customFormat="true" ht="10.95" hidden="false" customHeight="true" outlineLevel="0" collapsed="false">
      <c r="A7655" s="16" t="n">
        <v>45169</v>
      </c>
      <c r="B7655" s="17" t="s">
        <v>3573</v>
      </c>
      <c r="C7655" s="17" t="s">
        <v>3556</v>
      </c>
      <c r="D7655" s="17"/>
      <c r="E7655" s="17" t="s">
        <v>1810</v>
      </c>
      <c r="F7655" s="17"/>
      <c r="G7655" s="18" t="n">
        <v>0</v>
      </c>
      <c r="H7655" s="18" t="n">
        <v>10.47</v>
      </c>
      <c r="I7655" s="18" t="n">
        <f aca="false">((I7654 + G7655) - H7655)</f>
        <v>-2433.24</v>
      </c>
      <c r="J7655" s="18" t="n">
        <v>0</v>
      </c>
      <c r="K7655" s="19" t="n">
        <v>0</v>
      </c>
      <c r="L7655" s="17"/>
    </row>
    <row r="7656" s="11" customFormat="true" ht="10.95" hidden="false" customHeight="true" outlineLevel="0" collapsed="false">
      <c r="A7656" s="16" t="n">
        <v>45199</v>
      </c>
      <c r="B7656" s="17" t="s">
        <v>3573</v>
      </c>
      <c r="C7656" s="17" t="s">
        <v>3556</v>
      </c>
      <c r="D7656" s="17"/>
      <c r="E7656" s="17" t="s">
        <v>1815</v>
      </c>
      <c r="F7656" s="17"/>
      <c r="G7656" s="18" t="n">
        <v>0</v>
      </c>
      <c r="H7656" s="18" t="n">
        <v>75.44</v>
      </c>
      <c r="I7656" s="18" t="n">
        <f aca="false">((I7655 + G7656) - H7656)</f>
        <v>-2508.68</v>
      </c>
      <c r="J7656" s="18" t="n">
        <v>0</v>
      </c>
      <c r="K7656" s="19" t="n">
        <v>0</v>
      </c>
      <c r="L7656" s="17"/>
    </row>
    <row r="7657" s="11" customFormat="true" ht="10.95" hidden="false" customHeight="true" outlineLevel="0" collapsed="false">
      <c r="A7657" s="16" t="n">
        <v>45199</v>
      </c>
      <c r="B7657" s="17" t="s">
        <v>3573</v>
      </c>
      <c r="C7657" s="17" t="s">
        <v>3556</v>
      </c>
      <c r="D7657" s="17"/>
      <c r="E7657" s="17" t="s">
        <v>1821</v>
      </c>
      <c r="F7657" s="17"/>
      <c r="G7657" s="18" t="n">
        <v>0</v>
      </c>
      <c r="H7657" s="18" t="n">
        <v>13.45</v>
      </c>
      <c r="I7657" s="18" t="n">
        <f aca="false">((I7656 + G7657) - H7657)</f>
        <v>-2522.13</v>
      </c>
      <c r="J7657" s="18" t="n">
        <v>0</v>
      </c>
      <c r="K7657" s="19" t="n">
        <v>0</v>
      </c>
      <c r="L7657" s="17"/>
    </row>
    <row r="7658" s="11" customFormat="true" ht="10.95" hidden="false" customHeight="true" outlineLevel="0" collapsed="false">
      <c r="A7658" s="16" t="n">
        <v>45199</v>
      </c>
      <c r="B7658" s="17" t="s">
        <v>3573</v>
      </c>
      <c r="C7658" s="17" t="s">
        <v>3556</v>
      </c>
      <c r="D7658" s="17"/>
      <c r="E7658" s="17" t="s">
        <v>1822</v>
      </c>
      <c r="F7658" s="17"/>
      <c r="G7658" s="18" t="n">
        <v>0</v>
      </c>
      <c r="H7658" s="18" t="n">
        <v>10.13</v>
      </c>
      <c r="I7658" s="18" t="n">
        <f aca="false">((I7657 + G7658) - H7658)</f>
        <v>-2532.26</v>
      </c>
      <c r="J7658" s="18" t="n">
        <v>0</v>
      </c>
      <c r="K7658" s="19" t="n">
        <v>0</v>
      </c>
      <c r="L7658" s="17"/>
    </row>
    <row r="7659" s="11" customFormat="true" ht="10.95" hidden="false" customHeight="true" outlineLevel="0" collapsed="false">
      <c r="A7659" s="16" t="n">
        <v>45230</v>
      </c>
      <c r="B7659" s="17" t="s">
        <v>3573</v>
      </c>
      <c r="C7659" s="17" t="s">
        <v>3556</v>
      </c>
      <c r="D7659" s="17"/>
      <c r="E7659" s="17" t="s">
        <v>1828</v>
      </c>
      <c r="F7659" s="17"/>
      <c r="G7659" s="18" t="n">
        <v>0</v>
      </c>
      <c r="H7659" s="18" t="n">
        <v>77.96</v>
      </c>
      <c r="I7659" s="18" t="n">
        <f aca="false">((I7658 + G7659) - H7659)</f>
        <v>-2610.22</v>
      </c>
      <c r="J7659" s="18" t="n">
        <v>0</v>
      </c>
      <c r="K7659" s="19" t="n">
        <v>0</v>
      </c>
      <c r="L7659" s="17"/>
    </row>
    <row r="7660" s="11" customFormat="true" ht="10.95" hidden="false" customHeight="true" outlineLevel="0" collapsed="false">
      <c r="A7660" s="16" t="n">
        <v>45230</v>
      </c>
      <c r="B7660" s="17" t="s">
        <v>3573</v>
      </c>
      <c r="C7660" s="17" t="s">
        <v>3556</v>
      </c>
      <c r="D7660" s="17"/>
      <c r="E7660" s="17" t="s">
        <v>1834</v>
      </c>
      <c r="F7660" s="17"/>
      <c r="G7660" s="18" t="n">
        <v>0</v>
      </c>
      <c r="H7660" s="18" t="n">
        <v>13.9</v>
      </c>
      <c r="I7660" s="18" t="n">
        <f aca="false">((I7659 + G7660) - H7660)</f>
        <v>-2624.12</v>
      </c>
      <c r="J7660" s="18" t="n">
        <v>0</v>
      </c>
      <c r="K7660" s="19" t="n">
        <v>0</v>
      </c>
      <c r="L7660" s="17"/>
    </row>
    <row r="7661" s="11" customFormat="true" ht="10.95" hidden="false" customHeight="true" outlineLevel="0" collapsed="false">
      <c r="A7661" s="16" t="n">
        <v>45230</v>
      </c>
      <c r="B7661" s="17" t="s">
        <v>3573</v>
      </c>
      <c r="C7661" s="17" t="s">
        <v>3556</v>
      </c>
      <c r="D7661" s="17"/>
      <c r="E7661" s="17" t="s">
        <v>1835</v>
      </c>
      <c r="F7661" s="17"/>
      <c r="G7661" s="18" t="n">
        <v>0</v>
      </c>
      <c r="H7661" s="18" t="n">
        <v>10.47</v>
      </c>
      <c r="I7661" s="18" t="n">
        <f aca="false">((I7660 + G7661) - H7661)</f>
        <v>-2634.59</v>
      </c>
      <c r="J7661" s="18" t="n">
        <v>0</v>
      </c>
      <c r="K7661" s="19" t="n">
        <v>0</v>
      </c>
      <c r="L7661" s="17"/>
    </row>
    <row r="7662" s="11" customFormat="true" ht="10.95" hidden="false" customHeight="true" outlineLevel="0" collapsed="false">
      <c r="A7662" s="16" t="n">
        <v>45260</v>
      </c>
      <c r="B7662" s="17" t="s">
        <v>3573</v>
      </c>
      <c r="C7662" s="17" t="s">
        <v>3556</v>
      </c>
      <c r="D7662" s="17"/>
      <c r="E7662" s="17" t="s">
        <v>1842</v>
      </c>
      <c r="F7662" s="17"/>
      <c r="G7662" s="18" t="n">
        <v>0</v>
      </c>
      <c r="H7662" s="18" t="n">
        <v>75.44</v>
      </c>
      <c r="I7662" s="18" t="n">
        <f aca="false">((I7661 + G7662) - H7662)</f>
        <v>-2710.03</v>
      </c>
      <c r="J7662" s="18" t="n">
        <v>0</v>
      </c>
      <c r="K7662" s="19" t="n">
        <v>0</v>
      </c>
      <c r="L7662" s="17"/>
    </row>
    <row r="7663" s="11" customFormat="true" ht="10.95" hidden="false" customHeight="true" outlineLevel="0" collapsed="false">
      <c r="A7663" s="16" t="n">
        <v>45260</v>
      </c>
      <c r="B7663" s="17" t="s">
        <v>3573</v>
      </c>
      <c r="C7663" s="17" t="s">
        <v>3556</v>
      </c>
      <c r="D7663" s="17"/>
      <c r="E7663" s="17" t="s">
        <v>1848</v>
      </c>
      <c r="F7663" s="17"/>
      <c r="G7663" s="18" t="n">
        <v>0</v>
      </c>
      <c r="H7663" s="18" t="n">
        <v>13.46</v>
      </c>
      <c r="I7663" s="18" t="n">
        <f aca="false">((I7662 + G7663) - H7663)</f>
        <v>-2723.49</v>
      </c>
      <c r="J7663" s="18" t="n">
        <v>0</v>
      </c>
      <c r="K7663" s="19" t="n">
        <v>0</v>
      </c>
      <c r="L7663" s="17"/>
    </row>
    <row r="7664" s="11" customFormat="true" ht="10.95" hidden="false" customHeight="true" outlineLevel="0" collapsed="false">
      <c r="A7664" s="16" t="n">
        <v>45260</v>
      </c>
      <c r="B7664" s="17" t="s">
        <v>3573</v>
      </c>
      <c r="C7664" s="17" t="s">
        <v>3556</v>
      </c>
      <c r="D7664" s="17"/>
      <c r="E7664" s="17" t="s">
        <v>1849</v>
      </c>
      <c r="F7664" s="17"/>
      <c r="G7664" s="18" t="n">
        <v>0</v>
      </c>
      <c r="H7664" s="18" t="n">
        <v>10.13</v>
      </c>
      <c r="I7664" s="18" t="n">
        <f aca="false">((I7663 + G7664) - H7664)</f>
        <v>-2733.62</v>
      </c>
      <c r="J7664" s="18" t="n">
        <v>0</v>
      </c>
      <c r="K7664" s="19" t="n">
        <v>0</v>
      </c>
      <c r="L7664" s="17"/>
    </row>
    <row r="7665" s="11" customFormat="true" ht="10.95" hidden="false" customHeight="true" outlineLevel="0" collapsed="false">
      <c r="A7665" s="16" t="n">
        <v>45260</v>
      </c>
      <c r="B7665" s="17" t="s">
        <v>3573</v>
      </c>
      <c r="C7665" s="17" t="s">
        <v>3556</v>
      </c>
      <c r="D7665" s="17"/>
      <c r="E7665" s="17" t="s">
        <v>1853</v>
      </c>
      <c r="F7665" s="17"/>
      <c r="G7665" s="18" t="n">
        <v>0</v>
      </c>
      <c r="H7665" s="18" t="n">
        <v>53.53</v>
      </c>
      <c r="I7665" s="18" t="n">
        <f aca="false">((I7664 + G7665) - H7665)</f>
        <v>-2787.15</v>
      </c>
      <c r="J7665" s="18" t="n">
        <v>0</v>
      </c>
      <c r="K7665" s="19" t="n">
        <v>0</v>
      </c>
      <c r="L7665" s="17"/>
    </row>
    <row r="7666" s="11" customFormat="true" ht="10.95" hidden="false" customHeight="true" outlineLevel="0" collapsed="false">
      <c r="A7666" s="16" t="n">
        <v>45291</v>
      </c>
      <c r="B7666" s="17" t="s">
        <v>3573</v>
      </c>
      <c r="C7666" s="17" t="s">
        <v>3556</v>
      </c>
      <c r="D7666" s="17"/>
      <c r="E7666" s="17" t="s">
        <v>1857</v>
      </c>
      <c r="F7666" s="17"/>
      <c r="G7666" s="18" t="n">
        <v>0</v>
      </c>
      <c r="H7666" s="18" t="n">
        <v>77.96</v>
      </c>
      <c r="I7666" s="18" t="n">
        <f aca="false">((I7665 + G7666) - H7666)</f>
        <v>-2865.11</v>
      </c>
      <c r="J7666" s="18" t="n">
        <v>0</v>
      </c>
      <c r="K7666" s="19" t="n">
        <v>0</v>
      </c>
      <c r="L7666" s="17"/>
    </row>
    <row r="7667" s="11" customFormat="true" ht="10.95" hidden="false" customHeight="true" outlineLevel="0" collapsed="false">
      <c r="A7667" s="16" t="n">
        <v>45291</v>
      </c>
      <c r="B7667" s="17" t="s">
        <v>3573</v>
      </c>
      <c r="C7667" s="17" t="s">
        <v>3556</v>
      </c>
      <c r="D7667" s="17"/>
      <c r="E7667" s="17" t="s">
        <v>1863</v>
      </c>
      <c r="F7667" s="17"/>
      <c r="G7667" s="18" t="n">
        <v>0</v>
      </c>
      <c r="H7667" s="18" t="n">
        <v>13.9</v>
      </c>
      <c r="I7667" s="18" t="n">
        <f aca="false">((I7666 + G7667) - H7667)</f>
        <v>-2879.01</v>
      </c>
      <c r="J7667" s="18" t="n">
        <v>0</v>
      </c>
      <c r="K7667" s="19" t="n">
        <v>0</v>
      </c>
      <c r="L7667" s="17"/>
    </row>
    <row r="7668" s="11" customFormat="true" ht="10.95" hidden="false" customHeight="true" outlineLevel="0" collapsed="false">
      <c r="A7668" s="16" t="n">
        <v>45291</v>
      </c>
      <c r="B7668" s="17" t="s">
        <v>3573</v>
      </c>
      <c r="C7668" s="17" t="s">
        <v>3556</v>
      </c>
      <c r="D7668" s="17"/>
      <c r="E7668" s="17" t="s">
        <v>1864</v>
      </c>
      <c r="F7668" s="17"/>
      <c r="G7668" s="18" t="n">
        <v>0</v>
      </c>
      <c r="H7668" s="18" t="n">
        <v>10.47</v>
      </c>
      <c r="I7668" s="18" t="n">
        <f aca="false">((I7667 + G7668) - H7668)</f>
        <v>-2889.48</v>
      </c>
      <c r="J7668" s="18" t="n">
        <v>0</v>
      </c>
      <c r="K7668" s="19" t="n">
        <v>0</v>
      </c>
      <c r="L7668" s="17"/>
    </row>
    <row r="7669" s="11" customFormat="true" ht="10.95" hidden="false" customHeight="true" outlineLevel="0" collapsed="false">
      <c r="A7669" s="16" t="n">
        <v>45291</v>
      </c>
      <c r="B7669" s="17" t="s">
        <v>3573</v>
      </c>
      <c r="C7669" s="17" t="s">
        <v>3556</v>
      </c>
      <c r="D7669" s="17"/>
      <c r="E7669" s="17" t="s">
        <v>1868</v>
      </c>
      <c r="F7669" s="17"/>
      <c r="G7669" s="18" t="n">
        <v>0</v>
      </c>
      <c r="H7669" s="18" t="n">
        <v>69.15</v>
      </c>
      <c r="I7669" s="18" t="n">
        <f aca="false">((I7668 + G7669) - H7669)</f>
        <v>-2958.63</v>
      </c>
      <c r="J7669" s="18" t="n">
        <v>0</v>
      </c>
      <c r="K7669" s="19" t="n">
        <v>0</v>
      </c>
      <c r="L7669" s="17"/>
    </row>
    <row r="7670" s="11" customFormat="true" ht="10.95" hidden="false" customHeight="true" outlineLevel="0" collapsed="false">
      <c r="A7670" s="16" t="n">
        <v>45322</v>
      </c>
      <c r="B7670" s="17" t="s">
        <v>3573</v>
      </c>
      <c r="C7670" s="17" t="s">
        <v>3556</v>
      </c>
      <c r="D7670" s="17"/>
      <c r="E7670" s="17" t="s">
        <v>1873</v>
      </c>
      <c r="F7670" s="17"/>
      <c r="G7670" s="18" t="n">
        <v>0</v>
      </c>
      <c r="H7670" s="18" t="n">
        <v>77.96</v>
      </c>
      <c r="I7670" s="18" t="n">
        <f aca="false">((I7669 + G7670) - H7670)</f>
        <v>-3036.59</v>
      </c>
      <c r="J7670" s="18" t="n">
        <v>0</v>
      </c>
      <c r="K7670" s="19" t="n">
        <v>0</v>
      </c>
      <c r="L7670" s="17"/>
    </row>
    <row r="7671" s="11" customFormat="true" ht="10.95" hidden="false" customHeight="true" outlineLevel="0" collapsed="false">
      <c r="A7671" s="16" t="n">
        <v>45322</v>
      </c>
      <c r="B7671" s="17" t="s">
        <v>3573</v>
      </c>
      <c r="C7671" s="17" t="s">
        <v>3556</v>
      </c>
      <c r="D7671" s="17"/>
      <c r="E7671" s="17" t="s">
        <v>1879</v>
      </c>
      <c r="F7671" s="17"/>
      <c r="G7671" s="18" t="n">
        <v>0</v>
      </c>
      <c r="H7671" s="18" t="n">
        <v>13.9</v>
      </c>
      <c r="I7671" s="18" t="n">
        <f aca="false">((I7670 + G7671) - H7671)</f>
        <v>-3050.49</v>
      </c>
      <c r="J7671" s="18" t="n">
        <v>0</v>
      </c>
      <c r="K7671" s="19" t="n">
        <v>0</v>
      </c>
      <c r="L7671" s="17"/>
    </row>
    <row r="7672" s="11" customFormat="true" ht="10.95" hidden="false" customHeight="true" outlineLevel="0" collapsed="false">
      <c r="A7672" s="16" t="n">
        <v>45322</v>
      </c>
      <c r="B7672" s="17" t="s">
        <v>3573</v>
      </c>
      <c r="C7672" s="17" t="s">
        <v>3556</v>
      </c>
      <c r="D7672" s="17"/>
      <c r="E7672" s="17" t="s">
        <v>1880</v>
      </c>
      <c r="F7672" s="17"/>
      <c r="G7672" s="18" t="n">
        <v>0</v>
      </c>
      <c r="H7672" s="18" t="n">
        <v>10.47</v>
      </c>
      <c r="I7672" s="18" t="n">
        <f aca="false">((I7671 + G7672) - H7672)</f>
        <v>-3060.96</v>
      </c>
      <c r="J7672" s="18" t="n">
        <v>0</v>
      </c>
      <c r="K7672" s="19" t="n">
        <v>0</v>
      </c>
      <c r="L7672" s="17"/>
    </row>
    <row r="7673" s="11" customFormat="true" ht="10.95" hidden="false" customHeight="true" outlineLevel="0" collapsed="false">
      <c r="A7673" s="16" t="n">
        <v>45322</v>
      </c>
      <c r="B7673" s="17" t="s">
        <v>3573</v>
      </c>
      <c r="C7673" s="17" t="s">
        <v>3556</v>
      </c>
      <c r="D7673" s="17"/>
      <c r="E7673" s="17" t="s">
        <v>1884</v>
      </c>
      <c r="F7673" s="17"/>
      <c r="G7673" s="18" t="n">
        <v>0</v>
      </c>
      <c r="H7673" s="18" t="n">
        <v>69.15</v>
      </c>
      <c r="I7673" s="18" t="n">
        <f aca="false">((I7672 + G7673) - H7673)</f>
        <v>-3130.11</v>
      </c>
      <c r="J7673" s="18" t="n">
        <v>0</v>
      </c>
      <c r="K7673" s="19" t="n">
        <v>0</v>
      </c>
      <c r="L7673" s="17"/>
    </row>
    <row r="7674" s="11" customFormat="true" ht="10.95" hidden="false" customHeight="true" outlineLevel="0" collapsed="false">
      <c r="A7674" s="16" t="n">
        <v>45351</v>
      </c>
      <c r="B7674" s="17" t="s">
        <v>3573</v>
      </c>
      <c r="C7674" s="17" t="s">
        <v>3556</v>
      </c>
      <c r="D7674" s="17"/>
      <c r="E7674" s="17" t="s">
        <v>1889</v>
      </c>
      <c r="F7674" s="17"/>
      <c r="G7674" s="18" t="n">
        <v>0</v>
      </c>
      <c r="H7674" s="18" t="n">
        <v>72.93</v>
      </c>
      <c r="I7674" s="18" t="n">
        <f aca="false">((I7673 + G7674) - H7674)</f>
        <v>-3203.04</v>
      </c>
      <c r="J7674" s="18" t="n">
        <v>0</v>
      </c>
      <c r="K7674" s="19" t="n">
        <v>0</v>
      </c>
      <c r="L7674" s="17"/>
    </row>
    <row r="7675" s="11" customFormat="true" ht="10.95" hidden="false" customHeight="true" outlineLevel="0" collapsed="false">
      <c r="A7675" s="16" t="n">
        <v>45351</v>
      </c>
      <c r="B7675" s="17" t="s">
        <v>3573</v>
      </c>
      <c r="C7675" s="17" t="s">
        <v>3556</v>
      </c>
      <c r="D7675" s="17"/>
      <c r="E7675" s="17" t="s">
        <v>1895</v>
      </c>
      <c r="F7675" s="17"/>
      <c r="G7675" s="18" t="n">
        <v>0</v>
      </c>
      <c r="H7675" s="18" t="n">
        <v>13.01</v>
      </c>
      <c r="I7675" s="18" t="n">
        <f aca="false">((I7674 + G7675) - H7675)</f>
        <v>-3216.05</v>
      </c>
      <c r="J7675" s="18" t="n">
        <v>0</v>
      </c>
      <c r="K7675" s="19" t="n">
        <v>0</v>
      </c>
      <c r="L7675" s="17"/>
    </row>
    <row r="7676" s="11" customFormat="true" ht="10.95" hidden="false" customHeight="true" outlineLevel="0" collapsed="false">
      <c r="A7676" s="16" t="n">
        <v>45351</v>
      </c>
      <c r="B7676" s="17" t="s">
        <v>3573</v>
      </c>
      <c r="C7676" s="17" t="s">
        <v>3556</v>
      </c>
      <c r="D7676" s="17"/>
      <c r="E7676" s="17" t="s">
        <v>1896</v>
      </c>
      <c r="F7676" s="17"/>
      <c r="G7676" s="18" t="n">
        <v>0</v>
      </c>
      <c r="H7676" s="18" t="n">
        <v>9.8</v>
      </c>
      <c r="I7676" s="18" t="n">
        <f aca="false">((I7675 + G7676) - H7676)</f>
        <v>-3225.85</v>
      </c>
      <c r="J7676" s="18" t="n">
        <v>0</v>
      </c>
      <c r="K7676" s="19" t="n">
        <v>0</v>
      </c>
      <c r="L7676" s="17"/>
    </row>
    <row r="7677" s="11" customFormat="true" ht="10.95" hidden="false" customHeight="true" outlineLevel="0" collapsed="false">
      <c r="A7677" s="16" t="n">
        <v>45351</v>
      </c>
      <c r="B7677" s="17" t="s">
        <v>3573</v>
      </c>
      <c r="C7677" s="17" t="s">
        <v>3556</v>
      </c>
      <c r="D7677" s="17"/>
      <c r="E7677" s="17" t="s">
        <v>1900</v>
      </c>
      <c r="F7677" s="17"/>
      <c r="G7677" s="18" t="n">
        <v>0</v>
      </c>
      <c r="H7677" s="18" t="n">
        <v>64.69</v>
      </c>
      <c r="I7677" s="18" t="n">
        <f aca="false">((I7676 + G7677) - H7677)</f>
        <v>-3290.54</v>
      </c>
      <c r="J7677" s="18" t="n">
        <v>0</v>
      </c>
      <c r="K7677" s="19" t="n">
        <v>0</v>
      </c>
      <c r="L7677" s="17"/>
    </row>
    <row r="7678" s="11" customFormat="true" ht="10.95" hidden="false" customHeight="true" outlineLevel="0" collapsed="false">
      <c r="A7678" s="16" t="n">
        <v>45351</v>
      </c>
      <c r="B7678" s="17" t="s">
        <v>3573</v>
      </c>
      <c r="C7678" s="17" t="s">
        <v>3556</v>
      </c>
      <c r="D7678" s="17"/>
      <c r="E7678" s="17" t="s">
        <v>1901</v>
      </c>
      <c r="F7678" s="17"/>
      <c r="G7678" s="18" t="n">
        <v>0</v>
      </c>
      <c r="H7678" s="18" t="n">
        <v>84.16</v>
      </c>
      <c r="I7678" s="18" t="n">
        <f aca="false">((I7677 + G7678) - H7678)</f>
        <v>-3374.7</v>
      </c>
      <c r="J7678" s="18" t="n">
        <v>0</v>
      </c>
      <c r="K7678" s="19" t="n">
        <v>0</v>
      </c>
      <c r="L7678" s="17"/>
    </row>
    <row r="7679" s="11" customFormat="true" ht="10.95" hidden="false" customHeight="true" outlineLevel="0" collapsed="false">
      <c r="A7679" s="16" t="n">
        <v>45382</v>
      </c>
      <c r="B7679" s="17" t="s">
        <v>3573</v>
      </c>
      <c r="C7679" s="17" t="s">
        <v>3556</v>
      </c>
      <c r="D7679" s="17"/>
      <c r="E7679" s="17" t="s">
        <v>1906</v>
      </c>
      <c r="F7679" s="17"/>
      <c r="G7679" s="18" t="n">
        <v>0</v>
      </c>
      <c r="H7679" s="18" t="n">
        <v>77.96</v>
      </c>
      <c r="I7679" s="18" t="n">
        <f aca="false">((I7678 + G7679) - H7679)</f>
        <v>-3452.66</v>
      </c>
      <c r="J7679" s="18" t="n">
        <v>0</v>
      </c>
      <c r="K7679" s="19" t="n">
        <v>0</v>
      </c>
      <c r="L7679" s="17"/>
    </row>
    <row r="7680" s="11" customFormat="true" ht="10.95" hidden="false" customHeight="true" outlineLevel="0" collapsed="false">
      <c r="A7680" s="16" t="n">
        <v>45382</v>
      </c>
      <c r="B7680" s="17" t="s">
        <v>3573</v>
      </c>
      <c r="C7680" s="17" t="s">
        <v>3556</v>
      </c>
      <c r="D7680" s="17"/>
      <c r="E7680" s="17" t="s">
        <v>1912</v>
      </c>
      <c r="F7680" s="17"/>
      <c r="G7680" s="18" t="n">
        <v>0</v>
      </c>
      <c r="H7680" s="18" t="n">
        <v>13.9</v>
      </c>
      <c r="I7680" s="18" t="n">
        <f aca="false">((I7679 + G7680) - H7680)</f>
        <v>-3466.56</v>
      </c>
      <c r="J7680" s="18" t="n">
        <v>0</v>
      </c>
      <c r="K7680" s="19" t="n">
        <v>0</v>
      </c>
      <c r="L7680" s="17"/>
    </row>
    <row r="7681" s="11" customFormat="true" ht="10.95" hidden="false" customHeight="true" outlineLevel="0" collapsed="false">
      <c r="A7681" s="16" t="n">
        <v>45382</v>
      </c>
      <c r="B7681" s="17" t="s">
        <v>3573</v>
      </c>
      <c r="C7681" s="17" t="s">
        <v>3556</v>
      </c>
      <c r="D7681" s="17"/>
      <c r="E7681" s="17" t="s">
        <v>1913</v>
      </c>
      <c r="F7681" s="17"/>
      <c r="G7681" s="18" t="n">
        <v>0</v>
      </c>
      <c r="H7681" s="18" t="n">
        <v>10.47</v>
      </c>
      <c r="I7681" s="18" t="n">
        <f aca="false">((I7680 + G7681) - H7681)</f>
        <v>-3477.03</v>
      </c>
      <c r="J7681" s="18" t="n">
        <v>0</v>
      </c>
      <c r="K7681" s="19" t="n">
        <v>0</v>
      </c>
      <c r="L7681" s="17"/>
    </row>
    <row r="7682" s="11" customFormat="true" ht="10.95" hidden="false" customHeight="true" outlineLevel="0" collapsed="false">
      <c r="A7682" s="16" t="n">
        <v>45382</v>
      </c>
      <c r="B7682" s="17" t="s">
        <v>3573</v>
      </c>
      <c r="C7682" s="17" t="s">
        <v>3556</v>
      </c>
      <c r="D7682" s="17"/>
      <c r="E7682" s="17" t="s">
        <v>1916</v>
      </c>
      <c r="F7682" s="17"/>
      <c r="G7682" s="18" t="n">
        <v>0</v>
      </c>
      <c r="H7682" s="18" t="n">
        <v>68.89</v>
      </c>
      <c r="I7682" s="18" t="n">
        <f aca="false">((I7681 + G7682) - H7682)</f>
        <v>-3545.92</v>
      </c>
      <c r="J7682" s="18" t="n">
        <v>0</v>
      </c>
      <c r="K7682" s="19" t="n">
        <v>0</v>
      </c>
      <c r="L7682" s="17"/>
    </row>
    <row r="7683" s="11" customFormat="true" ht="10.95" hidden="false" customHeight="true" outlineLevel="0" collapsed="false">
      <c r="A7683" s="16" t="n">
        <v>45382</v>
      </c>
      <c r="B7683" s="17" t="s">
        <v>3573</v>
      </c>
      <c r="C7683" s="17" t="s">
        <v>3556</v>
      </c>
      <c r="D7683" s="17"/>
      <c r="E7683" s="17" t="s">
        <v>1919</v>
      </c>
      <c r="F7683" s="17"/>
      <c r="G7683" s="18" t="n">
        <v>0</v>
      </c>
      <c r="H7683" s="18" t="n">
        <v>69.15</v>
      </c>
      <c r="I7683" s="18" t="n">
        <f aca="false">((I7682 + G7683) - H7683)</f>
        <v>-3615.07</v>
      </c>
      <c r="J7683" s="18" t="n">
        <v>0</v>
      </c>
      <c r="K7683" s="19" t="n">
        <v>0</v>
      </c>
      <c r="L7683" s="17"/>
    </row>
    <row r="7684" s="11" customFormat="true" ht="10.95" hidden="false" customHeight="true" outlineLevel="0" collapsed="false">
      <c r="A7684" s="16" t="n">
        <v>45382</v>
      </c>
      <c r="B7684" s="17" t="s">
        <v>3573</v>
      </c>
      <c r="C7684" s="17" t="s">
        <v>3556</v>
      </c>
      <c r="D7684" s="17"/>
      <c r="E7684" s="17" t="s">
        <v>1920</v>
      </c>
      <c r="F7684" s="17"/>
      <c r="G7684" s="18" t="n">
        <v>0</v>
      </c>
      <c r="H7684" s="18" t="n">
        <v>96.64</v>
      </c>
      <c r="I7684" s="18" t="n">
        <f aca="false">((I7683 + G7684) - H7684)</f>
        <v>-3711.71</v>
      </c>
      <c r="J7684" s="18" t="n">
        <v>0</v>
      </c>
      <c r="K7684" s="19" t="n">
        <v>0</v>
      </c>
      <c r="L7684" s="17"/>
    </row>
    <row r="7685" s="11" customFormat="true" ht="10.95" hidden="false" customHeight="true" outlineLevel="0" collapsed="false">
      <c r="A7685" s="16" t="n">
        <v>45412</v>
      </c>
      <c r="B7685" s="17" t="s">
        <v>3573</v>
      </c>
      <c r="C7685" s="17" t="s">
        <v>3556</v>
      </c>
      <c r="D7685" s="17"/>
      <c r="E7685" s="17" t="s">
        <v>1925</v>
      </c>
      <c r="F7685" s="17"/>
      <c r="G7685" s="18" t="n">
        <v>0</v>
      </c>
      <c r="H7685" s="18" t="n">
        <v>75.44</v>
      </c>
      <c r="I7685" s="18" t="n">
        <f aca="false">((I7684 + G7685) - H7685)</f>
        <v>-3787.15</v>
      </c>
      <c r="J7685" s="18" t="n">
        <v>0</v>
      </c>
      <c r="K7685" s="19" t="n">
        <v>0</v>
      </c>
      <c r="L7685" s="17"/>
    </row>
    <row r="7686" s="11" customFormat="true" ht="10.95" hidden="false" customHeight="true" outlineLevel="0" collapsed="false">
      <c r="A7686" s="16" t="n">
        <v>45412</v>
      </c>
      <c r="B7686" s="17" t="s">
        <v>3573</v>
      </c>
      <c r="C7686" s="17" t="s">
        <v>3556</v>
      </c>
      <c r="D7686" s="17"/>
      <c r="E7686" s="17" t="s">
        <v>1931</v>
      </c>
      <c r="F7686" s="17"/>
      <c r="G7686" s="18" t="n">
        <v>0</v>
      </c>
      <c r="H7686" s="18" t="n">
        <v>13.45</v>
      </c>
      <c r="I7686" s="18" t="n">
        <f aca="false">((I7685 + G7686) - H7686)</f>
        <v>-3800.6</v>
      </c>
      <c r="J7686" s="18" t="n">
        <v>0</v>
      </c>
      <c r="K7686" s="19" t="n">
        <v>0</v>
      </c>
      <c r="L7686" s="17"/>
    </row>
    <row r="7687" s="11" customFormat="true" ht="10.95" hidden="false" customHeight="true" outlineLevel="0" collapsed="false">
      <c r="A7687" s="16" t="n">
        <v>45412</v>
      </c>
      <c r="B7687" s="17" t="s">
        <v>3573</v>
      </c>
      <c r="C7687" s="17" t="s">
        <v>3556</v>
      </c>
      <c r="D7687" s="17"/>
      <c r="E7687" s="17" t="s">
        <v>1932</v>
      </c>
      <c r="F7687" s="17"/>
      <c r="G7687" s="18" t="n">
        <v>0</v>
      </c>
      <c r="H7687" s="18" t="n">
        <v>10.13</v>
      </c>
      <c r="I7687" s="18" t="n">
        <f aca="false">((I7686 + G7687) - H7687)</f>
        <v>-3810.73</v>
      </c>
      <c r="J7687" s="18" t="n">
        <v>0</v>
      </c>
      <c r="K7687" s="19" t="n">
        <v>0</v>
      </c>
      <c r="L7687" s="17"/>
    </row>
    <row r="7688" s="11" customFormat="true" ht="10.95" hidden="false" customHeight="true" outlineLevel="0" collapsed="false">
      <c r="A7688" s="16" t="n">
        <v>45412</v>
      </c>
      <c r="B7688" s="17" t="s">
        <v>3573</v>
      </c>
      <c r="C7688" s="17" t="s">
        <v>3556</v>
      </c>
      <c r="D7688" s="17"/>
      <c r="E7688" s="17" t="s">
        <v>1935</v>
      </c>
      <c r="F7688" s="17"/>
      <c r="G7688" s="18" t="n">
        <v>0</v>
      </c>
      <c r="H7688" s="18" t="n">
        <v>103.33</v>
      </c>
      <c r="I7688" s="18" t="n">
        <f aca="false">((I7687 + G7688) - H7688)</f>
        <v>-3914.06</v>
      </c>
      <c r="J7688" s="18" t="n">
        <v>0</v>
      </c>
      <c r="K7688" s="19" t="n">
        <v>0</v>
      </c>
      <c r="L7688" s="17"/>
    </row>
    <row r="7689" s="11" customFormat="true" ht="10.95" hidden="false" customHeight="true" outlineLevel="0" collapsed="false">
      <c r="A7689" s="16" t="n">
        <v>45412</v>
      </c>
      <c r="B7689" s="17" t="s">
        <v>3573</v>
      </c>
      <c r="C7689" s="17" t="s">
        <v>3556</v>
      </c>
      <c r="D7689" s="17"/>
      <c r="E7689" s="17" t="s">
        <v>1938</v>
      </c>
      <c r="F7689" s="17"/>
      <c r="G7689" s="18" t="n">
        <v>0</v>
      </c>
      <c r="H7689" s="18" t="n">
        <v>66.92</v>
      </c>
      <c r="I7689" s="18" t="n">
        <f aca="false">((I7688 + G7689) - H7689)</f>
        <v>-3980.98</v>
      </c>
      <c r="J7689" s="18" t="n">
        <v>0</v>
      </c>
      <c r="K7689" s="19" t="n">
        <v>0</v>
      </c>
      <c r="L7689" s="17"/>
    </row>
    <row r="7690" s="11" customFormat="true" ht="10.95" hidden="false" customHeight="true" outlineLevel="0" collapsed="false">
      <c r="A7690" s="16" t="n">
        <v>45412</v>
      </c>
      <c r="B7690" s="17" t="s">
        <v>3573</v>
      </c>
      <c r="C7690" s="17" t="s">
        <v>3556</v>
      </c>
      <c r="D7690" s="17"/>
      <c r="E7690" s="17" t="s">
        <v>1939</v>
      </c>
      <c r="F7690" s="17"/>
      <c r="G7690" s="18" t="n">
        <v>0</v>
      </c>
      <c r="H7690" s="18" t="n">
        <v>93.51</v>
      </c>
      <c r="I7690" s="18" t="n">
        <f aca="false">((I7689 + G7690) - H7690)</f>
        <v>-4074.49</v>
      </c>
      <c r="J7690" s="18" t="n">
        <v>0</v>
      </c>
      <c r="K7690" s="19" t="n">
        <v>0</v>
      </c>
      <c r="L7690" s="17"/>
    </row>
    <row r="7691" s="11" customFormat="true" ht="10.95" hidden="false" customHeight="true" outlineLevel="0" collapsed="false">
      <c r="A7691" s="16" t="n">
        <v>45443</v>
      </c>
      <c r="B7691" s="17" t="s">
        <v>3573</v>
      </c>
      <c r="C7691" s="17" t="s">
        <v>3556</v>
      </c>
      <c r="D7691" s="17"/>
      <c r="E7691" s="17" t="s">
        <v>1944</v>
      </c>
      <c r="F7691" s="17"/>
      <c r="G7691" s="18" t="n">
        <v>0</v>
      </c>
      <c r="H7691" s="18" t="n">
        <v>77.96</v>
      </c>
      <c r="I7691" s="18" t="n">
        <f aca="false">((I7690 + G7691) - H7691)</f>
        <v>-4152.45</v>
      </c>
      <c r="J7691" s="18" t="n">
        <v>0</v>
      </c>
      <c r="K7691" s="19" t="n">
        <v>0</v>
      </c>
      <c r="L7691" s="17"/>
    </row>
    <row r="7692" s="11" customFormat="true" ht="10.95" hidden="false" customHeight="true" outlineLevel="0" collapsed="false">
      <c r="A7692" s="16" t="n">
        <v>45443</v>
      </c>
      <c r="B7692" s="17" t="s">
        <v>3573</v>
      </c>
      <c r="C7692" s="17" t="s">
        <v>3556</v>
      </c>
      <c r="D7692" s="17"/>
      <c r="E7692" s="17" t="s">
        <v>1950</v>
      </c>
      <c r="F7692" s="17"/>
      <c r="G7692" s="18" t="n">
        <v>0</v>
      </c>
      <c r="H7692" s="18" t="n">
        <v>13.91</v>
      </c>
      <c r="I7692" s="18" t="n">
        <f aca="false">((I7691 + G7692) - H7692)</f>
        <v>-4166.36</v>
      </c>
      <c r="J7692" s="18" t="n">
        <v>0</v>
      </c>
      <c r="K7692" s="19" t="n">
        <v>0</v>
      </c>
      <c r="L7692" s="17"/>
    </row>
    <row r="7693" s="11" customFormat="true" ht="10.95" hidden="false" customHeight="true" outlineLevel="0" collapsed="false">
      <c r="A7693" s="16" t="n">
        <v>45443</v>
      </c>
      <c r="B7693" s="17" t="s">
        <v>3573</v>
      </c>
      <c r="C7693" s="17" t="s">
        <v>3556</v>
      </c>
      <c r="D7693" s="17"/>
      <c r="E7693" s="17" t="s">
        <v>1951</v>
      </c>
      <c r="F7693" s="17"/>
      <c r="G7693" s="18" t="n">
        <v>0</v>
      </c>
      <c r="H7693" s="18" t="n">
        <v>10.47</v>
      </c>
      <c r="I7693" s="18" t="n">
        <f aca="false">((I7692 + G7693) - H7693)</f>
        <v>-4176.83</v>
      </c>
      <c r="J7693" s="18" t="n">
        <v>0</v>
      </c>
      <c r="K7693" s="19" t="n">
        <v>0</v>
      </c>
      <c r="L7693" s="17"/>
    </row>
    <row r="7694" s="11" customFormat="true" ht="10.95" hidden="false" customHeight="true" outlineLevel="0" collapsed="false">
      <c r="A7694" s="16" t="n">
        <v>45443</v>
      </c>
      <c r="B7694" s="17" t="s">
        <v>3573</v>
      </c>
      <c r="C7694" s="17" t="s">
        <v>3556</v>
      </c>
      <c r="D7694" s="17"/>
      <c r="E7694" s="17" t="s">
        <v>1954</v>
      </c>
      <c r="F7694" s="17"/>
      <c r="G7694" s="18" t="n">
        <v>0</v>
      </c>
      <c r="H7694" s="18" t="n">
        <v>106.77</v>
      </c>
      <c r="I7694" s="18" t="n">
        <f aca="false">((I7693 + G7694) - H7694)</f>
        <v>-4283.6</v>
      </c>
      <c r="J7694" s="18" t="n">
        <v>0</v>
      </c>
      <c r="K7694" s="19" t="n">
        <v>0</v>
      </c>
      <c r="L7694" s="17"/>
    </row>
    <row r="7695" s="11" customFormat="true" ht="10.95" hidden="false" customHeight="true" outlineLevel="0" collapsed="false">
      <c r="A7695" s="16" t="n">
        <v>45443</v>
      </c>
      <c r="B7695" s="17" t="s">
        <v>3573</v>
      </c>
      <c r="C7695" s="17" t="s">
        <v>3556</v>
      </c>
      <c r="D7695" s="17"/>
      <c r="E7695" s="17" t="s">
        <v>1957</v>
      </c>
      <c r="F7695" s="17"/>
      <c r="G7695" s="18" t="n">
        <v>0</v>
      </c>
      <c r="H7695" s="18" t="n">
        <v>69.14</v>
      </c>
      <c r="I7695" s="18" t="n">
        <f aca="false">((I7694 + G7695) - H7695)</f>
        <v>-4352.74</v>
      </c>
      <c r="J7695" s="18" t="n">
        <v>0</v>
      </c>
      <c r="K7695" s="19" t="n">
        <v>0</v>
      </c>
      <c r="L7695" s="17"/>
    </row>
    <row r="7696" s="11" customFormat="true" ht="10.95" hidden="false" customHeight="true" outlineLevel="0" collapsed="false">
      <c r="A7696" s="16" t="n">
        <v>45443</v>
      </c>
      <c r="B7696" s="17" t="s">
        <v>3573</v>
      </c>
      <c r="C7696" s="17" t="s">
        <v>3556</v>
      </c>
      <c r="D7696" s="17"/>
      <c r="E7696" s="17" t="s">
        <v>1958</v>
      </c>
      <c r="F7696" s="17"/>
      <c r="G7696" s="18" t="n">
        <v>0</v>
      </c>
      <c r="H7696" s="18" t="n">
        <v>96.64</v>
      </c>
      <c r="I7696" s="18" t="n">
        <f aca="false">((I7695 + G7696) - H7696)</f>
        <v>-4449.38</v>
      </c>
      <c r="J7696" s="18" t="n">
        <v>0</v>
      </c>
      <c r="K7696" s="19" t="n">
        <v>0</v>
      </c>
      <c r="L7696" s="17"/>
    </row>
    <row r="7697" s="11" customFormat="true" ht="10.95" hidden="false" customHeight="true" outlineLevel="0" collapsed="false">
      <c r="A7697" s="16" t="n">
        <v>45473</v>
      </c>
      <c r="B7697" s="17" t="s">
        <v>3573</v>
      </c>
      <c r="C7697" s="17" t="s">
        <v>3556</v>
      </c>
      <c r="D7697" s="17"/>
      <c r="E7697" s="17" t="s">
        <v>1963</v>
      </c>
      <c r="F7697" s="17"/>
      <c r="G7697" s="18" t="n">
        <v>0</v>
      </c>
      <c r="H7697" s="18" t="n">
        <v>75.44</v>
      </c>
      <c r="I7697" s="18" t="n">
        <f aca="false">((I7696 + G7697) - H7697)</f>
        <v>-4524.82</v>
      </c>
      <c r="J7697" s="18" t="n">
        <v>0</v>
      </c>
      <c r="K7697" s="19" t="n">
        <v>0</v>
      </c>
      <c r="L7697" s="17"/>
    </row>
    <row r="7698" s="11" customFormat="true" ht="10.95" hidden="false" customHeight="true" outlineLevel="0" collapsed="false">
      <c r="A7698" s="16" t="n">
        <v>45473</v>
      </c>
      <c r="B7698" s="17" t="s">
        <v>3573</v>
      </c>
      <c r="C7698" s="17" t="s">
        <v>3556</v>
      </c>
      <c r="D7698" s="17"/>
      <c r="E7698" s="17" t="s">
        <v>1969</v>
      </c>
      <c r="F7698" s="17"/>
      <c r="G7698" s="18" t="n">
        <v>0</v>
      </c>
      <c r="H7698" s="18" t="n">
        <v>13.45</v>
      </c>
      <c r="I7698" s="18" t="n">
        <f aca="false">((I7697 + G7698) - H7698)</f>
        <v>-4538.27</v>
      </c>
      <c r="J7698" s="18" t="n">
        <v>0</v>
      </c>
      <c r="K7698" s="19" t="n">
        <v>0</v>
      </c>
      <c r="L7698" s="17"/>
    </row>
    <row r="7699" s="11" customFormat="true" ht="10.95" hidden="false" customHeight="true" outlineLevel="0" collapsed="false">
      <c r="A7699" s="16" t="n">
        <v>45473</v>
      </c>
      <c r="B7699" s="17" t="s">
        <v>3573</v>
      </c>
      <c r="C7699" s="17" t="s">
        <v>3556</v>
      </c>
      <c r="D7699" s="17"/>
      <c r="E7699" s="17" t="s">
        <v>1970</v>
      </c>
      <c r="F7699" s="17"/>
      <c r="G7699" s="18" t="n">
        <v>0</v>
      </c>
      <c r="H7699" s="18" t="n">
        <v>10.13</v>
      </c>
      <c r="I7699" s="18" t="n">
        <f aca="false">((I7698 + G7699) - H7699)</f>
        <v>-4548.4</v>
      </c>
      <c r="J7699" s="18" t="n">
        <v>0</v>
      </c>
      <c r="K7699" s="19" t="n">
        <v>0</v>
      </c>
      <c r="L7699" s="17"/>
    </row>
    <row r="7700" s="11" customFormat="true" ht="10.95" hidden="false" customHeight="true" outlineLevel="0" collapsed="false">
      <c r="A7700" s="16" t="n">
        <v>45473</v>
      </c>
      <c r="B7700" s="17" t="s">
        <v>3573</v>
      </c>
      <c r="C7700" s="17" t="s">
        <v>3556</v>
      </c>
      <c r="D7700" s="17"/>
      <c r="E7700" s="17" t="s">
        <v>1973</v>
      </c>
      <c r="F7700" s="17"/>
      <c r="G7700" s="18" t="n">
        <v>0</v>
      </c>
      <c r="H7700" s="18" t="n">
        <v>103.33</v>
      </c>
      <c r="I7700" s="18" t="n">
        <f aca="false">((I7699 + G7700) - H7700)</f>
        <v>-4651.73</v>
      </c>
      <c r="J7700" s="18" t="n">
        <v>0</v>
      </c>
      <c r="K7700" s="19" t="n">
        <v>0</v>
      </c>
      <c r="L7700" s="17"/>
    </row>
    <row r="7701" s="11" customFormat="true" ht="10.95" hidden="false" customHeight="true" outlineLevel="0" collapsed="false">
      <c r="A7701" s="16" t="n">
        <v>45473</v>
      </c>
      <c r="B7701" s="17" t="s">
        <v>3573</v>
      </c>
      <c r="C7701" s="17" t="s">
        <v>3556</v>
      </c>
      <c r="D7701" s="17"/>
      <c r="E7701" s="17" t="s">
        <v>1976</v>
      </c>
      <c r="F7701" s="17"/>
      <c r="G7701" s="18" t="n">
        <v>0</v>
      </c>
      <c r="H7701" s="18" t="n">
        <v>66.92</v>
      </c>
      <c r="I7701" s="18" t="n">
        <f aca="false">((I7700 + G7701) - H7701)</f>
        <v>-4718.65</v>
      </c>
      <c r="J7701" s="18" t="n">
        <v>0</v>
      </c>
      <c r="K7701" s="19" t="n">
        <v>0</v>
      </c>
      <c r="L7701" s="17"/>
    </row>
    <row r="7702" s="11" customFormat="true" ht="10.95" hidden="false" customHeight="true" outlineLevel="0" collapsed="false">
      <c r="A7702" s="16" t="n">
        <v>45473</v>
      </c>
      <c r="B7702" s="17" t="s">
        <v>3573</v>
      </c>
      <c r="C7702" s="17" t="s">
        <v>3556</v>
      </c>
      <c r="D7702" s="17"/>
      <c r="E7702" s="17" t="s">
        <v>1977</v>
      </c>
      <c r="F7702" s="17"/>
      <c r="G7702" s="18" t="n">
        <v>0</v>
      </c>
      <c r="H7702" s="18" t="n">
        <v>93.51</v>
      </c>
      <c r="I7702" s="18" t="n">
        <f aca="false">((I7701 + G7702) - H7702)</f>
        <v>-4812.16</v>
      </c>
      <c r="J7702" s="18" t="n">
        <v>0</v>
      </c>
      <c r="K7702" s="19" t="n">
        <v>0</v>
      </c>
      <c r="L7702" s="17"/>
    </row>
    <row r="7703" s="11" customFormat="true" ht="10.95" hidden="false" customHeight="true" outlineLevel="0" collapsed="false">
      <c r="A7703" s="16" t="n">
        <v>45473</v>
      </c>
      <c r="B7703" s="17" t="s">
        <v>3573</v>
      </c>
      <c r="C7703" s="17" t="s">
        <v>3556</v>
      </c>
      <c r="D7703" s="17"/>
      <c r="E7703" s="17" t="s">
        <v>1978</v>
      </c>
      <c r="F7703" s="17"/>
      <c r="G7703" s="18" t="n">
        <v>0</v>
      </c>
      <c r="H7703" s="18" t="n">
        <v>9.71</v>
      </c>
      <c r="I7703" s="18" t="n">
        <f aca="false">((I7702 + G7703) - H7703)</f>
        <v>-4821.87</v>
      </c>
      <c r="J7703" s="18" t="n">
        <v>0</v>
      </c>
      <c r="K7703" s="19" t="n">
        <v>0</v>
      </c>
      <c r="L7703" s="17"/>
    </row>
    <row r="7704" s="11" customFormat="true" ht="10.95" hidden="false" customHeight="true" outlineLevel="0" collapsed="false">
      <c r="A7704" s="21" t="s">
        <v>3574</v>
      </c>
      <c r="B7704" s="21"/>
      <c r="C7704" s="21"/>
      <c r="D7704" s="21"/>
      <c r="E7704" s="21"/>
      <c r="F7704" s="21"/>
      <c r="G7704" s="22" t="n">
        <f aca="false">SUM(G7650:G7703)</f>
        <v>0</v>
      </c>
      <c r="H7704" s="22" t="n">
        <f aca="false">SUM(H7650:H7703)</f>
        <v>2593.3</v>
      </c>
      <c r="I7704" s="22" t="n">
        <f aca="false">I7703</f>
        <v>-4821.87</v>
      </c>
      <c r="J7704" s="22" t="n">
        <f aca="false">SUM(J7650:J7703)</f>
        <v>0</v>
      </c>
      <c r="K7704" s="21"/>
      <c r="L7704" s="21"/>
    </row>
    <row r="7705" s="11" customFormat="true" ht="10.95" hidden="false" customHeight="true" outlineLevel="0" collapsed="false">
      <c r="A7705" s="21" t="s">
        <v>784</v>
      </c>
      <c r="B7705" s="21"/>
      <c r="C7705" s="21"/>
      <c r="D7705" s="21"/>
      <c r="E7705" s="21"/>
      <c r="F7705" s="21"/>
      <c r="G7705" s="22" t="n">
        <v>0</v>
      </c>
      <c r="H7705" s="22" t="n">
        <v>2593.3</v>
      </c>
      <c r="I7705" s="22" t="n">
        <v>0</v>
      </c>
      <c r="J7705" s="22" t="n">
        <v>0</v>
      </c>
      <c r="K7705" s="21"/>
      <c r="L7705" s="21"/>
    </row>
    <row r="7706" s="11" customFormat="true" ht="10.95" hidden="false" customHeight="true" outlineLevel="0" collapsed="false">
      <c r="A7706" s="9" t="s">
        <v>785</v>
      </c>
      <c r="B7706" s="9"/>
      <c r="C7706" s="9"/>
      <c r="D7706" s="9"/>
      <c r="E7706" s="9"/>
      <c r="F7706" s="9"/>
      <c r="G7706" s="10" t="n">
        <v>0</v>
      </c>
      <c r="H7706" s="10" t="n">
        <v>4821.87</v>
      </c>
      <c r="I7706" s="10" t="n">
        <f aca="false">I7703</f>
        <v>-4821.87</v>
      </c>
      <c r="J7706" s="10" t="n">
        <v>0</v>
      </c>
      <c r="K7706" s="9"/>
      <c r="L7706" s="9"/>
    </row>
    <row r="7707" customFormat="false" ht="13.35" hidden="false" customHeight="true" outlineLevel="0" collapsed="false"/>
    <row r="7708" s="7" customFormat="true" ht="12.1" hidden="false" customHeight="true" outlineLevel="0" collapsed="false">
      <c r="A7708" s="8" t="s">
        <v>3575</v>
      </c>
      <c r="B7708" s="8"/>
      <c r="C7708" s="8"/>
      <c r="D7708" s="8"/>
      <c r="E7708" s="8"/>
      <c r="F7708" s="8"/>
      <c r="G7708" s="8"/>
      <c r="H7708" s="8"/>
      <c r="I7708" s="8"/>
      <c r="J7708" s="8"/>
      <c r="K7708" s="8"/>
      <c r="L7708" s="8"/>
    </row>
    <row r="7709" s="11" customFormat="true" ht="10.95" hidden="false" customHeight="true" outlineLevel="0" collapsed="false">
      <c r="A7709" s="9" t="s">
        <v>16</v>
      </c>
      <c r="B7709" s="9"/>
      <c r="C7709" s="9"/>
      <c r="D7709" s="9"/>
      <c r="E7709" s="9"/>
      <c r="F7709" s="9"/>
      <c r="G7709" s="10" t="n">
        <v>309348.32</v>
      </c>
      <c r="H7709" s="10" t="n">
        <v>0</v>
      </c>
      <c r="I7709" s="10" t="n">
        <f aca="false">(G7709 - H7709)</f>
        <v>309348.32</v>
      </c>
      <c r="J7709" s="10" t="n">
        <v>0</v>
      </c>
      <c r="K7709" s="9"/>
      <c r="L7709" s="9"/>
    </row>
    <row r="7710" s="11" customFormat="true" ht="10.95" hidden="false" customHeight="true" outlineLevel="0" collapsed="false">
      <c r="A7710" s="12" t="n">
        <v>45110</v>
      </c>
      <c r="B7710" s="13" t="s">
        <v>3576</v>
      </c>
      <c r="C7710" s="13" t="s">
        <v>3556</v>
      </c>
      <c r="D7710" s="13" t="s">
        <v>1391</v>
      </c>
      <c r="E7710" s="13" t="s">
        <v>3577</v>
      </c>
      <c r="F7710" s="13" t="s">
        <v>2905</v>
      </c>
      <c r="G7710" s="14" t="n">
        <v>450.28</v>
      </c>
      <c r="H7710" s="14" t="n">
        <v>0</v>
      </c>
      <c r="I7710" s="14" t="n">
        <f aca="false">((I7709 + G7710) - H7710)</f>
        <v>309798.6</v>
      </c>
      <c r="J7710" s="14" t="n">
        <v>0</v>
      </c>
      <c r="K7710" s="15" t="n">
        <v>0</v>
      </c>
      <c r="L7710" s="13" t="s">
        <v>1406</v>
      </c>
    </row>
    <row r="7711" s="11" customFormat="true" ht="10.95" hidden="false" customHeight="true" outlineLevel="0" collapsed="false">
      <c r="A7711" s="16" t="n">
        <v>45156</v>
      </c>
      <c r="B7711" s="17" t="s">
        <v>3576</v>
      </c>
      <c r="C7711" s="17" t="s">
        <v>3556</v>
      </c>
      <c r="D7711" s="17" t="s">
        <v>1391</v>
      </c>
      <c r="E7711" s="17" t="s">
        <v>3578</v>
      </c>
      <c r="F7711" s="17" t="s">
        <v>3579</v>
      </c>
      <c r="G7711" s="18" t="n">
        <v>28.28</v>
      </c>
      <c r="H7711" s="18" t="n">
        <v>0</v>
      </c>
      <c r="I7711" s="18" t="n">
        <f aca="false">((I7710 + G7711) - H7711)</f>
        <v>309826.88</v>
      </c>
      <c r="J7711" s="18" t="n">
        <v>2.83</v>
      </c>
      <c r="K7711" s="19" t="n">
        <v>10</v>
      </c>
      <c r="L7711" s="17" t="s">
        <v>44</v>
      </c>
    </row>
    <row r="7712" s="11" customFormat="true" ht="10.95" hidden="false" customHeight="true" outlineLevel="0" collapsed="false">
      <c r="A7712" s="16" t="n">
        <v>45180</v>
      </c>
      <c r="B7712" s="17" t="s">
        <v>3576</v>
      </c>
      <c r="C7712" s="17" t="s">
        <v>3556</v>
      </c>
      <c r="D7712" s="17" t="s">
        <v>1391</v>
      </c>
      <c r="E7712" s="17" t="s">
        <v>3580</v>
      </c>
      <c r="F7712" s="17" t="s">
        <v>3581</v>
      </c>
      <c r="G7712" s="18" t="n">
        <v>1011.1</v>
      </c>
      <c r="H7712" s="18" t="n">
        <v>0</v>
      </c>
      <c r="I7712" s="18" t="n">
        <f aca="false">((I7711 + G7712) - H7712)</f>
        <v>310837.98</v>
      </c>
      <c r="J7712" s="18" t="n">
        <v>101.11</v>
      </c>
      <c r="K7712" s="19" t="n">
        <v>10</v>
      </c>
      <c r="L7712" s="17" t="s">
        <v>44</v>
      </c>
    </row>
    <row r="7713" s="11" customFormat="true" ht="10.95" hidden="false" customHeight="true" outlineLevel="0" collapsed="false">
      <c r="A7713" s="16" t="n">
        <v>45185</v>
      </c>
      <c r="B7713" s="17" t="s">
        <v>3576</v>
      </c>
      <c r="C7713" s="17" t="s">
        <v>3556</v>
      </c>
      <c r="D7713" s="17" t="s">
        <v>1391</v>
      </c>
      <c r="E7713" s="17" t="s">
        <v>3582</v>
      </c>
      <c r="F7713" s="17" t="s">
        <v>3583</v>
      </c>
      <c r="G7713" s="18" t="n">
        <v>226.36</v>
      </c>
      <c r="H7713" s="18" t="n">
        <v>0</v>
      </c>
      <c r="I7713" s="18" t="n">
        <f aca="false">((I7712 + G7713) - H7713)</f>
        <v>311064.34</v>
      </c>
      <c r="J7713" s="18" t="n">
        <v>22.64</v>
      </c>
      <c r="K7713" s="19" t="n">
        <v>10</v>
      </c>
      <c r="L7713" s="17" t="s">
        <v>44</v>
      </c>
    </row>
    <row r="7714" s="11" customFormat="true" ht="10.95" hidden="false" customHeight="true" outlineLevel="0" collapsed="false">
      <c r="A7714" s="16" t="n">
        <v>45199</v>
      </c>
      <c r="B7714" s="17" t="s">
        <v>3576</v>
      </c>
      <c r="C7714" s="17" t="s">
        <v>3556</v>
      </c>
      <c r="D7714" s="17" t="s">
        <v>1391</v>
      </c>
      <c r="E7714" s="17" t="s">
        <v>3584</v>
      </c>
      <c r="F7714" s="17" t="s">
        <v>2961</v>
      </c>
      <c r="G7714" s="18" t="n">
        <v>466.34</v>
      </c>
      <c r="H7714" s="18" t="n">
        <v>0</v>
      </c>
      <c r="I7714" s="18" t="n">
        <f aca="false">((I7713 + G7714) - H7714)</f>
        <v>311530.68</v>
      </c>
      <c r="J7714" s="18" t="n">
        <v>0</v>
      </c>
      <c r="K7714" s="19" t="n">
        <v>0</v>
      </c>
      <c r="L7714" s="17" t="s">
        <v>1406</v>
      </c>
    </row>
    <row r="7715" s="11" customFormat="true" ht="10.95" hidden="false" customHeight="true" outlineLevel="0" collapsed="false">
      <c r="A7715" s="16" t="n">
        <v>45207</v>
      </c>
      <c r="B7715" s="17" t="s">
        <v>3576</v>
      </c>
      <c r="C7715" s="17" t="s">
        <v>3556</v>
      </c>
      <c r="D7715" s="17" t="s">
        <v>1391</v>
      </c>
      <c r="E7715" s="17" t="s">
        <v>3585</v>
      </c>
      <c r="F7715" s="17" t="s">
        <v>3586</v>
      </c>
      <c r="G7715" s="18" t="n">
        <v>2750</v>
      </c>
      <c r="H7715" s="18" t="n">
        <v>0</v>
      </c>
      <c r="I7715" s="18" t="n">
        <f aca="false">((I7714 + G7715) - H7715)</f>
        <v>314280.68</v>
      </c>
      <c r="J7715" s="18" t="n">
        <v>275</v>
      </c>
      <c r="K7715" s="19" t="n">
        <v>10</v>
      </c>
      <c r="L7715" s="17" t="s">
        <v>44</v>
      </c>
    </row>
    <row r="7716" s="11" customFormat="true" ht="10.95" hidden="false" customHeight="true" outlineLevel="0" collapsed="false">
      <c r="A7716" s="16" t="n">
        <v>45237</v>
      </c>
      <c r="B7716" s="17" t="s">
        <v>3576</v>
      </c>
      <c r="C7716" s="17" t="s">
        <v>3556</v>
      </c>
      <c r="D7716" s="17" t="s">
        <v>1391</v>
      </c>
      <c r="E7716" s="17" t="s">
        <v>3587</v>
      </c>
      <c r="F7716" s="17" t="s">
        <v>3588</v>
      </c>
      <c r="G7716" s="18" t="n">
        <v>2041</v>
      </c>
      <c r="H7716" s="18" t="n">
        <v>0</v>
      </c>
      <c r="I7716" s="18" t="n">
        <f aca="false">((I7715 + G7716) - H7716)</f>
        <v>316321.68</v>
      </c>
      <c r="J7716" s="18" t="n">
        <v>204.1</v>
      </c>
      <c r="K7716" s="19" t="n">
        <v>10</v>
      </c>
      <c r="L7716" s="17" t="s">
        <v>44</v>
      </c>
    </row>
    <row r="7717" s="11" customFormat="true" ht="10.95" hidden="false" customHeight="true" outlineLevel="0" collapsed="false">
      <c r="A7717" s="16" t="n">
        <v>45240</v>
      </c>
      <c r="B7717" s="17" t="s">
        <v>3576</v>
      </c>
      <c r="C7717" s="17" t="s">
        <v>3556</v>
      </c>
      <c r="D7717" s="17" t="s">
        <v>1391</v>
      </c>
      <c r="E7717" s="17" t="s">
        <v>3589</v>
      </c>
      <c r="F7717" s="17" t="s">
        <v>3590</v>
      </c>
      <c r="G7717" s="18" t="n">
        <v>572</v>
      </c>
      <c r="H7717" s="18" t="n">
        <v>0</v>
      </c>
      <c r="I7717" s="18" t="n">
        <f aca="false">((I7716 + G7717) - H7717)</f>
        <v>316893.68</v>
      </c>
      <c r="J7717" s="18" t="n">
        <v>57.2</v>
      </c>
      <c r="K7717" s="19" t="n">
        <v>10</v>
      </c>
      <c r="L7717" s="17" t="s">
        <v>44</v>
      </c>
    </row>
    <row r="7718" s="11" customFormat="true" ht="10.95" hidden="false" customHeight="true" outlineLevel="0" collapsed="false">
      <c r="A7718" s="16" t="n">
        <v>45248</v>
      </c>
      <c r="B7718" s="17" t="s">
        <v>3576</v>
      </c>
      <c r="C7718" s="17" t="s">
        <v>3556</v>
      </c>
      <c r="D7718" s="17" t="s">
        <v>1407</v>
      </c>
      <c r="E7718" s="17" t="s">
        <v>3591</v>
      </c>
      <c r="F7718" s="17"/>
      <c r="G7718" s="18" t="n">
        <v>55.38</v>
      </c>
      <c r="H7718" s="18" t="n">
        <v>0</v>
      </c>
      <c r="I7718" s="18" t="n">
        <f aca="false">((I7717 + G7718) - H7718)</f>
        <v>316949.06</v>
      </c>
      <c r="J7718" s="18" t="n">
        <v>5.54</v>
      </c>
      <c r="K7718" s="19" t="n">
        <v>10</v>
      </c>
      <c r="L7718" s="17" t="s">
        <v>44</v>
      </c>
    </row>
    <row r="7719" s="11" customFormat="true" ht="10.95" hidden="false" customHeight="true" outlineLevel="0" collapsed="false">
      <c r="A7719" s="16" t="n">
        <v>45252</v>
      </c>
      <c r="B7719" s="17" t="s">
        <v>3576</v>
      </c>
      <c r="C7719" s="17" t="s">
        <v>3556</v>
      </c>
      <c r="D7719" s="17" t="s">
        <v>1407</v>
      </c>
      <c r="E7719" s="17" t="s">
        <v>3592</v>
      </c>
      <c r="F7719" s="17"/>
      <c r="G7719" s="18" t="n">
        <v>273.59</v>
      </c>
      <c r="H7719" s="18" t="n">
        <v>0</v>
      </c>
      <c r="I7719" s="18" t="n">
        <f aca="false">((I7718 + G7719) - H7719)</f>
        <v>317222.65</v>
      </c>
      <c r="J7719" s="18" t="n">
        <v>27.36</v>
      </c>
      <c r="K7719" s="19" t="n">
        <v>10</v>
      </c>
      <c r="L7719" s="17" t="s">
        <v>44</v>
      </c>
    </row>
    <row r="7720" s="11" customFormat="true" ht="10.95" hidden="false" customHeight="true" outlineLevel="0" collapsed="false">
      <c r="A7720" s="16" t="n">
        <v>45263</v>
      </c>
      <c r="B7720" s="17" t="s">
        <v>3576</v>
      </c>
      <c r="C7720" s="17" t="s">
        <v>3556</v>
      </c>
      <c r="D7720" s="17" t="s">
        <v>1391</v>
      </c>
      <c r="E7720" s="17" t="s">
        <v>3593</v>
      </c>
      <c r="F7720" s="17" t="s">
        <v>3594</v>
      </c>
      <c r="G7720" s="18" t="n">
        <v>15970.91</v>
      </c>
      <c r="H7720" s="18" t="n">
        <v>0</v>
      </c>
      <c r="I7720" s="18" t="n">
        <f aca="false">((I7719 + G7720) - H7720)</f>
        <v>333193.56</v>
      </c>
      <c r="J7720" s="18" t="n">
        <v>1597.09</v>
      </c>
      <c r="K7720" s="19" t="n">
        <v>10</v>
      </c>
      <c r="L7720" s="17" t="s">
        <v>44</v>
      </c>
    </row>
    <row r="7721" s="11" customFormat="true" ht="10.95" hidden="false" customHeight="true" outlineLevel="0" collapsed="false">
      <c r="A7721" s="16" t="n">
        <v>45277</v>
      </c>
      <c r="B7721" s="17" t="s">
        <v>3576</v>
      </c>
      <c r="C7721" s="17" t="s">
        <v>3556</v>
      </c>
      <c r="D7721" s="17" t="s">
        <v>1407</v>
      </c>
      <c r="E7721" s="17" t="s">
        <v>3595</v>
      </c>
      <c r="F7721" s="17"/>
      <c r="G7721" s="18" t="n">
        <v>45.41</v>
      </c>
      <c r="H7721" s="18" t="n">
        <v>0</v>
      </c>
      <c r="I7721" s="18" t="n">
        <f aca="false">((I7720 + G7721) - H7721)</f>
        <v>333238.97</v>
      </c>
      <c r="J7721" s="18" t="n">
        <v>4.54</v>
      </c>
      <c r="K7721" s="19" t="n">
        <v>10</v>
      </c>
      <c r="L7721" s="17" t="s">
        <v>44</v>
      </c>
    </row>
    <row r="7722" s="11" customFormat="true" ht="10.95" hidden="false" customHeight="true" outlineLevel="0" collapsed="false">
      <c r="A7722" s="16" t="n">
        <v>45281</v>
      </c>
      <c r="B7722" s="17" t="s">
        <v>3576</v>
      </c>
      <c r="C7722" s="17" t="s">
        <v>3556</v>
      </c>
      <c r="D7722" s="17" t="s">
        <v>1391</v>
      </c>
      <c r="E7722" s="17" t="s">
        <v>3596</v>
      </c>
      <c r="F7722" s="17" t="s">
        <v>3597</v>
      </c>
      <c r="G7722" s="18" t="n">
        <v>5683.4</v>
      </c>
      <c r="H7722" s="18" t="n">
        <v>0</v>
      </c>
      <c r="I7722" s="18" t="n">
        <f aca="false">((I7721 + G7722) - H7722)</f>
        <v>338922.37</v>
      </c>
      <c r="J7722" s="18" t="n">
        <v>568.34</v>
      </c>
      <c r="K7722" s="19" t="n">
        <v>10</v>
      </c>
      <c r="L7722" s="17" t="s">
        <v>44</v>
      </c>
    </row>
    <row r="7723" s="11" customFormat="true" ht="10.95" hidden="false" customHeight="true" outlineLevel="0" collapsed="false">
      <c r="A7723" s="16" t="n">
        <v>45321</v>
      </c>
      <c r="B7723" s="17" t="s">
        <v>3576</v>
      </c>
      <c r="C7723" s="17" t="s">
        <v>3556</v>
      </c>
      <c r="D7723" s="17" t="s">
        <v>1391</v>
      </c>
      <c r="E7723" s="17" t="s">
        <v>3598</v>
      </c>
      <c r="F7723" s="17" t="s">
        <v>3041</v>
      </c>
      <c r="G7723" s="18" t="n">
        <v>758.15</v>
      </c>
      <c r="H7723" s="18" t="n">
        <v>0</v>
      </c>
      <c r="I7723" s="18" t="n">
        <f aca="false">((I7722 + G7723) - H7723)</f>
        <v>339680.52</v>
      </c>
      <c r="J7723" s="18" t="n">
        <v>0</v>
      </c>
      <c r="K7723" s="19" t="n">
        <v>0</v>
      </c>
      <c r="L7723" s="17" t="s">
        <v>1406</v>
      </c>
    </row>
    <row r="7724" s="11" customFormat="true" ht="10.95" hidden="false" customHeight="true" outlineLevel="0" collapsed="false">
      <c r="A7724" s="16" t="n">
        <v>45325</v>
      </c>
      <c r="B7724" s="17" t="s">
        <v>3576</v>
      </c>
      <c r="C7724" s="17" t="s">
        <v>3556</v>
      </c>
      <c r="D7724" s="17" t="s">
        <v>1407</v>
      </c>
      <c r="E7724" s="17" t="s">
        <v>3599</v>
      </c>
      <c r="F7724" s="17"/>
      <c r="G7724" s="18" t="n">
        <v>1140.9</v>
      </c>
      <c r="H7724" s="18" t="n">
        <v>0</v>
      </c>
      <c r="I7724" s="18" t="n">
        <f aca="false">((I7723 + G7724) - H7724)</f>
        <v>340821.42</v>
      </c>
      <c r="J7724" s="18" t="n">
        <v>114.09</v>
      </c>
      <c r="K7724" s="19" t="n">
        <v>10</v>
      </c>
      <c r="L7724" s="17" t="s">
        <v>44</v>
      </c>
    </row>
    <row r="7725" s="11" customFormat="true" ht="135.15" hidden="false" customHeight="true" outlineLevel="0" collapsed="false">
      <c r="A7725" s="16" t="n">
        <v>45374</v>
      </c>
      <c r="B7725" s="17" t="s">
        <v>3576</v>
      </c>
      <c r="C7725" s="17" t="s">
        <v>3556</v>
      </c>
      <c r="D7725" s="17" t="s">
        <v>1391</v>
      </c>
      <c r="E7725" s="20" t="s">
        <v>3600</v>
      </c>
      <c r="F7725" s="17" t="s">
        <v>3601</v>
      </c>
      <c r="G7725" s="18" t="n">
        <v>1331.05</v>
      </c>
      <c r="H7725" s="18" t="n">
        <v>0</v>
      </c>
      <c r="I7725" s="18" t="n">
        <f aca="false">((I7724 + G7725) - H7725)</f>
        <v>342152.47</v>
      </c>
      <c r="J7725" s="18" t="n">
        <v>133.1</v>
      </c>
      <c r="K7725" s="19" t="n">
        <v>10</v>
      </c>
      <c r="L7725" s="17" t="s">
        <v>44</v>
      </c>
    </row>
    <row r="7726" s="11" customFormat="true" ht="10.95" hidden="false" customHeight="true" outlineLevel="0" collapsed="false">
      <c r="A7726" s="16" t="n">
        <v>45376</v>
      </c>
      <c r="B7726" s="17" t="s">
        <v>3576</v>
      </c>
      <c r="C7726" s="17" t="s">
        <v>3556</v>
      </c>
      <c r="D7726" s="17" t="s">
        <v>1391</v>
      </c>
      <c r="E7726" s="17" t="s">
        <v>3602</v>
      </c>
      <c r="F7726" s="17" t="s">
        <v>3603</v>
      </c>
      <c r="G7726" s="18" t="n">
        <v>98.17</v>
      </c>
      <c r="H7726" s="18" t="n">
        <v>0</v>
      </c>
      <c r="I7726" s="18" t="n">
        <f aca="false">((I7725 + G7726) - H7726)</f>
        <v>342250.64</v>
      </c>
      <c r="J7726" s="18" t="n">
        <v>9.82</v>
      </c>
      <c r="K7726" s="19" t="n">
        <v>10</v>
      </c>
      <c r="L7726" s="17" t="s">
        <v>44</v>
      </c>
    </row>
    <row r="7727" s="11" customFormat="true" ht="10.95" hidden="false" customHeight="true" outlineLevel="0" collapsed="false">
      <c r="A7727" s="16" t="n">
        <v>45451</v>
      </c>
      <c r="B7727" s="17" t="s">
        <v>3576</v>
      </c>
      <c r="C7727" s="17" t="s">
        <v>3556</v>
      </c>
      <c r="D7727" s="17" t="s">
        <v>1391</v>
      </c>
      <c r="E7727" s="17" t="s">
        <v>3604</v>
      </c>
      <c r="F7727" s="17" t="s">
        <v>3605</v>
      </c>
      <c r="G7727" s="18" t="n">
        <v>2416.36</v>
      </c>
      <c r="H7727" s="18" t="n">
        <v>0</v>
      </c>
      <c r="I7727" s="18" t="n">
        <f aca="false">((I7726 + G7727) - H7727)</f>
        <v>344667</v>
      </c>
      <c r="J7727" s="18" t="n">
        <v>241.64</v>
      </c>
      <c r="K7727" s="19" t="n">
        <v>10</v>
      </c>
      <c r="L7727" s="17" t="s">
        <v>44</v>
      </c>
    </row>
    <row r="7728" s="11" customFormat="true" ht="10.95" hidden="false" customHeight="true" outlineLevel="0" collapsed="false">
      <c r="A7728" s="16" t="n">
        <v>45468</v>
      </c>
      <c r="B7728" s="17" t="s">
        <v>3576</v>
      </c>
      <c r="C7728" s="17" t="s">
        <v>3556</v>
      </c>
      <c r="D7728" s="17" t="s">
        <v>1407</v>
      </c>
      <c r="E7728" s="17" t="s">
        <v>3606</v>
      </c>
      <c r="F7728" s="17"/>
      <c r="G7728" s="18" t="n">
        <v>31.82</v>
      </c>
      <c r="H7728" s="18" t="n">
        <v>0</v>
      </c>
      <c r="I7728" s="18" t="n">
        <f aca="false">((I7727 + G7728) - H7728)</f>
        <v>344698.82</v>
      </c>
      <c r="J7728" s="18" t="n">
        <v>3.18</v>
      </c>
      <c r="K7728" s="19" t="n">
        <v>10</v>
      </c>
      <c r="L7728" s="17" t="s">
        <v>44</v>
      </c>
    </row>
    <row r="7729" s="11" customFormat="true" ht="10.95" hidden="false" customHeight="true" outlineLevel="0" collapsed="false">
      <c r="A7729" s="16" t="n">
        <v>45469</v>
      </c>
      <c r="B7729" s="17" t="s">
        <v>3576</v>
      </c>
      <c r="C7729" s="17" t="s">
        <v>3556</v>
      </c>
      <c r="D7729" s="17" t="s">
        <v>1407</v>
      </c>
      <c r="E7729" s="17" t="s">
        <v>3607</v>
      </c>
      <c r="F7729" s="17"/>
      <c r="G7729" s="18" t="n">
        <v>495.25</v>
      </c>
      <c r="H7729" s="18" t="n">
        <v>0</v>
      </c>
      <c r="I7729" s="18" t="n">
        <f aca="false">((I7728 + G7729) - H7729)</f>
        <v>345194.07</v>
      </c>
      <c r="J7729" s="18" t="n">
        <v>49.53</v>
      </c>
      <c r="K7729" s="19" t="n">
        <v>10</v>
      </c>
      <c r="L7729" s="17" t="s">
        <v>44</v>
      </c>
    </row>
    <row r="7730" s="11" customFormat="true" ht="10.95" hidden="false" customHeight="true" outlineLevel="0" collapsed="false">
      <c r="A7730" s="16" t="n">
        <v>45473</v>
      </c>
      <c r="B7730" s="17" t="s">
        <v>3576</v>
      </c>
      <c r="C7730" s="17" t="s">
        <v>3556</v>
      </c>
      <c r="D7730" s="17" t="s">
        <v>1396</v>
      </c>
      <c r="E7730" s="17" t="s">
        <v>2094</v>
      </c>
      <c r="F7730" s="17" t="s">
        <v>2095</v>
      </c>
      <c r="G7730" s="18" t="n">
        <v>1828.92</v>
      </c>
      <c r="H7730" s="18" t="n">
        <v>0</v>
      </c>
      <c r="I7730" s="18" t="n">
        <f aca="false">((I7729 + G7730) - H7730)</f>
        <v>347022.99</v>
      </c>
      <c r="J7730" s="18" t="n">
        <v>0</v>
      </c>
      <c r="K7730" s="19" t="n">
        <v>0</v>
      </c>
      <c r="L7730" s="17" t="s">
        <v>1399</v>
      </c>
    </row>
    <row r="7731" s="11" customFormat="true" ht="10.95" hidden="false" customHeight="true" outlineLevel="0" collapsed="false">
      <c r="A7731" s="16" t="n">
        <v>45473</v>
      </c>
      <c r="B7731" s="17" t="s">
        <v>3576</v>
      </c>
      <c r="C7731" s="17" t="s">
        <v>3556</v>
      </c>
      <c r="D7731" s="17" t="s">
        <v>1396</v>
      </c>
      <c r="E7731" s="17" t="s">
        <v>2096</v>
      </c>
      <c r="F7731" s="17" t="s">
        <v>2097</v>
      </c>
      <c r="G7731" s="18" t="n">
        <v>0</v>
      </c>
      <c r="H7731" s="18" t="n">
        <v>13697.38</v>
      </c>
      <c r="I7731" s="18" t="n">
        <f aca="false">((I7730 + G7731) - H7731)</f>
        <v>333325.61</v>
      </c>
      <c r="J7731" s="18" t="n">
        <v>0</v>
      </c>
      <c r="K7731" s="19" t="n">
        <v>0</v>
      </c>
      <c r="L7731" s="17" t="s">
        <v>1399</v>
      </c>
    </row>
    <row r="7732" s="11" customFormat="true" ht="10.95" hidden="false" customHeight="true" outlineLevel="0" collapsed="false">
      <c r="A7732" s="21" t="s">
        <v>3608</v>
      </c>
      <c r="B7732" s="21"/>
      <c r="C7732" s="21"/>
      <c r="D7732" s="21"/>
      <c r="E7732" s="21"/>
      <c r="F7732" s="21"/>
      <c r="G7732" s="22" t="n">
        <f aca="false">SUM(G7710:G7731)</f>
        <v>37674.67</v>
      </c>
      <c r="H7732" s="22" t="n">
        <f aca="false">SUM(H7710:H7731)</f>
        <v>13697.38</v>
      </c>
      <c r="I7732" s="22" t="n">
        <f aca="false">I7731</f>
        <v>333325.61</v>
      </c>
      <c r="J7732" s="22" t="n">
        <f aca="false">SUM(J7710:J7731)</f>
        <v>3417.11</v>
      </c>
      <c r="K7732" s="21"/>
      <c r="L7732" s="21"/>
    </row>
    <row r="7733" s="11" customFormat="true" ht="10.95" hidden="false" customHeight="true" outlineLevel="0" collapsed="false">
      <c r="A7733" s="21" t="s">
        <v>784</v>
      </c>
      <c r="B7733" s="21"/>
      <c r="C7733" s="21"/>
      <c r="D7733" s="21"/>
      <c r="E7733" s="21"/>
      <c r="F7733" s="21"/>
      <c r="G7733" s="22" t="n">
        <v>23977.29</v>
      </c>
      <c r="H7733" s="22" t="n">
        <v>0</v>
      </c>
      <c r="I7733" s="22" t="n">
        <v>0</v>
      </c>
      <c r="J7733" s="22" t="n">
        <v>0</v>
      </c>
      <c r="K7733" s="21"/>
      <c r="L7733" s="21"/>
    </row>
    <row r="7734" s="11" customFormat="true" ht="10.95" hidden="false" customHeight="true" outlineLevel="0" collapsed="false">
      <c r="A7734" s="9" t="s">
        <v>785</v>
      </c>
      <c r="B7734" s="9"/>
      <c r="C7734" s="9"/>
      <c r="D7734" s="9"/>
      <c r="E7734" s="9"/>
      <c r="F7734" s="9"/>
      <c r="G7734" s="10" t="n">
        <v>333325.61</v>
      </c>
      <c r="H7734" s="10" t="n">
        <v>0</v>
      </c>
      <c r="I7734" s="10" t="n">
        <f aca="false">I7731</f>
        <v>333325.61</v>
      </c>
      <c r="J7734" s="10" t="n">
        <v>0</v>
      </c>
      <c r="K7734" s="9"/>
      <c r="L7734" s="9"/>
    </row>
    <row r="7735" customFormat="false" ht="13.35" hidden="false" customHeight="true" outlineLevel="0" collapsed="false"/>
    <row r="7736" s="7" customFormat="true" ht="12.1" hidden="false" customHeight="true" outlineLevel="0" collapsed="false">
      <c r="A7736" s="8" t="s">
        <v>3609</v>
      </c>
      <c r="B7736" s="8"/>
      <c r="C7736" s="8"/>
      <c r="D7736" s="8"/>
      <c r="E7736" s="8"/>
      <c r="F7736" s="8"/>
      <c r="G7736" s="8"/>
      <c r="H7736" s="8"/>
      <c r="I7736" s="8"/>
      <c r="J7736" s="8"/>
      <c r="K7736" s="8"/>
      <c r="L7736" s="8"/>
    </row>
    <row r="7737" s="11" customFormat="true" ht="10.95" hidden="false" customHeight="true" outlineLevel="0" collapsed="false">
      <c r="A7737" s="9" t="s">
        <v>16</v>
      </c>
      <c r="B7737" s="9"/>
      <c r="C7737" s="9"/>
      <c r="D7737" s="9"/>
      <c r="E7737" s="9"/>
      <c r="F7737" s="9"/>
      <c r="G7737" s="10" t="n">
        <v>0</v>
      </c>
      <c r="H7737" s="10" t="n">
        <v>281115.23</v>
      </c>
      <c r="I7737" s="10" t="n">
        <f aca="false">(G7737 - H7737)</f>
        <v>-281115.23</v>
      </c>
      <c r="J7737" s="10" t="n">
        <v>0</v>
      </c>
      <c r="K7737" s="9"/>
      <c r="L7737" s="9"/>
    </row>
    <row r="7738" s="11" customFormat="true" ht="10.95" hidden="false" customHeight="true" outlineLevel="0" collapsed="false">
      <c r="A7738" s="12" t="n">
        <v>45138</v>
      </c>
      <c r="B7738" s="13" t="s">
        <v>3610</v>
      </c>
      <c r="C7738" s="13" t="s">
        <v>3556</v>
      </c>
      <c r="D7738" s="13"/>
      <c r="E7738" s="13" t="s">
        <v>1789</v>
      </c>
      <c r="F7738" s="13"/>
      <c r="G7738" s="14" t="n">
        <v>0</v>
      </c>
      <c r="H7738" s="14" t="n">
        <v>314.67</v>
      </c>
      <c r="I7738" s="14" t="n">
        <f aca="false">((I7737 + G7738) - H7738)</f>
        <v>-281429.9</v>
      </c>
      <c r="J7738" s="14" t="n">
        <v>0</v>
      </c>
      <c r="K7738" s="15" t="n">
        <v>0</v>
      </c>
      <c r="L7738" s="13"/>
    </row>
    <row r="7739" s="11" customFormat="true" ht="10.95" hidden="false" customHeight="true" outlineLevel="0" collapsed="false">
      <c r="A7739" s="16" t="n">
        <v>45138</v>
      </c>
      <c r="B7739" s="17" t="s">
        <v>3610</v>
      </c>
      <c r="C7739" s="17" t="s">
        <v>3556</v>
      </c>
      <c r="D7739" s="17"/>
      <c r="E7739" s="17" t="s">
        <v>1790</v>
      </c>
      <c r="F7739" s="17"/>
      <c r="G7739" s="18" t="n">
        <v>0</v>
      </c>
      <c r="H7739" s="18" t="n">
        <v>409.93</v>
      </c>
      <c r="I7739" s="18" t="n">
        <f aca="false">((I7738 + G7739) - H7739)</f>
        <v>-281839.83</v>
      </c>
      <c r="J7739" s="18" t="n">
        <v>0</v>
      </c>
      <c r="K7739" s="19" t="n">
        <v>0</v>
      </c>
      <c r="L7739" s="17"/>
    </row>
    <row r="7740" s="11" customFormat="true" ht="10.95" hidden="false" customHeight="true" outlineLevel="0" collapsed="false">
      <c r="A7740" s="16" t="n">
        <v>45138</v>
      </c>
      <c r="B7740" s="17" t="s">
        <v>3610</v>
      </c>
      <c r="C7740" s="17" t="s">
        <v>3556</v>
      </c>
      <c r="D7740" s="17"/>
      <c r="E7740" s="17" t="s">
        <v>1792</v>
      </c>
      <c r="F7740" s="17"/>
      <c r="G7740" s="18" t="n">
        <v>0</v>
      </c>
      <c r="H7740" s="18" t="n">
        <v>178.17</v>
      </c>
      <c r="I7740" s="18" t="n">
        <f aca="false">((I7739 + G7740) - H7740)</f>
        <v>-282018</v>
      </c>
      <c r="J7740" s="18" t="n">
        <v>0</v>
      </c>
      <c r="K7740" s="19" t="n">
        <v>0</v>
      </c>
      <c r="L7740" s="17"/>
    </row>
    <row r="7741" s="11" customFormat="true" ht="10.95" hidden="false" customHeight="true" outlineLevel="0" collapsed="false">
      <c r="A7741" s="16" t="n">
        <v>45138</v>
      </c>
      <c r="B7741" s="17" t="s">
        <v>3610</v>
      </c>
      <c r="C7741" s="17" t="s">
        <v>3556</v>
      </c>
      <c r="D7741" s="17"/>
      <c r="E7741" s="17" t="s">
        <v>1793</v>
      </c>
      <c r="F7741" s="17"/>
      <c r="G7741" s="18" t="n">
        <v>0</v>
      </c>
      <c r="H7741" s="18" t="n">
        <v>9.75</v>
      </c>
      <c r="I7741" s="18" t="n">
        <f aca="false">((I7740 + G7741) - H7741)</f>
        <v>-282027.75</v>
      </c>
      <c r="J7741" s="18" t="n">
        <v>0</v>
      </c>
      <c r="K7741" s="19" t="n">
        <v>0</v>
      </c>
      <c r="L7741" s="17"/>
    </row>
    <row r="7742" s="11" customFormat="true" ht="10.95" hidden="false" customHeight="true" outlineLevel="0" collapsed="false">
      <c r="A7742" s="16" t="n">
        <v>45138</v>
      </c>
      <c r="B7742" s="17" t="s">
        <v>3610</v>
      </c>
      <c r="C7742" s="17" t="s">
        <v>3556</v>
      </c>
      <c r="D7742" s="17"/>
      <c r="E7742" s="17" t="s">
        <v>1794</v>
      </c>
      <c r="F7742" s="17"/>
      <c r="G7742" s="18" t="n">
        <v>0</v>
      </c>
      <c r="H7742" s="18" t="n">
        <v>12.73</v>
      </c>
      <c r="I7742" s="18" t="n">
        <f aca="false">((I7741 + G7742) - H7742)</f>
        <v>-282040.48</v>
      </c>
      <c r="J7742" s="18" t="n">
        <v>0</v>
      </c>
      <c r="K7742" s="19" t="n">
        <v>0</v>
      </c>
      <c r="L7742" s="17"/>
    </row>
    <row r="7743" s="11" customFormat="true" ht="10.95" hidden="false" customHeight="true" outlineLevel="0" collapsed="false">
      <c r="A7743" s="16" t="n">
        <v>45138</v>
      </c>
      <c r="B7743" s="17" t="s">
        <v>3610</v>
      </c>
      <c r="C7743" s="17" t="s">
        <v>3556</v>
      </c>
      <c r="D7743" s="17"/>
      <c r="E7743" s="17" t="s">
        <v>1795</v>
      </c>
      <c r="F7743" s="17"/>
      <c r="G7743" s="18" t="n">
        <v>0</v>
      </c>
      <c r="H7743" s="18" t="n">
        <v>10.41</v>
      </c>
      <c r="I7743" s="18" t="n">
        <f aca="false">((I7742 + G7743) - H7743)</f>
        <v>-282050.89</v>
      </c>
      <c r="J7743" s="18" t="n">
        <v>0</v>
      </c>
      <c r="K7743" s="19" t="n">
        <v>0</v>
      </c>
      <c r="L7743" s="17"/>
    </row>
    <row r="7744" s="11" customFormat="true" ht="10.95" hidden="false" customHeight="true" outlineLevel="0" collapsed="false">
      <c r="A7744" s="16" t="n">
        <v>45138</v>
      </c>
      <c r="B7744" s="17" t="s">
        <v>3610</v>
      </c>
      <c r="C7744" s="17" t="s">
        <v>3556</v>
      </c>
      <c r="D7744" s="17"/>
      <c r="E7744" s="17" t="s">
        <v>1796</v>
      </c>
      <c r="F7744" s="17"/>
      <c r="G7744" s="18" t="n">
        <v>0</v>
      </c>
      <c r="H7744" s="18" t="n">
        <v>75.28</v>
      </c>
      <c r="I7744" s="18" t="n">
        <f aca="false">((I7743 + G7744) - H7744)</f>
        <v>-282126.17</v>
      </c>
      <c r="J7744" s="18" t="n">
        <v>0</v>
      </c>
      <c r="K7744" s="19" t="n">
        <v>0</v>
      </c>
      <c r="L7744" s="17"/>
    </row>
    <row r="7745" s="11" customFormat="true" ht="10.95" hidden="false" customHeight="true" outlineLevel="0" collapsed="false">
      <c r="A7745" s="16" t="n">
        <v>45138</v>
      </c>
      <c r="B7745" s="17" t="s">
        <v>3610</v>
      </c>
      <c r="C7745" s="17" t="s">
        <v>3556</v>
      </c>
      <c r="D7745" s="17"/>
      <c r="E7745" s="17" t="s">
        <v>1799</v>
      </c>
      <c r="F7745" s="17"/>
      <c r="G7745" s="18" t="n">
        <v>0</v>
      </c>
      <c r="H7745" s="18" t="n">
        <v>50.93</v>
      </c>
      <c r="I7745" s="18" t="n">
        <f aca="false">((I7744 + G7745) - H7745)</f>
        <v>-282177.1</v>
      </c>
      <c r="J7745" s="18" t="n">
        <v>0</v>
      </c>
      <c r="K7745" s="19" t="n">
        <v>0</v>
      </c>
      <c r="L7745" s="17"/>
    </row>
    <row r="7746" s="11" customFormat="true" ht="10.95" hidden="false" customHeight="true" outlineLevel="0" collapsed="false">
      <c r="A7746" s="16" t="n">
        <v>45138</v>
      </c>
      <c r="B7746" s="17" t="s">
        <v>3610</v>
      </c>
      <c r="C7746" s="17" t="s">
        <v>3556</v>
      </c>
      <c r="D7746" s="17"/>
      <c r="E7746" s="17" t="s">
        <v>1800</v>
      </c>
      <c r="F7746" s="17"/>
      <c r="G7746" s="18" t="n">
        <v>0</v>
      </c>
      <c r="H7746" s="18" t="n">
        <v>113.55</v>
      </c>
      <c r="I7746" s="18" t="n">
        <f aca="false">((I7745 + G7746) - H7746)</f>
        <v>-282290.65</v>
      </c>
      <c r="J7746" s="18" t="n">
        <v>0</v>
      </c>
      <c r="K7746" s="19" t="n">
        <v>0</v>
      </c>
      <c r="L7746" s="17"/>
    </row>
    <row r="7747" s="11" customFormat="true" ht="10.95" hidden="false" customHeight="true" outlineLevel="0" collapsed="false">
      <c r="A7747" s="16" t="n">
        <v>45169</v>
      </c>
      <c r="B7747" s="17" t="s">
        <v>3610</v>
      </c>
      <c r="C7747" s="17" t="s">
        <v>3556</v>
      </c>
      <c r="D7747" s="17"/>
      <c r="E7747" s="17" t="s">
        <v>1801</v>
      </c>
      <c r="F7747" s="17"/>
      <c r="G7747" s="18" t="n">
        <v>0</v>
      </c>
      <c r="H7747" s="18" t="n">
        <v>314.67</v>
      </c>
      <c r="I7747" s="18" t="n">
        <f aca="false">((I7746 + G7747) - H7747)</f>
        <v>-282605.32</v>
      </c>
      <c r="J7747" s="18" t="n">
        <v>0</v>
      </c>
      <c r="K7747" s="19" t="n">
        <v>0</v>
      </c>
      <c r="L7747" s="17"/>
    </row>
    <row r="7748" s="11" customFormat="true" ht="10.95" hidden="false" customHeight="true" outlineLevel="0" collapsed="false">
      <c r="A7748" s="16" t="n">
        <v>45169</v>
      </c>
      <c r="B7748" s="17" t="s">
        <v>3610</v>
      </c>
      <c r="C7748" s="17" t="s">
        <v>3556</v>
      </c>
      <c r="D7748" s="17"/>
      <c r="E7748" s="17" t="s">
        <v>1802</v>
      </c>
      <c r="F7748" s="17"/>
      <c r="G7748" s="18" t="n">
        <v>0</v>
      </c>
      <c r="H7748" s="18" t="n">
        <v>409.93</v>
      </c>
      <c r="I7748" s="18" t="n">
        <f aca="false">((I7747 + G7748) - H7748)</f>
        <v>-283015.25</v>
      </c>
      <c r="J7748" s="18" t="n">
        <v>0</v>
      </c>
      <c r="K7748" s="19" t="n">
        <v>0</v>
      </c>
      <c r="L7748" s="17"/>
    </row>
    <row r="7749" s="11" customFormat="true" ht="10.95" hidden="false" customHeight="true" outlineLevel="0" collapsed="false">
      <c r="A7749" s="16" t="n">
        <v>45169</v>
      </c>
      <c r="B7749" s="17" t="s">
        <v>3610</v>
      </c>
      <c r="C7749" s="17" t="s">
        <v>3556</v>
      </c>
      <c r="D7749" s="17"/>
      <c r="E7749" s="17" t="s">
        <v>1804</v>
      </c>
      <c r="F7749" s="17"/>
      <c r="G7749" s="18" t="n">
        <v>0</v>
      </c>
      <c r="H7749" s="18" t="n">
        <v>178.17</v>
      </c>
      <c r="I7749" s="18" t="n">
        <f aca="false">((I7748 + G7749) - H7749)</f>
        <v>-283193.42</v>
      </c>
      <c r="J7749" s="18" t="n">
        <v>0</v>
      </c>
      <c r="K7749" s="19" t="n">
        <v>0</v>
      </c>
      <c r="L7749" s="17"/>
    </row>
    <row r="7750" s="11" customFormat="true" ht="10.95" hidden="false" customHeight="true" outlineLevel="0" collapsed="false">
      <c r="A7750" s="16" t="n">
        <v>45169</v>
      </c>
      <c r="B7750" s="17" t="s">
        <v>3610</v>
      </c>
      <c r="C7750" s="17" t="s">
        <v>3556</v>
      </c>
      <c r="D7750" s="17"/>
      <c r="E7750" s="17" t="s">
        <v>1805</v>
      </c>
      <c r="F7750" s="17"/>
      <c r="G7750" s="18" t="n">
        <v>0</v>
      </c>
      <c r="H7750" s="18" t="n">
        <v>9.74</v>
      </c>
      <c r="I7750" s="18" t="n">
        <f aca="false">((I7749 + G7750) - H7750)</f>
        <v>-283203.16</v>
      </c>
      <c r="J7750" s="18" t="n">
        <v>0</v>
      </c>
      <c r="K7750" s="19" t="n">
        <v>0</v>
      </c>
      <c r="L7750" s="17"/>
    </row>
    <row r="7751" s="11" customFormat="true" ht="10.95" hidden="false" customHeight="true" outlineLevel="0" collapsed="false">
      <c r="A7751" s="16" t="n">
        <v>45169</v>
      </c>
      <c r="B7751" s="17" t="s">
        <v>3610</v>
      </c>
      <c r="C7751" s="17" t="s">
        <v>3556</v>
      </c>
      <c r="D7751" s="17"/>
      <c r="E7751" s="17" t="s">
        <v>1806</v>
      </c>
      <c r="F7751" s="17"/>
      <c r="G7751" s="18" t="n">
        <v>0</v>
      </c>
      <c r="H7751" s="18" t="n">
        <v>12.74</v>
      </c>
      <c r="I7751" s="18" t="n">
        <f aca="false">((I7750 + G7751) - H7751)</f>
        <v>-283215.9</v>
      </c>
      <c r="J7751" s="18" t="n">
        <v>0</v>
      </c>
      <c r="K7751" s="19" t="n">
        <v>0</v>
      </c>
      <c r="L7751" s="17"/>
    </row>
    <row r="7752" s="11" customFormat="true" ht="10.95" hidden="false" customHeight="true" outlineLevel="0" collapsed="false">
      <c r="A7752" s="16" t="n">
        <v>45169</v>
      </c>
      <c r="B7752" s="17" t="s">
        <v>3610</v>
      </c>
      <c r="C7752" s="17" t="s">
        <v>3556</v>
      </c>
      <c r="D7752" s="17"/>
      <c r="E7752" s="17" t="s">
        <v>1807</v>
      </c>
      <c r="F7752" s="17"/>
      <c r="G7752" s="18" t="n">
        <v>0</v>
      </c>
      <c r="H7752" s="18" t="n">
        <v>10.4</v>
      </c>
      <c r="I7752" s="18" t="n">
        <f aca="false">((I7751 + G7752) - H7752)</f>
        <v>-283226.3</v>
      </c>
      <c r="J7752" s="18" t="n">
        <v>0</v>
      </c>
      <c r="K7752" s="19" t="n">
        <v>0</v>
      </c>
      <c r="L7752" s="17"/>
    </row>
    <row r="7753" s="11" customFormat="true" ht="10.95" hidden="false" customHeight="true" outlineLevel="0" collapsed="false">
      <c r="A7753" s="16" t="n">
        <v>45169</v>
      </c>
      <c r="B7753" s="17" t="s">
        <v>3610</v>
      </c>
      <c r="C7753" s="17" t="s">
        <v>3556</v>
      </c>
      <c r="D7753" s="17"/>
      <c r="E7753" s="17" t="s">
        <v>1808</v>
      </c>
      <c r="F7753" s="17"/>
      <c r="G7753" s="18" t="n">
        <v>0</v>
      </c>
      <c r="H7753" s="18" t="n">
        <v>75.28</v>
      </c>
      <c r="I7753" s="18" t="n">
        <f aca="false">((I7752 + G7753) - H7753)</f>
        <v>-283301.58</v>
      </c>
      <c r="J7753" s="18" t="n">
        <v>0</v>
      </c>
      <c r="K7753" s="19" t="n">
        <v>0</v>
      </c>
      <c r="L7753" s="17"/>
    </row>
    <row r="7754" s="11" customFormat="true" ht="10.95" hidden="false" customHeight="true" outlineLevel="0" collapsed="false">
      <c r="A7754" s="16" t="n">
        <v>45169</v>
      </c>
      <c r="B7754" s="17" t="s">
        <v>3610</v>
      </c>
      <c r="C7754" s="17" t="s">
        <v>3556</v>
      </c>
      <c r="D7754" s="17"/>
      <c r="E7754" s="17" t="s">
        <v>1811</v>
      </c>
      <c r="F7754" s="17"/>
      <c r="G7754" s="18" t="n">
        <v>0</v>
      </c>
      <c r="H7754" s="18" t="n">
        <v>50.94</v>
      </c>
      <c r="I7754" s="18" t="n">
        <f aca="false">((I7753 + G7754) - H7754)</f>
        <v>-283352.52</v>
      </c>
      <c r="J7754" s="18" t="n">
        <v>0</v>
      </c>
      <c r="K7754" s="19" t="n">
        <v>0</v>
      </c>
      <c r="L7754" s="17"/>
    </row>
    <row r="7755" s="11" customFormat="true" ht="10.95" hidden="false" customHeight="true" outlineLevel="0" collapsed="false">
      <c r="A7755" s="16" t="n">
        <v>45169</v>
      </c>
      <c r="B7755" s="17" t="s">
        <v>3610</v>
      </c>
      <c r="C7755" s="17" t="s">
        <v>3556</v>
      </c>
      <c r="D7755" s="17"/>
      <c r="E7755" s="17" t="s">
        <v>1812</v>
      </c>
      <c r="F7755" s="17"/>
      <c r="G7755" s="18" t="n">
        <v>0</v>
      </c>
      <c r="H7755" s="18" t="n">
        <v>113.55</v>
      </c>
      <c r="I7755" s="18" t="n">
        <f aca="false">((I7754 + G7755) - H7755)</f>
        <v>-283466.07</v>
      </c>
      <c r="J7755" s="18" t="n">
        <v>0</v>
      </c>
      <c r="K7755" s="19" t="n">
        <v>0</v>
      </c>
      <c r="L7755" s="17"/>
    </row>
    <row r="7756" s="11" customFormat="true" ht="10.95" hidden="false" customHeight="true" outlineLevel="0" collapsed="false">
      <c r="A7756" s="16" t="n">
        <v>45199</v>
      </c>
      <c r="B7756" s="17" t="s">
        <v>3610</v>
      </c>
      <c r="C7756" s="17" t="s">
        <v>3556</v>
      </c>
      <c r="D7756" s="17"/>
      <c r="E7756" s="17" t="s">
        <v>1813</v>
      </c>
      <c r="F7756" s="17"/>
      <c r="G7756" s="18" t="n">
        <v>0</v>
      </c>
      <c r="H7756" s="18" t="n">
        <v>304.52</v>
      </c>
      <c r="I7756" s="18" t="n">
        <f aca="false">((I7755 + G7756) - H7756)</f>
        <v>-283770.59</v>
      </c>
      <c r="J7756" s="18" t="n">
        <v>0</v>
      </c>
      <c r="K7756" s="19" t="n">
        <v>0</v>
      </c>
      <c r="L7756" s="17"/>
    </row>
    <row r="7757" s="11" customFormat="true" ht="10.95" hidden="false" customHeight="true" outlineLevel="0" collapsed="false">
      <c r="A7757" s="16" t="n">
        <v>45199</v>
      </c>
      <c r="B7757" s="17" t="s">
        <v>3610</v>
      </c>
      <c r="C7757" s="17" t="s">
        <v>3556</v>
      </c>
      <c r="D7757" s="17"/>
      <c r="E7757" s="17" t="s">
        <v>1814</v>
      </c>
      <c r="F7757" s="17"/>
      <c r="G7757" s="18" t="n">
        <v>0</v>
      </c>
      <c r="H7757" s="18" t="n">
        <v>396.7</v>
      </c>
      <c r="I7757" s="18" t="n">
        <f aca="false">((I7756 + G7757) - H7757)</f>
        <v>-284167.29</v>
      </c>
      <c r="J7757" s="18" t="n">
        <v>0</v>
      </c>
      <c r="K7757" s="19" t="n">
        <v>0</v>
      </c>
      <c r="L7757" s="17"/>
    </row>
    <row r="7758" s="11" customFormat="true" ht="10.95" hidden="false" customHeight="true" outlineLevel="0" collapsed="false">
      <c r="A7758" s="16" t="n">
        <v>45199</v>
      </c>
      <c r="B7758" s="17" t="s">
        <v>3610</v>
      </c>
      <c r="C7758" s="17" t="s">
        <v>3556</v>
      </c>
      <c r="D7758" s="17"/>
      <c r="E7758" s="17" t="s">
        <v>1816</v>
      </c>
      <c r="F7758" s="17"/>
      <c r="G7758" s="18" t="n">
        <v>0</v>
      </c>
      <c r="H7758" s="18" t="n">
        <v>172.43</v>
      </c>
      <c r="I7758" s="18" t="n">
        <f aca="false">((I7757 + G7758) - H7758)</f>
        <v>-284339.72</v>
      </c>
      <c r="J7758" s="18" t="n">
        <v>0</v>
      </c>
      <c r="K7758" s="19" t="n">
        <v>0</v>
      </c>
      <c r="L7758" s="17"/>
    </row>
    <row r="7759" s="11" customFormat="true" ht="10.95" hidden="false" customHeight="true" outlineLevel="0" collapsed="false">
      <c r="A7759" s="16" t="n">
        <v>45199</v>
      </c>
      <c r="B7759" s="17" t="s">
        <v>3610</v>
      </c>
      <c r="C7759" s="17" t="s">
        <v>3556</v>
      </c>
      <c r="D7759" s="17"/>
      <c r="E7759" s="17" t="s">
        <v>1817</v>
      </c>
      <c r="F7759" s="17"/>
      <c r="G7759" s="18" t="n">
        <v>0</v>
      </c>
      <c r="H7759" s="18" t="n">
        <v>9.43</v>
      </c>
      <c r="I7759" s="18" t="n">
        <f aca="false">((I7758 + G7759) - H7759)</f>
        <v>-284349.15</v>
      </c>
      <c r="J7759" s="18" t="n">
        <v>0</v>
      </c>
      <c r="K7759" s="19" t="n">
        <v>0</v>
      </c>
      <c r="L7759" s="17"/>
    </row>
    <row r="7760" s="11" customFormat="true" ht="10.95" hidden="false" customHeight="true" outlineLevel="0" collapsed="false">
      <c r="A7760" s="16" t="n">
        <v>45199</v>
      </c>
      <c r="B7760" s="17" t="s">
        <v>3610</v>
      </c>
      <c r="C7760" s="17" t="s">
        <v>3556</v>
      </c>
      <c r="D7760" s="17"/>
      <c r="E7760" s="17" t="s">
        <v>1818</v>
      </c>
      <c r="F7760" s="17"/>
      <c r="G7760" s="18" t="n">
        <v>0</v>
      </c>
      <c r="H7760" s="18" t="n">
        <v>12.32</v>
      </c>
      <c r="I7760" s="18" t="n">
        <f aca="false">((I7759 + G7760) - H7760)</f>
        <v>-284361.47</v>
      </c>
      <c r="J7760" s="18" t="n">
        <v>0</v>
      </c>
      <c r="K7760" s="19" t="n">
        <v>0</v>
      </c>
      <c r="L7760" s="17"/>
    </row>
    <row r="7761" s="11" customFormat="true" ht="10.95" hidden="false" customHeight="true" outlineLevel="0" collapsed="false">
      <c r="A7761" s="16" t="n">
        <v>45199</v>
      </c>
      <c r="B7761" s="17" t="s">
        <v>3610</v>
      </c>
      <c r="C7761" s="17" t="s">
        <v>3556</v>
      </c>
      <c r="D7761" s="17"/>
      <c r="E7761" s="17" t="s">
        <v>1819</v>
      </c>
      <c r="F7761" s="17"/>
      <c r="G7761" s="18" t="n">
        <v>0</v>
      </c>
      <c r="H7761" s="18" t="n">
        <v>10.07</v>
      </c>
      <c r="I7761" s="18" t="n">
        <f aca="false">((I7760 + G7761) - H7761)</f>
        <v>-284371.54</v>
      </c>
      <c r="J7761" s="18" t="n">
        <v>0</v>
      </c>
      <c r="K7761" s="19" t="n">
        <v>0</v>
      </c>
      <c r="L7761" s="17"/>
    </row>
    <row r="7762" s="11" customFormat="true" ht="10.95" hidden="false" customHeight="true" outlineLevel="0" collapsed="false">
      <c r="A7762" s="16" t="n">
        <v>45199</v>
      </c>
      <c r="B7762" s="17" t="s">
        <v>3610</v>
      </c>
      <c r="C7762" s="17" t="s">
        <v>3556</v>
      </c>
      <c r="D7762" s="17"/>
      <c r="E7762" s="17" t="s">
        <v>1820</v>
      </c>
      <c r="F7762" s="17"/>
      <c r="G7762" s="18" t="n">
        <v>0</v>
      </c>
      <c r="H7762" s="18" t="n">
        <v>72.85</v>
      </c>
      <c r="I7762" s="18" t="n">
        <f aca="false">((I7761 + G7762) - H7762)</f>
        <v>-284444.39</v>
      </c>
      <c r="J7762" s="18" t="n">
        <v>0</v>
      </c>
      <c r="K7762" s="19" t="n">
        <v>0</v>
      </c>
      <c r="L7762" s="17"/>
    </row>
    <row r="7763" s="11" customFormat="true" ht="10.95" hidden="false" customHeight="true" outlineLevel="0" collapsed="false">
      <c r="A7763" s="16" t="n">
        <v>45199</v>
      </c>
      <c r="B7763" s="17" t="s">
        <v>3610</v>
      </c>
      <c r="C7763" s="17" t="s">
        <v>3556</v>
      </c>
      <c r="D7763" s="17"/>
      <c r="E7763" s="17" t="s">
        <v>1823</v>
      </c>
      <c r="F7763" s="17"/>
      <c r="G7763" s="18" t="n">
        <v>0</v>
      </c>
      <c r="H7763" s="18" t="n">
        <v>49.29</v>
      </c>
      <c r="I7763" s="18" t="n">
        <f aca="false">((I7762 + G7763) - H7763)</f>
        <v>-284493.68</v>
      </c>
      <c r="J7763" s="18" t="n">
        <v>0</v>
      </c>
      <c r="K7763" s="19" t="n">
        <v>0</v>
      </c>
      <c r="L7763" s="17"/>
    </row>
    <row r="7764" s="11" customFormat="true" ht="10.95" hidden="false" customHeight="true" outlineLevel="0" collapsed="false">
      <c r="A7764" s="16" t="n">
        <v>45199</v>
      </c>
      <c r="B7764" s="17" t="s">
        <v>3610</v>
      </c>
      <c r="C7764" s="17" t="s">
        <v>3556</v>
      </c>
      <c r="D7764" s="17"/>
      <c r="E7764" s="17" t="s">
        <v>1824</v>
      </c>
      <c r="F7764" s="17"/>
      <c r="G7764" s="18" t="n">
        <v>0</v>
      </c>
      <c r="H7764" s="18" t="n">
        <v>109.89</v>
      </c>
      <c r="I7764" s="18" t="n">
        <f aca="false">((I7763 + G7764) - H7764)</f>
        <v>-284603.57</v>
      </c>
      <c r="J7764" s="18" t="n">
        <v>0</v>
      </c>
      <c r="K7764" s="19" t="n">
        <v>0</v>
      </c>
      <c r="L7764" s="17"/>
    </row>
    <row r="7765" s="11" customFormat="true" ht="10.95" hidden="false" customHeight="true" outlineLevel="0" collapsed="false">
      <c r="A7765" s="16" t="n">
        <v>45199</v>
      </c>
      <c r="B7765" s="17" t="s">
        <v>3610</v>
      </c>
      <c r="C7765" s="17" t="s">
        <v>3556</v>
      </c>
      <c r="D7765" s="17"/>
      <c r="E7765" s="17" t="s">
        <v>1825</v>
      </c>
      <c r="F7765" s="17"/>
      <c r="G7765" s="18" t="n">
        <v>0</v>
      </c>
      <c r="H7765" s="18" t="n">
        <v>13.81</v>
      </c>
      <c r="I7765" s="18" t="n">
        <f aca="false">((I7764 + G7765) - H7765)</f>
        <v>-284617.38</v>
      </c>
      <c r="J7765" s="18" t="n">
        <v>0</v>
      </c>
      <c r="K7765" s="19" t="n">
        <v>0</v>
      </c>
      <c r="L7765" s="17"/>
    </row>
    <row r="7766" s="11" customFormat="true" ht="10.95" hidden="false" customHeight="true" outlineLevel="0" collapsed="false">
      <c r="A7766" s="16" t="n">
        <v>45230</v>
      </c>
      <c r="B7766" s="17" t="s">
        <v>3610</v>
      </c>
      <c r="C7766" s="17" t="s">
        <v>3556</v>
      </c>
      <c r="D7766" s="17"/>
      <c r="E7766" s="17" t="s">
        <v>1826</v>
      </c>
      <c r="F7766" s="17"/>
      <c r="G7766" s="18" t="n">
        <v>0</v>
      </c>
      <c r="H7766" s="18" t="n">
        <v>314.68</v>
      </c>
      <c r="I7766" s="18" t="n">
        <f aca="false">((I7765 + G7766) - H7766)</f>
        <v>-284932.06</v>
      </c>
      <c r="J7766" s="18" t="n">
        <v>0</v>
      </c>
      <c r="K7766" s="19" t="n">
        <v>0</v>
      </c>
      <c r="L7766" s="17"/>
    </row>
    <row r="7767" s="11" customFormat="true" ht="10.95" hidden="false" customHeight="true" outlineLevel="0" collapsed="false">
      <c r="A7767" s="16" t="n">
        <v>45230</v>
      </c>
      <c r="B7767" s="17" t="s">
        <v>3610</v>
      </c>
      <c r="C7767" s="17" t="s">
        <v>3556</v>
      </c>
      <c r="D7767" s="17"/>
      <c r="E7767" s="17" t="s">
        <v>1827</v>
      </c>
      <c r="F7767" s="17"/>
      <c r="G7767" s="18" t="n">
        <v>0</v>
      </c>
      <c r="H7767" s="18" t="n">
        <v>409.93</v>
      </c>
      <c r="I7767" s="18" t="n">
        <f aca="false">((I7766 + G7767) - H7767)</f>
        <v>-285341.99</v>
      </c>
      <c r="J7767" s="18" t="n">
        <v>0</v>
      </c>
      <c r="K7767" s="19" t="n">
        <v>0</v>
      </c>
      <c r="L7767" s="17"/>
    </row>
    <row r="7768" s="11" customFormat="true" ht="10.95" hidden="false" customHeight="true" outlineLevel="0" collapsed="false">
      <c r="A7768" s="16" t="n">
        <v>45230</v>
      </c>
      <c r="B7768" s="17" t="s">
        <v>3610</v>
      </c>
      <c r="C7768" s="17" t="s">
        <v>3556</v>
      </c>
      <c r="D7768" s="17"/>
      <c r="E7768" s="17" t="s">
        <v>1829</v>
      </c>
      <c r="F7768" s="17"/>
      <c r="G7768" s="18" t="n">
        <v>0</v>
      </c>
      <c r="H7768" s="18" t="n">
        <v>178.17</v>
      </c>
      <c r="I7768" s="18" t="n">
        <f aca="false">((I7767 + G7768) - H7768)</f>
        <v>-285520.16</v>
      </c>
      <c r="J7768" s="18" t="n">
        <v>0</v>
      </c>
      <c r="K7768" s="19" t="n">
        <v>0</v>
      </c>
      <c r="L7768" s="17"/>
    </row>
    <row r="7769" s="11" customFormat="true" ht="10.95" hidden="false" customHeight="true" outlineLevel="0" collapsed="false">
      <c r="A7769" s="16" t="n">
        <v>45230</v>
      </c>
      <c r="B7769" s="17" t="s">
        <v>3610</v>
      </c>
      <c r="C7769" s="17" t="s">
        <v>3556</v>
      </c>
      <c r="D7769" s="17"/>
      <c r="E7769" s="17" t="s">
        <v>1830</v>
      </c>
      <c r="F7769" s="17"/>
      <c r="G7769" s="18" t="n">
        <v>0</v>
      </c>
      <c r="H7769" s="18" t="n">
        <v>9.75</v>
      </c>
      <c r="I7769" s="18" t="n">
        <f aca="false">((I7768 + G7769) - H7769)</f>
        <v>-285529.91</v>
      </c>
      <c r="J7769" s="18" t="n">
        <v>0</v>
      </c>
      <c r="K7769" s="19" t="n">
        <v>0</v>
      </c>
      <c r="L7769" s="17"/>
    </row>
    <row r="7770" s="11" customFormat="true" ht="10.95" hidden="false" customHeight="true" outlineLevel="0" collapsed="false">
      <c r="A7770" s="16" t="n">
        <v>45230</v>
      </c>
      <c r="B7770" s="17" t="s">
        <v>3610</v>
      </c>
      <c r="C7770" s="17" t="s">
        <v>3556</v>
      </c>
      <c r="D7770" s="17"/>
      <c r="E7770" s="17" t="s">
        <v>1831</v>
      </c>
      <c r="F7770" s="17"/>
      <c r="G7770" s="18" t="n">
        <v>0</v>
      </c>
      <c r="H7770" s="18" t="n">
        <v>12.74</v>
      </c>
      <c r="I7770" s="18" t="n">
        <f aca="false">((I7769 + G7770) - H7770)</f>
        <v>-285542.65</v>
      </c>
      <c r="J7770" s="18" t="n">
        <v>0</v>
      </c>
      <c r="K7770" s="19" t="n">
        <v>0</v>
      </c>
      <c r="L7770" s="17"/>
    </row>
    <row r="7771" s="11" customFormat="true" ht="10.95" hidden="false" customHeight="true" outlineLevel="0" collapsed="false">
      <c r="A7771" s="16" t="n">
        <v>45230</v>
      </c>
      <c r="B7771" s="17" t="s">
        <v>3610</v>
      </c>
      <c r="C7771" s="17" t="s">
        <v>3556</v>
      </c>
      <c r="D7771" s="17"/>
      <c r="E7771" s="17" t="s">
        <v>1832</v>
      </c>
      <c r="F7771" s="17"/>
      <c r="G7771" s="18" t="n">
        <v>0</v>
      </c>
      <c r="H7771" s="18" t="n">
        <v>10.41</v>
      </c>
      <c r="I7771" s="18" t="n">
        <f aca="false">((I7770 + G7771) - H7771)</f>
        <v>-285553.06</v>
      </c>
      <c r="J7771" s="18" t="n">
        <v>0</v>
      </c>
      <c r="K7771" s="19" t="n">
        <v>0</v>
      </c>
      <c r="L7771" s="17"/>
    </row>
    <row r="7772" s="11" customFormat="true" ht="10.95" hidden="false" customHeight="true" outlineLevel="0" collapsed="false">
      <c r="A7772" s="16" t="n">
        <v>45230</v>
      </c>
      <c r="B7772" s="17" t="s">
        <v>3610</v>
      </c>
      <c r="C7772" s="17" t="s">
        <v>3556</v>
      </c>
      <c r="D7772" s="17"/>
      <c r="E7772" s="17" t="s">
        <v>1833</v>
      </c>
      <c r="F7772" s="17"/>
      <c r="G7772" s="18" t="n">
        <v>0</v>
      </c>
      <c r="H7772" s="18" t="n">
        <v>75.28</v>
      </c>
      <c r="I7772" s="18" t="n">
        <f aca="false">((I7771 + G7772) - H7772)</f>
        <v>-285628.34</v>
      </c>
      <c r="J7772" s="18" t="n">
        <v>0</v>
      </c>
      <c r="K7772" s="19" t="n">
        <v>0</v>
      </c>
      <c r="L7772" s="17"/>
    </row>
    <row r="7773" s="11" customFormat="true" ht="10.95" hidden="false" customHeight="true" outlineLevel="0" collapsed="false">
      <c r="A7773" s="16" t="n">
        <v>45230</v>
      </c>
      <c r="B7773" s="17" t="s">
        <v>3610</v>
      </c>
      <c r="C7773" s="17" t="s">
        <v>3556</v>
      </c>
      <c r="D7773" s="17"/>
      <c r="E7773" s="17" t="s">
        <v>1836</v>
      </c>
      <c r="F7773" s="17"/>
      <c r="G7773" s="18" t="n">
        <v>0</v>
      </c>
      <c r="H7773" s="18" t="n">
        <v>50.94</v>
      </c>
      <c r="I7773" s="18" t="n">
        <f aca="false">((I7772 + G7773) - H7773)</f>
        <v>-285679.28</v>
      </c>
      <c r="J7773" s="18" t="n">
        <v>0</v>
      </c>
      <c r="K7773" s="19" t="n">
        <v>0</v>
      </c>
      <c r="L7773" s="17"/>
    </row>
    <row r="7774" s="11" customFormat="true" ht="10.95" hidden="false" customHeight="true" outlineLevel="0" collapsed="false">
      <c r="A7774" s="16" t="n">
        <v>45230</v>
      </c>
      <c r="B7774" s="17" t="s">
        <v>3610</v>
      </c>
      <c r="C7774" s="17" t="s">
        <v>3556</v>
      </c>
      <c r="D7774" s="17"/>
      <c r="E7774" s="17" t="s">
        <v>1837</v>
      </c>
      <c r="F7774" s="17"/>
      <c r="G7774" s="18" t="n">
        <v>0</v>
      </c>
      <c r="H7774" s="18" t="n">
        <v>113.55</v>
      </c>
      <c r="I7774" s="18" t="n">
        <f aca="false">((I7773 + G7774) - H7774)</f>
        <v>-285792.83</v>
      </c>
      <c r="J7774" s="18" t="n">
        <v>0</v>
      </c>
      <c r="K7774" s="19" t="n">
        <v>0</v>
      </c>
      <c r="L7774" s="17"/>
    </row>
    <row r="7775" s="11" customFormat="true" ht="10.95" hidden="false" customHeight="true" outlineLevel="0" collapsed="false">
      <c r="A7775" s="16" t="n">
        <v>45230</v>
      </c>
      <c r="B7775" s="17" t="s">
        <v>3610</v>
      </c>
      <c r="C7775" s="17" t="s">
        <v>3556</v>
      </c>
      <c r="D7775" s="17"/>
      <c r="E7775" s="17" t="s">
        <v>1838</v>
      </c>
      <c r="F7775" s="17"/>
      <c r="G7775" s="18" t="n">
        <v>0</v>
      </c>
      <c r="H7775" s="18" t="n">
        <v>90.16</v>
      </c>
      <c r="I7775" s="18" t="n">
        <f aca="false">((I7774 + G7775) - H7775)</f>
        <v>-285882.99</v>
      </c>
      <c r="J7775" s="18" t="n">
        <v>0</v>
      </c>
      <c r="K7775" s="19" t="n">
        <v>0</v>
      </c>
      <c r="L7775" s="17"/>
    </row>
    <row r="7776" s="11" customFormat="true" ht="10.95" hidden="false" customHeight="true" outlineLevel="0" collapsed="false">
      <c r="A7776" s="16" t="n">
        <v>45230</v>
      </c>
      <c r="B7776" s="17" t="s">
        <v>3610</v>
      </c>
      <c r="C7776" s="17" t="s">
        <v>3556</v>
      </c>
      <c r="D7776" s="17"/>
      <c r="E7776" s="17" t="s">
        <v>1839</v>
      </c>
      <c r="F7776" s="17"/>
      <c r="G7776" s="18" t="n">
        <v>0</v>
      </c>
      <c r="H7776" s="18" t="n">
        <v>21.41</v>
      </c>
      <c r="I7776" s="18" t="n">
        <f aca="false">((I7775 + G7776) - H7776)</f>
        <v>-285904.4</v>
      </c>
      <c r="J7776" s="18" t="n">
        <v>0</v>
      </c>
      <c r="K7776" s="19" t="n">
        <v>0</v>
      </c>
      <c r="L7776" s="17"/>
    </row>
    <row r="7777" s="11" customFormat="true" ht="10.95" hidden="false" customHeight="true" outlineLevel="0" collapsed="false">
      <c r="A7777" s="16" t="n">
        <v>45260</v>
      </c>
      <c r="B7777" s="17" t="s">
        <v>3610</v>
      </c>
      <c r="C7777" s="17" t="s">
        <v>3556</v>
      </c>
      <c r="D7777" s="17"/>
      <c r="E7777" s="17" t="s">
        <v>1840</v>
      </c>
      <c r="F7777" s="17"/>
      <c r="G7777" s="18" t="n">
        <v>0</v>
      </c>
      <c r="H7777" s="18" t="n">
        <v>304.52</v>
      </c>
      <c r="I7777" s="18" t="n">
        <f aca="false">((I7776 + G7777) - H7777)</f>
        <v>-286208.92</v>
      </c>
      <c r="J7777" s="18" t="n">
        <v>0</v>
      </c>
      <c r="K7777" s="19" t="n">
        <v>0</v>
      </c>
      <c r="L7777" s="17"/>
    </row>
    <row r="7778" s="11" customFormat="true" ht="10.95" hidden="false" customHeight="true" outlineLevel="0" collapsed="false">
      <c r="A7778" s="16" t="n">
        <v>45260</v>
      </c>
      <c r="B7778" s="17" t="s">
        <v>3610</v>
      </c>
      <c r="C7778" s="17" t="s">
        <v>3556</v>
      </c>
      <c r="D7778" s="17"/>
      <c r="E7778" s="17" t="s">
        <v>1841</v>
      </c>
      <c r="F7778" s="17"/>
      <c r="G7778" s="18" t="n">
        <v>0</v>
      </c>
      <c r="H7778" s="18" t="n">
        <v>396.71</v>
      </c>
      <c r="I7778" s="18" t="n">
        <f aca="false">((I7777 + G7778) - H7778)</f>
        <v>-286605.63</v>
      </c>
      <c r="J7778" s="18" t="n">
        <v>0</v>
      </c>
      <c r="K7778" s="19" t="n">
        <v>0</v>
      </c>
      <c r="L7778" s="17"/>
    </row>
    <row r="7779" s="11" customFormat="true" ht="10.95" hidden="false" customHeight="true" outlineLevel="0" collapsed="false">
      <c r="A7779" s="16" t="n">
        <v>45260</v>
      </c>
      <c r="B7779" s="17" t="s">
        <v>3610</v>
      </c>
      <c r="C7779" s="17" t="s">
        <v>3556</v>
      </c>
      <c r="D7779" s="17"/>
      <c r="E7779" s="17" t="s">
        <v>1843</v>
      </c>
      <c r="F7779" s="17"/>
      <c r="G7779" s="18" t="n">
        <v>0</v>
      </c>
      <c r="H7779" s="18" t="n">
        <v>172.43</v>
      </c>
      <c r="I7779" s="18" t="n">
        <f aca="false">((I7778 + G7779) - H7779)</f>
        <v>-286778.06</v>
      </c>
      <c r="J7779" s="18" t="n">
        <v>0</v>
      </c>
      <c r="K7779" s="19" t="n">
        <v>0</v>
      </c>
      <c r="L7779" s="17"/>
    </row>
    <row r="7780" s="11" customFormat="true" ht="10.95" hidden="false" customHeight="true" outlineLevel="0" collapsed="false">
      <c r="A7780" s="16" t="n">
        <v>45260</v>
      </c>
      <c r="B7780" s="17" t="s">
        <v>3610</v>
      </c>
      <c r="C7780" s="17" t="s">
        <v>3556</v>
      </c>
      <c r="D7780" s="17"/>
      <c r="E7780" s="17" t="s">
        <v>1844</v>
      </c>
      <c r="F7780" s="17"/>
      <c r="G7780" s="18" t="n">
        <v>0</v>
      </c>
      <c r="H7780" s="18" t="n">
        <v>9.43</v>
      </c>
      <c r="I7780" s="18" t="n">
        <f aca="false">((I7779 + G7780) - H7780)</f>
        <v>-286787.49</v>
      </c>
      <c r="J7780" s="18" t="n">
        <v>0</v>
      </c>
      <c r="K7780" s="19" t="n">
        <v>0</v>
      </c>
      <c r="L7780" s="17"/>
    </row>
    <row r="7781" s="11" customFormat="true" ht="10.95" hidden="false" customHeight="true" outlineLevel="0" collapsed="false">
      <c r="A7781" s="16" t="n">
        <v>45260</v>
      </c>
      <c r="B7781" s="17" t="s">
        <v>3610</v>
      </c>
      <c r="C7781" s="17" t="s">
        <v>3556</v>
      </c>
      <c r="D7781" s="17"/>
      <c r="E7781" s="17" t="s">
        <v>1845</v>
      </c>
      <c r="F7781" s="17"/>
      <c r="G7781" s="18" t="n">
        <v>0</v>
      </c>
      <c r="H7781" s="18" t="n">
        <v>12.32</v>
      </c>
      <c r="I7781" s="18" t="n">
        <f aca="false">((I7780 + G7781) - H7781)</f>
        <v>-286799.81</v>
      </c>
      <c r="J7781" s="18" t="n">
        <v>0</v>
      </c>
      <c r="K7781" s="19" t="n">
        <v>0</v>
      </c>
      <c r="L7781" s="17"/>
    </row>
    <row r="7782" s="11" customFormat="true" ht="10.95" hidden="false" customHeight="true" outlineLevel="0" collapsed="false">
      <c r="A7782" s="16" t="n">
        <v>45260</v>
      </c>
      <c r="B7782" s="17" t="s">
        <v>3610</v>
      </c>
      <c r="C7782" s="17" t="s">
        <v>3556</v>
      </c>
      <c r="D7782" s="17"/>
      <c r="E7782" s="17" t="s">
        <v>1846</v>
      </c>
      <c r="F7782" s="17"/>
      <c r="G7782" s="18" t="n">
        <v>0</v>
      </c>
      <c r="H7782" s="18" t="n">
        <v>10.07</v>
      </c>
      <c r="I7782" s="18" t="n">
        <f aca="false">((I7781 + G7782) - H7782)</f>
        <v>-286809.88</v>
      </c>
      <c r="J7782" s="18" t="n">
        <v>0</v>
      </c>
      <c r="K7782" s="19" t="n">
        <v>0</v>
      </c>
      <c r="L7782" s="17"/>
    </row>
    <row r="7783" s="11" customFormat="true" ht="10.95" hidden="false" customHeight="true" outlineLevel="0" collapsed="false">
      <c r="A7783" s="16" t="n">
        <v>45260</v>
      </c>
      <c r="B7783" s="17" t="s">
        <v>3610</v>
      </c>
      <c r="C7783" s="17" t="s">
        <v>3556</v>
      </c>
      <c r="D7783" s="17"/>
      <c r="E7783" s="17" t="s">
        <v>1847</v>
      </c>
      <c r="F7783" s="17"/>
      <c r="G7783" s="18" t="n">
        <v>0</v>
      </c>
      <c r="H7783" s="18" t="n">
        <v>72.85</v>
      </c>
      <c r="I7783" s="18" t="n">
        <f aca="false">((I7782 + G7783) - H7783)</f>
        <v>-286882.73</v>
      </c>
      <c r="J7783" s="18" t="n">
        <v>0</v>
      </c>
      <c r="K7783" s="19" t="n">
        <v>0</v>
      </c>
      <c r="L7783" s="17"/>
    </row>
    <row r="7784" s="11" customFormat="true" ht="10.95" hidden="false" customHeight="true" outlineLevel="0" collapsed="false">
      <c r="A7784" s="16" t="n">
        <v>45260</v>
      </c>
      <c r="B7784" s="17" t="s">
        <v>3610</v>
      </c>
      <c r="C7784" s="17" t="s">
        <v>3556</v>
      </c>
      <c r="D7784" s="17"/>
      <c r="E7784" s="17" t="s">
        <v>1850</v>
      </c>
      <c r="F7784" s="17"/>
      <c r="G7784" s="18" t="n">
        <v>0</v>
      </c>
      <c r="H7784" s="18" t="n">
        <v>49.29</v>
      </c>
      <c r="I7784" s="18" t="n">
        <f aca="false">((I7783 + G7784) - H7784)</f>
        <v>-286932.02</v>
      </c>
      <c r="J7784" s="18" t="n">
        <v>0</v>
      </c>
      <c r="K7784" s="19" t="n">
        <v>0</v>
      </c>
      <c r="L7784" s="17"/>
    </row>
    <row r="7785" s="11" customFormat="true" ht="10.95" hidden="false" customHeight="true" outlineLevel="0" collapsed="false">
      <c r="A7785" s="16" t="n">
        <v>45260</v>
      </c>
      <c r="B7785" s="17" t="s">
        <v>3610</v>
      </c>
      <c r="C7785" s="17" t="s">
        <v>3556</v>
      </c>
      <c r="D7785" s="17"/>
      <c r="E7785" s="17" t="s">
        <v>1851</v>
      </c>
      <c r="F7785" s="17"/>
      <c r="G7785" s="18" t="n">
        <v>0</v>
      </c>
      <c r="H7785" s="18" t="n">
        <v>109.89</v>
      </c>
      <c r="I7785" s="18" t="n">
        <f aca="false">((I7784 + G7785) - H7785)</f>
        <v>-287041.91</v>
      </c>
      <c r="J7785" s="18" t="n">
        <v>0</v>
      </c>
      <c r="K7785" s="19" t="n">
        <v>0</v>
      </c>
      <c r="L7785" s="17"/>
    </row>
    <row r="7786" s="11" customFormat="true" ht="10.95" hidden="false" customHeight="true" outlineLevel="0" collapsed="false">
      <c r="A7786" s="16" t="n">
        <v>45260</v>
      </c>
      <c r="B7786" s="17" t="s">
        <v>3610</v>
      </c>
      <c r="C7786" s="17" t="s">
        <v>3556</v>
      </c>
      <c r="D7786" s="17"/>
      <c r="E7786" s="17" t="s">
        <v>1852</v>
      </c>
      <c r="F7786" s="17"/>
      <c r="G7786" s="18" t="n">
        <v>0</v>
      </c>
      <c r="H7786" s="18" t="n">
        <v>112.71</v>
      </c>
      <c r="I7786" s="18" t="n">
        <f aca="false">((I7785 + G7786) - H7786)</f>
        <v>-287154.62</v>
      </c>
      <c r="J7786" s="18" t="n">
        <v>0</v>
      </c>
      <c r="K7786" s="19" t="n">
        <v>0</v>
      </c>
      <c r="L7786" s="17"/>
    </row>
    <row r="7787" s="11" customFormat="true" ht="10.95" hidden="false" customHeight="true" outlineLevel="0" collapsed="false">
      <c r="A7787" s="16" t="n">
        <v>45260</v>
      </c>
      <c r="B7787" s="17" t="s">
        <v>3610</v>
      </c>
      <c r="C7787" s="17" t="s">
        <v>3556</v>
      </c>
      <c r="D7787" s="17"/>
      <c r="E7787" s="17" t="s">
        <v>1854</v>
      </c>
      <c r="F7787" s="17"/>
      <c r="G7787" s="18" t="n">
        <v>0</v>
      </c>
      <c r="H7787" s="18" t="n">
        <v>20.72</v>
      </c>
      <c r="I7787" s="18" t="n">
        <f aca="false">((I7786 + G7787) - H7787)</f>
        <v>-287175.34</v>
      </c>
      <c r="J7787" s="18" t="n">
        <v>0</v>
      </c>
      <c r="K7787" s="19" t="n">
        <v>0</v>
      </c>
      <c r="L7787" s="17"/>
    </row>
    <row r="7788" s="11" customFormat="true" ht="10.95" hidden="false" customHeight="true" outlineLevel="0" collapsed="false">
      <c r="A7788" s="16" t="n">
        <v>45291</v>
      </c>
      <c r="B7788" s="17" t="s">
        <v>3610</v>
      </c>
      <c r="C7788" s="17" t="s">
        <v>3556</v>
      </c>
      <c r="D7788" s="17"/>
      <c r="E7788" s="17" t="s">
        <v>1855</v>
      </c>
      <c r="F7788" s="17"/>
      <c r="G7788" s="18" t="n">
        <v>0</v>
      </c>
      <c r="H7788" s="18" t="n">
        <v>314.67</v>
      </c>
      <c r="I7788" s="18" t="n">
        <f aca="false">((I7787 + G7788) - H7788)</f>
        <v>-287490.01</v>
      </c>
      <c r="J7788" s="18" t="n">
        <v>0</v>
      </c>
      <c r="K7788" s="19" t="n">
        <v>0</v>
      </c>
      <c r="L7788" s="17"/>
    </row>
    <row r="7789" s="11" customFormat="true" ht="10.95" hidden="false" customHeight="true" outlineLevel="0" collapsed="false">
      <c r="A7789" s="16" t="n">
        <v>45291</v>
      </c>
      <c r="B7789" s="17" t="s">
        <v>3610</v>
      </c>
      <c r="C7789" s="17" t="s">
        <v>3556</v>
      </c>
      <c r="D7789" s="17"/>
      <c r="E7789" s="17" t="s">
        <v>1856</v>
      </c>
      <c r="F7789" s="17"/>
      <c r="G7789" s="18" t="n">
        <v>0</v>
      </c>
      <c r="H7789" s="18" t="n">
        <v>409.93</v>
      </c>
      <c r="I7789" s="18" t="n">
        <f aca="false">((I7788 + G7789) - H7789)</f>
        <v>-287899.94</v>
      </c>
      <c r="J7789" s="18" t="n">
        <v>0</v>
      </c>
      <c r="K7789" s="19" t="n">
        <v>0</v>
      </c>
      <c r="L7789" s="17"/>
    </row>
    <row r="7790" s="11" customFormat="true" ht="10.95" hidden="false" customHeight="true" outlineLevel="0" collapsed="false">
      <c r="A7790" s="16" t="n">
        <v>45291</v>
      </c>
      <c r="B7790" s="17" t="s">
        <v>3610</v>
      </c>
      <c r="C7790" s="17" t="s">
        <v>3556</v>
      </c>
      <c r="D7790" s="17"/>
      <c r="E7790" s="17" t="s">
        <v>1858</v>
      </c>
      <c r="F7790" s="17"/>
      <c r="G7790" s="18" t="n">
        <v>0</v>
      </c>
      <c r="H7790" s="18" t="n">
        <v>178.17</v>
      </c>
      <c r="I7790" s="18" t="n">
        <f aca="false">((I7789 + G7790) - H7790)</f>
        <v>-288078.11</v>
      </c>
      <c r="J7790" s="18" t="n">
        <v>0</v>
      </c>
      <c r="K7790" s="19" t="n">
        <v>0</v>
      </c>
      <c r="L7790" s="17"/>
    </row>
    <row r="7791" s="11" customFormat="true" ht="10.95" hidden="false" customHeight="true" outlineLevel="0" collapsed="false">
      <c r="A7791" s="16" t="n">
        <v>45291</v>
      </c>
      <c r="B7791" s="17" t="s">
        <v>3610</v>
      </c>
      <c r="C7791" s="17" t="s">
        <v>3556</v>
      </c>
      <c r="D7791" s="17"/>
      <c r="E7791" s="17" t="s">
        <v>1859</v>
      </c>
      <c r="F7791" s="17"/>
      <c r="G7791" s="18" t="n">
        <v>0</v>
      </c>
      <c r="H7791" s="18" t="n">
        <v>9.74</v>
      </c>
      <c r="I7791" s="18" t="n">
        <f aca="false">((I7790 + G7791) - H7791)</f>
        <v>-288087.85</v>
      </c>
      <c r="J7791" s="18" t="n">
        <v>0</v>
      </c>
      <c r="K7791" s="19" t="n">
        <v>0</v>
      </c>
      <c r="L7791" s="17"/>
    </row>
    <row r="7792" s="11" customFormat="true" ht="10.95" hidden="false" customHeight="true" outlineLevel="0" collapsed="false">
      <c r="A7792" s="16" t="n">
        <v>45291</v>
      </c>
      <c r="B7792" s="17" t="s">
        <v>3610</v>
      </c>
      <c r="C7792" s="17" t="s">
        <v>3556</v>
      </c>
      <c r="D7792" s="17"/>
      <c r="E7792" s="17" t="s">
        <v>1860</v>
      </c>
      <c r="F7792" s="17"/>
      <c r="G7792" s="18" t="n">
        <v>0</v>
      </c>
      <c r="H7792" s="18" t="n">
        <v>12.74</v>
      </c>
      <c r="I7792" s="18" t="n">
        <f aca="false">((I7791 + G7792) - H7792)</f>
        <v>-288100.59</v>
      </c>
      <c r="J7792" s="18" t="n">
        <v>0</v>
      </c>
      <c r="K7792" s="19" t="n">
        <v>0</v>
      </c>
      <c r="L7792" s="17"/>
    </row>
    <row r="7793" s="11" customFormat="true" ht="10.95" hidden="false" customHeight="true" outlineLevel="0" collapsed="false">
      <c r="A7793" s="16" t="n">
        <v>45291</v>
      </c>
      <c r="B7793" s="17" t="s">
        <v>3610</v>
      </c>
      <c r="C7793" s="17" t="s">
        <v>3556</v>
      </c>
      <c r="D7793" s="17"/>
      <c r="E7793" s="17" t="s">
        <v>1861</v>
      </c>
      <c r="F7793" s="17"/>
      <c r="G7793" s="18" t="n">
        <v>0</v>
      </c>
      <c r="H7793" s="18" t="n">
        <v>10.41</v>
      </c>
      <c r="I7793" s="18" t="n">
        <f aca="false">((I7792 + G7793) - H7793)</f>
        <v>-288111</v>
      </c>
      <c r="J7793" s="18" t="n">
        <v>0</v>
      </c>
      <c r="K7793" s="19" t="n">
        <v>0</v>
      </c>
      <c r="L7793" s="17"/>
    </row>
    <row r="7794" s="11" customFormat="true" ht="10.95" hidden="false" customHeight="true" outlineLevel="0" collapsed="false">
      <c r="A7794" s="16" t="n">
        <v>45291</v>
      </c>
      <c r="B7794" s="17" t="s">
        <v>3610</v>
      </c>
      <c r="C7794" s="17" t="s">
        <v>3556</v>
      </c>
      <c r="D7794" s="17"/>
      <c r="E7794" s="17" t="s">
        <v>1862</v>
      </c>
      <c r="F7794" s="17"/>
      <c r="G7794" s="18" t="n">
        <v>0</v>
      </c>
      <c r="H7794" s="18" t="n">
        <v>75.28</v>
      </c>
      <c r="I7794" s="18" t="n">
        <f aca="false">((I7793 + G7794) - H7794)</f>
        <v>-288186.28</v>
      </c>
      <c r="J7794" s="18" t="n">
        <v>0</v>
      </c>
      <c r="K7794" s="19" t="n">
        <v>0</v>
      </c>
      <c r="L7794" s="17"/>
    </row>
    <row r="7795" s="11" customFormat="true" ht="10.95" hidden="false" customHeight="true" outlineLevel="0" collapsed="false">
      <c r="A7795" s="16" t="n">
        <v>45291</v>
      </c>
      <c r="B7795" s="17" t="s">
        <v>3610</v>
      </c>
      <c r="C7795" s="17" t="s">
        <v>3556</v>
      </c>
      <c r="D7795" s="17"/>
      <c r="E7795" s="17" t="s">
        <v>1865</v>
      </c>
      <c r="F7795" s="17"/>
      <c r="G7795" s="18" t="n">
        <v>0</v>
      </c>
      <c r="H7795" s="18" t="n">
        <v>50.93</v>
      </c>
      <c r="I7795" s="18" t="n">
        <f aca="false">((I7794 + G7795) - H7795)</f>
        <v>-288237.21</v>
      </c>
      <c r="J7795" s="18" t="n">
        <v>0</v>
      </c>
      <c r="K7795" s="19" t="n">
        <v>0</v>
      </c>
      <c r="L7795" s="17"/>
    </row>
    <row r="7796" s="11" customFormat="true" ht="10.95" hidden="false" customHeight="true" outlineLevel="0" collapsed="false">
      <c r="A7796" s="16" t="n">
        <v>45291</v>
      </c>
      <c r="B7796" s="17" t="s">
        <v>3610</v>
      </c>
      <c r="C7796" s="17" t="s">
        <v>3556</v>
      </c>
      <c r="D7796" s="17"/>
      <c r="E7796" s="17" t="s">
        <v>1866</v>
      </c>
      <c r="F7796" s="17"/>
      <c r="G7796" s="18" t="n">
        <v>0</v>
      </c>
      <c r="H7796" s="18" t="n">
        <v>113.55</v>
      </c>
      <c r="I7796" s="18" t="n">
        <f aca="false">((I7795 + G7796) - H7796)</f>
        <v>-288350.76</v>
      </c>
      <c r="J7796" s="18" t="n">
        <v>0</v>
      </c>
      <c r="K7796" s="19" t="n">
        <v>0</v>
      </c>
      <c r="L7796" s="17"/>
    </row>
    <row r="7797" s="11" customFormat="true" ht="10.95" hidden="false" customHeight="true" outlineLevel="0" collapsed="false">
      <c r="A7797" s="16" t="n">
        <v>45291</v>
      </c>
      <c r="B7797" s="17" t="s">
        <v>3610</v>
      </c>
      <c r="C7797" s="17" t="s">
        <v>3556</v>
      </c>
      <c r="D7797" s="17"/>
      <c r="E7797" s="17" t="s">
        <v>1867</v>
      </c>
      <c r="F7797" s="17"/>
      <c r="G7797" s="18" t="n">
        <v>0</v>
      </c>
      <c r="H7797" s="18" t="n">
        <v>116.46</v>
      </c>
      <c r="I7797" s="18" t="n">
        <f aca="false">((I7796 + G7797) - H7797)</f>
        <v>-288467.22</v>
      </c>
      <c r="J7797" s="18" t="n">
        <v>0</v>
      </c>
      <c r="K7797" s="19" t="n">
        <v>0</v>
      </c>
      <c r="L7797" s="17"/>
    </row>
    <row r="7798" s="11" customFormat="true" ht="10.95" hidden="false" customHeight="true" outlineLevel="0" collapsed="false">
      <c r="A7798" s="16" t="n">
        <v>45291</v>
      </c>
      <c r="B7798" s="17" t="s">
        <v>3610</v>
      </c>
      <c r="C7798" s="17" t="s">
        <v>3556</v>
      </c>
      <c r="D7798" s="17"/>
      <c r="E7798" s="17" t="s">
        <v>1869</v>
      </c>
      <c r="F7798" s="17"/>
      <c r="G7798" s="18" t="n">
        <v>0</v>
      </c>
      <c r="H7798" s="18" t="n">
        <v>21.41</v>
      </c>
      <c r="I7798" s="18" t="n">
        <f aca="false">((I7797 + G7798) - H7798)</f>
        <v>-288488.63</v>
      </c>
      <c r="J7798" s="18" t="n">
        <v>0</v>
      </c>
      <c r="K7798" s="19" t="n">
        <v>0</v>
      </c>
      <c r="L7798" s="17"/>
    </row>
    <row r="7799" s="11" customFormat="true" ht="10.95" hidden="false" customHeight="true" outlineLevel="0" collapsed="false">
      <c r="A7799" s="16" t="n">
        <v>45291</v>
      </c>
      <c r="B7799" s="17" t="s">
        <v>3610</v>
      </c>
      <c r="C7799" s="17" t="s">
        <v>3556</v>
      </c>
      <c r="D7799" s="17"/>
      <c r="E7799" s="17" t="s">
        <v>1870</v>
      </c>
      <c r="F7799" s="17"/>
      <c r="G7799" s="18" t="n">
        <v>0</v>
      </c>
      <c r="H7799" s="18" t="n">
        <v>632.73</v>
      </c>
      <c r="I7799" s="18" t="n">
        <f aca="false">((I7798 + G7799) - H7799)</f>
        <v>-289121.36</v>
      </c>
      <c r="J7799" s="18" t="n">
        <v>0</v>
      </c>
      <c r="K7799" s="19" t="n">
        <v>0</v>
      </c>
      <c r="L7799" s="17"/>
    </row>
    <row r="7800" s="11" customFormat="true" ht="10.95" hidden="false" customHeight="true" outlineLevel="0" collapsed="false">
      <c r="A7800" s="16" t="n">
        <v>45322</v>
      </c>
      <c r="B7800" s="17" t="s">
        <v>3610</v>
      </c>
      <c r="C7800" s="17" t="s">
        <v>3556</v>
      </c>
      <c r="D7800" s="17"/>
      <c r="E7800" s="17" t="s">
        <v>1871</v>
      </c>
      <c r="F7800" s="17"/>
      <c r="G7800" s="18" t="n">
        <v>0</v>
      </c>
      <c r="H7800" s="18" t="n">
        <v>314.67</v>
      </c>
      <c r="I7800" s="18" t="n">
        <f aca="false">((I7799 + G7800) - H7800)</f>
        <v>-289436.03</v>
      </c>
      <c r="J7800" s="18" t="n">
        <v>0</v>
      </c>
      <c r="K7800" s="19" t="n">
        <v>0</v>
      </c>
      <c r="L7800" s="17"/>
    </row>
    <row r="7801" s="11" customFormat="true" ht="10.95" hidden="false" customHeight="true" outlineLevel="0" collapsed="false">
      <c r="A7801" s="16" t="n">
        <v>45322</v>
      </c>
      <c r="B7801" s="17" t="s">
        <v>3610</v>
      </c>
      <c r="C7801" s="17" t="s">
        <v>3556</v>
      </c>
      <c r="D7801" s="17"/>
      <c r="E7801" s="17" t="s">
        <v>1872</v>
      </c>
      <c r="F7801" s="17"/>
      <c r="G7801" s="18" t="n">
        <v>0</v>
      </c>
      <c r="H7801" s="18" t="n">
        <v>409.93</v>
      </c>
      <c r="I7801" s="18" t="n">
        <f aca="false">((I7800 + G7801) - H7801)</f>
        <v>-289845.96</v>
      </c>
      <c r="J7801" s="18" t="n">
        <v>0</v>
      </c>
      <c r="K7801" s="19" t="n">
        <v>0</v>
      </c>
      <c r="L7801" s="17"/>
    </row>
    <row r="7802" s="11" customFormat="true" ht="10.95" hidden="false" customHeight="true" outlineLevel="0" collapsed="false">
      <c r="A7802" s="16" t="n">
        <v>45322</v>
      </c>
      <c r="B7802" s="17" t="s">
        <v>3610</v>
      </c>
      <c r="C7802" s="17" t="s">
        <v>3556</v>
      </c>
      <c r="D7802" s="17"/>
      <c r="E7802" s="17" t="s">
        <v>1874</v>
      </c>
      <c r="F7802" s="17"/>
      <c r="G7802" s="18" t="n">
        <v>0</v>
      </c>
      <c r="H7802" s="18" t="n">
        <v>178.17</v>
      </c>
      <c r="I7802" s="18" t="n">
        <f aca="false">((I7801 + G7802) - H7802)</f>
        <v>-290024.13</v>
      </c>
      <c r="J7802" s="18" t="n">
        <v>0</v>
      </c>
      <c r="K7802" s="19" t="n">
        <v>0</v>
      </c>
      <c r="L7802" s="17"/>
    </row>
    <row r="7803" s="11" customFormat="true" ht="10.95" hidden="false" customHeight="true" outlineLevel="0" collapsed="false">
      <c r="A7803" s="16" t="n">
        <v>45322</v>
      </c>
      <c r="B7803" s="17" t="s">
        <v>3610</v>
      </c>
      <c r="C7803" s="17" t="s">
        <v>3556</v>
      </c>
      <c r="D7803" s="17"/>
      <c r="E7803" s="17" t="s">
        <v>1875</v>
      </c>
      <c r="F7803" s="17"/>
      <c r="G7803" s="18" t="n">
        <v>0</v>
      </c>
      <c r="H7803" s="18" t="n">
        <v>9.75</v>
      </c>
      <c r="I7803" s="18" t="n">
        <f aca="false">((I7802 + G7803) - H7803)</f>
        <v>-290033.88</v>
      </c>
      <c r="J7803" s="18" t="n">
        <v>0</v>
      </c>
      <c r="K7803" s="19" t="n">
        <v>0</v>
      </c>
      <c r="L7803" s="17"/>
    </row>
    <row r="7804" s="11" customFormat="true" ht="10.95" hidden="false" customHeight="true" outlineLevel="0" collapsed="false">
      <c r="A7804" s="16" t="n">
        <v>45322</v>
      </c>
      <c r="B7804" s="17" t="s">
        <v>3610</v>
      </c>
      <c r="C7804" s="17" t="s">
        <v>3556</v>
      </c>
      <c r="D7804" s="17"/>
      <c r="E7804" s="17" t="s">
        <v>1876</v>
      </c>
      <c r="F7804" s="17"/>
      <c r="G7804" s="18" t="n">
        <v>0</v>
      </c>
      <c r="H7804" s="18" t="n">
        <v>12.73</v>
      </c>
      <c r="I7804" s="18" t="n">
        <f aca="false">((I7803 + G7804) - H7804)</f>
        <v>-290046.61</v>
      </c>
      <c r="J7804" s="18" t="n">
        <v>0</v>
      </c>
      <c r="K7804" s="19" t="n">
        <v>0</v>
      </c>
      <c r="L7804" s="17"/>
    </row>
    <row r="7805" s="11" customFormat="true" ht="10.95" hidden="false" customHeight="true" outlineLevel="0" collapsed="false">
      <c r="A7805" s="16" t="n">
        <v>45322</v>
      </c>
      <c r="B7805" s="17" t="s">
        <v>3610</v>
      </c>
      <c r="C7805" s="17" t="s">
        <v>3556</v>
      </c>
      <c r="D7805" s="17"/>
      <c r="E7805" s="17" t="s">
        <v>1877</v>
      </c>
      <c r="F7805" s="17"/>
      <c r="G7805" s="18" t="n">
        <v>0</v>
      </c>
      <c r="H7805" s="18" t="n">
        <v>10.4</v>
      </c>
      <c r="I7805" s="18" t="n">
        <f aca="false">((I7804 + G7805) - H7805)</f>
        <v>-290057.01</v>
      </c>
      <c r="J7805" s="18" t="n">
        <v>0</v>
      </c>
      <c r="K7805" s="19" t="n">
        <v>0</v>
      </c>
      <c r="L7805" s="17"/>
    </row>
    <row r="7806" s="11" customFormat="true" ht="10.95" hidden="false" customHeight="true" outlineLevel="0" collapsed="false">
      <c r="A7806" s="16" t="n">
        <v>45322</v>
      </c>
      <c r="B7806" s="17" t="s">
        <v>3610</v>
      </c>
      <c r="C7806" s="17" t="s">
        <v>3556</v>
      </c>
      <c r="D7806" s="17"/>
      <c r="E7806" s="17" t="s">
        <v>1878</v>
      </c>
      <c r="F7806" s="17"/>
      <c r="G7806" s="18" t="n">
        <v>0</v>
      </c>
      <c r="H7806" s="18" t="n">
        <v>75.28</v>
      </c>
      <c r="I7806" s="18" t="n">
        <f aca="false">((I7805 + G7806) - H7806)</f>
        <v>-290132.29</v>
      </c>
      <c r="J7806" s="18" t="n">
        <v>0</v>
      </c>
      <c r="K7806" s="19" t="n">
        <v>0</v>
      </c>
      <c r="L7806" s="17"/>
    </row>
    <row r="7807" s="11" customFormat="true" ht="10.95" hidden="false" customHeight="true" outlineLevel="0" collapsed="false">
      <c r="A7807" s="16" t="n">
        <v>45322</v>
      </c>
      <c r="B7807" s="17" t="s">
        <v>3610</v>
      </c>
      <c r="C7807" s="17" t="s">
        <v>3556</v>
      </c>
      <c r="D7807" s="17"/>
      <c r="E7807" s="17" t="s">
        <v>1881</v>
      </c>
      <c r="F7807" s="17"/>
      <c r="G7807" s="18" t="n">
        <v>0</v>
      </c>
      <c r="H7807" s="18" t="n">
        <v>50.94</v>
      </c>
      <c r="I7807" s="18" t="n">
        <f aca="false">((I7806 + G7807) - H7807)</f>
        <v>-290183.23</v>
      </c>
      <c r="J7807" s="18" t="n">
        <v>0</v>
      </c>
      <c r="K7807" s="19" t="n">
        <v>0</v>
      </c>
      <c r="L7807" s="17"/>
    </row>
    <row r="7808" s="11" customFormat="true" ht="10.95" hidden="false" customHeight="true" outlineLevel="0" collapsed="false">
      <c r="A7808" s="16" t="n">
        <v>45322</v>
      </c>
      <c r="B7808" s="17" t="s">
        <v>3610</v>
      </c>
      <c r="C7808" s="17" t="s">
        <v>3556</v>
      </c>
      <c r="D7808" s="17"/>
      <c r="E7808" s="17" t="s">
        <v>1882</v>
      </c>
      <c r="F7808" s="17"/>
      <c r="G7808" s="18" t="n">
        <v>0</v>
      </c>
      <c r="H7808" s="18" t="n">
        <v>113.55</v>
      </c>
      <c r="I7808" s="18" t="n">
        <f aca="false">((I7807 + G7808) - H7808)</f>
        <v>-290296.78</v>
      </c>
      <c r="J7808" s="18" t="n">
        <v>0</v>
      </c>
      <c r="K7808" s="19" t="n">
        <v>0</v>
      </c>
      <c r="L7808" s="17"/>
    </row>
    <row r="7809" s="11" customFormat="true" ht="10.95" hidden="false" customHeight="true" outlineLevel="0" collapsed="false">
      <c r="A7809" s="16" t="n">
        <v>45322</v>
      </c>
      <c r="B7809" s="17" t="s">
        <v>3610</v>
      </c>
      <c r="C7809" s="17" t="s">
        <v>3556</v>
      </c>
      <c r="D7809" s="17"/>
      <c r="E7809" s="17" t="s">
        <v>1883</v>
      </c>
      <c r="F7809" s="17"/>
      <c r="G7809" s="18" t="n">
        <v>0</v>
      </c>
      <c r="H7809" s="18" t="n">
        <v>116.46</v>
      </c>
      <c r="I7809" s="18" t="n">
        <f aca="false">((I7808 + G7809) - H7809)</f>
        <v>-290413.24</v>
      </c>
      <c r="J7809" s="18" t="n">
        <v>0</v>
      </c>
      <c r="K7809" s="19" t="n">
        <v>0</v>
      </c>
      <c r="L7809" s="17"/>
    </row>
    <row r="7810" s="11" customFormat="true" ht="10.95" hidden="false" customHeight="true" outlineLevel="0" collapsed="false">
      <c r="A7810" s="16" t="n">
        <v>45322</v>
      </c>
      <c r="B7810" s="17" t="s">
        <v>3610</v>
      </c>
      <c r="C7810" s="17" t="s">
        <v>3556</v>
      </c>
      <c r="D7810" s="17"/>
      <c r="E7810" s="17" t="s">
        <v>1885</v>
      </c>
      <c r="F7810" s="17"/>
      <c r="G7810" s="18" t="n">
        <v>0</v>
      </c>
      <c r="H7810" s="18" t="n">
        <v>21.41</v>
      </c>
      <c r="I7810" s="18" t="n">
        <f aca="false">((I7809 + G7810) - H7810)</f>
        <v>-290434.65</v>
      </c>
      <c r="J7810" s="18" t="n">
        <v>0</v>
      </c>
      <c r="K7810" s="19" t="n">
        <v>0</v>
      </c>
      <c r="L7810" s="17"/>
    </row>
    <row r="7811" s="11" customFormat="true" ht="10.95" hidden="false" customHeight="true" outlineLevel="0" collapsed="false">
      <c r="A7811" s="16" t="n">
        <v>45322</v>
      </c>
      <c r="B7811" s="17" t="s">
        <v>3610</v>
      </c>
      <c r="C7811" s="17" t="s">
        <v>3556</v>
      </c>
      <c r="D7811" s="17"/>
      <c r="E7811" s="17" t="s">
        <v>1886</v>
      </c>
      <c r="F7811" s="17"/>
      <c r="G7811" s="18" t="n">
        <v>0</v>
      </c>
      <c r="H7811" s="18" t="n">
        <v>676.36</v>
      </c>
      <c r="I7811" s="18" t="n">
        <f aca="false">((I7810 + G7811) - H7811)</f>
        <v>-291111.01</v>
      </c>
      <c r="J7811" s="18" t="n">
        <v>0</v>
      </c>
      <c r="K7811" s="19" t="n">
        <v>0</v>
      </c>
      <c r="L7811" s="17"/>
    </row>
    <row r="7812" s="11" customFormat="true" ht="10.95" hidden="false" customHeight="true" outlineLevel="0" collapsed="false">
      <c r="A7812" s="16" t="n">
        <v>45351</v>
      </c>
      <c r="B7812" s="17" t="s">
        <v>3610</v>
      </c>
      <c r="C7812" s="17" t="s">
        <v>3556</v>
      </c>
      <c r="D7812" s="17"/>
      <c r="E7812" s="17" t="s">
        <v>1887</v>
      </c>
      <c r="F7812" s="17"/>
      <c r="G7812" s="18" t="n">
        <v>0</v>
      </c>
      <c r="H7812" s="18" t="n">
        <v>294.37</v>
      </c>
      <c r="I7812" s="18" t="n">
        <f aca="false">((I7811 + G7812) - H7812)</f>
        <v>-291405.38</v>
      </c>
      <c r="J7812" s="18" t="n">
        <v>0</v>
      </c>
      <c r="K7812" s="19" t="n">
        <v>0</v>
      </c>
      <c r="L7812" s="17"/>
    </row>
    <row r="7813" s="11" customFormat="true" ht="10.95" hidden="false" customHeight="true" outlineLevel="0" collapsed="false">
      <c r="A7813" s="16" t="n">
        <v>45351</v>
      </c>
      <c r="B7813" s="17" t="s">
        <v>3610</v>
      </c>
      <c r="C7813" s="17" t="s">
        <v>3556</v>
      </c>
      <c r="D7813" s="17"/>
      <c r="E7813" s="17" t="s">
        <v>1888</v>
      </c>
      <c r="F7813" s="17"/>
      <c r="G7813" s="18" t="n">
        <v>0</v>
      </c>
      <c r="H7813" s="18" t="n">
        <v>383.48</v>
      </c>
      <c r="I7813" s="18" t="n">
        <f aca="false">((I7812 + G7813) - H7813)</f>
        <v>-291788.86</v>
      </c>
      <c r="J7813" s="18" t="n">
        <v>0</v>
      </c>
      <c r="K7813" s="19" t="n">
        <v>0</v>
      </c>
      <c r="L7813" s="17"/>
    </row>
    <row r="7814" s="11" customFormat="true" ht="10.95" hidden="false" customHeight="true" outlineLevel="0" collapsed="false">
      <c r="A7814" s="16" t="n">
        <v>45351</v>
      </c>
      <c r="B7814" s="17" t="s">
        <v>3610</v>
      </c>
      <c r="C7814" s="17" t="s">
        <v>3556</v>
      </c>
      <c r="D7814" s="17"/>
      <c r="E7814" s="17" t="s">
        <v>1890</v>
      </c>
      <c r="F7814" s="17"/>
      <c r="G7814" s="18" t="n">
        <v>0</v>
      </c>
      <c r="H7814" s="18" t="n">
        <v>166.68</v>
      </c>
      <c r="I7814" s="18" t="n">
        <f aca="false">((I7813 + G7814) - H7814)</f>
        <v>-291955.54</v>
      </c>
      <c r="J7814" s="18" t="n">
        <v>0</v>
      </c>
      <c r="K7814" s="19" t="n">
        <v>0</v>
      </c>
      <c r="L7814" s="17"/>
    </row>
    <row r="7815" s="11" customFormat="true" ht="10.95" hidden="false" customHeight="true" outlineLevel="0" collapsed="false">
      <c r="A7815" s="16" t="n">
        <v>45351</v>
      </c>
      <c r="B7815" s="17" t="s">
        <v>3610</v>
      </c>
      <c r="C7815" s="17" t="s">
        <v>3556</v>
      </c>
      <c r="D7815" s="17"/>
      <c r="E7815" s="17" t="s">
        <v>1891</v>
      </c>
      <c r="F7815" s="17"/>
      <c r="G7815" s="18" t="n">
        <v>0</v>
      </c>
      <c r="H7815" s="18" t="n">
        <v>9.11</v>
      </c>
      <c r="I7815" s="18" t="n">
        <f aca="false">((I7814 + G7815) - H7815)</f>
        <v>-291964.65</v>
      </c>
      <c r="J7815" s="18" t="n">
        <v>0</v>
      </c>
      <c r="K7815" s="19" t="n">
        <v>0</v>
      </c>
      <c r="L7815" s="17"/>
    </row>
    <row r="7816" s="11" customFormat="true" ht="10.95" hidden="false" customHeight="true" outlineLevel="0" collapsed="false">
      <c r="A7816" s="16" t="n">
        <v>45351</v>
      </c>
      <c r="B7816" s="17" t="s">
        <v>3610</v>
      </c>
      <c r="C7816" s="17" t="s">
        <v>3556</v>
      </c>
      <c r="D7816" s="17"/>
      <c r="E7816" s="17" t="s">
        <v>1892</v>
      </c>
      <c r="F7816" s="17"/>
      <c r="G7816" s="18" t="n">
        <v>0</v>
      </c>
      <c r="H7816" s="18" t="n">
        <v>11.91</v>
      </c>
      <c r="I7816" s="18" t="n">
        <f aca="false">((I7815 + G7816) - H7816)</f>
        <v>-291976.56</v>
      </c>
      <c r="J7816" s="18" t="n">
        <v>0</v>
      </c>
      <c r="K7816" s="19" t="n">
        <v>0</v>
      </c>
      <c r="L7816" s="17"/>
    </row>
    <row r="7817" s="11" customFormat="true" ht="10.95" hidden="false" customHeight="true" outlineLevel="0" collapsed="false">
      <c r="A7817" s="16" t="n">
        <v>45351</v>
      </c>
      <c r="B7817" s="17" t="s">
        <v>3610</v>
      </c>
      <c r="C7817" s="17" t="s">
        <v>3556</v>
      </c>
      <c r="D7817" s="17"/>
      <c r="E7817" s="17" t="s">
        <v>1893</v>
      </c>
      <c r="F7817" s="17"/>
      <c r="G7817" s="18" t="n">
        <v>0</v>
      </c>
      <c r="H7817" s="18" t="n">
        <v>9.74</v>
      </c>
      <c r="I7817" s="18" t="n">
        <f aca="false">((I7816 + G7817) - H7817)</f>
        <v>-291986.3</v>
      </c>
      <c r="J7817" s="18" t="n">
        <v>0</v>
      </c>
      <c r="K7817" s="19" t="n">
        <v>0</v>
      </c>
      <c r="L7817" s="17"/>
    </row>
    <row r="7818" s="11" customFormat="true" ht="10.95" hidden="false" customHeight="true" outlineLevel="0" collapsed="false">
      <c r="A7818" s="16" t="n">
        <v>45351</v>
      </c>
      <c r="B7818" s="17" t="s">
        <v>3610</v>
      </c>
      <c r="C7818" s="17" t="s">
        <v>3556</v>
      </c>
      <c r="D7818" s="17"/>
      <c r="E7818" s="17" t="s">
        <v>1894</v>
      </c>
      <c r="F7818" s="17"/>
      <c r="G7818" s="18" t="n">
        <v>0</v>
      </c>
      <c r="H7818" s="18" t="n">
        <v>70.42</v>
      </c>
      <c r="I7818" s="18" t="n">
        <f aca="false">((I7817 + G7818) - H7818)</f>
        <v>-292056.72</v>
      </c>
      <c r="J7818" s="18" t="n">
        <v>0</v>
      </c>
      <c r="K7818" s="19" t="n">
        <v>0</v>
      </c>
      <c r="L7818" s="17"/>
    </row>
    <row r="7819" s="11" customFormat="true" ht="10.95" hidden="false" customHeight="true" outlineLevel="0" collapsed="false">
      <c r="A7819" s="16" t="n">
        <v>45351</v>
      </c>
      <c r="B7819" s="17" t="s">
        <v>3610</v>
      </c>
      <c r="C7819" s="17" t="s">
        <v>3556</v>
      </c>
      <c r="D7819" s="17"/>
      <c r="E7819" s="17" t="s">
        <v>1897</v>
      </c>
      <c r="F7819" s="17"/>
      <c r="G7819" s="18" t="n">
        <v>0</v>
      </c>
      <c r="H7819" s="18" t="n">
        <v>47.65</v>
      </c>
      <c r="I7819" s="18" t="n">
        <f aca="false">((I7818 + G7819) - H7819)</f>
        <v>-292104.37</v>
      </c>
      <c r="J7819" s="18" t="n">
        <v>0</v>
      </c>
      <c r="K7819" s="19" t="n">
        <v>0</v>
      </c>
      <c r="L7819" s="17"/>
    </row>
    <row r="7820" s="11" customFormat="true" ht="10.95" hidden="false" customHeight="true" outlineLevel="0" collapsed="false">
      <c r="A7820" s="16" t="n">
        <v>45351</v>
      </c>
      <c r="B7820" s="17" t="s">
        <v>3610</v>
      </c>
      <c r="C7820" s="17" t="s">
        <v>3556</v>
      </c>
      <c r="D7820" s="17"/>
      <c r="E7820" s="17" t="s">
        <v>1898</v>
      </c>
      <c r="F7820" s="17"/>
      <c r="G7820" s="18" t="n">
        <v>0</v>
      </c>
      <c r="H7820" s="18" t="n">
        <v>106.23</v>
      </c>
      <c r="I7820" s="18" t="n">
        <f aca="false">((I7819 + G7820) - H7820)</f>
        <v>-292210.6</v>
      </c>
      <c r="J7820" s="18" t="n">
        <v>0</v>
      </c>
      <c r="K7820" s="19" t="n">
        <v>0</v>
      </c>
      <c r="L7820" s="17"/>
    </row>
    <row r="7821" s="11" customFormat="true" ht="10.95" hidden="false" customHeight="true" outlineLevel="0" collapsed="false">
      <c r="A7821" s="16" t="n">
        <v>45351</v>
      </c>
      <c r="B7821" s="17" t="s">
        <v>3610</v>
      </c>
      <c r="C7821" s="17" t="s">
        <v>3556</v>
      </c>
      <c r="D7821" s="17"/>
      <c r="E7821" s="17" t="s">
        <v>1899</v>
      </c>
      <c r="F7821" s="17"/>
      <c r="G7821" s="18" t="n">
        <v>0</v>
      </c>
      <c r="H7821" s="18" t="n">
        <v>108.95</v>
      </c>
      <c r="I7821" s="18" t="n">
        <f aca="false">((I7820 + G7821) - H7821)</f>
        <v>-292319.55</v>
      </c>
      <c r="J7821" s="18" t="n">
        <v>0</v>
      </c>
      <c r="K7821" s="19" t="n">
        <v>0</v>
      </c>
      <c r="L7821" s="17"/>
    </row>
    <row r="7822" s="11" customFormat="true" ht="10.95" hidden="false" customHeight="true" outlineLevel="0" collapsed="false">
      <c r="A7822" s="16" t="n">
        <v>45351</v>
      </c>
      <c r="B7822" s="17" t="s">
        <v>3610</v>
      </c>
      <c r="C7822" s="17" t="s">
        <v>3556</v>
      </c>
      <c r="D7822" s="17"/>
      <c r="E7822" s="17" t="s">
        <v>1902</v>
      </c>
      <c r="F7822" s="17"/>
      <c r="G7822" s="18" t="n">
        <v>0</v>
      </c>
      <c r="H7822" s="18" t="n">
        <v>20.03</v>
      </c>
      <c r="I7822" s="18" t="n">
        <f aca="false">((I7821 + G7822) - H7822)</f>
        <v>-292339.58</v>
      </c>
      <c r="J7822" s="18" t="n">
        <v>0</v>
      </c>
      <c r="K7822" s="19" t="n">
        <v>0</v>
      </c>
      <c r="L7822" s="17"/>
    </row>
    <row r="7823" s="11" customFormat="true" ht="10.95" hidden="false" customHeight="true" outlineLevel="0" collapsed="false">
      <c r="A7823" s="16" t="n">
        <v>45351</v>
      </c>
      <c r="B7823" s="17" t="s">
        <v>3610</v>
      </c>
      <c r="C7823" s="17" t="s">
        <v>3556</v>
      </c>
      <c r="D7823" s="17"/>
      <c r="E7823" s="17" t="s">
        <v>1903</v>
      </c>
      <c r="F7823" s="17"/>
      <c r="G7823" s="18" t="n">
        <v>0</v>
      </c>
      <c r="H7823" s="18" t="n">
        <v>632.73</v>
      </c>
      <c r="I7823" s="18" t="n">
        <f aca="false">((I7822 + G7823) - H7823)</f>
        <v>-292972.31</v>
      </c>
      <c r="J7823" s="18" t="n">
        <v>0</v>
      </c>
      <c r="K7823" s="19" t="n">
        <v>0</v>
      </c>
      <c r="L7823" s="17"/>
    </row>
    <row r="7824" s="11" customFormat="true" ht="10.95" hidden="false" customHeight="true" outlineLevel="0" collapsed="false">
      <c r="A7824" s="16" t="n">
        <v>45382</v>
      </c>
      <c r="B7824" s="17" t="s">
        <v>3610</v>
      </c>
      <c r="C7824" s="17" t="s">
        <v>3556</v>
      </c>
      <c r="D7824" s="17"/>
      <c r="E7824" s="17" t="s">
        <v>1904</v>
      </c>
      <c r="F7824" s="17"/>
      <c r="G7824" s="18" t="n">
        <v>0</v>
      </c>
      <c r="H7824" s="18" t="n">
        <v>314.67</v>
      </c>
      <c r="I7824" s="18" t="n">
        <f aca="false">((I7823 + G7824) - H7824)</f>
        <v>-293286.98</v>
      </c>
      <c r="J7824" s="18" t="n">
        <v>0</v>
      </c>
      <c r="K7824" s="19" t="n">
        <v>0</v>
      </c>
      <c r="L7824" s="17"/>
    </row>
    <row r="7825" s="11" customFormat="true" ht="10.95" hidden="false" customHeight="true" outlineLevel="0" collapsed="false">
      <c r="A7825" s="16" t="n">
        <v>45382</v>
      </c>
      <c r="B7825" s="17" t="s">
        <v>3610</v>
      </c>
      <c r="C7825" s="17" t="s">
        <v>3556</v>
      </c>
      <c r="D7825" s="17"/>
      <c r="E7825" s="17" t="s">
        <v>1905</v>
      </c>
      <c r="F7825" s="17"/>
      <c r="G7825" s="18" t="n">
        <v>0</v>
      </c>
      <c r="H7825" s="18" t="n">
        <v>409.93</v>
      </c>
      <c r="I7825" s="18" t="n">
        <f aca="false">((I7824 + G7825) - H7825)</f>
        <v>-293696.91</v>
      </c>
      <c r="J7825" s="18" t="n">
        <v>0</v>
      </c>
      <c r="K7825" s="19" t="n">
        <v>0</v>
      </c>
      <c r="L7825" s="17"/>
    </row>
    <row r="7826" s="11" customFormat="true" ht="10.95" hidden="false" customHeight="true" outlineLevel="0" collapsed="false">
      <c r="A7826" s="16" t="n">
        <v>45382</v>
      </c>
      <c r="B7826" s="17" t="s">
        <v>3610</v>
      </c>
      <c r="C7826" s="17" t="s">
        <v>3556</v>
      </c>
      <c r="D7826" s="17"/>
      <c r="E7826" s="17" t="s">
        <v>1907</v>
      </c>
      <c r="F7826" s="17"/>
      <c r="G7826" s="18" t="n">
        <v>0</v>
      </c>
      <c r="H7826" s="18" t="n">
        <v>178.17</v>
      </c>
      <c r="I7826" s="18" t="n">
        <f aca="false">((I7825 + G7826) - H7826)</f>
        <v>-293875.08</v>
      </c>
      <c r="J7826" s="18" t="n">
        <v>0</v>
      </c>
      <c r="K7826" s="19" t="n">
        <v>0</v>
      </c>
      <c r="L7826" s="17"/>
    </row>
    <row r="7827" s="11" customFormat="true" ht="10.95" hidden="false" customHeight="true" outlineLevel="0" collapsed="false">
      <c r="A7827" s="16" t="n">
        <v>45382</v>
      </c>
      <c r="B7827" s="17" t="s">
        <v>3610</v>
      </c>
      <c r="C7827" s="17" t="s">
        <v>3556</v>
      </c>
      <c r="D7827" s="17"/>
      <c r="E7827" s="17" t="s">
        <v>1908</v>
      </c>
      <c r="F7827" s="17"/>
      <c r="G7827" s="18" t="n">
        <v>0</v>
      </c>
      <c r="H7827" s="18" t="n">
        <v>9.75</v>
      </c>
      <c r="I7827" s="18" t="n">
        <f aca="false">((I7826 + G7827) - H7827)</f>
        <v>-293884.83</v>
      </c>
      <c r="J7827" s="18" t="n">
        <v>0</v>
      </c>
      <c r="K7827" s="19" t="n">
        <v>0</v>
      </c>
      <c r="L7827" s="17"/>
    </row>
    <row r="7828" s="11" customFormat="true" ht="10.95" hidden="false" customHeight="true" outlineLevel="0" collapsed="false">
      <c r="A7828" s="16" t="n">
        <v>45382</v>
      </c>
      <c r="B7828" s="17" t="s">
        <v>3610</v>
      </c>
      <c r="C7828" s="17" t="s">
        <v>3556</v>
      </c>
      <c r="D7828" s="17"/>
      <c r="E7828" s="17" t="s">
        <v>1909</v>
      </c>
      <c r="F7828" s="17"/>
      <c r="G7828" s="18" t="n">
        <v>0</v>
      </c>
      <c r="H7828" s="18" t="n">
        <v>12.74</v>
      </c>
      <c r="I7828" s="18" t="n">
        <f aca="false">((I7827 + G7828) - H7828)</f>
        <v>-293897.57</v>
      </c>
      <c r="J7828" s="18" t="n">
        <v>0</v>
      </c>
      <c r="K7828" s="19" t="n">
        <v>0</v>
      </c>
      <c r="L7828" s="17"/>
    </row>
    <row r="7829" s="11" customFormat="true" ht="10.95" hidden="false" customHeight="true" outlineLevel="0" collapsed="false">
      <c r="A7829" s="16" t="n">
        <v>45382</v>
      </c>
      <c r="B7829" s="17" t="s">
        <v>3610</v>
      </c>
      <c r="C7829" s="17" t="s">
        <v>3556</v>
      </c>
      <c r="D7829" s="17"/>
      <c r="E7829" s="17" t="s">
        <v>1910</v>
      </c>
      <c r="F7829" s="17"/>
      <c r="G7829" s="18" t="n">
        <v>0</v>
      </c>
      <c r="H7829" s="18" t="n">
        <v>10.4</v>
      </c>
      <c r="I7829" s="18" t="n">
        <f aca="false">((I7828 + G7829) - H7829)</f>
        <v>-293907.97</v>
      </c>
      <c r="J7829" s="18" t="n">
        <v>0</v>
      </c>
      <c r="K7829" s="19" t="n">
        <v>0</v>
      </c>
      <c r="L7829" s="17"/>
    </row>
    <row r="7830" s="11" customFormat="true" ht="10.95" hidden="false" customHeight="true" outlineLevel="0" collapsed="false">
      <c r="A7830" s="16" t="n">
        <v>45382</v>
      </c>
      <c r="B7830" s="17" t="s">
        <v>3610</v>
      </c>
      <c r="C7830" s="17" t="s">
        <v>3556</v>
      </c>
      <c r="D7830" s="17"/>
      <c r="E7830" s="17" t="s">
        <v>1911</v>
      </c>
      <c r="F7830" s="17"/>
      <c r="G7830" s="18" t="n">
        <v>0</v>
      </c>
      <c r="H7830" s="18" t="n">
        <v>75.28</v>
      </c>
      <c r="I7830" s="18" t="n">
        <f aca="false">((I7829 + G7830) - H7830)</f>
        <v>-293983.25</v>
      </c>
      <c r="J7830" s="18" t="n">
        <v>0</v>
      </c>
      <c r="K7830" s="19" t="n">
        <v>0</v>
      </c>
      <c r="L7830" s="17"/>
    </row>
    <row r="7831" s="11" customFormat="true" ht="10.95" hidden="false" customHeight="true" outlineLevel="0" collapsed="false">
      <c r="A7831" s="16" t="n">
        <v>45382</v>
      </c>
      <c r="B7831" s="17" t="s">
        <v>3610</v>
      </c>
      <c r="C7831" s="17" t="s">
        <v>3556</v>
      </c>
      <c r="D7831" s="17"/>
      <c r="E7831" s="17" t="s">
        <v>1914</v>
      </c>
      <c r="F7831" s="17"/>
      <c r="G7831" s="18" t="n">
        <v>0</v>
      </c>
      <c r="H7831" s="18" t="n">
        <v>50.93</v>
      </c>
      <c r="I7831" s="18" t="n">
        <f aca="false">((I7830 + G7831) - H7831)</f>
        <v>-294034.18</v>
      </c>
      <c r="J7831" s="18" t="n">
        <v>0</v>
      </c>
      <c r="K7831" s="19" t="n">
        <v>0</v>
      </c>
      <c r="L7831" s="17"/>
    </row>
    <row r="7832" s="11" customFormat="true" ht="10.95" hidden="false" customHeight="true" outlineLevel="0" collapsed="false">
      <c r="A7832" s="16" t="n">
        <v>45382</v>
      </c>
      <c r="B7832" s="17" t="s">
        <v>3610</v>
      </c>
      <c r="C7832" s="17" t="s">
        <v>3556</v>
      </c>
      <c r="D7832" s="17"/>
      <c r="E7832" s="17" t="s">
        <v>1915</v>
      </c>
      <c r="F7832" s="17"/>
      <c r="G7832" s="18" t="n">
        <v>0</v>
      </c>
      <c r="H7832" s="18" t="n">
        <v>113.55</v>
      </c>
      <c r="I7832" s="18" t="n">
        <f aca="false">((I7831 + G7832) - H7832)</f>
        <v>-294147.73</v>
      </c>
      <c r="J7832" s="18" t="n">
        <v>0</v>
      </c>
      <c r="K7832" s="19" t="n">
        <v>0</v>
      </c>
      <c r="L7832" s="17"/>
    </row>
    <row r="7833" s="11" customFormat="true" ht="10.95" hidden="false" customHeight="true" outlineLevel="0" collapsed="false">
      <c r="A7833" s="16" t="n">
        <v>45382</v>
      </c>
      <c r="B7833" s="17" t="s">
        <v>3610</v>
      </c>
      <c r="C7833" s="17" t="s">
        <v>3556</v>
      </c>
      <c r="D7833" s="17"/>
      <c r="E7833" s="17" t="s">
        <v>1917</v>
      </c>
      <c r="F7833" s="17"/>
      <c r="G7833" s="18" t="n">
        <v>0</v>
      </c>
      <c r="H7833" s="18" t="n">
        <v>18.74</v>
      </c>
      <c r="I7833" s="18" t="n">
        <f aca="false">((I7832 + G7833) - H7833)</f>
        <v>-294166.47</v>
      </c>
      <c r="J7833" s="18" t="n">
        <v>0</v>
      </c>
      <c r="K7833" s="19" t="n">
        <v>0</v>
      </c>
      <c r="L7833" s="17"/>
    </row>
    <row r="7834" s="11" customFormat="true" ht="10.95" hidden="false" customHeight="true" outlineLevel="0" collapsed="false">
      <c r="A7834" s="16" t="n">
        <v>45382</v>
      </c>
      <c r="B7834" s="17" t="s">
        <v>3610</v>
      </c>
      <c r="C7834" s="17" t="s">
        <v>3556</v>
      </c>
      <c r="D7834" s="17"/>
      <c r="E7834" s="17" t="s">
        <v>1918</v>
      </c>
      <c r="F7834" s="17"/>
      <c r="G7834" s="18" t="n">
        <v>0</v>
      </c>
      <c r="H7834" s="18" t="n">
        <v>116.46</v>
      </c>
      <c r="I7834" s="18" t="n">
        <f aca="false">((I7833 + G7834) - H7834)</f>
        <v>-294282.93</v>
      </c>
      <c r="J7834" s="18" t="n">
        <v>0</v>
      </c>
      <c r="K7834" s="19" t="n">
        <v>0</v>
      </c>
      <c r="L7834" s="17"/>
    </row>
    <row r="7835" s="11" customFormat="true" ht="10.95" hidden="false" customHeight="true" outlineLevel="0" collapsed="false">
      <c r="A7835" s="16" t="n">
        <v>45382</v>
      </c>
      <c r="B7835" s="17" t="s">
        <v>3610</v>
      </c>
      <c r="C7835" s="17" t="s">
        <v>3556</v>
      </c>
      <c r="D7835" s="17"/>
      <c r="E7835" s="17" t="s">
        <v>1921</v>
      </c>
      <c r="F7835" s="17"/>
      <c r="G7835" s="18" t="n">
        <v>0</v>
      </c>
      <c r="H7835" s="18" t="n">
        <v>21.41</v>
      </c>
      <c r="I7835" s="18" t="n">
        <f aca="false">((I7834 + G7835) - H7835)</f>
        <v>-294304.34</v>
      </c>
      <c r="J7835" s="18" t="n">
        <v>0</v>
      </c>
      <c r="K7835" s="19" t="n">
        <v>0</v>
      </c>
      <c r="L7835" s="17"/>
    </row>
    <row r="7836" s="11" customFormat="true" ht="10.95" hidden="false" customHeight="true" outlineLevel="0" collapsed="false">
      <c r="A7836" s="16" t="n">
        <v>45382</v>
      </c>
      <c r="B7836" s="17" t="s">
        <v>3610</v>
      </c>
      <c r="C7836" s="17" t="s">
        <v>3556</v>
      </c>
      <c r="D7836" s="17"/>
      <c r="E7836" s="17" t="s">
        <v>1922</v>
      </c>
      <c r="F7836" s="17"/>
      <c r="G7836" s="18" t="n">
        <v>0</v>
      </c>
      <c r="H7836" s="18" t="n">
        <v>676.36</v>
      </c>
      <c r="I7836" s="18" t="n">
        <f aca="false">((I7835 + G7836) - H7836)</f>
        <v>-294980.7</v>
      </c>
      <c r="J7836" s="18" t="n">
        <v>0</v>
      </c>
      <c r="K7836" s="19" t="n">
        <v>0</v>
      </c>
      <c r="L7836" s="17"/>
    </row>
    <row r="7837" s="11" customFormat="true" ht="10.95" hidden="false" customHeight="true" outlineLevel="0" collapsed="false">
      <c r="A7837" s="16" t="n">
        <v>45412</v>
      </c>
      <c r="B7837" s="17" t="s">
        <v>3610</v>
      </c>
      <c r="C7837" s="17" t="s">
        <v>3556</v>
      </c>
      <c r="D7837" s="17"/>
      <c r="E7837" s="17" t="s">
        <v>1923</v>
      </c>
      <c r="F7837" s="17"/>
      <c r="G7837" s="18" t="n">
        <v>0</v>
      </c>
      <c r="H7837" s="18" t="n">
        <v>304.52</v>
      </c>
      <c r="I7837" s="18" t="n">
        <f aca="false">((I7836 + G7837) - H7837)</f>
        <v>-295285.22</v>
      </c>
      <c r="J7837" s="18" t="n">
        <v>0</v>
      </c>
      <c r="K7837" s="19" t="n">
        <v>0</v>
      </c>
      <c r="L7837" s="17"/>
    </row>
    <row r="7838" s="11" customFormat="true" ht="10.95" hidden="false" customHeight="true" outlineLevel="0" collapsed="false">
      <c r="A7838" s="16" t="n">
        <v>45412</v>
      </c>
      <c r="B7838" s="17" t="s">
        <v>3610</v>
      </c>
      <c r="C7838" s="17" t="s">
        <v>3556</v>
      </c>
      <c r="D7838" s="17"/>
      <c r="E7838" s="17" t="s">
        <v>1924</v>
      </c>
      <c r="F7838" s="17"/>
      <c r="G7838" s="18" t="n">
        <v>0</v>
      </c>
      <c r="H7838" s="18" t="n">
        <v>396.71</v>
      </c>
      <c r="I7838" s="18" t="n">
        <f aca="false">((I7837 + G7838) - H7838)</f>
        <v>-295681.93</v>
      </c>
      <c r="J7838" s="18" t="n">
        <v>0</v>
      </c>
      <c r="K7838" s="19" t="n">
        <v>0</v>
      </c>
      <c r="L7838" s="17"/>
    </row>
    <row r="7839" s="11" customFormat="true" ht="10.95" hidden="false" customHeight="true" outlineLevel="0" collapsed="false">
      <c r="A7839" s="16" t="n">
        <v>45412</v>
      </c>
      <c r="B7839" s="17" t="s">
        <v>3610</v>
      </c>
      <c r="C7839" s="17" t="s">
        <v>3556</v>
      </c>
      <c r="D7839" s="17"/>
      <c r="E7839" s="17" t="s">
        <v>1926</v>
      </c>
      <c r="F7839" s="17"/>
      <c r="G7839" s="18" t="n">
        <v>0</v>
      </c>
      <c r="H7839" s="18" t="n">
        <v>172.42</v>
      </c>
      <c r="I7839" s="18" t="n">
        <f aca="false">((I7838 + G7839) - H7839)</f>
        <v>-295854.35</v>
      </c>
      <c r="J7839" s="18" t="n">
        <v>0</v>
      </c>
      <c r="K7839" s="19" t="n">
        <v>0</v>
      </c>
      <c r="L7839" s="17"/>
    </row>
    <row r="7840" s="11" customFormat="true" ht="10.95" hidden="false" customHeight="true" outlineLevel="0" collapsed="false">
      <c r="A7840" s="16" t="n">
        <v>45412</v>
      </c>
      <c r="B7840" s="17" t="s">
        <v>3610</v>
      </c>
      <c r="C7840" s="17" t="s">
        <v>3556</v>
      </c>
      <c r="D7840" s="17"/>
      <c r="E7840" s="17" t="s">
        <v>1927</v>
      </c>
      <c r="F7840" s="17"/>
      <c r="G7840" s="18" t="n">
        <v>0</v>
      </c>
      <c r="H7840" s="18" t="n">
        <v>9.43</v>
      </c>
      <c r="I7840" s="18" t="n">
        <f aca="false">((I7839 + G7840) - H7840)</f>
        <v>-295863.78</v>
      </c>
      <c r="J7840" s="18" t="n">
        <v>0</v>
      </c>
      <c r="K7840" s="19" t="n">
        <v>0</v>
      </c>
      <c r="L7840" s="17"/>
    </row>
    <row r="7841" s="11" customFormat="true" ht="10.95" hidden="false" customHeight="true" outlineLevel="0" collapsed="false">
      <c r="A7841" s="16" t="n">
        <v>45412</v>
      </c>
      <c r="B7841" s="17" t="s">
        <v>3610</v>
      </c>
      <c r="C7841" s="17" t="s">
        <v>3556</v>
      </c>
      <c r="D7841" s="17"/>
      <c r="E7841" s="17" t="s">
        <v>1928</v>
      </c>
      <c r="F7841" s="17"/>
      <c r="G7841" s="18" t="n">
        <v>0</v>
      </c>
      <c r="H7841" s="18" t="n">
        <v>12.32</v>
      </c>
      <c r="I7841" s="18" t="n">
        <f aca="false">((I7840 + G7841) - H7841)</f>
        <v>-295876.1</v>
      </c>
      <c r="J7841" s="18" t="n">
        <v>0</v>
      </c>
      <c r="K7841" s="19" t="n">
        <v>0</v>
      </c>
      <c r="L7841" s="17"/>
    </row>
    <row r="7842" s="11" customFormat="true" ht="10.95" hidden="false" customHeight="true" outlineLevel="0" collapsed="false">
      <c r="A7842" s="16" t="n">
        <v>45412</v>
      </c>
      <c r="B7842" s="17" t="s">
        <v>3610</v>
      </c>
      <c r="C7842" s="17" t="s">
        <v>3556</v>
      </c>
      <c r="D7842" s="17"/>
      <c r="E7842" s="17" t="s">
        <v>1929</v>
      </c>
      <c r="F7842" s="17"/>
      <c r="G7842" s="18" t="n">
        <v>0</v>
      </c>
      <c r="H7842" s="18" t="n">
        <v>10.07</v>
      </c>
      <c r="I7842" s="18" t="n">
        <f aca="false">((I7841 + G7842) - H7842)</f>
        <v>-295886.17</v>
      </c>
      <c r="J7842" s="18" t="n">
        <v>0</v>
      </c>
      <c r="K7842" s="19" t="n">
        <v>0</v>
      </c>
      <c r="L7842" s="17"/>
    </row>
    <row r="7843" s="11" customFormat="true" ht="10.95" hidden="false" customHeight="true" outlineLevel="0" collapsed="false">
      <c r="A7843" s="16" t="n">
        <v>45412</v>
      </c>
      <c r="B7843" s="17" t="s">
        <v>3610</v>
      </c>
      <c r="C7843" s="17" t="s">
        <v>3556</v>
      </c>
      <c r="D7843" s="17"/>
      <c r="E7843" s="17" t="s">
        <v>1930</v>
      </c>
      <c r="F7843" s="17"/>
      <c r="G7843" s="18" t="n">
        <v>0</v>
      </c>
      <c r="H7843" s="18" t="n">
        <v>72.85</v>
      </c>
      <c r="I7843" s="18" t="n">
        <f aca="false">((I7842 + G7843) - H7843)</f>
        <v>-295959.02</v>
      </c>
      <c r="J7843" s="18" t="n">
        <v>0</v>
      </c>
      <c r="K7843" s="19" t="n">
        <v>0</v>
      </c>
      <c r="L7843" s="17"/>
    </row>
    <row r="7844" s="11" customFormat="true" ht="10.95" hidden="false" customHeight="true" outlineLevel="0" collapsed="false">
      <c r="A7844" s="16" t="n">
        <v>45412</v>
      </c>
      <c r="B7844" s="17" t="s">
        <v>3610</v>
      </c>
      <c r="C7844" s="17" t="s">
        <v>3556</v>
      </c>
      <c r="D7844" s="17"/>
      <c r="E7844" s="17" t="s">
        <v>1933</v>
      </c>
      <c r="F7844" s="17"/>
      <c r="G7844" s="18" t="n">
        <v>0</v>
      </c>
      <c r="H7844" s="18" t="n">
        <v>49.29</v>
      </c>
      <c r="I7844" s="18" t="n">
        <f aca="false">((I7843 + G7844) - H7844)</f>
        <v>-296008.31</v>
      </c>
      <c r="J7844" s="18" t="n">
        <v>0</v>
      </c>
      <c r="K7844" s="19" t="n">
        <v>0</v>
      </c>
      <c r="L7844" s="17"/>
    </row>
    <row r="7845" s="11" customFormat="true" ht="10.95" hidden="false" customHeight="true" outlineLevel="0" collapsed="false">
      <c r="A7845" s="16" t="n">
        <v>45412</v>
      </c>
      <c r="B7845" s="17" t="s">
        <v>3610</v>
      </c>
      <c r="C7845" s="17" t="s">
        <v>3556</v>
      </c>
      <c r="D7845" s="17"/>
      <c r="E7845" s="17" t="s">
        <v>1934</v>
      </c>
      <c r="F7845" s="17"/>
      <c r="G7845" s="18" t="n">
        <v>0</v>
      </c>
      <c r="H7845" s="18" t="n">
        <v>109.89</v>
      </c>
      <c r="I7845" s="18" t="n">
        <f aca="false">((I7844 + G7845) - H7845)</f>
        <v>-296118.2</v>
      </c>
      <c r="J7845" s="18" t="n">
        <v>0</v>
      </c>
      <c r="K7845" s="19" t="n">
        <v>0</v>
      </c>
      <c r="L7845" s="17"/>
    </row>
    <row r="7846" s="11" customFormat="true" ht="10.95" hidden="false" customHeight="true" outlineLevel="0" collapsed="false">
      <c r="A7846" s="16" t="n">
        <v>45412</v>
      </c>
      <c r="B7846" s="17" t="s">
        <v>3610</v>
      </c>
      <c r="C7846" s="17" t="s">
        <v>3556</v>
      </c>
      <c r="D7846" s="17"/>
      <c r="E7846" s="17" t="s">
        <v>1936</v>
      </c>
      <c r="F7846" s="17"/>
      <c r="G7846" s="18" t="n">
        <v>0</v>
      </c>
      <c r="H7846" s="18" t="n">
        <v>37.48</v>
      </c>
      <c r="I7846" s="18" t="n">
        <f aca="false">((I7845 + G7846) - H7846)</f>
        <v>-296155.68</v>
      </c>
      <c r="J7846" s="18" t="n">
        <v>0</v>
      </c>
      <c r="K7846" s="19" t="n">
        <v>0</v>
      </c>
      <c r="L7846" s="17"/>
    </row>
    <row r="7847" s="11" customFormat="true" ht="10.95" hidden="false" customHeight="true" outlineLevel="0" collapsed="false">
      <c r="A7847" s="16" t="n">
        <v>45412</v>
      </c>
      <c r="B7847" s="17" t="s">
        <v>3610</v>
      </c>
      <c r="C7847" s="17" t="s">
        <v>3556</v>
      </c>
      <c r="D7847" s="17"/>
      <c r="E7847" s="17" t="s">
        <v>1937</v>
      </c>
      <c r="F7847" s="17"/>
      <c r="G7847" s="18" t="n">
        <v>0</v>
      </c>
      <c r="H7847" s="18" t="n">
        <v>112.71</v>
      </c>
      <c r="I7847" s="18" t="n">
        <f aca="false">((I7846 + G7847) - H7847)</f>
        <v>-296268.39</v>
      </c>
      <c r="J7847" s="18" t="n">
        <v>0</v>
      </c>
      <c r="K7847" s="19" t="n">
        <v>0</v>
      </c>
      <c r="L7847" s="17"/>
    </row>
    <row r="7848" s="11" customFormat="true" ht="10.95" hidden="false" customHeight="true" outlineLevel="0" collapsed="false">
      <c r="A7848" s="16" t="n">
        <v>45412</v>
      </c>
      <c r="B7848" s="17" t="s">
        <v>3610</v>
      </c>
      <c r="C7848" s="17" t="s">
        <v>3556</v>
      </c>
      <c r="D7848" s="17"/>
      <c r="E7848" s="17" t="s">
        <v>1940</v>
      </c>
      <c r="F7848" s="17"/>
      <c r="G7848" s="18" t="n">
        <v>0</v>
      </c>
      <c r="H7848" s="18" t="n">
        <v>20.72</v>
      </c>
      <c r="I7848" s="18" t="n">
        <f aca="false">((I7847 + G7848) - H7848)</f>
        <v>-296289.11</v>
      </c>
      <c r="J7848" s="18" t="n">
        <v>0</v>
      </c>
      <c r="K7848" s="19" t="n">
        <v>0</v>
      </c>
      <c r="L7848" s="17"/>
    </row>
    <row r="7849" s="11" customFormat="true" ht="10.95" hidden="false" customHeight="true" outlineLevel="0" collapsed="false">
      <c r="A7849" s="16" t="n">
        <v>45412</v>
      </c>
      <c r="B7849" s="17" t="s">
        <v>3610</v>
      </c>
      <c r="C7849" s="17" t="s">
        <v>3556</v>
      </c>
      <c r="D7849" s="17"/>
      <c r="E7849" s="17" t="s">
        <v>1941</v>
      </c>
      <c r="F7849" s="17"/>
      <c r="G7849" s="18" t="n">
        <v>0</v>
      </c>
      <c r="H7849" s="18" t="n">
        <v>654.55</v>
      </c>
      <c r="I7849" s="18" t="n">
        <f aca="false">((I7848 + G7849) - H7849)</f>
        <v>-296943.66</v>
      </c>
      <c r="J7849" s="18" t="n">
        <v>0</v>
      </c>
      <c r="K7849" s="19" t="n">
        <v>0</v>
      </c>
      <c r="L7849" s="17"/>
    </row>
    <row r="7850" s="11" customFormat="true" ht="10.95" hidden="false" customHeight="true" outlineLevel="0" collapsed="false">
      <c r="A7850" s="16" t="n">
        <v>45443</v>
      </c>
      <c r="B7850" s="17" t="s">
        <v>3610</v>
      </c>
      <c r="C7850" s="17" t="s">
        <v>3556</v>
      </c>
      <c r="D7850" s="17"/>
      <c r="E7850" s="17" t="s">
        <v>1942</v>
      </c>
      <c r="F7850" s="17"/>
      <c r="G7850" s="18" t="n">
        <v>0</v>
      </c>
      <c r="H7850" s="18" t="n">
        <v>314.67</v>
      </c>
      <c r="I7850" s="18" t="n">
        <f aca="false">((I7849 + G7850) - H7850)</f>
        <v>-297258.33</v>
      </c>
      <c r="J7850" s="18" t="n">
        <v>0</v>
      </c>
      <c r="K7850" s="19" t="n">
        <v>0</v>
      </c>
      <c r="L7850" s="17"/>
    </row>
    <row r="7851" s="11" customFormat="true" ht="10.95" hidden="false" customHeight="true" outlineLevel="0" collapsed="false">
      <c r="A7851" s="16" t="n">
        <v>45443</v>
      </c>
      <c r="B7851" s="17" t="s">
        <v>3610</v>
      </c>
      <c r="C7851" s="17" t="s">
        <v>3556</v>
      </c>
      <c r="D7851" s="17"/>
      <c r="E7851" s="17" t="s">
        <v>1943</v>
      </c>
      <c r="F7851" s="17"/>
      <c r="G7851" s="18" t="n">
        <v>0</v>
      </c>
      <c r="H7851" s="18" t="n">
        <v>409.93</v>
      </c>
      <c r="I7851" s="18" t="n">
        <f aca="false">((I7850 + G7851) - H7851)</f>
        <v>-297668.26</v>
      </c>
      <c r="J7851" s="18" t="n">
        <v>0</v>
      </c>
      <c r="K7851" s="19" t="n">
        <v>0</v>
      </c>
      <c r="L7851" s="17"/>
    </row>
    <row r="7852" s="11" customFormat="true" ht="10.95" hidden="false" customHeight="true" outlineLevel="0" collapsed="false">
      <c r="A7852" s="16" t="n">
        <v>45443</v>
      </c>
      <c r="B7852" s="17" t="s">
        <v>3610</v>
      </c>
      <c r="C7852" s="17" t="s">
        <v>3556</v>
      </c>
      <c r="D7852" s="17"/>
      <c r="E7852" s="17" t="s">
        <v>1945</v>
      </c>
      <c r="F7852" s="17"/>
      <c r="G7852" s="18" t="n">
        <v>0</v>
      </c>
      <c r="H7852" s="18" t="n">
        <v>178.18</v>
      </c>
      <c r="I7852" s="18" t="n">
        <f aca="false">((I7851 + G7852) - H7852)</f>
        <v>-297846.44</v>
      </c>
      <c r="J7852" s="18" t="n">
        <v>0</v>
      </c>
      <c r="K7852" s="19" t="n">
        <v>0</v>
      </c>
      <c r="L7852" s="17"/>
    </row>
    <row r="7853" s="11" customFormat="true" ht="10.95" hidden="false" customHeight="true" outlineLevel="0" collapsed="false">
      <c r="A7853" s="16" t="n">
        <v>45443</v>
      </c>
      <c r="B7853" s="17" t="s">
        <v>3610</v>
      </c>
      <c r="C7853" s="17" t="s">
        <v>3556</v>
      </c>
      <c r="D7853" s="17"/>
      <c r="E7853" s="17" t="s">
        <v>1946</v>
      </c>
      <c r="F7853" s="17"/>
      <c r="G7853" s="18" t="n">
        <v>0</v>
      </c>
      <c r="H7853" s="18" t="n">
        <v>9.74</v>
      </c>
      <c r="I7853" s="18" t="n">
        <f aca="false">((I7852 + G7853) - H7853)</f>
        <v>-297856.179999999</v>
      </c>
      <c r="J7853" s="18" t="n">
        <v>0</v>
      </c>
      <c r="K7853" s="19" t="n">
        <v>0</v>
      </c>
      <c r="L7853" s="17"/>
    </row>
    <row r="7854" s="11" customFormat="true" ht="10.95" hidden="false" customHeight="true" outlineLevel="0" collapsed="false">
      <c r="A7854" s="16" t="n">
        <v>45443</v>
      </c>
      <c r="B7854" s="17" t="s">
        <v>3610</v>
      </c>
      <c r="C7854" s="17" t="s">
        <v>3556</v>
      </c>
      <c r="D7854" s="17"/>
      <c r="E7854" s="17" t="s">
        <v>1947</v>
      </c>
      <c r="F7854" s="17"/>
      <c r="G7854" s="18" t="n">
        <v>0</v>
      </c>
      <c r="H7854" s="18" t="n">
        <v>12.74</v>
      </c>
      <c r="I7854" s="18" t="n">
        <f aca="false">((I7853 + G7854) - H7854)</f>
        <v>-297868.919999999</v>
      </c>
      <c r="J7854" s="18" t="n">
        <v>0</v>
      </c>
      <c r="K7854" s="19" t="n">
        <v>0</v>
      </c>
      <c r="L7854" s="17"/>
    </row>
    <row r="7855" s="11" customFormat="true" ht="10.95" hidden="false" customHeight="true" outlineLevel="0" collapsed="false">
      <c r="A7855" s="16" t="n">
        <v>45443</v>
      </c>
      <c r="B7855" s="17" t="s">
        <v>3610</v>
      </c>
      <c r="C7855" s="17" t="s">
        <v>3556</v>
      </c>
      <c r="D7855" s="17"/>
      <c r="E7855" s="17" t="s">
        <v>1948</v>
      </c>
      <c r="F7855" s="17"/>
      <c r="G7855" s="18" t="n">
        <v>0</v>
      </c>
      <c r="H7855" s="18" t="n">
        <v>10.41</v>
      </c>
      <c r="I7855" s="18" t="n">
        <f aca="false">((I7854 + G7855) - H7855)</f>
        <v>-297879.329999999</v>
      </c>
      <c r="J7855" s="18" t="n">
        <v>0</v>
      </c>
      <c r="K7855" s="19" t="n">
        <v>0</v>
      </c>
      <c r="L7855" s="17"/>
    </row>
    <row r="7856" s="11" customFormat="true" ht="10.95" hidden="false" customHeight="true" outlineLevel="0" collapsed="false">
      <c r="A7856" s="16" t="n">
        <v>45443</v>
      </c>
      <c r="B7856" s="17" t="s">
        <v>3610</v>
      </c>
      <c r="C7856" s="17" t="s">
        <v>3556</v>
      </c>
      <c r="D7856" s="17"/>
      <c r="E7856" s="17" t="s">
        <v>1949</v>
      </c>
      <c r="F7856" s="17"/>
      <c r="G7856" s="18" t="n">
        <v>0</v>
      </c>
      <c r="H7856" s="18" t="n">
        <v>75.28</v>
      </c>
      <c r="I7856" s="18" t="n">
        <f aca="false">((I7855 + G7856) - H7856)</f>
        <v>-297954.609999999</v>
      </c>
      <c r="J7856" s="18" t="n">
        <v>0</v>
      </c>
      <c r="K7856" s="19" t="n">
        <v>0</v>
      </c>
      <c r="L7856" s="17"/>
    </row>
    <row r="7857" s="11" customFormat="true" ht="10.95" hidden="false" customHeight="true" outlineLevel="0" collapsed="false">
      <c r="A7857" s="16" t="n">
        <v>45443</v>
      </c>
      <c r="B7857" s="17" t="s">
        <v>3610</v>
      </c>
      <c r="C7857" s="17" t="s">
        <v>3556</v>
      </c>
      <c r="D7857" s="17"/>
      <c r="E7857" s="17" t="s">
        <v>1952</v>
      </c>
      <c r="F7857" s="17"/>
      <c r="G7857" s="18" t="n">
        <v>0</v>
      </c>
      <c r="H7857" s="18" t="n">
        <v>50.94</v>
      </c>
      <c r="I7857" s="18" t="n">
        <f aca="false">((I7856 + G7857) - H7857)</f>
        <v>-298005.549999999</v>
      </c>
      <c r="J7857" s="18" t="n">
        <v>0</v>
      </c>
      <c r="K7857" s="19" t="n">
        <v>0</v>
      </c>
      <c r="L7857" s="17"/>
    </row>
    <row r="7858" s="11" customFormat="true" ht="10.95" hidden="false" customHeight="true" outlineLevel="0" collapsed="false">
      <c r="A7858" s="16" t="n">
        <v>45443</v>
      </c>
      <c r="B7858" s="17" t="s">
        <v>3610</v>
      </c>
      <c r="C7858" s="17" t="s">
        <v>3556</v>
      </c>
      <c r="D7858" s="17"/>
      <c r="E7858" s="17" t="s">
        <v>1953</v>
      </c>
      <c r="F7858" s="17"/>
      <c r="G7858" s="18" t="n">
        <v>0</v>
      </c>
      <c r="H7858" s="18" t="n">
        <v>113.55</v>
      </c>
      <c r="I7858" s="18" t="n">
        <f aca="false">((I7857 + G7858) - H7858)</f>
        <v>-298119.099999999</v>
      </c>
      <c r="J7858" s="18" t="n">
        <v>0</v>
      </c>
      <c r="K7858" s="19" t="n">
        <v>0</v>
      </c>
      <c r="L7858" s="17"/>
    </row>
    <row r="7859" s="11" customFormat="true" ht="10.95" hidden="false" customHeight="true" outlineLevel="0" collapsed="false">
      <c r="A7859" s="16" t="n">
        <v>45443</v>
      </c>
      <c r="B7859" s="17" t="s">
        <v>3610</v>
      </c>
      <c r="C7859" s="17" t="s">
        <v>3556</v>
      </c>
      <c r="D7859" s="17"/>
      <c r="E7859" s="17" t="s">
        <v>1955</v>
      </c>
      <c r="F7859" s="17"/>
      <c r="G7859" s="18" t="n">
        <v>0</v>
      </c>
      <c r="H7859" s="18" t="n">
        <v>38.72</v>
      </c>
      <c r="I7859" s="18" t="n">
        <f aca="false">((I7858 + G7859) - H7859)</f>
        <v>-298157.819999999</v>
      </c>
      <c r="J7859" s="18" t="n">
        <v>0</v>
      </c>
      <c r="K7859" s="19" t="n">
        <v>0</v>
      </c>
      <c r="L7859" s="17"/>
    </row>
    <row r="7860" s="11" customFormat="true" ht="10.95" hidden="false" customHeight="true" outlineLevel="0" collapsed="false">
      <c r="A7860" s="16" t="n">
        <v>45443</v>
      </c>
      <c r="B7860" s="17" t="s">
        <v>3610</v>
      </c>
      <c r="C7860" s="17" t="s">
        <v>3556</v>
      </c>
      <c r="D7860" s="17"/>
      <c r="E7860" s="17" t="s">
        <v>1956</v>
      </c>
      <c r="F7860" s="17"/>
      <c r="G7860" s="18" t="n">
        <v>0</v>
      </c>
      <c r="H7860" s="18" t="n">
        <v>116.46</v>
      </c>
      <c r="I7860" s="18" t="n">
        <f aca="false">((I7859 + G7860) - H7860)</f>
        <v>-298274.279999999</v>
      </c>
      <c r="J7860" s="18" t="n">
        <v>0</v>
      </c>
      <c r="K7860" s="19" t="n">
        <v>0</v>
      </c>
      <c r="L7860" s="17"/>
    </row>
    <row r="7861" s="11" customFormat="true" ht="10.95" hidden="false" customHeight="true" outlineLevel="0" collapsed="false">
      <c r="A7861" s="16" t="n">
        <v>45443</v>
      </c>
      <c r="B7861" s="17" t="s">
        <v>3610</v>
      </c>
      <c r="C7861" s="17" t="s">
        <v>3556</v>
      </c>
      <c r="D7861" s="17"/>
      <c r="E7861" s="17" t="s">
        <v>1959</v>
      </c>
      <c r="F7861" s="17"/>
      <c r="G7861" s="18" t="n">
        <v>0</v>
      </c>
      <c r="H7861" s="18" t="n">
        <v>21.41</v>
      </c>
      <c r="I7861" s="18" t="n">
        <f aca="false">((I7860 + G7861) - H7861)</f>
        <v>-298295.689999999</v>
      </c>
      <c r="J7861" s="18" t="n">
        <v>0</v>
      </c>
      <c r="K7861" s="19" t="n">
        <v>0</v>
      </c>
      <c r="L7861" s="17"/>
    </row>
    <row r="7862" s="11" customFormat="true" ht="10.95" hidden="false" customHeight="true" outlineLevel="0" collapsed="false">
      <c r="A7862" s="16" t="n">
        <v>45443</v>
      </c>
      <c r="B7862" s="17" t="s">
        <v>3610</v>
      </c>
      <c r="C7862" s="17" t="s">
        <v>3556</v>
      </c>
      <c r="D7862" s="17"/>
      <c r="E7862" s="17" t="s">
        <v>1960</v>
      </c>
      <c r="F7862" s="17"/>
      <c r="G7862" s="18" t="n">
        <v>0</v>
      </c>
      <c r="H7862" s="18" t="n">
        <v>676.36</v>
      </c>
      <c r="I7862" s="18" t="n">
        <f aca="false">((I7861 + G7862) - H7862)</f>
        <v>-298972.049999999</v>
      </c>
      <c r="J7862" s="18" t="n">
        <v>0</v>
      </c>
      <c r="K7862" s="19" t="n">
        <v>0</v>
      </c>
      <c r="L7862" s="17"/>
    </row>
    <row r="7863" s="11" customFormat="true" ht="10.95" hidden="false" customHeight="true" outlineLevel="0" collapsed="false">
      <c r="A7863" s="16" t="n">
        <v>45473</v>
      </c>
      <c r="B7863" s="17" t="s">
        <v>3610</v>
      </c>
      <c r="C7863" s="17" t="s">
        <v>3556</v>
      </c>
      <c r="D7863" s="17"/>
      <c r="E7863" s="17" t="s">
        <v>1961</v>
      </c>
      <c r="F7863" s="17"/>
      <c r="G7863" s="18" t="n">
        <v>0</v>
      </c>
      <c r="H7863" s="18" t="n">
        <v>304.53</v>
      </c>
      <c r="I7863" s="18" t="n">
        <f aca="false">((I7862 + G7863) - H7863)</f>
        <v>-299276.579999999</v>
      </c>
      <c r="J7863" s="18" t="n">
        <v>0</v>
      </c>
      <c r="K7863" s="19" t="n">
        <v>0</v>
      </c>
      <c r="L7863" s="17"/>
    </row>
    <row r="7864" s="11" customFormat="true" ht="10.95" hidden="false" customHeight="true" outlineLevel="0" collapsed="false">
      <c r="A7864" s="16" t="n">
        <v>45473</v>
      </c>
      <c r="B7864" s="17" t="s">
        <v>3610</v>
      </c>
      <c r="C7864" s="17" t="s">
        <v>3556</v>
      </c>
      <c r="D7864" s="17"/>
      <c r="E7864" s="17" t="s">
        <v>1962</v>
      </c>
      <c r="F7864" s="17"/>
      <c r="G7864" s="18" t="n">
        <v>0</v>
      </c>
      <c r="H7864" s="18" t="n">
        <v>396.7</v>
      </c>
      <c r="I7864" s="18" t="n">
        <f aca="false">((I7863 + G7864) - H7864)</f>
        <v>-299673.279999999</v>
      </c>
      <c r="J7864" s="18" t="n">
        <v>0</v>
      </c>
      <c r="K7864" s="19" t="n">
        <v>0</v>
      </c>
      <c r="L7864" s="17"/>
    </row>
    <row r="7865" s="11" customFormat="true" ht="10.95" hidden="false" customHeight="true" outlineLevel="0" collapsed="false">
      <c r="A7865" s="16" t="n">
        <v>45473</v>
      </c>
      <c r="B7865" s="17" t="s">
        <v>3610</v>
      </c>
      <c r="C7865" s="17" t="s">
        <v>3556</v>
      </c>
      <c r="D7865" s="17"/>
      <c r="E7865" s="17" t="s">
        <v>1964</v>
      </c>
      <c r="F7865" s="17"/>
      <c r="G7865" s="18" t="n">
        <v>0</v>
      </c>
      <c r="H7865" s="18" t="n">
        <v>172.42</v>
      </c>
      <c r="I7865" s="18" t="n">
        <f aca="false">((I7864 + G7865) - H7865)</f>
        <v>-299845.699999999</v>
      </c>
      <c r="J7865" s="18" t="n">
        <v>0</v>
      </c>
      <c r="K7865" s="19" t="n">
        <v>0</v>
      </c>
      <c r="L7865" s="17"/>
    </row>
    <row r="7866" s="11" customFormat="true" ht="10.95" hidden="false" customHeight="true" outlineLevel="0" collapsed="false">
      <c r="A7866" s="16" t="n">
        <v>45473</v>
      </c>
      <c r="B7866" s="17" t="s">
        <v>3610</v>
      </c>
      <c r="C7866" s="17" t="s">
        <v>3556</v>
      </c>
      <c r="D7866" s="17"/>
      <c r="E7866" s="17" t="s">
        <v>1965</v>
      </c>
      <c r="F7866" s="17"/>
      <c r="G7866" s="18" t="n">
        <v>0</v>
      </c>
      <c r="H7866" s="18" t="n">
        <v>9.44</v>
      </c>
      <c r="I7866" s="18" t="n">
        <f aca="false">((I7865 + G7866) - H7866)</f>
        <v>-299855.139999999</v>
      </c>
      <c r="J7866" s="18" t="n">
        <v>0</v>
      </c>
      <c r="K7866" s="19" t="n">
        <v>0</v>
      </c>
      <c r="L7866" s="17"/>
    </row>
    <row r="7867" s="11" customFormat="true" ht="10.95" hidden="false" customHeight="true" outlineLevel="0" collapsed="false">
      <c r="A7867" s="16" t="n">
        <v>45473</v>
      </c>
      <c r="B7867" s="17" t="s">
        <v>3610</v>
      </c>
      <c r="C7867" s="17" t="s">
        <v>3556</v>
      </c>
      <c r="D7867" s="17"/>
      <c r="E7867" s="17" t="s">
        <v>1966</v>
      </c>
      <c r="F7867" s="17"/>
      <c r="G7867" s="18" t="n">
        <v>0</v>
      </c>
      <c r="H7867" s="18" t="n">
        <v>12.32</v>
      </c>
      <c r="I7867" s="18" t="n">
        <f aca="false">((I7866 + G7867) - H7867)</f>
        <v>-299867.459999999</v>
      </c>
      <c r="J7867" s="18" t="n">
        <v>0</v>
      </c>
      <c r="K7867" s="19" t="n">
        <v>0</v>
      </c>
      <c r="L7867" s="17"/>
    </row>
    <row r="7868" s="11" customFormat="true" ht="10.95" hidden="false" customHeight="true" outlineLevel="0" collapsed="false">
      <c r="A7868" s="16" t="n">
        <v>45473</v>
      </c>
      <c r="B7868" s="17" t="s">
        <v>3610</v>
      </c>
      <c r="C7868" s="17" t="s">
        <v>3556</v>
      </c>
      <c r="D7868" s="17"/>
      <c r="E7868" s="17" t="s">
        <v>1967</v>
      </c>
      <c r="F7868" s="17"/>
      <c r="G7868" s="18" t="n">
        <v>0</v>
      </c>
      <c r="H7868" s="18" t="n">
        <v>10.07</v>
      </c>
      <c r="I7868" s="18" t="n">
        <f aca="false">((I7867 + G7868) - H7868)</f>
        <v>-299877.529999999</v>
      </c>
      <c r="J7868" s="18" t="n">
        <v>0</v>
      </c>
      <c r="K7868" s="19" t="n">
        <v>0</v>
      </c>
      <c r="L7868" s="17"/>
    </row>
    <row r="7869" s="11" customFormat="true" ht="10.95" hidden="false" customHeight="true" outlineLevel="0" collapsed="false">
      <c r="A7869" s="16" t="n">
        <v>45473</v>
      </c>
      <c r="B7869" s="17" t="s">
        <v>3610</v>
      </c>
      <c r="C7869" s="17" t="s">
        <v>3556</v>
      </c>
      <c r="D7869" s="17"/>
      <c r="E7869" s="17" t="s">
        <v>1968</v>
      </c>
      <c r="F7869" s="17"/>
      <c r="G7869" s="18" t="n">
        <v>0</v>
      </c>
      <c r="H7869" s="18" t="n">
        <v>72.85</v>
      </c>
      <c r="I7869" s="18" t="n">
        <f aca="false">((I7868 + G7869) - H7869)</f>
        <v>-299950.379999999</v>
      </c>
      <c r="J7869" s="18" t="n">
        <v>0</v>
      </c>
      <c r="K7869" s="19" t="n">
        <v>0</v>
      </c>
      <c r="L7869" s="17"/>
    </row>
    <row r="7870" s="11" customFormat="true" ht="10.95" hidden="false" customHeight="true" outlineLevel="0" collapsed="false">
      <c r="A7870" s="16" t="n">
        <v>45473</v>
      </c>
      <c r="B7870" s="17" t="s">
        <v>3610</v>
      </c>
      <c r="C7870" s="17" t="s">
        <v>3556</v>
      </c>
      <c r="D7870" s="17"/>
      <c r="E7870" s="17" t="s">
        <v>1971</v>
      </c>
      <c r="F7870" s="17"/>
      <c r="G7870" s="18" t="n">
        <v>0</v>
      </c>
      <c r="H7870" s="18" t="n">
        <v>49.29</v>
      </c>
      <c r="I7870" s="18" t="n">
        <f aca="false">((I7869 + G7870) - H7870)</f>
        <v>-299999.669999999</v>
      </c>
      <c r="J7870" s="18" t="n">
        <v>0</v>
      </c>
      <c r="K7870" s="19" t="n">
        <v>0</v>
      </c>
      <c r="L7870" s="17"/>
    </row>
    <row r="7871" s="11" customFormat="true" ht="10.95" hidden="false" customHeight="true" outlineLevel="0" collapsed="false">
      <c r="A7871" s="16" t="n">
        <v>45473</v>
      </c>
      <c r="B7871" s="17" t="s">
        <v>3610</v>
      </c>
      <c r="C7871" s="17" t="s">
        <v>3556</v>
      </c>
      <c r="D7871" s="17"/>
      <c r="E7871" s="17" t="s">
        <v>1972</v>
      </c>
      <c r="F7871" s="17"/>
      <c r="G7871" s="18" t="n">
        <v>0</v>
      </c>
      <c r="H7871" s="18" t="n">
        <v>109.89</v>
      </c>
      <c r="I7871" s="18" t="n">
        <f aca="false">((I7870 + G7871) - H7871)</f>
        <v>-300109.559999999</v>
      </c>
      <c r="J7871" s="18" t="n">
        <v>0</v>
      </c>
      <c r="K7871" s="19" t="n">
        <v>0</v>
      </c>
      <c r="L7871" s="17"/>
    </row>
    <row r="7872" s="11" customFormat="true" ht="10.95" hidden="false" customHeight="true" outlineLevel="0" collapsed="false">
      <c r="A7872" s="16" t="n">
        <v>45473</v>
      </c>
      <c r="B7872" s="17" t="s">
        <v>3610</v>
      </c>
      <c r="C7872" s="17" t="s">
        <v>3556</v>
      </c>
      <c r="D7872" s="17"/>
      <c r="E7872" s="17" t="s">
        <v>1974</v>
      </c>
      <c r="F7872" s="17"/>
      <c r="G7872" s="18" t="n">
        <v>0</v>
      </c>
      <c r="H7872" s="18" t="n">
        <v>37.48</v>
      </c>
      <c r="I7872" s="18" t="n">
        <f aca="false">((I7871 + G7872) - H7872)</f>
        <v>-300147.039999999</v>
      </c>
      <c r="J7872" s="18" t="n">
        <v>0</v>
      </c>
      <c r="K7872" s="19" t="n">
        <v>0</v>
      </c>
      <c r="L7872" s="17"/>
    </row>
    <row r="7873" s="11" customFormat="true" ht="10.95" hidden="false" customHeight="true" outlineLevel="0" collapsed="false">
      <c r="A7873" s="16" t="n">
        <v>45473</v>
      </c>
      <c r="B7873" s="17" t="s">
        <v>3610</v>
      </c>
      <c r="C7873" s="17" t="s">
        <v>3556</v>
      </c>
      <c r="D7873" s="17"/>
      <c r="E7873" s="17" t="s">
        <v>1975</v>
      </c>
      <c r="F7873" s="17"/>
      <c r="G7873" s="18" t="n">
        <v>0</v>
      </c>
      <c r="H7873" s="18" t="n">
        <v>112.7</v>
      </c>
      <c r="I7873" s="18" t="n">
        <f aca="false">((I7872 + G7873) - H7873)</f>
        <v>-300259.739999999</v>
      </c>
      <c r="J7873" s="18" t="n">
        <v>0</v>
      </c>
      <c r="K7873" s="19" t="n">
        <v>0</v>
      </c>
      <c r="L7873" s="17"/>
    </row>
    <row r="7874" s="11" customFormat="true" ht="10.95" hidden="false" customHeight="true" outlineLevel="0" collapsed="false">
      <c r="A7874" s="16" t="n">
        <v>45473</v>
      </c>
      <c r="B7874" s="17" t="s">
        <v>3610</v>
      </c>
      <c r="C7874" s="17" t="s">
        <v>3556</v>
      </c>
      <c r="D7874" s="17"/>
      <c r="E7874" s="17" t="s">
        <v>1979</v>
      </c>
      <c r="F7874" s="17"/>
      <c r="G7874" s="18" t="n">
        <v>0</v>
      </c>
      <c r="H7874" s="18" t="n">
        <v>20.72</v>
      </c>
      <c r="I7874" s="18" t="n">
        <f aca="false">((I7873 + G7874) - H7874)</f>
        <v>-300280.459999999</v>
      </c>
      <c r="J7874" s="18" t="n">
        <v>0</v>
      </c>
      <c r="K7874" s="19" t="n">
        <v>0</v>
      </c>
      <c r="L7874" s="17"/>
    </row>
    <row r="7875" s="11" customFormat="true" ht="10.95" hidden="false" customHeight="true" outlineLevel="0" collapsed="false">
      <c r="A7875" s="16" t="n">
        <v>45473</v>
      </c>
      <c r="B7875" s="17" t="s">
        <v>3610</v>
      </c>
      <c r="C7875" s="17" t="s">
        <v>3556</v>
      </c>
      <c r="D7875" s="17"/>
      <c r="E7875" s="17" t="s">
        <v>1980</v>
      </c>
      <c r="F7875" s="17"/>
      <c r="G7875" s="18" t="n">
        <v>0</v>
      </c>
      <c r="H7875" s="18" t="n">
        <v>654.55</v>
      </c>
      <c r="I7875" s="18" t="n">
        <f aca="false">((I7874 + G7875) - H7875)</f>
        <v>-300935.009999999</v>
      </c>
      <c r="J7875" s="18" t="n">
        <v>0</v>
      </c>
      <c r="K7875" s="19" t="n">
        <v>0</v>
      </c>
      <c r="L7875" s="17"/>
    </row>
    <row r="7876" s="11" customFormat="true" ht="10.95" hidden="false" customHeight="true" outlineLevel="0" collapsed="false">
      <c r="A7876" s="16" t="n">
        <v>45473</v>
      </c>
      <c r="B7876" s="17" t="s">
        <v>3610</v>
      </c>
      <c r="C7876" s="17" t="s">
        <v>3556</v>
      </c>
      <c r="D7876" s="17"/>
      <c r="E7876" s="17" t="s">
        <v>1981</v>
      </c>
      <c r="F7876" s="17"/>
      <c r="G7876" s="18" t="n">
        <v>0</v>
      </c>
      <c r="H7876" s="18" t="n">
        <v>75.92</v>
      </c>
      <c r="I7876" s="18" t="n">
        <f aca="false">((I7875 + G7876) - H7876)</f>
        <v>-301010.929999999</v>
      </c>
      <c r="J7876" s="18" t="n">
        <v>0</v>
      </c>
      <c r="K7876" s="19" t="n">
        <v>0</v>
      </c>
      <c r="L7876" s="17"/>
    </row>
    <row r="7877" s="11" customFormat="true" ht="10.95" hidden="false" customHeight="true" outlineLevel="0" collapsed="false">
      <c r="A7877" s="21" t="s">
        <v>3611</v>
      </c>
      <c r="B7877" s="21"/>
      <c r="C7877" s="21"/>
      <c r="D7877" s="21"/>
      <c r="E7877" s="21"/>
      <c r="F7877" s="21"/>
      <c r="G7877" s="22" t="n">
        <f aca="false">SUM(G7738:G7876)</f>
        <v>0</v>
      </c>
      <c r="H7877" s="22" t="n">
        <f aca="false">SUM(H7738:H7876)</f>
        <v>19895.7</v>
      </c>
      <c r="I7877" s="22" t="n">
        <f aca="false">I7876</f>
        <v>-301010.929999999</v>
      </c>
      <c r="J7877" s="22" t="n">
        <f aca="false">SUM(J7738:J7876)</f>
        <v>0</v>
      </c>
      <c r="K7877" s="21"/>
      <c r="L7877" s="21"/>
    </row>
    <row r="7878" s="11" customFormat="true" ht="10.95" hidden="false" customHeight="true" outlineLevel="0" collapsed="false">
      <c r="A7878" s="21" t="s">
        <v>784</v>
      </c>
      <c r="B7878" s="21"/>
      <c r="C7878" s="21"/>
      <c r="D7878" s="21"/>
      <c r="E7878" s="21"/>
      <c r="F7878" s="21"/>
      <c r="G7878" s="22" t="n">
        <v>0</v>
      </c>
      <c r="H7878" s="22" t="n">
        <v>19895.7</v>
      </c>
      <c r="I7878" s="22" t="n">
        <v>0</v>
      </c>
      <c r="J7878" s="22" t="n">
        <v>0</v>
      </c>
      <c r="K7878" s="21"/>
      <c r="L7878" s="21"/>
    </row>
    <row r="7879" s="11" customFormat="true" ht="10.95" hidden="false" customHeight="true" outlineLevel="0" collapsed="false">
      <c r="A7879" s="9" t="s">
        <v>785</v>
      </c>
      <c r="B7879" s="9"/>
      <c r="C7879" s="9"/>
      <c r="D7879" s="9"/>
      <c r="E7879" s="9"/>
      <c r="F7879" s="9"/>
      <c r="G7879" s="10" t="n">
        <v>0</v>
      </c>
      <c r="H7879" s="10" t="n">
        <v>301010.93</v>
      </c>
      <c r="I7879" s="10" t="n">
        <f aca="false">I7876</f>
        <v>-301010.929999999</v>
      </c>
      <c r="J7879" s="10" t="n">
        <v>0</v>
      </c>
      <c r="K7879" s="9"/>
      <c r="L7879" s="9"/>
    </row>
    <row r="7880" customFormat="false" ht="13.35" hidden="false" customHeight="true" outlineLevel="0" collapsed="false"/>
    <row r="7881" s="7" customFormat="true" ht="12.1" hidden="false" customHeight="true" outlineLevel="0" collapsed="false">
      <c r="A7881" s="8" t="s">
        <v>3612</v>
      </c>
      <c r="B7881" s="8"/>
      <c r="C7881" s="8"/>
      <c r="D7881" s="8"/>
      <c r="E7881" s="8"/>
      <c r="F7881" s="8"/>
      <c r="G7881" s="8"/>
      <c r="H7881" s="8"/>
      <c r="I7881" s="8"/>
      <c r="J7881" s="8"/>
      <c r="K7881" s="8"/>
      <c r="L7881" s="8"/>
    </row>
    <row r="7882" s="11" customFormat="true" ht="10.95" hidden="false" customHeight="true" outlineLevel="0" collapsed="false">
      <c r="A7882" s="9" t="s">
        <v>16</v>
      </c>
      <c r="B7882" s="9"/>
      <c r="C7882" s="9"/>
      <c r="D7882" s="9"/>
      <c r="E7882" s="9"/>
      <c r="F7882" s="9"/>
      <c r="G7882" s="10" t="n">
        <v>0</v>
      </c>
      <c r="H7882" s="10" t="n">
        <v>14377.03</v>
      </c>
      <c r="I7882" s="10" t="n">
        <f aca="false">(G7882 - H7882)</f>
        <v>-14377.03</v>
      </c>
      <c r="J7882" s="10" t="n">
        <v>0</v>
      </c>
      <c r="K7882" s="9"/>
      <c r="L7882" s="9"/>
    </row>
    <row r="7883" s="11" customFormat="true" ht="10.95" hidden="false" customHeight="true" outlineLevel="0" collapsed="false">
      <c r="A7883" s="12" t="n">
        <v>45108</v>
      </c>
      <c r="B7883" s="13" t="s">
        <v>3613</v>
      </c>
      <c r="C7883" s="13" t="s">
        <v>3614</v>
      </c>
      <c r="D7883" s="13" t="s">
        <v>1391</v>
      </c>
      <c r="E7883" s="13" t="s">
        <v>3615</v>
      </c>
      <c r="F7883" s="13" t="s">
        <v>1393</v>
      </c>
      <c r="G7883" s="14" t="n">
        <v>0</v>
      </c>
      <c r="H7883" s="14" t="n">
        <v>538.76</v>
      </c>
      <c r="I7883" s="14" t="n">
        <f aca="false">((I7882 + G7883) - H7883)</f>
        <v>-14915.79</v>
      </c>
      <c r="J7883" s="14" t="n">
        <v>0</v>
      </c>
      <c r="K7883" s="15" t="n">
        <v>0</v>
      </c>
      <c r="L7883" s="13"/>
    </row>
    <row r="7884" s="11" customFormat="true" ht="10.95" hidden="false" customHeight="true" outlineLevel="0" collapsed="false">
      <c r="A7884" s="16" t="n">
        <v>45108</v>
      </c>
      <c r="B7884" s="17" t="s">
        <v>3613</v>
      </c>
      <c r="C7884" s="17" t="s">
        <v>3614</v>
      </c>
      <c r="D7884" s="17" t="s">
        <v>2903</v>
      </c>
      <c r="E7884" s="17" t="s">
        <v>3616</v>
      </c>
      <c r="F7884" s="17" t="s">
        <v>3617</v>
      </c>
      <c r="G7884" s="18" t="n">
        <v>2905.1</v>
      </c>
      <c r="H7884" s="18" t="n">
        <v>0</v>
      </c>
      <c r="I7884" s="18" t="n">
        <f aca="false">((I7883 + G7884) - H7884)</f>
        <v>-12010.69</v>
      </c>
      <c r="J7884" s="18" t="n">
        <v>0</v>
      </c>
      <c r="K7884" s="19" t="n">
        <v>0</v>
      </c>
      <c r="L7884" s="17"/>
    </row>
    <row r="7885" s="11" customFormat="true" ht="10.95" hidden="false" customHeight="true" outlineLevel="0" collapsed="false">
      <c r="A7885" s="16" t="n">
        <v>45108</v>
      </c>
      <c r="B7885" s="17" t="s">
        <v>3613</v>
      </c>
      <c r="C7885" s="17" t="s">
        <v>3614</v>
      </c>
      <c r="D7885" s="17" t="s">
        <v>2903</v>
      </c>
      <c r="E7885" s="17" t="s">
        <v>3618</v>
      </c>
      <c r="F7885" s="17" t="s">
        <v>3619</v>
      </c>
      <c r="G7885" s="18" t="n">
        <v>6800</v>
      </c>
      <c r="H7885" s="18" t="n">
        <v>0</v>
      </c>
      <c r="I7885" s="18" t="n">
        <f aca="false">((I7884 + G7885) - H7885)</f>
        <v>-5210.69</v>
      </c>
      <c r="J7885" s="18" t="n">
        <v>0</v>
      </c>
      <c r="K7885" s="19" t="n">
        <v>0</v>
      </c>
      <c r="L7885" s="17"/>
    </row>
    <row r="7886" s="11" customFormat="true" ht="10.95" hidden="false" customHeight="true" outlineLevel="0" collapsed="false">
      <c r="A7886" s="16" t="n">
        <v>45108</v>
      </c>
      <c r="B7886" s="17" t="s">
        <v>3613</v>
      </c>
      <c r="C7886" s="17" t="s">
        <v>3614</v>
      </c>
      <c r="D7886" s="17" t="s">
        <v>1391</v>
      </c>
      <c r="E7886" s="17" t="s">
        <v>3620</v>
      </c>
      <c r="F7886" s="17" t="s">
        <v>2198</v>
      </c>
      <c r="G7886" s="18" t="n">
        <v>0</v>
      </c>
      <c r="H7886" s="18" t="n">
        <v>152.15</v>
      </c>
      <c r="I7886" s="18" t="n">
        <f aca="false">((I7885 + G7886) - H7886)</f>
        <v>-5362.84</v>
      </c>
      <c r="J7886" s="18" t="n">
        <v>0</v>
      </c>
      <c r="K7886" s="19" t="n">
        <v>0</v>
      </c>
      <c r="L7886" s="17"/>
    </row>
    <row r="7887" s="11" customFormat="true" ht="10.95" hidden="false" customHeight="true" outlineLevel="0" collapsed="false">
      <c r="A7887" s="16" t="n">
        <v>45108</v>
      </c>
      <c r="B7887" s="17" t="s">
        <v>3613</v>
      </c>
      <c r="C7887" s="17" t="s">
        <v>3614</v>
      </c>
      <c r="D7887" s="17" t="s">
        <v>1391</v>
      </c>
      <c r="E7887" s="17" t="s">
        <v>3620</v>
      </c>
      <c r="F7887" s="17" t="s">
        <v>2200</v>
      </c>
      <c r="G7887" s="18" t="n">
        <v>0</v>
      </c>
      <c r="H7887" s="18" t="n">
        <v>248</v>
      </c>
      <c r="I7887" s="18" t="n">
        <f aca="false">((I7886 + G7887) - H7887)</f>
        <v>-5610.84</v>
      </c>
      <c r="J7887" s="18" t="n">
        <v>0</v>
      </c>
      <c r="K7887" s="19" t="n">
        <v>0</v>
      </c>
      <c r="L7887" s="17"/>
    </row>
    <row r="7888" s="11" customFormat="true" ht="10.95" hidden="false" customHeight="true" outlineLevel="0" collapsed="false">
      <c r="A7888" s="16" t="n">
        <v>45108</v>
      </c>
      <c r="B7888" s="17" t="s">
        <v>3613</v>
      </c>
      <c r="C7888" s="17" t="s">
        <v>3614</v>
      </c>
      <c r="D7888" s="17" t="s">
        <v>1391</v>
      </c>
      <c r="E7888" s="17" t="s">
        <v>3621</v>
      </c>
      <c r="F7888" s="17" t="s">
        <v>2622</v>
      </c>
      <c r="G7888" s="18" t="n">
        <v>0</v>
      </c>
      <c r="H7888" s="18" t="n">
        <v>774.73</v>
      </c>
      <c r="I7888" s="18" t="n">
        <f aca="false">((I7887 + G7888) - H7888)</f>
        <v>-6385.57</v>
      </c>
      <c r="J7888" s="18" t="n">
        <v>0</v>
      </c>
      <c r="K7888" s="19" t="n">
        <v>0</v>
      </c>
      <c r="L7888" s="17"/>
    </row>
    <row r="7889" s="11" customFormat="true" ht="10.95" hidden="false" customHeight="true" outlineLevel="0" collapsed="false">
      <c r="A7889" s="16" t="n">
        <v>45108</v>
      </c>
      <c r="B7889" s="17" t="s">
        <v>3613</v>
      </c>
      <c r="C7889" s="17" t="s">
        <v>3614</v>
      </c>
      <c r="D7889" s="17" t="s">
        <v>1391</v>
      </c>
      <c r="E7889" s="17" t="s">
        <v>3622</v>
      </c>
      <c r="F7889" s="17" t="s">
        <v>1395</v>
      </c>
      <c r="G7889" s="18" t="n">
        <v>0</v>
      </c>
      <c r="H7889" s="18" t="n">
        <v>1755.82</v>
      </c>
      <c r="I7889" s="18" t="n">
        <f aca="false">((I7888 + G7889) - H7889)</f>
        <v>-8141.39</v>
      </c>
      <c r="J7889" s="18" t="n">
        <v>0</v>
      </c>
      <c r="K7889" s="19" t="n">
        <v>0</v>
      </c>
      <c r="L7889" s="17"/>
    </row>
    <row r="7890" s="11" customFormat="true" ht="10.95" hidden="false" customHeight="true" outlineLevel="0" collapsed="false">
      <c r="A7890" s="16" t="n">
        <v>45108</v>
      </c>
      <c r="B7890" s="17" t="s">
        <v>3613</v>
      </c>
      <c r="C7890" s="17" t="s">
        <v>3614</v>
      </c>
      <c r="D7890" s="17" t="s">
        <v>1391</v>
      </c>
      <c r="E7890" s="17" t="s">
        <v>3623</v>
      </c>
      <c r="F7890" s="17" t="s">
        <v>2624</v>
      </c>
      <c r="G7890" s="18" t="n">
        <v>0</v>
      </c>
      <c r="H7890" s="18" t="n">
        <v>52.53</v>
      </c>
      <c r="I7890" s="18" t="n">
        <f aca="false">((I7889 + G7890) - H7890)</f>
        <v>-8193.92</v>
      </c>
      <c r="J7890" s="18" t="n">
        <v>0</v>
      </c>
      <c r="K7890" s="19" t="n">
        <v>0</v>
      </c>
      <c r="L7890" s="17"/>
    </row>
    <row r="7891" s="11" customFormat="true" ht="10.95" hidden="false" customHeight="true" outlineLevel="0" collapsed="false">
      <c r="A7891" s="16" t="n">
        <v>45109</v>
      </c>
      <c r="B7891" s="17" t="s">
        <v>3613</v>
      </c>
      <c r="C7891" s="17" t="s">
        <v>3614</v>
      </c>
      <c r="D7891" s="17" t="s">
        <v>2903</v>
      </c>
      <c r="E7891" s="17" t="s">
        <v>3624</v>
      </c>
      <c r="F7891" s="17" t="s">
        <v>2628</v>
      </c>
      <c r="G7891" s="18" t="n">
        <v>818.02</v>
      </c>
      <c r="H7891" s="18" t="n">
        <v>0</v>
      </c>
      <c r="I7891" s="18" t="n">
        <f aca="false">((I7890 + G7891) - H7891)</f>
        <v>-7375.9</v>
      </c>
      <c r="J7891" s="18" t="n">
        <v>0</v>
      </c>
      <c r="K7891" s="19" t="n">
        <v>0</v>
      </c>
      <c r="L7891" s="17"/>
    </row>
    <row r="7892" s="11" customFormat="true" ht="10.95" hidden="false" customHeight="true" outlineLevel="0" collapsed="false">
      <c r="A7892" s="16" t="n">
        <v>45109</v>
      </c>
      <c r="B7892" s="17" t="s">
        <v>3613</v>
      </c>
      <c r="C7892" s="17" t="s">
        <v>3614</v>
      </c>
      <c r="D7892" s="17" t="s">
        <v>1391</v>
      </c>
      <c r="E7892" s="17" t="s">
        <v>3625</v>
      </c>
      <c r="F7892" s="17" t="s">
        <v>3244</v>
      </c>
      <c r="G7892" s="18" t="n">
        <v>0</v>
      </c>
      <c r="H7892" s="18" t="n">
        <v>990.84</v>
      </c>
      <c r="I7892" s="18" t="n">
        <f aca="false">((I7891 + G7892) - H7892)</f>
        <v>-8366.74</v>
      </c>
      <c r="J7892" s="18" t="n">
        <v>0</v>
      </c>
      <c r="K7892" s="19" t="n">
        <v>0</v>
      </c>
      <c r="L7892" s="17"/>
    </row>
    <row r="7893" s="11" customFormat="true" ht="10.95" hidden="false" customHeight="true" outlineLevel="0" collapsed="false">
      <c r="A7893" s="16" t="n">
        <v>45110</v>
      </c>
      <c r="B7893" s="17" t="s">
        <v>3613</v>
      </c>
      <c r="C7893" s="17" t="s">
        <v>3614</v>
      </c>
      <c r="D7893" s="17" t="s">
        <v>1391</v>
      </c>
      <c r="E7893" s="17" t="s">
        <v>3615</v>
      </c>
      <c r="F7893" s="17" t="s">
        <v>1401</v>
      </c>
      <c r="G7893" s="18" t="n">
        <v>0</v>
      </c>
      <c r="H7893" s="18" t="n">
        <v>1848</v>
      </c>
      <c r="I7893" s="18" t="n">
        <f aca="false">((I7892 + G7893) - H7893)</f>
        <v>-10214.74</v>
      </c>
      <c r="J7893" s="18" t="n">
        <v>0</v>
      </c>
      <c r="K7893" s="19" t="n">
        <v>0</v>
      </c>
      <c r="L7893" s="17"/>
    </row>
    <row r="7894" s="11" customFormat="true" ht="10.95" hidden="false" customHeight="true" outlineLevel="0" collapsed="false">
      <c r="A7894" s="16" t="n">
        <v>45110</v>
      </c>
      <c r="B7894" s="17" t="s">
        <v>3613</v>
      </c>
      <c r="C7894" s="17" t="s">
        <v>3614</v>
      </c>
      <c r="D7894" s="17" t="s">
        <v>1391</v>
      </c>
      <c r="E7894" s="17" t="s">
        <v>3626</v>
      </c>
      <c r="F7894" s="17" t="s">
        <v>2203</v>
      </c>
      <c r="G7894" s="18" t="n">
        <v>0</v>
      </c>
      <c r="H7894" s="18" t="n">
        <v>71.5</v>
      </c>
      <c r="I7894" s="18" t="n">
        <f aca="false">((I7893 + G7894) - H7894)</f>
        <v>-10286.24</v>
      </c>
      <c r="J7894" s="18" t="n">
        <v>0</v>
      </c>
      <c r="K7894" s="19" t="n">
        <v>0</v>
      </c>
      <c r="L7894" s="17"/>
    </row>
    <row r="7895" s="11" customFormat="true" ht="10.95" hidden="false" customHeight="true" outlineLevel="0" collapsed="false">
      <c r="A7895" s="16" t="n">
        <v>45110</v>
      </c>
      <c r="B7895" s="17" t="s">
        <v>3613</v>
      </c>
      <c r="C7895" s="17" t="s">
        <v>3614</v>
      </c>
      <c r="D7895" s="17" t="s">
        <v>1391</v>
      </c>
      <c r="E7895" s="17" t="s">
        <v>3627</v>
      </c>
      <c r="F7895" s="17" t="s">
        <v>2905</v>
      </c>
      <c r="G7895" s="18" t="n">
        <v>0</v>
      </c>
      <c r="H7895" s="18" t="n">
        <v>450.28</v>
      </c>
      <c r="I7895" s="18" t="n">
        <f aca="false">((I7894 + G7895) - H7895)</f>
        <v>-10736.52</v>
      </c>
      <c r="J7895" s="18" t="n">
        <v>0</v>
      </c>
      <c r="K7895" s="19" t="n">
        <v>0</v>
      </c>
      <c r="L7895" s="17"/>
    </row>
    <row r="7896" s="11" customFormat="true" ht="10.95" hidden="false" customHeight="true" outlineLevel="0" collapsed="false">
      <c r="A7896" s="16" t="n">
        <v>45111</v>
      </c>
      <c r="B7896" s="17" t="s">
        <v>3613</v>
      </c>
      <c r="C7896" s="17" t="s">
        <v>3614</v>
      </c>
      <c r="D7896" s="17" t="s">
        <v>1391</v>
      </c>
      <c r="E7896" s="17" t="s">
        <v>3615</v>
      </c>
      <c r="F7896" s="17" t="s">
        <v>1403</v>
      </c>
      <c r="G7896" s="18" t="n">
        <v>0</v>
      </c>
      <c r="H7896" s="18" t="n">
        <v>13223.43</v>
      </c>
      <c r="I7896" s="18" t="n">
        <f aca="false">((I7895 + G7896) - H7896)</f>
        <v>-23959.95</v>
      </c>
      <c r="J7896" s="18" t="n">
        <v>0</v>
      </c>
      <c r="K7896" s="19" t="n">
        <v>0</v>
      </c>
      <c r="L7896" s="17"/>
    </row>
    <row r="7897" s="11" customFormat="true" ht="10.95" hidden="false" customHeight="true" outlineLevel="0" collapsed="false">
      <c r="A7897" s="16" t="n">
        <v>45111</v>
      </c>
      <c r="B7897" s="17" t="s">
        <v>3613</v>
      </c>
      <c r="C7897" s="17" t="s">
        <v>3614</v>
      </c>
      <c r="D7897" s="17" t="s">
        <v>2903</v>
      </c>
      <c r="E7897" s="17" t="s">
        <v>3628</v>
      </c>
      <c r="F7897" s="17" t="s">
        <v>2200</v>
      </c>
      <c r="G7897" s="18" t="n">
        <v>248</v>
      </c>
      <c r="H7897" s="18" t="n">
        <v>0</v>
      </c>
      <c r="I7897" s="18" t="n">
        <f aca="false">((I7896 + G7897) - H7897)</f>
        <v>-23711.95</v>
      </c>
      <c r="J7897" s="18" t="n">
        <v>0</v>
      </c>
      <c r="K7897" s="19" t="n">
        <v>0</v>
      </c>
      <c r="L7897" s="17"/>
    </row>
    <row r="7898" s="11" customFormat="true" ht="10.95" hidden="false" customHeight="true" outlineLevel="0" collapsed="false">
      <c r="A7898" s="16" t="n">
        <v>45111</v>
      </c>
      <c r="B7898" s="17" t="s">
        <v>3613</v>
      </c>
      <c r="C7898" s="17" t="s">
        <v>3614</v>
      </c>
      <c r="D7898" s="17" t="s">
        <v>2903</v>
      </c>
      <c r="E7898" s="17" t="s">
        <v>3629</v>
      </c>
      <c r="F7898" s="17" t="s">
        <v>3630</v>
      </c>
      <c r="G7898" s="18" t="n">
        <v>440</v>
      </c>
      <c r="H7898" s="18" t="n">
        <v>0</v>
      </c>
      <c r="I7898" s="18" t="n">
        <f aca="false">((I7897 + G7898) - H7898)</f>
        <v>-23271.95</v>
      </c>
      <c r="J7898" s="18" t="n">
        <v>0</v>
      </c>
      <c r="K7898" s="19" t="n">
        <v>0</v>
      </c>
      <c r="L7898" s="17"/>
    </row>
    <row r="7899" s="11" customFormat="true" ht="10.95" hidden="false" customHeight="true" outlineLevel="0" collapsed="false">
      <c r="A7899" s="16" t="n">
        <v>45112</v>
      </c>
      <c r="B7899" s="17" t="s">
        <v>3613</v>
      </c>
      <c r="C7899" s="17" t="s">
        <v>3614</v>
      </c>
      <c r="D7899" s="17" t="s">
        <v>2903</v>
      </c>
      <c r="E7899" s="17" t="s">
        <v>3631</v>
      </c>
      <c r="F7899" s="17" t="s">
        <v>3244</v>
      </c>
      <c r="G7899" s="18" t="n">
        <v>990.84</v>
      </c>
      <c r="H7899" s="18" t="n">
        <v>0</v>
      </c>
      <c r="I7899" s="18" t="n">
        <f aca="false">((I7898 + G7899) - H7899)</f>
        <v>-22281.11</v>
      </c>
      <c r="J7899" s="18" t="n">
        <v>0</v>
      </c>
      <c r="K7899" s="19" t="n">
        <v>0</v>
      </c>
      <c r="L7899" s="17"/>
    </row>
    <row r="7900" s="11" customFormat="true" ht="10.95" hidden="false" customHeight="true" outlineLevel="0" collapsed="false">
      <c r="A7900" s="16" t="n">
        <v>45112</v>
      </c>
      <c r="B7900" s="17" t="s">
        <v>3613</v>
      </c>
      <c r="C7900" s="17" t="s">
        <v>3614</v>
      </c>
      <c r="D7900" s="17" t="s">
        <v>1391</v>
      </c>
      <c r="E7900" s="17" t="s">
        <v>3632</v>
      </c>
      <c r="F7900" s="17" t="s">
        <v>2048</v>
      </c>
      <c r="G7900" s="18" t="n">
        <v>0</v>
      </c>
      <c r="H7900" s="18" t="n">
        <v>1115.37</v>
      </c>
      <c r="I7900" s="18" t="n">
        <f aca="false">((I7899 + G7900) - H7900)</f>
        <v>-23396.48</v>
      </c>
      <c r="J7900" s="18" t="n">
        <v>0</v>
      </c>
      <c r="K7900" s="19" t="n">
        <v>0</v>
      </c>
      <c r="L7900" s="17"/>
    </row>
    <row r="7901" s="11" customFormat="true" ht="10.95" hidden="false" customHeight="true" outlineLevel="0" collapsed="false">
      <c r="A7901" s="16" t="n">
        <v>45113</v>
      </c>
      <c r="B7901" s="17" t="s">
        <v>3613</v>
      </c>
      <c r="C7901" s="17" t="s">
        <v>3614</v>
      </c>
      <c r="D7901" s="17" t="s">
        <v>1391</v>
      </c>
      <c r="E7901" s="17" t="s">
        <v>3633</v>
      </c>
      <c r="F7901" s="17" t="s">
        <v>2207</v>
      </c>
      <c r="G7901" s="18" t="n">
        <v>0</v>
      </c>
      <c r="H7901" s="18" t="n">
        <v>448.82</v>
      </c>
      <c r="I7901" s="18" t="n">
        <f aca="false">((I7900 + G7901) - H7901)</f>
        <v>-23845.3</v>
      </c>
      <c r="J7901" s="18" t="n">
        <v>0</v>
      </c>
      <c r="K7901" s="19" t="n">
        <v>0</v>
      </c>
      <c r="L7901" s="17"/>
    </row>
    <row r="7902" s="11" customFormat="true" ht="10.95" hidden="false" customHeight="true" outlineLevel="0" collapsed="false">
      <c r="A7902" s="16" t="n">
        <v>45113</v>
      </c>
      <c r="B7902" s="17" t="s">
        <v>3613</v>
      </c>
      <c r="C7902" s="17" t="s">
        <v>3614</v>
      </c>
      <c r="D7902" s="17" t="s">
        <v>2903</v>
      </c>
      <c r="E7902" s="17" t="s">
        <v>3634</v>
      </c>
      <c r="F7902" s="17" t="s">
        <v>2203</v>
      </c>
      <c r="G7902" s="18" t="n">
        <v>71.5</v>
      </c>
      <c r="H7902" s="18" t="n">
        <v>0</v>
      </c>
      <c r="I7902" s="18" t="n">
        <f aca="false">((I7901 + G7902) - H7902)</f>
        <v>-23773.8</v>
      </c>
      <c r="J7902" s="18" t="n">
        <v>0</v>
      </c>
      <c r="K7902" s="19" t="n">
        <v>0</v>
      </c>
      <c r="L7902" s="17"/>
    </row>
    <row r="7903" s="11" customFormat="true" ht="10.95" hidden="false" customHeight="true" outlineLevel="0" collapsed="false">
      <c r="A7903" s="16" t="n">
        <v>45113</v>
      </c>
      <c r="B7903" s="17" t="s">
        <v>3613</v>
      </c>
      <c r="C7903" s="17" t="s">
        <v>3614</v>
      </c>
      <c r="D7903" s="17" t="s">
        <v>2903</v>
      </c>
      <c r="E7903" s="17" t="s">
        <v>3635</v>
      </c>
      <c r="F7903" s="17" t="s">
        <v>2048</v>
      </c>
      <c r="G7903" s="18" t="n">
        <v>1115.37</v>
      </c>
      <c r="H7903" s="18" t="n">
        <v>0</v>
      </c>
      <c r="I7903" s="18" t="n">
        <f aca="false">((I7902 + G7903) - H7903)</f>
        <v>-22658.43</v>
      </c>
      <c r="J7903" s="18" t="n">
        <v>0</v>
      </c>
      <c r="K7903" s="19" t="n">
        <v>0</v>
      </c>
      <c r="L7903" s="17"/>
    </row>
    <row r="7904" s="11" customFormat="true" ht="10.95" hidden="false" customHeight="true" outlineLevel="0" collapsed="false">
      <c r="A7904" s="16" t="n">
        <v>45113</v>
      </c>
      <c r="B7904" s="17" t="s">
        <v>3613</v>
      </c>
      <c r="C7904" s="17" t="s">
        <v>3614</v>
      </c>
      <c r="D7904" s="17" t="s">
        <v>1391</v>
      </c>
      <c r="E7904" s="17" t="s">
        <v>3627</v>
      </c>
      <c r="F7904" s="17" t="s">
        <v>1405</v>
      </c>
      <c r="G7904" s="18" t="n">
        <v>0</v>
      </c>
      <c r="H7904" s="18" t="n">
        <v>3677.07</v>
      </c>
      <c r="I7904" s="18" t="n">
        <f aca="false">((I7903 + G7904) - H7904)</f>
        <v>-26335.5</v>
      </c>
      <c r="J7904" s="18" t="n">
        <v>0</v>
      </c>
      <c r="K7904" s="19" t="n">
        <v>0</v>
      </c>
      <c r="L7904" s="17"/>
    </row>
    <row r="7905" s="11" customFormat="true" ht="10.95" hidden="false" customHeight="true" outlineLevel="0" collapsed="false">
      <c r="A7905" s="16" t="n">
        <v>45114</v>
      </c>
      <c r="B7905" s="17" t="s">
        <v>3613</v>
      </c>
      <c r="C7905" s="17" t="s">
        <v>3614</v>
      </c>
      <c r="D7905" s="17" t="s">
        <v>1391</v>
      </c>
      <c r="E7905" s="17" t="s">
        <v>3636</v>
      </c>
      <c r="F7905" s="17" t="s">
        <v>2628</v>
      </c>
      <c r="G7905" s="18" t="n">
        <v>0</v>
      </c>
      <c r="H7905" s="18" t="n">
        <v>818.02</v>
      </c>
      <c r="I7905" s="18" t="n">
        <f aca="false">((I7904 + G7905) - H7905)</f>
        <v>-27153.52</v>
      </c>
      <c r="J7905" s="18" t="n">
        <v>0</v>
      </c>
      <c r="K7905" s="19" t="n">
        <v>0</v>
      </c>
      <c r="L7905" s="17"/>
    </row>
    <row r="7906" s="11" customFormat="true" ht="10.95" hidden="false" customHeight="true" outlineLevel="0" collapsed="false">
      <c r="A7906" s="16" t="n">
        <v>45114</v>
      </c>
      <c r="B7906" s="17" t="s">
        <v>3613</v>
      </c>
      <c r="C7906" s="17" t="s">
        <v>3614</v>
      </c>
      <c r="D7906" s="17" t="s">
        <v>2903</v>
      </c>
      <c r="E7906" s="17" t="s">
        <v>3628</v>
      </c>
      <c r="F7906" s="17" t="s">
        <v>2198</v>
      </c>
      <c r="G7906" s="18" t="n">
        <v>152.15</v>
      </c>
      <c r="H7906" s="18" t="n">
        <v>0</v>
      </c>
      <c r="I7906" s="18" t="n">
        <f aca="false">((I7905 + G7906) - H7906)</f>
        <v>-27001.37</v>
      </c>
      <c r="J7906" s="18" t="n">
        <v>0</v>
      </c>
      <c r="K7906" s="19" t="n">
        <v>0</v>
      </c>
      <c r="L7906" s="17"/>
    </row>
    <row r="7907" s="11" customFormat="true" ht="10.95" hidden="false" customHeight="true" outlineLevel="0" collapsed="false">
      <c r="A7907" s="16" t="n">
        <v>45114</v>
      </c>
      <c r="B7907" s="17" t="s">
        <v>3613</v>
      </c>
      <c r="C7907" s="17" t="s">
        <v>3614</v>
      </c>
      <c r="D7907" s="17" t="s">
        <v>2903</v>
      </c>
      <c r="E7907" s="17" t="s">
        <v>2904</v>
      </c>
      <c r="F7907" s="17" t="s">
        <v>2905</v>
      </c>
      <c r="G7907" s="18" t="n">
        <v>450.28</v>
      </c>
      <c r="H7907" s="18" t="n">
        <v>0</v>
      </c>
      <c r="I7907" s="18" t="n">
        <f aca="false">((I7906 + G7907) - H7907)</f>
        <v>-26551.09</v>
      </c>
      <c r="J7907" s="18" t="n">
        <v>0</v>
      </c>
      <c r="K7907" s="19" t="n">
        <v>0</v>
      </c>
      <c r="L7907" s="17"/>
    </row>
    <row r="7908" s="11" customFormat="true" ht="10.95" hidden="false" customHeight="true" outlineLevel="0" collapsed="false">
      <c r="A7908" s="16" t="n">
        <v>45115</v>
      </c>
      <c r="B7908" s="17" t="s">
        <v>3613</v>
      </c>
      <c r="C7908" s="17" t="s">
        <v>3614</v>
      </c>
      <c r="D7908" s="17" t="s">
        <v>2903</v>
      </c>
      <c r="E7908" s="17" t="s">
        <v>3637</v>
      </c>
      <c r="F7908" s="17" t="s">
        <v>2622</v>
      </c>
      <c r="G7908" s="18" t="n">
        <v>774.73</v>
      </c>
      <c r="H7908" s="18" t="n">
        <v>0</v>
      </c>
      <c r="I7908" s="18" t="n">
        <f aca="false">((I7907 + G7908) - H7908)</f>
        <v>-25776.36</v>
      </c>
      <c r="J7908" s="18" t="n">
        <v>0</v>
      </c>
      <c r="K7908" s="19" t="n">
        <v>0</v>
      </c>
      <c r="L7908" s="17"/>
    </row>
    <row r="7909" s="11" customFormat="true" ht="10.95" hidden="false" customHeight="true" outlineLevel="0" collapsed="false">
      <c r="A7909" s="16" t="n">
        <v>45116</v>
      </c>
      <c r="B7909" s="17" t="s">
        <v>3613</v>
      </c>
      <c r="C7909" s="17" t="s">
        <v>3614</v>
      </c>
      <c r="D7909" s="17" t="s">
        <v>1391</v>
      </c>
      <c r="E7909" s="17" t="s">
        <v>3638</v>
      </c>
      <c r="F7909" s="17" t="s">
        <v>3246</v>
      </c>
      <c r="G7909" s="18" t="n">
        <v>0</v>
      </c>
      <c r="H7909" s="18" t="n">
        <v>3063.5</v>
      </c>
      <c r="I7909" s="18" t="n">
        <f aca="false">((I7908 + G7909) - H7909)</f>
        <v>-28839.86</v>
      </c>
      <c r="J7909" s="18" t="n">
        <v>0</v>
      </c>
      <c r="K7909" s="19" t="n">
        <v>0</v>
      </c>
      <c r="L7909" s="17"/>
    </row>
    <row r="7910" s="11" customFormat="true" ht="10.95" hidden="false" customHeight="true" outlineLevel="0" collapsed="false">
      <c r="A7910" s="16" t="n">
        <v>45117</v>
      </c>
      <c r="B7910" s="17" t="s">
        <v>3613</v>
      </c>
      <c r="C7910" s="17" t="s">
        <v>3614</v>
      </c>
      <c r="D7910" s="17" t="s">
        <v>1391</v>
      </c>
      <c r="E7910" s="17" t="s">
        <v>3639</v>
      </c>
      <c r="F7910" s="17" t="s">
        <v>1642</v>
      </c>
      <c r="G7910" s="18" t="n">
        <v>0</v>
      </c>
      <c r="H7910" s="18" t="n">
        <v>40</v>
      </c>
      <c r="I7910" s="18" t="n">
        <f aca="false">((I7909 + G7910) - H7910)</f>
        <v>-28879.86</v>
      </c>
      <c r="J7910" s="18" t="n">
        <v>0</v>
      </c>
      <c r="K7910" s="19" t="n">
        <v>0</v>
      </c>
      <c r="L7910" s="17"/>
    </row>
    <row r="7911" s="11" customFormat="true" ht="10.95" hidden="false" customHeight="true" outlineLevel="0" collapsed="false">
      <c r="A7911" s="16" t="n">
        <v>45118</v>
      </c>
      <c r="B7911" s="17" t="s">
        <v>3613</v>
      </c>
      <c r="C7911" s="17" t="s">
        <v>3614</v>
      </c>
      <c r="D7911" s="17" t="s">
        <v>2903</v>
      </c>
      <c r="E7911" s="17" t="s">
        <v>3640</v>
      </c>
      <c r="F7911" s="17" t="s">
        <v>1642</v>
      </c>
      <c r="G7911" s="18" t="n">
        <v>40</v>
      </c>
      <c r="H7911" s="18" t="n">
        <v>0</v>
      </c>
      <c r="I7911" s="18" t="n">
        <f aca="false">((I7910 + G7911) - H7911)</f>
        <v>-28839.86</v>
      </c>
      <c r="J7911" s="18" t="n">
        <v>0</v>
      </c>
      <c r="K7911" s="19" t="n">
        <v>0</v>
      </c>
      <c r="L7911" s="17"/>
    </row>
    <row r="7912" s="11" customFormat="true" ht="10.95" hidden="false" customHeight="true" outlineLevel="0" collapsed="false">
      <c r="A7912" s="16" t="n">
        <v>45118</v>
      </c>
      <c r="B7912" s="17" t="s">
        <v>3613</v>
      </c>
      <c r="C7912" s="17" t="s">
        <v>3614</v>
      </c>
      <c r="D7912" s="17" t="s">
        <v>2903</v>
      </c>
      <c r="E7912" s="17" t="s">
        <v>2904</v>
      </c>
      <c r="F7912" s="17" t="s">
        <v>1405</v>
      </c>
      <c r="G7912" s="18" t="n">
        <v>3677.07</v>
      </c>
      <c r="H7912" s="18" t="n">
        <v>0</v>
      </c>
      <c r="I7912" s="18" t="n">
        <f aca="false">((I7911 + G7912) - H7912)</f>
        <v>-25162.79</v>
      </c>
      <c r="J7912" s="18" t="n">
        <v>0</v>
      </c>
      <c r="K7912" s="19" t="n">
        <v>0</v>
      </c>
      <c r="L7912" s="17"/>
    </row>
    <row r="7913" s="11" customFormat="true" ht="10.95" hidden="false" customHeight="true" outlineLevel="0" collapsed="false">
      <c r="A7913" s="16" t="n">
        <v>45119</v>
      </c>
      <c r="B7913" s="17" t="s">
        <v>3613</v>
      </c>
      <c r="C7913" s="17" t="s">
        <v>3614</v>
      </c>
      <c r="D7913" s="17" t="s">
        <v>1391</v>
      </c>
      <c r="E7913" s="17" t="s">
        <v>3633</v>
      </c>
      <c r="F7913" s="17" t="s">
        <v>2215</v>
      </c>
      <c r="G7913" s="18" t="n">
        <v>0</v>
      </c>
      <c r="H7913" s="18" t="n">
        <v>445.8</v>
      </c>
      <c r="I7913" s="18" t="n">
        <f aca="false">((I7912 + G7913) - H7913)</f>
        <v>-25608.59</v>
      </c>
      <c r="J7913" s="18" t="n">
        <v>0</v>
      </c>
      <c r="K7913" s="19" t="n">
        <v>0</v>
      </c>
      <c r="L7913" s="17"/>
    </row>
    <row r="7914" s="11" customFormat="true" ht="10.95" hidden="false" customHeight="true" outlineLevel="0" collapsed="false">
      <c r="A7914" s="16" t="n">
        <v>45120</v>
      </c>
      <c r="B7914" s="17" t="s">
        <v>3613</v>
      </c>
      <c r="C7914" s="17" t="s">
        <v>3614</v>
      </c>
      <c r="D7914" s="17" t="s">
        <v>2903</v>
      </c>
      <c r="E7914" s="17" t="s">
        <v>2908</v>
      </c>
      <c r="F7914" s="17" t="s">
        <v>2207</v>
      </c>
      <c r="G7914" s="18" t="n">
        <v>448.82</v>
      </c>
      <c r="H7914" s="18" t="n">
        <v>0</v>
      </c>
      <c r="I7914" s="18" t="n">
        <f aca="false">((I7913 + G7914) - H7914)</f>
        <v>-25159.77</v>
      </c>
      <c r="J7914" s="18" t="n">
        <v>0</v>
      </c>
      <c r="K7914" s="19" t="n">
        <v>0</v>
      </c>
      <c r="L7914" s="17"/>
    </row>
    <row r="7915" s="11" customFormat="true" ht="10.95" hidden="false" customHeight="true" outlineLevel="0" collapsed="false">
      <c r="A7915" s="16" t="n">
        <v>45121</v>
      </c>
      <c r="B7915" s="17" t="s">
        <v>3613</v>
      </c>
      <c r="C7915" s="17" t="s">
        <v>3614</v>
      </c>
      <c r="D7915" s="17" t="s">
        <v>1391</v>
      </c>
      <c r="E7915" s="17" t="s">
        <v>3641</v>
      </c>
      <c r="F7915" s="17" t="s">
        <v>2632</v>
      </c>
      <c r="G7915" s="18" t="n">
        <v>0</v>
      </c>
      <c r="H7915" s="18" t="n">
        <v>183.84</v>
      </c>
      <c r="I7915" s="18" t="n">
        <f aca="false">((I7914 + G7915) - H7915)</f>
        <v>-25343.61</v>
      </c>
      <c r="J7915" s="18" t="n">
        <v>0</v>
      </c>
      <c r="K7915" s="19" t="n">
        <v>0</v>
      </c>
      <c r="L7915" s="17"/>
    </row>
    <row r="7916" s="11" customFormat="true" ht="10.95" hidden="false" customHeight="true" outlineLevel="0" collapsed="false">
      <c r="A7916" s="16" t="n">
        <v>45124</v>
      </c>
      <c r="B7916" s="17" t="s">
        <v>3613</v>
      </c>
      <c r="C7916" s="17" t="s">
        <v>3614</v>
      </c>
      <c r="D7916" s="17" t="s">
        <v>1391</v>
      </c>
      <c r="E7916" s="17" t="s">
        <v>3638</v>
      </c>
      <c r="F7916" s="17" t="s">
        <v>3187</v>
      </c>
      <c r="G7916" s="18" t="n">
        <v>0</v>
      </c>
      <c r="H7916" s="18" t="n">
        <v>218.9</v>
      </c>
      <c r="I7916" s="18" t="n">
        <f aca="false">((I7915 + G7916) - H7916)</f>
        <v>-25562.51</v>
      </c>
      <c r="J7916" s="18" t="n">
        <v>0</v>
      </c>
      <c r="K7916" s="19" t="n">
        <v>0</v>
      </c>
      <c r="L7916" s="17"/>
    </row>
    <row r="7917" s="11" customFormat="true" ht="10.95" hidden="false" customHeight="true" outlineLevel="0" collapsed="false">
      <c r="A7917" s="16" t="n">
        <v>45124</v>
      </c>
      <c r="B7917" s="17" t="s">
        <v>3613</v>
      </c>
      <c r="C7917" s="17" t="s">
        <v>3614</v>
      </c>
      <c r="D7917" s="17" t="s">
        <v>2903</v>
      </c>
      <c r="E7917" s="17" t="s">
        <v>3616</v>
      </c>
      <c r="F7917" s="17" t="s">
        <v>3187</v>
      </c>
      <c r="G7917" s="18" t="n">
        <v>218.9</v>
      </c>
      <c r="H7917" s="18" t="n">
        <v>0</v>
      </c>
      <c r="I7917" s="18" t="n">
        <f aca="false">((I7916 + G7917) - H7917)</f>
        <v>-25343.61</v>
      </c>
      <c r="J7917" s="18" t="n">
        <v>0</v>
      </c>
      <c r="K7917" s="19" t="n">
        <v>0</v>
      </c>
      <c r="L7917" s="17"/>
    </row>
    <row r="7918" s="11" customFormat="true" ht="10.95" hidden="false" customHeight="true" outlineLevel="0" collapsed="false">
      <c r="A7918" s="16" t="n">
        <v>45125</v>
      </c>
      <c r="B7918" s="17" t="s">
        <v>3613</v>
      </c>
      <c r="C7918" s="17" t="s">
        <v>3614</v>
      </c>
      <c r="D7918" s="17" t="s">
        <v>1391</v>
      </c>
      <c r="E7918" s="17" t="s">
        <v>3642</v>
      </c>
      <c r="F7918" s="17" t="s">
        <v>2219</v>
      </c>
      <c r="G7918" s="18" t="n">
        <v>0</v>
      </c>
      <c r="H7918" s="18" t="n">
        <v>68.2</v>
      </c>
      <c r="I7918" s="18" t="n">
        <f aca="false">((I7917 + G7918) - H7918)</f>
        <v>-25411.81</v>
      </c>
      <c r="J7918" s="18" t="n">
        <v>0</v>
      </c>
      <c r="K7918" s="19" t="n">
        <v>0</v>
      </c>
      <c r="L7918" s="17"/>
    </row>
    <row r="7919" s="11" customFormat="true" ht="10.95" hidden="false" customHeight="true" outlineLevel="0" collapsed="false">
      <c r="A7919" s="16" t="n">
        <v>45125</v>
      </c>
      <c r="B7919" s="17" t="s">
        <v>3613</v>
      </c>
      <c r="C7919" s="17" t="s">
        <v>3614</v>
      </c>
      <c r="D7919" s="17" t="s">
        <v>1391</v>
      </c>
      <c r="E7919" s="17" t="s">
        <v>3642</v>
      </c>
      <c r="F7919" s="17" t="s">
        <v>2221</v>
      </c>
      <c r="G7919" s="18" t="n">
        <v>0</v>
      </c>
      <c r="H7919" s="18" t="n">
        <v>219.78</v>
      </c>
      <c r="I7919" s="18" t="n">
        <f aca="false">((I7918 + G7919) - H7919)</f>
        <v>-25631.59</v>
      </c>
      <c r="J7919" s="18" t="n">
        <v>0</v>
      </c>
      <c r="K7919" s="19" t="n">
        <v>0</v>
      </c>
      <c r="L7919" s="17"/>
    </row>
    <row r="7920" s="11" customFormat="true" ht="10.95" hidden="false" customHeight="true" outlineLevel="0" collapsed="false">
      <c r="A7920" s="16" t="n">
        <v>45125</v>
      </c>
      <c r="B7920" s="17" t="s">
        <v>3613</v>
      </c>
      <c r="C7920" s="17" t="s">
        <v>3614</v>
      </c>
      <c r="D7920" s="17" t="s">
        <v>1391</v>
      </c>
      <c r="E7920" s="17" t="s">
        <v>3642</v>
      </c>
      <c r="F7920" s="17" t="s">
        <v>2223</v>
      </c>
      <c r="G7920" s="18" t="n">
        <v>0</v>
      </c>
      <c r="H7920" s="18" t="n">
        <v>45.32</v>
      </c>
      <c r="I7920" s="18" t="n">
        <f aca="false">((I7919 + G7920) - H7920)</f>
        <v>-25676.91</v>
      </c>
      <c r="J7920" s="18" t="n">
        <v>0</v>
      </c>
      <c r="K7920" s="19" t="n">
        <v>0</v>
      </c>
      <c r="L7920" s="17"/>
    </row>
    <row r="7921" s="11" customFormat="true" ht="10.95" hidden="false" customHeight="true" outlineLevel="0" collapsed="false">
      <c r="A7921" s="16" t="n">
        <v>45125</v>
      </c>
      <c r="B7921" s="17" t="s">
        <v>3613</v>
      </c>
      <c r="C7921" s="17" t="s">
        <v>3614</v>
      </c>
      <c r="D7921" s="17" t="s">
        <v>1391</v>
      </c>
      <c r="E7921" s="17" t="s">
        <v>3642</v>
      </c>
      <c r="F7921" s="17" t="s">
        <v>2225</v>
      </c>
      <c r="G7921" s="18" t="n">
        <v>0</v>
      </c>
      <c r="H7921" s="18" t="n">
        <v>33.22</v>
      </c>
      <c r="I7921" s="18" t="n">
        <f aca="false">((I7920 + G7921) - H7921)</f>
        <v>-25710.13</v>
      </c>
      <c r="J7921" s="18" t="n">
        <v>0</v>
      </c>
      <c r="K7921" s="19" t="n">
        <v>0</v>
      </c>
      <c r="L7921" s="17"/>
    </row>
    <row r="7922" s="11" customFormat="true" ht="10.95" hidden="false" customHeight="true" outlineLevel="0" collapsed="false">
      <c r="A7922" s="16" t="n">
        <v>45125</v>
      </c>
      <c r="B7922" s="17" t="s">
        <v>3613</v>
      </c>
      <c r="C7922" s="17" t="s">
        <v>3614</v>
      </c>
      <c r="D7922" s="17" t="s">
        <v>1391</v>
      </c>
      <c r="E7922" s="17" t="s">
        <v>3642</v>
      </c>
      <c r="F7922" s="17" t="s">
        <v>2227</v>
      </c>
      <c r="G7922" s="18" t="n">
        <v>0</v>
      </c>
      <c r="H7922" s="18" t="n">
        <v>76.56</v>
      </c>
      <c r="I7922" s="18" t="n">
        <f aca="false">((I7921 + G7922) - H7922)</f>
        <v>-25786.69</v>
      </c>
      <c r="J7922" s="18" t="n">
        <v>0</v>
      </c>
      <c r="K7922" s="19" t="n">
        <v>0</v>
      </c>
      <c r="L7922" s="17"/>
    </row>
    <row r="7923" s="11" customFormat="true" ht="10.95" hidden="false" customHeight="true" outlineLevel="0" collapsed="false">
      <c r="A7923" s="16" t="n">
        <v>45125</v>
      </c>
      <c r="B7923" s="17" t="s">
        <v>3613</v>
      </c>
      <c r="C7923" s="17" t="s">
        <v>3614</v>
      </c>
      <c r="D7923" s="17" t="s">
        <v>1391</v>
      </c>
      <c r="E7923" s="17" t="s">
        <v>3642</v>
      </c>
      <c r="F7923" s="17" t="s">
        <v>2229</v>
      </c>
      <c r="G7923" s="18" t="n">
        <v>0</v>
      </c>
      <c r="H7923" s="18" t="n">
        <v>24.2</v>
      </c>
      <c r="I7923" s="18" t="n">
        <f aca="false">((I7922 + G7923) - H7923)</f>
        <v>-25810.89</v>
      </c>
      <c r="J7923" s="18" t="n">
        <v>0</v>
      </c>
      <c r="K7923" s="19" t="n">
        <v>0</v>
      </c>
      <c r="L7923" s="17"/>
    </row>
    <row r="7924" s="11" customFormat="true" ht="10.95" hidden="false" customHeight="true" outlineLevel="0" collapsed="false">
      <c r="A7924" s="16" t="n">
        <v>45125</v>
      </c>
      <c r="B7924" s="17" t="s">
        <v>3613</v>
      </c>
      <c r="C7924" s="17" t="s">
        <v>3614</v>
      </c>
      <c r="D7924" s="17" t="s">
        <v>1391</v>
      </c>
      <c r="E7924" s="17" t="s">
        <v>3642</v>
      </c>
      <c r="F7924" s="17" t="s">
        <v>2231</v>
      </c>
      <c r="G7924" s="18" t="n">
        <v>0</v>
      </c>
      <c r="H7924" s="18" t="n">
        <v>9.02</v>
      </c>
      <c r="I7924" s="18" t="n">
        <f aca="false">((I7923 + G7924) - H7924)</f>
        <v>-25819.91</v>
      </c>
      <c r="J7924" s="18" t="n">
        <v>0</v>
      </c>
      <c r="K7924" s="19" t="n">
        <v>0</v>
      </c>
      <c r="L7924" s="17"/>
    </row>
    <row r="7925" s="11" customFormat="true" ht="10.95" hidden="false" customHeight="true" outlineLevel="0" collapsed="false">
      <c r="A7925" s="16" t="n">
        <v>45125</v>
      </c>
      <c r="B7925" s="17" t="s">
        <v>3613</v>
      </c>
      <c r="C7925" s="17" t="s">
        <v>3614</v>
      </c>
      <c r="D7925" s="17" t="s">
        <v>1391</v>
      </c>
      <c r="E7925" s="17" t="s">
        <v>3642</v>
      </c>
      <c r="F7925" s="17" t="s">
        <v>2233</v>
      </c>
      <c r="G7925" s="18" t="n">
        <v>0</v>
      </c>
      <c r="H7925" s="18" t="n">
        <v>60.5</v>
      </c>
      <c r="I7925" s="18" t="n">
        <f aca="false">((I7924 + G7925) - H7925)</f>
        <v>-25880.41</v>
      </c>
      <c r="J7925" s="18" t="n">
        <v>0</v>
      </c>
      <c r="K7925" s="19" t="n">
        <v>0</v>
      </c>
      <c r="L7925" s="17"/>
    </row>
    <row r="7926" s="11" customFormat="true" ht="10.95" hidden="false" customHeight="true" outlineLevel="0" collapsed="false">
      <c r="A7926" s="16" t="n">
        <v>45125</v>
      </c>
      <c r="B7926" s="17" t="s">
        <v>3613</v>
      </c>
      <c r="C7926" s="17" t="s">
        <v>3614</v>
      </c>
      <c r="D7926" s="17" t="s">
        <v>2903</v>
      </c>
      <c r="E7926" s="17" t="s">
        <v>3643</v>
      </c>
      <c r="F7926" s="17" t="s">
        <v>1395</v>
      </c>
      <c r="G7926" s="18" t="n">
        <v>1755.82</v>
      </c>
      <c r="H7926" s="18" t="n">
        <v>0</v>
      </c>
      <c r="I7926" s="18" t="n">
        <f aca="false">((I7925 + G7926) - H7926)</f>
        <v>-24124.59</v>
      </c>
      <c r="J7926" s="18" t="n">
        <v>0</v>
      </c>
      <c r="K7926" s="19" t="n">
        <v>0</v>
      </c>
      <c r="L7926" s="17"/>
    </row>
    <row r="7927" s="11" customFormat="true" ht="10.95" hidden="false" customHeight="true" outlineLevel="0" collapsed="false">
      <c r="A7927" s="16" t="n">
        <v>45126</v>
      </c>
      <c r="B7927" s="17" t="s">
        <v>3613</v>
      </c>
      <c r="C7927" s="17" t="s">
        <v>3614</v>
      </c>
      <c r="D7927" s="17" t="s">
        <v>2903</v>
      </c>
      <c r="E7927" s="17" t="s">
        <v>3616</v>
      </c>
      <c r="F7927" s="17" t="s">
        <v>3246</v>
      </c>
      <c r="G7927" s="18" t="n">
        <v>3063.5</v>
      </c>
      <c r="H7927" s="18" t="n">
        <v>0</v>
      </c>
      <c r="I7927" s="18" t="n">
        <f aca="false">((I7926 + G7927) - H7927)</f>
        <v>-21061.09</v>
      </c>
      <c r="J7927" s="18" t="n">
        <v>0</v>
      </c>
      <c r="K7927" s="19" t="n">
        <v>0</v>
      </c>
      <c r="L7927" s="17"/>
    </row>
    <row r="7928" s="11" customFormat="true" ht="10.95" hidden="false" customHeight="true" outlineLevel="0" collapsed="false">
      <c r="A7928" s="16" t="n">
        <v>45128</v>
      </c>
      <c r="B7928" s="17" t="s">
        <v>3613</v>
      </c>
      <c r="C7928" s="17" t="s">
        <v>3614</v>
      </c>
      <c r="D7928" s="17" t="s">
        <v>2903</v>
      </c>
      <c r="E7928" s="17" t="s">
        <v>3644</v>
      </c>
      <c r="F7928" s="17" t="s">
        <v>2233</v>
      </c>
      <c r="G7928" s="18" t="n">
        <v>60.5</v>
      </c>
      <c r="H7928" s="18" t="n">
        <v>0</v>
      </c>
      <c r="I7928" s="18" t="n">
        <f aca="false">((I7927 + G7928) - H7928)</f>
        <v>-21000.59</v>
      </c>
      <c r="J7928" s="18" t="n">
        <v>0</v>
      </c>
      <c r="K7928" s="19" t="n">
        <v>0</v>
      </c>
      <c r="L7928" s="17"/>
    </row>
    <row r="7929" s="11" customFormat="true" ht="10.95" hidden="false" customHeight="true" outlineLevel="0" collapsed="false">
      <c r="A7929" s="16" t="n">
        <v>45128</v>
      </c>
      <c r="B7929" s="17" t="s">
        <v>3613</v>
      </c>
      <c r="C7929" s="17" t="s">
        <v>3614</v>
      </c>
      <c r="D7929" s="17" t="s">
        <v>2903</v>
      </c>
      <c r="E7929" s="17" t="s">
        <v>3644</v>
      </c>
      <c r="F7929" s="17" t="s">
        <v>2219</v>
      </c>
      <c r="G7929" s="18" t="n">
        <v>68.2</v>
      </c>
      <c r="H7929" s="18" t="n">
        <v>0</v>
      </c>
      <c r="I7929" s="18" t="n">
        <f aca="false">((I7928 + G7929) - H7929)</f>
        <v>-20932.39</v>
      </c>
      <c r="J7929" s="18" t="n">
        <v>0</v>
      </c>
      <c r="K7929" s="19" t="n">
        <v>0</v>
      </c>
      <c r="L7929" s="17"/>
    </row>
    <row r="7930" s="11" customFormat="true" ht="10.95" hidden="false" customHeight="true" outlineLevel="0" collapsed="false">
      <c r="A7930" s="16" t="n">
        <v>45128</v>
      </c>
      <c r="B7930" s="17" t="s">
        <v>3613</v>
      </c>
      <c r="C7930" s="17" t="s">
        <v>3614</v>
      </c>
      <c r="D7930" s="17" t="s">
        <v>2903</v>
      </c>
      <c r="E7930" s="17" t="s">
        <v>3645</v>
      </c>
      <c r="F7930" s="17" t="s">
        <v>1403</v>
      </c>
      <c r="G7930" s="18" t="n">
        <v>13223.43</v>
      </c>
      <c r="H7930" s="18" t="n">
        <v>0</v>
      </c>
      <c r="I7930" s="18" t="n">
        <f aca="false">((I7929 + G7930) - H7930)</f>
        <v>-7708.96</v>
      </c>
      <c r="J7930" s="18" t="n">
        <v>0</v>
      </c>
      <c r="K7930" s="19" t="n">
        <v>0</v>
      </c>
      <c r="L7930" s="17"/>
    </row>
    <row r="7931" s="11" customFormat="true" ht="10.95" hidden="false" customHeight="true" outlineLevel="0" collapsed="false">
      <c r="A7931" s="16" t="n">
        <v>45128</v>
      </c>
      <c r="B7931" s="17" t="s">
        <v>3613</v>
      </c>
      <c r="C7931" s="17" t="s">
        <v>3614</v>
      </c>
      <c r="D7931" s="17" t="s">
        <v>2903</v>
      </c>
      <c r="E7931" s="17" t="s">
        <v>3645</v>
      </c>
      <c r="F7931" s="17" t="s">
        <v>1393</v>
      </c>
      <c r="G7931" s="18" t="n">
        <v>538.76</v>
      </c>
      <c r="H7931" s="18" t="n">
        <v>0</v>
      </c>
      <c r="I7931" s="18" t="n">
        <f aca="false">((I7930 + G7931) - H7931)</f>
        <v>-7170.2</v>
      </c>
      <c r="J7931" s="18" t="n">
        <v>0</v>
      </c>
      <c r="K7931" s="19" t="n">
        <v>0</v>
      </c>
      <c r="L7931" s="17"/>
    </row>
    <row r="7932" s="11" customFormat="true" ht="10.95" hidden="false" customHeight="true" outlineLevel="0" collapsed="false">
      <c r="A7932" s="16" t="n">
        <v>45128</v>
      </c>
      <c r="B7932" s="17" t="s">
        <v>3613</v>
      </c>
      <c r="C7932" s="17" t="s">
        <v>3614</v>
      </c>
      <c r="D7932" s="17" t="s">
        <v>2903</v>
      </c>
      <c r="E7932" s="17" t="s">
        <v>3645</v>
      </c>
      <c r="F7932" s="17" t="s">
        <v>1401</v>
      </c>
      <c r="G7932" s="18" t="n">
        <v>1848</v>
      </c>
      <c r="H7932" s="18" t="n">
        <v>0</v>
      </c>
      <c r="I7932" s="18" t="n">
        <f aca="false">((I7931 + G7932) - H7932)</f>
        <v>-5322.2</v>
      </c>
      <c r="J7932" s="18" t="n">
        <v>0</v>
      </c>
      <c r="K7932" s="19" t="n">
        <v>0</v>
      </c>
      <c r="L7932" s="17"/>
    </row>
    <row r="7933" s="11" customFormat="true" ht="10.95" hidden="false" customHeight="true" outlineLevel="0" collapsed="false">
      <c r="A7933" s="16" t="n">
        <v>45129</v>
      </c>
      <c r="B7933" s="17" t="s">
        <v>3613</v>
      </c>
      <c r="C7933" s="17" t="s">
        <v>3614</v>
      </c>
      <c r="D7933" s="17" t="s">
        <v>2903</v>
      </c>
      <c r="E7933" s="17" t="s">
        <v>3644</v>
      </c>
      <c r="F7933" s="17" t="s">
        <v>2231</v>
      </c>
      <c r="G7933" s="18" t="n">
        <v>9.02</v>
      </c>
      <c r="H7933" s="18" t="n">
        <v>0</v>
      </c>
      <c r="I7933" s="18" t="n">
        <f aca="false">((I7932 + G7933) - H7933)</f>
        <v>-5313.18</v>
      </c>
      <c r="J7933" s="18" t="n">
        <v>0</v>
      </c>
      <c r="K7933" s="19" t="n">
        <v>0</v>
      </c>
      <c r="L7933" s="17"/>
    </row>
    <row r="7934" s="11" customFormat="true" ht="10.95" hidden="false" customHeight="true" outlineLevel="0" collapsed="false">
      <c r="A7934" s="16" t="n">
        <v>45129</v>
      </c>
      <c r="B7934" s="17" t="s">
        <v>3613</v>
      </c>
      <c r="C7934" s="17" t="s">
        <v>3614</v>
      </c>
      <c r="D7934" s="17" t="s">
        <v>2903</v>
      </c>
      <c r="E7934" s="17" t="s">
        <v>3644</v>
      </c>
      <c r="F7934" s="17" t="s">
        <v>2229</v>
      </c>
      <c r="G7934" s="18" t="n">
        <v>24.2</v>
      </c>
      <c r="H7934" s="18" t="n">
        <v>0</v>
      </c>
      <c r="I7934" s="18" t="n">
        <f aca="false">((I7933 + G7934) - H7934)</f>
        <v>-5288.98</v>
      </c>
      <c r="J7934" s="18" t="n">
        <v>0</v>
      </c>
      <c r="K7934" s="19" t="n">
        <v>0</v>
      </c>
      <c r="L7934" s="17"/>
    </row>
    <row r="7935" s="11" customFormat="true" ht="10.95" hidden="false" customHeight="true" outlineLevel="0" collapsed="false">
      <c r="A7935" s="16" t="n">
        <v>45129</v>
      </c>
      <c r="B7935" s="17" t="s">
        <v>3613</v>
      </c>
      <c r="C7935" s="17" t="s">
        <v>3614</v>
      </c>
      <c r="D7935" s="17" t="s">
        <v>2903</v>
      </c>
      <c r="E7935" s="17" t="s">
        <v>3644</v>
      </c>
      <c r="F7935" s="17" t="s">
        <v>2225</v>
      </c>
      <c r="G7935" s="18" t="n">
        <v>33.22</v>
      </c>
      <c r="H7935" s="18" t="n">
        <v>0</v>
      </c>
      <c r="I7935" s="18" t="n">
        <f aca="false">((I7934 + G7935) - H7935)</f>
        <v>-5255.76</v>
      </c>
      <c r="J7935" s="18" t="n">
        <v>0</v>
      </c>
      <c r="K7935" s="19" t="n">
        <v>0</v>
      </c>
      <c r="L7935" s="17"/>
    </row>
    <row r="7936" s="11" customFormat="true" ht="10.95" hidden="false" customHeight="true" outlineLevel="0" collapsed="false">
      <c r="A7936" s="16" t="n">
        <v>45129</v>
      </c>
      <c r="B7936" s="17" t="s">
        <v>3613</v>
      </c>
      <c r="C7936" s="17" t="s">
        <v>3614</v>
      </c>
      <c r="D7936" s="17" t="s">
        <v>2903</v>
      </c>
      <c r="E7936" s="17" t="s">
        <v>3644</v>
      </c>
      <c r="F7936" s="17" t="s">
        <v>2223</v>
      </c>
      <c r="G7936" s="18" t="n">
        <v>45.32</v>
      </c>
      <c r="H7936" s="18" t="n">
        <v>0</v>
      </c>
      <c r="I7936" s="18" t="n">
        <f aca="false">((I7935 + G7936) - H7936)</f>
        <v>-5210.44</v>
      </c>
      <c r="J7936" s="18" t="n">
        <v>0</v>
      </c>
      <c r="K7936" s="19" t="n">
        <v>0</v>
      </c>
      <c r="L7936" s="17"/>
    </row>
    <row r="7937" s="11" customFormat="true" ht="10.95" hidden="false" customHeight="true" outlineLevel="0" collapsed="false">
      <c r="A7937" s="16" t="n">
        <v>45129</v>
      </c>
      <c r="B7937" s="17" t="s">
        <v>3613</v>
      </c>
      <c r="C7937" s="17" t="s">
        <v>3614</v>
      </c>
      <c r="D7937" s="17" t="s">
        <v>2903</v>
      </c>
      <c r="E7937" s="17" t="s">
        <v>3644</v>
      </c>
      <c r="F7937" s="17" t="s">
        <v>2227</v>
      </c>
      <c r="G7937" s="18" t="n">
        <v>76.56</v>
      </c>
      <c r="H7937" s="18" t="n">
        <v>0</v>
      </c>
      <c r="I7937" s="18" t="n">
        <f aca="false">((I7936 + G7937) - H7937)</f>
        <v>-5133.88</v>
      </c>
      <c r="J7937" s="18" t="n">
        <v>0</v>
      </c>
      <c r="K7937" s="19" t="n">
        <v>0</v>
      </c>
      <c r="L7937" s="17"/>
    </row>
    <row r="7938" s="11" customFormat="true" ht="10.95" hidden="false" customHeight="true" outlineLevel="0" collapsed="false">
      <c r="A7938" s="16" t="n">
        <v>45129</v>
      </c>
      <c r="B7938" s="17" t="s">
        <v>3613</v>
      </c>
      <c r="C7938" s="17" t="s">
        <v>3614</v>
      </c>
      <c r="D7938" s="17" t="s">
        <v>2903</v>
      </c>
      <c r="E7938" s="17" t="s">
        <v>3644</v>
      </c>
      <c r="F7938" s="17" t="s">
        <v>2221</v>
      </c>
      <c r="G7938" s="18" t="n">
        <v>219.78</v>
      </c>
      <c r="H7938" s="18" t="n">
        <v>0</v>
      </c>
      <c r="I7938" s="18" t="n">
        <f aca="false">((I7937 + G7938) - H7938)</f>
        <v>-4914.1</v>
      </c>
      <c r="J7938" s="18" t="n">
        <v>0</v>
      </c>
      <c r="K7938" s="19" t="n">
        <v>0</v>
      </c>
      <c r="L7938" s="17"/>
    </row>
    <row r="7939" s="11" customFormat="true" ht="10.95" hidden="false" customHeight="true" outlineLevel="0" collapsed="false">
      <c r="A7939" s="16" t="n">
        <v>45129</v>
      </c>
      <c r="B7939" s="17" t="s">
        <v>3613</v>
      </c>
      <c r="C7939" s="17" t="s">
        <v>3614</v>
      </c>
      <c r="D7939" s="17" t="s">
        <v>1391</v>
      </c>
      <c r="E7939" s="17" t="s">
        <v>3638</v>
      </c>
      <c r="F7939" s="17" t="s">
        <v>3248</v>
      </c>
      <c r="G7939" s="18" t="n">
        <v>0</v>
      </c>
      <c r="H7939" s="18" t="n">
        <v>2905.1</v>
      </c>
      <c r="I7939" s="18" t="n">
        <f aca="false">((I7938 + G7939) - H7939)</f>
        <v>-7819.2</v>
      </c>
      <c r="J7939" s="18" t="n">
        <v>0</v>
      </c>
      <c r="K7939" s="19" t="n">
        <v>0</v>
      </c>
      <c r="L7939" s="17"/>
    </row>
    <row r="7940" s="11" customFormat="true" ht="10.95" hidden="false" customHeight="true" outlineLevel="0" collapsed="false">
      <c r="A7940" s="16" t="n">
        <v>45134</v>
      </c>
      <c r="B7940" s="17" t="s">
        <v>3613</v>
      </c>
      <c r="C7940" s="17" t="s">
        <v>3614</v>
      </c>
      <c r="D7940" s="17" t="s">
        <v>1391</v>
      </c>
      <c r="E7940" s="17" t="s">
        <v>3646</v>
      </c>
      <c r="F7940" s="17" t="s">
        <v>2248</v>
      </c>
      <c r="G7940" s="18" t="n">
        <v>0</v>
      </c>
      <c r="H7940" s="18" t="n">
        <v>610</v>
      </c>
      <c r="I7940" s="18" t="n">
        <f aca="false">((I7939 + G7940) - H7940)</f>
        <v>-8429.2</v>
      </c>
      <c r="J7940" s="18" t="n">
        <v>0</v>
      </c>
      <c r="K7940" s="19" t="n">
        <v>0</v>
      </c>
      <c r="L7940" s="17"/>
    </row>
    <row r="7941" s="11" customFormat="true" ht="10.95" hidden="false" customHeight="true" outlineLevel="0" collapsed="false">
      <c r="A7941" s="16" t="n">
        <v>45135</v>
      </c>
      <c r="B7941" s="17" t="s">
        <v>3613</v>
      </c>
      <c r="C7941" s="17" t="s">
        <v>3614</v>
      </c>
      <c r="D7941" s="17" t="s">
        <v>1391</v>
      </c>
      <c r="E7941" s="17" t="s">
        <v>3647</v>
      </c>
      <c r="F7941" s="17" t="s">
        <v>1414</v>
      </c>
      <c r="G7941" s="18" t="n">
        <v>0</v>
      </c>
      <c r="H7941" s="18" t="n">
        <v>4163.57</v>
      </c>
      <c r="I7941" s="18" t="n">
        <f aca="false">((I7940 + G7941) - H7941)</f>
        <v>-12592.77</v>
      </c>
      <c r="J7941" s="18" t="n">
        <v>0</v>
      </c>
      <c r="K7941" s="19" t="n">
        <v>0</v>
      </c>
      <c r="L7941" s="17"/>
    </row>
    <row r="7942" s="11" customFormat="true" ht="10.95" hidden="false" customHeight="true" outlineLevel="0" collapsed="false">
      <c r="A7942" s="16" t="n">
        <v>45138</v>
      </c>
      <c r="B7942" s="17" t="s">
        <v>3613</v>
      </c>
      <c r="C7942" s="17" t="s">
        <v>3614</v>
      </c>
      <c r="D7942" s="17" t="s">
        <v>1391</v>
      </c>
      <c r="E7942" s="17" t="s">
        <v>3627</v>
      </c>
      <c r="F7942" s="17" t="s">
        <v>1416</v>
      </c>
      <c r="G7942" s="18" t="n">
        <v>0</v>
      </c>
      <c r="H7942" s="18" t="n">
        <v>3559.45</v>
      </c>
      <c r="I7942" s="18" t="n">
        <f aca="false">((I7941 + G7942) - H7942)</f>
        <v>-16152.22</v>
      </c>
      <c r="J7942" s="18" t="n">
        <v>0</v>
      </c>
      <c r="K7942" s="19" t="n">
        <v>0</v>
      </c>
      <c r="L7942" s="17"/>
    </row>
    <row r="7943" s="11" customFormat="true" ht="10.95" hidden="false" customHeight="true" outlineLevel="0" collapsed="false">
      <c r="A7943" s="16" t="n">
        <v>45139</v>
      </c>
      <c r="B7943" s="17" t="s">
        <v>3613</v>
      </c>
      <c r="C7943" s="17" t="s">
        <v>3614</v>
      </c>
      <c r="D7943" s="17" t="s">
        <v>1391</v>
      </c>
      <c r="E7943" s="17" t="s">
        <v>3615</v>
      </c>
      <c r="F7943" s="17" t="s">
        <v>1418</v>
      </c>
      <c r="G7943" s="18" t="n">
        <v>0</v>
      </c>
      <c r="H7943" s="18" t="n">
        <v>538.76</v>
      </c>
      <c r="I7943" s="18" t="n">
        <f aca="false">((I7942 + G7943) - H7943)</f>
        <v>-16690.98</v>
      </c>
      <c r="J7943" s="18" t="n">
        <v>0</v>
      </c>
      <c r="K7943" s="19" t="n">
        <v>0</v>
      </c>
      <c r="L7943" s="17"/>
    </row>
    <row r="7944" s="11" customFormat="true" ht="10.95" hidden="false" customHeight="true" outlineLevel="0" collapsed="false">
      <c r="A7944" s="16" t="n">
        <v>45139</v>
      </c>
      <c r="B7944" s="17" t="s">
        <v>3613</v>
      </c>
      <c r="C7944" s="17" t="s">
        <v>3614</v>
      </c>
      <c r="D7944" s="17" t="s">
        <v>2903</v>
      </c>
      <c r="E7944" s="17" t="s">
        <v>3648</v>
      </c>
      <c r="F7944" s="17" t="s">
        <v>2632</v>
      </c>
      <c r="G7944" s="18" t="n">
        <v>183.84</v>
      </c>
      <c r="H7944" s="18" t="n">
        <v>0</v>
      </c>
      <c r="I7944" s="18" t="n">
        <f aca="false">((I7943 + G7944) - H7944)</f>
        <v>-16507.14</v>
      </c>
      <c r="J7944" s="18" t="n">
        <v>0</v>
      </c>
      <c r="K7944" s="19" t="n">
        <v>0</v>
      </c>
      <c r="L7944" s="17"/>
    </row>
    <row r="7945" s="11" customFormat="true" ht="10.95" hidden="false" customHeight="true" outlineLevel="0" collapsed="false">
      <c r="A7945" s="16" t="n">
        <v>45139</v>
      </c>
      <c r="B7945" s="17" t="s">
        <v>3613</v>
      </c>
      <c r="C7945" s="17" t="s">
        <v>3614</v>
      </c>
      <c r="D7945" s="17" t="s">
        <v>2903</v>
      </c>
      <c r="E7945" s="17" t="s">
        <v>3616</v>
      </c>
      <c r="F7945" s="17" t="s">
        <v>3248</v>
      </c>
      <c r="G7945" s="18" t="n">
        <v>2905.1</v>
      </c>
      <c r="H7945" s="18" t="n">
        <v>0</v>
      </c>
      <c r="I7945" s="18" t="n">
        <f aca="false">((I7944 + G7945) - H7945)</f>
        <v>-13602.04</v>
      </c>
      <c r="J7945" s="18" t="n">
        <v>0</v>
      </c>
      <c r="K7945" s="19" t="n">
        <v>0</v>
      </c>
      <c r="L7945" s="17"/>
    </row>
    <row r="7946" s="11" customFormat="true" ht="10.95" hidden="false" customHeight="true" outlineLevel="0" collapsed="false">
      <c r="A7946" s="16" t="n">
        <v>45139</v>
      </c>
      <c r="B7946" s="17" t="s">
        <v>3613</v>
      </c>
      <c r="C7946" s="17" t="s">
        <v>3614</v>
      </c>
      <c r="D7946" s="17" t="s">
        <v>2903</v>
      </c>
      <c r="E7946" s="17" t="s">
        <v>3649</v>
      </c>
      <c r="F7946" s="17" t="s">
        <v>2248</v>
      </c>
      <c r="G7946" s="18" t="n">
        <v>610</v>
      </c>
      <c r="H7946" s="18" t="n">
        <v>0</v>
      </c>
      <c r="I7946" s="18" t="n">
        <f aca="false">((I7945 + G7946) - H7946)</f>
        <v>-12992.04</v>
      </c>
      <c r="J7946" s="18" t="n">
        <v>0</v>
      </c>
      <c r="K7946" s="19" t="n">
        <v>0</v>
      </c>
      <c r="L7946" s="17"/>
    </row>
    <row r="7947" s="11" customFormat="true" ht="10.95" hidden="false" customHeight="true" outlineLevel="0" collapsed="false">
      <c r="A7947" s="16" t="n">
        <v>45139</v>
      </c>
      <c r="B7947" s="17" t="s">
        <v>3613</v>
      </c>
      <c r="C7947" s="17" t="s">
        <v>3614</v>
      </c>
      <c r="D7947" s="17" t="s">
        <v>1391</v>
      </c>
      <c r="E7947" s="17" t="s">
        <v>3621</v>
      </c>
      <c r="F7947" s="17" t="s">
        <v>2635</v>
      </c>
      <c r="G7947" s="18" t="n">
        <v>0</v>
      </c>
      <c r="H7947" s="18" t="n">
        <v>745.91</v>
      </c>
      <c r="I7947" s="18" t="n">
        <f aca="false">((I7946 + G7947) - H7947)</f>
        <v>-13737.95</v>
      </c>
      <c r="J7947" s="18" t="n">
        <v>0</v>
      </c>
      <c r="K7947" s="19" t="n">
        <v>0</v>
      </c>
      <c r="L7947" s="17"/>
    </row>
    <row r="7948" s="11" customFormat="true" ht="10.95" hidden="false" customHeight="true" outlineLevel="0" collapsed="false">
      <c r="A7948" s="16" t="n">
        <v>45139</v>
      </c>
      <c r="B7948" s="17" t="s">
        <v>3613</v>
      </c>
      <c r="C7948" s="17" t="s">
        <v>3614</v>
      </c>
      <c r="D7948" s="17" t="s">
        <v>1391</v>
      </c>
      <c r="E7948" s="17" t="s">
        <v>3650</v>
      </c>
      <c r="F7948" s="17" t="s">
        <v>2254</v>
      </c>
      <c r="G7948" s="18" t="n">
        <v>0</v>
      </c>
      <c r="H7948" s="18" t="n">
        <v>248</v>
      </c>
      <c r="I7948" s="18" t="n">
        <f aca="false">((I7947 + G7948) - H7948)</f>
        <v>-13985.95</v>
      </c>
      <c r="J7948" s="18" t="n">
        <v>0</v>
      </c>
      <c r="K7948" s="19" t="n">
        <v>0</v>
      </c>
      <c r="L7948" s="17"/>
    </row>
    <row r="7949" s="11" customFormat="true" ht="10.95" hidden="false" customHeight="true" outlineLevel="0" collapsed="false">
      <c r="A7949" s="16" t="n">
        <v>45139</v>
      </c>
      <c r="B7949" s="17" t="s">
        <v>3613</v>
      </c>
      <c r="C7949" s="17" t="s">
        <v>3614</v>
      </c>
      <c r="D7949" s="17" t="s">
        <v>1391</v>
      </c>
      <c r="E7949" s="17" t="s">
        <v>3650</v>
      </c>
      <c r="F7949" s="17" t="s">
        <v>2256</v>
      </c>
      <c r="G7949" s="18" t="n">
        <v>0</v>
      </c>
      <c r="H7949" s="18" t="n">
        <v>152.15</v>
      </c>
      <c r="I7949" s="18" t="n">
        <f aca="false">((I7948 + G7949) - H7949)</f>
        <v>-14138.1</v>
      </c>
      <c r="J7949" s="18" t="n">
        <v>0</v>
      </c>
      <c r="K7949" s="19" t="n">
        <v>0</v>
      </c>
      <c r="L7949" s="17"/>
    </row>
    <row r="7950" s="11" customFormat="true" ht="10.95" hidden="false" customHeight="true" outlineLevel="0" collapsed="false">
      <c r="A7950" s="16" t="n">
        <v>45139</v>
      </c>
      <c r="B7950" s="17" t="s">
        <v>3613</v>
      </c>
      <c r="C7950" s="17" t="s">
        <v>3614</v>
      </c>
      <c r="D7950" s="17" t="s">
        <v>1391</v>
      </c>
      <c r="E7950" s="17" t="s">
        <v>3622</v>
      </c>
      <c r="F7950" s="17" t="s">
        <v>1420</v>
      </c>
      <c r="G7950" s="18" t="n">
        <v>0</v>
      </c>
      <c r="H7950" s="18" t="n">
        <v>1865.82</v>
      </c>
      <c r="I7950" s="18" t="n">
        <f aca="false">((I7949 + G7950) - H7950)</f>
        <v>-16003.92</v>
      </c>
      <c r="J7950" s="18" t="n">
        <v>0</v>
      </c>
      <c r="K7950" s="19" t="n">
        <v>0</v>
      </c>
      <c r="L7950" s="17"/>
    </row>
    <row r="7951" s="11" customFormat="true" ht="10.95" hidden="false" customHeight="true" outlineLevel="0" collapsed="false">
      <c r="A7951" s="16" t="n">
        <v>45140</v>
      </c>
      <c r="B7951" s="17" t="s">
        <v>3613</v>
      </c>
      <c r="C7951" s="17" t="s">
        <v>3614</v>
      </c>
      <c r="D7951" s="17" t="s">
        <v>1391</v>
      </c>
      <c r="E7951" s="17" t="s">
        <v>3651</v>
      </c>
      <c r="F7951" s="17" t="s">
        <v>2258</v>
      </c>
      <c r="G7951" s="18" t="n">
        <v>0</v>
      </c>
      <c r="H7951" s="18" t="n">
        <v>19.95</v>
      </c>
      <c r="I7951" s="18" t="n">
        <f aca="false">((I7950 + G7951) - H7951)</f>
        <v>-16023.87</v>
      </c>
      <c r="J7951" s="18" t="n">
        <v>0</v>
      </c>
      <c r="K7951" s="19" t="n">
        <v>0</v>
      </c>
      <c r="L7951" s="17"/>
    </row>
    <row r="7952" s="11" customFormat="true" ht="10.95" hidden="false" customHeight="true" outlineLevel="0" collapsed="false">
      <c r="A7952" s="16" t="n">
        <v>45141</v>
      </c>
      <c r="B7952" s="17" t="s">
        <v>3613</v>
      </c>
      <c r="C7952" s="17" t="s">
        <v>3614</v>
      </c>
      <c r="D7952" s="17" t="s">
        <v>1391</v>
      </c>
      <c r="E7952" s="17" t="s">
        <v>3625</v>
      </c>
      <c r="F7952" s="17" t="s">
        <v>3250</v>
      </c>
      <c r="G7952" s="18" t="n">
        <v>0</v>
      </c>
      <c r="H7952" s="18" t="n">
        <v>997.46</v>
      </c>
      <c r="I7952" s="18" t="n">
        <f aca="false">((I7951 + G7952) - H7952)</f>
        <v>-17021.33</v>
      </c>
      <c r="J7952" s="18" t="n">
        <v>0</v>
      </c>
      <c r="K7952" s="19" t="n">
        <v>0</v>
      </c>
      <c r="L7952" s="17"/>
    </row>
    <row r="7953" s="11" customFormat="true" ht="10.95" hidden="false" customHeight="true" outlineLevel="0" collapsed="false">
      <c r="A7953" s="16" t="n">
        <v>45141</v>
      </c>
      <c r="B7953" s="17" t="s">
        <v>3613</v>
      </c>
      <c r="C7953" s="17" t="s">
        <v>3614</v>
      </c>
      <c r="D7953" s="17" t="s">
        <v>1391</v>
      </c>
      <c r="E7953" s="17" t="s">
        <v>3615</v>
      </c>
      <c r="F7953" s="17" t="s">
        <v>1422</v>
      </c>
      <c r="G7953" s="18" t="n">
        <v>0</v>
      </c>
      <c r="H7953" s="18" t="n">
        <v>1798.5</v>
      </c>
      <c r="I7953" s="18" t="n">
        <f aca="false">((I7952 + G7953) - H7953)</f>
        <v>-18819.83</v>
      </c>
      <c r="J7953" s="18" t="n">
        <v>0</v>
      </c>
      <c r="K7953" s="19" t="n">
        <v>0</v>
      </c>
      <c r="L7953" s="17"/>
    </row>
    <row r="7954" s="11" customFormat="true" ht="10.95" hidden="false" customHeight="true" outlineLevel="0" collapsed="false">
      <c r="A7954" s="16" t="n">
        <v>45142</v>
      </c>
      <c r="B7954" s="17" t="s">
        <v>3613</v>
      </c>
      <c r="C7954" s="17" t="s">
        <v>3614</v>
      </c>
      <c r="D7954" s="17" t="s">
        <v>2903</v>
      </c>
      <c r="E7954" s="17" t="s">
        <v>3652</v>
      </c>
      <c r="F7954" s="17" t="s">
        <v>2256</v>
      </c>
      <c r="G7954" s="18" t="n">
        <v>152.15</v>
      </c>
      <c r="H7954" s="18" t="n">
        <v>0</v>
      </c>
      <c r="I7954" s="18" t="n">
        <f aca="false">((I7953 + G7954) - H7954)</f>
        <v>-18667.68</v>
      </c>
      <c r="J7954" s="18" t="n">
        <v>0</v>
      </c>
      <c r="K7954" s="19" t="n">
        <v>0</v>
      </c>
      <c r="L7954" s="17"/>
    </row>
    <row r="7955" s="11" customFormat="true" ht="10.95" hidden="false" customHeight="true" outlineLevel="0" collapsed="false">
      <c r="A7955" s="16" t="n">
        <v>45142</v>
      </c>
      <c r="B7955" s="17" t="s">
        <v>3613</v>
      </c>
      <c r="C7955" s="17" t="s">
        <v>3614</v>
      </c>
      <c r="D7955" s="17" t="s">
        <v>2903</v>
      </c>
      <c r="E7955" s="17" t="s">
        <v>3652</v>
      </c>
      <c r="F7955" s="17" t="s">
        <v>2254</v>
      </c>
      <c r="G7955" s="18" t="n">
        <v>248</v>
      </c>
      <c r="H7955" s="18" t="n">
        <v>0</v>
      </c>
      <c r="I7955" s="18" t="n">
        <f aca="false">((I7954 + G7955) - H7955)</f>
        <v>-18419.68</v>
      </c>
      <c r="J7955" s="18" t="n">
        <v>0</v>
      </c>
      <c r="K7955" s="19" t="n">
        <v>0</v>
      </c>
      <c r="L7955" s="17"/>
    </row>
    <row r="7956" s="11" customFormat="true" ht="10.95" hidden="false" customHeight="true" outlineLevel="0" collapsed="false">
      <c r="A7956" s="16" t="n">
        <v>45143</v>
      </c>
      <c r="B7956" s="17" t="s">
        <v>3613</v>
      </c>
      <c r="C7956" s="17" t="s">
        <v>3614</v>
      </c>
      <c r="D7956" s="17" t="s">
        <v>2903</v>
      </c>
      <c r="E7956" s="17" t="s">
        <v>3631</v>
      </c>
      <c r="F7956" s="17" t="s">
        <v>3250</v>
      </c>
      <c r="G7956" s="18" t="n">
        <v>997.46</v>
      </c>
      <c r="H7956" s="18" t="n">
        <v>0</v>
      </c>
      <c r="I7956" s="18" t="n">
        <f aca="false">((I7955 + G7956) - H7956)</f>
        <v>-17422.22</v>
      </c>
      <c r="J7956" s="18" t="n">
        <v>0</v>
      </c>
      <c r="K7956" s="19" t="n">
        <v>0</v>
      </c>
      <c r="L7956" s="17"/>
    </row>
    <row r="7957" s="11" customFormat="true" ht="10.95" hidden="false" customHeight="true" outlineLevel="0" collapsed="false">
      <c r="A7957" s="16" t="n">
        <v>45143</v>
      </c>
      <c r="B7957" s="17" t="s">
        <v>3613</v>
      </c>
      <c r="C7957" s="17" t="s">
        <v>3614</v>
      </c>
      <c r="D7957" s="17" t="s">
        <v>1391</v>
      </c>
      <c r="E7957" s="17" t="s">
        <v>3653</v>
      </c>
      <c r="F7957" s="17" t="s">
        <v>1640</v>
      </c>
      <c r="G7957" s="18" t="n">
        <v>0</v>
      </c>
      <c r="H7957" s="18" t="n">
        <v>5940</v>
      </c>
      <c r="I7957" s="18" t="n">
        <f aca="false">((I7956 + G7957) - H7957)</f>
        <v>-23362.22</v>
      </c>
      <c r="J7957" s="18" t="n">
        <v>0</v>
      </c>
      <c r="K7957" s="19" t="n">
        <v>0</v>
      </c>
      <c r="L7957" s="17"/>
    </row>
    <row r="7958" s="11" customFormat="true" ht="10.95" hidden="false" customHeight="true" outlineLevel="0" collapsed="false">
      <c r="A7958" s="16" t="n">
        <v>45143</v>
      </c>
      <c r="B7958" s="17" t="s">
        <v>3613</v>
      </c>
      <c r="C7958" s="17" t="s">
        <v>3614</v>
      </c>
      <c r="D7958" s="17" t="s">
        <v>2903</v>
      </c>
      <c r="E7958" s="17" t="s">
        <v>3654</v>
      </c>
      <c r="F7958" s="17" t="s">
        <v>1640</v>
      </c>
      <c r="G7958" s="18" t="n">
        <v>5940</v>
      </c>
      <c r="H7958" s="18" t="n">
        <v>0</v>
      </c>
      <c r="I7958" s="18" t="n">
        <f aca="false">((I7957 + G7958) - H7958)</f>
        <v>-17422.22</v>
      </c>
      <c r="J7958" s="18" t="n">
        <v>0</v>
      </c>
      <c r="K7958" s="19" t="n">
        <v>0</v>
      </c>
      <c r="L7958" s="17"/>
    </row>
    <row r="7959" s="11" customFormat="true" ht="10.95" hidden="false" customHeight="true" outlineLevel="0" collapsed="false">
      <c r="A7959" s="16" t="n">
        <v>45143</v>
      </c>
      <c r="B7959" s="17" t="s">
        <v>3613</v>
      </c>
      <c r="C7959" s="17" t="s">
        <v>3614</v>
      </c>
      <c r="D7959" s="17" t="s">
        <v>2903</v>
      </c>
      <c r="E7959" s="17" t="s">
        <v>2904</v>
      </c>
      <c r="F7959" s="17" t="s">
        <v>1416</v>
      </c>
      <c r="G7959" s="18" t="n">
        <v>3559.45</v>
      </c>
      <c r="H7959" s="18" t="n">
        <v>0</v>
      </c>
      <c r="I7959" s="18" t="n">
        <f aca="false">((I7958 + G7959) - H7959)</f>
        <v>-13862.77</v>
      </c>
      <c r="J7959" s="18" t="n">
        <v>0</v>
      </c>
      <c r="K7959" s="19" t="n">
        <v>0</v>
      </c>
      <c r="L7959" s="17"/>
    </row>
    <row r="7960" s="11" customFormat="true" ht="10.95" hidden="false" customHeight="true" outlineLevel="0" collapsed="false">
      <c r="A7960" s="16" t="n">
        <v>45145</v>
      </c>
      <c r="B7960" s="17" t="s">
        <v>3613</v>
      </c>
      <c r="C7960" s="17" t="s">
        <v>3614</v>
      </c>
      <c r="D7960" s="17" t="s">
        <v>1391</v>
      </c>
      <c r="E7960" s="17" t="s">
        <v>3615</v>
      </c>
      <c r="F7960" s="17" t="s">
        <v>1424</v>
      </c>
      <c r="G7960" s="18" t="n">
        <v>0</v>
      </c>
      <c r="H7960" s="18" t="n">
        <v>13223.43</v>
      </c>
      <c r="I7960" s="18" t="n">
        <f aca="false">((I7959 + G7960) - H7960)</f>
        <v>-27086.2</v>
      </c>
      <c r="J7960" s="18" t="n">
        <v>0</v>
      </c>
      <c r="K7960" s="19" t="n">
        <v>0</v>
      </c>
      <c r="L7960" s="17"/>
    </row>
    <row r="7961" s="11" customFormat="true" ht="10.95" hidden="false" customHeight="true" outlineLevel="0" collapsed="false">
      <c r="A7961" s="16" t="n">
        <v>45145</v>
      </c>
      <c r="B7961" s="17" t="s">
        <v>3613</v>
      </c>
      <c r="C7961" s="17" t="s">
        <v>3614</v>
      </c>
      <c r="D7961" s="17" t="s">
        <v>1391</v>
      </c>
      <c r="E7961" s="17" t="s">
        <v>3655</v>
      </c>
      <c r="F7961" s="17" t="s">
        <v>1642</v>
      </c>
      <c r="G7961" s="18" t="n">
        <v>0</v>
      </c>
      <c r="H7961" s="18" t="n">
        <v>129</v>
      </c>
      <c r="I7961" s="18" t="n">
        <f aca="false">((I7960 + G7961) - H7961)</f>
        <v>-27215.2</v>
      </c>
      <c r="J7961" s="18" t="n">
        <v>0</v>
      </c>
      <c r="K7961" s="19" t="n">
        <v>0</v>
      </c>
      <c r="L7961" s="17"/>
    </row>
    <row r="7962" s="11" customFormat="true" ht="10.95" hidden="false" customHeight="true" outlineLevel="0" collapsed="false">
      <c r="A7962" s="16" t="n">
        <v>45145</v>
      </c>
      <c r="B7962" s="17" t="s">
        <v>3613</v>
      </c>
      <c r="C7962" s="17" t="s">
        <v>3614</v>
      </c>
      <c r="D7962" s="17" t="s">
        <v>1391</v>
      </c>
      <c r="E7962" s="17" t="s">
        <v>3656</v>
      </c>
      <c r="F7962" s="17" t="s">
        <v>2600</v>
      </c>
      <c r="G7962" s="18" t="n">
        <v>0</v>
      </c>
      <c r="H7962" s="18" t="n">
        <v>71.88</v>
      </c>
      <c r="I7962" s="18" t="n">
        <f aca="false">((I7961 + G7962) - H7962)</f>
        <v>-27287.08</v>
      </c>
      <c r="J7962" s="18" t="n">
        <v>0</v>
      </c>
      <c r="K7962" s="19" t="n">
        <v>0</v>
      </c>
      <c r="L7962" s="17"/>
    </row>
    <row r="7963" s="11" customFormat="true" ht="10.95" hidden="false" customHeight="true" outlineLevel="0" collapsed="false">
      <c r="A7963" s="16" t="n">
        <v>45146</v>
      </c>
      <c r="B7963" s="17" t="s">
        <v>3613</v>
      </c>
      <c r="C7963" s="17" t="s">
        <v>3614</v>
      </c>
      <c r="D7963" s="17" t="s">
        <v>2903</v>
      </c>
      <c r="E7963" s="17" t="s">
        <v>3657</v>
      </c>
      <c r="F7963" s="17" t="s">
        <v>1414</v>
      </c>
      <c r="G7963" s="18" t="n">
        <v>4163.57</v>
      </c>
      <c r="H7963" s="18" t="n">
        <v>0</v>
      </c>
      <c r="I7963" s="18" t="n">
        <f aca="false">((I7962 + G7963) - H7963)</f>
        <v>-23123.51</v>
      </c>
      <c r="J7963" s="18" t="n">
        <v>0</v>
      </c>
      <c r="K7963" s="19" t="n">
        <v>0</v>
      </c>
      <c r="L7963" s="17"/>
    </row>
    <row r="7964" s="11" customFormat="true" ht="10.95" hidden="false" customHeight="true" outlineLevel="0" collapsed="false">
      <c r="A7964" s="16" t="n">
        <v>45146</v>
      </c>
      <c r="B7964" s="17" t="s">
        <v>3613</v>
      </c>
      <c r="C7964" s="17" t="s">
        <v>3614</v>
      </c>
      <c r="D7964" s="17" t="s">
        <v>1391</v>
      </c>
      <c r="E7964" s="17" t="s">
        <v>3658</v>
      </c>
      <c r="F7964" s="17" t="s">
        <v>2265</v>
      </c>
      <c r="G7964" s="18" t="n">
        <v>0</v>
      </c>
      <c r="H7964" s="18" t="n">
        <v>920.19</v>
      </c>
      <c r="I7964" s="18" t="n">
        <f aca="false">((I7963 + G7964) - H7964)</f>
        <v>-24043.7</v>
      </c>
      <c r="J7964" s="18" t="n">
        <v>0</v>
      </c>
      <c r="K7964" s="19" t="n">
        <v>0</v>
      </c>
      <c r="L7964" s="17"/>
    </row>
    <row r="7965" s="11" customFormat="true" ht="10.95" hidden="false" customHeight="true" outlineLevel="0" collapsed="false">
      <c r="A7965" s="16" t="n">
        <v>45147</v>
      </c>
      <c r="B7965" s="17" t="s">
        <v>3613</v>
      </c>
      <c r="C7965" s="17" t="s">
        <v>3614</v>
      </c>
      <c r="D7965" s="17" t="s">
        <v>1391</v>
      </c>
      <c r="E7965" s="17" t="s">
        <v>3639</v>
      </c>
      <c r="F7965" s="17" t="s">
        <v>1642</v>
      </c>
      <c r="G7965" s="18" t="n">
        <v>0</v>
      </c>
      <c r="H7965" s="18" t="n">
        <v>40</v>
      </c>
      <c r="I7965" s="18" t="n">
        <f aca="false">((I7964 + G7965) - H7965)</f>
        <v>-24083.7</v>
      </c>
      <c r="J7965" s="18" t="n">
        <v>0</v>
      </c>
      <c r="K7965" s="19" t="n">
        <v>0</v>
      </c>
      <c r="L7965" s="17"/>
    </row>
    <row r="7966" s="11" customFormat="true" ht="10.95" hidden="false" customHeight="true" outlineLevel="0" collapsed="false">
      <c r="A7966" s="16" t="n">
        <v>45147</v>
      </c>
      <c r="B7966" s="17" t="s">
        <v>3613</v>
      </c>
      <c r="C7966" s="17" t="s">
        <v>3614</v>
      </c>
      <c r="D7966" s="17" t="s">
        <v>2903</v>
      </c>
      <c r="E7966" s="17" t="s">
        <v>3659</v>
      </c>
      <c r="F7966" s="17" t="s">
        <v>2258</v>
      </c>
      <c r="G7966" s="18" t="n">
        <v>19.95</v>
      </c>
      <c r="H7966" s="18" t="n">
        <v>0</v>
      </c>
      <c r="I7966" s="18" t="n">
        <f aca="false">((I7965 + G7966) - H7966)</f>
        <v>-24063.75</v>
      </c>
      <c r="J7966" s="18" t="n">
        <v>0</v>
      </c>
      <c r="K7966" s="19" t="n">
        <v>0</v>
      </c>
      <c r="L7966" s="17"/>
    </row>
    <row r="7967" s="11" customFormat="true" ht="10.95" hidden="false" customHeight="true" outlineLevel="0" collapsed="false">
      <c r="A7967" s="16" t="n">
        <v>45147</v>
      </c>
      <c r="B7967" s="17" t="s">
        <v>3613</v>
      </c>
      <c r="C7967" s="17" t="s">
        <v>3614</v>
      </c>
      <c r="D7967" s="17" t="s">
        <v>2903</v>
      </c>
      <c r="E7967" s="17" t="s">
        <v>3640</v>
      </c>
      <c r="F7967" s="17" t="s">
        <v>1642</v>
      </c>
      <c r="G7967" s="18" t="n">
        <v>40</v>
      </c>
      <c r="H7967" s="18" t="n">
        <v>0</v>
      </c>
      <c r="I7967" s="18" t="n">
        <f aca="false">((I7966 + G7967) - H7967)</f>
        <v>-24023.75</v>
      </c>
      <c r="J7967" s="18" t="n">
        <v>0</v>
      </c>
      <c r="K7967" s="19" t="n">
        <v>0</v>
      </c>
      <c r="L7967" s="17"/>
    </row>
    <row r="7968" s="11" customFormat="true" ht="10.95" hidden="false" customHeight="true" outlineLevel="0" collapsed="false">
      <c r="A7968" s="16" t="n">
        <v>45147</v>
      </c>
      <c r="B7968" s="17" t="s">
        <v>3613</v>
      </c>
      <c r="C7968" s="17" t="s">
        <v>3614</v>
      </c>
      <c r="D7968" s="17" t="s">
        <v>1391</v>
      </c>
      <c r="E7968" s="17" t="s">
        <v>3655</v>
      </c>
      <c r="F7968" s="17" t="s">
        <v>1642</v>
      </c>
      <c r="G7968" s="18" t="n">
        <v>0</v>
      </c>
      <c r="H7968" s="18" t="n">
        <v>15.5</v>
      </c>
      <c r="I7968" s="18" t="n">
        <f aca="false">((I7967 + G7968) - H7968)</f>
        <v>-24039.25</v>
      </c>
      <c r="J7968" s="18" t="n">
        <v>0</v>
      </c>
      <c r="K7968" s="19" t="n">
        <v>0</v>
      </c>
      <c r="L7968" s="17"/>
    </row>
    <row r="7969" s="11" customFormat="true" ht="10.95" hidden="false" customHeight="true" outlineLevel="0" collapsed="false">
      <c r="A7969" s="16" t="n">
        <v>45147</v>
      </c>
      <c r="B7969" s="17" t="s">
        <v>3613</v>
      </c>
      <c r="C7969" s="17" t="s">
        <v>3614</v>
      </c>
      <c r="D7969" s="17" t="s">
        <v>1391</v>
      </c>
      <c r="E7969" s="17" t="s">
        <v>3638</v>
      </c>
      <c r="F7969" s="17" t="s">
        <v>3252</v>
      </c>
      <c r="G7969" s="18" t="n">
        <v>0</v>
      </c>
      <c r="H7969" s="18" t="n">
        <v>3063.5</v>
      </c>
      <c r="I7969" s="18" t="n">
        <f aca="false">((I7968 + G7969) - H7969)</f>
        <v>-27102.75</v>
      </c>
      <c r="J7969" s="18" t="n">
        <v>0</v>
      </c>
      <c r="K7969" s="19" t="n">
        <v>0</v>
      </c>
      <c r="L7969" s="17"/>
    </row>
    <row r="7970" s="11" customFormat="true" ht="10.95" hidden="false" customHeight="true" outlineLevel="0" collapsed="false">
      <c r="A7970" s="16" t="n">
        <v>45148</v>
      </c>
      <c r="B7970" s="17" t="s">
        <v>3613</v>
      </c>
      <c r="C7970" s="17" t="s">
        <v>3614</v>
      </c>
      <c r="D7970" s="17" t="s">
        <v>2903</v>
      </c>
      <c r="E7970" s="17" t="s">
        <v>3660</v>
      </c>
      <c r="F7970" s="17" t="s">
        <v>1642</v>
      </c>
      <c r="G7970" s="18" t="n">
        <v>15.5</v>
      </c>
      <c r="H7970" s="18" t="n">
        <v>0</v>
      </c>
      <c r="I7970" s="18" t="n">
        <f aca="false">((I7969 + G7970) - H7970)</f>
        <v>-27087.25</v>
      </c>
      <c r="J7970" s="18" t="n">
        <v>0</v>
      </c>
      <c r="K7970" s="19" t="n">
        <v>0</v>
      </c>
      <c r="L7970" s="17"/>
    </row>
    <row r="7971" s="11" customFormat="true" ht="10.95" hidden="false" customHeight="true" outlineLevel="0" collapsed="false">
      <c r="A7971" s="16" t="n">
        <v>45148</v>
      </c>
      <c r="B7971" s="17" t="s">
        <v>3613</v>
      </c>
      <c r="C7971" s="17" t="s">
        <v>3614</v>
      </c>
      <c r="D7971" s="17" t="s">
        <v>2903</v>
      </c>
      <c r="E7971" s="17" t="s">
        <v>3660</v>
      </c>
      <c r="F7971" s="17" t="s">
        <v>1642</v>
      </c>
      <c r="G7971" s="18" t="n">
        <v>129</v>
      </c>
      <c r="H7971" s="18" t="n">
        <v>0</v>
      </c>
      <c r="I7971" s="18" t="n">
        <f aca="false">((I7970 + G7971) - H7971)</f>
        <v>-26958.25</v>
      </c>
      <c r="J7971" s="18" t="n">
        <v>0</v>
      </c>
      <c r="K7971" s="19" t="n">
        <v>0</v>
      </c>
      <c r="L7971" s="17"/>
    </row>
    <row r="7972" s="11" customFormat="true" ht="10.95" hidden="false" customHeight="true" outlineLevel="0" collapsed="false">
      <c r="A7972" s="16" t="n">
        <v>45148</v>
      </c>
      <c r="B7972" s="17" t="s">
        <v>3613</v>
      </c>
      <c r="C7972" s="17" t="s">
        <v>3614</v>
      </c>
      <c r="D7972" s="17" t="s">
        <v>1391</v>
      </c>
      <c r="E7972" s="17" t="s">
        <v>3661</v>
      </c>
      <c r="F7972" s="17" t="s">
        <v>1657</v>
      </c>
      <c r="G7972" s="18" t="n">
        <v>0</v>
      </c>
      <c r="H7972" s="18" t="n">
        <v>3356.1</v>
      </c>
      <c r="I7972" s="18" t="n">
        <f aca="false">((I7971 + G7972) - H7972)</f>
        <v>-30314.35</v>
      </c>
      <c r="J7972" s="18" t="n">
        <v>0</v>
      </c>
      <c r="K7972" s="19" t="n">
        <v>0</v>
      </c>
      <c r="L7972" s="17"/>
    </row>
    <row r="7973" s="11" customFormat="true" ht="10.95" hidden="false" customHeight="true" outlineLevel="0" collapsed="false">
      <c r="A7973" s="16" t="n">
        <v>45148</v>
      </c>
      <c r="B7973" s="17" t="s">
        <v>3613</v>
      </c>
      <c r="C7973" s="17" t="s">
        <v>3614</v>
      </c>
      <c r="D7973" s="17" t="s">
        <v>2903</v>
      </c>
      <c r="E7973" s="17" t="s">
        <v>3662</v>
      </c>
      <c r="F7973" s="17" t="s">
        <v>2600</v>
      </c>
      <c r="G7973" s="18" t="n">
        <v>71.88</v>
      </c>
      <c r="H7973" s="18" t="n">
        <v>0</v>
      </c>
      <c r="I7973" s="18" t="n">
        <f aca="false">((I7972 + G7973) - H7973)</f>
        <v>-30242.47</v>
      </c>
      <c r="J7973" s="18" t="n">
        <v>0</v>
      </c>
      <c r="K7973" s="19" t="n">
        <v>0</v>
      </c>
      <c r="L7973" s="17"/>
    </row>
    <row r="7974" s="11" customFormat="true" ht="10.95" hidden="false" customHeight="true" outlineLevel="0" collapsed="false">
      <c r="A7974" s="16" t="n">
        <v>45149</v>
      </c>
      <c r="B7974" s="17" t="s">
        <v>3613</v>
      </c>
      <c r="C7974" s="17" t="s">
        <v>3614</v>
      </c>
      <c r="D7974" s="17" t="s">
        <v>2903</v>
      </c>
      <c r="E7974" s="17" t="s">
        <v>2933</v>
      </c>
      <c r="F7974" s="17" t="s">
        <v>2265</v>
      </c>
      <c r="G7974" s="18" t="n">
        <v>920.19</v>
      </c>
      <c r="H7974" s="18" t="n">
        <v>0</v>
      </c>
      <c r="I7974" s="18" t="n">
        <f aca="false">((I7973 + G7974) - H7974)</f>
        <v>-29322.28</v>
      </c>
      <c r="J7974" s="18" t="n">
        <v>0</v>
      </c>
      <c r="K7974" s="19" t="n">
        <v>0</v>
      </c>
      <c r="L7974" s="17"/>
    </row>
    <row r="7975" s="11" customFormat="true" ht="10.95" hidden="false" customHeight="true" outlineLevel="0" collapsed="false">
      <c r="A7975" s="16" t="n">
        <v>45150</v>
      </c>
      <c r="B7975" s="17" t="s">
        <v>3613</v>
      </c>
      <c r="C7975" s="17" t="s">
        <v>3614</v>
      </c>
      <c r="D7975" s="17" t="s">
        <v>2903</v>
      </c>
      <c r="E7975" s="17" t="s">
        <v>3663</v>
      </c>
      <c r="F7975" s="17" t="s">
        <v>1657</v>
      </c>
      <c r="G7975" s="18" t="n">
        <v>3356.1</v>
      </c>
      <c r="H7975" s="18" t="n">
        <v>0</v>
      </c>
      <c r="I7975" s="18" t="n">
        <f aca="false">((I7974 + G7975) - H7975)</f>
        <v>-25966.18</v>
      </c>
      <c r="J7975" s="18" t="n">
        <v>0</v>
      </c>
      <c r="K7975" s="19" t="n">
        <v>0</v>
      </c>
      <c r="L7975" s="17"/>
    </row>
    <row r="7976" s="11" customFormat="true" ht="10.95" hidden="false" customHeight="true" outlineLevel="0" collapsed="false">
      <c r="A7976" s="16" t="n">
        <v>45152</v>
      </c>
      <c r="B7976" s="17" t="s">
        <v>3613</v>
      </c>
      <c r="C7976" s="17" t="s">
        <v>3614</v>
      </c>
      <c r="D7976" s="17" t="s">
        <v>1391</v>
      </c>
      <c r="E7976" s="17" t="s">
        <v>3641</v>
      </c>
      <c r="F7976" s="17" t="s">
        <v>2638</v>
      </c>
      <c r="G7976" s="18" t="n">
        <v>0</v>
      </c>
      <c r="H7976" s="18" t="n">
        <v>177.17</v>
      </c>
      <c r="I7976" s="18" t="n">
        <f aca="false">((I7975 + G7976) - H7976)</f>
        <v>-26143.35</v>
      </c>
      <c r="J7976" s="18" t="n">
        <v>0</v>
      </c>
      <c r="K7976" s="19" t="n">
        <v>0</v>
      </c>
      <c r="L7976" s="17"/>
    </row>
    <row r="7977" s="11" customFormat="true" ht="10.95" hidden="false" customHeight="true" outlineLevel="0" collapsed="false">
      <c r="A7977" s="16" t="n">
        <v>45152</v>
      </c>
      <c r="B7977" s="17" t="s">
        <v>3613</v>
      </c>
      <c r="C7977" s="17" t="s">
        <v>3614</v>
      </c>
      <c r="D7977" s="17" t="s">
        <v>1391</v>
      </c>
      <c r="E7977" s="17" t="s">
        <v>3664</v>
      </c>
      <c r="F7977" s="17" t="s">
        <v>3254</v>
      </c>
      <c r="G7977" s="18" t="n">
        <v>0</v>
      </c>
      <c r="H7977" s="18" t="n">
        <v>605</v>
      </c>
      <c r="I7977" s="18" t="n">
        <f aca="false">((I7976 + G7977) - H7977)</f>
        <v>-26748.35</v>
      </c>
      <c r="J7977" s="18" t="n">
        <v>0</v>
      </c>
      <c r="K7977" s="19" t="n">
        <v>0</v>
      </c>
      <c r="L7977" s="17"/>
    </row>
    <row r="7978" s="11" customFormat="true" ht="10.95" hidden="false" customHeight="true" outlineLevel="0" collapsed="false">
      <c r="A7978" s="16" t="n">
        <v>45154</v>
      </c>
      <c r="B7978" s="17" t="s">
        <v>3613</v>
      </c>
      <c r="C7978" s="17" t="s">
        <v>3614</v>
      </c>
      <c r="D7978" s="17" t="s">
        <v>2903</v>
      </c>
      <c r="E7978" s="17" t="s">
        <v>3665</v>
      </c>
      <c r="F7978" s="17" t="s">
        <v>3254</v>
      </c>
      <c r="G7978" s="18" t="n">
        <v>605</v>
      </c>
      <c r="H7978" s="18" t="n">
        <v>0</v>
      </c>
      <c r="I7978" s="18" t="n">
        <f aca="false">((I7977 + G7978) - H7978)</f>
        <v>-26143.35</v>
      </c>
      <c r="J7978" s="18" t="n">
        <v>0</v>
      </c>
      <c r="K7978" s="19" t="n">
        <v>0</v>
      </c>
      <c r="L7978" s="17"/>
    </row>
    <row r="7979" s="11" customFormat="true" ht="10.95" hidden="false" customHeight="true" outlineLevel="0" collapsed="false">
      <c r="A7979" s="16" t="n">
        <v>45154</v>
      </c>
      <c r="B7979" s="17" t="s">
        <v>3613</v>
      </c>
      <c r="C7979" s="17" t="s">
        <v>3614</v>
      </c>
      <c r="D7979" s="17" t="s">
        <v>2903</v>
      </c>
      <c r="E7979" s="17" t="s">
        <v>3643</v>
      </c>
      <c r="F7979" s="17" t="s">
        <v>1420</v>
      </c>
      <c r="G7979" s="18" t="n">
        <v>1315.82</v>
      </c>
      <c r="H7979" s="18" t="n">
        <v>0</v>
      </c>
      <c r="I7979" s="18" t="n">
        <f aca="false">((I7978 + G7979) - H7979)</f>
        <v>-24827.53</v>
      </c>
      <c r="J7979" s="18" t="n">
        <v>0</v>
      </c>
      <c r="K7979" s="19" t="n">
        <v>0</v>
      </c>
      <c r="L7979" s="17"/>
    </row>
    <row r="7980" s="11" customFormat="true" ht="10.95" hidden="false" customHeight="true" outlineLevel="0" collapsed="false">
      <c r="A7980" s="16" t="n">
        <v>45155</v>
      </c>
      <c r="B7980" s="17" t="s">
        <v>3613</v>
      </c>
      <c r="C7980" s="17" t="s">
        <v>3614</v>
      </c>
      <c r="D7980" s="17" t="s">
        <v>2903</v>
      </c>
      <c r="E7980" s="17" t="s">
        <v>2908</v>
      </c>
      <c r="F7980" s="17" t="s">
        <v>2215</v>
      </c>
      <c r="G7980" s="18" t="n">
        <v>445.8</v>
      </c>
      <c r="H7980" s="18" t="n">
        <v>0</v>
      </c>
      <c r="I7980" s="18" t="n">
        <f aca="false">((I7979 + G7980) - H7980)</f>
        <v>-24381.73</v>
      </c>
      <c r="J7980" s="18" t="n">
        <v>0</v>
      </c>
      <c r="K7980" s="19" t="n">
        <v>0</v>
      </c>
      <c r="L7980" s="17"/>
    </row>
    <row r="7981" s="11" customFormat="true" ht="10.95" hidden="false" customHeight="true" outlineLevel="0" collapsed="false">
      <c r="A7981" s="16" t="n">
        <v>45155</v>
      </c>
      <c r="B7981" s="17" t="s">
        <v>3613</v>
      </c>
      <c r="C7981" s="17" t="s">
        <v>3614</v>
      </c>
      <c r="D7981" s="17" t="s">
        <v>1391</v>
      </c>
      <c r="E7981" s="17" t="s">
        <v>3666</v>
      </c>
      <c r="F7981" s="17" t="s">
        <v>2640</v>
      </c>
      <c r="G7981" s="18" t="n">
        <v>0</v>
      </c>
      <c r="H7981" s="18" t="n">
        <v>463.85</v>
      </c>
      <c r="I7981" s="18" t="n">
        <f aca="false">((I7980 + G7981) - H7981)</f>
        <v>-24845.58</v>
      </c>
      <c r="J7981" s="18" t="n">
        <v>0</v>
      </c>
      <c r="K7981" s="19" t="n">
        <v>0</v>
      </c>
      <c r="L7981" s="17"/>
    </row>
    <row r="7982" s="11" customFormat="true" ht="10.95" hidden="false" customHeight="true" outlineLevel="0" collapsed="false">
      <c r="A7982" s="16" t="n">
        <v>45156</v>
      </c>
      <c r="B7982" s="17" t="s">
        <v>3613</v>
      </c>
      <c r="C7982" s="17" t="s">
        <v>3614</v>
      </c>
      <c r="D7982" s="17" t="s">
        <v>1391</v>
      </c>
      <c r="E7982" s="17" t="s">
        <v>3642</v>
      </c>
      <c r="F7982" s="17" t="s">
        <v>2269</v>
      </c>
      <c r="G7982" s="18" t="n">
        <v>0</v>
      </c>
      <c r="H7982" s="18" t="n">
        <v>45.32</v>
      </c>
      <c r="I7982" s="18" t="n">
        <f aca="false">((I7981 + G7982) - H7982)</f>
        <v>-24890.9</v>
      </c>
      <c r="J7982" s="18" t="n">
        <v>0</v>
      </c>
      <c r="K7982" s="19" t="n">
        <v>0</v>
      </c>
      <c r="L7982" s="17"/>
    </row>
    <row r="7983" s="11" customFormat="true" ht="10.95" hidden="false" customHeight="true" outlineLevel="0" collapsed="false">
      <c r="A7983" s="16" t="n">
        <v>45156</v>
      </c>
      <c r="B7983" s="17" t="s">
        <v>3613</v>
      </c>
      <c r="C7983" s="17" t="s">
        <v>3614</v>
      </c>
      <c r="D7983" s="17" t="s">
        <v>1391</v>
      </c>
      <c r="E7983" s="17" t="s">
        <v>3642</v>
      </c>
      <c r="F7983" s="17" t="s">
        <v>2271</v>
      </c>
      <c r="G7983" s="18" t="n">
        <v>0</v>
      </c>
      <c r="H7983" s="18" t="n">
        <v>33.22</v>
      </c>
      <c r="I7983" s="18" t="n">
        <f aca="false">((I7982 + G7983) - H7983)</f>
        <v>-24924.12</v>
      </c>
      <c r="J7983" s="18" t="n">
        <v>0</v>
      </c>
      <c r="K7983" s="19" t="n">
        <v>0</v>
      </c>
      <c r="L7983" s="17"/>
    </row>
    <row r="7984" s="11" customFormat="true" ht="10.95" hidden="false" customHeight="true" outlineLevel="0" collapsed="false">
      <c r="A7984" s="16" t="n">
        <v>45156</v>
      </c>
      <c r="B7984" s="17" t="s">
        <v>3613</v>
      </c>
      <c r="C7984" s="17" t="s">
        <v>3614</v>
      </c>
      <c r="D7984" s="17" t="s">
        <v>1391</v>
      </c>
      <c r="E7984" s="17" t="s">
        <v>3642</v>
      </c>
      <c r="F7984" s="17" t="s">
        <v>2273</v>
      </c>
      <c r="G7984" s="18" t="n">
        <v>0</v>
      </c>
      <c r="H7984" s="18" t="n">
        <v>24.2</v>
      </c>
      <c r="I7984" s="18" t="n">
        <f aca="false">((I7983 + G7984) - H7984)</f>
        <v>-24948.32</v>
      </c>
      <c r="J7984" s="18" t="n">
        <v>0</v>
      </c>
      <c r="K7984" s="19" t="n">
        <v>0</v>
      </c>
      <c r="L7984" s="17"/>
    </row>
    <row r="7985" s="11" customFormat="true" ht="10.95" hidden="false" customHeight="true" outlineLevel="0" collapsed="false">
      <c r="A7985" s="16" t="n">
        <v>45156</v>
      </c>
      <c r="B7985" s="17" t="s">
        <v>3613</v>
      </c>
      <c r="C7985" s="17" t="s">
        <v>3614</v>
      </c>
      <c r="D7985" s="17" t="s">
        <v>1391</v>
      </c>
      <c r="E7985" s="17" t="s">
        <v>3642</v>
      </c>
      <c r="F7985" s="17" t="s">
        <v>2275</v>
      </c>
      <c r="G7985" s="18" t="n">
        <v>0</v>
      </c>
      <c r="H7985" s="18" t="n">
        <v>60.5</v>
      </c>
      <c r="I7985" s="18" t="n">
        <f aca="false">((I7984 + G7985) - H7985)</f>
        <v>-25008.82</v>
      </c>
      <c r="J7985" s="18" t="n">
        <v>0</v>
      </c>
      <c r="K7985" s="19" t="n">
        <v>0</v>
      </c>
      <c r="L7985" s="17"/>
    </row>
    <row r="7986" s="11" customFormat="true" ht="10.95" hidden="false" customHeight="true" outlineLevel="0" collapsed="false">
      <c r="A7986" s="16" t="n">
        <v>45156</v>
      </c>
      <c r="B7986" s="17" t="s">
        <v>3613</v>
      </c>
      <c r="C7986" s="17" t="s">
        <v>3614</v>
      </c>
      <c r="D7986" s="17" t="s">
        <v>1391</v>
      </c>
      <c r="E7986" s="17" t="s">
        <v>3642</v>
      </c>
      <c r="F7986" s="17" t="s">
        <v>2277</v>
      </c>
      <c r="G7986" s="18" t="n">
        <v>0</v>
      </c>
      <c r="H7986" s="18" t="n">
        <v>68.2</v>
      </c>
      <c r="I7986" s="18" t="n">
        <f aca="false">((I7985 + G7986) - H7986)</f>
        <v>-25077.02</v>
      </c>
      <c r="J7986" s="18" t="n">
        <v>0</v>
      </c>
      <c r="K7986" s="19" t="n">
        <v>0</v>
      </c>
      <c r="L7986" s="17"/>
    </row>
    <row r="7987" s="11" customFormat="true" ht="10.95" hidden="false" customHeight="true" outlineLevel="0" collapsed="false">
      <c r="A7987" s="16" t="n">
        <v>45156</v>
      </c>
      <c r="B7987" s="17" t="s">
        <v>3613</v>
      </c>
      <c r="C7987" s="17" t="s">
        <v>3614</v>
      </c>
      <c r="D7987" s="17" t="s">
        <v>1391</v>
      </c>
      <c r="E7987" s="17" t="s">
        <v>3642</v>
      </c>
      <c r="F7987" s="17" t="s">
        <v>2279</v>
      </c>
      <c r="G7987" s="18" t="n">
        <v>0</v>
      </c>
      <c r="H7987" s="18" t="n">
        <v>9.02</v>
      </c>
      <c r="I7987" s="18" t="n">
        <f aca="false">((I7986 + G7987) - H7987)</f>
        <v>-25086.04</v>
      </c>
      <c r="J7987" s="18" t="n">
        <v>0</v>
      </c>
      <c r="K7987" s="19" t="n">
        <v>0</v>
      </c>
      <c r="L7987" s="17"/>
    </row>
    <row r="7988" s="11" customFormat="true" ht="10.95" hidden="false" customHeight="true" outlineLevel="0" collapsed="false">
      <c r="A7988" s="16" t="n">
        <v>45156</v>
      </c>
      <c r="B7988" s="17" t="s">
        <v>3613</v>
      </c>
      <c r="C7988" s="17" t="s">
        <v>3614</v>
      </c>
      <c r="D7988" s="17" t="s">
        <v>1391</v>
      </c>
      <c r="E7988" s="17" t="s">
        <v>3642</v>
      </c>
      <c r="F7988" s="17" t="s">
        <v>2281</v>
      </c>
      <c r="G7988" s="18" t="n">
        <v>0</v>
      </c>
      <c r="H7988" s="18" t="n">
        <v>219.78</v>
      </c>
      <c r="I7988" s="18" t="n">
        <f aca="false">((I7987 + G7988) - H7988)</f>
        <v>-25305.82</v>
      </c>
      <c r="J7988" s="18" t="n">
        <v>0</v>
      </c>
      <c r="K7988" s="19" t="n">
        <v>0</v>
      </c>
      <c r="L7988" s="17"/>
    </row>
    <row r="7989" s="11" customFormat="true" ht="10.95" hidden="false" customHeight="true" outlineLevel="0" collapsed="false">
      <c r="A7989" s="16" t="n">
        <v>45156</v>
      </c>
      <c r="B7989" s="17" t="s">
        <v>3613</v>
      </c>
      <c r="C7989" s="17" t="s">
        <v>3614</v>
      </c>
      <c r="D7989" s="17" t="s">
        <v>1391</v>
      </c>
      <c r="E7989" s="17" t="s">
        <v>3642</v>
      </c>
      <c r="F7989" s="17" t="s">
        <v>2283</v>
      </c>
      <c r="G7989" s="18" t="n">
        <v>0</v>
      </c>
      <c r="H7989" s="18" t="n">
        <v>76.56</v>
      </c>
      <c r="I7989" s="18" t="n">
        <f aca="false">((I7988 + G7989) - H7989)</f>
        <v>-25382.38</v>
      </c>
      <c r="J7989" s="18" t="n">
        <v>0</v>
      </c>
      <c r="K7989" s="19" t="n">
        <v>0</v>
      </c>
      <c r="L7989" s="17"/>
    </row>
    <row r="7990" s="11" customFormat="true" ht="10.95" hidden="false" customHeight="true" outlineLevel="0" collapsed="false">
      <c r="A7990" s="16" t="n">
        <v>45156</v>
      </c>
      <c r="B7990" s="17" t="s">
        <v>3613</v>
      </c>
      <c r="C7990" s="17" t="s">
        <v>3614</v>
      </c>
      <c r="D7990" s="17" t="s">
        <v>1391</v>
      </c>
      <c r="E7990" s="17" t="s">
        <v>3666</v>
      </c>
      <c r="F7990" s="17" t="s">
        <v>3579</v>
      </c>
      <c r="G7990" s="18" t="n">
        <v>0</v>
      </c>
      <c r="H7990" s="18" t="n">
        <v>31.11</v>
      </c>
      <c r="I7990" s="18" t="n">
        <f aca="false">((I7989 + G7990) - H7990)</f>
        <v>-25413.49</v>
      </c>
      <c r="J7990" s="18" t="n">
        <v>0</v>
      </c>
      <c r="K7990" s="19" t="n">
        <v>0</v>
      </c>
      <c r="L7990" s="17"/>
    </row>
    <row r="7991" s="11" customFormat="true" ht="10.95" hidden="false" customHeight="true" outlineLevel="0" collapsed="false">
      <c r="A7991" s="16" t="n">
        <v>45157</v>
      </c>
      <c r="B7991" s="17" t="s">
        <v>3613</v>
      </c>
      <c r="C7991" s="17" t="s">
        <v>3614</v>
      </c>
      <c r="D7991" s="17" t="s">
        <v>2903</v>
      </c>
      <c r="E7991" s="17" t="s">
        <v>3667</v>
      </c>
      <c r="F7991" s="17" t="s">
        <v>3579</v>
      </c>
      <c r="G7991" s="18" t="n">
        <v>31.11</v>
      </c>
      <c r="H7991" s="18" t="n">
        <v>0</v>
      </c>
      <c r="I7991" s="18" t="n">
        <f aca="false">((I7990 + G7991) - H7991)</f>
        <v>-25382.38</v>
      </c>
      <c r="J7991" s="18" t="n">
        <v>0</v>
      </c>
      <c r="K7991" s="19" t="n">
        <v>0</v>
      </c>
      <c r="L7991" s="17"/>
    </row>
    <row r="7992" s="11" customFormat="true" ht="10.95" hidden="false" customHeight="true" outlineLevel="0" collapsed="false">
      <c r="A7992" s="16" t="n">
        <v>45157</v>
      </c>
      <c r="B7992" s="17" t="s">
        <v>3613</v>
      </c>
      <c r="C7992" s="17" t="s">
        <v>3614</v>
      </c>
      <c r="D7992" s="17" t="s">
        <v>2903</v>
      </c>
      <c r="E7992" s="17" t="s">
        <v>3667</v>
      </c>
      <c r="F7992" s="17" t="s">
        <v>2640</v>
      </c>
      <c r="G7992" s="18" t="n">
        <v>463.85</v>
      </c>
      <c r="H7992" s="18" t="n">
        <v>0</v>
      </c>
      <c r="I7992" s="18" t="n">
        <f aca="false">((I7991 + G7992) - H7992)</f>
        <v>-24918.53</v>
      </c>
      <c r="J7992" s="18" t="n">
        <v>0</v>
      </c>
      <c r="K7992" s="19" t="n">
        <v>0</v>
      </c>
      <c r="L7992" s="17"/>
    </row>
    <row r="7993" s="11" customFormat="true" ht="10.95" hidden="false" customHeight="true" outlineLevel="0" collapsed="false">
      <c r="A7993" s="16" t="n">
        <v>45158</v>
      </c>
      <c r="B7993" s="17" t="s">
        <v>3613</v>
      </c>
      <c r="C7993" s="17" t="s">
        <v>3614</v>
      </c>
      <c r="D7993" s="17" t="s">
        <v>1391</v>
      </c>
      <c r="E7993" s="17" t="s">
        <v>3668</v>
      </c>
      <c r="F7993" s="17" t="s">
        <v>2288</v>
      </c>
      <c r="G7993" s="18" t="n">
        <v>0</v>
      </c>
      <c r="H7993" s="18" t="n">
        <v>97</v>
      </c>
      <c r="I7993" s="18" t="n">
        <f aca="false">((I7992 + G7993) - H7993)</f>
        <v>-25015.53</v>
      </c>
      <c r="J7993" s="18" t="n">
        <v>0</v>
      </c>
      <c r="K7993" s="19" t="n">
        <v>0</v>
      </c>
      <c r="L7993" s="17"/>
    </row>
    <row r="7994" s="11" customFormat="true" ht="10.95" hidden="false" customHeight="true" outlineLevel="0" collapsed="false">
      <c r="A7994" s="16" t="n">
        <v>45159</v>
      </c>
      <c r="B7994" s="17" t="s">
        <v>3613</v>
      </c>
      <c r="C7994" s="17" t="s">
        <v>3614</v>
      </c>
      <c r="D7994" s="17" t="s">
        <v>1391</v>
      </c>
      <c r="E7994" s="17" t="s">
        <v>3669</v>
      </c>
      <c r="F7994" s="17" t="s">
        <v>1777</v>
      </c>
      <c r="G7994" s="18" t="n">
        <v>0</v>
      </c>
      <c r="H7994" s="18" t="n">
        <v>1559.12</v>
      </c>
      <c r="I7994" s="18" t="n">
        <f aca="false">((I7993 + G7994) - H7994)</f>
        <v>-26574.65</v>
      </c>
      <c r="J7994" s="18" t="n">
        <v>0</v>
      </c>
      <c r="K7994" s="19" t="n">
        <v>0</v>
      </c>
      <c r="L7994" s="17"/>
    </row>
    <row r="7995" s="11" customFormat="true" ht="10.95" hidden="false" customHeight="true" outlineLevel="0" collapsed="false">
      <c r="A7995" s="16" t="n">
        <v>45160</v>
      </c>
      <c r="B7995" s="17" t="s">
        <v>3613</v>
      </c>
      <c r="C7995" s="17" t="s">
        <v>3614</v>
      </c>
      <c r="D7995" s="17" t="s">
        <v>1391</v>
      </c>
      <c r="E7995" s="17" t="s">
        <v>3638</v>
      </c>
      <c r="F7995" s="17" t="s">
        <v>3256</v>
      </c>
      <c r="G7995" s="18" t="n">
        <v>0</v>
      </c>
      <c r="H7995" s="18" t="n">
        <v>2905.1</v>
      </c>
      <c r="I7995" s="18" t="n">
        <f aca="false">((I7994 + G7995) - H7995)</f>
        <v>-29479.75</v>
      </c>
      <c r="J7995" s="18" t="n">
        <v>0</v>
      </c>
      <c r="K7995" s="19" t="n">
        <v>0</v>
      </c>
      <c r="L7995" s="17"/>
    </row>
    <row r="7996" s="11" customFormat="true" ht="10.95" hidden="false" customHeight="true" outlineLevel="0" collapsed="false">
      <c r="A7996" s="16" t="n">
        <v>45160</v>
      </c>
      <c r="B7996" s="17" t="s">
        <v>3613</v>
      </c>
      <c r="C7996" s="17" t="s">
        <v>3614</v>
      </c>
      <c r="D7996" s="17" t="s">
        <v>1391</v>
      </c>
      <c r="E7996" s="17" t="s">
        <v>3633</v>
      </c>
      <c r="F7996" s="17" t="s">
        <v>1427</v>
      </c>
      <c r="G7996" s="18" t="n">
        <v>0</v>
      </c>
      <c r="H7996" s="18" t="n">
        <v>466.61</v>
      </c>
      <c r="I7996" s="18" t="n">
        <f aca="false">((I7995 + G7996) - H7996)</f>
        <v>-29946.36</v>
      </c>
      <c r="J7996" s="18" t="n">
        <v>0</v>
      </c>
      <c r="K7996" s="19" t="n">
        <v>0</v>
      </c>
      <c r="L7996" s="17"/>
    </row>
    <row r="7997" s="11" customFormat="true" ht="10.95" hidden="false" customHeight="true" outlineLevel="0" collapsed="false">
      <c r="A7997" s="16" t="n">
        <v>45160</v>
      </c>
      <c r="B7997" s="17" t="s">
        <v>3613</v>
      </c>
      <c r="C7997" s="17" t="s">
        <v>3614</v>
      </c>
      <c r="D7997" s="17" t="s">
        <v>2903</v>
      </c>
      <c r="E7997" s="17" t="s">
        <v>3644</v>
      </c>
      <c r="F7997" s="17" t="s">
        <v>2279</v>
      </c>
      <c r="G7997" s="18" t="n">
        <v>9.02</v>
      </c>
      <c r="H7997" s="18" t="n">
        <v>0</v>
      </c>
      <c r="I7997" s="18" t="n">
        <f aca="false">((I7996 + G7997) - H7997)</f>
        <v>-29937.34</v>
      </c>
      <c r="J7997" s="18" t="n">
        <v>0</v>
      </c>
      <c r="K7997" s="19" t="n">
        <v>0</v>
      </c>
      <c r="L7997" s="17"/>
    </row>
    <row r="7998" s="11" customFormat="true" ht="10.95" hidden="false" customHeight="true" outlineLevel="0" collapsed="false">
      <c r="A7998" s="16" t="n">
        <v>45160</v>
      </c>
      <c r="B7998" s="17" t="s">
        <v>3613</v>
      </c>
      <c r="C7998" s="17" t="s">
        <v>3614</v>
      </c>
      <c r="D7998" s="17" t="s">
        <v>2903</v>
      </c>
      <c r="E7998" s="17" t="s">
        <v>3644</v>
      </c>
      <c r="F7998" s="17" t="s">
        <v>2273</v>
      </c>
      <c r="G7998" s="18" t="n">
        <v>24.2</v>
      </c>
      <c r="H7998" s="18" t="n">
        <v>0</v>
      </c>
      <c r="I7998" s="18" t="n">
        <f aca="false">((I7997 + G7998) - H7998)</f>
        <v>-29913.14</v>
      </c>
      <c r="J7998" s="18" t="n">
        <v>0</v>
      </c>
      <c r="K7998" s="19" t="n">
        <v>0</v>
      </c>
      <c r="L7998" s="17"/>
    </row>
    <row r="7999" s="11" customFormat="true" ht="10.95" hidden="false" customHeight="true" outlineLevel="0" collapsed="false">
      <c r="A7999" s="16" t="n">
        <v>45160</v>
      </c>
      <c r="B7999" s="17" t="s">
        <v>3613</v>
      </c>
      <c r="C7999" s="17" t="s">
        <v>3614</v>
      </c>
      <c r="D7999" s="17" t="s">
        <v>2903</v>
      </c>
      <c r="E7999" s="17" t="s">
        <v>3644</v>
      </c>
      <c r="F7999" s="17" t="s">
        <v>2271</v>
      </c>
      <c r="G7999" s="18" t="n">
        <v>33.22</v>
      </c>
      <c r="H7999" s="18" t="n">
        <v>0</v>
      </c>
      <c r="I7999" s="18" t="n">
        <f aca="false">((I7998 + G7999) - H7999)</f>
        <v>-29879.92</v>
      </c>
      <c r="J7999" s="18" t="n">
        <v>0</v>
      </c>
      <c r="K7999" s="19" t="n">
        <v>0</v>
      </c>
      <c r="L7999" s="17"/>
    </row>
    <row r="8000" s="11" customFormat="true" ht="10.95" hidden="false" customHeight="true" outlineLevel="0" collapsed="false">
      <c r="A8000" s="16" t="n">
        <v>45160</v>
      </c>
      <c r="B8000" s="17" t="s">
        <v>3613</v>
      </c>
      <c r="C8000" s="17" t="s">
        <v>3614</v>
      </c>
      <c r="D8000" s="17" t="s">
        <v>2903</v>
      </c>
      <c r="E8000" s="17" t="s">
        <v>3644</v>
      </c>
      <c r="F8000" s="17" t="s">
        <v>2269</v>
      </c>
      <c r="G8000" s="18" t="n">
        <v>45.32</v>
      </c>
      <c r="H8000" s="18" t="n">
        <v>0</v>
      </c>
      <c r="I8000" s="18" t="n">
        <f aca="false">((I7999 + G8000) - H8000)</f>
        <v>-29834.6</v>
      </c>
      <c r="J8000" s="18" t="n">
        <v>0</v>
      </c>
      <c r="K8000" s="19" t="n">
        <v>0</v>
      </c>
      <c r="L8000" s="17"/>
    </row>
    <row r="8001" s="11" customFormat="true" ht="10.95" hidden="false" customHeight="true" outlineLevel="0" collapsed="false">
      <c r="A8001" s="16" t="n">
        <v>45160</v>
      </c>
      <c r="B8001" s="17" t="s">
        <v>3613</v>
      </c>
      <c r="C8001" s="17" t="s">
        <v>3614</v>
      </c>
      <c r="D8001" s="17" t="s">
        <v>2903</v>
      </c>
      <c r="E8001" s="17" t="s">
        <v>3644</v>
      </c>
      <c r="F8001" s="17" t="s">
        <v>2275</v>
      </c>
      <c r="G8001" s="18" t="n">
        <v>60.5</v>
      </c>
      <c r="H8001" s="18" t="n">
        <v>0</v>
      </c>
      <c r="I8001" s="18" t="n">
        <f aca="false">((I8000 + G8001) - H8001)</f>
        <v>-29774.1</v>
      </c>
      <c r="J8001" s="18" t="n">
        <v>0</v>
      </c>
      <c r="K8001" s="19" t="n">
        <v>0</v>
      </c>
      <c r="L8001" s="17"/>
    </row>
    <row r="8002" s="11" customFormat="true" ht="10.95" hidden="false" customHeight="true" outlineLevel="0" collapsed="false">
      <c r="A8002" s="16" t="n">
        <v>45160</v>
      </c>
      <c r="B8002" s="17" t="s">
        <v>3613</v>
      </c>
      <c r="C8002" s="17" t="s">
        <v>3614</v>
      </c>
      <c r="D8002" s="17" t="s">
        <v>2903</v>
      </c>
      <c r="E8002" s="17" t="s">
        <v>3644</v>
      </c>
      <c r="F8002" s="17" t="s">
        <v>2277</v>
      </c>
      <c r="G8002" s="18" t="n">
        <v>68.2</v>
      </c>
      <c r="H8002" s="18" t="n">
        <v>0</v>
      </c>
      <c r="I8002" s="18" t="n">
        <f aca="false">((I8001 + G8002) - H8002)</f>
        <v>-29705.9</v>
      </c>
      <c r="J8002" s="18" t="n">
        <v>0</v>
      </c>
      <c r="K8002" s="19" t="n">
        <v>0</v>
      </c>
      <c r="L8002" s="17"/>
    </row>
    <row r="8003" s="11" customFormat="true" ht="10.95" hidden="false" customHeight="true" outlineLevel="0" collapsed="false">
      <c r="A8003" s="16" t="n">
        <v>45160</v>
      </c>
      <c r="B8003" s="17" t="s">
        <v>3613</v>
      </c>
      <c r="C8003" s="17" t="s">
        <v>3614</v>
      </c>
      <c r="D8003" s="17" t="s">
        <v>2903</v>
      </c>
      <c r="E8003" s="17" t="s">
        <v>3644</v>
      </c>
      <c r="F8003" s="17" t="s">
        <v>2283</v>
      </c>
      <c r="G8003" s="18" t="n">
        <v>76.56</v>
      </c>
      <c r="H8003" s="18" t="n">
        <v>0</v>
      </c>
      <c r="I8003" s="18" t="n">
        <f aca="false">((I8002 + G8003) - H8003)</f>
        <v>-29629.34</v>
      </c>
      <c r="J8003" s="18" t="n">
        <v>0</v>
      </c>
      <c r="K8003" s="19" t="n">
        <v>0</v>
      </c>
      <c r="L8003" s="17"/>
    </row>
    <row r="8004" s="11" customFormat="true" ht="10.95" hidden="false" customHeight="true" outlineLevel="0" collapsed="false">
      <c r="A8004" s="16" t="n">
        <v>45160</v>
      </c>
      <c r="B8004" s="17" t="s">
        <v>3613</v>
      </c>
      <c r="C8004" s="17" t="s">
        <v>3614</v>
      </c>
      <c r="D8004" s="17" t="s">
        <v>2903</v>
      </c>
      <c r="E8004" s="17" t="s">
        <v>3644</v>
      </c>
      <c r="F8004" s="17" t="s">
        <v>2281</v>
      </c>
      <c r="G8004" s="18" t="n">
        <v>219.78</v>
      </c>
      <c r="H8004" s="18" t="n">
        <v>0</v>
      </c>
      <c r="I8004" s="18" t="n">
        <f aca="false">((I8003 + G8004) - H8004)</f>
        <v>-29409.56</v>
      </c>
      <c r="J8004" s="18" t="n">
        <v>0</v>
      </c>
      <c r="K8004" s="19" t="n">
        <v>0</v>
      </c>
      <c r="L8004" s="17"/>
    </row>
    <row r="8005" s="11" customFormat="true" ht="10.95" hidden="false" customHeight="true" outlineLevel="0" collapsed="false">
      <c r="A8005" s="16" t="n">
        <v>45160</v>
      </c>
      <c r="B8005" s="17" t="s">
        <v>3613</v>
      </c>
      <c r="C8005" s="17" t="s">
        <v>3614</v>
      </c>
      <c r="D8005" s="17" t="s">
        <v>2903</v>
      </c>
      <c r="E8005" s="17" t="s">
        <v>3645</v>
      </c>
      <c r="F8005" s="17" t="s">
        <v>1418</v>
      </c>
      <c r="G8005" s="18" t="n">
        <v>538.76</v>
      </c>
      <c r="H8005" s="18" t="n">
        <v>0</v>
      </c>
      <c r="I8005" s="18" t="n">
        <f aca="false">((I8004 + G8005) - H8005)</f>
        <v>-28870.8</v>
      </c>
      <c r="J8005" s="18" t="n">
        <v>0</v>
      </c>
      <c r="K8005" s="19" t="n">
        <v>0</v>
      </c>
      <c r="L8005" s="17"/>
    </row>
    <row r="8006" s="11" customFormat="true" ht="10.95" hidden="false" customHeight="true" outlineLevel="0" collapsed="false">
      <c r="A8006" s="16" t="n">
        <v>45160</v>
      </c>
      <c r="B8006" s="17" t="s">
        <v>3613</v>
      </c>
      <c r="C8006" s="17" t="s">
        <v>3614</v>
      </c>
      <c r="D8006" s="17" t="s">
        <v>2903</v>
      </c>
      <c r="E8006" s="17" t="s">
        <v>3645</v>
      </c>
      <c r="F8006" s="17" t="s">
        <v>1422</v>
      </c>
      <c r="G8006" s="18" t="n">
        <v>1798.5</v>
      </c>
      <c r="H8006" s="18" t="n">
        <v>0</v>
      </c>
      <c r="I8006" s="18" t="n">
        <f aca="false">((I8005 + G8006) - H8006)</f>
        <v>-27072.3</v>
      </c>
      <c r="J8006" s="18" t="n">
        <v>0</v>
      </c>
      <c r="K8006" s="19" t="n">
        <v>0</v>
      </c>
      <c r="L8006" s="17"/>
    </row>
    <row r="8007" s="11" customFormat="true" ht="10.95" hidden="false" customHeight="true" outlineLevel="0" collapsed="false">
      <c r="A8007" s="16" t="n">
        <v>45160</v>
      </c>
      <c r="B8007" s="17" t="s">
        <v>3613</v>
      </c>
      <c r="C8007" s="17" t="s">
        <v>3614</v>
      </c>
      <c r="D8007" s="17" t="s">
        <v>2903</v>
      </c>
      <c r="E8007" s="17" t="s">
        <v>3616</v>
      </c>
      <c r="F8007" s="17" t="s">
        <v>3252</v>
      </c>
      <c r="G8007" s="18" t="n">
        <v>3063.5</v>
      </c>
      <c r="H8007" s="18" t="n">
        <v>0</v>
      </c>
      <c r="I8007" s="18" t="n">
        <f aca="false">((I8006 + G8007) - H8007)</f>
        <v>-24008.8</v>
      </c>
      <c r="J8007" s="18" t="n">
        <v>0</v>
      </c>
      <c r="K8007" s="19" t="n">
        <v>0</v>
      </c>
      <c r="L8007" s="17"/>
    </row>
    <row r="8008" s="11" customFormat="true" ht="10.95" hidden="false" customHeight="true" outlineLevel="0" collapsed="false">
      <c r="A8008" s="16" t="n">
        <v>45160</v>
      </c>
      <c r="B8008" s="17" t="s">
        <v>3613</v>
      </c>
      <c r="C8008" s="17" t="s">
        <v>3614</v>
      </c>
      <c r="D8008" s="17" t="s">
        <v>1391</v>
      </c>
      <c r="E8008" s="17" t="s">
        <v>3670</v>
      </c>
      <c r="F8008" s="17" t="s">
        <v>3360</v>
      </c>
      <c r="G8008" s="18" t="n">
        <v>0</v>
      </c>
      <c r="H8008" s="18" t="n">
        <v>150</v>
      </c>
      <c r="I8008" s="18" t="n">
        <f aca="false">((I8007 + G8008) - H8008)</f>
        <v>-24158.8</v>
      </c>
      <c r="J8008" s="18" t="n">
        <v>0</v>
      </c>
      <c r="K8008" s="19" t="n">
        <v>0</v>
      </c>
      <c r="L8008" s="17"/>
    </row>
    <row r="8009" s="11" customFormat="true" ht="10.95" hidden="false" customHeight="true" outlineLevel="0" collapsed="false">
      <c r="A8009" s="16" t="n">
        <v>45161</v>
      </c>
      <c r="B8009" s="17" t="s">
        <v>3613</v>
      </c>
      <c r="C8009" s="17" t="s">
        <v>3614</v>
      </c>
      <c r="D8009" s="17" t="s">
        <v>2903</v>
      </c>
      <c r="E8009" s="17" t="s">
        <v>3671</v>
      </c>
      <c r="F8009" s="17" t="s">
        <v>2288</v>
      </c>
      <c r="G8009" s="18" t="n">
        <v>97</v>
      </c>
      <c r="H8009" s="18" t="n">
        <v>0</v>
      </c>
      <c r="I8009" s="18" t="n">
        <f aca="false">((I8008 + G8009) - H8009)</f>
        <v>-24061.8</v>
      </c>
      <c r="J8009" s="18" t="n">
        <v>0</v>
      </c>
      <c r="K8009" s="19" t="n">
        <v>0</v>
      </c>
      <c r="L8009" s="17"/>
    </row>
    <row r="8010" s="11" customFormat="true" ht="10.95" hidden="false" customHeight="true" outlineLevel="0" collapsed="false">
      <c r="A8010" s="16" t="n">
        <v>45162</v>
      </c>
      <c r="B8010" s="17" t="s">
        <v>3613</v>
      </c>
      <c r="C8010" s="17" t="s">
        <v>3614</v>
      </c>
      <c r="D8010" s="17" t="s">
        <v>2903</v>
      </c>
      <c r="E8010" s="17" t="s">
        <v>3672</v>
      </c>
      <c r="F8010" s="17" t="s">
        <v>3360</v>
      </c>
      <c r="G8010" s="18" t="n">
        <v>150</v>
      </c>
      <c r="H8010" s="18" t="n">
        <v>0</v>
      </c>
      <c r="I8010" s="18" t="n">
        <f aca="false">((I8009 + G8010) - H8010)</f>
        <v>-23911.8</v>
      </c>
      <c r="J8010" s="18" t="n">
        <v>0</v>
      </c>
      <c r="K8010" s="19" t="n">
        <v>0</v>
      </c>
      <c r="L8010" s="17"/>
    </row>
    <row r="8011" s="11" customFormat="true" ht="10.95" hidden="false" customHeight="true" outlineLevel="0" collapsed="false">
      <c r="A8011" s="16" t="n">
        <v>45163</v>
      </c>
      <c r="B8011" s="17" t="s">
        <v>3613</v>
      </c>
      <c r="C8011" s="17" t="s">
        <v>3614</v>
      </c>
      <c r="D8011" s="17" t="s">
        <v>1391</v>
      </c>
      <c r="E8011" s="17" t="s">
        <v>3673</v>
      </c>
      <c r="F8011" s="17" t="s">
        <v>3190</v>
      </c>
      <c r="G8011" s="18" t="n">
        <v>0</v>
      </c>
      <c r="H8011" s="18" t="n">
        <v>23417</v>
      </c>
      <c r="I8011" s="18" t="n">
        <f aca="false">((I8010 + G8011) - H8011)</f>
        <v>-47328.8</v>
      </c>
      <c r="J8011" s="18" t="n">
        <v>0</v>
      </c>
      <c r="K8011" s="19" t="n">
        <v>0</v>
      </c>
      <c r="L8011" s="17"/>
    </row>
    <row r="8012" s="11" customFormat="true" ht="10.95" hidden="false" customHeight="true" outlineLevel="0" collapsed="false">
      <c r="A8012" s="16" t="n">
        <v>45166</v>
      </c>
      <c r="B8012" s="17" t="s">
        <v>3613</v>
      </c>
      <c r="C8012" s="17" t="s">
        <v>3614</v>
      </c>
      <c r="D8012" s="17" t="s">
        <v>1391</v>
      </c>
      <c r="E8012" s="17" t="s">
        <v>3647</v>
      </c>
      <c r="F8012" s="17" t="s">
        <v>1429</v>
      </c>
      <c r="G8012" s="18" t="n">
        <v>0</v>
      </c>
      <c r="H8012" s="18" t="n">
        <v>4593.8</v>
      </c>
      <c r="I8012" s="18" t="n">
        <f aca="false">((I8011 + G8012) - H8012)</f>
        <v>-51922.6</v>
      </c>
      <c r="J8012" s="18" t="n">
        <v>0</v>
      </c>
      <c r="K8012" s="19" t="n">
        <v>0</v>
      </c>
      <c r="L8012" s="17"/>
    </row>
    <row r="8013" s="11" customFormat="true" ht="10.95" hidden="false" customHeight="true" outlineLevel="0" collapsed="false">
      <c r="A8013" s="16" t="n">
        <v>45168</v>
      </c>
      <c r="B8013" s="17" t="s">
        <v>3613</v>
      </c>
      <c r="C8013" s="17" t="s">
        <v>3614</v>
      </c>
      <c r="D8013" s="17" t="s">
        <v>2903</v>
      </c>
      <c r="E8013" s="17" t="s">
        <v>3648</v>
      </c>
      <c r="F8013" s="17" t="s">
        <v>2638</v>
      </c>
      <c r="G8013" s="18" t="n">
        <v>177.17</v>
      </c>
      <c r="H8013" s="18" t="n">
        <v>0</v>
      </c>
      <c r="I8013" s="18" t="n">
        <f aca="false">((I8012 + G8013) - H8013)</f>
        <v>-51745.43</v>
      </c>
      <c r="J8013" s="18" t="n">
        <v>0</v>
      </c>
      <c r="K8013" s="19" t="n">
        <v>0</v>
      </c>
      <c r="L8013" s="17"/>
    </row>
    <row r="8014" s="11" customFormat="true" ht="10.95" hidden="false" customHeight="true" outlineLevel="0" collapsed="false">
      <c r="A8014" s="16" t="n">
        <v>45169</v>
      </c>
      <c r="B8014" s="17" t="s">
        <v>3613</v>
      </c>
      <c r="C8014" s="17" t="s">
        <v>3614</v>
      </c>
      <c r="D8014" s="17" t="s">
        <v>2903</v>
      </c>
      <c r="E8014" s="17" t="s">
        <v>3657</v>
      </c>
      <c r="F8014" s="17" t="s">
        <v>1429</v>
      </c>
      <c r="G8014" s="18" t="n">
        <v>4593.8</v>
      </c>
      <c r="H8014" s="18" t="n">
        <v>0</v>
      </c>
      <c r="I8014" s="18" t="n">
        <f aca="false">((I8013 + G8014) - H8014)</f>
        <v>-47151.63</v>
      </c>
      <c r="J8014" s="18" t="n">
        <v>0</v>
      </c>
      <c r="K8014" s="19" t="n">
        <v>0</v>
      </c>
      <c r="L8014" s="17"/>
    </row>
    <row r="8015" s="11" customFormat="true" ht="10.95" hidden="false" customHeight="true" outlineLevel="0" collapsed="false">
      <c r="A8015" s="16" t="n">
        <v>45170</v>
      </c>
      <c r="B8015" s="17" t="s">
        <v>3613</v>
      </c>
      <c r="C8015" s="17" t="s">
        <v>3614</v>
      </c>
      <c r="D8015" s="17" t="s">
        <v>2903</v>
      </c>
      <c r="E8015" s="17" t="s">
        <v>3616</v>
      </c>
      <c r="F8015" s="17" t="s">
        <v>3256</v>
      </c>
      <c r="G8015" s="18" t="n">
        <v>2905.1</v>
      </c>
      <c r="H8015" s="18" t="n">
        <v>0</v>
      </c>
      <c r="I8015" s="18" t="n">
        <f aca="false">((I8014 + G8015) - H8015)</f>
        <v>-44246.53</v>
      </c>
      <c r="J8015" s="18" t="n">
        <v>0</v>
      </c>
      <c r="K8015" s="19" t="n">
        <v>0</v>
      </c>
      <c r="L8015" s="17"/>
    </row>
    <row r="8016" s="11" customFormat="true" ht="10.95" hidden="false" customHeight="true" outlineLevel="0" collapsed="false">
      <c r="A8016" s="16" t="n">
        <v>45170</v>
      </c>
      <c r="B8016" s="17" t="s">
        <v>3613</v>
      </c>
      <c r="C8016" s="17" t="s">
        <v>3614</v>
      </c>
      <c r="D8016" s="17" t="s">
        <v>1391</v>
      </c>
      <c r="E8016" s="17" t="s">
        <v>3615</v>
      </c>
      <c r="F8016" s="17" t="s">
        <v>1431</v>
      </c>
      <c r="G8016" s="18" t="n">
        <v>0</v>
      </c>
      <c r="H8016" s="18" t="n">
        <v>538.76</v>
      </c>
      <c r="I8016" s="18" t="n">
        <f aca="false">((I8015 + G8016) - H8016)</f>
        <v>-44785.29</v>
      </c>
      <c r="J8016" s="18" t="n">
        <v>0</v>
      </c>
      <c r="K8016" s="19" t="n">
        <v>0</v>
      </c>
      <c r="L8016" s="17"/>
    </row>
    <row r="8017" s="11" customFormat="true" ht="10.95" hidden="false" customHeight="true" outlineLevel="0" collapsed="false">
      <c r="A8017" s="16" t="n">
        <v>45170</v>
      </c>
      <c r="B8017" s="17" t="s">
        <v>3613</v>
      </c>
      <c r="C8017" s="17" t="s">
        <v>3614</v>
      </c>
      <c r="D8017" s="17" t="s">
        <v>2903</v>
      </c>
      <c r="E8017" s="17" t="s">
        <v>3645</v>
      </c>
      <c r="F8017" s="17" t="s">
        <v>1424</v>
      </c>
      <c r="G8017" s="18" t="n">
        <v>13223.43</v>
      </c>
      <c r="H8017" s="18" t="n">
        <v>0</v>
      </c>
      <c r="I8017" s="18" t="n">
        <f aca="false">((I8016 + G8017) - H8017)</f>
        <v>-31561.86</v>
      </c>
      <c r="J8017" s="18" t="n">
        <v>0</v>
      </c>
      <c r="K8017" s="19" t="n">
        <v>0</v>
      </c>
      <c r="L8017" s="17"/>
    </row>
    <row r="8018" s="11" customFormat="true" ht="10.95" hidden="false" customHeight="true" outlineLevel="0" collapsed="false">
      <c r="A8018" s="16" t="n">
        <v>45170</v>
      </c>
      <c r="B8018" s="17" t="s">
        <v>3613</v>
      </c>
      <c r="C8018" s="17" t="s">
        <v>3614</v>
      </c>
      <c r="D8018" s="17" t="s">
        <v>1391</v>
      </c>
      <c r="E8018" s="17" t="s">
        <v>3650</v>
      </c>
      <c r="F8018" s="17" t="s">
        <v>2293</v>
      </c>
      <c r="G8018" s="18" t="n">
        <v>0</v>
      </c>
      <c r="H8018" s="18" t="n">
        <v>248</v>
      </c>
      <c r="I8018" s="18" t="n">
        <f aca="false">((I8017 + G8018) - H8018)</f>
        <v>-31809.86</v>
      </c>
      <c r="J8018" s="18" t="n">
        <v>0</v>
      </c>
      <c r="K8018" s="19" t="n">
        <v>0</v>
      </c>
      <c r="L8018" s="17"/>
    </row>
    <row r="8019" s="11" customFormat="true" ht="10.95" hidden="false" customHeight="true" outlineLevel="0" collapsed="false">
      <c r="A8019" s="16" t="n">
        <v>45170</v>
      </c>
      <c r="B8019" s="17" t="s">
        <v>3613</v>
      </c>
      <c r="C8019" s="17" t="s">
        <v>3614</v>
      </c>
      <c r="D8019" s="17" t="s">
        <v>1391</v>
      </c>
      <c r="E8019" s="17" t="s">
        <v>3621</v>
      </c>
      <c r="F8019" s="17" t="s">
        <v>2642</v>
      </c>
      <c r="G8019" s="18" t="n">
        <v>0</v>
      </c>
      <c r="H8019" s="18" t="n">
        <v>731.5</v>
      </c>
      <c r="I8019" s="18" t="n">
        <f aca="false">((I8018 + G8019) - H8019)</f>
        <v>-32541.36</v>
      </c>
      <c r="J8019" s="18" t="n">
        <v>0</v>
      </c>
      <c r="K8019" s="19" t="n">
        <v>0</v>
      </c>
      <c r="L8019" s="17"/>
    </row>
    <row r="8020" s="11" customFormat="true" ht="10.95" hidden="false" customHeight="true" outlineLevel="0" collapsed="false">
      <c r="A8020" s="16" t="n">
        <v>45172</v>
      </c>
      <c r="B8020" s="17" t="s">
        <v>3613</v>
      </c>
      <c r="C8020" s="17" t="s">
        <v>3614</v>
      </c>
      <c r="D8020" s="17" t="s">
        <v>1391</v>
      </c>
      <c r="E8020" s="17" t="s">
        <v>3625</v>
      </c>
      <c r="F8020" s="17" t="s">
        <v>3258</v>
      </c>
      <c r="G8020" s="18" t="n">
        <v>0</v>
      </c>
      <c r="H8020" s="18" t="n">
        <v>1039.58</v>
      </c>
      <c r="I8020" s="18" t="n">
        <f aca="false">((I8019 + G8020) - H8020)</f>
        <v>-33580.94</v>
      </c>
      <c r="J8020" s="18" t="n">
        <v>0</v>
      </c>
      <c r="K8020" s="19" t="n">
        <v>0</v>
      </c>
      <c r="L8020" s="17"/>
    </row>
    <row r="8021" s="11" customFormat="true" ht="10.95" hidden="false" customHeight="true" outlineLevel="0" collapsed="false">
      <c r="A8021" s="16" t="n">
        <v>45173</v>
      </c>
      <c r="B8021" s="17" t="s">
        <v>3613</v>
      </c>
      <c r="C8021" s="17" t="s">
        <v>3614</v>
      </c>
      <c r="D8021" s="17" t="s">
        <v>2903</v>
      </c>
      <c r="E8021" s="17" t="s">
        <v>2943</v>
      </c>
      <c r="F8021" s="17" t="s">
        <v>1777</v>
      </c>
      <c r="G8021" s="18" t="n">
        <v>779.56</v>
      </c>
      <c r="H8021" s="18" t="n">
        <v>0</v>
      </c>
      <c r="I8021" s="18" t="n">
        <f aca="false">((I8020 + G8021) - H8021)</f>
        <v>-32801.38</v>
      </c>
      <c r="J8021" s="18" t="n">
        <v>0</v>
      </c>
      <c r="K8021" s="19" t="n">
        <v>0</v>
      </c>
      <c r="L8021" s="17"/>
    </row>
    <row r="8022" s="11" customFormat="true" ht="10.95" hidden="false" customHeight="true" outlineLevel="0" collapsed="false">
      <c r="A8022" s="16" t="n">
        <v>45173</v>
      </c>
      <c r="B8022" s="17" t="s">
        <v>3613</v>
      </c>
      <c r="C8022" s="17" t="s">
        <v>3614</v>
      </c>
      <c r="D8022" s="17" t="s">
        <v>1391</v>
      </c>
      <c r="E8022" s="17" t="s">
        <v>3615</v>
      </c>
      <c r="F8022" s="17" t="s">
        <v>1433</v>
      </c>
      <c r="G8022" s="18" t="n">
        <v>0</v>
      </c>
      <c r="H8022" s="18" t="n">
        <v>16431.03</v>
      </c>
      <c r="I8022" s="18" t="n">
        <f aca="false">((I8021 + G8022) - H8022)</f>
        <v>-49232.41</v>
      </c>
      <c r="J8022" s="18" t="n">
        <v>0</v>
      </c>
      <c r="K8022" s="19" t="n">
        <v>0</v>
      </c>
      <c r="L8022" s="17"/>
    </row>
    <row r="8023" s="11" customFormat="true" ht="10.95" hidden="false" customHeight="true" outlineLevel="0" collapsed="false">
      <c r="A8023" s="16" t="n">
        <v>45174</v>
      </c>
      <c r="B8023" s="17" t="s">
        <v>3613</v>
      </c>
      <c r="C8023" s="17" t="s">
        <v>3614</v>
      </c>
      <c r="D8023" s="17" t="s">
        <v>1391</v>
      </c>
      <c r="E8023" s="17" t="s">
        <v>3615</v>
      </c>
      <c r="F8023" s="17" t="s">
        <v>1435</v>
      </c>
      <c r="G8023" s="18" t="n">
        <v>0</v>
      </c>
      <c r="H8023" s="18" t="n">
        <v>1897.5</v>
      </c>
      <c r="I8023" s="18" t="n">
        <f aca="false">((I8022 + G8023) - H8023)</f>
        <v>-51129.91</v>
      </c>
      <c r="J8023" s="18" t="n">
        <v>0</v>
      </c>
      <c r="K8023" s="19" t="n">
        <v>0</v>
      </c>
      <c r="L8023" s="17"/>
    </row>
    <row r="8024" s="11" customFormat="true" ht="10.95" hidden="false" customHeight="true" outlineLevel="0" collapsed="false">
      <c r="A8024" s="16" t="n">
        <v>45174</v>
      </c>
      <c r="B8024" s="17" t="s">
        <v>3613</v>
      </c>
      <c r="C8024" s="17" t="s">
        <v>3614</v>
      </c>
      <c r="D8024" s="17" t="s">
        <v>1391</v>
      </c>
      <c r="E8024" s="17" t="s">
        <v>3627</v>
      </c>
      <c r="F8024" s="17" t="s">
        <v>1437</v>
      </c>
      <c r="G8024" s="18" t="n">
        <v>0</v>
      </c>
      <c r="H8024" s="18" t="n">
        <v>3859.32</v>
      </c>
      <c r="I8024" s="18" t="n">
        <f aca="false">((I8023 + G8024) - H8024)</f>
        <v>-54989.23</v>
      </c>
      <c r="J8024" s="18" t="n">
        <v>0</v>
      </c>
      <c r="K8024" s="19" t="n">
        <v>0</v>
      </c>
      <c r="L8024" s="17"/>
    </row>
    <row r="8025" s="11" customFormat="true" ht="10.95" hidden="false" customHeight="true" outlineLevel="0" collapsed="false">
      <c r="A8025" s="16" t="n">
        <v>45174</v>
      </c>
      <c r="B8025" s="17" t="s">
        <v>3613</v>
      </c>
      <c r="C8025" s="17" t="s">
        <v>3614</v>
      </c>
      <c r="D8025" s="17" t="s">
        <v>2903</v>
      </c>
      <c r="E8025" s="17" t="s">
        <v>3652</v>
      </c>
      <c r="F8025" s="17" t="s">
        <v>2293</v>
      </c>
      <c r="G8025" s="18" t="n">
        <v>248</v>
      </c>
      <c r="H8025" s="18" t="n">
        <v>0</v>
      </c>
      <c r="I8025" s="18" t="n">
        <f aca="false">((I8024 + G8025) - H8025)</f>
        <v>-54741.23</v>
      </c>
      <c r="J8025" s="18" t="n">
        <v>0</v>
      </c>
      <c r="K8025" s="19" t="n">
        <v>0</v>
      </c>
      <c r="L8025" s="17"/>
    </row>
    <row r="8026" s="11" customFormat="true" ht="10.95" hidden="false" customHeight="true" outlineLevel="0" collapsed="false">
      <c r="A8026" s="16" t="n">
        <v>45174</v>
      </c>
      <c r="B8026" s="17" t="s">
        <v>3613</v>
      </c>
      <c r="C8026" s="17" t="s">
        <v>3614</v>
      </c>
      <c r="D8026" s="17" t="s">
        <v>2903</v>
      </c>
      <c r="E8026" s="17" t="s">
        <v>3631</v>
      </c>
      <c r="F8026" s="17" t="s">
        <v>3258</v>
      </c>
      <c r="G8026" s="18" t="n">
        <v>1039.58</v>
      </c>
      <c r="H8026" s="18" t="n">
        <v>0</v>
      </c>
      <c r="I8026" s="18" t="n">
        <f aca="false">((I8025 + G8026) - H8026)</f>
        <v>-53701.65</v>
      </c>
      <c r="J8026" s="18" t="n">
        <v>0</v>
      </c>
      <c r="K8026" s="19" t="n">
        <v>0</v>
      </c>
      <c r="L8026" s="17"/>
    </row>
    <row r="8027" s="11" customFormat="true" ht="10.95" hidden="false" customHeight="true" outlineLevel="0" collapsed="false">
      <c r="A8027" s="16" t="n">
        <v>45175</v>
      </c>
      <c r="B8027" s="17" t="s">
        <v>3613</v>
      </c>
      <c r="C8027" s="17" t="s">
        <v>3614</v>
      </c>
      <c r="D8027" s="17" t="s">
        <v>1391</v>
      </c>
      <c r="E8027" s="17" t="s">
        <v>3670</v>
      </c>
      <c r="F8027" s="17" t="s">
        <v>3362</v>
      </c>
      <c r="G8027" s="18" t="n">
        <v>0</v>
      </c>
      <c r="H8027" s="18" t="n">
        <v>150</v>
      </c>
      <c r="I8027" s="18" t="n">
        <f aca="false">((I8026 + G8027) - H8027)</f>
        <v>-53851.65</v>
      </c>
      <c r="J8027" s="18" t="n">
        <v>0</v>
      </c>
      <c r="K8027" s="19" t="n">
        <v>0</v>
      </c>
      <c r="L8027" s="17"/>
    </row>
    <row r="8028" s="11" customFormat="true" ht="10.95" hidden="false" customHeight="true" outlineLevel="0" collapsed="false">
      <c r="A8028" s="16" t="n">
        <v>45175</v>
      </c>
      <c r="B8028" s="17" t="s">
        <v>3613</v>
      </c>
      <c r="C8028" s="17" t="s">
        <v>3614</v>
      </c>
      <c r="D8028" s="17" t="s">
        <v>2903</v>
      </c>
      <c r="E8028" s="17" t="s">
        <v>3672</v>
      </c>
      <c r="F8028" s="17" t="s">
        <v>3362</v>
      </c>
      <c r="G8028" s="18" t="n">
        <v>150</v>
      </c>
      <c r="H8028" s="18" t="n">
        <v>0</v>
      </c>
      <c r="I8028" s="18" t="n">
        <f aca="false">((I8027 + G8028) - H8028)</f>
        <v>-53701.65</v>
      </c>
      <c r="J8028" s="18" t="n">
        <v>0</v>
      </c>
      <c r="K8028" s="19" t="n">
        <v>0</v>
      </c>
      <c r="L8028" s="17"/>
    </row>
    <row r="8029" s="11" customFormat="true" ht="10.95" hidden="false" customHeight="true" outlineLevel="0" collapsed="false">
      <c r="A8029" s="16" t="n">
        <v>45177</v>
      </c>
      <c r="B8029" s="17" t="s">
        <v>3613</v>
      </c>
      <c r="C8029" s="17" t="s">
        <v>3614</v>
      </c>
      <c r="D8029" s="17" t="s">
        <v>2903</v>
      </c>
      <c r="E8029" s="17" t="s">
        <v>2904</v>
      </c>
      <c r="F8029" s="17" t="s">
        <v>1437</v>
      </c>
      <c r="G8029" s="18" t="n">
        <v>3859.32</v>
      </c>
      <c r="H8029" s="18" t="n">
        <v>0</v>
      </c>
      <c r="I8029" s="18" t="n">
        <f aca="false">((I8028 + G8029) - H8029)</f>
        <v>-49842.33</v>
      </c>
      <c r="J8029" s="18" t="n">
        <v>0</v>
      </c>
      <c r="K8029" s="19" t="n">
        <v>0</v>
      </c>
      <c r="L8029" s="17"/>
    </row>
    <row r="8030" s="11" customFormat="true" ht="10.95" hidden="false" customHeight="true" outlineLevel="0" collapsed="false">
      <c r="A8030" s="16" t="n">
        <v>45177</v>
      </c>
      <c r="B8030" s="17" t="s">
        <v>3613</v>
      </c>
      <c r="C8030" s="17" t="s">
        <v>3614</v>
      </c>
      <c r="D8030" s="17" t="s">
        <v>1391</v>
      </c>
      <c r="E8030" s="17" t="s">
        <v>3639</v>
      </c>
      <c r="F8030" s="17" t="s">
        <v>1642</v>
      </c>
      <c r="G8030" s="18" t="n">
        <v>0</v>
      </c>
      <c r="H8030" s="18" t="n">
        <v>40</v>
      </c>
      <c r="I8030" s="18" t="n">
        <f aca="false">((I8029 + G8030) - H8030)</f>
        <v>-49882.33</v>
      </c>
      <c r="J8030" s="18" t="n">
        <v>0</v>
      </c>
      <c r="K8030" s="19" t="n">
        <v>0</v>
      </c>
      <c r="L8030" s="17"/>
    </row>
    <row r="8031" s="11" customFormat="true" ht="10.95" hidden="false" customHeight="true" outlineLevel="0" collapsed="false">
      <c r="A8031" s="16" t="n">
        <v>45177</v>
      </c>
      <c r="B8031" s="17" t="s">
        <v>3613</v>
      </c>
      <c r="C8031" s="17" t="s">
        <v>3614</v>
      </c>
      <c r="D8031" s="17" t="s">
        <v>1391</v>
      </c>
      <c r="E8031" s="17" t="s">
        <v>3621</v>
      </c>
      <c r="F8031" s="17" t="s">
        <v>2645</v>
      </c>
      <c r="G8031" s="18" t="n">
        <v>0</v>
      </c>
      <c r="H8031" s="18" t="n">
        <v>104.95</v>
      </c>
      <c r="I8031" s="18" t="n">
        <f aca="false">((I8030 + G8031) - H8031)</f>
        <v>-49987.28</v>
      </c>
      <c r="J8031" s="18" t="n">
        <v>0</v>
      </c>
      <c r="K8031" s="19" t="n">
        <v>0</v>
      </c>
      <c r="L8031" s="17"/>
    </row>
    <row r="8032" s="11" customFormat="true" ht="10.95" hidden="false" customHeight="true" outlineLevel="0" collapsed="false">
      <c r="A8032" s="16" t="n">
        <v>45177</v>
      </c>
      <c r="B8032" s="17" t="s">
        <v>3613</v>
      </c>
      <c r="C8032" s="17" t="s">
        <v>3614</v>
      </c>
      <c r="D8032" s="17" t="s">
        <v>2903</v>
      </c>
      <c r="E8032" s="17" t="s">
        <v>3644</v>
      </c>
      <c r="F8032" s="17" t="s">
        <v>2314</v>
      </c>
      <c r="G8032" s="18" t="n">
        <v>9.02</v>
      </c>
      <c r="H8032" s="18" t="n">
        <v>0</v>
      </c>
      <c r="I8032" s="18" t="n">
        <f aca="false">((I8031 + G8032) - H8032)</f>
        <v>-49978.26</v>
      </c>
      <c r="J8032" s="18" t="n">
        <v>0</v>
      </c>
      <c r="K8032" s="19" t="n">
        <v>0</v>
      </c>
      <c r="L8032" s="17"/>
    </row>
    <row r="8033" s="11" customFormat="true" ht="10.95" hidden="false" customHeight="true" outlineLevel="0" collapsed="false">
      <c r="A8033" s="16" t="n">
        <v>45177</v>
      </c>
      <c r="B8033" s="17" t="s">
        <v>3613</v>
      </c>
      <c r="C8033" s="17" t="s">
        <v>3614</v>
      </c>
      <c r="D8033" s="17" t="s">
        <v>1391</v>
      </c>
      <c r="E8033" s="17" t="s">
        <v>3633</v>
      </c>
      <c r="F8033" s="17" t="s">
        <v>2300</v>
      </c>
      <c r="G8033" s="18" t="n">
        <v>0</v>
      </c>
      <c r="H8033" s="18" t="n">
        <v>469.17</v>
      </c>
      <c r="I8033" s="18" t="n">
        <f aca="false">((I8032 + G8033) - H8033)</f>
        <v>-50447.43</v>
      </c>
      <c r="J8033" s="18" t="n">
        <v>0</v>
      </c>
      <c r="K8033" s="19" t="n">
        <v>0</v>
      </c>
      <c r="L8033" s="17"/>
    </row>
    <row r="8034" s="11" customFormat="true" ht="10.95" hidden="false" customHeight="true" outlineLevel="0" collapsed="false">
      <c r="A8034" s="16" t="n">
        <v>45178</v>
      </c>
      <c r="B8034" s="17" t="s">
        <v>3613</v>
      </c>
      <c r="C8034" s="17" t="s">
        <v>3614</v>
      </c>
      <c r="D8034" s="17" t="s">
        <v>1391</v>
      </c>
      <c r="E8034" s="17" t="s">
        <v>3638</v>
      </c>
      <c r="F8034" s="17" t="s">
        <v>3260</v>
      </c>
      <c r="G8034" s="18" t="n">
        <v>0</v>
      </c>
      <c r="H8034" s="18" t="n">
        <v>3257.1</v>
      </c>
      <c r="I8034" s="18" t="n">
        <f aca="false">((I8033 + G8034) - H8034)</f>
        <v>-53704.53</v>
      </c>
      <c r="J8034" s="18" t="n">
        <v>0</v>
      </c>
      <c r="K8034" s="19" t="n">
        <v>0</v>
      </c>
      <c r="L8034" s="17"/>
    </row>
    <row r="8035" s="11" customFormat="true" ht="10.95" hidden="false" customHeight="true" outlineLevel="0" collapsed="false">
      <c r="A8035" s="16" t="n">
        <v>45180</v>
      </c>
      <c r="B8035" s="17" t="s">
        <v>3613</v>
      </c>
      <c r="C8035" s="17" t="s">
        <v>3614</v>
      </c>
      <c r="D8035" s="17" t="s">
        <v>1391</v>
      </c>
      <c r="E8035" s="17" t="s">
        <v>3674</v>
      </c>
      <c r="F8035" s="17" t="s">
        <v>3581</v>
      </c>
      <c r="G8035" s="18" t="n">
        <v>0</v>
      </c>
      <c r="H8035" s="18" t="n">
        <v>1112.21</v>
      </c>
      <c r="I8035" s="18" t="n">
        <f aca="false">((I8034 + G8035) - H8035)</f>
        <v>-54816.74</v>
      </c>
      <c r="J8035" s="18" t="n">
        <v>0</v>
      </c>
      <c r="K8035" s="19" t="n">
        <v>0</v>
      </c>
      <c r="L8035" s="17"/>
    </row>
    <row r="8036" s="11" customFormat="true" ht="10.95" hidden="false" customHeight="true" outlineLevel="0" collapsed="false">
      <c r="A8036" s="16" t="n">
        <v>45181</v>
      </c>
      <c r="B8036" s="17" t="s">
        <v>3613</v>
      </c>
      <c r="C8036" s="17" t="s">
        <v>3614</v>
      </c>
      <c r="D8036" s="17" t="s">
        <v>2903</v>
      </c>
      <c r="E8036" s="17" t="s">
        <v>3640</v>
      </c>
      <c r="F8036" s="17" t="s">
        <v>1642</v>
      </c>
      <c r="G8036" s="18" t="n">
        <v>40</v>
      </c>
      <c r="H8036" s="18" t="n">
        <v>0</v>
      </c>
      <c r="I8036" s="18" t="n">
        <f aca="false">((I8035 + G8036) - H8036)</f>
        <v>-54776.74</v>
      </c>
      <c r="J8036" s="18" t="n">
        <v>0</v>
      </c>
      <c r="K8036" s="19" t="n">
        <v>0</v>
      </c>
      <c r="L8036" s="17"/>
    </row>
    <row r="8037" s="11" customFormat="true" ht="10.95" hidden="false" customHeight="true" outlineLevel="0" collapsed="false">
      <c r="A8037" s="16" t="n">
        <v>45181</v>
      </c>
      <c r="B8037" s="17" t="s">
        <v>3613</v>
      </c>
      <c r="C8037" s="17" t="s">
        <v>3614</v>
      </c>
      <c r="D8037" s="17" t="s">
        <v>2903</v>
      </c>
      <c r="E8037" s="17" t="s">
        <v>3675</v>
      </c>
      <c r="F8037" s="17" t="s">
        <v>3581</v>
      </c>
      <c r="G8037" s="18" t="n">
        <v>1112.21</v>
      </c>
      <c r="H8037" s="18" t="n">
        <v>0</v>
      </c>
      <c r="I8037" s="18" t="n">
        <f aca="false">((I8036 + G8037) - H8037)</f>
        <v>-53664.53</v>
      </c>
      <c r="J8037" s="18" t="n">
        <v>0</v>
      </c>
      <c r="K8037" s="19" t="n">
        <v>0</v>
      </c>
      <c r="L8037" s="17"/>
    </row>
    <row r="8038" s="11" customFormat="true" ht="10.95" hidden="false" customHeight="true" outlineLevel="0" collapsed="false">
      <c r="A8038" s="16" t="n">
        <v>45183</v>
      </c>
      <c r="B8038" s="17" t="s">
        <v>3613</v>
      </c>
      <c r="C8038" s="17" t="s">
        <v>3614</v>
      </c>
      <c r="D8038" s="17" t="s">
        <v>2903</v>
      </c>
      <c r="E8038" s="17" t="s">
        <v>3637</v>
      </c>
      <c r="F8038" s="17" t="s">
        <v>2642</v>
      </c>
      <c r="G8038" s="18" t="n">
        <v>731.5</v>
      </c>
      <c r="H8038" s="18" t="n">
        <v>0</v>
      </c>
      <c r="I8038" s="18" t="n">
        <f aca="false">((I8037 + G8038) - H8038)</f>
        <v>-52933.03</v>
      </c>
      <c r="J8038" s="18" t="n">
        <v>0</v>
      </c>
      <c r="K8038" s="19" t="n">
        <v>0</v>
      </c>
      <c r="L8038" s="17"/>
    </row>
    <row r="8039" s="11" customFormat="true" ht="10.95" hidden="false" customHeight="true" outlineLevel="0" collapsed="false">
      <c r="A8039" s="16" t="n">
        <v>45183</v>
      </c>
      <c r="B8039" s="17" t="s">
        <v>3613</v>
      </c>
      <c r="C8039" s="17" t="s">
        <v>3614</v>
      </c>
      <c r="D8039" s="17" t="s">
        <v>2903</v>
      </c>
      <c r="E8039" s="17" t="s">
        <v>3637</v>
      </c>
      <c r="F8039" s="17" t="s">
        <v>2635</v>
      </c>
      <c r="G8039" s="18" t="n">
        <v>745.91</v>
      </c>
      <c r="H8039" s="18" t="n">
        <v>0</v>
      </c>
      <c r="I8039" s="18" t="n">
        <f aca="false">((I8038 + G8039) - H8039)</f>
        <v>-52187.12</v>
      </c>
      <c r="J8039" s="18" t="n">
        <v>0</v>
      </c>
      <c r="K8039" s="19" t="n">
        <v>0</v>
      </c>
      <c r="L8039" s="17"/>
    </row>
    <row r="8040" s="11" customFormat="true" ht="10.95" hidden="false" customHeight="true" outlineLevel="0" collapsed="false">
      <c r="A8040" s="16" t="n">
        <v>45183</v>
      </c>
      <c r="B8040" s="17" t="s">
        <v>3613</v>
      </c>
      <c r="C8040" s="17" t="s">
        <v>3614</v>
      </c>
      <c r="D8040" s="17" t="s">
        <v>1391</v>
      </c>
      <c r="E8040" s="17" t="s">
        <v>3641</v>
      </c>
      <c r="F8040" s="17" t="s">
        <v>2647</v>
      </c>
      <c r="G8040" s="18" t="n">
        <v>0</v>
      </c>
      <c r="H8040" s="18" t="n">
        <v>194.53</v>
      </c>
      <c r="I8040" s="18" t="n">
        <f aca="false">((I8039 + G8040) - H8040)</f>
        <v>-52381.65</v>
      </c>
      <c r="J8040" s="18" t="n">
        <v>0</v>
      </c>
      <c r="K8040" s="19" t="n">
        <v>0</v>
      </c>
      <c r="L8040" s="17"/>
    </row>
    <row r="8041" s="11" customFormat="true" ht="10.95" hidden="false" customHeight="true" outlineLevel="0" collapsed="false">
      <c r="A8041" s="16" t="n">
        <v>45185</v>
      </c>
      <c r="B8041" s="17" t="s">
        <v>3613</v>
      </c>
      <c r="C8041" s="17" t="s">
        <v>3614</v>
      </c>
      <c r="D8041" s="17" t="s">
        <v>1391</v>
      </c>
      <c r="E8041" s="17" t="s">
        <v>3676</v>
      </c>
      <c r="F8041" s="17" t="s">
        <v>3583</v>
      </c>
      <c r="G8041" s="18" t="n">
        <v>0</v>
      </c>
      <c r="H8041" s="18" t="n">
        <v>249</v>
      </c>
      <c r="I8041" s="18" t="n">
        <f aca="false">((I8040 + G8041) - H8041)</f>
        <v>-52630.65</v>
      </c>
      <c r="J8041" s="18" t="n">
        <v>0</v>
      </c>
      <c r="K8041" s="19" t="n">
        <v>0</v>
      </c>
      <c r="L8041" s="17"/>
    </row>
    <row r="8042" s="11" customFormat="true" ht="10.95" hidden="false" customHeight="true" outlineLevel="0" collapsed="false">
      <c r="A8042" s="16" t="n">
        <v>45185</v>
      </c>
      <c r="B8042" s="17" t="s">
        <v>3613</v>
      </c>
      <c r="C8042" s="17" t="s">
        <v>3614</v>
      </c>
      <c r="D8042" s="17" t="s">
        <v>1391</v>
      </c>
      <c r="E8042" s="17" t="s">
        <v>3622</v>
      </c>
      <c r="F8042" s="17" t="s">
        <v>1439</v>
      </c>
      <c r="G8042" s="18" t="n">
        <v>0</v>
      </c>
      <c r="H8042" s="18" t="n">
        <v>1183.82</v>
      </c>
      <c r="I8042" s="18" t="n">
        <f aca="false">((I8041 + G8042) - H8042)</f>
        <v>-53814.47</v>
      </c>
      <c r="J8042" s="18" t="n">
        <v>0</v>
      </c>
      <c r="K8042" s="19" t="n">
        <v>0</v>
      </c>
      <c r="L8042" s="17"/>
    </row>
    <row r="8043" s="11" customFormat="true" ht="10.95" hidden="false" customHeight="true" outlineLevel="0" collapsed="false">
      <c r="A8043" s="16" t="n">
        <v>45187</v>
      </c>
      <c r="B8043" s="17" t="s">
        <v>3613</v>
      </c>
      <c r="C8043" s="17" t="s">
        <v>3614</v>
      </c>
      <c r="D8043" s="17" t="s">
        <v>1391</v>
      </c>
      <c r="E8043" s="17" t="s">
        <v>3642</v>
      </c>
      <c r="F8043" s="17" t="s">
        <v>2302</v>
      </c>
      <c r="G8043" s="18" t="n">
        <v>0</v>
      </c>
      <c r="H8043" s="18" t="n">
        <v>68.2</v>
      </c>
      <c r="I8043" s="18" t="n">
        <f aca="false">((I8042 + G8043) - H8043)</f>
        <v>-53882.67</v>
      </c>
      <c r="J8043" s="18" t="n">
        <v>0</v>
      </c>
      <c r="K8043" s="19" t="n">
        <v>0</v>
      </c>
      <c r="L8043" s="17"/>
    </row>
    <row r="8044" s="11" customFormat="true" ht="10.95" hidden="false" customHeight="true" outlineLevel="0" collapsed="false">
      <c r="A8044" s="16" t="n">
        <v>45187</v>
      </c>
      <c r="B8044" s="17" t="s">
        <v>3613</v>
      </c>
      <c r="C8044" s="17" t="s">
        <v>3614</v>
      </c>
      <c r="D8044" s="17" t="s">
        <v>1391</v>
      </c>
      <c r="E8044" s="17" t="s">
        <v>3642</v>
      </c>
      <c r="F8044" s="17" t="s">
        <v>2304</v>
      </c>
      <c r="G8044" s="18" t="n">
        <v>0</v>
      </c>
      <c r="H8044" s="18" t="n">
        <v>24.2</v>
      </c>
      <c r="I8044" s="18" t="n">
        <f aca="false">((I8043 + G8044) - H8044)</f>
        <v>-53906.87</v>
      </c>
      <c r="J8044" s="18" t="n">
        <v>0</v>
      </c>
      <c r="K8044" s="19" t="n">
        <v>0</v>
      </c>
      <c r="L8044" s="17"/>
    </row>
    <row r="8045" s="11" customFormat="true" ht="10.95" hidden="false" customHeight="true" outlineLevel="0" collapsed="false">
      <c r="A8045" s="16" t="n">
        <v>45187</v>
      </c>
      <c r="B8045" s="17" t="s">
        <v>3613</v>
      </c>
      <c r="C8045" s="17" t="s">
        <v>3614</v>
      </c>
      <c r="D8045" s="17" t="s">
        <v>1391</v>
      </c>
      <c r="E8045" s="17" t="s">
        <v>3642</v>
      </c>
      <c r="F8045" s="17" t="s">
        <v>2306</v>
      </c>
      <c r="G8045" s="18" t="n">
        <v>0</v>
      </c>
      <c r="H8045" s="18" t="n">
        <v>219.78</v>
      </c>
      <c r="I8045" s="18" t="n">
        <f aca="false">((I8044 + G8045) - H8045)</f>
        <v>-54126.65</v>
      </c>
      <c r="J8045" s="18" t="n">
        <v>0</v>
      </c>
      <c r="K8045" s="19" t="n">
        <v>0</v>
      </c>
      <c r="L8045" s="17"/>
    </row>
    <row r="8046" s="11" customFormat="true" ht="10.95" hidden="false" customHeight="true" outlineLevel="0" collapsed="false">
      <c r="A8046" s="16" t="n">
        <v>45187</v>
      </c>
      <c r="B8046" s="17" t="s">
        <v>3613</v>
      </c>
      <c r="C8046" s="17" t="s">
        <v>3614</v>
      </c>
      <c r="D8046" s="17" t="s">
        <v>1391</v>
      </c>
      <c r="E8046" s="17" t="s">
        <v>3642</v>
      </c>
      <c r="F8046" s="17" t="s">
        <v>2308</v>
      </c>
      <c r="G8046" s="18" t="n">
        <v>0</v>
      </c>
      <c r="H8046" s="18" t="n">
        <v>60.5</v>
      </c>
      <c r="I8046" s="18" t="n">
        <f aca="false">((I8045 + G8046) - H8046)</f>
        <v>-54187.15</v>
      </c>
      <c r="J8046" s="18" t="n">
        <v>0</v>
      </c>
      <c r="K8046" s="19" t="n">
        <v>0</v>
      </c>
      <c r="L8046" s="17"/>
    </row>
    <row r="8047" s="11" customFormat="true" ht="10.95" hidden="false" customHeight="true" outlineLevel="0" collapsed="false">
      <c r="A8047" s="16" t="n">
        <v>45187</v>
      </c>
      <c r="B8047" s="17" t="s">
        <v>3613</v>
      </c>
      <c r="C8047" s="17" t="s">
        <v>3614</v>
      </c>
      <c r="D8047" s="17" t="s">
        <v>1391</v>
      </c>
      <c r="E8047" s="17" t="s">
        <v>3642</v>
      </c>
      <c r="F8047" s="17" t="s">
        <v>2310</v>
      </c>
      <c r="G8047" s="18" t="n">
        <v>0</v>
      </c>
      <c r="H8047" s="18" t="n">
        <v>76.56</v>
      </c>
      <c r="I8047" s="18" t="n">
        <f aca="false">((I8046 + G8047) - H8047)</f>
        <v>-54263.71</v>
      </c>
      <c r="J8047" s="18" t="n">
        <v>0</v>
      </c>
      <c r="K8047" s="19" t="n">
        <v>0</v>
      </c>
      <c r="L8047" s="17"/>
    </row>
    <row r="8048" s="11" customFormat="true" ht="10.95" hidden="false" customHeight="true" outlineLevel="0" collapsed="false">
      <c r="A8048" s="16" t="n">
        <v>45187</v>
      </c>
      <c r="B8048" s="17" t="s">
        <v>3613</v>
      </c>
      <c r="C8048" s="17" t="s">
        <v>3614</v>
      </c>
      <c r="D8048" s="17" t="s">
        <v>1391</v>
      </c>
      <c r="E8048" s="17" t="s">
        <v>3642</v>
      </c>
      <c r="F8048" s="17" t="s">
        <v>2312</v>
      </c>
      <c r="G8048" s="18" t="n">
        <v>0</v>
      </c>
      <c r="H8048" s="18" t="n">
        <v>45.32</v>
      </c>
      <c r="I8048" s="18" t="n">
        <f aca="false">((I8047 + G8048) - H8048)</f>
        <v>-54309.03</v>
      </c>
      <c r="J8048" s="18" t="n">
        <v>0</v>
      </c>
      <c r="K8048" s="19" t="n">
        <v>0</v>
      </c>
      <c r="L8048" s="17"/>
    </row>
    <row r="8049" s="11" customFormat="true" ht="10.95" hidden="false" customHeight="true" outlineLevel="0" collapsed="false">
      <c r="A8049" s="16" t="n">
        <v>45187</v>
      </c>
      <c r="B8049" s="17" t="s">
        <v>3613</v>
      </c>
      <c r="C8049" s="17" t="s">
        <v>3614</v>
      </c>
      <c r="D8049" s="17" t="s">
        <v>1391</v>
      </c>
      <c r="E8049" s="17" t="s">
        <v>3642</v>
      </c>
      <c r="F8049" s="17" t="s">
        <v>2314</v>
      </c>
      <c r="G8049" s="18" t="n">
        <v>0</v>
      </c>
      <c r="H8049" s="18" t="n">
        <v>9.02</v>
      </c>
      <c r="I8049" s="18" t="n">
        <f aca="false">((I8048 + G8049) - H8049)</f>
        <v>-54318.05</v>
      </c>
      <c r="J8049" s="18" t="n">
        <v>0</v>
      </c>
      <c r="K8049" s="19" t="n">
        <v>0</v>
      </c>
      <c r="L8049" s="17"/>
    </row>
    <row r="8050" s="11" customFormat="true" ht="10.95" hidden="false" customHeight="true" outlineLevel="0" collapsed="false">
      <c r="A8050" s="16" t="n">
        <v>45187</v>
      </c>
      <c r="B8050" s="17" t="s">
        <v>3613</v>
      </c>
      <c r="C8050" s="17" t="s">
        <v>3614</v>
      </c>
      <c r="D8050" s="17" t="s">
        <v>1391</v>
      </c>
      <c r="E8050" s="17" t="s">
        <v>3642</v>
      </c>
      <c r="F8050" s="17" t="s">
        <v>2316</v>
      </c>
      <c r="G8050" s="18" t="n">
        <v>0</v>
      </c>
      <c r="H8050" s="18" t="n">
        <v>33.22</v>
      </c>
      <c r="I8050" s="18" t="n">
        <f aca="false">((I8049 + G8050) - H8050)</f>
        <v>-54351.27</v>
      </c>
      <c r="J8050" s="18" t="n">
        <v>0</v>
      </c>
      <c r="K8050" s="19" t="n">
        <v>0</v>
      </c>
      <c r="L8050" s="17"/>
    </row>
    <row r="8051" s="11" customFormat="true" ht="10.95" hidden="false" customHeight="true" outlineLevel="0" collapsed="false">
      <c r="A8051" s="16" t="n">
        <v>45187</v>
      </c>
      <c r="B8051" s="17" t="s">
        <v>3613</v>
      </c>
      <c r="C8051" s="17" t="s">
        <v>3614</v>
      </c>
      <c r="D8051" s="17" t="s">
        <v>2903</v>
      </c>
      <c r="E8051" s="17" t="s">
        <v>3677</v>
      </c>
      <c r="F8051" s="17" t="s">
        <v>3583</v>
      </c>
      <c r="G8051" s="18" t="n">
        <v>249</v>
      </c>
      <c r="H8051" s="18" t="n">
        <v>0</v>
      </c>
      <c r="I8051" s="18" t="n">
        <f aca="false">((I8050 + G8051) - H8051)</f>
        <v>-54102.27</v>
      </c>
      <c r="J8051" s="18" t="n">
        <v>0</v>
      </c>
      <c r="K8051" s="19" t="n">
        <v>0</v>
      </c>
      <c r="L8051" s="17"/>
    </row>
    <row r="8052" s="11" customFormat="true" ht="10.95" hidden="false" customHeight="true" outlineLevel="0" collapsed="false">
      <c r="A8052" s="16" t="n">
        <v>45188</v>
      </c>
      <c r="B8052" s="17" t="s">
        <v>3613</v>
      </c>
      <c r="C8052" s="17" t="s">
        <v>3614</v>
      </c>
      <c r="D8052" s="17" t="s">
        <v>2903</v>
      </c>
      <c r="E8052" s="17" t="s">
        <v>3616</v>
      </c>
      <c r="F8052" s="17" t="s">
        <v>3260</v>
      </c>
      <c r="G8052" s="18" t="n">
        <v>3257.1</v>
      </c>
      <c r="H8052" s="18" t="n">
        <v>0</v>
      </c>
      <c r="I8052" s="18" t="n">
        <f aca="false">((I8051 + G8052) - H8052)</f>
        <v>-50845.17</v>
      </c>
      <c r="J8052" s="18" t="n">
        <v>0</v>
      </c>
      <c r="K8052" s="19" t="n">
        <v>0</v>
      </c>
      <c r="L8052" s="17"/>
    </row>
    <row r="8053" s="11" customFormat="true" ht="10.95" hidden="false" customHeight="true" outlineLevel="0" collapsed="false">
      <c r="A8053" s="16" t="n">
        <v>45188</v>
      </c>
      <c r="B8053" s="17" t="s">
        <v>3613</v>
      </c>
      <c r="C8053" s="17" t="s">
        <v>3614</v>
      </c>
      <c r="D8053" s="17" t="s">
        <v>2903</v>
      </c>
      <c r="E8053" s="17" t="s">
        <v>3643</v>
      </c>
      <c r="F8053" s="17" t="s">
        <v>1439</v>
      </c>
      <c r="G8053" s="18" t="n">
        <v>1183.82</v>
      </c>
      <c r="H8053" s="18" t="n">
        <v>0</v>
      </c>
      <c r="I8053" s="18" t="n">
        <f aca="false">((I8052 + G8053) - H8053)</f>
        <v>-49661.35</v>
      </c>
      <c r="J8053" s="18" t="n">
        <v>0</v>
      </c>
      <c r="K8053" s="19" t="n">
        <v>0</v>
      </c>
      <c r="L8053" s="17"/>
    </row>
    <row r="8054" s="11" customFormat="true" ht="10.95" hidden="false" customHeight="true" outlineLevel="0" collapsed="false">
      <c r="A8054" s="16" t="n">
        <v>45189</v>
      </c>
      <c r="B8054" s="17" t="s">
        <v>3613</v>
      </c>
      <c r="C8054" s="17" t="s">
        <v>3614</v>
      </c>
      <c r="D8054" s="17" t="s">
        <v>1391</v>
      </c>
      <c r="E8054" s="17" t="s">
        <v>3668</v>
      </c>
      <c r="F8054" s="17" t="s">
        <v>2319</v>
      </c>
      <c r="G8054" s="18" t="n">
        <v>0</v>
      </c>
      <c r="H8054" s="18" t="n">
        <v>97</v>
      </c>
      <c r="I8054" s="18" t="n">
        <f aca="false">((I8053 + G8054) - H8054)</f>
        <v>-49758.35</v>
      </c>
      <c r="J8054" s="18" t="n">
        <v>0</v>
      </c>
      <c r="K8054" s="19" t="n">
        <v>0</v>
      </c>
      <c r="L8054" s="17"/>
    </row>
    <row r="8055" s="11" customFormat="true" ht="10.95" hidden="false" customHeight="true" outlineLevel="0" collapsed="false">
      <c r="A8055" s="16" t="n">
        <v>45190</v>
      </c>
      <c r="B8055" s="17" t="s">
        <v>3613</v>
      </c>
      <c r="C8055" s="17" t="s">
        <v>3614</v>
      </c>
      <c r="D8055" s="17" t="s">
        <v>1391</v>
      </c>
      <c r="E8055" s="17" t="s">
        <v>3638</v>
      </c>
      <c r="F8055" s="17" t="s">
        <v>3262</v>
      </c>
      <c r="G8055" s="18" t="n">
        <v>0</v>
      </c>
      <c r="H8055" s="18" t="n">
        <v>2905.1</v>
      </c>
      <c r="I8055" s="18" t="n">
        <f aca="false">((I8054 + G8055) - H8055)</f>
        <v>-52663.45</v>
      </c>
      <c r="J8055" s="18" t="n">
        <v>0</v>
      </c>
      <c r="K8055" s="19" t="n">
        <v>0</v>
      </c>
      <c r="L8055" s="17"/>
    </row>
    <row r="8056" s="11" customFormat="true" ht="10.95" hidden="false" customHeight="true" outlineLevel="0" collapsed="false">
      <c r="A8056" s="16" t="n">
        <v>45190</v>
      </c>
      <c r="B8056" s="17" t="s">
        <v>3613</v>
      </c>
      <c r="C8056" s="17" t="s">
        <v>3614</v>
      </c>
      <c r="D8056" s="17" t="s">
        <v>2903</v>
      </c>
      <c r="E8056" s="17" t="s">
        <v>3644</v>
      </c>
      <c r="F8056" s="17" t="s">
        <v>2304</v>
      </c>
      <c r="G8056" s="18" t="n">
        <v>24.2</v>
      </c>
      <c r="H8056" s="18" t="n">
        <v>0</v>
      </c>
      <c r="I8056" s="18" t="n">
        <f aca="false">((I8055 + G8056) - H8056)</f>
        <v>-52639.25</v>
      </c>
      <c r="J8056" s="18" t="n">
        <v>0</v>
      </c>
      <c r="K8056" s="19" t="n">
        <v>0</v>
      </c>
      <c r="L8056" s="17"/>
    </row>
    <row r="8057" s="11" customFormat="true" ht="10.95" hidden="false" customHeight="true" outlineLevel="0" collapsed="false">
      <c r="A8057" s="16" t="n">
        <v>45190</v>
      </c>
      <c r="B8057" s="17" t="s">
        <v>3613</v>
      </c>
      <c r="C8057" s="17" t="s">
        <v>3614</v>
      </c>
      <c r="D8057" s="17" t="s">
        <v>2903</v>
      </c>
      <c r="E8057" s="17" t="s">
        <v>3644</v>
      </c>
      <c r="F8057" s="17" t="s">
        <v>2302</v>
      </c>
      <c r="G8057" s="18" t="n">
        <v>68.2</v>
      </c>
      <c r="H8057" s="18" t="n">
        <v>0</v>
      </c>
      <c r="I8057" s="18" t="n">
        <f aca="false">((I8056 + G8057) - H8057)</f>
        <v>-52571.05</v>
      </c>
      <c r="J8057" s="18" t="n">
        <v>0</v>
      </c>
      <c r="K8057" s="19" t="n">
        <v>0</v>
      </c>
      <c r="L8057" s="17"/>
    </row>
    <row r="8058" s="11" customFormat="true" ht="10.95" hidden="false" customHeight="true" outlineLevel="0" collapsed="false">
      <c r="A8058" s="16" t="n">
        <v>45190</v>
      </c>
      <c r="B8058" s="17" t="s">
        <v>3613</v>
      </c>
      <c r="C8058" s="17" t="s">
        <v>3614</v>
      </c>
      <c r="D8058" s="17" t="s">
        <v>2903</v>
      </c>
      <c r="E8058" s="17" t="s">
        <v>3645</v>
      </c>
      <c r="F8058" s="17" t="s">
        <v>1433</v>
      </c>
      <c r="G8058" s="18" t="n">
        <v>16431.03</v>
      </c>
      <c r="H8058" s="18" t="n">
        <v>0</v>
      </c>
      <c r="I8058" s="18" t="n">
        <f aca="false">((I8057 + G8058) - H8058)</f>
        <v>-36140.02</v>
      </c>
      <c r="J8058" s="18" t="n">
        <v>0</v>
      </c>
      <c r="K8058" s="19" t="n">
        <v>0</v>
      </c>
      <c r="L8058" s="17"/>
    </row>
    <row r="8059" s="11" customFormat="true" ht="10.95" hidden="false" customHeight="true" outlineLevel="0" collapsed="false">
      <c r="A8059" s="16" t="n">
        <v>45190</v>
      </c>
      <c r="B8059" s="17" t="s">
        <v>3613</v>
      </c>
      <c r="C8059" s="17" t="s">
        <v>3614</v>
      </c>
      <c r="D8059" s="17" t="s">
        <v>2903</v>
      </c>
      <c r="E8059" s="17" t="s">
        <v>3645</v>
      </c>
      <c r="F8059" s="17" t="s">
        <v>1431</v>
      </c>
      <c r="G8059" s="18" t="n">
        <v>538.76</v>
      </c>
      <c r="H8059" s="18" t="n">
        <v>0</v>
      </c>
      <c r="I8059" s="18" t="n">
        <f aca="false">((I8058 + G8059) - H8059)</f>
        <v>-35601.26</v>
      </c>
      <c r="J8059" s="18" t="n">
        <v>0</v>
      </c>
      <c r="K8059" s="19" t="n">
        <v>0</v>
      </c>
      <c r="L8059" s="17"/>
    </row>
    <row r="8060" s="11" customFormat="true" ht="10.95" hidden="false" customHeight="true" outlineLevel="0" collapsed="false">
      <c r="A8060" s="16" t="n">
        <v>45190</v>
      </c>
      <c r="B8060" s="17" t="s">
        <v>3613</v>
      </c>
      <c r="C8060" s="17" t="s">
        <v>3614</v>
      </c>
      <c r="D8060" s="17" t="s">
        <v>2903</v>
      </c>
      <c r="E8060" s="17" t="s">
        <v>3645</v>
      </c>
      <c r="F8060" s="17" t="s">
        <v>1435</v>
      </c>
      <c r="G8060" s="18" t="n">
        <v>1897.5</v>
      </c>
      <c r="H8060" s="18" t="n">
        <v>0</v>
      </c>
      <c r="I8060" s="18" t="n">
        <f aca="false">((I8059 + G8060) - H8060)</f>
        <v>-33703.76</v>
      </c>
      <c r="J8060" s="18" t="n">
        <v>0</v>
      </c>
      <c r="K8060" s="19" t="n">
        <v>0</v>
      </c>
      <c r="L8060" s="17"/>
    </row>
    <row r="8061" s="11" customFormat="true" ht="10.95" hidden="false" customHeight="true" outlineLevel="0" collapsed="false">
      <c r="A8061" s="16" t="n">
        <v>45191</v>
      </c>
      <c r="B8061" s="17" t="s">
        <v>3613</v>
      </c>
      <c r="C8061" s="17" t="s">
        <v>3614</v>
      </c>
      <c r="D8061" s="17" t="s">
        <v>2903</v>
      </c>
      <c r="E8061" s="17" t="s">
        <v>3644</v>
      </c>
      <c r="F8061" s="17" t="s">
        <v>2316</v>
      </c>
      <c r="G8061" s="18" t="n">
        <v>33.22</v>
      </c>
      <c r="H8061" s="18" t="n">
        <v>0</v>
      </c>
      <c r="I8061" s="18" t="n">
        <f aca="false">((I8060 + G8061) - H8061)</f>
        <v>-33670.54</v>
      </c>
      <c r="J8061" s="18" t="n">
        <v>0</v>
      </c>
      <c r="K8061" s="19" t="n">
        <v>0</v>
      </c>
      <c r="L8061" s="17"/>
    </row>
    <row r="8062" s="11" customFormat="true" ht="10.95" hidden="false" customHeight="true" outlineLevel="0" collapsed="false">
      <c r="A8062" s="16" t="n">
        <v>45191</v>
      </c>
      <c r="B8062" s="17" t="s">
        <v>3613</v>
      </c>
      <c r="C8062" s="17" t="s">
        <v>3614</v>
      </c>
      <c r="D8062" s="17" t="s">
        <v>2903</v>
      </c>
      <c r="E8062" s="17" t="s">
        <v>3644</v>
      </c>
      <c r="F8062" s="17" t="s">
        <v>2312</v>
      </c>
      <c r="G8062" s="18" t="n">
        <v>45.32</v>
      </c>
      <c r="H8062" s="18" t="n">
        <v>0</v>
      </c>
      <c r="I8062" s="18" t="n">
        <f aca="false">((I8061 + G8062) - H8062)</f>
        <v>-33625.22</v>
      </c>
      <c r="J8062" s="18" t="n">
        <v>0</v>
      </c>
      <c r="K8062" s="19" t="n">
        <v>0</v>
      </c>
      <c r="L8062" s="17"/>
    </row>
    <row r="8063" s="11" customFormat="true" ht="10.95" hidden="false" customHeight="true" outlineLevel="0" collapsed="false">
      <c r="A8063" s="16" t="n">
        <v>45191</v>
      </c>
      <c r="B8063" s="17" t="s">
        <v>3613</v>
      </c>
      <c r="C8063" s="17" t="s">
        <v>3614</v>
      </c>
      <c r="D8063" s="17" t="s">
        <v>2903</v>
      </c>
      <c r="E8063" s="17" t="s">
        <v>3644</v>
      </c>
      <c r="F8063" s="17" t="s">
        <v>2308</v>
      </c>
      <c r="G8063" s="18" t="n">
        <v>60.5</v>
      </c>
      <c r="H8063" s="18" t="n">
        <v>0</v>
      </c>
      <c r="I8063" s="18" t="n">
        <f aca="false">((I8062 + G8063) - H8063)</f>
        <v>-33564.72</v>
      </c>
      <c r="J8063" s="18" t="n">
        <v>0</v>
      </c>
      <c r="K8063" s="19" t="n">
        <v>0</v>
      </c>
      <c r="L8063" s="17"/>
    </row>
    <row r="8064" s="11" customFormat="true" ht="10.95" hidden="false" customHeight="true" outlineLevel="0" collapsed="false">
      <c r="A8064" s="16" t="n">
        <v>45191</v>
      </c>
      <c r="B8064" s="17" t="s">
        <v>3613</v>
      </c>
      <c r="C8064" s="17" t="s">
        <v>3614</v>
      </c>
      <c r="D8064" s="17" t="s">
        <v>2903</v>
      </c>
      <c r="E8064" s="17" t="s">
        <v>3644</v>
      </c>
      <c r="F8064" s="17" t="s">
        <v>2310</v>
      </c>
      <c r="G8064" s="18" t="n">
        <v>76.56</v>
      </c>
      <c r="H8064" s="18" t="n">
        <v>0</v>
      </c>
      <c r="I8064" s="18" t="n">
        <f aca="false">((I8063 + G8064) - H8064)</f>
        <v>-33488.16</v>
      </c>
      <c r="J8064" s="18" t="n">
        <v>0</v>
      </c>
      <c r="K8064" s="19" t="n">
        <v>0</v>
      </c>
      <c r="L8064" s="17"/>
    </row>
    <row r="8065" s="11" customFormat="true" ht="10.95" hidden="false" customHeight="true" outlineLevel="0" collapsed="false">
      <c r="A8065" s="16" t="n">
        <v>45191</v>
      </c>
      <c r="B8065" s="17" t="s">
        <v>3613</v>
      </c>
      <c r="C8065" s="17" t="s">
        <v>3614</v>
      </c>
      <c r="D8065" s="17" t="s">
        <v>2903</v>
      </c>
      <c r="E8065" s="17" t="s">
        <v>3644</v>
      </c>
      <c r="F8065" s="17" t="s">
        <v>2306</v>
      </c>
      <c r="G8065" s="18" t="n">
        <v>219.78</v>
      </c>
      <c r="H8065" s="18" t="n">
        <v>0</v>
      </c>
      <c r="I8065" s="18" t="n">
        <f aca="false">((I8064 + G8065) - H8065)</f>
        <v>-33268.38</v>
      </c>
      <c r="J8065" s="18" t="n">
        <v>0</v>
      </c>
      <c r="K8065" s="19" t="n">
        <v>0</v>
      </c>
      <c r="L8065" s="17"/>
    </row>
    <row r="8066" s="11" customFormat="true" ht="10.95" hidden="false" customHeight="true" outlineLevel="0" collapsed="false">
      <c r="A8066" s="16" t="n">
        <v>45191</v>
      </c>
      <c r="B8066" s="17" t="s">
        <v>3613</v>
      </c>
      <c r="C8066" s="17" t="s">
        <v>3614</v>
      </c>
      <c r="D8066" s="17" t="s">
        <v>2903</v>
      </c>
      <c r="E8066" s="17" t="s">
        <v>2954</v>
      </c>
      <c r="F8066" s="17" t="s">
        <v>2624</v>
      </c>
      <c r="G8066" s="18" t="n">
        <v>52.53</v>
      </c>
      <c r="H8066" s="18" t="n">
        <v>0</v>
      </c>
      <c r="I8066" s="18" t="n">
        <f aca="false">((I8065 + G8066) - H8066)</f>
        <v>-33215.85</v>
      </c>
      <c r="J8066" s="18" t="n">
        <v>0</v>
      </c>
      <c r="K8066" s="19" t="n">
        <v>0</v>
      </c>
      <c r="L8066" s="17"/>
    </row>
    <row r="8067" s="11" customFormat="true" ht="10.95" hidden="false" customHeight="true" outlineLevel="0" collapsed="false">
      <c r="A8067" s="16" t="n">
        <v>45192</v>
      </c>
      <c r="B8067" s="17" t="s">
        <v>3613</v>
      </c>
      <c r="C8067" s="17" t="s">
        <v>3614</v>
      </c>
      <c r="D8067" s="17" t="s">
        <v>2903</v>
      </c>
      <c r="E8067" s="17" t="s">
        <v>3671</v>
      </c>
      <c r="F8067" s="17" t="s">
        <v>2319</v>
      </c>
      <c r="G8067" s="18" t="n">
        <v>97</v>
      </c>
      <c r="H8067" s="18" t="n">
        <v>0</v>
      </c>
      <c r="I8067" s="18" t="n">
        <f aca="false">((I8066 + G8067) - H8067)</f>
        <v>-33118.85</v>
      </c>
      <c r="J8067" s="18" t="n">
        <v>0</v>
      </c>
      <c r="K8067" s="19" t="n">
        <v>0</v>
      </c>
      <c r="L8067" s="17"/>
    </row>
    <row r="8068" s="11" customFormat="true" ht="10.95" hidden="false" customHeight="true" outlineLevel="0" collapsed="false">
      <c r="A8068" s="16" t="n">
        <v>45195</v>
      </c>
      <c r="B8068" s="17" t="s">
        <v>3613</v>
      </c>
      <c r="C8068" s="17" t="s">
        <v>3614</v>
      </c>
      <c r="D8068" s="17" t="s">
        <v>2903</v>
      </c>
      <c r="E8068" s="17" t="s">
        <v>3637</v>
      </c>
      <c r="F8068" s="17" t="s">
        <v>2645</v>
      </c>
      <c r="G8068" s="18" t="n">
        <v>104.95</v>
      </c>
      <c r="H8068" s="18" t="n">
        <v>0</v>
      </c>
      <c r="I8068" s="18" t="n">
        <f aca="false">((I8067 + G8068) - H8068)</f>
        <v>-33013.9</v>
      </c>
      <c r="J8068" s="18" t="n">
        <v>0</v>
      </c>
      <c r="K8068" s="19" t="n">
        <v>0</v>
      </c>
      <c r="L8068" s="17"/>
    </row>
    <row r="8069" s="11" customFormat="true" ht="10.95" hidden="false" customHeight="true" outlineLevel="0" collapsed="false">
      <c r="A8069" s="16" t="n">
        <v>45197</v>
      </c>
      <c r="B8069" s="17" t="s">
        <v>3613</v>
      </c>
      <c r="C8069" s="17" t="s">
        <v>3614</v>
      </c>
      <c r="D8069" s="17" t="s">
        <v>1391</v>
      </c>
      <c r="E8069" s="17" t="s">
        <v>3647</v>
      </c>
      <c r="F8069" s="17" t="s">
        <v>1444</v>
      </c>
      <c r="G8069" s="18" t="n">
        <v>0</v>
      </c>
      <c r="H8069" s="18" t="n">
        <v>4772.39</v>
      </c>
      <c r="I8069" s="18" t="n">
        <f aca="false">((I8068 + G8069) - H8069)</f>
        <v>-37786.29</v>
      </c>
      <c r="J8069" s="18" t="n">
        <v>0</v>
      </c>
      <c r="K8069" s="19" t="n">
        <v>0</v>
      </c>
      <c r="L8069" s="17"/>
    </row>
    <row r="8070" s="11" customFormat="true" ht="10.95" hidden="false" customHeight="true" outlineLevel="0" collapsed="false">
      <c r="A8070" s="16" t="n">
        <v>45198</v>
      </c>
      <c r="B8070" s="17" t="s">
        <v>3613</v>
      </c>
      <c r="C8070" s="17" t="s">
        <v>3614</v>
      </c>
      <c r="D8070" s="17" t="s">
        <v>1391</v>
      </c>
      <c r="E8070" s="17" t="s">
        <v>3678</v>
      </c>
      <c r="F8070" s="17" t="s">
        <v>2041</v>
      </c>
      <c r="G8070" s="18" t="n">
        <v>0</v>
      </c>
      <c r="H8070" s="18" t="n">
        <v>2380.96</v>
      </c>
      <c r="I8070" s="18" t="n">
        <f aca="false">((I8069 + G8070) - H8070)</f>
        <v>-40167.25</v>
      </c>
      <c r="J8070" s="18" t="n">
        <v>0</v>
      </c>
      <c r="K8070" s="19" t="n">
        <v>0</v>
      </c>
      <c r="L8070" s="17"/>
    </row>
    <row r="8071" s="11" customFormat="true" ht="10.95" hidden="false" customHeight="true" outlineLevel="0" collapsed="false">
      <c r="A8071" s="16" t="n">
        <v>45198</v>
      </c>
      <c r="B8071" s="17" t="s">
        <v>3613</v>
      </c>
      <c r="C8071" s="17" t="s">
        <v>3614</v>
      </c>
      <c r="D8071" s="17" t="s">
        <v>2903</v>
      </c>
      <c r="E8071" s="17" t="s">
        <v>3679</v>
      </c>
      <c r="F8071" s="17" t="s">
        <v>2041</v>
      </c>
      <c r="G8071" s="18" t="n">
        <v>2380.96</v>
      </c>
      <c r="H8071" s="18" t="n">
        <v>0</v>
      </c>
      <c r="I8071" s="18" t="n">
        <f aca="false">((I8070 + G8071) - H8071)</f>
        <v>-37786.29</v>
      </c>
      <c r="J8071" s="18" t="n">
        <v>0</v>
      </c>
      <c r="K8071" s="19" t="n">
        <v>0</v>
      </c>
      <c r="L8071" s="17"/>
    </row>
    <row r="8072" s="11" customFormat="true" ht="10.95" hidden="false" customHeight="true" outlineLevel="0" collapsed="false">
      <c r="A8072" s="16" t="n">
        <v>45199</v>
      </c>
      <c r="B8072" s="17" t="s">
        <v>3613</v>
      </c>
      <c r="C8072" s="17" t="s">
        <v>3614</v>
      </c>
      <c r="D8072" s="17" t="s">
        <v>1391</v>
      </c>
      <c r="E8072" s="17" t="s">
        <v>3627</v>
      </c>
      <c r="F8072" s="17" t="s">
        <v>2961</v>
      </c>
      <c r="G8072" s="18" t="n">
        <v>0</v>
      </c>
      <c r="H8072" s="18" t="n">
        <v>466.34</v>
      </c>
      <c r="I8072" s="18" t="n">
        <f aca="false">((I8071 + G8072) - H8072)</f>
        <v>-38252.63</v>
      </c>
      <c r="J8072" s="18" t="n">
        <v>0</v>
      </c>
      <c r="K8072" s="19" t="n">
        <v>0</v>
      </c>
      <c r="L8072" s="17"/>
    </row>
    <row r="8073" s="11" customFormat="true" ht="10.95" hidden="false" customHeight="true" outlineLevel="0" collapsed="false">
      <c r="A8073" s="16" t="n">
        <v>45199</v>
      </c>
      <c r="B8073" s="17" t="s">
        <v>3613</v>
      </c>
      <c r="C8073" s="17" t="s">
        <v>3614</v>
      </c>
      <c r="D8073" s="17" t="s">
        <v>1391</v>
      </c>
      <c r="E8073" s="17" t="s">
        <v>3627</v>
      </c>
      <c r="F8073" s="17" t="s">
        <v>1446</v>
      </c>
      <c r="G8073" s="18" t="n">
        <v>0</v>
      </c>
      <c r="H8073" s="18" t="n">
        <v>3920.04</v>
      </c>
      <c r="I8073" s="18" t="n">
        <f aca="false">((I8072 + G8073) - H8073)</f>
        <v>-42172.67</v>
      </c>
      <c r="J8073" s="18" t="n">
        <v>0</v>
      </c>
      <c r="K8073" s="19" t="n">
        <v>0</v>
      </c>
      <c r="L8073" s="17"/>
    </row>
    <row r="8074" s="11" customFormat="true" ht="10.95" hidden="false" customHeight="true" outlineLevel="0" collapsed="false">
      <c r="A8074" s="16" t="n">
        <v>45200</v>
      </c>
      <c r="B8074" s="17" t="s">
        <v>3613</v>
      </c>
      <c r="C8074" s="17" t="s">
        <v>3614</v>
      </c>
      <c r="D8074" s="17" t="s">
        <v>1391</v>
      </c>
      <c r="E8074" s="17" t="s">
        <v>3615</v>
      </c>
      <c r="F8074" s="17" t="s">
        <v>1448</v>
      </c>
      <c r="G8074" s="18" t="n">
        <v>0</v>
      </c>
      <c r="H8074" s="18" t="n">
        <v>538.76</v>
      </c>
      <c r="I8074" s="18" t="n">
        <f aca="false">((I8073 + G8074) - H8074)</f>
        <v>-42711.43</v>
      </c>
      <c r="J8074" s="18" t="n">
        <v>0</v>
      </c>
      <c r="K8074" s="19" t="n">
        <v>0</v>
      </c>
      <c r="L8074" s="17"/>
    </row>
    <row r="8075" s="11" customFormat="true" ht="10.95" hidden="false" customHeight="true" outlineLevel="0" collapsed="false">
      <c r="A8075" s="16" t="n">
        <v>45200</v>
      </c>
      <c r="B8075" s="17" t="s">
        <v>3613</v>
      </c>
      <c r="C8075" s="17" t="s">
        <v>3614</v>
      </c>
      <c r="D8075" s="17" t="s">
        <v>1391</v>
      </c>
      <c r="E8075" s="17" t="s">
        <v>3650</v>
      </c>
      <c r="F8075" s="17" t="s">
        <v>2325</v>
      </c>
      <c r="G8075" s="18" t="n">
        <v>0</v>
      </c>
      <c r="H8075" s="18" t="n">
        <v>248</v>
      </c>
      <c r="I8075" s="18" t="n">
        <f aca="false">((I8074 + G8075) - H8075)</f>
        <v>-42959.43</v>
      </c>
      <c r="J8075" s="18" t="n">
        <v>0</v>
      </c>
      <c r="K8075" s="19" t="n">
        <v>0</v>
      </c>
      <c r="L8075" s="17"/>
    </row>
    <row r="8076" s="11" customFormat="true" ht="10.95" hidden="false" customHeight="true" outlineLevel="0" collapsed="false">
      <c r="A8076" s="16" t="n">
        <v>45200</v>
      </c>
      <c r="B8076" s="17" t="s">
        <v>3613</v>
      </c>
      <c r="C8076" s="17" t="s">
        <v>3614</v>
      </c>
      <c r="D8076" s="17" t="s">
        <v>1391</v>
      </c>
      <c r="E8076" s="17" t="s">
        <v>3650</v>
      </c>
      <c r="F8076" s="17" t="s">
        <v>2327</v>
      </c>
      <c r="G8076" s="18" t="n">
        <v>0</v>
      </c>
      <c r="H8076" s="18" t="n">
        <v>152.15</v>
      </c>
      <c r="I8076" s="18" t="n">
        <f aca="false">((I8075 + G8076) - H8076)</f>
        <v>-43111.58</v>
      </c>
      <c r="J8076" s="18" t="n">
        <v>0</v>
      </c>
      <c r="K8076" s="19" t="n">
        <v>0</v>
      </c>
      <c r="L8076" s="17"/>
    </row>
    <row r="8077" s="11" customFormat="true" ht="10.95" hidden="false" customHeight="true" outlineLevel="0" collapsed="false">
      <c r="A8077" s="16" t="n">
        <v>45200</v>
      </c>
      <c r="B8077" s="17" t="s">
        <v>3613</v>
      </c>
      <c r="C8077" s="17" t="s">
        <v>3614</v>
      </c>
      <c r="D8077" s="17" t="s">
        <v>1391</v>
      </c>
      <c r="E8077" s="17" t="s">
        <v>3680</v>
      </c>
      <c r="F8077" s="17" t="s">
        <v>2649</v>
      </c>
      <c r="G8077" s="18" t="n">
        <v>0</v>
      </c>
      <c r="H8077" s="18" t="n">
        <v>184.05</v>
      </c>
      <c r="I8077" s="18" t="n">
        <f aca="false">((I8076 + G8077) - H8077)</f>
        <v>-43295.63</v>
      </c>
      <c r="J8077" s="18" t="n">
        <v>0</v>
      </c>
      <c r="K8077" s="19" t="n">
        <v>0</v>
      </c>
      <c r="L8077" s="17"/>
    </row>
    <row r="8078" s="11" customFormat="true" ht="10.95" hidden="false" customHeight="true" outlineLevel="0" collapsed="false">
      <c r="A8078" s="16" t="n">
        <v>45201</v>
      </c>
      <c r="B8078" s="17" t="s">
        <v>3613</v>
      </c>
      <c r="C8078" s="17" t="s">
        <v>3614</v>
      </c>
      <c r="D8078" s="17" t="s">
        <v>1391</v>
      </c>
      <c r="E8078" s="17" t="s">
        <v>3615</v>
      </c>
      <c r="F8078" s="17" t="s">
        <v>1450</v>
      </c>
      <c r="G8078" s="18" t="n">
        <v>0</v>
      </c>
      <c r="H8078" s="18" t="n">
        <v>17914.78</v>
      </c>
      <c r="I8078" s="18" t="n">
        <f aca="false">((I8077 + G8078) - H8078)</f>
        <v>-61210.41</v>
      </c>
      <c r="J8078" s="18" t="n">
        <v>0</v>
      </c>
      <c r="K8078" s="19" t="n">
        <v>0</v>
      </c>
      <c r="L8078" s="17"/>
    </row>
    <row r="8079" s="11" customFormat="true" ht="10.95" hidden="false" customHeight="true" outlineLevel="0" collapsed="false">
      <c r="A8079" s="16" t="n">
        <v>45201</v>
      </c>
      <c r="B8079" s="17" t="s">
        <v>3613</v>
      </c>
      <c r="C8079" s="17" t="s">
        <v>3614</v>
      </c>
      <c r="D8079" s="17" t="s">
        <v>1391</v>
      </c>
      <c r="E8079" s="17" t="s">
        <v>3625</v>
      </c>
      <c r="F8079" s="17" t="s">
        <v>3264</v>
      </c>
      <c r="G8079" s="18" t="n">
        <v>0</v>
      </c>
      <c r="H8079" s="18" t="n">
        <v>1023.68</v>
      </c>
      <c r="I8079" s="18" t="n">
        <f aca="false">((I8078 + G8079) - H8079)</f>
        <v>-62234.09</v>
      </c>
      <c r="J8079" s="18" t="n">
        <v>0</v>
      </c>
      <c r="K8079" s="19" t="n">
        <v>0</v>
      </c>
      <c r="L8079" s="17"/>
    </row>
    <row r="8080" s="11" customFormat="true" ht="10.95" hidden="false" customHeight="true" outlineLevel="0" collapsed="false">
      <c r="A8080" s="16" t="n">
        <v>45201</v>
      </c>
      <c r="B8080" s="17" t="s">
        <v>3613</v>
      </c>
      <c r="C8080" s="17" t="s">
        <v>3614</v>
      </c>
      <c r="D8080" s="17" t="s">
        <v>1391</v>
      </c>
      <c r="E8080" s="17" t="s">
        <v>3681</v>
      </c>
      <c r="F8080" s="17" t="s">
        <v>1617</v>
      </c>
      <c r="G8080" s="18" t="n">
        <v>0</v>
      </c>
      <c r="H8080" s="18" t="n">
        <v>247.07</v>
      </c>
      <c r="I8080" s="18" t="n">
        <f aca="false">((I8079 + G8080) - H8080)</f>
        <v>-62481.16</v>
      </c>
      <c r="J8080" s="18" t="n">
        <v>0</v>
      </c>
      <c r="K8080" s="19" t="n">
        <v>0</v>
      </c>
      <c r="L8080" s="17"/>
    </row>
    <row r="8081" s="11" customFormat="true" ht="10.95" hidden="false" customHeight="true" outlineLevel="0" collapsed="false">
      <c r="A8081" s="16" t="n">
        <v>45202</v>
      </c>
      <c r="B8081" s="17" t="s">
        <v>3613</v>
      </c>
      <c r="C8081" s="17" t="s">
        <v>3614</v>
      </c>
      <c r="D8081" s="17" t="s">
        <v>1391</v>
      </c>
      <c r="E8081" s="17" t="s">
        <v>3615</v>
      </c>
      <c r="F8081" s="17" t="s">
        <v>1452</v>
      </c>
      <c r="G8081" s="18" t="n">
        <v>0</v>
      </c>
      <c r="H8081" s="18" t="n">
        <v>1996.5</v>
      </c>
      <c r="I8081" s="18" t="n">
        <f aca="false">((I8080 + G8081) - H8081)</f>
        <v>-64477.66</v>
      </c>
      <c r="J8081" s="18" t="n">
        <v>0</v>
      </c>
      <c r="K8081" s="19" t="n">
        <v>0</v>
      </c>
      <c r="L8081" s="17"/>
    </row>
    <row r="8082" s="11" customFormat="true" ht="10.95" hidden="false" customHeight="true" outlineLevel="0" collapsed="false">
      <c r="A8082" s="16" t="n">
        <v>45202</v>
      </c>
      <c r="B8082" s="17" t="s">
        <v>3613</v>
      </c>
      <c r="C8082" s="17" t="s">
        <v>3614</v>
      </c>
      <c r="D8082" s="17" t="s">
        <v>2903</v>
      </c>
      <c r="E8082" s="17" t="s">
        <v>3616</v>
      </c>
      <c r="F8082" s="17" t="s">
        <v>3262</v>
      </c>
      <c r="G8082" s="18" t="n">
        <v>2905.1</v>
      </c>
      <c r="H8082" s="18" t="n">
        <v>0</v>
      </c>
      <c r="I8082" s="18" t="n">
        <f aca="false">((I8081 + G8082) - H8082)</f>
        <v>-61572.56</v>
      </c>
      <c r="J8082" s="18" t="n">
        <v>0</v>
      </c>
      <c r="K8082" s="19" t="n">
        <v>0</v>
      </c>
      <c r="L8082" s="17"/>
    </row>
    <row r="8083" s="11" customFormat="true" ht="10.95" hidden="false" customHeight="true" outlineLevel="0" collapsed="false">
      <c r="A8083" s="16" t="n">
        <v>45202</v>
      </c>
      <c r="B8083" s="17" t="s">
        <v>3613</v>
      </c>
      <c r="C8083" s="17" t="s">
        <v>3614</v>
      </c>
      <c r="D8083" s="17" t="s">
        <v>2903</v>
      </c>
      <c r="E8083" s="17" t="s">
        <v>2904</v>
      </c>
      <c r="F8083" s="17" t="s">
        <v>2961</v>
      </c>
      <c r="G8083" s="18" t="n">
        <v>466.34</v>
      </c>
      <c r="H8083" s="18" t="n">
        <v>0</v>
      </c>
      <c r="I8083" s="18" t="n">
        <f aca="false">((I8082 + G8083) - H8083)</f>
        <v>-61106.22</v>
      </c>
      <c r="J8083" s="18" t="n">
        <v>0</v>
      </c>
      <c r="K8083" s="19" t="n">
        <v>0</v>
      </c>
      <c r="L8083" s="17"/>
    </row>
    <row r="8084" s="11" customFormat="true" ht="10.95" hidden="false" customHeight="true" outlineLevel="0" collapsed="false">
      <c r="A8084" s="16" t="n">
        <v>45202</v>
      </c>
      <c r="B8084" s="17" t="s">
        <v>3613</v>
      </c>
      <c r="C8084" s="17" t="s">
        <v>3614</v>
      </c>
      <c r="D8084" s="17" t="s">
        <v>2903</v>
      </c>
      <c r="E8084" s="17" t="s">
        <v>3648</v>
      </c>
      <c r="F8084" s="17" t="s">
        <v>2647</v>
      </c>
      <c r="G8084" s="18" t="n">
        <v>194.53</v>
      </c>
      <c r="H8084" s="18" t="n">
        <v>0</v>
      </c>
      <c r="I8084" s="18" t="n">
        <f aca="false">((I8083 + G8084) - H8084)</f>
        <v>-60911.69</v>
      </c>
      <c r="J8084" s="18" t="n">
        <v>0</v>
      </c>
      <c r="K8084" s="19" t="n">
        <v>0</v>
      </c>
      <c r="L8084" s="17"/>
    </row>
    <row r="8085" s="11" customFormat="true" ht="10.95" hidden="false" customHeight="true" outlineLevel="0" collapsed="false">
      <c r="A8085" s="16" t="n">
        <v>45203</v>
      </c>
      <c r="B8085" s="17" t="s">
        <v>3613</v>
      </c>
      <c r="C8085" s="17" t="s">
        <v>3614</v>
      </c>
      <c r="D8085" s="17" t="s">
        <v>2903</v>
      </c>
      <c r="E8085" s="17" t="s">
        <v>3652</v>
      </c>
      <c r="F8085" s="17" t="s">
        <v>2327</v>
      </c>
      <c r="G8085" s="18" t="n">
        <v>152.15</v>
      </c>
      <c r="H8085" s="18" t="n">
        <v>0</v>
      </c>
      <c r="I8085" s="18" t="n">
        <f aca="false">((I8084 + G8085) - H8085)</f>
        <v>-60759.54</v>
      </c>
      <c r="J8085" s="18" t="n">
        <v>0</v>
      </c>
      <c r="K8085" s="19" t="n">
        <v>0</v>
      </c>
      <c r="L8085" s="17"/>
    </row>
    <row r="8086" s="11" customFormat="true" ht="10.95" hidden="false" customHeight="true" outlineLevel="0" collapsed="false">
      <c r="A8086" s="16" t="n">
        <v>45203</v>
      </c>
      <c r="B8086" s="17" t="s">
        <v>3613</v>
      </c>
      <c r="C8086" s="17" t="s">
        <v>3614</v>
      </c>
      <c r="D8086" s="17" t="s">
        <v>2903</v>
      </c>
      <c r="E8086" s="17" t="s">
        <v>3652</v>
      </c>
      <c r="F8086" s="17" t="s">
        <v>2325</v>
      </c>
      <c r="G8086" s="18" t="n">
        <v>248</v>
      </c>
      <c r="H8086" s="18" t="n">
        <v>0</v>
      </c>
      <c r="I8086" s="18" t="n">
        <f aca="false">((I8085 + G8086) - H8086)</f>
        <v>-60511.54</v>
      </c>
      <c r="J8086" s="18" t="n">
        <v>0</v>
      </c>
      <c r="K8086" s="19" t="n">
        <v>0</v>
      </c>
      <c r="L8086" s="17"/>
    </row>
    <row r="8087" s="11" customFormat="true" ht="10.95" hidden="false" customHeight="true" outlineLevel="0" collapsed="false">
      <c r="A8087" s="16" t="n">
        <v>45203</v>
      </c>
      <c r="B8087" s="17" t="s">
        <v>3613</v>
      </c>
      <c r="C8087" s="17" t="s">
        <v>3614</v>
      </c>
      <c r="D8087" s="17" t="s">
        <v>2903</v>
      </c>
      <c r="E8087" s="17" t="s">
        <v>3629</v>
      </c>
      <c r="F8087" s="17" t="s">
        <v>3190</v>
      </c>
      <c r="G8087" s="18" t="n">
        <v>23417</v>
      </c>
      <c r="H8087" s="18" t="n">
        <v>0</v>
      </c>
      <c r="I8087" s="18" t="n">
        <f aca="false">((I8086 + G8087) - H8087)</f>
        <v>-37094.54</v>
      </c>
      <c r="J8087" s="18" t="n">
        <v>0</v>
      </c>
      <c r="K8087" s="19" t="n">
        <v>0</v>
      </c>
      <c r="L8087" s="17"/>
    </row>
    <row r="8088" s="11" customFormat="true" ht="10.95" hidden="false" customHeight="true" outlineLevel="0" collapsed="false">
      <c r="A8088" s="16" t="n">
        <v>45203</v>
      </c>
      <c r="B8088" s="17" t="s">
        <v>3613</v>
      </c>
      <c r="C8088" s="17" t="s">
        <v>3614</v>
      </c>
      <c r="D8088" s="17" t="s">
        <v>1391</v>
      </c>
      <c r="E8088" s="17" t="s">
        <v>3626</v>
      </c>
      <c r="F8088" s="17" t="s">
        <v>2329</v>
      </c>
      <c r="G8088" s="18" t="n">
        <v>0</v>
      </c>
      <c r="H8088" s="18" t="n">
        <v>71.5</v>
      </c>
      <c r="I8088" s="18" t="n">
        <f aca="false">((I8087 + G8088) - H8088)</f>
        <v>-37166.04</v>
      </c>
      <c r="J8088" s="18" t="n">
        <v>0</v>
      </c>
      <c r="K8088" s="19" t="n">
        <v>0</v>
      </c>
      <c r="L8088" s="17"/>
    </row>
    <row r="8089" s="11" customFormat="true" ht="10.95" hidden="false" customHeight="true" outlineLevel="0" collapsed="false">
      <c r="A8089" s="16" t="n">
        <v>45203</v>
      </c>
      <c r="B8089" s="17" t="s">
        <v>3613</v>
      </c>
      <c r="C8089" s="17" t="s">
        <v>3614</v>
      </c>
      <c r="D8089" s="17" t="s">
        <v>1391</v>
      </c>
      <c r="E8089" s="17" t="s">
        <v>3638</v>
      </c>
      <c r="F8089" s="17" t="s">
        <v>3266</v>
      </c>
      <c r="G8089" s="18" t="n">
        <v>0</v>
      </c>
      <c r="H8089" s="18" t="n">
        <v>218.9</v>
      </c>
      <c r="I8089" s="18" t="n">
        <f aca="false">((I8088 + G8089) - H8089)</f>
        <v>-37384.94</v>
      </c>
      <c r="J8089" s="18" t="n">
        <v>0</v>
      </c>
      <c r="K8089" s="19" t="n">
        <v>0</v>
      </c>
      <c r="L8089" s="17"/>
    </row>
    <row r="8090" s="11" customFormat="true" ht="10.95" hidden="false" customHeight="true" outlineLevel="0" collapsed="false">
      <c r="A8090" s="16" t="n">
        <v>45204</v>
      </c>
      <c r="B8090" s="17" t="s">
        <v>3613</v>
      </c>
      <c r="C8090" s="17" t="s">
        <v>3614</v>
      </c>
      <c r="D8090" s="17" t="s">
        <v>2903</v>
      </c>
      <c r="E8090" s="17" t="s">
        <v>3631</v>
      </c>
      <c r="F8090" s="17" t="s">
        <v>3264</v>
      </c>
      <c r="G8090" s="18" t="n">
        <v>1023.68</v>
      </c>
      <c r="H8090" s="18" t="n">
        <v>0</v>
      </c>
      <c r="I8090" s="18" t="n">
        <f aca="false">((I8089 + G8090) - H8090)</f>
        <v>-36361.26</v>
      </c>
      <c r="J8090" s="18" t="n">
        <v>0</v>
      </c>
      <c r="K8090" s="19" t="n">
        <v>0</v>
      </c>
      <c r="L8090" s="17"/>
    </row>
    <row r="8091" s="11" customFormat="true" ht="10.95" hidden="false" customHeight="true" outlineLevel="0" collapsed="false">
      <c r="A8091" s="16" t="n">
        <v>45205</v>
      </c>
      <c r="B8091" s="17" t="s">
        <v>3613</v>
      </c>
      <c r="C8091" s="17" t="s">
        <v>3614</v>
      </c>
      <c r="D8091" s="17" t="s">
        <v>2903</v>
      </c>
      <c r="E8091" s="17" t="s">
        <v>2904</v>
      </c>
      <c r="F8091" s="17" t="s">
        <v>1446</v>
      </c>
      <c r="G8091" s="18" t="n">
        <v>3920.04</v>
      </c>
      <c r="H8091" s="18" t="n">
        <v>0</v>
      </c>
      <c r="I8091" s="18" t="n">
        <f aca="false">((I8090 + G8091) - H8091)</f>
        <v>-32441.22</v>
      </c>
      <c r="J8091" s="18" t="n">
        <v>0</v>
      </c>
      <c r="K8091" s="19" t="n">
        <v>0</v>
      </c>
      <c r="L8091" s="17"/>
    </row>
    <row r="8092" s="11" customFormat="true" ht="10.95" hidden="false" customHeight="true" outlineLevel="0" collapsed="false">
      <c r="A8092" s="16" t="n">
        <v>45205</v>
      </c>
      <c r="B8092" s="17" t="s">
        <v>3613</v>
      </c>
      <c r="C8092" s="17" t="s">
        <v>3614</v>
      </c>
      <c r="D8092" s="17" t="s">
        <v>2903</v>
      </c>
      <c r="E8092" s="17" t="s">
        <v>3657</v>
      </c>
      <c r="F8092" s="17" t="s">
        <v>1444</v>
      </c>
      <c r="G8092" s="18" t="n">
        <v>4772.39</v>
      </c>
      <c r="H8092" s="18" t="n">
        <v>0</v>
      </c>
      <c r="I8092" s="18" t="n">
        <f aca="false">((I8091 + G8092) - H8092)</f>
        <v>-27668.83</v>
      </c>
      <c r="J8092" s="18" t="n">
        <v>0</v>
      </c>
      <c r="K8092" s="19" t="n">
        <v>0</v>
      </c>
      <c r="L8092" s="17"/>
    </row>
    <row r="8093" s="11" customFormat="true" ht="10.95" hidden="false" customHeight="true" outlineLevel="0" collapsed="false">
      <c r="A8093" s="16" t="n">
        <v>45205</v>
      </c>
      <c r="B8093" s="17" t="s">
        <v>3613</v>
      </c>
      <c r="C8093" s="17" t="s">
        <v>3614</v>
      </c>
      <c r="D8093" s="17" t="s">
        <v>2903</v>
      </c>
      <c r="E8093" s="17" t="s">
        <v>3616</v>
      </c>
      <c r="F8093" s="17" t="s">
        <v>3266</v>
      </c>
      <c r="G8093" s="18" t="n">
        <v>218.9</v>
      </c>
      <c r="H8093" s="18" t="n">
        <v>0</v>
      </c>
      <c r="I8093" s="18" t="n">
        <f aca="false">((I8092 + G8093) - H8093)</f>
        <v>-27449.93</v>
      </c>
      <c r="J8093" s="18" t="n">
        <v>0</v>
      </c>
      <c r="K8093" s="19" t="n">
        <v>0</v>
      </c>
      <c r="L8093" s="17"/>
    </row>
    <row r="8094" s="11" customFormat="true" ht="10.95" hidden="false" customHeight="true" outlineLevel="0" collapsed="false">
      <c r="A8094" s="16" t="n">
        <v>45206</v>
      </c>
      <c r="B8094" s="17" t="s">
        <v>3613</v>
      </c>
      <c r="C8094" s="17" t="s">
        <v>3614</v>
      </c>
      <c r="D8094" s="17" t="s">
        <v>2903</v>
      </c>
      <c r="E8094" s="17" t="s">
        <v>3634</v>
      </c>
      <c r="F8094" s="17" t="s">
        <v>2329</v>
      </c>
      <c r="G8094" s="18" t="n">
        <v>71.5</v>
      </c>
      <c r="H8094" s="18" t="n">
        <v>0</v>
      </c>
      <c r="I8094" s="18" t="n">
        <f aca="false">((I8093 + G8094) - H8094)</f>
        <v>-27378.43</v>
      </c>
      <c r="J8094" s="18" t="n">
        <v>0</v>
      </c>
      <c r="K8094" s="19" t="n">
        <v>0</v>
      </c>
      <c r="L8094" s="17"/>
    </row>
    <row r="8095" s="11" customFormat="true" ht="10.95" hidden="false" customHeight="true" outlineLevel="0" collapsed="false">
      <c r="A8095" s="16" t="n">
        <v>45206</v>
      </c>
      <c r="B8095" s="17" t="s">
        <v>3613</v>
      </c>
      <c r="C8095" s="17" t="s">
        <v>3614</v>
      </c>
      <c r="D8095" s="17" t="s">
        <v>2903</v>
      </c>
      <c r="E8095" s="17" t="s">
        <v>2963</v>
      </c>
      <c r="F8095" s="17" t="s">
        <v>2649</v>
      </c>
      <c r="G8095" s="18" t="n">
        <v>184.05</v>
      </c>
      <c r="H8095" s="18" t="n">
        <v>0</v>
      </c>
      <c r="I8095" s="18" t="n">
        <f aca="false">((I8094 + G8095) - H8095)</f>
        <v>-27194.38</v>
      </c>
      <c r="J8095" s="18" t="n">
        <v>0</v>
      </c>
      <c r="K8095" s="19" t="n">
        <v>0</v>
      </c>
      <c r="L8095" s="17"/>
    </row>
    <row r="8096" s="11" customFormat="true" ht="10.95" hidden="false" customHeight="true" outlineLevel="0" collapsed="false">
      <c r="A8096" s="16" t="n">
        <v>45207</v>
      </c>
      <c r="B8096" s="17" t="s">
        <v>3613</v>
      </c>
      <c r="C8096" s="17" t="s">
        <v>3614</v>
      </c>
      <c r="D8096" s="17" t="s">
        <v>1391</v>
      </c>
      <c r="E8096" s="17" t="s">
        <v>3621</v>
      </c>
      <c r="F8096" s="17" t="s">
        <v>2651</v>
      </c>
      <c r="G8096" s="18" t="n">
        <v>0</v>
      </c>
      <c r="H8096" s="18" t="n">
        <v>104.95</v>
      </c>
      <c r="I8096" s="18" t="n">
        <f aca="false">((I8095 + G8096) - H8096)</f>
        <v>-27299.33</v>
      </c>
      <c r="J8096" s="18" t="n">
        <v>0</v>
      </c>
      <c r="K8096" s="19" t="n">
        <v>0</v>
      </c>
      <c r="L8096" s="17"/>
    </row>
    <row r="8097" s="11" customFormat="true" ht="10.95" hidden="false" customHeight="true" outlineLevel="0" collapsed="false">
      <c r="A8097" s="16" t="n">
        <v>45207</v>
      </c>
      <c r="B8097" s="17" t="s">
        <v>3613</v>
      </c>
      <c r="C8097" s="17" t="s">
        <v>3614</v>
      </c>
      <c r="D8097" s="17" t="s">
        <v>1391</v>
      </c>
      <c r="E8097" s="17" t="s">
        <v>3514</v>
      </c>
      <c r="F8097" s="17" t="s">
        <v>3586</v>
      </c>
      <c r="G8097" s="18" t="n">
        <v>0</v>
      </c>
      <c r="H8097" s="18" t="n">
        <v>3025</v>
      </c>
      <c r="I8097" s="18" t="n">
        <f aca="false">((I8096 + G8097) - H8097)</f>
        <v>-30324.33</v>
      </c>
      <c r="J8097" s="18" t="n">
        <v>0</v>
      </c>
      <c r="K8097" s="19" t="n">
        <v>0</v>
      </c>
      <c r="L8097" s="17"/>
    </row>
    <row r="8098" s="11" customFormat="true" ht="10.95" hidden="false" customHeight="true" outlineLevel="0" collapsed="false">
      <c r="A8098" s="16" t="n">
        <v>45208</v>
      </c>
      <c r="B8098" s="17" t="s">
        <v>3613</v>
      </c>
      <c r="C8098" s="17" t="s">
        <v>3614</v>
      </c>
      <c r="D8098" s="17" t="s">
        <v>1391</v>
      </c>
      <c r="E8098" s="17" t="s">
        <v>3639</v>
      </c>
      <c r="F8098" s="17" t="s">
        <v>1642</v>
      </c>
      <c r="G8098" s="18" t="n">
        <v>0</v>
      </c>
      <c r="H8098" s="18" t="n">
        <v>65</v>
      </c>
      <c r="I8098" s="18" t="n">
        <f aca="false">((I8097 + G8098) - H8098)</f>
        <v>-30389.33</v>
      </c>
      <c r="J8098" s="18" t="n">
        <v>0</v>
      </c>
      <c r="K8098" s="19" t="n">
        <v>0</v>
      </c>
      <c r="L8098" s="17"/>
    </row>
    <row r="8099" s="11" customFormat="true" ht="10.95" hidden="false" customHeight="true" outlineLevel="0" collapsed="false">
      <c r="A8099" s="16" t="n">
        <v>45208</v>
      </c>
      <c r="B8099" s="17" t="s">
        <v>3613</v>
      </c>
      <c r="C8099" s="17" t="s">
        <v>3614</v>
      </c>
      <c r="D8099" s="17" t="s">
        <v>1391</v>
      </c>
      <c r="E8099" s="17" t="s">
        <v>3670</v>
      </c>
      <c r="F8099" s="17" t="s">
        <v>3364</v>
      </c>
      <c r="G8099" s="18" t="n">
        <v>0</v>
      </c>
      <c r="H8099" s="18" t="n">
        <v>150</v>
      </c>
      <c r="I8099" s="18" t="n">
        <f aca="false">((I8098 + G8099) - H8099)</f>
        <v>-30539.33</v>
      </c>
      <c r="J8099" s="18" t="n">
        <v>0</v>
      </c>
      <c r="K8099" s="19" t="n">
        <v>0</v>
      </c>
      <c r="L8099" s="17"/>
    </row>
    <row r="8100" s="11" customFormat="true" ht="10.95" hidden="false" customHeight="true" outlineLevel="0" collapsed="false">
      <c r="A8100" s="16" t="n">
        <v>45208</v>
      </c>
      <c r="B8100" s="17" t="s">
        <v>3613</v>
      </c>
      <c r="C8100" s="17" t="s">
        <v>3614</v>
      </c>
      <c r="D8100" s="17" t="s">
        <v>2903</v>
      </c>
      <c r="E8100" s="17" t="s">
        <v>3640</v>
      </c>
      <c r="F8100" s="17" t="s">
        <v>1642</v>
      </c>
      <c r="G8100" s="18" t="n">
        <v>65</v>
      </c>
      <c r="H8100" s="18" t="n">
        <v>0</v>
      </c>
      <c r="I8100" s="18" t="n">
        <f aca="false">((I8099 + G8100) - H8100)</f>
        <v>-30474.33</v>
      </c>
      <c r="J8100" s="18" t="n">
        <v>0</v>
      </c>
      <c r="K8100" s="19" t="n">
        <v>0</v>
      </c>
      <c r="L8100" s="17"/>
    </row>
    <row r="8101" s="11" customFormat="true" ht="10.95" hidden="false" customHeight="true" outlineLevel="0" collapsed="false">
      <c r="A8101" s="16" t="n">
        <v>45208</v>
      </c>
      <c r="B8101" s="17" t="s">
        <v>3613</v>
      </c>
      <c r="C8101" s="17" t="s">
        <v>3614</v>
      </c>
      <c r="D8101" s="17" t="s">
        <v>2903</v>
      </c>
      <c r="E8101" s="17" t="s">
        <v>3672</v>
      </c>
      <c r="F8101" s="17" t="s">
        <v>3364</v>
      </c>
      <c r="G8101" s="18" t="n">
        <v>150</v>
      </c>
      <c r="H8101" s="18" t="n">
        <v>0</v>
      </c>
      <c r="I8101" s="18" t="n">
        <f aca="false">((I8100 + G8101) - H8101)</f>
        <v>-30324.33</v>
      </c>
      <c r="J8101" s="18" t="n">
        <v>0</v>
      </c>
      <c r="K8101" s="19" t="n">
        <v>0</v>
      </c>
      <c r="L8101" s="17"/>
    </row>
    <row r="8102" s="11" customFormat="true" ht="10.95" hidden="false" customHeight="true" outlineLevel="0" collapsed="false">
      <c r="A8102" s="16" t="n">
        <v>45208</v>
      </c>
      <c r="B8102" s="17" t="s">
        <v>3613</v>
      </c>
      <c r="C8102" s="17" t="s">
        <v>3614</v>
      </c>
      <c r="D8102" s="17" t="s">
        <v>1391</v>
      </c>
      <c r="E8102" s="17" t="s">
        <v>3638</v>
      </c>
      <c r="F8102" s="17" t="s">
        <v>3268</v>
      </c>
      <c r="G8102" s="18" t="n">
        <v>0</v>
      </c>
      <c r="H8102" s="18" t="n">
        <v>3063.5</v>
      </c>
      <c r="I8102" s="18" t="n">
        <f aca="false">((I8101 + G8102) - H8102)</f>
        <v>-33387.83</v>
      </c>
      <c r="J8102" s="18" t="n">
        <v>0</v>
      </c>
      <c r="K8102" s="19" t="n">
        <v>0</v>
      </c>
      <c r="L8102" s="17"/>
    </row>
    <row r="8103" s="11" customFormat="true" ht="10.95" hidden="false" customHeight="true" outlineLevel="0" collapsed="false">
      <c r="A8103" s="16" t="n">
        <v>45208</v>
      </c>
      <c r="B8103" s="17" t="s">
        <v>3613</v>
      </c>
      <c r="C8103" s="17" t="s">
        <v>3614</v>
      </c>
      <c r="D8103" s="17" t="s">
        <v>1391</v>
      </c>
      <c r="E8103" s="17" t="s">
        <v>3622</v>
      </c>
      <c r="F8103" s="17" t="s">
        <v>1454</v>
      </c>
      <c r="G8103" s="18" t="n">
        <v>0</v>
      </c>
      <c r="H8103" s="18" t="n">
        <v>1733.82</v>
      </c>
      <c r="I8103" s="18" t="n">
        <f aca="false">((I8102 + G8103) - H8103)</f>
        <v>-35121.65</v>
      </c>
      <c r="J8103" s="18" t="n">
        <v>0</v>
      </c>
      <c r="K8103" s="19" t="n">
        <v>0</v>
      </c>
      <c r="L8103" s="17"/>
    </row>
    <row r="8104" s="11" customFormat="true" ht="10.95" hidden="false" customHeight="true" outlineLevel="0" collapsed="false">
      <c r="A8104" s="16" t="n">
        <v>45209</v>
      </c>
      <c r="B8104" s="17" t="s">
        <v>3613</v>
      </c>
      <c r="C8104" s="17" t="s">
        <v>3614</v>
      </c>
      <c r="D8104" s="17" t="s">
        <v>1455</v>
      </c>
      <c r="E8104" s="17" t="s">
        <v>3622</v>
      </c>
      <c r="F8104" s="17" t="s">
        <v>1420</v>
      </c>
      <c r="G8104" s="18" t="n">
        <v>550</v>
      </c>
      <c r="H8104" s="18" t="n">
        <v>0</v>
      </c>
      <c r="I8104" s="18" t="n">
        <f aca="false">((I8103 + G8104) - H8104)</f>
        <v>-34571.65</v>
      </c>
      <c r="J8104" s="18" t="n">
        <v>0</v>
      </c>
      <c r="K8104" s="19" t="n">
        <v>0</v>
      </c>
      <c r="L8104" s="17"/>
    </row>
    <row r="8105" s="11" customFormat="true" ht="10.95" hidden="false" customHeight="true" outlineLevel="0" collapsed="false">
      <c r="A8105" s="16" t="n">
        <v>45209</v>
      </c>
      <c r="B8105" s="17" t="s">
        <v>3613</v>
      </c>
      <c r="C8105" s="17" t="s">
        <v>3614</v>
      </c>
      <c r="D8105" s="17" t="s">
        <v>3682</v>
      </c>
      <c r="E8105" s="17" t="s">
        <v>3622</v>
      </c>
      <c r="F8105" s="17" t="s">
        <v>1420</v>
      </c>
      <c r="G8105" s="18" t="n">
        <v>550</v>
      </c>
      <c r="H8105" s="18" t="n">
        <v>0</v>
      </c>
      <c r="I8105" s="18" t="n">
        <f aca="false">((I8104 + G8105) - H8105)</f>
        <v>-34021.65</v>
      </c>
      <c r="J8105" s="18" t="n">
        <v>0</v>
      </c>
      <c r="K8105" s="19" t="n">
        <v>0</v>
      </c>
      <c r="L8105" s="17"/>
    </row>
    <row r="8106" s="11" customFormat="true" ht="10.95" hidden="false" customHeight="true" outlineLevel="0" collapsed="false">
      <c r="A8106" s="16" t="n">
        <v>45209</v>
      </c>
      <c r="B8106" s="17" t="s">
        <v>3613</v>
      </c>
      <c r="C8106" s="17" t="s">
        <v>3614</v>
      </c>
      <c r="D8106" s="17" t="s">
        <v>3682</v>
      </c>
      <c r="E8106" s="17" t="s">
        <v>3622</v>
      </c>
      <c r="F8106" s="17" t="s">
        <v>1420</v>
      </c>
      <c r="G8106" s="18" t="n">
        <v>0</v>
      </c>
      <c r="H8106" s="18" t="n">
        <v>550</v>
      </c>
      <c r="I8106" s="18" t="n">
        <f aca="false">((I8105 + G8106) - H8106)</f>
        <v>-34571.65</v>
      </c>
      <c r="J8106" s="18" t="n">
        <v>0</v>
      </c>
      <c r="K8106" s="19" t="n">
        <v>0</v>
      </c>
      <c r="L8106" s="17"/>
    </row>
    <row r="8107" s="11" customFormat="true" ht="10.95" hidden="false" customHeight="true" outlineLevel="0" collapsed="false">
      <c r="A8107" s="16" t="n">
        <v>45209</v>
      </c>
      <c r="B8107" s="17" t="s">
        <v>3613</v>
      </c>
      <c r="C8107" s="17" t="s">
        <v>3614</v>
      </c>
      <c r="D8107" s="17" t="s">
        <v>1391</v>
      </c>
      <c r="E8107" s="17" t="s">
        <v>3683</v>
      </c>
      <c r="F8107" s="17" t="s">
        <v>2331</v>
      </c>
      <c r="G8107" s="18" t="n">
        <v>0</v>
      </c>
      <c r="H8107" s="18" t="n">
        <v>132.55</v>
      </c>
      <c r="I8107" s="18" t="n">
        <f aca="false">((I8106 + G8107) - H8107)</f>
        <v>-34704.2</v>
      </c>
      <c r="J8107" s="18" t="n">
        <v>0</v>
      </c>
      <c r="K8107" s="19" t="n">
        <v>0</v>
      </c>
      <c r="L8107" s="17"/>
    </row>
    <row r="8108" s="11" customFormat="true" ht="10.95" hidden="false" customHeight="true" outlineLevel="0" collapsed="false">
      <c r="A8108" s="16" t="n">
        <v>45209</v>
      </c>
      <c r="B8108" s="17" t="s">
        <v>3613</v>
      </c>
      <c r="C8108" s="17" t="s">
        <v>3614</v>
      </c>
      <c r="D8108" s="17" t="s">
        <v>2903</v>
      </c>
      <c r="E8108" s="17" t="s">
        <v>3397</v>
      </c>
      <c r="F8108" s="17" t="s">
        <v>3586</v>
      </c>
      <c r="G8108" s="18" t="n">
        <v>3025</v>
      </c>
      <c r="H8108" s="18" t="n">
        <v>0</v>
      </c>
      <c r="I8108" s="18" t="n">
        <f aca="false">((I8107 + G8108) - H8108)</f>
        <v>-31679.2</v>
      </c>
      <c r="J8108" s="18" t="n">
        <v>0</v>
      </c>
      <c r="K8108" s="19" t="n">
        <v>0</v>
      </c>
      <c r="L8108" s="17"/>
    </row>
    <row r="8109" s="11" customFormat="true" ht="10.95" hidden="false" customHeight="true" outlineLevel="0" collapsed="false">
      <c r="A8109" s="16" t="n">
        <v>45211</v>
      </c>
      <c r="B8109" s="17" t="s">
        <v>3613</v>
      </c>
      <c r="C8109" s="17" t="s">
        <v>3614</v>
      </c>
      <c r="D8109" s="17" t="s">
        <v>2903</v>
      </c>
      <c r="E8109" s="17" t="s">
        <v>2908</v>
      </c>
      <c r="F8109" s="17" t="s">
        <v>1427</v>
      </c>
      <c r="G8109" s="18" t="n">
        <v>466.61</v>
      </c>
      <c r="H8109" s="18" t="n">
        <v>0</v>
      </c>
      <c r="I8109" s="18" t="n">
        <f aca="false">((I8108 + G8109) - H8109)</f>
        <v>-31212.59</v>
      </c>
      <c r="J8109" s="18" t="n">
        <v>0</v>
      </c>
      <c r="K8109" s="19" t="n">
        <v>0</v>
      </c>
      <c r="L8109" s="17"/>
    </row>
    <row r="8110" s="11" customFormat="true" ht="10.95" hidden="false" customHeight="true" outlineLevel="0" collapsed="false">
      <c r="A8110" s="16" t="n">
        <v>45211</v>
      </c>
      <c r="B8110" s="17" t="s">
        <v>3613</v>
      </c>
      <c r="C8110" s="17" t="s">
        <v>3614</v>
      </c>
      <c r="D8110" s="17" t="s">
        <v>2903</v>
      </c>
      <c r="E8110" s="17" t="s">
        <v>2908</v>
      </c>
      <c r="F8110" s="17" t="s">
        <v>2300</v>
      </c>
      <c r="G8110" s="18" t="n">
        <v>469.17</v>
      </c>
      <c r="H8110" s="18" t="n">
        <v>0</v>
      </c>
      <c r="I8110" s="18" t="n">
        <f aca="false">((I8109 + G8110) - H8110)</f>
        <v>-30743.42</v>
      </c>
      <c r="J8110" s="18" t="n">
        <v>0</v>
      </c>
      <c r="K8110" s="19" t="n">
        <v>0</v>
      </c>
      <c r="L8110" s="17"/>
    </row>
    <row r="8111" s="11" customFormat="true" ht="10.95" hidden="false" customHeight="true" outlineLevel="0" collapsed="false">
      <c r="A8111" s="16" t="n">
        <v>45211</v>
      </c>
      <c r="B8111" s="17" t="s">
        <v>3613</v>
      </c>
      <c r="C8111" s="17" t="s">
        <v>3614</v>
      </c>
      <c r="D8111" s="17" t="s">
        <v>2903</v>
      </c>
      <c r="E8111" s="17" t="s">
        <v>2969</v>
      </c>
      <c r="F8111" s="17" t="s">
        <v>2331</v>
      </c>
      <c r="G8111" s="18" t="n">
        <v>132.55</v>
      </c>
      <c r="H8111" s="18" t="n">
        <v>0</v>
      </c>
      <c r="I8111" s="18" t="n">
        <f aca="false">((I8110 + G8111) - H8111)</f>
        <v>-30610.87</v>
      </c>
      <c r="J8111" s="18" t="n">
        <v>0</v>
      </c>
      <c r="K8111" s="19" t="n">
        <v>0</v>
      </c>
      <c r="L8111" s="17"/>
    </row>
    <row r="8112" s="11" customFormat="true" ht="10.95" hidden="false" customHeight="true" outlineLevel="0" collapsed="false">
      <c r="A8112" s="16" t="n">
        <v>45213</v>
      </c>
      <c r="B8112" s="17" t="s">
        <v>3613</v>
      </c>
      <c r="C8112" s="17" t="s">
        <v>3614</v>
      </c>
      <c r="D8112" s="17" t="s">
        <v>1391</v>
      </c>
      <c r="E8112" s="17" t="s">
        <v>3641</v>
      </c>
      <c r="F8112" s="17" t="s">
        <v>2654</v>
      </c>
      <c r="G8112" s="18" t="n">
        <v>0</v>
      </c>
      <c r="H8112" s="18" t="n">
        <v>223.21</v>
      </c>
      <c r="I8112" s="18" t="n">
        <f aca="false">((I8111 + G8112) - H8112)</f>
        <v>-30834.08</v>
      </c>
      <c r="J8112" s="18" t="n">
        <v>0</v>
      </c>
      <c r="K8112" s="19" t="n">
        <v>0</v>
      </c>
      <c r="L8112" s="17"/>
    </row>
    <row r="8113" s="11" customFormat="true" ht="10.95" hidden="false" customHeight="true" outlineLevel="0" collapsed="false">
      <c r="A8113" s="16" t="n">
        <v>45215</v>
      </c>
      <c r="B8113" s="17" t="s">
        <v>3613</v>
      </c>
      <c r="C8113" s="17" t="s">
        <v>3614</v>
      </c>
      <c r="D8113" s="17" t="s">
        <v>1391</v>
      </c>
      <c r="E8113" s="17" t="s">
        <v>3684</v>
      </c>
      <c r="F8113" s="17" t="s">
        <v>2334</v>
      </c>
      <c r="G8113" s="18" t="n">
        <v>0</v>
      </c>
      <c r="H8113" s="18" t="n">
        <v>1022.01</v>
      </c>
      <c r="I8113" s="18" t="n">
        <f aca="false">((I8112 + G8113) - H8113)</f>
        <v>-31856.09</v>
      </c>
      <c r="J8113" s="18" t="n">
        <v>0</v>
      </c>
      <c r="K8113" s="19" t="n">
        <v>0</v>
      </c>
      <c r="L8113" s="17"/>
    </row>
    <row r="8114" s="11" customFormat="true" ht="10.95" hidden="false" customHeight="true" outlineLevel="0" collapsed="false">
      <c r="A8114" s="16" t="n">
        <v>45215</v>
      </c>
      <c r="B8114" s="17" t="s">
        <v>3613</v>
      </c>
      <c r="C8114" s="17" t="s">
        <v>3614</v>
      </c>
      <c r="D8114" s="17" t="s">
        <v>1391</v>
      </c>
      <c r="E8114" s="17" t="s">
        <v>3678</v>
      </c>
      <c r="F8114" s="17" t="s">
        <v>2043</v>
      </c>
      <c r="G8114" s="18" t="n">
        <v>0</v>
      </c>
      <c r="H8114" s="18" t="n">
        <v>6648.73</v>
      </c>
      <c r="I8114" s="18" t="n">
        <f aca="false">((I8113 + G8114) - H8114)</f>
        <v>-38504.82</v>
      </c>
      <c r="J8114" s="18" t="n">
        <v>0</v>
      </c>
      <c r="K8114" s="19" t="n">
        <v>0</v>
      </c>
      <c r="L8114" s="17"/>
    </row>
    <row r="8115" s="11" customFormat="true" ht="10.95" hidden="false" customHeight="true" outlineLevel="0" collapsed="false">
      <c r="A8115" s="16" t="n">
        <v>45217</v>
      </c>
      <c r="B8115" s="17" t="s">
        <v>3613</v>
      </c>
      <c r="C8115" s="17" t="s">
        <v>3614</v>
      </c>
      <c r="D8115" s="17" t="s">
        <v>1391</v>
      </c>
      <c r="E8115" s="17" t="s">
        <v>3642</v>
      </c>
      <c r="F8115" s="17" t="s">
        <v>2338</v>
      </c>
      <c r="G8115" s="18" t="n">
        <v>0</v>
      </c>
      <c r="H8115" s="18" t="n">
        <v>24.2</v>
      </c>
      <c r="I8115" s="18" t="n">
        <f aca="false">((I8114 + G8115) - H8115)</f>
        <v>-38529.02</v>
      </c>
      <c r="J8115" s="18" t="n">
        <v>0</v>
      </c>
      <c r="K8115" s="19" t="n">
        <v>0</v>
      </c>
      <c r="L8115" s="17"/>
    </row>
    <row r="8116" s="11" customFormat="true" ht="10.95" hidden="false" customHeight="true" outlineLevel="0" collapsed="false">
      <c r="A8116" s="16" t="n">
        <v>45217</v>
      </c>
      <c r="B8116" s="17" t="s">
        <v>3613</v>
      </c>
      <c r="C8116" s="17" t="s">
        <v>3614</v>
      </c>
      <c r="D8116" s="17" t="s">
        <v>1391</v>
      </c>
      <c r="E8116" s="17" t="s">
        <v>3642</v>
      </c>
      <c r="F8116" s="17" t="s">
        <v>2340</v>
      </c>
      <c r="G8116" s="18" t="n">
        <v>0</v>
      </c>
      <c r="H8116" s="18" t="n">
        <v>9.02</v>
      </c>
      <c r="I8116" s="18" t="n">
        <f aca="false">((I8115 + G8116) - H8116)</f>
        <v>-38538.04</v>
      </c>
      <c r="J8116" s="18" t="n">
        <v>0</v>
      </c>
      <c r="K8116" s="19" t="n">
        <v>0</v>
      </c>
      <c r="L8116" s="17"/>
    </row>
    <row r="8117" s="11" customFormat="true" ht="10.95" hidden="false" customHeight="true" outlineLevel="0" collapsed="false">
      <c r="A8117" s="16" t="n">
        <v>45217</v>
      </c>
      <c r="B8117" s="17" t="s">
        <v>3613</v>
      </c>
      <c r="C8117" s="17" t="s">
        <v>3614</v>
      </c>
      <c r="D8117" s="17" t="s">
        <v>1391</v>
      </c>
      <c r="E8117" s="17" t="s">
        <v>3642</v>
      </c>
      <c r="F8117" s="17" t="s">
        <v>2342</v>
      </c>
      <c r="G8117" s="18" t="n">
        <v>0</v>
      </c>
      <c r="H8117" s="18" t="n">
        <v>68.2</v>
      </c>
      <c r="I8117" s="18" t="n">
        <f aca="false">((I8116 + G8117) - H8117)</f>
        <v>-38606.24</v>
      </c>
      <c r="J8117" s="18" t="n">
        <v>0</v>
      </c>
      <c r="K8117" s="19" t="n">
        <v>0</v>
      </c>
      <c r="L8117" s="17"/>
    </row>
    <row r="8118" s="11" customFormat="true" ht="10.95" hidden="false" customHeight="true" outlineLevel="0" collapsed="false">
      <c r="A8118" s="16" t="n">
        <v>45217</v>
      </c>
      <c r="B8118" s="17" t="s">
        <v>3613</v>
      </c>
      <c r="C8118" s="17" t="s">
        <v>3614</v>
      </c>
      <c r="D8118" s="17" t="s">
        <v>1391</v>
      </c>
      <c r="E8118" s="17" t="s">
        <v>3642</v>
      </c>
      <c r="F8118" s="17" t="s">
        <v>2344</v>
      </c>
      <c r="G8118" s="18" t="n">
        <v>0</v>
      </c>
      <c r="H8118" s="18" t="n">
        <v>60.5</v>
      </c>
      <c r="I8118" s="18" t="n">
        <f aca="false">((I8117 + G8118) - H8118)</f>
        <v>-38666.74</v>
      </c>
      <c r="J8118" s="18" t="n">
        <v>0</v>
      </c>
      <c r="K8118" s="19" t="n">
        <v>0</v>
      </c>
      <c r="L8118" s="17"/>
    </row>
    <row r="8119" s="11" customFormat="true" ht="10.95" hidden="false" customHeight="true" outlineLevel="0" collapsed="false">
      <c r="A8119" s="16" t="n">
        <v>45217</v>
      </c>
      <c r="B8119" s="17" t="s">
        <v>3613</v>
      </c>
      <c r="C8119" s="17" t="s">
        <v>3614</v>
      </c>
      <c r="D8119" s="17" t="s">
        <v>1391</v>
      </c>
      <c r="E8119" s="17" t="s">
        <v>3642</v>
      </c>
      <c r="F8119" s="17" t="s">
        <v>2346</v>
      </c>
      <c r="G8119" s="18" t="n">
        <v>0</v>
      </c>
      <c r="H8119" s="18" t="n">
        <v>219.78</v>
      </c>
      <c r="I8119" s="18" t="n">
        <f aca="false">((I8118 + G8119) - H8119)</f>
        <v>-38886.52</v>
      </c>
      <c r="J8119" s="18" t="n">
        <v>0</v>
      </c>
      <c r="K8119" s="19" t="n">
        <v>0</v>
      </c>
      <c r="L8119" s="17"/>
    </row>
    <row r="8120" s="11" customFormat="true" ht="10.95" hidden="false" customHeight="true" outlineLevel="0" collapsed="false">
      <c r="A8120" s="16" t="n">
        <v>45217</v>
      </c>
      <c r="B8120" s="17" t="s">
        <v>3613</v>
      </c>
      <c r="C8120" s="17" t="s">
        <v>3614</v>
      </c>
      <c r="D8120" s="17" t="s">
        <v>1391</v>
      </c>
      <c r="E8120" s="17" t="s">
        <v>3642</v>
      </c>
      <c r="F8120" s="17" t="s">
        <v>2348</v>
      </c>
      <c r="G8120" s="18" t="n">
        <v>0</v>
      </c>
      <c r="H8120" s="18" t="n">
        <v>76.56</v>
      </c>
      <c r="I8120" s="18" t="n">
        <f aca="false">((I8119 + G8120) - H8120)</f>
        <v>-38963.08</v>
      </c>
      <c r="J8120" s="18" t="n">
        <v>0</v>
      </c>
      <c r="K8120" s="19" t="n">
        <v>0</v>
      </c>
      <c r="L8120" s="17"/>
    </row>
    <row r="8121" s="11" customFormat="true" ht="10.95" hidden="false" customHeight="true" outlineLevel="0" collapsed="false">
      <c r="A8121" s="16" t="n">
        <v>45217</v>
      </c>
      <c r="B8121" s="17" t="s">
        <v>3613</v>
      </c>
      <c r="C8121" s="17" t="s">
        <v>3614</v>
      </c>
      <c r="D8121" s="17" t="s">
        <v>1391</v>
      </c>
      <c r="E8121" s="17" t="s">
        <v>3642</v>
      </c>
      <c r="F8121" s="17" t="s">
        <v>2350</v>
      </c>
      <c r="G8121" s="18" t="n">
        <v>0</v>
      </c>
      <c r="H8121" s="18" t="n">
        <v>45.32</v>
      </c>
      <c r="I8121" s="18" t="n">
        <f aca="false">((I8120 + G8121) - H8121)</f>
        <v>-39008.4</v>
      </c>
      <c r="J8121" s="18" t="n">
        <v>0</v>
      </c>
      <c r="K8121" s="19" t="n">
        <v>0</v>
      </c>
      <c r="L8121" s="17"/>
    </row>
    <row r="8122" s="11" customFormat="true" ht="10.95" hidden="false" customHeight="true" outlineLevel="0" collapsed="false">
      <c r="A8122" s="16" t="n">
        <v>45217</v>
      </c>
      <c r="B8122" s="17" t="s">
        <v>3613</v>
      </c>
      <c r="C8122" s="17" t="s">
        <v>3614</v>
      </c>
      <c r="D8122" s="17" t="s">
        <v>1391</v>
      </c>
      <c r="E8122" s="17" t="s">
        <v>3642</v>
      </c>
      <c r="F8122" s="17" t="s">
        <v>2352</v>
      </c>
      <c r="G8122" s="18" t="n">
        <v>0</v>
      </c>
      <c r="H8122" s="18" t="n">
        <v>33.22</v>
      </c>
      <c r="I8122" s="18" t="n">
        <f aca="false">((I8121 + G8122) - H8122)</f>
        <v>-39041.62</v>
      </c>
      <c r="J8122" s="18" t="n">
        <v>0</v>
      </c>
      <c r="K8122" s="19" t="n">
        <v>0</v>
      </c>
      <c r="L8122" s="17"/>
    </row>
    <row r="8123" s="11" customFormat="true" ht="10.95" hidden="false" customHeight="true" outlineLevel="0" collapsed="false">
      <c r="A8123" s="16" t="n">
        <v>45217</v>
      </c>
      <c r="B8123" s="17" t="s">
        <v>3613</v>
      </c>
      <c r="C8123" s="17" t="s">
        <v>3614</v>
      </c>
      <c r="D8123" s="17" t="s">
        <v>2903</v>
      </c>
      <c r="E8123" s="17" t="s">
        <v>3643</v>
      </c>
      <c r="F8123" s="17" t="s">
        <v>1454</v>
      </c>
      <c r="G8123" s="18" t="n">
        <v>1183.82</v>
      </c>
      <c r="H8123" s="18" t="n">
        <v>0</v>
      </c>
      <c r="I8123" s="18" t="n">
        <f aca="false">((I8122 + G8123) - H8123)</f>
        <v>-37857.8</v>
      </c>
      <c r="J8123" s="18" t="n">
        <v>0</v>
      </c>
      <c r="K8123" s="19" t="n">
        <v>0</v>
      </c>
      <c r="L8123" s="17"/>
    </row>
    <row r="8124" s="11" customFormat="true" ht="10.95" hidden="false" customHeight="true" outlineLevel="0" collapsed="false">
      <c r="A8124" s="16" t="n">
        <v>45218</v>
      </c>
      <c r="B8124" s="17" t="s">
        <v>3613</v>
      </c>
      <c r="C8124" s="17" t="s">
        <v>3614</v>
      </c>
      <c r="D8124" s="17" t="s">
        <v>2903</v>
      </c>
      <c r="E8124" s="17" t="s">
        <v>3616</v>
      </c>
      <c r="F8124" s="17" t="s">
        <v>3268</v>
      </c>
      <c r="G8124" s="18" t="n">
        <v>3063.5</v>
      </c>
      <c r="H8124" s="18" t="n">
        <v>0</v>
      </c>
      <c r="I8124" s="18" t="n">
        <f aca="false">((I8123 + G8124) - H8124)</f>
        <v>-34794.3</v>
      </c>
      <c r="J8124" s="18" t="n">
        <v>0</v>
      </c>
      <c r="K8124" s="19" t="n">
        <v>0</v>
      </c>
      <c r="L8124" s="17"/>
    </row>
    <row r="8125" s="11" customFormat="true" ht="10.95" hidden="false" customHeight="true" outlineLevel="0" collapsed="false">
      <c r="A8125" s="16" t="n">
        <v>45218</v>
      </c>
      <c r="B8125" s="17" t="s">
        <v>3613</v>
      </c>
      <c r="C8125" s="17" t="s">
        <v>3614</v>
      </c>
      <c r="D8125" s="17" t="s">
        <v>2903</v>
      </c>
      <c r="E8125" s="17" t="s">
        <v>2978</v>
      </c>
      <c r="F8125" s="17" t="s">
        <v>2334</v>
      </c>
      <c r="G8125" s="18" t="n">
        <v>1022.01</v>
      </c>
      <c r="H8125" s="18" t="n">
        <v>0</v>
      </c>
      <c r="I8125" s="18" t="n">
        <f aca="false">((I8124 + G8125) - H8125)</f>
        <v>-33772.29</v>
      </c>
      <c r="J8125" s="18" t="n">
        <v>0</v>
      </c>
      <c r="K8125" s="19" t="n">
        <v>0</v>
      </c>
      <c r="L8125" s="17"/>
    </row>
    <row r="8126" s="11" customFormat="true" ht="10.95" hidden="false" customHeight="true" outlineLevel="0" collapsed="false">
      <c r="A8126" s="16" t="n">
        <v>45219</v>
      </c>
      <c r="B8126" s="17" t="s">
        <v>3613</v>
      </c>
      <c r="C8126" s="17" t="s">
        <v>3614</v>
      </c>
      <c r="D8126" s="17" t="s">
        <v>1391</v>
      </c>
      <c r="E8126" s="17" t="s">
        <v>3668</v>
      </c>
      <c r="F8126" s="17" t="s">
        <v>2355</v>
      </c>
      <c r="G8126" s="18" t="n">
        <v>0</v>
      </c>
      <c r="H8126" s="18" t="n">
        <v>97</v>
      </c>
      <c r="I8126" s="18" t="n">
        <f aca="false">((I8125 + G8126) - H8126)</f>
        <v>-33869.29</v>
      </c>
      <c r="J8126" s="18" t="n">
        <v>0</v>
      </c>
      <c r="K8126" s="19" t="n">
        <v>0</v>
      </c>
      <c r="L8126" s="17"/>
    </row>
    <row r="8127" s="11" customFormat="true" ht="10.95" hidden="false" customHeight="true" outlineLevel="0" collapsed="false">
      <c r="A8127" s="16" t="n">
        <v>45220</v>
      </c>
      <c r="B8127" s="17" t="s">
        <v>3613</v>
      </c>
      <c r="C8127" s="17" t="s">
        <v>3614</v>
      </c>
      <c r="D8127" s="17" t="s">
        <v>2903</v>
      </c>
      <c r="E8127" s="17" t="s">
        <v>3643</v>
      </c>
      <c r="F8127" s="17" t="s">
        <v>1454</v>
      </c>
      <c r="G8127" s="18" t="n">
        <v>550</v>
      </c>
      <c r="H8127" s="18" t="n">
        <v>0</v>
      </c>
      <c r="I8127" s="18" t="n">
        <f aca="false">((I8126 + G8127) - H8127)</f>
        <v>-33319.29</v>
      </c>
      <c r="J8127" s="18" t="n">
        <v>0</v>
      </c>
      <c r="K8127" s="19" t="n">
        <v>0</v>
      </c>
      <c r="L8127" s="17"/>
    </row>
    <row r="8128" s="11" customFormat="true" ht="10.95" hidden="false" customHeight="true" outlineLevel="0" collapsed="false">
      <c r="A8128" s="16" t="n">
        <v>45221</v>
      </c>
      <c r="B8128" s="17" t="s">
        <v>3613</v>
      </c>
      <c r="C8128" s="17" t="s">
        <v>3614</v>
      </c>
      <c r="D8128" s="17" t="s">
        <v>1391</v>
      </c>
      <c r="E8128" s="17" t="s">
        <v>3638</v>
      </c>
      <c r="F8128" s="17" t="s">
        <v>3270</v>
      </c>
      <c r="G8128" s="18" t="n">
        <v>0</v>
      </c>
      <c r="H8128" s="18" t="n">
        <v>2905.1</v>
      </c>
      <c r="I8128" s="18" t="n">
        <f aca="false">((I8127 + G8128) - H8128)</f>
        <v>-36224.39</v>
      </c>
      <c r="J8128" s="18" t="n">
        <v>0</v>
      </c>
      <c r="K8128" s="19" t="n">
        <v>0</v>
      </c>
      <c r="L8128" s="17"/>
    </row>
    <row r="8129" s="11" customFormat="true" ht="10.95" hidden="false" customHeight="true" outlineLevel="0" collapsed="false">
      <c r="A8129" s="16" t="n">
        <v>45221</v>
      </c>
      <c r="B8129" s="17" t="s">
        <v>3613</v>
      </c>
      <c r="C8129" s="17" t="s">
        <v>3614</v>
      </c>
      <c r="D8129" s="17" t="s">
        <v>1391</v>
      </c>
      <c r="E8129" s="17" t="s">
        <v>1536</v>
      </c>
      <c r="F8129" s="17" t="s">
        <v>2357</v>
      </c>
      <c r="G8129" s="18" t="n">
        <v>0</v>
      </c>
      <c r="H8129" s="18" t="n">
        <v>296.21</v>
      </c>
      <c r="I8129" s="18" t="n">
        <f aca="false">((I8128 + G8129) - H8129)</f>
        <v>-36520.6</v>
      </c>
      <c r="J8129" s="18" t="n">
        <v>0</v>
      </c>
      <c r="K8129" s="19" t="n">
        <v>0</v>
      </c>
      <c r="L8129" s="17"/>
    </row>
    <row r="8130" s="11" customFormat="true" ht="10.95" hidden="false" customHeight="true" outlineLevel="0" collapsed="false">
      <c r="A8130" s="16" t="n">
        <v>45223</v>
      </c>
      <c r="B8130" s="17" t="s">
        <v>3613</v>
      </c>
      <c r="C8130" s="17" t="s">
        <v>3614</v>
      </c>
      <c r="D8130" s="17" t="s">
        <v>2903</v>
      </c>
      <c r="E8130" s="17" t="s">
        <v>3644</v>
      </c>
      <c r="F8130" s="17" t="s">
        <v>2340</v>
      </c>
      <c r="G8130" s="18" t="n">
        <v>9.02</v>
      </c>
      <c r="H8130" s="18" t="n">
        <v>0</v>
      </c>
      <c r="I8130" s="18" t="n">
        <f aca="false">((I8129 + G8130) - H8130)</f>
        <v>-36511.58</v>
      </c>
      <c r="J8130" s="18" t="n">
        <v>0</v>
      </c>
      <c r="K8130" s="19" t="n">
        <v>0</v>
      </c>
      <c r="L8130" s="17"/>
    </row>
    <row r="8131" s="11" customFormat="true" ht="10.95" hidden="false" customHeight="true" outlineLevel="0" collapsed="false">
      <c r="A8131" s="16" t="n">
        <v>45223</v>
      </c>
      <c r="B8131" s="17" t="s">
        <v>3613</v>
      </c>
      <c r="C8131" s="17" t="s">
        <v>3614</v>
      </c>
      <c r="D8131" s="17" t="s">
        <v>2903</v>
      </c>
      <c r="E8131" s="17" t="s">
        <v>3644</v>
      </c>
      <c r="F8131" s="17" t="s">
        <v>2338</v>
      </c>
      <c r="G8131" s="18" t="n">
        <v>24.2</v>
      </c>
      <c r="H8131" s="18" t="n">
        <v>0</v>
      </c>
      <c r="I8131" s="18" t="n">
        <f aca="false">((I8130 + G8131) - H8131)</f>
        <v>-36487.38</v>
      </c>
      <c r="J8131" s="18" t="n">
        <v>0</v>
      </c>
      <c r="K8131" s="19" t="n">
        <v>0</v>
      </c>
      <c r="L8131" s="17"/>
    </row>
    <row r="8132" s="11" customFormat="true" ht="10.95" hidden="false" customHeight="true" outlineLevel="0" collapsed="false">
      <c r="A8132" s="16" t="n">
        <v>45223</v>
      </c>
      <c r="B8132" s="17" t="s">
        <v>3613</v>
      </c>
      <c r="C8132" s="17" t="s">
        <v>3614</v>
      </c>
      <c r="D8132" s="17" t="s">
        <v>2903</v>
      </c>
      <c r="E8132" s="17" t="s">
        <v>3644</v>
      </c>
      <c r="F8132" s="17" t="s">
        <v>2352</v>
      </c>
      <c r="G8132" s="18" t="n">
        <v>33.22</v>
      </c>
      <c r="H8132" s="18" t="n">
        <v>0</v>
      </c>
      <c r="I8132" s="18" t="n">
        <f aca="false">((I8131 + G8132) - H8132)</f>
        <v>-36454.16</v>
      </c>
      <c r="J8132" s="18" t="n">
        <v>0</v>
      </c>
      <c r="K8132" s="19" t="n">
        <v>0</v>
      </c>
      <c r="L8132" s="17"/>
    </row>
    <row r="8133" s="11" customFormat="true" ht="10.95" hidden="false" customHeight="true" outlineLevel="0" collapsed="false">
      <c r="A8133" s="16" t="n">
        <v>45223</v>
      </c>
      <c r="B8133" s="17" t="s">
        <v>3613</v>
      </c>
      <c r="C8133" s="17" t="s">
        <v>3614</v>
      </c>
      <c r="D8133" s="17" t="s">
        <v>2903</v>
      </c>
      <c r="E8133" s="17" t="s">
        <v>3644</v>
      </c>
      <c r="F8133" s="17" t="s">
        <v>2350</v>
      </c>
      <c r="G8133" s="18" t="n">
        <v>45.32</v>
      </c>
      <c r="H8133" s="18" t="n">
        <v>0</v>
      </c>
      <c r="I8133" s="18" t="n">
        <f aca="false">((I8132 + G8133) - H8133)</f>
        <v>-36408.84</v>
      </c>
      <c r="J8133" s="18" t="n">
        <v>0</v>
      </c>
      <c r="K8133" s="19" t="n">
        <v>0</v>
      </c>
      <c r="L8133" s="17"/>
    </row>
    <row r="8134" s="11" customFormat="true" ht="10.95" hidden="false" customHeight="true" outlineLevel="0" collapsed="false">
      <c r="A8134" s="16" t="n">
        <v>45223</v>
      </c>
      <c r="B8134" s="17" t="s">
        <v>3613</v>
      </c>
      <c r="C8134" s="17" t="s">
        <v>3614</v>
      </c>
      <c r="D8134" s="17" t="s">
        <v>2903</v>
      </c>
      <c r="E8134" s="17" t="s">
        <v>3644</v>
      </c>
      <c r="F8134" s="17" t="s">
        <v>2344</v>
      </c>
      <c r="G8134" s="18" t="n">
        <v>60.5</v>
      </c>
      <c r="H8134" s="18" t="n">
        <v>0</v>
      </c>
      <c r="I8134" s="18" t="n">
        <f aca="false">((I8133 + G8134) - H8134)</f>
        <v>-36348.34</v>
      </c>
      <c r="J8134" s="18" t="n">
        <v>0</v>
      </c>
      <c r="K8134" s="19" t="n">
        <v>0</v>
      </c>
      <c r="L8134" s="17"/>
    </row>
    <row r="8135" s="11" customFormat="true" ht="10.95" hidden="false" customHeight="true" outlineLevel="0" collapsed="false">
      <c r="A8135" s="16" t="n">
        <v>45223</v>
      </c>
      <c r="B8135" s="17" t="s">
        <v>3613</v>
      </c>
      <c r="C8135" s="17" t="s">
        <v>3614</v>
      </c>
      <c r="D8135" s="17" t="s">
        <v>2903</v>
      </c>
      <c r="E8135" s="17" t="s">
        <v>3644</v>
      </c>
      <c r="F8135" s="17" t="s">
        <v>2342</v>
      </c>
      <c r="G8135" s="18" t="n">
        <v>68.2</v>
      </c>
      <c r="H8135" s="18" t="n">
        <v>0</v>
      </c>
      <c r="I8135" s="18" t="n">
        <f aca="false">((I8134 + G8135) - H8135)</f>
        <v>-36280.14</v>
      </c>
      <c r="J8135" s="18" t="n">
        <v>0</v>
      </c>
      <c r="K8135" s="19" t="n">
        <v>0</v>
      </c>
      <c r="L8135" s="17"/>
    </row>
    <row r="8136" s="11" customFormat="true" ht="10.95" hidden="false" customHeight="true" outlineLevel="0" collapsed="false">
      <c r="A8136" s="16" t="n">
        <v>45223</v>
      </c>
      <c r="B8136" s="17" t="s">
        <v>3613</v>
      </c>
      <c r="C8136" s="17" t="s">
        <v>3614</v>
      </c>
      <c r="D8136" s="17" t="s">
        <v>2903</v>
      </c>
      <c r="E8136" s="17" t="s">
        <v>3644</v>
      </c>
      <c r="F8136" s="17" t="s">
        <v>2348</v>
      </c>
      <c r="G8136" s="18" t="n">
        <v>76.56</v>
      </c>
      <c r="H8136" s="18" t="n">
        <v>0</v>
      </c>
      <c r="I8136" s="18" t="n">
        <f aca="false">((I8135 + G8136) - H8136)</f>
        <v>-36203.58</v>
      </c>
      <c r="J8136" s="18" t="n">
        <v>0</v>
      </c>
      <c r="K8136" s="19" t="n">
        <v>0</v>
      </c>
      <c r="L8136" s="17"/>
    </row>
    <row r="8137" s="11" customFormat="true" ht="10.95" hidden="false" customHeight="true" outlineLevel="0" collapsed="false">
      <c r="A8137" s="16" t="n">
        <v>45223</v>
      </c>
      <c r="B8137" s="17" t="s">
        <v>3613</v>
      </c>
      <c r="C8137" s="17" t="s">
        <v>3614</v>
      </c>
      <c r="D8137" s="17" t="s">
        <v>2903</v>
      </c>
      <c r="E8137" s="17" t="s">
        <v>3644</v>
      </c>
      <c r="F8137" s="17" t="s">
        <v>2346</v>
      </c>
      <c r="G8137" s="18" t="n">
        <v>219.78</v>
      </c>
      <c r="H8137" s="18" t="n">
        <v>0</v>
      </c>
      <c r="I8137" s="18" t="n">
        <f aca="false">((I8136 + G8137) - H8137)</f>
        <v>-35983.8</v>
      </c>
      <c r="J8137" s="18" t="n">
        <v>0</v>
      </c>
      <c r="K8137" s="19" t="n">
        <v>0</v>
      </c>
      <c r="L8137" s="17"/>
    </row>
    <row r="8138" s="11" customFormat="true" ht="10.95" hidden="false" customHeight="true" outlineLevel="0" collapsed="false">
      <c r="A8138" s="16" t="n">
        <v>45223</v>
      </c>
      <c r="B8138" s="17" t="s">
        <v>3613</v>
      </c>
      <c r="C8138" s="17" t="s">
        <v>3614</v>
      </c>
      <c r="D8138" s="17" t="s">
        <v>2903</v>
      </c>
      <c r="E8138" s="17" t="s">
        <v>3671</v>
      </c>
      <c r="F8138" s="17" t="s">
        <v>2355</v>
      </c>
      <c r="G8138" s="18" t="n">
        <v>97</v>
      </c>
      <c r="H8138" s="18" t="n">
        <v>0</v>
      </c>
      <c r="I8138" s="18" t="n">
        <f aca="false">((I8137 + G8138) - H8138)</f>
        <v>-35886.8</v>
      </c>
      <c r="J8138" s="18" t="n">
        <v>0</v>
      </c>
      <c r="K8138" s="19" t="n">
        <v>0</v>
      </c>
      <c r="L8138" s="17"/>
    </row>
    <row r="8139" s="11" customFormat="true" ht="10.95" hidden="false" customHeight="true" outlineLevel="0" collapsed="false">
      <c r="A8139" s="16" t="n">
        <v>45223</v>
      </c>
      <c r="B8139" s="17" t="s">
        <v>3613</v>
      </c>
      <c r="C8139" s="17" t="s">
        <v>3614</v>
      </c>
      <c r="D8139" s="17" t="s">
        <v>2903</v>
      </c>
      <c r="E8139" s="17" t="s">
        <v>2980</v>
      </c>
      <c r="F8139" s="17" t="s">
        <v>2357</v>
      </c>
      <c r="G8139" s="18" t="n">
        <v>296.21</v>
      </c>
      <c r="H8139" s="18" t="n">
        <v>0</v>
      </c>
      <c r="I8139" s="18" t="n">
        <f aca="false">((I8138 + G8139) - H8139)</f>
        <v>-35590.59</v>
      </c>
      <c r="J8139" s="18" t="n">
        <v>0</v>
      </c>
      <c r="K8139" s="19" t="n">
        <v>0</v>
      </c>
      <c r="L8139" s="17"/>
    </row>
    <row r="8140" s="11" customFormat="true" ht="10.95" hidden="false" customHeight="true" outlineLevel="0" collapsed="false">
      <c r="A8140" s="16" t="n">
        <v>45225</v>
      </c>
      <c r="B8140" s="17" t="s">
        <v>3613</v>
      </c>
      <c r="C8140" s="17" t="s">
        <v>3614</v>
      </c>
      <c r="D8140" s="17" t="s">
        <v>1391</v>
      </c>
      <c r="E8140" s="17" t="s">
        <v>3673</v>
      </c>
      <c r="F8140" s="17" t="s">
        <v>3193</v>
      </c>
      <c r="G8140" s="18" t="n">
        <v>0</v>
      </c>
      <c r="H8140" s="18" t="n">
        <v>8970.2</v>
      </c>
      <c r="I8140" s="18" t="n">
        <f aca="false">((I8139 + G8140) - H8140)</f>
        <v>-44560.79</v>
      </c>
      <c r="J8140" s="18" t="n">
        <v>0</v>
      </c>
      <c r="K8140" s="19" t="n">
        <v>0</v>
      </c>
      <c r="L8140" s="17"/>
    </row>
    <row r="8141" s="11" customFormat="true" ht="10.95" hidden="false" customHeight="true" outlineLevel="0" collapsed="false">
      <c r="A8141" s="16" t="n">
        <v>45225</v>
      </c>
      <c r="B8141" s="17" t="s">
        <v>3613</v>
      </c>
      <c r="C8141" s="17" t="s">
        <v>3614</v>
      </c>
      <c r="D8141" s="17" t="s">
        <v>1391</v>
      </c>
      <c r="E8141" s="17" t="s">
        <v>3673</v>
      </c>
      <c r="F8141" s="17" t="s">
        <v>3195</v>
      </c>
      <c r="G8141" s="18" t="n">
        <v>0</v>
      </c>
      <c r="H8141" s="18" t="n">
        <v>5010.29</v>
      </c>
      <c r="I8141" s="18" t="n">
        <f aca="false">((I8140 + G8141) - H8141)</f>
        <v>-49571.08</v>
      </c>
      <c r="J8141" s="18" t="n">
        <v>0</v>
      </c>
      <c r="K8141" s="19" t="n">
        <v>0</v>
      </c>
      <c r="L8141" s="17"/>
    </row>
    <row r="8142" s="11" customFormat="true" ht="10.95" hidden="false" customHeight="true" outlineLevel="0" collapsed="false">
      <c r="A8142" s="16" t="n">
        <v>45226</v>
      </c>
      <c r="B8142" s="17" t="s">
        <v>3613</v>
      </c>
      <c r="C8142" s="17" t="s">
        <v>3614</v>
      </c>
      <c r="D8142" s="17" t="s">
        <v>1391</v>
      </c>
      <c r="E8142" s="17" t="s">
        <v>3685</v>
      </c>
      <c r="F8142" s="17" t="s">
        <v>2362</v>
      </c>
      <c r="G8142" s="18" t="n">
        <v>0</v>
      </c>
      <c r="H8142" s="18" t="n">
        <v>244.54</v>
      </c>
      <c r="I8142" s="18" t="n">
        <f aca="false">((I8141 + G8142) - H8142)</f>
        <v>-49815.62</v>
      </c>
      <c r="J8142" s="18" t="n">
        <v>0</v>
      </c>
      <c r="K8142" s="19" t="n">
        <v>0</v>
      </c>
      <c r="L8142" s="17"/>
    </row>
    <row r="8143" s="11" customFormat="true" ht="10.95" hidden="false" customHeight="true" outlineLevel="0" collapsed="false">
      <c r="A8143" s="16" t="n">
        <v>45230</v>
      </c>
      <c r="B8143" s="17" t="s">
        <v>3613</v>
      </c>
      <c r="C8143" s="17" t="s">
        <v>3614</v>
      </c>
      <c r="D8143" s="17" t="s">
        <v>1391</v>
      </c>
      <c r="E8143" s="17" t="s">
        <v>3633</v>
      </c>
      <c r="F8143" s="17" t="s">
        <v>2364</v>
      </c>
      <c r="G8143" s="18" t="n">
        <v>0</v>
      </c>
      <c r="H8143" s="18" t="n">
        <v>471.36</v>
      </c>
      <c r="I8143" s="18" t="n">
        <f aca="false">((I8142 + G8143) - H8143)</f>
        <v>-50286.98</v>
      </c>
      <c r="J8143" s="18" t="n">
        <v>0</v>
      </c>
      <c r="K8143" s="19" t="n">
        <v>0</v>
      </c>
      <c r="L8143" s="17"/>
    </row>
    <row r="8144" s="11" customFormat="true" ht="10.95" hidden="false" customHeight="true" outlineLevel="0" collapsed="false">
      <c r="A8144" s="16" t="n">
        <v>45230</v>
      </c>
      <c r="B8144" s="17" t="s">
        <v>3613</v>
      </c>
      <c r="C8144" s="17" t="s">
        <v>3614</v>
      </c>
      <c r="D8144" s="17" t="s">
        <v>1391</v>
      </c>
      <c r="E8144" s="17" t="s">
        <v>3670</v>
      </c>
      <c r="F8144" s="17" t="s">
        <v>3366</v>
      </c>
      <c r="G8144" s="18" t="n">
        <v>0</v>
      </c>
      <c r="H8144" s="18" t="n">
        <v>150</v>
      </c>
      <c r="I8144" s="18" t="n">
        <f aca="false">((I8143 + G8144) - H8144)</f>
        <v>-50436.98</v>
      </c>
      <c r="J8144" s="18" t="n">
        <v>0</v>
      </c>
      <c r="K8144" s="19" t="n">
        <v>0</v>
      </c>
      <c r="L8144" s="17"/>
    </row>
    <row r="8145" s="11" customFormat="true" ht="10.95" hidden="false" customHeight="true" outlineLevel="0" collapsed="false">
      <c r="A8145" s="16" t="n">
        <v>45230</v>
      </c>
      <c r="B8145" s="17" t="s">
        <v>3613</v>
      </c>
      <c r="C8145" s="17" t="s">
        <v>3614</v>
      </c>
      <c r="D8145" s="17" t="s">
        <v>2903</v>
      </c>
      <c r="E8145" s="17" t="s">
        <v>3672</v>
      </c>
      <c r="F8145" s="17" t="s">
        <v>3366</v>
      </c>
      <c r="G8145" s="18" t="n">
        <v>150</v>
      </c>
      <c r="H8145" s="18" t="n">
        <v>0</v>
      </c>
      <c r="I8145" s="18" t="n">
        <f aca="false">((I8144 + G8145) - H8145)</f>
        <v>-50286.98</v>
      </c>
      <c r="J8145" s="18" t="n">
        <v>0</v>
      </c>
      <c r="K8145" s="19" t="n">
        <v>0</v>
      </c>
      <c r="L8145" s="17"/>
    </row>
    <row r="8146" s="11" customFormat="true" ht="10.95" hidden="false" customHeight="true" outlineLevel="0" collapsed="false">
      <c r="A8146" s="16" t="n">
        <v>45230</v>
      </c>
      <c r="B8146" s="17" t="s">
        <v>3613</v>
      </c>
      <c r="C8146" s="17" t="s">
        <v>3614</v>
      </c>
      <c r="D8146" s="17" t="s">
        <v>2903</v>
      </c>
      <c r="E8146" s="17" t="s">
        <v>3648</v>
      </c>
      <c r="F8146" s="17" t="s">
        <v>2654</v>
      </c>
      <c r="G8146" s="18" t="n">
        <v>223.21</v>
      </c>
      <c r="H8146" s="18" t="n">
        <v>0</v>
      </c>
      <c r="I8146" s="18" t="n">
        <f aca="false">((I8145 + G8146) - H8146)</f>
        <v>-50063.77</v>
      </c>
      <c r="J8146" s="18" t="n">
        <v>0</v>
      </c>
      <c r="K8146" s="19" t="n">
        <v>0</v>
      </c>
      <c r="L8146" s="17"/>
    </row>
    <row r="8147" s="11" customFormat="true" ht="10.95" hidden="false" customHeight="true" outlineLevel="0" collapsed="false">
      <c r="A8147" s="16" t="n">
        <v>45230</v>
      </c>
      <c r="B8147" s="17" t="s">
        <v>3613</v>
      </c>
      <c r="C8147" s="17" t="s">
        <v>3614</v>
      </c>
      <c r="D8147" s="17" t="s">
        <v>2903</v>
      </c>
      <c r="E8147" s="17" t="s">
        <v>2985</v>
      </c>
      <c r="F8147" s="17" t="s">
        <v>2362</v>
      </c>
      <c r="G8147" s="18" t="n">
        <v>244.54</v>
      </c>
      <c r="H8147" s="18" t="n">
        <v>0</v>
      </c>
      <c r="I8147" s="18" t="n">
        <f aca="false">((I8146 + G8147) - H8147)</f>
        <v>-49819.23</v>
      </c>
      <c r="J8147" s="18" t="n">
        <v>0</v>
      </c>
      <c r="K8147" s="19" t="n">
        <v>0</v>
      </c>
      <c r="L8147" s="17"/>
    </row>
    <row r="8148" s="11" customFormat="true" ht="10.95" hidden="false" customHeight="true" outlineLevel="0" collapsed="false">
      <c r="A8148" s="16" t="n">
        <v>45230</v>
      </c>
      <c r="B8148" s="17" t="s">
        <v>3613</v>
      </c>
      <c r="C8148" s="17" t="s">
        <v>3614</v>
      </c>
      <c r="D8148" s="17" t="s">
        <v>1391</v>
      </c>
      <c r="E8148" s="17" t="s">
        <v>3627</v>
      </c>
      <c r="F8148" s="17" t="s">
        <v>1457</v>
      </c>
      <c r="G8148" s="18" t="n">
        <v>0</v>
      </c>
      <c r="H8148" s="18" t="n">
        <v>3945.28</v>
      </c>
      <c r="I8148" s="18" t="n">
        <f aca="false">((I8147 + G8148) - H8148)</f>
        <v>-53764.51</v>
      </c>
      <c r="J8148" s="18" t="n">
        <v>0</v>
      </c>
      <c r="K8148" s="19" t="n">
        <v>0</v>
      </c>
      <c r="L8148" s="17"/>
    </row>
    <row r="8149" s="11" customFormat="true" ht="10.95" hidden="false" customHeight="true" outlineLevel="0" collapsed="false">
      <c r="A8149" s="16" t="n">
        <v>45230</v>
      </c>
      <c r="B8149" s="17" t="s">
        <v>3613</v>
      </c>
      <c r="C8149" s="17" t="s">
        <v>3614</v>
      </c>
      <c r="D8149" s="17" t="s">
        <v>1391</v>
      </c>
      <c r="E8149" s="17" t="s">
        <v>3647</v>
      </c>
      <c r="F8149" s="17" t="s">
        <v>1459</v>
      </c>
      <c r="G8149" s="18" t="n">
        <v>0</v>
      </c>
      <c r="H8149" s="18" t="n">
        <v>4952.01</v>
      </c>
      <c r="I8149" s="18" t="n">
        <f aca="false">((I8148 + G8149) - H8149)</f>
        <v>-58716.52</v>
      </c>
      <c r="J8149" s="18" t="n">
        <v>0</v>
      </c>
      <c r="K8149" s="19" t="n">
        <v>0</v>
      </c>
      <c r="L8149" s="17"/>
    </row>
    <row r="8150" s="11" customFormat="true" ht="10.95" hidden="false" customHeight="true" outlineLevel="0" collapsed="false">
      <c r="A8150" s="16" t="n">
        <v>45230</v>
      </c>
      <c r="B8150" s="17" t="s">
        <v>3613</v>
      </c>
      <c r="C8150" s="17" t="s">
        <v>3614</v>
      </c>
      <c r="D8150" s="17" t="s">
        <v>1391</v>
      </c>
      <c r="E8150" s="17" t="s">
        <v>3681</v>
      </c>
      <c r="F8150" s="17" t="s">
        <v>1619</v>
      </c>
      <c r="G8150" s="18" t="n">
        <v>0</v>
      </c>
      <c r="H8150" s="18" t="n">
        <v>1335.52</v>
      </c>
      <c r="I8150" s="18" t="n">
        <f aca="false">((I8149 + G8150) - H8150)</f>
        <v>-60052.04</v>
      </c>
      <c r="J8150" s="18" t="n">
        <v>0</v>
      </c>
      <c r="K8150" s="19" t="n">
        <v>0</v>
      </c>
      <c r="L8150" s="17"/>
    </row>
    <row r="8151" s="11" customFormat="true" ht="10.95" hidden="false" customHeight="true" outlineLevel="0" collapsed="false">
      <c r="A8151" s="16" t="n">
        <v>45231</v>
      </c>
      <c r="B8151" s="17" t="s">
        <v>3613</v>
      </c>
      <c r="C8151" s="17" t="s">
        <v>3614</v>
      </c>
      <c r="D8151" s="17" t="s">
        <v>2903</v>
      </c>
      <c r="E8151" s="17" t="s">
        <v>3616</v>
      </c>
      <c r="F8151" s="17" t="s">
        <v>3270</v>
      </c>
      <c r="G8151" s="18" t="n">
        <v>2905.1</v>
      </c>
      <c r="H8151" s="18" t="n">
        <v>0</v>
      </c>
      <c r="I8151" s="18" t="n">
        <f aca="false">((I8150 + G8151) - H8151)</f>
        <v>-57146.94</v>
      </c>
      <c r="J8151" s="18" t="n">
        <v>0</v>
      </c>
      <c r="K8151" s="19" t="n">
        <v>0</v>
      </c>
      <c r="L8151" s="17"/>
    </row>
    <row r="8152" s="11" customFormat="true" ht="10.95" hidden="false" customHeight="true" outlineLevel="0" collapsed="false">
      <c r="A8152" s="16" t="n">
        <v>45231</v>
      </c>
      <c r="B8152" s="17" t="s">
        <v>3613</v>
      </c>
      <c r="C8152" s="17" t="s">
        <v>3614</v>
      </c>
      <c r="D8152" s="17" t="s">
        <v>2903</v>
      </c>
      <c r="E8152" s="17" t="s">
        <v>3645</v>
      </c>
      <c r="F8152" s="17" t="s">
        <v>1448</v>
      </c>
      <c r="G8152" s="18" t="n">
        <v>538.76</v>
      </c>
      <c r="H8152" s="18" t="n">
        <v>0</v>
      </c>
      <c r="I8152" s="18" t="n">
        <f aca="false">((I8151 + G8152) - H8152)</f>
        <v>-56608.18</v>
      </c>
      <c r="J8152" s="18" t="n">
        <v>0</v>
      </c>
      <c r="K8152" s="19" t="n">
        <v>0</v>
      </c>
      <c r="L8152" s="17"/>
    </row>
    <row r="8153" s="11" customFormat="true" ht="10.95" hidden="false" customHeight="true" outlineLevel="0" collapsed="false">
      <c r="A8153" s="16" t="n">
        <v>45231</v>
      </c>
      <c r="B8153" s="17" t="s">
        <v>3613</v>
      </c>
      <c r="C8153" s="17" t="s">
        <v>3614</v>
      </c>
      <c r="D8153" s="17" t="s">
        <v>2903</v>
      </c>
      <c r="E8153" s="17" t="s">
        <v>3645</v>
      </c>
      <c r="F8153" s="17" t="s">
        <v>1450</v>
      </c>
      <c r="G8153" s="18" t="n">
        <v>17914.78</v>
      </c>
      <c r="H8153" s="18" t="n">
        <v>0</v>
      </c>
      <c r="I8153" s="18" t="n">
        <f aca="false">((I8152 + G8153) - H8153)</f>
        <v>-38693.4</v>
      </c>
      <c r="J8153" s="18" t="n">
        <v>0</v>
      </c>
      <c r="K8153" s="19" t="n">
        <v>0</v>
      </c>
      <c r="L8153" s="17"/>
    </row>
    <row r="8154" s="11" customFormat="true" ht="10.95" hidden="false" customHeight="true" outlineLevel="0" collapsed="false">
      <c r="A8154" s="16" t="n">
        <v>45231</v>
      </c>
      <c r="B8154" s="17" t="s">
        <v>3613</v>
      </c>
      <c r="C8154" s="17" t="s">
        <v>3614</v>
      </c>
      <c r="D8154" s="17" t="s">
        <v>2903</v>
      </c>
      <c r="E8154" s="17" t="s">
        <v>3645</v>
      </c>
      <c r="F8154" s="17" t="s">
        <v>1452</v>
      </c>
      <c r="G8154" s="18" t="n">
        <v>1996.5</v>
      </c>
      <c r="H8154" s="18" t="n">
        <v>0</v>
      </c>
      <c r="I8154" s="18" t="n">
        <f aca="false">((I8153 + G8154) - H8154)</f>
        <v>-36696.9</v>
      </c>
      <c r="J8154" s="18" t="n">
        <v>0</v>
      </c>
      <c r="K8154" s="19" t="n">
        <v>0</v>
      </c>
      <c r="L8154" s="17"/>
    </row>
    <row r="8155" s="11" customFormat="true" ht="10.95" hidden="false" customHeight="true" outlineLevel="0" collapsed="false">
      <c r="A8155" s="16" t="n">
        <v>45231</v>
      </c>
      <c r="B8155" s="17" t="s">
        <v>3613</v>
      </c>
      <c r="C8155" s="17" t="s">
        <v>3614</v>
      </c>
      <c r="D8155" s="17" t="s">
        <v>2903</v>
      </c>
      <c r="E8155" s="17" t="s">
        <v>3679</v>
      </c>
      <c r="F8155" s="17" t="s">
        <v>2043</v>
      </c>
      <c r="G8155" s="18" t="n">
        <v>6648.73</v>
      </c>
      <c r="H8155" s="18" t="n">
        <v>0</v>
      </c>
      <c r="I8155" s="18" t="n">
        <f aca="false">((I8154 + G8155) - H8155)</f>
        <v>-30048.17</v>
      </c>
      <c r="J8155" s="18" t="n">
        <v>0</v>
      </c>
      <c r="K8155" s="19" t="n">
        <v>0</v>
      </c>
      <c r="L8155" s="17"/>
    </row>
    <row r="8156" s="11" customFormat="true" ht="10.95" hidden="false" customHeight="true" outlineLevel="0" collapsed="false">
      <c r="A8156" s="16" t="n">
        <v>45231</v>
      </c>
      <c r="B8156" s="17" t="s">
        <v>3613</v>
      </c>
      <c r="C8156" s="17" t="s">
        <v>3614</v>
      </c>
      <c r="D8156" s="17" t="s">
        <v>1391</v>
      </c>
      <c r="E8156" s="17" t="s">
        <v>3615</v>
      </c>
      <c r="F8156" s="17" t="s">
        <v>1461</v>
      </c>
      <c r="G8156" s="18" t="n">
        <v>0</v>
      </c>
      <c r="H8156" s="18" t="n">
        <v>538.76</v>
      </c>
      <c r="I8156" s="18" t="n">
        <f aca="false">((I8155 + G8156) - H8156)</f>
        <v>-30586.93</v>
      </c>
      <c r="J8156" s="18" t="n">
        <v>0</v>
      </c>
      <c r="K8156" s="19" t="n">
        <v>0</v>
      </c>
      <c r="L8156" s="17"/>
    </row>
    <row r="8157" s="11" customFormat="true" ht="10.95" hidden="false" customHeight="true" outlineLevel="0" collapsed="false">
      <c r="A8157" s="16" t="n">
        <v>45231</v>
      </c>
      <c r="B8157" s="17" t="s">
        <v>3613</v>
      </c>
      <c r="C8157" s="17" t="s">
        <v>3614</v>
      </c>
      <c r="D8157" s="17" t="s">
        <v>1391</v>
      </c>
      <c r="E8157" s="17" t="s">
        <v>3650</v>
      </c>
      <c r="F8157" s="17" t="s">
        <v>2366</v>
      </c>
      <c r="G8157" s="18" t="n">
        <v>0</v>
      </c>
      <c r="H8157" s="18" t="n">
        <v>152.15</v>
      </c>
      <c r="I8157" s="18" t="n">
        <f aca="false">((I8156 + G8157) - H8157)</f>
        <v>-30739.08</v>
      </c>
      <c r="J8157" s="18" t="n">
        <v>0</v>
      </c>
      <c r="K8157" s="19" t="n">
        <v>0</v>
      </c>
      <c r="L8157" s="17"/>
    </row>
    <row r="8158" s="11" customFormat="true" ht="10.95" hidden="false" customHeight="true" outlineLevel="0" collapsed="false">
      <c r="A8158" s="16" t="n">
        <v>45231</v>
      </c>
      <c r="B8158" s="17" t="s">
        <v>3613</v>
      </c>
      <c r="C8158" s="17" t="s">
        <v>3614</v>
      </c>
      <c r="D8158" s="17" t="s">
        <v>1391</v>
      </c>
      <c r="E8158" s="17" t="s">
        <v>3650</v>
      </c>
      <c r="F8158" s="17"/>
      <c r="G8158" s="18" t="n">
        <v>0</v>
      </c>
      <c r="H8158" s="18" t="n">
        <v>248</v>
      </c>
      <c r="I8158" s="18" t="n">
        <f aca="false">((I8157 + G8158) - H8158)</f>
        <v>-30987.08</v>
      </c>
      <c r="J8158" s="18" t="n">
        <v>0</v>
      </c>
      <c r="K8158" s="19" t="n">
        <v>0</v>
      </c>
      <c r="L8158" s="17"/>
    </row>
    <row r="8159" s="11" customFormat="true" ht="10.95" hidden="false" customHeight="true" outlineLevel="0" collapsed="false">
      <c r="A8159" s="16" t="n">
        <v>45231</v>
      </c>
      <c r="B8159" s="17" t="s">
        <v>3613</v>
      </c>
      <c r="C8159" s="17" t="s">
        <v>3614</v>
      </c>
      <c r="D8159" s="17" t="s">
        <v>1391</v>
      </c>
      <c r="E8159" s="17" t="s">
        <v>3681</v>
      </c>
      <c r="F8159" s="17" t="s">
        <v>1620</v>
      </c>
      <c r="G8159" s="18" t="n">
        <v>0</v>
      </c>
      <c r="H8159" s="18" t="n">
        <v>249.14</v>
      </c>
      <c r="I8159" s="18" t="n">
        <f aca="false">((I8158 + G8159) - H8159)</f>
        <v>-31236.22</v>
      </c>
      <c r="J8159" s="18" t="n">
        <v>0</v>
      </c>
      <c r="K8159" s="19" t="n">
        <v>0</v>
      </c>
      <c r="L8159" s="17"/>
    </row>
    <row r="8160" s="11" customFormat="true" ht="10.95" hidden="false" customHeight="true" outlineLevel="0" collapsed="false">
      <c r="A8160" s="16" t="n">
        <v>45232</v>
      </c>
      <c r="B8160" s="17" t="s">
        <v>3613</v>
      </c>
      <c r="C8160" s="17" t="s">
        <v>3614</v>
      </c>
      <c r="D8160" s="17" t="s">
        <v>2903</v>
      </c>
      <c r="E8160" s="17" t="s">
        <v>3637</v>
      </c>
      <c r="F8160" s="17" t="s">
        <v>2651</v>
      </c>
      <c r="G8160" s="18" t="n">
        <v>104.95</v>
      </c>
      <c r="H8160" s="18" t="n">
        <v>0</v>
      </c>
      <c r="I8160" s="18" t="n">
        <f aca="false">((I8159 + G8160) - H8160)</f>
        <v>-31131.27</v>
      </c>
      <c r="J8160" s="18" t="n">
        <v>0</v>
      </c>
      <c r="K8160" s="19" t="n">
        <v>0</v>
      </c>
      <c r="L8160" s="17"/>
    </row>
    <row r="8161" s="11" customFormat="true" ht="10.95" hidden="false" customHeight="true" outlineLevel="0" collapsed="false">
      <c r="A8161" s="16" t="n">
        <v>45233</v>
      </c>
      <c r="B8161" s="17" t="s">
        <v>3613</v>
      </c>
      <c r="C8161" s="17" t="s">
        <v>3614</v>
      </c>
      <c r="D8161" s="17" t="s">
        <v>1391</v>
      </c>
      <c r="E8161" s="17" t="s">
        <v>3625</v>
      </c>
      <c r="F8161" s="17" t="s">
        <v>3272</v>
      </c>
      <c r="G8161" s="18" t="n">
        <v>0</v>
      </c>
      <c r="H8161" s="18" t="n">
        <v>1059.2</v>
      </c>
      <c r="I8161" s="18" t="n">
        <f aca="false">((I8160 + G8161) - H8161)</f>
        <v>-32190.47</v>
      </c>
      <c r="J8161" s="18" t="n">
        <v>0</v>
      </c>
      <c r="K8161" s="19" t="n">
        <v>0</v>
      </c>
      <c r="L8161" s="17"/>
    </row>
    <row r="8162" s="11" customFormat="true" ht="10.95" hidden="false" customHeight="true" outlineLevel="0" collapsed="false">
      <c r="A8162" s="16" t="n">
        <v>45234</v>
      </c>
      <c r="B8162" s="17" t="s">
        <v>3613</v>
      </c>
      <c r="C8162" s="17" t="s">
        <v>3614</v>
      </c>
      <c r="D8162" s="17" t="s">
        <v>2903</v>
      </c>
      <c r="E8162" s="17" t="s">
        <v>3652</v>
      </c>
      <c r="F8162" s="17" t="s">
        <v>2366</v>
      </c>
      <c r="G8162" s="18" t="n">
        <v>152.15</v>
      </c>
      <c r="H8162" s="18" t="n">
        <v>0</v>
      </c>
      <c r="I8162" s="18" t="n">
        <f aca="false">((I8161 + G8162) - H8162)</f>
        <v>-32038.32</v>
      </c>
      <c r="J8162" s="18" t="n">
        <v>0</v>
      </c>
      <c r="K8162" s="19" t="n">
        <v>0</v>
      </c>
      <c r="L8162" s="17"/>
    </row>
    <row r="8163" s="11" customFormat="true" ht="10.95" hidden="false" customHeight="true" outlineLevel="0" collapsed="false">
      <c r="A8163" s="16" t="n">
        <v>45234</v>
      </c>
      <c r="B8163" s="17" t="s">
        <v>3613</v>
      </c>
      <c r="C8163" s="17" t="s">
        <v>3614</v>
      </c>
      <c r="D8163" s="17" t="s">
        <v>2903</v>
      </c>
      <c r="E8163" s="17" t="s">
        <v>3652</v>
      </c>
      <c r="F8163" s="17"/>
      <c r="G8163" s="18" t="n">
        <v>248</v>
      </c>
      <c r="H8163" s="18" t="n">
        <v>0</v>
      </c>
      <c r="I8163" s="18" t="n">
        <f aca="false">((I8162 + G8163) - H8163)</f>
        <v>-31790.32</v>
      </c>
      <c r="J8163" s="18" t="n">
        <v>0</v>
      </c>
      <c r="K8163" s="19" t="n">
        <v>0</v>
      </c>
      <c r="L8163" s="17"/>
    </row>
    <row r="8164" s="11" customFormat="true" ht="10.95" hidden="false" customHeight="true" outlineLevel="0" collapsed="false">
      <c r="A8164" s="16" t="n">
        <v>45236</v>
      </c>
      <c r="B8164" s="17" t="s">
        <v>3613</v>
      </c>
      <c r="C8164" s="17" t="s">
        <v>3614</v>
      </c>
      <c r="D8164" s="17" t="s">
        <v>1391</v>
      </c>
      <c r="E8164" s="17" t="s">
        <v>3686</v>
      </c>
      <c r="F8164" s="17" t="s">
        <v>3561</v>
      </c>
      <c r="G8164" s="18" t="n">
        <v>0</v>
      </c>
      <c r="H8164" s="18" t="n">
        <v>382.5</v>
      </c>
      <c r="I8164" s="18" t="n">
        <f aca="false">((I8163 + G8164) - H8164)</f>
        <v>-32172.82</v>
      </c>
      <c r="J8164" s="18" t="n">
        <v>0</v>
      </c>
      <c r="K8164" s="19" t="n">
        <v>0</v>
      </c>
      <c r="L8164" s="17"/>
    </row>
    <row r="8165" s="11" customFormat="true" ht="10.95" hidden="false" customHeight="true" outlineLevel="0" collapsed="false">
      <c r="A8165" s="16" t="n">
        <v>45237</v>
      </c>
      <c r="B8165" s="17" t="s">
        <v>3613</v>
      </c>
      <c r="C8165" s="17" t="s">
        <v>3614</v>
      </c>
      <c r="D8165" s="17" t="s">
        <v>1391</v>
      </c>
      <c r="E8165" s="17" t="s">
        <v>3639</v>
      </c>
      <c r="F8165" s="17" t="s">
        <v>1642</v>
      </c>
      <c r="G8165" s="18" t="n">
        <v>0</v>
      </c>
      <c r="H8165" s="18" t="n">
        <v>40</v>
      </c>
      <c r="I8165" s="18" t="n">
        <f aca="false">((I8164 + G8165) - H8165)</f>
        <v>-32212.82</v>
      </c>
      <c r="J8165" s="18" t="n">
        <v>0</v>
      </c>
      <c r="K8165" s="19" t="n">
        <v>0</v>
      </c>
      <c r="L8165" s="17"/>
    </row>
    <row r="8166" s="11" customFormat="true" ht="10.95" hidden="false" customHeight="true" outlineLevel="0" collapsed="false">
      <c r="A8166" s="16" t="n">
        <v>45237</v>
      </c>
      <c r="B8166" s="17" t="s">
        <v>3613</v>
      </c>
      <c r="C8166" s="17" t="s">
        <v>3614</v>
      </c>
      <c r="D8166" s="17" t="s">
        <v>1391</v>
      </c>
      <c r="E8166" s="17" t="s">
        <v>3615</v>
      </c>
      <c r="F8166" s="17" t="s">
        <v>1463</v>
      </c>
      <c r="G8166" s="18" t="n">
        <v>0</v>
      </c>
      <c r="H8166" s="18" t="n">
        <v>17914.78</v>
      </c>
      <c r="I8166" s="18" t="n">
        <f aca="false">((I8165 + G8166) - H8166)</f>
        <v>-50127.6</v>
      </c>
      <c r="J8166" s="18" t="n">
        <v>0</v>
      </c>
      <c r="K8166" s="19" t="n">
        <v>0</v>
      </c>
      <c r="L8166" s="17"/>
    </row>
    <row r="8167" s="11" customFormat="true" ht="10.95" hidden="false" customHeight="true" outlineLevel="0" collapsed="false">
      <c r="A8167" s="16" t="n">
        <v>45237</v>
      </c>
      <c r="B8167" s="17" t="s">
        <v>3613</v>
      </c>
      <c r="C8167" s="17" t="s">
        <v>3614</v>
      </c>
      <c r="D8167" s="17" t="s">
        <v>2903</v>
      </c>
      <c r="E8167" s="17" t="s">
        <v>2904</v>
      </c>
      <c r="F8167" s="17" t="s">
        <v>1457</v>
      </c>
      <c r="G8167" s="18" t="n">
        <v>3945.28</v>
      </c>
      <c r="H8167" s="18" t="n">
        <v>0</v>
      </c>
      <c r="I8167" s="18" t="n">
        <f aca="false">((I8166 + G8167) - H8167)</f>
        <v>-46182.32</v>
      </c>
      <c r="J8167" s="18" t="n">
        <v>0</v>
      </c>
      <c r="K8167" s="19" t="n">
        <v>0</v>
      </c>
      <c r="L8167" s="17"/>
    </row>
    <row r="8168" s="11" customFormat="true" ht="10.95" hidden="false" customHeight="true" outlineLevel="0" collapsed="false">
      <c r="A8168" s="16" t="n">
        <v>45237</v>
      </c>
      <c r="B8168" s="17" t="s">
        <v>3613</v>
      </c>
      <c r="C8168" s="17" t="s">
        <v>3614</v>
      </c>
      <c r="D8168" s="17" t="s">
        <v>2903</v>
      </c>
      <c r="E8168" s="17" t="s">
        <v>3631</v>
      </c>
      <c r="F8168" s="17" t="s">
        <v>3272</v>
      </c>
      <c r="G8168" s="18" t="n">
        <v>1059.2</v>
      </c>
      <c r="H8168" s="18" t="n">
        <v>0</v>
      </c>
      <c r="I8168" s="18" t="n">
        <f aca="false">((I8167 + G8168) - H8168)</f>
        <v>-45123.12</v>
      </c>
      <c r="J8168" s="18" t="n">
        <v>0</v>
      </c>
      <c r="K8168" s="19" t="n">
        <v>0</v>
      </c>
      <c r="L8168" s="17"/>
    </row>
    <row r="8169" s="11" customFormat="true" ht="10.95" hidden="false" customHeight="true" outlineLevel="0" collapsed="false">
      <c r="A8169" s="16" t="n">
        <v>45237</v>
      </c>
      <c r="B8169" s="17" t="s">
        <v>3613</v>
      </c>
      <c r="C8169" s="17" t="s">
        <v>3614</v>
      </c>
      <c r="D8169" s="17" t="s">
        <v>1391</v>
      </c>
      <c r="E8169" s="17" t="s">
        <v>3666</v>
      </c>
      <c r="F8169" s="17" t="s">
        <v>3588</v>
      </c>
      <c r="G8169" s="18" t="n">
        <v>0</v>
      </c>
      <c r="H8169" s="18" t="n">
        <v>2245.1</v>
      </c>
      <c r="I8169" s="18" t="n">
        <f aca="false">((I8168 + G8169) - H8169)</f>
        <v>-47368.22</v>
      </c>
      <c r="J8169" s="18" t="n">
        <v>0</v>
      </c>
      <c r="K8169" s="19" t="n">
        <v>0</v>
      </c>
      <c r="L8169" s="17"/>
    </row>
    <row r="8170" s="11" customFormat="true" ht="10.95" hidden="false" customHeight="true" outlineLevel="0" collapsed="false">
      <c r="A8170" s="16" t="n">
        <v>45237</v>
      </c>
      <c r="B8170" s="17" t="s">
        <v>3613</v>
      </c>
      <c r="C8170" s="17" t="s">
        <v>3614</v>
      </c>
      <c r="D8170" s="17" t="s">
        <v>1391</v>
      </c>
      <c r="E8170" s="17" t="s">
        <v>3622</v>
      </c>
      <c r="F8170" s="17" t="s">
        <v>1465</v>
      </c>
      <c r="G8170" s="18" t="n">
        <v>0</v>
      </c>
      <c r="H8170" s="18" t="n">
        <v>2425.81</v>
      </c>
      <c r="I8170" s="18" t="n">
        <f aca="false">((I8169 + G8170) - H8170)</f>
        <v>-49794.03</v>
      </c>
      <c r="J8170" s="18" t="n">
        <v>0</v>
      </c>
      <c r="K8170" s="19" t="n">
        <v>0</v>
      </c>
      <c r="L8170" s="17"/>
    </row>
    <row r="8171" s="11" customFormat="true" ht="10.95" hidden="false" customHeight="true" outlineLevel="0" collapsed="false">
      <c r="A8171" s="16" t="n">
        <v>45238</v>
      </c>
      <c r="B8171" s="17" t="s">
        <v>3613</v>
      </c>
      <c r="C8171" s="17" t="s">
        <v>3614</v>
      </c>
      <c r="D8171" s="17" t="s">
        <v>1391</v>
      </c>
      <c r="E8171" s="17" t="s">
        <v>3621</v>
      </c>
      <c r="F8171" s="17" t="s">
        <v>2659</v>
      </c>
      <c r="G8171" s="18" t="n">
        <v>0</v>
      </c>
      <c r="H8171" s="18" t="n">
        <v>104.95</v>
      </c>
      <c r="I8171" s="18" t="n">
        <f aca="false">((I8170 + G8171) - H8171)</f>
        <v>-49898.98</v>
      </c>
      <c r="J8171" s="18" t="n">
        <v>0</v>
      </c>
      <c r="K8171" s="19" t="n">
        <v>0</v>
      </c>
      <c r="L8171" s="17"/>
    </row>
    <row r="8172" s="11" customFormat="true" ht="10.95" hidden="false" customHeight="true" outlineLevel="0" collapsed="false">
      <c r="A8172" s="16" t="n">
        <v>45238</v>
      </c>
      <c r="B8172" s="17" t="s">
        <v>3613</v>
      </c>
      <c r="C8172" s="17" t="s">
        <v>3614</v>
      </c>
      <c r="D8172" s="17" t="s">
        <v>1391</v>
      </c>
      <c r="E8172" s="17" t="s">
        <v>3615</v>
      </c>
      <c r="F8172" s="17" t="s">
        <v>1467</v>
      </c>
      <c r="G8172" s="18" t="n">
        <v>0</v>
      </c>
      <c r="H8172" s="18" t="n">
        <v>1996.5</v>
      </c>
      <c r="I8172" s="18" t="n">
        <f aca="false">((I8171 + G8172) - H8172)</f>
        <v>-51895.48</v>
      </c>
      <c r="J8172" s="18" t="n">
        <v>0</v>
      </c>
      <c r="K8172" s="19" t="n">
        <v>0</v>
      </c>
      <c r="L8172" s="17"/>
    </row>
    <row r="8173" s="11" customFormat="true" ht="10.95" hidden="false" customHeight="true" outlineLevel="0" collapsed="false">
      <c r="A8173" s="16" t="n">
        <v>45238</v>
      </c>
      <c r="B8173" s="17" t="s">
        <v>3613</v>
      </c>
      <c r="C8173" s="17" t="s">
        <v>3614</v>
      </c>
      <c r="D8173" s="17" t="s">
        <v>2903</v>
      </c>
      <c r="E8173" s="17" t="s">
        <v>3640</v>
      </c>
      <c r="F8173" s="17" t="s">
        <v>1642</v>
      </c>
      <c r="G8173" s="18" t="n">
        <v>40</v>
      </c>
      <c r="H8173" s="18" t="n">
        <v>0</v>
      </c>
      <c r="I8173" s="18" t="n">
        <f aca="false">((I8172 + G8173) - H8173)</f>
        <v>-51855.48</v>
      </c>
      <c r="J8173" s="18" t="n">
        <v>0</v>
      </c>
      <c r="K8173" s="19" t="n">
        <v>0</v>
      </c>
      <c r="L8173" s="17"/>
    </row>
    <row r="8174" s="11" customFormat="true" ht="10.95" hidden="false" customHeight="true" outlineLevel="0" collapsed="false">
      <c r="A8174" s="16" t="n">
        <v>45239</v>
      </c>
      <c r="B8174" s="17" t="s">
        <v>3613</v>
      </c>
      <c r="C8174" s="17" t="s">
        <v>3614</v>
      </c>
      <c r="D8174" s="17" t="s">
        <v>1391</v>
      </c>
      <c r="E8174" s="17" t="s">
        <v>3638</v>
      </c>
      <c r="F8174" s="17" t="s">
        <v>3274</v>
      </c>
      <c r="G8174" s="18" t="n">
        <v>0</v>
      </c>
      <c r="H8174" s="18" t="n">
        <v>3063.5</v>
      </c>
      <c r="I8174" s="18" t="n">
        <f aca="false">((I8173 + G8174) - H8174)</f>
        <v>-54918.98</v>
      </c>
      <c r="J8174" s="18" t="n">
        <v>0</v>
      </c>
      <c r="K8174" s="19" t="n">
        <v>0</v>
      </c>
      <c r="L8174" s="17"/>
    </row>
    <row r="8175" s="11" customFormat="true" ht="10.95" hidden="false" customHeight="true" outlineLevel="0" collapsed="false">
      <c r="A8175" s="16" t="n">
        <v>45239</v>
      </c>
      <c r="B8175" s="17" t="s">
        <v>3613</v>
      </c>
      <c r="C8175" s="17" t="s">
        <v>3614</v>
      </c>
      <c r="D8175" s="17" t="s">
        <v>2903</v>
      </c>
      <c r="E8175" s="17" t="s">
        <v>3667</v>
      </c>
      <c r="F8175" s="17" t="s">
        <v>3588</v>
      </c>
      <c r="G8175" s="18" t="n">
        <v>2245.1</v>
      </c>
      <c r="H8175" s="18" t="n">
        <v>0</v>
      </c>
      <c r="I8175" s="18" t="n">
        <f aca="false">((I8174 + G8175) - H8175)</f>
        <v>-52673.88</v>
      </c>
      <c r="J8175" s="18" t="n">
        <v>0</v>
      </c>
      <c r="K8175" s="19" t="n">
        <v>0</v>
      </c>
      <c r="L8175" s="17"/>
    </row>
    <row r="8176" s="11" customFormat="true" ht="10.95" hidden="false" customHeight="true" outlineLevel="0" collapsed="false">
      <c r="A8176" s="16" t="n">
        <v>45239</v>
      </c>
      <c r="B8176" s="17" t="s">
        <v>3613</v>
      </c>
      <c r="C8176" s="17" t="s">
        <v>3614</v>
      </c>
      <c r="D8176" s="17" t="s">
        <v>2903</v>
      </c>
      <c r="E8176" s="17" t="s">
        <v>3687</v>
      </c>
      <c r="F8176" s="17" t="s">
        <v>3561</v>
      </c>
      <c r="G8176" s="18" t="n">
        <v>382.5</v>
      </c>
      <c r="H8176" s="18" t="n">
        <v>0</v>
      </c>
      <c r="I8176" s="18" t="n">
        <f aca="false">((I8175 + G8176) - H8176)</f>
        <v>-52291.38</v>
      </c>
      <c r="J8176" s="18" t="n">
        <v>0</v>
      </c>
      <c r="K8176" s="19" t="n">
        <v>0</v>
      </c>
      <c r="L8176" s="17"/>
    </row>
    <row r="8177" s="11" customFormat="true" ht="10.95" hidden="false" customHeight="true" outlineLevel="0" collapsed="false">
      <c r="A8177" s="16" t="n">
        <v>45240</v>
      </c>
      <c r="B8177" s="17" t="s">
        <v>3613</v>
      </c>
      <c r="C8177" s="17" t="s">
        <v>3614</v>
      </c>
      <c r="D8177" s="17" t="s">
        <v>1391</v>
      </c>
      <c r="E8177" s="17" t="s">
        <v>3666</v>
      </c>
      <c r="F8177" s="17" t="s">
        <v>3590</v>
      </c>
      <c r="G8177" s="18" t="n">
        <v>0</v>
      </c>
      <c r="H8177" s="18" t="n">
        <v>629.2</v>
      </c>
      <c r="I8177" s="18" t="n">
        <f aca="false">((I8176 + G8177) - H8177)</f>
        <v>-52920.58</v>
      </c>
      <c r="J8177" s="18" t="n">
        <v>0</v>
      </c>
      <c r="K8177" s="19" t="n">
        <v>0</v>
      </c>
      <c r="L8177" s="17"/>
    </row>
    <row r="8178" s="11" customFormat="true" ht="10.95" hidden="false" customHeight="true" outlineLevel="0" collapsed="false">
      <c r="A8178" s="16" t="n">
        <v>45244</v>
      </c>
      <c r="B8178" s="17" t="s">
        <v>3613</v>
      </c>
      <c r="C8178" s="17" t="s">
        <v>3614</v>
      </c>
      <c r="D8178" s="17" t="s">
        <v>1391</v>
      </c>
      <c r="E8178" s="17" t="s">
        <v>3641</v>
      </c>
      <c r="F8178" s="17" t="s">
        <v>2664</v>
      </c>
      <c r="G8178" s="18" t="n">
        <v>0</v>
      </c>
      <c r="H8178" s="18" t="n">
        <v>184.37</v>
      </c>
      <c r="I8178" s="18" t="n">
        <f aca="false">((I8177 + G8178) - H8178)</f>
        <v>-53104.95</v>
      </c>
      <c r="J8178" s="18" t="n">
        <v>0</v>
      </c>
      <c r="K8178" s="19" t="n">
        <v>0</v>
      </c>
      <c r="L8178" s="17"/>
    </row>
    <row r="8179" s="11" customFormat="true" ht="10.95" hidden="false" customHeight="true" outlineLevel="0" collapsed="false">
      <c r="A8179" s="16" t="n">
        <v>45244</v>
      </c>
      <c r="B8179" s="17" t="s">
        <v>3613</v>
      </c>
      <c r="C8179" s="17" t="s">
        <v>3614</v>
      </c>
      <c r="D8179" s="17" t="s">
        <v>2903</v>
      </c>
      <c r="E8179" s="17" t="s">
        <v>3643</v>
      </c>
      <c r="F8179" s="17" t="s">
        <v>1465</v>
      </c>
      <c r="G8179" s="18" t="n">
        <v>1310.19</v>
      </c>
      <c r="H8179" s="18" t="n">
        <v>0</v>
      </c>
      <c r="I8179" s="18" t="n">
        <f aca="false">((I8178 + G8179) - H8179)</f>
        <v>-51794.76</v>
      </c>
      <c r="J8179" s="18" t="n">
        <v>0</v>
      </c>
      <c r="K8179" s="19" t="n">
        <v>0</v>
      </c>
      <c r="L8179" s="17"/>
    </row>
    <row r="8180" s="11" customFormat="true" ht="10.95" hidden="false" customHeight="true" outlineLevel="0" collapsed="false">
      <c r="A8180" s="16" t="n">
        <v>45244</v>
      </c>
      <c r="B8180" s="17" t="s">
        <v>3613</v>
      </c>
      <c r="C8180" s="17" t="s">
        <v>3614</v>
      </c>
      <c r="D8180" s="17" t="s">
        <v>2903</v>
      </c>
      <c r="E8180" s="17" t="s">
        <v>3657</v>
      </c>
      <c r="F8180" s="17" t="s">
        <v>1459</v>
      </c>
      <c r="G8180" s="18" t="n">
        <v>4952.01</v>
      </c>
      <c r="H8180" s="18" t="n">
        <v>0</v>
      </c>
      <c r="I8180" s="18" t="n">
        <f aca="false">((I8179 + G8180) - H8180)</f>
        <v>-46842.75</v>
      </c>
      <c r="J8180" s="18" t="n">
        <v>0</v>
      </c>
      <c r="K8180" s="19" t="n">
        <v>0</v>
      </c>
      <c r="L8180" s="17"/>
    </row>
    <row r="8181" s="11" customFormat="true" ht="10.95" hidden="false" customHeight="true" outlineLevel="0" collapsed="false">
      <c r="A8181" s="16" t="n">
        <v>45244</v>
      </c>
      <c r="B8181" s="17" t="s">
        <v>3613</v>
      </c>
      <c r="C8181" s="17" t="s">
        <v>3614</v>
      </c>
      <c r="D8181" s="17" t="s">
        <v>2903</v>
      </c>
      <c r="E8181" s="17" t="s">
        <v>3667</v>
      </c>
      <c r="F8181" s="17" t="s">
        <v>3590</v>
      </c>
      <c r="G8181" s="18" t="n">
        <v>629.2</v>
      </c>
      <c r="H8181" s="18" t="n">
        <v>0</v>
      </c>
      <c r="I8181" s="18" t="n">
        <f aca="false">((I8180 + G8181) - H8181)</f>
        <v>-46213.55</v>
      </c>
      <c r="J8181" s="18" t="n">
        <v>0</v>
      </c>
      <c r="K8181" s="19" t="n">
        <v>0</v>
      </c>
      <c r="L8181" s="17"/>
    </row>
    <row r="8182" s="11" customFormat="true" ht="10.95" hidden="false" customHeight="true" outlineLevel="0" collapsed="false">
      <c r="A8182" s="16" t="n">
        <v>45244</v>
      </c>
      <c r="B8182" s="17" t="s">
        <v>3613</v>
      </c>
      <c r="C8182" s="17" t="s">
        <v>3614</v>
      </c>
      <c r="D8182" s="17" t="s">
        <v>2903</v>
      </c>
      <c r="E8182" s="17" t="s">
        <v>2943</v>
      </c>
      <c r="F8182" s="17" t="s">
        <v>1777</v>
      </c>
      <c r="G8182" s="18" t="n">
        <v>779.56</v>
      </c>
      <c r="H8182" s="18" t="n">
        <v>0</v>
      </c>
      <c r="I8182" s="18" t="n">
        <f aca="false">((I8181 + G8182) - H8182)</f>
        <v>-45433.99</v>
      </c>
      <c r="J8182" s="18" t="n">
        <v>0</v>
      </c>
      <c r="K8182" s="19" t="n">
        <v>0</v>
      </c>
      <c r="L8182" s="17"/>
    </row>
    <row r="8183" s="11" customFormat="true" ht="10.95" hidden="false" customHeight="true" outlineLevel="0" collapsed="false">
      <c r="A8183" s="16" t="n">
        <v>45248</v>
      </c>
      <c r="B8183" s="17" t="s">
        <v>3613</v>
      </c>
      <c r="C8183" s="17" t="s">
        <v>3614</v>
      </c>
      <c r="D8183" s="17" t="s">
        <v>1391</v>
      </c>
      <c r="E8183" s="17" t="s">
        <v>3642</v>
      </c>
      <c r="F8183" s="17" t="s">
        <v>2372</v>
      </c>
      <c r="G8183" s="18" t="n">
        <v>0</v>
      </c>
      <c r="H8183" s="18" t="n">
        <v>24.2</v>
      </c>
      <c r="I8183" s="18" t="n">
        <f aca="false">((I8182 + G8183) - H8183)</f>
        <v>-45458.19</v>
      </c>
      <c r="J8183" s="18" t="n">
        <v>0</v>
      </c>
      <c r="K8183" s="19" t="n">
        <v>0</v>
      </c>
      <c r="L8183" s="17"/>
    </row>
    <row r="8184" s="11" customFormat="true" ht="10.95" hidden="false" customHeight="true" outlineLevel="0" collapsed="false">
      <c r="A8184" s="16" t="n">
        <v>45248</v>
      </c>
      <c r="B8184" s="17" t="s">
        <v>3613</v>
      </c>
      <c r="C8184" s="17" t="s">
        <v>3614</v>
      </c>
      <c r="D8184" s="17" t="s">
        <v>1391</v>
      </c>
      <c r="E8184" s="17" t="s">
        <v>3642</v>
      </c>
      <c r="F8184" s="17" t="s">
        <v>2374</v>
      </c>
      <c r="G8184" s="18" t="n">
        <v>0</v>
      </c>
      <c r="H8184" s="18" t="n">
        <v>76.56</v>
      </c>
      <c r="I8184" s="18" t="n">
        <f aca="false">((I8183 + G8184) - H8184)</f>
        <v>-45534.75</v>
      </c>
      <c r="J8184" s="18" t="n">
        <v>0</v>
      </c>
      <c r="K8184" s="19" t="n">
        <v>0</v>
      </c>
      <c r="L8184" s="17"/>
    </row>
    <row r="8185" s="11" customFormat="true" ht="10.95" hidden="false" customHeight="true" outlineLevel="0" collapsed="false">
      <c r="A8185" s="16" t="n">
        <v>45248</v>
      </c>
      <c r="B8185" s="17" t="s">
        <v>3613</v>
      </c>
      <c r="C8185" s="17" t="s">
        <v>3614</v>
      </c>
      <c r="D8185" s="17" t="s">
        <v>1391</v>
      </c>
      <c r="E8185" s="17" t="s">
        <v>3642</v>
      </c>
      <c r="F8185" s="17" t="s">
        <v>2376</v>
      </c>
      <c r="G8185" s="18" t="n">
        <v>0</v>
      </c>
      <c r="H8185" s="18" t="n">
        <v>45.32</v>
      </c>
      <c r="I8185" s="18" t="n">
        <f aca="false">((I8184 + G8185) - H8185)</f>
        <v>-45580.07</v>
      </c>
      <c r="J8185" s="18" t="n">
        <v>0</v>
      </c>
      <c r="K8185" s="19" t="n">
        <v>0</v>
      </c>
      <c r="L8185" s="17"/>
    </row>
    <row r="8186" s="11" customFormat="true" ht="10.95" hidden="false" customHeight="true" outlineLevel="0" collapsed="false">
      <c r="A8186" s="16" t="n">
        <v>45248</v>
      </c>
      <c r="B8186" s="17" t="s">
        <v>3613</v>
      </c>
      <c r="C8186" s="17" t="s">
        <v>3614</v>
      </c>
      <c r="D8186" s="17" t="s">
        <v>1391</v>
      </c>
      <c r="E8186" s="17" t="s">
        <v>3642</v>
      </c>
      <c r="F8186" s="17" t="s">
        <v>2378</v>
      </c>
      <c r="G8186" s="18" t="n">
        <v>0</v>
      </c>
      <c r="H8186" s="18" t="n">
        <v>9.02</v>
      </c>
      <c r="I8186" s="18" t="n">
        <f aca="false">((I8185 + G8186) - H8186)</f>
        <v>-45589.09</v>
      </c>
      <c r="J8186" s="18" t="n">
        <v>0</v>
      </c>
      <c r="K8186" s="19" t="n">
        <v>0</v>
      </c>
      <c r="L8186" s="17"/>
    </row>
    <row r="8187" s="11" customFormat="true" ht="10.95" hidden="false" customHeight="true" outlineLevel="0" collapsed="false">
      <c r="A8187" s="16" t="n">
        <v>45248</v>
      </c>
      <c r="B8187" s="17" t="s">
        <v>3613</v>
      </c>
      <c r="C8187" s="17" t="s">
        <v>3614</v>
      </c>
      <c r="D8187" s="17" t="s">
        <v>1391</v>
      </c>
      <c r="E8187" s="17" t="s">
        <v>3642</v>
      </c>
      <c r="F8187" s="17" t="s">
        <v>2380</v>
      </c>
      <c r="G8187" s="18" t="n">
        <v>0</v>
      </c>
      <c r="H8187" s="18" t="n">
        <v>33.22</v>
      </c>
      <c r="I8187" s="18" t="n">
        <f aca="false">((I8186 + G8187) - H8187)</f>
        <v>-45622.31</v>
      </c>
      <c r="J8187" s="18" t="n">
        <v>0</v>
      </c>
      <c r="K8187" s="19" t="n">
        <v>0</v>
      </c>
      <c r="L8187" s="17"/>
    </row>
    <row r="8188" s="11" customFormat="true" ht="10.95" hidden="false" customHeight="true" outlineLevel="0" collapsed="false">
      <c r="A8188" s="16" t="n">
        <v>45248</v>
      </c>
      <c r="B8188" s="17" t="s">
        <v>3613</v>
      </c>
      <c r="C8188" s="17" t="s">
        <v>3614</v>
      </c>
      <c r="D8188" s="17" t="s">
        <v>1391</v>
      </c>
      <c r="E8188" s="17" t="s">
        <v>3642</v>
      </c>
      <c r="F8188" s="17" t="s">
        <v>2382</v>
      </c>
      <c r="G8188" s="18" t="n">
        <v>0</v>
      </c>
      <c r="H8188" s="18" t="n">
        <v>68.2</v>
      </c>
      <c r="I8188" s="18" t="n">
        <f aca="false">((I8187 + G8188) - H8188)</f>
        <v>-45690.51</v>
      </c>
      <c r="J8188" s="18" t="n">
        <v>0</v>
      </c>
      <c r="K8188" s="19" t="n">
        <v>0</v>
      </c>
      <c r="L8188" s="17"/>
    </row>
    <row r="8189" s="11" customFormat="true" ht="10.95" hidden="false" customHeight="true" outlineLevel="0" collapsed="false">
      <c r="A8189" s="16" t="n">
        <v>45248</v>
      </c>
      <c r="B8189" s="17" t="s">
        <v>3613</v>
      </c>
      <c r="C8189" s="17" t="s">
        <v>3614</v>
      </c>
      <c r="D8189" s="17" t="s">
        <v>1391</v>
      </c>
      <c r="E8189" s="17" t="s">
        <v>3642</v>
      </c>
      <c r="F8189" s="17" t="s">
        <v>2384</v>
      </c>
      <c r="G8189" s="18" t="n">
        <v>0</v>
      </c>
      <c r="H8189" s="18" t="n">
        <v>219.78</v>
      </c>
      <c r="I8189" s="18" t="n">
        <f aca="false">((I8188 + G8189) - H8189)</f>
        <v>-45910.29</v>
      </c>
      <c r="J8189" s="18" t="n">
        <v>0</v>
      </c>
      <c r="K8189" s="19" t="n">
        <v>0</v>
      </c>
      <c r="L8189" s="17"/>
    </row>
    <row r="8190" s="11" customFormat="true" ht="10.95" hidden="false" customHeight="true" outlineLevel="0" collapsed="false">
      <c r="A8190" s="16" t="n">
        <v>45248</v>
      </c>
      <c r="B8190" s="17" t="s">
        <v>3613</v>
      </c>
      <c r="C8190" s="17" t="s">
        <v>3614</v>
      </c>
      <c r="D8190" s="17" t="s">
        <v>1391</v>
      </c>
      <c r="E8190" s="17" t="s">
        <v>3642</v>
      </c>
      <c r="F8190" s="17" t="s">
        <v>2386</v>
      </c>
      <c r="G8190" s="18" t="n">
        <v>0</v>
      </c>
      <c r="H8190" s="18" t="n">
        <v>60.5</v>
      </c>
      <c r="I8190" s="18" t="n">
        <f aca="false">((I8189 + G8190) - H8190)</f>
        <v>-45970.79</v>
      </c>
      <c r="J8190" s="18" t="n">
        <v>0</v>
      </c>
      <c r="K8190" s="19" t="n">
        <v>0</v>
      </c>
      <c r="L8190" s="17"/>
    </row>
    <row r="8191" s="11" customFormat="true" ht="10.95" hidden="false" customHeight="true" outlineLevel="0" collapsed="false">
      <c r="A8191" s="16" t="n">
        <v>45248</v>
      </c>
      <c r="B8191" s="17" t="s">
        <v>3613</v>
      </c>
      <c r="C8191" s="17" t="s">
        <v>3614</v>
      </c>
      <c r="D8191" s="17" t="s">
        <v>2903</v>
      </c>
      <c r="E8191" s="17" t="s">
        <v>3643</v>
      </c>
      <c r="F8191" s="17" t="s">
        <v>1465</v>
      </c>
      <c r="G8191" s="18" t="n">
        <v>807.26</v>
      </c>
      <c r="H8191" s="18" t="n">
        <v>0</v>
      </c>
      <c r="I8191" s="18" t="n">
        <f aca="false">((I8190 + G8191) - H8191)</f>
        <v>-45163.53</v>
      </c>
      <c r="J8191" s="18" t="n">
        <v>0</v>
      </c>
      <c r="K8191" s="19" t="n">
        <v>0</v>
      </c>
      <c r="L8191" s="17"/>
    </row>
    <row r="8192" s="11" customFormat="true" ht="10.95" hidden="false" customHeight="true" outlineLevel="0" collapsed="false">
      <c r="A8192" s="16" t="n">
        <v>45249</v>
      </c>
      <c r="B8192" s="17" t="s">
        <v>3613</v>
      </c>
      <c r="C8192" s="17" t="s">
        <v>3614</v>
      </c>
      <c r="D8192" s="17" t="s">
        <v>2903</v>
      </c>
      <c r="E8192" s="17" t="s">
        <v>3616</v>
      </c>
      <c r="F8192" s="17" t="s">
        <v>3274</v>
      </c>
      <c r="G8192" s="18" t="n">
        <v>3063.5</v>
      </c>
      <c r="H8192" s="18" t="n">
        <v>0</v>
      </c>
      <c r="I8192" s="18" t="n">
        <f aca="false">((I8191 + G8192) - H8192)</f>
        <v>-42100.03</v>
      </c>
      <c r="J8192" s="18" t="n">
        <v>0</v>
      </c>
      <c r="K8192" s="19" t="n">
        <v>0</v>
      </c>
      <c r="L8192" s="17"/>
    </row>
    <row r="8193" s="11" customFormat="true" ht="10.95" hidden="false" customHeight="true" outlineLevel="0" collapsed="false">
      <c r="A8193" s="16" t="n">
        <v>45251</v>
      </c>
      <c r="B8193" s="17" t="s">
        <v>3613</v>
      </c>
      <c r="C8193" s="17" t="s">
        <v>3614</v>
      </c>
      <c r="D8193" s="17" t="s">
        <v>1455</v>
      </c>
      <c r="E8193" s="17" t="s">
        <v>3622</v>
      </c>
      <c r="F8193" s="17" t="s">
        <v>1465</v>
      </c>
      <c r="G8193" s="18" t="n">
        <v>308.36</v>
      </c>
      <c r="H8193" s="18" t="n">
        <v>0</v>
      </c>
      <c r="I8193" s="18" t="n">
        <f aca="false">((I8192 + G8193) - H8193)</f>
        <v>-41791.67</v>
      </c>
      <c r="J8193" s="18" t="n">
        <v>0</v>
      </c>
      <c r="K8193" s="19" t="n">
        <v>0</v>
      </c>
      <c r="L8193" s="17"/>
    </row>
    <row r="8194" s="11" customFormat="true" ht="10.95" hidden="false" customHeight="true" outlineLevel="0" collapsed="false">
      <c r="A8194" s="16" t="n">
        <v>45251</v>
      </c>
      <c r="B8194" s="17" t="s">
        <v>3613</v>
      </c>
      <c r="C8194" s="17" t="s">
        <v>3614</v>
      </c>
      <c r="D8194" s="17" t="s">
        <v>3682</v>
      </c>
      <c r="E8194" s="17" t="s">
        <v>3622</v>
      </c>
      <c r="F8194" s="17" t="s">
        <v>1465</v>
      </c>
      <c r="G8194" s="18" t="n">
        <v>308.36</v>
      </c>
      <c r="H8194" s="18" t="n">
        <v>0</v>
      </c>
      <c r="I8194" s="18" t="n">
        <f aca="false">((I8193 + G8194) - H8194)</f>
        <v>-41483.31</v>
      </c>
      <c r="J8194" s="18" t="n">
        <v>0</v>
      </c>
      <c r="K8194" s="19" t="n">
        <v>0</v>
      </c>
      <c r="L8194" s="17"/>
    </row>
    <row r="8195" s="11" customFormat="true" ht="10.95" hidden="false" customHeight="true" outlineLevel="0" collapsed="false">
      <c r="A8195" s="16" t="n">
        <v>45251</v>
      </c>
      <c r="B8195" s="17" t="s">
        <v>3613</v>
      </c>
      <c r="C8195" s="17" t="s">
        <v>3614</v>
      </c>
      <c r="D8195" s="17" t="s">
        <v>3682</v>
      </c>
      <c r="E8195" s="17" t="s">
        <v>3622</v>
      </c>
      <c r="F8195" s="17" t="s">
        <v>1465</v>
      </c>
      <c r="G8195" s="18" t="n">
        <v>0</v>
      </c>
      <c r="H8195" s="18" t="n">
        <v>308.36</v>
      </c>
      <c r="I8195" s="18" t="n">
        <f aca="false">((I8194 + G8195) - H8195)</f>
        <v>-41791.67</v>
      </c>
      <c r="J8195" s="18" t="n">
        <v>0</v>
      </c>
      <c r="K8195" s="19" t="n">
        <v>0</v>
      </c>
      <c r="L8195" s="17"/>
    </row>
    <row r="8196" s="11" customFormat="true" ht="10.95" hidden="false" customHeight="true" outlineLevel="0" collapsed="false">
      <c r="A8196" s="16" t="n">
        <v>45251</v>
      </c>
      <c r="B8196" s="17" t="s">
        <v>3613</v>
      </c>
      <c r="C8196" s="17" t="s">
        <v>3614</v>
      </c>
      <c r="D8196" s="17" t="s">
        <v>2903</v>
      </c>
      <c r="E8196" s="17" t="s">
        <v>3645</v>
      </c>
      <c r="F8196" s="17" t="s">
        <v>1461</v>
      </c>
      <c r="G8196" s="18" t="n">
        <v>538.76</v>
      </c>
      <c r="H8196" s="18" t="n">
        <v>0</v>
      </c>
      <c r="I8196" s="18" t="n">
        <f aca="false">((I8195 + G8196) - H8196)</f>
        <v>-41252.91</v>
      </c>
      <c r="J8196" s="18" t="n">
        <v>0</v>
      </c>
      <c r="K8196" s="19" t="n">
        <v>0</v>
      </c>
      <c r="L8196" s="17"/>
    </row>
    <row r="8197" s="11" customFormat="true" ht="10.95" hidden="false" customHeight="true" outlineLevel="0" collapsed="false">
      <c r="A8197" s="16" t="n">
        <v>45251</v>
      </c>
      <c r="B8197" s="17" t="s">
        <v>3613</v>
      </c>
      <c r="C8197" s="17" t="s">
        <v>3614</v>
      </c>
      <c r="D8197" s="17" t="s">
        <v>1391</v>
      </c>
      <c r="E8197" s="17" t="s">
        <v>3638</v>
      </c>
      <c r="F8197" s="17" t="s">
        <v>3276</v>
      </c>
      <c r="G8197" s="18" t="n">
        <v>0</v>
      </c>
      <c r="H8197" s="18" t="n">
        <v>2905.1</v>
      </c>
      <c r="I8197" s="18" t="n">
        <f aca="false">((I8196 + G8197) - H8197)</f>
        <v>-44158.01</v>
      </c>
      <c r="J8197" s="18" t="n">
        <v>0</v>
      </c>
      <c r="K8197" s="19" t="n">
        <v>0</v>
      </c>
      <c r="L8197" s="17"/>
    </row>
    <row r="8198" s="11" customFormat="true" ht="10.95" hidden="false" customHeight="true" outlineLevel="0" collapsed="false">
      <c r="A8198" s="16" t="n">
        <v>45252</v>
      </c>
      <c r="B8198" s="17" t="s">
        <v>3613</v>
      </c>
      <c r="C8198" s="17" t="s">
        <v>3614</v>
      </c>
      <c r="D8198" s="17" t="s">
        <v>2903</v>
      </c>
      <c r="E8198" s="17" t="s">
        <v>3644</v>
      </c>
      <c r="F8198" s="17" t="s">
        <v>2378</v>
      </c>
      <c r="G8198" s="18" t="n">
        <v>9.02</v>
      </c>
      <c r="H8198" s="18" t="n">
        <v>0</v>
      </c>
      <c r="I8198" s="18" t="n">
        <f aca="false">((I8197 + G8198) - H8198)</f>
        <v>-44148.99</v>
      </c>
      <c r="J8198" s="18" t="n">
        <v>0</v>
      </c>
      <c r="K8198" s="19" t="n">
        <v>0</v>
      </c>
      <c r="L8198" s="17"/>
    </row>
    <row r="8199" s="11" customFormat="true" ht="10.95" hidden="false" customHeight="true" outlineLevel="0" collapsed="false">
      <c r="A8199" s="16" t="n">
        <v>45252</v>
      </c>
      <c r="B8199" s="17" t="s">
        <v>3613</v>
      </c>
      <c r="C8199" s="17" t="s">
        <v>3614</v>
      </c>
      <c r="D8199" s="17" t="s">
        <v>2903</v>
      </c>
      <c r="E8199" s="17" t="s">
        <v>3644</v>
      </c>
      <c r="F8199" s="17" t="s">
        <v>2372</v>
      </c>
      <c r="G8199" s="18" t="n">
        <v>24.2</v>
      </c>
      <c r="H8199" s="18" t="n">
        <v>0</v>
      </c>
      <c r="I8199" s="18" t="n">
        <f aca="false">((I8198 + G8199) - H8199)</f>
        <v>-44124.79</v>
      </c>
      <c r="J8199" s="18" t="n">
        <v>0</v>
      </c>
      <c r="K8199" s="19" t="n">
        <v>0</v>
      </c>
      <c r="L8199" s="17"/>
    </row>
    <row r="8200" s="11" customFormat="true" ht="10.95" hidden="false" customHeight="true" outlineLevel="0" collapsed="false">
      <c r="A8200" s="16" t="n">
        <v>45252</v>
      </c>
      <c r="B8200" s="17" t="s">
        <v>3613</v>
      </c>
      <c r="C8200" s="17" t="s">
        <v>3614</v>
      </c>
      <c r="D8200" s="17" t="s">
        <v>2903</v>
      </c>
      <c r="E8200" s="17" t="s">
        <v>3644</v>
      </c>
      <c r="F8200" s="17" t="s">
        <v>2380</v>
      </c>
      <c r="G8200" s="18" t="n">
        <v>33.22</v>
      </c>
      <c r="H8200" s="18" t="n">
        <v>0</v>
      </c>
      <c r="I8200" s="18" t="n">
        <f aca="false">((I8199 + G8200) - H8200)</f>
        <v>-44091.57</v>
      </c>
      <c r="J8200" s="18" t="n">
        <v>0</v>
      </c>
      <c r="K8200" s="19" t="n">
        <v>0</v>
      </c>
      <c r="L8200" s="17"/>
    </row>
    <row r="8201" s="11" customFormat="true" ht="10.95" hidden="false" customHeight="true" outlineLevel="0" collapsed="false">
      <c r="A8201" s="16" t="n">
        <v>45252</v>
      </c>
      <c r="B8201" s="17" t="s">
        <v>3613</v>
      </c>
      <c r="C8201" s="17" t="s">
        <v>3614</v>
      </c>
      <c r="D8201" s="17" t="s">
        <v>2903</v>
      </c>
      <c r="E8201" s="17" t="s">
        <v>3644</v>
      </c>
      <c r="F8201" s="17" t="s">
        <v>2376</v>
      </c>
      <c r="G8201" s="18" t="n">
        <v>45.32</v>
      </c>
      <c r="H8201" s="18" t="n">
        <v>0</v>
      </c>
      <c r="I8201" s="18" t="n">
        <f aca="false">((I8200 + G8201) - H8201)</f>
        <v>-44046.25</v>
      </c>
      <c r="J8201" s="18" t="n">
        <v>0</v>
      </c>
      <c r="K8201" s="19" t="n">
        <v>0</v>
      </c>
      <c r="L8201" s="17"/>
    </row>
    <row r="8202" s="11" customFormat="true" ht="10.95" hidden="false" customHeight="true" outlineLevel="0" collapsed="false">
      <c r="A8202" s="16" t="n">
        <v>45252</v>
      </c>
      <c r="B8202" s="17" t="s">
        <v>3613</v>
      </c>
      <c r="C8202" s="17" t="s">
        <v>3614</v>
      </c>
      <c r="D8202" s="17" t="s">
        <v>2903</v>
      </c>
      <c r="E8202" s="17" t="s">
        <v>3644</v>
      </c>
      <c r="F8202" s="17" t="s">
        <v>2386</v>
      </c>
      <c r="G8202" s="18" t="n">
        <v>60.5</v>
      </c>
      <c r="H8202" s="18" t="n">
        <v>0</v>
      </c>
      <c r="I8202" s="18" t="n">
        <f aca="false">((I8201 + G8202) - H8202)</f>
        <v>-43985.75</v>
      </c>
      <c r="J8202" s="18" t="n">
        <v>0</v>
      </c>
      <c r="K8202" s="19" t="n">
        <v>0</v>
      </c>
      <c r="L8202" s="17"/>
    </row>
    <row r="8203" s="11" customFormat="true" ht="10.95" hidden="false" customHeight="true" outlineLevel="0" collapsed="false">
      <c r="A8203" s="16" t="n">
        <v>45252</v>
      </c>
      <c r="B8203" s="17" t="s">
        <v>3613</v>
      </c>
      <c r="C8203" s="17" t="s">
        <v>3614</v>
      </c>
      <c r="D8203" s="17" t="s">
        <v>2903</v>
      </c>
      <c r="E8203" s="17" t="s">
        <v>3644</v>
      </c>
      <c r="F8203" s="17" t="s">
        <v>2382</v>
      </c>
      <c r="G8203" s="18" t="n">
        <v>68.2</v>
      </c>
      <c r="H8203" s="18" t="n">
        <v>0</v>
      </c>
      <c r="I8203" s="18" t="n">
        <f aca="false">((I8202 + G8203) - H8203)</f>
        <v>-43917.55</v>
      </c>
      <c r="J8203" s="18" t="n">
        <v>0</v>
      </c>
      <c r="K8203" s="19" t="n">
        <v>0</v>
      </c>
      <c r="L8203" s="17"/>
    </row>
    <row r="8204" s="11" customFormat="true" ht="10.95" hidden="false" customHeight="true" outlineLevel="0" collapsed="false">
      <c r="A8204" s="16" t="n">
        <v>45252</v>
      </c>
      <c r="B8204" s="17" t="s">
        <v>3613</v>
      </c>
      <c r="C8204" s="17" t="s">
        <v>3614</v>
      </c>
      <c r="D8204" s="17" t="s">
        <v>2903</v>
      </c>
      <c r="E8204" s="17" t="s">
        <v>3644</v>
      </c>
      <c r="F8204" s="17" t="s">
        <v>2374</v>
      </c>
      <c r="G8204" s="18" t="n">
        <v>76.56</v>
      </c>
      <c r="H8204" s="18" t="n">
        <v>0</v>
      </c>
      <c r="I8204" s="18" t="n">
        <f aca="false">((I8203 + G8204) - H8204)</f>
        <v>-43840.99</v>
      </c>
      <c r="J8204" s="18" t="n">
        <v>0</v>
      </c>
      <c r="K8204" s="19" t="n">
        <v>0</v>
      </c>
      <c r="L8204" s="17"/>
    </row>
    <row r="8205" s="11" customFormat="true" ht="10.95" hidden="false" customHeight="true" outlineLevel="0" collapsed="false">
      <c r="A8205" s="16" t="n">
        <v>45252</v>
      </c>
      <c r="B8205" s="17" t="s">
        <v>3613</v>
      </c>
      <c r="C8205" s="17" t="s">
        <v>3614</v>
      </c>
      <c r="D8205" s="17" t="s">
        <v>2903</v>
      </c>
      <c r="E8205" s="17" t="s">
        <v>3644</v>
      </c>
      <c r="F8205" s="17" t="s">
        <v>2384</v>
      </c>
      <c r="G8205" s="18" t="n">
        <v>219.78</v>
      </c>
      <c r="H8205" s="18" t="n">
        <v>0</v>
      </c>
      <c r="I8205" s="18" t="n">
        <f aca="false">((I8204 + G8205) - H8205)</f>
        <v>-43621.21</v>
      </c>
      <c r="J8205" s="18" t="n">
        <v>0</v>
      </c>
      <c r="K8205" s="19" t="n">
        <v>0</v>
      </c>
      <c r="L8205" s="17"/>
    </row>
    <row r="8206" s="11" customFormat="true" ht="10.95" hidden="false" customHeight="true" outlineLevel="0" collapsed="false">
      <c r="A8206" s="16" t="n">
        <v>45253</v>
      </c>
      <c r="B8206" s="17" t="s">
        <v>3613</v>
      </c>
      <c r="C8206" s="17" t="s">
        <v>3614</v>
      </c>
      <c r="D8206" s="17" t="s">
        <v>1391</v>
      </c>
      <c r="E8206" s="17" t="s">
        <v>3688</v>
      </c>
      <c r="F8206" s="17" t="s">
        <v>1622</v>
      </c>
      <c r="G8206" s="18" t="n">
        <v>0</v>
      </c>
      <c r="H8206" s="18" t="n">
        <v>1870</v>
      </c>
      <c r="I8206" s="18" t="n">
        <f aca="false">((I8205 + G8206) - H8206)</f>
        <v>-45491.21</v>
      </c>
      <c r="J8206" s="18" t="n">
        <v>0</v>
      </c>
      <c r="K8206" s="19" t="n">
        <v>0</v>
      </c>
      <c r="L8206" s="17"/>
    </row>
    <row r="8207" s="11" customFormat="true" ht="10.95" hidden="false" customHeight="true" outlineLevel="0" collapsed="false">
      <c r="A8207" s="16" t="n">
        <v>45254</v>
      </c>
      <c r="B8207" s="17" t="s">
        <v>3613</v>
      </c>
      <c r="C8207" s="17" t="s">
        <v>3614</v>
      </c>
      <c r="D8207" s="17" t="s">
        <v>2903</v>
      </c>
      <c r="E8207" s="17" t="s">
        <v>3637</v>
      </c>
      <c r="F8207" s="17" t="s">
        <v>2659</v>
      </c>
      <c r="G8207" s="18" t="n">
        <v>104.95</v>
      </c>
      <c r="H8207" s="18" t="n">
        <v>0</v>
      </c>
      <c r="I8207" s="18" t="n">
        <f aca="false">((I8206 + G8207) - H8207)</f>
        <v>-45386.26</v>
      </c>
      <c r="J8207" s="18" t="n">
        <v>0</v>
      </c>
      <c r="K8207" s="19" t="n">
        <v>0</v>
      </c>
      <c r="L8207" s="17"/>
    </row>
    <row r="8208" s="11" customFormat="true" ht="10.95" hidden="false" customHeight="true" outlineLevel="0" collapsed="false">
      <c r="A8208" s="16" t="n">
        <v>45254</v>
      </c>
      <c r="B8208" s="17" t="s">
        <v>3613</v>
      </c>
      <c r="C8208" s="17" t="s">
        <v>3614</v>
      </c>
      <c r="D8208" s="17" t="s">
        <v>1391</v>
      </c>
      <c r="E8208" s="17" t="s">
        <v>3673</v>
      </c>
      <c r="F8208" s="17" t="s">
        <v>3197</v>
      </c>
      <c r="G8208" s="18" t="n">
        <v>0</v>
      </c>
      <c r="H8208" s="18" t="n">
        <v>23417</v>
      </c>
      <c r="I8208" s="18" t="n">
        <f aca="false">((I8207 + G8208) - H8208)</f>
        <v>-68803.26</v>
      </c>
      <c r="J8208" s="18" t="n">
        <v>0</v>
      </c>
      <c r="K8208" s="19" t="n">
        <v>0</v>
      </c>
      <c r="L8208" s="17"/>
    </row>
    <row r="8209" s="11" customFormat="true" ht="10.95" hidden="false" customHeight="true" outlineLevel="0" collapsed="false">
      <c r="A8209" s="16" t="n">
        <v>45257</v>
      </c>
      <c r="B8209" s="17" t="s">
        <v>3613</v>
      </c>
      <c r="C8209" s="17" t="s">
        <v>3614</v>
      </c>
      <c r="D8209" s="17" t="s">
        <v>2903</v>
      </c>
      <c r="E8209" s="17" t="s">
        <v>3618</v>
      </c>
      <c r="F8209" s="17" t="s">
        <v>1622</v>
      </c>
      <c r="G8209" s="18" t="n">
        <v>1870</v>
      </c>
      <c r="H8209" s="18" t="n">
        <v>0</v>
      </c>
      <c r="I8209" s="18" t="n">
        <f aca="false">((I8208 + G8209) - H8209)</f>
        <v>-66933.26</v>
      </c>
      <c r="J8209" s="18" t="n">
        <v>0</v>
      </c>
      <c r="K8209" s="19" t="n">
        <v>0</v>
      </c>
      <c r="L8209" s="17"/>
    </row>
    <row r="8210" s="11" customFormat="true" ht="10.95" hidden="false" customHeight="true" outlineLevel="0" collapsed="false">
      <c r="A8210" s="16" t="n">
        <v>45259</v>
      </c>
      <c r="B8210" s="17" t="s">
        <v>3613</v>
      </c>
      <c r="C8210" s="17" t="s">
        <v>3614</v>
      </c>
      <c r="D8210" s="17" t="s">
        <v>1391</v>
      </c>
      <c r="E8210" s="17" t="s">
        <v>3681</v>
      </c>
      <c r="F8210" s="17" t="s">
        <v>1624</v>
      </c>
      <c r="G8210" s="18" t="n">
        <v>0</v>
      </c>
      <c r="H8210" s="18" t="n">
        <v>1585.87</v>
      </c>
      <c r="I8210" s="18" t="n">
        <f aca="false">((I8209 + G8210) - H8210)</f>
        <v>-68519.13</v>
      </c>
      <c r="J8210" s="18" t="n">
        <v>0</v>
      </c>
      <c r="K8210" s="19" t="n">
        <v>0</v>
      </c>
      <c r="L8210" s="17"/>
    </row>
    <row r="8211" s="11" customFormat="true" ht="10.95" hidden="false" customHeight="true" outlineLevel="0" collapsed="false">
      <c r="A8211" s="16" t="n">
        <v>45260</v>
      </c>
      <c r="B8211" s="17" t="s">
        <v>3613</v>
      </c>
      <c r="C8211" s="17" t="s">
        <v>3614</v>
      </c>
      <c r="D8211" s="17" t="s">
        <v>2903</v>
      </c>
      <c r="E8211" s="17" t="s">
        <v>3648</v>
      </c>
      <c r="F8211" s="17" t="s">
        <v>2664</v>
      </c>
      <c r="G8211" s="18" t="n">
        <v>184.37</v>
      </c>
      <c r="H8211" s="18" t="n">
        <v>0</v>
      </c>
      <c r="I8211" s="18" t="n">
        <f aca="false">((I8210 + G8211) - H8211)</f>
        <v>-68334.76</v>
      </c>
      <c r="J8211" s="18" t="n">
        <v>0</v>
      </c>
      <c r="K8211" s="19" t="n">
        <v>0</v>
      </c>
      <c r="L8211" s="17"/>
    </row>
    <row r="8212" s="11" customFormat="true" ht="10.95" hidden="false" customHeight="true" outlineLevel="0" collapsed="false">
      <c r="A8212" s="16" t="n">
        <v>45260</v>
      </c>
      <c r="B8212" s="17" t="s">
        <v>3613</v>
      </c>
      <c r="C8212" s="17" t="s">
        <v>3614</v>
      </c>
      <c r="D8212" s="17" t="s">
        <v>1391</v>
      </c>
      <c r="E8212" s="17" t="s">
        <v>3647</v>
      </c>
      <c r="F8212" s="17" t="s">
        <v>1470</v>
      </c>
      <c r="G8212" s="18" t="n">
        <v>0</v>
      </c>
      <c r="H8212" s="18" t="n">
        <v>4929.68</v>
      </c>
      <c r="I8212" s="18" t="n">
        <f aca="false">((I8211 + G8212) - H8212)</f>
        <v>-73264.44</v>
      </c>
      <c r="J8212" s="18" t="n">
        <v>0</v>
      </c>
      <c r="K8212" s="19" t="n">
        <v>0</v>
      </c>
      <c r="L8212" s="17"/>
    </row>
    <row r="8213" s="11" customFormat="true" ht="10.95" hidden="false" customHeight="true" outlineLevel="0" collapsed="false">
      <c r="A8213" s="16" t="n">
        <v>45260</v>
      </c>
      <c r="B8213" s="17" t="s">
        <v>3613</v>
      </c>
      <c r="C8213" s="17" t="s">
        <v>3614</v>
      </c>
      <c r="D8213" s="17" t="s">
        <v>1391</v>
      </c>
      <c r="E8213" s="17" t="s">
        <v>3627</v>
      </c>
      <c r="F8213" s="17" t="s">
        <v>1472</v>
      </c>
      <c r="G8213" s="18" t="n">
        <v>0</v>
      </c>
      <c r="H8213" s="18" t="n">
        <v>3878.64</v>
      </c>
      <c r="I8213" s="18" t="n">
        <f aca="false">((I8212 + G8213) - H8213)</f>
        <v>-77143.08</v>
      </c>
      <c r="J8213" s="18" t="n">
        <v>0</v>
      </c>
      <c r="K8213" s="19" t="n">
        <v>0</v>
      </c>
      <c r="L8213" s="17"/>
    </row>
    <row r="8214" s="11" customFormat="true" ht="10.95" hidden="false" customHeight="true" outlineLevel="0" collapsed="false">
      <c r="A8214" s="16" t="n">
        <v>45261</v>
      </c>
      <c r="B8214" s="17" t="s">
        <v>3613</v>
      </c>
      <c r="C8214" s="17" t="s">
        <v>3614</v>
      </c>
      <c r="D8214" s="17" t="s">
        <v>1391</v>
      </c>
      <c r="E8214" s="17" t="s">
        <v>3615</v>
      </c>
      <c r="F8214" s="17" t="s">
        <v>1474</v>
      </c>
      <c r="G8214" s="18" t="n">
        <v>0</v>
      </c>
      <c r="H8214" s="18" t="n">
        <v>538.76</v>
      </c>
      <c r="I8214" s="18" t="n">
        <f aca="false">((I8213 + G8214) - H8214)</f>
        <v>-77681.84</v>
      </c>
      <c r="J8214" s="18" t="n">
        <v>0</v>
      </c>
      <c r="K8214" s="19" t="n">
        <v>0</v>
      </c>
      <c r="L8214" s="17"/>
    </row>
    <row r="8215" s="11" customFormat="true" ht="10.95" hidden="false" customHeight="true" outlineLevel="0" collapsed="false">
      <c r="A8215" s="16" t="n">
        <v>45261</v>
      </c>
      <c r="B8215" s="17" t="s">
        <v>3613</v>
      </c>
      <c r="C8215" s="17" t="s">
        <v>3614</v>
      </c>
      <c r="D8215" s="17" t="s">
        <v>1391</v>
      </c>
      <c r="E8215" s="17" t="s">
        <v>3680</v>
      </c>
      <c r="F8215" s="17" t="s">
        <v>2668</v>
      </c>
      <c r="G8215" s="18" t="n">
        <v>0</v>
      </c>
      <c r="H8215" s="18" t="n">
        <v>179.24</v>
      </c>
      <c r="I8215" s="18" t="n">
        <f aca="false">((I8214 + G8215) - H8215)</f>
        <v>-77861.08</v>
      </c>
      <c r="J8215" s="18" t="n">
        <v>0</v>
      </c>
      <c r="K8215" s="19" t="n">
        <v>0</v>
      </c>
      <c r="L8215" s="17"/>
    </row>
    <row r="8216" s="11" customFormat="true" ht="10.95" hidden="false" customHeight="true" outlineLevel="0" collapsed="false">
      <c r="A8216" s="16" t="n">
        <v>45261</v>
      </c>
      <c r="B8216" s="17" t="s">
        <v>3613</v>
      </c>
      <c r="C8216" s="17" t="s">
        <v>3614</v>
      </c>
      <c r="D8216" s="17" t="s">
        <v>1391</v>
      </c>
      <c r="E8216" s="17" t="s">
        <v>3650</v>
      </c>
      <c r="F8216" s="17" t="s">
        <v>2391</v>
      </c>
      <c r="G8216" s="18" t="n">
        <v>0</v>
      </c>
      <c r="H8216" s="18" t="n">
        <v>248</v>
      </c>
      <c r="I8216" s="18" t="n">
        <f aca="false">((I8215 + G8216) - H8216)</f>
        <v>-78109.08</v>
      </c>
      <c r="J8216" s="18" t="n">
        <v>0</v>
      </c>
      <c r="K8216" s="19" t="n">
        <v>0</v>
      </c>
      <c r="L8216" s="17"/>
    </row>
    <row r="8217" s="11" customFormat="true" ht="10.95" hidden="false" customHeight="true" outlineLevel="0" collapsed="false">
      <c r="A8217" s="16" t="n">
        <v>45261</v>
      </c>
      <c r="B8217" s="17" t="s">
        <v>3613</v>
      </c>
      <c r="C8217" s="17" t="s">
        <v>3614</v>
      </c>
      <c r="D8217" s="17" t="s">
        <v>2903</v>
      </c>
      <c r="E8217" s="17" t="s">
        <v>3616</v>
      </c>
      <c r="F8217" s="17" t="s">
        <v>3276</v>
      </c>
      <c r="G8217" s="18" t="n">
        <v>2905.1</v>
      </c>
      <c r="H8217" s="18" t="n">
        <v>0</v>
      </c>
      <c r="I8217" s="18" t="n">
        <f aca="false">((I8216 + G8217) - H8217)</f>
        <v>-75203.98</v>
      </c>
      <c r="J8217" s="18" t="n">
        <v>0</v>
      </c>
      <c r="K8217" s="19" t="n">
        <v>0</v>
      </c>
      <c r="L8217" s="17"/>
    </row>
    <row r="8218" s="11" customFormat="true" ht="10.95" hidden="false" customHeight="true" outlineLevel="0" collapsed="false">
      <c r="A8218" s="16" t="n">
        <v>45261</v>
      </c>
      <c r="B8218" s="17" t="s">
        <v>3613</v>
      </c>
      <c r="C8218" s="17" t="s">
        <v>3614</v>
      </c>
      <c r="D8218" s="17" t="s">
        <v>2903</v>
      </c>
      <c r="E8218" s="17" t="s">
        <v>3645</v>
      </c>
      <c r="F8218" s="17" t="s">
        <v>1467</v>
      </c>
      <c r="G8218" s="18" t="n">
        <v>1996.5</v>
      </c>
      <c r="H8218" s="18" t="n">
        <v>0</v>
      </c>
      <c r="I8218" s="18" t="n">
        <f aca="false">((I8217 + G8218) - H8218)</f>
        <v>-73207.48</v>
      </c>
      <c r="J8218" s="18" t="n">
        <v>0</v>
      </c>
      <c r="K8218" s="19" t="n">
        <v>0</v>
      </c>
      <c r="L8218" s="17"/>
    </row>
    <row r="8219" s="11" customFormat="true" ht="10.95" hidden="false" customHeight="true" outlineLevel="0" collapsed="false">
      <c r="A8219" s="16" t="n">
        <v>45261</v>
      </c>
      <c r="B8219" s="17" t="s">
        <v>3613</v>
      </c>
      <c r="C8219" s="17" t="s">
        <v>3614</v>
      </c>
      <c r="D8219" s="17" t="s">
        <v>2903</v>
      </c>
      <c r="E8219" s="17" t="s">
        <v>3645</v>
      </c>
      <c r="F8219" s="17" t="s">
        <v>1463</v>
      </c>
      <c r="G8219" s="18" t="n">
        <v>17914.78</v>
      </c>
      <c r="H8219" s="18" t="n">
        <v>0</v>
      </c>
      <c r="I8219" s="18" t="n">
        <f aca="false">((I8218 + G8219) - H8219)</f>
        <v>-55292.7</v>
      </c>
      <c r="J8219" s="18" t="n">
        <v>0</v>
      </c>
      <c r="K8219" s="19" t="n">
        <v>0</v>
      </c>
      <c r="L8219" s="17"/>
    </row>
    <row r="8220" s="11" customFormat="true" ht="10.95" hidden="false" customHeight="true" outlineLevel="0" collapsed="false">
      <c r="A8220" s="16" t="n">
        <v>45261</v>
      </c>
      <c r="B8220" s="17" t="s">
        <v>3613</v>
      </c>
      <c r="C8220" s="17" t="s">
        <v>3614</v>
      </c>
      <c r="D8220" s="17" t="s">
        <v>1391</v>
      </c>
      <c r="E8220" s="17" t="s">
        <v>3621</v>
      </c>
      <c r="F8220" s="17" t="s">
        <v>2670</v>
      </c>
      <c r="G8220" s="18" t="n">
        <v>0</v>
      </c>
      <c r="H8220" s="18" t="n">
        <v>760.32</v>
      </c>
      <c r="I8220" s="18" t="n">
        <f aca="false">((I8219 + G8220) - H8220)</f>
        <v>-56053.02</v>
      </c>
      <c r="J8220" s="18" t="n">
        <v>0</v>
      </c>
      <c r="K8220" s="19" t="n">
        <v>0</v>
      </c>
      <c r="L8220" s="17"/>
    </row>
    <row r="8221" s="11" customFormat="true" ht="10.95" hidden="false" customHeight="true" outlineLevel="0" collapsed="false">
      <c r="A8221" s="16" t="n">
        <v>45261</v>
      </c>
      <c r="B8221" s="17" t="s">
        <v>3613</v>
      </c>
      <c r="C8221" s="17" t="s">
        <v>3614</v>
      </c>
      <c r="D8221" s="17" t="s">
        <v>1391</v>
      </c>
      <c r="E8221" s="17" t="s">
        <v>3650</v>
      </c>
      <c r="F8221" s="17" t="s">
        <v>2394</v>
      </c>
      <c r="G8221" s="18" t="n">
        <v>0</v>
      </c>
      <c r="H8221" s="18" t="n">
        <v>152.15</v>
      </c>
      <c r="I8221" s="18" t="n">
        <f aca="false">((I8220 + G8221) - H8221)</f>
        <v>-56205.17</v>
      </c>
      <c r="J8221" s="18" t="n">
        <v>0</v>
      </c>
      <c r="K8221" s="19" t="n">
        <v>0</v>
      </c>
      <c r="L8221" s="17"/>
    </row>
    <row r="8222" s="11" customFormat="true" ht="10.95" hidden="false" customHeight="true" outlineLevel="0" collapsed="false">
      <c r="A8222" s="16" t="n">
        <v>45261</v>
      </c>
      <c r="B8222" s="17" t="s">
        <v>3613</v>
      </c>
      <c r="C8222" s="17" t="s">
        <v>3614</v>
      </c>
      <c r="D8222" s="17" t="s">
        <v>2903</v>
      </c>
      <c r="E8222" s="17" t="s">
        <v>3629</v>
      </c>
      <c r="F8222" s="17" t="s">
        <v>3195</v>
      </c>
      <c r="G8222" s="18" t="n">
        <v>5010.29</v>
      </c>
      <c r="H8222" s="18" t="n">
        <v>0</v>
      </c>
      <c r="I8222" s="18" t="n">
        <f aca="false">((I8221 + G8222) - H8222)</f>
        <v>-51194.88</v>
      </c>
      <c r="J8222" s="18" t="n">
        <v>0</v>
      </c>
      <c r="K8222" s="19" t="n">
        <v>0</v>
      </c>
      <c r="L8222" s="17"/>
    </row>
    <row r="8223" s="11" customFormat="true" ht="10.95" hidden="false" customHeight="true" outlineLevel="0" collapsed="false">
      <c r="A8223" s="16" t="n">
        <v>45261</v>
      </c>
      <c r="B8223" s="17" t="s">
        <v>3613</v>
      </c>
      <c r="C8223" s="17" t="s">
        <v>3614</v>
      </c>
      <c r="D8223" s="17" t="s">
        <v>2903</v>
      </c>
      <c r="E8223" s="17" t="s">
        <v>3629</v>
      </c>
      <c r="F8223" s="17" t="s">
        <v>3193</v>
      </c>
      <c r="G8223" s="18" t="n">
        <v>8970.2</v>
      </c>
      <c r="H8223" s="18" t="n">
        <v>0</v>
      </c>
      <c r="I8223" s="18" t="n">
        <f aca="false">((I8222 + G8223) - H8223)</f>
        <v>-42224.68</v>
      </c>
      <c r="J8223" s="18" t="n">
        <v>0</v>
      </c>
      <c r="K8223" s="19" t="n">
        <v>0</v>
      </c>
      <c r="L8223" s="17"/>
    </row>
    <row r="8224" s="11" customFormat="true" ht="10.95" hidden="false" customHeight="true" outlineLevel="0" collapsed="false">
      <c r="A8224" s="16" t="n">
        <v>45261</v>
      </c>
      <c r="B8224" s="17" t="s">
        <v>3613</v>
      </c>
      <c r="C8224" s="17" t="s">
        <v>3614</v>
      </c>
      <c r="D8224" s="17" t="s">
        <v>1391</v>
      </c>
      <c r="E8224" s="17" t="s">
        <v>3681</v>
      </c>
      <c r="F8224" s="17" t="s">
        <v>1626</v>
      </c>
      <c r="G8224" s="18" t="n">
        <v>0</v>
      </c>
      <c r="H8224" s="18" t="n">
        <v>238.77</v>
      </c>
      <c r="I8224" s="18" t="n">
        <f aca="false">((I8223 + G8224) - H8224)</f>
        <v>-42463.45</v>
      </c>
      <c r="J8224" s="18" t="n">
        <v>0</v>
      </c>
      <c r="K8224" s="19" t="n">
        <v>0</v>
      </c>
      <c r="L8224" s="17"/>
    </row>
    <row r="8225" s="11" customFormat="true" ht="10.95" hidden="false" customHeight="true" outlineLevel="0" collapsed="false">
      <c r="A8225" s="16" t="n">
        <v>45263</v>
      </c>
      <c r="B8225" s="17" t="s">
        <v>3613</v>
      </c>
      <c r="C8225" s="17" t="s">
        <v>3614</v>
      </c>
      <c r="D8225" s="17" t="s">
        <v>1391</v>
      </c>
      <c r="E8225" s="17" t="s">
        <v>3625</v>
      </c>
      <c r="F8225" s="17" t="s">
        <v>3278</v>
      </c>
      <c r="G8225" s="18" t="n">
        <v>0</v>
      </c>
      <c r="H8225" s="18" t="n">
        <v>1008.52</v>
      </c>
      <c r="I8225" s="18" t="n">
        <f aca="false">((I8224 + G8225) - H8225)</f>
        <v>-43471.97</v>
      </c>
      <c r="J8225" s="18" t="n">
        <v>0</v>
      </c>
      <c r="K8225" s="19" t="n">
        <v>0</v>
      </c>
      <c r="L8225" s="17"/>
    </row>
    <row r="8226" s="11" customFormat="true" ht="10.95" hidden="false" customHeight="true" outlineLevel="0" collapsed="false">
      <c r="A8226" s="16" t="n">
        <v>45263</v>
      </c>
      <c r="B8226" s="17" t="s">
        <v>3613</v>
      </c>
      <c r="C8226" s="17" t="s">
        <v>3614</v>
      </c>
      <c r="D8226" s="17" t="s">
        <v>1391</v>
      </c>
      <c r="E8226" s="17" t="s">
        <v>3689</v>
      </c>
      <c r="F8226" s="17" t="s">
        <v>3594</v>
      </c>
      <c r="G8226" s="18" t="n">
        <v>0</v>
      </c>
      <c r="H8226" s="18" t="n">
        <v>17568</v>
      </c>
      <c r="I8226" s="18" t="n">
        <f aca="false">((I8225 + G8226) - H8226)</f>
        <v>-61039.97</v>
      </c>
      <c r="J8226" s="18" t="n">
        <v>0</v>
      </c>
      <c r="K8226" s="19" t="n">
        <v>0</v>
      </c>
      <c r="L8226" s="17"/>
    </row>
    <row r="8227" s="11" customFormat="true" ht="10.95" hidden="false" customHeight="true" outlineLevel="0" collapsed="false">
      <c r="A8227" s="16" t="n">
        <v>45263</v>
      </c>
      <c r="B8227" s="17" t="s">
        <v>3613</v>
      </c>
      <c r="C8227" s="17" t="s">
        <v>3614</v>
      </c>
      <c r="D8227" s="17" t="s">
        <v>2903</v>
      </c>
      <c r="E8227" s="17" t="s">
        <v>3690</v>
      </c>
      <c r="F8227" s="17" t="s">
        <v>3594</v>
      </c>
      <c r="G8227" s="18" t="n">
        <v>17568</v>
      </c>
      <c r="H8227" s="18" t="n">
        <v>0</v>
      </c>
      <c r="I8227" s="18" t="n">
        <f aca="false">((I8226 + G8227) - H8227)</f>
        <v>-43471.97</v>
      </c>
      <c r="J8227" s="18" t="n">
        <v>0</v>
      </c>
      <c r="K8227" s="19" t="n">
        <v>0</v>
      </c>
      <c r="L8227" s="17"/>
    </row>
    <row r="8228" s="11" customFormat="true" ht="10.95" hidden="false" customHeight="true" outlineLevel="0" collapsed="false">
      <c r="A8228" s="16" t="n">
        <v>45265</v>
      </c>
      <c r="B8228" s="17" t="s">
        <v>3613</v>
      </c>
      <c r="C8228" s="17" t="s">
        <v>3614</v>
      </c>
      <c r="D8228" s="17" t="s">
        <v>2903</v>
      </c>
      <c r="E8228" s="17" t="s">
        <v>3652</v>
      </c>
      <c r="F8228" s="17" t="s">
        <v>2391</v>
      </c>
      <c r="G8228" s="18" t="n">
        <v>248</v>
      </c>
      <c r="H8228" s="18" t="n">
        <v>0</v>
      </c>
      <c r="I8228" s="18" t="n">
        <f aca="false">((I8227 + G8228) - H8228)</f>
        <v>-43223.97</v>
      </c>
      <c r="J8228" s="18" t="n">
        <v>0</v>
      </c>
      <c r="K8228" s="19" t="n">
        <v>0</v>
      </c>
      <c r="L8228" s="17"/>
    </row>
    <row r="8229" s="11" customFormat="true" ht="10.95" hidden="false" customHeight="true" outlineLevel="0" collapsed="false">
      <c r="A8229" s="16" t="n">
        <v>45265</v>
      </c>
      <c r="B8229" s="17" t="s">
        <v>3613</v>
      </c>
      <c r="C8229" s="17" t="s">
        <v>3614</v>
      </c>
      <c r="D8229" s="17" t="s">
        <v>2903</v>
      </c>
      <c r="E8229" s="17" t="s">
        <v>3631</v>
      </c>
      <c r="F8229" s="17" t="s">
        <v>3278</v>
      </c>
      <c r="G8229" s="18" t="n">
        <v>1008.52</v>
      </c>
      <c r="H8229" s="18" t="n">
        <v>0</v>
      </c>
      <c r="I8229" s="18" t="n">
        <f aca="false">((I8228 + G8229) - H8229)</f>
        <v>-42215.45</v>
      </c>
      <c r="J8229" s="18" t="n">
        <v>0</v>
      </c>
      <c r="K8229" s="19" t="n">
        <v>0</v>
      </c>
      <c r="L8229" s="17"/>
    </row>
    <row r="8230" s="11" customFormat="true" ht="10.95" hidden="false" customHeight="true" outlineLevel="0" collapsed="false">
      <c r="A8230" s="16" t="n">
        <v>45265</v>
      </c>
      <c r="B8230" s="17" t="s">
        <v>3613</v>
      </c>
      <c r="C8230" s="17" t="s">
        <v>3614</v>
      </c>
      <c r="D8230" s="17" t="s">
        <v>2903</v>
      </c>
      <c r="E8230" s="17" t="s">
        <v>2963</v>
      </c>
      <c r="F8230" s="17" t="s">
        <v>2668</v>
      </c>
      <c r="G8230" s="18" t="n">
        <v>179.24</v>
      </c>
      <c r="H8230" s="18" t="n">
        <v>0</v>
      </c>
      <c r="I8230" s="18" t="n">
        <f aca="false">((I8229 + G8230) - H8230)</f>
        <v>-42036.21</v>
      </c>
      <c r="J8230" s="18" t="n">
        <v>0</v>
      </c>
      <c r="K8230" s="19" t="n">
        <v>0</v>
      </c>
      <c r="L8230" s="17"/>
    </row>
    <row r="8231" s="11" customFormat="true" ht="10.95" hidden="false" customHeight="true" outlineLevel="0" collapsed="false">
      <c r="A8231" s="16" t="n">
        <v>45265</v>
      </c>
      <c r="B8231" s="17" t="s">
        <v>3613</v>
      </c>
      <c r="C8231" s="17" t="s">
        <v>3614</v>
      </c>
      <c r="D8231" s="17" t="s">
        <v>1391</v>
      </c>
      <c r="E8231" s="17" t="s">
        <v>3647</v>
      </c>
      <c r="F8231" s="17" t="s">
        <v>2396</v>
      </c>
      <c r="G8231" s="18" t="n">
        <v>0</v>
      </c>
      <c r="H8231" s="18" t="n">
        <v>78.1</v>
      </c>
      <c r="I8231" s="18" t="n">
        <f aca="false">((I8230 + G8231) - H8231)</f>
        <v>-42114.31</v>
      </c>
      <c r="J8231" s="18" t="n">
        <v>0</v>
      </c>
      <c r="K8231" s="19" t="n">
        <v>0</v>
      </c>
      <c r="L8231" s="17"/>
    </row>
    <row r="8232" s="11" customFormat="true" ht="10.95" hidden="false" customHeight="true" outlineLevel="0" collapsed="false">
      <c r="A8232" s="16" t="n">
        <v>45265</v>
      </c>
      <c r="B8232" s="17" t="s">
        <v>3613</v>
      </c>
      <c r="C8232" s="17" t="s">
        <v>3614</v>
      </c>
      <c r="D8232" s="17" t="s">
        <v>2903</v>
      </c>
      <c r="E8232" s="17" t="s">
        <v>3657</v>
      </c>
      <c r="F8232" s="17" t="s">
        <v>2396</v>
      </c>
      <c r="G8232" s="18" t="n">
        <v>78.1</v>
      </c>
      <c r="H8232" s="18" t="n">
        <v>0</v>
      </c>
      <c r="I8232" s="18" t="n">
        <f aca="false">((I8231 + G8232) - H8232)</f>
        <v>-42036.21</v>
      </c>
      <c r="J8232" s="18" t="n">
        <v>0</v>
      </c>
      <c r="K8232" s="19" t="n">
        <v>0</v>
      </c>
      <c r="L8232" s="17"/>
    </row>
    <row r="8233" s="11" customFormat="true" ht="10.95" hidden="false" customHeight="true" outlineLevel="0" collapsed="false">
      <c r="A8233" s="16" t="n">
        <v>45265</v>
      </c>
      <c r="B8233" s="17" t="s">
        <v>3613</v>
      </c>
      <c r="C8233" s="17" t="s">
        <v>3614</v>
      </c>
      <c r="D8233" s="17" t="s">
        <v>2903</v>
      </c>
      <c r="E8233" s="17" t="s">
        <v>3652</v>
      </c>
      <c r="F8233" s="17" t="s">
        <v>2394</v>
      </c>
      <c r="G8233" s="18" t="n">
        <v>152.15</v>
      </c>
      <c r="H8233" s="18" t="n">
        <v>0</v>
      </c>
      <c r="I8233" s="18" t="n">
        <f aca="false">((I8232 + G8233) - H8233)</f>
        <v>-41884.06</v>
      </c>
      <c r="J8233" s="18" t="n">
        <v>0</v>
      </c>
      <c r="K8233" s="19" t="n">
        <v>0</v>
      </c>
      <c r="L8233" s="17"/>
    </row>
    <row r="8234" s="11" customFormat="true" ht="10.95" hidden="false" customHeight="true" outlineLevel="0" collapsed="false">
      <c r="A8234" s="16" t="n">
        <v>45266</v>
      </c>
      <c r="B8234" s="17" t="s">
        <v>3613</v>
      </c>
      <c r="C8234" s="17" t="s">
        <v>3614</v>
      </c>
      <c r="D8234" s="17" t="s">
        <v>1391</v>
      </c>
      <c r="E8234" s="17" t="s">
        <v>3639</v>
      </c>
      <c r="F8234" s="17" t="s">
        <v>1642</v>
      </c>
      <c r="G8234" s="18" t="n">
        <v>0</v>
      </c>
      <c r="H8234" s="18" t="n">
        <v>40</v>
      </c>
      <c r="I8234" s="18" t="n">
        <f aca="false">((I8233 + G8234) - H8234)</f>
        <v>-41924.06</v>
      </c>
      <c r="J8234" s="18" t="n">
        <v>0</v>
      </c>
      <c r="K8234" s="19" t="n">
        <v>0</v>
      </c>
      <c r="L8234" s="17"/>
    </row>
    <row r="8235" s="11" customFormat="true" ht="10.95" hidden="false" customHeight="true" outlineLevel="0" collapsed="false">
      <c r="A8235" s="16" t="n">
        <v>45266</v>
      </c>
      <c r="B8235" s="17" t="s">
        <v>3613</v>
      </c>
      <c r="C8235" s="17" t="s">
        <v>3614</v>
      </c>
      <c r="D8235" s="17" t="s">
        <v>2903</v>
      </c>
      <c r="E8235" s="17" t="s">
        <v>3657</v>
      </c>
      <c r="F8235" s="17" t="s">
        <v>1470</v>
      </c>
      <c r="G8235" s="18" t="n">
        <v>4929.68</v>
      </c>
      <c r="H8235" s="18" t="n">
        <v>0</v>
      </c>
      <c r="I8235" s="18" t="n">
        <f aca="false">((I8234 + G8235) - H8235)</f>
        <v>-36994.38</v>
      </c>
      <c r="J8235" s="18" t="n">
        <v>0</v>
      </c>
      <c r="K8235" s="19" t="n">
        <v>0</v>
      </c>
      <c r="L8235" s="17"/>
    </row>
    <row r="8236" s="11" customFormat="true" ht="10.95" hidden="false" customHeight="true" outlineLevel="0" collapsed="false">
      <c r="A8236" s="16" t="n">
        <v>45267</v>
      </c>
      <c r="B8236" s="17" t="s">
        <v>3613</v>
      </c>
      <c r="C8236" s="17" t="s">
        <v>3614</v>
      </c>
      <c r="D8236" s="17" t="s">
        <v>2903</v>
      </c>
      <c r="E8236" s="17" t="s">
        <v>3640</v>
      </c>
      <c r="F8236" s="17" t="s">
        <v>1642</v>
      </c>
      <c r="G8236" s="18" t="n">
        <v>40</v>
      </c>
      <c r="H8236" s="18" t="n">
        <v>0</v>
      </c>
      <c r="I8236" s="18" t="n">
        <f aca="false">((I8235 + G8236) - H8236)</f>
        <v>-36954.38</v>
      </c>
      <c r="J8236" s="18" t="n">
        <v>0</v>
      </c>
      <c r="K8236" s="19" t="n">
        <v>0</v>
      </c>
      <c r="L8236" s="17"/>
    </row>
    <row r="8237" s="11" customFormat="true" ht="10.95" hidden="false" customHeight="true" outlineLevel="0" collapsed="false">
      <c r="A8237" s="16" t="n">
        <v>45267</v>
      </c>
      <c r="B8237" s="17" t="s">
        <v>3613</v>
      </c>
      <c r="C8237" s="17" t="s">
        <v>3614</v>
      </c>
      <c r="D8237" s="17" t="s">
        <v>2903</v>
      </c>
      <c r="E8237" s="17" t="s">
        <v>2904</v>
      </c>
      <c r="F8237" s="17" t="s">
        <v>1472</v>
      </c>
      <c r="G8237" s="18" t="n">
        <v>3878.64</v>
      </c>
      <c r="H8237" s="18" t="n">
        <v>0</v>
      </c>
      <c r="I8237" s="18" t="n">
        <f aca="false">((I8236 + G8237) - H8237)</f>
        <v>-33075.74</v>
      </c>
      <c r="J8237" s="18" t="n">
        <v>0</v>
      </c>
      <c r="K8237" s="19" t="n">
        <v>0</v>
      </c>
      <c r="L8237" s="17"/>
    </row>
    <row r="8238" s="11" customFormat="true" ht="10.95" hidden="false" customHeight="true" outlineLevel="0" collapsed="false">
      <c r="A8238" s="16" t="n">
        <v>45267</v>
      </c>
      <c r="B8238" s="17" t="s">
        <v>3613</v>
      </c>
      <c r="C8238" s="17" t="s">
        <v>3614</v>
      </c>
      <c r="D8238" s="17" t="s">
        <v>2903</v>
      </c>
      <c r="E8238" s="17" t="s">
        <v>3008</v>
      </c>
      <c r="F8238" s="17" t="s">
        <v>1624</v>
      </c>
      <c r="G8238" s="18" t="n">
        <v>1585.87</v>
      </c>
      <c r="H8238" s="18" t="n">
        <v>0</v>
      </c>
      <c r="I8238" s="18" t="n">
        <f aca="false">((I8237 + G8238) - H8238)</f>
        <v>-31489.87</v>
      </c>
      <c r="J8238" s="18" t="n">
        <v>0</v>
      </c>
      <c r="K8238" s="19" t="n">
        <v>0</v>
      </c>
      <c r="L8238" s="17"/>
    </row>
    <row r="8239" s="11" customFormat="true" ht="10.95" hidden="false" customHeight="true" outlineLevel="0" collapsed="false">
      <c r="A8239" s="16" t="n">
        <v>45267</v>
      </c>
      <c r="B8239" s="17" t="s">
        <v>3613</v>
      </c>
      <c r="C8239" s="17" t="s">
        <v>3614</v>
      </c>
      <c r="D8239" s="17" t="s">
        <v>2903</v>
      </c>
      <c r="E8239" s="17" t="s">
        <v>3008</v>
      </c>
      <c r="F8239" s="17" t="s">
        <v>1626</v>
      </c>
      <c r="G8239" s="18" t="n">
        <v>238.77</v>
      </c>
      <c r="H8239" s="18" t="n">
        <v>0</v>
      </c>
      <c r="I8239" s="18" t="n">
        <f aca="false">((I8238 + G8239) - H8239)</f>
        <v>-31251.1</v>
      </c>
      <c r="J8239" s="18" t="n">
        <v>0</v>
      </c>
      <c r="K8239" s="19" t="n">
        <v>0</v>
      </c>
      <c r="L8239" s="17"/>
    </row>
    <row r="8240" s="11" customFormat="true" ht="10.95" hidden="false" customHeight="true" outlineLevel="0" collapsed="false">
      <c r="A8240" s="16" t="n">
        <v>45267</v>
      </c>
      <c r="B8240" s="17" t="s">
        <v>3613</v>
      </c>
      <c r="C8240" s="17" t="s">
        <v>3614</v>
      </c>
      <c r="D8240" s="17" t="s">
        <v>2903</v>
      </c>
      <c r="E8240" s="17" t="s">
        <v>3008</v>
      </c>
      <c r="F8240" s="17" t="s">
        <v>1617</v>
      </c>
      <c r="G8240" s="18" t="n">
        <v>247.07</v>
      </c>
      <c r="H8240" s="18" t="n">
        <v>0</v>
      </c>
      <c r="I8240" s="18" t="n">
        <f aca="false">((I8239 + G8240) - H8240)</f>
        <v>-31004.03</v>
      </c>
      <c r="J8240" s="18" t="n">
        <v>0</v>
      </c>
      <c r="K8240" s="19" t="n">
        <v>0</v>
      </c>
      <c r="L8240" s="17"/>
    </row>
    <row r="8241" s="11" customFormat="true" ht="10.95" hidden="false" customHeight="true" outlineLevel="0" collapsed="false">
      <c r="A8241" s="16" t="n">
        <v>45267</v>
      </c>
      <c r="B8241" s="17" t="s">
        <v>3613</v>
      </c>
      <c r="C8241" s="17" t="s">
        <v>3614</v>
      </c>
      <c r="D8241" s="17" t="s">
        <v>2903</v>
      </c>
      <c r="E8241" s="17" t="s">
        <v>3008</v>
      </c>
      <c r="F8241" s="17" t="s">
        <v>1620</v>
      </c>
      <c r="G8241" s="18" t="n">
        <v>249.14</v>
      </c>
      <c r="H8241" s="18" t="n">
        <v>0</v>
      </c>
      <c r="I8241" s="18" t="n">
        <f aca="false">((I8240 + G8241) - H8241)</f>
        <v>-30754.89</v>
      </c>
      <c r="J8241" s="18" t="n">
        <v>0</v>
      </c>
      <c r="K8241" s="19" t="n">
        <v>0</v>
      </c>
      <c r="L8241" s="17"/>
    </row>
    <row r="8242" s="11" customFormat="true" ht="10.95" hidden="false" customHeight="true" outlineLevel="0" collapsed="false">
      <c r="A8242" s="16" t="n">
        <v>45267</v>
      </c>
      <c r="B8242" s="17" t="s">
        <v>3613</v>
      </c>
      <c r="C8242" s="17" t="s">
        <v>3614</v>
      </c>
      <c r="D8242" s="17" t="s">
        <v>2903</v>
      </c>
      <c r="E8242" s="17" t="s">
        <v>3008</v>
      </c>
      <c r="F8242" s="17" t="s">
        <v>1619</v>
      </c>
      <c r="G8242" s="18" t="n">
        <v>1335.52</v>
      </c>
      <c r="H8242" s="18" t="n">
        <v>0</v>
      </c>
      <c r="I8242" s="18" t="n">
        <f aca="false">((I8241 + G8242) - H8242)</f>
        <v>-29419.37</v>
      </c>
      <c r="J8242" s="18" t="n">
        <v>0</v>
      </c>
      <c r="K8242" s="19" t="n">
        <v>0</v>
      </c>
      <c r="L8242" s="17"/>
    </row>
    <row r="8243" s="11" customFormat="true" ht="10.95" hidden="false" customHeight="true" outlineLevel="0" collapsed="false">
      <c r="A8243" s="16" t="n">
        <v>45267</v>
      </c>
      <c r="B8243" s="17" t="s">
        <v>3613</v>
      </c>
      <c r="C8243" s="17" t="s">
        <v>3614</v>
      </c>
      <c r="D8243" s="17" t="s">
        <v>1391</v>
      </c>
      <c r="E8243" s="17" t="s">
        <v>3622</v>
      </c>
      <c r="F8243" s="17" t="s">
        <v>1476</v>
      </c>
      <c r="G8243" s="18" t="n">
        <v>0</v>
      </c>
      <c r="H8243" s="18" t="n">
        <v>2436.04</v>
      </c>
      <c r="I8243" s="18" t="n">
        <f aca="false">((I8242 + G8243) - H8243)</f>
        <v>-31855.41</v>
      </c>
      <c r="J8243" s="18" t="n">
        <v>0</v>
      </c>
      <c r="K8243" s="19" t="n">
        <v>0</v>
      </c>
      <c r="L8243" s="17"/>
    </row>
    <row r="8244" s="11" customFormat="true" ht="10.95" hidden="false" customHeight="true" outlineLevel="0" collapsed="false">
      <c r="A8244" s="16" t="n">
        <v>45268</v>
      </c>
      <c r="B8244" s="17" t="s">
        <v>3613</v>
      </c>
      <c r="C8244" s="17" t="s">
        <v>3614</v>
      </c>
      <c r="D8244" s="17" t="s">
        <v>1391</v>
      </c>
      <c r="E8244" s="17" t="s">
        <v>3633</v>
      </c>
      <c r="F8244" s="17" t="s">
        <v>2399</v>
      </c>
      <c r="G8244" s="18" t="n">
        <v>0</v>
      </c>
      <c r="H8244" s="18" t="n">
        <v>908.34</v>
      </c>
      <c r="I8244" s="18" t="n">
        <f aca="false">((I8243 + G8244) - H8244)</f>
        <v>-32763.75</v>
      </c>
      <c r="J8244" s="18" t="n">
        <v>0</v>
      </c>
      <c r="K8244" s="19" t="n">
        <v>0</v>
      </c>
      <c r="L8244" s="17"/>
    </row>
    <row r="8245" s="11" customFormat="true" ht="10.95" hidden="false" customHeight="true" outlineLevel="0" collapsed="false">
      <c r="A8245" s="16" t="n">
        <v>45269</v>
      </c>
      <c r="B8245" s="17" t="s">
        <v>3613</v>
      </c>
      <c r="C8245" s="17" t="s">
        <v>3614</v>
      </c>
      <c r="D8245" s="17" t="s">
        <v>1391</v>
      </c>
      <c r="E8245" s="17" t="s">
        <v>3638</v>
      </c>
      <c r="F8245" s="17" t="s">
        <v>3280</v>
      </c>
      <c r="G8245" s="18" t="n">
        <v>0</v>
      </c>
      <c r="H8245" s="18" t="n">
        <v>3063.5</v>
      </c>
      <c r="I8245" s="18" t="n">
        <f aca="false">((I8244 + G8245) - H8245)</f>
        <v>-35827.25</v>
      </c>
      <c r="J8245" s="18" t="n">
        <v>0</v>
      </c>
      <c r="K8245" s="19" t="n">
        <v>0</v>
      </c>
      <c r="L8245" s="17"/>
    </row>
    <row r="8246" s="11" customFormat="true" ht="10.95" hidden="false" customHeight="true" outlineLevel="0" collapsed="false">
      <c r="A8246" s="16" t="n">
        <v>45271</v>
      </c>
      <c r="B8246" s="17" t="s">
        <v>3613</v>
      </c>
      <c r="C8246" s="17" t="s">
        <v>3614</v>
      </c>
      <c r="D8246" s="17" t="s">
        <v>1391</v>
      </c>
      <c r="E8246" s="17" t="s">
        <v>3615</v>
      </c>
      <c r="F8246" s="17" t="s">
        <v>1478</v>
      </c>
      <c r="G8246" s="18" t="n">
        <v>0</v>
      </c>
      <c r="H8246" s="18" t="n">
        <v>2013</v>
      </c>
      <c r="I8246" s="18" t="n">
        <f aca="false">((I8245 + G8246) - H8246)</f>
        <v>-37840.25</v>
      </c>
      <c r="J8246" s="18" t="n">
        <v>0</v>
      </c>
      <c r="K8246" s="19" t="n">
        <v>0</v>
      </c>
      <c r="L8246" s="17"/>
    </row>
    <row r="8247" s="11" customFormat="true" ht="10.95" hidden="false" customHeight="true" outlineLevel="0" collapsed="false">
      <c r="A8247" s="16" t="n">
        <v>45271</v>
      </c>
      <c r="B8247" s="17" t="s">
        <v>3613</v>
      </c>
      <c r="C8247" s="17" t="s">
        <v>3614</v>
      </c>
      <c r="D8247" s="17" t="s">
        <v>1391</v>
      </c>
      <c r="E8247" s="17" t="s">
        <v>3615</v>
      </c>
      <c r="F8247" s="17" t="s">
        <v>1480</v>
      </c>
      <c r="G8247" s="18" t="n">
        <v>0</v>
      </c>
      <c r="H8247" s="18" t="n">
        <v>17914.78</v>
      </c>
      <c r="I8247" s="18" t="n">
        <f aca="false">((I8246 + G8247) - H8247)</f>
        <v>-55755.03</v>
      </c>
      <c r="J8247" s="18" t="n">
        <v>0</v>
      </c>
      <c r="K8247" s="19" t="n">
        <v>0</v>
      </c>
      <c r="L8247" s="17"/>
    </row>
    <row r="8248" s="11" customFormat="true" ht="10.95" hidden="false" customHeight="true" outlineLevel="0" collapsed="false">
      <c r="A8248" s="16" t="n">
        <v>45271</v>
      </c>
      <c r="B8248" s="17" t="s">
        <v>3613</v>
      </c>
      <c r="C8248" s="17" t="s">
        <v>3614</v>
      </c>
      <c r="D8248" s="17" t="s">
        <v>1391</v>
      </c>
      <c r="E8248" s="17" t="s">
        <v>3647</v>
      </c>
      <c r="F8248" s="17" t="s">
        <v>1482</v>
      </c>
      <c r="G8248" s="18" t="n">
        <v>0</v>
      </c>
      <c r="H8248" s="18" t="n">
        <v>78.1</v>
      </c>
      <c r="I8248" s="18" t="n">
        <f aca="false">((I8247 + G8248) - H8248)</f>
        <v>-55833.13</v>
      </c>
      <c r="J8248" s="18" t="n">
        <v>0</v>
      </c>
      <c r="K8248" s="19" t="n">
        <v>0</v>
      </c>
      <c r="L8248" s="17"/>
    </row>
    <row r="8249" s="11" customFormat="true" ht="10.95" hidden="false" customHeight="true" outlineLevel="0" collapsed="false">
      <c r="A8249" s="16" t="n">
        <v>45271</v>
      </c>
      <c r="B8249" s="17" t="s">
        <v>3613</v>
      </c>
      <c r="C8249" s="17" t="s">
        <v>3614</v>
      </c>
      <c r="D8249" s="17" t="s">
        <v>1391</v>
      </c>
      <c r="E8249" s="17" t="s">
        <v>3691</v>
      </c>
      <c r="F8249" s="17" t="s">
        <v>3199</v>
      </c>
      <c r="G8249" s="18" t="n">
        <v>0</v>
      </c>
      <c r="H8249" s="18" t="n">
        <v>19800</v>
      </c>
      <c r="I8249" s="18" t="n">
        <f aca="false">((I8248 + G8249) - H8249)</f>
        <v>-75633.13</v>
      </c>
      <c r="J8249" s="18" t="n">
        <v>0</v>
      </c>
      <c r="K8249" s="19" t="n">
        <v>0</v>
      </c>
      <c r="L8249" s="17"/>
    </row>
    <row r="8250" s="11" customFormat="true" ht="10.95" hidden="false" customHeight="true" outlineLevel="0" collapsed="false">
      <c r="A8250" s="16" t="n">
        <v>45272</v>
      </c>
      <c r="B8250" s="17" t="s">
        <v>3613</v>
      </c>
      <c r="C8250" s="17" t="s">
        <v>3614</v>
      </c>
      <c r="D8250" s="17" t="s">
        <v>2903</v>
      </c>
      <c r="E8250" s="17" t="s">
        <v>3657</v>
      </c>
      <c r="F8250" s="17" t="s">
        <v>1482</v>
      </c>
      <c r="G8250" s="18" t="n">
        <v>78.1</v>
      </c>
      <c r="H8250" s="18" t="n">
        <v>0</v>
      </c>
      <c r="I8250" s="18" t="n">
        <f aca="false">((I8249 + G8250) - H8250)</f>
        <v>-75555.03</v>
      </c>
      <c r="J8250" s="18" t="n">
        <v>0</v>
      </c>
      <c r="K8250" s="19" t="n">
        <v>0</v>
      </c>
      <c r="L8250" s="17"/>
    </row>
    <row r="8251" s="11" customFormat="true" ht="10.95" hidden="false" customHeight="true" outlineLevel="0" collapsed="false">
      <c r="A8251" s="16" t="n">
        <v>45273</v>
      </c>
      <c r="B8251" s="17" t="s">
        <v>3613</v>
      </c>
      <c r="C8251" s="17" t="s">
        <v>3614</v>
      </c>
      <c r="D8251" s="17" t="s">
        <v>2903</v>
      </c>
      <c r="E8251" s="17" t="s">
        <v>3643</v>
      </c>
      <c r="F8251" s="17" t="s">
        <v>1476</v>
      </c>
      <c r="G8251" s="18" t="n">
        <v>1525.02</v>
      </c>
      <c r="H8251" s="18" t="n">
        <v>0</v>
      </c>
      <c r="I8251" s="18" t="n">
        <f aca="false">((I8250 + G8251) - H8251)</f>
        <v>-74030.01</v>
      </c>
      <c r="J8251" s="18" t="n">
        <v>0</v>
      </c>
      <c r="K8251" s="19" t="n">
        <v>0</v>
      </c>
      <c r="L8251" s="17"/>
    </row>
    <row r="8252" s="11" customFormat="true" ht="10.95" hidden="false" customHeight="true" outlineLevel="0" collapsed="false">
      <c r="A8252" s="16" t="n">
        <v>45274</v>
      </c>
      <c r="B8252" s="17" t="s">
        <v>3613</v>
      </c>
      <c r="C8252" s="17" t="s">
        <v>3614</v>
      </c>
      <c r="D8252" s="17" t="s">
        <v>1391</v>
      </c>
      <c r="E8252" s="17" t="s">
        <v>3641</v>
      </c>
      <c r="F8252" s="17" t="s">
        <v>2673</v>
      </c>
      <c r="G8252" s="18" t="n">
        <v>0</v>
      </c>
      <c r="H8252" s="18" t="n">
        <v>331.23</v>
      </c>
      <c r="I8252" s="18" t="n">
        <f aca="false">((I8251 + G8252) - H8252)</f>
        <v>-74361.24</v>
      </c>
      <c r="J8252" s="18" t="n">
        <v>0</v>
      </c>
      <c r="K8252" s="19" t="n">
        <v>0</v>
      </c>
      <c r="L8252" s="17"/>
    </row>
    <row r="8253" s="11" customFormat="true" ht="10.95" hidden="false" customHeight="true" outlineLevel="0" collapsed="false">
      <c r="A8253" s="16" t="n">
        <v>45274</v>
      </c>
      <c r="B8253" s="17" t="s">
        <v>3613</v>
      </c>
      <c r="C8253" s="17" t="s">
        <v>3614</v>
      </c>
      <c r="D8253" s="17" t="s">
        <v>1391</v>
      </c>
      <c r="E8253" s="17" t="s">
        <v>3692</v>
      </c>
      <c r="F8253" s="17" t="s">
        <v>3201</v>
      </c>
      <c r="G8253" s="18" t="n">
        <v>0</v>
      </c>
      <c r="H8253" s="18" t="n">
        <v>427.34</v>
      </c>
      <c r="I8253" s="18" t="n">
        <f aca="false">((I8252 + G8253) - H8253)</f>
        <v>-74788.58</v>
      </c>
      <c r="J8253" s="18" t="n">
        <v>0</v>
      </c>
      <c r="K8253" s="19" t="n">
        <v>0</v>
      </c>
      <c r="L8253" s="17"/>
    </row>
    <row r="8254" s="11" customFormat="true" ht="10.95" hidden="false" customHeight="true" outlineLevel="0" collapsed="false">
      <c r="A8254" s="16" t="n">
        <v>45274</v>
      </c>
      <c r="B8254" s="17" t="s">
        <v>3613</v>
      </c>
      <c r="C8254" s="17" t="s">
        <v>3614</v>
      </c>
      <c r="D8254" s="17" t="s">
        <v>1391</v>
      </c>
      <c r="E8254" s="17" t="s">
        <v>3693</v>
      </c>
      <c r="F8254" s="17" t="s">
        <v>2402</v>
      </c>
      <c r="G8254" s="18" t="n">
        <v>0</v>
      </c>
      <c r="H8254" s="18" t="n">
        <v>197.16</v>
      </c>
      <c r="I8254" s="18" t="n">
        <f aca="false">((I8253 + G8254) - H8254)</f>
        <v>-74985.74</v>
      </c>
      <c r="J8254" s="18" t="n">
        <v>0</v>
      </c>
      <c r="K8254" s="19" t="n">
        <v>0</v>
      </c>
      <c r="L8254" s="17"/>
    </row>
    <row r="8255" s="11" customFormat="true" ht="10.95" hidden="false" customHeight="true" outlineLevel="0" collapsed="false">
      <c r="A8255" s="16" t="n">
        <v>45274</v>
      </c>
      <c r="B8255" s="17" t="s">
        <v>3613</v>
      </c>
      <c r="C8255" s="17" t="s">
        <v>3614</v>
      </c>
      <c r="D8255" s="17" t="s">
        <v>1391</v>
      </c>
      <c r="E8255" s="17" t="s">
        <v>3694</v>
      </c>
      <c r="F8255" s="17" t="s">
        <v>2404</v>
      </c>
      <c r="G8255" s="18" t="n">
        <v>0</v>
      </c>
      <c r="H8255" s="18" t="n">
        <v>233.88</v>
      </c>
      <c r="I8255" s="18" t="n">
        <f aca="false">((I8254 + G8255) - H8255)</f>
        <v>-75219.62</v>
      </c>
      <c r="J8255" s="18" t="n">
        <v>0</v>
      </c>
      <c r="K8255" s="19" t="n">
        <v>0</v>
      </c>
      <c r="L8255" s="17"/>
    </row>
    <row r="8256" s="11" customFormat="true" ht="10.95" hidden="false" customHeight="true" outlineLevel="0" collapsed="false">
      <c r="A8256" s="16" t="n">
        <v>45275</v>
      </c>
      <c r="B8256" s="17" t="s">
        <v>3613</v>
      </c>
      <c r="C8256" s="17" t="s">
        <v>3614</v>
      </c>
      <c r="D8256" s="17" t="s">
        <v>2903</v>
      </c>
      <c r="E8256" s="17" t="s">
        <v>2908</v>
      </c>
      <c r="F8256" s="17" t="s">
        <v>2364</v>
      </c>
      <c r="G8256" s="18" t="n">
        <v>471.36</v>
      </c>
      <c r="H8256" s="18" t="n">
        <v>0</v>
      </c>
      <c r="I8256" s="18" t="n">
        <f aca="false">((I8255 + G8256) - H8256)</f>
        <v>-74748.26</v>
      </c>
      <c r="J8256" s="18" t="n">
        <v>0</v>
      </c>
      <c r="K8256" s="19" t="n">
        <v>0</v>
      </c>
      <c r="L8256" s="17"/>
    </row>
    <row r="8257" s="11" customFormat="true" ht="10.95" hidden="false" customHeight="true" outlineLevel="0" collapsed="false">
      <c r="A8257" s="16" t="n">
        <v>45276</v>
      </c>
      <c r="B8257" s="17" t="s">
        <v>3613</v>
      </c>
      <c r="C8257" s="17" t="s">
        <v>3614</v>
      </c>
      <c r="D8257" s="17" t="s">
        <v>2903</v>
      </c>
      <c r="E8257" s="17" t="s">
        <v>3695</v>
      </c>
      <c r="F8257" s="17" t="s">
        <v>3201</v>
      </c>
      <c r="G8257" s="18" t="n">
        <v>427.34</v>
      </c>
      <c r="H8257" s="18" t="n">
        <v>0</v>
      </c>
      <c r="I8257" s="18" t="n">
        <f aca="false">((I8256 + G8257) - H8257)</f>
        <v>-74320.92</v>
      </c>
      <c r="J8257" s="18" t="n">
        <v>0</v>
      </c>
      <c r="K8257" s="19" t="n">
        <v>0</v>
      </c>
      <c r="L8257" s="17"/>
    </row>
    <row r="8258" s="11" customFormat="true" ht="10.95" hidden="false" customHeight="true" outlineLevel="0" collapsed="false">
      <c r="A8258" s="16" t="n">
        <v>45278</v>
      </c>
      <c r="B8258" s="17" t="s">
        <v>3613</v>
      </c>
      <c r="C8258" s="17" t="s">
        <v>3614</v>
      </c>
      <c r="D8258" s="17" t="s">
        <v>1391</v>
      </c>
      <c r="E8258" s="17" t="s">
        <v>3642</v>
      </c>
      <c r="F8258" s="17" t="s">
        <v>2406</v>
      </c>
      <c r="G8258" s="18" t="n">
        <v>0</v>
      </c>
      <c r="H8258" s="18" t="n">
        <v>68.2</v>
      </c>
      <c r="I8258" s="18" t="n">
        <f aca="false">((I8257 + G8258) - H8258)</f>
        <v>-74389.12</v>
      </c>
      <c r="J8258" s="18" t="n">
        <v>0</v>
      </c>
      <c r="K8258" s="19" t="n">
        <v>0</v>
      </c>
      <c r="L8258" s="17"/>
    </row>
    <row r="8259" s="11" customFormat="true" ht="10.95" hidden="false" customHeight="true" outlineLevel="0" collapsed="false">
      <c r="A8259" s="16" t="n">
        <v>45278</v>
      </c>
      <c r="B8259" s="17" t="s">
        <v>3613</v>
      </c>
      <c r="C8259" s="17" t="s">
        <v>3614</v>
      </c>
      <c r="D8259" s="17" t="s">
        <v>1391</v>
      </c>
      <c r="E8259" s="17" t="s">
        <v>3642</v>
      </c>
      <c r="F8259" s="17" t="s">
        <v>2408</v>
      </c>
      <c r="G8259" s="18" t="n">
        <v>0</v>
      </c>
      <c r="H8259" s="18" t="n">
        <v>45.32</v>
      </c>
      <c r="I8259" s="18" t="n">
        <f aca="false">((I8258 + G8259) - H8259)</f>
        <v>-74434.44</v>
      </c>
      <c r="J8259" s="18" t="n">
        <v>0</v>
      </c>
      <c r="K8259" s="19" t="n">
        <v>0</v>
      </c>
      <c r="L8259" s="17"/>
    </row>
    <row r="8260" s="11" customFormat="true" ht="10.95" hidden="false" customHeight="true" outlineLevel="0" collapsed="false">
      <c r="A8260" s="16" t="n">
        <v>45278</v>
      </c>
      <c r="B8260" s="17" t="s">
        <v>3613</v>
      </c>
      <c r="C8260" s="17" t="s">
        <v>3614</v>
      </c>
      <c r="D8260" s="17" t="s">
        <v>1391</v>
      </c>
      <c r="E8260" s="17" t="s">
        <v>3642</v>
      </c>
      <c r="F8260" s="17" t="s">
        <v>2410</v>
      </c>
      <c r="G8260" s="18" t="n">
        <v>0</v>
      </c>
      <c r="H8260" s="18" t="n">
        <v>36.19</v>
      </c>
      <c r="I8260" s="18" t="n">
        <f aca="false">((I8259 + G8260) - H8260)</f>
        <v>-74470.63</v>
      </c>
      <c r="J8260" s="18" t="n">
        <v>0</v>
      </c>
      <c r="K8260" s="19" t="n">
        <v>0</v>
      </c>
      <c r="L8260" s="17"/>
    </row>
    <row r="8261" s="11" customFormat="true" ht="10.95" hidden="false" customHeight="true" outlineLevel="0" collapsed="false">
      <c r="A8261" s="16" t="n">
        <v>45278</v>
      </c>
      <c r="B8261" s="17" t="s">
        <v>3613</v>
      </c>
      <c r="C8261" s="17" t="s">
        <v>3614</v>
      </c>
      <c r="D8261" s="17" t="s">
        <v>1391</v>
      </c>
      <c r="E8261" s="17" t="s">
        <v>3642</v>
      </c>
      <c r="F8261" s="17" t="s">
        <v>2412</v>
      </c>
      <c r="G8261" s="18" t="n">
        <v>0</v>
      </c>
      <c r="H8261" s="18" t="n">
        <v>76.56</v>
      </c>
      <c r="I8261" s="18" t="n">
        <f aca="false">((I8260 + G8261) - H8261)</f>
        <v>-74547.19</v>
      </c>
      <c r="J8261" s="18" t="n">
        <v>0</v>
      </c>
      <c r="K8261" s="19" t="n">
        <v>0</v>
      </c>
      <c r="L8261" s="17"/>
    </row>
    <row r="8262" s="11" customFormat="true" ht="10.95" hidden="false" customHeight="true" outlineLevel="0" collapsed="false">
      <c r="A8262" s="16" t="n">
        <v>45278</v>
      </c>
      <c r="B8262" s="17" t="s">
        <v>3613</v>
      </c>
      <c r="C8262" s="17" t="s">
        <v>3614</v>
      </c>
      <c r="D8262" s="17" t="s">
        <v>1391</v>
      </c>
      <c r="E8262" s="17" t="s">
        <v>3642</v>
      </c>
      <c r="F8262" s="17" t="s">
        <v>2414</v>
      </c>
      <c r="G8262" s="18" t="n">
        <v>0</v>
      </c>
      <c r="H8262" s="18" t="n">
        <v>219.78</v>
      </c>
      <c r="I8262" s="18" t="n">
        <f aca="false">((I8261 + G8262) - H8262)</f>
        <v>-74766.97</v>
      </c>
      <c r="J8262" s="18" t="n">
        <v>0</v>
      </c>
      <c r="K8262" s="19" t="n">
        <v>0</v>
      </c>
      <c r="L8262" s="17"/>
    </row>
    <row r="8263" s="11" customFormat="true" ht="10.95" hidden="false" customHeight="true" outlineLevel="0" collapsed="false">
      <c r="A8263" s="16" t="n">
        <v>45278</v>
      </c>
      <c r="B8263" s="17" t="s">
        <v>3613</v>
      </c>
      <c r="C8263" s="17" t="s">
        <v>3614</v>
      </c>
      <c r="D8263" s="17" t="s">
        <v>1391</v>
      </c>
      <c r="E8263" s="17" t="s">
        <v>3642</v>
      </c>
      <c r="F8263" s="17" t="s">
        <v>2416</v>
      </c>
      <c r="G8263" s="18" t="n">
        <v>0</v>
      </c>
      <c r="H8263" s="18" t="n">
        <v>9.02</v>
      </c>
      <c r="I8263" s="18" t="n">
        <f aca="false">((I8262 + G8263) - H8263)</f>
        <v>-74775.99</v>
      </c>
      <c r="J8263" s="18" t="n">
        <v>0</v>
      </c>
      <c r="K8263" s="19" t="n">
        <v>0</v>
      </c>
      <c r="L8263" s="17"/>
    </row>
    <row r="8264" s="11" customFormat="true" ht="10.95" hidden="false" customHeight="true" outlineLevel="0" collapsed="false">
      <c r="A8264" s="16" t="n">
        <v>45278</v>
      </c>
      <c r="B8264" s="17" t="s">
        <v>3613</v>
      </c>
      <c r="C8264" s="17" t="s">
        <v>3614</v>
      </c>
      <c r="D8264" s="17" t="s">
        <v>1391</v>
      </c>
      <c r="E8264" s="17" t="s">
        <v>3642</v>
      </c>
      <c r="F8264" s="17" t="s">
        <v>2418</v>
      </c>
      <c r="G8264" s="18" t="n">
        <v>0</v>
      </c>
      <c r="H8264" s="18" t="n">
        <v>24.2</v>
      </c>
      <c r="I8264" s="18" t="n">
        <f aca="false">((I8263 + G8264) - H8264)</f>
        <v>-74800.19</v>
      </c>
      <c r="J8264" s="18" t="n">
        <v>0</v>
      </c>
      <c r="K8264" s="19" t="n">
        <v>0</v>
      </c>
      <c r="L8264" s="17"/>
    </row>
    <row r="8265" s="11" customFormat="true" ht="10.95" hidden="false" customHeight="true" outlineLevel="0" collapsed="false">
      <c r="A8265" s="16" t="n">
        <v>45278</v>
      </c>
      <c r="B8265" s="17" t="s">
        <v>3613</v>
      </c>
      <c r="C8265" s="17" t="s">
        <v>3614</v>
      </c>
      <c r="D8265" s="17" t="s">
        <v>1391</v>
      </c>
      <c r="E8265" s="17" t="s">
        <v>3642</v>
      </c>
      <c r="F8265" s="17" t="s">
        <v>2420</v>
      </c>
      <c r="G8265" s="18" t="n">
        <v>0</v>
      </c>
      <c r="H8265" s="18" t="n">
        <v>60.5</v>
      </c>
      <c r="I8265" s="18" t="n">
        <f aca="false">((I8264 + G8265) - H8265)</f>
        <v>-74860.69</v>
      </c>
      <c r="J8265" s="18" t="n">
        <v>0</v>
      </c>
      <c r="K8265" s="19" t="n">
        <v>0</v>
      </c>
      <c r="L8265" s="17"/>
    </row>
    <row r="8266" s="11" customFormat="true" ht="10.95" hidden="false" customHeight="true" outlineLevel="0" collapsed="false">
      <c r="A8266" s="16" t="n">
        <v>45279</v>
      </c>
      <c r="B8266" s="17" t="s">
        <v>3613</v>
      </c>
      <c r="C8266" s="17" t="s">
        <v>3614</v>
      </c>
      <c r="D8266" s="17" t="s">
        <v>2903</v>
      </c>
      <c r="E8266" s="17" t="s">
        <v>3616</v>
      </c>
      <c r="F8266" s="17" t="s">
        <v>3280</v>
      </c>
      <c r="G8266" s="18" t="n">
        <v>3063.5</v>
      </c>
      <c r="H8266" s="18" t="n">
        <v>0</v>
      </c>
      <c r="I8266" s="18" t="n">
        <f aca="false">((I8265 + G8266) - H8266)</f>
        <v>-71797.19</v>
      </c>
      <c r="J8266" s="18" t="n">
        <v>0</v>
      </c>
      <c r="K8266" s="19" t="n">
        <v>0</v>
      </c>
      <c r="L8266" s="17"/>
    </row>
    <row r="8267" s="11" customFormat="true" ht="10.95" hidden="false" customHeight="true" outlineLevel="0" collapsed="false">
      <c r="A8267" s="16" t="n">
        <v>45279</v>
      </c>
      <c r="B8267" s="17" t="s">
        <v>3613</v>
      </c>
      <c r="C8267" s="17" t="s">
        <v>3614</v>
      </c>
      <c r="D8267" s="17" t="s">
        <v>2903</v>
      </c>
      <c r="E8267" s="17" t="s">
        <v>3012</v>
      </c>
      <c r="F8267" s="17" t="s">
        <v>2404</v>
      </c>
      <c r="G8267" s="18" t="n">
        <v>233.88</v>
      </c>
      <c r="H8267" s="18" t="n">
        <v>0</v>
      </c>
      <c r="I8267" s="18" t="n">
        <f aca="false">((I8266 + G8267) - H8267)</f>
        <v>-71563.31</v>
      </c>
      <c r="J8267" s="18" t="n">
        <v>0</v>
      </c>
      <c r="K8267" s="19" t="n">
        <v>0</v>
      </c>
      <c r="L8267" s="17"/>
    </row>
    <row r="8268" s="11" customFormat="true" ht="10.95" hidden="false" customHeight="true" outlineLevel="0" collapsed="false">
      <c r="A8268" s="16" t="n">
        <v>45279</v>
      </c>
      <c r="B8268" s="17" t="s">
        <v>3613</v>
      </c>
      <c r="C8268" s="17" t="s">
        <v>3614</v>
      </c>
      <c r="D8268" s="17" t="s">
        <v>2903</v>
      </c>
      <c r="E8268" s="17" t="s">
        <v>3013</v>
      </c>
      <c r="F8268" s="17" t="s">
        <v>2402</v>
      </c>
      <c r="G8268" s="18" t="n">
        <v>197.16</v>
      </c>
      <c r="H8268" s="18" t="n">
        <v>0</v>
      </c>
      <c r="I8268" s="18" t="n">
        <f aca="false">((I8267 + G8268) - H8268)</f>
        <v>-71366.15</v>
      </c>
      <c r="J8268" s="18" t="n">
        <v>0</v>
      </c>
      <c r="K8268" s="19" t="n">
        <v>0</v>
      </c>
      <c r="L8268" s="17"/>
    </row>
    <row r="8269" s="11" customFormat="true" ht="10.95" hidden="false" customHeight="true" outlineLevel="0" collapsed="false">
      <c r="A8269" s="16" t="n">
        <v>45279</v>
      </c>
      <c r="B8269" s="17" t="s">
        <v>3613</v>
      </c>
      <c r="C8269" s="17" t="s">
        <v>3614</v>
      </c>
      <c r="D8269" s="17" t="s">
        <v>2903</v>
      </c>
      <c r="E8269" s="17" t="s">
        <v>3696</v>
      </c>
      <c r="F8269" s="17" t="s">
        <v>3597</v>
      </c>
      <c r="G8269" s="18" t="n">
        <v>6251.74</v>
      </c>
      <c r="H8269" s="18" t="n">
        <v>0</v>
      </c>
      <c r="I8269" s="18" t="n">
        <f aca="false">((I8268 + G8269) - H8269)</f>
        <v>-65114.41</v>
      </c>
      <c r="J8269" s="18" t="n">
        <v>0</v>
      </c>
      <c r="K8269" s="19" t="n">
        <v>0</v>
      </c>
      <c r="L8269" s="17"/>
    </row>
    <row r="8270" s="11" customFormat="true" ht="10.95" hidden="false" customHeight="true" outlineLevel="0" collapsed="false">
      <c r="A8270" s="16" t="n">
        <v>45280</v>
      </c>
      <c r="B8270" s="17" t="s">
        <v>3613</v>
      </c>
      <c r="C8270" s="17" t="s">
        <v>3614</v>
      </c>
      <c r="D8270" s="17" t="s">
        <v>1391</v>
      </c>
      <c r="E8270" s="17" t="s">
        <v>3668</v>
      </c>
      <c r="F8270" s="17" t="s">
        <v>2423</v>
      </c>
      <c r="G8270" s="18" t="n">
        <v>0</v>
      </c>
      <c r="H8270" s="18" t="n">
        <v>97</v>
      </c>
      <c r="I8270" s="18" t="n">
        <f aca="false">((I8269 + G8270) - H8270)</f>
        <v>-65211.41</v>
      </c>
      <c r="J8270" s="18" t="n">
        <v>0</v>
      </c>
      <c r="K8270" s="19" t="n">
        <v>0</v>
      </c>
      <c r="L8270" s="17"/>
    </row>
    <row r="8271" s="11" customFormat="true" ht="10.95" hidden="false" customHeight="true" outlineLevel="0" collapsed="false">
      <c r="A8271" s="16" t="n">
        <v>45281</v>
      </c>
      <c r="B8271" s="17" t="s">
        <v>3613</v>
      </c>
      <c r="C8271" s="17" t="s">
        <v>3614</v>
      </c>
      <c r="D8271" s="17" t="s">
        <v>1391</v>
      </c>
      <c r="E8271" s="17" t="s">
        <v>3697</v>
      </c>
      <c r="F8271" s="17" t="s">
        <v>3597</v>
      </c>
      <c r="G8271" s="18" t="n">
        <v>0</v>
      </c>
      <c r="H8271" s="18" t="n">
        <v>6251.74</v>
      </c>
      <c r="I8271" s="18" t="n">
        <f aca="false">((I8270 + G8271) - H8271)</f>
        <v>-71463.15</v>
      </c>
      <c r="J8271" s="18" t="n">
        <v>0</v>
      </c>
      <c r="K8271" s="19" t="n">
        <v>0</v>
      </c>
      <c r="L8271" s="17"/>
    </row>
    <row r="8272" s="11" customFormat="true" ht="10.95" hidden="false" customHeight="true" outlineLevel="0" collapsed="false">
      <c r="A8272" s="16" t="n">
        <v>45281</v>
      </c>
      <c r="B8272" s="17" t="s">
        <v>3613</v>
      </c>
      <c r="C8272" s="17" t="s">
        <v>3614</v>
      </c>
      <c r="D8272" s="17" t="s">
        <v>2903</v>
      </c>
      <c r="E8272" s="17" t="s">
        <v>3644</v>
      </c>
      <c r="F8272" s="17" t="s">
        <v>2412</v>
      </c>
      <c r="G8272" s="18" t="n">
        <v>76.56</v>
      </c>
      <c r="H8272" s="18" t="n">
        <v>0</v>
      </c>
      <c r="I8272" s="18" t="n">
        <f aca="false">((I8271 + G8272) - H8272)</f>
        <v>-71386.59</v>
      </c>
      <c r="J8272" s="18" t="n">
        <v>0</v>
      </c>
      <c r="K8272" s="19" t="n">
        <v>0</v>
      </c>
      <c r="L8272" s="17"/>
    </row>
    <row r="8273" s="11" customFormat="true" ht="10.95" hidden="false" customHeight="true" outlineLevel="0" collapsed="false">
      <c r="A8273" s="16" t="n">
        <v>45281</v>
      </c>
      <c r="B8273" s="17" t="s">
        <v>3613</v>
      </c>
      <c r="C8273" s="17" t="s">
        <v>3614</v>
      </c>
      <c r="D8273" s="17" t="s">
        <v>2903</v>
      </c>
      <c r="E8273" s="17" t="s">
        <v>3645</v>
      </c>
      <c r="F8273" s="17" t="s">
        <v>1474</v>
      </c>
      <c r="G8273" s="18" t="n">
        <v>538.76</v>
      </c>
      <c r="H8273" s="18" t="n">
        <v>0</v>
      </c>
      <c r="I8273" s="18" t="n">
        <f aca="false">((I8272 + G8273) - H8273)</f>
        <v>-70847.83</v>
      </c>
      <c r="J8273" s="18" t="n">
        <v>0</v>
      </c>
      <c r="K8273" s="19" t="n">
        <v>0</v>
      </c>
      <c r="L8273" s="17"/>
    </row>
    <row r="8274" s="11" customFormat="true" ht="10.95" hidden="false" customHeight="true" outlineLevel="0" collapsed="false">
      <c r="A8274" s="16" t="n">
        <v>45282</v>
      </c>
      <c r="B8274" s="17" t="s">
        <v>3613</v>
      </c>
      <c r="C8274" s="17" t="s">
        <v>3614</v>
      </c>
      <c r="D8274" s="17" t="s">
        <v>1391</v>
      </c>
      <c r="E8274" s="17" t="s">
        <v>3638</v>
      </c>
      <c r="F8274" s="17" t="s">
        <v>3282</v>
      </c>
      <c r="G8274" s="18" t="n">
        <v>0</v>
      </c>
      <c r="H8274" s="18" t="n">
        <v>2905.1</v>
      </c>
      <c r="I8274" s="18" t="n">
        <f aca="false">((I8273 + G8274) - H8274)</f>
        <v>-73752.93</v>
      </c>
      <c r="J8274" s="18" t="n">
        <v>0</v>
      </c>
      <c r="K8274" s="19" t="n">
        <v>0</v>
      </c>
      <c r="L8274" s="17"/>
    </row>
    <row r="8275" s="11" customFormat="true" ht="10.95" hidden="false" customHeight="true" outlineLevel="0" collapsed="false">
      <c r="A8275" s="16" t="n">
        <v>45282</v>
      </c>
      <c r="B8275" s="17" t="s">
        <v>3613</v>
      </c>
      <c r="C8275" s="17" t="s">
        <v>3614</v>
      </c>
      <c r="D8275" s="17" t="s">
        <v>2903</v>
      </c>
      <c r="E8275" s="17" t="s">
        <v>3644</v>
      </c>
      <c r="F8275" s="17" t="s">
        <v>2416</v>
      </c>
      <c r="G8275" s="18" t="n">
        <v>9.02</v>
      </c>
      <c r="H8275" s="18" t="n">
        <v>0</v>
      </c>
      <c r="I8275" s="18" t="n">
        <f aca="false">((I8274 + G8275) - H8275)</f>
        <v>-73743.91</v>
      </c>
      <c r="J8275" s="18" t="n">
        <v>0</v>
      </c>
      <c r="K8275" s="19" t="n">
        <v>0</v>
      </c>
      <c r="L8275" s="17"/>
    </row>
    <row r="8276" s="11" customFormat="true" ht="10.95" hidden="false" customHeight="true" outlineLevel="0" collapsed="false">
      <c r="A8276" s="16" t="n">
        <v>45282</v>
      </c>
      <c r="B8276" s="17" t="s">
        <v>3613</v>
      </c>
      <c r="C8276" s="17" t="s">
        <v>3614</v>
      </c>
      <c r="D8276" s="17" t="s">
        <v>2903</v>
      </c>
      <c r="E8276" s="17" t="s">
        <v>3644</v>
      </c>
      <c r="F8276" s="17" t="s">
        <v>2418</v>
      </c>
      <c r="G8276" s="18" t="n">
        <v>24.2</v>
      </c>
      <c r="H8276" s="18" t="n">
        <v>0</v>
      </c>
      <c r="I8276" s="18" t="n">
        <f aca="false">((I8275 + G8276) - H8276)</f>
        <v>-73719.71</v>
      </c>
      <c r="J8276" s="18" t="n">
        <v>0</v>
      </c>
      <c r="K8276" s="19" t="n">
        <v>0</v>
      </c>
      <c r="L8276" s="17"/>
    </row>
    <row r="8277" s="11" customFormat="true" ht="10.95" hidden="false" customHeight="true" outlineLevel="0" collapsed="false">
      <c r="A8277" s="16" t="n">
        <v>45282</v>
      </c>
      <c r="B8277" s="17" t="s">
        <v>3613</v>
      </c>
      <c r="C8277" s="17" t="s">
        <v>3614</v>
      </c>
      <c r="D8277" s="17" t="s">
        <v>2903</v>
      </c>
      <c r="E8277" s="17" t="s">
        <v>3644</v>
      </c>
      <c r="F8277" s="17" t="s">
        <v>2410</v>
      </c>
      <c r="G8277" s="18" t="n">
        <v>36.19</v>
      </c>
      <c r="H8277" s="18" t="n">
        <v>0</v>
      </c>
      <c r="I8277" s="18" t="n">
        <f aca="false">((I8276 + G8277) - H8277)</f>
        <v>-73683.52</v>
      </c>
      <c r="J8277" s="18" t="n">
        <v>0</v>
      </c>
      <c r="K8277" s="19" t="n">
        <v>0</v>
      </c>
      <c r="L8277" s="17"/>
    </row>
    <row r="8278" s="11" customFormat="true" ht="10.95" hidden="false" customHeight="true" outlineLevel="0" collapsed="false">
      <c r="A8278" s="16" t="n">
        <v>45282</v>
      </c>
      <c r="B8278" s="17" t="s">
        <v>3613</v>
      </c>
      <c r="C8278" s="17" t="s">
        <v>3614</v>
      </c>
      <c r="D8278" s="17" t="s">
        <v>2903</v>
      </c>
      <c r="E8278" s="17" t="s">
        <v>3644</v>
      </c>
      <c r="F8278" s="17" t="s">
        <v>2408</v>
      </c>
      <c r="G8278" s="18" t="n">
        <v>45.32</v>
      </c>
      <c r="H8278" s="18" t="n">
        <v>0</v>
      </c>
      <c r="I8278" s="18" t="n">
        <f aca="false">((I8277 + G8278) - H8278)</f>
        <v>-73638.2</v>
      </c>
      <c r="J8278" s="18" t="n">
        <v>0</v>
      </c>
      <c r="K8278" s="19" t="n">
        <v>0</v>
      </c>
      <c r="L8278" s="17"/>
    </row>
    <row r="8279" s="11" customFormat="true" ht="10.95" hidden="false" customHeight="true" outlineLevel="0" collapsed="false">
      <c r="A8279" s="16" t="n">
        <v>45282</v>
      </c>
      <c r="B8279" s="17" t="s">
        <v>3613</v>
      </c>
      <c r="C8279" s="17" t="s">
        <v>3614</v>
      </c>
      <c r="D8279" s="17" t="s">
        <v>2903</v>
      </c>
      <c r="E8279" s="17" t="s">
        <v>3644</v>
      </c>
      <c r="F8279" s="17" t="s">
        <v>2420</v>
      </c>
      <c r="G8279" s="18" t="n">
        <v>60.5</v>
      </c>
      <c r="H8279" s="18" t="n">
        <v>0</v>
      </c>
      <c r="I8279" s="18" t="n">
        <f aca="false">((I8278 + G8279) - H8279)</f>
        <v>-73577.7</v>
      </c>
      <c r="J8279" s="18" t="n">
        <v>0</v>
      </c>
      <c r="K8279" s="19" t="n">
        <v>0</v>
      </c>
      <c r="L8279" s="17"/>
    </row>
    <row r="8280" s="11" customFormat="true" ht="10.95" hidden="false" customHeight="true" outlineLevel="0" collapsed="false">
      <c r="A8280" s="16" t="n">
        <v>45282</v>
      </c>
      <c r="B8280" s="17" t="s">
        <v>3613</v>
      </c>
      <c r="C8280" s="17" t="s">
        <v>3614</v>
      </c>
      <c r="D8280" s="17" t="s">
        <v>2903</v>
      </c>
      <c r="E8280" s="17" t="s">
        <v>3644</v>
      </c>
      <c r="F8280" s="17" t="s">
        <v>2406</v>
      </c>
      <c r="G8280" s="18" t="n">
        <v>68.2</v>
      </c>
      <c r="H8280" s="18" t="n">
        <v>0</v>
      </c>
      <c r="I8280" s="18" t="n">
        <f aca="false">((I8279 + G8280) - H8280)</f>
        <v>-73509.5</v>
      </c>
      <c r="J8280" s="18" t="n">
        <v>0</v>
      </c>
      <c r="K8280" s="19" t="n">
        <v>0</v>
      </c>
      <c r="L8280" s="17"/>
    </row>
    <row r="8281" s="11" customFormat="true" ht="10.95" hidden="false" customHeight="true" outlineLevel="0" collapsed="false">
      <c r="A8281" s="16" t="n">
        <v>45282</v>
      </c>
      <c r="B8281" s="17" t="s">
        <v>3613</v>
      </c>
      <c r="C8281" s="17" t="s">
        <v>3614</v>
      </c>
      <c r="D8281" s="17" t="s">
        <v>2903</v>
      </c>
      <c r="E8281" s="17" t="s">
        <v>3644</v>
      </c>
      <c r="F8281" s="17" t="s">
        <v>2414</v>
      </c>
      <c r="G8281" s="18" t="n">
        <v>219.78</v>
      </c>
      <c r="H8281" s="18" t="n">
        <v>0</v>
      </c>
      <c r="I8281" s="18" t="n">
        <f aca="false">((I8280 + G8281) - H8281)</f>
        <v>-73289.72</v>
      </c>
      <c r="J8281" s="18" t="n">
        <v>0</v>
      </c>
      <c r="K8281" s="19" t="n">
        <v>0</v>
      </c>
      <c r="L8281" s="17"/>
    </row>
    <row r="8282" s="11" customFormat="true" ht="10.95" hidden="false" customHeight="true" outlineLevel="0" collapsed="false">
      <c r="A8282" s="16" t="n">
        <v>45283</v>
      </c>
      <c r="B8282" s="17" t="s">
        <v>3613</v>
      </c>
      <c r="C8282" s="17" t="s">
        <v>3614</v>
      </c>
      <c r="D8282" s="17" t="s">
        <v>2903</v>
      </c>
      <c r="E8282" s="17" t="s">
        <v>3671</v>
      </c>
      <c r="F8282" s="17" t="s">
        <v>2423</v>
      </c>
      <c r="G8282" s="18" t="n">
        <v>97</v>
      </c>
      <c r="H8282" s="18" t="n">
        <v>0</v>
      </c>
      <c r="I8282" s="18" t="n">
        <f aca="false">((I8281 + G8282) - H8282)</f>
        <v>-73192.72</v>
      </c>
      <c r="J8282" s="18" t="n">
        <v>0</v>
      </c>
      <c r="K8282" s="19" t="n">
        <v>0</v>
      </c>
      <c r="L8282" s="17"/>
    </row>
    <row r="8283" s="11" customFormat="true" ht="10.95" hidden="false" customHeight="true" outlineLevel="0" collapsed="false">
      <c r="A8283" s="16" t="n">
        <v>45289</v>
      </c>
      <c r="B8283" s="17" t="s">
        <v>3613</v>
      </c>
      <c r="C8283" s="17" t="s">
        <v>3614</v>
      </c>
      <c r="D8283" s="17" t="s">
        <v>1391</v>
      </c>
      <c r="E8283" s="17" t="s">
        <v>3647</v>
      </c>
      <c r="F8283" s="17" t="s">
        <v>1484</v>
      </c>
      <c r="G8283" s="18" t="n">
        <v>0</v>
      </c>
      <c r="H8283" s="18" t="n">
        <v>4971.71</v>
      </c>
      <c r="I8283" s="18" t="n">
        <f aca="false">((I8282 + G8283) - H8283)</f>
        <v>-78164.43</v>
      </c>
      <c r="J8283" s="18" t="n">
        <v>0</v>
      </c>
      <c r="K8283" s="19" t="n">
        <v>0</v>
      </c>
      <c r="L8283" s="17"/>
    </row>
    <row r="8284" s="11" customFormat="true" ht="10.95" hidden="false" customHeight="true" outlineLevel="0" collapsed="false">
      <c r="A8284" s="16" t="n">
        <v>45289</v>
      </c>
      <c r="B8284" s="17" t="s">
        <v>3613</v>
      </c>
      <c r="C8284" s="17" t="s">
        <v>3614</v>
      </c>
      <c r="D8284" s="17" t="s">
        <v>1391</v>
      </c>
      <c r="E8284" s="17" t="s">
        <v>3698</v>
      </c>
      <c r="F8284" s="17" t="s">
        <v>1604</v>
      </c>
      <c r="G8284" s="18" t="n">
        <v>0</v>
      </c>
      <c r="H8284" s="18" t="n">
        <v>14333.84</v>
      </c>
      <c r="I8284" s="18" t="n">
        <f aca="false">((I8283 + G8284) - H8284)</f>
        <v>-92498.27</v>
      </c>
      <c r="J8284" s="18" t="n">
        <v>0</v>
      </c>
      <c r="K8284" s="19" t="n">
        <v>0</v>
      </c>
      <c r="L8284" s="17"/>
    </row>
    <row r="8285" s="11" customFormat="true" ht="10.95" hidden="false" customHeight="true" outlineLevel="0" collapsed="false">
      <c r="A8285" s="16" t="n">
        <v>45290</v>
      </c>
      <c r="B8285" s="17" t="s">
        <v>3613</v>
      </c>
      <c r="C8285" s="17" t="s">
        <v>3614</v>
      </c>
      <c r="D8285" s="17" t="s">
        <v>2903</v>
      </c>
      <c r="E8285" s="17" t="s">
        <v>3648</v>
      </c>
      <c r="F8285" s="17" t="s">
        <v>2673</v>
      </c>
      <c r="G8285" s="18" t="n">
        <v>331.23</v>
      </c>
      <c r="H8285" s="18" t="n">
        <v>0</v>
      </c>
      <c r="I8285" s="18" t="n">
        <f aca="false">((I8284 + G8285) - H8285)</f>
        <v>-92167.04</v>
      </c>
      <c r="J8285" s="18" t="n">
        <v>0</v>
      </c>
      <c r="K8285" s="19" t="n">
        <v>0</v>
      </c>
      <c r="L8285" s="17"/>
    </row>
    <row r="8286" s="11" customFormat="true" ht="10.95" hidden="false" customHeight="true" outlineLevel="0" collapsed="false">
      <c r="A8286" s="16" t="n">
        <v>45290</v>
      </c>
      <c r="B8286" s="17" t="s">
        <v>3613</v>
      </c>
      <c r="C8286" s="17" t="s">
        <v>3614</v>
      </c>
      <c r="D8286" s="17" t="s">
        <v>2903</v>
      </c>
      <c r="E8286" s="17" t="s">
        <v>3657</v>
      </c>
      <c r="F8286" s="17" t="s">
        <v>1484</v>
      </c>
      <c r="G8286" s="18" t="n">
        <v>4971.71</v>
      </c>
      <c r="H8286" s="18" t="n">
        <v>0</v>
      </c>
      <c r="I8286" s="18" t="n">
        <f aca="false">((I8285 + G8286) - H8286)</f>
        <v>-87195.33</v>
      </c>
      <c r="J8286" s="18" t="n">
        <v>0</v>
      </c>
      <c r="K8286" s="19" t="n">
        <v>0</v>
      </c>
      <c r="L8286" s="17"/>
    </row>
    <row r="8287" s="11" customFormat="true" ht="10.95" hidden="false" customHeight="true" outlineLevel="0" collapsed="false">
      <c r="A8287" s="16" t="n">
        <v>45290</v>
      </c>
      <c r="B8287" s="17" t="s">
        <v>3613</v>
      </c>
      <c r="C8287" s="17" t="s">
        <v>3614</v>
      </c>
      <c r="D8287" s="17" t="s">
        <v>2903</v>
      </c>
      <c r="E8287" s="17" t="s">
        <v>3645</v>
      </c>
      <c r="F8287" s="17" t="s">
        <v>1478</v>
      </c>
      <c r="G8287" s="18" t="n">
        <v>2013</v>
      </c>
      <c r="H8287" s="18" t="n">
        <v>0</v>
      </c>
      <c r="I8287" s="18" t="n">
        <f aca="false">((I8286 + G8287) - H8287)</f>
        <v>-85182.33</v>
      </c>
      <c r="J8287" s="18" t="n">
        <v>0</v>
      </c>
      <c r="K8287" s="19" t="n">
        <v>0</v>
      </c>
      <c r="L8287" s="17"/>
    </row>
    <row r="8288" s="11" customFormat="true" ht="10.95" hidden="false" customHeight="true" outlineLevel="0" collapsed="false">
      <c r="A8288" s="16" t="n">
        <v>45290</v>
      </c>
      <c r="B8288" s="17" t="s">
        <v>3613</v>
      </c>
      <c r="C8288" s="17" t="s">
        <v>3614</v>
      </c>
      <c r="D8288" s="17" t="s">
        <v>2903</v>
      </c>
      <c r="E8288" s="17" t="s">
        <v>3645</v>
      </c>
      <c r="F8288" s="17" t="s">
        <v>1480</v>
      </c>
      <c r="G8288" s="18" t="n">
        <v>17914.78</v>
      </c>
      <c r="H8288" s="18" t="n">
        <v>0</v>
      </c>
      <c r="I8288" s="18" t="n">
        <f aca="false">((I8287 + G8288) - H8288)</f>
        <v>-67267.55</v>
      </c>
      <c r="J8288" s="18" t="n">
        <v>0</v>
      </c>
      <c r="K8288" s="19" t="n">
        <v>0</v>
      </c>
      <c r="L8288" s="17"/>
    </row>
    <row r="8289" s="11" customFormat="true" ht="10.95" hidden="false" customHeight="true" outlineLevel="0" collapsed="false">
      <c r="A8289" s="16" t="n">
        <v>45291</v>
      </c>
      <c r="B8289" s="17" t="s">
        <v>3613</v>
      </c>
      <c r="C8289" s="17" t="s">
        <v>3614</v>
      </c>
      <c r="D8289" s="17" t="s">
        <v>1391</v>
      </c>
      <c r="E8289" s="17" t="s">
        <v>3627</v>
      </c>
      <c r="F8289" s="17" t="s">
        <v>1486</v>
      </c>
      <c r="G8289" s="18" t="n">
        <v>0</v>
      </c>
      <c r="H8289" s="18" t="n">
        <v>3840.66</v>
      </c>
      <c r="I8289" s="18" t="n">
        <f aca="false">((I8288 + G8289) - H8289)</f>
        <v>-71108.21</v>
      </c>
      <c r="J8289" s="18" t="n">
        <v>0</v>
      </c>
      <c r="K8289" s="19" t="n">
        <v>0</v>
      </c>
      <c r="L8289" s="17"/>
    </row>
    <row r="8290" s="11" customFormat="true" ht="10.95" hidden="false" customHeight="true" outlineLevel="0" collapsed="false">
      <c r="A8290" s="16" t="n">
        <v>45292</v>
      </c>
      <c r="B8290" s="17" t="s">
        <v>3613</v>
      </c>
      <c r="C8290" s="17" t="s">
        <v>3614</v>
      </c>
      <c r="D8290" s="17" t="s">
        <v>1391</v>
      </c>
      <c r="E8290" s="17" t="s">
        <v>3680</v>
      </c>
      <c r="F8290" s="17" t="s">
        <v>2677</v>
      </c>
      <c r="G8290" s="18" t="n">
        <v>0</v>
      </c>
      <c r="H8290" s="18" t="n">
        <v>174.11</v>
      </c>
      <c r="I8290" s="18" t="n">
        <f aca="false">((I8289 + G8290) - H8290)</f>
        <v>-71282.32</v>
      </c>
      <c r="J8290" s="18" t="n">
        <v>0</v>
      </c>
      <c r="K8290" s="19" t="n">
        <v>0</v>
      </c>
      <c r="L8290" s="17"/>
    </row>
    <row r="8291" s="11" customFormat="true" ht="10.95" hidden="false" customHeight="true" outlineLevel="0" collapsed="false">
      <c r="A8291" s="16" t="n">
        <v>45292</v>
      </c>
      <c r="B8291" s="17" t="s">
        <v>3613</v>
      </c>
      <c r="C8291" s="17" t="s">
        <v>3614</v>
      </c>
      <c r="D8291" s="17" t="s">
        <v>1391</v>
      </c>
      <c r="E8291" s="17" t="s">
        <v>3615</v>
      </c>
      <c r="F8291" s="17" t="s">
        <v>1488</v>
      </c>
      <c r="G8291" s="18" t="n">
        <v>0</v>
      </c>
      <c r="H8291" s="18" t="n">
        <v>538.76</v>
      </c>
      <c r="I8291" s="18" t="n">
        <f aca="false">((I8290 + G8291) - H8291)</f>
        <v>-71821.08</v>
      </c>
      <c r="J8291" s="18" t="n">
        <v>0</v>
      </c>
      <c r="K8291" s="19" t="n">
        <v>0</v>
      </c>
      <c r="L8291" s="17"/>
    </row>
    <row r="8292" s="11" customFormat="true" ht="10.95" hidden="false" customHeight="true" outlineLevel="0" collapsed="false">
      <c r="A8292" s="16" t="n">
        <v>45292</v>
      </c>
      <c r="B8292" s="17" t="s">
        <v>3613</v>
      </c>
      <c r="C8292" s="17" t="s">
        <v>3614</v>
      </c>
      <c r="D8292" s="17" t="s">
        <v>1391</v>
      </c>
      <c r="E8292" s="17" t="s">
        <v>3681</v>
      </c>
      <c r="F8292" s="17" t="s">
        <v>1628</v>
      </c>
      <c r="G8292" s="18" t="n">
        <v>0</v>
      </c>
      <c r="H8292" s="18" t="n">
        <v>231.9</v>
      </c>
      <c r="I8292" s="18" t="n">
        <f aca="false">((I8291 + G8292) - H8292)</f>
        <v>-72052.98</v>
      </c>
      <c r="J8292" s="18" t="n">
        <v>0</v>
      </c>
      <c r="K8292" s="19" t="n">
        <v>0</v>
      </c>
      <c r="L8292" s="17"/>
    </row>
    <row r="8293" s="11" customFormat="true" ht="10.95" hidden="false" customHeight="true" outlineLevel="0" collapsed="false">
      <c r="A8293" s="16" t="n">
        <v>45292</v>
      </c>
      <c r="B8293" s="17" t="s">
        <v>3613</v>
      </c>
      <c r="C8293" s="17" t="s">
        <v>3614</v>
      </c>
      <c r="D8293" s="17" t="s">
        <v>2903</v>
      </c>
      <c r="E8293" s="17" t="s">
        <v>3616</v>
      </c>
      <c r="F8293" s="17" t="s">
        <v>3282</v>
      </c>
      <c r="G8293" s="18" t="n">
        <v>2905.1</v>
      </c>
      <c r="H8293" s="18" t="n">
        <v>0</v>
      </c>
      <c r="I8293" s="18" t="n">
        <f aca="false">((I8292 + G8293) - H8293)</f>
        <v>-69147.88</v>
      </c>
      <c r="J8293" s="18" t="n">
        <v>0</v>
      </c>
      <c r="K8293" s="19" t="n">
        <v>0</v>
      </c>
      <c r="L8293" s="17"/>
    </row>
    <row r="8294" s="11" customFormat="true" ht="10.95" hidden="false" customHeight="true" outlineLevel="0" collapsed="false">
      <c r="A8294" s="16" t="n">
        <v>45292</v>
      </c>
      <c r="B8294" s="17" t="s">
        <v>3613</v>
      </c>
      <c r="C8294" s="17" t="s">
        <v>3614</v>
      </c>
      <c r="D8294" s="17" t="s">
        <v>1391</v>
      </c>
      <c r="E8294" s="17" t="s">
        <v>3621</v>
      </c>
      <c r="F8294" s="17" t="s">
        <v>2679</v>
      </c>
      <c r="G8294" s="18" t="n">
        <v>0</v>
      </c>
      <c r="H8294" s="18" t="n">
        <v>731.5</v>
      </c>
      <c r="I8294" s="18" t="n">
        <f aca="false">((I8293 + G8294) - H8294)</f>
        <v>-69879.38</v>
      </c>
      <c r="J8294" s="18" t="n">
        <v>0</v>
      </c>
      <c r="K8294" s="19" t="n">
        <v>0</v>
      </c>
      <c r="L8294" s="17"/>
    </row>
    <row r="8295" s="11" customFormat="true" ht="10.95" hidden="false" customHeight="true" outlineLevel="0" collapsed="false">
      <c r="A8295" s="16" t="n">
        <v>45292</v>
      </c>
      <c r="B8295" s="17" t="s">
        <v>3613</v>
      </c>
      <c r="C8295" s="17" t="s">
        <v>3614</v>
      </c>
      <c r="D8295" s="17" t="s">
        <v>1391</v>
      </c>
      <c r="E8295" s="17" t="s">
        <v>3650</v>
      </c>
      <c r="F8295" s="17" t="s">
        <v>2426</v>
      </c>
      <c r="G8295" s="18" t="n">
        <v>0</v>
      </c>
      <c r="H8295" s="18" t="n">
        <v>152.15</v>
      </c>
      <c r="I8295" s="18" t="n">
        <f aca="false">((I8294 + G8295) - H8295)</f>
        <v>-70031.53</v>
      </c>
      <c r="J8295" s="18" t="n">
        <v>0</v>
      </c>
      <c r="K8295" s="19" t="n">
        <v>0</v>
      </c>
      <c r="L8295" s="17"/>
    </row>
    <row r="8296" s="11" customFormat="true" ht="10.95" hidden="false" customHeight="true" outlineLevel="0" collapsed="false">
      <c r="A8296" s="16" t="n">
        <v>45292</v>
      </c>
      <c r="B8296" s="17" t="s">
        <v>3613</v>
      </c>
      <c r="C8296" s="17" t="s">
        <v>3614</v>
      </c>
      <c r="D8296" s="17" t="s">
        <v>1391</v>
      </c>
      <c r="E8296" s="17" t="s">
        <v>3650</v>
      </c>
      <c r="F8296" s="17" t="s">
        <v>2428</v>
      </c>
      <c r="G8296" s="18" t="n">
        <v>0</v>
      </c>
      <c r="H8296" s="18" t="n">
        <v>248</v>
      </c>
      <c r="I8296" s="18" t="n">
        <f aca="false">((I8295 + G8296) - H8296)</f>
        <v>-70279.53</v>
      </c>
      <c r="J8296" s="18" t="n">
        <v>0</v>
      </c>
      <c r="K8296" s="19" t="n">
        <v>0</v>
      </c>
      <c r="L8296" s="17"/>
    </row>
    <row r="8297" s="11" customFormat="true" ht="10.95" hidden="false" customHeight="true" outlineLevel="0" collapsed="false">
      <c r="A8297" s="16" t="n">
        <v>45293</v>
      </c>
      <c r="B8297" s="17" t="s">
        <v>3613</v>
      </c>
      <c r="C8297" s="17" t="s">
        <v>3614</v>
      </c>
      <c r="D8297" s="17" t="s">
        <v>1391</v>
      </c>
      <c r="E8297" s="17" t="s">
        <v>3615</v>
      </c>
      <c r="F8297" s="17" t="s">
        <v>1490</v>
      </c>
      <c r="G8297" s="18" t="n">
        <v>0</v>
      </c>
      <c r="H8297" s="18" t="n">
        <v>1947</v>
      </c>
      <c r="I8297" s="18" t="n">
        <f aca="false">((I8296 + G8297) - H8297)</f>
        <v>-72226.53</v>
      </c>
      <c r="J8297" s="18" t="n">
        <v>0</v>
      </c>
      <c r="K8297" s="19" t="n">
        <v>0</v>
      </c>
      <c r="L8297" s="17"/>
    </row>
    <row r="8298" s="11" customFormat="true" ht="10.95" hidden="false" customHeight="true" outlineLevel="0" collapsed="false">
      <c r="A8298" s="16" t="n">
        <v>45293</v>
      </c>
      <c r="B8298" s="17" t="s">
        <v>3613</v>
      </c>
      <c r="C8298" s="17" t="s">
        <v>3614</v>
      </c>
      <c r="D8298" s="17" t="s">
        <v>1391</v>
      </c>
      <c r="E8298" s="17" t="s">
        <v>3615</v>
      </c>
      <c r="F8298" s="17" t="s">
        <v>1492</v>
      </c>
      <c r="G8298" s="18" t="n">
        <v>0</v>
      </c>
      <c r="H8298" s="18" t="n">
        <v>17914.78</v>
      </c>
      <c r="I8298" s="18" t="n">
        <f aca="false">((I8297 + G8298) - H8298)</f>
        <v>-90141.31</v>
      </c>
      <c r="J8298" s="18" t="n">
        <v>0</v>
      </c>
      <c r="K8298" s="19" t="n">
        <v>0</v>
      </c>
      <c r="L8298" s="17"/>
    </row>
    <row r="8299" s="11" customFormat="true" ht="10.95" hidden="false" customHeight="true" outlineLevel="0" collapsed="false">
      <c r="A8299" s="16" t="n">
        <v>45293</v>
      </c>
      <c r="B8299" s="17" t="s">
        <v>3613</v>
      </c>
      <c r="C8299" s="17" t="s">
        <v>3614</v>
      </c>
      <c r="D8299" s="17" t="s">
        <v>1391</v>
      </c>
      <c r="E8299" s="17" t="s">
        <v>3699</v>
      </c>
      <c r="F8299" s="17"/>
      <c r="G8299" s="18" t="n">
        <v>0</v>
      </c>
      <c r="H8299" s="18" t="n">
        <v>170.39</v>
      </c>
      <c r="I8299" s="18" t="n">
        <f aca="false">((I8298 + G8299) - H8299)</f>
        <v>-90311.7</v>
      </c>
      <c r="J8299" s="18" t="n">
        <v>0</v>
      </c>
      <c r="K8299" s="19" t="n">
        <v>0</v>
      </c>
      <c r="L8299" s="17"/>
    </row>
    <row r="8300" s="11" customFormat="true" ht="10.95" hidden="false" customHeight="true" outlineLevel="0" collapsed="false">
      <c r="A8300" s="16" t="n">
        <v>45293</v>
      </c>
      <c r="B8300" s="17" t="s">
        <v>3613</v>
      </c>
      <c r="C8300" s="17" t="s">
        <v>3614</v>
      </c>
      <c r="D8300" s="17" t="s">
        <v>2903</v>
      </c>
      <c r="E8300" s="17" t="s">
        <v>3629</v>
      </c>
      <c r="F8300" s="17" t="s">
        <v>3197</v>
      </c>
      <c r="G8300" s="18" t="n">
        <v>23417</v>
      </c>
      <c r="H8300" s="18" t="n">
        <v>0</v>
      </c>
      <c r="I8300" s="18" t="n">
        <f aca="false">((I8299 + G8300) - H8300)</f>
        <v>-66894.7</v>
      </c>
      <c r="J8300" s="18" t="n">
        <v>0</v>
      </c>
      <c r="K8300" s="19" t="n">
        <v>0</v>
      </c>
      <c r="L8300" s="17"/>
    </row>
    <row r="8301" s="11" customFormat="true" ht="10.95" hidden="false" customHeight="true" outlineLevel="0" collapsed="false">
      <c r="A8301" s="16" t="n">
        <v>45294</v>
      </c>
      <c r="B8301" s="17" t="s">
        <v>3613</v>
      </c>
      <c r="C8301" s="17" t="s">
        <v>3614</v>
      </c>
      <c r="D8301" s="17" t="s">
        <v>2903</v>
      </c>
      <c r="E8301" s="17" t="s">
        <v>3643</v>
      </c>
      <c r="F8301" s="17" t="s">
        <v>1476</v>
      </c>
      <c r="G8301" s="18" t="n">
        <v>911.02</v>
      </c>
      <c r="H8301" s="18" t="n">
        <v>0</v>
      </c>
      <c r="I8301" s="18" t="n">
        <f aca="false">((I8300 + G8301) - H8301)</f>
        <v>-65983.68</v>
      </c>
      <c r="J8301" s="18" t="n">
        <v>0</v>
      </c>
      <c r="K8301" s="19" t="n">
        <v>0</v>
      </c>
      <c r="L8301" s="17"/>
    </row>
    <row r="8302" s="11" customFormat="true" ht="10.95" hidden="false" customHeight="true" outlineLevel="0" collapsed="false">
      <c r="A8302" s="16" t="n">
        <v>45294</v>
      </c>
      <c r="B8302" s="17" t="s">
        <v>3613</v>
      </c>
      <c r="C8302" s="17" t="s">
        <v>3614</v>
      </c>
      <c r="D8302" s="17" t="s">
        <v>1391</v>
      </c>
      <c r="E8302" s="17" t="s">
        <v>3625</v>
      </c>
      <c r="F8302" s="17" t="s">
        <v>3284</v>
      </c>
      <c r="G8302" s="18" t="n">
        <v>0</v>
      </c>
      <c r="H8302" s="18" t="n">
        <v>1001.77</v>
      </c>
      <c r="I8302" s="18" t="n">
        <f aca="false">((I8301 + G8302) - H8302)</f>
        <v>-66985.45</v>
      </c>
      <c r="J8302" s="18" t="n">
        <v>0</v>
      </c>
      <c r="K8302" s="19" t="n">
        <v>0</v>
      </c>
      <c r="L8302" s="17"/>
    </row>
    <row r="8303" s="11" customFormat="true" ht="10.95" hidden="false" customHeight="true" outlineLevel="0" collapsed="false">
      <c r="A8303" s="16" t="n">
        <v>45294</v>
      </c>
      <c r="B8303" s="17" t="s">
        <v>3613</v>
      </c>
      <c r="C8303" s="17" t="s">
        <v>3614</v>
      </c>
      <c r="D8303" s="17" t="s">
        <v>1391</v>
      </c>
      <c r="E8303" s="17" t="s">
        <v>3650</v>
      </c>
      <c r="F8303" s="17" t="s">
        <v>2430</v>
      </c>
      <c r="G8303" s="18" t="n">
        <v>0</v>
      </c>
      <c r="H8303" s="18" t="n">
        <v>179</v>
      </c>
      <c r="I8303" s="18" t="n">
        <f aca="false">((I8302 + G8303) - H8303)</f>
        <v>-67164.45</v>
      </c>
      <c r="J8303" s="18" t="n">
        <v>0</v>
      </c>
      <c r="K8303" s="19" t="n">
        <v>0</v>
      </c>
      <c r="L8303" s="17"/>
    </row>
    <row r="8304" s="11" customFormat="true" ht="10.95" hidden="false" customHeight="true" outlineLevel="0" collapsed="false">
      <c r="A8304" s="16" t="n">
        <v>45294</v>
      </c>
      <c r="B8304" s="17" t="s">
        <v>3613</v>
      </c>
      <c r="C8304" s="17" t="s">
        <v>3614</v>
      </c>
      <c r="D8304" s="17" t="s">
        <v>1391</v>
      </c>
      <c r="E8304" s="17" t="s">
        <v>3650</v>
      </c>
      <c r="F8304" s="17" t="s">
        <v>2432</v>
      </c>
      <c r="G8304" s="18" t="n">
        <v>0</v>
      </c>
      <c r="H8304" s="18" t="n">
        <v>248</v>
      </c>
      <c r="I8304" s="18" t="n">
        <f aca="false">((I8303 + G8304) - H8304)</f>
        <v>-67412.45</v>
      </c>
      <c r="J8304" s="18" t="n">
        <v>0</v>
      </c>
      <c r="K8304" s="19" t="n">
        <v>0</v>
      </c>
      <c r="L8304" s="17"/>
    </row>
    <row r="8305" s="11" customFormat="true" ht="10.95" hidden="false" customHeight="true" outlineLevel="0" collapsed="false">
      <c r="A8305" s="16" t="n">
        <v>45295</v>
      </c>
      <c r="B8305" s="17" t="s">
        <v>3613</v>
      </c>
      <c r="C8305" s="17" t="s">
        <v>3614</v>
      </c>
      <c r="D8305" s="17" t="s">
        <v>2903</v>
      </c>
      <c r="E8305" s="17" t="s">
        <v>3700</v>
      </c>
      <c r="F8305" s="17"/>
      <c r="G8305" s="18" t="n">
        <v>170.39</v>
      </c>
      <c r="H8305" s="18" t="n">
        <v>0</v>
      </c>
      <c r="I8305" s="18" t="n">
        <f aca="false">((I8304 + G8305) - H8305)</f>
        <v>-67242.06</v>
      </c>
      <c r="J8305" s="18" t="n">
        <v>0</v>
      </c>
      <c r="K8305" s="19" t="n">
        <v>0</v>
      </c>
      <c r="L8305" s="17"/>
    </row>
    <row r="8306" s="11" customFormat="true" ht="10.95" hidden="false" customHeight="true" outlineLevel="0" collapsed="false">
      <c r="A8306" s="16" t="n">
        <v>45295</v>
      </c>
      <c r="B8306" s="17" t="s">
        <v>3613</v>
      </c>
      <c r="C8306" s="17" t="s">
        <v>3614</v>
      </c>
      <c r="D8306" s="17" t="s">
        <v>2903</v>
      </c>
      <c r="E8306" s="17" t="s">
        <v>2963</v>
      </c>
      <c r="F8306" s="17" t="s">
        <v>2677</v>
      </c>
      <c r="G8306" s="18" t="n">
        <v>174.11</v>
      </c>
      <c r="H8306" s="18" t="n">
        <v>0</v>
      </c>
      <c r="I8306" s="18" t="n">
        <f aca="false">((I8305 + G8306) - H8306)</f>
        <v>-67067.95</v>
      </c>
      <c r="J8306" s="18" t="n">
        <v>0</v>
      </c>
      <c r="K8306" s="19" t="n">
        <v>0</v>
      </c>
      <c r="L8306" s="17"/>
    </row>
    <row r="8307" s="11" customFormat="true" ht="10.95" hidden="false" customHeight="true" outlineLevel="0" collapsed="false">
      <c r="A8307" s="16" t="n">
        <v>45295</v>
      </c>
      <c r="B8307" s="17" t="s">
        <v>3613</v>
      </c>
      <c r="C8307" s="17" t="s">
        <v>3614</v>
      </c>
      <c r="D8307" s="17" t="s">
        <v>2903</v>
      </c>
      <c r="E8307" s="17" t="s">
        <v>3701</v>
      </c>
      <c r="F8307" s="17" t="s">
        <v>3199</v>
      </c>
      <c r="G8307" s="18" t="n">
        <v>19800</v>
      </c>
      <c r="H8307" s="18" t="n">
        <v>0</v>
      </c>
      <c r="I8307" s="18" t="n">
        <f aca="false">((I8306 + G8307) - H8307)</f>
        <v>-47267.95</v>
      </c>
      <c r="J8307" s="18" t="n">
        <v>0</v>
      </c>
      <c r="K8307" s="19" t="n">
        <v>0</v>
      </c>
      <c r="L8307" s="17"/>
    </row>
    <row r="8308" s="11" customFormat="true" ht="10.95" hidden="false" customHeight="true" outlineLevel="0" collapsed="false">
      <c r="A8308" s="16" t="n">
        <v>45295</v>
      </c>
      <c r="B8308" s="17" t="s">
        <v>3613</v>
      </c>
      <c r="C8308" s="17" t="s">
        <v>3614</v>
      </c>
      <c r="D8308" s="17" t="s">
        <v>2903</v>
      </c>
      <c r="E8308" s="17" t="s">
        <v>3652</v>
      </c>
      <c r="F8308" s="17" t="s">
        <v>2426</v>
      </c>
      <c r="G8308" s="18" t="n">
        <v>152.15</v>
      </c>
      <c r="H8308" s="18" t="n">
        <v>0</v>
      </c>
      <c r="I8308" s="18" t="n">
        <f aca="false">((I8307 + G8308) - H8308)</f>
        <v>-47115.8</v>
      </c>
      <c r="J8308" s="18" t="n">
        <v>0</v>
      </c>
      <c r="K8308" s="19" t="n">
        <v>0</v>
      </c>
      <c r="L8308" s="17"/>
    </row>
    <row r="8309" s="11" customFormat="true" ht="10.95" hidden="false" customHeight="true" outlineLevel="0" collapsed="false">
      <c r="A8309" s="16" t="n">
        <v>45295</v>
      </c>
      <c r="B8309" s="17" t="s">
        <v>3613</v>
      </c>
      <c r="C8309" s="17" t="s">
        <v>3614</v>
      </c>
      <c r="D8309" s="17" t="s">
        <v>2903</v>
      </c>
      <c r="E8309" s="17" t="s">
        <v>3652</v>
      </c>
      <c r="F8309" s="17" t="s">
        <v>2428</v>
      </c>
      <c r="G8309" s="18" t="n">
        <v>248</v>
      </c>
      <c r="H8309" s="18" t="n">
        <v>0</v>
      </c>
      <c r="I8309" s="18" t="n">
        <f aca="false">((I8308 + G8309) - H8309)</f>
        <v>-46867.8</v>
      </c>
      <c r="J8309" s="18" t="n">
        <v>0</v>
      </c>
      <c r="K8309" s="19" t="n">
        <v>0</v>
      </c>
      <c r="L8309" s="17"/>
    </row>
    <row r="8310" s="11" customFormat="true" ht="10.95" hidden="false" customHeight="true" outlineLevel="0" collapsed="false">
      <c r="A8310" s="16" t="n">
        <v>45296</v>
      </c>
      <c r="B8310" s="17" t="s">
        <v>3613</v>
      </c>
      <c r="C8310" s="17" t="s">
        <v>3614</v>
      </c>
      <c r="D8310" s="17" t="s">
        <v>2903</v>
      </c>
      <c r="E8310" s="17" t="s">
        <v>3008</v>
      </c>
      <c r="F8310" s="17" t="s">
        <v>1628</v>
      </c>
      <c r="G8310" s="18" t="n">
        <v>231.9</v>
      </c>
      <c r="H8310" s="18" t="n">
        <v>0</v>
      </c>
      <c r="I8310" s="18" t="n">
        <f aca="false">((I8309 + G8310) - H8310)</f>
        <v>-46635.9</v>
      </c>
      <c r="J8310" s="18" t="n">
        <v>0</v>
      </c>
      <c r="K8310" s="19" t="n">
        <v>0</v>
      </c>
      <c r="L8310" s="17"/>
    </row>
    <row r="8311" s="11" customFormat="true" ht="10.95" hidden="false" customHeight="true" outlineLevel="0" collapsed="false">
      <c r="A8311" s="16" t="n">
        <v>45296</v>
      </c>
      <c r="B8311" s="17" t="s">
        <v>3613</v>
      </c>
      <c r="C8311" s="17" t="s">
        <v>3614</v>
      </c>
      <c r="D8311" s="17" t="s">
        <v>2903</v>
      </c>
      <c r="E8311" s="17" t="s">
        <v>3631</v>
      </c>
      <c r="F8311" s="17" t="s">
        <v>3284</v>
      </c>
      <c r="G8311" s="18" t="n">
        <v>1001.77</v>
      </c>
      <c r="H8311" s="18" t="n">
        <v>0</v>
      </c>
      <c r="I8311" s="18" t="n">
        <f aca="false">((I8310 + G8311) - H8311)</f>
        <v>-45634.13</v>
      </c>
      <c r="J8311" s="18" t="n">
        <v>0</v>
      </c>
      <c r="K8311" s="19" t="n">
        <v>0</v>
      </c>
      <c r="L8311" s="17"/>
    </row>
    <row r="8312" s="11" customFormat="true" ht="10.95" hidden="false" customHeight="true" outlineLevel="0" collapsed="false">
      <c r="A8312" s="16" t="n">
        <v>45297</v>
      </c>
      <c r="B8312" s="17" t="s">
        <v>3613</v>
      </c>
      <c r="C8312" s="17" t="s">
        <v>3614</v>
      </c>
      <c r="D8312" s="17" t="s">
        <v>1391</v>
      </c>
      <c r="E8312" s="17" t="s">
        <v>3650</v>
      </c>
      <c r="F8312" s="17" t="s">
        <v>2436</v>
      </c>
      <c r="G8312" s="18" t="n">
        <v>0</v>
      </c>
      <c r="H8312" s="18" t="n">
        <v>248</v>
      </c>
      <c r="I8312" s="18" t="n">
        <f aca="false">((I8311 + G8312) - H8312)</f>
        <v>-45882.13</v>
      </c>
      <c r="J8312" s="18" t="n">
        <v>0</v>
      </c>
      <c r="K8312" s="19" t="n">
        <v>0</v>
      </c>
      <c r="L8312" s="17"/>
    </row>
    <row r="8313" s="11" customFormat="true" ht="10.95" hidden="false" customHeight="true" outlineLevel="0" collapsed="false">
      <c r="A8313" s="16" t="n">
        <v>45297</v>
      </c>
      <c r="B8313" s="17" t="s">
        <v>3613</v>
      </c>
      <c r="C8313" s="17" t="s">
        <v>3614</v>
      </c>
      <c r="D8313" s="17" t="s">
        <v>1391</v>
      </c>
      <c r="E8313" s="17" t="s">
        <v>3650</v>
      </c>
      <c r="F8313" s="17" t="s">
        <v>2438</v>
      </c>
      <c r="G8313" s="18" t="n">
        <v>0</v>
      </c>
      <c r="H8313" s="18" t="n">
        <v>179</v>
      </c>
      <c r="I8313" s="18" t="n">
        <f aca="false">((I8312 + G8313) - H8313)</f>
        <v>-46061.13</v>
      </c>
      <c r="J8313" s="18" t="n">
        <v>0</v>
      </c>
      <c r="K8313" s="19" t="n">
        <v>0</v>
      </c>
      <c r="L8313" s="17"/>
    </row>
    <row r="8314" s="11" customFormat="true" ht="10.95" hidden="false" customHeight="true" outlineLevel="0" collapsed="false">
      <c r="A8314" s="16" t="n">
        <v>45298</v>
      </c>
      <c r="B8314" s="17" t="s">
        <v>3613</v>
      </c>
      <c r="C8314" s="17" t="s">
        <v>3614</v>
      </c>
      <c r="D8314" s="17" t="s">
        <v>1391</v>
      </c>
      <c r="E8314" s="17" t="s">
        <v>3673</v>
      </c>
      <c r="F8314" s="17" t="s">
        <v>3206</v>
      </c>
      <c r="G8314" s="18" t="n">
        <v>0</v>
      </c>
      <c r="H8314" s="18" t="n">
        <v>12019.7</v>
      </c>
      <c r="I8314" s="18" t="n">
        <f aca="false">((I8313 + G8314) - H8314)</f>
        <v>-58080.83</v>
      </c>
      <c r="J8314" s="18" t="n">
        <v>0</v>
      </c>
      <c r="K8314" s="19" t="n">
        <v>0</v>
      </c>
      <c r="L8314" s="17"/>
    </row>
    <row r="8315" s="11" customFormat="true" ht="10.95" hidden="false" customHeight="true" outlineLevel="0" collapsed="false">
      <c r="A8315" s="16" t="n">
        <v>45298</v>
      </c>
      <c r="B8315" s="17" t="s">
        <v>3613</v>
      </c>
      <c r="C8315" s="17" t="s">
        <v>3614</v>
      </c>
      <c r="D8315" s="17" t="s">
        <v>1391</v>
      </c>
      <c r="E8315" s="17" t="s">
        <v>3622</v>
      </c>
      <c r="F8315" s="17" t="s">
        <v>1495</v>
      </c>
      <c r="G8315" s="18" t="n">
        <v>0</v>
      </c>
      <c r="H8315" s="18" t="n">
        <v>2359.04</v>
      </c>
      <c r="I8315" s="18" t="n">
        <f aca="false">((I8314 + G8315) - H8315)</f>
        <v>-60439.87</v>
      </c>
      <c r="J8315" s="18" t="n">
        <v>0</v>
      </c>
      <c r="K8315" s="19" t="n">
        <v>0</v>
      </c>
      <c r="L8315" s="17"/>
    </row>
    <row r="8316" s="11" customFormat="true" ht="10.95" hidden="false" customHeight="true" outlineLevel="0" collapsed="false">
      <c r="A8316" s="16" t="n">
        <v>45299</v>
      </c>
      <c r="B8316" s="17" t="s">
        <v>3613</v>
      </c>
      <c r="C8316" s="17" t="s">
        <v>3614</v>
      </c>
      <c r="D8316" s="17" t="s">
        <v>2903</v>
      </c>
      <c r="E8316" s="17" t="s">
        <v>3629</v>
      </c>
      <c r="F8316" s="17" t="s">
        <v>3206</v>
      </c>
      <c r="G8316" s="18" t="n">
        <v>12019.7</v>
      </c>
      <c r="H8316" s="18" t="n">
        <v>0</v>
      </c>
      <c r="I8316" s="18" t="n">
        <f aca="false">((I8315 + G8316) - H8316)</f>
        <v>-48420.17</v>
      </c>
      <c r="J8316" s="18" t="n">
        <v>0</v>
      </c>
      <c r="K8316" s="19" t="n">
        <v>0</v>
      </c>
      <c r="L8316" s="17"/>
    </row>
    <row r="8317" s="11" customFormat="true" ht="10.95" hidden="false" customHeight="true" outlineLevel="0" collapsed="false">
      <c r="A8317" s="16" t="n">
        <v>45300</v>
      </c>
      <c r="B8317" s="17" t="s">
        <v>3613</v>
      </c>
      <c r="C8317" s="17" t="s">
        <v>3614</v>
      </c>
      <c r="D8317" s="17" t="s">
        <v>1391</v>
      </c>
      <c r="E8317" s="17" t="s">
        <v>3639</v>
      </c>
      <c r="F8317" s="17" t="s">
        <v>1642</v>
      </c>
      <c r="G8317" s="18" t="n">
        <v>0</v>
      </c>
      <c r="H8317" s="18" t="n">
        <v>40</v>
      </c>
      <c r="I8317" s="18" t="n">
        <f aca="false">((I8316 + G8317) - H8317)</f>
        <v>-48460.17</v>
      </c>
      <c r="J8317" s="18" t="n">
        <v>0</v>
      </c>
      <c r="K8317" s="19" t="n">
        <v>0</v>
      </c>
      <c r="L8317" s="17"/>
    </row>
    <row r="8318" s="11" customFormat="true" ht="10.95" hidden="false" customHeight="true" outlineLevel="0" collapsed="false">
      <c r="A8318" s="16" t="n">
        <v>45300</v>
      </c>
      <c r="B8318" s="17" t="s">
        <v>3613</v>
      </c>
      <c r="C8318" s="17" t="s">
        <v>3614</v>
      </c>
      <c r="D8318" s="17" t="s">
        <v>2903</v>
      </c>
      <c r="E8318" s="17" t="s">
        <v>3637</v>
      </c>
      <c r="F8318" s="17" t="s">
        <v>2679</v>
      </c>
      <c r="G8318" s="18" t="n">
        <v>731.5</v>
      </c>
      <c r="H8318" s="18" t="n">
        <v>0</v>
      </c>
      <c r="I8318" s="18" t="n">
        <f aca="false">((I8317 + G8318) - H8318)</f>
        <v>-47728.67</v>
      </c>
      <c r="J8318" s="18" t="n">
        <v>0</v>
      </c>
      <c r="K8318" s="19" t="n">
        <v>0</v>
      </c>
      <c r="L8318" s="17"/>
    </row>
    <row r="8319" s="11" customFormat="true" ht="10.95" hidden="false" customHeight="true" outlineLevel="0" collapsed="false">
      <c r="A8319" s="16" t="n">
        <v>45300</v>
      </c>
      <c r="B8319" s="17" t="s">
        <v>3613</v>
      </c>
      <c r="C8319" s="17" t="s">
        <v>3614</v>
      </c>
      <c r="D8319" s="17" t="s">
        <v>1391</v>
      </c>
      <c r="E8319" s="17" t="s">
        <v>3638</v>
      </c>
      <c r="F8319" s="17" t="s">
        <v>3288</v>
      </c>
      <c r="G8319" s="18" t="n">
        <v>0</v>
      </c>
      <c r="H8319" s="18" t="n">
        <v>4227.31</v>
      </c>
      <c r="I8319" s="18" t="n">
        <f aca="false">((I8318 + G8319) - H8319)</f>
        <v>-51955.98</v>
      </c>
      <c r="J8319" s="18" t="n">
        <v>0</v>
      </c>
      <c r="K8319" s="19" t="n">
        <v>0</v>
      </c>
      <c r="L8319" s="17"/>
    </row>
    <row r="8320" s="11" customFormat="true" ht="10.95" hidden="false" customHeight="true" outlineLevel="0" collapsed="false">
      <c r="A8320" s="16" t="n">
        <v>45300</v>
      </c>
      <c r="B8320" s="17" t="s">
        <v>3613</v>
      </c>
      <c r="C8320" s="17" t="s">
        <v>3614</v>
      </c>
      <c r="D8320" s="17" t="s">
        <v>1391</v>
      </c>
      <c r="E8320" s="17" t="s">
        <v>3647</v>
      </c>
      <c r="F8320" s="17" t="s">
        <v>1497</v>
      </c>
      <c r="G8320" s="18" t="n">
        <v>0</v>
      </c>
      <c r="H8320" s="18" t="n">
        <v>78.1</v>
      </c>
      <c r="I8320" s="18" t="n">
        <f aca="false">((I8319 + G8320) - H8320)</f>
        <v>-52034.08</v>
      </c>
      <c r="J8320" s="18" t="n">
        <v>0</v>
      </c>
      <c r="K8320" s="19" t="n">
        <v>0</v>
      </c>
      <c r="L8320" s="17"/>
    </row>
    <row r="8321" s="11" customFormat="true" ht="10.95" hidden="false" customHeight="true" outlineLevel="0" collapsed="false">
      <c r="A8321" s="16" t="n">
        <v>45300</v>
      </c>
      <c r="B8321" s="17" t="s">
        <v>3613</v>
      </c>
      <c r="C8321" s="17" t="s">
        <v>3614</v>
      </c>
      <c r="D8321" s="17" t="s">
        <v>1391</v>
      </c>
      <c r="E8321" s="17" t="s">
        <v>3647</v>
      </c>
      <c r="F8321" s="17" t="s">
        <v>3208</v>
      </c>
      <c r="G8321" s="18" t="n">
        <v>0</v>
      </c>
      <c r="H8321" s="18" t="n">
        <v>3239.5</v>
      </c>
      <c r="I8321" s="18" t="n">
        <f aca="false">((I8320 + G8321) - H8321)</f>
        <v>-55273.58</v>
      </c>
      <c r="J8321" s="18" t="n">
        <v>0</v>
      </c>
      <c r="K8321" s="19" t="n">
        <v>0</v>
      </c>
      <c r="L8321" s="17"/>
    </row>
    <row r="8322" s="11" customFormat="true" ht="10.95" hidden="false" customHeight="true" outlineLevel="0" collapsed="false">
      <c r="A8322" s="16" t="n">
        <v>45300</v>
      </c>
      <c r="B8322" s="17" t="s">
        <v>3613</v>
      </c>
      <c r="C8322" s="17" t="s">
        <v>3614</v>
      </c>
      <c r="D8322" s="17" t="s">
        <v>2903</v>
      </c>
      <c r="E8322" s="17" t="s">
        <v>3657</v>
      </c>
      <c r="F8322" s="17" t="s">
        <v>3208</v>
      </c>
      <c r="G8322" s="18" t="n">
        <v>3239.5</v>
      </c>
      <c r="H8322" s="18" t="n">
        <v>0</v>
      </c>
      <c r="I8322" s="18" t="n">
        <f aca="false">((I8321 + G8322) - H8322)</f>
        <v>-52034.08</v>
      </c>
      <c r="J8322" s="18" t="n">
        <v>0</v>
      </c>
      <c r="K8322" s="19" t="n">
        <v>0</v>
      </c>
      <c r="L8322" s="17"/>
    </row>
    <row r="8323" s="11" customFormat="true" ht="10.95" hidden="false" customHeight="true" outlineLevel="0" collapsed="false">
      <c r="A8323" s="16" t="n">
        <v>45300</v>
      </c>
      <c r="B8323" s="17" t="s">
        <v>3613</v>
      </c>
      <c r="C8323" s="17" t="s">
        <v>3614</v>
      </c>
      <c r="D8323" s="17" t="s">
        <v>1391</v>
      </c>
      <c r="E8323" s="17" t="s">
        <v>3674</v>
      </c>
      <c r="F8323" s="17" t="s">
        <v>3210</v>
      </c>
      <c r="G8323" s="18" t="n">
        <v>0</v>
      </c>
      <c r="H8323" s="18" t="n">
        <v>3867.8</v>
      </c>
      <c r="I8323" s="18" t="n">
        <f aca="false">((I8322 + G8323) - H8323)</f>
        <v>-55901.88</v>
      </c>
      <c r="J8323" s="18" t="n">
        <v>0</v>
      </c>
      <c r="K8323" s="19" t="n">
        <v>0</v>
      </c>
      <c r="L8323" s="17"/>
    </row>
    <row r="8324" s="11" customFormat="true" ht="10.95" hidden="false" customHeight="true" outlineLevel="0" collapsed="false">
      <c r="A8324" s="16" t="n">
        <v>45300</v>
      </c>
      <c r="B8324" s="17" t="s">
        <v>3613</v>
      </c>
      <c r="C8324" s="17" t="s">
        <v>3614</v>
      </c>
      <c r="D8324" s="17" t="s">
        <v>2903</v>
      </c>
      <c r="E8324" s="17" t="s">
        <v>3675</v>
      </c>
      <c r="F8324" s="17" t="s">
        <v>3210</v>
      </c>
      <c r="G8324" s="18" t="n">
        <v>3867.8</v>
      </c>
      <c r="H8324" s="18" t="n">
        <v>0</v>
      </c>
      <c r="I8324" s="18" t="n">
        <f aca="false">((I8323 + G8324) - H8324)</f>
        <v>-52034.08</v>
      </c>
      <c r="J8324" s="18" t="n">
        <v>0</v>
      </c>
      <c r="K8324" s="19" t="n">
        <v>0</v>
      </c>
      <c r="L8324" s="17"/>
    </row>
    <row r="8325" s="11" customFormat="true" ht="10.95" hidden="false" customHeight="true" outlineLevel="0" collapsed="false">
      <c r="A8325" s="16" t="n">
        <v>45301</v>
      </c>
      <c r="B8325" s="17" t="s">
        <v>3613</v>
      </c>
      <c r="C8325" s="17" t="s">
        <v>3614</v>
      </c>
      <c r="D8325" s="17" t="s">
        <v>2903</v>
      </c>
      <c r="E8325" s="17" t="s">
        <v>3640</v>
      </c>
      <c r="F8325" s="17" t="s">
        <v>1642</v>
      </c>
      <c r="G8325" s="18" t="n">
        <v>40</v>
      </c>
      <c r="H8325" s="18" t="n">
        <v>0</v>
      </c>
      <c r="I8325" s="18" t="n">
        <f aca="false">((I8324 + G8325) - H8325)</f>
        <v>-51994.08</v>
      </c>
      <c r="J8325" s="18" t="n">
        <v>0</v>
      </c>
      <c r="K8325" s="19" t="n">
        <v>0</v>
      </c>
      <c r="L8325" s="17"/>
    </row>
    <row r="8326" s="11" customFormat="true" ht="10.95" hidden="false" customHeight="true" outlineLevel="0" collapsed="false">
      <c r="A8326" s="16" t="n">
        <v>45301</v>
      </c>
      <c r="B8326" s="17" t="s">
        <v>3613</v>
      </c>
      <c r="C8326" s="17" t="s">
        <v>3614</v>
      </c>
      <c r="D8326" s="17" t="s">
        <v>2903</v>
      </c>
      <c r="E8326" s="17" t="s">
        <v>3657</v>
      </c>
      <c r="F8326" s="17" t="s">
        <v>1497</v>
      </c>
      <c r="G8326" s="18" t="n">
        <v>78.1</v>
      </c>
      <c r="H8326" s="18" t="n">
        <v>0</v>
      </c>
      <c r="I8326" s="18" t="n">
        <f aca="false">((I8325 + G8326) - H8326)</f>
        <v>-51915.98</v>
      </c>
      <c r="J8326" s="18" t="n">
        <v>0</v>
      </c>
      <c r="K8326" s="19" t="n">
        <v>0</v>
      </c>
      <c r="L8326" s="17"/>
    </row>
    <row r="8327" s="11" customFormat="true" ht="10.95" hidden="false" customHeight="true" outlineLevel="0" collapsed="false">
      <c r="A8327" s="16" t="n">
        <v>45301</v>
      </c>
      <c r="B8327" s="17" t="s">
        <v>3613</v>
      </c>
      <c r="C8327" s="17" t="s">
        <v>3614</v>
      </c>
      <c r="D8327" s="17" t="s">
        <v>2903</v>
      </c>
      <c r="E8327" s="17" t="s">
        <v>2908</v>
      </c>
      <c r="F8327" s="17" t="s">
        <v>2399</v>
      </c>
      <c r="G8327" s="18" t="n">
        <v>908.34</v>
      </c>
      <c r="H8327" s="18" t="n">
        <v>0</v>
      </c>
      <c r="I8327" s="18" t="n">
        <f aca="false">((I8326 + G8327) - H8327)</f>
        <v>-51007.64</v>
      </c>
      <c r="J8327" s="18" t="n">
        <v>0</v>
      </c>
      <c r="K8327" s="19" t="n">
        <v>0</v>
      </c>
      <c r="L8327" s="17"/>
    </row>
    <row r="8328" s="11" customFormat="true" ht="10.95" hidden="false" customHeight="true" outlineLevel="0" collapsed="false">
      <c r="A8328" s="16" t="n">
        <v>45302</v>
      </c>
      <c r="B8328" s="17" t="s">
        <v>3613</v>
      </c>
      <c r="C8328" s="17" t="s">
        <v>3614</v>
      </c>
      <c r="D8328" s="17" t="s">
        <v>2903</v>
      </c>
      <c r="E8328" s="17" t="s">
        <v>2904</v>
      </c>
      <c r="F8328" s="17" t="s">
        <v>1486</v>
      </c>
      <c r="G8328" s="18" t="n">
        <v>3840.66</v>
      </c>
      <c r="H8328" s="18" t="n">
        <v>0</v>
      </c>
      <c r="I8328" s="18" t="n">
        <f aca="false">((I8327 + G8328) - H8328)</f>
        <v>-47166.98</v>
      </c>
      <c r="J8328" s="18" t="n">
        <v>0</v>
      </c>
      <c r="K8328" s="19" t="n">
        <v>0</v>
      </c>
      <c r="L8328" s="17"/>
    </row>
    <row r="8329" s="11" customFormat="true" ht="10.95" hidden="false" customHeight="true" outlineLevel="0" collapsed="false">
      <c r="A8329" s="16" t="n">
        <v>45302</v>
      </c>
      <c r="B8329" s="17" t="s">
        <v>3613</v>
      </c>
      <c r="C8329" s="17" t="s">
        <v>3614</v>
      </c>
      <c r="D8329" s="17" t="s">
        <v>1391</v>
      </c>
      <c r="E8329" s="17" t="s">
        <v>3633</v>
      </c>
      <c r="F8329" s="17" t="s">
        <v>2441</v>
      </c>
      <c r="G8329" s="18" t="n">
        <v>0</v>
      </c>
      <c r="H8329" s="18" t="n">
        <v>447.04</v>
      </c>
      <c r="I8329" s="18" t="n">
        <f aca="false">((I8328 + G8329) - H8329)</f>
        <v>-47614.02</v>
      </c>
      <c r="J8329" s="18" t="n">
        <v>0</v>
      </c>
      <c r="K8329" s="19" t="n">
        <v>0</v>
      </c>
      <c r="L8329" s="17"/>
    </row>
    <row r="8330" s="11" customFormat="true" ht="10.95" hidden="false" customHeight="true" outlineLevel="0" collapsed="false">
      <c r="A8330" s="16" t="n">
        <v>45302</v>
      </c>
      <c r="B8330" s="17" t="s">
        <v>3613</v>
      </c>
      <c r="C8330" s="17" t="s">
        <v>3614</v>
      </c>
      <c r="D8330" s="17" t="s">
        <v>1391</v>
      </c>
      <c r="E8330" s="17" t="s">
        <v>3702</v>
      </c>
      <c r="F8330" s="17" t="s">
        <v>1499</v>
      </c>
      <c r="G8330" s="18" t="n">
        <v>0</v>
      </c>
      <c r="H8330" s="18" t="n">
        <v>1285.5</v>
      </c>
      <c r="I8330" s="18" t="n">
        <f aca="false">((I8329 + G8330) - H8330)</f>
        <v>-48899.52</v>
      </c>
      <c r="J8330" s="18" t="n">
        <v>0</v>
      </c>
      <c r="K8330" s="19" t="n">
        <v>0</v>
      </c>
      <c r="L8330" s="17"/>
    </row>
    <row r="8331" s="11" customFormat="true" ht="10.95" hidden="false" customHeight="true" outlineLevel="0" collapsed="false">
      <c r="A8331" s="16" t="n">
        <v>45303</v>
      </c>
      <c r="B8331" s="17" t="s">
        <v>3613</v>
      </c>
      <c r="C8331" s="17" t="s">
        <v>3614</v>
      </c>
      <c r="D8331" s="17" t="s">
        <v>1391</v>
      </c>
      <c r="E8331" s="17" t="s">
        <v>3650</v>
      </c>
      <c r="F8331" s="17" t="s">
        <v>1501</v>
      </c>
      <c r="G8331" s="18" t="n">
        <v>0</v>
      </c>
      <c r="H8331" s="18" t="n">
        <v>248</v>
      </c>
      <c r="I8331" s="18" t="n">
        <f aca="false">((I8330 + G8331) - H8331)</f>
        <v>-49147.52</v>
      </c>
      <c r="J8331" s="18" t="n">
        <v>0</v>
      </c>
      <c r="K8331" s="19" t="n">
        <v>0</v>
      </c>
      <c r="L8331" s="17"/>
    </row>
    <row r="8332" s="11" customFormat="true" ht="10.95" hidden="false" customHeight="true" outlineLevel="0" collapsed="false">
      <c r="A8332" s="16" t="n">
        <v>45303</v>
      </c>
      <c r="B8332" s="17" t="s">
        <v>3613</v>
      </c>
      <c r="C8332" s="17" t="s">
        <v>3614</v>
      </c>
      <c r="D8332" s="17" t="s">
        <v>1391</v>
      </c>
      <c r="E8332" s="17" t="s">
        <v>3702</v>
      </c>
      <c r="F8332" s="17" t="s">
        <v>1503</v>
      </c>
      <c r="G8332" s="18" t="n">
        <v>0</v>
      </c>
      <c r="H8332" s="18" t="n">
        <v>1451.5</v>
      </c>
      <c r="I8332" s="18" t="n">
        <f aca="false">((I8331 + G8332) - H8332)</f>
        <v>-50599.02</v>
      </c>
      <c r="J8332" s="18" t="n">
        <v>0</v>
      </c>
      <c r="K8332" s="19" t="n">
        <v>0</v>
      </c>
      <c r="L8332" s="17"/>
    </row>
    <row r="8333" s="11" customFormat="true" ht="10.95" hidden="false" customHeight="true" outlineLevel="0" collapsed="false">
      <c r="A8333" s="16" t="n">
        <v>45304</v>
      </c>
      <c r="B8333" s="17" t="s">
        <v>3613</v>
      </c>
      <c r="C8333" s="17" t="s">
        <v>3614</v>
      </c>
      <c r="D8333" s="17" t="s">
        <v>2903</v>
      </c>
      <c r="E8333" s="17" t="s">
        <v>3637</v>
      </c>
      <c r="F8333" s="17" t="s">
        <v>2670</v>
      </c>
      <c r="G8333" s="18" t="n">
        <v>760.32</v>
      </c>
      <c r="H8333" s="18" t="n">
        <v>0</v>
      </c>
      <c r="I8333" s="18" t="n">
        <f aca="false">((I8332 + G8333) - H8333)</f>
        <v>-49838.7</v>
      </c>
      <c r="J8333" s="18" t="n">
        <v>0</v>
      </c>
      <c r="K8333" s="19" t="n">
        <v>0</v>
      </c>
      <c r="L8333" s="17"/>
    </row>
    <row r="8334" s="11" customFormat="true" ht="10.95" hidden="false" customHeight="true" outlineLevel="0" collapsed="false">
      <c r="A8334" s="16" t="n">
        <v>45304</v>
      </c>
      <c r="B8334" s="17" t="s">
        <v>3613</v>
      </c>
      <c r="C8334" s="17" t="s">
        <v>3614</v>
      </c>
      <c r="D8334" s="17" t="s">
        <v>2903</v>
      </c>
      <c r="E8334" s="17" t="s">
        <v>3643</v>
      </c>
      <c r="F8334" s="17" t="s">
        <v>1495</v>
      </c>
      <c r="G8334" s="18" t="n">
        <v>1295.12</v>
      </c>
      <c r="H8334" s="18" t="n">
        <v>0</v>
      </c>
      <c r="I8334" s="18" t="n">
        <f aca="false">((I8333 + G8334) - H8334)</f>
        <v>-48543.58</v>
      </c>
      <c r="J8334" s="18" t="n">
        <v>0</v>
      </c>
      <c r="K8334" s="19" t="n">
        <v>0</v>
      </c>
      <c r="L8334" s="17"/>
    </row>
    <row r="8335" s="11" customFormat="true" ht="10.95" hidden="false" customHeight="true" outlineLevel="0" collapsed="false">
      <c r="A8335" s="16" t="n">
        <v>45305</v>
      </c>
      <c r="B8335" s="17" t="s">
        <v>3613</v>
      </c>
      <c r="C8335" s="17" t="s">
        <v>3614</v>
      </c>
      <c r="D8335" s="17" t="s">
        <v>1391</v>
      </c>
      <c r="E8335" s="17" t="s">
        <v>3641</v>
      </c>
      <c r="F8335" s="17" t="s">
        <v>2682</v>
      </c>
      <c r="G8335" s="18" t="n">
        <v>0</v>
      </c>
      <c r="H8335" s="18" t="n">
        <v>162.14</v>
      </c>
      <c r="I8335" s="18" t="n">
        <f aca="false">((I8334 + G8335) - H8335)</f>
        <v>-48705.72</v>
      </c>
      <c r="J8335" s="18" t="n">
        <v>0</v>
      </c>
      <c r="K8335" s="19" t="n">
        <v>0</v>
      </c>
      <c r="L8335" s="17"/>
    </row>
    <row r="8336" s="11" customFormat="true" ht="10.95" hidden="false" customHeight="true" outlineLevel="0" collapsed="false">
      <c r="A8336" s="16" t="n">
        <v>45306</v>
      </c>
      <c r="B8336" s="17" t="s">
        <v>3613</v>
      </c>
      <c r="C8336" s="17" t="s">
        <v>3614</v>
      </c>
      <c r="D8336" s="17" t="s">
        <v>1391</v>
      </c>
      <c r="E8336" s="17" t="s">
        <v>3703</v>
      </c>
      <c r="F8336" s="17" t="s">
        <v>1642</v>
      </c>
      <c r="G8336" s="18" t="n">
        <v>0</v>
      </c>
      <c r="H8336" s="18" t="n">
        <v>71.55</v>
      </c>
      <c r="I8336" s="18" t="n">
        <f aca="false">((I8335 + G8336) - H8336)</f>
        <v>-48777.27</v>
      </c>
      <c r="J8336" s="18" t="n">
        <v>0</v>
      </c>
      <c r="K8336" s="19" t="n">
        <v>0</v>
      </c>
      <c r="L8336" s="17"/>
    </row>
    <row r="8337" s="11" customFormat="true" ht="10.95" hidden="false" customHeight="true" outlineLevel="0" collapsed="false">
      <c r="A8337" s="16" t="n">
        <v>45306</v>
      </c>
      <c r="B8337" s="17" t="s">
        <v>3613</v>
      </c>
      <c r="C8337" s="17" t="s">
        <v>3614</v>
      </c>
      <c r="D8337" s="17" t="s">
        <v>2903</v>
      </c>
      <c r="E8337" s="17" t="s">
        <v>3704</v>
      </c>
      <c r="F8337" s="17" t="s">
        <v>1642</v>
      </c>
      <c r="G8337" s="18" t="n">
        <v>71.55</v>
      </c>
      <c r="H8337" s="18" t="n">
        <v>0</v>
      </c>
      <c r="I8337" s="18" t="n">
        <f aca="false">((I8336 + G8337) - H8337)</f>
        <v>-48705.72</v>
      </c>
      <c r="J8337" s="18" t="n">
        <v>0</v>
      </c>
      <c r="K8337" s="19" t="n">
        <v>0</v>
      </c>
      <c r="L8337" s="17"/>
    </row>
    <row r="8338" s="11" customFormat="true" ht="10.95" hidden="false" customHeight="true" outlineLevel="0" collapsed="false">
      <c r="A8338" s="16" t="n">
        <v>45308</v>
      </c>
      <c r="B8338" s="17" t="s">
        <v>3613</v>
      </c>
      <c r="C8338" s="17" t="s">
        <v>3614</v>
      </c>
      <c r="D8338" s="17" t="s">
        <v>1391</v>
      </c>
      <c r="E8338" s="17" t="s">
        <v>3638</v>
      </c>
      <c r="F8338" s="17" t="s">
        <v>3213</v>
      </c>
      <c r="G8338" s="18" t="n">
        <v>0</v>
      </c>
      <c r="H8338" s="18" t="n">
        <v>218.9</v>
      </c>
      <c r="I8338" s="18" t="n">
        <f aca="false">((I8337 + G8338) - H8338)</f>
        <v>-48924.62</v>
      </c>
      <c r="J8338" s="18" t="n">
        <v>0</v>
      </c>
      <c r="K8338" s="19" t="n">
        <v>0</v>
      </c>
      <c r="L8338" s="17"/>
    </row>
    <row r="8339" s="11" customFormat="true" ht="10.95" hidden="false" customHeight="true" outlineLevel="0" collapsed="false">
      <c r="A8339" s="16" t="n">
        <v>45308</v>
      </c>
      <c r="B8339" s="17" t="s">
        <v>3613</v>
      </c>
      <c r="C8339" s="17" t="s">
        <v>3614</v>
      </c>
      <c r="D8339" s="17" t="s">
        <v>2903</v>
      </c>
      <c r="E8339" s="17" t="s">
        <v>3616</v>
      </c>
      <c r="F8339" s="17" t="s">
        <v>3213</v>
      </c>
      <c r="G8339" s="18" t="n">
        <v>218.9</v>
      </c>
      <c r="H8339" s="18" t="n">
        <v>0</v>
      </c>
      <c r="I8339" s="18" t="n">
        <f aca="false">((I8338 + G8339) - H8339)</f>
        <v>-48705.72</v>
      </c>
      <c r="J8339" s="18" t="n">
        <v>0</v>
      </c>
      <c r="K8339" s="19" t="n">
        <v>0</v>
      </c>
      <c r="L8339" s="17"/>
    </row>
    <row r="8340" s="11" customFormat="true" ht="10.95" hidden="false" customHeight="true" outlineLevel="0" collapsed="false">
      <c r="A8340" s="16" t="n">
        <v>45309</v>
      </c>
      <c r="B8340" s="17" t="s">
        <v>3613</v>
      </c>
      <c r="C8340" s="17" t="s">
        <v>3614</v>
      </c>
      <c r="D8340" s="17" t="s">
        <v>1391</v>
      </c>
      <c r="E8340" s="17" t="s">
        <v>3642</v>
      </c>
      <c r="F8340" s="17" t="s">
        <v>2443</v>
      </c>
      <c r="G8340" s="18" t="n">
        <v>0</v>
      </c>
      <c r="H8340" s="18" t="n">
        <v>219.78</v>
      </c>
      <c r="I8340" s="18" t="n">
        <f aca="false">((I8339 + G8340) - H8340)</f>
        <v>-48925.5</v>
      </c>
      <c r="J8340" s="18" t="n">
        <v>0</v>
      </c>
      <c r="K8340" s="19" t="n">
        <v>0</v>
      </c>
      <c r="L8340" s="17"/>
    </row>
    <row r="8341" s="11" customFormat="true" ht="10.95" hidden="false" customHeight="true" outlineLevel="0" collapsed="false">
      <c r="A8341" s="16" t="n">
        <v>45309</v>
      </c>
      <c r="B8341" s="17" t="s">
        <v>3613</v>
      </c>
      <c r="C8341" s="17" t="s">
        <v>3614</v>
      </c>
      <c r="D8341" s="17" t="s">
        <v>1391</v>
      </c>
      <c r="E8341" s="17" t="s">
        <v>3642</v>
      </c>
      <c r="F8341" s="17" t="s">
        <v>2445</v>
      </c>
      <c r="G8341" s="18" t="n">
        <v>0</v>
      </c>
      <c r="H8341" s="18" t="n">
        <v>60.5</v>
      </c>
      <c r="I8341" s="18" t="n">
        <f aca="false">((I8340 + G8341) - H8341)</f>
        <v>-48986</v>
      </c>
      <c r="J8341" s="18" t="n">
        <v>0</v>
      </c>
      <c r="K8341" s="19" t="n">
        <v>0</v>
      </c>
      <c r="L8341" s="17"/>
    </row>
    <row r="8342" s="11" customFormat="true" ht="10.95" hidden="false" customHeight="true" outlineLevel="0" collapsed="false">
      <c r="A8342" s="16" t="n">
        <v>45309</v>
      </c>
      <c r="B8342" s="17" t="s">
        <v>3613</v>
      </c>
      <c r="C8342" s="17" t="s">
        <v>3614</v>
      </c>
      <c r="D8342" s="17" t="s">
        <v>1391</v>
      </c>
      <c r="E8342" s="17" t="s">
        <v>3642</v>
      </c>
      <c r="F8342" s="17" t="s">
        <v>2447</v>
      </c>
      <c r="G8342" s="18" t="n">
        <v>0</v>
      </c>
      <c r="H8342" s="18" t="n">
        <v>83.6</v>
      </c>
      <c r="I8342" s="18" t="n">
        <f aca="false">((I8341 + G8342) - H8342)</f>
        <v>-49069.6</v>
      </c>
      <c r="J8342" s="18" t="n">
        <v>0</v>
      </c>
      <c r="K8342" s="19" t="n">
        <v>0</v>
      </c>
      <c r="L8342" s="17"/>
    </row>
    <row r="8343" s="11" customFormat="true" ht="10.95" hidden="false" customHeight="true" outlineLevel="0" collapsed="false">
      <c r="A8343" s="16" t="n">
        <v>45309</v>
      </c>
      <c r="B8343" s="17" t="s">
        <v>3613</v>
      </c>
      <c r="C8343" s="17" t="s">
        <v>3614</v>
      </c>
      <c r="D8343" s="17" t="s">
        <v>1391</v>
      </c>
      <c r="E8343" s="17" t="s">
        <v>3642</v>
      </c>
      <c r="F8343" s="17" t="s">
        <v>2449</v>
      </c>
      <c r="G8343" s="18" t="n">
        <v>0</v>
      </c>
      <c r="H8343" s="18" t="n">
        <v>45.32</v>
      </c>
      <c r="I8343" s="18" t="n">
        <f aca="false">((I8342 + G8343) - H8343)</f>
        <v>-49114.92</v>
      </c>
      <c r="J8343" s="18" t="n">
        <v>0</v>
      </c>
      <c r="K8343" s="19" t="n">
        <v>0</v>
      </c>
      <c r="L8343" s="17"/>
    </row>
    <row r="8344" s="11" customFormat="true" ht="10.95" hidden="false" customHeight="true" outlineLevel="0" collapsed="false">
      <c r="A8344" s="16" t="n">
        <v>45309</v>
      </c>
      <c r="B8344" s="17" t="s">
        <v>3613</v>
      </c>
      <c r="C8344" s="17" t="s">
        <v>3614</v>
      </c>
      <c r="D8344" s="17" t="s">
        <v>1391</v>
      </c>
      <c r="E8344" s="17" t="s">
        <v>3642</v>
      </c>
      <c r="F8344" s="17" t="s">
        <v>2451</v>
      </c>
      <c r="G8344" s="18" t="n">
        <v>0</v>
      </c>
      <c r="H8344" s="18" t="n">
        <v>9.02</v>
      </c>
      <c r="I8344" s="18" t="n">
        <f aca="false">((I8343 + G8344) - H8344)</f>
        <v>-49123.94</v>
      </c>
      <c r="J8344" s="18" t="n">
        <v>0</v>
      </c>
      <c r="K8344" s="19" t="n">
        <v>0</v>
      </c>
      <c r="L8344" s="17"/>
    </row>
    <row r="8345" s="11" customFormat="true" ht="10.95" hidden="false" customHeight="true" outlineLevel="0" collapsed="false">
      <c r="A8345" s="16" t="n">
        <v>45309</v>
      </c>
      <c r="B8345" s="17" t="s">
        <v>3613</v>
      </c>
      <c r="C8345" s="17" t="s">
        <v>3614</v>
      </c>
      <c r="D8345" s="17" t="s">
        <v>1391</v>
      </c>
      <c r="E8345" s="17" t="s">
        <v>3642</v>
      </c>
      <c r="F8345" s="17" t="s">
        <v>2453</v>
      </c>
      <c r="G8345" s="18" t="n">
        <v>0</v>
      </c>
      <c r="H8345" s="18" t="n">
        <v>36.19</v>
      </c>
      <c r="I8345" s="18" t="n">
        <f aca="false">((I8344 + G8345) - H8345)</f>
        <v>-49160.13</v>
      </c>
      <c r="J8345" s="18" t="n">
        <v>0</v>
      </c>
      <c r="K8345" s="19" t="n">
        <v>0</v>
      </c>
      <c r="L8345" s="17"/>
    </row>
    <row r="8346" s="11" customFormat="true" ht="10.95" hidden="false" customHeight="true" outlineLevel="0" collapsed="false">
      <c r="A8346" s="16" t="n">
        <v>45309</v>
      </c>
      <c r="B8346" s="17" t="s">
        <v>3613</v>
      </c>
      <c r="C8346" s="17" t="s">
        <v>3614</v>
      </c>
      <c r="D8346" s="17" t="s">
        <v>1391</v>
      </c>
      <c r="E8346" s="17" t="s">
        <v>3642</v>
      </c>
      <c r="F8346" s="17" t="s">
        <v>2455</v>
      </c>
      <c r="G8346" s="18" t="n">
        <v>0</v>
      </c>
      <c r="H8346" s="18" t="n">
        <v>68.2</v>
      </c>
      <c r="I8346" s="18" t="n">
        <f aca="false">((I8345 + G8346) - H8346)</f>
        <v>-49228.33</v>
      </c>
      <c r="J8346" s="18" t="n">
        <v>0</v>
      </c>
      <c r="K8346" s="19" t="n">
        <v>0</v>
      </c>
      <c r="L8346" s="17"/>
    </row>
    <row r="8347" s="11" customFormat="true" ht="10.95" hidden="false" customHeight="true" outlineLevel="0" collapsed="false">
      <c r="A8347" s="16" t="n">
        <v>45309</v>
      </c>
      <c r="B8347" s="17" t="s">
        <v>3613</v>
      </c>
      <c r="C8347" s="17" t="s">
        <v>3614</v>
      </c>
      <c r="D8347" s="17" t="s">
        <v>1391</v>
      </c>
      <c r="E8347" s="17" t="s">
        <v>3642</v>
      </c>
      <c r="F8347" s="17" t="s">
        <v>2457</v>
      </c>
      <c r="G8347" s="18" t="n">
        <v>0</v>
      </c>
      <c r="H8347" s="18" t="n">
        <v>24.2</v>
      </c>
      <c r="I8347" s="18" t="n">
        <f aca="false">((I8346 + G8347) - H8347)</f>
        <v>-49252.53</v>
      </c>
      <c r="J8347" s="18" t="n">
        <v>0</v>
      </c>
      <c r="K8347" s="19" t="n">
        <v>0</v>
      </c>
      <c r="L8347" s="17"/>
    </row>
    <row r="8348" s="11" customFormat="true" ht="10.95" hidden="false" customHeight="true" outlineLevel="0" collapsed="false">
      <c r="A8348" s="16" t="n">
        <v>45310</v>
      </c>
      <c r="B8348" s="17" t="s">
        <v>3613</v>
      </c>
      <c r="C8348" s="17" t="s">
        <v>3614</v>
      </c>
      <c r="D8348" s="17" t="s">
        <v>2903</v>
      </c>
      <c r="E8348" s="17" t="s">
        <v>3616</v>
      </c>
      <c r="F8348" s="17" t="s">
        <v>3288</v>
      </c>
      <c r="G8348" s="18" t="n">
        <v>4227.31</v>
      </c>
      <c r="H8348" s="18" t="n">
        <v>0</v>
      </c>
      <c r="I8348" s="18" t="n">
        <f aca="false">((I8347 + G8348) - H8348)</f>
        <v>-45025.22</v>
      </c>
      <c r="J8348" s="18" t="n">
        <v>0</v>
      </c>
      <c r="K8348" s="19" t="n">
        <v>0</v>
      </c>
      <c r="L8348" s="17"/>
    </row>
    <row r="8349" s="11" customFormat="true" ht="10.95" hidden="false" customHeight="true" outlineLevel="0" collapsed="false">
      <c r="A8349" s="16" t="n">
        <v>45310</v>
      </c>
      <c r="B8349" s="17" t="s">
        <v>3613</v>
      </c>
      <c r="C8349" s="17" t="s">
        <v>3614</v>
      </c>
      <c r="D8349" s="17" t="s">
        <v>1391</v>
      </c>
      <c r="E8349" s="17" t="s">
        <v>3705</v>
      </c>
      <c r="F8349" s="17" t="s">
        <v>3036</v>
      </c>
      <c r="G8349" s="18" t="n">
        <v>0</v>
      </c>
      <c r="H8349" s="18" t="n">
        <v>3757.9</v>
      </c>
      <c r="I8349" s="18" t="n">
        <f aca="false">((I8348 + G8349) - H8349)</f>
        <v>-48783.12</v>
      </c>
      <c r="J8349" s="18" t="n">
        <v>0</v>
      </c>
      <c r="K8349" s="19" t="n">
        <v>0</v>
      </c>
      <c r="L8349" s="17"/>
    </row>
    <row r="8350" s="11" customFormat="true" ht="10.95" hidden="false" customHeight="true" outlineLevel="0" collapsed="false">
      <c r="A8350" s="16" t="n">
        <v>45311</v>
      </c>
      <c r="B8350" s="17" t="s">
        <v>3613</v>
      </c>
      <c r="C8350" s="17" t="s">
        <v>3614</v>
      </c>
      <c r="D8350" s="17" t="s">
        <v>2903</v>
      </c>
      <c r="E8350" s="17" t="s">
        <v>3035</v>
      </c>
      <c r="F8350" s="17" t="s">
        <v>3036</v>
      </c>
      <c r="G8350" s="18" t="n">
        <v>3757.9</v>
      </c>
      <c r="H8350" s="18" t="n">
        <v>0</v>
      </c>
      <c r="I8350" s="18" t="n">
        <f aca="false">((I8349 + G8350) - H8350)</f>
        <v>-45025.22</v>
      </c>
      <c r="J8350" s="18" t="n">
        <v>0</v>
      </c>
      <c r="K8350" s="19" t="n">
        <v>0</v>
      </c>
      <c r="L8350" s="17"/>
    </row>
    <row r="8351" s="11" customFormat="true" ht="10.95" hidden="false" customHeight="true" outlineLevel="0" collapsed="false">
      <c r="A8351" s="16" t="n">
        <v>45311</v>
      </c>
      <c r="B8351" s="17" t="s">
        <v>3613</v>
      </c>
      <c r="C8351" s="17" t="s">
        <v>3614</v>
      </c>
      <c r="D8351" s="17" t="s">
        <v>1391</v>
      </c>
      <c r="E8351" s="17" t="s">
        <v>3668</v>
      </c>
      <c r="F8351" s="17" t="s">
        <v>2459</v>
      </c>
      <c r="G8351" s="18" t="n">
        <v>0</v>
      </c>
      <c r="H8351" s="18" t="n">
        <v>97</v>
      </c>
      <c r="I8351" s="18" t="n">
        <f aca="false">((I8350 + G8351) - H8351)</f>
        <v>-45122.22</v>
      </c>
      <c r="J8351" s="18" t="n">
        <v>0</v>
      </c>
      <c r="K8351" s="19" t="n">
        <v>0</v>
      </c>
      <c r="L8351" s="17"/>
    </row>
    <row r="8352" s="11" customFormat="true" ht="10.95" hidden="false" customHeight="true" outlineLevel="0" collapsed="false">
      <c r="A8352" s="16" t="n">
        <v>45313</v>
      </c>
      <c r="B8352" s="17" t="s">
        <v>3613</v>
      </c>
      <c r="C8352" s="17" t="s">
        <v>3614</v>
      </c>
      <c r="D8352" s="17" t="s">
        <v>1391</v>
      </c>
      <c r="E8352" s="17" t="s">
        <v>3638</v>
      </c>
      <c r="F8352" s="17" t="s">
        <v>3291</v>
      </c>
      <c r="G8352" s="18" t="n">
        <v>0</v>
      </c>
      <c r="H8352" s="18" t="n">
        <v>2905.1</v>
      </c>
      <c r="I8352" s="18" t="n">
        <f aca="false">((I8351 + G8352) - H8352)</f>
        <v>-48027.32</v>
      </c>
      <c r="J8352" s="18" t="n">
        <v>0</v>
      </c>
      <c r="K8352" s="19" t="n">
        <v>0</v>
      </c>
      <c r="L8352" s="17"/>
    </row>
    <row r="8353" s="11" customFormat="true" ht="10.95" hidden="false" customHeight="true" outlineLevel="0" collapsed="false">
      <c r="A8353" s="16" t="n">
        <v>45313</v>
      </c>
      <c r="B8353" s="17" t="s">
        <v>3613</v>
      </c>
      <c r="C8353" s="17" t="s">
        <v>3614</v>
      </c>
      <c r="D8353" s="17" t="s">
        <v>1391</v>
      </c>
      <c r="E8353" s="17" t="s">
        <v>1536</v>
      </c>
      <c r="F8353" s="17" t="s">
        <v>2461</v>
      </c>
      <c r="G8353" s="18" t="n">
        <v>0</v>
      </c>
      <c r="H8353" s="18" t="n">
        <v>283.73</v>
      </c>
      <c r="I8353" s="18" t="n">
        <f aca="false">((I8352 + G8353) - H8353)</f>
        <v>-48311.05</v>
      </c>
      <c r="J8353" s="18" t="n">
        <v>0</v>
      </c>
      <c r="K8353" s="19" t="n">
        <v>0</v>
      </c>
      <c r="L8353" s="17"/>
    </row>
    <row r="8354" s="11" customFormat="true" ht="10.95" hidden="false" customHeight="true" outlineLevel="0" collapsed="false">
      <c r="A8354" s="16" t="n">
        <v>45313</v>
      </c>
      <c r="B8354" s="17" t="s">
        <v>3613</v>
      </c>
      <c r="C8354" s="17" t="s">
        <v>3614</v>
      </c>
      <c r="D8354" s="17" t="s">
        <v>2903</v>
      </c>
      <c r="E8354" s="17" t="s">
        <v>2980</v>
      </c>
      <c r="F8354" s="17" t="s">
        <v>2461</v>
      </c>
      <c r="G8354" s="18" t="n">
        <v>283.73</v>
      </c>
      <c r="H8354" s="18" t="n">
        <v>0</v>
      </c>
      <c r="I8354" s="18" t="n">
        <f aca="false">((I8353 + G8354) - H8354)</f>
        <v>-48027.32</v>
      </c>
      <c r="J8354" s="18" t="n">
        <v>0</v>
      </c>
      <c r="K8354" s="19" t="n">
        <v>0</v>
      </c>
      <c r="L8354" s="17"/>
    </row>
    <row r="8355" s="11" customFormat="true" ht="10.95" hidden="false" customHeight="true" outlineLevel="0" collapsed="false">
      <c r="A8355" s="16" t="n">
        <v>45314</v>
      </c>
      <c r="B8355" s="17" t="s">
        <v>3613</v>
      </c>
      <c r="C8355" s="17" t="s">
        <v>3614</v>
      </c>
      <c r="D8355" s="17" t="s">
        <v>2903</v>
      </c>
      <c r="E8355" s="17" t="s">
        <v>3644</v>
      </c>
      <c r="F8355" s="17" t="s">
        <v>2457</v>
      </c>
      <c r="G8355" s="18" t="n">
        <v>24.2</v>
      </c>
      <c r="H8355" s="18" t="n">
        <v>0</v>
      </c>
      <c r="I8355" s="18" t="n">
        <f aca="false">((I8354 + G8355) - H8355)</f>
        <v>-48003.12</v>
      </c>
      <c r="J8355" s="18" t="n">
        <v>0</v>
      </c>
      <c r="K8355" s="19" t="n">
        <v>0</v>
      </c>
      <c r="L8355" s="17"/>
    </row>
    <row r="8356" s="11" customFormat="true" ht="10.95" hidden="false" customHeight="true" outlineLevel="0" collapsed="false">
      <c r="A8356" s="16" t="n">
        <v>45314</v>
      </c>
      <c r="B8356" s="17" t="s">
        <v>3613</v>
      </c>
      <c r="C8356" s="17" t="s">
        <v>3614</v>
      </c>
      <c r="D8356" s="17" t="s">
        <v>2903</v>
      </c>
      <c r="E8356" s="17" t="s">
        <v>3644</v>
      </c>
      <c r="F8356" s="17" t="s">
        <v>2451</v>
      </c>
      <c r="G8356" s="18" t="n">
        <v>9.02</v>
      </c>
      <c r="H8356" s="18" t="n">
        <v>0</v>
      </c>
      <c r="I8356" s="18" t="n">
        <f aca="false">((I8355 + G8356) - H8356)</f>
        <v>-47994.1</v>
      </c>
      <c r="J8356" s="18" t="n">
        <v>0</v>
      </c>
      <c r="K8356" s="19" t="n">
        <v>0</v>
      </c>
      <c r="L8356" s="17"/>
    </row>
    <row r="8357" s="11" customFormat="true" ht="10.95" hidden="false" customHeight="true" outlineLevel="0" collapsed="false">
      <c r="A8357" s="16" t="n">
        <v>45314</v>
      </c>
      <c r="B8357" s="17" t="s">
        <v>3613</v>
      </c>
      <c r="C8357" s="17" t="s">
        <v>3614</v>
      </c>
      <c r="D8357" s="17" t="s">
        <v>2903</v>
      </c>
      <c r="E8357" s="17" t="s">
        <v>3644</v>
      </c>
      <c r="F8357" s="17" t="s">
        <v>2453</v>
      </c>
      <c r="G8357" s="18" t="n">
        <v>36.19</v>
      </c>
      <c r="H8357" s="18" t="n">
        <v>0</v>
      </c>
      <c r="I8357" s="18" t="n">
        <f aca="false">((I8356 + G8357) - H8357)</f>
        <v>-47957.91</v>
      </c>
      <c r="J8357" s="18" t="n">
        <v>0</v>
      </c>
      <c r="K8357" s="19" t="n">
        <v>0</v>
      </c>
      <c r="L8357" s="17"/>
    </row>
    <row r="8358" s="11" customFormat="true" ht="10.95" hidden="false" customHeight="true" outlineLevel="0" collapsed="false">
      <c r="A8358" s="16" t="n">
        <v>45314</v>
      </c>
      <c r="B8358" s="17" t="s">
        <v>3613</v>
      </c>
      <c r="C8358" s="17" t="s">
        <v>3614</v>
      </c>
      <c r="D8358" s="17" t="s">
        <v>2903</v>
      </c>
      <c r="E8358" s="17" t="s">
        <v>3644</v>
      </c>
      <c r="F8358" s="17" t="s">
        <v>2449</v>
      </c>
      <c r="G8358" s="18" t="n">
        <v>45.32</v>
      </c>
      <c r="H8358" s="18" t="n">
        <v>0</v>
      </c>
      <c r="I8358" s="18" t="n">
        <f aca="false">((I8357 + G8358) - H8358)</f>
        <v>-47912.59</v>
      </c>
      <c r="J8358" s="18" t="n">
        <v>0</v>
      </c>
      <c r="K8358" s="19" t="n">
        <v>0</v>
      </c>
      <c r="L8358" s="17"/>
    </row>
    <row r="8359" s="11" customFormat="true" ht="10.95" hidden="false" customHeight="true" outlineLevel="0" collapsed="false">
      <c r="A8359" s="16" t="n">
        <v>45314</v>
      </c>
      <c r="B8359" s="17" t="s">
        <v>3613</v>
      </c>
      <c r="C8359" s="17" t="s">
        <v>3614</v>
      </c>
      <c r="D8359" s="17" t="s">
        <v>2903</v>
      </c>
      <c r="E8359" s="17" t="s">
        <v>3644</v>
      </c>
      <c r="F8359" s="17" t="s">
        <v>2445</v>
      </c>
      <c r="G8359" s="18" t="n">
        <v>60.5</v>
      </c>
      <c r="H8359" s="18" t="n">
        <v>0</v>
      </c>
      <c r="I8359" s="18" t="n">
        <f aca="false">((I8358 + G8359) - H8359)</f>
        <v>-47852.09</v>
      </c>
      <c r="J8359" s="18" t="n">
        <v>0</v>
      </c>
      <c r="K8359" s="19" t="n">
        <v>0</v>
      </c>
      <c r="L8359" s="17"/>
    </row>
    <row r="8360" s="11" customFormat="true" ht="10.95" hidden="false" customHeight="true" outlineLevel="0" collapsed="false">
      <c r="A8360" s="16" t="n">
        <v>45314</v>
      </c>
      <c r="B8360" s="17" t="s">
        <v>3613</v>
      </c>
      <c r="C8360" s="17" t="s">
        <v>3614</v>
      </c>
      <c r="D8360" s="17" t="s">
        <v>2903</v>
      </c>
      <c r="E8360" s="17" t="s">
        <v>3644</v>
      </c>
      <c r="F8360" s="17" t="s">
        <v>2455</v>
      </c>
      <c r="G8360" s="18" t="n">
        <v>68.2</v>
      </c>
      <c r="H8360" s="18" t="n">
        <v>0</v>
      </c>
      <c r="I8360" s="18" t="n">
        <f aca="false">((I8359 + G8360) - H8360)</f>
        <v>-47783.89</v>
      </c>
      <c r="J8360" s="18" t="n">
        <v>0</v>
      </c>
      <c r="K8360" s="19" t="n">
        <v>0</v>
      </c>
      <c r="L8360" s="17"/>
    </row>
    <row r="8361" s="11" customFormat="true" ht="10.95" hidden="false" customHeight="true" outlineLevel="0" collapsed="false">
      <c r="A8361" s="16" t="n">
        <v>45314</v>
      </c>
      <c r="B8361" s="17" t="s">
        <v>3613</v>
      </c>
      <c r="C8361" s="17" t="s">
        <v>3614</v>
      </c>
      <c r="D8361" s="17" t="s">
        <v>2903</v>
      </c>
      <c r="E8361" s="17" t="s">
        <v>3644</v>
      </c>
      <c r="F8361" s="17" t="s">
        <v>2447</v>
      </c>
      <c r="G8361" s="18" t="n">
        <v>83.6</v>
      </c>
      <c r="H8361" s="18" t="n">
        <v>0</v>
      </c>
      <c r="I8361" s="18" t="n">
        <f aca="false">((I8360 + G8361) - H8361)</f>
        <v>-47700.29</v>
      </c>
      <c r="J8361" s="18" t="n">
        <v>0</v>
      </c>
      <c r="K8361" s="19" t="n">
        <v>0</v>
      </c>
      <c r="L8361" s="17"/>
    </row>
    <row r="8362" s="11" customFormat="true" ht="10.95" hidden="false" customHeight="true" outlineLevel="0" collapsed="false">
      <c r="A8362" s="16" t="n">
        <v>45314</v>
      </c>
      <c r="B8362" s="17" t="s">
        <v>3613</v>
      </c>
      <c r="C8362" s="17" t="s">
        <v>3614</v>
      </c>
      <c r="D8362" s="17" t="s">
        <v>2903</v>
      </c>
      <c r="E8362" s="17" t="s">
        <v>3644</v>
      </c>
      <c r="F8362" s="17" t="s">
        <v>2443</v>
      </c>
      <c r="G8362" s="18" t="n">
        <v>219.78</v>
      </c>
      <c r="H8362" s="18" t="n">
        <v>0</v>
      </c>
      <c r="I8362" s="18" t="n">
        <f aca="false">((I8361 + G8362) - H8362)</f>
        <v>-47480.51</v>
      </c>
      <c r="J8362" s="18" t="n">
        <v>0</v>
      </c>
      <c r="K8362" s="19" t="n">
        <v>0</v>
      </c>
      <c r="L8362" s="17"/>
    </row>
    <row r="8363" s="11" customFormat="true" ht="10.95" hidden="false" customHeight="true" outlineLevel="0" collapsed="false">
      <c r="A8363" s="16" t="n">
        <v>45314</v>
      </c>
      <c r="B8363" s="17" t="s">
        <v>3613</v>
      </c>
      <c r="C8363" s="17" t="s">
        <v>3614</v>
      </c>
      <c r="D8363" s="17" t="s">
        <v>2903</v>
      </c>
      <c r="E8363" s="17" t="s">
        <v>3645</v>
      </c>
      <c r="F8363" s="17" t="s">
        <v>1490</v>
      </c>
      <c r="G8363" s="18" t="n">
        <v>1947</v>
      </c>
      <c r="H8363" s="18" t="n">
        <v>0</v>
      </c>
      <c r="I8363" s="18" t="n">
        <f aca="false">((I8362 + G8363) - H8363)</f>
        <v>-45533.51</v>
      </c>
      <c r="J8363" s="18" t="n">
        <v>0</v>
      </c>
      <c r="K8363" s="19" t="n">
        <v>0</v>
      </c>
      <c r="L8363" s="17"/>
    </row>
    <row r="8364" s="11" customFormat="true" ht="10.95" hidden="false" customHeight="true" outlineLevel="0" collapsed="false">
      <c r="A8364" s="16" t="n">
        <v>45314</v>
      </c>
      <c r="B8364" s="17" t="s">
        <v>3613</v>
      </c>
      <c r="C8364" s="17" t="s">
        <v>3614</v>
      </c>
      <c r="D8364" s="17" t="s">
        <v>2903</v>
      </c>
      <c r="E8364" s="17" t="s">
        <v>3645</v>
      </c>
      <c r="F8364" s="17" t="s">
        <v>1492</v>
      </c>
      <c r="G8364" s="18" t="n">
        <v>17914.78</v>
      </c>
      <c r="H8364" s="18" t="n">
        <v>0</v>
      </c>
      <c r="I8364" s="18" t="n">
        <f aca="false">((I8363 + G8364) - H8364)</f>
        <v>-27618.73</v>
      </c>
      <c r="J8364" s="18" t="n">
        <v>0</v>
      </c>
      <c r="K8364" s="19" t="n">
        <v>0</v>
      </c>
      <c r="L8364" s="17"/>
    </row>
    <row r="8365" s="11" customFormat="true" ht="10.95" hidden="false" customHeight="true" outlineLevel="0" collapsed="false">
      <c r="A8365" s="16" t="n">
        <v>45314</v>
      </c>
      <c r="B8365" s="17" t="s">
        <v>3613</v>
      </c>
      <c r="C8365" s="17" t="s">
        <v>3614</v>
      </c>
      <c r="D8365" s="17" t="s">
        <v>2903</v>
      </c>
      <c r="E8365" s="17" t="s">
        <v>3645</v>
      </c>
      <c r="F8365" s="17" t="s">
        <v>1488</v>
      </c>
      <c r="G8365" s="18" t="n">
        <v>538.76</v>
      </c>
      <c r="H8365" s="18" t="n">
        <v>0</v>
      </c>
      <c r="I8365" s="18" t="n">
        <f aca="false">((I8364 + G8365) - H8365)</f>
        <v>-27079.97</v>
      </c>
      <c r="J8365" s="18" t="n">
        <v>0</v>
      </c>
      <c r="K8365" s="19" t="n">
        <v>0</v>
      </c>
      <c r="L8365" s="17"/>
    </row>
    <row r="8366" s="11" customFormat="true" ht="10.95" hidden="false" customHeight="true" outlineLevel="0" collapsed="false">
      <c r="A8366" s="16" t="n">
        <v>45314</v>
      </c>
      <c r="B8366" s="17" t="s">
        <v>3613</v>
      </c>
      <c r="C8366" s="17" t="s">
        <v>3614</v>
      </c>
      <c r="D8366" s="17" t="s">
        <v>2903</v>
      </c>
      <c r="E8366" s="17" t="s">
        <v>3671</v>
      </c>
      <c r="F8366" s="17" t="s">
        <v>2459</v>
      </c>
      <c r="G8366" s="18" t="n">
        <v>97</v>
      </c>
      <c r="H8366" s="18" t="n">
        <v>0</v>
      </c>
      <c r="I8366" s="18" t="n">
        <f aca="false">((I8365 + G8366) - H8366)</f>
        <v>-26982.97</v>
      </c>
      <c r="J8366" s="18" t="n">
        <v>0</v>
      </c>
      <c r="K8366" s="19" t="n">
        <v>0</v>
      </c>
      <c r="L8366" s="17"/>
    </row>
    <row r="8367" s="11" customFormat="true" ht="10.95" hidden="false" customHeight="true" outlineLevel="0" collapsed="false">
      <c r="A8367" s="16" t="n">
        <v>45316</v>
      </c>
      <c r="B8367" s="17" t="s">
        <v>3613</v>
      </c>
      <c r="C8367" s="17" t="s">
        <v>3614</v>
      </c>
      <c r="D8367" s="17" t="s">
        <v>1391</v>
      </c>
      <c r="E8367" s="17" t="s">
        <v>3673</v>
      </c>
      <c r="F8367" s="17" t="s">
        <v>3215</v>
      </c>
      <c r="G8367" s="18" t="n">
        <v>0</v>
      </c>
      <c r="H8367" s="18" t="n">
        <v>8970.2</v>
      </c>
      <c r="I8367" s="18" t="n">
        <f aca="false">((I8366 + G8367) - H8367)</f>
        <v>-35953.17</v>
      </c>
      <c r="J8367" s="18" t="n">
        <v>0</v>
      </c>
      <c r="K8367" s="19" t="n">
        <v>0</v>
      </c>
      <c r="L8367" s="17"/>
    </row>
    <row r="8368" s="11" customFormat="true" ht="10.95" hidden="false" customHeight="true" outlineLevel="0" collapsed="false">
      <c r="A8368" s="16" t="n">
        <v>45321</v>
      </c>
      <c r="B8368" s="17" t="s">
        <v>3613</v>
      </c>
      <c r="C8368" s="17" t="s">
        <v>3614</v>
      </c>
      <c r="D8368" s="17" t="s">
        <v>2903</v>
      </c>
      <c r="E8368" s="17" t="s">
        <v>3648</v>
      </c>
      <c r="F8368" s="17" t="s">
        <v>2682</v>
      </c>
      <c r="G8368" s="18" t="n">
        <v>162.14</v>
      </c>
      <c r="H8368" s="18" t="n">
        <v>0</v>
      </c>
      <c r="I8368" s="18" t="n">
        <f aca="false">((I8367 + G8368) - H8368)</f>
        <v>-35791.03</v>
      </c>
      <c r="J8368" s="18" t="n">
        <v>0</v>
      </c>
      <c r="K8368" s="19" t="n">
        <v>0</v>
      </c>
      <c r="L8368" s="17"/>
    </row>
    <row r="8369" s="11" customFormat="true" ht="10.95" hidden="false" customHeight="true" outlineLevel="0" collapsed="false">
      <c r="A8369" s="16" t="n">
        <v>45321</v>
      </c>
      <c r="B8369" s="17" t="s">
        <v>3613</v>
      </c>
      <c r="C8369" s="17" t="s">
        <v>3614</v>
      </c>
      <c r="D8369" s="17" t="s">
        <v>1391</v>
      </c>
      <c r="E8369" s="17" t="s">
        <v>3638</v>
      </c>
      <c r="F8369" s="17" t="s">
        <v>3217</v>
      </c>
      <c r="G8369" s="18" t="n">
        <v>0</v>
      </c>
      <c r="H8369" s="18" t="n">
        <v>218.9</v>
      </c>
      <c r="I8369" s="18" t="n">
        <f aca="false">((I8368 + G8369) - H8369)</f>
        <v>-36009.93</v>
      </c>
      <c r="J8369" s="18" t="n">
        <v>0</v>
      </c>
      <c r="K8369" s="19" t="n">
        <v>0</v>
      </c>
      <c r="L8369" s="17"/>
    </row>
    <row r="8370" s="11" customFormat="true" ht="10.95" hidden="false" customHeight="true" outlineLevel="0" collapsed="false">
      <c r="A8370" s="16" t="n">
        <v>45321</v>
      </c>
      <c r="B8370" s="17" t="s">
        <v>3613</v>
      </c>
      <c r="C8370" s="17" t="s">
        <v>3614</v>
      </c>
      <c r="D8370" s="17" t="s">
        <v>2903</v>
      </c>
      <c r="E8370" s="17" t="s">
        <v>3616</v>
      </c>
      <c r="F8370" s="17" t="s">
        <v>3217</v>
      </c>
      <c r="G8370" s="18" t="n">
        <v>218.9</v>
      </c>
      <c r="H8370" s="18" t="n">
        <v>0</v>
      </c>
      <c r="I8370" s="18" t="n">
        <f aca="false">((I8369 + G8370) - H8370)</f>
        <v>-35791.03</v>
      </c>
      <c r="J8370" s="18" t="n">
        <v>0</v>
      </c>
      <c r="K8370" s="19" t="n">
        <v>0</v>
      </c>
      <c r="L8370" s="17"/>
    </row>
    <row r="8371" s="11" customFormat="true" ht="10.95" hidden="false" customHeight="true" outlineLevel="0" collapsed="false">
      <c r="A8371" s="16" t="n">
        <v>45321</v>
      </c>
      <c r="B8371" s="17" t="s">
        <v>3613</v>
      </c>
      <c r="C8371" s="17" t="s">
        <v>3614</v>
      </c>
      <c r="D8371" s="17" t="s">
        <v>1391</v>
      </c>
      <c r="E8371" s="17" t="s">
        <v>3669</v>
      </c>
      <c r="F8371" s="17" t="s">
        <v>1785</v>
      </c>
      <c r="G8371" s="18" t="n">
        <v>0</v>
      </c>
      <c r="H8371" s="18" t="n">
        <v>758.15</v>
      </c>
      <c r="I8371" s="18" t="n">
        <f aca="false">((I8370 + G8371) - H8371)</f>
        <v>-36549.18</v>
      </c>
      <c r="J8371" s="18" t="n">
        <v>0</v>
      </c>
      <c r="K8371" s="19" t="n">
        <v>0</v>
      </c>
      <c r="L8371" s="17"/>
    </row>
    <row r="8372" s="11" customFormat="true" ht="10.95" hidden="false" customHeight="true" outlineLevel="0" collapsed="false">
      <c r="A8372" s="16" t="n">
        <v>45321</v>
      </c>
      <c r="B8372" s="17" t="s">
        <v>3613</v>
      </c>
      <c r="C8372" s="17" t="s">
        <v>3614</v>
      </c>
      <c r="D8372" s="17" t="s">
        <v>1391</v>
      </c>
      <c r="E8372" s="17" t="s">
        <v>3627</v>
      </c>
      <c r="F8372" s="17" t="s">
        <v>3041</v>
      </c>
      <c r="G8372" s="18" t="n">
        <v>0</v>
      </c>
      <c r="H8372" s="18" t="n">
        <v>758.15</v>
      </c>
      <c r="I8372" s="18" t="n">
        <f aca="false">((I8371 + G8372) - H8372)</f>
        <v>-37307.33</v>
      </c>
      <c r="J8372" s="18" t="n">
        <v>0</v>
      </c>
      <c r="K8372" s="19" t="n">
        <v>0</v>
      </c>
      <c r="L8372" s="17"/>
    </row>
    <row r="8373" s="11" customFormat="true" ht="10.95" hidden="false" customHeight="true" outlineLevel="0" collapsed="false">
      <c r="A8373" s="16" t="n">
        <v>45322</v>
      </c>
      <c r="B8373" s="17" t="s">
        <v>3613</v>
      </c>
      <c r="C8373" s="17" t="s">
        <v>3614</v>
      </c>
      <c r="D8373" s="17" t="s">
        <v>2903</v>
      </c>
      <c r="E8373" s="17" t="s">
        <v>3643</v>
      </c>
      <c r="F8373" s="17" t="s">
        <v>1495</v>
      </c>
      <c r="G8373" s="18" t="n">
        <v>1063.92</v>
      </c>
      <c r="H8373" s="18" t="n">
        <v>0</v>
      </c>
      <c r="I8373" s="18" t="n">
        <f aca="false">((I8372 + G8373) - H8373)</f>
        <v>-36243.41</v>
      </c>
      <c r="J8373" s="18" t="n">
        <v>0</v>
      </c>
      <c r="K8373" s="19" t="n">
        <v>0</v>
      </c>
      <c r="L8373" s="17"/>
    </row>
    <row r="8374" s="11" customFormat="true" ht="10.95" hidden="false" customHeight="true" outlineLevel="0" collapsed="false">
      <c r="A8374" s="16" t="n">
        <v>45322</v>
      </c>
      <c r="B8374" s="17" t="s">
        <v>3613</v>
      </c>
      <c r="C8374" s="17" t="s">
        <v>3614</v>
      </c>
      <c r="D8374" s="17" t="s">
        <v>1391</v>
      </c>
      <c r="E8374" s="17" t="s">
        <v>3647</v>
      </c>
      <c r="F8374" s="17" t="s">
        <v>1505</v>
      </c>
      <c r="G8374" s="18" t="n">
        <v>0</v>
      </c>
      <c r="H8374" s="18" t="n">
        <v>5762.58</v>
      </c>
      <c r="I8374" s="18" t="n">
        <f aca="false">((I8373 + G8374) - H8374)</f>
        <v>-42005.99</v>
      </c>
      <c r="J8374" s="18" t="n">
        <v>0</v>
      </c>
      <c r="K8374" s="19" t="n">
        <v>0</v>
      </c>
      <c r="L8374" s="17"/>
    </row>
    <row r="8375" s="11" customFormat="true" ht="10.95" hidden="false" customHeight="true" outlineLevel="0" collapsed="false">
      <c r="A8375" s="16" t="n">
        <v>45322</v>
      </c>
      <c r="B8375" s="17" t="s">
        <v>3613</v>
      </c>
      <c r="C8375" s="17" t="s">
        <v>3614</v>
      </c>
      <c r="D8375" s="17" t="s">
        <v>1391</v>
      </c>
      <c r="E8375" s="17" t="s">
        <v>3706</v>
      </c>
      <c r="F8375" s="17" t="s">
        <v>2069</v>
      </c>
      <c r="G8375" s="18" t="n">
        <v>0</v>
      </c>
      <c r="H8375" s="18" t="n">
        <v>7218.67</v>
      </c>
      <c r="I8375" s="18" t="n">
        <f aca="false">((I8374 + G8375) - H8375)</f>
        <v>-49224.66</v>
      </c>
      <c r="J8375" s="18" t="n">
        <v>0</v>
      </c>
      <c r="K8375" s="19" t="n">
        <v>0</v>
      </c>
      <c r="L8375" s="17"/>
    </row>
    <row r="8376" s="11" customFormat="true" ht="10.95" hidden="false" customHeight="true" outlineLevel="0" collapsed="false">
      <c r="A8376" s="16" t="n">
        <v>45322</v>
      </c>
      <c r="B8376" s="17" t="s">
        <v>3613</v>
      </c>
      <c r="C8376" s="17" t="s">
        <v>3614</v>
      </c>
      <c r="D8376" s="17" t="s">
        <v>2903</v>
      </c>
      <c r="E8376" s="17" t="s">
        <v>2904</v>
      </c>
      <c r="F8376" s="17" t="s">
        <v>3041</v>
      </c>
      <c r="G8376" s="18" t="n">
        <v>758.15</v>
      </c>
      <c r="H8376" s="18" t="n">
        <v>0</v>
      </c>
      <c r="I8376" s="18" t="n">
        <f aca="false">((I8375 + G8376) - H8376)</f>
        <v>-48466.51</v>
      </c>
      <c r="J8376" s="18" t="n">
        <v>0</v>
      </c>
      <c r="K8376" s="19" t="n">
        <v>0</v>
      </c>
      <c r="L8376" s="17"/>
    </row>
    <row r="8377" s="11" customFormat="true" ht="10.95" hidden="false" customHeight="true" outlineLevel="0" collapsed="false">
      <c r="A8377" s="16" t="n">
        <v>45322</v>
      </c>
      <c r="B8377" s="17" t="s">
        <v>3613</v>
      </c>
      <c r="C8377" s="17" t="s">
        <v>3614</v>
      </c>
      <c r="D8377" s="17" t="s">
        <v>1391</v>
      </c>
      <c r="E8377" s="17" t="s">
        <v>3627</v>
      </c>
      <c r="F8377" s="17" t="s">
        <v>1507</v>
      </c>
      <c r="G8377" s="18" t="n">
        <v>0</v>
      </c>
      <c r="H8377" s="18" t="n">
        <v>3951.42</v>
      </c>
      <c r="I8377" s="18" t="n">
        <f aca="false">((I8376 + G8377) - H8377)</f>
        <v>-52417.93</v>
      </c>
      <c r="J8377" s="18" t="n">
        <v>0</v>
      </c>
      <c r="K8377" s="19" t="n">
        <v>0</v>
      </c>
      <c r="L8377" s="17"/>
    </row>
    <row r="8378" s="11" customFormat="true" ht="10.95" hidden="false" customHeight="true" outlineLevel="0" collapsed="false">
      <c r="A8378" s="16" t="n">
        <v>45323</v>
      </c>
      <c r="B8378" s="17" t="s">
        <v>3613</v>
      </c>
      <c r="C8378" s="17" t="s">
        <v>3614</v>
      </c>
      <c r="D8378" s="17" t="s">
        <v>1391</v>
      </c>
      <c r="E8378" s="17" t="s">
        <v>3615</v>
      </c>
      <c r="F8378" s="17" t="s">
        <v>1509</v>
      </c>
      <c r="G8378" s="18" t="n">
        <v>0</v>
      </c>
      <c r="H8378" s="18" t="n">
        <v>538.76</v>
      </c>
      <c r="I8378" s="18" t="n">
        <f aca="false">((I8377 + G8378) - H8378)</f>
        <v>-52956.69</v>
      </c>
      <c r="J8378" s="18" t="n">
        <v>0</v>
      </c>
      <c r="K8378" s="19" t="n">
        <v>0</v>
      </c>
      <c r="L8378" s="17"/>
    </row>
    <row r="8379" s="11" customFormat="true" ht="10.95" hidden="false" customHeight="true" outlineLevel="0" collapsed="false">
      <c r="A8379" s="16" t="n">
        <v>45323</v>
      </c>
      <c r="B8379" s="17" t="s">
        <v>3613</v>
      </c>
      <c r="C8379" s="17" t="s">
        <v>3614</v>
      </c>
      <c r="D8379" s="17" t="s">
        <v>1391</v>
      </c>
      <c r="E8379" s="17" t="s">
        <v>3680</v>
      </c>
      <c r="F8379" s="17" t="s">
        <v>2687</v>
      </c>
      <c r="G8379" s="18" t="n">
        <v>0</v>
      </c>
      <c r="H8379" s="18" t="n">
        <v>178.12</v>
      </c>
      <c r="I8379" s="18" t="n">
        <f aca="false">((I8378 + G8379) - H8379)</f>
        <v>-53134.81</v>
      </c>
      <c r="J8379" s="18" t="n">
        <v>0</v>
      </c>
      <c r="K8379" s="19" t="n">
        <v>0</v>
      </c>
      <c r="L8379" s="17"/>
    </row>
    <row r="8380" s="11" customFormat="true" ht="10.95" hidden="false" customHeight="true" outlineLevel="0" collapsed="false">
      <c r="A8380" s="16" t="n">
        <v>45323</v>
      </c>
      <c r="B8380" s="17" t="s">
        <v>3613</v>
      </c>
      <c r="C8380" s="17" t="s">
        <v>3614</v>
      </c>
      <c r="D8380" s="17" t="s">
        <v>2903</v>
      </c>
      <c r="E8380" s="17" t="s">
        <v>3616</v>
      </c>
      <c r="F8380" s="17" t="s">
        <v>3291</v>
      </c>
      <c r="G8380" s="18" t="n">
        <v>2905.1</v>
      </c>
      <c r="H8380" s="18" t="n">
        <v>0</v>
      </c>
      <c r="I8380" s="18" t="n">
        <f aca="false">((I8379 + G8380) - H8380)</f>
        <v>-50229.71</v>
      </c>
      <c r="J8380" s="18" t="n">
        <v>0</v>
      </c>
      <c r="K8380" s="19" t="n">
        <v>0</v>
      </c>
      <c r="L8380" s="17"/>
    </row>
    <row r="8381" s="11" customFormat="true" ht="10.95" hidden="false" customHeight="true" outlineLevel="0" collapsed="false">
      <c r="A8381" s="16" t="n">
        <v>45323</v>
      </c>
      <c r="B8381" s="17" t="s">
        <v>3613</v>
      </c>
      <c r="C8381" s="17" t="s">
        <v>3614</v>
      </c>
      <c r="D8381" s="17" t="s">
        <v>1391</v>
      </c>
      <c r="E8381" s="17" t="s">
        <v>3705</v>
      </c>
      <c r="F8381" s="17" t="s">
        <v>3090</v>
      </c>
      <c r="G8381" s="18" t="n">
        <v>0</v>
      </c>
      <c r="H8381" s="18" t="n">
        <v>2115.52</v>
      </c>
      <c r="I8381" s="18" t="n">
        <f aca="false">((I8380 + G8381) - H8381)</f>
        <v>-52345.23</v>
      </c>
      <c r="J8381" s="18" t="n">
        <v>0</v>
      </c>
      <c r="K8381" s="19" t="n">
        <v>0</v>
      </c>
      <c r="L8381" s="17"/>
    </row>
    <row r="8382" s="11" customFormat="true" ht="10.95" hidden="false" customHeight="true" outlineLevel="0" collapsed="false">
      <c r="A8382" s="16" t="n">
        <v>45323</v>
      </c>
      <c r="B8382" s="17" t="s">
        <v>3613</v>
      </c>
      <c r="C8382" s="17" t="s">
        <v>3614</v>
      </c>
      <c r="D8382" s="17" t="s">
        <v>1391</v>
      </c>
      <c r="E8382" s="17" t="s">
        <v>3621</v>
      </c>
      <c r="F8382" s="17" t="s">
        <v>2689</v>
      </c>
      <c r="G8382" s="18" t="n">
        <v>0</v>
      </c>
      <c r="H8382" s="18" t="n">
        <v>745.91</v>
      </c>
      <c r="I8382" s="18" t="n">
        <f aca="false">((I8381 + G8382) - H8382)</f>
        <v>-53091.14</v>
      </c>
      <c r="J8382" s="18" t="n">
        <v>0</v>
      </c>
      <c r="K8382" s="19" t="n">
        <v>0</v>
      </c>
      <c r="L8382" s="17"/>
    </row>
    <row r="8383" s="11" customFormat="true" ht="10.95" hidden="false" customHeight="true" outlineLevel="0" collapsed="false">
      <c r="A8383" s="16" t="n">
        <v>45323</v>
      </c>
      <c r="B8383" s="17" t="s">
        <v>3613</v>
      </c>
      <c r="C8383" s="17" t="s">
        <v>3614</v>
      </c>
      <c r="D8383" s="17" t="s">
        <v>1391</v>
      </c>
      <c r="E8383" s="17" t="s">
        <v>3681</v>
      </c>
      <c r="F8383" s="17" t="s">
        <v>1629</v>
      </c>
      <c r="G8383" s="18" t="n">
        <v>0</v>
      </c>
      <c r="H8383" s="18" t="n">
        <v>242.36</v>
      </c>
      <c r="I8383" s="18" t="n">
        <f aca="false">((I8382 + G8383) - H8383)</f>
        <v>-53333.5</v>
      </c>
      <c r="J8383" s="18" t="n">
        <v>0</v>
      </c>
      <c r="K8383" s="19" t="n">
        <v>0</v>
      </c>
      <c r="L8383" s="17"/>
    </row>
    <row r="8384" s="11" customFormat="true" ht="10.95" hidden="false" customHeight="true" outlineLevel="0" collapsed="false">
      <c r="A8384" s="16" t="n">
        <v>45323</v>
      </c>
      <c r="B8384" s="17" t="s">
        <v>3613</v>
      </c>
      <c r="C8384" s="17" t="s">
        <v>3614</v>
      </c>
      <c r="D8384" s="17" t="s">
        <v>1391</v>
      </c>
      <c r="E8384" s="17" t="s">
        <v>3650</v>
      </c>
      <c r="F8384" s="17" t="s">
        <v>2466</v>
      </c>
      <c r="G8384" s="18" t="n">
        <v>0</v>
      </c>
      <c r="H8384" s="18" t="n">
        <v>179</v>
      </c>
      <c r="I8384" s="18" t="n">
        <f aca="false">((I8383 + G8384) - H8384)</f>
        <v>-53512.5</v>
      </c>
      <c r="J8384" s="18" t="n">
        <v>0</v>
      </c>
      <c r="K8384" s="19" t="n">
        <v>0</v>
      </c>
      <c r="L8384" s="17"/>
    </row>
    <row r="8385" s="11" customFormat="true" ht="10.95" hidden="false" customHeight="true" outlineLevel="0" collapsed="false">
      <c r="A8385" s="16" t="n">
        <v>45323</v>
      </c>
      <c r="B8385" s="17" t="s">
        <v>3613</v>
      </c>
      <c r="C8385" s="17" t="s">
        <v>3614</v>
      </c>
      <c r="D8385" s="17" t="s">
        <v>1391</v>
      </c>
      <c r="E8385" s="17" t="s">
        <v>3650</v>
      </c>
      <c r="F8385" s="17" t="s">
        <v>2468</v>
      </c>
      <c r="G8385" s="18" t="n">
        <v>0</v>
      </c>
      <c r="H8385" s="18" t="n">
        <v>248</v>
      </c>
      <c r="I8385" s="18" t="n">
        <f aca="false">((I8384 + G8385) - H8385)</f>
        <v>-53760.5</v>
      </c>
      <c r="J8385" s="18" t="n">
        <v>0</v>
      </c>
      <c r="K8385" s="19" t="n">
        <v>0</v>
      </c>
      <c r="L8385" s="17"/>
    </row>
    <row r="8386" s="11" customFormat="true" ht="10.95" hidden="false" customHeight="true" outlineLevel="0" collapsed="false">
      <c r="A8386" s="16" t="n">
        <v>45324</v>
      </c>
      <c r="B8386" s="17" t="s">
        <v>3613</v>
      </c>
      <c r="C8386" s="17" t="s">
        <v>3614</v>
      </c>
      <c r="D8386" s="17" t="s">
        <v>2903</v>
      </c>
      <c r="E8386" s="17" t="s">
        <v>2963</v>
      </c>
      <c r="F8386" s="17" t="s">
        <v>2687</v>
      </c>
      <c r="G8386" s="18" t="n">
        <v>178.12</v>
      </c>
      <c r="H8386" s="18" t="n">
        <v>0</v>
      </c>
      <c r="I8386" s="18" t="n">
        <f aca="false">((I8385 + G8386) - H8386)</f>
        <v>-53582.38</v>
      </c>
      <c r="J8386" s="18" t="n">
        <v>0</v>
      </c>
      <c r="K8386" s="19" t="n">
        <v>0</v>
      </c>
      <c r="L8386" s="17"/>
    </row>
    <row r="8387" s="11" customFormat="true" ht="10.95" hidden="false" customHeight="true" outlineLevel="0" collapsed="false">
      <c r="A8387" s="16" t="n">
        <v>45324</v>
      </c>
      <c r="B8387" s="17" t="s">
        <v>3613</v>
      </c>
      <c r="C8387" s="17" t="s">
        <v>3614</v>
      </c>
      <c r="D8387" s="17" t="s">
        <v>2903</v>
      </c>
      <c r="E8387" s="17" t="s">
        <v>3048</v>
      </c>
      <c r="F8387" s="17" t="s">
        <v>2069</v>
      </c>
      <c r="G8387" s="18" t="n">
        <v>7218.67</v>
      </c>
      <c r="H8387" s="18" t="n">
        <v>0</v>
      </c>
      <c r="I8387" s="18" t="n">
        <f aca="false">((I8386 + G8387) - H8387)</f>
        <v>-46363.71</v>
      </c>
      <c r="J8387" s="18" t="n">
        <v>0</v>
      </c>
      <c r="K8387" s="19" t="n">
        <v>0</v>
      </c>
      <c r="L8387" s="17"/>
    </row>
    <row r="8388" s="11" customFormat="true" ht="10.95" hidden="false" customHeight="true" outlineLevel="0" collapsed="false">
      <c r="A8388" s="16" t="n">
        <v>45324</v>
      </c>
      <c r="B8388" s="17" t="s">
        <v>3613</v>
      </c>
      <c r="C8388" s="17" t="s">
        <v>3614</v>
      </c>
      <c r="D8388" s="17" t="s">
        <v>2903</v>
      </c>
      <c r="E8388" s="17" t="s">
        <v>2943</v>
      </c>
      <c r="F8388" s="17" t="s">
        <v>1785</v>
      </c>
      <c r="G8388" s="18" t="n">
        <v>758.15</v>
      </c>
      <c r="H8388" s="18" t="n">
        <v>0</v>
      </c>
      <c r="I8388" s="18" t="n">
        <f aca="false">((I8387 + G8388) - H8388)</f>
        <v>-45605.56</v>
      </c>
      <c r="J8388" s="18" t="n">
        <v>0</v>
      </c>
      <c r="K8388" s="19" t="n">
        <v>0</v>
      </c>
      <c r="L8388" s="17"/>
    </row>
    <row r="8389" s="11" customFormat="true" ht="10.95" hidden="false" customHeight="true" outlineLevel="0" collapsed="false">
      <c r="A8389" s="16" t="n">
        <v>45324</v>
      </c>
      <c r="B8389" s="17" t="s">
        <v>3613</v>
      </c>
      <c r="C8389" s="17" t="s">
        <v>3614</v>
      </c>
      <c r="D8389" s="17" t="s">
        <v>2903</v>
      </c>
      <c r="E8389" s="17" t="s">
        <v>3049</v>
      </c>
      <c r="F8389" s="17" t="s">
        <v>1604</v>
      </c>
      <c r="G8389" s="18" t="n">
        <v>14333.84</v>
      </c>
      <c r="H8389" s="18" t="n">
        <v>0</v>
      </c>
      <c r="I8389" s="18" t="n">
        <f aca="false">((I8388 + G8389) - H8389)</f>
        <v>-31271.72</v>
      </c>
      <c r="J8389" s="18" t="n">
        <v>0</v>
      </c>
      <c r="K8389" s="19" t="n">
        <v>0</v>
      </c>
      <c r="L8389" s="17"/>
    </row>
    <row r="8390" s="11" customFormat="true" ht="10.95" hidden="false" customHeight="true" outlineLevel="0" collapsed="false">
      <c r="A8390" s="16" t="n">
        <v>45324</v>
      </c>
      <c r="B8390" s="17" t="s">
        <v>3613</v>
      </c>
      <c r="C8390" s="17" t="s">
        <v>3614</v>
      </c>
      <c r="D8390" s="17" t="s">
        <v>1391</v>
      </c>
      <c r="E8390" s="17" t="s">
        <v>3625</v>
      </c>
      <c r="F8390" s="17" t="s">
        <v>3294</v>
      </c>
      <c r="G8390" s="18" t="n">
        <v>0</v>
      </c>
      <c r="H8390" s="18" t="n">
        <v>1012.38</v>
      </c>
      <c r="I8390" s="18" t="n">
        <f aca="false">((I8389 + G8390) - H8390)</f>
        <v>-32284.1</v>
      </c>
      <c r="J8390" s="18" t="n">
        <v>0</v>
      </c>
      <c r="K8390" s="19" t="n">
        <v>0</v>
      </c>
      <c r="L8390" s="17"/>
    </row>
    <row r="8391" s="11" customFormat="true" ht="10.95" hidden="false" customHeight="true" outlineLevel="0" collapsed="false">
      <c r="A8391" s="16" t="n">
        <v>45324</v>
      </c>
      <c r="B8391" s="17" t="s">
        <v>3613</v>
      </c>
      <c r="C8391" s="17" t="s">
        <v>3614</v>
      </c>
      <c r="D8391" s="17" t="s">
        <v>1391</v>
      </c>
      <c r="E8391" s="17" t="s">
        <v>3647</v>
      </c>
      <c r="F8391" s="17" t="s">
        <v>2470</v>
      </c>
      <c r="G8391" s="18" t="n">
        <v>0</v>
      </c>
      <c r="H8391" s="18" t="n">
        <v>80.12</v>
      </c>
      <c r="I8391" s="18" t="n">
        <f aca="false">((I8390 + G8391) - H8391)</f>
        <v>-32364.22</v>
      </c>
      <c r="J8391" s="18" t="n">
        <v>0</v>
      </c>
      <c r="K8391" s="19" t="n">
        <v>0</v>
      </c>
      <c r="L8391" s="17"/>
    </row>
    <row r="8392" s="11" customFormat="true" ht="10.95" hidden="false" customHeight="true" outlineLevel="0" collapsed="false">
      <c r="A8392" s="16" t="n">
        <v>45325</v>
      </c>
      <c r="B8392" s="17" t="s">
        <v>3613</v>
      </c>
      <c r="C8392" s="17" t="s">
        <v>3614</v>
      </c>
      <c r="D8392" s="17" t="s">
        <v>2903</v>
      </c>
      <c r="E8392" s="17" t="s">
        <v>2904</v>
      </c>
      <c r="F8392" s="17" t="s">
        <v>1507</v>
      </c>
      <c r="G8392" s="18" t="n">
        <v>3951.42</v>
      </c>
      <c r="H8392" s="18" t="n">
        <v>0</v>
      </c>
      <c r="I8392" s="18" t="n">
        <f aca="false">((I8391 + G8392) - H8392)</f>
        <v>-28412.8</v>
      </c>
      <c r="J8392" s="18" t="n">
        <v>0</v>
      </c>
      <c r="K8392" s="19" t="n">
        <v>0</v>
      </c>
      <c r="L8392" s="17"/>
    </row>
    <row r="8393" s="11" customFormat="true" ht="10.95" hidden="false" customHeight="true" outlineLevel="0" collapsed="false">
      <c r="A8393" s="16" t="n">
        <v>45325</v>
      </c>
      <c r="B8393" s="17" t="s">
        <v>3613</v>
      </c>
      <c r="C8393" s="17" t="s">
        <v>3614</v>
      </c>
      <c r="D8393" s="17" t="s">
        <v>2903</v>
      </c>
      <c r="E8393" s="17" t="s">
        <v>3657</v>
      </c>
      <c r="F8393" s="17" t="s">
        <v>2470</v>
      </c>
      <c r="G8393" s="18" t="n">
        <v>80.12</v>
      </c>
      <c r="H8393" s="18" t="n">
        <v>0</v>
      </c>
      <c r="I8393" s="18" t="n">
        <f aca="false">((I8392 + G8393) - H8393)</f>
        <v>-28332.68</v>
      </c>
      <c r="J8393" s="18" t="n">
        <v>0</v>
      </c>
      <c r="K8393" s="19" t="n">
        <v>0</v>
      </c>
      <c r="L8393" s="17"/>
    </row>
    <row r="8394" s="11" customFormat="true" ht="10.95" hidden="false" customHeight="true" outlineLevel="0" collapsed="false">
      <c r="A8394" s="16" t="n">
        <v>45327</v>
      </c>
      <c r="B8394" s="17" t="s">
        <v>3613</v>
      </c>
      <c r="C8394" s="17" t="s">
        <v>3614</v>
      </c>
      <c r="D8394" s="17" t="s">
        <v>1391</v>
      </c>
      <c r="E8394" s="17" t="s">
        <v>3615</v>
      </c>
      <c r="F8394" s="17" t="s">
        <v>1512</v>
      </c>
      <c r="G8394" s="18" t="n">
        <v>0</v>
      </c>
      <c r="H8394" s="18" t="n">
        <v>21257.54</v>
      </c>
      <c r="I8394" s="18" t="n">
        <f aca="false">((I8393 + G8394) - H8394)</f>
        <v>-49590.22</v>
      </c>
      <c r="J8394" s="18" t="n">
        <v>0</v>
      </c>
      <c r="K8394" s="19" t="n">
        <v>0</v>
      </c>
      <c r="L8394" s="17"/>
    </row>
    <row r="8395" s="11" customFormat="true" ht="10.95" hidden="false" customHeight="true" outlineLevel="0" collapsed="false">
      <c r="A8395" s="16" t="n">
        <v>45327</v>
      </c>
      <c r="B8395" s="17" t="s">
        <v>3613</v>
      </c>
      <c r="C8395" s="17" t="s">
        <v>3614</v>
      </c>
      <c r="D8395" s="17" t="s">
        <v>2903</v>
      </c>
      <c r="E8395" s="17" t="s">
        <v>2908</v>
      </c>
      <c r="F8395" s="17" t="s">
        <v>2441</v>
      </c>
      <c r="G8395" s="18" t="n">
        <v>447.04</v>
      </c>
      <c r="H8395" s="18" t="n">
        <v>0</v>
      </c>
      <c r="I8395" s="18" t="n">
        <f aca="false">((I8394 + G8395) - H8395)</f>
        <v>-49143.18</v>
      </c>
      <c r="J8395" s="18" t="n">
        <v>0</v>
      </c>
      <c r="K8395" s="19" t="n">
        <v>0</v>
      </c>
      <c r="L8395" s="17"/>
    </row>
    <row r="8396" s="11" customFormat="true" ht="10.95" hidden="false" customHeight="true" outlineLevel="0" collapsed="false">
      <c r="A8396" s="16" t="n">
        <v>45328</v>
      </c>
      <c r="B8396" s="17" t="s">
        <v>3613</v>
      </c>
      <c r="C8396" s="17" t="s">
        <v>3614</v>
      </c>
      <c r="D8396" s="17" t="s">
        <v>1391</v>
      </c>
      <c r="E8396" s="17" t="s">
        <v>3615</v>
      </c>
      <c r="F8396" s="17" t="s">
        <v>1514</v>
      </c>
      <c r="G8396" s="18" t="n">
        <v>0</v>
      </c>
      <c r="H8396" s="18" t="n">
        <v>2138.07</v>
      </c>
      <c r="I8396" s="18" t="n">
        <f aca="false">((I8395 + G8396) - H8396)</f>
        <v>-51281.25</v>
      </c>
      <c r="J8396" s="18" t="n">
        <v>0</v>
      </c>
      <c r="K8396" s="19" t="n">
        <v>0</v>
      </c>
      <c r="L8396" s="17"/>
    </row>
    <row r="8397" s="11" customFormat="true" ht="10.95" hidden="false" customHeight="true" outlineLevel="0" collapsed="false">
      <c r="A8397" s="16" t="n">
        <v>45328</v>
      </c>
      <c r="B8397" s="17" t="s">
        <v>3613</v>
      </c>
      <c r="C8397" s="17" t="s">
        <v>3614</v>
      </c>
      <c r="D8397" s="17" t="s">
        <v>2903</v>
      </c>
      <c r="E8397" s="17" t="s">
        <v>3657</v>
      </c>
      <c r="F8397" s="17" t="s">
        <v>1505</v>
      </c>
      <c r="G8397" s="18" t="n">
        <v>5762.58</v>
      </c>
      <c r="H8397" s="18" t="n">
        <v>0</v>
      </c>
      <c r="I8397" s="18" t="n">
        <f aca="false">((I8396 + G8397) - H8397)</f>
        <v>-45518.67</v>
      </c>
      <c r="J8397" s="18" t="n">
        <v>0</v>
      </c>
      <c r="K8397" s="19" t="n">
        <v>0</v>
      </c>
      <c r="L8397" s="17"/>
    </row>
    <row r="8398" s="11" customFormat="true" ht="10.95" hidden="false" customHeight="true" outlineLevel="0" collapsed="false">
      <c r="A8398" s="16" t="n">
        <v>45328</v>
      </c>
      <c r="B8398" s="17" t="s">
        <v>3613</v>
      </c>
      <c r="C8398" s="17" t="s">
        <v>3614</v>
      </c>
      <c r="D8398" s="17" t="s">
        <v>2903</v>
      </c>
      <c r="E8398" s="17" t="s">
        <v>3652</v>
      </c>
      <c r="F8398" s="17" t="s">
        <v>2466</v>
      </c>
      <c r="G8398" s="18" t="n">
        <v>179</v>
      </c>
      <c r="H8398" s="18" t="n">
        <v>0</v>
      </c>
      <c r="I8398" s="18" t="n">
        <f aca="false">((I8397 + G8398) - H8398)</f>
        <v>-45339.67</v>
      </c>
      <c r="J8398" s="18" t="n">
        <v>0</v>
      </c>
      <c r="K8398" s="19" t="n">
        <v>0</v>
      </c>
      <c r="L8398" s="17"/>
    </row>
    <row r="8399" s="11" customFormat="true" ht="10.95" hidden="false" customHeight="true" outlineLevel="0" collapsed="false">
      <c r="A8399" s="16" t="n">
        <v>45328</v>
      </c>
      <c r="B8399" s="17" t="s">
        <v>3613</v>
      </c>
      <c r="C8399" s="17" t="s">
        <v>3614</v>
      </c>
      <c r="D8399" s="17" t="s">
        <v>2903</v>
      </c>
      <c r="E8399" s="17" t="s">
        <v>3652</v>
      </c>
      <c r="F8399" s="17" t="s">
        <v>2468</v>
      </c>
      <c r="G8399" s="18" t="n">
        <v>248</v>
      </c>
      <c r="H8399" s="18" t="n">
        <v>0</v>
      </c>
      <c r="I8399" s="18" t="n">
        <f aca="false">((I8398 + G8399) - H8399)</f>
        <v>-45091.67</v>
      </c>
      <c r="J8399" s="18" t="n">
        <v>0</v>
      </c>
      <c r="K8399" s="19" t="n">
        <v>0</v>
      </c>
      <c r="L8399" s="17"/>
    </row>
    <row r="8400" s="11" customFormat="true" ht="10.95" hidden="false" customHeight="true" outlineLevel="0" collapsed="false">
      <c r="A8400" s="16" t="n">
        <v>45328</v>
      </c>
      <c r="B8400" s="17" t="s">
        <v>3613</v>
      </c>
      <c r="C8400" s="17" t="s">
        <v>3614</v>
      </c>
      <c r="D8400" s="17" t="s">
        <v>2903</v>
      </c>
      <c r="E8400" s="17" t="s">
        <v>3631</v>
      </c>
      <c r="F8400" s="17" t="s">
        <v>3294</v>
      </c>
      <c r="G8400" s="18" t="n">
        <v>1012.38</v>
      </c>
      <c r="H8400" s="18" t="n">
        <v>0</v>
      </c>
      <c r="I8400" s="18" t="n">
        <f aca="false">((I8399 + G8400) - H8400)</f>
        <v>-44079.29</v>
      </c>
      <c r="J8400" s="18" t="n">
        <v>0</v>
      </c>
      <c r="K8400" s="19" t="n">
        <v>0</v>
      </c>
      <c r="L8400" s="17"/>
    </row>
    <row r="8401" s="11" customFormat="true" ht="10.95" hidden="false" customHeight="true" outlineLevel="0" collapsed="false">
      <c r="A8401" s="16" t="n">
        <v>45328</v>
      </c>
      <c r="B8401" s="17" t="s">
        <v>3613</v>
      </c>
      <c r="C8401" s="17" t="s">
        <v>3614</v>
      </c>
      <c r="D8401" s="17" t="s">
        <v>2903</v>
      </c>
      <c r="E8401" s="17" t="s">
        <v>3640</v>
      </c>
      <c r="F8401" s="17" t="s">
        <v>1642</v>
      </c>
      <c r="G8401" s="18" t="n">
        <v>40</v>
      </c>
      <c r="H8401" s="18" t="n">
        <v>0</v>
      </c>
      <c r="I8401" s="18" t="n">
        <f aca="false">((I8400 + G8401) - H8401)</f>
        <v>-44039.29</v>
      </c>
      <c r="J8401" s="18" t="n">
        <v>0</v>
      </c>
      <c r="K8401" s="19" t="n">
        <v>0</v>
      </c>
      <c r="L8401" s="17"/>
    </row>
    <row r="8402" s="11" customFormat="true" ht="10.95" hidden="false" customHeight="true" outlineLevel="0" collapsed="false">
      <c r="A8402" s="16" t="n">
        <v>45328</v>
      </c>
      <c r="B8402" s="17" t="s">
        <v>3613</v>
      </c>
      <c r="C8402" s="17" t="s">
        <v>3614</v>
      </c>
      <c r="D8402" s="17" t="s">
        <v>1391</v>
      </c>
      <c r="E8402" s="17" t="s">
        <v>3633</v>
      </c>
      <c r="F8402" s="17" t="s">
        <v>2474</v>
      </c>
      <c r="G8402" s="18" t="n">
        <v>0</v>
      </c>
      <c r="H8402" s="18" t="n">
        <v>461.78</v>
      </c>
      <c r="I8402" s="18" t="n">
        <f aca="false">((I8401 + G8402) - H8402)</f>
        <v>-44501.07</v>
      </c>
      <c r="J8402" s="18" t="n">
        <v>0</v>
      </c>
      <c r="K8402" s="19" t="n">
        <v>0</v>
      </c>
      <c r="L8402" s="17"/>
    </row>
    <row r="8403" s="11" customFormat="true" ht="10.95" hidden="false" customHeight="true" outlineLevel="0" collapsed="false">
      <c r="A8403" s="16" t="n">
        <v>45328</v>
      </c>
      <c r="B8403" s="17" t="s">
        <v>3613</v>
      </c>
      <c r="C8403" s="17" t="s">
        <v>3614</v>
      </c>
      <c r="D8403" s="17" t="s">
        <v>2903</v>
      </c>
      <c r="E8403" s="17" t="s">
        <v>3008</v>
      </c>
      <c r="F8403" s="17" t="s">
        <v>1629</v>
      </c>
      <c r="G8403" s="18" t="n">
        <v>242.36</v>
      </c>
      <c r="H8403" s="18" t="n">
        <v>0</v>
      </c>
      <c r="I8403" s="18" t="n">
        <f aca="false">((I8402 + G8403) - H8403)</f>
        <v>-44258.71</v>
      </c>
      <c r="J8403" s="18" t="n">
        <v>0</v>
      </c>
      <c r="K8403" s="19" t="n">
        <v>0</v>
      </c>
      <c r="L8403" s="17"/>
    </row>
    <row r="8404" s="11" customFormat="true" ht="10.95" hidden="false" customHeight="true" outlineLevel="0" collapsed="false">
      <c r="A8404" s="16" t="n">
        <v>45328</v>
      </c>
      <c r="B8404" s="17" t="s">
        <v>3613</v>
      </c>
      <c r="C8404" s="17" t="s">
        <v>3614</v>
      </c>
      <c r="D8404" s="17" t="s">
        <v>1391</v>
      </c>
      <c r="E8404" s="17" t="s">
        <v>3622</v>
      </c>
      <c r="F8404" s="17" t="s">
        <v>1517</v>
      </c>
      <c r="G8404" s="18" t="n">
        <v>0</v>
      </c>
      <c r="H8404" s="18" t="n">
        <v>2428.78</v>
      </c>
      <c r="I8404" s="18" t="n">
        <f aca="false">((I8403 + G8404) - H8404)</f>
        <v>-46687.49</v>
      </c>
      <c r="J8404" s="18" t="n">
        <v>0</v>
      </c>
      <c r="K8404" s="19" t="n">
        <v>0</v>
      </c>
      <c r="L8404" s="17"/>
    </row>
    <row r="8405" s="11" customFormat="true" ht="10.95" hidden="false" customHeight="true" outlineLevel="0" collapsed="false">
      <c r="A8405" s="16" t="n">
        <v>45329</v>
      </c>
      <c r="B8405" s="17" t="s">
        <v>3613</v>
      </c>
      <c r="C8405" s="17" t="s">
        <v>3614</v>
      </c>
      <c r="D8405" s="17" t="s">
        <v>1391</v>
      </c>
      <c r="E8405" s="17" t="s">
        <v>3639</v>
      </c>
      <c r="F8405" s="17" t="s">
        <v>1642</v>
      </c>
      <c r="G8405" s="18" t="n">
        <v>0</v>
      </c>
      <c r="H8405" s="18" t="n">
        <v>40</v>
      </c>
      <c r="I8405" s="18" t="n">
        <f aca="false">((I8404 + G8405) - H8405)</f>
        <v>-46727.49</v>
      </c>
      <c r="J8405" s="18" t="n">
        <v>0</v>
      </c>
      <c r="K8405" s="19" t="n">
        <v>0</v>
      </c>
      <c r="L8405" s="17"/>
    </row>
    <row r="8406" s="11" customFormat="true" ht="10.95" hidden="false" customHeight="true" outlineLevel="0" collapsed="false">
      <c r="A8406" s="16" t="n">
        <v>45329</v>
      </c>
      <c r="B8406" s="17" t="s">
        <v>3613</v>
      </c>
      <c r="C8406" s="17" t="s">
        <v>3614</v>
      </c>
      <c r="D8406" s="17" t="s">
        <v>1391</v>
      </c>
      <c r="E8406" s="17" t="s">
        <v>3703</v>
      </c>
      <c r="F8406" s="17" t="s">
        <v>1642</v>
      </c>
      <c r="G8406" s="18" t="n">
        <v>0</v>
      </c>
      <c r="H8406" s="18" t="n">
        <v>28.2</v>
      </c>
      <c r="I8406" s="18" t="n">
        <f aca="false">((I8405 + G8406) - H8406)</f>
        <v>-46755.69</v>
      </c>
      <c r="J8406" s="18" t="n">
        <v>0</v>
      </c>
      <c r="K8406" s="19" t="n">
        <v>0</v>
      </c>
      <c r="L8406" s="17"/>
    </row>
    <row r="8407" s="11" customFormat="true" ht="10.95" hidden="false" customHeight="true" outlineLevel="0" collapsed="false">
      <c r="A8407" s="16" t="n">
        <v>45329</v>
      </c>
      <c r="B8407" s="17" t="s">
        <v>3613</v>
      </c>
      <c r="C8407" s="17" t="s">
        <v>3614</v>
      </c>
      <c r="D8407" s="17" t="s">
        <v>1391</v>
      </c>
      <c r="E8407" s="17" t="s">
        <v>3703</v>
      </c>
      <c r="F8407" s="17" t="s">
        <v>1642</v>
      </c>
      <c r="G8407" s="18" t="n">
        <v>0</v>
      </c>
      <c r="H8407" s="18" t="n">
        <v>35.35</v>
      </c>
      <c r="I8407" s="18" t="n">
        <f aca="false">((I8406 + G8407) - H8407)</f>
        <v>-46791.04</v>
      </c>
      <c r="J8407" s="18" t="n">
        <v>0</v>
      </c>
      <c r="K8407" s="19" t="n">
        <v>0</v>
      </c>
      <c r="L8407" s="17"/>
    </row>
    <row r="8408" s="11" customFormat="true" ht="10.95" hidden="false" customHeight="true" outlineLevel="0" collapsed="false">
      <c r="A8408" s="16" t="n">
        <v>45331</v>
      </c>
      <c r="B8408" s="17" t="s">
        <v>3613</v>
      </c>
      <c r="C8408" s="17" t="s">
        <v>3614</v>
      </c>
      <c r="D8408" s="17" t="s">
        <v>1391</v>
      </c>
      <c r="E8408" s="17" t="s">
        <v>3638</v>
      </c>
      <c r="F8408" s="17" t="s">
        <v>3296</v>
      </c>
      <c r="G8408" s="18" t="n">
        <v>0</v>
      </c>
      <c r="H8408" s="18" t="n">
        <v>3063.5</v>
      </c>
      <c r="I8408" s="18" t="n">
        <f aca="false">((I8407 + G8408) - H8408)</f>
        <v>-49854.54</v>
      </c>
      <c r="J8408" s="18" t="n">
        <v>0</v>
      </c>
      <c r="K8408" s="19" t="n">
        <v>0</v>
      </c>
      <c r="L8408" s="17"/>
    </row>
    <row r="8409" s="11" customFormat="true" ht="10.95" hidden="false" customHeight="true" outlineLevel="0" collapsed="false">
      <c r="A8409" s="16" t="n">
        <v>45331</v>
      </c>
      <c r="B8409" s="17" t="s">
        <v>3613</v>
      </c>
      <c r="C8409" s="17" t="s">
        <v>3614</v>
      </c>
      <c r="D8409" s="17" t="s">
        <v>2903</v>
      </c>
      <c r="E8409" s="17" t="s">
        <v>3704</v>
      </c>
      <c r="F8409" s="17" t="s">
        <v>1642</v>
      </c>
      <c r="G8409" s="18" t="n">
        <v>35.35</v>
      </c>
      <c r="H8409" s="18" t="n">
        <v>0</v>
      </c>
      <c r="I8409" s="18" t="n">
        <f aca="false">((I8408 + G8409) - H8409)</f>
        <v>-49819.19</v>
      </c>
      <c r="J8409" s="18" t="n">
        <v>0</v>
      </c>
      <c r="K8409" s="19" t="n">
        <v>0</v>
      </c>
      <c r="L8409" s="17"/>
    </row>
    <row r="8410" s="11" customFormat="true" ht="10.95" hidden="false" customHeight="true" outlineLevel="0" collapsed="false">
      <c r="A8410" s="16" t="n">
        <v>45331</v>
      </c>
      <c r="B8410" s="17" t="s">
        <v>3613</v>
      </c>
      <c r="C8410" s="17" t="s">
        <v>3614</v>
      </c>
      <c r="D8410" s="17" t="s">
        <v>2903</v>
      </c>
      <c r="E8410" s="17" t="s">
        <v>3704</v>
      </c>
      <c r="F8410" s="17" t="s">
        <v>1642</v>
      </c>
      <c r="G8410" s="18" t="n">
        <v>28.2</v>
      </c>
      <c r="H8410" s="18" t="n">
        <v>0</v>
      </c>
      <c r="I8410" s="18" t="n">
        <f aca="false">((I8409 + G8410) - H8410)</f>
        <v>-49790.99</v>
      </c>
      <c r="J8410" s="18" t="n">
        <v>0</v>
      </c>
      <c r="K8410" s="19" t="n">
        <v>0</v>
      </c>
      <c r="L8410" s="17"/>
    </row>
    <row r="8411" s="11" customFormat="true" ht="10.95" hidden="false" customHeight="true" outlineLevel="0" collapsed="false">
      <c r="A8411" s="16" t="n">
        <v>45335</v>
      </c>
      <c r="B8411" s="17" t="s">
        <v>3613</v>
      </c>
      <c r="C8411" s="17" t="s">
        <v>3614</v>
      </c>
      <c r="D8411" s="17" t="s">
        <v>2903</v>
      </c>
      <c r="E8411" s="17" t="s">
        <v>3643</v>
      </c>
      <c r="F8411" s="17" t="s">
        <v>1517</v>
      </c>
      <c r="G8411" s="18" t="n">
        <v>1415.02</v>
      </c>
      <c r="H8411" s="18" t="n">
        <v>0</v>
      </c>
      <c r="I8411" s="18" t="n">
        <f aca="false">((I8410 + G8411) - H8411)</f>
        <v>-48375.97</v>
      </c>
      <c r="J8411" s="18" t="n">
        <v>0</v>
      </c>
      <c r="K8411" s="19" t="n">
        <v>0</v>
      </c>
      <c r="L8411" s="17"/>
    </row>
    <row r="8412" s="11" customFormat="true" ht="10.95" hidden="false" customHeight="true" outlineLevel="0" collapsed="false">
      <c r="A8412" s="16" t="n">
        <v>45335</v>
      </c>
      <c r="B8412" s="17" t="s">
        <v>3613</v>
      </c>
      <c r="C8412" s="17" t="s">
        <v>3614</v>
      </c>
      <c r="D8412" s="17" t="s">
        <v>2903</v>
      </c>
      <c r="E8412" s="17" t="s">
        <v>3060</v>
      </c>
      <c r="F8412" s="17" t="s">
        <v>3061</v>
      </c>
      <c r="G8412" s="18" t="n">
        <v>4231.93</v>
      </c>
      <c r="H8412" s="18" t="n">
        <v>0</v>
      </c>
      <c r="I8412" s="18" t="n">
        <f aca="false">((I8411 + G8412) - H8412)</f>
        <v>-44144.04</v>
      </c>
      <c r="J8412" s="18" t="n">
        <v>0</v>
      </c>
      <c r="K8412" s="19" t="n">
        <v>0</v>
      </c>
      <c r="L8412" s="17"/>
    </row>
    <row r="8413" s="11" customFormat="true" ht="10.95" hidden="false" customHeight="true" outlineLevel="0" collapsed="false">
      <c r="A8413" s="16" t="n">
        <v>45336</v>
      </c>
      <c r="B8413" s="17" t="s">
        <v>3613</v>
      </c>
      <c r="C8413" s="17" t="s">
        <v>3614</v>
      </c>
      <c r="D8413" s="17" t="s">
        <v>1391</v>
      </c>
      <c r="E8413" s="17" t="s">
        <v>3641</v>
      </c>
      <c r="F8413" s="17" t="s">
        <v>2693</v>
      </c>
      <c r="G8413" s="18" t="n">
        <v>0</v>
      </c>
      <c r="H8413" s="18" t="n">
        <v>249.13</v>
      </c>
      <c r="I8413" s="18" t="n">
        <f aca="false">((I8412 + G8413) - H8413)</f>
        <v>-44393.17</v>
      </c>
      <c r="J8413" s="18" t="n">
        <v>0</v>
      </c>
      <c r="K8413" s="19" t="n">
        <v>0</v>
      </c>
      <c r="L8413" s="17"/>
    </row>
    <row r="8414" s="11" customFormat="true" ht="10.95" hidden="false" customHeight="true" outlineLevel="0" collapsed="false">
      <c r="A8414" s="16" t="n">
        <v>45340</v>
      </c>
      <c r="B8414" s="17" t="s">
        <v>3613</v>
      </c>
      <c r="C8414" s="17" t="s">
        <v>3614</v>
      </c>
      <c r="D8414" s="17" t="s">
        <v>1391</v>
      </c>
      <c r="E8414" s="17" t="s">
        <v>3642</v>
      </c>
      <c r="F8414" s="17" t="s">
        <v>2481</v>
      </c>
      <c r="G8414" s="18" t="n">
        <v>0</v>
      </c>
      <c r="H8414" s="18" t="n">
        <v>68.2</v>
      </c>
      <c r="I8414" s="18" t="n">
        <f aca="false">((I8413 + G8414) - H8414)</f>
        <v>-44461.37</v>
      </c>
      <c r="J8414" s="18" t="n">
        <v>0</v>
      </c>
      <c r="K8414" s="19" t="n">
        <v>0</v>
      </c>
      <c r="L8414" s="17"/>
    </row>
    <row r="8415" s="11" customFormat="true" ht="10.95" hidden="false" customHeight="true" outlineLevel="0" collapsed="false">
      <c r="A8415" s="16" t="n">
        <v>45340</v>
      </c>
      <c r="B8415" s="17" t="s">
        <v>3613</v>
      </c>
      <c r="C8415" s="17" t="s">
        <v>3614</v>
      </c>
      <c r="D8415" s="17" t="s">
        <v>1391</v>
      </c>
      <c r="E8415" s="17" t="s">
        <v>3642</v>
      </c>
      <c r="F8415" s="17" t="s">
        <v>2483</v>
      </c>
      <c r="G8415" s="18" t="n">
        <v>0</v>
      </c>
      <c r="H8415" s="18" t="n">
        <v>83.6</v>
      </c>
      <c r="I8415" s="18" t="n">
        <f aca="false">((I8414 + G8415) - H8415)</f>
        <v>-44544.97</v>
      </c>
      <c r="J8415" s="18" t="n">
        <v>0</v>
      </c>
      <c r="K8415" s="19" t="n">
        <v>0</v>
      </c>
      <c r="L8415" s="17"/>
    </row>
    <row r="8416" s="11" customFormat="true" ht="10.95" hidden="false" customHeight="true" outlineLevel="0" collapsed="false">
      <c r="A8416" s="16" t="n">
        <v>45340</v>
      </c>
      <c r="B8416" s="17" t="s">
        <v>3613</v>
      </c>
      <c r="C8416" s="17" t="s">
        <v>3614</v>
      </c>
      <c r="D8416" s="17" t="s">
        <v>1391</v>
      </c>
      <c r="E8416" s="17" t="s">
        <v>3642</v>
      </c>
      <c r="F8416" s="17" t="s">
        <v>2485</v>
      </c>
      <c r="G8416" s="18" t="n">
        <v>0</v>
      </c>
      <c r="H8416" s="18" t="n">
        <v>24.2</v>
      </c>
      <c r="I8416" s="18" t="n">
        <f aca="false">((I8415 + G8416) - H8416)</f>
        <v>-44569.17</v>
      </c>
      <c r="J8416" s="18" t="n">
        <v>0</v>
      </c>
      <c r="K8416" s="19" t="n">
        <v>0</v>
      </c>
      <c r="L8416" s="17"/>
    </row>
    <row r="8417" s="11" customFormat="true" ht="10.95" hidden="false" customHeight="true" outlineLevel="0" collapsed="false">
      <c r="A8417" s="16" t="n">
        <v>45340</v>
      </c>
      <c r="B8417" s="17" t="s">
        <v>3613</v>
      </c>
      <c r="C8417" s="17" t="s">
        <v>3614</v>
      </c>
      <c r="D8417" s="17" t="s">
        <v>1391</v>
      </c>
      <c r="E8417" s="17" t="s">
        <v>3642</v>
      </c>
      <c r="F8417" s="17" t="s">
        <v>2487</v>
      </c>
      <c r="G8417" s="18" t="n">
        <v>0</v>
      </c>
      <c r="H8417" s="18" t="n">
        <v>219.78</v>
      </c>
      <c r="I8417" s="18" t="n">
        <f aca="false">((I8416 + G8417) - H8417)</f>
        <v>-44788.95</v>
      </c>
      <c r="J8417" s="18" t="n">
        <v>0</v>
      </c>
      <c r="K8417" s="19" t="n">
        <v>0</v>
      </c>
      <c r="L8417" s="17"/>
    </row>
    <row r="8418" s="11" customFormat="true" ht="10.95" hidden="false" customHeight="true" outlineLevel="0" collapsed="false">
      <c r="A8418" s="16" t="n">
        <v>45340</v>
      </c>
      <c r="B8418" s="17" t="s">
        <v>3613</v>
      </c>
      <c r="C8418" s="17" t="s">
        <v>3614</v>
      </c>
      <c r="D8418" s="17" t="s">
        <v>1391</v>
      </c>
      <c r="E8418" s="17" t="s">
        <v>3642</v>
      </c>
      <c r="F8418" s="17" t="s">
        <v>2489</v>
      </c>
      <c r="G8418" s="18" t="n">
        <v>0</v>
      </c>
      <c r="H8418" s="18" t="n">
        <v>60.5</v>
      </c>
      <c r="I8418" s="18" t="n">
        <f aca="false">((I8417 + G8418) - H8418)</f>
        <v>-44849.45</v>
      </c>
      <c r="J8418" s="18" t="n">
        <v>0</v>
      </c>
      <c r="K8418" s="19" t="n">
        <v>0</v>
      </c>
      <c r="L8418" s="17"/>
    </row>
    <row r="8419" s="11" customFormat="true" ht="10.95" hidden="false" customHeight="true" outlineLevel="0" collapsed="false">
      <c r="A8419" s="16" t="n">
        <v>45340</v>
      </c>
      <c r="B8419" s="17" t="s">
        <v>3613</v>
      </c>
      <c r="C8419" s="17" t="s">
        <v>3614</v>
      </c>
      <c r="D8419" s="17" t="s">
        <v>1391</v>
      </c>
      <c r="E8419" s="17" t="s">
        <v>3642</v>
      </c>
      <c r="F8419" s="17" t="s">
        <v>2491</v>
      </c>
      <c r="G8419" s="18" t="n">
        <v>0</v>
      </c>
      <c r="H8419" s="18" t="n">
        <v>49.28</v>
      </c>
      <c r="I8419" s="18" t="n">
        <f aca="false">((I8418 + G8419) - H8419)</f>
        <v>-44898.73</v>
      </c>
      <c r="J8419" s="18" t="n">
        <v>0</v>
      </c>
      <c r="K8419" s="19" t="n">
        <v>0</v>
      </c>
      <c r="L8419" s="17"/>
    </row>
    <row r="8420" s="11" customFormat="true" ht="10.95" hidden="false" customHeight="true" outlineLevel="0" collapsed="false">
      <c r="A8420" s="16" t="n">
        <v>45340</v>
      </c>
      <c r="B8420" s="17" t="s">
        <v>3613</v>
      </c>
      <c r="C8420" s="17" t="s">
        <v>3614</v>
      </c>
      <c r="D8420" s="17" t="s">
        <v>1391</v>
      </c>
      <c r="E8420" s="17" t="s">
        <v>3642</v>
      </c>
      <c r="F8420" s="17" t="s">
        <v>2493</v>
      </c>
      <c r="G8420" s="18" t="n">
        <v>0</v>
      </c>
      <c r="H8420" s="18" t="n">
        <v>9.9</v>
      </c>
      <c r="I8420" s="18" t="n">
        <f aca="false">((I8419 + G8420) - H8420)</f>
        <v>-44908.63</v>
      </c>
      <c r="J8420" s="18" t="n">
        <v>0</v>
      </c>
      <c r="K8420" s="19" t="n">
        <v>0</v>
      </c>
      <c r="L8420" s="17"/>
    </row>
    <row r="8421" s="11" customFormat="true" ht="10.95" hidden="false" customHeight="true" outlineLevel="0" collapsed="false">
      <c r="A8421" s="16" t="n">
        <v>45340</v>
      </c>
      <c r="B8421" s="17" t="s">
        <v>3613</v>
      </c>
      <c r="C8421" s="17" t="s">
        <v>3614</v>
      </c>
      <c r="D8421" s="17" t="s">
        <v>1391</v>
      </c>
      <c r="E8421" s="17" t="s">
        <v>3642</v>
      </c>
      <c r="F8421" s="17" t="s">
        <v>2495</v>
      </c>
      <c r="G8421" s="18" t="n">
        <v>0</v>
      </c>
      <c r="H8421" s="18" t="n">
        <v>36.19</v>
      </c>
      <c r="I8421" s="18" t="n">
        <f aca="false">((I8420 + G8421) - H8421)</f>
        <v>-44944.82</v>
      </c>
      <c r="J8421" s="18" t="n">
        <v>0</v>
      </c>
      <c r="K8421" s="19" t="n">
        <v>0</v>
      </c>
      <c r="L8421" s="17"/>
    </row>
    <row r="8422" s="11" customFormat="true" ht="10.95" hidden="false" customHeight="true" outlineLevel="0" collapsed="false">
      <c r="A8422" s="16" t="n">
        <v>45341</v>
      </c>
      <c r="B8422" s="17" t="s">
        <v>3613</v>
      </c>
      <c r="C8422" s="17" t="s">
        <v>3614</v>
      </c>
      <c r="D8422" s="17" t="s">
        <v>2903</v>
      </c>
      <c r="E8422" s="17" t="s">
        <v>3616</v>
      </c>
      <c r="F8422" s="17" t="s">
        <v>3296</v>
      </c>
      <c r="G8422" s="18" t="n">
        <v>3063.5</v>
      </c>
      <c r="H8422" s="18" t="n">
        <v>0</v>
      </c>
      <c r="I8422" s="18" t="n">
        <f aca="false">((I8421 + G8422) - H8422)</f>
        <v>-41881.32</v>
      </c>
      <c r="J8422" s="18" t="n">
        <v>0</v>
      </c>
      <c r="K8422" s="19" t="n">
        <v>0</v>
      </c>
      <c r="L8422" s="17"/>
    </row>
    <row r="8423" s="11" customFormat="true" ht="10.95" hidden="false" customHeight="true" outlineLevel="0" collapsed="false">
      <c r="A8423" s="16" t="n">
        <v>45342</v>
      </c>
      <c r="B8423" s="17" t="s">
        <v>3613</v>
      </c>
      <c r="C8423" s="17" t="s">
        <v>3614</v>
      </c>
      <c r="D8423" s="17" t="s">
        <v>1391</v>
      </c>
      <c r="E8423" s="17" t="s">
        <v>3638</v>
      </c>
      <c r="F8423" s="17" t="s">
        <v>3298</v>
      </c>
      <c r="G8423" s="18" t="n">
        <v>0</v>
      </c>
      <c r="H8423" s="18" t="n">
        <v>3779.6</v>
      </c>
      <c r="I8423" s="18" t="n">
        <f aca="false">((I8422 + G8423) - H8423)</f>
        <v>-45660.92</v>
      </c>
      <c r="J8423" s="18" t="n">
        <v>0</v>
      </c>
      <c r="K8423" s="19" t="n">
        <v>0</v>
      </c>
      <c r="L8423" s="17"/>
    </row>
    <row r="8424" s="11" customFormat="true" ht="10.95" hidden="false" customHeight="true" outlineLevel="0" collapsed="false">
      <c r="A8424" s="16" t="n">
        <v>45342</v>
      </c>
      <c r="B8424" s="17" t="s">
        <v>3613</v>
      </c>
      <c r="C8424" s="17" t="s">
        <v>3614</v>
      </c>
      <c r="D8424" s="17" t="s">
        <v>1391</v>
      </c>
      <c r="E8424" s="17" t="s">
        <v>3638</v>
      </c>
      <c r="F8424" s="17" t="s">
        <v>3300</v>
      </c>
      <c r="G8424" s="18" t="n">
        <v>0</v>
      </c>
      <c r="H8424" s="18" t="n">
        <v>335.5</v>
      </c>
      <c r="I8424" s="18" t="n">
        <f aca="false">((I8423 + G8424) - H8424)</f>
        <v>-45996.42</v>
      </c>
      <c r="J8424" s="18" t="n">
        <v>0</v>
      </c>
      <c r="K8424" s="19" t="n">
        <v>0</v>
      </c>
      <c r="L8424" s="17"/>
    </row>
    <row r="8425" s="11" customFormat="true" ht="10.95" hidden="false" customHeight="true" outlineLevel="0" collapsed="false">
      <c r="A8425" s="16" t="n">
        <v>45342</v>
      </c>
      <c r="B8425" s="17" t="s">
        <v>3613</v>
      </c>
      <c r="C8425" s="17" t="s">
        <v>3614</v>
      </c>
      <c r="D8425" s="17" t="s">
        <v>2903</v>
      </c>
      <c r="E8425" s="17" t="s">
        <v>3645</v>
      </c>
      <c r="F8425" s="17" t="s">
        <v>1514</v>
      </c>
      <c r="G8425" s="18" t="n">
        <v>2138.07</v>
      </c>
      <c r="H8425" s="18" t="n">
        <v>0</v>
      </c>
      <c r="I8425" s="18" t="n">
        <f aca="false">((I8424 + G8425) - H8425)</f>
        <v>-43858.35</v>
      </c>
      <c r="J8425" s="18" t="n">
        <v>0</v>
      </c>
      <c r="K8425" s="19" t="n">
        <v>0</v>
      </c>
      <c r="L8425" s="17"/>
    </row>
    <row r="8426" s="11" customFormat="true" ht="10.95" hidden="false" customHeight="true" outlineLevel="0" collapsed="false">
      <c r="A8426" s="16" t="n">
        <v>45342</v>
      </c>
      <c r="B8426" s="17" t="s">
        <v>3613</v>
      </c>
      <c r="C8426" s="17" t="s">
        <v>3614</v>
      </c>
      <c r="D8426" s="17" t="s">
        <v>2903</v>
      </c>
      <c r="E8426" s="17" t="s">
        <v>3645</v>
      </c>
      <c r="F8426" s="17" t="s">
        <v>1512</v>
      </c>
      <c r="G8426" s="18" t="n">
        <v>21257.54</v>
      </c>
      <c r="H8426" s="18" t="n">
        <v>0</v>
      </c>
      <c r="I8426" s="18" t="n">
        <f aca="false">((I8425 + G8426) - H8426)</f>
        <v>-22600.81</v>
      </c>
      <c r="J8426" s="18" t="n">
        <v>0</v>
      </c>
      <c r="K8426" s="19" t="n">
        <v>0</v>
      </c>
      <c r="L8426" s="17"/>
    </row>
    <row r="8427" s="11" customFormat="true" ht="10.95" hidden="false" customHeight="true" outlineLevel="0" collapsed="false">
      <c r="A8427" s="16" t="n">
        <v>45342</v>
      </c>
      <c r="B8427" s="17" t="s">
        <v>3613</v>
      </c>
      <c r="C8427" s="17" t="s">
        <v>3614</v>
      </c>
      <c r="D8427" s="17" t="s">
        <v>2903</v>
      </c>
      <c r="E8427" s="17" t="s">
        <v>3645</v>
      </c>
      <c r="F8427" s="17" t="s">
        <v>1509</v>
      </c>
      <c r="G8427" s="18" t="n">
        <v>538.76</v>
      </c>
      <c r="H8427" s="18" t="n">
        <v>0</v>
      </c>
      <c r="I8427" s="18" t="n">
        <f aca="false">((I8426 + G8427) - H8427)</f>
        <v>-22062.05</v>
      </c>
      <c r="J8427" s="18" t="n">
        <v>0</v>
      </c>
      <c r="K8427" s="19" t="n">
        <v>0</v>
      </c>
      <c r="L8427" s="17"/>
    </row>
    <row r="8428" s="11" customFormat="true" ht="10.95" hidden="false" customHeight="true" outlineLevel="0" collapsed="false">
      <c r="A8428" s="16" t="n">
        <v>45342</v>
      </c>
      <c r="B8428" s="17" t="s">
        <v>3613</v>
      </c>
      <c r="C8428" s="17" t="s">
        <v>3614</v>
      </c>
      <c r="D8428" s="17" t="s">
        <v>2903</v>
      </c>
      <c r="E8428" s="17" t="s">
        <v>3616</v>
      </c>
      <c r="F8428" s="17" t="s">
        <v>3300</v>
      </c>
      <c r="G8428" s="18" t="n">
        <v>335.5</v>
      </c>
      <c r="H8428" s="18" t="n">
        <v>0</v>
      </c>
      <c r="I8428" s="18" t="n">
        <f aca="false">((I8427 + G8428) - H8428)</f>
        <v>-21726.55</v>
      </c>
      <c r="J8428" s="18" t="n">
        <v>0</v>
      </c>
      <c r="K8428" s="19" t="n">
        <v>0</v>
      </c>
      <c r="L8428" s="17"/>
    </row>
    <row r="8429" s="11" customFormat="true" ht="10.95" hidden="false" customHeight="true" outlineLevel="0" collapsed="false">
      <c r="A8429" s="16" t="n">
        <v>45342</v>
      </c>
      <c r="B8429" s="17" t="s">
        <v>3613</v>
      </c>
      <c r="C8429" s="17" t="s">
        <v>3614</v>
      </c>
      <c r="D8429" s="17" t="s">
        <v>2903</v>
      </c>
      <c r="E8429" s="17" t="s">
        <v>3643</v>
      </c>
      <c r="F8429" s="17" t="s">
        <v>1517</v>
      </c>
      <c r="G8429" s="18" t="n">
        <v>1013.76</v>
      </c>
      <c r="H8429" s="18" t="n">
        <v>0</v>
      </c>
      <c r="I8429" s="18" t="n">
        <f aca="false">((I8428 + G8429) - H8429)</f>
        <v>-20712.79</v>
      </c>
      <c r="J8429" s="18" t="n">
        <v>0</v>
      </c>
      <c r="K8429" s="19" t="n">
        <v>0</v>
      </c>
      <c r="L8429" s="17"/>
    </row>
    <row r="8430" s="11" customFormat="true" ht="10.95" hidden="false" customHeight="true" outlineLevel="0" collapsed="false">
      <c r="A8430" s="16" t="n">
        <v>45342</v>
      </c>
      <c r="B8430" s="17" t="s">
        <v>3613</v>
      </c>
      <c r="C8430" s="17" t="s">
        <v>3614</v>
      </c>
      <c r="D8430" s="17" t="s">
        <v>1391</v>
      </c>
      <c r="E8430" s="17" t="s">
        <v>3668</v>
      </c>
      <c r="F8430" s="17" t="s">
        <v>2497</v>
      </c>
      <c r="G8430" s="18" t="n">
        <v>0</v>
      </c>
      <c r="H8430" s="18" t="n">
        <v>97</v>
      </c>
      <c r="I8430" s="18" t="n">
        <f aca="false">((I8429 + G8430) - H8430)</f>
        <v>-20809.79</v>
      </c>
      <c r="J8430" s="18" t="n">
        <v>0</v>
      </c>
      <c r="K8430" s="19" t="n">
        <v>0</v>
      </c>
      <c r="L8430" s="17"/>
    </row>
    <row r="8431" s="11" customFormat="true" ht="10.95" hidden="false" customHeight="true" outlineLevel="0" collapsed="false">
      <c r="A8431" s="16" t="n">
        <v>45342</v>
      </c>
      <c r="B8431" s="17" t="s">
        <v>3613</v>
      </c>
      <c r="C8431" s="17" t="s">
        <v>3614</v>
      </c>
      <c r="D8431" s="17" t="s">
        <v>1391</v>
      </c>
      <c r="E8431" s="17" t="s">
        <v>3707</v>
      </c>
      <c r="F8431" s="17" t="s">
        <v>1519</v>
      </c>
      <c r="G8431" s="18" t="n">
        <v>0</v>
      </c>
      <c r="H8431" s="18" t="n">
        <v>1976.7</v>
      </c>
      <c r="I8431" s="18" t="n">
        <f aca="false">((I8430 + G8431) - H8431)</f>
        <v>-22786.49</v>
      </c>
      <c r="J8431" s="18" t="n">
        <v>0</v>
      </c>
      <c r="K8431" s="19" t="n">
        <v>0</v>
      </c>
      <c r="L8431" s="17"/>
    </row>
    <row r="8432" s="11" customFormat="true" ht="10.95" hidden="false" customHeight="true" outlineLevel="0" collapsed="false">
      <c r="A8432" s="16" t="n">
        <v>45343</v>
      </c>
      <c r="B8432" s="17" t="s">
        <v>3613</v>
      </c>
      <c r="C8432" s="17" t="s">
        <v>3614</v>
      </c>
      <c r="D8432" s="17" t="s">
        <v>2903</v>
      </c>
      <c r="E8432" s="17" t="s">
        <v>3644</v>
      </c>
      <c r="F8432" s="17" t="s">
        <v>2495</v>
      </c>
      <c r="G8432" s="18" t="n">
        <v>36.19</v>
      </c>
      <c r="H8432" s="18" t="n">
        <v>0</v>
      </c>
      <c r="I8432" s="18" t="n">
        <f aca="false">((I8431 + G8432) - H8432)</f>
        <v>-22750.3</v>
      </c>
      <c r="J8432" s="18" t="n">
        <v>0</v>
      </c>
      <c r="K8432" s="19" t="n">
        <v>0</v>
      </c>
      <c r="L8432" s="17"/>
    </row>
    <row r="8433" s="11" customFormat="true" ht="10.95" hidden="false" customHeight="true" outlineLevel="0" collapsed="false">
      <c r="A8433" s="16" t="n">
        <v>45344</v>
      </c>
      <c r="B8433" s="17" t="s">
        <v>3613</v>
      </c>
      <c r="C8433" s="17" t="s">
        <v>3614</v>
      </c>
      <c r="D8433" s="17" t="s">
        <v>2903</v>
      </c>
      <c r="E8433" s="17" t="s">
        <v>3644</v>
      </c>
      <c r="F8433" s="17" t="s">
        <v>2493</v>
      </c>
      <c r="G8433" s="18" t="n">
        <v>9.9</v>
      </c>
      <c r="H8433" s="18" t="n">
        <v>0</v>
      </c>
      <c r="I8433" s="18" t="n">
        <f aca="false">((I8432 + G8433) - H8433)</f>
        <v>-22740.4</v>
      </c>
      <c r="J8433" s="18" t="n">
        <v>0</v>
      </c>
      <c r="K8433" s="19" t="n">
        <v>0</v>
      </c>
      <c r="L8433" s="17"/>
    </row>
    <row r="8434" s="11" customFormat="true" ht="10.95" hidden="false" customHeight="true" outlineLevel="0" collapsed="false">
      <c r="A8434" s="16" t="n">
        <v>45344</v>
      </c>
      <c r="B8434" s="17" t="s">
        <v>3613</v>
      </c>
      <c r="C8434" s="17" t="s">
        <v>3614</v>
      </c>
      <c r="D8434" s="17" t="s">
        <v>2903</v>
      </c>
      <c r="E8434" s="17" t="s">
        <v>3644</v>
      </c>
      <c r="F8434" s="17" t="s">
        <v>2485</v>
      </c>
      <c r="G8434" s="18" t="n">
        <v>24.2</v>
      </c>
      <c r="H8434" s="18" t="n">
        <v>0</v>
      </c>
      <c r="I8434" s="18" t="n">
        <f aca="false">((I8433 + G8434) - H8434)</f>
        <v>-22716.2</v>
      </c>
      <c r="J8434" s="18" t="n">
        <v>0</v>
      </c>
      <c r="K8434" s="19" t="n">
        <v>0</v>
      </c>
      <c r="L8434" s="17"/>
    </row>
    <row r="8435" s="11" customFormat="true" ht="10.95" hidden="false" customHeight="true" outlineLevel="0" collapsed="false">
      <c r="A8435" s="16" t="n">
        <v>45344</v>
      </c>
      <c r="B8435" s="17" t="s">
        <v>3613</v>
      </c>
      <c r="C8435" s="17" t="s">
        <v>3614</v>
      </c>
      <c r="D8435" s="17" t="s">
        <v>2903</v>
      </c>
      <c r="E8435" s="17" t="s">
        <v>3644</v>
      </c>
      <c r="F8435" s="17" t="s">
        <v>2491</v>
      </c>
      <c r="G8435" s="18" t="n">
        <v>49.28</v>
      </c>
      <c r="H8435" s="18" t="n">
        <v>0</v>
      </c>
      <c r="I8435" s="18" t="n">
        <f aca="false">((I8434 + G8435) - H8435)</f>
        <v>-22666.92</v>
      </c>
      <c r="J8435" s="18" t="n">
        <v>0</v>
      </c>
      <c r="K8435" s="19" t="n">
        <v>0</v>
      </c>
      <c r="L8435" s="17"/>
    </row>
    <row r="8436" s="11" customFormat="true" ht="10.95" hidden="false" customHeight="true" outlineLevel="0" collapsed="false">
      <c r="A8436" s="16" t="n">
        <v>45344</v>
      </c>
      <c r="B8436" s="17" t="s">
        <v>3613</v>
      </c>
      <c r="C8436" s="17" t="s">
        <v>3614</v>
      </c>
      <c r="D8436" s="17" t="s">
        <v>2903</v>
      </c>
      <c r="E8436" s="17" t="s">
        <v>3644</v>
      </c>
      <c r="F8436" s="17" t="s">
        <v>2489</v>
      </c>
      <c r="G8436" s="18" t="n">
        <v>60.5</v>
      </c>
      <c r="H8436" s="18" t="n">
        <v>0</v>
      </c>
      <c r="I8436" s="18" t="n">
        <f aca="false">((I8435 + G8436) - H8436)</f>
        <v>-22606.42</v>
      </c>
      <c r="J8436" s="18" t="n">
        <v>0</v>
      </c>
      <c r="K8436" s="19" t="n">
        <v>0</v>
      </c>
      <c r="L8436" s="17"/>
    </row>
    <row r="8437" s="11" customFormat="true" ht="10.95" hidden="false" customHeight="true" outlineLevel="0" collapsed="false">
      <c r="A8437" s="16" t="n">
        <v>45344</v>
      </c>
      <c r="B8437" s="17" t="s">
        <v>3613</v>
      </c>
      <c r="C8437" s="17" t="s">
        <v>3614</v>
      </c>
      <c r="D8437" s="17" t="s">
        <v>2903</v>
      </c>
      <c r="E8437" s="17" t="s">
        <v>3644</v>
      </c>
      <c r="F8437" s="17" t="s">
        <v>2481</v>
      </c>
      <c r="G8437" s="18" t="n">
        <v>68.2</v>
      </c>
      <c r="H8437" s="18" t="n">
        <v>0</v>
      </c>
      <c r="I8437" s="18" t="n">
        <f aca="false">((I8436 + G8437) - H8437)</f>
        <v>-22538.22</v>
      </c>
      <c r="J8437" s="18" t="n">
        <v>0</v>
      </c>
      <c r="K8437" s="19" t="n">
        <v>0</v>
      </c>
      <c r="L8437" s="17"/>
    </row>
    <row r="8438" s="11" customFormat="true" ht="10.95" hidden="false" customHeight="true" outlineLevel="0" collapsed="false">
      <c r="A8438" s="16" t="n">
        <v>45344</v>
      </c>
      <c r="B8438" s="17" t="s">
        <v>3613</v>
      </c>
      <c r="C8438" s="17" t="s">
        <v>3614</v>
      </c>
      <c r="D8438" s="17" t="s">
        <v>2903</v>
      </c>
      <c r="E8438" s="17" t="s">
        <v>3644</v>
      </c>
      <c r="F8438" s="17" t="s">
        <v>2483</v>
      </c>
      <c r="G8438" s="18" t="n">
        <v>83.6</v>
      </c>
      <c r="H8438" s="18" t="n">
        <v>0</v>
      </c>
      <c r="I8438" s="18" t="n">
        <f aca="false">((I8437 + G8438) - H8438)</f>
        <v>-22454.62</v>
      </c>
      <c r="J8438" s="18" t="n">
        <v>0</v>
      </c>
      <c r="K8438" s="19" t="n">
        <v>0</v>
      </c>
      <c r="L8438" s="17"/>
    </row>
    <row r="8439" s="11" customFormat="true" ht="10.95" hidden="false" customHeight="true" outlineLevel="0" collapsed="false">
      <c r="A8439" s="16" t="n">
        <v>45344</v>
      </c>
      <c r="B8439" s="17" t="s">
        <v>3613</v>
      </c>
      <c r="C8439" s="17" t="s">
        <v>3614</v>
      </c>
      <c r="D8439" s="17" t="s">
        <v>2903</v>
      </c>
      <c r="E8439" s="17" t="s">
        <v>3644</v>
      </c>
      <c r="F8439" s="17" t="s">
        <v>2487</v>
      </c>
      <c r="G8439" s="18" t="n">
        <v>219.78</v>
      </c>
      <c r="H8439" s="18" t="n">
        <v>0</v>
      </c>
      <c r="I8439" s="18" t="n">
        <f aca="false">((I8438 + G8439) - H8439)</f>
        <v>-22234.84</v>
      </c>
      <c r="J8439" s="18" t="n">
        <v>0</v>
      </c>
      <c r="K8439" s="19" t="n">
        <v>0</v>
      </c>
      <c r="L8439" s="17"/>
    </row>
    <row r="8440" s="11" customFormat="true" ht="10.95" hidden="false" customHeight="true" outlineLevel="0" collapsed="false">
      <c r="A8440" s="16" t="n">
        <v>45344</v>
      </c>
      <c r="B8440" s="17" t="s">
        <v>3613</v>
      </c>
      <c r="C8440" s="17" t="s">
        <v>3614</v>
      </c>
      <c r="D8440" s="17" t="s">
        <v>1391</v>
      </c>
      <c r="E8440" s="17" t="s">
        <v>1536</v>
      </c>
      <c r="F8440" s="17" t="s">
        <v>2501</v>
      </c>
      <c r="G8440" s="18" t="n">
        <v>0</v>
      </c>
      <c r="H8440" s="18" t="n">
        <v>284.17</v>
      </c>
      <c r="I8440" s="18" t="n">
        <f aca="false">((I8439 + G8440) - H8440)</f>
        <v>-22519.01</v>
      </c>
      <c r="J8440" s="18" t="n">
        <v>0</v>
      </c>
      <c r="K8440" s="19" t="n">
        <v>0</v>
      </c>
      <c r="L8440" s="17"/>
    </row>
    <row r="8441" s="11" customFormat="true" ht="10.95" hidden="false" customHeight="true" outlineLevel="0" collapsed="false">
      <c r="A8441" s="16" t="n">
        <v>45344</v>
      </c>
      <c r="B8441" s="17" t="s">
        <v>3613</v>
      </c>
      <c r="C8441" s="17" t="s">
        <v>3614</v>
      </c>
      <c r="D8441" s="17" t="s">
        <v>2903</v>
      </c>
      <c r="E8441" s="17" t="s">
        <v>2980</v>
      </c>
      <c r="F8441" s="17" t="s">
        <v>2501</v>
      </c>
      <c r="G8441" s="18" t="n">
        <v>284.17</v>
      </c>
      <c r="H8441" s="18" t="n">
        <v>0</v>
      </c>
      <c r="I8441" s="18" t="n">
        <f aca="false">((I8440 + G8441) - H8441)</f>
        <v>-22234.84</v>
      </c>
      <c r="J8441" s="18" t="n">
        <v>0</v>
      </c>
      <c r="K8441" s="19" t="n">
        <v>0</v>
      </c>
      <c r="L8441" s="17"/>
    </row>
    <row r="8442" s="11" customFormat="true" ht="10.95" hidden="false" customHeight="true" outlineLevel="0" collapsed="false">
      <c r="A8442" s="16" t="n">
        <v>45345</v>
      </c>
      <c r="B8442" s="17" t="s">
        <v>3613</v>
      </c>
      <c r="C8442" s="17" t="s">
        <v>3614</v>
      </c>
      <c r="D8442" s="17" t="s">
        <v>2903</v>
      </c>
      <c r="E8442" s="17" t="s">
        <v>3671</v>
      </c>
      <c r="F8442" s="17" t="s">
        <v>2497</v>
      </c>
      <c r="G8442" s="18" t="n">
        <v>97</v>
      </c>
      <c r="H8442" s="18" t="n">
        <v>0</v>
      </c>
      <c r="I8442" s="18" t="n">
        <f aca="false">((I8441 + G8442) - H8442)</f>
        <v>-22137.84</v>
      </c>
      <c r="J8442" s="18" t="n">
        <v>0</v>
      </c>
      <c r="K8442" s="19" t="n">
        <v>0</v>
      </c>
      <c r="L8442" s="17"/>
    </row>
    <row r="8443" s="11" customFormat="true" ht="10.95" hidden="false" customHeight="true" outlineLevel="0" collapsed="false">
      <c r="A8443" s="16" t="n">
        <v>45346</v>
      </c>
      <c r="B8443" s="17" t="s">
        <v>3613</v>
      </c>
      <c r="C8443" s="17" t="s">
        <v>3614</v>
      </c>
      <c r="D8443" s="17" t="s">
        <v>1391</v>
      </c>
      <c r="E8443" s="17" t="s">
        <v>3708</v>
      </c>
      <c r="F8443" s="17" t="s">
        <v>2503</v>
      </c>
      <c r="G8443" s="18" t="n">
        <v>0</v>
      </c>
      <c r="H8443" s="18" t="n">
        <v>594</v>
      </c>
      <c r="I8443" s="18" t="n">
        <f aca="false">((I8442 + G8443) - H8443)</f>
        <v>-22731.84</v>
      </c>
      <c r="J8443" s="18" t="n">
        <v>0</v>
      </c>
      <c r="K8443" s="19" t="n">
        <v>0</v>
      </c>
      <c r="L8443" s="17"/>
    </row>
    <row r="8444" s="11" customFormat="true" ht="10.95" hidden="false" customHeight="true" outlineLevel="0" collapsed="false">
      <c r="A8444" s="16" t="n">
        <v>45347</v>
      </c>
      <c r="B8444" s="17" t="s">
        <v>3613</v>
      </c>
      <c r="C8444" s="17" t="s">
        <v>3614</v>
      </c>
      <c r="D8444" s="17" t="s">
        <v>1391</v>
      </c>
      <c r="E8444" s="17" t="s">
        <v>1583</v>
      </c>
      <c r="F8444" s="17" t="s">
        <v>2505</v>
      </c>
      <c r="G8444" s="18" t="n">
        <v>0</v>
      </c>
      <c r="H8444" s="18" t="n">
        <v>49</v>
      </c>
      <c r="I8444" s="18" t="n">
        <f aca="false">((I8443 + G8444) - H8444)</f>
        <v>-22780.84</v>
      </c>
      <c r="J8444" s="18" t="n">
        <v>0</v>
      </c>
      <c r="K8444" s="19" t="n">
        <v>0</v>
      </c>
      <c r="L8444" s="17"/>
    </row>
    <row r="8445" s="11" customFormat="true" ht="10.95" hidden="false" customHeight="true" outlineLevel="0" collapsed="false">
      <c r="A8445" s="16" t="n">
        <v>45347</v>
      </c>
      <c r="B8445" s="17" t="s">
        <v>3613</v>
      </c>
      <c r="C8445" s="17" t="s">
        <v>3614</v>
      </c>
      <c r="D8445" s="17" t="s">
        <v>2903</v>
      </c>
      <c r="E8445" s="17" t="s">
        <v>3157</v>
      </c>
      <c r="F8445" s="17" t="s">
        <v>2505</v>
      </c>
      <c r="G8445" s="18" t="n">
        <v>49</v>
      </c>
      <c r="H8445" s="18" t="n">
        <v>0</v>
      </c>
      <c r="I8445" s="18" t="n">
        <f aca="false">((I8444 + G8445) - H8445)</f>
        <v>-22731.84</v>
      </c>
      <c r="J8445" s="18" t="n">
        <v>0</v>
      </c>
      <c r="K8445" s="19" t="n">
        <v>0</v>
      </c>
      <c r="L8445" s="17"/>
    </row>
    <row r="8446" s="11" customFormat="true" ht="10.95" hidden="false" customHeight="true" outlineLevel="0" collapsed="false">
      <c r="A8446" s="16" t="n">
        <v>45349</v>
      </c>
      <c r="B8446" s="17" t="s">
        <v>3613</v>
      </c>
      <c r="C8446" s="17" t="s">
        <v>3614</v>
      </c>
      <c r="D8446" s="17" t="s">
        <v>1391</v>
      </c>
      <c r="E8446" s="17" t="s">
        <v>3647</v>
      </c>
      <c r="F8446" s="17" t="s">
        <v>1521</v>
      </c>
      <c r="G8446" s="18" t="n">
        <v>0</v>
      </c>
      <c r="H8446" s="18" t="n">
        <v>5900.97</v>
      </c>
      <c r="I8446" s="18" t="n">
        <f aca="false">((I8445 + G8446) - H8446)</f>
        <v>-28632.81</v>
      </c>
      <c r="J8446" s="18" t="n">
        <v>0</v>
      </c>
      <c r="K8446" s="19" t="n">
        <v>0</v>
      </c>
      <c r="L8446" s="17"/>
    </row>
    <row r="8447" s="11" customFormat="true" ht="10.95" hidden="false" customHeight="true" outlineLevel="0" collapsed="false">
      <c r="A8447" s="16" t="n">
        <v>45351</v>
      </c>
      <c r="B8447" s="17" t="s">
        <v>3613</v>
      </c>
      <c r="C8447" s="17" t="s">
        <v>3614</v>
      </c>
      <c r="D8447" s="17" t="s">
        <v>1391</v>
      </c>
      <c r="E8447" s="17" t="s">
        <v>3627</v>
      </c>
      <c r="F8447" s="17" t="s">
        <v>1523</v>
      </c>
      <c r="G8447" s="18" t="n">
        <v>0</v>
      </c>
      <c r="H8447" s="18" t="n">
        <v>3708.09</v>
      </c>
      <c r="I8447" s="18" t="n">
        <f aca="false">((I8446 + G8447) - H8447)</f>
        <v>-32340.9</v>
      </c>
      <c r="J8447" s="18" t="n">
        <v>0</v>
      </c>
      <c r="K8447" s="19" t="n">
        <v>0</v>
      </c>
      <c r="L8447" s="17"/>
    </row>
    <row r="8448" s="11" customFormat="true" ht="10.95" hidden="false" customHeight="true" outlineLevel="0" collapsed="false">
      <c r="A8448" s="16" t="n">
        <v>45352</v>
      </c>
      <c r="B8448" s="17" t="s">
        <v>3613</v>
      </c>
      <c r="C8448" s="17" t="s">
        <v>3614</v>
      </c>
      <c r="D8448" s="17" t="s">
        <v>1391</v>
      </c>
      <c r="E8448" s="17" t="s">
        <v>3615</v>
      </c>
      <c r="F8448" s="17" t="s">
        <v>1525</v>
      </c>
      <c r="G8448" s="18" t="n">
        <v>0</v>
      </c>
      <c r="H8448" s="18" t="n">
        <v>538.76</v>
      </c>
      <c r="I8448" s="18" t="n">
        <f aca="false">((I8447 + G8448) - H8448)</f>
        <v>-32879.66</v>
      </c>
      <c r="J8448" s="18" t="n">
        <v>0</v>
      </c>
      <c r="K8448" s="19" t="n">
        <v>0</v>
      </c>
      <c r="L8448" s="17"/>
    </row>
    <row r="8449" s="11" customFormat="true" ht="10.95" hidden="false" customHeight="true" outlineLevel="0" collapsed="false">
      <c r="A8449" s="16" t="n">
        <v>45352</v>
      </c>
      <c r="B8449" s="17" t="s">
        <v>3613</v>
      </c>
      <c r="C8449" s="17" t="s">
        <v>3614</v>
      </c>
      <c r="D8449" s="17" t="s">
        <v>2903</v>
      </c>
      <c r="E8449" s="17" t="s">
        <v>3648</v>
      </c>
      <c r="F8449" s="17" t="s">
        <v>2693</v>
      </c>
      <c r="G8449" s="18" t="n">
        <v>249.13</v>
      </c>
      <c r="H8449" s="18" t="n">
        <v>0</v>
      </c>
      <c r="I8449" s="18" t="n">
        <f aca="false">((I8448 + G8449) - H8449)</f>
        <v>-32630.53</v>
      </c>
      <c r="J8449" s="18" t="n">
        <v>0</v>
      </c>
      <c r="K8449" s="19" t="n">
        <v>0</v>
      </c>
      <c r="L8449" s="17"/>
    </row>
    <row r="8450" s="11" customFormat="true" ht="10.95" hidden="false" customHeight="true" outlineLevel="0" collapsed="false">
      <c r="A8450" s="16" t="n">
        <v>45352</v>
      </c>
      <c r="B8450" s="17" t="s">
        <v>3613</v>
      </c>
      <c r="C8450" s="17" t="s">
        <v>3614</v>
      </c>
      <c r="D8450" s="17" t="s">
        <v>2903</v>
      </c>
      <c r="E8450" s="17" t="s">
        <v>3616</v>
      </c>
      <c r="F8450" s="17" t="s">
        <v>3298</v>
      </c>
      <c r="G8450" s="18" t="n">
        <v>3779.6</v>
      </c>
      <c r="H8450" s="18" t="n">
        <v>0</v>
      </c>
      <c r="I8450" s="18" t="n">
        <f aca="false">((I8449 + G8450) - H8450)</f>
        <v>-28850.93</v>
      </c>
      <c r="J8450" s="18" t="n">
        <v>0</v>
      </c>
      <c r="K8450" s="19" t="n">
        <v>0</v>
      </c>
      <c r="L8450" s="17"/>
    </row>
    <row r="8451" s="11" customFormat="true" ht="10.95" hidden="false" customHeight="true" outlineLevel="0" collapsed="false">
      <c r="A8451" s="16" t="n">
        <v>45352</v>
      </c>
      <c r="B8451" s="17" t="s">
        <v>3613</v>
      </c>
      <c r="C8451" s="17" t="s">
        <v>3614</v>
      </c>
      <c r="D8451" s="17" t="s">
        <v>2903</v>
      </c>
      <c r="E8451" s="17" t="s">
        <v>3629</v>
      </c>
      <c r="F8451" s="17" t="s">
        <v>3215</v>
      </c>
      <c r="G8451" s="18" t="n">
        <v>8970.2</v>
      </c>
      <c r="H8451" s="18" t="n">
        <v>0</v>
      </c>
      <c r="I8451" s="18" t="n">
        <f aca="false">((I8450 + G8451) - H8451)</f>
        <v>-19880.73</v>
      </c>
      <c r="J8451" s="18" t="n">
        <v>0</v>
      </c>
      <c r="K8451" s="19" t="n">
        <v>0</v>
      </c>
      <c r="L8451" s="17"/>
    </row>
    <row r="8452" s="11" customFormat="true" ht="10.95" hidden="false" customHeight="true" outlineLevel="0" collapsed="false">
      <c r="A8452" s="16" t="n">
        <v>45352</v>
      </c>
      <c r="B8452" s="17" t="s">
        <v>3613</v>
      </c>
      <c r="C8452" s="17" t="s">
        <v>3614</v>
      </c>
      <c r="D8452" s="17" t="s">
        <v>1391</v>
      </c>
      <c r="E8452" s="17" t="s">
        <v>3705</v>
      </c>
      <c r="F8452" s="17" t="s">
        <v>3099</v>
      </c>
      <c r="G8452" s="18" t="n">
        <v>0</v>
      </c>
      <c r="H8452" s="18" t="n">
        <v>1942.71</v>
      </c>
      <c r="I8452" s="18" t="n">
        <f aca="false">((I8451 + G8452) - H8452)</f>
        <v>-21823.44</v>
      </c>
      <c r="J8452" s="18" t="n">
        <v>0</v>
      </c>
      <c r="K8452" s="19" t="n">
        <v>0</v>
      </c>
      <c r="L8452" s="17"/>
    </row>
    <row r="8453" s="11" customFormat="true" ht="10.95" hidden="false" customHeight="true" outlineLevel="0" collapsed="false">
      <c r="A8453" s="16" t="n">
        <v>45352</v>
      </c>
      <c r="B8453" s="17" t="s">
        <v>3613</v>
      </c>
      <c r="C8453" s="17" t="s">
        <v>3614</v>
      </c>
      <c r="D8453" s="17" t="s">
        <v>1391</v>
      </c>
      <c r="E8453" s="17" t="s">
        <v>3621</v>
      </c>
      <c r="F8453" s="17" t="s">
        <v>2696</v>
      </c>
      <c r="G8453" s="18" t="n">
        <v>0</v>
      </c>
      <c r="H8453" s="18" t="n">
        <v>731.5</v>
      </c>
      <c r="I8453" s="18" t="n">
        <f aca="false">((I8452 + G8453) - H8453)</f>
        <v>-22554.94</v>
      </c>
      <c r="J8453" s="18" t="n">
        <v>0</v>
      </c>
      <c r="K8453" s="19" t="n">
        <v>0</v>
      </c>
      <c r="L8453" s="17"/>
    </row>
    <row r="8454" s="11" customFormat="true" ht="10.95" hidden="false" customHeight="true" outlineLevel="0" collapsed="false">
      <c r="A8454" s="16" t="n">
        <v>45352</v>
      </c>
      <c r="B8454" s="17" t="s">
        <v>3613</v>
      </c>
      <c r="C8454" s="17" t="s">
        <v>3614</v>
      </c>
      <c r="D8454" s="17" t="s">
        <v>1391</v>
      </c>
      <c r="E8454" s="17" t="s">
        <v>3681</v>
      </c>
      <c r="F8454" s="17" t="s">
        <v>1631</v>
      </c>
      <c r="G8454" s="18" t="n">
        <v>0</v>
      </c>
      <c r="H8454" s="18" t="n">
        <v>242.79</v>
      </c>
      <c r="I8454" s="18" t="n">
        <f aca="false">((I8453 + G8454) - H8454)</f>
        <v>-22797.73</v>
      </c>
      <c r="J8454" s="18" t="n">
        <v>0</v>
      </c>
      <c r="K8454" s="19" t="n">
        <v>0</v>
      </c>
      <c r="L8454" s="17"/>
    </row>
    <row r="8455" s="11" customFormat="true" ht="10.95" hidden="false" customHeight="true" outlineLevel="0" collapsed="false">
      <c r="A8455" s="16" t="n">
        <v>45353</v>
      </c>
      <c r="B8455" s="17" t="s">
        <v>3613</v>
      </c>
      <c r="C8455" s="17" t="s">
        <v>3614</v>
      </c>
      <c r="D8455" s="17" t="s">
        <v>1391</v>
      </c>
      <c r="E8455" s="17" t="s">
        <v>3625</v>
      </c>
      <c r="F8455" s="17" t="s">
        <v>3303</v>
      </c>
      <c r="G8455" s="18" t="n">
        <v>0</v>
      </c>
      <c r="H8455" s="18" t="n">
        <v>1677.33</v>
      </c>
      <c r="I8455" s="18" t="n">
        <f aca="false">((I8454 + G8455) - H8455)</f>
        <v>-24475.06</v>
      </c>
      <c r="J8455" s="18" t="n">
        <v>0</v>
      </c>
      <c r="K8455" s="19" t="n">
        <v>0</v>
      </c>
      <c r="L8455" s="17"/>
    </row>
    <row r="8456" s="11" customFormat="true" ht="10.95" hidden="false" customHeight="true" outlineLevel="0" collapsed="false">
      <c r="A8456" s="16" t="n">
        <v>45354</v>
      </c>
      <c r="B8456" s="17" t="s">
        <v>3613</v>
      </c>
      <c r="C8456" s="17" t="s">
        <v>3614</v>
      </c>
      <c r="D8456" s="17" t="s">
        <v>2903</v>
      </c>
      <c r="E8456" s="17" t="s">
        <v>3631</v>
      </c>
      <c r="F8456" s="17" t="s">
        <v>3303</v>
      </c>
      <c r="G8456" s="18" t="n">
        <v>1677.33</v>
      </c>
      <c r="H8456" s="18" t="n">
        <v>0</v>
      </c>
      <c r="I8456" s="18" t="n">
        <f aca="false">((I8455 + G8456) - H8456)</f>
        <v>-22797.73</v>
      </c>
      <c r="J8456" s="18" t="n">
        <v>0</v>
      </c>
      <c r="K8456" s="19" t="n">
        <v>0</v>
      </c>
      <c r="L8456" s="17"/>
    </row>
    <row r="8457" s="11" customFormat="true" ht="10.95" hidden="false" customHeight="true" outlineLevel="0" collapsed="false">
      <c r="A8457" s="16" t="n">
        <v>45356</v>
      </c>
      <c r="B8457" s="17" t="s">
        <v>3613</v>
      </c>
      <c r="C8457" s="17" t="s">
        <v>3614</v>
      </c>
      <c r="D8457" s="17" t="s">
        <v>1391</v>
      </c>
      <c r="E8457" s="17" t="s">
        <v>3647</v>
      </c>
      <c r="F8457" s="17" t="s">
        <v>1527</v>
      </c>
      <c r="G8457" s="18" t="n">
        <v>0</v>
      </c>
      <c r="H8457" s="18" t="n">
        <v>80.12</v>
      </c>
      <c r="I8457" s="18" t="n">
        <f aca="false">((I8456 + G8457) - H8457)</f>
        <v>-22877.85</v>
      </c>
      <c r="J8457" s="18" t="n">
        <v>0</v>
      </c>
      <c r="K8457" s="19" t="n">
        <v>0</v>
      </c>
      <c r="L8457" s="17"/>
    </row>
    <row r="8458" s="11" customFormat="true" ht="10.95" hidden="false" customHeight="true" outlineLevel="0" collapsed="false">
      <c r="A8458" s="16" t="n">
        <v>45356</v>
      </c>
      <c r="B8458" s="17" t="s">
        <v>3613</v>
      </c>
      <c r="C8458" s="17" t="s">
        <v>3614</v>
      </c>
      <c r="D8458" s="17" t="s">
        <v>2903</v>
      </c>
      <c r="E8458" s="17" t="s">
        <v>3652</v>
      </c>
      <c r="F8458" s="17" t="s">
        <v>2432</v>
      </c>
      <c r="G8458" s="18" t="n">
        <v>248</v>
      </c>
      <c r="H8458" s="18" t="n">
        <v>0</v>
      </c>
      <c r="I8458" s="18" t="n">
        <f aca="false">((I8457 + G8458) - H8458)</f>
        <v>-22629.85</v>
      </c>
      <c r="J8458" s="18" t="n">
        <v>0</v>
      </c>
      <c r="K8458" s="19" t="n">
        <v>0</v>
      </c>
      <c r="L8458" s="17"/>
    </row>
    <row r="8459" s="11" customFormat="true" ht="10.95" hidden="false" customHeight="true" outlineLevel="0" collapsed="false">
      <c r="A8459" s="16" t="n">
        <v>45356</v>
      </c>
      <c r="B8459" s="17" t="s">
        <v>3613</v>
      </c>
      <c r="C8459" s="17" t="s">
        <v>3614</v>
      </c>
      <c r="D8459" s="17" t="s">
        <v>2903</v>
      </c>
      <c r="E8459" s="17" t="s">
        <v>3652</v>
      </c>
      <c r="F8459" s="17" t="s">
        <v>2430</v>
      </c>
      <c r="G8459" s="18" t="n">
        <v>179</v>
      </c>
      <c r="H8459" s="18" t="n">
        <v>0</v>
      </c>
      <c r="I8459" s="18" t="n">
        <f aca="false">((I8458 + G8459) - H8459)</f>
        <v>-22450.85</v>
      </c>
      <c r="J8459" s="18" t="n">
        <v>0</v>
      </c>
      <c r="K8459" s="19" t="n">
        <v>0</v>
      </c>
      <c r="L8459" s="17"/>
    </row>
    <row r="8460" s="11" customFormat="true" ht="10.95" hidden="false" customHeight="true" outlineLevel="0" collapsed="false">
      <c r="A8460" s="16" t="n">
        <v>45356</v>
      </c>
      <c r="B8460" s="17" t="s">
        <v>3613</v>
      </c>
      <c r="C8460" s="17" t="s">
        <v>3614</v>
      </c>
      <c r="D8460" s="17" t="s">
        <v>2903</v>
      </c>
      <c r="E8460" s="17" t="s">
        <v>3008</v>
      </c>
      <c r="F8460" s="17" t="s">
        <v>1631</v>
      </c>
      <c r="G8460" s="18" t="n">
        <v>242.79</v>
      </c>
      <c r="H8460" s="18" t="n">
        <v>0</v>
      </c>
      <c r="I8460" s="18" t="n">
        <f aca="false">((I8459 + G8460) - H8460)</f>
        <v>-22208.06</v>
      </c>
      <c r="J8460" s="18" t="n">
        <v>0</v>
      </c>
      <c r="K8460" s="19" t="n">
        <v>0</v>
      </c>
      <c r="L8460" s="17"/>
    </row>
    <row r="8461" s="11" customFormat="true" ht="10.95" hidden="false" customHeight="true" outlineLevel="0" collapsed="false">
      <c r="A8461" s="16" t="n">
        <v>45356</v>
      </c>
      <c r="B8461" s="17" t="s">
        <v>3613</v>
      </c>
      <c r="C8461" s="17" t="s">
        <v>3614</v>
      </c>
      <c r="D8461" s="17" t="s">
        <v>2903</v>
      </c>
      <c r="E8461" s="17" t="s">
        <v>2904</v>
      </c>
      <c r="F8461" s="17" t="s">
        <v>1523</v>
      </c>
      <c r="G8461" s="18" t="n">
        <v>3708.09</v>
      </c>
      <c r="H8461" s="18" t="n">
        <v>0</v>
      </c>
      <c r="I8461" s="18" t="n">
        <f aca="false">((I8460 + G8461) - H8461)</f>
        <v>-18499.97</v>
      </c>
      <c r="J8461" s="18" t="n">
        <v>0</v>
      </c>
      <c r="K8461" s="19" t="n">
        <v>0</v>
      </c>
      <c r="L8461" s="17"/>
    </row>
    <row r="8462" s="11" customFormat="true" ht="10.95" hidden="false" customHeight="true" outlineLevel="0" collapsed="false">
      <c r="A8462" s="16" t="n">
        <v>45356</v>
      </c>
      <c r="B8462" s="17" t="s">
        <v>3613</v>
      </c>
      <c r="C8462" s="17" t="s">
        <v>3614</v>
      </c>
      <c r="D8462" s="17" t="s">
        <v>1391</v>
      </c>
      <c r="E8462" s="17" t="s">
        <v>3709</v>
      </c>
      <c r="F8462" s="17" t="s">
        <v>2699</v>
      </c>
      <c r="G8462" s="18" t="n">
        <v>0</v>
      </c>
      <c r="H8462" s="18" t="n">
        <v>790</v>
      </c>
      <c r="I8462" s="18" t="n">
        <f aca="false">((I8461 + G8462) - H8462)</f>
        <v>-19289.97</v>
      </c>
      <c r="J8462" s="18" t="n">
        <v>0</v>
      </c>
      <c r="K8462" s="19" t="n">
        <v>0</v>
      </c>
      <c r="L8462" s="17"/>
    </row>
    <row r="8463" s="11" customFormat="true" ht="10.95" hidden="false" customHeight="true" outlineLevel="0" collapsed="false">
      <c r="A8463" s="16" t="n">
        <v>45356</v>
      </c>
      <c r="B8463" s="17" t="s">
        <v>3613</v>
      </c>
      <c r="C8463" s="17" t="s">
        <v>3614</v>
      </c>
      <c r="D8463" s="17" t="s">
        <v>1391</v>
      </c>
      <c r="E8463" s="17" t="s">
        <v>3622</v>
      </c>
      <c r="F8463" s="17" t="s">
        <v>1529</v>
      </c>
      <c r="G8463" s="18" t="n">
        <v>0</v>
      </c>
      <c r="H8463" s="18" t="n">
        <v>2312.62</v>
      </c>
      <c r="I8463" s="18" t="n">
        <f aca="false">((I8462 + G8463) - H8463)</f>
        <v>-21602.59</v>
      </c>
      <c r="J8463" s="18" t="n">
        <v>0</v>
      </c>
      <c r="K8463" s="19" t="n">
        <v>0</v>
      </c>
      <c r="L8463" s="17"/>
    </row>
    <row r="8464" s="11" customFormat="true" ht="10.95" hidden="false" customHeight="true" outlineLevel="0" collapsed="false">
      <c r="A8464" s="16" t="n">
        <v>45357</v>
      </c>
      <c r="B8464" s="17" t="s">
        <v>3613</v>
      </c>
      <c r="C8464" s="17" t="s">
        <v>3614</v>
      </c>
      <c r="D8464" s="17" t="s">
        <v>2903</v>
      </c>
      <c r="E8464" s="17" t="s">
        <v>3657</v>
      </c>
      <c r="F8464" s="17" t="s">
        <v>1527</v>
      </c>
      <c r="G8464" s="18" t="n">
        <v>80.12</v>
      </c>
      <c r="H8464" s="18" t="n">
        <v>0</v>
      </c>
      <c r="I8464" s="18" t="n">
        <f aca="false">((I8463 + G8464) - H8464)</f>
        <v>-21522.47</v>
      </c>
      <c r="J8464" s="18" t="n">
        <v>0</v>
      </c>
      <c r="K8464" s="19" t="n">
        <v>0</v>
      </c>
      <c r="L8464" s="17"/>
    </row>
    <row r="8465" s="11" customFormat="true" ht="10.95" hidden="false" customHeight="true" outlineLevel="0" collapsed="false">
      <c r="A8465" s="16" t="n">
        <v>45357</v>
      </c>
      <c r="B8465" s="17" t="s">
        <v>3613</v>
      </c>
      <c r="C8465" s="17" t="s">
        <v>3614</v>
      </c>
      <c r="D8465" s="17" t="s">
        <v>2903</v>
      </c>
      <c r="E8465" s="17" t="s">
        <v>3657</v>
      </c>
      <c r="F8465" s="17" t="s">
        <v>1521</v>
      </c>
      <c r="G8465" s="18" t="n">
        <v>5900.97</v>
      </c>
      <c r="H8465" s="18" t="n">
        <v>0</v>
      </c>
      <c r="I8465" s="18" t="n">
        <f aca="false">((I8464 + G8465) - H8465)</f>
        <v>-15621.5</v>
      </c>
      <c r="J8465" s="18" t="n">
        <v>0</v>
      </c>
      <c r="K8465" s="19" t="n">
        <v>0</v>
      </c>
      <c r="L8465" s="17"/>
    </row>
    <row r="8466" s="11" customFormat="true" ht="10.95" hidden="false" customHeight="true" outlineLevel="0" collapsed="false">
      <c r="A8466" s="16" t="n">
        <v>45358</v>
      </c>
      <c r="B8466" s="17" t="s">
        <v>3613</v>
      </c>
      <c r="C8466" s="17" t="s">
        <v>3614</v>
      </c>
      <c r="D8466" s="17" t="s">
        <v>1391</v>
      </c>
      <c r="E8466" s="17" t="s">
        <v>3615</v>
      </c>
      <c r="F8466" s="17" t="s">
        <v>1531</v>
      </c>
      <c r="G8466" s="18" t="n">
        <v>0</v>
      </c>
      <c r="H8466" s="18" t="n">
        <v>21257.54</v>
      </c>
      <c r="I8466" s="18" t="n">
        <f aca="false">((I8465 + G8466) - H8466)</f>
        <v>-36879.04</v>
      </c>
      <c r="J8466" s="18" t="n">
        <v>0</v>
      </c>
      <c r="K8466" s="19" t="n">
        <v>0</v>
      </c>
      <c r="L8466" s="17"/>
    </row>
    <row r="8467" s="11" customFormat="true" ht="10.95" hidden="false" customHeight="true" outlineLevel="0" collapsed="false">
      <c r="A8467" s="16" t="n">
        <v>45358</v>
      </c>
      <c r="B8467" s="17" t="s">
        <v>3613</v>
      </c>
      <c r="C8467" s="17" t="s">
        <v>3614</v>
      </c>
      <c r="D8467" s="17" t="s">
        <v>2903</v>
      </c>
      <c r="E8467" s="17" t="s">
        <v>3710</v>
      </c>
      <c r="F8467" s="17" t="s">
        <v>2699</v>
      </c>
      <c r="G8467" s="18" t="n">
        <v>790</v>
      </c>
      <c r="H8467" s="18" t="n">
        <v>0</v>
      </c>
      <c r="I8467" s="18" t="n">
        <f aca="false">((I8466 + G8467) - H8467)</f>
        <v>-36089.04</v>
      </c>
      <c r="J8467" s="18" t="n">
        <v>0</v>
      </c>
      <c r="K8467" s="19" t="n">
        <v>0</v>
      </c>
      <c r="L8467" s="17"/>
    </row>
    <row r="8468" s="11" customFormat="true" ht="10.95" hidden="false" customHeight="true" outlineLevel="0" collapsed="false">
      <c r="A8468" s="16" t="n">
        <v>45358</v>
      </c>
      <c r="B8468" s="17" t="s">
        <v>3613</v>
      </c>
      <c r="C8468" s="17" t="s">
        <v>3614</v>
      </c>
      <c r="D8468" s="17" t="s">
        <v>2903</v>
      </c>
      <c r="E8468" s="17" t="s">
        <v>3035</v>
      </c>
      <c r="F8468" s="17" t="s">
        <v>3090</v>
      </c>
      <c r="G8468" s="18" t="n">
        <v>2115.52</v>
      </c>
      <c r="H8468" s="18" t="n">
        <v>0</v>
      </c>
      <c r="I8468" s="18" t="n">
        <f aca="false">((I8467 + G8468) - H8468)</f>
        <v>-33973.52</v>
      </c>
      <c r="J8468" s="18" t="n">
        <v>0</v>
      </c>
      <c r="K8468" s="19" t="n">
        <v>0</v>
      </c>
      <c r="L8468" s="17"/>
    </row>
    <row r="8469" s="11" customFormat="true" ht="10.95" hidden="false" customHeight="true" outlineLevel="0" collapsed="false">
      <c r="A8469" s="16" t="n">
        <v>45358</v>
      </c>
      <c r="B8469" s="17" t="s">
        <v>3613</v>
      </c>
      <c r="C8469" s="17" t="s">
        <v>3614</v>
      </c>
      <c r="D8469" s="17" t="s">
        <v>1391</v>
      </c>
      <c r="E8469" s="17" t="s">
        <v>3711</v>
      </c>
      <c r="F8469" s="17" t="s">
        <v>1633</v>
      </c>
      <c r="G8469" s="18" t="n">
        <v>0</v>
      </c>
      <c r="H8469" s="18" t="n">
        <v>625</v>
      </c>
      <c r="I8469" s="18" t="n">
        <f aca="false">((I8468 + G8469) - H8469)</f>
        <v>-34598.52</v>
      </c>
      <c r="J8469" s="18" t="n">
        <v>0</v>
      </c>
      <c r="K8469" s="19" t="n">
        <v>0</v>
      </c>
      <c r="L8469" s="17"/>
    </row>
    <row r="8470" s="11" customFormat="true" ht="10.95" hidden="false" customHeight="true" outlineLevel="0" collapsed="false">
      <c r="A8470" s="16" t="n">
        <v>45359</v>
      </c>
      <c r="B8470" s="17" t="s">
        <v>3613</v>
      </c>
      <c r="C8470" s="17" t="s">
        <v>3614</v>
      </c>
      <c r="D8470" s="17" t="s">
        <v>1391</v>
      </c>
      <c r="E8470" s="17" t="s">
        <v>3655</v>
      </c>
      <c r="F8470" s="17" t="s">
        <v>1642</v>
      </c>
      <c r="G8470" s="18" t="n">
        <v>0</v>
      </c>
      <c r="H8470" s="18" t="n">
        <v>161</v>
      </c>
      <c r="I8470" s="18" t="n">
        <f aca="false">((I8469 + G8470) - H8470)</f>
        <v>-34759.52</v>
      </c>
      <c r="J8470" s="18" t="n">
        <v>0</v>
      </c>
      <c r="K8470" s="19" t="n">
        <v>0</v>
      </c>
      <c r="L8470" s="17"/>
    </row>
    <row r="8471" s="11" customFormat="true" ht="10.95" hidden="false" customHeight="true" outlineLevel="0" collapsed="false">
      <c r="A8471" s="16" t="n">
        <v>45359</v>
      </c>
      <c r="B8471" s="17" t="s">
        <v>3613</v>
      </c>
      <c r="C8471" s="17" t="s">
        <v>3614</v>
      </c>
      <c r="D8471" s="17" t="s">
        <v>1391</v>
      </c>
      <c r="E8471" s="17" t="s">
        <v>3639</v>
      </c>
      <c r="F8471" s="17" t="s">
        <v>1642</v>
      </c>
      <c r="G8471" s="18" t="n">
        <v>0</v>
      </c>
      <c r="H8471" s="18" t="n">
        <v>40</v>
      </c>
      <c r="I8471" s="18" t="n">
        <f aca="false">((I8470 + G8471) - H8471)</f>
        <v>-34799.52</v>
      </c>
      <c r="J8471" s="18" t="n">
        <v>0</v>
      </c>
      <c r="K8471" s="19" t="n">
        <v>0</v>
      </c>
      <c r="L8471" s="17"/>
    </row>
    <row r="8472" s="11" customFormat="true" ht="10.95" hidden="false" customHeight="true" outlineLevel="0" collapsed="false">
      <c r="A8472" s="16" t="n">
        <v>45359</v>
      </c>
      <c r="B8472" s="17" t="s">
        <v>3613</v>
      </c>
      <c r="C8472" s="17" t="s">
        <v>3614</v>
      </c>
      <c r="D8472" s="17" t="s">
        <v>1391</v>
      </c>
      <c r="E8472" s="17" t="s">
        <v>3621</v>
      </c>
      <c r="F8472" s="17" t="s">
        <v>2702</v>
      </c>
      <c r="G8472" s="18" t="n">
        <v>0</v>
      </c>
      <c r="H8472" s="18" t="n">
        <v>104.95</v>
      </c>
      <c r="I8472" s="18" t="n">
        <f aca="false">((I8471 + G8472) - H8472)</f>
        <v>-34904.47</v>
      </c>
      <c r="J8472" s="18" t="n">
        <v>0</v>
      </c>
      <c r="K8472" s="19" t="n">
        <v>0</v>
      </c>
      <c r="L8472" s="17"/>
    </row>
    <row r="8473" s="11" customFormat="true" ht="10.95" hidden="false" customHeight="true" outlineLevel="0" collapsed="false">
      <c r="A8473" s="16" t="n">
        <v>45359</v>
      </c>
      <c r="B8473" s="17" t="s">
        <v>3613</v>
      </c>
      <c r="C8473" s="17" t="s">
        <v>3614</v>
      </c>
      <c r="D8473" s="17" t="s">
        <v>1391</v>
      </c>
      <c r="E8473" s="17" t="s">
        <v>3615</v>
      </c>
      <c r="F8473" s="17" t="s">
        <v>1533</v>
      </c>
      <c r="G8473" s="18" t="n">
        <v>0</v>
      </c>
      <c r="H8473" s="18" t="n">
        <v>2207.21</v>
      </c>
      <c r="I8473" s="18" t="n">
        <f aca="false">((I8472 + G8473) - H8473)</f>
        <v>-37111.68</v>
      </c>
      <c r="J8473" s="18" t="n">
        <v>0</v>
      </c>
      <c r="K8473" s="19" t="n">
        <v>0</v>
      </c>
      <c r="L8473" s="17"/>
    </row>
    <row r="8474" s="11" customFormat="true" ht="10.95" hidden="false" customHeight="true" outlineLevel="0" collapsed="false">
      <c r="A8474" s="16" t="n">
        <v>45359</v>
      </c>
      <c r="B8474" s="17" t="s">
        <v>3613</v>
      </c>
      <c r="C8474" s="17" t="s">
        <v>3614</v>
      </c>
      <c r="D8474" s="17" t="s">
        <v>2903</v>
      </c>
      <c r="E8474" s="17" t="s">
        <v>3640</v>
      </c>
      <c r="F8474" s="17" t="s">
        <v>1642</v>
      </c>
      <c r="G8474" s="18" t="n">
        <v>40</v>
      </c>
      <c r="H8474" s="18" t="n">
        <v>0</v>
      </c>
      <c r="I8474" s="18" t="n">
        <f aca="false">((I8473 + G8474) - H8474)</f>
        <v>-37071.68</v>
      </c>
      <c r="J8474" s="18" t="n">
        <v>0</v>
      </c>
      <c r="K8474" s="19" t="n">
        <v>0</v>
      </c>
      <c r="L8474" s="17"/>
    </row>
    <row r="8475" s="11" customFormat="true" ht="10.95" hidden="false" customHeight="true" outlineLevel="0" collapsed="false">
      <c r="A8475" s="16" t="n">
        <v>45359</v>
      </c>
      <c r="B8475" s="17" t="s">
        <v>3613</v>
      </c>
      <c r="C8475" s="17" t="s">
        <v>3614</v>
      </c>
      <c r="D8475" s="17" t="s">
        <v>2903</v>
      </c>
      <c r="E8475" s="17" t="s">
        <v>3660</v>
      </c>
      <c r="F8475" s="17" t="s">
        <v>1642</v>
      </c>
      <c r="G8475" s="18" t="n">
        <v>161</v>
      </c>
      <c r="H8475" s="18" t="n">
        <v>0</v>
      </c>
      <c r="I8475" s="18" t="n">
        <f aca="false">((I8474 + G8475) - H8475)</f>
        <v>-36910.68</v>
      </c>
      <c r="J8475" s="18" t="n">
        <v>0</v>
      </c>
      <c r="K8475" s="19" t="n">
        <v>0</v>
      </c>
      <c r="L8475" s="17"/>
    </row>
    <row r="8476" s="11" customFormat="true" ht="10.95" hidden="false" customHeight="true" outlineLevel="0" collapsed="false">
      <c r="A8476" s="16" t="n">
        <v>45360</v>
      </c>
      <c r="B8476" s="17" t="s">
        <v>3613</v>
      </c>
      <c r="C8476" s="17" t="s">
        <v>3614</v>
      </c>
      <c r="D8476" s="17" t="s">
        <v>1391</v>
      </c>
      <c r="E8476" s="17" t="s">
        <v>3638</v>
      </c>
      <c r="F8476" s="17" t="s">
        <v>3305</v>
      </c>
      <c r="G8476" s="18" t="n">
        <v>0</v>
      </c>
      <c r="H8476" s="18" t="n">
        <v>4023.35</v>
      </c>
      <c r="I8476" s="18" t="n">
        <f aca="false">((I8475 + G8476) - H8476)</f>
        <v>-40934.03</v>
      </c>
      <c r="J8476" s="18" t="n">
        <v>0</v>
      </c>
      <c r="K8476" s="19" t="n">
        <v>0</v>
      </c>
      <c r="L8476" s="17"/>
    </row>
    <row r="8477" s="11" customFormat="true" ht="10.95" hidden="false" customHeight="true" outlineLevel="0" collapsed="false">
      <c r="A8477" s="16" t="n">
        <v>45362</v>
      </c>
      <c r="B8477" s="17" t="s">
        <v>3613</v>
      </c>
      <c r="C8477" s="17" t="s">
        <v>3614</v>
      </c>
      <c r="D8477" s="17" t="s">
        <v>1391</v>
      </c>
      <c r="E8477" s="17" t="s">
        <v>3698</v>
      </c>
      <c r="F8477" s="17" t="s">
        <v>1606</v>
      </c>
      <c r="G8477" s="18" t="n">
        <v>0</v>
      </c>
      <c r="H8477" s="18" t="n">
        <v>1440.96</v>
      </c>
      <c r="I8477" s="18" t="n">
        <f aca="false">((I8476 + G8477) - H8477)</f>
        <v>-42374.99</v>
      </c>
      <c r="J8477" s="18" t="n">
        <v>0</v>
      </c>
      <c r="K8477" s="19" t="n">
        <v>0</v>
      </c>
      <c r="L8477" s="17"/>
    </row>
    <row r="8478" s="11" customFormat="true" ht="10.95" hidden="false" customHeight="true" outlineLevel="0" collapsed="false">
      <c r="A8478" s="16" t="n">
        <v>45363</v>
      </c>
      <c r="B8478" s="17" t="s">
        <v>3613</v>
      </c>
      <c r="C8478" s="17" t="s">
        <v>3614</v>
      </c>
      <c r="D8478" s="17" t="s">
        <v>2903</v>
      </c>
      <c r="E8478" s="17" t="s">
        <v>3712</v>
      </c>
      <c r="F8478" s="17" t="s">
        <v>1633</v>
      </c>
      <c r="G8478" s="18" t="n">
        <v>625</v>
      </c>
      <c r="H8478" s="18" t="n">
        <v>0</v>
      </c>
      <c r="I8478" s="18" t="n">
        <f aca="false">((I8477 + G8478) - H8478)</f>
        <v>-41749.99</v>
      </c>
      <c r="J8478" s="18" t="n">
        <v>0</v>
      </c>
      <c r="K8478" s="19" t="n">
        <v>0</v>
      </c>
      <c r="L8478" s="17"/>
    </row>
    <row r="8479" s="11" customFormat="true" ht="10.95" hidden="false" customHeight="true" outlineLevel="0" collapsed="false">
      <c r="A8479" s="16" t="n">
        <v>45363</v>
      </c>
      <c r="B8479" s="17" t="s">
        <v>3613</v>
      </c>
      <c r="C8479" s="17" t="s">
        <v>3614</v>
      </c>
      <c r="D8479" s="17" t="s">
        <v>2903</v>
      </c>
      <c r="E8479" s="17" t="s">
        <v>3643</v>
      </c>
      <c r="F8479" s="17" t="s">
        <v>1529</v>
      </c>
      <c r="G8479" s="18" t="n">
        <v>2312.62</v>
      </c>
      <c r="H8479" s="18" t="n">
        <v>0</v>
      </c>
      <c r="I8479" s="18" t="n">
        <f aca="false">((I8478 + G8479) - H8479)</f>
        <v>-39437.37</v>
      </c>
      <c r="J8479" s="18" t="n">
        <v>0</v>
      </c>
      <c r="K8479" s="19" t="n">
        <v>0</v>
      </c>
      <c r="L8479" s="17"/>
    </row>
    <row r="8480" s="11" customFormat="true" ht="10.95" hidden="false" customHeight="true" outlineLevel="0" collapsed="false">
      <c r="A8480" s="16" t="n">
        <v>45363</v>
      </c>
      <c r="B8480" s="17" t="s">
        <v>3613</v>
      </c>
      <c r="C8480" s="17" t="s">
        <v>3614</v>
      </c>
      <c r="D8480" s="17" t="s">
        <v>1391</v>
      </c>
      <c r="E8480" s="17" t="s">
        <v>3713</v>
      </c>
      <c r="F8480" s="17" t="s">
        <v>3565</v>
      </c>
      <c r="G8480" s="18" t="n">
        <v>0</v>
      </c>
      <c r="H8480" s="18" t="n">
        <v>3466.7</v>
      </c>
      <c r="I8480" s="18" t="n">
        <f aca="false">((I8479 + G8480) - H8480)</f>
        <v>-42904.07</v>
      </c>
      <c r="J8480" s="18" t="n">
        <v>0</v>
      </c>
      <c r="K8480" s="19" t="n">
        <v>0</v>
      </c>
      <c r="L8480" s="17"/>
    </row>
    <row r="8481" s="11" customFormat="true" ht="10.95" hidden="false" customHeight="true" outlineLevel="0" collapsed="false">
      <c r="A8481" s="16" t="n">
        <v>45364</v>
      </c>
      <c r="B8481" s="17" t="s">
        <v>3613</v>
      </c>
      <c r="C8481" s="17" t="s">
        <v>3614</v>
      </c>
      <c r="D8481" s="17" t="s">
        <v>1391</v>
      </c>
      <c r="E8481" s="17" t="s">
        <v>3633</v>
      </c>
      <c r="F8481" s="17" t="s">
        <v>1535</v>
      </c>
      <c r="G8481" s="18" t="n">
        <v>0</v>
      </c>
      <c r="H8481" s="18" t="n">
        <v>453.64</v>
      </c>
      <c r="I8481" s="18" t="n">
        <f aca="false">((I8480 + G8481) - H8481)</f>
        <v>-43357.71</v>
      </c>
      <c r="J8481" s="18" t="n">
        <v>0</v>
      </c>
      <c r="K8481" s="19" t="n">
        <v>0</v>
      </c>
      <c r="L8481" s="17"/>
    </row>
    <row r="8482" s="11" customFormat="true" ht="10.95" hidden="false" customHeight="true" outlineLevel="0" collapsed="false">
      <c r="A8482" s="16" t="n">
        <v>45364</v>
      </c>
      <c r="B8482" s="17" t="s">
        <v>3613</v>
      </c>
      <c r="C8482" s="17" t="s">
        <v>3614</v>
      </c>
      <c r="D8482" s="17" t="s">
        <v>1391</v>
      </c>
      <c r="E8482" s="17" t="s">
        <v>3703</v>
      </c>
      <c r="F8482" s="17" t="s">
        <v>1642</v>
      </c>
      <c r="G8482" s="18" t="n">
        <v>0</v>
      </c>
      <c r="H8482" s="18" t="n">
        <v>47.25</v>
      </c>
      <c r="I8482" s="18" t="n">
        <f aca="false">((I8481 + G8482) - H8482)</f>
        <v>-43404.96</v>
      </c>
      <c r="J8482" s="18" t="n">
        <v>0</v>
      </c>
      <c r="K8482" s="19" t="n">
        <v>0</v>
      </c>
      <c r="L8482" s="17"/>
    </row>
    <row r="8483" s="11" customFormat="true" ht="10.95" hidden="false" customHeight="true" outlineLevel="0" collapsed="false">
      <c r="A8483" s="16" t="n">
        <v>45365</v>
      </c>
      <c r="B8483" s="17" t="s">
        <v>3613</v>
      </c>
      <c r="C8483" s="17" t="s">
        <v>3614</v>
      </c>
      <c r="D8483" s="17" t="s">
        <v>1391</v>
      </c>
      <c r="E8483" s="17" t="s">
        <v>3641</v>
      </c>
      <c r="F8483" s="17" t="s">
        <v>2704</v>
      </c>
      <c r="G8483" s="18" t="n">
        <v>0</v>
      </c>
      <c r="H8483" s="18" t="n">
        <v>168.48</v>
      </c>
      <c r="I8483" s="18" t="n">
        <f aca="false">((I8482 + G8483) - H8483)</f>
        <v>-43573.44</v>
      </c>
      <c r="J8483" s="18" t="n">
        <v>0</v>
      </c>
      <c r="K8483" s="19" t="n">
        <v>0</v>
      </c>
      <c r="L8483" s="17"/>
    </row>
    <row r="8484" s="11" customFormat="true" ht="10.95" hidden="false" customHeight="true" outlineLevel="0" collapsed="false">
      <c r="A8484" s="16" t="n">
        <v>45365</v>
      </c>
      <c r="B8484" s="17" t="s">
        <v>3613</v>
      </c>
      <c r="C8484" s="17" t="s">
        <v>3614</v>
      </c>
      <c r="D8484" s="17" t="s">
        <v>2903</v>
      </c>
      <c r="E8484" s="17" t="s">
        <v>3714</v>
      </c>
      <c r="F8484" s="17" t="s">
        <v>3565</v>
      </c>
      <c r="G8484" s="18" t="n">
        <v>3466.7</v>
      </c>
      <c r="H8484" s="18" t="n">
        <v>0</v>
      </c>
      <c r="I8484" s="18" t="n">
        <f aca="false">((I8483 + G8484) - H8484)</f>
        <v>-40106.74</v>
      </c>
      <c r="J8484" s="18" t="n">
        <v>0</v>
      </c>
      <c r="K8484" s="19" t="n">
        <v>0</v>
      </c>
      <c r="L8484" s="17"/>
    </row>
    <row r="8485" s="11" customFormat="true" ht="10.95" hidden="false" customHeight="true" outlineLevel="0" collapsed="false">
      <c r="A8485" s="16" t="n">
        <v>45365</v>
      </c>
      <c r="B8485" s="17" t="s">
        <v>3613</v>
      </c>
      <c r="C8485" s="17" t="s">
        <v>3614</v>
      </c>
      <c r="D8485" s="17" t="s">
        <v>2903</v>
      </c>
      <c r="E8485" s="17" t="s">
        <v>3049</v>
      </c>
      <c r="F8485" s="17" t="s">
        <v>1606</v>
      </c>
      <c r="G8485" s="18" t="n">
        <v>1440.96</v>
      </c>
      <c r="H8485" s="18" t="n">
        <v>0</v>
      </c>
      <c r="I8485" s="18" t="n">
        <f aca="false">((I8484 + G8485) - H8485)</f>
        <v>-38665.78</v>
      </c>
      <c r="J8485" s="18" t="n">
        <v>0</v>
      </c>
      <c r="K8485" s="19" t="n">
        <v>0</v>
      </c>
      <c r="L8485" s="17"/>
    </row>
    <row r="8486" s="11" customFormat="true" ht="10.95" hidden="false" customHeight="true" outlineLevel="0" collapsed="false">
      <c r="A8486" s="16" t="n">
        <v>45365</v>
      </c>
      <c r="B8486" s="17" t="s">
        <v>3613</v>
      </c>
      <c r="C8486" s="17" t="s">
        <v>3614</v>
      </c>
      <c r="D8486" s="17" t="s">
        <v>2903</v>
      </c>
      <c r="E8486" s="17" t="s">
        <v>2908</v>
      </c>
      <c r="F8486" s="17" t="s">
        <v>2474</v>
      </c>
      <c r="G8486" s="18" t="n">
        <v>461.78</v>
      </c>
      <c r="H8486" s="18" t="n">
        <v>0</v>
      </c>
      <c r="I8486" s="18" t="n">
        <f aca="false">((I8485 + G8486) - H8486)</f>
        <v>-38204</v>
      </c>
      <c r="J8486" s="18" t="n">
        <v>0</v>
      </c>
      <c r="K8486" s="19" t="n">
        <v>0</v>
      </c>
      <c r="L8486" s="17"/>
    </row>
    <row r="8487" s="11" customFormat="true" ht="10.95" hidden="false" customHeight="true" outlineLevel="0" collapsed="false">
      <c r="A8487" s="16" t="n">
        <v>45366</v>
      </c>
      <c r="B8487" s="17" t="s">
        <v>3613</v>
      </c>
      <c r="C8487" s="17" t="s">
        <v>3614</v>
      </c>
      <c r="D8487" s="17" t="s">
        <v>1391</v>
      </c>
      <c r="E8487" s="17" t="s">
        <v>3703</v>
      </c>
      <c r="F8487" s="17" t="s">
        <v>1642</v>
      </c>
      <c r="G8487" s="18" t="n">
        <v>0</v>
      </c>
      <c r="H8487" s="18" t="n">
        <v>14.4</v>
      </c>
      <c r="I8487" s="18" t="n">
        <f aca="false">((I8486 + G8487) - H8487)</f>
        <v>-38218.4</v>
      </c>
      <c r="J8487" s="18" t="n">
        <v>0</v>
      </c>
      <c r="K8487" s="19" t="n">
        <v>0</v>
      </c>
      <c r="L8487" s="17"/>
    </row>
    <row r="8488" s="11" customFormat="true" ht="10.95" hidden="false" customHeight="true" outlineLevel="0" collapsed="false">
      <c r="A8488" s="16" t="n">
        <v>45366</v>
      </c>
      <c r="B8488" s="17" t="s">
        <v>3613</v>
      </c>
      <c r="C8488" s="17" t="s">
        <v>3614</v>
      </c>
      <c r="D8488" s="17" t="s">
        <v>2903</v>
      </c>
      <c r="E8488" s="17" t="s">
        <v>3704</v>
      </c>
      <c r="F8488" s="17" t="s">
        <v>1642</v>
      </c>
      <c r="G8488" s="18" t="n">
        <v>47.25</v>
      </c>
      <c r="H8488" s="18" t="n">
        <v>0</v>
      </c>
      <c r="I8488" s="18" t="n">
        <f aca="false">((I8487 + G8488) - H8488)</f>
        <v>-38171.15</v>
      </c>
      <c r="J8488" s="18" t="n">
        <v>0</v>
      </c>
      <c r="K8488" s="19" t="n">
        <v>0</v>
      </c>
      <c r="L8488" s="17"/>
    </row>
    <row r="8489" s="11" customFormat="true" ht="10.95" hidden="false" customHeight="true" outlineLevel="0" collapsed="false">
      <c r="A8489" s="16" t="n">
        <v>45366</v>
      </c>
      <c r="B8489" s="17" t="s">
        <v>3613</v>
      </c>
      <c r="C8489" s="17" t="s">
        <v>3614</v>
      </c>
      <c r="D8489" s="17" t="s">
        <v>2903</v>
      </c>
      <c r="E8489" s="17" t="s">
        <v>3704</v>
      </c>
      <c r="F8489" s="17" t="s">
        <v>1642</v>
      </c>
      <c r="G8489" s="18" t="n">
        <v>14.4</v>
      </c>
      <c r="H8489" s="18" t="n">
        <v>0</v>
      </c>
      <c r="I8489" s="18" t="n">
        <f aca="false">((I8488 + G8489) - H8489)</f>
        <v>-38156.75</v>
      </c>
      <c r="J8489" s="18" t="n">
        <v>0</v>
      </c>
      <c r="K8489" s="19" t="n">
        <v>0</v>
      </c>
      <c r="L8489" s="17"/>
    </row>
    <row r="8490" s="11" customFormat="true" ht="10.95" hidden="false" customHeight="true" outlineLevel="0" collapsed="false">
      <c r="A8490" s="16" t="n">
        <v>45369</v>
      </c>
      <c r="B8490" s="17" t="s">
        <v>3613</v>
      </c>
      <c r="C8490" s="17" t="s">
        <v>3614</v>
      </c>
      <c r="D8490" s="17" t="s">
        <v>1391</v>
      </c>
      <c r="E8490" s="17" t="s">
        <v>3642</v>
      </c>
      <c r="F8490" s="17" t="s">
        <v>2508</v>
      </c>
      <c r="G8490" s="18" t="n">
        <v>0</v>
      </c>
      <c r="H8490" s="18" t="n">
        <v>219.78</v>
      </c>
      <c r="I8490" s="18" t="n">
        <f aca="false">((I8489 + G8490) - H8490)</f>
        <v>-38376.53</v>
      </c>
      <c r="J8490" s="18" t="n">
        <v>0</v>
      </c>
      <c r="K8490" s="19" t="n">
        <v>0</v>
      </c>
      <c r="L8490" s="17"/>
    </row>
    <row r="8491" s="11" customFormat="true" ht="10.95" hidden="false" customHeight="true" outlineLevel="0" collapsed="false">
      <c r="A8491" s="16" t="n">
        <v>45369</v>
      </c>
      <c r="B8491" s="17" t="s">
        <v>3613</v>
      </c>
      <c r="C8491" s="17" t="s">
        <v>3614</v>
      </c>
      <c r="D8491" s="17" t="s">
        <v>1391</v>
      </c>
      <c r="E8491" s="17" t="s">
        <v>3642</v>
      </c>
      <c r="F8491" s="17" t="s">
        <v>2510</v>
      </c>
      <c r="G8491" s="18" t="n">
        <v>0</v>
      </c>
      <c r="H8491" s="18" t="n">
        <v>68.2</v>
      </c>
      <c r="I8491" s="18" t="n">
        <f aca="false">((I8490 + G8491) - H8491)</f>
        <v>-38444.73</v>
      </c>
      <c r="J8491" s="18" t="n">
        <v>0</v>
      </c>
      <c r="K8491" s="19" t="n">
        <v>0</v>
      </c>
      <c r="L8491" s="17"/>
    </row>
    <row r="8492" s="11" customFormat="true" ht="10.95" hidden="false" customHeight="true" outlineLevel="0" collapsed="false">
      <c r="A8492" s="16" t="n">
        <v>45369</v>
      </c>
      <c r="B8492" s="17" t="s">
        <v>3613</v>
      </c>
      <c r="C8492" s="17" t="s">
        <v>3614</v>
      </c>
      <c r="D8492" s="17" t="s">
        <v>1391</v>
      </c>
      <c r="E8492" s="17" t="s">
        <v>3642</v>
      </c>
      <c r="F8492" s="17" t="s">
        <v>2512</v>
      </c>
      <c r="G8492" s="18" t="n">
        <v>0</v>
      </c>
      <c r="H8492" s="18" t="n">
        <v>49.28</v>
      </c>
      <c r="I8492" s="18" t="n">
        <f aca="false">((I8491 + G8492) - H8492)</f>
        <v>-38494.01</v>
      </c>
      <c r="J8492" s="18" t="n">
        <v>0</v>
      </c>
      <c r="K8492" s="19" t="n">
        <v>0</v>
      </c>
      <c r="L8492" s="17"/>
    </row>
    <row r="8493" s="11" customFormat="true" ht="10.95" hidden="false" customHeight="true" outlineLevel="0" collapsed="false">
      <c r="A8493" s="16" t="n">
        <v>45369</v>
      </c>
      <c r="B8493" s="17" t="s">
        <v>3613</v>
      </c>
      <c r="C8493" s="17" t="s">
        <v>3614</v>
      </c>
      <c r="D8493" s="17" t="s">
        <v>1391</v>
      </c>
      <c r="E8493" s="17" t="s">
        <v>3642</v>
      </c>
      <c r="F8493" s="17" t="s">
        <v>2514</v>
      </c>
      <c r="G8493" s="18" t="n">
        <v>0</v>
      </c>
      <c r="H8493" s="18" t="n">
        <v>9.9</v>
      </c>
      <c r="I8493" s="18" t="n">
        <f aca="false">((I8492 + G8493) - H8493)</f>
        <v>-38503.91</v>
      </c>
      <c r="J8493" s="18" t="n">
        <v>0</v>
      </c>
      <c r="K8493" s="19" t="n">
        <v>0</v>
      </c>
      <c r="L8493" s="17"/>
    </row>
    <row r="8494" s="11" customFormat="true" ht="10.95" hidden="false" customHeight="true" outlineLevel="0" collapsed="false">
      <c r="A8494" s="16" t="n">
        <v>45369</v>
      </c>
      <c r="B8494" s="17" t="s">
        <v>3613</v>
      </c>
      <c r="C8494" s="17" t="s">
        <v>3614</v>
      </c>
      <c r="D8494" s="17" t="s">
        <v>1391</v>
      </c>
      <c r="E8494" s="17" t="s">
        <v>3642</v>
      </c>
      <c r="F8494" s="17" t="s">
        <v>2516</v>
      </c>
      <c r="G8494" s="18" t="n">
        <v>0</v>
      </c>
      <c r="H8494" s="18" t="n">
        <v>24.2</v>
      </c>
      <c r="I8494" s="18" t="n">
        <f aca="false">((I8493 + G8494) - H8494)</f>
        <v>-38528.11</v>
      </c>
      <c r="J8494" s="18" t="n">
        <v>0</v>
      </c>
      <c r="K8494" s="19" t="n">
        <v>0</v>
      </c>
      <c r="L8494" s="17"/>
    </row>
    <row r="8495" s="11" customFormat="true" ht="10.95" hidden="false" customHeight="true" outlineLevel="0" collapsed="false">
      <c r="A8495" s="16" t="n">
        <v>45369</v>
      </c>
      <c r="B8495" s="17" t="s">
        <v>3613</v>
      </c>
      <c r="C8495" s="17" t="s">
        <v>3614</v>
      </c>
      <c r="D8495" s="17" t="s">
        <v>1391</v>
      </c>
      <c r="E8495" s="17" t="s">
        <v>3642</v>
      </c>
      <c r="F8495" s="17" t="s">
        <v>2518</v>
      </c>
      <c r="G8495" s="18" t="n">
        <v>0</v>
      </c>
      <c r="H8495" s="18" t="n">
        <v>60.5</v>
      </c>
      <c r="I8495" s="18" t="n">
        <f aca="false">((I8494 + G8495) - H8495)</f>
        <v>-38588.61</v>
      </c>
      <c r="J8495" s="18" t="n">
        <v>0</v>
      </c>
      <c r="K8495" s="19" t="n">
        <v>0</v>
      </c>
      <c r="L8495" s="17"/>
    </row>
    <row r="8496" s="11" customFormat="true" ht="10.95" hidden="false" customHeight="true" outlineLevel="0" collapsed="false">
      <c r="A8496" s="16" t="n">
        <v>45369</v>
      </c>
      <c r="B8496" s="17" t="s">
        <v>3613</v>
      </c>
      <c r="C8496" s="17" t="s">
        <v>3614</v>
      </c>
      <c r="D8496" s="17" t="s">
        <v>1391</v>
      </c>
      <c r="E8496" s="17" t="s">
        <v>3642</v>
      </c>
      <c r="F8496" s="17" t="s">
        <v>2520</v>
      </c>
      <c r="G8496" s="18" t="n">
        <v>0</v>
      </c>
      <c r="H8496" s="18" t="n">
        <v>36.19</v>
      </c>
      <c r="I8496" s="18" t="n">
        <f aca="false">((I8495 + G8496) - H8496)</f>
        <v>-38624.8</v>
      </c>
      <c r="J8496" s="18" t="n">
        <v>0</v>
      </c>
      <c r="K8496" s="19" t="n">
        <v>0</v>
      </c>
      <c r="L8496" s="17"/>
    </row>
    <row r="8497" s="11" customFormat="true" ht="10.95" hidden="false" customHeight="true" outlineLevel="0" collapsed="false">
      <c r="A8497" s="16" t="n">
        <v>45369</v>
      </c>
      <c r="B8497" s="17" t="s">
        <v>3613</v>
      </c>
      <c r="C8497" s="17" t="s">
        <v>3614</v>
      </c>
      <c r="D8497" s="17" t="s">
        <v>1391</v>
      </c>
      <c r="E8497" s="17" t="s">
        <v>3642</v>
      </c>
      <c r="F8497" s="17" t="s">
        <v>2522</v>
      </c>
      <c r="G8497" s="18" t="n">
        <v>0</v>
      </c>
      <c r="H8497" s="18" t="n">
        <v>83.6</v>
      </c>
      <c r="I8497" s="18" t="n">
        <f aca="false">((I8496 + G8497) - H8497)</f>
        <v>-38708.4</v>
      </c>
      <c r="J8497" s="18" t="n">
        <v>0</v>
      </c>
      <c r="K8497" s="19" t="n">
        <v>0</v>
      </c>
      <c r="L8497" s="17"/>
    </row>
    <row r="8498" s="11" customFormat="true" ht="10.95" hidden="false" customHeight="true" outlineLevel="0" collapsed="false">
      <c r="A8498" s="16" t="n">
        <v>45370</v>
      </c>
      <c r="B8498" s="17" t="s">
        <v>3613</v>
      </c>
      <c r="C8498" s="17" t="s">
        <v>3614</v>
      </c>
      <c r="D8498" s="17" t="s">
        <v>2903</v>
      </c>
      <c r="E8498" s="17" t="s">
        <v>3637</v>
      </c>
      <c r="F8498" s="17" t="s">
        <v>2689</v>
      </c>
      <c r="G8498" s="18" t="n">
        <v>745.91</v>
      </c>
      <c r="H8498" s="18" t="n">
        <v>0</v>
      </c>
      <c r="I8498" s="18" t="n">
        <f aca="false">((I8497 + G8498) - H8498)</f>
        <v>-37962.49</v>
      </c>
      <c r="J8498" s="18" t="n">
        <v>0</v>
      </c>
      <c r="K8498" s="19" t="n">
        <v>0</v>
      </c>
      <c r="L8498" s="17"/>
    </row>
    <row r="8499" s="11" customFormat="true" ht="10.95" hidden="false" customHeight="true" outlineLevel="0" collapsed="false">
      <c r="A8499" s="16" t="n">
        <v>45370</v>
      </c>
      <c r="B8499" s="17" t="s">
        <v>3613</v>
      </c>
      <c r="C8499" s="17" t="s">
        <v>3614</v>
      </c>
      <c r="D8499" s="17" t="s">
        <v>2903</v>
      </c>
      <c r="E8499" s="17" t="s">
        <v>3616</v>
      </c>
      <c r="F8499" s="17" t="s">
        <v>3305</v>
      </c>
      <c r="G8499" s="18" t="n">
        <v>4023.35</v>
      </c>
      <c r="H8499" s="18" t="n">
        <v>0</v>
      </c>
      <c r="I8499" s="18" t="n">
        <f aca="false">((I8498 + G8499) - H8499)</f>
        <v>-33939.14</v>
      </c>
      <c r="J8499" s="18" t="n">
        <v>0</v>
      </c>
      <c r="K8499" s="19" t="n">
        <v>0</v>
      </c>
      <c r="L8499" s="17"/>
    </row>
    <row r="8500" s="11" customFormat="true" ht="10.95" hidden="false" customHeight="true" outlineLevel="0" collapsed="false">
      <c r="A8500" s="16" t="n">
        <v>45370</v>
      </c>
      <c r="B8500" s="17" t="s">
        <v>3613</v>
      </c>
      <c r="C8500" s="17" t="s">
        <v>3614</v>
      </c>
      <c r="D8500" s="17" t="s">
        <v>1391</v>
      </c>
      <c r="E8500" s="17" t="s">
        <v>3715</v>
      </c>
      <c r="F8500" s="17" t="s">
        <v>2524</v>
      </c>
      <c r="G8500" s="18" t="n">
        <v>0</v>
      </c>
      <c r="H8500" s="18" t="n">
        <v>69.03</v>
      </c>
      <c r="I8500" s="18" t="n">
        <f aca="false">((I8499 + G8500) - H8500)</f>
        <v>-34008.17</v>
      </c>
      <c r="J8500" s="18" t="n">
        <v>0</v>
      </c>
      <c r="K8500" s="19" t="n">
        <v>0</v>
      </c>
      <c r="L8500" s="17"/>
    </row>
    <row r="8501" s="11" customFormat="true" ht="10.95" hidden="false" customHeight="true" outlineLevel="0" collapsed="false">
      <c r="A8501" s="16" t="n">
        <v>45371</v>
      </c>
      <c r="B8501" s="17" t="s">
        <v>3613</v>
      </c>
      <c r="C8501" s="17" t="s">
        <v>3614</v>
      </c>
      <c r="D8501" s="17" t="s">
        <v>2903</v>
      </c>
      <c r="E8501" s="17" t="s">
        <v>3645</v>
      </c>
      <c r="F8501" s="17" t="s">
        <v>1525</v>
      </c>
      <c r="G8501" s="18" t="n">
        <v>538.76</v>
      </c>
      <c r="H8501" s="18" t="n">
        <v>0</v>
      </c>
      <c r="I8501" s="18" t="n">
        <f aca="false">((I8500 + G8501) - H8501)</f>
        <v>-33469.41</v>
      </c>
      <c r="J8501" s="18" t="n">
        <v>0</v>
      </c>
      <c r="K8501" s="19" t="n">
        <v>0</v>
      </c>
      <c r="L8501" s="17"/>
    </row>
    <row r="8502" s="11" customFormat="true" ht="10.95" hidden="false" customHeight="true" outlineLevel="0" collapsed="false">
      <c r="A8502" s="16" t="n">
        <v>45371</v>
      </c>
      <c r="B8502" s="17" t="s">
        <v>3613</v>
      </c>
      <c r="C8502" s="17" t="s">
        <v>3614</v>
      </c>
      <c r="D8502" s="17" t="s">
        <v>1391</v>
      </c>
      <c r="E8502" s="17" t="s">
        <v>3668</v>
      </c>
      <c r="F8502" s="17" t="s">
        <v>2526</v>
      </c>
      <c r="G8502" s="18" t="n">
        <v>0</v>
      </c>
      <c r="H8502" s="18" t="n">
        <v>97</v>
      </c>
      <c r="I8502" s="18" t="n">
        <f aca="false">((I8501 + G8502) - H8502)</f>
        <v>-33566.41</v>
      </c>
      <c r="J8502" s="18" t="n">
        <v>0</v>
      </c>
      <c r="K8502" s="19" t="n">
        <v>0</v>
      </c>
      <c r="L8502" s="17"/>
    </row>
    <row r="8503" s="11" customFormat="true" ht="10.95" hidden="false" customHeight="true" outlineLevel="0" collapsed="false">
      <c r="A8503" s="16" t="n">
        <v>45373</v>
      </c>
      <c r="B8503" s="17" t="s">
        <v>3613</v>
      </c>
      <c r="C8503" s="17" t="s">
        <v>3614</v>
      </c>
      <c r="D8503" s="17" t="s">
        <v>1391</v>
      </c>
      <c r="E8503" s="17" t="s">
        <v>3638</v>
      </c>
      <c r="F8503" s="17" t="s">
        <v>3307</v>
      </c>
      <c r="G8503" s="18" t="n">
        <v>0</v>
      </c>
      <c r="H8503" s="18" t="n">
        <v>2819.75</v>
      </c>
      <c r="I8503" s="18" t="n">
        <f aca="false">((I8502 + G8503) - H8503)</f>
        <v>-36386.16</v>
      </c>
      <c r="J8503" s="18" t="n">
        <v>0</v>
      </c>
      <c r="K8503" s="19" t="n">
        <v>0</v>
      </c>
      <c r="L8503" s="17"/>
    </row>
    <row r="8504" s="11" customFormat="true" ht="10.95" hidden="false" customHeight="true" outlineLevel="0" collapsed="false">
      <c r="A8504" s="16" t="n">
        <v>45373</v>
      </c>
      <c r="B8504" s="17" t="s">
        <v>3613</v>
      </c>
      <c r="C8504" s="17" t="s">
        <v>3614</v>
      </c>
      <c r="D8504" s="17" t="s">
        <v>2903</v>
      </c>
      <c r="E8504" s="17" t="s">
        <v>3644</v>
      </c>
      <c r="F8504" s="17" t="s">
        <v>2514</v>
      </c>
      <c r="G8504" s="18" t="n">
        <v>9.9</v>
      </c>
      <c r="H8504" s="18" t="n">
        <v>0</v>
      </c>
      <c r="I8504" s="18" t="n">
        <f aca="false">((I8503 + G8504) - H8504)</f>
        <v>-36376.26</v>
      </c>
      <c r="J8504" s="18" t="n">
        <v>0</v>
      </c>
      <c r="K8504" s="19" t="n">
        <v>0</v>
      </c>
      <c r="L8504" s="17"/>
    </row>
    <row r="8505" s="11" customFormat="true" ht="10.95" hidden="false" customHeight="true" outlineLevel="0" collapsed="false">
      <c r="A8505" s="16" t="n">
        <v>45373</v>
      </c>
      <c r="B8505" s="17" t="s">
        <v>3613</v>
      </c>
      <c r="C8505" s="17" t="s">
        <v>3614</v>
      </c>
      <c r="D8505" s="17" t="s">
        <v>2903</v>
      </c>
      <c r="E8505" s="17" t="s">
        <v>3644</v>
      </c>
      <c r="F8505" s="17" t="s">
        <v>2516</v>
      </c>
      <c r="G8505" s="18" t="n">
        <v>24.2</v>
      </c>
      <c r="H8505" s="18" t="n">
        <v>0</v>
      </c>
      <c r="I8505" s="18" t="n">
        <f aca="false">((I8504 + G8505) - H8505)</f>
        <v>-36352.06</v>
      </c>
      <c r="J8505" s="18" t="n">
        <v>0</v>
      </c>
      <c r="K8505" s="19" t="n">
        <v>0</v>
      </c>
      <c r="L8505" s="17"/>
    </row>
    <row r="8506" s="11" customFormat="true" ht="10.95" hidden="false" customHeight="true" outlineLevel="0" collapsed="false">
      <c r="A8506" s="16" t="n">
        <v>45373</v>
      </c>
      <c r="B8506" s="17" t="s">
        <v>3613</v>
      </c>
      <c r="C8506" s="17" t="s">
        <v>3614</v>
      </c>
      <c r="D8506" s="17" t="s">
        <v>2903</v>
      </c>
      <c r="E8506" s="17" t="s">
        <v>3644</v>
      </c>
      <c r="F8506" s="17" t="s">
        <v>2520</v>
      </c>
      <c r="G8506" s="18" t="n">
        <v>36.19</v>
      </c>
      <c r="H8506" s="18" t="n">
        <v>0</v>
      </c>
      <c r="I8506" s="18" t="n">
        <f aca="false">((I8505 + G8506) - H8506)</f>
        <v>-36315.87</v>
      </c>
      <c r="J8506" s="18" t="n">
        <v>0</v>
      </c>
      <c r="K8506" s="19" t="n">
        <v>0</v>
      </c>
      <c r="L8506" s="17"/>
    </row>
    <row r="8507" s="11" customFormat="true" ht="10.95" hidden="false" customHeight="true" outlineLevel="0" collapsed="false">
      <c r="A8507" s="16" t="n">
        <v>45373</v>
      </c>
      <c r="B8507" s="17" t="s">
        <v>3613</v>
      </c>
      <c r="C8507" s="17" t="s">
        <v>3614</v>
      </c>
      <c r="D8507" s="17" t="s">
        <v>2903</v>
      </c>
      <c r="E8507" s="17" t="s">
        <v>3644</v>
      </c>
      <c r="F8507" s="17" t="s">
        <v>2512</v>
      </c>
      <c r="G8507" s="18" t="n">
        <v>49.28</v>
      </c>
      <c r="H8507" s="18" t="n">
        <v>0</v>
      </c>
      <c r="I8507" s="18" t="n">
        <f aca="false">((I8506 + G8507) - H8507)</f>
        <v>-36266.59</v>
      </c>
      <c r="J8507" s="18" t="n">
        <v>0</v>
      </c>
      <c r="K8507" s="19" t="n">
        <v>0</v>
      </c>
      <c r="L8507" s="17"/>
    </row>
    <row r="8508" s="11" customFormat="true" ht="10.95" hidden="false" customHeight="true" outlineLevel="0" collapsed="false">
      <c r="A8508" s="16" t="n">
        <v>45373</v>
      </c>
      <c r="B8508" s="17" t="s">
        <v>3613</v>
      </c>
      <c r="C8508" s="17" t="s">
        <v>3614</v>
      </c>
      <c r="D8508" s="17" t="s">
        <v>2903</v>
      </c>
      <c r="E8508" s="17" t="s">
        <v>3644</v>
      </c>
      <c r="F8508" s="17" t="s">
        <v>2518</v>
      </c>
      <c r="G8508" s="18" t="n">
        <v>60.5</v>
      </c>
      <c r="H8508" s="18" t="n">
        <v>0</v>
      </c>
      <c r="I8508" s="18" t="n">
        <f aca="false">((I8507 + G8508) - H8508)</f>
        <v>-36206.09</v>
      </c>
      <c r="J8508" s="18" t="n">
        <v>0</v>
      </c>
      <c r="K8508" s="19" t="n">
        <v>0</v>
      </c>
      <c r="L8508" s="17"/>
    </row>
    <row r="8509" s="11" customFormat="true" ht="10.95" hidden="false" customHeight="true" outlineLevel="0" collapsed="false">
      <c r="A8509" s="16" t="n">
        <v>45373</v>
      </c>
      <c r="B8509" s="17" t="s">
        <v>3613</v>
      </c>
      <c r="C8509" s="17" t="s">
        <v>3614</v>
      </c>
      <c r="D8509" s="17" t="s">
        <v>2903</v>
      </c>
      <c r="E8509" s="17" t="s">
        <v>3644</v>
      </c>
      <c r="F8509" s="17" t="s">
        <v>2510</v>
      </c>
      <c r="G8509" s="18" t="n">
        <v>68.2</v>
      </c>
      <c r="H8509" s="18" t="n">
        <v>0</v>
      </c>
      <c r="I8509" s="18" t="n">
        <f aca="false">((I8508 + G8509) - H8509)</f>
        <v>-36137.89</v>
      </c>
      <c r="J8509" s="18" t="n">
        <v>0</v>
      </c>
      <c r="K8509" s="19" t="n">
        <v>0</v>
      </c>
      <c r="L8509" s="17"/>
    </row>
    <row r="8510" s="11" customFormat="true" ht="10.95" hidden="false" customHeight="true" outlineLevel="0" collapsed="false">
      <c r="A8510" s="16" t="n">
        <v>45373</v>
      </c>
      <c r="B8510" s="17" t="s">
        <v>3613</v>
      </c>
      <c r="C8510" s="17" t="s">
        <v>3614</v>
      </c>
      <c r="D8510" s="17" t="s">
        <v>2903</v>
      </c>
      <c r="E8510" s="17" t="s">
        <v>3098</v>
      </c>
      <c r="F8510" s="17" t="s">
        <v>2524</v>
      </c>
      <c r="G8510" s="18" t="n">
        <v>69.03</v>
      </c>
      <c r="H8510" s="18" t="n">
        <v>0</v>
      </c>
      <c r="I8510" s="18" t="n">
        <f aca="false">((I8509 + G8510) - H8510)</f>
        <v>-36068.86</v>
      </c>
      <c r="J8510" s="18" t="n">
        <v>0</v>
      </c>
      <c r="K8510" s="19" t="n">
        <v>0</v>
      </c>
      <c r="L8510" s="17"/>
    </row>
    <row r="8511" s="11" customFormat="true" ht="10.95" hidden="false" customHeight="true" outlineLevel="0" collapsed="false">
      <c r="A8511" s="16" t="n">
        <v>45373</v>
      </c>
      <c r="B8511" s="17" t="s">
        <v>3613</v>
      </c>
      <c r="C8511" s="17" t="s">
        <v>3614</v>
      </c>
      <c r="D8511" s="17" t="s">
        <v>2903</v>
      </c>
      <c r="E8511" s="17" t="s">
        <v>3644</v>
      </c>
      <c r="F8511" s="17" t="s">
        <v>2522</v>
      </c>
      <c r="G8511" s="18" t="n">
        <v>83.6</v>
      </c>
      <c r="H8511" s="18" t="n">
        <v>0</v>
      </c>
      <c r="I8511" s="18" t="n">
        <f aca="false">((I8510 + G8511) - H8511)</f>
        <v>-35985.26</v>
      </c>
      <c r="J8511" s="18" t="n">
        <v>0</v>
      </c>
      <c r="K8511" s="19" t="n">
        <v>0</v>
      </c>
      <c r="L8511" s="17"/>
    </row>
    <row r="8512" s="11" customFormat="true" ht="10.95" hidden="false" customHeight="true" outlineLevel="0" collapsed="false">
      <c r="A8512" s="16" t="n">
        <v>45373</v>
      </c>
      <c r="B8512" s="17" t="s">
        <v>3613</v>
      </c>
      <c r="C8512" s="17" t="s">
        <v>3614</v>
      </c>
      <c r="D8512" s="17" t="s">
        <v>2903</v>
      </c>
      <c r="E8512" s="17" t="s">
        <v>3644</v>
      </c>
      <c r="F8512" s="17" t="s">
        <v>2508</v>
      </c>
      <c r="G8512" s="18" t="n">
        <v>219.78</v>
      </c>
      <c r="H8512" s="18" t="n">
        <v>0</v>
      </c>
      <c r="I8512" s="18" t="n">
        <f aca="false">((I8511 + G8512) - H8512)</f>
        <v>-35765.48</v>
      </c>
      <c r="J8512" s="18" t="n">
        <v>0</v>
      </c>
      <c r="K8512" s="19" t="n">
        <v>0</v>
      </c>
      <c r="L8512" s="17"/>
    </row>
    <row r="8513" s="11" customFormat="true" ht="10.95" hidden="false" customHeight="true" outlineLevel="0" collapsed="false">
      <c r="A8513" s="16" t="n">
        <v>45374</v>
      </c>
      <c r="B8513" s="17" t="s">
        <v>3613</v>
      </c>
      <c r="C8513" s="17" t="s">
        <v>3614</v>
      </c>
      <c r="D8513" s="17" t="s">
        <v>1391</v>
      </c>
      <c r="E8513" s="17" t="s">
        <v>3716</v>
      </c>
      <c r="F8513" s="17" t="s">
        <v>1762</v>
      </c>
      <c r="G8513" s="18" t="n">
        <v>0</v>
      </c>
      <c r="H8513" s="18" t="n">
        <v>310</v>
      </c>
      <c r="I8513" s="18" t="n">
        <f aca="false">((I8512 + G8513) - H8513)</f>
        <v>-36075.48</v>
      </c>
      <c r="J8513" s="18" t="n">
        <v>0</v>
      </c>
      <c r="K8513" s="19" t="n">
        <v>0</v>
      </c>
      <c r="L8513" s="17"/>
    </row>
    <row r="8514" s="11" customFormat="true" ht="10.95" hidden="false" customHeight="true" outlineLevel="0" collapsed="false">
      <c r="A8514" s="16" t="n">
        <v>45374</v>
      </c>
      <c r="B8514" s="17" t="s">
        <v>3613</v>
      </c>
      <c r="C8514" s="17" t="s">
        <v>3614</v>
      </c>
      <c r="D8514" s="17" t="s">
        <v>1391</v>
      </c>
      <c r="E8514" s="17" t="s">
        <v>3717</v>
      </c>
      <c r="F8514" s="17" t="s">
        <v>3601</v>
      </c>
      <c r="G8514" s="18" t="n">
        <v>0</v>
      </c>
      <c r="H8514" s="18" t="n">
        <v>1464.15</v>
      </c>
      <c r="I8514" s="18" t="n">
        <f aca="false">((I8513 + G8514) - H8514)</f>
        <v>-37539.63</v>
      </c>
      <c r="J8514" s="18" t="n">
        <v>0</v>
      </c>
      <c r="K8514" s="19" t="n">
        <v>0</v>
      </c>
      <c r="L8514" s="17"/>
    </row>
    <row r="8515" s="11" customFormat="true" ht="10.95" hidden="false" customHeight="true" outlineLevel="0" collapsed="false">
      <c r="A8515" s="16" t="n">
        <v>45374</v>
      </c>
      <c r="B8515" s="17" t="s">
        <v>3613</v>
      </c>
      <c r="C8515" s="17" t="s">
        <v>3614</v>
      </c>
      <c r="D8515" s="17" t="s">
        <v>2903</v>
      </c>
      <c r="E8515" s="17" t="s">
        <v>3671</v>
      </c>
      <c r="F8515" s="17" t="s">
        <v>2526</v>
      </c>
      <c r="G8515" s="18" t="n">
        <v>97</v>
      </c>
      <c r="H8515" s="18" t="n">
        <v>0</v>
      </c>
      <c r="I8515" s="18" t="n">
        <f aca="false">((I8514 + G8515) - H8515)</f>
        <v>-37442.63</v>
      </c>
      <c r="J8515" s="18" t="n">
        <v>0</v>
      </c>
      <c r="K8515" s="19" t="n">
        <v>0</v>
      </c>
      <c r="L8515" s="17"/>
    </row>
    <row r="8516" s="11" customFormat="true" ht="10.95" hidden="false" customHeight="true" outlineLevel="0" collapsed="false">
      <c r="A8516" s="16" t="n">
        <v>45375</v>
      </c>
      <c r="B8516" s="17" t="s">
        <v>3613</v>
      </c>
      <c r="C8516" s="17" t="s">
        <v>3614</v>
      </c>
      <c r="D8516" s="17" t="s">
        <v>2903</v>
      </c>
      <c r="E8516" s="17" t="s">
        <v>3718</v>
      </c>
      <c r="F8516" s="17" t="s">
        <v>1762</v>
      </c>
      <c r="G8516" s="18" t="n">
        <v>310</v>
      </c>
      <c r="H8516" s="18" t="n">
        <v>0</v>
      </c>
      <c r="I8516" s="18" t="n">
        <f aca="false">((I8515 + G8516) - H8516)</f>
        <v>-37132.63</v>
      </c>
      <c r="J8516" s="18" t="n">
        <v>0</v>
      </c>
      <c r="K8516" s="19" t="n">
        <v>0</v>
      </c>
      <c r="L8516" s="17"/>
    </row>
    <row r="8517" s="11" customFormat="true" ht="10.95" hidden="false" customHeight="true" outlineLevel="0" collapsed="false">
      <c r="A8517" s="16" t="n">
        <v>45376</v>
      </c>
      <c r="B8517" s="17" t="s">
        <v>3613</v>
      </c>
      <c r="C8517" s="17" t="s">
        <v>3614</v>
      </c>
      <c r="D8517" s="17" t="s">
        <v>2903</v>
      </c>
      <c r="E8517" s="17" t="s">
        <v>3035</v>
      </c>
      <c r="F8517" s="17" t="s">
        <v>3099</v>
      </c>
      <c r="G8517" s="18" t="n">
        <v>1942.71</v>
      </c>
      <c r="H8517" s="18" t="n">
        <v>0</v>
      </c>
      <c r="I8517" s="18" t="n">
        <f aca="false">((I8516 + G8517) - H8517)</f>
        <v>-35189.92</v>
      </c>
      <c r="J8517" s="18" t="n">
        <v>0</v>
      </c>
      <c r="K8517" s="19" t="n">
        <v>0</v>
      </c>
      <c r="L8517" s="17"/>
    </row>
    <row r="8518" s="11" customFormat="true" ht="10.95" hidden="false" customHeight="true" outlineLevel="0" collapsed="false">
      <c r="A8518" s="16" t="n">
        <v>45376</v>
      </c>
      <c r="B8518" s="17" t="s">
        <v>3613</v>
      </c>
      <c r="C8518" s="17" t="s">
        <v>3614</v>
      </c>
      <c r="D8518" s="17" t="s">
        <v>1391</v>
      </c>
      <c r="E8518" s="17" t="s">
        <v>3717</v>
      </c>
      <c r="F8518" s="17" t="s">
        <v>3603</v>
      </c>
      <c r="G8518" s="18" t="n">
        <v>0</v>
      </c>
      <c r="H8518" s="18" t="n">
        <v>107.99</v>
      </c>
      <c r="I8518" s="18" t="n">
        <f aca="false">((I8517 + G8518) - H8518)</f>
        <v>-35297.91</v>
      </c>
      <c r="J8518" s="18" t="n">
        <v>0</v>
      </c>
      <c r="K8518" s="19" t="n">
        <v>0</v>
      </c>
      <c r="L8518" s="17"/>
    </row>
    <row r="8519" s="11" customFormat="true" ht="10.95" hidden="false" customHeight="true" outlineLevel="0" collapsed="false">
      <c r="A8519" s="16" t="n">
        <v>45377</v>
      </c>
      <c r="B8519" s="17" t="s">
        <v>3613</v>
      </c>
      <c r="C8519" s="17" t="s">
        <v>3614</v>
      </c>
      <c r="D8519" s="17" t="s">
        <v>2903</v>
      </c>
      <c r="E8519" s="17" t="s">
        <v>3637</v>
      </c>
      <c r="F8519" s="17" t="s">
        <v>2702</v>
      </c>
      <c r="G8519" s="18" t="n">
        <v>104.95</v>
      </c>
      <c r="H8519" s="18" t="n">
        <v>0</v>
      </c>
      <c r="I8519" s="18" t="n">
        <f aca="false">((I8518 + G8519) - H8519)</f>
        <v>-35192.96</v>
      </c>
      <c r="J8519" s="18" t="n">
        <v>0</v>
      </c>
      <c r="K8519" s="19" t="n">
        <v>0</v>
      </c>
      <c r="L8519" s="17"/>
    </row>
    <row r="8520" s="11" customFormat="true" ht="10.95" hidden="false" customHeight="true" outlineLevel="0" collapsed="false">
      <c r="A8520" s="16" t="n">
        <v>45377</v>
      </c>
      <c r="B8520" s="17" t="s">
        <v>3613</v>
      </c>
      <c r="C8520" s="17" t="s">
        <v>3614</v>
      </c>
      <c r="D8520" s="17" t="s">
        <v>2903</v>
      </c>
      <c r="E8520" s="17" t="s">
        <v>3719</v>
      </c>
      <c r="F8520" s="17" t="s">
        <v>3601</v>
      </c>
      <c r="G8520" s="18" t="n">
        <v>1464.15</v>
      </c>
      <c r="H8520" s="18" t="n">
        <v>0</v>
      </c>
      <c r="I8520" s="18" t="n">
        <f aca="false">((I8519 + G8520) - H8520)</f>
        <v>-33728.81</v>
      </c>
      <c r="J8520" s="18" t="n">
        <v>0</v>
      </c>
      <c r="K8520" s="19" t="n">
        <v>0</v>
      </c>
      <c r="L8520" s="17"/>
    </row>
    <row r="8521" s="11" customFormat="true" ht="10.95" hidden="false" customHeight="true" outlineLevel="0" collapsed="false">
      <c r="A8521" s="16" t="n">
        <v>45378</v>
      </c>
      <c r="B8521" s="17" t="s">
        <v>3613</v>
      </c>
      <c r="C8521" s="17" t="s">
        <v>3614</v>
      </c>
      <c r="D8521" s="17" t="s">
        <v>1391</v>
      </c>
      <c r="E8521" s="17" t="s">
        <v>3720</v>
      </c>
      <c r="F8521" s="17" t="s">
        <v>2706</v>
      </c>
      <c r="G8521" s="18" t="n">
        <v>0</v>
      </c>
      <c r="H8521" s="18" t="n">
        <v>2206.85</v>
      </c>
      <c r="I8521" s="18" t="n">
        <f aca="false">((I8520 + G8521) - H8521)</f>
        <v>-35935.66</v>
      </c>
      <c r="J8521" s="18" t="n">
        <v>0</v>
      </c>
      <c r="K8521" s="19" t="n">
        <v>0</v>
      </c>
      <c r="L8521" s="17"/>
    </row>
    <row r="8522" s="11" customFormat="true" ht="10.95" hidden="false" customHeight="true" outlineLevel="0" collapsed="false">
      <c r="A8522" s="16" t="n">
        <v>45378</v>
      </c>
      <c r="B8522" s="17" t="s">
        <v>3613</v>
      </c>
      <c r="C8522" s="17" t="s">
        <v>3614</v>
      </c>
      <c r="D8522" s="17" t="s">
        <v>2903</v>
      </c>
      <c r="E8522" s="17" t="s">
        <v>3719</v>
      </c>
      <c r="F8522" s="17" t="s">
        <v>3603</v>
      </c>
      <c r="G8522" s="18" t="n">
        <v>107.99</v>
      </c>
      <c r="H8522" s="18" t="n">
        <v>0</v>
      </c>
      <c r="I8522" s="18" t="n">
        <f aca="false">((I8521 + G8522) - H8522)</f>
        <v>-35827.67</v>
      </c>
      <c r="J8522" s="18" t="n">
        <v>0</v>
      </c>
      <c r="K8522" s="19" t="n">
        <v>0</v>
      </c>
      <c r="L8522" s="17"/>
    </row>
    <row r="8523" s="11" customFormat="true" ht="10.95" hidden="false" customHeight="true" outlineLevel="0" collapsed="false">
      <c r="A8523" s="16" t="n">
        <v>45378</v>
      </c>
      <c r="B8523" s="17" t="s">
        <v>3613</v>
      </c>
      <c r="C8523" s="17" t="s">
        <v>3614</v>
      </c>
      <c r="D8523" s="17" t="s">
        <v>2903</v>
      </c>
      <c r="E8523" s="17" t="s">
        <v>3721</v>
      </c>
      <c r="F8523" s="17" t="s">
        <v>2706</v>
      </c>
      <c r="G8523" s="18" t="n">
        <v>2206.85</v>
      </c>
      <c r="H8523" s="18" t="n">
        <v>0</v>
      </c>
      <c r="I8523" s="18" t="n">
        <f aca="false">((I8522 + G8523) - H8523)</f>
        <v>-33620.82</v>
      </c>
      <c r="J8523" s="18" t="n">
        <v>0</v>
      </c>
      <c r="K8523" s="19" t="n">
        <v>0</v>
      </c>
      <c r="L8523" s="17"/>
    </row>
    <row r="8524" s="11" customFormat="true" ht="10.95" hidden="false" customHeight="true" outlineLevel="0" collapsed="false">
      <c r="A8524" s="16" t="n">
        <v>45379</v>
      </c>
      <c r="B8524" s="17" t="s">
        <v>3613</v>
      </c>
      <c r="C8524" s="17" t="s">
        <v>3614</v>
      </c>
      <c r="D8524" s="17" t="s">
        <v>2903</v>
      </c>
      <c r="E8524" s="17" t="s">
        <v>3645</v>
      </c>
      <c r="F8524" s="17" t="s">
        <v>1531</v>
      </c>
      <c r="G8524" s="18" t="n">
        <v>21257.54</v>
      </c>
      <c r="H8524" s="18" t="n">
        <v>0</v>
      </c>
      <c r="I8524" s="18" t="n">
        <f aca="false">((I8523 + G8524) - H8524)</f>
        <v>-12363.28</v>
      </c>
      <c r="J8524" s="18" t="n">
        <v>0</v>
      </c>
      <c r="K8524" s="19" t="n">
        <v>0</v>
      </c>
      <c r="L8524" s="17"/>
    </row>
    <row r="8525" s="11" customFormat="true" ht="10.95" hidden="false" customHeight="true" outlineLevel="0" collapsed="false">
      <c r="A8525" s="16" t="n">
        <v>45379</v>
      </c>
      <c r="B8525" s="17" t="s">
        <v>3613</v>
      </c>
      <c r="C8525" s="17" t="s">
        <v>3614</v>
      </c>
      <c r="D8525" s="17" t="s">
        <v>2903</v>
      </c>
      <c r="E8525" s="17" t="s">
        <v>3645</v>
      </c>
      <c r="F8525" s="17" t="s">
        <v>1533</v>
      </c>
      <c r="G8525" s="18" t="n">
        <v>2207.21</v>
      </c>
      <c r="H8525" s="18" t="n">
        <v>0</v>
      </c>
      <c r="I8525" s="18" t="n">
        <f aca="false">((I8524 + G8525) - H8525)</f>
        <v>-10156.07</v>
      </c>
      <c r="J8525" s="18" t="n">
        <v>0</v>
      </c>
      <c r="K8525" s="19" t="n">
        <v>0</v>
      </c>
      <c r="L8525" s="17"/>
    </row>
    <row r="8526" s="11" customFormat="true" ht="10.95" hidden="false" customHeight="true" outlineLevel="0" collapsed="false">
      <c r="A8526" s="16" t="n">
        <v>45381</v>
      </c>
      <c r="B8526" s="17" t="s">
        <v>3613</v>
      </c>
      <c r="C8526" s="17" t="s">
        <v>3614</v>
      </c>
      <c r="D8526" s="17" t="s">
        <v>1391</v>
      </c>
      <c r="E8526" s="17" t="s">
        <v>3647</v>
      </c>
      <c r="F8526" s="17" t="s">
        <v>1538</v>
      </c>
      <c r="G8526" s="18" t="n">
        <v>0</v>
      </c>
      <c r="H8526" s="18" t="n">
        <v>6186.55</v>
      </c>
      <c r="I8526" s="18" t="n">
        <f aca="false">((I8525 + G8526) - H8526)</f>
        <v>-16342.62</v>
      </c>
      <c r="J8526" s="18" t="n">
        <v>0</v>
      </c>
      <c r="K8526" s="19" t="n">
        <v>0</v>
      </c>
      <c r="L8526" s="17"/>
    </row>
    <row r="8527" s="11" customFormat="true" ht="10.95" hidden="false" customHeight="true" outlineLevel="0" collapsed="false">
      <c r="A8527" s="16" t="n">
        <v>45382</v>
      </c>
      <c r="B8527" s="17" t="s">
        <v>3613</v>
      </c>
      <c r="C8527" s="17" t="s">
        <v>3614</v>
      </c>
      <c r="D8527" s="17" t="s">
        <v>1391</v>
      </c>
      <c r="E8527" s="17" t="s">
        <v>3627</v>
      </c>
      <c r="F8527" s="17" t="s">
        <v>1540</v>
      </c>
      <c r="G8527" s="18" t="n">
        <v>0</v>
      </c>
      <c r="H8527" s="18" t="n">
        <v>3797.06</v>
      </c>
      <c r="I8527" s="18" t="n">
        <f aca="false">((I8526 + G8527) - H8527)</f>
        <v>-20139.68</v>
      </c>
      <c r="J8527" s="18" t="n">
        <v>0</v>
      </c>
      <c r="K8527" s="19" t="n">
        <v>0</v>
      </c>
      <c r="L8527" s="17"/>
    </row>
    <row r="8528" s="11" customFormat="true" ht="10.95" hidden="false" customHeight="true" outlineLevel="0" collapsed="false">
      <c r="A8528" s="16" t="n">
        <v>45383</v>
      </c>
      <c r="B8528" s="17" t="s">
        <v>3613</v>
      </c>
      <c r="C8528" s="17" t="s">
        <v>3614</v>
      </c>
      <c r="D8528" s="17" t="s">
        <v>1391</v>
      </c>
      <c r="E8528" s="17" t="s">
        <v>3615</v>
      </c>
      <c r="F8528" s="17" t="s">
        <v>1542</v>
      </c>
      <c r="G8528" s="18" t="n">
        <v>0</v>
      </c>
      <c r="H8528" s="18" t="n">
        <v>538.76</v>
      </c>
      <c r="I8528" s="18" t="n">
        <f aca="false">((I8527 + G8528) - H8528)</f>
        <v>-20678.44</v>
      </c>
      <c r="J8528" s="18" t="n">
        <v>0</v>
      </c>
      <c r="K8528" s="19" t="n">
        <v>0</v>
      </c>
      <c r="L8528" s="17"/>
    </row>
    <row r="8529" s="11" customFormat="true" ht="10.95" hidden="false" customHeight="true" outlineLevel="0" collapsed="false">
      <c r="A8529" s="16" t="n">
        <v>45383</v>
      </c>
      <c r="B8529" s="17" t="s">
        <v>3613</v>
      </c>
      <c r="C8529" s="17" t="s">
        <v>3614</v>
      </c>
      <c r="D8529" s="17" t="s">
        <v>1391</v>
      </c>
      <c r="E8529" s="17" t="s">
        <v>3702</v>
      </c>
      <c r="F8529" s="17" t="s">
        <v>1544</v>
      </c>
      <c r="G8529" s="18" t="n">
        <v>0</v>
      </c>
      <c r="H8529" s="18" t="n">
        <v>912</v>
      </c>
      <c r="I8529" s="18" t="n">
        <f aca="false">((I8528 + G8529) - H8529)</f>
        <v>-21590.44</v>
      </c>
      <c r="J8529" s="18" t="n">
        <v>0</v>
      </c>
      <c r="K8529" s="19" t="n">
        <v>0</v>
      </c>
      <c r="L8529" s="17"/>
    </row>
    <row r="8530" s="11" customFormat="true" ht="10.95" hidden="false" customHeight="true" outlineLevel="0" collapsed="false">
      <c r="A8530" s="16" t="n">
        <v>45383</v>
      </c>
      <c r="B8530" s="17" t="s">
        <v>3613</v>
      </c>
      <c r="C8530" s="17" t="s">
        <v>3614</v>
      </c>
      <c r="D8530" s="17" t="s">
        <v>1391</v>
      </c>
      <c r="E8530" s="17" t="s">
        <v>3650</v>
      </c>
      <c r="F8530" s="17" t="s">
        <v>2529</v>
      </c>
      <c r="G8530" s="18" t="n">
        <v>0</v>
      </c>
      <c r="H8530" s="18" t="n">
        <v>248</v>
      </c>
      <c r="I8530" s="18" t="n">
        <f aca="false">((I8529 + G8530) - H8530)</f>
        <v>-21838.44</v>
      </c>
      <c r="J8530" s="18" t="n">
        <v>0</v>
      </c>
      <c r="K8530" s="19" t="n">
        <v>0</v>
      </c>
      <c r="L8530" s="17"/>
    </row>
    <row r="8531" s="11" customFormat="true" ht="10.95" hidden="false" customHeight="true" outlineLevel="0" collapsed="false">
      <c r="A8531" s="16" t="n">
        <v>45383</v>
      </c>
      <c r="B8531" s="17" t="s">
        <v>3613</v>
      </c>
      <c r="C8531" s="17" t="s">
        <v>3614</v>
      </c>
      <c r="D8531" s="17" t="s">
        <v>1391</v>
      </c>
      <c r="E8531" s="17" t="s">
        <v>3650</v>
      </c>
      <c r="F8531" s="17" t="s">
        <v>2531</v>
      </c>
      <c r="G8531" s="18" t="n">
        <v>0</v>
      </c>
      <c r="H8531" s="18" t="n">
        <v>179</v>
      </c>
      <c r="I8531" s="18" t="n">
        <f aca="false">((I8530 + G8531) - H8531)</f>
        <v>-22017.44</v>
      </c>
      <c r="J8531" s="18" t="n">
        <v>0</v>
      </c>
      <c r="K8531" s="19" t="n">
        <v>0</v>
      </c>
      <c r="L8531" s="17"/>
    </row>
    <row r="8532" s="11" customFormat="true" ht="10.95" hidden="false" customHeight="true" outlineLevel="0" collapsed="false">
      <c r="A8532" s="16" t="n">
        <v>45383</v>
      </c>
      <c r="B8532" s="17" t="s">
        <v>3613</v>
      </c>
      <c r="C8532" s="17" t="s">
        <v>3614</v>
      </c>
      <c r="D8532" s="17" t="s">
        <v>2903</v>
      </c>
      <c r="E8532" s="17" t="s">
        <v>3616</v>
      </c>
      <c r="F8532" s="17" t="s">
        <v>3307</v>
      </c>
      <c r="G8532" s="18" t="n">
        <v>2819.75</v>
      </c>
      <c r="H8532" s="18" t="n">
        <v>0</v>
      </c>
      <c r="I8532" s="18" t="n">
        <f aca="false">((I8531 + G8532) - H8532)</f>
        <v>-19197.69</v>
      </c>
      <c r="J8532" s="18" t="n">
        <v>0</v>
      </c>
      <c r="K8532" s="19" t="n">
        <v>0</v>
      </c>
      <c r="L8532" s="17"/>
    </row>
    <row r="8533" s="11" customFormat="true" ht="10.95" hidden="false" customHeight="true" outlineLevel="0" collapsed="false">
      <c r="A8533" s="16" t="n">
        <v>45383</v>
      </c>
      <c r="B8533" s="17" t="s">
        <v>3613</v>
      </c>
      <c r="C8533" s="17" t="s">
        <v>3614</v>
      </c>
      <c r="D8533" s="17" t="s">
        <v>1391</v>
      </c>
      <c r="E8533" s="17" t="s">
        <v>3705</v>
      </c>
      <c r="F8533" s="17" t="s">
        <v>3140</v>
      </c>
      <c r="G8533" s="18" t="n">
        <v>0</v>
      </c>
      <c r="H8533" s="18" t="n">
        <v>3048.44</v>
      </c>
      <c r="I8533" s="18" t="n">
        <f aca="false">((I8532 + G8533) - H8533)</f>
        <v>-22246.13</v>
      </c>
      <c r="J8533" s="18" t="n">
        <v>0</v>
      </c>
      <c r="K8533" s="19" t="n">
        <v>0</v>
      </c>
      <c r="L8533" s="17"/>
    </row>
    <row r="8534" s="11" customFormat="true" ht="10.95" hidden="false" customHeight="true" outlineLevel="0" collapsed="false">
      <c r="A8534" s="16" t="n">
        <v>45383</v>
      </c>
      <c r="B8534" s="17" t="s">
        <v>3613</v>
      </c>
      <c r="C8534" s="17" t="s">
        <v>3614</v>
      </c>
      <c r="D8534" s="17" t="s">
        <v>1391</v>
      </c>
      <c r="E8534" s="17" t="s">
        <v>3621</v>
      </c>
      <c r="F8534" s="17" t="s">
        <v>2708</v>
      </c>
      <c r="G8534" s="18" t="n">
        <v>0</v>
      </c>
      <c r="H8534" s="18" t="n">
        <v>731.5</v>
      </c>
      <c r="I8534" s="18" t="n">
        <f aca="false">((I8533 + G8534) - H8534)</f>
        <v>-22977.63</v>
      </c>
      <c r="J8534" s="18" t="n">
        <v>0</v>
      </c>
      <c r="K8534" s="19" t="n">
        <v>0</v>
      </c>
      <c r="L8534" s="17"/>
    </row>
    <row r="8535" s="11" customFormat="true" ht="10.95" hidden="false" customHeight="true" outlineLevel="0" collapsed="false">
      <c r="A8535" s="16" t="n">
        <v>45383</v>
      </c>
      <c r="B8535" s="17" t="s">
        <v>3613</v>
      </c>
      <c r="C8535" s="17" t="s">
        <v>3614</v>
      </c>
      <c r="D8535" s="17" t="s">
        <v>1391</v>
      </c>
      <c r="E8535" s="17" t="s">
        <v>3683</v>
      </c>
      <c r="F8535" s="17" t="s">
        <v>2533</v>
      </c>
      <c r="G8535" s="18" t="n">
        <v>0</v>
      </c>
      <c r="H8535" s="18" t="n">
        <v>253.19</v>
      </c>
      <c r="I8535" s="18" t="n">
        <f aca="false">((I8534 + G8535) - H8535)</f>
        <v>-23230.82</v>
      </c>
      <c r="J8535" s="18" t="n">
        <v>0</v>
      </c>
      <c r="K8535" s="19" t="n">
        <v>0</v>
      </c>
      <c r="L8535" s="17"/>
    </row>
    <row r="8536" s="11" customFormat="true" ht="10.95" hidden="false" customHeight="true" outlineLevel="0" collapsed="false">
      <c r="A8536" s="16" t="n">
        <v>45384</v>
      </c>
      <c r="B8536" s="17" t="s">
        <v>3613</v>
      </c>
      <c r="C8536" s="17" t="s">
        <v>3614</v>
      </c>
      <c r="D8536" s="17" t="s">
        <v>1391</v>
      </c>
      <c r="E8536" s="17" t="s">
        <v>3615</v>
      </c>
      <c r="F8536" s="17" t="s">
        <v>1546</v>
      </c>
      <c r="G8536" s="18" t="n">
        <v>0</v>
      </c>
      <c r="H8536" s="18" t="n">
        <v>25881.81</v>
      </c>
      <c r="I8536" s="18" t="n">
        <f aca="false">((I8535 + G8536) - H8536)</f>
        <v>-49112.63</v>
      </c>
      <c r="J8536" s="18" t="n">
        <v>0</v>
      </c>
      <c r="K8536" s="19" t="n">
        <v>0</v>
      </c>
      <c r="L8536" s="17"/>
    </row>
    <row r="8537" s="11" customFormat="true" ht="10.95" hidden="false" customHeight="true" outlineLevel="0" collapsed="false">
      <c r="A8537" s="16" t="n">
        <v>45384</v>
      </c>
      <c r="B8537" s="17" t="s">
        <v>3613</v>
      </c>
      <c r="C8537" s="17" t="s">
        <v>3614</v>
      </c>
      <c r="D8537" s="17" t="s">
        <v>1391</v>
      </c>
      <c r="E8537" s="17" t="s">
        <v>3722</v>
      </c>
      <c r="F8537" s="17" t="s">
        <v>2535</v>
      </c>
      <c r="G8537" s="18" t="n">
        <v>0</v>
      </c>
      <c r="H8537" s="18" t="n">
        <v>499.46</v>
      </c>
      <c r="I8537" s="18" t="n">
        <f aca="false">((I8536 + G8537) - H8537)</f>
        <v>-49612.09</v>
      </c>
      <c r="J8537" s="18" t="n">
        <v>0</v>
      </c>
      <c r="K8537" s="19" t="n">
        <v>0</v>
      </c>
      <c r="L8537" s="17"/>
    </row>
    <row r="8538" s="11" customFormat="true" ht="10.95" hidden="false" customHeight="true" outlineLevel="0" collapsed="false">
      <c r="A8538" s="16" t="n">
        <v>45385</v>
      </c>
      <c r="B8538" s="17" t="s">
        <v>3613</v>
      </c>
      <c r="C8538" s="17" t="s">
        <v>3614</v>
      </c>
      <c r="D8538" s="17" t="s">
        <v>2903</v>
      </c>
      <c r="E8538" s="17" t="s">
        <v>3648</v>
      </c>
      <c r="F8538" s="17" t="s">
        <v>2704</v>
      </c>
      <c r="G8538" s="18" t="n">
        <v>168.48</v>
      </c>
      <c r="H8538" s="18" t="n">
        <v>0</v>
      </c>
      <c r="I8538" s="18" t="n">
        <f aca="false">((I8537 + G8538) - H8538)</f>
        <v>-49443.61</v>
      </c>
      <c r="J8538" s="18" t="n">
        <v>0</v>
      </c>
      <c r="K8538" s="19" t="n">
        <v>0</v>
      </c>
      <c r="L8538" s="17"/>
    </row>
    <row r="8539" s="11" customFormat="true" ht="10.95" hidden="false" customHeight="true" outlineLevel="0" collapsed="false">
      <c r="A8539" s="16" t="n">
        <v>45385</v>
      </c>
      <c r="B8539" s="17" t="s">
        <v>3613</v>
      </c>
      <c r="C8539" s="17" t="s">
        <v>3614</v>
      </c>
      <c r="D8539" s="17" t="s">
        <v>2903</v>
      </c>
      <c r="E8539" s="17" t="s">
        <v>3723</v>
      </c>
      <c r="F8539" s="17" t="s">
        <v>1519</v>
      </c>
      <c r="G8539" s="18" t="n">
        <v>1976.7</v>
      </c>
      <c r="H8539" s="18" t="n">
        <v>0</v>
      </c>
      <c r="I8539" s="18" t="n">
        <f aca="false">((I8538 + G8539) - H8539)</f>
        <v>-47466.91</v>
      </c>
      <c r="J8539" s="18" t="n">
        <v>0</v>
      </c>
      <c r="K8539" s="19" t="n">
        <v>0</v>
      </c>
      <c r="L8539" s="17"/>
    </row>
    <row r="8540" s="11" customFormat="true" ht="10.95" hidden="false" customHeight="true" outlineLevel="0" collapsed="false">
      <c r="A8540" s="16" t="n">
        <v>45385</v>
      </c>
      <c r="B8540" s="17" t="s">
        <v>3613</v>
      </c>
      <c r="C8540" s="17" t="s">
        <v>3614</v>
      </c>
      <c r="D8540" s="17" t="s">
        <v>2903</v>
      </c>
      <c r="E8540" s="17" t="s">
        <v>3657</v>
      </c>
      <c r="F8540" s="17" t="s">
        <v>1538</v>
      </c>
      <c r="G8540" s="18" t="n">
        <v>6186.55</v>
      </c>
      <c r="H8540" s="18" t="n">
        <v>0</v>
      </c>
      <c r="I8540" s="18" t="n">
        <f aca="false">((I8539 + G8540) - H8540)</f>
        <v>-41280.36</v>
      </c>
      <c r="J8540" s="18" t="n">
        <v>0</v>
      </c>
      <c r="K8540" s="19" t="n">
        <v>0</v>
      </c>
      <c r="L8540" s="17"/>
    </row>
    <row r="8541" s="11" customFormat="true" ht="10.95" hidden="false" customHeight="true" outlineLevel="0" collapsed="false">
      <c r="A8541" s="16" t="n">
        <v>45385</v>
      </c>
      <c r="B8541" s="17" t="s">
        <v>3613</v>
      </c>
      <c r="C8541" s="17" t="s">
        <v>3614</v>
      </c>
      <c r="D8541" s="17" t="s">
        <v>1391</v>
      </c>
      <c r="E8541" s="17" t="s">
        <v>3625</v>
      </c>
      <c r="F8541" s="17" t="s">
        <v>3310</v>
      </c>
      <c r="G8541" s="18" t="n">
        <v>0</v>
      </c>
      <c r="H8541" s="18" t="n">
        <v>980.49</v>
      </c>
      <c r="I8541" s="18" t="n">
        <f aca="false">((I8540 + G8541) - H8541)</f>
        <v>-42260.85</v>
      </c>
      <c r="J8541" s="18" t="n">
        <v>0</v>
      </c>
      <c r="K8541" s="19" t="n">
        <v>0</v>
      </c>
      <c r="L8541" s="17"/>
    </row>
    <row r="8542" s="11" customFormat="true" ht="10.95" hidden="false" customHeight="true" outlineLevel="0" collapsed="false">
      <c r="A8542" s="16" t="n">
        <v>45385</v>
      </c>
      <c r="B8542" s="17" t="s">
        <v>3613</v>
      </c>
      <c r="C8542" s="17" t="s">
        <v>3614</v>
      </c>
      <c r="D8542" s="17" t="s">
        <v>2903</v>
      </c>
      <c r="E8542" s="17" t="s">
        <v>2904</v>
      </c>
      <c r="F8542" s="17" t="s">
        <v>1540</v>
      </c>
      <c r="G8542" s="18" t="n">
        <v>3797.06</v>
      </c>
      <c r="H8542" s="18" t="n">
        <v>0</v>
      </c>
      <c r="I8542" s="18" t="n">
        <f aca="false">((I8541 + G8542) - H8542)</f>
        <v>-38463.79</v>
      </c>
      <c r="J8542" s="18" t="n">
        <v>0</v>
      </c>
      <c r="K8542" s="19" t="n">
        <v>0</v>
      </c>
      <c r="L8542" s="17"/>
    </row>
    <row r="8543" s="11" customFormat="true" ht="10.95" hidden="false" customHeight="true" outlineLevel="0" collapsed="false">
      <c r="A8543" s="16" t="n">
        <v>45386</v>
      </c>
      <c r="B8543" s="17" t="s">
        <v>3613</v>
      </c>
      <c r="C8543" s="17" t="s">
        <v>3614</v>
      </c>
      <c r="D8543" s="17" t="s">
        <v>2903</v>
      </c>
      <c r="E8543" s="17" t="s">
        <v>3652</v>
      </c>
      <c r="F8543" s="17" t="s">
        <v>2531</v>
      </c>
      <c r="G8543" s="18" t="n">
        <v>179</v>
      </c>
      <c r="H8543" s="18" t="n">
        <v>0</v>
      </c>
      <c r="I8543" s="18" t="n">
        <f aca="false">((I8542 + G8543) - H8543)</f>
        <v>-38284.79</v>
      </c>
      <c r="J8543" s="18" t="n">
        <v>0</v>
      </c>
      <c r="K8543" s="19" t="n">
        <v>0</v>
      </c>
      <c r="L8543" s="17"/>
    </row>
    <row r="8544" s="11" customFormat="true" ht="10.95" hidden="false" customHeight="true" outlineLevel="0" collapsed="false">
      <c r="A8544" s="16" t="n">
        <v>45386</v>
      </c>
      <c r="B8544" s="17" t="s">
        <v>3613</v>
      </c>
      <c r="C8544" s="17" t="s">
        <v>3614</v>
      </c>
      <c r="D8544" s="17" t="s">
        <v>2903</v>
      </c>
      <c r="E8544" s="17" t="s">
        <v>3652</v>
      </c>
      <c r="F8544" s="17" t="s">
        <v>2529</v>
      </c>
      <c r="G8544" s="18" t="n">
        <v>248</v>
      </c>
      <c r="H8544" s="18" t="n">
        <v>0</v>
      </c>
      <c r="I8544" s="18" t="n">
        <f aca="false">((I8543 + G8544) - H8544)</f>
        <v>-38036.79</v>
      </c>
      <c r="J8544" s="18" t="n">
        <v>0</v>
      </c>
      <c r="K8544" s="19" t="n">
        <v>0</v>
      </c>
      <c r="L8544" s="17"/>
    </row>
    <row r="8545" s="11" customFormat="true" ht="10.95" hidden="false" customHeight="true" outlineLevel="0" collapsed="false">
      <c r="A8545" s="16" t="n">
        <v>45386</v>
      </c>
      <c r="B8545" s="17" t="s">
        <v>3613</v>
      </c>
      <c r="C8545" s="17" t="s">
        <v>3614</v>
      </c>
      <c r="D8545" s="17" t="s">
        <v>1391</v>
      </c>
      <c r="E8545" s="17" t="s">
        <v>3615</v>
      </c>
      <c r="F8545" s="17" t="s">
        <v>1548</v>
      </c>
      <c r="G8545" s="18" t="n">
        <v>0</v>
      </c>
      <c r="H8545" s="18" t="n">
        <v>2519.95</v>
      </c>
      <c r="I8545" s="18" t="n">
        <f aca="false">((I8544 + G8545) - H8545)</f>
        <v>-40556.74</v>
      </c>
      <c r="J8545" s="18" t="n">
        <v>0</v>
      </c>
      <c r="K8545" s="19" t="n">
        <v>0</v>
      </c>
      <c r="L8545" s="17"/>
    </row>
    <row r="8546" s="11" customFormat="true" ht="10.95" hidden="false" customHeight="true" outlineLevel="0" collapsed="false">
      <c r="A8546" s="16" t="n">
        <v>45386</v>
      </c>
      <c r="B8546" s="17" t="s">
        <v>3613</v>
      </c>
      <c r="C8546" s="17" t="s">
        <v>3614</v>
      </c>
      <c r="D8546" s="17" t="s">
        <v>2903</v>
      </c>
      <c r="E8546" s="17" t="s">
        <v>3631</v>
      </c>
      <c r="F8546" s="17" t="s">
        <v>3310</v>
      </c>
      <c r="G8546" s="18" t="n">
        <v>980.49</v>
      </c>
      <c r="H8546" s="18" t="n">
        <v>0</v>
      </c>
      <c r="I8546" s="18" t="n">
        <f aca="false">((I8545 + G8546) - H8546)</f>
        <v>-39576.25</v>
      </c>
      <c r="J8546" s="18" t="n">
        <v>0</v>
      </c>
      <c r="K8546" s="19" t="n">
        <v>0</v>
      </c>
      <c r="L8546" s="17"/>
    </row>
    <row r="8547" s="11" customFormat="true" ht="10.95" hidden="false" customHeight="true" outlineLevel="0" collapsed="false">
      <c r="A8547" s="16" t="n">
        <v>45386</v>
      </c>
      <c r="B8547" s="17" t="s">
        <v>3613</v>
      </c>
      <c r="C8547" s="17" t="s">
        <v>3614</v>
      </c>
      <c r="D8547" s="17" t="s">
        <v>1391</v>
      </c>
      <c r="E8547" s="17" t="s">
        <v>3622</v>
      </c>
      <c r="F8547" s="17" t="s">
        <v>1550</v>
      </c>
      <c r="G8547" s="18" t="n">
        <v>0</v>
      </c>
      <c r="H8547" s="18" t="n">
        <v>2316.36</v>
      </c>
      <c r="I8547" s="18" t="n">
        <f aca="false">((I8546 + G8547) - H8547)</f>
        <v>-41892.61</v>
      </c>
      <c r="J8547" s="18" t="n">
        <v>0</v>
      </c>
      <c r="K8547" s="19" t="n">
        <v>0</v>
      </c>
      <c r="L8547" s="17"/>
    </row>
    <row r="8548" s="11" customFormat="true" ht="10.95" hidden="false" customHeight="true" outlineLevel="0" collapsed="false">
      <c r="A8548" s="16" t="n">
        <v>45387</v>
      </c>
      <c r="B8548" s="17" t="s">
        <v>3613</v>
      </c>
      <c r="C8548" s="17" t="s">
        <v>3614</v>
      </c>
      <c r="D8548" s="17" t="s">
        <v>2903</v>
      </c>
      <c r="E8548" s="17" t="s">
        <v>3724</v>
      </c>
      <c r="F8548" s="17" t="s">
        <v>1544</v>
      </c>
      <c r="G8548" s="18" t="n">
        <v>912</v>
      </c>
      <c r="H8548" s="18" t="n">
        <v>0</v>
      </c>
      <c r="I8548" s="18" t="n">
        <f aca="false">((I8547 + G8548) - H8548)</f>
        <v>-40980.61</v>
      </c>
      <c r="J8548" s="18" t="n">
        <v>0</v>
      </c>
      <c r="K8548" s="19" t="n">
        <v>0</v>
      </c>
      <c r="L8548" s="17"/>
    </row>
    <row r="8549" s="11" customFormat="true" ht="10.95" hidden="false" customHeight="true" outlineLevel="0" collapsed="false">
      <c r="A8549" s="16" t="n">
        <v>45387</v>
      </c>
      <c r="B8549" s="17" t="s">
        <v>3613</v>
      </c>
      <c r="C8549" s="17" t="s">
        <v>3614</v>
      </c>
      <c r="D8549" s="17" t="s">
        <v>2903</v>
      </c>
      <c r="E8549" s="17" t="s">
        <v>3119</v>
      </c>
      <c r="F8549" s="17" t="s">
        <v>2535</v>
      </c>
      <c r="G8549" s="18" t="n">
        <v>499.46</v>
      </c>
      <c r="H8549" s="18" t="n">
        <v>0</v>
      </c>
      <c r="I8549" s="18" t="n">
        <f aca="false">((I8548 + G8549) - H8549)</f>
        <v>-40481.15</v>
      </c>
      <c r="J8549" s="18" t="n">
        <v>0</v>
      </c>
      <c r="K8549" s="19" t="n">
        <v>0</v>
      </c>
      <c r="L8549" s="17"/>
    </row>
    <row r="8550" s="11" customFormat="true" ht="10.95" hidden="false" customHeight="true" outlineLevel="0" collapsed="false">
      <c r="A8550" s="16" t="n">
        <v>45388</v>
      </c>
      <c r="B8550" s="17" t="s">
        <v>3613</v>
      </c>
      <c r="C8550" s="17" t="s">
        <v>3614</v>
      </c>
      <c r="D8550" s="17" t="s">
        <v>2903</v>
      </c>
      <c r="E8550" s="17" t="s">
        <v>2969</v>
      </c>
      <c r="F8550" s="17" t="s">
        <v>2533</v>
      </c>
      <c r="G8550" s="18" t="n">
        <v>253.19</v>
      </c>
      <c r="H8550" s="18" t="n">
        <v>0</v>
      </c>
      <c r="I8550" s="18" t="n">
        <f aca="false">((I8549 + G8550) - H8550)</f>
        <v>-40227.96</v>
      </c>
      <c r="J8550" s="18" t="n">
        <v>0</v>
      </c>
      <c r="K8550" s="19" t="n">
        <v>0</v>
      </c>
      <c r="L8550" s="17"/>
    </row>
    <row r="8551" s="11" customFormat="true" ht="10.95" hidden="false" customHeight="true" outlineLevel="0" collapsed="false">
      <c r="A8551" s="16" t="n">
        <v>45390</v>
      </c>
      <c r="B8551" s="17" t="s">
        <v>3613</v>
      </c>
      <c r="C8551" s="17" t="s">
        <v>3614</v>
      </c>
      <c r="D8551" s="17" t="s">
        <v>1391</v>
      </c>
      <c r="E8551" s="17" t="s">
        <v>3621</v>
      </c>
      <c r="F8551" s="17" t="s">
        <v>2712</v>
      </c>
      <c r="G8551" s="18" t="n">
        <v>0</v>
      </c>
      <c r="H8551" s="18" t="n">
        <v>104.95</v>
      </c>
      <c r="I8551" s="18" t="n">
        <f aca="false">((I8550 + G8551) - H8551)</f>
        <v>-40332.91</v>
      </c>
      <c r="J8551" s="18" t="n">
        <v>0</v>
      </c>
      <c r="K8551" s="19" t="n">
        <v>0</v>
      </c>
      <c r="L8551" s="17"/>
    </row>
    <row r="8552" s="11" customFormat="true" ht="10.95" hidden="false" customHeight="true" outlineLevel="0" collapsed="false">
      <c r="A8552" s="16" t="n">
        <v>45390</v>
      </c>
      <c r="B8552" s="17" t="s">
        <v>3613</v>
      </c>
      <c r="C8552" s="17" t="s">
        <v>3614</v>
      </c>
      <c r="D8552" s="17" t="s">
        <v>1391</v>
      </c>
      <c r="E8552" s="17" t="s">
        <v>3638</v>
      </c>
      <c r="F8552" s="17" t="s">
        <v>3312</v>
      </c>
      <c r="G8552" s="18" t="n">
        <v>0</v>
      </c>
      <c r="H8552" s="18" t="n">
        <v>657.01</v>
      </c>
      <c r="I8552" s="18" t="n">
        <f aca="false">((I8551 + G8552) - H8552)</f>
        <v>-40989.92</v>
      </c>
      <c r="J8552" s="18" t="n">
        <v>0</v>
      </c>
      <c r="K8552" s="19" t="n">
        <v>0</v>
      </c>
      <c r="L8552" s="17"/>
    </row>
    <row r="8553" s="11" customFormat="true" ht="10.95" hidden="false" customHeight="true" outlineLevel="0" collapsed="false">
      <c r="A8553" s="16" t="n">
        <v>45391</v>
      </c>
      <c r="B8553" s="17" t="s">
        <v>3613</v>
      </c>
      <c r="C8553" s="17" t="s">
        <v>3614</v>
      </c>
      <c r="D8553" s="17" t="s">
        <v>1391</v>
      </c>
      <c r="E8553" s="17" t="s">
        <v>3638</v>
      </c>
      <c r="F8553" s="17" t="s">
        <v>3314</v>
      </c>
      <c r="G8553" s="18" t="n">
        <v>0</v>
      </c>
      <c r="H8553" s="18" t="n">
        <v>3063.5</v>
      </c>
      <c r="I8553" s="18" t="n">
        <f aca="false">((I8552 + G8553) - H8553)</f>
        <v>-44053.42</v>
      </c>
      <c r="J8553" s="18" t="n">
        <v>0</v>
      </c>
      <c r="K8553" s="19" t="n">
        <v>0</v>
      </c>
      <c r="L8553" s="17"/>
    </row>
    <row r="8554" s="11" customFormat="true" ht="10.95" hidden="false" customHeight="true" outlineLevel="0" collapsed="false">
      <c r="A8554" s="16" t="n">
        <v>45391</v>
      </c>
      <c r="B8554" s="17" t="s">
        <v>3613</v>
      </c>
      <c r="C8554" s="17" t="s">
        <v>3614</v>
      </c>
      <c r="D8554" s="17" t="s">
        <v>2903</v>
      </c>
      <c r="E8554" s="17" t="s">
        <v>2908</v>
      </c>
      <c r="F8554" s="17" t="s">
        <v>1535</v>
      </c>
      <c r="G8554" s="18" t="n">
        <v>453.64</v>
      </c>
      <c r="H8554" s="18" t="n">
        <v>0</v>
      </c>
      <c r="I8554" s="18" t="n">
        <f aca="false">((I8553 + G8554) - H8554)</f>
        <v>-43599.78</v>
      </c>
      <c r="J8554" s="18" t="n">
        <v>0</v>
      </c>
      <c r="K8554" s="19" t="n">
        <v>0</v>
      </c>
      <c r="L8554" s="17"/>
    </row>
    <row r="8555" s="11" customFormat="true" ht="10.95" hidden="false" customHeight="true" outlineLevel="0" collapsed="false">
      <c r="A8555" s="16" t="n">
        <v>45391</v>
      </c>
      <c r="B8555" s="17" t="s">
        <v>3613</v>
      </c>
      <c r="C8555" s="17" t="s">
        <v>3614</v>
      </c>
      <c r="D8555" s="17" t="s">
        <v>2903</v>
      </c>
      <c r="E8555" s="17" t="s">
        <v>3643</v>
      </c>
      <c r="F8555" s="17" t="s">
        <v>1550</v>
      </c>
      <c r="G8555" s="18" t="n">
        <v>2316.36</v>
      </c>
      <c r="H8555" s="18" t="n">
        <v>0</v>
      </c>
      <c r="I8555" s="18" t="n">
        <f aca="false">((I8554 + G8555) - H8555)</f>
        <v>-41283.42</v>
      </c>
      <c r="J8555" s="18" t="n">
        <v>0</v>
      </c>
      <c r="K8555" s="19" t="n">
        <v>0</v>
      </c>
      <c r="L8555" s="17"/>
    </row>
    <row r="8556" s="11" customFormat="true" ht="10.95" hidden="false" customHeight="true" outlineLevel="0" collapsed="false">
      <c r="A8556" s="16" t="n">
        <v>45392</v>
      </c>
      <c r="B8556" s="17" t="s">
        <v>3613</v>
      </c>
      <c r="C8556" s="17" t="s">
        <v>3614</v>
      </c>
      <c r="D8556" s="17" t="s">
        <v>2903</v>
      </c>
      <c r="E8556" s="17" t="s">
        <v>3637</v>
      </c>
      <c r="F8556" s="17" t="s">
        <v>2696</v>
      </c>
      <c r="G8556" s="18" t="n">
        <v>731.5</v>
      </c>
      <c r="H8556" s="18" t="n">
        <v>0</v>
      </c>
      <c r="I8556" s="18" t="n">
        <f aca="false">((I8555 + G8556) - H8556)</f>
        <v>-40551.92</v>
      </c>
      <c r="J8556" s="18" t="n">
        <v>0</v>
      </c>
      <c r="K8556" s="19" t="n">
        <v>0</v>
      </c>
      <c r="L8556" s="17"/>
    </row>
    <row r="8557" s="11" customFormat="true" ht="10.95" hidden="false" customHeight="true" outlineLevel="0" collapsed="false">
      <c r="A8557" s="16" t="n">
        <v>45396</v>
      </c>
      <c r="B8557" s="17" t="s">
        <v>3613</v>
      </c>
      <c r="C8557" s="17" t="s">
        <v>3614</v>
      </c>
      <c r="D8557" s="17" t="s">
        <v>1391</v>
      </c>
      <c r="E8557" s="17" t="s">
        <v>3641</v>
      </c>
      <c r="F8557" s="17" t="s">
        <v>2715</v>
      </c>
      <c r="G8557" s="18" t="n">
        <v>0</v>
      </c>
      <c r="H8557" s="18" t="n">
        <v>248.27</v>
      </c>
      <c r="I8557" s="18" t="n">
        <f aca="false">((I8556 + G8557) - H8557)</f>
        <v>-40800.19</v>
      </c>
      <c r="J8557" s="18" t="n">
        <v>0</v>
      </c>
      <c r="K8557" s="19" t="n">
        <v>0</v>
      </c>
      <c r="L8557" s="17"/>
    </row>
    <row r="8558" s="11" customFormat="true" ht="10.95" hidden="false" customHeight="true" outlineLevel="0" collapsed="false">
      <c r="A8558" s="16" t="n">
        <v>45400</v>
      </c>
      <c r="B8558" s="17" t="s">
        <v>3613</v>
      </c>
      <c r="C8558" s="17" t="s">
        <v>3614</v>
      </c>
      <c r="D8558" s="17" t="s">
        <v>1391</v>
      </c>
      <c r="E8558" s="17" t="s">
        <v>3642</v>
      </c>
      <c r="F8558" s="17" t="s">
        <v>2544</v>
      </c>
      <c r="G8558" s="18" t="n">
        <v>0</v>
      </c>
      <c r="H8558" s="18" t="n">
        <v>219.78</v>
      </c>
      <c r="I8558" s="18" t="n">
        <f aca="false">((I8557 + G8558) - H8558)</f>
        <v>-41019.97</v>
      </c>
      <c r="J8558" s="18" t="n">
        <v>0</v>
      </c>
      <c r="K8558" s="19" t="n">
        <v>0</v>
      </c>
      <c r="L8558" s="17"/>
    </row>
    <row r="8559" s="11" customFormat="true" ht="10.95" hidden="false" customHeight="true" outlineLevel="0" collapsed="false">
      <c r="A8559" s="16" t="n">
        <v>45400</v>
      </c>
      <c r="B8559" s="17" t="s">
        <v>3613</v>
      </c>
      <c r="C8559" s="17" t="s">
        <v>3614</v>
      </c>
      <c r="D8559" s="17" t="s">
        <v>1391</v>
      </c>
      <c r="E8559" s="17" t="s">
        <v>3642</v>
      </c>
      <c r="F8559" s="17" t="s">
        <v>2546</v>
      </c>
      <c r="G8559" s="18" t="n">
        <v>0</v>
      </c>
      <c r="H8559" s="18" t="n">
        <v>6.6</v>
      </c>
      <c r="I8559" s="18" t="n">
        <f aca="false">((I8558 + G8559) - H8559)</f>
        <v>-41026.57</v>
      </c>
      <c r="J8559" s="18" t="n">
        <v>0</v>
      </c>
      <c r="K8559" s="19" t="n">
        <v>0</v>
      </c>
      <c r="L8559" s="17"/>
    </row>
    <row r="8560" s="11" customFormat="true" ht="10.95" hidden="false" customHeight="true" outlineLevel="0" collapsed="false">
      <c r="A8560" s="16" t="n">
        <v>45400</v>
      </c>
      <c r="B8560" s="17" t="s">
        <v>3613</v>
      </c>
      <c r="C8560" s="17" t="s">
        <v>3614</v>
      </c>
      <c r="D8560" s="17" t="s">
        <v>1391</v>
      </c>
      <c r="E8560" s="17" t="s">
        <v>3642</v>
      </c>
      <c r="F8560" s="17" t="s">
        <v>2548</v>
      </c>
      <c r="G8560" s="18" t="n">
        <v>0</v>
      </c>
      <c r="H8560" s="18" t="n">
        <v>68.2</v>
      </c>
      <c r="I8560" s="18" t="n">
        <f aca="false">((I8559 + G8560) - H8560)</f>
        <v>-41094.7699999999</v>
      </c>
      <c r="J8560" s="18" t="n">
        <v>0</v>
      </c>
      <c r="K8560" s="19" t="n">
        <v>0</v>
      </c>
      <c r="L8560" s="17"/>
    </row>
    <row r="8561" s="11" customFormat="true" ht="10.95" hidden="false" customHeight="true" outlineLevel="0" collapsed="false">
      <c r="A8561" s="16" t="n">
        <v>45400</v>
      </c>
      <c r="B8561" s="17" t="s">
        <v>3613</v>
      </c>
      <c r="C8561" s="17" t="s">
        <v>3614</v>
      </c>
      <c r="D8561" s="17" t="s">
        <v>1391</v>
      </c>
      <c r="E8561" s="17" t="s">
        <v>3642</v>
      </c>
      <c r="F8561" s="17" t="s">
        <v>2550</v>
      </c>
      <c r="G8561" s="18" t="n">
        <v>0</v>
      </c>
      <c r="H8561" s="18" t="n">
        <v>8.75</v>
      </c>
      <c r="I8561" s="18" t="n">
        <f aca="false">((I8560 + G8561) - H8561)</f>
        <v>-41103.5199999999</v>
      </c>
      <c r="J8561" s="18" t="n">
        <v>0</v>
      </c>
      <c r="K8561" s="19" t="n">
        <v>0</v>
      </c>
      <c r="L8561" s="17"/>
    </row>
    <row r="8562" s="11" customFormat="true" ht="10.95" hidden="false" customHeight="true" outlineLevel="0" collapsed="false">
      <c r="A8562" s="16" t="n">
        <v>45400</v>
      </c>
      <c r="B8562" s="17" t="s">
        <v>3613</v>
      </c>
      <c r="C8562" s="17" t="s">
        <v>3614</v>
      </c>
      <c r="D8562" s="17" t="s">
        <v>2903</v>
      </c>
      <c r="E8562" s="17" t="s">
        <v>3616</v>
      </c>
      <c r="F8562" s="17" t="s">
        <v>3312</v>
      </c>
      <c r="G8562" s="18" t="n">
        <v>657.01</v>
      </c>
      <c r="H8562" s="18" t="n">
        <v>0</v>
      </c>
      <c r="I8562" s="18" t="n">
        <f aca="false">((I8561 + G8562) - H8562)</f>
        <v>-40446.5099999999</v>
      </c>
      <c r="J8562" s="18" t="n">
        <v>0</v>
      </c>
      <c r="K8562" s="19" t="n">
        <v>0</v>
      </c>
      <c r="L8562" s="17"/>
    </row>
    <row r="8563" s="11" customFormat="true" ht="10.95" hidden="false" customHeight="true" outlineLevel="0" collapsed="false">
      <c r="A8563" s="16" t="n">
        <v>45401</v>
      </c>
      <c r="B8563" s="17" t="s">
        <v>3613</v>
      </c>
      <c r="C8563" s="17" t="s">
        <v>3614</v>
      </c>
      <c r="D8563" s="17" t="s">
        <v>1391</v>
      </c>
      <c r="E8563" s="17" t="s">
        <v>3715</v>
      </c>
      <c r="F8563" s="17" t="s">
        <v>2552</v>
      </c>
      <c r="G8563" s="18" t="n">
        <v>0</v>
      </c>
      <c r="H8563" s="18" t="n">
        <v>70.08</v>
      </c>
      <c r="I8563" s="18" t="n">
        <f aca="false">((I8562 + G8563) - H8563)</f>
        <v>-40516.5899999999</v>
      </c>
      <c r="J8563" s="18" t="n">
        <v>0</v>
      </c>
      <c r="K8563" s="19" t="n">
        <v>0</v>
      </c>
      <c r="L8563" s="17"/>
    </row>
    <row r="8564" s="11" customFormat="true" ht="10.95" hidden="false" customHeight="true" outlineLevel="0" collapsed="false">
      <c r="A8564" s="16" t="n">
        <v>45401</v>
      </c>
      <c r="B8564" s="17" t="s">
        <v>3613</v>
      </c>
      <c r="C8564" s="17" t="s">
        <v>3614</v>
      </c>
      <c r="D8564" s="17" t="s">
        <v>2903</v>
      </c>
      <c r="E8564" s="17" t="s">
        <v>3616</v>
      </c>
      <c r="F8564" s="17" t="s">
        <v>3314</v>
      </c>
      <c r="G8564" s="18" t="n">
        <v>3063.5</v>
      </c>
      <c r="H8564" s="18" t="n">
        <v>0</v>
      </c>
      <c r="I8564" s="18" t="n">
        <f aca="false">((I8563 + G8564) - H8564)</f>
        <v>-37453.0899999999</v>
      </c>
      <c r="J8564" s="18" t="n">
        <v>0</v>
      </c>
      <c r="K8564" s="19" t="n">
        <v>0</v>
      </c>
      <c r="L8564" s="17"/>
    </row>
    <row r="8565" s="11" customFormat="true" ht="10.95" hidden="false" customHeight="true" outlineLevel="0" collapsed="false">
      <c r="A8565" s="16" t="n">
        <v>45401</v>
      </c>
      <c r="B8565" s="17" t="s">
        <v>3613</v>
      </c>
      <c r="C8565" s="17" t="s">
        <v>3614</v>
      </c>
      <c r="D8565" s="17" t="s">
        <v>1391</v>
      </c>
      <c r="E8565" s="17" t="s">
        <v>3703</v>
      </c>
      <c r="F8565" s="17" t="s">
        <v>1642</v>
      </c>
      <c r="G8565" s="18" t="n">
        <v>0</v>
      </c>
      <c r="H8565" s="18" t="n">
        <v>64.8</v>
      </c>
      <c r="I8565" s="18" t="n">
        <f aca="false">((I8564 + G8565) - H8565)</f>
        <v>-37517.89</v>
      </c>
      <c r="J8565" s="18" t="n">
        <v>0</v>
      </c>
      <c r="K8565" s="19" t="n">
        <v>0</v>
      </c>
      <c r="L8565" s="17"/>
    </row>
    <row r="8566" s="11" customFormat="true" ht="10.95" hidden="false" customHeight="true" outlineLevel="0" collapsed="false">
      <c r="A8566" s="16" t="n">
        <v>45402</v>
      </c>
      <c r="B8566" s="17" t="s">
        <v>3613</v>
      </c>
      <c r="C8566" s="17" t="s">
        <v>3614</v>
      </c>
      <c r="D8566" s="17" t="s">
        <v>2903</v>
      </c>
      <c r="E8566" s="17" t="s">
        <v>3098</v>
      </c>
      <c r="F8566" s="17" t="s">
        <v>2552</v>
      </c>
      <c r="G8566" s="18" t="n">
        <v>70.08</v>
      </c>
      <c r="H8566" s="18" t="n">
        <v>0</v>
      </c>
      <c r="I8566" s="18" t="n">
        <f aca="false">((I8565 + G8566) - H8566)</f>
        <v>-37447.81</v>
      </c>
      <c r="J8566" s="18" t="n">
        <v>0</v>
      </c>
      <c r="K8566" s="19" t="n">
        <v>0</v>
      </c>
      <c r="L8566" s="17"/>
    </row>
    <row r="8567" s="11" customFormat="true" ht="10.95" hidden="false" customHeight="true" outlineLevel="0" collapsed="false">
      <c r="A8567" s="16" t="n">
        <v>45403</v>
      </c>
      <c r="B8567" s="17" t="s">
        <v>3613</v>
      </c>
      <c r="C8567" s="17" t="s">
        <v>3614</v>
      </c>
      <c r="D8567" s="17" t="s">
        <v>1391</v>
      </c>
      <c r="E8567" s="17" t="s">
        <v>3638</v>
      </c>
      <c r="F8567" s="17" t="s">
        <v>3316</v>
      </c>
      <c r="G8567" s="18" t="n">
        <v>0</v>
      </c>
      <c r="H8567" s="18" t="n">
        <v>3884.1</v>
      </c>
      <c r="I8567" s="18" t="n">
        <f aca="false">((I8566 + G8567) - H8567)</f>
        <v>-41331.9099999999</v>
      </c>
      <c r="J8567" s="18" t="n">
        <v>0</v>
      </c>
      <c r="K8567" s="19" t="n">
        <v>0</v>
      </c>
      <c r="L8567" s="17"/>
    </row>
    <row r="8568" s="11" customFormat="true" ht="10.95" hidden="false" customHeight="true" outlineLevel="0" collapsed="false">
      <c r="A8568" s="16" t="n">
        <v>45404</v>
      </c>
      <c r="B8568" s="17" t="s">
        <v>3613</v>
      </c>
      <c r="C8568" s="17" t="s">
        <v>3614</v>
      </c>
      <c r="D8568" s="17" t="s">
        <v>2903</v>
      </c>
      <c r="E8568" s="17" t="s">
        <v>3645</v>
      </c>
      <c r="F8568" s="17" t="s">
        <v>1542</v>
      </c>
      <c r="G8568" s="18" t="n">
        <v>538.76</v>
      </c>
      <c r="H8568" s="18" t="n">
        <v>0</v>
      </c>
      <c r="I8568" s="18" t="n">
        <f aca="false">((I8567 + G8568) - H8568)</f>
        <v>-40793.1499999999</v>
      </c>
      <c r="J8568" s="18" t="n">
        <v>0</v>
      </c>
      <c r="K8568" s="19" t="n">
        <v>0</v>
      </c>
      <c r="L8568" s="17"/>
    </row>
    <row r="8569" s="11" customFormat="true" ht="10.95" hidden="false" customHeight="true" outlineLevel="0" collapsed="false">
      <c r="A8569" s="16" t="n">
        <v>45404</v>
      </c>
      <c r="B8569" s="17" t="s">
        <v>3613</v>
      </c>
      <c r="C8569" s="17" t="s">
        <v>3614</v>
      </c>
      <c r="D8569" s="17" t="s">
        <v>2903</v>
      </c>
      <c r="E8569" s="17" t="s">
        <v>3645</v>
      </c>
      <c r="F8569" s="17" t="s">
        <v>1546</v>
      </c>
      <c r="G8569" s="18" t="n">
        <v>25881.81</v>
      </c>
      <c r="H8569" s="18" t="n">
        <v>0</v>
      </c>
      <c r="I8569" s="18" t="n">
        <f aca="false">((I8568 + G8569) - H8569)</f>
        <v>-14911.3399999999</v>
      </c>
      <c r="J8569" s="18" t="n">
        <v>0</v>
      </c>
      <c r="K8569" s="19" t="n">
        <v>0</v>
      </c>
      <c r="L8569" s="17"/>
    </row>
    <row r="8570" s="11" customFormat="true" ht="10.95" hidden="false" customHeight="true" outlineLevel="0" collapsed="false">
      <c r="A8570" s="16" t="n">
        <v>45404</v>
      </c>
      <c r="B8570" s="17" t="s">
        <v>3613</v>
      </c>
      <c r="C8570" s="17" t="s">
        <v>3614</v>
      </c>
      <c r="D8570" s="17" t="s">
        <v>2903</v>
      </c>
      <c r="E8570" s="17" t="s">
        <v>3645</v>
      </c>
      <c r="F8570" s="17" t="s">
        <v>1548</v>
      </c>
      <c r="G8570" s="18" t="n">
        <v>2519.95</v>
      </c>
      <c r="H8570" s="18" t="n">
        <v>0</v>
      </c>
      <c r="I8570" s="18" t="n">
        <f aca="false">((I8569 + G8570) - H8570)</f>
        <v>-12391.3899999999</v>
      </c>
      <c r="J8570" s="18" t="n">
        <v>0</v>
      </c>
      <c r="K8570" s="19" t="n">
        <v>0</v>
      </c>
      <c r="L8570" s="17"/>
    </row>
    <row r="8571" s="11" customFormat="true" ht="10.95" hidden="false" customHeight="true" outlineLevel="0" collapsed="false">
      <c r="A8571" s="16" t="n">
        <v>45405</v>
      </c>
      <c r="B8571" s="17" t="s">
        <v>3613</v>
      </c>
      <c r="C8571" s="17" t="s">
        <v>3614</v>
      </c>
      <c r="D8571" s="17" t="s">
        <v>2903</v>
      </c>
      <c r="E8571" s="17" t="s">
        <v>3644</v>
      </c>
      <c r="F8571" s="17" t="s">
        <v>2546</v>
      </c>
      <c r="G8571" s="18" t="n">
        <v>6.6</v>
      </c>
      <c r="H8571" s="18" t="n">
        <v>0</v>
      </c>
      <c r="I8571" s="18" t="n">
        <f aca="false">((I8570 + G8571) - H8571)</f>
        <v>-12384.7899999999</v>
      </c>
      <c r="J8571" s="18" t="n">
        <v>0</v>
      </c>
      <c r="K8571" s="19" t="n">
        <v>0</v>
      </c>
      <c r="L8571" s="17"/>
    </row>
    <row r="8572" s="11" customFormat="true" ht="10.95" hidden="false" customHeight="true" outlineLevel="0" collapsed="false">
      <c r="A8572" s="16" t="n">
        <v>45405</v>
      </c>
      <c r="B8572" s="17" t="s">
        <v>3613</v>
      </c>
      <c r="C8572" s="17" t="s">
        <v>3614</v>
      </c>
      <c r="D8572" s="17" t="s">
        <v>2903</v>
      </c>
      <c r="E8572" s="17" t="s">
        <v>3644</v>
      </c>
      <c r="F8572" s="17" t="s">
        <v>2550</v>
      </c>
      <c r="G8572" s="18" t="n">
        <v>8.75</v>
      </c>
      <c r="H8572" s="18" t="n">
        <v>0</v>
      </c>
      <c r="I8572" s="18" t="n">
        <f aca="false">((I8571 + G8572) - H8572)</f>
        <v>-12376.0399999999</v>
      </c>
      <c r="J8572" s="18" t="n">
        <v>0</v>
      </c>
      <c r="K8572" s="19" t="n">
        <v>0</v>
      </c>
      <c r="L8572" s="17"/>
    </row>
    <row r="8573" s="11" customFormat="true" ht="10.95" hidden="false" customHeight="true" outlineLevel="0" collapsed="false">
      <c r="A8573" s="16" t="n">
        <v>45405</v>
      </c>
      <c r="B8573" s="17" t="s">
        <v>3613</v>
      </c>
      <c r="C8573" s="17" t="s">
        <v>3614</v>
      </c>
      <c r="D8573" s="17" t="s">
        <v>2903</v>
      </c>
      <c r="E8573" s="17" t="s">
        <v>3644</v>
      </c>
      <c r="F8573" s="17" t="s">
        <v>2548</v>
      </c>
      <c r="G8573" s="18" t="n">
        <v>68.2</v>
      </c>
      <c r="H8573" s="18" t="n">
        <v>0</v>
      </c>
      <c r="I8573" s="18" t="n">
        <f aca="false">((I8572 + G8573) - H8573)</f>
        <v>-12307.8399999999</v>
      </c>
      <c r="J8573" s="18" t="n">
        <v>0</v>
      </c>
      <c r="K8573" s="19" t="n">
        <v>0</v>
      </c>
      <c r="L8573" s="17"/>
    </row>
    <row r="8574" s="11" customFormat="true" ht="10.95" hidden="false" customHeight="true" outlineLevel="0" collapsed="false">
      <c r="A8574" s="16" t="n">
        <v>45405</v>
      </c>
      <c r="B8574" s="17" t="s">
        <v>3613</v>
      </c>
      <c r="C8574" s="17" t="s">
        <v>3614</v>
      </c>
      <c r="D8574" s="17" t="s">
        <v>2903</v>
      </c>
      <c r="E8574" s="17" t="s">
        <v>3644</v>
      </c>
      <c r="F8574" s="17" t="s">
        <v>2544</v>
      </c>
      <c r="G8574" s="18" t="n">
        <v>219.78</v>
      </c>
      <c r="H8574" s="18" t="n">
        <v>0</v>
      </c>
      <c r="I8574" s="18" t="n">
        <f aca="false">((I8573 + G8574) - H8574)</f>
        <v>-12088.0599999999</v>
      </c>
      <c r="J8574" s="18" t="n">
        <v>0</v>
      </c>
      <c r="K8574" s="19" t="n">
        <v>0</v>
      </c>
      <c r="L8574" s="17"/>
    </row>
    <row r="8575" s="11" customFormat="true" ht="10.95" hidden="false" customHeight="true" outlineLevel="0" collapsed="false">
      <c r="A8575" s="16" t="n">
        <v>45406</v>
      </c>
      <c r="B8575" s="17" t="s">
        <v>3613</v>
      </c>
      <c r="C8575" s="17" t="s">
        <v>3614</v>
      </c>
      <c r="D8575" s="17" t="s">
        <v>2903</v>
      </c>
      <c r="E8575" s="17" t="s">
        <v>3637</v>
      </c>
      <c r="F8575" s="17" t="s">
        <v>2712</v>
      </c>
      <c r="G8575" s="18" t="n">
        <v>104.95</v>
      </c>
      <c r="H8575" s="18" t="n">
        <v>0</v>
      </c>
      <c r="I8575" s="18" t="n">
        <f aca="false">((I8574 + G8575) - H8575)</f>
        <v>-11983.1099999999</v>
      </c>
      <c r="J8575" s="18" t="n">
        <v>0</v>
      </c>
      <c r="K8575" s="19" t="n">
        <v>0</v>
      </c>
      <c r="L8575" s="17"/>
    </row>
    <row r="8576" s="11" customFormat="true" ht="10.95" hidden="false" customHeight="true" outlineLevel="0" collapsed="false">
      <c r="A8576" s="16" t="n">
        <v>45407</v>
      </c>
      <c r="B8576" s="17" t="s">
        <v>3613</v>
      </c>
      <c r="C8576" s="17" t="s">
        <v>3614</v>
      </c>
      <c r="D8576" s="17" t="s">
        <v>1391</v>
      </c>
      <c r="E8576" s="17" t="s">
        <v>3673</v>
      </c>
      <c r="F8576" s="17" t="s">
        <v>3223</v>
      </c>
      <c r="G8576" s="18" t="n">
        <v>0</v>
      </c>
      <c r="H8576" s="18" t="n">
        <v>5010.29</v>
      </c>
      <c r="I8576" s="18" t="n">
        <f aca="false">((I8575 + G8576) - H8576)</f>
        <v>-16993.3999999999</v>
      </c>
      <c r="J8576" s="18" t="n">
        <v>0</v>
      </c>
      <c r="K8576" s="19" t="n">
        <v>0</v>
      </c>
      <c r="L8576" s="17"/>
    </row>
    <row r="8577" s="11" customFormat="true" ht="10.95" hidden="false" customHeight="true" outlineLevel="0" collapsed="false">
      <c r="A8577" s="16" t="n">
        <v>45407</v>
      </c>
      <c r="B8577" s="17" t="s">
        <v>3613</v>
      </c>
      <c r="C8577" s="17" t="s">
        <v>3614</v>
      </c>
      <c r="D8577" s="17" t="s">
        <v>1391</v>
      </c>
      <c r="E8577" s="17" t="s">
        <v>3673</v>
      </c>
      <c r="F8577" s="17" t="s">
        <v>3225</v>
      </c>
      <c r="G8577" s="18" t="n">
        <v>0</v>
      </c>
      <c r="H8577" s="18" t="n">
        <v>8970.2</v>
      </c>
      <c r="I8577" s="18" t="n">
        <f aca="false">((I8576 + G8577) - H8577)</f>
        <v>-25963.5999999999</v>
      </c>
      <c r="J8577" s="18" t="n">
        <v>0</v>
      </c>
      <c r="K8577" s="19" t="n">
        <v>0</v>
      </c>
      <c r="L8577" s="17"/>
    </row>
    <row r="8578" s="11" customFormat="true" ht="10.95" hidden="false" customHeight="true" outlineLevel="0" collapsed="false">
      <c r="A8578" s="16" t="n">
        <v>45411</v>
      </c>
      <c r="B8578" s="17" t="s">
        <v>3613</v>
      </c>
      <c r="C8578" s="17" t="s">
        <v>3614</v>
      </c>
      <c r="D8578" s="17" t="s">
        <v>2903</v>
      </c>
      <c r="E8578" s="17" t="s">
        <v>3704</v>
      </c>
      <c r="F8578" s="17" t="s">
        <v>1642</v>
      </c>
      <c r="G8578" s="18" t="n">
        <v>64.8</v>
      </c>
      <c r="H8578" s="18" t="n">
        <v>0</v>
      </c>
      <c r="I8578" s="18" t="n">
        <f aca="false">((I8577 + G8578) - H8578)</f>
        <v>-25898.7999999999</v>
      </c>
      <c r="J8578" s="18" t="n">
        <v>0</v>
      </c>
      <c r="K8578" s="19" t="n">
        <v>0</v>
      </c>
      <c r="L8578" s="17"/>
    </row>
    <row r="8579" s="11" customFormat="true" ht="10.95" hidden="false" customHeight="true" outlineLevel="0" collapsed="false">
      <c r="A8579" s="16" t="n">
        <v>45411</v>
      </c>
      <c r="B8579" s="17" t="s">
        <v>3613</v>
      </c>
      <c r="C8579" s="17" t="s">
        <v>3614</v>
      </c>
      <c r="D8579" s="17" t="s">
        <v>2903</v>
      </c>
      <c r="E8579" s="17" t="s">
        <v>3725</v>
      </c>
      <c r="F8579" s="17" t="s">
        <v>2503</v>
      </c>
      <c r="G8579" s="18" t="n">
        <v>594</v>
      </c>
      <c r="H8579" s="18" t="n">
        <v>0</v>
      </c>
      <c r="I8579" s="18" t="n">
        <f aca="false">((I8578 + G8579) - H8579)</f>
        <v>-25304.7999999999</v>
      </c>
      <c r="J8579" s="18" t="n">
        <v>0</v>
      </c>
      <c r="K8579" s="19" t="n">
        <v>0</v>
      </c>
      <c r="L8579" s="17"/>
    </row>
    <row r="8580" s="11" customFormat="true" ht="10.95" hidden="false" customHeight="true" outlineLevel="0" collapsed="false">
      <c r="A8580" s="16" t="n">
        <v>45412</v>
      </c>
      <c r="B8580" s="17" t="s">
        <v>3613</v>
      </c>
      <c r="C8580" s="17" t="s">
        <v>3614</v>
      </c>
      <c r="D8580" s="17" t="s">
        <v>1391</v>
      </c>
      <c r="E8580" s="17" t="s">
        <v>3647</v>
      </c>
      <c r="F8580" s="17" t="s">
        <v>1553</v>
      </c>
      <c r="G8580" s="18" t="n">
        <v>0</v>
      </c>
      <c r="H8580" s="18" t="n">
        <v>6410.47</v>
      </c>
      <c r="I8580" s="18" t="n">
        <f aca="false">((I8579 + G8580) - H8580)</f>
        <v>-31715.2699999999</v>
      </c>
      <c r="J8580" s="18" t="n">
        <v>0</v>
      </c>
      <c r="K8580" s="19" t="n">
        <v>0</v>
      </c>
      <c r="L8580" s="17"/>
    </row>
    <row r="8581" s="11" customFormat="true" ht="10.95" hidden="false" customHeight="true" outlineLevel="0" collapsed="false">
      <c r="A8581" s="16" t="n">
        <v>45412</v>
      </c>
      <c r="B8581" s="17" t="s">
        <v>3613</v>
      </c>
      <c r="C8581" s="17" t="s">
        <v>3614</v>
      </c>
      <c r="D8581" s="17" t="s">
        <v>2903</v>
      </c>
      <c r="E8581" s="17" t="s">
        <v>3648</v>
      </c>
      <c r="F8581" s="17" t="s">
        <v>2715</v>
      </c>
      <c r="G8581" s="18" t="n">
        <v>248.27</v>
      </c>
      <c r="H8581" s="18" t="n">
        <v>0</v>
      </c>
      <c r="I8581" s="18" t="n">
        <f aca="false">((I8580 + G8581) - H8581)</f>
        <v>-31466.9999999999</v>
      </c>
      <c r="J8581" s="18" t="n">
        <v>0</v>
      </c>
      <c r="K8581" s="19" t="n">
        <v>0</v>
      </c>
      <c r="L8581" s="17"/>
    </row>
    <row r="8582" s="11" customFormat="true" ht="10.95" hidden="false" customHeight="true" outlineLevel="0" collapsed="false">
      <c r="A8582" s="16" t="n">
        <v>45412</v>
      </c>
      <c r="B8582" s="17" t="s">
        <v>3613</v>
      </c>
      <c r="C8582" s="17" t="s">
        <v>3614</v>
      </c>
      <c r="D8582" s="17" t="s">
        <v>1391</v>
      </c>
      <c r="E8582" s="17" t="s">
        <v>3627</v>
      </c>
      <c r="F8582" s="17" t="s">
        <v>1555</v>
      </c>
      <c r="G8582" s="18" t="n">
        <v>0</v>
      </c>
      <c r="H8582" s="18" t="n">
        <v>4050.6</v>
      </c>
      <c r="I8582" s="18" t="n">
        <f aca="false">((I8581 + G8582) - H8582)</f>
        <v>-35517.5999999999</v>
      </c>
      <c r="J8582" s="18" t="n">
        <v>0</v>
      </c>
      <c r="K8582" s="19" t="n">
        <v>0</v>
      </c>
      <c r="L8582" s="17"/>
    </row>
    <row r="8583" s="11" customFormat="true" ht="10.95" hidden="false" customHeight="true" outlineLevel="0" collapsed="false">
      <c r="A8583" s="16" t="n">
        <v>45413</v>
      </c>
      <c r="B8583" s="17" t="s">
        <v>3613</v>
      </c>
      <c r="C8583" s="17" t="s">
        <v>3614</v>
      </c>
      <c r="D8583" s="17" t="s">
        <v>1391</v>
      </c>
      <c r="E8583" s="17" t="s">
        <v>3615</v>
      </c>
      <c r="F8583" s="17" t="s">
        <v>1557</v>
      </c>
      <c r="G8583" s="18" t="n">
        <v>0</v>
      </c>
      <c r="H8583" s="18" t="n">
        <v>538.76</v>
      </c>
      <c r="I8583" s="18" t="n">
        <f aca="false">((I8582 + G8583) - H8583)</f>
        <v>-36056.3599999999</v>
      </c>
      <c r="J8583" s="18" t="n">
        <v>0</v>
      </c>
      <c r="K8583" s="19" t="n">
        <v>0</v>
      </c>
      <c r="L8583" s="17"/>
    </row>
    <row r="8584" s="11" customFormat="true" ht="10.95" hidden="false" customHeight="true" outlineLevel="0" collapsed="false">
      <c r="A8584" s="16" t="n">
        <v>45413</v>
      </c>
      <c r="B8584" s="17" t="s">
        <v>3613</v>
      </c>
      <c r="C8584" s="17" t="s">
        <v>3614</v>
      </c>
      <c r="D8584" s="17" t="s">
        <v>2903</v>
      </c>
      <c r="E8584" s="17" t="s">
        <v>3637</v>
      </c>
      <c r="F8584" s="17" t="s">
        <v>2708</v>
      </c>
      <c r="G8584" s="18" t="n">
        <v>731.5</v>
      </c>
      <c r="H8584" s="18" t="n">
        <v>0</v>
      </c>
      <c r="I8584" s="18" t="n">
        <f aca="false">((I8583 + G8584) - H8584)</f>
        <v>-35324.8599999999</v>
      </c>
      <c r="J8584" s="18" t="n">
        <v>0</v>
      </c>
      <c r="K8584" s="19" t="n">
        <v>0</v>
      </c>
      <c r="L8584" s="17"/>
    </row>
    <row r="8585" s="11" customFormat="true" ht="10.95" hidden="false" customHeight="true" outlineLevel="0" collapsed="false">
      <c r="A8585" s="16" t="n">
        <v>45413</v>
      </c>
      <c r="B8585" s="17" t="s">
        <v>3613</v>
      </c>
      <c r="C8585" s="17" t="s">
        <v>3614</v>
      </c>
      <c r="D8585" s="17" t="s">
        <v>2903</v>
      </c>
      <c r="E8585" s="17" t="s">
        <v>3616</v>
      </c>
      <c r="F8585" s="17" t="s">
        <v>3316</v>
      </c>
      <c r="G8585" s="18" t="n">
        <v>3884.1</v>
      </c>
      <c r="H8585" s="18" t="n">
        <v>0</v>
      </c>
      <c r="I8585" s="18" t="n">
        <f aca="false">((I8584 + G8585) - H8585)</f>
        <v>-31440.7599999999</v>
      </c>
      <c r="J8585" s="18" t="n">
        <v>0</v>
      </c>
      <c r="K8585" s="19" t="n">
        <v>0</v>
      </c>
      <c r="L8585" s="17"/>
    </row>
    <row r="8586" s="11" customFormat="true" ht="10.95" hidden="false" customHeight="true" outlineLevel="0" collapsed="false">
      <c r="A8586" s="16" t="n">
        <v>45413</v>
      </c>
      <c r="B8586" s="17" t="s">
        <v>3613</v>
      </c>
      <c r="C8586" s="17" t="s">
        <v>3614</v>
      </c>
      <c r="D8586" s="17" t="s">
        <v>1391</v>
      </c>
      <c r="E8586" s="17" t="s">
        <v>3705</v>
      </c>
      <c r="F8586" s="17" t="s">
        <v>3182</v>
      </c>
      <c r="G8586" s="18" t="n">
        <v>0</v>
      </c>
      <c r="H8586" s="18" t="n">
        <v>2496.15</v>
      </c>
      <c r="I8586" s="18" t="n">
        <f aca="false">((I8585 + G8586) - H8586)</f>
        <v>-33936.9099999999</v>
      </c>
      <c r="J8586" s="18" t="n">
        <v>0</v>
      </c>
      <c r="K8586" s="19" t="n">
        <v>0</v>
      </c>
      <c r="L8586" s="17"/>
    </row>
    <row r="8587" s="11" customFormat="true" ht="10.95" hidden="false" customHeight="true" outlineLevel="0" collapsed="false">
      <c r="A8587" s="16" t="n">
        <v>45413</v>
      </c>
      <c r="B8587" s="17" t="s">
        <v>3613</v>
      </c>
      <c r="C8587" s="17" t="s">
        <v>3614</v>
      </c>
      <c r="D8587" s="17" t="s">
        <v>1391</v>
      </c>
      <c r="E8587" s="17" t="s">
        <v>3681</v>
      </c>
      <c r="F8587" s="17" t="s">
        <v>1635</v>
      </c>
      <c r="G8587" s="18" t="n">
        <v>0</v>
      </c>
      <c r="H8587" s="18" t="n">
        <v>243.65</v>
      </c>
      <c r="I8587" s="18" t="n">
        <f aca="false">((I8586 + G8587) - H8587)</f>
        <v>-34180.56</v>
      </c>
      <c r="J8587" s="18" t="n">
        <v>0</v>
      </c>
      <c r="K8587" s="19" t="n">
        <v>0</v>
      </c>
      <c r="L8587" s="17"/>
    </row>
    <row r="8588" s="11" customFormat="true" ht="10.95" hidden="false" customHeight="true" outlineLevel="0" collapsed="false">
      <c r="A8588" s="16" t="n">
        <v>45413</v>
      </c>
      <c r="B8588" s="17" t="s">
        <v>3613</v>
      </c>
      <c r="C8588" s="17" t="s">
        <v>3614</v>
      </c>
      <c r="D8588" s="17" t="s">
        <v>1391</v>
      </c>
      <c r="E8588" s="17" t="s">
        <v>3621</v>
      </c>
      <c r="F8588" s="17" t="s">
        <v>2721</v>
      </c>
      <c r="G8588" s="18" t="n">
        <v>0</v>
      </c>
      <c r="H8588" s="18" t="n">
        <v>731.5</v>
      </c>
      <c r="I8588" s="18" t="n">
        <f aca="false">((I8587 + G8588) - H8588)</f>
        <v>-34912.06</v>
      </c>
      <c r="J8588" s="18" t="n">
        <v>0</v>
      </c>
      <c r="K8588" s="19" t="n">
        <v>0</v>
      </c>
      <c r="L8588" s="17"/>
    </row>
    <row r="8589" s="11" customFormat="true" ht="10.95" hidden="false" customHeight="true" outlineLevel="0" collapsed="false">
      <c r="A8589" s="16" t="n">
        <v>45413</v>
      </c>
      <c r="B8589" s="17" t="s">
        <v>3613</v>
      </c>
      <c r="C8589" s="17" t="s">
        <v>3614</v>
      </c>
      <c r="D8589" s="17" t="s">
        <v>1391</v>
      </c>
      <c r="E8589" s="17" t="s">
        <v>3683</v>
      </c>
      <c r="F8589" s="17" t="s">
        <v>1559</v>
      </c>
      <c r="G8589" s="18" t="n">
        <v>0</v>
      </c>
      <c r="H8589" s="18" t="n">
        <v>254.41</v>
      </c>
      <c r="I8589" s="18" t="n">
        <f aca="false">((I8588 + G8589) - H8589)</f>
        <v>-35166.47</v>
      </c>
      <c r="J8589" s="18" t="n">
        <v>0</v>
      </c>
      <c r="K8589" s="19" t="n">
        <v>0</v>
      </c>
      <c r="L8589" s="17"/>
    </row>
    <row r="8590" s="11" customFormat="true" ht="10.95" hidden="false" customHeight="true" outlineLevel="0" collapsed="false">
      <c r="A8590" s="16" t="n">
        <v>45413</v>
      </c>
      <c r="B8590" s="17" t="s">
        <v>3613</v>
      </c>
      <c r="C8590" s="17" t="s">
        <v>3614</v>
      </c>
      <c r="D8590" s="17" t="s">
        <v>1391</v>
      </c>
      <c r="E8590" s="17" t="s">
        <v>3650</v>
      </c>
      <c r="F8590" s="17" t="s">
        <v>2556</v>
      </c>
      <c r="G8590" s="18" t="n">
        <v>0</v>
      </c>
      <c r="H8590" s="18" t="n">
        <v>248</v>
      </c>
      <c r="I8590" s="18" t="n">
        <f aca="false">((I8589 + G8590) - H8590)</f>
        <v>-35414.47</v>
      </c>
      <c r="J8590" s="18" t="n">
        <v>0</v>
      </c>
      <c r="K8590" s="19" t="n">
        <v>0</v>
      </c>
      <c r="L8590" s="17"/>
    </row>
    <row r="8591" s="11" customFormat="true" ht="10.95" hidden="false" customHeight="true" outlineLevel="0" collapsed="false">
      <c r="A8591" s="16" t="n">
        <v>45413</v>
      </c>
      <c r="B8591" s="17" t="s">
        <v>3613</v>
      </c>
      <c r="C8591" s="17" t="s">
        <v>3614</v>
      </c>
      <c r="D8591" s="17" t="s">
        <v>1391</v>
      </c>
      <c r="E8591" s="17" t="s">
        <v>3650</v>
      </c>
      <c r="F8591" s="17" t="s">
        <v>2558</v>
      </c>
      <c r="G8591" s="18" t="n">
        <v>0</v>
      </c>
      <c r="H8591" s="18" t="n">
        <v>179</v>
      </c>
      <c r="I8591" s="18" t="n">
        <f aca="false">((I8590 + G8591) - H8591)</f>
        <v>-35593.47</v>
      </c>
      <c r="J8591" s="18" t="n">
        <v>0</v>
      </c>
      <c r="K8591" s="19" t="n">
        <v>0</v>
      </c>
      <c r="L8591" s="17"/>
    </row>
    <row r="8592" s="11" customFormat="true" ht="10.95" hidden="false" customHeight="true" outlineLevel="0" collapsed="false">
      <c r="A8592" s="16" t="n">
        <v>45413</v>
      </c>
      <c r="B8592" s="17" t="s">
        <v>3613</v>
      </c>
      <c r="C8592" s="17" t="s">
        <v>3614</v>
      </c>
      <c r="D8592" s="17" t="s">
        <v>1391</v>
      </c>
      <c r="E8592" s="17" t="s">
        <v>3726</v>
      </c>
      <c r="F8592" s="17" t="s">
        <v>3147</v>
      </c>
      <c r="G8592" s="18" t="n">
        <v>0</v>
      </c>
      <c r="H8592" s="18" t="n">
        <v>2164.76</v>
      </c>
      <c r="I8592" s="18" t="n">
        <f aca="false">((I8591 + G8592) - H8592)</f>
        <v>-37758.23</v>
      </c>
      <c r="J8592" s="18" t="n">
        <v>0</v>
      </c>
      <c r="K8592" s="19" t="n">
        <v>0</v>
      </c>
      <c r="L8592" s="17"/>
    </row>
    <row r="8593" s="11" customFormat="true" ht="10.95" hidden="false" customHeight="true" outlineLevel="0" collapsed="false">
      <c r="A8593" s="16" t="n">
        <v>45414</v>
      </c>
      <c r="B8593" s="17" t="s">
        <v>3613</v>
      </c>
      <c r="C8593" s="17" t="s">
        <v>3614</v>
      </c>
      <c r="D8593" s="17" t="s">
        <v>2903</v>
      </c>
      <c r="E8593" s="17" t="s">
        <v>3657</v>
      </c>
      <c r="F8593" s="17" t="s">
        <v>1553</v>
      </c>
      <c r="G8593" s="18" t="n">
        <v>6410.47</v>
      </c>
      <c r="H8593" s="18" t="n">
        <v>0</v>
      </c>
      <c r="I8593" s="18" t="n">
        <f aca="false">((I8592 + G8593) - H8593)</f>
        <v>-31347.76</v>
      </c>
      <c r="J8593" s="18" t="n">
        <v>0</v>
      </c>
      <c r="K8593" s="19" t="n">
        <v>0</v>
      </c>
      <c r="L8593" s="17"/>
    </row>
    <row r="8594" s="11" customFormat="true" ht="10.95" hidden="false" customHeight="true" outlineLevel="0" collapsed="false">
      <c r="A8594" s="16" t="n">
        <v>45414</v>
      </c>
      <c r="B8594" s="17" t="s">
        <v>3613</v>
      </c>
      <c r="C8594" s="17" t="s">
        <v>3614</v>
      </c>
      <c r="D8594" s="17" t="s">
        <v>2903</v>
      </c>
      <c r="E8594" s="17" t="s">
        <v>3008</v>
      </c>
      <c r="F8594" s="17" t="s">
        <v>1635</v>
      </c>
      <c r="G8594" s="18" t="n">
        <v>243.65</v>
      </c>
      <c r="H8594" s="18" t="n">
        <v>0</v>
      </c>
      <c r="I8594" s="18" t="n">
        <f aca="false">((I8593 + G8594) - H8594)</f>
        <v>-31104.11</v>
      </c>
      <c r="J8594" s="18" t="n">
        <v>0</v>
      </c>
      <c r="K8594" s="19" t="n">
        <v>0</v>
      </c>
      <c r="L8594" s="17"/>
    </row>
    <row r="8595" s="11" customFormat="true" ht="10.95" hidden="false" customHeight="true" outlineLevel="0" collapsed="false">
      <c r="A8595" s="16" t="n">
        <v>45414</v>
      </c>
      <c r="B8595" s="17" t="s">
        <v>3613</v>
      </c>
      <c r="C8595" s="17" t="s">
        <v>3614</v>
      </c>
      <c r="D8595" s="17" t="s">
        <v>1391</v>
      </c>
      <c r="E8595" s="17" t="s">
        <v>3625</v>
      </c>
      <c r="F8595" s="17" t="s">
        <v>3320</v>
      </c>
      <c r="G8595" s="18" t="n">
        <v>0</v>
      </c>
      <c r="H8595" s="18" t="n">
        <v>169.52</v>
      </c>
      <c r="I8595" s="18" t="n">
        <f aca="false">((I8594 + G8595) - H8595)</f>
        <v>-31273.63</v>
      </c>
      <c r="J8595" s="18" t="n">
        <v>0</v>
      </c>
      <c r="K8595" s="19" t="n">
        <v>0</v>
      </c>
      <c r="L8595" s="17"/>
    </row>
    <row r="8596" s="11" customFormat="true" ht="10.95" hidden="false" customHeight="true" outlineLevel="0" collapsed="false">
      <c r="A8596" s="16" t="n">
        <v>45415</v>
      </c>
      <c r="B8596" s="17" t="s">
        <v>3613</v>
      </c>
      <c r="C8596" s="17" t="s">
        <v>3614</v>
      </c>
      <c r="D8596" s="17" t="s">
        <v>2903</v>
      </c>
      <c r="E8596" s="17" t="s">
        <v>2904</v>
      </c>
      <c r="F8596" s="17" t="s">
        <v>1555</v>
      </c>
      <c r="G8596" s="18" t="n">
        <v>4050.6</v>
      </c>
      <c r="H8596" s="18" t="n">
        <v>0</v>
      </c>
      <c r="I8596" s="18" t="n">
        <f aca="false">((I8595 + G8596) - H8596)</f>
        <v>-27223.03</v>
      </c>
      <c r="J8596" s="18" t="n">
        <v>0</v>
      </c>
      <c r="K8596" s="19" t="n">
        <v>0</v>
      </c>
      <c r="L8596" s="17"/>
    </row>
    <row r="8597" s="11" customFormat="true" ht="10.95" hidden="false" customHeight="true" outlineLevel="0" collapsed="false">
      <c r="A8597" s="16" t="n">
        <v>45415</v>
      </c>
      <c r="B8597" s="17" t="s">
        <v>3613</v>
      </c>
      <c r="C8597" s="17" t="s">
        <v>3614</v>
      </c>
      <c r="D8597" s="17" t="s">
        <v>2903</v>
      </c>
      <c r="E8597" s="17" t="s">
        <v>3631</v>
      </c>
      <c r="F8597" s="17" t="s">
        <v>3320</v>
      </c>
      <c r="G8597" s="18" t="n">
        <v>169.52</v>
      </c>
      <c r="H8597" s="18" t="n">
        <v>0</v>
      </c>
      <c r="I8597" s="18" t="n">
        <f aca="false">((I8596 + G8597) - H8597)</f>
        <v>-27053.51</v>
      </c>
      <c r="J8597" s="18" t="n">
        <v>0</v>
      </c>
      <c r="K8597" s="19" t="n">
        <v>0</v>
      </c>
      <c r="L8597" s="17"/>
    </row>
    <row r="8598" s="11" customFormat="true" ht="10.95" hidden="false" customHeight="true" outlineLevel="0" collapsed="false">
      <c r="A8598" s="16" t="n">
        <v>45416</v>
      </c>
      <c r="B8598" s="17" t="s">
        <v>3613</v>
      </c>
      <c r="C8598" s="17" t="s">
        <v>3614</v>
      </c>
      <c r="D8598" s="17" t="s">
        <v>2903</v>
      </c>
      <c r="E8598" s="17" t="s">
        <v>3652</v>
      </c>
      <c r="F8598" s="17" t="s">
        <v>2558</v>
      </c>
      <c r="G8598" s="18" t="n">
        <v>179</v>
      </c>
      <c r="H8598" s="18" t="n">
        <v>0</v>
      </c>
      <c r="I8598" s="18" t="n">
        <f aca="false">((I8597 + G8598) - H8598)</f>
        <v>-26874.51</v>
      </c>
      <c r="J8598" s="18" t="n">
        <v>0</v>
      </c>
      <c r="K8598" s="19" t="n">
        <v>0</v>
      </c>
      <c r="L8598" s="17"/>
    </row>
    <row r="8599" s="11" customFormat="true" ht="10.95" hidden="false" customHeight="true" outlineLevel="0" collapsed="false">
      <c r="A8599" s="16" t="n">
        <v>45416</v>
      </c>
      <c r="B8599" s="17" t="s">
        <v>3613</v>
      </c>
      <c r="C8599" s="17" t="s">
        <v>3614</v>
      </c>
      <c r="D8599" s="17" t="s">
        <v>2903</v>
      </c>
      <c r="E8599" s="17" t="s">
        <v>3652</v>
      </c>
      <c r="F8599" s="17" t="s">
        <v>2556</v>
      </c>
      <c r="G8599" s="18" t="n">
        <v>248</v>
      </c>
      <c r="H8599" s="18" t="n">
        <v>0</v>
      </c>
      <c r="I8599" s="18" t="n">
        <f aca="false">((I8598 + G8599) - H8599)</f>
        <v>-26626.51</v>
      </c>
      <c r="J8599" s="18" t="n">
        <v>0</v>
      </c>
      <c r="K8599" s="19" t="n">
        <v>0</v>
      </c>
      <c r="L8599" s="17"/>
    </row>
    <row r="8600" s="11" customFormat="true" ht="10.95" hidden="false" customHeight="true" outlineLevel="0" collapsed="false">
      <c r="A8600" s="16" t="n">
        <v>45416</v>
      </c>
      <c r="B8600" s="17" t="s">
        <v>3613</v>
      </c>
      <c r="C8600" s="17" t="s">
        <v>3614</v>
      </c>
      <c r="D8600" s="17" t="s">
        <v>2903</v>
      </c>
      <c r="E8600" s="17" t="s">
        <v>2969</v>
      </c>
      <c r="F8600" s="17" t="s">
        <v>1559</v>
      </c>
      <c r="G8600" s="18" t="n">
        <v>254.41</v>
      </c>
      <c r="H8600" s="18" t="n">
        <v>0</v>
      </c>
      <c r="I8600" s="18" t="n">
        <f aca="false">((I8599 + G8600) - H8600)</f>
        <v>-26372.1</v>
      </c>
      <c r="J8600" s="18" t="n">
        <v>0</v>
      </c>
      <c r="K8600" s="19" t="n">
        <v>0</v>
      </c>
      <c r="L8600" s="17"/>
    </row>
    <row r="8601" s="11" customFormat="true" ht="10.95" hidden="false" customHeight="true" outlineLevel="0" collapsed="false">
      <c r="A8601" s="16" t="n">
        <v>45416</v>
      </c>
      <c r="B8601" s="17" t="s">
        <v>3613</v>
      </c>
      <c r="C8601" s="17" t="s">
        <v>3614</v>
      </c>
      <c r="D8601" s="17" t="s">
        <v>1391</v>
      </c>
      <c r="E8601" s="17" t="s">
        <v>3622</v>
      </c>
      <c r="F8601" s="17" t="s">
        <v>1561</v>
      </c>
      <c r="G8601" s="18" t="n">
        <v>0</v>
      </c>
      <c r="H8601" s="18" t="n">
        <v>2316.36</v>
      </c>
      <c r="I8601" s="18" t="n">
        <f aca="false">((I8600 + G8601) - H8601)</f>
        <v>-28688.46</v>
      </c>
      <c r="J8601" s="18" t="n">
        <v>0</v>
      </c>
      <c r="K8601" s="19" t="n">
        <v>0</v>
      </c>
      <c r="L8601" s="17"/>
    </row>
    <row r="8602" s="11" customFormat="true" ht="10.95" hidden="false" customHeight="true" outlineLevel="0" collapsed="false">
      <c r="A8602" s="16" t="n">
        <v>45418</v>
      </c>
      <c r="B8602" s="17" t="s">
        <v>3613</v>
      </c>
      <c r="C8602" s="17" t="s">
        <v>3614</v>
      </c>
      <c r="D8602" s="17" t="s">
        <v>1391</v>
      </c>
      <c r="E8602" s="17" t="s">
        <v>3727</v>
      </c>
      <c r="F8602" s="17" t="s">
        <v>2560</v>
      </c>
      <c r="G8602" s="18" t="n">
        <v>0</v>
      </c>
      <c r="H8602" s="18" t="n">
        <v>341.46</v>
      </c>
      <c r="I8602" s="18" t="n">
        <f aca="false">((I8601 + G8602) - H8602)</f>
        <v>-29029.92</v>
      </c>
      <c r="J8602" s="18" t="n">
        <v>0</v>
      </c>
      <c r="K8602" s="19" t="n">
        <v>0</v>
      </c>
      <c r="L8602" s="17"/>
    </row>
    <row r="8603" s="11" customFormat="true" ht="10.95" hidden="false" customHeight="true" outlineLevel="0" collapsed="false">
      <c r="A8603" s="16" t="n">
        <v>45419</v>
      </c>
      <c r="B8603" s="17" t="s">
        <v>3613</v>
      </c>
      <c r="C8603" s="17" t="s">
        <v>3614</v>
      </c>
      <c r="D8603" s="17" t="s">
        <v>1391</v>
      </c>
      <c r="E8603" s="17" t="s">
        <v>3615</v>
      </c>
      <c r="F8603" s="17" t="s">
        <v>1563</v>
      </c>
      <c r="G8603" s="18" t="n">
        <v>0</v>
      </c>
      <c r="H8603" s="18" t="n">
        <v>2541.48</v>
      </c>
      <c r="I8603" s="18" t="n">
        <f aca="false">((I8602 + G8603) - H8603)</f>
        <v>-31571.4</v>
      </c>
      <c r="J8603" s="18" t="n">
        <v>0</v>
      </c>
      <c r="K8603" s="19" t="n">
        <v>0</v>
      </c>
      <c r="L8603" s="17"/>
    </row>
    <row r="8604" s="11" customFormat="true" ht="10.95" hidden="false" customHeight="true" outlineLevel="0" collapsed="false">
      <c r="A8604" s="16" t="n">
        <v>45419</v>
      </c>
      <c r="B8604" s="17" t="s">
        <v>3613</v>
      </c>
      <c r="C8604" s="17" t="s">
        <v>3614</v>
      </c>
      <c r="D8604" s="17" t="s">
        <v>1391</v>
      </c>
      <c r="E8604" s="17" t="s">
        <v>3615</v>
      </c>
      <c r="F8604" s="17" t="s">
        <v>1565</v>
      </c>
      <c r="G8604" s="18" t="n">
        <v>0</v>
      </c>
      <c r="H8604" s="18" t="n">
        <v>27192.44</v>
      </c>
      <c r="I8604" s="18" t="n">
        <f aca="false">((I8603 + G8604) - H8604)</f>
        <v>-58763.84</v>
      </c>
      <c r="J8604" s="18" t="n">
        <v>0</v>
      </c>
      <c r="K8604" s="19" t="n">
        <v>0</v>
      </c>
      <c r="L8604" s="17"/>
    </row>
    <row r="8605" s="11" customFormat="true" ht="10.95" hidden="false" customHeight="true" outlineLevel="0" collapsed="false">
      <c r="A8605" s="16" t="n">
        <v>45419</v>
      </c>
      <c r="B8605" s="17" t="s">
        <v>3613</v>
      </c>
      <c r="C8605" s="17" t="s">
        <v>3614</v>
      </c>
      <c r="D8605" s="17" t="s">
        <v>2903</v>
      </c>
      <c r="E8605" s="17" t="s">
        <v>3035</v>
      </c>
      <c r="F8605" s="17" t="s">
        <v>3140</v>
      </c>
      <c r="G8605" s="18" t="n">
        <v>3048.44</v>
      </c>
      <c r="H8605" s="18" t="n">
        <v>0</v>
      </c>
      <c r="I8605" s="18" t="n">
        <f aca="false">((I8604 + G8605) - H8605)</f>
        <v>-55715.4</v>
      </c>
      <c r="J8605" s="18" t="n">
        <v>0</v>
      </c>
      <c r="K8605" s="19" t="n">
        <v>0</v>
      </c>
      <c r="L8605" s="17"/>
    </row>
    <row r="8606" s="11" customFormat="true" ht="10.95" hidden="false" customHeight="true" outlineLevel="0" collapsed="false">
      <c r="A8606" s="16" t="n">
        <v>45420</v>
      </c>
      <c r="B8606" s="17" t="s">
        <v>3613</v>
      </c>
      <c r="C8606" s="17" t="s">
        <v>3614</v>
      </c>
      <c r="D8606" s="17" t="s">
        <v>1391</v>
      </c>
      <c r="E8606" s="17" t="s">
        <v>3621</v>
      </c>
      <c r="F8606" s="17" t="s">
        <v>2725</v>
      </c>
      <c r="G8606" s="18" t="n">
        <v>0</v>
      </c>
      <c r="H8606" s="18" t="n">
        <v>104.95</v>
      </c>
      <c r="I8606" s="18" t="n">
        <f aca="false">((I8605 + G8606) - H8606)</f>
        <v>-55820.35</v>
      </c>
      <c r="J8606" s="18" t="n">
        <v>0</v>
      </c>
      <c r="K8606" s="19" t="n">
        <v>0</v>
      </c>
      <c r="L8606" s="17"/>
    </row>
    <row r="8607" s="11" customFormat="true" ht="10.95" hidden="false" customHeight="true" outlineLevel="0" collapsed="false">
      <c r="A8607" s="16" t="n">
        <v>45420</v>
      </c>
      <c r="B8607" s="17" t="s">
        <v>3613</v>
      </c>
      <c r="C8607" s="17" t="s">
        <v>3614</v>
      </c>
      <c r="D8607" s="17" t="s">
        <v>1391</v>
      </c>
      <c r="E8607" s="17" t="s">
        <v>3638</v>
      </c>
      <c r="F8607" s="17" t="s">
        <v>3322</v>
      </c>
      <c r="G8607" s="18" t="n">
        <v>0</v>
      </c>
      <c r="H8607" s="18" t="n">
        <v>582.55</v>
      </c>
      <c r="I8607" s="18" t="n">
        <f aca="false">((I8606 + G8607) - H8607)</f>
        <v>-56402.9</v>
      </c>
      <c r="J8607" s="18" t="n">
        <v>0</v>
      </c>
      <c r="K8607" s="19" t="n">
        <v>0</v>
      </c>
      <c r="L8607" s="17"/>
    </row>
    <row r="8608" s="11" customFormat="true" ht="10.95" hidden="false" customHeight="true" outlineLevel="0" collapsed="false">
      <c r="A8608" s="16" t="n">
        <v>45420</v>
      </c>
      <c r="B8608" s="17" t="s">
        <v>3613</v>
      </c>
      <c r="C8608" s="17" t="s">
        <v>3614</v>
      </c>
      <c r="D8608" s="17" t="s">
        <v>1391</v>
      </c>
      <c r="E8608" s="17" t="s">
        <v>3633</v>
      </c>
      <c r="F8608" s="17" t="s">
        <v>2563</v>
      </c>
      <c r="G8608" s="18" t="n">
        <v>0</v>
      </c>
      <c r="H8608" s="18" t="n">
        <v>457.21</v>
      </c>
      <c r="I8608" s="18" t="n">
        <f aca="false">((I8607 + G8608) - H8608)</f>
        <v>-56860.11</v>
      </c>
      <c r="J8608" s="18" t="n">
        <v>0</v>
      </c>
      <c r="K8608" s="19" t="n">
        <v>0</v>
      </c>
      <c r="L8608" s="17"/>
    </row>
    <row r="8609" s="11" customFormat="true" ht="10.95" hidden="false" customHeight="true" outlineLevel="0" collapsed="false">
      <c r="A8609" s="16" t="n">
        <v>45421</v>
      </c>
      <c r="B8609" s="17" t="s">
        <v>3613</v>
      </c>
      <c r="C8609" s="17" t="s">
        <v>3614</v>
      </c>
      <c r="D8609" s="17" t="s">
        <v>2903</v>
      </c>
      <c r="E8609" s="17" t="s">
        <v>3643</v>
      </c>
      <c r="F8609" s="17" t="s">
        <v>1561</v>
      </c>
      <c r="G8609" s="18" t="n">
        <v>2316.36</v>
      </c>
      <c r="H8609" s="18" t="n">
        <v>0</v>
      </c>
      <c r="I8609" s="18" t="n">
        <f aca="false">((I8608 + G8609) - H8609)</f>
        <v>-54543.75</v>
      </c>
      <c r="J8609" s="18" t="n">
        <v>0</v>
      </c>
      <c r="K8609" s="19" t="n">
        <v>0</v>
      </c>
      <c r="L8609" s="17"/>
    </row>
    <row r="8610" s="11" customFormat="true" ht="10.95" hidden="false" customHeight="true" outlineLevel="0" collapsed="false">
      <c r="A8610" s="16" t="n">
        <v>45421</v>
      </c>
      <c r="B8610" s="17" t="s">
        <v>3613</v>
      </c>
      <c r="C8610" s="17" t="s">
        <v>3614</v>
      </c>
      <c r="D8610" s="17" t="s">
        <v>1391</v>
      </c>
      <c r="E8610" s="17" t="s">
        <v>3638</v>
      </c>
      <c r="F8610" s="17" t="s">
        <v>3324</v>
      </c>
      <c r="G8610" s="18" t="n">
        <v>0</v>
      </c>
      <c r="H8610" s="18" t="n">
        <v>3063.5</v>
      </c>
      <c r="I8610" s="18" t="n">
        <f aca="false">((I8609 + G8610) - H8610)</f>
        <v>-57607.25</v>
      </c>
      <c r="J8610" s="18" t="n">
        <v>0</v>
      </c>
      <c r="K8610" s="19" t="n">
        <v>0</v>
      </c>
      <c r="L8610" s="17"/>
    </row>
    <row r="8611" s="11" customFormat="true" ht="10.95" hidden="false" customHeight="true" outlineLevel="0" collapsed="false">
      <c r="A8611" s="16" t="n">
        <v>45425</v>
      </c>
      <c r="B8611" s="17" t="s">
        <v>3613</v>
      </c>
      <c r="C8611" s="17" t="s">
        <v>3614</v>
      </c>
      <c r="D8611" s="17" t="s">
        <v>1391</v>
      </c>
      <c r="E8611" s="17" t="s">
        <v>3728</v>
      </c>
      <c r="F8611" s="17" t="s">
        <v>2727</v>
      </c>
      <c r="G8611" s="18" t="n">
        <v>0</v>
      </c>
      <c r="H8611" s="18" t="n">
        <v>317.9</v>
      </c>
      <c r="I8611" s="18" t="n">
        <f aca="false">((I8610 + G8611) - H8611)</f>
        <v>-57925.15</v>
      </c>
      <c r="J8611" s="18" t="n">
        <v>0</v>
      </c>
      <c r="K8611" s="19" t="n">
        <v>0</v>
      </c>
      <c r="L8611" s="17"/>
    </row>
    <row r="8612" s="11" customFormat="true" ht="10.95" hidden="false" customHeight="true" outlineLevel="0" collapsed="false">
      <c r="A8612" s="16" t="n">
        <v>45425</v>
      </c>
      <c r="B8612" s="17" t="s">
        <v>3613</v>
      </c>
      <c r="C8612" s="17" t="s">
        <v>3614</v>
      </c>
      <c r="D8612" s="17" t="s">
        <v>1391</v>
      </c>
      <c r="E8612" s="17" t="s">
        <v>3728</v>
      </c>
      <c r="F8612" s="17" t="s">
        <v>2729</v>
      </c>
      <c r="G8612" s="18" t="n">
        <v>0</v>
      </c>
      <c r="H8612" s="18" t="n">
        <v>481.8</v>
      </c>
      <c r="I8612" s="18" t="n">
        <f aca="false">((I8611 + G8612) - H8612)</f>
        <v>-58406.95</v>
      </c>
      <c r="J8612" s="18" t="n">
        <v>0</v>
      </c>
      <c r="K8612" s="19" t="n">
        <v>0</v>
      </c>
      <c r="L8612" s="17"/>
    </row>
    <row r="8613" s="11" customFormat="true" ht="10.95" hidden="false" customHeight="true" outlineLevel="0" collapsed="false">
      <c r="A8613" s="16" t="n">
        <v>45425</v>
      </c>
      <c r="B8613" s="17" t="s">
        <v>3613</v>
      </c>
      <c r="C8613" s="17" t="s">
        <v>3614</v>
      </c>
      <c r="D8613" s="17" t="s">
        <v>1391</v>
      </c>
      <c r="E8613" s="17" t="s">
        <v>3728</v>
      </c>
      <c r="F8613" s="17" t="s">
        <v>2730</v>
      </c>
      <c r="G8613" s="18" t="n">
        <v>0</v>
      </c>
      <c r="H8613" s="18" t="n">
        <v>317.9</v>
      </c>
      <c r="I8613" s="18" t="n">
        <f aca="false">((I8612 + G8613) - H8613)</f>
        <v>-58724.85</v>
      </c>
      <c r="J8613" s="18" t="n">
        <v>0</v>
      </c>
      <c r="K8613" s="19" t="n">
        <v>0</v>
      </c>
      <c r="L8613" s="17"/>
    </row>
    <row r="8614" s="11" customFormat="true" ht="10.95" hidden="false" customHeight="true" outlineLevel="0" collapsed="false">
      <c r="A8614" s="16" t="n">
        <v>45425</v>
      </c>
      <c r="B8614" s="17" t="s">
        <v>3613</v>
      </c>
      <c r="C8614" s="17" t="s">
        <v>3614</v>
      </c>
      <c r="D8614" s="17" t="s">
        <v>1391</v>
      </c>
      <c r="E8614" s="17" t="s">
        <v>3729</v>
      </c>
      <c r="F8614" s="17" t="s">
        <v>1610</v>
      </c>
      <c r="G8614" s="18" t="n">
        <v>0</v>
      </c>
      <c r="H8614" s="18" t="n">
        <v>3274.8</v>
      </c>
      <c r="I8614" s="18" t="n">
        <f aca="false">((I8613 + G8614) - H8614)</f>
        <v>-61999.65</v>
      </c>
      <c r="J8614" s="18" t="n">
        <v>0</v>
      </c>
      <c r="K8614" s="19" t="n">
        <v>0</v>
      </c>
      <c r="L8614" s="17"/>
    </row>
    <row r="8615" s="11" customFormat="true" ht="10.95" hidden="false" customHeight="true" outlineLevel="0" collapsed="false">
      <c r="A8615" s="16" t="n">
        <v>45426</v>
      </c>
      <c r="B8615" s="17" t="s">
        <v>3613</v>
      </c>
      <c r="C8615" s="17" t="s">
        <v>3614</v>
      </c>
      <c r="D8615" s="17" t="s">
        <v>1391</v>
      </c>
      <c r="E8615" s="17" t="s">
        <v>3641</v>
      </c>
      <c r="F8615" s="17" t="s">
        <v>2732</v>
      </c>
      <c r="G8615" s="18" t="n">
        <v>0</v>
      </c>
      <c r="H8615" s="18" t="n">
        <v>214.54</v>
      </c>
      <c r="I8615" s="18" t="n">
        <f aca="false">((I8614 + G8615) - H8615)</f>
        <v>-62214.19</v>
      </c>
      <c r="J8615" s="18" t="n">
        <v>0</v>
      </c>
      <c r="K8615" s="19" t="n">
        <v>0</v>
      </c>
      <c r="L8615" s="17"/>
    </row>
    <row r="8616" s="11" customFormat="true" ht="10.95" hidden="false" customHeight="true" outlineLevel="0" collapsed="false">
      <c r="A8616" s="16" t="n">
        <v>45427</v>
      </c>
      <c r="B8616" s="17" t="s">
        <v>3613</v>
      </c>
      <c r="C8616" s="17" t="s">
        <v>3614</v>
      </c>
      <c r="D8616" s="17" t="s">
        <v>2903</v>
      </c>
      <c r="E8616" s="17" t="s">
        <v>3730</v>
      </c>
      <c r="F8616" s="17" t="s">
        <v>2730</v>
      </c>
      <c r="G8616" s="18" t="n">
        <v>317.9</v>
      </c>
      <c r="H8616" s="18" t="n">
        <v>0</v>
      </c>
      <c r="I8616" s="18" t="n">
        <f aca="false">((I8615 + G8616) - H8616)</f>
        <v>-61896.29</v>
      </c>
      <c r="J8616" s="18" t="n">
        <v>0</v>
      </c>
      <c r="K8616" s="19" t="n">
        <v>0</v>
      </c>
      <c r="L8616" s="17"/>
    </row>
    <row r="8617" s="11" customFormat="true" ht="10.95" hidden="false" customHeight="true" outlineLevel="0" collapsed="false">
      <c r="A8617" s="16" t="n">
        <v>45427</v>
      </c>
      <c r="B8617" s="17" t="s">
        <v>3613</v>
      </c>
      <c r="C8617" s="17" t="s">
        <v>3614</v>
      </c>
      <c r="D8617" s="17" t="s">
        <v>2903</v>
      </c>
      <c r="E8617" s="17" t="s">
        <v>3730</v>
      </c>
      <c r="F8617" s="17" t="s">
        <v>2727</v>
      </c>
      <c r="G8617" s="18" t="n">
        <v>317.9</v>
      </c>
      <c r="H8617" s="18" t="n">
        <v>0</v>
      </c>
      <c r="I8617" s="18" t="n">
        <f aca="false">((I8616 + G8617) - H8617)</f>
        <v>-61578.39</v>
      </c>
      <c r="J8617" s="18" t="n">
        <v>0</v>
      </c>
      <c r="K8617" s="19" t="n">
        <v>0</v>
      </c>
      <c r="L8617" s="17"/>
    </row>
    <row r="8618" s="11" customFormat="true" ht="10.95" hidden="false" customHeight="true" outlineLevel="0" collapsed="false">
      <c r="A8618" s="16" t="n">
        <v>45427</v>
      </c>
      <c r="B8618" s="17" t="s">
        <v>3613</v>
      </c>
      <c r="C8618" s="17" t="s">
        <v>3614</v>
      </c>
      <c r="D8618" s="17" t="s">
        <v>2903</v>
      </c>
      <c r="E8618" s="17" t="s">
        <v>3730</v>
      </c>
      <c r="F8618" s="17" t="s">
        <v>2729</v>
      </c>
      <c r="G8618" s="18" t="n">
        <v>481.8</v>
      </c>
      <c r="H8618" s="18" t="n">
        <v>0</v>
      </c>
      <c r="I8618" s="18" t="n">
        <f aca="false">((I8617 + G8618) - H8618)</f>
        <v>-61096.59</v>
      </c>
      <c r="J8618" s="18" t="n">
        <v>0</v>
      </c>
      <c r="K8618" s="19" t="n">
        <v>0</v>
      </c>
      <c r="L8618" s="17"/>
    </row>
    <row r="8619" s="11" customFormat="true" ht="10.95" hidden="false" customHeight="true" outlineLevel="0" collapsed="false">
      <c r="A8619" s="16" t="n">
        <v>45428</v>
      </c>
      <c r="B8619" s="17" t="s">
        <v>3613</v>
      </c>
      <c r="C8619" s="17" t="s">
        <v>3614</v>
      </c>
      <c r="D8619" s="17" t="s">
        <v>2903</v>
      </c>
      <c r="E8619" s="17" t="s">
        <v>3146</v>
      </c>
      <c r="F8619" s="17" t="s">
        <v>3147</v>
      </c>
      <c r="G8619" s="18" t="n">
        <v>2164.76</v>
      </c>
      <c r="H8619" s="18" t="n">
        <v>0</v>
      </c>
      <c r="I8619" s="18" t="n">
        <f aca="false">((I8618 + G8619) - H8619)</f>
        <v>-58931.83</v>
      </c>
      <c r="J8619" s="18" t="n">
        <v>0</v>
      </c>
      <c r="K8619" s="19" t="n">
        <v>0</v>
      </c>
      <c r="L8619" s="17"/>
    </row>
    <row r="8620" s="11" customFormat="true" ht="10.95" hidden="false" customHeight="true" outlineLevel="0" collapsed="false">
      <c r="A8620" s="16" t="n">
        <v>45430</v>
      </c>
      <c r="B8620" s="17" t="s">
        <v>3613</v>
      </c>
      <c r="C8620" s="17" t="s">
        <v>3614</v>
      </c>
      <c r="D8620" s="17" t="s">
        <v>1391</v>
      </c>
      <c r="E8620" s="17" t="s">
        <v>3642</v>
      </c>
      <c r="F8620" s="17" t="s">
        <v>2565</v>
      </c>
      <c r="G8620" s="18" t="n">
        <v>0</v>
      </c>
      <c r="H8620" s="18" t="n">
        <v>24.64</v>
      </c>
      <c r="I8620" s="18" t="n">
        <f aca="false">((I8619 + G8620) - H8620)</f>
        <v>-58956.47</v>
      </c>
      <c r="J8620" s="18" t="n">
        <v>0</v>
      </c>
      <c r="K8620" s="19" t="n">
        <v>0</v>
      </c>
      <c r="L8620" s="17"/>
    </row>
    <row r="8621" s="11" customFormat="true" ht="10.95" hidden="false" customHeight="true" outlineLevel="0" collapsed="false">
      <c r="A8621" s="16" t="n">
        <v>45430</v>
      </c>
      <c r="B8621" s="17" t="s">
        <v>3613</v>
      </c>
      <c r="C8621" s="17" t="s">
        <v>3614</v>
      </c>
      <c r="D8621" s="17" t="s">
        <v>1391</v>
      </c>
      <c r="E8621" s="17" t="s">
        <v>3642</v>
      </c>
      <c r="F8621" s="17" t="s">
        <v>2567</v>
      </c>
      <c r="G8621" s="18" t="n">
        <v>0</v>
      </c>
      <c r="H8621" s="18" t="n">
        <v>68.2</v>
      </c>
      <c r="I8621" s="18" t="n">
        <f aca="false">((I8620 + G8621) - H8621)</f>
        <v>-59024.67</v>
      </c>
      <c r="J8621" s="18" t="n">
        <v>0</v>
      </c>
      <c r="K8621" s="19" t="n">
        <v>0</v>
      </c>
      <c r="L8621" s="17"/>
    </row>
    <row r="8622" s="11" customFormat="true" ht="10.95" hidden="false" customHeight="true" outlineLevel="0" collapsed="false">
      <c r="A8622" s="16" t="n">
        <v>45430</v>
      </c>
      <c r="B8622" s="17" t="s">
        <v>3613</v>
      </c>
      <c r="C8622" s="17" t="s">
        <v>3614</v>
      </c>
      <c r="D8622" s="17" t="s">
        <v>1391</v>
      </c>
      <c r="E8622" s="17" t="s">
        <v>3642</v>
      </c>
      <c r="F8622" s="17" t="s">
        <v>2569</v>
      </c>
      <c r="G8622" s="18" t="n">
        <v>0</v>
      </c>
      <c r="H8622" s="18" t="n">
        <v>219.78</v>
      </c>
      <c r="I8622" s="18" t="n">
        <f aca="false">((I8621 + G8622) - H8622)</f>
        <v>-59244.4499999999</v>
      </c>
      <c r="J8622" s="18" t="n">
        <v>0</v>
      </c>
      <c r="K8622" s="19" t="n">
        <v>0</v>
      </c>
      <c r="L8622" s="17"/>
    </row>
    <row r="8623" s="11" customFormat="true" ht="10.95" hidden="false" customHeight="true" outlineLevel="0" collapsed="false">
      <c r="A8623" s="16" t="n">
        <v>45430</v>
      </c>
      <c r="B8623" s="17" t="s">
        <v>3613</v>
      </c>
      <c r="C8623" s="17" t="s">
        <v>3614</v>
      </c>
      <c r="D8623" s="17" t="s">
        <v>1391</v>
      </c>
      <c r="E8623" s="17" t="s">
        <v>3642</v>
      </c>
      <c r="F8623" s="17" t="s">
        <v>2571</v>
      </c>
      <c r="G8623" s="18" t="n">
        <v>0</v>
      </c>
      <c r="H8623" s="18" t="n">
        <v>6.6</v>
      </c>
      <c r="I8623" s="18" t="n">
        <f aca="false">((I8622 + G8623) - H8623)</f>
        <v>-59251.0499999999</v>
      </c>
      <c r="J8623" s="18" t="n">
        <v>0</v>
      </c>
      <c r="K8623" s="19" t="n">
        <v>0</v>
      </c>
      <c r="L8623" s="17"/>
    </row>
    <row r="8624" s="11" customFormat="true" ht="10.95" hidden="false" customHeight="true" outlineLevel="0" collapsed="false">
      <c r="A8624" s="16" t="n">
        <v>45430</v>
      </c>
      <c r="B8624" s="17" t="s">
        <v>3613</v>
      </c>
      <c r="C8624" s="17" t="s">
        <v>3614</v>
      </c>
      <c r="D8624" s="17" t="s">
        <v>2903</v>
      </c>
      <c r="E8624" s="17" t="s">
        <v>3616</v>
      </c>
      <c r="F8624" s="17" t="s">
        <v>3322</v>
      </c>
      <c r="G8624" s="18" t="n">
        <v>582.55</v>
      </c>
      <c r="H8624" s="18" t="n">
        <v>0</v>
      </c>
      <c r="I8624" s="18" t="n">
        <f aca="false">((I8623 + G8624) - H8624)</f>
        <v>-58668.4999999999</v>
      </c>
      <c r="J8624" s="18" t="n">
        <v>0</v>
      </c>
      <c r="K8624" s="19" t="n">
        <v>0</v>
      </c>
      <c r="L8624" s="17"/>
    </row>
    <row r="8625" s="11" customFormat="true" ht="10.95" hidden="false" customHeight="true" outlineLevel="0" collapsed="false">
      <c r="A8625" s="16" t="n">
        <v>45431</v>
      </c>
      <c r="B8625" s="17" t="s">
        <v>3613</v>
      </c>
      <c r="C8625" s="17" t="s">
        <v>3614</v>
      </c>
      <c r="D8625" s="17" t="s">
        <v>2903</v>
      </c>
      <c r="E8625" s="17" t="s">
        <v>3616</v>
      </c>
      <c r="F8625" s="17" t="s">
        <v>3324</v>
      </c>
      <c r="G8625" s="18" t="n">
        <v>3063.5</v>
      </c>
      <c r="H8625" s="18" t="n">
        <v>0</v>
      </c>
      <c r="I8625" s="18" t="n">
        <f aca="false">((I8624 + G8625) - H8625)</f>
        <v>-55604.9999999999</v>
      </c>
      <c r="J8625" s="18" t="n">
        <v>0</v>
      </c>
      <c r="K8625" s="19" t="n">
        <v>0</v>
      </c>
      <c r="L8625" s="17"/>
    </row>
    <row r="8626" s="11" customFormat="true" ht="10.95" hidden="false" customHeight="true" outlineLevel="0" collapsed="false">
      <c r="A8626" s="16" t="n">
        <v>45432</v>
      </c>
      <c r="B8626" s="17" t="s">
        <v>3613</v>
      </c>
      <c r="C8626" s="17" t="s">
        <v>3614</v>
      </c>
      <c r="D8626" s="17" t="s">
        <v>2903</v>
      </c>
      <c r="E8626" s="17" t="s">
        <v>3645</v>
      </c>
      <c r="F8626" s="17" t="s">
        <v>1557</v>
      </c>
      <c r="G8626" s="18" t="n">
        <v>538.76</v>
      </c>
      <c r="H8626" s="18" t="n">
        <v>0</v>
      </c>
      <c r="I8626" s="18" t="n">
        <f aca="false">((I8625 + G8626) - H8626)</f>
        <v>-55066.2399999999</v>
      </c>
      <c r="J8626" s="18" t="n">
        <v>0</v>
      </c>
      <c r="K8626" s="19" t="n">
        <v>0</v>
      </c>
      <c r="L8626" s="17"/>
    </row>
    <row r="8627" s="11" customFormat="true" ht="10.95" hidden="false" customHeight="true" outlineLevel="0" collapsed="false">
      <c r="A8627" s="16" t="n">
        <v>45432</v>
      </c>
      <c r="B8627" s="17" t="s">
        <v>3613</v>
      </c>
      <c r="C8627" s="17" t="s">
        <v>3614</v>
      </c>
      <c r="D8627" s="17" t="s">
        <v>1391</v>
      </c>
      <c r="E8627" s="17" t="s">
        <v>3414</v>
      </c>
      <c r="F8627" s="17" t="s">
        <v>1595</v>
      </c>
      <c r="G8627" s="18" t="n">
        <v>0</v>
      </c>
      <c r="H8627" s="18" t="n">
        <v>2945.37</v>
      </c>
      <c r="I8627" s="18" t="n">
        <f aca="false">((I8626 + G8627) - H8627)</f>
        <v>-58011.6099999999</v>
      </c>
      <c r="J8627" s="18" t="n">
        <v>0</v>
      </c>
      <c r="K8627" s="19" t="n">
        <v>0</v>
      </c>
      <c r="L8627" s="17"/>
    </row>
    <row r="8628" s="11" customFormat="true" ht="10.95" hidden="false" customHeight="true" outlineLevel="0" collapsed="false">
      <c r="A8628" s="16" t="n">
        <v>45434</v>
      </c>
      <c r="B8628" s="17" t="s">
        <v>3613</v>
      </c>
      <c r="C8628" s="17" t="s">
        <v>3614</v>
      </c>
      <c r="D8628" s="17" t="s">
        <v>1391</v>
      </c>
      <c r="E8628" s="17" t="s">
        <v>3638</v>
      </c>
      <c r="F8628" s="17" t="s">
        <v>3326</v>
      </c>
      <c r="G8628" s="18" t="n">
        <v>0</v>
      </c>
      <c r="H8628" s="18" t="n">
        <v>3884.1</v>
      </c>
      <c r="I8628" s="18" t="n">
        <f aca="false">((I8627 + G8628) - H8628)</f>
        <v>-61895.7099999999</v>
      </c>
      <c r="J8628" s="18" t="n">
        <v>0</v>
      </c>
      <c r="K8628" s="19" t="n">
        <v>0</v>
      </c>
      <c r="L8628" s="17"/>
    </row>
    <row r="8629" s="11" customFormat="true" ht="10.95" hidden="false" customHeight="true" outlineLevel="0" collapsed="false">
      <c r="A8629" s="16" t="n">
        <v>45434</v>
      </c>
      <c r="B8629" s="17" t="s">
        <v>3613</v>
      </c>
      <c r="C8629" s="17" t="s">
        <v>3614</v>
      </c>
      <c r="D8629" s="17" t="s">
        <v>2903</v>
      </c>
      <c r="E8629" s="17" t="s">
        <v>3644</v>
      </c>
      <c r="F8629" s="17" t="s">
        <v>2571</v>
      </c>
      <c r="G8629" s="18" t="n">
        <v>6.6</v>
      </c>
      <c r="H8629" s="18" t="n">
        <v>0</v>
      </c>
      <c r="I8629" s="18" t="n">
        <f aca="false">((I8628 + G8629) - H8629)</f>
        <v>-61889.1099999999</v>
      </c>
      <c r="J8629" s="18" t="n">
        <v>0</v>
      </c>
      <c r="K8629" s="19" t="n">
        <v>0</v>
      </c>
      <c r="L8629" s="17"/>
    </row>
    <row r="8630" s="11" customFormat="true" ht="10.95" hidden="false" customHeight="true" outlineLevel="0" collapsed="false">
      <c r="A8630" s="16" t="n">
        <v>45434</v>
      </c>
      <c r="B8630" s="17" t="s">
        <v>3613</v>
      </c>
      <c r="C8630" s="17" t="s">
        <v>3614</v>
      </c>
      <c r="D8630" s="17" t="s">
        <v>2903</v>
      </c>
      <c r="E8630" s="17" t="s">
        <v>3644</v>
      </c>
      <c r="F8630" s="17" t="s">
        <v>2565</v>
      </c>
      <c r="G8630" s="18" t="n">
        <v>24.64</v>
      </c>
      <c r="H8630" s="18" t="n">
        <v>0</v>
      </c>
      <c r="I8630" s="18" t="n">
        <f aca="false">((I8629 + G8630) - H8630)</f>
        <v>-61864.4699999999</v>
      </c>
      <c r="J8630" s="18" t="n">
        <v>0</v>
      </c>
      <c r="K8630" s="19" t="n">
        <v>0</v>
      </c>
      <c r="L8630" s="17"/>
    </row>
    <row r="8631" s="11" customFormat="true" ht="10.95" hidden="false" customHeight="true" outlineLevel="0" collapsed="false">
      <c r="A8631" s="16" t="n">
        <v>45434</v>
      </c>
      <c r="B8631" s="17" t="s">
        <v>3613</v>
      </c>
      <c r="C8631" s="17" t="s">
        <v>3614</v>
      </c>
      <c r="D8631" s="17" t="s">
        <v>2903</v>
      </c>
      <c r="E8631" s="17" t="s">
        <v>3644</v>
      </c>
      <c r="F8631" s="17" t="s">
        <v>2567</v>
      </c>
      <c r="G8631" s="18" t="n">
        <v>68.2</v>
      </c>
      <c r="H8631" s="18" t="n">
        <v>0</v>
      </c>
      <c r="I8631" s="18" t="n">
        <f aca="false">((I8630 + G8631) - H8631)</f>
        <v>-61796.2699999999</v>
      </c>
      <c r="J8631" s="18" t="n">
        <v>0</v>
      </c>
      <c r="K8631" s="19" t="n">
        <v>0</v>
      </c>
      <c r="L8631" s="17"/>
    </row>
    <row r="8632" s="11" customFormat="true" ht="10.95" hidden="false" customHeight="true" outlineLevel="0" collapsed="false">
      <c r="A8632" s="16" t="n">
        <v>45434</v>
      </c>
      <c r="B8632" s="17" t="s">
        <v>3613</v>
      </c>
      <c r="C8632" s="17" t="s">
        <v>3614</v>
      </c>
      <c r="D8632" s="17" t="s">
        <v>2903</v>
      </c>
      <c r="E8632" s="17" t="s">
        <v>3644</v>
      </c>
      <c r="F8632" s="17" t="s">
        <v>2569</v>
      </c>
      <c r="G8632" s="18" t="n">
        <v>219.78</v>
      </c>
      <c r="H8632" s="18" t="n">
        <v>0</v>
      </c>
      <c r="I8632" s="18" t="n">
        <f aca="false">((I8631 + G8632) - H8632)</f>
        <v>-61576.49</v>
      </c>
      <c r="J8632" s="18" t="n">
        <v>0</v>
      </c>
      <c r="K8632" s="19" t="n">
        <v>0</v>
      </c>
      <c r="L8632" s="17"/>
    </row>
    <row r="8633" s="11" customFormat="true" ht="10.95" hidden="false" customHeight="true" outlineLevel="0" collapsed="false">
      <c r="A8633" s="16" t="n">
        <v>45434</v>
      </c>
      <c r="B8633" s="17" t="s">
        <v>3613</v>
      </c>
      <c r="C8633" s="17" t="s">
        <v>3614</v>
      </c>
      <c r="D8633" s="17" t="s">
        <v>1391</v>
      </c>
      <c r="E8633" s="17" t="s">
        <v>3647</v>
      </c>
      <c r="F8633" s="17" t="s">
        <v>2573</v>
      </c>
      <c r="G8633" s="18" t="n">
        <v>0</v>
      </c>
      <c r="H8633" s="18" t="n">
        <v>78.88</v>
      </c>
      <c r="I8633" s="18" t="n">
        <f aca="false">((I8632 + G8633) - H8633)</f>
        <v>-61655.3699999999</v>
      </c>
      <c r="J8633" s="18" t="n">
        <v>0</v>
      </c>
      <c r="K8633" s="19" t="n">
        <v>0</v>
      </c>
      <c r="L8633" s="17"/>
    </row>
    <row r="8634" s="11" customFormat="true" ht="10.95" hidden="false" customHeight="true" outlineLevel="0" collapsed="false">
      <c r="A8634" s="16" t="n">
        <v>45435</v>
      </c>
      <c r="B8634" s="17" t="s">
        <v>3613</v>
      </c>
      <c r="C8634" s="17" t="s">
        <v>3614</v>
      </c>
      <c r="D8634" s="17" t="s">
        <v>2903</v>
      </c>
      <c r="E8634" s="17" t="s">
        <v>3657</v>
      </c>
      <c r="F8634" s="17" t="s">
        <v>2573</v>
      </c>
      <c r="G8634" s="18" t="n">
        <v>78.88</v>
      </c>
      <c r="H8634" s="18" t="n">
        <v>0</v>
      </c>
      <c r="I8634" s="18" t="n">
        <f aca="false">((I8633 + G8634) - H8634)</f>
        <v>-61576.49</v>
      </c>
      <c r="J8634" s="18" t="n">
        <v>0</v>
      </c>
      <c r="K8634" s="19" t="n">
        <v>0</v>
      </c>
      <c r="L8634" s="17"/>
    </row>
    <row r="8635" s="11" customFormat="true" ht="10.95" hidden="false" customHeight="true" outlineLevel="0" collapsed="false">
      <c r="A8635" s="16" t="n">
        <v>45435</v>
      </c>
      <c r="B8635" s="17" t="s">
        <v>3613</v>
      </c>
      <c r="C8635" s="17" t="s">
        <v>3614</v>
      </c>
      <c r="D8635" s="17" t="s">
        <v>1391</v>
      </c>
      <c r="E8635" s="17" t="s">
        <v>3731</v>
      </c>
      <c r="F8635" s="17" t="s">
        <v>2734</v>
      </c>
      <c r="G8635" s="18" t="n">
        <v>0</v>
      </c>
      <c r="H8635" s="18" t="n">
        <v>59</v>
      </c>
      <c r="I8635" s="18" t="n">
        <f aca="false">((I8634 + G8635) - H8635)</f>
        <v>-61635.49</v>
      </c>
      <c r="J8635" s="18" t="n">
        <v>0</v>
      </c>
      <c r="K8635" s="19" t="n">
        <v>0</v>
      </c>
      <c r="L8635" s="17"/>
    </row>
    <row r="8636" s="11" customFormat="true" ht="10.95" hidden="false" customHeight="true" outlineLevel="0" collapsed="false">
      <c r="A8636" s="16" t="n">
        <v>45436</v>
      </c>
      <c r="B8636" s="17" t="s">
        <v>3613</v>
      </c>
      <c r="C8636" s="17" t="s">
        <v>3614</v>
      </c>
      <c r="D8636" s="17" t="s">
        <v>2903</v>
      </c>
      <c r="E8636" s="17" t="s">
        <v>3637</v>
      </c>
      <c r="F8636" s="17" t="s">
        <v>2725</v>
      </c>
      <c r="G8636" s="18" t="n">
        <v>104.95</v>
      </c>
      <c r="H8636" s="18" t="n">
        <v>0</v>
      </c>
      <c r="I8636" s="18" t="n">
        <f aca="false">((I8635 + G8636) - H8636)</f>
        <v>-61530.54</v>
      </c>
      <c r="J8636" s="18" t="n">
        <v>0</v>
      </c>
      <c r="K8636" s="19" t="n">
        <v>0</v>
      </c>
      <c r="L8636" s="17"/>
    </row>
    <row r="8637" s="11" customFormat="true" ht="10.95" hidden="false" customHeight="true" outlineLevel="0" collapsed="false">
      <c r="A8637" s="16" t="n">
        <v>45436</v>
      </c>
      <c r="B8637" s="17" t="s">
        <v>3613</v>
      </c>
      <c r="C8637" s="17" t="s">
        <v>3614</v>
      </c>
      <c r="D8637" s="17" t="s">
        <v>2903</v>
      </c>
      <c r="E8637" s="17" t="s">
        <v>3732</v>
      </c>
      <c r="F8637" s="17" t="s">
        <v>2734</v>
      </c>
      <c r="G8637" s="18" t="n">
        <v>59</v>
      </c>
      <c r="H8637" s="18" t="n">
        <v>0</v>
      </c>
      <c r="I8637" s="18" t="n">
        <f aca="false">((I8636 + G8637) - H8637)</f>
        <v>-61471.54</v>
      </c>
      <c r="J8637" s="18" t="n">
        <v>0</v>
      </c>
      <c r="K8637" s="19" t="n">
        <v>0</v>
      </c>
      <c r="L8637" s="17"/>
    </row>
    <row r="8638" s="11" customFormat="true" ht="10.95" hidden="false" customHeight="true" outlineLevel="0" collapsed="false">
      <c r="A8638" s="16" t="n">
        <v>45436</v>
      </c>
      <c r="B8638" s="17" t="s">
        <v>3613</v>
      </c>
      <c r="C8638" s="17" t="s">
        <v>3614</v>
      </c>
      <c r="D8638" s="17" t="s">
        <v>1391</v>
      </c>
      <c r="E8638" s="17" t="s">
        <v>3673</v>
      </c>
      <c r="F8638" s="17" t="s">
        <v>3227</v>
      </c>
      <c r="G8638" s="18" t="n">
        <v>0</v>
      </c>
      <c r="H8638" s="18" t="n">
        <v>23417</v>
      </c>
      <c r="I8638" s="18" t="n">
        <f aca="false">((I8637 + G8638) - H8638)</f>
        <v>-84888.54</v>
      </c>
      <c r="J8638" s="18" t="n">
        <v>0</v>
      </c>
      <c r="K8638" s="19" t="n">
        <v>0</v>
      </c>
      <c r="L8638" s="17"/>
    </row>
    <row r="8639" s="11" customFormat="true" ht="10.95" hidden="false" customHeight="true" outlineLevel="0" collapsed="false">
      <c r="A8639" s="16" t="n">
        <v>45437</v>
      </c>
      <c r="B8639" s="17" t="s">
        <v>3613</v>
      </c>
      <c r="C8639" s="17" t="s">
        <v>3614</v>
      </c>
      <c r="D8639" s="17" t="s">
        <v>1391</v>
      </c>
      <c r="E8639" s="17" t="s">
        <v>1583</v>
      </c>
      <c r="F8639" s="17" t="s">
        <v>2575</v>
      </c>
      <c r="G8639" s="18" t="n">
        <v>0</v>
      </c>
      <c r="H8639" s="18" t="n">
        <v>49</v>
      </c>
      <c r="I8639" s="18" t="n">
        <f aca="false">((I8638 + G8639) - H8639)</f>
        <v>-84937.54</v>
      </c>
      <c r="J8639" s="18" t="n">
        <v>0</v>
      </c>
      <c r="K8639" s="19" t="n">
        <v>0</v>
      </c>
      <c r="L8639" s="17"/>
    </row>
    <row r="8640" s="11" customFormat="true" ht="10.95" hidden="false" customHeight="true" outlineLevel="0" collapsed="false">
      <c r="A8640" s="16" t="n">
        <v>45437</v>
      </c>
      <c r="B8640" s="17" t="s">
        <v>3613</v>
      </c>
      <c r="C8640" s="17" t="s">
        <v>3614</v>
      </c>
      <c r="D8640" s="17" t="s">
        <v>2903</v>
      </c>
      <c r="E8640" s="17" t="s">
        <v>3157</v>
      </c>
      <c r="F8640" s="17" t="s">
        <v>2575</v>
      </c>
      <c r="G8640" s="18" t="n">
        <v>49</v>
      </c>
      <c r="H8640" s="18" t="n">
        <v>0</v>
      </c>
      <c r="I8640" s="18" t="n">
        <f aca="false">((I8639 + G8640) - H8640)</f>
        <v>-84888.54</v>
      </c>
      <c r="J8640" s="18" t="n">
        <v>0</v>
      </c>
      <c r="K8640" s="19" t="n">
        <v>0</v>
      </c>
      <c r="L8640" s="17"/>
    </row>
    <row r="8641" s="11" customFormat="true" ht="10.95" hidden="false" customHeight="true" outlineLevel="0" collapsed="false">
      <c r="A8641" s="16" t="n">
        <v>45439</v>
      </c>
      <c r="B8641" s="17" t="s">
        <v>3613</v>
      </c>
      <c r="C8641" s="17" t="s">
        <v>3614</v>
      </c>
      <c r="D8641" s="17" t="s">
        <v>1391</v>
      </c>
      <c r="E8641" s="17" t="s">
        <v>1583</v>
      </c>
      <c r="F8641" s="17" t="s">
        <v>3158</v>
      </c>
      <c r="G8641" s="18" t="n">
        <v>0</v>
      </c>
      <c r="H8641" s="18" t="n">
        <v>3980.47</v>
      </c>
      <c r="I8641" s="18" t="n">
        <f aca="false">((I8640 + G8641) - H8641)</f>
        <v>-88869.01</v>
      </c>
      <c r="J8641" s="18" t="n">
        <v>0</v>
      </c>
      <c r="K8641" s="19" t="n">
        <v>0</v>
      </c>
      <c r="L8641" s="17"/>
    </row>
    <row r="8642" s="11" customFormat="true" ht="10.95" hidden="false" customHeight="true" outlineLevel="0" collapsed="false">
      <c r="A8642" s="16" t="n">
        <v>45439</v>
      </c>
      <c r="B8642" s="17" t="s">
        <v>3613</v>
      </c>
      <c r="C8642" s="17" t="s">
        <v>3614</v>
      </c>
      <c r="D8642" s="17" t="s">
        <v>1391</v>
      </c>
      <c r="E8642" s="17" t="s">
        <v>3720</v>
      </c>
      <c r="F8642" s="17" t="s">
        <v>2737</v>
      </c>
      <c r="G8642" s="18" t="n">
        <v>0</v>
      </c>
      <c r="H8642" s="18" t="n">
        <v>2190.71</v>
      </c>
      <c r="I8642" s="18" t="n">
        <f aca="false">((I8641 + G8642) - H8642)</f>
        <v>-91059.72</v>
      </c>
      <c r="J8642" s="18" t="n">
        <v>0</v>
      </c>
      <c r="K8642" s="19" t="n">
        <v>0</v>
      </c>
      <c r="L8642" s="17"/>
    </row>
    <row r="8643" s="11" customFormat="true" ht="10.95" hidden="false" customHeight="true" outlineLevel="0" collapsed="false">
      <c r="A8643" s="16" t="n">
        <v>45440</v>
      </c>
      <c r="B8643" s="17" t="s">
        <v>3613</v>
      </c>
      <c r="C8643" s="17" t="s">
        <v>3614</v>
      </c>
      <c r="D8643" s="17" t="s">
        <v>2903</v>
      </c>
      <c r="E8643" s="17" t="s">
        <v>3721</v>
      </c>
      <c r="F8643" s="17" t="s">
        <v>2737</v>
      </c>
      <c r="G8643" s="18" t="n">
        <v>2190.71</v>
      </c>
      <c r="H8643" s="18" t="n">
        <v>0</v>
      </c>
      <c r="I8643" s="18" t="n">
        <f aca="false">((I8642 + G8643) - H8643)</f>
        <v>-88869.01</v>
      </c>
      <c r="J8643" s="18" t="n">
        <v>0</v>
      </c>
      <c r="K8643" s="19" t="n">
        <v>0</v>
      </c>
      <c r="L8643" s="17"/>
    </row>
    <row r="8644" s="11" customFormat="true" ht="10.95" hidden="false" customHeight="true" outlineLevel="0" collapsed="false">
      <c r="A8644" s="16" t="n">
        <v>45440</v>
      </c>
      <c r="B8644" s="17" t="s">
        <v>3613</v>
      </c>
      <c r="C8644" s="17" t="s">
        <v>3614</v>
      </c>
      <c r="D8644" s="17" t="s">
        <v>1391</v>
      </c>
      <c r="E8644" s="17" t="s">
        <v>3647</v>
      </c>
      <c r="F8644" s="17" t="s">
        <v>1567</v>
      </c>
      <c r="G8644" s="18" t="n">
        <v>0</v>
      </c>
      <c r="H8644" s="18" t="n">
        <v>6478.12</v>
      </c>
      <c r="I8644" s="18" t="n">
        <f aca="false">((I8643 + G8644) - H8644)</f>
        <v>-95347.13</v>
      </c>
      <c r="J8644" s="18" t="n">
        <v>0</v>
      </c>
      <c r="K8644" s="19" t="n">
        <v>0</v>
      </c>
      <c r="L8644" s="17"/>
    </row>
    <row r="8645" s="11" customFormat="true" ht="10.95" hidden="false" customHeight="true" outlineLevel="0" collapsed="false">
      <c r="A8645" s="16" t="n">
        <v>45441</v>
      </c>
      <c r="B8645" s="17" t="s">
        <v>3613</v>
      </c>
      <c r="C8645" s="17" t="s">
        <v>3614</v>
      </c>
      <c r="D8645" s="17" t="s">
        <v>2903</v>
      </c>
      <c r="E8645" s="17" t="s">
        <v>3157</v>
      </c>
      <c r="F8645" s="17" t="s">
        <v>3158</v>
      </c>
      <c r="G8645" s="18" t="n">
        <v>3980.47</v>
      </c>
      <c r="H8645" s="18" t="n">
        <v>0</v>
      </c>
      <c r="I8645" s="18" t="n">
        <f aca="false">((I8644 + G8645) - H8645)</f>
        <v>-91366.66</v>
      </c>
      <c r="J8645" s="18" t="n">
        <v>0</v>
      </c>
      <c r="K8645" s="19" t="n">
        <v>0</v>
      </c>
      <c r="L8645" s="17"/>
    </row>
    <row r="8646" s="11" customFormat="true" ht="10.95" hidden="false" customHeight="true" outlineLevel="0" collapsed="false">
      <c r="A8646" s="16" t="n">
        <v>45441</v>
      </c>
      <c r="B8646" s="17" t="s">
        <v>3613</v>
      </c>
      <c r="C8646" s="17" t="s">
        <v>3614</v>
      </c>
      <c r="D8646" s="17" t="s">
        <v>1391</v>
      </c>
      <c r="E8646" s="17" t="s">
        <v>3661</v>
      </c>
      <c r="F8646" s="17" t="s">
        <v>1764</v>
      </c>
      <c r="G8646" s="18" t="n">
        <v>0</v>
      </c>
      <c r="H8646" s="18" t="n">
        <v>1320</v>
      </c>
      <c r="I8646" s="18" t="n">
        <f aca="false">((I8645 + G8646) - H8646)</f>
        <v>-92686.66</v>
      </c>
      <c r="J8646" s="18" t="n">
        <v>0</v>
      </c>
      <c r="K8646" s="19" t="n">
        <v>0</v>
      </c>
      <c r="L8646" s="17"/>
    </row>
    <row r="8647" s="11" customFormat="true" ht="10.95" hidden="false" customHeight="true" outlineLevel="0" collapsed="false">
      <c r="A8647" s="16" t="n">
        <v>45441</v>
      </c>
      <c r="B8647" s="17" t="s">
        <v>3613</v>
      </c>
      <c r="C8647" s="17" t="s">
        <v>3614</v>
      </c>
      <c r="D8647" s="17" t="s">
        <v>2903</v>
      </c>
      <c r="E8647" s="17" t="s">
        <v>3663</v>
      </c>
      <c r="F8647" s="17" t="s">
        <v>1764</v>
      </c>
      <c r="G8647" s="18" t="n">
        <v>1320</v>
      </c>
      <c r="H8647" s="18" t="n">
        <v>0</v>
      </c>
      <c r="I8647" s="18" t="n">
        <f aca="false">((I8646 + G8647) - H8647)</f>
        <v>-91366.66</v>
      </c>
      <c r="J8647" s="18" t="n">
        <v>0</v>
      </c>
      <c r="K8647" s="19" t="n">
        <v>0</v>
      </c>
      <c r="L8647" s="17"/>
    </row>
    <row r="8648" s="11" customFormat="true" ht="10.95" hidden="false" customHeight="true" outlineLevel="0" collapsed="false">
      <c r="A8648" s="16" t="n">
        <v>45442</v>
      </c>
      <c r="B8648" s="17" t="s">
        <v>3613</v>
      </c>
      <c r="C8648" s="17" t="s">
        <v>3614</v>
      </c>
      <c r="D8648" s="17" t="s">
        <v>2903</v>
      </c>
      <c r="E8648" s="17" t="s">
        <v>3648</v>
      </c>
      <c r="F8648" s="17" t="s">
        <v>2732</v>
      </c>
      <c r="G8648" s="18" t="n">
        <v>214.54</v>
      </c>
      <c r="H8648" s="18" t="n">
        <v>0</v>
      </c>
      <c r="I8648" s="18" t="n">
        <f aca="false">((I8647 + G8648) - H8648)</f>
        <v>-91152.12</v>
      </c>
      <c r="J8648" s="18" t="n">
        <v>0</v>
      </c>
      <c r="K8648" s="19" t="n">
        <v>0</v>
      </c>
      <c r="L8648" s="17"/>
    </row>
    <row r="8649" s="11" customFormat="true" ht="10.95" hidden="false" customHeight="true" outlineLevel="0" collapsed="false">
      <c r="A8649" s="16" t="n">
        <v>45443</v>
      </c>
      <c r="B8649" s="17" t="s">
        <v>3613</v>
      </c>
      <c r="C8649" s="17" t="s">
        <v>3614</v>
      </c>
      <c r="D8649" s="17" t="s">
        <v>2903</v>
      </c>
      <c r="E8649" s="17" t="s">
        <v>3645</v>
      </c>
      <c r="F8649" s="17" t="s">
        <v>1565</v>
      </c>
      <c r="G8649" s="18" t="n">
        <v>27192.44</v>
      </c>
      <c r="H8649" s="18" t="n">
        <v>0</v>
      </c>
      <c r="I8649" s="18" t="n">
        <f aca="false">((I8648 + G8649) - H8649)</f>
        <v>-63959.68</v>
      </c>
      <c r="J8649" s="18" t="n">
        <v>0</v>
      </c>
      <c r="K8649" s="19" t="n">
        <v>0</v>
      </c>
      <c r="L8649" s="17"/>
    </row>
    <row r="8650" s="11" customFormat="true" ht="10.95" hidden="false" customHeight="true" outlineLevel="0" collapsed="false">
      <c r="A8650" s="16" t="n">
        <v>45443</v>
      </c>
      <c r="B8650" s="17" t="s">
        <v>3613</v>
      </c>
      <c r="C8650" s="17" t="s">
        <v>3614</v>
      </c>
      <c r="D8650" s="17" t="s">
        <v>2903</v>
      </c>
      <c r="E8650" s="17" t="s">
        <v>3645</v>
      </c>
      <c r="F8650" s="17" t="s">
        <v>1563</v>
      </c>
      <c r="G8650" s="18" t="n">
        <v>2541.48</v>
      </c>
      <c r="H8650" s="18" t="n">
        <v>0</v>
      </c>
      <c r="I8650" s="18" t="n">
        <f aca="false">((I8649 + G8650) - H8650)</f>
        <v>-61418.1999999999</v>
      </c>
      <c r="J8650" s="18" t="n">
        <v>0</v>
      </c>
      <c r="K8650" s="19" t="n">
        <v>0</v>
      </c>
      <c r="L8650" s="17"/>
    </row>
    <row r="8651" s="11" customFormat="true" ht="10.95" hidden="false" customHeight="true" outlineLevel="0" collapsed="false">
      <c r="A8651" s="16" t="n">
        <v>45443</v>
      </c>
      <c r="B8651" s="17" t="s">
        <v>3613</v>
      </c>
      <c r="C8651" s="17" t="s">
        <v>3614</v>
      </c>
      <c r="D8651" s="17" t="s">
        <v>1391</v>
      </c>
      <c r="E8651" s="17" t="s">
        <v>3627</v>
      </c>
      <c r="F8651" s="17" t="s">
        <v>1569</v>
      </c>
      <c r="G8651" s="18" t="n">
        <v>0</v>
      </c>
      <c r="H8651" s="18" t="n">
        <v>3743.95</v>
      </c>
      <c r="I8651" s="18" t="n">
        <f aca="false">((I8650 + G8651) - H8651)</f>
        <v>-65162.1499999999</v>
      </c>
      <c r="J8651" s="18" t="n">
        <v>0</v>
      </c>
      <c r="K8651" s="19" t="n">
        <v>0</v>
      </c>
      <c r="L8651" s="17"/>
    </row>
    <row r="8652" s="11" customFormat="true" ht="10.95" hidden="false" customHeight="true" outlineLevel="0" collapsed="false">
      <c r="A8652" s="16" t="n">
        <v>45444</v>
      </c>
      <c r="B8652" s="17" t="s">
        <v>3613</v>
      </c>
      <c r="C8652" s="17" t="s">
        <v>3614</v>
      </c>
      <c r="D8652" s="17" t="s">
        <v>1391</v>
      </c>
      <c r="E8652" s="17" t="s">
        <v>3615</v>
      </c>
      <c r="F8652" s="17" t="s">
        <v>1571</v>
      </c>
      <c r="G8652" s="18" t="n">
        <v>0</v>
      </c>
      <c r="H8652" s="18" t="n">
        <v>538.76</v>
      </c>
      <c r="I8652" s="18" t="n">
        <f aca="false">((I8651 + G8652) - H8652)</f>
        <v>-65700.91</v>
      </c>
      <c r="J8652" s="18" t="n">
        <v>0</v>
      </c>
      <c r="K8652" s="19" t="n">
        <v>0</v>
      </c>
      <c r="L8652" s="17"/>
    </row>
    <row r="8653" s="11" customFormat="true" ht="10.95" hidden="false" customHeight="true" outlineLevel="0" collapsed="false">
      <c r="A8653" s="16" t="n">
        <v>45444</v>
      </c>
      <c r="B8653" s="17" t="s">
        <v>3613</v>
      </c>
      <c r="C8653" s="17" t="s">
        <v>3614</v>
      </c>
      <c r="D8653" s="17" t="s">
        <v>2903</v>
      </c>
      <c r="E8653" s="17" t="s">
        <v>3616</v>
      </c>
      <c r="F8653" s="17" t="s">
        <v>3326</v>
      </c>
      <c r="G8653" s="18" t="n">
        <v>3884.1</v>
      </c>
      <c r="H8653" s="18" t="n">
        <v>0</v>
      </c>
      <c r="I8653" s="18" t="n">
        <f aca="false">((I8652 + G8653) - H8653)</f>
        <v>-61816.81</v>
      </c>
      <c r="J8653" s="18" t="n">
        <v>0</v>
      </c>
      <c r="K8653" s="19" t="n">
        <v>0</v>
      </c>
      <c r="L8653" s="17"/>
    </row>
    <row r="8654" s="11" customFormat="true" ht="10.95" hidden="false" customHeight="true" outlineLevel="0" collapsed="false">
      <c r="A8654" s="16" t="n">
        <v>45444</v>
      </c>
      <c r="B8654" s="17" t="s">
        <v>3613</v>
      </c>
      <c r="C8654" s="17" t="s">
        <v>3614</v>
      </c>
      <c r="D8654" s="17" t="s">
        <v>2903</v>
      </c>
      <c r="E8654" s="17" t="s">
        <v>3160</v>
      </c>
      <c r="F8654" s="17" t="s">
        <v>2560</v>
      </c>
      <c r="G8654" s="18" t="n">
        <v>341.46</v>
      </c>
      <c r="H8654" s="18" t="n">
        <v>0</v>
      </c>
      <c r="I8654" s="18" t="n">
        <f aca="false">((I8653 + G8654) - H8654)</f>
        <v>-61475.35</v>
      </c>
      <c r="J8654" s="18" t="n">
        <v>0</v>
      </c>
      <c r="K8654" s="19" t="n">
        <v>0</v>
      </c>
      <c r="L8654" s="17"/>
    </row>
    <row r="8655" s="11" customFormat="true" ht="10.95" hidden="false" customHeight="true" outlineLevel="0" collapsed="false">
      <c r="A8655" s="16" t="n">
        <v>45444</v>
      </c>
      <c r="B8655" s="17" t="s">
        <v>3613</v>
      </c>
      <c r="C8655" s="17" t="s">
        <v>3614</v>
      </c>
      <c r="D8655" s="17" t="s">
        <v>1391</v>
      </c>
      <c r="E8655" s="17" t="s">
        <v>3680</v>
      </c>
      <c r="F8655" s="17" t="s">
        <v>2739</v>
      </c>
      <c r="G8655" s="18" t="n">
        <v>0</v>
      </c>
      <c r="H8655" s="18" t="n">
        <v>179.97</v>
      </c>
      <c r="I8655" s="18" t="n">
        <f aca="false">((I8654 + G8655) - H8655)</f>
        <v>-61655.32</v>
      </c>
      <c r="J8655" s="18" t="n">
        <v>0</v>
      </c>
      <c r="K8655" s="19" t="n">
        <v>0</v>
      </c>
      <c r="L8655" s="17"/>
    </row>
    <row r="8656" s="11" customFormat="true" ht="10.95" hidden="false" customHeight="true" outlineLevel="0" collapsed="false">
      <c r="A8656" s="16" t="n">
        <v>45444</v>
      </c>
      <c r="B8656" s="17" t="s">
        <v>3613</v>
      </c>
      <c r="C8656" s="17" t="s">
        <v>3614</v>
      </c>
      <c r="D8656" s="17" t="s">
        <v>1391</v>
      </c>
      <c r="E8656" s="17" t="s">
        <v>3683</v>
      </c>
      <c r="F8656" s="17" t="s">
        <v>1573</v>
      </c>
      <c r="G8656" s="18" t="n">
        <v>0</v>
      </c>
      <c r="H8656" s="18" t="n">
        <v>247.87</v>
      </c>
      <c r="I8656" s="18" t="n">
        <f aca="false">((I8655 + G8656) - H8656)</f>
        <v>-61903.19</v>
      </c>
      <c r="J8656" s="18" t="n">
        <v>0</v>
      </c>
      <c r="K8656" s="19" t="n">
        <v>0</v>
      </c>
      <c r="L8656" s="17"/>
    </row>
    <row r="8657" s="11" customFormat="true" ht="10.95" hidden="false" customHeight="true" outlineLevel="0" collapsed="false">
      <c r="A8657" s="16" t="n">
        <v>45444</v>
      </c>
      <c r="B8657" s="17" t="s">
        <v>3613</v>
      </c>
      <c r="C8657" s="17" t="s">
        <v>3614</v>
      </c>
      <c r="D8657" s="17" t="s">
        <v>1391</v>
      </c>
      <c r="E8657" s="17" t="s">
        <v>3621</v>
      </c>
      <c r="F8657" s="17" t="s">
        <v>2741</v>
      </c>
      <c r="G8657" s="18" t="n">
        <v>0</v>
      </c>
      <c r="H8657" s="18" t="n">
        <v>731.5</v>
      </c>
      <c r="I8657" s="18" t="n">
        <f aca="false">((I8656 + G8657) - H8657)</f>
        <v>-62634.69</v>
      </c>
      <c r="J8657" s="18" t="n">
        <v>0</v>
      </c>
      <c r="K8657" s="19" t="n">
        <v>0</v>
      </c>
      <c r="L8657" s="17"/>
    </row>
    <row r="8658" s="11" customFormat="true" ht="10.95" hidden="false" customHeight="true" outlineLevel="0" collapsed="false">
      <c r="A8658" s="16" t="n">
        <v>45444</v>
      </c>
      <c r="B8658" s="17" t="s">
        <v>3613</v>
      </c>
      <c r="C8658" s="17" t="s">
        <v>3614</v>
      </c>
      <c r="D8658" s="17" t="s">
        <v>1391</v>
      </c>
      <c r="E8658" s="17" t="s">
        <v>3705</v>
      </c>
      <c r="F8658" s="17" t="s">
        <v>3329</v>
      </c>
      <c r="G8658" s="18" t="n">
        <v>0</v>
      </c>
      <c r="H8658" s="18" t="n">
        <v>3535.59</v>
      </c>
      <c r="I8658" s="18" t="n">
        <f aca="false">((I8657 + G8658) - H8658)</f>
        <v>-66170.28</v>
      </c>
      <c r="J8658" s="18" t="n">
        <v>0</v>
      </c>
      <c r="K8658" s="19" t="n">
        <v>0</v>
      </c>
      <c r="L8658" s="17"/>
    </row>
    <row r="8659" s="11" customFormat="true" ht="10.95" hidden="false" customHeight="true" outlineLevel="0" collapsed="false">
      <c r="A8659" s="16" t="n">
        <v>45444</v>
      </c>
      <c r="B8659" s="17" t="s">
        <v>3613</v>
      </c>
      <c r="C8659" s="17" t="s">
        <v>3614</v>
      </c>
      <c r="D8659" s="17" t="s">
        <v>1391</v>
      </c>
      <c r="E8659" s="17" t="s">
        <v>3726</v>
      </c>
      <c r="F8659" s="17" t="s">
        <v>3331</v>
      </c>
      <c r="G8659" s="18" t="n">
        <v>0</v>
      </c>
      <c r="H8659" s="18" t="n">
        <v>4258.94</v>
      </c>
      <c r="I8659" s="18" t="n">
        <f aca="false">((I8658 + G8659) - H8659)</f>
        <v>-70429.22</v>
      </c>
      <c r="J8659" s="18" t="n">
        <v>0</v>
      </c>
      <c r="K8659" s="19" t="n">
        <v>0</v>
      </c>
      <c r="L8659" s="17"/>
    </row>
    <row r="8660" s="11" customFormat="true" ht="10.95" hidden="false" customHeight="true" outlineLevel="0" collapsed="false">
      <c r="A8660" s="16" t="n">
        <v>45445</v>
      </c>
      <c r="B8660" s="17" t="s">
        <v>3613</v>
      </c>
      <c r="C8660" s="17" t="s">
        <v>3614</v>
      </c>
      <c r="D8660" s="17" t="s">
        <v>1391</v>
      </c>
      <c r="E8660" s="17" t="s">
        <v>3625</v>
      </c>
      <c r="F8660" s="17" t="s">
        <v>3333</v>
      </c>
      <c r="G8660" s="18" t="n">
        <v>0</v>
      </c>
      <c r="H8660" s="18" t="n">
        <v>190.61</v>
      </c>
      <c r="I8660" s="18" t="n">
        <f aca="false">((I8659 + G8660) - H8660)</f>
        <v>-70619.83</v>
      </c>
      <c r="J8660" s="18" t="n">
        <v>0</v>
      </c>
      <c r="K8660" s="19" t="n">
        <v>0</v>
      </c>
      <c r="L8660" s="17"/>
    </row>
    <row r="8661" s="11" customFormat="true" ht="10.95" hidden="false" customHeight="true" outlineLevel="0" collapsed="false">
      <c r="A8661" s="16" t="n">
        <v>45445</v>
      </c>
      <c r="B8661" s="17" t="s">
        <v>3613</v>
      </c>
      <c r="C8661" s="17" t="s">
        <v>3614</v>
      </c>
      <c r="D8661" s="17" t="s">
        <v>1391</v>
      </c>
      <c r="E8661" s="17" t="s">
        <v>3733</v>
      </c>
      <c r="F8661" s="17" t="s">
        <v>2093</v>
      </c>
      <c r="G8661" s="18" t="n">
        <v>0</v>
      </c>
      <c r="H8661" s="18" t="n">
        <v>935</v>
      </c>
      <c r="I8661" s="18" t="n">
        <f aca="false">((I8660 + G8661) - H8661)</f>
        <v>-71554.83</v>
      </c>
      <c r="J8661" s="18" t="n">
        <v>0</v>
      </c>
      <c r="K8661" s="19" t="n">
        <v>0</v>
      </c>
      <c r="L8661" s="17"/>
    </row>
    <row r="8662" s="11" customFormat="true" ht="10.95" hidden="false" customHeight="true" outlineLevel="0" collapsed="false">
      <c r="A8662" s="16" t="n">
        <v>45446</v>
      </c>
      <c r="B8662" s="17" t="s">
        <v>3613</v>
      </c>
      <c r="C8662" s="17" t="s">
        <v>3614</v>
      </c>
      <c r="D8662" s="17" t="s">
        <v>2903</v>
      </c>
      <c r="E8662" s="17" t="s">
        <v>3629</v>
      </c>
      <c r="F8662" s="17" t="s">
        <v>3223</v>
      </c>
      <c r="G8662" s="18" t="n">
        <v>5010.29</v>
      </c>
      <c r="H8662" s="18" t="n">
        <v>0</v>
      </c>
      <c r="I8662" s="18" t="n">
        <f aca="false">((I8661 + G8662) - H8662)</f>
        <v>-66544.54</v>
      </c>
      <c r="J8662" s="18" t="n">
        <v>0</v>
      </c>
      <c r="K8662" s="19" t="n">
        <v>0</v>
      </c>
      <c r="L8662" s="17"/>
    </row>
    <row r="8663" s="11" customFormat="true" ht="10.95" hidden="false" customHeight="true" outlineLevel="0" collapsed="false">
      <c r="A8663" s="16" t="n">
        <v>45446</v>
      </c>
      <c r="B8663" s="17" t="s">
        <v>3613</v>
      </c>
      <c r="C8663" s="17" t="s">
        <v>3614</v>
      </c>
      <c r="D8663" s="17" t="s">
        <v>2903</v>
      </c>
      <c r="E8663" s="17" t="s">
        <v>3631</v>
      </c>
      <c r="F8663" s="17" t="s">
        <v>3333</v>
      </c>
      <c r="G8663" s="18" t="n">
        <v>190.61</v>
      </c>
      <c r="H8663" s="18" t="n">
        <v>0</v>
      </c>
      <c r="I8663" s="18" t="n">
        <f aca="false">((I8662 + G8663) - H8663)</f>
        <v>-66353.93</v>
      </c>
      <c r="J8663" s="18" t="n">
        <v>0</v>
      </c>
      <c r="K8663" s="19" t="n">
        <v>0</v>
      </c>
      <c r="L8663" s="17"/>
    </row>
    <row r="8664" s="11" customFormat="true" ht="10.95" hidden="false" customHeight="true" outlineLevel="0" collapsed="false">
      <c r="A8664" s="16" t="n">
        <v>45446</v>
      </c>
      <c r="B8664" s="17" t="s">
        <v>3613</v>
      </c>
      <c r="C8664" s="17" t="s">
        <v>3614</v>
      </c>
      <c r="D8664" s="17" t="s">
        <v>2903</v>
      </c>
      <c r="E8664" s="17" t="s">
        <v>2963</v>
      </c>
      <c r="F8664" s="17" t="s">
        <v>2739</v>
      </c>
      <c r="G8664" s="18" t="n">
        <v>179.97</v>
      </c>
      <c r="H8664" s="18" t="n">
        <v>0</v>
      </c>
      <c r="I8664" s="18" t="n">
        <f aca="false">((I8663 + G8664) - H8664)</f>
        <v>-66173.96</v>
      </c>
      <c r="J8664" s="18" t="n">
        <v>0</v>
      </c>
      <c r="K8664" s="19" t="n">
        <v>0</v>
      </c>
      <c r="L8664" s="17"/>
    </row>
    <row r="8665" s="11" customFormat="true" ht="10.95" hidden="false" customHeight="true" outlineLevel="0" collapsed="false">
      <c r="A8665" s="16" t="n">
        <v>45446</v>
      </c>
      <c r="B8665" s="17" t="s">
        <v>3613</v>
      </c>
      <c r="C8665" s="17" t="s">
        <v>3614</v>
      </c>
      <c r="D8665" s="17" t="s">
        <v>1391</v>
      </c>
      <c r="E8665" s="17" t="s">
        <v>3734</v>
      </c>
      <c r="F8665" s="17" t="s">
        <v>2577</v>
      </c>
      <c r="G8665" s="18" t="n">
        <v>0</v>
      </c>
      <c r="H8665" s="18" t="n">
        <v>141.68</v>
      </c>
      <c r="I8665" s="18" t="n">
        <f aca="false">((I8664 + G8665) - H8665)</f>
        <v>-66315.64</v>
      </c>
      <c r="J8665" s="18" t="n">
        <v>0</v>
      </c>
      <c r="K8665" s="19" t="n">
        <v>0</v>
      </c>
      <c r="L8665" s="17"/>
    </row>
    <row r="8666" s="11" customFormat="true" ht="10.95" hidden="false" customHeight="true" outlineLevel="0" collapsed="false">
      <c r="A8666" s="16" t="n">
        <v>45446</v>
      </c>
      <c r="B8666" s="17" t="s">
        <v>3613</v>
      </c>
      <c r="C8666" s="17" t="s">
        <v>3614</v>
      </c>
      <c r="D8666" s="17" t="s">
        <v>2903</v>
      </c>
      <c r="E8666" s="17" t="s">
        <v>3629</v>
      </c>
      <c r="F8666" s="17" t="s">
        <v>3225</v>
      </c>
      <c r="G8666" s="18" t="n">
        <v>8970.2</v>
      </c>
      <c r="H8666" s="18" t="n">
        <v>0</v>
      </c>
      <c r="I8666" s="18" t="n">
        <f aca="false">((I8665 + G8666) - H8666)</f>
        <v>-57345.44</v>
      </c>
      <c r="J8666" s="18" t="n">
        <v>0</v>
      </c>
      <c r="K8666" s="19" t="n">
        <v>0</v>
      </c>
      <c r="L8666" s="17"/>
    </row>
    <row r="8667" s="11" customFormat="true" ht="10.95" hidden="false" customHeight="true" outlineLevel="0" collapsed="false">
      <c r="A8667" s="16" t="n">
        <v>45447</v>
      </c>
      <c r="B8667" s="17" t="s">
        <v>3613</v>
      </c>
      <c r="C8667" s="17" t="s">
        <v>3614</v>
      </c>
      <c r="D8667" s="17" t="s">
        <v>2903</v>
      </c>
      <c r="E8667" s="17" t="s">
        <v>3637</v>
      </c>
      <c r="F8667" s="17" t="s">
        <v>2721</v>
      </c>
      <c r="G8667" s="18" t="n">
        <v>731.5</v>
      </c>
      <c r="H8667" s="18" t="n">
        <v>0</v>
      </c>
      <c r="I8667" s="18" t="n">
        <f aca="false">((I8666 + G8667) - H8667)</f>
        <v>-56613.94</v>
      </c>
      <c r="J8667" s="18" t="n">
        <v>0</v>
      </c>
      <c r="K8667" s="19" t="n">
        <v>0</v>
      </c>
      <c r="L8667" s="17"/>
    </row>
    <row r="8668" s="11" customFormat="true" ht="10.95" hidden="false" customHeight="true" outlineLevel="0" collapsed="false">
      <c r="A8668" s="16" t="n">
        <v>45447</v>
      </c>
      <c r="B8668" s="17" t="s">
        <v>3613</v>
      </c>
      <c r="C8668" s="17" t="s">
        <v>3614</v>
      </c>
      <c r="D8668" s="17" t="s">
        <v>2903</v>
      </c>
      <c r="E8668" s="17" t="s">
        <v>3652</v>
      </c>
      <c r="F8668" s="17" t="s">
        <v>2438</v>
      </c>
      <c r="G8668" s="18" t="n">
        <v>179</v>
      </c>
      <c r="H8668" s="18" t="n">
        <v>0</v>
      </c>
      <c r="I8668" s="18" t="n">
        <f aca="false">((I8667 + G8668) - H8668)</f>
        <v>-56434.94</v>
      </c>
      <c r="J8668" s="18" t="n">
        <v>0</v>
      </c>
      <c r="K8668" s="19" t="n">
        <v>0</v>
      </c>
      <c r="L8668" s="17"/>
    </row>
    <row r="8669" s="11" customFormat="true" ht="10.95" hidden="false" customHeight="true" outlineLevel="0" collapsed="false">
      <c r="A8669" s="16" t="n">
        <v>45447</v>
      </c>
      <c r="B8669" s="17" t="s">
        <v>3613</v>
      </c>
      <c r="C8669" s="17" t="s">
        <v>3614</v>
      </c>
      <c r="D8669" s="17" t="s">
        <v>2903</v>
      </c>
      <c r="E8669" s="17" t="s">
        <v>3652</v>
      </c>
      <c r="F8669" s="17" t="s">
        <v>2436</v>
      </c>
      <c r="G8669" s="18" t="n">
        <v>248</v>
      </c>
      <c r="H8669" s="18" t="n">
        <v>0</v>
      </c>
      <c r="I8669" s="18" t="n">
        <f aca="false">((I8668 + G8669) - H8669)</f>
        <v>-56186.94</v>
      </c>
      <c r="J8669" s="18" t="n">
        <v>0</v>
      </c>
      <c r="K8669" s="19" t="n">
        <v>0</v>
      </c>
      <c r="L8669" s="17"/>
    </row>
    <row r="8670" s="11" customFormat="true" ht="10.95" hidden="false" customHeight="true" outlineLevel="0" collapsed="false">
      <c r="A8670" s="16" t="n">
        <v>45447</v>
      </c>
      <c r="B8670" s="17" t="s">
        <v>3613</v>
      </c>
      <c r="C8670" s="17" t="s">
        <v>3614</v>
      </c>
      <c r="D8670" s="17" t="s">
        <v>1391</v>
      </c>
      <c r="E8670" s="17" t="s">
        <v>3615</v>
      </c>
      <c r="F8670" s="17" t="s">
        <v>1575</v>
      </c>
      <c r="G8670" s="18" t="n">
        <v>0</v>
      </c>
      <c r="H8670" s="18" t="n">
        <v>27192.44</v>
      </c>
      <c r="I8670" s="18" t="n">
        <f aca="false">((I8669 + G8670) - H8670)</f>
        <v>-83379.38</v>
      </c>
      <c r="J8670" s="18" t="n">
        <v>0</v>
      </c>
      <c r="K8670" s="19" t="n">
        <v>0</v>
      </c>
      <c r="L8670" s="17"/>
    </row>
    <row r="8671" s="11" customFormat="true" ht="10.95" hidden="false" customHeight="true" outlineLevel="0" collapsed="false">
      <c r="A8671" s="16" t="n">
        <v>45447</v>
      </c>
      <c r="B8671" s="17" t="s">
        <v>3613</v>
      </c>
      <c r="C8671" s="17" t="s">
        <v>3614</v>
      </c>
      <c r="D8671" s="17" t="s">
        <v>2903</v>
      </c>
      <c r="E8671" s="17" t="s">
        <v>2969</v>
      </c>
      <c r="F8671" s="17" t="s">
        <v>1573</v>
      </c>
      <c r="G8671" s="18" t="n">
        <v>247.87</v>
      </c>
      <c r="H8671" s="18" t="n">
        <v>0</v>
      </c>
      <c r="I8671" s="18" t="n">
        <f aca="false">((I8670 + G8671) - H8671)</f>
        <v>-83131.51</v>
      </c>
      <c r="J8671" s="18" t="n">
        <v>0</v>
      </c>
      <c r="K8671" s="19" t="n">
        <v>0</v>
      </c>
      <c r="L8671" s="17"/>
    </row>
    <row r="8672" s="11" customFormat="true" ht="10.95" hidden="false" customHeight="true" outlineLevel="0" collapsed="false">
      <c r="A8672" s="16" t="n">
        <v>45447</v>
      </c>
      <c r="B8672" s="17" t="s">
        <v>3613</v>
      </c>
      <c r="C8672" s="17" t="s">
        <v>3614</v>
      </c>
      <c r="D8672" s="17" t="s">
        <v>1391</v>
      </c>
      <c r="E8672" s="17" t="s">
        <v>3615</v>
      </c>
      <c r="F8672" s="17" t="s">
        <v>1577</v>
      </c>
      <c r="G8672" s="18" t="n">
        <v>0</v>
      </c>
      <c r="H8672" s="18" t="n">
        <v>2755.65</v>
      </c>
      <c r="I8672" s="18" t="n">
        <f aca="false">((I8671 + G8672) - H8672)</f>
        <v>-85887.16</v>
      </c>
      <c r="J8672" s="18" t="n">
        <v>0</v>
      </c>
      <c r="K8672" s="19" t="n">
        <v>0</v>
      </c>
      <c r="L8672" s="17"/>
    </row>
    <row r="8673" s="11" customFormat="true" ht="10.95" hidden="false" customHeight="true" outlineLevel="0" collapsed="false">
      <c r="A8673" s="16" t="n">
        <v>45447</v>
      </c>
      <c r="B8673" s="17" t="s">
        <v>3613</v>
      </c>
      <c r="C8673" s="17" t="s">
        <v>3614</v>
      </c>
      <c r="D8673" s="17" t="s">
        <v>1391</v>
      </c>
      <c r="E8673" s="17" t="s">
        <v>3622</v>
      </c>
      <c r="F8673" s="17" t="s">
        <v>1579</v>
      </c>
      <c r="G8673" s="18" t="n">
        <v>0</v>
      </c>
      <c r="H8673" s="18" t="n">
        <v>2316.36</v>
      </c>
      <c r="I8673" s="18" t="n">
        <f aca="false">((I8672 + G8673) - H8673)</f>
        <v>-88203.52</v>
      </c>
      <c r="J8673" s="18" t="n">
        <v>0</v>
      </c>
      <c r="K8673" s="19" t="n">
        <v>0</v>
      </c>
      <c r="L8673" s="17"/>
    </row>
    <row r="8674" s="11" customFormat="true" ht="10.95" hidden="false" customHeight="true" outlineLevel="0" collapsed="false">
      <c r="A8674" s="16" t="n">
        <v>45448</v>
      </c>
      <c r="B8674" s="17" t="s">
        <v>3613</v>
      </c>
      <c r="C8674" s="17" t="s">
        <v>3614</v>
      </c>
      <c r="D8674" s="17" t="s">
        <v>2903</v>
      </c>
      <c r="E8674" s="17" t="s">
        <v>3657</v>
      </c>
      <c r="F8674" s="17" t="s">
        <v>1567</v>
      </c>
      <c r="G8674" s="18" t="n">
        <v>6478.12</v>
      </c>
      <c r="H8674" s="18" t="n">
        <v>0</v>
      </c>
      <c r="I8674" s="18" t="n">
        <f aca="false">((I8673 + G8674) - H8674)</f>
        <v>-81725.4</v>
      </c>
      <c r="J8674" s="18" t="n">
        <v>0</v>
      </c>
      <c r="K8674" s="19" t="n">
        <v>0</v>
      </c>
      <c r="L8674" s="17"/>
    </row>
    <row r="8675" s="11" customFormat="true" ht="10.95" hidden="false" customHeight="true" outlineLevel="0" collapsed="false">
      <c r="A8675" s="16" t="n">
        <v>45448</v>
      </c>
      <c r="B8675" s="17" t="s">
        <v>3613</v>
      </c>
      <c r="C8675" s="17" t="s">
        <v>3614</v>
      </c>
      <c r="D8675" s="17" t="s">
        <v>2903</v>
      </c>
      <c r="E8675" s="17" t="s">
        <v>2904</v>
      </c>
      <c r="F8675" s="17" t="s">
        <v>1569</v>
      </c>
      <c r="G8675" s="18" t="n">
        <v>3743.95</v>
      </c>
      <c r="H8675" s="18" t="n">
        <v>0</v>
      </c>
      <c r="I8675" s="18" t="n">
        <f aca="false">((I8674 + G8675) - H8675)</f>
        <v>-77981.45</v>
      </c>
      <c r="J8675" s="18" t="n">
        <v>0</v>
      </c>
      <c r="K8675" s="19" t="n">
        <v>0</v>
      </c>
      <c r="L8675" s="17"/>
    </row>
    <row r="8676" s="11" customFormat="true" ht="10.95" hidden="false" customHeight="true" outlineLevel="0" collapsed="false">
      <c r="A8676" s="16" t="n">
        <v>45449</v>
      </c>
      <c r="B8676" s="17" t="s">
        <v>3613</v>
      </c>
      <c r="C8676" s="17" t="s">
        <v>3614</v>
      </c>
      <c r="D8676" s="17" t="s">
        <v>2903</v>
      </c>
      <c r="E8676" s="17" t="s">
        <v>3735</v>
      </c>
      <c r="F8676" s="17" t="s">
        <v>2577</v>
      </c>
      <c r="G8676" s="18" t="n">
        <v>141.68</v>
      </c>
      <c r="H8676" s="18" t="n">
        <v>0</v>
      </c>
      <c r="I8676" s="18" t="n">
        <f aca="false">((I8675 + G8676) - H8676)</f>
        <v>-77839.77</v>
      </c>
      <c r="J8676" s="18" t="n">
        <v>0</v>
      </c>
      <c r="K8676" s="19" t="n">
        <v>0</v>
      </c>
      <c r="L8676" s="17"/>
    </row>
    <row r="8677" s="11" customFormat="true" ht="10.95" hidden="false" customHeight="true" outlineLevel="0" collapsed="false">
      <c r="A8677" s="16" t="n">
        <v>45449</v>
      </c>
      <c r="B8677" s="17" t="s">
        <v>3613</v>
      </c>
      <c r="C8677" s="17" t="s">
        <v>3614</v>
      </c>
      <c r="D8677" s="17" t="s">
        <v>1391</v>
      </c>
      <c r="E8677" s="17" t="s">
        <v>3647</v>
      </c>
      <c r="F8677" s="17" t="s">
        <v>3230</v>
      </c>
      <c r="G8677" s="18" t="n">
        <v>0</v>
      </c>
      <c r="H8677" s="18" t="n">
        <v>4243.86</v>
      </c>
      <c r="I8677" s="18" t="n">
        <f aca="false">((I8676 + G8677) - H8677)</f>
        <v>-82083.63</v>
      </c>
      <c r="J8677" s="18" t="n">
        <v>0</v>
      </c>
      <c r="K8677" s="19" t="n">
        <v>0</v>
      </c>
      <c r="L8677" s="17"/>
    </row>
    <row r="8678" s="11" customFormat="true" ht="10.95" hidden="false" customHeight="true" outlineLevel="0" collapsed="false">
      <c r="A8678" s="16" t="n">
        <v>45449</v>
      </c>
      <c r="B8678" s="17" t="s">
        <v>3613</v>
      </c>
      <c r="C8678" s="17" t="s">
        <v>3614</v>
      </c>
      <c r="D8678" s="17" t="s">
        <v>1391</v>
      </c>
      <c r="E8678" s="17" t="s">
        <v>3647</v>
      </c>
      <c r="F8678" s="17" t="s">
        <v>3232</v>
      </c>
      <c r="G8678" s="18" t="n">
        <v>0</v>
      </c>
      <c r="H8678" s="18" t="n">
        <v>5053.28</v>
      </c>
      <c r="I8678" s="18" t="n">
        <f aca="false">((I8677 + G8678) - H8678)</f>
        <v>-87136.91</v>
      </c>
      <c r="J8678" s="18" t="n">
        <v>0</v>
      </c>
      <c r="K8678" s="19" t="n">
        <v>0</v>
      </c>
      <c r="L8678" s="17"/>
    </row>
    <row r="8679" s="11" customFormat="true" ht="10.95" hidden="false" customHeight="true" outlineLevel="0" collapsed="false">
      <c r="A8679" s="16" t="n">
        <v>45449</v>
      </c>
      <c r="B8679" s="17" t="s">
        <v>3613</v>
      </c>
      <c r="C8679" s="17" t="s">
        <v>3614</v>
      </c>
      <c r="D8679" s="17" t="s">
        <v>2903</v>
      </c>
      <c r="E8679" s="17" t="s">
        <v>3657</v>
      </c>
      <c r="F8679" s="17" t="s">
        <v>3230</v>
      </c>
      <c r="G8679" s="18" t="n">
        <v>4243.86</v>
      </c>
      <c r="H8679" s="18" t="n">
        <v>0</v>
      </c>
      <c r="I8679" s="18" t="n">
        <f aca="false">((I8678 + G8679) - H8679)</f>
        <v>-82893.05</v>
      </c>
      <c r="J8679" s="18" t="n">
        <v>0</v>
      </c>
      <c r="K8679" s="19" t="n">
        <v>0</v>
      </c>
      <c r="L8679" s="17"/>
    </row>
    <row r="8680" s="11" customFormat="true" ht="10.95" hidden="false" customHeight="true" outlineLevel="0" collapsed="false">
      <c r="A8680" s="16" t="n">
        <v>45449</v>
      </c>
      <c r="B8680" s="17" t="s">
        <v>3613</v>
      </c>
      <c r="C8680" s="17" t="s">
        <v>3614</v>
      </c>
      <c r="D8680" s="17" t="s">
        <v>2903</v>
      </c>
      <c r="E8680" s="17" t="s">
        <v>3657</v>
      </c>
      <c r="F8680" s="17" t="s">
        <v>3232</v>
      </c>
      <c r="G8680" s="18" t="n">
        <v>5053.28</v>
      </c>
      <c r="H8680" s="18" t="n">
        <v>0</v>
      </c>
      <c r="I8680" s="18" t="n">
        <f aca="false">((I8679 + G8680) - H8680)</f>
        <v>-77839.77</v>
      </c>
      <c r="J8680" s="18" t="n">
        <v>0</v>
      </c>
      <c r="K8680" s="19" t="n">
        <v>0</v>
      </c>
      <c r="L8680" s="17"/>
    </row>
    <row r="8681" s="11" customFormat="true" ht="10.95" hidden="false" customHeight="true" outlineLevel="0" collapsed="false">
      <c r="A8681" s="16" t="n">
        <v>45450</v>
      </c>
      <c r="B8681" s="17" t="s">
        <v>3613</v>
      </c>
      <c r="C8681" s="17" t="s">
        <v>3614</v>
      </c>
      <c r="D8681" s="17" t="s">
        <v>2903</v>
      </c>
      <c r="E8681" s="17" t="s">
        <v>2909</v>
      </c>
      <c r="F8681" s="17" t="s">
        <v>1595</v>
      </c>
      <c r="G8681" s="18" t="n">
        <v>1472.68</v>
      </c>
      <c r="H8681" s="18" t="n">
        <v>0</v>
      </c>
      <c r="I8681" s="18" t="n">
        <f aca="false">((I8680 + G8681) - H8681)</f>
        <v>-76367.09</v>
      </c>
      <c r="J8681" s="18" t="n">
        <v>0</v>
      </c>
      <c r="K8681" s="19" t="n">
        <v>0</v>
      </c>
      <c r="L8681" s="17"/>
    </row>
    <row r="8682" s="11" customFormat="true" ht="10.95" hidden="false" customHeight="true" outlineLevel="0" collapsed="false">
      <c r="A8682" s="16" t="n">
        <v>45451</v>
      </c>
      <c r="B8682" s="17" t="s">
        <v>3613</v>
      </c>
      <c r="C8682" s="17" t="s">
        <v>3614</v>
      </c>
      <c r="D8682" s="17" t="s">
        <v>1391</v>
      </c>
      <c r="E8682" s="17" t="s">
        <v>3638</v>
      </c>
      <c r="F8682" s="17" t="s">
        <v>3335</v>
      </c>
      <c r="G8682" s="18" t="n">
        <v>0</v>
      </c>
      <c r="H8682" s="18" t="n">
        <v>595.32</v>
      </c>
      <c r="I8682" s="18" t="n">
        <f aca="false">((I8681 + G8682) - H8682)</f>
        <v>-76962.41</v>
      </c>
      <c r="J8682" s="18" t="n">
        <v>0</v>
      </c>
      <c r="K8682" s="19" t="n">
        <v>0</v>
      </c>
      <c r="L8682" s="17"/>
    </row>
    <row r="8683" s="11" customFormat="true" ht="10.95" hidden="false" customHeight="true" outlineLevel="0" collapsed="false">
      <c r="A8683" s="16" t="n">
        <v>45451</v>
      </c>
      <c r="B8683" s="17" t="s">
        <v>3613</v>
      </c>
      <c r="C8683" s="17" t="s">
        <v>3614</v>
      </c>
      <c r="D8683" s="17" t="s">
        <v>1391</v>
      </c>
      <c r="E8683" s="17" t="s">
        <v>3736</v>
      </c>
      <c r="F8683" s="17" t="s">
        <v>3605</v>
      </c>
      <c r="G8683" s="18" t="n">
        <v>0</v>
      </c>
      <c r="H8683" s="18" t="n">
        <v>2658</v>
      </c>
      <c r="I8683" s="18" t="n">
        <f aca="false">((I8682 + G8683) - H8683)</f>
        <v>-79620.41</v>
      </c>
      <c r="J8683" s="18" t="n">
        <v>0</v>
      </c>
      <c r="K8683" s="19" t="n">
        <v>0</v>
      </c>
      <c r="L8683" s="17"/>
    </row>
    <row r="8684" s="11" customFormat="true" ht="10.95" hidden="false" customHeight="true" outlineLevel="0" collapsed="false">
      <c r="A8684" s="16" t="n">
        <v>45452</v>
      </c>
      <c r="B8684" s="17" t="s">
        <v>3613</v>
      </c>
      <c r="C8684" s="17" t="s">
        <v>3614</v>
      </c>
      <c r="D8684" s="17" t="s">
        <v>1391</v>
      </c>
      <c r="E8684" s="17" t="s">
        <v>3638</v>
      </c>
      <c r="F8684" s="17" t="s">
        <v>3337</v>
      </c>
      <c r="G8684" s="18" t="n">
        <v>0</v>
      </c>
      <c r="H8684" s="18" t="n">
        <v>3063.5</v>
      </c>
      <c r="I8684" s="18" t="n">
        <f aca="false">((I8683 + G8684) - H8684)</f>
        <v>-82683.91</v>
      </c>
      <c r="J8684" s="18" t="n">
        <v>0</v>
      </c>
      <c r="K8684" s="19" t="n">
        <v>0</v>
      </c>
      <c r="L8684" s="17"/>
    </row>
    <row r="8685" s="11" customFormat="true" ht="10.95" hidden="false" customHeight="true" outlineLevel="0" collapsed="false">
      <c r="A8685" s="16" t="n">
        <v>45452</v>
      </c>
      <c r="B8685" s="17" t="s">
        <v>3613</v>
      </c>
      <c r="C8685" s="17" t="s">
        <v>3614</v>
      </c>
      <c r="D8685" s="17" t="s">
        <v>2903</v>
      </c>
      <c r="E8685" s="17" t="s">
        <v>3737</v>
      </c>
      <c r="F8685" s="17" t="s">
        <v>3605</v>
      </c>
      <c r="G8685" s="18" t="n">
        <v>2658</v>
      </c>
      <c r="H8685" s="18" t="n">
        <v>0</v>
      </c>
      <c r="I8685" s="18" t="n">
        <f aca="false">((I8684 + G8685) - H8685)</f>
        <v>-80025.91</v>
      </c>
      <c r="J8685" s="18" t="n">
        <v>0</v>
      </c>
      <c r="K8685" s="19" t="n">
        <v>0</v>
      </c>
      <c r="L8685" s="17"/>
    </row>
    <row r="8686" s="11" customFormat="true" ht="10.95" hidden="false" customHeight="true" outlineLevel="0" collapsed="false">
      <c r="A8686" s="16" t="n">
        <v>45454</v>
      </c>
      <c r="B8686" s="17" t="s">
        <v>3613</v>
      </c>
      <c r="C8686" s="17" t="s">
        <v>3614</v>
      </c>
      <c r="D8686" s="17" t="s">
        <v>2903</v>
      </c>
      <c r="E8686" s="17" t="s">
        <v>3643</v>
      </c>
      <c r="F8686" s="17" t="s">
        <v>1579</v>
      </c>
      <c r="G8686" s="18" t="n">
        <v>2316.36</v>
      </c>
      <c r="H8686" s="18" t="n">
        <v>0</v>
      </c>
      <c r="I8686" s="18" t="n">
        <f aca="false">((I8685 + G8686) - H8686)</f>
        <v>-77709.55</v>
      </c>
      <c r="J8686" s="18" t="n">
        <v>0</v>
      </c>
      <c r="K8686" s="19" t="n">
        <v>0</v>
      </c>
      <c r="L8686" s="17"/>
    </row>
    <row r="8687" s="11" customFormat="true" ht="10.95" hidden="false" customHeight="true" outlineLevel="0" collapsed="false">
      <c r="A8687" s="16" t="n">
        <v>45455</v>
      </c>
      <c r="B8687" s="17" t="s">
        <v>3613</v>
      </c>
      <c r="C8687" s="17" t="s">
        <v>3614</v>
      </c>
      <c r="D8687" s="17" t="s">
        <v>2903</v>
      </c>
      <c r="E8687" s="17" t="s">
        <v>2908</v>
      </c>
      <c r="F8687" s="17" t="s">
        <v>2563</v>
      </c>
      <c r="G8687" s="18" t="n">
        <v>457.21</v>
      </c>
      <c r="H8687" s="18" t="n">
        <v>0</v>
      </c>
      <c r="I8687" s="18" t="n">
        <f aca="false">((I8686 + G8687) - H8687)</f>
        <v>-77252.34</v>
      </c>
      <c r="J8687" s="18" t="n">
        <v>0</v>
      </c>
      <c r="K8687" s="19" t="n">
        <v>0</v>
      </c>
      <c r="L8687" s="17"/>
    </row>
    <row r="8688" s="11" customFormat="true" ht="10.95" hidden="false" customHeight="true" outlineLevel="0" collapsed="false">
      <c r="A8688" s="16" t="n">
        <v>45456</v>
      </c>
      <c r="B8688" s="17" t="s">
        <v>3613</v>
      </c>
      <c r="C8688" s="17" t="s">
        <v>3614</v>
      </c>
      <c r="D8688" s="17" t="s">
        <v>1391</v>
      </c>
      <c r="E8688" s="17" t="s">
        <v>3703</v>
      </c>
      <c r="F8688" s="17" t="s">
        <v>1642</v>
      </c>
      <c r="G8688" s="18" t="n">
        <v>0</v>
      </c>
      <c r="H8688" s="18" t="n">
        <v>51.14</v>
      </c>
      <c r="I8688" s="18" t="n">
        <f aca="false">((I8687 + G8688) - H8688)</f>
        <v>-77303.48</v>
      </c>
      <c r="J8688" s="18" t="n">
        <v>0</v>
      </c>
      <c r="K8688" s="19" t="n">
        <v>0</v>
      </c>
      <c r="L8688" s="17"/>
    </row>
    <row r="8689" s="11" customFormat="true" ht="10.95" hidden="false" customHeight="true" outlineLevel="0" collapsed="false">
      <c r="A8689" s="16" t="n">
        <v>45457</v>
      </c>
      <c r="B8689" s="17" t="s">
        <v>3613</v>
      </c>
      <c r="C8689" s="17" t="s">
        <v>3614</v>
      </c>
      <c r="D8689" s="17" t="s">
        <v>1391</v>
      </c>
      <c r="E8689" s="17" t="s">
        <v>3638</v>
      </c>
      <c r="F8689" s="17" t="s">
        <v>3339</v>
      </c>
      <c r="G8689" s="18" t="n">
        <v>0</v>
      </c>
      <c r="H8689" s="18" t="n">
        <v>218.9</v>
      </c>
      <c r="I8689" s="18" t="n">
        <f aca="false">((I8688 + G8689) - H8689)</f>
        <v>-77522.38</v>
      </c>
      <c r="J8689" s="18" t="n">
        <v>0</v>
      </c>
      <c r="K8689" s="19" t="n">
        <v>0</v>
      </c>
      <c r="L8689" s="17"/>
    </row>
    <row r="8690" s="11" customFormat="true" ht="10.95" hidden="false" customHeight="true" outlineLevel="0" collapsed="false">
      <c r="A8690" s="16" t="n">
        <v>45457</v>
      </c>
      <c r="B8690" s="17" t="s">
        <v>3613</v>
      </c>
      <c r="C8690" s="17" t="s">
        <v>3614</v>
      </c>
      <c r="D8690" s="17" t="s">
        <v>1391</v>
      </c>
      <c r="E8690" s="17" t="s">
        <v>3641</v>
      </c>
      <c r="F8690" s="17" t="s">
        <v>2744</v>
      </c>
      <c r="G8690" s="18" t="n">
        <v>0</v>
      </c>
      <c r="H8690" s="18" t="n">
        <v>291.43</v>
      </c>
      <c r="I8690" s="18" t="n">
        <f aca="false">((I8689 + G8690) - H8690)</f>
        <v>-77813.81</v>
      </c>
      <c r="J8690" s="18" t="n">
        <v>0</v>
      </c>
      <c r="K8690" s="19" t="n">
        <v>0</v>
      </c>
      <c r="L8690" s="17"/>
    </row>
    <row r="8691" s="11" customFormat="true" ht="10.95" hidden="false" customHeight="true" outlineLevel="0" collapsed="false">
      <c r="A8691" s="16" t="n">
        <v>45457</v>
      </c>
      <c r="B8691" s="17" t="s">
        <v>3613</v>
      </c>
      <c r="C8691" s="17" t="s">
        <v>3614</v>
      </c>
      <c r="D8691" s="17" t="s">
        <v>2903</v>
      </c>
      <c r="E8691" s="17" t="s">
        <v>3616</v>
      </c>
      <c r="F8691" s="17" t="s">
        <v>3339</v>
      </c>
      <c r="G8691" s="18" t="n">
        <v>218.9</v>
      </c>
      <c r="H8691" s="18" t="n">
        <v>0</v>
      </c>
      <c r="I8691" s="18" t="n">
        <f aca="false">((I8690 + G8691) - H8691)</f>
        <v>-77594.91</v>
      </c>
      <c r="J8691" s="18" t="n">
        <v>0</v>
      </c>
      <c r="K8691" s="19" t="n">
        <v>0</v>
      </c>
      <c r="L8691" s="17"/>
    </row>
    <row r="8692" s="11" customFormat="true" ht="10.95" hidden="false" customHeight="true" outlineLevel="0" collapsed="false">
      <c r="A8692" s="16" t="n">
        <v>45459</v>
      </c>
      <c r="B8692" s="17" t="s">
        <v>3613</v>
      </c>
      <c r="C8692" s="17" t="s">
        <v>3614</v>
      </c>
      <c r="D8692" s="17" t="s">
        <v>1391</v>
      </c>
      <c r="E8692" s="17" t="s">
        <v>3638</v>
      </c>
      <c r="F8692" s="17" t="s">
        <v>3341</v>
      </c>
      <c r="G8692" s="18" t="n">
        <v>0</v>
      </c>
      <c r="H8692" s="18" t="n">
        <v>218.9</v>
      </c>
      <c r="I8692" s="18" t="n">
        <f aca="false">((I8691 + G8692) - H8692)</f>
        <v>-77813.81</v>
      </c>
      <c r="J8692" s="18" t="n">
        <v>0</v>
      </c>
      <c r="K8692" s="19" t="n">
        <v>0</v>
      </c>
      <c r="L8692" s="17"/>
    </row>
    <row r="8693" s="11" customFormat="true" ht="10.95" hidden="false" customHeight="true" outlineLevel="0" collapsed="false">
      <c r="A8693" s="16" t="n">
        <v>45461</v>
      </c>
      <c r="B8693" s="17" t="s">
        <v>3613</v>
      </c>
      <c r="C8693" s="17" t="s">
        <v>3614</v>
      </c>
      <c r="D8693" s="17" t="s">
        <v>1391</v>
      </c>
      <c r="E8693" s="17" t="s">
        <v>3642</v>
      </c>
      <c r="F8693" s="17" t="s">
        <v>2580</v>
      </c>
      <c r="G8693" s="18" t="n">
        <v>0</v>
      </c>
      <c r="H8693" s="18" t="n">
        <v>219.78</v>
      </c>
      <c r="I8693" s="18" t="n">
        <f aca="false">((I8692 + G8693) - H8693)</f>
        <v>-78033.59</v>
      </c>
      <c r="J8693" s="18" t="n">
        <v>0</v>
      </c>
      <c r="K8693" s="19" t="n">
        <v>0</v>
      </c>
      <c r="L8693" s="17"/>
    </row>
    <row r="8694" s="11" customFormat="true" ht="10.95" hidden="false" customHeight="true" outlineLevel="0" collapsed="false">
      <c r="A8694" s="16" t="n">
        <v>45461</v>
      </c>
      <c r="B8694" s="17" t="s">
        <v>3613</v>
      </c>
      <c r="C8694" s="17" t="s">
        <v>3614</v>
      </c>
      <c r="D8694" s="17" t="s">
        <v>1391</v>
      </c>
      <c r="E8694" s="17" t="s">
        <v>3642</v>
      </c>
      <c r="F8694" s="17" t="s">
        <v>2582</v>
      </c>
      <c r="G8694" s="18" t="n">
        <v>0</v>
      </c>
      <c r="H8694" s="18" t="n">
        <v>24.64</v>
      </c>
      <c r="I8694" s="18" t="n">
        <f aca="false">((I8693 + G8694) - H8694)</f>
        <v>-78058.23</v>
      </c>
      <c r="J8694" s="18" t="n">
        <v>0</v>
      </c>
      <c r="K8694" s="19" t="n">
        <v>0</v>
      </c>
      <c r="L8694" s="17"/>
    </row>
    <row r="8695" s="11" customFormat="true" ht="10.95" hidden="false" customHeight="true" outlineLevel="0" collapsed="false">
      <c r="A8695" s="16" t="n">
        <v>45461</v>
      </c>
      <c r="B8695" s="17" t="s">
        <v>3613</v>
      </c>
      <c r="C8695" s="17" t="s">
        <v>3614</v>
      </c>
      <c r="D8695" s="17" t="s">
        <v>1391</v>
      </c>
      <c r="E8695" s="17" t="s">
        <v>3642</v>
      </c>
      <c r="F8695" s="17" t="s">
        <v>2584</v>
      </c>
      <c r="G8695" s="18" t="n">
        <v>0</v>
      </c>
      <c r="H8695" s="18" t="n">
        <v>68.2</v>
      </c>
      <c r="I8695" s="18" t="n">
        <f aca="false">((I8694 + G8695) - H8695)</f>
        <v>-78126.43</v>
      </c>
      <c r="J8695" s="18" t="n">
        <v>0</v>
      </c>
      <c r="K8695" s="19" t="n">
        <v>0</v>
      </c>
      <c r="L8695" s="17"/>
    </row>
    <row r="8696" s="11" customFormat="true" ht="10.95" hidden="false" customHeight="true" outlineLevel="0" collapsed="false">
      <c r="A8696" s="16" t="n">
        <v>45461</v>
      </c>
      <c r="B8696" s="17" t="s">
        <v>3613</v>
      </c>
      <c r="C8696" s="17" t="s">
        <v>3614</v>
      </c>
      <c r="D8696" s="17" t="s">
        <v>1391</v>
      </c>
      <c r="E8696" s="17" t="s">
        <v>3642</v>
      </c>
      <c r="F8696" s="17" t="s">
        <v>2586</v>
      </c>
      <c r="G8696" s="18" t="n">
        <v>0</v>
      </c>
      <c r="H8696" s="18" t="n">
        <v>6.6</v>
      </c>
      <c r="I8696" s="18" t="n">
        <f aca="false">((I8695 + G8696) - H8696)</f>
        <v>-78133.03</v>
      </c>
      <c r="J8696" s="18" t="n">
        <v>0</v>
      </c>
      <c r="K8696" s="19" t="n">
        <v>0</v>
      </c>
      <c r="L8696" s="17"/>
    </row>
    <row r="8697" s="11" customFormat="true" ht="10.95" hidden="false" customHeight="true" outlineLevel="0" collapsed="false">
      <c r="A8697" s="16" t="n">
        <v>45461</v>
      </c>
      <c r="B8697" s="17" t="s">
        <v>3613</v>
      </c>
      <c r="C8697" s="17" t="s">
        <v>3614</v>
      </c>
      <c r="D8697" s="17" t="s">
        <v>2903</v>
      </c>
      <c r="E8697" s="17" t="s">
        <v>3616</v>
      </c>
      <c r="F8697" s="17" t="s">
        <v>3335</v>
      </c>
      <c r="G8697" s="18" t="n">
        <v>595.32</v>
      </c>
      <c r="H8697" s="18" t="n">
        <v>0</v>
      </c>
      <c r="I8697" s="18" t="n">
        <f aca="false">((I8696 + G8697) - H8697)</f>
        <v>-77537.71</v>
      </c>
      <c r="J8697" s="18" t="n">
        <v>0</v>
      </c>
      <c r="K8697" s="19" t="n">
        <v>0</v>
      </c>
      <c r="L8697" s="17"/>
    </row>
    <row r="8698" s="11" customFormat="true" ht="10.95" hidden="false" customHeight="true" outlineLevel="0" collapsed="false">
      <c r="A8698" s="16" t="n">
        <v>45462</v>
      </c>
      <c r="B8698" s="17" t="s">
        <v>3613</v>
      </c>
      <c r="C8698" s="17" t="s">
        <v>3614</v>
      </c>
      <c r="D8698" s="17" t="s">
        <v>2903</v>
      </c>
      <c r="E8698" s="17" t="s">
        <v>3616</v>
      </c>
      <c r="F8698" s="17" t="s">
        <v>3337</v>
      </c>
      <c r="G8698" s="18" t="n">
        <v>3063.5</v>
      </c>
      <c r="H8698" s="18" t="n">
        <v>0</v>
      </c>
      <c r="I8698" s="18" t="n">
        <f aca="false">((I8697 + G8698) - H8698)</f>
        <v>-74474.21</v>
      </c>
      <c r="J8698" s="18" t="n">
        <v>0</v>
      </c>
      <c r="K8698" s="19" t="n">
        <v>0</v>
      </c>
      <c r="L8698" s="17"/>
    </row>
    <row r="8699" s="11" customFormat="true" ht="10.95" hidden="false" customHeight="true" outlineLevel="0" collapsed="false">
      <c r="A8699" s="16" t="n">
        <v>45462</v>
      </c>
      <c r="B8699" s="17" t="s">
        <v>3613</v>
      </c>
      <c r="C8699" s="17" t="s">
        <v>3614</v>
      </c>
      <c r="D8699" s="17" t="s">
        <v>1391</v>
      </c>
      <c r="E8699" s="17" t="s">
        <v>3691</v>
      </c>
      <c r="F8699" s="17" t="s">
        <v>2029</v>
      </c>
      <c r="G8699" s="18" t="n">
        <v>0</v>
      </c>
      <c r="H8699" s="18" t="n">
        <v>2453.22</v>
      </c>
      <c r="I8699" s="18" t="n">
        <f aca="false">((I8698 + G8699) - H8699)</f>
        <v>-76927.43</v>
      </c>
      <c r="J8699" s="18" t="n">
        <v>0</v>
      </c>
      <c r="K8699" s="19" t="n">
        <v>0</v>
      </c>
      <c r="L8699" s="17"/>
    </row>
    <row r="8700" s="11" customFormat="true" ht="10.95" hidden="false" customHeight="true" outlineLevel="0" collapsed="false">
      <c r="A8700" s="16" t="n">
        <v>45463</v>
      </c>
      <c r="B8700" s="17" t="s">
        <v>3613</v>
      </c>
      <c r="C8700" s="17" t="s">
        <v>3614</v>
      </c>
      <c r="D8700" s="17" t="s">
        <v>2903</v>
      </c>
      <c r="E8700" s="17" t="s">
        <v>3645</v>
      </c>
      <c r="F8700" s="17" t="s">
        <v>1575</v>
      </c>
      <c r="G8700" s="18" t="n">
        <v>27192.44</v>
      </c>
      <c r="H8700" s="18" t="n">
        <v>0</v>
      </c>
      <c r="I8700" s="18" t="n">
        <f aca="false">((I8699 + G8700) - H8700)</f>
        <v>-49734.99</v>
      </c>
      <c r="J8700" s="18" t="n">
        <v>0</v>
      </c>
      <c r="K8700" s="19" t="n">
        <v>0</v>
      </c>
      <c r="L8700" s="17"/>
    </row>
    <row r="8701" s="11" customFormat="true" ht="10.95" hidden="false" customHeight="true" outlineLevel="0" collapsed="false">
      <c r="A8701" s="16" t="n">
        <v>45463</v>
      </c>
      <c r="B8701" s="17" t="s">
        <v>3613</v>
      </c>
      <c r="C8701" s="17" t="s">
        <v>3614</v>
      </c>
      <c r="D8701" s="17" t="s">
        <v>2903</v>
      </c>
      <c r="E8701" s="17" t="s">
        <v>3645</v>
      </c>
      <c r="F8701" s="17" t="s">
        <v>1577</v>
      </c>
      <c r="G8701" s="18" t="n">
        <v>2755.65</v>
      </c>
      <c r="H8701" s="18" t="n">
        <v>0</v>
      </c>
      <c r="I8701" s="18" t="n">
        <f aca="false">((I8700 + G8701) - H8701)</f>
        <v>-46979.34</v>
      </c>
      <c r="J8701" s="18" t="n">
        <v>0</v>
      </c>
      <c r="K8701" s="19" t="n">
        <v>0</v>
      </c>
      <c r="L8701" s="17"/>
    </row>
    <row r="8702" s="11" customFormat="true" ht="10.95" hidden="false" customHeight="true" outlineLevel="0" collapsed="false">
      <c r="A8702" s="16" t="n">
        <v>45463</v>
      </c>
      <c r="B8702" s="17" t="s">
        <v>3613</v>
      </c>
      <c r="C8702" s="17" t="s">
        <v>3614</v>
      </c>
      <c r="D8702" s="17" t="s">
        <v>2903</v>
      </c>
      <c r="E8702" s="17" t="s">
        <v>3645</v>
      </c>
      <c r="F8702" s="17" t="s">
        <v>1571</v>
      </c>
      <c r="G8702" s="18" t="n">
        <v>538.76</v>
      </c>
      <c r="H8702" s="18" t="n">
        <v>0</v>
      </c>
      <c r="I8702" s="18" t="n">
        <f aca="false">((I8701 + G8702) - H8702)</f>
        <v>-46440.58</v>
      </c>
      <c r="J8702" s="18" t="n">
        <v>0</v>
      </c>
      <c r="K8702" s="19" t="n">
        <v>0</v>
      </c>
      <c r="L8702" s="17"/>
    </row>
    <row r="8703" s="11" customFormat="true" ht="10.95" hidden="false" customHeight="true" outlineLevel="0" collapsed="false">
      <c r="A8703" s="16" t="n">
        <v>45463</v>
      </c>
      <c r="B8703" s="17" t="s">
        <v>3613</v>
      </c>
      <c r="C8703" s="17" t="s">
        <v>3614</v>
      </c>
      <c r="D8703" s="17" t="s">
        <v>1391</v>
      </c>
      <c r="E8703" s="17" t="s">
        <v>3727</v>
      </c>
      <c r="F8703" s="17" t="s">
        <v>2589</v>
      </c>
      <c r="G8703" s="18" t="n">
        <v>0</v>
      </c>
      <c r="H8703" s="18" t="n">
        <v>337.79</v>
      </c>
      <c r="I8703" s="18" t="n">
        <f aca="false">((I8702 + G8703) - H8703)</f>
        <v>-46778.37</v>
      </c>
      <c r="J8703" s="18" t="n">
        <v>0</v>
      </c>
      <c r="K8703" s="19" t="n">
        <v>0</v>
      </c>
      <c r="L8703" s="17"/>
    </row>
    <row r="8704" s="11" customFormat="true" ht="10.95" hidden="false" customHeight="true" outlineLevel="0" collapsed="false">
      <c r="A8704" s="16" t="n">
        <v>45464</v>
      </c>
      <c r="B8704" s="17" t="s">
        <v>3613</v>
      </c>
      <c r="C8704" s="17" t="s">
        <v>3614</v>
      </c>
      <c r="D8704" s="17" t="s">
        <v>2903</v>
      </c>
      <c r="E8704" s="17" t="s">
        <v>3704</v>
      </c>
      <c r="F8704" s="17" t="s">
        <v>1642</v>
      </c>
      <c r="G8704" s="18" t="n">
        <v>51.14</v>
      </c>
      <c r="H8704" s="18" t="n">
        <v>0</v>
      </c>
      <c r="I8704" s="18" t="n">
        <f aca="false">((I8703 + G8704) - H8704)</f>
        <v>-46727.23</v>
      </c>
      <c r="J8704" s="18" t="n">
        <v>0</v>
      </c>
      <c r="K8704" s="19" t="n">
        <v>0</v>
      </c>
      <c r="L8704" s="17"/>
    </row>
    <row r="8705" s="11" customFormat="true" ht="10.95" hidden="false" customHeight="true" outlineLevel="0" collapsed="false">
      <c r="A8705" s="16" t="n">
        <v>45464</v>
      </c>
      <c r="B8705" s="17" t="s">
        <v>3613</v>
      </c>
      <c r="C8705" s="17" t="s">
        <v>3614</v>
      </c>
      <c r="D8705" s="17" t="s">
        <v>1391</v>
      </c>
      <c r="E8705" s="17" t="s">
        <v>3638</v>
      </c>
      <c r="F8705" s="17" t="s">
        <v>3343</v>
      </c>
      <c r="G8705" s="18" t="n">
        <v>0</v>
      </c>
      <c r="H8705" s="18" t="n">
        <v>3884.1</v>
      </c>
      <c r="I8705" s="18" t="n">
        <f aca="false">((I8704 + G8705) - H8705)</f>
        <v>-50611.33</v>
      </c>
      <c r="J8705" s="18" t="n">
        <v>0</v>
      </c>
      <c r="K8705" s="19" t="n">
        <v>0</v>
      </c>
      <c r="L8705" s="17"/>
    </row>
    <row r="8706" s="11" customFormat="true" ht="10.95" hidden="false" customHeight="true" outlineLevel="0" collapsed="false">
      <c r="A8706" s="16" t="n">
        <v>45465</v>
      </c>
      <c r="B8706" s="17" t="s">
        <v>3613</v>
      </c>
      <c r="C8706" s="17" t="s">
        <v>3614</v>
      </c>
      <c r="D8706" s="17" t="s">
        <v>2903</v>
      </c>
      <c r="E8706" s="17" t="s">
        <v>3644</v>
      </c>
      <c r="F8706" s="17" t="s">
        <v>2586</v>
      </c>
      <c r="G8706" s="18" t="n">
        <v>6.6</v>
      </c>
      <c r="H8706" s="18" t="n">
        <v>0</v>
      </c>
      <c r="I8706" s="18" t="n">
        <f aca="false">((I8705 + G8706) - H8706)</f>
        <v>-50604.73</v>
      </c>
      <c r="J8706" s="18" t="n">
        <v>0</v>
      </c>
      <c r="K8706" s="19" t="n">
        <v>0</v>
      </c>
      <c r="L8706" s="17"/>
    </row>
    <row r="8707" s="11" customFormat="true" ht="10.95" hidden="false" customHeight="true" outlineLevel="0" collapsed="false">
      <c r="A8707" s="16" t="n">
        <v>45465</v>
      </c>
      <c r="B8707" s="17" t="s">
        <v>3613</v>
      </c>
      <c r="C8707" s="17" t="s">
        <v>3614</v>
      </c>
      <c r="D8707" s="17" t="s">
        <v>2903</v>
      </c>
      <c r="E8707" s="17" t="s">
        <v>3644</v>
      </c>
      <c r="F8707" s="17" t="s">
        <v>2582</v>
      </c>
      <c r="G8707" s="18" t="n">
        <v>24.64</v>
      </c>
      <c r="H8707" s="18" t="n">
        <v>0</v>
      </c>
      <c r="I8707" s="18" t="n">
        <f aca="false">((I8706 + G8707) - H8707)</f>
        <v>-50580.09</v>
      </c>
      <c r="J8707" s="18" t="n">
        <v>0</v>
      </c>
      <c r="K8707" s="19" t="n">
        <v>0</v>
      </c>
      <c r="L8707" s="17"/>
    </row>
    <row r="8708" s="11" customFormat="true" ht="10.95" hidden="false" customHeight="true" outlineLevel="0" collapsed="false">
      <c r="A8708" s="16" t="n">
        <v>45465</v>
      </c>
      <c r="B8708" s="17" t="s">
        <v>3613</v>
      </c>
      <c r="C8708" s="17" t="s">
        <v>3614</v>
      </c>
      <c r="D8708" s="17" t="s">
        <v>2903</v>
      </c>
      <c r="E8708" s="17" t="s">
        <v>3644</v>
      </c>
      <c r="F8708" s="17" t="s">
        <v>2584</v>
      </c>
      <c r="G8708" s="18" t="n">
        <v>68.2</v>
      </c>
      <c r="H8708" s="18" t="n">
        <v>0</v>
      </c>
      <c r="I8708" s="18" t="n">
        <f aca="false">((I8707 + G8708) - H8708)</f>
        <v>-50511.89</v>
      </c>
      <c r="J8708" s="18" t="n">
        <v>0</v>
      </c>
      <c r="K8708" s="19" t="n">
        <v>0</v>
      </c>
      <c r="L8708" s="17"/>
    </row>
    <row r="8709" s="11" customFormat="true" ht="10.95" hidden="false" customHeight="true" outlineLevel="0" collapsed="false">
      <c r="A8709" s="16" t="n">
        <v>45465</v>
      </c>
      <c r="B8709" s="17" t="s">
        <v>3613</v>
      </c>
      <c r="C8709" s="17" t="s">
        <v>3614</v>
      </c>
      <c r="D8709" s="17" t="s">
        <v>2903</v>
      </c>
      <c r="E8709" s="17" t="s">
        <v>3644</v>
      </c>
      <c r="F8709" s="17" t="s">
        <v>2580</v>
      </c>
      <c r="G8709" s="18" t="n">
        <v>219.78</v>
      </c>
      <c r="H8709" s="18" t="n">
        <v>0</v>
      </c>
      <c r="I8709" s="18" t="n">
        <f aca="false">((I8708 + G8709) - H8709)</f>
        <v>-50292.11</v>
      </c>
      <c r="J8709" s="18" t="n">
        <v>0</v>
      </c>
      <c r="K8709" s="19" t="n">
        <v>0</v>
      </c>
      <c r="L8709" s="17"/>
    </row>
    <row r="8710" s="11" customFormat="true" ht="10.95" hidden="false" customHeight="true" outlineLevel="0" collapsed="false">
      <c r="A8710" s="16" t="n">
        <v>45465</v>
      </c>
      <c r="B8710" s="17" t="s">
        <v>3613</v>
      </c>
      <c r="C8710" s="17" t="s">
        <v>3614</v>
      </c>
      <c r="D8710" s="17" t="s">
        <v>2903</v>
      </c>
      <c r="E8710" s="17" t="s">
        <v>3738</v>
      </c>
      <c r="F8710" s="17" t="s">
        <v>1610</v>
      </c>
      <c r="G8710" s="18" t="n">
        <v>3274.8</v>
      </c>
      <c r="H8710" s="18" t="n">
        <v>0</v>
      </c>
      <c r="I8710" s="18" t="n">
        <f aca="false">((I8709 + G8710) - H8710)</f>
        <v>-47017.31</v>
      </c>
      <c r="J8710" s="18" t="n">
        <v>0</v>
      </c>
      <c r="K8710" s="19" t="n">
        <v>0</v>
      </c>
      <c r="L8710" s="17"/>
    </row>
    <row r="8711" s="11" customFormat="true" ht="10.95" hidden="false" customHeight="true" outlineLevel="0" collapsed="false">
      <c r="A8711" s="16" t="n">
        <v>45467</v>
      </c>
      <c r="B8711" s="17" t="s">
        <v>3613</v>
      </c>
      <c r="C8711" s="17" t="s">
        <v>3614</v>
      </c>
      <c r="D8711" s="17" t="s">
        <v>2903</v>
      </c>
      <c r="E8711" s="17" t="s">
        <v>3035</v>
      </c>
      <c r="F8711" s="17" t="s">
        <v>3182</v>
      </c>
      <c r="G8711" s="18" t="n">
        <v>2496.15</v>
      </c>
      <c r="H8711" s="18" t="n">
        <v>0</v>
      </c>
      <c r="I8711" s="18" t="n">
        <f aca="false">((I8710 + G8711) - H8711)</f>
        <v>-44521.16</v>
      </c>
      <c r="J8711" s="18" t="n">
        <v>0</v>
      </c>
      <c r="K8711" s="19" t="n">
        <v>0</v>
      </c>
      <c r="L8711" s="17"/>
    </row>
    <row r="8712" s="11" customFormat="true" ht="10.95" hidden="false" customHeight="true" outlineLevel="0" collapsed="false">
      <c r="A8712" s="16" t="n">
        <v>45468</v>
      </c>
      <c r="B8712" s="17" t="s">
        <v>3613</v>
      </c>
      <c r="C8712" s="17" t="s">
        <v>3614</v>
      </c>
      <c r="D8712" s="17" t="s">
        <v>2903</v>
      </c>
      <c r="E8712" s="17" t="s">
        <v>3616</v>
      </c>
      <c r="F8712" s="17" t="s">
        <v>3341</v>
      </c>
      <c r="G8712" s="18" t="n">
        <v>218.9</v>
      </c>
      <c r="H8712" s="18" t="n">
        <v>0</v>
      </c>
      <c r="I8712" s="18" t="n">
        <f aca="false">((I8711 + G8712) - H8712)</f>
        <v>-44302.26</v>
      </c>
      <c r="J8712" s="18" t="n">
        <v>0</v>
      </c>
      <c r="K8712" s="19" t="n">
        <v>0</v>
      </c>
      <c r="L8712" s="17"/>
    </row>
    <row r="8713" s="11" customFormat="true" ht="10.95" hidden="false" customHeight="true" outlineLevel="0" collapsed="false">
      <c r="A8713" s="16" t="n">
        <v>45468</v>
      </c>
      <c r="B8713" s="17" t="s">
        <v>3613</v>
      </c>
      <c r="C8713" s="17" t="s">
        <v>3614</v>
      </c>
      <c r="D8713" s="17" t="s">
        <v>1391</v>
      </c>
      <c r="E8713" s="17" t="s">
        <v>3647</v>
      </c>
      <c r="F8713" s="17" t="s">
        <v>1582</v>
      </c>
      <c r="G8713" s="18" t="n">
        <v>0</v>
      </c>
      <c r="H8713" s="18" t="n">
        <v>6509.53</v>
      </c>
      <c r="I8713" s="18" t="n">
        <f aca="false">((I8712 + G8713) - H8713)</f>
        <v>-50811.79</v>
      </c>
      <c r="J8713" s="18" t="n">
        <v>0</v>
      </c>
      <c r="K8713" s="19" t="n">
        <v>0</v>
      </c>
      <c r="L8713" s="17"/>
    </row>
    <row r="8714" s="11" customFormat="true" ht="10.95" hidden="false" customHeight="true" outlineLevel="0" collapsed="false">
      <c r="A8714" s="16" t="n">
        <v>45468</v>
      </c>
      <c r="B8714" s="17" t="s">
        <v>3613</v>
      </c>
      <c r="C8714" s="17" t="s">
        <v>3614</v>
      </c>
      <c r="D8714" s="17" t="s">
        <v>1391</v>
      </c>
      <c r="E8714" s="17" t="s">
        <v>3739</v>
      </c>
      <c r="F8714" s="17" t="s">
        <v>1766</v>
      </c>
      <c r="G8714" s="18" t="n">
        <v>0</v>
      </c>
      <c r="H8714" s="18" t="n">
        <v>67.7</v>
      </c>
      <c r="I8714" s="18" t="n">
        <f aca="false">((I8713 + G8714) - H8714)</f>
        <v>-50879.49</v>
      </c>
      <c r="J8714" s="18" t="n">
        <v>0</v>
      </c>
      <c r="K8714" s="19" t="n">
        <v>0</v>
      </c>
      <c r="L8714" s="17"/>
    </row>
    <row r="8715" s="11" customFormat="true" ht="10.95" hidden="false" customHeight="true" outlineLevel="0" collapsed="false">
      <c r="A8715" s="16" t="n">
        <v>45470</v>
      </c>
      <c r="B8715" s="17" t="s">
        <v>3613</v>
      </c>
      <c r="C8715" s="17" t="s">
        <v>3614</v>
      </c>
      <c r="D8715" s="17" t="s">
        <v>1391</v>
      </c>
      <c r="E8715" s="17" t="s">
        <v>3740</v>
      </c>
      <c r="F8715" s="17" t="s">
        <v>1768</v>
      </c>
      <c r="G8715" s="18" t="n">
        <v>0</v>
      </c>
      <c r="H8715" s="18" t="n">
        <v>880</v>
      </c>
      <c r="I8715" s="18" t="n">
        <f aca="false">((I8714 + G8715) - H8715)</f>
        <v>-51759.49</v>
      </c>
      <c r="J8715" s="18" t="n">
        <v>0</v>
      </c>
      <c r="K8715" s="19" t="n">
        <v>0</v>
      </c>
      <c r="L8715" s="17"/>
    </row>
    <row r="8716" s="11" customFormat="true" ht="10.95" hidden="false" customHeight="true" outlineLevel="0" collapsed="false">
      <c r="A8716" s="16" t="n">
        <v>45471</v>
      </c>
      <c r="B8716" s="17" t="s">
        <v>3613</v>
      </c>
      <c r="C8716" s="17" t="s">
        <v>3614</v>
      </c>
      <c r="D8716" s="17" t="s">
        <v>1391</v>
      </c>
      <c r="E8716" s="17" t="s">
        <v>3633</v>
      </c>
      <c r="F8716" s="17" t="s">
        <v>2593</v>
      </c>
      <c r="G8716" s="18" t="n">
        <v>0</v>
      </c>
      <c r="H8716" s="18" t="n">
        <v>899.75</v>
      </c>
      <c r="I8716" s="18" t="n">
        <f aca="false">((I8715 + G8716) - H8716)</f>
        <v>-52659.24</v>
      </c>
      <c r="J8716" s="18" t="n">
        <v>0</v>
      </c>
      <c r="K8716" s="19" t="n">
        <v>0</v>
      </c>
      <c r="L8716" s="17"/>
    </row>
    <row r="8717" s="11" customFormat="true" ht="10.95" hidden="false" customHeight="true" outlineLevel="0" collapsed="false">
      <c r="A8717" s="16" t="n">
        <v>45471</v>
      </c>
      <c r="B8717" s="17" t="s">
        <v>3613</v>
      </c>
      <c r="C8717" s="17" t="s">
        <v>3614</v>
      </c>
      <c r="D8717" s="17" t="s">
        <v>1391</v>
      </c>
      <c r="E8717" s="17" t="s">
        <v>3666</v>
      </c>
      <c r="F8717" s="17" t="s">
        <v>3239</v>
      </c>
      <c r="G8717" s="18" t="n">
        <v>0</v>
      </c>
      <c r="H8717" s="18" t="n">
        <v>1135.2</v>
      </c>
      <c r="I8717" s="18" t="n">
        <f aca="false">((I8716 + G8717) - H8717)</f>
        <v>-53794.44</v>
      </c>
      <c r="J8717" s="18" t="n">
        <v>0</v>
      </c>
      <c r="K8717" s="19" t="n">
        <v>0</v>
      </c>
      <c r="L8717" s="17"/>
    </row>
    <row r="8718" s="11" customFormat="true" ht="10.95" hidden="false" customHeight="true" outlineLevel="0" collapsed="false">
      <c r="A8718" s="16" t="n">
        <v>45471</v>
      </c>
      <c r="B8718" s="17" t="s">
        <v>3613</v>
      </c>
      <c r="C8718" s="17" t="s">
        <v>3614</v>
      </c>
      <c r="D8718" s="17" t="s">
        <v>2903</v>
      </c>
      <c r="E8718" s="17" t="s">
        <v>3741</v>
      </c>
      <c r="F8718" s="17" t="s">
        <v>1768</v>
      </c>
      <c r="G8718" s="18" t="n">
        <v>880</v>
      </c>
      <c r="H8718" s="18" t="n">
        <v>0</v>
      </c>
      <c r="I8718" s="18" t="n">
        <f aca="false">((I8717 + G8718) - H8718)</f>
        <v>-52914.44</v>
      </c>
      <c r="J8718" s="18" t="n">
        <v>0</v>
      </c>
      <c r="K8718" s="19" t="n">
        <v>0</v>
      </c>
      <c r="L8718" s="17"/>
    </row>
    <row r="8719" s="11" customFormat="true" ht="10.95" hidden="false" customHeight="true" outlineLevel="0" collapsed="false">
      <c r="A8719" s="16" t="n">
        <v>45473</v>
      </c>
      <c r="B8719" s="17" t="s">
        <v>3613</v>
      </c>
      <c r="C8719" s="17" t="s">
        <v>3614</v>
      </c>
      <c r="D8719" s="17" t="s">
        <v>1391</v>
      </c>
      <c r="E8719" s="17" t="s">
        <v>3627</v>
      </c>
      <c r="F8719" s="17" t="s">
        <v>1585</v>
      </c>
      <c r="G8719" s="18" t="n">
        <v>0</v>
      </c>
      <c r="H8719" s="18" t="n">
        <v>3923.97</v>
      </c>
      <c r="I8719" s="18" t="n">
        <f aca="false">((I8718 + G8719) - H8719)</f>
        <v>-56838.41</v>
      </c>
      <c r="J8719" s="18" t="n">
        <v>0</v>
      </c>
      <c r="K8719" s="19" t="n">
        <v>0</v>
      </c>
      <c r="L8719" s="17"/>
    </row>
    <row r="8720" s="11" customFormat="true" ht="10.95" hidden="false" customHeight="true" outlineLevel="0" collapsed="false">
      <c r="A8720" s="16" t="n">
        <v>45473</v>
      </c>
      <c r="B8720" s="17" t="s">
        <v>3613</v>
      </c>
      <c r="C8720" s="17" t="s">
        <v>3614</v>
      </c>
      <c r="D8720" s="17" t="s">
        <v>1391</v>
      </c>
      <c r="E8720" s="17" t="s">
        <v>3742</v>
      </c>
      <c r="F8720" s="17" t="s">
        <v>3743</v>
      </c>
      <c r="G8720" s="18" t="n">
        <v>0</v>
      </c>
      <c r="H8720" s="18" t="n">
        <v>55164</v>
      </c>
      <c r="I8720" s="18" t="n">
        <f aca="false">((I8719 + G8720) - H8720)</f>
        <v>-112002.41</v>
      </c>
      <c r="J8720" s="18" t="n">
        <v>0</v>
      </c>
      <c r="K8720" s="19" t="n">
        <v>0</v>
      </c>
      <c r="L8720" s="17"/>
    </row>
    <row r="8721" s="11" customFormat="true" ht="10.95" hidden="false" customHeight="true" outlineLevel="0" collapsed="false">
      <c r="A8721" s="16" t="n">
        <v>45473</v>
      </c>
      <c r="B8721" s="17" t="s">
        <v>3613</v>
      </c>
      <c r="C8721" s="17" t="s">
        <v>3614</v>
      </c>
      <c r="D8721" s="17"/>
      <c r="E8721" s="17" t="s">
        <v>2888</v>
      </c>
      <c r="F8721" s="17"/>
      <c r="G8721" s="18" t="n">
        <v>59.4</v>
      </c>
      <c r="H8721" s="18" t="n">
        <v>0</v>
      </c>
      <c r="I8721" s="18" t="n">
        <f aca="false">((I8720 + G8721) - H8721)</f>
        <v>-111943.01</v>
      </c>
      <c r="J8721" s="18" t="n">
        <v>0</v>
      </c>
      <c r="K8721" s="19" t="n">
        <v>0</v>
      </c>
      <c r="L8721" s="17"/>
    </row>
    <row r="8722" s="11" customFormat="true" ht="10.95" hidden="false" customHeight="true" outlineLevel="0" collapsed="false">
      <c r="A8722" s="21" t="s">
        <v>3744</v>
      </c>
      <c r="B8722" s="21"/>
      <c r="C8722" s="21"/>
      <c r="D8722" s="21"/>
      <c r="E8722" s="21"/>
      <c r="F8722" s="21"/>
      <c r="G8722" s="22" t="n">
        <f aca="false">SUM(G7883:G8721)</f>
        <v>802891.83</v>
      </c>
      <c r="H8722" s="22" t="n">
        <f aca="false">SUM(H7883:H8721)</f>
        <v>900457.81</v>
      </c>
      <c r="I8722" s="22" t="n">
        <f aca="false">I8721</f>
        <v>-111943.01</v>
      </c>
      <c r="J8722" s="22" t="n">
        <f aca="false">SUM(J7883:J8721)</f>
        <v>0</v>
      </c>
      <c r="K8722" s="21"/>
      <c r="L8722" s="21"/>
    </row>
    <row r="8723" s="11" customFormat="true" ht="10.95" hidden="false" customHeight="true" outlineLevel="0" collapsed="false">
      <c r="A8723" s="21" t="s">
        <v>784</v>
      </c>
      <c r="B8723" s="21"/>
      <c r="C8723" s="21"/>
      <c r="D8723" s="21"/>
      <c r="E8723" s="21"/>
      <c r="F8723" s="21"/>
      <c r="G8723" s="22" t="n">
        <v>0</v>
      </c>
      <c r="H8723" s="22" t="n">
        <v>97565.98</v>
      </c>
      <c r="I8723" s="22" t="n">
        <v>0</v>
      </c>
      <c r="J8723" s="22" t="n">
        <v>0</v>
      </c>
      <c r="K8723" s="21"/>
      <c r="L8723" s="21"/>
    </row>
    <row r="8724" s="11" customFormat="true" ht="10.95" hidden="false" customHeight="true" outlineLevel="0" collapsed="false">
      <c r="A8724" s="9" t="s">
        <v>785</v>
      </c>
      <c r="B8724" s="9"/>
      <c r="C8724" s="9"/>
      <c r="D8724" s="9"/>
      <c r="E8724" s="9"/>
      <c r="F8724" s="9"/>
      <c r="G8724" s="10" t="n">
        <v>0</v>
      </c>
      <c r="H8724" s="10" t="n">
        <v>111943.01</v>
      </c>
      <c r="I8724" s="10" t="n">
        <f aca="false">I8721</f>
        <v>-111943.01</v>
      </c>
      <c r="J8724" s="10" t="n">
        <v>0</v>
      </c>
      <c r="K8724" s="9"/>
      <c r="L8724" s="9"/>
    </row>
    <row r="8725" customFormat="false" ht="13.35" hidden="false" customHeight="true" outlineLevel="0" collapsed="false"/>
    <row r="8726" s="7" customFormat="true" ht="12.1" hidden="false" customHeight="true" outlineLevel="0" collapsed="false">
      <c r="A8726" s="8" t="s">
        <v>3745</v>
      </c>
      <c r="B8726" s="8"/>
      <c r="C8726" s="8"/>
      <c r="D8726" s="8"/>
      <c r="E8726" s="8"/>
      <c r="F8726" s="8"/>
      <c r="G8726" s="8"/>
      <c r="H8726" s="8"/>
      <c r="I8726" s="8"/>
      <c r="J8726" s="8"/>
      <c r="K8726" s="8"/>
      <c r="L8726" s="8"/>
    </row>
    <row r="8727" s="11" customFormat="true" ht="10.95" hidden="false" customHeight="true" outlineLevel="0" collapsed="false">
      <c r="A8727" s="9" t="s">
        <v>16</v>
      </c>
      <c r="B8727" s="9"/>
      <c r="C8727" s="9"/>
      <c r="D8727" s="9"/>
      <c r="E8727" s="9"/>
      <c r="F8727" s="9"/>
      <c r="G8727" s="10" t="n">
        <v>0</v>
      </c>
      <c r="H8727" s="10" t="n">
        <v>0</v>
      </c>
      <c r="I8727" s="10" t="n">
        <f aca="false">(G8727 - H8727)</f>
        <v>0</v>
      </c>
      <c r="J8727" s="10" t="n">
        <v>0</v>
      </c>
      <c r="K8727" s="9"/>
      <c r="L8727" s="9"/>
    </row>
    <row r="8728" s="11" customFormat="true" ht="10.95" hidden="false" customHeight="true" outlineLevel="0" collapsed="false">
      <c r="A8728" s="12" t="n">
        <v>45473</v>
      </c>
      <c r="B8728" s="13" t="s">
        <v>3746</v>
      </c>
      <c r="C8728" s="13" t="s">
        <v>3614</v>
      </c>
      <c r="D8728" s="13" t="s">
        <v>1396</v>
      </c>
      <c r="E8728" s="13" t="s">
        <v>3747</v>
      </c>
      <c r="F8728" s="13" t="s">
        <v>3748</v>
      </c>
      <c r="G8728" s="14" t="n">
        <v>55164</v>
      </c>
      <c r="H8728" s="14" t="n">
        <v>0</v>
      </c>
      <c r="I8728" s="14" t="n">
        <f aca="false">((I8727 + G8728) - H8728)</f>
        <v>55164</v>
      </c>
      <c r="J8728" s="14" t="n">
        <v>0</v>
      </c>
      <c r="K8728" s="15" t="n">
        <v>0</v>
      </c>
      <c r="L8728" s="13" t="s">
        <v>1399</v>
      </c>
    </row>
    <row r="8729" s="11" customFormat="true" ht="10.95" hidden="false" customHeight="true" outlineLevel="0" collapsed="false">
      <c r="A8729" s="16" t="n">
        <v>45473</v>
      </c>
      <c r="B8729" s="17" t="s">
        <v>3746</v>
      </c>
      <c r="C8729" s="17" t="s">
        <v>3614</v>
      </c>
      <c r="D8729" s="17" t="s">
        <v>1396</v>
      </c>
      <c r="E8729" s="17" t="s">
        <v>1771</v>
      </c>
      <c r="F8729" s="17" t="s">
        <v>1772</v>
      </c>
      <c r="G8729" s="18" t="n">
        <v>67.5</v>
      </c>
      <c r="H8729" s="18" t="n">
        <v>0</v>
      </c>
      <c r="I8729" s="18" t="n">
        <f aca="false">((I8728 + G8729) - H8729)</f>
        <v>55231.5</v>
      </c>
      <c r="J8729" s="18" t="n">
        <v>0</v>
      </c>
      <c r="K8729" s="19" t="n">
        <v>0</v>
      </c>
      <c r="L8729" s="17" t="s">
        <v>1399</v>
      </c>
    </row>
    <row r="8730" s="11" customFormat="true" ht="10.95" hidden="false" customHeight="true" outlineLevel="0" collapsed="false">
      <c r="A8730" s="16" t="n">
        <v>45473</v>
      </c>
      <c r="B8730" s="17" t="s">
        <v>3746</v>
      </c>
      <c r="C8730" s="17" t="s">
        <v>3614</v>
      </c>
      <c r="D8730" s="17" t="s">
        <v>1396</v>
      </c>
      <c r="E8730" s="17" t="s">
        <v>1588</v>
      </c>
      <c r="F8730" s="17" t="s">
        <v>1589</v>
      </c>
      <c r="G8730" s="18" t="n">
        <v>7237.08</v>
      </c>
      <c r="H8730" s="18" t="n">
        <v>0</v>
      </c>
      <c r="I8730" s="18" t="n">
        <f aca="false">((I8729 + G8730) - H8730)</f>
        <v>62468.58</v>
      </c>
      <c r="J8730" s="18" t="n">
        <v>0</v>
      </c>
      <c r="K8730" s="19" t="n">
        <v>0</v>
      </c>
      <c r="L8730" s="17" t="s">
        <v>1399</v>
      </c>
    </row>
    <row r="8731" s="11" customFormat="true" ht="10.95" hidden="false" customHeight="true" outlineLevel="0" collapsed="false">
      <c r="A8731" s="21" t="s">
        <v>3749</v>
      </c>
      <c r="B8731" s="21"/>
      <c r="C8731" s="21"/>
      <c r="D8731" s="21"/>
      <c r="E8731" s="21"/>
      <c r="F8731" s="21"/>
      <c r="G8731" s="22" t="n">
        <f aca="false">SUM(G8728:G8730)</f>
        <v>62468.58</v>
      </c>
      <c r="H8731" s="22" t="n">
        <f aca="false">SUM(H8728:H8730)</f>
        <v>0</v>
      </c>
      <c r="I8731" s="22" t="n">
        <f aca="false">I8730</f>
        <v>62468.58</v>
      </c>
      <c r="J8731" s="22" t="n">
        <f aca="false">SUM(J8728:J8730)</f>
        <v>0</v>
      </c>
      <c r="K8731" s="21"/>
      <c r="L8731" s="21"/>
    </row>
    <row r="8732" s="11" customFormat="true" ht="10.95" hidden="false" customHeight="true" outlineLevel="0" collapsed="false">
      <c r="A8732" s="21" t="s">
        <v>784</v>
      </c>
      <c r="B8732" s="21"/>
      <c r="C8732" s="21"/>
      <c r="D8732" s="21"/>
      <c r="E8732" s="21"/>
      <c r="F8732" s="21"/>
      <c r="G8732" s="22" t="n">
        <v>62468.58</v>
      </c>
      <c r="H8732" s="22" t="n">
        <v>0</v>
      </c>
      <c r="I8732" s="22" t="n">
        <v>0</v>
      </c>
      <c r="J8732" s="22" t="n">
        <v>0</v>
      </c>
      <c r="K8732" s="21"/>
      <c r="L8732" s="21"/>
    </row>
    <row r="8733" s="11" customFormat="true" ht="10.95" hidden="false" customHeight="true" outlineLevel="0" collapsed="false">
      <c r="A8733" s="9" t="s">
        <v>785</v>
      </c>
      <c r="B8733" s="9"/>
      <c r="C8733" s="9"/>
      <c r="D8733" s="9"/>
      <c r="E8733" s="9"/>
      <c r="F8733" s="9"/>
      <c r="G8733" s="10" t="n">
        <v>62468.58</v>
      </c>
      <c r="H8733" s="10" t="n">
        <v>0</v>
      </c>
      <c r="I8733" s="10" t="n">
        <f aca="false">I8730</f>
        <v>62468.58</v>
      </c>
      <c r="J8733" s="10" t="n">
        <v>0</v>
      </c>
      <c r="K8733" s="9"/>
      <c r="L8733" s="9"/>
    </row>
    <row r="8734" customFormat="false" ht="13.35" hidden="false" customHeight="true" outlineLevel="0" collapsed="false"/>
    <row r="8735" s="7" customFormat="true" ht="12.1" hidden="false" customHeight="true" outlineLevel="0" collapsed="false">
      <c r="A8735" s="8" t="s">
        <v>3750</v>
      </c>
      <c r="B8735" s="8"/>
      <c r="C8735" s="8"/>
      <c r="D8735" s="8"/>
      <c r="E8735" s="8"/>
      <c r="F8735" s="8"/>
      <c r="G8735" s="8"/>
      <c r="H8735" s="8"/>
      <c r="I8735" s="8"/>
      <c r="J8735" s="8"/>
      <c r="K8735" s="8"/>
      <c r="L8735" s="8"/>
    </row>
    <row r="8736" s="11" customFormat="true" ht="10.95" hidden="false" customHeight="true" outlineLevel="0" collapsed="false">
      <c r="A8736" s="9" t="s">
        <v>16</v>
      </c>
      <c r="B8736" s="9"/>
      <c r="C8736" s="9"/>
      <c r="D8736" s="9"/>
      <c r="E8736" s="9"/>
      <c r="F8736" s="9"/>
      <c r="G8736" s="10" t="n">
        <v>168.32</v>
      </c>
      <c r="H8736" s="10" t="n">
        <v>0</v>
      </c>
      <c r="I8736" s="10" t="n">
        <f aca="false">(G8736 - H8736)</f>
        <v>168.32</v>
      </c>
      <c r="J8736" s="10" t="n">
        <v>0</v>
      </c>
      <c r="K8736" s="9"/>
      <c r="L8736" s="9"/>
    </row>
    <row r="8737" s="11" customFormat="true" ht="10.95" hidden="false" customHeight="true" outlineLevel="0" collapsed="false">
      <c r="A8737" s="12" t="n">
        <v>45108</v>
      </c>
      <c r="B8737" s="13" t="s">
        <v>3751</v>
      </c>
      <c r="C8737" s="13" t="s">
        <v>3752</v>
      </c>
      <c r="D8737" s="13" t="s">
        <v>1407</v>
      </c>
      <c r="E8737" s="13" t="s">
        <v>3736</v>
      </c>
      <c r="F8737" s="13"/>
      <c r="G8737" s="14" t="n">
        <v>0</v>
      </c>
      <c r="H8737" s="14" t="n">
        <v>21.78</v>
      </c>
      <c r="I8737" s="14" t="n">
        <f aca="false">((I8736 + G8737) - H8737)</f>
        <v>146.54</v>
      </c>
      <c r="J8737" s="14" t="n">
        <v>0</v>
      </c>
      <c r="K8737" s="15" t="n">
        <v>0</v>
      </c>
      <c r="L8737" s="13"/>
    </row>
    <row r="8738" s="11" customFormat="true" ht="10.95" hidden="false" customHeight="true" outlineLevel="0" collapsed="false">
      <c r="A8738" s="16" t="n">
        <v>45110</v>
      </c>
      <c r="B8738" s="17" t="s">
        <v>3751</v>
      </c>
      <c r="C8738" s="17" t="s">
        <v>3752</v>
      </c>
      <c r="D8738" s="17" t="s">
        <v>3753</v>
      </c>
      <c r="E8738" s="17" t="s">
        <v>3754</v>
      </c>
      <c r="F8738" s="17" t="s">
        <v>3755</v>
      </c>
      <c r="G8738" s="18" t="n">
        <v>164.11</v>
      </c>
      <c r="H8738" s="18" t="n">
        <v>0</v>
      </c>
      <c r="I8738" s="18" t="n">
        <f aca="false">((I8737 + G8738) - H8738)</f>
        <v>310.65</v>
      </c>
      <c r="J8738" s="18" t="n">
        <v>0</v>
      </c>
      <c r="K8738" s="19" t="n">
        <v>0</v>
      </c>
      <c r="L8738" s="17"/>
    </row>
    <row r="8739" s="11" customFormat="true" ht="10.95" hidden="false" customHeight="true" outlineLevel="0" collapsed="false">
      <c r="A8739" s="16" t="n">
        <v>45110</v>
      </c>
      <c r="B8739" s="17" t="s">
        <v>3751</v>
      </c>
      <c r="C8739" s="17" t="s">
        <v>3752</v>
      </c>
      <c r="D8739" s="17" t="s">
        <v>1407</v>
      </c>
      <c r="E8739" s="17" t="s">
        <v>3736</v>
      </c>
      <c r="F8739" s="17"/>
      <c r="G8739" s="18" t="n">
        <v>0</v>
      </c>
      <c r="H8739" s="18" t="n">
        <v>17.37</v>
      </c>
      <c r="I8739" s="18" t="n">
        <f aca="false">((I8738 + G8739) - H8739)</f>
        <v>293.28</v>
      </c>
      <c r="J8739" s="18" t="n">
        <v>0</v>
      </c>
      <c r="K8739" s="19" t="n">
        <v>0</v>
      </c>
      <c r="L8739" s="17"/>
    </row>
    <row r="8740" s="11" customFormat="true" ht="10.95" hidden="false" customHeight="true" outlineLevel="0" collapsed="false">
      <c r="A8740" s="16" t="n">
        <v>45110</v>
      </c>
      <c r="B8740" s="17" t="s">
        <v>3751</v>
      </c>
      <c r="C8740" s="17" t="s">
        <v>3752</v>
      </c>
      <c r="D8740" s="17" t="s">
        <v>1407</v>
      </c>
      <c r="E8740" s="17" t="s">
        <v>3736</v>
      </c>
      <c r="F8740" s="17"/>
      <c r="G8740" s="18" t="n">
        <v>0</v>
      </c>
      <c r="H8740" s="18" t="n">
        <v>37.51</v>
      </c>
      <c r="I8740" s="18" t="n">
        <f aca="false">((I8739 + G8740) - H8740)</f>
        <v>255.77</v>
      </c>
      <c r="J8740" s="18" t="n">
        <v>0</v>
      </c>
      <c r="K8740" s="19" t="n">
        <v>0</v>
      </c>
      <c r="L8740" s="17"/>
    </row>
    <row r="8741" s="11" customFormat="true" ht="10.95" hidden="false" customHeight="true" outlineLevel="0" collapsed="false">
      <c r="A8741" s="16" t="n">
        <v>45114</v>
      </c>
      <c r="B8741" s="17" t="s">
        <v>3751</v>
      </c>
      <c r="C8741" s="17" t="s">
        <v>3752</v>
      </c>
      <c r="D8741" s="17" t="s">
        <v>1407</v>
      </c>
      <c r="E8741" s="17" t="s">
        <v>3756</v>
      </c>
      <c r="F8741" s="17"/>
      <c r="G8741" s="18" t="n">
        <v>0</v>
      </c>
      <c r="H8741" s="18" t="n">
        <v>16.62</v>
      </c>
      <c r="I8741" s="18" t="n">
        <f aca="false">((I8740 + G8741) - H8741)</f>
        <v>239.15</v>
      </c>
      <c r="J8741" s="18" t="n">
        <v>0</v>
      </c>
      <c r="K8741" s="19" t="n">
        <v>0</v>
      </c>
      <c r="L8741" s="17"/>
    </row>
    <row r="8742" s="11" customFormat="true" ht="10.95" hidden="false" customHeight="true" outlineLevel="0" collapsed="false">
      <c r="A8742" s="16" t="n">
        <v>45115</v>
      </c>
      <c r="B8742" s="17" t="s">
        <v>3751</v>
      </c>
      <c r="C8742" s="17" t="s">
        <v>3752</v>
      </c>
      <c r="D8742" s="17" t="s">
        <v>1407</v>
      </c>
      <c r="E8742" s="17" t="s">
        <v>3736</v>
      </c>
      <c r="F8742" s="17"/>
      <c r="G8742" s="18" t="n">
        <v>0</v>
      </c>
      <c r="H8742" s="18" t="n">
        <v>4.48</v>
      </c>
      <c r="I8742" s="18" t="n">
        <f aca="false">((I8741 + G8742) - H8742)</f>
        <v>234.67</v>
      </c>
      <c r="J8742" s="18" t="n">
        <v>0</v>
      </c>
      <c r="K8742" s="19" t="n">
        <v>0</v>
      </c>
      <c r="L8742" s="17"/>
    </row>
    <row r="8743" s="11" customFormat="true" ht="10.95" hidden="false" customHeight="true" outlineLevel="0" collapsed="false">
      <c r="A8743" s="16" t="n">
        <v>45117</v>
      </c>
      <c r="B8743" s="17" t="s">
        <v>3751</v>
      </c>
      <c r="C8743" s="17" t="s">
        <v>3752</v>
      </c>
      <c r="D8743" s="17" t="s">
        <v>1407</v>
      </c>
      <c r="E8743" s="17" t="s">
        <v>3757</v>
      </c>
      <c r="F8743" s="17"/>
      <c r="G8743" s="18" t="n">
        <v>0</v>
      </c>
      <c r="H8743" s="18" t="n">
        <v>19.95</v>
      </c>
      <c r="I8743" s="18" t="n">
        <f aca="false">((I8742 + G8743) - H8743)</f>
        <v>214.72</v>
      </c>
      <c r="J8743" s="18" t="n">
        <v>0</v>
      </c>
      <c r="K8743" s="19" t="n">
        <v>0</v>
      </c>
      <c r="L8743" s="17"/>
    </row>
    <row r="8744" s="11" customFormat="true" ht="10.95" hidden="false" customHeight="true" outlineLevel="0" collapsed="false">
      <c r="A8744" s="16" t="n">
        <v>45118</v>
      </c>
      <c r="B8744" s="17" t="s">
        <v>3751</v>
      </c>
      <c r="C8744" s="17" t="s">
        <v>3752</v>
      </c>
      <c r="D8744" s="17" t="s">
        <v>3753</v>
      </c>
      <c r="E8744" s="17" t="s">
        <v>3754</v>
      </c>
      <c r="F8744" s="17" t="s">
        <v>3758</v>
      </c>
      <c r="G8744" s="18" t="n">
        <v>117.69</v>
      </c>
      <c r="H8744" s="18" t="n">
        <v>0</v>
      </c>
      <c r="I8744" s="18" t="n">
        <f aca="false">((I8743 + G8744) - H8744)</f>
        <v>332.41</v>
      </c>
      <c r="J8744" s="18" t="n">
        <v>0</v>
      </c>
      <c r="K8744" s="19" t="n">
        <v>0</v>
      </c>
      <c r="L8744" s="17"/>
    </row>
    <row r="8745" s="11" customFormat="true" ht="10.95" hidden="false" customHeight="true" outlineLevel="0" collapsed="false">
      <c r="A8745" s="16" t="n">
        <v>45120</v>
      </c>
      <c r="B8745" s="17" t="s">
        <v>3751</v>
      </c>
      <c r="C8745" s="17" t="s">
        <v>3752</v>
      </c>
      <c r="D8745" s="17" t="s">
        <v>1407</v>
      </c>
      <c r="E8745" s="17" t="s">
        <v>3736</v>
      </c>
      <c r="F8745" s="17"/>
      <c r="G8745" s="18" t="n">
        <v>0</v>
      </c>
      <c r="H8745" s="18" t="n">
        <v>4.36</v>
      </c>
      <c r="I8745" s="18" t="n">
        <f aca="false">((I8744 + G8745) - H8745)</f>
        <v>328.05</v>
      </c>
      <c r="J8745" s="18" t="n">
        <v>0</v>
      </c>
      <c r="K8745" s="19" t="n">
        <v>0</v>
      </c>
      <c r="L8745" s="17"/>
    </row>
    <row r="8746" s="11" customFormat="true" ht="10.95" hidden="false" customHeight="true" outlineLevel="0" collapsed="false">
      <c r="A8746" s="16" t="n">
        <v>45121</v>
      </c>
      <c r="B8746" s="17" t="s">
        <v>3751</v>
      </c>
      <c r="C8746" s="17" t="s">
        <v>3752</v>
      </c>
      <c r="D8746" s="17" t="s">
        <v>1407</v>
      </c>
      <c r="E8746" s="17" t="s">
        <v>3736</v>
      </c>
      <c r="F8746" s="17"/>
      <c r="G8746" s="18" t="n">
        <v>0</v>
      </c>
      <c r="H8746" s="18" t="n">
        <v>1.44</v>
      </c>
      <c r="I8746" s="18" t="n">
        <f aca="false">((I8745 + G8746) - H8746)</f>
        <v>326.61</v>
      </c>
      <c r="J8746" s="18" t="n">
        <v>0</v>
      </c>
      <c r="K8746" s="19" t="n">
        <v>0</v>
      </c>
      <c r="L8746" s="17"/>
    </row>
    <row r="8747" s="11" customFormat="true" ht="10.95" hidden="false" customHeight="true" outlineLevel="0" collapsed="false">
      <c r="A8747" s="16" t="n">
        <v>45122</v>
      </c>
      <c r="B8747" s="17" t="s">
        <v>3751</v>
      </c>
      <c r="C8747" s="17" t="s">
        <v>3752</v>
      </c>
      <c r="D8747" s="17" t="s">
        <v>1407</v>
      </c>
      <c r="E8747" s="17" t="s">
        <v>3736</v>
      </c>
      <c r="F8747" s="17"/>
      <c r="G8747" s="18" t="n">
        <v>0</v>
      </c>
      <c r="H8747" s="18" t="n">
        <v>32.22</v>
      </c>
      <c r="I8747" s="18" t="n">
        <f aca="false">((I8746 + G8747) - H8747)</f>
        <v>294.39</v>
      </c>
      <c r="J8747" s="18" t="n">
        <v>0</v>
      </c>
      <c r="K8747" s="19" t="n">
        <v>0</v>
      </c>
      <c r="L8747" s="17"/>
    </row>
    <row r="8748" s="11" customFormat="true" ht="10.95" hidden="false" customHeight="true" outlineLevel="0" collapsed="false">
      <c r="A8748" s="16" t="n">
        <v>45124</v>
      </c>
      <c r="B8748" s="17" t="s">
        <v>3751</v>
      </c>
      <c r="C8748" s="17" t="s">
        <v>3752</v>
      </c>
      <c r="D8748" s="17" t="s">
        <v>1407</v>
      </c>
      <c r="E8748" s="17" t="s">
        <v>3736</v>
      </c>
      <c r="F8748" s="17"/>
      <c r="G8748" s="18" t="n">
        <v>0</v>
      </c>
      <c r="H8748" s="18" t="n">
        <v>4.85</v>
      </c>
      <c r="I8748" s="18" t="n">
        <f aca="false">((I8747 + G8748) - H8748)</f>
        <v>289.54</v>
      </c>
      <c r="J8748" s="18" t="n">
        <v>0</v>
      </c>
      <c r="K8748" s="19" t="n">
        <v>0</v>
      </c>
      <c r="L8748" s="17"/>
    </row>
    <row r="8749" s="11" customFormat="true" ht="10.95" hidden="false" customHeight="true" outlineLevel="0" collapsed="false">
      <c r="A8749" s="16" t="n">
        <v>45124</v>
      </c>
      <c r="B8749" s="17" t="s">
        <v>3751</v>
      </c>
      <c r="C8749" s="17" t="s">
        <v>3752</v>
      </c>
      <c r="D8749" s="17" t="s">
        <v>1407</v>
      </c>
      <c r="E8749" s="17" t="s">
        <v>3736</v>
      </c>
      <c r="F8749" s="17"/>
      <c r="G8749" s="18" t="n">
        <v>0</v>
      </c>
      <c r="H8749" s="18" t="n">
        <v>6.44</v>
      </c>
      <c r="I8749" s="18" t="n">
        <f aca="false">((I8748 + G8749) - H8749)</f>
        <v>283.1</v>
      </c>
      <c r="J8749" s="18" t="n">
        <v>0</v>
      </c>
      <c r="K8749" s="19" t="n">
        <v>0</v>
      </c>
      <c r="L8749" s="17"/>
    </row>
    <row r="8750" s="11" customFormat="true" ht="10.95" hidden="false" customHeight="true" outlineLevel="0" collapsed="false">
      <c r="A8750" s="16" t="n">
        <v>45124</v>
      </c>
      <c r="B8750" s="17" t="s">
        <v>3751</v>
      </c>
      <c r="C8750" s="17" t="s">
        <v>3752</v>
      </c>
      <c r="D8750" s="17" t="s">
        <v>1407</v>
      </c>
      <c r="E8750" s="17" t="s">
        <v>3736</v>
      </c>
      <c r="F8750" s="17"/>
      <c r="G8750" s="18" t="n">
        <v>0</v>
      </c>
      <c r="H8750" s="18" t="n">
        <v>4.85</v>
      </c>
      <c r="I8750" s="18" t="n">
        <f aca="false">((I8749 + G8750) - H8750)</f>
        <v>278.25</v>
      </c>
      <c r="J8750" s="18" t="n">
        <v>0</v>
      </c>
      <c r="K8750" s="19" t="n">
        <v>0</v>
      </c>
      <c r="L8750" s="17"/>
    </row>
    <row r="8751" s="11" customFormat="true" ht="10.95" hidden="false" customHeight="true" outlineLevel="0" collapsed="false">
      <c r="A8751" s="16" t="n">
        <v>45126</v>
      </c>
      <c r="B8751" s="17" t="s">
        <v>3751</v>
      </c>
      <c r="C8751" s="17" t="s">
        <v>3752</v>
      </c>
      <c r="D8751" s="17" t="s">
        <v>1407</v>
      </c>
      <c r="E8751" s="17" t="s">
        <v>3736</v>
      </c>
      <c r="F8751" s="17"/>
      <c r="G8751" s="18" t="n">
        <v>0</v>
      </c>
      <c r="H8751" s="18" t="n">
        <v>18.19</v>
      </c>
      <c r="I8751" s="18" t="n">
        <f aca="false">((I8750 + G8751) - H8751)</f>
        <v>260.06</v>
      </c>
      <c r="J8751" s="18" t="n">
        <v>0</v>
      </c>
      <c r="K8751" s="19" t="n">
        <v>0</v>
      </c>
      <c r="L8751" s="17"/>
    </row>
    <row r="8752" s="11" customFormat="true" ht="10.95" hidden="false" customHeight="true" outlineLevel="0" collapsed="false">
      <c r="A8752" s="16" t="n">
        <v>45128</v>
      </c>
      <c r="B8752" s="17" t="s">
        <v>3751</v>
      </c>
      <c r="C8752" s="17" t="s">
        <v>3752</v>
      </c>
      <c r="D8752" s="17" t="s">
        <v>1407</v>
      </c>
      <c r="E8752" s="17" t="s">
        <v>3736</v>
      </c>
      <c r="F8752" s="17"/>
      <c r="G8752" s="18" t="n">
        <v>0</v>
      </c>
      <c r="H8752" s="18" t="n">
        <v>53.1</v>
      </c>
      <c r="I8752" s="18" t="n">
        <f aca="false">((I8751 + G8752) - H8752)</f>
        <v>206.96</v>
      </c>
      <c r="J8752" s="18" t="n">
        <v>0</v>
      </c>
      <c r="K8752" s="19" t="n">
        <v>0</v>
      </c>
      <c r="L8752" s="17"/>
    </row>
    <row r="8753" s="11" customFormat="true" ht="10.95" hidden="false" customHeight="true" outlineLevel="0" collapsed="false">
      <c r="A8753" s="16" t="n">
        <v>45131</v>
      </c>
      <c r="B8753" s="17" t="s">
        <v>3751</v>
      </c>
      <c r="C8753" s="17" t="s">
        <v>3752</v>
      </c>
      <c r="D8753" s="17" t="s">
        <v>1407</v>
      </c>
      <c r="E8753" s="17" t="s">
        <v>3736</v>
      </c>
      <c r="F8753" s="17"/>
      <c r="G8753" s="18" t="n">
        <v>0</v>
      </c>
      <c r="H8753" s="18" t="n">
        <v>40.9</v>
      </c>
      <c r="I8753" s="18" t="n">
        <f aca="false">((I8752 + G8753) - H8753)</f>
        <v>166.06</v>
      </c>
      <c r="J8753" s="18" t="n">
        <v>0</v>
      </c>
      <c r="K8753" s="19" t="n">
        <v>0</v>
      </c>
      <c r="L8753" s="17"/>
    </row>
    <row r="8754" s="11" customFormat="true" ht="10.95" hidden="false" customHeight="true" outlineLevel="0" collapsed="false">
      <c r="A8754" s="16" t="n">
        <v>45131</v>
      </c>
      <c r="B8754" s="17" t="s">
        <v>3751</v>
      </c>
      <c r="C8754" s="17" t="s">
        <v>3752</v>
      </c>
      <c r="D8754" s="17" t="s">
        <v>1407</v>
      </c>
      <c r="E8754" s="17" t="s">
        <v>3736</v>
      </c>
      <c r="F8754" s="17"/>
      <c r="G8754" s="18" t="n">
        <v>0</v>
      </c>
      <c r="H8754" s="18" t="n">
        <v>26.18</v>
      </c>
      <c r="I8754" s="18" t="n">
        <f aca="false">((I8753 + G8754) - H8754)</f>
        <v>139.88</v>
      </c>
      <c r="J8754" s="18" t="n">
        <v>0</v>
      </c>
      <c r="K8754" s="19" t="n">
        <v>0</v>
      </c>
      <c r="L8754" s="17"/>
    </row>
    <row r="8755" s="11" customFormat="true" ht="10.95" hidden="false" customHeight="true" outlineLevel="0" collapsed="false">
      <c r="A8755" s="16" t="n">
        <v>45132</v>
      </c>
      <c r="B8755" s="17" t="s">
        <v>3751</v>
      </c>
      <c r="C8755" s="17" t="s">
        <v>3752</v>
      </c>
      <c r="D8755" s="17" t="s">
        <v>3753</v>
      </c>
      <c r="E8755" s="17" t="s">
        <v>3754</v>
      </c>
      <c r="F8755" s="17" t="s">
        <v>3758</v>
      </c>
      <c r="G8755" s="18" t="n">
        <v>192.28</v>
      </c>
      <c r="H8755" s="18" t="n">
        <v>0</v>
      </c>
      <c r="I8755" s="18" t="n">
        <f aca="false">((I8754 + G8755) - H8755)</f>
        <v>332.16</v>
      </c>
      <c r="J8755" s="18" t="n">
        <v>0</v>
      </c>
      <c r="K8755" s="19" t="n">
        <v>0</v>
      </c>
      <c r="L8755" s="17"/>
    </row>
    <row r="8756" s="11" customFormat="true" ht="10.95" hidden="false" customHeight="true" outlineLevel="0" collapsed="false">
      <c r="A8756" s="16" t="n">
        <v>45132</v>
      </c>
      <c r="B8756" s="17" t="s">
        <v>3751</v>
      </c>
      <c r="C8756" s="17" t="s">
        <v>3752</v>
      </c>
      <c r="D8756" s="17" t="s">
        <v>1407</v>
      </c>
      <c r="E8756" s="17" t="s">
        <v>3736</v>
      </c>
      <c r="F8756" s="17"/>
      <c r="G8756" s="18" t="n">
        <v>0</v>
      </c>
      <c r="H8756" s="18" t="n">
        <v>81.36</v>
      </c>
      <c r="I8756" s="18" t="n">
        <f aca="false">((I8755 + G8756) - H8756)</f>
        <v>250.8</v>
      </c>
      <c r="J8756" s="18" t="n">
        <v>0</v>
      </c>
      <c r="K8756" s="19" t="n">
        <v>0</v>
      </c>
      <c r="L8756" s="17"/>
    </row>
    <row r="8757" s="11" customFormat="true" ht="10.95" hidden="false" customHeight="true" outlineLevel="0" collapsed="false">
      <c r="A8757" s="16" t="n">
        <v>45138</v>
      </c>
      <c r="B8757" s="17" t="s">
        <v>3751</v>
      </c>
      <c r="C8757" s="17" t="s">
        <v>3752</v>
      </c>
      <c r="D8757" s="17" t="s">
        <v>1407</v>
      </c>
      <c r="E8757" s="17" t="s">
        <v>3736</v>
      </c>
      <c r="F8757" s="17"/>
      <c r="G8757" s="18" t="n">
        <v>0</v>
      </c>
      <c r="H8757" s="18" t="n">
        <v>16.4</v>
      </c>
      <c r="I8757" s="18" t="n">
        <f aca="false">((I8756 + G8757) - H8757)</f>
        <v>234.4</v>
      </c>
      <c r="J8757" s="18" t="n">
        <v>0</v>
      </c>
      <c r="K8757" s="19" t="n">
        <v>0</v>
      </c>
      <c r="L8757" s="17"/>
    </row>
    <row r="8758" s="11" customFormat="true" ht="10.95" hidden="false" customHeight="true" outlineLevel="0" collapsed="false">
      <c r="A8758" s="16" t="n">
        <v>45139</v>
      </c>
      <c r="B8758" s="17" t="s">
        <v>3751</v>
      </c>
      <c r="C8758" s="17" t="s">
        <v>3752</v>
      </c>
      <c r="D8758" s="17" t="s">
        <v>3753</v>
      </c>
      <c r="E8758" s="17" t="s">
        <v>3754</v>
      </c>
      <c r="F8758" s="17" t="s">
        <v>3758</v>
      </c>
      <c r="G8758" s="18" t="n">
        <v>100.08</v>
      </c>
      <c r="H8758" s="18" t="n">
        <v>0</v>
      </c>
      <c r="I8758" s="18" t="n">
        <f aca="false">((I8757 + G8758) - H8758)</f>
        <v>334.48</v>
      </c>
      <c r="J8758" s="18" t="n">
        <v>0</v>
      </c>
      <c r="K8758" s="19" t="n">
        <v>0</v>
      </c>
      <c r="L8758" s="17"/>
    </row>
    <row r="8759" s="11" customFormat="true" ht="10.95" hidden="false" customHeight="true" outlineLevel="0" collapsed="false">
      <c r="A8759" s="16" t="n">
        <v>45139</v>
      </c>
      <c r="B8759" s="17" t="s">
        <v>3751</v>
      </c>
      <c r="C8759" s="17" t="s">
        <v>3752</v>
      </c>
      <c r="D8759" s="17" t="s">
        <v>1407</v>
      </c>
      <c r="E8759" s="17" t="s">
        <v>3736</v>
      </c>
      <c r="F8759" s="17"/>
      <c r="G8759" s="18" t="n">
        <v>0</v>
      </c>
      <c r="H8759" s="18" t="n">
        <v>21.96</v>
      </c>
      <c r="I8759" s="18" t="n">
        <f aca="false">((I8758 + G8759) - H8759)</f>
        <v>312.52</v>
      </c>
      <c r="J8759" s="18" t="n">
        <v>0</v>
      </c>
      <c r="K8759" s="19" t="n">
        <v>0</v>
      </c>
      <c r="L8759" s="17"/>
    </row>
    <row r="8760" s="11" customFormat="true" ht="10.95" hidden="false" customHeight="true" outlineLevel="0" collapsed="false">
      <c r="A8760" s="16" t="n">
        <v>45139</v>
      </c>
      <c r="B8760" s="17" t="s">
        <v>3751</v>
      </c>
      <c r="C8760" s="17" t="s">
        <v>3752</v>
      </c>
      <c r="D8760" s="17" t="s">
        <v>1407</v>
      </c>
      <c r="E8760" s="17" t="s">
        <v>3736</v>
      </c>
      <c r="F8760" s="17"/>
      <c r="G8760" s="18" t="n">
        <v>0</v>
      </c>
      <c r="H8760" s="18" t="n">
        <v>21.68</v>
      </c>
      <c r="I8760" s="18" t="n">
        <f aca="false">((I8759 + G8760) - H8760)</f>
        <v>290.84</v>
      </c>
      <c r="J8760" s="18" t="n">
        <v>0</v>
      </c>
      <c r="K8760" s="19" t="n">
        <v>0</v>
      </c>
      <c r="L8760" s="17"/>
    </row>
    <row r="8761" s="11" customFormat="true" ht="10.95" hidden="false" customHeight="true" outlineLevel="0" collapsed="false">
      <c r="A8761" s="16" t="n">
        <v>45143</v>
      </c>
      <c r="B8761" s="17" t="s">
        <v>3751</v>
      </c>
      <c r="C8761" s="17" t="s">
        <v>3752</v>
      </c>
      <c r="D8761" s="17" t="s">
        <v>1407</v>
      </c>
      <c r="E8761" s="17" t="s">
        <v>3736</v>
      </c>
      <c r="F8761" s="17"/>
      <c r="G8761" s="18" t="n">
        <v>0</v>
      </c>
      <c r="H8761" s="18" t="n">
        <v>17.6</v>
      </c>
      <c r="I8761" s="18" t="n">
        <f aca="false">((I8760 + G8761) - H8761)</f>
        <v>273.24</v>
      </c>
      <c r="J8761" s="18" t="n">
        <v>0</v>
      </c>
      <c r="K8761" s="19" t="n">
        <v>0</v>
      </c>
      <c r="L8761" s="17"/>
    </row>
    <row r="8762" s="11" customFormat="true" ht="10.95" hidden="false" customHeight="true" outlineLevel="0" collapsed="false">
      <c r="A8762" s="16" t="n">
        <v>45143</v>
      </c>
      <c r="B8762" s="17" t="s">
        <v>3751</v>
      </c>
      <c r="C8762" s="17" t="s">
        <v>3752</v>
      </c>
      <c r="D8762" s="17" t="s">
        <v>1407</v>
      </c>
      <c r="E8762" s="17" t="s">
        <v>3759</v>
      </c>
      <c r="F8762" s="17"/>
      <c r="G8762" s="18" t="n">
        <v>0</v>
      </c>
      <c r="H8762" s="18" t="n">
        <v>282.18</v>
      </c>
      <c r="I8762" s="18" t="n">
        <f aca="false">((I8761 + G8762) - H8762)</f>
        <v>-8.94000000000006</v>
      </c>
      <c r="J8762" s="18" t="n">
        <v>0</v>
      </c>
      <c r="K8762" s="19" t="n">
        <v>0</v>
      </c>
      <c r="L8762" s="17"/>
    </row>
    <row r="8763" s="11" customFormat="true" ht="10.95" hidden="false" customHeight="true" outlineLevel="0" collapsed="false">
      <c r="A8763" s="16" t="n">
        <v>45145</v>
      </c>
      <c r="B8763" s="17" t="s">
        <v>3751</v>
      </c>
      <c r="C8763" s="17" t="s">
        <v>3752</v>
      </c>
      <c r="D8763" s="17" t="s">
        <v>1407</v>
      </c>
      <c r="E8763" s="17" t="s">
        <v>3736</v>
      </c>
      <c r="F8763" s="17"/>
      <c r="G8763" s="18" t="n">
        <v>0</v>
      </c>
      <c r="H8763" s="18" t="n">
        <v>4.54</v>
      </c>
      <c r="I8763" s="18" t="n">
        <f aca="false">((I8762 + G8763) - H8763)</f>
        <v>-13.4800000000001</v>
      </c>
      <c r="J8763" s="18" t="n">
        <v>0</v>
      </c>
      <c r="K8763" s="19" t="n">
        <v>0</v>
      </c>
      <c r="L8763" s="17"/>
    </row>
    <row r="8764" s="11" customFormat="true" ht="10.95" hidden="false" customHeight="true" outlineLevel="0" collapsed="false">
      <c r="A8764" s="16" t="n">
        <v>45145</v>
      </c>
      <c r="B8764" s="17" t="s">
        <v>3751</v>
      </c>
      <c r="C8764" s="17" t="s">
        <v>3752</v>
      </c>
      <c r="D8764" s="17" t="s">
        <v>1407</v>
      </c>
      <c r="E8764" s="17" t="s">
        <v>3756</v>
      </c>
      <c r="F8764" s="17"/>
      <c r="G8764" s="18" t="n">
        <v>0</v>
      </c>
      <c r="H8764" s="18" t="n">
        <v>16.53</v>
      </c>
      <c r="I8764" s="18" t="n">
        <f aca="false">((I8763 + G8764) - H8764)</f>
        <v>-30.0100000000001</v>
      </c>
      <c r="J8764" s="18" t="n">
        <v>0</v>
      </c>
      <c r="K8764" s="19" t="n">
        <v>0</v>
      </c>
      <c r="L8764" s="17"/>
    </row>
    <row r="8765" s="11" customFormat="true" ht="10.95" hidden="false" customHeight="true" outlineLevel="0" collapsed="false">
      <c r="A8765" s="16" t="n">
        <v>45145</v>
      </c>
      <c r="B8765" s="17" t="s">
        <v>3751</v>
      </c>
      <c r="C8765" s="17" t="s">
        <v>3752</v>
      </c>
      <c r="D8765" s="17" t="s">
        <v>1407</v>
      </c>
      <c r="E8765" s="17" t="s">
        <v>3760</v>
      </c>
      <c r="F8765" s="17"/>
      <c r="G8765" s="18" t="n">
        <v>0</v>
      </c>
      <c r="H8765" s="18" t="n">
        <v>112.46</v>
      </c>
      <c r="I8765" s="18" t="n">
        <f aca="false">((I8764 + G8765) - H8765)</f>
        <v>-142.47</v>
      </c>
      <c r="J8765" s="18" t="n">
        <v>0</v>
      </c>
      <c r="K8765" s="19" t="n">
        <v>0</v>
      </c>
      <c r="L8765" s="17"/>
    </row>
    <row r="8766" s="11" customFormat="true" ht="10.95" hidden="false" customHeight="true" outlineLevel="0" collapsed="false">
      <c r="A8766" s="16" t="n">
        <v>45146</v>
      </c>
      <c r="B8766" s="17" t="s">
        <v>3751</v>
      </c>
      <c r="C8766" s="17" t="s">
        <v>3752</v>
      </c>
      <c r="D8766" s="17" t="s">
        <v>1276</v>
      </c>
      <c r="E8766" s="17" t="s">
        <v>3759</v>
      </c>
      <c r="F8766" s="17"/>
      <c r="G8766" s="18" t="n">
        <v>282.42</v>
      </c>
      <c r="H8766" s="18" t="n">
        <v>0</v>
      </c>
      <c r="I8766" s="18" t="n">
        <f aca="false">((I8765 + G8766) - H8766)</f>
        <v>139.95</v>
      </c>
      <c r="J8766" s="18" t="n">
        <v>0</v>
      </c>
      <c r="K8766" s="19" t="n">
        <v>0</v>
      </c>
      <c r="L8766" s="17"/>
    </row>
    <row r="8767" s="11" customFormat="true" ht="10.95" hidden="false" customHeight="true" outlineLevel="0" collapsed="false">
      <c r="A8767" s="16" t="n">
        <v>45147</v>
      </c>
      <c r="B8767" s="17" t="s">
        <v>3751</v>
      </c>
      <c r="C8767" s="17" t="s">
        <v>3752</v>
      </c>
      <c r="D8767" s="17" t="s">
        <v>1407</v>
      </c>
      <c r="E8767" s="17" t="s">
        <v>3757</v>
      </c>
      <c r="F8767" s="17"/>
      <c r="G8767" s="18" t="n">
        <v>0</v>
      </c>
      <c r="H8767" s="18" t="n">
        <v>20.24</v>
      </c>
      <c r="I8767" s="18" t="n">
        <f aca="false">((I8766 + G8767) - H8767)</f>
        <v>119.71</v>
      </c>
      <c r="J8767" s="18" t="n">
        <v>0</v>
      </c>
      <c r="K8767" s="19" t="n">
        <v>0</v>
      </c>
      <c r="L8767" s="17"/>
    </row>
    <row r="8768" s="11" customFormat="true" ht="10.95" hidden="false" customHeight="true" outlineLevel="0" collapsed="false">
      <c r="A8768" s="16" t="n">
        <v>45147</v>
      </c>
      <c r="B8768" s="17" t="s">
        <v>3751</v>
      </c>
      <c r="C8768" s="17" t="s">
        <v>3752</v>
      </c>
      <c r="D8768" s="17" t="s">
        <v>1407</v>
      </c>
      <c r="E8768" s="17" t="s">
        <v>3736</v>
      </c>
      <c r="F8768" s="17"/>
      <c r="G8768" s="18" t="n">
        <v>0</v>
      </c>
      <c r="H8768" s="18" t="n">
        <v>6.74</v>
      </c>
      <c r="I8768" s="18" t="n">
        <f aca="false">((I8767 + G8768) - H8768)</f>
        <v>112.97</v>
      </c>
      <c r="J8768" s="18" t="n">
        <v>0</v>
      </c>
      <c r="K8768" s="19" t="n">
        <v>0</v>
      </c>
      <c r="L8768" s="17"/>
    </row>
    <row r="8769" s="11" customFormat="true" ht="10.95" hidden="false" customHeight="true" outlineLevel="0" collapsed="false">
      <c r="A8769" s="16" t="n">
        <v>45150</v>
      </c>
      <c r="B8769" s="17" t="s">
        <v>3751</v>
      </c>
      <c r="C8769" s="17" t="s">
        <v>3752</v>
      </c>
      <c r="D8769" s="17" t="s">
        <v>1407</v>
      </c>
      <c r="E8769" s="17" t="s">
        <v>3736</v>
      </c>
      <c r="F8769" s="17"/>
      <c r="G8769" s="18" t="n">
        <v>0</v>
      </c>
      <c r="H8769" s="18" t="n">
        <v>4.6</v>
      </c>
      <c r="I8769" s="18" t="n">
        <f aca="false">((I8768 + G8769) - H8769)</f>
        <v>108.37</v>
      </c>
      <c r="J8769" s="18" t="n">
        <v>0</v>
      </c>
      <c r="K8769" s="19" t="n">
        <v>0</v>
      </c>
      <c r="L8769" s="17"/>
    </row>
    <row r="8770" s="11" customFormat="true" ht="10.95" hidden="false" customHeight="true" outlineLevel="0" collapsed="false">
      <c r="A8770" s="16" t="n">
        <v>45152</v>
      </c>
      <c r="B8770" s="17" t="s">
        <v>3751</v>
      </c>
      <c r="C8770" s="17" t="s">
        <v>3752</v>
      </c>
      <c r="D8770" s="17" t="s">
        <v>1407</v>
      </c>
      <c r="E8770" s="17" t="s">
        <v>3736</v>
      </c>
      <c r="F8770" s="17"/>
      <c r="G8770" s="18" t="n">
        <v>0</v>
      </c>
      <c r="H8770" s="18" t="n">
        <v>1.53</v>
      </c>
      <c r="I8770" s="18" t="n">
        <f aca="false">((I8769 + G8770) - H8770)</f>
        <v>106.84</v>
      </c>
      <c r="J8770" s="18" t="n">
        <v>0</v>
      </c>
      <c r="K8770" s="19" t="n">
        <v>0</v>
      </c>
      <c r="L8770" s="17"/>
    </row>
    <row r="8771" s="11" customFormat="true" ht="10.95" hidden="false" customHeight="true" outlineLevel="0" collapsed="false">
      <c r="A8771" s="16" t="n">
        <v>45157</v>
      </c>
      <c r="B8771" s="17" t="s">
        <v>3751</v>
      </c>
      <c r="C8771" s="17" t="s">
        <v>3752</v>
      </c>
      <c r="D8771" s="17" t="s">
        <v>1407</v>
      </c>
      <c r="E8771" s="17" t="s">
        <v>3736</v>
      </c>
      <c r="F8771" s="17"/>
      <c r="G8771" s="18" t="n">
        <v>0</v>
      </c>
      <c r="H8771" s="18" t="n">
        <v>19.26</v>
      </c>
      <c r="I8771" s="18" t="n">
        <f aca="false">((I8770 + G8771) - H8771)</f>
        <v>87.58</v>
      </c>
      <c r="J8771" s="18" t="n">
        <v>0</v>
      </c>
      <c r="K8771" s="19" t="n">
        <v>0</v>
      </c>
      <c r="L8771" s="17"/>
    </row>
    <row r="8772" s="11" customFormat="true" ht="10.95" hidden="false" customHeight="true" outlineLevel="0" collapsed="false">
      <c r="A8772" s="16" t="n">
        <v>45159</v>
      </c>
      <c r="B8772" s="17" t="s">
        <v>3751</v>
      </c>
      <c r="C8772" s="17" t="s">
        <v>3752</v>
      </c>
      <c r="D8772" s="17" t="s">
        <v>3753</v>
      </c>
      <c r="E8772" s="17" t="s">
        <v>3754</v>
      </c>
      <c r="F8772" s="17" t="s">
        <v>3761</v>
      </c>
      <c r="G8772" s="18" t="n">
        <v>255.43</v>
      </c>
      <c r="H8772" s="18" t="n">
        <v>0</v>
      </c>
      <c r="I8772" s="18" t="n">
        <f aca="false">((I8771 + G8772) - H8772)</f>
        <v>343.01</v>
      </c>
      <c r="J8772" s="18" t="n">
        <v>0</v>
      </c>
      <c r="K8772" s="19" t="n">
        <v>0</v>
      </c>
      <c r="L8772" s="17"/>
    </row>
    <row r="8773" s="11" customFormat="true" ht="10.95" hidden="false" customHeight="true" outlineLevel="0" collapsed="false">
      <c r="A8773" s="16" t="n">
        <v>45159</v>
      </c>
      <c r="B8773" s="17" t="s">
        <v>3751</v>
      </c>
      <c r="C8773" s="17" t="s">
        <v>3752</v>
      </c>
      <c r="D8773" s="17" t="s">
        <v>1407</v>
      </c>
      <c r="E8773" s="17" t="s">
        <v>3736</v>
      </c>
      <c r="F8773" s="17"/>
      <c r="G8773" s="18" t="n">
        <v>0</v>
      </c>
      <c r="H8773" s="18" t="n">
        <v>55.75</v>
      </c>
      <c r="I8773" s="18" t="n">
        <f aca="false">((I8772 + G8773) - H8773)</f>
        <v>287.26</v>
      </c>
      <c r="J8773" s="18" t="n">
        <v>0</v>
      </c>
      <c r="K8773" s="19" t="n">
        <v>0</v>
      </c>
      <c r="L8773" s="17"/>
    </row>
    <row r="8774" s="11" customFormat="true" ht="10.95" hidden="false" customHeight="true" outlineLevel="0" collapsed="false">
      <c r="A8774" s="16" t="n">
        <v>45161</v>
      </c>
      <c r="B8774" s="17" t="s">
        <v>3751</v>
      </c>
      <c r="C8774" s="17" t="s">
        <v>3752</v>
      </c>
      <c r="D8774" s="17" t="s">
        <v>1407</v>
      </c>
      <c r="E8774" s="17" t="s">
        <v>3736</v>
      </c>
      <c r="F8774" s="17"/>
      <c r="G8774" s="18" t="n">
        <v>0</v>
      </c>
      <c r="H8774" s="18" t="n">
        <v>27.49</v>
      </c>
      <c r="I8774" s="18" t="n">
        <f aca="false">((I8773 + G8774) - H8774)</f>
        <v>259.77</v>
      </c>
      <c r="J8774" s="18" t="n">
        <v>0</v>
      </c>
      <c r="K8774" s="19" t="n">
        <v>0</v>
      </c>
      <c r="L8774" s="17"/>
    </row>
    <row r="8775" s="11" customFormat="true" ht="10.95" hidden="false" customHeight="true" outlineLevel="0" collapsed="false">
      <c r="A8775" s="16" t="n">
        <v>45166</v>
      </c>
      <c r="B8775" s="17" t="s">
        <v>3751</v>
      </c>
      <c r="C8775" s="17" t="s">
        <v>3752</v>
      </c>
      <c r="D8775" s="17" t="s">
        <v>1407</v>
      </c>
      <c r="E8775" s="17" t="s">
        <v>3736</v>
      </c>
      <c r="F8775" s="17"/>
      <c r="G8775" s="18" t="n">
        <v>0</v>
      </c>
      <c r="H8775" s="18" t="n">
        <v>63.48</v>
      </c>
      <c r="I8775" s="18" t="n">
        <f aca="false">((I8774 + G8775) - H8775)</f>
        <v>196.29</v>
      </c>
      <c r="J8775" s="18" t="n">
        <v>0</v>
      </c>
      <c r="K8775" s="19" t="n">
        <v>0</v>
      </c>
      <c r="L8775" s="17"/>
    </row>
    <row r="8776" s="11" customFormat="true" ht="10.95" hidden="false" customHeight="true" outlineLevel="0" collapsed="false">
      <c r="A8776" s="16" t="n">
        <v>45170</v>
      </c>
      <c r="B8776" s="17" t="s">
        <v>3751</v>
      </c>
      <c r="C8776" s="17" t="s">
        <v>3752</v>
      </c>
      <c r="D8776" s="17" t="s">
        <v>1407</v>
      </c>
      <c r="E8776" s="17" t="s">
        <v>3736</v>
      </c>
      <c r="F8776" s="17"/>
      <c r="G8776" s="18" t="n">
        <v>0</v>
      </c>
      <c r="H8776" s="18" t="n">
        <v>22.29</v>
      </c>
      <c r="I8776" s="18" t="n">
        <f aca="false">((I8775 + G8776) - H8776)</f>
        <v>174</v>
      </c>
      <c r="J8776" s="18" t="n">
        <v>0</v>
      </c>
      <c r="K8776" s="19" t="n">
        <v>0</v>
      </c>
      <c r="L8776" s="17"/>
    </row>
    <row r="8777" s="11" customFormat="true" ht="10.95" hidden="false" customHeight="true" outlineLevel="0" collapsed="false">
      <c r="A8777" s="16" t="n">
        <v>45170</v>
      </c>
      <c r="B8777" s="17" t="s">
        <v>3751</v>
      </c>
      <c r="C8777" s="17" t="s">
        <v>3752</v>
      </c>
      <c r="D8777" s="17" t="s">
        <v>1407</v>
      </c>
      <c r="E8777" s="17" t="s">
        <v>3736</v>
      </c>
      <c r="F8777" s="17"/>
      <c r="G8777" s="18" t="n">
        <v>0</v>
      </c>
      <c r="H8777" s="18" t="n">
        <v>33.86</v>
      </c>
      <c r="I8777" s="18" t="n">
        <f aca="false">((I8776 + G8777) - H8777)</f>
        <v>140.14</v>
      </c>
      <c r="J8777" s="18" t="n">
        <v>0</v>
      </c>
      <c r="K8777" s="19" t="n">
        <v>0</v>
      </c>
      <c r="L8777" s="17"/>
    </row>
    <row r="8778" s="11" customFormat="true" ht="10.95" hidden="false" customHeight="true" outlineLevel="0" collapsed="false">
      <c r="A8778" s="16" t="n">
        <v>45173</v>
      </c>
      <c r="B8778" s="17" t="s">
        <v>3751</v>
      </c>
      <c r="C8778" s="17" t="s">
        <v>3752</v>
      </c>
      <c r="D8778" s="17" t="s">
        <v>1407</v>
      </c>
      <c r="E8778" s="17" t="s">
        <v>3736</v>
      </c>
      <c r="F8778" s="17"/>
      <c r="G8778" s="18" t="n">
        <v>0</v>
      </c>
      <c r="H8778" s="18" t="n">
        <v>17.91</v>
      </c>
      <c r="I8778" s="18" t="n">
        <f aca="false">((I8777 + G8778) - H8778)</f>
        <v>122.23</v>
      </c>
      <c r="J8778" s="18" t="n">
        <v>0</v>
      </c>
      <c r="K8778" s="19" t="n">
        <v>0</v>
      </c>
      <c r="L8778" s="17"/>
    </row>
    <row r="8779" s="11" customFormat="true" ht="10.95" hidden="false" customHeight="true" outlineLevel="0" collapsed="false">
      <c r="A8779" s="16" t="n">
        <v>45176</v>
      </c>
      <c r="B8779" s="17" t="s">
        <v>3751</v>
      </c>
      <c r="C8779" s="17" t="s">
        <v>3752</v>
      </c>
      <c r="D8779" s="17" t="s">
        <v>1407</v>
      </c>
      <c r="E8779" s="17" t="s">
        <v>3736</v>
      </c>
      <c r="F8779" s="17"/>
      <c r="G8779" s="18" t="n">
        <v>0</v>
      </c>
      <c r="H8779" s="18" t="n">
        <v>4.68</v>
      </c>
      <c r="I8779" s="18" t="n">
        <f aca="false">((I8778 + G8779) - H8779)</f>
        <v>117.55</v>
      </c>
      <c r="J8779" s="18" t="n">
        <v>0</v>
      </c>
      <c r="K8779" s="19" t="n">
        <v>0</v>
      </c>
      <c r="L8779" s="17"/>
    </row>
    <row r="8780" s="11" customFormat="true" ht="10.95" hidden="false" customHeight="true" outlineLevel="0" collapsed="false">
      <c r="A8780" s="16" t="n">
        <v>45176</v>
      </c>
      <c r="B8780" s="17" t="s">
        <v>3751</v>
      </c>
      <c r="C8780" s="17" t="s">
        <v>3752</v>
      </c>
      <c r="D8780" s="17" t="s">
        <v>1407</v>
      </c>
      <c r="E8780" s="17" t="s">
        <v>3756</v>
      </c>
      <c r="F8780" s="17"/>
      <c r="G8780" s="18" t="n">
        <v>0</v>
      </c>
      <c r="H8780" s="18" t="n">
        <v>16.68</v>
      </c>
      <c r="I8780" s="18" t="n">
        <f aca="false">((I8779 + G8780) - H8780)</f>
        <v>100.87</v>
      </c>
      <c r="J8780" s="18" t="n">
        <v>0</v>
      </c>
      <c r="K8780" s="19" t="n">
        <v>0</v>
      </c>
      <c r="L8780" s="17"/>
    </row>
    <row r="8781" s="11" customFormat="true" ht="10.95" hidden="false" customHeight="true" outlineLevel="0" collapsed="false">
      <c r="A8781" s="16" t="n">
        <v>45177</v>
      </c>
      <c r="B8781" s="17" t="s">
        <v>3751</v>
      </c>
      <c r="C8781" s="17" t="s">
        <v>3752</v>
      </c>
      <c r="D8781" s="17" t="s">
        <v>1407</v>
      </c>
      <c r="E8781" s="17" t="s">
        <v>3736</v>
      </c>
      <c r="F8781" s="17"/>
      <c r="G8781" s="18" t="n">
        <v>0</v>
      </c>
      <c r="H8781" s="18" t="n">
        <v>3.46</v>
      </c>
      <c r="I8781" s="18" t="n">
        <f aca="false">((I8780 + G8781) - H8781)</f>
        <v>97.41</v>
      </c>
      <c r="J8781" s="18" t="n">
        <v>0</v>
      </c>
      <c r="K8781" s="19" t="n">
        <v>0</v>
      </c>
      <c r="L8781" s="17"/>
    </row>
    <row r="8782" s="11" customFormat="true" ht="10.95" hidden="false" customHeight="true" outlineLevel="0" collapsed="false">
      <c r="A8782" s="16" t="n">
        <v>45177</v>
      </c>
      <c r="B8782" s="17" t="s">
        <v>3751</v>
      </c>
      <c r="C8782" s="17" t="s">
        <v>3752</v>
      </c>
      <c r="D8782" s="17" t="s">
        <v>1407</v>
      </c>
      <c r="E8782" s="17" t="s">
        <v>3736</v>
      </c>
      <c r="F8782" s="17"/>
      <c r="G8782" s="18" t="n">
        <v>0</v>
      </c>
      <c r="H8782" s="18" t="n">
        <v>103.44</v>
      </c>
      <c r="I8782" s="18" t="n">
        <f aca="false">((I8781 + G8782) - H8782)</f>
        <v>-6.03000000000002</v>
      </c>
      <c r="J8782" s="18" t="n">
        <v>0</v>
      </c>
      <c r="K8782" s="19" t="n">
        <v>0</v>
      </c>
      <c r="L8782" s="17"/>
    </row>
    <row r="8783" s="11" customFormat="true" ht="10.95" hidden="false" customHeight="true" outlineLevel="0" collapsed="false">
      <c r="A8783" s="16" t="n">
        <v>45178</v>
      </c>
      <c r="B8783" s="17" t="s">
        <v>3751</v>
      </c>
      <c r="C8783" s="17" t="s">
        <v>3752</v>
      </c>
      <c r="D8783" s="17" t="s">
        <v>1407</v>
      </c>
      <c r="E8783" s="17" t="s">
        <v>3757</v>
      </c>
      <c r="F8783" s="17"/>
      <c r="G8783" s="18" t="n">
        <v>0</v>
      </c>
      <c r="H8783" s="18" t="n">
        <v>20.72</v>
      </c>
      <c r="I8783" s="18" t="n">
        <f aca="false">((I8782 + G8783) - H8783)</f>
        <v>-26.75</v>
      </c>
      <c r="J8783" s="18" t="n">
        <v>0</v>
      </c>
      <c r="K8783" s="19" t="n">
        <v>0</v>
      </c>
      <c r="L8783" s="17"/>
    </row>
    <row r="8784" s="11" customFormat="true" ht="10.95" hidden="false" customHeight="true" outlineLevel="0" collapsed="false">
      <c r="A8784" s="16" t="n">
        <v>45181</v>
      </c>
      <c r="B8784" s="17" t="s">
        <v>3751</v>
      </c>
      <c r="C8784" s="17" t="s">
        <v>3752</v>
      </c>
      <c r="D8784" s="17" t="s">
        <v>1407</v>
      </c>
      <c r="E8784" s="17" t="s">
        <v>3736</v>
      </c>
      <c r="F8784" s="17"/>
      <c r="G8784" s="18" t="n">
        <v>0</v>
      </c>
      <c r="H8784" s="18" t="n">
        <v>4.66</v>
      </c>
      <c r="I8784" s="18" t="n">
        <f aca="false">((I8783 + G8784) - H8784)</f>
        <v>-31.41</v>
      </c>
      <c r="J8784" s="18" t="n">
        <v>0</v>
      </c>
      <c r="K8784" s="19" t="n">
        <v>0</v>
      </c>
      <c r="L8784" s="17"/>
    </row>
    <row r="8785" s="11" customFormat="true" ht="10.95" hidden="false" customHeight="true" outlineLevel="0" collapsed="false">
      <c r="A8785" s="16" t="n">
        <v>45182</v>
      </c>
      <c r="B8785" s="17" t="s">
        <v>3751</v>
      </c>
      <c r="C8785" s="17" t="s">
        <v>3752</v>
      </c>
      <c r="D8785" s="17" t="s">
        <v>1407</v>
      </c>
      <c r="E8785" s="17" t="s">
        <v>3736</v>
      </c>
      <c r="F8785" s="17"/>
      <c r="G8785" s="18" t="n">
        <v>0</v>
      </c>
      <c r="H8785" s="18" t="n">
        <v>1.54</v>
      </c>
      <c r="I8785" s="18" t="n">
        <f aca="false">((I8784 + G8785) - H8785)</f>
        <v>-32.95</v>
      </c>
      <c r="J8785" s="18" t="n">
        <v>0</v>
      </c>
      <c r="K8785" s="19" t="n">
        <v>0</v>
      </c>
      <c r="L8785" s="17"/>
    </row>
    <row r="8786" s="11" customFormat="true" ht="10.95" hidden="false" customHeight="true" outlineLevel="0" collapsed="false">
      <c r="A8786" s="16" t="n">
        <v>45187</v>
      </c>
      <c r="B8786" s="17" t="s">
        <v>3751</v>
      </c>
      <c r="C8786" s="17" t="s">
        <v>3752</v>
      </c>
      <c r="D8786" s="17" t="s">
        <v>1407</v>
      </c>
      <c r="E8786" s="17" t="s">
        <v>3736</v>
      </c>
      <c r="F8786" s="17"/>
      <c r="G8786" s="18" t="n">
        <v>0</v>
      </c>
      <c r="H8786" s="18" t="n">
        <v>25.71</v>
      </c>
      <c r="I8786" s="18" t="n">
        <f aca="false">((I8785 + G8786) - H8786)</f>
        <v>-58.66</v>
      </c>
      <c r="J8786" s="18" t="n">
        <v>0</v>
      </c>
      <c r="K8786" s="19" t="n">
        <v>0</v>
      </c>
      <c r="L8786" s="17"/>
    </row>
    <row r="8787" s="11" customFormat="true" ht="10.95" hidden="false" customHeight="true" outlineLevel="0" collapsed="false">
      <c r="A8787" s="16" t="n">
        <v>45187</v>
      </c>
      <c r="B8787" s="17" t="s">
        <v>3751</v>
      </c>
      <c r="C8787" s="17" t="s">
        <v>3752</v>
      </c>
      <c r="D8787" s="17" t="s">
        <v>1407</v>
      </c>
      <c r="E8787" s="17" t="s">
        <v>3736</v>
      </c>
      <c r="F8787" s="17"/>
      <c r="G8787" s="18" t="n">
        <v>0</v>
      </c>
      <c r="H8787" s="18" t="n">
        <v>51.42</v>
      </c>
      <c r="I8787" s="18" t="n">
        <f aca="false">((I8786 + G8787) - H8787)</f>
        <v>-110.08</v>
      </c>
      <c r="J8787" s="18" t="n">
        <v>0</v>
      </c>
      <c r="K8787" s="19" t="n">
        <v>0</v>
      </c>
      <c r="L8787" s="17"/>
    </row>
    <row r="8788" s="11" customFormat="true" ht="10.95" hidden="false" customHeight="true" outlineLevel="0" collapsed="false">
      <c r="A8788" s="16" t="n">
        <v>45188</v>
      </c>
      <c r="B8788" s="17" t="s">
        <v>3751</v>
      </c>
      <c r="C8788" s="17" t="s">
        <v>3752</v>
      </c>
      <c r="D8788" s="17" t="s">
        <v>3753</v>
      </c>
      <c r="E8788" s="17" t="s">
        <v>3754</v>
      </c>
      <c r="F8788" s="17" t="s">
        <v>3758</v>
      </c>
      <c r="G8788" s="18" t="n">
        <v>449.9</v>
      </c>
      <c r="H8788" s="18" t="n">
        <v>0</v>
      </c>
      <c r="I8788" s="18" t="n">
        <f aca="false">((I8787 + G8788) - H8788)</f>
        <v>339.82</v>
      </c>
      <c r="J8788" s="18" t="n">
        <v>0</v>
      </c>
      <c r="K8788" s="19" t="n">
        <v>0</v>
      </c>
      <c r="L8788" s="17"/>
    </row>
    <row r="8789" s="11" customFormat="true" ht="10.95" hidden="false" customHeight="true" outlineLevel="0" collapsed="false">
      <c r="A8789" s="16" t="n">
        <v>45188</v>
      </c>
      <c r="B8789" s="17" t="s">
        <v>3751</v>
      </c>
      <c r="C8789" s="17" t="s">
        <v>3752</v>
      </c>
      <c r="D8789" s="17" t="s">
        <v>1407</v>
      </c>
      <c r="E8789" s="17" t="s">
        <v>3736</v>
      </c>
      <c r="F8789" s="17"/>
      <c r="G8789" s="18" t="n">
        <v>0</v>
      </c>
      <c r="H8789" s="18" t="n">
        <v>19.03</v>
      </c>
      <c r="I8789" s="18" t="n">
        <f aca="false">((I8788 + G8789) - H8789)</f>
        <v>320.79</v>
      </c>
      <c r="J8789" s="18" t="n">
        <v>0</v>
      </c>
      <c r="K8789" s="19" t="n">
        <v>0</v>
      </c>
      <c r="L8789" s="17"/>
    </row>
    <row r="8790" s="11" customFormat="true" ht="10.95" hidden="false" customHeight="true" outlineLevel="0" collapsed="false">
      <c r="A8790" s="16" t="n">
        <v>45190</v>
      </c>
      <c r="B8790" s="17" t="s">
        <v>3751</v>
      </c>
      <c r="C8790" s="17" t="s">
        <v>3752</v>
      </c>
      <c r="D8790" s="17" t="s">
        <v>1407</v>
      </c>
      <c r="E8790" s="17" t="s">
        <v>3736</v>
      </c>
      <c r="F8790" s="17"/>
      <c r="G8790" s="18" t="n">
        <v>0</v>
      </c>
      <c r="H8790" s="18" t="n">
        <v>55.87</v>
      </c>
      <c r="I8790" s="18" t="n">
        <f aca="false">((I8789 + G8790) - H8790)</f>
        <v>264.92</v>
      </c>
      <c r="J8790" s="18" t="n">
        <v>0</v>
      </c>
      <c r="K8790" s="19" t="n">
        <v>0</v>
      </c>
      <c r="L8790" s="17"/>
    </row>
    <row r="8791" s="11" customFormat="true" ht="10.95" hidden="false" customHeight="true" outlineLevel="0" collapsed="false">
      <c r="A8791" s="16" t="n">
        <v>45194</v>
      </c>
      <c r="B8791" s="17" t="s">
        <v>3751</v>
      </c>
      <c r="C8791" s="17" t="s">
        <v>3752</v>
      </c>
      <c r="D8791" s="17" t="s">
        <v>1407</v>
      </c>
      <c r="E8791" s="17" t="s">
        <v>3736</v>
      </c>
      <c r="F8791" s="17"/>
      <c r="G8791" s="18" t="n">
        <v>0</v>
      </c>
      <c r="H8791" s="18" t="n">
        <v>233.37</v>
      </c>
      <c r="I8791" s="18" t="n">
        <f aca="false">((I8790 + G8791) - H8791)</f>
        <v>31.55</v>
      </c>
      <c r="J8791" s="18" t="n">
        <v>0</v>
      </c>
      <c r="K8791" s="19" t="n">
        <v>0</v>
      </c>
      <c r="L8791" s="17"/>
    </row>
    <row r="8792" s="11" customFormat="true" ht="10.95" hidden="false" customHeight="true" outlineLevel="0" collapsed="false">
      <c r="A8792" s="16" t="n">
        <v>45195</v>
      </c>
      <c r="B8792" s="17" t="s">
        <v>3751</v>
      </c>
      <c r="C8792" s="17" t="s">
        <v>3752</v>
      </c>
      <c r="D8792" s="17" t="s">
        <v>1407</v>
      </c>
      <c r="E8792" s="17" t="s">
        <v>3736</v>
      </c>
      <c r="F8792" s="17"/>
      <c r="G8792" s="18" t="n">
        <v>0</v>
      </c>
      <c r="H8792" s="18" t="n">
        <v>20.61</v>
      </c>
      <c r="I8792" s="18" t="n">
        <f aca="false">((I8791 + G8792) - H8792)</f>
        <v>10.94</v>
      </c>
      <c r="J8792" s="18" t="n">
        <v>0</v>
      </c>
      <c r="K8792" s="19" t="n">
        <v>0</v>
      </c>
      <c r="L8792" s="17"/>
    </row>
    <row r="8793" s="11" customFormat="true" ht="10.95" hidden="false" customHeight="true" outlineLevel="0" collapsed="false">
      <c r="A8793" s="16" t="n">
        <v>45201</v>
      </c>
      <c r="B8793" s="17" t="s">
        <v>3751</v>
      </c>
      <c r="C8793" s="17" t="s">
        <v>3752</v>
      </c>
      <c r="D8793" s="17" t="s">
        <v>1407</v>
      </c>
      <c r="E8793" s="17" t="s">
        <v>3736</v>
      </c>
      <c r="F8793" s="17"/>
      <c r="G8793" s="18" t="n">
        <v>0</v>
      </c>
      <c r="H8793" s="18" t="n">
        <v>22.69</v>
      </c>
      <c r="I8793" s="18" t="n">
        <f aca="false">((I8792 + G8793) - H8793)</f>
        <v>-11.75</v>
      </c>
      <c r="J8793" s="18" t="n">
        <v>0</v>
      </c>
      <c r="K8793" s="19" t="n">
        <v>0</v>
      </c>
      <c r="L8793" s="17"/>
    </row>
    <row r="8794" s="11" customFormat="true" ht="10.95" hidden="false" customHeight="true" outlineLevel="0" collapsed="false">
      <c r="A8794" s="16" t="n">
        <v>45203</v>
      </c>
      <c r="B8794" s="17" t="s">
        <v>3751</v>
      </c>
      <c r="C8794" s="17" t="s">
        <v>3752</v>
      </c>
      <c r="D8794" s="17" t="s">
        <v>1407</v>
      </c>
      <c r="E8794" s="17" t="s">
        <v>3736</v>
      </c>
      <c r="F8794" s="17"/>
      <c r="G8794" s="18" t="n">
        <v>0</v>
      </c>
      <c r="H8794" s="18" t="n">
        <v>43.59</v>
      </c>
      <c r="I8794" s="18" t="n">
        <f aca="false">((I8793 + G8794) - H8794)</f>
        <v>-55.34</v>
      </c>
      <c r="J8794" s="18" t="n">
        <v>0</v>
      </c>
      <c r="K8794" s="19" t="n">
        <v>0</v>
      </c>
      <c r="L8794" s="17"/>
    </row>
    <row r="8795" s="11" customFormat="true" ht="10.95" hidden="false" customHeight="true" outlineLevel="0" collapsed="false">
      <c r="A8795" s="16" t="n">
        <v>45203</v>
      </c>
      <c r="B8795" s="17" t="s">
        <v>3751</v>
      </c>
      <c r="C8795" s="17" t="s">
        <v>3752</v>
      </c>
      <c r="D8795" s="17" t="s">
        <v>1407</v>
      </c>
      <c r="E8795" s="17" t="s">
        <v>3736</v>
      </c>
      <c r="F8795" s="17"/>
      <c r="G8795" s="18" t="n">
        <v>0</v>
      </c>
      <c r="H8795" s="18" t="n">
        <v>18.31</v>
      </c>
      <c r="I8795" s="18" t="n">
        <f aca="false">((I8794 + G8795) - H8795)</f>
        <v>-73.6500000000001</v>
      </c>
      <c r="J8795" s="18" t="n">
        <v>0</v>
      </c>
      <c r="K8795" s="19" t="n">
        <v>0</v>
      </c>
      <c r="L8795" s="17"/>
    </row>
    <row r="8796" s="11" customFormat="true" ht="10.95" hidden="false" customHeight="true" outlineLevel="0" collapsed="false">
      <c r="A8796" s="16" t="n">
        <v>45206</v>
      </c>
      <c r="B8796" s="17" t="s">
        <v>3751</v>
      </c>
      <c r="C8796" s="17" t="s">
        <v>3752</v>
      </c>
      <c r="D8796" s="17" t="s">
        <v>1407</v>
      </c>
      <c r="E8796" s="17" t="s">
        <v>3736</v>
      </c>
      <c r="F8796" s="17"/>
      <c r="G8796" s="18" t="n">
        <v>0</v>
      </c>
      <c r="H8796" s="18" t="n">
        <v>4.68</v>
      </c>
      <c r="I8796" s="18" t="n">
        <f aca="false">((I8795 + G8796) - H8796)</f>
        <v>-78.33</v>
      </c>
      <c r="J8796" s="18" t="n">
        <v>0</v>
      </c>
      <c r="K8796" s="19" t="n">
        <v>0</v>
      </c>
      <c r="L8796" s="17"/>
    </row>
    <row r="8797" s="11" customFormat="true" ht="10.95" hidden="false" customHeight="true" outlineLevel="0" collapsed="false">
      <c r="A8797" s="16" t="n">
        <v>45206</v>
      </c>
      <c r="B8797" s="17" t="s">
        <v>3751</v>
      </c>
      <c r="C8797" s="17" t="s">
        <v>3752</v>
      </c>
      <c r="D8797" s="17" t="s">
        <v>1407</v>
      </c>
      <c r="E8797" s="17" t="s">
        <v>3756</v>
      </c>
      <c r="F8797" s="17"/>
      <c r="G8797" s="18" t="n">
        <v>0</v>
      </c>
      <c r="H8797" s="18" t="n">
        <v>16.36</v>
      </c>
      <c r="I8797" s="18" t="n">
        <f aca="false">((I8796 + G8797) - H8797)</f>
        <v>-94.69</v>
      </c>
      <c r="J8797" s="18" t="n">
        <v>0</v>
      </c>
      <c r="K8797" s="19" t="n">
        <v>0</v>
      </c>
      <c r="L8797" s="17"/>
    </row>
    <row r="8798" s="11" customFormat="true" ht="10.95" hidden="false" customHeight="true" outlineLevel="0" collapsed="false">
      <c r="A8798" s="16" t="n">
        <v>45208</v>
      </c>
      <c r="B8798" s="17" t="s">
        <v>3751</v>
      </c>
      <c r="C8798" s="17" t="s">
        <v>3752</v>
      </c>
      <c r="D8798" s="17" t="s">
        <v>1407</v>
      </c>
      <c r="E8798" s="17" t="s">
        <v>3757</v>
      </c>
      <c r="F8798" s="17"/>
      <c r="G8798" s="18" t="n">
        <v>0</v>
      </c>
      <c r="H8798" s="18" t="n">
        <v>20.77</v>
      </c>
      <c r="I8798" s="18" t="n">
        <f aca="false">((I8797 + G8798) - H8798)</f>
        <v>-115.46</v>
      </c>
      <c r="J8798" s="18" t="n">
        <v>0</v>
      </c>
      <c r="K8798" s="19" t="n">
        <v>0</v>
      </c>
      <c r="L8798" s="17"/>
    </row>
    <row r="8799" s="11" customFormat="true" ht="10.95" hidden="false" customHeight="true" outlineLevel="0" collapsed="false">
      <c r="A8799" s="16" t="n">
        <v>45210</v>
      </c>
      <c r="B8799" s="17" t="s">
        <v>3751</v>
      </c>
      <c r="C8799" s="17" t="s">
        <v>3752</v>
      </c>
      <c r="D8799" s="17" t="s">
        <v>1407</v>
      </c>
      <c r="E8799" s="17" t="s">
        <v>3736</v>
      </c>
      <c r="F8799" s="17"/>
      <c r="G8799" s="18" t="n">
        <v>0</v>
      </c>
      <c r="H8799" s="18" t="n">
        <v>34.36</v>
      </c>
      <c r="I8799" s="18" t="n">
        <f aca="false">((I8798 + G8799) - H8799)</f>
        <v>-149.82</v>
      </c>
      <c r="J8799" s="18" t="n">
        <v>0</v>
      </c>
      <c r="K8799" s="19" t="n">
        <v>0</v>
      </c>
      <c r="L8799" s="17"/>
    </row>
    <row r="8800" s="11" customFormat="true" ht="10.95" hidden="false" customHeight="true" outlineLevel="0" collapsed="false">
      <c r="A8800" s="16" t="n">
        <v>45211</v>
      </c>
      <c r="B8800" s="17" t="s">
        <v>3751</v>
      </c>
      <c r="C8800" s="17" t="s">
        <v>3752</v>
      </c>
      <c r="D8800" s="17" t="s">
        <v>1407</v>
      </c>
      <c r="E8800" s="17" t="s">
        <v>3736</v>
      </c>
      <c r="F8800" s="17"/>
      <c r="G8800" s="18" t="n">
        <v>0</v>
      </c>
      <c r="H8800" s="18" t="n">
        <v>4.67</v>
      </c>
      <c r="I8800" s="18" t="n">
        <f aca="false">((I8799 + G8800) - H8800)</f>
        <v>-154.49</v>
      </c>
      <c r="J8800" s="18" t="n">
        <v>0</v>
      </c>
      <c r="K8800" s="19" t="n">
        <v>0</v>
      </c>
      <c r="L8800" s="17"/>
    </row>
    <row r="8801" s="11" customFormat="true" ht="10.95" hidden="false" customHeight="true" outlineLevel="0" collapsed="false">
      <c r="A8801" s="16" t="n">
        <v>45212</v>
      </c>
      <c r="B8801" s="17" t="s">
        <v>3751</v>
      </c>
      <c r="C8801" s="17" t="s">
        <v>3752</v>
      </c>
      <c r="D8801" s="17" t="s">
        <v>1407</v>
      </c>
      <c r="E8801" s="17" t="s">
        <v>3736</v>
      </c>
      <c r="F8801" s="17"/>
      <c r="G8801" s="18" t="n">
        <v>0</v>
      </c>
      <c r="H8801" s="18" t="n">
        <v>1.57</v>
      </c>
      <c r="I8801" s="18" t="n">
        <f aca="false">((I8800 + G8801) - H8801)</f>
        <v>-156.06</v>
      </c>
      <c r="J8801" s="18" t="n">
        <v>0</v>
      </c>
      <c r="K8801" s="19" t="n">
        <v>0</v>
      </c>
      <c r="L8801" s="17"/>
    </row>
    <row r="8802" s="11" customFormat="true" ht="10.95" hidden="false" customHeight="true" outlineLevel="0" collapsed="false">
      <c r="A8802" s="16" t="n">
        <v>45213</v>
      </c>
      <c r="B8802" s="17" t="s">
        <v>3751</v>
      </c>
      <c r="C8802" s="17" t="s">
        <v>3752</v>
      </c>
      <c r="D8802" s="17" t="s">
        <v>1407</v>
      </c>
      <c r="E8802" s="17" t="s">
        <v>3736</v>
      </c>
      <c r="F8802" s="17"/>
      <c r="G8802" s="18" t="n">
        <v>0</v>
      </c>
      <c r="H8802" s="18" t="n">
        <v>105.14</v>
      </c>
      <c r="I8802" s="18" t="n">
        <f aca="false">((I8801 + G8802) - H8802)</f>
        <v>-261.2</v>
      </c>
      <c r="J8802" s="18" t="n">
        <v>0</v>
      </c>
      <c r="K8802" s="19" t="n">
        <v>0</v>
      </c>
      <c r="L8802" s="17"/>
    </row>
    <row r="8803" s="11" customFormat="true" ht="10.95" hidden="false" customHeight="true" outlineLevel="0" collapsed="false">
      <c r="A8803" s="16" t="n">
        <v>45218</v>
      </c>
      <c r="B8803" s="17" t="s">
        <v>3751</v>
      </c>
      <c r="C8803" s="17" t="s">
        <v>3752</v>
      </c>
      <c r="D8803" s="17" t="s">
        <v>1407</v>
      </c>
      <c r="E8803" s="17" t="s">
        <v>3736</v>
      </c>
      <c r="F8803" s="17"/>
      <c r="G8803" s="18" t="n">
        <v>0</v>
      </c>
      <c r="H8803" s="18" t="n">
        <v>19.5</v>
      </c>
      <c r="I8803" s="18" t="n">
        <f aca="false">((I8802 + G8803) - H8803)</f>
        <v>-280.7</v>
      </c>
      <c r="J8803" s="18" t="n">
        <v>0</v>
      </c>
      <c r="K8803" s="19" t="n">
        <v>0</v>
      </c>
      <c r="L8803" s="17"/>
    </row>
    <row r="8804" s="11" customFormat="true" ht="10.95" hidden="false" customHeight="true" outlineLevel="0" collapsed="false">
      <c r="A8804" s="16" t="n">
        <v>45220</v>
      </c>
      <c r="B8804" s="17" t="s">
        <v>3751</v>
      </c>
      <c r="C8804" s="17" t="s">
        <v>3752</v>
      </c>
      <c r="D8804" s="17" t="s">
        <v>1407</v>
      </c>
      <c r="E8804" s="17" t="s">
        <v>3736</v>
      </c>
      <c r="F8804" s="17"/>
      <c r="G8804" s="18" t="n">
        <v>0</v>
      </c>
      <c r="H8804" s="18" t="n">
        <v>56.65</v>
      </c>
      <c r="I8804" s="18" t="n">
        <f aca="false">((I8803 + G8804) - H8804)</f>
        <v>-337.35</v>
      </c>
      <c r="J8804" s="18" t="n">
        <v>0</v>
      </c>
      <c r="K8804" s="19" t="n">
        <v>0</v>
      </c>
      <c r="L8804" s="17"/>
    </row>
    <row r="8805" s="11" customFormat="true" ht="10.95" hidden="false" customHeight="true" outlineLevel="0" collapsed="false">
      <c r="A8805" s="16" t="n">
        <v>45222</v>
      </c>
      <c r="B8805" s="17" t="s">
        <v>3751</v>
      </c>
      <c r="C8805" s="17" t="s">
        <v>3752</v>
      </c>
      <c r="D8805" s="17" t="s">
        <v>3753</v>
      </c>
      <c r="E8805" s="17" t="s">
        <v>3754</v>
      </c>
      <c r="F8805" s="17" t="s">
        <v>3758</v>
      </c>
      <c r="G8805" s="18" t="n">
        <v>684.08</v>
      </c>
      <c r="H8805" s="18" t="n">
        <v>0</v>
      </c>
      <c r="I8805" s="18" t="n">
        <f aca="false">((I8804 + G8805) - H8805)</f>
        <v>346.73</v>
      </c>
      <c r="J8805" s="18" t="n">
        <v>0</v>
      </c>
      <c r="K8805" s="19" t="n">
        <v>0</v>
      </c>
      <c r="L8805" s="17"/>
    </row>
    <row r="8806" s="11" customFormat="true" ht="10.95" hidden="false" customHeight="true" outlineLevel="0" collapsed="false">
      <c r="A8806" s="16" t="n">
        <v>45225</v>
      </c>
      <c r="B8806" s="17" t="s">
        <v>3751</v>
      </c>
      <c r="C8806" s="17" t="s">
        <v>3752</v>
      </c>
      <c r="D8806" s="17" t="s">
        <v>1407</v>
      </c>
      <c r="E8806" s="17" t="s">
        <v>3736</v>
      </c>
      <c r="F8806" s="17"/>
      <c r="G8806" s="18" t="n">
        <v>0</v>
      </c>
      <c r="H8806" s="18" t="n">
        <v>20.98</v>
      </c>
      <c r="I8806" s="18" t="n">
        <f aca="false">((I8805 + G8806) - H8806)</f>
        <v>325.75</v>
      </c>
      <c r="J8806" s="18" t="n">
        <v>0</v>
      </c>
      <c r="K8806" s="19" t="n">
        <v>0</v>
      </c>
      <c r="L8806" s="17"/>
    </row>
    <row r="8807" s="11" customFormat="true" ht="10.95" hidden="false" customHeight="true" outlineLevel="0" collapsed="false">
      <c r="A8807" s="16" t="n">
        <v>45226</v>
      </c>
      <c r="B8807" s="17" t="s">
        <v>3751</v>
      </c>
      <c r="C8807" s="17" t="s">
        <v>3752</v>
      </c>
      <c r="D8807" s="17" t="s">
        <v>1407</v>
      </c>
      <c r="E8807" s="17" t="s">
        <v>3736</v>
      </c>
      <c r="F8807" s="17"/>
      <c r="G8807" s="18" t="n">
        <v>0</v>
      </c>
      <c r="H8807" s="18" t="n">
        <v>79.97</v>
      </c>
      <c r="I8807" s="18" t="n">
        <f aca="false">((I8806 + G8807) - H8807)</f>
        <v>245.78</v>
      </c>
      <c r="J8807" s="18" t="n">
        <v>0</v>
      </c>
      <c r="K8807" s="19" t="n">
        <v>0</v>
      </c>
      <c r="L8807" s="17"/>
    </row>
    <row r="8808" s="11" customFormat="true" ht="10.95" hidden="false" customHeight="true" outlineLevel="0" collapsed="false">
      <c r="A8808" s="16" t="n">
        <v>45229</v>
      </c>
      <c r="B8808" s="17" t="s">
        <v>3751</v>
      </c>
      <c r="C8808" s="17" t="s">
        <v>3752</v>
      </c>
      <c r="D8808" s="17" t="s">
        <v>3753</v>
      </c>
      <c r="E8808" s="17" t="s">
        <v>3754</v>
      </c>
      <c r="F8808" s="17" t="s">
        <v>3762</v>
      </c>
      <c r="G8808" s="18" t="n">
        <v>100.24</v>
      </c>
      <c r="H8808" s="18" t="n">
        <v>0</v>
      </c>
      <c r="I8808" s="18" t="n">
        <f aca="false">((I8807 + G8808) - H8808)</f>
        <v>346.02</v>
      </c>
      <c r="J8808" s="18" t="n">
        <v>0</v>
      </c>
      <c r="K8808" s="19" t="n">
        <v>0</v>
      </c>
      <c r="L8808" s="17"/>
    </row>
    <row r="8809" s="11" customFormat="true" ht="10.95" hidden="false" customHeight="true" outlineLevel="0" collapsed="false">
      <c r="A8809" s="16" t="n">
        <v>45231</v>
      </c>
      <c r="B8809" s="17" t="s">
        <v>3751</v>
      </c>
      <c r="C8809" s="17" t="s">
        <v>3752</v>
      </c>
      <c r="D8809" s="17" t="s">
        <v>1407</v>
      </c>
      <c r="E8809" s="17" t="s">
        <v>3736</v>
      </c>
      <c r="F8809" s="17"/>
      <c r="G8809" s="18" t="n">
        <v>0</v>
      </c>
      <c r="H8809" s="18" t="n">
        <v>18.24</v>
      </c>
      <c r="I8809" s="18" t="n">
        <f aca="false">((I8808 + G8809) - H8809)</f>
        <v>327.78</v>
      </c>
      <c r="J8809" s="18" t="n">
        <v>0</v>
      </c>
      <c r="K8809" s="19" t="n">
        <v>0</v>
      </c>
      <c r="L8809" s="17"/>
    </row>
    <row r="8810" s="11" customFormat="true" ht="10.95" hidden="false" customHeight="true" outlineLevel="0" collapsed="false">
      <c r="A8810" s="16" t="n">
        <v>45231</v>
      </c>
      <c r="B8810" s="17" t="s">
        <v>3751</v>
      </c>
      <c r="C8810" s="17" t="s">
        <v>3752</v>
      </c>
      <c r="D8810" s="17" t="s">
        <v>1407</v>
      </c>
      <c r="E8810" s="17" t="s">
        <v>3736</v>
      </c>
      <c r="F8810" s="17"/>
      <c r="G8810" s="18" t="n">
        <v>0</v>
      </c>
      <c r="H8810" s="18" t="n">
        <v>22.88</v>
      </c>
      <c r="I8810" s="18" t="n">
        <f aca="false">((I8809 + G8810) - H8810)</f>
        <v>304.9</v>
      </c>
      <c r="J8810" s="18" t="n">
        <v>0</v>
      </c>
      <c r="K8810" s="19" t="n">
        <v>0</v>
      </c>
      <c r="L8810" s="17"/>
    </row>
    <row r="8811" s="11" customFormat="true" ht="10.95" hidden="false" customHeight="true" outlineLevel="0" collapsed="false">
      <c r="A8811" s="16" t="n">
        <v>45231</v>
      </c>
      <c r="B8811" s="17" t="s">
        <v>3751</v>
      </c>
      <c r="C8811" s="17" t="s">
        <v>3752</v>
      </c>
      <c r="D8811" s="17" t="s">
        <v>1407</v>
      </c>
      <c r="E8811" s="17" t="s">
        <v>3736</v>
      </c>
      <c r="F8811" s="17"/>
      <c r="G8811" s="18" t="n">
        <v>0</v>
      </c>
      <c r="H8811" s="18" t="n">
        <v>173.83</v>
      </c>
      <c r="I8811" s="18" t="n">
        <f aca="false">((I8810 + G8811) - H8811)</f>
        <v>131.07</v>
      </c>
      <c r="J8811" s="18" t="n">
        <v>0</v>
      </c>
      <c r="K8811" s="19" t="n">
        <v>0</v>
      </c>
      <c r="L8811" s="17"/>
    </row>
    <row r="8812" s="11" customFormat="true" ht="10.95" hidden="false" customHeight="true" outlineLevel="0" collapsed="false">
      <c r="A8812" s="16" t="n">
        <v>45233</v>
      </c>
      <c r="B8812" s="17" t="s">
        <v>3751</v>
      </c>
      <c r="C8812" s="17" t="s">
        <v>3752</v>
      </c>
      <c r="D8812" s="17" t="s">
        <v>1407</v>
      </c>
      <c r="E8812" s="17" t="s">
        <v>3763</v>
      </c>
      <c r="F8812" s="17"/>
      <c r="G8812" s="18" t="n">
        <v>0</v>
      </c>
      <c r="H8812" s="18" t="n">
        <v>222.66</v>
      </c>
      <c r="I8812" s="18" t="n">
        <f aca="false">((I8811 + G8812) - H8812)</f>
        <v>-91.59</v>
      </c>
      <c r="J8812" s="18" t="n">
        <v>0</v>
      </c>
      <c r="K8812" s="19" t="n">
        <v>0</v>
      </c>
      <c r="L8812" s="17"/>
    </row>
    <row r="8813" s="11" customFormat="true" ht="10.95" hidden="false" customHeight="true" outlineLevel="0" collapsed="false">
      <c r="A8813" s="16" t="n">
        <v>45236</v>
      </c>
      <c r="B8813" s="17" t="s">
        <v>3751</v>
      </c>
      <c r="C8813" s="17" t="s">
        <v>3752</v>
      </c>
      <c r="D8813" s="17" t="s">
        <v>1407</v>
      </c>
      <c r="E8813" s="17" t="s">
        <v>3736</v>
      </c>
      <c r="F8813" s="17"/>
      <c r="G8813" s="18" t="n">
        <v>0</v>
      </c>
      <c r="H8813" s="18" t="n">
        <v>237.14</v>
      </c>
      <c r="I8813" s="18" t="n">
        <f aca="false">((I8812 + G8813) - H8813)</f>
        <v>-328.73</v>
      </c>
      <c r="J8813" s="18" t="n">
        <v>0</v>
      </c>
      <c r="K8813" s="19" t="n">
        <v>0</v>
      </c>
      <c r="L8813" s="17"/>
    </row>
    <row r="8814" s="11" customFormat="true" ht="10.95" hidden="false" customHeight="true" outlineLevel="0" collapsed="false">
      <c r="A8814" s="16" t="n">
        <v>45237</v>
      </c>
      <c r="B8814" s="17" t="s">
        <v>3751</v>
      </c>
      <c r="C8814" s="17" t="s">
        <v>3752</v>
      </c>
      <c r="D8814" s="17" t="s">
        <v>1407</v>
      </c>
      <c r="E8814" s="17" t="s">
        <v>3736</v>
      </c>
      <c r="F8814" s="17"/>
      <c r="G8814" s="18" t="n">
        <v>0</v>
      </c>
      <c r="H8814" s="18" t="n">
        <v>4.66</v>
      </c>
      <c r="I8814" s="18" t="n">
        <f aca="false">((I8813 + G8814) - H8814)</f>
        <v>-333.39</v>
      </c>
      <c r="J8814" s="18" t="n">
        <v>0</v>
      </c>
      <c r="K8814" s="19" t="n">
        <v>0</v>
      </c>
      <c r="L8814" s="17"/>
    </row>
    <row r="8815" s="11" customFormat="true" ht="10.95" hidden="false" customHeight="true" outlineLevel="0" collapsed="false">
      <c r="A8815" s="16" t="n">
        <v>45237</v>
      </c>
      <c r="B8815" s="17" t="s">
        <v>3751</v>
      </c>
      <c r="C8815" s="17" t="s">
        <v>3752</v>
      </c>
      <c r="D8815" s="17" t="s">
        <v>1407</v>
      </c>
      <c r="E8815" s="17" t="s">
        <v>3756</v>
      </c>
      <c r="F8815" s="17"/>
      <c r="G8815" s="18" t="n">
        <v>0</v>
      </c>
      <c r="H8815" s="18" t="n">
        <v>16.72</v>
      </c>
      <c r="I8815" s="18" t="n">
        <f aca="false">((I8814 + G8815) - H8815)</f>
        <v>-350.11</v>
      </c>
      <c r="J8815" s="18" t="n">
        <v>0</v>
      </c>
      <c r="K8815" s="19" t="n">
        <v>0</v>
      </c>
      <c r="L8815" s="17"/>
    </row>
    <row r="8816" s="11" customFormat="true" ht="10.95" hidden="false" customHeight="true" outlineLevel="0" collapsed="false">
      <c r="A8816" s="16" t="n">
        <v>45239</v>
      </c>
      <c r="B8816" s="17" t="s">
        <v>3751</v>
      </c>
      <c r="C8816" s="17" t="s">
        <v>3752</v>
      </c>
      <c r="D8816" s="17" t="s">
        <v>1407</v>
      </c>
      <c r="E8816" s="17" t="s">
        <v>3757</v>
      </c>
      <c r="F8816" s="17"/>
      <c r="G8816" s="18" t="n">
        <v>0</v>
      </c>
      <c r="H8816" s="18" t="n">
        <v>20.66</v>
      </c>
      <c r="I8816" s="18" t="n">
        <f aca="false">((I8815 + G8816) - H8816)</f>
        <v>-370.77</v>
      </c>
      <c r="J8816" s="18" t="n">
        <v>0</v>
      </c>
      <c r="K8816" s="19" t="n">
        <v>0</v>
      </c>
      <c r="L8816" s="17"/>
    </row>
    <row r="8817" s="11" customFormat="true" ht="10.95" hidden="false" customHeight="true" outlineLevel="0" collapsed="false">
      <c r="A8817" s="16" t="n">
        <v>45243</v>
      </c>
      <c r="B8817" s="17" t="s">
        <v>3751</v>
      </c>
      <c r="C8817" s="17" t="s">
        <v>3752</v>
      </c>
      <c r="D8817" s="17" t="s">
        <v>1407</v>
      </c>
      <c r="E8817" s="17" t="s">
        <v>3736</v>
      </c>
      <c r="F8817" s="17"/>
      <c r="G8817" s="18" t="n">
        <v>0</v>
      </c>
      <c r="H8817" s="18" t="n">
        <v>1.55</v>
      </c>
      <c r="I8817" s="18" t="n">
        <f aca="false">((I8816 + G8817) - H8817)</f>
        <v>-372.32</v>
      </c>
      <c r="J8817" s="18" t="n">
        <v>0</v>
      </c>
      <c r="K8817" s="19" t="n">
        <v>0</v>
      </c>
      <c r="L8817" s="17"/>
    </row>
    <row r="8818" s="11" customFormat="true" ht="10.95" hidden="false" customHeight="true" outlineLevel="0" collapsed="false">
      <c r="A8818" s="16" t="n">
        <v>45243</v>
      </c>
      <c r="B8818" s="17" t="s">
        <v>3751</v>
      </c>
      <c r="C8818" s="17" t="s">
        <v>3752</v>
      </c>
      <c r="D8818" s="17" t="s">
        <v>1407</v>
      </c>
      <c r="E8818" s="17" t="s">
        <v>3736</v>
      </c>
      <c r="F8818" s="17"/>
      <c r="G8818" s="18" t="n">
        <v>0</v>
      </c>
      <c r="H8818" s="18" t="n">
        <v>4.69</v>
      </c>
      <c r="I8818" s="18" t="n">
        <f aca="false">((I8817 + G8818) - H8818)</f>
        <v>-377.01</v>
      </c>
      <c r="J8818" s="18" t="n">
        <v>0</v>
      </c>
      <c r="K8818" s="19" t="n">
        <v>0</v>
      </c>
      <c r="L8818" s="17"/>
    </row>
    <row r="8819" s="11" customFormat="true" ht="10.95" hidden="false" customHeight="true" outlineLevel="0" collapsed="false">
      <c r="A8819" s="16" t="n">
        <v>45246</v>
      </c>
      <c r="B8819" s="17" t="s">
        <v>3751</v>
      </c>
      <c r="C8819" s="17" t="s">
        <v>3752</v>
      </c>
      <c r="D8819" s="17" t="s">
        <v>3753</v>
      </c>
      <c r="E8819" s="17" t="s">
        <v>3754</v>
      </c>
      <c r="F8819" s="17" t="s">
        <v>3764</v>
      </c>
      <c r="G8819" s="18" t="n">
        <v>716.63</v>
      </c>
      <c r="H8819" s="18" t="n">
        <v>0</v>
      </c>
      <c r="I8819" s="18" t="n">
        <f aca="false">((I8818 + G8819) - H8819)</f>
        <v>339.62</v>
      </c>
      <c r="J8819" s="18" t="n">
        <v>0</v>
      </c>
      <c r="K8819" s="19" t="n">
        <v>0</v>
      </c>
      <c r="L8819" s="17"/>
    </row>
    <row r="8820" s="11" customFormat="true" ht="10.95" hidden="false" customHeight="true" outlineLevel="0" collapsed="false">
      <c r="A8820" s="16" t="n">
        <v>45250</v>
      </c>
      <c r="B8820" s="17" t="s">
        <v>3751</v>
      </c>
      <c r="C8820" s="17" t="s">
        <v>3752</v>
      </c>
      <c r="D8820" s="17" t="s">
        <v>1407</v>
      </c>
      <c r="E8820" s="17" t="s">
        <v>3736</v>
      </c>
      <c r="F8820" s="17"/>
      <c r="G8820" s="18" t="n">
        <v>0</v>
      </c>
      <c r="H8820" s="18" t="n">
        <v>38.13</v>
      </c>
      <c r="I8820" s="18" t="n">
        <f aca="false">((I8819 + G8820) - H8820)</f>
        <v>301.49</v>
      </c>
      <c r="J8820" s="18" t="n">
        <v>0</v>
      </c>
      <c r="K8820" s="19" t="n">
        <v>0</v>
      </c>
      <c r="L8820" s="17"/>
    </row>
    <row r="8821" s="11" customFormat="true" ht="10.95" hidden="false" customHeight="true" outlineLevel="0" collapsed="false">
      <c r="A8821" s="16" t="n">
        <v>45250</v>
      </c>
      <c r="B8821" s="17" t="s">
        <v>3751</v>
      </c>
      <c r="C8821" s="17" t="s">
        <v>3752</v>
      </c>
      <c r="D8821" s="17" t="s">
        <v>1407</v>
      </c>
      <c r="E8821" s="17" t="s">
        <v>3736</v>
      </c>
      <c r="F8821" s="17"/>
      <c r="G8821" s="18" t="n">
        <v>0</v>
      </c>
      <c r="H8821" s="18" t="n">
        <v>18.78</v>
      </c>
      <c r="I8821" s="18" t="n">
        <f aca="false">((I8820 + G8821) - H8821)</f>
        <v>282.71</v>
      </c>
      <c r="J8821" s="18" t="n">
        <v>0</v>
      </c>
      <c r="K8821" s="19" t="n">
        <v>0</v>
      </c>
      <c r="L8821" s="17"/>
    </row>
    <row r="8822" s="11" customFormat="true" ht="10.95" hidden="false" customHeight="true" outlineLevel="0" collapsed="false">
      <c r="A8822" s="16" t="n">
        <v>45250</v>
      </c>
      <c r="B8822" s="17" t="s">
        <v>3751</v>
      </c>
      <c r="C8822" s="17" t="s">
        <v>3752</v>
      </c>
      <c r="D8822" s="17" t="s">
        <v>1276</v>
      </c>
      <c r="E8822" s="17" t="s">
        <v>3765</v>
      </c>
      <c r="F8822" s="17"/>
      <c r="G8822" s="18" t="n">
        <v>42.73</v>
      </c>
      <c r="H8822" s="18" t="n">
        <v>0</v>
      </c>
      <c r="I8822" s="18" t="n">
        <f aca="false">((I8821 + G8822) - H8822)</f>
        <v>325.44</v>
      </c>
      <c r="J8822" s="18" t="n">
        <v>0</v>
      </c>
      <c r="K8822" s="19" t="n">
        <v>0</v>
      </c>
      <c r="L8822" s="17"/>
    </row>
    <row r="8823" s="11" customFormat="true" ht="10.95" hidden="false" customHeight="true" outlineLevel="0" collapsed="false">
      <c r="A8823" s="16" t="n">
        <v>45250</v>
      </c>
      <c r="B8823" s="17" t="s">
        <v>3751</v>
      </c>
      <c r="C8823" s="17" t="s">
        <v>3752</v>
      </c>
      <c r="D8823" s="17" t="s">
        <v>1276</v>
      </c>
      <c r="E8823" s="17" t="s">
        <v>3765</v>
      </c>
      <c r="F8823" s="17"/>
      <c r="G8823" s="18" t="n">
        <v>5.39</v>
      </c>
      <c r="H8823" s="18" t="n">
        <v>0</v>
      </c>
      <c r="I8823" s="18" t="n">
        <f aca="false">((I8822 + G8823) - H8823)</f>
        <v>330.83</v>
      </c>
      <c r="J8823" s="18" t="n">
        <v>0</v>
      </c>
      <c r="K8823" s="19" t="n">
        <v>0</v>
      </c>
      <c r="L8823" s="17"/>
    </row>
    <row r="8824" s="11" customFormat="true" ht="10.95" hidden="false" customHeight="true" outlineLevel="0" collapsed="false">
      <c r="A8824" s="16" t="n">
        <v>45251</v>
      </c>
      <c r="B8824" s="17" t="s">
        <v>3751</v>
      </c>
      <c r="C8824" s="17" t="s">
        <v>3752</v>
      </c>
      <c r="D8824" s="17" t="s">
        <v>1407</v>
      </c>
      <c r="E8824" s="17" t="s">
        <v>3736</v>
      </c>
      <c r="F8824" s="17"/>
      <c r="G8824" s="18" t="n">
        <v>0</v>
      </c>
      <c r="H8824" s="18" t="n">
        <v>54.53</v>
      </c>
      <c r="I8824" s="18" t="n">
        <f aca="false">((I8823 + G8824) - H8824)</f>
        <v>276.3</v>
      </c>
      <c r="J8824" s="18" t="n">
        <v>0</v>
      </c>
      <c r="K8824" s="19" t="n">
        <v>0</v>
      </c>
      <c r="L8824" s="17"/>
    </row>
    <row r="8825" s="11" customFormat="true" ht="10.95" hidden="false" customHeight="true" outlineLevel="0" collapsed="false">
      <c r="A8825" s="16" t="n">
        <v>45254</v>
      </c>
      <c r="B8825" s="17" t="s">
        <v>3751</v>
      </c>
      <c r="C8825" s="17" t="s">
        <v>3752</v>
      </c>
      <c r="D8825" s="17" t="s">
        <v>1407</v>
      </c>
      <c r="E8825" s="17" t="s">
        <v>3736</v>
      </c>
      <c r="F8825" s="17"/>
      <c r="G8825" s="18" t="n">
        <v>0</v>
      </c>
      <c r="H8825" s="18" t="n">
        <v>26.83</v>
      </c>
      <c r="I8825" s="18" t="n">
        <f aca="false">((I8824 + G8825) - H8825)</f>
        <v>249.47</v>
      </c>
      <c r="J8825" s="18" t="n">
        <v>0</v>
      </c>
      <c r="K8825" s="19" t="n">
        <v>0</v>
      </c>
      <c r="L8825" s="17"/>
    </row>
    <row r="8826" s="11" customFormat="true" ht="10.95" hidden="false" customHeight="true" outlineLevel="0" collapsed="false">
      <c r="A8826" s="16" t="n">
        <v>45254</v>
      </c>
      <c r="B8826" s="17" t="s">
        <v>3751</v>
      </c>
      <c r="C8826" s="17" t="s">
        <v>3752</v>
      </c>
      <c r="D8826" s="17" t="s">
        <v>1407</v>
      </c>
      <c r="E8826" s="17" t="s">
        <v>3736</v>
      </c>
      <c r="F8826" s="17"/>
      <c r="G8826" s="18" t="n">
        <v>0</v>
      </c>
      <c r="H8826" s="18" t="n">
        <v>67.08</v>
      </c>
      <c r="I8826" s="18" t="n">
        <f aca="false">((I8825 + G8826) - H8826)</f>
        <v>182.39</v>
      </c>
      <c r="J8826" s="18" t="n">
        <v>0</v>
      </c>
      <c r="K8826" s="19" t="n">
        <v>0</v>
      </c>
      <c r="L8826" s="17"/>
    </row>
    <row r="8827" s="11" customFormat="true" ht="10.95" hidden="false" customHeight="true" outlineLevel="0" collapsed="false">
      <c r="A8827" s="16" t="n">
        <v>45257</v>
      </c>
      <c r="B8827" s="17" t="s">
        <v>3751</v>
      </c>
      <c r="C8827" s="17" t="s">
        <v>3752</v>
      </c>
      <c r="D8827" s="17" t="s">
        <v>3753</v>
      </c>
      <c r="E8827" s="17" t="s">
        <v>3754</v>
      </c>
      <c r="F8827" s="17" t="s">
        <v>3766</v>
      </c>
      <c r="G8827" s="18" t="n">
        <v>156.42</v>
      </c>
      <c r="H8827" s="18" t="n">
        <v>0</v>
      </c>
      <c r="I8827" s="18" t="n">
        <f aca="false">((I8826 + G8827) - H8827)</f>
        <v>338.81</v>
      </c>
      <c r="J8827" s="18" t="n">
        <v>0</v>
      </c>
      <c r="K8827" s="19" t="n">
        <v>0</v>
      </c>
      <c r="L8827" s="17"/>
    </row>
    <row r="8828" s="11" customFormat="true" ht="10.95" hidden="false" customHeight="true" outlineLevel="0" collapsed="false">
      <c r="A8828" s="16" t="n">
        <v>45260</v>
      </c>
      <c r="B8828" s="17" t="s">
        <v>3751</v>
      </c>
      <c r="C8828" s="17" t="s">
        <v>3752</v>
      </c>
      <c r="D8828" s="17" t="s">
        <v>1407</v>
      </c>
      <c r="E8828" s="17" t="s">
        <v>3736</v>
      </c>
      <c r="F8828" s="17"/>
      <c r="G8828" s="18" t="n">
        <v>0</v>
      </c>
      <c r="H8828" s="18" t="n">
        <v>20.03</v>
      </c>
      <c r="I8828" s="18" t="n">
        <f aca="false">((I8827 + G8828) - H8828)</f>
        <v>318.78</v>
      </c>
      <c r="J8828" s="18" t="n">
        <v>0</v>
      </c>
      <c r="K8828" s="19" t="n">
        <v>0</v>
      </c>
      <c r="L8828" s="17"/>
    </row>
    <row r="8829" s="11" customFormat="true" ht="10.95" hidden="false" customHeight="true" outlineLevel="0" collapsed="false">
      <c r="A8829" s="16" t="n">
        <v>45261</v>
      </c>
      <c r="B8829" s="17" t="s">
        <v>3751</v>
      </c>
      <c r="C8829" s="17" t="s">
        <v>3752</v>
      </c>
      <c r="D8829" s="17" t="s">
        <v>1407</v>
      </c>
      <c r="E8829" s="17" t="s">
        <v>3736</v>
      </c>
      <c r="F8829" s="17"/>
      <c r="G8829" s="18" t="n">
        <v>0</v>
      </c>
      <c r="H8829" s="18" t="n">
        <v>21.93</v>
      </c>
      <c r="I8829" s="18" t="n">
        <f aca="false">((I8828 + G8829) - H8829)</f>
        <v>296.85</v>
      </c>
      <c r="J8829" s="18" t="n">
        <v>0</v>
      </c>
      <c r="K8829" s="19" t="n">
        <v>0</v>
      </c>
      <c r="L8829" s="17"/>
    </row>
    <row r="8830" s="11" customFormat="true" ht="10.95" hidden="false" customHeight="true" outlineLevel="0" collapsed="false">
      <c r="A8830" s="16" t="n">
        <v>45265</v>
      </c>
      <c r="B8830" s="17" t="s">
        <v>3751</v>
      </c>
      <c r="C8830" s="17" t="s">
        <v>3752</v>
      </c>
      <c r="D8830" s="17" t="s">
        <v>1407</v>
      </c>
      <c r="E8830" s="17" t="s">
        <v>3767</v>
      </c>
      <c r="F8830" s="17" t="s">
        <v>2786</v>
      </c>
      <c r="G8830" s="18" t="n">
        <v>0</v>
      </c>
      <c r="H8830" s="18" t="n">
        <v>16.6</v>
      </c>
      <c r="I8830" s="18" t="n">
        <f aca="false">((I8829 + G8830) - H8830)</f>
        <v>280.25</v>
      </c>
      <c r="J8830" s="18" t="n">
        <v>0</v>
      </c>
      <c r="K8830" s="19" t="n">
        <v>0</v>
      </c>
      <c r="L8830" s="17"/>
    </row>
    <row r="8831" s="11" customFormat="true" ht="10.95" hidden="false" customHeight="true" outlineLevel="0" collapsed="false">
      <c r="A8831" s="16" t="n">
        <v>45267</v>
      </c>
      <c r="B8831" s="17" t="s">
        <v>3751</v>
      </c>
      <c r="C8831" s="17" t="s">
        <v>3752</v>
      </c>
      <c r="D8831" s="17" t="s">
        <v>1407</v>
      </c>
      <c r="E8831" s="17" t="s">
        <v>3756</v>
      </c>
      <c r="F8831" s="17"/>
      <c r="G8831" s="18" t="n">
        <v>0</v>
      </c>
      <c r="H8831" s="18" t="n">
        <v>16.77</v>
      </c>
      <c r="I8831" s="18" t="n">
        <f aca="false">((I8830 + G8831) - H8831)</f>
        <v>263.48</v>
      </c>
      <c r="J8831" s="18" t="n">
        <v>0</v>
      </c>
      <c r="K8831" s="19" t="n">
        <v>0</v>
      </c>
      <c r="L8831" s="17"/>
    </row>
    <row r="8832" s="11" customFormat="true" ht="10.95" hidden="false" customHeight="true" outlineLevel="0" collapsed="false">
      <c r="A8832" s="16" t="n">
        <v>45268</v>
      </c>
      <c r="B8832" s="17" t="s">
        <v>3751</v>
      </c>
      <c r="C8832" s="17" t="s">
        <v>3752</v>
      </c>
      <c r="D8832" s="17" t="s">
        <v>1407</v>
      </c>
      <c r="E8832" s="17" t="s">
        <v>3736</v>
      </c>
      <c r="F8832" s="17"/>
      <c r="G8832" s="18" t="n">
        <v>0</v>
      </c>
      <c r="H8832" s="18" t="n">
        <v>17.52</v>
      </c>
      <c r="I8832" s="18" t="n">
        <f aca="false">((I8831 + G8832) - H8832)</f>
        <v>245.96</v>
      </c>
      <c r="J8832" s="18" t="n">
        <v>0</v>
      </c>
      <c r="K8832" s="19" t="n">
        <v>0</v>
      </c>
      <c r="L8832" s="17"/>
    </row>
    <row r="8833" s="11" customFormat="true" ht="10.95" hidden="false" customHeight="true" outlineLevel="0" collapsed="false">
      <c r="A8833" s="16" t="n">
        <v>45269</v>
      </c>
      <c r="B8833" s="17" t="s">
        <v>3751</v>
      </c>
      <c r="C8833" s="17" t="s">
        <v>3752</v>
      </c>
      <c r="D8833" s="17" t="s">
        <v>1407</v>
      </c>
      <c r="E8833" s="17" t="s">
        <v>3757</v>
      </c>
      <c r="F8833" s="17"/>
      <c r="G8833" s="18" t="n">
        <v>0</v>
      </c>
      <c r="H8833" s="18" t="n">
        <v>20.1</v>
      </c>
      <c r="I8833" s="18" t="n">
        <f aca="false">((I8832 + G8833) - H8833)</f>
        <v>225.86</v>
      </c>
      <c r="J8833" s="18" t="n">
        <v>0</v>
      </c>
      <c r="K8833" s="19" t="n">
        <v>0</v>
      </c>
      <c r="L8833" s="17"/>
    </row>
    <row r="8834" s="11" customFormat="true" ht="10.95" hidden="false" customHeight="true" outlineLevel="0" collapsed="false">
      <c r="A8834" s="16" t="n">
        <v>45269</v>
      </c>
      <c r="B8834" s="17" t="s">
        <v>3751</v>
      </c>
      <c r="C8834" s="17" t="s">
        <v>3752</v>
      </c>
      <c r="D8834" s="17" t="s">
        <v>1407</v>
      </c>
      <c r="E8834" s="17" t="s">
        <v>3736</v>
      </c>
      <c r="F8834" s="17"/>
      <c r="G8834" s="18" t="n">
        <v>0</v>
      </c>
      <c r="H8834" s="18" t="n">
        <v>4.55</v>
      </c>
      <c r="I8834" s="18" t="n">
        <f aca="false">((I8833 + G8834) - H8834)</f>
        <v>221.31</v>
      </c>
      <c r="J8834" s="18" t="n">
        <v>0</v>
      </c>
      <c r="K8834" s="19" t="n">
        <v>0</v>
      </c>
      <c r="L8834" s="17"/>
    </row>
    <row r="8835" s="11" customFormat="true" ht="10.95" hidden="false" customHeight="true" outlineLevel="0" collapsed="false">
      <c r="A8835" s="16" t="n">
        <v>45271</v>
      </c>
      <c r="B8835" s="17" t="s">
        <v>3751</v>
      </c>
      <c r="C8835" s="17" t="s">
        <v>3752</v>
      </c>
      <c r="D8835" s="17" t="s">
        <v>3753</v>
      </c>
      <c r="E8835" s="17" t="s">
        <v>3754</v>
      </c>
      <c r="F8835" s="17" t="s">
        <v>3768</v>
      </c>
      <c r="G8835" s="18" t="n">
        <v>117.92</v>
      </c>
      <c r="H8835" s="18" t="n">
        <v>0</v>
      </c>
      <c r="I8835" s="18" t="n">
        <f aca="false">((I8834 + G8835) - H8835)</f>
        <v>339.23</v>
      </c>
      <c r="J8835" s="18" t="n">
        <v>0</v>
      </c>
      <c r="K8835" s="19" t="n">
        <v>0</v>
      </c>
      <c r="L8835" s="17"/>
    </row>
    <row r="8836" s="11" customFormat="true" ht="10.95" hidden="false" customHeight="true" outlineLevel="0" collapsed="false">
      <c r="A8836" s="16" t="n">
        <v>45272</v>
      </c>
      <c r="B8836" s="17" t="s">
        <v>3751</v>
      </c>
      <c r="C8836" s="17" t="s">
        <v>3752</v>
      </c>
      <c r="D8836" s="17" t="s">
        <v>1407</v>
      </c>
      <c r="E8836" s="17" t="s">
        <v>3736</v>
      </c>
      <c r="F8836" s="17"/>
      <c r="G8836" s="18" t="n">
        <v>0</v>
      </c>
      <c r="H8836" s="18" t="n">
        <v>4.54</v>
      </c>
      <c r="I8836" s="18" t="n">
        <f aca="false">((I8835 + G8836) - H8836)</f>
        <v>334.69</v>
      </c>
      <c r="J8836" s="18" t="n">
        <v>0</v>
      </c>
      <c r="K8836" s="19" t="n">
        <v>0</v>
      </c>
      <c r="L8836" s="17"/>
    </row>
    <row r="8837" s="11" customFormat="true" ht="10.95" hidden="false" customHeight="true" outlineLevel="0" collapsed="false">
      <c r="A8837" s="16" t="n">
        <v>45273</v>
      </c>
      <c r="B8837" s="17" t="s">
        <v>3751</v>
      </c>
      <c r="C8837" s="17" t="s">
        <v>3752</v>
      </c>
      <c r="D8837" s="17" t="s">
        <v>1407</v>
      </c>
      <c r="E8837" s="17" t="s">
        <v>3736</v>
      </c>
      <c r="F8837" s="17"/>
      <c r="G8837" s="18" t="n">
        <v>0</v>
      </c>
      <c r="H8837" s="18" t="n">
        <v>1.51</v>
      </c>
      <c r="I8837" s="18" t="n">
        <f aca="false">((I8836 + G8837) - H8837)</f>
        <v>333.18</v>
      </c>
      <c r="J8837" s="18" t="n">
        <v>0</v>
      </c>
      <c r="K8837" s="19" t="n">
        <v>0</v>
      </c>
      <c r="L8837" s="17"/>
    </row>
    <row r="8838" s="11" customFormat="true" ht="10.95" hidden="false" customHeight="true" outlineLevel="0" collapsed="false">
      <c r="A8838" s="16" t="n">
        <v>45275</v>
      </c>
      <c r="B8838" s="17" t="s">
        <v>3751</v>
      </c>
      <c r="C8838" s="17" t="s">
        <v>3752</v>
      </c>
      <c r="D8838" s="17" t="s">
        <v>1407</v>
      </c>
      <c r="E8838" s="17" t="s">
        <v>3736</v>
      </c>
      <c r="F8838" s="17"/>
      <c r="G8838" s="18" t="n">
        <v>0</v>
      </c>
      <c r="H8838" s="18" t="n">
        <v>31.16</v>
      </c>
      <c r="I8838" s="18" t="n">
        <f aca="false">((I8837 + G8838) - H8838)</f>
        <v>302.02</v>
      </c>
      <c r="J8838" s="18" t="n">
        <v>0</v>
      </c>
      <c r="K8838" s="19" t="n">
        <v>0</v>
      </c>
      <c r="L8838" s="17"/>
    </row>
    <row r="8839" s="11" customFormat="true" ht="10.95" hidden="false" customHeight="true" outlineLevel="0" collapsed="false">
      <c r="A8839" s="16" t="n">
        <v>45278</v>
      </c>
      <c r="B8839" s="17" t="s">
        <v>3751</v>
      </c>
      <c r="C8839" s="17" t="s">
        <v>3752</v>
      </c>
      <c r="D8839" s="17" t="s">
        <v>3753</v>
      </c>
      <c r="E8839" s="17" t="s">
        <v>3754</v>
      </c>
      <c r="F8839" s="17" t="s">
        <v>3758</v>
      </c>
      <c r="G8839" s="18" t="n">
        <v>37.04</v>
      </c>
      <c r="H8839" s="18" t="n">
        <v>0</v>
      </c>
      <c r="I8839" s="18" t="n">
        <f aca="false">((I8838 + G8839) - H8839)</f>
        <v>339.06</v>
      </c>
      <c r="J8839" s="18" t="n">
        <v>0</v>
      </c>
      <c r="K8839" s="19" t="n">
        <v>0</v>
      </c>
      <c r="L8839" s="17"/>
    </row>
    <row r="8840" s="11" customFormat="true" ht="10.95" hidden="false" customHeight="true" outlineLevel="0" collapsed="false">
      <c r="A8840" s="16" t="n">
        <v>45278</v>
      </c>
      <c r="B8840" s="17" t="s">
        <v>3751</v>
      </c>
      <c r="C8840" s="17" t="s">
        <v>3752</v>
      </c>
      <c r="D8840" s="17" t="s">
        <v>1407</v>
      </c>
      <c r="E8840" s="17" t="s">
        <v>3736</v>
      </c>
      <c r="F8840" s="17"/>
      <c r="G8840" s="18" t="n">
        <v>0</v>
      </c>
      <c r="H8840" s="18" t="n">
        <v>229.52</v>
      </c>
      <c r="I8840" s="18" t="n">
        <f aca="false">((I8839 + G8840) - H8840)</f>
        <v>109.54</v>
      </c>
      <c r="J8840" s="18" t="n">
        <v>0</v>
      </c>
      <c r="K8840" s="19" t="n">
        <v>0</v>
      </c>
      <c r="L8840" s="17"/>
    </row>
    <row r="8841" s="11" customFormat="true" ht="10.95" hidden="false" customHeight="true" outlineLevel="0" collapsed="false">
      <c r="A8841" s="16" t="n">
        <v>45278</v>
      </c>
      <c r="B8841" s="17" t="s">
        <v>3751</v>
      </c>
      <c r="C8841" s="17" t="s">
        <v>3752</v>
      </c>
      <c r="D8841" s="17" t="s">
        <v>1407</v>
      </c>
      <c r="E8841" s="17" t="s">
        <v>3736</v>
      </c>
      <c r="F8841" s="17"/>
      <c r="G8841" s="18" t="n">
        <v>0</v>
      </c>
      <c r="H8841" s="18" t="n">
        <v>53.91</v>
      </c>
      <c r="I8841" s="18" t="n">
        <f aca="false">((I8840 + G8841) - H8841)</f>
        <v>55.6299999999999</v>
      </c>
      <c r="J8841" s="18" t="n">
        <v>0</v>
      </c>
      <c r="K8841" s="19" t="n">
        <v>0</v>
      </c>
      <c r="L8841" s="17"/>
    </row>
    <row r="8842" s="11" customFormat="true" ht="10.95" hidden="false" customHeight="true" outlineLevel="0" collapsed="false">
      <c r="A8842" s="16" t="n">
        <v>45279</v>
      </c>
      <c r="B8842" s="17" t="s">
        <v>3751</v>
      </c>
      <c r="C8842" s="17" t="s">
        <v>3752</v>
      </c>
      <c r="D8842" s="17" t="s">
        <v>1407</v>
      </c>
      <c r="E8842" s="17" t="s">
        <v>3736</v>
      </c>
      <c r="F8842" s="17"/>
      <c r="G8842" s="18" t="n">
        <v>0</v>
      </c>
      <c r="H8842" s="18" t="n">
        <v>18.28</v>
      </c>
      <c r="I8842" s="18" t="n">
        <f aca="false">((I8841 + G8842) - H8842)</f>
        <v>37.3499999999999</v>
      </c>
      <c r="J8842" s="18" t="n">
        <v>0</v>
      </c>
      <c r="K8842" s="19" t="n">
        <v>0</v>
      </c>
      <c r="L8842" s="17"/>
    </row>
    <row r="8843" s="11" customFormat="true" ht="10.95" hidden="false" customHeight="true" outlineLevel="0" collapsed="false">
      <c r="A8843" s="16" t="n">
        <v>45281</v>
      </c>
      <c r="B8843" s="17" t="s">
        <v>3751</v>
      </c>
      <c r="C8843" s="17" t="s">
        <v>3752</v>
      </c>
      <c r="D8843" s="17" t="s">
        <v>1407</v>
      </c>
      <c r="E8843" s="17" t="s">
        <v>3736</v>
      </c>
      <c r="F8843" s="17"/>
      <c r="G8843" s="18" t="n">
        <v>0</v>
      </c>
      <c r="H8843" s="18" t="n">
        <v>61.06</v>
      </c>
      <c r="I8843" s="18" t="n">
        <f aca="false">((I8842 + G8843) - H8843)</f>
        <v>-23.7100000000001</v>
      </c>
      <c r="J8843" s="18" t="n">
        <v>0</v>
      </c>
      <c r="K8843" s="19" t="n">
        <v>0</v>
      </c>
      <c r="L8843" s="17"/>
    </row>
    <row r="8844" s="11" customFormat="true" ht="10.95" hidden="false" customHeight="true" outlineLevel="0" collapsed="false">
      <c r="A8844" s="16" t="n">
        <v>45286</v>
      </c>
      <c r="B8844" s="17" t="s">
        <v>3751</v>
      </c>
      <c r="C8844" s="17" t="s">
        <v>3752</v>
      </c>
      <c r="D8844" s="17" t="s">
        <v>3753</v>
      </c>
      <c r="E8844" s="17" t="s">
        <v>3754</v>
      </c>
      <c r="F8844" s="17" t="s">
        <v>3769</v>
      </c>
      <c r="G8844" s="18" t="n">
        <v>358.68</v>
      </c>
      <c r="H8844" s="18" t="n">
        <v>0</v>
      </c>
      <c r="I8844" s="18" t="n">
        <f aca="false">((I8843 + G8844) - H8844)</f>
        <v>334.97</v>
      </c>
      <c r="J8844" s="18" t="n">
        <v>0</v>
      </c>
      <c r="K8844" s="19" t="n">
        <v>0</v>
      </c>
      <c r="L8844" s="17"/>
    </row>
    <row r="8845" s="11" customFormat="true" ht="10.95" hidden="false" customHeight="true" outlineLevel="0" collapsed="false">
      <c r="A8845" s="16" t="n">
        <v>45286</v>
      </c>
      <c r="B8845" s="17" t="s">
        <v>3751</v>
      </c>
      <c r="C8845" s="17" t="s">
        <v>3752</v>
      </c>
      <c r="D8845" s="17" t="s">
        <v>1407</v>
      </c>
      <c r="E8845" s="17" t="s">
        <v>3736</v>
      </c>
      <c r="F8845" s="17"/>
      <c r="G8845" s="18" t="n">
        <v>0</v>
      </c>
      <c r="H8845" s="18" t="n">
        <v>45.32</v>
      </c>
      <c r="I8845" s="18" t="n">
        <f aca="false">((I8844 + G8845) - H8845)</f>
        <v>289.65</v>
      </c>
      <c r="J8845" s="18" t="n">
        <v>0</v>
      </c>
      <c r="K8845" s="19" t="n">
        <v>0</v>
      </c>
      <c r="L8845" s="17"/>
    </row>
    <row r="8846" s="11" customFormat="true" ht="10.95" hidden="false" customHeight="true" outlineLevel="0" collapsed="false">
      <c r="A8846" s="16" t="n">
        <v>45288</v>
      </c>
      <c r="B8846" s="17" t="s">
        <v>3751</v>
      </c>
      <c r="C8846" s="17" t="s">
        <v>3752</v>
      </c>
      <c r="D8846" s="17" t="s">
        <v>1407</v>
      </c>
      <c r="E8846" s="17" t="s">
        <v>3736</v>
      </c>
      <c r="F8846" s="17"/>
      <c r="G8846" s="18" t="n">
        <v>0</v>
      </c>
      <c r="H8846" s="18" t="n">
        <v>16.1</v>
      </c>
      <c r="I8846" s="18" t="n">
        <f aca="false">((I8845 + G8846) - H8846)</f>
        <v>273.55</v>
      </c>
      <c r="J8846" s="18" t="n">
        <v>0</v>
      </c>
      <c r="K8846" s="19" t="n">
        <v>0</v>
      </c>
      <c r="L8846" s="17"/>
    </row>
    <row r="8847" s="11" customFormat="true" ht="10.95" hidden="false" customHeight="true" outlineLevel="0" collapsed="false">
      <c r="A8847" s="16" t="n">
        <v>45288</v>
      </c>
      <c r="B8847" s="17" t="s">
        <v>3751</v>
      </c>
      <c r="C8847" s="17" t="s">
        <v>3752</v>
      </c>
      <c r="D8847" s="17" t="s">
        <v>1407</v>
      </c>
      <c r="E8847" s="17" t="s">
        <v>3736</v>
      </c>
      <c r="F8847" s="17"/>
      <c r="G8847" s="18" t="n">
        <v>0</v>
      </c>
      <c r="H8847" s="18" t="n">
        <v>21.22</v>
      </c>
      <c r="I8847" s="18" t="n">
        <f aca="false">((I8846 + G8847) - H8847)</f>
        <v>252.33</v>
      </c>
      <c r="J8847" s="18" t="n">
        <v>0</v>
      </c>
      <c r="K8847" s="19" t="n">
        <v>0</v>
      </c>
      <c r="L8847" s="17"/>
    </row>
    <row r="8848" s="11" customFormat="true" ht="10.95" hidden="false" customHeight="true" outlineLevel="0" collapsed="false">
      <c r="A8848" s="16" t="n">
        <v>45288</v>
      </c>
      <c r="B8848" s="17" t="s">
        <v>3751</v>
      </c>
      <c r="C8848" s="17" t="s">
        <v>3752</v>
      </c>
      <c r="D8848" s="17" t="s">
        <v>1407</v>
      </c>
      <c r="E8848" s="17" t="s">
        <v>3759</v>
      </c>
      <c r="F8848" s="17"/>
      <c r="G8848" s="18" t="n">
        <v>0</v>
      </c>
      <c r="H8848" s="18" t="n">
        <v>99.72</v>
      </c>
      <c r="I8848" s="18" t="n">
        <f aca="false">((I8847 + G8848) - H8848)</f>
        <v>152.61</v>
      </c>
      <c r="J8848" s="18" t="n">
        <v>0</v>
      </c>
      <c r="K8848" s="19" t="n">
        <v>0</v>
      </c>
      <c r="L8848" s="17"/>
    </row>
    <row r="8849" s="11" customFormat="true" ht="10.95" hidden="false" customHeight="true" outlineLevel="0" collapsed="false">
      <c r="A8849" s="16" t="n">
        <v>45288</v>
      </c>
      <c r="B8849" s="17" t="s">
        <v>3751</v>
      </c>
      <c r="C8849" s="17" t="s">
        <v>3752</v>
      </c>
      <c r="D8849" s="17" t="s">
        <v>1407</v>
      </c>
      <c r="E8849" s="17" t="s">
        <v>3759</v>
      </c>
      <c r="F8849" s="17"/>
      <c r="G8849" s="18" t="n">
        <v>0</v>
      </c>
      <c r="H8849" s="18" t="n">
        <v>279.08</v>
      </c>
      <c r="I8849" s="18" t="n">
        <f aca="false">((I8848 + G8849) - H8849)</f>
        <v>-126.47</v>
      </c>
      <c r="J8849" s="18" t="n">
        <v>0</v>
      </c>
      <c r="K8849" s="19" t="n">
        <v>0</v>
      </c>
      <c r="L8849" s="17"/>
    </row>
    <row r="8850" s="11" customFormat="true" ht="10.95" hidden="false" customHeight="true" outlineLevel="0" collapsed="false">
      <c r="A8850" s="16" t="n">
        <v>45289</v>
      </c>
      <c r="B8850" s="17" t="s">
        <v>3751</v>
      </c>
      <c r="C8850" s="17" t="s">
        <v>3752</v>
      </c>
      <c r="D8850" s="17" t="s">
        <v>3753</v>
      </c>
      <c r="E8850" s="17" t="s">
        <v>3754</v>
      </c>
      <c r="F8850" s="17" t="s">
        <v>3758</v>
      </c>
      <c r="G8850" s="18" t="n">
        <v>463.78</v>
      </c>
      <c r="H8850" s="18" t="n">
        <v>0</v>
      </c>
      <c r="I8850" s="18" t="n">
        <f aca="false">((I8849 + G8850) - H8850)</f>
        <v>337.31</v>
      </c>
      <c r="J8850" s="18" t="n">
        <v>0</v>
      </c>
      <c r="K8850" s="19" t="n">
        <v>0</v>
      </c>
      <c r="L8850" s="17"/>
    </row>
    <row r="8851" s="11" customFormat="true" ht="10.95" hidden="false" customHeight="true" outlineLevel="0" collapsed="false">
      <c r="A8851" s="16" t="n">
        <v>45290</v>
      </c>
      <c r="B8851" s="17" t="s">
        <v>3751</v>
      </c>
      <c r="C8851" s="17" t="s">
        <v>3752</v>
      </c>
      <c r="D8851" s="17" t="s">
        <v>1276</v>
      </c>
      <c r="E8851" s="17" t="s">
        <v>3759</v>
      </c>
      <c r="F8851" s="17"/>
      <c r="G8851" s="18" t="n">
        <v>98.96</v>
      </c>
      <c r="H8851" s="18" t="n">
        <v>0</v>
      </c>
      <c r="I8851" s="18" t="n">
        <f aca="false">((I8850 + G8851) - H8851)</f>
        <v>436.27</v>
      </c>
      <c r="J8851" s="18" t="n">
        <v>0</v>
      </c>
      <c r="K8851" s="19" t="n">
        <v>0</v>
      </c>
      <c r="L8851" s="17"/>
    </row>
    <row r="8852" s="11" customFormat="true" ht="10.95" hidden="false" customHeight="true" outlineLevel="0" collapsed="false">
      <c r="A8852" s="16" t="n">
        <v>45293</v>
      </c>
      <c r="B8852" s="17" t="s">
        <v>3751</v>
      </c>
      <c r="C8852" s="17" t="s">
        <v>3752</v>
      </c>
      <c r="D8852" s="17" t="s">
        <v>1407</v>
      </c>
      <c r="E8852" s="17" t="s">
        <v>3736</v>
      </c>
      <c r="F8852" s="17"/>
      <c r="G8852" s="18" t="n">
        <v>0</v>
      </c>
      <c r="H8852" s="18" t="n">
        <v>21.34</v>
      </c>
      <c r="I8852" s="18" t="n">
        <f aca="false">((I8851 + G8852) - H8852)</f>
        <v>414.93</v>
      </c>
      <c r="J8852" s="18" t="n">
        <v>0</v>
      </c>
      <c r="K8852" s="19" t="n">
        <v>0</v>
      </c>
      <c r="L8852" s="17"/>
    </row>
    <row r="8853" s="11" customFormat="true" ht="10.95" hidden="false" customHeight="true" outlineLevel="0" collapsed="false">
      <c r="A8853" s="16" t="n">
        <v>45296</v>
      </c>
      <c r="B8853" s="17" t="s">
        <v>3751</v>
      </c>
      <c r="C8853" s="17" t="s">
        <v>3752</v>
      </c>
      <c r="D8853" s="17" t="s">
        <v>1407</v>
      </c>
      <c r="E8853" s="17" t="s">
        <v>3736</v>
      </c>
      <c r="F8853" s="17"/>
      <c r="G8853" s="18" t="n">
        <v>0</v>
      </c>
      <c r="H8853" s="18" t="n">
        <v>17.32</v>
      </c>
      <c r="I8853" s="18" t="n">
        <f aca="false">((I8852 + G8853) - H8853)</f>
        <v>397.61</v>
      </c>
      <c r="J8853" s="18" t="n">
        <v>0</v>
      </c>
      <c r="K8853" s="19" t="n">
        <v>0</v>
      </c>
      <c r="L8853" s="17"/>
    </row>
    <row r="8854" s="11" customFormat="true" ht="10.95" hidden="false" customHeight="true" outlineLevel="0" collapsed="false">
      <c r="A8854" s="16" t="n">
        <v>45299</v>
      </c>
      <c r="B8854" s="17" t="s">
        <v>3751</v>
      </c>
      <c r="C8854" s="17" t="s">
        <v>3752</v>
      </c>
      <c r="D8854" s="17" t="s">
        <v>1407</v>
      </c>
      <c r="E8854" s="17" t="s">
        <v>3736</v>
      </c>
      <c r="F8854" s="17"/>
      <c r="G8854" s="18" t="n">
        <v>0</v>
      </c>
      <c r="H8854" s="18" t="n">
        <v>4.47</v>
      </c>
      <c r="I8854" s="18" t="n">
        <f aca="false">((I8853 + G8854) - H8854)</f>
        <v>393.14</v>
      </c>
      <c r="J8854" s="18" t="n">
        <v>0</v>
      </c>
      <c r="K8854" s="19" t="n">
        <v>0</v>
      </c>
      <c r="L8854" s="17"/>
    </row>
    <row r="8855" s="11" customFormat="true" ht="10.95" hidden="false" customHeight="true" outlineLevel="0" collapsed="false">
      <c r="A8855" s="16" t="n">
        <v>45299</v>
      </c>
      <c r="B8855" s="17" t="s">
        <v>3751</v>
      </c>
      <c r="C8855" s="17" t="s">
        <v>3752</v>
      </c>
      <c r="D8855" s="17" t="s">
        <v>1407</v>
      </c>
      <c r="E8855" s="17" t="s">
        <v>3756</v>
      </c>
      <c r="F8855" s="17"/>
      <c r="G8855" s="18" t="n">
        <v>0</v>
      </c>
      <c r="H8855" s="18" t="n">
        <v>16.65</v>
      </c>
      <c r="I8855" s="18" t="n">
        <f aca="false">((I8854 + G8855) - H8855)</f>
        <v>376.49</v>
      </c>
      <c r="J8855" s="18" t="n">
        <v>0</v>
      </c>
      <c r="K8855" s="19" t="n">
        <v>0</v>
      </c>
      <c r="L8855" s="17"/>
    </row>
    <row r="8856" s="11" customFormat="true" ht="10.95" hidden="false" customHeight="true" outlineLevel="0" collapsed="false">
      <c r="A8856" s="16" t="n">
        <v>45300</v>
      </c>
      <c r="B8856" s="17" t="s">
        <v>3751</v>
      </c>
      <c r="C8856" s="17" t="s">
        <v>3752</v>
      </c>
      <c r="D8856" s="17" t="s">
        <v>1407</v>
      </c>
      <c r="E8856" s="17" t="s">
        <v>3757</v>
      </c>
      <c r="F8856" s="17"/>
      <c r="G8856" s="18" t="n">
        <v>0</v>
      </c>
      <c r="H8856" s="18" t="n">
        <v>19.76</v>
      </c>
      <c r="I8856" s="18" t="n">
        <f aca="false">((I8855 + G8856) - H8856)</f>
        <v>356.73</v>
      </c>
      <c r="J8856" s="18" t="n">
        <v>0</v>
      </c>
      <c r="K8856" s="19" t="n">
        <v>0</v>
      </c>
      <c r="L8856" s="17"/>
    </row>
    <row r="8857" s="11" customFormat="true" ht="10.95" hidden="false" customHeight="true" outlineLevel="0" collapsed="false">
      <c r="A8857" s="16" t="n">
        <v>45301</v>
      </c>
      <c r="B8857" s="17" t="s">
        <v>3751</v>
      </c>
      <c r="C8857" s="17" t="s">
        <v>3752</v>
      </c>
      <c r="D8857" s="17" t="s">
        <v>1407</v>
      </c>
      <c r="E8857" s="17" t="s">
        <v>3633</v>
      </c>
      <c r="F8857" s="17"/>
      <c r="G8857" s="18" t="n">
        <v>0</v>
      </c>
      <c r="H8857" s="18" t="n">
        <v>22.37</v>
      </c>
      <c r="I8857" s="18" t="n">
        <f aca="false">((I8856 + G8857) - H8857)</f>
        <v>334.36</v>
      </c>
      <c r="J8857" s="18" t="n">
        <v>0</v>
      </c>
      <c r="K8857" s="19" t="n">
        <v>0</v>
      </c>
      <c r="L8857" s="17"/>
    </row>
    <row r="8858" s="11" customFormat="true" ht="10.95" hidden="false" customHeight="true" outlineLevel="0" collapsed="false">
      <c r="A8858" s="16" t="n">
        <v>45301</v>
      </c>
      <c r="B8858" s="17" t="s">
        <v>3751</v>
      </c>
      <c r="C8858" s="17" t="s">
        <v>3752</v>
      </c>
      <c r="D8858" s="17" t="s">
        <v>2903</v>
      </c>
      <c r="E8858" s="17" t="s">
        <v>2908</v>
      </c>
      <c r="F8858" s="17" t="s">
        <v>2399</v>
      </c>
      <c r="G8858" s="18" t="n">
        <v>0</v>
      </c>
      <c r="H8858" s="18" t="n">
        <v>894.81</v>
      </c>
      <c r="I8858" s="18" t="n">
        <f aca="false">((I8857 + G8858) - H8858)</f>
        <v>-560.45</v>
      </c>
      <c r="J8858" s="18" t="n">
        <v>0</v>
      </c>
      <c r="K8858" s="19" t="n">
        <v>0</v>
      </c>
      <c r="L8858" s="17"/>
    </row>
    <row r="8859" s="11" customFormat="true" ht="10.95" hidden="false" customHeight="true" outlineLevel="0" collapsed="false">
      <c r="A8859" s="16" t="n">
        <v>45303</v>
      </c>
      <c r="B8859" s="17" t="s">
        <v>3751</v>
      </c>
      <c r="C8859" s="17" t="s">
        <v>3752</v>
      </c>
      <c r="D8859" s="17" t="s">
        <v>1407</v>
      </c>
      <c r="E8859" s="17" t="s">
        <v>3736</v>
      </c>
      <c r="F8859" s="17"/>
      <c r="G8859" s="18" t="n">
        <v>0</v>
      </c>
      <c r="H8859" s="18" t="n">
        <v>4.47</v>
      </c>
      <c r="I8859" s="18" t="n">
        <f aca="false">((I8858 + G8859) - H8859)</f>
        <v>-564.92</v>
      </c>
      <c r="J8859" s="18" t="n">
        <v>0</v>
      </c>
      <c r="K8859" s="19" t="n">
        <v>0</v>
      </c>
      <c r="L8859" s="17"/>
    </row>
    <row r="8860" s="11" customFormat="true" ht="10.95" hidden="false" customHeight="true" outlineLevel="0" collapsed="false">
      <c r="A8860" s="16" t="n">
        <v>45304</v>
      </c>
      <c r="B8860" s="17" t="s">
        <v>3751</v>
      </c>
      <c r="C8860" s="17" t="s">
        <v>3752</v>
      </c>
      <c r="D8860" s="17" t="s">
        <v>1407</v>
      </c>
      <c r="E8860" s="17" t="s">
        <v>3736</v>
      </c>
      <c r="F8860" s="17"/>
      <c r="G8860" s="18" t="n">
        <v>0</v>
      </c>
      <c r="H8860" s="18" t="n">
        <v>1.48</v>
      </c>
      <c r="I8860" s="18" t="n">
        <f aca="false">((I8859 + G8860) - H8860)</f>
        <v>-566.4</v>
      </c>
      <c r="J8860" s="18" t="n">
        <v>0</v>
      </c>
      <c r="K8860" s="19" t="n">
        <v>0</v>
      </c>
      <c r="L8860" s="17"/>
    </row>
    <row r="8861" s="11" customFormat="true" ht="10.95" hidden="false" customHeight="true" outlineLevel="0" collapsed="false">
      <c r="A8861" s="16" t="n">
        <v>45307</v>
      </c>
      <c r="B8861" s="17" t="s">
        <v>3751</v>
      </c>
      <c r="C8861" s="17" t="s">
        <v>3752</v>
      </c>
      <c r="D8861" s="17" t="s">
        <v>1407</v>
      </c>
      <c r="E8861" s="17" t="s">
        <v>3770</v>
      </c>
      <c r="F8861" s="17"/>
      <c r="G8861" s="18" t="n">
        <v>0</v>
      </c>
      <c r="H8861" s="18" t="n">
        <v>51.68</v>
      </c>
      <c r="I8861" s="18" t="n">
        <f aca="false">((I8860 + G8861) - H8861)</f>
        <v>-618.08</v>
      </c>
      <c r="J8861" s="18" t="n">
        <v>0</v>
      </c>
      <c r="K8861" s="19" t="n">
        <v>0</v>
      </c>
      <c r="L8861" s="17"/>
    </row>
    <row r="8862" s="11" customFormat="true" ht="10.95" hidden="false" customHeight="true" outlineLevel="0" collapsed="false">
      <c r="A8862" s="16" t="n">
        <v>45309</v>
      </c>
      <c r="B8862" s="17" t="s">
        <v>3751</v>
      </c>
      <c r="C8862" s="17" t="s">
        <v>3752</v>
      </c>
      <c r="D8862" s="17" t="s">
        <v>1407</v>
      </c>
      <c r="E8862" s="17" t="s">
        <v>3736</v>
      </c>
      <c r="F8862" s="17"/>
      <c r="G8862" s="18" t="n">
        <v>0</v>
      </c>
      <c r="H8862" s="18" t="n">
        <v>18.74</v>
      </c>
      <c r="I8862" s="18" t="n">
        <f aca="false">((I8861 + G8862) - H8862)</f>
        <v>-636.82</v>
      </c>
      <c r="J8862" s="18" t="n">
        <v>0</v>
      </c>
      <c r="K8862" s="19" t="n">
        <v>0</v>
      </c>
      <c r="L8862" s="17"/>
    </row>
    <row r="8863" s="11" customFormat="true" ht="10.95" hidden="false" customHeight="true" outlineLevel="0" collapsed="false">
      <c r="A8863" s="16" t="n">
        <v>45309</v>
      </c>
      <c r="B8863" s="17" t="s">
        <v>3751</v>
      </c>
      <c r="C8863" s="17" t="s">
        <v>3752</v>
      </c>
      <c r="D8863" s="17" t="s">
        <v>1407</v>
      </c>
      <c r="E8863" s="17" t="s">
        <v>3736</v>
      </c>
      <c r="F8863" s="17"/>
      <c r="G8863" s="18" t="n">
        <v>0</v>
      </c>
      <c r="H8863" s="18" t="n">
        <v>33.55</v>
      </c>
      <c r="I8863" s="18" t="n">
        <f aca="false">((I8862 + G8863) - H8863)</f>
        <v>-670.37</v>
      </c>
      <c r="J8863" s="18" t="n">
        <v>0</v>
      </c>
      <c r="K8863" s="19" t="n">
        <v>0</v>
      </c>
      <c r="L8863" s="17"/>
    </row>
    <row r="8864" s="11" customFormat="true" ht="10.95" hidden="false" customHeight="true" outlineLevel="0" collapsed="false">
      <c r="A8864" s="16" t="n">
        <v>45313</v>
      </c>
      <c r="B8864" s="17" t="s">
        <v>3751</v>
      </c>
      <c r="C8864" s="17" t="s">
        <v>3752</v>
      </c>
      <c r="D8864" s="17" t="s">
        <v>1407</v>
      </c>
      <c r="E8864" s="17" t="s">
        <v>3736</v>
      </c>
      <c r="F8864" s="17"/>
      <c r="G8864" s="18" t="n">
        <v>0</v>
      </c>
      <c r="H8864" s="18" t="n">
        <v>62.6</v>
      </c>
      <c r="I8864" s="18" t="n">
        <f aca="false">((I8863 + G8864) - H8864)</f>
        <v>-732.97</v>
      </c>
      <c r="J8864" s="18" t="n">
        <v>0</v>
      </c>
      <c r="K8864" s="19" t="n">
        <v>0</v>
      </c>
      <c r="L8864" s="17"/>
    </row>
    <row r="8865" s="11" customFormat="true" ht="10.95" hidden="false" customHeight="true" outlineLevel="0" collapsed="false">
      <c r="A8865" s="16" t="n">
        <v>45313</v>
      </c>
      <c r="B8865" s="17" t="s">
        <v>3751</v>
      </c>
      <c r="C8865" s="17" t="s">
        <v>3752</v>
      </c>
      <c r="D8865" s="17" t="s">
        <v>2903</v>
      </c>
      <c r="E8865" s="17" t="s">
        <v>2980</v>
      </c>
      <c r="F8865" s="17" t="s">
        <v>2461</v>
      </c>
      <c r="G8865" s="18" t="n">
        <v>0</v>
      </c>
      <c r="H8865" s="18" t="n">
        <v>283.73</v>
      </c>
      <c r="I8865" s="18" t="n">
        <f aca="false">((I8864 + G8865) - H8865)</f>
        <v>-1016.7</v>
      </c>
      <c r="J8865" s="18" t="n">
        <v>0</v>
      </c>
      <c r="K8865" s="19" t="n">
        <v>0</v>
      </c>
      <c r="L8865" s="17"/>
    </row>
    <row r="8866" s="11" customFormat="true" ht="10.95" hidden="false" customHeight="true" outlineLevel="0" collapsed="false">
      <c r="A8866" s="16" t="n">
        <v>45316</v>
      </c>
      <c r="B8866" s="17" t="s">
        <v>3751</v>
      </c>
      <c r="C8866" s="17" t="s">
        <v>3752</v>
      </c>
      <c r="D8866" s="17" t="s">
        <v>1407</v>
      </c>
      <c r="E8866" s="17" t="s">
        <v>3736</v>
      </c>
      <c r="F8866" s="17"/>
      <c r="G8866" s="18" t="n">
        <v>0</v>
      </c>
      <c r="H8866" s="18" t="n">
        <v>20.06</v>
      </c>
      <c r="I8866" s="18" t="n">
        <f aca="false">((I8865 + G8866) - H8866)</f>
        <v>-1036.76</v>
      </c>
      <c r="J8866" s="18" t="n">
        <v>0</v>
      </c>
      <c r="K8866" s="19" t="n">
        <v>0</v>
      </c>
      <c r="L8866" s="17"/>
    </row>
    <row r="8867" s="11" customFormat="true" ht="10.95" hidden="false" customHeight="true" outlineLevel="0" collapsed="false">
      <c r="A8867" s="16" t="n">
        <v>45317</v>
      </c>
      <c r="B8867" s="17" t="s">
        <v>3751</v>
      </c>
      <c r="C8867" s="17" t="s">
        <v>3752</v>
      </c>
      <c r="D8867" s="17" t="s">
        <v>1407</v>
      </c>
      <c r="E8867" s="17" t="s">
        <v>3736</v>
      </c>
      <c r="F8867" s="17"/>
      <c r="G8867" s="18" t="n">
        <v>0</v>
      </c>
      <c r="H8867" s="18" t="n">
        <v>26.72</v>
      </c>
      <c r="I8867" s="18" t="n">
        <f aca="false">((I8866 + G8867) - H8867)</f>
        <v>-1063.48</v>
      </c>
      <c r="J8867" s="18" t="n">
        <v>0</v>
      </c>
      <c r="K8867" s="19" t="n">
        <v>0</v>
      </c>
      <c r="L8867" s="17"/>
    </row>
    <row r="8868" s="11" customFormat="true" ht="10.95" hidden="false" customHeight="true" outlineLevel="0" collapsed="false">
      <c r="A8868" s="16" t="n">
        <v>45318</v>
      </c>
      <c r="B8868" s="17" t="s">
        <v>3751</v>
      </c>
      <c r="C8868" s="17" t="s">
        <v>3752</v>
      </c>
      <c r="D8868" s="17" t="s">
        <v>1407</v>
      </c>
      <c r="E8868" s="17" t="s">
        <v>3736</v>
      </c>
      <c r="F8868" s="17"/>
      <c r="G8868" s="18" t="n">
        <v>0</v>
      </c>
      <c r="H8868" s="18" t="n">
        <v>22.07</v>
      </c>
      <c r="I8868" s="18" t="n">
        <f aca="false">((I8867 + G8868) - H8868)</f>
        <v>-1085.55</v>
      </c>
      <c r="J8868" s="18" t="n">
        <v>0</v>
      </c>
      <c r="K8868" s="19" t="n">
        <v>0</v>
      </c>
      <c r="L8868" s="17"/>
    </row>
    <row r="8869" s="11" customFormat="true" ht="10.95" hidden="false" customHeight="true" outlineLevel="0" collapsed="false">
      <c r="A8869" s="16" t="n">
        <v>45320</v>
      </c>
      <c r="B8869" s="17" t="s">
        <v>3751</v>
      </c>
      <c r="C8869" s="17" t="s">
        <v>3752</v>
      </c>
      <c r="D8869" s="17" t="s">
        <v>3753</v>
      </c>
      <c r="E8869" s="17" t="s">
        <v>3754</v>
      </c>
      <c r="F8869" s="17" t="s">
        <v>3758</v>
      </c>
      <c r="G8869" s="18" t="n">
        <v>1435.01</v>
      </c>
      <c r="H8869" s="18" t="n">
        <v>0</v>
      </c>
      <c r="I8869" s="18" t="n">
        <f aca="false">((I8868 + G8869) - H8869)</f>
        <v>349.46</v>
      </c>
      <c r="J8869" s="18" t="n">
        <v>0</v>
      </c>
      <c r="K8869" s="19" t="n">
        <v>0</v>
      </c>
      <c r="L8869" s="17"/>
    </row>
    <row r="8870" s="11" customFormat="true" ht="10.95" hidden="false" customHeight="true" outlineLevel="0" collapsed="false">
      <c r="A8870" s="16" t="n">
        <v>45321</v>
      </c>
      <c r="B8870" s="17" t="s">
        <v>3751</v>
      </c>
      <c r="C8870" s="17" t="s">
        <v>3752</v>
      </c>
      <c r="D8870" s="17" t="s">
        <v>1407</v>
      </c>
      <c r="E8870" s="17" t="s">
        <v>3771</v>
      </c>
      <c r="F8870" s="17"/>
      <c r="G8870" s="18" t="n">
        <v>0</v>
      </c>
      <c r="H8870" s="18" t="n">
        <v>22.73</v>
      </c>
      <c r="I8870" s="18" t="n">
        <f aca="false">((I8869 + G8870) - H8870)</f>
        <v>326.73</v>
      </c>
      <c r="J8870" s="18" t="n">
        <v>0</v>
      </c>
      <c r="K8870" s="19" t="n">
        <v>0</v>
      </c>
      <c r="L8870" s="17"/>
    </row>
    <row r="8871" s="11" customFormat="true" ht="10.95" hidden="false" customHeight="true" outlineLevel="0" collapsed="false">
      <c r="A8871" s="16" t="n">
        <v>45322</v>
      </c>
      <c r="B8871" s="17" t="s">
        <v>3751</v>
      </c>
      <c r="C8871" s="17" t="s">
        <v>3752</v>
      </c>
      <c r="D8871" s="17" t="s">
        <v>2903</v>
      </c>
      <c r="E8871" s="17" t="s">
        <v>2904</v>
      </c>
      <c r="F8871" s="17" t="s">
        <v>3041</v>
      </c>
      <c r="G8871" s="18" t="n">
        <v>0</v>
      </c>
      <c r="H8871" s="18" t="n">
        <v>759.86</v>
      </c>
      <c r="I8871" s="18" t="n">
        <f aca="false">((I8870 + G8871) - H8871)</f>
        <v>-433.13</v>
      </c>
      <c r="J8871" s="18" t="n">
        <v>0</v>
      </c>
      <c r="K8871" s="19" t="n">
        <v>0</v>
      </c>
      <c r="L8871" s="17"/>
    </row>
    <row r="8872" s="11" customFormat="true" ht="10.95" hidden="false" customHeight="true" outlineLevel="0" collapsed="false">
      <c r="A8872" s="16" t="n">
        <v>45323</v>
      </c>
      <c r="B8872" s="17" t="s">
        <v>3751</v>
      </c>
      <c r="C8872" s="17" t="s">
        <v>3752</v>
      </c>
      <c r="D8872" s="17" t="s">
        <v>1407</v>
      </c>
      <c r="E8872" s="17" t="s">
        <v>3736</v>
      </c>
      <c r="F8872" s="17"/>
      <c r="G8872" s="18" t="n">
        <v>0</v>
      </c>
      <c r="H8872" s="18" t="n">
        <v>22.26</v>
      </c>
      <c r="I8872" s="18" t="n">
        <f aca="false">((I8871 + G8872) - H8872)</f>
        <v>-455.39</v>
      </c>
      <c r="J8872" s="18" t="n">
        <v>0</v>
      </c>
      <c r="K8872" s="19" t="n">
        <v>0</v>
      </c>
      <c r="L8872" s="17"/>
    </row>
    <row r="8873" s="11" customFormat="true" ht="10.95" hidden="false" customHeight="true" outlineLevel="0" collapsed="false">
      <c r="A8873" s="16" t="n">
        <v>45324</v>
      </c>
      <c r="B8873" s="17" t="s">
        <v>3751</v>
      </c>
      <c r="C8873" s="17" t="s">
        <v>3752</v>
      </c>
      <c r="D8873" s="17" t="s">
        <v>2903</v>
      </c>
      <c r="E8873" s="17" t="s">
        <v>2963</v>
      </c>
      <c r="F8873" s="17" t="s">
        <v>2687</v>
      </c>
      <c r="G8873" s="18" t="n">
        <v>0</v>
      </c>
      <c r="H8873" s="18" t="n">
        <v>175.8</v>
      </c>
      <c r="I8873" s="18" t="n">
        <f aca="false">((I8872 + G8873) - H8873)</f>
        <v>-631.19</v>
      </c>
      <c r="J8873" s="18" t="n">
        <v>0</v>
      </c>
      <c r="K8873" s="19" t="n">
        <v>0</v>
      </c>
      <c r="L8873" s="17"/>
    </row>
    <row r="8874" s="11" customFormat="true" ht="10.95" hidden="false" customHeight="true" outlineLevel="0" collapsed="false">
      <c r="A8874" s="16" t="n">
        <v>45324</v>
      </c>
      <c r="B8874" s="17" t="s">
        <v>3751</v>
      </c>
      <c r="C8874" s="17" t="s">
        <v>3752</v>
      </c>
      <c r="D8874" s="17" t="s">
        <v>1407</v>
      </c>
      <c r="E8874" s="17" t="s">
        <v>3736</v>
      </c>
      <c r="F8874" s="17"/>
      <c r="G8874" s="18" t="n">
        <v>0</v>
      </c>
      <c r="H8874" s="18" t="n">
        <v>50.88</v>
      </c>
      <c r="I8874" s="18" t="n">
        <f aca="false">((I8873 + G8874) - H8874)</f>
        <v>-682.07</v>
      </c>
      <c r="J8874" s="18" t="n">
        <v>0</v>
      </c>
      <c r="K8874" s="19" t="n">
        <v>0</v>
      </c>
      <c r="L8874" s="17"/>
    </row>
    <row r="8875" s="11" customFormat="true" ht="10.95" hidden="false" customHeight="true" outlineLevel="0" collapsed="false">
      <c r="A8875" s="16" t="n">
        <v>45324</v>
      </c>
      <c r="B8875" s="17" t="s">
        <v>3751</v>
      </c>
      <c r="C8875" s="17" t="s">
        <v>3752</v>
      </c>
      <c r="D8875" s="17" t="s">
        <v>1407</v>
      </c>
      <c r="E8875" s="17" t="s">
        <v>3683</v>
      </c>
      <c r="F8875" s="17"/>
      <c r="G8875" s="18" t="n">
        <v>0</v>
      </c>
      <c r="H8875" s="18" t="n">
        <v>249.77</v>
      </c>
      <c r="I8875" s="18" t="n">
        <f aca="false">((I8874 + G8875) - H8875)</f>
        <v>-931.84</v>
      </c>
      <c r="J8875" s="18" t="n">
        <v>0</v>
      </c>
      <c r="K8875" s="19" t="n">
        <v>0</v>
      </c>
      <c r="L8875" s="17"/>
    </row>
    <row r="8876" s="11" customFormat="true" ht="10.95" hidden="false" customHeight="true" outlineLevel="0" collapsed="false">
      <c r="A8876" s="16" t="n">
        <v>45325</v>
      </c>
      <c r="B8876" s="17" t="s">
        <v>3751</v>
      </c>
      <c r="C8876" s="17" t="s">
        <v>3752</v>
      </c>
      <c r="D8876" s="17" t="s">
        <v>2903</v>
      </c>
      <c r="E8876" s="17" t="s">
        <v>2904</v>
      </c>
      <c r="F8876" s="17" t="s">
        <v>1507</v>
      </c>
      <c r="G8876" s="18" t="n">
        <v>0</v>
      </c>
      <c r="H8876" s="18" t="n">
        <v>3992.76</v>
      </c>
      <c r="I8876" s="18" t="n">
        <f aca="false">((I8875 + G8876) - H8876)</f>
        <v>-4924.6</v>
      </c>
      <c r="J8876" s="18" t="n">
        <v>0</v>
      </c>
      <c r="K8876" s="19" t="n">
        <v>0</v>
      </c>
      <c r="L8876" s="17"/>
    </row>
    <row r="8877" s="11" customFormat="true" ht="10.95" hidden="false" customHeight="true" outlineLevel="0" collapsed="false">
      <c r="A8877" s="16" t="n">
        <v>45327</v>
      </c>
      <c r="B8877" s="17" t="s">
        <v>3751</v>
      </c>
      <c r="C8877" s="17" t="s">
        <v>3752</v>
      </c>
      <c r="D8877" s="17" t="s">
        <v>1407</v>
      </c>
      <c r="E8877" s="17" t="s">
        <v>3633</v>
      </c>
      <c r="F8877" s="17"/>
      <c r="G8877" s="18" t="n">
        <v>0</v>
      </c>
      <c r="H8877" s="18" t="n">
        <v>11.53</v>
      </c>
      <c r="I8877" s="18" t="n">
        <f aca="false">((I8876 + G8877) - H8877)</f>
        <v>-4936.13</v>
      </c>
      <c r="J8877" s="18" t="n">
        <v>0</v>
      </c>
      <c r="K8877" s="19" t="n">
        <v>0</v>
      </c>
      <c r="L8877" s="17"/>
    </row>
    <row r="8878" s="11" customFormat="true" ht="10.95" hidden="false" customHeight="true" outlineLevel="0" collapsed="false">
      <c r="A8878" s="16" t="n">
        <v>45327</v>
      </c>
      <c r="B8878" s="17" t="s">
        <v>3751</v>
      </c>
      <c r="C8878" s="17" t="s">
        <v>3752</v>
      </c>
      <c r="D8878" s="17" t="s">
        <v>2903</v>
      </c>
      <c r="E8878" s="17" t="s">
        <v>2908</v>
      </c>
      <c r="F8878" s="17" t="s">
        <v>2441</v>
      </c>
      <c r="G8878" s="18" t="n">
        <v>0</v>
      </c>
      <c r="H8878" s="18" t="n">
        <v>461.4</v>
      </c>
      <c r="I8878" s="18" t="n">
        <f aca="false">((I8877 + G8878) - H8878)</f>
        <v>-5397.53</v>
      </c>
      <c r="J8878" s="18" t="n">
        <v>0</v>
      </c>
      <c r="K8878" s="19" t="n">
        <v>0</v>
      </c>
      <c r="L8878" s="17"/>
    </row>
    <row r="8879" s="11" customFormat="true" ht="10.95" hidden="false" customHeight="true" outlineLevel="0" collapsed="false">
      <c r="A8879" s="16" t="n">
        <v>45327</v>
      </c>
      <c r="B8879" s="17" t="s">
        <v>3751</v>
      </c>
      <c r="C8879" s="17" t="s">
        <v>3752</v>
      </c>
      <c r="D8879" s="17" t="s">
        <v>1407</v>
      </c>
      <c r="E8879" s="17" t="s">
        <v>3772</v>
      </c>
      <c r="F8879" s="17"/>
      <c r="G8879" s="18" t="n">
        <v>0</v>
      </c>
      <c r="H8879" s="18" t="n">
        <v>44.6</v>
      </c>
      <c r="I8879" s="18" t="n">
        <f aca="false">((I8878 + G8879) - H8879)</f>
        <v>-5442.13</v>
      </c>
      <c r="J8879" s="18" t="n">
        <v>0</v>
      </c>
      <c r="K8879" s="19" t="n">
        <v>0</v>
      </c>
      <c r="L8879" s="17"/>
    </row>
    <row r="8880" s="11" customFormat="true" ht="10.95" hidden="false" customHeight="true" outlineLevel="0" collapsed="false">
      <c r="A8880" s="16" t="n">
        <v>45328</v>
      </c>
      <c r="B8880" s="17" t="s">
        <v>3751</v>
      </c>
      <c r="C8880" s="17" t="s">
        <v>3752</v>
      </c>
      <c r="D8880" s="17" t="s">
        <v>1407</v>
      </c>
      <c r="E8880" s="17" t="s">
        <v>3736</v>
      </c>
      <c r="F8880" s="17"/>
      <c r="G8880" s="18" t="n">
        <v>0</v>
      </c>
      <c r="H8880" s="18" t="n">
        <v>8.47</v>
      </c>
      <c r="I8880" s="18" t="n">
        <f aca="false">((I8879 + G8880) - H8880)</f>
        <v>-5450.6</v>
      </c>
      <c r="J8880" s="18" t="n">
        <v>0</v>
      </c>
      <c r="K8880" s="19" t="n">
        <v>0</v>
      </c>
      <c r="L8880" s="17"/>
    </row>
    <row r="8881" s="11" customFormat="true" ht="10.95" hidden="false" customHeight="true" outlineLevel="0" collapsed="false">
      <c r="A8881" s="16" t="n">
        <v>45328</v>
      </c>
      <c r="B8881" s="17" t="s">
        <v>3751</v>
      </c>
      <c r="C8881" s="17" t="s">
        <v>3752</v>
      </c>
      <c r="D8881" s="17" t="s">
        <v>2903</v>
      </c>
      <c r="E8881" s="17" t="s">
        <v>3008</v>
      </c>
      <c r="F8881" s="17" t="s">
        <v>1629</v>
      </c>
      <c r="G8881" s="18" t="n">
        <v>0</v>
      </c>
      <c r="H8881" s="18" t="n">
        <v>243.2</v>
      </c>
      <c r="I8881" s="18" t="n">
        <f aca="false">((I8880 + G8881) - H8881)</f>
        <v>-5693.8</v>
      </c>
      <c r="J8881" s="18" t="n">
        <v>0</v>
      </c>
      <c r="K8881" s="19" t="n">
        <v>0</v>
      </c>
      <c r="L8881" s="17"/>
    </row>
    <row r="8882" s="11" customFormat="true" ht="10.95" hidden="false" customHeight="true" outlineLevel="0" collapsed="false">
      <c r="A8882" s="16" t="n">
        <v>45329</v>
      </c>
      <c r="B8882" s="17" t="s">
        <v>3751</v>
      </c>
      <c r="C8882" s="17" t="s">
        <v>3752</v>
      </c>
      <c r="D8882" s="17" t="s">
        <v>1407</v>
      </c>
      <c r="E8882" s="17" t="s">
        <v>3736</v>
      </c>
      <c r="F8882" s="17"/>
      <c r="G8882" s="18" t="n">
        <v>0</v>
      </c>
      <c r="H8882" s="18" t="n">
        <v>4.58</v>
      </c>
      <c r="I8882" s="18" t="n">
        <f aca="false">((I8881 + G8882) - H8882)</f>
        <v>-5698.38</v>
      </c>
      <c r="J8882" s="18" t="n">
        <v>0</v>
      </c>
      <c r="K8882" s="19" t="n">
        <v>0</v>
      </c>
      <c r="L8882" s="17"/>
    </row>
    <row r="8883" s="11" customFormat="true" ht="10.95" hidden="false" customHeight="true" outlineLevel="0" collapsed="false">
      <c r="A8883" s="16" t="n">
        <v>45329</v>
      </c>
      <c r="B8883" s="17" t="s">
        <v>3751</v>
      </c>
      <c r="C8883" s="17" t="s">
        <v>3752</v>
      </c>
      <c r="D8883" s="17" t="s">
        <v>1407</v>
      </c>
      <c r="E8883" s="17" t="s">
        <v>3756</v>
      </c>
      <c r="F8883" s="17"/>
      <c r="G8883" s="18" t="n">
        <v>0</v>
      </c>
      <c r="H8883" s="18" t="n">
        <v>16.67</v>
      </c>
      <c r="I8883" s="18" t="n">
        <f aca="false">((I8882 + G8883) - H8883)</f>
        <v>-5715.05</v>
      </c>
      <c r="J8883" s="18" t="n">
        <v>0</v>
      </c>
      <c r="K8883" s="19" t="n">
        <v>0</v>
      </c>
      <c r="L8883" s="17"/>
    </row>
    <row r="8884" s="11" customFormat="true" ht="10.95" hidden="false" customHeight="true" outlineLevel="0" collapsed="false">
      <c r="A8884" s="16" t="n">
        <v>45331</v>
      </c>
      <c r="B8884" s="17" t="s">
        <v>3751</v>
      </c>
      <c r="C8884" s="17" t="s">
        <v>3752</v>
      </c>
      <c r="D8884" s="17" t="s">
        <v>1407</v>
      </c>
      <c r="E8884" s="17" t="s">
        <v>3757</v>
      </c>
      <c r="F8884" s="17"/>
      <c r="G8884" s="18" t="n">
        <v>0</v>
      </c>
      <c r="H8884" s="18" t="n">
        <v>20.3</v>
      </c>
      <c r="I8884" s="18" t="n">
        <f aca="false">((I8883 + G8884) - H8884)</f>
        <v>-5735.35</v>
      </c>
      <c r="J8884" s="18" t="n">
        <v>0</v>
      </c>
      <c r="K8884" s="19" t="n">
        <v>0</v>
      </c>
      <c r="L8884" s="17"/>
    </row>
    <row r="8885" s="11" customFormat="true" ht="10.95" hidden="false" customHeight="true" outlineLevel="0" collapsed="false">
      <c r="A8885" s="16" t="n">
        <v>45334</v>
      </c>
      <c r="B8885" s="17" t="s">
        <v>3751</v>
      </c>
      <c r="C8885" s="17" t="s">
        <v>3752</v>
      </c>
      <c r="D8885" s="17" t="s">
        <v>1407</v>
      </c>
      <c r="E8885" s="17" t="s">
        <v>3736</v>
      </c>
      <c r="F8885" s="17"/>
      <c r="G8885" s="18" t="n">
        <v>0</v>
      </c>
      <c r="H8885" s="18" t="n">
        <v>4.58</v>
      </c>
      <c r="I8885" s="18" t="n">
        <f aca="false">((I8884 + G8885) - H8885)</f>
        <v>-5739.93</v>
      </c>
      <c r="J8885" s="18" t="n">
        <v>0</v>
      </c>
      <c r="K8885" s="19" t="n">
        <v>0</v>
      </c>
      <c r="L8885" s="17"/>
    </row>
    <row r="8886" s="11" customFormat="true" ht="10.95" hidden="false" customHeight="true" outlineLevel="0" collapsed="false">
      <c r="A8886" s="16" t="n">
        <v>45334</v>
      </c>
      <c r="B8886" s="17" t="s">
        <v>3751</v>
      </c>
      <c r="C8886" s="17" t="s">
        <v>3752</v>
      </c>
      <c r="D8886" s="17" t="s">
        <v>1407</v>
      </c>
      <c r="E8886" s="17" t="s">
        <v>3736</v>
      </c>
      <c r="F8886" s="17"/>
      <c r="G8886" s="18" t="n">
        <v>0</v>
      </c>
      <c r="H8886" s="18" t="n">
        <v>33.79</v>
      </c>
      <c r="I8886" s="18" t="n">
        <f aca="false">((I8885 + G8886) - H8886)</f>
        <v>-5773.72</v>
      </c>
      <c r="J8886" s="18" t="n">
        <v>0</v>
      </c>
      <c r="K8886" s="19" t="n">
        <v>0</v>
      </c>
      <c r="L8886" s="17"/>
    </row>
    <row r="8887" s="11" customFormat="true" ht="10.95" hidden="false" customHeight="true" outlineLevel="0" collapsed="false">
      <c r="A8887" s="16" t="n">
        <v>45335</v>
      </c>
      <c r="B8887" s="17" t="s">
        <v>3751</v>
      </c>
      <c r="C8887" s="17" t="s">
        <v>3752</v>
      </c>
      <c r="D8887" s="17" t="s">
        <v>1407</v>
      </c>
      <c r="E8887" s="17" t="s">
        <v>3736</v>
      </c>
      <c r="F8887" s="17"/>
      <c r="G8887" s="18" t="n">
        <v>0</v>
      </c>
      <c r="H8887" s="18" t="n">
        <v>1.52</v>
      </c>
      <c r="I8887" s="18" t="n">
        <f aca="false">((I8886 + G8887) - H8887)</f>
        <v>-5775.24</v>
      </c>
      <c r="J8887" s="18" t="n">
        <v>0</v>
      </c>
      <c r="K8887" s="19" t="n">
        <v>0</v>
      </c>
      <c r="L8887" s="17"/>
    </row>
    <row r="8888" s="11" customFormat="true" ht="10.95" hidden="false" customHeight="true" outlineLevel="0" collapsed="false">
      <c r="A8888" s="16" t="n">
        <v>45335</v>
      </c>
      <c r="B8888" s="17" t="s">
        <v>3751</v>
      </c>
      <c r="C8888" s="17" t="s">
        <v>3752</v>
      </c>
      <c r="D8888" s="17" t="s">
        <v>1407</v>
      </c>
      <c r="E8888" s="17" t="s">
        <v>3757</v>
      </c>
      <c r="F8888" s="17"/>
      <c r="G8888" s="18" t="n">
        <v>0</v>
      </c>
      <c r="H8888" s="18" t="n">
        <v>20.26</v>
      </c>
      <c r="I8888" s="18" t="n">
        <f aca="false">((I8887 + G8888) - H8888)</f>
        <v>-5795.5</v>
      </c>
      <c r="J8888" s="18" t="n">
        <v>0</v>
      </c>
      <c r="K8888" s="19" t="n">
        <v>0</v>
      </c>
      <c r="L8888" s="17"/>
    </row>
    <row r="8889" s="11" customFormat="true" ht="10.95" hidden="false" customHeight="true" outlineLevel="0" collapsed="false">
      <c r="A8889" s="16" t="n">
        <v>45338</v>
      </c>
      <c r="B8889" s="17" t="s">
        <v>3751</v>
      </c>
      <c r="C8889" s="17" t="s">
        <v>3752</v>
      </c>
      <c r="D8889" s="17" t="s">
        <v>3753</v>
      </c>
      <c r="E8889" s="17" t="s">
        <v>3754</v>
      </c>
      <c r="F8889" s="17" t="s">
        <v>3773</v>
      </c>
      <c r="G8889" s="18" t="n">
        <v>1532.44</v>
      </c>
      <c r="H8889" s="18" t="n">
        <v>0</v>
      </c>
      <c r="I8889" s="18" t="n">
        <f aca="false">((I8888 + G8889) - H8889)</f>
        <v>-4263.06</v>
      </c>
      <c r="J8889" s="18" t="n">
        <v>0</v>
      </c>
      <c r="K8889" s="19" t="n">
        <v>0</v>
      </c>
      <c r="L8889" s="17"/>
    </row>
    <row r="8890" s="11" customFormat="true" ht="10.95" hidden="false" customHeight="true" outlineLevel="0" collapsed="false">
      <c r="A8890" s="16" t="n">
        <v>45339</v>
      </c>
      <c r="B8890" s="17" t="s">
        <v>3751</v>
      </c>
      <c r="C8890" s="17" t="s">
        <v>3752</v>
      </c>
      <c r="D8890" s="17" t="s">
        <v>1407</v>
      </c>
      <c r="E8890" s="17" t="s">
        <v>3770</v>
      </c>
      <c r="F8890" s="17"/>
      <c r="G8890" s="18" t="n">
        <v>0</v>
      </c>
      <c r="H8890" s="18" t="n">
        <v>52.25</v>
      </c>
      <c r="I8890" s="18" t="n">
        <f aca="false">((I8889 + G8890) - H8890)</f>
        <v>-4315.31</v>
      </c>
      <c r="J8890" s="18" t="n">
        <v>0</v>
      </c>
      <c r="K8890" s="19" t="n">
        <v>0</v>
      </c>
      <c r="L8890" s="17"/>
    </row>
    <row r="8891" s="11" customFormat="true" ht="10.95" hidden="false" customHeight="true" outlineLevel="0" collapsed="false">
      <c r="A8891" s="16" t="n">
        <v>45339</v>
      </c>
      <c r="B8891" s="17" t="s">
        <v>3751</v>
      </c>
      <c r="C8891" s="17" t="s">
        <v>3752</v>
      </c>
      <c r="D8891" s="17" t="s">
        <v>1407</v>
      </c>
      <c r="E8891" s="17" t="s">
        <v>3736</v>
      </c>
      <c r="F8891" s="17"/>
      <c r="G8891" s="18" t="n">
        <v>0</v>
      </c>
      <c r="H8891" s="18" t="n">
        <v>50.61</v>
      </c>
      <c r="I8891" s="18" t="n">
        <f aca="false">((I8890 + G8891) - H8891)</f>
        <v>-4365.92</v>
      </c>
      <c r="J8891" s="18" t="n">
        <v>0</v>
      </c>
      <c r="K8891" s="19" t="n">
        <v>0</v>
      </c>
      <c r="L8891" s="17"/>
    </row>
    <row r="8892" s="11" customFormat="true" ht="10.95" hidden="false" customHeight="true" outlineLevel="0" collapsed="false">
      <c r="A8892" s="16" t="n">
        <v>45341</v>
      </c>
      <c r="B8892" s="17" t="s">
        <v>3751</v>
      </c>
      <c r="C8892" s="17" t="s">
        <v>3752</v>
      </c>
      <c r="D8892" s="17" t="s">
        <v>1407</v>
      </c>
      <c r="E8892" s="17" t="s">
        <v>3774</v>
      </c>
      <c r="F8892" s="17"/>
      <c r="G8892" s="18" t="n">
        <v>0</v>
      </c>
      <c r="H8892" s="18" t="n">
        <v>30.59</v>
      </c>
      <c r="I8892" s="18" t="n">
        <f aca="false">((I8891 + G8892) - H8892)</f>
        <v>-4396.51</v>
      </c>
      <c r="J8892" s="18" t="n">
        <v>0</v>
      </c>
      <c r="K8892" s="19" t="n">
        <v>0</v>
      </c>
      <c r="L8892" s="17"/>
    </row>
    <row r="8893" s="11" customFormat="true" ht="10.95" hidden="false" customHeight="true" outlineLevel="0" collapsed="false">
      <c r="A8893" s="16" t="n">
        <v>45341</v>
      </c>
      <c r="B8893" s="17" t="s">
        <v>3751</v>
      </c>
      <c r="C8893" s="17" t="s">
        <v>3752</v>
      </c>
      <c r="D8893" s="17" t="s">
        <v>1407</v>
      </c>
      <c r="E8893" s="17" t="s">
        <v>3736</v>
      </c>
      <c r="F8893" s="17"/>
      <c r="G8893" s="18" t="n">
        <v>0</v>
      </c>
      <c r="H8893" s="18" t="n">
        <v>18.83</v>
      </c>
      <c r="I8893" s="18" t="n">
        <f aca="false">((I8892 + G8893) - H8893)</f>
        <v>-4415.34</v>
      </c>
      <c r="J8893" s="18" t="n">
        <v>0</v>
      </c>
      <c r="K8893" s="19" t="n">
        <v>0</v>
      </c>
      <c r="L8893" s="17"/>
    </row>
    <row r="8894" s="11" customFormat="true" ht="10.95" hidden="false" customHeight="true" outlineLevel="0" collapsed="false">
      <c r="A8894" s="16" t="n">
        <v>45343</v>
      </c>
      <c r="B8894" s="17" t="s">
        <v>3751</v>
      </c>
      <c r="C8894" s="17" t="s">
        <v>3752</v>
      </c>
      <c r="D8894" s="17" t="s">
        <v>1407</v>
      </c>
      <c r="E8894" s="17" t="s">
        <v>3736</v>
      </c>
      <c r="F8894" s="17"/>
      <c r="G8894" s="18" t="n">
        <v>0</v>
      </c>
      <c r="H8894" s="18" t="n">
        <v>62.97</v>
      </c>
      <c r="I8894" s="18" t="n">
        <f aca="false">((I8893 + G8894) - H8894)</f>
        <v>-4478.31</v>
      </c>
      <c r="J8894" s="18" t="n">
        <v>0</v>
      </c>
      <c r="K8894" s="19" t="n">
        <v>0</v>
      </c>
      <c r="L8894" s="17"/>
    </row>
    <row r="8895" s="11" customFormat="true" ht="10.95" hidden="false" customHeight="true" outlineLevel="0" collapsed="false">
      <c r="A8895" s="16" t="n">
        <v>45344</v>
      </c>
      <c r="B8895" s="17" t="s">
        <v>3751</v>
      </c>
      <c r="C8895" s="17" t="s">
        <v>3752</v>
      </c>
      <c r="D8895" s="17" t="s">
        <v>2903</v>
      </c>
      <c r="E8895" s="17" t="s">
        <v>2980</v>
      </c>
      <c r="F8895" s="17" t="s">
        <v>2501</v>
      </c>
      <c r="G8895" s="18" t="n">
        <v>0</v>
      </c>
      <c r="H8895" s="18" t="n">
        <v>284.17</v>
      </c>
      <c r="I8895" s="18" t="n">
        <f aca="false">((I8894 + G8895) - H8895)</f>
        <v>-4762.48</v>
      </c>
      <c r="J8895" s="18" t="n">
        <v>0</v>
      </c>
      <c r="K8895" s="19" t="n">
        <v>0</v>
      </c>
      <c r="L8895" s="17"/>
    </row>
    <row r="8896" s="11" customFormat="true" ht="10.95" hidden="false" customHeight="true" outlineLevel="0" collapsed="false">
      <c r="A8896" s="16" t="n">
        <v>45348</v>
      </c>
      <c r="B8896" s="17" t="s">
        <v>3751</v>
      </c>
      <c r="C8896" s="17" t="s">
        <v>3752</v>
      </c>
      <c r="D8896" s="17" t="s">
        <v>1407</v>
      </c>
      <c r="E8896" s="17" t="s">
        <v>3736</v>
      </c>
      <c r="F8896" s="17"/>
      <c r="G8896" s="18" t="n">
        <v>0</v>
      </c>
      <c r="H8896" s="18" t="n">
        <v>20.18</v>
      </c>
      <c r="I8896" s="18" t="n">
        <f aca="false">((I8895 + G8896) - H8896)</f>
        <v>-4782.66</v>
      </c>
      <c r="J8896" s="18" t="n">
        <v>0</v>
      </c>
      <c r="K8896" s="19" t="n">
        <v>0</v>
      </c>
      <c r="L8896" s="17"/>
    </row>
    <row r="8897" s="11" customFormat="true" ht="10.95" hidden="false" customHeight="true" outlineLevel="0" collapsed="false">
      <c r="A8897" s="16" t="n">
        <v>45348</v>
      </c>
      <c r="B8897" s="17" t="s">
        <v>3751</v>
      </c>
      <c r="C8897" s="17" t="s">
        <v>3752</v>
      </c>
      <c r="D8897" s="17" t="s">
        <v>1407</v>
      </c>
      <c r="E8897" s="17" t="s">
        <v>3736</v>
      </c>
      <c r="F8897" s="17"/>
      <c r="G8897" s="18" t="n">
        <v>0</v>
      </c>
      <c r="H8897" s="18" t="n">
        <v>26.91</v>
      </c>
      <c r="I8897" s="18" t="n">
        <f aca="false">((I8896 + G8897) - H8897)</f>
        <v>-4809.57</v>
      </c>
      <c r="J8897" s="18" t="n">
        <v>0</v>
      </c>
      <c r="K8897" s="19" t="n">
        <v>0</v>
      </c>
      <c r="L8897" s="17"/>
    </row>
    <row r="8898" s="11" customFormat="true" ht="10.95" hidden="false" customHeight="true" outlineLevel="0" collapsed="false">
      <c r="A8898" s="16" t="n">
        <v>45349</v>
      </c>
      <c r="B8898" s="17" t="s">
        <v>3751</v>
      </c>
      <c r="C8898" s="17" t="s">
        <v>3752</v>
      </c>
      <c r="D8898" s="17" t="s">
        <v>1407</v>
      </c>
      <c r="E8898" s="17" t="s">
        <v>3736</v>
      </c>
      <c r="F8898" s="17"/>
      <c r="G8898" s="18" t="n">
        <v>0</v>
      </c>
      <c r="H8898" s="18" t="n">
        <v>22.15</v>
      </c>
      <c r="I8898" s="18" t="n">
        <f aca="false">((I8897 + G8898) - H8898)</f>
        <v>-4831.72</v>
      </c>
      <c r="J8898" s="18" t="n">
        <v>0</v>
      </c>
      <c r="K8898" s="19" t="n">
        <v>0</v>
      </c>
      <c r="L8898" s="17"/>
    </row>
    <row r="8899" s="11" customFormat="true" ht="10.95" hidden="false" customHeight="true" outlineLevel="0" collapsed="false">
      <c r="A8899" s="16" t="n">
        <v>45352</v>
      </c>
      <c r="B8899" s="17" t="s">
        <v>3751</v>
      </c>
      <c r="C8899" s="17" t="s">
        <v>3752</v>
      </c>
      <c r="D8899" s="17" t="s">
        <v>1407</v>
      </c>
      <c r="E8899" s="17" t="s">
        <v>3736</v>
      </c>
      <c r="F8899" s="17"/>
      <c r="G8899" s="18" t="n">
        <v>0</v>
      </c>
      <c r="H8899" s="18" t="n">
        <v>22.3</v>
      </c>
      <c r="I8899" s="18" t="n">
        <f aca="false">((I8898 + G8899) - H8899)</f>
        <v>-4854.02</v>
      </c>
      <c r="J8899" s="18" t="n">
        <v>0</v>
      </c>
      <c r="K8899" s="19" t="n">
        <v>0</v>
      </c>
      <c r="L8899" s="17"/>
    </row>
    <row r="8900" s="11" customFormat="true" ht="10.95" hidden="false" customHeight="true" outlineLevel="0" collapsed="false">
      <c r="A8900" s="16" t="n">
        <v>45352</v>
      </c>
      <c r="B8900" s="17" t="s">
        <v>3751</v>
      </c>
      <c r="C8900" s="17" t="s">
        <v>3752</v>
      </c>
      <c r="D8900" s="17" t="s">
        <v>1407</v>
      </c>
      <c r="E8900" s="17" t="s">
        <v>3771</v>
      </c>
      <c r="F8900" s="17"/>
      <c r="G8900" s="18" t="n">
        <v>0</v>
      </c>
      <c r="H8900" s="18" t="n">
        <v>23.03</v>
      </c>
      <c r="I8900" s="18" t="n">
        <f aca="false">((I8899 + G8900) - H8900)</f>
        <v>-4877.05</v>
      </c>
      <c r="J8900" s="18" t="n">
        <v>0</v>
      </c>
      <c r="K8900" s="19" t="n">
        <v>0</v>
      </c>
      <c r="L8900" s="17"/>
    </row>
    <row r="8901" s="11" customFormat="true" ht="10.95" hidden="false" customHeight="true" outlineLevel="0" collapsed="false">
      <c r="A8901" s="16" t="n">
        <v>45353</v>
      </c>
      <c r="B8901" s="17" t="s">
        <v>3751</v>
      </c>
      <c r="C8901" s="17" t="s">
        <v>3752</v>
      </c>
      <c r="D8901" s="17" t="s">
        <v>1407</v>
      </c>
      <c r="E8901" s="17" t="s">
        <v>3683</v>
      </c>
      <c r="F8901" s="17"/>
      <c r="G8901" s="18" t="n">
        <v>0</v>
      </c>
      <c r="H8901" s="18" t="n">
        <v>252.78</v>
      </c>
      <c r="I8901" s="18" t="n">
        <f aca="false">((I8900 + G8901) - H8901)</f>
        <v>-5129.83</v>
      </c>
      <c r="J8901" s="18" t="n">
        <v>0</v>
      </c>
      <c r="K8901" s="19" t="n">
        <v>0</v>
      </c>
      <c r="L8901" s="17"/>
    </row>
    <row r="8902" s="11" customFormat="true" ht="10.95" hidden="false" customHeight="true" outlineLevel="0" collapsed="false">
      <c r="A8902" s="16" t="n">
        <v>45353</v>
      </c>
      <c r="B8902" s="17" t="s">
        <v>3751</v>
      </c>
      <c r="C8902" s="17" t="s">
        <v>3752</v>
      </c>
      <c r="D8902" s="17" t="s">
        <v>1407</v>
      </c>
      <c r="E8902" s="17" t="s">
        <v>3680</v>
      </c>
      <c r="F8902" s="17"/>
      <c r="G8902" s="18" t="n">
        <v>0</v>
      </c>
      <c r="H8902" s="18" t="n">
        <v>178.04</v>
      </c>
      <c r="I8902" s="18" t="n">
        <f aca="false">((I8901 + G8902) - H8902)</f>
        <v>-5307.87</v>
      </c>
      <c r="J8902" s="18" t="n">
        <v>0</v>
      </c>
      <c r="K8902" s="19" t="n">
        <v>0</v>
      </c>
      <c r="L8902" s="17"/>
    </row>
    <row r="8903" s="11" customFormat="true" ht="10.95" hidden="false" customHeight="true" outlineLevel="0" collapsed="false">
      <c r="A8903" s="16" t="n">
        <v>45356</v>
      </c>
      <c r="B8903" s="17" t="s">
        <v>3751</v>
      </c>
      <c r="C8903" s="17" t="s">
        <v>3752</v>
      </c>
      <c r="D8903" s="17" t="s">
        <v>2903</v>
      </c>
      <c r="E8903" s="17" t="s">
        <v>3008</v>
      </c>
      <c r="F8903" s="17" t="s">
        <v>1631</v>
      </c>
      <c r="G8903" s="18" t="n">
        <v>0</v>
      </c>
      <c r="H8903" s="18" t="n">
        <v>243.34</v>
      </c>
      <c r="I8903" s="18" t="n">
        <f aca="false">((I8902 + G8903) - H8903)</f>
        <v>-5551.21</v>
      </c>
      <c r="J8903" s="18" t="n">
        <v>0</v>
      </c>
      <c r="K8903" s="19" t="n">
        <v>0</v>
      </c>
      <c r="L8903" s="17"/>
    </row>
    <row r="8904" s="11" customFormat="true" ht="10.95" hidden="false" customHeight="true" outlineLevel="0" collapsed="false">
      <c r="A8904" s="16" t="n">
        <v>45356</v>
      </c>
      <c r="B8904" s="17" t="s">
        <v>3751</v>
      </c>
      <c r="C8904" s="17" t="s">
        <v>3752</v>
      </c>
      <c r="D8904" s="17" t="s">
        <v>1407</v>
      </c>
      <c r="E8904" s="17" t="s">
        <v>3772</v>
      </c>
      <c r="F8904" s="17"/>
      <c r="G8904" s="18" t="n">
        <v>0</v>
      </c>
      <c r="H8904" s="18" t="n">
        <v>44.66</v>
      </c>
      <c r="I8904" s="18" t="n">
        <f aca="false">((I8903 + G8904) - H8904)</f>
        <v>-5595.87</v>
      </c>
      <c r="J8904" s="18" t="n">
        <v>0</v>
      </c>
      <c r="K8904" s="19" t="n">
        <v>0</v>
      </c>
      <c r="L8904" s="17"/>
    </row>
    <row r="8905" s="11" customFormat="true" ht="10.95" hidden="false" customHeight="true" outlineLevel="0" collapsed="false">
      <c r="A8905" s="16" t="n">
        <v>45356</v>
      </c>
      <c r="B8905" s="17" t="s">
        <v>3751</v>
      </c>
      <c r="C8905" s="17" t="s">
        <v>3752</v>
      </c>
      <c r="D8905" s="17" t="s">
        <v>2903</v>
      </c>
      <c r="E8905" s="17" t="s">
        <v>2904</v>
      </c>
      <c r="F8905" s="17" t="s">
        <v>1523</v>
      </c>
      <c r="G8905" s="18" t="n">
        <v>0</v>
      </c>
      <c r="H8905" s="18" t="n">
        <v>3711.03</v>
      </c>
      <c r="I8905" s="18" t="n">
        <f aca="false">((I8904 + G8905) - H8905)</f>
        <v>-9306.9</v>
      </c>
      <c r="J8905" s="18" t="n">
        <v>0</v>
      </c>
      <c r="K8905" s="19" t="n">
        <v>0</v>
      </c>
      <c r="L8905" s="17"/>
    </row>
    <row r="8906" s="11" customFormat="true" ht="10.95" hidden="false" customHeight="true" outlineLevel="0" collapsed="false">
      <c r="A8906" s="16" t="n">
        <v>45357</v>
      </c>
      <c r="B8906" s="17" t="s">
        <v>3751</v>
      </c>
      <c r="C8906" s="17" t="s">
        <v>3752</v>
      </c>
      <c r="D8906" s="17" t="s">
        <v>1407</v>
      </c>
      <c r="E8906" s="17" t="s">
        <v>3736</v>
      </c>
      <c r="F8906" s="17"/>
      <c r="G8906" s="18" t="n">
        <v>0</v>
      </c>
      <c r="H8906" s="18" t="n">
        <v>17.73</v>
      </c>
      <c r="I8906" s="18" t="n">
        <f aca="false">((I8905 + G8906) - H8906)</f>
        <v>-9324.63</v>
      </c>
      <c r="J8906" s="18" t="n">
        <v>0</v>
      </c>
      <c r="K8906" s="19" t="n">
        <v>0</v>
      </c>
      <c r="L8906" s="17"/>
    </row>
    <row r="8907" s="11" customFormat="true" ht="10.95" hidden="false" customHeight="true" outlineLevel="0" collapsed="false">
      <c r="A8907" s="16" t="n">
        <v>45358</v>
      </c>
      <c r="B8907" s="17" t="s">
        <v>3751</v>
      </c>
      <c r="C8907" s="17" t="s">
        <v>3752</v>
      </c>
      <c r="D8907" s="17" t="s">
        <v>1407</v>
      </c>
      <c r="E8907" s="17" t="s">
        <v>3736</v>
      </c>
      <c r="F8907" s="17"/>
      <c r="G8907" s="18" t="n">
        <v>0</v>
      </c>
      <c r="H8907" s="18" t="n">
        <v>4.53</v>
      </c>
      <c r="I8907" s="18" t="n">
        <f aca="false">((I8906 + G8907) - H8907)</f>
        <v>-9329.16</v>
      </c>
      <c r="J8907" s="18" t="n">
        <v>0</v>
      </c>
      <c r="K8907" s="19" t="n">
        <v>0</v>
      </c>
      <c r="L8907" s="17"/>
    </row>
    <row r="8908" s="11" customFormat="true" ht="10.95" hidden="false" customHeight="true" outlineLevel="0" collapsed="false">
      <c r="A8908" s="16" t="n">
        <v>45358</v>
      </c>
      <c r="B8908" s="17" t="s">
        <v>3751</v>
      </c>
      <c r="C8908" s="17" t="s">
        <v>3752</v>
      </c>
      <c r="D8908" s="17" t="s">
        <v>1407</v>
      </c>
      <c r="E8908" s="17" t="s">
        <v>3756</v>
      </c>
      <c r="F8908" s="17"/>
      <c r="G8908" s="18" t="n">
        <v>0</v>
      </c>
      <c r="H8908" s="18" t="n">
        <v>16.28</v>
      </c>
      <c r="I8908" s="18" t="n">
        <f aca="false">((I8907 + G8908) - H8908)</f>
        <v>-9345.44</v>
      </c>
      <c r="J8908" s="18" t="n">
        <v>0</v>
      </c>
      <c r="K8908" s="19" t="n">
        <v>0</v>
      </c>
      <c r="L8908" s="17"/>
    </row>
    <row r="8909" s="11" customFormat="true" ht="10.95" hidden="false" customHeight="true" outlineLevel="0" collapsed="false">
      <c r="A8909" s="16" t="n">
        <v>45360</v>
      </c>
      <c r="B8909" s="17" t="s">
        <v>3751</v>
      </c>
      <c r="C8909" s="17" t="s">
        <v>3752</v>
      </c>
      <c r="D8909" s="17" t="s">
        <v>1407</v>
      </c>
      <c r="E8909" s="17" t="s">
        <v>3765</v>
      </c>
      <c r="F8909" s="17"/>
      <c r="G8909" s="18" t="n">
        <v>0</v>
      </c>
      <c r="H8909" s="18" t="n">
        <v>91.24</v>
      </c>
      <c r="I8909" s="18" t="n">
        <f aca="false">((I8908 + G8909) - H8909)</f>
        <v>-9436.68</v>
      </c>
      <c r="J8909" s="18" t="n">
        <v>0</v>
      </c>
      <c r="K8909" s="19" t="n">
        <v>0</v>
      </c>
      <c r="L8909" s="17"/>
    </row>
    <row r="8910" s="11" customFormat="true" ht="10.95" hidden="false" customHeight="true" outlineLevel="0" collapsed="false">
      <c r="A8910" s="16" t="n">
        <v>45360</v>
      </c>
      <c r="B8910" s="17" t="s">
        <v>3751</v>
      </c>
      <c r="C8910" s="17" t="s">
        <v>3752</v>
      </c>
      <c r="D8910" s="17" t="s">
        <v>1407</v>
      </c>
      <c r="E8910" s="17" t="s">
        <v>3771</v>
      </c>
      <c r="F8910" s="17"/>
      <c r="G8910" s="18" t="n">
        <v>0</v>
      </c>
      <c r="H8910" s="18" t="n">
        <v>19.95</v>
      </c>
      <c r="I8910" s="18" t="n">
        <f aca="false">((I8909 + G8910) - H8910)</f>
        <v>-9456.63</v>
      </c>
      <c r="J8910" s="18" t="n">
        <v>0</v>
      </c>
      <c r="K8910" s="19" t="n">
        <v>0</v>
      </c>
      <c r="L8910" s="17"/>
    </row>
    <row r="8911" s="11" customFormat="true" ht="10.95" hidden="false" customHeight="true" outlineLevel="0" collapsed="false">
      <c r="A8911" s="16" t="n">
        <v>45362</v>
      </c>
      <c r="B8911" s="17" t="s">
        <v>3751</v>
      </c>
      <c r="C8911" s="17" t="s">
        <v>3752</v>
      </c>
      <c r="D8911" s="17" t="s">
        <v>3753</v>
      </c>
      <c r="E8911" s="17" t="s">
        <v>3754</v>
      </c>
      <c r="F8911" s="17" t="s">
        <v>3775</v>
      </c>
      <c r="G8911" s="18" t="n">
        <v>4534.47</v>
      </c>
      <c r="H8911" s="18" t="n">
        <v>0</v>
      </c>
      <c r="I8911" s="18" t="n">
        <f aca="false">((I8910 + G8911) - H8911)</f>
        <v>-4922.16</v>
      </c>
      <c r="J8911" s="18" t="n">
        <v>0</v>
      </c>
      <c r="K8911" s="19" t="n">
        <v>0</v>
      </c>
      <c r="L8911" s="17"/>
    </row>
    <row r="8912" s="11" customFormat="true" ht="10.95" hidden="false" customHeight="true" outlineLevel="0" collapsed="false">
      <c r="A8912" s="16" t="n">
        <v>45363</v>
      </c>
      <c r="B8912" s="17" t="s">
        <v>3751</v>
      </c>
      <c r="C8912" s="17" t="s">
        <v>3752</v>
      </c>
      <c r="D8912" s="17" t="s">
        <v>1407</v>
      </c>
      <c r="E8912" s="17" t="s">
        <v>3736</v>
      </c>
      <c r="F8912" s="17"/>
      <c r="G8912" s="18" t="n">
        <v>0</v>
      </c>
      <c r="H8912" s="18" t="n">
        <v>4.52</v>
      </c>
      <c r="I8912" s="18" t="n">
        <f aca="false">((I8911 + G8912) - H8912)</f>
        <v>-4926.68</v>
      </c>
      <c r="J8912" s="18" t="n">
        <v>0</v>
      </c>
      <c r="K8912" s="19" t="n">
        <v>0</v>
      </c>
      <c r="L8912" s="17"/>
    </row>
    <row r="8913" s="11" customFormat="true" ht="10.95" hidden="false" customHeight="true" outlineLevel="0" collapsed="false">
      <c r="A8913" s="16" t="n">
        <v>45363</v>
      </c>
      <c r="B8913" s="17" t="s">
        <v>3751</v>
      </c>
      <c r="C8913" s="17" t="s">
        <v>3752</v>
      </c>
      <c r="D8913" s="17" t="s">
        <v>1407</v>
      </c>
      <c r="E8913" s="17" t="s">
        <v>3736</v>
      </c>
      <c r="F8913" s="17"/>
      <c r="G8913" s="18" t="n">
        <v>0</v>
      </c>
      <c r="H8913" s="18" t="n">
        <v>37.78</v>
      </c>
      <c r="I8913" s="18" t="n">
        <f aca="false">((I8912 + G8913) - H8913)</f>
        <v>-4964.46</v>
      </c>
      <c r="J8913" s="18" t="n">
        <v>0</v>
      </c>
      <c r="K8913" s="19" t="n">
        <v>0</v>
      </c>
      <c r="L8913" s="17"/>
    </row>
    <row r="8914" s="11" customFormat="true" ht="10.95" hidden="false" customHeight="true" outlineLevel="0" collapsed="false">
      <c r="A8914" s="16" t="n">
        <v>45364</v>
      </c>
      <c r="B8914" s="17" t="s">
        <v>3751</v>
      </c>
      <c r="C8914" s="17" t="s">
        <v>3752</v>
      </c>
      <c r="D8914" s="17" t="s">
        <v>1407</v>
      </c>
      <c r="E8914" s="17" t="s">
        <v>3771</v>
      </c>
      <c r="F8914" s="17"/>
      <c r="G8914" s="18" t="n">
        <v>0</v>
      </c>
      <c r="H8914" s="18" t="n">
        <v>19.98</v>
      </c>
      <c r="I8914" s="18" t="n">
        <f aca="false">((I8913 + G8914) - H8914)</f>
        <v>-4984.44</v>
      </c>
      <c r="J8914" s="18" t="n">
        <v>0</v>
      </c>
      <c r="K8914" s="19" t="n">
        <v>0</v>
      </c>
      <c r="L8914" s="17"/>
    </row>
    <row r="8915" s="11" customFormat="true" ht="10.95" hidden="false" customHeight="true" outlineLevel="0" collapsed="false">
      <c r="A8915" s="16" t="n">
        <v>45364</v>
      </c>
      <c r="B8915" s="17" t="s">
        <v>3751</v>
      </c>
      <c r="C8915" s="17" t="s">
        <v>3752</v>
      </c>
      <c r="D8915" s="17" t="s">
        <v>1407</v>
      </c>
      <c r="E8915" s="17" t="s">
        <v>3736</v>
      </c>
      <c r="F8915" s="17"/>
      <c r="G8915" s="18" t="n">
        <v>0</v>
      </c>
      <c r="H8915" s="18" t="n">
        <v>1.5</v>
      </c>
      <c r="I8915" s="18" t="n">
        <f aca="false">((I8914 + G8915) - H8915)</f>
        <v>-4985.94</v>
      </c>
      <c r="J8915" s="18" t="n">
        <v>0</v>
      </c>
      <c r="K8915" s="19" t="n">
        <v>0</v>
      </c>
      <c r="L8915" s="17"/>
    </row>
    <row r="8916" s="11" customFormat="true" ht="10.95" hidden="false" customHeight="true" outlineLevel="0" collapsed="false">
      <c r="A8916" s="16" t="n">
        <v>45365</v>
      </c>
      <c r="B8916" s="17" t="s">
        <v>3751</v>
      </c>
      <c r="C8916" s="17" t="s">
        <v>3752</v>
      </c>
      <c r="D8916" s="17" t="s">
        <v>1407</v>
      </c>
      <c r="E8916" s="17" t="s">
        <v>3633</v>
      </c>
      <c r="F8916" s="17"/>
      <c r="G8916" s="18" t="n">
        <v>0</v>
      </c>
      <c r="H8916" s="18" t="n">
        <v>11.32</v>
      </c>
      <c r="I8916" s="18" t="n">
        <f aca="false">((I8915 + G8916) - H8916)</f>
        <v>-4997.26</v>
      </c>
      <c r="J8916" s="18" t="n">
        <v>0</v>
      </c>
      <c r="K8916" s="19" t="n">
        <v>0</v>
      </c>
      <c r="L8916" s="17"/>
    </row>
    <row r="8917" s="11" customFormat="true" ht="10.95" hidden="false" customHeight="true" outlineLevel="0" collapsed="false">
      <c r="A8917" s="16" t="n">
        <v>45365</v>
      </c>
      <c r="B8917" s="17" t="s">
        <v>3751</v>
      </c>
      <c r="C8917" s="17" t="s">
        <v>3752</v>
      </c>
      <c r="D8917" s="17" t="s">
        <v>2903</v>
      </c>
      <c r="E8917" s="17" t="s">
        <v>2908</v>
      </c>
      <c r="F8917" s="17" t="s">
        <v>2474</v>
      </c>
      <c r="G8917" s="18" t="n">
        <v>0</v>
      </c>
      <c r="H8917" s="18" t="n">
        <v>452.91</v>
      </c>
      <c r="I8917" s="18" t="n">
        <f aca="false">((I8916 + G8917) - H8917)</f>
        <v>-5450.17</v>
      </c>
      <c r="J8917" s="18" t="n">
        <v>0</v>
      </c>
      <c r="K8917" s="19" t="n">
        <v>0</v>
      </c>
      <c r="L8917" s="17"/>
    </row>
    <row r="8918" s="11" customFormat="true" ht="10.95" hidden="false" customHeight="true" outlineLevel="0" collapsed="false">
      <c r="A8918" s="16" t="n">
        <v>45365</v>
      </c>
      <c r="B8918" s="17" t="s">
        <v>3751</v>
      </c>
      <c r="C8918" s="17" t="s">
        <v>3752</v>
      </c>
      <c r="D8918" s="17" t="s">
        <v>1407</v>
      </c>
      <c r="E8918" s="17" t="s">
        <v>3776</v>
      </c>
      <c r="F8918" s="17"/>
      <c r="G8918" s="18" t="n">
        <v>0</v>
      </c>
      <c r="H8918" s="18" t="n">
        <v>179.25</v>
      </c>
      <c r="I8918" s="18" t="n">
        <f aca="false">((I8917 + G8918) - H8918)</f>
        <v>-5629.42</v>
      </c>
      <c r="J8918" s="18" t="n">
        <v>0</v>
      </c>
      <c r="K8918" s="19" t="n">
        <v>0</v>
      </c>
      <c r="L8918" s="17"/>
    </row>
    <row r="8919" s="11" customFormat="true" ht="10.95" hidden="false" customHeight="true" outlineLevel="0" collapsed="false">
      <c r="A8919" s="16" t="n">
        <v>45366</v>
      </c>
      <c r="B8919" s="17" t="s">
        <v>3751</v>
      </c>
      <c r="C8919" s="17" t="s">
        <v>3752</v>
      </c>
      <c r="D8919" s="17" t="s">
        <v>1407</v>
      </c>
      <c r="E8919" s="17" t="s">
        <v>3736</v>
      </c>
      <c r="F8919" s="17"/>
      <c r="G8919" s="18" t="n">
        <v>0</v>
      </c>
      <c r="H8919" s="18" t="n">
        <v>41.94</v>
      </c>
      <c r="I8919" s="18" t="n">
        <f aca="false">((I8918 + G8919) - H8919)</f>
        <v>-5671.36</v>
      </c>
      <c r="J8919" s="18" t="n">
        <v>0</v>
      </c>
      <c r="K8919" s="19" t="n">
        <v>0</v>
      </c>
      <c r="L8919" s="17"/>
    </row>
    <row r="8920" s="11" customFormat="true" ht="10.95" hidden="false" customHeight="true" outlineLevel="0" collapsed="false">
      <c r="A8920" s="16" t="n">
        <v>45367</v>
      </c>
      <c r="B8920" s="17" t="s">
        <v>3751</v>
      </c>
      <c r="C8920" s="17" t="s">
        <v>3752</v>
      </c>
      <c r="D8920" s="17" t="s">
        <v>1407</v>
      </c>
      <c r="E8920" s="17" t="s">
        <v>3736</v>
      </c>
      <c r="F8920" s="17"/>
      <c r="G8920" s="18" t="n">
        <v>0</v>
      </c>
      <c r="H8920" s="18" t="n">
        <v>33.58</v>
      </c>
      <c r="I8920" s="18" t="n">
        <f aca="false">((I8919 + G8920) - H8920)</f>
        <v>-5704.94</v>
      </c>
      <c r="J8920" s="18" t="n">
        <v>0</v>
      </c>
      <c r="K8920" s="19" t="n">
        <v>0</v>
      </c>
      <c r="L8920" s="17"/>
    </row>
    <row r="8921" s="11" customFormat="true" ht="10.95" hidden="false" customHeight="true" outlineLevel="0" collapsed="false">
      <c r="A8921" s="16" t="n">
        <v>45369</v>
      </c>
      <c r="B8921" s="17" t="s">
        <v>3751</v>
      </c>
      <c r="C8921" s="17" t="s">
        <v>3752</v>
      </c>
      <c r="D8921" s="17" t="s">
        <v>1407</v>
      </c>
      <c r="E8921" s="17" t="s">
        <v>3770</v>
      </c>
      <c r="F8921" s="17"/>
      <c r="G8921" s="18" t="n">
        <v>0</v>
      </c>
      <c r="H8921" s="18" t="n">
        <v>51.93</v>
      </c>
      <c r="I8921" s="18" t="n">
        <f aca="false">((I8920 + G8921) - H8921)</f>
        <v>-5756.87</v>
      </c>
      <c r="J8921" s="18" t="n">
        <v>0</v>
      </c>
      <c r="K8921" s="19" t="n">
        <v>0</v>
      </c>
      <c r="L8921" s="17"/>
    </row>
    <row r="8922" s="11" customFormat="true" ht="10.95" hidden="false" customHeight="true" outlineLevel="0" collapsed="false">
      <c r="A8922" s="16" t="n">
        <v>45370</v>
      </c>
      <c r="B8922" s="17" t="s">
        <v>3751</v>
      </c>
      <c r="C8922" s="17" t="s">
        <v>3752</v>
      </c>
      <c r="D8922" s="17" t="s">
        <v>1407</v>
      </c>
      <c r="E8922" s="17" t="s">
        <v>3774</v>
      </c>
      <c r="F8922" s="17"/>
      <c r="G8922" s="18" t="n">
        <v>0</v>
      </c>
      <c r="H8922" s="18" t="n">
        <v>30.68</v>
      </c>
      <c r="I8922" s="18" t="n">
        <f aca="false">((I8921 + G8922) - H8922)</f>
        <v>-5787.55</v>
      </c>
      <c r="J8922" s="18" t="n">
        <v>0</v>
      </c>
      <c r="K8922" s="19" t="n">
        <v>0</v>
      </c>
      <c r="L8922" s="17"/>
    </row>
    <row r="8923" s="11" customFormat="true" ht="10.95" hidden="false" customHeight="true" outlineLevel="0" collapsed="false">
      <c r="A8923" s="16" t="n">
        <v>45370</v>
      </c>
      <c r="B8923" s="17" t="s">
        <v>3751</v>
      </c>
      <c r="C8923" s="17" t="s">
        <v>3752</v>
      </c>
      <c r="D8923" s="17" t="s">
        <v>1407</v>
      </c>
      <c r="E8923" s="17" t="s">
        <v>3736</v>
      </c>
      <c r="F8923" s="17"/>
      <c r="G8923" s="18" t="n">
        <v>0</v>
      </c>
      <c r="H8923" s="18" t="n">
        <v>18.88</v>
      </c>
      <c r="I8923" s="18" t="n">
        <f aca="false">((I8922 + G8923) - H8923)</f>
        <v>-5806.43</v>
      </c>
      <c r="J8923" s="18" t="n">
        <v>0</v>
      </c>
      <c r="K8923" s="19" t="n">
        <v>0</v>
      </c>
      <c r="L8923" s="17"/>
    </row>
    <row r="8924" s="11" customFormat="true" ht="10.95" hidden="false" customHeight="true" outlineLevel="0" collapsed="false">
      <c r="A8924" s="16" t="n">
        <v>45372</v>
      </c>
      <c r="B8924" s="17" t="s">
        <v>3751</v>
      </c>
      <c r="C8924" s="17" t="s">
        <v>3752</v>
      </c>
      <c r="D8924" s="17" t="s">
        <v>1407</v>
      </c>
      <c r="E8924" s="17" t="s">
        <v>3736</v>
      </c>
      <c r="F8924" s="17"/>
      <c r="G8924" s="18" t="n">
        <v>0</v>
      </c>
      <c r="H8924" s="18" t="n">
        <v>62.52</v>
      </c>
      <c r="I8924" s="18" t="n">
        <f aca="false">((I8923 + G8924) - H8924)</f>
        <v>-5868.95</v>
      </c>
      <c r="J8924" s="18" t="n">
        <v>0</v>
      </c>
      <c r="K8924" s="19" t="n">
        <v>0</v>
      </c>
      <c r="L8924" s="17"/>
    </row>
    <row r="8925" s="11" customFormat="true" ht="10.95" hidden="false" customHeight="true" outlineLevel="0" collapsed="false">
      <c r="A8925" s="16" t="n">
        <v>45373</v>
      </c>
      <c r="B8925" s="17" t="s">
        <v>3751</v>
      </c>
      <c r="C8925" s="17" t="s">
        <v>3752</v>
      </c>
      <c r="D8925" s="17" t="s">
        <v>3753</v>
      </c>
      <c r="E8925" s="17" t="s">
        <v>3754</v>
      </c>
      <c r="F8925" s="17" t="s">
        <v>3758</v>
      </c>
      <c r="G8925" s="18" t="n">
        <v>6053.36</v>
      </c>
      <c r="H8925" s="18" t="n">
        <v>0</v>
      </c>
      <c r="I8925" s="18" t="n">
        <f aca="false">((I8924 + G8925) - H8925)</f>
        <v>184.409999999997</v>
      </c>
      <c r="J8925" s="18" t="n">
        <v>0</v>
      </c>
      <c r="K8925" s="19" t="n">
        <v>0</v>
      </c>
      <c r="L8925" s="17"/>
    </row>
    <row r="8926" s="11" customFormat="true" ht="10.95" hidden="false" customHeight="true" outlineLevel="0" collapsed="false">
      <c r="A8926" s="16" t="n">
        <v>45373</v>
      </c>
      <c r="B8926" s="17" t="s">
        <v>3751</v>
      </c>
      <c r="C8926" s="17" t="s">
        <v>3752</v>
      </c>
      <c r="D8926" s="17" t="s">
        <v>1407</v>
      </c>
      <c r="E8926" s="17" t="s">
        <v>1536</v>
      </c>
      <c r="F8926" s="17"/>
      <c r="G8926" s="18" t="n">
        <v>0</v>
      </c>
      <c r="H8926" s="18" t="n">
        <v>287.15</v>
      </c>
      <c r="I8926" s="18" t="n">
        <f aca="false">((I8925 + G8926) - H8926)</f>
        <v>-102.740000000003</v>
      </c>
      <c r="J8926" s="18" t="n">
        <v>0</v>
      </c>
      <c r="K8926" s="19" t="n">
        <v>0</v>
      </c>
      <c r="L8926" s="17"/>
    </row>
    <row r="8927" s="11" customFormat="true" ht="10.95" hidden="false" customHeight="true" outlineLevel="0" collapsed="false">
      <c r="A8927" s="16" t="n">
        <v>45376</v>
      </c>
      <c r="B8927" s="17" t="s">
        <v>3751</v>
      </c>
      <c r="C8927" s="17" t="s">
        <v>3752</v>
      </c>
      <c r="D8927" s="17" t="s">
        <v>3753</v>
      </c>
      <c r="E8927" s="17" t="s">
        <v>3754</v>
      </c>
      <c r="F8927" s="17" t="s">
        <v>3777</v>
      </c>
      <c r="G8927" s="18" t="n">
        <v>398.93</v>
      </c>
      <c r="H8927" s="18" t="n">
        <v>0</v>
      </c>
      <c r="I8927" s="18" t="n">
        <f aca="false">((I8926 + G8927) - H8927)</f>
        <v>296.189999999997</v>
      </c>
      <c r="J8927" s="18" t="n">
        <v>0</v>
      </c>
      <c r="K8927" s="19" t="n">
        <v>0</v>
      </c>
      <c r="L8927" s="17"/>
    </row>
    <row r="8928" s="11" customFormat="true" ht="10.95" hidden="false" customHeight="true" outlineLevel="0" collapsed="false">
      <c r="A8928" s="16" t="n">
        <v>45376</v>
      </c>
      <c r="B8928" s="17" t="s">
        <v>3751</v>
      </c>
      <c r="C8928" s="17" t="s">
        <v>3752</v>
      </c>
      <c r="D8928" s="17" t="s">
        <v>1407</v>
      </c>
      <c r="E8928" s="17" t="s">
        <v>3736</v>
      </c>
      <c r="F8928" s="17"/>
      <c r="G8928" s="18" t="n">
        <v>0</v>
      </c>
      <c r="H8928" s="18" t="n">
        <v>26.99</v>
      </c>
      <c r="I8928" s="18" t="n">
        <f aca="false">((I8927 + G8928) - H8928)</f>
        <v>269.199999999997</v>
      </c>
      <c r="J8928" s="18" t="n">
        <v>0</v>
      </c>
      <c r="K8928" s="19" t="n">
        <v>0</v>
      </c>
      <c r="L8928" s="17"/>
    </row>
    <row r="8929" s="11" customFormat="true" ht="10.95" hidden="false" customHeight="true" outlineLevel="0" collapsed="false">
      <c r="A8929" s="16" t="n">
        <v>45376</v>
      </c>
      <c r="B8929" s="17" t="s">
        <v>3751</v>
      </c>
      <c r="C8929" s="17" t="s">
        <v>3752</v>
      </c>
      <c r="D8929" s="17" t="s">
        <v>1407</v>
      </c>
      <c r="E8929" s="17" t="s">
        <v>3736</v>
      </c>
      <c r="F8929" s="17"/>
      <c r="G8929" s="18" t="n">
        <v>0</v>
      </c>
      <c r="H8929" s="18" t="n">
        <v>20.24</v>
      </c>
      <c r="I8929" s="18" t="n">
        <f aca="false">((I8928 + G8929) - H8929)</f>
        <v>248.959999999997</v>
      </c>
      <c r="J8929" s="18" t="n">
        <v>0</v>
      </c>
      <c r="K8929" s="19" t="n">
        <v>0</v>
      </c>
      <c r="L8929" s="17"/>
    </row>
    <row r="8930" s="11" customFormat="true" ht="10.95" hidden="false" customHeight="true" outlineLevel="0" collapsed="false">
      <c r="A8930" s="16" t="n">
        <v>45378</v>
      </c>
      <c r="B8930" s="17" t="s">
        <v>3751</v>
      </c>
      <c r="C8930" s="17" t="s">
        <v>3752</v>
      </c>
      <c r="D8930" s="17" t="s">
        <v>1407</v>
      </c>
      <c r="E8930" s="17" t="s">
        <v>3736</v>
      </c>
      <c r="F8930" s="17"/>
      <c r="G8930" s="18" t="n">
        <v>0</v>
      </c>
      <c r="H8930" s="18" t="n">
        <v>22.25</v>
      </c>
      <c r="I8930" s="18" t="n">
        <f aca="false">((I8929 + G8930) - H8930)</f>
        <v>226.709999999997</v>
      </c>
      <c r="J8930" s="18" t="n">
        <v>0</v>
      </c>
      <c r="K8930" s="19" t="n">
        <v>0</v>
      </c>
      <c r="L8930" s="17"/>
    </row>
    <row r="8931" s="11" customFormat="true" ht="10.95" hidden="false" customHeight="true" outlineLevel="0" collapsed="false">
      <c r="A8931" s="16" t="n">
        <v>45380</v>
      </c>
      <c r="B8931" s="17" t="s">
        <v>3751</v>
      </c>
      <c r="C8931" s="17" t="s">
        <v>3752</v>
      </c>
      <c r="D8931" s="17" t="s">
        <v>1407</v>
      </c>
      <c r="E8931" s="17" t="s">
        <v>3776</v>
      </c>
      <c r="F8931" s="17"/>
      <c r="G8931" s="18" t="n">
        <v>0</v>
      </c>
      <c r="H8931" s="18" t="n">
        <v>657.93</v>
      </c>
      <c r="I8931" s="18" t="n">
        <f aca="false">((I8930 + G8931) - H8931)</f>
        <v>-431.220000000003</v>
      </c>
      <c r="J8931" s="18" t="n">
        <v>0</v>
      </c>
      <c r="K8931" s="19" t="n">
        <v>0</v>
      </c>
      <c r="L8931" s="17"/>
    </row>
    <row r="8932" s="11" customFormat="true" ht="10.95" hidden="false" customHeight="true" outlineLevel="0" collapsed="false">
      <c r="A8932" s="16" t="n">
        <v>45381</v>
      </c>
      <c r="B8932" s="17" t="s">
        <v>3751</v>
      </c>
      <c r="C8932" s="17" t="s">
        <v>3752</v>
      </c>
      <c r="D8932" s="17" t="s">
        <v>1407</v>
      </c>
      <c r="E8932" s="17" t="s">
        <v>3765</v>
      </c>
      <c r="F8932" s="17"/>
      <c r="G8932" s="18" t="n">
        <v>0</v>
      </c>
      <c r="H8932" s="18" t="n">
        <v>76.7</v>
      </c>
      <c r="I8932" s="18" t="n">
        <f aca="false">((I8931 + G8932) - H8932)</f>
        <v>-507.920000000003</v>
      </c>
      <c r="J8932" s="18" t="n">
        <v>0</v>
      </c>
      <c r="K8932" s="19" t="n">
        <v>0</v>
      </c>
      <c r="L8932" s="17"/>
    </row>
    <row r="8933" s="11" customFormat="true" ht="10.95" hidden="false" customHeight="true" outlineLevel="0" collapsed="false">
      <c r="A8933" s="16" t="n">
        <v>45381</v>
      </c>
      <c r="B8933" s="17" t="s">
        <v>3751</v>
      </c>
      <c r="C8933" s="17" t="s">
        <v>3752</v>
      </c>
      <c r="D8933" s="17" t="s">
        <v>1407</v>
      </c>
      <c r="E8933" s="17" t="s">
        <v>3771</v>
      </c>
      <c r="F8933" s="17"/>
      <c r="G8933" s="18" t="n">
        <v>0</v>
      </c>
      <c r="H8933" s="18" t="n">
        <v>22.99</v>
      </c>
      <c r="I8933" s="18" t="n">
        <f aca="false">((I8932 + G8933) - H8933)</f>
        <v>-530.910000000003</v>
      </c>
      <c r="J8933" s="18" t="n">
        <v>0</v>
      </c>
      <c r="K8933" s="19" t="n">
        <v>0</v>
      </c>
      <c r="L8933" s="17"/>
    </row>
    <row r="8934" s="11" customFormat="true" ht="10.95" hidden="false" customHeight="true" outlineLevel="0" collapsed="false">
      <c r="A8934" s="16" t="n">
        <v>45383</v>
      </c>
      <c r="B8934" s="17" t="s">
        <v>3751</v>
      </c>
      <c r="C8934" s="17" t="s">
        <v>3752</v>
      </c>
      <c r="D8934" s="17" t="s">
        <v>1407</v>
      </c>
      <c r="E8934" s="17" t="s">
        <v>3736</v>
      </c>
      <c r="F8934" s="17"/>
      <c r="G8934" s="18" t="n">
        <v>0</v>
      </c>
      <c r="H8934" s="18" t="n">
        <v>22.27</v>
      </c>
      <c r="I8934" s="18" t="n">
        <f aca="false">((I8933 + G8934) - H8934)</f>
        <v>-553.180000000003</v>
      </c>
      <c r="J8934" s="18" t="n">
        <v>0</v>
      </c>
      <c r="K8934" s="19" t="n">
        <v>0</v>
      </c>
      <c r="L8934" s="17"/>
    </row>
    <row r="8935" s="11" customFormat="true" ht="10.95" hidden="false" customHeight="true" outlineLevel="0" collapsed="false">
      <c r="A8935" s="16" t="n">
        <v>45384</v>
      </c>
      <c r="B8935" s="17" t="s">
        <v>3751</v>
      </c>
      <c r="C8935" s="17" t="s">
        <v>3752</v>
      </c>
      <c r="D8935" s="17" t="s">
        <v>1407</v>
      </c>
      <c r="E8935" s="17" t="s">
        <v>3680</v>
      </c>
      <c r="F8935" s="17"/>
      <c r="G8935" s="18" t="n">
        <v>0</v>
      </c>
      <c r="H8935" s="18" t="n">
        <v>183.93</v>
      </c>
      <c r="I8935" s="18" t="n">
        <f aca="false">((I8934 + G8935) - H8935)</f>
        <v>-737.110000000003</v>
      </c>
      <c r="J8935" s="18" t="n">
        <v>0</v>
      </c>
      <c r="K8935" s="19" t="n">
        <v>0</v>
      </c>
      <c r="L8935" s="17"/>
    </row>
    <row r="8936" s="11" customFormat="true" ht="10.95" hidden="false" customHeight="true" outlineLevel="0" collapsed="false">
      <c r="A8936" s="16" t="n">
        <v>45384</v>
      </c>
      <c r="B8936" s="17" t="s">
        <v>3751</v>
      </c>
      <c r="C8936" s="17" t="s">
        <v>3752</v>
      </c>
      <c r="D8936" s="17" t="s">
        <v>1407</v>
      </c>
      <c r="E8936" s="17" t="s">
        <v>3681</v>
      </c>
      <c r="F8936" s="17"/>
      <c r="G8936" s="18" t="n">
        <v>0</v>
      </c>
      <c r="H8936" s="18" t="n">
        <v>242.82</v>
      </c>
      <c r="I8936" s="18" t="n">
        <f aca="false">((I8935 + G8936) - H8936)</f>
        <v>-979.930000000003</v>
      </c>
      <c r="J8936" s="18" t="n">
        <v>0</v>
      </c>
      <c r="K8936" s="19" t="n">
        <v>0</v>
      </c>
      <c r="L8936" s="17"/>
    </row>
    <row r="8937" s="11" customFormat="true" ht="10.95" hidden="false" customHeight="true" outlineLevel="0" collapsed="false">
      <c r="A8937" s="16" t="n">
        <v>45385</v>
      </c>
      <c r="B8937" s="17" t="s">
        <v>3751</v>
      </c>
      <c r="C8937" s="17" t="s">
        <v>3752</v>
      </c>
      <c r="D8937" s="17" t="s">
        <v>2903</v>
      </c>
      <c r="E8937" s="17" t="s">
        <v>2904</v>
      </c>
      <c r="F8937" s="17" t="s">
        <v>1540</v>
      </c>
      <c r="G8937" s="18" t="n">
        <v>0</v>
      </c>
      <c r="H8937" s="18" t="n">
        <v>3800.1</v>
      </c>
      <c r="I8937" s="18" t="n">
        <f aca="false">((I8936 + G8937) - H8937)</f>
        <v>-4780.03</v>
      </c>
      <c r="J8937" s="18" t="n">
        <v>0</v>
      </c>
      <c r="K8937" s="19" t="n">
        <v>0</v>
      </c>
      <c r="L8937" s="17"/>
    </row>
    <row r="8938" s="11" customFormat="true" ht="10.95" hidden="false" customHeight="true" outlineLevel="0" collapsed="false">
      <c r="A8938" s="16" t="n">
        <v>45386</v>
      </c>
      <c r="B8938" s="17" t="s">
        <v>3751</v>
      </c>
      <c r="C8938" s="17" t="s">
        <v>3752</v>
      </c>
      <c r="D8938" s="17" t="s">
        <v>1407</v>
      </c>
      <c r="E8938" s="17" t="s">
        <v>3736</v>
      </c>
      <c r="F8938" s="17"/>
      <c r="G8938" s="18" t="n">
        <v>0</v>
      </c>
      <c r="H8938" s="18" t="n">
        <v>17.52</v>
      </c>
      <c r="I8938" s="18" t="n">
        <f aca="false">((I8937 + G8938) - H8938)</f>
        <v>-4797.55</v>
      </c>
      <c r="J8938" s="18" t="n">
        <v>0</v>
      </c>
      <c r="K8938" s="19" t="n">
        <v>0</v>
      </c>
      <c r="L8938" s="17"/>
    </row>
    <row r="8939" s="11" customFormat="true" ht="10.95" hidden="false" customHeight="true" outlineLevel="0" collapsed="false">
      <c r="A8939" s="16" t="n">
        <v>45387</v>
      </c>
      <c r="B8939" s="17" t="s">
        <v>3751</v>
      </c>
      <c r="C8939" s="17" t="s">
        <v>3752</v>
      </c>
      <c r="D8939" s="17" t="s">
        <v>1407</v>
      </c>
      <c r="E8939" s="17" t="s">
        <v>3772</v>
      </c>
      <c r="F8939" s="17"/>
      <c r="G8939" s="18" t="n">
        <v>0</v>
      </c>
      <c r="H8939" s="18" t="n">
        <v>44.04</v>
      </c>
      <c r="I8939" s="18" t="n">
        <f aca="false">((I8938 + G8939) - H8939)</f>
        <v>-4841.59</v>
      </c>
      <c r="J8939" s="18" t="n">
        <v>0</v>
      </c>
      <c r="K8939" s="19" t="n">
        <v>0</v>
      </c>
      <c r="L8939" s="17"/>
    </row>
    <row r="8940" s="11" customFormat="true" ht="10.95" hidden="false" customHeight="true" outlineLevel="0" collapsed="false">
      <c r="A8940" s="16" t="n">
        <v>45390</v>
      </c>
      <c r="B8940" s="17" t="s">
        <v>3751</v>
      </c>
      <c r="C8940" s="17" t="s">
        <v>3752</v>
      </c>
      <c r="D8940" s="17" t="s">
        <v>1407</v>
      </c>
      <c r="E8940" s="17" t="s">
        <v>3736</v>
      </c>
      <c r="F8940" s="17"/>
      <c r="G8940" s="18" t="n">
        <v>0</v>
      </c>
      <c r="H8940" s="18" t="n">
        <v>4.54</v>
      </c>
      <c r="I8940" s="18" t="n">
        <f aca="false">((I8939 + G8940) - H8940)</f>
        <v>-4846.13</v>
      </c>
      <c r="J8940" s="18" t="n">
        <v>0</v>
      </c>
      <c r="K8940" s="19" t="n">
        <v>0</v>
      </c>
      <c r="L8940" s="17"/>
    </row>
    <row r="8941" s="11" customFormat="true" ht="10.95" hidden="false" customHeight="true" outlineLevel="0" collapsed="false">
      <c r="A8941" s="16" t="n">
        <v>45390</v>
      </c>
      <c r="B8941" s="17" t="s">
        <v>3751</v>
      </c>
      <c r="C8941" s="17" t="s">
        <v>3752</v>
      </c>
      <c r="D8941" s="17" t="s">
        <v>1407</v>
      </c>
      <c r="E8941" s="17" t="s">
        <v>3736</v>
      </c>
      <c r="F8941" s="17"/>
      <c r="G8941" s="18" t="n">
        <v>0</v>
      </c>
      <c r="H8941" s="18" t="n">
        <v>25.09</v>
      </c>
      <c r="I8941" s="18" t="n">
        <f aca="false">((I8940 + G8941) - H8941)</f>
        <v>-4871.22</v>
      </c>
      <c r="J8941" s="18" t="n">
        <v>0</v>
      </c>
      <c r="K8941" s="19" t="n">
        <v>0</v>
      </c>
      <c r="L8941" s="17"/>
    </row>
    <row r="8942" s="11" customFormat="true" ht="10.95" hidden="false" customHeight="true" outlineLevel="0" collapsed="false">
      <c r="A8942" s="16" t="n">
        <v>45390</v>
      </c>
      <c r="B8942" s="17" t="s">
        <v>3751</v>
      </c>
      <c r="C8942" s="17" t="s">
        <v>3752</v>
      </c>
      <c r="D8942" s="17" t="s">
        <v>1407</v>
      </c>
      <c r="E8942" s="17" t="s">
        <v>3756</v>
      </c>
      <c r="F8942" s="17"/>
      <c r="G8942" s="18" t="n">
        <v>0</v>
      </c>
      <c r="H8942" s="18" t="n">
        <v>16.52</v>
      </c>
      <c r="I8942" s="18" t="n">
        <f aca="false">((I8941 + G8942) - H8942)</f>
        <v>-4887.74</v>
      </c>
      <c r="J8942" s="18" t="n">
        <v>0</v>
      </c>
      <c r="K8942" s="19" t="n">
        <v>0</v>
      </c>
      <c r="L8942" s="17"/>
    </row>
    <row r="8943" s="11" customFormat="true" ht="10.95" hidden="false" customHeight="true" outlineLevel="0" collapsed="false">
      <c r="A8943" s="16" t="n">
        <v>45391</v>
      </c>
      <c r="B8943" s="17" t="s">
        <v>3751</v>
      </c>
      <c r="C8943" s="17" t="s">
        <v>3752</v>
      </c>
      <c r="D8943" s="17" t="s">
        <v>1407</v>
      </c>
      <c r="E8943" s="17" t="s">
        <v>3633</v>
      </c>
      <c r="F8943" s="17"/>
      <c r="G8943" s="18" t="n">
        <v>0</v>
      </c>
      <c r="H8943" s="18" t="n">
        <v>11.31</v>
      </c>
      <c r="I8943" s="18" t="n">
        <f aca="false">((I8942 + G8943) - H8943)</f>
        <v>-4899.05</v>
      </c>
      <c r="J8943" s="18" t="n">
        <v>0</v>
      </c>
      <c r="K8943" s="19" t="n">
        <v>0</v>
      </c>
      <c r="L8943" s="17"/>
    </row>
    <row r="8944" s="11" customFormat="true" ht="10.95" hidden="false" customHeight="true" outlineLevel="0" collapsed="false">
      <c r="A8944" s="16" t="n">
        <v>45391</v>
      </c>
      <c r="B8944" s="17" t="s">
        <v>3751</v>
      </c>
      <c r="C8944" s="17" t="s">
        <v>3752</v>
      </c>
      <c r="D8944" s="17" t="s">
        <v>2903</v>
      </c>
      <c r="E8944" s="17" t="s">
        <v>2908</v>
      </c>
      <c r="F8944" s="17" t="s">
        <v>1535</v>
      </c>
      <c r="G8944" s="18" t="n">
        <v>0</v>
      </c>
      <c r="H8944" s="18" t="n">
        <v>452.3</v>
      </c>
      <c r="I8944" s="18" t="n">
        <f aca="false">((I8943 + G8944) - H8944)</f>
        <v>-5351.35</v>
      </c>
      <c r="J8944" s="18" t="n">
        <v>0</v>
      </c>
      <c r="K8944" s="19" t="n">
        <v>0</v>
      </c>
      <c r="L8944" s="17"/>
    </row>
    <row r="8945" s="11" customFormat="true" ht="10.95" hidden="false" customHeight="true" outlineLevel="0" collapsed="false">
      <c r="A8945" s="16" t="n">
        <v>45391</v>
      </c>
      <c r="B8945" s="17" t="s">
        <v>3751</v>
      </c>
      <c r="C8945" s="17" t="s">
        <v>3752</v>
      </c>
      <c r="D8945" s="17" t="s">
        <v>1407</v>
      </c>
      <c r="E8945" s="17" t="s">
        <v>3771</v>
      </c>
      <c r="F8945" s="17"/>
      <c r="G8945" s="18" t="n">
        <v>0</v>
      </c>
      <c r="H8945" s="18" t="n">
        <v>19.95</v>
      </c>
      <c r="I8945" s="18" t="n">
        <f aca="false">((I8944 + G8945) - H8945)</f>
        <v>-5371.3</v>
      </c>
      <c r="J8945" s="18" t="n">
        <v>0</v>
      </c>
      <c r="K8945" s="19" t="n">
        <v>0</v>
      </c>
      <c r="L8945" s="17"/>
    </row>
    <row r="8946" s="11" customFormat="true" ht="10.95" hidden="false" customHeight="true" outlineLevel="0" collapsed="false">
      <c r="A8946" s="16" t="n">
        <v>45391</v>
      </c>
      <c r="B8946" s="17" t="s">
        <v>3751</v>
      </c>
      <c r="C8946" s="17" t="s">
        <v>3752</v>
      </c>
      <c r="D8946" s="17" t="s">
        <v>1407</v>
      </c>
      <c r="E8946" s="17" t="s">
        <v>3778</v>
      </c>
      <c r="F8946" s="17"/>
      <c r="G8946" s="18" t="n">
        <v>0</v>
      </c>
      <c r="H8946" s="18" t="n">
        <v>37.69</v>
      </c>
      <c r="I8946" s="18" t="n">
        <f aca="false">((I8945 + G8946) - H8946)</f>
        <v>-5408.99</v>
      </c>
      <c r="J8946" s="18" t="n">
        <v>0</v>
      </c>
      <c r="K8946" s="19" t="n">
        <v>0</v>
      </c>
      <c r="L8946" s="17"/>
    </row>
    <row r="8947" s="11" customFormat="true" ht="10.95" hidden="false" customHeight="true" outlineLevel="0" collapsed="false">
      <c r="A8947" s="16" t="n">
        <v>45392</v>
      </c>
      <c r="B8947" s="17" t="s">
        <v>3751</v>
      </c>
      <c r="C8947" s="17" t="s">
        <v>3752</v>
      </c>
      <c r="D8947" s="17" t="s">
        <v>1407</v>
      </c>
      <c r="E8947" s="17" t="s">
        <v>3779</v>
      </c>
      <c r="F8947" s="17"/>
      <c r="G8947" s="18" t="n">
        <v>0</v>
      </c>
      <c r="H8947" s="18" t="n">
        <v>121.85</v>
      </c>
      <c r="I8947" s="18" t="n">
        <f aca="false">((I8946 + G8947) - H8947)</f>
        <v>-5530.84</v>
      </c>
      <c r="J8947" s="18" t="n">
        <v>0</v>
      </c>
      <c r="K8947" s="19" t="n">
        <v>0</v>
      </c>
      <c r="L8947" s="17"/>
    </row>
    <row r="8948" s="11" customFormat="true" ht="10.95" hidden="false" customHeight="true" outlineLevel="0" collapsed="false">
      <c r="A8948" s="16" t="n">
        <v>45392</v>
      </c>
      <c r="B8948" s="17" t="s">
        <v>3751</v>
      </c>
      <c r="C8948" s="17" t="s">
        <v>3752</v>
      </c>
      <c r="D8948" s="17" t="s">
        <v>1407</v>
      </c>
      <c r="E8948" s="17" t="s">
        <v>3780</v>
      </c>
      <c r="F8948" s="17"/>
      <c r="G8948" s="18" t="n">
        <v>0</v>
      </c>
      <c r="H8948" s="18" t="n">
        <v>220.77</v>
      </c>
      <c r="I8948" s="18" t="n">
        <f aca="false">((I8947 + G8948) - H8948)</f>
        <v>-5751.61</v>
      </c>
      <c r="J8948" s="18" t="n">
        <v>0</v>
      </c>
      <c r="K8948" s="19" t="n">
        <v>0</v>
      </c>
      <c r="L8948" s="17"/>
    </row>
    <row r="8949" s="11" customFormat="true" ht="10.95" hidden="false" customHeight="true" outlineLevel="0" collapsed="false">
      <c r="A8949" s="16" t="n">
        <v>45394</v>
      </c>
      <c r="B8949" s="17" t="s">
        <v>3751</v>
      </c>
      <c r="C8949" s="17" t="s">
        <v>3752</v>
      </c>
      <c r="D8949" s="17" t="s">
        <v>1407</v>
      </c>
      <c r="E8949" s="17" t="s">
        <v>3736</v>
      </c>
      <c r="F8949" s="17"/>
      <c r="G8949" s="18" t="n">
        <v>0</v>
      </c>
      <c r="H8949" s="18" t="n">
        <v>4.62</v>
      </c>
      <c r="I8949" s="18" t="n">
        <f aca="false">((I8948 + G8949) - H8949)</f>
        <v>-5756.23</v>
      </c>
      <c r="J8949" s="18" t="n">
        <v>0</v>
      </c>
      <c r="K8949" s="19" t="n">
        <v>0</v>
      </c>
      <c r="L8949" s="17"/>
    </row>
    <row r="8950" s="11" customFormat="true" ht="10.95" hidden="false" customHeight="true" outlineLevel="0" collapsed="false">
      <c r="A8950" s="16" t="n">
        <v>45394</v>
      </c>
      <c r="B8950" s="17" t="s">
        <v>3751</v>
      </c>
      <c r="C8950" s="17" t="s">
        <v>3752</v>
      </c>
      <c r="D8950" s="17" t="s">
        <v>1407</v>
      </c>
      <c r="E8950" s="17" t="s">
        <v>3781</v>
      </c>
      <c r="F8950" s="17"/>
      <c r="G8950" s="18" t="n">
        <v>0</v>
      </c>
      <c r="H8950" s="18" t="n">
        <v>3.24</v>
      </c>
      <c r="I8950" s="18" t="n">
        <f aca="false">((I8949 + G8950) - H8950)</f>
        <v>-5759.47</v>
      </c>
      <c r="J8950" s="18" t="n">
        <v>0</v>
      </c>
      <c r="K8950" s="19" t="n">
        <v>0</v>
      </c>
      <c r="L8950" s="17"/>
    </row>
    <row r="8951" s="11" customFormat="true" ht="10.95" hidden="false" customHeight="true" outlineLevel="0" collapsed="false">
      <c r="A8951" s="16" t="n">
        <v>45395</v>
      </c>
      <c r="B8951" s="17" t="s">
        <v>3751</v>
      </c>
      <c r="C8951" s="17" t="s">
        <v>3752</v>
      </c>
      <c r="D8951" s="17" t="s">
        <v>1407</v>
      </c>
      <c r="E8951" s="17" t="s">
        <v>3771</v>
      </c>
      <c r="F8951" s="17"/>
      <c r="G8951" s="18" t="n">
        <v>0</v>
      </c>
      <c r="H8951" s="18" t="n">
        <v>20.42</v>
      </c>
      <c r="I8951" s="18" t="n">
        <f aca="false">((I8950 + G8951) - H8951)</f>
        <v>-5779.89</v>
      </c>
      <c r="J8951" s="18" t="n">
        <v>0</v>
      </c>
      <c r="K8951" s="19" t="n">
        <v>0</v>
      </c>
      <c r="L8951" s="17"/>
    </row>
    <row r="8952" s="11" customFormat="true" ht="10.95" hidden="false" customHeight="true" outlineLevel="0" collapsed="false">
      <c r="A8952" s="16" t="n">
        <v>45397</v>
      </c>
      <c r="B8952" s="17" t="s">
        <v>3751</v>
      </c>
      <c r="C8952" s="17" t="s">
        <v>3752</v>
      </c>
      <c r="D8952" s="17" t="s">
        <v>1407</v>
      </c>
      <c r="E8952" s="17" t="s">
        <v>3778</v>
      </c>
      <c r="F8952" s="17"/>
      <c r="G8952" s="18" t="n">
        <v>0</v>
      </c>
      <c r="H8952" s="18" t="n">
        <v>93.6</v>
      </c>
      <c r="I8952" s="18" t="n">
        <f aca="false">((I8951 + G8952) - H8952)</f>
        <v>-5873.49</v>
      </c>
      <c r="J8952" s="18" t="n">
        <v>0</v>
      </c>
      <c r="K8952" s="19" t="n">
        <v>0</v>
      </c>
      <c r="L8952" s="17"/>
    </row>
    <row r="8953" s="11" customFormat="true" ht="10.95" hidden="false" customHeight="true" outlineLevel="0" collapsed="false">
      <c r="A8953" s="16" t="n">
        <v>45397</v>
      </c>
      <c r="B8953" s="17" t="s">
        <v>3751</v>
      </c>
      <c r="C8953" s="17" t="s">
        <v>3752</v>
      </c>
      <c r="D8953" s="17" t="s">
        <v>1407</v>
      </c>
      <c r="E8953" s="17" t="s">
        <v>3782</v>
      </c>
      <c r="F8953" s="17"/>
      <c r="G8953" s="18" t="n">
        <v>0</v>
      </c>
      <c r="H8953" s="18" t="n">
        <v>15.23</v>
      </c>
      <c r="I8953" s="18" t="n">
        <f aca="false">((I8952 + G8953) - H8953)</f>
        <v>-5888.72</v>
      </c>
      <c r="J8953" s="18" t="n">
        <v>0</v>
      </c>
      <c r="K8953" s="19" t="n">
        <v>0</v>
      </c>
      <c r="L8953" s="17"/>
    </row>
    <row r="8954" s="11" customFormat="true" ht="10.95" hidden="false" customHeight="true" outlineLevel="0" collapsed="false">
      <c r="A8954" s="16" t="n">
        <v>45397</v>
      </c>
      <c r="B8954" s="17" t="s">
        <v>3751</v>
      </c>
      <c r="C8954" s="17" t="s">
        <v>3752</v>
      </c>
      <c r="D8954" s="17" t="s">
        <v>1407</v>
      </c>
      <c r="E8954" s="17" t="s">
        <v>3782</v>
      </c>
      <c r="F8954" s="17"/>
      <c r="G8954" s="18" t="n">
        <v>0</v>
      </c>
      <c r="H8954" s="18" t="n">
        <v>15.19</v>
      </c>
      <c r="I8954" s="18" t="n">
        <f aca="false">((I8953 + G8954) - H8954)</f>
        <v>-5903.91</v>
      </c>
      <c r="J8954" s="18" t="n">
        <v>0</v>
      </c>
      <c r="K8954" s="19" t="n">
        <v>0</v>
      </c>
      <c r="L8954" s="17"/>
    </row>
    <row r="8955" s="11" customFormat="true" ht="10.95" hidden="false" customHeight="true" outlineLevel="0" collapsed="false">
      <c r="A8955" s="16" t="n">
        <v>45397</v>
      </c>
      <c r="B8955" s="17" t="s">
        <v>3751</v>
      </c>
      <c r="C8955" s="17" t="s">
        <v>3752</v>
      </c>
      <c r="D8955" s="17" t="s">
        <v>1407</v>
      </c>
      <c r="E8955" s="17" t="s">
        <v>3736</v>
      </c>
      <c r="F8955" s="17"/>
      <c r="G8955" s="18" t="n">
        <v>0</v>
      </c>
      <c r="H8955" s="18" t="n">
        <v>1.53</v>
      </c>
      <c r="I8955" s="18" t="n">
        <f aca="false">((I8954 + G8955) - H8955)</f>
        <v>-5905.44</v>
      </c>
      <c r="J8955" s="18" t="n">
        <v>0</v>
      </c>
      <c r="K8955" s="19" t="n">
        <v>0</v>
      </c>
      <c r="L8955" s="17"/>
    </row>
    <row r="8956" s="11" customFormat="true" ht="10.95" hidden="false" customHeight="true" outlineLevel="0" collapsed="false">
      <c r="A8956" s="16" t="n">
        <v>45397</v>
      </c>
      <c r="B8956" s="17" t="s">
        <v>3751</v>
      </c>
      <c r="C8956" s="17" t="s">
        <v>3752</v>
      </c>
      <c r="D8956" s="17" t="s">
        <v>1407</v>
      </c>
      <c r="E8956" s="17" t="s">
        <v>3783</v>
      </c>
      <c r="F8956" s="17"/>
      <c r="G8956" s="18" t="n">
        <v>0</v>
      </c>
      <c r="H8956" s="18" t="n">
        <v>44.68</v>
      </c>
      <c r="I8956" s="18" t="n">
        <f aca="false">((I8955 + G8956) - H8956)</f>
        <v>-5950.12</v>
      </c>
      <c r="J8956" s="18" t="n">
        <v>0</v>
      </c>
      <c r="K8956" s="19" t="n">
        <v>0</v>
      </c>
      <c r="L8956" s="17"/>
    </row>
    <row r="8957" s="11" customFormat="true" ht="10.95" hidden="false" customHeight="true" outlineLevel="0" collapsed="false">
      <c r="A8957" s="16" t="n">
        <v>45397</v>
      </c>
      <c r="B8957" s="17" t="s">
        <v>3751</v>
      </c>
      <c r="C8957" s="17" t="s">
        <v>3752</v>
      </c>
      <c r="D8957" s="17" t="s">
        <v>1407</v>
      </c>
      <c r="E8957" s="17" t="s">
        <v>3776</v>
      </c>
      <c r="F8957" s="17"/>
      <c r="G8957" s="18" t="n">
        <v>0</v>
      </c>
      <c r="H8957" s="18" t="n">
        <v>183.23</v>
      </c>
      <c r="I8957" s="18" t="n">
        <f aca="false">((I8956 + G8957) - H8957)</f>
        <v>-6133.35</v>
      </c>
      <c r="J8957" s="18" t="n">
        <v>0</v>
      </c>
      <c r="K8957" s="19" t="n">
        <v>0</v>
      </c>
      <c r="L8957" s="17"/>
    </row>
    <row r="8958" s="11" customFormat="true" ht="10.95" hidden="false" customHeight="true" outlineLevel="0" collapsed="false">
      <c r="A8958" s="16" t="n">
        <v>45397</v>
      </c>
      <c r="B8958" s="17" t="s">
        <v>3751</v>
      </c>
      <c r="C8958" s="17" t="s">
        <v>3752</v>
      </c>
      <c r="D8958" s="17" t="s">
        <v>1407</v>
      </c>
      <c r="E8958" s="17" t="s">
        <v>3784</v>
      </c>
      <c r="F8958" s="17"/>
      <c r="G8958" s="18" t="n">
        <v>0</v>
      </c>
      <c r="H8958" s="18" t="n">
        <v>17.65</v>
      </c>
      <c r="I8958" s="18" t="n">
        <f aca="false">((I8957 + G8958) - H8958)</f>
        <v>-6151</v>
      </c>
      <c r="J8958" s="18" t="n">
        <v>0</v>
      </c>
      <c r="K8958" s="19" t="n">
        <v>0</v>
      </c>
      <c r="L8958" s="17"/>
    </row>
    <row r="8959" s="11" customFormat="true" ht="10.95" hidden="false" customHeight="true" outlineLevel="0" collapsed="false">
      <c r="A8959" s="16" t="n">
        <v>45397</v>
      </c>
      <c r="B8959" s="17" t="s">
        <v>3751</v>
      </c>
      <c r="C8959" s="17" t="s">
        <v>3752</v>
      </c>
      <c r="D8959" s="17" t="s">
        <v>1407</v>
      </c>
      <c r="E8959" s="17" t="s">
        <v>3785</v>
      </c>
      <c r="F8959" s="17"/>
      <c r="G8959" s="18" t="n">
        <v>0</v>
      </c>
      <c r="H8959" s="18" t="n">
        <v>29.71</v>
      </c>
      <c r="I8959" s="18" t="n">
        <f aca="false">((I8958 + G8959) - H8959)</f>
        <v>-6180.71</v>
      </c>
      <c r="J8959" s="18" t="n">
        <v>0</v>
      </c>
      <c r="K8959" s="19" t="n">
        <v>0</v>
      </c>
      <c r="L8959" s="17"/>
    </row>
    <row r="8960" s="11" customFormat="true" ht="10.95" hidden="false" customHeight="true" outlineLevel="0" collapsed="false">
      <c r="A8960" s="16" t="n">
        <v>45397</v>
      </c>
      <c r="B8960" s="17" t="s">
        <v>3751</v>
      </c>
      <c r="C8960" s="17" t="s">
        <v>3752</v>
      </c>
      <c r="D8960" s="17" t="s">
        <v>1407</v>
      </c>
      <c r="E8960" s="17" t="s">
        <v>3784</v>
      </c>
      <c r="F8960" s="17"/>
      <c r="G8960" s="18" t="n">
        <v>0</v>
      </c>
      <c r="H8960" s="18" t="n">
        <v>15.36</v>
      </c>
      <c r="I8960" s="18" t="n">
        <f aca="false">((I8959 + G8960) - H8960)</f>
        <v>-6196.07</v>
      </c>
      <c r="J8960" s="18" t="n">
        <v>0</v>
      </c>
      <c r="K8960" s="19" t="n">
        <v>0</v>
      </c>
      <c r="L8960" s="17"/>
    </row>
    <row r="8961" s="11" customFormat="true" ht="10.95" hidden="false" customHeight="true" outlineLevel="0" collapsed="false">
      <c r="A8961" s="16" t="n">
        <v>45397</v>
      </c>
      <c r="B8961" s="17" t="s">
        <v>3751</v>
      </c>
      <c r="C8961" s="17" t="s">
        <v>3752</v>
      </c>
      <c r="D8961" s="17" t="s">
        <v>1407</v>
      </c>
      <c r="E8961" s="17" t="s">
        <v>3786</v>
      </c>
      <c r="F8961" s="17"/>
      <c r="G8961" s="18" t="n">
        <v>0</v>
      </c>
      <c r="H8961" s="18" t="n">
        <v>30.86</v>
      </c>
      <c r="I8961" s="18" t="n">
        <f aca="false">((I8960 + G8961) - H8961)</f>
        <v>-6226.93</v>
      </c>
      <c r="J8961" s="18" t="n">
        <v>0</v>
      </c>
      <c r="K8961" s="19" t="n">
        <v>0</v>
      </c>
      <c r="L8961" s="17"/>
    </row>
    <row r="8962" s="11" customFormat="true" ht="10.95" hidden="false" customHeight="true" outlineLevel="0" collapsed="false">
      <c r="A8962" s="16" t="n">
        <v>45397</v>
      </c>
      <c r="B8962" s="17" t="s">
        <v>3751</v>
      </c>
      <c r="C8962" s="17" t="s">
        <v>3752</v>
      </c>
      <c r="D8962" s="17" t="s">
        <v>1407</v>
      </c>
      <c r="E8962" s="17" t="s">
        <v>3787</v>
      </c>
      <c r="F8962" s="17"/>
      <c r="G8962" s="18" t="n">
        <v>0</v>
      </c>
      <c r="H8962" s="18" t="n">
        <v>96.07</v>
      </c>
      <c r="I8962" s="18" t="n">
        <f aca="false">((I8961 + G8962) - H8962)</f>
        <v>-6323</v>
      </c>
      <c r="J8962" s="18" t="n">
        <v>0</v>
      </c>
      <c r="K8962" s="19" t="n">
        <v>0</v>
      </c>
      <c r="L8962" s="17"/>
    </row>
    <row r="8963" s="11" customFormat="true" ht="10.95" hidden="false" customHeight="true" outlineLevel="0" collapsed="false">
      <c r="A8963" s="16" t="n">
        <v>45397</v>
      </c>
      <c r="B8963" s="17" t="s">
        <v>3751</v>
      </c>
      <c r="C8963" s="17" t="s">
        <v>3752</v>
      </c>
      <c r="D8963" s="17" t="s">
        <v>1407</v>
      </c>
      <c r="E8963" s="17" t="s">
        <v>3787</v>
      </c>
      <c r="F8963" s="17"/>
      <c r="G8963" s="18" t="n">
        <v>0</v>
      </c>
      <c r="H8963" s="18" t="n">
        <v>36.45</v>
      </c>
      <c r="I8963" s="18" t="n">
        <f aca="false">((I8962 + G8963) - H8963)</f>
        <v>-6359.45</v>
      </c>
      <c r="J8963" s="18" t="n">
        <v>0</v>
      </c>
      <c r="K8963" s="19" t="n">
        <v>0</v>
      </c>
      <c r="L8963" s="17"/>
    </row>
    <row r="8964" s="11" customFormat="true" ht="10.95" hidden="false" customHeight="true" outlineLevel="0" collapsed="false">
      <c r="A8964" s="16" t="n">
        <v>45397</v>
      </c>
      <c r="B8964" s="17" t="s">
        <v>3751</v>
      </c>
      <c r="C8964" s="17" t="s">
        <v>3752</v>
      </c>
      <c r="D8964" s="17" t="s">
        <v>1407</v>
      </c>
      <c r="E8964" s="17" t="s">
        <v>3788</v>
      </c>
      <c r="F8964" s="17"/>
      <c r="G8964" s="18" t="n">
        <v>0</v>
      </c>
      <c r="H8964" s="18" t="n">
        <v>103.43</v>
      </c>
      <c r="I8964" s="18" t="n">
        <f aca="false">((I8963 + G8964) - H8964)</f>
        <v>-6462.88</v>
      </c>
      <c r="J8964" s="18" t="n">
        <v>0</v>
      </c>
      <c r="K8964" s="19" t="n">
        <v>0</v>
      </c>
      <c r="L8964" s="17"/>
    </row>
    <row r="8965" s="11" customFormat="true" ht="10.95" hidden="false" customHeight="true" outlineLevel="0" collapsed="false">
      <c r="A8965" s="16" t="n">
        <v>45397</v>
      </c>
      <c r="B8965" s="17" t="s">
        <v>3751</v>
      </c>
      <c r="C8965" s="17" t="s">
        <v>3752</v>
      </c>
      <c r="D8965" s="17" t="s">
        <v>1407</v>
      </c>
      <c r="E8965" s="17" t="s">
        <v>3788</v>
      </c>
      <c r="F8965" s="17"/>
      <c r="G8965" s="18" t="n">
        <v>0</v>
      </c>
      <c r="H8965" s="18" t="n">
        <v>31.28</v>
      </c>
      <c r="I8965" s="18" t="n">
        <f aca="false">((I8964 + G8965) - H8965)</f>
        <v>-6494.16</v>
      </c>
      <c r="J8965" s="18" t="n">
        <v>0</v>
      </c>
      <c r="K8965" s="19" t="n">
        <v>0</v>
      </c>
      <c r="L8965" s="17"/>
    </row>
    <row r="8966" s="11" customFormat="true" ht="10.95" hidden="false" customHeight="true" outlineLevel="0" collapsed="false">
      <c r="A8966" s="16" t="n">
        <v>45397</v>
      </c>
      <c r="B8966" s="17" t="s">
        <v>3751</v>
      </c>
      <c r="C8966" s="17" t="s">
        <v>3752</v>
      </c>
      <c r="D8966" s="17" t="s">
        <v>1407</v>
      </c>
      <c r="E8966" s="17" t="s">
        <v>3789</v>
      </c>
      <c r="F8966" s="17"/>
      <c r="G8966" s="18" t="n">
        <v>0</v>
      </c>
      <c r="H8966" s="18" t="n">
        <v>61.73</v>
      </c>
      <c r="I8966" s="18" t="n">
        <f aca="false">((I8965 + G8966) - H8966)</f>
        <v>-6555.89</v>
      </c>
      <c r="J8966" s="18" t="n">
        <v>0</v>
      </c>
      <c r="K8966" s="19" t="n">
        <v>0</v>
      </c>
      <c r="L8966" s="17"/>
    </row>
    <row r="8967" s="11" customFormat="true" ht="10.95" hidden="false" customHeight="true" outlineLevel="0" collapsed="false">
      <c r="A8967" s="16" t="n">
        <v>45398</v>
      </c>
      <c r="B8967" s="17" t="s">
        <v>3751</v>
      </c>
      <c r="C8967" s="17" t="s">
        <v>3752</v>
      </c>
      <c r="D8967" s="17" t="s">
        <v>3753</v>
      </c>
      <c r="E8967" s="17" t="s">
        <v>3754</v>
      </c>
      <c r="F8967" s="17" t="s">
        <v>3790</v>
      </c>
      <c r="G8967" s="18" t="n">
        <v>6153.72</v>
      </c>
      <c r="H8967" s="18" t="n">
        <v>0</v>
      </c>
      <c r="I8967" s="18" t="n">
        <f aca="false">((I8966 + G8967) - H8967)</f>
        <v>-402.170000000001</v>
      </c>
      <c r="J8967" s="18" t="n">
        <v>0</v>
      </c>
      <c r="K8967" s="19" t="n">
        <v>0</v>
      </c>
      <c r="L8967" s="17"/>
    </row>
    <row r="8968" s="11" customFormat="true" ht="10.95" hidden="false" customHeight="true" outlineLevel="0" collapsed="false">
      <c r="A8968" s="16" t="n">
        <v>45398</v>
      </c>
      <c r="B8968" s="17" t="s">
        <v>3751</v>
      </c>
      <c r="C8968" s="17" t="s">
        <v>3752</v>
      </c>
      <c r="D8968" s="17" t="s">
        <v>1407</v>
      </c>
      <c r="E8968" s="17" t="s">
        <v>3770</v>
      </c>
      <c r="F8968" s="17"/>
      <c r="G8968" s="18" t="n">
        <v>0</v>
      </c>
      <c r="H8968" s="18" t="n">
        <v>53.24</v>
      </c>
      <c r="I8968" s="18" t="n">
        <f aca="false">((I8967 + G8968) - H8968)</f>
        <v>-455.410000000001</v>
      </c>
      <c r="J8968" s="18" t="n">
        <v>0</v>
      </c>
      <c r="K8968" s="19" t="n">
        <v>0</v>
      </c>
      <c r="L8968" s="17"/>
    </row>
    <row r="8969" s="11" customFormat="true" ht="10.95" hidden="false" customHeight="true" outlineLevel="0" collapsed="false">
      <c r="A8969" s="16" t="n">
        <v>45398</v>
      </c>
      <c r="B8969" s="17" t="s">
        <v>3751</v>
      </c>
      <c r="C8969" s="17" t="s">
        <v>3752</v>
      </c>
      <c r="D8969" s="17" t="s">
        <v>1407</v>
      </c>
      <c r="E8969" s="17" t="s">
        <v>3791</v>
      </c>
      <c r="F8969" s="17"/>
      <c r="G8969" s="18" t="n">
        <v>0</v>
      </c>
      <c r="H8969" s="18" t="n">
        <v>22.08</v>
      </c>
      <c r="I8969" s="18" t="n">
        <f aca="false">((I8968 + G8969) - H8969)</f>
        <v>-477.490000000001</v>
      </c>
      <c r="J8969" s="18" t="n">
        <v>0</v>
      </c>
      <c r="K8969" s="19" t="n">
        <v>0</v>
      </c>
      <c r="L8969" s="17"/>
    </row>
    <row r="8970" s="11" customFormat="true" ht="10.95" hidden="false" customHeight="true" outlineLevel="0" collapsed="false">
      <c r="A8970" s="16" t="n">
        <v>45399</v>
      </c>
      <c r="B8970" s="17" t="s">
        <v>3751</v>
      </c>
      <c r="C8970" s="17" t="s">
        <v>3752</v>
      </c>
      <c r="D8970" s="17" t="s">
        <v>3753</v>
      </c>
      <c r="E8970" s="17" t="s">
        <v>3754</v>
      </c>
      <c r="F8970" s="17" t="s">
        <v>3792</v>
      </c>
      <c r="G8970" s="18" t="n">
        <v>811.19</v>
      </c>
      <c r="H8970" s="18" t="n">
        <v>0</v>
      </c>
      <c r="I8970" s="18" t="n">
        <f aca="false">((I8969 + G8970) - H8970)</f>
        <v>333.699999999999</v>
      </c>
      <c r="J8970" s="18" t="n">
        <v>0</v>
      </c>
      <c r="K8970" s="19" t="n">
        <v>0</v>
      </c>
      <c r="L8970" s="17"/>
    </row>
    <row r="8971" s="11" customFormat="true" ht="10.95" hidden="false" customHeight="true" outlineLevel="0" collapsed="false">
      <c r="A8971" s="16" t="n">
        <v>45399</v>
      </c>
      <c r="B8971" s="17" t="s">
        <v>3751</v>
      </c>
      <c r="C8971" s="17" t="s">
        <v>3752</v>
      </c>
      <c r="D8971" s="17" t="s">
        <v>1407</v>
      </c>
      <c r="E8971" s="17" t="s">
        <v>3736</v>
      </c>
      <c r="F8971" s="17"/>
      <c r="G8971" s="18" t="n">
        <v>0</v>
      </c>
      <c r="H8971" s="18" t="n">
        <v>51.51</v>
      </c>
      <c r="I8971" s="18" t="n">
        <f aca="false">((I8970 + G8971) - H8971)</f>
        <v>282.189999999999</v>
      </c>
      <c r="J8971" s="18" t="n">
        <v>0</v>
      </c>
      <c r="K8971" s="19" t="n">
        <v>0</v>
      </c>
      <c r="L8971" s="17"/>
    </row>
    <row r="8972" s="11" customFormat="true" ht="10.95" hidden="false" customHeight="true" outlineLevel="0" collapsed="false">
      <c r="A8972" s="16" t="n">
        <v>45399</v>
      </c>
      <c r="B8972" s="17" t="s">
        <v>3751</v>
      </c>
      <c r="C8972" s="17" t="s">
        <v>3752</v>
      </c>
      <c r="D8972" s="17" t="s">
        <v>1407</v>
      </c>
      <c r="E8972" s="17" t="s">
        <v>3778</v>
      </c>
      <c r="F8972" s="17"/>
      <c r="G8972" s="18" t="n">
        <v>0</v>
      </c>
      <c r="H8972" s="18" t="n">
        <v>23.44</v>
      </c>
      <c r="I8972" s="18" t="n">
        <f aca="false">((I8971 + G8972) - H8972)</f>
        <v>258.749999999999</v>
      </c>
      <c r="J8972" s="18" t="n">
        <v>0</v>
      </c>
      <c r="K8972" s="19" t="n">
        <v>0</v>
      </c>
      <c r="L8972" s="17"/>
    </row>
    <row r="8973" s="11" customFormat="true" ht="10.95" hidden="false" customHeight="true" outlineLevel="0" collapsed="false">
      <c r="A8973" s="16" t="n">
        <v>45401</v>
      </c>
      <c r="B8973" s="17" t="s">
        <v>3751</v>
      </c>
      <c r="C8973" s="17" t="s">
        <v>3752</v>
      </c>
      <c r="D8973" s="17" t="s">
        <v>1407</v>
      </c>
      <c r="E8973" s="17" t="s">
        <v>3774</v>
      </c>
      <c r="F8973" s="17"/>
      <c r="G8973" s="18" t="n">
        <v>0</v>
      </c>
      <c r="H8973" s="18" t="n">
        <v>31.15</v>
      </c>
      <c r="I8973" s="18" t="n">
        <f aca="false">((I8972 + G8973) - H8973)</f>
        <v>227.599999999999</v>
      </c>
      <c r="J8973" s="18" t="n">
        <v>0</v>
      </c>
      <c r="K8973" s="19" t="n">
        <v>0</v>
      </c>
      <c r="L8973" s="17"/>
    </row>
    <row r="8974" s="11" customFormat="true" ht="10.95" hidden="false" customHeight="true" outlineLevel="0" collapsed="false">
      <c r="A8974" s="16" t="n">
        <v>45401</v>
      </c>
      <c r="B8974" s="17" t="s">
        <v>3751</v>
      </c>
      <c r="C8974" s="17" t="s">
        <v>3752</v>
      </c>
      <c r="D8974" s="17" t="s">
        <v>1407</v>
      </c>
      <c r="E8974" s="17" t="s">
        <v>3736</v>
      </c>
      <c r="F8974" s="17"/>
      <c r="G8974" s="18" t="n">
        <v>0</v>
      </c>
      <c r="H8974" s="18" t="n">
        <v>19.19</v>
      </c>
      <c r="I8974" s="18" t="n">
        <f aca="false">((I8973 + G8974) - H8974)</f>
        <v>208.409999999999</v>
      </c>
      <c r="J8974" s="18" t="n">
        <v>0</v>
      </c>
      <c r="K8974" s="19" t="n">
        <v>0</v>
      </c>
      <c r="L8974" s="17"/>
    </row>
    <row r="8975" s="11" customFormat="true" ht="10.95" hidden="false" customHeight="true" outlineLevel="0" collapsed="false">
      <c r="A8975" s="16" t="n">
        <v>45402</v>
      </c>
      <c r="B8975" s="17" t="s">
        <v>3751</v>
      </c>
      <c r="C8975" s="17" t="s">
        <v>3752</v>
      </c>
      <c r="D8975" s="17" t="s">
        <v>2903</v>
      </c>
      <c r="E8975" s="17" t="s">
        <v>3098</v>
      </c>
      <c r="F8975" s="17" t="s">
        <v>2552</v>
      </c>
      <c r="G8975" s="18" t="n">
        <v>0</v>
      </c>
      <c r="H8975" s="18" t="n">
        <v>70.11</v>
      </c>
      <c r="I8975" s="18" t="n">
        <f aca="false">((I8974 + G8975) - H8975)</f>
        <v>138.299999999999</v>
      </c>
      <c r="J8975" s="18" t="n">
        <v>0</v>
      </c>
      <c r="K8975" s="19" t="n">
        <v>0</v>
      </c>
      <c r="L8975" s="17"/>
    </row>
    <row r="8976" s="11" customFormat="true" ht="10.95" hidden="false" customHeight="true" outlineLevel="0" collapsed="false">
      <c r="A8976" s="16" t="n">
        <v>45404</v>
      </c>
      <c r="B8976" s="17" t="s">
        <v>3751</v>
      </c>
      <c r="C8976" s="17" t="s">
        <v>3752</v>
      </c>
      <c r="D8976" s="17" t="s">
        <v>1407</v>
      </c>
      <c r="E8976" s="17" t="s">
        <v>3736</v>
      </c>
      <c r="F8976" s="17"/>
      <c r="G8976" s="18" t="n">
        <v>0</v>
      </c>
      <c r="H8976" s="18" t="n">
        <v>64.13</v>
      </c>
      <c r="I8976" s="18" t="n">
        <f aca="false">((I8975 + G8976) - H8976)</f>
        <v>74.1699999999991</v>
      </c>
      <c r="J8976" s="18" t="n">
        <v>0</v>
      </c>
      <c r="K8976" s="19" t="n">
        <v>0</v>
      </c>
      <c r="L8976" s="17"/>
    </row>
    <row r="8977" s="11" customFormat="true" ht="10.95" hidden="false" customHeight="true" outlineLevel="0" collapsed="false">
      <c r="A8977" s="16" t="n">
        <v>45404</v>
      </c>
      <c r="B8977" s="17" t="s">
        <v>3751</v>
      </c>
      <c r="C8977" s="17" t="s">
        <v>3752</v>
      </c>
      <c r="D8977" s="17" t="s">
        <v>1407</v>
      </c>
      <c r="E8977" s="17" t="s">
        <v>1536</v>
      </c>
      <c r="F8977" s="17"/>
      <c r="G8977" s="18" t="n">
        <v>0</v>
      </c>
      <c r="H8977" s="18" t="n">
        <v>290.46</v>
      </c>
      <c r="I8977" s="18" t="n">
        <f aca="false">((I8976 + G8977) - H8977)</f>
        <v>-216.290000000001</v>
      </c>
      <c r="J8977" s="18" t="n">
        <v>0</v>
      </c>
      <c r="K8977" s="19" t="n">
        <v>0</v>
      </c>
      <c r="L8977" s="17"/>
    </row>
    <row r="8978" s="11" customFormat="true" ht="10.95" hidden="false" customHeight="true" outlineLevel="0" collapsed="false">
      <c r="A8978" s="16" t="n">
        <v>45405</v>
      </c>
      <c r="B8978" s="17" t="s">
        <v>3751</v>
      </c>
      <c r="C8978" s="17" t="s">
        <v>3752</v>
      </c>
      <c r="D8978" s="17" t="s">
        <v>1407</v>
      </c>
      <c r="E8978" s="17" t="s">
        <v>3736</v>
      </c>
      <c r="F8978" s="17"/>
      <c r="G8978" s="18" t="n">
        <v>0</v>
      </c>
      <c r="H8978" s="18" t="n">
        <v>27.33</v>
      </c>
      <c r="I8978" s="18" t="n">
        <f aca="false">((I8977 + G8978) - H8978)</f>
        <v>-243.620000000001</v>
      </c>
      <c r="J8978" s="18" t="n">
        <v>0</v>
      </c>
      <c r="K8978" s="19" t="n">
        <v>0</v>
      </c>
      <c r="L8978" s="17"/>
    </row>
    <row r="8979" s="11" customFormat="true" ht="10.95" hidden="false" customHeight="true" outlineLevel="0" collapsed="false">
      <c r="A8979" s="16" t="n">
        <v>45406</v>
      </c>
      <c r="B8979" s="17" t="s">
        <v>3751</v>
      </c>
      <c r="C8979" s="17" t="s">
        <v>3752</v>
      </c>
      <c r="D8979" s="17" t="s">
        <v>3753</v>
      </c>
      <c r="E8979" s="17" t="s">
        <v>3754</v>
      </c>
      <c r="F8979" s="17" t="s">
        <v>3758</v>
      </c>
      <c r="G8979" s="18" t="n">
        <v>618.71</v>
      </c>
      <c r="H8979" s="18" t="n">
        <v>0</v>
      </c>
      <c r="I8979" s="18" t="n">
        <f aca="false">((I8978 + G8979) - H8979)</f>
        <v>375.089999999999</v>
      </c>
      <c r="J8979" s="18" t="n">
        <v>0</v>
      </c>
      <c r="K8979" s="19" t="n">
        <v>0</v>
      </c>
      <c r="L8979" s="17"/>
    </row>
    <row r="8980" s="11" customFormat="true" ht="10.95" hidden="false" customHeight="true" outlineLevel="0" collapsed="false">
      <c r="A8980" s="16" t="n">
        <v>45408</v>
      </c>
      <c r="B8980" s="17" t="s">
        <v>3751</v>
      </c>
      <c r="C8980" s="17" t="s">
        <v>3752</v>
      </c>
      <c r="D8980" s="17" t="s">
        <v>1407</v>
      </c>
      <c r="E8980" s="17" t="s">
        <v>3736</v>
      </c>
      <c r="F8980" s="17"/>
      <c r="G8980" s="18" t="n">
        <v>0</v>
      </c>
      <c r="H8980" s="18" t="n">
        <v>20.22</v>
      </c>
      <c r="I8980" s="18" t="n">
        <f aca="false">((I8979 + G8980) - H8980)</f>
        <v>354.869999999999</v>
      </c>
      <c r="J8980" s="18" t="n">
        <v>0</v>
      </c>
      <c r="K8980" s="19" t="n">
        <v>0</v>
      </c>
      <c r="L8980" s="17"/>
    </row>
    <row r="8981" s="11" customFormat="true" ht="10.95" hidden="false" customHeight="true" outlineLevel="0" collapsed="false">
      <c r="A8981" s="16" t="n">
        <v>45409</v>
      </c>
      <c r="B8981" s="17" t="s">
        <v>3751</v>
      </c>
      <c r="C8981" s="17" t="s">
        <v>3752</v>
      </c>
      <c r="D8981" s="17" t="s">
        <v>1407</v>
      </c>
      <c r="E8981" s="17" t="s">
        <v>3736</v>
      </c>
      <c r="F8981" s="17"/>
      <c r="G8981" s="18" t="n">
        <v>0</v>
      </c>
      <c r="H8981" s="18" t="n">
        <v>22.22</v>
      </c>
      <c r="I8981" s="18" t="n">
        <f aca="false">((I8980 + G8981) - H8981)</f>
        <v>332.649999999999</v>
      </c>
      <c r="J8981" s="18" t="n">
        <v>0</v>
      </c>
      <c r="K8981" s="19" t="n">
        <v>0</v>
      </c>
      <c r="L8981" s="17"/>
    </row>
    <row r="8982" s="11" customFormat="true" ht="10.95" hidden="false" customHeight="true" outlineLevel="0" collapsed="false">
      <c r="A8982" s="16" t="n">
        <v>45411</v>
      </c>
      <c r="B8982" s="17" t="s">
        <v>3751</v>
      </c>
      <c r="C8982" s="17" t="s">
        <v>3752</v>
      </c>
      <c r="D8982" s="17" t="s">
        <v>1407</v>
      </c>
      <c r="E8982" s="17" t="s">
        <v>3776</v>
      </c>
      <c r="F8982" s="17"/>
      <c r="G8982" s="18" t="n">
        <v>0</v>
      </c>
      <c r="H8982" s="18" t="n">
        <v>653.69</v>
      </c>
      <c r="I8982" s="18" t="n">
        <f aca="false">((I8981 + G8982) - H8982)</f>
        <v>-321.040000000001</v>
      </c>
      <c r="J8982" s="18" t="n">
        <v>0</v>
      </c>
      <c r="K8982" s="19" t="n">
        <v>0</v>
      </c>
      <c r="L8982" s="17"/>
    </row>
    <row r="8983" s="11" customFormat="true" ht="10.95" hidden="false" customHeight="true" outlineLevel="0" collapsed="false">
      <c r="A8983" s="16" t="n">
        <v>45411</v>
      </c>
      <c r="B8983" s="17" t="s">
        <v>3751</v>
      </c>
      <c r="C8983" s="17" t="s">
        <v>3752</v>
      </c>
      <c r="D8983" s="17" t="s">
        <v>2903</v>
      </c>
      <c r="E8983" s="17" t="s">
        <v>3725</v>
      </c>
      <c r="F8983" s="17" t="s">
        <v>2503</v>
      </c>
      <c r="G8983" s="18" t="n">
        <v>0</v>
      </c>
      <c r="H8983" s="18" t="n">
        <v>594</v>
      </c>
      <c r="I8983" s="18" t="n">
        <f aca="false">((I8982 + G8983) - H8983)</f>
        <v>-915.040000000001</v>
      </c>
      <c r="J8983" s="18" t="n">
        <v>0</v>
      </c>
      <c r="K8983" s="19" t="n">
        <v>0</v>
      </c>
      <c r="L8983" s="17"/>
    </row>
    <row r="8984" s="11" customFormat="true" ht="10.95" hidden="false" customHeight="true" outlineLevel="0" collapsed="false">
      <c r="A8984" s="16" t="n">
        <v>45412</v>
      </c>
      <c r="B8984" s="17" t="s">
        <v>3751</v>
      </c>
      <c r="C8984" s="17" t="s">
        <v>3752</v>
      </c>
      <c r="D8984" s="17" t="s">
        <v>1407</v>
      </c>
      <c r="E8984" s="17" t="s">
        <v>3771</v>
      </c>
      <c r="F8984" s="17"/>
      <c r="G8984" s="18" t="n">
        <v>0</v>
      </c>
      <c r="H8984" s="18" t="n">
        <v>23.06</v>
      </c>
      <c r="I8984" s="18" t="n">
        <f aca="false">((I8983 + G8984) - H8984)</f>
        <v>-938.100000000001</v>
      </c>
      <c r="J8984" s="18" t="n">
        <v>0</v>
      </c>
      <c r="K8984" s="19" t="n">
        <v>0</v>
      </c>
      <c r="L8984" s="17"/>
    </row>
    <row r="8985" s="11" customFormat="true" ht="10.95" hidden="false" customHeight="true" outlineLevel="0" collapsed="false">
      <c r="A8985" s="16" t="n">
        <v>45413</v>
      </c>
      <c r="B8985" s="17" t="s">
        <v>3751</v>
      </c>
      <c r="C8985" s="17" t="s">
        <v>3752</v>
      </c>
      <c r="D8985" s="17" t="s">
        <v>1407</v>
      </c>
      <c r="E8985" s="17" t="s">
        <v>3736</v>
      </c>
      <c r="F8985" s="17"/>
      <c r="G8985" s="18" t="n">
        <v>0</v>
      </c>
      <c r="H8985" s="18" t="n">
        <v>22.39</v>
      </c>
      <c r="I8985" s="18" t="n">
        <f aca="false">((I8984 + G8985) - H8985)</f>
        <v>-960.490000000001</v>
      </c>
      <c r="J8985" s="18" t="n">
        <v>0</v>
      </c>
      <c r="K8985" s="19" t="n">
        <v>0</v>
      </c>
      <c r="L8985" s="17"/>
    </row>
    <row r="8986" s="11" customFormat="true" ht="10.95" hidden="false" customHeight="true" outlineLevel="0" collapsed="false">
      <c r="A8986" s="16" t="n">
        <v>45414</v>
      </c>
      <c r="B8986" s="17" t="s">
        <v>3751</v>
      </c>
      <c r="C8986" s="17" t="s">
        <v>3752</v>
      </c>
      <c r="D8986" s="17" t="s">
        <v>2903</v>
      </c>
      <c r="E8986" s="17" t="s">
        <v>3008</v>
      </c>
      <c r="F8986" s="17" t="s">
        <v>1635</v>
      </c>
      <c r="G8986" s="18" t="n">
        <v>0</v>
      </c>
      <c r="H8986" s="18" t="n">
        <v>241.95</v>
      </c>
      <c r="I8986" s="18" t="n">
        <f aca="false">((I8985 + G8986) - H8986)</f>
        <v>-1202.44</v>
      </c>
      <c r="J8986" s="18" t="n">
        <v>0</v>
      </c>
      <c r="K8986" s="19" t="n">
        <v>0</v>
      </c>
      <c r="L8986" s="17"/>
    </row>
    <row r="8987" s="11" customFormat="true" ht="10.95" hidden="false" customHeight="true" outlineLevel="0" collapsed="false">
      <c r="A8987" s="16" t="n">
        <v>45414</v>
      </c>
      <c r="B8987" s="17" t="s">
        <v>3751</v>
      </c>
      <c r="C8987" s="17" t="s">
        <v>3752</v>
      </c>
      <c r="D8987" s="17" t="s">
        <v>1407</v>
      </c>
      <c r="E8987" s="17" t="s">
        <v>3680</v>
      </c>
      <c r="F8987" s="17"/>
      <c r="G8987" s="18" t="n">
        <v>0</v>
      </c>
      <c r="H8987" s="18" t="n">
        <v>183.29</v>
      </c>
      <c r="I8987" s="18" t="n">
        <f aca="false">((I8986 + G8987) - H8987)</f>
        <v>-1385.73</v>
      </c>
      <c r="J8987" s="18" t="n">
        <v>0</v>
      </c>
      <c r="K8987" s="19" t="n">
        <v>0</v>
      </c>
      <c r="L8987" s="17"/>
    </row>
    <row r="8988" s="11" customFormat="true" ht="10.95" hidden="false" customHeight="true" outlineLevel="0" collapsed="false">
      <c r="A8988" s="16" t="n">
        <v>45415</v>
      </c>
      <c r="B8988" s="17" t="s">
        <v>3751</v>
      </c>
      <c r="C8988" s="17" t="s">
        <v>3752</v>
      </c>
      <c r="D8988" s="17" t="s">
        <v>1407</v>
      </c>
      <c r="E8988" s="17" t="s">
        <v>3736</v>
      </c>
      <c r="F8988" s="17"/>
      <c r="G8988" s="18" t="n">
        <v>0</v>
      </c>
      <c r="H8988" s="18" t="n">
        <v>41.51</v>
      </c>
      <c r="I8988" s="18" t="n">
        <f aca="false">((I8987 + G8988) - H8988)</f>
        <v>-1427.24</v>
      </c>
      <c r="J8988" s="18" t="n">
        <v>0</v>
      </c>
      <c r="K8988" s="19" t="n">
        <v>0</v>
      </c>
      <c r="L8988" s="17"/>
    </row>
    <row r="8989" s="11" customFormat="true" ht="10.95" hidden="false" customHeight="true" outlineLevel="0" collapsed="false">
      <c r="A8989" s="16" t="n">
        <v>45415</v>
      </c>
      <c r="B8989" s="17" t="s">
        <v>3751</v>
      </c>
      <c r="C8989" s="17" t="s">
        <v>3752</v>
      </c>
      <c r="D8989" s="17" t="s">
        <v>1407</v>
      </c>
      <c r="E8989" s="17" t="s">
        <v>3736</v>
      </c>
      <c r="F8989" s="17"/>
      <c r="G8989" s="18" t="n">
        <v>0</v>
      </c>
      <c r="H8989" s="18" t="n">
        <v>17.44</v>
      </c>
      <c r="I8989" s="18" t="n">
        <f aca="false">((I8988 + G8989) - H8989)</f>
        <v>-1444.68</v>
      </c>
      <c r="J8989" s="18" t="n">
        <v>0</v>
      </c>
      <c r="K8989" s="19" t="n">
        <v>0</v>
      </c>
      <c r="L8989" s="17"/>
    </row>
    <row r="8990" s="11" customFormat="true" ht="10.95" hidden="false" customHeight="true" outlineLevel="0" collapsed="false">
      <c r="A8990" s="16" t="n">
        <v>45415</v>
      </c>
      <c r="B8990" s="17" t="s">
        <v>3751</v>
      </c>
      <c r="C8990" s="17" t="s">
        <v>3752</v>
      </c>
      <c r="D8990" s="17" t="s">
        <v>2903</v>
      </c>
      <c r="E8990" s="17" t="s">
        <v>2904</v>
      </c>
      <c r="F8990" s="17" t="s">
        <v>1555</v>
      </c>
      <c r="G8990" s="18" t="n">
        <v>0</v>
      </c>
      <c r="H8990" s="18" t="n">
        <v>3964.99</v>
      </c>
      <c r="I8990" s="18" t="n">
        <f aca="false">((I8989 + G8990) - H8990)</f>
        <v>-5409.67</v>
      </c>
      <c r="J8990" s="18" t="n">
        <v>0</v>
      </c>
      <c r="K8990" s="19" t="n">
        <v>0</v>
      </c>
      <c r="L8990" s="17"/>
    </row>
    <row r="8991" s="11" customFormat="true" ht="10.95" hidden="false" customHeight="true" outlineLevel="0" collapsed="false">
      <c r="A8991" s="16" t="n">
        <v>45418</v>
      </c>
      <c r="B8991" s="17" t="s">
        <v>3751</v>
      </c>
      <c r="C8991" s="17" t="s">
        <v>3752</v>
      </c>
      <c r="D8991" s="17" t="s">
        <v>1407</v>
      </c>
      <c r="E8991" s="17" t="s">
        <v>3772</v>
      </c>
      <c r="F8991" s="17"/>
      <c r="G8991" s="18" t="n">
        <v>0</v>
      </c>
      <c r="H8991" s="18" t="n">
        <v>43.71</v>
      </c>
      <c r="I8991" s="18" t="n">
        <f aca="false">((I8990 + G8991) - H8991)</f>
        <v>-5453.38</v>
      </c>
      <c r="J8991" s="18" t="n">
        <v>0</v>
      </c>
      <c r="K8991" s="19" t="n">
        <v>0</v>
      </c>
      <c r="L8991" s="17"/>
    </row>
    <row r="8992" s="11" customFormat="true" ht="10.95" hidden="false" customHeight="true" outlineLevel="0" collapsed="false">
      <c r="A8992" s="16" t="n">
        <v>45419</v>
      </c>
      <c r="B8992" s="17" t="s">
        <v>3751</v>
      </c>
      <c r="C8992" s="17" t="s">
        <v>3752</v>
      </c>
      <c r="D8992" s="17" t="s">
        <v>1407</v>
      </c>
      <c r="E8992" s="17" t="s">
        <v>3756</v>
      </c>
      <c r="F8992" s="17"/>
      <c r="G8992" s="18" t="n">
        <v>0</v>
      </c>
      <c r="H8992" s="18" t="n">
        <v>16.53</v>
      </c>
      <c r="I8992" s="18" t="n">
        <f aca="false">((I8991 + G8992) - H8992)</f>
        <v>-5469.91</v>
      </c>
      <c r="J8992" s="18" t="n">
        <v>0</v>
      </c>
      <c r="K8992" s="19" t="n">
        <v>0</v>
      </c>
      <c r="L8992" s="17"/>
    </row>
    <row r="8993" s="11" customFormat="true" ht="10.95" hidden="false" customHeight="true" outlineLevel="0" collapsed="false">
      <c r="A8993" s="16" t="n">
        <v>45420</v>
      </c>
      <c r="B8993" s="17" t="s">
        <v>3751</v>
      </c>
      <c r="C8993" s="17" t="s">
        <v>3752</v>
      </c>
      <c r="D8993" s="17" t="s">
        <v>1407</v>
      </c>
      <c r="E8993" s="17" t="s">
        <v>3736</v>
      </c>
      <c r="F8993" s="17"/>
      <c r="G8993" s="18" t="n">
        <v>0</v>
      </c>
      <c r="H8993" s="18" t="n">
        <v>25.21</v>
      </c>
      <c r="I8993" s="18" t="n">
        <f aca="false">((I8992 + G8993) - H8993)</f>
        <v>-5495.12</v>
      </c>
      <c r="J8993" s="18" t="n">
        <v>0</v>
      </c>
      <c r="K8993" s="19" t="n">
        <v>0</v>
      </c>
      <c r="L8993" s="17"/>
    </row>
    <row r="8994" s="11" customFormat="true" ht="10.95" hidden="false" customHeight="true" outlineLevel="0" collapsed="false">
      <c r="A8994" s="16" t="n">
        <v>45420</v>
      </c>
      <c r="B8994" s="17" t="s">
        <v>3751</v>
      </c>
      <c r="C8994" s="17" t="s">
        <v>3752</v>
      </c>
      <c r="D8994" s="17" t="s">
        <v>1407</v>
      </c>
      <c r="E8994" s="17" t="s">
        <v>3736</v>
      </c>
      <c r="F8994" s="17"/>
      <c r="G8994" s="18" t="n">
        <v>0</v>
      </c>
      <c r="H8994" s="18" t="n">
        <v>4.56</v>
      </c>
      <c r="I8994" s="18" t="n">
        <f aca="false">((I8993 + G8994) - H8994)</f>
        <v>-5499.68</v>
      </c>
      <c r="J8994" s="18" t="n">
        <v>0</v>
      </c>
      <c r="K8994" s="19" t="n">
        <v>0</v>
      </c>
      <c r="L8994" s="17"/>
    </row>
    <row r="8995" s="11" customFormat="true" ht="10.95" hidden="false" customHeight="true" outlineLevel="0" collapsed="false">
      <c r="A8995" s="16" t="n">
        <v>45422</v>
      </c>
      <c r="B8995" s="17" t="s">
        <v>3751</v>
      </c>
      <c r="C8995" s="17" t="s">
        <v>3752</v>
      </c>
      <c r="D8995" s="17" t="s">
        <v>1407</v>
      </c>
      <c r="E8995" s="17" t="s">
        <v>3771</v>
      </c>
      <c r="F8995" s="17"/>
      <c r="G8995" s="18" t="n">
        <v>0</v>
      </c>
      <c r="H8995" s="18" t="n">
        <v>20.02</v>
      </c>
      <c r="I8995" s="18" t="n">
        <f aca="false">((I8994 + G8995) - H8995)</f>
        <v>-5519.7</v>
      </c>
      <c r="J8995" s="18" t="n">
        <v>0</v>
      </c>
      <c r="K8995" s="19" t="n">
        <v>0</v>
      </c>
      <c r="L8995" s="17"/>
    </row>
    <row r="8996" s="11" customFormat="true" ht="10.95" hidden="false" customHeight="true" outlineLevel="0" collapsed="false">
      <c r="A8996" s="16" t="n">
        <v>45425</v>
      </c>
      <c r="B8996" s="17" t="s">
        <v>3751</v>
      </c>
      <c r="C8996" s="17" t="s">
        <v>3752</v>
      </c>
      <c r="D8996" s="17" t="s">
        <v>1407</v>
      </c>
      <c r="E8996" s="17" t="s">
        <v>3736</v>
      </c>
      <c r="F8996" s="17"/>
      <c r="G8996" s="18" t="n">
        <v>0</v>
      </c>
      <c r="H8996" s="18" t="n">
        <v>1.49</v>
      </c>
      <c r="I8996" s="18" t="n">
        <f aca="false">((I8995 + G8996) - H8996)</f>
        <v>-5521.19</v>
      </c>
      <c r="J8996" s="18" t="n">
        <v>0</v>
      </c>
      <c r="K8996" s="19" t="n">
        <v>0</v>
      </c>
      <c r="L8996" s="17"/>
    </row>
    <row r="8997" s="11" customFormat="true" ht="10.95" hidden="false" customHeight="true" outlineLevel="0" collapsed="false">
      <c r="A8997" s="16" t="n">
        <v>45425</v>
      </c>
      <c r="B8997" s="17" t="s">
        <v>3751</v>
      </c>
      <c r="C8997" s="17" t="s">
        <v>3752</v>
      </c>
      <c r="D8997" s="17" t="s">
        <v>1407</v>
      </c>
      <c r="E8997" s="17" t="s">
        <v>3771</v>
      </c>
      <c r="F8997" s="17"/>
      <c r="G8997" s="18" t="n">
        <v>0</v>
      </c>
      <c r="H8997" s="18" t="n">
        <v>19.96</v>
      </c>
      <c r="I8997" s="18" t="n">
        <f aca="false">((I8996 + G8997) - H8997)</f>
        <v>-5541.15</v>
      </c>
      <c r="J8997" s="18" t="n">
        <v>0</v>
      </c>
      <c r="K8997" s="19" t="n">
        <v>0</v>
      </c>
      <c r="L8997" s="17"/>
    </row>
    <row r="8998" s="11" customFormat="true" ht="10.95" hidden="false" customHeight="true" outlineLevel="0" collapsed="false">
      <c r="A8998" s="16" t="n">
        <v>45425</v>
      </c>
      <c r="B8998" s="17" t="s">
        <v>3751</v>
      </c>
      <c r="C8998" s="17" t="s">
        <v>3752</v>
      </c>
      <c r="D8998" s="17" t="s">
        <v>1407</v>
      </c>
      <c r="E8998" s="17" t="s">
        <v>3736</v>
      </c>
      <c r="F8998" s="17"/>
      <c r="G8998" s="18" t="n">
        <v>0</v>
      </c>
      <c r="H8998" s="18" t="n">
        <v>4.52</v>
      </c>
      <c r="I8998" s="18" t="n">
        <f aca="false">((I8997 + G8998) - H8998)</f>
        <v>-5545.67</v>
      </c>
      <c r="J8998" s="18" t="n">
        <v>0</v>
      </c>
      <c r="K8998" s="19" t="n">
        <v>0</v>
      </c>
      <c r="L8998" s="17"/>
    </row>
    <row r="8999" s="11" customFormat="true" ht="10.95" hidden="false" customHeight="true" outlineLevel="0" collapsed="false">
      <c r="A8999" s="16" t="n">
        <v>45425</v>
      </c>
      <c r="B8999" s="17" t="s">
        <v>3751</v>
      </c>
      <c r="C8999" s="17" t="s">
        <v>3752</v>
      </c>
      <c r="D8999" s="17" t="s">
        <v>1407</v>
      </c>
      <c r="E8999" s="17" t="s">
        <v>3736</v>
      </c>
      <c r="F8999" s="17"/>
      <c r="G8999" s="18" t="n">
        <v>0</v>
      </c>
      <c r="H8999" s="18" t="n">
        <v>41.65</v>
      </c>
      <c r="I8999" s="18" t="n">
        <f aca="false">((I8998 + G8999) - H8999)</f>
        <v>-5587.32</v>
      </c>
      <c r="J8999" s="18" t="n">
        <v>0</v>
      </c>
      <c r="K8999" s="19" t="n">
        <v>0</v>
      </c>
      <c r="L8999" s="17"/>
    </row>
    <row r="9000" s="11" customFormat="true" ht="10.95" hidden="false" customHeight="true" outlineLevel="0" collapsed="false">
      <c r="A9000" s="16" t="n">
        <v>45426</v>
      </c>
      <c r="B9000" s="17" t="s">
        <v>3751</v>
      </c>
      <c r="C9000" s="17" t="s">
        <v>3752</v>
      </c>
      <c r="D9000" s="17" t="s">
        <v>1407</v>
      </c>
      <c r="E9000" s="17" t="s">
        <v>3776</v>
      </c>
      <c r="F9000" s="17"/>
      <c r="G9000" s="18" t="n">
        <v>0</v>
      </c>
      <c r="H9000" s="18" t="n">
        <v>179.38</v>
      </c>
      <c r="I9000" s="18" t="n">
        <f aca="false">((I8999 + G9000) - H9000)</f>
        <v>-5766.7</v>
      </c>
      <c r="J9000" s="18" t="n">
        <v>0</v>
      </c>
      <c r="K9000" s="19" t="n">
        <v>0</v>
      </c>
      <c r="L9000" s="17"/>
    </row>
    <row r="9001" s="11" customFormat="true" ht="10.95" hidden="false" customHeight="true" outlineLevel="0" collapsed="false">
      <c r="A9001" s="16" t="n">
        <v>45426</v>
      </c>
      <c r="B9001" s="17" t="s">
        <v>3751</v>
      </c>
      <c r="C9001" s="17" t="s">
        <v>3752</v>
      </c>
      <c r="D9001" s="17" t="s">
        <v>1407</v>
      </c>
      <c r="E9001" s="17" t="s">
        <v>3786</v>
      </c>
      <c r="F9001" s="17"/>
      <c r="G9001" s="18" t="n">
        <v>0</v>
      </c>
      <c r="H9001" s="18" t="n">
        <v>2.95</v>
      </c>
      <c r="I9001" s="18" t="n">
        <f aca="false">((I9000 + G9001) - H9001)</f>
        <v>-5769.65</v>
      </c>
      <c r="J9001" s="18" t="n">
        <v>0</v>
      </c>
      <c r="K9001" s="19" t="n">
        <v>0</v>
      </c>
      <c r="L9001" s="17"/>
    </row>
    <row r="9002" s="11" customFormat="true" ht="10.95" hidden="false" customHeight="true" outlineLevel="0" collapsed="false">
      <c r="A9002" s="16" t="n">
        <v>45429</v>
      </c>
      <c r="B9002" s="17" t="s">
        <v>3751</v>
      </c>
      <c r="C9002" s="17" t="s">
        <v>3752</v>
      </c>
      <c r="D9002" s="17" t="s">
        <v>1407</v>
      </c>
      <c r="E9002" s="17" t="s">
        <v>3770</v>
      </c>
      <c r="F9002" s="17"/>
      <c r="G9002" s="18" t="n">
        <v>0</v>
      </c>
      <c r="H9002" s="18" t="n">
        <v>51.29</v>
      </c>
      <c r="I9002" s="18" t="n">
        <f aca="false">((I9001 + G9002) - H9002)</f>
        <v>-5820.94</v>
      </c>
      <c r="J9002" s="18" t="n">
        <v>0</v>
      </c>
      <c r="K9002" s="19" t="n">
        <v>0</v>
      </c>
      <c r="L9002" s="17"/>
    </row>
    <row r="9003" s="11" customFormat="true" ht="10.95" hidden="false" customHeight="true" outlineLevel="0" collapsed="false">
      <c r="A9003" s="16" t="n">
        <v>45430</v>
      </c>
      <c r="B9003" s="17" t="s">
        <v>3751</v>
      </c>
      <c r="C9003" s="17" t="s">
        <v>3752</v>
      </c>
      <c r="D9003" s="17" t="s">
        <v>1407</v>
      </c>
      <c r="E9003" s="17" t="s">
        <v>3736</v>
      </c>
      <c r="F9003" s="17"/>
      <c r="G9003" s="18" t="n">
        <v>0</v>
      </c>
      <c r="H9003" s="18" t="n">
        <v>18.4</v>
      </c>
      <c r="I9003" s="18" t="n">
        <f aca="false">((I9002 + G9003) - H9003)</f>
        <v>-5839.34</v>
      </c>
      <c r="J9003" s="18" t="n">
        <v>0</v>
      </c>
      <c r="K9003" s="19" t="n">
        <v>0</v>
      </c>
      <c r="L9003" s="17"/>
    </row>
    <row r="9004" s="11" customFormat="true" ht="10.95" hidden="false" customHeight="true" outlineLevel="0" collapsed="false">
      <c r="A9004" s="16" t="n">
        <v>45430</v>
      </c>
      <c r="B9004" s="17" t="s">
        <v>3751</v>
      </c>
      <c r="C9004" s="17" t="s">
        <v>3752</v>
      </c>
      <c r="D9004" s="17" t="s">
        <v>1407</v>
      </c>
      <c r="E9004" s="17" t="s">
        <v>3736</v>
      </c>
      <c r="F9004" s="17"/>
      <c r="G9004" s="18" t="n">
        <v>0</v>
      </c>
      <c r="H9004" s="18" t="n">
        <v>5.75</v>
      </c>
      <c r="I9004" s="18" t="n">
        <f aca="false">((I9003 + G9004) - H9004)</f>
        <v>-5845.09</v>
      </c>
      <c r="J9004" s="18" t="n">
        <v>0</v>
      </c>
      <c r="K9004" s="19" t="n">
        <v>0</v>
      </c>
      <c r="L9004" s="17"/>
    </row>
    <row r="9005" s="11" customFormat="true" ht="10.95" hidden="false" customHeight="true" outlineLevel="0" collapsed="false">
      <c r="A9005" s="16" t="n">
        <v>45432</v>
      </c>
      <c r="B9005" s="17" t="s">
        <v>3751</v>
      </c>
      <c r="C9005" s="17" t="s">
        <v>3752</v>
      </c>
      <c r="D9005" s="17" t="s">
        <v>3753</v>
      </c>
      <c r="E9005" s="17" t="s">
        <v>3754</v>
      </c>
      <c r="F9005" s="17" t="s">
        <v>3758</v>
      </c>
      <c r="G9005" s="18" t="n">
        <v>6196.43</v>
      </c>
      <c r="H9005" s="18" t="n">
        <v>0</v>
      </c>
      <c r="I9005" s="18" t="n">
        <f aca="false">((I9004 + G9005) - H9005)</f>
        <v>351.34</v>
      </c>
      <c r="J9005" s="18" t="n">
        <v>0</v>
      </c>
      <c r="K9005" s="19" t="n">
        <v>0</v>
      </c>
      <c r="L9005" s="17"/>
    </row>
    <row r="9006" s="11" customFormat="true" ht="10.95" hidden="false" customHeight="true" outlineLevel="0" collapsed="false">
      <c r="A9006" s="16" t="n">
        <v>45432</v>
      </c>
      <c r="B9006" s="17" t="s">
        <v>3751</v>
      </c>
      <c r="C9006" s="17" t="s">
        <v>3752</v>
      </c>
      <c r="D9006" s="17" t="s">
        <v>1407</v>
      </c>
      <c r="E9006" s="17" t="s">
        <v>3715</v>
      </c>
      <c r="F9006" s="17"/>
      <c r="G9006" s="18" t="n">
        <v>0</v>
      </c>
      <c r="H9006" s="18" t="n">
        <v>67.5</v>
      </c>
      <c r="I9006" s="18" t="n">
        <f aca="false">((I9005 + G9006) - H9006)</f>
        <v>283.84</v>
      </c>
      <c r="J9006" s="18" t="n">
        <v>0</v>
      </c>
      <c r="K9006" s="19" t="n">
        <v>0</v>
      </c>
      <c r="L9006" s="17"/>
    </row>
    <row r="9007" s="11" customFormat="true" ht="10.95" hidden="false" customHeight="true" outlineLevel="0" collapsed="false">
      <c r="A9007" s="16" t="n">
        <v>45432</v>
      </c>
      <c r="B9007" s="17" t="s">
        <v>3751</v>
      </c>
      <c r="C9007" s="17" t="s">
        <v>3752</v>
      </c>
      <c r="D9007" s="17" t="s">
        <v>1407</v>
      </c>
      <c r="E9007" s="17" t="s">
        <v>3774</v>
      </c>
      <c r="F9007" s="17"/>
      <c r="G9007" s="18" t="n">
        <v>0</v>
      </c>
      <c r="H9007" s="18" t="n">
        <v>30</v>
      </c>
      <c r="I9007" s="18" t="n">
        <f aca="false">((I9006 + G9007) - H9007)</f>
        <v>253.84</v>
      </c>
      <c r="J9007" s="18" t="n">
        <v>0</v>
      </c>
      <c r="K9007" s="19" t="n">
        <v>0</v>
      </c>
      <c r="L9007" s="17"/>
    </row>
    <row r="9008" s="11" customFormat="true" ht="10.95" hidden="false" customHeight="true" outlineLevel="0" collapsed="false">
      <c r="A9008" s="16" t="n">
        <v>45433</v>
      </c>
      <c r="B9008" s="17" t="s">
        <v>3751</v>
      </c>
      <c r="C9008" s="17" t="s">
        <v>3752</v>
      </c>
      <c r="D9008" s="17" t="s">
        <v>1407</v>
      </c>
      <c r="E9008" s="17" t="s">
        <v>3736</v>
      </c>
      <c r="F9008" s="17"/>
      <c r="G9008" s="18" t="n">
        <v>0</v>
      </c>
      <c r="H9008" s="18" t="n">
        <v>61.89</v>
      </c>
      <c r="I9008" s="18" t="n">
        <f aca="false">((I9007 + G9008) - H9008)</f>
        <v>191.95</v>
      </c>
      <c r="J9008" s="18" t="n">
        <v>0</v>
      </c>
      <c r="K9008" s="19" t="n">
        <v>0</v>
      </c>
      <c r="L9008" s="17"/>
    </row>
    <row r="9009" s="11" customFormat="true" ht="10.95" hidden="false" customHeight="true" outlineLevel="0" collapsed="false">
      <c r="A9009" s="16" t="n">
        <v>45434</v>
      </c>
      <c r="B9009" s="17" t="s">
        <v>3751</v>
      </c>
      <c r="C9009" s="17" t="s">
        <v>3752</v>
      </c>
      <c r="D9009" s="17" t="s">
        <v>1407</v>
      </c>
      <c r="E9009" s="17" t="s">
        <v>3736</v>
      </c>
      <c r="F9009" s="17"/>
      <c r="G9009" s="18" t="n">
        <v>0</v>
      </c>
      <c r="H9009" s="18" t="n">
        <v>41.5</v>
      </c>
      <c r="I9009" s="18" t="n">
        <f aca="false">((I9008 + G9009) - H9009)</f>
        <v>150.45</v>
      </c>
      <c r="J9009" s="18" t="n">
        <v>0</v>
      </c>
      <c r="K9009" s="19" t="n">
        <v>0</v>
      </c>
      <c r="L9009" s="17"/>
    </row>
    <row r="9010" s="11" customFormat="true" ht="10.95" hidden="false" customHeight="true" outlineLevel="0" collapsed="false">
      <c r="A9010" s="16" t="n">
        <v>45434</v>
      </c>
      <c r="B9010" s="17" t="s">
        <v>3751</v>
      </c>
      <c r="C9010" s="17" t="s">
        <v>3752</v>
      </c>
      <c r="D9010" s="17" t="s">
        <v>1407</v>
      </c>
      <c r="E9010" s="17" t="s">
        <v>1536</v>
      </c>
      <c r="F9010" s="17"/>
      <c r="G9010" s="18" t="n">
        <v>0</v>
      </c>
      <c r="H9010" s="18" t="n">
        <v>281.37</v>
      </c>
      <c r="I9010" s="18" t="n">
        <f aca="false">((I9009 + G9010) - H9010)</f>
        <v>-130.92</v>
      </c>
      <c r="J9010" s="18" t="n">
        <v>0</v>
      </c>
      <c r="K9010" s="19" t="n">
        <v>0</v>
      </c>
      <c r="L9010" s="17"/>
    </row>
    <row r="9011" s="11" customFormat="true" ht="10.95" hidden="false" customHeight="true" outlineLevel="0" collapsed="false">
      <c r="A9011" s="16" t="n">
        <v>45437</v>
      </c>
      <c r="B9011" s="17" t="s">
        <v>3751</v>
      </c>
      <c r="C9011" s="17" t="s">
        <v>3752</v>
      </c>
      <c r="D9011" s="17" t="s">
        <v>1407</v>
      </c>
      <c r="E9011" s="17" t="s">
        <v>3736</v>
      </c>
      <c r="F9011" s="17"/>
      <c r="G9011" s="18" t="n">
        <v>0</v>
      </c>
      <c r="H9011" s="18" t="n">
        <v>19.96</v>
      </c>
      <c r="I9011" s="18" t="n">
        <f aca="false">((I9010 + G9011) - H9011)</f>
        <v>-150.88</v>
      </c>
      <c r="J9011" s="18" t="n">
        <v>0</v>
      </c>
      <c r="K9011" s="19" t="n">
        <v>0</v>
      </c>
      <c r="L9011" s="17"/>
    </row>
    <row r="9012" s="11" customFormat="true" ht="10.95" hidden="false" customHeight="true" outlineLevel="0" collapsed="false">
      <c r="A9012" s="16" t="n">
        <v>45437</v>
      </c>
      <c r="B9012" s="17" t="s">
        <v>3751</v>
      </c>
      <c r="C9012" s="17" t="s">
        <v>3752</v>
      </c>
      <c r="D9012" s="17" t="s">
        <v>1407</v>
      </c>
      <c r="E9012" s="17" t="s">
        <v>3736</v>
      </c>
      <c r="F9012" s="17"/>
      <c r="G9012" s="18" t="n">
        <v>0</v>
      </c>
      <c r="H9012" s="18" t="n">
        <v>26.61</v>
      </c>
      <c r="I9012" s="18" t="n">
        <f aca="false">((I9011 + G9012) - H9012)</f>
        <v>-177.49</v>
      </c>
      <c r="J9012" s="18" t="n">
        <v>0</v>
      </c>
      <c r="K9012" s="19" t="n">
        <v>0</v>
      </c>
      <c r="L9012" s="17"/>
    </row>
    <row r="9013" s="11" customFormat="true" ht="10.95" hidden="false" customHeight="true" outlineLevel="0" collapsed="false">
      <c r="A9013" s="16" t="n">
        <v>45439</v>
      </c>
      <c r="B9013" s="17" t="s">
        <v>3751</v>
      </c>
      <c r="C9013" s="17" t="s">
        <v>3752</v>
      </c>
      <c r="D9013" s="17" t="s">
        <v>1407</v>
      </c>
      <c r="E9013" s="17" t="s">
        <v>3736</v>
      </c>
      <c r="F9013" s="17"/>
      <c r="G9013" s="18" t="n">
        <v>0</v>
      </c>
      <c r="H9013" s="18" t="n">
        <v>21.83</v>
      </c>
      <c r="I9013" s="18" t="n">
        <f aca="false">((I9012 + G9013) - H9013)</f>
        <v>-199.32</v>
      </c>
      <c r="J9013" s="18" t="n">
        <v>0</v>
      </c>
      <c r="K9013" s="19" t="n">
        <v>0</v>
      </c>
      <c r="L9013" s="17"/>
    </row>
    <row r="9014" s="11" customFormat="true" ht="10.95" hidden="false" customHeight="true" outlineLevel="0" collapsed="false">
      <c r="A9014" s="16" t="n">
        <v>45441</v>
      </c>
      <c r="B9014" s="17" t="s">
        <v>3751</v>
      </c>
      <c r="C9014" s="17" t="s">
        <v>3752</v>
      </c>
      <c r="D9014" s="17" t="s">
        <v>1407</v>
      </c>
      <c r="E9014" s="17" t="s">
        <v>3776</v>
      </c>
      <c r="F9014" s="17"/>
      <c r="G9014" s="18" t="n">
        <v>0</v>
      </c>
      <c r="H9014" s="18" t="n">
        <v>646.33</v>
      </c>
      <c r="I9014" s="18" t="n">
        <f aca="false">((I9013 + G9014) - H9014)</f>
        <v>-845.65</v>
      </c>
      <c r="J9014" s="18" t="n">
        <v>0</v>
      </c>
      <c r="K9014" s="19" t="n">
        <v>0</v>
      </c>
      <c r="L9014" s="17"/>
    </row>
    <row r="9015" s="11" customFormat="true" ht="10.95" hidden="false" customHeight="true" outlineLevel="0" collapsed="false">
      <c r="A9015" s="16" t="n">
        <v>45441</v>
      </c>
      <c r="B9015" s="17" t="s">
        <v>3751</v>
      </c>
      <c r="C9015" s="17" t="s">
        <v>3752</v>
      </c>
      <c r="D9015" s="17" t="s">
        <v>2903</v>
      </c>
      <c r="E9015" s="17" t="s">
        <v>3663</v>
      </c>
      <c r="F9015" s="17" t="s">
        <v>1764</v>
      </c>
      <c r="G9015" s="18" t="n">
        <v>0</v>
      </c>
      <c r="H9015" s="18" t="n">
        <v>1320</v>
      </c>
      <c r="I9015" s="18" t="n">
        <f aca="false">((I9014 + G9015) - H9015)</f>
        <v>-2165.65</v>
      </c>
      <c r="J9015" s="18" t="n">
        <v>0</v>
      </c>
      <c r="K9015" s="19" t="n">
        <v>0</v>
      </c>
      <c r="L9015" s="17"/>
    </row>
    <row r="9016" s="11" customFormat="true" ht="10.95" hidden="false" customHeight="true" outlineLevel="0" collapsed="false">
      <c r="A9016" s="16" t="n">
        <v>45442</v>
      </c>
      <c r="B9016" s="17" t="s">
        <v>3751</v>
      </c>
      <c r="C9016" s="17" t="s">
        <v>3752</v>
      </c>
      <c r="D9016" s="17" t="s">
        <v>1407</v>
      </c>
      <c r="E9016" s="17" t="s">
        <v>3771</v>
      </c>
      <c r="F9016" s="17"/>
      <c r="G9016" s="18" t="n">
        <v>0</v>
      </c>
      <c r="H9016" s="18" t="n">
        <v>22.6</v>
      </c>
      <c r="I9016" s="18" t="n">
        <f aca="false">((I9015 + G9016) - H9016)</f>
        <v>-2188.25</v>
      </c>
      <c r="J9016" s="18" t="n">
        <v>0</v>
      </c>
      <c r="K9016" s="19" t="n">
        <v>0</v>
      </c>
      <c r="L9016" s="17"/>
    </row>
    <row r="9017" s="11" customFormat="true" ht="10.95" hidden="false" customHeight="true" outlineLevel="0" collapsed="false">
      <c r="A9017" s="16" t="n">
        <v>45444</v>
      </c>
      <c r="B9017" s="17" t="s">
        <v>3751</v>
      </c>
      <c r="C9017" s="17" t="s">
        <v>3752</v>
      </c>
      <c r="D9017" s="17" t="s">
        <v>1407</v>
      </c>
      <c r="E9017" s="17" t="s">
        <v>3736</v>
      </c>
      <c r="F9017" s="17"/>
      <c r="G9017" s="18" t="n">
        <v>0</v>
      </c>
      <c r="H9017" s="18" t="n">
        <v>41.44</v>
      </c>
      <c r="I9017" s="18" t="n">
        <f aca="false">((I9016 + G9017) - H9017)</f>
        <v>-2229.69</v>
      </c>
      <c r="J9017" s="18" t="n">
        <v>0</v>
      </c>
      <c r="K9017" s="19" t="n">
        <v>0</v>
      </c>
      <c r="L9017" s="17"/>
    </row>
    <row r="9018" s="11" customFormat="true" ht="10.95" hidden="false" customHeight="true" outlineLevel="0" collapsed="false">
      <c r="A9018" s="16" t="n">
        <v>45444</v>
      </c>
      <c r="B9018" s="17" t="s">
        <v>3751</v>
      </c>
      <c r="C9018" s="17" t="s">
        <v>3752</v>
      </c>
      <c r="D9018" s="17" t="s">
        <v>1407</v>
      </c>
      <c r="E9018" s="17" t="s">
        <v>3736</v>
      </c>
      <c r="F9018" s="17"/>
      <c r="G9018" s="18" t="n">
        <v>0</v>
      </c>
      <c r="H9018" s="18" t="n">
        <v>21.82</v>
      </c>
      <c r="I9018" s="18" t="n">
        <f aca="false">((I9017 + G9018) - H9018)</f>
        <v>-2251.51</v>
      </c>
      <c r="J9018" s="18" t="n">
        <v>0</v>
      </c>
      <c r="K9018" s="19" t="n">
        <v>0</v>
      </c>
      <c r="L9018" s="17"/>
    </row>
    <row r="9019" s="11" customFormat="true" ht="10.95" hidden="false" customHeight="true" outlineLevel="0" collapsed="false">
      <c r="A9019" s="16" t="n">
        <v>45446</v>
      </c>
      <c r="B9019" s="17" t="s">
        <v>3751</v>
      </c>
      <c r="C9019" s="17" t="s">
        <v>3752</v>
      </c>
      <c r="D9019" s="17" t="s">
        <v>3753</v>
      </c>
      <c r="E9019" s="17" t="s">
        <v>3754</v>
      </c>
      <c r="F9019" s="17" t="s">
        <v>3793</v>
      </c>
      <c r="G9019" s="18" t="n">
        <v>1500.65</v>
      </c>
      <c r="H9019" s="18" t="n">
        <v>0</v>
      </c>
      <c r="I9019" s="18" t="n">
        <f aca="false">((I9018 + G9019) - H9019)</f>
        <v>-750.86</v>
      </c>
      <c r="J9019" s="18" t="n">
        <v>0</v>
      </c>
      <c r="K9019" s="19" t="n">
        <v>0</v>
      </c>
      <c r="L9019" s="17"/>
    </row>
    <row r="9020" s="11" customFormat="true" ht="10.95" hidden="false" customHeight="true" outlineLevel="0" collapsed="false">
      <c r="A9020" s="16" t="n">
        <v>45446</v>
      </c>
      <c r="B9020" s="17" t="s">
        <v>3751</v>
      </c>
      <c r="C9020" s="17" t="s">
        <v>3752</v>
      </c>
      <c r="D9020" s="17" t="s">
        <v>2903</v>
      </c>
      <c r="E9020" s="17" t="s">
        <v>2963</v>
      </c>
      <c r="F9020" s="17" t="s">
        <v>2739</v>
      </c>
      <c r="G9020" s="18" t="n">
        <v>0</v>
      </c>
      <c r="H9020" s="18" t="n">
        <v>179.76</v>
      </c>
      <c r="I9020" s="18" t="n">
        <f aca="false">((I9019 + G9020) - H9020)</f>
        <v>-930.62</v>
      </c>
      <c r="J9020" s="18" t="n">
        <v>0</v>
      </c>
      <c r="K9020" s="19" t="n">
        <v>0</v>
      </c>
      <c r="L9020" s="17"/>
    </row>
    <row r="9021" s="11" customFormat="true" ht="10.95" hidden="false" customHeight="true" outlineLevel="0" collapsed="false">
      <c r="A9021" s="16" t="n">
        <v>45447</v>
      </c>
      <c r="B9021" s="17" t="s">
        <v>3751</v>
      </c>
      <c r="C9021" s="17" t="s">
        <v>3752</v>
      </c>
      <c r="D9021" s="17" t="s">
        <v>1407</v>
      </c>
      <c r="E9021" s="17" t="s">
        <v>3681</v>
      </c>
      <c r="F9021" s="17"/>
      <c r="G9021" s="18" t="n">
        <v>0</v>
      </c>
      <c r="H9021" s="18" t="n">
        <v>237.83</v>
      </c>
      <c r="I9021" s="18" t="n">
        <f aca="false">((I9020 + G9021) - H9021)</f>
        <v>-1168.45</v>
      </c>
      <c r="J9021" s="18" t="n">
        <v>0</v>
      </c>
      <c r="K9021" s="19" t="n">
        <v>0</v>
      </c>
      <c r="L9021" s="17"/>
    </row>
    <row r="9022" s="11" customFormat="true" ht="10.95" hidden="false" customHeight="true" outlineLevel="0" collapsed="false">
      <c r="A9022" s="16" t="n">
        <v>45448</v>
      </c>
      <c r="B9022" s="17" t="s">
        <v>3751</v>
      </c>
      <c r="C9022" s="17" t="s">
        <v>3752</v>
      </c>
      <c r="D9022" s="17" t="s">
        <v>1407</v>
      </c>
      <c r="E9022" s="17" t="s">
        <v>3736</v>
      </c>
      <c r="F9022" s="17"/>
      <c r="G9022" s="18" t="n">
        <v>0</v>
      </c>
      <c r="H9022" s="18" t="n">
        <v>17.41</v>
      </c>
      <c r="I9022" s="18" t="n">
        <f aca="false">((I9021 + G9022) - H9022)</f>
        <v>-1185.86</v>
      </c>
      <c r="J9022" s="18" t="n">
        <v>0</v>
      </c>
      <c r="K9022" s="19" t="n">
        <v>0</v>
      </c>
      <c r="L9022" s="17"/>
    </row>
    <row r="9023" s="11" customFormat="true" ht="10.95" hidden="false" customHeight="true" outlineLevel="0" collapsed="false">
      <c r="A9023" s="16" t="n">
        <v>45448</v>
      </c>
      <c r="B9023" s="17" t="s">
        <v>3751</v>
      </c>
      <c r="C9023" s="17" t="s">
        <v>3752</v>
      </c>
      <c r="D9023" s="17" t="s">
        <v>1407</v>
      </c>
      <c r="E9023" s="17" t="s">
        <v>3772</v>
      </c>
      <c r="F9023" s="17"/>
      <c r="G9023" s="18" t="n">
        <v>0</v>
      </c>
      <c r="H9023" s="18" t="n">
        <v>43.61</v>
      </c>
      <c r="I9023" s="18" t="n">
        <f aca="false">((I9022 + G9023) - H9023)</f>
        <v>-1229.47</v>
      </c>
      <c r="J9023" s="18" t="n">
        <v>0</v>
      </c>
      <c r="K9023" s="19" t="n">
        <v>0</v>
      </c>
      <c r="L9023" s="17"/>
    </row>
    <row r="9024" s="11" customFormat="true" ht="10.95" hidden="false" customHeight="true" outlineLevel="0" collapsed="false">
      <c r="A9024" s="16" t="n">
        <v>45448</v>
      </c>
      <c r="B9024" s="17" t="s">
        <v>3751</v>
      </c>
      <c r="C9024" s="17" t="s">
        <v>3752</v>
      </c>
      <c r="D9024" s="17" t="s">
        <v>2903</v>
      </c>
      <c r="E9024" s="17" t="s">
        <v>2904</v>
      </c>
      <c r="F9024" s="17" t="s">
        <v>1569</v>
      </c>
      <c r="G9024" s="18" t="n">
        <v>0</v>
      </c>
      <c r="H9024" s="18" t="n">
        <v>3753.66</v>
      </c>
      <c r="I9024" s="18" t="n">
        <f aca="false">((I9023 + G9024) - H9024)</f>
        <v>-4983.13</v>
      </c>
      <c r="J9024" s="18" t="n">
        <v>0</v>
      </c>
      <c r="K9024" s="19" t="n">
        <v>0</v>
      </c>
      <c r="L9024" s="17"/>
    </row>
    <row r="9025" s="11" customFormat="true" ht="10.95" hidden="false" customHeight="true" outlineLevel="0" collapsed="false">
      <c r="A9025" s="16" t="n">
        <v>45450</v>
      </c>
      <c r="B9025" s="17" t="s">
        <v>3751</v>
      </c>
      <c r="C9025" s="17" t="s">
        <v>3752</v>
      </c>
      <c r="D9025" s="17" t="s">
        <v>1407</v>
      </c>
      <c r="E9025" s="17" t="s">
        <v>3736</v>
      </c>
      <c r="F9025" s="17"/>
      <c r="G9025" s="18" t="n">
        <v>0</v>
      </c>
      <c r="H9025" s="18" t="n">
        <v>4.52</v>
      </c>
      <c r="I9025" s="18" t="n">
        <f aca="false">((I9024 + G9025) - H9025)</f>
        <v>-4987.65</v>
      </c>
      <c r="J9025" s="18" t="n">
        <v>0</v>
      </c>
      <c r="K9025" s="19" t="n">
        <v>0</v>
      </c>
      <c r="L9025" s="17"/>
    </row>
    <row r="9026" s="11" customFormat="true" ht="10.95" hidden="false" customHeight="true" outlineLevel="0" collapsed="false">
      <c r="A9026" s="16" t="n">
        <v>45450</v>
      </c>
      <c r="B9026" s="17" t="s">
        <v>3751</v>
      </c>
      <c r="C9026" s="17" t="s">
        <v>3752</v>
      </c>
      <c r="D9026" s="17" t="s">
        <v>1407</v>
      </c>
      <c r="E9026" s="17" t="s">
        <v>3756</v>
      </c>
      <c r="F9026" s="17"/>
      <c r="G9026" s="18" t="n">
        <v>0</v>
      </c>
      <c r="H9026" s="18" t="n">
        <v>16.68</v>
      </c>
      <c r="I9026" s="18" t="n">
        <f aca="false">((I9025 + G9026) - H9026)</f>
        <v>-5004.33</v>
      </c>
      <c r="J9026" s="18" t="n">
        <v>0</v>
      </c>
      <c r="K9026" s="19" t="n">
        <v>0</v>
      </c>
      <c r="L9026" s="17"/>
    </row>
    <row r="9027" s="11" customFormat="true" ht="10.95" hidden="false" customHeight="true" outlineLevel="0" collapsed="false">
      <c r="A9027" s="16" t="n">
        <v>45453</v>
      </c>
      <c r="B9027" s="17" t="s">
        <v>3751</v>
      </c>
      <c r="C9027" s="17" t="s">
        <v>3752</v>
      </c>
      <c r="D9027" s="17" t="s">
        <v>1407</v>
      </c>
      <c r="E9027" s="17" t="s">
        <v>3771</v>
      </c>
      <c r="F9027" s="17"/>
      <c r="G9027" s="18" t="n">
        <v>0</v>
      </c>
      <c r="H9027" s="18" t="n">
        <v>20.07</v>
      </c>
      <c r="I9027" s="18" t="n">
        <f aca="false">((I9026 + G9027) - H9027)</f>
        <v>-5024.4</v>
      </c>
      <c r="J9027" s="18" t="n">
        <v>0</v>
      </c>
      <c r="K9027" s="19" t="n">
        <v>0</v>
      </c>
      <c r="L9027" s="17"/>
    </row>
    <row r="9028" s="11" customFormat="true" ht="10.95" hidden="false" customHeight="true" outlineLevel="0" collapsed="false">
      <c r="A9028" s="16" t="n">
        <v>45455</v>
      </c>
      <c r="B9028" s="17" t="s">
        <v>3751</v>
      </c>
      <c r="C9028" s="17" t="s">
        <v>3752</v>
      </c>
      <c r="D9028" s="17" t="s">
        <v>1407</v>
      </c>
      <c r="E9028" s="17" t="s">
        <v>3633</v>
      </c>
      <c r="F9028" s="17"/>
      <c r="G9028" s="18" t="n">
        <v>0</v>
      </c>
      <c r="H9028" s="18" t="n">
        <v>11.21</v>
      </c>
      <c r="I9028" s="18" t="n">
        <f aca="false">((I9027 + G9028) - H9028)</f>
        <v>-5035.61</v>
      </c>
      <c r="J9028" s="18" t="n">
        <v>0</v>
      </c>
      <c r="K9028" s="19" t="n">
        <v>0</v>
      </c>
      <c r="L9028" s="17"/>
    </row>
    <row r="9029" s="11" customFormat="true" ht="10.95" hidden="false" customHeight="true" outlineLevel="0" collapsed="false">
      <c r="A9029" s="16" t="n">
        <v>45455</v>
      </c>
      <c r="B9029" s="17" t="s">
        <v>3751</v>
      </c>
      <c r="C9029" s="17" t="s">
        <v>3752</v>
      </c>
      <c r="D9029" s="17" t="s">
        <v>2903</v>
      </c>
      <c r="E9029" s="17" t="s">
        <v>2908</v>
      </c>
      <c r="F9029" s="17" t="s">
        <v>2563</v>
      </c>
      <c r="G9029" s="18" t="n">
        <v>0</v>
      </c>
      <c r="H9029" s="18" t="n">
        <v>448.41</v>
      </c>
      <c r="I9029" s="18" t="n">
        <f aca="false">((I9028 + G9029) - H9029)</f>
        <v>-5484.02</v>
      </c>
      <c r="J9029" s="18" t="n">
        <v>0</v>
      </c>
      <c r="K9029" s="19" t="n">
        <v>0</v>
      </c>
      <c r="L9029" s="17"/>
    </row>
    <row r="9030" s="11" customFormat="true" ht="10.95" hidden="false" customHeight="true" outlineLevel="0" collapsed="false">
      <c r="A9030" s="16" t="n">
        <v>45455</v>
      </c>
      <c r="B9030" s="17" t="s">
        <v>3751</v>
      </c>
      <c r="C9030" s="17" t="s">
        <v>3752</v>
      </c>
      <c r="D9030" s="17" t="s">
        <v>1407</v>
      </c>
      <c r="E9030" s="17" t="s">
        <v>3736</v>
      </c>
      <c r="F9030" s="17"/>
      <c r="G9030" s="18" t="n">
        <v>0</v>
      </c>
      <c r="H9030" s="18" t="n">
        <v>4.47</v>
      </c>
      <c r="I9030" s="18" t="n">
        <f aca="false">((I9029 + G9030) - H9030)</f>
        <v>-5488.49</v>
      </c>
      <c r="J9030" s="18" t="n">
        <v>0</v>
      </c>
      <c r="K9030" s="19" t="n">
        <v>0</v>
      </c>
      <c r="L9030" s="17"/>
    </row>
    <row r="9031" s="11" customFormat="true" ht="10.95" hidden="false" customHeight="true" outlineLevel="0" collapsed="false">
      <c r="A9031" s="16" t="n">
        <v>45456</v>
      </c>
      <c r="B9031" s="17" t="s">
        <v>3751</v>
      </c>
      <c r="C9031" s="17" t="s">
        <v>3752</v>
      </c>
      <c r="D9031" s="17" t="s">
        <v>1407</v>
      </c>
      <c r="E9031" s="17" t="s">
        <v>3736</v>
      </c>
      <c r="F9031" s="17"/>
      <c r="G9031" s="18" t="n">
        <v>0</v>
      </c>
      <c r="H9031" s="18" t="n">
        <v>1.49</v>
      </c>
      <c r="I9031" s="18" t="n">
        <f aca="false">((I9030 + G9031) - H9031)</f>
        <v>-5489.98</v>
      </c>
      <c r="J9031" s="18" t="n">
        <v>0</v>
      </c>
      <c r="K9031" s="19" t="n">
        <v>0</v>
      </c>
      <c r="L9031" s="17"/>
    </row>
    <row r="9032" s="11" customFormat="true" ht="10.95" hidden="false" customHeight="true" outlineLevel="0" collapsed="false">
      <c r="A9032" s="16" t="n">
        <v>45456</v>
      </c>
      <c r="B9032" s="17" t="s">
        <v>3751</v>
      </c>
      <c r="C9032" s="17" t="s">
        <v>3752</v>
      </c>
      <c r="D9032" s="17" t="s">
        <v>1407</v>
      </c>
      <c r="E9032" s="17" t="s">
        <v>3771</v>
      </c>
      <c r="F9032" s="17"/>
      <c r="G9032" s="18" t="n">
        <v>0</v>
      </c>
      <c r="H9032" s="18" t="n">
        <v>19.85</v>
      </c>
      <c r="I9032" s="18" t="n">
        <f aca="false">((I9031 + G9032) - H9032)</f>
        <v>-5509.83</v>
      </c>
      <c r="J9032" s="18" t="n">
        <v>0</v>
      </c>
      <c r="K9032" s="19" t="n">
        <v>0</v>
      </c>
      <c r="L9032" s="17"/>
    </row>
    <row r="9033" s="11" customFormat="true" ht="10.95" hidden="false" customHeight="true" outlineLevel="0" collapsed="false">
      <c r="A9033" s="16" t="n">
        <v>45456</v>
      </c>
      <c r="B9033" s="17" t="s">
        <v>3751</v>
      </c>
      <c r="C9033" s="17" t="s">
        <v>3752</v>
      </c>
      <c r="D9033" s="17" t="s">
        <v>1407</v>
      </c>
      <c r="E9033" s="17" t="s">
        <v>3785</v>
      </c>
      <c r="F9033" s="17"/>
      <c r="G9033" s="18" t="n">
        <v>0</v>
      </c>
      <c r="H9033" s="18" t="n">
        <v>476.6</v>
      </c>
      <c r="I9033" s="18" t="n">
        <f aca="false">((I9032 + G9033) - H9033)</f>
        <v>-5986.43</v>
      </c>
      <c r="J9033" s="18" t="n">
        <v>0</v>
      </c>
      <c r="K9033" s="19" t="n">
        <v>0</v>
      </c>
      <c r="L9033" s="17"/>
    </row>
    <row r="9034" s="11" customFormat="true" ht="10.95" hidden="false" customHeight="true" outlineLevel="0" collapsed="false">
      <c r="A9034" s="16" t="n">
        <v>45456</v>
      </c>
      <c r="B9034" s="17" t="s">
        <v>3751</v>
      </c>
      <c r="C9034" s="17" t="s">
        <v>3752</v>
      </c>
      <c r="D9034" s="17" t="s">
        <v>1407</v>
      </c>
      <c r="E9034" s="17" t="s">
        <v>3785</v>
      </c>
      <c r="F9034" s="17"/>
      <c r="G9034" s="18" t="n">
        <v>0</v>
      </c>
      <c r="H9034" s="18" t="n">
        <v>16.92</v>
      </c>
      <c r="I9034" s="18" t="n">
        <f aca="false">((I9033 + G9034) - H9034)</f>
        <v>-6003.35</v>
      </c>
      <c r="J9034" s="18" t="n">
        <v>0</v>
      </c>
      <c r="K9034" s="19" t="n">
        <v>0</v>
      </c>
      <c r="L9034" s="17"/>
    </row>
    <row r="9035" s="11" customFormat="true" ht="10.95" hidden="false" customHeight="true" outlineLevel="0" collapsed="false">
      <c r="A9035" s="16" t="n">
        <v>45457</v>
      </c>
      <c r="B9035" s="17" t="s">
        <v>3751</v>
      </c>
      <c r="C9035" s="17" t="s">
        <v>3752</v>
      </c>
      <c r="D9035" s="17" t="s">
        <v>1407</v>
      </c>
      <c r="E9035" s="17" t="s">
        <v>3776</v>
      </c>
      <c r="F9035" s="17"/>
      <c r="G9035" s="18" t="n">
        <v>0</v>
      </c>
      <c r="H9035" s="18" t="n">
        <v>179.66</v>
      </c>
      <c r="I9035" s="18" t="n">
        <f aca="false">((I9034 + G9035) - H9035)</f>
        <v>-6183.01</v>
      </c>
      <c r="J9035" s="18" t="n">
        <v>0</v>
      </c>
      <c r="K9035" s="19" t="n">
        <v>0</v>
      </c>
      <c r="L9035" s="17"/>
    </row>
    <row r="9036" s="11" customFormat="true" ht="10.95" hidden="false" customHeight="true" outlineLevel="0" collapsed="false">
      <c r="A9036" s="16" t="n">
        <v>45457</v>
      </c>
      <c r="B9036" s="17" t="s">
        <v>3751</v>
      </c>
      <c r="C9036" s="17" t="s">
        <v>3752</v>
      </c>
      <c r="D9036" s="17" t="s">
        <v>1407</v>
      </c>
      <c r="E9036" s="17" t="s">
        <v>3786</v>
      </c>
      <c r="F9036" s="17"/>
      <c r="G9036" s="18" t="n">
        <v>0</v>
      </c>
      <c r="H9036" s="18" t="n">
        <v>2.95</v>
      </c>
      <c r="I9036" s="18" t="n">
        <f aca="false">((I9035 + G9036) - H9036)</f>
        <v>-6185.96</v>
      </c>
      <c r="J9036" s="18" t="n">
        <v>0</v>
      </c>
      <c r="K9036" s="19" t="n">
        <v>0</v>
      </c>
      <c r="L9036" s="17"/>
    </row>
    <row r="9037" s="11" customFormat="true" ht="10.95" hidden="false" customHeight="true" outlineLevel="0" collapsed="false">
      <c r="A9037" s="16" t="n">
        <v>45457</v>
      </c>
      <c r="B9037" s="17" t="s">
        <v>3751</v>
      </c>
      <c r="C9037" s="17" t="s">
        <v>3752</v>
      </c>
      <c r="D9037" s="17" t="s">
        <v>1407</v>
      </c>
      <c r="E9037" s="17" t="s">
        <v>3794</v>
      </c>
      <c r="F9037" s="17"/>
      <c r="G9037" s="18" t="n">
        <v>0</v>
      </c>
      <c r="H9037" s="18" t="n">
        <v>93.32</v>
      </c>
      <c r="I9037" s="18" t="n">
        <f aca="false">((I9036 + G9037) - H9037)</f>
        <v>-6279.28</v>
      </c>
      <c r="J9037" s="18" t="n">
        <v>0</v>
      </c>
      <c r="K9037" s="19" t="n">
        <v>0</v>
      </c>
      <c r="L9037" s="17"/>
    </row>
    <row r="9038" s="11" customFormat="true" ht="10.95" hidden="false" customHeight="true" outlineLevel="0" collapsed="false">
      <c r="A9038" s="16" t="n">
        <v>45458</v>
      </c>
      <c r="B9038" s="17" t="s">
        <v>3751</v>
      </c>
      <c r="C9038" s="17" t="s">
        <v>3752</v>
      </c>
      <c r="D9038" s="17" t="s">
        <v>1407</v>
      </c>
      <c r="E9038" s="17" t="s">
        <v>3795</v>
      </c>
      <c r="F9038" s="17"/>
      <c r="G9038" s="18" t="n">
        <v>0</v>
      </c>
      <c r="H9038" s="18" t="n">
        <v>24.19</v>
      </c>
      <c r="I9038" s="18" t="n">
        <f aca="false">((I9037 + G9038) - H9038)</f>
        <v>-6303.47</v>
      </c>
      <c r="J9038" s="18" t="n">
        <v>0</v>
      </c>
      <c r="K9038" s="19" t="n">
        <v>0</v>
      </c>
      <c r="L9038" s="17"/>
    </row>
    <row r="9039" s="11" customFormat="true" ht="10.95" hidden="false" customHeight="true" outlineLevel="0" collapsed="false">
      <c r="A9039" s="16" t="n">
        <v>45458</v>
      </c>
      <c r="B9039" s="17" t="s">
        <v>3751</v>
      </c>
      <c r="C9039" s="17" t="s">
        <v>3752</v>
      </c>
      <c r="D9039" s="17" t="s">
        <v>1407</v>
      </c>
      <c r="E9039" s="17" t="s">
        <v>3778</v>
      </c>
      <c r="F9039" s="17"/>
      <c r="G9039" s="18" t="n">
        <v>0</v>
      </c>
      <c r="H9039" s="18" t="n">
        <v>51.03</v>
      </c>
      <c r="I9039" s="18" t="n">
        <f aca="false">((I9038 + G9039) - H9039)</f>
        <v>-6354.5</v>
      </c>
      <c r="J9039" s="18" t="n">
        <v>0</v>
      </c>
      <c r="K9039" s="19" t="n">
        <v>0</v>
      </c>
      <c r="L9039" s="17"/>
    </row>
    <row r="9040" s="11" customFormat="true" ht="10.95" hidden="false" customHeight="true" outlineLevel="0" collapsed="false">
      <c r="A9040" s="16" t="n">
        <v>45458</v>
      </c>
      <c r="B9040" s="17" t="s">
        <v>3751</v>
      </c>
      <c r="C9040" s="17" t="s">
        <v>3752</v>
      </c>
      <c r="D9040" s="17" t="s">
        <v>1407</v>
      </c>
      <c r="E9040" s="17" t="s">
        <v>3796</v>
      </c>
      <c r="F9040" s="17"/>
      <c r="G9040" s="18" t="n">
        <v>0</v>
      </c>
      <c r="H9040" s="18" t="n">
        <v>71.61</v>
      </c>
      <c r="I9040" s="18" t="n">
        <f aca="false">((I9039 + G9040) - H9040)</f>
        <v>-6426.11</v>
      </c>
      <c r="J9040" s="18" t="n">
        <v>0</v>
      </c>
      <c r="K9040" s="19" t="n">
        <v>0</v>
      </c>
      <c r="L9040" s="17"/>
    </row>
    <row r="9041" s="11" customFormat="true" ht="10.95" hidden="false" customHeight="true" outlineLevel="0" collapsed="false">
      <c r="A9041" s="16" t="n">
        <v>45460</v>
      </c>
      <c r="B9041" s="17" t="s">
        <v>3751</v>
      </c>
      <c r="C9041" s="17" t="s">
        <v>3752</v>
      </c>
      <c r="D9041" s="17" t="s">
        <v>1407</v>
      </c>
      <c r="E9041" s="17" t="s">
        <v>3770</v>
      </c>
      <c r="F9041" s="17"/>
      <c r="G9041" s="18" t="n">
        <v>0</v>
      </c>
      <c r="H9041" s="18" t="n">
        <v>51.85</v>
      </c>
      <c r="I9041" s="18" t="n">
        <f aca="false">((I9040 + G9041) - H9041)</f>
        <v>-6477.96</v>
      </c>
      <c r="J9041" s="18" t="n">
        <v>0</v>
      </c>
      <c r="K9041" s="19" t="n">
        <v>0</v>
      </c>
      <c r="L9041" s="17"/>
    </row>
    <row r="9042" s="11" customFormat="true" ht="10.95" hidden="false" customHeight="true" outlineLevel="0" collapsed="false">
      <c r="A9042" s="16" t="n">
        <v>45462</v>
      </c>
      <c r="B9042" s="17" t="s">
        <v>3751</v>
      </c>
      <c r="C9042" s="17" t="s">
        <v>3752</v>
      </c>
      <c r="D9042" s="17" t="s">
        <v>1407</v>
      </c>
      <c r="E9042" s="17" t="s">
        <v>3774</v>
      </c>
      <c r="F9042" s="17"/>
      <c r="G9042" s="18" t="n">
        <v>0</v>
      </c>
      <c r="H9042" s="18" t="n">
        <v>29.98</v>
      </c>
      <c r="I9042" s="18" t="n">
        <f aca="false">((I9041 + G9042) - H9042)</f>
        <v>-6507.94</v>
      </c>
      <c r="J9042" s="18" t="n">
        <v>0</v>
      </c>
      <c r="K9042" s="19" t="n">
        <v>0</v>
      </c>
      <c r="L9042" s="17"/>
    </row>
    <row r="9043" s="11" customFormat="true" ht="10.95" hidden="false" customHeight="true" outlineLevel="0" collapsed="false">
      <c r="A9043" s="16" t="n">
        <v>45462</v>
      </c>
      <c r="B9043" s="17" t="s">
        <v>3751</v>
      </c>
      <c r="C9043" s="17" t="s">
        <v>3752</v>
      </c>
      <c r="D9043" s="17" t="s">
        <v>1407</v>
      </c>
      <c r="E9043" s="17" t="s">
        <v>3736</v>
      </c>
      <c r="F9043" s="17"/>
      <c r="G9043" s="18" t="n">
        <v>0</v>
      </c>
      <c r="H9043" s="18" t="n">
        <v>18.47</v>
      </c>
      <c r="I9043" s="18" t="n">
        <f aca="false">((I9042 + G9043) - H9043)</f>
        <v>-6526.41</v>
      </c>
      <c r="J9043" s="18" t="n">
        <v>0</v>
      </c>
      <c r="K9043" s="19" t="n">
        <v>0</v>
      </c>
      <c r="L9043" s="17"/>
    </row>
    <row r="9044" s="11" customFormat="true" ht="10.95" hidden="false" customHeight="true" outlineLevel="0" collapsed="false">
      <c r="A9044" s="16" t="n">
        <v>45463</v>
      </c>
      <c r="B9044" s="17" t="s">
        <v>3751</v>
      </c>
      <c r="C9044" s="17" t="s">
        <v>3752</v>
      </c>
      <c r="D9044" s="17" t="s">
        <v>1407</v>
      </c>
      <c r="E9044" s="17" t="s">
        <v>3715</v>
      </c>
      <c r="F9044" s="17"/>
      <c r="G9044" s="18" t="n">
        <v>0</v>
      </c>
      <c r="H9044" s="18" t="n">
        <v>67.53</v>
      </c>
      <c r="I9044" s="18" t="n">
        <f aca="false">((I9043 + G9044) - H9044)</f>
        <v>-6593.94</v>
      </c>
      <c r="J9044" s="18" t="n">
        <v>0</v>
      </c>
      <c r="K9044" s="19" t="n">
        <v>0</v>
      </c>
      <c r="L9044" s="17"/>
    </row>
    <row r="9045" s="11" customFormat="true" ht="10.95" hidden="false" customHeight="true" outlineLevel="0" collapsed="false">
      <c r="A9045" s="16" t="n">
        <v>45464</v>
      </c>
      <c r="B9045" s="17" t="s">
        <v>3751</v>
      </c>
      <c r="C9045" s="17" t="s">
        <v>3752</v>
      </c>
      <c r="D9045" s="17" t="s">
        <v>1407</v>
      </c>
      <c r="E9045" s="17" t="s">
        <v>3736</v>
      </c>
      <c r="F9045" s="17"/>
      <c r="G9045" s="18" t="n">
        <v>0</v>
      </c>
      <c r="H9045" s="18" t="n">
        <v>61.98</v>
      </c>
      <c r="I9045" s="18" t="n">
        <f aca="false">((I9044 + G9045) - H9045)</f>
        <v>-6655.92</v>
      </c>
      <c r="J9045" s="18" t="n">
        <v>0</v>
      </c>
      <c r="K9045" s="19" t="n">
        <v>0</v>
      </c>
      <c r="L9045" s="17"/>
    </row>
    <row r="9046" s="11" customFormat="true" ht="10.95" hidden="false" customHeight="true" outlineLevel="0" collapsed="false">
      <c r="A9046" s="16" t="n">
        <v>45465</v>
      </c>
      <c r="B9046" s="17" t="s">
        <v>3751</v>
      </c>
      <c r="C9046" s="17" t="s">
        <v>3752</v>
      </c>
      <c r="D9046" s="17" t="s">
        <v>1407</v>
      </c>
      <c r="E9046" s="17" t="s">
        <v>1536</v>
      </c>
      <c r="F9046" s="17"/>
      <c r="G9046" s="18" t="n">
        <v>0</v>
      </c>
      <c r="H9046" s="18" t="n">
        <v>281.1</v>
      </c>
      <c r="I9046" s="18" t="n">
        <f aca="false">((I9045 + G9046) - H9046)</f>
        <v>-6937.02</v>
      </c>
      <c r="J9046" s="18" t="n">
        <v>0</v>
      </c>
      <c r="K9046" s="19" t="n">
        <v>0</v>
      </c>
      <c r="L9046" s="17"/>
    </row>
    <row r="9047" s="11" customFormat="true" ht="10.95" hidden="false" customHeight="true" outlineLevel="0" collapsed="false">
      <c r="A9047" s="16" t="n">
        <v>45470</v>
      </c>
      <c r="B9047" s="17" t="s">
        <v>3751</v>
      </c>
      <c r="C9047" s="17" t="s">
        <v>3752</v>
      </c>
      <c r="D9047" s="17" t="s">
        <v>1407</v>
      </c>
      <c r="E9047" s="17" t="s">
        <v>3736</v>
      </c>
      <c r="F9047" s="17"/>
      <c r="G9047" s="18" t="n">
        <v>0</v>
      </c>
      <c r="H9047" s="18" t="n">
        <v>46.31</v>
      </c>
      <c r="I9047" s="18" t="n">
        <f aca="false">((I9046 + G9047) - H9047)</f>
        <v>-6983.33</v>
      </c>
      <c r="J9047" s="18" t="n">
        <v>0</v>
      </c>
      <c r="K9047" s="19" t="n">
        <v>0</v>
      </c>
      <c r="L9047" s="17"/>
    </row>
    <row r="9048" s="11" customFormat="true" ht="10.95" hidden="false" customHeight="true" outlineLevel="0" collapsed="false">
      <c r="A9048" s="16" t="n">
        <v>45471</v>
      </c>
      <c r="B9048" s="17" t="s">
        <v>3751</v>
      </c>
      <c r="C9048" s="17" t="s">
        <v>3752</v>
      </c>
      <c r="D9048" s="17" t="s">
        <v>1407</v>
      </c>
      <c r="E9048" s="17" t="s">
        <v>3736</v>
      </c>
      <c r="F9048" s="17"/>
      <c r="G9048" s="18" t="n">
        <v>0</v>
      </c>
      <c r="H9048" s="18" t="n">
        <v>21.77</v>
      </c>
      <c r="I9048" s="18" t="n">
        <f aca="false">((I9047 + G9048) - H9048)</f>
        <v>-7005.1</v>
      </c>
      <c r="J9048" s="18" t="n">
        <v>0</v>
      </c>
      <c r="K9048" s="19" t="n">
        <v>0</v>
      </c>
      <c r="L9048" s="17"/>
    </row>
    <row r="9049" s="11" customFormat="true" ht="10.95" hidden="false" customHeight="true" outlineLevel="0" collapsed="false">
      <c r="A9049" s="16" t="n">
        <v>45472</v>
      </c>
      <c r="B9049" s="17" t="s">
        <v>3751</v>
      </c>
      <c r="C9049" s="17" t="s">
        <v>3752</v>
      </c>
      <c r="D9049" s="17" t="s">
        <v>1407</v>
      </c>
      <c r="E9049" s="17" t="s">
        <v>3776</v>
      </c>
      <c r="F9049" s="17"/>
      <c r="G9049" s="18" t="n">
        <v>0</v>
      </c>
      <c r="H9049" s="18" t="n">
        <v>642.26</v>
      </c>
      <c r="I9049" s="18" t="n">
        <f aca="false">((I9048 + G9049) - H9049)</f>
        <v>-7647.36</v>
      </c>
      <c r="J9049" s="18" t="n">
        <v>0</v>
      </c>
      <c r="K9049" s="19" t="n">
        <v>0</v>
      </c>
      <c r="L9049" s="17"/>
    </row>
    <row r="9050" s="11" customFormat="true" ht="10.95" hidden="false" customHeight="true" outlineLevel="0" collapsed="false">
      <c r="A9050" s="16" t="n">
        <v>45473</v>
      </c>
      <c r="B9050" s="17" t="s">
        <v>3751</v>
      </c>
      <c r="C9050" s="17" t="s">
        <v>3752</v>
      </c>
      <c r="D9050" s="17"/>
      <c r="E9050" s="17" t="s">
        <v>2888</v>
      </c>
      <c r="F9050" s="17"/>
      <c r="G9050" s="18" t="n">
        <v>0</v>
      </c>
      <c r="H9050" s="18" t="n">
        <v>26.53</v>
      </c>
      <c r="I9050" s="18" t="n">
        <f aca="false">((I9049 + G9050) - H9050)</f>
        <v>-7673.89</v>
      </c>
      <c r="J9050" s="18" t="n">
        <v>0</v>
      </c>
      <c r="K9050" s="19" t="n">
        <v>0</v>
      </c>
      <c r="L9050" s="17"/>
    </row>
    <row r="9051" s="11" customFormat="true" ht="10.95" hidden="false" customHeight="true" outlineLevel="0" collapsed="false">
      <c r="A9051" s="21" t="s">
        <v>3797</v>
      </c>
      <c r="B9051" s="21"/>
      <c r="C9051" s="21"/>
      <c r="D9051" s="21"/>
      <c r="E9051" s="21"/>
      <c r="F9051" s="21"/>
      <c r="G9051" s="22" t="n">
        <f aca="false">SUM(G8737:G9050)</f>
        <v>33578.69</v>
      </c>
      <c r="H9051" s="22" t="n">
        <f aca="false">SUM(H8737:H9050)</f>
        <v>41420.9</v>
      </c>
      <c r="I9051" s="22" t="n">
        <f aca="false">I9050</f>
        <v>-7673.89</v>
      </c>
      <c r="J9051" s="22" t="n">
        <f aca="false">SUM(J8737:J9050)</f>
        <v>0</v>
      </c>
      <c r="K9051" s="21"/>
      <c r="L9051" s="21"/>
    </row>
    <row r="9052" s="11" customFormat="true" ht="10.95" hidden="false" customHeight="true" outlineLevel="0" collapsed="false">
      <c r="A9052" s="21" t="s">
        <v>784</v>
      </c>
      <c r="B9052" s="21"/>
      <c r="C9052" s="21"/>
      <c r="D9052" s="21"/>
      <c r="E9052" s="21"/>
      <c r="F9052" s="21"/>
      <c r="G9052" s="22" t="n">
        <v>0</v>
      </c>
      <c r="H9052" s="22" t="n">
        <v>7842.21</v>
      </c>
      <c r="I9052" s="22" t="n">
        <v>0</v>
      </c>
      <c r="J9052" s="22" t="n">
        <v>0</v>
      </c>
      <c r="K9052" s="21"/>
      <c r="L9052" s="21"/>
    </row>
    <row r="9053" s="11" customFormat="true" ht="10.95" hidden="false" customHeight="true" outlineLevel="0" collapsed="false">
      <c r="A9053" s="9" t="s">
        <v>785</v>
      </c>
      <c r="B9053" s="9"/>
      <c r="C9053" s="9"/>
      <c r="D9053" s="9"/>
      <c r="E9053" s="9"/>
      <c r="F9053" s="9"/>
      <c r="G9053" s="10" t="n">
        <v>0</v>
      </c>
      <c r="H9053" s="10" t="n">
        <v>7673.89</v>
      </c>
      <c r="I9053" s="10" t="n">
        <f aca="false">I9050</f>
        <v>-7673.89</v>
      </c>
      <c r="J9053" s="10" t="n">
        <v>0</v>
      </c>
      <c r="K9053" s="9"/>
      <c r="L9053" s="9"/>
    </row>
    <row r="9054" customFormat="false" ht="13.35" hidden="false" customHeight="true" outlineLevel="0" collapsed="false"/>
    <row r="9055" s="7" customFormat="true" ht="12.1" hidden="false" customHeight="true" outlineLevel="0" collapsed="false">
      <c r="A9055" s="8" t="s">
        <v>3798</v>
      </c>
      <c r="B9055" s="8"/>
      <c r="C9055" s="8"/>
      <c r="D9055" s="8"/>
      <c r="E9055" s="8"/>
      <c r="F9055" s="8"/>
      <c r="G9055" s="8"/>
      <c r="H9055" s="8"/>
      <c r="I9055" s="8"/>
      <c r="J9055" s="8"/>
      <c r="K9055" s="8"/>
      <c r="L9055" s="8"/>
    </row>
    <row r="9056" s="11" customFormat="true" ht="10.95" hidden="false" customHeight="true" outlineLevel="0" collapsed="false">
      <c r="A9056" s="9" t="s">
        <v>16</v>
      </c>
      <c r="B9056" s="9"/>
      <c r="C9056" s="9"/>
      <c r="D9056" s="9"/>
      <c r="E9056" s="9"/>
      <c r="F9056" s="9"/>
      <c r="G9056" s="10" t="n">
        <v>0</v>
      </c>
      <c r="H9056" s="10" t="n">
        <v>0</v>
      </c>
      <c r="I9056" s="10" t="n">
        <f aca="false">(G9056 - H9056)</f>
        <v>0</v>
      </c>
      <c r="J9056" s="10" t="n">
        <v>0</v>
      </c>
      <c r="K9056" s="9"/>
      <c r="L9056" s="9"/>
    </row>
    <row r="9057" s="11" customFormat="true" ht="10.95" hidden="false" customHeight="true" outlineLevel="0" collapsed="false">
      <c r="A9057" s="12" t="n">
        <v>45384</v>
      </c>
      <c r="B9057" s="13" t="s">
        <v>3799</v>
      </c>
      <c r="C9057" s="13" t="s">
        <v>3752</v>
      </c>
      <c r="D9057" s="13" t="s">
        <v>1407</v>
      </c>
      <c r="E9057" s="13" t="s">
        <v>3800</v>
      </c>
      <c r="F9057" s="13" t="s">
        <v>1754</v>
      </c>
      <c r="G9057" s="14" t="n">
        <v>0</v>
      </c>
      <c r="H9057" s="14" t="n">
        <v>36.32</v>
      </c>
      <c r="I9057" s="14" t="n">
        <f aca="false">((I9056 + G9057) - H9057)</f>
        <v>-36.32</v>
      </c>
      <c r="J9057" s="14" t="n">
        <v>0</v>
      </c>
      <c r="K9057" s="15" t="n">
        <v>0</v>
      </c>
      <c r="L9057" s="13"/>
    </row>
    <row r="9058" s="11" customFormat="true" ht="10.95" hidden="false" customHeight="true" outlineLevel="0" collapsed="false">
      <c r="A9058" s="21" t="s">
        <v>3801</v>
      </c>
      <c r="B9058" s="21"/>
      <c r="C9058" s="21"/>
      <c r="D9058" s="21"/>
      <c r="E9058" s="21"/>
      <c r="F9058" s="21"/>
      <c r="G9058" s="22" t="n">
        <f aca="false">G9057</f>
        <v>0</v>
      </c>
      <c r="H9058" s="22" t="n">
        <f aca="false">H9057</f>
        <v>36.32</v>
      </c>
      <c r="I9058" s="22" t="n">
        <f aca="false">I9057</f>
        <v>-36.32</v>
      </c>
      <c r="J9058" s="22" t="n">
        <f aca="false">J9057</f>
        <v>0</v>
      </c>
      <c r="K9058" s="21"/>
      <c r="L9058" s="21"/>
    </row>
    <row r="9059" s="11" customFormat="true" ht="10.95" hidden="false" customHeight="true" outlineLevel="0" collapsed="false">
      <c r="A9059" s="21" t="s">
        <v>784</v>
      </c>
      <c r="B9059" s="21"/>
      <c r="C9059" s="21"/>
      <c r="D9059" s="21"/>
      <c r="E9059" s="21"/>
      <c r="F9059" s="21"/>
      <c r="G9059" s="22" t="n">
        <v>0</v>
      </c>
      <c r="H9059" s="22" t="n">
        <v>36.32</v>
      </c>
      <c r="I9059" s="22" t="n">
        <v>0</v>
      </c>
      <c r="J9059" s="22" t="n">
        <v>0</v>
      </c>
      <c r="K9059" s="21"/>
      <c r="L9059" s="21"/>
    </row>
    <row r="9060" s="11" customFormat="true" ht="10.95" hidden="false" customHeight="true" outlineLevel="0" collapsed="false">
      <c r="A9060" s="9" t="s">
        <v>785</v>
      </c>
      <c r="B9060" s="9"/>
      <c r="C9060" s="9"/>
      <c r="D9060" s="9"/>
      <c r="E9060" s="9"/>
      <c r="F9060" s="9"/>
      <c r="G9060" s="10" t="n">
        <v>0</v>
      </c>
      <c r="H9060" s="10" t="n">
        <v>36.32</v>
      </c>
      <c r="I9060" s="10" t="n">
        <f aca="false">I9057</f>
        <v>-36.32</v>
      </c>
      <c r="J9060" s="10" t="n">
        <v>0</v>
      </c>
      <c r="K9060" s="9"/>
      <c r="L9060" s="9"/>
    </row>
    <row r="9061" customFormat="false" ht="13.35" hidden="false" customHeight="true" outlineLevel="0" collapsed="false"/>
    <row r="9062" s="7" customFormat="true" ht="12.1" hidden="false" customHeight="true" outlineLevel="0" collapsed="false">
      <c r="A9062" s="8" t="s">
        <v>3802</v>
      </c>
      <c r="B9062" s="8"/>
      <c r="C9062" s="8"/>
      <c r="D9062" s="8"/>
      <c r="E9062" s="8"/>
      <c r="F9062" s="8"/>
      <c r="G9062" s="8"/>
      <c r="H9062" s="8"/>
      <c r="I9062" s="8"/>
      <c r="J9062" s="8"/>
      <c r="K9062" s="8"/>
      <c r="L9062" s="8"/>
    </row>
    <row r="9063" s="11" customFormat="true" ht="10.95" hidden="false" customHeight="true" outlineLevel="0" collapsed="false">
      <c r="A9063" s="9" t="s">
        <v>16</v>
      </c>
      <c r="B9063" s="9"/>
      <c r="C9063" s="9"/>
      <c r="D9063" s="9"/>
      <c r="E9063" s="9"/>
      <c r="F9063" s="9"/>
      <c r="G9063" s="10" t="n">
        <v>0</v>
      </c>
      <c r="H9063" s="10" t="n">
        <v>93.51</v>
      </c>
      <c r="I9063" s="10" t="n">
        <f aca="false">(G9063 - H9063)</f>
        <v>-93.51</v>
      </c>
      <c r="J9063" s="10" t="n">
        <v>0</v>
      </c>
      <c r="K9063" s="9"/>
      <c r="L9063" s="9"/>
    </row>
    <row r="9064" s="11" customFormat="true" ht="10.95" hidden="false" customHeight="true" outlineLevel="0" collapsed="false">
      <c r="A9064" s="12" t="n">
        <v>45109</v>
      </c>
      <c r="B9064" s="13" t="s">
        <v>3803</v>
      </c>
      <c r="C9064" s="13" t="s">
        <v>3752</v>
      </c>
      <c r="D9064" s="13" t="s">
        <v>1407</v>
      </c>
      <c r="E9064" s="13" t="s">
        <v>3804</v>
      </c>
      <c r="F9064" s="13"/>
      <c r="G9064" s="14" t="n">
        <v>0</v>
      </c>
      <c r="H9064" s="14" t="n">
        <v>39.99</v>
      </c>
      <c r="I9064" s="14" t="n">
        <f aca="false">((I9063 + G9064) - H9064)</f>
        <v>-133.5</v>
      </c>
      <c r="J9064" s="14" t="n">
        <v>0</v>
      </c>
      <c r="K9064" s="15" t="n">
        <v>0</v>
      </c>
      <c r="L9064" s="13"/>
    </row>
    <row r="9065" s="11" customFormat="true" ht="10.95" hidden="false" customHeight="true" outlineLevel="0" collapsed="false">
      <c r="A9065" s="16" t="n">
        <v>45130</v>
      </c>
      <c r="B9065" s="17" t="s">
        <v>3803</v>
      </c>
      <c r="C9065" s="17" t="s">
        <v>3752</v>
      </c>
      <c r="D9065" s="17" t="s">
        <v>1407</v>
      </c>
      <c r="E9065" s="17" t="s">
        <v>3804</v>
      </c>
      <c r="F9065" s="17"/>
      <c r="G9065" s="18" t="n">
        <v>0</v>
      </c>
      <c r="H9065" s="18" t="n">
        <v>39.99</v>
      </c>
      <c r="I9065" s="18" t="n">
        <f aca="false">((I9064 + G9065) - H9065)</f>
        <v>-173.49</v>
      </c>
      <c r="J9065" s="18" t="n">
        <v>0</v>
      </c>
      <c r="K9065" s="19" t="n">
        <v>0</v>
      </c>
      <c r="L9065" s="17"/>
    </row>
    <row r="9066" s="11" customFormat="true" ht="10.95" hidden="false" customHeight="true" outlineLevel="0" collapsed="false">
      <c r="A9066" s="16" t="n">
        <v>45134</v>
      </c>
      <c r="B9066" s="17" t="s">
        <v>3803</v>
      </c>
      <c r="C9066" s="17" t="s">
        <v>3752</v>
      </c>
      <c r="D9066" s="17" t="s">
        <v>1407</v>
      </c>
      <c r="E9066" s="17" t="s">
        <v>3805</v>
      </c>
      <c r="F9066" s="17"/>
      <c r="G9066" s="18" t="n">
        <v>0</v>
      </c>
      <c r="H9066" s="18" t="n">
        <v>92.94</v>
      </c>
      <c r="I9066" s="18" t="n">
        <f aca="false">((I9065 + G9066) - H9066)</f>
        <v>-266.43</v>
      </c>
      <c r="J9066" s="18" t="n">
        <v>0</v>
      </c>
      <c r="K9066" s="19" t="n">
        <v>0</v>
      </c>
      <c r="L9066" s="17"/>
    </row>
    <row r="9067" s="11" customFormat="true" ht="10.95" hidden="false" customHeight="true" outlineLevel="0" collapsed="false">
      <c r="A9067" s="16" t="n">
        <v>45136</v>
      </c>
      <c r="B9067" s="17" t="s">
        <v>3803</v>
      </c>
      <c r="C9067" s="17" t="s">
        <v>3752</v>
      </c>
      <c r="D9067" s="17" t="s">
        <v>3753</v>
      </c>
      <c r="E9067" s="17" t="s">
        <v>3806</v>
      </c>
      <c r="F9067" s="17"/>
      <c r="G9067" s="18" t="n">
        <v>173.49</v>
      </c>
      <c r="H9067" s="18" t="n">
        <v>0</v>
      </c>
      <c r="I9067" s="18" t="n">
        <f aca="false">((I9066 + G9067) - H9067)</f>
        <v>-92.94</v>
      </c>
      <c r="J9067" s="18" t="n">
        <v>0</v>
      </c>
      <c r="K9067" s="19" t="n">
        <v>0</v>
      </c>
      <c r="L9067" s="17"/>
    </row>
    <row r="9068" s="11" customFormat="true" ht="10.95" hidden="false" customHeight="true" outlineLevel="0" collapsed="false">
      <c r="A9068" s="16" t="n">
        <v>45140</v>
      </c>
      <c r="B9068" s="17" t="s">
        <v>3803</v>
      </c>
      <c r="C9068" s="17" t="s">
        <v>3752</v>
      </c>
      <c r="D9068" s="17" t="s">
        <v>1407</v>
      </c>
      <c r="E9068" s="17" t="s">
        <v>3804</v>
      </c>
      <c r="F9068" s="17"/>
      <c r="G9068" s="18" t="n">
        <v>0</v>
      </c>
      <c r="H9068" s="18" t="n">
        <v>39.99</v>
      </c>
      <c r="I9068" s="18" t="n">
        <f aca="false">((I9067 + G9068) - H9068)</f>
        <v>-132.93</v>
      </c>
      <c r="J9068" s="18" t="n">
        <v>0</v>
      </c>
      <c r="K9068" s="19" t="n">
        <v>0</v>
      </c>
      <c r="L9068" s="17"/>
    </row>
    <row r="9069" s="11" customFormat="true" ht="10.95" hidden="false" customHeight="true" outlineLevel="0" collapsed="false">
      <c r="A9069" s="16" t="n">
        <v>45161</v>
      </c>
      <c r="B9069" s="17" t="s">
        <v>3803</v>
      </c>
      <c r="C9069" s="17" t="s">
        <v>3752</v>
      </c>
      <c r="D9069" s="17" t="s">
        <v>1407</v>
      </c>
      <c r="E9069" s="17" t="s">
        <v>3804</v>
      </c>
      <c r="F9069" s="17"/>
      <c r="G9069" s="18" t="n">
        <v>0</v>
      </c>
      <c r="H9069" s="18" t="n">
        <v>39.99</v>
      </c>
      <c r="I9069" s="18" t="n">
        <f aca="false">((I9068 + G9069) - H9069)</f>
        <v>-172.92</v>
      </c>
      <c r="J9069" s="18" t="n">
        <v>0</v>
      </c>
      <c r="K9069" s="19" t="n">
        <v>0</v>
      </c>
      <c r="L9069" s="17"/>
    </row>
    <row r="9070" s="11" customFormat="true" ht="10.95" hidden="false" customHeight="true" outlineLevel="0" collapsed="false">
      <c r="A9070" s="16" t="n">
        <v>45165</v>
      </c>
      <c r="B9070" s="17" t="s">
        <v>3803</v>
      </c>
      <c r="C9070" s="17" t="s">
        <v>3752</v>
      </c>
      <c r="D9070" s="17" t="s">
        <v>1407</v>
      </c>
      <c r="E9070" s="17" t="s">
        <v>3805</v>
      </c>
      <c r="F9070" s="17"/>
      <c r="G9070" s="18" t="n">
        <v>0</v>
      </c>
      <c r="H9070" s="18" t="n">
        <v>97.9</v>
      </c>
      <c r="I9070" s="18" t="n">
        <f aca="false">((I9069 + G9070) - H9070)</f>
        <v>-270.82</v>
      </c>
      <c r="J9070" s="18" t="n">
        <v>0</v>
      </c>
      <c r="K9070" s="19" t="n">
        <v>0</v>
      </c>
      <c r="L9070" s="17"/>
    </row>
    <row r="9071" s="11" customFormat="true" ht="10.95" hidden="false" customHeight="true" outlineLevel="0" collapsed="false">
      <c r="A9071" s="16" t="n">
        <v>45168</v>
      </c>
      <c r="B9071" s="17" t="s">
        <v>3803</v>
      </c>
      <c r="C9071" s="17" t="s">
        <v>3752</v>
      </c>
      <c r="D9071" s="17" t="s">
        <v>3753</v>
      </c>
      <c r="E9071" s="17" t="s">
        <v>3806</v>
      </c>
      <c r="F9071" s="17"/>
      <c r="G9071" s="18" t="n">
        <v>172.92</v>
      </c>
      <c r="H9071" s="18" t="n">
        <v>0</v>
      </c>
      <c r="I9071" s="18" t="n">
        <f aca="false">((I9070 + G9071) - H9071)</f>
        <v>-97.9000000000001</v>
      </c>
      <c r="J9071" s="18" t="n">
        <v>0</v>
      </c>
      <c r="K9071" s="19" t="n">
        <v>0</v>
      </c>
      <c r="L9071" s="17"/>
    </row>
    <row r="9072" s="11" customFormat="true" ht="10.95" hidden="false" customHeight="true" outlineLevel="0" collapsed="false">
      <c r="A9072" s="16" t="n">
        <v>45168</v>
      </c>
      <c r="B9072" s="17" t="s">
        <v>3803</v>
      </c>
      <c r="C9072" s="17" t="s">
        <v>3752</v>
      </c>
      <c r="D9072" s="17" t="s">
        <v>1407</v>
      </c>
      <c r="E9072" s="17" t="s">
        <v>3807</v>
      </c>
      <c r="F9072" s="17"/>
      <c r="G9072" s="18" t="n">
        <v>0</v>
      </c>
      <c r="H9072" s="18" t="n">
        <v>2000</v>
      </c>
      <c r="I9072" s="18" t="n">
        <f aca="false">((I9071 + G9072) - H9072)</f>
        <v>-2097.9</v>
      </c>
      <c r="J9072" s="18" t="n">
        <v>0</v>
      </c>
      <c r="K9072" s="19" t="n">
        <v>0</v>
      </c>
      <c r="L9072" s="17"/>
    </row>
    <row r="9073" s="11" customFormat="true" ht="10.95" hidden="false" customHeight="true" outlineLevel="0" collapsed="false">
      <c r="A9073" s="16" t="n">
        <v>45171</v>
      </c>
      <c r="B9073" s="17" t="s">
        <v>3803</v>
      </c>
      <c r="C9073" s="17" t="s">
        <v>3752</v>
      </c>
      <c r="D9073" s="17" t="s">
        <v>1407</v>
      </c>
      <c r="E9073" s="17" t="s">
        <v>3804</v>
      </c>
      <c r="F9073" s="17"/>
      <c r="G9073" s="18" t="n">
        <v>0</v>
      </c>
      <c r="H9073" s="18" t="n">
        <v>39.99</v>
      </c>
      <c r="I9073" s="18" t="n">
        <f aca="false">((I9072 + G9073) - H9073)</f>
        <v>-2137.89</v>
      </c>
      <c r="J9073" s="18" t="n">
        <v>0</v>
      </c>
      <c r="K9073" s="19" t="n">
        <v>0</v>
      </c>
      <c r="L9073" s="17"/>
    </row>
    <row r="9074" s="11" customFormat="true" ht="10.95" hidden="false" customHeight="true" outlineLevel="0" collapsed="false">
      <c r="A9074" s="16" t="n">
        <v>45173</v>
      </c>
      <c r="B9074" s="17" t="s">
        <v>3803</v>
      </c>
      <c r="C9074" s="17" t="s">
        <v>3752</v>
      </c>
      <c r="D9074" s="17" t="s">
        <v>1407</v>
      </c>
      <c r="E9074" s="17" t="s">
        <v>3658</v>
      </c>
      <c r="F9074" s="17"/>
      <c r="G9074" s="18" t="n">
        <v>0</v>
      </c>
      <c r="H9074" s="18" t="n">
        <v>317.73</v>
      </c>
      <c r="I9074" s="18" t="n">
        <f aca="false">((I9073 + G9074) - H9074)</f>
        <v>-2455.62</v>
      </c>
      <c r="J9074" s="18" t="n">
        <v>0</v>
      </c>
      <c r="K9074" s="19" t="n">
        <v>0</v>
      </c>
      <c r="L9074" s="17"/>
    </row>
    <row r="9075" s="11" customFormat="true" ht="10.95" hidden="false" customHeight="true" outlineLevel="0" collapsed="false">
      <c r="A9075" s="16" t="n">
        <v>45192</v>
      </c>
      <c r="B9075" s="17" t="s">
        <v>3803</v>
      </c>
      <c r="C9075" s="17" t="s">
        <v>3752</v>
      </c>
      <c r="D9075" s="17" t="s">
        <v>1407</v>
      </c>
      <c r="E9075" s="17" t="s">
        <v>3804</v>
      </c>
      <c r="F9075" s="17"/>
      <c r="G9075" s="18" t="n">
        <v>0</v>
      </c>
      <c r="H9075" s="18" t="n">
        <v>39.99</v>
      </c>
      <c r="I9075" s="18" t="n">
        <f aca="false">((I9074 + G9075) - H9075)</f>
        <v>-2495.61</v>
      </c>
      <c r="J9075" s="18" t="n">
        <v>0</v>
      </c>
      <c r="K9075" s="19" t="n">
        <v>0</v>
      </c>
      <c r="L9075" s="17"/>
    </row>
    <row r="9076" s="11" customFormat="true" ht="10.95" hidden="false" customHeight="true" outlineLevel="0" collapsed="false">
      <c r="A9076" s="16" t="n">
        <v>45195</v>
      </c>
      <c r="B9076" s="17" t="s">
        <v>3803</v>
      </c>
      <c r="C9076" s="17" t="s">
        <v>3752</v>
      </c>
      <c r="D9076" s="17" t="s">
        <v>1407</v>
      </c>
      <c r="E9076" s="17" t="s">
        <v>3804</v>
      </c>
      <c r="F9076" s="17"/>
      <c r="G9076" s="18" t="n">
        <v>0</v>
      </c>
      <c r="H9076" s="18" t="n">
        <v>299.88</v>
      </c>
      <c r="I9076" s="18" t="n">
        <f aca="false">((I9075 + G9076) - H9076)</f>
        <v>-2795.49</v>
      </c>
      <c r="J9076" s="18" t="n">
        <v>0</v>
      </c>
      <c r="K9076" s="19" t="n">
        <v>0</v>
      </c>
      <c r="L9076" s="17"/>
    </row>
    <row r="9077" s="11" customFormat="true" ht="10.95" hidden="false" customHeight="true" outlineLevel="0" collapsed="false">
      <c r="A9077" s="16" t="n">
        <v>45196</v>
      </c>
      <c r="B9077" s="17" t="s">
        <v>3803</v>
      </c>
      <c r="C9077" s="17" t="s">
        <v>3752</v>
      </c>
      <c r="D9077" s="17" t="s">
        <v>1407</v>
      </c>
      <c r="E9077" s="17" t="s">
        <v>3805</v>
      </c>
      <c r="F9077" s="17"/>
      <c r="G9077" s="18" t="n">
        <v>0</v>
      </c>
      <c r="H9077" s="18" t="n">
        <v>98.21</v>
      </c>
      <c r="I9077" s="18" t="n">
        <f aca="false">((I9076 + G9077) - H9077)</f>
        <v>-2893.7</v>
      </c>
      <c r="J9077" s="18" t="n">
        <v>0</v>
      </c>
      <c r="K9077" s="19" t="n">
        <v>0</v>
      </c>
      <c r="L9077" s="17"/>
    </row>
    <row r="9078" s="11" customFormat="true" ht="10.95" hidden="false" customHeight="true" outlineLevel="0" collapsed="false">
      <c r="A9078" s="16" t="n">
        <v>45200</v>
      </c>
      <c r="B9078" s="17" t="s">
        <v>3803</v>
      </c>
      <c r="C9078" s="17" t="s">
        <v>3752</v>
      </c>
      <c r="D9078" s="17" t="s">
        <v>3753</v>
      </c>
      <c r="E9078" s="17" t="s">
        <v>3806</v>
      </c>
      <c r="F9078" s="17"/>
      <c r="G9078" s="18" t="n">
        <v>2893.7</v>
      </c>
      <c r="H9078" s="18" t="n">
        <v>0</v>
      </c>
      <c r="I9078" s="18" t="n">
        <f aca="false">((I9077 + G9078) - H9078)</f>
        <v>0</v>
      </c>
      <c r="J9078" s="18" t="n">
        <v>0</v>
      </c>
      <c r="K9078" s="19" t="n">
        <v>0</v>
      </c>
      <c r="L9078" s="17"/>
    </row>
    <row r="9079" s="11" customFormat="true" ht="10.95" hidden="false" customHeight="true" outlineLevel="0" collapsed="false">
      <c r="A9079" s="16" t="n">
        <v>45201</v>
      </c>
      <c r="B9079" s="17" t="s">
        <v>3803</v>
      </c>
      <c r="C9079" s="17" t="s">
        <v>3752</v>
      </c>
      <c r="D9079" s="17" t="s">
        <v>1407</v>
      </c>
      <c r="E9079" s="17" t="s">
        <v>3804</v>
      </c>
      <c r="F9079" s="17"/>
      <c r="G9079" s="18" t="n">
        <v>0</v>
      </c>
      <c r="H9079" s="18" t="n">
        <v>39.99</v>
      </c>
      <c r="I9079" s="18" t="n">
        <f aca="false">((I9078 + G9079) - H9079)</f>
        <v>-39.99</v>
      </c>
      <c r="J9079" s="18" t="n">
        <v>0</v>
      </c>
      <c r="K9079" s="19" t="n">
        <v>0</v>
      </c>
      <c r="L9079" s="17"/>
    </row>
    <row r="9080" s="11" customFormat="true" ht="10.95" hidden="false" customHeight="true" outlineLevel="0" collapsed="false">
      <c r="A9080" s="16" t="n">
        <v>45209</v>
      </c>
      <c r="B9080" s="17" t="s">
        <v>3803</v>
      </c>
      <c r="C9080" s="17" t="s">
        <v>3752</v>
      </c>
      <c r="D9080" s="17" t="s">
        <v>1407</v>
      </c>
      <c r="E9080" s="17" t="s">
        <v>3808</v>
      </c>
      <c r="F9080" s="17"/>
      <c r="G9080" s="18" t="n">
        <v>0</v>
      </c>
      <c r="H9080" s="18" t="n">
        <v>24184.44</v>
      </c>
      <c r="I9080" s="18" t="n">
        <f aca="false">((I9079 + G9080) - H9080)</f>
        <v>-24224.43</v>
      </c>
      <c r="J9080" s="18" t="n">
        <v>0</v>
      </c>
      <c r="K9080" s="19" t="n">
        <v>0</v>
      </c>
      <c r="L9080" s="17"/>
    </row>
    <row r="9081" s="11" customFormat="true" ht="10.95" hidden="false" customHeight="true" outlineLevel="0" collapsed="false">
      <c r="A9081" s="16" t="n">
        <v>45222</v>
      </c>
      <c r="B9081" s="17" t="s">
        <v>3803</v>
      </c>
      <c r="C9081" s="17" t="s">
        <v>3752</v>
      </c>
      <c r="D9081" s="17" t="s">
        <v>1407</v>
      </c>
      <c r="E9081" s="17" t="s">
        <v>3804</v>
      </c>
      <c r="F9081" s="17"/>
      <c r="G9081" s="18" t="n">
        <v>0</v>
      </c>
      <c r="H9081" s="18" t="n">
        <v>39.99</v>
      </c>
      <c r="I9081" s="18" t="n">
        <f aca="false">((I9080 + G9081) - H9081)</f>
        <v>-24264.42</v>
      </c>
      <c r="J9081" s="18" t="n">
        <v>0</v>
      </c>
      <c r="K9081" s="19" t="n">
        <v>0</v>
      </c>
      <c r="L9081" s="17"/>
    </row>
    <row r="9082" s="11" customFormat="true" ht="10.95" hidden="false" customHeight="true" outlineLevel="0" collapsed="false">
      <c r="A9082" s="16" t="n">
        <v>45225</v>
      </c>
      <c r="B9082" s="17" t="s">
        <v>3803</v>
      </c>
      <c r="C9082" s="17" t="s">
        <v>3752</v>
      </c>
      <c r="D9082" s="17" t="s">
        <v>1407</v>
      </c>
      <c r="E9082" s="17" t="s">
        <v>3759</v>
      </c>
      <c r="F9082" s="17"/>
      <c r="G9082" s="18" t="n">
        <v>0</v>
      </c>
      <c r="H9082" s="18" t="n">
        <v>339.78</v>
      </c>
      <c r="I9082" s="18" t="n">
        <f aca="false">((I9081 + G9082) - H9082)</f>
        <v>-24604.2</v>
      </c>
      <c r="J9082" s="18" t="n">
        <v>0</v>
      </c>
      <c r="K9082" s="19" t="n">
        <v>0</v>
      </c>
      <c r="L9082" s="17"/>
    </row>
    <row r="9083" s="11" customFormat="true" ht="10.95" hidden="false" customHeight="true" outlineLevel="0" collapsed="false">
      <c r="A9083" s="16" t="n">
        <v>45226</v>
      </c>
      <c r="B9083" s="17" t="s">
        <v>3803</v>
      </c>
      <c r="C9083" s="17" t="s">
        <v>3752</v>
      </c>
      <c r="D9083" s="17" t="s">
        <v>1407</v>
      </c>
      <c r="E9083" s="17" t="s">
        <v>3805</v>
      </c>
      <c r="F9083" s="17"/>
      <c r="G9083" s="18" t="n">
        <v>0</v>
      </c>
      <c r="H9083" s="18" t="n">
        <v>98.68</v>
      </c>
      <c r="I9083" s="18" t="n">
        <f aca="false">((I9082 + G9083) - H9083)</f>
        <v>-24702.88</v>
      </c>
      <c r="J9083" s="18" t="n">
        <v>0</v>
      </c>
      <c r="K9083" s="19" t="n">
        <v>0</v>
      </c>
      <c r="L9083" s="17"/>
    </row>
    <row r="9084" s="11" customFormat="true" ht="10.95" hidden="false" customHeight="true" outlineLevel="0" collapsed="false">
      <c r="A9084" s="16" t="n">
        <v>45230</v>
      </c>
      <c r="B9084" s="17" t="s">
        <v>3803</v>
      </c>
      <c r="C9084" s="17" t="s">
        <v>3752</v>
      </c>
      <c r="D9084" s="17" t="s">
        <v>1407</v>
      </c>
      <c r="E9084" s="17" t="s">
        <v>3759</v>
      </c>
      <c r="F9084" s="17"/>
      <c r="G9084" s="18" t="n">
        <v>0</v>
      </c>
      <c r="H9084" s="18" t="n">
        <v>159.28</v>
      </c>
      <c r="I9084" s="18" t="n">
        <f aca="false">((I9083 + G9084) - H9084)</f>
        <v>-24862.16</v>
      </c>
      <c r="J9084" s="18" t="n">
        <v>0</v>
      </c>
      <c r="K9084" s="19" t="n">
        <v>0</v>
      </c>
      <c r="L9084" s="17"/>
    </row>
    <row r="9085" s="11" customFormat="true" ht="10.95" hidden="false" customHeight="true" outlineLevel="0" collapsed="false">
      <c r="A9085" s="16" t="n">
        <v>45231</v>
      </c>
      <c r="B9085" s="17" t="s">
        <v>3803</v>
      </c>
      <c r="C9085" s="17" t="s">
        <v>3752</v>
      </c>
      <c r="D9085" s="17" t="s">
        <v>3753</v>
      </c>
      <c r="E9085" s="17" t="s">
        <v>3806</v>
      </c>
      <c r="F9085" s="17"/>
      <c r="G9085" s="18" t="n">
        <v>30</v>
      </c>
      <c r="H9085" s="18" t="n">
        <v>0</v>
      </c>
      <c r="I9085" s="18" t="n">
        <f aca="false">((I9084 + G9085) - H9085)</f>
        <v>-24832.16</v>
      </c>
      <c r="J9085" s="18" t="n">
        <v>0</v>
      </c>
      <c r="K9085" s="19" t="n">
        <v>0</v>
      </c>
      <c r="L9085" s="17"/>
    </row>
    <row r="9086" s="11" customFormat="true" ht="10.95" hidden="false" customHeight="true" outlineLevel="0" collapsed="false">
      <c r="A9086" s="16" t="n">
        <v>45231</v>
      </c>
      <c r="B9086" s="17" t="s">
        <v>3803</v>
      </c>
      <c r="C9086" s="17" t="s">
        <v>3752</v>
      </c>
      <c r="D9086" s="17" t="s">
        <v>1276</v>
      </c>
      <c r="E9086" s="17" t="s">
        <v>3809</v>
      </c>
      <c r="F9086" s="17"/>
      <c r="G9086" s="18" t="n">
        <v>39.99</v>
      </c>
      <c r="H9086" s="18" t="n">
        <v>0</v>
      </c>
      <c r="I9086" s="18" t="n">
        <f aca="false">((I9085 + G9086) - H9086)</f>
        <v>-24792.17</v>
      </c>
      <c r="J9086" s="18" t="n">
        <v>0</v>
      </c>
      <c r="K9086" s="19" t="n">
        <v>0</v>
      </c>
      <c r="L9086" s="17"/>
    </row>
    <row r="9087" s="11" customFormat="true" ht="10.95" hidden="false" customHeight="true" outlineLevel="0" collapsed="false">
      <c r="A9087" s="16" t="n">
        <v>45231</v>
      </c>
      <c r="B9087" s="17" t="s">
        <v>3803</v>
      </c>
      <c r="C9087" s="17" t="s">
        <v>3752</v>
      </c>
      <c r="D9087" s="17" t="s">
        <v>1276</v>
      </c>
      <c r="E9087" s="17" t="s">
        <v>3809</v>
      </c>
      <c r="F9087" s="17"/>
      <c r="G9087" s="18" t="n">
        <v>39.99</v>
      </c>
      <c r="H9087" s="18" t="n">
        <v>0</v>
      </c>
      <c r="I9087" s="18" t="n">
        <f aca="false">((I9086 + G9087) - H9087)</f>
        <v>-24752.18</v>
      </c>
      <c r="J9087" s="18" t="n">
        <v>0</v>
      </c>
      <c r="K9087" s="19" t="n">
        <v>0</v>
      </c>
      <c r="L9087" s="17"/>
    </row>
    <row r="9088" s="11" customFormat="true" ht="10.95" hidden="false" customHeight="true" outlineLevel="0" collapsed="false">
      <c r="A9088" s="16" t="n">
        <v>45231</v>
      </c>
      <c r="B9088" s="17" t="s">
        <v>3803</v>
      </c>
      <c r="C9088" s="17" t="s">
        <v>3752</v>
      </c>
      <c r="D9088" s="17" t="s">
        <v>1276</v>
      </c>
      <c r="E9088" s="17" t="s">
        <v>3809</v>
      </c>
      <c r="F9088" s="17"/>
      <c r="G9088" s="18" t="n">
        <v>98.68</v>
      </c>
      <c r="H9088" s="18" t="n">
        <v>0</v>
      </c>
      <c r="I9088" s="18" t="n">
        <f aca="false">((I9087 + G9088) - H9088)</f>
        <v>-24653.5</v>
      </c>
      <c r="J9088" s="18" t="n">
        <v>0</v>
      </c>
      <c r="K9088" s="19" t="n">
        <v>0</v>
      </c>
      <c r="L9088" s="17"/>
    </row>
    <row r="9089" s="11" customFormat="true" ht="10.95" hidden="false" customHeight="true" outlineLevel="0" collapsed="false">
      <c r="A9089" s="16" t="n">
        <v>45232</v>
      </c>
      <c r="B9089" s="17" t="s">
        <v>3803</v>
      </c>
      <c r="C9089" s="17" t="s">
        <v>3752</v>
      </c>
      <c r="D9089" s="17" t="s">
        <v>1407</v>
      </c>
      <c r="E9089" s="17" t="s">
        <v>3804</v>
      </c>
      <c r="F9089" s="17"/>
      <c r="G9089" s="18" t="n">
        <v>0</v>
      </c>
      <c r="H9089" s="18" t="n">
        <v>39.99</v>
      </c>
      <c r="I9089" s="18" t="n">
        <f aca="false">((I9088 + G9089) - H9089)</f>
        <v>-24693.49</v>
      </c>
      <c r="J9089" s="18" t="n">
        <v>0</v>
      </c>
      <c r="K9089" s="19" t="n">
        <v>0</v>
      </c>
      <c r="L9089" s="17"/>
    </row>
    <row r="9090" s="11" customFormat="true" ht="10.95" hidden="false" customHeight="true" outlineLevel="0" collapsed="false">
      <c r="A9090" s="16" t="n">
        <v>45249</v>
      </c>
      <c r="B9090" s="17" t="s">
        <v>3803</v>
      </c>
      <c r="C9090" s="17" t="s">
        <v>3752</v>
      </c>
      <c r="D9090" s="17" t="s">
        <v>1407</v>
      </c>
      <c r="E9090" s="17" t="s">
        <v>3810</v>
      </c>
      <c r="F9090" s="17"/>
      <c r="G9090" s="18" t="n">
        <v>0</v>
      </c>
      <c r="H9090" s="18" t="n">
        <v>1945.44</v>
      </c>
      <c r="I9090" s="18" t="n">
        <f aca="false">((I9089 + G9090) - H9090)</f>
        <v>-26638.93</v>
      </c>
      <c r="J9090" s="18" t="n">
        <v>0</v>
      </c>
      <c r="K9090" s="19" t="n">
        <v>0</v>
      </c>
      <c r="L9090" s="17"/>
    </row>
    <row r="9091" s="11" customFormat="true" ht="10.95" hidden="false" customHeight="true" outlineLevel="0" collapsed="false">
      <c r="A9091" s="16" t="n">
        <v>45250</v>
      </c>
      <c r="B9091" s="17" t="s">
        <v>3803</v>
      </c>
      <c r="C9091" s="17" t="s">
        <v>3752</v>
      </c>
      <c r="D9091" s="17" t="s">
        <v>3753</v>
      </c>
      <c r="E9091" s="17" t="s">
        <v>3806</v>
      </c>
      <c r="F9091" s="17"/>
      <c r="G9091" s="18" t="n">
        <v>24693.49</v>
      </c>
      <c r="H9091" s="18" t="n">
        <v>0</v>
      </c>
      <c r="I9091" s="18" t="n">
        <f aca="false">((I9090 + G9091) - H9091)</f>
        <v>-1945.44</v>
      </c>
      <c r="J9091" s="18" t="n">
        <v>0</v>
      </c>
      <c r="K9091" s="19" t="n">
        <v>0</v>
      </c>
      <c r="L9091" s="17"/>
    </row>
    <row r="9092" s="11" customFormat="true" ht="10.95" hidden="false" customHeight="true" outlineLevel="0" collapsed="false">
      <c r="A9092" s="16" t="n">
        <v>45250</v>
      </c>
      <c r="B9092" s="17" t="s">
        <v>3803</v>
      </c>
      <c r="C9092" s="17" t="s">
        <v>3752</v>
      </c>
      <c r="D9092" s="17" t="s">
        <v>1407</v>
      </c>
      <c r="E9092" s="17" t="s">
        <v>3810</v>
      </c>
      <c r="F9092" s="17"/>
      <c r="G9092" s="18" t="n">
        <v>0</v>
      </c>
      <c r="H9092" s="18" t="n">
        <v>10068.91</v>
      </c>
      <c r="I9092" s="18" t="n">
        <f aca="false">((I9091 + G9092) - H9092)</f>
        <v>-12014.35</v>
      </c>
      <c r="J9092" s="18" t="n">
        <v>0</v>
      </c>
      <c r="K9092" s="19" t="n">
        <v>0</v>
      </c>
      <c r="L9092" s="17"/>
    </row>
    <row r="9093" s="11" customFormat="true" ht="10.95" hidden="false" customHeight="true" outlineLevel="0" collapsed="false">
      <c r="A9093" s="16" t="n">
        <v>45253</v>
      </c>
      <c r="B9093" s="17" t="s">
        <v>3803</v>
      </c>
      <c r="C9093" s="17" t="s">
        <v>3752</v>
      </c>
      <c r="D9093" s="17" t="s">
        <v>1407</v>
      </c>
      <c r="E9093" s="17" t="s">
        <v>3804</v>
      </c>
      <c r="F9093" s="17"/>
      <c r="G9093" s="18" t="n">
        <v>0</v>
      </c>
      <c r="H9093" s="18" t="n">
        <v>39.99</v>
      </c>
      <c r="I9093" s="18" t="n">
        <f aca="false">((I9092 + G9093) - H9093)</f>
        <v>-12054.34</v>
      </c>
      <c r="J9093" s="18" t="n">
        <v>0</v>
      </c>
      <c r="K9093" s="19" t="n">
        <v>0</v>
      </c>
      <c r="L9093" s="17"/>
    </row>
    <row r="9094" s="11" customFormat="true" ht="10.95" hidden="false" customHeight="true" outlineLevel="0" collapsed="false">
      <c r="A9094" s="16" t="n">
        <v>45257</v>
      </c>
      <c r="B9094" s="17" t="s">
        <v>3803</v>
      </c>
      <c r="C9094" s="17" t="s">
        <v>3752</v>
      </c>
      <c r="D9094" s="17" t="s">
        <v>1407</v>
      </c>
      <c r="E9094" s="17" t="s">
        <v>3805</v>
      </c>
      <c r="F9094" s="17"/>
      <c r="G9094" s="18" t="n">
        <v>0</v>
      </c>
      <c r="H9094" s="18" t="n">
        <v>94.87</v>
      </c>
      <c r="I9094" s="18" t="n">
        <f aca="false">((I9093 + G9094) - H9094)</f>
        <v>-12149.21</v>
      </c>
      <c r="J9094" s="18" t="n">
        <v>0</v>
      </c>
      <c r="K9094" s="19" t="n">
        <v>0</v>
      </c>
      <c r="L9094" s="17"/>
    </row>
    <row r="9095" s="11" customFormat="true" ht="10.95" hidden="false" customHeight="true" outlineLevel="0" collapsed="false">
      <c r="A9095" s="16" t="n">
        <v>45262</v>
      </c>
      <c r="B9095" s="17" t="s">
        <v>3803</v>
      </c>
      <c r="C9095" s="17" t="s">
        <v>3752</v>
      </c>
      <c r="D9095" s="17" t="s">
        <v>1407</v>
      </c>
      <c r="E9095" s="17" t="s">
        <v>3804</v>
      </c>
      <c r="F9095" s="17"/>
      <c r="G9095" s="18" t="n">
        <v>0</v>
      </c>
      <c r="H9095" s="18" t="n">
        <v>39.99</v>
      </c>
      <c r="I9095" s="18" t="n">
        <f aca="false">((I9094 + G9095) - H9095)</f>
        <v>-12189.2</v>
      </c>
      <c r="J9095" s="18" t="n">
        <v>0</v>
      </c>
      <c r="K9095" s="19" t="n">
        <v>0</v>
      </c>
      <c r="L9095" s="17"/>
    </row>
    <row r="9096" s="11" customFormat="true" ht="10.95" hidden="false" customHeight="true" outlineLevel="0" collapsed="false">
      <c r="A9096" s="16" t="n">
        <v>45263</v>
      </c>
      <c r="B9096" s="17" t="s">
        <v>3803</v>
      </c>
      <c r="C9096" s="17" t="s">
        <v>3752</v>
      </c>
      <c r="D9096" s="17" t="s">
        <v>2903</v>
      </c>
      <c r="E9096" s="17" t="s">
        <v>3690</v>
      </c>
      <c r="F9096" s="17" t="s">
        <v>3594</v>
      </c>
      <c r="G9096" s="18" t="n">
        <v>0</v>
      </c>
      <c r="H9096" s="18" t="n">
        <v>17568</v>
      </c>
      <c r="I9096" s="18" t="n">
        <f aca="false">((I9095 + G9096) - H9096)</f>
        <v>-29757.2</v>
      </c>
      <c r="J9096" s="18" t="n">
        <v>0</v>
      </c>
      <c r="K9096" s="19" t="n">
        <v>0</v>
      </c>
      <c r="L9096" s="17"/>
    </row>
    <row r="9097" s="11" customFormat="true" ht="10.95" hidden="false" customHeight="true" outlineLevel="0" collapsed="false">
      <c r="A9097" s="16" t="n">
        <v>45264</v>
      </c>
      <c r="B9097" s="17" t="s">
        <v>3803</v>
      </c>
      <c r="C9097" s="17" t="s">
        <v>3752</v>
      </c>
      <c r="D9097" s="17" t="s">
        <v>3753</v>
      </c>
      <c r="E9097" s="17" t="s">
        <v>3806</v>
      </c>
      <c r="F9097" s="17"/>
      <c r="G9097" s="18" t="n">
        <v>12189.2</v>
      </c>
      <c r="H9097" s="18" t="n">
        <v>0</v>
      </c>
      <c r="I9097" s="18" t="n">
        <f aca="false">((I9096 + G9097) - H9097)</f>
        <v>-17568</v>
      </c>
      <c r="J9097" s="18" t="n">
        <v>0</v>
      </c>
      <c r="K9097" s="19" t="n">
        <v>0</v>
      </c>
      <c r="L9097" s="17"/>
    </row>
    <row r="9098" s="11" customFormat="true" ht="10.95" hidden="false" customHeight="true" outlineLevel="0" collapsed="false">
      <c r="A9098" s="16" t="n">
        <v>45278</v>
      </c>
      <c r="B9098" s="17" t="s">
        <v>3803</v>
      </c>
      <c r="C9098" s="17" t="s">
        <v>3752</v>
      </c>
      <c r="D9098" s="17" t="s">
        <v>3753</v>
      </c>
      <c r="E9098" s="17" t="s">
        <v>3806</v>
      </c>
      <c r="F9098" s="17" t="s">
        <v>3811</v>
      </c>
      <c r="G9098" s="18" t="n">
        <v>17568</v>
      </c>
      <c r="H9098" s="18" t="n">
        <v>0</v>
      </c>
      <c r="I9098" s="18" t="n">
        <f aca="false">((I9097 + G9098) - H9098)</f>
        <v>0</v>
      </c>
      <c r="J9098" s="18" t="n">
        <v>0</v>
      </c>
      <c r="K9098" s="19" t="n">
        <v>0</v>
      </c>
      <c r="L9098" s="17"/>
    </row>
    <row r="9099" s="11" customFormat="true" ht="10.95" hidden="false" customHeight="true" outlineLevel="0" collapsed="false">
      <c r="A9099" s="16" t="n">
        <v>45279</v>
      </c>
      <c r="B9099" s="17" t="s">
        <v>3803</v>
      </c>
      <c r="C9099" s="17" t="s">
        <v>3752</v>
      </c>
      <c r="D9099" s="17" t="s">
        <v>2903</v>
      </c>
      <c r="E9099" s="17" t="s">
        <v>3696</v>
      </c>
      <c r="F9099" s="17" t="s">
        <v>3597</v>
      </c>
      <c r="G9099" s="18" t="n">
        <v>0</v>
      </c>
      <c r="H9099" s="18" t="n">
        <v>6251.74</v>
      </c>
      <c r="I9099" s="18" t="n">
        <f aca="false">((I9098 + G9099) - H9099)</f>
        <v>-6251.74</v>
      </c>
      <c r="J9099" s="18" t="n">
        <v>0</v>
      </c>
      <c r="K9099" s="19" t="n">
        <v>0</v>
      </c>
      <c r="L9099" s="17"/>
    </row>
    <row r="9100" s="11" customFormat="true" ht="10.95" hidden="false" customHeight="true" outlineLevel="0" collapsed="false">
      <c r="A9100" s="16" t="n">
        <v>45279</v>
      </c>
      <c r="B9100" s="17" t="s">
        <v>3803</v>
      </c>
      <c r="C9100" s="17" t="s">
        <v>3752</v>
      </c>
      <c r="D9100" s="17" t="s">
        <v>1407</v>
      </c>
      <c r="E9100" s="17" t="s">
        <v>3759</v>
      </c>
      <c r="F9100" s="17"/>
      <c r="G9100" s="18" t="n">
        <v>0</v>
      </c>
      <c r="H9100" s="18" t="n">
        <v>83</v>
      </c>
      <c r="I9100" s="18" t="n">
        <f aca="false">((I9099 + G9100) - H9100)</f>
        <v>-6334.74</v>
      </c>
      <c r="J9100" s="18" t="n">
        <v>0</v>
      </c>
      <c r="K9100" s="19" t="n">
        <v>0</v>
      </c>
      <c r="L9100" s="17"/>
    </row>
    <row r="9101" s="11" customFormat="true" ht="10.95" hidden="false" customHeight="true" outlineLevel="0" collapsed="false">
      <c r="A9101" s="16" t="n">
        <v>45281</v>
      </c>
      <c r="B9101" s="17" t="s">
        <v>3803</v>
      </c>
      <c r="C9101" s="17" t="s">
        <v>3752</v>
      </c>
      <c r="D9101" s="17" t="s">
        <v>1407</v>
      </c>
      <c r="E9101" s="17" t="s">
        <v>3810</v>
      </c>
      <c r="F9101" s="17"/>
      <c r="G9101" s="18" t="n">
        <v>0</v>
      </c>
      <c r="H9101" s="18" t="n">
        <v>10015.06</v>
      </c>
      <c r="I9101" s="18" t="n">
        <f aca="false">((I9100 + G9101) - H9101)</f>
        <v>-16349.8</v>
      </c>
      <c r="J9101" s="18" t="n">
        <v>0</v>
      </c>
      <c r="K9101" s="19" t="n">
        <v>0</v>
      </c>
      <c r="L9101" s="17"/>
    </row>
    <row r="9102" s="11" customFormat="true" ht="10.95" hidden="false" customHeight="true" outlineLevel="0" collapsed="false">
      <c r="A9102" s="16" t="n">
        <v>45282</v>
      </c>
      <c r="B9102" s="17" t="s">
        <v>3803</v>
      </c>
      <c r="C9102" s="17" t="s">
        <v>3752</v>
      </c>
      <c r="D9102" s="17" t="s">
        <v>1276</v>
      </c>
      <c r="E9102" s="17" t="s">
        <v>3759</v>
      </c>
      <c r="F9102" s="17"/>
      <c r="G9102" s="18" t="n">
        <v>83</v>
      </c>
      <c r="H9102" s="18" t="n">
        <v>0</v>
      </c>
      <c r="I9102" s="18" t="n">
        <f aca="false">((I9101 + G9102) - H9102)</f>
        <v>-16266.8</v>
      </c>
      <c r="J9102" s="18" t="n">
        <v>0</v>
      </c>
      <c r="K9102" s="19" t="n">
        <v>0</v>
      </c>
      <c r="L9102" s="17"/>
    </row>
    <row r="9103" s="11" customFormat="true" ht="10.95" hidden="false" customHeight="true" outlineLevel="0" collapsed="false">
      <c r="A9103" s="16" t="n">
        <v>45283</v>
      </c>
      <c r="B9103" s="17" t="s">
        <v>3803</v>
      </c>
      <c r="C9103" s="17" t="s">
        <v>3752</v>
      </c>
      <c r="D9103" s="17" t="s">
        <v>1407</v>
      </c>
      <c r="E9103" s="17" t="s">
        <v>3804</v>
      </c>
      <c r="F9103" s="17"/>
      <c r="G9103" s="18" t="n">
        <v>0</v>
      </c>
      <c r="H9103" s="18" t="n">
        <v>39.99</v>
      </c>
      <c r="I9103" s="18" t="n">
        <f aca="false">((I9102 + G9103) - H9103)</f>
        <v>-16306.79</v>
      </c>
      <c r="J9103" s="18" t="n">
        <v>0</v>
      </c>
      <c r="K9103" s="19" t="n">
        <v>0</v>
      </c>
      <c r="L9103" s="17"/>
    </row>
    <row r="9104" s="11" customFormat="true" ht="10.95" hidden="false" customHeight="true" outlineLevel="0" collapsed="false">
      <c r="A9104" s="16" t="n">
        <v>45286</v>
      </c>
      <c r="B9104" s="17" t="s">
        <v>3803</v>
      </c>
      <c r="C9104" s="17" t="s">
        <v>3752</v>
      </c>
      <c r="D9104" s="17" t="s">
        <v>1407</v>
      </c>
      <c r="E9104" s="17" t="s">
        <v>3812</v>
      </c>
      <c r="F9104" s="17"/>
      <c r="G9104" s="18" t="n">
        <v>0</v>
      </c>
      <c r="H9104" s="18" t="n">
        <v>8226.11</v>
      </c>
      <c r="I9104" s="18" t="n">
        <f aca="false">((I9103 + G9104) - H9104)</f>
        <v>-24532.9</v>
      </c>
      <c r="J9104" s="18" t="n">
        <v>0</v>
      </c>
      <c r="K9104" s="19" t="n">
        <v>0</v>
      </c>
      <c r="L9104" s="17"/>
    </row>
    <row r="9105" s="11" customFormat="true" ht="10.95" hidden="false" customHeight="true" outlineLevel="0" collapsed="false">
      <c r="A9105" s="16" t="n">
        <v>45287</v>
      </c>
      <c r="B9105" s="17" t="s">
        <v>3803</v>
      </c>
      <c r="C9105" s="17" t="s">
        <v>3752</v>
      </c>
      <c r="D9105" s="17" t="s">
        <v>1407</v>
      </c>
      <c r="E9105" s="17" t="s">
        <v>3805</v>
      </c>
      <c r="F9105" s="17"/>
      <c r="G9105" s="18" t="n">
        <v>0</v>
      </c>
      <c r="H9105" s="18" t="n">
        <v>91.53</v>
      </c>
      <c r="I9105" s="18" t="n">
        <f aca="false">((I9104 + G9105) - H9105)</f>
        <v>-24624.43</v>
      </c>
      <c r="J9105" s="18" t="n">
        <v>0</v>
      </c>
      <c r="K9105" s="19" t="n">
        <v>0</v>
      </c>
      <c r="L9105" s="17"/>
    </row>
    <row r="9106" s="11" customFormat="true" ht="10.95" hidden="false" customHeight="true" outlineLevel="0" collapsed="false">
      <c r="A9106" s="16" t="n">
        <v>45287</v>
      </c>
      <c r="B9106" s="17" t="s">
        <v>3803</v>
      </c>
      <c r="C9106" s="17" t="s">
        <v>3752</v>
      </c>
      <c r="D9106" s="17" t="s">
        <v>1407</v>
      </c>
      <c r="E9106" s="17" t="s">
        <v>1583</v>
      </c>
      <c r="F9106" s="17"/>
      <c r="G9106" s="18" t="n">
        <v>0</v>
      </c>
      <c r="H9106" s="18" t="n">
        <v>2479.17</v>
      </c>
      <c r="I9106" s="18" t="n">
        <f aca="false">((I9105 + G9106) - H9106)</f>
        <v>-27103.6</v>
      </c>
      <c r="J9106" s="18" t="n">
        <v>0</v>
      </c>
      <c r="K9106" s="19" t="n">
        <v>0</v>
      </c>
      <c r="L9106" s="17"/>
    </row>
    <row r="9107" s="11" customFormat="true" ht="10.95" hidden="false" customHeight="true" outlineLevel="0" collapsed="false">
      <c r="A9107" s="16" t="n">
        <v>45289</v>
      </c>
      <c r="B9107" s="17" t="s">
        <v>3803</v>
      </c>
      <c r="C9107" s="17" t="s">
        <v>3752</v>
      </c>
      <c r="D9107" s="17" t="s">
        <v>1407</v>
      </c>
      <c r="E9107" s="17" t="s">
        <v>3813</v>
      </c>
      <c r="F9107" s="17"/>
      <c r="G9107" s="18" t="n">
        <v>0</v>
      </c>
      <c r="H9107" s="18" t="n">
        <v>669.33</v>
      </c>
      <c r="I9107" s="18" t="n">
        <f aca="false">((I9106 + G9107) - H9107)</f>
        <v>-27772.93</v>
      </c>
      <c r="J9107" s="18" t="n">
        <v>0</v>
      </c>
      <c r="K9107" s="19" t="n">
        <v>0</v>
      </c>
      <c r="L9107" s="17"/>
    </row>
    <row r="9108" s="11" customFormat="true" ht="10.95" hidden="false" customHeight="true" outlineLevel="0" collapsed="false">
      <c r="A9108" s="16" t="n">
        <v>45289</v>
      </c>
      <c r="B9108" s="17" t="s">
        <v>3803</v>
      </c>
      <c r="C9108" s="17" t="s">
        <v>3752</v>
      </c>
      <c r="D9108" s="17" t="s">
        <v>1407</v>
      </c>
      <c r="E9108" s="17" t="s">
        <v>3813</v>
      </c>
      <c r="F9108" s="17"/>
      <c r="G9108" s="18" t="n">
        <v>0</v>
      </c>
      <c r="H9108" s="18" t="n">
        <v>5.46</v>
      </c>
      <c r="I9108" s="18" t="n">
        <f aca="false">((I9107 + G9108) - H9108)</f>
        <v>-27778.39</v>
      </c>
      <c r="J9108" s="18" t="n">
        <v>0</v>
      </c>
      <c r="K9108" s="19" t="n">
        <v>0</v>
      </c>
      <c r="L9108" s="17"/>
    </row>
    <row r="9109" s="11" customFormat="true" ht="10.95" hidden="false" customHeight="true" outlineLevel="0" collapsed="false">
      <c r="A9109" s="16" t="n">
        <v>45289</v>
      </c>
      <c r="B9109" s="17" t="s">
        <v>3803</v>
      </c>
      <c r="C9109" s="17" t="s">
        <v>3752</v>
      </c>
      <c r="D9109" s="17" t="s">
        <v>1407</v>
      </c>
      <c r="E9109" s="17" t="s">
        <v>3813</v>
      </c>
      <c r="F9109" s="17"/>
      <c r="G9109" s="18" t="n">
        <v>0</v>
      </c>
      <c r="H9109" s="18" t="n">
        <v>931.48</v>
      </c>
      <c r="I9109" s="18" t="n">
        <f aca="false">((I9108 + G9109) - H9109)</f>
        <v>-28709.87</v>
      </c>
      <c r="J9109" s="18" t="n">
        <v>0</v>
      </c>
      <c r="K9109" s="19" t="n">
        <v>0</v>
      </c>
      <c r="L9109" s="17"/>
    </row>
    <row r="9110" s="11" customFormat="true" ht="10.95" hidden="false" customHeight="true" outlineLevel="0" collapsed="false">
      <c r="A9110" s="16" t="n">
        <v>45293</v>
      </c>
      <c r="B9110" s="17" t="s">
        <v>3803</v>
      </c>
      <c r="C9110" s="17" t="s">
        <v>3752</v>
      </c>
      <c r="D9110" s="17" t="s">
        <v>1407</v>
      </c>
      <c r="E9110" s="17" t="s">
        <v>3804</v>
      </c>
      <c r="F9110" s="17"/>
      <c r="G9110" s="18" t="n">
        <v>0</v>
      </c>
      <c r="H9110" s="18" t="n">
        <v>39.99</v>
      </c>
      <c r="I9110" s="18" t="n">
        <f aca="false">((I9109 + G9110) - H9110)</f>
        <v>-28749.86</v>
      </c>
      <c r="J9110" s="18" t="n">
        <v>0</v>
      </c>
      <c r="K9110" s="19" t="n">
        <v>0</v>
      </c>
      <c r="L9110" s="17"/>
    </row>
    <row r="9111" s="11" customFormat="true" ht="10.95" hidden="false" customHeight="true" outlineLevel="0" collapsed="false">
      <c r="A9111" s="16" t="n">
        <v>45296</v>
      </c>
      <c r="B9111" s="17" t="s">
        <v>3803</v>
      </c>
      <c r="C9111" s="17" t="s">
        <v>3752</v>
      </c>
      <c r="D9111" s="17" t="s">
        <v>3753</v>
      </c>
      <c r="E9111" s="17" t="s">
        <v>3806</v>
      </c>
      <c r="F9111" s="17" t="s">
        <v>3811</v>
      </c>
      <c r="G9111" s="18" t="n">
        <v>28749.86</v>
      </c>
      <c r="H9111" s="18" t="n">
        <v>0</v>
      </c>
      <c r="I9111" s="18" t="n">
        <f aca="false">((I9110 + G9111) - H9111)</f>
        <v>0</v>
      </c>
      <c r="J9111" s="18" t="n">
        <v>0</v>
      </c>
      <c r="K9111" s="19" t="n">
        <v>0</v>
      </c>
      <c r="L9111" s="17"/>
    </row>
    <row r="9112" s="11" customFormat="true" ht="10.95" hidden="false" customHeight="true" outlineLevel="0" collapsed="false">
      <c r="A9112" s="16" t="n">
        <v>45296</v>
      </c>
      <c r="B9112" s="17" t="s">
        <v>3803</v>
      </c>
      <c r="C9112" s="17" t="s">
        <v>3752</v>
      </c>
      <c r="D9112" s="17" t="s">
        <v>1407</v>
      </c>
      <c r="E9112" s="17" t="s">
        <v>3810</v>
      </c>
      <c r="F9112" s="17"/>
      <c r="G9112" s="18" t="n">
        <v>0</v>
      </c>
      <c r="H9112" s="18" t="n">
        <v>18491.34</v>
      </c>
      <c r="I9112" s="18" t="n">
        <f aca="false">((I9111 + G9112) - H9112)</f>
        <v>-18491.34</v>
      </c>
      <c r="J9112" s="18" t="n">
        <v>0</v>
      </c>
      <c r="K9112" s="19" t="n">
        <v>0</v>
      </c>
      <c r="L9112" s="17"/>
    </row>
    <row r="9113" s="11" customFormat="true" ht="10.95" hidden="false" customHeight="true" outlineLevel="0" collapsed="false">
      <c r="A9113" s="16" t="n">
        <v>45300</v>
      </c>
      <c r="B9113" s="17" t="s">
        <v>3803</v>
      </c>
      <c r="C9113" s="17" t="s">
        <v>3752</v>
      </c>
      <c r="D9113" s="17" t="s">
        <v>2903</v>
      </c>
      <c r="E9113" s="17" t="s">
        <v>3657</v>
      </c>
      <c r="F9113" s="17" t="s">
        <v>3208</v>
      </c>
      <c r="G9113" s="18" t="n">
        <v>0</v>
      </c>
      <c r="H9113" s="18" t="n">
        <v>3239.5</v>
      </c>
      <c r="I9113" s="18" t="n">
        <f aca="false">((I9112 + G9113) - H9113)</f>
        <v>-21730.84</v>
      </c>
      <c r="J9113" s="18" t="n">
        <v>0</v>
      </c>
      <c r="K9113" s="19" t="n">
        <v>0</v>
      </c>
      <c r="L9113" s="17"/>
    </row>
    <row r="9114" s="11" customFormat="true" ht="10.95" hidden="false" customHeight="true" outlineLevel="0" collapsed="false">
      <c r="A9114" s="16" t="n">
        <v>45300</v>
      </c>
      <c r="B9114" s="17" t="s">
        <v>3803</v>
      </c>
      <c r="C9114" s="17" t="s">
        <v>3752</v>
      </c>
      <c r="D9114" s="17" t="s">
        <v>2903</v>
      </c>
      <c r="E9114" s="17" t="s">
        <v>3675</v>
      </c>
      <c r="F9114" s="17" t="s">
        <v>3210</v>
      </c>
      <c r="G9114" s="18" t="n">
        <v>0</v>
      </c>
      <c r="H9114" s="18" t="n">
        <v>3867.8</v>
      </c>
      <c r="I9114" s="18" t="n">
        <f aca="false">((I9113 + G9114) - H9114)</f>
        <v>-25598.64</v>
      </c>
      <c r="J9114" s="18" t="n">
        <v>0</v>
      </c>
      <c r="K9114" s="19" t="n">
        <v>0</v>
      </c>
      <c r="L9114" s="17"/>
    </row>
    <row r="9115" s="11" customFormat="true" ht="10.95" hidden="false" customHeight="true" outlineLevel="0" collapsed="false">
      <c r="A9115" s="16" t="n">
        <v>45300</v>
      </c>
      <c r="B9115" s="17" t="s">
        <v>3803</v>
      </c>
      <c r="C9115" s="17" t="s">
        <v>3752</v>
      </c>
      <c r="D9115" s="17" t="s">
        <v>3814</v>
      </c>
      <c r="E9115" s="17" t="s">
        <v>3815</v>
      </c>
      <c r="F9115" s="17"/>
      <c r="G9115" s="18" t="n">
        <v>0</v>
      </c>
      <c r="H9115" s="18" t="n">
        <v>0.01</v>
      </c>
      <c r="I9115" s="18" t="n">
        <f aca="false">((I9114 + G9115) - H9115)</f>
        <v>-25598.65</v>
      </c>
      <c r="J9115" s="18" t="n">
        <v>0</v>
      </c>
      <c r="K9115" s="19" t="n">
        <v>0</v>
      </c>
      <c r="L9115" s="17"/>
    </row>
    <row r="9116" s="11" customFormat="true" ht="10.95" hidden="false" customHeight="true" outlineLevel="0" collapsed="false">
      <c r="A9116" s="16" t="n">
        <v>45300</v>
      </c>
      <c r="B9116" s="17" t="s">
        <v>3803</v>
      </c>
      <c r="C9116" s="17" t="s">
        <v>3752</v>
      </c>
      <c r="D9116" s="17" t="s">
        <v>1407</v>
      </c>
      <c r="E9116" s="17" t="s">
        <v>3816</v>
      </c>
      <c r="F9116" s="17"/>
      <c r="G9116" s="18" t="n">
        <v>0</v>
      </c>
      <c r="H9116" s="18" t="n">
        <v>2344.08</v>
      </c>
      <c r="I9116" s="18" t="n">
        <f aca="false">((I9115 + G9116) - H9116)</f>
        <v>-27942.73</v>
      </c>
      <c r="J9116" s="18" t="n">
        <v>0</v>
      </c>
      <c r="K9116" s="19" t="n">
        <v>0</v>
      </c>
      <c r="L9116" s="17"/>
    </row>
    <row r="9117" s="11" customFormat="true" ht="10.95" hidden="false" customHeight="true" outlineLevel="0" collapsed="false">
      <c r="A9117" s="16" t="n">
        <v>45309</v>
      </c>
      <c r="B9117" s="17" t="s">
        <v>3803</v>
      </c>
      <c r="C9117" s="17" t="s">
        <v>3752</v>
      </c>
      <c r="D9117" s="17" t="s">
        <v>1407</v>
      </c>
      <c r="E9117" s="17" t="s">
        <v>3817</v>
      </c>
      <c r="F9117" s="17"/>
      <c r="G9117" s="18" t="n">
        <v>0</v>
      </c>
      <c r="H9117" s="18" t="n">
        <v>1538.09</v>
      </c>
      <c r="I9117" s="18" t="n">
        <f aca="false">((I9116 + G9117) - H9117)</f>
        <v>-29480.82</v>
      </c>
      <c r="J9117" s="18" t="n">
        <v>0</v>
      </c>
      <c r="K9117" s="19" t="n">
        <v>0</v>
      </c>
      <c r="L9117" s="17"/>
    </row>
    <row r="9118" s="11" customFormat="true" ht="10.95" hidden="false" customHeight="true" outlineLevel="0" collapsed="false">
      <c r="A9118" s="16" t="n">
        <v>45310</v>
      </c>
      <c r="B9118" s="17" t="s">
        <v>3803</v>
      </c>
      <c r="C9118" s="17" t="s">
        <v>3752</v>
      </c>
      <c r="D9118" s="17" t="s">
        <v>1407</v>
      </c>
      <c r="E9118" s="17" t="s">
        <v>3818</v>
      </c>
      <c r="F9118" s="17"/>
      <c r="G9118" s="18" t="n">
        <v>0</v>
      </c>
      <c r="H9118" s="18" t="n">
        <v>54.26</v>
      </c>
      <c r="I9118" s="18" t="n">
        <f aca="false">((I9117 + G9118) - H9118)</f>
        <v>-29535.08</v>
      </c>
      <c r="J9118" s="18" t="n">
        <v>0</v>
      </c>
      <c r="K9118" s="19" t="n">
        <v>0</v>
      </c>
      <c r="L9118" s="17"/>
    </row>
    <row r="9119" s="11" customFormat="true" ht="10.95" hidden="false" customHeight="true" outlineLevel="0" collapsed="false">
      <c r="A9119" s="16" t="n">
        <v>45312</v>
      </c>
      <c r="B9119" s="17" t="s">
        <v>3803</v>
      </c>
      <c r="C9119" s="17" t="s">
        <v>3752</v>
      </c>
      <c r="D9119" s="17" t="s">
        <v>1276</v>
      </c>
      <c r="E9119" s="17" t="s">
        <v>3810</v>
      </c>
      <c r="F9119" s="17"/>
      <c r="G9119" s="18" t="n">
        <v>9738.91</v>
      </c>
      <c r="H9119" s="18" t="n">
        <v>0</v>
      </c>
      <c r="I9119" s="18" t="n">
        <f aca="false">((I9118 + G9119) - H9119)</f>
        <v>-19796.17</v>
      </c>
      <c r="J9119" s="18" t="n">
        <v>0</v>
      </c>
      <c r="K9119" s="19" t="n">
        <v>0</v>
      </c>
      <c r="L9119" s="17"/>
    </row>
    <row r="9120" s="11" customFormat="true" ht="10.95" hidden="false" customHeight="true" outlineLevel="0" collapsed="false">
      <c r="A9120" s="16" t="n">
        <v>45314</v>
      </c>
      <c r="B9120" s="17" t="s">
        <v>3803</v>
      </c>
      <c r="C9120" s="17" t="s">
        <v>3752</v>
      </c>
      <c r="D9120" s="17" t="s">
        <v>1407</v>
      </c>
      <c r="E9120" s="17" t="s">
        <v>3804</v>
      </c>
      <c r="F9120" s="17"/>
      <c r="G9120" s="18" t="n">
        <v>0</v>
      </c>
      <c r="H9120" s="18" t="n">
        <v>39.99</v>
      </c>
      <c r="I9120" s="18" t="n">
        <f aca="false">((I9119 + G9120) - H9120)</f>
        <v>-19836.16</v>
      </c>
      <c r="J9120" s="18" t="n">
        <v>0</v>
      </c>
      <c r="K9120" s="19" t="n">
        <v>0</v>
      </c>
      <c r="L9120" s="17"/>
    </row>
    <row r="9121" s="11" customFormat="true" ht="10.95" hidden="false" customHeight="true" outlineLevel="0" collapsed="false">
      <c r="A9121" s="16" t="n">
        <v>45314</v>
      </c>
      <c r="B9121" s="17" t="s">
        <v>3803</v>
      </c>
      <c r="C9121" s="17" t="s">
        <v>3752</v>
      </c>
      <c r="D9121" s="17" t="s">
        <v>1407</v>
      </c>
      <c r="E9121" s="17" t="s">
        <v>3819</v>
      </c>
      <c r="F9121" s="17"/>
      <c r="G9121" s="18" t="n">
        <v>0</v>
      </c>
      <c r="H9121" s="18" t="n">
        <v>785.77</v>
      </c>
      <c r="I9121" s="18" t="n">
        <f aca="false">((I9120 + G9121) - H9121)</f>
        <v>-20621.93</v>
      </c>
      <c r="J9121" s="18" t="n">
        <v>0</v>
      </c>
      <c r="K9121" s="19" t="n">
        <v>0</v>
      </c>
      <c r="L9121" s="17"/>
    </row>
    <row r="9122" s="11" customFormat="true" ht="10.95" hidden="false" customHeight="true" outlineLevel="0" collapsed="false">
      <c r="A9122" s="16" t="n">
        <v>45316</v>
      </c>
      <c r="B9122" s="17" t="s">
        <v>3803</v>
      </c>
      <c r="C9122" s="17" t="s">
        <v>3752</v>
      </c>
      <c r="D9122" s="17" t="s">
        <v>1407</v>
      </c>
      <c r="E9122" s="17" t="s">
        <v>3820</v>
      </c>
      <c r="F9122" s="17"/>
      <c r="G9122" s="18" t="n">
        <v>0</v>
      </c>
      <c r="H9122" s="18" t="n">
        <v>405.22</v>
      </c>
      <c r="I9122" s="18" t="n">
        <f aca="false">((I9121 + G9122) - H9122)</f>
        <v>-21027.15</v>
      </c>
      <c r="J9122" s="18" t="n">
        <v>0</v>
      </c>
      <c r="K9122" s="19" t="n">
        <v>0</v>
      </c>
      <c r="L9122" s="17"/>
    </row>
    <row r="9123" s="11" customFormat="true" ht="10.95" hidden="false" customHeight="true" outlineLevel="0" collapsed="false">
      <c r="A9123" s="16" t="n">
        <v>45316</v>
      </c>
      <c r="B9123" s="17" t="s">
        <v>3803</v>
      </c>
      <c r="C9123" s="17" t="s">
        <v>3752</v>
      </c>
      <c r="D9123" s="17" t="s">
        <v>1276</v>
      </c>
      <c r="E9123" s="17" t="s">
        <v>3819</v>
      </c>
      <c r="F9123" s="17"/>
      <c r="G9123" s="18" t="n">
        <v>375.98</v>
      </c>
      <c r="H9123" s="18" t="n">
        <v>0</v>
      </c>
      <c r="I9123" s="18" t="n">
        <f aca="false">((I9122 + G9123) - H9123)</f>
        <v>-20651.17</v>
      </c>
      <c r="J9123" s="18" t="n">
        <v>0</v>
      </c>
      <c r="K9123" s="19" t="n">
        <v>0</v>
      </c>
      <c r="L9123" s="17"/>
    </row>
    <row r="9124" s="11" customFormat="true" ht="10.95" hidden="false" customHeight="true" outlineLevel="0" collapsed="false">
      <c r="A9124" s="16" t="n">
        <v>45317</v>
      </c>
      <c r="B9124" s="17" t="s">
        <v>3803</v>
      </c>
      <c r="C9124" s="17" t="s">
        <v>3752</v>
      </c>
      <c r="D9124" s="17" t="s">
        <v>3753</v>
      </c>
      <c r="E9124" s="17" t="s">
        <v>3806</v>
      </c>
      <c r="F9124" s="17"/>
      <c r="G9124" s="18" t="n">
        <v>18491.34</v>
      </c>
      <c r="H9124" s="18" t="n">
        <v>0</v>
      </c>
      <c r="I9124" s="18" t="n">
        <f aca="false">((I9123 + G9124) - H9124)</f>
        <v>-2159.83</v>
      </c>
      <c r="J9124" s="18" t="n">
        <v>0</v>
      </c>
      <c r="K9124" s="19" t="n">
        <v>0</v>
      </c>
      <c r="L9124" s="17"/>
    </row>
    <row r="9125" s="11" customFormat="true" ht="10.95" hidden="false" customHeight="true" outlineLevel="0" collapsed="false">
      <c r="A9125" s="16" t="n">
        <v>45317</v>
      </c>
      <c r="B9125" s="17" t="s">
        <v>3803</v>
      </c>
      <c r="C9125" s="17" t="s">
        <v>3752</v>
      </c>
      <c r="D9125" s="17" t="s">
        <v>1407</v>
      </c>
      <c r="E9125" s="17" t="s">
        <v>3779</v>
      </c>
      <c r="F9125" s="17"/>
      <c r="G9125" s="18" t="n">
        <v>0</v>
      </c>
      <c r="H9125" s="18" t="n">
        <v>382.51</v>
      </c>
      <c r="I9125" s="18" t="n">
        <f aca="false">((I9124 + G9125) - H9125)</f>
        <v>-2542.34</v>
      </c>
      <c r="J9125" s="18" t="n">
        <v>0</v>
      </c>
      <c r="K9125" s="19" t="n">
        <v>0</v>
      </c>
      <c r="L9125" s="17"/>
    </row>
    <row r="9126" s="11" customFormat="true" ht="10.95" hidden="false" customHeight="true" outlineLevel="0" collapsed="false">
      <c r="A9126" s="16" t="n">
        <v>45318</v>
      </c>
      <c r="B9126" s="17" t="s">
        <v>3803</v>
      </c>
      <c r="C9126" s="17" t="s">
        <v>3752</v>
      </c>
      <c r="D9126" s="17" t="s">
        <v>1407</v>
      </c>
      <c r="E9126" s="17" t="s">
        <v>3805</v>
      </c>
      <c r="F9126" s="17"/>
      <c r="G9126" s="18" t="n">
        <v>0</v>
      </c>
      <c r="H9126" s="18" t="n">
        <v>94.96</v>
      </c>
      <c r="I9126" s="18" t="n">
        <f aca="false">((I9125 + G9126) - H9126)</f>
        <v>-2637.3</v>
      </c>
      <c r="J9126" s="18" t="n">
        <v>0</v>
      </c>
      <c r="K9126" s="19" t="n">
        <v>0</v>
      </c>
      <c r="L9126" s="17"/>
    </row>
    <row r="9127" s="11" customFormat="true" ht="10.95" hidden="false" customHeight="true" outlineLevel="0" collapsed="false">
      <c r="A9127" s="16" t="n">
        <v>45318</v>
      </c>
      <c r="B9127" s="17" t="s">
        <v>3803</v>
      </c>
      <c r="C9127" s="17" t="s">
        <v>3752</v>
      </c>
      <c r="D9127" s="17" t="s">
        <v>1407</v>
      </c>
      <c r="E9127" s="17" t="s">
        <v>3821</v>
      </c>
      <c r="F9127" s="17"/>
      <c r="G9127" s="18" t="n">
        <v>0</v>
      </c>
      <c r="H9127" s="18" t="n">
        <v>637.64</v>
      </c>
      <c r="I9127" s="18" t="n">
        <f aca="false">((I9126 + G9127) - H9127)</f>
        <v>-3274.94</v>
      </c>
      <c r="J9127" s="18" t="n">
        <v>0</v>
      </c>
      <c r="K9127" s="19" t="n">
        <v>0</v>
      </c>
      <c r="L9127" s="17"/>
    </row>
    <row r="9128" s="11" customFormat="true" ht="10.95" hidden="false" customHeight="true" outlineLevel="0" collapsed="false">
      <c r="A9128" s="16" t="n">
        <v>45322</v>
      </c>
      <c r="B9128" s="17" t="s">
        <v>3803</v>
      </c>
      <c r="C9128" s="17" t="s">
        <v>3752</v>
      </c>
      <c r="D9128" s="17" t="s">
        <v>3753</v>
      </c>
      <c r="E9128" s="17" t="s">
        <v>3806</v>
      </c>
      <c r="F9128" s="17" t="s">
        <v>3822</v>
      </c>
      <c r="G9128" s="18" t="n">
        <v>3274.94</v>
      </c>
      <c r="H9128" s="18" t="n">
        <v>0</v>
      </c>
      <c r="I9128" s="18" t="n">
        <f aca="false">((I9127 + G9128) - H9128)</f>
        <v>0</v>
      </c>
      <c r="J9128" s="18" t="n">
        <v>0</v>
      </c>
      <c r="K9128" s="19" t="n">
        <v>0</v>
      </c>
      <c r="L9128" s="17"/>
    </row>
    <row r="9129" s="11" customFormat="true" ht="10.95" hidden="false" customHeight="true" outlineLevel="0" collapsed="false">
      <c r="A9129" s="16" t="n">
        <v>45324</v>
      </c>
      <c r="B9129" s="17" t="s">
        <v>3803</v>
      </c>
      <c r="C9129" s="17" t="s">
        <v>3752</v>
      </c>
      <c r="D9129" s="17" t="s">
        <v>2903</v>
      </c>
      <c r="E9129" s="17" t="s">
        <v>3049</v>
      </c>
      <c r="F9129" s="17" t="s">
        <v>1604</v>
      </c>
      <c r="G9129" s="18" t="n">
        <v>0</v>
      </c>
      <c r="H9129" s="18" t="n">
        <v>14976.02</v>
      </c>
      <c r="I9129" s="18" t="n">
        <f aca="false">((I9128 + G9129) - H9129)</f>
        <v>-14976.02</v>
      </c>
      <c r="J9129" s="18" t="n">
        <v>0</v>
      </c>
      <c r="K9129" s="19" t="n">
        <v>0</v>
      </c>
      <c r="L9129" s="17"/>
    </row>
    <row r="9130" s="11" customFormat="true" ht="10.95" hidden="false" customHeight="true" outlineLevel="0" collapsed="false">
      <c r="A9130" s="16" t="n">
        <v>45325</v>
      </c>
      <c r="B9130" s="17" t="s">
        <v>3803</v>
      </c>
      <c r="C9130" s="17" t="s">
        <v>3752</v>
      </c>
      <c r="D9130" s="17" t="s">
        <v>1407</v>
      </c>
      <c r="E9130" s="17" t="s">
        <v>3804</v>
      </c>
      <c r="F9130" s="17"/>
      <c r="G9130" s="18" t="n">
        <v>0</v>
      </c>
      <c r="H9130" s="18" t="n">
        <v>39.99</v>
      </c>
      <c r="I9130" s="18" t="n">
        <f aca="false">((I9129 + G9130) - H9130)</f>
        <v>-15016.01</v>
      </c>
      <c r="J9130" s="18" t="n">
        <v>0</v>
      </c>
      <c r="K9130" s="19" t="n">
        <v>0</v>
      </c>
      <c r="L9130" s="17"/>
    </row>
    <row r="9131" s="11" customFormat="true" ht="10.95" hidden="false" customHeight="true" outlineLevel="0" collapsed="false">
      <c r="A9131" s="16" t="n">
        <v>45329</v>
      </c>
      <c r="B9131" s="17" t="s">
        <v>3803</v>
      </c>
      <c r="C9131" s="17" t="s">
        <v>3752</v>
      </c>
      <c r="D9131" s="17" t="s">
        <v>1407</v>
      </c>
      <c r="E9131" s="17" t="s">
        <v>3809</v>
      </c>
      <c r="F9131" s="17"/>
      <c r="G9131" s="18" t="n">
        <v>0</v>
      </c>
      <c r="H9131" s="18" t="n">
        <v>395</v>
      </c>
      <c r="I9131" s="18" t="n">
        <f aca="false">((I9130 + G9131) - H9131)</f>
        <v>-15411.01</v>
      </c>
      <c r="J9131" s="18" t="n">
        <v>0</v>
      </c>
      <c r="K9131" s="19" t="n">
        <v>0</v>
      </c>
      <c r="L9131" s="17"/>
    </row>
    <row r="9132" s="11" customFormat="true" ht="10.95" hidden="false" customHeight="true" outlineLevel="0" collapsed="false">
      <c r="A9132" s="16" t="n">
        <v>45335</v>
      </c>
      <c r="B9132" s="17" t="s">
        <v>3803</v>
      </c>
      <c r="C9132" s="17" t="s">
        <v>3752</v>
      </c>
      <c r="D9132" s="17" t="s">
        <v>3753</v>
      </c>
      <c r="E9132" s="17" t="s">
        <v>3806</v>
      </c>
      <c r="F9132" s="17" t="s">
        <v>3823</v>
      </c>
      <c r="G9132" s="18" t="n">
        <v>15411.01</v>
      </c>
      <c r="H9132" s="18" t="n">
        <v>0</v>
      </c>
      <c r="I9132" s="18" t="n">
        <f aca="false">((I9131 + G9132) - H9132)</f>
        <v>0</v>
      </c>
      <c r="J9132" s="18" t="n">
        <v>0</v>
      </c>
      <c r="K9132" s="19" t="n">
        <v>0</v>
      </c>
      <c r="L9132" s="17"/>
    </row>
    <row r="9133" s="11" customFormat="true" ht="10.95" hidden="false" customHeight="true" outlineLevel="0" collapsed="false">
      <c r="A9133" s="16" t="n">
        <v>45335</v>
      </c>
      <c r="B9133" s="17" t="s">
        <v>3803</v>
      </c>
      <c r="C9133" s="17" t="s">
        <v>3752</v>
      </c>
      <c r="D9133" s="17" t="s">
        <v>2903</v>
      </c>
      <c r="E9133" s="17" t="s">
        <v>3060</v>
      </c>
      <c r="F9133" s="17" t="s">
        <v>3061</v>
      </c>
      <c r="G9133" s="18" t="n">
        <v>0</v>
      </c>
      <c r="H9133" s="18" t="n">
        <v>4410.07</v>
      </c>
      <c r="I9133" s="18" t="n">
        <f aca="false">((I9132 + G9133) - H9133)</f>
        <v>-4410.07</v>
      </c>
      <c r="J9133" s="18" t="n">
        <v>0</v>
      </c>
      <c r="K9133" s="19" t="n">
        <v>0</v>
      </c>
      <c r="L9133" s="17"/>
    </row>
    <row r="9134" s="11" customFormat="true" ht="10.95" hidden="false" customHeight="true" outlineLevel="0" collapsed="false">
      <c r="A9134" s="16" t="n">
        <v>45335</v>
      </c>
      <c r="B9134" s="17" t="s">
        <v>3803</v>
      </c>
      <c r="C9134" s="17" t="s">
        <v>3752</v>
      </c>
      <c r="D9134" s="17" t="s">
        <v>1407</v>
      </c>
      <c r="E9134" s="17" t="s">
        <v>3810</v>
      </c>
      <c r="F9134" s="17"/>
      <c r="G9134" s="18" t="n">
        <v>0</v>
      </c>
      <c r="H9134" s="18" t="n">
        <v>201.6</v>
      </c>
      <c r="I9134" s="18" t="n">
        <f aca="false">((I9133 + G9134) - H9134)</f>
        <v>-4611.67</v>
      </c>
      <c r="J9134" s="18" t="n">
        <v>0</v>
      </c>
      <c r="K9134" s="19" t="n">
        <v>0</v>
      </c>
      <c r="L9134" s="17"/>
    </row>
    <row r="9135" s="11" customFormat="true" ht="10.95" hidden="false" customHeight="true" outlineLevel="0" collapsed="false">
      <c r="A9135" s="16" t="n">
        <v>45336</v>
      </c>
      <c r="B9135" s="17" t="s">
        <v>3803</v>
      </c>
      <c r="C9135" s="17" t="s">
        <v>3752</v>
      </c>
      <c r="D9135" s="17" t="s">
        <v>1276</v>
      </c>
      <c r="E9135" s="17" t="s">
        <v>3805</v>
      </c>
      <c r="F9135" s="17"/>
      <c r="G9135" s="18" t="n">
        <v>93.13</v>
      </c>
      <c r="H9135" s="18" t="n">
        <v>0</v>
      </c>
      <c r="I9135" s="18" t="n">
        <f aca="false">((I9134 + G9135) - H9135)</f>
        <v>-4518.54</v>
      </c>
      <c r="J9135" s="18" t="n">
        <v>0</v>
      </c>
      <c r="K9135" s="19" t="n">
        <v>0</v>
      </c>
      <c r="L9135" s="17"/>
    </row>
    <row r="9136" s="11" customFormat="true" ht="10.95" hidden="false" customHeight="true" outlineLevel="0" collapsed="false">
      <c r="A9136" s="16" t="n">
        <v>45336</v>
      </c>
      <c r="B9136" s="17" t="s">
        <v>3803</v>
      </c>
      <c r="C9136" s="17" t="s">
        <v>3752</v>
      </c>
      <c r="D9136" s="17" t="s">
        <v>1276</v>
      </c>
      <c r="E9136" s="17" t="s">
        <v>3805</v>
      </c>
      <c r="F9136" s="17"/>
      <c r="G9136" s="18" t="n">
        <v>89.74</v>
      </c>
      <c r="H9136" s="18" t="n">
        <v>0</v>
      </c>
      <c r="I9136" s="18" t="n">
        <f aca="false">((I9135 + G9136) - H9136)</f>
        <v>-4428.8</v>
      </c>
      <c r="J9136" s="18" t="n">
        <v>0</v>
      </c>
      <c r="K9136" s="19" t="n">
        <v>0</v>
      </c>
      <c r="L9136" s="17"/>
    </row>
    <row r="9137" s="11" customFormat="true" ht="10.95" hidden="false" customHeight="true" outlineLevel="0" collapsed="false">
      <c r="A9137" s="16" t="n">
        <v>45336</v>
      </c>
      <c r="B9137" s="17" t="s">
        <v>3803</v>
      </c>
      <c r="C9137" s="17" t="s">
        <v>3752</v>
      </c>
      <c r="D9137" s="17" t="s">
        <v>1276</v>
      </c>
      <c r="E9137" s="17" t="s">
        <v>3805</v>
      </c>
      <c r="F9137" s="17"/>
      <c r="G9137" s="18" t="n">
        <v>89.74</v>
      </c>
      <c r="H9137" s="18" t="n">
        <v>0</v>
      </c>
      <c r="I9137" s="18" t="n">
        <f aca="false">((I9136 + G9137) - H9137)</f>
        <v>-4339.06</v>
      </c>
      <c r="J9137" s="18" t="n">
        <v>0</v>
      </c>
      <c r="K9137" s="19" t="n">
        <v>0</v>
      </c>
      <c r="L9137" s="17"/>
    </row>
    <row r="9138" s="11" customFormat="true" ht="10.95" hidden="false" customHeight="true" outlineLevel="0" collapsed="false">
      <c r="A9138" s="16" t="n">
        <v>45336</v>
      </c>
      <c r="B9138" s="17" t="s">
        <v>3803</v>
      </c>
      <c r="C9138" s="17" t="s">
        <v>3752</v>
      </c>
      <c r="D9138" s="17" t="s">
        <v>1276</v>
      </c>
      <c r="E9138" s="17" t="s">
        <v>3805</v>
      </c>
      <c r="F9138" s="17"/>
      <c r="G9138" s="18" t="n">
        <v>93.13</v>
      </c>
      <c r="H9138" s="18" t="n">
        <v>0</v>
      </c>
      <c r="I9138" s="18" t="n">
        <f aca="false">((I9137 + G9138) - H9138)</f>
        <v>-4245.93</v>
      </c>
      <c r="J9138" s="18" t="n">
        <v>0</v>
      </c>
      <c r="K9138" s="19" t="n">
        <v>0</v>
      </c>
      <c r="L9138" s="17"/>
    </row>
    <row r="9139" s="11" customFormat="true" ht="10.95" hidden="false" customHeight="true" outlineLevel="0" collapsed="false">
      <c r="A9139" s="16" t="n">
        <v>45336</v>
      </c>
      <c r="B9139" s="17" t="s">
        <v>3803</v>
      </c>
      <c r="C9139" s="17" t="s">
        <v>3752</v>
      </c>
      <c r="D9139" s="17" t="s">
        <v>1276</v>
      </c>
      <c r="E9139" s="17" t="s">
        <v>3805</v>
      </c>
      <c r="F9139" s="17"/>
      <c r="G9139" s="18" t="n">
        <v>93.13</v>
      </c>
      <c r="H9139" s="18" t="n">
        <v>0</v>
      </c>
      <c r="I9139" s="18" t="n">
        <f aca="false">((I9138 + G9139) - H9139)</f>
        <v>-4152.8</v>
      </c>
      <c r="J9139" s="18" t="n">
        <v>0</v>
      </c>
      <c r="K9139" s="19" t="n">
        <v>0</v>
      </c>
      <c r="L9139" s="17"/>
    </row>
    <row r="9140" s="11" customFormat="true" ht="10.95" hidden="false" customHeight="true" outlineLevel="0" collapsed="false">
      <c r="A9140" s="16" t="n">
        <v>45336</v>
      </c>
      <c r="B9140" s="17" t="s">
        <v>3803</v>
      </c>
      <c r="C9140" s="17" t="s">
        <v>3752</v>
      </c>
      <c r="D9140" s="17" t="s">
        <v>1276</v>
      </c>
      <c r="E9140" s="17" t="s">
        <v>3805</v>
      </c>
      <c r="F9140" s="17"/>
      <c r="G9140" s="18" t="n">
        <v>93.13</v>
      </c>
      <c r="H9140" s="18" t="n">
        <v>0</v>
      </c>
      <c r="I9140" s="18" t="n">
        <f aca="false">((I9139 + G9140) - H9140)</f>
        <v>-4059.67</v>
      </c>
      <c r="J9140" s="18" t="n">
        <v>0</v>
      </c>
      <c r="K9140" s="19" t="n">
        <v>0</v>
      </c>
      <c r="L9140" s="17"/>
    </row>
    <row r="9141" s="11" customFormat="true" ht="10.95" hidden="false" customHeight="true" outlineLevel="0" collapsed="false">
      <c r="A9141" s="16" t="n">
        <v>45336</v>
      </c>
      <c r="B9141" s="17" t="s">
        <v>3803</v>
      </c>
      <c r="C9141" s="17" t="s">
        <v>3752</v>
      </c>
      <c r="D9141" s="17" t="s">
        <v>1276</v>
      </c>
      <c r="E9141" s="17" t="s">
        <v>3805</v>
      </c>
      <c r="F9141" s="17"/>
      <c r="G9141" s="18" t="n">
        <v>93.13</v>
      </c>
      <c r="H9141" s="18" t="n">
        <v>0</v>
      </c>
      <c r="I9141" s="18" t="n">
        <f aca="false">((I9140 + G9141) - H9141)</f>
        <v>-3966.54</v>
      </c>
      <c r="J9141" s="18" t="n">
        <v>0</v>
      </c>
      <c r="K9141" s="19" t="n">
        <v>0</v>
      </c>
      <c r="L9141" s="17"/>
    </row>
    <row r="9142" s="11" customFormat="true" ht="10.95" hidden="false" customHeight="true" outlineLevel="0" collapsed="false">
      <c r="A9142" s="16" t="n">
        <v>45336</v>
      </c>
      <c r="B9142" s="17" t="s">
        <v>3803</v>
      </c>
      <c r="C9142" s="17" t="s">
        <v>3752</v>
      </c>
      <c r="D9142" s="17" t="s">
        <v>1276</v>
      </c>
      <c r="E9142" s="17" t="s">
        <v>3805</v>
      </c>
      <c r="F9142" s="17"/>
      <c r="G9142" s="18" t="n">
        <v>93.13</v>
      </c>
      <c r="H9142" s="18" t="n">
        <v>0</v>
      </c>
      <c r="I9142" s="18" t="n">
        <f aca="false">((I9141 + G9142) - H9142)</f>
        <v>-3873.41</v>
      </c>
      <c r="J9142" s="18" t="n">
        <v>0</v>
      </c>
      <c r="K9142" s="19" t="n">
        <v>0</v>
      </c>
      <c r="L9142" s="17"/>
    </row>
    <row r="9143" s="11" customFormat="true" ht="10.95" hidden="false" customHeight="true" outlineLevel="0" collapsed="false">
      <c r="A9143" s="16" t="n">
        <v>45336</v>
      </c>
      <c r="B9143" s="17" t="s">
        <v>3803</v>
      </c>
      <c r="C9143" s="17" t="s">
        <v>3752</v>
      </c>
      <c r="D9143" s="17" t="s">
        <v>1407</v>
      </c>
      <c r="E9143" s="17" t="s">
        <v>3824</v>
      </c>
      <c r="F9143" s="17"/>
      <c r="G9143" s="18" t="n">
        <v>0</v>
      </c>
      <c r="H9143" s="18" t="n">
        <v>876.4</v>
      </c>
      <c r="I9143" s="18" t="n">
        <f aca="false">((I9142 + G9143) - H9143)</f>
        <v>-4749.81</v>
      </c>
      <c r="J9143" s="18" t="n">
        <v>0</v>
      </c>
      <c r="K9143" s="19" t="n">
        <v>0</v>
      </c>
      <c r="L9143" s="17"/>
    </row>
    <row r="9144" s="11" customFormat="true" ht="10.95" hidden="false" customHeight="true" outlineLevel="0" collapsed="false">
      <c r="A9144" s="16" t="n">
        <v>45336</v>
      </c>
      <c r="B9144" s="17" t="s">
        <v>3803</v>
      </c>
      <c r="C9144" s="17" t="s">
        <v>3752</v>
      </c>
      <c r="D9144" s="17" t="s">
        <v>1407</v>
      </c>
      <c r="E9144" s="17" t="s">
        <v>3825</v>
      </c>
      <c r="F9144" s="17"/>
      <c r="G9144" s="18" t="n">
        <v>0</v>
      </c>
      <c r="H9144" s="18" t="n">
        <v>19.94</v>
      </c>
      <c r="I9144" s="18" t="n">
        <f aca="false">((I9143 + G9144) - H9144)</f>
        <v>-4769.75</v>
      </c>
      <c r="J9144" s="18" t="n">
        <v>0</v>
      </c>
      <c r="K9144" s="19" t="n">
        <v>0</v>
      </c>
      <c r="L9144" s="17"/>
    </row>
    <row r="9145" s="11" customFormat="true" ht="10.95" hidden="false" customHeight="true" outlineLevel="0" collapsed="false">
      <c r="A9145" s="16" t="n">
        <v>45337</v>
      </c>
      <c r="B9145" s="17" t="s">
        <v>3803</v>
      </c>
      <c r="C9145" s="17" t="s">
        <v>3752</v>
      </c>
      <c r="D9145" s="17" t="s">
        <v>1276</v>
      </c>
      <c r="E9145" s="17" t="s">
        <v>3805</v>
      </c>
      <c r="F9145" s="17"/>
      <c r="G9145" s="18" t="n">
        <v>90.56</v>
      </c>
      <c r="H9145" s="18" t="n">
        <v>0</v>
      </c>
      <c r="I9145" s="18" t="n">
        <f aca="false">((I9144 + G9145) - H9145)</f>
        <v>-4679.19</v>
      </c>
      <c r="J9145" s="18" t="n">
        <v>0</v>
      </c>
      <c r="K9145" s="19" t="n">
        <v>0</v>
      </c>
      <c r="L9145" s="17"/>
    </row>
    <row r="9146" s="11" customFormat="true" ht="10.95" hidden="false" customHeight="true" outlineLevel="0" collapsed="false">
      <c r="A9146" s="16" t="n">
        <v>45337</v>
      </c>
      <c r="B9146" s="17" t="s">
        <v>3803</v>
      </c>
      <c r="C9146" s="17" t="s">
        <v>3752</v>
      </c>
      <c r="D9146" s="17" t="s">
        <v>1276</v>
      </c>
      <c r="E9146" s="17" t="s">
        <v>3805</v>
      </c>
      <c r="F9146" s="17"/>
      <c r="G9146" s="18" t="n">
        <v>90.56</v>
      </c>
      <c r="H9146" s="18" t="n">
        <v>0</v>
      </c>
      <c r="I9146" s="18" t="n">
        <f aca="false">((I9145 + G9146) - H9146)</f>
        <v>-4588.63</v>
      </c>
      <c r="J9146" s="18" t="n">
        <v>0</v>
      </c>
      <c r="K9146" s="19" t="n">
        <v>0</v>
      </c>
      <c r="L9146" s="17"/>
    </row>
    <row r="9147" s="11" customFormat="true" ht="10.95" hidden="false" customHeight="true" outlineLevel="0" collapsed="false">
      <c r="A9147" s="16" t="n">
        <v>45337</v>
      </c>
      <c r="B9147" s="17" t="s">
        <v>3803</v>
      </c>
      <c r="C9147" s="17" t="s">
        <v>3752</v>
      </c>
      <c r="D9147" s="17" t="s">
        <v>1276</v>
      </c>
      <c r="E9147" s="17" t="s">
        <v>3805</v>
      </c>
      <c r="F9147" s="17"/>
      <c r="G9147" s="18" t="n">
        <v>90.56</v>
      </c>
      <c r="H9147" s="18" t="n">
        <v>0</v>
      </c>
      <c r="I9147" s="18" t="n">
        <f aca="false">((I9146 + G9147) - H9147)</f>
        <v>-4498.07</v>
      </c>
      <c r="J9147" s="18" t="n">
        <v>0</v>
      </c>
      <c r="K9147" s="19" t="n">
        <v>0</v>
      </c>
      <c r="L9147" s="17"/>
    </row>
    <row r="9148" s="11" customFormat="true" ht="10.95" hidden="false" customHeight="true" outlineLevel="0" collapsed="false">
      <c r="A9148" s="16" t="n">
        <v>45337</v>
      </c>
      <c r="B9148" s="17" t="s">
        <v>3803</v>
      </c>
      <c r="C9148" s="17" t="s">
        <v>3752</v>
      </c>
      <c r="D9148" s="17" t="s">
        <v>1276</v>
      </c>
      <c r="E9148" s="17" t="s">
        <v>3805</v>
      </c>
      <c r="F9148" s="17"/>
      <c r="G9148" s="18" t="n">
        <v>90.56</v>
      </c>
      <c r="H9148" s="18" t="n">
        <v>0</v>
      </c>
      <c r="I9148" s="18" t="n">
        <f aca="false">((I9147 + G9148) - H9148)</f>
        <v>-4407.51</v>
      </c>
      <c r="J9148" s="18" t="n">
        <v>0</v>
      </c>
      <c r="K9148" s="19" t="n">
        <v>0</v>
      </c>
      <c r="L9148" s="17"/>
    </row>
    <row r="9149" s="11" customFormat="true" ht="10.95" hidden="false" customHeight="true" outlineLevel="0" collapsed="false">
      <c r="A9149" s="16" t="n">
        <v>45337</v>
      </c>
      <c r="B9149" s="17" t="s">
        <v>3803</v>
      </c>
      <c r="C9149" s="17" t="s">
        <v>3752</v>
      </c>
      <c r="D9149" s="17" t="s">
        <v>1276</v>
      </c>
      <c r="E9149" s="17" t="s">
        <v>3805</v>
      </c>
      <c r="F9149" s="17"/>
      <c r="G9149" s="18" t="n">
        <v>90.56</v>
      </c>
      <c r="H9149" s="18" t="n">
        <v>0</v>
      </c>
      <c r="I9149" s="18" t="n">
        <f aca="false">((I9148 + G9149) - H9149)</f>
        <v>-4316.95</v>
      </c>
      <c r="J9149" s="18" t="n">
        <v>0</v>
      </c>
      <c r="K9149" s="19" t="n">
        <v>0</v>
      </c>
      <c r="L9149" s="17"/>
    </row>
    <row r="9150" s="11" customFormat="true" ht="10.95" hidden="false" customHeight="true" outlineLevel="0" collapsed="false">
      <c r="A9150" s="16" t="n">
        <v>45337</v>
      </c>
      <c r="B9150" s="17" t="s">
        <v>3803</v>
      </c>
      <c r="C9150" s="17" t="s">
        <v>3752</v>
      </c>
      <c r="D9150" s="17" t="s">
        <v>1276</v>
      </c>
      <c r="E9150" s="17" t="s">
        <v>3805</v>
      </c>
      <c r="F9150" s="17"/>
      <c r="G9150" s="18" t="n">
        <v>90.56</v>
      </c>
      <c r="H9150" s="18" t="n">
        <v>0</v>
      </c>
      <c r="I9150" s="18" t="n">
        <f aca="false">((I9149 + G9150) - H9150)</f>
        <v>-4226.39</v>
      </c>
      <c r="J9150" s="18" t="n">
        <v>0</v>
      </c>
      <c r="K9150" s="19" t="n">
        <v>0</v>
      </c>
      <c r="L9150" s="17"/>
    </row>
    <row r="9151" s="11" customFormat="true" ht="10.95" hidden="false" customHeight="true" outlineLevel="0" collapsed="false">
      <c r="A9151" s="16" t="n">
        <v>45337</v>
      </c>
      <c r="B9151" s="17" t="s">
        <v>3803</v>
      </c>
      <c r="C9151" s="17" t="s">
        <v>3752</v>
      </c>
      <c r="D9151" s="17" t="s">
        <v>1276</v>
      </c>
      <c r="E9151" s="17" t="s">
        <v>3805</v>
      </c>
      <c r="F9151" s="17"/>
      <c r="G9151" s="18" t="n">
        <v>90.56</v>
      </c>
      <c r="H9151" s="18" t="n">
        <v>0</v>
      </c>
      <c r="I9151" s="18" t="n">
        <f aca="false">((I9150 + G9151) - H9151)</f>
        <v>-4135.83</v>
      </c>
      <c r="J9151" s="18" t="n">
        <v>0</v>
      </c>
      <c r="K9151" s="19" t="n">
        <v>0</v>
      </c>
      <c r="L9151" s="17"/>
    </row>
    <row r="9152" s="11" customFormat="true" ht="10.95" hidden="false" customHeight="true" outlineLevel="0" collapsed="false">
      <c r="A9152" s="16" t="n">
        <v>45337</v>
      </c>
      <c r="B9152" s="17" t="s">
        <v>3803</v>
      </c>
      <c r="C9152" s="17" t="s">
        <v>3752</v>
      </c>
      <c r="D9152" s="17" t="s">
        <v>1276</v>
      </c>
      <c r="E9152" s="17" t="s">
        <v>3805</v>
      </c>
      <c r="F9152" s="17"/>
      <c r="G9152" s="18" t="n">
        <v>90.56</v>
      </c>
      <c r="H9152" s="18" t="n">
        <v>0</v>
      </c>
      <c r="I9152" s="18" t="n">
        <f aca="false">((I9151 + G9152) - H9152)</f>
        <v>-4045.27</v>
      </c>
      <c r="J9152" s="18" t="n">
        <v>0</v>
      </c>
      <c r="K9152" s="19" t="n">
        <v>0</v>
      </c>
      <c r="L9152" s="17"/>
    </row>
    <row r="9153" s="11" customFormat="true" ht="10.95" hidden="false" customHeight="true" outlineLevel="0" collapsed="false">
      <c r="A9153" s="16" t="n">
        <v>45337</v>
      </c>
      <c r="B9153" s="17" t="s">
        <v>3803</v>
      </c>
      <c r="C9153" s="17" t="s">
        <v>3752</v>
      </c>
      <c r="D9153" s="17" t="s">
        <v>1276</v>
      </c>
      <c r="E9153" s="17" t="s">
        <v>3805</v>
      </c>
      <c r="F9153" s="17"/>
      <c r="G9153" s="18" t="n">
        <v>90.56</v>
      </c>
      <c r="H9153" s="18" t="n">
        <v>0</v>
      </c>
      <c r="I9153" s="18" t="n">
        <f aca="false">((I9152 + G9153) - H9153)</f>
        <v>-3954.71</v>
      </c>
      <c r="J9153" s="18" t="n">
        <v>0</v>
      </c>
      <c r="K9153" s="19" t="n">
        <v>0</v>
      </c>
      <c r="L9153" s="17"/>
    </row>
    <row r="9154" s="11" customFormat="true" ht="10.95" hidden="false" customHeight="true" outlineLevel="0" collapsed="false">
      <c r="A9154" s="16" t="n">
        <v>45337</v>
      </c>
      <c r="B9154" s="17" t="s">
        <v>3803</v>
      </c>
      <c r="C9154" s="17" t="s">
        <v>3752</v>
      </c>
      <c r="D9154" s="17" t="s">
        <v>1276</v>
      </c>
      <c r="E9154" s="17" t="s">
        <v>3805</v>
      </c>
      <c r="F9154" s="17"/>
      <c r="G9154" s="18" t="n">
        <v>90.56</v>
      </c>
      <c r="H9154" s="18" t="n">
        <v>0</v>
      </c>
      <c r="I9154" s="18" t="n">
        <f aca="false">((I9153 + G9154) - H9154)</f>
        <v>-3864.15</v>
      </c>
      <c r="J9154" s="18" t="n">
        <v>0</v>
      </c>
      <c r="K9154" s="19" t="n">
        <v>0</v>
      </c>
      <c r="L9154" s="17"/>
    </row>
    <row r="9155" s="11" customFormat="true" ht="10.95" hidden="false" customHeight="true" outlineLevel="0" collapsed="false">
      <c r="A9155" s="16" t="n">
        <v>45337</v>
      </c>
      <c r="B9155" s="17" t="s">
        <v>3803</v>
      </c>
      <c r="C9155" s="17" t="s">
        <v>3752</v>
      </c>
      <c r="D9155" s="17" t="s">
        <v>1276</v>
      </c>
      <c r="E9155" s="17" t="s">
        <v>3805</v>
      </c>
      <c r="F9155" s="17"/>
      <c r="G9155" s="18" t="n">
        <v>90.56</v>
      </c>
      <c r="H9155" s="18" t="n">
        <v>0</v>
      </c>
      <c r="I9155" s="18" t="n">
        <f aca="false">((I9154 + G9155) - H9155)</f>
        <v>-3773.59</v>
      </c>
      <c r="J9155" s="18" t="n">
        <v>0</v>
      </c>
      <c r="K9155" s="19" t="n">
        <v>0</v>
      </c>
      <c r="L9155" s="17"/>
    </row>
    <row r="9156" s="11" customFormat="true" ht="10.95" hidden="false" customHeight="true" outlineLevel="0" collapsed="false">
      <c r="A9156" s="16" t="n">
        <v>45337</v>
      </c>
      <c r="B9156" s="17" t="s">
        <v>3803</v>
      </c>
      <c r="C9156" s="17" t="s">
        <v>3752</v>
      </c>
      <c r="D9156" s="17" t="s">
        <v>1276</v>
      </c>
      <c r="E9156" s="17" t="s">
        <v>3805</v>
      </c>
      <c r="F9156" s="17"/>
      <c r="G9156" s="18" t="n">
        <v>90.56</v>
      </c>
      <c r="H9156" s="18" t="n">
        <v>0</v>
      </c>
      <c r="I9156" s="18" t="n">
        <f aca="false">((I9155 + G9156) - H9156)</f>
        <v>-3683.03</v>
      </c>
      <c r="J9156" s="18" t="n">
        <v>0</v>
      </c>
      <c r="K9156" s="19" t="n">
        <v>0</v>
      </c>
      <c r="L9156" s="17"/>
    </row>
    <row r="9157" s="11" customFormat="true" ht="10.95" hidden="false" customHeight="true" outlineLevel="0" collapsed="false">
      <c r="A9157" s="16" t="n">
        <v>45337</v>
      </c>
      <c r="B9157" s="17" t="s">
        <v>3803</v>
      </c>
      <c r="C9157" s="17" t="s">
        <v>3752</v>
      </c>
      <c r="D9157" s="17" t="s">
        <v>1276</v>
      </c>
      <c r="E9157" s="17" t="s">
        <v>3805</v>
      </c>
      <c r="F9157" s="17"/>
      <c r="G9157" s="18" t="n">
        <v>90.56</v>
      </c>
      <c r="H9157" s="18" t="n">
        <v>0</v>
      </c>
      <c r="I9157" s="18" t="n">
        <f aca="false">((I9156 + G9157) - H9157)</f>
        <v>-3592.47</v>
      </c>
      <c r="J9157" s="18" t="n">
        <v>0</v>
      </c>
      <c r="K9157" s="19" t="n">
        <v>0</v>
      </c>
      <c r="L9157" s="17"/>
    </row>
    <row r="9158" s="11" customFormat="true" ht="10.95" hidden="false" customHeight="true" outlineLevel="0" collapsed="false">
      <c r="A9158" s="16" t="n">
        <v>45337</v>
      </c>
      <c r="B9158" s="17" t="s">
        <v>3803</v>
      </c>
      <c r="C9158" s="17" t="s">
        <v>3752</v>
      </c>
      <c r="D9158" s="17" t="s">
        <v>1276</v>
      </c>
      <c r="E9158" s="17" t="s">
        <v>3805</v>
      </c>
      <c r="F9158" s="17"/>
      <c r="G9158" s="18" t="n">
        <v>90.56</v>
      </c>
      <c r="H9158" s="18" t="n">
        <v>0</v>
      </c>
      <c r="I9158" s="18" t="n">
        <f aca="false">((I9157 + G9158) - H9158)</f>
        <v>-3501.91</v>
      </c>
      <c r="J9158" s="18" t="n">
        <v>0</v>
      </c>
      <c r="K9158" s="19" t="n">
        <v>0</v>
      </c>
      <c r="L9158" s="17"/>
    </row>
    <row r="9159" s="11" customFormat="true" ht="10.95" hidden="false" customHeight="true" outlineLevel="0" collapsed="false">
      <c r="A9159" s="16" t="n">
        <v>45337</v>
      </c>
      <c r="B9159" s="17" t="s">
        <v>3803</v>
      </c>
      <c r="C9159" s="17" t="s">
        <v>3752</v>
      </c>
      <c r="D9159" s="17" t="s">
        <v>1276</v>
      </c>
      <c r="E9159" s="17" t="s">
        <v>3805</v>
      </c>
      <c r="F9159" s="17"/>
      <c r="G9159" s="18" t="n">
        <v>90.56</v>
      </c>
      <c r="H9159" s="18" t="n">
        <v>0</v>
      </c>
      <c r="I9159" s="18" t="n">
        <f aca="false">((I9158 + G9159) - H9159)</f>
        <v>-3411.35</v>
      </c>
      <c r="J9159" s="18" t="n">
        <v>0</v>
      </c>
      <c r="K9159" s="19" t="n">
        <v>0</v>
      </c>
      <c r="L9159" s="17"/>
    </row>
    <row r="9160" s="11" customFormat="true" ht="10.95" hidden="false" customHeight="true" outlineLevel="0" collapsed="false">
      <c r="A9160" s="16" t="n">
        <v>45337</v>
      </c>
      <c r="B9160" s="17" t="s">
        <v>3803</v>
      </c>
      <c r="C9160" s="17" t="s">
        <v>3752</v>
      </c>
      <c r="D9160" s="17" t="s">
        <v>1276</v>
      </c>
      <c r="E9160" s="17" t="s">
        <v>3805</v>
      </c>
      <c r="F9160" s="17"/>
      <c r="G9160" s="18" t="n">
        <v>90.56</v>
      </c>
      <c r="H9160" s="18" t="n">
        <v>0</v>
      </c>
      <c r="I9160" s="18" t="n">
        <f aca="false">((I9159 + G9160) - H9160)</f>
        <v>-3320.79</v>
      </c>
      <c r="J9160" s="18" t="n">
        <v>0</v>
      </c>
      <c r="K9160" s="19" t="n">
        <v>0</v>
      </c>
      <c r="L9160" s="17"/>
    </row>
    <row r="9161" s="11" customFormat="true" ht="10.95" hidden="false" customHeight="true" outlineLevel="0" collapsed="false">
      <c r="A9161" s="16" t="n">
        <v>45337</v>
      </c>
      <c r="B9161" s="17" t="s">
        <v>3803</v>
      </c>
      <c r="C9161" s="17" t="s">
        <v>3752</v>
      </c>
      <c r="D9161" s="17" t="s">
        <v>1276</v>
      </c>
      <c r="E9161" s="17" t="s">
        <v>3805</v>
      </c>
      <c r="F9161" s="17"/>
      <c r="G9161" s="18" t="n">
        <v>90.56</v>
      </c>
      <c r="H9161" s="18" t="n">
        <v>0</v>
      </c>
      <c r="I9161" s="18" t="n">
        <f aca="false">((I9160 + G9161) - H9161)</f>
        <v>-3230.23</v>
      </c>
      <c r="J9161" s="18" t="n">
        <v>0</v>
      </c>
      <c r="K9161" s="19" t="n">
        <v>0</v>
      </c>
      <c r="L9161" s="17"/>
    </row>
    <row r="9162" s="11" customFormat="true" ht="10.95" hidden="false" customHeight="true" outlineLevel="0" collapsed="false">
      <c r="A9162" s="16" t="n">
        <v>45337</v>
      </c>
      <c r="B9162" s="17" t="s">
        <v>3803</v>
      </c>
      <c r="C9162" s="17" t="s">
        <v>3752</v>
      </c>
      <c r="D9162" s="17" t="s">
        <v>1276</v>
      </c>
      <c r="E9162" s="17" t="s">
        <v>3805</v>
      </c>
      <c r="F9162" s="17"/>
      <c r="G9162" s="18" t="n">
        <v>90.56</v>
      </c>
      <c r="H9162" s="18" t="n">
        <v>0</v>
      </c>
      <c r="I9162" s="18" t="n">
        <f aca="false">((I9161 + G9162) - H9162)</f>
        <v>-3139.67</v>
      </c>
      <c r="J9162" s="18" t="n">
        <v>0</v>
      </c>
      <c r="K9162" s="19" t="n">
        <v>0</v>
      </c>
      <c r="L9162" s="17"/>
    </row>
    <row r="9163" s="11" customFormat="true" ht="10.95" hidden="false" customHeight="true" outlineLevel="0" collapsed="false">
      <c r="A9163" s="16" t="n">
        <v>45337</v>
      </c>
      <c r="B9163" s="17" t="s">
        <v>3803</v>
      </c>
      <c r="C9163" s="17" t="s">
        <v>3752</v>
      </c>
      <c r="D9163" s="17" t="s">
        <v>1276</v>
      </c>
      <c r="E9163" s="17" t="s">
        <v>3805</v>
      </c>
      <c r="F9163" s="17"/>
      <c r="G9163" s="18" t="n">
        <v>90.56</v>
      </c>
      <c r="H9163" s="18" t="n">
        <v>0</v>
      </c>
      <c r="I9163" s="18" t="n">
        <f aca="false">((I9162 + G9163) - H9163)</f>
        <v>-3049.11</v>
      </c>
      <c r="J9163" s="18" t="n">
        <v>0</v>
      </c>
      <c r="K9163" s="19" t="n">
        <v>0</v>
      </c>
      <c r="L9163" s="17"/>
    </row>
    <row r="9164" s="11" customFormat="true" ht="10.95" hidden="false" customHeight="true" outlineLevel="0" collapsed="false">
      <c r="A9164" s="16" t="n">
        <v>45337</v>
      </c>
      <c r="B9164" s="17" t="s">
        <v>3803</v>
      </c>
      <c r="C9164" s="17" t="s">
        <v>3752</v>
      </c>
      <c r="D9164" s="17" t="s">
        <v>1276</v>
      </c>
      <c r="E9164" s="17" t="s">
        <v>3805</v>
      </c>
      <c r="F9164" s="17"/>
      <c r="G9164" s="18" t="n">
        <v>90.56</v>
      </c>
      <c r="H9164" s="18" t="n">
        <v>0</v>
      </c>
      <c r="I9164" s="18" t="n">
        <f aca="false">((I9163 + G9164) - H9164)</f>
        <v>-2958.55</v>
      </c>
      <c r="J9164" s="18" t="n">
        <v>0</v>
      </c>
      <c r="K9164" s="19" t="n">
        <v>0</v>
      </c>
      <c r="L9164" s="17"/>
    </row>
    <row r="9165" s="11" customFormat="true" ht="10.95" hidden="false" customHeight="true" outlineLevel="0" collapsed="false">
      <c r="A9165" s="16" t="n">
        <v>45337</v>
      </c>
      <c r="B9165" s="17" t="s">
        <v>3803</v>
      </c>
      <c r="C9165" s="17" t="s">
        <v>3752</v>
      </c>
      <c r="D9165" s="17" t="s">
        <v>1276</v>
      </c>
      <c r="E9165" s="17" t="s">
        <v>3805</v>
      </c>
      <c r="F9165" s="17"/>
      <c r="G9165" s="18" t="n">
        <v>90.56</v>
      </c>
      <c r="H9165" s="18" t="n">
        <v>0</v>
      </c>
      <c r="I9165" s="18" t="n">
        <f aca="false">((I9164 + G9165) - H9165)</f>
        <v>-2867.99</v>
      </c>
      <c r="J9165" s="18" t="n">
        <v>0</v>
      </c>
      <c r="K9165" s="19" t="n">
        <v>0</v>
      </c>
      <c r="L9165" s="17"/>
    </row>
    <row r="9166" s="11" customFormat="true" ht="10.95" hidden="false" customHeight="true" outlineLevel="0" collapsed="false">
      <c r="A9166" s="16" t="n">
        <v>45337</v>
      </c>
      <c r="B9166" s="17" t="s">
        <v>3803</v>
      </c>
      <c r="C9166" s="17" t="s">
        <v>3752</v>
      </c>
      <c r="D9166" s="17" t="s">
        <v>1276</v>
      </c>
      <c r="E9166" s="17" t="s">
        <v>3805</v>
      </c>
      <c r="F9166" s="17"/>
      <c r="G9166" s="18" t="n">
        <v>90.56</v>
      </c>
      <c r="H9166" s="18" t="n">
        <v>0</v>
      </c>
      <c r="I9166" s="18" t="n">
        <f aca="false">((I9165 + G9166) - H9166)</f>
        <v>-2777.43</v>
      </c>
      <c r="J9166" s="18" t="n">
        <v>0</v>
      </c>
      <c r="K9166" s="19" t="n">
        <v>0</v>
      </c>
      <c r="L9166" s="17"/>
    </row>
    <row r="9167" s="11" customFormat="true" ht="10.95" hidden="false" customHeight="true" outlineLevel="0" collapsed="false">
      <c r="A9167" s="16" t="n">
        <v>45342</v>
      </c>
      <c r="B9167" s="17" t="s">
        <v>3803</v>
      </c>
      <c r="C9167" s="17" t="s">
        <v>3752</v>
      </c>
      <c r="D9167" s="17" t="s">
        <v>1407</v>
      </c>
      <c r="E9167" s="17" t="s">
        <v>3615</v>
      </c>
      <c r="F9167" s="17"/>
      <c r="G9167" s="18" t="n">
        <v>0</v>
      </c>
      <c r="H9167" s="18" t="n">
        <v>466.72</v>
      </c>
      <c r="I9167" s="18" t="n">
        <f aca="false">((I9166 + G9167) - H9167)</f>
        <v>-3244.15</v>
      </c>
      <c r="J9167" s="18" t="n">
        <v>0</v>
      </c>
      <c r="K9167" s="19" t="n">
        <v>0</v>
      </c>
      <c r="L9167" s="17"/>
    </row>
    <row r="9168" s="11" customFormat="true" ht="10.95" hidden="false" customHeight="true" outlineLevel="0" collapsed="false">
      <c r="A9168" s="16" t="n">
        <v>45342</v>
      </c>
      <c r="B9168" s="17" t="s">
        <v>3803</v>
      </c>
      <c r="C9168" s="17" t="s">
        <v>3752</v>
      </c>
      <c r="D9168" s="17" t="s">
        <v>2903</v>
      </c>
      <c r="E9168" s="17" t="s">
        <v>3645</v>
      </c>
      <c r="F9168" s="17" t="s">
        <v>1514</v>
      </c>
      <c r="G9168" s="18" t="n">
        <v>0</v>
      </c>
      <c r="H9168" s="18" t="n">
        <v>2138.07</v>
      </c>
      <c r="I9168" s="18" t="n">
        <f aca="false">((I9167 + G9168) - H9168)</f>
        <v>-5382.22</v>
      </c>
      <c r="J9168" s="18" t="n">
        <v>0</v>
      </c>
      <c r="K9168" s="19" t="n">
        <v>0</v>
      </c>
      <c r="L9168" s="17"/>
    </row>
    <row r="9169" s="11" customFormat="true" ht="10.95" hidden="false" customHeight="true" outlineLevel="0" collapsed="false">
      <c r="A9169" s="16" t="n">
        <v>45342</v>
      </c>
      <c r="B9169" s="17" t="s">
        <v>3803</v>
      </c>
      <c r="C9169" s="17" t="s">
        <v>3752</v>
      </c>
      <c r="D9169" s="17" t="s">
        <v>2903</v>
      </c>
      <c r="E9169" s="17" t="s">
        <v>3645</v>
      </c>
      <c r="F9169" s="17" t="s">
        <v>1512</v>
      </c>
      <c r="G9169" s="18" t="n">
        <v>0</v>
      </c>
      <c r="H9169" s="18" t="n">
        <v>21257.54</v>
      </c>
      <c r="I9169" s="18" t="n">
        <f aca="false">((I9168 + G9169) - H9169)</f>
        <v>-26639.76</v>
      </c>
      <c r="J9169" s="18" t="n">
        <v>0</v>
      </c>
      <c r="K9169" s="19" t="n">
        <v>0</v>
      </c>
      <c r="L9169" s="17"/>
    </row>
    <row r="9170" s="11" customFormat="true" ht="10.95" hidden="false" customHeight="true" outlineLevel="0" collapsed="false">
      <c r="A9170" s="16" t="n">
        <v>45342</v>
      </c>
      <c r="B9170" s="17" t="s">
        <v>3803</v>
      </c>
      <c r="C9170" s="17" t="s">
        <v>3752</v>
      </c>
      <c r="D9170" s="17" t="s">
        <v>2903</v>
      </c>
      <c r="E9170" s="17" t="s">
        <v>3645</v>
      </c>
      <c r="F9170" s="17" t="s">
        <v>1509</v>
      </c>
      <c r="G9170" s="18" t="n">
        <v>0</v>
      </c>
      <c r="H9170" s="18" t="n">
        <v>538.76</v>
      </c>
      <c r="I9170" s="18" t="n">
        <f aca="false">((I9169 + G9170) - H9170)</f>
        <v>-27178.52</v>
      </c>
      <c r="J9170" s="18" t="n">
        <v>0</v>
      </c>
      <c r="K9170" s="19" t="n">
        <v>0</v>
      </c>
      <c r="L9170" s="17"/>
    </row>
    <row r="9171" s="11" customFormat="true" ht="10.95" hidden="false" customHeight="true" outlineLevel="0" collapsed="false">
      <c r="A9171" s="16" t="n">
        <v>45345</v>
      </c>
      <c r="B9171" s="17" t="s">
        <v>3803</v>
      </c>
      <c r="C9171" s="17" t="s">
        <v>3752</v>
      </c>
      <c r="D9171" s="17" t="s">
        <v>1407</v>
      </c>
      <c r="E9171" s="17" t="s">
        <v>3804</v>
      </c>
      <c r="F9171" s="17"/>
      <c r="G9171" s="18" t="n">
        <v>0</v>
      </c>
      <c r="H9171" s="18" t="n">
        <v>39.99</v>
      </c>
      <c r="I9171" s="18" t="n">
        <f aca="false">((I9170 + G9171) - H9171)</f>
        <v>-27218.51</v>
      </c>
      <c r="J9171" s="18" t="n">
        <v>0</v>
      </c>
      <c r="K9171" s="19" t="n">
        <v>0</v>
      </c>
      <c r="L9171" s="17"/>
    </row>
    <row r="9172" s="11" customFormat="true" ht="10.95" hidden="false" customHeight="true" outlineLevel="0" collapsed="false">
      <c r="A9172" s="16" t="n">
        <v>45349</v>
      </c>
      <c r="B9172" s="17" t="s">
        <v>3803</v>
      </c>
      <c r="C9172" s="17" t="s">
        <v>3752</v>
      </c>
      <c r="D9172" s="17" t="s">
        <v>1407</v>
      </c>
      <c r="E9172" s="17" t="s">
        <v>3826</v>
      </c>
      <c r="F9172" s="17"/>
      <c r="G9172" s="18" t="n">
        <v>0</v>
      </c>
      <c r="H9172" s="18" t="n">
        <v>680</v>
      </c>
      <c r="I9172" s="18" t="n">
        <f aca="false">((I9171 + G9172) - H9172)</f>
        <v>-27898.51</v>
      </c>
      <c r="J9172" s="18" t="n">
        <v>0</v>
      </c>
      <c r="K9172" s="19" t="n">
        <v>0</v>
      </c>
      <c r="L9172" s="17"/>
    </row>
    <row r="9173" s="11" customFormat="true" ht="10.95" hidden="false" customHeight="true" outlineLevel="0" collapsed="false">
      <c r="A9173" s="16" t="n">
        <v>45351</v>
      </c>
      <c r="B9173" s="17" t="s">
        <v>3803</v>
      </c>
      <c r="C9173" s="17" t="s">
        <v>3752</v>
      </c>
      <c r="D9173" s="17" t="s">
        <v>3753</v>
      </c>
      <c r="E9173" s="17" t="s">
        <v>3806</v>
      </c>
      <c r="F9173" s="17" t="s">
        <v>3827</v>
      </c>
      <c r="G9173" s="18" t="n">
        <v>27343.12</v>
      </c>
      <c r="H9173" s="18" t="n">
        <v>0</v>
      </c>
      <c r="I9173" s="18" t="n">
        <f aca="false">((I9172 + G9173) - H9173)</f>
        <v>-555.389999999999</v>
      </c>
      <c r="J9173" s="18" t="n">
        <v>0</v>
      </c>
      <c r="K9173" s="19" t="n">
        <v>0</v>
      </c>
      <c r="L9173" s="17"/>
    </row>
    <row r="9174" s="11" customFormat="true" ht="10.95" hidden="false" customHeight="true" outlineLevel="0" collapsed="false">
      <c r="A9174" s="16" t="n">
        <v>45354</v>
      </c>
      <c r="B9174" s="17" t="s">
        <v>3803</v>
      </c>
      <c r="C9174" s="17" t="s">
        <v>3752</v>
      </c>
      <c r="D9174" s="17" t="s">
        <v>1407</v>
      </c>
      <c r="E9174" s="17" t="s">
        <v>3804</v>
      </c>
      <c r="F9174" s="17"/>
      <c r="G9174" s="18" t="n">
        <v>0</v>
      </c>
      <c r="H9174" s="18" t="n">
        <v>39.99</v>
      </c>
      <c r="I9174" s="18" t="n">
        <f aca="false">((I9173 + G9174) - H9174)</f>
        <v>-595.379999999999</v>
      </c>
      <c r="J9174" s="18" t="n">
        <v>0</v>
      </c>
      <c r="K9174" s="19" t="n">
        <v>0</v>
      </c>
      <c r="L9174" s="17"/>
    </row>
    <row r="9175" s="11" customFormat="true" ht="10.95" hidden="false" customHeight="true" outlineLevel="0" collapsed="false">
      <c r="A9175" s="16" t="n">
        <v>45354</v>
      </c>
      <c r="B9175" s="17" t="s">
        <v>3803</v>
      </c>
      <c r="C9175" s="17" t="s">
        <v>3752</v>
      </c>
      <c r="D9175" s="17" t="s">
        <v>2903</v>
      </c>
      <c r="E9175" s="17" t="s">
        <v>3631</v>
      </c>
      <c r="F9175" s="17" t="s">
        <v>3303</v>
      </c>
      <c r="G9175" s="18" t="n">
        <v>0</v>
      </c>
      <c r="H9175" s="18" t="n">
        <v>1677.33</v>
      </c>
      <c r="I9175" s="18" t="n">
        <f aca="false">((I9174 + G9175) - H9175)</f>
        <v>-2272.71</v>
      </c>
      <c r="J9175" s="18" t="n">
        <v>0</v>
      </c>
      <c r="K9175" s="19" t="n">
        <v>0</v>
      </c>
      <c r="L9175" s="17"/>
    </row>
    <row r="9176" s="11" customFormat="true" ht="10.95" hidden="false" customHeight="true" outlineLevel="0" collapsed="false">
      <c r="A9176" s="16" t="n">
        <v>45355</v>
      </c>
      <c r="B9176" s="17" t="s">
        <v>3803</v>
      </c>
      <c r="C9176" s="17" t="s">
        <v>3752</v>
      </c>
      <c r="D9176" s="17" t="s">
        <v>1407</v>
      </c>
      <c r="E9176" s="17" t="s">
        <v>3759</v>
      </c>
      <c r="F9176" s="17"/>
      <c r="G9176" s="18" t="n">
        <v>0</v>
      </c>
      <c r="H9176" s="18" t="n">
        <v>364.64</v>
      </c>
      <c r="I9176" s="18" t="n">
        <f aca="false">((I9175 + G9176) - H9176)</f>
        <v>-2637.35</v>
      </c>
      <c r="J9176" s="18" t="n">
        <v>0</v>
      </c>
      <c r="K9176" s="19" t="n">
        <v>0</v>
      </c>
      <c r="L9176" s="17"/>
    </row>
    <row r="9177" s="11" customFormat="true" ht="10.95" hidden="false" customHeight="true" outlineLevel="0" collapsed="false">
      <c r="A9177" s="16" t="n">
        <v>45362</v>
      </c>
      <c r="B9177" s="17" t="s">
        <v>3803</v>
      </c>
      <c r="C9177" s="17" t="s">
        <v>3752</v>
      </c>
      <c r="D9177" s="17" t="s">
        <v>1407</v>
      </c>
      <c r="E9177" s="17" t="s">
        <v>3739</v>
      </c>
      <c r="F9177" s="17"/>
      <c r="G9177" s="18" t="n">
        <v>0</v>
      </c>
      <c r="H9177" s="18" t="n">
        <v>622.35</v>
      </c>
      <c r="I9177" s="18" t="n">
        <f aca="false">((I9176 + G9177) - H9177)</f>
        <v>-3259.7</v>
      </c>
      <c r="J9177" s="18" t="n">
        <v>0</v>
      </c>
      <c r="K9177" s="19" t="n">
        <v>0</v>
      </c>
      <c r="L9177" s="17"/>
    </row>
    <row r="9178" s="11" customFormat="true" ht="10.95" hidden="false" customHeight="true" outlineLevel="0" collapsed="false">
      <c r="A9178" s="16" t="n">
        <v>45363</v>
      </c>
      <c r="B9178" s="17" t="s">
        <v>3803</v>
      </c>
      <c r="C9178" s="17" t="s">
        <v>3752</v>
      </c>
      <c r="D9178" s="17" t="s">
        <v>1407</v>
      </c>
      <c r="E9178" s="17" t="s">
        <v>3828</v>
      </c>
      <c r="F9178" s="17"/>
      <c r="G9178" s="18" t="n">
        <v>0</v>
      </c>
      <c r="H9178" s="18" t="n">
        <v>316.49</v>
      </c>
      <c r="I9178" s="18" t="n">
        <f aca="false">((I9177 + G9178) - H9178)</f>
        <v>-3576.19</v>
      </c>
      <c r="J9178" s="18" t="n">
        <v>0</v>
      </c>
      <c r="K9178" s="19" t="n">
        <v>0</v>
      </c>
      <c r="L9178" s="17"/>
    </row>
    <row r="9179" s="11" customFormat="true" ht="10.95" hidden="false" customHeight="true" outlineLevel="0" collapsed="false">
      <c r="A9179" s="16" t="n">
        <v>45363</v>
      </c>
      <c r="B9179" s="17" t="s">
        <v>3803</v>
      </c>
      <c r="C9179" s="17" t="s">
        <v>3752</v>
      </c>
      <c r="D9179" s="17" t="s">
        <v>1407</v>
      </c>
      <c r="E9179" s="17" t="s">
        <v>3828</v>
      </c>
      <c r="F9179" s="17"/>
      <c r="G9179" s="18" t="n">
        <v>0</v>
      </c>
      <c r="H9179" s="18" t="n">
        <v>25.31</v>
      </c>
      <c r="I9179" s="18" t="n">
        <f aca="false">((I9178 + G9179) - H9179)</f>
        <v>-3601.5</v>
      </c>
      <c r="J9179" s="18" t="n">
        <v>0</v>
      </c>
      <c r="K9179" s="19" t="n">
        <v>0</v>
      </c>
      <c r="L9179" s="17"/>
    </row>
    <row r="9180" s="11" customFormat="true" ht="10.95" hidden="false" customHeight="true" outlineLevel="0" collapsed="false">
      <c r="A9180" s="16" t="n">
        <v>45367</v>
      </c>
      <c r="B9180" s="17" t="s">
        <v>3803</v>
      </c>
      <c r="C9180" s="17" t="s">
        <v>3752</v>
      </c>
      <c r="D9180" s="17" t="s">
        <v>1407</v>
      </c>
      <c r="E9180" s="17" t="s">
        <v>3829</v>
      </c>
      <c r="F9180" s="17"/>
      <c r="G9180" s="18" t="n">
        <v>0</v>
      </c>
      <c r="H9180" s="18" t="n">
        <v>89.7</v>
      </c>
      <c r="I9180" s="18" t="n">
        <f aca="false">((I9179 + G9180) - H9180)</f>
        <v>-3691.2</v>
      </c>
      <c r="J9180" s="18" t="n">
        <v>0</v>
      </c>
      <c r="K9180" s="19" t="n">
        <v>0</v>
      </c>
      <c r="L9180" s="17"/>
    </row>
    <row r="9181" s="11" customFormat="true" ht="10.95" hidden="false" customHeight="true" outlineLevel="0" collapsed="false">
      <c r="A9181" s="16" t="n">
        <v>45368</v>
      </c>
      <c r="B9181" s="17" t="s">
        <v>3803</v>
      </c>
      <c r="C9181" s="17" t="s">
        <v>3752</v>
      </c>
      <c r="D9181" s="17" t="s">
        <v>1407</v>
      </c>
      <c r="E9181" s="17" t="s">
        <v>3830</v>
      </c>
      <c r="F9181" s="17"/>
      <c r="G9181" s="18" t="n">
        <v>0</v>
      </c>
      <c r="H9181" s="18" t="n">
        <v>2011.81</v>
      </c>
      <c r="I9181" s="18" t="n">
        <f aca="false">((I9180 + G9181) - H9181)</f>
        <v>-5703.01</v>
      </c>
      <c r="J9181" s="18" t="n">
        <v>0</v>
      </c>
      <c r="K9181" s="19" t="n">
        <v>0</v>
      </c>
      <c r="L9181" s="17"/>
    </row>
    <row r="9182" s="11" customFormat="true" ht="10.95" hidden="false" customHeight="true" outlineLevel="0" collapsed="false">
      <c r="A9182" s="16" t="n">
        <v>45370</v>
      </c>
      <c r="B9182" s="17" t="s">
        <v>3803</v>
      </c>
      <c r="C9182" s="17" t="s">
        <v>3752</v>
      </c>
      <c r="D9182" s="17" t="s">
        <v>1407</v>
      </c>
      <c r="E9182" s="17" t="s">
        <v>3813</v>
      </c>
      <c r="F9182" s="17"/>
      <c r="G9182" s="18" t="n">
        <v>0</v>
      </c>
      <c r="H9182" s="18" t="n">
        <v>645.4</v>
      </c>
      <c r="I9182" s="18" t="n">
        <f aca="false">((I9181 + G9182) - H9182)</f>
        <v>-6348.41</v>
      </c>
      <c r="J9182" s="18" t="n">
        <v>0</v>
      </c>
      <c r="K9182" s="19" t="n">
        <v>0</v>
      </c>
      <c r="L9182" s="17"/>
    </row>
    <row r="9183" s="11" customFormat="true" ht="10.95" hidden="false" customHeight="true" outlineLevel="0" collapsed="false">
      <c r="A9183" s="16" t="n">
        <v>45370</v>
      </c>
      <c r="B9183" s="17" t="s">
        <v>3803</v>
      </c>
      <c r="C9183" s="17" t="s">
        <v>3752</v>
      </c>
      <c r="D9183" s="17" t="s">
        <v>1407</v>
      </c>
      <c r="E9183" s="17" t="s">
        <v>3813</v>
      </c>
      <c r="F9183" s="17"/>
      <c r="G9183" s="18" t="n">
        <v>0</v>
      </c>
      <c r="H9183" s="18" t="n">
        <v>660.5</v>
      </c>
      <c r="I9183" s="18" t="n">
        <f aca="false">((I9182 + G9183) - H9183)</f>
        <v>-7008.91</v>
      </c>
      <c r="J9183" s="18" t="n">
        <v>0</v>
      </c>
      <c r="K9183" s="19" t="n">
        <v>0</v>
      </c>
      <c r="L9183" s="17"/>
    </row>
    <row r="9184" s="11" customFormat="true" ht="10.95" hidden="false" customHeight="true" outlineLevel="0" collapsed="false">
      <c r="A9184" s="16" t="n">
        <v>45370</v>
      </c>
      <c r="B9184" s="17" t="s">
        <v>3803</v>
      </c>
      <c r="C9184" s="17" t="s">
        <v>3752</v>
      </c>
      <c r="D9184" s="17" t="s">
        <v>1407</v>
      </c>
      <c r="E9184" s="17" t="s">
        <v>3813</v>
      </c>
      <c r="F9184" s="17"/>
      <c r="G9184" s="18" t="n">
        <v>0</v>
      </c>
      <c r="H9184" s="18" t="n">
        <v>772.34</v>
      </c>
      <c r="I9184" s="18" t="n">
        <f aca="false">((I9183 + G9184) - H9184)</f>
        <v>-7781.25</v>
      </c>
      <c r="J9184" s="18" t="n">
        <v>0</v>
      </c>
      <c r="K9184" s="19" t="n">
        <v>0</v>
      </c>
      <c r="L9184" s="17"/>
    </row>
    <row r="9185" s="11" customFormat="true" ht="10.95" hidden="false" customHeight="true" outlineLevel="0" collapsed="false">
      <c r="A9185" s="16" t="n">
        <v>45370</v>
      </c>
      <c r="B9185" s="17" t="s">
        <v>3803</v>
      </c>
      <c r="C9185" s="17" t="s">
        <v>3752</v>
      </c>
      <c r="D9185" s="17" t="s">
        <v>1407</v>
      </c>
      <c r="E9185" s="17" t="s">
        <v>3813</v>
      </c>
      <c r="F9185" s="17"/>
      <c r="G9185" s="18" t="n">
        <v>0</v>
      </c>
      <c r="H9185" s="18" t="n">
        <v>692.4</v>
      </c>
      <c r="I9185" s="18" t="n">
        <f aca="false">((I9184 + G9185) - H9185)</f>
        <v>-8473.65</v>
      </c>
      <c r="J9185" s="18" t="n">
        <v>0</v>
      </c>
      <c r="K9185" s="19" t="n">
        <v>0</v>
      </c>
      <c r="L9185" s="17"/>
    </row>
    <row r="9186" s="11" customFormat="true" ht="10.95" hidden="false" customHeight="true" outlineLevel="0" collapsed="false">
      <c r="A9186" s="16" t="n">
        <v>45371</v>
      </c>
      <c r="B9186" s="17" t="s">
        <v>3803</v>
      </c>
      <c r="C9186" s="17" t="s">
        <v>3752</v>
      </c>
      <c r="D9186" s="17" t="s">
        <v>3753</v>
      </c>
      <c r="E9186" s="17" t="s">
        <v>3806</v>
      </c>
      <c r="F9186" s="17" t="s">
        <v>3831</v>
      </c>
      <c r="G9186" s="18" t="n">
        <v>7918.26</v>
      </c>
      <c r="H9186" s="18" t="n">
        <v>0</v>
      </c>
      <c r="I9186" s="18" t="n">
        <f aca="false">((I9185 + G9186) - H9186)</f>
        <v>-555.389999999998</v>
      </c>
      <c r="J9186" s="18" t="n">
        <v>0</v>
      </c>
      <c r="K9186" s="19" t="n">
        <v>0</v>
      </c>
      <c r="L9186" s="17"/>
    </row>
    <row r="9187" s="11" customFormat="true" ht="10.95" hidden="false" customHeight="true" outlineLevel="0" collapsed="false">
      <c r="A9187" s="16" t="n">
        <v>45372</v>
      </c>
      <c r="B9187" s="17" t="s">
        <v>3803</v>
      </c>
      <c r="C9187" s="17" t="s">
        <v>3752</v>
      </c>
      <c r="D9187" s="17" t="s">
        <v>1407</v>
      </c>
      <c r="E9187" s="17" t="s">
        <v>3832</v>
      </c>
      <c r="F9187" s="17"/>
      <c r="G9187" s="18" t="n">
        <v>0</v>
      </c>
      <c r="H9187" s="18" t="n">
        <v>94.98</v>
      </c>
      <c r="I9187" s="18" t="n">
        <f aca="false">((I9186 + G9187) - H9187)</f>
        <v>-650.369999999998</v>
      </c>
      <c r="J9187" s="18" t="n">
        <v>0</v>
      </c>
      <c r="K9187" s="19" t="n">
        <v>0</v>
      </c>
      <c r="L9187" s="17"/>
    </row>
    <row r="9188" s="11" customFormat="true" ht="10.95" hidden="false" customHeight="true" outlineLevel="0" collapsed="false">
      <c r="A9188" s="16" t="n">
        <v>45375</v>
      </c>
      <c r="B9188" s="17" t="s">
        <v>3803</v>
      </c>
      <c r="C9188" s="17" t="s">
        <v>3752</v>
      </c>
      <c r="D9188" s="17" t="s">
        <v>1407</v>
      </c>
      <c r="E9188" s="17" t="s">
        <v>3804</v>
      </c>
      <c r="F9188" s="17"/>
      <c r="G9188" s="18" t="n">
        <v>0</v>
      </c>
      <c r="H9188" s="18" t="n">
        <v>39.99</v>
      </c>
      <c r="I9188" s="18" t="n">
        <f aca="false">((I9187 + G9188) - H9188)</f>
        <v>-690.359999999998</v>
      </c>
      <c r="J9188" s="18" t="n">
        <v>0</v>
      </c>
      <c r="K9188" s="19" t="n">
        <v>0</v>
      </c>
      <c r="L9188" s="17"/>
    </row>
    <row r="9189" s="11" customFormat="true" ht="10.95" hidden="false" customHeight="true" outlineLevel="0" collapsed="false">
      <c r="A9189" s="16" t="n">
        <v>45385</v>
      </c>
      <c r="B9189" s="17" t="s">
        <v>3803</v>
      </c>
      <c r="C9189" s="17" t="s">
        <v>3752</v>
      </c>
      <c r="D9189" s="17" t="s">
        <v>3753</v>
      </c>
      <c r="E9189" s="17" t="s">
        <v>3806</v>
      </c>
      <c r="F9189" s="17" t="s">
        <v>3833</v>
      </c>
      <c r="G9189" s="18" t="n">
        <v>134.97</v>
      </c>
      <c r="H9189" s="18" t="n">
        <v>0</v>
      </c>
      <c r="I9189" s="18" t="n">
        <f aca="false">((I9188 + G9189) - H9189)</f>
        <v>-555.389999999998</v>
      </c>
      <c r="J9189" s="18" t="n">
        <v>0</v>
      </c>
      <c r="K9189" s="19" t="n">
        <v>0</v>
      </c>
      <c r="L9189" s="17"/>
    </row>
    <row r="9190" s="11" customFormat="true" ht="10.95" hidden="false" customHeight="true" outlineLevel="0" collapsed="false">
      <c r="A9190" s="16" t="n">
        <v>45385</v>
      </c>
      <c r="B9190" s="17" t="s">
        <v>3803</v>
      </c>
      <c r="C9190" s="17" t="s">
        <v>3752</v>
      </c>
      <c r="D9190" s="17" t="s">
        <v>1407</v>
      </c>
      <c r="E9190" s="17" t="s">
        <v>3804</v>
      </c>
      <c r="F9190" s="17"/>
      <c r="G9190" s="18" t="n">
        <v>0</v>
      </c>
      <c r="H9190" s="18" t="n">
        <v>39.99</v>
      </c>
      <c r="I9190" s="18" t="n">
        <f aca="false">((I9189 + G9190) - H9190)</f>
        <v>-595.379999999998</v>
      </c>
      <c r="J9190" s="18" t="n">
        <v>0</v>
      </c>
      <c r="K9190" s="19" t="n">
        <v>0</v>
      </c>
      <c r="L9190" s="17"/>
    </row>
    <row r="9191" s="11" customFormat="true" ht="10.95" hidden="false" customHeight="true" outlineLevel="0" collapsed="false">
      <c r="A9191" s="16" t="n">
        <v>45386</v>
      </c>
      <c r="B9191" s="17" t="s">
        <v>3803</v>
      </c>
      <c r="C9191" s="17" t="s">
        <v>3752</v>
      </c>
      <c r="D9191" s="17" t="s">
        <v>2903</v>
      </c>
      <c r="E9191" s="17" t="s">
        <v>3631</v>
      </c>
      <c r="F9191" s="17" t="s">
        <v>3310</v>
      </c>
      <c r="G9191" s="18" t="n">
        <v>0</v>
      </c>
      <c r="H9191" s="18" t="n">
        <v>980.49</v>
      </c>
      <c r="I9191" s="18" t="n">
        <f aca="false">((I9190 + G9191) - H9191)</f>
        <v>-1575.87</v>
      </c>
      <c r="J9191" s="18" t="n">
        <v>0</v>
      </c>
      <c r="K9191" s="19" t="n">
        <v>0</v>
      </c>
      <c r="L9191" s="17"/>
    </row>
    <row r="9192" s="11" customFormat="true" ht="10.95" hidden="false" customHeight="true" outlineLevel="0" collapsed="false">
      <c r="A9192" s="16" t="n">
        <v>45390</v>
      </c>
      <c r="B9192" s="17" t="s">
        <v>3803</v>
      </c>
      <c r="C9192" s="17" t="s">
        <v>3752</v>
      </c>
      <c r="D9192" s="17" t="s">
        <v>1407</v>
      </c>
      <c r="E9192" s="17" t="s">
        <v>3825</v>
      </c>
      <c r="F9192" s="17"/>
      <c r="G9192" s="18" t="n">
        <v>0</v>
      </c>
      <c r="H9192" s="18" t="n">
        <v>172.04</v>
      </c>
      <c r="I9192" s="18" t="n">
        <f aca="false">((I9191 + G9192) - H9192)</f>
        <v>-1747.91</v>
      </c>
      <c r="J9192" s="18" t="n">
        <v>0</v>
      </c>
      <c r="K9192" s="19" t="n">
        <v>0</v>
      </c>
      <c r="L9192" s="17"/>
    </row>
    <row r="9193" s="11" customFormat="true" ht="10.95" hidden="false" customHeight="true" outlineLevel="0" collapsed="false">
      <c r="A9193" s="16" t="n">
        <v>45392</v>
      </c>
      <c r="B9193" s="17" t="s">
        <v>3803</v>
      </c>
      <c r="C9193" s="17" t="s">
        <v>3752</v>
      </c>
      <c r="D9193" s="17" t="s">
        <v>1407</v>
      </c>
      <c r="E9193" s="17" t="s">
        <v>3825</v>
      </c>
      <c r="F9193" s="17"/>
      <c r="G9193" s="18" t="n">
        <v>0</v>
      </c>
      <c r="H9193" s="18" t="n">
        <v>144.24</v>
      </c>
      <c r="I9193" s="18" t="n">
        <f aca="false">((I9192 + G9193) - H9193)</f>
        <v>-1892.15</v>
      </c>
      <c r="J9193" s="18" t="n">
        <v>0</v>
      </c>
      <c r="K9193" s="19" t="n">
        <v>0</v>
      </c>
      <c r="L9193" s="17"/>
    </row>
    <row r="9194" s="11" customFormat="true" ht="10.95" hidden="false" customHeight="true" outlineLevel="0" collapsed="false">
      <c r="A9194" s="16" t="n">
        <v>45393</v>
      </c>
      <c r="B9194" s="17" t="s">
        <v>3803</v>
      </c>
      <c r="C9194" s="17" t="s">
        <v>3752</v>
      </c>
      <c r="D9194" s="17" t="s">
        <v>1407</v>
      </c>
      <c r="E9194" s="17" t="s">
        <v>3834</v>
      </c>
      <c r="F9194" s="17"/>
      <c r="G9194" s="18" t="n">
        <v>0</v>
      </c>
      <c r="H9194" s="18" t="n">
        <v>220.5</v>
      </c>
      <c r="I9194" s="18" t="n">
        <f aca="false">((I9193 + G9194) - H9194)</f>
        <v>-2112.65</v>
      </c>
      <c r="J9194" s="18" t="n">
        <v>0</v>
      </c>
      <c r="K9194" s="19" t="n">
        <v>0</v>
      </c>
      <c r="L9194" s="17"/>
    </row>
    <row r="9195" s="11" customFormat="true" ht="10.95" hidden="false" customHeight="true" outlineLevel="0" collapsed="false">
      <c r="A9195" s="16" t="n">
        <v>45393</v>
      </c>
      <c r="B9195" s="17" t="s">
        <v>3803</v>
      </c>
      <c r="C9195" s="17" t="s">
        <v>3752</v>
      </c>
      <c r="D9195" s="17" t="s">
        <v>1407</v>
      </c>
      <c r="E9195" s="17" t="s">
        <v>3810</v>
      </c>
      <c r="F9195" s="17"/>
      <c r="G9195" s="18" t="n">
        <v>0</v>
      </c>
      <c r="H9195" s="18" t="n">
        <v>9030.67</v>
      </c>
      <c r="I9195" s="18" t="n">
        <f aca="false">((I9194 + G9195) - H9195)</f>
        <v>-11143.32</v>
      </c>
      <c r="J9195" s="18" t="n">
        <v>0</v>
      </c>
      <c r="K9195" s="19" t="n">
        <v>0</v>
      </c>
      <c r="L9195" s="17"/>
    </row>
    <row r="9196" s="11" customFormat="true" ht="10.95" hidden="false" customHeight="true" outlineLevel="0" collapsed="false">
      <c r="A9196" s="16" t="n">
        <v>45395</v>
      </c>
      <c r="B9196" s="17" t="s">
        <v>3803</v>
      </c>
      <c r="C9196" s="17" t="s">
        <v>3752</v>
      </c>
      <c r="D9196" s="17" t="s">
        <v>1407</v>
      </c>
      <c r="E9196" s="17" t="s">
        <v>3835</v>
      </c>
      <c r="F9196" s="17"/>
      <c r="G9196" s="18" t="n">
        <v>0</v>
      </c>
      <c r="H9196" s="18" t="n">
        <v>2047.93</v>
      </c>
      <c r="I9196" s="18" t="n">
        <f aca="false">((I9195 + G9196) - H9196)</f>
        <v>-13191.25</v>
      </c>
      <c r="J9196" s="18" t="n">
        <v>0</v>
      </c>
      <c r="K9196" s="19" t="n">
        <v>0</v>
      </c>
      <c r="L9196" s="17"/>
    </row>
    <row r="9197" s="11" customFormat="true" ht="10.95" hidden="false" customHeight="true" outlineLevel="0" collapsed="false">
      <c r="A9197" s="16" t="n">
        <v>45396</v>
      </c>
      <c r="B9197" s="17" t="s">
        <v>3803</v>
      </c>
      <c r="C9197" s="17" t="s">
        <v>3752</v>
      </c>
      <c r="D9197" s="17" t="s">
        <v>1407</v>
      </c>
      <c r="E9197" s="17" t="s">
        <v>3779</v>
      </c>
      <c r="F9197" s="17"/>
      <c r="G9197" s="18" t="n">
        <v>0</v>
      </c>
      <c r="H9197" s="18" t="n">
        <v>2329.95</v>
      </c>
      <c r="I9197" s="18" t="n">
        <f aca="false">((I9196 + G9197) - H9197)</f>
        <v>-15521.2</v>
      </c>
      <c r="J9197" s="18" t="n">
        <v>0</v>
      </c>
      <c r="K9197" s="19" t="n">
        <v>0</v>
      </c>
      <c r="L9197" s="17"/>
    </row>
    <row r="9198" s="11" customFormat="true" ht="10.95" hidden="false" customHeight="true" outlineLevel="0" collapsed="false">
      <c r="A9198" s="16" t="n">
        <v>45396</v>
      </c>
      <c r="B9198" s="17" t="s">
        <v>3803</v>
      </c>
      <c r="C9198" s="17" t="s">
        <v>3752</v>
      </c>
      <c r="D9198" s="17" t="s">
        <v>1407</v>
      </c>
      <c r="E9198" s="17" t="s">
        <v>3828</v>
      </c>
      <c r="F9198" s="17"/>
      <c r="G9198" s="18" t="n">
        <v>0</v>
      </c>
      <c r="H9198" s="18" t="n">
        <v>55.78</v>
      </c>
      <c r="I9198" s="18" t="n">
        <f aca="false">((I9197 + G9198) - H9198)</f>
        <v>-15576.98</v>
      </c>
      <c r="J9198" s="18" t="n">
        <v>0</v>
      </c>
      <c r="K9198" s="19" t="n">
        <v>0</v>
      </c>
      <c r="L9198" s="17"/>
    </row>
    <row r="9199" s="11" customFormat="true" ht="10.95" hidden="false" customHeight="true" outlineLevel="0" collapsed="false">
      <c r="A9199" s="16" t="n">
        <v>45398</v>
      </c>
      <c r="B9199" s="17" t="s">
        <v>3803</v>
      </c>
      <c r="C9199" s="17" t="s">
        <v>3752</v>
      </c>
      <c r="D9199" s="17" t="s">
        <v>1407</v>
      </c>
      <c r="E9199" s="17" t="s">
        <v>3759</v>
      </c>
      <c r="F9199" s="17"/>
      <c r="G9199" s="18" t="n">
        <v>0</v>
      </c>
      <c r="H9199" s="18" t="n">
        <v>1571.74</v>
      </c>
      <c r="I9199" s="18" t="n">
        <f aca="false">((I9198 + G9199) - H9199)</f>
        <v>-17148.72</v>
      </c>
      <c r="J9199" s="18" t="n">
        <v>0</v>
      </c>
      <c r="K9199" s="19" t="n">
        <v>0</v>
      </c>
      <c r="L9199" s="17"/>
    </row>
    <row r="9200" s="11" customFormat="true" ht="10.95" hidden="false" customHeight="true" outlineLevel="0" collapsed="false">
      <c r="A9200" s="16" t="n">
        <v>45398</v>
      </c>
      <c r="B9200" s="17" t="s">
        <v>3803</v>
      </c>
      <c r="C9200" s="17" t="s">
        <v>3752</v>
      </c>
      <c r="D9200" s="17" t="s">
        <v>1407</v>
      </c>
      <c r="E9200" s="17" t="s">
        <v>3836</v>
      </c>
      <c r="F9200" s="17"/>
      <c r="G9200" s="18" t="n">
        <v>0</v>
      </c>
      <c r="H9200" s="18" t="n">
        <v>107.63</v>
      </c>
      <c r="I9200" s="18" t="n">
        <f aca="false">((I9199 + G9200) - H9200)</f>
        <v>-17256.35</v>
      </c>
      <c r="J9200" s="18" t="n">
        <v>0</v>
      </c>
      <c r="K9200" s="19" t="n">
        <v>0</v>
      </c>
      <c r="L9200" s="17"/>
    </row>
    <row r="9201" s="11" customFormat="true" ht="10.95" hidden="false" customHeight="true" outlineLevel="0" collapsed="false">
      <c r="A9201" s="16" t="n">
        <v>45399</v>
      </c>
      <c r="B9201" s="17" t="s">
        <v>3803</v>
      </c>
      <c r="C9201" s="17" t="s">
        <v>3752</v>
      </c>
      <c r="D9201" s="17" t="s">
        <v>1407</v>
      </c>
      <c r="E9201" s="17" t="s">
        <v>3837</v>
      </c>
      <c r="F9201" s="17"/>
      <c r="G9201" s="18" t="n">
        <v>0</v>
      </c>
      <c r="H9201" s="18" t="n">
        <v>1522.55</v>
      </c>
      <c r="I9201" s="18" t="n">
        <f aca="false">((I9200 + G9201) - H9201)</f>
        <v>-18778.9</v>
      </c>
      <c r="J9201" s="18" t="n">
        <v>0</v>
      </c>
      <c r="K9201" s="19" t="n">
        <v>0</v>
      </c>
      <c r="L9201" s="17"/>
    </row>
    <row r="9202" s="11" customFormat="true" ht="10.95" hidden="false" customHeight="true" outlineLevel="0" collapsed="false">
      <c r="A9202" s="16" t="n">
        <v>45402</v>
      </c>
      <c r="B9202" s="17" t="s">
        <v>3803</v>
      </c>
      <c r="C9202" s="17" t="s">
        <v>3752</v>
      </c>
      <c r="D9202" s="17" t="s">
        <v>1407</v>
      </c>
      <c r="E9202" s="17" t="s">
        <v>3838</v>
      </c>
      <c r="F9202" s="17"/>
      <c r="G9202" s="18" t="n">
        <v>0</v>
      </c>
      <c r="H9202" s="18" t="n">
        <v>488.03</v>
      </c>
      <c r="I9202" s="18" t="n">
        <f aca="false">((I9201 + G9202) - H9202)</f>
        <v>-19266.93</v>
      </c>
      <c r="J9202" s="18" t="n">
        <v>0</v>
      </c>
      <c r="K9202" s="19" t="n">
        <v>0</v>
      </c>
      <c r="L9202" s="17"/>
    </row>
    <row r="9203" s="11" customFormat="true" ht="10.95" hidden="false" customHeight="true" outlineLevel="0" collapsed="false">
      <c r="A9203" s="16" t="n">
        <v>45402</v>
      </c>
      <c r="B9203" s="17" t="s">
        <v>3803</v>
      </c>
      <c r="C9203" s="17" t="s">
        <v>3752</v>
      </c>
      <c r="D9203" s="17" t="s">
        <v>1407</v>
      </c>
      <c r="E9203" s="17" t="s">
        <v>3835</v>
      </c>
      <c r="F9203" s="17"/>
      <c r="G9203" s="18" t="n">
        <v>0</v>
      </c>
      <c r="H9203" s="18" t="n">
        <v>454.45</v>
      </c>
      <c r="I9203" s="18" t="n">
        <f aca="false">((I9202 + G9203) - H9203)</f>
        <v>-19721.38</v>
      </c>
      <c r="J9203" s="18" t="n">
        <v>0</v>
      </c>
      <c r="K9203" s="19" t="n">
        <v>0</v>
      </c>
      <c r="L9203" s="17"/>
    </row>
    <row r="9204" s="11" customFormat="true" ht="10.95" hidden="false" customHeight="true" outlineLevel="0" collapsed="false">
      <c r="A9204" s="16" t="n">
        <v>45403</v>
      </c>
      <c r="B9204" s="17" t="s">
        <v>3803</v>
      </c>
      <c r="C9204" s="17" t="s">
        <v>3752</v>
      </c>
      <c r="D9204" s="17" t="s">
        <v>1407</v>
      </c>
      <c r="E9204" s="17" t="s">
        <v>3804</v>
      </c>
      <c r="F9204" s="17"/>
      <c r="G9204" s="18" t="n">
        <v>0</v>
      </c>
      <c r="H9204" s="18" t="n">
        <v>99.99</v>
      </c>
      <c r="I9204" s="18" t="n">
        <f aca="false">((I9203 + G9204) - H9204)</f>
        <v>-19821.37</v>
      </c>
      <c r="J9204" s="18" t="n">
        <v>0</v>
      </c>
      <c r="K9204" s="19" t="n">
        <v>0</v>
      </c>
      <c r="L9204" s="17"/>
    </row>
    <row r="9205" s="11" customFormat="true" ht="10.95" hidden="false" customHeight="true" outlineLevel="0" collapsed="false">
      <c r="A9205" s="16" t="n">
        <v>45405</v>
      </c>
      <c r="B9205" s="17" t="s">
        <v>3803</v>
      </c>
      <c r="C9205" s="17" t="s">
        <v>3752</v>
      </c>
      <c r="D9205" s="17" t="s">
        <v>1407</v>
      </c>
      <c r="E9205" s="17" t="s">
        <v>3804</v>
      </c>
      <c r="F9205" s="17"/>
      <c r="G9205" s="18" t="n">
        <v>0</v>
      </c>
      <c r="H9205" s="18" t="n">
        <v>39.99</v>
      </c>
      <c r="I9205" s="18" t="n">
        <f aca="false">((I9204 + G9205) - H9205)</f>
        <v>-19861.36</v>
      </c>
      <c r="J9205" s="18" t="n">
        <v>0</v>
      </c>
      <c r="K9205" s="19" t="n">
        <v>0</v>
      </c>
      <c r="L9205" s="17"/>
    </row>
    <row r="9206" s="11" customFormat="true" ht="10.95" hidden="false" customHeight="true" outlineLevel="0" collapsed="false">
      <c r="A9206" s="16" t="n">
        <v>45406</v>
      </c>
      <c r="B9206" s="17" t="s">
        <v>3803</v>
      </c>
      <c r="C9206" s="17" t="s">
        <v>3752</v>
      </c>
      <c r="D9206" s="17" t="s">
        <v>1407</v>
      </c>
      <c r="E9206" s="17" t="s">
        <v>3839</v>
      </c>
      <c r="F9206" s="17"/>
      <c r="G9206" s="18" t="n">
        <v>0</v>
      </c>
      <c r="H9206" s="18" t="n">
        <v>1301.5</v>
      </c>
      <c r="I9206" s="18" t="n">
        <f aca="false">((I9205 + G9206) - H9206)</f>
        <v>-21162.86</v>
      </c>
      <c r="J9206" s="18" t="n">
        <v>0</v>
      </c>
      <c r="K9206" s="19" t="n">
        <v>0</v>
      </c>
      <c r="L9206" s="17"/>
    </row>
    <row r="9207" s="11" customFormat="true" ht="10.95" hidden="false" customHeight="true" outlineLevel="0" collapsed="false">
      <c r="A9207" s="16" t="n">
        <v>45411</v>
      </c>
      <c r="B9207" s="17" t="s">
        <v>3803</v>
      </c>
      <c r="C9207" s="17" t="s">
        <v>3752</v>
      </c>
      <c r="D9207" s="17" t="s">
        <v>3753</v>
      </c>
      <c r="E9207" s="17" t="s">
        <v>3806</v>
      </c>
      <c r="F9207" s="17" t="s">
        <v>3840</v>
      </c>
      <c r="G9207" s="18" t="n">
        <v>10000</v>
      </c>
      <c r="H9207" s="18" t="n">
        <v>0</v>
      </c>
      <c r="I9207" s="18" t="n">
        <f aca="false">((I9206 + G9207) - H9207)</f>
        <v>-11162.86</v>
      </c>
      <c r="J9207" s="18" t="n">
        <v>0</v>
      </c>
      <c r="K9207" s="19" t="n">
        <v>0</v>
      </c>
      <c r="L9207" s="17"/>
    </row>
    <row r="9208" s="11" customFormat="true" ht="10.95" hidden="false" customHeight="true" outlineLevel="0" collapsed="false">
      <c r="A9208" s="16" t="n">
        <v>45411</v>
      </c>
      <c r="B9208" s="17" t="s">
        <v>3803</v>
      </c>
      <c r="C9208" s="17" t="s">
        <v>3752</v>
      </c>
      <c r="D9208" s="17" t="s">
        <v>1407</v>
      </c>
      <c r="E9208" s="17" t="s">
        <v>3841</v>
      </c>
      <c r="F9208" s="17"/>
      <c r="G9208" s="18" t="n">
        <v>0</v>
      </c>
      <c r="H9208" s="18" t="n">
        <v>602.86</v>
      </c>
      <c r="I9208" s="18" t="n">
        <f aca="false">((I9207 + G9208) - H9208)</f>
        <v>-11765.72</v>
      </c>
      <c r="J9208" s="18" t="n">
        <v>0</v>
      </c>
      <c r="K9208" s="19" t="n">
        <v>0</v>
      </c>
      <c r="L9208" s="17"/>
    </row>
    <row r="9209" s="11" customFormat="true" ht="10.95" hidden="false" customHeight="true" outlineLevel="0" collapsed="false">
      <c r="A9209" s="16" t="n">
        <v>45411</v>
      </c>
      <c r="B9209" s="17" t="s">
        <v>3803</v>
      </c>
      <c r="C9209" s="17" t="s">
        <v>3752</v>
      </c>
      <c r="D9209" s="17" t="s">
        <v>1407</v>
      </c>
      <c r="E9209" s="17" t="s">
        <v>3779</v>
      </c>
      <c r="F9209" s="17"/>
      <c r="G9209" s="18" t="n">
        <v>0</v>
      </c>
      <c r="H9209" s="18" t="n">
        <v>494.5</v>
      </c>
      <c r="I9209" s="18" t="n">
        <f aca="false">((I9208 + G9209) - H9209)</f>
        <v>-12260.22</v>
      </c>
      <c r="J9209" s="18" t="n">
        <v>0</v>
      </c>
      <c r="K9209" s="19" t="n">
        <v>0</v>
      </c>
      <c r="L9209" s="17"/>
    </row>
    <row r="9210" s="11" customFormat="true" ht="10.95" hidden="false" customHeight="true" outlineLevel="0" collapsed="false">
      <c r="A9210" s="16" t="n">
        <v>45412</v>
      </c>
      <c r="B9210" s="17" t="s">
        <v>3803</v>
      </c>
      <c r="C9210" s="17" t="s">
        <v>3752</v>
      </c>
      <c r="D9210" s="17" t="s">
        <v>1407</v>
      </c>
      <c r="E9210" s="17" t="s">
        <v>3842</v>
      </c>
      <c r="F9210" s="17"/>
      <c r="G9210" s="18" t="n">
        <v>0</v>
      </c>
      <c r="H9210" s="18" t="n">
        <v>1551.22</v>
      </c>
      <c r="I9210" s="18" t="n">
        <f aca="false">((I9209 + G9210) - H9210)</f>
        <v>-13811.44</v>
      </c>
      <c r="J9210" s="18" t="n">
        <v>0</v>
      </c>
      <c r="K9210" s="19" t="n">
        <v>0</v>
      </c>
      <c r="L9210" s="17"/>
    </row>
    <row r="9211" s="11" customFormat="true" ht="10.95" hidden="false" customHeight="true" outlineLevel="0" collapsed="false">
      <c r="A9211" s="16" t="n">
        <v>45414</v>
      </c>
      <c r="B9211" s="17" t="s">
        <v>3803</v>
      </c>
      <c r="C9211" s="17" t="s">
        <v>3752</v>
      </c>
      <c r="D9211" s="17" t="s">
        <v>1407</v>
      </c>
      <c r="E9211" s="17" t="s">
        <v>3843</v>
      </c>
      <c r="F9211" s="17"/>
      <c r="G9211" s="18" t="n">
        <v>0</v>
      </c>
      <c r="H9211" s="18" t="n">
        <v>4047.42</v>
      </c>
      <c r="I9211" s="18" t="n">
        <f aca="false">((I9210 + G9211) - H9211)</f>
        <v>-17858.86</v>
      </c>
      <c r="J9211" s="18" t="n">
        <v>0</v>
      </c>
      <c r="K9211" s="19" t="n">
        <v>0</v>
      </c>
      <c r="L9211" s="17"/>
    </row>
    <row r="9212" s="11" customFormat="true" ht="10.95" hidden="false" customHeight="true" outlineLevel="0" collapsed="false">
      <c r="A9212" s="16" t="n">
        <v>45415</v>
      </c>
      <c r="B9212" s="17" t="s">
        <v>3803</v>
      </c>
      <c r="C9212" s="17" t="s">
        <v>3752</v>
      </c>
      <c r="D9212" s="17" t="s">
        <v>1407</v>
      </c>
      <c r="E9212" s="17" t="s">
        <v>3804</v>
      </c>
      <c r="F9212" s="17"/>
      <c r="G9212" s="18" t="n">
        <v>0</v>
      </c>
      <c r="H9212" s="18" t="n">
        <v>39.99</v>
      </c>
      <c r="I9212" s="18" t="n">
        <f aca="false">((I9211 + G9212) - H9212)</f>
        <v>-17898.85</v>
      </c>
      <c r="J9212" s="18" t="n">
        <v>0</v>
      </c>
      <c r="K9212" s="19" t="n">
        <v>0</v>
      </c>
      <c r="L9212" s="17"/>
    </row>
    <row r="9213" s="11" customFormat="true" ht="10.95" hidden="false" customHeight="true" outlineLevel="0" collapsed="false">
      <c r="A9213" s="16" t="n">
        <v>45415</v>
      </c>
      <c r="B9213" s="17" t="s">
        <v>3803</v>
      </c>
      <c r="C9213" s="17" t="s">
        <v>3752</v>
      </c>
      <c r="D9213" s="17" t="s">
        <v>2903</v>
      </c>
      <c r="E9213" s="17" t="s">
        <v>3631</v>
      </c>
      <c r="F9213" s="17" t="s">
        <v>3320</v>
      </c>
      <c r="G9213" s="18" t="n">
        <v>0</v>
      </c>
      <c r="H9213" s="18" t="n">
        <v>169.52</v>
      </c>
      <c r="I9213" s="18" t="n">
        <f aca="false">((I9212 + G9213) - H9213)</f>
        <v>-18068.37</v>
      </c>
      <c r="J9213" s="18" t="n">
        <v>0</v>
      </c>
      <c r="K9213" s="19" t="n">
        <v>0</v>
      </c>
      <c r="L9213" s="17"/>
    </row>
    <row r="9214" s="11" customFormat="true" ht="10.95" hidden="false" customHeight="true" outlineLevel="0" collapsed="false">
      <c r="A9214" s="16" t="n">
        <v>45417</v>
      </c>
      <c r="B9214" s="17" t="s">
        <v>3803</v>
      </c>
      <c r="C9214" s="17" t="s">
        <v>3752</v>
      </c>
      <c r="D9214" s="17" t="s">
        <v>3753</v>
      </c>
      <c r="E9214" s="17" t="s">
        <v>3806</v>
      </c>
      <c r="F9214" s="17" t="s">
        <v>3844</v>
      </c>
      <c r="G9214" s="18" t="n">
        <v>17303.47</v>
      </c>
      <c r="H9214" s="18" t="n">
        <v>0</v>
      </c>
      <c r="I9214" s="18" t="n">
        <f aca="false">((I9213 + G9214) - H9214)</f>
        <v>-764.900000000002</v>
      </c>
      <c r="J9214" s="18" t="n">
        <v>0</v>
      </c>
      <c r="K9214" s="19" t="n">
        <v>0</v>
      </c>
      <c r="L9214" s="17"/>
    </row>
    <row r="9215" s="11" customFormat="true" ht="10.95" hidden="false" customHeight="true" outlineLevel="0" collapsed="false">
      <c r="A9215" s="16" t="n">
        <v>45419</v>
      </c>
      <c r="B9215" s="17" t="s">
        <v>3803</v>
      </c>
      <c r="C9215" s="17" t="s">
        <v>3752</v>
      </c>
      <c r="D9215" s="17" t="s">
        <v>1407</v>
      </c>
      <c r="E9215" s="17" t="s">
        <v>3807</v>
      </c>
      <c r="F9215" s="17"/>
      <c r="G9215" s="18" t="n">
        <v>0</v>
      </c>
      <c r="H9215" s="18" t="n">
        <v>518</v>
      </c>
      <c r="I9215" s="18" t="n">
        <f aca="false">((I9214 + G9215) - H9215)</f>
        <v>-1282.9</v>
      </c>
      <c r="J9215" s="18" t="n">
        <v>0</v>
      </c>
      <c r="K9215" s="19" t="n">
        <v>0</v>
      </c>
      <c r="L9215" s="17"/>
    </row>
    <row r="9216" s="11" customFormat="true" ht="10.95" hidden="false" customHeight="true" outlineLevel="0" collapsed="false">
      <c r="A9216" s="16" t="n">
        <v>45419</v>
      </c>
      <c r="B9216" s="17" t="s">
        <v>3803</v>
      </c>
      <c r="C9216" s="17" t="s">
        <v>3752</v>
      </c>
      <c r="D9216" s="17" t="s">
        <v>1407</v>
      </c>
      <c r="E9216" s="17" t="s">
        <v>3807</v>
      </c>
      <c r="F9216" s="17"/>
      <c r="G9216" s="18" t="n">
        <v>0</v>
      </c>
      <c r="H9216" s="18" t="n">
        <v>12790</v>
      </c>
      <c r="I9216" s="18" t="n">
        <f aca="false">((I9215 + G9216) - H9216)</f>
        <v>-14072.9</v>
      </c>
      <c r="J9216" s="18" t="n">
        <v>0</v>
      </c>
      <c r="K9216" s="19" t="n">
        <v>0</v>
      </c>
      <c r="L9216" s="17"/>
    </row>
    <row r="9217" s="11" customFormat="true" ht="10.95" hidden="false" customHeight="true" outlineLevel="0" collapsed="false">
      <c r="A9217" s="16" t="n">
        <v>45433</v>
      </c>
      <c r="B9217" s="17" t="s">
        <v>3803</v>
      </c>
      <c r="C9217" s="17" t="s">
        <v>3752</v>
      </c>
      <c r="D9217" s="17" t="s">
        <v>1407</v>
      </c>
      <c r="E9217" s="17" t="s">
        <v>3804</v>
      </c>
      <c r="F9217" s="17"/>
      <c r="G9217" s="18" t="n">
        <v>0</v>
      </c>
      <c r="H9217" s="18" t="n">
        <v>99.99</v>
      </c>
      <c r="I9217" s="18" t="n">
        <f aca="false">((I9216 + G9217) - H9217)</f>
        <v>-14172.89</v>
      </c>
      <c r="J9217" s="18" t="n">
        <v>0</v>
      </c>
      <c r="K9217" s="19" t="n">
        <v>0</v>
      </c>
      <c r="L9217" s="17"/>
    </row>
    <row r="9218" s="11" customFormat="true" ht="10.95" hidden="false" customHeight="true" outlineLevel="0" collapsed="false">
      <c r="A9218" s="16" t="n">
        <v>45435</v>
      </c>
      <c r="B9218" s="17" t="s">
        <v>3803</v>
      </c>
      <c r="C9218" s="17" t="s">
        <v>3752</v>
      </c>
      <c r="D9218" s="17" t="s">
        <v>1407</v>
      </c>
      <c r="E9218" s="17" t="s">
        <v>3804</v>
      </c>
      <c r="F9218" s="17"/>
      <c r="G9218" s="18" t="n">
        <v>0</v>
      </c>
      <c r="H9218" s="18" t="n">
        <v>39.99</v>
      </c>
      <c r="I9218" s="18" t="n">
        <f aca="false">((I9217 + G9218) - H9218)</f>
        <v>-14212.88</v>
      </c>
      <c r="J9218" s="18" t="n">
        <v>0</v>
      </c>
      <c r="K9218" s="19" t="n">
        <v>0</v>
      </c>
      <c r="L9218" s="17"/>
    </row>
    <row r="9219" s="11" customFormat="true" ht="10.95" hidden="false" customHeight="true" outlineLevel="0" collapsed="false">
      <c r="A9219" s="16" t="n">
        <v>45438</v>
      </c>
      <c r="B9219" s="17" t="s">
        <v>3803</v>
      </c>
      <c r="C9219" s="17" t="s">
        <v>3752</v>
      </c>
      <c r="D9219" s="17" t="s">
        <v>1407</v>
      </c>
      <c r="E9219" s="17" t="s">
        <v>3845</v>
      </c>
      <c r="F9219" s="17"/>
      <c r="G9219" s="18" t="n">
        <v>0</v>
      </c>
      <c r="H9219" s="18" t="n">
        <v>42.47</v>
      </c>
      <c r="I9219" s="18" t="n">
        <f aca="false">((I9218 + G9219) - H9219)</f>
        <v>-14255.35</v>
      </c>
      <c r="J9219" s="18" t="n">
        <v>0</v>
      </c>
      <c r="K9219" s="19" t="n">
        <v>0</v>
      </c>
      <c r="L9219" s="17"/>
    </row>
    <row r="9220" s="11" customFormat="true" ht="10.95" hidden="false" customHeight="true" outlineLevel="0" collapsed="false">
      <c r="A9220" s="16" t="n">
        <v>45438</v>
      </c>
      <c r="B9220" s="17" t="s">
        <v>3803</v>
      </c>
      <c r="C9220" s="17" t="s">
        <v>3752</v>
      </c>
      <c r="D9220" s="17" t="s">
        <v>1407</v>
      </c>
      <c r="E9220" s="17" t="s">
        <v>3845</v>
      </c>
      <c r="F9220" s="17"/>
      <c r="G9220" s="18" t="n">
        <v>0</v>
      </c>
      <c r="H9220" s="18" t="n">
        <v>74</v>
      </c>
      <c r="I9220" s="18" t="n">
        <f aca="false">((I9219 + G9220) - H9220)</f>
        <v>-14329.35</v>
      </c>
      <c r="J9220" s="18" t="n">
        <v>0</v>
      </c>
      <c r="K9220" s="19" t="n">
        <v>0</v>
      </c>
      <c r="L9220" s="17"/>
    </row>
    <row r="9221" s="11" customFormat="true" ht="10.95" hidden="false" customHeight="true" outlineLevel="0" collapsed="false">
      <c r="A9221" s="16" t="n">
        <v>45438</v>
      </c>
      <c r="B9221" s="17" t="s">
        <v>3803</v>
      </c>
      <c r="C9221" s="17" t="s">
        <v>3752</v>
      </c>
      <c r="D9221" s="17" t="s">
        <v>1407</v>
      </c>
      <c r="E9221" s="17" t="s">
        <v>3846</v>
      </c>
      <c r="F9221" s="17"/>
      <c r="G9221" s="18" t="n">
        <v>0</v>
      </c>
      <c r="H9221" s="18" t="n">
        <v>100.27</v>
      </c>
      <c r="I9221" s="18" t="n">
        <f aca="false">((I9220 + G9221) - H9221)</f>
        <v>-14429.62</v>
      </c>
      <c r="J9221" s="18" t="n">
        <v>0</v>
      </c>
      <c r="K9221" s="19" t="n">
        <v>0</v>
      </c>
      <c r="L9221" s="17"/>
    </row>
    <row r="9222" s="11" customFormat="true" ht="10.95" hidden="false" customHeight="true" outlineLevel="0" collapsed="false">
      <c r="A9222" s="16" t="n">
        <v>45438</v>
      </c>
      <c r="B9222" s="17" t="s">
        <v>3803</v>
      </c>
      <c r="C9222" s="17" t="s">
        <v>3752</v>
      </c>
      <c r="D9222" s="17" t="s">
        <v>1407</v>
      </c>
      <c r="E9222" s="17" t="s">
        <v>3780</v>
      </c>
      <c r="F9222" s="17"/>
      <c r="G9222" s="18" t="n">
        <v>0</v>
      </c>
      <c r="H9222" s="18" t="n">
        <v>35</v>
      </c>
      <c r="I9222" s="18" t="n">
        <f aca="false">((I9221 + G9222) - H9222)</f>
        <v>-14464.62</v>
      </c>
      <c r="J9222" s="18" t="n">
        <v>0</v>
      </c>
      <c r="K9222" s="19" t="n">
        <v>0</v>
      </c>
      <c r="L9222" s="17"/>
    </row>
    <row r="9223" s="11" customFormat="true" ht="10.95" hidden="false" customHeight="true" outlineLevel="0" collapsed="false">
      <c r="A9223" s="16" t="n">
        <v>45438</v>
      </c>
      <c r="B9223" s="17" t="s">
        <v>3803</v>
      </c>
      <c r="C9223" s="17" t="s">
        <v>3752</v>
      </c>
      <c r="D9223" s="17" t="s">
        <v>1407</v>
      </c>
      <c r="E9223" s="17" t="s">
        <v>3847</v>
      </c>
      <c r="F9223" s="17"/>
      <c r="G9223" s="18" t="n">
        <v>0</v>
      </c>
      <c r="H9223" s="18" t="n">
        <v>36.94</v>
      </c>
      <c r="I9223" s="18" t="n">
        <f aca="false">((I9222 + G9223) - H9223)</f>
        <v>-14501.56</v>
      </c>
      <c r="J9223" s="18" t="n">
        <v>0</v>
      </c>
      <c r="K9223" s="19" t="n">
        <v>0</v>
      </c>
      <c r="L9223" s="17"/>
    </row>
    <row r="9224" s="11" customFormat="true" ht="10.95" hidden="false" customHeight="true" outlineLevel="0" collapsed="false">
      <c r="A9224" s="16" t="n">
        <v>45438</v>
      </c>
      <c r="B9224" s="17" t="s">
        <v>3803</v>
      </c>
      <c r="C9224" s="17" t="s">
        <v>3752</v>
      </c>
      <c r="D9224" s="17" t="s">
        <v>1407</v>
      </c>
      <c r="E9224" s="17" t="s">
        <v>3848</v>
      </c>
      <c r="F9224" s="17"/>
      <c r="G9224" s="18" t="n">
        <v>0</v>
      </c>
      <c r="H9224" s="18" t="n">
        <v>9.9</v>
      </c>
      <c r="I9224" s="18" t="n">
        <f aca="false">((I9223 + G9224) - H9224)</f>
        <v>-14511.46</v>
      </c>
      <c r="J9224" s="18" t="n">
        <v>0</v>
      </c>
      <c r="K9224" s="19" t="n">
        <v>0</v>
      </c>
      <c r="L9224" s="17"/>
    </row>
    <row r="9225" s="11" customFormat="true" ht="10.95" hidden="false" customHeight="true" outlineLevel="0" collapsed="false">
      <c r="A9225" s="16" t="n">
        <v>45439</v>
      </c>
      <c r="B9225" s="17" t="s">
        <v>3803</v>
      </c>
      <c r="C9225" s="17" t="s">
        <v>3752</v>
      </c>
      <c r="D9225" s="17" t="s">
        <v>1407</v>
      </c>
      <c r="E9225" s="17" t="s">
        <v>3832</v>
      </c>
      <c r="F9225" s="17"/>
      <c r="G9225" s="18" t="n">
        <v>0</v>
      </c>
      <c r="H9225" s="18" t="n">
        <v>135.87</v>
      </c>
      <c r="I9225" s="18" t="n">
        <f aca="false">((I9224 + G9225) - H9225)</f>
        <v>-14647.33</v>
      </c>
      <c r="J9225" s="18" t="n">
        <v>0</v>
      </c>
      <c r="K9225" s="19" t="n">
        <v>0</v>
      </c>
      <c r="L9225" s="17"/>
    </row>
    <row r="9226" s="11" customFormat="true" ht="10.95" hidden="false" customHeight="true" outlineLevel="0" collapsed="false">
      <c r="A9226" s="16" t="n">
        <v>45439</v>
      </c>
      <c r="B9226" s="17" t="s">
        <v>3803</v>
      </c>
      <c r="C9226" s="17" t="s">
        <v>3752</v>
      </c>
      <c r="D9226" s="17" t="s">
        <v>1407</v>
      </c>
      <c r="E9226" s="17" t="s">
        <v>3849</v>
      </c>
      <c r="F9226" s="17"/>
      <c r="G9226" s="18" t="n">
        <v>0</v>
      </c>
      <c r="H9226" s="18" t="n">
        <v>74.48</v>
      </c>
      <c r="I9226" s="18" t="n">
        <f aca="false">((I9225 + G9226) - H9226)</f>
        <v>-14721.81</v>
      </c>
      <c r="J9226" s="18" t="n">
        <v>0</v>
      </c>
      <c r="K9226" s="19" t="n">
        <v>0</v>
      </c>
      <c r="L9226" s="17"/>
    </row>
    <row r="9227" s="11" customFormat="true" ht="10.95" hidden="false" customHeight="true" outlineLevel="0" collapsed="false">
      <c r="A9227" s="16" t="n">
        <v>45441</v>
      </c>
      <c r="B9227" s="17" t="s">
        <v>3803</v>
      </c>
      <c r="C9227" s="17" t="s">
        <v>3752</v>
      </c>
      <c r="D9227" s="17" t="s">
        <v>2903</v>
      </c>
      <c r="E9227" s="17" t="s">
        <v>3157</v>
      </c>
      <c r="F9227" s="17" t="s">
        <v>3158</v>
      </c>
      <c r="G9227" s="18" t="n">
        <v>0</v>
      </c>
      <c r="H9227" s="18" t="n">
        <v>4111.58</v>
      </c>
      <c r="I9227" s="18" t="n">
        <f aca="false">((I9226 + G9227) - H9227)</f>
        <v>-18833.39</v>
      </c>
      <c r="J9227" s="18" t="n">
        <v>0</v>
      </c>
      <c r="K9227" s="19" t="n">
        <v>0</v>
      </c>
      <c r="L9227" s="17"/>
    </row>
    <row r="9228" s="11" customFormat="true" ht="10.95" hidden="false" customHeight="true" outlineLevel="0" collapsed="false">
      <c r="A9228" s="16" t="n">
        <v>45443</v>
      </c>
      <c r="B9228" s="17" t="s">
        <v>3803</v>
      </c>
      <c r="C9228" s="17" t="s">
        <v>3752</v>
      </c>
      <c r="D9228" s="17" t="s">
        <v>3753</v>
      </c>
      <c r="E9228" s="17" t="s">
        <v>3806</v>
      </c>
      <c r="F9228" s="17" t="s">
        <v>3850</v>
      </c>
      <c r="G9228" s="18" t="n">
        <v>18278</v>
      </c>
      <c r="H9228" s="18" t="n">
        <v>0</v>
      </c>
      <c r="I9228" s="18" t="n">
        <f aca="false">((I9227 + G9228) - H9228)</f>
        <v>-555.389999999999</v>
      </c>
      <c r="J9228" s="18" t="n">
        <v>0</v>
      </c>
      <c r="K9228" s="19" t="n">
        <v>0</v>
      </c>
      <c r="L9228" s="17"/>
    </row>
    <row r="9229" s="11" customFormat="true" ht="10.95" hidden="false" customHeight="true" outlineLevel="0" collapsed="false">
      <c r="A9229" s="16" t="n">
        <v>45443</v>
      </c>
      <c r="B9229" s="17" t="s">
        <v>3803</v>
      </c>
      <c r="C9229" s="17" t="s">
        <v>3752</v>
      </c>
      <c r="D9229" s="17" t="s">
        <v>1407</v>
      </c>
      <c r="E9229" s="17" t="s">
        <v>3851</v>
      </c>
      <c r="F9229" s="17"/>
      <c r="G9229" s="18" t="n">
        <v>0</v>
      </c>
      <c r="H9229" s="18" t="n">
        <v>5299.79</v>
      </c>
      <c r="I9229" s="18" t="n">
        <f aca="false">((I9228 + G9229) - H9229)</f>
        <v>-5855.18</v>
      </c>
      <c r="J9229" s="18" t="n">
        <v>0</v>
      </c>
      <c r="K9229" s="19" t="n">
        <v>0</v>
      </c>
      <c r="L9229" s="17"/>
    </row>
    <row r="9230" s="11" customFormat="true" ht="10.95" hidden="false" customHeight="true" outlineLevel="0" collapsed="false">
      <c r="A9230" s="16" t="n">
        <v>45446</v>
      </c>
      <c r="B9230" s="17" t="s">
        <v>3803</v>
      </c>
      <c r="C9230" s="17" t="s">
        <v>3752</v>
      </c>
      <c r="D9230" s="17" t="s">
        <v>1407</v>
      </c>
      <c r="E9230" s="17" t="s">
        <v>3804</v>
      </c>
      <c r="F9230" s="17"/>
      <c r="G9230" s="18" t="n">
        <v>0</v>
      </c>
      <c r="H9230" s="18" t="n">
        <v>39.99</v>
      </c>
      <c r="I9230" s="18" t="n">
        <f aca="false">((I9229 + G9230) - H9230)</f>
        <v>-5895.17</v>
      </c>
      <c r="J9230" s="18" t="n">
        <v>0</v>
      </c>
      <c r="K9230" s="19" t="n">
        <v>0</v>
      </c>
      <c r="L9230" s="17"/>
    </row>
    <row r="9231" s="11" customFormat="true" ht="10.95" hidden="false" customHeight="true" outlineLevel="0" collapsed="false">
      <c r="A9231" s="16" t="n">
        <v>45446</v>
      </c>
      <c r="B9231" s="17" t="s">
        <v>3803</v>
      </c>
      <c r="C9231" s="17" t="s">
        <v>3752</v>
      </c>
      <c r="D9231" s="17" t="s">
        <v>2903</v>
      </c>
      <c r="E9231" s="17" t="s">
        <v>3631</v>
      </c>
      <c r="F9231" s="17" t="s">
        <v>3333</v>
      </c>
      <c r="G9231" s="18" t="n">
        <v>0</v>
      </c>
      <c r="H9231" s="18" t="n">
        <v>190.61</v>
      </c>
      <c r="I9231" s="18" t="n">
        <f aca="false">((I9230 + G9231) - H9231)</f>
        <v>-6085.78</v>
      </c>
      <c r="J9231" s="18" t="n">
        <v>0</v>
      </c>
      <c r="K9231" s="19" t="n">
        <v>0</v>
      </c>
      <c r="L9231" s="17"/>
    </row>
    <row r="9232" s="11" customFormat="true" ht="10.95" hidden="false" customHeight="true" outlineLevel="0" collapsed="false">
      <c r="A9232" s="16" t="n">
        <v>45446</v>
      </c>
      <c r="B9232" s="17" t="s">
        <v>3803</v>
      </c>
      <c r="C9232" s="17" t="s">
        <v>3752</v>
      </c>
      <c r="D9232" s="17" t="s">
        <v>1407</v>
      </c>
      <c r="E9232" s="17" t="s">
        <v>3836</v>
      </c>
      <c r="F9232" s="17"/>
      <c r="G9232" s="18" t="n">
        <v>0</v>
      </c>
      <c r="H9232" s="18" t="n">
        <v>104.97</v>
      </c>
      <c r="I9232" s="18" t="n">
        <f aca="false">((I9231 + G9232) - H9232)</f>
        <v>-6190.75</v>
      </c>
      <c r="J9232" s="18" t="n">
        <v>0</v>
      </c>
      <c r="K9232" s="19" t="n">
        <v>0</v>
      </c>
      <c r="L9232" s="17"/>
    </row>
    <row r="9233" s="11" customFormat="true" ht="10.95" hidden="false" customHeight="true" outlineLevel="0" collapsed="false">
      <c r="A9233" s="16" t="n">
        <v>45449</v>
      </c>
      <c r="B9233" s="17" t="s">
        <v>3803</v>
      </c>
      <c r="C9233" s="17" t="s">
        <v>3752</v>
      </c>
      <c r="D9233" s="17" t="s">
        <v>2903</v>
      </c>
      <c r="E9233" s="17" t="s">
        <v>3657</v>
      </c>
      <c r="F9233" s="17" t="s">
        <v>3230</v>
      </c>
      <c r="G9233" s="18" t="n">
        <v>0</v>
      </c>
      <c r="H9233" s="18" t="n">
        <v>4243.86</v>
      </c>
      <c r="I9233" s="18" t="n">
        <f aca="false">((I9232 + G9233) - H9233)</f>
        <v>-10434.61</v>
      </c>
      <c r="J9233" s="18" t="n">
        <v>0</v>
      </c>
      <c r="K9233" s="19" t="n">
        <v>0</v>
      </c>
      <c r="L9233" s="17"/>
    </row>
    <row r="9234" s="11" customFormat="true" ht="10.95" hidden="false" customHeight="true" outlineLevel="0" collapsed="false">
      <c r="A9234" s="16" t="n">
        <v>45449</v>
      </c>
      <c r="B9234" s="17" t="s">
        <v>3803</v>
      </c>
      <c r="C9234" s="17" t="s">
        <v>3752</v>
      </c>
      <c r="D9234" s="17" t="s">
        <v>2903</v>
      </c>
      <c r="E9234" s="17" t="s">
        <v>3657</v>
      </c>
      <c r="F9234" s="17" t="s">
        <v>3232</v>
      </c>
      <c r="G9234" s="18" t="n">
        <v>0</v>
      </c>
      <c r="H9234" s="18" t="n">
        <v>5053.28</v>
      </c>
      <c r="I9234" s="18" t="n">
        <f aca="false">((I9233 + G9234) - H9234)</f>
        <v>-15487.89</v>
      </c>
      <c r="J9234" s="18" t="n">
        <v>0</v>
      </c>
      <c r="K9234" s="19" t="n">
        <v>0</v>
      </c>
      <c r="L9234" s="17"/>
    </row>
    <row r="9235" s="11" customFormat="true" ht="10.95" hidden="false" customHeight="true" outlineLevel="0" collapsed="false">
      <c r="A9235" s="16" t="n">
        <v>45452</v>
      </c>
      <c r="B9235" s="17" t="s">
        <v>3803</v>
      </c>
      <c r="C9235" s="17" t="s">
        <v>3752</v>
      </c>
      <c r="D9235" s="17" t="s">
        <v>2903</v>
      </c>
      <c r="E9235" s="17" t="s">
        <v>3737</v>
      </c>
      <c r="F9235" s="17" t="s">
        <v>3605</v>
      </c>
      <c r="G9235" s="18" t="n">
        <v>0</v>
      </c>
      <c r="H9235" s="18" t="n">
        <v>2658</v>
      </c>
      <c r="I9235" s="18" t="n">
        <f aca="false">((I9234 + G9235) - H9235)</f>
        <v>-18145.89</v>
      </c>
      <c r="J9235" s="18" t="n">
        <v>0</v>
      </c>
      <c r="K9235" s="19" t="n">
        <v>0</v>
      </c>
      <c r="L9235" s="17"/>
    </row>
    <row r="9236" s="11" customFormat="true" ht="10.95" hidden="false" customHeight="true" outlineLevel="0" collapsed="false">
      <c r="A9236" s="16" t="n">
        <v>45455</v>
      </c>
      <c r="B9236" s="17" t="s">
        <v>3803</v>
      </c>
      <c r="C9236" s="17" t="s">
        <v>3752</v>
      </c>
      <c r="D9236" s="17" t="s">
        <v>1407</v>
      </c>
      <c r="E9236" s="17" t="s">
        <v>3852</v>
      </c>
      <c r="F9236" s="17"/>
      <c r="G9236" s="18" t="n">
        <v>0</v>
      </c>
      <c r="H9236" s="18" t="n">
        <v>9390.67</v>
      </c>
      <c r="I9236" s="18" t="n">
        <f aca="false">((I9235 + G9236) - H9236)</f>
        <v>-27536.56</v>
      </c>
      <c r="J9236" s="18" t="n">
        <v>0</v>
      </c>
      <c r="K9236" s="19" t="n">
        <v>0</v>
      </c>
      <c r="L9236" s="17"/>
    </row>
    <row r="9237" s="11" customFormat="true" ht="10.95" hidden="false" customHeight="true" outlineLevel="0" collapsed="false">
      <c r="A9237" s="16" t="n">
        <v>45455</v>
      </c>
      <c r="B9237" s="17" t="s">
        <v>3803</v>
      </c>
      <c r="C9237" s="17" t="s">
        <v>3752</v>
      </c>
      <c r="D9237" s="17" t="s">
        <v>1407</v>
      </c>
      <c r="E9237" s="17" t="s">
        <v>3736</v>
      </c>
      <c r="F9237" s="17"/>
      <c r="G9237" s="18" t="n">
        <v>0</v>
      </c>
      <c r="H9237" s="18" t="n">
        <v>219</v>
      </c>
      <c r="I9237" s="18" t="n">
        <f aca="false">((I9236 + G9237) - H9237)</f>
        <v>-27755.56</v>
      </c>
      <c r="J9237" s="18" t="n">
        <v>0</v>
      </c>
      <c r="K9237" s="19" t="n">
        <v>0</v>
      </c>
      <c r="L9237" s="17"/>
    </row>
    <row r="9238" s="11" customFormat="true" ht="10.95" hidden="false" customHeight="true" outlineLevel="0" collapsed="false">
      <c r="A9238" s="16" t="n">
        <v>45456</v>
      </c>
      <c r="B9238" s="17" t="s">
        <v>3803</v>
      </c>
      <c r="C9238" s="17" t="s">
        <v>3752</v>
      </c>
      <c r="D9238" s="17" t="s">
        <v>3753</v>
      </c>
      <c r="E9238" s="17" t="s">
        <v>3806</v>
      </c>
      <c r="F9238" s="17" t="s">
        <v>3853</v>
      </c>
      <c r="G9238" s="18" t="n">
        <v>17590.5</v>
      </c>
      <c r="H9238" s="18" t="n">
        <v>0</v>
      </c>
      <c r="I9238" s="18" t="n">
        <f aca="false">((I9237 + G9238) - H9238)</f>
        <v>-10165.06</v>
      </c>
      <c r="J9238" s="18" t="n">
        <v>0</v>
      </c>
      <c r="K9238" s="19" t="n">
        <v>0</v>
      </c>
      <c r="L9238" s="17"/>
    </row>
    <row r="9239" s="11" customFormat="true" ht="10.95" hidden="false" customHeight="true" outlineLevel="0" collapsed="false">
      <c r="A9239" s="16" t="n">
        <v>45457</v>
      </c>
      <c r="B9239" s="17" t="s">
        <v>3803</v>
      </c>
      <c r="C9239" s="17" t="s">
        <v>3752</v>
      </c>
      <c r="D9239" s="17" t="s">
        <v>1407</v>
      </c>
      <c r="E9239" s="17" t="s">
        <v>1583</v>
      </c>
      <c r="F9239" s="17"/>
      <c r="G9239" s="18" t="n">
        <v>0</v>
      </c>
      <c r="H9239" s="18" t="n">
        <v>228.95</v>
      </c>
      <c r="I9239" s="18" t="n">
        <f aca="false">((I9238 + G9239) - H9239)</f>
        <v>-10394.01</v>
      </c>
      <c r="J9239" s="18" t="n">
        <v>0</v>
      </c>
      <c r="K9239" s="19" t="n">
        <v>0</v>
      </c>
      <c r="L9239" s="17"/>
    </row>
    <row r="9240" s="11" customFormat="true" ht="10.95" hidden="false" customHeight="true" outlineLevel="0" collapsed="false">
      <c r="A9240" s="16" t="n">
        <v>45457</v>
      </c>
      <c r="B9240" s="17" t="s">
        <v>3803</v>
      </c>
      <c r="C9240" s="17" t="s">
        <v>3752</v>
      </c>
      <c r="D9240" s="17" t="s">
        <v>1407</v>
      </c>
      <c r="E9240" s="17" t="s">
        <v>1583</v>
      </c>
      <c r="F9240" s="17"/>
      <c r="G9240" s="18" t="n">
        <v>0</v>
      </c>
      <c r="H9240" s="18" t="n">
        <v>312.19</v>
      </c>
      <c r="I9240" s="18" t="n">
        <f aca="false">((I9239 + G9240) - H9240)</f>
        <v>-10706.2</v>
      </c>
      <c r="J9240" s="18" t="n">
        <v>0</v>
      </c>
      <c r="K9240" s="19" t="n">
        <v>0</v>
      </c>
      <c r="L9240" s="17"/>
    </row>
    <row r="9241" s="11" customFormat="true" ht="10.95" hidden="false" customHeight="true" outlineLevel="0" collapsed="false">
      <c r="A9241" s="16" t="n">
        <v>45457</v>
      </c>
      <c r="B9241" s="17" t="s">
        <v>3803</v>
      </c>
      <c r="C9241" s="17" t="s">
        <v>3752</v>
      </c>
      <c r="D9241" s="17" t="s">
        <v>1407</v>
      </c>
      <c r="E9241" s="17" t="s">
        <v>3854</v>
      </c>
      <c r="F9241" s="17"/>
      <c r="G9241" s="18" t="n">
        <v>0</v>
      </c>
      <c r="H9241" s="18" t="n">
        <v>42.1</v>
      </c>
      <c r="I9241" s="18" t="n">
        <f aca="false">((I9240 + G9241) - H9241)</f>
        <v>-10748.3</v>
      </c>
      <c r="J9241" s="18" t="n">
        <v>0</v>
      </c>
      <c r="K9241" s="19" t="n">
        <v>0</v>
      </c>
      <c r="L9241" s="17"/>
    </row>
    <row r="9242" s="11" customFormat="true" ht="10.95" hidden="false" customHeight="true" outlineLevel="0" collapsed="false">
      <c r="A9242" s="16" t="n">
        <v>45457</v>
      </c>
      <c r="B9242" s="17" t="s">
        <v>3803</v>
      </c>
      <c r="C9242" s="17" t="s">
        <v>3752</v>
      </c>
      <c r="D9242" s="17" t="s">
        <v>1407</v>
      </c>
      <c r="E9242" s="17" t="s">
        <v>3854</v>
      </c>
      <c r="F9242" s="17"/>
      <c r="G9242" s="18" t="n">
        <v>0</v>
      </c>
      <c r="H9242" s="18" t="n">
        <v>303.19</v>
      </c>
      <c r="I9242" s="18" t="n">
        <f aca="false">((I9241 + G9242) - H9242)</f>
        <v>-11051.49</v>
      </c>
      <c r="J9242" s="18" t="n">
        <v>0</v>
      </c>
      <c r="K9242" s="19" t="n">
        <v>0</v>
      </c>
      <c r="L9242" s="17"/>
    </row>
    <row r="9243" s="11" customFormat="true" ht="10.95" hidden="false" customHeight="true" outlineLevel="0" collapsed="false">
      <c r="A9243" s="16" t="n">
        <v>45459</v>
      </c>
      <c r="B9243" s="17" t="s">
        <v>3803</v>
      </c>
      <c r="C9243" s="17" t="s">
        <v>3752</v>
      </c>
      <c r="D9243" s="17" t="s">
        <v>3753</v>
      </c>
      <c r="E9243" s="17" t="s">
        <v>3806</v>
      </c>
      <c r="F9243" s="17" t="s">
        <v>3855</v>
      </c>
      <c r="G9243" s="18" t="n">
        <v>10496.1</v>
      </c>
      <c r="H9243" s="18" t="n">
        <v>0</v>
      </c>
      <c r="I9243" s="18" t="n">
        <f aca="false">((I9242 + G9243) - H9243)</f>
        <v>-555.389999999999</v>
      </c>
      <c r="J9243" s="18" t="n">
        <v>0</v>
      </c>
      <c r="K9243" s="19" t="n">
        <v>0</v>
      </c>
      <c r="L9243" s="17"/>
    </row>
    <row r="9244" s="11" customFormat="true" ht="10.95" hidden="false" customHeight="true" outlineLevel="0" collapsed="false">
      <c r="A9244" s="16" t="n">
        <v>45460</v>
      </c>
      <c r="B9244" s="17" t="s">
        <v>3803</v>
      </c>
      <c r="C9244" s="17" t="s">
        <v>3752</v>
      </c>
      <c r="D9244" s="17" t="s">
        <v>1407</v>
      </c>
      <c r="E9244" s="17" t="s">
        <v>3780</v>
      </c>
      <c r="F9244" s="17"/>
      <c r="G9244" s="18" t="n">
        <v>0</v>
      </c>
      <c r="H9244" s="18" t="n">
        <v>571.09</v>
      </c>
      <c r="I9244" s="18" t="n">
        <f aca="false">((I9243 + G9244) - H9244)</f>
        <v>-1126.48</v>
      </c>
      <c r="J9244" s="18" t="n">
        <v>0</v>
      </c>
      <c r="K9244" s="19" t="n">
        <v>0</v>
      </c>
      <c r="L9244" s="17"/>
    </row>
    <row r="9245" s="11" customFormat="true" ht="10.95" hidden="false" customHeight="true" outlineLevel="0" collapsed="false">
      <c r="A9245" s="16" t="n">
        <v>45460</v>
      </c>
      <c r="B9245" s="17" t="s">
        <v>3803</v>
      </c>
      <c r="C9245" s="17" t="s">
        <v>3752</v>
      </c>
      <c r="D9245" s="17" t="s">
        <v>1407</v>
      </c>
      <c r="E9245" s="17" t="s">
        <v>3691</v>
      </c>
      <c r="F9245" s="17"/>
      <c r="G9245" s="18" t="n">
        <v>0</v>
      </c>
      <c r="H9245" s="18" t="n">
        <v>36300</v>
      </c>
      <c r="I9245" s="18" t="n">
        <f aca="false">((I9244 + G9245) - H9245)</f>
        <v>-37426.48</v>
      </c>
      <c r="J9245" s="18" t="n">
        <v>0</v>
      </c>
      <c r="K9245" s="19" t="n">
        <v>0</v>
      </c>
      <c r="L9245" s="17"/>
    </row>
    <row r="9246" s="11" customFormat="true" ht="10.95" hidden="false" customHeight="true" outlineLevel="0" collapsed="false">
      <c r="A9246" s="16" t="n">
        <v>45461</v>
      </c>
      <c r="B9246" s="17" t="s">
        <v>3803</v>
      </c>
      <c r="C9246" s="17" t="s">
        <v>3752</v>
      </c>
      <c r="D9246" s="17" t="s">
        <v>1407</v>
      </c>
      <c r="E9246" s="17" t="s">
        <v>3836</v>
      </c>
      <c r="F9246" s="17"/>
      <c r="G9246" s="18" t="n">
        <v>0</v>
      </c>
      <c r="H9246" s="18" t="n">
        <v>105.54</v>
      </c>
      <c r="I9246" s="18" t="n">
        <f aca="false">((I9245 + G9246) - H9246)</f>
        <v>-37532.02</v>
      </c>
      <c r="J9246" s="18" t="n">
        <v>0</v>
      </c>
      <c r="K9246" s="19" t="n">
        <v>0</v>
      </c>
      <c r="L9246" s="17"/>
    </row>
    <row r="9247" s="11" customFormat="true" ht="10.95" hidden="false" customHeight="true" outlineLevel="0" collapsed="false">
      <c r="A9247" s="16" t="n">
        <v>45463</v>
      </c>
      <c r="B9247" s="17" t="s">
        <v>3803</v>
      </c>
      <c r="C9247" s="17" t="s">
        <v>3752</v>
      </c>
      <c r="D9247" s="17" t="s">
        <v>1407</v>
      </c>
      <c r="E9247" s="17" t="s">
        <v>3837</v>
      </c>
      <c r="F9247" s="17"/>
      <c r="G9247" s="18" t="n">
        <v>0</v>
      </c>
      <c r="H9247" s="18" t="n">
        <v>2911.69</v>
      </c>
      <c r="I9247" s="18" t="n">
        <f aca="false">((I9246 + G9247) - H9247)</f>
        <v>-40443.71</v>
      </c>
      <c r="J9247" s="18" t="n">
        <v>0</v>
      </c>
      <c r="K9247" s="19" t="n">
        <v>0</v>
      </c>
      <c r="L9247" s="17"/>
    </row>
    <row r="9248" s="11" customFormat="true" ht="10.95" hidden="false" customHeight="true" outlineLevel="0" collapsed="false">
      <c r="A9248" s="16" t="n">
        <v>45463</v>
      </c>
      <c r="B9248" s="17" t="s">
        <v>3803</v>
      </c>
      <c r="C9248" s="17" t="s">
        <v>3752</v>
      </c>
      <c r="D9248" s="17" t="s">
        <v>1407</v>
      </c>
      <c r="E9248" s="17" t="s">
        <v>3759</v>
      </c>
      <c r="F9248" s="17"/>
      <c r="G9248" s="18" t="n">
        <v>0</v>
      </c>
      <c r="H9248" s="18" t="n">
        <v>681.99</v>
      </c>
      <c r="I9248" s="18" t="n">
        <f aca="false">((I9247 + G9248) - H9248)</f>
        <v>-41125.7</v>
      </c>
      <c r="J9248" s="18" t="n">
        <v>0</v>
      </c>
      <c r="K9248" s="19" t="n">
        <v>0</v>
      </c>
      <c r="L9248" s="17"/>
    </row>
    <row r="9249" s="11" customFormat="true" ht="10.95" hidden="false" customHeight="true" outlineLevel="0" collapsed="false">
      <c r="A9249" s="16" t="n">
        <v>45464</v>
      </c>
      <c r="B9249" s="17" t="s">
        <v>3803</v>
      </c>
      <c r="C9249" s="17" t="s">
        <v>3752</v>
      </c>
      <c r="D9249" s="17" t="s">
        <v>1407</v>
      </c>
      <c r="E9249" s="17" t="s">
        <v>3804</v>
      </c>
      <c r="F9249" s="17"/>
      <c r="G9249" s="18" t="n">
        <v>0</v>
      </c>
      <c r="H9249" s="18" t="n">
        <v>99.99</v>
      </c>
      <c r="I9249" s="18" t="n">
        <f aca="false">((I9248 + G9249) - H9249)</f>
        <v>-41225.69</v>
      </c>
      <c r="J9249" s="18" t="n">
        <v>0</v>
      </c>
      <c r="K9249" s="19" t="n">
        <v>0</v>
      </c>
      <c r="L9249" s="17"/>
    </row>
    <row r="9250" s="11" customFormat="true" ht="10.95" hidden="false" customHeight="true" outlineLevel="0" collapsed="false">
      <c r="A9250" s="16" t="n">
        <v>45464</v>
      </c>
      <c r="B9250" s="17" t="s">
        <v>3803</v>
      </c>
      <c r="C9250" s="17" t="s">
        <v>3752</v>
      </c>
      <c r="D9250" s="17" t="s">
        <v>1276</v>
      </c>
      <c r="E9250" s="17" t="s">
        <v>3856</v>
      </c>
      <c r="F9250" s="17"/>
      <c r="G9250" s="18" t="n">
        <v>926.24</v>
      </c>
      <c r="H9250" s="18" t="n">
        <v>0</v>
      </c>
      <c r="I9250" s="18" t="n">
        <f aca="false">((I9249 + G9250) - H9250)</f>
        <v>-40299.45</v>
      </c>
      <c r="J9250" s="18" t="n">
        <v>0</v>
      </c>
      <c r="K9250" s="19" t="n">
        <v>0</v>
      </c>
      <c r="L9250" s="17"/>
    </row>
    <row r="9251" s="11" customFormat="true" ht="10.95" hidden="false" customHeight="true" outlineLevel="0" collapsed="false">
      <c r="A9251" s="16" t="n">
        <v>45466</v>
      </c>
      <c r="B9251" s="17" t="s">
        <v>3803</v>
      </c>
      <c r="C9251" s="17" t="s">
        <v>3752</v>
      </c>
      <c r="D9251" s="17" t="s">
        <v>1407</v>
      </c>
      <c r="E9251" s="17" t="s">
        <v>3804</v>
      </c>
      <c r="F9251" s="17"/>
      <c r="G9251" s="18" t="n">
        <v>0</v>
      </c>
      <c r="H9251" s="18" t="n">
        <v>39.99</v>
      </c>
      <c r="I9251" s="18" t="n">
        <f aca="false">((I9250 + G9251) - H9251)</f>
        <v>-40339.44</v>
      </c>
      <c r="J9251" s="18" t="n">
        <v>0</v>
      </c>
      <c r="K9251" s="19" t="n">
        <v>0</v>
      </c>
      <c r="L9251" s="17"/>
    </row>
    <row r="9252" s="11" customFormat="true" ht="10.95" hidden="false" customHeight="true" outlineLevel="0" collapsed="false">
      <c r="A9252" s="16" t="n">
        <v>45466</v>
      </c>
      <c r="B9252" s="17" t="s">
        <v>3803</v>
      </c>
      <c r="C9252" s="17" t="s">
        <v>3752</v>
      </c>
      <c r="D9252" s="17" t="s">
        <v>1407</v>
      </c>
      <c r="E9252" s="17" t="s">
        <v>3856</v>
      </c>
      <c r="F9252" s="17"/>
      <c r="G9252" s="18" t="n">
        <v>0</v>
      </c>
      <c r="H9252" s="18" t="n">
        <v>705.45</v>
      </c>
      <c r="I9252" s="18" t="n">
        <f aca="false">((I9251 + G9252) - H9252)</f>
        <v>-41044.89</v>
      </c>
      <c r="J9252" s="18" t="n">
        <v>0</v>
      </c>
      <c r="K9252" s="19" t="n">
        <v>0</v>
      </c>
      <c r="L9252" s="17"/>
    </row>
    <row r="9253" s="11" customFormat="true" ht="10.95" hidden="false" customHeight="true" outlineLevel="0" collapsed="false">
      <c r="A9253" s="16" t="n">
        <v>45466</v>
      </c>
      <c r="B9253" s="17" t="s">
        <v>3803</v>
      </c>
      <c r="C9253" s="17" t="s">
        <v>3752</v>
      </c>
      <c r="D9253" s="17" t="s">
        <v>1407</v>
      </c>
      <c r="E9253" s="17" t="s">
        <v>3856</v>
      </c>
      <c r="F9253" s="17"/>
      <c r="G9253" s="18" t="n">
        <v>0</v>
      </c>
      <c r="H9253" s="18" t="n">
        <v>705.45</v>
      </c>
      <c r="I9253" s="18" t="n">
        <f aca="false">((I9252 + G9253) - H9253)</f>
        <v>-41750.34</v>
      </c>
      <c r="J9253" s="18" t="n">
        <v>0</v>
      </c>
      <c r="K9253" s="19" t="n">
        <v>0</v>
      </c>
      <c r="L9253" s="17"/>
    </row>
    <row r="9254" s="11" customFormat="true" ht="10.95" hidden="false" customHeight="true" outlineLevel="0" collapsed="false">
      <c r="A9254" s="16" t="n">
        <v>45469</v>
      </c>
      <c r="B9254" s="17" t="s">
        <v>3803</v>
      </c>
      <c r="C9254" s="17" t="s">
        <v>3752</v>
      </c>
      <c r="D9254" s="17" t="s">
        <v>1407</v>
      </c>
      <c r="E9254" s="17" t="s">
        <v>3857</v>
      </c>
      <c r="F9254" s="17"/>
      <c r="G9254" s="18" t="n">
        <v>0</v>
      </c>
      <c r="H9254" s="18" t="n">
        <v>445.85</v>
      </c>
      <c r="I9254" s="18" t="n">
        <f aca="false">((I9253 + G9254) - H9254)</f>
        <v>-42196.19</v>
      </c>
      <c r="J9254" s="18" t="n">
        <v>0</v>
      </c>
      <c r="K9254" s="19" t="n">
        <v>0</v>
      </c>
      <c r="L9254" s="17"/>
    </row>
    <row r="9255" s="11" customFormat="true" ht="10.95" hidden="false" customHeight="true" outlineLevel="0" collapsed="false">
      <c r="A9255" s="16" t="n">
        <v>45471</v>
      </c>
      <c r="B9255" s="17" t="s">
        <v>3803</v>
      </c>
      <c r="C9255" s="17" t="s">
        <v>3752</v>
      </c>
      <c r="D9255" s="17" t="s">
        <v>1407</v>
      </c>
      <c r="E9255" s="17" t="s">
        <v>3740</v>
      </c>
      <c r="F9255" s="17"/>
      <c r="G9255" s="18" t="n">
        <v>0</v>
      </c>
      <c r="H9255" s="18" t="n">
        <v>14.96</v>
      </c>
      <c r="I9255" s="18" t="n">
        <f aca="false">((I9254 + G9255) - H9255)</f>
        <v>-42211.15</v>
      </c>
      <c r="J9255" s="18" t="n">
        <v>0</v>
      </c>
      <c r="K9255" s="19" t="n">
        <v>0</v>
      </c>
      <c r="L9255" s="17"/>
    </row>
    <row r="9256" s="11" customFormat="true" ht="10.95" hidden="false" customHeight="true" outlineLevel="0" collapsed="false">
      <c r="A9256" s="16" t="n">
        <v>45471</v>
      </c>
      <c r="B9256" s="17" t="s">
        <v>3803</v>
      </c>
      <c r="C9256" s="17" t="s">
        <v>3752</v>
      </c>
      <c r="D9256" s="17" t="s">
        <v>2903</v>
      </c>
      <c r="E9256" s="17" t="s">
        <v>3741</v>
      </c>
      <c r="F9256" s="17" t="s">
        <v>1768</v>
      </c>
      <c r="G9256" s="18" t="n">
        <v>0</v>
      </c>
      <c r="H9256" s="18" t="n">
        <v>880</v>
      </c>
      <c r="I9256" s="18" t="n">
        <f aca="false">((I9255 + G9256) - H9256)</f>
        <v>-43091.15</v>
      </c>
      <c r="J9256" s="18" t="n">
        <v>0</v>
      </c>
      <c r="K9256" s="19" t="n">
        <v>0</v>
      </c>
      <c r="L9256" s="17"/>
    </row>
    <row r="9257" s="11" customFormat="true" ht="10.95" hidden="false" customHeight="true" outlineLevel="0" collapsed="false">
      <c r="A9257" s="16" t="n">
        <v>45472</v>
      </c>
      <c r="B9257" s="17" t="s">
        <v>3803</v>
      </c>
      <c r="C9257" s="17" t="s">
        <v>3752</v>
      </c>
      <c r="D9257" s="17" t="s">
        <v>1407</v>
      </c>
      <c r="E9257" s="17" t="s">
        <v>3858</v>
      </c>
      <c r="F9257" s="17"/>
      <c r="G9257" s="18" t="n">
        <v>0</v>
      </c>
      <c r="H9257" s="18" t="n">
        <v>1346</v>
      </c>
      <c r="I9257" s="18" t="n">
        <f aca="false">((I9256 + G9257) - H9257)</f>
        <v>-44437.15</v>
      </c>
      <c r="J9257" s="18" t="n">
        <v>0</v>
      </c>
      <c r="K9257" s="19" t="n">
        <v>0</v>
      </c>
      <c r="L9257" s="17"/>
    </row>
    <row r="9258" s="11" customFormat="true" ht="10.95" hidden="false" customHeight="true" outlineLevel="0" collapsed="false">
      <c r="A9258" s="16" t="n">
        <v>45472</v>
      </c>
      <c r="B9258" s="17" t="s">
        <v>3803</v>
      </c>
      <c r="C9258" s="17" t="s">
        <v>3752</v>
      </c>
      <c r="D9258" s="17" t="s">
        <v>1407</v>
      </c>
      <c r="E9258" s="17" t="s">
        <v>3858</v>
      </c>
      <c r="F9258" s="17"/>
      <c r="G9258" s="18" t="n">
        <v>0</v>
      </c>
      <c r="H9258" s="18" t="n">
        <v>13.19</v>
      </c>
      <c r="I9258" s="18" t="n">
        <f aca="false">((I9257 + G9258) - H9258)</f>
        <v>-44450.34</v>
      </c>
      <c r="J9258" s="18" t="n">
        <v>0</v>
      </c>
      <c r="K9258" s="19" t="n">
        <v>0</v>
      </c>
      <c r="L9258" s="17"/>
    </row>
    <row r="9259" s="11" customFormat="true" ht="10.95" hidden="false" customHeight="true" outlineLevel="0" collapsed="false">
      <c r="A9259" s="21" t="s">
        <v>3859</v>
      </c>
      <c r="B9259" s="21"/>
      <c r="C9259" s="21"/>
      <c r="D9259" s="21"/>
      <c r="E9259" s="21"/>
      <c r="F9259" s="21"/>
      <c r="G9259" s="22" t="n">
        <f aca="false">SUM(G9064:G9258)</f>
        <v>246745.74</v>
      </c>
      <c r="H9259" s="22" t="n">
        <f aca="false">SUM(H9064:H9258)</f>
        <v>291102.57</v>
      </c>
      <c r="I9259" s="22" t="n">
        <f aca="false">I9258</f>
        <v>-44450.34</v>
      </c>
      <c r="J9259" s="22" t="n">
        <f aca="false">SUM(J9064:J9258)</f>
        <v>0</v>
      </c>
      <c r="K9259" s="21"/>
      <c r="L9259" s="21"/>
    </row>
    <row r="9260" s="11" customFormat="true" ht="10.95" hidden="false" customHeight="true" outlineLevel="0" collapsed="false">
      <c r="A9260" s="21" t="s">
        <v>784</v>
      </c>
      <c r="B9260" s="21"/>
      <c r="C9260" s="21"/>
      <c r="D9260" s="21"/>
      <c r="E9260" s="21"/>
      <c r="F9260" s="21"/>
      <c r="G9260" s="22" t="n">
        <v>0</v>
      </c>
      <c r="H9260" s="22" t="n">
        <v>44356.83</v>
      </c>
      <c r="I9260" s="22" t="n">
        <v>0</v>
      </c>
      <c r="J9260" s="22" t="n">
        <v>0</v>
      </c>
      <c r="K9260" s="21"/>
      <c r="L9260" s="21"/>
    </row>
    <row r="9261" s="11" customFormat="true" ht="10.95" hidden="false" customHeight="true" outlineLevel="0" collapsed="false">
      <c r="A9261" s="9" t="s">
        <v>785</v>
      </c>
      <c r="B9261" s="9"/>
      <c r="C9261" s="9"/>
      <c r="D9261" s="9"/>
      <c r="E9261" s="9"/>
      <c r="F9261" s="9"/>
      <c r="G9261" s="10" t="n">
        <v>0</v>
      </c>
      <c r="H9261" s="10" t="n">
        <v>44450.34</v>
      </c>
      <c r="I9261" s="10" t="n">
        <f aca="false">I9258</f>
        <v>-44450.34</v>
      </c>
      <c r="J9261" s="10" t="n">
        <v>0</v>
      </c>
      <c r="K9261" s="9"/>
      <c r="L9261" s="9"/>
    </row>
    <row r="9262" customFormat="false" ht="13.35" hidden="false" customHeight="true" outlineLevel="0" collapsed="false"/>
    <row r="9263" s="7" customFormat="true" ht="12.1" hidden="false" customHeight="true" outlineLevel="0" collapsed="false">
      <c r="A9263" s="8" t="s">
        <v>3860</v>
      </c>
      <c r="B9263" s="8"/>
      <c r="C9263" s="8"/>
      <c r="D9263" s="8"/>
      <c r="E9263" s="8"/>
      <c r="F9263" s="8"/>
      <c r="G9263" s="8"/>
      <c r="H9263" s="8"/>
      <c r="I9263" s="8"/>
      <c r="J9263" s="8"/>
      <c r="K9263" s="8"/>
      <c r="L9263" s="8"/>
    </row>
    <row r="9264" s="11" customFormat="true" ht="10.95" hidden="false" customHeight="true" outlineLevel="0" collapsed="false">
      <c r="A9264" s="9" t="s">
        <v>16</v>
      </c>
      <c r="B9264" s="9"/>
      <c r="C9264" s="9"/>
      <c r="D9264" s="9"/>
      <c r="E9264" s="9"/>
      <c r="F9264" s="9"/>
      <c r="G9264" s="10" t="n">
        <v>79644.28</v>
      </c>
      <c r="H9264" s="10" t="n">
        <v>0</v>
      </c>
      <c r="I9264" s="10" t="n">
        <f aca="false">(G9264 - H9264)</f>
        <v>79644.28</v>
      </c>
      <c r="J9264" s="10" t="n">
        <v>0</v>
      </c>
      <c r="K9264" s="9"/>
      <c r="L9264" s="9"/>
    </row>
    <row r="9265" s="11" customFormat="true" ht="10.95" hidden="false" customHeight="true" outlineLevel="0" collapsed="false">
      <c r="A9265" s="12" t="n">
        <v>45108</v>
      </c>
      <c r="B9265" s="13" t="s">
        <v>3861</v>
      </c>
      <c r="C9265" s="13" t="s">
        <v>3752</v>
      </c>
      <c r="D9265" s="13" t="s">
        <v>1276</v>
      </c>
      <c r="E9265" s="13" t="s">
        <v>3423</v>
      </c>
      <c r="F9265" s="13" t="s">
        <v>1278</v>
      </c>
      <c r="G9265" s="14" t="n">
        <v>1.55</v>
      </c>
      <c r="H9265" s="14" t="n">
        <v>0</v>
      </c>
      <c r="I9265" s="14" t="n">
        <f aca="false">((I9264 + G9265) - H9265)</f>
        <v>79645.83</v>
      </c>
      <c r="J9265" s="14" t="n">
        <v>0</v>
      </c>
      <c r="K9265" s="15" t="n">
        <v>0</v>
      </c>
      <c r="L9265" s="13"/>
    </row>
    <row r="9266" s="11" customFormat="true" ht="10.95" hidden="false" customHeight="true" outlineLevel="0" collapsed="false">
      <c r="A9266" s="16" t="n">
        <v>45108</v>
      </c>
      <c r="B9266" s="17" t="s">
        <v>3861</v>
      </c>
      <c r="C9266" s="17" t="s">
        <v>3752</v>
      </c>
      <c r="D9266" s="17" t="s">
        <v>2895</v>
      </c>
      <c r="E9266" s="17" t="s">
        <v>2896</v>
      </c>
      <c r="F9266" s="17" t="s">
        <v>1278</v>
      </c>
      <c r="G9266" s="18" t="n">
        <v>87.02</v>
      </c>
      <c r="H9266" s="18" t="n">
        <v>0</v>
      </c>
      <c r="I9266" s="18" t="n">
        <f aca="false">((I9265 + G9266) - H9266)</f>
        <v>79732.85</v>
      </c>
      <c r="J9266" s="18" t="n">
        <v>0</v>
      </c>
      <c r="K9266" s="19" t="n">
        <v>0</v>
      </c>
      <c r="L9266" s="17"/>
    </row>
    <row r="9267" s="11" customFormat="true" ht="10.95" hidden="false" customHeight="true" outlineLevel="0" collapsed="false">
      <c r="A9267" s="16" t="n">
        <v>45108</v>
      </c>
      <c r="B9267" s="17" t="s">
        <v>3861</v>
      </c>
      <c r="C9267" s="17" t="s">
        <v>3752</v>
      </c>
      <c r="D9267" s="17" t="s">
        <v>1407</v>
      </c>
      <c r="E9267" s="17" t="s">
        <v>3862</v>
      </c>
      <c r="F9267" s="17" t="s">
        <v>1278</v>
      </c>
      <c r="G9267" s="18" t="n">
        <v>0</v>
      </c>
      <c r="H9267" s="18" t="n">
        <v>2.87</v>
      </c>
      <c r="I9267" s="18" t="n">
        <f aca="false">((I9266 + G9267) - H9267)</f>
        <v>79729.98</v>
      </c>
      <c r="J9267" s="18" t="n">
        <v>0</v>
      </c>
      <c r="K9267" s="19" t="n">
        <v>0</v>
      </c>
      <c r="L9267" s="17"/>
    </row>
    <row r="9268" s="11" customFormat="true" ht="10.95" hidden="false" customHeight="true" outlineLevel="0" collapsed="false">
      <c r="A9268" s="16" t="n">
        <v>45108</v>
      </c>
      <c r="B9268" s="17" t="s">
        <v>3861</v>
      </c>
      <c r="C9268" s="17" t="s">
        <v>3752</v>
      </c>
      <c r="D9268" s="17" t="s">
        <v>1407</v>
      </c>
      <c r="E9268" s="17" t="s">
        <v>3863</v>
      </c>
      <c r="F9268" s="17"/>
      <c r="G9268" s="18" t="n">
        <v>0</v>
      </c>
      <c r="H9268" s="18" t="n">
        <v>2.28</v>
      </c>
      <c r="I9268" s="18" t="n">
        <f aca="false">((I9267 + G9268) - H9268)</f>
        <v>79727.7</v>
      </c>
      <c r="J9268" s="18" t="n">
        <v>0</v>
      </c>
      <c r="K9268" s="19" t="n">
        <v>0</v>
      </c>
      <c r="L9268" s="17"/>
    </row>
    <row r="9269" s="11" customFormat="true" ht="10.95" hidden="false" customHeight="true" outlineLevel="0" collapsed="false">
      <c r="A9269" s="16" t="n">
        <v>45108</v>
      </c>
      <c r="B9269" s="17" t="s">
        <v>3861</v>
      </c>
      <c r="C9269" s="17" t="s">
        <v>3752</v>
      </c>
      <c r="D9269" s="17" t="s">
        <v>1407</v>
      </c>
      <c r="E9269" s="17" t="s">
        <v>3863</v>
      </c>
      <c r="F9269" s="17"/>
      <c r="G9269" s="18" t="n">
        <v>0</v>
      </c>
      <c r="H9269" s="18" t="n">
        <v>10</v>
      </c>
      <c r="I9269" s="18" t="n">
        <f aca="false">((I9268 + G9269) - H9269)</f>
        <v>79717.7</v>
      </c>
      <c r="J9269" s="18" t="n">
        <v>0</v>
      </c>
      <c r="K9269" s="19" t="n">
        <v>0</v>
      </c>
      <c r="L9269" s="17"/>
    </row>
    <row r="9270" s="11" customFormat="true" ht="10.95" hidden="false" customHeight="true" outlineLevel="0" collapsed="false">
      <c r="A9270" s="16" t="n">
        <v>45108</v>
      </c>
      <c r="B9270" s="17" t="s">
        <v>3861</v>
      </c>
      <c r="C9270" s="17" t="s">
        <v>3752</v>
      </c>
      <c r="D9270" s="17" t="s">
        <v>1407</v>
      </c>
      <c r="E9270" s="17" t="s">
        <v>3863</v>
      </c>
      <c r="F9270" s="17"/>
      <c r="G9270" s="18" t="n">
        <v>0</v>
      </c>
      <c r="H9270" s="18" t="n">
        <v>10.24</v>
      </c>
      <c r="I9270" s="18" t="n">
        <f aca="false">((I9269 + G9270) - H9270)</f>
        <v>79707.46</v>
      </c>
      <c r="J9270" s="18" t="n">
        <v>0</v>
      </c>
      <c r="K9270" s="19" t="n">
        <v>0</v>
      </c>
      <c r="L9270" s="17"/>
    </row>
    <row r="9271" s="11" customFormat="true" ht="10.95" hidden="false" customHeight="true" outlineLevel="0" collapsed="false">
      <c r="A9271" s="16" t="n">
        <v>45108</v>
      </c>
      <c r="B9271" s="17" t="s">
        <v>3861</v>
      </c>
      <c r="C9271" s="17" t="s">
        <v>3752</v>
      </c>
      <c r="D9271" s="17" t="s">
        <v>2903</v>
      </c>
      <c r="E9271" s="17" t="s">
        <v>3616</v>
      </c>
      <c r="F9271" s="17" t="s">
        <v>3617</v>
      </c>
      <c r="G9271" s="18" t="n">
        <v>0</v>
      </c>
      <c r="H9271" s="18" t="n">
        <v>2905.1</v>
      </c>
      <c r="I9271" s="18" t="n">
        <f aca="false">((I9270 + G9271) - H9271)</f>
        <v>76802.36</v>
      </c>
      <c r="J9271" s="18" t="n">
        <v>0</v>
      </c>
      <c r="K9271" s="19" t="n">
        <v>0</v>
      </c>
      <c r="L9271" s="17"/>
    </row>
    <row r="9272" s="11" customFormat="true" ht="10.95" hidden="false" customHeight="true" outlineLevel="0" collapsed="false">
      <c r="A9272" s="16" t="n">
        <v>45108</v>
      </c>
      <c r="B9272" s="17" t="s">
        <v>3861</v>
      </c>
      <c r="C9272" s="17" t="s">
        <v>3752</v>
      </c>
      <c r="D9272" s="17" t="s">
        <v>2903</v>
      </c>
      <c r="E9272" s="17" t="s">
        <v>3618</v>
      </c>
      <c r="F9272" s="17" t="s">
        <v>3619</v>
      </c>
      <c r="G9272" s="18" t="n">
        <v>0</v>
      </c>
      <c r="H9272" s="18" t="n">
        <v>6800</v>
      </c>
      <c r="I9272" s="18" t="n">
        <f aca="false">((I9271 + G9272) - H9272)</f>
        <v>70002.36</v>
      </c>
      <c r="J9272" s="18" t="n">
        <v>0</v>
      </c>
      <c r="K9272" s="19" t="n">
        <v>0</v>
      </c>
      <c r="L9272" s="17"/>
    </row>
    <row r="9273" s="11" customFormat="true" ht="10.95" hidden="false" customHeight="true" outlineLevel="0" collapsed="false">
      <c r="A9273" s="16" t="n">
        <v>45108</v>
      </c>
      <c r="B9273" s="17" t="s">
        <v>3861</v>
      </c>
      <c r="C9273" s="17" t="s">
        <v>3752</v>
      </c>
      <c r="D9273" s="17" t="s">
        <v>1407</v>
      </c>
      <c r="E9273" s="17" t="s">
        <v>3776</v>
      </c>
      <c r="F9273" s="17"/>
      <c r="G9273" s="18" t="n">
        <v>0</v>
      </c>
      <c r="H9273" s="18" t="n">
        <v>341.41</v>
      </c>
      <c r="I9273" s="18" t="n">
        <f aca="false">((I9272 + G9273) - H9273)</f>
        <v>69660.95</v>
      </c>
      <c r="J9273" s="18" t="n">
        <v>0</v>
      </c>
      <c r="K9273" s="19" t="n">
        <v>0</v>
      </c>
      <c r="L9273" s="17"/>
    </row>
    <row r="9274" s="11" customFormat="true" ht="10.95" hidden="false" customHeight="true" outlineLevel="0" collapsed="false">
      <c r="A9274" s="16" t="n">
        <v>45108</v>
      </c>
      <c r="B9274" s="17" t="s">
        <v>3861</v>
      </c>
      <c r="C9274" s="17" t="s">
        <v>3752</v>
      </c>
      <c r="D9274" s="17" t="s">
        <v>1407</v>
      </c>
      <c r="E9274" s="17" t="s">
        <v>3864</v>
      </c>
      <c r="F9274" s="17"/>
      <c r="G9274" s="18" t="n">
        <v>0</v>
      </c>
      <c r="H9274" s="18" t="n">
        <v>76.16</v>
      </c>
      <c r="I9274" s="18" t="n">
        <f aca="false">((I9273 + G9274) - H9274)</f>
        <v>69584.79</v>
      </c>
      <c r="J9274" s="18" t="n">
        <v>0</v>
      </c>
      <c r="K9274" s="19" t="n">
        <v>0</v>
      </c>
      <c r="L9274" s="17"/>
    </row>
    <row r="9275" s="11" customFormat="true" ht="10.95" hidden="false" customHeight="true" outlineLevel="0" collapsed="false">
      <c r="A9275" s="16" t="n">
        <v>45108</v>
      </c>
      <c r="B9275" s="17" t="s">
        <v>3861</v>
      </c>
      <c r="C9275" s="17" t="s">
        <v>3752</v>
      </c>
      <c r="D9275" s="17" t="s">
        <v>1407</v>
      </c>
      <c r="E9275" s="17" t="s">
        <v>3865</v>
      </c>
      <c r="F9275" s="17"/>
      <c r="G9275" s="18" t="n">
        <v>0</v>
      </c>
      <c r="H9275" s="18" t="n">
        <v>82.5</v>
      </c>
      <c r="I9275" s="18" t="n">
        <f aca="false">((I9274 + G9275) - H9275)</f>
        <v>69502.29</v>
      </c>
      <c r="J9275" s="18" t="n">
        <v>0</v>
      </c>
      <c r="K9275" s="19" t="n">
        <v>0</v>
      </c>
      <c r="L9275" s="17"/>
    </row>
    <row r="9276" s="11" customFormat="true" ht="10.95" hidden="false" customHeight="true" outlineLevel="0" collapsed="false">
      <c r="A9276" s="16" t="n">
        <v>45109</v>
      </c>
      <c r="B9276" s="17" t="s">
        <v>3861</v>
      </c>
      <c r="C9276" s="17" t="s">
        <v>3752</v>
      </c>
      <c r="D9276" s="17" t="s">
        <v>2903</v>
      </c>
      <c r="E9276" s="17" t="s">
        <v>3624</v>
      </c>
      <c r="F9276" s="17" t="s">
        <v>2628</v>
      </c>
      <c r="G9276" s="18" t="n">
        <v>0</v>
      </c>
      <c r="H9276" s="18" t="n">
        <v>818.02</v>
      </c>
      <c r="I9276" s="18" t="n">
        <f aca="false">((I9275 + G9276) - H9276)</f>
        <v>68684.27</v>
      </c>
      <c r="J9276" s="18" t="n">
        <v>0</v>
      </c>
      <c r="K9276" s="19" t="n">
        <v>0</v>
      </c>
      <c r="L9276" s="17"/>
    </row>
    <row r="9277" s="11" customFormat="true" ht="10.95" hidden="false" customHeight="true" outlineLevel="0" collapsed="false">
      <c r="A9277" s="16" t="n">
        <v>45109</v>
      </c>
      <c r="B9277" s="17" t="s">
        <v>3861</v>
      </c>
      <c r="C9277" s="17" t="s">
        <v>3752</v>
      </c>
      <c r="D9277" s="17" t="s">
        <v>3814</v>
      </c>
      <c r="E9277" s="17" t="s">
        <v>3815</v>
      </c>
      <c r="F9277" s="17"/>
      <c r="G9277" s="18" t="n">
        <v>4.02</v>
      </c>
      <c r="H9277" s="18" t="n">
        <v>0</v>
      </c>
      <c r="I9277" s="18" t="n">
        <f aca="false">((I9276 + G9277) - H9277)</f>
        <v>68688.29</v>
      </c>
      <c r="J9277" s="18" t="n">
        <v>0</v>
      </c>
      <c r="K9277" s="19" t="n">
        <v>0</v>
      </c>
      <c r="L9277" s="17"/>
    </row>
    <row r="9278" s="11" customFormat="true" ht="10.95" hidden="false" customHeight="true" outlineLevel="0" collapsed="false">
      <c r="A9278" s="16" t="n">
        <v>45110</v>
      </c>
      <c r="B9278" s="17" t="s">
        <v>3861</v>
      </c>
      <c r="C9278" s="17" t="s">
        <v>3752</v>
      </c>
      <c r="D9278" s="17" t="s">
        <v>2895</v>
      </c>
      <c r="E9278" s="17" t="s">
        <v>2897</v>
      </c>
      <c r="F9278" s="17" t="s">
        <v>1280</v>
      </c>
      <c r="G9278" s="18" t="n">
        <v>580.62</v>
      </c>
      <c r="H9278" s="18" t="n">
        <v>0</v>
      </c>
      <c r="I9278" s="18" t="n">
        <f aca="false">((I9277 + G9278) - H9278)</f>
        <v>69268.91</v>
      </c>
      <c r="J9278" s="18" t="n">
        <v>0</v>
      </c>
      <c r="K9278" s="19" t="n">
        <v>0</v>
      </c>
      <c r="L9278" s="17"/>
    </row>
    <row r="9279" s="11" customFormat="true" ht="10.95" hidden="false" customHeight="true" outlineLevel="0" collapsed="false">
      <c r="A9279" s="16" t="n">
        <v>45110</v>
      </c>
      <c r="B9279" s="17" t="s">
        <v>3861</v>
      </c>
      <c r="C9279" s="17" t="s">
        <v>3752</v>
      </c>
      <c r="D9279" s="17" t="s">
        <v>1276</v>
      </c>
      <c r="E9279" s="17" t="s">
        <v>3449</v>
      </c>
      <c r="F9279" s="17" t="s">
        <v>1280</v>
      </c>
      <c r="G9279" s="18" t="n">
        <v>10.37</v>
      </c>
      <c r="H9279" s="18" t="n">
        <v>0</v>
      </c>
      <c r="I9279" s="18" t="n">
        <f aca="false">((I9278 + G9279) - H9279)</f>
        <v>69279.28</v>
      </c>
      <c r="J9279" s="18" t="n">
        <v>0</v>
      </c>
      <c r="K9279" s="19" t="n">
        <v>0</v>
      </c>
      <c r="L9279" s="17"/>
    </row>
    <row r="9280" s="11" customFormat="true" ht="10.95" hidden="false" customHeight="true" outlineLevel="0" collapsed="false">
      <c r="A9280" s="16" t="n">
        <v>45110</v>
      </c>
      <c r="B9280" s="17" t="s">
        <v>3861</v>
      </c>
      <c r="C9280" s="17" t="s">
        <v>3752</v>
      </c>
      <c r="D9280" s="17" t="s">
        <v>1407</v>
      </c>
      <c r="E9280" s="17" t="s">
        <v>3862</v>
      </c>
      <c r="F9280" s="17" t="s">
        <v>1280</v>
      </c>
      <c r="G9280" s="18" t="n">
        <v>0</v>
      </c>
      <c r="H9280" s="18" t="n">
        <v>17.42</v>
      </c>
      <c r="I9280" s="18" t="n">
        <f aca="false">((I9279 + G9280) - H9280)</f>
        <v>69261.86</v>
      </c>
      <c r="J9280" s="18" t="n">
        <v>0</v>
      </c>
      <c r="K9280" s="19" t="n">
        <v>0</v>
      </c>
      <c r="L9280" s="17"/>
    </row>
    <row r="9281" s="11" customFormat="true" ht="10.95" hidden="false" customHeight="true" outlineLevel="0" collapsed="false">
      <c r="A9281" s="16" t="n">
        <v>45110</v>
      </c>
      <c r="B9281" s="17" t="s">
        <v>3861</v>
      </c>
      <c r="C9281" s="17" t="s">
        <v>3752</v>
      </c>
      <c r="D9281" s="17" t="s">
        <v>2895</v>
      </c>
      <c r="E9281" s="17" t="s">
        <v>3373</v>
      </c>
      <c r="F9281" s="17" t="s">
        <v>3866</v>
      </c>
      <c r="G9281" s="18" t="n">
        <v>1386</v>
      </c>
      <c r="H9281" s="18" t="n">
        <v>0</v>
      </c>
      <c r="I9281" s="18" t="n">
        <f aca="false">((I9280 + G9281) - H9281)</f>
        <v>70647.86</v>
      </c>
      <c r="J9281" s="18" t="n">
        <v>0</v>
      </c>
      <c r="K9281" s="19" t="n">
        <v>0</v>
      </c>
      <c r="L9281" s="17"/>
    </row>
    <row r="9282" s="11" customFormat="true" ht="10.95" hidden="false" customHeight="true" outlineLevel="0" collapsed="false">
      <c r="A9282" s="16" t="n">
        <v>45111</v>
      </c>
      <c r="B9282" s="17" t="s">
        <v>3861</v>
      </c>
      <c r="C9282" s="17" t="s">
        <v>3752</v>
      </c>
      <c r="D9282" s="17" t="s">
        <v>2895</v>
      </c>
      <c r="E9282" s="17" t="s">
        <v>3375</v>
      </c>
      <c r="F9282" s="17" t="s">
        <v>3867</v>
      </c>
      <c r="G9282" s="18" t="n">
        <v>480.7</v>
      </c>
      <c r="H9282" s="18" t="n">
        <v>0</v>
      </c>
      <c r="I9282" s="18" t="n">
        <f aca="false">((I9281 + G9282) - H9282)</f>
        <v>71128.56</v>
      </c>
      <c r="J9282" s="18" t="n">
        <v>0</v>
      </c>
      <c r="K9282" s="19" t="n">
        <v>0</v>
      </c>
      <c r="L9282" s="17"/>
    </row>
    <row r="9283" s="11" customFormat="true" ht="10.95" hidden="false" customHeight="true" outlineLevel="0" collapsed="false">
      <c r="A9283" s="16" t="n">
        <v>45111</v>
      </c>
      <c r="B9283" s="17" t="s">
        <v>3861</v>
      </c>
      <c r="C9283" s="17" t="s">
        <v>3752</v>
      </c>
      <c r="D9283" s="17" t="s">
        <v>2895</v>
      </c>
      <c r="E9283" s="17" t="s">
        <v>3375</v>
      </c>
      <c r="F9283" s="17" t="s">
        <v>3868</v>
      </c>
      <c r="G9283" s="18" t="n">
        <v>280.5</v>
      </c>
      <c r="H9283" s="18" t="n">
        <v>0</v>
      </c>
      <c r="I9283" s="18" t="n">
        <f aca="false">((I9282 + G9283) - H9283)</f>
        <v>71409.06</v>
      </c>
      <c r="J9283" s="18" t="n">
        <v>0</v>
      </c>
      <c r="K9283" s="19" t="n">
        <v>0</v>
      </c>
      <c r="L9283" s="17"/>
    </row>
    <row r="9284" s="11" customFormat="true" ht="10.95" hidden="false" customHeight="true" outlineLevel="0" collapsed="false">
      <c r="A9284" s="16" t="n">
        <v>45111</v>
      </c>
      <c r="B9284" s="17" t="s">
        <v>3861</v>
      </c>
      <c r="C9284" s="17" t="s">
        <v>3752</v>
      </c>
      <c r="D9284" s="17" t="s">
        <v>2895</v>
      </c>
      <c r="E9284" s="17" t="s">
        <v>3378</v>
      </c>
      <c r="F9284" s="17" t="s">
        <v>3869</v>
      </c>
      <c r="G9284" s="18" t="n">
        <v>413.6</v>
      </c>
      <c r="H9284" s="18" t="n">
        <v>0</v>
      </c>
      <c r="I9284" s="18" t="n">
        <f aca="false">((I9283 + G9284) - H9284)</f>
        <v>71822.66</v>
      </c>
      <c r="J9284" s="18" t="n">
        <v>0</v>
      </c>
      <c r="K9284" s="19" t="n">
        <v>0</v>
      </c>
      <c r="L9284" s="17"/>
    </row>
    <row r="9285" s="11" customFormat="true" ht="10.95" hidden="false" customHeight="true" outlineLevel="0" collapsed="false">
      <c r="A9285" s="16" t="n">
        <v>45111</v>
      </c>
      <c r="B9285" s="17" t="s">
        <v>3861</v>
      </c>
      <c r="C9285" s="17" t="s">
        <v>3752</v>
      </c>
      <c r="D9285" s="17" t="s">
        <v>2895</v>
      </c>
      <c r="E9285" s="17" t="s">
        <v>2898</v>
      </c>
      <c r="F9285" s="17" t="s">
        <v>2899</v>
      </c>
      <c r="G9285" s="18" t="n">
        <v>740.05</v>
      </c>
      <c r="H9285" s="18" t="n">
        <v>0</v>
      </c>
      <c r="I9285" s="18" t="n">
        <f aca="false">((I9284 + G9285) - H9285)</f>
        <v>72562.71</v>
      </c>
      <c r="J9285" s="18" t="n">
        <v>0</v>
      </c>
      <c r="K9285" s="19" t="n">
        <v>0</v>
      </c>
      <c r="L9285" s="17"/>
    </row>
    <row r="9286" s="11" customFormat="true" ht="10.95" hidden="false" customHeight="true" outlineLevel="0" collapsed="false">
      <c r="A9286" s="16" t="n">
        <v>45111</v>
      </c>
      <c r="B9286" s="17" t="s">
        <v>3861</v>
      </c>
      <c r="C9286" s="17" t="s">
        <v>3752</v>
      </c>
      <c r="D9286" s="17" t="s">
        <v>1407</v>
      </c>
      <c r="E9286" s="17" t="s">
        <v>3863</v>
      </c>
      <c r="F9286" s="17"/>
      <c r="G9286" s="18" t="n">
        <v>0</v>
      </c>
      <c r="H9286" s="18" t="n">
        <v>0.68</v>
      </c>
      <c r="I9286" s="18" t="n">
        <f aca="false">((I9285 + G9286) - H9286)</f>
        <v>72562.03</v>
      </c>
      <c r="J9286" s="18" t="n">
        <v>0</v>
      </c>
      <c r="K9286" s="19" t="n">
        <v>0</v>
      </c>
      <c r="L9286" s="17"/>
    </row>
    <row r="9287" s="11" customFormat="true" ht="10.95" hidden="false" customHeight="true" outlineLevel="0" collapsed="false">
      <c r="A9287" s="16" t="n">
        <v>45111</v>
      </c>
      <c r="B9287" s="17" t="s">
        <v>3861</v>
      </c>
      <c r="C9287" s="17" t="s">
        <v>3752</v>
      </c>
      <c r="D9287" s="17" t="s">
        <v>1407</v>
      </c>
      <c r="E9287" s="17" t="s">
        <v>3863</v>
      </c>
      <c r="F9287" s="17"/>
      <c r="G9287" s="18" t="n">
        <v>0</v>
      </c>
      <c r="H9287" s="18" t="n">
        <v>3.86</v>
      </c>
      <c r="I9287" s="18" t="n">
        <f aca="false">((I9286 + G9287) - H9287)</f>
        <v>72558.17</v>
      </c>
      <c r="J9287" s="18" t="n">
        <v>0</v>
      </c>
      <c r="K9287" s="19" t="n">
        <v>0</v>
      </c>
      <c r="L9287" s="17"/>
    </row>
    <row r="9288" s="11" customFormat="true" ht="10.95" hidden="false" customHeight="true" outlineLevel="0" collapsed="false">
      <c r="A9288" s="16" t="n">
        <v>45111</v>
      </c>
      <c r="B9288" s="17" t="s">
        <v>3861</v>
      </c>
      <c r="C9288" s="17" t="s">
        <v>3752</v>
      </c>
      <c r="D9288" s="17" t="s">
        <v>1407</v>
      </c>
      <c r="E9288" s="17" t="s">
        <v>3863</v>
      </c>
      <c r="F9288" s="17"/>
      <c r="G9288" s="18" t="n">
        <v>0</v>
      </c>
      <c r="H9288" s="18" t="n">
        <v>5.39</v>
      </c>
      <c r="I9288" s="18" t="n">
        <f aca="false">((I9287 + G9288) - H9288)</f>
        <v>72552.78</v>
      </c>
      <c r="J9288" s="18" t="n">
        <v>0</v>
      </c>
      <c r="K9288" s="19" t="n">
        <v>0</v>
      </c>
      <c r="L9288" s="17"/>
    </row>
    <row r="9289" s="11" customFormat="true" ht="10.95" hidden="false" customHeight="true" outlineLevel="0" collapsed="false">
      <c r="A9289" s="16" t="n">
        <v>45111</v>
      </c>
      <c r="B9289" s="17" t="s">
        <v>3861</v>
      </c>
      <c r="C9289" s="17" t="s">
        <v>3752</v>
      </c>
      <c r="D9289" s="17" t="s">
        <v>1407</v>
      </c>
      <c r="E9289" s="17" t="s">
        <v>3771</v>
      </c>
      <c r="F9289" s="17"/>
      <c r="G9289" s="18" t="n">
        <v>0</v>
      </c>
      <c r="H9289" s="18" t="n">
        <v>22.74</v>
      </c>
      <c r="I9289" s="18" t="n">
        <f aca="false">((I9288 + G9289) - H9289)</f>
        <v>72530.04</v>
      </c>
      <c r="J9289" s="18" t="n">
        <v>0</v>
      </c>
      <c r="K9289" s="19" t="n">
        <v>0</v>
      </c>
      <c r="L9289" s="17"/>
    </row>
    <row r="9290" s="11" customFormat="true" ht="10.95" hidden="false" customHeight="true" outlineLevel="0" collapsed="false">
      <c r="A9290" s="16" t="n">
        <v>45111</v>
      </c>
      <c r="B9290" s="17" t="s">
        <v>3861</v>
      </c>
      <c r="C9290" s="17" t="s">
        <v>3752</v>
      </c>
      <c r="D9290" s="17" t="s">
        <v>1407</v>
      </c>
      <c r="E9290" s="17" t="s">
        <v>3870</v>
      </c>
      <c r="F9290" s="17"/>
      <c r="G9290" s="18" t="n">
        <v>0</v>
      </c>
      <c r="H9290" s="18" t="n">
        <v>109</v>
      </c>
      <c r="I9290" s="18" t="n">
        <f aca="false">((I9289 + G9290) - H9290)</f>
        <v>72421.04</v>
      </c>
      <c r="J9290" s="18" t="n">
        <v>0</v>
      </c>
      <c r="K9290" s="19" t="n">
        <v>0</v>
      </c>
      <c r="L9290" s="17"/>
    </row>
    <row r="9291" s="11" customFormat="true" ht="10.95" hidden="false" customHeight="true" outlineLevel="0" collapsed="false">
      <c r="A9291" s="16" t="n">
        <v>45111</v>
      </c>
      <c r="B9291" s="17" t="s">
        <v>3861</v>
      </c>
      <c r="C9291" s="17" t="s">
        <v>3752</v>
      </c>
      <c r="D9291" s="17" t="s">
        <v>1407</v>
      </c>
      <c r="E9291" s="17" t="s">
        <v>3683</v>
      </c>
      <c r="F9291" s="17"/>
      <c r="G9291" s="18" t="n">
        <v>0</v>
      </c>
      <c r="H9291" s="18" t="n">
        <v>128.75</v>
      </c>
      <c r="I9291" s="18" t="n">
        <f aca="false">((I9290 + G9291) - H9291)</f>
        <v>72292.29</v>
      </c>
      <c r="J9291" s="18" t="n">
        <v>0</v>
      </c>
      <c r="K9291" s="19" t="n">
        <v>0</v>
      </c>
      <c r="L9291" s="17"/>
    </row>
    <row r="9292" s="11" customFormat="true" ht="10.95" hidden="false" customHeight="true" outlineLevel="0" collapsed="false">
      <c r="A9292" s="16" t="n">
        <v>45111</v>
      </c>
      <c r="B9292" s="17" t="s">
        <v>3861</v>
      </c>
      <c r="C9292" s="17" t="s">
        <v>3752</v>
      </c>
      <c r="D9292" s="17" t="s">
        <v>1407</v>
      </c>
      <c r="E9292" s="17" t="s">
        <v>3680</v>
      </c>
      <c r="F9292" s="17"/>
      <c r="G9292" s="18" t="n">
        <v>0</v>
      </c>
      <c r="H9292" s="18" t="n">
        <v>179.68</v>
      </c>
      <c r="I9292" s="18" t="n">
        <f aca="false">((I9291 + G9292) - H9292)</f>
        <v>72112.61</v>
      </c>
      <c r="J9292" s="18" t="n">
        <v>0</v>
      </c>
      <c r="K9292" s="19" t="n">
        <v>0</v>
      </c>
      <c r="L9292" s="17"/>
    </row>
    <row r="9293" s="11" customFormat="true" ht="10.95" hidden="false" customHeight="true" outlineLevel="0" collapsed="false">
      <c r="A9293" s="16" t="n">
        <v>45111</v>
      </c>
      <c r="B9293" s="17" t="s">
        <v>3861</v>
      </c>
      <c r="C9293" s="17" t="s">
        <v>3752</v>
      </c>
      <c r="D9293" s="17" t="s">
        <v>2903</v>
      </c>
      <c r="E9293" s="17" t="s">
        <v>3628</v>
      </c>
      <c r="F9293" s="17" t="s">
        <v>2200</v>
      </c>
      <c r="G9293" s="18" t="n">
        <v>0</v>
      </c>
      <c r="H9293" s="18" t="n">
        <v>248</v>
      </c>
      <c r="I9293" s="18" t="n">
        <f aca="false">((I9292 + G9293) - H9293)</f>
        <v>71864.61</v>
      </c>
      <c r="J9293" s="18" t="n">
        <v>0</v>
      </c>
      <c r="K9293" s="19" t="n">
        <v>0</v>
      </c>
      <c r="L9293" s="17"/>
    </row>
    <row r="9294" s="11" customFormat="true" ht="10.95" hidden="false" customHeight="true" outlineLevel="0" collapsed="false">
      <c r="A9294" s="16" t="n">
        <v>45111</v>
      </c>
      <c r="B9294" s="17" t="s">
        <v>3861</v>
      </c>
      <c r="C9294" s="17" t="s">
        <v>3752</v>
      </c>
      <c r="D9294" s="17" t="s">
        <v>2903</v>
      </c>
      <c r="E9294" s="17" t="s">
        <v>3629</v>
      </c>
      <c r="F9294" s="17" t="s">
        <v>3630</v>
      </c>
      <c r="G9294" s="18" t="n">
        <v>0</v>
      </c>
      <c r="H9294" s="18" t="n">
        <v>440</v>
      </c>
      <c r="I9294" s="18" t="n">
        <f aca="false">((I9293 + G9294) - H9294)</f>
        <v>71424.61</v>
      </c>
      <c r="J9294" s="18" t="n">
        <v>0</v>
      </c>
      <c r="K9294" s="19" t="n">
        <v>0</v>
      </c>
      <c r="L9294" s="17"/>
    </row>
    <row r="9295" s="11" customFormat="true" ht="10.95" hidden="false" customHeight="true" outlineLevel="0" collapsed="false">
      <c r="A9295" s="16" t="n">
        <v>45112</v>
      </c>
      <c r="B9295" s="17" t="s">
        <v>3861</v>
      </c>
      <c r="C9295" s="17" t="s">
        <v>3752</v>
      </c>
      <c r="D9295" s="17" t="s">
        <v>2895</v>
      </c>
      <c r="E9295" s="17" t="s">
        <v>3382</v>
      </c>
      <c r="F9295" s="17" t="s">
        <v>3871</v>
      </c>
      <c r="G9295" s="18" t="n">
        <v>20653.6</v>
      </c>
      <c r="H9295" s="18" t="n">
        <v>0</v>
      </c>
      <c r="I9295" s="18" t="n">
        <f aca="false">((I9294 + G9295) - H9295)</f>
        <v>92078.21</v>
      </c>
      <c r="J9295" s="18" t="n">
        <v>0</v>
      </c>
      <c r="K9295" s="19" t="n">
        <v>0</v>
      </c>
      <c r="L9295" s="17"/>
    </row>
    <row r="9296" s="11" customFormat="true" ht="10.95" hidden="false" customHeight="true" outlineLevel="0" collapsed="false">
      <c r="A9296" s="16" t="n">
        <v>45112</v>
      </c>
      <c r="B9296" s="17" t="s">
        <v>3861</v>
      </c>
      <c r="C9296" s="17" t="s">
        <v>3752</v>
      </c>
      <c r="D9296" s="17" t="s">
        <v>1407</v>
      </c>
      <c r="E9296" s="17" t="s">
        <v>3436</v>
      </c>
      <c r="F9296" s="17"/>
      <c r="G9296" s="18" t="n">
        <v>0</v>
      </c>
      <c r="H9296" s="18" t="n">
        <v>5</v>
      </c>
      <c r="I9296" s="18" t="n">
        <f aca="false">((I9295 + G9296) - H9296)</f>
        <v>92073.21</v>
      </c>
      <c r="J9296" s="18" t="n">
        <v>0</v>
      </c>
      <c r="K9296" s="19" t="n">
        <v>0</v>
      </c>
      <c r="L9296" s="17"/>
    </row>
    <row r="9297" s="11" customFormat="true" ht="10.95" hidden="false" customHeight="true" outlineLevel="0" collapsed="false">
      <c r="A9297" s="16" t="n">
        <v>45112</v>
      </c>
      <c r="B9297" s="17" t="s">
        <v>3861</v>
      </c>
      <c r="C9297" s="17" t="s">
        <v>3752</v>
      </c>
      <c r="D9297" s="17" t="s">
        <v>2895</v>
      </c>
      <c r="E9297" s="17" t="s">
        <v>3384</v>
      </c>
      <c r="F9297" s="17" t="s">
        <v>3872</v>
      </c>
      <c r="G9297" s="18" t="n">
        <v>3135</v>
      </c>
      <c r="H9297" s="18" t="n">
        <v>0</v>
      </c>
      <c r="I9297" s="18" t="n">
        <f aca="false">((I9296 + G9297) - H9297)</f>
        <v>95208.21</v>
      </c>
      <c r="J9297" s="18" t="n">
        <v>0</v>
      </c>
      <c r="K9297" s="19" t="n">
        <v>0</v>
      </c>
      <c r="L9297" s="17"/>
    </row>
    <row r="9298" s="11" customFormat="true" ht="10.95" hidden="false" customHeight="true" outlineLevel="0" collapsed="false">
      <c r="A9298" s="16" t="n">
        <v>45112</v>
      </c>
      <c r="B9298" s="17" t="s">
        <v>3861</v>
      </c>
      <c r="C9298" s="17" t="s">
        <v>3752</v>
      </c>
      <c r="D9298" s="17" t="s">
        <v>2895</v>
      </c>
      <c r="E9298" s="17" t="s">
        <v>3384</v>
      </c>
      <c r="F9298" s="17" t="s">
        <v>3873</v>
      </c>
      <c r="G9298" s="18" t="n">
        <v>572</v>
      </c>
      <c r="H9298" s="18" t="n">
        <v>0</v>
      </c>
      <c r="I9298" s="18" t="n">
        <f aca="false">((I9297 + G9298) - H9298)</f>
        <v>95780.21</v>
      </c>
      <c r="J9298" s="18" t="n">
        <v>0</v>
      </c>
      <c r="K9298" s="19" t="n">
        <v>0</v>
      </c>
      <c r="L9298" s="17"/>
    </row>
    <row r="9299" s="11" customFormat="true" ht="10.95" hidden="false" customHeight="true" outlineLevel="0" collapsed="false">
      <c r="A9299" s="16" t="n">
        <v>45112</v>
      </c>
      <c r="B9299" s="17" t="s">
        <v>3861</v>
      </c>
      <c r="C9299" s="17" t="s">
        <v>3752</v>
      </c>
      <c r="D9299" s="17" t="s">
        <v>2895</v>
      </c>
      <c r="E9299" s="17" t="s">
        <v>3384</v>
      </c>
      <c r="F9299" s="17" t="s">
        <v>3874</v>
      </c>
      <c r="G9299" s="18" t="n">
        <v>2194.5</v>
      </c>
      <c r="H9299" s="18" t="n">
        <v>0</v>
      </c>
      <c r="I9299" s="18" t="n">
        <f aca="false">((I9298 + G9299) - H9299)</f>
        <v>97974.71</v>
      </c>
      <c r="J9299" s="18" t="n">
        <v>0</v>
      </c>
      <c r="K9299" s="19" t="n">
        <v>0</v>
      </c>
      <c r="L9299" s="17"/>
    </row>
    <row r="9300" s="11" customFormat="true" ht="10.95" hidden="false" customHeight="true" outlineLevel="0" collapsed="false">
      <c r="A9300" s="16" t="n">
        <v>45112</v>
      </c>
      <c r="B9300" s="17" t="s">
        <v>3861</v>
      </c>
      <c r="C9300" s="17" t="s">
        <v>3752</v>
      </c>
      <c r="D9300" s="17" t="s">
        <v>2895</v>
      </c>
      <c r="E9300" s="17" t="s">
        <v>3384</v>
      </c>
      <c r="F9300" s="17" t="s">
        <v>3875</v>
      </c>
      <c r="G9300" s="18" t="n">
        <v>1672</v>
      </c>
      <c r="H9300" s="18" t="n">
        <v>0</v>
      </c>
      <c r="I9300" s="18" t="n">
        <f aca="false">((I9299 + G9300) - H9300)</f>
        <v>99646.71</v>
      </c>
      <c r="J9300" s="18" t="n">
        <v>0</v>
      </c>
      <c r="K9300" s="19" t="n">
        <v>0</v>
      </c>
      <c r="L9300" s="17"/>
    </row>
    <row r="9301" s="11" customFormat="true" ht="10.95" hidden="false" customHeight="true" outlineLevel="0" collapsed="false">
      <c r="A9301" s="16" t="n">
        <v>45112</v>
      </c>
      <c r="B9301" s="17" t="s">
        <v>3861</v>
      </c>
      <c r="C9301" s="17" t="s">
        <v>3752</v>
      </c>
      <c r="D9301" s="17" t="s">
        <v>2895</v>
      </c>
      <c r="E9301" s="17" t="s">
        <v>3389</v>
      </c>
      <c r="F9301" s="17" t="s">
        <v>3876</v>
      </c>
      <c r="G9301" s="18" t="n">
        <v>4510</v>
      </c>
      <c r="H9301" s="18" t="n">
        <v>0</v>
      </c>
      <c r="I9301" s="18" t="n">
        <f aca="false">((I9300 + G9301) - H9301)</f>
        <v>104156.71</v>
      </c>
      <c r="J9301" s="18" t="n">
        <v>0</v>
      </c>
      <c r="K9301" s="19" t="n">
        <v>0</v>
      </c>
      <c r="L9301" s="17"/>
    </row>
    <row r="9302" s="11" customFormat="true" ht="10.95" hidden="false" customHeight="true" outlineLevel="0" collapsed="false">
      <c r="A9302" s="16" t="n">
        <v>45112</v>
      </c>
      <c r="B9302" s="17" t="s">
        <v>3861</v>
      </c>
      <c r="C9302" s="17" t="s">
        <v>3752</v>
      </c>
      <c r="D9302" s="17" t="s">
        <v>2895</v>
      </c>
      <c r="E9302" s="17" t="s">
        <v>3391</v>
      </c>
      <c r="F9302" s="17" t="s">
        <v>3877</v>
      </c>
      <c r="G9302" s="18" t="n">
        <v>1100.06</v>
      </c>
      <c r="H9302" s="18" t="n">
        <v>0</v>
      </c>
      <c r="I9302" s="18" t="n">
        <f aca="false">((I9301 + G9302) - H9302)</f>
        <v>105256.77</v>
      </c>
      <c r="J9302" s="18" t="n">
        <v>0</v>
      </c>
      <c r="K9302" s="19" t="n">
        <v>0</v>
      </c>
      <c r="L9302" s="17"/>
    </row>
    <row r="9303" s="11" customFormat="true" ht="10.95" hidden="false" customHeight="true" outlineLevel="0" collapsed="false">
      <c r="A9303" s="16" t="n">
        <v>45112</v>
      </c>
      <c r="B9303" s="17" t="s">
        <v>3861</v>
      </c>
      <c r="C9303" s="17" t="s">
        <v>3752</v>
      </c>
      <c r="D9303" s="17" t="s">
        <v>3814</v>
      </c>
      <c r="E9303" s="17" t="s">
        <v>3815</v>
      </c>
      <c r="F9303" s="17"/>
      <c r="G9303" s="18" t="n">
        <v>0</v>
      </c>
      <c r="H9303" s="18" t="n">
        <v>0.24</v>
      </c>
      <c r="I9303" s="18" t="n">
        <f aca="false">((I9302 + G9303) - H9303)</f>
        <v>105256.53</v>
      </c>
      <c r="J9303" s="18" t="n">
        <v>0</v>
      </c>
      <c r="K9303" s="19" t="n">
        <v>0</v>
      </c>
      <c r="L9303" s="17"/>
    </row>
    <row r="9304" s="11" customFormat="true" ht="10.95" hidden="false" customHeight="true" outlineLevel="0" collapsed="false">
      <c r="A9304" s="16" t="n">
        <v>45112</v>
      </c>
      <c r="B9304" s="17" t="s">
        <v>3861</v>
      </c>
      <c r="C9304" s="17" t="s">
        <v>3752</v>
      </c>
      <c r="D9304" s="17" t="s">
        <v>1407</v>
      </c>
      <c r="E9304" s="17" t="s">
        <v>3767</v>
      </c>
      <c r="F9304" s="17" t="s">
        <v>2781</v>
      </c>
      <c r="G9304" s="18" t="n">
        <v>0</v>
      </c>
      <c r="H9304" s="18" t="n">
        <v>24.92</v>
      </c>
      <c r="I9304" s="18" t="n">
        <f aca="false">((I9303 + G9304) - H9304)</f>
        <v>105231.61</v>
      </c>
      <c r="J9304" s="18" t="n">
        <v>0</v>
      </c>
      <c r="K9304" s="19" t="n">
        <v>0</v>
      </c>
      <c r="L9304" s="17"/>
    </row>
    <row r="9305" s="11" customFormat="true" ht="10.95" hidden="false" customHeight="true" outlineLevel="0" collapsed="false">
      <c r="A9305" s="16" t="n">
        <v>45112</v>
      </c>
      <c r="B9305" s="17" t="s">
        <v>3861</v>
      </c>
      <c r="C9305" s="17" t="s">
        <v>3752</v>
      </c>
      <c r="D9305" s="17" t="s">
        <v>1407</v>
      </c>
      <c r="E9305" s="17" t="s">
        <v>3878</v>
      </c>
      <c r="F9305" s="17"/>
      <c r="G9305" s="18" t="n">
        <v>0</v>
      </c>
      <c r="H9305" s="18" t="n">
        <v>1108</v>
      </c>
      <c r="I9305" s="18" t="n">
        <f aca="false">((I9304 + G9305) - H9305)</f>
        <v>104123.61</v>
      </c>
      <c r="J9305" s="18" t="n">
        <v>0</v>
      </c>
      <c r="K9305" s="19" t="n">
        <v>0</v>
      </c>
      <c r="L9305" s="17"/>
    </row>
    <row r="9306" s="11" customFormat="true" ht="10.95" hidden="false" customHeight="true" outlineLevel="0" collapsed="false">
      <c r="A9306" s="16" t="n">
        <v>45112</v>
      </c>
      <c r="B9306" s="17" t="s">
        <v>3861</v>
      </c>
      <c r="C9306" s="17" t="s">
        <v>3752</v>
      </c>
      <c r="D9306" s="17" t="s">
        <v>1407</v>
      </c>
      <c r="E9306" s="17" t="s">
        <v>3879</v>
      </c>
      <c r="F9306" s="17"/>
      <c r="G9306" s="18" t="n">
        <v>0</v>
      </c>
      <c r="H9306" s="18" t="n">
        <v>1114</v>
      </c>
      <c r="I9306" s="18" t="n">
        <f aca="false">((I9305 + G9306) - H9306)</f>
        <v>103009.61</v>
      </c>
      <c r="J9306" s="18" t="n">
        <v>0</v>
      </c>
      <c r="K9306" s="19" t="n">
        <v>0</v>
      </c>
      <c r="L9306" s="17"/>
    </row>
    <row r="9307" s="11" customFormat="true" ht="10.95" hidden="false" customHeight="true" outlineLevel="0" collapsed="false">
      <c r="A9307" s="16" t="n">
        <v>45112</v>
      </c>
      <c r="B9307" s="17" t="s">
        <v>3861</v>
      </c>
      <c r="C9307" s="17" t="s">
        <v>3752</v>
      </c>
      <c r="D9307" s="17" t="s">
        <v>1407</v>
      </c>
      <c r="E9307" s="17" t="s">
        <v>3880</v>
      </c>
      <c r="F9307" s="17"/>
      <c r="G9307" s="18" t="n">
        <v>0</v>
      </c>
      <c r="H9307" s="18" t="n">
        <v>1114</v>
      </c>
      <c r="I9307" s="18" t="n">
        <f aca="false">((I9306 + G9307) - H9307)</f>
        <v>101895.61</v>
      </c>
      <c r="J9307" s="18" t="n">
        <v>0</v>
      </c>
      <c r="K9307" s="19" t="n">
        <v>0</v>
      </c>
      <c r="L9307" s="17"/>
    </row>
    <row r="9308" s="11" customFormat="true" ht="10.95" hidden="false" customHeight="true" outlineLevel="0" collapsed="false">
      <c r="A9308" s="16" t="n">
        <v>45112</v>
      </c>
      <c r="B9308" s="17" t="s">
        <v>3861</v>
      </c>
      <c r="C9308" s="17" t="s">
        <v>3752</v>
      </c>
      <c r="D9308" s="17" t="s">
        <v>1407</v>
      </c>
      <c r="E9308" s="17" t="s">
        <v>3808</v>
      </c>
      <c r="F9308" s="17"/>
      <c r="G9308" s="18" t="n">
        <v>0</v>
      </c>
      <c r="H9308" s="18" t="n">
        <v>1568.39</v>
      </c>
      <c r="I9308" s="18" t="n">
        <f aca="false">((I9307 + G9308) - H9308)</f>
        <v>100327.22</v>
      </c>
      <c r="J9308" s="18" t="n">
        <v>0</v>
      </c>
      <c r="K9308" s="19" t="n">
        <v>0</v>
      </c>
      <c r="L9308" s="17"/>
    </row>
    <row r="9309" s="11" customFormat="true" ht="10.95" hidden="false" customHeight="true" outlineLevel="0" collapsed="false">
      <c r="A9309" s="16" t="n">
        <v>45112</v>
      </c>
      <c r="B9309" s="17" t="s">
        <v>3861</v>
      </c>
      <c r="C9309" s="17" t="s">
        <v>3752</v>
      </c>
      <c r="D9309" s="17" t="s">
        <v>1407</v>
      </c>
      <c r="E9309" s="17" t="s">
        <v>3863</v>
      </c>
      <c r="F9309" s="17"/>
      <c r="G9309" s="18" t="n">
        <v>0</v>
      </c>
      <c r="H9309" s="18" t="n">
        <v>0.38</v>
      </c>
      <c r="I9309" s="18" t="n">
        <f aca="false">((I9308 + G9309) - H9309)</f>
        <v>100326.84</v>
      </c>
      <c r="J9309" s="18" t="n">
        <v>0</v>
      </c>
      <c r="K9309" s="19" t="n">
        <v>0</v>
      </c>
      <c r="L9309" s="17"/>
    </row>
    <row r="9310" s="11" customFormat="true" ht="10.95" hidden="false" customHeight="true" outlineLevel="0" collapsed="false">
      <c r="A9310" s="16" t="n">
        <v>45112</v>
      </c>
      <c r="B9310" s="17" t="s">
        <v>3861</v>
      </c>
      <c r="C9310" s="17" t="s">
        <v>3752</v>
      </c>
      <c r="D9310" s="17" t="s">
        <v>1407</v>
      </c>
      <c r="E9310" s="17" t="s">
        <v>3658</v>
      </c>
      <c r="F9310" s="17"/>
      <c r="G9310" s="18" t="n">
        <v>0</v>
      </c>
      <c r="H9310" s="18" t="n">
        <v>12.7</v>
      </c>
      <c r="I9310" s="18" t="n">
        <f aca="false">((I9309 + G9310) - H9310)</f>
        <v>100314.14</v>
      </c>
      <c r="J9310" s="18" t="n">
        <v>0</v>
      </c>
      <c r="K9310" s="19" t="n">
        <v>0</v>
      </c>
      <c r="L9310" s="17"/>
    </row>
    <row r="9311" s="11" customFormat="true" ht="10.95" hidden="false" customHeight="true" outlineLevel="0" collapsed="false">
      <c r="A9311" s="16" t="n">
        <v>45112</v>
      </c>
      <c r="B9311" s="17" t="s">
        <v>3861</v>
      </c>
      <c r="C9311" s="17" t="s">
        <v>3752</v>
      </c>
      <c r="D9311" s="17" t="s">
        <v>1407</v>
      </c>
      <c r="E9311" s="17" t="s">
        <v>3881</v>
      </c>
      <c r="F9311" s="17"/>
      <c r="G9311" s="18" t="n">
        <v>0</v>
      </c>
      <c r="H9311" s="18" t="n">
        <v>1000</v>
      </c>
      <c r="I9311" s="18" t="n">
        <f aca="false">((I9310 + G9311) - H9311)</f>
        <v>99314.14</v>
      </c>
      <c r="J9311" s="18" t="n">
        <v>0</v>
      </c>
      <c r="K9311" s="19" t="n">
        <v>0</v>
      </c>
      <c r="L9311" s="17"/>
    </row>
    <row r="9312" s="11" customFormat="true" ht="10.95" hidden="false" customHeight="true" outlineLevel="0" collapsed="false">
      <c r="A9312" s="16" t="n">
        <v>45112</v>
      </c>
      <c r="B9312" s="17" t="s">
        <v>3861</v>
      </c>
      <c r="C9312" s="17" t="s">
        <v>3752</v>
      </c>
      <c r="D9312" s="17" t="s">
        <v>2903</v>
      </c>
      <c r="E9312" s="17" t="s">
        <v>3631</v>
      </c>
      <c r="F9312" s="17" t="s">
        <v>3244</v>
      </c>
      <c r="G9312" s="18" t="n">
        <v>0</v>
      </c>
      <c r="H9312" s="18" t="n">
        <v>990.84</v>
      </c>
      <c r="I9312" s="18" t="n">
        <f aca="false">((I9311 + G9312) - H9312)</f>
        <v>98323.3</v>
      </c>
      <c r="J9312" s="18" t="n">
        <v>0</v>
      </c>
      <c r="K9312" s="19" t="n">
        <v>0</v>
      </c>
      <c r="L9312" s="17"/>
    </row>
    <row r="9313" s="11" customFormat="true" ht="10.95" hidden="false" customHeight="true" outlineLevel="0" collapsed="false">
      <c r="A9313" s="16" t="n">
        <v>45112</v>
      </c>
      <c r="B9313" s="17" t="s">
        <v>3861</v>
      </c>
      <c r="C9313" s="17" t="s">
        <v>3752</v>
      </c>
      <c r="D9313" s="17" t="s">
        <v>1407</v>
      </c>
      <c r="E9313" s="17" t="s">
        <v>3882</v>
      </c>
      <c r="F9313" s="17"/>
      <c r="G9313" s="18" t="n">
        <v>0</v>
      </c>
      <c r="H9313" s="18" t="n">
        <v>21.95</v>
      </c>
      <c r="I9313" s="18" t="n">
        <f aca="false">((I9312 + G9313) - H9313)</f>
        <v>98301.35</v>
      </c>
      <c r="J9313" s="18" t="n">
        <v>0</v>
      </c>
      <c r="K9313" s="19" t="n">
        <v>0</v>
      </c>
      <c r="L9313" s="17"/>
    </row>
    <row r="9314" s="11" customFormat="true" ht="10.95" hidden="false" customHeight="true" outlineLevel="0" collapsed="false">
      <c r="A9314" s="16" t="n">
        <v>45112</v>
      </c>
      <c r="B9314" s="17" t="s">
        <v>3861</v>
      </c>
      <c r="C9314" s="17" t="s">
        <v>3752</v>
      </c>
      <c r="D9314" s="17" t="s">
        <v>1407</v>
      </c>
      <c r="E9314" s="17" t="s">
        <v>3742</v>
      </c>
      <c r="F9314" s="17" t="s">
        <v>3883</v>
      </c>
      <c r="G9314" s="18" t="n">
        <v>0</v>
      </c>
      <c r="H9314" s="18" t="n">
        <v>36236</v>
      </c>
      <c r="I9314" s="18" t="n">
        <f aca="false">((I9313 + G9314) - H9314)</f>
        <v>62065.35</v>
      </c>
      <c r="J9314" s="18" t="n">
        <v>0</v>
      </c>
      <c r="K9314" s="19" t="n">
        <v>0</v>
      </c>
      <c r="L9314" s="17"/>
    </row>
    <row r="9315" s="11" customFormat="true" ht="10.95" hidden="false" customHeight="true" outlineLevel="0" collapsed="false">
      <c r="A9315" s="16" t="n">
        <v>45112</v>
      </c>
      <c r="B9315" s="17" t="s">
        <v>3861</v>
      </c>
      <c r="C9315" s="17" t="s">
        <v>3752</v>
      </c>
      <c r="D9315" s="17" t="s">
        <v>2895</v>
      </c>
      <c r="E9315" s="17" t="s">
        <v>2900</v>
      </c>
      <c r="F9315" s="17" t="s">
        <v>2901</v>
      </c>
      <c r="G9315" s="18" t="n">
        <v>9246.71</v>
      </c>
      <c r="H9315" s="18" t="n">
        <v>0</v>
      </c>
      <c r="I9315" s="18" t="n">
        <f aca="false">((I9314 + G9315) - H9315)</f>
        <v>71312.06</v>
      </c>
      <c r="J9315" s="18" t="n">
        <v>0</v>
      </c>
      <c r="K9315" s="19" t="n">
        <v>0</v>
      </c>
      <c r="L9315" s="17"/>
    </row>
    <row r="9316" s="11" customFormat="true" ht="10.95" hidden="false" customHeight="true" outlineLevel="0" collapsed="false">
      <c r="A9316" s="16" t="n">
        <v>45112</v>
      </c>
      <c r="B9316" s="17" t="s">
        <v>3861</v>
      </c>
      <c r="C9316" s="17" t="s">
        <v>3752</v>
      </c>
      <c r="D9316" s="17" t="s">
        <v>2895</v>
      </c>
      <c r="E9316" s="17" t="s">
        <v>2900</v>
      </c>
      <c r="F9316" s="17" t="s">
        <v>2902</v>
      </c>
      <c r="G9316" s="18" t="n">
        <v>999.35</v>
      </c>
      <c r="H9316" s="18" t="n">
        <v>0</v>
      </c>
      <c r="I9316" s="18" t="n">
        <f aca="false">((I9315 + G9316) - H9316)</f>
        <v>72311.41</v>
      </c>
      <c r="J9316" s="18" t="n">
        <v>0</v>
      </c>
      <c r="K9316" s="19" t="n">
        <v>0</v>
      </c>
      <c r="L9316" s="17"/>
    </row>
    <row r="9317" s="11" customFormat="true" ht="10.95" hidden="false" customHeight="true" outlineLevel="0" collapsed="false">
      <c r="A9317" s="16" t="n">
        <v>45113</v>
      </c>
      <c r="B9317" s="17" t="s">
        <v>3861</v>
      </c>
      <c r="C9317" s="17" t="s">
        <v>3752</v>
      </c>
      <c r="D9317" s="17" t="s">
        <v>2895</v>
      </c>
      <c r="E9317" s="17" t="s">
        <v>3395</v>
      </c>
      <c r="F9317" s="17" t="s">
        <v>3884</v>
      </c>
      <c r="G9317" s="18" t="n">
        <v>6795.36</v>
      </c>
      <c r="H9317" s="18" t="n">
        <v>0</v>
      </c>
      <c r="I9317" s="18" t="n">
        <f aca="false">((I9316 + G9317) - H9317)</f>
        <v>79106.77</v>
      </c>
      <c r="J9317" s="18" t="n">
        <v>0</v>
      </c>
      <c r="K9317" s="19" t="n">
        <v>0</v>
      </c>
      <c r="L9317" s="17"/>
    </row>
    <row r="9318" s="11" customFormat="true" ht="10.95" hidden="false" customHeight="true" outlineLevel="0" collapsed="false">
      <c r="A9318" s="16" t="n">
        <v>45113</v>
      </c>
      <c r="B9318" s="17" t="s">
        <v>3861</v>
      </c>
      <c r="C9318" s="17" t="s">
        <v>3752</v>
      </c>
      <c r="D9318" s="17" t="s">
        <v>2895</v>
      </c>
      <c r="E9318" s="17" t="s">
        <v>3397</v>
      </c>
      <c r="F9318" s="17" t="s">
        <v>3885</v>
      </c>
      <c r="G9318" s="18" t="n">
        <v>5280</v>
      </c>
      <c r="H9318" s="18" t="n">
        <v>0</v>
      </c>
      <c r="I9318" s="18" t="n">
        <f aca="false">((I9317 + G9318) - H9318)</f>
        <v>84386.77</v>
      </c>
      <c r="J9318" s="18" t="n">
        <v>0</v>
      </c>
      <c r="K9318" s="19" t="n">
        <v>0</v>
      </c>
      <c r="L9318" s="17"/>
    </row>
    <row r="9319" s="11" customFormat="true" ht="10.95" hidden="false" customHeight="true" outlineLevel="0" collapsed="false">
      <c r="A9319" s="16" t="n">
        <v>45113</v>
      </c>
      <c r="B9319" s="17" t="s">
        <v>3861</v>
      </c>
      <c r="C9319" s="17" t="s">
        <v>3752</v>
      </c>
      <c r="D9319" s="17" t="s">
        <v>2895</v>
      </c>
      <c r="E9319" s="17" t="s">
        <v>3399</v>
      </c>
      <c r="F9319" s="17" t="s">
        <v>3886</v>
      </c>
      <c r="G9319" s="18" t="n">
        <v>1022.45</v>
      </c>
      <c r="H9319" s="18" t="n">
        <v>0</v>
      </c>
      <c r="I9319" s="18" t="n">
        <f aca="false">((I9318 + G9319) - H9319)</f>
        <v>85409.22</v>
      </c>
      <c r="J9319" s="18" t="n">
        <v>0</v>
      </c>
      <c r="K9319" s="19" t="n">
        <v>0</v>
      </c>
      <c r="L9319" s="17"/>
    </row>
    <row r="9320" s="11" customFormat="true" ht="10.95" hidden="false" customHeight="true" outlineLevel="0" collapsed="false">
      <c r="A9320" s="16" t="n">
        <v>45113</v>
      </c>
      <c r="B9320" s="17" t="s">
        <v>3861</v>
      </c>
      <c r="C9320" s="17" t="s">
        <v>3752</v>
      </c>
      <c r="D9320" s="17" t="s">
        <v>2895</v>
      </c>
      <c r="E9320" s="17" t="s">
        <v>3401</v>
      </c>
      <c r="F9320" s="17" t="s">
        <v>3887</v>
      </c>
      <c r="G9320" s="18" t="n">
        <v>561</v>
      </c>
      <c r="H9320" s="18" t="n">
        <v>0</v>
      </c>
      <c r="I9320" s="18" t="n">
        <f aca="false">((I9319 + G9320) - H9320)</f>
        <v>85970.22</v>
      </c>
      <c r="J9320" s="18" t="n">
        <v>0</v>
      </c>
      <c r="K9320" s="19" t="n">
        <v>0</v>
      </c>
      <c r="L9320" s="17"/>
    </row>
    <row r="9321" s="11" customFormat="true" ht="10.95" hidden="false" customHeight="true" outlineLevel="0" collapsed="false">
      <c r="A9321" s="16" t="n">
        <v>45113</v>
      </c>
      <c r="B9321" s="17" t="s">
        <v>3861</v>
      </c>
      <c r="C9321" s="17" t="s">
        <v>3752</v>
      </c>
      <c r="D9321" s="17" t="s">
        <v>1407</v>
      </c>
      <c r="E9321" s="17" t="s">
        <v>2747</v>
      </c>
      <c r="F9321" s="17"/>
      <c r="G9321" s="18" t="n">
        <v>0</v>
      </c>
      <c r="H9321" s="18" t="n">
        <v>7</v>
      </c>
      <c r="I9321" s="18" t="n">
        <f aca="false">((I9320 + G9321) - H9321)</f>
        <v>85963.22</v>
      </c>
      <c r="J9321" s="18" t="n">
        <v>0</v>
      </c>
      <c r="K9321" s="19" t="n">
        <v>0</v>
      </c>
      <c r="L9321" s="17"/>
    </row>
    <row r="9322" s="11" customFormat="true" ht="10.95" hidden="false" customHeight="true" outlineLevel="0" collapsed="false">
      <c r="A9322" s="16" t="n">
        <v>45113</v>
      </c>
      <c r="B9322" s="17" t="s">
        <v>3861</v>
      </c>
      <c r="C9322" s="17" t="s">
        <v>3752</v>
      </c>
      <c r="D9322" s="17" t="s">
        <v>1407</v>
      </c>
      <c r="E9322" s="17" t="s">
        <v>3888</v>
      </c>
      <c r="F9322" s="17"/>
      <c r="G9322" s="18" t="n">
        <v>0</v>
      </c>
      <c r="H9322" s="18" t="n">
        <v>3217.43</v>
      </c>
      <c r="I9322" s="18" t="n">
        <f aca="false">((I9321 + G9322) - H9322)</f>
        <v>82745.79</v>
      </c>
      <c r="J9322" s="18" t="n">
        <v>0</v>
      </c>
      <c r="K9322" s="19" t="n">
        <v>0</v>
      </c>
      <c r="L9322" s="17"/>
    </row>
    <row r="9323" s="11" customFormat="true" ht="10.95" hidden="false" customHeight="true" outlineLevel="0" collapsed="false">
      <c r="A9323" s="16" t="n">
        <v>45113</v>
      </c>
      <c r="B9323" s="17" t="s">
        <v>3861</v>
      </c>
      <c r="C9323" s="17" t="s">
        <v>3752</v>
      </c>
      <c r="D9323" s="17" t="s">
        <v>2903</v>
      </c>
      <c r="E9323" s="17" t="s">
        <v>3634</v>
      </c>
      <c r="F9323" s="17" t="s">
        <v>2203</v>
      </c>
      <c r="G9323" s="18" t="n">
        <v>0</v>
      </c>
      <c r="H9323" s="18" t="n">
        <v>71.5</v>
      </c>
      <c r="I9323" s="18" t="n">
        <f aca="false">((I9322 + G9323) - H9323)</f>
        <v>82674.29</v>
      </c>
      <c r="J9323" s="18" t="n">
        <v>0</v>
      </c>
      <c r="K9323" s="19" t="n">
        <v>0</v>
      </c>
      <c r="L9323" s="17"/>
    </row>
    <row r="9324" s="11" customFormat="true" ht="10.95" hidden="false" customHeight="true" outlineLevel="0" collapsed="false">
      <c r="A9324" s="16" t="n">
        <v>45113</v>
      </c>
      <c r="B9324" s="17" t="s">
        <v>3861</v>
      </c>
      <c r="C9324" s="17" t="s">
        <v>3752</v>
      </c>
      <c r="D9324" s="17" t="s">
        <v>2903</v>
      </c>
      <c r="E9324" s="17" t="s">
        <v>3635</v>
      </c>
      <c r="F9324" s="17" t="s">
        <v>2048</v>
      </c>
      <c r="G9324" s="18" t="n">
        <v>0</v>
      </c>
      <c r="H9324" s="18" t="n">
        <v>1115.37</v>
      </c>
      <c r="I9324" s="18" t="n">
        <f aca="false">((I9323 + G9324) - H9324)</f>
        <v>81558.92</v>
      </c>
      <c r="J9324" s="18" t="n">
        <v>0</v>
      </c>
      <c r="K9324" s="19" t="n">
        <v>0</v>
      </c>
      <c r="L9324" s="17"/>
    </row>
    <row r="9325" s="11" customFormat="true" ht="10.95" hidden="false" customHeight="true" outlineLevel="0" collapsed="false">
      <c r="A9325" s="16" t="n">
        <v>45113</v>
      </c>
      <c r="B9325" s="17" t="s">
        <v>3861</v>
      </c>
      <c r="C9325" s="17" t="s">
        <v>3752</v>
      </c>
      <c r="D9325" s="17" t="s">
        <v>1407</v>
      </c>
      <c r="E9325" s="17" t="s">
        <v>3642</v>
      </c>
      <c r="F9325" s="17"/>
      <c r="G9325" s="18" t="n">
        <v>0</v>
      </c>
      <c r="H9325" s="18" t="n">
        <v>18.92</v>
      </c>
      <c r="I9325" s="18" t="n">
        <f aca="false">((I9324 + G9325) - H9325)</f>
        <v>81540</v>
      </c>
      <c r="J9325" s="18" t="n">
        <v>0</v>
      </c>
      <c r="K9325" s="19" t="n">
        <v>0</v>
      </c>
      <c r="L9325" s="17"/>
    </row>
    <row r="9326" s="11" customFormat="true" ht="10.95" hidden="false" customHeight="true" outlineLevel="0" collapsed="false">
      <c r="A9326" s="16" t="n">
        <v>45113</v>
      </c>
      <c r="B9326" s="17" t="s">
        <v>3861</v>
      </c>
      <c r="C9326" s="17" t="s">
        <v>3752</v>
      </c>
      <c r="D9326" s="17" t="s">
        <v>1407</v>
      </c>
      <c r="E9326" s="17" t="s">
        <v>3642</v>
      </c>
      <c r="F9326" s="17"/>
      <c r="G9326" s="18" t="n">
        <v>0</v>
      </c>
      <c r="H9326" s="18" t="n">
        <v>39.6</v>
      </c>
      <c r="I9326" s="18" t="n">
        <f aca="false">((I9325 + G9326) - H9326)</f>
        <v>81500.4</v>
      </c>
      <c r="J9326" s="18" t="n">
        <v>0</v>
      </c>
      <c r="K9326" s="19" t="n">
        <v>0</v>
      </c>
      <c r="L9326" s="17"/>
    </row>
    <row r="9327" s="11" customFormat="true" ht="10.95" hidden="false" customHeight="true" outlineLevel="0" collapsed="false">
      <c r="A9327" s="16" t="n">
        <v>45113</v>
      </c>
      <c r="B9327" s="17" t="s">
        <v>3861</v>
      </c>
      <c r="C9327" s="17" t="s">
        <v>3752</v>
      </c>
      <c r="D9327" s="17" t="s">
        <v>1407</v>
      </c>
      <c r="E9327" s="17" t="s">
        <v>3642</v>
      </c>
      <c r="F9327" s="17"/>
      <c r="G9327" s="18" t="n">
        <v>0</v>
      </c>
      <c r="H9327" s="18" t="n">
        <v>18.15</v>
      </c>
      <c r="I9327" s="18" t="n">
        <f aca="false">((I9326 + G9327) - H9327)</f>
        <v>81482.25</v>
      </c>
      <c r="J9327" s="18" t="n">
        <v>0</v>
      </c>
      <c r="K9327" s="19" t="n">
        <v>0</v>
      </c>
      <c r="L9327" s="17"/>
    </row>
    <row r="9328" s="11" customFormat="true" ht="10.95" hidden="false" customHeight="true" outlineLevel="0" collapsed="false">
      <c r="A9328" s="16" t="n">
        <v>45114</v>
      </c>
      <c r="B9328" s="17" t="s">
        <v>3861</v>
      </c>
      <c r="C9328" s="17" t="s">
        <v>3752</v>
      </c>
      <c r="D9328" s="17" t="s">
        <v>1407</v>
      </c>
      <c r="E9328" s="17" t="s">
        <v>3863</v>
      </c>
      <c r="F9328" s="17"/>
      <c r="G9328" s="18" t="n">
        <v>0</v>
      </c>
      <c r="H9328" s="18" t="n">
        <v>1.31</v>
      </c>
      <c r="I9328" s="18" t="n">
        <f aca="false">((I9327 + G9328) - H9328)</f>
        <v>81480.94</v>
      </c>
      <c r="J9328" s="18" t="n">
        <v>0</v>
      </c>
      <c r="K9328" s="19" t="n">
        <v>0</v>
      </c>
      <c r="L9328" s="17"/>
    </row>
    <row r="9329" s="11" customFormat="true" ht="10.95" hidden="false" customHeight="true" outlineLevel="0" collapsed="false">
      <c r="A9329" s="16" t="n">
        <v>45114</v>
      </c>
      <c r="B9329" s="17" t="s">
        <v>3861</v>
      </c>
      <c r="C9329" s="17" t="s">
        <v>3752</v>
      </c>
      <c r="D9329" s="17" t="s">
        <v>1407</v>
      </c>
      <c r="E9329" s="17" t="s">
        <v>2747</v>
      </c>
      <c r="F9329" s="17"/>
      <c r="G9329" s="18" t="n">
        <v>0</v>
      </c>
      <c r="H9329" s="18" t="n">
        <v>7</v>
      </c>
      <c r="I9329" s="18" t="n">
        <f aca="false">((I9328 + G9329) - H9329)</f>
        <v>81473.94</v>
      </c>
      <c r="J9329" s="18" t="n">
        <v>0</v>
      </c>
      <c r="K9329" s="19" t="n">
        <v>0</v>
      </c>
      <c r="L9329" s="17"/>
    </row>
    <row r="9330" s="11" customFormat="true" ht="10.95" hidden="false" customHeight="true" outlineLevel="0" collapsed="false">
      <c r="A9330" s="16" t="n">
        <v>45114</v>
      </c>
      <c r="B9330" s="17" t="s">
        <v>3861</v>
      </c>
      <c r="C9330" s="17" t="s">
        <v>3752</v>
      </c>
      <c r="D9330" s="17" t="s">
        <v>1407</v>
      </c>
      <c r="E9330" s="17" t="s">
        <v>3863</v>
      </c>
      <c r="F9330" s="17"/>
      <c r="G9330" s="18" t="n">
        <v>0</v>
      </c>
      <c r="H9330" s="18" t="n">
        <v>13.56</v>
      </c>
      <c r="I9330" s="18" t="n">
        <f aca="false">((I9329 + G9330) - H9330)</f>
        <v>81460.38</v>
      </c>
      <c r="J9330" s="18" t="n">
        <v>0</v>
      </c>
      <c r="K9330" s="19" t="n">
        <v>0</v>
      </c>
      <c r="L9330" s="17"/>
    </row>
    <row r="9331" s="11" customFormat="true" ht="10.95" hidden="false" customHeight="true" outlineLevel="0" collapsed="false">
      <c r="A9331" s="16" t="n">
        <v>45114</v>
      </c>
      <c r="B9331" s="17" t="s">
        <v>3861</v>
      </c>
      <c r="C9331" s="17" t="s">
        <v>3752</v>
      </c>
      <c r="D9331" s="17" t="s">
        <v>2903</v>
      </c>
      <c r="E9331" s="17" t="s">
        <v>3628</v>
      </c>
      <c r="F9331" s="17" t="s">
        <v>2198</v>
      </c>
      <c r="G9331" s="18" t="n">
        <v>0</v>
      </c>
      <c r="H9331" s="18" t="n">
        <v>152.15</v>
      </c>
      <c r="I9331" s="18" t="n">
        <f aca="false">((I9330 + G9331) - H9331)</f>
        <v>81308.23</v>
      </c>
      <c r="J9331" s="18" t="n">
        <v>0</v>
      </c>
      <c r="K9331" s="19" t="n">
        <v>0</v>
      </c>
      <c r="L9331" s="17"/>
    </row>
    <row r="9332" s="11" customFormat="true" ht="10.95" hidden="false" customHeight="true" outlineLevel="0" collapsed="false">
      <c r="A9332" s="16" t="n">
        <v>45114</v>
      </c>
      <c r="B9332" s="17" t="s">
        <v>3861</v>
      </c>
      <c r="C9332" s="17" t="s">
        <v>3752</v>
      </c>
      <c r="D9332" s="17" t="s">
        <v>1407</v>
      </c>
      <c r="E9332" s="17" t="s">
        <v>3772</v>
      </c>
      <c r="F9332" s="17"/>
      <c r="G9332" s="18" t="n">
        <v>0</v>
      </c>
      <c r="H9332" s="18" t="n">
        <v>43.71</v>
      </c>
      <c r="I9332" s="18" t="n">
        <f aca="false">((I9331 + G9332) - H9332)</f>
        <v>81264.52</v>
      </c>
      <c r="J9332" s="18" t="n">
        <v>0</v>
      </c>
      <c r="K9332" s="19" t="n">
        <v>0</v>
      </c>
      <c r="L9332" s="17"/>
    </row>
    <row r="9333" s="11" customFormat="true" ht="10.95" hidden="false" customHeight="true" outlineLevel="0" collapsed="false">
      <c r="A9333" s="16" t="n">
        <v>45114</v>
      </c>
      <c r="B9333" s="17" t="s">
        <v>3861</v>
      </c>
      <c r="C9333" s="17" t="s">
        <v>3752</v>
      </c>
      <c r="D9333" s="17" t="s">
        <v>2903</v>
      </c>
      <c r="E9333" s="17" t="s">
        <v>2904</v>
      </c>
      <c r="F9333" s="17" t="s">
        <v>2905</v>
      </c>
      <c r="G9333" s="18" t="n">
        <v>0</v>
      </c>
      <c r="H9333" s="18" t="n">
        <v>452.15</v>
      </c>
      <c r="I9333" s="18" t="n">
        <f aca="false">((I9332 + G9333) - H9333)</f>
        <v>80812.37</v>
      </c>
      <c r="J9333" s="18" t="n">
        <v>0</v>
      </c>
      <c r="K9333" s="19" t="n">
        <v>0</v>
      </c>
      <c r="L9333" s="17"/>
    </row>
    <row r="9334" s="11" customFormat="true" ht="10.95" hidden="false" customHeight="true" outlineLevel="0" collapsed="false">
      <c r="A9334" s="16" t="n">
        <v>45115</v>
      </c>
      <c r="B9334" s="17" t="s">
        <v>3861</v>
      </c>
      <c r="C9334" s="17" t="s">
        <v>3752</v>
      </c>
      <c r="D9334" s="17" t="s">
        <v>2903</v>
      </c>
      <c r="E9334" s="17" t="s">
        <v>3637</v>
      </c>
      <c r="F9334" s="17" t="s">
        <v>2622</v>
      </c>
      <c r="G9334" s="18" t="n">
        <v>0</v>
      </c>
      <c r="H9334" s="18" t="n">
        <v>774.73</v>
      </c>
      <c r="I9334" s="18" t="n">
        <f aca="false">((I9333 + G9334) - H9334)</f>
        <v>80037.64</v>
      </c>
      <c r="J9334" s="18" t="n">
        <v>0</v>
      </c>
      <c r="K9334" s="19" t="n">
        <v>0</v>
      </c>
      <c r="L9334" s="17"/>
    </row>
    <row r="9335" s="11" customFormat="true" ht="10.95" hidden="false" customHeight="true" outlineLevel="0" collapsed="false">
      <c r="A9335" s="16" t="n">
        <v>45115</v>
      </c>
      <c r="B9335" s="17" t="s">
        <v>3861</v>
      </c>
      <c r="C9335" s="17" t="s">
        <v>3752</v>
      </c>
      <c r="D9335" s="17" t="s">
        <v>1407</v>
      </c>
      <c r="E9335" s="17" t="s">
        <v>3863</v>
      </c>
      <c r="F9335" s="17"/>
      <c r="G9335" s="18" t="n">
        <v>0</v>
      </c>
      <c r="H9335" s="18" t="n">
        <v>7.14</v>
      </c>
      <c r="I9335" s="18" t="n">
        <f aca="false">((I9334 + G9335) - H9335)</f>
        <v>80030.5</v>
      </c>
      <c r="J9335" s="18" t="n">
        <v>0</v>
      </c>
      <c r="K9335" s="19" t="n">
        <v>0</v>
      </c>
      <c r="L9335" s="17"/>
    </row>
    <row r="9336" s="11" customFormat="true" ht="10.95" hidden="false" customHeight="true" outlineLevel="0" collapsed="false">
      <c r="A9336" s="16" t="n">
        <v>45115</v>
      </c>
      <c r="B9336" s="17" t="s">
        <v>3861</v>
      </c>
      <c r="C9336" s="17" t="s">
        <v>3752</v>
      </c>
      <c r="D9336" s="17" t="s">
        <v>1407</v>
      </c>
      <c r="E9336" s="17" t="s">
        <v>3889</v>
      </c>
      <c r="F9336" s="17"/>
      <c r="G9336" s="18" t="n">
        <v>0</v>
      </c>
      <c r="H9336" s="18" t="n">
        <v>825</v>
      </c>
      <c r="I9336" s="18" t="n">
        <f aca="false">((I9335 + G9336) - H9336)</f>
        <v>79205.5</v>
      </c>
      <c r="J9336" s="18" t="n">
        <v>0</v>
      </c>
      <c r="K9336" s="19" t="n">
        <v>0</v>
      </c>
      <c r="L9336" s="17"/>
    </row>
    <row r="9337" s="11" customFormat="true" ht="10.95" hidden="false" customHeight="true" outlineLevel="0" collapsed="false">
      <c r="A9337" s="16" t="n">
        <v>45115</v>
      </c>
      <c r="B9337" s="17" t="s">
        <v>3861</v>
      </c>
      <c r="C9337" s="17" t="s">
        <v>3752</v>
      </c>
      <c r="D9337" s="17" t="s">
        <v>1407</v>
      </c>
      <c r="E9337" s="17" t="s">
        <v>3681</v>
      </c>
      <c r="F9337" s="17"/>
      <c r="G9337" s="18" t="n">
        <v>0</v>
      </c>
      <c r="H9337" s="18" t="n">
        <v>237.99</v>
      </c>
      <c r="I9337" s="18" t="n">
        <f aca="false">((I9336 + G9337) - H9337)</f>
        <v>78967.51</v>
      </c>
      <c r="J9337" s="18" t="n">
        <v>0</v>
      </c>
      <c r="K9337" s="19" t="n">
        <v>0</v>
      </c>
      <c r="L9337" s="17"/>
    </row>
    <row r="9338" s="11" customFormat="true" ht="10.95" hidden="false" customHeight="true" outlineLevel="0" collapsed="false">
      <c r="A9338" s="16" t="n">
        <v>45117</v>
      </c>
      <c r="B9338" s="17" t="s">
        <v>3861</v>
      </c>
      <c r="C9338" s="17" t="s">
        <v>3752</v>
      </c>
      <c r="D9338" s="17" t="s">
        <v>2895</v>
      </c>
      <c r="E9338" s="17" t="s">
        <v>3403</v>
      </c>
      <c r="F9338" s="17" t="s">
        <v>3890</v>
      </c>
      <c r="G9338" s="18" t="n">
        <v>310.2</v>
      </c>
      <c r="H9338" s="18" t="n">
        <v>0</v>
      </c>
      <c r="I9338" s="18" t="n">
        <f aca="false">((I9337 + G9338) - H9338)</f>
        <v>79277.71</v>
      </c>
      <c r="J9338" s="18" t="n">
        <v>0</v>
      </c>
      <c r="K9338" s="19" t="n">
        <v>0</v>
      </c>
      <c r="L9338" s="17"/>
    </row>
    <row r="9339" s="11" customFormat="true" ht="10.95" hidden="false" customHeight="true" outlineLevel="0" collapsed="false">
      <c r="A9339" s="16" t="n">
        <v>45117</v>
      </c>
      <c r="B9339" s="17" t="s">
        <v>3861</v>
      </c>
      <c r="C9339" s="17" t="s">
        <v>3752</v>
      </c>
      <c r="D9339" s="17" t="s">
        <v>2895</v>
      </c>
      <c r="E9339" s="17" t="s">
        <v>3403</v>
      </c>
      <c r="F9339" s="17" t="s">
        <v>3891</v>
      </c>
      <c r="G9339" s="18" t="n">
        <v>517</v>
      </c>
      <c r="H9339" s="18" t="n">
        <v>0</v>
      </c>
      <c r="I9339" s="18" t="n">
        <f aca="false">((I9338 + G9339) - H9339)</f>
        <v>79794.71</v>
      </c>
      <c r="J9339" s="18" t="n">
        <v>0</v>
      </c>
      <c r="K9339" s="19" t="n">
        <v>0</v>
      </c>
      <c r="L9339" s="17"/>
    </row>
    <row r="9340" s="11" customFormat="true" ht="10.95" hidden="false" customHeight="true" outlineLevel="0" collapsed="false">
      <c r="A9340" s="16" t="n">
        <v>45117</v>
      </c>
      <c r="B9340" s="17" t="s">
        <v>3861</v>
      </c>
      <c r="C9340" s="17" t="s">
        <v>3752</v>
      </c>
      <c r="D9340" s="17" t="s">
        <v>2895</v>
      </c>
      <c r="E9340" s="17" t="s">
        <v>3403</v>
      </c>
      <c r="F9340" s="17" t="s">
        <v>3892</v>
      </c>
      <c r="G9340" s="18" t="n">
        <v>517</v>
      </c>
      <c r="H9340" s="18" t="n">
        <v>0</v>
      </c>
      <c r="I9340" s="18" t="n">
        <f aca="false">((I9339 + G9340) - H9340)</f>
        <v>80311.71</v>
      </c>
      <c r="J9340" s="18" t="n">
        <v>0</v>
      </c>
      <c r="K9340" s="19" t="n">
        <v>0</v>
      </c>
      <c r="L9340" s="17"/>
    </row>
    <row r="9341" s="11" customFormat="true" ht="10.95" hidden="false" customHeight="true" outlineLevel="0" collapsed="false">
      <c r="A9341" s="16" t="n">
        <v>45117</v>
      </c>
      <c r="B9341" s="17" t="s">
        <v>3861</v>
      </c>
      <c r="C9341" s="17" t="s">
        <v>3752</v>
      </c>
      <c r="D9341" s="17" t="s">
        <v>2895</v>
      </c>
      <c r="E9341" s="17" t="s">
        <v>3403</v>
      </c>
      <c r="F9341" s="17" t="s">
        <v>3893</v>
      </c>
      <c r="G9341" s="18" t="n">
        <v>316.8</v>
      </c>
      <c r="H9341" s="18" t="n">
        <v>0</v>
      </c>
      <c r="I9341" s="18" t="n">
        <f aca="false">((I9340 + G9341) - H9341)</f>
        <v>80628.51</v>
      </c>
      <c r="J9341" s="18" t="n">
        <v>0</v>
      </c>
      <c r="K9341" s="19" t="n">
        <v>0</v>
      </c>
      <c r="L9341" s="17"/>
    </row>
    <row r="9342" s="11" customFormat="true" ht="10.95" hidden="false" customHeight="true" outlineLevel="0" collapsed="false">
      <c r="A9342" s="16" t="n">
        <v>45117</v>
      </c>
      <c r="B9342" s="17" t="s">
        <v>3861</v>
      </c>
      <c r="C9342" s="17" t="s">
        <v>3752</v>
      </c>
      <c r="D9342" s="17" t="s">
        <v>2895</v>
      </c>
      <c r="E9342" s="17" t="s">
        <v>3403</v>
      </c>
      <c r="F9342" s="17" t="s">
        <v>3894</v>
      </c>
      <c r="G9342" s="18" t="n">
        <v>316.8</v>
      </c>
      <c r="H9342" s="18" t="n">
        <v>0</v>
      </c>
      <c r="I9342" s="18" t="n">
        <f aca="false">((I9341 + G9342) - H9342)</f>
        <v>80945.31</v>
      </c>
      <c r="J9342" s="18" t="n">
        <v>0</v>
      </c>
      <c r="K9342" s="19" t="n">
        <v>0</v>
      </c>
      <c r="L9342" s="17"/>
    </row>
    <row r="9343" s="11" customFormat="true" ht="10.95" hidden="false" customHeight="true" outlineLevel="0" collapsed="false">
      <c r="A9343" s="16" t="n">
        <v>45118</v>
      </c>
      <c r="B9343" s="17" t="s">
        <v>3861</v>
      </c>
      <c r="C9343" s="17" t="s">
        <v>3752</v>
      </c>
      <c r="D9343" s="17" t="s">
        <v>2895</v>
      </c>
      <c r="E9343" s="17" t="s">
        <v>3410</v>
      </c>
      <c r="F9343" s="17" t="s">
        <v>3895</v>
      </c>
      <c r="G9343" s="18" t="n">
        <v>968</v>
      </c>
      <c r="H9343" s="18" t="n">
        <v>0</v>
      </c>
      <c r="I9343" s="18" t="n">
        <f aca="false">((I9342 + G9343) - H9343)</f>
        <v>81913.31</v>
      </c>
      <c r="J9343" s="18" t="n">
        <v>0</v>
      </c>
      <c r="K9343" s="19" t="n">
        <v>0</v>
      </c>
      <c r="L9343" s="17"/>
    </row>
    <row r="9344" s="11" customFormat="true" ht="10.95" hidden="false" customHeight="true" outlineLevel="0" collapsed="false">
      <c r="A9344" s="16" t="n">
        <v>45118</v>
      </c>
      <c r="B9344" s="17" t="s">
        <v>3861</v>
      </c>
      <c r="C9344" s="17" t="s">
        <v>3752</v>
      </c>
      <c r="D9344" s="17" t="s">
        <v>2903</v>
      </c>
      <c r="E9344" s="17" t="s">
        <v>3640</v>
      </c>
      <c r="F9344" s="17" t="s">
        <v>1642</v>
      </c>
      <c r="G9344" s="18" t="n">
        <v>0</v>
      </c>
      <c r="H9344" s="18" t="n">
        <v>40</v>
      </c>
      <c r="I9344" s="18" t="n">
        <f aca="false">((I9343 + G9344) - H9344)</f>
        <v>81873.31</v>
      </c>
      <c r="J9344" s="18" t="n">
        <v>0</v>
      </c>
      <c r="K9344" s="19" t="n">
        <v>0</v>
      </c>
      <c r="L9344" s="17"/>
    </row>
    <row r="9345" s="11" customFormat="true" ht="10.95" hidden="false" customHeight="true" outlineLevel="0" collapsed="false">
      <c r="A9345" s="16" t="n">
        <v>45118</v>
      </c>
      <c r="B9345" s="17" t="s">
        <v>3861</v>
      </c>
      <c r="C9345" s="17" t="s">
        <v>3752</v>
      </c>
      <c r="D9345" s="17" t="s">
        <v>1407</v>
      </c>
      <c r="E9345" s="17" t="s">
        <v>3896</v>
      </c>
      <c r="F9345" s="17"/>
      <c r="G9345" s="18" t="n">
        <v>0</v>
      </c>
      <c r="H9345" s="18" t="n">
        <v>18.99</v>
      </c>
      <c r="I9345" s="18" t="n">
        <f aca="false">((I9344 + G9345) - H9345)</f>
        <v>81854.32</v>
      </c>
      <c r="J9345" s="18" t="n">
        <v>0</v>
      </c>
      <c r="K9345" s="19" t="n">
        <v>0</v>
      </c>
      <c r="L9345" s="17"/>
    </row>
    <row r="9346" s="11" customFormat="true" ht="10.95" hidden="false" customHeight="true" outlineLevel="0" collapsed="false">
      <c r="A9346" s="16" t="n">
        <v>45118</v>
      </c>
      <c r="B9346" s="17" t="s">
        <v>3861</v>
      </c>
      <c r="C9346" s="17" t="s">
        <v>3752</v>
      </c>
      <c r="D9346" s="17" t="s">
        <v>1407</v>
      </c>
      <c r="E9346" s="17" t="s">
        <v>3621</v>
      </c>
      <c r="F9346" s="17"/>
      <c r="G9346" s="18" t="n">
        <v>0</v>
      </c>
      <c r="H9346" s="18" t="n">
        <v>104.95</v>
      </c>
      <c r="I9346" s="18" t="n">
        <f aca="false">((I9345 + G9346) - H9346)</f>
        <v>81749.37</v>
      </c>
      <c r="J9346" s="18" t="n">
        <v>0</v>
      </c>
      <c r="K9346" s="19" t="n">
        <v>0</v>
      </c>
      <c r="L9346" s="17"/>
    </row>
    <row r="9347" s="11" customFormat="true" ht="10.95" hidden="false" customHeight="true" outlineLevel="0" collapsed="false">
      <c r="A9347" s="16" t="n">
        <v>45118</v>
      </c>
      <c r="B9347" s="17" t="s">
        <v>3861</v>
      </c>
      <c r="C9347" s="17" t="s">
        <v>3752</v>
      </c>
      <c r="D9347" s="17" t="s">
        <v>1407</v>
      </c>
      <c r="E9347" s="17" t="s">
        <v>3863</v>
      </c>
      <c r="F9347" s="17"/>
      <c r="G9347" s="18" t="n">
        <v>0</v>
      </c>
      <c r="H9347" s="18" t="n">
        <v>110.09</v>
      </c>
      <c r="I9347" s="18" t="n">
        <f aca="false">((I9346 + G9347) - H9347)</f>
        <v>81639.28</v>
      </c>
      <c r="J9347" s="18" t="n">
        <v>0</v>
      </c>
      <c r="K9347" s="19" t="n">
        <v>0</v>
      </c>
      <c r="L9347" s="17"/>
    </row>
    <row r="9348" s="11" customFormat="true" ht="10.95" hidden="false" customHeight="true" outlineLevel="0" collapsed="false">
      <c r="A9348" s="16" t="n">
        <v>45118</v>
      </c>
      <c r="B9348" s="17" t="s">
        <v>3861</v>
      </c>
      <c r="C9348" s="17" t="s">
        <v>3752</v>
      </c>
      <c r="D9348" s="17" t="s">
        <v>2903</v>
      </c>
      <c r="E9348" s="17" t="s">
        <v>2904</v>
      </c>
      <c r="F9348" s="17" t="s">
        <v>1405</v>
      </c>
      <c r="G9348" s="18" t="n">
        <v>0</v>
      </c>
      <c r="H9348" s="18" t="n">
        <v>3669.82</v>
      </c>
      <c r="I9348" s="18" t="n">
        <f aca="false">((I9347 + G9348) - H9348)</f>
        <v>77969.46</v>
      </c>
      <c r="J9348" s="18" t="n">
        <v>0</v>
      </c>
      <c r="K9348" s="19" t="n">
        <v>0</v>
      </c>
      <c r="L9348" s="17"/>
    </row>
    <row r="9349" s="11" customFormat="true" ht="10.95" hidden="false" customHeight="true" outlineLevel="0" collapsed="false">
      <c r="A9349" s="16" t="n">
        <v>45118</v>
      </c>
      <c r="B9349" s="17" t="s">
        <v>3861</v>
      </c>
      <c r="C9349" s="17" t="s">
        <v>3752</v>
      </c>
      <c r="D9349" s="17" t="s">
        <v>1407</v>
      </c>
      <c r="E9349" s="17" t="s">
        <v>3736</v>
      </c>
      <c r="F9349" s="17"/>
      <c r="G9349" s="18" t="n">
        <v>0</v>
      </c>
      <c r="H9349" s="18" t="n">
        <v>12.99</v>
      </c>
      <c r="I9349" s="18" t="n">
        <f aca="false">((I9348 + G9349) - H9349)</f>
        <v>77956.47</v>
      </c>
      <c r="J9349" s="18" t="n">
        <v>0</v>
      </c>
      <c r="K9349" s="19" t="n">
        <v>0</v>
      </c>
      <c r="L9349" s="17"/>
    </row>
    <row r="9350" s="11" customFormat="true" ht="10.95" hidden="false" customHeight="true" outlineLevel="0" collapsed="false">
      <c r="A9350" s="16" t="n">
        <v>45118</v>
      </c>
      <c r="B9350" s="17" t="s">
        <v>3861</v>
      </c>
      <c r="C9350" s="17" t="s">
        <v>3752</v>
      </c>
      <c r="D9350" s="17" t="s">
        <v>1407</v>
      </c>
      <c r="E9350" s="17" t="s">
        <v>3642</v>
      </c>
      <c r="F9350" s="17"/>
      <c r="G9350" s="18" t="n">
        <v>0</v>
      </c>
      <c r="H9350" s="18" t="n">
        <v>9.02</v>
      </c>
      <c r="I9350" s="18" t="n">
        <f aca="false">((I9349 + G9350) - H9350)</f>
        <v>77947.45</v>
      </c>
      <c r="J9350" s="18" t="n">
        <v>0</v>
      </c>
      <c r="K9350" s="19" t="n">
        <v>0</v>
      </c>
      <c r="L9350" s="17"/>
    </row>
    <row r="9351" s="11" customFormat="true" ht="10.95" hidden="false" customHeight="true" outlineLevel="0" collapsed="false">
      <c r="A9351" s="16" t="n">
        <v>45118</v>
      </c>
      <c r="B9351" s="17" t="s">
        <v>3861</v>
      </c>
      <c r="C9351" s="17" t="s">
        <v>3752</v>
      </c>
      <c r="D9351" s="17" t="s">
        <v>1407</v>
      </c>
      <c r="E9351" s="17" t="s">
        <v>3717</v>
      </c>
      <c r="F9351" s="17"/>
      <c r="G9351" s="18" t="n">
        <v>0</v>
      </c>
      <c r="H9351" s="18" t="n">
        <v>347.99</v>
      </c>
      <c r="I9351" s="18" t="n">
        <f aca="false">((I9350 + G9351) - H9351)</f>
        <v>77599.46</v>
      </c>
      <c r="J9351" s="18" t="n">
        <v>0</v>
      </c>
      <c r="K9351" s="19" t="n">
        <v>0</v>
      </c>
      <c r="L9351" s="17"/>
    </row>
    <row r="9352" s="11" customFormat="true" ht="10.95" hidden="false" customHeight="true" outlineLevel="0" collapsed="false">
      <c r="A9352" s="16" t="n">
        <v>45118</v>
      </c>
      <c r="B9352" s="17" t="s">
        <v>3861</v>
      </c>
      <c r="C9352" s="17" t="s">
        <v>3752</v>
      </c>
      <c r="D9352" s="17" t="s">
        <v>1407</v>
      </c>
      <c r="E9352" s="17" t="s">
        <v>3717</v>
      </c>
      <c r="F9352" s="17"/>
      <c r="G9352" s="18" t="n">
        <v>0</v>
      </c>
      <c r="H9352" s="18" t="n">
        <v>517.15</v>
      </c>
      <c r="I9352" s="18" t="n">
        <f aca="false">((I9351 + G9352) - H9352)</f>
        <v>77082.31</v>
      </c>
      <c r="J9352" s="18" t="n">
        <v>0</v>
      </c>
      <c r="K9352" s="19" t="n">
        <v>0</v>
      </c>
      <c r="L9352" s="17"/>
    </row>
    <row r="9353" s="11" customFormat="true" ht="10.95" hidden="false" customHeight="true" outlineLevel="0" collapsed="false">
      <c r="A9353" s="16" t="n">
        <v>45119</v>
      </c>
      <c r="B9353" s="17" t="s">
        <v>3861</v>
      </c>
      <c r="C9353" s="17" t="s">
        <v>3752</v>
      </c>
      <c r="D9353" s="17" t="s">
        <v>2895</v>
      </c>
      <c r="E9353" s="17" t="s">
        <v>2906</v>
      </c>
      <c r="F9353" s="17" t="s">
        <v>2907</v>
      </c>
      <c r="G9353" s="18" t="n">
        <v>3050.39</v>
      </c>
      <c r="H9353" s="18" t="n">
        <v>0</v>
      </c>
      <c r="I9353" s="18" t="n">
        <f aca="false">((I9352 + G9353) - H9353)</f>
        <v>80132.7</v>
      </c>
      <c r="J9353" s="18" t="n">
        <v>0</v>
      </c>
      <c r="K9353" s="19" t="n">
        <v>0</v>
      </c>
      <c r="L9353" s="17"/>
    </row>
    <row r="9354" s="11" customFormat="true" ht="10.95" hidden="false" customHeight="true" outlineLevel="0" collapsed="false">
      <c r="A9354" s="16" t="n">
        <v>45119</v>
      </c>
      <c r="B9354" s="17" t="s">
        <v>3861</v>
      </c>
      <c r="C9354" s="17" t="s">
        <v>3752</v>
      </c>
      <c r="D9354" s="17" t="s">
        <v>1407</v>
      </c>
      <c r="E9354" s="17" t="s">
        <v>3897</v>
      </c>
      <c r="F9354" s="17"/>
      <c r="G9354" s="18" t="n">
        <v>0</v>
      </c>
      <c r="H9354" s="18" t="n">
        <v>30</v>
      </c>
      <c r="I9354" s="18" t="n">
        <f aca="false">((I9353 + G9354) - H9354)</f>
        <v>80102.7</v>
      </c>
      <c r="J9354" s="18" t="n">
        <v>0</v>
      </c>
      <c r="K9354" s="19" t="n">
        <v>0</v>
      </c>
      <c r="L9354" s="17"/>
    </row>
    <row r="9355" s="11" customFormat="true" ht="10.95" hidden="false" customHeight="true" outlineLevel="0" collapsed="false">
      <c r="A9355" s="16" t="n">
        <v>45119</v>
      </c>
      <c r="B9355" s="17" t="s">
        <v>3861</v>
      </c>
      <c r="C9355" s="17" t="s">
        <v>3752</v>
      </c>
      <c r="D9355" s="17" t="s">
        <v>1407</v>
      </c>
      <c r="E9355" s="17" t="s">
        <v>3878</v>
      </c>
      <c r="F9355" s="17"/>
      <c r="G9355" s="18" t="n">
        <v>0</v>
      </c>
      <c r="H9355" s="18" t="n">
        <v>1108</v>
      </c>
      <c r="I9355" s="18" t="n">
        <f aca="false">((I9354 + G9355) - H9355)</f>
        <v>78994.7</v>
      </c>
      <c r="J9355" s="18" t="n">
        <v>0</v>
      </c>
      <c r="K9355" s="19" t="n">
        <v>0</v>
      </c>
      <c r="L9355" s="17"/>
    </row>
    <row r="9356" s="11" customFormat="true" ht="10.95" hidden="false" customHeight="true" outlineLevel="0" collapsed="false">
      <c r="A9356" s="16" t="n">
        <v>45119</v>
      </c>
      <c r="B9356" s="17" t="s">
        <v>3861</v>
      </c>
      <c r="C9356" s="17" t="s">
        <v>3752</v>
      </c>
      <c r="D9356" s="17" t="s">
        <v>1407</v>
      </c>
      <c r="E9356" s="17" t="s">
        <v>3879</v>
      </c>
      <c r="F9356" s="17"/>
      <c r="G9356" s="18" t="n">
        <v>0</v>
      </c>
      <c r="H9356" s="18" t="n">
        <v>1114</v>
      </c>
      <c r="I9356" s="18" t="n">
        <f aca="false">((I9355 + G9356) - H9356)</f>
        <v>77880.7</v>
      </c>
      <c r="J9356" s="18" t="n">
        <v>0</v>
      </c>
      <c r="K9356" s="19" t="n">
        <v>0</v>
      </c>
      <c r="L9356" s="17"/>
    </row>
    <row r="9357" s="11" customFormat="true" ht="10.95" hidden="false" customHeight="true" outlineLevel="0" collapsed="false">
      <c r="A9357" s="16" t="n">
        <v>45119</v>
      </c>
      <c r="B9357" s="17" t="s">
        <v>3861</v>
      </c>
      <c r="C9357" s="17" t="s">
        <v>3752</v>
      </c>
      <c r="D9357" s="17" t="s">
        <v>1407</v>
      </c>
      <c r="E9357" s="17" t="s">
        <v>3880</v>
      </c>
      <c r="F9357" s="17"/>
      <c r="G9357" s="18" t="n">
        <v>0</v>
      </c>
      <c r="H9357" s="18" t="n">
        <v>1114</v>
      </c>
      <c r="I9357" s="18" t="n">
        <f aca="false">((I9356 + G9357) - H9357)</f>
        <v>76766.7</v>
      </c>
      <c r="J9357" s="18" t="n">
        <v>0</v>
      </c>
      <c r="K9357" s="19" t="n">
        <v>0</v>
      </c>
      <c r="L9357" s="17"/>
    </row>
    <row r="9358" s="11" customFormat="true" ht="10.95" hidden="false" customHeight="true" outlineLevel="0" collapsed="false">
      <c r="A9358" s="16" t="n">
        <v>45119</v>
      </c>
      <c r="B9358" s="17" t="s">
        <v>3861</v>
      </c>
      <c r="C9358" s="17" t="s">
        <v>3752</v>
      </c>
      <c r="D9358" s="17" t="s">
        <v>1407</v>
      </c>
      <c r="E9358" s="17" t="s">
        <v>3808</v>
      </c>
      <c r="F9358" s="17"/>
      <c r="G9358" s="18" t="n">
        <v>0</v>
      </c>
      <c r="H9358" s="18" t="n">
        <v>1568.39</v>
      </c>
      <c r="I9358" s="18" t="n">
        <f aca="false">((I9357 + G9358) - H9358)</f>
        <v>75198.31</v>
      </c>
      <c r="J9358" s="18" t="n">
        <v>0</v>
      </c>
      <c r="K9358" s="19" t="n">
        <v>0</v>
      </c>
      <c r="L9358" s="17"/>
    </row>
    <row r="9359" s="11" customFormat="true" ht="10.95" hidden="false" customHeight="true" outlineLevel="0" collapsed="false">
      <c r="A9359" s="16" t="n">
        <v>45120</v>
      </c>
      <c r="B9359" s="17" t="s">
        <v>3861</v>
      </c>
      <c r="C9359" s="17" t="s">
        <v>3752</v>
      </c>
      <c r="D9359" s="17" t="s">
        <v>2903</v>
      </c>
      <c r="E9359" s="17" t="s">
        <v>2908</v>
      </c>
      <c r="F9359" s="17" t="s">
        <v>2207</v>
      </c>
      <c r="G9359" s="18" t="n">
        <v>0</v>
      </c>
      <c r="H9359" s="18" t="n">
        <v>453.79</v>
      </c>
      <c r="I9359" s="18" t="n">
        <f aca="false">((I9358 + G9359) - H9359)</f>
        <v>74744.52</v>
      </c>
      <c r="J9359" s="18" t="n">
        <v>0</v>
      </c>
      <c r="K9359" s="19" t="n">
        <v>0</v>
      </c>
      <c r="L9359" s="17"/>
    </row>
    <row r="9360" s="11" customFormat="true" ht="10.95" hidden="false" customHeight="true" outlineLevel="0" collapsed="false">
      <c r="A9360" s="16" t="n">
        <v>45120</v>
      </c>
      <c r="B9360" s="17" t="s">
        <v>3861</v>
      </c>
      <c r="C9360" s="17" t="s">
        <v>3752</v>
      </c>
      <c r="D9360" s="17" t="s">
        <v>1407</v>
      </c>
      <c r="E9360" s="17" t="s">
        <v>2747</v>
      </c>
      <c r="F9360" s="17"/>
      <c r="G9360" s="18" t="n">
        <v>0</v>
      </c>
      <c r="H9360" s="18" t="n">
        <v>7</v>
      </c>
      <c r="I9360" s="18" t="n">
        <f aca="false">((I9359 + G9360) - H9360)</f>
        <v>74737.52</v>
      </c>
      <c r="J9360" s="18" t="n">
        <v>0</v>
      </c>
      <c r="K9360" s="19" t="n">
        <v>0</v>
      </c>
      <c r="L9360" s="17"/>
    </row>
    <row r="9361" s="11" customFormat="true" ht="10.95" hidden="false" customHeight="true" outlineLevel="0" collapsed="false">
      <c r="A9361" s="16" t="n">
        <v>45120</v>
      </c>
      <c r="B9361" s="17" t="s">
        <v>3861</v>
      </c>
      <c r="C9361" s="17" t="s">
        <v>3752</v>
      </c>
      <c r="D9361" s="17" t="s">
        <v>1407</v>
      </c>
      <c r="E9361" s="17" t="s">
        <v>3863</v>
      </c>
      <c r="F9361" s="17"/>
      <c r="G9361" s="18" t="n">
        <v>0</v>
      </c>
      <c r="H9361" s="18" t="n">
        <v>13.61</v>
      </c>
      <c r="I9361" s="18" t="n">
        <f aca="false">((I9360 + G9361) - H9361)</f>
        <v>74723.91</v>
      </c>
      <c r="J9361" s="18" t="n">
        <v>0</v>
      </c>
      <c r="K9361" s="19" t="n">
        <v>0</v>
      </c>
      <c r="L9361" s="17"/>
    </row>
    <row r="9362" s="11" customFormat="true" ht="10.95" hidden="false" customHeight="true" outlineLevel="0" collapsed="false">
      <c r="A9362" s="16" t="n">
        <v>45120</v>
      </c>
      <c r="B9362" s="17" t="s">
        <v>3861</v>
      </c>
      <c r="C9362" s="17" t="s">
        <v>3752</v>
      </c>
      <c r="D9362" s="17" t="s">
        <v>1407</v>
      </c>
      <c r="E9362" s="17" t="s">
        <v>3898</v>
      </c>
      <c r="F9362" s="17"/>
      <c r="G9362" s="18" t="n">
        <v>0</v>
      </c>
      <c r="H9362" s="18" t="n">
        <v>101.01</v>
      </c>
      <c r="I9362" s="18" t="n">
        <f aca="false">((I9361 + G9362) - H9362)</f>
        <v>74622.9</v>
      </c>
      <c r="J9362" s="18" t="n">
        <v>0</v>
      </c>
      <c r="K9362" s="19" t="n">
        <v>0</v>
      </c>
      <c r="L9362" s="17"/>
    </row>
    <row r="9363" s="11" customFormat="true" ht="10.95" hidden="false" customHeight="true" outlineLevel="0" collapsed="false">
      <c r="A9363" s="16" t="n">
        <v>45120</v>
      </c>
      <c r="B9363" s="17" t="s">
        <v>3861</v>
      </c>
      <c r="C9363" s="17" t="s">
        <v>3752</v>
      </c>
      <c r="D9363" s="17" t="s">
        <v>1407</v>
      </c>
      <c r="E9363" s="17" t="s">
        <v>3647</v>
      </c>
      <c r="F9363" s="17" t="s">
        <v>1409</v>
      </c>
      <c r="G9363" s="18" t="n">
        <v>0</v>
      </c>
      <c r="H9363" s="18" t="n">
        <v>1360.07</v>
      </c>
      <c r="I9363" s="18" t="n">
        <f aca="false">((I9362 + G9363) - H9363)</f>
        <v>73262.83</v>
      </c>
      <c r="J9363" s="18" t="n">
        <v>0</v>
      </c>
      <c r="K9363" s="19" t="n">
        <v>0</v>
      </c>
      <c r="L9363" s="17"/>
    </row>
    <row r="9364" s="11" customFormat="true" ht="10.95" hidden="false" customHeight="true" outlineLevel="0" collapsed="false">
      <c r="A9364" s="16" t="n">
        <v>45120</v>
      </c>
      <c r="B9364" s="17" t="s">
        <v>3861</v>
      </c>
      <c r="C9364" s="17" t="s">
        <v>3752</v>
      </c>
      <c r="D9364" s="17" t="s">
        <v>1407</v>
      </c>
      <c r="E9364" s="17" t="s">
        <v>3881</v>
      </c>
      <c r="F9364" s="17"/>
      <c r="G9364" s="18" t="n">
        <v>0</v>
      </c>
      <c r="H9364" s="18" t="n">
        <v>480</v>
      </c>
      <c r="I9364" s="18" t="n">
        <f aca="false">((I9363 + G9364) - H9364)</f>
        <v>72782.83</v>
      </c>
      <c r="J9364" s="18" t="n">
        <v>0</v>
      </c>
      <c r="K9364" s="19" t="n">
        <v>0</v>
      </c>
      <c r="L9364" s="17"/>
    </row>
    <row r="9365" s="11" customFormat="true" ht="10.95" hidden="false" customHeight="true" outlineLevel="0" collapsed="false">
      <c r="A9365" s="16" t="n">
        <v>45121</v>
      </c>
      <c r="B9365" s="17" t="s">
        <v>3861</v>
      </c>
      <c r="C9365" s="17" t="s">
        <v>3752</v>
      </c>
      <c r="D9365" s="17" t="s">
        <v>1407</v>
      </c>
      <c r="E9365" s="17" t="s">
        <v>2747</v>
      </c>
      <c r="F9365" s="17"/>
      <c r="G9365" s="18" t="n">
        <v>0</v>
      </c>
      <c r="H9365" s="18" t="n">
        <v>7</v>
      </c>
      <c r="I9365" s="18" t="n">
        <f aca="false">((I9364 + G9365) - H9365)</f>
        <v>72775.83</v>
      </c>
      <c r="J9365" s="18" t="n">
        <v>0</v>
      </c>
      <c r="K9365" s="19" t="n">
        <v>0</v>
      </c>
      <c r="L9365" s="17"/>
    </row>
    <row r="9366" s="11" customFormat="true" ht="10.95" hidden="false" customHeight="true" outlineLevel="0" collapsed="false">
      <c r="A9366" s="16" t="n">
        <v>45122</v>
      </c>
      <c r="B9366" s="17" t="s">
        <v>3861</v>
      </c>
      <c r="C9366" s="17" t="s">
        <v>3752</v>
      </c>
      <c r="D9366" s="17" t="s">
        <v>1407</v>
      </c>
      <c r="E9366" s="17" t="s">
        <v>3863</v>
      </c>
      <c r="F9366" s="17"/>
      <c r="G9366" s="18" t="n">
        <v>0</v>
      </c>
      <c r="H9366" s="18" t="n">
        <v>0.6</v>
      </c>
      <c r="I9366" s="18" t="n">
        <f aca="false">((I9365 + G9366) - H9366)</f>
        <v>72775.23</v>
      </c>
      <c r="J9366" s="18" t="n">
        <v>0</v>
      </c>
      <c r="K9366" s="19" t="n">
        <v>0</v>
      </c>
      <c r="L9366" s="17"/>
    </row>
    <row r="9367" s="11" customFormat="true" ht="10.95" hidden="false" customHeight="true" outlineLevel="0" collapsed="false">
      <c r="A9367" s="16" t="n">
        <v>45122</v>
      </c>
      <c r="B9367" s="17" t="s">
        <v>3861</v>
      </c>
      <c r="C9367" s="17" t="s">
        <v>3752</v>
      </c>
      <c r="D9367" s="17" t="s">
        <v>1407</v>
      </c>
      <c r="E9367" s="17" t="s">
        <v>3899</v>
      </c>
      <c r="F9367" s="17"/>
      <c r="G9367" s="18" t="n">
        <v>0</v>
      </c>
      <c r="H9367" s="18" t="n">
        <v>15.91</v>
      </c>
      <c r="I9367" s="18" t="n">
        <f aca="false">((I9366 + G9367) - H9367)</f>
        <v>72759.32</v>
      </c>
      <c r="J9367" s="18" t="n">
        <v>0</v>
      </c>
      <c r="K9367" s="19" t="n">
        <v>0</v>
      </c>
      <c r="L9367" s="17"/>
    </row>
    <row r="9368" s="11" customFormat="true" ht="10.95" hidden="false" customHeight="true" outlineLevel="0" collapsed="false">
      <c r="A9368" s="16" t="n">
        <v>45122</v>
      </c>
      <c r="B9368" s="17" t="s">
        <v>3861</v>
      </c>
      <c r="C9368" s="17" t="s">
        <v>3752</v>
      </c>
      <c r="D9368" s="17" t="s">
        <v>1407</v>
      </c>
      <c r="E9368" s="17" t="s">
        <v>3900</v>
      </c>
      <c r="F9368" s="17"/>
      <c r="G9368" s="18" t="n">
        <v>0</v>
      </c>
      <c r="H9368" s="18" t="n">
        <v>14.99</v>
      </c>
      <c r="I9368" s="18" t="n">
        <f aca="false">((I9367 + G9368) - H9368)</f>
        <v>72744.33</v>
      </c>
      <c r="J9368" s="18" t="n">
        <v>0</v>
      </c>
      <c r="K9368" s="19" t="n">
        <v>0</v>
      </c>
      <c r="L9368" s="17"/>
    </row>
    <row r="9369" s="11" customFormat="true" ht="10.95" hidden="false" customHeight="true" outlineLevel="0" collapsed="false">
      <c r="A9369" s="16" t="n">
        <v>45122</v>
      </c>
      <c r="B9369" s="17" t="s">
        <v>3861</v>
      </c>
      <c r="C9369" s="17" t="s">
        <v>3752</v>
      </c>
      <c r="D9369" s="17" t="s">
        <v>1407</v>
      </c>
      <c r="E9369" s="17" t="s">
        <v>3757</v>
      </c>
      <c r="F9369" s="17"/>
      <c r="G9369" s="18" t="n">
        <v>0</v>
      </c>
      <c r="H9369" s="18" t="n">
        <v>19.87</v>
      </c>
      <c r="I9369" s="18" t="n">
        <f aca="false">((I9368 + G9369) - H9369)</f>
        <v>72724.46</v>
      </c>
      <c r="J9369" s="18" t="n">
        <v>0</v>
      </c>
      <c r="K9369" s="19" t="n">
        <v>0</v>
      </c>
      <c r="L9369" s="17"/>
    </row>
    <row r="9370" s="11" customFormat="true" ht="10.95" hidden="false" customHeight="true" outlineLevel="0" collapsed="false">
      <c r="A9370" s="16" t="n">
        <v>45124</v>
      </c>
      <c r="B9370" s="17" t="s">
        <v>3861</v>
      </c>
      <c r="C9370" s="17" t="s">
        <v>3752</v>
      </c>
      <c r="D9370" s="17" t="s">
        <v>1276</v>
      </c>
      <c r="E9370" s="17" t="s">
        <v>3449</v>
      </c>
      <c r="F9370" s="17" t="s">
        <v>1282</v>
      </c>
      <c r="G9370" s="18" t="n">
        <v>30.19</v>
      </c>
      <c r="H9370" s="18" t="n">
        <v>0</v>
      </c>
      <c r="I9370" s="18" t="n">
        <f aca="false">((I9369 + G9370) - H9370)</f>
        <v>72754.65</v>
      </c>
      <c r="J9370" s="18" t="n">
        <v>0</v>
      </c>
      <c r="K9370" s="19" t="n">
        <v>0</v>
      </c>
      <c r="L9370" s="17"/>
    </row>
    <row r="9371" s="11" customFormat="true" ht="10.95" hidden="false" customHeight="true" outlineLevel="0" collapsed="false">
      <c r="A9371" s="16" t="n">
        <v>45124</v>
      </c>
      <c r="B9371" s="17" t="s">
        <v>3861</v>
      </c>
      <c r="C9371" s="17" t="s">
        <v>3752</v>
      </c>
      <c r="D9371" s="17" t="s">
        <v>2895</v>
      </c>
      <c r="E9371" s="17" t="s">
        <v>2897</v>
      </c>
      <c r="F9371" s="17" t="s">
        <v>1282</v>
      </c>
      <c r="G9371" s="18" t="n">
        <v>1687.13</v>
      </c>
      <c r="H9371" s="18" t="n">
        <v>0</v>
      </c>
      <c r="I9371" s="18" t="n">
        <f aca="false">((I9370 + G9371) - H9371)</f>
        <v>74441.78</v>
      </c>
      <c r="J9371" s="18" t="n">
        <v>0</v>
      </c>
      <c r="K9371" s="19" t="n">
        <v>0</v>
      </c>
      <c r="L9371" s="17"/>
    </row>
    <row r="9372" s="11" customFormat="true" ht="10.95" hidden="false" customHeight="true" outlineLevel="0" collapsed="false">
      <c r="A9372" s="16" t="n">
        <v>45124</v>
      </c>
      <c r="B9372" s="17" t="s">
        <v>3861</v>
      </c>
      <c r="C9372" s="17" t="s">
        <v>3752</v>
      </c>
      <c r="D9372" s="17" t="s">
        <v>1407</v>
      </c>
      <c r="E9372" s="17" t="s">
        <v>3862</v>
      </c>
      <c r="F9372" s="17" t="s">
        <v>1282</v>
      </c>
      <c r="G9372" s="18" t="n">
        <v>0</v>
      </c>
      <c r="H9372" s="18" t="n">
        <v>50.08</v>
      </c>
      <c r="I9372" s="18" t="n">
        <f aca="false">((I9371 + G9372) - H9372)</f>
        <v>74391.7</v>
      </c>
      <c r="J9372" s="18" t="n">
        <v>0</v>
      </c>
      <c r="K9372" s="19" t="n">
        <v>0</v>
      </c>
      <c r="L9372" s="17"/>
    </row>
    <row r="9373" s="11" customFormat="true" ht="10.95" hidden="false" customHeight="true" outlineLevel="0" collapsed="false">
      <c r="A9373" s="16" t="n">
        <v>45124</v>
      </c>
      <c r="B9373" s="17" t="s">
        <v>3861</v>
      </c>
      <c r="C9373" s="17" t="s">
        <v>3752</v>
      </c>
      <c r="D9373" s="17" t="s">
        <v>2903</v>
      </c>
      <c r="E9373" s="17" t="s">
        <v>3616</v>
      </c>
      <c r="F9373" s="17" t="s">
        <v>3187</v>
      </c>
      <c r="G9373" s="18" t="n">
        <v>0</v>
      </c>
      <c r="H9373" s="18" t="n">
        <v>218.9</v>
      </c>
      <c r="I9373" s="18" t="n">
        <f aca="false">((I9372 + G9373) - H9373)</f>
        <v>74172.8</v>
      </c>
      <c r="J9373" s="18" t="n">
        <v>0</v>
      </c>
      <c r="K9373" s="19" t="n">
        <v>0</v>
      </c>
      <c r="L9373" s="17"/>
    </row>
    <row r="9374" s="11" customFormat="true" ht="10.95" hidden="false" customHeight="true" outlineLevel="0" collapsed="false">
      <c r="A9374" s="16" t="n">
        <v>45125</v>
      </c>
      <c r="B9374" s="17" t="s">
        <v>3861</v>
      </c>
      <c r="C9374" s="17" t="s">
        <v>3752</v>
      </c>
      <c r="D9374" s="17" t="s">
        <v>1407</v>
      </c>
      <c r="E9374" s="17" t="s">
        <v>3863</v>
      </c>
      <c r="F9374" s="17"/>
      <c r="G9374" s="18" t="n">
        <v>0</v>
      </c>
      <c r="H9374" s="18" t="n">
        <v>4.74</v>
      </c>
      <c r="I9374" s="18" t="n">
        <f aca="false">((I9373 + G9374) - H9374)</f>
        <v>74168.06</v>
      </c>
      <c r="J9374" s="18" t="n">
        <v>0</v>
      </c>
      <c r="K9374" s="19" t="n">
        <v>0</v>
      </c>
      <c r="L9374" s="17"/>
    </row>
    <row r="9375" s="11" customFormat="true" ht="10.95" hidden="false" customHeight="true" outlineLevel="0" collapsed="false">
      <c r="A9375" s="16" t="n">
        <v>45125</v>
      </c>
      <c r="B9375" s="17" t="s">
        <v>3861</v>
      </c>
      <c r="C9375" s="17" t="s">
        <v>3752</v>
      </c>
      <c r="D9375" s="17" t="s">
        <v>1407</v>
      </c>
      <c r="E9375" s="17" t="s">
        <v>3901</v>
      </c>
      <c r="F9375" s="17"/>
      <c r="G9375" s="18" t="n">
        <v>0</v>
      </c>
      <c r="H9375" s="18" t="n">
        <v>78.92</v>
      </c>
      <c r="I9375" s="18" t="n">
        <f aca="false">((I9374 + G9375) - H9375)</f>
        <v>74089.14</v>
      </c>
      <c r="J9375" s="18" t="n">
        <v>0</v>
      </c>
      <c r="K9375" s="19" t="n">
        <v>0</v>
      </c>
      <c r="L9375" s="17"/>
    </row>
    <row r="9376" s="11" customFormat="true" ht="10.95" hidden="false" customHeight="true" outlineLevel="0" collapsed="false">
      <c r="A9376" s="16" t="n">
        <v>45125</v>
      </c>
      <c r="B9376" s="17" t="s">
        <v>3861</v>
      </c>
      <c r="C9376" s="17" t="s">
        <v>3752</v>
      </c>
      <c r="D9376" s="17" t="s">
        <v>1407</v>
      </c>
      <c r="E9376" s="17" t="s">
        <v>3776</v>
      </c>
      <c r="F9376" s="17"/>
      <c r="G9376" s="18" t="n">
        <v>0</v>
      </c>
      <c r="H9376" s="18" t="n">
        <v>158.12</v>
      </c>
      <c r="I9376" s="18" t="n">
        <f aca="false">((I9375 + G9376) - H9376)</f>
        <v>73931.02</v>
      </c>
      <c r="J9376" s="18" t="n">
        <v>0</v>
      </c>
      <c r="K9376" s="19" t="n">
        <v>0</v>
      </c>
      <c r="L9376" s="17"/>
    </row>
    <row r="9377" s="11" customFormat="true" ht="10.95" hidden="false" customHeight="true" outlineLevel="0" collapsed="false">
      <c r="A9377" s="16" t="n">
        <v>45125</v>
      </c>
      <c r="B9377" s="17" t="s">
        <v>3861</v>
      </c>
      <c r="C9377" s="17" t="s">
        <v>3752</v>
      </c>
      <c r="D9377" s="17" t="s">
        <v>1407</v>
      </c>
      <c r="E9377" s="17" t="s">
        <v>3902</v>
      </c>
      <c r="F9377" s="17"/>
      <c r="G9377" s="18" t="n">
        <v>0</v>
      </c>
      <c r="H9377" s="18" t="n">
        <v>272.5</v>
      </c>
      <c r="I9377" s="18" t="n">
        <f aca="false">((I9376 + G9377) - H9377)</f>
        <v>73658.52</v>
      </c>
      <c r="J9377" s="18" t="n">
        <v>0</v>
      </c>
      <c r="K9377" s="19" t="n">
        <v>0</v>
      </c>
      <c r="L9377" s="17"/>
    </row>
    <row r="9378" s="11" customFormat="true" ht="10.95" hidden="false" customHeight="true" outlineLevel="0" collapsed="false">
      <c r="A9378" s="16" t="n">
        <v>45125</v>
      </c>
      <c r="B9378" s="17" t="s">
        <v>3861</v>
      </c>
      <c r="C9378" s="17" t="s">
        <v>3752</v>
      </c>
      <c r="D9378" s="17" t="s">
        <v>1407</v>
      </c>
      <c r="E9378" s="17" t="s">
        <v>3882</v>
      </c>
      <c r="F9378" s="17"/>
      <c r="G9378" s="18" t="n">
        <v>0</v>
      </c>
      <c r="H9378" s="18" t="n">
        <v>51.91</v>
      </c>
      <c r="I9378" s="18" t="n">
        <f aca="false">((I9377 + G9378) - H9378)</f>
        <v>73606.61</v>
      </c>
      <c r="J9378" s="18" t="n">
        <v>0</v>
      </c>
      <c r="K9378" s="19" t="n">
        <v>0</v>
      </c>
      <c r="L9378" s="17"/>
    </row>
    <row r="9379" s="11" customFormat="true" ht="10.95" hidden="false" customHeight="true" outlineLevel="0" collapsed="false">
      <c r="A9379" s="16" t="n">
        <v>45125</v>
      </c>
      <c r="B9379" s="17" t="s">
        <v>3861</v>
      </c>
      <c r="C9379" s="17" t="s">
        <v>3752</v>
      </c>
      <c r="D9379" s="17" t="s">
        <v>1407</v>
      </c>
      <c r="E9379" s="17" t="s">
        <v>3622</v>
      </c>
      <c r="F9379" s="17"/>
      <c r="G9379" s="18" t="n">
        <v>440</v>
      </c>
      <c r="H9379" s="18" t="n">
        <v>0</v>
      </c>
      <c r="I9379" s="18" t="n">
        <f aca="false">((I9378 + G9379) - H9379)</f>
        <v>74046.61</v>
      </c>
      <c r="J9379" s="18" t="n">
        <v>0</v>
      </c>
      <c r="K9379" s="19" t="n">
        <v>0</v>
      </c>
      <c r="L9379" s="17"/>
    </row>
    <row r="9380" s="11" customFormat="true" ht="10.95" hidden="false" customHeight="true" outlineLevel="0" collapsed="false">
      <c r="A9380" s="16" t="n">
        <v>45125</v>
      </c>
      <c r="B9380" s="17" t="s">
        <v>3861</v>
      </c>
      <c r="C9380" s="17" t="s">
        <v>3752</v>
      </c>
      <c r="D9380" s="17" t="s">
        <v>2903</v>
      </c>
      <c r="E9380" s="17" t="s">
        <v>3643</v>
      </c>
      <c r="F9380" s="17" t="s">
        <v>1395</v>
      </c>
      <c r="G9380" s="18" t="n">
        <v>0</v>
      </c>
      <c r="H9380" s="18" t="n">
        <v>1755.82</v>
      </c>
      <c r="I9380" s="18" t="n">
        <f aca="false">((I9379 + G9380) - H9380)</f>
        <v>72290.79</v>
      </c>
      <c r="J9380" s="18" t="n">
        <v>0</v>
      </c>
      <c r="K9380" s="19" t="n">
        <v>0</v>
      </c>
      <c r="L9380" s="17"/>
    </row>
    <row r="9381" s="11" customFormat="true" ht="10.95" hidden="false" customHeight="true" outlineLevel="0" collapsed="false">
      <c r="A9381" s="16" t="n">
        <v>45126</v>
      </c>
      <c r="B9381" s="17" t="s">
        <v>3861</v>
      </c>
      <c r="C9381" s="17" t="s">
        <v>3752</v>
      </c>
      <c r="D9381" s="17" t="s">
        <v>2895</v>
      </c>
      <c r="E9381" s="17" t="s">
        <v>2909</v>
      </c>
      <c r="F9381" s="17" t="s">
        <v>1284</v>
      </c>
      <c r="G9381" s="18" t="n">
        <v>4831.69</v>
      </c>
      <c r="H9381" s="18" t="n">
        <v>0</v>
      </c>
      <c r="I9381" s="18" t="n">
        <f aca="false">((I9380 + G9381) - H9381)</f>
        <v>77122.48</v>
      </c>
      <c r="J9381" s="18" t="n">
        <v>0</v>
      </c>
      <c r="K9381" s="19" t="n">
        <v>0</v>
      </c>
      <c r="L9381" s="17"/>
    </row>
    <row r="9382" s="11" customFormat="true" ht="10.95" hidden="false" customHeight="true" outlineLevel="0" collapsed="false">
      <c r="A9382" s="16" t="n">
        <v>45126</v>
      </c>
      <c r="B9382" s="17" t="s">
        <v>3861</v>
      </c>
      <c r="C9382" s="17" t="s">
        <v>3752</v>
      </c>
      <c r="D9382" s="17" t="s">
        <v>1276</v>
      </c>
      <c r="E9382" s="17" t="s">
        <v>3414</v>
      </c>
      <c r="F9382" s="17" t="s">
        <v>1284</v>
      </c>
      <c r="G9382" s="18" t="n">
        <v>86.29</v>
      </c>
      <c r="H9382" s="18" t="n">
        <v>0</v>
      </c>
      <c r="I9382" s="18" t="n">
        <f aca="false">((I9381 + G9382) - H9382)</f>
        <v>77208.77</v>
      </c>
      <c r="J9382" s="18" t="n">
        <v>0</v>
      </c>
      <c r="K9382" s="19" t="n">
        <v>0</v>
      </c>
      <c r="L9382" s="17"/>
    </row>
    <row r="9383" s="11" customFormat="true" ht="10.95" hidden="false" customHeight="true" outlineLevel="0" collapsed="false">
      <c r="A9383" s="16" t="n">
        <v>45126</v>
      </c>
      <c r="B9383" s="17" t="s">
        <v>3861</v>
      </c>
      <c r="C9383" s="17" t="s">
        <v>3752</v>
      </c>
      <c r="D9383" s="17" t="s">
        <v>1407</v>
      </c>
      <c r="E9383" s="17" t="s">
        <v>3862</v>
      </c>
      <c r="F9383" s="17" t="s">
        <v>1284</v>
      </c>
      <c r="G9383" s="18" t="n">
        <v>0</v>
      </c>
      <c r="H9383" s="18" t="n">
        <v>142.87</v>
      </c>
      <c r="I9383" s="18" t="n">
        <f aca="false">((I9382 + G9383) - H9383)</f>
        <v>77065.9</v>
      </c>
      <c r="J9383" s="18" t="n">
        <v>0</v>
      </c>
      <c r="K9383" s="19" t="n">
        <v>0</v>
      </c>
      <c r="L9383" s="17"/>
    </row>
    <row r="9384" s="11" customFormat="true" ht="10.95" hidden="false" customHeight="true" outlineLevel="0" collapsed="false">
      <c r="A9384" s="16" t="n">
        <v>45126</v>
      </c>
      <c r="B9384" s="17" t="s">
        <v>3861</v>
      </c>
      <c r="C9384" s="17" t="s">
        <v>3752</v>
      </c>
      <c r="D9384" s="17" t="s">
        <v>3814</v>
      </c>
      <c r="E9384" s="17" t="s">
        <v>3815</v>
      </c>
      <c r="F9384" s="17"/>
      <c r="G9384" s="18" t="n">
        <v>0</v>
      </c>
      <c r="H9384" s="18" t="n">
        <v>0.66</v>
      </c>
      <c r="I9384" s="18" t="n">
        <f aca="false">((I9383 + G9384) - H9384)</f>
        <v>77065.24</v>
      </c>
      <c r="J9384" s="18" t="n">
        <v>0</v>
      </c>
      <c r="K9384" s="19" t="n">
        <v>0</v>
      </c>
      <c r="L9384" s="17"/>
    </row>
    <row r="9385" s="11" customFormat="true" ht="10.95" hidden="false" customHeight="true" outlineLevel="0" collapsed="false">
      <c r="A9385" s="16" t="n">
        <v>45126</v>
      </c>
      <c r="B9385" s="17" t="s">
        <v>3861</v>
      </c>
      <c r="C9385" s="17" t="s">
        <v>3752</v>
      </c>
      <c r="D9385" s="17" t="s">
        <v>1407</v>
      </c>
      <c r="E9385" s="17" t="s">
        <v>3878</v>
      </c>
      <c r="F9385" s="17"/>
      <c r="G9385" s="18" t="n">
        <v>0</v>
      </c>
      <c r="H9385" s="18" t="n">
        <v>1108</v>
      </c>
      <c r="I9385" s="18" t="n">
        <f aca="false">((I9384 + G9385) - H9385)</f>
        <v>75957.24</v>
      </c>
      <c r="J9385" s="18" t="n">
        <v>0</v>
      </c>
      <c r="K9385" s="19" t="n">
        <v>0</v>
      </c>
      <c r="L9385" s="17"/>
    </row>
    <row r="9386" s="11" customFormat="true" ht="10.95" hidden="false" customHeight="true" outlineLevel="0" collapsed="false">
      <c r="A9386" s="16" t="n">
        <v>45126</v>
      </c>
      <c r="B9386" s="17" t="s">
        <v>3861</v>
      </c>
      <c r="C9386" s="17" t="s">
        <v>3752</v>
      </c>
      <c r="D9386" s="17" t="s">
        <v>1407</v>
      </c>
      <c r="E9386" s="17" t="s">
        <v>3879</v>
      </c>
      <c r="F9386" s="17"/>
      <c r="G9386" s="18" t="n">
        <v>0</v>
      </c>
      <c r="H9386" s="18" t="n">
        <v>1114</v>
      </c>
      <c r="I9386" s="18" t="n">
        <f aca="false">((I9385 + G9386) - H9386)</f>
        <v>74843.24</v>
      </c>
      <c r="J9386" s="18" t="n">
        <v>0</v>
      </c>
      <c r="K9386" s="19" t="n">
        <v>0</v>
      </c>
      <c r="L9386" s="17"/>
    </row>
    <row r="9387" s="11" customFormat="true" ht="10.95" hidden="false" customHeight="true" outlineLevel="0" collapsed="false">
      <c r="A9387" s="16" t="n">
        <v>45126</v>
      </c>
      <c r="B9387" s="17" t="s">
        <v>3861</v>
      </c>
      <c r="C9387" s="17" t="s">
        <v>3752</v>
      </c>
      <c r="D9387" s="17" t="s">
        <v>1407</v>
      </c>
      <c r="E9387" s="17" t="s">
        <v>3880</v>
      </c>
      <c r="F9387" s="17"/>
      <c r="G9387" s="18" t="n">
        <v>0</v>
      </c>
      <c r="H9387" s="18" t="n">
        <v>1114</v>
      </c>
      <c r="I9387" s="18" t="n">
        <f aca="false">((I9386 + G9387) - H9387)</f>
        <v>73729.24</v>
      </c>
      <c r="J9387" s="18" t="n">
        <v>0</v>
      </c>
      <c r="K9387" s="19" t="n">
        <v>0</v>
      </c>
      <c r="L9387" s="17"/>
    </row>
    <row r="9388" s="11" customFormat="true" ht="10.95" hidden="false" customHeight="true" outlineLevel="0" collapsed="false">
      <c r="A9388" s="16" t="n">
        <v>45126</v>
      </c>
      <c r="B9388" s="17" t="s">
        <v>3861</v>
      </c>
      <c r="C9388" s="17" t="s">
        <v>3752</v>
      </c>
      <c r="D9388" s="17" t="s">
        <v>1407</v>
      </c>
      <c r="E9388" s="17" t="s">
        <v>3808</v>
      </c>
      <c r="F9388" s="17"/>
      <c r="G9388" s="18" t="n">
        <v>0</v>
      </c>
      <c r="H9388" s="18" t="n">
        <v>1568.39</v>
      </c>
      <c r="I9388" s="18" t="n">
        <f aca="false">((I9387 + G9388) - H9388)</f>
        <v>72160.85</v>
      </c>
      <c r="J9388" s="18" t="n">
        <v>0</v>
      </c>
      <c r="K9388" s="19" t="n">
        <v>0</v>
      </c>
      <c r="L9388" s="17"/>
    </row>
    <row r="9389" s="11" customFormat="true" ht="10.95" hidden="false" customHeight="true" outlineLevel="0" collapsed="false">
      <c r="A9389" s="16" t="n">
        <v>45126</v>
      </c>
      <c r="B9389" s="17" t="s">
        <v>3861</v>
      </c>
      <c r="C9389" s="17" t="s">
        <v>3752</v>
      </c>
      <c r="D9389" s="17" t="s">
        <v>2903</v>
      </c>
      <c r="E9389" s="17" t="s">
        <v>3616</v>
      </c>
      <c r="F9389" s="17" t="s">
        <v>3246</v>
      </c>
      <c r="G9389" s="18" t="n">
        <v>0</v>
      </c>
      <c r="H9389" s="18" t="n">
        <v>3063.5</v>
      </c>
      <c r="I9389" s="18" t="n">
        <f aca="false">((I9388 + G9389) - H9389)</f>
        <v>69097.35</v>
      </c>
      <c r="J9389" s="18" t="n">
        <v>0</v>
      </c>
      <c r="K9389" s="19" t="n">
        <v>0</v>
      </c>
      <c r="L9389" s="17"/>
    </row>
    <row r="9390" s="11" customFormat="true" ht="10.95" hidden="false" customHeight="true" outlineLevel="0" collapsed="false">
      <c r="A9390" s="16" t="n">
        <v>45126</v>
      </c>
      <c r="B9390" s="17" t="s">
        <v>3861</v>
      </c>
      <c r="C9390" s="17" t="s">
        <v>3752</v>
      </c>
      <c r="D9390" s="17" t="s">
        <v>1407</v>
      </c>
      <c r="E9390" s="17" t="s">
        <v>3903</v>
      </c>
      <c r="F9390" s="17"/>
      <c r="G9390" s="18" t="n">
        <v>0</v>
      </c>
      <c r="H9390" s="18" t="n">
        <v>1892</v>
      </c>
      <c r="I9390" s="18" t="n">
        <f aca="false">((I9389 + G9390) - H9390)</f>
        <v>67205.35</v>
      </c>
      <c r="J9390" s="18" t="n">
        <v>0</v>
      </c>
      <c r="K9390" s="19" t="n">
        <v>0</v>
      </c>
      <c r="L9390" s="17"/>
    </row>
    <row r="9391" s="11" customFormat="true" ht="10.95" hidden="false" customHeight="true" outlineLevel="0" collapsed="false">
      <c r="A9391" s="16" t="n">
        <v>45126</v>
      </c>
      <c r="B9391" s="17" t="s">
        <v>3861</v>
      </c>
      <c r="C9391" s="17" t="s">
        <v>3752</v>
      </c>
      <c r="D9391" s="17" t="s">
        <v>1407</v>
      </c>
      <c r="E9391" s="17" t="s">
        <v>3904</v>
      </c>
      <c r="F9391" s="17"/>
      <c r="G9391" s="18" t="n">
        <v>0</v>
      </c>
      <c r="H9391" s="18" t="n">
        <v>89</v>
      </c>
      <c r="I9391" s="18" t="n">
        <f aca="false">((I9390 + G9391) - H9391)</f>
        <v>67116.35</v>
      </c>
      <c r="J9391" s="18" t="n">
        <v>0</v>
      </c>
      <c r="K9391" s="19" t="n">
        <v>0</v>
      </c>
      <c r="L9391" s="17"/>
    </row>
    <row r="9392" s="11" customFormat="true" ht="10.95" hidden="false" customHeight="true" outlineLevel="0" collapsed="false">
      <c r="A9392" s="16" t="n">
        <v>45127</v>
      </c>
      <c r="B9392" s="17" t="s">
        <v>3861</v>
      </c>
      <c r="C9392" s="17" t="s">
        <v>3752</v>
      </c>
      <c r="D9392" s="17" t="s">
        <v>2895</v>
      </c>
      <c r="E9392" s="17" t="s">
        <v>3415</v>
      </c>
      <c r="F9392" s="17" t="s">
        <v>3905</v>
      </c>
      <c r="G9392" s="18" t="n">
        <v>1052.7</v>
      </c>
      <c r="H9392" s="18" t="n">
        <v>0</v>
      </c>
      <c r="I9392" s="18" t="n">
        <f aca="false">((I9391 + G9392) - H9392)</f>
        <v>68169.05</v>
      </c>
      <c r="J9392" s="18" t="n">
        <v>0</v>
      </c>
      <c r="K9392" s="19" t="n">
        <v>0</v>
      </c>
      <c r="L9392" s="17"/>
    </row>
    <row r="9393" s="11" customFormat="true" ht="10.95" hidden="false" customHeight="true" outlineLevel="0" collapsed="false">
      <c r="A9393" s="16" t="n">
        <v>45127</v>
      </c>
      <c r="B9393" s="17" t="s">
        <v>3861</v>
      </c>
      <c r="C9393" s="17" t="s">
        <v>3752</v>
      </c>
      <c r="D9393" s="17" t="s">
        <v>1407</v>
      </c>
      <c r="E9393" s="17" t="s">
        <v>2747</v>
      </c>
      <c r="F9393" s="17"/>
      <c r="G9393" s="18" t="n">
        <v>0</v>
      </c>
      <c r="H9393" s="18" t="n">
        <v>7</v>
      </c>
      <c r="I9393" s="18" t="n">
        <f aca="false">((I9392 + G9393) - H9393)</f>
        <v>68162.05</v>
      </c>
      <c r="J9393" s="18" t="n">
        <v>0</v>
      </c>
      <c r="K9393" s="19" t="n">
        <v>0</v>
      </c>
      <c r="L9393" s="17"/>
    </row>
    <row r="9394" s="11" customFormat="true" ht="10.95" hidden="false" customHeight="true" outlineLevel="0" collapsed="false">
      <c r="A9394" s="16" t="n">
        <v>45127</v>
      </c>
      <c r="B9394" s="17" t="s">
        <v>3861</v>
      </c>
      <c r="C9394" s="17" t="s">
        <v>3752</v>
      </c>
      <c r="D9394" s="17" t="s">
        <v>1407</v>
      </c>
      <c r="E9394" s="17" t="s">
        <v>3881</v>
      </c>
      <c r="F9394" s="17"/>
      <c r="G9394" s="18" t="n">
        <v>0</v>
      </c>
      <c r="H9394" s="18" t="n">
        <v>140</v>
      </c>
      <c r="I9394" s="18" t="n">
        <f aca="false">((I9393 + G9394) - H9394)</f>
        <v>68022.05</v>
      </c>
      <c r="J9394" s="18" t="n">
        <v>0</v>
      </c>
      <c r="K9394" s="19" t="n">
        <v>0</v>
      </c>
      <c r="L9394" s="17"/>
    </row>
    <row r="9395" s="11" customFormat="true" ht="10.95" hidden="false" customHeight="true" outlineLevel="0" collapsed="false">
      <c r="A9395" s="16" t="n">
        <v>45127</v>
      </c>
      <c r="B9395" s="17" t="s">
        <v>3861</v>
      </c>
      <c r="C9395" s="17" t="s">
        <v>3752</v>
      </c>
      <c r="D9395" s="17" t="s">
        <v>1407</v>
      </c>
      <c r="E9395" s="17" t="s">
        <v>3863</v>
      </c>
      <c r="F9395" s="17"/>
      <c r="G9395" s="18" t="n">
        <v>0</v>
      </c>
      <c r="H9395" s="18" t="n">
        <v>0.58</v>
      </c>
      <c r="I9395" s="18" t="n">
        <f aca="false">((I9394 + G9395) - H9395)</f>
        <v>68021.47</v>
      </c>
      <c r="J9395" s="18" t="n">
        <v>0</v>
      </c>
      <c r="K9395" s="19" t="n">
        <v>0</v>
      </c>
      <c r="L9395" s="17"/>
    </row>
    <row r="9396" s="11" customFormat="true" ht="10.95" hidden="false" customHeight="true" outlineLevel="0" collapsed="false">
      <c r="A9396" s="16" t="n">
        <v>45127</v>
      </c>
      <c r="B9396" s="17" t="s">
        <v>3861</v>
      </c>
      <c r="C9396" s="17" t="s">
        <v>3752</v>
      </c>
      <c r="D9396" s="17" t="s">
        <v>1407</v>
      </c>
      <c r="E9396" s="17" t="s">
        <v>3906</v>
      </c>
      <c r="F9396" s="17"/>
      <c r="G9396" s="18" t="n">
        <v>0</v>
      </c>
      <c r="H9396" s="18" t="n">
        <v>19.37</v>
      </c>
      <c r="I9396" s="18" t="n">
        <f aca="false">((I9395 + G9396) - H9396)</f>
        <v>68002.1</v>
      </c>
      <c r="J9396" s="18" t="n">
        <v>0</v>
      </c>
      <c r="K9396" s="19" t="n">
        <v>0</v>
      </c>
      <c r="L9396" s="17"/>
    </row>
    <row r="9397" s="11" customFormat="true" ht="10.95" hidden="false" customHeight="true" outlineLevel="0" collapsed="false">
      <c r="A9397" s="16" t="n">
        <v>45128</v>
      </c>
      <c r="B9397" s="17" t="s">
        <v>3861</v>
      </c>
      <c r="C9397" s="17" t="s">
        <v>3752</v>
      </c>
      <c r="D9397" s="17" t="s">
        <v>3814</v>
      </c>
      <c r="E9397" s="17" t="s">
        <v>3815</v>
      </c>
      <c r="F9397" s="17"/>
      <c r="G9397" s="18" t="n">
        <v>0</v>
      </c>
      <c r="H9397" s="18" t="n">
        <v>1.74</v>
      </c>
      <c r="I9397" s="18" t="n">
        <f aca="false">((I9396 + G9397) - H9397)</f>
        <v>68000.36</v>
      </c>
      <c r="J9397" s="18" t="n">
        <v>0</v>
      </c>
      <c r="K9397" s="19" t="n">
        <v>0</v>
      </c>
      <c r="L9397" s="17"/>
    </row>
    <row r="9398" s="11" customFormat="true" ht="10.95" hidden="false" customHeight="true" outlineLevel="0" collapsed="false">
      <c r="A9398" s="16" t="n">
        <v>45128</v>
      </c>
      <c r="B9398" s="17" t="s">
        <v>3861</v>
      </c>
      <c r="C9398" s="17" t="s">
        <v>3752</v>
      </c>
      <c r="D9398" s="17" t="s">
        <v>2903</v>
      </c>
      <c r="E9398" s="17" t="s">
        <v>3644</v>
      </c>
      <c r="F9398" s="17" t="s">
        <v>2233</v>
      </c>
      <c r="G9398" s="18" t="n">
        <v>0</v>
      </c>
      <c r="H9398" s="18" t="n">
        <v>60.5</v>
      </c>
      <c r="I9398" s="18" t="n">
        <f aca="false">((I9397 + G9398) - H9398)</f>
        <v>67939.86</v>
      </c>
      <c r="J9398" s="18" t="n">
        <v>0</v>
      </c>
      <c r="K9398" s="19" t="n">
        <v>0</v>
      </c>
      <c r="L9398" s="17"/>
    </row>
    <row r="9399" s="11" customFormat="true" ht="10.95" hidden="false" customHeight="true" outlineLevel="0" collapsed="false">
      <c r="A9399" s="16" t="n">
        <v>45128</v>
      </c>
      <c r="B9399" s="17" t="s">
        <v>3861</v>
      </c>
      <c r="C9399" s="17" t="s">
        <v>3752</v>
      </c>
      <c r="D9399" s="17" t="s">
        <v>2903</v>
      </c>
      <c r="E9399" s="17" t="s">
        <v>3644</v>
      </c>
      <c r="F9399" s="17" t="s">
        <v>2219</v>
      </c>
      <c r="G9399" s="18" t="n">
        <v>0</v>
      </c>
      <c r="H9399" s="18" t="n">
        <v>68.2</v>
      </c>
      <c r="I9399" s="18" t="n">
        <f aca="false">((I9398 + G9399) - H9399)</f>
        <v>67871.66</v>
      </c>
      <c r="J9399" s="18" t="n">
        <v>0</v>
      </c>
      <c r="K9399" s="19" t="n">
        <v>0</v>
      </c>
      <c r="L9399" s="17"/>
    </row>
    <row r="9400" s="11" customFormat="true" ht="10.95" hidden="false" customHeight="true" outlineLevel="0" collapsed="false">
      <c r="A9400" s="16" t="n">
        <v>45128</v>
      </c>
      <c r="B9400" s="17" t="s">
        <v>3861</v>
      </c>
      <c r="C9400" s="17" t="s">
        <v>3752</v>
      </c>
      <c r="D9400" s="17" t="s">
        <v>1407</v>
      </c>
      <c r="E9400" s="17" t="s">
        <v>3863</v>
      </c>
      <c r="F9400" s="17"/>
      <c r="G9400" s="18" t="n">
        <v>0</v>
      </c>
      <c r="H9400" s="18" t="n">
        <v>0.88</v>
      </c>
      <c r="I9400" s="18" t="n">
        <f aca="false">((I9399 + G9400) - H9400)</f>
        <v>67870.78</v>
      </c>
      <c r="J9400" s="18" t="n">
        <v>0</v>
      </c>
      <c r="K9400" s="19" t="n">
        <v>0</v>
      </c>
      <c r="L9400" s="17"/>
    </row>
    <row r="9401" s="11" customFormat="true" ht="10.95" hidden="false" customHeight="true" outlineLevel="0" collapsed="false">
      <c r="A9401" s="16" t="n">
        <v>45128</v>
      </c>
      <c r="B9401" s="17" t="s">
        <v>3861</v>
      </c>
      <c r="C9401" s="17" t="s">
        <v>3752</v>
      </c>
      <c r="D9401" s="17" t="s">
        <v>1407</v>
      </c>
      <c r="E9401" s="17" t="s">
        <v>2747</v>
      </c>
      <c r="F9401" s="17"/>
      <c r="G9401" s="18" t="n">
        <v>0</v>
      </c>
      <c r="H9401" s="18" t="n">
        <v>7</v>
      </c>
      <c r="I9401" s="18" t="n">
        <f aca="false">((I9400 + G9401) - H9401)</f>
        <v>67863.78</v>
      </c>
      <c r="J9401" s="18" t="n">
        <v>0</v>
      </c>
      <c r="K9401" s="19" t="n">
        <v>0</v>
      </c>
      <c r="L9401" s="17"/>
    </row>
    <row r="9402" s="11" customFormat="true" ht="10.95" hidden="false" customHeight="true" outlineLevel="0" collapsed="false">
      <c r="A9402" s="16" t="n">
        <v>45128</v>
      </c>
      <c r="B9402" s="17" t="s">
        <v>3861</v>
      </c>
      <c r="C9402" s="17" t="s">
        <v>3752</v>
      </c>
      <c r="D9402" s="17" t="s">
        <v>1407</v>
      </c>
      <c r="E9402" s="17" t="s">
        <v>3615</v>
      </c>
      <c r="F9402" s="17"/>
      <c r="G9402" s="18" t="n">
        <v>0</v>
      </c>
      <c r="H9402" s="18" t="n">
        <v>118.64</v>
      </c>
      <c r="I9402" s="18" t="n">
        <f aca="false">((I9401 + G9402) - H9402)</f>
        <v>67745.14</v>
      </c>
      <c r="J9402" s="18" t="n">
        <v>0</v>
      </c>
      <c r="K9402" s="19" t="n">
        <v>0</v>
      </c>
      <c r="L9402" s="17"/>
    </row>
    <row r="9403" s="11" customFormat="true" ht="10.95" hidden="false" customHeight="true" outlineLevel="0" collapsed="false">
      <c r="A9403" s="16" t="n">
        <v>45128</v>
      </c>
      <c r="B9403" s="17" t="s">
        <v>3861</v>
      </c>
      <c r="C9403" s="17" t="s">
        <v>3752</v>
      </c>
      <c r="D9403" s="17" t="s">
        <v>2903</v>
      </c>
      <c r="E9403" s="17" t="s">
        <v>3645</v>
      </c>
      <c r="F9403" s="17" t="s">
        <v>1403</v>
      </c>
      <c r="G9403" s="18" t="n">
        <v>0</v>
      </c>
      <c r="H9403" s="18" t="n">
        <v>13223.43</v>
      </c>
      <c r="I9403" s="18" t="n">
        <f aca="false">((I9402 + G9403) - H9403)</f>
        <v>54521.71</v>
      </c>
      <c r="J9403" s="18" t="n">
        <v>0</v>
      </c>
      <c r="K9403" s="19" t="n">
        <v>0</v>
      </c>
      <c r="L9403" s="17"/>
    </row>
    <row r="9404" s="11" customFormat="true" ht="10.95" hidden="false" customHeight="true" outlineLevel="0" collapsed="false">
      <c r="A9404" s="16" t="n">
        <v>45128</v>
      </c>
      <c r="B9404" s="17" t="s">
        <v>3861</v>
      </c>
      <c r="C9404" s="17" t="s">
        <v>3752</v>
      </c>
      <c r="D9404" s="17" t="s">
        <v>2903</v>
      </c>
      <c r="E9404" s="17" t="s">
        <v>3645</v>
      </c>
      <c r="F9404" s="17" t="s">
        <v>1393</v>
      </c>
      <c r="G9404" s="18" t="n">
        <v>0</v>
      </c>
      <c r="H9404" s="18" t="n">
        <v>538.76</v>
      </c>
      <c r="I9404" s="18" t="n">
        <f aca="false">((I9403 + G9404) - H9404)</f>
        <v>53982.95</v>
      </c>
      <c r="J9404" s="18" t="n">
        <v>0</v>
      </c>
      <c r="K9404" s="19" t="n">
        <v>0</v>
      </c>
      <c r="L9404" s="17"/>
    </row>
    <row r="9405" s="11" customFormat="true" ht="10.95" hidden="false" customHeight="true" outlineLevel="0" collapsed="false">
      <c r="A9405" s="16" t="n">
        <v>45128</v>
      </c>
      <c r="B9405" s="17" t="s">
        <v>3861</v>
      </c>
      <c r="C9405" s="17" t="s">
        <v>3752</v>
      </c>
      <c r="D9405" s="17" t="s">
        <v>2903</v>
      </c>
      <c r="E9405" s="17" t="s">
        <v>3645</v>
      </c>
      <c r="F9405" s="17" t="s">
        <v>1401</v>
      </c>
      <c r="G9405" s="18" t="n">
        <v>0</v>
      </c>
      <c r="H9405" s="18" t="n">
        <v>1848</v>
      </c>
      <c r="I9405" s="18" t="n">
        <f aca="false">((I9404 + G9405) - H9405)</f>
        <v>52134.95</v>
      </c>
      <c r="J9405" s="18" t="n">
        <v>0</v>
      </c>
      <c r="K9405" s="19" t="n">
        <v>0</v>
      </c>
      <c r="L9405" s="17"/>
    </row>
    <row r="9406" s="11" customFormat="true" ht="10.95" hidden="false" customHeight="true" outlineLevel="0" collapsed="false">
      <c r="A9406" s="16" t="n">
        <v>45128</v>
      </c>
      <c r="B9406" s="17" t="s">
        <v>3861</v>
      </c>
      <c r="C9406" s="17" t="s">
        <v>3752</v>
      </c>
      <c r="D9406" s="17" t="s">
        <v>1407</v>
      </c>
      <c r="E9406" s="17" t="s">
        <v>3907</v>
      </c>
      <c r="F9406" s="17"/>
      <c r="G9406" s="18" t="n">
        <v>0</v>
      </c>
      <c r="H9406" s="18" t="n">
        <v>59</v>
      </c>
      <c r="I9406" s="18" t="n">
        <f aca="false">((I9405 + G9406) - H9406)</f>
        <v>52075.95</v>
      </c>
      <c r="J9406" s="18" t="n">
        <v>0</v>
      </c>
      <c r="K9406" s="19" t="n">
        <v>0</v>
      </c>
      <c r="L9406" s="17"/>
    </row>
    <row r="9407" s="11" customFormat="true" ht="10.95" hidden="false" customHeight="true" outlineLevel="0" collapsed="false">
      <c r="A9407" s="16" t="n">
        <v>45128</v>
      </c>
      <c r="B9407" s="17" t="s">
        <v>3861</v>
      </c>
      <c r="C9407" s="17" t="s">
        <v>3752</v>
      </c>
      <c r="D9407" s="17" t="s">
        <v>1407</v>
      </c>
      <c r="E9407" s="17" t="s">
        <v>3774</v>
      </c>
      <c r="F9407" s="17"/>
      <c r="G9407" s="18" t="n">
        <v>0</v>
      </c>
      <c r="H9407" s="18" t="n">
        <v>29.47</v>
      </c>
      <c r="I9407" s="18" t="n">
        <f aca="false">((I9406 + G9407) - H9407)</f>
        <v>52046.48</v>
      </c>
      <c r="J9407" s="18" t="n">
        <v>0</v>
      </c>
      <c r="K9407" s="19" t="n">
        <v>0</v>
      </c>
      <c r="L9407" s="17"/>
    </row>
    <row r="9408" s="11" customFormat="true" ht="10.95" hidden="false" customHeight="true" outlineLevel="0" collapsed="false">
      <c r="A9408" s="16" t="n">
        <v>45128</v>
      </c>
      <c r="B9408" s="17" t="s">
        <v>3861</v>
      </c>
      <c r="C9408" s="17" t="s">
        <v>3752</v>
      </c>
      <c r="D9408" s="17" t="s">
        <v>1407</v>
      </c>
      <c r="E9408" s="17" t="s">
        <v>3708</v>
      </c>
      <c r="F9408" s="17"/>
      <c r="G9408" s="18" t="n">
        <v>0</v>
      </c>
      <c r="H9408" s="18" t="n">
        <v>594</v>
      </c>
      <c r="I9408" s="18" t="n">
        <f aca="false">((I9407 + G9408) - H9408)</f>
        <v>51452.48</v>
      </c>
      <c r="J9408" s="18" t="n">
        <v>0</v>
      </c>
      <c r="K9408" s="19" t="n">
        <v>0</v>
      </c>
      <c r="L9408" s="17"/>
    </row>
    <row r="9409" s="11" customFormat="true" ht="10.95" hidden="false" customHeight="true" outlineLevel="0" collapsed="false">
      <c r="A9409" s="16" t="n">
        <v>45129</v>
      </c>
      <c r="B9409" s="17" t="s">
        <v>3861</v>
      </c>
      <c r="C9409" s="17" t="s">
        <v>3752</v>
      </c>
      <c r="D9409" s="17" t="s">
        <v>2903</v>
      </c>
      <c r="E9409" s="17" t="s">
        <v>3644</v>
      </c>
      <c r="F9409" s="17" t="s">
        <v>2231</v>
      </c>
      <c r="G9409" s="18" t="n">
        <v>0</v>
      </c>
      <c r="H9409" s="18" t="n">
        <v>9.02</v>
      </c>
      <c r="I9409" s="18" t="n">
        <f aca="false">((I9408 + G9409) - H9409)</f>
        <v>51443.46</v>
      </c>
      <c r="J9409" s="18" t="n">
        <v>0</v>
      </c>
      <c r="K9409" s="19" t="n">
        <v>0</v>
      </c>
      <c r="L9409" s="17"/>
    </row>
    <row r="9410" s="11" customFormat="true" ht="10.95" hidden="false" customHeight="true" outlineLevel="0" collapsed="false">
      <c r="A9410" s="16" t="n">
        <v>45129</v>
      </c>
      <c r="B9410" s="17" t="s">
        <v>3861</v>
      </c>
      <c r="C9410" s="17" t="s">
        <v>3752</v>
      </c>
      <c r="D9410" s="17" t="s">
        <v>1407</v>
      </c>
      <c r="E9410" s="17" t="s">
        <v>3767</v>
      </c>
      <c r="F9410" s="17" t="s">
        <v>2781</v>
      </c>
      <c r="G9410" s="18" t="n">
        <v>0</v>
      </c>
      <c r="H9410" s="18" t="n">
        <v>10</v>
      </c>
      <c r="I9410" s="18" t="n">
        <f aca="false">((I9409 + G9410) - H9410)</f>
        <v>51433.46</v>
      </c>
      <c r="J9410" s="18" t="n">
        <v>0</v>
      </c>
      <c r="K9410" s="19" t="n">
        <v>0</v>
      </c>
      <c r="L9410" s="17"/>
    </row>
    <row r="9411" s="11" customFormat="true" ht="10.95" hidden="false" customHeight="true" outlineLevel="0" collapsed="false">
      <c r="A9411" s="16" t="n">
        <v>45129</v>
      </c>
      <c r="B9411" s="17" t="s">
        <v>3861</v>
      </c>
      <c r="C9411" s="17" t="s">
        <v>3752</v>
      </c>
      <c r="D9411" s="17" t="s">
        <v>2903</v>
      </c>
      <c r="E9411" s="17" t="s">
        <v>3644</v>
      </c>
      <c r="F9411" s="17" t="s">
        <v>2229</v>
      </c>
      <c r="G9411" s="18" t="n">
        <v>0</v>
      </c>
      <c r="H9411" s="18" t="n">
        <v>24.2</v>
      </c>
      <c r="I9411" s="18" t="n">
        <f aca="false">((I9410 + G9411) - H9411)</f>
        <v>51409.26</v>
      </c>
      <c r="J9411" s="18" t="n">
        <v>0</v>
      </c>
      <c r="K9411" s="19" t="n">
        <v>0</v>
      </c>
      <c r="L9411" s="17"/>
    </row>
    <row r="9412" s="11" customFormat="true" ht="10.95" hidden="false" customHeight="true" outlineLevel="0" collapsed="false">
      <c r="A9412" s="16" t="n">
        <v>45129</v>
      </c>
      <c r="B9412" s="17" t="s">
        <v>3861</v>
      </c>
      <c r="C9412" s="17" t="s">
        <v>3752</v>
      </c>
      <c r="D9412" s="17" t="s">
        <v>2903</v>
      </c>
      <c r="E9412" s="17" t="s">
        <v>3644</v>
      </c>
      <c r="F9412" s="17" t="s">
        <v>2225</v>
      </c>
      <c r="G9412" s="18" t="n">
        <v>0</v>
      </c>
      <c r="H9412" s="18" t="n">
        <v>33.22</v>
      </c>
      <c r="I9412" s="18" t="n">
        <f aca="false">((I9411 + G9412) - H9412)</f>
        <v>51376.04</v>
      </c>
      <c r="J9412" s="18" t="n">
        <v>0</v>
      </c>
      <c r="K9412" s="19" t="n">
        <v>0</v>
      </c>
      <c r="L9412" s="17"/>
    </row>
    <row r="9413" s="11" customFormat="true" ht="10.95" hidden="false" customHeight="true" outlineLevel="0" collapsed="false">
      <c r="A9413" s="16" t="n">
        <v>45129</v>
      </c>
      <c r="B9413" s="17" t="s">
        <v>3861</v>
      </c>
      <c r="C9413" s="17" t="s">
        <v>3752</v>
      </c>
      <c r="D9413" s="17" t="s">
        <v>2903</v>
      </c>
      <c r="E9413" s="17" t="s">
        <v>3644</v>
      </c>
      <c r="F9413" s="17" t="s">
        <v>2223</v>
      </c>
      <c r="G9413" s="18" t="n">
        <v>0</v>
      </c>
      <c r="H9413" s="18" t="n">
        <v>45.32</v>
      </c>
      <c r="I9413" s="18" t="n">
        <f aca="false">((I9412 + G9413) - H9413)</f>
        <v>51330.72</v>
      </c>
      <c r="J9413" s="18" t="n">
        <v>0</v>
      </c>
      <c r="K9413" s="19" t="n">
        <v>0</v>
      </c>
      <c r="L9413" s="17"/>
    </row>
    <row r="9414" s="11" customFormat="true" ht="10.95" hidden="false" customHeight="true" outlineLevel="0" collapsed="false">
      <c r="A9414" s="16" t="n">
        <v>45129</v>
      </c>
      <c r="B9414" s="17" t="s">
        <v>3861</v>
      </c>
      <c r="C9414" s="17" t="s">
        <v>3752</v>
      </c>
      <c r="D9414" s="17" t="s">
        <v>2903</v>
      </c>
      <c r="E9414" s="17" t="s">
        <v>3644</v>
      </c>
      <c r="F9414" s="17" t="s">
        <v>2227</v>
      </c>
      <c r="G9414" s="18" t="n">
        <v>0</v>
      </c>
      <c r="H9414" s="18" t="n">
        <v>76.56</v>
      </c>
      <c r="I9414" s="18" t="n">
        <f aca="false">((I9413 + G9414) - H9414)</f>
        <v>51254.16</v>
      </c>
      <c r="J9414" s="18" t="n">
        <v>0</v>
      </c>
      <c r="K9414" s="19" t="n">
        <v>0</v>
      </c>
      <c r="L9414" s="17"/>
    </row>
    <row r="9415" s="11" customFormat="true" ht="10.95" hidden="false" customHeight="true" outlineLevel="0" collapsed="false">
      <c r="A9415" s="16" t="n">
        <v>45129</v>
      </c>
      <c r="B9415" s="17" t="s">
        <v>3861</v>
      </c>
      <c r="C9415" s="17" t="s">
        <v>3752</v>
      </c>
      <c r="D9415" s="17" t="s">
        <v>2903</v>
      </c>
      <c r="E9415" s="17" t="s">
        <v>3644</v>
      </c>
      <c r="F9415" s="17" t="s">
        <v>2221</v>
      </c>
      <c r="G9415" s="18" t="n">
        <v>0</v>
      </c>
      <c r="H9415" s="18" t="n">
        <v>219.78</v>
      </c>
      <c r="I9415" s="18" t="n">
        <f aca="false">((I9414 + G9415) - H9415)</f>
        <v>51034.38</v>
      </c>
      <c r="J9415" s="18" t="n">
        <v>0</v>
      </c>
      <c r="K9415" s="19" t="n">
        <v>0</v>
      </c>
      <c r="L9415" s="17"/>
    </row>
    <row r="9416" s="11" customFormat="true" ht="10.95" hidden="false" customHeight="true" outlineLevel="0" collapsed="false">
      <c r="A9416" s="16" t="n">
        <v>45131</v>
      </c>
      <c r="B9416" s="17" t="s">
        <v>3861</v>
      </c>
      <c r="C9416" s="17" t="s">
        <v>3752</v>
      </c>
      <c r="D9416" s="17" t="s">
        <v>2895</v>
      </c>
      <c r="E9416" s="17" t="s">
        <v>2910</v>
      </c>
      <c r="F9416" s="17" t="s">
        <v>2911</v>
      </c>
      <c r="G9416" s="18" t="n">
        <v>566.83</v>
      </c>
      <c r="H9416" s="18" t="n">
        <v>0</v>
      </c>
      <c r="I9416" s="18" t="n">
        <f aca="false">((I9415 + G9416) - H9416)</f>
        <v>51601.21</v>
      </c>
      <c r="J9416" s="18" t="n">
        <v>0</v>
      </c>
      <c r="K9416" s="19" t="n">
        <v>0</v>
      </c>
      <c r="L9416" s="17"/>
    </row>
    <row r="9417" s="11" customFormat="true" ht="10.95" hidden="false" customHeight="true" outlineLevel="0" collapsed="false">
      <c r="A9417" s="16" t="n">
        <v>45131</v>
      </c>
      <c r="B9417" s="17" t="s">
        <v>3861</v>
      </c>
      <c r="C9417" s="17" t="s">
        <v>3752</v>
      </c>
      <c r="D9417" s="17" t="s">
        <v>2895</v>
      </c>
      <c r="E9417" s="17" t="s">
        <v>2910</v>
      </c>
      <c r="F9417" s="17" t="s">
        <v>2912</v>
      </c>
      <c r="G9417" s="18" t="n">
        <v>11376.22</v>
      </c>
      <c r="H9417" s="18" t="n">
        <v>0</v>
      </c>
      <c r="I9417" s="18" t="n">
        <f aca="false">((I9416 + G9417) - H9417)</f>
        <v>62977.43</v>
      </c>
      <c r="J9417" s="18" t="n">
        <v>0</v>
      </c>
      <c r="K9417" s="19" t="n">
        <v>0</v>
      </c>
      <c r="L9417" s="17"/>
    </row>
    <row r="9418" s="11" customFormat="true" ht="10.95" hidden="false" customHeight="true" outlineLevel="0" collapsed="false">
      <c r="A9418" s="16" t="n">
        <v>45131</v>
      </c>
      <c r="B9418" s="17" t="s">
        <v>3861</v>
      </c>
      <c r="C9418" s="17" t="s">
        <v>3752</v>
      </c>
      <c r="D9418" s="17" t="s">
        <v>2895</v>
      </c>
      <c r="E9418" s="17" t="s">
        <v>2910</v>
      </c>
      <c r="F9418" s="17" t="s">
        <v>2913</v>
      </c>
      <c r="G9418" s="18" t="n">
        <v>141.71</v>
      </c>
      <c r="H9418" s="18" t="n">
        <v>0</v>
      </c>
      <c r="I9418" s="18" t="n">
        <f aca="false">((I9417 + G9418) - H9418)</f>
        <v>63119.14</v>
      </c>
      <c r="J9418" s="18" t="n">
        <v>0</v>
      </c>
      <c r="K9418" s="19" t="n">
        <v>0</v>
      </c>
      <c r="L9418" s="17"/>
    </row>
    <row r="9419" s="11" customFormat="true" ht="10.95" hidden="false" customHeight="true" outlineLevel="0" collapsed="false">
      <c r="A9419" s="16" t="n">
        <v>45131</v>
      </c>
      <c r="B9419" s="17" t="s">
        <v>3861</v>
      </c>
      <c r="C9419" s="17" t="s">
        <v>3752</v>
      </c>
      <c r="D9419" s="17" t="s">
        <v>2895</v>
      </c>
      <c r="E9419" s="17" t="s">
        <v>2910</v>
      </c>
      <c r="F9419" s="17" t="s">
        <v>2914</v>
      </c>
      <c r="G9419" s="18" t="n">
        <v>4936.26</v>
      </c>
      <c r="H9419" s="18" t="n">
        <v>0</v>
      </c>
      <c r="I9419" s="18" t="n">
        <f aca="false">((I9418 + G9419) - H9419)</f>
        <v>68055.4</v>
      </c>
      <c r="J9419" s="18" t="n">
        <v>0</v>
      </c>
      <c r="K9419" s="19" t="n">
        <v>0</v>
      </c>
      <c r="L9419" s="17"/>
    </row>
    <row r="9420" s="11" customFormat="true" ht="10.95" hidden="false" customHeight="true" outlineLevel="0" collapsed="false">
      <c r="A9420" s="16" t="n">
        <v>45131</v>
      </c>
      <c r="B9420" s="17" t="s">
        <v>3861</v>
      </c>
      <c r="C9420" s="17" t="s">
        <v>3752</v>
      </c>
      <c r="D9420" s="17" t="s">
        <v>2895</v>
      </c>
      <c r="E9420" s="17" t="s">
        <v>2910</v>
      </c>
      <c r="F9420" s="17" t="s">
        <v>2915</v>
      </c>
      <c r="G9420" s="18" t="n">
        <v>11622.8</v>
      </c>
      <c r="H9420" s="18" t="n">
        <v>0</v>
      </c>
      <c r="I9420" s="18" t="n">
        <f aca="false">((I9419 + G9420) - H9420)</f>
        <v>79678.2</v>
      </c>
      <c r="J9420" s="18" t="n">
        <v>0</v>
      </c>
      <c r="K9420" s="19" t="n">
        <v>0</v>
      </c>
      <c r="L9420" s="17"/>
    </row>
    <row r="9421" s="11" customFormat="true" ht="10.95" hidden="false" customHeight="true" outlineLevel="0" collapsed="false">
      <c r="A9421" s="16" t="n">
        <v>45131</v>
      </c>
      <c r="B9421" s="17" t="s">
        <v>3861</v>
      </c>
      <c r="C9421" s="17" t="s">
        <v>3752</v>
      </c>
      <c r="D9421" s="17" t="s">
        <v>2895</v>
      </c>
      <c r="E9421" s="17" t="s">
        <v>2900</v>
      </c>
      <c r="F9421" s="17" t="s">
        <v>2916</v>
      </c>
      <c r="G9421" s="18" t="n">
        <v>785.68</v>
      </c>
      <c r="H9421" s="18" t="n">
        <v>0</v>
      </c>
      <c r="I9421" s="18" t="n">
        <f aca="false">((I9420 + G9421) - H9421)</f>
        <v>80463.88</v>
      </c>
      <c r="J9421" s="18" t="n">
        <v>0</v>
      </c>
      <c r="K9421" s="19" t="n">
        <v>0</v>
      </c>
      <c r="L9421" s="17"/>
    </row>
    <row r="9422" s="11" customFormat="true" ht="10.95" hidden="false" customHeight="true" outlineLevel="0" collapsed="false">
      <c r="A9422" s="16" t="n">
        <v>45132</v>
      </c>
      <c r="B9422" s="17" t="s">
        <v>3861</v>
      </c>
      <c r="C9422" s="17" t="s">
        <v>3752</v>
      </c>
      <c r="D9422" s="17" t="s">
        <v>2895</v>
      </c>
      <c r="E9422" s="17" t="s">
        <v>3403</v>
      </c>
      <c r="F9422" s="17" t="s">
        <v>3908</v>
      </c>
      <c r="G9422" s="18" t="n">
        <v>1034</v>
      </c>
      <c r="H9422" s="18" t="n">
        <v>0</v>
      </c>
      <c r="I9422" s="18" t="n">
        <f aca="false">((I9421 + G9422) - H9422)</f>
        <v>81497.88</v>
      </c>
      <c r="J9422" s="18" t="n">
        <v>0</v>
      </c>
      <c r="K9422" s="19" t="n">
        <v>0</v>
      </c>
      <c r="L9422" s="17"/>
    </row>
    <row r="9423" s="11" customFormat="true" ht="10.95" hidden="false" customHeight="true" outlineLevel="0" collapsed="false">
      <c r="A9423" s="16" t="n">
        <v>45132</v>
      </c>
      <c r="B9423" s="17" t="s">
        <v>3861</v>
      </c>
      <c r="C9423" s="17" t="s">
        <v>3752</v>
      </c>
      <c r="D9423" s="17" t="s">
        <v>2895</v>
      </c>
      <c r="E9423" s="17" t="s">
        <v>3453</v>
      </c>
      <c r="F9423" s="17" t="s">
        <v>3909</v>
      </c>
      <c r="G9423" s="18" t="n">
        <v>93.5</v>
      </c>
      <c r="H9423" s="18" t="n">
        <v>0</v>
      </c>
      <c r="I9423" s="18" t="n">
        <f aca="false">((I9422 + G9423) - H9423)</f>
        <v>81591.38</v>
      </c>
      <c r="J9423" s="18" t="n">
        <v>0</v>
      </c>
      <c r="K9423" s="19" t="n">
        <v>0</v>
      </c>
      <c r="L9423" s="17"/>
    </row>
    <row r="9424" s="11" customFormat="true" ht="10.95" hidden="false" customHeight="true" outlineLevel="0" collapsed="false">
      <c r="A9424" s="16" t="n">
        <v>45132</v>
      </c>
      <c r="B9424" s="17" t="s">
        <v>3861</v>
      </c>
      <c r="C9424" s="17" t="s">
        <v>3752</v>
      </c>
      <c r="D9424" s="17" t="s">
        <v>1407</v>
      </c>
      <c r="E9424" s="17" t="s">
        <v>3863</v>
      </c>
      <c r="F9424" s="17"/>
      <c r="G9424" s="18" t="n">
        <v>0</v>
      </c>
      <c r="H9424" s="18" t="n">
        <v>0.36</v>
      </c>
      <c r="I9424" s="18" t="n">
        <f aca="false">((I9423 + G9424) - H9424)</f>
        <v>81591.02</v>
      </c>
      <c r="J9424" s="18" t="n">
        <v>0</v>
      </c>
      <c r="K9424" s="19" t="n">
        <v>0</v>
      </c>
      <c r="L9424" s="17"/>
    </row>
    <row r="9425" s="11" customFormat="true" ht="10.95" hidden="false" customHeight="true" outlineLevel="0" collapsed="false">
      <c r="A9425" s="16" t="n">
        <v>45132</v>
      </c>
      <c r="B9425" s="17" t="s">
        <v>3861</v>
      </c>
      <c r="C9425" s="17" t="s">
        <v>3752</v>
      </c>
      <c r="D9425" s="17" t="s">
        <v>1407</v>
      </c>
      <c r="E9425" s="17" t="s">
        <v>3863</v>
      </c>
      <c r="F9425" s="17"/>
      <c r="G9425" s="18" t="n">
        <v>0</v>
      </c>
      <c r="H9425" s="18" t="n">
        <v>0.98</v>
      </c>
      <c r="I9425" s="18" t="n">
        <f aca="false">((I9424 + G9425) - H9425)</f>
        <v>81590.04</v>
      </c>
      <c r="J9425" s="18" t="n">
        <v>0</v>
      </c>
      <c r="K9425" s="19" t="n">
        <v>0</v>
      </c>
      <c r="L9425" s="17"/>
    </row>
    <row r="9426" s="11" customFormat="true" ht="10.95" hidden="false" customHeight="true" outlineLevel="0" collapsed="false">
      <c r="A9426" s="16" t="n">
        <v>45132</v>
      </c>
      <c r="B9426" s="17" t="s">
        <v>3861</v>
      </c>
      <c r="C9426" s="17" t="s">
        <v>3752</v>
      </c>
      <c r="D9426" s="17" t="s">
        <v>1407</v>
      </c>
      <c r="E9426" s="17" t="s">
        <v>3767</v>
      </c>
      <c r="F9426" s="17" t="s">
        <v>2781</v>
      </c>
      <c r="G9426" s="18" t="n">
        <v>0</v>
      </c>
      <c r="H9426" s="18" t="n">
        <v>5</v>
      </c>
      <c r="I9426" s="18" t="n">
        <f aca="false">((I9425 + G9426) - H9426)</f>
        <v>81585.04</v>
      </c>
      <c r="J9426" s="18" t="n">
        <v>0</v>
      </c>
      <c r="K9426" s="19" t="n">
        <v>0</v>
      </c>
      <c r="L9426" s="17"/>
    </row>
    <row r="9427" s="11" customFormat="true" ht="10.95" hidden="false" customHeight="true" outlineLevel="0" collapsed="false">
      <c r="A9427" s="16" t="n">
        <v>45132</v>
      </c>
      <c r="B9427" s="17" t="s">
        <v>3861</v>
      </c>
      <c r="C9427" s="17" t="s">
        <v>3752</v>
      </c>
      <c r="D9427" s="17" t="s">
        <v>1407</v>
      </c>
      <c r="E9427" s="17" t="s">
        <v>3767</v>
      </c>
      <c r="F9427" s="17" t="s">
        <v>2781</v>
      </c>
      <c r="G9427" s="18" t="n">
        <v>0</v>
      </c>
      <c r="H9427" s="18" t="n">
        <v>5</v>
      </c>
      <c r="I9427" s="18" t="n">
        <f aca="false">((I9426 + G9427) - H9427)</f>
        <v>81580.04</v>
      </c>
      <c r="J9427" s="18" t="n">
        <v>0</v>
      </c>
      <c r="K9427" s="19" t="n">
        <v>0</v>
      </c>
      <c r="L9427" s="17"/>
    </row>
    <row r="9428" s="11" customFormat="true" ht="10.95" hidden="false" customHeight="true" outlineLevel="0" collapsed="false">
      <c r="A9428" s="16" t="n">
        <v>45132</v>
      </c>
      <c r="B9428" s="17" t="s">
        <v>3861</v>
      </c>
      <c r="C9428" s="17" t="s">
        <v>3752</v>
      </c>
      <c r="D9428" s="17" t="s">
        <v>1407</v>
      </c>
      <c r="E9428" s="17" t="s">
        <v>3863</v>
      </c>
      <c r="F9428" s="17"/>
      <c r="G9428" s="18" t="n">
        <v>0</v>
      </c>
      <c r="H9428" s="18" t="n">
        <v>8.35</v>
      </c>
      <c r="I9428" s="18" t="n">
        <f aca="false">((I9427 + G9428) - H9428)</f>
        <v>81571.69</v>
      </c>
      <c r="J9428" s="18" t="n">
        <v>0</v>
      </c>
      <c r="K9428" s="19" t="n">
        <v>0</v>
      </c>
      <c r="L9428" s="17"/>
    </row>
    <row r="9429" s="11" customFormat="true" ht="10.95" hidden="false" customHeight="true" outlineLevel="0" collapsed="false">
      <c r="A9429" s="16" t="n">
        <v>45132</v>
      </c>
      <c r="B9429" s="17" t="s">
        <v>3861</v>
      </c>
      <c r="C9429" s="17" t="s">
        <v>3752</v>
      </c>
      <c r="D9429" s="17" t="s">
        <v>1407</v>
      </c>
      <c r="E9429" s="17" t="s">
        <v>3767</v>
      </c>
      <c r="F9429" s="17" t="s">
        <v>2781</v>
      </c>
      <c r="G9429" s="18" t="n">
        <v>0</v>
      </c>
      <c r="H9429" s="18" t="n">
        <v>20.24</v>
      </c>
      <c r="I9429" s="18" t="n">
        <f aca="false">((I9428 + G9429) - H9429)</f>
        <v>81551.45</v>
      </c>
      <c r="J9429" s="18" t="n">
        <v>0</v>
      </c>
      <c r="K9429" s="19" t="n">
        <v>0</v>
      </c>
      <c r="L9429" s="17"/>
    </row>
    <row r="9430" s="11" customFormat="true" ht="10.95" hidden="false" customHeight="true" outlineLevel="0" collapsed="false">
      <c r="A9430" s="16" t="n">
        <v>45132</v>
      </c>
      <c r="B9430" s="17" t="s">
        <v>3861</v>
      </c>
      <c r="C9430" s="17" t="s">
        <v>3752</v>
      </c>
      <c r="D9430" s="17" t="s">
        <v>1407</v>
      </c>
      <c r="E9430" s="17" t="s">
        <v>3770</v>
      </c>
      <c r="F9430" s="17"/>
      <c r="G9430" s="18" t="n">
        <v>0</v>
      </c>
      <c r="H9430" s="18" t="n">
        <v>22.99</v>
      </c>
      <c r="I9430" s="18" t="n">
        <f aca="false">((I9429 + G9430) - H9430)</f>
        <v>81528.46</v>
      </c>
      <c r="J9430" s="18" t="n">
        <v>0</v>
      </c>
      <c r="K9430" s="19" t="n">
        <v>0</v>
      </c>
      <c r="L9430" s="17"/>
    </row>
    <row r="9431" s="11" customFormat="true" ht="10.95" hidden="false" customHeight="true" outlineLevel="0" collapsed="false">
      <c r="A9431" s="16" t="n">
        <v>45132</v>
      </c>
      <c r="B9431" s="17" t="s">
        <v>3861</v>
      </c>
      <c r="C9431" s="17" t="s">
        <v>3752</v>
      </c>
      <c r="D9431" s="17" t="s">
        <v>1407</v>
      </c>
      <c r="E9431" s="17" t="s">
        <v>3767</v>
      </c>
      <c r="F9431" s="17" t="s">
        <v>2781</v>
      </c>
      <c r="G9431" s="18" t="n">
        <v>0</v>
      </c>
      <c r="H9431" s="18" t="n">
        <v>32.53</v>
      </c>
      <c r="I9431" s="18" t="n">
        <f aca="false">((I9430 + G9431) - H9431)</f>
        <v>81495.93</v>
      </c>
      <c r="J9431" s="18" t="n">
        <v>0</v>
      </c>
      <c r="K9431" s="19" t="n">
        <v>0</v>
      </c>
      <c r="L9431" s="17"/>
    </row>
    <row r="9432" s="11" customFormat="true" ht="10.95" hidden="false" customHeight="true" outlineLevel="0" collapsed="false">
      <c r="A9432" s="16" t="n">
        <v>45132</v>
      </c>
      <c r="B9432" s="17" t="s">
        <v>3861</v>
      </c>
      <c r="C9432" s="17" t="s">
        <v>3752</v>
      </c>
      <c r="D9432" s="17" t="s">
        <v>1407</v>
      </c>
      <c r="E9432" s="17" t="s">
        <v>3770</v>
      </c>
      <c r="F9432" s="17"/>
      <c r="G9432" s="18" t="n">
        <v>0</v>
      </c>
      <c r="H9432" s="18" t="n">
        <v>32.78</v>
      </c>
      <c r="I9432" s="18" t="n">
        <f aca="false">((I9431 + G9432) - H9432)</f>
        <v>81463.15</v>
      </c>
      <c r="J9432" s="18" t="n">
        <v>0</v>
      </c>
      <c r="K9432" s="19" t="n">
        <v>0</v>
      </c>
      <c r="L9432" s="17"/>
    </row>
    <row r="9433" s="11" customFormat="true" ht="10.95" hidden="false" customHeight="true" outlineLevel="0" collapsed="false">
      <c r="A9433" s="16" t="n">
        <v>45132</v>
      </c>
      <c r="B9433" s="17" t="s">
        <v>3861</v>
      </c>
      <c r="C9433" s="17" t="s">
        <v>3752</v>
      </c>
      <c r="D9433" s="17" t="s">
        <v>1407</v>
      </c>
      <c r="E9433" s="17" t="s">
        <v>3910</v>
      </c>
      <c r="F9433" s="17"/>
      <c r="G9433" s="18" t="n">
        <v>0</v>
      </c>
      <c r="H9433" s="18" t="n">
        <v>48</v>
      </c>
      <c r="I9433" s="18" t="n">
        <f aca="false">((I9432 + G9433) - H9433)</f>
        <v>81415.15</v>
      </c>
      <c r="J9433" s="18" t="n">
        <v>0</v>
      </c>
      <c r="K9433" s="19" t="n">
        <v>0</v>
      </c>
      <c r="L9433" s="17"/>
    </row>
    <row r="9434" s="11" customFormat="true" ht="10.95" hidden="false" customHeight="true" outlineLevel="0" collapsed="false">
      <c r="A9434" s="16" t="n">
        <v>45132</v>
      </c>
      <c r="B9434" s="17" t="s">
        <v>3861</v>
      </c>
      <c r="C9434" s="17" t="s">
        <v>3752</v>
      </c>
      <c r="D9434" s="17" t="s">
        <v>1407</v>
      </c>
      <c r="E9434" s="17" t="s">
        <v>3767</v>
      </c>
      <c r="F9434" s="17" t="s">
        <v>2781</v>
      </c>
      <c r="G9434" s="18" t="n">
        <v>0</v>
      </c>
      <c r="H9434" s="18" t="n">
        <v>133.32</v>
      </c>
      <c r="I9434" s="18" t="n">
        <f aca="false">((I9433 + G9434) - H9434)</f>
        <v>81281.83</v>
      </c>
      <c r="J9434" s="18" t="n">
        <v>0</v>
      </c>
      <c r="K9434" s="19" t="n">
        <v>0</v>
      </c>
      <c r="L9434" s="17"/>
    </row>
    <row r="9435" s="11" customFormat="true" ht="10.95" hidden="false" customHeight="true" outlineLevel="0" collapsed="false">
      <c r="A9435" s="16" t="n">
        <v>45132</v>
      </c>
      <c r="B9435" s="17" t="s">
        <v>3861</v>
      </c>
      <c r="C9435" s="17" t="s">
        <v>3752</v>
      </c>
      <c r="D9435" s="17" t="s">
        <v>1407</v>
      </c>
      <c r="E9435" s="17" t="s">
        <v>3642</v>
      </c>
      <c r="F9435" s="17"/>
      <c r="G9435" s="18" t="n">
        <v>0</v>
      </c>
      <c r="H9435" s="18" t="n">
        <v>94.6</v>
      </c>
      <c r="I9435" s="18" t="n">
        <f aca="false">((I9434 + G9435) - H9435)</f>
        <v>81187.23</v>
      </c>
      <c r="J9435" s="18" t="n">
        <v>0</v>
      </c>
      <c r="K9435" s="19" t="n">
        <v>0</v>
      </c>
      <c r="L9435" s="17"/>
    </row>
    <row r="9436" s="11" customFormat="true" ht="10.95" hidden="false" customHeight="true" outlineLevel="0" collapsed="false">
      <c r="A9436" s="16" t="n">
        <v>45132</v>
      </c>
      <c r="B9436" s="17" t="s">
        <v>3861</v>
      </c>
      <c r="C9436" s="17" t="s">
        <v>3752</v>
      </c>
      <c r="D9436" s="17" t="s">
        <v>1407</v>
      </c>
      <c r="E9436" s="17" t="s">
        <v>3911</v>
      </c>
      <c r="F9436" s="17"/>
      <c r="G9436" s="18" t="n">
        <v>0</v>
      </c>
      <c r="H9436" s="18" t="n">
        <v>11.84</v>
      </c>
      <c r="I9436" s="18" t="n">
        <f aca="false">((I9435 + G9436) - H9436)</f>
        <v>81175.39</v>
      </c>
      <c r="J9436" s="18" t="n">
        <v>0</v>
      </c>
      <c r="K9436" s="19" t="n">
        <v>0</v>
      </c>
      <c r="L9436" s="17"/>
    </row>
    <row r="9437" s="11" customFormat="true" ht="10.95" hidden="false" customHeight="true" outlineLevel="0" collapsed="false">
      <c r="A9437" s="16" t="n">
        <v>45132</v>
      </c>
      <c r="B9437" s="17" t="s">
        <v>3861</v>
      </c>
      <c r="C9437" s="17" t="s">
        <v>3752</v>
      </c>
      <c r="D9437" s="17" t="s">
        <v>1407</v>
      </c>
      <c r="E9437" s="17" t="s">
        <v>3912</v>
      </c>
      <c r="F9437" s="17"/>
      <c r="G9437" s="18" t="n">
        <v>0</v>
      </c>
      <c r="H9437" s="18" t="n">
        <v>139.99</v>
      </c>
      <c r="I9437" s="18" t="n">
        <f aca="false">((I9436 + G9437) - H9437)</f>
        <v>81035.4</v>
      </c>
      <c r="J9437" s="18" t="n">
        <v>0</v>
      </c>
      <c r="K9437" s="19" t="n">
        <v>0</v>
      </c>
      <c r="L9437" s="17"/>
    </row>
    <row r="9438" s="11" customFormat="true" ht="10.95" hidden="false" customHeight="true" outlineLevel="0" collapsed="false">
      <c r="A9438" s="16" t="n">
        <v>45132</v>
      </c>
      <c r="B9438" s="17" t="s">
        <v>3861</v>
      </c>
      <c r="C9438" s="17" t="s">
        <v>3752</v>
      </c>
      <c r="D9438" s="17" t="s">
        <v>1407</v>
      </c>
      <c r="E9438" s="17" t="s">
        <v>3668</v>
      </c>
      <c r="F9438" s="17"/>
      <c r="G9438" s="18" t="n">
        <v>0</v>
      </c>
      <c r="H9438" s="18" t="n">
        <v>97</v>
      </c>
      <c r="I9438" s="18" t="n">
        <f aca="false">((I9437 + G9438) - H9438)</f>
        <v>80938.4</v>
      </c>
      <c r="J9438" s="18" t="n">
        <v>0</v>
      </c>
      <c r="K9438" s="19" t="n">
        <v>0</v>
      </c>
      <c r="L9438" s="17"/>
    </row>
    <row r="9439" s="11" customFormat="true" ht="10.95" hidden="false" customHeight="true" outlineLevel="0" collapsed="false">
      <c r="A9439" s="16" t="n">
        <v>45132</v>
      </c>
      <c r="B9439" s="17" t="s">
        <v>3861</v>
      </c>
      <c r="C9439" s="17" t="s">
        <v>3752</v>
      </c>
      <c r="D9439" s="17" t="s">
        <v>1407</v>
      </c>
      <c r="E9439" s="17" t="s">
        <v>3889</v>
      </c>
      <c r="F9439" s="17"/>
      <c r="G9439" s="18" t="n">
        <v>0</v>
      </c>
      <c r="H9439" s="18" t="n">
        <v>440</v>
      </c>
      <c r="I9439" s="18" t="n">
        <f aca="false">((I9438 + G9439) - H9439)</f>
        <v>80498.4</v>
      </c>
      <c r="J9439" s="18" t="n">
        <v>0</v>
      </c>
      <c r="K9439" s="19" t="n">
        <v>0</v>
      </c>
      <c r="L9439" s="17"/>
    </row>
    <row r="9440" s="11" customFormat="true" ht="10.95" hidden="false" customHeight="true" outlineLevel="0" collapsed="false">
      <c r="A9440" s="16" t="n">
        <v>45132</v>
      </c>
      <c r="B9440" s="17" t="s">
        <v>3861</v>
      </c>
      <c r="C9440" s="17" t="s">
        <v>3752</v>
      </c>
      <c r="D9440" s="17" t="s">
        <v>1407</v>
      </c>
      <c r="E9440" s="17" t="s">
        <v>1536</v>
      </c>
      <c r="F9440" s="17"/>
      <c r="G9440" s="18" t="n">
        <v>0</v>
      </c>
      <c r="H9440" s="18" t="n">
        <v>278.27</v>
      </c>
      <c r="I9440" s="18" t="n">
        <f aca="false">((I9439 + G9440) - H9440)</f>
        <v>80220.13</v>
      </c>
      <c r="J9440" s="18" t="n">
        <v>0</v>
      </c>
      <c r="K9440" s="19" t="n">
        <v>0</v>
      </c>
      <c r="L9440" s="17"/>
    </row>
    <row r="9441" s="11" customFormat="true" ht="10.95" hidden="false" customHeight="true" outlineLevel="0" collapsed="false">
      <c r="A9441" s="16" t="n">
        <v>45133</v>
      </c>
      <c r="B9441" s="17" t="s">
        <v>3861</v>
      </c>
      <c r="C9441" s="17" t="s">
        <v>3752</v>
      </c>
      <c r="D9441" s="17" t="s">
        <v>2895</v>
      </c>
      <c r="E9441" s="17" t="s">
        <v>2917</v>
      </c>
      <c r="F9441" s="17" t="s">
        <v>2918</v>
      </c>
      <c r="G9441" s="18" t="n">
        <v>2123.62</v>
      </c>
      <c r="H9441" s="18" t="n">
        <v>0</v>
      </c>
      <c r="I9441" s="18" t="n">
        <f aca="false">((I9440 + G9441) - H9441)</f>
        <v>82343.75</v>
      </c>
      <c r="J9441" s="18" t="n">
        <v>0</v>
      </c>
      <c r="K9441" s="19" t="n">
        <v>0</v>
      </c>
      <c r="L9441" s="17"/>
    </row>
    <row r="9442" s="11" customFormat="true" ht="10.95" hidden="false" customHeight="true" outlineLevel="0" collapsed="false">
      <c r="A9442" s="16" t="n">
        <v>45133</v>
      </c>
      <c r="B9442" s="17" t="s">
        <v>3861</v>
      </c>
      <c r="C9442" s="17" t="s">
        <v>3752</v>
      </c>
      <c r="D9442" s="17" t="s">
        <v>1407</v>
      </c>
      <c r="E9442" s="17" t="s">
        <v>3863</v>
      </c>
      <c r="F9442" s="17"/>
      <c r="G9442" s="18" t="n">
        <v>0</v>
      </c>
      <c r="H9442" s="18" t="n">
        <v>0.36</v>
      </c>
      <c r="I9442" s="18" t="n">
        <f aca="false">((I9441 + G9442) - H9442)</f>
        <v>82343.39</v>
      </c>
      <c r="J9442" s="18" t="n">
        <v>0</v>
      </c>
      <c r="K9442" s="19" t="n">
        <v>0</v>
      </c>
      <c r="L9442" s="17"/>
    </row>
    <row r="9443" s="11" customFormat="true" ht="10.95" hidden="false" customHeight="true" outlineLevel="0" collapsed="false">
      <c r="A9443" s="16" t="n">
        <v>45133</v>
      </c>
      <c r="B9443" s="17" t="s">
        <v>3861</v>
      </c>
      <c r="C9443" s="17" t="s">
        <v>3752</v>
      </c>
      <c r="D9443" s="17" t="s">
        <v>1407</v>
      </c>
      <c r="E9443" s="17" t="s">
        <v>3881</v>
      </c>
      <c r="F9443" s="17"/>
      <c r="G9443" s="18" t="n">
        <v>0</v>
      </c>
      <c r="H9443" s="18" t="n">
        <v>140</v>
      </c>
      <c r="I9443" s="18" t="n">
        <f aca="false">((I9442 + G9443) - H9443)</f>
        <v>82203.39</v>
      </c>
      <c r="J9443" s="18" t="n">
        <v>0</v>
      </c>
      <c r="K9443" s="19" t="n">
        <v>0</v>
      </c>
      <c r="L9443" s="17"/>
    </row>
    <row r="9444" s="11" customFormat="true" ht="10.95" hidden="false" customHeight="true" outlineLevel="0" collapsed="false">
      <c r="A9444" s="16" t="n">
        <v>45133</v>
      </c>
      <c r="B9444" s="17" t="s">
        <v>3861</v>
      </c>
      <c r="C9444" s="17" t="s">
        <v>3752</v>
      </c>
      <c r="D9444" s="17" t="s">
        <v>1407</v>
      </c>
      <c r="E9444" s="17" t="s">
        <v>3878</v>
      </c>
      <c r="F9444" s="17"/>
      <c r="G9444" s="18" t="n">
        <v>0</v>
      </c>
      <c r="H9444" s="18" t="n">
        <v>1108</v>
      </c>
      <c r="I9444" s="18" t="n">
        <f aca="false">((I9443 + G9444) - H9444)</f>
        <v>81095.39</v>
      </c>
      <c r="J9444" s="18" t="n">
        <v>0</v>
      </c>
      <c r="K9444" s="19" t="n">
        <v>0</v>
      </c>
      <c r="L9444" s="17"/>
    </row>
    <row r="9445" s="11" customFormat="true" ht="10.95" hidden="false" customHeight="true" outlineLevel="0" collapsed="false">
      <c r="A9445" s="16" t="n">
        <v>45133</v>
      </c>
      <c r="B9445" s="17" t="s">
        <v>3861</v>
      </c>
      <c r="C9445" s="17" t="s">
        <v>3752</v>
      </c>
      <c r="D9445" s="17" t="s">
        <v>1407</v>
      </c>
      <c r="E9445" s="17" t="s">
        <v>3879</v>
      </c>
      <c r="F9445" s="17"/>
      <c r="G9445" s="18" t="n">
        <v>0</v>
      </c>
      <c r="H9445" s="18" t="n">
        <v>1122</v>
      </c>
      <c r="I9445" s="18" t="n">
        <f aca="false">((I9444 + G9445) - H9445)</f>
        <v>79973.39</v>
      </c>
      <c r="J9445" s="18" t="n">
        <v>0</v>
      </c>
      <c r="K9445" s="19" t="n">
        <v>0</v>
      </c>
      <c r="L9445" s="17"/>
    </row>
    <row r="9446" s="11" customFormat="true" ht="10.95" hidden="false" customHeight="true" outlineLevel="0" collapsed="false">
      <c r="A9446" s="16" t="n">
        <v>45133</v>
      </c>
      <c r="B9446" s="17" t="s">
        <v>3861</v>
      </c>
      <c r="C9446" s="17" t="s">
        <v>3752</v>
      </c>
      <c r="D9446" s="17" t="s">
        <v>1407</v>
      </c>
      <c r="E9446" s="17" t="s">
        <v>3880</v>
      </c>
      <c r="F9446" s="17"/>
      <c r="G9446" s="18" t="n">
        <v>0</v>
      </c>
      <c r="H9446" s="18" t="n">
        <v>1122</v>
      </c>
      <c r="I9446" s="18" t="n">
        <f aca="false">((I9445 + G9446) - H9446)</f>
        <v>78851.39</v>
      </c>
      <c r="J9446" s="18" t="n">
        <v>0</v>
      </c>
      <c r="K9446" s="19" t="n">
        <v>0</v>
      </c>
      <c r="L9446" s="17"/>
    </row>
    <row r="9447" s="11" customFormat="true" ht="10.95" hidden="false" customHeight="true" outlineLevel="0" collapsed="false">
      <c r="A9447" s="16" t="n">
        <v>45133</v>
      </c>
      <c r="B9447" s="17" t="s">
        <v>3861</v>
      </c>
      <c r="C9447" s="17" t="s">
        <v>3752</v>
      </c>
      <c r="D9447" s="17" t="s">
        <v>1407</v>
      </c>
      <c r="E9447" s="17" t="s">
        <v>3808</v>
      </c>
      <c r="F9447" s="17"/>
      <c r="G9447" s="18" t="n">
        <v>0</v>
      </c>
      <c r="H9447" s="18" t="n">
        <v>1568.38</v>
      </c>
      <c r="I9447" s="18" t="n">
        <f aca="false">((I9446 + G9447) - H9447)</f>
        <v>77283.01</v>
      </c>
      <c r="J9447" s="18" t="n">
        <v>0</v>
      </c>
      <c r="K9447" s="19" t="n">
        <v>0</v>
      </c>
      <c r="L9447" s="17"/>
    </row>
    <row r="9448" s="11" customFormat="true" ht="10.95" hidden="false" customHeight="true" outlineLevel="0" collapsed="false">
      <c r="A9448" s="16" t="n">
        <v>45133</v>
      </c>
      <c r="B9448" s="17" t="s">
        <v>3861</v>
      </c>
      <c r="C9448" s="17" t="s">
        <v>3752</v>
      </c>
      <c r="D9448" s="17" t="s">
        <v>1407</v>
      </c>
      <c r="E9448" s="17" t="s">
        <v>3858</v>
      </c>
      <c r="F9448" s="17"/>
      <c r="G9448" s="18" t="n">
        <v>0</v>
      </c>
      <c r="H9448" s="18" t="n">
        <v>1058.01</v>
      </c>
      <c r="I9448" s="18" t="n">
        <f aca="false">((I9447 + G9448) - H9448)</f>
        <v>76225</v>
      </c>
      <c r="J9448" s="18" t="n">
        <v>0</v>
      </c>
      <c r="K9448" s="19" t="n">
        <v>0</v>
      </c>
      <c r="L9448" s="17"/>
    </row>
    <row r="9449" s="11" customFormat="true" ht="10.95" hidden="false" customHeight="true" outlineLevel="0" collapsed="false">
      <c r="A9449" s="16" t="n">
        <v>45133</v>
      </c>
      <c r="B9449" s="17" t="s">
        <v>3861</v>
      </c>
      <c r="C9449" s="17" t="s">
        <v>3752</v>
      </c>
      <c r="D9449" s="17" t="s">
        <v>1407</v>
      </c>
      <c r="E9449" s="17" t="s">
        <v>3858</v>
      </c>
      <c r="F9449" s="17"/>
      <c r="G9449" s="18" t="n">
        <v>0</v>
      </c>
      <c r="H9449" s="18" t="n">
        <v>5.82</v>
      </c>
      <c r="I9449" s="18" t="n">
        <f aca="false">((I9448 + G9449) - H9449)</f>
        <v>76219.18</v>
      </c>
      <c r="J9449" s="18" t="n">
        <v>0</v>
      </c>
      <c r="K9449" s="19" t="n">
        <v>0</v>
      </c>
      <c r="L9449" s="17"/>
    </row>
    <row r="9450" s="11" customFormat="true" ht="10.95" hidden="false" customHeight="true" outlineLevel="0" collapsed="false">
      <c r="A9450" s="16" t="n">
        <v>45133</v>
      </c>
      <c r="B9450" s="17" t="s">
        <v>3861</v>
      </c>
      <c r="C9450" s="17" t="s">
        <v>3752</v>
      </c>
      <c r="D9450" s="17" t="s">
        <v>1407</v>
      </c>
      <c r="E9450" s="17" t="s">
        <v>3911</v>
      </c>
      <c r="F9450" s="17"/>
      <c r="G9450" s="18" t="n">
        <v>0</v>
      </c>
      <c r="H9450" s="18" t="n">
        <v>11.89</v>
      </c>
      <c r="I9450" s="18" t="n">
        <f aca="false">((I9449 + G9450) - H9450)</f>
        <v>76207.29</v>
      </c>
      <c r="J9450" s="18" t="n">
        <v>0</v>
      </c>
      <c r="K9450" s="19" t="n">
        <v>0</v>
      </c>
      <c r="L9450" s="17"/>
    </row>
    <row r="9451" s="11" customFormat="true" ht="10.95" hidden="false" customHeight="true" outlineLevel="0" collapsed="false">
      <c r="A9451" s="16" t="n">
        <v>45133</v>
      </c>
      <c r="B9451" s="17" t="s">
        <v>3861</v>
      </c>
      <c r="C9451" s="17" t="s">
        <v>3752</v>
      </c>
      <c r="D9451" s="17" t="s">
        <v>1407</v>
      </c>
      <c r="E9451" s="17" t="s">
        <v>3913</v>
      </c>
      <c r="F9451" s="17"/>
      <c r="G9451" s="18" t="n">
        <v>0</v>
      </c>
      <c r="H9451" s="18" t="n">
        <v>712.8</v>
      </c>
      <c r="I9451" s="18" t="n">
        <f aca="false">((I9450 + G9451) - H9451)</f>
        <v>75494.49</v>
      </c>
      <c r="J9451" s="18" t="n">
        <v>0</v>
      </c>
      <c r="K9451" s="19" t="n">
        <v>0</v>
      </c>
      <c r="L9451" s="17"/>
    </row>
    <row r="9452" s="11" customFormat="true" ht="10.95" hidden="false" customHeight="true" outlineLevel="0" collapsed="false">
      <c r="A9452" s="16" t="n">
        <v>45134</v>
      </c>
      <c r="B9452" s="17" t="s">
        <v>3861</v>
      </c>
      <c r="C9452" s="17" t="s">
        <v>3752</v>
      </c>
      <c r="D9452" s="17" t="s">
        <v>2895</v>
      </c>
      <c r="E9452" s="17" t="s">
        <v>3456</v>
      </c>
      <c r="F9452" s="17" t="s">
        <v>3914</v>
      </c>
      <c r="G9452" s="18" t="n">
        <v>2244</v>
      </c>
      <c r="H9452" s="18" t="n">
        <v>0</v>
      </c>
      <c r="I9452" s="18" t="n">
        <f aca="false">((I9451 + G9452) - H9452)</f>
        <v>77738.49</v>
      </c>
      <c r="J9452" s="18" t="n">
        <v>0</v>
      </c>
      <c r="K9452" s="19" t="n">
        <v>0</v>
      </c>
      <c r="L9452" s="17"/>
    </row>
    <row r="9453" s="11" customFormat="true" ht="10.95" hidden="false" customHeight="true" outlineLevel="0" collapsed="false">
      <c r="A9453" s="16" t="n">
        <v>45134</v>
      </c>
      <c r="B9453" s="17" t="s">
        <v>3861</v>
      </c>
      <c r="C9453" s="17" t="s">
        <v>3752</v>
      </c>
      <c r="D9453" s="17" t="s">
        <v>1407</v>
      </c>
      <c r="E9453" s="17" t="s">
        <v>2747</v>
      </c>
      <c r="F9453" s="17"/>
      <c r="G9453" s="18" t="n">
        <v>0</v>
      </c>
      <c r="H9453" s="18" t="n">
        <v>7</v>
      </c>
      <c r="I9453" s="18" t="n">
        <f aca="false">((I9452 + G9453) - H9453)</f>
        <v>77731.49</v>
      </c>
      <c r="J9453" s="18" t="n">
        <v>0</v>
      </c>
      <c r="K9453" s="19" t="n">
        <v>0</v>
      </c>
      <c r="L9453" s="17"/>
    </row>
    <row r="9454" s="11" customFormat="true" ht="10.95" hidden="false" customHeight="true" outlineLevel="0" collapsed="false">
      <c r="A9454" s="16" t="n">
        <v>45134</v>
      </c>
      <c r="B9454" s="17" t="s">
        <v>3861</v>
      </c>
      <c r="C9454" s="17" t="s">
        <v>3752</v>
      </c>
      <c r="D9454" s="17" t="s">
        <v>1407</v>
      </c>
      <c r="E9454" s="17" t="s">
        <v>3880</v>
      </c>
      <c r="F9454" s="17"/>
      <c r="G9454" s="18" t="n">
        <v>0</v>
      </c>
      <c r="H9454" s="18" t="n">
        <v>1100</v>
      </c>
      <c r="I9454" s="18" t="n">
        <f aca="false">((I9453 + G9454) - H9454)</f>
        <v>76631.49</v>
      </c>
      <c r="J9454" s="18" t="n">
        <v>0</v>
      </c>
      <c r="K9454" s="19" t="n">
        <v>0</v>
      </c>
      <c r="L9454" s="17"/>
    </row>
    <row r="9455" s="11" customFormat="true" ht="10.95" hidden="false" customHeight="true" outlineLevel="0" collapsed="false">
      <c r="A9455" s="16" t="n">
        <v>45135</v>
      </c>
      <c r="B9455" s="17" t="s">
        <v>3861</v>
      </c>
      <c r="C9455" s="17" t="s">
        <v>3752</v>
      </c>
      <c r="D9455" s="17" t="s">
        <v>2895</v>
      </c>
      <c r="E9455" s="17" t="s">
        <v>3457</v>
      </c>
      <c r="F9455" s="17" t="s">
        <v>3915</v>
      </c>
      <c r="G9455" s="18" t="n">
        <v>9130</v>
      </c>
      <c r="H9455" s="18" t="n">
        <v>0</v>
      </c>
      <c r="I9455" s="18" t="n">
        <f aca="false">((I9454 + G9455) - H9455)</f>
        <v>85761.49</v>
      </c>
      <c r="J9455" s="18" t="n">
        <v>0</v>
      </c>
      <c r="K9455" s="19" t="n">
        <v>0</v>
      </c>
      <c r="L9455" s="17"/>
    </row>
    <row r="9456" s="11" customFormat="true" ht="10.95" hidden="false" customHeight="true" outlineLevel="0" collapsed="false">
      <c r="A9456" s="16" t="n">
        <v>45135</v>
      </c>
      <c r="B9456" s="17" t="s">
        <v>3861</v>
      </c>
      <c r="C9456" s="17" t="s">
        <v>3752</v>
      </c>
      <c r="D9456" s="17" t="s">
        <v>2895</v>
      </c>
      <c r="E9456" s="17" t="s">
        <v>3459</v>
      </c>
      <c r="F9456" s="17" t="s">
        <v>3916</v>
      </c>
      <c r="G9456" s="18" t="n">
        <v>1784.2</v>
      </c>
      <c r="H9456" s="18" t="n">
        <v>0</v>
      </c>
      <c r="I9456" s="18" t="n">
        <f aca="false">((I9455 + G9456) - H9456)</f>
        <v>87545.69</v>
      </c>
      <c r="J9456" s="18" t="n">
        <v>0</v>
      </c>
      <c r="K9456" s="19" t="n">
        <v>0</v>
      </c>
      <c r="L9456" s="17"/>
    </row>
    <row r="9457" s="11" customFormat="true" ht="10.95" hidden="false" customHeight="true" outlineLevel="0" collapsed="false">
      <c r="A9457" s="16" t="n">
        <v>45135</v>
      </c>
      <c r="B9457" s="17" t="s">
        <v>3861</v>
      </c>
      <c r="C9457" s="17" t="s">
        <v>3752</v>
      </c>
      <c r="D9457" s="17" t="s">
        <v>1407</v>
      </c>
      <c r="E9457" s="17" t="s">
        <v>2747</v>
      </c>
      <c r="F9457" s="17"/>
      <c r="G9457" s="18" t="n">
        <v>0</v>
      </c>
      <c r="H9457" s="18" t="n">
        <v>7</v>
      </c>
      <c r="I9457" s="18" t="n">
        <f aca="false">((I9456 + G9457) - H9457)</f>
        <v>87538.69</v>
      </c>
      <c r="J9457" s="18" t="n">
        <v>0</v>
      </c>
      <c r="K9457" s="19" t="n">
        <v>0</v>
      </c>
      <c r="L9457" s="17"/>
    </row>
    <row r="9458" s="11" customFormat="true" ht="10.95" hidden="false" customHeight="true" outlineLevel="0" collapsed="false">
      <c r="A9458" s="16" t="n">
        <v>45135</v>
      </c>
      <c r="B9458" s="17" t="s">
        <v>3861</v>
      </c>
      <c r="C9458" s="17" t="s">
        <v>3752</v>
      </c>
      <c r="D9458" s="17" t="s">
        <v>1407</v>
      </c>
      <c r="E9458" s="17" t="s">
        <v>3917</v>
      </c>
      <c r="F9458" s="17"/>
      <c r="G9458" s="18" t="n">
        <v>0</v>
      </c>
      <c r="H9458" s="18" t="n">
        <v>5</v>
      </c>
      <c r="I9458" s="18" t="n">
        <f aca="false">((I9457 + G9458) - H9458)</f>
        <v>87533.69</v>
      </c>
      <c r="J9458" s="18" t="n">
        <v>0</v>
      </c>
      <c r="K9458" s="19" t="n">
        <v>0</v>
      </c>
      <c r="L9458" s="17"/>
    </row>
    <row r="9459" s="11" customFormat="true" ht="10.95" hidden="false" customHeight="true" outlineLevel="0" collapsed="false">
      <c r="A9459" s="16" t="n">
        <v>45135</v>
      </c>
      <c r="B9459" s="17" t="s">
        <v>3861</v>
      </c>
      <c r="C9459" s="17" t="s">
        <v>3752</v>
      </c>
      <c r="D9459" s="17" t="s">
        <v>1407</v>
      </c>
      <c r="E9459" s="17" t="s">
        <v>3642</v>
      </c>
      <c r="F9459" s="17"/>
      <c r="G9459" s="18" t="n">
        <v>0</v>
      </c>
      <c r="H9459" s="18" t="n">
        <v>39.82</v>
      </c>
      <c r="I9459" s="18" t="n">
        <f aca="false">((I9458 + G9459) - H9459)</f>
        <v>87493.87</v>
      </c>
      <c r="J9459" s="18" t="n">
        <v>0</v>
      </c>
      <c r="K9459" s="19" t="n">
        <v>0</v>
      </c>
      <c r="L9459" s="17"/>
    </row>
    <row r="9460" s="11" customFormat="true" ht="10.95" hidden="false" customHeight="true" outlineLevel="0" collapsed="false">
      <c r="A9460" s="16" t="n">
        <v>45135</v>
      </c>
      <c r="B9460" s="17" t="s">
        <v>3861</v>
      </c>
      <c r="C9460" s="17" t="s">
        <v>3752</v>
      </c>
      <c r="D9460" s="17" t="s">
        <v>1407</v>
      </c>
      <c r="E9460" s="17" t="s">
        <v>2591</v>
      </c>
      <c r="F9460" s="17"/>
      <c r="G9460" s="18" t="n">
        <v>0</v>
      </c>
      <c r="H9460" s="18" t="n">
        <v>169.1</v>
      </c>
      <c r="I9460" s="18" t="n">
        <f aca="false">((I9459 + G9460) - H9460)</f>
        <v>87324.77</v>
      </c>
      <c r="J9460" s="18" t="n">
        <v>0</v>
      </c>
      <c r="K9460" s="19" t="n">
        <v>0</v>
      </c>
      <c r="L9460" s="17"/>
    </row>
    <row r="9461" s="11" customFormat="true" ht="10.95" hidden="false" customHeight="true" outlineLevel="0" collapsed="false">
      <c r="A9461" s="16" t="n">
        <v>45135</v>
      </c>
      <c r="B9461" s="17" t="s">
        <v>3861</v>
      </c>
      <c r="C9461" s="17" t="s">
        <v>3752</v>
      </c>
      <c r="D9461" s="17" t="s">
        <v>1407</v>
      </c>
      <c r="E9461" s="17" t="s">
        <v>3720</v>
      </c>
      <c r="F9461" s="17"/>
      <c r="G9461" s="18" t="n">
        <v>0</v>
      </c>
      <c r="H9461" s="18" t="n">
        <v>942.18</v>
      </c>
      <c r="I9461" s="18" t="n">
        <f aca="false">((I9460 + G9461) - H9461)</f>
        <v>86382.59</v>
      </c>
      <c r="J9461" s="18" t="n">
        <v>0</v>
      </c>
      <c r="K9461" s="19" t="n">
        <v>0</v>
      </c>
      <c r="L9461" s="17"/>
    </row>
    <row r="9462" s="11" customFormat="true" ht="10.95" hidden="false" customHeight="true" outlineLevel="0" collapsed="false">
      <c r="A9462" s="16" t="n">
        <v>45135</v>
      </c>
      <c r="B9462" s="17" t="s">
        <v>3861</v>
      </c>
      <c r="C9462" s="17" t="s">
        <v>3752</v>
      </c>
      <c r="D9462" s="17" t="s">
        <v>1407</v>
      </c>
      <c r="E9462" s="17" t="s">
        <v>3918</v>
      </c>
      <c r="F9462" s="17"/>
      <c r="G9462" s="18" t="n">
        <v>0</v>
      </c>
      <c r="H9462" s="18" t="n">
        <v>4065.6</v>
      </c>
      <c r="I9462" s="18" t="n">
        <f aca="false">((I9461 + G9462) - H9462)</f>
        <v>82316.99</v>
      </c>
      <c r="J9462" s="18" t="n">
        <v>0</v>
      </c>
      <c r="K9462" s="19" t="n">
        <v>0</v>
      </c>
      <c r="L9462" s="17"/>
    </row>
    <row r="9463" s="11" customFormat="true" ht="10.95" hidden="false" customHeight="true" outlineLevel="0" collapsed="false">
      <c r="A9463" s="16" t="n">
        <v>45136</v>
      </c>
      <c r="B9463" s="17" t="s">
        <v>3861</v>
      </c>
      <c r="C9463" s="17" t="s">
        <v>3752</v>
      </c>
      <c r="D9463" s="17" t="s">
        <v>1407</v>
      </c>
      <c r="E9463" s="17" t="s">
        <v>3863</v>
      </c>
      <c r="F9463" s="17"/>
      <c r="G9463" s="18" t="n">
        <v>0</v>
      </c>
      <c r="H9463" s="18" t="n">
        <v>6.92</v>
      </c>
      <c r="I9463" s="18" t="n">
        <f aca="false">((I9462 + G9463) - H9463)</f>
        <v>82310.07</v>
      </c>
      <c r="J9463" s="18" t="n">
        <v>0</v>
      </c>
      <c r="K9463" s="19" t="n">
        <v>0</v>
      </c>
      <c r="L9463" s="17"/>
    </row>
    <row r="9464" s="11" customFormat="true" ht="10.95" hidden="false" customHeight="true" outlineLevel="0" collapsed="false">
      <c r="A9464" s="16" t="n">
        <v>45136</v>
      </c>
      <c r="B9464" s="17" t="s">
        <v>3861</v>
      </c>
      <c r="C9464" s="17" t="s">
        <v>3752</v>
      </c>
      <c r="D9464" s="17" t="s">
        <v>1407</v>
      </c>
      <c r="E9464" s="17" t="s">
        <v>3889</v>
      </c>
      <c r="F9464" s="17"/>
      <c r="G9464" s="18" t="n">
        <v>0</v>
      </c>
      <c r="H9464" s="18" t="n">
        <v>56.15</v>
      </c>
      <c r="I9464" s="18" t="n">
        <f aca="false">((I9463 + G9464) - H9464)</f>
        <v>82253.92</v>
      </c>
      <c r="J9464" s="18" t="n">
        <v>0</v>
      </c>
      <c r="K9464" s="19" t="n">
        <v>0</v>
      </c>
      <c r="L9464" s="17"/>
    </row>
    <row r="9465" s="11" customFormat="true" ht="10.95" hidden="false" customHeight="true" outlineLevel="0" collapsed="false">
      <c r="A9465" s="16" t="n">
        <v>45136</v>
      </c>
      <c r="B9465" s="17" t="s">
        <v>3861</v>
      </c>
      <c r="C9465" s="17" t="s">
        <v>3752</v>
      </c>
      <c r="D9465" s="17" t="s">
        <v>3753</v>
      </c>
      <c r="E9465" s="17" t="s">
        <v>3806</v>
      </c>
      <c r="F9465" s="17"/>
      <c r="G9465" s="18" t="n">
        <v>0</v>
      </c>
      <c r="H9465" s="18" t="n">
        <v>173.49</v>
      </c>
      <c r="I9465" s="18" t="n">
        <f aca="false">((I9464 + G9465) - H9465)</f>
        <v>82080.43</v>
      </c>
      <c r="J9465" s="18" t="n">
        <v>0</v>
      </c>
      <c r="K9465" s="19" t="n">
        <v>0</v>
      </c>
      <c r="L9465" s="17"/>
    </row>
    <row r="9466" s="11" customFormat="true" ht="10.95" hidden="false" customHeight="true" outlineLevel="0" collapsed="false">
      <c r="A9466" s="16" t="n">
        <v>45136</v>
      </c>
      <c r="B9466" s="17" t="s">
        <v>3861</v>
      </c>
      <c r="C9466" s="17" t="s">
        <v>3752</v>
      </c>
      <c r="D9466" s="17" t="s">
        <v>1407</v>
      </c>
      <c r="E9466" s="17" t="s">
        <v>3685</v>
      </c>
      <c r="F9466" s="17"/>
      <c r="G9466" s="18" t="n">
        <v>0</v>
      </c>
      <c r="H9466" s="18" t="n">
        <v>230.72</v>
      </c>
      <c r="I9466" s="18" t="n">
        <f aca="false">((I9465 + G9466) - H9466)</f>
        <v>81849.71</v>
      </c>
      <c r="J9466" s="18" t="n">
        <v>0</v>
      </c>
      <c r="K9466" s="19" t="n">
        <v>0</v>
      </c>
      <c r="L9466" s="17"/>
    </row>
    <row r="9467" s="11" customFormat="true" ht="10.95" hidden="false" customHeight="true" outlineLevel="0" collapsed="false">
      <c r="A9467" s="16" t="n">
        <v>45138</v>
      </c>
      <c r="B9467" s="17" t="s">
        <v>3861</v>
      </c>
      <c r="C9467" s="17" t="s">
        <v>3752</v>
      </c>
      <c r="D9467" s="17" t="s">
        <v>2895</v>
      </c>
      <c r="E9467" s="17" t="s">
        <v>3460</v>
      </c>
      <c r="F9467" s="17" t="s">
        <v>3919</v>
      </c>
      <c r="G9467" s="18" t="n">
        <v>4207.5</v>
      </c>
      <c r="H9467" s="18" t="n">
        <v>0</v>
      </c>
      <c r="I9467" s="18" t="n">
        <f aca="false">((I9466 + G9467) - H9467)</f>
        <v>86057.21</v>
      </c>
      <c r="J9467" s="18" t="n">
        <v>0</v>
      </c>
      <c r="K9467" s="19" t="n">
        <v>0</v>
      </c>
      <c r="L9467" s="17"/>
    </row>
    <row r="9468" s="11" customFormat="true" ht="10.95" hidden="false" customHeight="true" outlineLevel="0" collapsed="false">
      <c r="A9468" s="16" t="n">
        <v>45138</v>
      </c>
      <c r="B9468" s="17" t="s">
        <v>3861</v>
      </c>
      <c r="C9468" s="17" t="s">
        <v>3752</v>
      </c>
      <c r="D9468" s="17" t="s">
        <v>2895</v>
      </c>
      <c r="E9468" s="17" t="s">
        <v>3460</v>
      </c>
      <c r="F9468" s="17" t="s">
        <v>3920</v>
      </c>
      <c r="G9468" s="18" t="n">
        <v>4182.2</v>
      </c>
      <c r="H9468" s="18" t="n">
        <v>0</v>
      </c>
      <c r="I9468" s="18" t="n">
        <f aca="false">((I9467 + G9468) - H9468)</f>
        <v>90239.41</v>
      </c>
      <c r="J9468" s="18" t="n">
        <v>0</v>
      </c>
      <c r="K9468" s="19" t="n">
        <v>0</v>
      </c>
      <c r="L9468" s="17"/>
    </row>
    <row r="9469" s="11" customFormat="true" ht="10.95" hidden="false" customHeight="true" outlineLevel="0" collapsed="false">
      <c r="A9469" s="16" t="n">
        <v>45138</v>
      </c>
      <c r="B9469" s="17" t="s">
        <v>3861</v>
      </c>
      <c r="C9469" s="17" t="s">
        <v>3752</v>
      </c>
      <c r="D9469" s="17" t="s">
        <v>2895</v>
      </c>
      <c r="E9469" s="17" t="s">
        <v>3384</v>
      </c>
      <c r="F9469" s="17" t="s">
        <v>3921</v>
      </c>
      <c r="G9469" s="18" t="n">
        <v>1672</v>
      </c>
      <c r="H9469" s="18" t="n">
        <v>0</v>
      </c>
      <c r="I9469" s="18" t="n">
        <f aca="false">((I9468 + G9469) - H9469)</f>
        <v>91911.41</v>
      </c>
      <c r="J9469" s="18" t="n">
        <v>0</v>
      </c>
      <c r="K9469" s="19" t="n">
        <v>0</v>
      </c>
      <c r="L9469" s="17"/>
    </row>
    <row r="9470" s="11" customFormat="true" ht="10.95" hidden="false" customHeight="true" outlineLevel="0" collapsed="false">
      <c r="A9470" s="16" t="n">
        <v>45138</v>
      </c>
      <c r="B9470" s="17" t="s">
        <v>3861</v>
      </c>
      <c r="C9470" s="17" t="s">
        <v>3752</v>
      </c>
      <c r="D9470" s="17" t="s">
        <v>2895</v>
      </c>
      <c r="E9470" s="17" t="s">
        <v>3384</v>
      </c>
      <c r="F9470" s="17" t="s">
        <v>3922</v>
      </c>
      <c r="G9470" s="18" t="n">
        <v>572</v>
      </c>
      <c r="H9470" s="18" t="n">
        <v>0</v>
      </c>
      <c r="I9470" s="18" t="n">
        <f aca="false">((I9469 + G9470) - H9470)</f>
        <v>92483.41</v>
      </c>
      <c r="J9470" s="18" t="n">
        <v>0</v>
      </c>
      <c r="K9470" s="19" t="n">
        <v>0</v>
      </c>
      <c r="L9470" s="17"/>
    </row>
    <row r="9471" s="11" customFormat="true" ht="10.95" hidden="false" customHeight="true" outlineLevel="0" collapsed="false">
      <c r="A9471" s="16" t="n">
        <v>45138</v>
      </c>
      <c r="B9471" s="17" t="s">
        <v>3861</v>
      </c>
      <c r="C9471" s="17" t="s">
        <v>3752</v>
      </c>
      <c r="D9471" s="17" t="s">
        <v>2895</v>
      </c>
      <c r="E9471" s="17" t="s">
        <v>3384</v>
      </c>
      <c r="F9471" s="17" t="s">
        <v>3923</v>
      </c>
      <c r="G9471" s="18" t="n">
        <v>2194.5</v>
      </c>
      <c r="H9471" s="18" t="n">
        <v>0</v>
      </c>
      <c r="I9471" s="18" t="n">
        <f aca="false">((I9470 + G9471) - H9471)</f>
        <v>94677.91</v>
      </c>
      <c r="J9471" s="18" t="n">
        <v>0</v>
      </c>
      <c r="K9471" s="19" t="n">
        <v>0</v>
      </c>
      <c r="L9471" s="17"/>
    </row>
    <row r="9472" s="11" customFormat="true" ht="10.95" hidden="false" customHeight="true" outlineLevel="0" collapsed="false">
      <c r="A9472" s="16" t="n">
        <v>45138</v>
      </c>
      <c r="B9472" s="17" t="s">
        <v>3861</v>
      </c>
      <c r="C9472" s="17" t="s">
        <v>3752</v>
      </c>
      <c r="D9472" s="17" t="s">
        <v>2895</v>
      </c>
      <c r="E9472" s="17" t="s">
        <v>3384</v>
      </c>
      <c r="F9472" s="17" t="s">
        <v>3924</v>
      </c>
      <c r="G9472" s="18" t="n">
        <v>2821.5</v>
      </c>
      <c r="H9472" s="18" t="n">
        <v>0</v>
      </c>
      <c r="I9472" s="18" t="n">
        <f aca="false">((I9471 + G9472) - H9472)</f>
        <v>97499.41</v>
      </c>
      <c r="J9472" s="18" t="n">
        <v>0</v>
      </c>
      <c r="K9472" s="19" t="n">
        <v>0</v>
      </c>
      <c r="L9472" s="17"/>
    </row>
    <row r="9473" s="11" customFormat="true" ht="10.95" hidden="false" customHeight="true" outlineLevel="0" collapsed="false">
      <c r="A9473" s="16" t="n">
        <v>45138</v>
      </c>
      <c r="B9473" s="17" t="s">
        <v>3861</v>
      </c>
      <c r="C9473" s="17" t="s">
        <v>3752</v>
      </c>
      <c r="D9473" s="17" t="s">
        <v>3814</v>
      </c>
      <c r="E9473" s="17" t="s">
        <v>3815</v>
      </c>
      <c r="F9473" s="17"/>
      <c r="G9473" s="18" t="n">
        <v>0</v>
      </c>
      <c r="H9473" s="18" t="n">
        <v>5</v>
      </c>
      <c r="I9473" s="18" t="n">
        <f aca="false">((I9472 + G9473) - H9473)</f>
        <v>97494.41</v>
      </c>
      <c r="J9473" s="18" t="n">
        <v>0</v>
      </c>
      <c r="K9473" s="19" t="n">
        <v>0</v>
      </c>
      <c r="L9473" s="17"/>
    </row>
    <row r="9474" s="11" customFormat="true" ht="10.95" hidden="false" customHeight="true" outlineLevel="0" collapsed="false">
      <c r="A9474" s="16" t="n">
        <v>45138</v>
      </c>
      <c r="B9474" s="17" t="s">
        <v>3861</v>
      </c>
      <c r="C9474" s="17" t="s">
        <v>3752</v>
      </c>
      <c r="D9474" s="17" t="s">
        <v>2895</v>
      </c>
      <c r="E9474" s="17" t="s">
        <v>3465</v>
      </c>
      <c r="F9474" s="17" t="s">
        <v>3925</v>
      </c>
      <c r="G9474" s="18" t="n">
        <v>1094.5</v>
      </c>
      <c r="H9474" s="18" t="n">
        <v>0</v>
      </c>
      <c r="I9474" s="18" t="n">
        <f aca="false">((I9473 + G9474) - H9474)</f>
        <v>98588.91</v>
      </c>
      <c r="J9474" s="18" t="n">
        <v>0</v>
      </c>
      <c r="K9474" s="19" t="n">
        <v>0</v>
      </c>
      <c r="L9474" s="17"/>
    </row>
    <row r="9475" s="11" customFormat="true" ht="10.95" hidden="false" customHeight="true" outlineLevel="0" collapsed="false">
      <c r="A9475" s="16" t="n">
        <v>45138</v>
      </c>
      <c r="B9475" s="17" t="s">
        <v>3861</v>
      </c>
      <c r="C9475" s="17" t="s">
        <v>3752</v>
      </c>
      <c r="D9475" s="17" t="s">
        <v>2895</v>
      </c>
      <c r="E9475" s="17" t="s">
        <v>3466</v>
      </c>
      <c r="F9475" s="17" t="s">
        <v>3926</v>
      </c>
      <c r="G9475" s="18" t="n">
        <v>396</v>
      </c>
      <c r="H9475" s="18" t="n">
        <v>0</v>
      </c>
      <c r="I9475" s="18" t="n">
        <f aca="false">((I9474 + G9475) - H9475)</f>
        <v>98984.91</v>
      </c>
      <c r="J9475" s="18" t="n">
        <v>0</v>
      </c>
      <c r="K9475" s="19" t="n">
        <v>0</v>
      </c>
      <c r="L9475" s="17"/>
    </row>
    <row r="9476" s="11" customFormat="true" ht="10.95" hidden="false" customHeight="true" outlineLevel="0" collapsed="false">
      <c r="A9476" s="16" t="n">
        <v>45138</v>
      </c>
      <c r="B9476" s="17" t="s">
        <v>3861</v>
      </c>
      <c r="C9476" s="17" t="s">
        <v>3752</v>
      </c>
      <c r="D9476" s="17" t="s">
        <v>1407</v>
      </c>
      <c r="E9476" s="17" t="s">
        <v>3808</v>
      </c>
      <c r="F9476" s="17"/>
      <c r="G9476" s="18" t="n">
        <v>0</v>
      </c>
      <c r="H9476" s="18" t="n">
        <v>1000</v>
      </c>
      <c r="I9476" s="18" t="n">
        <f aca="false">((I9475 + G9476) - H9476)</f>
        <v>97984.91</v>
      </c>
      <c r="J9476" s="18" t="n">
        <v>0</v>
      </c>
      <c r="K9476" s="19" t="n">
        <v>0</v>
      </c>
      <c r="L9476" s="17"/>
    </row>
    <row r="9477" s="11" customFormat="true" ht="10.95" hidden="false" customHeight="true" outlineLevel="0" collapsed="false">
      <c r="A9477" s="16" t="n">
        <v>45139</v>
      </c>
      <c r="B9477" s="17" t="s">
        <v>3861</v>
      </c>
      <c r="C9477" s="17" t="s">
        <v>3752</v>
      </c>
      <c r="D9477" s="17" t="s">
        <v>1276</v>
      </c>
      <c r="E9477" s="17" t="s">
        <v>3428</v>
      </c>
      <c r="F9477" s="17" t="s">
        <v>1286</v>
      </c>
      <c r="G9477" s="18" t="n">
        <v>16.09</v>
      </c>
      <c r="H9477" s="18" t="n">
        <v>0</v>
      </c>
      <c r="I9477" s="18" t="n">
        <f aca="false">((I9476 + G9477) - H9477)</f>
        <v>98000.9999999999</v>
      </c>
      <c r="J9477" s="18" t="n">
        <v>0</v>
      </c>
      <c r="K9477" s="19" t="n">
        <v>0</v>
      </c>
      <c r="L9477" s="17"/>
    </row>
    <row r="9478" s="11" customFormat="true" ht="10.95" hidden="false" customHeight="true" outlineLevel="0" collapsed="false">
      <c r="A9478" s="16" t="n">
        <v>45139</v>
      </c>
      <c r="B9478" s="17" t="s">
        <v>3861</v>
      </c>
      <c r="C9478" s="17" t="s">
        <v>3752</v>
      </c>
      <c r="D9478" s="17" t="s">
        <v>1407</v>
      </c>
      <c r="E9478" s="17" t="s">
        <v>3862</v>
      </c>
      <c r="F9478" s="17" t="s">
        <v>1286</v>
      </c>
      <c r="G9478" s="18" t="n">
        <v>0</v>
      </c>
      <c r="H9478" s="18" t="n">
        <v>16.67</v>
      </c>
      <c r="I9478" s="18" t="n">
        <f aca="false">((I9477 + G9478) - H9478)</f>
        <v>97984.3299999999</v>
      </c>
      <c r="J9478" s="18" t="n">
        <v>0</v>
      </c>
      <c r="K9478" s="19" t="n">
        <v>0</v>
      </c>
      <c r="L9478" s="17"/>
    </row>
    <row r="9479" s="11" customFormat="true" ht="10.95" hidden="false" customHeight="true" outlineLevel="0" collapsed="false">
      <c r="A9479" s="16" t="n">
        <v>45139</v>
      </c>
      <c r="B9479" s="17" t="s">
        <v>3861</v>
      </c>
      <c r="C9479" s="17" t="s">
        <v>3752</v>
      </c>
      <c r="D9479" s="17" t="s">
        <v>2895</v>
      </c>
      <c r="E9479" s="17" t="s">
        <v>3467</v>
      </c>
      <c r="F9479" s="17" t="s">
        <v>1286</v>
      </c>
      <c r="G9479" s="18" t="n">
        <v>919.6</v>
      </c>
      <c r="H9479" s="18" t="n">
        <v>0</v>
      </c>
      <c r="I9479" s="18" t="n">
        <f aca="false">((I9478 + G9479) - H9479)</f>
        <v>98903.93</v>
      </c>
      <c r="J9479" s="18" t="n">
        <v>0</v>
      </c>
      <c r="K9479" s="19" t="n">
        <v>0</v>
      </c>
      <c r="L9479" s="17"/>
    </row>
    <row r="9480" s="11" customFormat="true" ht="10.95" hidden="false" customHeight="true" outlineLevel="0" collapsed="false">
      <c r="A9480" s="16" t="n">
        <v>45139</v>
      </c>
      <c r="B9480" s="17" t="s">
        <v>3861</v>
      </c>
      <c r="C9480" s="17" t="s">
        <v>3752</v>
      </c>
      <c r="D9480" s="17" t="s">
        <v>2895</v>
      </c>
      <c r="E9480" s="17" t="s">
        <v>3382</v>
      </c>
      <c r="F9480" s="17" t="s">
        <v>3927</v>
      </c>
      <c r="G9480" s="18" t="n">
        <v>16044.6</v>
      </c>
      <c r="H9480" s="18" t="n">
        <v>0</v>
      </c>
      <c r="I9480" s="18" t="n">
        <f aca="false">((I9479 + G9480) - H9480)</f>
        <v>114948.53</v>
      </c>
      <c r="J9480" s="18" t="n">
        <v>0</v>
      </c>
      <c r="K9480" s="19" t="n">
        <v>0</v>
      </c>
      <c r="L9480" s="17"/>
    </row>
    <row r="9481" s="11" customFormat="true" ht="10.95" hidden="false" customHeight="true" outlineLevel="0" collapsed="false">
      <c r="A9481" s="16" t="n">
        <v>45139</v>
      </c>
      <c r="B9481" s="17" t="s">
        <v>3861</v>
      </c>
      <c r="C9481" s="17" t="s">
        <v>3752</v>
      </c>
      <c r="D9481" s="17" t="s">
        <v>2895</v>
      </c>
      <c r="E9481" s="17" t="s">
        <v>3403</v>
      </c>
      <c r="F9481" s="17" t="s">
        <v>3928</v>
      </c>
      <c r="G9481" s="18" t="n">
        <v>310.2</v>
      </c>
      <c r="H9481" s="18" t="n">
        <v>0</v>
      </c>
      <c r="I9481" s="18" t="n">
        <f aca="false">((I9480 + G9481) - H9481)</f>
        <v>115258.73</v>
      </c>
      <c r="J9481" s="18" t="n">
        <v>0</v>
      </c>
      <c r="K9481" s="19" t="n">
        <v>0</v>
      </c>
      <c r="L9481" s="17"/>
    </row>
    <row r="9482" s="11" customFormat="true" ht="10.95" hidden="false" customHeight="true" outlineLevel="0" collapsed="false">
      <c r="A9482" s="16" t="n">
        <v>45139</v>
      </c>
      <c r="B9482" s="17" t="s">
        <v>3861</v>
      </c>
      <c r="C9482" s="17" t="s">
        <v>3752</v>
      </c>
      <c r="D9482" s="17" t="s">
        <v>2895</v>
      </c>
      <c r="E9482" s="17" t="s">
        <v>3403</v>
      </c>
      <c r="F9482" s="17" t="s">
        <v>3929</v>
      </c>
      <c r="G9482" s="18" t="n">
        <v>827.2</v>
      </c>
      <c r="H9482" s="18" t="n">
        <v>0</v>
      </c>
      <c r="I9482" s="18" t="n">
        <f aca="false">((I9481 + G9482) - H9482)</f>
        <v>116085.93</v>
      </c>
      <c r="J9482" s="18" t="n">
        <v>0</v>
      </c>
      <c r="K9482" s="19" t="n">
        <v>0</v>
      </c>
      <c r="L9482" s="17"/>
    </row>
    <row r="9483" s="11" customFormat="true" ht="10.95" hidden="false" customHeight="true" outlineLevel="0" collapsed="false">
      <c r="A9483" s="16" t="n">
        <v>45139</v>
      </c>
      <c r="B9483" s="17" t="s">
        <v>3861</v>
      </c>
      <c r="C9483" s="17" t="s">
        <v>3752</v>
      </c>
      <c r="D9483" s="17" t="s">
        <v>2895</v>
      </c>
      <c r="E9483" s="17" t="s">
        <v>3403</v>
      </c>
      <c r="F9483" s="17" t="s">
        <v>3930</v>
      </c>
      <c r="G9483" s="18" t="n">
        <v>310.2</v>
      </c>
      <c r="H9483" s="18" t="n">
        <v>0</v>
      </c>
      <c r="I9483" s="18" t="n">
        <f aca="false">((I9482 + G9483) - H9483)</f>
        <v>116396.13</v>
      </c>
      <c r="J9483" s="18" t="n">
        <v>0</v>
      </c>
      <c r="K9483" s="19" t="n">
        <v>0</v>
      </c>
      <c r="L9483" s="17"/>
    </row>
    <row r="9484" s="11" customFormat="true" ht="10.95" hidden="false" customHeight="true" outlineLevel="0" collapsed="false">
      <c r="A9484" s="16" t="n">
        <v>45139</v>
      </c>
      <c r="B9484" s="17" t="s">
        <v>3861</v>
      </c>
      <c r="C9484" s="17" t="s">
        <v>3752</v>
      </c>
      <c r="D9484" s="17" t="s">
        <v>2895</v>
      </c>
      <c r="E9484" s="17" t="s">
        <v>3403</v>
      </c>
      <c r="F9484" s="17" t="s">
        <v>3931</v>
      </c>
      <c r="G9484" s="18" t="n">
        <v>310.2</v>
      </c>
      <c r="H9484" s="18" t="n">
        <v>0</v>
      </c>
      <c r="I9484" s="18" t="n">
        <f aca="false">((I9483 + G9484) - H9484)</f>
        <v>116706.33</v>
      </c>
      <c r="J9484" s="18" t="n">
        <v>0</v>
      </c>
      <c r="K9484" s="19" t="n">
        <v>0</v>
      </c>
      <c r="L9484" s="17"/>
    </row>
    <row r="9485" s="11" customFormat="true" ht="10.95" hidden="false" customHeight="true" outlineLevel="0" collapsed="false">
      <c r="A9485" s="16" t="n">
        <v>45139</v>
      </c>
      <c r="B9485" s="17" t="s">
        <v>3861</v>
      </c>
      <c r="C9485" s="17" t="s">
        <v>3752</v>
      </c>
      <c r="D9485" s="17" t="s">
        <v>2895</v>
      </c>
      <c r="E9485" s="17" t="s">
        <v>3403</v>
      </c>
      <c r="F9485" s="17" t="s">
        <v>3932</v>
      </c>
      <c r="G9485" s="18" t="n">
        <v>1258.4</v>
      </c>
      <c r="H9485" s="18" t="n">
        <v>0</v>
      </c>
      <c r="I9485" s="18" t="n">
        <f aca="false">((I9484 + G9485) - H9485)</f>
        <v>117964.73</v>
      </c>
      <c r="J9485" s="18" t="n">
        <v>0</v>
      </c>
      <c r="K9485" s="19" t="n">
        <v>0</v>
      </c>
      <c r="L9485" s="17"/>
    </row>
    <row r="9486" s="11" customFormat="true" ht="10.95" hidden="false" customHeight="true" outlineLevel="0" collapsed="false">
      <c r="A9486" s="16" t="n">
        <v>45139</v>
      </c>
      <c r="B9486" s="17" t="s">
        <v>3861</v>
      </c>
      <c r="C9486" s="17" t="s">
        <v>3752</v>
      </c>
      <c r="D9486" s="17" t="s">
        <v>2895</v>
      </c>
      <c r="E9486" s="17" t="s">
        <v>3403</v>
      </c>
      <c r="F9486" s="17" t="s">
        <v>3933</v>
      </c>
      <c r="G9486" s="18" t="n">
        <v>2484.9</v>
      </c>
      <c r="H9486" s="18" t="n">
        <v>0</v>
      </c>
      <c r="I9486" s="18" t="n">
        <f aca="false">((I9485 + G9486) - H9486)</f>
        <v>120449.63</v>
      </c>
      <c r="J9486" s="18" t="n">
        <v>0</v>
      </c>
      <c r="K9486" s="19" t="n">
        <v>0</v>
      </c>
      <c r="L9486" s="17"/>
    </row>
    <row r="9487" s="11" customFormat="true" ht="10.95" hidden="false" customHeight="true" outlineLevel="0" collapsed="false">
      <c r="A9487" s="16" t="n">
        <v>45139</v>
      </c>
      <c r="B9487" s="17" t="s">
        <v>3861</v>
      </c>
      <c r="C9487" s="17" t="s">
        <v>3752</v>
      </c>
      <c r="D9487" s="17" t="s">
        <v>2895</v>
      </c>
      <c r="E9487" s="17" t="s">
        <v>3403</v>
      </c>
      <c r="F9487" s="17" t="s">
        <v>3934</v>
      </c>
      <c r="G9487" s="18" t="n">
        <v>310.2</v>
      </c>
      <c r="H9487" s="18" t="n">
        <v>0</v>
      </c>
      <c r="I9487" s="18" t="n">
        <f aca="false">((I9486 + G9487) - H9487)</f>
        <v>120759.83</v>
      </c>
      <c r="J9487" s="18" t="n">
        <v>0</v>
      </c>
      <c r="K9487" s="19" t="n">
        <v>0</v>
      </c>
      <c r="L9487" s="17"/>
    </row>
    <row r="9488" s="11" customFormat="true" ht="10.95" hidden="false" customHeight="true" outlineLevel="0" collapsed="false">
      <c r="A9488" s="16" t="n">
        <v>45139</v>
      </c>
      <c r="B9488" s="17" t="s">
        <v>3861</v>
      </c>
      <c r="C9488" s="17" t="s">
        <v>3752</v>
      </c>
      <c r="D9488" s="17" t="s">
        <v>2895</v>
      </c>
      <c r="E9488" s="17" t="s">
        <v>3403</v>
      </c>
      <c r="F9488" s="17" t="s">
        <v>3935</v>
      </c>
      <c r="G9488" s="18" t="n">
        <v>310.2</v>
      </c>
      <c r="H9488" s="18" t="n">
        <v>0</v>
      </c>
      <c r="I9488" s="18" t="n">
        <f aca="false">((I9487 + G9488) - H9488)</f>
        <v>121070.03</v>
      </c>
      <c r="J9488" s="18" t="n">
        <v>0</v>
      </c>
      <c r="K9488" s="19" t="n">
        <v>0</v>
      </c>
      <c r="L9488" s="17"/>
    </row>
    <row r="9489" s="11" customFormat="true" ht="10.95" hidden="false" customHeight="true" outlineLevel="0" collapsed="false">
      <c r="A9489" s="16" t="n">
        <v>45139</v>
      </c>
      <c r="B9489" s="17" t="s">
        <v>3861</v>
      </c>
      <c r="C9489" s="17" t="s">
        <v>3752</v>
      </c>
      <c r="D9489" s="17" t="s">
        <v>2895</v>
      </c>
      <c r="E9489" s="17" t="s">
        <v>3403</v>
      </c>
      <c r="F9489" s="17" t="s">
        <v>3936</v>
      </c>
      <c r="G9489" s="18" t="n">
        <v>1034</v>
      </c>
      <c r="H9489" s="18" t="n">
        <v>0</v>
      </c>
      <c r="I9489" s="18" t="n">
        <f aca="false">((I9488 + G9489) - H9489)</f>
        <v>122104.03</v>
      </c>
      <c r="J9489" s="18" t="n">
        <v>0</v>
      </c>
      <c r="K9489" s="19" t="n">
        <v>0</v>
      </c>
      <c r="L9489" s="17"/>
    </row>
    <row r="9490" s="11" customFormat="true" ht="10.95" hidden="false" customHeight="true" outlineLevel="0" collapsed="false">
      <c r="A9490" s="16" t="n">
        <v>45139</v>
      </c>
      <c r="B9490" s="17" t="s">
        <v>3861</v>
      </c>
      <c r="C9490" s="17" t="s">
        <v>3752</v>
      </c>
      <c r="D9490" s="17" t="s">
        <v>2895</v>
      </c>
      <c r="E9490" s="17" t="s">
        <v>3403</v>
      </c>
      <c r="F9490" s="17" t="s">
        <v>3937</v>
      </c>
      <c r="G9490" s="18" t="n">
        <v>310.2</v>
      </c>
      <c r="H9490" s="18" t="n">
        <v>0</v>
      </c>
      <c r="I9490" s="18" t="n">
        <f aca="false">((I9489 + G9490) - H9490)</f>
        <v>122414.23</v>
      </c>
      <c r="J9490" s="18" t="n">
        <v>0</v>
      </c>
      <c r="K9490" s="19" t="n">
        <v>0</v>
      </c>
      <c r="L9490" s="17"/>
    </row>
    <row r="9491" s="11" customFormat="true" ht="10.95" hidden="false" customHeight="true" outlineLevel="0" collapsed="false">
      <c r="A9491" s="16" t="n">
        <v>45139</v>
      </c>
      <c r="B9491" s="17" t="s">
        <v>3861</v>
      </c>
      <c r="C9491" s="17" t="s">
        <v>3752</v>
      </c>
      <c r="D9491" s="17" t="s">
        <v>2895</v>
      </c>
      <c r="E9491" s="17" t="s">
        <v>3403</v>
      </c>
      <c r="F9491" s="17" t="s">
        <v>3938</v>
      </c>
      <c r="G9491" s="18" t="n">
        <v>627</v>
      </c>
      <c r="H9491" s="18" t="n">
        <v>0</v>
      </c>
      <c r="I9491" s="18" t="n">
        <f aca="false">((I9490 + G9491) - H9491)</f>
        <v>123041.23</v>
      </c>
      <c r="J9491" s="18" t="n">
        <v>0</v>
      </c>
      <c r="K9491" s="19" t="n">
        <v>0</v>
      </c>
      <c r="L9491" s="17"/>
    </row>
    <row r="9492" s="11" customFormat="true" ht="10.95" hidden="false" customHeight="true" outlineLevel="0" collapsed="false">
      <c r="A9492" s="16" t="n">
        <v>45139</v>
      </c>
      <c r="B9492" s="17" t="s">
        <v>3861</v>
      </c>
      <c r="C9492" s="17" t="s">
        <v>3752</v>
      </c>
      <c r="D9492" s="17" t="s">
        <v>2895</v>
      </c>
      <c r="E9492" s="17" t="s">
        <v>3403</v>
      </c>
      <c r="F9492" s="17" t="s">
        <v>3939</v>
      </c>
      <c r="G9492" s="18" t="n">
        <v>316.8</v>
      </c>
      <c r="H9492" s="18" t="n">
        <v>0</v>
      </c>
      <c r="I9492" s="18" t="n">
        <f aca="false">((I9491 + G9492) - H9492)</f>
        <v>123358.03</v>
      </c>
      <c r="J9492" s="18" t="n">
        <v>0</v>
      </c>
      <c r="K9492" s="19" t="n">
        <v>0</v>
      </c>
      <c r="L9492" s="17"/>
    </row>
    <row r="9493" s="11" customFormat="true" ht="10.95" hidden="false" customHeight="true" outlineLevel="0" collapsed="false">
      <c r="A9493" s="16" t="n">
        <v>45139</v>
      </c>
      <c r="B9493" s="17" t="s">
        <v>3861</v>
      </c>
      <c r="C9493" s="17" t="s">
        <v>3752</v>
      </c>
      <c r="D9493" s="17" t="s">
        <v>2895</v>
      </c>
      <c r="E9493" s="17" t="s">
        <v>3403</v>
      </c>
      <c r="F9493" s="17" t="s">
        <v>3940</v>
      </c>
      <c r="G9493" s="18" t="n">
        <v>1361.25</v>
      </c>
      <c r="H9493" s="18" t="n">
        <v>0</v>
      </c>
      <c r="I9493" s="18" t="n">
        <f aca="false">((I9492 + G9493) - H9493)</f>
        <v>124719.28</v>
      </c>
      <c r="J9493" s="18" t="n">
        <v>0</v>
      </c>
      <c r="K9493" s="19" t="n">
        <v>0</v>
      </c>
      <c r="L9493" s="17"/>
    </row>
    <row r="9494" s="11" customFormat="true" ht="10.95" hidden="false" customHeight="true" outlineLevel="0" collapsed="false">
      <c r="A9494" s="16" t="n">
        <v>45139</v>
      </c>
      <c r="B9494" s="17" t="s">
        <v>3861</v>
      </c>
      <c r="C9494" s="17" t="s">
        <v>3752</v>
      </c>
      <c r="D9494" s="17" t="s">
        <v>2895</v>
      </c>
      <c r="E9494" s="17" t="s">
        <v>3403</v>
      </c>
      <c r="F9494" s="17" t="s">
        <v>3941</v>
      </c>
      <c r="G9494" s="18" t="n">
        <v>206.8</v>
      </c>
      <c r="H9494" s="18" t="n">
        <v>0</v>
      </c>
      <c r="I9494" s="18" t="n">
        <f aca="false">((I9493 + G9494) - H9494)</f>
        <v>124926.08</v>
      </c>
      <c r="J9494" s="18" t="n">
        <v>0</v>
      </c>
      <c r="K9494" s="19" t="n">
        <v>0</v>
      </c>
      <c r="L9494" s="17"/>
    </row>
    <row r="9495" s="11" customFormat="true" ht="10.95" hidden="false" customHeight="true" outlineLevel="0" collapsed="false">
      <c r="A9495" s="16" t="n">
        <v>45139</v>
      </c>
      <c r="B9495" s="17" t="s">
        <v>3861</v>
      </c>
      <c r="C9495" s="17" t="s">
        <v>3752</v>
      </c>
      <c r="D9495" s="17" t="s">
        <v>2895</v>
      </c>
      <c r="E9495" s="17" t="s">
        <v>3403</v>
      </c>
      <c r="F9495" s="17" t="s">
        <v>3942</v>
      </c>
      <c r="G9495" s="18" t="n">
        <v>517</v>
      </c>
      <c r="H9495" s="18" t="n">
        <v>0</v>
      </c>
      <c r="I9495" s="18" t="n">
        <f aca="false">((I9494 + G9495) - H9495)</f>
        <v>125443.08</v>
      </c>
      <c r="J9495" s="18" t="n">
        <v>0</v>
      </c>
      <c r="K9495" s="19" t="n">
        <v>0</v>
      </c>
      <c r="L9495" s="17"/>
    </row>
    <row r="9496" s="11" customFormat="true" ht="10.95" hidden="false" customHeight="true" outlineLevel="0" collapsed="false">
      <c r="A9496" s="16" t="n">
        <v>45139</v>
      </c>
      <c r="B9496" s="17" t="s">
        <v>3861</v>
      </c>
      <c r="C9496" s="17" t="s">
        <v>3752</v>
      </c>
      <c r="D9496" s="17" t="s">
        <v>2895</v>
      </c>
      <c r="E9496" s="17" t="s">
        <v>3403</v>
      </c>
      <c r="F9496" s="17" t="s">
        <v>3943</v>
      </c>
      <c r="G9496" s="18" t="n">
        <v>517</v>
      </c>
      <c r="H9496" s="18" t="n">
        <v>0</v>
      </c>
      <c r="I9496" s="18" t="n">
        <f aca="false">((I9495 + G9496) - H9496)</f>
        <v>125960.08</v>
      </c>
      <c r="J9496" s="18" t="n">
        <v>0</v>
      </c>
      <c r="K9496" s="19" t="n">
        <v>0</v>
      </c>
      <c r="L9496" s="17"/>
    </row>
    <row r="9497" s="11" customFormat="true" ht="10.95" hidden="false" customHeight="true" outlineLevel="0" collapsed="false">
      <c r="A9497" s="16" t="n">
        <v>45139</v>
      </c>
      <c r="B9497" s="17" t="s">
        <v>3861</v>
      </c>
      <c r="C9497" s="17" t="s">
        <v>3752</v>
      </c>
      <c r="D9497" s="17" t="s">
        <v>2895</v>
      </c>
      <c r="E9497" s="17" t="s">
        <v>3472</v>
      </c>
      <c r="F9497" s="17" t="s">
        <v>3944</v>
      </c>
      <c r="G9497" s="18" t="n">
        <v>1399.2</v>
      </c>
      <c r="H9497" s="18" t="n">
        <v>0</v>
      </c>
      <c r="I9497" s="18" t="n">
        <f aca="false">((I9496 + G9497) - H9497)</f>
        <v>127359.28</v>
      </c>
      <c r="J9497" s="18" t="n">
        <v>0</v>
      </c>
      <c r="K9497" s="19" t="n">
        <v>0</v>
      </c>
      <c r="L9497" s="17"/>
    </row>
    <row r="9498" s="11" customFormat="true" ht="10.95" hidden="false" customHeight="true" outlineLevel="0" collapsed="false">
      <c r="A9498" s="16" t="n">
        <v>45139</v>
      </c>
      <c r="B9498" s="17" t="s">
        <v>3861</v>
      </c>
      <c r="C9498" s="17" t="s">
        <v>3752</v>
      </c>
      <c r="D9498" s="17" t="s">
        <v>2895</v>
      </c>
      <c r="E9498" s="17" t="s">
        <v>2906</v>
      </c>
      <c r="F9498" s="17" t="s">
        <v>2919</v>
      </c>
      <c r="G9498" s="18" t="n">
        <v>3043.75</v>
      </c>
      <c r="H9498" s="18" t="n">
        <v>0</v>
      </c>
      <c r="I9498" s="18" t="n">
        <f aca="false">((I9497 + G9498) - H9498)</f>
        <v>130403.03</v>
      </c>
      <c r="J9498" s="18" t="n">
        <v>0</v>
      </c>
      <c r="K9498" s="19" t="n">
        <v>0</v>
      </c>
      <c r="L9498" s="17"/>
    </row>
    <row r="9499" s="11" customFormat="true" ht="10.95" hidden="false" customHeight="true" outlineLevel="0" collapsed="false">
      <c r="A9499" s="16" t="n">
        <v>45139</v>
      </c>
      <c r="B9499" s="17" t="s">
        <v>3861</v>
      </c>
      <c r="C9499" s="17" t="s">
        <v>3752</v>
      </c>
      <c r="D9499" s="17" t="s">
        <v>2895</v>
      </c>
      <c r="E9499" s="17" t="s">
        <v>3474</v>
      </c>
      <c r="F9499" s="17" t="s">
        <v>3945</v>
      </c>
      <c r="G9499" s="18" t="n">
        <v>357.5</v>
      </c>
      <c r="H9499" s="18" t="n">
        <v>0</v>
      </c>
      <c r="I9499" s="18" t="n">
        <f aca="false">((I9498 + G9499) - H9499)</f>
        <v>130760.53</v>
      </c>
      <c r="J9499" s="18" t="n">
        <v>0</v>
      </c>
      <c r="K9499" s="19" t="n">
        <v>0</v>
      </c>
      <c r="L9499" s="17"/>
    </row>
    <row r="9500" s="11" customFormat="true" ht="10.95" hidden="false" customHeight="true" outlineLevel="0" collapsed="false">
      <c r="A9500" s="16" t="n">
        <v>45139</v>
      </c>
      <c r="B9500" s="17" t="s">
        <v>3861</v>
      </c>
      <c r="C9500" s="17" t="s">
        <v>3752</v>
      </c>
      <c r="D9500" s="17" t="s">
        <v>2895</v>
      </c>
      <c r="E9500" s="17" t="s">
        <v>2900</v>
      </c>
      <c r="F9500" s="17" t="s">
        <v>2920</v>
      </c>
      <c r="G9500" s="18" t="n">
        <v>990.47</v>
      </c>
      <c r="H9500" s="18" t="n">
        <v>0</v>
      </c>
      <c r="I9500" s="18" t="n">
        <f aca="false">((I9499 + G9500) - H9500)</f>
        <v>131751</v>
      </c>
      <c r="J9500" s="18" t="n">
        <v>0</v>
      </c>
      <c r="K9500" s="19" t="n">
        <v>0</v>
      </c>
      <c r="L9500" s="17"/>
    </row>
    <row r="9501" s="11" customFormat="true" ht="10.95" hidden="false" customHeight="true" outlineLevel="0" collapsed="false">
      <c r="A9501" s="16" t="n">
        <v>45139</v>
      </c>
      <c r="B9501" s="17" t="s">
        <v>3861</v>
      </c>
      <c r="C9501" s="17" t="s">
        <v>3752</v>
      </c>
      <c r="D9501" s="17" t="s">
        <v>2895</v>
      </c>
      <c r="E9501" s="17" t="s">
        <v>2900</v>
      </c>
      <c r="F9501" s="17" t="s">
        <v>2921</v>
      </c>
      <c r="G9501" s="18" t="n">
        <v>131.03</v>
      </c>
      <c r="H9501" s="18" t="n">
        <v>0</v>
      </c>
      <c r="I9501" s="18" t="n">
        <f aca="false">((I9500 + G9501) - H9501)</f>
        <v>131882.03</v>
      </c>
      <c r="J9501" s="18" t="n">
        <v>0</v>
      </c>
      <c r="K9501" s="19" t="n">
        <v>0</v>
      </c>
      <c r="L9501" s="17"/>
    </row>
    <row r="9502" s="11" customFormat="true" ht="10.95" hidden="false" customHeight="true" outlineLevel="0" collapsed="false">
      <c r="A9502" s="16" t="n">
        <v>45139</v>
      </c>
      <c r="B9502" s="17" t="s">
        <v>3861</v>
      </c>
      <c r="C9502" s="17" t="s">
        <v>3752</v>
      </c>
      <c r="D9502" s="17" t="s">
        <v>1407</v>
      </c>
      <c r="E9502" s="17" t="s">
        <v>3863</v>
      </c>
      <c r="F9502" s="17"/>
      <c r="G9502" s="18" t="n">
        <v>0</v>
      </c>
      <c r="H9502" s="18" t="n">
        <v>0.5</v>
      </c>
      <c r="I9502" s="18" t="n">
        <f aca="false">((I9501 + G9502) - H9502)</f>
        <v>131881.53</v>
      </c>
      <c r="J9502" s="18" t="n">
        <v>0</v>
      </c>
      <c r="K9502" s="19" t="n">
        <v>0</v>
      </c>
      <c r="L9502" s="17"/>
    </row>
    <row r="9503" s="11" customFormat="true" ht="10.95" hidden="false" customHeight="true" outlineLevel="0" collapsed="false">
      <c r="A9503" s="16" t="n">
        <v>45139</v>
      </c>
      <c r="B9503" s="17" t="s">
        <v>3861</v>
      </c>
      <c r="C9503" s="17" t="s">
        <v>3752</v>
      </c>
      <c r="D9503" s="17" t="s">
        <v>1407</v>
      </c>
      <c r="E9503" s="17" t="s">
        <v>3863</v>
      </c>
      <c r="F9503" s="17"/>
      <c r="G9503" s="18" t="n">
        <v>0</v>
      </c>
      <c r="H9503" s="18" t="n">
        <v>0.68</v>
      </c>
      <c r="I9503" s="18" t="n">
        <f aca="false">((I9502 + G9503) - H9503)</f>
        <v>131880.85</v>
      </c>
      <c r="J9503" s="18" t="n">
        <v>0</v>
      </c>
      <c r="K9503" s="19" t="n">
        <v>0</v>
      </c>
      <c r="L9503" s="17"/>
    </row>
    <row r="9504" s="11" customFormat="true" ht="10.95" hidden="false" customHeight="true" outlineLevel="0" collapsed="false">
      <c r="A9504" s="16" t="n">
        <v>45139</v>
      </c>
      <c r="B9504" s="17" t="s">
        <v>3861</v>
      </c>
      <c r="C9504" s="17" t="s">
        <v>3752</v>
      </c>
      <c r="D9504" s="17" t="s">
        <v>1407</v>
      </c>
      <c r="E9504" s="17" t="s">
        <v>3863</v>
      </c>
      <c r="F9504" s="17"/>
      <c r="G9504" s="18" t="n">
        <v>0</v>
      </c>
      <c r="H9504" s="18" t="n">
        <v>2.29</v>
      </c>
      <c r="I9504" s="18" t="n">
        <f aca="false">((I9503 + G9504) - H9504)</f>
        <v>131878.56</v>
      </c>
      <c r="J9504" s="18" t="n">
        <v>0</v>
      </c>
      <c r="K9504" s="19" t="n">
        <v>0</v>
      </c>
      <c r="L9504" s="17"/>
    </row>
    <row r="9505" s="11" customFormat="true" ht="10.95" hidden="false" customHeight="true" outlineLevel="0" collapsed="false">
      <c r="A9505" s="16" t="n">
        <v>45139</v>
      </c>
      <c r="B9505" s="17" t="s">
        <v>3861</v>
      </c>
      <c r="C9505" s="17" t="s">
        <v>3752</v>
      </c>
      <c r="D9505" s="17" t="s">
        <v>1407</v>
      </c>
      <c r="E9505" s="17" t="s">
        <v>3863</v>
      </c>
      <c r="F9505" s="17"/>
      <c r="G9505" s="18" t="n">
        <v>0</v>
      </c>
      <c r="H9505" s="18" t="n">
        <v>10</v>
      </c>
      <c r="I9505" s="18" t="n">
        <f aca="false">((I9504 + G9505) - H9505)</f>
        <v>131868.56</v>
      </c>
      <c r="J9505" s="18" t="n">
        <v>0</v>
      </c>
      <c r="K9505" s="19" t="n">
        <v>0</v>
      </c>
      <c r="L9505" s="17"/>
    </row>
    <row r="9506" s="11" customFormat="true" ht="10.95" hidden="false" customHeight="true" outlineLevel="0" collapsed="false">
      <c r="A9506" s="16" t="n">
        <v>45139</v>
      </c>
      <c r="B9506" s="17" t="s">
        <v>3861</v>
      </c>
      <c r="C9506" s="17" t="s">
        <v>3752</v>
      </c>
      <c r="D9506" s="17" t="s">
        <v>1407</v>
      </c>
      <c r="E9506" s="17" t="s">
        <v>3863</v>
      </c>
      <c r="F9506" s="17"/>
      <c r="G9506" s="18" t="n">
        <v>0</v>
      </c>
      <c r="H9506" s="18" t="n">
        <v>10.19</v>
      </c>
      <c r="I9506" s="18" t="n">
        <f aca="false">((I9505 + G9506) - H9506)</f>
        <v>131858.37</v>
      </c>
      <c r="J9506" s="18" t="n">
        <v>0</v>
      </c>
      <c r="K9506" s="19" t="n">
        <v>0</v>
      </c>
      <c r="L9506" s="17"/>
    </row>
    <row r="9507" s="11" customFormat="true" ht="10.95" hidden="false" customHeight="true" outlineLevel="0" collapsed="false">
      <c r="A9507" s="16" t="n">
        <v>45139</v>
      </c>
      <c r="B9507" s="17" t="s">
        <v>3861</v>
      </c>
      <c r="C9507" s="17" t="s">
        <v>3752</v>
      </c>
      <c r="D9507" s="17" t="s">
        <v>1407</v>
      </c>
      <c r="E9507" s="17" t="s">
        <v>3757</v>
      </c>
      <c r="F9507" s="17"/>
      <c r="G9507" s="18" t="n">
        <v>0</v>
      </c>
      <c r="H9507" s="18" t="n">
        <v>16.63</v>
      </c>
      <c r="I9507" s="18" t="n">
        <f aca="false">((I9506 + G9507) - H9507)</f>
        <v>131841.74</v>
      </c>
      <c r="J9507" s="18" t="n">
        <v>0</v>
      </c>
      <c r="K9507" s="19" t="n">
        <v>0</v>
      </c>
      <c r="L9507" s="17"/>
    </row>
    <row r="9508" s="11" customFormat="true" ht="10.95" hidden="false" customHeight="true" outlineLevel="0" collapsed="false">
      <c r="A9508" s="16" t="n">
        <v>45139</v>
      </c>
      <c r="B9508" s="17" t="s">
        <v>3861</v>
      </c>
      <c r="C9508" s="17" t="s">
        <v>3752</v>
      </c>
      <c r="D9508" s="17" t="s">
        <v>1407</v>
      </c>
      <c r="E9508" s="17" t="s">
        <v>3771</v>
      </c>
      <c r="F9508" s="17"/>
      <c r="G9508" s="18" t="n">
        <v>0</v>
      </c>
      <c r="H9508" s="18" t="n">
        <v>22.64</v>
      </c>
      <c r="I9508" s="18" t="n">
        <f aca="false">((I9507 + G9508) - H9508)</f>
        <v>131819.1</v>
      </c>
      <c r="J9508" s="18" t="n">
        <v>0</v>
      </c>
      <c r="K9508" s="19" t="n">
        <v>0</v>
      </c>
      <c r="L9508" s="17"/>
    </row>
    <row r="9509" s="11" customFormat="true" ht="10.95" hidden="false" customHeight="true" outlineLevel="0" collapsed="false">
      <c r="A9509" s="16" t="n">
        <v>45139</v>
      </c>
      <c r="B9509" s="17" t="s">
        <v>3861</v>
      </c>
      <c r="C9509" s="17" t="s">
        <v>3752</v>
      </c>
      <c r="D9509" s="17" t="s">
        <v>2903</v>
      </c>
      <c r="E9509" s="17" t="s">
        <v>3648</v>
      </c>
      <c r="F9509" s="17" t="s">
        <v>2632</v>
      </c>
      <c r="G9509" s="18" t="n">
        <v>0</v>
      </c>
      <c r="H9509" s="18" t="n">
        <v>183.84</v>
      </c>
      <c r="I9509" s="18" t="n">
        <f aca="false">((I9508 + G9509) - H9509)</f>
        <v>131635.26</v>
      </c>
      <c r="J9509" s="18" t="n">
        <v>0</v>
      </c>
      <c r="K9509" s="19" t="n">
        <v>0</v>
      </c>
      <c r="L9509" s="17"/>
    </row>
    <row r="9510" s="11" customFormat="true" ht="10.95" hidden="false" customHeight="true" outlineLevel="0" collapsed="false">
      <c r="A9510" s="16" t="n">
        <v>45139</v>
      </c>
      <c r="B9510" s="17" t="s">
        <v>3861</v>
      </c>
      <c r="C9510" s="17" t="s">
        <v>3752</v>
      </c>
      <c r="D9510" s="17" t="s">
        <v>1407</v>
      </c>
      <c r="E9510" s="17" t="s">
        <v>3946</v>
      </c>
      <c r="F9510" s="17"/>
      <c r="G9510" s="18" t="n">
        <v>0</v>
      </c>
      <c r="H9510" s="18" t="n">
        <v>986.11</v>
      </c>
      <c r="I9510" s="18" t="n">
        <f aca="false">((I9509 + G9510) - H9510)</f>
        <v>130649.15</v>
      </c>
      <c r="J9510" s="18" t="n">
        <v>0</v>
      </c>
      <c r="K9510" s="19" t="n">
        <v>0</v>
      </c>
      <c r="L9510" s="17"/>
    </row>
    <row r="9511" s="11" customFormat="true" ht="10.95" hidden="false" customHeight="true" outlineLevel="0" collapsed="false">
      <c r="A9511" s="16" t="n">
        <v>45139</v>
      </c>
      <c r="B9511" s="17" t="s">
        <v>3861</v>
      </c>
      <c r="C9511" s="17" t="s">
        <v>3752</v>
      </c>
      <c r="D9511" s="17" t="s">
        <v>1407</v>
      </c>
      <c r="E9511" s="17" t="s">
        <v>3878</v>
      </c>
      <c r="F9511" s="17"/>
      <c r="G9511" s="18" t="n">
        <v>0</v>
      </c>
      <c r="H9511" s="18" t="n">
        <v>1108</v>
      </c>
      <c r="I9511" s="18" t="n">
        <f aca="false">((I9510 + G9511) - H9511)</f>
        <v>129541.15</v>
      </c>
      <c r="J9511" s="18" t="n">
        <v>0</v>
      </c>
      <c r="K9511" s="19" t="n">
        <v>0</v>
      </c>
      <c r="L9511" s="17"/>
    </row>
    <row r="9512" s="11" customFormat="true" ht="10.95" hidden="false" customHeight="true" outlineLevel="0" collapsed="false">
      <c r="A9512" s="16" t="n">
        <v>45139</v>
      </c>
      <c r="B9512" s="17" t="s">
        <v>3861</v>
      </c>
      <c r="C9512" s="17" t="s">
        <v>3752</v>
      </c>
      <c r="D9512" s="17" t="s">
        <v>2903</v>
      </c>
      <c r="E9512" s="17" t="s">
        <v>3616</v>
      </c>
      <c r="F9512" s="17" t="s">
        <v>3248</v>
      </c>
      <c r="G9512" s="18" t="n">
        <v>0</v>
      </c>
      <c r="H9512" s="18" t="n">
        <v>2905.1</v>
      </c>
      <c r="I9512" s="18" t="n">
        <f aca="false">((I9511 + G9512) - H9512)</f>
        <v>126636.05</v>
      </c>
      <c r="J9512" s="18" t="n">
        <v>0</v>
      </c>
      <c r="K9512" s="19" t="n">
        <v>0</v>
      </c>
      <c r="L9512" s="17"/>
    </row>
    <row r="9513" s="11" customFormat="true" ht="10.95" hidden="false" customHeight="true" outlineLevel="0" collapsed="false">
      <c r="A9513" s="16" t="n">
        <v>45139</v>
      </c>
      <c r="B9513" s="17" t="s">
        <v>3861</v>
      </c>
      <c r="C9513" s="17" t="s">
        <v>3752</v>
      </c>
      <c r="D9513" s="17" t="s">
        <v>1407</v>
      </c>
      <c r="E9513" s="17" t="s">
        <v>3776</v>
      </c>
      <c r="F9513" s="17"/>
      <c r="G9513" s="18" t="n">
        <v>0</v>
      </c>
      <c r="H9513" s="18" t="n">
        <v>339.63</v>
      </c>
      <c r="I9513" s="18" t="n">
        <f aca="false">((I9512 + G9513) - H9513)</f>
        <v>126296.42</v>
      </c>
      <c r="J9513" s="18" t="n">
        <v>0</v>
      </c>
      <c r="K9513" s="19" t="n">
        <v>0</v>
      </c>
      <c r="L9513" s="17"/>
    </row>
    <row r="9514" s="11" customFormat="true" ht="10.95" hidden="false" customHeight="true" outlineLevel="0" collapsed="false">
      <c r="A9514" s="16" t="n">
        <v>45139</v>
      </c>
      <c r="B9514" s="17" t="s">
        <v>3861</v>
      </c>
      <c r="C9514" s="17" t="s">
        <v>3752</v>
      </c>
      <c r="D9514" s="17" t="s">
        <v>1407</v>
      </c>
      <c r="E9514" s="17" t="s">
        <v>3865</v>
      </c>
      <c r="F9514" s="17"/>
      <c r="G9514" s="18" t="n">
        <v>0</v>
      </c>
      <c r="H9514" s="18" t="n">
        <v>82.5</v>
      </c>
      <c r="I9514" s="18" t="n">
        <f aca="false">((I9513 + G9514) - H9514)</f>
        <v>126213.92</v>
      </c>
      <c r="J9514" s="18" t="n">
        <v>0</v>
      </c>
      <c r="K9514" s="19" t="n">
        <v>0</v>
      </c>
      <c r="L9514" s="17"/>
    </row>
    <row r="9515" s="11" customFormat="true" ht="10.95" hidden="false" customHeight="true" outlineLevel="0" collapsed="false">
      <c r="A9515" s="16" t="n">
        <v>45139</v>
      </c>
      <c r="B9515" s="17" t="s">
        <v>3861</v>
      </c>
      <c r="C9515" s="17" t="s">
        <v>3752</v>
      </c>
      <c r="D9515" s="17" t="s">
        <v>1407</v>
      </c>
      <c r="E9515" s="17" t="s">
        <v>3697</v>
      </c>
      <c r="F9515" s="17"/>
      <c r="G9515" s="18" t="n">
        <v>0</v>
      </c>
      <c r="H9515" s="18" t="n">
        <v>512.84</v>
      </c>
      <c r="I9515" s="18" t="n">
        <f aca="false">((I9514 + G9515) - H9515)</f>
        <v>125701.08</v>
      </c>
      <c r="J9515" s="18" t="n">
        <v>0</v>
      </c>
      <c r="K9515" s="19" t="n">
        <v>0</v>
      </c>
      <c r="L9515" s="17"/>
    </row>
    <row r="9516" s="11" customFormat="true" ht="10.95" hidden="false" customHeight="true" outlineLevel="0" collapsed="false">
      <c r="A9516" s="16" t="n">
        <v>45139</v>
      </c>
      <c r="B9516" s="17" t="s">
        <v>3861</v>
      </c>
      <c r="C9516" s="17" t="s">
        <v>3752</v>
      </c>
      <c r="D9516" s="17" t="s">
        <v>2903</v>
      </c>
      <c r="E9516" s="17" t="s">
        <v>3649</v>
      </c>
      <c r="F9516" s="17" t="s">
        <v>2248</v>
      </c>
      <c r="G9516" s="18" t="n">
        <v>0</v>
      </c>
      <c r="H9516" s="18" t="n">
        <v>610</v>
      </c>
      <c r="I9516" s="18" t="n">
        <f aca="false">((I9515 + G9516) - H9516)</f>
        <v>125091.08</v>
      </c>
      <c r="J9516" s="18" t="n">
        <v>0</v>
      </c>
      <c r="K9516" s="19" t="n">
        <v>0</v>
      </c>
      <c r="L9516" s="17"/>
    </row>
    <row r="9517" s="11" customFormat="true" ht="10.95" hidden="false" customHeight="true" outlineLevel="0" collapsed="false">
      <c r="A9517" s="16" t="n">
        <v>45139</v>
      </c>
      <c r="B9517" s="17" t="s">
        <v>3861</v>
      </c>
      <c r="C9517" s="17" t="s">
        <v>3752</v>
      </c>
      <c r="D9517" s="17" t="s">
        <v>1407</v>
      </c>
      <c r="E9517" s="17" t="s">
        <v>3864</v>
      </c>
      <c r="F9517" s="17"/>
      <c r="G9517" s="18" t="n">
        <v>0</v>
      </c>
      <c r="H9517" s="18" t="n">
        <v>76.29</v>
      </c>
      <c r="I9517" s="18" t="n">
        <f aca="false">((I9516 + G9517) - H9517)</f>
        <v>125014.79</v>
      </c>
      <c r="J9517" s="18" t="n">
        <v>0</v>
      </c>
      <c r="K9517" s="19" t="n">
        <v>0</v>
      </c>
      <c r="L9517" s="17"/>
    </row>
    <row r="9518" s="11" customFormat="true" ht="10.95" hidden="false" customHeight="true" outlineLevel="0" collapsed="false">
      <c r="A9518" s="16" t="n">
        <v>45139</v>
      </c>
      <c r="B9518" s="17" t="s">
        <v>3861</v>
      </c>
      <c r="C9518" s="17" t="s">
        <v>3752</v>
      </c>
      <c r="D9518" s="17" t="s">
        <v>1407</v>
      </c>
      <c r="E9518" s="17" t="s">
        <v>3808</v>
      </c>
      <c r="F9518" s="17"/>
      <c r="G9518" s="18" t="n">
        <v>0</v>
      </c>
      <c r="H9518" s="18" t="n">
        <v>60622.13</v>
      </c>
      <c r="I9518" s="18" t="n">
        <f aca="false">((I9517 + G9518) - H9518)</f>
        <v>64392.6599999999</v>
      </c>
      <c r="J9518" s="18" t="n">
        <v>0</v>
      </c>
      <c r="K9518" s="19" t="n">
        <v>0</v>
      </c>
      <c r="L9518" s="17"/>
    </row>
    <row r="9519" s="11" customFormat="true" ht="10.95" hidden="false" customHeight="true" outlineLevel="0" collapsed="false">
      <c r="A9519" s="16" t="n">
        <v>45139</v>
      </c>
      <c r="B9519" s="17" t="s">
        <v>3861</v>
      </c>
      <c r="C9519" s="17" t="s">
        <v>3752</v>
      </c>
      <c r="D9519" s="17" t="s">
        <v>1407</v>
      </c>
      <c r="E9519" s="17" t="s">
        <v>3697</v>
      </c>
      <c r="F9519" s="17"/>
      <c r="G9519" s="18" t="n">
        <v>0</v>
      </c>
      <c r="H9519" s="18" t="n">
        <v>77</v>
      </c>
      <c r="I9519" s="18" t="n">
        <f aca="false">((I9518 + G9519) - H9519)</f>
        <v>64315.6599999999</v>
      </c>
      <c r="J9519" s="18" t="n">
        <v>0</v>
      </c>
      <c r="K9519" s="19" t="n">
        <v>0</v>
      </c>
      <c r="L9519" s="17"/>
    </row>
    <row r="9520" s="11" customFormat="true" ht="10.95" hidden="false" customHeight="true" outlineLevel="0" collapsed="false">
      <c r="A9520" s="16" t="n">
        <v>45140</v>
      </c>
      <c r="B9520" s="17" t="s">
        <v>3861</v>
      </c>
      <c r="C9520" s="17" t="s">
        <v>3752</v>
      </c>
      <c r="D9520" s="17" t="s">
        <v>1276</v>
      </c>
      <c r="E9520" s="17" t="s">
        <v>3449</v>
      </c>
      <c r="F9520" s="17" t="s">
        <v>1288</v>
      </c>
      <c r="G9520" s="18" t="n">
        <v>10.6</v>
      </c>
      <c r="H9520" s="18" t="n">
        <v>0</v>
      </c>
      <c r="I9520" s="18" t="n">
        <f aca="false">((I9519 + G9520) - H9520)</f>
        <v>64326.2599999999</v>
      </c>
      <c r="J9520" s="18" t="n">
        <v>0</v>
      </c>
      <c r="K9520" s="19" t="n">
        <v>0</v>
      </c>
      <c r="L9520" s="17"/>
    </row>
    <row r="9521" s="11" customFormat="true" ht="10.95" hidden="false" customHeight="true" outlineLevel="0" collapsed="false">
      <c r="A9521" s="16" t="n">
        <v>45140</v>
      </c>
      <c r="B9521" s="17" t="s">
        <v>3861</v>
      </c>
      <c r="C9521" s="17" t="s">
        <v>3752</v>
      </c>
      <c r="D9521" s="17" t="s">
        <v>2895</v>
      </c>
      <c r="E9521" s="17" t="s">
        <v>2897</v>
      </c>
      <c r="F9521" s="17" t="s">
        <v>1288</v>
      </c>
      <c r="G9521" s="18" t="n">
        <v>591.92</v>
      </c>
      <c r="H9521" s="18" t="n">
        <v>0</v>
      </c>
      <c r="I9521" s="18" t="n">
        <f aca="false">((I9520 + G9521) - H9521)</f>
        <v>64918.1799999999</v>
      </c>
      <c r="J9521" s="18" t="n">
        <v>0</v>
      </c>
      <c r="K9521" s="19" t="n">
        <v>0</v>
      </c>
      <c r="L9521" s="17"/>
    </row>
    <row r="9522" s="11" customFormat="true" ht="10.95" hidden="false" customHeight="true" outlineLevel="0" collapsed="false">
      <c r="A9522" s="16" t="n">
        <v>45140</v>
      </c>
      <c r="B9522" s="17" t="s">
        <v>3861</v>
      </c>
      <c r="C9522" s="17" t="s">
        <v>3752</v>
      </c>
      <c r="D9522" s="17" t="s">
        <v>1407</v>
      </c>
      <c r="E9522" s="17" t="s">
        <v>3862</v>
      </c>
      <c r="F9522" s="17" t="s">
        <v>1288</v>
      </c>
      <c r="G9522" s="18" t="n">
        <v>0</v>
      </c>
      <c r="H9522" s="18" t="n">
        <v>17.77</v>
      </c>
      <c r="I9522" s="18" t="n">
        <f aca="false">((I9521 + G9522) - H9522)</f>
        <v>64900.4099999999</v>
      </c>
      <c r="J9522" s="18" t="n">
        <v>0</v>
      </c>
      <c r="K9522" s="19" t="n">
        <v>0</v>
      </c>
      <c r="L9522" s="17"/>
    </row>
    <row r="9523" s="11" customFormat="true" ht="10.95" hidden="false" customHeight="true" outlineLevel="0" collapsed="false">
      <c r="A9523" s="16" t="n">
        <v>45140</v>
      </c>
      <c r="B9523" s="17" t="s">
        <v>3861</v>
      </c>
      <c r="C9523" s="17" t="s">
        <v>3752</v>
      </c>
      <c r="D9523" s="17" t="s">
        <v>2895</v>
      </c>
      <c r="E9523" s="17" t="s">
        <v>3391</v>
      </c>
      <c r="F9523" s="17" t="s">
        <v>3947</v>
      </c>
      <c r="G9523" s="18" t="n">
        <v>1100.06</v>
      </c>
      <c r="H9523" s="18" t="n">
        <v>0</v>
      </c>
      <c r="I9523" s="18" t="n">
        <f aca="false">((I9522 + G9523) - H9523)</f>
        <v>66000.4699999999</v>
      </c>
      <c r="J9523" s="18" t="n">
        <v>0</v>
      </c>
      <c r="K9523" s="19" t="n">
        <v>0</v>
      </c>
      <c r="L9523" s="17"/>
    </row>
    <row r="9524" s="11" customFormat="true" ht="10.95" hidden="false" customHeight="true" outlineLevel="0" collapsed="false">
      <c r="A9524" s="16" t="n">
        <v>45140</v>
      </c>
      <c r="B9524" s="17" t="s">
        <v>3861</v>
      </c>
      <c r="C9524" s="17" t="s">
        <v>3752</v>
      </c>
      <c r="D9524" s="17" t="s">
        <v>1407</v>
      </c>
      <c r="E9524" s="17" t="s">
        <v>3863</v>
      </c>
      <c r="F9524" s="17"/>
      <c r="G9524" s="18" t="n">
        <v>0</v>
      </c>
      <c r="H9524" s="18" t="n">
        <v>0.4</v>
      </c>
      <c r="I9524" s="18" t="n">
        <f aca="false">((I9523 + G9524) - H9524)</f>
        <v>66000.0699999999</v>
      </c>
      <c r="J9524" s="18" t="n">
        <v>0</v>
      </c>
      <c r="K9524" s="19" t="n">
        <v>0</v>
      </c>
      <c r="L9524" s="17"/>
    </row>
    <row r="9525" s="11" customFormat="true" ht="10.95" hidden="false" customHeight="true" outlineLevel="0" collapsed="false">
      <c r="A9525" s="16" t="n">
        <v>45140</v>
      </c>
      <c r="B9525" s="17" t="s">
        <v>3861</v>
      </c>
      <c r="C9525" s="17" t="s">
        <v>3752</v>
      </c>
      <c r="D9525" s="17" t="s">
        <v>1407</v>
      </c>
      <c r="E9525" s="17" t="s">
        <v>3767</v>
      </c>
      <c r="F9525" s="17" t="s">
        <v>2781</v>
      </c>
      <c r="G9525" s="18" t="n">
        <v>0</v>
      </c>
      <c r="H9525" s="18" t="n">
        <v>5</v>
      </c>
      <c r="I9525" s="18" t="n">
        <f aca="false">((I9524 + G9525) - H9525)</f>
        <v>65995.0699999999</v>
      </c>
      <c r="J9525" s="18" t="n">
        <v>0</v>
      </c>
      <c r="K9525" s="19" t="n">
        <v>0</v>
      </c>
      <c r="L9525" s="17"/>
    </row>
    <row r="9526" s="11" customFormat="true" ht="10.95" hidden="false" customHeight="true" outlineLevel="0" collapsed="false">
      <c r="A9526" s="16" t="n">
        <v>45140</v>
      </c>
      <c r="B9526" s="17" t="s">
        <v>3861</v>
      </c>
      <c r="C9526" s="17" t="s">
        <v>3752</v>
      </c>
      <c r="D9526" s="17" t="s">
        <v>1407</v>
      </c>
      <c r="E9526" s="17" t="s">
        <v>3767</v>
      </c>
      <c r="F9526" s="17" t="s">
        <v>2781</v>
      </c>
      <c r="G9526" s="18" t="n">
        <v>0</v>
      </c>
      <c r="H9526" s="18" t="n">
        <v>5</v>
      </c>
      <c r="I9526" s="18" t="n">
        <f aca="false">((I9525 + G9526) - H9526)</f>
        <v>65990.0699999999</v>
      </c>
      <c r="J9526" s="18" t="n">
        <v>0</v>
      </c>
      <c r="K9526" s="19" t="n">
        <v>0</v>
      </c>
      <c r="L9526" s="17"/>
    </row>
    <row r="9527" s="11" customFormat="true" ht="10.95" hidden="false" customHeight="true" outlineLevel="0" collapsed="false">
      <c r="A9527" s="16" t="n">
        <v>45140</v>
      </c>
      <c r="B9527" s="17" t="s">
        <v>3861</v>
      </c>
      <c r="C9527" s="17" t="s">
        <v>3752</v>
      </c>
      <c r="D9527" s="17" t="s">
        <v>1407</v>
      </c>
      <c r="E9527" s="17" t="s">
        <v>2747</v>
      </c>
      <c r="F9527" s="17"/>
      <c r="G9527" s="18" t="n">
        <v>0</v>
      </c>
      <c r="H9527" s="18" t="n">
        <v>7</v>
      </c>
      <c r="I9527" s="18" t="n">
        <f aca="false">((I9526 + G9527) - H9527)</f>
        <v>65983.0699999999</v>
      </c>
      <c r="J9527" s="18" t="n">
        <v>0</v>
      </c>
      <c r="K9527" s="19" t="n">
        <v>0</v>
      </c>
      <c r="L9527" s="17"/>
    </row>
    <row r="9528" s="11" customFormat="true" ht="10.95" hidden="false" customHeight="true" outlineLevel="0" collapsed="false">
      <c r="A9528" s="16" t="n">
        <v>45140</v>
      </c>
      <c r="B9528" s="17" t="s">
        <v>3861</v>
      </c>
      <c r="C9528" s="17" t="s">
        <v>3752</v>
      </c>
      <c r="D9528" s="17" t="s">
        <v>1407</v>
      </c>
      <c r="E9528" s="17" t="s">
        <v>3757</v>
      </c>
      <c r="F9528" s="17"/>
      <c r="G9528" s="18" t="n">
        <v>0</v>
      </c>
      <c r="H9528" s="18" t="n">
        <v>13.29</v>
      </c>
      <c r="I9528" s="18" t="n">
        <f aca="false">((I9527 + G9528) - H9528)</f>
        <v>65969.7799999999</v>
      </c>
      <c r="J9528" s="18" t="n">
        <v>0</v>
      </c>
      <c r="K9528" s="19" t="n">
        <v>0</v>
      </c>
      <c r="L9528" s="17"/>
    </row>
    <row r="9529" s="11" customFormat="true" ht="10.95" hidden="false" customHeight="true" outlineLevel="0" collapsed="false">
      <c r="A9529" s="16" t="n">
        <v>45140</v>
      </c>
      <c r="B9529" s="17" t="s">
        <v>3861</v>
      </c>
      <c r="C9529" s="17" t="s">
        <v>3752</v>
      </c>
      <c r="D9529" s="17" t="s">
        <v>1407</v>
      </c>
      <c r="E9529" s="17" t="s">
        <v>3767</v>
      </c>
      <c r="F9529" s="17" t="s">
        <v>2781</v>
      </c>
      <c r="G9529" s="18" t="n">
        <v>0</v>
      </c>
      <c r="H9529" s="18" t="n">
        <v>65.03</v>
      </c>
      <c r="I9529" s="18" t="n">
        <f aca="false">((I9528 + G9529) - H9529)</f>
        <v>65904.7499999999</v>
      </c>
      <c r="J9529" s="18" t="n">
        <v>0</v>
      </c>
      <c r="K9529" s="19" t="n">
        <v>0</v>
      </c>
      <c r="L9529" s="17"/>
    </row>
    <row r="9530" s="11" customFormat="true" ht="10.95" hidden="false" customHeight="true" outlineLevel="0" collapsed="false">
      <c r="A9530" s="16" t="n">
        <v>45140</v>
      </c>
      <c r="B9530" s="17" t="s">
        <v>3861</v>
      </c>
      <c r="C9530" s="17" t="s">
        <v>3752</v>
      </c>
      <c r="D9530" s="17" t="s">
        <v>1407</v>
      </c>
      <c r="E9530" s="17" t="s">
        <v>3881</v>
      </c>
      <c r="F9530" s="17"/>
      <c r="G9530" s="18" t="n">
        <v>0</v>
      </c>
      <c r="H9530" s="18" t="n">
        <v>140</v>
      </c>
      <c r="I9530" s="18" t="n">
        <f aca="false">((I9529 + G9530) - H9530)</f>
        <v>65764.7499999999</v>
      </c>
      <c r="J9530" s="18" t="n">
        <v>0</v>
      </c>
      <c r="K9530" s="19" t="n">
        <v>0</v>
      </c>
      <c r="L9530" s="17"/>
    </row>
    <row r="9531" s="11" customFormat="true" ht="10.95" hidden="false" customHeight="true" outlineLevel="0" collapsed="false">
      <c r="A9531" s="16" t="n">
        <v>45140</v>
      </c>
      <c r="B9531" s="17" t="s">
        <v>3861</v>
      </c>
      <c r="C9531" s="17" t="s">
        <v>3752</v>
      </c>
      <c r="D9531" s="17" t="s">
        <v>1407</v>
      </c>
      <c r="E9531" s="17" t="s">
        <v>3880</v>
      </c>
      <c r="F9531" s="17"/>
      <c r="G9531" s="18" t="n">
        <v>0</v>
      </c>
      <c r="H9531" s="18" t="n">
        <v>1122</v>
      </c>
      <c r="I9531" s="18" t="n">
        <f aca="false">((I9530 + G9531) - H9531)</f>
        <v>64642.7499999999</v>
      </c>
      <c r="J9531" s="18" t="n">
        <v>0</v>
      </c>
      <c r="K9531" s="19" t="n">
        <v>0</v>
      </c>
      <c r="L9531" s="17"/>
    </row>
    <row r="9532" s="11" customFormat="true" ht="10.95" hidden="false" customHeight="true" outlineLevel="0" collapsed="false">
      <c r="A9532" s="16" t="n">
        <v>45140</v>
      </c>
      <c r="B9532" s="17" t="s">
        <v>3861</v>
      </c>
      <c r="C9532" s="17" t="s">
        <v>3752</v>
      </c>
      <c r="D9532" s="17" t="s">
        <v>1407</v>
      </c>
      <c r="E9532" s="17" t="s">
        <v>3879</v>
      </c>
      <c r="F9532" s="17"/>
      <c r="G9532" s="18" t="n">
        <v>0</v>
      </c>
      <c r="H9532" s="18" t="n">
        <v>1122</v>
      </c>
      <c r="I9532" s="18" t="n">
        <f aca="false">((I9531 + G9532) - H9532)</f>
        <v>63520.7499999999</v>
      </c>
      <c r="J9532" s="18" t="n">
        <v>0</v>
      </c>
      <c r="K9532" s="19" t="n">
        <v>0</v>
      </c>
      <c r="L9532" s="17"/>
    </row>
    <row r="9533" s="11" customFormat="true" ht="10.95" hidden="false" customHeight="true" outlineLevel="0" collapsed="false">
      <c r="A9533" s="16" t="n">
        <v>45140</v>
      </c>
      <c r="B9533" s="17" t="s">
        <v>3861</v>
      </c>
      <c r="C9533" s="17" t="s">
        <v>3752</v>
      </c>
      <c r="D9533" s="17" t="s">
        <v>1407</v>
      </c>
      <c r="E9533" s="17" t="s">
        <v>3808</v>
      </c>
      <c r="F9533" s="17"/>
      <c r="G9533" s="18" t="n">
        <v>0</v>
      </c>
      <c r="H9533" s="18" t="n">
        <v>1568.38</v>
      </c>
      <c r="I9533" s="18" t="n">
        <f aca="false">((I9532 + G9533) - H9533)</f>
        <v>61952.3699999999</v>
      </c>
      <c r="J9533" s="18" t="n">
        <v>0</v>
      </c>
      <c r="K9533" s="19" t="n">
        <v>0</v>
      </c>
      <c r="L9533" s="17"/>
    </row>
    <row r="9534" s="11" customFormat="true" ht="10.95" hidden="false" customHeight="true" outlineLevel="0" collapsed="false">
      <c r="A9534" s="16" t="n">
        <v>45141</v>
      </c>
      <c r="B9534" s="17" t="s">
        <v>3861</v>
      </c>
      <c r="C9534" s="17" t="s">
        <v>3752</v>
      </c>
      <c r="D9534" s="17" t="s">
        <v>2895</v>
      </c>
      <c r="E9534" s="17" t="s">
        <v>2922</v>
      </c>
      <c r="F9534" s="17" t="s">
        <v>2923</v>
      </c>
      <c r="G9534" s="18" t="n">
        <v>7865.79</v>
      </c>
      <c r="H9534" s="18" t="n">
        <v>0</v>
      </c>
      <c r="I9534" s="18" t="n">
        <f aca="false">((I9533 + G9534) - H9534)</f>
        <v>69818.1599999999</v>
      </c>
      <c r="J9534" s="18" t="n">
        <v>0</v>
      </c>
      <c r="K9534" s="19" t="n">
        <v>0</v>
      </c>
      <c r="L9534" s="17"/>
    </row>
    <row r="9535" s="11" customFormat="true" ht="10.95" hidden="false" customHeight="true" outlineLevel="0" collapsed="false">
      <c r="A9535" s="16" t="n">
        <v>45141</v>
      </c>
      <c r="B9535" s="17" t="s">
        <v>3861</v>
      </c>
      <c r="C9535" s="17" t="s">
        <v>3752</v>
      </c>
      <c r="D9535" s="17" t="s">
        <v>2895</v>
      </c>
      <c r="E9535" s="17" t="s">
        <v>3389</v>
      </c>
      <c r="F9535" s="17" t="s">
        <v>3948</v>
      </c>
      <c r="G9535" s="18" t="n">
        <v>4510</v>
      </c>
      <c r="H9535" s="18" t="n">
        <v>0</v>
      </c>
      <c r="I9535" s="18" t="n">
        <f aca="false">((I9534 + G9535) - H9535)</f>
        <v>74328.1599999999</v>
      </c>
      <c r="J9535" s="18" t="n">
        <v>0</v>
      </c>
      <c r="K9535" s="19" t="n">
        <v>0</v>
      </c>
      <c r="L9535" s="17"/>
    </row>
    <row r="9536" s="11" customFormat="true" ht="10.95" hidden="false" customHeight="true" outlineLevel="0" collapsed="false">
      <c r="A9536" s="16" t="n">
        <v>45141</v>
      </c>
      <c r="B9536" s="17" t="s">
        <v>3861</v>
      </c>
      <c r="C9536" s="17" t="s">
        <v>3752</v>
      </c>
      <c r="D9536" s="17" t="s">
        <v>2895</v>
      </c>
      <c r="E9536" s="17" t="s">
        <v>3373</v>
      </c>
      <c r="F9536" s="17" t="s">
        <v>3949</v>
      </c>
      <c r="G9536" s="18" t="n">
        <v>1386</v>
      </c>
      <c r="H9536" s="18" t="n">
        <v>0</v>
      </c>
      <c r="I9536" s="18" t="n">
        <f aca="false">((I9535 + G9536) - H9536)</f>
        <v>75714.1599999999</v>
      </c>
      <c r="J9536" s="18" t="n">
        <v>0</v>
      </c>
      <c r="K9536" s="19" t="n">
        <v>0</v>
      </c>
      <c r="L9536" s="17"/>
    </row>
    <row r="9537" s="11" customFormat="true" ht="10.95" hidden="false" customHeight="true" outlineLevel="0" collapsed="false">
      <c r="A9537" s="16" t="n">
        <v>45141</v>
      </c>
      <c r="B9537" s="17" t="s">
        <v>3861</v>
      </c>
      <c r="C9537" s="17" t="s">
        <v>3752</v>
      </c>
      <c r="D9537" s="17" t="s">
        <v>2895</v>
      </c>
      <c r="E9537" s="17" t="s">
        <v>3410</v>
      </c>
      <c r="F9537" s="17" t="s">
        <v>3950</v>
      </c>
      <c r="G9537" s="18" t="n">
        <v>968</v>
      </c>
      <c r="H9537" s="18" t="n">
        <v>0</v>
      </c>
      <c r="I9537" s="18" t="n">
        <f aca="false">((I9536 + G9537) - H9537)</f>
        <v>76682.1599999999</v>
      </c>
      <c r="J9537" s="18" t="n">
        <v>0</v>
      </c>
      <c r="K9537" s="19" t="n">
        <v>0</v>
      </c>
      <c r="L9537" s="17"/>
    </row>
    <row r="9538" s="11" customFormat="true" ht="10.95" hidden="false" customHeight="true" outlineLevel="0" collapsed="false">
      <c r="A9538" s="16" t="n">
        <v>45141</v>
      </c>
      <c r="B9538" s="17" t="s">
        <v>3861</v>
      </c>
      <c r="C9538" s="17" t="s">
        <v>3752</v>
      </c>
      <c r="D9538" s="17" t="s">
        <v>2895</v>
      </c>
      <c r="E9538" s="17" t="s">
        <v>2898</v>
      </c>
      <c r="F9538" s="17" t="s">
        <v>2924</v>
      </c>
      <c r="G9538" s="18" t="n">
        <v>746.68</v>
      </c>
      <c r="H9538" s="18" t="n">
        <v>0</v>
      </c>
      <c r="I9538" s="18" t="n">
        <f aca="false">((I9537 + G9538) - H9538)</f>
        <v>77428.8399999999</v>
      </c>
      <c r="J9538" s="18" t="n">
        <v>0</v>
      </c>
      <c r="K9538" s="19" t="n">
        <v>0</v>
      </c>
      <c r="L9538" s="17"/>
    </row>
    <row r="9539" s="11" customFormat="true" ht="10.95" hidden="false" customHeight="true" outlineLevel="0" collapsed="false">
      <c r="A9539" s="16" t="n">
        <v>45141</v>
      </c>
      <c r="B9539" s="17" t="s">
        <v>3861</v>
      </c>
      <c r="C9539" s="17" t="s">
        <v>3752</v>
      </c>
      <c r="D9539" s="17" t="s">
        <v>2895</v>
      </c>
      <c r="E9539" s="17" t="s">
        <v>3480</v>
      </c>
      <c r="F9539" s="17" t="s">
        <v>3951</v>
      </c>
      <c r="G9539" s="18" t="n">
        <v>180</v>
      </c>
      <c r="H9539" s="18" t="n">
        <v>0</v>
      </c>
      <c r="I9539" s="18" t="n">
        <f aca="false">((I9538 + G9539) - H9539)</f>
        <v>77608.8399999999</v>
      </c>
      <c r="J9539" s="18" t="n">
        <v>0</v>
      </c>
      <c r="K9539" s="19" t="n">
        <v>0</v>
      </c>
      <c r="L9539" s="17"/>
    </row>
    <row r="9540" s="11" customFormat="true" ht="10.95" hidden="false" customHeight="true" outlineLevel="0" collapsed="false">
      <c r="A9540" s="16" t="n">
        <v>45141</v>
      </c>
      <c r="B9540" s="17" t="s">
        <v>3861</v>
      </c>
      <c r="C9540" s="17" t="s">
        <v>3752</v>
      </c>
      <c r="D9540" s="17" t="s">
        <v>1407</v>
      </c>
      <c r="E9540" s="17" t="s">
        <v>3767</v>
      </c>
      <c r="F9540" s="17" t="s">
        <v>2781</v>
      </c>
      <c r="G9540" s="18" t="n">
        <v>0</v>
      </c>
      <c r="H9540" s="18" t="n">
        <v>5</v>
      </c>
      <c r="I9540" s="18" t="n">
        <f aca="false">((I9539 + G9540) - H9540)</f>
        <v>77603.8399999999</v>
      </c>
      <c r="J9540" s="18" t="n">
        <v>0</v>
      </c>
      <c r="K9540" s="19" t="n">
        <v>0</v>
      </c>
      <c r="L9540" s="17"/>
    </row>
    <row r="9541" s="11" customFormat="true" ht="10.95" hidden="false" customHeight="true" outlineLevel="0" collapsed="false">
      <c r="A9541" s="16" t="n">
        <v>45141</v>
      </c>
      <c r="B9541" s="17" t="s">
        <v>3861</v>
      </c>
      <c r="C9541" s="17" t="s">
        <v>3752</v>
      </c>
      <c r="D9541" s="17" t="s">
        <v>1407</v>
      </c>
      <c r="E9541" s="17" t="s">
        <v>3767</v>
      </c>
      <c r="F9541" s="17" t="s">
        <v>2781</v>
      </c>
      <c r="G9541" s="18" t="n">
        <v>0</v>
      </c>
      <c r="H9541" s="18" t="n">
        <v>5</v>
      </c>
      <c r="I9541" s="18" t="n">
        <f aca="false">((I9540 + G9541) - H9541)</f>
        <v>77598.8399999999</v>
      </c>
      <c r="J9541" s="18" t="n">
        <v>0</v>
      </c>
      <c r="K9541" s="19" t="n">
        <v>0</v>
      </c>
      <c r="L9541" s="17"/>
    </row>
    <row r="9542" s="11" customFormat="true" ht="10.95" hidden="false" customHeight="true" outlineLevel="0" collapsed="false">
      <c r="A9542" s="16" t="n">
        <v>45141</v>
      </c>
      <c r="B9542" s="17" t="s">
        <v>3861</v>
      </c>
      <c r="C9542" s="17" t="s">
        <v>3752</v>
      </c>
      <c r="D9542" s="17" t="s">
        <v>1407</v>
      </c>
      <c r="E9542" s="17" t="s">
        <v>3767</v>
      </c>
      <c r="F9542" s="17" t="s">
        <v>2781</v>
      </c>
      <c r="G9542" s="18" t="n">
        <v>0</v>
      </c>
      <c r="H9542" s="18" t="n">
        <v>12.53</v>
      </c>
      <c r="I9542" s="18" t="n">
        <f aca="false">((I9541 + G9542) - H9542)</f>
        <v>77586.3099999999</v>
      </c>
      <c r="J9542" s="18" t="n">
        <v>0</v>
      </c>
      <c r="K9542" s="19" t="n">
        <v>0</v>
      </c>
      <c r="L9542" s="17"/>
    </row>
    <row r="9543" s="11" customFormat="true" ht="10.95" hidden="false" customHeight="true" outlineLevel="0" collapsed="false">
      <c r="A9543" s="16" t="n">
        <v>45141</v>
      </c>
      <c r="B9543" s="17" t="s">
        <v>3861</v>
      </c>
      <c r="C9543" s="17" t="s">
        <v>3752</v>
      </c>
      <c r="D9543" s="17" t="s">
        <v>1407</v>
      </c>
      <c r="E9543" s="17" t="s">
        <v>3767</v>
      </c>
      <c r="F9543" s="17" t="s">
        <v>2781</v>
      </c>
      <c r="G9543" s="18" t="n">
        <v>0</v>
      </c>
      <c r="H9543" s="18" t="n">
        <v>25.85</v>
      </c>
      <c r="I9543" s="18" t="n">
        <f aca="false">((I9542 + G9543) - H9543)</f>
        <v>77560.4599999999</v>
      </c>
      <c r="J9543" s="18" t="n">
        <v>0</v>
      </c>
      <c r="K9543" s="19" t="n">
        <v>0</v>
      </c>
      <c r="L9543" s="17"/>
    </row>
    <row r="9544" s="11" customFormat="true" ht="10.95" hidden="false" customHeight="true" outlineLevel="0" collapsed="false">
      <c r="A9544" s="16" t="n">
        <v>45141</v>
      </c>
      <c r="B9544" s="17" t="s">
        <v>3861</v>
      </c>
      <c r="C9544" s="17" t="s">
        <v>3752</v>
      </c>
      <c r="D9544" s="17" t="s">
        <v>1407</v>
      </c>
      <c r="E9544" s="17" t="s">
        <v>3767</v>
      </c>
      <c r="F9544" s="17" t="s">
        <v>2781</v>
      </c>
      <c r="G9544" s="18" t="n">
        <v>0</v>
      </c>
      <c r="H9544" s="18" t="n">
        <v>30.12</v>
      </c>
      <c r="I9544" s="18" t="n">
        <f aca="false">((I9543 + G9544) - H9544)</f>
        <v>77530.3399999999</v>
      </c>
      <c r="J9544" s="18" t="n">
        <v>0</v>
      </c>
      <c r="K9544" s="19" t="n">
        <v>0</v>
      </c>
      <c r="L9544" s="17"/>
    </row>
    <row r="9545" s="11" customFormat="true" ht="10.95" hidden="false" customHeight="true" outlineLevel="0" collapsed="false">
      <c r="A9545" s="16" t="n">
        <v>45141</v>
      </c>
      <c r="B9545" s="17" t="s">
        <v>3861</v>
      </c>
      <c r="C9545" s="17" t="s">
        <v>3752</v>
      </c>
      <c r="D9545" s="17" t="s">
        <v>1407</v>
      </c>
      <c r="E9545" s="17" t="s">
        <v>2747</v>
      </c>
      <c r="F9545" s="17"/>
      <c r="G9545" s="18" t="n">
        <v>0</v>
      </c>
      <c r="H9545" s="18" t="n">
        <v>7</v>
      </c>
      <c r="I9545" s="18" t="n">
        <f aca="false">((I9544 + G9545) - H9545)</f>
        <v>77523.3399999999</v>
      </c>
      <c r="J9545" s="18" t="n">
        <v>0</v>
      </c>
      <c r="K9545" s="19" t="n">
        <v>0</v>
      </c>
      <c r="L9545" s="17"/>
    </row>
    <row r="9546" s="11" customFormat="true" ht="10.95" hidden="false" customHeight="true" outlineLevel="0" collapsed="false">
      <c r="A9546" s="16" t="n">
        <v>45142</v>
      </c>
      <c r="B9546" s="17" t="s">
        <v>3861</v>
      </c>
      <c r="C9546" s="17" t="s">
        <v>3752</v>
      </c>
      <c r="D9546" s="17" t="s">
        <v>2895</v>
      </c>
      <c r="E9546" s="17" t="s">
        <v>3482</v>
      </c>
      <c r="F9546" s="17" t="s">
        <v>3952</v>
      </c>
      <c r="G9546" s="18" t="n">
        <v>1654.4</v>
      </c>
      <c r="H9546" s="18" t="n">
        <v>0</v>
      </c>
      <c r="I9546" s="18" t="n">
        <f aca="false">((I9545 + G9546) - H9546)</f>
        <v>79177.7399999999</v>
      </c>
      <c r="J9546" s="18" t="n">
        <v>0</v>
      </c>
      <c r="K9546" s="19" t="n">
        <v>0</v>
      </c>
      <c r="L9546" s="17"/>
    </row>
    <row r="9547" s="11" customFormat="true" ht="10.95" hidden="false" customHeight="true" outlineLevel="0" collapsed="false">
      <c r="A9547" s="16" t="n">
        <v>45142</v>
      </c>
      <c r="B9547" s="17" t="s">
        <v>3861</v>
      </c>
      <c r="C9547" s="17" t="s">
        <v>3752</v>
      </c>
      <c r="D9547" s="17" t="s">
        <v>2895</v>
      </c>
      <c r="E9547" s="17" t="s">
        <v>3378</v>
      </c>
      <c r="F9547" s="17" t="s">
        <v>3953</v>
      </c>
      <c r="G9547" s="18" t="n">
        <v>413.6</v>
      </c>
      <c r="H9547" s="18" t="n">
        <v>0</v>
      </c>
      <c r="I9547" s="18" t="n">
        <f aca="false">((I9546 + G9547) - H9547)</f>
        <v>79591.3399999999</v>
      </c>
      <c r="J9547" s="18" t="n">
        <v>0</v>
      </c>
      <c r="K9547" s="19" t="n">
        <v>0</v>
      </c>
      <c r="L9547" s="17"/>
    </row>
    <row r="9548" s="11" customFormat="true" ht="10.95" hidden="false" customHeight="true" outlineLevel="0" collapsed="false">
      <c r="A9548" s="16" t="n">
        <v>45142</v>
      </c>
      <c r="B9548" s="17" t="s">
        <v>3861</v>
      </c>
      <c r="C9548" s="17" t="s">
        <v>3752</v>
      </c>
      <c r="D9548" s="17" t="s">
        <v>3814</v>
      </c>
      <c r="E9548" s="17" t="s">
        <v>3815</v>
      </c>
      <c r="F9548" s="17"/>
      <c r="G9548" s="18" t="n">
        <v>0</v>
      </c>
      <c r="H9548" s="18" t="n">
        <v>0.24</v>
      </c>
      <c r="I9548" s="18" t="n">
        <f aca="false">((I9547 + G9548) - H9548)</f>
        <v>79591.0999999999</v>
      </c>
      <c r="J9548" s="18" t="n">
        <v>0</v>
      </c>
      <c r="K9548" s="19" t="n">
        <v>0</v>
      </c>
      <c r="L9548" s="17"/>
    </row>
    <row r="9549" s="11" customFormat="true" ht="10.95" hidden="false" customHeight="true" outlineLevel="0" collapsed="false">
      <c r="A9549" s="16" t="n">
        <v>45142</v>
      </c>
      <c r="B9549" s="17" t="s">
        <v>3861</v>
      </c>
      <c r="C9549" s="17" t="s">
        <v>3752</v>
      </c>
      <c r="D9549" s="17" t="s">
        <v>1407</v>
      </c>
      <c r="E9549" s="17" t="s">
        <v>3767</v>
      </c>
      <c r="F9549" s="17" t="s">
        <v>2781</v>
      </c>
      <c r="G9549" s="18" t="n">
        <v>0</v>
      </c>
      <c r="H9549" s="18" t="n">
        <v>5</v>
      </c>
      <c r="I9549" s="18" t="n">
        <f aca="false">((I9548 + G9549) - H9549)</f>
        <v>79586.0999999999</v>
      </c>
      <c r="J9549" s="18" t="n">
        <v>0</v>
      </c>
      <c r="K9549" s="19" t="n">
        <v>0</v>
      </c>
      <c r="L9549" s="17"/>
    </row>
    <row r="9550" s="11" customFormat="true" ht="10.95" hidden="false" customHeight="true" outlineLevel="0" collapsed="false">
      <c r="A9550" s="16" t="n">
        <v>45142</v>
      </c>
      <c r="B9550" s="17" t="s">
        <v>3861</v>
      </c>
      <c r="C9550" s="17" t="s">
        <v>3752</v>
      </c>
      <c r="D9550" s="17" t="s">
        <v>1407</v>
      </c>
      <c r="E9550" s="17" t="s">
        <v>3767</v>
      </c>
      <c r="F9550" s="17" t="s">
        <v>2781</v>
      </c>
      <c r="G9550" s="18" t="n">
        <v>0</v>
      </c>
      <c r="H9550" s="18" t="n">
        <v>5</v>
      </c>
      <c r="I9550" s="18" t="n">
        <f aca="false">((I9549 + G9550) - H9550)</f>
        <v>79581.0999999999</v>
      </c>
      <c r="J9550" s="18" t="n">
        <v>0</v>
      </c>
      <c r="K9550" s="19" t="n">
        <v>0</v>
      </c>
      <c r="L9550" s="17"/>
    </row>
    <row r="9551" s="11" customFormat="true" ht="10.95" hidden="false" customHeight="true" outlineLevel="0" collapsed="false">
      <c r="A9551" s="16" t="n">
        <v>45142</v>
      </c>
      <c r="B9551" s="17" t="s">
        <v>3861</v>
      </c>
      <c r="C9551" s="17" t="s">
        <v>3752</v>
      </c>
      <c r="D9551" s="17" t="s">
        <v>1407</v>
      </c>
      <c r="E9551" s="17" t="s">
        <v>3863</v>
      </c>
      <c r="F9551" s="17"/>
      <c r="G9551" s="18" t="n">
        <v>0</v>
      </c>
      <c r="H9551" s="18" t="n">
        <v>3.84</v>
      </c>
      <c r="I9551" s="18" t="n">
        <f aca="false">((I9550 + G9551) - H9551)</f>
        <v>79577.2599999999</v>
      </c>
      <c r="J9551" s="18" t="n">
        <v>0</v>
      </c>
      <c r="K9551" s="19" t="n">
        <v>0</v>
      </c>
      <c r="L9551" s="17"/>
    </row>
    <row r="9552" s="11" customFormat="true" ht="10.95" hidden="false" customHeight="true" outlineLevel="0" collapsed="false">
      <c r="A9552" s="16" t="n">
        <v>45142</v>
      </c>
      <c r="B9552" s="17" t="s">
        <v>3861</v>
      </c>
      <c r="C9552" s="17" t="s">
        <v>3752</v>
      </c>
      <c r="D9552" s="17" t="s">
        <v>1407</v>
      </c>
      <c r="E9552" s="17" t="s">
        <v>3946</v>
      </c>
      <c r="F9552" s="17"/>
      <c r="G9552" s="18" t="n">
        <v>0</v>
      </c>
      <c r="H9552" s="18" t="n">
        <v>4.06</v>
      </c>
      <c r="I9552" s="18" t="n">
        <f aca="false">((I9551 + G9552) - H9552)</f>
        <v>79573.1999999999</v>
      </c>
      <c r="J9552" s="18" t="n">
        <v>0</v>
      </c>
      <c r="K9552" s="19" t="n">
        <v>0</v>
      </c>
      <c r="L9552" s="17"/>
    </row>
    <row r="9553" s="11" customFormat="true" ht="10.95" hidden="false" customHeight="true" outlineLevel="0" collapsed="false">
      <c r="A9553" s="16" t="n">
        <v>45142</v>
      </c>
      <c r="B9553" s="17" t="s">
        <v>3861</v>
      </c>
      <c r="C9553" s="17" t="s">
        <v>3752</v>
      </c>
      <c r="D9553" s="17" t="s">
        <v>1407</v>
      </c>
      <c r="E9553" s="17" t="s">
        <v>3863</v>
      </c>
      <c r="F9553" s="17"/>
      <c r="G9553" s="18" t="n">
        <v>0</v>
      </c>
      <c r="H9553" s="18" t="n">
        <v>5.36</v>
      </c>
      <c r="I9553" s="18" t="n">
        <f aca="false">((I9552 + G9553) - H9553)</f>
        <v>79567.8399999999</v>
      </c>
      <c r="J9553" s="18" t="n">
        <v>0</v>
      </c>
      <c r="K9553" s="19" t="n">
        <v>0</v>
      </c>
      <c r="L9553" s="17"/>
    </row>
    <row r="9554" s="11" customFormat="true" ht="10.95" hidden="false" customHeight="true" outlineLevel="0" collapsed="false">
      <c r="A9554" s="16" t="n">
        <v>45142</v>
      </c>
      <c r="B9554" s="17" t="s">
        <v>3861</v>
      </c>
      <c r="C9554" s="17" t="s">
        <v>3752</v>
      </c>
      <c r="D9554" s="17" t="s">
        <v>1407</v>
      </c>
      <c r="E9554" s="17" t="s">
        <v>3946</v>
      </c>
      <c r="F9554" s="17"/>
      <c r="G9554" s="18" t="n">
        <v>0</v>
      </c>
      <c r="H9554" s="18" t="n">
        <v>6.09</v>
      </c>
      <c r="I9554" s="18" t="n">
        <f aca="false">((I9553 + G9554) - H9554)</f>
        <v>79561.7499999999</v>
      </c>
      <c r="J9554" s="18" t="n">
        <v>0</v>
      </c>
      <c r="K9554" s="19" t="n">
        <v>0</v>
      </c>
      <c r="L9554" s="17"/>
    </row>
    <row r="9555" s="11" customFormat="true" ht="10.95" hidden="false" customHeight="true" outlineLevel="0" collapsed="false">
      <c r="A9555" s="16" t="n">
        <v>45142</v>
      </c>
      <c r="B9555" s="17" t="s">
        <v>3861</v>
      </c>
      <c r="C9555" s="17" t="s">
        <v>3752</v>
      </c>
      <c r="D9555" s="17" t="s">
        <v>1407</v>
      </c>
      <c r="E9555" s="17" t="s">
        <v>3863</v>
      </c>
      <c r="F9555" s="17"/>
      <c r="G9555" s="18" t="n">
        <v>0</v>
      </c>
      <c r="H9555" s="18" t="n">
        <v>7.14</v>
      </c>
      <c r="I9555" s="18" t="n">
        <f aca="false">((I9554 + G9555) - H9555)</f>
        <v>79554.6099999999</v>
      </c>
      <c r="J9555" s="18" t="n">
        <v>0</v>
      </c>
      <c r="K9555" s="19" t="n">
        <v>0</v>
      </c>
      <c r="L9555" s="17"/>
    </row>
    <row r="9556" s="11" customFormat="true" ht="10.95" hidden="false" customHeight="true" outlineLevel="0" collapsed="false">
      <c r="A9556" s="16" t="n">
        <v>45142</v>
      </c>
      <c r="B9556" s="17" t="s">
        <v>3861</v>
      </c>
      <c r="C9556" s="17" t="s">
        <v>3752</v>
      </c>
      <c r="D9556" s="17" t="s">
        <v>1407</v>
      </c>
      <c r="E9556" s="17" t="s">
        <v>3767</v>
      </c>
      <c r="F9556" s="17" t="s">
        <v>2781</v>
      </c>
      <c r="G9556" s="18" t="n">
        <v>0</v>
      </c>
      <c r="H9556" s="18" t="n">
        <v>25.13</v>
      </c>
      <c r="I9556" s="18" t="n">
        <f aca="false">((I9555 + G9556) - H9556)</f>
        <v>79529.4799999999</v>
      </c>
      <c r="J9556" s="18" t="n">
        <v>0</v>
      </c>
      <c r="K9556" s="19" t="n">
        <v>0</v>
      </c>
      <c r="L9556" s="17"/>
    </row>
    <row r="9557" s="11" customFormat="true" ht="10.95" hidden="false" customHeight="true" outlineLevel="0" collapsed="false">
      <c r="A9557" s="16" t="n">
        <v>45142</v>
      </c>
      <c r="B9557" s="17" t="s">
        <v>3861</v>
      </c>
      <c r="C9557" s="17" t="s">
        <v>3752</v>
      </c>
      <c r="D9557" s="17" t="s">
        <v>1407</v>
      </c>
      <c r="E9557" s="17" t="s">
        <v>3767</v>
      </c>
      <c r="F9557" s="17" t="s">
        <v>2781</v>
      </c>
      <c r="G9557" s="18" t="n">
        <v>0</v>
      </c>
      <c r="H9557" s="18" t="n">
        <v>25.25</v>
      </c>
      <c r="I9557" s="18" t="n">
        <f aca="false">((I9556 + G9557) - H9557)</f>
        <v>79504.2299999999</v>
      </c>
      <c r="J9557" s="18" t="n">
        <v>0</v>
      </c>
      <c r="K9557" s="19" t="n">
        <v>0</v>
      </c>
      <c r="L9557" s="17"/>
    </row>
    <row r="9558" s="11" customFormat="true" ht="10.95" hidden="false" customHeight="true" outlineLevel="0" collapsed="false">
      <c r="A9558" s="16" t="n">
        <v>45142</v>
      </c>
      <c r="B9558" s="17" t="s">
        <v>3861</v>
      </c>
      <c r="C9558" s="17" t="s">
        <v>3752</v>
      </c>
      <c r="D9558" s="17" t="s">
        <v>1407</v>
      </c>
      <c r="E9558" s="17" t="s">
        <v>3767</v>
      </c>
      <c r="F9558" s="17" t="s">
        <v>2781</v>
      </c>
      <c r="G9558" s="18" t="n">
        <v>0</v>
      </c>
      <c r="H9558" s="18" t="n">
        <v>28.58</v>
      </c>
      <c r="I9558" s="18" t="n">
        <f aca="false">((I9557 + G9558) - H9558)</f>
        <v>79475.6499999999</v>
      </c>
      <c r="J9558" s="18" t="n">
        <v>0</v>
      </c>
      <c r="K9558" s="19" t="n">
        <v>0</v>
      </c>
      <c r="L9558" s="17"/>
    </row>
    <row r="9559" s="11" customFormat="true" ht="10.95" hidden="false" customHeight="true" outlineLevel="0" collapsed="false">
      <c r="A9559" s="16" t="n">
        <v>45142</v>
      </c>
      <c r="B9559" s="17" t="s">
        <v>3861</v>
      </c>
      <c r="C9559" s="17" t="s">
        <v>3752</v>
      </c>
      <c r="D9559" s="17" t="s">
        <v>1407</v>
      </c>
      <c r="E9559" s="17" t="s">
        <v>3954</v>
      </c>
      <c r="F9559" s="17"/>
      <c r="G9559" s="18" t="n">
        <v>0</v>
      </c>
      <c r="H9559" s="18" t="n">
        <v>299</v>
      </c>
      <c r="I9559" s="18" t="n">
        <f aca="false">((I9558 + G9559) - H9559)</f>
        <v>79176.6499999999</v>
      </c>
      <c r="J9559" s="18" t="n">
        <v>0</v>
      </c>
      <c r="K9559" s="19" t="n">
        <v>0</v>
      </c>
      <c r="L9559" s="17"/>
    </row>
    <row r="9560" s="11" customFormat="true" ht="10.95" hidden="false" customHeight="true" outlineLevel="0" collapsed="false">
      <c r="A9560" s="16" t="n">
        <v>45142</v>
      </c>
      <c r="B9560" s="17" t="s">
        <v>3861</v>
      </c>
      <c r="C9560" s="17" t="s">
        <v>3752</v>
      </c>
      <c r="D9560" s="17" t="s">
        <v>2903</v>
      </c>
      <c r="E9560" s="17" t="s">
        <v>3652</v>
      </c>
      <c r="F9560" s="17" t="s">
        <v>2256</v>
      </c>
      <c r="G9560" s="18" t="n">
        <v>0</v>
      </c>
      <c r="H9560" s="18" t="n">
        <v>152.15</v>
      </c>
      <c r="I9560" s="18" t="n">
        <f aca="false">((I9559 + G9560) - H9560)</f>
        <v>79024.4999999999</v>
      </c>
      <c r="J9560" s="18" t="n">
        <v>0</v>
      </c>
      <c r="K9560" s="19" t="n">
        <v>0</v>
      </c>
      <c r="L9560" s="17"/>
    </row>
    <row r="9561" s="11" customFormat="true" ht="10.95" hidden="false" customHeight="true" outlineLevel="0" collapsed="false">
      <c r="A9561" s="16" t="n">
        <v>45142</v>
      </c>
      <c r="B9561" s="17" t="s">
        <v>3861</v>
      </c>
      <c r="C9561" s="17" t="s">
        <v>3752</v>
      </c>
      <c r="D9561" s="17" t="s">
        <v>2903</v>
      </c>
      <c r="E9561" s="17" t="s">
        <v>3652</v>
      </c>
      <c r="F9561" s="17" t="s">
        <v>2254</v>
      </c>
      <c r="G9561" s="18" t="n">
        <v>0</v>
      </c>
      <c r="H9561" s="18" t="n">
        <v>248</v>
      </c>
      <c r="I9561" s="18" t="n">
        <f aca="false">((I9560 + G9561) - H9561)</f>
        <v>78776.4999999999</v>
      </c>
      <c r="J9561" s="18" t="n">
        <v>0</v>
      </c>
      <c r="K9561" s="19" t="n">
        <v>0</v>
      </c>
      <c r="L9561" s="17"/>
    </row>
    <row r="9562" s="11" customFormat="true" ht="10.95" hidden="false" customHeight="true" outlineLevel="0" collapsed="false">
      <c r="A9562" s="16" t="n">
        <v>45142</v>
      </c>
      <c r="B9562" s="17" t="s">
        <v>3861</v>
      </c>
      <c r="C9562" s="17" t="s">
        <v>3752</v>
      </c>
      <c r="D9562" s="17" t="s">
        <v>1407</v>
      </c>
      <c r="E9562" s="17" t="s">
        <v>3683</v>
      </c>
      <c r="F9562" s="17"/>
      <c r="G9562" s="18" t="n">
        <v>0</v>
      </c>
      <c r="H9562" s="18" t="n">
        <v>128.02</v>
      </c>
      <c r="I9562" s="18" t="n">
        <f aca="false">((I9561 + G9562) - H9562)</f>
        <v>78648.4799999999</v>
      </c>
      <c r="J9562" s="18" t="n">
        <v>0</v>
      </c>
      <c r="K9562" s="19" t="n">
        <v>0</v>
      </c>
      <c r="L9562" s="17"/>
    </row>
    <row r="9563" s="11" customFormat="true" ht="10.95" hidden="false" customHeight="true" outlineLevel="0" collapsed="false">
      <c r="A9563" s="16" t="n">
        <v>45142</v>
      </c>
      <c r="B9563" s="17" t="s">
        <v>3861</v>
      </c>
      <c r="C9563" s="17" t="s">
        <v>3752</v>
      </c>
      <c r="D9563" s="17" t="s">
        <v>1407</v>
      </c>
      <c r="E9563" s="17" t="s">
        <v>3680</v>
      </c>
      <c r="F9563" s="17"/>
      <c r="G9563" s="18" t="n">
        <v>0</v>
      </c>
      <c r="H9563" s="18" t="n">
        <v>178.66</v>
      </c>
      <c r="I9563" s="18" t="n">
        <f aca="false">((I9562 + G9563) - H9563)</f>
        <v>78469.8199999999</v>
      </c>
      <c r="J9563" s="18" t="n">
        <v>0</v>
      </c>
      <c r="K9563" s="19" t="n">
        <v>0</v>
      </c>
      <c r="L9563" s="17"/>
    </row>
    <row r="9564" s="11" customFormat="true" ht="10.95" hidden="false" customHeight="true" outlineLevel="0" collapsed="false">
      <c r="A9564" s="16" t="n">
        <v>45142</v>
      </c>
      <c r="B9564" s="17" t="s">
        <v>3861</v>
      </c>
      <c r="C9564" s="17" t="s">
        <v>3752</v>
      </c>
      <c r="D9564" s="17" t="s">
        <v>1407</v>
      </c>
      <c r="E9564" s="17" t="s">
        <v>3681</v>
      </c>
      <c r="F9564" s="17"/>
      <c r="G9564" s="18" t="n">
        <v>0</v>
      </c>
      <c r="H9564" s="18" t="n">
        <v>237.99</v>
      </c>
      <c r="I9564" s="18" t="n">
        <f aca="false">((I9563 + G9564) - H9564)</f>
        <v>78231.8299999999</v>
      </c>
      <c r="J9564" s="18" t="n">
        <v>0</v>
      </c>
      <c r="K9564" s="19" t="n">
        <v>0</v>
      </c>
      <c r="L9564" s="17"/>
    </row>
    <row r="9565" s="11" customFormat="true" ht="10.95" hidden="false" customHeight="true" outlineLevel="0" collapsed="false">
      <c r="A9565" s="16" t="n">
        <v>45142</v>
      </c>
      <c r="B9565" s="17" t="s">
        <v>3861</v>
      </c>
      <c r="C9565" s="17" t="s">
        <v>3752</v>
      </c>
      <c r="D9565" s="17" t="s">
        <v>1407</v>
      </c>
      <c r="E9565" s="17" t="s">
        <v>3632</v>
      </c>
      <c r="F9565" s="17"/>
      <c r="G9565" s="18" t="n">
        <v>0</v>
      </c>
      <c r="H9565" s="18" t="n">
        <v>1650</v>
      </c>
      <c r="I9565" s="18" t="n">
        <f aca="false">((I9564 + G9565) - H9565)</f>
        <v>76581.8299999999</v>
      </c>
      <c r="J9565" s="18" t="n">
        <v>0</v>
      </c>
      <c r="K9565" s="19" t="n">
        <v>0</v>
      </c>
      <c r="L9565" s="17"/>
    </row>
    <row r="9566" s="11" customFormat="true" ht="10.95" hidden="false" customHeight="true" outlineLevel="0" collapsed="false">
      <c r="A9566" s="16" t="n">
        <v>45142</v>
      </c>
      <c r="B9566" s="17" t="s">
        <v>3861</v>
      </c>
      <c r="C9566" s="17" t="s">
        <v>3752</v>
      </c>
      <c r="D9566" s="17" t="s">
        <v>1407</v>
      </c>
      <c r="E9566" s="17" t="s">
        <v>3882</v>
      </c>
      <c r="F9566" s="17"/>
      <c r="G9566" s="18" t="n">
        <v>0</v>
      </c>
      <c r="H9566" s="18" t="n">
        <v>76.93</v>
      </c>
      <c r="I9566" s="18" t="n">
        <f aca="false">((I9565 + G9566) - H9566)</f>
        <v>76504.8999999999</v>
      </c>
      <c r="J9566" s="18" t="n">
        <v>0</v>
      </c>
      <c r="K9566" s="19" t="n">
        <v>0</v>
      </c>
      <c r="L9566" s="17"/>
    </row>
    <row r="9567" s="11" customFormat="true" ht="10.95" hidden="false" customHeight="true" outlineLevel="0" collapsed="false">
      <c r="A9567" s="16" t="n">
        <v>45142</v>
      </c>
      <c r="B9567" s="17" t="s">
        <v>3861</v>
      </c>
      <c r="C9567" s="17" t="s">
        <v>3752</v>
      </c>
      <c r="D9567" s="17" t="s">
        <v>1407</v>
      </c>
      <c r="E9567" s="17" t="s">
        <v>3882</v>
      </c>
      <c r="F9567" s="17"/>
      <c r="G9567" s="18" t="n">
        <v>0</v>
      </c>
      <c r="H9567" s="18" t="n">
        <v>43.89</v>
      </c>
      <c r="I9567" s="18" t="n">
        <f aca="false">((I9566 + G9567) - H9567)</f>
        <v>76461.0099999999</v>
      </c>
      <c r="J9567" s="18" t="n">
        <v>0</v>
      </c>
      <c r="K9567" s="19" t="n">
        <v>0</v>
      </c>
      <c r="L9567" s="17"/>
    </row>
    <row r="9568" s="11" customFormat="true" ht="10.95" hidden="false" customHeight="true" outlineLevel="0" collapsed="false">
      <c r="A9568" s="16" t="n">
        <v>45143</v>
      </c>
      <c r="B9568" s="17" t="s">
        <v>3861</v>
      </c>
      <c r="C9568" s="17" t="s">
        <v>3752</v>
      </c>
      <c r="D9568" s="17" t="s">
        <v>1407</v>
      </c>
      <c r="E9568" s="17" t="s">
        <v>3863</v>
      </c>
      <c r="F9568" s="17"/>
      <c r="G9568" s="18" t="n">
        <v>0</v>
      </c>
      <c r="H9568" s="18" t="n">
        <v>0.58</v>
      </c>
      <c r="I9568" s="18" t="n">
        <f aca="false">((I9567 + G9568) - H9568)</f>
        <v>76460.4299999999</v>
      </c>
      <c r="J9568" s="18" t="n">
        <v>0</v>
      </c>
      <c r="K9568" s="19" t="n">
        <v>0</v>
      </c>
      <c r="L9568" s="17"/>
    </row>
    <row r="9569" s="11" customFormat="true" ht="10.95" hidden="false" customHeight="true" outlineLevel="0" collapsed="false">
      <c r="A9569" s="16" t="n">
        <v>45143</v>
      </c>
      <c r="B9569" s="17" t="s">
        <v>3861</v>
      </c>
      <c r="C9569" s="17" t="s">
        <v>3752</v>
      </c>
      <c r="D9569" s="17" t="s">
        <v>1407</v>
      </c>
      <c r="E9569" s="17" t="s">
        <v>3767</v>
      </c>
      <c r="F9569" s="17" t="s">
        <v>2781</v>
      </c>
      <c r="G9569" s="18" t="n">
        <v>0</v>
      </c>
      <c r="H9569" s="18" t="n">
        <v>5</v>
      </c>
      <c r="I9569" s="18" t="n">
        <f aca="false">((I9568 + G9569) - H9569)</f>
        <v>76455.4299999999</v>
      </c>
      <c r="J9569" s="18" t="n">
        <v>0</v>
      </c>
      <c r="K9569" s="19" t="n">
        <v>0</v>
      </c>
      <c r="L9569" s="17"/>
    </row>
    <row r="9570" s="11" customFormat="true" ht="10.95" hidden="false" customHeight="true" outlineLevel="0" collapsed="false">
      <c r="A9570" s="16" t="n">
        <v>45143</v>
      </c>
      <c r="B9570" s="17" t="s">
        <v>3861</v>
      </c>
      <c r="C9570" s="17" t="s">
        <v>3752</v>
      </c>
      <c r="D9570" s="17" t="s">
        <v>1407</v>
      </c>
      <c r="E9570" s="17" t="s">
        <v>3767</v>
      </c>
      <c r="F9570" s="17" t="s">
        <v>2781</v>
      </c>
      <c r="G9570" s="18" t="n">
        <v>0</v>
      </c>
      <c r="H9570" s="18" t="n">
        <v>5</v>
      </c>
      <c r="I9570" s="18" t="n">
        <f aca="false">((I9569 + G9570) - H9570)</f>
        <v>76450.4299999999</v>
      </c>
      <c r="J9570" s="18" t="n">
        <v>0</v>
      </c>
      <c r="K9570" s="19" t="n">
        <v>0</v>
      </c>
      <c r="L9570" s="17"/>
    </row>
    <row r="9571" s="11" customFormat="true" ht="10.95" hidden="false" customHeight="true" outlineLevel="0" collapsed="false">
      <c r="A9571" s="16" t="n">
        <v>45143</v>
      </c>
      <c r="B9571" s="17" t="s">
        <v>3861</v>
      </c>
      <c r="C9571" s="17" t="s">
        <v>3752</v>
      </c>
      <c r="D9571" s="17" t="s">
        <v>1407</v>
      </c>
      <c r="E9571" s="17" t="s">
        <v>3767</v>
      </c>
      <c r="F9571" s="17" t="s">
        <v>2781</v>
      </c>
      <c r="G9571" s="18" t="n">
        <v>0</v>
      </c>
      <c r="H9571" s="18" t="n">
        <v>5</v>
      </c>
      <c r="I9571" s="18" t="n">
        <f aca="false">((I9570 + G9571) - H9571)</f>
        <v>76445.4299999999</v>
      </c>
      <c r="J9571" s="18" t="n">
        <v>0</v>
      </c>
      <c r="K9571" s="19" t="n">
        <v>0</v>
      </c>
      <c r="L9571" s="17"/>
    </row>
    <row r="9572" s="11" customFormat="true" ht="10.95" hidden="false" customHeight="true" outlineLevel="0" collapsed="false">
      <c r="A9572" s="16" t="n">
        <v>45143</v>
      </c>
      <c r="B9572" s="17" t="s">
        <v>3861</v>
      </c>
      <c r="C9572" s="17" t="s">
        <v>3752</v>
      </c>
      <c r="D9572" s="17" t="s">
        <v>1407</v>
      </c>
      <c r="E9572" s="17" t="s">
        <v>3767</v>
      </c>
      <c r="F9572" s="17" t="s">
        <v>2781</v>
      </c>
      <c r="G9572" s="18" t="n">
        <v>0</v>
      </c>
      <c r="H9572" s="18" t="n">
        <v>5</v>
      </c>
      <c r="I9572" s="18" t="n">
        <f aca="false">((I9571 + G9572) - H9572)</f>
        <v>76440.4299999999</v>
      </c>
      <c r="J9572" s="18" t="n">
        <v>0</v>
      </c>
      <c r="K9572" s="19" t="n">
        <v>0</v>
      </c>
      <c r="L9572" s="17"/>
    </row>
    <row r="9573" s="11" customFormat="true" ht="10.95" hidden="false" customHeight="true" outlineLevel="0" collapsed="false">
      <c r="A9573" s="16" t="n">
        <v>45143</v>
      </c>
      <c r="B9573" s="17" t="s">
        <v>3861</v>
      </c>
      <c r="C9573" s="17" t="s">
        <v>3752</v>
      </c>
      <c r="D9573" s="17" t="s">
        <v>1407</v>
      </c>
      <c r="E9573" s="17" t="s">
        <v>3767</v>
      </c>
      <c r="F9573" s="17" t="s">
        <v>2781</v>
      </c>
      <c r="G9573" s="18" t="n">
        <v>0</v>
      </c>
      <c r="H9573" s="18" t="n">
        <v>16.28</v>
      </c>
      <c r="I9573" s="18" t="n">
        <f aca="false">((I9572 + G9573) - H9573)</f>
        <v>76424.1499999999</v>
      </c>
      <c r="J9573" s="18" t="n">
        <v>0</v>
      </c>
      <c r="K9573" s="19" t="n">
        <v>0</v>
      </c>
      <c r="L9573" s="17"/>
    </row>
    <row r="9574" s="11" customFormat="true" ht="10.95" hidden="false" customHeight="true" outlineLevel="0" collapsed="false">
      <c r="A9574" s="16" t="n">
        <v>45143</v>
      </c>
      <c r="B9574" s="17" t="s">
        <v>3861</v>
      </c>
      <c r="C9574" s="17" t="s">
        <v>3752</v>
      </c>
      <c r="D9574" s="17" t="s">
        <v>1407</v>
      </c>
      <c r="E9574" s="17" t="s">
        <v>3767</v>
      </c>
      <c r="F9574" s="17" t="s">
        <v>2781</v>
      </c>
      <c r="G9574" s="18" t="n">
        <v>0</v>
      </c>
      <c r="H9574" s="18" t="n">
        <v>22.93</v>
      </c>
      <c r="I9574" s="18" t="n">
        <f aca="false">((I9573 + G9574) - H9574)</f>
        <v>76401.2199999999</v>
      </c>
      <c r="J9574" s="18" t="n">
        <v>0</v>
      </c>
      <c r="K9574" s="19" t="n">
        <v>0</v>
      </c>
      <c r="L9574" s="17"/>
    </row>
    <row r="9575" s="11" customFormat="true" ht="10.95" hidden="false" customHeight="true" outlineLevel="0" collapsed="false">
      <c r="A9575" s="16" t="n">
        <v>45143</v>
      </c>
      <c r="B9575" s="17" t="s">
        <v>3861</v>
      </c>
      <c r="C9575" s="17" t="s">
        <v>3752</v>
      </c>
      <c r="D9575" s="17" t="s">
        <v>1407</v>
      </c>
      <c r="E9575" s="17" t="s">
        <v>3767</v>
      </c>
      <c r="F9575" s="17" t="s">
        <v>2781</v>
      </c>
      <c r="G9575" s="18" t="n">
        <v>0</v>
      </c>
      <c r="H9575" s="18" t="n">
        <v>25.37</v>
      </c>
      <c r="I9575" s="18" t="n">
        <f aca="false">((I9574 + G9575) - H9575)</f>
        <v>76375.8499999999</v>
      </c>
      <c r="J9575" s="18" t="n">
        <v>0</v>
      </c>
      <c r="K9575" s="19" t="n">
        <v>0</v>
      </c>
      <c r="L9575" s="17"/>
    </row>
    <row r="9576" s="11" customFormat="true" ht="10.95" hidden="false" customHeight="true" outlineLevel="0" collapsed="false">
      <c r="A9576" s="16" t="n">
        <v>45143</v>
      </c>
      <c r="B9576" s="17" t="s">
        <v>3861</v>
      </c>
      <c r="C9576" s="17" t="s">
        <v>3752</v>
      </c>
      <c r="D9576" s="17" t="s">
        <v>1407</v>
      </c>
      <c r="E9576" s="17" t="s">
        <v>3767</v>
      </c>
      <c r="F9576" s="17" t="s">
        <v>2781</v>
      </c>
      <c r="G9576" s="18" t="n">
        <v>0</v>
      </c>
      <c r="H9576" s="18" t="n">
        <v>30.71</v>
      </c>
      <c r="I9576" s="18" t="n">
        <f aca="false">((I9575 + G9576) - H9576)</f>
        <v>76345.1399999999</v>
      </c>
      <c r="J9576" s="18" t="n">
        <v>0</v>
      </c>
      <c r="K9576" s="19" t="n">
        <v>0</v>
      </c>
      <c r="L9576" s="17"/>
    </row>
    <row r="9577" s="11" customFormat="true" ht="10.95" hidden="false" customHeight="true" outlineLevel="0" collapsed="false">
      <c r="A9577" s="16" t="n">
        <v>45143</v>
      </c>
      <c r="B9577" s="17" t="s">
        <v>3861</v>
      </c>
      <c r="C9577" s="17" t="s">
        <v>3752</v>
      </c>
      <c r="D9577" s="17" t="s">
        <v>1407</v>
      </c>
      <c r="E9577" s="17" t="s">
        <v>3863</v>
      </c>
      <c r="F9577" s="17"/>
      <c r="G9577" s="18" t="n">
        <v>0</v>
      </c>
      <c r="H9577" s="18" t="n">
        <v>108.61</v>
      </c>
      <c r="I9577" s="18" t="n">
        <f aca="false">((I9576 + G9577) - H9577)</f>
        <v>76236.5299999999</v>
      </c>
      <c r="J9577" s="18" t="n">
        <v>0</v>
      </c>
      <c r="K9577" s="19" t="n">
        <v>0</v>
      </c>
      <c r="L9577" s="17"/>
    </row>
    <row r="9578" s="11" customFormat="true" ht="10.95" hidden="false" customHeight="true" outlineLevel="0" collapsed="false">
      <c r="A9578" s="16" t="n">
        <v>45143</v>
      </c>
      <c r="B9578" s="17" t="s">
        <v>3861</v>
      </c>
      <c r="C9578" s="17" t="s">
        <v>3752</v>
      </c>
      <c r="D9578" s="17" t="s">
        <v>2903</v>
      </c>
      <c r="E9578" s="17" t="s">
        <v>3631</v>
      </c>
      <c r="F9578" s="17" t="s">
        <v>3250</v>
      </c>
      <c r="G9578" s="18" t="n">
        <v>0</v>
      </c>
      <c r="H9578" s="18" t="n">
        <v>997.46</v>
      </c>
      <c r="I9578" s="18" t="n">
        <f aca="false">((I9577 + G9578) - H9578)</f>
        <v>75239.0699999999</v>
      </c>
      <c r="J9578" s="18" t="n">
        <v>0</v>
      </c>
      <c r="K9578" s="19" t="n">
        <v>0</v>
      </c>
      <c r="L9578" s="17"/>
    </row>
    <row r="9579" s="11" customFormat="true" ht="10.95" hidden="false" customHeight="true" outlineLevel="0" collapsed="false">
      <c r="A9579" s="16" t="n">
        <v>45143</v>
      </c>
      <c r="B9579" s="17" t="s">
        <v>3861</v>
      </c>
      <c r="C9579" s="17" t="s">
        <v>3752</v>
      </c>
      <c r="D9579" s="17" t="s">
        <v>2903</v>
      </c>
      <c r="E9579" s="17" t="s">
        <v>3654</v>
      </c>
      <c r="F9579" s="17" t="s">
        <v>1640</v>
      </c>
      <c r="G9579" s="18" t="n">
        <v>0</v>
      </c>
      <c r="H9579" s="18" t="n">
        <v>5940</v>
      </c>
      <c r="I9579" s="18" t="n">
        <f aca="false">((I9578 + G9579) - H9579)</f>
        <v>69299.0699999999</v>
      </c>
      <c r="J9579" s="18" t="n">
        <v>0</v>
      </c>
      <c r="K9579" s="19" t="n">
        <v>0</v>
      </c>
      <c r="L9579" s="17"/>
    </row>
    <row r="9580" s="11" customFormat="true" ht="10.95" hidden="false" customHeight="true" outlineLevel="0" collapsed="false">
      <c r="A9580" s="16" t="n">
        <v>45143</v>
      </c>
      <c r="B9580" s="17" t="s">
        <v>3861</v>
      </c>
      <c r="C9580" s="17" t="s">
        <v>3752</v>
      </c>
      <c r="D9580" s="17" t="s">
        <v>2903</v>
      </c>
      <c r="E9580" s="17" t="s">
        <v>2904</v>
      </c>
      <c r="F9580" s="17" t="s">
        <v>1416</v>
      </c>
      <c r="G9580" s="18" t="n">
        <v>0</v>
      </c>
      <c r="H9580" s="18" t="n">
        <v>3620.45</v>
      </c>
      <c r="I9580" s="18" t="n">
        <f aca="false">((I9579 + G9580) - H9580)</f>
        <v>65678.6199999999</v>
      </c>
      <c r="J9580" s="18" t="n">
        <v>0</v>
      </c>
      <c r="K9580" s="19" t="n">
        <v>0</v>
      </c>
      <c r="L9580" s="17"/>
    </row>
    <row r="9581" s="11" customFormat="true" ht="10.95" hidden="false" customHeight="true" outlineLevel="0" collapsed="false">
      <c r="A9581" s="16" t="n">
        <v>45143</v>
      </c>
      <c r="B9581" s="17" t="s">
        <v>3861</v>
      </c>
      <c r="C9581" s="17" t="s">
        <v>3752</v>
      </c>
      <c r="D9581" s="17" t="s">
        <v>1407</v>
      </c>
      <c r="E9581" s="17" t="s">
        <v>3658</v>
      </c>
      <c r="F9581" s="17"/>
      <c r="G9581" s="18" t="n">
        <v>0</v>
      </c>
      <c r="H9581" s="18" t="n">
        <v>19.19</v>
      </c>
      <c r="I9581" s="18" t="n">
        <f aca="false">((I9580 + G9581) - H9581)</f>
        <v>65659.4299999999</v>
      </c>
      <c r="J9581" s="18" t="n">
        <v>0</v>
      </c>
      <c r="K9581" s="19" t="n">
        <v>0</v>
      </c>
      <c r="L9581" s="17"/>
    </row>
    <row r="9582" s="11" customFormat="true" ht="10.95" hidden="false" customHeight="true" outlineLevel="0" collapsed="false">
      <c r="A9582" s="16" t="n">
        <v>45143</v>
      </c>
      <c r="B9582" s="17" t="s">
        <v>3861</v>
      </c>
      <c r="C9582" s="17" t="s">
        <v>3752</v>
      </c>
      <c r="D9582" s="17" t="s">
        <v>1407</v>
      </c>
      <c r="E9582" s="17" t="s">
        <v>3881</v>
      </c>
      <c r="F9582" s="17"/>
      <c r="G9582" s="18" t="n">
        <v>0</v>
      </c>
      <c r="H9582" s="18" t="n">
        <v>1000</v>
      </c>
      <c r="I9582" s="18" t="n">
        <f aca="false">((I9581 + G9582) - H9582)</f>
        <v>64659.4299999999</v>
      </c>
      <c r="J9582" s="18" t="n">
        <v>0</v>
      </c>
      <c r="K9582" s="19" t="n">
        <v>0</v>
      </c>
      <c r="L9582" s="17"/>
    </row>
    <row r="9583" s="11" customFormat="true" ht="10.95" hidden="false" customHeight="true" outlineLevel="0" collapsed="false">
      <c r="A9583" s="16" t="n">
        <v>45143</v>
      </c>
      <c r="B9583" s="17" t="s">
        <v>3861</v>
      </c>
      <c r="C9583" s="17" t="s">
        <v>3752</v>
      </c>
      <c r="D9583" s="17" t="s">
        <v>1407</v>
      </c>
      <c r="E9583" s="17" t="s">
        <v>3955</v>
      </c>
      <c r="F9583" s="17"/>
      <c r="G9583" s="18" t="n">
        <v>0</v>
      </c>
      <c r="H9583" s="18" t="n">
        <v>47.5</v>
      </c>
      <c r="I9583" s="18" t="n">
        <f aca="false">((I9582 + G9583) - H9583)</f>
        <v>64611.9299999999</v>
      </c>
      <c r="J9583" s="18" t="n">
        <v>0</v>
      </c>
      <c r="K9583" s="19" t="n">
        <v>0</v>
      </c>
      <c r="L9583" s="17"/>
    </row>
    <row r="9584" s="11" customFormat="true" ht="10.95" hidden="false" customHeight="true" outlineLevel="0" collapsed="false">
      <c r="A9584" s="16" t="n">
        <v>45145</v>
      </c>
      <c r="B9584" s="17" t="s">
        <v>3861</v>
      </c>
      <c r="C9584" s="17" t="s">
        <v>3752</v>
      </c>
      <c r="D9584" s="17" t="s">
        <v>2895</v>
      </c>
      <c r="E9584" s="17" t="s">
        <v>3401</v>
      </c>
      <c r="F9584" s="17" t="s">
        <v>3956</v>
      </c>
      <c r="G9584" s="18" t="n">
        <v>561</v>
      </c>
      <c r="H9584" s="18" t="n">
        <v>0</v>
      </c>
      <c r="I9584" s="18" t="n">
        <f aca="false">((I9583 + G9584) - H9584)</f>
        <v>65172.9299999999</v>
      </c>
      <c r="J9584" s="18" t="n">
        <v>0</v>
      </c>
      <c r="K9584" s="19" t="n">
        <v>0</v>
      </c>
      <c r="L9584" s="17"/>
    </row>
    <row r="9585" s="11" customFormat="true" ht="10.95" hidden="false" customHeight="true" outlineLevel="0" collapsed="false">
      <c r="A9585" s="16" t="n">
        <v>45145</v>
      </c>
      <c r="B9585" s="17" t="s">
        <v>3861</v>
      </c>
      <c r="C9585" s="17" t="s">
        <v>3752</v>
      </c>
      <c r="D9585" s="17" t="s">
        <v>1407</v>
      </c>
      <c r="E9585" s="17" t="s">
        <v>3888</v>
      </c>
      <c r="F9585" s="17"/>
      <c r="G9585" s="18" t="n">
        <v>0</v>
      </c>
      <c r="H9585" s="18" t="n">
        <v>3217.43</v>
      </c>
      <c r="I9585" s="18" t="n">
        <f aca="false">((I9584 + G9585) - H9585)</f>
        <v>61955.4999999999</v>
      </c>
      <c r="J9585" s="18" t="n">
        <v>0</v>
      </c>
      <c r="K9585" s="19" t="n">
        <v>0</v>
      </c>
      <c r="L9585" s="17"/>
    </row>
    <row r="9586" s="11" customFormat="true" ht="10.95" hidden="false" customHeight="true" outlineLevel="0" collapsed="false">
      <c r="A9586" s="16" t="n">
        <v>45145</v>
      </c>
      <c r="B9586" s="17" t="s">
        <v>3861</v>
      </c>
      <c r="C9586" s="17" t="s">
        <v>3752</v>
      </c>
      <c r="D9586" s="17" t="s">
        <v>1407</v>
      </c>
      <c r="E9586" s="17" t="s">
        <v>3957</v>
      </c>
      <c r="F9586" s="17"/>
      <c r="G9586" s="18" t="n">
        <v>0</v>
      </c>
      <c r="H9586" s="18" t="n">
        <v>229.35</v>
      </c>
      <c r="I9586" s="18" t="n">
        <f aca="false">((I9585 + G9586) - H9586)</f>
        <v>61726.1499999999</v>
      </c>
      <c r="J9586" s="18" t="n">
        <v>0</v>
      </c>
      <c r="K9586" s="19" t="n">
        <v>0</v>
      </c>
      <c r="L9586" s="17"/>
    </row>
    <row r="9587" s="11" customFormat="true" ht="10.95" hidden="false" customHeight="true" outlineLevel="0" collapsed="false">
      <c r="A9587" s="16" t="n">
        <v>45146</v>
      </c>
      <c r="B9587" s="17" t="s">
        <v>3861</v>
      </c>
      <c r="C9587" s="17" t="s">
        <v>3752</v>
      </c>
      <c r="D9587" s="17" t="s">
        <v>2895</v>
      </c>
      <c r="E9587" s="17" t="s">
        <v>2925</v>
      </c>
      <c r="F9587" s="17" t="s">
        <v>2926</v>
      </c>
      <c r="G9587" s="18" t="n">
        <v>317.92</v>
      </c>
      <c r="H9587" s="18" t="n">
        <v>0</v>
      </c>
      <c r="I9587" s="18" t="n">
        <f aca="false">((I9586 + G9587) - H9587)</f>
        <v>62044.0699999999</v>
      </c>
      <c r="J9587" s="18" t="n">
        <v>0</v>
      </c>
      <c r="K9587" s="19" t="n">
        <v>0</v>
      </c>
      <c r="L9587" s="17"/>
    </row>
    <row r="9588" s="11" customFormat="true" ht="10.95" hidden="false" customHeight="true" outlineLevel="0" collapsed="false">
      <c r="A9588" s="16" t="n">
        <v>45146</v>
      </c>
      <c r="B9588" s="17" t="s">
        <v>3861</v>
      </c>
      <c r="C9588" s="17" t="s">
        <v>3752</v>
      </c>
      <c r="D9588" s="17" t="s">
        <v>1407</v>
      </c>
      <c r="E9588" s="17" t="s">
        <v>3767</v>
      </c>
      <c r="F9588" s="17" t="s">
        <v>2781</v>
      </c>
      <c r="G9588" s="18" t="n">
        <v>0</v>
      </c>
      <c r="H9588" s="18" t="n">
        <v>5</v>
      </c>
      <c r="I9588" s="18" t="n">
        <f aca="false">((I9587 + G9588) - H9588)</f>
        <v>62039.0699999999</v>
      </c>
      <c r="J9588" s="18" t="n">
        <v>0</v>
      </c>
      <c r="K9588" s="19" t="n">
        <v>0</v>
      </c>
      <c r="L9588" s="17"/>
    </row>
    <row r="9589" s="11" customFormat="true" ht="10.95" hidden="false" customHeight="true" outlineLevel="0" collapsed="false">
      <c r="A9589" s="16" t="n">
        <v>45146</v>
      </c>
      <c r="B9589" s="17" t="s">
        <v>3861</v>
      </c>
      <c r="C9589" s="17" t="s">
        <v>3752</v>
      </c>
      <c r="D9589" s="17" t="s">
        <v>1407</v>
      </c>
      <c r="E9589" s="17" t="s">
        <v>3863</v>
      </c>
      <c r="F9589" s="17"/>
      <c r="G9589" s="18" t="n">
        <v>0</v>
      </c>
      <c r="H9589" s="18" t="n">
        <v>1.34</v>
      </c>
      <c r="I9589" s="18" t="n">
        <f aca="false">((I9588 + G9589) - H9589)</f>
        <v>62037.7299999999</v>
      </c>
      <c r="J9589" s="18" t="n">
        <v>0</v>
      </c>
      <c r="K9589" s="19" t="n">
        <v>0</v>
      </c>
      <c r="L9589" s="17"/>
    </row>
    <row r="9590" s="11" customFormat="true" ht="10.95" hidden="false" customHeight="true" outlineLevel="0" collapsed="false">
      <c r="A9590" s="16" t="n">
        <v>45146</v>
      </c>
      <c r="B9590" s="17" t="s">
        <v>3861</v>
      </c>
      <c r="C9590" s="17" t="s">
        <v>3752</v>
      </c>
      <c r="D9590" s="17" t="s">
        <v>1407</v>
      </c>
      <c r="E9590" s="17" t="s">
        <v>2747</v>
      </c>
      <c r="F9590" s="17"/>
      <c r="G9590" s="18" t="n">
        <v>0</v>
      </c>
      <c r="H9590" s="18" t="n">
        <v>7</v>
      </c>
      <c r="I9590" s="18" t="n">
        <f aca="false">((I9589 + G9590) - H9590)</f>
        <v>62030.7299999999</v>
      </c>
      <c r="J9590" s="18" t="n">
        <v>0</v>
      </c>
      <c r="K9590" s="19" t="n">
        <v>0</v>
      </c>
      <c r="L9590" s="17"/>
    </row>
    <row r="9591" s="11" customFormat="true" ht="10.95" hidden="false" customHeight="true" outlineLevel="0" collapsed="false">
      <c r="A9591" s="16" t="n">
        <v>45146</v>
      </c>
      <c r="B9591" s="17" t="s">
        <v>3861</v>
      </c>
      <c r="C9591" s="17" t="s">
        <v>3752</v>
      </c>
      <c r="D9591" s="17" t="s">
        <v>1407</v>
      </c>
      <c r="E9591" s="17" t="s">
        <v>3642</v>
      </c>
      <c r="F9591" s="17"/>
      <c r="G9591" s="18" t="n">
        <v>0</v>
      </c>
      <c r="H9591" s="18" t="n">
        <v>9.02</v>
      </c>
      <c r="I9591" s="18" t="n">
        <f aca="false">((I9590 + G9591) - H9591)</f>
        <v>62021.7099999999</v>
      </c>
      <c r="J9591" s="18" t="n">
        <v>0</v>
      </c>
      <c r="K9591" s="19" t="n">
        <v>0</v>
      </c>
      <c r="L9591" s="17"/>
    </row>
    <row r="9592" s="11" customFormat="true" ht="10.95" hidden="false" customHeight="true" outlineLevel="0" collapsed="false">
      <c r="A9592" s="16" t="n">
        <v>45146</v>
      </c>
      <c r="B9592" s="17" t="s">
        <v>3861</v>
      </c>
      <c r="C9592" s="17" t="s">
        <v>3752</v>
      </c>
      <c r="D9592" s="17" t="s">
        <v>1407</v>
      </c>
      <c r="E9592" s="17" t="s">
        <v>3767</v>
      </c>
      <c r="F9592" s="17" t="s">
        <v>2781</v>
      </c>
      <c r="G9592" s="18" t="n">
        <v>0</v>
      </c>
      <c r="H9592" s="18" t="n">
        <v>13.01</v>
      </c>
      <c r="I9592" s="18" t="n">
        <f aca="false">((I9591 + G9592) - H9592)</f>
        <v>62008.6999999999</v>
      </c>
      <c r="J9592" s="18" t="n">
        <v>0</v>
      </c>
      <c r="K9592" s="19" t="n">
        <v>0</v>
      </c>
      <c r="L9592" s="17"/>
    </row>
    <row r="9593" s="11" customFormat="true" ht="10.95" hidden="false" customHeight="true" outlineLevel="0" collapsed="false">
      <c r="A9593" s="16" t="n">
        <v>45146</v>
      </c>
      <c r="B9593" s="17" t="s">
        <v>3861</v>
      </c>
      <c r="C9593" s="17" t="s">
        <v>3752</v>
      </c>
      <c r="D9593" s="17" t="s">
        <v>1407</v>
      </c>
      <c r="E9593" s="17" t="s">
        <v>3772</v>
      </c>
      <c r="F9593" s="17"/>
      <c r="G9593" s="18" t="n">
        <v>0</v>
      </c>
      <c r="H9593" s="18" t="n">
        <v>44.54</v>
      </c>
      <c r="I9593" s="18" t="n">
        <f aca="false">((I9592 + G9593) - H9593)</f>
        <v>61964.1599999999</v>
      </c>
      <c r="J9593" s="18" t="n">
        <v>0</v>
      </c>
      <c r="K9593" s="19" t="n">
        <v>0</v>
      </c>
      <c r="L9593" s="17"/>
    </row>
    <row r="9594" s="11" customFormat="true" ht="10.95" hidden="false" customHeight="true" outlineLevel="0" collapsed="false">
      <c r="A9594" s="16" t="n">
        <v>45146</v>
      </c>
      <c r="B9594" s="17" t="s">
        <v>3861</v>
      </c>
      <c r="C9594" s="17" t="s">
        <v>3752</v>
      </c>
      <c r="D9594" s="17" t="s">
        <v>1407</v>
      </c>
      <c r="E9594" s="17" t="s">
        <v>3878</v>
      </c>
      <c r="F9594" s="17"/>
      <c r="G9594" s="18" t="n">
        <v>0</v>
      </c>
      <c r="H9594" s="18" t="n">
        <v>1108</v>
      </c>
      <c r="I9594" s="18" t="n">
        <f aca="false">((I9593 + G9594) - H9594)</f>
        <v>60856.1599999999</v>
      </c>
      <c r="J9594" s="18" t="n">
        <v>0</v>
      </c>
      <c r="K9594" s="19" t="n">
        <v>0</v>
      </c>
      <c r="L9594" s="17"/>
    </row>
    <row r="9595" s="11" customFormat="true" ht="10.95" hidden="false" customHeight="true" outlineLevel="0" collapsed="false">
      <c r="A9595" s="16" t="n">
        <v>45146</v>
      </c>
      <c r="B9595" s="17" t="s">
        <v>3861</v>
      </c>
      <c r="C9595" s="17" t="s">
        <v>3752</v>
      </c>
      <c r="D9595" s="17" t="s">
        <v>2903</v>
      </c>
      <c r="E9595" s="17" t="s">
        <v>3657</v>
      </c>
      <c r="F9595" s="17" t="s">
        <v>1414</v>
      </c>
      <c r="G9595" s="18" t="n">
        <v>0</v>
      </c>
      <c r="H9595" s="18" t="n">
        <v>4163.57</v>
      </c>
      <c r="I9595" s="18" t="n">
        <f aca="false">((I9594 + G9595) - H9595)</f>
        <v>56692.5899999999</v>
      </c>
      <c r="J9595" s="18" t="n">
        <v>0</v>
      </c>
      <c r="K9595" s="19" t="n">
        <v>0</v>
      </c>
      <c r="L9595" s="17"/>
    </row>
    <row r="9596" s="11" customFormat="true" ht="10.95" hidden="false" customHeight="true" outlineLevel="0" collapsed="false">
      <c r="A9596" s="16" t="n">
        <v>45146</v>
      </c>
      <c r="B9596" s="17" t="s">
        <v>3861</v>
      </c>
      <c r="C9596" s="17" t="s">
        <v>3752</v>
      </c>
      <c r="D9596" s="17" t="s">
        <v>1407</v>
      </c>
      <c r="E9596" s="17" t="s">
        <v>3736</v>
      </c>
      <c r="F9596" s="17"/>
      <c r="G9596" s="18" t="n">
        <v>0</v>
      </c>
      <c r="H9596" s="18" t="n">
        <v>12.99</v>
      </c>
      <c r="I9596" s="18" t="n">
        <f aca="false">((I9595 + G9596) - H9596)</f>
        <v>56679.5999999999</v>
      </c>
      <c r="J9596" s="18" t="n">
        <v>0</v>
      </c>
      <c r="K9596" s="19" t="n">
        <v>0</v>
      </c>
      <c r="L9596" s="17"/>
    </row>
    <row r="9597" s="11" customFormat="true" ht="10.95" hidden="false" customHeight="true" outlineLevel="0" collapsed="false">
      <c r="A9597" s="16" t="n">
        <v>45146</v>
      </c>
      <c r="B9597" s="17" t="s">
        <v>3861</v>
      </c>
      <c r="C9597" s="17" t="s">
        <v>3752</v>
      </c>
      <c r="D9597" s="17" t="s">
        <v>1407</v>
      </c>
      <c r="E9597" s="17" t="s">
        <v>3642</v>
      </c>
      <c r="F9597" s="17"/>
      <c r="G9597" s="18" t="n">
        <v>0</v>
      </c>
      <c r="H9597" s="18" t="n">
        <v>18.15</v>
      </c>
      <c r="I9597" s="18" t="n">
        <f aca="false">((I9596 + G9597) - H9597)</f>
        <v>56661.4499999999</v>
      </c>
      <c r="J9597" s="18" t="n">
        <v>0</v>
      </c>
      <c r="K9597" s="19" t="n">
        <v>0</v>
      </c>
      <c r="L9597" s="17"/>
    </row>
    <row r="9598" s="11" customFormat="true" ht="10.95" hidden="false" customHeight="true" outlineLevel="0" collapsed="false">
      <c r="A9598" s="16" t="n">
        <v>45146</v>
      </c>
      <c r="B9598" s="17" t="s">
        <v>3861</v>
      </c>
      <c r="C9598" s="17" t="s">
        <v>3752</v>
      </c>
      <c r="D9598" s="17" t="s">
        <v>1407</v>
      </c>
      <c r="E9598" s="17" t="s">
        <v>3642</v>
      </c>
      <c r="F9598" s="17"/>
      <c r="G9598" s="18" t="n">
        <v>0</v>
      </c>
      <c r="H9598" s="18" t="n">
        <v>18.92</v>
      </c>
      <c r="I9598" s="18" t="n">
        <f aca="false">((I9597 + G9598) - H9598)</f>
        <v>56642.5299999999</v>
      </c>
      <c r="J9598" s="18" t="n">
        <v>0</v>
      </c>
      <c r="K9598" s="19" t="n">
        <v>0</v>
      </c>
      <c r="L9598" s="17"/>
    </row>
    <row r="9599" s="11" customFormat="true" ht="10.95" hidden="false" customHeight="true" outlineLevel="0" collapsed="false">
      <c r="A9599" s="16" t="n">
        <v>45146</v>
      </c>
      <c r="B9599" s="17" t="s">
        <v>3861</v>
      </c>
      <c r="C9599" s="17" t="s">
        <v>3752</v>
      </c>
      <c r="D9599" s="17" t="s">
        <v>1407</v>
      </c>
      <c r="E9599" s="17" t="s">
        <v>3626</v>
      </c>
      <c r="F9599" s="17"/>
      <c r="G9599" s="18" t="n">
        <v>0</v>
      </c>
      <c r="H9599" s="18" t="n">
        <v>71.5</v>
      </c>
      <c r="I9599" s="18" t="n">
        <f aca="false">((I9598 + G9599) - H9599)</f>
        <v>56571.0299999999</v>
      </c>
      <c r="J9599" s="18" t="n">
        <v>0</v>
      </c>
      <c r="K9599" s="19" t="n">
        <v>0</v>
      </c>
      <c r="L9599" s="17"/>
    </row>
    <row r="9600" s="11" customFormat="true" ht="10.95" hidden="false" customHeight="true" outlineLevel="0" collapsed="false">
      <c r="A9600" s="16" t="n">
        <v>45146</v>
      </c>
      <c r="B9600" s="17" t="s">
        <v>3861</v>
      </c>
      <c r="C9600" s="17" t="s">
        <v>3752</v>
      </c>
      <c r="D9600" s="17" t="s">
        <v>1407</v>
      </c>
      <c r="E9600" s="17" t="s">
        <v>3958</v>
      </c>
      <c r="F9600" s="17"/>
      <c r="G9600" s="18" t="n">
        <v>0</v>
      </c>
      <c r="H9600" s="18" t="n">
        <v>448.8</v>
      </c>
      <c r="I9600" s="18" t="n">
        <f aca="false">((I9599 + G9600) - H9600)</f>
        <v>56122.2299999999</v>
      </c>
      <c r="J9600" s="18" t="n">
        <v>0</v>
      </c>
      <c r="K9600" s="19" t="n">
        <v>0</v>
      </c>
      <c r="L9600" s="17"/>
    </row>
    <row r="9601" s="11" customFormat="true" ht="10.95" hidden="false" customHeight="true" outlineLevel="0" collapsed="false">
      <c r="A9601" s="16" t="n">
        <v>45147</v>
      </c>
      <c r="B9601" s="17" t="s">
        <v>3861</v>
      </c>
      <c r="C9601" s="17" t="s">
        <v>3752</v>
      </c>
      <c r="D9601" s="17" t="s">
        <v>2895</v>
      </c>
      <c r="E9601" s="17" t="s">
        <v>3484</v>
      </c>
      <c r="F9601" s="17" t="s">
        <v>3959</v>
      </c>
      <c r="G9601" s="18" t="n">
        <v>352</v>
      </c>
      <c r="H9601" s="18" t="n">
        <v>0</v>
      </c>
      <c r="I9601" s="18" t="n">
        <f aca="false">((I9600 + G9601) - H9601)</f>
        <v>56474.2299999999</v>
      </c>
      <c r="J9601" s="18" t="n">
        <v>0</v>
      </c>
      <c r="K9601" s="19" t="n">
        <v>0</v>
      </c>
      <c r="L9601" s="17"/>
    </row>
    <row r="9602" s="11" customFormat="true" ht="10.95" hidden="false" customHeight="true" outlineLevel="0" collapsed="false">
      <c r="A9602" s="16" t="n">
        <v>45147</v>
      </c>
      <c r="B9602" s="17" t="s">
        <v>3861</v>
      </c>
      <c r="C9602" s="17" t="s">
        <v>3752</v>
      </c>
      <c r="D9602" s="17" t="s">
        <v>1407</v>
      </c>
      <c r="E9602" s="17" t="s">
        <v>2747</v>
      </c>
      <c r="F9602" s="17"/>
      <c r="G9602" s="18" t="n">
        <v>0</v>
      </c>
      <c r="H9602" s="18" t="n">
        <v>7</v>
      </c>
      <c r="I9602" s="18" t="n">
        <f aca="false">((I9601 + G9602) - H9602)</f>
        <v>56467.2299999999</v>
      </c>
      <c r="J9602" s="18" t="n">
        <v>0</v>
      </c>
      <c r="K9602" s="19" t="n">
        <v>0</v>
      </c>
      <c r="L9602" s="17"/>
    </row>
    <row r="9603" s="11" customFormat="true" ht="10.95" hidden="false" customHeight="true" outlineLevel="0" collapsed="false">
      <c r="A9603" s="16" t="n">
        <v>45147</v>
      </c>
      <c r="B9603" s="17" t="s">
        <v>3861</v>
      </c>
      <c r="C9603" s="17" t="s">
        <v>3752</v>
      </c>
      <c r="D9603" s="17" t="s">
        <v>2903</v>
      </c>
      <c r="E9603" s="17" t="s">
        <v>3659</v>
      </c>
      <c r="F9603" s="17" t="s">
        <v>2258</v>
      </c>
      <c r="G9603" s="18" t="n">
        <v>0</v>
      </c>
      <c r="H9603" s="18" t="n">
        <v>19.95</v>
      </c>
      <c r="I9603" s="18" t="n">
        <f aca="false">((I9602 + G9603) - H9603)</f>
        <v>56447.2799999999</v>
      </c>
      <c r="J9603" s="18" t="n">
        <v>0</v>
      </c>
      <c r="K9603" s="19" t="n">
        <v>0</v>
      </c>
      <c r="L9603" s="17"/>
    </row>
    <row r="9604" s="11" customFormat="true" ht="10.95" hidden="false" customHeight="true" outlineLevel="0" collapsed="false">
      <c r="A9604" s="16" t="n">
        <v>45147</v>
      </c>
      <c r="B9604" s="17" t="s">
        <v>3861</v>
      </c>
      <c r="C9604" s="17" t="s">
        <v>3752</v>
      </c>
      <c r="D9604" s="17" t="s">
        <v>2903</v>
      </c>
      <c r="E9604" s="17" t="s">
        <v>3640</v>
      </c>
      <c r="F9604" s="17" t="s">
        <v>1642</v>
      </c>
      <c r="G9604" s="18" t="n">
        <v>0</v>
      </c>
      <c r="H9604" s="18" t="n">
        <v>40</v>
      </c>
      <c r="I9604" s="18" t="n">
        <f aca="false">((I9603 + G9604) - H9604)</f>
        <v>56407.2799999999</v>
      </c>
      <c r="J9604" s="18" t="n">
        <v>0</v>
      </c>
      <c r="K9604" s="19" t="n">
        <v>0</v>
      </c>
      <c r="L9604" s="17"/>
    </row>
    <row r="9605" s="11" customFormat="true" ht="10.95" hidden="false" customHeight="true" outlineLevel="0" collapsed="false">
      <c r="A9605" s="16" t="n">
        <v>45147</v>
      </c>
      <c r="B9605" s="17" t="s">
        <v>3861</v>
      </c>
      <c r="C9605" s="17" t="s">
        <v>3752</v>
      </c>
      <c r="D9605" s="17" t="s">
        <v>1407</v>
      </c>
      <c r="E9605" s="17" t="s">
        <v>3881</v>
      </c>
      <c r="F9605" s="17"/>
      <c r="G9605" s="18" t="n">
        <v>0</v>
      </c>
      <c r="H9605" s="18" t="n">
        <v>140</v>
      </c>
      <c r="I9605" s="18" t="n">
        <f aca="false">((I9604 + G9605) - H9605)</f>
        <v>56267.2799999999</v>
      </c>
      <c r="J9605" s="18" t="n">
        <v>0</v>
      </c>
      <c r="K9605" s="19" t="n">
        <v>0</v>
      </c>
      <c r="L9605" s="17"/>
    </row>
    <row r="9606" s="11" customFormat="true" ht="10.95" hidden="false" customHeight="true" outlineLevel="0" collapsed="false">
      <c r="A9606" s="16" t="n">
        <v>45147</v>
      </c>
      <c r="B9606" s="17" t="s">
        <v>3861</v>
      </c>
      <c r="C9606" s="17" t="s">
        <v>3752</v>
      </c>
      <c r="D9606" s="17" t="s">
        <v>1407</v>
      </c>
      <c r="E9606" s="17" t="s">
        <v>3879</v>
      </c>
      <c r="F9606" s="17"/>
      <c r="G9606" s="18" t="n">
        <v>0</v>
      </c>
      <c r="H9606" s="18" t="n">
        <v>1122</v>
      </c>
      <c r="I9606" s="18" t="n">
        <f aca="false">((I9605 + G9606) - H9606)</f>
        <v>55145.2799999999</v>
      </c>
      <c r="J9606" s="18" t="n">
        <v>0</v>
      </c>
      <c r="K9606" s="19" t="n">
        <v>0</v>
      </c>
      <c r="L9606" s="17"/>
    </row>
    <row r="9607" s="11" customFormat="true" ht="10.95" hidden="false" customHeight="true" outlineLevel="0" collapsed="false">
      <c r="A9607" s="16" t="n">
        <v>45147</v>
      </c>
      <c r="B9607" s="17" t="s">
        <v>3861</v>
      </c>
      <c r="C9607" s="17" t="s">
        <v>3752</v>
      </c>
      <c r="D9607" s="17" t="s">
        <v>1407</v>
      </c>
      <c r="E9607" s="17" t="s">
        <v>3880</v>
      </c>
      <c r="F9607" s="17"/>
      <c r="G9607" s="18" t="n">
        <v>0</v>
      </c>
      <c r="H9607" s="18" t="n">
        <v>1122</v>
      </c>
      <c r="I9607" s="18" t="n">
        <f aca="false">((I9606 + G9607) - H9607)</f>
        <v>54023.2799999999</v>
      </c>
      <c r="J9607" s="18" t="n">
        <v>0</v>
      </c>
      <c r="K9607" s="19" t="n">
        <v>0</v>
      </c>
      <c r="L9607" s="17"/>
    </row>
    <row r="9608" s="11" customFormat="true" ht="10.95" hidden="false" customHeight="true" outlineLevel="0" collapsed="false">
      <c r="A9608" s="16" t="n">
        <v>45147</v>
      </c>
      <c r="B9608" s="17" t="s">
        <v>3861</v>
      </c>
      <c r="C9608" s="17" t="s">
        <v>3752</v>
      </c>
      <c r="D9608" s="17" t="s">
        <v>1407</v>
      </c>
      <c r="E9608" s="17" t="s">
        <v>3808</v>
      </c>
      <c r="F9608" s="17"/>
      <c r="G9608" s="18" t="n">
        <v>0</v>
      </c>
      <c r="H9608" s="18" t="n">
        <v>1568.38</v>
      </c>
      <c r="I9608" s="18" t="n">
        <f aca="false">((I9607 + G9608) - H9608)</f>
        <v>52454.8999999999</v>
      </c>
      <c r="J9608" s="18" t="n">
        <v>0</v>
      </c>
      <c r="K9608" s="19" t="n">
        <v>0</v>
      </c>
      <c r="L9608" s="17"/>
    </row>
    <row r="9609" s="11" customFormat="true" ht="10.95" hidden="false" customHeight="true" outlineLevel="0" collapsed="false">
      <c r="A9609" s="16" t="n">
        <v>45147</v>
      </c>
      <c r="B9609" s="17" t="s">
        <v>3861</v>
      </c>
      <c r="C9609" s="17" t="s">
        <v>3752</v>
      </c>
      <c r="D9609" s="17" t="s">
        <v>1407</v>
      </c>
      <c r="E9609" s="17" t="s">
        <v>3666</v>
      </c>
      <c r="F9609" s="17"/>
      <c r="G9609" s="18" t="n">
        <v>0</v>
      </c>
      <c r="H9609" s="18" t="n">
        <v>424.96</v>
      </c>
      <c r="I9609" s="18" t="n">
        <f aca="false">((I9608 + G9609) - H9609)</f>
        <v>52029.9399999999</v>
      </c>
      <c r="J9609" s="18" t="n">
        <v>0</v>
      </c>
      <c r="K9609" s="19" t="n">
        <v>0</v>
      </c>
      <c r="L9609" s="17"/>
    </row>
    <row r="9610" s="11" customFormat="true" ht="10.95" hidden="false" customHeight="true" outlineLevel="0" collapsed="false">
      <c r="A9610" s="16" t="n">
        <v>45148</v>
      </c>
      <c r="B9610" s="17" t="s">
        <v>3861</v>
      </c>
      <c r="C9610" s="17" t="s">
        <v>3752</v>
      </c>
      <c r="D9610" s="17" t="s">
        <v>2903</v>
      </c>
      <c r="E9610" s="17" t="s">
        <v>3660</v>
      </c>
      <c r="F9610" s="17" t="s">
        <v>1642</v>
      </c>
      <c r="G9610" s="18" t="n">
        <v>0</v>
      </c>
      <c r="H9610" s="18" t="n">
        <v>15.5</v>
      </c>
      <c r="I9610" s="18" t="n">
        <f aca="false">((I9609 + G9610) - H9610)</f>
        <v>52014.4399999999</v>
      </c>
      <c r="J9610" s="18" t="n">
        <v>0</v>
      </c>
      <c r="K9610" s="19" t="n">
        <v>0</v>
      </c>
      <c r="L9610" s="17"/>
    </row>
    <row r="9611" s="11" customFormat="true" ht="10.95" hidden="false" customHeight="true" outlineLevel="0" collapsed="false">
      <c r="A9611" s="16" t="n">
        <v>45148</v>
      </c>
      <c r="B9611" s="17" t="s">
        <v>3861</v>
      </c>
      <c r="C9611" s="17" t="s">
        <v>3752</v>
      </c>
      <c r="D9611" s="17" t="s">
        <v>1407</v>
      </c>
      <c r="E9611" s="17" t="s">
        <v>3896</v>
      </c>
      <c r="F9611" s="17"/>
      <c r="G9611" s="18" t="n">
        <v>0</v>
      </c>
      <c r="H9611" s="18" t="n">
        <v>18.99</v>
      </c>
      <c r="I9611" s="18" t="n">
        <f aca="false">((I9610 + G9611) - H9611)</f>
        <v>51995.4499999999</v>
      </c>
      <c r="J9611" s="18" t="n">
        <v>0</v>
      </c>
      <c r="K9611" s="19" t="n">
        <v>0</v>
      </c>
      <c r="L9611" s="17"/>
    </row>
    <row r="9612" s="11" customFormat="true" ht="10.95" hidden="false" customHeight="true" outlineLevel="0" collapsed="false">
      <c r="A9612" s="16" t="n">
        <v>45148</v>
      </c>
      <c r="B9612" s="17" t="s">
        <v>3861</v>
      </c>
      <c r="C9612" s="17" t="s">
        <v>3752</v>
      </c>
      <c r="D9612" s="17" t="s">
        <v>2903</v>
      </c>
      <c r="E9612" s="17" t="s">
        <v>3660</v>
      </c>
      <c r="F9612" s="17" t="s">
        <v>1642</v>
      </c>
      <c r="G9612" s="18" t="n">
        <v>0</v>
      </c>
      <c r="H9612" s="18" t="n">
        <v>129</v>
      </c>
      <c r="I9612" s="18" t="n">
        <f aca="false">((I9611 + G9612) - H9612)</f>
        <v>51866.4499999999</v>
      </c>
      <c r="J9612" s="18" t="n">
        <v>0</v>
      </c>
      <c r="K9612" s="19" t="n">
        <v>0</v>
      </c>
      <c r="L9612" s="17"/>
    </row>
    <row r="9613" s="11" customFormat="true" ht="10.95" hidden="false" customHeight="true" outlineLevel="0" collapsed="false">
      <c r="A9613" s="16" t="n">
        <v>45148</v>
      </c>
      <c r="B9613" s="17" t="s">
        <v>3861</v>
      </c>
      <c r="C9613" s="17" t="s">
        <v>3752</v>
      </c>
      <c r="D9613" s="17" t="s">
        <v>1407</v>
      </c>
      <c r="E9613" s="17" t="s">
        <v>3960</v>
      </c>
      <c r="F9613" s="17"/>
      <c r="G9613" s="18" t="n">
        <v>0</v>
      </c>
      <c r="H9613" s="18" t="n">
        <v>3632.29</v>
      </c>
      <c r="I9613" s="18" t="n">
        <f aca="false">((I9612 + G9613) - H9613)</f>
        <v>48234.1599999999</v>
      </c>
      <c r="J9613" s="18" t="n">
        <v>0</v>
      </c>
      <c r="K9613" s="19" t="n">
        <v>0</v>
      </c>
      <c r="L9613" s="17"/>
    </row>
    <row r="9614" s="11" customFormat="true" ht="10.95" hidden="false" customHeight="true" outlineLevel="0" collapsed="false">
      <c r="A9614" s="16" t="n">
        <v>45148</v>
      </c>
      <c r="B9614" s="17" t="s">
        <v>3861</v>
      </c>
      <c r="C9614" s="17" t="s">
        <v>3752</v>
      </c>
      <c r="D9614" s="17" t="s">
        <v>2903</v>
      </c>
      <c r="E9614" s="17" t="s">
        <v>3662</v>
      </c>
      <c r="F9614" s="17" t="s">
        <v>2600</v>
      </c>
      <c r="G9614" s="18" t="n">
        <v>0</v>
      </c>
      <c r="H9614" s="18" t="n">
        <v>71.88</v>
      </c>
      <c r="I9614" s="18" t="n">
        <f aca="false">((I9613 + G9614) - H9614)</f>
        <v>48162.2799999999</v>
      </c>
      <c r="J9614" s="18" t="n">
        <v>0</v>
      </c>
      <c r="K9614" s="19" t="n">
        <v>0</v>
      </c>
      <c r="L9614" s="17"/>
    </row>
    <row r="9615" s="11" customFormat="true" ht="10.95" hidden="false" customHeight="true" outlineLevel="0" collapsed="false">
      <c r="A9615" s="16" t="n">
        <v>45149</v>
      </c>
      <c r="B9615" s="17" t="s">
        <v>3861</v>
      </c>
      <c r="C9615" s="17" t="s">
        <v>3752</v>
      </c>
      <c r="D9615" s="17" t="s">
        <v>1276</v>
      </c>
      <c r="E9615" s="17" t="s">
        <v>3913</v>
      </c>
      <c r="F9615" s="17"/>
      <c r="G9615" s="18" t="n">
        <v>712.8</v>
      </c>
      <c r="H9615" s="18" t="n">
        <v>0</v>
      </c>
      <c r="I9615" s="18" t="n">
        <f aca="false">((I9614 + G9615) - H9615)</f>
        <v>48875.0799999999</v>
      </c>
      <c r="J9615" s="18" t="n">
        <v>0</v>
      </c>
      <c r="K9615" s="19" t="n">
        <v>0</v>
      </c>
      <c r="L9615" s="17"/>
    </row>
    <row r="9616" s="11" customFormat="true" ht="10.95" hidden="false" customHeight="true" outlineLevel="0" collapsed="false">
      <c r="A9616" s="16" t="n">
        <v>45149</v>
      </c>
      <c r="B9616" s="17" t="s">
        <v>3861</v>
      </c>
      <c r="C9616" s="17" t="s">
        <v>3752</v>
      </c>
      <c r="D9616" s="17" t="s">
        <v>1407</v>
      </c>
      <c r="E9616" s="17" t="s">
        <v>3863</v>
      </c>
      <c r="F9616" s="17"/>
      <c r="G9616" s="18" t="n">
        <v>0</v>
      </c>
      <c r="H9616" s="18" t="n">
        <v>2.4</v>
      </c>
      <c r="I9616" s="18" t="n">
        <f aca="false">((I9615 + G9616) - H9616)</f>
        <v>48872.6799999999</v>
      </c>
      <c r="J9616" s="18" t="n">
        <v>0</v>
      </c>
      <c r="K9616" s="19" t="n">
        <v>0</v>
      </c>
      <c r="L9616" s="17"/>
    </row>
    <row r="9617" s="11" customFormat="true" ht="10.95" hidden="false" customHeight="true" outlineLevel="0" collapsed="false">
      <c r="A9617" s="16" t="n">
        <v>45149</v>
      </c>
      <c r="B9617" s="17" t="s">
        <v>3861</v>
      </c>
      <c r="C9617" s="17" t="s">
        <v>3752</v>
      </c>
      <c r="D9617" s="17" t="s">
        <v>1407</v>
      </c>
      <c r="E9617" s="17" t="s">
        <v>3863</v>
      </c>
      <c r="F9617" s="17"/>
      <c r="G9617" s="18" t="n">
        <v>0</v>
      </c>
      <c r="H9617" s="18" t="n">
        <v>27.67</v>
      </c>
      <c r="I9617" s="18" t="n">
        <f aca="false">((I9616 + G9617) - H9617)</f>
        <v>48845.0099999999</v>
      </c>
      <c r="J9617" s="18" t="n">
        <v>0</v>
      </c>
      <c r="K9617" s="19" t="n">
        <v>0</v>
      </c>
      <c r="L9617" s="17"/>
    </row>
    <row r="9618" s="11" customFormat="true" ht="10.95" hidden="false" customHeight="true" outlineLevel="0" collapsed="false">
      <c r="A9618" s="16" t="n">
        <v>45149</v>
      </c>
      <c r="B9618" s="17" t="s">
        <v>3861</v>
      </c>
      <c r="C9618" s="17" t="s">
        <v>3752</v>
      </c>
      <c r="D9618" s="17" t="s">
        <v>1407</v>
      </c>
      <c r="E9618" s="17" t="s">
        <v>3961</v>
      </c>
      <c r="F9618" s="17"/>
      <c r="G9618" s="18" t="n">
        <v>0</v>
      </c>
      <c r="H9618" s="18" t="n">
        <v>79.96</v>
      </c>
      <c r="I9618" s="18" t="n">
        <f aca="false">((I9617 + G9618) - H9618)</f>
        <v>48765.0499999999</v>
      </c>
      <c r="J9618" s="18" t="n">
        <v>0</v>
      </c>
      <c r="K9618" s="19" t="n">
        <v>0</v>
      </c>
      <c r="L9618" s="17"/>
    </row>
    <row r="9619" s="11" customFormat="true" ht="10.95" hidden="false" customHeight="true" outlineLevel="0" collapsed="false">
      <c r="A9619" s="16" t="n">
        <v>45149</v>
      </c>
      <c r="B9619" s="17" t="s">
        <v>3861</v>
      </c>
      <c r="C9619" s="17" t="s">
        <v>3752</v>
      </c>
      <c r="D9619" s="17" t="s">
        <v>2895</v>
      </c>
      <c r="E9619" s="17" t="s">
        <v>2900</v>
      </c>
      <c r="F9619" s="17" t="s">
        <v>2927</v>
      </c>
      <c r="G9619" s="18" t="n">
        <v>1789.81</v>
      </c>
      <c r="H9619" s="18" t="n">
        <v>0</v>
      </c>
      <c r="I9619" s="18" t="n">
        <f aca="false">((I9618 + G9619) - H9619)</f>
        <v>50554.8599999999</v>
      </c>
      <c r="J9619" s="18" t="n">
        <v>0</v>
      </c>
      <c r="K9619" s="19" t="n">
        <v>0</v>
      </c>
      <c r="L9619" s="17"/>
    </row>
    <row r="9620" s="11" customFormat="true" ht="10.95" hidden="false" customHeight="true" outlineLevel="0" collapsed="false">
      <c r="A9620" s="16" t="n">
        <v>45149</v>
      </c>
      <c r="B9620" s="17" t="s">
        <v>3861</v>
      </c>
      <c r="C9620" s="17" t="s">
        <v>3752</v>
      </c>
      <c r="D9620" s="17" t="s">
        <v>2895</v>
      </c>
      <c r="E9620" s="17" t="s">
        <v>2900</v>
      </c>
      <c r="F9620" s="17" t="s">
        <v>2928</v>
      </c>
      <c r="G9620" s="18" t="n">
        <v>986.93</v>
      </c>
      <c r="H9620" s="18" t="n">
        <v>0</v>
      </c>
      <c r="I9620" s="18" t="n">
        <f aca="false">((I9619 + G9620) - H9620)</f>
        <v>51541.7899999999</v>
      </c>
      <c r="J9620" s="18" t="n">
        <v>0</v>
      </c>
      <c r="K9620" s="19" t="n">
        <v>0</v>
      </c>
      <c r="L9620" s="17"/>
    </row>
    <row r="9621" s="11" customFormat="true" ht="10.95" hidden="false" customHeight="true" outlineLevel="0" collapsed="false">
      <c r="A9621" s="16" t="n">
        <v>45149</v>
      </c>
      <c r="B9621" s="17" t="s">
        <v>3861</v>
      </c>
      <c r="C9621" s="17" t="s">
        <v>3752</v>
      </c>
      <c r="D9621" s="17" t="s">
        <v>2895</v>
      </c>
      <c r="E9621" s="17" t="s">
        <v>2900</v>
      </c>
      <c r="F9621" s="17" t="s">
        <v>2929</v>
      </c>
      <c r="G9621" s="18" t="n">
        <v>996</v>
      </c>
      <c r="H9621" s="18" t="n">
        <v>0</v>
      </c>
      <c r="I9621" s="18" t="n">
        <f aca="false">((I9620 + G9621) - H9621)</f>
        <v>52537.7899999999</v>
      </c>
      <c r="J9621" s="18" t="n">
        <v>0</v>
      </c>
      <c r="K9621" s="19" t="n">
        <v>0</v>
      </c>
      <c r="L9621" s="17"/>
    </row>
    <row r="9622" s="11" customFormat="true" ht="10.95" hidden="false" customHeight="true" outlineLevel="0" collapsed="false">
      <c r="A9622" s="16" t="n">
        <v>45149</v>
      </c>
      <c r="B9622" s="17" t="s">
        <v>3861</v>
      </c>
      <c r="C9622" s="17" t="s">
        <v>3752</v>
      </c>
      <c r="D9622" s="17" t="s">
        <v>2895</v>
      </c>
      <c r="E9622" s="17" t="s">
        <v>2900</v>
      </c>
      <c r="F9622" s="17" t="s">
        <v>2930</v>
      </c>
      <c r="G9622" s="18" t="n">
        <v>261.12</v>
      </c>
      <c r="H9622" s="18" t="n">
        <v>0</v>
      </c>
      <c r="I9622" s="18" t="n">
        <f aca="false">((I9621 + G9622) - H9622)</f>
        <v>52798.9099999999</v>
      </c>
      <c r="J9622" s="18" t="n">
        <v>0</v>
      </c>
      <c r="K9622" s="19" t="n">
        <v>0</v>
      </c>
      <c r="L9622" s="17"/>
    </row>
    <row r="9623" s="11" customFormat="true" ht="10.95" hidden="false" customHeight="true" outlineLevel="0" collapsed="false">
      <c r="A9623" s="16" t="n">
        <v>45149</v>
      </c>
      <c r="B9623" s="17" t="s">
        <v>3861</v>
      </c>
      <c r="C9623" s="17" t="s">
        <v>3752</v>
      </c>
      <c r="D9623" s="17" t="s">
        <v>2895</v>
      </c>
      <c r="E9623" s="17" t="s">
        <v>2900</v>
      </c>
      <c r="F9623" s="17" t="s">
        <v>2931</v>
      </c>
      <c r="G9623" s="18" t="n">
        <v>1716.37</v>
      </c>
      <c r="H9623" s="18" t="n">
        <v>0</v>
      </c>
      <c r="I9623" s="18" t="n">
        <f aca="false">((I9622 + G9623) - H9623)</f>
        <v>54515.2799999999</v>
      </c>
      <c r="J9623" s="18" t="n">
        <v>0</v>
      </c>
      <c r="K9623" s="19" t="n">
        <v>0</v>
      </c>
      <c r="L9623" s="17"/>
    </row>
    <row r="9624" s="11" customFormat="true" ht="10.95" hidden="false" customHeight="true" outlineLevel="0" collapsed="false">
      <c r="A9624" s="16" t="n">
        <v>45149</v>
      </c>
      <c r="B9624" s="17" t="s">
        <v>3861</v>
      </c>
      <c r="C9624" s="17" t="s">
        <v>3752</v>
      </c>
      <c r="D9624" s="17" t="s">
        <v>2895</v>
      </c>
      <c r="E9624" s="17" t="s">
        <v>2900</v>
      </c>
      <c r="F9624" s="17" t="s">
        <v>2932</v>
      </c>
      <c r="G9624" s="18" t="n">
        <v>789.27</v>
      </c>
      <c r="H9624" s="18" t="n">
        <v>0</v>
      </c>
      <c r="I9624" s="18" t="n">
        <f aca="false">((I9623 + G9624) - H9624)</f>
        <v>55304.5499999999</v>
      </c>
      <c r="J9624" s="18" t="n">
        <v>0</v>
      </c>
      <c r="K9624" s="19" t="n">
        <v>0</v>
      </c>
      <c r="L9624" s="17"/>
    </row>
    <row r="9625" s="11" customFormat="true" ht="10.95" hidden="false" customHeight="true" outlineLevel="0" collapsed="false">
      <c r="A9625" s="16" t="n">
        <v>45149</v>
      </c>
      <c r="B9625" s="17" t="s">
        <v>3861</v>
      </c>
      <c r="C9625" s="17" t="s">
        <v>3752</v>
      </c>
      <c r="D9625" s="17" t="s">
        <v>2903</v>
      </c>
      <c r="E9625" s="17" t="s">
        <v>2933</v>
      </c>
      <c r="F9625" s="17" t="s">
        <v>2265</v>
      </c>
      <c r="G9625" s="18" t="n">
        <v>0</v>
      </c>
      <c r="H9625" s="18" t="n">
        <v>922.39</v>
      </c>
      <c r="I9625" s="18" t="n">
        <f aca="false">((I9624 + G9625) - H9625)</f>
        <v>54382.1599999999</v>
      </c>
      <c r="J9625" s="18" t="n">
        <v>0</v>
      </c>
      <c r="K9625" s="19" t="n">
        <v>0</v>
      </c>
      <c r="L9625" s="17"/>
    </row>
    <row r="9626" s="11" customFormat="true" ht="10.95" hidden="false" customHeight="true" outlineLevel="0" collapsed="false">
      <c r="A9626" s="16" t="n">
        <v>45150</v>
      </c>
      <c r="B9626" s="17" t="s">
        <v>3861</v>
      </c>
      <c r="C9626" s="17" t="s">
        <v>3752</v>
      </c>
      <c r="D9626" s="17" t="s">
        <v>1407</v>
      </c>
      <c r="E9626" s="17" t="s">
        <v>3897</v>
      </c>
      <c r="F9626" s="17"/>
      <c r="G9626" s="18" t="n">
        <v>0</v>
      </c>
      <c r="H9626" s="18" t="n">
        <v>30</v>
      </c>
      <c r="I9626" s="18" t="n">
        <f aca="false">((I9625 + G9626) - H9626)</f>
        <v>54352.1599999999</v>
      </c>
      <c r="J9626" s="18" t="n">
        <v>0</v>
      </c>
      <c r="K9626" s="19" t="n">
        <v>0</v>
      </c>
      <c r="L9626" s="17"/>
    </row>
    <row r="9627" s="11" customFormat="true" ht="10.95" hidden="false" customHeight="true" outlineLevel="0" collapsed="false">
      <c r="A9627" s="16" t="n">
        <v>45150</v>
      </c>
      <c r="B9627" s="17" t="s">
        <v>3861</v>
      </c>
      <c r="C9627" s="17" t="s">
        <v>3752</v>
      </c>
      <c r="D9627" s="17" t="s">
        <v>1407</v>
      </c>
      <c r="E9627" s="17" t="s">
        <v>3783</v>
      </c>
      <c r="F9627" s="17"/>
      <c r="G9627" s="18" t="n">
        <v>0</v>
      </c>
      <c r="H9627" s="18" t="n">
        <v>48.3</v>
      </c>
      <c r="I9627" s="18" t="n">
        <f aca="false">((I9626 + G9627) - H9627)</f>
        <v>54303.8599999999</v>
      </c>
      <c r="J9627" s="18" t="n">
        <v>0</v>
      </c>
      <c r="K9627" s="19" t="n">
        <v>0</v>
      </c>
      <c r="L9627" s="17"/>
    </row>
    <row r="9628" s="11" customFormat="true" ht="10.95" hidden="false" customHeight="true" outlineLevel="0" collapsed="false">
      <c r="A9628" s="16" t="n">
        <v>45150</v>
      </c>
      <c r="B9628" s="17" t="s">
        <v>3861</v>
      </c>
      <c r="C9628" s="17" t="s">
        <v>3752</v>
      </c>
      <c r="D9628" s="17" t="s">
        <v>2903</v>
      </c>
      <c r="E9628" s="17" t="s">
        <v>3663</v>
      </c>
      <c r="F9628" s="17" t="s">
        <v>1657</v>
      </c>
      <c r="G9628" s="18" t="n">
        <v>0</v>
      </c>
      <c r="H9628" s="18" t="n">
        <v>3356.1</v>
      </c>
      <c r="I9628" s="18" t="n">
        <f aca="false">((I9627 + G9628) - H9628)</f>
        <v>50947.7599999999</v>
      </c>
      <c r="J9628" s="18" t="n">
        <v>0</v>
      </c>
      <c r="K9628" s="19" t="n">
        <v>0</v>
      </c>
      <c r="L9628" s="17"/>
    </row>
    <row r="9629" s="11" customFormat="true" ht="10.95" hidden="false" customHeight="true" outlineLevel="0" collapsed="false">
      <c r="A9629" s="16" t="n">
        <v>45151</v>
      </c>
      <c r="B9629" s="17" t="s">
        <v>3861</v>
      </c>
      <c r="C9629" s="17" t="s">
        <v>3752</v>
      </c>
      <c r="D9629" s="17" t="s">
        <v>1407</v>
      </c>
      <c r="E9629" s="17" t="s">
        <v>3878</v>
      </c>
      <c r="F9629" s="17"/>
      <c r="G9629" s="18" t="n">
        <v>0</v>
      </c>
      <c r="H9629" s="18" t="n">
        <v>38</v>
      </c>
      <c r="I9629" s="18" t="n">
        <f aca="false">((I9628 + G9629) - H9629)</f>
        <v>50909.7599999999</v>
      </c>
      <c r="J9629" s="18" t="n">
        <v>0</v>
      </c>
      <c r="K9629" s="19" t="n">
        <v>0</v>
      </c>
      <c r="L9629" s="17"/>
    </row>
    <row r="9630" s="11" customFormat="true" ht="10.95" hidden="false" customHeight="true" outlineLevel="0" collapsed="false">
      <c r="A9630" s="16" t="n">
        <v>45151</v>
      </c>
      <c r="B9630" s="17" t="s">
        <v>3861</v>
      </c>
      <c r="C9630" s="17" t="s">
        <v>3752</v>
      </c>
      <c r="D9630" s="17" t="s">
        <v>1407</v>
      </c>
      <c r="E9630" s="17" t="s">
        <v>3878</v>
      </c>
      <c r="F9630" s="17"/>
      <c r="G9630" s="18" t="n">
        <v>0</v>
      </c>
      <c r="H9630" s="18" t="n">
        <v>70.2</v>
      </c>
      <c r="I9630" s="18" t="n">
        <f aca="false">((I9629 + G9630) - H9630)</f>
        <v>50839.5599999999</v>
      </c>
      <c r="J9630" s="18" t="n">
        <v>0</v>
      </c>
      <c r="K9630" s="19" t="n">
        <v>0</v>
      </c>
      <c r="L9630" s="17"/>
    </row>
    <row r="9631" s="11" customFormat="true" ht="10.95" hidden="false" customHeight="true" outlineLevel="0" collapsed="false">
      <c r="A9631" s="16" t="n">
        <v>45151</v>
      </c>
      <c r="B9631" s="17" t="s">
        <v>3861</v>
      </c>
      <c r="C9631" s="17" t="s">
        <v>3752</v>
      </c>
      <c r="D9631" s="17" t="s">
        <v>1407</v>
      </c>
      <c r="E9631" s="17" t="s">
        <v>3879</v>
      </c>
      <c r="F9631" s="17"/>
      <c r="G9631" s="18" t="n">
        <v>0</v>
      </c>
      <c r="H9631" s="18" t="n">
        <v>85</v>
      </c>
      <c r="I9631" s="18" t="n">
        <f aca="false">((I9630 + G9631) - H9631)</f>
        <v>50754.5599999999</v>
      </c>
      <c r="J9631" s="18" t="n">
        <v>0</v>
      </c>
      <c r="K9631" s="19" t="n">
        <v>0</v>
      </c>
      <c r="L9631" s="17"/>
    </row>
    <row r="9632" s="11" customFormat="true" ht="10.95" hidden="false" customHeight="true" outlineLevel="0" collapsed="false">
      <c r="A9632" s="16" t="n">
        <v>45151</v>
      </c>
      <c r="B9632" s="17" t="s">
        <v>3861</v>
      </c>
      <c r="C9632" s="17" t="s">
        <v>3752</v>
      </c>
      <c r="D9632" s="17" t="s">
        <v>1407</v>
      </c>
      <c r="E9632" s="17" t="s">
        <v>3880</v>
      </c>
      <c r="F9632" s="17"/>
      <c r="G9632" s="18" t="n">
        <v>0</v>
      </c>
      <c r="H9632" s="18" t="n">
        <v>85</v>
      </c>
      <c r="I9632" s="18" t="n">
        <f aca="false">((I9631 + G9632) - H9632)</f>
        <v>50669.5599999999</v>
      </c>
      <c r="J9632" s="18" t="n">
        <v>0</v>
      </c>
      <c r="K9632" s="19" t="n">
        <v>0</v>
      </c>
      <c r="L9632" s="17"/>
    </row>
    <row r="9633" s="11" customFormat="true" ht="10.95" hidden="false" customHeight="true" outlineLevel="0" collapsed="false">
      <c r="A9633" s="16" t="n">
        <v>45151</v>
      </c>
      <c r="B9633" s="17" t="s">
        <v>3861</v>
      </c>
      <c r="C9633" s="17" t="s">
        <v>3752</v>
      </c>
      <c r="D9633" s="17" t="s">
        <v>1407</v>
      </c>
      <c r="E9633" s="17" t="s">
        <v>3808</v>
      </c>
      <c r="F9633" s="17"/>
      <c r="G9633" s="18" t="n">
        <v>0</v>
      </c>
      <c r="H9633" s="18" t="n">
        <v>137.92</v>
      </c>
      <c r="I9633" s="18" t="n">
        <f aca="false">((I9632 + G9633) - H9633)</f>
        <v>50531.6399999999</v>
      </c>
      <c r="J9633" s="18" t="n">
        <v>0</v>
      </c>
      <c r="K9633" s="19" t="n">
        <v>0</v>
      </c>
      <c r="L9633" s="17"/>
    </row>
    <row r="9634" s="11" customFormat="true" ht="10.95" hidden="false" customHeight="true" outlineLevel="0" collapsed="false">
      <c r="A9634" s="16" t="n">
        <v>45153</v>
      </c>
      <c r="B9634" s="17" t="s">
        <v>3861</v>
      </c>
      <c r="C9634" s="17" t="s">
        <v>3752</v>
      </c>
      <c r="D9634" s="17" t="s">
        <v>1276</v>
      </c>
      <c r="E9634" s="17" t="s">
        <v>3423</v>
      </c>
      <c r="F9634" s="17" t="s">
        <v>1290</v>
      </c>
      <c r="G9634" s="18" t="n">
        <v>1.59</v>
      </c>
      <c r="H9634" s="18" t="n">
        <v>0</v>
      </c>
      <c r="I9634" s="18" t="n">
        <f aca="false">((I9633 + G9634) - H9634)</f>
        <v>50533.2299999999</v>
      </c>
      <c r="J9634" s="18" t="n">
        <v>0</v>
      </c>
      <c r="K9634" s="19" t="n">
        <v>0</v>
      </c>
      <c r="L9634" s="17"/>
    </row>
    <row r="9635" s="11" customFormat="true" ht="10.95" hidden="false" customHeight="true" outlineLevel="0" collapsed="false">
      <c r="A9635" s="16" t="n">
        <v>45153</v>
      </c>
      <c r="B9635" s="17" t="s">
        <v>3861</v>
      </c>
      <c r="C9635" s="17" t="s">
        <v>3752</v>
      </c>
      <c r="D9635" s="17" t="s">
        <v>2895</v>
      </c>
      <c r="E9635" s="17" t="s">
        <v>2896</v>
      </c>
      <c r="F9635" s="17" t="s">
        <v>1290</v>
      </c>
      <c r="G9635" s="18" t="n">
        <v>89.13</v>
      </c>
      <c r="H9635" s="18" t="n">
        <v>0</v>
      </c>
      <c r="I9635" s="18" t="n">
        <f aca="false">((I9634 + G9635) - H9635)</f>
        <v>50622.3599999999</v>
      </c>
      <c r="J9635" s="18" t="n">
        <v>0</v>
      </c>
      <c r="K9635" s="19" t="n">
        <v>0</v>
      </c>
      <c r="L9635" s="17"/>
    </row>
    <row r="9636" s="11" customFormat="true" ht="10.95" hidden="false" customHeight="true" outlineLevel="0" collapsed="false">
      <c r="A9636" s="16" t="n">
        <v>45153</v>
      </c>
      <c r="B9636" s="17" t="s">
        <v>3861</v>
      </c>
      <c r="C9636" s="17" t="s">
        <v>3752</v>
      </c>
      <c r="D9636" s="17" t="s">
        <v>1407</v>
      </c>
      <c r="E9636" s="17" t="s">
        <v>3862</v>
      </c>
      <c r="F9636" s="17" t="s">
        <v>1290</v>
      </c>
      <c r="G9636" s="18" t="n">
        <v>0</v>
      </c>
      <c r="H9636" s="18" t="n">
        <v>2.93</v>
      </c>
      <c r="I9636" s="18" t="n">
        <f aca="false">((I9635 + G9636) - H9636)</f>
        <v>50619.4299999999</v>
      </c>
      <c r="J9636" s="18" t="n">
        <v>0</v>
      </c>
      <c r="K9636" s="19" t="n">
        <v>0</v>
      </c>
      <c r="L9636" s="17"/>
    </row>
    <row r="9637" s="11" customFormat="true" ht="10.95" hidden="false" customHeight="true" outlineLevel="0" collapsed="false">
      <c r="A9637" s="16" t="n">
        <v>45153</v>
      </c>
      <c r="B9637" s="17" t="s">
        <v>3861</v>
      </c>
      <c r="C9637" s="17" t="s">
        <v>3752</v>
      </c>
      <c r="D9637" s="17" t="s">
        <v>2895</v>
      </c>
      <c r="E9637" s="17" t="s">
        <v>3415</v>
      </c>
      <c r="F9637" s="17" t="s">
        <v>3962</v>
      </c>
      <c r="G9637" s="18" t="n">
        <v>1052.7</v>
      </c>
      <c r="H9637" s="18" t="n">
        <v>0</v>
      </c>
      <c r="I9637" s="18" t="n">
        <f aca="false">((I9636 + G9637) - H9637)</f>
        <v>51672.1299999999</v>
      </c>
      <c r="J9637" s="18" t="n">
        <v>0</v>
      </c>
      <c r="K9637" s="19" t="n">
        <v>0</v>
      </c>
      <c r="L9637" s="17"/>
    </row>
    <row r="9638" s="11" customFormat="true" ht="10.95" hidden="false" customHeight="true" outlineLevel="0" collapsed="false">
      <c r="A9638" s="16" t="n">
        <v>45153</v>
      </c>
      <c r="B9638" s="17" t="s">
        <v>3861</v>
      </c>
      <c r="C9638" s="17" t="s">
        <v>3752</v>
      </c>
      <c r="D9638" s="17" t="s">
        <v>2895</v>
      </c>
      <c r="E9638" s="17" t="s">
        <v>3403</v>
      </c>
      <c r="F9638" s="17" t="s">
        <v>3963</v>
      </c>
      <c r="G9638" s="18" t="n">
        <v>930.6</v>
      </c>
      <c r="H9638" s="18" t="n">
        <v>0</v>
      </c>
      <c r="I9638" s="18" t="n">
        <f aca="false">((I9637 + G9638) - H9638)</f>
        <v>52602.7299999999</v>
      </c>
      <c r="J9638" s="18" t="n">
        <v>0</v>
      </c>
      <c r="K9638" s="19" t="n">
        <v>0</v>
      </c>
      <c r="L9638" s="17"/>
    </row>
    <row r="9639" s="11" customFormat="true" ht="10.95" hidden="false" customHeight="true" outlineLevel="0" collapsed="false">
      <c r="A9639" s="16" t="n">
        <v>45153</v>
      </c>
      <c r="B9639" s="17" t="s">
        <v>3861</v>
      </c>
      <c r="C9639" s="17" t="s">
        <v>3752</v>
      </c>
      <c r="D9639" s="17" t="s">
        <v>1407</v>
      </c>
      <c r="E9639" s="17" t="s">
        <v>2747</v>
      </c>
      <c r="F9639" s="17"/>
      <c r="G9639" s="18" t="n">
        <v>0</v>
      </c>
      <c r="H9639" s="18" t="n">
        <v>7</v>
      </c>
      <c r="I9639" s="18" t="n">
        <f aca="false">((I9638 + G9639) - H9639)</f>
        <v>52595.7299999999</v>
      </c>
      <c r="J9639" s="18" t="n">
        <v>0</v>
      </c>
      <c r="K9639" s="19" t="n">
        <v>0</v>
      </c>
      <c r="L9639" s="17"/>
    </row>
    <row r="9640" s="11" customFormat="true" ht="10.95" hidden="false" customHeight="true" outlineLevel="0" collapsed="false">
      <c r="A9640" s="16" t="n">
        <v>45153</v>
      </c>
      <c r="B9640" s="17" t="s">
        <v>3861</v>
      </c>
      <c r="C9640" s="17" t="s">
        <v>3752</v>
      </c>
      <c r="D9640" s="17" t="s">
        <v>1407</v>
      </c>
      <c r="E9640" s="17" t="s">
        <v>3878</v>
      </c>
      <c r="F9640" s="17"/>
      <c r="G9640" s="18" t="n">
        <v>0</v>
      </c>
      <c r="H9640" s="18" t="n">
        <v>1188.2</v>
      </c>
      <c r="I9640" s="18" t="n">
        <f aca="false">((I9639 + G9640) - H9640)</f>
        <v>51407.5299999999</v>
      </c>
      <c r="J9640" s="18" t="n">
        <v>0</v>
      </c>
      <c r="K9640" s="19" t="n">
        <v>0</v>
      </c>
      <c r="L9640" s="17"/>
    </row>
    <row r="9641" s="11" customFormat="true" ht="10.95" hidden="false" customHeight="true" outlineLevel="0" collapsed="false">
      <c r="A9641" s="16" t="n">
        <v>45154</v>
      </c>
      <c r="B9641" s="17" t="s">
        <v>3861</v>
      </c>
      <c r="C9641" s="17" t="s">
        <v>3752</v>
      </c>
      <c r="D9641" s="17" t="s">
        <v>1407</v>
      </c>
      <c r="E9641" s="17" t="s">
        <v>3863</v>
      </c>
      <c r="F9641" s="17"/>
      <c r="G9641" s="18" t="n">
        <v>0</v>
      </c>
      <c r="H9641" s="18" t="n">
        <v>0.61</v>
      </c>
      <c r="I9641" s="18" t="n">
        <f aca="false">((I9640 + G9641) - H9641)</f>
        <v>51406.9199999999</v>
      </c>
      <c r="J9641" s="18" t="n">
        <v>0</v>
      </c>
      <c r="K9641" s="19" t="n">
        <v>0</v>
      </c>
      <c r="L9641" s="17"/>
    </row>
    <row r="9642" s="11" customFormat="true" ht="10.95" hidden="false" customHeight="true" outlineLevel="0" collapsed="false">
      <c r="A9642" s="16" t="n">
        <v>45154</v>
      </c>
      <c r="B9642" s="17" t="s">
        <v>3861</v>
      </c>
      <c r="C9642" s="17" t="s">
        <v>3752</v>
      </c>
      <c r="D9642" s="17" t="s">
        <v>1407</v>
      </c>
      <c r="E9642" s="17" t="s">
        <v>3863</v>
      </c>
      <c r="F9642" s="17"/>
      <c r="G9642" s="18" t="n">
        <v>0</v>
      </c>
      <c r="H9642" s="18" t="n">
        <v>1.38</v>
      </c>
      <c r="I9642" s="18" t="n">
        <f aca="false">((I9641 + G9642) - H9642)</f>
        <v>51405.5399999999</v>
      </c>
      <c r="J9642" s="18" t="n">
        <v>0</v>
      </c>
      <c r="K9642" s="19" t="n">
        <v>0</v>
      </c>
      <c r="L9642" s="17"/>
    </row>
    <row r="9643" s="11" customFormat="true" ht="10.95" hidden="false" customHeight="true" outlineLevel="0" collapsed="false">
      <c r="A9643" s="16" t="n">
        <v>45154</v>
      </c>
      <c r="B9643" s="17" t="s">
        <v>3861</v>
      </c>
      <c r="C9643" s="17" t="s">
        <v>3752</v>
      </c>
      <c r="D9643" s="17" t="s">
        <v>1407</v>
      </c>
      <c r="E9643" s="17" t="s">
        <v>3863</v>
      </c>
      <c r="F9643" s="17"/>
      <c r="G9643" s="18" t="n">
        <v>0</v>
      </c>
      <c r="H9643" s="18" t="n">
        <v>4.88</v>
      </c>
      <c r="I9643" s="18" t="n">
        <f aca="false">((I9642 + G9643) - H9643)</f>
        <v>51400.6599999999</v>
      </c>
      <c r="J9643" s="18" t="n">
        <v>0</v>
      </c>
      <c r="K9643" s="19" t="n">
        <v>0</v>
      </c>
      <c r="L9643" s="17"/>
    </row>
    <row r="9644" s="11" customFormat="true" ht="10.95" hidden="false" customHeight="true" outlineLevel="0" collapsed="false">
      <c r="A9644" s="16" t="n">
        <v>45154</v>
      </c>
      <c r="B9644" s="17" t="s">
        <v>3861</v>
      </c>
      <c r="C9644" s="17" t="s">
        <v>3752</v>
      </c>
      <c r="D9644" s="17" t="s">
        <v>1407</v>
      </c>
      <c r="E9644" s="17" t="s">
        <v>2747</v>
      </c>
      <c r="F9644" s="17"/>
      <c r="G9644" s="18" t="n">
        <v>0</v>
      </c>
      <c r="H9644" s="18" t="n">
        <v>7</v>
      </c>
      <c r="I9644" s="18" t="n">
        <f aca="false">((I9643 + G9644) - H9644)</f>
        <v>51393.6599999999</v>
      </c>
      <c r="J9644" s="18" t="n">
        <v>0</v>
      </c>
      <c r="K9644" s="19" t="n">
        <v>0</v>
      </c>
      <c r="L9644" s="17"/>
    </row>
    <row r="9645" s="11" customFormat="true" ht="10.95" hidden="false" customHeight="true" outlineLevel="0" collapsed="false">
      <c r="A9645" s="16" t="n">
        <v>45154</v>
      </c>
      <c r="B9645" s="17" t="s">
        <v>3861</v>
      </c>
      <c r="C9645" s="17" t="s">
        <v>3752</v>
      </c>
      <c r="D9645" s="17" t="s">
        <v>1407</v>
      </c>
      <c r="E9645" s="17" t="s">
        <v>3900</v>
      </c>
      <c r="F9645" s="17"/>
      <c r="G9645" s="18" t="n">
        <v>0</v>
      </c>
      <c r="H9645" s="18" t="n">
        <v>14.99</v>
      </c>
      <c r="I9645" s="18" t="n">
        <f aca="false">((I9644 + G9645) - H9645)</f>
        <v>51378.6699999999</v>
      </c>
      <c r="J9645" s="18" t="n">
        <v>0</v>
      </c>
      <c r="K9645" s="19" t="n">
        <v>0</v>
      </c>
      <c r="L9645" s="17"/>
    </row>
    <row r="9646" s="11" customFormat="true" ht="10.95" hidden="false" customHeight="true" outlineLevel="0" collapsed="false">
      <c r="A9646" s="16" t="n">
        <v>45154</v>
      </c>
      <c r="B9646" s="17" t="s">
        <v>3861</v>
      </c>
      <c r="C9646" s="17" t="s">
        <v>3752</v>
      </c>
      <c r="D9646" s="17" t="s">
        <v>1407</v>
      </c>
      <c r="E9646" s="17" t="s">
        <v>3757</v>
      </c>
      <c r="F9646" s="17"/>
      <c r="G9646" s="18" t="n">
        <v>0</v>
      </c>
      <c r="H9646" s="18" t="n">
        <v>20.37</v>
      </c>
      <c r="I9646" s="18" t="n">
        <f aca="false">((I9645 + G9646) - H9646)</f>
        <v>51358.2999999999</v>
      </c>
      <c r="J9646" s="18" t="n">
        <v>0</v>
      </c>
      <c r="K9646" s="19" t="n">
        <v>0</v>
      </c>
      <c r="L9646" s="17"/>
    </row>
    <row r="9647" s="11" customFormat="true" ht="10.95" hidden="false" customHeight="true" outlineLevel="0" collapsed="false">
      <c r="A9647" s="16" t="n">
        <v>45154</v>
      </c>
      <c r="B9647" s="17" t="s">
        <v>3861</v>
      </c>
      <c r="C9647" s="17" t="s">
        <v>3752</v>
      </c>
      <c r="D9647" s="17" t="s">
        <v>1407</v>
      </c>
      <c r="E9647" s="17" t="s">
        <v>3881</v>
      </c>
      <c r="F9647" s="17"/>
      <c r="G9647" s="18" t="n">
        <v>0</v>
      </c>
      <c r="H9647" s="18" t="n">
        <v>140</v>
      </c>
      <c r="I9647" s="18" t="n">
        <f aca="false">((I9646 + G9647) - H9647)</f>
        <v>51218.2999999999</v>
      </c>
      <c r="J9647" s="18" t="n">
        <v>0</v>
      </c>
      <c r="K9647" s="19" t="n">
        <v>0</v>
      </c>
      <c r="L9647" s="17"/>
    </row>
    <row r="9648" s="11" customFormat="true" ht="10.95" hidden="false" customHeight="true" outlineLevel="0" collapsed="false">
      <c r="A9648" s="16" t="n">
        <v>45154</v>
      </c>
      <c r="B9648" s="17" t="s">
        <v>3861</v>
      </c>
      <c r="C9648" s="17" t="s">
        <v>3752</v>
      </c>
      <c r="D9648" s="17" t="s">
        <v>1407</v>
      </c>
      <c r="E9648" s="17" t="s">
        <v>3879</v>
      </c>
      <c r="F9648" s="17"/>
      <c r="G9648" s="18" t="n">
        <v>0</v>
      </c>
      <c r="H9648" s="18" t="n">
        <v>1207</v>
      </c>
      <c r="I9648" s="18" t="n">
        <f aca="false">((I9647 + G9648) - H9648)</f>
        <v>50011.2999999999</v>
      </c>
      <c r="J9648" s="18" t="n">
        <v>0</v>
      </c>
      <c r="K9648" s="19" t="n">
        <v>0</v>
      </c>
      <c r="L9648" s="17"/>
    </row>
    <row r="9649" s="11" customFormat="true" ht="10.95" hidden="false" customHeight="true" outlineLevel="0" collapsed="false">
      <c r="A9649" s="16" t="n">
        <v>45154</v>
      </c>
      <c r="B9649" s="17" t="s">
        <v>3861</v>
      </c>
      <c r="C9649" s="17" t="s">
        <v>3752</v>
      </c>
      <c r="D9649" s="17" t="s">
        <v>1407</v>
      </c>
      <c r="E9649" s="17" t="s">
        <v>3880</v>
      </c>
      <c r="F9649" s="17"/>
      <c r="G9649" s="18" t="n">
        <v>0</v>
      </c>
      <c r="H9649" s="18" t="n">
        <v>1207</v>
      </c>
      <c r="I9649" s="18" t="n">
        <f aca="false">((I9648 + G9649) - H9649)</f>
        <v>48804.2999999999</v>
      </c>
      <c r="J9649" s="18" t="n">
        <v>0</v>
      </c>
      <c r="K9649" s="19" t="n">
        <v>0</v>
      </c>
      <c r="L9649" s="17"/>
    </row>
    <row r="9650" s="11" customFormat="true" ht="10.95" hidden="false" customHeight="true" outlineLevel="0" collapsed="false">
      <c r="A9650" s="16" t="n">
        <v>45154</v>
      </c>
      <c r="B9650" s="17" t="s">
        <v>3861</v>
      </c>
      <c r="C9650" s="17" t="s">
        <v>3752</v>
      </c>
      <c r="D9650" s="17" t="s">
        <v>1407</v>
      </c>
      <c r="E9650" s="17" t="s">
        <v>3808</v>
      </c>
      <c r="F9650" s="17"/>
      <c r="G9650" s="18" t="n">
        <v>0</v>
      </c>
      <c r="H9650" s="18" t="n">
        <v>1705.92</v>
      </c>
      <c r="I9650" s="18" t="n">
        <f aca="false">((I9649 + G9650) - H9650)</f>
        <v>47098.3799999999</v>
      </c>
      <c r="J9650" s="18" t="n">
        <v>0</v>
      </c>
      <c r="K9650" s="19" t="n">
        <v>0</v>
      </c>
      <c r="L9650" s="17"/>
    </row>
    <row r="9651" s="11" customFormat="true" ht="10.95" hidden="false" customHeight="true" outlineLevel="0" collapsed="false">
      <c r="A9651" s="16" t="n">
        <v>45154</v>
      </c>
      <c r="B9651" s="17" t="s">
        <v>3861</v>
      </c>
      <c r="C9651" s="17" t="s">
        <v>3752</v>
      </c>
      <c r="D9651" s="17" t="s">
        <v>1407</v>
      </c>
      <c r="E9651" s="17" t="s">
        <v>3776</v>
      </c>
      <c r="F9651" s="17"/>
      <c r="G9651" s="18" t="n">
        <v>0</v>
      </c>
      <c r="H9651" s="18" t="n">
        <v>162.75</v>
      </c>
      <c r="I9651" s="18" t="n">
        <f aca="false">((I9650 + G9651) - H9651)</f>
        <v>46935.6299999999</v>
      </c>
      <c r="J9651" s="18" t="n">
        <v>0</v>
      </c>
      <c r="K9651" s="19" t="n">
        <v>0</v>
      </c>
      <c r="L9651" s="17"/>
    </row>
    <row r="9652" s="11" customFormat="true" ht="10.95" hidden="false" customHeight="true" outlineLevel="0" collapsed="false">
      <c r="A9652" s="16" t="n">
        <v>45154</v>
      </c>
      <c r="B9652" s="17" t="s">
        <v>3861</v>
      </c>
      <c r="C9652" s="17" t="s">
        <v>3752</v>
      </c>
      <c r="D9652" s="17" t="s">
        <v>1407</v>
      </c>
      <c r="E9652" s="17" t="s">
        <v>3964</v>
      </c>
      <c r="F9652" s="17"/>
      <c r="G9652" s="18" t="n">
        <v>0</v>
      </c>
      <c r="H9652" s="18" t="n">
        <v>46.07</v>
      </c>
      <c r="I9652" s="18" t="n">
        <f aca="false">((I9651 + G9652) - H9652)</f>
        <v>46889.5599999999</v>
      </c>
      <c r="J9652" s="18" t="n">
        <v>0</v>
      </c>
      <c r="K9652" s="19" t="n">
        <v>0</v>
      </c>
      <c r="L9652" s="17"/>
    </row>
    <row r="9653" s="11" customFormat="true" ht="10.95" hidden="false" customHeight="true" outlineLevel="0" collapsed="false">
      <c r="A9653" s="16" t="n">
        <v>45154</v>
      </c>
      <c r="B9653" s="17" t="s">
        <v>3861</v>
      </c>
      <c r="C9653" s="17" t="s">
        <v>3752</v>
      </c>
      <c r="D9653" s="17" t="s">
        <v>1407</v>
      </c>
      <c r="E9653" s="17" t="s">
        <v>3899</v>
      </c>
      <c r="F9653" s="17"/>
      <c r="G9653" s="18" t="n">
        <v>0</v>
      </c>
      <c r="H9653" s="18" t="n">
        <v>16.32</v>
      </c>
      <c r="I9653" s="18" t="n">
        <f aca="false">((I9652 + G9653) - H9653)</f>
        <v>46873.2399999999</v>
      </c>
      <c r="J9653" s="18" t="n">
        <v>0</v>
      </c>
      <c r="K9653" s="19" t="n">
        <v>0</v>
      </c>
      <c r="L9653" s="17"/>
    </row>
    <row r="9654" s="11" customFormat="true" ht="10.95" hidden="false" customHeight="true" outlineLevel="0" collapsed="false">
      <c r="A9654" s="16" t="n">
        <v>45154</v>
      </c>
      <c r="B9654" s="17" t="s">
        <v>3861</v>
      </c>
      <c r="C9654" s="17" t="s">
        <v>3752</v>
      </c>
      <c r="D9654" s="17" t="s">
        <v>2903</v>
      </c>
      <c r="E9654" s="17" t="s">
        <v>3665</v>
      </c>
      <c r="F9654" s="17" t="s">
        <v>3254</v>
      </c>
      <c r="G9654" s="18" t="n">
        <v>0</v>
      </c>
      <c r="H9654" s="18" t="n">
        <v>605</v>
      </c>
      <c r="I9654" s="18" t="n">
        <f aca="false">((I9653 + G9654) - H9654)</f>
        <v>46268.2399999999</v>
      </c>
      <c r="J9654" s="18" t="n">
        <v>0</v>
      </c>
      <c r="K9654" s="19" t="n">
        <v>0</v>
      </c>
      <c r="L9654" s="17"/>
    </row>
    <row r="9655" s="11" customFormat="true" ht="10.95" hidden="false" customHeight="true" outlineLevel="0" collapsed="false">
      <c r="A9655" s="16" t="n">
        <v>45154</v>
      </c>
      <c r="B9655" s="17" t="s">
        <v>3861</v>
      </c>
      <c r="C9655" s="17" t="s">
        <v>3752</v>
      </c>
      <c r="D9655" s="17" t="s">
        <v>1407</v>
      </c>
      <c r="E9655" s="17" t="s">
        <v>3965</v>
      </c>
      <c r="F9655" s="17"/>
      <c r="G9655" s="18" t="n">
        <v>0</v>
      </c>
      <c r="H9655" s="18" t="n">
        <v>6526</v>
      </c>
      <c r="I9655" s="18" t="n">
        <f aca="false">((I9654 + G9655) - H9655)</f>
        <v>39742.2399999999</v>
      </c>
      <c r="J9655" s="18" t="n">
        <v>0</v>
      </c>
      <c r="K9655" s="19" t="n">
        <v>0</v>
      </c>
      <c r="L9655" s="17"/>
    </row>
    <row r="9656" s="11" customFormat="true" ht="10.95" hidden="false" customHeight="true" outlineLevel="0" collapsed="false">
      <c r="A9656" s="16" t="n">
        <v>45154</v>
      </c>
      <c r="B9656" s="17" t="s">
        <v>3861</v>
      </c>
      <c r="C9656" s="17" t="s">
        <v>3752</v>
      </c>
      <c r="D9656" s="17" t="s">
        <v>2903</v>
      </c>
      <c r="E9656" s="17" t="s">
        <v>3643</v>
      </c>
      <c r="F9656" s="17" t="s">
        <v>1420</v>
      </c>
      <c r="G9656" s="18" t="n">
        <v>0</v>
      </c>
      <c r="H9656" s="18" t="n">
        <v>1315.82</v>
      </c>
      <c r="I9656" s="18" t="n">
        <f aca="false">((I9655 + G9656) - H9656)</f>
        <v>38426.4199999999</v>
      </c>
      <c r="J9656" s="18" t="n">
        <v>0</v>
      </c>
      <c r="K9656" s="19" t="n">
        <v>0</v>
      </c>
      <c r="L9656" s="17"/>
    </row>
    <row r="9657" s="11" customFormat="true" ht="10.95" hidden="false" customHeight="true" outlineLevel="0" collapsed="false">
      <c r="A9657" s="16" t="n">
        <v>45155</v>
      </c>
      <c r="B9657" s="17" t="s">
        <v>3861</v>
      </c>
      <c r="C9657" s="17" t="s">
        <v>3752</v>
      </c>
      <c r="D9657" s="17" t="s">
        <v>2895</v>
      </c>
      <c r="E9657" s="17" t="s">
        <v>2934</v>
      </c>
      <c r="F9657" s="17" t="s">
        <v>2935</v>
      </c>
      <c r="G9657" s="18" t="n">
        <v>5973.33</v>
      </c>
      <c r="H9657" s="18" t="n">
        <v>0</v>
      </c>
      <c r="I9657" s="18" t="n">
        <f aca="false">((I9656 + G9657) - H9657)</f>
        <v>44399.7499999999</v>
      </c>
      <c r="J9657" s="18" t="n">
        <v>0</v>
      </c>
      <c r="K9657" s="19" t="n">
        <v>0</v>
      </c>
      <c r="L9657" s="17"/>
    </row>
    <row r="9658" s="11" customFormat="true" ht="10.95" hidden="false" customHeight="true" outlineLevel="0" collapsed="false">
      <c r="A9658" s="16" t="n">
        <v>45155</v>
      </c>
      <c r="B9658" s="17" t="s">
        <v>3861</v>
      </c>
      <c r="C9658" s="17" t="s">
        <v>3752</v>
      </c>
      <c r="D9658" s="17" t="s">
        <v>3814</v>
      </c>
      <c r="E9658" s="17" t="s">
        <v>3815</v>
      </c>
      <c r="F9658" s="17"/>
      <c r="G9658" s="18" t="n">
        <v>0</v>
      </c>
      <c r="H9658" s="18" t="n">
        <v>0.03</v>
      </c>
      <c r="I9658" s="18" t="n">
        <f aca="false">((I9657 + G9658) - H9658)</f>
        <v>44399.7199999999</v>
      </c>
      <c r="J9658" s="18" t="n">
        <v>0</v>
      </c>
      <c r="K9658" s="19" t="n">
        <v>0</v>
      </c>
      <c r="L9658" s="17"/>
    </row>
    <row r="9659" s="11" customFormat="true" ht="10.95" hidden="false" customHeight="true" outlineLevel="0" collapsed="false">
      <c r="A9659" s="16" t="n">
        <v>45155</v>
      </c>
      <c r="B9659" s="17" t="s">
        <v>3861</v>
      </c>
      <c r="C9659" s="17" t="s">
        <v>3752</v>
      </c>
      <c r="D9659" s="17" t="s">
        <v>2903</v>
      </c>
      <c r="E9659" s="17" t="s">
        <v>2908</v>
      </c>
      <c r="F9659" s="17" t="s">
        <v>2215</v>
      </c>
      <c r="G9659" s="18" t="n">
        <v>0</v>
      </c>
      <c r="H9659" s="18" t="n">
        <v>474.24</v>
      </c>
      <c r="I9659" s="18" t="n">
        <f aca="false">((I9658 + G9659) - H9659)</f>
        <v>43925.4799999999</v>
      </c>
      <c r="J9659" s="18" t="n">
        <v>0</v>
      </c>
      <c r="K9659" s="19" t="n">
        <v>0</v>
      </c>
      <c r="L9659" s="17"/>
    </row>
    <row r="9660" s="11" customFormat="true" ht="10.95" hidden="false" customHeight="true" outlineLevel="0" collapsed="false">
      <c r="A9660" s="16" t="n">
        <v>45155</v>
      </c>
      <c r="B9660" s="17" t="s">
        <v>3861</v>
      </c>
      <c r="C9660" s="17" t="s">
        <v>3752</v>
      </c>
      <c r="D9660" s="17" t="s">
        <v>1407</v>
      </c>
      <c r="E9660" s="17" t="s">
        <v>3863</v>
      </c>
      <c r="F9660" s="17"/>
      <c r="G9660" s="18" t="n">
        <v>0</v>
      </c>
      <c r="H9660" s="18" t="n">
        <v>14.23</v>
      </c>
      <c r="I9660" s="18" t="n">
        <f aca="false">((I9659 + G9660) - H9660)</f>
        <v>43911.2499999999</v>
      </c>
      <c r="J9660" s="18" t="n">
        <v>0</v>
      </c>
      <c r="K9660" s="19" t="n">
        <v>0</v>
      </c>
      <c r="L9660" s="17"/>
    </row>
    <row r="9661" s="11" customFormat="true" ht="10.95" hidden="false" customHeight="true" outlineLevel="0" collapsed="false">
      <c r="A9661" s="16" t="n">
        <v>45155</v>
      </c>
      <c r="B9661" s="17" t="s">
        <v>3861</v>
      </c>
      <c r="C9661" s="17" t="s">
        <v>3752</v>
      </c>
      <c r="D9661" s="17" t="s">
        <v>1407</v>
      </c>
      <c r="E9661" s="17" t="s">
        <v>3904</v>
      </c>
      <c r="F9661" s="17"/>
      <c r="G9661" s="18" t="n">
        <v>0</v>
      </c>
      <c r="H9661" s="18" t="n">
        <v>89</v>
      </c>
      <c r="I9661" s="18" t="n">
        <f aca="false">((I9660 + G9661) - H9661)</f>
        <v>43822.2499999999</v>
      </c>
      <c r="J9661" s="18" t="n">
        <v>0</v>
      </c>
      <c r="K9661" s="19" t="n">
        <v>0</v>
      </c>
      <c r="L9661" s="17"/>
    </row>
    <row r="9662" s="11" customFormat="true" ht="10.95" hidden="false" customHeight="true" outlineLevel="0" collapsed="false">
      <c r="A9662" s="16" t="n">
        <v>45156</v>
      </c>
      <c r="B9662" s="17" t="s">
        <v>3861</v>
      </c>
      <c r="C9662" s="17" t="s">
        <v>3752</v>
      </c>
      <c r="D9662" s="17" t="s">
        <v>1407</v>
      </c>
      <c r="E9662" s="17" t="s">
        <v>3901</v>
      </c>
      <c r="F9662" s="17"/>
      <c r="G9662" s="18" t="n">
        <v>0</v>
      </c>
      <c r="H9662" s="18" t="n">
        <v>83.54</v>
      </c>
      <c r="I9662" s="18" t="n">
        <f aca="false">((I9661 + G9662) - H9662)</f>
        <v>43738.7099999999</v>
      </c>
      <c r="J9662" s="18" t="n">
        <v>0</v>
      </c>
      <c r="K9662" s="19" t="n">
        <v>0</v>
      </c>
      <c r="L9662" s="17"/>
    </row>
    <row r="9663" s="11" customFormat="true" ht="10.95" hidden="false" customHeight="true" outlineLevel="0" collapsed="false">
      <c r="A9663" s="16" t="n">
        <v>45156</v>
      </c>
      <c r="B9663" s="17" t="s">
        <v>3861</v>
      </c>
      <c r="C9663" s="17" t="s">
        <v>3752</v>
      </c>
      <c r="D9663" s="17" t="s">
        <v>1407</v>
      </c>
      <c r="E9663" s="17" t="s">
        <v>3902</v>
      </c>
      <c r="F9663" s="17"/>
      <c r="G9663" s="18" t="n">
        <v>0</v>
      </c>
      <c r="H9663" s="18" t="n">
        <v>272.5</v>
      </c>
      <c r="I9663" s="18" t="n">
        <f aca="false">((I9662 + G9663) - H9663)</f>
        <v>43466.2099999999</v>
      </c>
      <c r="J9663" s="18" t="n">
        <v>0</v>
      </c>
      <c r="K9663" s="19" t="n">
        <v>0</v>
      </c>
      <c r="L9663" s="17"/>
    </row>
    <row r="9664" s="11" customFormat="true" ht="10.95" hidden="false" customHeight="true" outlineLevel="0" collapsed="false">
      <c r="A9664" s="16" t="n">
        <v>45156</v>
      </c>
      <c r="B9664" s="17" t="s">
        <v>3861</v>
      </c>
      <c r="C9664" s="17" t="s">
        <v>3752</v>
      </c>
      <c r="D9664" s="17" t="s">
        <v>1407</v>
      </c>
      <c r="E9664" s="17" t="s">
        <v>3825</v>
      </c>
      <c r="F9664" s="17"/>
      <c r="G9664" s="18" t="n">
        <v>0</v>
      </c>
      <c r="H9664" s="18" t="n">
        <v>83.38</v>
      </c>
      <c r="I9664" s="18" t="n">
        <f aca="false">((I9663 + G9664) - H9664)</f>
        <v>43382.8299999999</v>
      </c>
      <c r="J9664" s="18" t="n">
        <v>0</v>
      </c>
      <c r="K9664" s="19" t="n">
        <v>0</v>
      </c>
      <c r="L9664" s="17"/>
    </row>
    <row r="9665" s="11" customFormat="true" ht="10.95" hidden="false" customHeight="true" outlineLevel="0" collapsed="false">
      <c r="A9665" s="16" t="n">
        <v>45157</v>
      </c>
      <c r="B9665" s="17" t="s">
        <v>3861</v>
      </c>
      <c r="C9665" s="17" t="s">
        <v>3752</v>
      </c>
      <c r="D9665" s="17" t="s">
        <v>1407</v>
      </c>
      <c r="E9665" s="17" t="s">
        <v>3863</v>
      </c>
      <c r="F9665" s="17"/>
      <c r="G9665" s="18" t="n">
        <v>0</v>
      </c>
      <c r="H9665" s="18" t="n">
        <v>14.3</v>
      </c>
      <c r="I9665" s="18" t="n">
        <f aca="false">((I9664 + G9665) - H9665)</f>
        <v>43368.5299999999</v>
      </c>
      <c r="J9665" s="18" t="n">
        <v>0</v>
      </c>
      <c r="K9665" s="19" t="n">
        <v>0</v>
      </c>
      <c r="L9665" s="17"/>
    </row>
    <row r="9666" s="11" customFormat="true" ht="10.95" hidden="false" customHeight="true" outlineLevel="0" collapsed="false">
      <c r="A9666" s="16" t="n">
        <v>45157</v>
      </c>
      <c r="B9666" s="17" t="s">
        <v>3861</v>
      </c>
      <c r="C9666" s="17" t="s">
        <v>3752</v>
      </c>
      <c r="D9666" s="17" t="s">
        <v>1407</v>
      </c>
      <c r="E9666" s="17" t="s">
        <v>3966</v>
      </c>
      <c r="F9666" s="17"/>
      <c r="G9666" s="18" t="n">
        <v>0</v>
      </c>
      <c r="H9666" s="18" t="n">
        <v>784.47</v>
      </c>
      <c r="I9666" s="18" t="n">
        <f aca="false">((I9665 + G9666) - H9666)</f>
        <v>42584.0599999999</v>
      </c>
      <c r="J9666" s="18" t="n">
        <v>0</v>
      </c>
      <c r="K9666" s="19" t="n">
        <v>0</v>
      </c>
      <c r="L9666" s="17"/>
    </row>
    <row r="9667" s="11" customFormat="true" ht="10.95" hidden="false" customHeight="true" outlineLevel="0" collapsed="false">
      <c r="A9667" s="16" t="n">
        <v>45157</v>
      </c>
      <c r="B9667" s="17" t="s">
        <v>3861</v>
      </c>
      <c r="C9667" s="17" t="s">
        <v>3752</v>
      </c>
      <c r="D9667" s="17" t="s">
        <v>1407</v>
      </c>
      <c r="E9667" s="17" t="s">
        <v>3633</v>
      </c>
      <c r="F9667" s="17"/>
      <c r="G9667" s="18" t="n">
        <v>0</v>
      </c>
      <c r="H9667" s="18" t="n">
        <v>476.74</v>
      </c>
      <c r="I9667" s="18" t="n">
        <f aca="false">((I9666 + G9667) - H9667)</f>
        <v>42107.3199999999</v>
      </c>
      <c r="J9667" s="18" t="n">
        <v>0</v>
      </c>
      <c r="K9667" s="19" t="n">
        <v>0</v>
      </c>
      <c r="L9667" s="17"/>
    </row>
    <row r="9668" s="11" customFormat="true" ht="10.95" hidden="false" customHeight="true" outlineLevel="0" collapsed="false">
      <c r="A9668" s="16" t="n">
        <v>45157</v>
      </c>
      <c r="B9668" s="17" t="s">
        <v>3861</v>
      </c>
      <c r="C9668" s="17" t="s">
        <v>3752</v>
      </c>
      <c r="D9668" s="17" t="s">
        <v>2903</v>
      </c>
      <c r="E9668" s="17" t="s">
        <v>3667</v>
      </c>
      <c r="F9668" s="17" t="s">
        <v>3579</v>
      </c>
      <c r="G9668" s="18" t="n">
        <v>0</v>
      </c>
      <c r="H9668" s="18" t="n">
        <v>31.11</v>
      </c>
      <c r="I9668" s="18" t="n">
        <f aca="false">((I9667 + G9668) - H9668)</f>
        <v>42076.2099999999</v>
      </c>
      <c r="J9668" s="18" t="n">
        <v>0</v>
      </c>
      <c r="K9668" s="19" t="n">
        <v>0</v>
      </c>
      <c r="L9668" s="17"/>
    </row>
    <row r="9669" s="11" customFormat="true" ht="10.95" hidden="false" customHeight="true" outlineLevel="0" collapsed="false">
      <c r="A9669" s="16" t="n">
        <v>45157</v>
      </c>
      <c r="B9669" s="17" t="s">
        <v>3861</v>
      </c>
      <c r="C9669" s="17" t="s">
        <v>3752</v>
      </c>
      <c r="D9669" s="17" t="s">
        <v>2903</v>
      </c>
      <c r="E9669" s="17" t="s">
        <v>3667</v>
      </c>
      <c r="F9669" s="17" t="s">
        <v>2640</v>
      </c>
      <c r="G9669" s="18" t="n">
        <v>0</v>
      </c>
      <c r="H9669" s="18" t="n">
        <v>463.85</v>
      </c>
      <c r="I9669" s="18" t="n">
        <f aca="false">((I9668 + G9669) - H9669)</f>
        <v>41612.3599999999</v>
      </c>
      <c r="J9669" s="18" t="n">
        <v>0</v>
      </c>
      <c r="K9669" s="19" t="n">
        <v>0</v>
      </c>
      <c r="L9669" s="17"/>
    </row>
    <row r="9670" s="11" customFormat="true" ht="10.95" hidden="false" customHeight="true" outlineLevel="0" collapsed="false">
      <c r="A9670" s="16" t="n">
        <v>45160</v>
      </c>
      <c r="B9670" s="17" t="s">
        <v>3861</v>
      </c>
      <c r="C9670" s="17" t="s">
        <v>3752</v>
      </c>
      <c r="D9670" s="17" t="s">
        <v>1407</v>
      </c>
      <c r="E9670" s="17" t="s">
        <v>3863</v>
      </c>
      <c r="F9670" s="17"/>
      <c r="G9670" s="18" t="n">
        <v>0</v>
      </c>
      <c r="H9670" s="18" t="n">
        <v>0.94</v>
      </c>
      <c r="I9670" s="18" t="n">
        <f aca="false">((I9669 + G9670) - H9670)</f>
        <v>41611.4199999999</v>
      </c>
      <c r="J9670" s="18" t="n">
        <v>0</v>
      </c>
      <c r="K9670" s="19" t="n">
        <v>0</v>
      </c>
      <c r="L9670" s="17"/>
    </row>
    <row r="9671" s="11" customFormat="true" ht="10.95" hidden="false" customHeight="true" outlineLevel="0" collapsed="false">
      <c r="A9671" s="16" t="n">
        <v>45160</v>
      </c>
      <c r="B9671" s="17" t="s">
        <v>3861</v>
      </c>
      <c r="C9671" s="17" t="s">
        <v>3752</v>
      </c>
      <c r="D9671" s="17" t="s">
        <v>1407</v>
      </c>
      <c r="E9671" s="17" t="s">
        <v>2747</v>
      </c>
      <c r="F9671" s="17"/>
      <c r="G9671" s="18" t="n">
        <v>0</v>
      </c>
      <c r="H9671" s="18" t="n">
        <v>7</v>
      </c>
      <c r="I9671" s="18" t="n">
        <f aca="false">((I9670 + G9671) - H9671)</f>
        <v>41604.4199999999</v>
      </c>
      <c r="J9671" s="18" t="n">
        <v>0</v>
      </c>
      <c r="K9671" s="19" t="n">
        <v>0</v>
      </c>
      <c r="L9671" s="17"/>
    </row>
    <row r="9672" s="11" customFormat="true" ht="10.95" hidden="false" customHeight="true" outlineLevel="0" collapsed="false">
      <c r="A9672" s="16" t="n">
        <v>45160</v>
      </c>
      <c r="B9672" s="17" t="s">
        <v>3861</v>
      </c>
      <c r="C9672" s="17" t="s">
        <v>3752</v>
      </c>
      <c r="D9672" s="17" t="s">
        <v>2903</v>
      </c>
      <c r="E9672" s="17" t="s">
        <v>3644</v>
      </c>
      <c r="F9672" s="17" t="s">
        <v>2279</v>
      </c>
      <c r="G9672" s="18" t="n">
        <v>0</v>
      </c>
      <c r="H9672" s="18" t="n">
        <v>9.02</v>
      </c>
      <c r="I9672" s="18" t="n">
        <f aca="false">((I9671 + G9672) - H9672)</f>
        <v>41595.3999999999</v>
      </c>
      <c r="J9672" s="18" t="n">
        <v>0</v>
      </c>
      <c r="K9672" s="19" t="n">
        <v>0</v>
      </c>
      <c r="L9672" s="17"/>
    </row>
    <row r="9673" s="11" customFormat="true" ht="10.95" hidden="false" customHeight="true" outlineLevel="0" collapsed="false">
      <c r="A9673" s="16" t="n">
        <v>45160</v>
      </c>
      <c r="B9673" s="17" t="s">
        <v>3861</v>
      </c>
      <c r="C9673" s="17" t="s">
        <v>3752</v>
      </c>
      <c r="D9673" s="17" t="s">
        <v>2903</v>
      </c>
      <c r="E9673" s="17" t="s">
        <v>3644</v>
      </c>
      <c r="F9673" s="17" t="s">
        <v>2273</v>
      </c>
      <c r="G9673" s="18" t="n">
        <v>0</v>
      </c>
      <c r="H9673" s="18" t="n">
        <v>24.2</v>
      </c>
      <c r="I9673" s="18" t="n">
        <f aca="false">((I9672 + G9673) - H9673)</f>
        <v>41571.1999999999</v>
      </c>
      <c r="J9673" s="18" t="n">
        <v>0</v>
      </c>
      <c r="K9673" s="19" t="n">
        <v>0</v>
      </c>
      <c r="L9673" s="17"/>
    </row>
    <row r="9674" s="11" customFormat="true" ht="10.95" hidden="false" customHeight="true" outlineLevel="0" collapsed="false">
      <c r="A9674" s="16" t="n">
        <v>45160</v>
      </c>
      <c r="B9674" s="17" t="s">
        <v>3861</v>
      </c>
      <c r="C9674" s="17" t="s">
        <v>3752</v>
      </c>
      <c r="D9674" s="17" t="s">
        <v>1407</v>
      </c>
      <c r="E9674" s="17" t="s">
        <v>3774</v>
      </c>
      <c r="F9674" s="17"/>
      <c r="G9674" s="18" t="n">
        <v>0</v>
      </c>
      <c r="H9674" s="18" t="n">
        <v>31.36</v>
      </c>
      <c r="I9674" s="18" t="n">
        <f aca="false">((I9673 + G9674) - H9674)</f>
        <v>41539.8399999999</v>
      </c>
      <c r="J9674" s="18" t="n">
        <v>0</v>
      </c>
      <c r="K9674" s="19" t="n">
        <v>0</v>
      </c>
      <c r="L9674" s="17"/>
    </row>
    <row r="9675" s="11" customFormat="true" ht="10.95" hidden="false" customHeight="true" outlineLevel="0" collapsed="false">
      <c r="A9675" s="16" t="n">
        <v>45160</v>
      </c>
      <c r="B9675" s="17" t="s">
        <v>3861</v>
      </c>
      <c r="C9675" s="17" t="s">
        <v>3752</v>
      </c>
      <c r="D9675" s="17" t="s">
        <v>2903</v>
      </c>
      <c r="E9675" s="17" t="s">
        <v>3644</v>
      </c>
      <c r="F9675" s="17" t="s">
        <v>2271</v>
      </c>
      <c r="G9675" s="18" t="n">
        <v>0</v>
      </c>
      <c r="H9675" s="18" t="n">
        <v>33.22</v>
      </c>
      <c r="I9675" s="18" t="n">
        <f aca="false">((I9674 + G9675) - H9675)</f>
        <v>41506.6199999999</v>
      </c>
      <c r="J9675" s="18" t="n">
        <v>0</v>
      </c>
      <c r="K9675" s="19" t="n">
        <v>0</v>
      </c>
      <c r="L9675" s="17"/>
    </row>
    <row r="9676" s="11" customFormat="true" ht="10.95" hidden="false" customHeight="true" outlineLevel="0" collapsed="false">
      <c r="A9676" s="16" t="n">
        <v>45160</v>
      </c>
      <c r="B9676" s="17" t="s">
        <v>3861</v>
      </c>
      <c r="C9676" s="17" t="s">
        <v>3752</v>
      </c>
      <c r="D9676" s="17" t="s">
        <v>2903</v>
      </c>
      <c r="E9676" s="17" t="s">
        <v>3644</v>
      </c>
      <c r="F9676" s="17" t="s">
        <v>2269</v>
      </c>
      <c r="G9676" s="18" t="n">
        <v>0</v>
      </c>
      <c r="H9676" s="18" t="n">
        <v>45.32</v>
      </c>
      <c r="I9676" s="18" t="n">
        <f aca="false">((I9675 + G9676) - H9676)</f>
        <v>41461.2999999999</v>
      </c>
      <c r="J9676" s="18" t="n">
        <v>0</v>
      </c>
      <c r="K9676" s="19" t="n">
        <v>0</v>
      </c>
      <c r="L9676" s="17"/>
    </row>
    <row r="9677" s="11" customFormat="true" ht="10.95" hidden="false" customHeight="true" outlineLevel="0" collapsed="false">
      <c r="A9677" s="16" t="n">
        <v>45160</v>
      </c>
      <c r="B9677" s="17" t="s">
        <v>3861</v>
      </c>
      <c r="C9677" s="17" t="s">
        <v>3752</v>
      </c>
      <c r="D9677" s="17" t="s">
        <v>2903</v>
      </c>
      <c r="E9677" s="17" t="s">
        <v>3644</v>
      </c>
      <c r="F9677" s="17" t="s">
        <v>2275</v>
      </c>
      <c r="G9677" s="18" t="n">
        <v>0</v>
      </c>
      <c r="H9677" s="18" t="n">
        <v>60.5</v>
      </c>
      <c r="I9677" s="18" t="n">
        <f aca="false">((I9676 + G9677) - H9677)</f>
        <v>41400.7999999999</v>
      </c>
      <c r="J9677" s="18" t="n">
        <v>0</v>
      </c>
      <c r="K9677" s="19" t="n">
        <v>0</v>
      </c>
      <c r="L9677" s="17"/>
    </row>
    <row r="9678" s="11" customFormat="true" ht="10.95" hidden="false" customHeight="true" outlineLevel="0" collapsed="false">
      <c r="A9678" s="16" t="n">
        <v>45160</v>
      </c>
      <c r="B9678" s="17" t="s">
        <v>3861</v>
      </c>
      <c r="C9678" s="17" t="s">
        <v>3752</v>
      </c>
      <c r="D9678" s="17" t="s">
        <v>2903</v>
      </c>
      <c r="E9678" s="17" t="s">
        <v>3644</v>
      </c>
      <c r="F9678" s="17" t="s">
        <v>2277</v>
      </c>
      <c r="G9678" s="18" t="n">
        <v>0</v>
      </c>
      <c r="H9678" s="18" t="n">
        <v>68.2</v>
      </c>
      <c r="I9678" s="18" t="n">
        <f aca="false">((I9677 + G9678) - H9678)</f>
        <v>41332.5999999999</v>
      </c>
      <c r="J9678" s="18" t="n">
        <v>0</v>
      </c>
      <c r="K9678" s="19" t="n">
        <v>0</v>
      </c>
      <c r="L9678" s="17"/>
    </row>
    <row r="9679" s="11" customFormat="true" ht="10.95" hidden="false" customHeight="true" outlineLevel="0" collapsed="false">
      <c r="A9679" s="16" t="n">
        <v>45160</v>
      </c>
      <c r="B9679" s="17" t="s">
        <v>3861</v>
      </c>
      <c r="C9679" s="17" t="s">
        <v>3752</v>
      </c>
      <c r="D9679" s="17" t="s">
        <v>2903</v>
      </c>
      <c r="E9679" s="17" t="s">
        <v>3644</v>
      </c>
      <c r="F9679" s="17" t="s">
        <v>2283</v>
      </c>
      <c r="G9679" s="18" t="n">
        <v>0</v>
      </c>
      <c r="H9679" s="18" t="n">
        <v>76.56</v>
      </c>
      <c r="I9679" s="18" t="n">
        <f aca="false">((I9678 + G9679) - H9679)</f>
        <v>41256.0399999999</v>
      </c>
      <c r="J9679" s="18" t="n">
        <v>0</v>
      </c>
      <c r="K9679" s="19" t="n">
        <v>0</v>
      </c>
      <c r="L9679" s="17"/>
    </row>
    <row r="9680" s="11" customFormat="true" ht="10.95" hidden="false" customHeight="true" outlineLevel="0" collapsed="false">
      <c r="A9680" s="16" t="n">
        <v>45160</v>
      </c>
      <c r="B9680" s="17" t="s">
        <v>3861</v>
      </c>
      <c r="C9680" s="17" t="s">
        <v>3752</v>
      </c>
      <c r="D9680" s="17" t="s">
        <v>2903</v>
      </c>
      <c r="E9680" s="17" t="s">
        <v>3644</v>
      </c>
      <c r="F9680" s="17" t="s">
        <v>2281</v>
      </c>
      <c r="G9680" s="18" t="n">
        <v>0</v>
      </c>
      <c r="H9680" s="18" t="n">
        <v>219.78</v>
      </c>
      <c r="I9680" s="18" t="n">
        <f aca="false">((I9679 + G9680) - H9680)</f>
        <v>41036.2599999999</v>
      </c>
      <c r="J9680" s="18" t="n">
        <v>0</v>
      </c>
      <c r="K9680" s="19" t="n">
        <v>0</v>
      </c>
      <c r="L9680" s="17"/>
    </row>
    <row r="9681" s="11" customFormat="true" ht="10.95" hidden="false" customHeight="true" outlineLevel="0" collapsed="false">
      <c r="A9681" s="16" t="n">
        <v>45160</v>
      </c>
      <c r="B9681" s="17" t="s">
        <v>3861</v>
      </c>
      <c r="C9681" s="17" t="s">
        <v>3752</v>
      </c>
      <c r="D9681" s="17" t="s">
        <v>1407</v>
      </c>
      <c r="E9681" s="17" t="s">
        <v>3878</v>
      </c>
      <c r="F9681" s="17"/>
      <c r="G9681" s="18" t="n">
        <v>0</v>
      </c>
      <c r="H9681" s="18" t="n">
        <v>1188.2</v>
      </c>
      <c r="I9681" s="18" t="n">
        <f aca="false">((I9680 + G9681) - H9681)</f>
        <v>39848.0599999999</v>
      </c>
      <c r="J9681" s="18" t="n">
        <v>0</v>
      </c>
      <c r="K9681" s="19" t="n">
        <v>0</v>
      </c>
      <c r="L9681" s="17"/>
    </row>
    <row r="9682" s="11" customFormat="true" ht="10.95" hidden="false" customHeight="true" outlineLevel="0" collapsed="false">
      <c r="A9682" s="16" t="n">
        <v>45160</v>
      </c>
      <c r="B9682" s="17" t="s">
        <v>3861</v>
      </c>
      <c r="C9682" s="17" t="s">
        <v>3752</v>
      </c>
      <c r="D9682" s="17" t="s">
        <v>1407</v>
      </c>
      <c r="E9682" s="17" t="s">
        <v>3615</v>
      </c>
      <c r="F9682" s="17"/>
      <c r="G9682" s="18" t="n">
        <v>0</v>
      </c>
      <c r="H9682" s="18" t="n">
        <v>17.76</v>
      </c>
      <c r="I9682" s="18" t="n">
        <f aca="false">((I9681 + G9682) - H9682)</f>
        <v>39830.2999999999</v>
      </c>
      <c r="J9682" s="18" t="n">
        <v>0</v>
      </c>
      <c r="K9682" s="19" t="n">
        <v>0</v>
      </c>
      <c r="L9682" s="17"/>
    </row>
    <row r="9683" s="11" customFormat="true" ht="10.95" hidden="false" customHeight="true" outlineLevel="0" collapsed="false">
      <c r="A9683" s="16" t="n">
        <v>45160</v>
      </c>
      <c r="B9683" s="17" t="s">
        <v>3861</v>
      </c>
      <c r="C9683" s="17" t="s">
        <v>3752</v>
      </c>
      <c r="D9683" s="17" t="s">
        <v>2903</v>
      </c>
      <c r="E9683" s="17" t="s">
        <v>3645</v>
      </c>
      <c r="F9683" s="17" t="s">
        <v>1418</v>
      </c>
      <c r="G9683" s="18" t="n">
        <v>0</v>
      </c>
      <c r="H9683" s="18" t="n">
        <v>538.76</v>
      </c>
      <c r="I9683" s="18" t="n">
        <f aca="false">((I9682 + G9683) - H9683)</f>
        <v>39291.5399999999</v>
      </c>
      <c r="J9683" s="18" t="n">
        <v>0</v>
      </c>
      <c r="K9683" s="19" t="n">
        <v>0</v>
      </c>
      <c r="L9683" s="17"/>
    </row>
    <row r="9684" s="11" customFormat="true" ht="10.95" hidden="false" customHeight="true" outlineLevel="0" collapsed="false">
      <c r="A9684" s="16" t="n">
        <v>45160</v>
      </c>
      <c r="B9684" s="17" t="s">
        <v>3861</v>
      </c>
      <c r="C9684" s="17" t="s">
        <v>3752</v>
      </c>
      <c r="D9684" s="17" t="s">
        <v>2903</v>
      </c>
      <c r="E9684" s="17" t="s">
        <v>3645</v>
      </c>
      <c r="F9684" s="17" t="s">
        <v>1422</v>
      </c>
      <c r="G9684" s="18" t="n">
        <v>0</v>
      </c>
      <c r="H9684" s="18" t="n">
        <v>1798.5</v>
      </c>
      <c r="I9684" s="18" t="n">
        <f aca="false">((I9683 + G9684) - H9684)</f>
        <v>37493.0399999999</v>
      </c>
      <c r="J9684" s="18" t="n">
        <v>0</v>
      </c>
      <c r="K9684" s="19" t="n">
        <v>0</v>
      </c>
      <c r="L9684" s="17"/>
    </row>
    <row r="9685" s="11" customFormat="true" ht="10.95" hidden="false" customHeight="true" outlineLevel="0" collapsed="false">
      <c r="A9685" s="16" t="n">
        <v>45160</v>
      </c>
      <c r="B9685" s="17" t="s">
        <v>3861</v>
      </c>
      <c r="C9685" s="17" t="s">
        <v>3752</v>
      </c>
      <c r="D9685" s="17" t="s">
        <v>2903</v>
      </c>
      <c r="E9685" s="17" t="s">
        <v>3616</v>
      </c>
      <c r="F9685" s="17" t="s">
        <v>3252</v>
      </c>
      <c r="G9685" s="18" t="n">
        <v>0</v>
      </c>
      <c r="H9685" s="18" t="n">
        <v>3063.5</v>
      </c>
      <c r="I9685" s="18" t="n">
        <f aca="false">((I9684 + G9685) - H9685)</f>
        <v>34429.5399999999</v>
      </c>
      <c r="J9685" s="18" t="n">
        <v>0</v>
      </c>
      <c r="K9685" s="19" t="n">
        <v>0</v>
      </c>
      <c r="L9685" s="17"/>
    </row>
    <row r="9686" s="11" customFormat="true" ht="10.95" hidden="false" customHeight="true" outlineLevel="0" collapsed="false">
      <c r="A9686" s="16" t="n">
        <v>45160</v>
      </c>
      <c r="B9686" s="17" t="s">
        <v>3861</v>
      </c>
      <c r="C9686" s="17" t="s">
        <v>3752</v>
      </c>
      <c r="D9686" s="17" t="s">
        <v>1407</v>
      </c>
      <c r="E9686" s="17" t="s">
        <v>3967</v>
      </c>
      <c r="F9686" s="17"/>
      <c r="G9686" s="18" t="n">
        <v>0</v>
      </c>
      <c r="H9686" s="18" t="n">
        <v>48</v>
      </c>
      <c r="I9686" s="18" t="n">
        <f aca="false">((I9685 + G9686) - H9686)</f>
        <v>34381.5399999999</v>
      </c>
      <c r="J9686" s="18" t="n">
        <v>0</v>
      </c>
      <c r="K9686" s="19" t="n">
        <v>0</v>
      </c>
      <c r="L9686" s="17"/>
    </row>
    <row r="9687" s="11" customFormat="true" ht="10.95" hidden="false" customHeight="true" outlineLevel="0" collapsed="false">
      <c r="A9687" s="16" t="n">
        <v>45160</v>
      </c>
      <c r="B9687" s="17" t="s">
        <v>3861</v>
      </c>
      <c r="C9687" s="17" t="s">
        <v>3752</v>
      </c>
      <c r="D9687" s="17" t="s">
        <v>1407</v>
      </c>
      <c r="E9687" s="17" t="s">
        <v>3968</v>
      </c>
      <c r="F9687" s="17"/>
      <c r="G9687" s="18" t="n">
        <v>0</v>
      </c>
      <c r="H9687" s="18" t="n">
        <v>649.15</v>
      </c>
      <c r="I9687" s="18" t="n">
        <f aca="false">((I9686 + G9687) - H9687)</f>
        <v>33732.3899999999</v>
      </c>
      <c r="J9687" s="18" t="n">
        <v>0</v>
      </c>
      <c r="K9687" s="19" t="n">
        <v>0</v>
      </c>
      <c r="L9687" s="17"/>
    </row>
    <row r="9688" s="11" customFormat="true" ht="10.95" hidden="false" customHeight="true" outlineLevel="0" collapsed="false">
      <c r="A9688" s="16" t="n">
        <v>45161</v>
      </c>
      <c r="B9688" s="17" t="s">
        <v>3861</v>
      </c>
      <c r="C9688" s="17" t="s">
        <v>3752</v>
      </c>
      <c r="D9688" s="17" t="s">
        <v>2895</v>
      </c>
      <c r="E9688" s="17" t="s">
        <v>3453</v>
      </c>
      <c r="F9688" s="17" t="s">
        <v>3969</v>
      </c>
      <c r="G9688" s="18" t="n">
        <v>93.5</v>
      </c>
      <c r="H9688" s="18" t="n">
        <v>0</v>
      </c>
      <c r="I9688" s="18" t="n">
        <f aca="false">((I9687 + G9688) - H9688)</f>
        <v>33825.8899999999</v>
      </c>
      <c r="J9688" s="18" t="n">
        <v>0</v>
      </c>
      <c r="K9688" s="19" t="n">
        <v>0</v>
      </c>
      <c r="L9688" s="17"/>
    </row>
    <row r="9689" s="11" customFormat="true" ht="10.95" hidden="false" customHeight="true" outlineLevel="0" collapsed="false">
      <c r="A9689" s="16" t="n">
        <v>45161</v>
      </c>
      <c r="B9689" s="17" t="s">
        <v>3861</v>
      </c>
      <c r="C9689" s="17" t="s">
        <v>3752</v>
      </c>
      <c r="D9689" s="17" t="s">
        <v>2895</v>
      </c>
      <c r="E9689" s="17" t="s">
        <v>2900</v>
      </c>
      <c r="F9689" s="17" t="s">
        <v>2936</v>
      </c>
      <c r="G9689" s="18" t="n">
        <v>262.09</v>
      </c>
      <c r="H9689" s="18" t="n">
        <v>0</v>
      </c>
      <c r="I9689" s="18" t="n">
        <f aca="false">((I9688 + G9689) - H9689)</f>
        <v>34087.9799999999</v>
      </c>
      <c r="J9689" s="18" t="n">
        <v>0</v>
      </c>
      <c r="K9689" s="19" t="n">
        <v>0</v>
      </c>
      <c r="L9689" s="17"/>
    </row>
    <row r="9690" s="11" customFormat="true" ht="10.95" hidden="false" customHeight="true" outlineLevel="0" collapsed="false">
      <c r="A9690" s="16" t="n">
        <v>45161</v>
      </c>
      <c r="B9690" s="17" t="s">
        <v>3861</v>
      </c>
      <c r="C9690" s="17" t="s">
        <v>3752</v>
      </c>
      <c r="D9690" s="17" t="s">
        <v>1407</v>
      </c>
      <c r="E9690" s="17" t="s">
        <v>2747</v>
      </c>
      <c r="F9690" s="17"/>
      <c r="G9690" s="18" t="n">
        <v>0</v>
      </c>
      <c r="H9690" s="18" t="n">
        <v>7</v>
      </c>
      <c r="I9690" s="18" t="n">
        <f aca="false">((I9689 + G9690) - H9690)</f>
        <v>34080.9799999999</v>
      </c>
      <c r="J9690" s="18" t="n">
        <v>0</v>
      </c>
      <c r="K9690" s="19" t="n">
        <v>0</v>
      </c>
      <c r="L9690" s="17"/>
    </row>
    <row r="9691" s="11" customFormat="true" ht="10.95" hidden="false" customHeight="true" outlineLevel="0" collapsed="false">
      <c r="A9691" s="16" t="n">
        <v>45161</v>
      </c>
      <c r="B9691" s="17" t="s">
        <v>3861</v>
      </c>
      <c r="C9691" s="17" t="s">
        <v>3752</v>
      </c>
      <c r="D9691" s="17" t="s">
        <v>1407</v>
      </c>
      <c r="E9691" s="17" t="s">
        <v>3907</v>
      </c>
      <c r="F9691" s="17"/>
      <c r="G9691" s="18" t="n">
        <v>0</v>
      </c>
      <c r="H9691" s="18" t="n">
        <v>59</v>
      </c>
      <c r="I9691" s="18" t="n">
        <f aca="false">((I9690 + G9691) - H9691)</f>
        <v>34021.9799999999</v>
      </c>
      <c r="J9691" s="18" t="n">
        <v>0</v>
      </c>
      <c r="K9691" s="19" t="n">
        <v>0</v>
      </c>
      <c r="L9691" s="17"/>
    </row>
    <row r="9692" s="11" customFormat="true" ht="10.95" hidden="false" customHeight="true" outlineLevel="0" collapsed="false">
      <c r="A9692" s="16" t="n">
        <v>45161</v>
      </c>
      <c r="B9692" s="17" t="s">
        <v>3861</v>
      </c>
      <c r="C9692" s="17" t="s">
        <v>3752</v>
      </c>
      <c r="D9692" s="17" t="s">
        <v>1407</v>
      </c>
      <c r="E9692" s="17" t="s">
        <v>3881</v>
      </c>
      <c r="F9692" s="17"/>
      <c r="G9692" s="18" t="n">
        <v>0</v>
      </c>
      <c r="H9692" s="18" t="n">
        <v>140</v>
      </c>
      <c r="I9692" s="18" t="n">
        <f aca="false">((I9691 + G9692) - H9692)</f>
        <v>33881.9799999999</v>
      </c>
      <c r="J9692" s="18" t="n">
        <v>0</v>
      </c>
      <c r="K9692" s="19" t="n">
        <v>0</v>
      </c>
      <c r="L9692" s="17"/>
    </row>
    <row r="9693" s="11" customFormat="true" ht="10.95" hidden="false" customHeight="true" outlineLevel="0" collapsed="false">
      <c r="A9693" s="16" t="n">
        <v>45161</v>
      </c>
      <c r="B9693" s="17" t="s">
        <v>3861</v>
      </c>
      <c r="C9693" s="17" t="s">
        <v>3752</v>
      </c>
      <c r="D9693" s="17" t="s">
        <v>1407</v>
      </c>
      <c r="E9693" s="17" t="s">
        <v>3879</v>
      </c>
      <c r="F9693" s="17"/>
      <c r="G9693" s="18" t="n">
        <v>0</v>
      </c>
      <c r="H9693" s="18" t="n">
        <v>1207</v>
      </c>
      <c r="I9693" s="18" t="n">
        <f aca="false">((I9692 + G9693) - H9693)</f>
        <v>32674.9799999999</v>
      </c>
      <c r="J9693" s="18" t="n">
        <v>0</v>
      </c>
      <c r="K9693" s="19" t="n">
        <v>0</v>
      </c>
      <c r="L9693" s="17"/>
    </row>
    <row r="9694" s="11" customFormat="true" ht="10.95" hidden="false" customHeight="true" outlineLevel="0" collapsed="false">
      <c r="A9694" s="16" t="n">
        <v>45161</v>
      </c>
      <c r="B9694" s="17" t="s">
        <v>3861</v>
      </c>
      <c r="C9694" s="17" t="s">
        <v>3752</v>
      </c>
      <c r="D9694" s="17" t="s">
        <v>1407</v>
      </c>
      <c r="E9694" s="17" t="s">
        <v>3880</v>
      </c>
      <c r="F9694" s="17"/>
      <c r="G9694" s="18" t="n">
        <v>0</v>
      </c>
      <c r="H9694" s="18" t="n">
        <v>1207</v>
      </c>
      <c r="I9694" s="18" t="n">
        <f aca="false">((I9693 + G9694) - H9694)</f>
        <v>31467.9799999999</v>
      </c>
      <c r="J9694" s="18" t="n">
        <v>0</v>
      </c>
      <c r="K9694" s="19" t="n">
        <v>0</v>
      </c>
      <c r="L9694" s="17"/>
    </row>
    <row r="9695" s="11" customFormat="true" ht="10.95" hidden="false" customHeight="true" outlineLevel="0" collapsed="false">
      <c r="A9695" s="16" t="n">
        <v>45161</v>
      </c>
      <c r="B9695" s="17" t="s">
        <v>3861</v>
      </c>
      <c r="C9695" s="17" t="s">
        <v>3752</v>
      </c>
      <c r="D9695" s="17" t="s">
        <v>1407</v>
      </c>
      <c r="E9695" s="17" t="s">
        <v>3808</v>
      </c>
      <c r="F9695" s="17"/>
      <c r="G9695" s="18" t="n">
        <v>0</v>
      </c>
      <c r="H9695" s="18" t="n">
        <v>1705.92</v>
      </c>
      <c r="I9695" s="18" t="n">
        <f aca="false">((I9694 + G9695) - H9695)</f>
        <v>29762.0599999999</v>
      </c>
      <c r="J9695" s="18" t="n">
        <v>0</v>
      </c>
      <c r="K9695" s="19" t="n">
        <v>0</v>
      </c>
      <c r="L9695" s="17"/>
    </row>
    <row r="9696" s="11" customFormat="true" ht="10.95" hidden="false" customHeight="true" outlineLevel="0" collapsed="false">
      <c r="A9696" s="16" t="n">
        <v>45161</v>
      </c>
      <c r="B9696" s="17" t="s">
        <v>3861</v>
      </c>
      <c r="C9696" s="17" t="s">
        <v>3752</v>
      </c>
      <c r="D9696" s="17" t="s">
        <v>1407</v>
      </c>
      <c r="E9696" s="17" t="s">
        <v>3968</v>
      </c>
      <c r="F9696" s="17"/>
      <c r="G9696" s="18" t="n">
        <v>0</v>
      </c>
      <c r="H9696" s="18" t="n">
        <v>40</v>
      </c>
      <c r="I9696" s="18" t="n">
        <f aca="false">((I9695 + G9696) - H9696)</f>
        <v>29722.0599999999</v>
      </c>
      <c r="J9696" s="18" t="n">
        <v>0</v>
      </c>
      <c r="K9696" s="19" t="n">
        <v>0</v>
      </c>
      <c r="L9696" s="17"/>
    </row>
    <row r="9697" s="11" customFormat="true" ht="10.95" hidden="false" customHeight="true" outlineLevel="0" collapsed="false">
      <c r="A9697" s="16" t="n">
        <v>45161</v>
      </c>
      <c r="B9697" s="17" t="s">
        <v>3861</v>
      </c>
      <c r="C9697" s="17" t="s">
        <v>3752</v>
      </c>
      <c r="D9697" s="17" t="s">
        <v>2903</v>
      </c>
      <c r="E9697" s="17" t="s">
        <v>3671</v>
      </c>
      <c r="F9697" s="17" t="s">
        <v>2288</v>
      </c>
      <c r="G9697" s="18" t="n">
        <v>0</v>
      </c>
      <c r="H9697" s="18" t="n">
        <v>97</v>
      </c>
      <c r="I9697" s="18" t="n">
        <f aca="false">((I9696 + G9697) - H9697)</f>
        <v>29625.0599999999</v>
      </c>
      <c r="J9697" s="18" t="n">
        <v>0</v>
      </c>
      <c r="K9697" s="19" t="n">
        <v>0</v>
      </c>
      <c r="L9697" s="17"/>
    </row>
    <row r="9698" s="11" customFormat="true" ht="10.95" hidden="false" customHeight="true" outlineLevel="0" collapsed="false">
      <c r="A9698" s="16" t="n">
        <v>45162</v>
      </c>
      <c r="B9698" s="17" t="s">
        <v>3861</v>
      </c>
      <c r="C9698" s="17" t="s">
        <v>3752</v>
      </c>
      <c r="D9698" s="17" t="s">
        <v>1407</v>
      </c>
      <c r="E9698" s="17" t="s">
        <v>3436</v>
      </c>
      <c r="F9698" s="17"/>
      <c r="G9698" s="18" t="n">
        <v>0</v>
      </c>
      <c r="H9698" s="18" t="n">
        <v>5</v>
      </c>
      <c r="I9698" s="18" t="n">
        <f aca="false">((I9697 + G9698) - H9698)</f>
        <v>29620.0599999999</v>
      </c>
      <c r="J9698" s="18" t="n">
        <v>0</v>
      </c>
      <c r="K9698" s="19" t="n">
        <v>0</v>
      </c>
      <c r="L9698" s="17"/>
    </row>
    <row r="9699" s="11" customFormat="true" ht="10.95" hidden="false" customHeight="true" outlineLevel="0" collapsed="false">
      <c r="A9699" s="16" t="n">
        <v>45162</v>
      </c>
      <c r="B9699" s="17" t="s">
        <v>3861</v>
      </c>
      <c r="C9699" s="17" t="s">
        <v>3752</v>
      </c>
      <c r="D9699" s="17" t="s">
        <v>2895</v>
      </c>
      <c r="E9699" s="17" t="s">
        <v>3384</v>
      </c>
      <c r="F9699" s="17" t="s">
        <v>3970</v>
      </c>
      <c r="G9699" s="18" t="n">
        <v>786.5</v>
      </c>
      <c r="H9699" s="18" t="n">
        <v>0</v>
      </c>
      <c r="I9699" s="18" t="n">
        <f aca="false">((I9698 + G9699) - H9699)</f>
        <v>30406.5599999999</v>
      </c>
      <c r="J9699" s="18" t="n">
        <v>0</v>
      </c>
      <c r="K9699" s="19" t="n">
        <v>0</v>
      </c>
      <c r="L9699" s="17"/>
    </row>
    <row r="9700" s="11" customFormat="true" ht="10.95" hidden="false" customHeight="true" outlineLevel="0" collapsed="false">
      <c r="A9700" s="16" t="n">
        <v>45162</v>
      </c>
      <c r="B9700" s="17" t="s">
        <v>3861</v>
      </c>
      <c r="C9700" s="17" t="s">
        <v>3752</v>
      </c>
      <c r="D9700" s="17" t="s">
        <v>2895</v>
      </c>
      <c r="E9700" s="17" t="s">
        <v>3384</v>
      </c>
      <c r="F9700" s="17" t="s">
        <v>3971</v>
      </c>
      <c r="G9700" s="18" t="n">
        <v>2821.5</v>
      </c>
      <c r="H9700" s="18" t="n">
        <v>0</v>
      </c>
      <c r="I9700" s="18" t="n">
        <f aca="false">((I9699 + G9700) - H9700)</f>
        <v>33228.0599999999</v>
      </c>
      <c r="J9700" s="18" t="n">
        <v>0</v>
      </c>
      <c r="K9700" s="19" t="n">
        <v>0</v>
      </c>
      <c r="L9700" s="17"/>
    </row>
    <row r="9701" s="11" customFormat="true" ht="10.95" hidden="false" customHeight="true" outlineLevel="0" collapsed="false">
      <c r="A9701" s="16" t="n">
        <v>45162</v>
      </c>
      <c r="B9701" s="17" t="s">
        <v>3861</v>
      </c>
      <c r="C9701" s="17" t="s">
        <v>3752</v>
      </c>
      <c r="D9701" s="17" t="s">
        <v>2895</v>
      </c>
      <c r="E9701" s="17" t="s">
        <v>3384</v>
      </c>
      <c r="F9701" s="17" t="s">
        <v>3972</v>
      </c>
      <c r="G9701" s="18" t="n">
        <v>1672</v>
      </c>
      <c r="H9701" s="18" t="n">
        <v>0</v>
      </c>
      <c r="I9701" s="18" t="n">
        <f aca="false">((I9700 + G9701) - H9701)</f>
        <v>34900.0599999999</v>
      </c>
      <c r="J9701" s="18" t="n">
        <v>0</v>
      </c>
      <c r="K9701" s="19" t="n">
        <v>0</v>
      </c>
      <c r="L9701" s="17"/>
    </row>
    <row r="9702" s="11" customFormat="true" ht="10.95" hidden="false" customHeight="true" outlineLevel="0" collapsed="false">
      <c r="A9702" s="16" t="n">
        <v>45162</v>
      </c>
      <c r="B9702" s="17" t="s">
        <v>3861</v>
      </c>
      <c r="C9702" s="17" t="s">
        <v>3752</v>
      </c>
      <c r="D9702" s="17" t="s">
        <v>2895</v>
      </c>
      <c r="E9702" s="17" t="s">
        <v>3384</v>
      </c>
      <c r="F9702" s="17" t="s">
        <v>3973</v>
      </c>
      <c r="G9702" s="18" t="n">
        <v>2194.5</v>
      </c>
      <c r="H9702" s="18" t="n">
        <v>0</v>
      </c>
      <c r="I9702" s="18" t="n">
        <f aca="false">((I9701 + G9702) - H9702)</f>
        <v>37094.5599999999</v>
      </c>
      <c r="J9702" s="18" t="n">
        <v>0</v>
      </c>
      <c r="K9702" s="19" t="n">
        <v>0</v>
      </c>
      <c r="L9702" s="17"/>
    </row>
    <row r="9703" s="11" customFormat="true" ht="10.95" hidden="false" customHeight="true" outlineLevel="0" collapsed="false">
      <c r="A9703" s="16" t="n">
        <v>45162</v>
      </c>
      <c r="B9703" s="17" t="s">
        <v>3861</v>
      </c>
      <c r="C9703" s="17" t="s">
        <v>3752</v>
      </c>
      <c r="D9703" s="17" t="s">
        <v>2895</v>
      </c>
      <c r="E9703" s="17" t="s">
        <v>3480</v>
      </c>
      <c r="F9703" s="17" t="s">
        <v>3974</v>
      </c>
      <c r="G9703" s="18" t="n">
        <v>180</v>
      </c>
      <c r="H9703" s="18" t="n">
        <v>0</v>
      </c>
      <c r="I9703" s="18" t="n">
        <f aca="false">((I9702 + G9703) - H9703)</f>
        <v>37274.5599999999</v>
      </c>
      <c r="J9703" s="18" t="n">
        <v>0</v>
      </c>
      <c r="K9703" s="19" t="n">
        <v>0</v>
      </c>
      <c r="L9703" s="17"/>
    </row>
    <row r="9704" s="11" customFormat="true" ht="10.95" hidden="false" customHeight="true" outlineLevel="0" collapsed="false">
      <c r="A9704" s="16" t="n">
        <v>45162</v>
      </c>
      <c r="B9704" s="17" t="s">
        <v>3861</v>
      </c>
      <c r="C9704" s="17" t="s">
        <v>3752</v>
      </c>
      <c r="D9704" s="17" t="s">
        <v>1407</v>
      </c>
      <c r="E9704" s="17" t="s">
        <v>3863</v>
      </c>
      <c r="F9704" s="17"/>
      <c r="G9704" s="18" t="n">
        <v>0</v>
      </c>
      <c r="H9704" s="18" t="n">
        <v>0.38</v>
      </c>
      <c r="I9704" s="18" t="n">
        <f aca="false">((I9703 + G9704) - H9704)</f>
        <v>37274.1799999999</v>
      </c>
      <c r="J9704" s="18" t="n">
        <v>0</v>
      </c>
      <c r="K9704" s="19" t="n">
        <v>0</v>
      </c>
      <c r="L9704" s="17"/>
    </row>
    <row r="9705" s="11" customFormat="true" ht="10.95" hidden="false" customHeight="true" outlineLevel="0" collapsed="false">
      <c r="A9705" s="16" t="n">
        <v>45162</v>
      </c>
      <c r="B9705" s="17" t="s">
        <v>3861</v>
      </c>
      <c r="C9705" s="17" t="s">
        <v>3752</v>
      </c>
      <c r="D9705" s="17" t="s">
        <v>1407</v>
      </c>
      <c r="E9705" s="17" t="s">
        <v>3863</v>
      </c>
      <c r="F9705" s="17"/>
      <c r="G9705" s="18" t="n">
        <v>0</v>
      </c>
      <c r="H9705" s="18" t="n">
        <v>8.78</v>
      </c>
      <c r="I9705" s="18" t="n">
        <f aca="false">((I9704 + G9705) - H9705)</f>
        <v>37265.3999999999</v>
      </c>
      <c r="J9705" s="18" t="n">
        <v>0</v>
      </c>
      <c r="K9705" s="19" t="n">
        <v>0</v>
      </c>
      <c r="L9705" s="17"/>
    </row>
    <row r="9706" s="11" customFormat="true" ht="10.95" hidden="false" customHeight="true" outlineLevel="0" collapsed="false">
      <c r="A9706" s="16" t="n">
        <v>45162</v>
      </c>
      <c r="B9706" s="17" t="s">
        <v>3861</v>
      </c>
      <c r="C9706" s="17" t="s">
        <v>3752</v>
      </c>
      <c r="D9706" s="17" t="s">
        <v>1407</v>
      </c>
      <c r="E9706" s="17" t="s">
        <v>3863</v>
      </c>
      <c r="F9706" s="17"/>
      <c r="G9706" s="18" t="n">
        <v>0</v>
      </c>
      <c r="H9706" s="18" t="n">
        <v>9.37</v>
      </c>
      <c r="I9706" s="18" t="n">
        <f aca="false">((I9705 + G9706) - H9706)</f>
        <v>37256.0299999999</v>
      </c>
      <c r="J9706" s="18" t="n">
        <v>0</v>
      </c>
      <c r="K9706" s="19" t="n">
        <v>0</v>
      </c>
      <c r="L9706" s="17"/>
    </row>
    <row r="9707" s="11" customFormat="true" ht="10.95" hidden="false" customHeight="true" outlineLevel="0" collapsed="false">
      <c r="A9707" s="16" t="n">
        <v>45162</v>
      </c>
      <c r="B9707" s="17" t="s">
        <v>3861</v>
      </c>
      <c r="C9707" s="17" t="s">
        <v>3752</v>
      </c>
      <c r="D9707" s="17" t="s">
        <v>2903</v>
      </c>
      <c r="E9707" s="17" t="s">
        <v>3672</v>
      </c>
      <c r="F9707" s="17" t="s">
        <v>3360</v>
      </c>
      <c r="G9707" s="18" t="n">
        <v>0</v>
      </c>
      <c r="H9707" s="18" t="n">
        <v>150</v>
      </c>
      <c r="I9707" s="18" t="n">
        <f aca="false">((I9706 + G9707) - H9707)</f>
        <v>37106.0299999999</v>
      </c>
      <c r="J9707" s="18" t="n">
        <v>0</v>
      </c>
      <c r="K9707" s="19" t="n">
        <v>0</v>
      </c>
      <c r="L9707" s="17"/>
    </row>
    <row r="9708" s="11" customFormat="true" ht="10.95" hidden="false" customHeight="true" outlineLevel="0" collapsed="false">
      <c r="A9708" s="16" t="n">
        <v>45162</v>
      </c>
      <c r="B9708" s="17" t="s">
        <v>3861</v>
      </c>
      <c r="C9708" s="17" t="s">
        <v>3752</v>
      </c>
      <c r="D9708" s="17" t="s">
        <v>1407</v>
      </c>
      <c r="E9708" s="17" t="s">
        <v>3642</v>
      </c>
      <c r="F9708" s="17"/>
      <c r="G9708" s="18" t="n">
        <v>0</v>
      </c>
      <c r="H9708" s="18" t="n">
        <v>94.6</v>
      </c>
      <c r="I9708" s="18" t="n">
        <f aca="false">((I9707 + G9708) - H9708)</f>
        <v>37011.4299999999</v>
      </c>
      <c r="J9708" s="18" t="n">
        <v>0</v>
      </c>
      <c r="K9708" s="19" t="n">
        <v>0</v>
      </c>
      <c r="L9708" s="17"/>
    </row>
    <row r="9709" s="11" customFormat="true" ht="10.95" hidden="false" customHeight="true" outlineLevel="0" collapsed="false">
      <c r="A9709" s="16" t="n">
        <v>45162</v>
      </c>
      <c r="B9709" s="17" t="s">
        <v>3861</v>
      </c>
      <c r="C9709" s="17" t="s">
        <v>3752</v>
      </c>
      <c r="D9709" s="17" t="s">
        <v>1407</v>
      </c>
      <c r="E9709" s="17" t="s">
        <v>3911</v>
      </c>
      <c r="F9709" s="17"/>
      <c r="G9709" s="18" t="n">
        <v>0</v>
      </c>
      <c r="H9709" s="18" t="n">
        <v>312.37</v>
      </c>
      <c r="I9709" s="18" t="n">
        <f aca="false">((I9708 + G9709) - H9709)</f>
        <v>36699.0599999999</v>
      </c>
      <c r="J9709" s="18" t="n">
        <v>0</v>
      </c>
      <c r="K9709" s="19" t="n">
        <v>0</v>
      </c>
      <c r="L9709" s="17"/>
    </row>
    <row r="9710" s="11" customFormat="true" ht="10.95" hidden="false" customHeight="true" outlineLevel="0" collapsed="false">
      <c r="A9710" s="16" t="n">
        <v>45162</v>
      </c>
      <c r="B9710" s="17" t="s">
        <v>3861</v>
      </c>
      <c r="C9710" s="17" t="s">
        <v>3752</v>
      </c>
      <c r="D9710" s="17" t="s">
        <v>1407</v>
      </c>
      <c r="E9710" s="17" t="s">
        <v>3911</v>
      </c>
      <c r="F9710" s="17"/>
      <c r="G9710" s="18" t="n">
        <v>0</v>
      </c>
      <c r="H9710" s="18" t="n">
        <v>12.53</v>
      </c>
      <c r="I9710" s="18" t="n">
        <f aca="false">((I9709 + G9710) - H9710)</f>
        <v>36686.5299999999</v>
      </c>
      <c r="J9710" s="18" t="n">
        <v>0</v>
      </c>
      <c r="K9710" s="19" t="n">
        <v>0</v>
      </c>
      <c r="L9710" s="17"/>
    </row>
    <row r="9711" s="11" customFormat="true" ht="10.95" hidden="false" customHeight="true" outlineLevel="0" collapsed="false">
      <c r="A9711" s="16" t="n">
        <v>45162</v>
      </c>
      <c r="B9711" s="17" t="s">
        <v>3861</v>
      </c>
      <c r="C9711" s="17" t="s">
        <v>3752</v>
      </c>
      <c r="D9711" s="17" t="s">
        <v>1407</v>
      </c>
      <c r="E9711" s="17" t="s">
        <v>1536</v>
      </c>
      <c r="F9711" s="17"/>
      <c r="G9711" s="18" t="n">
        <v>0</v>
      </c>
      <c r="H9711" s="18" t="n">
        <v>292.83</v>
      </c>
      <c r="I9711" s="18" t="n">
        <f aca="false">((I9710 + G9711) - H9711)</f>
        <v>36393.6999999999</v>
      </c>
      <c r="J9711" s="18" t="n">
        <v>0</v>
      </c>
      <c r="K9711" s="19" t="n">
        <v>0</v>
      </c>
      <c r="L9711" s="17"/>
    </row>
    <row r="9712" s="11" customFormat="true" ht="10.95" hidden="false" customHeight="true" outlineLevel="0" collapsed="false">
      <c r="A9712" s="16" t="n">
        <v>45163</v>
      </c>
      <c r="B9712" s="17" t="s">
        <v>3861</v>
      </c>
      <c r="C9712" s="17" t="s">
        <v>3752</v>
      </c>
      <c r="D9712" s="17" t="s">
        <v>1407</v>
      </c>
      <c r="E9712" s="17" t="s">
        <v>3863</v>
      </c>
      <c r="F9712" s="17"/>
      <c r="G9712" s="18" t="n">
        <v>0</v>
      </c>
      <c r="H9712" s="18" t="n">
        <v>1.03</v>
      </c>
      <c r="I9712" s="18" t="n">
        <f aca="false">((I9711 + G9712) - H9712)</f>
        <v>36392.6699999999</v>
      </c>
      <c r="J9712" s="18" t="n">
        <v>0</v>
      </c>
      <c r="K9712" s="19" t="n">
        <v>0</v>
      </c>
      <c r="L9712" s="17"/>
    </row>
    <row r="9713" s="11" customFormat="true" ht="10.95" hidden="false" customHeight="true" outlineLevel="0" collapsed="false">
      <c r="A9713" s="16" t="n">
        <v>45163</v>
      </c>
      <c r="B9713" s="17" t="s">
        <v>3861</v>
      </c>
      <c r="C9713" s="17" t="s">
        <v>3752</v>
      </c>
      <c r="D9713" s="17" t="s">
        <v>1407</v>
      </c>
      <c r="E9713" s="17" t="s">
        <v>3770</v>
      </c>
      <c r="F9713" s="17"/>
      <c r="G9713" s="18" t="n">
        <v>0</v>
      </c>
      <c r="H9713" s="18" t="n">
        <v>22.99</v>
      </c>
      <c r="I9713" s="18" t="n">
        <f aca="false">((I9712 + G9713) - H9713)</f>
        <v>36369.6799999999</v>
      </c>
      <c r="J9713" s="18" t="n">
        <v>0</v>
      </c>
      <c r="K9713" s="19" t="n">
        <v>0</v>
      </c>
      <c r="L9713" s="17"/>
    </row>
    <row r="9714" s="11" customFormat="true" ht="10.95" hidden="false" customHeight="true" outlineLevel="0" collapsed="false">
      <c r="A9714" s="16" t="n">
        <v>45163</v>
      </c>
      <c r="B9714" s="17" t="s">
        <v>3861</v>
      </c>
      <c r="C9714" s="17" t="s">
        <v>3752</v>
      </c>
      <c r="D9714" s="17" t="s">
        <v>1407</v>
      </c>
      <c r="E9714" s="17" t="s">
        <v>3770</v>
      </c>
      <c r="F9714" s="17"/>
      <c r="G9714" s="18" t="n">
        <v>0</v>
      </c>
      <c r="H9714" s="18" t="n">
        <v>34.42</v>
      </c>
      <c r="I9714" s="18" t="n">
        <f aca="false">((I9713 + G9714) - H9714)</f>
        <v>36335.2599999999</v>
      </c>
      <c r="J9714" s="18" t="n">
        <v>0</v>
      </c>
      <c r="K9714" s="19" t="n">
        <v>0</v>
      </c>
      <c r="L9714" s="17"/>
    </row>
    <row r="9715" s="11" customFormat="true" ht="10.95" hidden="false" customHeight="true" outlineLevel="0" collapsed="false">
      <c r="A9715" s="16" t="n">
        <v>45163</v>
      </c>
      <c r="B9715" s="17" t="s">
        <v>3861</v>
      </c>
      <c r="C9715" s="17" t="s">
        <v>3752</v>
      </c>
      <c r="D9715" s="17" t="s">
        <v>1407</v>
      </c>
      <c r="E9715" s="17" t="s">
        <v>3621</v>
      </c>
      <c r="F9715" s="17"/>
      <c r="G9715" s="18" t="n">
        <v>0</v>
      </c>
      <c r="H9715" s="18" t="n">
        <v>104.95</v>
      </c>
      <c r="I9715" s="18" t="n">
        <f aca="false">((I9714 + G9715) - H9715)</f>
        <v>36230.3099999999</v>
      </c>
      <c r="J9715" s="18" t="n">
        <v>0</v>
      </c>
      <c r="K9715" s="19" t="n">
        <v>0</v>
      </c>
      <c r="L9715" s="17"/>
    </row>
    <row r="9716" s="11" customFormat="true" ht="10.95" hidden="false" customHeight="true" outlineLevel="0" collapsed="false">
      <c r="A9716" s="16" t="n">
        <v>45163</v>
      </c>
      <c r="B9716" s="17" t="s">
        <v>3861</v>
      </c>
      <c r="C9716" s="17" t="s">
        <v>3752</v>
      </c>
      <c r="D9716" s="17" t="s">
        <v>1407</v>
      </c>
      <c r="E9716" s="17" t="s">
        <v>3975</v>
      </c>
      <c r="F9716" s="17"/>
      <c r="G9716" s="18" t="n">
        <v>0</v>
      </c>
      <c r="H9716" s="18" t="n">
        <v>40.2</v>
      </c>
      <c r="I9716" s="18" t="n">
        <f aca="false">((I9715 + G9716) - H9716)</f>
        <v>36190.1099999999</v>
      </c>
      <c r="J9716" s="18" t="n">
        <v>0</v>
      </c>
      <c r="K9716" s="19" t="n">
        <v>0</v>
      </c>
      <c r="L9716" s="17"/>
    </row>
    <row r="9717" s="11" customFormat="true" ht="10.95" hidden="false" customHeight="true" outlineLevel="0" collapsed="false">
      <c r="A9717" s="16" t="n">
        <v>45164</v>
      </c>
      <c r="B9717" s="17" t="s">
        <v>3861</v>
      </c>
      <c r="C9717" s="17" t="s">
        <v>3752</v>
      </c>
      <c r="D9717" s="17" t="s">
        <v>1407</v>
      </c>
      <c r="E9717" s="17" t="s">
        <v>3863</v>
      </c>
      <c r="F9717" s="17"/>
      <c r="G9717" s="18" t="n">
        <v>0</v>
      </c>
      <c r="H9717" s="18" t="n">
        <v>0.37</v>
      </c>
      <c r="I9717" s="18" t="n">
        <f aca="false">((I9716 + G9717) - H9717)</f>
        <v>36189.7399999999</v>
      </c>
      <c r="J9717" s="18" t="n">
        <v>0</v>
      </c>
      <c r="K9717" s="19" t="n">
        <v>0</v>
      </c>
      <c r="L9717" s="17"/>
    </row>
    <row r="9718" s="11" customFormat="true" ht="10.95" hidden="false" customHeight="true" outlineLevel="0" collapsed="false">
      <c r="A9718" s="16" t="n">
        <v>45164</v>
      </c>
      <c r="B9718" s="17" t="s">
        <v>3861</v>
      </c>
      <c r="C9718" s="17" t="s">
        <v>3752</v>
      </c>
      <c r="D9718" s="17" t="s">
        <v>1407</v>
      </c>
      <c r="E9718" s="17" t="s">
        <v>3911</v>
      </c>
      <c r="F9718" s="17"/>
      <c r="G9718" s="18" t="n">
        <v>0</v>
      </c>
      <c r="H9718" s="18" t="n">
        <v>12.48</v>
      </c>
      <c r="I9718" s="18" t="n">
        <f aca="false">((I9717 + G9718) - H9718)</f>
        <v>36177.2599999999</v>
      </c>
      <c r="J9718" s="18" t="n">
        <v>0</v>
      </c>
      <c r="K9718" s="19" t="n">
        <v>0</v>
      </c>
      <c r="L9718" s="17"/>
    </row>
    <row r="9719" s="11" customFormat="true" ht="10.95" hidden="false" customHeight="true" outlineLevel="0" collapsed="false">
      <c r="A9719" s="16" t="n">
        <v>45164</v>
      </c>
      <c r="B9719" s="17" t="s">
        <v>3861</v>
      </c>
      <c r="C9719" s="17" t="s">
        <v>3752</v>
      </c>
      <c r="D9719" s="17" t="s">
        <v>1407</v>
      </c>
      <c r="E9719" s="17" t="s">
        <v>3976</v>
      </c>
      <c r="F9719" s="17"/>
      <c r="G9719" s="18" t="n">
        <v>0</v>
      </c>
      <c r="H9719" s="18" t="n">
        <v>174.1</v>
      </c>
      <c r="I9719" s="18" t="n">
        <f aca="false">((I9718 + G9719) - H9719)</f>
        <v>36003.1599999999</v>
      </c>
      <c r="J9719" s="18" t="n">
        <v>0</v>
      </c>
      <c r="K9719" s="19" t="n">
        <v>0</v>
      </c>
      <c r="L9719" s="17"/>
    </row>
    <row r="9720" s="11" customFormat="true" ht="10.95" hidden="false" customHeight="true" outlineLevel="0" collapsed="false">
      <c r="A9720" s="16" t="n">
        <v>45166</v>
      </c>
      <c r="B9720" s="17" t="s">
        <v>3861</v>
      </c>
      <c r="C9720" s="17" t="s">
        <v>3752</v>
      </c>
      <c r="D9720" s="17" t="s">
        <v>1407</v>
      </c>
      <c r="E9720" s="17" t="s">
        <v>3917</v>
      </c>
      <c r="F9720" s="17"/>
      <c r="G9720" s="18" t="n">
        <v>0</v>
      </c>
      <c r="H9720" s="18" t="n">
        <v>5</v>
      </c>
      <c r="I9720" s="18" t="n">
        <f aca="false">((I9719 + G9720) - H9720)</f>
        <v>35998.1599999999</v>
      </c>
      <c r="J9720" s="18" t="n">
        <v>0</v>
      </c>
      <c r="K9720" s="19" t="n">
        <v>0</v>
      </c>
      <c r="L9720" s="17"/>
    </row>
    <row r="9721" s="11" customFormat="true" ht="10.95" hidden="false" customHeight="true" outlineLevel="0" collapsed="false">
      <c r="A9721" s="16" t="n">
        <v>45167</v>
      </c>
      <c r="B9721" s="17" t="s">
        <v>3861</v>
      </c>
      <c r="C9721" s="17" t="s">
        <v>3752</v>
      </c>
      <c r="D9721" s="17" t="s">
        <v>2895</v>
      </c>
      <c r="E9721" s="17" t="s">
        <v>3375</v>
      </c>
      <c r="F9721" s="17" t="s">
        <v>3977</v>
      </c>
      <c r="G9721" s="18" t="n">
        <v>480.7</v>
      </c>
      <c r="H9721" s="18" t="n">
        <v>0</v>
      </c>
      <c r="I9721" s="18" t="n">
        <f aca="false">((I9720 + G9721) - H9721)</f>
        <v>36478.8599999999</v>
      </c>
      <c r="J9721" s="18" t="n">
        <v>0</v>
      </c>
      <c r="K9721" s="19" t="n">
        <v>0</v>
      </c>
      <c r="L9721" s="17"/>
    </row>
    <row r="9722" s="11" customFormat="true" ht="10.95" hidden="false" customHeight="true" outlineLevel="0" collapsed="false">
      <c r="A9722" s="16" t="n">
        <v>45167</v>
      </c>
      <c r="B9722" s="17" t="s">
        <v>3861</v>
      </c>
      <c r="C9722" s="17" t="s">
        <v>3752</v>
      </c>
      <c r="D9722" s="17" t="s">
        <v>2895</v>
      </c>
      <c r="E9722" s="17" t="s">
        <v>3375</v>
      </c>
      <c r="F9722" s="17" t="s">
        <v>3978</v>
      </c>
      <c r="G9722" s="18" t="n">
        <v>280.5</v>
      </c>
      <c r="H9722" s="18" t="n">
        <v>0</v>
      </c>
      <c r="I9722" s="18" t="n">
        <f aca="false">((I9721 + G9722) - H9722)</f>
        <v>36759.3599999999</v>
      </c>
      <c r="J9722" s="18" t="n">
        <v>0</v>
      </c>
      <c r="K9722" s="19" t="n">
        <v>0</v>
      </c>
      <c r="L9722" s="17"/>
    </row>
    <row r="9723" s="11" customFormat="true" ht="10.95" hidden="false" customHeight="true" outlineLevel="0" collapsed="false">
      <c r="A9723" s="16" t="n">
        <v>45167</v>
      </c>
      <c r="B9723" s="17" t="s">
        <v>3861</v>
      </c>
      <c r="C9723" s="17" t="s">
        <v>3752</v>
      </c>
      <c r="D9723" s="17" t="s">
        <v>2895</v>
      </c>
      <c r="E9723" s="17" t="s">
        <v>3375</v>
      </c>
      <c r="F9723" s="17" t="s">
        <v>3979</v>
      </c>
      <c r="G9723" s="18" t="n">
        <v>480.7</v>
      </c>
      <c r="H9723" s="18" t="n">
        <v>0</v>
      </c>
      <c r="I9723" s="18" t="n">
        <f aca="false">((I9722 + G9723) - H9723)</f>
        <v>37240.0599999999</v>
      </c>
      <c r="J9723" s="18" t="n">
        <v>0</v>
      </c>
      <c r="K9723" s="19" t="n">
        <v>0</v>
      </c>
      <c r="L9723" s="17"/>
    </row>
    <row r="9724" s="11" customFormat="true" ht="10.95" hidden="false" customHeight="true" outlineLevel="0" collapsed="false">
      <c r="A9724" s="16" t="n">
        <v>45167</v>
      </c>
      <c r="B9724" s="17" t="s">
        <v>3861</v>
      </c>
      <c r="C9724" s="17" t="s">
        <v>3752</v>
      </c>
      <c r="D9724" s="17" t="s">
        <v>2895</v>
      </c>
      <c r="E9724" s="17" t="s">
        <v>3375</v>
      </c>
      <c r="F9724" s="17" t="s">
        <v>3980</v>
      </c>
      <c r="G9724" s="18" t="n">
        <v>280.5</v>
      </c>
      <c r="H9724" s="18" t="n">
        <v>0</v>
      </c>
      <c r="I9724" s="18" t="n">
        <f aca="false">((I9723 + G9724) - H9724)</f>
        <v>37520.5599999999</v>
      </c>
      <c r="J9724" s="18" t="n">
        <v>0</v>
      </c>
      <c r="K9724" s="19" t="n">
        <v>0</v>
      </c>
      <c r="L9724" s="17"/>
    </row>
    <row r="9725" s="11" customFormat="true" ht="10.95" hidden="false" customHeight="true" outlineLevel="0" collapsed="false">
      <c r="A9725" s="16" t="n">
        <v>45167</v>
      </c>
      <c r="B9725" s="17" t="s">
        <v>3861</v>
      </c>
      <c r="C9725" s="17" t="s">
        <v>3752</v>
      </c>
      <c r="D9725" s="17" t="s">
        <v>2895</v>
      </c>
      <c r="E9725" s="17" t="s">
        <v>3378</v>
      </c>
      <c r="F9725" s="17" t="s">
        <v>3981</v>
      </c>
      <c r="G9725" s="18" t="n">
        <v>413.6</v>
      </c>
      <c r="H9725" s="18" t="n">
        <v>0</v>
      </c>
      <c r="I9725" s="18" t="n">
        <f aca="false">((I9724 + G9725) - H9725)</f>
        <v>37934.1599999999</v>
      </c>
      <c r="J9725" s="18" t="n">
        <v>0</v>
      </c>
      <c r="K9725" s="19" t="n">
        <v>0</v>
      </c>
      <c r="L9725" s="17"/>
    </row>
    <row r="9726" s="11" customFormat="true" ht="10.95" hidden="false" customHeight="true" outlineLevel="0" collapsed="false">
      <c r="A9726" s="16" t="n">
        <v>45167</v>
      </c>
      <c r="B9726" s="17" t="s">
        <v>3861</v>
      </c>
      <c r="C9726" s="17" t="s">
        <v>3752</v>
      </c>
      <c r="D9726" s="17" t="s">
        <v>1407</v>
      </c>
      <c r="E9726" s="17" t="s">
        <v>3863</v>
      </c>
      <c r="F9726" s="17"/>
      <c r="G9726" s="18" t="n">
        <v>0</v>
      </c>
      <c r="H9726" s="18" t="n">
        <v>3.66</v>
      </c>
      <c r="I9726" s="18" t="n">
        <f aca="false">((I9725 + G9726) - H9726)</f>
        <v>37930.4999999999</v>
      </c>
      <c r="J9726" s="18" t="n">
        <v>0</v>
      </c>
      <c r="K9726" s="19" t="n">
        <v>0</v>
      </c>
      <c r="L9726" s="17"/>
    </row>
    <row r="9727" s="11" customFormat="true" ht="10.95" hidden="false" customHeight="true" outlineLevel="0" collapsed="false">
      <c r="A9727" s="16" t="n">
        <v>45167</v>
      </c>
      <c r="B9727" s="17" t="s">
        <v>3861</v>
      </c>
      <c r="C9727" s="17" t="s">
        <v>3752</v>
      </c>
      <c r="D9727" s="17" t="s">
        <v>1407</v>
      </c>
      <c r="E9727" s="17" t="s">
        <v>2747</v>
      </c>
      <c r="F9727" s="17"/>
      <c r="G9727" s="18" t="n">
        <v>0</v>
      </c>
      <c r="H9727" s="18" t="n">
        <v>7</v>
      </c>
      <c r="I9727" s="18" t="n">
        <f aca="false">((I9726 + G9727) - H9727)</f>
        <v>37923.4999999999</v>
      </c>
      <c r="J9727" s="18" t="n">
        <v>0</v>
      </c>
      <c r="K9727" s="19" t="n">
        <v>0</v>
      </c>
      <c r="L9727" s="17"/>
    </row>
    <row r="9728" s="11" customFormat="true" ht="10.95" hidden="false" customHeight="true" outlineLevel="0" collapsed="false">
      <c r="A9728" s="16" t="n">
        <v>45167</v>
      </c>
      <c r="B9728" s="17" t="s">
        <v>3861</v>
      </c>
      <c r="C9728" s="17" t="s">
        <v>3752</v>
      </c>
      <c r="D9728" s="17" t="s">
        <v>1407</v>
      </c>
      <c r="E9728" s="17" t="s">
        <v>3863</v>
      </c>
      <c r="F9728" s="17"/>
      <c r="G9728" s="18" t="n">
        <v>0</v>
      </c>
      <c r="H9728" s="18" t="n">
        <v>7.29</v>
      </c>
      <c r="I9728" s="18" t="n">
        <f aca="false">((I9727 + G9728) - H9728)</f>
        <v>37916.2099999999</v>
      </c>
      <c r="J9728" s="18" t="n">
        <v>0</v>
      </c>
      <c r="K9728" s="19" t="n">
        <v>0</v>
      </c>
      <c r="L9728" s="17"/>
    </row>
    <row r="9729" s="11" customFormat="true" ht="10.95" hidden="false" customHeight="true" outlineLevel="0" collapsed="false">
      <c r="A9729" s="16" t="n">
        <v>45167</v>
      </c>
      <c r="B9729" s="17" t="s">
        <v>3861</v>
      </c>
      <c r="C9729" s="17" t="s">
        <v>3752</v>
      </c>
      <c r="D9729" s="17" t="s">
        <v>1407</v>
      </c>
      <c r="E9729" s="17" t="s">
        <v>3642</v>
      </c>
      <c r="F9729" s="17"/>
      <c r="G9729" s="18" t="n">
        <v>0</v>
      </c>
      <c r="H9729" s="18" t="n">
        <v>39.82</v>
      </c>
      <c r="I9729" s="18" t="n">
        <f aca="false">((I9728 + G9729) - H9729)</f>
        <v>37876.3899999999</v>
      </c>
      <c r="J9729" s="18" t="n">
        <v>0</v>
      </c>
      <c r="K9729" s="19" t="n">
        <v>0</v>
      </c>
      <c r="L9729" s="17"/>
    </row>
    <row r="9730" s="11" customFormat="true" ht="10.95" hidden="false" customHeight="true" outlineLevel="0" collapsed="false">
      <c r="A9730" s="16" t="n">
        <v>45167</v>
      </c>
      <c r="B9730" s="17" t="s">
        <v>3861</v>
      </c>
      <c r="C9730" s="17" t="s">
        <v>3752</v>
      </c>
      <c r="D9730" s="17" t="s">
        <v>1407</v>
      </c>
      <c r="E9730" s="17" t="s">
        <v>3878</v>
      </c>
      <c r="F9730" s="17"/>
      <c r="G9730" s="18" t="n">
        <v>0</v>
      </c>
      <c r="H9730" s="18" t="n">
        <v>1188.2</v>
      </c>
      <c r="I9730" s="18" t="n">
        <f aca="false">((I9729 + G9730) - H9730)</f>
        <v>36688.1899999999</v>
      </c>
      <c r="J9730" s="18" t="n">
        <v>0</v>
      </c>
      <c r="K9730" s="19" t="n">
        <v>0</v>
      </c>
      <c r="L9730" s="17"/>
    </row>
    <row r="9731" s="11" customFormat="true" ht="10.95" hidden="false" customHeight="true" outlineLevel="0" collapsed="false">
      <c r="A9731" s="16" t="n">
        <v>45167</v>
      </c>
      <c r="B9731" s="17" t="s">
        <v>3861</v>
      </c>
      <c r="C9731" s="17" t="s">
        <v>3752</v>
      </c>
      <c r="D9731" s="17" t="s">
        <v>1407</v>
      </c>
      <c r="E9731" s="17" t="s">
        <v>3685</v>
      </c>
      <c r="F9731" s="17"/>
      <c r="G9731" s="18" t="n">
        <v>0</v>
      </c>
      <c r="H9731" s="18" t="n">
        <v>242.98</v>
      </c>
      <c r="I9731" s="18" t="n">
        <f aca="false">((I9730 + G9731) - H9731)</f>
        <v>36445.2099999999</v>
      </c>
      <c r="J9731" s="18" t="n">
        <v>0</v>
      </c>
      <c r="K9731" s="19" t="n">
        <v>0</v>
      </c>
      <c r="L9731" s="17"/>
    </row>
    <row r="9732" s="11" customFormat="true" ht="10.95" hidden="false" customHeight="true" outlineLevel="0" collapsed="false">
      <c r="A9732" s="16" t="n">
        <v>45167</v>
      </c>
      <c r="B9732" s="17" t="s">
        <v>3861</v>
      </c>
      <c r="C9732" s="17" t="s">
        <v>3752</v>
      </c>
      <c r="D9732" s="17" t="s">
        <v>1407</v>
      </c>
      <c r="E9732" s="17" t="s">
        <v>3982</v>
      </c>
      <c r="F9732" s="17"/>
      <c r="G9732" s="18" t="n">
        <v>0</v>
      </c>
      <c r="H9732" s="18" t="n">
        <v>121.84</v>
      </c>
      <c r="I9732" s="18" t="n">
        <f aca="false">((I9731 + G9732) - H9732)</f>
        <v>36323.3699999999</v>
      </c>
      <c r="J9732" s="18" t="n">
        <v>0</v>
      </c>
      <c r="K9732" s="19" t="n">
        <v>0</v>
      </c>
      <c r="L9732" s="17"/>
    </row>
    <row r="9733" s="11" customFormat="true" ht="10.95" hidden="false" customHeight="true" outlineLevel="0" collapsed="false">
      <c r="A9733" s="16" t="n">
        <v>45167</v>
      </c>
      <c r="B9733" s="17" t="s">
        <v>3861</v>
      </c>
      <c r="C9733" s="17" t="s">
        <v>3752</v>
      </c>
      <c r="D9733" s="17" t="s">
        <v>1407</v>
      </c>
      <c r="E9733" s="17" t="s">
        <v>3983</v>
      </c>
      <c r="F9733" s="17"/>
      <c r="G9733" s="18" t="n">
        <v>0</v>
      </c>
      <c r="H9733" s="18" t="n">
        <v>99</v>
      </c>
      <c r="I9733" s="18" t="n">
        <f aca="false">((I9732 + G9733) - H9733)</f>
        <v>36224.3699999999</v>
      </c>
      <c r="J9733" s="18" t="n">
        <v>0</v>
      </c>
      <c r="K9733" s="19" t="n">
        <v>0</v>
      </c>
      <c r="L9733" s="17"/>
    </row>
    <row r="9734" s="11" customFormat="true" ht="10.95" hidden="false" customHeight="true" outlineLevel="0" collapsed="false">
      <c r="A9734" s="16" t="n">
        <v>45168</v>
      </c>
      <c r="B9734" s="17" t="s">
        <v>3861</v>
      </c>
      <c r="C9734" s="17" t="s">
        <v>3752</v>
      </c>
      <c r="D9734" s="17" t="s">
        <v>1276</v>
      </c>
      <c r="E9734" s="17" t="s">
        <v>3491</v>
      </c>
      <c r="F9734" s="17" t="s">
        <v>1292</v>
      </c>
      <c r="G9734" s="18" t="n">
        <v>9.28</v>
      </c>
      <c r="H9734" s="18" t="n">
        <v>0</v>
      </c>
      <c r="I9734" s="18" t="n">
        <f aca="false">((I9733 + G9734) - H9734)</f>
        <v>36233.6499999999</v>
      </c>
      <c r="J9734" s="18" t="n">
        <v>0</v>
      </c>
      <c r="K9734" s="19" t="n">
        <v>0</v>
      </c>
      <c r="L9734" s="17"/>
    </row>
    <row r="9735" s="11" customFormat="true" ht="10.95" hidden="false" customHeight="true" outlineLevel="0" collapsed="false">
      <c r="A9735" s="16" t="n">
        <v>45168</v>
      </c>
      <c r="B9735" s="17" t="s">
        <v>3861</v>
      </c>
      <c r="C9735" s="17" t="s">
        <v>3752</v>
      </c>
      <c r="D9735" s="17" t="s">
        <v>2895</v>
      </c>
      <c r="E9735" s="17" t="s">
        <v>2937</v>
      </c>
      <c r="F9735" s="17" t="s">
        <v>1292</v>
      </c>
      <c r="G9735" s="18" t="n">
        <v>518.12</v>
      </c>
      <c r="H9735" s="18" t="n">
        <v>0</v>
      </c>
      <c r="I9735" s="18" t="n">
        <f aca="false">((I9734 + G9735) - H9735)</f>
        <v>36751.7699999999</v>
      </c>
      <c r="J9735" s="18" t="n">
        <v>0</v>
      </c>
      <c r="K9735" s="19" t="n">
        <v>0</v>
      </c>
      <c r="L9735" s="17"/>
    </row>
    <row r="9736" s="11" customFormat="true" ht="10.95" hidden="false" customHeight="true" outlineLevel="0" collapsed="false">
      <c r="A9736" s="16" t="n">
        <v>45168</v>
      </c>
      <c r="B9736" s="17" t="s">
        <v>3861</v>
      </c>
      <c r="C9736" s="17" t="s">
        <v>3752</v>
      </c>
      <c r="D9736" s="17" t="s">
        <v>1407</v>
      </c>
      <c r="E9736" s="17" t="s">
        <v>3862</v>
      </c>
      <c r="F9736" s="17" t="s">
        <v>1292</v>
      </c>
      <c r="G9736" s="18" t="n">
        <v>0</v>
      </c>
      <c r="H9736" s="18" t="n">
        <v>15.59</v>
      </c>
      <c r="I9736" s="18" t="n">
        <f aca="false">((I9735 + G9736) - H9736)</f>
        <v>36736.1799999999</v>
      </c>
      <c r="J9736" s="18" t="n">
        <v>0</v>
      </c>
      <c r="K9736" s="19" t="n">
        <v>0</v>
      </c>
      <c r="L9736" s="17"/>
    </row>
    <row r="9737" s="11" customFormat="true" ht="10.95" hidden="false" customHeight="true" outlineLevel="0" collapsed="false">
      <c r="A9737" s="16" t="n">
        <v>45168</v>
      </c>
      <c r="B9737" s="17" t="s">
        <v>3861</v>
      </c>
      <c r="C9737" s="17" t="s">
        <v>3752</v>
      </c>
      <c r="D9737" s="17" t="s">
        <v>1276</v>
      </c>
      <c r="E9737" s="17" t="s">
        <v>3491</v>
      </c>
      <c r="F9737" s="17" t="s">
        <v>1294</v>
      </c>
      <c r="G9737" s="18" t="n">
        <v>6.2</v>
      </c>
      <c r="H9737" s="18" t="n">
        <v>0</v>
      </c>
      <c r="I9737" s="18" t="n">
        <f aca="false">((I9736 + G9737) - H9737)</f>
        <v>36742.3799999999</v>
      </c>
      <c r="J9737" s="18" t="n">
        <v>0</v>
      </c>
      <c r="K9737" s="19" t="n">
        <v>0</v>
      </c>
      <c r="L9737" s="17"/>
    </row>
    <row r="9738" s="11" customFormat="true" ht="10.95" hidden="false" customHeight="true" outlineLevel="0" collapsed="false">
      <c r="A9738" s="16" t="n">
        <v>45168</v>
      </c>
      <c r="B9738" s="17" t="s">
        <v>3861</v>
      </c>
      <c r="C9738" s="17" t="s">
        <v>3752</v>
      </c>
      <c r="D9738" s="17" t="s">
        <v>2895</v>
      </c>
      <c r="E9738" s="17" t="s">
        <v>2937</v>
      </c>
      <c r="F9738" s="17" t="s">
        <v>1294</v>
      </c>
      <c r="G9738" s="18" t="n">
        <v>345.42</v>
      </c>
      <c r="H9738" s="18" t="n">
        <v>0</v>
      </c>
      <c r="I9738" s="18" t="n">
        <f aca="false">((I9737 + G9738) - H9738)</f>
        <v>37087.7999999999</v>
      </c>
      <c r="J9738" s="18" t="n">
        <v>0</v>
      </c>
      <c r="K9738" s="19" t="n">
        <v>0</v>
      </c>
      <c r="L9738" s="17"/>
    </row>
    <row r="9739" s="11" customFormat="true" ht="10.95" hidden="false" customHeight="true" outlineLevel="0" collapsed="false">
      <c r="A9739" s="16" t="n">
        <v>45168</v>
      </c>
      <c r="B9739" s="17" t="s">
        <v>3861</v>
      </c>
      <c r="C9739" s="17" t="s">
        <v>3752</v>
      </c>
      <c r="D9739" s="17" t="s">
        <v>1407</v>
      </c>
      <c r="E9739" s="17" t="s">
        <v>3862</v>
      </c>
      <c r="F9739" s="17" t="s">
        <v>1294</v>
      </c>
      <c r="G9739" s="18" t="n">
        <v>0</v>
      </c>
      <c r="H9739" s="18" t="n">
        <v>10.49</v>
      </c>
      <c r="I9739" s="18" t="n">
        <f aca="false">((I9738 + G9739) - H9739)</f>
        <v>37077.3099999999</v>
      </c>
      <c r="J9739" s="18" t="n">
        <v>0</v>
      </c>
      <c r="K9739" s="19" t="n">
        <v>0</v>
      </c>
      <c r="L9739" s="17"/>
    </row>
    <row r="9740" s="11" customFormat="true" ht="10.95" hidden="false" customHeight="true" outlineLevel="0" collapsed="false">
      <c r="A9740" s="16" t="n">
        <v>45168</v>
      </c>
      <c r="B9740" s="17" t="s">
        <v>3861</v>
      </c>
      <c r="C9740" s="17" t="s">
        <v>3752</v>
      </c>
      <c r="D9740" s="17" t="s">
        <v>3753</v>
      </c>
      <c r="E9740" s="17" t="s">
        <v>3806</v>
      </c>
      <c r="F9740" s="17"/>
      <c r="G9740" s="18" t="n">
        <v>0</v>
      </c>
      <c r="H9740" s="18" t="n">
        <v>172.92</v>
      </c>
      <c r="I9740" s="18" t="n">
        <f aca="false">((I9739 + G9740) - H9740)</f>
        <v>36904.3899999999</v>
      </c>
      <c r="J9740" s="18" t="n">
        <v>0</v>
      </c>
      <c r="K9740" s="19" t="n">
        <v>0</v>
      </c>
      <c r="L9740" s="17"/>
    </row>
    <row r="9741" s="11" customFormat="true" ht="10.95" hidden="false" customHeight="true" outlineLevel="0" collapsed="false">
      <c r="A9741" s="16" t="n">
        <v>45168</v>
      </c>
      <c r="B9741" s="17" t="s">
        <v>3861</v>
      </c>
      <c r="C9741" s="17" t="s">
        <v>3752</v>
      </c>
      <c r="D9741" s="17" t="s">
        <v>2903</v>
      </c>
      <c r="E9741" s="17" t="s">
        <v>3648</v>
      </c>
      <c r="F9741" s="17" t="s">
        <v>2638</v>
      </c>
      <c r="G9741" s="18" t="n">
        <v>0</v>
      </c>
      <c r="H9741" s="18" t="n">
        <v>177.17</v>
      </c>
      <c r="I9741" s="18" t="n">
        <f aca="false">((I9740 + G9741) - H9741)</f>
        <v>36727.2199999999</v>
      </c>
      <c r="J9741" s="18" t="n">
        <v>0</v>
      </c>
      <c r="K9741" s="19" t="n">
        <v>0</v>
      </c>
      <c r="L9741" s="17"/>
    </row>
    <row r="9742" s="11" customFormat="true" ht="10.95" hidden="false" customHeight="true" outlineLevel="0" collapsed="false">
      <c r="A9742" s="16" t="n">
        <v>45168</v>
      </c>
      <c r="B9742" s="17" t="s">
        <v>3861</v>
      </c>
      <c r="C9742" s="17" t="s">
        <v>3752</v>
      </c>
      <c r="D9742" s="17" t="s">
        <v>1407</v>
      </c>
      <c r="E9742" s="17" t="s">
        <v>3879</v>
      </c>
      <c r="F9742" s="17"/>
      <c r="G9742" s="18" t="n">
        <v>0</v>
      </c>
      <c r="H9742" s="18" t="n">
        <v>1207</v>
      </c>
      <c r="I9742" s="18" t="n">
        <f aca="false">((I9741 + G9742) - H9742)</f>
        <v>35520.2199999999</v>
      </c>
      <c r="J9742" s="18" t="n">
        <v>0</v>
      </c>
      <c r="K9742" s="19" t="n">
        <v>0</v>
      </c>
      <c r="L9742" s="17"/>
    </row>
    <row r="9743" s="11" customFormat="true" ht="10.95" hidden="false" customHeight="true" outlineLevel="0" collapsed="false">
      <c r="A9743" s="16" t="n">
        <v>45168</v>
      </c>
      <c r="B9743" s="17" t="s">
        <v>3861</v>
      </c>
      <c r="C9743" s="17" t="s">
        <v>3752</v>
      </c>
      <c r="D9743" s="17" t="s">
        <v>1407</v>
      </c>
      <c r="E9743" s="17" t="s">
        <v>3880</v>
      </c>
      <c r="F9743" s="17"/>
      <c r="G9743" s="18" t="n">
        <v>0</v>
      </c>
      <c r="H9743" s="18" t="n">
        <v>1207</v>
      </c>
      <c r="I9743" s="18" t="n">
        <f aca="false">((I9742 + G9743) - H9743)</f>
        <v>34313.2199999999</v>
      </c>
      <c r="J9743" s="18" t="n">
        <v>0</v>
      </c>
      <c r="K9743" s="19" t="n">
        <v>0</v>
      </c>
      <c r="L9743" s="17"/>
    </row>
    <row r="9744" s="11" customFormat="true" ht="10.95" hidden="false" customHeight="true" outlineLevel="0" collapsed="false">
      <c r="A9744" s="16" t="n">
        <v>45168</v>
      </c>
      <c r="B9744" s="17" t="s">
        <v>3861</v>
      </c>
      <c r="C9744" s="17" t="s">
        <v>3752</v>
      </c>
      <c r="D9744" s="17" t="s">
        <v>1407</v>
      </c>
      <c r="E9744" s="17" t="s">
        <v>3808</v>
      </c>
      <c r="F9744" s="17"/>
      <c r="G9744" s="18" t="n">
        <v>0</v>
      </c>
      <c r="H9744" s="18" t="n">
        <v>1705.92</v>
      </c>
      <c r="I9744" s="18" t="n">
        <f aca="false">((I9743 + G9744) - H9744)</f>
        <v>32607.2999999999</v>
      </c>
      <c r="J9744" s="18" t="n">
        <v>0</v>
      </c>
      <c r="K9744" s="19" t="n">
        <v>0</v>
      </c>
      <c r="L9744" s="17"/>
    </row>
    <row r="9745" s="11" customFormat="true" ht="10.95" hidden="false" customHeight="true" outlineLevel="0" collapsed="false">
      <c r="A9745" s="16" t="n">
        <v>45168</v>
      </c>
      <c r="B9745" s="17" t="s">
        <v>3861</v>
      </c>
      <c r="C9745" s="17" t="s">
        <v>3752</v>
      </c>
      <c r="D9745" s="17" t="s">
        <v>1407</v>
      </c>
      <c r="E9745" s="17" t="s">
        <v>3881</v>
      </c>
      <c r="F9745" s="17"/>
      <c r="G9745" s="18" t="n">
        <v>0</v>
      </c>
      <c r="H9745" s="18" t="n">
        <v>140</v>
      </c>
      <c r="I9745" s="18" t="n">
        <f aca="false">((I9744 + G9745) - H9745)</f>
        <v>32467.2999999999</v>
      </c>
      <c r="J9745" s="18" t="n">
        <v>0</v>
      </c>
      <c r="K9745" s="19" t="n">
        <v>0</v>
      </c>
      <c r="L9745" s="17"/>
    </row>
    <row r="9746" s="11" customFormat="true" ht="10.95" hidden="false" customHeight="true" outlineLevel="0" collapsed="false">
      <c r="A9746" s="16" t="n">
        <v>45168</v>
      </c>
      <c r="B9746" s="17" t="s">
        <v>3861</v>
      </c>
      <c r="C9746" s="17" t="s">
        <v>3752</v>
      </c>
      <c r="D9746" s="17" t="s">
        <v>1407</v>
      </c>
      <c r="E9746" s="17" t="s">
        <v>2747</v>
      </c>
      <c r="F9746" s="17"/>
      <c r="G9746" s="18" t="n">
        <v>0</v>
      </c>
      <c r="H9746" s="18" t="n">
        <v>7</v>
      </c>
      <c r="I9746" s="18" t="n">
        <f aca="false">((I9745 + G9746) - H9746)</f>
        <v>32460.2999999999</v>
      </c>
      <c r="J9746" s="18" t="n">
        <v>0</v>
      </c>
      <c r="K9746" s="19" t="n">
        <v>0</v>
      </c>
      <c r="L9746" s="17"/>
    </row>
    <row r="9747" s="11" customFormat="true" ht="10.95" hidden="false" customHeight="true" outlineLevel="0" collapsed="false">
      <c r="A9747" s="16" t="n">
        <v>45168</v>
      </c>
      <c r="B9747" s="17" t="s">
        <v>3861</v>
      </c>
      <c r="C9747" s="17" t="s">
        <v>3752</v>
      </c>
      <c r="D9747" s="17" t="s">
        <v>2895</v>
      </c>
      <c r="E9747" s="17" t="s">
        <v>3472</v>
      </c>
      <c r="F9747" s="17" t="s">
        <v>3984</v>
      </c>
      <c r="G9747" s="18" t="n">
        <v>1278.2</v>
      </c>
      <c r="H9747" s="18" t="n">
        <v>0</v>
      </c>
      <c r="I9747" s="18" t="n">
        <f aca="false">((I9746 + G9747) - H9747)</f>
        <v>33738.4999999999</v>
      </c>
      <c r="J9747" s="18" t="n">
        <v>0</v>
      </c>
      <c r="K9747" s="19" t="n">
        <v>0</v>
      </c>
      <c r="L9747" s="17"/>
    </row>
    <row r="9748" s="11" customFormat="true" ht="10.95" hidden="false" customHeight="true" outlineLevel="0" collapsed="false">
      <c r="A9748" s="16" t="n">
        <v>45169</v>
      </c>
      <c r="B9748" s="17" t="s">
        <v>3861</v>
      </c>
      <c r="C9748" s="17" t="s">
        <v>3752</v>
      </c>
      <c r="D9748" s="17" t="s">
        <v>2895</v>
      </c>
      <c r="E9748" s="17" t="s">
        <v>3496</v>
      </c>
      <c r="F9748" s="17" t="s">
        <v>3985</v>
      </c>
      <c r="G9748" s="18" t="n">
        <v>5228.3</v>
      </c>
      <c r="H9748" s="18" t="n">
        <v>0</v>
      </c>
      <c r="I9748" s="18" t="n">
        <f aca="false">((I9747 + G9748) - H9748)</f>
        <v>38966.7999999999</v>
      </c>
      <c r="J9748" s="18" t="n">
        <v>0</v>
      </c>
      <c r="K9748" s="19" t="n">
        <v>0</v>
      </c>
      <c r="L9748" s="17"/>
    </row>
    <row r="9749" s="11" customFormat="true" ht="10.95" hidden="false" customHeight="true" outlineLevel="0" collapsed="false">
      <c r="A9749" s="16" t="n">
        <v>45169</v>
      </c>
      <c r="B9749" s="17" t="s">
        <v>3861</v>
      </c>
      <c r="C9749" s="17" t="s">
        <v>3752</v>
      </c>
      <c r="D9749" s="17" t="s">
        <v>2895</v>
      </c>
      <c r="E9749" s="17" t="s">
        <v>3497</v>
      </c>
      <c r="F9749" s="17" t="s">
        <v>3986</v>
      </c>
      <c r="G9749" s="18" t="n">
        <v>1784.2</v>
      </c>
      <c r="H9749" s="18" t="n">
        <v>0</v>
      </c>
      <c r="I9749" s="18" t="n">
        <f aca="false">((I9748 + G9749) - H9749)</f>
        <v>40750.9999999999</v>
      </c>
      <c r="J9749" s="18" t="n">
        <v>0</v>
      </c>
      <c r="K9749" s="19" t="n">
        <v>0</v>
      </c>
      <c r="L9749" s="17"/>
    </row>
    <row r="9750" s="11" customFormat="true" ht="10.95" hidden="false" customHeight="true" outlineLevel="0" collapsed="false">
      <c r="A9750" s="16" t="n">
        <v>45169</v>
      </c>
      <c r="B9750" s="17" t="s">
        <v>3861</v>
      </c>
      <c r="C9750" s="17" t="s">
        <v>3752</v>
      </c>
      <c r="D9750" s="17" t="s">
        <v>2895</v>
      </c>
      <c r="E9750" s="17" t="s">
        <v>3465</v>
      </c>
      <c r="F9750" s="17" t="s">
        <v>3987</v>
      </c>
      <c r="G9750" s="18" t="n">
        <v>1094.5</v>
      </c>
      <c r="H9750" s="18" t="n">
        <v>0</v>
      </c>
      <c r="I9750" s="18" t="n">
        <f aca="false">((I9749 + G9750) - H9750)</f>
        <v>41845.4999999999</v>
      </c>
      <c r="J9750" s="18" t="n">
        <v>0</v>
      </c>
      <c r="K9750" s="19" t="n">
        <v>0</v>
      </c>
      <c r="L9750" s="17"/>
    </row>
    <row r="9751" s="11" customFormat="true" ht="10.95" hidden="false" customHeight="true" outlineLevel="0" collapsed="false">
      <c r="A9751" s="16" t="n">
        <v>45169</v>
      </c>
      <c r="B9751" s="17" t="s">
        <v>3861</v>
      </c>
      <c r="C9751" s="17" t="s">
        <v>3752</v>
      </c>
      <c r="D9751" s="17" t="s">
        <v>2895</v>
      </c>
      <c r="E9751" s="17" t="s">
        <v>3466</v>
      </c>
      <c r="F9751" s="17" t="s">
        <v>3988</v>
      </c>
      <c r="G9751" s="18" t="n">
        <v>416</v>
      </c>
      <c r="H9751" s="18" t="n">
        <v>0</v>
      </c>
      <c r="I9751" s="18" t="n">
        <f aca="false">((I9750 + G9751) - H9751)</f>
        <v>42261.4999999999</v>
      </c>
      <c r="J9751" s="18" t="n">
        <v>0</v>
      </c>
      <c r="K9751" s="19" t="n">
        <v>0</v>
      </c>
      <c r="L9751" s="17"/>
    </row>
    <row r="9752" s="11" customFormat="true" ht="10.95" hidden="false" customHeight="true" outlineLevel="0" collapsed="false">
      <c r="A9752" s="16" t="n">
        <v>45169</v>
      </c>
      <c r="B9752" s="17" t="s">
        <v>3861</v>
      </c>
      <c r="C9752" s="17" t="s">
        <v>3752</v>
      </c>
      <c r="D9752" s="17" t="s">
        <v>1407</v>
      </c>
      <c r="E9752" s="17" t="s">
        <v>3863</v>
      </c>
      <c r="F9752" s="17"/>
      <c r="G9752" s="18" t="n">
        <v>0</v>
      </c>
      <c r="H9752" s="18" t="n">
        <v>2.35</v>
      </c>
      <c r="I9752" s="18" t="n">
        <f aca="false">((I9751 + G9752) - H9752)</f>
        <v>42259.1499999999</v>
      </c>
      <c r="J9752" s="18" t="n">
        <v>0</v>
      </c>
      <c r="K9752" s="19" t="n">
        <v>0</v>
      </c>
      <c r="L9752" s="17"/>
    </row>
    <row r="9753" s="11" customFormat="true" ht="10.95" hidden="false" customHeight="true" outlineLevel="0" collapsed="false">
      <c r="A9753" s="16" t="n">
        <v>45169</v>
      </c>
      <c r="B9753" s="17" t="s">
        <v>3861</v>
      </c>
      <c r="C9753" s="17" t="s">
        <v>3752</v>
      </c>
      <c r="D9753" s="17" t="s">
        <v>1407</v>
      </c>
      <c r="E9753" s="17" t="s">
        <v>3863</v>
      </c>
      <c r="F9753" s="17"/>
      <c r="G9753" s="18" t="n">
        <v>0</v>
      </c>
      <c r="H9753" s="18" t="n">
        <v>13.02</v>
      </c>
      <c r="I9753" s="18" t="n">
        <f aca="false">((I9752 + G9753) - H9753)</f>
        <v>42246.1299999999</v>
      </c>
      <c r="J9753" s="18" t="n">
        <v>0</v>
      </c>
      <c r="K9753" s="19" t="n">
        <v>0</v>
      </c>
      <c r="L9753" s="17"/>
    </row>
    <row r="9754" s="11" customFormat="true" ht="10.95" hidden="false" customHeight="true" outlineLevel="0" collapsed="false">
      <c r="A9754" s="16" t="n">
        <v>45169</v>
      </c>
      <c r="B9754" s="17" t="s">
        <v>3861</v>
      </c>
      <c r="C9754" s="17" t="s">
        <v>3752</v>
      </c>
      <c r="D9754" s="17" t="s">
        <v>1407</v>
      </c>
      <c r="E9754" s="17" t="s">
        <v>3865</v>
      </c>
      <c r="F9754" s="17"/>
      <c r="G9754" s="18" t="n">
        <v>0</v>
      </c>
      <c r="H9754" s="18" t="n">
        <v>82.5</v>
      </c>
      <c r="I9754" s="18" t="n">
        <f aca="false">((I9753 + G9754) - H9754)</f>
        <v>42163.6299999999</v>
      </c>
      <c r="J9754" s="18" t="n">
        <v>0</v>
      </c>
      <c r="K9754" s="19" t="n">
        <v>0</v>
      </c>
      <c r="L9754" s="17"/>
    </row>
    <row r="9755" s="11" customFormat="true" ht="10.95" hidden="false" customHeight="true" outlineLevel="0" collapsed="false">
      <c r="A9755" s="16" t="n">
        <v>45169</v>
      </c>
      <c r="B9755" s="17" t="s">
        <v>3861</v>
      </c>
      <c r="C9755" s="17" t="s">
        <v>3752</v>
      </c>
      <c r="D9755" s="17" t="s">
        <v>1407</v>
      </c>
      <c r="E9755" s="17" t="s">
        <v>3776</v>
      </c>
      <c r="F9755" s="17"/>
      <c r="G9755" s="18" t="n">
        <v>0</v>
      </c>
      <c r="H9755" s="18" t="n">
        <v>434.06</v>
      </c>
      <c r="I9755" s="18" t="n">
        <f aca="false">((I9754 + G9755) - H9755)</f>
        <v>41729.5699999999</v>
      </c>
      <c r="J9755" s="18" t="n">
        <v>0</v>
      </c>
      <c r="K9755" s="19" t="n">
        <v>0</v>
      </c>
      <c r="L9755" s="17"/>
    </row>
    <row r="9756" s="11" customFormat="true" ht="10.95" hidden="false" customHeight="true" outlineLevel="0" collapsed="false">
      <c r="A9756" s="16" t="n">
        <v>45169</v>
      </c>
      <c r="B9756" s="17" t="s">
        <v>3861</v>
      </c>
      <c r="C9756" s="17" t="s">
        <v>3752</v>
      </c>
      <c r="D9756" s="17" t="s">
        <v>2895</v>
      </c>
      <c r="E9756" s="17" t="s">
        <v>2900</v>
      </c>
      <c r="F9756" s="17" t="s">
        <v>2938</v>
      </c>
      <c r="G9756" s="18" t="n">
        <v>1712.64</v>
      </c>
      <c r="H9756" s="18" t="n">
        <v>0</v>
      </c>
      <c r="I9756" s="18" t="n">
        <f aca="false">((I9755 + G9756) - H9756)</f>
        <v>43442.2099999999</v>
      </c>
      <c r="J9756" s="18" t="n">
        <v>0</v>
      </c>
      <c r="K9756" s="19" t="n">
        <v>0</v>
      </c>
      <c r="L9756" s="17"/>
    </row>
    <row r="9757" s="11" customFormat="true" ht="10.95" hidden="false" customHeight="true" outlineLevel="0" collapsed="false">
      <c r="A9757" s="16" t="n">
        <v>45169</v>
      </c>
      <c r="B9757" s="17" t="s">
        <v>3861</v>
      </c>
      <c r="C9757" s="17" t="s">
        <v>3752</v>
      </c>
      <c r="D9757" s="17" t="s">
        <v>2895</v>
      </c>
      <c r="E9757" s="17" t="s">
        <v>2900</v>
      </c>
      <c r="F9757" s="17" t="s">
        <v>2939</v>
      </c>
      <c r="G9757" s="18" t="n">
        <v>130.28</v>
      </c>
      <c r="H9757" s="18" t="n">
        <v>0</v>
      </c>
      <c r="I9757" s="18" t="n">
        <f aca="false">((I9756 + G9757) - H9757)</f>
        <v>43572.4899999999</v>
      </c>
      <c r="J9757" s="18" t="n">
        <v>0</v>
      </c>
      <c r="K9757" s="19" t="n">
        <v>0</v>
      </c>
      <c r="L9757" s="17"/>
    </row>
    <row r="9758" s="11" customFormat="true" ht="10.95" hidden="false" customHeight="true" outlineLevel="0" collapsed="false">
      <c r="A9758" s="16" t="n">
        <v>45169</v>
      </c>
      <c r="B9758" s="17" t="s">
        <v>3861</v>
      </c>
      <c r="C9758" s="17" t="s">
        <v>3752</v>
      </c>
      <c r="D9758" s="17" t="s">
        <v>2895</v>
      </c>
      <c r="E9758" s="17" t="s">
        <v>2900</v>
      </c>
      <c r="F9758" s="17" t="s">
        <v>2940</v>
      </c>
      <c r="G9758" s="18" t="n">
        <v>993.83</v>
      </c>
      <c r="H9758" s="18" t="n">
        <v>0</v>
      </c>
      <c r="I9758" s="18" t="n">
        <f aca="false">((I9757 + G9758) - H9758)</f>
        <v>44566.3199999999</v>
      </c>
      <c r="J9758" s="18" t="n">
        <v>0</v>
      </c>
      <c r="K9758" s="19" t="n">
        <v>0</v>
      </c>
      <c r="L9758" s="17"/>
    </row>
    <row r="9759" s="11" customFormat="true" ht="10.95" hidden="false" customHeight="true" outlineLevel="0" collapsed="false">
      <c r="A9759" s="16" t="n">
        <v>45169</v>
      </c>
      <c r="B9759" s="17" t="s">
        <v>3861</v>
      </c>
      <c r="C9759" s="17" t="s">
        <v>3752</v>
      </c>
      <c r="D9759" s="17" t="s">
        <v>2895</v>
      </c>
      <c r="E9759" s="17" t="s">
        <v>2900</v>
      </c>
      <c r="F9759" s="17" t="s">
        <v>2941</v>
      </c>
      <c r="G9759" s="18" t="n">
        <v>984.79</v>
      </c>
      <c r="H9759" s="18" t="n">
        <v>0</v>
      </c>
      <c r="I9759" s="18" t="n">
        <f aca="false">((I9758 + G9759) - H9759)</f>
        <v>45551.1099999999</v>
      </c>
      <c r="J9759" s="18" t="n">
        <v>0</v>
      </c>
      <c r="K9759" s="19" t="n">
        <v>0</v>
      </c>
      <c r="L9759" s="17"/>
    </row>
    <row r="9760" s="11" customFormat="true" ht="10.95" hidden="false" customHeight="true" outlineLevel="0" collapsed="false">
      <c r="A9760" s="16" t="n">
        <v>45169</v>
      </c>
      <c r="B9760" s="17" t="s">
        <v>3861</v>
      </c>
      <c r="C9760" s="17" t="s">
        <v>3752</v>
      </c>
      <c r="D9760" s="17" t="s">
        <v>1407</v>
      </c>
      <c r="E9760" s="17" t="s">
        <v>3864</v>
      </c>
      <c r="F9760" s="17"/>
      <c r="G9760" s="18" t="n">
        <v>0</v>
      </c>
      <c r="H9760" s="18" t="n">
        <v>78.36</v>
      </c>
      <c r="I9760" s="18" t="n">
        <f aca="false">((I9759 + G9760) - H9760)</f>
        <v>45472.7499999999</v>
      </c>
      <c r="J9760" s="18" t="n">
        <v>0</v>
      </c>
      <c r="K9760" s="19" t="n">
        <v>0</v>
      </c>
      <c r="L9760" s="17"/>
    </row>
    <row r="9761" s="11" customFormat="true" ht="10.95" hidden="false" customHeight="true" outlineLevel="0" collapsed="false">
      <c r="A9761" s="16" t="n">
        <v>45169</v>
      </c>
      <c r="B9761" s="17" t="s">
        <v>3861</v>
      </c>
      <c r="C9761" s="17" t="s">
        <v>3752</v>
      </c>
      <c r="D9761" s="17" t="s">
        <v>2903</v>
      </c>
      <c r="E9761" s="17" t="s">
        <v>3657</v>
      </c>
      <c r="F9761" s="17" t="s">
        <v>1429</v>
      </c>
      <c r="G9761" s="18" t="n">
        <v>0</v>
      </c>
      <c r="H9761" s="18" t="n">
        <v>4593.8</v>
      </c>
      <c r="I9761" s="18" t="n">
        <f aca="false">((I9760 + G9761) - H9761)</f>
        <v>40878.9499999999</v>
      </c>
      <c r="J9761" s="18" t="n">
        <v>0</v>
      </c>
      <c r="K9761" s="19" t="n">
        <v>0</v>
      </c>
      <c r="L9761" s="17"/>
    </row>
    <row r="9762" s="11" customFormat="true" ht="10.95" hidden="false" customHeight="true" outlineLevel="0" collapsed="false">
      <c r="A9762" s="16" t="n">
        <v>45169</v>
      </c>
      <c r="B9762" s="17" t="s">
        <v>3861</v>
      </c>
      <c r="C9762" s="17" t="s">
        <v>3752</v>
      </c>
      <c r="D9762" s="17" t="s">
        <v>1407</v>
      </c>
      <c r="E9762" s="17" t="s">
        <v>3989</v>
      </c>
      <c r="F9762" s="17"/>
      <c r="G9762" s="18" t="n">
        <v>0</v>
      </c>
      <c r="H9762" s="18" t="n">
        <v>50</v>
      </c>
      <c r="I9762" s="18" t="n">
        <f aca="false">((I9761 + G9762) - H9762)</f>
        <v>40828.9499999999</v>
      </c>
      <c r="J9762" s="18" t="n">
        <v>0</v>
      </c>
      <c r="K9762" s="19" t="n">
        <v>0</v>
      </c>
      <c r="L9762" s="17"/>
    </row>
    <row r="9763" s="11" customFormat="true" ht="10.95" hidden="false" customHeight="true" outlineLevel="0" collapsed="false">
      <c r="A9763" s="16" t="n">
        <v>45170</v>
      </c>
      <c r="B9763" s="17" t="s">
        <v>3861</v>
      </c>
      <c r="C9763" s="17" t="s">
        <v>3752</v>
      </c>
      <c r="D9763" s="17" t="s">
        <v>2895</v>
      </c>
      <c r="E9763" s="17" t="s">
        <v>2896</v>
      </c>
      <c r="F9763" s="17" t="s">
        <v>1296</v>
      </c>
      <c r="G9763" s="18" t="n">
        <v>89.45</v>
      </c>
      <c r="H9763" s="18" t="n">
        <v>0</v>
      </c>
      <c r="I9763" s="18" t="n">
        <f aca="false">((I9762 + G9763) - H9763)</f>
        <v>40918.3999999999</v>
      </c>
      <c r="J9763" s="18" t="n">
        <v>0</v>
      </c>
      <c r="K9763" s="19" t="n">
        <v>0</v>
      </c>
      <c r="L9763" s="17"/>
    </row>
    <row r="9764" s="11" customFormat="true" ht="10.95" hidden="false" customHeight="true" outlineLevel="0" collapsed="false">
      <c r="A9764" s="16" t="n">
        <v>45170</v>
      </c>
      <c r="B9764" s="17" t="s">
        <v>3861</v>
      </c>
      <c r="C9764" s="17" t="s">
        <v>3752</v>
      </c>
      <c r="D9764" s="17" t="s">
        <v>1276</v>
      </c>
      <c r="E9764" s="17" t="s">
        <v>3423</v>
      </c>
      <c r="F9764" s="17" t="s">
        <v>1296</v>
      </c>
      <c r="G9764" s="18" t="n">
        <v>1.6</v>
      </c>
      <c r="H9764" s="18" t="n">
        <v>0</v>
      </c>
      <c r="I9764" s="18" t="n">
        <f aca="false">((I9763 + G9764) - H9764)</f>
        <v>40919.9999999999</v>
      </c>
      <c r="J9764" s="18" t="n">
        <v>0</v>
      </c>
      <c r="K9764" s="19" t="n">
        <v>0</v>
      </c>
      <c r="L9764" s="17"/>
    </row>
    <row r="9765" s="11" customFormat="true" ht="10.95" hidden="false" customHeight="true" outlineLevel="0" collapsed="false">
      <c r="A9765" s="16" t="n">
        <v>45170</v>
      </c>
      <c r="B9765" s="17" t="s">
        <v>3861</v>
      </c>
      <c r="C9765" s="17" t="s">
        <v>3752</v>
      </c>
      <c r="D9765" s="17" t="s">
        <v>1407</v>
      </c>
      <c r="E9765" s="17" t="s">
        <v>3862</v>
      </c>
      <c r="F9765" s="17" t="s">
        <v>1296</v>
      </c>
      <c r="G9765" s="18" t="n">
        <v>0</v>
      </c>
      <c r="H9765" s="18" t="n">
        <v>2.94</v>
      </c>
      <c r="I9765" s="18" t="n">
        <f aca="false">((I9764 + G9765) - H9765)</f>
        <v>40917.0599999999</v>
      </c>
      <c r="J9765" s="18" t="n">
        <v>0</v>
      </c>
      <c r="K9765" s="19" t="n">
        <v>0</v>
      </c>
      <c r="L9765" s="17"/>
    </row>
    <row r="9766" s="11" customFormat="true" ht="10.95" hidden="false" customHeight="true" outlineLevel="0" collapsed="false">
      <c r="A9766" s="16" t="n">
        <v>45170</v>
      </c>
      <c r="B9766" s="17" t="s">
        <v>3861</v>
      </c>
      <c r="C9766" s="17" t="s">
        <v>3752</v>
      </c>
      <c r="D9766" s="17" t="s">
        <v>2895</v>
      </c>
      <c r="E9766" s="17" t="s">
        <v>3382</v>
      </c>
      <c r="F9766" s="17" t="s">
        <v>3990</v>
      </c>
      <c r="G9766" s="18" t="n">
        <v>18256.15</v>
      </c>
      <c r="H9766" s="18" t="n">
        <v>0</v>
      </c>
      <c r="I9766" s="18" t="n">
        <f aca="false">((I9765 + G9766) - H9766)</f>
        <v>59173.2099999999</v>
      </c>
      <c r="J9766" s="18" t="n">
        <v>0</v>
      </c>
      <c r="K9766" s="19" t="n">
        <v>0</v>
      </c>
      <c r="L9766" s="17"/>
    </row>
    <row r="9767" s="11" customFormat="true" ht="10.95" hidden="false" customHeight="true" outlineLevel="0" collapsed="false">
      <c r="A9767" s="16" t="n">
        <v>45170</v>
      </c>
      <c r="B9767" s="17" t="s">
        <v>3861</v>
      </c>
      <c r="C9767" s="17" t="s">
        <v>3752</v>
      </c>
      <c r="D9767" s="17" t="s">
        <v>2895</v>
      </c>
      <c r="E9767" s="17" t="s">
        <v>3482</v>
      </c>
      <c r="F9767" s="17" t="s">
        <v>3991</v>
      </c>
      <c r="G9767" s="18" t="n">
        <v>1654.4</v>
      </c>
      <c r="H9767" s="18" t="n">
        <v>0</v>
      </c>
      <c r="I9767" s="18" t="n">
        <f aca="false">((I9766 + G9767) - H9767)</f>
        <v>60827.6099999999</v>
      </c>
      <c r="J9767" s="18" t="n">
        <v>0</v>
      </c>
      <c r="K9767" s="19" t="n">
        <v>0</v>
      </c>
      <c r="L9767" s="17"/>
    </row>
    <row r="9768" s="11" customFormat="true" ht="10.95" hidden="false" customHeight="true" outlineLevel="0" collapsed="false">
      <c r="A9768" s="16" t="n">
        <v>45170</v>
      </c>
      <c r="B9768" s="17" t="s">
        <v>3861</v>
      </c>
      <c r="C9768" s="17" t="s">
        <v>3752</v>
      </c>
      <c r="D9768" s="17" t="s">
        <v>2895</v>
      </c>
      <c r="E9768" s="17" t="s">
        <v>3410</v>
      </c>
      <c r="F9768" s="17" t="s">
        <v>3992</v>
      </c>
      <c r="G9768" s="18" t="n">
        <v>968</v>
      </c>
      <c r="H9768" s="18" t="n">
        <v>0</v>
      </c>
      <c r="I9768" s="18" t="n">
        <f aca="false">((I9767 + G9768) - H9768)</f>
        <v>61795.6099999999</v>
      </c>
      <c r="J9768" s="18" t="n">
        <v>0</v>
      </c>
      <c r="K9768" s="19" t="n">
        <v>0</v>
      </c>
      <c r="L9768" s="17"/>
    </row>
    <row r="9769" s="11" customFormat="true" ht="10.95" hidden="false" customHeight="true" outlineLevel="0" collapsed="false">
      <c r="A9769" s="16" t="n">
        <v>45170</v>
      </c>
      <c r="B9769" s="17" t="s">
        <v>3861</v>
      </c>
      <c r="C9769" s="17" t="s">
        <v>3752</v>
      </c>
      <c r="D9769" s="17" t="s">
        <v>2895</v>
      </c>
      <c r="E9769" s="17" t="s">
        <v>3474</v>
      </c>
      <c r="F9769" s="17" t="s">
        <v>3993</v>
      </c>
      <c r="G9769" s="18" t="n">
        <v>357.5</v>
      </c>
      <c r="H9769" s="18" t="n">
        <v>0</v>
      </c>
      <c r="I9769" s="18" t="n">
        <f aca="false">((I9768 + G9769) - H9769)</f>
        <v>62153.1099999999</v>
      </c>
      <c r="J9769" s="18" t="n">
        <v>0</v>
      </c>
      <c r="K9769" s="19" t="n">
        <v>0</v>
      </c>
      <c r="L9769" s="17"/>
    </row>
    <row r="9770" s="11" customFormat="true" ht="10.95" hidden="false" customHeight="true" outlineLevel="0" collapsed="false">
      <c r="A9770" s="16" t="n">
        <v>45170</v>
      </c>
      <c r="B9770" s="17" t="s">
        <v>3861</v>
      </c>
      <c r="C9770" s="17" t="s">
        <v>3752</v>
      </c>
      <c r="D9770" s="17" t="s">
        <v>2903</v>
      </c>
      <c r="E9770" s="17" t="s">
        <v>3616</v>
      </c>
      <c r="F9770" s="17" t="s">
        <v>3256</v>
      </c>
      <c r="G9770" s="18" t="n">
        <v>0</v>
      </c>
      <c r="H9770" s="18" t="n">
        <v>2905.1</v>
      </c>
      <c r="I9770" s="18" t="n">
        <f aca="false">((I9769 + G9770) - H9770)</f>
        <v>59248.0099999999</v>
      </c>
      <c r="J9770" s="18" t="n">
        <v>0</v>
      </c>
      <c r="K9770" s="19" t="n">
        <v>0</v>
      </c>
      <c r="L9770" s="17"/>
    </row>
    <row r="9771" s="11" customFormat="true" ht="10.95" hidden="false" customHeight="true" outlineLevel="0" collapsed="false">
      <c r="A9771" s="16" t="n">
        <v>45170</v>
      </c>
      <c r="B9771" s="17" t="s">
        <v>3861</v>
      </c>
      <c r="C9771" s="17" t="s">
        <v>3752</v>
      </c>
      <c r="D9771" s="17" t="s">
        <v>3814</v>
      </c>
      <c r="E9771" s="17" t="s">
        <v>3815</v>
      </c>
      <c r="F9771" s="17"/>
      <c r="G9771" s="18" t="n">
        <v>0</v>
      </c>
      <c r="H9771" s="18" t="n">
        <v>0.37</v>
      </c>
      <c r="I9771" s="18" t="n">
        <f aca="false">((I9770 + G9771) - H9771)</f>
        <v>59247.6399999999</v>
      </c>
      <c r="J9771" s="18" t="n">
        <v>0</v>
      </c>
      <c r="K9771" s="19" t="n">
        <v>0</v>
      </c>
      <c r="L9771" s="17"/>
    </row>
    <row r="9772" s="11" customFormat="true" ht="10.95" hidden="false" customHeight="true" outlineLevel="0" collapsed="false">
      <c r="A9772" s="16" t="n">
        <v>45170</v>
      </c>
      <c r="B9772" s="17" t="s">
        <v>3861</v>
      </c>
      <c r="C9772" s="17" t="s">
        <v>3752</v>
      </c>
      <c r="D9772" s="17" t="s">
        <v>1407</v>
      </c>
      <c r="E9772" s="17" t="s">
        <v>3863</v>
      </c>
      <c r="F9772" s="17"/>
      <c r="G9772" s="18" t="n">
        <v>0</v>
      </c>
      <c r="H9772" s="18" t="n">
        <v>0.7</v>
      </c>
      <c r="I9772" s="18" t="n">
        <f aca="false">((I9771 + G9772) - H9772)</f>
        <v>59246.9399999999</v>
      </c>
      <c r="J9772" s="18" t="n">
        <v>0</v>
      </c>
      <c r="K9772" s="19" t="n">
        <v>0</v>
      </c>
      <c r="L9772" s="17"/>
    </row>
    <row r="9773" s="11" customFormat="true" ht="10.95" hidden="false" customHeight="true" outlineLevel="0" collapsed="false">
      <c r="A9773" s="16" t="n">
        <v>45170</v>
      </c>
      <c r="B9773" s="17" t="s">
        <v>3861</v>
      </c>
      <c r="C9773" s="17" t="s">
        <v>3752</v>
      </c>
      <c r="D9773" s="17" t="s">
        <v>1407</v>
      </c>
      <c r="E9773" s="17" t="s">
        <v>3863</v>
      </c>
      <c r="F9773" s="17"/>
      <c r="G9773" s="18" t="n">
        <v>0</v>
      </c>
      <c r="H9773" s="18" t="n">
        <v>4.64</v>
      </c>
      <c r="I9773" s="18" t="n">
        <f aca="false">((I9772 + G9773) - H9773)</f>
        <v>59242.2999999999</v>
      </c>
      <c r="J9773" s="18" t="n">
        <v>0</v>
      </c>
      <c r="K9773" s="19" t="n">
        <v>0</v>
      </c>
      <c r="L9773" s="17"/>
    </row>
    <row r="9774" s="11" customFormat="true" ht="10.95" hidden="false" customHeight="true" outlineLevel="0" collapsed="false">
      <c r="A9774" s="16" t="n">
        <v>45170</v>
      </c>
      <c r="B9774" s="17" t="s">
        <v>3861</v>
      </c>
      <c r="C9774" s="17" t="s">
        <v>3752</v>
      </c>
      <c r="D9774" s="17" t="s">
        <v>1407</v>
      </c>
      <c r="E9774" s="17" t="s">
        <v>3863</v>
      </c>
      <c r="F9774" s="17"/>
      <c r="G9774" s="18" t="n">
        <v>0</v>
      </c>
      <c r="H9774" s="18" t="n">
        <v>10</v>
      </c>
      <c r="I9774" s="18" t="n">
        <f aca="false">((I9773 + G9774) - H9774)</f>
        <v>59232.2999999999</v>
      </c>
      <c r="J9774" s="18" t="n">
        <v>0</v>
      </c>
      <c r="K9774" s="19" t="n">
        <v>0</v>
      </c>
      <c r="L9774" s="17"/>
    </row>
    <row r="9775" s="11" customFormat="true" ht="10.95" hidden="false" customHeight="true" outlineLevel="0" collapsed="false">
      <c r="A9775" s="16" t="n">
        <v>45170</v>
      </c>
      <c r="B9775" s="17" t="s">
        <v>3861</v>
      </c>
      <c r="C9775" s="17" t="s">
        <v>3752</v>
      </c>
      <c r="D9775" s="17" t="s">
        <v>1407</v>
      </c>
      <c r="E9775" s="17" t="s">
        <v>3767</v>
      </c>
      <c r="F9775" s="17" t="s">
        <v>2781</v>
      </c>
      <c r="G9775" s="18" t="n">
        <v>0</v>
      </c>
      <c r="H9775" s="18" t="n">
        <v>10.52</v>
      </c>
      <c r="I9775" s="18" t="n">
        <f aca="false">((I9774 + G9775) - H9775)</f>
        <v>59221.7799999999</v>
      </c>
      <c r="J9775" s="18" t="n">
        <v>0</v>
      </c>
      <c r="K9775" s="19" t="n">
        <v>0</v>
      </c>
      <c r="L9775" s="17"/>
    </row>
    <row r="9776" s="11" customFormat="true" ht="10.95" hidden="false" customHeight="true" outlineLevel="0" collapsed="false">
      <c r="A9776" s="16" t="n">
        <v>45170</v>
      </c>
      <c r="B9776" s="17" t="s">
        <v>3861</v>
      </c>
      <c r="C9776" s="17" t="s">
        <v>3752</v>
      </c>
      <c r="D9776" s="17" t="s">
        <v>1407</v>
      </c>
      <c r="E9776" s="17" t="s">
        <v>3771</v>
      </c>
      <c r="F9776" s="17"/>
      <c r="G9776" s="18" t="n">
        <v>0</v>
      </c>
      <c r="H9776" s="18" t="n">
        <v>23.43</v>
      </c>
      <c r="I9776" s="18" t="n">
        <f aca="false">((I9775 + G9776) - H9776)</f>
        <v>59198.3499999999</v>
      </c>
      <c r="J9776" s="18" t="n">
        <v>0</v>
      </c>
      <c r="K9776" s="19" t="n">
        <v>0</v>
      </c>
      <c r="L9776" s="17"/>
    </row>
    <row r="9777" s="11" customFormat="true" ht="10.95" hidden="false" customHeight="true" outlineLevel="0" collapsed="false">
      <c r="A9777" s="16" t="n">
        <v>45170</v>
      </c>
      <c r="B9777" s="17" t="s">
        <v>3861</v>
      </c>
      <c r="C9777" s="17" t="s">
        <v>3752</v>
      </c>
      <c r="D9777" s="17" t="s">
        <v>1407</v>
      </c>
      <c r="E9777" s="17" t="s">
        <v>3994</v>
      </c>
      <c r="F9777" s="17"/>
      <c r="G9777" s="18" t="n">
        <v>0</v>
      </c>
      <c r="H9777" s="18" t="n">
        <v>154.71</v>
      </c>
      <c r="I9777" s="18" t="n">
        <f aca="false">((I9776 + G9777) - H9777)</f>
        <v>59043.6399999999</v>
      </c>
      <c r="J9777" s="18" t="n">
        <v>0</v>
      </c>
      <c r="K9777" s="19" t="n">
        <v>0</v>
      </c>
      <c r="L9777" s="17"/>
    </row>
    <row r="9778" s="11" customFormat="true" ht="10.95" hidden="false" customHeight="true" outlineLevel="0" collapsed="false">
      <c r="A9778" s="16" t="n">
        <v>45170</v>
      </c>
      <c r="B9778" s="17" t="s">
        <v>3861</v>
      </c>
      <c r="C9778" s="17" t="s">
        <v>3752</v>
      </c>
      <c r="D9778" s="17" t="s">
        <v>1407</v>
      </c>
      <c r="E9778" s="17" t="s">
        <v>3863</v>
      </c>
      <c r="F9778" s="17"/>
      <c r="G9778" s="18" t="n">
        <v>0</v>
      </c>
      <c r="H9778" s="18" t="n">
        <v>282.3</v>
      </c>
      <c r="I9778" s="18" t="n">
        <f aca="false">((I9777 + G9778) - H9778)</f>
        <v>58761.3399999999</v>
      </c>
      <c r="J9778" s="18" t="n">
        <v>0</v>
      </c>
      <c r="K9778" s="19" t="n">
        <v>0</v>
      </c>
      <c r="L9778" s="17"/>
    </row>
    <row r="9779" s="11" customFormat="true" ht="10.95" hidden="false" customHeight="true" outlineLevel="0" collapsed="false">
      <c r="A9779" s="16" t="n">
        <v>45170</v>
      </c>
      <c r="B9779" s="17" t="s">
        <v>3861</v>
      </c>
      <c r="C9779" s="17" t="s">
        <v>3752</v>
      </c>
      <c r="D9779" s="17" t="s">
        <v>1407</v>
      </c>
      <c r="E9779" s="17" t="s">
        <v>3615</v>
      </c>
      <c r="F9779" s="17"/>
      <c r="G9779" s="18" t="n">
        <v>0</v>
      </c>
      <c r="H9779" s="18" t="n">
        <v>100.5</v>
      </c>
      <c r="I9779" s="18" t="n">
        <f aca="false">((I9778 + G9779) - H9779)</f>
        <v>58660.8399999999</v>
      </c>
      <c r="J9779" s="18" t="n">
        <v>0</v>
      </c>
      <c r="K9779" s="19" t="n">
        <v>0</v>
      </c>
      <c r="L9779" s="17"/>
    </row>
    <row r="9780" s="11" customFormat="true" ht="10.95" hidden="false" customHeight="true" outlineLevel="0" collapsed="false">
      <c r="A9780" s="16" t="n">
        <v>45170</v>
      </c>
      <c r="B9780" s="17" t="s">
        <v>3861</v>
      </c>
      <c r="C9780" s="17" t="s">
        <v>3752</v>
      </c>
      <c r="D9780" s="17" t="s">
        <v>2903</v>
      </c>
      <c r="E9780" s="17" t="s">
        <v>3645</v>
      </c>
      <c r="F9780" s="17" t="s">
        <v>1424</v>
      </c>
      <c r="G9780" s="18" t="n">
        <v>0</v>
      </c>
      <c r="H9780" s="18" t="n">
        <v>13223.43</v>
      </c>
      <c r="I9780" s="18" t="n">
        <f aca="false">((I9779 + G9780) - H9780)</f>
        <v>45437.4099999999</v>
      </c>
      <c r="J9780" s="18" t="n">
        <v>0</v>
      </c>
      <c r="K9780" s="19" t="n">
        <v>0</v>
      </c>
      <c r="L9780" s="17"/>
    </row>
    <row r="9781" s="11" customFormat="true" ht="10.95" hidden="false" customHeight="true" outlineLevel="0" collapsed="false">
      <c r="A9781" s="16" t="n">
        <v>45170</v>
      </c>
      <c r="B9781" s="17" t="s">
        <v>3861</v>
      </c>
      <c r="C9781" s="17" t="s">
        <v>3752</v>
      </c>
      <c r="D9781" s="17" t="s">
        <v>1407</v>
      </c>
      <c r="E9781" s="17" t="s">
        <v>3673</v>
      </c>
      <c r="F9781" s="17"/>
      <c r="G9781" s="18" t="n">
        <v>0</v>
      </c>
      <c r="H9781" s="18" t="n">
        <v>5010.29</v>
      </c>
      <c r="I9781" s="18" t="n">
        <f aca="false">((I9780 + G9781) - H9781)</f>
        <v>40427.1199999999</v>
      </c>
      <c r="J9781" s="18" t="n">
        <v>0</v>
      </c>
      <c r="K9781" s="19" t="n">
        <v>0</v>
      </c>
      <c r="L9781" s="17"/>
    </row>
    <row r="9782" s="11" customFormat="true" ht="10.95" hidden="false" customHeight="true" outlineLevel="0" collapsed="false">
      <c r="A9782" s="16" t="n">
        <v>45170</v>
      </c>
      <c r="B9782" s="17" t="s">
        <v>3861</v>
      </c>
      <c r="C9782" s="17" t="s">
        <v>3752</v>
      </c>
      <c r="D9782" s="17" t="s">
        <v>2895</v>
      </c>
      <c r="E9782" s="17" t="s">
        <v>3373</v>
      </c>
      <c r="F9782" s="17" t="s">
        <v>3995</v>
      </c>
      <c r="G9782" s="18" t="n">
        <v>1386</v>
      </c>
      <c r="H9782" s="18" t="n">
        <v>0</v>
      </c>
      <c r="I9782" s="18" t="n">
        <f aca="false">((I9781 + G9782) - H9782)</f>
        <v>41813.1199999999</v>
      </c>
      <c r="J9782" s="18" t="n">
        <v>0</v>
      </c>
      <c r="K9782" s="19" t="n">
        <v>0</v>
      </c>
      <c r="L9782" s="17"/>
    </row>
    <row r="9783" s="11" customFormat="true" ht="10.95" hidden="false" customHeight="true" outlineLevel="0" collapsed="false">
      <c r="A9783" s="16" t="n">
        <v>45171</v>
      </c>
      <c r="B9783" s="17" t="s">
        <v>3861</v>
      </c>
      <c r="C9783" s="17" t="s">
        <v>3752</v>
      </c>
      <c r="D9783" s="17" t="s">
        <v>2895</v>
      </c>
      <c r="E9783" s="17" t="s">
        <v>2897</v>
      </c>
      <c r="F9783" s="17" t="s">
        <v>1298</v>
      </c>
      <c r="G9783" s="18" t="n">
        <v>597.9</v>
      </c>
      <c r="H9783" s="18" t="n">
        <v>0</v>
      </c>
      <c r="I9783" s="18" t="n">
        <f aca="false">((I9782 + G9783) - H9783)</f>
        <v>42411.0199999999</v>
      </c>
      <c r="J9783" s="18" t="n">
        <v>0</v>
      </c>
      <c r="K9783" s="19" t="n">
        <v>0</v>
      </c>
      <c r="L9783" s="17"/>
    </row>
    <row r="9784" s="11" customFormat="true" ht="10.95" hidden="false" customHeight="true" outlineLevel="0" collapsed="false">
      <c r="A9784" s="16" t="n">
        <v>45171</v>
      </c>
      <c r="B9784" s="17" t="s">
        <v>3861</v>
      </c>
      <c r="C9784" s="17" t="s">
        <v>3752</v>
      </c>
      <c r="D9784" s="17" t="s">
        <v>1276</v>
      </c>
      <c r="E9784" s="17" t="s">
        <v>3449</v>
      </c>
      <c r="F9784" s="17" t="s">
        <v>1298</v>
      </c>
      <c r="G9784" s="18" t="n">
        <v>10.69</v>
      </c>
      <c r="H9784" s="18" t="n">
        <v>0</v>
      </c>
      <c r="I9784" s="18" t="n">
        <f aca="false">((I9783 + G9784) - H9784)</f>
        <v>42421.7099999999</v>
      </c>
      <c r="J9784" s="18" t="n">
        <v>0</v>
      </c>
      <c r="K9784" s="19" t="n">
        <v>0</v>
      </c>
      <c r="L9784" s="17"/>
    </row>
    <row r="9785" s="11" customFormat="true" ht="10.95" hidden="false" customHeight="true" outlineLevel="0" collapsed="false">
      <c r="A9785" s="16" t="n">
        <v>45171</v>
      </c>
      <c r="B9785" s="17" t="s">
        <v>3861</v>
      </c>
      <c r="C9785" s="17" t="s">
        <v>3752</v>
      </c>
      <c r="D9785" s="17" t="s">
        <v>1407</v>
      </c>
      <c r="E9785" s="17" t="s">
        <v>3862</v>
      </c>
      <c r="F9785" s="17" t="s">
        <v>1298</v>
      </c>
      <c r="G9785" s="18" t="n">
        <v>0</v>
      </c>
      <c r="H9785" s="18" t="n">
        <v>17.94</v>
      </c>
      <c r="I9785" s="18" t="n">
        <f aca="false">((I9784 + G9785) - H9785)</f>
        <v>42403.7699999999</v>
      </c>
      <c r="J9785" s="18" t="n">
        <v>0</v>
      </c>
      <c r="K9785" s="19" t="n">
        <v>0</v>
      </c>
      <c r="L9785" s="17"/>
    </row>
    <row r="9786" s="11" customFormat="true" ht="10.95" hidden="false" customHeight="true" outlineLevel="0" collapsed="false">
      <c r="A9786" s="16" t="n">
        <v>45171</v>
      </c>
      <c r="B9786" s="17" t="s">
        <v>3861</v>
      </c>
      <c r="C9786" s="17" t="s">
        <v>3752</v>
      </c>
      <c r="D9786" s="17" t="s">
        <v>1407</v>
      </c>
      <c r="E9786" s="17" t="s">
        <v>3996</v>
      </c>
      <c r="F9786" s="17"/>
      <c r="G9786" s="18" t="n">
        <v>0</v>
      </c>
      <c r="H9786" s="18" t="n">
        <v>9696</v>
      </c>
      <c r="I9786" s="18" t="n">
        <f aca="false">((I9785 + G9786) - H9786)</f>
        <v>32707.7699999999</v>
      </c>
      <c r="J9786" s="18" t="n">
        <v>0</v>
      </c>
      <c r="K9786" s="19" t="n">
        <v>0</v>
      </c>
      <c r="L9786" s="17"/>
    </row>
    <row r="9787" s="11" customFormat="true" ht="10.95" hidden="false" customHeight="true" outlineLevel="0" collapsed="false">
      <c r="A9787" s="16" t="n">
        <v>45173</v>
      </c>
      <c r="B9787" s="17" t="s">
        <v>3861</v>
      </c>
      <c r="C9787" s="17" t="s">
        <v>3752</v>
      </c>
      <c r="D9787" s="17" t="s">
        <v>2895</v>
      </c>
      <c r="E9787" s="17" t="s">
        <v>3460</v>
      </c>
      <c r="F9787" s="17" t="s">
        <v>3997</v>
      </c>
      <c r="G9787" s="18" t="n">
        <v>4207.5</v>
      </c>
      <c r="H9787" s="18" t="n">
        <v>0</v>
      </c>
      <c r="I9787" s="18" t="n">
        <f aca="false">((I9786 + G9787) - H9787)</f>
        <v>36915.2699999999</v>
      </c>
      <c r="J9787" s="18" t="n">
        <v>0</v>
      </c>
      <c r="K9787" s="19" t="n">
        <v>0</v>
      </c>
      <c r="L9787" s="17"/>
    </row>
    <row r="9788" s="11" customFormat="true" ht="10.95" hidden="false" customHeight="true" outlineLevel="0" collapsed="false">
      <c r="A9788" s="16" t="n">
        <v>45173</v>
      </c>
      <c r="B9788" s="17" t="s">
        <v>3861</v>
      </c>
      <c r="C9788" s="17" t="s">
        <v>3752</v>
      </c>
      <c r="D9788" s="17" t="s">
        <v>2895</v>
      </c>
      <c r="E9788" s="17" t="s">
        <v>3460</v>
      </c>
      <c r="F9788" s="17" t="s">
        <v>3998</v>
      </c>
      <c r="G9788" s="18" t="n">
        <v>4182.2</v>
      </c>
      <c r="H9788" s="18" t="n">
        <v>0</v>
      </c>
      <c r="I9788" s="18" t="n">
        <f aca="false">((I9787 + G9788) - H9788)</f>
        <v>41097.4699999999</v>
      </c>
      <c r="J9788" s="18" t="n">
        <v>0</v>
      </c>
      <c r="K9788" s="19" t="n">
        <v>0</v>
      </c>
      <c r="L9788" s="17"/>
    </row>
    <row r="9789" s="11" customFormat="true" ht="10.95" hidden="false" customHeight="true" outlineLevel="0" collapsed="false">
      <c r="A9789" s="16" t="n">
        <v>45173</v>
      </c>
      <c r="B9789" s="17" t="s">
        <v>3861</v>
      </c>
      <c r="C9789" s="17" t="s">
        <v>3752</v>
      </c>
      <c r="D9789" s="17" t="s">
        <v>2895</v>
      </c>
      <c r="E9789" s="17" t="s">
        <v>2898</v>
      </c>
      <c r="F9789" s="17" t="s">
        <v>2942</v>
      </c>
      <c r="G9789" s="18" t="n">
        <v>739.17</v>
      </c>
      <c r="H9789" s="18" t="n">
        <v>0</v>
      </c>
      <c r="I9789" s="18" t="n">
        <f aca="false">((I9788 + G9789) - H9789)</f>
        <v>41836.6399999999</v>
      </c>
      <c r="J9789" s="18" t="n">
        <v>0</v>
      </c>
      <c r="K9789" s="19" t="n">
        <v>0</v>
      </c>
      <c r="L9789" s="17"/>
    </row>
    <row r="9790" s="11" customFormat="true" ht="10.95" hidden="false" customHeight="true" outlineLevel="0" collapsed="false">
      <c r="A9790" s="16" t="n">
        <v>45173</v>
      </c>
      <c r="B9790" s="17" t="s">
        <v>3861</v>
      </c>
      <c r="C9790" s="17" t="s">
        <v>3752</v>
      </c>
      <c r="D9790" s="17" t="s">
        <v>2903</v>
      </c>
      <c r="E9790" s="17" t="s">
        <v>2943</v>
      </c>
      <c r="F9790" s="17" t="s">
        <v>1777</v>
      </c>
      <c r="G9790" s="18" t="n">
        <v>0</v>
      </c>
      <c r="H9790" s="18" t="n">
        <v>788.27</v>
      </c>
      <c r="I9790" s="18" t="n">
        <f aca="false">((I9789 + G9790) - H9790)</f>
        <v>41048.3699999999</v>
      </c>
      <c r="J9790" s="18" t="n">
        <v>0</v>
      </c>
      <c r="K9790" s="19" t="n">
        <v>0</v>
      </c>
      <c r="L9790" s="17"/>
    </row>
    <row r="9791" s="11" customFormat="true" ht="10.95" hidden="false" customHeight="true" outlineLevel="0" collapsed="false">
      <c r="A9791" s="16" t="n">
        <v>45173</v>
      </c>
      <c r="B9791" s="17" t="s">
        <v>3861</v>
      </c>
      <c r="C9791" s="17" t="s">
        <v>3752</v>
      </c>
      <c r="D9791" s="17" t="s">
        <v>1407</v>
      </c>
      <c r="E9791" s="17" t="s">
        <v>3960</v>
      </c>
      <c r="F9791" s="17"/>
      <c r="G9791" s="18" t="n">
        <v>0</v>
      </c>
      <c r="H9791" s="18" t="n">
        <v>3172.44</v>
      </c>
      <c r="I9791" s="18" t="n">
        <f aca="false">((I9790 + G9791) - H9791)</f>
        <v>37875.9299999999</v>
      </c>
      <c r="J9791" s="18" t="n">
        <v>0</v>
      </c>
      <c r="K9791" s="19" t="n">
        <v>0</v>
      </c>
      <c r="L9791" s="17"/>
    </row>
    <row r="9792" s="11" customFormat="true" ht="10.95" hidden="false" customHeight="true" outlineLevel="0" collapsed="false">
      <c r="A9792" s="16" t="n">
        <v>45174</v>
      </c>
      <c r="B9792" s="17" t="s">
        <v>3861</v>
      </c>
      <c r="C9792" s="17" t="s">
        <v>3752</v>
      </c>
      <c r="D9792" s="17" t="s">
        <v>1276</v>
      </c>
      <c r="E9792" s="17" t="s">
        <v>3428</v>
      </c>
      <c r="F9792" s="17" t="s">
        <v>1300</v>
      </c>
      <c r="G9792" s="18" t="n">
        <v>16.09</v>
      </c>
      <c r="H9792" s="18" t="n">
        <v>0</v>
      </c>
      <c r="I9792" s="18" t="n">
        <f aca="false">((I9791 + G9792) - H9792)</f>
        <v>37892.0199999999</v>
      </c>
      <c r="J9792" s="18" t="n">
        <v>0</v>
      </c>
      <c r="K9792" s="19" t="n">
        <v>0</v>
      </c>
      <c r="L9792" s="17"/>
    </row>
    <row r="9793" s="11" customFormat="true" ht="10.95" hidden="false" customHeight="true" outlineLevel="0" collapsed="false">
      <c r="A9793" s="16" t="n">
        <v>45174</v>
      </c>
      <c r="B9793" s="17" t="s">
        <v>3861</v>
      </c>
      <c r="C9793" s="17" t="s">
        <v>3752</v>
      </c>
      <c r="D9793" s="17" t="s">
        <v>1407</v>
      </c>
      <c r="E9793" s="17" t="s">
        <v>3862</v>
      </c>
      <c r="F9793" s="17" t="s">
        <v>1300</v>
      </c>
      <c r="G9793" s="18" t="n">
        <v>0</v>
      </c>
      <c r="H9793" s="18" t="n">
        <v>16.68</v>
      </c>
      <c r="I9793" s="18" t="n">
        <f aca="false">((I9792 + G9793) - H9793)</f>
        <v>37875.3399999999</v>
      </c>
      <c r="J9793" s="18" t="n">
        <v>0</v>
      </c>
      <c r="K9793" s="19" t="n">
        <v>0</v>
      </c>
      <c r="L9793" s="17"/>
    </row>
    <row r="9794" s="11" customFormat="true" ht="10.95" hidden="false" customHeight="true" outlineLevel="0" collapsed="false">
      <c r="A9794" s="16" t="n">
        <v>45174</v>
      </c>
      <c r="B9794" s="17" t="s">
        <v>3861</v>
      </c>
      <c r="C9794" s="17" t="s">
        <v>3752</v>
      </c>
      <c r="D9794" s="17" t="s">
        <v>2895</v>
      </c>
      <c r="E9794" s="17" t="s">
        <v>3467</v>
      </c>
      <c r="F9794" s="17" t="s">
        <v>1300</v>
      </c>
      <c r="G9794" s="18" t="n">
        <v>919.6</v>
      </c>
      <c r="H9794" s="18" t="n">
        <v>0</v>
      </c>
      <c r="I9794" s="18" t="n">
        <f aca="false">((I9793 + G9794) - H9794)</f>
        <v>38794.9399999999</v>
      </c>
      <c r="J9794" s="18" t="n">
        <v>0</v>
      </c>
      <c r="K9794" s="19" t="n">
        <v>0</v>
      </c>
      <c r="L9794" s="17"/>
    </row>
    <row r="9795" s="11" customFormat="true" ht="10.95" hidden="false" customHeight="true" outlineLevel="0" collapsed="false">
      <c r="A9795" s="16" t="n">
        <v>45174</v>
      </c>
      <c r="B9795" s="17" t="s">
        <v>3861</v>
      </c>
      <c r="C9795" s="17" t="s">
        <v>3752</v>
      </c>
      <c r="D9795" s="17" t="s">
        <v>3814</v>
      </c>
      <c r="E9795" s="17" t="s">
        <v>3815</v>
      </c>
      <c r="F9795" s="17"/>
      <c r="G9795" s="18" t="n">
        <v>0</v>
      </c>
      <c r="H9795" s="18" t="n">
        <v>0.03</v>
      </c>
      <c r="I9795" s="18" t="n">
        <f aca="false">((I9794 + G9795) - H9795)</f>
        <v>38794.9099999999</v>
      </c>
      <c r="J9795" s="18" t="n">
        <v>0</v>
      </c>
      <c r="K9795" s="19" t="n">
        <v>0</v>
      </c>
      <c r="L9795" s="17"/>
    </row>
    <row r="9796" s="11" customFormat="true" ht="10.95" hidden="false" customHeight="true" outlineLevel="0" collapsed="false">
      <c r="A9796" s="16" t="n">
        <v>45174</v>
      </c>
      <c r="B9796" s="17" t="s">
        <v>3861</v>
      </c>
      <c r="C9796" s="17" t="s">
        <v>3752</v>
      </c>
      <c r="D9796" s="17" t="s">
        <v>1407</v>
      </c>
      <c r="E9796" s="17" t="s">
        <v>3863</v>
      </c>
      <c r="F9796" s="17"/>
      <c r="G9796" s="18" t="n">
        <v>0</v>
      </c>
      <c r="H9796" s="18" t="n">
        <v>0.35</v>
      </c>
      <c r="I9796" s="18" t="n">
        <f aca="false">((I9795 + G9796) - H9796)</f>
        <v>38794.5599999999</v>
      </c>
      <c r="J9796" s="18" t="n">
        <v>0</v>
      </c>
      <c r="K9796" s="19" t="n">
        <v>0</v>
      </c>
      <c r="L9796" s="17"/>
    </row>
    <row r="9797" s="11" customFormat="true" ht="10.95" hidden="false" customHeight="true" outlineLevel="0" collapsed="false">
      <c r="A9797" s="16" t="n">
        <v>45174</v>
      </c>
      <c r="B9797" s="17" t="s">
        <v>3861</v>
      </c>
      <c r="C9797" s="17" t="s">
        <v>3752</v>
      </c>
      <c r="D9797" s="17" t="s">
        <v>1407</v>
      </c>
      <c r="E9797" s="17" t="s">
        <v>3863</v>
      </c>
      <c r="F9797" s="17"/>
      <c r="G9797" s="18" t="n">
        <v>0</v>
      </c>
      <c r="H9797" s="18" t="n">
        <v>3.95</v>
      </c>
      <c r="I9797" s="18" t="n">
        <f aca="false">((I9796 + G9797) - H9797)</f>
        <v>38790.6099999999</v>
      </c>
      <c r="J9797" s="18" t="n">
        <v>0</v>
      </c>
      <c r="K9797" s="19" t="n">
        <v>0</v>
      </c>
      <c r="L9797" s="17"/>
    </row>
    <row r="9798" s="11" customFormat="true" ht="10.95" hidden="false" customHeight="true" outlineLevel="0" collapsed="false">
      <c r="A9798" s="16" t="n">
        <v>45174</v>
      </c>
      <c r="B9798" s="17" t="s">
        <v>3861</v>
      </c>
      <c r="C9798" s="17" t="s">
        <v>3752</v>
      </c>
      <c r="D9798" s="17" t="s">
        <v>1407</v>
      </c>
      <c r="E9798" s="17" t="s">
        <v>3863</v>
      </c>
      <c r="F9798" s="17"/>
      <c r="G9798" s="18" t="n">
        <v>0</v>
      </c>
      <c r="H9798" s="18" t="n">
        <v>5.51</v>
      </c>
      <c r="I9798" s="18" t="n">
        <f aca="false">((I9797 + G9798) - H9798)</f>
        <v>38785.0999999999</v>
      </c>
      <c r="J9798" s="18" t="n">
        <v>0</v>
      </c>
      <c r="K9798" s="19" t="n">
        <v>0</v>
      </c>
      <c r="L9798" s="17"/>
    </row>
    <row r="9799" s="11" customFormat="true" ht="10.95" hidden="false" customHeight="true" outlineLevel="0" collapsed="false">
      <c r="A9799" s="16" t="n">
        <v>45174</v>
      </c>
      <c r="B9799" s="17" t="s">
        <v>3861</v>
      </c>
      <c r="C9799" s="17" t="s">
        <v>3752</v>
      </c>
      <c r="D9799" s="17" t="s">
        <v>1407</v>
      </c>
      <c r="E9799" s="17" t="s">
        <v>2747</v>
      </c>
      <c r="F9799" s="17"/>
      <c r="G9799" s="18" t="n">
        <v>0</v>
      </c>
      <c r="H9799" s="18" t="n">
        <v>7</v>
      </c>
      <c r="I9799" s="18" t="n">
        <f aca="false">((I9798 + G9799) - H9799)</f>
        <v>38778.0999999999</v>
      </c>
      <c r="J9799" s="18" t="n">
        <v>0</v>
      </c>
      <c r="K9799" s="19" t="n">
        <v>0</v>
      </c>
      <c r="L9799" s="17"/>
    </row>
    <row r="9800" s="11" customFormat="true" ht="10.95" hidden="false" customHeight="true" outlineLevel="0" collapsed="false">
      <c r="A9800" s="16" t="n">
        <v>45174</v>
      </c>
      <c r="B9800" s="17" t="s">
        <v>3861</v>
      </c>
      <c r="C9800" s="17" t="s">
        <v>3752</v>
      </c>
      <c r="D9800" s="17" t="s">
        <v>1407</v>
      </c>
      <c r="E9800" s="17" t="s">
        <v>3863</v>
      </c>
      <c r="F9800" s="17"/>
      <c r="G9800" s="18" t="n">
        <v>0</v>
      </c>
      <c r="H9800" s="18" t="n">
        <v>7.34</v>
      </c>
      <c r="I9800" s="18" t="n">
        <f aca="false">((I9799 + G9800) - H9800)</f>
        <v>38770.7599999999</v>
      </c>
      <c r="J9800" s="18" t="n">
        <v>0</v>
      </c>
      <c r="K9800" s="19" t="n">
        <v>0</v>
      </c>
      <c r="L9800" s="17"/>
    </row>
    <row r="9801" s="11" customFormat="true" ht="10.95" hidden="false" customHeight="true" outlineLevel="0" collapsed="false">
      <c r="A9801" s="16" t="n">
        <v>45174</v>
      </c>
      <c r="B9801" s="17" t="s">
        <v>3861</v>
      </c>
      <c r="C9801" s="17" t="s">
        <v>3752</v>
      </c>
      <c r="D9801" s="17" t="s">
        <v>1407</v>
      </c>
      <c r="E9801" s="17" t="s">
        <v>3767</v>
      </c>
      <c r="F9801" s="17" t="s">
        <v>2781</v>
      </c>
      <c r="G9801" s="18" t="n">
        <v>0</v>
      </c>
      <c r="H9801" s="18" t="n">
        <v>17.96</v>
      </c>
      <c r="I9801" s="18" t="n">
        <f aca="false">((I9800 + G9801) - H9801)</f>
        <v>38752.7999999999</v>
      </c>
      <c r="J9801" s="18" t="n">
        <v>0</v>
      </c>
      <c r="K9801" s="19" t="n">
        <v>0</v>
      </c>
      <c r="L9801" s="17"/>
    </row>
    <row r="9802" s="11" customFormat="true" ht="10.95" hidden="false" customHeight="true" outlineLevel="0" collapsed="false">
      <c r="A9802" s="16" t="n">
        <v>45174</v>
      </c>
      <c r="B9802" s="17" t="s">
        <v>3861</v>
      </c>
      <c r="C9802" s="17" t="s">
        <v>3752</v>
      </c>
      <c r="D9802" s="17" t="s">
        <v>2903</v>
      </c>
      <c r="E9802" s="17" t="s">
        <v>3652</v>
      </c>
      <c r="F9802" s="17" t="s">
        <v>2293</v>
      </c>
      <c r="G9802" s="18" t="n">
        <v>0</v>
      </c>
      <c r="H9802" s="18" t="n">
        <v>248</v>
      </c>
      <c r="I9802" s="18" t="n">
        <f aca="false">((I9801 + G9802) - H9802)</f>
        <v>38504.7999999999</v>
      </c>
      <c r="J9802" s="18" t="n">
        <v>0</v>
      </c>
      <c r="K9802" s="19" t="n">
        <v>0</v>
      </c>
      <c r="L9802" s="17"/>
    </row>
    <row r="9803" s="11" customFormat="true" ht="10.95" hidden="false" customHeight="true" outlineLevel="0" collapsed="false">
      <c r="A9803" s="16" t="n">
        <v>45174</v>
      </c>
      <c r="B9803" s="17" t="s">
        <v>3861</v>
      </c>
      <c r="C9803" s="17" t="s">
        <v>3752</v>
      </c>
      <c r="D9803" s="17" t="s">
        <v>2903</v>
      </c>
      <c r="E9803" s="17" t="s">
        <v>3631</v>
      </c>
      <c r="F9803" s="17" t="s">
        <v>3258</v>
      </c>
      <c r="G9803" s="18" t="n">
        <v>0</v>
      </c>
      <c r="H9803" s="18" t="n">
        <v>1039.58</v>
      </c>
      <c r="I9803" s="18" t="n">
        <f aca="false">((I9802 + G9803) - H9803)</f>
        <v>37465.2199999999</v>
      </c>
      <c r="J9803" s="18" t="n">
        <v>0</v>
      </c>
      <c r="K9803" s="19" t="n">
        <v>0</v>
      </c>
      <c r="L9803" s="17"/>
    </row>
    <row r="9804" s="11" customFormat="true" ht="10.95" hidden="false" customHeight="true" outlineLevel="0" collapsed="false">
      <c r="A9804" s="16" t="n">
        <v>45174</v>
      </c>
      <c r="B9804" s="17" t="s">
        <v>3861</v>
      </c>
      <c r="C9804" s="17" t="s">
        <v>3752</v>
      </c>
      <c r="D9804" s="17" t="s">
        <v>1407</v>
      </c>
      <c r="E9804" s="17" t="s">
        <v>3878</v>
      </c>
      <c r="F9804" s="17"/>
      <c r="G9804" s="18" t="n">
        <v>0</v>
      </c>
      <c r="H9804" s="18" t="n">
        <v>1188.2</v>
      </c>
      <c r="I9804" s="18" t="n">
        <f aca="false">((I9803 + G9804) - H9804)</f>
        <v>36277.0199999999</v>
      </c>
      <c r="J9804" s="18" t="n">
        <v>0</v>
      </c>
      <c r="K9804" s="19" t="n">
        <v>0</v>
      </c>
      <c r="L9804" s="17"/>
    </row>
    <row r="9805" s="11" customFormat="true" ht="10.95" hidden="false" customHeight="true" outlineLevel="0" collapsed="false">
      <c r="A9805" s="16" t="n">
        <v>45174</v>
      </c>
      <c r="B9805" s="17" t="s">
        <v>3861</v>
      </c>
      <c r="C9805" s="17" t="s">
        <v>3752</v>
      </c>
      <c r="D9805" s="17" t="s">
        <v>1407</v>
      </c>
      <c r="E9805" s="17" t="s">
        <v>3650</v>
      </c>
      <c r="F9805" s="17"/>
      <c r="G9805" s="18" t="n">
        <v>0</v>
      </c>
      <c r="H9805" s="18" t="n">
        <v>152.15</v>
      </c>
      <c r="I9805" s="18" t="n">
        <f aca="false">((I9804 + G9805) - H9805)</f>
        <v>36124.8699999999</v>
      </c>
      <c r="J9805" s="18" t="n">
        <v>0</v>
      </c>
      <c r="K9805" s="19" t="n">
        <v>0</v>
      </c>
      <c r="L9805" s="17"/>
    </row>
    <row r="9806" s="11" customFormat="true" ht="10.95" hidden="false" customHeight="true" outlineLevel="0" collapsed="false">
      <c r="A9806" s="16" t="n">
        <v>45174</v>
      </c>
      <c r="B9806" s="17" t="s">
        <v>3861</v>
      </c>
      <c r="C9806" s="17" t="s">
        <v>3752</v>
      </c>
      <c r="D9806" s="17" t="s">
        <v>1407</v>
      </c>
      <c r="E9806" s="17" t="s">
        <v>3683</v>
      </c>
      <c r="F9806" s="17"/>
      <c r="G9806" s="18" t="n">
        <v>0</v>
      </c>
      <c r="H9806" s="18" t="n">
        <v>131.58</v>
      </c>
      <c r="I9806" s="18" t="n">
        <f aca="false">((I9805 + G9806) - H9806)</f>
        <v>35993.2899999999</v>
      </c>
      <c r="J9806" s="18" t="n">
        <v>0</v>
      </c>
      <c r="K9806" s="19" t="n">
        <v>0</v>
      </c>
      <c r="L9806" s="17"/>
    </row>
    <row r="9807" s="11" customFormat="true" ht="10.95" hidden="false" customHeight="true" outlineLevel="0" collapsed="false">
      <c r="A9807" s="16" t="n">
        <v>45174</v>
      </c>
      <c r="B9807" s="17" t="s">
        <v>3861</v>
      </c>
      <c r="C9807" s="17" t="s">
        <v>3752</v>
      </c>
      <c r="D9807" s="17" t="s">
        <v>1407</v>
      </c>
      <c r="E9807" s="17" t="s">
        <v>3680</v>
      </c>
      <c r="F9807" s="17"/>
      <c r="G9807" s="18" t="n">
        <v>0</v>
      </c>
      <c r="H9807" s="18" t="n">
        <v>183.63</v>
      </c>
      <c r="I9807" s="18" t="n">
        <f aca="false">((I9806 + G9807) - H9807)</f>
        <v>35809.6599999999</v>
      </c>
      <c r="J9807" s="18" t="n">
        <v>0</v>
      </c>
      <c r="K9807" s="19" t="n">
        <v>0</v>
      </c>
      <c r="L9807" s="17"/>
    </row>
    <row r="9808" s="11" customFormat="true" ht="10.95" hidden="false" customHeight="true" outlineLevel="0" collapsed="false">
      <c r="A9808" s="16" t="n">
        <v>45174</v>
      </c>
      <c r="B9808" s="17" t="s">
        <v>3861</v>
      </c>
      <c r="C9808" s="17" t="s">
        <v>3752</v>
      </c>
      <c r="D9808" s="17" t="s">
        <v>1407</v>
      </c>
      <c r="E9808" s="17" t="s">
        <v>3681</v>
      </c>
      <c r="F9808" s="17"/>
      <c r="G9808" s="18" t="n">
        <v>0</v>
      </c>
      <c r="H9808" s="18" t="n">
        <v>244.62</v>
      </c>
      <c r="I9808" s="18" t="n">
        <f aca="false">((I9807 + G9808) - H9808)</f>
        <v>35565.0399999999</v>
      </c>
      <c r="J9808" s="18" t="n">
        <v>0</v>
      </c>
      <c r="K9808" s="19" t="n">
        <v>0</v>
      </c>
      <c r="L9808" s="17"/>
    </row>
    <row r="9809" s="11" customFormat="true" ht="10.95" hidden="false" customHeight="true" outlineLevel="0" collapsed="false">
      <c r="A9809" s="16" t="n">
        <v>45174</v>
      </c>
      <c r="B9809" s="17" t="s">
        <v>3861</v>
      </c>
      <c r="C9809" s="17" t="s">
        <v>3752</v>
      </c>
      <c r="D9809" s="17" t="s">
        <v>1407</v>
      </c>
      <c r="E9809" s="17" t="s">
        <v>3658</v>
      </c>
      <c r="F9809" s="17"/>
      <c r="G9809" s="18" t="n">
        <v>0</v>
      </c>
      <c r="H9809" s="18" t="n">
        <v>11.56</v>
      </c>
      <c r="I9809" s="18" t="n">
        <f aca="false">((I9808 + G9809) - H9809)</f>
        <v>35553.4799999999</v>
      </c>
      <c r="J9809" s="18" t="n">
        <v>0</v>
      </c>
      <c r="K9809" s="19" t="n">
        <v>0</v>
      </c>
      <c r="L9809" s="17"/>
    </row>
    <row r="9810" s="11" customFormat="true" ht="10.95" hidden="false" customHeight="true" outlineLevel="0" collapsed="false">
      <c r="A9810" s="16" t="n">
        <v>45174</v>
      </c>
      <c r="B9810" s="17" t="s">
        <v>3861</v>
      </c>
      <c r="C9810" s="17" t="s">
        <v>3752</v>
      </c>
      <c r="D9810" s="17" t="s">
        <v>1407</v>
      </c>
      <c r="E9810" s="17" t="s">
        <v>3642</v>
      </c>
      <c r="F9810" s="17"/>
      <c r="G9810" s="18" t="n">
        <v>0</v>
      </c>
      <c r="H9810" s="18" t="n">
        <v>780</v>
      </c>
      <c r="I9810" s="18" t="n">
        <f aca="false">((I9809 + G9810) - H9810)</f>
        <v>34773.4799999999</v>
      </c>
      <c r="J9810" s="18" t="n">
        <v>0</v>
      </c>
      <c r="K9810" s="19" t="n">
        <v>0</v>
      </c>
      <c r="L9810" s="17"/>
    </row>
    <row r="9811" s="11" customFormat="true" ht="10.95" hidden="false" customHeight="true" outlineLevel="0" collapsed="false">
      <c r="A9811" s="16" t="n">
        <v>45174</v>
      </c>
      <c r="B9811" s="17" t="s">
        <v>3861</v>
      </c>
      <c r="C9811" s="17" t="s">
        <v>3752</v>
      </c>
      <c r="D9811" s="17" t="s">
        <v>1407</v>
      </c>
      <c r="E9811" s="17" t="s">
        <v>3881</v>
      </c>
      <c r="F9811" s="17"/>
      <c r="G9811" s="18" t="n">
        <v>0</v>
      </c>
      <c r="H9811" s="18" t="n">
        <v>1000</v>
      </c>
      <c r="I9811" s="18" t="n">
        <f aca="false">((I9810 + G9811) - H9811)</f>
        <v>33773.4799999999</v>
      </c>
      <c r="J9811" s="18" t="n">
        <v>0</v>
      </c>
      <c r="K9811" s="19" t="n">
        <v>0</v>
      </c>
      <c r="L9811" s="17"/>
    </row>
    <row r="9812" s="11" customFormat="true" ht="10.95" hidden="false" customHeight="true" outlineLevel="0" collapsed="false">
      <c r="A9812" s="16" t="n">
        <v>45175</v>
      </c>
      <c r="B9812" s="17" t="s">
        <v>3861</v>
      </c>
      <c r="C9812" s="17" t="s">
        <v>3752</v>
      </c>
      <c r="D9812" s="17" t="s">
        <v>2895</v>
      </c>
      <c r="E9812" s="17" t="s">
        <v>3389</v>
      </c>
      <c r="F9812" s="17" t="s">
        <v>3999</v>
      </c>
      <c r="G9812" s="18" t="n">
        <v>5599</v>
      </c>
      <c r="H9812" s="18" t="n">
        <v>0</v>
      </c>
      <c r="I9812" s="18" t="n">
        <f aca="false">((I9811 + G9812) - H9812)</f>
        <v>39372.4799999999</v>
      </c>
      <c r="J9812" s="18" t="n">
        <v>0</v>
      </c>
      <c r="K9812" s="19" t="n">
        <v>0</v>
      </c>
      <c r="L9812" s="17"/>
    </row>
    <row r="9813" s="11" customFormat="true" ht="10.95" hidden="false" customHeight="true" outlineLevel="0" collapsed="false">
      <c r="A9813" s="16" t="n">
        <v>45175</v>
      </c>
      <c r="B9813" s="17" t="s">
        <v>3861</v>
      </c>
      <c r="C9813" s="17" t="s">
        <v>3752</v>
      </c>
      <c r="D9813" s="17" t="s">
        <v>3814</v>
      </c>
      <c r="E9813" s="17" t="s">
        <v>3815</v>
      </c>
      <c r="F9813" s="17"/>
      <c r="G9813" s="18" t="n">
        <v>0</v>
      </c>
      <c r="H9813" s="18" t="n">
        <v>0.22</v>
      </c>
      <c r="I9813" s="18" t="n">
        <f aca="false">((I9812 + G9813) - H9813)</f>
        <v>39372.2599999999</v>
      </c>
      <c r="J9813" s="18" t="n">
        <v>0</v>
      </c>
      <c r="K9813" s="19" t="n">
        <v>0</v>
      </c>
      <c r="L9813" s="17"/>
    </row>
    <row r="9814" s="11" customFormat="true" ht="10.95" hidden="false" customHeight="true" outlineLevel="0" collapsed="false">
      <c r="A9814" s="16" t="n">
        <v>45175</v>
      </c>
      <c r="B9814" s="17" t="s">
        <v>3861</v>
      </c>
      <c r="C9814" s="17" t="s">
        <v>3752</v>
      </c>
      <c r="D9814" s="17" t="s">
        <v>2895</v>
      </c>
      <c r="E9814" s="17" t="s">
        <v>3401</v>
      </c>
      <c r="F9814" s="17" t="s">
        <v>4000</v>
      </c>
      <c r="G9814" s="18" t="n">
        <v>561</v>
      </c>
      <c r="H9814" s="18" t="n">
        <v>0</v>
      </c>
      <c r="I9814" s="18" t="n">
        <f aca="false">((I9813 + G9814) - H9814)</f>
        <v>39933.2599999999</v>
      </c>
      <c r="J9814" s="18" t="n">
        <v>0</v>
      </c>
      <c r="K9814" s="19" t="n">
        <v>0</v>
      </c>
      <c r="L9814" s="17"/>
    </row>
    <row r="9815" s="11" customFormat="true" ht="10.95" hidden="false" customHeight="true" outlineLevel="0" collapsed="false">
      <c r="A9815" s="16" t="n">
        <v>45175</v>
      </c>
      <c r="B9815" s="17" t="s">
        <v>3861</v>
      </c>
      <c r="C9815" s="17" t="s">
        <v>3752</v>
      </c>
      <c r="D9815" s="17" t="s">
        <v>1407</v>
      </c>
      <c r="E9815" s="17" t="s">
        <v>2747</v>
      </c>
      <c r="F9815" s="17"/>
      <c r="G9815" s="18" t="n">
        <v>0</v>
      </c>
      <c r="H9815" s="18" t="n">
        <v>7</v>
      </c>
      <c r="I9815" s="18" t="n">
        <f aca="false">((I9814 + G9815) - H9815)</f>
        <v>39926.2599999999</v>
      </c>
      <c r="J9815" s="18" t="n">
        <v>0</v>
      </c>
      <c r="K9815" s="19" t="n">
        <v>0</v>
      </c>
      <c r="L9815" s="17"/>
    </row>
    <row r="9816" s="11" customFormat="true" ht="10.95" hidden="false" customHeight="true" outlineLevel="0" collapsed="false">
      <c r="A9816" s="16" t="n">
        <v>45175</v>
      </c>
      <c r="B9816" s="17" t="s">
        <v>3861</v>
      </c>
      <c r="C9816" s="17" t="s">
        <v>3752</v>
      </c>
      <c r="D9816" s="17" t="s">
        <v>1407</v>
      </c>
      <c r="E9816" s="17" t="s">
        <v>3642</v>
      </c>
      <c r="F9816" s="17"/>
      <c r="G9816" s="18" t="n">
        <v>0</v>
      </c>
      <c r="H9816" s="18" t="n">
        <v>18.15</v>
      </c>
      <c r="I9816" s="18" t="n">
        <f aca="false">((I9815 + G9816) - H9816)</f>
        <v>39908.1099999999</v>
      </c>
      <c r="J9816" s="18" t="n">
        <v>0</v>
      </c>
      <c r="K9816" s="19" t="n">
        <v>0</v>
      </c>
      <c r="L9816" s="17"/>
    </row>
    <row r="9817" s="11" customFormat="true" ht="10.95" hidden="false" customHeight="true" outlineLevel="0" collapsed="false">
      <c r="A9817" s="16" t="n">
        <v>45175</v>
      </c>
      <c r="B9817" s="17" t="s">
        <v>3861</v>
      </c>
      <c r="C9817" s="17" t="s">
        <v>3752</v>
      </c>
      <c r="D9817" s="17" t="s">
        <v>1407</v>
      </c>
      <c r="E9817" s="17" t="s">
        <v>3626</v>
      </c>
      <c r="F9817" s="17"/>
      <c r="G9817" s="18" t="n">
        <v>0</v>
      </c>
      <c r="H9817" s="18" t="n">
        <v>71.5</v>
      </c>
      <c r="I9817" s="18" t="n">
        <f aca="false">((I9816 + G9817) - H9817)</f>
        <v>39836.6099999999</v>
      </c>
      <c r="J9817" s="18" t="n">
        <v>0</v>
      </c>
      <c r="K9817" s="19" t="n">
        <v>0</v>
      </c>
      <c r="L9817" s="17"/>
    </row>
    <row r="9818" s="11" customFormat="true" ht="10.95" hidden="false" customHeight="true" outlineLevel="0" collapsed="false">
      <c r="A9818" s="16" t="n">
        <v>45175</v>
      </c>
      <c r="B9818" s="17" t="s">
        <v>3861</v>
      </c>
      <c r="C9818" s="17" t="s">
        <v>3752</v>
      </c>
      <c r="D9818" s="17" t="s">
        <v>1407</v>
      </c>
      <c r="E9818" s="17" t="s">
        <v>3881</v>
      </c>
      <c r="F9818" s="17"/>
      <c r="G9818" s="18" t="n">
        <v>0</v>
      </c>
      <c r="H9818" s="18" t="n">
        <v>140</v>
      </c>
      <c r="I9818" s="18" t="n">
        <f aca="false">((I9817 + G9818) - H9818)</f>
        <v>39696.6099999999</v>
      </c>
      <c r="J9818" s="18" t="n">
        <v>0</v>
      </c>
      <c r="K9818" s="19" t="n">
        <v>0</v>
      </c>
      <c r="L9818" s="17"/>
    </row>
    <row r="9819" s="11" customFormat="true" ht="10.95" hidden="false" customHeight="true" outlineLevel="0" collapsed="false">
      <c r="A9819" s="16" t="n">
        <v>45175</v>
      </c>
      <c r="B9819" s="17" t="s">
        <v>3861</v>
      </c>
      <c r="C9819" s="17" t="s">
        <v>3752</v>
      </c>
      <c r="D9819" s="17" t="s">
        <v>2903</v>
      </c>
      <c r="E9819" s="17" t="s">
        <v>3672</v>
      </c>
      <c r="F9819" s="17" t="s">
        <v>3362</v>
      </c>
      <c r="G9819" s="18" t="n">
        <v>0</v>
      </c>
      <c r="H9819" s="18" t="n">
        <v>150</v>
      </c>
      <c r="I9819" s="18" t="n">
        <f aca="false">((I9818 + G9819) - H9819)</f>
        <v>39546.6099999999</v>
      </c>
      <c r="J9819" s="18" t="n">
        <v>0</v>
      </c>
      <c r="K9819" s="19" t="n">
        <v>0</v>
      </c>
      <c r="L9819" s="17"/>
    </row>
    <row r="9820" s="11" customFormat="true" ht="10.95" hidden="false" customHeight="true" outlineLevel="0" collapsed="false">
      <c r="A9820" s="16" t="n">
        <v>45175</v>
      </c>
      <c r="B9820" s="17" t="s">
        <v>3861</v>
      </c>
      <c r="C9820" s="17" t="s">
        <v>3752</v>
      </c>
      <c r="D9820" s="17" t="s">
        <v>1407</v>
      </c>
      <c r="E9820" s="17" t="s">
        <v>3878</v>
      </c>
      <c r="F9820" s="17"/>
      <c r="G9820" s="18" t="n">
        <v>0</v>
      </c>
      <c r="H9820" s="18" t="n">
        <v>452</v>
      </c>
      <c r="I9820" s="18" t="n">
        <f aca="false">((I9819 + G9820) - H9820)</f>
        <v>39094.6099999999</v>
      </c>
      <c r="J9820" s="18" t="n">
        <v>0</v>
      </c>
      <c r="K9820" s="19" t="n">
        <v>0</v>
      </c>
      <c r="L9820" s="17"/>
    </row>
    <row r="9821" s="11" customFormat="true" ht="10.95" hidden="false" customHeight="true" outlineLevel="0" collapsed="false">
      <c r="A9821" s="16" t="n">
        <v>45175</v>
      </c>
      <c r="B9821" s="17" t="s">
        <v>3861</v>
      </c>
      <c r="C9821" s="17" t="s">
        <v>3752</v>
      </c>
      <c r="D9821" s="17" t="s">
        <v>1407</v>
      </c>
      <c r="E9821" s="17" t="s">
        <v>3879</v>
      </c>
      <c r="F9821" s="17"/>
      <c r="G9821" s="18" t="n">
        <v>0</v>
      </c>
      <c r="H9821" s="18" t="n">
        <v>1207</v>
      </c>
      <c r="I9821" s="18" t="n">
        <f aca="false">((I9820 + G9821) - H9821)</f>
        <v>37887.6099999999</v>
      </c>
      <c r="J9821" s="18" t="n">
        <v>0</v>
      </c>
      <c r="K9821" s="19" t="n">
        <v>0</v>
      </c>
      <c r="L9821" s="17"/>
    </row>
    <row r="9822" s="11" customFormat="true" ht="10.95" hidden="false" customHeight="true" outlineLevel="0" collapsed="false">
      <c r="A9822" s="16" t="n">
        <v>45175</v>
      </c>
      <c r="B9822" s="17" t="s">
        <v>3861</v>
      </c>
      <c r="C9822" s="17" t="s">
        <v>3752</v>
      </c>
      <c r="D9822" s="17" t="s">
        <v>1407</v>
      </c>
      <c r="E9822" s="17" t="s">
        <v>3880</v>
      </c>
      <c r="F9822" s="17"/>
      <c r="G9822" s="18" t="n">
        <v>0</v>
      </c>
      <c r="H9822" s="18" t="n">
        <v>1207</v>
      </c>
      <c r="I9822" s="18" t="n">
        <f aca="false">((I9821 + G9822) - H9822)</f>
        <v>36680.6099999999</v>
      </c>
      <c r="J9822" s="18" t="n">
        <v>0</v>
      </c>
      <c r="K9822" s="19" t="n">
        <v>0</v>
      </c>
      <c r="L9822" s="17"/>
    </row>
    <row r="9823" s="11" customFormat="true" ht="10.95" hidden="false" customHeight="true" outlineLevel="0" collapsed="false">
      <c r="A9823" s="16" t="n">
        <v>45175</v>
      </c>
      <c r="B9823" s="17" t="s">
        <v>3861</v>
      </c>
      <c r="C9823" s="17" t="s">
        <v>3752</v>
      </c>
      <c r="D9823" s="17" t="s">
        <v>1407</v>
      </c>
      <c r="E9823" s="17" t="s">
        <v>3808</v>
      </c>
      <c r="F9823" s="17"/>
      <c r="G9823" s="18" t="n">
        <v>0</v>
      </c>
      <c r="H9823" s="18" t="n">
        <v>1705.92</v>
      </c>
      <c r="I9823" s="18" t="n">
        <f aca="false">((I9822 + G9823) - H9823)</f>
        <v>34974.6899999999</v>
      </c>
      <c r="J9823" s="18" t="n">
        <v>0</v>
      </c>
      <c r="K9823" s="19" t="n">
        <v>0</v>
      </c>
      <c r="L9823" s="17"/>
    </row>
    <row r="9824" s="11" customFormat="true" ht="10.95" hidden="false" customHeight="true" outlineLevel="0" collapsed="false">
      <c r="A9824" s="16" t="n">
        <v>45175</v>
      </c>
      <c r="B9824" s="17" t="s">
        <v>3861</v>
      </c>
      <c r="C9824" s="17" t="s">
        <v>3752</v>
      </c>
      <c r="D9824" s="17" t="s">
        <v>1407</v>
      </c>
      <c r="E9824" s="17" t="s">
        <v>3888</v>
      </c>
      <c r="F9824" s="17"/>
      <c r="G9824" s="18" t="n">
        <v>0</v>
      </c>
      <c r="H9824" s="18" t="n">
        <v>3217.43</v>
      </c>
      <c r="I9824" s="18" t="n">
        <f aca="false">((I9823 + G9824) - H9824)</f>
        <v>31757.2599999999</v>
      </c>
      <c r="J9824" s="18" t="n">
        <v>0</v>
      </c>
      <c r="K9824" s="19" t="n">
        <v>0</v>
      </c>
      <c r="L9824" s="17"/>
    </row>
    <row r="9825" s="11" customFormat="true" ht="10.95" hidden="false" customHeight="true" outlineLevel="0" collapsed="false">
      <c r="A9825" s="16" t="n">
        <v>45175</v>
      </c>
      <c r="B9825" s="17" t="s">
        <v>3861</v>
      </c>
      <c r="C9825" s="17" t="s">
        <v>3752</v>
      </c>
      <c r="D9825" s="17" t="s">
        <v>1407</v>
      </c>
      <c r="E9825" s="17" t="s">
        <v>3996</v>
      </c>
      <c r="F9825" s="17"/>
      <c r="G9825" s="18" t="n">
        <v>0</v>
      </c>
      <c r="H9825" s="18" t="n">
        <v>4400</v>
      </c>
      <c r="I9825" s="18" t="n">
        <f aca="false">((I9824 + G9825) - H9825)</f>
        <v>27357.2599999999</v>
      </c>
      <c r="J9825" s="18" t="n">
        <v>0</v>
      </c>
      <c r="K9825" s="19" t="n">
        <v>0</v>
      </c>
      <c r="L9825" s="17"/>
    </row>
    <row r="9826" s="11" customFormat="true" ht="10.95" hidden="false" customHeight="true" outlineLevel="0" collapsed="false">
      <c r="A9826" s="16" t="n">
        <v>45176</v>
      </c>
      <c r="B9826" s="17" t="s">
        <v>3861</v>
      </c>
      <c r="C9826" s="17" t="s">
        <v>3752</v>
      </c>
      <c r="D9826" s="17" t="s">
        <v>2895</v>
      </c>
      <c r="E9826" s="17" t="s">
        <v>2922</v>
      </c>
      <c r="F9826" s="17" t="s">
        <v>2944</v>
      </c>
      <c r="G9826" s="18" t="n">
        <v>7457.28</v>
      </c>
      <c r="H9826" s="18" t="n">
        <v>0</v>
      </c>
      <c r="I9826" s="18" t="n">
        <f aca="false">((I9825 + G9826) - H9826)</f>
        <v>34814.5399999999</v>
      </c>
      <c r="J9826" s="18" t="n">
        <v>0</v>
      </c>
      <c r="K9826" s="19" t="n">
        <v>0</v>
      </c>
      <c r="L9826" s="17"/>
    </row>
    <row r="9827" s="11" customFormat="true" ht="10.95" hidden="false" customHeight="true" outlineLevel="0" collapsed="false">
      <c r="A9827" s="16" t="n">
        <v>45176</v>
      </c>
      <c r="B9827" s="17" t="s">
        <v>3861</v>
      </c>
      <c r="C9827" s="17" t="s">
        <v>3752</v>
      </c>
      <c r="D9827" s="17" t="s">
        <v>2895</v>
      </c>
      <c r="E9827" s="17" t="s">
        <v>2922</v>
      </c>
      <c r="F9827" s="17" t="s">
        <v>2945</v>
      </c>
      <c r="G9827" s="18" t="n">
        <v>7456.13</v>
      </c>
      <c r="H9827" s="18" t="n">
        <v>0</v>
      </c>
      <c r="I9827" s="18" t="n">
        <f aca="false">((I9826 + G9827) - H9827)</f>
        <v>42270.6699999999</v>
      </c>
      <c r="J9827" s="18" t="n">
        <v>0</v>
      </c>
      <c r="K9827" s="19" t="n">
        <v>0</v>
      </c>
      <c r="L9827" s="17"/>
    </row>
    <row r="9828" s="11" customFormat="true" ht="10.95" hidden="false" customHeight="true" outlineLevel="0" collapsed="false">
      <c r="A9828" s="16" t="n">
        <v>45176</v>
      </c>
      <c r="B9828" s="17" t="s">
        <v>3861</v>
      </c>
      <c r="C9828" s="17" t="s">
        <v>3752</v>
      </c>
      <c r="D9828" s="17" t="s">
        <v>2895</v>
      </c>
      <c r="E9828" s="17" t="s">
        <v>2906</v>
      </c>
      <c r="F9828" s="17" t="s">
        <v>2946</v>
      </c>
      <c r="G9828" s="18" t="n">
        <v>3029.76</v>
      </c>
      <c r="H9828" s="18" t="n">
        <v>0</v>
      </c>
      <c r="I9828" s="18" t="n">
        <f aca="false">((I9827 + G9828) - H9828)</f>
        <v>45300.4299999999</v>
      </c>
      <c r="J9828" s="18" t="n">
        <v>0</v>
      </c>
      <c r="K9828" s="19" t="n">
        <v>0</v>
      </c>
      <c r="L9828" s="17"/>
    </row>
    <row r="9829" s="11" customFormat="true" ht="10.95" hidden="false" customHeight="true" outlineLevel="0" collapsed="false">
      <c r="A9829" s="16" t="n">
        <v>45176</v>
      </c>
      <c r="B9829" s="17" t="s">
        <v>3861</v>
      </c>
      <c r="C9829" s="17" t="s">
        <v>3752</v>
      </c>
      <c r="D9829" s="17" t="s">
        <v>2895</v>
      </c>
      <c r="E9829" s="17" t="s">
        <v>3456</v>
      </c>
      <c r="F9829" s="17" t="s">
        <v>4001</v>
      </c>
      <c r="G9829" s="18" t="n">
        <v>2244</v>
      </c>
      <c r="H9829" s="18" t="n">
        <v>0</v>
      </c>
      <c r="I9829" s="18" t="n">
        <f aca="false">((I9828 + G9829) - H9829)</f>
        <v>47544.4299999999</v>
      </c>
      <c r="J9829" s="18" t="n">
        <v>0</v>
      </c>
      <c r="K9829" s="19" t="n">
        <v>0</v>
      </c>
      <c r="L9829" s="17"/>
    </row>
    <row r="9830" s="11" customFormat="true" ht="10.95" hidden="false" customHeight="true" outlineLevel="0" collapsed="false">
      <c r="A9830" s="16" t="n">
        <v>45176</v>
      </c>
      <c r="B9830" s="17" t="s">
        <v>3861</v>
      </c>
      <c r="C9830" s="17" t="s">
        <v>3752</v>
      </c>
      <c r="D9830" s="17" t="s">
        <v>1407</v>
      </c>
      <c r="E9830" s="17" t="s">
        <v>3863</v>
      </c>
      <c r="F9830" s="17"/>
      <c r="G9830" s="18" t="n">
        <v>0</v>
      </c>
      <c r="H9830" s="18" t="n">
        <v>1.35</v>
      </c>
      <c r="I9830" s="18" t="n">
        <f aca="false">((I9829 + G9830) - H9830)</f>
        <v>47543.0799999999</v>
      </c>
      <c r="J9830" s="18" t="n">
        <v>0</v>
      </c>
      <c r="K9830" s="19" t="n">
        <v>0</v>
      </c>
      <c r="L9830" s="17"/>
    </row>
    <row r="9831" s="11" customFormat="true" ht="10.95" hidden="false" customHeight="true" outlineLevel="0" collapsed="false">
      <c r="A9831" s="16" t="n">
        <v>45176</v>
      </c>
      <c r="B9831" s="17" t="s">
        <v>3861</v>
      </c>
      <c r="C9831" s="17" t="s">
        <v>3752</v>
      </c>
      <c r="D9831" s="17" t="s">
        <v>1407</v>
      </c>
      <c r="E9831" s="17" t="s">
        <v>3642</v>
      </c>
      <c r="F9831" s="17"/>
      <c r="G9831" s="18" t="n">
        <v>0</v>
      </c>
      <c r="H9831" s="18" t="n">
        <v>18.92</v>
      </c>
      <c r="I9831" s="18" t="n">
        <f aca="false">((I9830 + G9831) - H9831)</f>
        <v>47524.1599999999</v>
      </c>
      <c r="J9831" s="18" t="n">
        <v>0</v>
      </c>
      <c r="K9831" s="19" t="n">
        <v>0</v>
      </c>
      <c r="L9831" s="17"/>
    </row>
    <row r="9832" s="11" customFormat="true" ht="10.95" hidden="false" customHeight="true" outlineLevel="0" collapsed="false">
      <c r="A9832" s="16" t="n">
        <v>45176</v>
      </c>
      <c r="B9832" s="17" t="s">
        <v>3861</v>
      </c>
      <c r="C9832" s="17" t="s">
        <v>3752</v>
      </c>
      <c r="D9832" s="17" t="s">
        <v>1407</v>
      </c>
      <c r="E9832" s="17" t="s">
        <v>3772</v>
      </c>
      <c r="F9832" s="17"/>
      <c r="G9832" s="18" t="n">
        <v>0</v>
      </c>
      <c r="H9832" s="18" t="n">
        <v>45.06</v>
      </c>
      <c r="I9832" s="18" t="n">
        <f aca="false">((I9831 + G9832) - H9832)</f>
        <v>47479.0999999999</v>
      </c>
      <c r="J9832" s="18" t="n">
        <v>0</v>
      </c>
      <c r="K9832" s="19" t="n">
        <v>0</v>
      </c>
      <c r="L9832" s="17"/>
    </row>
    <row r="9833" s="11" customFormat="true" ht="10.95" hidden="false" customHeight="true" outlineLevel="0" collapsed="false">
      <c r="A9833" s="16" t="n">
        <v>45176</v>
      </c>
      <c r="B9833" s="17" t="s">
        <v>3861</v>
      </c>
      <c r="C9833" s="17" t="s">
        <v>3752</v>
      </c>
      <c r="D9833" s="17" t="s">
        <v>1407</v>
      </c>
      <c r="E9833" s="17" t="s">
        <v>3858</v>
      </c>
      <c r="F9833" s="17"/>
      <c r="G9833" s="18" t="n">
        <v>0</v>
      </c>
      <c r="H9833" s="18" t="n">
        <v>529</v>
      </c>
      <c r="I9833" s="18" t="n">
        <f aca="false">((I9832 + G9833) - H9833)</f>
        <v>46950.0999999999</v>
      </c>
      <c r="J9833" s="18" t="n">
        <v>0</v>
      </c>
      <c r="K9833" s="19" t="n">
        <v>0</v>
      </c>
      <c r="L9833" s="17"/>
    </row>
    <row r="9834" s="11" customFormat="true" ht="10.95" hidden="false" customHeight="true" outlineLevel="0" collapsed="false">
      <c r="A9834" s="16" t="n">
        <v>45176</v>
      </c>
      <c r="B9834" s="17" t="s">
        <v>3861</v>
      </c>
      <c r="C9834" s="17" t="s">
        <v>3752</v>
      </c>
      <c r="D9834" s="17" t="s">
        <v>1407</v>
      </c>
      <c r="E9834" s="17" t="s">
        <v>3858</v>
      </c>
      <c r="F9834" s="17"/>
      <c r="G9834" s="18" t="n">
        <v>0</v>
      </c>
      <c r="H9834" s="18" t="n">
        <v>2.91</v>
      </c>
      <c r="I9834" s="18" t="n">
        <f aca="false">((I9833 + G9834) - H9834)</f>
        <v>46947.1899999999</v>
      </c>
      <c r="J9834" s="18" t="n">
        <v>0</v>
      </c>
      <c r="K9834" s="19" t="n">
        <v>0</v>
      </c>
      <c r="L9834" s="17"/>
    </row>
    <row r="9835" s="11" customFormat="true" ht="10.95" hidden="false" customHeight="true" outlineLevel="0" collapsed="false">
      <c r="A9835" s="16" t="n">
        <v>45177</v>
      </c>
      <c r="B9835" s="17" t="s">
        <v>3861</v>
      </c>
      <c r="C9835" s="17" t="s">
        <v>3752</v>
      </c>
      <c r="D9835" s="17" t="s">
        <v>2895</v>
      </c>
      <c r="E9835" s="17" t="s">
        <v>3457</v>
      </c>
      <c r="F9835" s="17" t="s">
        <v>4002</v>
      </c>
      <c r="G9835" s="18" t="n">
        <v>9394</v>
      </c>
      <c r="H9835" s="18" t="n">
        <v>0</v>
      </c>
      <c r="I9835" s="18" t="n">
        <f aca="false">((I9834 + G9835) - H9835)</f>
        <v>56341.1899999999</v>
      </c>
      <c r="J9835" s="18" t="n">
        <v>0</v>
      </c>
      <c r="K9835" s="19" t="n">
        <v>0</v>
      </c>
      <c r="L9835" s="17"/>
    </row>
    <row r="9836" s="11" customFormat="true" ht="10.95" hidden="false" customHeight="true" outlineLevel="0" collapsed="false">
      <c r="A9836" s="16" t="n">
        <v>45177</v>
      </c>
      <c r="B9836" s="17" t="s">
        <v>3861</v>
      </c>
      <c r="C9836" s="17" t="s">
        <v>3752</v>
      </c>
      <c r="D9836" s="17" t="s">
        <v>2895</v>
      </c>
      <c r="E9836" s="17" t="s">
        <v>3391</v>
      </c>
      <c r="F9836" s="17" t="s">
        <v>4003</v>
      </c>
      <c r="G9836" s="18" t="n">
        <v>2077.76</v>
      </c>
      <c r="H9836" s="18" t="n">
        <v>0</v>
      </c>
      <c r="I9836" s="18" t="n">
        <f aca="false">((I9835 + G9836) - H9836)</f>
        <v>58418.9499999999</v>
      </c>
      <c r="J9836" s="18" t="n">
        <v>0</v>
      </c>
      <c r="K9836" s="19" t="n">
        <v>0</v>
      </c>
      <c r="L9836" s="17"/>
    </row>
    <row r="9837" s="11" customFormat="true" ht="10.95" hidden="false" customHeight="true" outlineLevel="0" collapsed="false">
      <c r="A9837" s="16" t="n">
        <v>45177</v>
      </c>
      <c r="B9837" s="17" t="s">
        <v>3861</v>
      </c>
      <c r="C9837" s="17" t="s">
        <v>3752</v>
      </c>
      <c r="D9837" s="17" t="s">
        <v>1407</v>
      </c>
      <c r="E9837" s="17" t="s">
        <v>3863</v>
      </c>
      <c r="F9837" s="17"/>
      <c r="G9837" s="18" t="n">
        <v>0</v>
      </c>
      <c r="H9837" s="18" t="n">
        <v>114.76</v>
      </c>
      <c r="I9837" s="18" t="n">
        <f aca="false">((I9836 + G9837) - H9837)</f>
        <v>58304.1899999999</v>
      </c>
      <c r="J9837" s="18" t="n">
        <v>0</v>
      </c>
      <c r="K9837" s="19" t="n">
        <v>0</v>
      </c>
      <c r="L9837" s="17"/>
    </row>
    <row r="9838" s="11" customFormat="true" ht="10.95" hidden="false" customHeight="true" outlineLevel="0" collapsed="false">
      <c r="A9838" s="16" t="n">
        <v>45177</v>
      </c>
      <c r="B9838" s="17" t="s">
        <v>3861</v>
      </c>
      <c r="C9838" s="17" t="s">
        <v>3752</v>
      </c>
      <c r="D9838" s="17" t="s">
        <v>2903</v>
      </c>
      <c r="E9838" s="17" t="s">
        <v>2904</v>
      </c>
      <c r="F9838" s="17" t="s">
        <v>1437</v>
      </c>
      <c r="G9838" s="18" t="n">
        <v>0</v>
      </c>
      <c r="H9838" s="18" t="n">
        <v>3825.38</v>
      </c>
      <c r="I9838" s="18" t="n">
        <f aca="false">((I9837 + G9838) - H9838)</f>
        <v>54478.8099999999</v>
      </c>
      <c r="J9838" s="18" t="n">
        <v>0</v>
      </c>
      <c r="K9838" s="19" t="n">
        <v>0</v>
      </c>
      <c r="L9838" s="17"/>
    </row>
    <row r="9839" s="11" customFormat="true" ht="10.95" hidden="false" customHeight="true" outlineLevel="0" collapsed="false">
      <c r="A9839" s="16" t="n">
        <v>45177</v>
      </c>
      <c r="B9839" s="17" t="s">
        <v>3861</v>
      </c>
      <c r="C9839" s="17" t="s">
        <v>3752</v>
      </c>
      <c r="D9839" s="17" t="s">
        <v>1407</v>
      </c>
      <c r="E9839" s="17" t="s">
        <v>3736</v>
      </c>
      <c r="F9839" s="17"/>
      <c r="G9839" s="18" t="n">
        <v>0</v>
      </c>
      <c r="H9839" s="18" t="n">
        <v>12.99</v>
      </c>
      <c r="I9839" s="18" t="n">
        <f aca="false">((I9838 + G9839) - H9839)</f>
        <v>54465.8199999999</v>
      </c>
      <c r="J9839" s="18" t="n">
        <v>0</v>
      </c>
      <c r="K9839" s="19" t="n">
        <v>0</v>
      </c>
      <c r="L9839" s="17"/>
    </row>
    <row r="9840" s="11" customFormat="true" ht="10.95" hidden="false" customHeight="true" outlineLevel="0" collapsed="false">
      <c r="A9840" s="16" t="n">
        <v>45177</v>
      </c>
      <c r="B9840" s="17" t="s">
        <v>3861</v>
      </c>
      <c r="C9840" s="17" t="s">
        <v>3752</v>
      </c>
      <c r="D9840" s="17" t="s">
        <v>2903</v>
      </c>
      <c r="E9840" s="17" t="s">
        <v>3644</v>
      </c>
      <c r="F9840" s="17" t="s">
        <v>2314</v>
      </c>
      <c r="G9840" s="18" t="n">
        <v>0</v>
      </c>
      <c r="H9840" s="18" t="n">
        <v>9.02</v>
      </c>
      <c r="I9840" s="18" t="n">
        <f aca="false">((I9839 + G9840) - H9840)</f>
        <v>54456.7999999999</v>
      </c>
      <c r="J9840" s="18" t="n">
        <v>0</v>
      </c>
      <c r="K9840" s="19" t="n">
        <v>0</v>
      </c>
      <c r="L9840" s="17"/>
    </row>
    <row r="9841" s="11" customFormat="true" ht="10.95" hidden="false" customHeight="true" outlineLevel="0" collapsed="false">
      <c r="A9841" s="16" t="n">
        <v>45179</v>
      </c>
      <c r="B9841" s="17" t="s">
        <v>3861</v>
      </c>
      <c r="C9841" s="17" t="s">
        <v>3752</v>
      </c>
      <c r="D9841" s="17" t="s">
        <v>1407</v>
      </c>
      <c r="E9841" s="17" t="s">
        <v>3720</v>
      </c>
      <c r="F9841" s="17"/>
      <c r="G9841" s="18" t="n">
        <v>0</v>
      </c>
      <c r="H9841" s="18" t="n">
        <v>846.28</v>
      </c>
      <c r="I9841" s="18" t="n">
        <f aca="false">((I9840 + G9841) - H9841)</f>
        <v>53610.5199999999</v>
      </c>
      <c r="J9841" s="18" t="n">
        <v>0</v>
      </c>
      <c r="K9841" s="19" t="n">
        <v>0</v>
      </c>
      <c r="L9841" s="17"/>
    </row>
    <row r="9842" s="11" customFormat="true" ht="10.95" hidden="false" customHeight="true" outlineLevel="0" collapsed="false">
      <c r="A9842" s="16" t="n">
        <v>45180</v>
      </c>
      <c r="B9842" s="17" t="s">
        <v>3861</v>
      </c>
      <c r="C9842" s="17" t="s">
        <v>3752</v>
      </c>
      <c r="D9842" s="17" t="s">
        <v>2895</v>
      </c>
      <c r="E9842" s="17" t="s">
        <v>2947</v>
      </c>
      <c r="F9842" s="17" t="s">
        <v>2948</v>
      </c>
      <c r="G9842" s="18" t="n">
        <v>7207.01</v>
      </c>
      <c r="H9842" s="18" t="n">
        <v>0</v>
      </c>
      <c r="I9842" s="18" t="n">
        <f aca="false">((I9841 + G9842) - H9842)</f>
        <v>60817.53</v>
      </c>
      <c r="J9842" s="18" t="n">
        <v>0</v>
      </c>
      <c r="K9842" s="19" t="n">
        <v>0</v>
      </c>
      <c r="L9842" s="17"/>
    </row>
    <row r="9843" s="11" customFormat="true" ht="10.95" hidden="false" customHeight="true" outlineLevel="0" collapsed="false">
      <c r="A9843" s="16" t="n">
        <v>45181</v>
      </c>
      <c r="B9843" s="17" t="s">
        <v>3861</v>
      </c>
      <c r="C9843" s="17" t="s">
        <v>3752</v>
      </c>
      <c r="D9843" s="17" t="s">
        <v>2895</v>
      </c>
      <c r="E9843" s="17" t="s">
        <v>3415</v>
      </c>
      <c r="F9843" s="17" t="s">
        <v>4004</v>
      </c>
      <c r="G9843" s="18" t="n">
        <v>1052.7</v>
      </c>
      <c r="H9843" s="18" t="n">
        <v>0</v>
      </c>
      <c r="I9843" s="18" t="n">
        <f aca="false">((I9842 + G9843) - H9843)</f>
        <v>61870.2299999999</v>
      </c>
      <c r="J9843" s="18" t="n">
        <v>0</v>
      </c>
      <c r="K9843" s="19" t="n">
        <v>0</v>
      </c>
      <c r="L9843" s="17"/>
    </row>
    <row r="9844" s="11" customFormat="true" ht="10.95" hidden="false" customHeight="true" outlineLevel="0" collapsed="false">
      <c r="A9844" s="16" t="n">
        <v>45181</v>
      </c>
      <c r="B9844" s="17" t="s">
        <v>3861</v>
      </c>
      <c r="C9844" s="17" t="s">
        <v>3752</v>
      </c>
      <c r="D9844" s="17" t="s">
        <v>1407</v>
      </c>
      <c r="E9844" s="17" t="s">
        <v>2747</v>
      </c>
      <c r="F9844" s="17"/>
      <c r="G9844" s="18" t="n">
        <v>0</v>
      </c>
      <c r="H9844" s="18" t="n">
        <v>7</v>
      </c>
      <c r="I9844" s="18" t="n">
        <f aca="false">((I9843 + G9844) - H9844)</f>
        <v>61863.2299999999</v>
      </c>
      <c r="J9844" s="18" t="n">
        <v>0</v>
      </c>
      <c r="K9844" s="19" t="n">
        <v>0</v>
      </c>
      <c r="L9844" s="17"/>
    </row>
    <row r="9845" s="11" customFormat="true" ht="10.95" hidden="false" customHeight="true" outlineLevel="0" collapsed="false">
      <c r="A9845" s="16" t="n">
        <v>45181</v>
      </c>
      <c r="B9845" s="17" t="s">
        <v>3861</v>
      </c>
      <c r="C9845" s="17" t="s">
        <v>3752</v>
      </c>
      <c r="D9845" s="17" t="s">
        <v>1407</v>
      </c>
      <c r="E9845" s="17" t="s">
        <v>3896</v>
      </c>
      <c r="F9845" s="17"/>
      <c r="G9845" s="18" t="n">
        <v>0</v>
      </c>
      <c r="H9845" s="18" t="n">
        <v>20.99</v>
      </c>
      <c r="I9845" s="18" t="n">
        <f aca="false">((I9844 + G9845) - H9845)</f>
        <v>61842.24</v>
      </c>
      <c r="J9845" s="18" t="n">
        <v>0</v>
      </c>
      <c r="K9845" s="19" t="n">
        <v>0</v>
      </c>
      <c r="L9845" s="17"/>
    </row>
    <row r="9846" s="11" customFormat="true" ht="10.95" hidden="false" customHeight="true" outlineLevel="0" collapsed="false">
      <c r="A9846" s="16" t="n">
        <v>45181</v>
      </c>
      <c r="B9846" s="17" t="s">
        <v>3861</v>
      </c>
      <c r="C9846" s="17" t="s">
        <v>3752</v>
      </c>
      <c r="D9846" s="17" t="s">
        <v>2903</v>
      </c>
      <c r="E9846" s="17" t="s">
        <v>3640</v>
      </c>
      <c r="F9846" s="17" t="s">
        <v>1642</v>
      </c>
      <c r="G9846" s="18" t="n">
        <v>0</v>
      </c>
      <c r="H9846" s="18" t="n">
        <v>40</v>
      </c>
      <c r="I9846" s="18" t="n">
        <f aca="false">((I9845 + G9846) - H9846)</f>
        <v>61802.24</v>
      </c>
      <c r="J9846" s="18" t="n">
        <v>0</v>
      </c>
      <c r="K9846" s="19" t="n">
        <v>0</v>
      </c>
      <c r="L9846" s="17"/>
    </row>
    <row r="9847" s="11" customFormat="true" ht="10.95" hidden="false" customHeight="true" outlineLevel="0" collapsed="false">
      <c r="A9847" s="16" t="n">
        <v>45181</v>
      </c>
      <c r="B9847" s="17" t="s">
        <v>3861</v>
      </c>
      <c r="C9847" s="17" t="s">
        <v>3752</v>
      </c>
      <c r="D9847" s="17" t="s">
        <v>1407</v>
      </c>
      <c r="E9847" s="17" t="s">
        <v>3878</v>
      </c>
      <c r="F9847" s="17"/>
      <c r="G9847" s="18" t="n">
        <v>0</v>
      </c>
      <c r="H9847" s="18" t="n">
        <v>400</v>
      </c>
      <c r="I9847" s="18" t="n">
        <f aca="false">((I9846 + G9847) - H9847)</f>
        <v>61402.24</v>
      </c>
      <c r="J9847" s="18" t="n">
        <v>0</v>
      </c>
      <c r="K9847" s="19" t="n">
        <v>0</v>
      </c>
      <c r="L9847" s="17"/>
    </row>
    <row r="9848" s="11" customFormat="true" ht="10.95" hidden="false" customHeight="true" outlineLevel="0" collapsed="false">
      <c r="A9848" s="16" t="n">
        <v>45181</v>
      </c>
      <c r="B9848" s="17" t="s">
        <v>3861</v>
      </c>
      <c r="C9848" s="17" t="s">
        <v>3752</v>
      </c>
      <c r="D9848" s="17" t="s">
        <v>1407</v>
      </c>
      <c r="E9848" s="17" t="s">
        <v>4005</v>
      </c>
      <c r="F9848" s="17"/>
      <c r="G9848" s="18" t="n">
        <v>0</v>
      </c>
      <c r="H9848" s="18" t="n">
        <v>519.23</v>
      </c>
      <c r="I9848" s="18" t="n">
        <f aca="false">((I9847 + G9848) - H9848)</f>
        <v>60883.0099999999</v>
      </c>
      <c r="J9848" s="18" t="n">
        <v>0</v>
      </c>
      <c r="K9848" s="19" t="n">
        <v>0</v>
      </c>
      <c r="L9848" s="17"/>
    </row>
    <row r="9849" s="11" customFormat="true" ht="10.95" hidden="false" customHeight="true" outlineLevel="0" collapsed="false">
      <c r="A9849" s="16" t="n">
        <v>45181</v>
      </c>
      <c r="B9849" s="17" t="s">
        <v>3861</v>
      </c>
      <c r="C9849" s="17" t="s">
        <v>3752</v>
      </c>
      <c r="D9849" s="17" t="s">
        <v>1407</v>
      </c>
      <c r="E9849" s="17" t="s">
        <v>3858</v>
      </c>
      <c r="F9849" s="17"/>
      <c r="G9849" s="18" t="n">
        <v>0</v>
      </c>
      <c r="H9849" s="18" t="n">
        <v>599.01</v>
      </c>
      <c r="I9849" s="18" t="n">
        <f aca="false">((I9848 + G9849) - H9849)</f>
        <v>60283.9999999999</v>
      </c>
      <c r="J9849" s="18" t="n">
        <v>0</v>
      </c>
      <c r="K9849" s="19" t="n">
        <v>0</v>
      </c>
      <c r="L9849" s="17"/>
    </row>
    <row r="9850" s="11" customFormat="true" ht="10.95" hidden="false" customHeight="true" outlineLevel="0" collapsed="false">
      <c r="A9850" s="16" t="n">
        <v>45181</v>
      </c>
      <c r="B9850" s="17" t="s">
        <v>3861</v>
      </c>
      <c r="C9850" s="17" t="s">
        <v>3752</v>
      </c>
      <c r="D9850" s="17" t="s">
        <v>1407</v>
      </c>
      <c r="E9850" s="17" t="s">
        <v>3858</v>
      </c>
      <c r="F9850" s="17"/>
      <c r="G9850" s="18" t="n">
        <v>0</v>
      </c>
      <c r="H9850" s="18" t="n">
        <v>3.29</v>
      </c>
      <c r="I9850" s="18" t="n">
        <f aca="false">((I9849 + G9850) - H9850)</f>
        <v>60280.7099999999</v>
      </c>
      <c r="J9850" s="18" t="n">
        <v>0</v>
      </c>
      <c r="K9850" s="19" t="n">
        <v>0</v>
      </c>
      <c r="L9850" s="17"/>
    </row>
    <row r="9851" s="11" customFormat="true" ht="10.95" hidden="false" customHeight="true" outlineLevel="0" collapsed="false">
      <c r="A9851" s="16" t="n">
        <v>45181</v>
      </c>
      <c r="B9851" s="17" t="s">
        <v>3861</v>
      </c>
      <c r="C9851" s="17" t="s">
        <v>3752</v>
      </c>
      <c r="D9851" s="17" t="s">
        <v>1407</v>
      </c>
      <c r="E9851" s="17" t="s">
        <v>3878</v>
      </c>
      <c r="F9851" s="17"/>
      <c r="G9851" s="18" t="n">
        <v>0</v>
      </c>
      <c r="H9851" s="18" t="n">
        <v>1188.2</v>
      </c>
      <c r="I9851" s="18" t="n">
        <f aca="false">((I9850 + G9851) - H9851)</f>
        <v>59092.5099999999</v>
      </c>
      <c r="J9851" s="18" t="n">
        <v>0</v>
      </c>
      <c r="K9851" s="19" t="n">
        <v>0</v>
      </c>
      <c r="L9851" s="17"/>
    </row>
    <row r="9852" s="11" customFormat="true" ht="10.95" hidden="false" customHeight="true" outlineLevel="0" collapsed="false">
      <c r="A9852" s="16" t="n">
        <v>45181</v>
      </c>
      <c r="B9852" s="17" t="s">
        <v>3861</v>
      </c>
      <c r="C9852" s="17" t="s">
        <v>3752</v>
      </c>
      <c r="D9852" s="17" t="s">
        <v>2903</v>
      </c>
      <c r="E9852" s="17" t="s">
        <v>3675</v>
      </c>
      <c r="F9852" s="17" t="s">
        <v>3581</v>
      </c>
      <c r="G9852" s="18" t="n">
        <v>0</v>
      </c>
      <c r="H9852" s="18" t="n">
        <v>1112.21</v>
      </c>
      <c r="I9852" s="18" t="n">
        <f aca="false">((I9851 + G9852) - H9852)</f>
        <v>57980.2999999999</v>
      </c>
      <c r="J9852" s="18" t="n">
        <v>0</v>
      </c>
      <c r="K9852" s="19" t="n">
        <v>0</v>
      </c>
      <c r="L9852" s="17"/>
    </row>
    <row r="9853" s="11" customFormat="true" ht="10.95" hidden="false" customHeight="true" outlineLevel="0" collapsed="false">
      <c r="A9853" s="16" t="n">
        <v>45182</v>
      </c>
      <c r="B9853" s="17" t="s">
        <v>3861</v>
      </c>
      <c r="C9853" s="17" t="s">
        <v>3752</v>
      </c>
      <c r="D9853" s="17" t="s">
        <v>2895</v>
      </c>
      <c r="E9853" s="17" t="s">
        <v>2900</v>
      </c>
      <c r="F9853" s="17" t="s">
        <v>2949</v>
      </c>
      <c r="G9853" s="18" t="n">
        <v>1784.96</v>
      </c>
      <c r="H9853" s="18" t="n">
        <v>0</v>
      </c>
      <c r="I9853" s="18" t="n">
        <f aca="false">((I9852 + G9853) - H9853)</f>
        <v>59765.2599999999</v>
      </c>
      <c r="J9853" s="18" t="n">
        <v>0</v>
      </c>
      <c r="K9853" s="19" t="n">
        <v>0</v>
      </c>
      <c r="L9853" s="17"/>
    </row>
    <row r="9854" s="11" customFormat="true" ht="10.95" hidden="false" customHeight="true" outlineLevel="0" collapsed="false">
      <c r="A9854" s="16" t="n">
        <v>45182</v>
      </c>
      <c r="B9854" s="17" t="s">
        <v>3861</v>
      </c>
      <c r="C9854" s="17" t="s">
        <v>3752</v>
      </c>
      <c r="D9854" s="17" t="s">
        <v>2895</v>
      </c>
      <c r="E9854" s="17" t="s">
        <v>2900</v>
      </c>
      <c r="F9854" s="17" t="s">
        <v>2950</v>
      </c>
      <c r="G9854" s="18" t="n">
        <v>787.12</v>
      </c>
      <c r="H9854" s="18" t="n">
        <v>0</v>
      </c>
      <c r="I9854" s="18" t="n">
        <f aca="false">((I9853 + G9854) - H9854)</f>
        <v>60552.38</v>
      </c>
      <c r="J9854" s="18" t="n">
        <v>0</v>
      </c>
      <c r="K9854" s="19" t="n">
        <v>0</v>
      </c>
      <c r="L9854" s="17"/>
    </row>
    <row r="9855" s="11" customFormat="true" ht="10.95" hidden="false" customHeight="true" outlineLevel="0" collapsed="false">
      <c r="A9855" s="16" t="n">
        <v>45182</v>
      </c>
      <c r="B9855" s="17" t="s">
        <v>3861</v>
      </c>
      <c r="C9855" s="17" t="s">
        <v>3752</v>
      </c>
      <c r="D9855" s="17" t="s">
        <v>1407</v>
      </c>
      <c r="E9855" s="17" t="s">
        <v>2747</v>
      </c>
      <c r="F9855" s="17"/>
      <c r="G9855" s="18" t="n">
        <v>0</v>
      </c>
      <c r="H9855" s="18" t="n">
        <v>7</v>
      </c>
      <c r="I9855" s="18" t="n">
        <f aca="false">((I9854 + G9855) - H9855)</f>
        <v>60545.38</v>
      </c>
      <c r="J9855" s="18" t="n">
        <v>0</v>
      </c>
      <c r="K9855" s="19" t="n">
        <v>0</v>
      </c>
      <c r="L9855" s="17"/>
    </row>
    <row r="9856" s="11" customFormat="true" ht="10.95" hidden="false" customHeight="true" outlineLevel="0" collapsed="false">
      <c r="A9856" s="16" t="n">
        <v>45182</v>
      </c>
      <c r="B9856" s="17" t="s">
        <v>3861</v>
      </c>
      <c r="C9856" s="17" t="s">
        <v>3752</v>
      </c>
      <c r="D9856" s="17" t="s">
        <v>1407</v>
      </c>
      <c r="E9856" s="17" t="s">
        <v>3897</v>
      </c>
      <c r="F9856" s="17"/>
      <c r="G9856" s="18" t="n">
        <v>0</v>
      </c>
      <c r="H9856" s="18" t="n">
        <v>30</v>
      </c>
      <c r="I9856" s="18" t="n">
        <f aca="false">((I9855 + G9856) - H9856)</f>
        <v>60515.38</v>
      </c>
      <c r="J9856" s="18" t="n">
        <v>0</v>
      </c>
      <c r="K9856" s="19" t="n">
        <v>0</v>
      </c>
      <c r="L9856" s="17"/>
    </row>
    <row r="9857" s="11" customFormat="true" ht="10.95" hidden="false" customHeight="true" outlineLevel="0" collapsed="false">
      <c r="A9857" s="16" t="n">
        <v>45182</v>
      </c>
      <c r="B9857" s="17" t="s">
        <v>3861</v>
      </c>
      <c r="C9857" s="17" t="s">
        <v>3752</v>
      </c>
      <c r="D9857" s="17" t="s">
        <v>1407</v>
      </c>
      <c r="E9857" s="17" t="s">
        <v>3881</v>
      </c>
      <c r="F9857" s="17"/>
      <c r="G9857" s="18" t="n">
        <v>0</v>
      </c>
      <c r="H9857" s="18" t="n">
        <v>140</v>
      </c>
      <c r="I9857" s="18" t="n">
        <f aca="false">((I9856 + G9857) - H9857)</f>
        <v>60375.38</v>
      </c>
      <c r="J9857" s="18" t="n">
        <v>0</v>
      </c>
      <c r="K9857" s="19" t="n">
        <v>0</v>
      </c>
      <c r="L9857" s="17"/>
    </row>
    <row r="9858" s="11" customFormat="true" ht="10.95" hidden="false" customHeight="true" outlineLevel="0" collapsed="false">
      <c r="A9858" s="16" t="n">
        <v>45182</v>
      </c>
      <c r="B9858" s="17" t="s">
        <v>3861</v>
      </c>
      <c r="C9858" s="17" t="s">
        <v>3752</v>
      </c>
      <c r="D9858" s="17" t="s">
        <v>1407</v>
      </c>
      <c r="E9858" s="17" t="s">
        <v>3879</v>
      </c>
      <c r="F9858" s="17"/>
      <c r="G9858" s="18" t="n">
        <v>0</v>
      </c>
      <c r="H9858" s="18" t="n">
        <v>1207</v>
      </c>
      <c r="I9858" s="18" t="n">
        <f aca="false">((I9857 + G9858) - H9858)</f>
        <v>59168.38</v>
      </c>
      <c r="J9858" s="18" t="n">
        <v>0</v>
      </c>
      <c r="K9858" s="19" t="n">
        <v>0</v>
      </c>
      <c r="L9858" s="17"/>
    </row>
    <row r="9859" s="11" customFormat="true" ht="10.95" hidden="false" customHeight="true" outlineLevel="0" collapsed="false">
      <c r="A9859" s="16" t="n">
        <v>45182</v>
      </c>
      <c r="B9859" s="17" t="s">
        <v>3861</v>
      </c>
      <c r="C9859" s="17" t="s">
        <v>3752</v>
      </c>
      <c r="D9859" s="17" t="s">
        <v>1407</v>
      </c>
      <c r="E9859" s="17" t="s">
        <v>3880</v>
      </c>
      <c r="F9859" s="17"/>
      <c r="G9859" s="18" t="n">
        <v>0</v>
      </c>
      <c r="H9859" s="18" t="n">
        <v>1207</v>
      </c>
      <c r="I9859" s="18" t="n">
        <f aca="false">((I9858 + G9859) - H9859)</f>
        <v>57961.38</v>
      </c>
      <c r="J9859" s="18" t="n">
        <v>0</v>
      </c>
      <c r="K9859" s="19" t="n">
        <v>0</v>
      </c>
      <c r="L9859" s="17"/>
    </row>
    <row r="9860" s="11" customFormat="true" ht="10.95" hidden="false" customHeight="true" outlineLevel="0" collapsed="false">
      <c r="A9860" s="16" t="n">
        <v>45182</v>
      </c>
      <c r="B9860" s="17" t="s">
        <v>3861</v>
      </c>
      <c r="C9860" s="17" t="s">
        <v>3752</v>
      </c>
      <c r="D9860" s="17" t="s">
        <v>1407</v>
      </c>
      <c r="E9860" s="17" t="s">
        <v>3808</v>
      </c>
      <c r="F9860" s="17"/>
      <c r="G9860" s="18" t="n">
        <v>0</v>
      </c>
      <c r="H9860" s="18" t="n">
        <v>1705.92</v>
      </c>
      <c r="I9860" s="18" t="n">
        <f aca="false">((I9859 + G9860) - H9860)</f>
        <v>56255.46</v>
      </c>
      <c r="J9860" s="18" t="n">
        <v>0</v>
      </c>
      <c r="K9860" s="19" t="n">
        <v>0</v>
      </c>
      <c r="L9860" s="17"/>
    </row>
    <row r="9861" s="11" customFormat="true" ht="10.95" hidden="false" customHeight="true" outlineLevel="0" collapsed="false">
      <c r="A9861" s="16" t="n">
        <v>45182</v>
      </c>
      <c r="B9861" s="17" t="s">
        <v>3861</v>
      </c>
      <c r="C9861" s="17" t="s">
        <v>3752</v>
      </c>
      <c r="D9861" s="17" t="s">
        <v>1407</v>
      </c>
      <c r="E9861" s="17" t="s">
        <v>4006</v>
      </c>
      <c r="F9861" s="17"/>
      <c r="G9861" s="18" t="n">
        <v>0</v>
      </c>
      <c r="H9861" s="18" t="n">
        <v>185.48</v>
      </c>
      <c r="I9861" s="18" t="n">
        <f aca="false">((I9860 + G9861) - H9861)</f>
        <v>56069.9799999999</v>
      </c>
      <c r="J9861" s="18" t="n">
        <v>0</v>
      </c>
      <c r="K9861" s="19" t="n">
        <v>0</v>
      </c>
      <c r="L9861" s="17"/>
    </row>
    <row r="9862" s="11" customFormat="true" ht="10.95" hidden="false" customHeight="true" outlineLevel="0" collapsed="false">
      <c r="A9862" s="16" t="n">
        <v>45183</v>
      </c>
      <c r="B9862" s="17" t="s">
        <v>3861</v>
      </c>
      <c r="C9862" s="17" t="s">
        <v>3752</v>
      </c>
      <c r="D9862" s="17" t="s">
        <v>1407</v>
      </c>
      <c r="E9862" s="17" t="s">
        <v>3863</v>
      </c>
      <c r="F9862" s="17"/>
      <c r="G9862" s="18" t="n">
        <v>0</v>
      </c>
      <c r="H9862" s="18" t="n">
        <v>1.41</v>
      </c>
      <c r="I9862" s="18" t="n">
        <f aca="false">((I9861 + G9862) - H9862)</f>
        <v>56068.5699999999</v>
      </c>
      <c r="J9862" s="18" t="n">
        <v>0</v>
      </c>
      <c r="K9862" s="19" t="n">
        <v>0</v>
      </c>
      <c r="L9862" s="17"/>
    </row>
    <row r="9863" s="11" customFormat="true" ht="10.95" hidden="false" customHeight="true" outlineLevel="0" collapsed="false">
      <c r="A9863" s="16" t="n">
        <v>45183</v>
      </c>
      <c r="B9863" s="17" t="s">
        <v>3861</v>
      </c>
      <c r="C9863" s="17" t="s">
        <v>3752</v>
      </c>
      <c r="D9863" s="17" t="s">
        <v>1407</v>
      </c>
      <c r="E9863" s="17" t="s">
        <v>4007</v>
      </c>
      <c r="F9863" s="17"/>
      <c r="G9863" s="18" t="n">
        <v>0</v>
      </c>
      <c r="H9863" s="18" t="n">
        <v>50.85</v>
      </c>
      <c r="I9863" s="18" t="n">
        <f aca="false">((I9862 + G9863) - H9863)</f>
        <v>56017.7199999999</v>
      </c>
      <c r="J9863" s="18" t="n">
        <v>0</v>
      </c>
      <c r="K9863" s="19" t="n">
        <v>0</v>
      </c>
      <c r="L9863" s="17"/>
    </row>
    <row r="9864" s="11" customFormat="true" ht="10.95" hidden="false" customHeight="true" outlineLevel="0" collapsed="false">
      <c r="A9864" s="16" t="n">
        <v>45183</v>
      </c>
      <c r="B9864" s="17" t="s">
        <v>3861</v>
      </c>
      <c r="C9864" s="17" t="s">
        <v>3752</v>
      </c>
      <c r="D9864" s="17" t="s">
        <v>2903</v>
      </c>
      <c r="E9864" s="17" t="s">
        <v>3637</v>
      </c>
      <c r="F9864" s="17" t="s">
        <v>2642</v>
      </c>
      <c r="G9864" s="18" t="n">
        <v>0</v>
      </c>
      <c r="H9864" s="18" t="n">
        <v>731.5</v>
      </c>
      <c r="I9864" s="18" t="n">
        <f aca="false">((I9863 + G9864) - H9864)</f>
        <v>55286.2199999999</v>
      </c>
      <c r="J9864" s="18" t="n">
        <v>0</v>
      </c>
      <c r="K9864" s="19" t="n">
        <v>0</v>
      </c>
      <c r="L9864" s="17"/>
    </row>
    <row r="9865" s="11" customFormat="true" ht="10.95" hidden="false" customHeight="true" outlineLevel="0" collapsed="false">
      <c r="A9865" s="16" t="n">
        <v>45183</v>
      </c>
      <c r="B9865" s="17" t="s">
        <v>3861</v>
      </c>
      <c r="C9865" s="17" t="s">
        <v>3752</v>
      </c>
      <c r="D9865" s="17" t="s">
        <v>2903</v>
      </c>
      <c r="E9865" s="17" t="s">
        <v>3637</v>
      </c>
      <c r="F9865" s="17" t="s">
        <v>2635</v>
      </c>
      <c r="G9865" s="18" t="n">
        <v>0</v>
      </c>
      <c r="H9865" s="18" t="n">
        <v>745.91</v>
      </c>
      <c r="I9865" s="18" t="n">
        <f aca="false">((I9864 + G9865) - H9865)</f>
        <v>54540.3099999999</v>
      </c>
      <c r="J9865" s="18" t="n">
        <v>0</v>
      </c>
      <c r="K9865" s="19" t="n">
        <v>0</v>
      </c>
      <c r="L9865" s="17"/>
    </row>
    <row r="9866" s="11" customFormat="true" ht="10.95" hidden="false" customHeight="true" outlineLevel="0" collapsed="false">
      <c r="A9866" s="16" t="n">
        <v>45183</v>
      </c>
      <c r="B9866" s="17" t="s">
        <v>3861</v>
      </c>
      <c r="C9866" s="17" t="s">
        <v>3752</v>
      </c>
      <c r="D9866" s="17" t="s">
        <v>1407</v>
      </c>
      <c r="E9866" s="17" t="s">
        <v>3808</v>
      </c>
      <c r="F9866" s="17"/>
      <c r="G9866" s="18" t="n">
        <v>0</v>
      </c>
      <c r="H9866" s="18" t="n">
        <v>1000</v>
      </c>
      <c r="I9866" s="18" t="n">
        <f aca="false">((I9865 + G9866) - H9866)</f>
        <v>53540.3099999999</v>
      </c>
      <c r="J9866" s="18" t="n">
        <v>0</v>
      </c>
      <c r="K9866" s="19" t="n">
        <v>0</v>
      </c>
      <c r="L9866" s="17"/>
    </row>
    <row r="9867" s="11" customFormat="true" ht="10.95" hidden="false" customHeight="true" outlineLevel="0" collapsed="false">
      <c r="A9867" s="16" t="n">
        <v>45183</v>
      </c>
      <c r="B9867" s="17" t="s">
        <v>3861</v>
      </c>
      <c r="C9867" s="17" t="s">
        <v>3752</v>
      </c>
      <c r="D9867" s="17" t="s">
        <v>1407</v>
      </c>
      <c r="E9867" s="17" t="s">
        <v>3964</v>
      </c>
      <c r="F9867" s="17"/>
      <c r="G9867" s="18" t="n">
        <v>0</v>
      </c>
      <c r="H9867" s="18" t="n">
        <v>47.12</v>
      </c>
      <c r="I9867" s="18" t="n">
        <f aca="false">((I9866 + G9867) - H9867)</f>
        <v>53493.1899999999</v>
      </c>
      <c r="J9867" s="18" t="n">
        <v>0</v>
      </c>
      <c r="K9867" s="19" t="n">
        <v>0</v>
      </c>
      <c r="L9867" s="17"/>
    </row>
    <row r="9868" s="11" customFormat="true" ht="10.95" hidden="false" customHeight="true" outlineLevel="0" collapsed="false">
      <c r="A9868" s="16" t="n">
        <v>45184</v>
      </c>
      <c r="B9868" s="17" t="s">
        <v>3861</v>
      </c>
      <c r="C9868" s="17" t="s">
        <v>3752</v>
      </c>
      <c r="D9868" s="17" t="s">
        <v>1407</v>
      </c>
      <c r="E9868" s="17" t="s">
        <v>3863</v>
      </c>
      <c r="F9868" s="17"/>
      <c r="G9868" s="18" t="n">
        <v>0</v>
      </c>
      <c r="H9868" s="18" t="n">
        <v>0.62</v>
      </c>
      <c r="I9868" s="18" t="n">
        <f aca="false">((I9867 + G9868) - H9868)</f>
        <v>53492.5699999999</v>
      </c>
      <c r="J9868" s="18" t="n">
        <v>0</v>
      </c>
      <c r="K9868" s="19" t="n">
        <v>0</v>
      </c>
      <c r="L9868" s="17"/>
    </row>
    <row r="9869" s="11" customFormat="true" ht="10.95" hidden="false" customHeight="true" outlineLevel="0" collapsed="false">
      <c r="A9869" s="16" t="n">
        <v>45184</v>
      </c>
      <c r="B9869" s="17" t="s">
        <v>3861</v>
      </c>
      <c r="C9869" s="17" t="s">
        <v>3752</v>
      </c>
      <c r="D9869" s="17" t="s">
        <v>1407</v>
      </c>
      <c r="E9869" s="17" t="s">
        <v>3900</v>
      </c>
      <c r="F9869" s="17"/>
      <c r="G9869" s="18" t="n">
        <v>0</v>
      </c>
      <c r="H9869" s="18" t="n">
        <v>14.99</v>
      </c>
      <c r="I9869" s="18" t="n">
        <f aca="false">((I9868 + G9869) - H9869)</f>
        <v>53477.5799999999</v>
      </c>
      <c r="J9869" s="18" t="n">
        <v>0</v>
      </c>
      <c r="K9869" s="19" t="n">
        <v>0</v>
      </c>
      <c r="L9869" s="17"/>
    </row>
    <row r="9870" s="11" customFormat="true" ht="10.95" hidden="false" customHeight="true" outlineLevel="0" collapsed="false">
      <c r="A9870" s="16" t="n">
        <v>45184</v>
      </c>
      <c r="B9870" s="17" t="s">
        <v>3861</v>
      </c>
      <c r="C9870" s="17" t="s">
        <v>3752</v>
      </c>
      <c r="D9870" s="17" t="s">
        <v>1407</v>
      </c>
      <c r="E9870" s="17" t="s">
        <v>3757</v>
      </c>
      <c r="F9870" s="17"/>
      <c r="G9870" s="18" t="n">
        <v>0</v>
      </c>
      <c r="H9870" s="18" t="n">
        <v>20.75</v>
      </c>
      <c r="I9870" s="18" t="n">
        <f aca="false">((I9869 + G9870) - H9870)</f>
        <v>53456.8299999999</v>
      </c>
      <c r="J9870" s="18" t="n">
        <v>0</v>
      </c>
      <c r="K9870" s="19" t="n">
        <v>0</v>
      </c>
      <c r="L9870" s="17"/>
    </row>
    <row r="9871" s="11" customFormat="true" ht="10.95" hidden="false" customHeight="true" outlineLevel="0" collapsed="false">
      <c r="A9871" s="16" t="n">
        <v>45184</v>
      </c>
      <c r="B9871" s="17" t="s">
        <v>3861</v>
      </c>
      <c r="C9871" s="17" t="s">
        <v>3752</v>
      </c>
      <c r="D9871" s="17" t="s">
        <v>1407</v>
      </c>
      <c r="E9871" s="17" t="s">
        <v>3946</v>
      </c>
      <c r="F9871" s="17"/>
      <c r="G9871" s="18" t="n">
        <v>0</v>
      </c>
      <c r="H9871" s="18" t="n">
        <v>787.64</v>
      </c>
      <c r="I9871" s="18" t="n">
        <f aca="false">((I9870 + G9871) - H9871)</f>
        <v>52669.1899999999</v>
      </c>
      <c r="J9871" s="18" t="n">
        <v>0</v>
      </c>
      <c r="K9871" s="19" t="n">
        <v>0</v>
      </c>
      <c r="L9871" s="17"/>
    </row>
    <row r="9872" s="11" customFormat="true" ht="10.95" hidden="false" customHeight="true" outlineLevel="0" collapsed="false">
      <c r="A9872" s="16" t="n">
        <v>45184</v>
      </c>
      <c r="B9872" s="17" t="s">
        <v>3861</v>
      </c>
      <c r="C9872" s="17" t="s">
        <v>3752</v>
      </c>
      <c r="D9872" s="17" t="s">
        <v>1407</v>
      </c>
      <c r="E9872" s="17" t="s">
        <v>3899</v>
      </c>
      <c r="F9872" s="17"/>
      <c r="G9872" s="18" t="n">
        <v>0</v>
      </c>
      <c r="H9872" s="18" t="n">
        <v>16.62</v>
      </c>
      <c r="I9872" s="18" t="n">
        <f aca="false">((I9871 + G9872) - H9872)</f>
        <v>52652.5699999999</v>
      </c>
      <c r="J9872" s="18" t="n">
        <v>0</v>
      </c>
      <c r="K9872" s="19" t="n">
        <v>0</v>
      </c>
      <c r="L9872" s="17"/>
    </row>
    <row r="9873" s="11" customFormat="true" ht="10.95" hidden="false" customHeight="true" outlineLevel="0" collapsed="false">
      <c r="A9873" s="16" t="n">
        <v>45185</v>
      </c>
      <c r="B9873" s="17" t="s">
        <v>3861</v>
      </c>
      <c r="C9873" s="17" t="s">
        <v>3752</v>
      </c>
      <c r="D9873" s="17" t="s">
        <v>1407</v>
      </c>
      <c r="E9873" s="17" t="s">
        <v>3863</v>
      </c>
      <c r="F9873" s="17"/>
      <c r="G9873" s="18" t="n">
        <v>0</v>
      </c>
      <c r="H9873" s="18" t="n">
        <v>4.94</v>
      </c>
      <c r="I9873" s="18" t="n">
        <f aca="false">((I9872 + G9873) - H9873)</f>
        <v>52647.6299999999</v>
      </c>
      <c r="J9873" s="18" t="n">
        <v>0</v>
      </c>
      <c r="K9873" s="19" t="n">
        <v>0</v>
      </c>
      <c r="L9873" s="17"/>
    </row>
    <row r="9874" s="11" customFormat="true" ht="10.95" hidden="false" customHeight="true" outlineLevel="0" collapsed="false">
      <c r="A9874" s="16" t="n">
        <v>45185</v>
      </c>
      <c r="B9874" s="17" t="s">
        <v>3861</v>
      </c>
      <c r="C9874" s="17" t="s">
        <v>3752</v>
      </c>
      <c r="D9874" s="17" t="s">
        <v>1407</v>
      </c>
      <c r="E9874" s="17" t="s">
        <v>3847</v>
      </c>
      <c r="F9874" s="17"/>
      <c r="G9874" s="18" t="n">
        <v>0</v>
      </c>
      <c r="H9874" s="18" t="n">
        <v>100.04</v>
      </c>
      <c r="I9874" s="18" t="n">
        <f aca="false">((I9873 + G9874) - H9874)</f>
        <v>52547.5899999999</v>
      </c>
      <c r="J9874" s="18" t="n">
        <v>0</v>
      </c>
      <c r="K9874" s="19" t="n">
        <v>0</v>
      </c>
      <c r="L9874" s="17"/>
    </row>
    <row r="9875" s="11" customFormat="true" ht="10.95" hidden="false" customHeight="true" outlineLevel="0" collapsed="false">
      <c r="A9875" s="16" t="n">
        <v>45185</v>
      </c>
      <c r="B9875" s="17" t="s">
        <v>3861</v>
      </c>
      <c r="C9875" s="17" t="s">
        <v>3752</v>
      </c>
      <c r="D9875" s="17" t="s">
        <v>1407</v>
      </c>
      <c r="E9875" s="17" t="s">
        <v>3776</v>
      </c>
      <c r="F9875" s="17"/>
      <c r="G9875" s="18" t="n">
        <v>0</v>
      </c>
      <c r="H9875" s="18" t="n">
        <v>164.74</v>
      </c>
      <c r="I9875" s="18" t="n">
        <f aca="false">((I9874 + G9875) - H9875)</f>
        <v>52382.8499999999</v>
      </c>
      <c r="J9875" s="18" t="n">
        <v>0</v>
      </c>
      <c r="K9875" s="19" t="n">
        <v>0</v>
      </c>
      <c r="L9875" s="17"/>
    </row>
    <row r="9876" s="11" customFormat="true" ht="10.95" hidden="false" customHeight="true" outlineLevel="0" collapsed="false">
      <c r="A9876" s="16" t="n">
        <v>45185</v>
      </c>
      <c r="B9876" s="17" t="s">
        <v>3861</v>
      </c>
      <c r="C9876" s="17" t="s">
        <v>3752</v>
      </c>
      <c r="D9876" s="17" t="s">
        <v>1407</v>
      </c>
      <c r="E9876" s="17" t="s">
        <v>3904</v>
      </c>
      <c r="F9876" s="17"/>
      <c r="G9876" s="18" t="n">
        <v>0</v>
      </c>
      <c r="H9876" s="18" t="n">
        <v>89</v>
      </c>
      <c r="I9876" s="18" t="n">
        <f aca="false">((I9875 + G9876) - H9876)</f>
        <v>52293.8499999999</v>
      </c>
      <c r="J9876" s="18" t="n">
        <v>0</v>
      </c>
      <c r="K9876" s="19" t="n">
        <v>0</v>
      </c>
      <c r="L9876" s="17"/>
    </row>
    <row r="9877" s="11" customFormat="true" ht="10.95" hidden="false" customHeight="true" outlineLevel="0" collapsed="false">
      <c r="A9877" s="16" t="n">
        <v>45186</v>
      </c>
      <c r="B9877" s="17" t="s">
        <v>3861</v>
      </c>
      <c r="C9877" s="17" t="s">
        <v>3752</v>
      </c>
      <c r="D9877" s="17" t="s">
        <v>1407</v>
      </c>
      <c r="E9877" s="17" t="s">
        <v>4008</v>
      </c>
      <c r="F9877" s="17"/>
      <c r="G9877" s="18" t="n">
        <v>0</v>
      </c>
      <c r="H9877" s="18" t="n">
        <v>89.99</v>
      </c>
      <c r="I9877" s="18" t="n">
        <f aca="false">((I9876 + G9877) - H9877)</f>
        <v>52203.8599999999</v>
      </c>
      <c r="J9877" s="18" t="n">
        <v>0</v>
      </c>
      <c r="K9877" s="19" t="n">
        <v>0</v>
      </c>
      <c r="L9877" s="17"/>
    </row>
    <row r="9878" s="11" customFormat="true" ht="10.95" hidden="false" customHeight="true" outlineLevel="0" collapsed="false">
      <c r="A9878" s="16" t="n">
        <v>45187</v>
      </c>
      <c r="B9878" s="17" t="s">
        <v>3861</v>
      </c>
      <c r="C9878" s="17" t="s">
        <v>3752</v>
      </c>
      <c r="D9878" s="17" t="s">
        <v>2895</v>
      </c>
      <c r="E9878" s="17" t="s">
        <v>3498</v>
      </c>
      <c r="F9878" s="17" t="s">
        <v>4009</v>
      </c>
      <c r="G9878" s="18" t="n">
        <v>561</v>
      </c>
      <c r="H9878" s="18" t="n">
        <v>0</v>
      </c>
      <c r="I9878" s="18" t="n">
        <f aca="false">((I9877 + G9878) - H9878)</f>
        <v>52764.8599999999</v>
      </c>
      <c r="J9878" s="18" t="n">
        <v>0</v>
      </c>
      <c r="K9878" s="19" t="n">
        <v>0</v>
      </c>
      <c r="L9878" s="17"/>
    </row>
    <row r="9879" s="11" customFormat="true" ht="10.95" hidden="false" customHeight="true" outlineLevel="0" collapsed="false">
      <c r="A9879" s="16" t="n">
        <v>45187</v>
      </c>
      <c r="B9879" s="17" t="s">
        <v>3861</v>
      </c>
      <c r="C9879" s="17" t="s">
        <v>3752</v>
      </c>
      <c r="D9879" s="17" t="s">
        <v>2903</v>
      </c>
      <c r="E9879" s="17" t="s">
        <v>3677</v>
      </c>
      <c r="F9879" s="17" t="s">
        <v>3583</v>
      </c>
      <c r="G9879" s="18" t="n">
        <v>0</v>
      </c>
      <c r="H9879" s="18" t="n">
        <v>249</v>
      </c>
      <c r="I9879" s="18" t="n">
        <f aca="false">((I9878 + G9879) - H9879)</f>
        <v>52515.8599999999</v>
      </c>
      <c r="J9879" s="18" t="n">
        <v>0</v>
      </c>
      <c r="K9879" s="19" t="n">
        <v>0</v>
      </c>
      <c r="L9879" s="17"/>
    </row>
    <row r="9880" s="11" customFormat="true" ht="10.95" hidden="false" customHeight="true" outlineLevel="0" collapsed="false">
      <c r="A9880" s="16" t="n">
        <v>45188</v>
      </c>
      <c r="B9880" s="17" t="s">
        <v>3861</v>
      </c>
      <c r="C9880" s="17" t="s">
        <v>3752</v>
      </c>
      <c r="D9880" s="17" t="s">
        <v>1407</v>
      </c>
      <c r="E9880" s="17" t="s">
        <v>3946</v>
      </c>
      <c r="F9880" s="17"/>
      <c r="G9880" s="18" t="n">
        <v>0</v>
      </c>
      <c r="H9880" s="18" t="n">
        <v>4.06</v>
      </c>
      <c r="I9880" s="18" t="n">
        <f aca="false">((I9879 + G9880) - H9880)</f>
        <v>52511.7999999999</v>
      </c>
      <c r="J9880" s="18" t="n">
        <v>0</v>
      </c>
      <c r="K9880" s="19" t="n">
        <v>0</v>
      </c>
      <c r="L9880" s="17"/>
    </row>
    <row r="9881" s="11" customFormat="true" ht="10.95" hidden="false" customHeight="true" outlineLevel="0" collapsed="false">
      <c r="A9881" s="16" t="n">
        <v>45188</v>
      </c>
      <c r="B9881" s="17" t="s">
        <v>3861</v>
      </c>
      <c r="C9881" s="17" t="s">
        <v>3752</v>
      </c>
      <c r="D9881" s="17" t="s">
        <v>1407</v>
      </c>
      <c r="E9881" s="17" t="s">
        <v>2747</v>
      </c>
      <c r="F9881" s="17"/>
      <c r="G9881" s="18" t="n">
        <v>0</v>
      </c>
      <c r="H9881" s="18" t="n">
        <v>7</v>
      </c>
      <c r="I9881" s="18" t="n">
        <f aca="false">((I9880 + G9881) - H9881)</f>
        <v>52504.7999999999</v>
      </c>
      <c r="J9881" s="18" t="n">
        <v>0</v>
      </c>
      <c r="K9881" s="19" t="n">
        <v>0</v>
      </c>
      <c r="L9881" s="17"/>
    </row>
    <row r="9882" s="11" customFormat="true" ht="10.95" hidden="false" customHeight="true" outlineLevel="0" collapsed="false">
      <c r="A9882" s="16" t="n">
        <v>45188</v>
      </c>
      <c r="B9882" s="17" t="s">
        <v>3861</v>
      </c>
      <c r="C9882" s="17" t="s">
        <v>3752</v>
      </c>
      <c r="D9882" s="17" t="s">
        <v>1407</v>
      </c>
      <c r="E9882" s="17" t="s">
        <v>3967</v>
      </c>
      <c r="F9882" s="17"/>
      <c r="G9882" s="18" t="n">
        <v>0</v>
      </c>
      <c r="H9882" s="18" t="n">
        <v>48</v>
      </c>
      <c r="I9882" s="18" t="n">
        <f aca="false">((I9881 + G9882) - H9882)</f>
        <v>52456.7999999999</v>
      </c>
      <c r="J9882" s="18" t="n">
        <v>0</v>
      </c>
      <c r="K9882" s="19" t="n">
        <v>0</v>
      </c>
      <c r="L9882" s="17"/>
    </row>
    <row r="9883" s="11" customFormat="true" ht="10.95" hidden="false" customHeight="true" outlineLevel="0" collapsed="false">
      <c r="A9883" s="16" t="n">
        <v>45188</v>
      </c>
      <c r="B9883" s="17" t="s">
        <v>3861</v>
      </c>
      <c r="C9883" s="17" t="s">
        <v>3752</v>
      </c>
      <c r="D9883" s="17" t="s">
        <v>1407</v>
      </c>
      <c r="E9883" s="17" t="s">
        <v>3878</v>
      </c>
      <c r="F9883" s="17"/>
      <c r="G9883" s="18" t="n">
        <v>0</v>
      </c>
      <c r="H9883" s="18" t="n">
        <v>1188.2</v>
      </c>
      <c r="I9883" s="18" t="n">
        <f aca="false">((I9882 + G9883) - H9883)</f>
        <v>51268.5999999999</v>
      </c>
      <c r="J9883" s="18" t="n">
        <v>0</v>
      </c>
      <c r="K9883" s="19" t="n">
        <v>0</v>
      </c>
      <c r="L9883" s="17"/>
    </row>
    <row r="9884" s="11" customFormat="true" ht="10.95" hidden="false" customHeight="true" outlineLevel="0" collapsed="false">
      <c r="A9884" s="16" t="n">
        <v>45188</v>
      </c>
      <c r="B9884" s="17" t="s">
        <v>3861</v>
      </c>
      <c r="C9884" s="17" t="s">
        <v>3752</v>
      </c>
      <c r="D9884" s="17" t="s">
        <v>2903</v>
      </c>
      <c r="E9884" s="17" t="s">
        <v>3616</v>
      </c>
      <c r="F9884" s="17" t="s">
        <v>3260</v>
      </c>
      <c r="G9884" s="18" t="n">
        <v>0</v>
      </c>
      <c r="H9884" s="18" t="n">
        <v>3257.1</v>
      </c>
      <c r="I9884" s="18" t="n">
        <f aca="false">((I9883 + G9884) - H9884)</f>
        <v>48011.4999999999</v>
      </c>
      <c r="J9884" s="18" t="n">
        <v>0</v>
      </c>
      <c r="K9884" s="19" t="n">
        <v>0</v>
      </c>
      <c r="L9884" s="17"/>
    </row>
    <row r="9885" s="11" customFormat="true" ht="10.95" hidden="false" customHeight="true" outlineLevel="0" collapsed="false">
      <c r="A9885" s="16" t="n">
        <v>45188</v>
      </c>
      <c r="B9885" s="17" t="s">
        <v>3861</v>
      </c>
      <c r="C9885" s="17" t="s">
        <v>3752</v>
      </c>
      <c r="D9885" s="17" t="s">
        <v>1407</v>
      </c>
      <c r="E9885" s="17" t="s">
        <v>3901</v>
      </c>
      <c r="F9885" s="17"/>
      <c r="G9885" s="18" t="n">
        <v>0</v>
      </c>
      <c r="H9885" s="18" t="n">
        <v>84.07</v>
      </c>
      <c r="I9885" s="18" t="n">
        <f aca="false">((I9884 + G9885) - H9885)</f>
        <v>47927.4299999999</v>
      </c>
      <c r="J9885" s="18" t="n">
        <v>0</v>
      </c>
      <c r="K9885" s="19" t="n">
        <v>0</v>
      </c>
      <c r="L9885" s="17"/>
    </row>
    <row r="9886" s="11" customFormat="true" ht="10.95" hidden="false" customHeight="true" outlineLevel="0" collapsed="false">
      <c r="A9886" s="16" t="n">
        <v>45188</v>
      </c>
      <c r="B9886" s="17" t="s">
        <v>3861</v>
      </c>
      <c r="C9886" s="17" t="s">
        <v>3752</v>
      </c>
      <c r="D9886" s="17" t="s">
        <v>1407</v>
      </c>
      <c r="E9886" s="17" t="s">
        <v>3902</v>
      </c>
      <c r="F9886" s="17"/>
      <c r="G9886" s="18" t="n">
        <v>0</v>
      </c>
      <c r="H9886" s="18" t="n">
        <v>272.5</v>
      </c>
      <c r="I9886" s="18" t="n">
        <f aca="false">((I9885 + G9886) - H9886)</f>
        <v>47654.9299999999</v>
      </c>
      <c r="J9886" s="18" t="n">
        <v>0</v>
      </c>
      <c r="K9886" s="19" t="n">
        <v>0</v>
      </c>
      <c r="L9886" s="17"/>
    </row>
    <row r="9887" s="11" customFormat="true" ht="10.95" hidden="false" customHeight="true" outlineLevel="0" collapsed="false">
      <c r="A9887" s="16" t="n">
        <v>45188</v>
      </c>
      <c r="B9887" s="17" t="s">
        <v>3861</v>
      </c>
      <c r="C9887" s="17" t="s">
        <v>3752</v>
      </c>
      <c r="D9887" s="17" t="s">
        <v>2903</v>
      </c>
      <c r="E9887" s="17" t="s">
        <v>3643</v>
      </c>
      <c r="F9887" s="17" t="s">
        <v>1439</v>
      </c>
      <c r="G9887" s="18" t="n">
        <v>0</v>
      </c>
      <c r="H9887" s="18" t="n">
        <v>1183.82</v>
      </c>
      <c r="I9887" s="18" t="n">
        <f aca="false">((I9886 + G9887) - H9887)</f>
        <v>46471.1099999999</v>
      </c>
      <c r="J9887" s="18" t="n">
        <v>0</v>
      </c>
      <c r="K9887" s="19" t="n">
        <v>0</v>
      </c>
      <c r="L9887" s="17"/>
    </row>
    <row r="9888" s="11" customFormat="true" ht="10.95" hidden="false" customHeight="true" outlineLevel="0" collapsed="false">
      <c r="A9888" s="16" t="n">
        <v>45189</v>
      </c>
      <c r="B9888" s="17" t="s">
        <v>3861</v>
      </c>
      <c r="C9888" s="17" t="s">
        <v>3752</v>
      </c>
      <c r="D9888" s="17" t="s">
        <v>2895</v>
      </c>
      <c r="E9888" s="17" t="s">
        <v>2951</v>
      </c>
      <c r="F9888" s="17" t="s">
        <v>2952</v>
      </c>
      <c r="G9888" s="18" t="n">
        <v>1354.6</v>
      </c>
      <c r="H9888" s="18" t="n">
        <v>0</v>
      </c>
      <c r="I9888" s="18" t="n">
        <f aca="false">((I9887 + G9888) - H9888)</f>
        <v>47825.7099999999</v>
      </c>
      <c r="J9888" s="18" t="n">
        <v>0</v>
      </c>
      <c r="K9888" s="19" t="n">
        <v>0</v>
      </c>
      <c r="L9888" s="17"/>
    </row>
    <row r="9889" s="11" customFormat="true" ht="10.95" hidden="false" customHeight="true" outlineLevel="0" collapsed="false">
      <c r="A9889" s="16" t="n">
        <v>45189</v>
      </c>
      <c r="B9889" s="17" t="s">
        <v>3861</v>
      </c>
      <c r="C9889" s="17" t="s">
        <v>3752</v>
      </c>
      <c r="D9889" s="17" t="s">
        <v>1407</v>
      </c>
      <c r="E9889" s="17" t="s">
        <v>2747</v>
      </c>
      <c r="F9889" s="17"/>
      <c r="G9889" s="18" t="n">
        <v>0</v>
      </c>
      <c r="H9889" s="18" t="n">
        <v>7</v>
      </c>
      <c r="I9889" s="18" t="n">
        <f aca="false">((I9888 + G9889) - H9889)</f>
        <v>47818.7099999999</v>
      </c>
      <c r="J9889" s="18" t="n">
        <v>0</v>
      </c>
      <c r="K9889" s="19" t="n">
        <v>0</v>
      </c>
      <c r="L9889" s="17"/>
    </row>
    <row r="9890" s="11" customFormat="true" ht="10.95" hidden="false" customHeight="true" outlineLevel="0" collapsed="false">
      <c r="A9890" s="16" t="n">
        <v>45189</v>
      </c>
      <c r="B9890" s="17" t="s">
        <v>3861</v>
      </c>
      <c r="C9890" s="17" t="s">
        <v>3752</v>
      </c>
      <c r="D9890" s="17" t="s">
        <v>1407</v>
      </c>
      <c r="E9890" s="17" t="s">
        <v>3881</v>
      </c>
      <c r="F9890" s="17"/>
      <c r="G9890" s="18" t="n">
        <v>0</v>
      </c>
      <c r="H9890" s="18" t="n">
        <v>140</v>
      </c>
      <c r="I9890" s="18" t="n">
        <f aca="false">((I9889 + G9890) - H9890)</f>
        <v>47678.7099999999</v>
      </c>
      <c r="J9890" s="18" t="n">
        <v>0</v>
      </c>
      <c r="K9890" s="19" t="n">
        <v>0</v>
      </c>
      <c r="L9890" s="17"/>
    </row>
    <row r="9891" s="11" customFormat="true" ht="10.95" hidden="false" customHeight="true" outlineLevel="0" collapsed="false">
      <c r="A9891" s="16" t="n">
        <v>45189</v>
      </c>
      <c r="B9891" s="17" t="s">
        <v>3861</v>
      </c>
      <c r="C9891" s="17" t="s">
        <v>3752</v>
      </c>
      <c r="D9891" s="17" t="s">
        <v>1407</v>
      </c>
      <c r="E9891" s="17" t="s">
        <v>3879</v>
      </c>
      <c r="F9891" s="17"/>
      <c r="G9891" s="18" t="n">
        <v>0</v>
      </c>
      <c r="H9891" s="18" t="n">
        <v>1207</v>
      </c>
      <c r="I9891" s="18" t="n">
        <f aca="false">((I9890 + G9891) - H9891)</f>
        <v>46471.7099999999</v>
      </c>
      <c r="J9891" s="18" t="n">
        <v>0</v>
      </c>
      <c r="K9891" s="19" t="n">
        <v>0</v>
      </c>
      <c r="L9891" s="17"/>
    </row>
    <row r="9892" s="11" customFormat="true" ht="10.95" hidden="false" customHeight="true" outlineLevel="0" collapsed="false">
      <c r="A9892" s="16" t="n">
        <v>45189</v>
      </c>
      <c r="B9892" s="17" t="s">
        <v>3861</v>
      </c>
      <c r="C9892" s="17" t="s">
        <v>3752</v>
      </c>
      <c r="D9892" s="17" t="s">
        <v>1407</v>
      </c>
      <c r="E9892" s="17" t="s">
        <v>3880</v>
      </c>
      <c r="F9892" s="17"/>
      <c r="G9892" s="18" t="n">
        <v>0</v>
      </c>
      <c r="H9892" s="18" t="n">
        <v>1207</v>
      </c>
      <c r="I9892" s="18" t="n">
        <f aca="false">((I9891 + G9892) - H9892)</f>
        <v>45264.7099999999</v>
      </c>
      <c r="J9892" s="18" t="n">
        <v>0</v>
      </c>
      <c r="K9892" s="19" t="n">
        <v>0</v>
      </c>
      <c r="L9892" s="17"/>
    </row>
    <row r="9893" s="11" customFormat="true" ht="10.95" hidden="false" customHeight="true" outlineLevel="0" collapsed="false">
      <c r="A9893" s="16" t="n">
        <v>45189</v>
      </c>
      <c r="B9893" s="17" t="s">
        <v>3861</v>
      </c>
      <c r="C9893" s="17" t="s">
        <v>3752</v>
      </c>
      <c r="D9893" s="17" t="s">
        <v>1407</v>
      </c>
      <c r="E9893" s="17" t="s">
        <v>3808</v>
      </c>
      <c r="F9893" s="17"/>
      <c r="G9893" s="18" t="n">
        <v>0</v>
      </c>
      <c r="H9893" s="18" t="n">
        <v>1705.92</v>
      </c>
      <c r="I9893" s="18" t="n">
        <f aca="false">((I9892 + G9893) - H9893)</f>
        <v>43558.7899999999</v>
      </c>
      <c r="J9893" s="18" t="n">
        <v>0</v>
      </c>
      <c r="K9893" s="19" t="n">
        <v>0</v>
      </c>
      <c r="L9893" s="17"/>
    </row>
    <row r="9894" s="11" customFormat="true" ht="10.95" hidden="false" customHeight="true" outlineLevel="0" collapsed="false">
      <c r="A9894" s="16" t="n">
        <v>45190</v>
      </c>
      <c r="B9894" s="17" t="s">
        <v>3861</v>
      </c>
      <c r="C9894" s="17" t="s">
        <v>3752</v>
      </c>
      <c r="D9894" s="17" t="s">
        <v>2903</v>
      </c>
      <c r="E9894" s="17" t="s">
        <v>3644</v>
      </c>
      <c r="F9894" s="17" t="s">
        <v>2304</v>
      </c>
      <c r="G9894" s="18" t="n">
        <v>0</v>
      </c>
      <c r="H9894" s="18" t="n">
        <v>24.2</v>
      </c>
      <c r="I9894" s="18" t="n">
        <f aca="false">((I9893 + G9894) - H9894)</f>
        <v>43534.5899999999</v>
      </c>
      <c r="J9894" s="18" t="n">
        <v>0</v>
      </c>
      <c r="K9894" s="19" t="n">
        <v>0</v>
      </c>
      <c r="L9894" s="17"/>
    </row>
    <row r="9895" s="11" customFormat="true" ht="10.95" hidden="false" customHeight="true" outlineLevel="0" collapsed="false">
      <c r="A9895" s="16" t="n">
        <v>45190</v>
      </c>
      <c r="B9895" s="17" t="s">
        <v>3861</v>
      </c>
      <c r="C9895" s="17" t="s">
        <v>3752</v>
      </c>
      <c r="D9895" s="17" t="s">
        <v>1407</v>
      </c>
      <c r="E9895" s="17" t="s">
        <v>3863</v>
      </c>
      <c r="F9895" s="17"/>
      <c r="G9895" s="18" t="n">
        <v>0</v>
      </c>
      <c r="H9895" s="18" t="n">
        <v>0.94</v>
      </c>
      <c r="I9895" s="18" t="n">
        <f aca="false">((I9894 + G9895) - H9895)</f>
        <v>43533.6499999999</v>
      </c>
      <c r="J9895" s="18" t="n">
        <v>0</v>
      </c>
      <c r="K9895" s="19" t="n">
        <v>0</v>
      </c>
      <c r="L9895" s="17"/>
    </row>
    <row r="9896" s="11" customFormat="true" ht="10.95" hidden="false" customHeight="true" outlineLevel="0" collapsed="false">
      <c r="A9896" s="16" t="n">
        <v>45190</v>
      </c>
      <c r="B9896" s="17" t="s">
        <v>3861</v>
      </c>
      <c r="C9896" s="17" t="s">
        <v>3752</v>
      </c>
      <c r="D9896" s="17" t="s">
        <v>1407</v>
      </c>
      <c r="E9896" s="17" t="s">
        <v>3863</v>
      </c>
      <c r="F9896" s="17"/>
      <c r="G9896" s="18" t="n">
        <v>0</v>
      </c>
      <c r="H9896" s="18" t="n">
        <v>20.58</v>
      </c>
      <c r="I9896" s="18" t="n">
        <f aca="false">((I9895 + G9896) - H9896)</f>
        <v>43513.0699999999</v>
      </c>
      <c r="J9896" s="18" t="n">
        <v>0</v>
      </c>
      <c r="K9896" s="19" t="n">
        <v>0</v>
      </c>
      <c r="L9896" s="17"/>
    </row>
    <row r="9897" s="11" customFormat="true" ht="10.95" hidden="false" customHeight="true" outlineLevel="0" collapsed="false">
      <c r="A9897" s="16" t="n">
        <v>45190</v>
      </c>
      <c r="B9897" s="17" t="s">
        <v>3861</v>
      </c>
      <c r="C9897" s="17" t="s">
        <v>3752</v>
      </c>
      <c r="D9897" s="17" t="s">
        <v>1407</v>
      </c>
      <c r="E9897" s="17" t="s">
        <v>3774</v>
      </c>
      <c r="F9897" s="17"/>
      <c r="G9897" s="18" t="n">
        <v>0</v>
      </c>
      <c r="H9897" s="18" t="n">
        <v>31.18</v>
      </c>
      <c r="I9897" s="18" t="n">
        <f aca="false">((I9896 + G9897) - H9897)</f>
        <v>43481.8899999999</v>
      </c>
      <c r="J9897" s="18" t="n">
        <v>0</v>
      </c>
      <c r="K9897" s="19" t="n">
        <v>0</v>
      </c>
      <c r="L9897" s="17"/>
    </row>
    <row r="9898" s="11" customFormat="true" ht="10.95" hidden="false" customHeight="true" outlineLevel="0" collapsed="false">
      <c r="A9898" s="16" t="n">
        <v>45190</v>
      </c>
      <c r="B9898" s="17" t="s">
        <v>3861</v>
      </c>
      <c r="C9898" s="17" t="s">
        <v>3752</v>
      </c>
      <c r="D9898" s="17" t="s">
        <v>1407</v>
      </c>
      <c r="E9898" s="17" t="s">
        <v>3907</v>
      </c>
      <c r="F9898" s="17"/>
      <c r="G9898" s="18" t="n">
        <v>0</v>
      </c>
      <c r="H9898" s="18" t="n">
        <v>59</v>
      </c>
      <c r="I9898" s="18" t="n">
        <f aca="false">((I9897 + G9898) - H9898)</f>
        <v>43422.8899999999</v>
      </c>
      <c r="J9898" s="18" t="n">
        <v>0</v>
      </c>
      <c r="K9898" s="19" t="n">
        <v>0</v>
      </c>
      <c r="L9898" s="17"/>
    </row>
    <row r="9899" s="11" customFormat="true" ht="10.95" hidden="false" customHeight="true" outlineLevel="0" collapsed="false">
      <c r="A9899" s="16" t="n">
        <v>45190</v>
      </c>
      <c r="B9899" s="17" t="s">
        <v>3861</v>
      </c>
      <c r="C9899" s="17" t="s">
        <v>3752</v>
      </c>
      <c r="D9899" s="17" t="s">
        <v>2903</v>
      </c>
      <c r="E9899" s="17" t="s">
        <v>3644</v>
      </c>
      <c r="F9899" s="17" t="s">
        <v>2302</v>
      </c>
      <c r="G9899" s="18" t="n">
        <v>0</v>
      </c>
      <c r="H9899" s="18" t="n">
        <v>68.2</v>
      </c>
      <c r="I9899" s="18" t="n">
        <f aca="false">((I9898 + G9899) - H9899)</f>
        <v>43354.6899999999</v>
      </c>
      <c r="J9899" s="18" t="n">
        <v>0</v>
      </c>
      <c r="K9899" s="19" t="n">
        <v>0</v>
      </c>
      <c r="L9899" s="17"/>
    </row>
    <row r="9900" s="11" customFormat="true" ht="10.95" hidden="false" customHeight="true" outlineLevel="0" collapsed="false">
      <c r="A9900" s="16" t="n">
        <v>45190</v>
      </c>
      <c r="B9900" s="17" t="s">
        <v>3861</v>
      </c>
      <c r="C9900" s="17" t="s">
        <v>3752</v>
      </c>
      <c r="D9900" s="17" t="s">
        <v>1407</v>
      </c>
      <c r="E9900" s="17" t="s">
        <v>3776</v>
      </c>
      <c r="F9900" s="17"/>
      <c r="G9900" s="18" t="n">
        <v>0</v>
      </c>
      <c r="H9900" s="18" t="n">
        <v>685.89</v>
      </c>
      <c r="I9900" s="18" t="n">
        <f aca="false">((I9899 + G9900) - H9900)</f>
        <v>42668.7999999999</v>
      </c>
      <c r="J9900" s="18" t="n">
        <v>0</v>
      </c>
      <c r="K9900" s="19" t="n">
        <v>0</v>
      </c>
      <c r="L9900" s="17"/>
    </row>
    <row r="9901" s="11" customFormat="true" ht="10.95" hidden="false" customHeight="true" outlineLevel="0" collapsed="false">
      <c r="A9901" s="16" t="n">
        <v>45190</v>
      </c>
      <c r="B9901" s="17" t="s">
        <v>3861</v>
      </c>
      <c r="C9901" s="17" t="s">
        <v>3752</v>
      </c>
      <c r="D9901" s="17" t="s">
        <v>1407</v>
      </c>
      <c r="E9901" s="17" t="s">
        <v>3615</v>
      </c>
      <c r="F9901" s="17"/>
      <c r="G9901" s="18" t="n">
        <v>0</v>
      </c>
      <c r="H9901" s="18" t="n">
        <v>143.39</v>
      </c>
      <c r="I9901" s="18" t="n">
        <f aca="false">((I9900 + G9901) - H9901)</f>
        <v>42525.4099999999</v>
      </c>
      <c r="J9901" s="18" t="n">
        <v>0</v>
      </c>
      <c r="K9901" s="19" t="n">
        <v>0</v>
      </c>
      <c r="L9901" s="17"/>
    </row>
    <row r="9902" s="11" customFormat="true" ht="10.95" hidden="false" customHeight="true" outlineLevel="0" collapsed="false">
      <c r="A9902" s="16" t="n">
        <v>45190</v>
      </c>
      <c r="B9902" s="17" t="s">
        <v>3861</v>
      </c>
      <c r="C9902" s="17" t="s">
        <v>3752</v>
      </c>
      <c r="D9902" s="17" t="s">
        <v>2903</v>
      </c>
      <c r="E9902" s="17" t="s">
        <v>3645</v>
      </c>
      <c r="F9902" s="17" t="s">
        <v>1433</v>
      </c>
      <c r="G9902" s="18" t="n">
        <v>0</v>
      </c>
      <c r="H9902" s="18" t="n">
        <v>16431.03</v>
      </c>
      <c r="I9902" s="18" t="n">
        <f aca="false">((I9901 + G9902) - H9902)</f>
        <v>26094.3799999999</v>
      </c>
      <c r="J9902" s="18" t="n">
        <v>0</v>
      </c>
      <c r="K9902" s="19" t="n">
        <v>0</v>
      </c>
      <c r="L9902" s="17"/>
    </row>
    <row r="9903" s="11" customFormat="true" ht="10.95" hidden="false" customHeight="true" outlineLevel="0" collapsed="false">
      <c r="A9903" s="16" t="n">
        <v>45190</v>
      </c>
      <c r="B9903" s="17" t="s">
        <v>3861</v>
      </c>
      <c r="C9903" s="17" t="s">
        <v>3752</v>
      </c>
      <c r="D9903" s="17" t="s">
        <v>2903</v>
      </c>
      <c r="E9903" s="17" t="s">
        <v>3645</v>
      </c>
      <c r="F9903" s="17" t="s">
        <v>1431</v>
      </c>
      <c r="G9903" s="18" t="n">
        <v>0</v>
      </c>
      <c r="H9903" s="18" t="n">
        <v>538.76</v>
      </c>
      <c r="I9903" s="18" t="n">
        <f aca="false">((I9902 + G9903) - H9903)</f>
        <v>25555.6199999999</v>
      </c>
      <c r="J9903" s="18" t="n">
        <v>0</v>
      </c>
      <c r="K9903" s="19" t="n">
        <v>0</v>
      </c>
      <c r="L9903" s="17"/>
    </row>
    <row r="9904" s="11" customFormat="true" ht="10.95" hidden="false" customHeight="true" outlineLevel="0" collapsed="false">
      <c r="A9904" s="16" t="n">
        <v>45190</v>
      </c>
      <c r="B9904" s="17" t="s">
        <v>3861</v>
      </c>
      <c r="C9904" s="17" t="s">
        <v>3752</v>
      </c>
      <c r="D9904" s="17" t="s">
        <v>2903</v>
      </c>
      <c r="E9904" s="17" t="s">
        <v>3645</v>
      </c>
      <c r="F9904" s="17" t="s">
        <v>1435</v>
      </c>
      <c r="G9904" s="18" t="n">
        <v>0</v>
      </c>
      <c r="H9904" s="18" t="n">
        <v>1897.5</v>
      </c>
      <c r="I9904" s="18" t="n">
        <f aca="false">((I9903 + G9904) - H9904)</f>
        <v>23658.1199999999</v>
      </c>
      <c r="J9904" s="18" t="n">
        <v>0</v>
      </c>
      <c r="K9904" s="19" t="n">
        <v>0</v>
      </c>
      <c r="L9904" s="17"/>
    </row>
    <row r="9905" s="11" customFormat="true" ht="10.95" hidden="false" customHeight="true" outlineLevel="0" collapsed="false">
      <c r="A9905" s="16" t="n">
        <v>45190</v>
      </c>
      <c r="B9905" s="17" t="s">
        <v>3861</v>
      </c>
      <c r="C9905" s="17" t="s">
        <v>3752</v>
      </c>
      <c r="D9905" s="17" t="s">
        <v>2895</v>
      </c>
      <c r="E9905" s="17" t="s">
        <v>2900</v>
      </c>
      <c r="F9905" s="17" t="s">
        <v>2953</v>
      </c>
      <c r="G9905" s="18" t="n">
        <v>260.79</v>
      </c>
      <c r="H9905" s="18" t="n">
        <v>0</v>
      </c>
      <c r="I9905" s="18" t="n">
        <f aca="false">((I9904 + G9905) - H9905)</f>
        <v>23918.91</v>
      </c>
      <c r="J9905" s="18" t="n">
        <v>0</v>
      </c>
      <c r="K9905" s="19" t="n">
        <v>0</v>
      </c>
      <c r="L9905" s="17"/>
    </row>
    <row r="9906" s="11" customFormat="true" ht="10.95" hidden="false" customHeight="true" outlineLevel="0" collapsed="false">
      <c r="A9906" s="16" t="n">
        <v>45190</v>
      </c>
      <c r="B9906" s="17" t="s">
        <v>3861</v>
      </c>
      <c r="C9906" s="17" t="s">
        <v>3752</v>
      </c>
      <c r="D9906" s="17" t="s">
        <v>1407</v>
      </c>
      <c r="E9906" s="17" t="s">
        <v>3642</v>
      </c>
      <c r="F9906" s="17"/>
      <c r="G9906" s="18" t="n">
        <v>0</v>
      </c>
      <c r="H9906" s="18" t="n">
        <v>780</v>
      </c>
      <c r="I9906" s="18" t="n">
        <f aca="false">((I9905 + G9906) - H9906)</f>
        <v>23138.91</v>
      </c>
      <c r="J9906" s="18" t="n">
        <v>0</v>
      </c>
      <c r="K9906" s="19" t="n">
        <v>0</v>
      </c>
      <c r="L9906" s="17"/>
    </row>
    <row r="9907" s="11" customFormat="true" ht="10.95" hidden="false" customHeight="true" outlineLevel="0" collapsed="false">
      <c r="A9907" s="16" t="n">
        <v>45191</v>
      </c>
      <c r="B9907" s="17" t="s">
        <v>3861</v>
      </c>
      <c r="C9907" s="17" t="s">
        <v>3752</v>
      </c>
      <c r="D9907" s="17" t="s">
        <v>2903</v>
      </c>
      <c r="E9907" s="17" t="s">
        <v>3644</v>
      </c>
      <c r="F9907" s="17" t="s">
        <v>2316</v>
      </c>
      <c r="G9907" s="18" t="n">
        <v>0</v>
      </c>
      <c r="H9907" s="18" t="n">
        <v>33.22</v>
      </c>
      <c r="I9907" s="18" t="n">
        <f aca="false">((I9906 + G9907) - H9907)</f>
        <v>23105.6899999999</v>
      </c>
      <c r="J9907" s="18" t="n">
        <v>0</v>
      </c>
      <c r="K9907" s="19" t="n">
        <v>0</v>
      </c>
      <c r="L9907" s="17"/>
    </row>
    <row r="9908" s="11" customFormat="true" ht="10.95" hidden="false" customHeight="true" outlineLevel="0" collapsed="false">
      <c r="A9908" s="16" t="n">
        <v>45191</v>
      </c>
      <c r="B9908" s="17" t="s">
        <v>3861</v>
      </c>
      <c r="C9908" s="17" t="s">
        <v>3752</v>
      </c>
      <c r="D9908" s="17" t="s">
        <v>2903</v>
      </c>
      <c r="E9908" s="17" t="s">
        <v>3644</v>
      </c>
      <c r="F9908" s="17" t="s">
        <v>2312</v>
      </c>
      <c r="G9908" s="18" t="n">
        <v>0</v>
      </c>
      <c r="H9908" s="18" t="n">
        <v>45.32</v>
      </c>
      <c r="I9908" s="18" t="n">
        <f aca="false">((I9907 + G9908) - H9908)</f>
        <v>23060.3699999999</v>
      </c>
      <c r="J9908" s="18" t="n">
        <v>0</v>
      </c>
      <c r="K9908" s="19" t="n">
        <v>0</v>
      </c>
      <c r="L9908" s="17"/>
    </row>
    <row r="9909" s="11" customFormat="true" ht="10.95" hidden="false" customHeight="true" outlineLevel="0" collapsed="false">
      <c r="A9909" s="16" t="n">
        <v>45191</v>
      </c>
      <c r="B9909" s="17" t="s">
        <v>3861</v>
      </c>
      <c r="C9909" s="17" t="s">
        <v>3752</v>
      </c>
      <c r="D9909" s="17" t="s">
        <v>1407</v>
      </c>
      <c r="E9909" s="17" t="s">
        <v>3863</v>
      </c>
      <c r="F9909" s="17"/>
      <c r="G9909" s="18" t="n">
        <v>0</v>
      </c>
      <c r="H9909" s="18" t="n">
        <v>1.71</v>
      </c>
      <c r="I9909" s="18" t="n">
        <f aca="false">((I9908 + G9909) - H9909)</f>
        <v>23058.66</v>
      </c>
      <c r="J9909" s="18" t="n">
        <v>0</v>
      </c>
      <c r="K9909" s="19" t="n">
        <v>0</v>
      </c>
      <c r="L9909" s="17"/>
    </row>
    <row r="9910" s="11" customFormat="true" ht="10.95" hidden="false" customHeight="true" outlineLevel="0" collapsed="false">
      <c r="A9910" s="16" t="n">
        <v>45191</v>
      </c>
      <c r="B9910" s="17" t="s">
        <v>3861</v>
      </c>
      <c r="C9910" s="17" t="s">
        <v>3752</v>
      </c>
      <c r="D9910" s="17" t="s">
        <v>2903</v>
      </c>
      <c r="E9910" s="17" t="s">
        <v>3644</v>
      </c>
      <c r="F9910" s="17" t="s">
        <v>2308</v>
      </c>
      <c r="G9910" s="18" t="n">
        <v>0</v>
      </c>
      <c r="H9910" s="18" t="n">
        <v>60.5</v>
      </c>
      <c r="I9910" s="18" t="n">
        <f aca="false">((I9909 + G9910) - H9910)</f>
        <v>22998.16</v>
      </c>
      <c r="J9910" s="18" t="n">
        <v>0</v>
      </c>
      <c r="K9910" s="19" t="n">
        <v>0</v>
      </c>
      <c r="L9910" s="17"/>
    </row>
    <row r="9911" s="11" customFormat="true" ht="10.95" hidden="false" customHeight="true" outlineLevel="0" collapsed="false">
      <c r="A9911" s="16" t="n">
        <v>45191</v>
      </c>
      <c r="B9911" s="17" t="s">
        <v>3861</v>
      </c>
      <c r="C9911" s="17" t="s">
        <v>3752</v>
      </c>
      <c r="D9911" s="17" t="s">
        <v>2903</v>
      </c>
      <c r="E9911" s="17" t="s">
        <v>3644</v>
      </c>
      <c r="F9911" s="17" t="s">
        <v>2310</v>
      </c>
      <c r="G9911" s="18" t="n">
        <v>0</v>
      </c>
      <c r="H9911" s="18" t="n">
        <v>76.56</v>
      </c>
      <c r="I9911" s="18" t="n">
        <f aca="false">((I9910 + G9911) - H9911)</f>
        <v>22921.5999999999</v>
      </c>
      <c r="J9911" s="18" t="n">
        <v>0</v>
      </c>
      <c r="K9911" s="19" t="n">
        <v>0</v>
      </c>
      <c r="L9911" s="17"/>
    </row>
    <row r="9912" s="11" customFormat="true" ht="10.95" hidden="false" customHeight="true" outlineLevel="0" collapsed="false">
      <c r="A9912" s="16" t="n">
        <v>45191</v>
      </c>
      <c r="B9912" s="17" t="s">
        <v>3861</v>
      </c>
      <c r="C9912" s="17" t="s">
        <v>3752</v>
      </c>
      <c r="D9912" s="17" t="s">
        <v>2903</v>
      </c>
      <c r="E9912" s="17" t="s">
        <v>3644</v>
      </c>
      <c r="F9912" s="17" t="s">
        <v>2306</v>
      </c>
      <c r="G9912" s="18" t="n">
        <v>0</v>
      </c>
      <c r="H9912" s="18" t="n">
        <v>219.78</v>
      </c>
      <c r="I9912" s="18" t="n">
        <f aca="false">((I9911 + G9912) - H9912)</f>
        <v>22701.82</v>
      </c>
      <c r="J9912" s="18" t="n">
        <v>0</v>
      </c>
      <c r="K9912" s="19" t="n">
        <v>0</v>
      </c>
      <c r="L9912" s="17"/>
    </row>
    <row r="9913" s="11" customFormat="true" ht="10.95" hidden="false" customHeight="true" outlineLevel="0" collapsed="false">
      <c r="A9913" s="16" t="n">
        <v>45191</v>
      </c>
      <c r="B9913" s="17" t="s">
        <v>3861</v>
      </c>
      <c r="C9913" s="17" t="s">
        <v>3752</v>
      </c>
      <c r="D9913" s="17" t="s">
        <v>1407</v>
      </c>
      <c r="E9913" s="17" t="s">
        <v>3642</v>
      </c>
      <c r="F9913" s="17"/>
      <c r="G9913" s="18" t="n">
        <v>0</v>
      </c>
      <c r="H9913" s="18" t="n">
        <v>9.02</v>
      </c>
      <c r="I9913" s="18" t="n">
        <f aca="false">((I9912 + G9913) - H9913)</f>
        <v>22692.8</v>
      </c>
      <c r="J9913" s="18" t="n">
        <v>0</v>
      </c>
      <c r="K9913" s="19" t="n">
        <v>0</v>
      </c>
      <c r="L9913" s="17"/>
    </row>
    <row r="9914" s="11" customFormat="true" ht="10.95" hidden="false" customHeight="true" outlineLevel="0" collapsed="false">
      <c r="A9914" s="16" t="n">
        <v>45191</v>
      </c>
      <c r="B9914" s="17" t="s">
        <v>3861</v>
      </c>
      <c r="C9914" s="17" t="s">
        <v>3752</v>
      </c>
      <c r="D9914" s="17" t="s">
        <v>2903</v>
      </c>
      <c r="E9914" s="17" t="s">
        <v>2954</v>
      </c>
      <c r="F9914" s="17" t="s">
        <v>2624</v>
      </c>
      <c r="G9914" s="18" t="n">
        <v>0</v>
      </c>
      <c r="H9914" s="18" t="n">
        <v>56.93</v>
      </c>
      <c r="I9914" s="18" t="n">
        <f aca="false">((I9913 + G9914) - H9914)</f>
        <v>22635.8699999999</v>
      </c>
      <c r="J9914" s="18" t="n">
        <v>0</v>
      </c>
      <c r="K9914" s="19" t="n">
        <v>0</v>
      </c>
      <c r="L9914" s="17"/>
    </row>
    <row r="9915" s="11" customFormat="true" ht="10.95" hidden="false" customHeight="true" outlineLevel="0" collapsed="false">
      <c r="A9915" s="16" t="n">
        <v>45191</v>
      </c>
      <c r="B9915" s="17" t="s">
        <v>3861</v>
      </c>
      <c r="C9915" s="17" t="s">
        <v>3752</v>
      </c>
      <c r="D9915" s="17" t="s">
        <v>2895</v>
      </c>
      <c r="E9915" s="17" t="s">
        <v>2925</v>
      </c>
      <c r="F9915" s="17" t="s">
        <v>2955</v>
      </c>
      <c r="G9915" s="18" t="n">
        <v>320.02</v>
      </c>
      <c r="H9915" s="18" t="n">
        <v>0</v>
      </c>
      <c r="I9915" s="18" t="n">
        <f aca="false">((I9914 + G9915) - H9915)</f>
        <v>22955.89</v>
      </c>
      <c r="J9915" s="18" t="n">
        <v>0</v>
      </c>
      <c r="K9915" s="19" t="n">
        <v>0</v>
      </c>
      <c r="L9915" s="17"/>
    </row>
    <row r="9916" s="11" customFormat="true" ht="10.95" hidden="false" customHeight="true" outlineLevel="0" collapsed="false">
      <c r="A9916" s="16" t="n">
        <v>45192</v>
      </c>
      <c r="B9916" s="17" t="s">
        <v>3861</v>
      </c>
      <c r="C9916" s="17" t="s">
        <v>3752</v>
      </c>
      <c r="D9916" s="17" t="s">
        <v>2903</v>
      </c>
      <c r="E9916" s="17" t="s">
        <v>3671</v>
      </c>
      <c r="F9916" s="17" t="s">
        <v>2319</v>
      </c>
      <c r="G9916" s="18" t="n">
        <v>0</v>
      </c>
      <c r="H9916" s="18" t="n">
        <v>97</v>
      </c>
      <c r="I9916" s="18" t="n">
        <f aca="false">((I9915 + G9916) - H9916)</f>
        <v>22858.89</v>
      </c>
      <c r="J9916" s="18" t="n">
        <v>0</v>
      </c>
      <c r="K9916" s="19" t="n">
        <v>0</v>
      </c>
      <c r="L9916" s="17"/>
    </row>
    <row r="9917" s="11" customFormat="true" ht="10.95" hidden="false" customHeight="true" outlineLevel="0" collapsed="false">
      <c r="A9917" s="16" t="n">
        <v>45192</v>
      </c>
      <c r="B9917" s="17" t="s">
        <v>3861</v>
      </c>
      <c r="C9917" s="17" t="s">
        <v>3752</v>
      </c>
      <c r="D9917" s="17" t="s">
        <v>1407</v>
      </c>
      <c r="E9917" s="17" t="s">
        <v>3642</v>
      </c>
      <c r="F9917" s="17"/>
      <c r="G9917" s="18" t="n">
        <v>0</v>
      </c>
      <c r="H9917" s="18" t="n">
        <v>94.6</v>
      </c>
      <c r="I9917" s="18" t="n">
        <f aca="false">((I9916 + G9917) - H9917)</f>
        <v>22764.29</v>
      </c>
      <c r="J9917" s="18" t="n">
        <v>0</v>
      </c>
      <c r="K9917" s="19" t="n">
        <v>0</v>
      </c>
      <c r="L9917" s="17"/>
    </row>
    <row r="9918" s="11" customFormat="true" ht="10.95" hidden="false" customHeight="true" outlineLevel="0" collapsed="false">
      <c r="A9918" s="16" t="n">
        <v>45193</v>
      </c>
      <c r="B9918" s="17" t="s">
        <v>3861</v>
      </c>
      <c r="C9918" s="17" t="s">
        <v>3752</v>
      </c>
      <c r="D9918" s="17" t="s">
        <v>2895</v>
      </c>
      <c r="E9918" s="17" t="s">
        <v>3457</v>
      </c>
      <c r="F9918" s="17" t="s">
        <v>4010</v>
      </c>
      <c r="G9918" s="18" t="n">
        <v>2002</v>
      </c>
      <c r="H9918" s="18" t="n">
        <v>0</v>
      </c>
      <c r="I9918" s="18" t="n">
        <f aca="false">((I9917 + G9918) - H9918)</f>
        <v>24766.29</v>
      </c>
      <c r="J9918" s="18" t="n">
        <v>0</v>
      </c>
      <c r="K9918" s="19" t="n">
        <v>0</v>
      </c>
      <c r="L9918" s="17"/>
    </row>
    <row r="9919" s="11" customFormat="true" ht="10.95" hidden="false" customHeight="true" outlineLevel="0" collapsed="false">
      <c r="A9919" s="16" t="n">
        <v>45193</v>
      </c>
      <c r="B9919" s="17" t="s">
        <v>3861</v>
      </c>
      <c r="C9919" s="17" t="s">
        <v>3752</v>
      </c>
      <c r="D9919" s="17" t="s">
        <v>2895</v>
      </c>
      <c r="E9919" s="17" t="s">
        <v>3457</v>
      </c>
      <c r="F9919" s="17" t="s">
        <v>4011</v>
      </c>
      <c r="G9919" s="18" t="n">
        <v>9999</v>
      </c>
      <c r="H9919" s="18" t="n">
        <v>0</v>
      </c>
      <c r="I9919" s="18" t="n">
        <f aca="false">((I9918 + G9919) - H9919)</f>
        <v>34765.29</v>
      </c>
      <c r="J9919" s="18" t="n">
        <v>0</v>
      </c>
      <c r="K9919" s="19" t="n">
        <v>0</v>
      </c>
      <c r="L9919" s="17"/>
    </row>
    <row r="9920" s="11" customFormat="true" ht="10.95" hidden="false" customHeight="true" outlineLevel="0" collapsed="false">
      <c r="A9920" s="16" t="n">
        <v>45194</v>
      </c>
      <c r="B9920" s="17" t="s">
        <v>3861</v>
      </c>
      <c r="C9920" s="17" t="s">
        <v>3752</v>
      </c>
      <c r="D9920" s="17" t="s">
        <v>2895</v>
      </c>
      <c r="E9920" s="17" t="s">
        <v>2910</v>
      </c>
      <c r="F9920" s="17" t="s">
        <v>2956</v>
      </c>
      <c r="G9920" s="18" t="n">
        <v>2935</v>
      </c>
      <c r="H9920" s="18" t="n">
        <v>0</v>
      </c>
      <c r="I9920" s="18" t="n">
        <f aca="false">((I9919 + G9920) - H9920)</f>
        <v>37700.29</v>
      </c>
      <c r="J9920" s="18" t="n">
        <v>0</v>
      </c>
      <c r="K9920" s="19" t="n">
        <v>0</v>
      </c>
      <c r="L9920" s="17"/>
    </row>
    <row r="9921" s="11" customFormat="true" ht="10.95" hidden="false" customHeight="true" outlineLevel="0" collapsed="false">
      <c r="A9921" s="16" t="n">
        <v>45194</v>
      </c>
      <c r="B9921" s="17" t="s">
        <v>3861</v>
      </c>
      <c r="C9921" s="17" t="s">
        <v>3752</v>
      </c>
      <c r="D9921" s="17" t="s">
        <v>2895</v>
      </c>
      <c r="E9921" s="17" t="s">
        <v>2910</v>
      </c>
      <c r="F9921" s="17" t="s">
        <v>2957</v>
      </c>
      <c r="G9921" s="18" t="n">
        <v>627.35</v>
      </c>
      <c r="H9921" s="18" t="n">
        <v>0</v>
      </c>
      <c r="I9921" s="18" t="n">
        <f aca="false">((I9920 + G9921) - H9921)</f>
        <v>38327.64</v>
      </c>
      <c r="J9921" s="18" t="n">
        <v>0</v>
      </c>
      <c r="K9921" s="19" t="n">
        <v>0</v>
      </c>
      <c r="L9921" s="17"/>
    </row>
    <row r="9922" s="11" customFormat="true" ht="10.95" hidden="false" customHeight="true" outlineLevel="0" collapsed="false">
      <c r="A9922" s="16" t="n">
        <v>45195</v>
      </c>
      <c r="B9922" s="17" t="s">
        <v>3861</v>
      </c>
      <c r="C9922" s="17" t="s">
        <v>3752</v>
      </c>
      <c r="D9922" s="17" t="s">
        <v>1276</v>
      </c>
      <c r="E9922" s="17" t="s">
        <v>3499</v>
      </c>
      <c r="F9922" s="17" t="s">
        <v>1302</v>
      </c>
      <c r="G9922" s="18" t="n">
        <v>1.54</v>
      </c>
      <c r="H9922" s="18" t="n">
        <v>0</v>
      </c>
      <c r="I9922" s="18" t="n">
        <f aca="false">((I9921 + G9922) - H9922)</f>
        <v>38329.18</v>
      </c>
      <c r="J9922" s="18" t="n">
        <v>0</v>
      </c>
      <c r="K9922" s="19" t="n">
        <v>0</v>
      </c>
      <c r="L9922" s="17"/>
    </row>
    <row r="9923" s="11" customFormat="true" ht="10.95" hidden="false" customHeight="true" outlineLevel="0" collapsed="false">
      <c r="A9923" s="16" t="n">
        <v>45195</v>
      </c>
      <c r="B9923" s="17" t="s">
        <v>3861</v>
      </c>
      <c r="C9923" s="17" t="s">
        <v>3752</v>
      </c>
      <c r="D9923" s="17" t="s">
        <v>2895</v>
      </c>
      <c r="E9923" s="17" t="s">
        <v>3500</v>
      </c>
      <c r="F9923" s="17" t="s">
        <v>1302</v>
      </c>
      <c r="G9923" s="18" t="n">
        <v>88</v>
      </c>
      <c r="H9923" s="18" t="n">
        <v>0</v>
      </c>
      <c r="I9923" s="18" t="n">
        <f aca="false">((I9922 + G9923) - H9923)</f>
        <v>38417.18</v>
      </c>
      <c r="J9923" s="18" t="n">
        <v>0</v>
      </c>
      <c r="K9923" s="19" t="n">
        <v>0</v>
      </c>
      <c r="L9923" s="17"/>
    </row>
    <row r="9924" s="11" customFormat="true" ht="10.95" hidden="false" customHeight="true" outlineLevel="0" collapsed="false">
      <c r="A9924" s="16" t="n">
        <v>45195</v>
      </c>
      <c r="B9924" s="17" t="s">
        <v>3861</v>
      </c>
      <c r="C9924" s="17" t="s">
        <v>3752</v>
      </c>
      <c r="D9924" s="17" t="s">
        <v>1407</v>
      </c>
      <c r="E9924" s="17" t="s">
        <v>3862</v>
      </c>
      <c r="F9924" s="17" t="s">
        <v>1302</v>
      </c>
      <c r="G9924" s="18" t="n">
        <v>0</v>
      </c>
      <c r="H9924" s="18" t="n">
        <v>1.87</v>
      </c>
      <c r="I9924" s="18" t="n">
        <f aca="false">((I9923 + G9924) - H9924)</f>
        <v>38415.31</v>
      </c>
      <c r="J9924" s="18" t="n">
        <v>0</v>
      </c>
      <c r="K9924" s="19" t="n">
        <v>0</v>
      </c>
      <c r="L9924" s="17"/>
    </row>
    <row r="9925" s="11" customFormat="true" ht="10.95" hidden="false" customHeight="true" outlineLevel="0" collapsed="false">
      <c r="A9925" s="16" t="n">
        <v>45195</v>
      </c>
      <c r="B9925" s="17" t="s">
        <v>3861</v>
      </c>
      <c r="C9925" s="17" t="s">
        <v>3752</v>
      </c>
      <c r="D9925" s="17" t="s">
        <v>2903</v>
      </c>
      <c r="E9925" s="17" t="s">
        <v>3637</v>
      </c>
      <c r="F9925" s="17" t="s">
        <v>2645</v>
      </c>
      <c r="G9925" s="18" t="n">
        <v>0</v>
      </c>
      <c r="H9925" s="18" t="n">
        <v>104.95</v>
      </c>
      <c r="I9925" s="18" t="n">
        <f aca="false">((I9924 + G9925) - H9925)</f>
        <v>38310.36</v>
      </c>
      <c r="J9925" s="18" t="n">
        <v>0</v>
      </c>
      <c r="K9925" s="19" t="n">
        <v>0</v>
      </c>
      <c r="L9925" s="17"/>
    </row>
    <row r="9926" s="11" customFormat="true" ht="10.95" hidden="false" customHeight="true" outlineLevel="0" collapsed="false">
      <c r="A9926" s="16" t="n">
        <v>45195</v>
      </c>
      <c r="B9926" s="17" t="s">
        <v>3861</v>
      </c>
      <c r="C9926" s="17" t="s">
        <v>3752</v>
      </c>
      <c r="D9926" s="17" t="s">
        <v>2895</v>
      </c>
      <c r="E9926" s="17" t="s">
        <v>3403</v>
      </c>
      <c r="F9926" s="17" t="s">
        <v>4012</v>
      </c>
      <c r="G9926" s="18" t="n">
        <v>827.2</v>
      </c>
      <c r="H9926" s="18" t="n">
        <v>0</v>
      </c>
      <c r="I9926" s="18" t="n">
        <f aca="false">((I9925 + G9926) - H9926)</f>
        <v>39137.56</v>
      </c>
      <c r="J9926" s="18" t="n">
        <v>0</v>
      </c>
      <c r="K9926" s="19" t="n">
        <v>0</v>
      </c>
      <c r="L9926" s="17"/>
    </row>
    <row r="9927" s="11" customFormat="true" ht="10.95" hidden="false" customHeight="true" outlineLevel="0" collapsed="false">
      <c r="A9927" s="16" t="n">
        <v>45195</v>
      </c>
      <c r="B9927" s="17" t="s">
        <v>3861</v>
      </c>
      <c r="C9927" s="17" t="s">
        <v>3752</v>
      </c>
      <c r="D9927" s="17" t="s">
        <v>2895</v>
      </c>
      <c r="E9927" s="17" t="s">
        <v>3403</v>
      </c>
      <c r="F9927" s="17" t="s">
        <v>4013</v>
      </c>
      <c r="G9927" s="18" t="n">
        <v>517</v>
      </c>
      <c r="H9927" s="18" t="n">
        <v>0</v>
      </c>
      <c r="I9927" s="18" t="n">
        <f aca="false">((I9926 + G9927) - H9927)</f>
        <v>39654.56</v>
      </c>
      <c r="J9927" s="18" t="n">
        <v>0</v>
      </c>
      <c r="K9927" s="19" t="n">
        <v>0</v>
      </c>
      <c r="L9927" s="17"/>
    </row>
    <row r="9928" s="11" customFormat="true" ht="10.95" hidden="false" customHeight="true" outlineLevel="0" collapsed="false">
      <c r="A9928" s="16" t="n">
        <v>45195</v>
      </c>
      <c r="B9928" s="17" t="s">
        <v>3861</v>
      </c>
      <c r="C9928" s="17" t="s">
        <v>3752</v>
      </c>
      <c r="D9928" s="17" t="s">
        <v>2895</v>
      </c>
      <c r="E9928" s="17" t="s">
        <v>3403</v>
      </c>
      <c r="F9928" s="17" t="s">
        <v>4014</v>
      </c>
      <c r="G9928" s="18" t="n">
        <v>930.6</v>
      </c>
      <c r="H9928" s="18" t="n">
        <v>0</v>
      </c>
      <c r="I9928" s="18" t="n">
        <f aca="false">((I9927 + G9928) - H9928)</f>
        <v>40585.1599999999</v>
      </c>
      <c r="J9928" s="18" t="n">
        <v>0</v>
      </c>
      <c r="K9928" s="19" t="n">
        <v>0</v>
      </c>
      <c r="L9928" s="17"/>
    </row>
    <row r="9929" s="11" customFormat="true" ht="10.95" hidden="false" customHeight="true" outlineLevel="0" collapsed="false">
      <c r="A9929" s="16" t="n">
        <v>45195</v>
      </c>
      <c r="B9929" s="17" t="s">
        <v>3861</v>
      </c>
      <c r="C9929" s="17" t="s">
        <v>3752</v>
      </c>
      <c r="D9929" s="17" t="s">
        <v>2895</v>
      </c>
      <c r="E9929" s="17" t="s">
        <v>3403</v>
      </c>
      <c r="F9929" s="17" t="s">
        <v>4015</v>
      </c>
      <c r="G9929" s="18" t="n">
        <v>310.2</v>
      </c>
      <c r="H9929" s="18" t="n">
        <v>0</v>
      </c>
      <c r="I9929" s="18" t="n">
        <f aca="false">((I9928 + G9929) - H9929)</f>
        <v>40895.3599999999</v>
      </c>
      <c r="J9929" s="18" t="n">
        <v>0</v>
      </c>
      <c r="K9929" s="19" t="n">
        <v>0</v>
      </c>
      <c r="L9929" s="17"/>
    </row>
    <row r="9930" s="11" customFormat="true" ht="10.95" hidden="false" customHeight="true" outlineLevel="0" collapsed="false">
      <c r="A9930" s="16" t="n">
        <v>45195</v>
      </c>
      <c r="B9930" s="17" t="s">
        <v>3861</v>
      </c>
      <c r="C9930" s="17" t="s">
        <v>3752</v>
      </c>
      <c r="D9930" s="17" t="s">
        <v>2895</v>
      </c>
      <c r="E9930" s="17" t="s">
        <v>3403</v>
      </c>
      <c r="F9930" s="17" t="s">
        <v>4016</v>
      </c>
      <c r="G9930" s="18" t="n">
        <v>316.8</v>
      </c>
      <c r="H9930" s="18" t="n">
        <v>0</v>
      </c>
      <c r="I9930" s="18" t="n">
        <f aca="false">((I9929 + G9930) - H9930)</f>
        <v>41212.1599999999</v>
      </c>
      <c r="J9930" s="18" t="n">
        <v>0</v>
      </c>
      <c r="K9930" s="19" t="n">
        <v>0</v>
      </c>
      <c r="L9930" s="17"/>
    </row>
    <row r="9931" s="11" customFormat="true" ht="10.95" hidden="false" customHeight="true" outlineLevel="0" collapsed="false">
      <c r="A9931" s="16" t="n">
        <v>45195</v>
      </c>
      <c r="B9931" s="17" t="s">
        <v>3861</v>
      </c>
      <c r="C9931" s="17" t="s">
        <v>3752</v>
      </c>
      <c r="D9931" s="17" t="s">
        <v>2895</v>
      </c>
      <c r="E9931" s="17" t="s">
        <v>3403</v>
      </c>
      <c r="F9931" s="17" t="s">
        <v>4017</v>
      </c>
      <c r="G9931" s="18" t="n">
        <v>206.8</v>
      </c>
      <c r="H9931" s="18" t="n">
        <v>0</v>
      </c>
      <c r="I9931" s="18" t="n">
        <f aca="false">((I9930 + G9931) - H9931)</f>
        <v>41418.96</v>
      </c>
      <c r="J9931" s="18" t="n">
        <v>0</v>
      </c>
      <c r="K9931" s="19" t="n">
        <v>0</v>
      </c>
      <c r="L9931" s="17"/>
    </row>
    <row r="9932" s="11" customFormat="true" ht="10.95" hidden="false" customHeight="true" outlineLevel="0" collapsed="false">
      <c r="A9932" s="16" t="n">
        <v>45195</v>
      </c>
      <c r="B9932" s="17" t="s">
        <v>3861</v>
      </c>
      <c r="C9932" s="17" t="s">
        <v>3752</v>
      </c>
      <c r="D9932" s="17" t="s">
        <v>2895</v>
      </c>
      <c r="E9932" s="17" t="s">
        <v>3403</v>
      </c>
      <c r="F9932" s="17" t="s">
        <v>4018</v>
      </c>
      <c r="G9932" s="18" t="n">
        <v>1034</v>
      </c>
      <c r="H9932" s="18" t="n">
        <v>0</v>
      </c>
      <c r="I9932" s="18" t="n">
        <f aca="false">((I9931 + G9932) - H9932)</f>
        <v>42452.96</v>
      </c>
      <c r="J9932" s="18" t="n">
        <v>0</v>
      </c>
      <c r="K9932" s="19" t="n">
        <v>0</v>
      </c>
      <c r="L9932" s="17"/>
    </row>
    <row r="9933" s="11" customFormat="true" ht="10.95" hidden="false" customHeight="true" outlineLevel="0" collapsed="false">
      <c r="A9933" s="16" t="n">
        <v>45195</v>
      </c>
      <c r="B9933" s="17" t="s">
        <v>3861</v>
      </c>
      <c r="C9933" s="17" t="s">
        <v>3752</v>
      </c>
      <c r="D9933" s="17" t="s">
        <v>2895</v>
      </c>
      <c r="E9933" s="17" t="s">
        <v>3403</v>
      </c>
      <c r="F9933" s="17" t="s">
        <v>4019</v>
      </c>
      <c r="G9933" s="18" t="n">
        <v>1258.4</v>
      </c>
      <c r="H9933" s="18" t="n">
        <v>0</v>
      </c>
      <c r="I9933" s="18" t="n">
        <f aca="false">((I9932 + G9933) - H9933)</f>
        <v>43711.36</v>
      </c>
      <c r="J9933" s="18" t="n">
        <v>0</v>
      </c>
      <c r="K9933" s="19" t="n">
        <v>0</v>
      </c>
      <c r="L9933" s="17"/>
    </row>
    <row r="9934" s="11" customFormat="true" ht="10.95" hidden="false" customHeight="true" outlineLevel="0" collapsed="false">
      <c r="A9934" s="16" t="n">
        <v>45195</v>
      </c>
      <c r="B9934" s="17" t="s">
        <v>3861</v>
      </c>
      <c r="C9934" s="17" t="s">
        <v>3752</v>
      </c>
      <c r="D9934" s="17" t="s">
        <v>2895</v>
      </c>
      <c r="E9934" s="17" t="s">
        <v>3403</v>
      </c>
      <c r="F9934" s="17" t="s">
        <v>4020</v>
      </c>
      <c r="G9934" s="18" t="n">
        <v>627</v>
      </c>
      <c r="H9934" s="18" t="n">
        <v>0</v>
      </c>
      <c r="I9934" s="18" t="n">
        <f aca="false">((I9933 + G9934) - H9934)</f>
        <v>44338.36</v>
      </c>
      <c r="J9934" s="18" t="n">
        <v>0</v>
      </c>
      <c r="K9934" s="19" t="n">
        <v>0</v>
      </c>
      <c r="L9934" s="17"/>
    </row>
    <row r="9935" s="11" customFormat="true" ht="10.95" hidden="false" customHeight="true" outlineLevel="0" collapsed="false">
      <c r="A9935" s="16" t="n">
        <v>45195</v>
      </c>
      <c r="B9935" s="17" t="s">
        <v>3861</v>
      </c>
      <c r="C9935" s="17" t="s">
        <v>3752</v>
      </c>
      <c r="D9935" s="17" t="s">
        <v>2895</v>
      </c>
      <c r="E9935" s="17" t="s">
        <v>3403</v>
      </c>
      <c r="F9935" s="17" t="s">
        <v>4021</v>
      </c>
      <c r="G9935" s="18" t="n">
        <v>1361.25</v>
      </c>
      <c r="H9935" s="18" t="n">
        <v>0</v>
      </c>
      <c r="I9935" s="18" t="n">
        <f aca="false">((I9934 + G9935) - H9935)</f>
        <v>45699.61</v>
      </c>
      <c r="J9935" s="18" t="n">
        <v>0</v>
      </c>
      <c r="K9935" s="19" t="n">
        <v>0</v>
      </c>
      <c r="L9935" s="17"/>
    </row>
    <row r="9936" s="11" customFormat="true" ht="10.95" hidden="false" customHeight="true" outlineLevel="0" collapsed="false">
      <c r="A9936" s="16" t="n">
        <v>45195</v>
      </c>
      <c r="B9936" s="17" t="s">
        <v>3861</v>
      </c>
      <c r="C9936" s="17" t="s">
        <v>3752</v>
      </c>
      <c r="D9936" s="17" t="s">
        <v>1407</v>
      </c>
      <c r="E9936" s="17" t="s">
        <v>3863</v>
      </c>
      <c r="F9936" s="17"/>
      <c r="G9936" s="18" t="n">
        <v>0</v>
      </c>
      <c r="H9936" s="18" t="n">
        <v>0.37</v>
      </c>
      <c r="I9936" s="18" t="n">
        <f aca="false">((I9935 + G9936) - H9936)</f>
        <v>45699.24</v>
      </c>
      <c r="J9936" s="18" t="n">
        <v>0</v>
      </c>
      <c r="K9936" s="19" t="n">
        <v>0</v>
      </c>
      <c r="L9936" s="17"/>
    </row>
    <row r="9937" s="11" customFormat="true" ht="10.95" hidden="false" customHeight="true" outlineLevel="0" collapsed="false">
      <c r="A9937" s="16" t="n">
        <v>45195</v>
      </c>
      <c r="B9937" s="17" t="s">
        <v>3861</v>
      </c>
      <c r="C9937" s="17" t="s">
        <v>3752</v>
      </c>
      <c r="D9937" s="17" t="s">
        <v>1407</v>
      </c>
      <c r="E9937" s="17" t="s">
        <v>3863</v>
      </c>
      <c r="F9937" s="17"/>
      <c r="G9937" s="18" t="n">
        <v>0</v>
      </c>
      <c r="H9937" s="18" t="n">
        <v>0.37</v>
      </c>
      <c r="I9937" s="18" t="n">
        <f aca="false">((I9936 + G9937) - H9937)</f>
        <v>45698.8699999999</v>
      </c>
      <c r="J9937" s="18" t="n">
        <v>0</v>
      </c>
      <c r="K9937" s="19" t="n">
        <v>0</v>
      </c>
      <c r="L9937" s="17"/>
    </row>
    <row r="9938" s="11" customFormat="true" ht="10.95" hidden="false" customHeight="true" outlineLevel="0" collapsed="false">
      <c r="A9938" s="16" t="n">
        <v>45195</v>
      </c>
      <c r="B9938" s="17" t="s">
        <v>3861</v>
      </c>
      <c r="C9938" s="17" t="s">
        <v>3752</v>
      </c>
      <c r="D9938" s="17" t="s">
        <v>1407</v>
      </c>
      <c r="E9938" s="17" t="s">
        <v>3863</v>
      </c>
      <c r="F9938" s="17"/>
      <c r="G9938" s="18" t="n">
        <v>0</v>
      </c>
      <c r="H9938" s="18" t="n">
        <v>1.03</v>
      </c>
      <c r="I9938" s="18" t="n">
        <f aca="false">((I9937 + G9938) - H9938)</f>
        <v>45697.8399999999</v>
      </c>
      <c r="J9938" s="18" t="n">
        <v>0</v>
      </c>
      <c r="K9938" s="19" t="n">
        <v>0</v>
      </c>
      <c r="L9938" s="17"/>
    </row>
    <row r="9939" s="11" customFormat="true" ht="10.95" hidden="false" customHeight="true" outlineLevel="0" collapsed="false">
      <c r="A9939" s="16" t="n">
        <v>45195</v>
      </c>
      <c r="B9939" s="17" t="s">
        <v>3861</v>
      </c>
      <c r="C9939" s="17" t="s">
        <v>3752</v>
      </c>
      <c r="D9939" s="17" t="s">
        <v>1407</v>
      </c>
      <c r="E9939" s="17" t="s">
        <v>3863</v>
      </c>
      <c r="F9939" s="17"/>
      <c r="G9939" s="18" t="n">
        <v>0</v>
      </c>
      <c r="H9939" s="18" t="n">
        <v>4.07</v>
      </c>
      <c r="I9939" s="18" t="n">
        <f aca="false">((I9938 + G9939) - H9939)</f>
        <v>45693.7699999999</v>
      </c>
      <c r="J9939" s="18" t="n">
        <v>0</v>
      </c>
      <c r="K9939" s="19" t="n">
        <v>0</v>
      </c>
      <c r="L9939" s="17"/>
    </row>
    <row r="9940" s="11" customFormat="true" ht="10.95" hidden="false" customHeight="true" outlineLevel="0" collapsed="false">
      <c r="A9940" s="16" t="n">
        <v>45195</v>
      </c>
      <c r="B9940" s="17" t="s">
        <v>3861</v>
      </c>
      <c r="C9940" s="17" t="s">
        <v>3752</v>
      </c>
      <c r="D9940" s="17" t="s">
        <v>1407</v>
      </c>
      <c r="E9940" s="17" t="s">
        <v>3863</v>
      </c>
      <c r="F9940" s="17"/>
      <c r="G9940" s="18" t="n">
        <v>0</v>
      </c>
      <c r="H9940" s="18" t="n">
        <v>7</v>
      </c>
      <c r="I9940" s="18" t="n">
        <f aca="false">((I9939 + G9940) - H9940)</f>
        <v>45686.7699999999</v>
      </c>
      <c r="J9940" s="18" t="n">
        <v>0</v>
      </c>
      <c r="K9940" s="19" t="n">
        <v>0</v>
      </c>
      <c r="L9940" s="17"/>
    </row>
    <row r="9941" s="11" customFormat="true" ht="10.95" hidden="false" customHeight="true" outlineLevel="0" collapsed="false">
      <c r="A9941" s="16" t="n">
        <v>45195</v>
      </c>
      <c r="B9941" s="17" t="s">
        <v>3861</v>
      </c>
      <c r="C9941" s="17" t="s">
        <v>3752</v>
      </c>
      <c r="D9941" s="17" t="s">
        <v>1407</v>
      </c>
      <c r="E9941" s="17" t="s">
        <v>2747</v>
      </c>
      <c r="F9941" s="17"/>
      <c r="G9941" s="18" t="n">
        <v>0</v>
      </c>
      <c r="H9941" s="18" t="n">
        <v>7</v>
      </c>
      <c r="I9941" s="18" t="n">
        <f aca="false">((I9940 + G9941) - H9941)</f>
        <v>45679.7699999999</v>
      </c>
      <c r="J9941" s="18" t="n">
        <v>0</v>
      </c>
      <c r="K9941" s="19" t="n">
        <v>0</v>
      </c>
      <c r="L9941" s="17"/>
    </row>
    <row r="9942" s="11" customFormat="true" ht="10.95" hidden="false" customHeight="true" outlineLevel="0" collapsed="false">
      <c r="A9942" s="16" t="n">
        <v>45195</v>
      </c>
      <c r="B9942" s="17" t="s">
        <v>3861</v>
      </c>
      <c r="C9942" s="17" t="s">
        <v>3752</v>
      </c>
      <c r="D9942" s="17" t="s">
        <v>1407</v>
      </c>
      <c r="E9942" s="17" t="s">
        <v>3863</v>
      </c>
      <c r="F9942" s="17"/>
      <c r="G9942" s="18" t="n">
        <v>0</v>
      </c>
      <c r="H9942" s="18" t="n">
        <v>8.79</v>
      </c>
      <c r="I9942" s="18" t="n">
        <f aca="false">((I9941 + G9942) - H9942)</f>
        <v>45670.9799999999</v>
      </c>
      <c r="J9942" s="18" t="n">
        <v>0</v>
      </c>
      <c r="K9942" s="19" t="n">
        <v>0</v>
      </c>
      <c r="L9942" s="17"/>
    </row>
    <row r="9943" s="11" customFormat="true" ht="10.95" hidden="false" customHeight="true" outlineLevel="0" collapsed="false">
      <c r="A9943" s="16" t="n">
        <v>45195</v>
      </c>
      <c r="B9943" s="17" t="s">
        <v>3861</v>
      </c>
      <c r="C9943" s="17" t="s">
        <v>3752</v>
      </c>
      <c r="D9943" s="17" t="s">
        <v>1407</v>
      </c>
      <c r="E9943" s="17" t="s">
        <v>3863</v>
      </c>
      <c r="F9943" s="17"/>
      <c r="G9943" s="18" t="n">
        <v>0</v>
      </c>
      <c r="H9943" s="18" t="n">
        <v>9.36</v>
      </c>
      <c r="I9943" s="18" t="n">
        <f aca="false">((I9942 + G9943) - H9943)</f>
        <v>45661.6199999999</v>
      </c>
      <c r="J9943" s="18" t="n">
        <v>0</v>
      </c>
      <c r="K9943" s="19" t="n">
        <v>0</v>
      </c>
      <c r="L9943" s="17"/>
    </row>
    <row r="9944" s="11" customFormat="true" ht="10.95" hidden="false" customHeight="true" outlineLevel="0" collapsed="false">
      <c r="A9944" s="16" t="n">
        <v>45195</v>
      </c>
      <c r="B9944" s="17" t="s">
        <v>3861</v>
      </c>
      <c r="C9944" s="17" t="s">
        <v>3752</v>
      </c>
      <c r="D9944" s="17" t="s">
        <v>1407</v>
      </c>
      <c r="E9944" s="17" t="s">
        <v>3770</v>
      </c>
      <c r="F9944" s="17"/>
      <c r="G9944" s="18" t="n">
        <v>0</v>
      </c>
      <c r="H9944" s="18" t="n">
        <v>22.99</v>
      </c>
      <c r="I9944" s="18" t="n">
        <f aca="false">((I9943 + G9944) - H9944)</f>
        <v>45638.63</v>
      </c>
      <c r="J9944" s="18" t="n">
        <v>0</v>
      </c>
      <c r="K9944" s="19" t="n">
        <v>0</v>
      </c>
      <c r="L9944" s="17"/>
    </row>
    <row r="9945" s="11" customFormat="true" ht="10.95" hidden="false" customHeight="true" outlineLevel="0" collapsed="false">
      <c r="A9945" s="16" t="n">
        <v>45195</v>
      </c>
      <c r="B9945" s="17" t="s">
        <v>3861</v>
      </c>
      <c r="C9945" s="17" t="s">
        <v>3752</v>
      </c>
      <c r="D9945" s="17" t="s">
        <v>1407</v>
      </c>
      <c r="E9945" s="17" t="s">
        <v>3770</v>
      </c>
      <c r="F9945" s="17"/>
      <c r="G9945" s="18" t="n">
        <v>0</v>
      </c>
      <c r="H9945" s="18" t="n">
        <v>34.42</v>
      </c>
      <c r="I9945" s="18" t="n">
        <f aca="false">((I9944 + G9945) - H9945)</f>
        <v>45604.21</v>
      </c>
      <c r="J9945" s="18" t="n">
        <v>0</v>
      </c>
      <c r="K9945" s="19" t="n">
        <v>0</v>
      </c>
      <c r="L9945" s="17"/>
    </row>
    <row r="9946" s="11" customFormat="true" ht="10.95" hidden="false" customHeight="true" outlineLevel="0" collapsed="false">
      <c r="A9946" s="16" t="n">
        <v>45195</v>
      </c>
      <c r="B9946" s="17" t="s">
        <v>3861</v>
      </c>
      <c r="C9946" s="17" t="s">
        <v>3752</v>
      </c>
      <c r="D9946" s="17" t="s">
        <v>1407</v>
      </c>
      <c r="E9946" s="17" t="s">
        <v>3976</v>
      </c>
      <c r="F9946" s="17"/>
      <c r="G9946" s="18" t="n">
        <v>0</v>
      </c>
      <c r="H9946" s="18" t="n">
        <v>179.97</v>
      </c>
      <c r="I9946" s="18" t="n">
        <f aca="false">((I9945 + G9946) - H9946)</f>
        <v>45424.24</v>
      </c>
      <c r="J9946" s="18" t="n">
        <v>0</v>
      </c>
      <c r="K9946" s="19" t="n">
        <v>0</v>
      </c>
      <c r="L9946" s="17"/>
    </row>
    <row r="9947" s="11" customFormat="true" ht="10.95" hidden="false" customHeight="true" outlineLevel="0" collapsed="false">
      <c r="A9947" s="16" t="n">
        <v>45195</v>
      </c>
      <c r="B9947" s="17" t="s">
        <v>3861</v>
      </c>
      <c r="C9947" s="17" t="s">
        <v>3752</v>
      </c>
      <c r="D9947" s="17" t="s">
        <v>1407</v>
      </c>
      <c r="E9947" s="17" t="s">
        <v>3878</v>
      </c>
      <c r="F9947" s="17"/>
      <c r="G9947" s="18" t="n">
        <v>0</v>
      </c>
      <c r="H9947" s="18" t="n">
        <v>1188.2</v>
      </c>
      <c r="I9947" s="18" t="n">
        <f aca="false">((I9946 + G9947) - H9947)</f>
        <v>44236.04</v>
      </c>
      <c r="J9947" s="18" t="n">
        <v>0</v>
      </c>
      <c r="K9947" s="19" t="n">
        <v>0</v>
      </c>
      <c r="L9947" s="17"/>
    </row>
    <row r="9948" s="11" customFormat="true" ht="10.95" hidden="false" customHeight="true" outlineLevel="0" collapsed="false">
      <c r="A9948" s="16" t="n">
        <v>45195</v>
      </c>
      <c r="B9948" s="17" t="s">
        <v>3861</v>
      </c>
      <c r="C9948" s="17" t="s">
        <v>3752</v>
      </c>
      <c r="D9948" s="17" t="s">
        <v>1407</v>
      </c>
      <c r="E9948" s="17" t="s">
        <v>3911</v>
      </c>
      <c r="F9948" s="17"/>
      <c r="G9948" s="18" t="n">
        <v>0</v>
      </c>
      <c r="H9948" s="18" t="n">
        <v>12.41</v>
      </c>
      <c r="I9948" s="18" t="n">
        <f aca="false">((I9947 + G9948) - H9948)</f>
        <v>44223.63</v>
      </c>
      <c r="J9948" s="18" t="n">
        <v>0</v>
      </c>
      <c r="K9948" s="19" t="n">
        <v>0</v>
      </c>
      <c r="L9948" s="17"/>
    </row>
    <row r="9949" s="11" customFormat="true" ht="10.95" hidden="false" customHeight="true" outlineLevel="0" collapsed="false">
      <c r="A9949" s="16" t="n">
        <v>45195</v>
      </c>
      <c r="B9949" s="17" t="s">
        <v>3861</v>
      </c>
      <c r="C9949" s="17" t="s">
        <v>3752</v>
      </c>
      <c r="D9949" s="17" t="s">
        <v>1407</v>
      </c>
      <c r="E9949" s="17" t="s">
        <v>3911</v>
      </c>
      <c r="F9949" s="17"/>
      <c r="G9949" s="18" t="n">
        <v>0</v>
      </c>
      <c r="H9949" s="18" t="n">
        <v>12.48</v>
      </c>
      <c r="I9949" s="18" t="n">
        <f aca="false">((I9948 + G9949) - H9949)</f>
        <v>44211.1499999999</v>
      </c>
      <c r="J9949" s="18" t="n">
        <v>0</v>
      </c>
      <c r="K9949" s="19" t="n">
        <v>0</v>
      </c>
      <c r="L9949" s="17"/>
    </row>
    <row r="9950" s="11" customFormat="true" ht="10.95" hidden="false" customHeight="true" outlineLevel="0" collapsed="false">
      <c r="A9950" s="16" t="n">
        <v>45195</v>
      </c>
      <c r="B9950" s="17" t="s">
        <v>3861</v>
      </c>
      <c r="C9950" s="17" t="s">
        <v>3752</v>
      </c>
      <c r="D9950" s="17" t="s">
        <v>1407</v>
      </c>
      <c r="E9950" s="17" t="s">
        <v>3911</v>
      </c>
      <c r="F9950" s="17"/>
      <c r="G9950" s="18" t="n">
        <v>0</v>
      </c>
      <c r="H9950" s="18" t="n">
        <v>312.08</v>
      </c>
      <c r="I9950" s="18" t="n">
        <f aca="false">((I9949 + G9950) - H9950)</f>
        <v>43899.0699999999</v>
      </c>
      <c r="J9950" s="18" t="n">
        <v>0</v>
      </c>
      <c r="K9950" s="19" t="n">
        <v>0</v>
      </c>
      <c r="L9950" s="17"/>
    </row>
    <row r="9951" s="11" customFormat="true" ht="10.95" hidden="false" customHeight="true" outlineLevel="0" collapsed="false">
      <c r="A9951" s="16" t="n">
        <v>45195</v>
      </c>
      <c r="B9951" s="17" t="s">
        <v>3861</v>
      </c>
      <c r="C9951" s="17" t="s">
        <v>3752</v>
      </c>
      <c r="D9951" s="17" t="s">
        <v>1407</v>
      </c>
      <c r="E9951" s="17" t="s">
        <v>4022</v>
      </c>
      <c r="F9951" s="17"/>
      <c r="G9951" s="18" t="n">
        <v>0</v>
      </c>
      <c r="H9951" s="18" t="n">
        <v>233.43</v>
      </c>
      <c r="I9951" s="18" t="n">
        <f aca="false">((I9950 + G9951) - H9951)</f>
        <v>43665.6399999999</v>
      </c>
      <c r="J9951" s="18" t="n">
        <v>0</v>
      </c>
      <c r="K9951" s="19" t="n">
        <v>0</v>
      </c>
      <c r="L9951" s="17"/>
    </row>
    <row r="9952" s="11" customFormat="true" ht="10.95" hidden="false" customHeight="true" outlineLevel="0" collapsed="false">
      <c r="A9952" s="16" t="n">
        <v>45195</v>
      </c>
      <c r="B9952" s="17" t="s">
        <v>3861</v>
      </c>
      <c r="C9952" s="17" t="s">
        <v>3752</v>
      </c>
      <c r="D9952" s="17" t="s">
        <v>1407</v>
      </c>
      <c r="E9952" s="17" t="s">
        <v>4023</v>
      </c>
      <c r="F9952" s="17"/>
      <c r="G9952" s="18" t="n">
        <v>0</v>
      </c>
      <c r="H9952" s="18" t="n">
        <v>135.76</v>
      </c>
      <c r="I9952" s="18" t="n">
        <f aca="false">((I9951 + G9952) - H9952)</f>
        <v>43529.8799999999</v>
      </c>
      <c r="J9952" s="18" t="n">
        <v>0</v>
      </c>
      <c r="K9952" s="19" t="n">
        <v>0</v>
      </c>
      <c r="L9952" s="17"/>
    </row>
    <row r="9953" s="11" customFormat="true" ht="10.95" hidden="false" customHeight="true" outlineLevel="0" collapsed="false">
      <c r="A9953" s="16" t="n">
        <v>45195</v>
      </c>
      <c r="B9953" s="17" t="s">
        <v>3861</v>
      </c>
      <c r="C9953" s="17" t="s">
        <v>3752</v>
      </c>
      <c r="D9953" s="17" t="s">
        <v>1407</v>
      </c>
      <c r="E9953" s="17" t="s">
        <v>1536</v>
      </c>
      <c r="F9953" s="17"/>
      <c r="G9953" s="18" t="n">
        <v>0</v>
      </c>
      <c r="H9953" s="18" t="n">
        <v>292.97</v>
      </c>
      <c r="I9953" s="18" t="n">
        <f aca="false">((I9952 + G9953) - H9953)</f>
        <v>43236.9099999999</v>
      </c>
      <c r="J9953" s="18" t="n">
        <v>0</v>
      </c>
      <c r="K9953" s="19" t="n">
        <v>0</v>
      </c>
      <c r="L9953" s="17"/>
    </row>
    <row r="9954" s="11" customFormat="true" ht="10.95" hidden="false" customHeight="true" outlineLevel="0" collapsed="false">
      <c r="A9954" s="16" t="n">
        <v>45196</v>
      </c>
      <c r="B9954" s="17" t="s">
        <v>3861</v>
      </c>
      <c r="C9954" s="17" t="s">
        <v>3752</v>
      </c>
      <c r="D9954" s="17" t="s">
        <v>2895</v>
      </c>
      <c r="E9954" s="17" t="s">
        <v>3453</v>
      </c>
      <c r="F9954" s="17" t="s">
        <v>4024</v>
      </c>
      <c r="G9954" s="18" t="n">
        <v>93.5</v>
      </c>
      <c r="H9954" s="18" t="n">
        <v>0</v>
      </c>
      <c r="I9954" s="18" t="n">
        <f aca="false">((I9953 + G9954) - H9954)</f>
        <v>43330.4099999999</v>
      </c>
      <c r="J9954" s="18" t="n">
        <v>0</v>
      </c>
      <c r="K9954" s="19" t="n">
        <v>0</v>
      </c>
      <c r="L9954" s="17"/>
    </row>
    <row r="9955" s="11" customFormat="true" ht="10.95" hidden="false" customHeight="true" outlineLevel="0" collapsed="false">
      <c r="A9955" s="16" t="n">
        <v>45196</v>
      </c>
      <c r="B9955" s="17" t="s">
        <v>3861</v>
      </c>
      <c r="C9955" s="17" t="s">
        <v>3752</v>
      </c>
      <c r="D9955" s="17" t="s">
        <v>1407</v>
      </c>
      <c r="E9955" s="17" t="s">
        <v>3881</v>
      </c>
      <c r="F9955" s="17"/>
      <c r="G9955" s="18" t="n">
        <v>0</v>
      </c>
      <c r="H9955" s="18" t="n">
        <v>140</v>
      </c>
      <c r="I9955" s="18" t="n">
        <f aca="false">((I9954 + G9955) - H9955)</f>
        <v>43190.4099999999</v>
      </c>
      <c r="J9955" s="18" t="n">
        <v>0</v>
      </c>
      <c r="K9955" s="19" t="n">
        <v>0</v>
      </c>
      <c r="L9955" s="17"/>
    </row>
    <row r="9956" s="11" customFormat="true" ht="10.95" hidden="false" customHeight="true" outlineLevel="0" collapsed="false">
      <c r="A9956" s="16" t="n">
        <v>45196</v>
      </c>
      <c r="B9956" s="17" t="s">
        <v>3861</v>
      </c>
      <c r="C9956" s="17" t="s">
        <v>3752</v>
      </c>
      <c r="D9956" s="17" t="s">
        <v>1407</v>
      </c>
      <c r="E9956" s="17" t="s">
        <v>3879</v>
      </c>
      <c r="F9956" s="17"/>
      <c r="G9956" s="18" t="n">
        <v>0</v>
      </c>
      <c r="H9956" s="18" t="n">
        <v>1207</v>
      </c>
      <c r="I9956" s="18" t="n">
        <f aca="false">((I9955 + G9956) - H9956)</f>
        <v>41983.4099999999</v>
      </c>
      <c r="J9956" s="18" t="n">
        <v>0</v>
      </c>
      <c r="K9956" s="19" t="n">
        <v>0</v>
      </c>
      <c r="L9956" s="17"/>
    </row>
    <row r="9957" s="11" customFormat="true" ht="10.95" hidden="false" customHeight="true" outlineLevel="0" collapsed="false">
      <c r="A9957" s="16" t="n">
        <v>45196</v>
      </c>
      <c r="B9957" s="17" t="s">
        <v>3861</v>
      </c>
      <c r="C9957" s="17" t="s">
        <v>3752</v>
      </c>
      <c r="D9957" s="17" t="s">
        <v>1407</v>
      </c>
      <c r="E9957" s="17" t="s">
        <v>3880</v>
      </c>
      <c r="F9957" s="17"/>
      <c r="G9957" s="18" t="n">
        <v>0</v>
      </c>
      <c r="H9957" s="18" t="n">
        <v>1207</v>
      </c>
      <c r="I9957" s="18" t="n">
        <f aca="false">((I9956 + G9957) - H9957)</f>
        <v>40776.4099999999</v>
      </c>
      <c r="J9957" s="18" t="n">
        <v>0</v>
      </c>
      <c r="K9957" s="19" t="n">
        <v>0</v>
      </c>
      <c r="L9957" s="17"/>
    </row>
    <row r="9958" s="11" customFormat="true" ht="10.95" hidden="false" customHeight="true" outlineLevel="0" collapsed="false">
      <c r="A9958" s="16" t="n">
        <v>45196</v>
      </c>
      <c r="B9958" s="17" t="s">
        <v>3861</v>
      </c>
      <c r="C9958" s="17" t="s">
        <v>3752</v>
      </c>
      <c r="D9958" s="17" t="s">
        <v>1407</v>
      </c>
      <c r="E9958" s="17" t="s">
        <v>3808</v>
      </c>
      <c r="F9958" s="17"/>
      <c r="G9958" s="18" t="n">
        <v>0</v>
      </c>
      <c r="H9958" s="18" t="n">
        <v>1705.92</v>
      </c>
      <c r="I9958" s="18" t="n">
        <f aca="false">((I9957 + G9958) - H9958)</f>
        <v>39070.4899999999</v>
      </c>
      <c r="J9958" s="18" t="n">
        <v>0</v>
      </c>
      <c r="K9958" s="19" t="n">
        <v>0</v>
      </c>
      <c r="L9958" s="17"/>
    </row>
    <row r="9959" s="11" customFormat="true" ht="10.95" hidden="false" customHeight="true" outlineLevel="0" collapsed="false">
      <c r="A9959" s="16" t="n">
        <v>45196</v>
      </c>
      <c r="B9959" s="17" t="s">
        <v>3861</v>
      </c>
      <c r="C9959" s="17" t="s">
        <v>3752</v>
      </c>
      <c r="D9959" s="17" t="s">
        <v>1407</v>
      </c>
      <c r="E9959" s="17" t="s">
        <v>3742</v>
      </c>
      <c r="F9959" s="17"/>
      <c r="G9959" s="18" t="n">
        <v>0</v>
      </c>
      <c r="H9959" s="18" t="n">
        <v>9140</v>
      </c>
      <c r="I9959" s="18" t="n">
        <f aca="false">((I9958 + G9959) - H9959)</f>
        <v>29930.4899999999</v>
      </c>
      <c r="J9959" s="18" t="n">
        <v>0</v>
      </c>
      <c r="K9959" s="19" t="n">
        <v>0</v>
      </c>
      <c r="L9959" s="17"/>
    </row>
    <row r="9960" s="11" customFormat="true" ht="10.95" hidden="false" customHeight="true" outlineLevel="0" collapsed="false">
      <c r="A9960" s="16" t="n">
        <v>45197</v>
      </c>
      <c r="B9960" s="17" t="s">
        <v>3861</v>
      </c>
      <c r="C9960" s="17" t="s">
        <v>3752</v>
      </c>
      <c r="D9960" s="17" t="s">
        <v>1276</v>
      </c>
      <c r="E9960" s="17" t="s">
        <v>3502</v>
      </c>
      <c r="F9960" s="17" t="s">
        <v>1304</v>
      </c>
      <c r="G9960" s="18" t="n">
        <v>17.47</v>
      </c>
      <c r="H9960" s="18" t="n">
        <v>0</v>
      </c>
      <c r="I9960" s="18" t="n">
        <f aca="false">((I9959 + G9960) - H9960)</f>
        <v>29947.9599999999</v>
      </c>
      <c r="J9960" s="18" t="n">
        <v>0</v>
      </c>
      <c r="K9960" s="19" t="n">
        <v>0</v>
      </c>
      <c r="L9960" s="17"/>
    </row>
    <row r="9961" s="11" customFormat="true" ht="10.95" hidden="false" customHeight="true" outlineLevel="0" collapsed="false">
      <c r="A9961" s="16" t="n">
        <v>45197</v>
      </c>
      <c r="B9961" s="17" t="s">
        <v>3861</v>
      </c>
      <c r="C9961" s="17" t="s">
        <v>3752</v>
      </c>
      <c r="D9961" s="17" t="s">
        <v>2895</v>
      </c>
      <c r="E9961" s="17" t="s">
        <v>3503</v>
      </c>
      <c r="F9961" s="17" t="s">
        <v>1304</v>
      </c>
      <c r="G9961" s="18" t="n">
        <v>998.25</v>
      </c>
      <c r="H9961" s="18" t="n">
        <v>0</v>
      </c>
      <c r="I9961" s="18" t="n">
        <f aca="false">((I9960 + G9961) - H9961)</f>
        <v>30946.2099999999</v>
      </c>
      <c r="J9961" s="18" t="n">
        <v>0</v>
      </c>
      <c r="K9961" s="19" t="n">
        <v>0</v>
      </c>
      <c r="L9961" s="17"/>
    </row>
    <row r="9962" s="11" customFormat="true" ht="10.95" hidden="false" customHeight="true" outlineLevel="0" collapsed="false">
      <c r="A9962" s="16" t="n">
        <v>45197</v>
      </c>
      <c r="B9962" s="17" t="s">
        <v>3861</v>
      </c>
      <c r="C9962" s="17" t="s">
        <v>3752</v>
      </c>
      <c r="D9962" s="17" t="s">
        <v>1407</v>
      </c>
      <c r="E9962" s="17" t="s">
        <v>3862</v>
      </c>
      <c r="F9962" s="17" t="s">
        <v>1304</v>
      </c>
      <c r="G9962" s="18" t="n">
        <v>0</v>
      </c>
      <c r="H9962" s="18" t="n">
        <v>18.07</v>
      </c>
      <c r="I9962" s="18" t="n">
        <f aca="false">((I9961 + G9962) - H9962)</f>
        <v>30928.1399999999</v>
      </c>
      <c r="J9962" s="18" t="n">
        <v>0</v>
      </c>
      <c r="K9962" s="19" t="n">
        <v>0</v>
      </c>
      <c r="L9962" s="17"/>
    </row>
    <row r="9963" s="11" customFormat="true" ht="10.95" hidden="false" customHeight="true" outlineLevel="0" collapsed="false">
      <c r="A9963" s="16" t="n">
        <v>45197</v>
      </c>
      <c r="B9963" s="17" t="s">
        <v>3861</v>
      </c>
      <c r="C9963" s="17" t="s">
        <v>3752</v>
      </c>
      <c r="D9963" s="17" t="s">
        <v>2895</v>
      </c>
      <c r="E9963" s="17" t="s">
        <v>3456</v>
      </c>
      <c r="F9963" s="17" t="s">
        <v>4025</v>
      </c>
      <c r="G9963" s="18" t="n">
        <v>2244</v>
      </c>
      <c r="H9963" s="18" t="n">
        <v>0</v>
      </c>
      <c r="I9963" s="18" t="n">
        <f aca="false">((I9962 + G9963) - H9963)</f>
        <v>33172.1399999999</v>
      </c>
      <c r="J9963" s="18" t="n">
        <v>0</v>
      </c>
      <c r="K9963" s="19" t="n">
        <v>0</v>
      </c>
      <c r="L9963" s="17"/>
    </row>
    <row r="9964" s="11" customFormat="true" ht="10.95" hidden="false" customHeight="true" outlineLevel="0" collapsed="false">
      <c r="A9964" s="16" t="n">
        <v>45197</v>
      </c>
      <c r="B9964" s="17" t="s">
        <v>3861</v>
      </c>
      <c r="C9964" s="17" t="s">
        <v>3752</v>
      </c>
      <c r="D9964" s="17" t="s">
        <v>2895</v>
      </c>
      <c r="E9964" s="17" t="s">
        <v>3504</v>
      </c>
      <c r="F9964" s="17" t="s">
        <v>4026</v>
      </c>
      <c r="G9964" s="18" t="n">
        <v>1034.55</v>
      </c>
      <c r="H9964" s="18" t="n">
        <v>0</v>
      </c>
      <c r="I9964" s="18" t="n">
        <f aca="false">((I9963 + G9964) - H9964)</f>
        <v>34206.6899999999</v>
      </c>
      <c r="J9964" s="18" t="n">
        <v>0</v>
      </c>
      <c r="K9964" s="19" t="n">
        <v>0</v>
      </c>
      <c r="L9964" s="17"/>
    </row>
    <row r="9965" s="11" customFormat="true" ht="10.95" hidden="false" customHeight="true" outlineLevel="0" collapsed="false">
      <c r="A9965" s="16" t="n">
        <v>45197</v>
      </c>
      <c r="B9965" s="17" t="s">
        <v>3861</v>
      </c>
      <c r="C9965" s="17" t="s">
        <v>3752</v>
      </c>
      <c r="D9965" s="17" t="s">
        <v>2895</v>
      </c>
      <c r="E9965" s="17" t="s">
        <v>3466</v>
      </c>
      <c r="F9965" s="17" t="s">
        <v>4027</v>
      </c>
      <c r="G9965" s="18" t="n">
        <v>396</v>
      </c>
      <c r="H9965" s="18" t="n">
        <v>0</v>
      </c>
      <c r="I9965" s="18" t="n">
        <f aca="false">((I9964 + G9965) - H9965)</f>
        <v>34602.6899999999</v>
      </c>
      <c r="J9965" s="18" t="n">
        <v>0</v>
      </c>
      <c r="K9965" s="19" t="n">
        <v>0</v>
      </c>
      <c r="L9965" s="17"/>
    </row>
    <row r="9966" s="11" customFormat="true" ht="10.95" hidden="false" customHeight="true" outlineLevel="0" collapsed="false">
      <c r="A9966" s="16" t="n">
        <v>45197</v>
      </c>
      <c r="B9966" s="17" t="s">
        <v>3861</v>
      </c>
      <c r="C9966" s="17" t="s">
        <v>3752</v>
      </c>
      <c r="D9966" s="17" t="s">
        <v>2895</v>
      </c>
      <c r="E9966" s="17" t="s">
        <v>3480</v>
      </c>
      <c r="F9966" s="17" t="s">
        <v>4028</v>
      </c>
      <c r="G9966" s="18" t="n">
        <v>180</v>
      </c>
      <c r="H9966" s="18" t="n">
        <v>0</v>
      </c>
      <c r="I9966" s="18" t="n">
        <f aca="false">((I9965 + G9966) - H9966)</f>
        <v>34782.6899999999</v>
      </c>
      <c r="J9966" s="18" t="n">
        <v>0</v>
      </c>
      <c r="K9966" s="19" t="n">
        <v>0</v>
      </c>
      <c r="L9966" s="17"/>
    </row>
    <row r="9967" s="11" customFormat="true" ht="10.95" hidden="false" customHeight="true" outlineLevel="0" collapsed="false">
      <c r="A9967" s="16" t="n">
        <v>45197</v>
      </c>
      <c r="B9967" s="17" t="s">
        <v>3861</v>
      </c>
      <c r="C9967" s="17" t="s">
        <v>3752</v>
      </c>
      <c r="D9967" s="17" t="s">
        <v>2895</v>
      </c>
      <c r="E9967" s="17" t="s">
        <v>3472</v>
      </c>
      <c r="F9967" s="17" t="s">
        <v>4029</v>
      </c>
      <c r="G9967" s="18" t="n">
        <v>1278.2</v>
      </c>
      <c r="H9967" s="18" t="n">
        <v>0</v>
      </c>
      <c r="I9967" s="18" t="n">
        <f aca="false">((I9966 + G9967) - H9967)</f>
        <v>36060.8899999999</v>
      </c>
      <c r="J9967" s="18" t="n">
        <v>0</v>
      </c>
      <c r="K9967" s="19" t="n">
        <v>0</v>
      </c>
      <c r="L9967" s="17"/>
    </row>
    <row r="9968" s="11" customFormat="true" ht="10.95" hidden="false" customHeight="true" outlineLevel="0" collapsed="false">
      <c r="A9968" s="16" t="n">
        <v>45198</v>
      </c>
      <c r="B9968" s="17" t="s">
        <v>3861</v>
      </c>
      <c r="C9968" s="17" t="s">
        <v>3752</v>
      </c>
      <c r="D9968" s="17" t="s">
        <v>2895</v>
      </c>
      <c r="E9968" s="17" t="s">
        <v>3467</v>
      </c>
      <c r="F9968" s="17" t="s">
        <v>1306</v>
      </c>
      <c r="G9968" s="18" t="n">
        <v>919.6</v>
      </c>
      <c r="H9968" s="18" t="n">
        <v>0</v>
      </c>
      <c r="I9968" s="18" t="n">
        <f aca="false">((I9967 + G9968) - H9968)</f>
        <v>36980.4899999999</v>
      </c>
      <c r="J9968" s="18" t="n">
        <v>0</v>
      </c>
      <c r="K9968" s="19" t="n">
        <v>0</v>
      </c>
      <c r="L9968" s="17"/>
    </row>
    <row r="9969" s="11" customFormat="true" ht="10.95" hidden="false" customHeight="true" outlineLevel="0" collapsed="false">
      <c r="A9969" s="16" t="n">
        <v>45198</v>
      </c>
      <c r="B9969" s="17" t="s">
        <v>3861</v>
      </c>
      <c r="C9969" s="17" t="s">
        <v>3752</v>
      </c>
      <c r="D9969" s="17" t="s">
        <v>1407</v>
      </c>
      <c r="E9969" s="17" t="s">
        <v>3862</v>
      </c>
      <c r="F9969" s="17" t="s">
        <v>1306</v>
      </c>
      <c r="G9969" s="18" t="n">
        <v>0</v>
      </c>
      <c r="H9969" s="18" t="n">
        <v>16.68</v>
      </c>
      <c r="I9969" s="18" t="n">
        <f aca="false">((I9968 + G9969) - H9969)</f>
        <v>36963.8099999999</v>
      </c>
      <c r="J9969" s="18" t="n">
        <v>0</v>
      </c>
      <c r="K9969" s="19" t="n">
        <v>0</v>
      </c>
      <c r="L9969" s="17"/>
    </row>
    <row r="9970" s="11" customFormat="true" ht="10.95" hidden="false" customHeight="true" outlineLevel="0" collapsed="false">
      <c r="A9970" s="16" t="n">
        <v>45198</v>
      </c>
      <c r="B9970" s="17" t="s">
        <v>3861</v>
      </c>
      <c r="C9970" s="17" t="s">
        <v>3752</v>
      </c>
      <c r="D9970" s="17" t="s">
        <v>1276</v>
      </c>
      <c r="E9970" s="17" t="s">
        <v>3428</v>
      </c>
      <c r="F9970" s="17" t="s">
        <v>1306</v>
      </c>
      <c r="G9970" s="18" t="n">
        <v>16.09</v>
      </c>
      <c r="H9970" s="18" t="n">
        <v>0</v>
      </c>
      <c r="I9970" s="18" t="n">
        <f aca="false">((I9969 + G9970) - H9970)</f>
        <v>36979.8999999999</v>
      </c>
      <c r="J9970" s="18" t="n">
        <v>0</v>
      </c>
      <c r="K9970" s="19" t="n">
        <v>0</v>
      </c>
      <c r="L9970" s="17"/>
    </row>
    <row r="9971" s="11" customFormat="true" ht="10.95" hidden="false" customHeight="true" outlineLevel="0" collapsed="false">
      <c r="A9971" s="16" t="n">
        <v>45198</v>
      </c>
      <c r="B9971" s="17" t="s">
        <v>3861</v>
      </c>
      <c r="C9971" s="17" t="s">
        <v>3752</v>
      </c>
      <c r="D9971" s="17" t="s">
        <v>2895</v>
      </c>
      <c r="E9971" s="17" t="s">
        <v>3382</v>
      </c>
      <c r="F9971" s="17" t="s">
        <v>4030</v>
      </c>
      <c r="G9971" s="18" t="n">
        <v>17323.3</v>
      </c>
      <c r="H9971" s="18" t="n">
        <v>0</v>
      </c>
      <c r="I9971" s="18" t="n">
        <f aca="false">((I9970 + G9971) - H9971)</f>
        <v>54303.1999999999</v>
      </c>
      <c r="J9971" s="18" t="n">
        <v>0</v>
      </c>
      <c r="K9971" s="19" t="n">
        <v>0</v>
      </c>
      <c r="L9971" s="17"/>
    </row>
    <row r="9972" s="11" customFormat="true" ht="10.95" hidden="false" customHeight="true" outlineLevel="0" collapsed="false">
      <c r="A9972" s="16" t="n">
        <v>45198</v>
      </c>
      <c r="B9972" s="17" t="s">
        <v>3861</v>
      </c>
      <c r="C9972" s="17" t="s">
        <v>3752</v>
      </c>
      <c r="D9972" s="17" t="s">
        <v>2895</v>
      </c>
      <c r="E9972" s="17" t="s">
        <v>3465</v>
      </c>
      <c r="F9972" s="17" t="s">
        <v>4031</v>
      </c>
      <c r="G9972" s="18" t="n">
        <v>1094.5</v>
      </c>
      <c r="H9972" s="18" t="n">
        <v>0</v>
      </c>
      <c r="I9972" s="18" t="n">
        <f aca="false">((I9971 + G9972) - H9972)</f>
        <v>55397.6999999999</v>
      </c>
      <c r="J9972" s="18" t="n">
        <v>0</v>
      </c>
      <c r="K9972" s="19" t="n">
        <v>0</v>
      </c>
      <c r="L9972" s="17"/>
    </row>
    <row r="9973" s="11" customFormat="true" ht="10.95" hidden="false" customHeight="true" outlineLevel="0" collapsed="false">
      <c r="A9973" s="16" t="n">
        <v>45198</v>
      </c>
      <c r="B9973" s="17" t="s">
        <v>3861</v>
      </c>
      <c r="C9973" s="17" t="s">
        <v>3752</v>
      </c>
      <c r="D9973" s="17" t="s">
        <v>2895</v>
      </c>
      <c r="E9973" s="17" t="s">
        <v>3474</v>
      </c>
      <c r="F9973" s="17" t="s">
        <v>4032</v>
      </c>
      <c r="G9973" s="18" t="n">
        <v>357.5</v>
      </c>
      <c r="H9973" s="18" t="n">
        <v>0</v>
      </c>
      <c r="I9973" s="18" t="n">
        <f aca="false">((I9972 + G9973) - H9973)</f>
        <v>55755.1999999999</v>
      </c>
      <c r="J9973" s="18" t="n">
        <v>0</v>
      </c>
      <c r="K9973" s="19" t="n">
        <v>0</v>
      </c>
      <c r="L9973" s="17"/>
    </row>
    <row r="9974" s="11" customFormat="true" ht="10.95" hidden="false" customHeight="true" outlineLevel="0" collapsed="false">
      <c r="A9974" s="16" t="n">
        <v>45198</v>
      </c>
      <c r="B9974" s="17" t="s">
        <v>3861</v>
      </c>
      <c r="C9974" s="17" t="s">
        <v>3752</v>
      </c>
      <c r="D9974" s="17" t="s">
        <v>1407</v>
      </c>
      <c r="E9974" s="17" t="s">
        <v>3863</v>
      </c>
      <c r="F9974" s="17"/>
      <c r="G9974" s="18" t="n">
        <v>0</v>
      </c>
      <c r="H9974" s="18" t="n">
        <v>7.26</v>
      </c>
      <c r="I9974" s="18" t="n">
        <f aca="false">((I9973 + G9974) - H9974)</f>
        <v>55747.9399999999</v>
      </c>
      <c r="J9974" s="18" t="n">
        <v>0</v>
      </c>
      <c r="K9974" s="19" t="n">
        <v>0</v>
      </c>
      <c r="L9974" s="17"/>
    </row>
    <row r="9975" s="11" customFormat="true" ht="10.95" hidden="false" customHeight="true" outlineLevel="0" collapsed="false">
      <c r="A9975" s="16" t="n">
        <v>45198</v>
      </c>
      <c r="B9975" s="17" t="s">
        <v>3861</v>
      </c>
      <c r="C9975" s="17" t="s">
        <v>3752</v>
      </c>
      <c r="D9975" s="17" t="s">
        <v>1407</v>
      </c>
      <c r="E9975" s="17" t="s">
        <v>3642</v>
      </c>
      <c r="F9975" s="17"/>
      <c r="G9975" s="18" t="n">
        <v>0</v>
      </c>
      <c r="H9975" s="18" t="n">
        <v>43.45</v>
      </c>
      <c r="I9975" s="18" t="n">
        <f aca="false">((I9974 + G9975) - H9975)</f>
        <v>55704.4899999999</v>
      </c>
      <c r="J9975" s="18" t="n">
        <v>0</v>
      </c>
      <c r="K9975" s="19" t="n">
        <v>0</v>
      </c>
      <c r="L9975" s="17"/>
    </row>
    <row r="9976" s="11" customFormat="true" ht="10.95" hidden="false" customHeight="true" outlineLevel="0" collapsed="false">
      <c r="A9976" s="16" t="n">
        <v>45198</v>
      </c>
      <c r="B9976" s="17" t="s">
        <v>3861</v>
      </c>
      <c r="C9976" s="17" t="s">
        <v>3752</v>
      </c>
      <c r="D9976" s="17" t="s">
        <v>1407</v>
      </c>
      <c r="E9976" s="17" t="s">
        <v>3685</v>
      </c>
      <c r="F9976" s="17"/>
      <c r="G9976" s="18" t="n">
        <v>0</v>
      </c>
      <c r="H9976" s="18" t="n">
        <v>242.11</v>
      </c>
      <c r="I9976" s="18" t="n">
        <f aca="false">((I9975 + G9976) - H9976)</f>
        <v>55462.3799999999</v>
      </c>
      <c r="J9976" s="18" t="n">
        <v>0</v>
      </c>
      <c r="K9976" s="19" t="n">
        <v>0</v>
      </c>
      <c r="L9976" s="17"/>
    </row>
    <row r="9977" s="11" customFormat="true" ht="10.95" hidden="false" customHeight="true" outlineLevel="0" collapsed="false">
      <c r="A9977" s="16" t="n">
        <v>45198</v>
      </c>
      <c r="B9977" s="17" t="s">
        <v>3861</v>
      </c>
      <c r="C9977" s="17" t="s">
        <v>3752</v>
      </c>
      <c r="D9977" s="17" t="s">
        <v>2903</v>
      </c>
      <c r="E9977" s="17" t="s">
        <v>3679</v>
      </c>
      <c r="F9977" s="17" t="s">
        <v>2041</v>
      </c>
      <c r="G9977" s="18" t="n">
        <v>0</v>
      </c>
      <c r="H9977" s="18" t="n">
        <v>2380.96</v>
      </c>
      <c r="I9977" s="18" t="n">
        <f aca="false">((I9976 + G9977) - H9977)</f>
        <v>53081.4199999999</v>
      </c>
      <c r="J9977" s="18" t="n">
        <v>0</v>
      </c>
      <c r="K9977" s="19" t="n">
        <v>0</v>
      </c>
      <c r="L9977" s="17"/>
    </row>
    <row r="9978" s="11" customFormat="true" ht="10.95" hidden="false" customHeight="true" outlineLevel="0" collapsed="false">
      <c r="A9978" s="16" t="n">
        <v>45199</v>
      </c>
      <c r="B9978" s="17" t="s">
        <v>3861</v>
      </c>
      <c r="C9978" s="17" t="s">
        <v>3752</v>
      </c>
      <c r="D9978" s="17" t="s">
        <v>1407</v>
      </c>
      <c r="E9978" s="17" t="s">
        <v>3917</v>
      </c>
      <c r="F9978" s="17"/>
      <c r="G9978" s="18" t="n">
        <v>0</v>
      </c>
      <c r="H9978" s="18" t="n">
        <v>5</v>
      </c>
      <c r="I9978" s="18" t="n">
        <f aca="false">((I9977 + G9978) - H9978)</f>
        <v>53076.4199999999</v>
      </c>
      <c r="J9978" s="18" t="n">
        <v>0</v>
      </c>
      <c r="K9978" s="19" t="n">
        <v>0</v>
      </c>
      <c r="L9978" s="17"/>
    </row>
    <row r="9979" s="11" customFormat="true" ht="10.95" hidden="false" customHeight="true" outlineLevel="0" collapsed="false">
      <c r="A9979" s="16" t="n">
        <v>45200</v>
      </c>
      <c r="B9979" s="17" t="s">
        <v>3861</v>
      </c>
      <c r="C9979" s="17" t="s">
        <v>3752</v>
      </c>
      <c r="D9979" s="17" t="s">
        <v>2895</v>
      </c>
      <c r="E9979" s="17" t="s">
        <v>2897</v>
      </c>
      <c r="F9979" s="17" t="s">
        <v>1308</v>
      </c>
      <c r="G9979" s="18" t="n">
        <v>595.4</v>
      </c>
      <c r="H9979" s="18" t="n">
        <v>0</v>
      </c>
      <c r="I9979" s="18" t="n">
        <f aca="false">((I9978 + G9979) - H9979)</f>
        <v>53671.8199999999</v>
      </c>
      <c r="J9979" s="18" t="n">
        <v>0</v>
      </c>
      <c r="K9979" s="19" t="n">
        <v>0</v>
      </c>
      <c r="L9979" s="17"/>
    </row>
    <row r="9980" s="11" customFormat="true" ht="10.95" hidden="false" customHeight="true" outlineLevel="0" collapsed="false">
      <c r="A9980" s="16" t="n">
        <v>45200</v>
      </c>
      <c r="B9980" s="17" t="s">
        <v>3861</v>
      </c>
      <c r="C9980" s="17" t="s">
        <v>3752</v>
      </c>
      <c r="D9980" s="17" t="s">
        <v>1276</v>
      </c>
      <c r="E9980" s="17" t="s">
        <v>3449</v>
      </c>
      <c r="F9980" s="17" t="s">
        <v>1308</v>
      </c>
      <c r="G9980" s="18" t="n">
        <v>10.63</v>
      </c>
      <c r="H9980" s="18" t="n">
        <v>0</v>
      </c>
      <c r="I9980" s="18" t="n">
        <f aca="false">((I9979 + G9980) - H9980)</f>
        <v>53682.4499999999</v>
      </c>
      <c r="J9980" s="18" t="n">
        <v>0</v>
      </c>
      <c r="K9980" s="19" t="n">
        <v>0</v>
      </c>
      <c r="L9980" s="17"/>
    </row>
    <row r="9981" s="11" customFormat="true" ht="10.95" hidden="false" customHeight="true" outlineLevel="0" collapsed="false">
      <c r="A9981" s="16" t="n">
        <v>45200</v>
      </c>
      <c r="B9981" s="17" t="s">
        <v>3861</v>
      </c>
      <c r="C9981" s="17" t="s">
        <v>3752</v>
      </c>
      <c r="D9981" s="17" t="s">
        <v>1407</v>
      </c>
      <c r="E9981" s="17" t="s">
        <v>3862</v>
      </c>
      <c r="F9981" s="17" t="s">
        <v>1308</v>
      </c>
      <c r="G9981" s="18" t="n">
        <v>0</v>
      </c>
      <c r="H9981" s="18" t="n">
        <v>17.86</v>
      </c>
      <c r="I9981" s="18" t="n">
        <f aca="false">((I9980 + G9981) - H9981)</f>
        <v>53664.5899999999</v>
      </c>
      <c r="J9981" s="18" t="n">
        <v>0</v>
      </c>
      <c r="K9981" s="19" t="n">
        <v>0</v>
      </c>
      <c r="L9981" s="17"/>
    </row>
    <row r="9982" s="11" customFormat="true" ht="10.95" hidden="false" customHeight="true" outlineLevel="0" collapsed="false">
      <c r="A9982" s="16" t="n">
        <v>45200</v>
      </c>
      <c r="B9982" s="17" t="s">
        <v>3861</v>
      </c>
      <c r="C9982" s="17" t="s">
        <v>3752</v>
      </c>
      <c r="D9982" s="17" t="s">
        <v>2895</v>
      </c>
      <c r="E9982" s="17" t="s">
        <v>2896</v>
      </c>
      <c r="F9982" s="17" t="s">
        <v>1310</v>
      </c>
      <c r="G9982" s="18" t="n">
        <v>89.28</v>
      </c>
      <c r="H9982" s="18" t="n">
        <v>0</v>
      </c>
      <c r="I9982" s="18" t="n">
        <f aca="false">((I9981 + G9982) - H9982)</f>
        <v>53753.8699999999</v>
      </c>
      <c r="J9982" s="18" t="n">
        <v>0</v>
      </c>
      <c r="K9982" s="19" t="n">
        <v>0</v>
      </c>
      <c r="L9982" s="17"/>
    </row>
    <row r="9983" s="11" customFormat="true" ht="10.95" hidden="false" customHeight="true" outlineLevel="0" collapsed="false">
      <c r="A9983" s="16" t="n">
        <v>45200</v>
      </c>
      <c r="B9983" s="17" t="s">
        <v>3861</v>
      </c>
      <c r="C9983" s="17" t="s">
        <v>3752</v>
      </c>
      <c r="D9983" s="17" t="s">
        <v>1276</v>
      </c>
      <c r="E9983" s="17" t="s">
        <v>3423</v>
      </c>
      <c r="F9983" s="17" t="s">
        <v>1310</v>
      </c>
      <c r="G9983" s="18" t="n">
        <v>1.59</v>
      </c>
      <c r="H9983" s="18" t="n">
        <v>0</v>
      </c>
      <c r="I9983" s="18" t="n">
        <f aca="false">((I9982 + G9983) - H9983)</f>
        <v>53755.4599999999</v>
      </c>
      <c r="J9983" s="18" t="n">
        <v>0</v>
      </c>
      <c r="K9983" s="19" t="n">
        <v>0</v>
      </c>
      <c r="L9983" s="17"/>
    </row>
    <row r="9984" s="11" customFormat="true" ht="10.95" hidden="false" customHeight="true" outlineLevel="0" collapsed="false">
      <c r="A9984" s="16" t="n">
        <v>45200</v>
      </c>
      <c r="B9984" s="17" t="s">
        <v>3861</v>
      </c>
      <c r="C9984" s="17" t="s">
        <v>3752</v>
      </c>
      <c r="D9984" s="17" t="s">
        <v>1407</v>
      </c>
      <c r="E9984" s="17" t="s">
        <v>3862</v>
      </c>
      <c r="F9984" s="17" t="s">
        <v>1310</v>
      </c>
      <c r="G9984" s="18" t="n">
        <v>0</v>
      </c>
      <c r="H9984" s="18" t="n">
        <v>2.94</v>
      </c>
      <c r="I9984" s="18" t="n">
        <f aca="false">((I9983 + G9984) - H9984)</f>
        <v>53752.5199999999</v>
      </c>
      <c r="J9984" s="18" t="n">
        <v>0</v>
      </c>
      <c r="K9984" s="19" t="n">
        <v>0</v>
      </c>
      <c r="L9984" s="17"/>
    </row>
    <row r="9985" s="11" customFormat="true" ht="10.95" hidden="false" customHeight="true" outlineLevel="0" collapsed="false">
      <c r="A9985" s="16" t="n">
        <v>45200</v>
      </c>
      <c r="B9985" s="17" t="s">
        <v>3861</v>
      </c>
      <c r="C9985" s="17" t="s">
        <v>3752</v>
      </c>
      <c r="D9985" s="17" t="s">
        <v>1407</v>
      </c>
      <c r="E9985" s="17" t="s">
        <v>3863</v>
      </c>
      <c r="F9985" s="17"/>
      <c r="G9985" s="18" t="n">
        <v>0</v>
      </c>
      <c r="H9985" s="18" t="n">
        <v>10</v>
      </c>
      <c r="I9985" s="18" t="n">
        <f aca="false">((I9984 + G9985) - H9985)</f>
        <v>53742.5199999999</v>
      </c>
      <c r="J9985" s="18" t="n">
        <v>0</v>
      </c>
      <c r="K9985" s="19" t="n">
        <v>0</v>
      </c>
      <c r="L9985" s="17"/>
    </row>
    <row r="9986" s="11" customFormat="true" ht="10.95" hidden="false" customHeight="true" outlineLevel="0" collapsed="false">
      <c r="A9986" s="16" t="n">
        <v>45200</v>
      </c>
      <c r="B9986" s="17" t="s">
        <v>3861</v>
      </c>
      <c r="C9986" s="17" t="s">
        <v>3752</v>
      </c>
      <c r="D9986" s="17" t="s">
        <v>3753</v>
      </c>
      <c r="E9986" s="17" t="s">
        <v>3806</v>
      </c>
      <c r="F9986" s="17"/>
      <c r="G9986" s="18" t="n">
        <v>0</v>
      </c>
      <c r="H9986" s="18" t="n">
        <v>2893.7</v>
      </c>
      <c r="I9986" s="18" t="n">
        <f aca="false">((I9985 + G9986) - H9986)</f>
        <v>50848.8199999999</v>
      </c>
      <c r="J9986" s="18" t="n">
        <v>0</v>
      </c>
      <c r="K9986" s="19" t="n">
        <v>0</v>
      </c>
      <c r="L9986" s="17"/>
    </row>
    <row r="9987" s="11" customFormat="true" ht="10.95" hidden="false" customHeight="true" outlineLevel="0" collapsed="false">
      <c r="A9987" s="16" t="n">
        <v>45201</v>
      </c>
      <c r="B9987" s="17" t="s">
        <v>3861</v>
      </c>
      <c r="C9987" s="17" t="s">
        <v>3752</v>
      </c>
      <c r="D9987" s="17" t="s">
        <v>2895</v>
      </c>
      <c r="E9987" s="17" t="s">
        <v>2917</v>
      </c>
      <c r="F9987" s="17" t="s">
        <v>2958</v>
      </c>
      <c r="G9987" s="18" t="n">
        <v>6993.21</v>
      </c>
      <c r="H9987" s="18" t="n">
        <v>0</v>
      </c>
      <c r="I9987" s="18" t="n">
        <f aca="false">((I9986 + G9987) - H9987)</f>
        <v>57842.0299999999</v>
      </c>
      <c r="J9987" s="18" t="n">
        <v>0</v>
      </c>
      <c r="K9987" s="19" t="n">
        <v>0</v>
      </c>
      <c r="L9987" s="17"/>
    </row>
    <row r="9988" s="11" customFormat="true" ht="10.95" hidden="false" customHeight="true" outlineLevel="0" collapsed="false">
      <c r="A9988" s="16" t="n">
        <v>45201</v>
      </c>
      <c r="B9988" s="17" t="s">
        <v>3861</v>
      </c>
      <c r="C9988" s="17" t="s">
        <v>3752</v>
      </c>
      <c r="D9988" s="17" t="s">
        <v>2895</v>
      </c>
      <c r="E9988" s="17" t="s">
        <v>2917</v>
      </c>
      <c r="F9988" s="17" t="s">
        <v>2959</v>
      </c>
      <c r="G9988" s="18" t="n">
        <v>2310.98</v>
      </c>
      <c r="H9988" s="18" t="n">
        <v>0</v>
      </c>
      <c r="I9988" s="18" t="n">
        <f aca="false">((I9987 + G9988) - H9988)</f>
        <v>60153.0099999999</v>
      </c>
      <c r="J9988" s="18" t="n">
        <v>0</v>
      </c>
      <c r="K9988" s="19" t="n">
        <v>0</v>
      </c>
      <c r="L9988" s="17"/>
    </row>
    <row r="9989" s="11" customFormat="true" ht="10.95" hidden="false" customHeight="true" outlineLevel="0" collapsed="false">
      <c r="A9989" s="16" t="n">
        <v>45201</v>
      </c>
      <c r="B9989" s="17" t="s">
        <v>3861</v>
      </c>
      <c r="C9989" s="17" t="s">
        <v>3752</v>
      </c>
      <c r="D9989" s="17" t="s">
        <v>2895</v>
      </c>
      <c r="E9989" s="17" t="s">
        <v>3460</v>
      </c>
      <c r="F9989" s="17" t="s">
        <v>4033</v>
      </c>
      <c r="G9989" s="18" t="n">
        <v>4207.5</v>
      </c>
      <c r="H9989" s="18" t="n">
        <v>0</v>
      </c>
      <c r="I9989" s="18" t="n">
        <f aca="false">((I9988 + G9989) - H9989)</f>
        <v>64360.5099999999</v>
      </c>
      <c r="J9989" s="18" t="n">
        <v>0</v>
      </c>
      <c r="K9989" s="19" t="n">
        <v>0</v>
      </c>
      <c r="L9989" s="17"/>
    </row>
    <row r="9990" s="11" customFormat="true" ht="10.95" hidden="false" customHeight="true" outlineLevel="0" collapsed="false">
      <c r="A9990" s="16" t="n">
        <v>45201</v>
      </c>
      <c r="B9990" s="17" t="s">
        <v>3861</v>
      </c>
      <c r="C9990" s="17" t="s">
        <v>3752</v>
      </c>
      <c r="D9990" s="17" t="s">
        <v>2895</v>
      </c>
      <c r="E9990" s="17" t="s">
        <v>2898</v>
      </c>
      <c r="F9990" s="17" t="s">
        <v>2960</v>
      </c>
      <c r="G9990" s="18" t="n">
        <v>747.64</v>
      </c>
      <c r="H9990" s="18" t="n">
        <v>0</v>
      </c>
      <c r="I9990" s="18" t="n">
        <f aca="false">((I9989 + G9990) - H9990)</f>
        <v>65108.1499999999</v>
      </c>
      <c r="J9990" s="18" t="n">
        <v>0</v>
      </c>
      <c r="K9990" s="19" t="n">
        <v>0</v>
      </c>
      <c r="L9990" s="17"/>
    </row>
    <row r="9991" s="11" customFormat="true" ht="10.95" hidden="false" customHeight="true" outlineLevel="0" collapsed="false">
      <c r="A9991" s="16" t="n">
        <v>45202</v>
      </c>
      <c r="B9991" s="17" t="s">
        <v>3861</v>
      </c>
      <c r="C9991" s="17" t="s">
        <v>3752</v>
      </c>
      <c r="D9991" s="17" t="s">
        <v>2895</v>
      </c>
      <c r="E9991" s="17" t="s">
        <v>3384</v>
      </c>
      <c r="F9991" s="17" t="s">
        <v>4034</v>
      </c>
      <c r="G9991" s="18" t="n">
        <v>1672</v>
      </c>
      <c r="H9991" s="18" t="n">
        <v>0</v>
      </c>
      <c r="I9991" s="18" t="n">
        <f aca="false">((I9990 + G9991) - H9991)</f>
        <v>66780.1499999999</v>
      </c>
      <c r="J9991" s="18" t="n">
        <v>0</v>
      </c>
      <c r="K9991" s="19" t="n">
        <v>0</v>
      </c>
      <c r="L9991" s="17"/>
    </row>
    <row r="9992" s="11" customFormat="true" ht="10.95" hidden="false" customHeight="true" outlineLevel="0" collapsed="false">
      <c r="A9992" s="16" t="n">
        <v>45202</v>
      </c>
      <c r="B9992" s="17" t="s">
        <v>3861</v>
      </c>
      <c r="C9992" s="17" t="s">
        <v>3752</v>
      </c>
      <c r="D9992" s="17" t="s">
        <v>2895</v>
      </c>
      <c r="E9992" s="17" t="s">
        <v>3384</v>
      </c>
      <c r="F9992" s="17" t="s">
        <v>4035</v>
      </c>
      <c r="G9992" s="18" t="n">
        <v>2194.5</v>
      </c>
      <c r="H9992" s="18" t="n">
        <v>0</v>
      </c>
      <c r="I9992" s="18" t="n">
        <f aca="false">((I9991 + G9992) - H9992)</f>
        <v>68974.6499999999</v>
      </c>
      <c r="J9992" s="18" t="n">
        <v>0</v>
      </c>
      <c r="K9992" s="19" t="n">
        <v>0</v>
      </c>
      <c r="L9992" s="17"/>
    </row>
    <row r="9993" s="11" customFormat="true" ht="10.95" hidden="false" customHeight="true" outlineLevel="0" collapsed="false">
      <c r="A9993" s="16" t="n">
        <v>45202</v>
      </c>
      <c r="B9993" s="17" t="s">
        <v>3861</v>
      </c>
      <c r="C9993" s="17" t="s">
        <v>3752</v>
      </c>
      <c r="D9993" s="17" t="s">
        <v>2895</v>
      </c>
      <c r="E9993" s="17" t="s">
        <v>3384</v>
      </c>
      <c r="F9993" s="17" t="s">
        <v>4036</v>
      </c>
      <c r="G9993" s="18" t="n">
        <v>643.5</v>
      </c>
      <c r="H9993" s="18" t="n">
        <v>0</v>
      </c>
      <c r="I9993" s="18" t="n">
        <f aca="false">((I9992 + G9993) - H9993)</f>
        <v>69618.1499999999</v>
      </c>
      <c r="J9993" s="18" t="n">
        <v>0</v>
      </c>
      <c r="K9993" s="19" t="n">
        <v>0</v>
      </c>
      <c r="L9993" s="17"/>
    </row>
    <row r="9994" s="11" customFormat="true" ht="10.95" hidden="false" customHeight="true" outlineLevel="0" collapsed="false">
      <c r="A9994" s="16" t="n">
        <v>45202</v>
      </c>
      <c r="B9994" s="17" t="s">
        <v>3861</v>
      </c>
      <c r="C9994" s="17" t="s">
        <v>3752</v>
      </c>
      <c r="D9994" s="17" t="s">
        <v>2895</v>
      </c>
      <c r="E9994" s="17" t="s">
        <v>3384</v>
      </c>
      <c r="F9994" s="17" t="s">
        <v>4037</v>
      </c>
      <c r="G9994" s="18" t="n">
        <v>2821.5</v>
      </c>
      <c r="H9994" s="18" t="n">
        <v>0</v>
      </c>
      <c r="I9994" s="18" t="n">
        <f aca="false">((I9993 + G9994) - H9994)</f>
        <v>72439.6499999999</v>
      </c>
      <c r="J9994" s="18" t="n">
        <v>0</v>
      </c>
      <c r="K9994" s="19" t="n">
        <v>0</v>
      </c>
      <c r="L9994" s="17"/>
    </row>
    <row r="9995" s="11" customFormat="true" ht="10.95" hidden="false" customHeight="true" outlineLevel="0" collapsed="false">
      <c r="A9995" s="16" t="n">
        <v>45202</v>
      </c>
      <c r="B9995" s="17" t="s">
        <v>3861</v>
      </c>
      <c r="C9995" s="17" t="s">
        <v>3752</v>
      </c>
      <c r="D9995" s="17" t="s">
        <v>3814</v>
      </c>
      <c r="E9995" s="17" t="s">
        <v>3815</v>
      </c>
      <c r="F9995" s="17"/>
      <c r="G9995" s="18" t="n">
        <v>0</v>
      </c>
      <c r="H9995" s="18" t="n">
        <v>5</v>
      </c>
      <c r="I9995" s="18" t="n">
        <f aca="false">((I9994 + G9995) - H9995)</f>
        <v>72434.6499999999</v>
      </c>
      <c r="J9995" s="18" t="n">
        <v>0</v>
      </c>
      <c r="K9995" s="19" t="n">
        <v>0</v>
      </c>
      <c r="L9995" s="17"/>
    </row>
    <row r="9996" s="11" customFormat="true" ht="10.95" hidden="false" customHeight="true" outlineLevel="0" collapsed="false">
      <c r="A9996" s="16" t="n">
        <v>45202</v>
      </c>
      <c r="B9996" s="17" t="s">
        <v>3861</v>
      </c>
      <c r="C9996" s="17" t="s">
        <v>3752</v>
      </c>
      <c r="D9996" s="17" t="s">
        <v>2895</v>
      </c>
      <c r="E9996" s="17" t="s">
        <v>3505</v>
      </c>
      <c r="F9996" s="17" t="s">
        <v>4038</v>
      </c>
      <c r="G9996" s="18" t="n">
        <v>471.9</v>
      </c>
      <c r="H9996" s="18" t="n">
        <v>0</v>
      </c>
      <c r="I9996" s="18" t="n">
        <f aca="false">((I9995 + G9996) - H9996)</f>
        <v>72906.5499999999</v>
      </c>
      <c r="J9996" s="18" t="n">
        <v>0</v>
      </c>
      <c r="K9996" s="19" t="n">
        <v>0</v>
      </c>
      <c r="L9996" s="17"/>
    </row>
    <row r="9997" s="11" customFormat="true" ht="10.95" hidden="false" customHeight="true" outlineLevel="0" collapsed="false">
      <c r="A9997" s="16" t="n">
        <v>45202</v>
      </c>
      <c r="B9997" s="17" t="s">
        <v>3861</v>
      </c>
      <c r="C9997" s="17" t="s">
        <v>3752</v>
      </c>
      <c r="D9997" s="17" t="s">
        <v>1407</v>
      </c>
      <c r="E9997" s="17" t="s">
        <v>3863</v>
      </c>
      <c r="F9997" s="17"/>
      <c r="G9997" s="18" t="n">
        <v>0</v>
      </c>
      <c r="H9997" s="18" t="n">
        <v>0.7</v>
      </c>
      <c r="I9997" s="18" t="n">
        <f aca="false">((I9996 + G9997) - H9997)</f>
        <v>72905.8499999999</v>
      </c>
      <c r="J9997" s="18" t="n">
        <v>0</v>
      </c>
      <c r="K9997" s="19" t="n">
        <v>0</v>
      </c>
      <c r="L9997" s="17"/>
    </row>
    <row r="9998" s="11" customFormat="true" ht="10.95" hidden="false" customHeight="true" outlineLevel="0" collapsed="false">
      <c r="A9998" s="16" t="n">
        <v>45202</v>
      </c>
      <c r="B9998" s="17" t="s">
        <v>3861</v>
      </c>
      <c r="C9998" s="17" t="s">
        <v>3752</v>
      </c>
      <c r="D9998" s="17" t="s">
        <v>1407</v>
      </c>
      <c r="E9998" s="17" t="s">
        <v>3863</v>
      </c>
      <c r="F9998" s="17"/>
      <c r="G9998" s="18" t="n">
        <v>0</v>
      </c>
      <c r="H9998" s="18" t="n">
        <v>2.31</v>
      </c>
      <c r="I9998" s="18" t="n">
        <f aca="false">((I9997 + G9998) - H9998)</f>
        <v>72903.5399999999</v>
      </c>
      <c r="J9998" s="18" t="n">
        <v>0</v>
      </c>
      <c r="K9998" s="19" t="n">
        <v>0</v>
      </c>
      <c r="L9998" s="17"/>
    </row>
    <row r="9999" s="11" customFormat="true" ht="10.95" hidden="false" customHeight="true" outlineLevel="0" collapsed="false">
      <c r="A9999" s="16" t="n">
        <v>45202</v>
      </c>
      <c r="B9999" s="17" t="s">
        <v>3861</v>
      </c>
      <c r="C9999" s="17" t="s">
        <v>3752</v>
      </c>
      <c r="D9999" s="17" t="s">
        <v>1407</v>
      </c>
      <c r="E9999" s="17" t="s">
        <v>3863</v>
      </c>
      <c r="F9999" s="17"/>
      <c r="G9999" s="18" t="n">
        <v>0</v>
      </c>
      <c r="H9999" s="18" t="n">
        <v>14.02</v>
      </c>
      <c r="I9999" s="18" t="n">
        <f aca="false">((I9998 + G9999) - H9999)</f>
        <v>72889.5199999999</v>
      </c>
      <c r="J9999" s="18" t="n">
        <v>0</v>
      </c>
      <c r="K9999" s="19" t="n">
        <v>0</v>
      </c>
      <c r="L9999" s="17"/>
    </row>
    <row r="10000" s="11" customFormat="true" ht="10.95" hidden="false" customHeight="true" outlineLevel="0" collapsed="false">
      <c r="A10000" s="16" t="n">
        <v>45202</v>
      </c>
      <c r="B10000" s="17" t="s">
        <v>3861</v>
      </c>
      <c r="C10000" s="17" t="s">
        <v>3752</v>
      </c>
      <c r="D10000" s="17" t="s">
        <v>1407</v>
      </c>
      <c r="E10000" s="17" t="s">
        <v>3863</v>
      </c>
      <c r="F10000" s="17"/>
      <c r="G10000" s="18" t="n">
        <v>0</v>
      </c>
      <c r="H10000" s="18" t="n">
        <v>18.28</v>
      </c>
      <c r="I10000" s="18" t="n">
        <f aca="false">((I9999 + G10000) - H10000)</f>
        <v>72871.2399999999</v>
      </c>
      <c r="J10000" s="18" t="n">
        <v>0</v>
      </c>
      <c r="K10000" s="19" t="n">
        <v>0</v>
      </c>
      <c r="L10000" s="17"/>
    </row>
    <row r="10001" s="11" customFormat="true" ht="10.95" hidden="false" customHeight="true" outlineLevel="0" collapsed="false">
      <c r="A10001" s="16" t="n">
        <v>45202</v>
      </c>
      <c r="B10001" s="17" t="s">
        <v>3861</v>
      </c>
      <c r="C10001" s="17" t="s">
        <v>3752</v>
      </c>
      <c r="D10001" s="17" t="s">
        <v>1407</v>
      </c>
      <c r="E10001" s="17" t="s">
        <v>3771</v>
      </c>
      <c r="F10001" s="17"/>
      <c r="G10001" s="18" t="n">
        <v>0</v>
      </c>
      <c r="H10001" s="18" t="n">
        <v>23.35</v>
      </c>
      <c r="I10001" s="18" t="n">
        <f aca="false">((I10000 + G10001) - H10001)</f>
        <v>72847.8899999999</v>
      </c>
      <c r="J10001" s="18" t="n">
        <v>0</v>
      </c>
      <c r="K10001" s="19" t="n">
        <v>0</v>
      </c>
      <c r="L10001" s="17"/>
    </row>
    <row r="10002" s="11" customFormat="true" ht="10.95" hidden="false" customHeight="true" outlineLevel="0" collapsed="false">
      <c r="A10002" s="16" t="n">
        <v>45202</v>
      </c>
      <c r="B10002" s="17" t="s">
        <v>3861</v>
      </c>
      <c r="C10002" s="17" t="s">
        <v>3752</v>
      </c>
      <c r="D10002" s="17" t="s">
        <v>1407</v>
      </c>
      <c r="E10002" s="17" t="s">
        <v>3878</v>
      </c>
      <c r="F10002" s="17"/>
      <c r="G10002" s="18" t="n">
        <v>0</v>
      </c>
      <c r="H10002" s="18" t="n">
        <v>1188.2</v>
      </c>
      <c r="I10002" s="18" t="n">
        <f aca="false">((I10001 + G10002) - H10002)</f>
        <v>71659.6899999999</v>
      </c>
      <c r="J10002" s="18" t="n">
        <v>0</v>
      </c>
      <c r="K10002" s="19" t="n">
        <v>0</v>
      </c>
      <c r="L10002" s="17"/>
    </row>
    <row r="10003" s="11" customFormat="true" ht="10.95" hidden="false" customHeight="true" outlineLevel="0" collapsed="false">
      <c r="A10003" s="16" t="n">
        <v>45202</v>
      </c>
      <c r="B10003" s="17" t="s">
        <v>3861</v>
      </c>
      <c r="C10003" s="17" t="s">
        <v>3752</v>
      </c>
      <c r="D10003" s="17" t="s">
        <v>2903</v>
      </c>
      <c r="E10003" s="17" t="s">
        <v>3616</v>
      </c>
      <c r="F10003" s="17" t="s">
        <v>3262</v>
      </c>
      <c r="G10003" s="18" t="n">
        <v>0</v>
      </c>
      <c r="H10003" s="18" t="n">
        <v>2905.1</v>
      </c>
      <c r="I10003" s="18" t="n">
        <f aca="false">((I10002 + G10003) - H10003)</f>
        <v>68754.5899999999</v>
      </c>
      <c r="J10003" s="18" t="n">
        <v>0</v>
      </c>
      <c r="K10003" s="19" t="n">
        <v>0</v>
      </c>
      <c r="L10003" s="17"/>
    </row>
    <row r="10004" s="11" customFormat="true" ht="10.95" hidden="false" customHeight="true" outlineLevel="0" collapsed="false">
      <c r="A10004" s="16" t="n">
        <v>45202</v>
      </c>
      <c r="B10004" s="17" t="s">
        <v>3861</v>
      </c>
      <c r="C10004" s="17" t="s">
        <v>3752</v>
      </c>
      <c r="D10004" s="17" t="s">
        <v>2895</v>
      </c>
      <c r="E10004" s="17" t="s">
        <v>3403</v>
      </c>
      <c r="F10004" s="17" t="s">
        <v>4039</v>
      </c>
      <c r="G10004" s="18" t="n">
        <v>103.4</v>
      </c>
      <c r="H10004" s="18" t="n">
        <v>0</v>
      </c>
      <c r="I10004" s="18" t="n">
        <f aca="false">((I10003 + G10004) - H10004)</f>
        <v>68857.9899999999</v>
      </c>
      <c r="J10004" s="18" t="n">
        <v>0</v>
      </c>
      <c r="K10004" s="19" t="n">
        <v>0</v>
      </c>
      <c r="L10004" s="17"/>
    </row>
    <row r="10005" s="11" customFormat="true" ht="10.95" hidden="false" customHeight="true" outlineLevel="0" collapsed="false">
      <c r="A10005" s="16" t="n">
        <v>45202</v>
      </c>
      <c r="B10005" s="17" t="s">
        <v>3861</v>
      </c>
      <c r="C10005" s="17" t="s">
        <v>3752</v>
      </c>
      <c r="D10005" s="17" t="s">
        <v>2895</v>
      </c>
      <c r="E10005" s="17" t="s">
        <v>3403</v>
      </c>
      <c r="F10005" s="17" t="s">
        <v>4040</v>
      </c>
      <c r="G10005" s="18" t="n">
        <v>2484.9</v>
      </c>
      <c r="H10005" s="18" t="n">
        <v>0</v>
      </c>
      <c r="I10005" s="18" t="n">
        <f aca="false">((I10004 + G10005) - H10005)</f>
        <v>71342.8899999999</v>
      </c>
      <c r="J10005" s="18" t="n">
        <v>0</v>
      </c>
      <c r="K10005" s="19" t="n">
        <v>0</v>
      </c>
      <c r="L10005" s="17"/>
    </row>
    <row r="10006" s="11" customFormat="true" ht="10.95" hidden="false" customHeight="true" outlineLevel="0" collapsed="false">
      <c r="A10006" s="16" t="n">
        <v>45202</v>
      </c>
      <c r="B10006" s="17" t="s">
        <v>3861</v>
      </c>
      <c r="C10006" s="17" t="s">
        <v>3752</v>
      </c>
      <c r="D10006" s="17" t="s">
        <v>2895</v>
      </c>
      <c r="E10006" s="17" t="s">
        <v>3403</v>
      </c>
      <c r="F10006" s="17" t="s">
        <v>4041</v>
      </c>
      <c r="G10006" s="18" t="n">
        <v>517</v>
      </c>
      <c r="H10006" s="18" t="n">
        <v>0</v>
      </c>
      <c r="I10006" s="18" t="n">
        <f aca="false">((I10005 + G10006) - H10006)</f>
        <v>71859.8899999999</v>
      </c>
      <c r="J10006" s="18" t="n">
        <v>0</v>
      </c>
      <c r="K10006" s="19" t="n">
        <v>0</v>
      </c>
      <c r="L10006" s="17"/>
    </row>
    <row r="10007" s="11" customFormat="true" ht="10.95" hidden="false" customHeight="true" outlineLevel="0" collapsed="false">
      <c r="A10007" s="16" t="n">
        <v>45202</v>
      </c>
      <c r="B10007" s="17" t="s">
        <v>3861</v>
      </c>
      <c r="C10007" s="17" t="s">
        <v>3752</v>
      </c>
      <c r="D10007" s="17" t="s">
        <v>2895</v>
      </c>
      <c r="E10007" s="17" t="s">
        <v>3403</v>
      </c>
      <c r="F10007" s="17" t="s">
        <v>4042</v>
      </c>
      <c r="G10007" s="18" t="n">
        <v>310.2</v>
      </c>
      <c r="H10007" s="18" t="n">
        <v>0</v>
      </c>
      <c r="I10007" s="18" t="n">
        <f aca="false">((I10006 + G10007) - H10007)</f>
        <v>72170.0899999999</v>
      </c>
      <c r="J10007" s="18" t="n">
        <v>0</v>
      </c>
      <c r="K10007" s="19" t="n">
        <v>0</v>
      </c>
      <c r="L10007" s="17"/>
    </row>
    <row r="10008" s="11" customFormat="true" ht="10.95" hidden="false" customHeight="true" outlineLevel="0" collapsed="false">
      <c r="A10008" s="16" t="n">
        <v>45202</v>
      </c>
      <c r="B10008" s="17" t="s">
        <v>3861</v>
      </c>
      <c r="C10008" s="17" t="s">
        <v>3752</v>
      </c>
      <c r="D10008" s="17" t="s">
        <v>2903</v>
      </c>
      <c r="E10008" s="17" t="s">
        <v>2904</v>
      </c>
      <c r="F10008" s="17" t="s">
        <v>2961</v>
      </c>
      <c r="G10008" s="18" t="n">
        <v>0</v>
      </c>
      <c r="H10008" s="18" t="n">
        <v>467.36</v>
      </c>
      <c r="I10008" s="18" t="n">
        <f aca="false">((I10007 + G10008) - H10008)</f>
        <v>71702.7299999999</v>
      </c>
      <c r="J10008" s="18" t="n">
        <v>0</v>
      </c>
      <c r="K10008" s="19" t="n">
        <v>0</v>
      </c>
      <c r="L10008" s="17"/>
    </row>
    <row r="10009" s="11" customFormat="true" ht="10.95" hidden="false" customHeight="true" outlineLevel="0" collapsed="false">
      <c r="A10009" s="16" t="n">
        <v>45202</v>
      </c>
      <c r="B10009" s="17" t="s">
        <v>3861</v>
      </c>
      <c r="C10009" s="17" t="s">
        <v>3752</v>
      </c>
      <c r="D10009" s="17" t="s">
        <v>1407</v>
      </c>
      <c r="E10009" s="17" t="s">
        <v>3865</v>
      </c>
      <c r="F10009" s="17"/>
      <c r="G10009" s="18" t="n">
        <v>0</v>
      </c>
      <c r="H10009" s="18" t="n">
        <v>82.5</v>
      </c>
      <c r="I10009" s="18" t="n">
        <f aca="false">((I10008 + G10009) - H10009)</f>
        <v>71620.2299999999</v>
      </c>
      <c r="J10009" s="18" t="n">
        <v>0</v>
      </c>
      <c r="K10009" s="19" t="n">
        <v>0</v>
      </c>
      <c r="L10009" s="17"/>
    </row>
    <row r="10010" s="11" customFormat="true" ht="10.95" hidden="false" customHeight="true" outlineLevel="0" collapsed="false">
      <c r="A10010" s="16" t="n">
        <v>45202</v>
      </c>
      <c r="B10010" s="17" t="s">
        <v>3861</v>
      </c>
      <c r="C10010" s="17" t="s">
        <v>3752</v>
      </c>
      <c r="D10010" s="17" t="s">
        <v>1407</v>
      </c>
      <c r="E10010" s="17" t="s">
        <v>3864</v>
      </c>
      <c r="F10010" s="17"/>
      <c r="G10010" s="18" t="n">
        <v>0</v>
      </c>
      <c r="H10010" s="18" t="n">
        <v>76.93</v>
      </c>
      <c r="I10010" s="18" t="n">
        <f aca="false">((I10009 + G10010) - H10010)</f>
        <v>71543.2999999999</v>
      </c>
      <c r="J10010" s="18" t="n">
        <v>0</v>
      </c>
      <c r="K10010" s="19" t="n">
        <v>0</v>
      </c>
      <c r="L10010" s="17"/>
    </row>
    <row r="10011" s="11" customFormat="true" ht="10.95" hidden="false" customHeight="true" outlineLevel="0" collapsed="false">
      <c r="A10011" s="16" t="n">
        <v>45202</v>
      </c>
      <c r="B10011" s="17" t="s">
        <v>3861</v>
      </c>
      <c r="C10011" s="17" t="s">
        <v>3752</v>
      </c>
      <c r="D10011" s="17" t="s">
        <v>1407</v>
      </c>
      <c r="E10011" s="17" t="s">
        <v>3776</v>
      </c>
      <c r="F10011" s="17"/>
      <c r="G10011" s="18" t="n">
        <v>0</v>
      </c>
      <c r="H10011" s="18" t="n">
        <v>609.37</v>
      </c>
      <c r="I10011" s="18" t="n">
        <f aca="false">((I10010 + G10011) - H10011)</f>
        <v>70933.9299999999</v>
      </c>
      <c r="J10011" s="18" t="n">
        <v>0</v>
      </c>
      <c r="K10011" s="19" t="n">
        <v>0</v>
      </c>
      <c r="L10011" s="17"/>
    </row>
    <row r="10012" s="11" customFormat="true" ht="10.95" hidden="false" customHeight="true" outlineLevel="0" collapsed="false">
      <c r="A10012" s="16" t="n">
        <v>45202</v>
      </c>
      <c r="B10012" s="17" t="s">
        <v>3861</v>
      </c>
      <c r="C10012" s="17" t="s">
        <v>3752</v>
      </c>
      <c r="D10012" s="17" t="s">
        <v>1407</v>
      </c>
      <c r="E10012" s="17" t="s">
        <v>4043</v>
      </c>
      <c r="F10012" s="17"/>
      <c r="G10012" s="18" t="n">
        <v>0</v>
      </c>
      <c r="H10012" s="18" t="n">
        <v>1300</v>
      </c>
      <c r="I10012" s="18" t="n">
        <f aca="false">((I10011 + G10012) - H10012)</f>
        <v>69633.9299999999</v>
      </c>
      <c r="J10012" s="18" t="n">
        <v>0</v>
      </c>
      <c r="K10012" s="19" t="n">
        <v>0</v>
      </c>
      <c r="L10012" s="17"/>
    </row>
    <row r="10013" s="11" customFormat="true" ht="10.95" hidden="false" customHeight="true" outlineLevel="0" collapsed="false">
      <c r="A10013" s="16" t="n">
        <v>45202</v>
      </c>
      <c r="B10013" s="17" t="s">
        <v>3861</v>
      </c>
      <c r="C10013" s="17" t="s">
        <v>3752</v>
      </c>
      <c r="D10013" s="17" t="s">
        <v>2903</v>
      </c>
      <c r="E10013" s="17" t="s">
        <v>3648</v>
      </c>
      <c r="F10013" s="17" t="s">
        <v>2647</v>
      </c>
      <c r="G10013" s="18" t="n">
        <v>0</v>
      </c>
      <c r="H10013" s="18" t="n">
        <v>194.53</v>
      </c>
      <c r="I10013" s="18" t="n">
        <f aca="false">((I10012 + G10013) - H10013)</f>
        <v>69439.3999999999</v>
      </c>
      <c r="J10013" s="18" t="n">
        <v>0</v>
      </c>
      <c r="K10013" s="19" t="n">
        <v>0</v>
      </c>
      <c r="L10013" s="17"/>
    </row>
    <row r="10014" s="11" customFormat="true" ht="10.95" hidden="false" customHeight="true" outlineLevel="0" collapsed="false">
      <c r="A10014" s="16" t="n">
        <v>45203</v>
      </c>
      <c r="B10014" s="17" t="s">
        <v>3861</v>
      </c>
      <c r="C10014" s="17" t="s">
        <v>3752</v>
      </c>
      <c r="D10014" s="17" t="s">
        <v>2895</v>
      </c>
      <c r="E10014" s="17" t="s">
        <v>3389</v>
      </c>
      <c r="F10014" s="17" t="s">
        <v>4044</v>
      </c>
      <c r="G10014" s="18" t="n">
        <v>4873</v>
      </c>
      <c r="H10014" s="18" t="n">
        <v>0</v>
      </c>
      <c r="I10014" s="18" t="n">
        <f aca="false">((I10013 + G10014) - H10014)</f>
        <v>74312.3999999999</v>
      </c>
      <c r="J10014" s="18" t="n">
        <v>0</v>
      </c>
      <c r="K10014" s="19" t="n">
        <v>0</v>
      </c>
      <c r="L10014" s="17"/>
    </row>
    <row r="10015" s="11" customFormat="true" ht="10.95" hidden="false" customHeight="true" outlineLevel="0" collapsed="false">
      <c r="A10015" s="16" t="n">
        <v>45203</v>
      </c>
      <c r="B10015" s="17" t="s">
        <v>3861</v>
      </c>
      <c r="C10015" s="17" t="s">
        <v>3752</v>
      </c>
      <c r="D10015" s="17" t="s">
        <v>2895</v>
      </c>
      <c r="E10015" s="17" t="s">
        <v>2947</v>
      </c>
      <c r="F10015" s="17" t="s">
        <v>2962</v>
      </c>
      <c r="G10015" s="18" t="n">
        <v>1756.94</v>
      </c>
      <c r="H10015" s="18" t="n">
        <v>0</v>
      </c>
      <c r="I10015" s="18" t="n">
        <f aca="false">((I10014 + G10015) - H10015)</f>
        <v>76069.3399999999</v>
      </c>
      <c r="J10015" s="18" t="n">
        <v>0</v>
      </c>
      <c r="K10015" s="19" t="n">
        <v>0</v>
      </c>
      <c r="L10015" s="17"/>
    </row>
    <row r="10016" s="11" customFormat="true" ht="10.95" hidden="false" customHeight="true" outlineLevel="0" collapsed="false">
      <c r="A10016" s="16" t="n">
        <v>45203</v>
      </c>
      <c r="B10016" s="17" t="s">
        <v>3861</v>
      </c>
      <c r="C10016" s="17" t="s">
        <v>3752</v>
      </c>
      <c r="D10016" s="17" t="s">
        <v>3814</v>
      </c>
      <c r="E10016" s="17" t="s">
        <v>3815</v>
      </c>
      <c r="F10016" s="17"/>
      <c r="G10016" s="18" t="n">
        <v>0</v>
      </c>
      <c r="H10016" s="18" t="n">
        <v>0.24</v>
      </c>
      <c r="I10016" s="18" t="n">
        <f aca="false">((I10015 + G10016) - H10016)</f>
        <v>76069.0999999999</v>
      </c>
      <c r="J10016" s="18" t="n">
        <v>0</v>
      </c>
      <c r="K10016" s="19" t="n">
        <v>0</v>
      </c>
      <c r="L10016" s="17"/>
    </row>
    <row r="10017" s="11" customFormat="true" ht="10.95" hidden="false" customHeight="true" outlineLevel="0" collapsed="false">
      <c r="A10017" s="16" t="n">
        <v>45203</v>
      </c>
      <c r="B10017" s="17" t="s">
        <v>3861</v>
      </c>
      <c r="C10017" s="17" t="s">
        <v>3752</v>
      </c>
      <c r="D10017" s="17" t="s">
        <v>1407</v>
      </c>
      <c r="E10017" s="17" t="s">
        <v>3881</v>
      </c>
      <c r="F10017" s="17"/>
      <c r="G10017" s="18" t="n">
        <v>0</v>
      </c>
      <c r="H10017" s="18" t="n">
        <v>140</v>
      </c>
      <c r="I10017" s="18" t="n">
        <f aca="false">((I10016 + G10017) - H10017)</f>
        <v>75929.0999999999</v>
      </c>
      <c r="J10017" s="18" t="n">
        <v>0</v>
      </c>
      <c r="K10017" s="19" t="n">
        <v>0</v>
      </c>
      <c r="L10017" s="17"/>
    </row>
    <row r="10018" s="11" customFormat="true" ht="10.95" hidden="false" customHeight="true" outlineLevel="0" collapsed="false">
      <c r="A10018" s="16" t="n">
        <v>45203</v>
      </c>
      <c r="B10018" s="17" t="s">
        <v>3861</v>
      </c>
      <c r="C10018" s="17" t="s">
        <v>3752</v>
      </c>
      <c r="D10018" s="17" t="s">
        <v>1407</v>
      </c>
      <c r="E10018" s="17" t="s">
        <v>3879</v>
      </c>
      <c r="F10018" s="17"/>
      <c r="G10018" s="18" t="n">
        <v>0</v>
      </c>
      <c r="H10018" s="18" t="n">
        <v>1207</v>
      </c>
      <c r="I10018" s="18" t="n">
        <f aca="false">((I10017 + G10018) - H10018)</f>
        <v>74722.0999999999</v>
      </c>
      <c r="J10018" s="18" t="n">
        <v>0</v>
      </c>
      <c r="K10018" s="19" t="n">
        <v>0</v>
      </c>
      <c r="L10018" s="17"/>
    </row>
    <row r="10019" s="11" customFormat="true" ht="10.95" hidden="false" customHeight="true" outlineLevel="0" collapsed="false">
      <c r="A10019" s="16" t="n">
        <v>45203</v>
      </c>
      <c r="B10019" s="17" t="s">
        <v>3861</v>
      </c>
      <c r="C10019" s="17" t="s">
        <v>3752</v>
      </c>
      <c r="D10019" s="17" t="s">
        <v>1407</v>
      </c>
      <c r="E10019" s="17" t="s">
        <v>3880</v>
      </c>
      <c r="F10019" s="17"/>
      <c r="G10019" s="18" t="n">
        <v>0</v>
      </c>
      <c r="H10019" s="18" t="n">
        <v>1207</v>
      </c>
      <c r="I10019" s="18" t="n">
        <f aca="false">((I10018 + G10019) - H10019)</f>
        <v>73515.0999999999</v>
      </c>
      <c r="J10019" s="18" t="n">
        <v>0</v>
      </c>
      <c r="K10019" s="19" t="n">
        <v>0</v>
      </c>
      <c r="L10019" s="17"/>
    </row>
    <row r="10020" s="11" customFormat="true" ht="10.95" hidden="false" customHeight="true" outlineLevel="0" collapsed="false">
      <c r="A10020" s="16" t="n">
        <v>45203</v>
      </c>
      <c r="B10020" s="17" t="s">
        <v>3861</v>
      </c>
      <c r="C10020" s="17" t="s">
        <v>3752</v>
      </c>
      <c r="D10020" s="17" t="s">
        <v>1407</v>
      </c>
      <c r="E10020" s="17" t="s">
        <v>3808</v>
      </c>
      <c r="F10020" s="17"/>
      <c r="G10020" s="18" t="n">
        <v>0</v>
      </c>
      <c r="H10020" s="18" t="n">
        <v>1705.92</v>
      </c>
      <c r="I10020" s="18" t="n">
        <f aca="false">((I10019 + G10020) - H10020)</f>
        <v>71809.1799999999</v>
      </c>
      <c r="J10020" s="18" t="n">
        <v>0</v>
      </c>
      <c r="K10020" s="19" t="n">
        <v>0</v>
      </c>
      <c r="L10020" s="17"/>
    </row>
    <row r="10021" s="11" customFormat="true" ht="10.95" hidden="false" customHeight="true" outlineLevel="0" collapsed="false">
      <c r="A10021" s="16" t="n">
        <v>45203</v>
      </c>
      <c r="B10021" s="17" t="s">
        <v>3861</v>
      </c>
      <c r="C10021" s="17" t="s">
        <v>3752</v>
      </c>
      <c r="D10021" s="17" t="s">
        <v>2903</v>
      </c>
      <c r="E10021" s="17" t="s">
        <v>3652</v>
      </c>
      <c r="F10021" s="17" t="s">
        <v>2327</v>
      </c>
      <c r="G10021" s="18" t="n">
        <v>0</v>
      </c>
      <c r="H10021" s="18" t="n">
        <v>152.15</v>
      </c>
      <c r="I10021" s="18" t="n">
        <f aca="false">((I10020 + G10021) - H10021)</f>
        <v>71657.0299999999</v>
      </c>
      <c r="J10021" s="18" t="n">
        <v>0</v>
      </c>
      <c r="K10021" s="19" t="n">
        <v>0</v>
      </c>
      <c r="L10021" s="17"/>
    </row>
    <row r="10022" s="11" customFormat="true" ht="10.95" hidden="false" customHeight="true" outlineLevel="0" collapsed="false">
      <c r="A10022" s="16" t="n">
        <v>45203</v>
      </c>
      <c r="B10022" s="17" t="s">
        <v>3861</v>
      </c>
      <c r="C10022" s="17" t="s">
        <v>3752</v>
      </c>
      <c r="D10022" s="17" t="s">
        <v>2903</v>
      </c>
      <c r="E10022" s="17" t="s">
        <v>3652</v>
      </c>
      <c r="F10022" s="17" t="s">
        <v>2325</v>
      </c>
      <c r="G10022" s="18" t="n">
        <v>0</v>
      </c>
      <c r="H10022" s="18" t="n">
        <v>248</v>
      </c>
      <c r="I10022" s="18" t="n">
        <f aca="false">((I10021 + G10022) - H10022)</f>
        <v>71409.0299999999</v>
      </c>
      <c r="J10022" s="18" t="n">
        <v>0</v>
      </c>
      <c r="K10022" s="19" t="n">
        <v>0</v>
      </c>
      <c r="L10022" s="17"/>
    </row>
    <row r="10023" s="11" customFormat="true" ht="10.95" hidden="false" customHeight="true" outlineLevel="0" collapsed="false">
      <c r="A10023" s="16" t="n">
        <v>45203</v>
      </c>
      <c r="B10023" s="17" t="s">
        <v>3861</v>
      </c>
      <c r="C10023" s="17" t="s">
        <v>3752</v>
      </c>
      <c r="D10023" s="17" t="s">
        <v>2903</v>
      </c>
      <c r="E10023" s="17" t="s">
        <v>3629</v>
      </c>
      <c r="F10023" s="17" t="s">
        <v>3190</v>
      </c>
      <c r="G10023" s="18" t="n">
        <v>0</v>
      </c>
      <c r="H10023" s="18" t="n">
        <v>23417</v>
      </c>
      <c r="I10023" s="18" t="n">
        <f aca="false">((I10022 + G10023) - H10023)</f>
        <v>47992.0299999999</v>
      </c>
      <c r="J10023" s="18" t="n">
        <v>0</v>
      </c>
      <c r="K10023" s="19" t="n">
        <v>0</v>
      </c>
      <c r="L10023" s="17"/>
    </row>
    <row r="10024" s="11" customFormat="true" ht="10.95" hidden="false" customHeight="true" outlineLevel="0" collapsed="false">
      <c r="A10024" s="16" t="n">
        <v>45204</v>
      </c>
      <c r="B10024" s="17" t="s">
        <v>3861</v>
      </c>
      <c r="C10024" s="17" t="s">
        <v>3752</v>
      </c>
      <c r="D10024" s="17" t="s">
        <v>2895</v>
      </c>
      <c r="E10024" s="17" t="s">
        <v>3460</v>
      </c>
      <c r="F10024" s="17" t="s">
        <v>4045</v>
      </c>
      <c r="G10024" s="18" t="n">
        <v>4677.2</v>
      </c>
      <c r="H10024" s="18" t="n">
        <v>0</v>
      </c>
      <c r="I10024" s="18" t="n">
        <f aca="false">((I10023 + G10024) - H10024)</f>
        <v>52669.2299999999</v>
      </c>
      <c r="J10024" s="18" t="n">
        <v>0</v>
      </c>
      <c r="K10024" s="19" t="n">
        <v>0</v>
      </c>
      <c r="L10024" s="17"/>
    </row>
    <row r="10025" s="11" customFormat="true" ht="10.95" hidden="false" customHeight="true" outlineLevel="0" collapsed="false">
      <c r="A10025" s="16" t="n">
        <v>45204</v>
      </c>
      <c r="B10025" s="17" t="s">
        <v>3861</v>
      </c>
      <c r="C10025" s="17" t="s">
        <v>3752</v>
      </c>
      <c r="D10025" s="17" t="s">
        <v>2895</v>
      </c>
      <c r="E10025" s="17" t="s">
        <v>3497</v>
      </c>
      <c r="F10025" s="17" t="s">
        <v>4046</v>
      </c>
      <c r="G10025" s="18" t="n">
        <v>1784.2</v>
      </c>
      <c r="H10025" s="18" t="n">
        <v>0</v>
      </c>
      <c r="I10025" s="18" t="n">
        <f aca="false">((I10024 + G10025) - H10025)</f>
        <v>54453.4299999999</v>
      </c>
      <c r="J10025" s="18" t="n">
        <v>0</v>
      </c>
      <c r="K10025" s="19" t="n">
        <v>0</v>
      </c>
      <c r="L10025" s="17"/>
    </row>
    <row r="10026" s="11" customFormat="true" ht="10.95" hidden="false" customHeight="true" outlineLevel="0" collapsed="false">
      <c r="A10026" s="16" t="n">
        <v>45204</v>
      </c>
      <c r="B10026" s="17" t="s">
        <v>3861</v>
      </c>
      <c r="C10026" s="17" t="s">
        <v>3752</v>
      </c>
      <c r="D10026" s="17" t="s">
        <v>2895</v>
      </c>
      <c r="E10026" s="17" t="s">
        <v>3401</v>
      </c>
      <c r="F10026" s="17" t="s">
        <v>4047</v>
      </c>
      <c r="G10026" s="18" t="n">
        <v>561</v>
      </c>
      <c r="H10026" s="18" t="n">
        <v>0</v>
      </c>
      <c r="I10026" s="18" t="n">
        <f aca="false">((I10025 + G10026) - H10026)</f>
        <v>55014.4299999999</v>
      </c>
      <c r="J10026" s="18" t="n">
        <v>0</v>
      </c>
      <c r="K10026" s="19" t="n">
        <v>0</v>
      </c>
      <c r="L10026" s="17"/>
    </row>
    <row r="10027" s="11" customFormat="true" ht="10.95" hidden="false" customHeight="true" outlineLevel="0" collapsed="false">
      <c r="A10027" s="16" t="n">
        <v>45204</v>
      </c>
      <c r="B10027" s="17" t="s">
        <v>3861</v>
      </c>
      <c r="C10027" s="17" t="s">
        <v>3752</v>
      </c>
      <c r="D10027" s="17" t="s">
        <v>1407</v>
      </c>
      <c r="E10027" s="17" t="s">
        <v>3642</v>
      </c>
      <c r="F10027" s="17"/>
      <c r="G10027" s="18" t="n">
        <v>0</v>
      </c>
      <c r="H10027" s="18" t="n">
        <v>18.92</v>
      </c>
      <c r="I10027" s="18" t="n">
        <f aca="false">((I10026 + G10027) - H10027)</f>
        <v>54995.5099999999</v>
      </c>
      <c r="J10027" s="18" t="n">
        <v>0</v>
      </c>
      <c r="K10027" s="19" t="n">
        <v>0</v>
      </c>
      <c r="L10027" s="17"/>
    </row>
    <row r="10028" s="11" customFormat="true" ht="10.95" hidden="false" customHeight="true" outlineLevel="0" collapsed="false">
      <c r="A10028" s="16" t="n">
        <v>45204</v>
      </c>
      <c r="B10028" s="17" t="s">
        <v>3861</v>
      </c>
      <c r="C10028" s="17" t="s">
        <v>3752</v>
      </c>
      <c r="D10028" s="17" t="s">
        <v>1407</v>
      </c>
      <c r="E10028" s="17" t="s">
        <v>3960</v>
      </c>
      <c r="F10028" s="17"/>
      <c r="G10028" s="18" t="n">
        <v>0</v>
      </c>
      <c r="H10028" s="18" t="n">
        <v>4110.75</v>
      </c>
      <c r="I10028" s="18" t="n">
        <f aca="false">((I10027 + G10028) - H10028)</f>
        <v>50884.7599999999</v>
      </c>
      <c r="J10028" s="18" t="n">
        <v>0</v>
      </c>
      <c r="K10028" s="19" t="n">
        <v>0</v>
      </c>
      <c r="L10028" s="17"/>
    </row>
    <row r="10029" s="11" customFormat="true" ht="10.95" hidden="false" customHeight="true" outlineLevel="0" collapsed="false">
      <c r="A10029" s="16" t="n">
        <v>45204</v>
      </c>
      <c r="B10029" s="17" t="s">
        <v>3861</v>
      </c>
      <c r="C10029" s="17" t="s">
        <v>3752</v>
      </c>
      <c r="D10029" s="17" t="s">
        <v>1407</v>
      </c>
      <c r="E10029" s="17" t="s">
        <v>3881</v>
      </c>
      <c r="F10029" s="17"/>
      <c r="G10029" s="18" t="n">
        <v>0</v>
      </c>
      <c r="H10029" s="18" t="n">
        <v>1000</v>
      </c>
      <c r="I10029" s="18" t="n">
        <f aca="false">((I10028 + G10029) - H10029)</f>
        <v>49884.7599999999</v>
      </c>
      <c r="J10029" s="18" t="n">
        <v>0</v>
      </c>
      <c r="K10029" s="19" t="n">
        <v>0</v>
      </c>
      <c r="L10029" s="17"/>
    </row>
    <row r="10030" s="11" customFormat="true" ht="10.95" hidden="false" customHeight="true" outlineLevel="0" collapsed="false">
      <c r="A10030" s="16" t="n">
        <v>45204</v>
      </c>
      <c r="B10030" s="17" t="s">
        <v>3861</v>
      </c>
      <c r="C10030" s="17" t="s">
        <v>3752</v>
      </c>
      <c r="D10030" s="17" t="s">
        <v>2903</v>
      </c>
      <c r="E10030" s="17" t="s">
        <v>3631</v>
      </c>
      <c r="F10030" s="17" t="s">
        <v>3264</v>
      </c>
      <c r="G10030" s="18" t="n">
        <v>0</v>
      </c>
      <c r="H10030" s="18" t="n">
        <v>1023.68</v>
      </c>
      <c r="I10030" s="18" t="n">
        <f aca="false">((I10029 + G10030) - H10030)</f>
        <v>48861.0799999999</v>
      </c>
      <c r="J10030" s="18" t="n">
        <v>0</v>
      </c>
      <c r="K10030" s="19" t="n">
        <v>0</v>
      </c>
      <c r="L10030" s="17"/>
    </row>
    <row r="10031" s="11" customFormat="true" ht="10.95" hidden="false" customHeight="true" outlineLevel="0" collapsed="false">
      <c r="A10031" s="16" t="n">
        <v>45205</v>
      </c>
      <c r="B10031" s="17" t="s">
        <v>3861</v>
      </c>
      <c r="C10031" s="17" t="s">
        <v>3752</v>
      </c>
      <c r="D10031" s="17" t="s">
        <v>2895</v>
      </c>
      <c r="E10031" s="17" t="s">
        <v>3504</v>
      </c>
      <c r="F10031" s="17" t="s">
        <v>4048</v>
      </c>
      <c r="G10031" s="18" t="n">
        <v>2803.35</v>
      </c>
      <c r="H10031" s="18" t="n">
        <v>0</v>
      </c>
      <c r="I10031" s="18" t="n">
        <f aca="false">((I10030 + G10031) - H10031)</f>
        <v>51664.4299999999</v>
      </c>
      <c r="J10031" s="18" t="n">
        <v>0</v>
      </c>
      <c r="K10031" s="19" t="n">
        <v>0</v>
      </c>
      <c r="L10031" s="17"/>
    </row>
    <row r="10032" s="11" customFormat="true" ht="10.95" hidden="false" customHeight="true" outlineLevel="0" collapsed="false">
      <c r="A10032" s="16" t="n">
        <v>45205</v>
      </c>
      <c r="B10032" s="17" t="s">
        <v>3861</v>
      </c>
      <c r="C10032" s="17" t="s">
        <v>3752</v>
      </c>
      <c r="D10032" s="17" t="s">
        <v>2895</v>
      </c>
      <c r="E10032" s="17" t="s">
        <v>3482</v>
      </c>
      <c r="F10032" s="17" t="s">
        <v>4049</v>
      </c>
      <c r="G10032" s="18" t="n">
        <v>2068</v>
      </c>
      <c r="H10032" s="18" t="n">
        <v>0</v>
      </c>
      <c r="I10032" s="18" t="n">
        <f aca="false">((I10031 + G10032) - H10032)</f>
        <v>53732.4299999999</v>
      </c>
      <c r="J10032" s="18" t="n">
        <v>0</v>
      </c>
      <c r="K10032" s="19" t="n">
        <v>0</v>
      </c>
      <c r="L10032" s="17"/>
    </row>
    <row r="10033" s="11" customFormat="true" ht="10.95" hidden="false" customHeight="true" outlineLevel="0" collapsed="false">
      <c r="A10033" s="16" t="n">
        <v>45205</v>
      </c>
      <c r="B10033" s="17" t="s">
        <v>3861</v>
      </c>
      <c r="C10033" s="17" t="s">
        <v>3752</v>
      </c>
      <c r="D10033" s="17" t="s">
        <v>2895</v>
      </c>
      <c r="E10033" s="17" t="s">
        <v>3410</v>
      </c>
      <c r="F10033" s="17" t="s">
        <v>4050</v>
      </c>
      <c r="G10033" s="18" t="n">
        <v>968</v>
      </c>
      <c r="H10033" s="18" t="n">
        <v>0</v>
      </c>
      <c r="I10033" s="18" t="n">
        <f aca="false">((I10032 + G10033) - H10033)</f>
        <v>54700.4299999999</v>
      </c>
      <c r="J10033" s="18" t="n">
        <v>0</v>
      </c>
      <c r="K10033" s="19" t="n">
        <v>0</v>
      </c>
      <c r="L10033" s="17"/>
    </row>
    <row r="10034" s="11" customFormat="true" ht="10.95" hidden="false" customHeight="true" outlineLevel="0" collapsed="false">
      <c r="A10034" s="16" t="n">
        <v>45205</v>
      </c>
      <c r="B10034" s="17" t="s">
        <v>3861</v>
      </c>
      <c r="C10034" s="17" t="s">
        <v>3752</v>
      </c>
      <c r="D10034" s="17" t="s">
        <v>2895</v>
      </c>
      <c r="E10034" s="17" t="s">
        <v>3378</v>
      </c>
      <c r="F10034" s="17" t="s">
        <v>4051</v>
      </c>
      <c r="G10034" s="18" t="n">
        <v>413.6</v>
      </c>
      <c r="H10034" s="18" t="n">
        <v>0</v>
      </c>
      <c r="I10034" s="18" t="n">
        <f aca="false">((I10033 + G10034) - H10034)</f>
        <v>55114.0299999999</v>
      </c>
      <c r="J10034" s="18" t="n">
        <v>0</v>
      </c>
      <c r="K10034" s="19" t="n">
        <v>0</v>
      </c>
      <c r="L10034" s="17"/>
    </row>
    <row r="10035" s="11" customFormat="true" ht="10.95" hidden="false" customHeight="true" outlineLevel="0" collapsed="false">
      <c r="A10035" s="16" t="n">
        <v>45205</v>
      </c>
      <c r="B10035" s="17" t="s">
        <v>3861</v>
      </c>
      <c r="C10035" s="17" t="s">
        <v>3752</v>
      </c>
      <c r="D10035" s="17" t="s">
        <v>1407</v>
      </c>
      <c r="E10035" s="17" t="s">
        <v>3863</v>
      </c>
      <c r="F10035" s="17"/>
      <c r="G10035" s="18" t="n">
        <v>0</v>
      </c>
      <c r="H10035" s="18" t="n">
        <v>10.5</v>
      </c>
      <c r="I10035" s="18" t="n">
        <f aca="false">((I10034 + G10035) - H10035)</f>
        <v>55103.5299999999</v>
      </c>
      <c r="J10035" s="18" t="n">
        <v>0</v>
      </c>
      <c r="K10035" s="19" t="n">
        <v>0</v>
      </c>
      <c r="L10035" s="17"/>
    </row>
    <row r="10036" s="11" customFormat="true" ht="10.95" hidden="false" customHeight="true" outlineLevel="0" collapsed="false">
      <c r="A10036" s="16" t="n">
        <v>45205</v>
      </c>
      <c r="B10036" s="17" t="s">
        <v>3861</v>
      </c>
      <c r="C10036" s="17" t="s">
        <v>3752</v>
      </c>
      <c r="D10036" s="17" t="s">
        <v>1407</v>
      </c>
      <c r="E10036" s="17" t="s">
        <v>3642</v>
      </c>
      <c r="F10036" s="17"/>
      <c r="G10036" s="18" t="n">
        <v>0</v>
      </c>
      <c r="H10036" s="18" t="n">
        <v>18.15</v>
      </c>
      <c r="I10036" s="18" t="n">
        <f aca="false">((I10035 + G10036) - H10036)</f>
        <v>55085.3799999999</v>
      </c>
      <c r="J10036" s="18" t="n">
        <v>0</v>
      </c>
      <c r="K10036" s="19" t="n">
        <v>0</v>
      </c>
      <c r="L10036" s="17"/>
    </row>
    <row r="10037" s="11" customFormat="true" ht="10.95" hidden="false" customHeight="true" outlineLevel="0" collapsed="false">
      <c r="A10037" s="16" t="n">
        <v>45205</v>
      </c>
      <c r="B10037" s="17" t="s">
        <v>3861</v>
      </c>
      <c r="C10037" s="17" t="s">
        <v>3752</v>
      </c>
      <c r="D10037" s="17" t="s">
        <v>1407</v>
      </c>
      <c r="E10037" s="17" t="s">
        <v>3863</v>
      </c>
      <c r="F10037" s="17"/>
      <c r="G10037" s="18" t="n">
        <v>0</v>
      </c>
      <c r="H10037" s="18" t="n">
        <v>118.93</v>
      </c>
      <c r="I10037" s="18" t="n">
        <f aca="false">((I10036 + G10037) - H10037)</f>
        <v>54966.4499999999</v>
      </c>
      <c r="J10037" s="18" t="n">
        <v>0</v>
      </c>
      <c r="K10037" s="19" t="n">
        <v>0</v>
      </c>
      <c r="L10037" s="17"/>
    </row>
    <row r="10038" s="11" customFormat="true" ht="10.95" hidden="false" customHeight="true" outlineLevel="0" collapsed="false">
      <c r="A10038" s="16" t="n">
        <v>45205</v>
      </c>
      <c r="B10038" s="17" t="s">
        <v>3861</v>
      </c>
      <c r="C10038" s="17" t="s">
        <v>3752</v>
      </c>
      <c r="D10038" s="17" t="s">
        <v>1407</v>
      </c>
      <c r="E10038" s="17" t="s">
        <v>3888</v>
      </c>
      <c r="F10038" s="17"/>
      <c r="G10038" s="18" t="n">
        <v>0</v>
      </c>
      <c r="H10038" s="18" t="n">
        <v>3217.43</v>
      </c>
      <c r="I10038" s="18" t="n">
        <f aca="false">((I10037 + G10038) - H10038)</f>
        <v>51749.0199999999</v>
      </c>
      <c r="J10038" s="18" t="n">
        <v>0</v>
      </c>
      <c r="K10038" s="19" t="n">
        <v>0</v>
      </c>
      <c r="L10038" s="17"/>
    </row>
    <row r="10039" s="11" customFormat="true" ht="10.95" hidden="false" customHeight="true" outlineLevel="0" collapsed="false">
      <c r="A10039" s="16" t="n">
        <v>45205</v>
      </c>
      <c r="B10039" s="17" t="s">
        <v>3861</v>
      </c>
      <c r="C10039" s="17" t="s">
        <v>3752</v>
      </c>
      <c r="D10039" s="17" t="s">
        <v>1407</v>
      </c>
      <c r="E10039" s="17" t="s">
        <v>3776</v>
      </c>
      <c r="F10039" s="17"/>
      <c r="G10039" s="18" t="n">
        <v>0</v>
      </c>
      <c r="H10039" s="18" t="n">
        <v>350.15</v>
      </c>
      <c r="I10039" s="18" t="n">
        <f aca="false">((I10038 + G10039) - H10039)</f>
        <v>51398.8699999999</v>
      </c>
      <c r="J10039" s="18" t="n">
        <v>0</v>
      </c>
      <c r="K10039" s="19" t="n">
        <v>0</v>
      </c>
      <c r="L10039" s="17"/>
    </row>
    <row r="10040" s="11" customFormat="true" ht="10.95" hidden="false" customHeight="true" outlineLevel="0" collapsed="false">
      <c r="A10040" s="16" t="n">
        <v>45205</v>
      </c>
      <c r="B10040" s="17" t="s">
        <v>3861</v>
      </c>
      <c r="C10040" s="17" t="s">
        <v>3752</v>
      </c>
      <c r="D10040" s="17" t="s">
        <v>2903</v>
      </c>
      <c r="E10040" s="17" t="s">
        <v>2904</v>
      </c>
      <c r="F10040" s="17" t="s">
        <v>1446</v>
      </c>
      <c r="G10040" s="18" t="n">
        <v>0</v>
      </c>
      <c r="H10040" s="18" t="n">
        <v>3964.46</v>
      </c>
      <c r="I10040" s="18" t="n">
        <f aca="false">((I10039 + G10040) - H10040)</f>
        <v>47434.4099999999</v>
      </c>
      <c r="J10040" s="18" t="n">
        <v>0</v>
      </c>
      <c r="K10040" s="19" t="n">
        <v>0</v>
      </c>
      <c r="L10040" s="17"/>
    </row>
    <row r="10041" s="11" customFormat="true" ht="10.95" hidden="false" customHeight="true" outlineLevel="0" collapsed="false">
      <c r="A10041" s="16" t="n">
        <v>45205</v>
      </c>
      <c r="B10041" s="17" t="s">
        <v>3861</v>
      </c>
      <c r="C10041" s="17" t="s">
        <v>3752</v>
      </c>
      <c r="D10041" s="17" t="s">
        <v>2903</v>
      </c>
      <c r="E10041" s="17" t="s">
        <v>3657</v>
      </c>
      <c r="F10041" s="17" t="s">
        <v>1444</v>
      </c>
      <c r="G10041" s="18" t="n">
        <v>0</v>
      </c>
      <c r="H10041" s="18" t="n">
        <v>4772.39</v>
      </c>
      <c r="I10041" s="18" t="n">
        <f aca="false">((I10040 + G10041) - H10041)</f>
        <v>42662.0199999999</v>
      </c>
      <c r="J10041" s="18" t="n">
        <v>0</v>
      </c>
      <c r="K10041" s="19" t="n">
        <v>0</v>
      </c>
      <c r="L10041" s="17"/>
    </row>
    <row r="10042" s="11" customFormat="true" ht="10.95" hidden="false" customHeight="true" outlineLevel="0" collapsed="false">
      <c r="A10042" s="16" t="n">
        <v>45205</v>
      </c>
      <c r="B10042" s="17" t="s">
        <v>3861</v>
      </c>
      <c r="C10042" s="17" t="s">
        <v>3752</v>
      </c>
      <c r="D10042" s="17" t="s">
        <v>1276</v>
      </c>
      <c r="E10042" s="17" t="s">
        <v>3642</v>
      </c>
      <c r="F10042" s="17"/>
      <c r="G10042" s="18" t="n">
        <v>780</v>
      </c>
      <c r="H10042" s="18" t="n">
        <v>0</v>
      </c>
      <c r="I10042" s="18" t="n">
        <f aca="false">((I10041 + G10042) - H10042)</f>
        <v>43442.0199999999</v>
      </c>
      <c r="J10042" s="18" t="n">
        <v>0</v>
      </c>
      <c r="K10042" s="19" t="n">
        <v>0</v>
      </c>
      <c r="L10042" s="17"/>
    </row>
    <row r="10043" s="11" customFormat="true" ht="10.95" hidden="false" customHeight="true" outlineLevel="0" collapsed="false">
      <c r="A10043" s="16" t="n">
        <v>45205</v>
      </c>
      <c r="B10043" s="17" t="s">
        <v>3861</v>
      </c>
      <c r="C10043" s="17" t="s">
        <v>3752</v>
      </c>
      <c r="D10043" s="17" t="s">
        <v>2903</v>
      </c>
      <c r="E10043" s="17" t="s">
        <v>3616</v>
      </c>
      <c r="F10043" s="17" t="s">
        <v>3266</v>
      </c>
      <c r="G10043" s="18" t="n">
        <v>0</v>
      </c>
      <c r="H10043" s="18" t="n">
        <v>218.9</v>
      </c>
      <c r="I10043" s="18" t="n">
        <f aca="false">((I10042 + G10043) - H10043)</f>
        <v>43223.1199999999</v>
      </c>
      <c r="J10043" s="18" t="n">
        <v>0</v>
      </c>
      <c r="K10043" s="19" t="n">
        <v>0</v>
      </c>
      <c r="L10043" s="17"/>
    </row>
    <row r="10044" s="11" customFormat="true" ht="10.95" hidden="false" customHeight="true" outlineLevel="0" collapsed="false">
      <c r="A10044" s="16" t="n">
        <v>45206</v>
      </c>
      <c r="B10044" s="17" t="s">
        <v>3861</v>
      </c>
      <c r="C10044" s="17" t="s">
        <v>3752</v>
      </c>
      <c r="D10044" s="17" t="s">
        <v>1407</v>
      </c>
      <c r="E10044" s="17" t="s">
        <v>3863</v>
      </c>
      <c r="F10044" s="17"/>
      <c r="G10044" s="18" t="n">
        <v>0</v>
      </c>
      <c r="H10044" s="18" t="n">
        <v>1.38</v>
      </c>
      <c r="I10044" s="18" t="n">
        <f aca="false">((I10043 + G10044) - H10044)</f>
        <v>43221.7399999999</v>
      </c>
      <c r="J10044" s="18" t="n">
        <v>0</v>
      </c>
      <c r="K10044" s="19" t="n">
        <v>0</v>
      </c>
      <c r="L10044" s="17"/>
    </row>
    <row r="10045" s="11" customFormat="true" ht="10.95" hidden="false" customHeight="true" outlineLevel="0" collapsed="false">
      <c r="A10045" s="16" t="n">
        <v>45206</v>
      </c>
      <c r="B10045" s="17" t="s">
        <v>3861</v>
      </c>
      <c r="C10045" s="17" t="s">
        <v>3752</v>
      </c>
      <c r="D10045" s="17" t="s">
        <v>1407</v>
      </c>
      <c r="E10045" s="17" t="s">
        <v>3863</v>
      </c>
      <c r="F10045" s="17"/>
      <c r="G10045" s="18" t="n">
        <v>0</v>
      </c>
      <c r="H10045" s="18" t="n">
        <v>5.66</v>
      </c>
      <c r="I10045" s="18" t="n">
        <f aca="false">((I10044 + G10045) - H10045)</f>
        <v>43216.0799999999</v>
      </c>
      <c r="J10045" s="18" t="n">
        <v>0</v>
      </c>
      <c r="K10045" s="19" t="n">
        <v>0</v>
      </c>
      <c r="L10045" s="17"/>
    </row>
    <row r="10046" s="11" customFormat="true" ht="10.95" hidden="false" customHeight="true" outlineLevel="0" collapsed="false">
      <c r="A10046" s="16" t="n">
        <v>45206</v>
      </c>
      <c r="B10046" s="17" t="s">
        <v>3861</v>
      </c>
      <c r="C10046" s="17" t="s">
        <v>3752</v>
      </c>
      <c r="D10046" s="17" t="s">
        <v>1407</v>
      </c>
      <c r="E10046" s="17" t="s">
        <v>3772</v>
      </c>
      <c r="F10046" s="17"/>
      <c r="G10046" s="18" t="n">
        <v>0</v>
      </c>
      <c r="H10046" s="18" t="n">
        <v>46.16</v>
      </c>
      <c r="I10046" s="18" t="n">
        <f aca="false">((I10045 + G10046) - H10046)</f>
        <v>43169.9199999999</v>
      </c>
      <c r="J10046" s="18" t="n">
        <v>0</v>
      </c>
      <c r="K10046" s="19" t="n">
        <v>0</v>
      </c>
      <c r="L10046" s="17"/>
    </row>
    <row r="10047" s="11" customFormat="true" ht="10.95" hidden="false" customHeight="true" outlineLevel="0" collapsed="false">
      <c r="A10047" s="16" t="n">
        <v>45206</v>
      </c>
      <c r="B10047" s="17" t="s">
        <v>3861</v>
      </c>
      <c r="C10047" s="17" t="s">
        <v>3752</v>
      </c>
      <c r="D10047" s="17" t="s">
        <v>2903</v>
      </c>
      <c r="E10047" s="17" t="s">
        <v>3634</v>
      </c>
      <c r="F10047" s="17" t="s">
        <v>2329</v>
      </c>
      <c r="G10047" s="18" t="n">
        <v>0</v>
      </c>
      <c r="H10047" s="18" t="n">
        <v>71.5</v>
      </c>
      <c r="I10047" s="18" t="n">
        <f aca="false">((I10046 + G10047) - H10047)</f>
        <v>43098.4199999999</v>
      </c>
      <c r="J10047" s="18" t="n">
        <v>0</v>
      </c>
      <c r="K10047" s="19" t="n">
        <v>0</v>
      </c>
      <c r="L10047" s="17"/>
    </row>
    <row r="10048" s="11" customFormat="true" ht="10.95" hidden="false" customHeight="true" outlineLevel="0" collapsed="false">
      <c r="A10048" s="16" t="n">
        <v>45206</v>
      </c>
      <c r="B10048" s="17" t="s">
        <v>3861</v>
      </c>
      <c r="C10048" s="17" t="s">
        <v>3752</v>
      </c>
      <c r="D10048" s="17" t="s">
        <v>2903</v>
      </c>
      <c r="E10048" s="17" t="s">
        <v>2963</v>
      </c>
      <c r="F10048" s="17" t="s">
        <v>2649</v>
      </c>
      <c r="G10048" s="18" t="n">
        <v>0</v>
      </c>
      <c r="H10048" s="18" t="n">
        <v>188.78</v>
      </c>
      <c r="I10048" s="18" t="n">
        <f aca="false">((I10047 + G10048) - H10048)</f>
        <v>42909.6399999999</v>
      </c>
      <c r="J10048" s="18" t="n">
        <v>0</v>
      </c>
      <c r="K10048" s="19" t="n">
        <v>0</v>
      </c>
      <c r="L10048" s="17"/>
    </row>
    <row r="10049" s="11" customFormat="true" ht="10.95" hidden="false" customHeight="true" outlineLevel="0" collapsed="false">
      <c r="A10049" s="16" t="n">
        <v>45208</v>
      </c>
      <c r="B10049" s="17" t="s">
        <v>3861</v>
      </c>
      <c r="C10049" s="17" t="s">
        <v>3752</v>
      </c>
      <c r="D10049" s="17" t="s">
        <v>1276</v>
      </c>
      <c r="E10049" s="17" t="s">
        <v>3506</v>
      </c>
      <c r="F10049" s="17" t="s">
        <v>1312</v>
      </c>
      <c r="G10049" s="18" t="n">
        <v>27.86</v>
      </c>
      <c r="H10049" s="18" t="n">
        <v>0</v>
      </c>
      <c r="I10049" s="18" t="n">
        <f aca="false">((I10048 + G10049) - H10049)</f>
        <v>42937.4999999999</v>
      </c>
      <c r="J10049" s="18" t="n">
        <v>0</v>
      </c>
      <c r="K10049" s="19" t="n">
        <v>0</v>
      </c>
      <c r="L10049" s="17"/>
    </row>
    <row r="10050" s="11" customFormat="true" ht="10.95" hidden="false" customHeight="true" outlineLevel="0" collapsed="false">
      <c r="A10050" s="16" t="n">
        <v>45208</v>
      </c>
      <c r="B10050" s="17" t="s">
        <v>3861</v>
      </c>
      <c r="C10050" s="17" t="s">
        <v>3752</v>
      </c>
      <c r="D10050" s="17" t="s">
        <v>2895</v>
      </c>
      <c r="E10050" s="17" t="s">
        <v>2964</v>
      </c>
      <c r="F10050" s="17" t="s">
        <v>1312</v>
      </c>
      <c r="G10050" s="18" t="n">
        <v>1563.74</v>
      </c>
      <c r="H10050" s="18" t="n">
        <v>0</v>
      </c>
      <c r="I10050" s="18" t="n">
        <f aca="false">((I10049 + G10050) - H10050)</f>
        <v>44501.2399999999</v>
      </c>
      <c r="J10050" s="18" t="n">
        <v>0</v>
      </c>
      <c r="K10050" s="19" t="n">
        <v>0</v>
      </c>
      <c r="L10050" s="17"/>
    </row>
    <row r="10051" s="11" customFormat="true" ht="10.95" hidden="false" customHeight="true" outlineLevel="0" collapsed="false">
      <c r="A10051" s="16" t="n">
        <v>45208</v>
      </c>
      <c r="B10051" s="17" t="s">
        <v>3861</v>
      </c>
      <c r="C10051" s="17" t="s">
        <v>3752</v>
      </c>
      <c r="D10051" s="17" t="s">
        <v>1407</v>
      </c>
      <c r="E10051" s="17" t="s">
        <v>3862</v>
      </c>
      <c r="F10051" s="17" t="s">
        <v>1312</v>
      </c>
      <c r="G10051" s="18" t="n">
        <v>0</v>
      </c>
      <c r="H10051" s="18" t="n">
        <v>46.44</v>
      </c>
      <c r="I10051" s="18" t="n">
        <f aca="false">((I10050 + G10051) - H10051)</f>
        <v>44454.7999999999</v>
      </c>
      <c r="J10051" s="18" t="n">
        <v>0</v>
      </c>
      <c r="K10051" s="19" t="n">
        <v>0</v>
      </c>
      <c r="L10051" s="17"/>
    </row>
    <row r="10052" s="11" customFormat="true" ht="10.95" hidden="false" customHeight="true" outlineLevel="0" collapsed="false">
      <c r="A10052" s="16" t="n">
        <v>45208</v>
      </c>
      <c r="B10052" s="17" t="s">
        <v>3861</v>
      </c>
      <c r="C10052" s="17" t="s">
        <v>3752</v>
      </c>
      <c r="D10052" s="17" t="s">
        <v>2903</v>
      </c>
      <c r="E10052" s="17" t="s">
        <v>3640</v>
      </c>
      <c r="F10052" s="17" t="s">
        <v>1642</v>
      </c>
      <c r="G10052" s="18" t="n">
        <v>0</v>
      </c>
      <c r="H10052" s="18" t="n">
        <v>65</v>
      </c>
      <c r="I10052" s="18" t="n">
        <f aca="false">((I10051 + G10052) - H10052)</f>
        <v>44389.7999999999</v>
      </c>
      <c r="J10052" s="18" t="n">
        <v>0</v>
      </c>
      <c r="K10052" s="19" t="n">
        <v>0</v>
      </c>
      <c r="L10052" s="17"/>
    </row>
    <row r="10053" s="11" customFormat="true" ht="10.95" hidden="false" customHeight="true" outlineLevel="0" collapsed="false">
      <c r="A10053" s="16" t="n">
        <v>45208</v>
      </c>
      <c r="B10053" s="17" t="s">
        <v>3861</v>
      </c>
      <c r="C10053" s="17" t="s">
        <v>3752</v>
      </c>
      <c r="D10053" s="17" t="s">
        <v>2903</v>
      </c>
      <c r="E10053" s="17" t="s">
        <v>3672</v>
      </c>
      <c r="F10053" s="17" t="s">
        <v>3364</v>
      </c>
      <c r="G10053" s="18" t="n">
        <v>0</v>
      </c>
      <c r="H10053" s="18" t="n">
        <v>150</v>
      </c>
      <c r="I10053" s="18" t="n">
        <f aca="false">((I10052 + G10053) - H10053)</f>
        <v>44239.7999999999</v>
      </c>
      <c r="J10053" s="18" t="n">
        <v>0</v>
      </c>
      <c r="K10053" s="19" t="n">
        <v>0</v>
      </c>
      <c r="L10053" s="17"/>
    </row>
    <row r="10054" s="11" customFormat="true" ht="10.95" hidden="false" customHeight="true" outlineLevel="0" collapsed="false">
      <c r="A10054" s="16" t="n">
        <v>45208</v>
      </c>
      <c r="B10054" s="17" t="s">
        <v>3861</v>
      </c>
      <c r="C10054" s="17" t="s">
        <v>3752</v>
      </c>
      <c r="D10054" s="17" t="s">
        <v>2895</v>
      </c>
      <c r="E10054" s="17" t="s">
        <v>2900</v>
      </c>
      <c r="F10054" s="17" t="s">
        <v>2965</v>
      </c>
      <c r="G10054" s="18" t="n">
        <v>1013.65</v>
      </c>
      <c r="H10054" s="18" t="n">
        <v>0</v>
      </c>
      <c r="I10054" s="18" t="n">
        <f aca="false">((I10053 + G10054) - H10054)</f>
        <v>45253.4499999999</v>
      </c>
      <c r="J10054" s="18" t="n">
        <v>0</v>
      </c>
      <c r="K10054" s="19" t="n">
        <v>0</v>
      </c>
      <c r="L10054" s="17"/>
    </row>
    <row r="10055" s="11" customFormat="true" ht="10.95" hidden="false" customHeight="true" outlineLevel="0" collapsed="false">
      <c r="A10055" s="16" t="n">
        <v>45208</v>
      </c>
      <c r="B10055" s="17" t="s">
        <v>3861</v>
      </c>
      <c r="C10055" s="17" t="s">
        <v>3752</v>
      </c>
      <c r="D10055" s="17" t="s">
        <v>2895</v>
      </c>
      <c r="E10055" s="17" t="s">
        <v>2900</v>
      </c>
      <c r="F10055" s="17" t="s">
        <v>2966</v>
      </c>
      <c r="G10055" s="18" t="n">
        <v>1821.5</v>
      </c>
      <c r="H10055" s="18" t="n">
        <v>0</v>
      </c>
      <c r="I10055" s="18" t="n">
        <f aca="false">((I10054 + G10055) - H10055)</f>
        <v>47074.9499999999</v>
      </c>
      <c r="J10055" s="18" t="n">
        <v>0</v>
      </c>
      <c r="K10055" s="19" t="n">
        <v>0</v>
      </c>
      <c r="L10055" s="17"/>
    </row>
    <row r="10056" s="11" customFormat="true" ht="10.95" hidden="false" customHeight="true" outlineLevel="0" collapsed="false">
      <c r="A10056" s="16" t="n">
        <v>45208</v>
      </c>
      <c r="B10056" s="17" t="s">
        <v>3861</v>
      </c>
      <c r="C10056" s="17" t="s">
        <v>3752</v>
      </c>
      <c r="D10056" s="17" t="s">
        <v>2895</v>
      </c>
      <c r="E10056" s="17" t="s">
        <v>2900</v>
      </c>
      <c r="F10056" s="17" t="s">
        <v>2967</v>
      </c>
      <c r="G10056" s="18" t="n">
        <v>132.88</v>
      </c>
      <c r="H10056" s="18" t="n">
        <v>0</v>
      </c>
      <c r="I10056" s="18" t="n">
        <f aca="false">((I10055 + G10056) - H10056)</f>
        <v>47207.8299999999</v>
      </c>
      <c r="J10056" s="18" t="n">
        <v>0</v>
      </c>
      <c r="K10056" s="19" t="n">
        <v>0</v>
      </c>
      <c r="L10056" s="17"/>
    </row>
    <row r="10057" s="11" customFormat="true" ht="10.95" hidden="false" customHeight="true" outlineLevel="0" collapsed="false">
      <c r="A10057" s="16" t="n">
        <v>45209</v>
      </c>
      <c r="B10057" s="17" t="s">
        <v>3861</v>
      </c>
      <c r="C10057" s="17" t="s">
        <v>3752</v>
      </c>
      <c r="D10057" s="17" t="s">
        <v>1407</v>
      </c>
      <c r="E10057" s="17" t="s">
        <v>3642</v>
      </c>
      <c r="F10057" s="17"/>
      <c r="G10057" s="18" t="n">
        <v>0</v>
      </c>
      <c r="H10057" s="18" t="n">
        <v>9.02</v>
      </c>
      <c r="I10057" s="18" t="n">
        <f aca="false">((I10056 + G10057) - H10057)</f>
        <v>47198.8099999999</v>
      </c>
      <c r="J10057" s="18" t="n">
        <v>0</v>
      </c>
      <c r="K10057" s="19" t="n">
        <v>0</v>
      </c>
      <c r="L10057" s="17"/>
    </row>
    <row r="10058" s="11" customFormat="true" ht="10.95" hidden="false" customHeight="true" outlineLevel="0" collapsed="false">
      <c r="A10058" s="16" t="n">
        <v>45209</v>
      </c>
      <c r="B10058" s="17" t="s">
        <v>3861</v>
      </c>
      <c r="C10058" s="17" t="s">
        <v>3752</v>
      </c>
      <c r="D10058" s="17" t="s">
        <v>1407</v>
      </c>
      <c r="E10058" s="17" t="s">
        <v>3896</v>
      </c>
      <c r="F10058" s="17"/>
      <c r="G10058" s="18" t="n">
        <v>0</v>
      </c>
      <c r="H10058" s="18" t="n">
        <v>20.99</v>
      </c>
      <c r="I10058" s="18" t="n">
        <f aca="false">((I10057 + G10058) - H10058)</f>
        <v>47177.8199999999</v>
      </c>
      <c r="J10058" s="18" t="n">
        <v>0</v>
      </c>
      <c r="K10058" s="19" t="n">
        <v>0</v>
      </c>
      <c r="L10058" s="17"/>
    </row>
    <row r="10059" s="11" customFormat="true" ht="10.95" hidden="false" customHeight="true" outlineLevel="0" collapsed="false">
      <c r="A10059" s="16" t="n">
        <v>45209</v>
      </c>
      <c r="B10059" s="17" t="s">
        <v>3861</v>
      </c>
      <c r="C10059" s="17" t="s">
        <v>3752</v>
      </c>
      <c r="D10059" s="17" t="s">
        <v>1407</v>
      </c>
      <c r="E10059" s="17" t="s">
        <v>3878</v>
      </c>
      <c r="F10059" s="17"/>
      <c r="G10059" s="18" t="n">
        <v>0</v>
      </c>
      <c r="H10059" s="18" t="n">
        <v>1188.2</v>
      </c>
      <c r="I10059" s="18" t="n">
        <f aca="false">((I10058 + G10059) - H10059)</f>
        <v>45989.6199999999</v>
      </c>
      <c r="J10059" s="18" t="n">
        <v>0</v>
      </c>
      <c r="K10059" s="19" t="n">
        <v>0</v>
      </c>
      <c r="L10059" s="17"/>
    </row>
    <row r="10060" s="11" customFormat="true" ht="10.95" hidden="false" customHeight="true" outlineLevel="0" collapsed="false">
      <c r="A10060" s="16" t="n">
        <v>45209</v>
      </c>
      <c r="B10060" s="17" t="s">
        <v>3861</v>
      </c>
      <c r="C10060" s="17" t="s">
        <v>3752</v>
      </c>
      <c r="D10060" s="17" t="s">
        <v>2903</v>
      </c>
      <c r="E10060" s="17" t="s">
        <v>3397</v>
      </c>
      <c r="F10060" s="17" t="s">
        <v>3586</v>
      </c>
      <c r="G10060" s="18" t="n">
        <v>0</v>
      </c>
      <c r="H10060" s="18" t="n">
        <v>3025</v>
      </c>
      <c r="I10060" s="18" t="n">
        <f aca="false">((I10059 + G10060) - H10060)</f>
        <v>42964.6199999999</v>
      </c>
      <c r="J10060" s="18" t="n">
        <v>0</v>
      </c>
      <c r="K10060" s="19" t="n">
        <v>0</v>
      </c>
      <c r="L10060" s="17"/>
    </row>
    <row r="10061" s="11" customFormat="true" ht="10.95" hidden="false" customHeight="true" outlineLevel="0" collapsed="false">
      <c r="A10061" s="16" t="n">
        <v>45210</v>
      </c>
      <c r="B10061" s="17" t="s">
        <v>3861</v>
      </c>
      <c r="C10061" s="17" t="s">
        <v>3752</v>
      </c>
      <c r="D10061" s="17" t="s">
        <v>3814</v>
      </c>
      <c r="E10061" s="17" t="s">
        <v>3815</v>
      </c>
      <c r="F10061" s="17"/>
      <c r="G10061" s="18" t="n">
        <v>0</v>
      </c>
      <c r="H10061" s="18" t="n">
        <v>0.5</v>
      </c>
      <c r="I10061" s="18" t="n">
        <f aca="false">((I10060 + G10061) - H10061)</f>
        <v>42964.1199999999</v>
      </c>
      <c r="J10061" s="18" t="n">
        <v>0</v>
      </c>
      <c r="K10061" s="19" t="n">
        <v>0</v>
      </c>
      <c r="L10061" s="17"/>
    </row>
    <row r="10062" s="11" customFormat="true" ht="10.95" hidden="false" customHeight="true" outlineLevel="0" collapsed="false">
      <c r="A10062" s="16" t="n">
        <v>45210</v>
      </c>
      <c r="B10062" s="17" t="s">
        <v>3861</v>
      </c>
      <c r="C10062" s="17" t="s">
        <v>3752</v>
      </c>
      <c r="D10062" s="17" t="s">
        <v>2895</v>
      </c>
      <c r="E10062" s="17" t="s">
        <v>3391</v>
      </c>
      <c r="F10062" s="17" t="s">
        <v>4052</v>
      </c>
      <c r="G10062" s="18" t="n">
        <v>1100.06</v>
      </c>
      <c r="H10062" s="18" t="n">
        <v>0</v>
      </c>
      <c r="I10062" s="18" t="n">
        <f aca="false">((I10061 + G10062) - H10062)</f>
        <v>44064.1799999999</v>
      </c>
      <c r="J10062" s="18" t="n">
        <v>0</v>
      </c>
      <c r="K10062" s="19" t="n">
        <v>0</v>
      </c>
      <c r="L10062" s="17"/>
    </row>
    <row r="10063" s="11" customFormat="true" ht="10.95" hidden="false" customHeight="true" outlineLevel="0" collapsed="false">
      <c r="A10063" s="16" t="n">
        <v>45210</v>
      </c>
      <c r="B10063" s="17" t="s">
        <v>3861</v>
      </c>
      <c r="C10063" s="17" t="s">
        <v>3752</v>
      </c>
      <c r="D10063" s="17" t="s">
        <v>1407</v>
      </c>
      <c r="E10063" s="17" t="s">
        <v>3881</v>
      </c>
      <c r="F10063" s="17"/>
      <c r="G10063" s="18" t="n">
        <v>0</v>
      </c>
      <c r="H10063" s="18" t="n">
        <v>140</v>
      </c>
      <c r="I10063" s="18" t="n">
        <f aca="false">((I10062 + G10063) - H10063)</f>
        <v>43924.1799999999</v>
      </c>
      <c r="J10063" s="18" t="n">
        <v>0</v>
      </c>
      <c r="K10063" s="19" t="n">
        <v>0</v>
      </c>
      <c r="L10063" s="17"/>
    </row>
    <row r="10064" s="11" customFormat="true" ht="10.95" hidden="false" customHeight="true" outlineLevel="0" collapsed="false">
      <c r="A10064" s="16" t="n">
        <v>45210</v>
      </c>
      <c r="B10064" s="17" t="s">
        <v>3861</v>
      </c>
      <c r="C10064" s="17" t="s">
        <v>3752</v>
      </c>
      <c r="D10064" s="17" t="s">
        <v>1407</v>
      </c>
      <c r="E10064" s="17" t="s">
        <v>3879</v>
      </c>
      <c r="F10064" s="17"/>
      <c r="G10064" s="18" t="n">
        <v>0</v>
      </c>
      <c r="H10064" s="18" t="n">
        <v>1207</v>
      </c>
      <c r="I10064" s="18" t="n">
        <f aca="false">((I10063 + G10064) - H10064)</f>
        <v>42717.1799999999</v>
      </c>
      <c r="J10064" s="18" t="n">
        <v>0</v>
      </c>
      <c r="K10064" s="19" t="n">
        <v>0</v>
      </c>
      <c r="L10064" s="17"/>
    </row>
    <row r="10065" s="11" customFormat="true" ht="10.95" hidden="false" customHeight="true" outlineLevel="0" collapsed="false">
      <c r="A10065" s="16" t="n">
        <v>45210</v>
      </c>
      <c r="B10065" s="17" t="s">
        <v>3861</v>
      </c>
      <c r="C10065" s="17" t="s">
        <v>3752</v>
      </c>
      <c r="D10065" s="17" t="s">
        <v>1407</v>
      </c>
      <c r="E10065" s="17" t="s">
        <v>3880</v>
      </c>
      <c r="F10065" s="17"/>
      <c r="G10065" s="18" t="n">
        <v>0</v>
      </c>
      <c r="H10065" s="18" t="n">
        <v>1207</v>
      </c>
      <c r="I10065" s="18" t="n">
        <f aca="false">((I10064 + G10065) - H10065)</f>
        <v>41510.1799999999</v>
      </c>
      <c r="J10065" s="18" t="n">
        <v>0</v>
      </c>
      <c r="K10065" s="19" t="n">
        <v>0</v>
      </c>
      <c r="L10065" s="17"/>
    </row>
    <row r="10066" s="11" customFormat="true" ht="10.95" hidden="false" customHeight="true" outlineLevel="0" collapsed="false">
      <c r="A10066" s="16" t="n">
        <v>45210</v>
      </c>
      <c r="B10066" s="17" t="s">
        <v>3861</v>
      </c>
      <c r="C10066" s="17" t="s">
        <v>3752</v>
      </c>
      <c r="D10066" s="17" t="s">
        <v>1407</v>
      </c>
      <c r="E10066" s="17" t="s">
        <v>3808</v>
      </c>
      <c r="F10066" s="17"/>
      <c r="G10066" s="18" t="n">
        <v>0</v>
      </c>
      <c r="H10066" s="18" t="n">
        <v>1705.92</v>
      </c>
      <c r="I10066" s="18" t="n">
        <f aca="false">((I10065 + G10066) - H10066)</f>
        <v>39804.2599999999</v>
      </c>
      <c r="J10066" s="18" t="n">
        <v>0</v>
      </c>
      <c r="K10066" s="19" t="n">
        <v>0</v>
      </c>
      <c r="L10066" s="17"/>
    </row>
    <row r="10067" s="11" customFormat="true" ht="10.95" hidden="false" customHeight="true" outlineLevel="0" collapsed="false">
      <c r="A10067" s="16" t="n">
        <v>45211</v>
      </c>
      <c r="B10067" s="17" t="s">
        <v>3861</v>
      </c>
      <c r="C10067" s="17" t="s">
        <v>3752</v>
      </c>
      <c r="D10067" s="17" t="s">
        <v>2895</v>
      </c>
      <c r="E10067" s="17" t="s">
        <v>2906</v>
      </c>
      <c r="F10067" s="17" t="s">
        <v>2968</v>
      </c>
      <c r="G10067" s="18" t="n">
        <v>3092.21</v>
      </c>
      <c r="H10067" s="18" t="n">
        <v>0</v>
      </c>
      <c r="I10067" s="18" t="n">
        <f aca="false">((I10066 + G10067) - H10067)</f>
        <v>42896.4699999999</v>
      </c>
      <c r="J10067" s="18" t="n">
        <v>0</v>
      </c>
      <c r="K10067" s="19" t="n">
        <v>0</v>
      </c>
      <c r="L10067" s="17"/>
    </row>
    <row r="10068" s="11" customFormat="true" ht="10.95" hidden="false" customHeight="true" outlineLevel="0" collapsed="false">
      <c r="A10068" s="16" t="n">
        <v>45211</v>
      </c>
      <c r="B10068" s="17" t="s">
        <v>3861</v>
      </c>
      <c r="C10068" s="17" t="s">
        <v>3752</v>
      </c>
      <c r="D10068" s="17" t="s">
        <v>1407</v>
      </c>
      <c r="E10068" s="17" t="s">
        <v>3863</v>
      </c>
      <c r="F10068" s="17"/>
      <c r="G10068" s="18" t="n">
        <v>0</v>
      </c>
      <c r="H10068" s="18" t="n">
        <v>4.02</v>
      </c>
      <c r="I10068" s="18" t="n">
        <f aca="false">((I10067 + G10068) - H10068)</f>
        <v>42892.4499999999</v>
      </c>
      <c r="J10068" s="18" t="n">
        <v>0</v>
      </c>
      <c r="K10068" s="19" t="n">
        <v>0</v>
      </c>
      <c r="L10068" s="17"/>
    </row>
    <row r="10069" s="11" customFormat="true" ht="10.95" hidden="false" customHeight="true" outlineLevel="0" collapsed="false">
      <c r="A10069" s="16" t="n">
        <v>45211</v>
      </c>
      <c r="B10069" s="17" t="s">
        <v>3861</v>
      </c>
      <c r="C10069" s="17" t="s">
        <v>3752</v>
      </c>
      <c r="D10069" s="17" t="s">
        <v>1407</v>
      </c>
      <c r="E10069" s="17" t="s">
        <v>3863</v>
      </c>
      <c r="F10069" s="17"/>
      <c r="G10069" s="18" t="n">
        <v>0</v>
      </c>
      <c r="H10069" s="18" t="n">
        <v>14.55</v>
      </c>
      <c r="I10069" s="18" t="n">
        <f aca="false">((I10068 + G10069) - H10069)</f>
        <v>42877.8999999999</v>
      </c>
      <c r="J10069" s="18" t="n">
        <v>0</v>
      </c>
      <c r="K10069" s="19" t="n">
        <v>0</v>
      </c>
      <c r="L10069" s="17"/>
    </row>
    <row r="10070" s="11" customFormat="true" ht="10.95" hidden="false" customHeight="true" outlineLevel="0" collapsed="false">
      <c r="A10070" s="16" t="n">
        <v>45211</v>
      </c>
      <c r="B10070" s="17" t="s">
        <v>3861</v>
      </c>
      <c r="C10070" s="17" t="s">
        <v>3752</v>
      </c>
      <c r="D10070" s="17" t="s">
        <v>1407</v>
      </c>
      <c r="E10070" s="17" t="s">
        <v>3863</v>
      </c>
      <c r="F10070" s="17"/>
      <c r="G10070" s="18" t="n">
        <v>0</v>
      </c>
      <c r="H10070" s="18" t="n">
        <v>14.55</v>
      </c>
      <c r="I10070" s="18" t="n">
        <f aca="false">((I10069 + G10070) - H10070)</f>
        <v>42863.3499999999</v>
      </c>
      <c r="J10070" s="18" t="n">
        <v>0</v>
      </c>
      <c r="K10070" s="19" t="n">
        <v>0</v>
      </c>
      <c r="L10070" s="17"/>
    </row>
    <row r="10071" s="11" customFormat="true" ht="10.95" hidden="false" customHeight="true" outlineLevel="0" collapsed="false">
      <c r="A10071" s="16" t="n">
        <v>45211</v>
      </c>
      <c r="B10071" s="17" t="s">
        <v>3861</v>
      </c>
      <c r="C10071" s="17" t="s">
        <v>3752</v>
      </c>
      <c r="D10071" s="17" t="s">
        <v>1407</v>
      </c>
      <c r="E10071" s="17" t="s">
        <v>3897</v>
      </c>
      <c r="F10071" s="17"/>
      <c r="G10071" s="18" t="n">
        <v>0</v>
      </c>
      <c r="H10071" s="18" t="n">
        <v>30</v>
      </c>
      <c r="I10071" s="18" t="n">
        <f aca="false">((I10070 + G10071) - H10071)</f>
        <v>42833.3499999999</v>
      </c>
      <c r="J10071" s="18" t="n">
        <v>0</v>
      </c>
      <c r="K10071" s="19" t="n">
        <v>0</v>
      </c>
      <c r="L10071" s="17"/>
    </row>
    <row r="10072" s="11" customFormat="true" ht="10.95" hidden="false" customHeight="true" outlineLevel="0" collapsed="false">
      <c r="A10072" s="16" t="n">
        <v>45211</v>
      </c>
      <c r="B10072" s="17" t="s">
        <v>3861</v>
      </c>
      <c r="C10072" s="17" t="s">
        <v>3752</v>
      </c>
      <c r="D10072" s="17" t="s">
        <v>2903</v>
      </c>
      <c r="E10072" s="17" t="s">
        <v>2908</v>
      </c>
      <c r="F10072" s="17" t="s">
        <v>1427</v>
      </c>
      <c r="G10072" s="18" t="n">
        <v>0</v>
      </c>
      <c r="H10072" s="18" t="n">
        <v>484.94</v>
      </c>
      <c r="I10072" s="18" t="n">
        <f aca="false">((I10071 + G10072) - H10072)</f>
        <v>42348.4099999999</v>
      </c>
      <c r="J10072" s="18" t="n">
        <v>0</v>
      </c>
      <c r="K10072" s="19" t="n">
        <v>0</v>
      </c>
      <c r="L10072" s="17"/>
    </row>
    <row r="10073" s="11" customFormat="true" ht="10.95" hidden="false" customHeight="true" outlineLevel="0" collapsed="false">
      <c r="A10073" s="16" t="n">
        <v>45211</v>
      </c>
      <c r="B10073" s="17" t="s">
        <v>3861</v>
      </c>
      <c r="C10073" s="17" t="s">
        <v>3752</v>
      </c>
      <c r="D10073" s="17" t="s">
        <v>2903</v>
      </c>
      <c r="E10073" s="17" t="s">
        <v>2908</v>
      </c>
      <c r="F10073" s="17" t="s">
        <v>2300</v>
      </c>
      <c r="G10073" s="18" t="n">
        <v>0</v>
      </c>
      <c r="H10073" s="18" t="n">
        <v>484.94</v>
      </c>
      <c r="I10073" s="18" t="n">
        <f aca="false">((I10072 + G10073) - H10073)</f>
        <v>41863.4699999999</v>
      </c>
      <c r="J10073" s="18" t="n">
        <v>0</v>
      </c>
      <c r="K10073" s="19" t="n">
        <v>0</v>
      </c>
      <c r="L10073" s="17"/>
    </row>
    <row r="10074" s="11" customFormat="true" ht="10.95" hidden="false" customHeight="true" outlineLevel="0" collapsed="false">
      <c r="A10074" s="16" t="n">
        <v>45211</v>
      </c>
      <c r="B10074" s="17" t="s">
        <v>3861</v>
      </c>
      <c r="C10074" s="17" t="s">
        <v>3752</v>
      </c>
      <c r="D10074" s="17" t="s">
        <v>2903</v>
      </c>
      <c r="E10074" s="17" t="s">
        <v>2969</v>
      </c>
      <c r="F10074" s="17" t="s">
        <v>2331</v>
      </c>
      <c r="G10074" s="18" t="n">
        <v>0</v>
      </c>
      <c r="H10074" s="18" t="n">
        <v>134.03</v>
      </c>
      <c r="I10074" s="18" t="n">
        <f aca="false">((I10073 + G10074) - H10074)</f>
        <v>41729.4399999999</v>
      </c>
      <c r="J10074" s="18" t="n">
        <v>0</v>
      </c>
      <c r="K10074" s="19" t="n">
        <v>0</v>
      </c>
      <c r="L10074" s="17"/>
    </row>
    <row r="10075" s="11" customFormat="true" ht="10.95" hidden="false" customHeight="true" outlineLevel="0" collapsed="false">
      <c r="A10075" s="16" t="n">
        <v>45216</v>
      </c>
      <c r="B10075" s="17" t="s">
        <v>3861</v>
      </c>
      <c r="C10075" s="17" t="s">
        <v>3752</v>
      </c>
      <c r="D10075" s="17" t="s">
        <v>2895</v>
      </c>
      <c r="E10075" s="17" t="s">
        <v>3403</v>
      </c>
      <c r="F10075" s="17" t="s">
        <v>4053</v>
      </c>
      <c r="G10075" s="18" t="n">
        <v>723.8</v>
      </c>
      <c r="H10075" s="18" t="n">
        <v>0</v>
      </c>
      <c r="I10075" s="18" t="n">
        <f aca="false">((I10074 + G10075) - H10075)</f>
        <v>42453.2399999999</v>
      </c>
      <c r="J10075" s="18" t="n">
        <v>0</v>
      </c>
      <c r="K10075" s="19" t="n">
        <v>0</v>
      </c>
      <c r="L10075" s="17"/>
    </row>
    <row r="10076" s="11" customFormat="true" ht="10.95" hidden="false" customHeight="true" outlineLevel="0" collapsed="false">
      <c r="A10076" s="16" t="n">
        <v>45216</v>
      </c>
      <c r="B10076" s="17" t="s">
        <v>3861</v>
      </c>
      <c r="C10076" s="17" t="s">
        <v>3752</v>
      </c>
      <c r="D10076" s="17" t="s">
        <v>2895</v>
      </c>
      <c r="E10076" s="17" t="s">
        <v>3403</v>
      </c>
      <c r="F10076" s="17" t="s">
        <v>4054</v>
      </c>
      <c r="G10076" s="18" t="n">
        <v>143.55</v>
      </c>
      <c r="H10076" s="18" t="n">
        <v>0</v>
      </c>
      <c r="I10076" s="18" t="n">
        <f aca="false">((I10075 + G10076) - H10076)</f>
        <v>42596.7899999999</v>
      </c>
      <c r="J10076" s="18" t="n">
        <v>0</v>
      </c>
      <c r="K10076" s="19" t="n">
        <v>0</v>
      </c>
      <c r="L10076" s="17"/>
    </row>
    <row r="10077" s="11" customFormat="true" ht="10.95" hidden="false" customHeight="true" outlineLevel="0" collapsed="false">
      <c r="A10077" s="16" t="n">
        <v>45216</v>
      </c>
      <c r="B10077" s="17" t="s">
        <v>3861</v>
      </c>
      <c r="C10077" s="17" t="s">
        <v>3752</v>
      </c>
      <c r="D10077" s="17" t="s">
        <v>2895</v>
      </c>
      <c r="E10077" s="17" t="s">
        <v>3403</v>
      </c>
      <c r="F10077" s="17" t="s">
        <v>4055</v>
      </c>
      <c r="G10077" s="18" t="n">
        <v>759</v>
      </c>
      <c r="H10077" s="18" t="n">
        <v>0</v>
      </c>
      <c r="I10077" s="18" t="n">
        <f aca="false">((I10076 + G10077) - H10077)</f>
        <v>43355.7899999999</v>
      </c>
      <c r="J10077" s="18" t="n">
        <v>0</v>
      </c>
      <c r="K10077" s="19" t="n">
        <v>0</v>
      </c>
      <c r="L10077" s="17"/>
    </row>
    <row r="10078" s="11" customFormat="true" ht="10.95" hidden="false" customHeight="true" outlineLevel="0" collapsed="false">
      <c r="A10078" s="16" t="n">
        <v>45216</v>
      </c>
      <c r="B10078" s="17" t="s">
        <v>3861</v>
      </c>
      <c r="C10078" s="17" t="s">
        <v>3752</v>
      </c>
      <c r="D10078" s="17" t="s">
        <v>2895</v>
      </c>
      <c r="E10078" s="17" t="s">
        <v>3403</v>
      </c>
      <c r="F10078" s="17" t="s">
        <v>4056</v>
      </c>
      <c r="G10078" s="18" t="n">
        <v>638</v>
      </c>
      <c r="H10078" s="18" t="n">
        <v>0</v>
      </c>
      <c r="I10078" s="18" t="n">
        <f aca="false">((I10077 + G10078) - H10078)</f>
        <v>43993.7899999999</v>
      </c>
      <c r="J10078" s="18" t="n">
        <v>0</v>
      </c>
      <c r="K10078" s="19" t="n">
        <v>0</v>
      </c>
      <c r="L10078" s="17"/>
    </row>
    <row r="10079" s="11" customFormat="true" ht="10.95" hidden="false" customHeight="true" outlineLevel="0" collapsed="false">
      <c r="A10079" s="16" t="n">
        <v>45216</v>
      </c>
      <c r="B10079" s="17" t="s">
        <v>3861</v>
      </c>
      <c r="C10079" s="17" t="s">
        <v>3752</v>
      </c>
      <c r="D10079" s="17" t="s">
        <v>2895</v>
      </c>
      <c r="E10079" s="17" t="s">
        <v>3403</v>
      </c>
      <c r="F10079" s="17" t="s">
        <v>4057</v>
      </c>
      <c r="G10079" s="18" t="n">
        <v>638</v>
      </c>
      <c r="H10079" s="18" t="n">
        <v>0</v>
      </c>
      <c r="I10079" s="18" t="n">
        <f aca="false">((I10078 + G10079) - H10079)</f>
        <v>44631.7899999999</v>
      </c>
      <c r="J10079" s="18" t="n">
        <v>0</v>
      </c>
      <c r="K10079" s="19" t="n">
        <v>0</v>
      </c>
      <c r="L10079" s="17"/>
    </row>
    <row r="10080" s="11" customFormat="true" ht="10.95" hidden="false" customHeight="true" outlineLevel="0" collapsed="false">
      <c r="A10080" s="16" t="n">
        <v>45216</v>
      </c>
      <c r="B10080" s="17" t="s">
        <v>3861</v>
      </c>
      <c r="C10080" s="17" t="s">
        <v>3752</v>
      </c>
      <c r="D10080" s="17" t="s">
        <v>2895</v>
      </c>
      <c r="E10080" s="17" t="s">
        <v>3403</v>
      </c>
      <c r="F10080" s="17" t="s">
        <v>4058</v>
      </c>
      <c r="G10080" s="18" t="n">
        <v>1344.2</v>
      </c>
      <c r="H10080" s="18" t="n">
        <v>0</v>
      </c>
      <c r="I10080" s="18" t="n">
        <f aca="false">((I10079 + G10080) - H10080)</f>
        <v>45975.9899999999</v>
      </c>
      <c r="J10080" s="18" t="n">
        <v>0</v>
      </c>
      <c r="K10080" s="19" t="n">
        <v>0</v>
      </c>
      <c r="L10080" s="17"/>
    </row>
    <row r="10081" s="11" customFormat="true" ht="10.95" hidden="false" customHeight="true" outlineLevel="0" collapsed="false">
      <c r="A10081" s="16" t="n">
        <v>45216</v>
      </c>
      <c r="B10081" s="17" t="s">
        <v>3861</v>
      </c>
      <c r="C10081" s="17" t="s">
        <v>3752</v>
      </c>
      <c r="D10081" s="17" t="s">
        <v>2895</v>
      </c>
      <c r="E10081" s="17" t="s">
        <v>3373</v>
      </c>
      <c r="F10081" s="17" t="s">
        <v>4059</v>
      </c>
      <c r="G10081" s="18" t="n">
        <v>1386</v>
      </c>
      <c r="H10081" s="18" t="n">
        <v>0</v>
      </c>
      <c r="I10081" s="18" t="n">
        <f aca="false">((I10080 + G10081) - H10081)</f>
        <v>47361.9899999999</v>
      </c>
      <c r="J10081" s="18" t="n">
        <v>0</v>
      </c>
      <c r="K10081" s="19" t="n">
        <v>0</v>
      </c>
      <c r="L10081" s="17"/>
    </row>
    <row r="10082" s="11" customFormat="true" ht="10.95" hidden="false" customHeight="true" outlineLevel="0" collapsed="false">
      <c r="A10082" s="16" t="n">
        <v>45216</v>
      </c>
      <c r="B10082" s="17" t="s">
        <v>3861</v>
      </c>
      <c r="C10082" s="17" t="s">
        <v>3752</v>
      </c>
      <c r="D10082" s="17" t="s">
        <v>1407</v>
      </c>
      <c r="E10082" s="17" t="s">
        <v>3863</v>
      </c>
      <c r="F10082" s="17"/>
      <c r="G10082" s="18" t="n">
        <v>0</v>
      </c>
      <c r="H10082" s="18" t="n">
        <v>0.62</v>
      </c>
      <c r="I10082" s="18" t="n">
        <f aca="false">((I10081 + G10082) - H10082)</f>
        <v>47361.3699999999</v>
      </c>
      <c r="J10082" s="18" t="n">
        <v>0</v>
      </c>
      <c r="K10082" s="19" t="n">
        <v>0</v>
      </c>
      <c r="L10082" s="17"/>
    </row>
    <row r="10083" s="11" customFormat="true" ht="10.95" hidden="false" customHeight="true" outlineLevel="0" collapsed="false">
      <c r="A10083" s="16" t="n">
        <v>45216</v>
      </c>
      <c r="B10083" s="17" t="s">
        <v>3861</v>
      </c>
      <c r="C10083" s="17" t="s">
        <v>3752</v>
      </c>
      <c r="D10083" s="17" t="s">
        <v>1407</v>
      </c>
      <c r="E10083" s="17" t="s">
        <v>3863</v>
      </c>
      <c r="F10083" s="17"/>
      <c r="G10083" s="18" t="n">
        <v>0</v>
      </c>
      <c r="H10083" s="18" t="n">
        <v>5.02</v>
      </c>
      <c r="I10083" s="18" t="n">
        <f aca="false">((I10082 + G10083) - H10083)</f>
        <v>47356.3499999999</v>
      </c>
      <c r="J10083" s="18" t="n">
        <v>0</v>
      </c>
      <c r="K10083" s="19" t="n">
        <v>0</v>
      </c>
      <c r="L10083" s="17"/>
    </row>
    <row r="10084" s="11" customFormat="true" ht="10.95" hidden="false" customHeight="true" outlineLevel="0" collapsed="false">
      <c r="A10084" s="16" t="n">
        <v>45216</v>
      </c>
      <c r="B10084" s="17" t="s">
        <v>3861</v>
      </c>
      <c r="C10084" s="17" t="s">
        <v>3752</v>
      </c>
      <c r="D10084" s="17" t="s">
        <v>1407</v>
      </c>
      <c r="E10084" s="17" t="s">
        <v>3757</v>
      </c>
      <c r="F10084" s="17"/>
      <c r="G10084" s="18" t="n">
        <v>0</v>
      </c>
      <c r="H10084" s="18" t="n">
        <v>20.69</v>
      </c>
      <c r="I10084" s="18" t="n">
        <f aca="false">((I10083 + G10084) - H10084)</f>
        <v>47335.6599999999</v>
      </c>
      <c r="J10084" s="18" t="n">
        <v>0</v>
      </c>
      <c r="K10084" s="19" t="n">
        <v>0</v>
      </c>
      <c r="L10084" s="17"/>
    </row>
    <row r="10085" s="11" customFormat="true" ht="10.95" hidden="false" customHeight="true" outlineLevel="0" collapsed="false">
      <c r="A10085" s="16" t="n">
        <v>45216</v>
      </c>
      <c r="B10085" s="17" t="s">
        <v>3861</v>
      </c>
      <c r="C10085" s="17" t="s">
        <v>3752</v>
      </c>
      <c r="D10085" s="17" t="s">
        <v>1407</v>
      </c>
      <c r="E10085" s="17" t="s">
        <v>3878</v>
      </c>
      <c r="F10085" s="17"/>
      <c r="G10085" s="18" t="n">
        <v>0</v>
      </c>
      <c r="H10085" s="18" t="n">
        <v>1188.2</v>
      </c>
      <c r="I10085" s="18" t="n">
        <f aca="false">((I10084 + G10085) - H10085)</f>
        <v>46147.4599999999</v>
      </c>
      <c r="J10085" s="18" t="n">
        <v>0</v>
      </c>
      <c r="K10085" s="19" t="n">
        <v>0</v>
      </c>
      <c r="L10085" s="17"/>
    </row>
    <row r="10086" s="11" customFormat="true" ht="10.95" hidden="false" customHeight="true" outlineLevel="0" collapsed="false">
      <c r="A10086" s="16" t="n">
        <v>45216</v>
      </c>
      <c r="B10086" s="17" t="s">
        <v>3861</v>
      </c>
      <c r="C10086" s="17" t="s">
        <v>3752</v>
      </c>
      <c r="D10086" s="17" t="s">
        <v>2895</v>
      </c>
      <c r="E10086" s="17" t="s">
        <v>2951</v>
      </c>
      <c r="F10086" s="17" t="s">
        <v>2970</v>
      </c>
      <c r="G10086" s="18" t="n">
        <v>1373.14</v>
      </c>
      <c r="H10086" s="18" t="n">
        <v>0</v>
      </c>
      <c r="I10086" s="18" t="n">
        <f aca="false">((I10085 + G10086) - H10086)</f>
        <v>47520.5999999999</v>
      </c>
      <c r="J10086" s="18" t="n">
        <v>0</v>
      </c>
      <c r="K10086" s="19" t="n">
        <v>0</v>
      </c>
      <c r="L10086" s="17"/>
    </row>
    <row r="10087" s="11" customFormat="true" ht="10.95" hidden="false" customHeight="true" outlineLevel="0" collapsed="false">
      <c r="A10087" s="16" t="n">
        <v>45216</v>
      </c>
      <c r="B10087" s="17" t="s">
        <v>3861</v>
      </c>
      <c r="C10087" s="17" t="s">
        <v>3752</v>
      </c>
      <c r="D10087" s="17" t="s">
        <v>2895</v>
      </c>
      <c r="E10087" s="17" t="s">
        <v>2951</v>
      </c>
      <c r="F10087" s="17" t="s">
        <v>2971</v>
      </c>
      <c r="G10087" s="18" t="n">
        <v>1373.15</v>
      </c>
      <c r="H10087" s="18" t="n">
        <v>0</v>
      </c>
      <c r="I10087" s="18" t="n">
        <f aca="false">((I10086 + G10087) - H10087)</f>
        <v>48893.7499999999</v>
      </c>
      <c r="J10087" s="18" t="n">
        <v>0</v>
      </c>
      <c r="K10087" s="19" t="n">
        <v>0</v>
      </c>
      <c r="L10087" s="17"/>
    </row>
    <row r="10088" s="11" customFormat="true" ht="10.95" hidden="false" customHeight="true" outlineLevel="0" collapsed="false">
      <c r="A10088" s="16" t="n">
        <v>45216</v>
      </c>
      <c r="B10088" s="17" t="s">
        <v>3861</v>
      </c>
      <c r="C10088" s="17" t="s">
        <v>3752</v>
      </c>
      <c r="D10088" s="17" t="s">
        <v>1407</v>
      </c>
      <c r="E10088" s="17" t="s">
        <v>3776</v>
      </c>
      <c r="F10088" s="17"/>
      <c r="G10088" s="18" t="n">
        <v>0</v>
      </c>
      <c r="H10088" s="18" t="n">
        <v>167.37</v>
      </c>
      <c r="I10088" s="18" t="n">
        <f aca="false">((I10087 + G10088) - H10088)</f>
        <v>48726.3799999999</v>
      </c>
      <c r="J10088" s="18" t="n">
        <v>0</v>
      </c>
      <c r="K10088" s="19" t="n">
        <v>0</v>
      </c>
      <c r="L10088" s="17"/>
    </row>
    <row r="10089" s="11" customFormat="true" ht="10.95" hidden="false" customHeight="true" outlineLevel="0" collapsed="false">
      <c r="A10089" s="16" t="n">
        <v>45216</v>
      </c>
      <c r="B10089" s="17" t="s">
        <v>3861</v>
      </c>
      <c r="C10089" s="17" t="s">
        <v>3752</v>
      </c>
      <c r="D10089" s="17" t="s">
        <v>1407</v>
      </c>
      <c r="E10089" s="17" t="s">
        <v>3975</v>
      </c>
      <c r="F10089" s="17"/>
      <c r="G10089" s="18" t="n">
        <v>0</v>
      </c>
      <c r="H10089" s="18" t="n">
        <v>81.88</v>
      </c>
      <c r="I10089" s="18" t="n">
        <f aca="false">((I10088 + G10089) - H10089)</f>
        <v>48644.4999999999</v>
      </c>
      <c r="J10089" s="18" t="n">
        <v>0</v>
      </c>
      <c r="K10089" s="19" t="n">
        <v>0</v>
      </c>
      <c r="L10089" s="17"/>
    </row>
    <row r="10090" s="11" customFormat="true" ht="10.95" hidden="false" customHeight="true" outlineLevel="0" collapsed="false">
      <c r="A10090" s="16" t="n">
        <v>45217</v>
      </c>
      <c r="B10090" s="17" t="s">
        <v>3861</v>
      </c>
      <c r="C10090" s="17" t="s">
        <v>3752</v>
      </c>
      <c r="D10090" s="17" t="s">
        <v>2895</v>
      </c>
      <c r="E10090" s="17" t="s">
        <v>2900</v>
      </c>
      <c r="F10090" s="17" t="s">
        <v>2972</v>
      </c>
      <c r="G10090" s="18" t="n">
        <v>991.76</v>
      </c>
      <c r="H10090" s="18" t="n">
        <v>0</v>
      </c>
      <c r="I10090" s="18" t="n">
        <f aca="false">((I10089 + G10090) - H10090)</f>
        <v>49636.2599999999</v>
      </c>
      <c r="J10090" s="18" t="n">
        <v>0</v>
      </c>
      <c r="K10090" s="19" t="n">
        <v>0</v>
      </c>
      <c r="L10090" s="17"/>
    </row>
    <row r="10091" s="11" customFormat="true" ht="10.95" hidden="false" customHeight="true" outlineLevel="0" collapsed="false">
      <c r="A10091" s="16" t="n">
        <v>45217</v>
      </c>
      <c r="B10091" s="17" t="s">
        <v>3861</v>
      </c>
      <c r="C10091" s="17" t="s">
        <v>3752</v>
      </c>
      <c r="D10091" s="17" t="s">
        <v>2895</v>
      </c>
      <c r="E10091" s="17" t="s">
        <v>2900</v>
      </c>
      <c r="F10091" s="17" t="s">
        <v>2973</v>
      </c>
      <c r="G10091" s="18" t="n">
        <v>262.41</v>
      </c>
      <c r="H10091" s="18" t="n">
        <v>0</v>
      </c>
      <c r="I10091" s="18" t="n">
        <f aca="false">((I10090 + G10091) - H10091)</f>
        <v>49898.6699999999</v>
      </c>
      <c r="J10091" s="18" t="n">
        <v>0</v>
      </c>
      <c r="K10091" s="19" t="n">
        <v>0</v>
      </c>
      <c r="L10091" s="17"/>
    </row>
    <row r="10092" s="11" customFormat="true" ht="10.95" hidden="false" customHeight="true" outlineLevel="0" collapsed="false">
      <c r="A10092" s="16" t="n">
        <v>45217</v>
      </c>
      <c r="B10092" s="17" t="s">
        <v>3861</v>
      </c>
      <c r="C10092" s="17" t="s">
        <v>3752</v>
      </c>
      <c r="D10092" s="17" t="s">
        <v>2895</v>
      </c>
      <c r="E10092" s="17" t="s">
        <v>2925</v>
      </c>
      <c r="F10092" s="17" t="s">
        <v>2974</v>
      </c>
      <c r="G10092" s="18" t="n">
        <v>321.86</v>
      </c>
      <c r="H10092" s="18" t="n">
        <v>0</v>
      </c>
      <c r="I10092" s="18" t="n">
        <f aca="false">((I10091 + G10092) - H10092)</f>
        <v>50220.5299999999</v>
      </c>
      <c r="J10092" s="18" t="n">
        <v>0</v>
      </c>
      <c r="K10092" s="19" t="n">
        <v>0</v>
      </c>
      <c r="L10092" s="17"/>
    </row>
    <row r="10093" s="11" customFormat="true" ht="10.95" hidden="false" customHeight="true" outlineLevel="0" collapsed="false">
      <c r="A10093" s="16" t="n">
        <v>45217</v>
      </c>
      <c r="B10093" s="17" t="s">
        <v>3861</v>
      </c>
      <c r="C10093" s="17" t="s">
        <v>3752</v>
      </c>
      <c r="D10093" s="17" t="s">
        <v>2895</v>
      </c>
      <c r="E10093" s="17" t="s">
        <v>2925</v>
      </c>
      <c r="F10093" s="17" t="s">
        <v>2975</v>
      </c>
      <c r="G10093" s="18" t="n">
        <v>482.78</v>
      </c>
      <c r="H10093" s="18" t="n">
        <v>0</v>
      </c>
      <c r="I10093" s="18" t="n">
        <f aca="false">((I10092 + G10093) - H10093)</f>
        <v>50703.3099999999</v>
      </c>
      <c r="J10093" s="18" t="n">
        <v>0</v>
      </c>
      <c r="K10093" s="19" t="n">
        <v>0</v>
      </c>
      <c r="L10093" s="17"/>
    </row>
    <row r="10094" s="11" customFormat="true" ht="10.95" hidden="false" customHeight="true" outlineLevel="0" collapsed="false">
      <c r="A10094" s="16" t="n">
        <v>45217</v>
      </c>
      <c r="B10094" s="17" t="s">
        <v>3861</v>
      </c>
      <c r="C10094" s="17" t="s">
        <v>3752</v>
      </c>
      <c r="D10094" s="17" t="s">
        <v>2895</v>
      </c>
      <c r="E10094" s="17" t="s">
        <v>2925</v>
      </c>
      <c r="F10094" s="17" t="s">
        <v>2976</v>
      </c>
      <c r="G10094" s="18" t="n">
        <v>482.78</v>
      </c>
      <c r="H10094" s="18" t="n">
        <v>0</v>
      </c>
      <c r="I10094" s="18" t="n">
        <f aca="false">((I10093 + G10094) - H10094)</f>
        <v>51186.0899999999</v>
      </c>
      <c r="J10094" s="18" t="n">
        <v>0</v>
      </c>
      <c r="K10094" s="19" t="n">
        <v>0</v>
      </c>
      <c r="L10094" s="17"/>
    </row>
    <row r="10095" s="11" customFormat="true" ht="10.95" hidden="false" customHeight="true" outlineLevel="0" collapsed="false">
      <c r="A10095" s="16" t="n">
        <v>45217</v>
      </c>
      <c r="B10095" s="17" t="s">
        <v>3861</v>
      </c>
      <c r="C10095" s="17" t="s">
        <v>3752</v>
      </c>
      <c r="D10095" s="17" t="s">
        <v>2895</v>
      </c>
      <c r="E10095" s="17" t="s">
        <v>2925</v>
      </c>
      <c r="F10095" s="17" t="s">
        <v>2977</v>
      </c>
      <c r="G10095" s="18" t="n">
        <v>482.78</v>
      </c>
      <c r="H10095" s="18" t="n">
        <v>0</v>
      </c>
      <c r="I10095" s="18" t="n">
        <f aca="false">((I10094 + G10095) - H10095)</f>
        <v>51668.8699999999</v>
      </c>
      <c r="J10095" s="18" t="n">
        <v>0</v>
      </c>
      <c r="K10095" s="19" t="n">
        <v>0</v>
      </c>
      <c r="L10095" s="17"/>
    </row>
    <row r="10096" s="11" customFormat="true" ht="10.95" hidden="false" customHeight="true" outlineLevel="0" collapsed="false">
      <c r="A10096" s="16" t="n">
        <v>45217</v>
      </c>
      <c r="B10096" s="17" t="s">
        <v>3861</v>
      </c>
      <c r="C10096" s="17" t="s">
        <v>3752</v>
      </c>
      <c r="D10096" s="17" t="s">
        <v>1407</v>
      </c>
      <c r="E10096" s="17" t="s">
        <v>3900</v>
      </c>
      <c r="F10096" s="17"/>
      <c r="G10096" s="18" t="n">
        <v>0</v>
      </c>
      <c r="H10096" s="18" t="n">
        <v>14.99</v>
      </c>
      <c r="I10096" s="18" t="n">
        <f aca="false">((I10095 + G10096) - H10096)</f>
        <v>51653.8799999999</v>
      </c>
      <c r="J10096" s="18" t="n">
        <v>0</v>
      </c>
      <c r="K10096" s="19" t="n">
        <v>0</v>
      </c>
      <c r="L10096" s="17"/>
    </row>
    <row r="10097" s="11" customFormat="true" ht="10.95" hidden="false" customHeight="true" outlineLevel="0" collapsed="false">
      <c r="A10097" s="16" t="n">
        <v>45217</v>
      </c>
      <c r="B10097" s="17" t="s">
        <v>3861</v>
      </c>
      <c r="C10097" s="17" t="s">
        <v>3752</v>
      </c>
      <c r="D10097" s="17" t="s">
        <v>1407</v>
      </c>
      <c r="E10097" s="17" t="s">
        <v>3881</v>
      </c>
      <c r="F10097" s="17"/>
      <c r="G10097" s="18" t="n">
        <v>0</v>
      </c>
      <c r="H10097" s="18" t="n">
        <v>140</v>
      </c>
      <c r="I10097" s="18" t="n">
        <f aca="false">((I10096 + G10097) - H10097)</f>
        <v>51513.8799999999</v>
      </c>
      <c r="J10097" s="18" t="n">
        <v>0</v>
      </c>
      <c r="K10097" s="19" t="n">
        <v>0</v>
      </c>
      <c r="L10097" s="17"/>
    </row>
    <row r="10098" s="11" customFormat="true" ht="10.95" hidden="false" customHeight="true" outlineLevel="0" collapsed="false">
      <c r="A10098" s="16" t="n">
        <v>45217</v>
      </c>
      <c r="B10098" s="17" t="s">
        <v>3861</v>
      </c>
      <c r="C10098" s="17" t="s">
        <v>3752</v>
      </c>
      <c r="D10098" s="17" t="s">
        <v>1407</v>
      </c>
      <c r="E10098" s="17" t="s">
        <v>3879</v>
      </c>
      <c r="F10098" s="17"/>
      <c r="G10098" s="18" t="n">
        <v>0</v>
      </c>
      <c r="H10098" s="18" t="n">
        <v>1207</v>
      </c>
      <c r="I10098" s="18" t="n">
        <f aca="false">((I10097 + G10098) - H10098)</f>
        <v>50306.8799999999</v>
      </c>
      <c r="J10098" s="18" t="n">
        <v>0</v>
      </c>
      <c r="K10098" s="19" t="n">
        <v>0</v>
      </c>
      <c r="L10098" s="17"/>
    </row>
    <row r="10099" s="11" customFormat="true" ht="10.95" hidden="false" customHeight="true" outlineLevel="0" collapsed="false">
      <c r="A10099" s="16" t="n">
        <v>45217</v>
      </c>
      <c r="B10099" s="17" t="s">
        <v>3861</v>
      </c>
      <c r="C10099" s="17" t="s">
        <v>3752</v>
      </c>
      <c r="D10099" s="17" t="s">
        <v>1407</v>
      </c>
      <c r="E10099" s="17" t="s">
        <v>3880</v>
      </c>
      <c r="F10099" s="17"/>
      <c r="G10099" s="18" t="n">
        <v>0</v>
      </c>
      <c r="H10099" s="18" t="n">
        <v>1207</v>
      </c>
      <c r="I10099" s="18" t="n">
        <f aca="false">((I10098 + G10099) - H10099)</f>
        <v>49099.8799999999</v>
      </c>
      <c r="J10099" s="18" t="n">
        <v>0</v>
      </c>
      <c r="K10099" s="19" t="n">
        <v>0</v>
      </c>
      <c r="L10099" s="17"/>
    </row>
    <row r="10100" s="11" customFormat="true" ht="10.95" hidden="false" customHeight="true" outlineLevel="0" collapsed="false">
      <c r="A10100" s="16" t="n">
        <v>45217</v>
      </c>
      <c r="B10100" s="17" t="s">
        <v>3861</v>
      </c>
      <c r="C10100" s="17" t="s">
        <v>3752</v>
      </c>
      <c r="D10100" s="17" t="s">
        <v>1407</v>
      </c>
      <c r="E10100" s="17" t="s">
        <v>3808</v>
      </c>
      <c r="F10100" s="17"/>
      <c r="G10100" s="18" t="n">
        <v>0</v>
      </c>
      <c r="H10100" s="18" t="n">
        <v>1705.92</v>
      </c>
      <c r="I10100" s="18" t="n">
        <f aca="false">((I10099 + G10100) - H10100)</f>
        <v>47393.9599999999</v>
      </c>
      <c r="J10100" s="18" t="n">
        <v>0</v>
      </c>
      <c r="K10100" s="19" t="n">
        <v>0</v>
      </c>
      <c r="L10100" s="17"/>
    </row>
    <row r="10101" s="11" customFormat="true" ht="10.95" hidden="false" customHeight="true" outlineLevel="0" collapsed="false">
      <c r="A10101" s="16" t="n">
        <v>45217</v>
      </c>
      <c r="B10101" s="17" t="s">
        <v>3861</v>
      </c>
      <c r="C10101" s="17" t="s">
        <v>3752</v>
      </c>
      <c r="D10101" s="17" t="s">
        <v>1407</v>
      </c>
      <c r="E10101" s="17" t="s">
        <v>3901</v>
      </c>
      <c r="F10101" s="17"/>
      <c r="G10101" s="18" t="n">
        <v>0</v>
      </c>
      <c r="H10101" s="18" t="n">
        <v>85.77</v>
      </c>
      <c r="I10101" s="18" t="n">
        <f aca="false">((I10100 + G10101) - H10101)</f>
        <v>47308.1899999999</v>
      </c>
      <c r="J10101" s="18" t="n">
        <v>0</v>
      </c>
      <c r="K10101" s="19" t="n">
        <v>0</v>
      </c>
      <c r="L10101" s="17"/>
    </row>
    <row r="10102" s="11" customFormat="true" ht="10.95" hidden="false" customHeight="true" outlineLevel="0" collapsed="false">
      <c r="A10102" s="16" t="n">
        <v>45217</v>
      </c>
      <c r="B10102" s="17" t="s">
        <v>3861</v>
      </c>
      <c r="C10102" s="17" t="s">
        <v>3752</v>
      </c>
      <c r="D10102" s="17" t="s">
        <v>1407</v>
      </c>
      <c r="E10102" s="17" t="s">
        <v>3900</v>
      </c>
      <c r="F10102" s="17"/>
      <c r="G10102" s="18" t="n">
        <v>0</v>
      </c>
      <c r="H10102" s="18" t="n">
        <v>100</v>
      </c>
      <c r="I10102" s="18" t="n">
        <f aca="false">((I10101 + G10102) - H10102)</f>
        <v>47208.1899999999</v>
      </c>
      <c r="J10102" s="18" t="n">
        <v>0</v>
      </c>
      <c r="K10102" s="19" t="n">
        <v>0</v>
      </c>
      <c r="L10102" s="17"/>
    </row>
    <row r="10103" s="11" customFormat="true" ht="10.95" hidden="false" customHeight="true" outlineLevel="0" collapsed="false">
      <c r="A10103" s="16" t="n">
        <v>45217</v>
      </c>
      <c r="B10103" s="17" t="s">
        <v>3861</v>
      </c>
      <c r="C10103" s="17" t="s">
        <v>3752</v>
      </c>
      <c r="D10103" s="17" t="s">
        <v>1407</v>
      </c>
      <c r="E10103" s="17" t="s">
        <v>2747</v>
      </c>
      <c r="F10103" s="17"/>
      <c r="G10103" s="18" t="n">
        <v>0</v>
      </c>
      <c r="H10103" s="18" t="n">
        <v>30</v>
      </c>
      <c r="I10103" s="18" t="n">
        <f aca="false">((I10102 + G10103) - H10103)</f>
        <v>47178.1899999999</v>
      </c>
      <c r="J10103" s="18" t="n">
        <v>0</v>
      </c>
      <c r="K10103" s="19" t="n">
        <v>0</v>
      </c>
      <c r="L10103" s="17"/>
    </row>
    <row r="10104" s="11" customFormat="true" ht="10.95" hidden="false" customHeight="true" outlineLevel="0" collapsed="false">
      <c r="A10104" s="16" t="n">
        <v>45217</v>
      </c>
      <c r="B10104" s="17" t="s">
        <v>3861</v>
      </c>
      <c r="C10104" s="17" t="s">
        <v>3752</v>
      </c>
      <c r="D10104" s="17" t="s">
        <v>2903</v>
      </c>
      <c r="E10104" s="17" t="s">
        <v>3643</v>
      </c>
      <c r="F10104" s="17" t="s">
        <v>1454</v>
      </c>
      <c r="G10104" s="18" t="n">
        <v>0</v>
      </c>
      <c r="H10104" s="18" t="n">
        <v>1183.82</v>
      </c>
      <c r="I10104" s="18" t="n">
        <f aca="false">((I10103 + G10104) - H10104)</f>
        <v>45994.3699999999</v>
      </c>
      <c r="J10104" s="18" t="n">
        <v>0</v>
      </c>
      <c r="K10104" s="19" t="n">
        <v>0</v>
      </c>
      <c r="L10104" s="17"/>
    </row>
    <row r="10105" s="11" customFormat="true" ht="10.95" hidden="false" customHeight="true" outlineLevel="0" collapsed="false">
      <c r="A10105" s="16" t="n">
        <v>45218</v>
      </c>
      <c r="B10105" s="17" t="s">
        <v>3861</v>
      </c>
      <c r="C10105" s="17" t="s">
        <v>3752</v>
      </c>
      <c r="D10105" s="17" t="s">
        <v>2903</v>
      </c>
      <c r="E10105" s="17" t="s">
        <v>3616</v>
      </c>
      <c r="F10105" s="17" t="s">
        <v>3268</v>
      </c>
      <c r="G10105" s="18" t="n">
        <v>0</v>
      </c>
      <c r="H10105" s="18" t="n">
        <v>3063.5</v>
      </c>
      <c r="I10105" s="18" t="n">
        <f aca="false">((I10104 + G10105) - H10105)</f>
        <v>42930.8699999999</v>
      </c>
      <c r="J10105" s="18" t="n">
        <v>0</v>
      </c>
      <c r="K10105" s="19" t="n">
        <v>0</v>
      </c>
      <c r="L10105" s="17"/>
    </row>
    <row r="10106" s="11" customFormat="true" ht="10.95" hidden="false" customHeight="true" outlineLevel="0" collapsed="false">
      <c r="A10106" s="16" t="n">
        <v>45218</v>
      </c>
      <c r="B10106" s="17" t="s">
        <v>3861</v>
      </c>
      <c r="C10106" s="17" t="s">
        <v>3752</v>
      </c>
      <c r="D10106" s="17" t="s">
        <v>2903</v>
      </c>
      <c r="E10106" s="17" t="s">
        <v>2978</v>
      </c>
      <c r="F10106" s="17" t="s">
        <v>2334</v>
      </c>
      <c r="G10106" s="18" t="n">
        <v>0</v>
      </c>
      <c r="H10106" s="18" t="n">
        <v>1026.99</v>
      </c>
      <c r="I10106" s="18" t="n">
        <f aca="false">((I10105 + G10106) - H10106)</f>
        <v>41903.8799999999</v>
      </c>
      <c r="J10106" s="18" t="n">
        <v>0</v>
      </c>
      <c r="K10106" s="19" t="n">
        <v>0</v>
      </c>
      <c r="L10106" s="17"/>
    </row>
    <row r="10107" s="11" customFormat="true" ht="10.95" hidden="false" customHeight="true" outlineLevel="0" collapsed="false">
      <c r="A10107" s="16" t="n">
        <v>45218</v>
      </c>
      <c r="B10107" s="17" t="s">
        <v>3861</v>
      </c>
      <c r="C10107" s="17" t="s">
        <v>3752</v>
      </c>
      <c r="D10107" s="17" t="s">
        <v>1407</v>
      </c>
      <c r="E10107" s="17" t="s">
        <v>3863</v>
      </c>
      <c r="F10107" s="17"/>
      <c r="G10107" s="18" t="n">
        <v>0</v>
      </c>
      <c r="H10107" s="18" t="n">
        <v>30.81</v>
      </c>
      <c r="I10107" s="18" t="n">
        <f aca="false">((I10106 + G10107) - H10107)</f>
        <v>41873.0699999999</v>
      </c>
      <c r="J10107" s="18" t="n">
        <v>0</v>
      </c>
      <c r="K10107" s="19" t="n">
        <v>0</v>
      </c>
      <c r="L10107" s="17"/>
    </row>
    <row r="10108" s="11" customFormat="true" ht="10.95" hidden="false" customHeight="true" outlineLevel="0" collapsed="false">
      <c r="A10108" s="16" t="n">
        <v>45218</v>
      </c>
      <c r="B10108" s="17" t="s">
        <v>3861</v>
      </c>
      <c r="C10108" s="17" t="s">
        <v>3752</v>
      </c>
      <c r="D10108" s="17" t="s">
        <v>1407</v>
      </c>
      <c r="E10108" s="17" t="s">
        <v>3902</v>
      </c>
      <c r="F10108" s="17"/>
      <c r="G10108" s="18" t="n">
        <v>0</v>
      </c>
      <c r="H10108" s="18" t="n">
        <v>272.5</v>
      </c>
      <c r="I10108" s="18" t="n">
        <f aca="false">((I10107 + G10108) - H10108)</f>
        <v>41600.5699999999</v>
      </c>
      <c r="J10108" s="18" t="n">
        <v>0</v>
      </c>
      <c r="K10108" s="19" t="n">
        <v>0</v>
      </c>
      <c r="L10108" s="17"/>
    </row>
    <row r="10109" s="11" customFormat="true" ht="10.95" hidden="false" customHeight="true" outlineLevel="0" collapsed="false">
      <c r="A10109" s="16" t="n">
        <v>45218</v>
      </c>
      <c r="B10109" s="17" t="s">
        <v>3861</v>
      </c>
      <c r="C10109" s="17" t="s">
        <v>3752</v>
      </c>
      <c r="D10109" s="17" t="s">
        <v>3753</v>
      </c>
      <c r="E10109" s="17" t="s">
        <v>4060</v>
      </c>
      <c r="F10109" s="17" t="s">
        <v>4061</v>
      </c>
      <c r="G10109" s="18" t="n">
        <v>0</v>
      </c>
      <c r="H10109" s="18" t="n">
        <v>1618.12</v>
      </c>
      <c r="I10109" s="18" t="n">
        <f aca="false">((I10108 + G10109) - H10109)</f>
        <v>39982.4499999999</v>
      </c>
      <c r="J10109" s="18" t="n">
        <v>0</v>
      </c>
      <c r="K10109" s="19" t="n">
        <v>0</v>
      </c>
      <c r="L10109" s="17"/>
    </row>
    <row r="10110" s="11" customFormat="true" ht="10.95" hidden="false" customHeight="true" outlineLevel="0" collapsed="false">
      <c r="A10110" s="16" t="n">
        <v>45218</v>
      </c>
      <c r="B10110" s="17" t="s">
        <v>3861</v>
      </c>
      <c r="C10110" s="17" t="s">
        <v>3752</v>
      </c>
      <c r="D10110" s="17" t="s">
        <v>1276</v>
      </c>
      <c r="E10110" s="17" t="s">
        <v>3900</v>
      </c>
      <c r="F10110" s="17"/>
      <c r="G10110" s="18" t="n">
        <v>15.75</v>
      </c>
      <c r="H10110" s="18" t="n">
        <v>0</v>
      </c>
      <c r="I10110" s="18" t="n">
        <f aca="false">((I10109 + G10110) - H10110)</f>
        <v>39998.1999999999</v>
      </c>
      <c r="J10110" s="18" t="n">
        <v>0</v>
      </c>
      <c r="K10110" s="19" t="n">
        <v>0</v>
      </c>
      <c r="L10110" s="17"/>
    </row>
    <row r="10111" s="11" customFormat="true" ht="10.95" hidden="false" customHeight="true" outlineLevel="0" collapsed="false">
      <c r="A10111" s="16" t="n">
        <v>45218</v>
      </c>
      <c r="B10111" s="17" t="s">
        <v>3861</v>
      </c>
      <c r="C10111" s="17" t="s">
        <v>3752</v>
      </c>
      <c r="D10111" s="17" t="s">
        <v>2895</v>
      </c>
      <c r="E10111" s="17" t="s">
        <v>2922</v>
      </c>
      <c r="F10111" s="17" t="s">
        <v>2979</v>
      </c>
      <c r="G10111" s="18" t="n">
        <v>5845.02</v>
      </c>
      <c r="H10111" s="18" t="n">
        <v>0</v>
      </c>
      <c r="I10111" s="18" t="n">
        <f aca="false">((I10110 + G10111) - H10111)</f>
        <v>45843.2199999999</v>
      </c>
      <c r="J10111" s="18" t="n">
        <v>0</v>
      </c>
      <c r="K10111" s="19" t="n">
        <v>0</v>
      </c>
      <c r="L10111" s="17"/>
    </row>
    <row r="10112" s="11" customFormat="true" ht="10.95" hidden="false" customHeight="true" outlineLevel="0" collapsed="false">
      <c r="A10112" s="16" t="n">
        <v>45219</v>
      </c>
      <c r="B10112" s="17" t="s">
        <v>3861</v>
      </c>
      <c r="C10112" s="17" t="s">
        <v>3752</v>
      </c>
      <c r="D10112" s="17" t="s">
        <v>1276</v>
      </c>
      <c r="E10112" s="17" t="s">
        <v>3642</v>
      </c>
      <c r="F10112" s="17"/>
      <c r="G10112" s="18" t="n">
        <v>780</v>
      </c>
      <c r="H10112" s="18" t="n">
        <v>0</v>
      </c>
      <c r="I10112" s="18" t="n">
        <f aca="false">((I10111 + G10112) - H10112)</f>
        <v>46623.2199999999</v>
      </c>
      <c r="J10112" s="18" t="n">
        <v>0</v>
      </c>
      <c r="K10112" s="19" t="n">
        <v>0</v>
      </c>
      <c r="L10112" s="17"/>
    </row>
    <row r="10113" s="11" customFormat="true" ht="10.95" hidden="false" customHeight="true" outlineLevel="0" collapsed="false">
      <c r="A10113" s="16" t="n">
        <v>45220</v>
      </c>
      <c r="B10113" s="17" t="s">
        <v>3861</v>
      </c>
      <c r="C10113" s="17" t="s">
        <v>3752</v>
      </c>
      <c r="D10113" s="17" t="s">
        <v>1407</v>
      </c>
      <c r="E10113" s="17" t="s">
        <v>3863</v>
      </c>
      <c r="F10113" s="17"/>
      <c r="G10113" s="18" t="n">
        <v>0</v>
      </c>
      <c r="H10113" s="18" t="n">
        <v>0.95</v>
      </c>
      <c r="I10113" s="18" t="n">
        <f aca="false">((I10112 + G10113) - H10113)</f>
        <v>46622.2699999999</v>
      </c>
      <c r="J10113" s="18" t="n">
        <v>0</v>
      </c>
      <c r="K10113" s="19" t="n">
        <v>0</v>
      </c>
      <c r="L10113" s="17"/>
    </row>
    <row r="10114" s="11" customFormat="true" ht="10.95" hidden="false" customHeight="true" outlineLevel="0" collapsed="false">
      <c r="A10114" s="16" t="n">
        <v>45220</v>
      </c>
      <c r="B10114" s="17" t="s">
        <v>3861</v>
      </c>
      <c r="C10114" s="17" t="s">
        <v>3752</v>
      </c>
      <c r="D10114" s="17" t="s">
        <v>1407</v>
      </c>
      <c r="E10114" s="17" t="s">
        <v>3774</v>
      </c>
      <c r="F10114" s="17"/>
      <c r="G10114" s="18" t="n">
        <v>0</v>
      </c>
      <c r="H10114" s="18" t="n">
        <v>31.62</v>
      </c>
      <c r="I10114" s="18" t="n">
        <f aca="false">((I10113 + G10114) - H10114)</f>
        <v>46590.6499999999</v>
      </c>
      <c r="J10114" s="18" t="n">
        <v>0</v>
      </c>
      <c r="K10114" s="19" t="n">
        <v>0</v>
      </c>
      <c r="L10114" s="17"/>
    </row>
    <row r="10115" s="11" customFormat="true" ht="10.95" hidden="false" customHeight="true" outlineLevel="0" collapsed="false">
      <c r="A10115" s="16" t="n">
        <v>45220</v>
      </c>
      <c r="B10115" s="17" t="s">
        <v>3861</v>
      </c>
      <c r="C10115" s="17" t="s">
        <v>3752</v>
      </c>
      <c r="D10115" s="17" t="s">
        <v>1407</v>
      </c>
      <c r="E10115" s="17" t="s">
        <v>3967</v>
      </c>
      <c r="F10115" s="17"/>
      <c r="G10115" s="18" t="n">
        <v>0</v>
      </c>
      <c r="H10115" s="18" t="n">
        <v>48</v>
      </c>
      <c r="I10115" s="18" t="n">
        <f aca="false">((I10114 + G10115) - H10115)</f>
        <v>46542.6499999999</v>
      </c>
      <c r="J10115" s="18" t="n">
        <v>0</v>
      </c>
      <c r="K10115" s="19" t="n">
        <v>0</v>
      </c>
      <c r="L10115" s="17"/>
    </row>
    <row r="10116" s="11" customFormat="true" ht="10.95" hidden="false" customHeight="true" outlineLevel="0" collapsed="false">
      <c r="A10116" s="16" t="n">
        <v>45220</v>
      </c>
      <c r="B10116" s="17" t="s">
        <v>3861</v>
      </c>
      <c r="C10116" s="17" t="s">
        <v>3752</v>
      </c>
      <c r="D10116" s="17" t="s">
        <v>2903</v>
      </c>
      <c r="E10116" s="17" t="s">
        <v>3643</v>
      </c>
      <c r="F10116" s="17" t="s">
        <v>1454</v>
      </c>
      <c r="G10116" s="18" t="n">
        <v>0</v>
      </c>
      <c r="H10116" s="18" t="n">
        <v>550</v>
      </c>
      <c r="I10116" s="18" t="n">
        <f aca="false">((I10115 + G10116) - H10116)</f>
        <v>45992.6499999999</v>
      </c>
      <c r="J10116" s="18" t="n">
        <v>0</v>
      </c>
      <c r="K10116" s="19" t="n">
        <v>0</v>
      </c>
      <c r="L10116" s="17"/>
    </row>
    <row r="10117" s="11" customFormat="true" ht="10.95" hidden="false" customHeight="true" outlineLevel="0" collapsed="false">
      <c r="A10117" s="16" t="n">
        <v>45222</v>
      </c>
      <c r="B10117" s="17" t="s">
        <v>3861</v>
      </c>
      <c r="C10117" s="17" t="s">
        <v>3752</v>
      </c>
      <c r="D10117" s="17" t="s">
        <v>2895</v>
      </c>
      <c r="E10117" s="17" t="s">
        <v>3453</v>
      </c>
      <c r="F10117" s="17" t="s">
        <v>4062</v>
      </c>
      <c r="G10117" s="18" t="n">
        <v>93.5</v>
      </c>
      <c r="H10117" s="18" t="n">
        <v>0</v>
      </c>
      <c r="I10117" s="18" t="n">
        <f aca="false">((I10116 + G10117) - H10117)</f>
        <v>46086.1499999999</v>
      </c>
      <c r="J10117" s="18" t="n">
        <v>0</v>
      </c>
      <c r="K10117" s="19" t="n">
        <v>0</v>
      </c>
      <c r="L10117" s="17"/>
    </row>
    <row r="10118" s="11" customFormat="true" ht="10.95" hidden="false" customHeight="true" outlineLevel="0" collapsed="false">
      <c r="A10118" s="16" t="n">
        <v>45222</v>
      </c>
      <c r="B10118" s="17" t="s">
        <v>3861</v>
      </c>
      <c r="C10118" s="17" t="s">
        <v>3752</v>
      </c>
      <c r="D10118" s="17" t="s">
        <v>1407</v>
      </c>
      <c r="E10118" s="17" t="s">
        <v>4063</v>
      </c>
      <c r="F10118" s="17"/>
      <c r="G10118" s="18" t="n">
        <v>0</v>
      </c>
      <c r="H10118" s="18" t="n">
        <v>5000</v>
      </c>
      <c r="I10118" s="18" t="n">
        <f aca="false">((I10117 + G10118) - H10118)</f>
        <v>41086.1499999999</v>
      </c>
      <c r="J10118" s="18" t="n">
        <v>0</v>
      </c>
      <c r="K10118" s="19" t="n">
        <v>0</v>
      </c>
      <c r="L10118" s="17"/>
    </row>
    <row r="10119" s="11" customFormat="true" ht="10.95" hidden="false" customHeight="true" outlineLevel="0" collapsed="false">
      <c r="A10119" s="16" t="n">
        <v>45223</v>
      </c>
      <c r="B10119" s="17" t="s">
        <v>3861</v>
      </c>
      <c r="C10119" s="17" t="s">
        <v>3752</v>
      </c>
      <c r="D10119" s="17" t="s">
        <v>2895</v>
      </c>
      <c r="E10119" s="17" t="s">
        <v>3509</v>
      </c>
      <c r="F10119" s="17" t="s">
        <v>1314</v>
      </c>
      <c r="G10119" s="18" t="n">
        <v>264</v>
      </c>
      <c r="H10119" s="18" t="n">
        <v>0</v>
      </c>
      <c r="I10119" s="18" t="n">
        <f aca="false">((I10118 + G10119) - H10119)</f>
        <v>41350.1499999999</v>
      </c>
      <c r="J10119" s="18" t="n">
        <v>0</v>
      </c>
      <c r="K10119" s="19" t="n">
        <v>0</v>
      </c>
      <c r="L10119" s="17"/>
    </row>
    <row r="10120" s="11" customFormat="true" ht="10.95" hidden="false" customHeight="true" outlineLevel="0" collapsed="false">
      <c r="A10120" s="16" t="n">
        <v>45223</v>
      </c>
      <c r="B10120" s="17" t="s">
        <v>3861</v>
      </c>
      <c r="C10120" s="17" t="s">
        <v>3752</v>
      </c>
      <c r="D10120" s="17" t="s">
        <v>1276</v>
      </c>
      <c r="E10120" s="17" t="s">
        <v>3508</v>
      </c>
      <c r="F10120" s="17" t="s">
        <v>1314</v>
      </c>
      <c r="G10120" s="18" t="n">
        <v>4.62</v>
      </c>
      <c r="H10120" s="18" t="n">
        <v>0</v>
      </c>
      <c r="I10120" s="18" t="n">
        <f aca="false">((I10119 + G10120) - H10120)</f>
        <v>41354.7699999999</v>
      </c>
      <c r="J10120" s="18" t="n">
        <v>0</v>
      </c>
      <c r="K10120" s="19" t="n">
        <v>0</v>
      </c>
      <c r="L10120" s="17"/>
    </row>
    <row r="10121" s="11" customFormat="true" ht="10.95" hidden="false" customHeight="true" outlineLevel="0" collapsed="false">
      <c r="A10121" s="16" t="n">
        <v>45223</v>
      </c>
      <c r="B10121" s="17" t="s">
        <v>3861</v>
      </c>
      <c r="C10121" s="17" t="s">
        <v>3752</v>
      </c>
      <c r="D10121" s="17" t="s">
        <v>1407</v>
      </c>
      <c r="E10121" s="17" t="s">
        <v>3862</v>
      </c>
      <c r="F10121" s="17" t="s">
        <v>1314</v>
      </c>
      <c r="G10121" s="18" t="n">
        <v>0</v>
      </c>
      <c r="H10121" s="18" t="n">
        <v>5.01</v>
      </c>
      <c r="I10121" s="18" t="n">
        <f aca="false">((I10120 + G10121) - H10121)</f>
        <v>41349.7599999999</v>
      </c>
      <c r="J10121" s="18" t="n">
        <v>0</v>
      </c>
      <c r="K10121" s="19" t="n">
        <v>0</v>
      </c>
      <c r="L10121" s="17"/>
    </row>
    <row r="10122" s="11" customFormat="true" ht="10.95" hidden="false" customHeight="true" outlineLevel="0" collapsed="false">
      <c r="A10122" s="16" t="n">
        <v>45223</v>
      </c>
      <c r="B10122" s="17" t="s">
        <v>3861</v>
      </c>
      <c r="C10122" s="17" t="s">
        <v>3752</v>
      </c>
      <c r="D10122" s="17" t="s">
        <v>2895</v>
      </c>
      <c r="E10122" s="17" t="s">
        <v>3505</v>
      </c>
      <c r="F10122" s="17" t="s">
        <v>4064</v>
      </c>
      <c r="G10122" s="18" t="n">
        <v>157.3</v>
      </c>
      <c r="H10122" s="18" t="n">
        <v>0</v>
      </c>
      <c r="I10122" s="18" t="n">
        <f aca="false">((I10121 + G10122) - H10122)</f>
        <v>41507.0599999999</v>
      </c>
      <c r="J10122" s="18" t="n">
        <v>0</v>
      </c>
      <c r="K10122" s="19" t="n">
        <v>0</v>
      </c>
      <c r="L10122" s="17"/>
    </row>
    <row r="10123" s="11" customFormat="true" ht="10.95" hidden="false" customHeight="true" outlineLevel="0" collapsed="false">
      <c r="A10123" s="16" t="n">
        <v>45223</v>
      </c>
      <c r="B10123" s="17" t="s">
        <v>3861</v>
      </c>
      <c r="C10123" s="17" t="s">
        <v>3752</v>
      </c>
      <c r="D10123" s="17" t="s">
        <v>1407</v>
      </c>
      <c r="E10123" s="17" t="s">
        <v>3863</v>
      </c>
      <c r="F10123" s="17"/>
      <c r="G10123" s="18" t="n">
        <v>0</v>
      </c>
      <c r="H10123" s="18" t="n">
        <v>0.38</v>
      </c>
      <c r="I10123" s="18" t="n">
        <f aca="false">((I10122 + G10123) - H10123)</f>
        <v>41506.6799999999</v>
      </c>
      <c r="J10123" s="18" t="n">
        <v>0</v>
      </c>
      <c r="K10123" s="19" t="n">
        <v>0</v>
      </c>
      <c r="L10123" s="17"/>
    </row>
    <row r="10124" s="11" customFormat="true" ht="10.95" hidden="false" customHeight="true" outlineLevel="0" collapsed="false">
      <c r="A10124" s="16" t="n">
        <v>45223</v>
      </c>
      <c r="B10124" s="17" t="s">
        <v>3861</v>
      </c>
      <c r="C10124" s="17" t="s">
        <v>3752</v>
      </c>
      <c r="D10124" s="17" t="s">
        <v>1407</v>
      </c>
      <c r="E10124" s="17" t="s">
        <v>3863</v>
      </c>
      <c r="F10124" s="17"/>
      <c r="G10124" s="18" t="n">
        <v>0</v>
      </c>
      <c r="H10124" s="18" t="n">
        <v>8.91</v>
      </c>
      <c r="I10124" s="18" t="n">
        <f aca="false">((I10123 + G10124) - H10124)</f>
        <v>41497.7699999999</v>
      </c>
      <c r="J10124" s="18" t="n">
        <v>0</v>
      </c>
      <c r="K10124" s="19" t="n">
        <v>0</v>
      </c>
      <c r="L10124" s="17"/>
    </row>
    <row r="10125" s="11" customFormat="true" ht="10.95" hidden="false" customHeight="true" outlineLevel="0" collapsed="false">
      <c r="A10125" s="16" t="n">
        <v>45223</v>
      </c>
      <c r="B10125" s="17" t="s">
        <v>3861</v>
      </c>
      <c r="C10125" s="17" t="s">
        <v>3752</v>
      </c>
      <c r="D10125" s="17" t="s">
        <v>2903</v>
      </c>
      <c r="E10125" s="17" t="s">
        <v>3644</v>
      </c>
      <c r="F10125" s="17" t="s">
        <v>2340</v>
      </c>
      <c r="G10125" s="18" t="n">
        <v>0</v>
      </c>
      <c r="H10125" s="18" t="n">
        <v>9.02</v>
      </c>
      <c r="I10125" s="18" t="n">
        <f aca="false">((I10124 + G10125) - H10125)</f>
        <v>41488.7499999999</v>
      </c>
      <c r="J10125" s="18" t="n">
        <v>0</v>
      </c>
      <c r="K10125" s="19" t="n">
        <v>0</v>
      </c>
      <c r="L10125" s="17"/>
    </row>
    <row r="10126" s="11" customFormat="true" ht="10.95" hidden="false" customHeight="true" outlineLevel="0" collapsed="false">
      <c r="A10126" s="16" t="n">
        <v>45223</v>
      </c>
      <c r="B10126" s="17" t="s">
        <v>3861</v>
      </c>
      <c r="C10126" s="17" t="s">
        <v>3752</v>
      </c>
      <c r="D10126" s="17" t="s">
        <v>2903</v>
      </c>
      <c r="E10126" s="17" t="s">
        <v>3644</v>
      </c>
      <c r="F10126" s="17" t="s">
        <v>2338</v>
      </c>
      <c r="G10126" s="18" t="n">
        <v>0</v>
      </c>
      <c r="H10126" s="18" t="n">
        <v>24.2</v>
      </c>
      <c r="I10126" s="18" t="n">
        <f aca="false">((I10125 + G10126) - H10126)</f>
        <v>41464.5499999999</v>
      </c>
      <c r="J10126" s="18" t="n">
        <v>0</v>
      </c>
      <c r="K10126" s="19" t="n">
        <v>0</v>
      </c>
      <c r="L10126" s="17"/>
    </row>
    <row r="10127" s="11" customFormat="true" ht="10.95" hidden="false" customHeight="true" outlineLevel="0" collapsed="false">
      <c r="A10127" s="16" t="n">
        <v>45223</v>
      </c>
      <c r="B10127" s="17" t="s">
        <v>3861</v>
      </c>
      <c r="C10127" s="17" t="s">
        <v>3752</v>
      </c>
      <c r="D10127" s="17" t="s">
        <v>2903</v>
      </c>
      <c r="E10127" s="17" t="s">
        <v>3644</v>
      </c>
      <c r="F10127" s="17" t="s">
        <v>2352</v>
      </c>
      <c r="G10127" s="18" t="n">
        <v>0</v>
      </c>
      <c r="H10127" s="18" t="n">
        <v>33.22</v>
      </c>
      <c r="I10127" s="18" t="n">
        <f aca="false">((I10126 + G10127) - H10127)</f>
        <v>41431.3299999999</v>
      </c>
      <c r="J10127" s="18" t="n">
        <v>0</v>
      </c>
      <c r="K10127" s="19" t="n">
        <v>0</v>
      </c>
      <c r="L10127" s="17"/>
    </row>
    <row r="10128" s="11" customFormat="true" ht="10.95" hidden="false" customHeight="true" outlineLevel="0" collapsed="false">
      <c r="A10128" s="16" t="n">
        <v>45223</v>
      </c>
      <c r="B10128" s="17" t="s">
        <v>3861</v>
      </c>
      <c r="C10128" s="17" t="s">
        <v>3752</v>
      </c>
      <c r="D10128" s="17" t="s">
        <v>2903</v>
      </c>
      <c r="E10128" s="17" t="s">
        <v>3644</v>
      </c>
      <c r="F10128" s="17" t="s">
        <v>2350</v>
      </c>
      <c r="G10128" s="18" t="n">
        <v>0</v>
      </c>
      <c r="H10128" s="18" t="n">
        <v>45.32</v>
      </c>
      <c r="I10128" s="18" t="n">
        <f aca="false">((I10127 + G10128) - H10128)</f>
        <v>41386.0099999999</v>
      </c>
      <c r="J10128" s="18" t="n">
        <v>0</v>
      </c>
      <c r="K10128" s="19" t="n">
        <v>0</v>
      </c>
      <c r="L10128" s="17"/>
    </row>
    <row r="10129" s="11" customFormat="true" ht="10.95" hidden="false" customHeight="true" outlineLevel="0" collapsed="false">
      <c r="A10129" s="16" t="n">
        <v>45223</v>
      </c>
      <c r="B10129" s="17" t="s">
        <v>3861</v>
      </c>
      <c r="C10129" s="17" t="s">
        <v>3752</v>
      </c>
      <c r="D10129" s="17" t="s">
        <v>2903</v>
      </c>
      <c r="E10129" s="17" t="s">
        <v>3644</v>
      </c>
      <c r="F10129" s="17" t="s">
        <v>2344</v>
      </c>
      <c r="G10129" s="18" t="n">
        <v>0</v>
      </c>
      <c r="H10129" s="18" t="n">
        <v>60.5</v>
      </c>
      <c r="I10129" s="18" t="n">
        <f aca="false">((I10128 + G10129) - H10129)</f>
        <v>41325.5099999999</v>
      </c>
      <c r="J10129" s="18" t="n">
        <v>0</v>
      </c>
      <c r="K10129" s="19" t="n">
        <v>0</v>
      </c>
      <c r="L10129" s="17"/>
    </row>
    <row r="10130" s="11" customFormat="true" ht="10.95" hidden="false" customHeight="true" outlineLevel="0" collapsed="false">
      <c r="A10130" s="16" t="n">
        <v>45223</v>
      </c>
      <c r="B10130" s="17" t="s">
        <v>3861</v>
      </c>
      <c r="C10130" s="17" t="s">
        <v>3752</v>
      </c>
      <c r="D10130" s="17" t="s">
        <v>2903</v>
      </c>
      <c r="E10130" s="17" t="s">
        <v>3644</v>
      </c>
      <c r="F10130" s="17" t="s">
        <v>2342</v>
      </c>
      <c r="G10130" s="18" t="n">
        <v>0</v>
      </c>
      <c r="H10130" s="18" t="n">
        <v>68.2</v>
      </c>
      <c r="I10130" s="18" t="n">
        <f aca="false">((I10129 + G10130) - H10130)</f>
        <v>41257.3099999999</v>
      </c>
      <c r="J10130" s="18" t="n">
        <v>0</v>
      </c>
      <c r="K10130" s="19" t="n">
        <v>0</v>
      </c>
      <c r="L10130" s="17"/>
    </row>
    <row r="10131" s="11" customFormat="true" ht="10.95" hidden="false" customHeight="true" outlineLevel="0" collapsed="false">
      <c r="A10131" s="16" t="n">
        <v>45223</v>
      </c>
      <c r="B10131" s="17" t="s">
        <v>3861</v>
      </c>
      <c r="C10131" s="17" t="s">
        <v>3752</v>
      </c>
      <c r="D10131" s="17" t="s">
        <v>2903</v>
      </c>
      <c r="E10131" s="17" t="s">
        <v>3644</v>
      </c>
      <c r="F10131" s="17" t="s">
        <v>2348</v>
      </c>
      <c r="G10131" s="18" t="n">
        <v>0</v>
      </c>
      <c r="H10131" s="18" t="n">
        <v>76.56</v>
      </c>
      <c r="I10131" s="18" t="n">
        <f aca="false">((I10130 + G10131) - H10131)</f>
        <v>41180.7499999999</v>
      </c>
      <c r="J10131" s="18" t="n">
        <v>0</v>
      </c>
      <c r="K10131" s="19" t="n">
        <v>0</v>
      </c>
      <c r="L10131" s="17"/>
    </row>
    <row r="10132" s="11" customFormat="true" ht="10.95" hidden="false" customHeight="true" outlineLevel="0" collapsed="false">
      <c r="A10132" s="16" t="n">
        <v>45223</v>
      </c>
      <c r="B10132" s="17" t="s">
        <v>3861</v>
      </c>
      <c r="C10132" s="17" t="s">
        <v>3752</v>
      </c>
      <c r="D10132" s="17" t="s">
        <v>2903</v>
      </c>
      <c r="E10132" s="17" t="s">
        <v>3644</v>
      </c>
      <c r="F10132" s="17" t="s">
        <v>2346</v>
      </c>
      <c r="G10132" s="18" t="n">
        <v>0</v>
      </c>
      <c r="H10132" s="18" t="n">
        <v>219.78</v>
      </c>
      <c r="I10132" s="18" t="n">
        <f aca="false">((I10131 + G10132) - H10132)</f>
        <v>40960.9699999999</v>
      </c>
      <c r="J10132" s="18" t="n">
        <v>0</v>
      </c>
      <c r="K10132" s="19" t="n">
        <v>0</v>
      </c>
      <c r="L10132" s="17"/>
    </row>
    <row r="10133" s="11" customFormat="true" ht="10.95" hidden="false" customHeight="true" outlineLevel="0" collapsed="false">
      <c r="A10133" s="16" t="n">
        <v>45223</v>
      </c>
      <c r="B10133" s="17" t="s">
        <v>3861</v>
      </c>
      <c r="C10133" s="17" t="s">
        <v>3752</v>
      </c>
      <c r="D10133" s="17" t="s">
        <v>1407</v>
      </c>
      <c r="E10133" s="17" t="s">
        <v>3878</v>
      </c>
      <c r="F10133" s="17"/>
      <c r="G10133" s="18" t="n">
        <v>0</v>
      </c>
      <c r="H10133" s="18" t="n">
        <v>1188.2</v>
      </c>
      <c r="I10133" s="18" t="n">
        <f aca="false">((I10132 + G10133) - H10133)</f>
        <v>39772.7699999999</v>
      </c>
      <c r="J10133" s="18" t="n">
        <v>0</v>
      </c>
      <c r="K10133" s="19" t="n">
        <v>0</v>
      </c>
      <c r="L10133" s="17"/>
    </row>
    <row r="10134" s="11" customFormat="true" ht="10.95" hidden="false" customHeight="true" outlineLevel="0" collapsed="false">
      <c r="A10134" s="16" t="n">
        <v>45223</v>
      </c>
      <c r="B10134" s="17" t="s">
        <v>3861</v>
      </c>
      <c r="C10134" s="17" t="s">
        <v>3752</v>
      </c>
      <c r="D10134" s="17" t="s">
        <v>2903</v>
      </c>
      <c r="E10134" s="17" t="s">
        <v>3671</v>
      </c>
      <c r="F10134" s="17" t="s">
        <v>2355</v>
      </c>
      <c r="G10134" s="18" t="n">
        <v>0</v>
      </c>
      <c r="H10134" s="18" t="n">
        <v>97</v>
      </c>
      <c r="I10134" s="18" t="n">
        <f aca="false">((I10133 + G10134) - H10134)</f>
        <v>39675.7699999999</v>
      </c>
      <c r="J10134" s="18" t="n">
        <v>0</v>
      </c>
      <c r="K10134" s="19" t="n">
        <v>0</v>
      </c>
      <c r="L10134" s="17"/>
    </row>
    <row r="10135" s="11" customFormat="true" ht="10.95" hidden="false" customHeight="true" outlineLevel="0" collapsed="false">
      <c r="A10135" s="16" t="n">
        <v>45223</v>
      </c>
      <c r="B10135" s="17" t="s">
        <v>3861</v>
      </c>
      <c r="C10135" s="17" t="s">
        <v>3752</v>
      </c>
      <c r="D10135" s="17" t="s">
        <v>2903</v>
      </c>
      <c r="E10135" s="17" t="s">
        <v>2980</v>
      </c>
      <c r="F10135" s="17" t="s">
        <v>2357</v>
      </c>
      <c r="G10135" s="18" t="n">
        <v>0</v>
      </c>
      <c r="H10135" s="18" t="n">
        <v>297.06</v>
      </c>
      <c r="I10135" s="18" t="n">
        <f aca="false">((I10134 + G10135) - H10135)</f>
        <v>39378.71</v>
      </c>
      <c r="J10135" s="18" t="n">
        <v>0</v>
      </c>
      <c r="K10135" s="19" t="n">
        <v>0</v>
      </c>
      <c r="L10135" s="17"/>
    </row>
    <row r="10136" s="11" customFormat="true" ht="10.95" hidden="false" customHeight="true" outlineLevel="0" collapsed="false">
      <c r="A10136" s="16" t="n">
        <v>45223</v>
      </c>
      <c r="B10136" s="17" t="s">
        <v>3861</v>
      </c>
      <c r="C10136" s="17" t="s">
        <v>3752</v>
      </c>
      <c r="D10136" s="17" t="s">
        <v>1407</v>
      </c>
      <c r="E10136" s="17" t="s">
        <v>3911</v>
      </c>
      <c r="F10136" s="17"/>
      <c r="G10136" s="18" t="n">
        <v>0</v>
      </c>
      <c r="H10136" s="18" t="n">
        <v>12.69</v>
      </c>
      <c r="I10136" s="18" t="n">
        <f aca="false">((I10135 + G10136) - H10136)</f>
        <v>39366.0199999999</v>
      </c>
      <c r="J10136" s="18" t="n">
        <v>0</v>
      </c>
      <c r="K10136" s="19" t="n">
        <v>0</v>
      </c>
      <c r="L10136" s="17"/>
    </row>
    <row r="10137" s="11" customFormat="true" ht="10.95" hidden="false" customHeight="true" outlineLevel="0" collapsed="false">
      <c r="A10137" s="16" t="n">
        <v>45223</v>
      </c>
      <c r="B10137" s="17" t="s">
        <v>3861</v>
      </c>
      <c r="C10137" s="17" t="s">
        <v>3752</v>
      </c>
      <c r="D10137" s="17" t="s">
        <v>1407</v>
      </c>
      <c r="E10137" s="17" t="s">
        <v>3907</v>
      </c>
      <c r="F10137" s="17"/>
      <c r="G10137" s="18" t="n">
        <v>0</v>
      </c>
      <c r="H10137" s="18" t="n">
        <v>8.65</v>
      </c>
      <c r="I10137" s="18" t="n">
        <f aca="false">((I10136 + G10137) - H10137)</f>
        <v>39357.3699999999</v>
      </c>
      <c r="J10137" s="18" t="n">
        <v>0</v>
      </c>
      <c r="K10137" s="19" t="n">
        <v>0</v>
      </c>
      <c r="L10137" s="17"/>
    </row>
    <row r="10138" s="11" customFormat="true" ht="10.95" hidden="false" customHeight="true" outlineLevel="0" collapsed="false">
      <c r="A10138" s="16" t="n">
        <v>45224</v>
      </c>
      <c r="B10138" s="17" t="s">
        <v>3861</v>
      </c>
      <c r="C10138" s="17" t="s">
        <v>3752</v>
      </c>
      <c r="D10138" s="17" t="s">
        <v>1407</v>
      </c>
      <c r="E10138" s="17" t="s">
        <v>3863</v>
      </c>
      <c r="F10138" s="17"/>
      <c r="G10138" s="18" t="n">
        <v>0</v>
      </c>
      <c r="H10138" s="18" t="n">
        <v>1.05</v>
      </c>
      <c r="I10138" s="18" t="n">
        <f aca="false">((I10137 + G10138) - H10138)</f>
        <v>39356.3199999999</v>
      </c>
      <c r="J10138" s="18" t="n">
        <v>0</v>
      </c>
      <c r="K10138" s="19" t="n">
        <v>0</v>
      </c>
      <c r="L10138" s="17"/>
    </row>
    <row r="10139" s="11" customFormat="true" ht="10.95" hidden="false" customHeight="true" outlineLevel="0" collapsed="false">
      <c r="A10139" s="16" t="n">
        <v>45224</v>
      </c>
      <c r="B10139" s="17" t="s">
        <v>3861</v>
      </c>
      <c r="C10139" s="17" t="s">
        <v>3752</v>
      </c>
      <c r="D10139" s="17" t="s">
        <v>1407</v>
      </c>
      <c r="E10139" s="17" t="s">
        <v>3770</v>
      </c>
      <c r="F10139" s="17"/>
      <c r="G10139" s="18" t="n">
        <v>0</v>
      </c>
      <c r="H10139" s="18" t="n">
        <v>22.99</v>
      </c>
      <c r="I10139" s="18" t="n">
        <f aca="false">((I10138 + G10139) - H10139)</f>
        <v>39333.3299999999</v>
      </c>
      <c r="J10139" s="18" t="n">
        <v>0</v>
      </c>
      <c r="K10139" s="19" t="n">
        <v>0</v>
      </c>
      <c r="L10139" s="17"/>
    </row>
    <row r="10140" s="11" customFormat="true" ht="10.95" hidden="false" customHeight="true" outlineLevel="0" collapsed="false">
      <c r="A10140" s="16" t="n">
        <v>45224</v>
      </c>
      <c r="B10140" s="17" t="s">
        <v>3861</v>
      </c>
      <c r="C10140" s="17" t="s">
        <v>3752</v>
      </c>
      <c r="D10140" s="17" t="s">
        <v>1407</v>
      </c>
      <c r="E10140" s="17" t="s">
        <v>3770</v>
      </c>
      <c r="F10140" s="17"/>
      <c r="G10140" s="18" t="n">
        <v>0</v>
      </c>
      <c r="H10140" s="18" t="n">
        <v>35</v>
      </c>
      <c r="I10140" s="18" t="n">
        <f aca="false">((I10139 + G10140) - H10140)</f>
        <v>39298.3299999999</v>
      </c>
      <c r="J10140" s="18" t="n">
        <v>0</v>
      </c>
      <c r="K10140" s="19" t="n">
        <v>0</v>
      </c>
      <c r="L10140" s="17"/>
    </row>
    <row r="10141" s="11" customFormat="true" ht="10.95" hidden="false" customHeight="true" outlineLevel="0" collapsed="false">
      <c r="A10141" s="16" t="n">
        <v>45224</v>
      </c>
      <c r="B10141" s="17" t="s">
        <v>3861</v>
      </c>
      <c r="C10141" s="17" t="s">
        <v>3752</v>
      </c>
      <c r="D10141" s="17" t="s">
        <v>1407</v>
      </c>
      <c r="E10141" s="17" t="s">
        <v>3881</v>
      </c>
      <c r="F10141" s="17"/>
      <c r="G10141" s="18" t="n">
        <v>0</v>
      </c>
      <c r="H10141" s="18" t="n">
        <v>140</v>
      </c>
      <c r="I10141" s="18" t="n">
        <f aca="false">((I10140 + G10141) - H10141)</f>
        <v>39158.3299999999</v>
      </c>
      <c r="J10141" s="18" t="n">
        <v>0</v>
      </c>
      <c r="K10141" s="19" t="n">
        <v>0</v>
      </c>
      <c r="L10141" s="17"/>
    </row>
    <row r="10142" s="11" customFormat="true" ht="10.95" hidden="false" customHeight="true" outlineLevel="0" collapsed="false">
      <c r="A10142" s="16" t="n">
        <v>45224</v>
      </c>
      <c r="B10142" s="17" t="s">
        <v>3861</v>
      </c>
      <c r="C10142" s="17" t="s">
        <v>3752</v>
      </c>
      <c r="D10142" s="17" t="s">
        <v>1407</v>
      </c>
      <c r="E10142" s="17" t="s">
        <v>3879</v>
      </c>
      <c r="F10142" s="17"/>
      <c r="G10142" s="18" t="n">
        <v>0</v>
      </c>
      <c r="H10142" s="18" t="n">
        <v>1207</v>
      </c>
      <c r="I10142" s="18" t="n">
        <f aca="false">((I10141 + G10142) - H10142)</f>
        <v>37951.3299999999</v>
      </c>
      <c r="J10142" s="18" t="n">
        <v>0</v>
      </c>
      <c r="K10142" s="19" t="n">
        <v>0</v>
      </c>
      <c r="L10142" s="17"/>
    </row>
    <row r="10143" s="11" customFormat="true" ht="10.95" hidden="false" customHeight="true" outlineLevel="0" collapsed="false">
      <c r="A10143" s="16" t="n">
        <v>45224</v>
      </c>
      <c r="B10143" s="17" t="s">
        <v>3861</v>
      </c>
      <c r="C10143" s="17" t="s">
        <v>3752</v>
      </c>
      <c r="D10143" s="17" t="s">
        <v>1407</v>
      </c>
      <c r="E10143" s="17" t="s">
        <v>3880</v>
      </c>
      <c r="F10143" s="17"/>
      <c r="G10143" s="18" t="n">
        <v>0</v>
      </c>
      <c r="H10143" s="18" t="n">
        <v>1207</v>
      </c>
      <c r="I10143" s="18" t="n">
        <f aca="false">((I10142 + G10143) - H10143)</f>
        <v>36744.3299999999</v>
      </c>
      <c r="J10143" s="18" t="n">
        <v>0</v>
      </c>
      <c r="K10143" s="19" t="n">
        <v>0</v>
      </c>
      <c r="L10143" s="17"/>
    </row>
    <row r="10144" s="11" customFormat="true" ht="10.95" hidden="false" customHeight="true" outlineLevel="0" collapsed="false">
      <c r="A10144" s="16" t="n">
        <v>45224</v>
      </c>
      <c r="B10144" s="17" t="s">
        <v>3861</v>
      </c>
      <c r="C10144" s="17" t="s">
        <v>3752</v>
      </c>
      <c r="D10144" s="17" t="s">
        <v>1407</v>
      </c>
      <c r="E10144" s="17" t="s">
        <v>3808</v>
      </c>
      <c r="F10144" s="17"/>
      <c r="G10144" s="18" t="n">
        <v>0</v>
      </c>
      <c r="H10144" s="18" t="n">
        <v>1705.92</v>
      </c>
      <c r="I10144" s="18" t="n">
        <f aca="false">((I10143 + G10144) - H10144)</f>
        <v>35038.4099999999</v>
      </c>
      <c r="J10144" s="18" t="n">
        <v>0</v>
      </c>
      <c r="K10144" s="19" t="n">
        <v>0</v>
      </c>
      <c r="L10144" s="17"/>
    </row>
    <row r="10145" s="11" customFormat="true" ht="10.95" hidden="false" customHeight="true" outlineLevel="0" collapsed="false">
      <c r="A10145" s="16" t="n">
        <v>45225</v>
      </c>
      <c r="B10145" s="17" t="s">
        <v>3861</v>
      </c>
      <c r="C10145" s="17" t="s">
        <v>3752</v>
      </c>
      <c r="D10145" s="17" t="s">
        <v>2895</v>
      </c>
      <c r="E10145" s="17" t="s">
        <v>3456</v>
      </c>
      <c r="F10145" s="17" t="s">
        <v>4065</v>
      </c>
      <c r="G10145" s="18" t="n">
        <v>2244</v>
      </c>
      <c r="H10145" s="18" t="n">
        <v>0</v>
      </c>
      <c r="I10145" s="18" t="n">
        <f aca="false">((I10144 + G10145) - H10145)</f>
        <v>37282.4099999999</v>
      </c>
      <c r="J10145" s="18" t="n">
        <v>0</v>
      </c>
      <c r="K10145" s="19" t="n">
        <v>0</v>
      </c>
      <c r="L10145" s="17"/>
    </row>
    <row r="10146" s="11" customFormat="true" ht="10.95" hidden="false" customHeight="true" outlineLevel="0" collapsed="false">
      <c r="A10146" s="16" t="n">
        <v>45225</v>
      </c>
      <c r="B10146" s="17" t="s">
        <v>3861</v>
      </c>
      <c r="C10146" s="17" t="s">
        <v>3752</v>
      </c>
      <c r="D10146" s="17" t="s">
        <v>2895</v>
      </c>
      <c r="E10146" s="17" t="s">
        <v>3480</v>
      </c>
      <c r="F10146" s="17" t="s">
        <v>4066</v>
      </c>
      <c r="G10146" s="18" t="n">
        <v>180</v>
      </c>
      <c r="H10146" s="18" t="n">
        <v>0</v>
      </c>
      <c r="I10146" s="18" t="n">
        <f aca="false">((I10145 + G10146) - H10146)</f>
        <v>37462.4099999999</v>
      </c>
      <c r="J10146" s="18" t="n">
        <v>0</v>
      </c>
      <c r="K10146" s="19" t="n">
        <v>0</v>
      </c>
      <c r="L10146" s="17"/>
    </row>
    <row r="10147" s="11" customFormat="true" ht="10.95" hidden="false" customHeight="true" outlineLevel="0" collapsed="false">
      <c r="A10147" s="16" t="n">
        <v>45225</v>
      </c>
      <c r="B10147" s="17" t="s">
        <v>3861</v>
      </c>
      <c r="C10147" s="17" t="s">
        <v>3752</v>
      </c>
      <c r="D10147" s="17" t="s">
        <v>1407</v>
      </c>
      <c r="E10147" s="17" t="s">
        <v>3767</v>
      </c>
      <c r="F10147" s="17" t="s">
        <v>2781</v>
      </c>
      <c r="G10147" s="18" t="n">
        <v>0</v>
      </c>
      <c r="H10147" s="18" t="n">
        <v>5</v>
      </c>
      <c r="I10147" s="18" t="n">
        <f aca="false">((I10146 + G10147) - H10147)</f>
        <v>37457.4099999999</v>
      </c>
      <c r="J10147" s="18" t="n">
        <v>0</v>
      </c>
      <c r="K10147" s="19" t="n">
        <v>0</v>
      </c>
      <c r="L10147" s="17"/>
    </row>
    <row r="10148" s="11" customFormat="true" ht="10.95" hidden="false" customHeight="true" outlineLevel="0" collapsed="false">
      <c r="A10148" s="16" t="n">
        <v>45225</v>
      </c>
      <c r="B10148" s="17" t="s">
        <v>3861</v>
      </c>
      <c r="C10148" s="17" t="s">
        <v>3752</v>
      </c>
      <c r="D10148" s="17" t="s">
        <v>1407</v>
      </c>
      <c r="E10148" s="17" t="s">
        <v>3767</v>
      </c>
      <c r="F10148" s="17" t="s">
        <v>2781</v>
      </c>
      <c r="G10148" s="18" t="n">
        <v>0</v>
      </c>
      <c r="H10148" s="18" t="n">
        <v>5</v>
      </c>
      <c r="I10148" s="18" t="n">
        <f aca="false">((I10147 + G10148) - H10148)</f>
        <v>37452.4099999999</v>
      </c>
      <c r="J10148" s="18" t="n">
        <v>0</v>
      </c>
      <c r="K10148" s="19" t="n">
        <v>0</v>
      </c>
      <c r="L10148" s="17"/>
    </row>
    <row r="10149" s="11" customFormat="true" ht="10.95" hidden="false" customHeight="true" outlineLevel="0" collapsed="false">
      <c r="A10149" s="16" t="n">
        <v>45225</v>
      </c>
      <c r="B10149" s="17" t="s">
        <v>3861</v>
      </c>
      <c r="C10149" s="17" t="s">
        <v>3752</v>
      </c>
      <c r="D10149" s="17" t="s">
        <v>1407</v>
      </c>
      <c r="E10149" s="17" t="s">
        <v>3767</v>
      </c>
      <c r="F10149" s="17" t="s">
        <v>2781</v>
      </c>
      <c r="G10149" s="18" t="n">
        <v>0</v>
      </c>
      <c r="H10149" s="18" t="n">
        <v>11.25</v>
      </c>
      <c r="I10149" s="18" t="n">
        <f aca="false">((I10148 + G10149) - H10149)</f>
        <v>37441.1599999999</v>
      </c>
      <c r="J10149" s="18" t="n">
        <v>0</v>
      </c>
      <c r="K10149" s="19" t="n">
        <v>0</v>
      </c>
      <c r="L10149" s="17"/>
    </row>
    <row r="10150" s="11" customFormat="true" ht="10.95" hidden="false" customHeight="true" outlineLevel="0" collapsed="false">
      <c r="A10150" s="16" t="n">
        <v>45225</v>
      </c>
      <c r="B10150" s="17" t="s">
        <v>3861</v>
      </c>
      <c r="C10150" s="17" t="s">
        <v>3752</v>
      </c>
      <c r="D10150" s="17" t="s">
        <v>1407</v>
      </c>
      <c r="E10150" s="17" t="s">
        <v>3767</v>
      </c>
      <c r="F10150" s="17" t="s">
        <v>2781</v>
      </c>
      <c r="G10150" s="18" t="n">
        <v>0</v>
      </c>
      <c r="H10150" s="18" t="n">
        <v>11.27</v>
      </c>
      <c r="I10150" s="18" t="n">
        <f aca="false">((I10149 + G10150) - H10150)</f>
        <v>37429.89</v>
      </c>
      <c r="J10150" s="18" t="n">
        <v>0</v>
      </c>
      <c r="K10150" s="19" t="n">
        <v>0</v>
      </c>
      <c r="L10150" s="17"/>
    </row>
    <row r="10151" s="11" customFormat="true" ht="10.95" hidden="false" customHeight="true" outlineLevel="0" collapsed="false">
      <c r="A10151" s="16" t="n">
        <v>45225</v>
      </c>
      <c r="B10151" s="17" t="s">
        <v>3861</v>
      </c>
      <c r="C10151" s="17" t="s">
        <v>3752</v>
      </c>
      <c r="D10151" s="17" t="s">
        <v>2895</v>
      </c>
      <c r="E10151" s="17" t="s">
        <v>2900</v>
      </c>
      <c r="F10151" s="17" t="s">
        <v>2981</v>
      </c>
      <c r="G10151" s="18" t="n">
        <v>994.17</v>
      </c>
      <c r="H10151" s="18" t="n">
        <v>0</v>
      </c>
      <c r="I10151" s="18" t="n">
        <f aca="false">((I10150 + G10151) - H10151)</f>
        <v>38424.06</v>
      </c>
      <c r="J10151" s="18" t="n">
        <v>0</v>
      </c>
      <c r="K10151" s="19" t="n">
        <v>0</v>
      </c>
      <c r="L10151" s="17"/>
    </row>
    <row r="10152" s="11" customFormat="true" ht="10.95" hidden="false" customHeight="true" outlineLevel="0" collapsed="false">
      <c r="A10152" s="16" t="n">
        <v>45225</v>
      </c>
      <c r="B10152" s="17" t="s">
        <v>3861</v>
      </c>
      <c r="C10152" s="17" t="s">
        <v>3752</v>
      </c>
      <c r="D10152" s="17" t="s">
        <v>2895</v>
      </c>
      <c r="E10152" s="17" t="s">
        <v>2900</v>
      </c>
      <c r="F10152" s="17" t="s">
        <v>2982</v>
      </c>
      <c r="G10152" s="18" t="n">
        <v>1713.2</v>
      </c>
      <c r="H10152" s="18" t="n">
        <v>0</v>
      </c>
      <c r="I10152" s="18" t="n">
        <f aca="false">((I10151 + G10152) - H10152)</f>
        <v>40137.2599999999</v>
      </c>
      <c r="J10152" s="18" t="n">
        <v>0</v>
      </c>
      <c r="K10152" s="19" t="n">
        <v>0</v>
      </c>
      <c r="L10152" s="17"/>
    </row>
    <row r="10153" s="11" customFormat="true" ht="10.95" hidden="false" customHeight="true" outlineLevel="0" collapsed="false">
      <c r="A10153" s="16" t="n">
        <v>45225</v>
      </c>
      <c r="B10153" s="17" t="s">
        <v>3861</v>
      </c>
      <c r="C10153" s="17" t="s">
        <v>3752</v>
      </c>
      <c r="D10153" s="17" t="s">
        <v>2895</v>
      </c>
      <c r="E10153" s="17" t="s">
        <v>2900</v>
      </c>
      <c r="F10153" s="17" t="s">
        <v>2983</v>
      </c>
      <c r="G10153" s="18" t="n">
        <v>787.82</v>
      </c>
      <c r="H10153" s="18" t="n">
        <v>0</v>
      </c>
      <c r="I10153" s="18" t="n">
        <f aca="false">((I10152 + G10153) - H10153)</f>
        <v>40925.0799999999</v>
      </c>
      <c r="J10153" s="18" t="n">
        <v>0</v>
      </c>
      <c r="K10153" s="19" t="n">
        <v>0</v>
      </c>
      <c r="L10153" s="17"/>
    </row>
    <row r="10154" s="11" customFormat="true" ht="10.95" hidden="false" customHeight="true" outlineLevel="0" collapsed="false">
      <c r="A10154" s="16" t="n">
        <v>45225</v>
      </c>
      <c r="B10154" s="17" t="s">
        <v>3861</v>
      </c>
      <c r="C10154" s="17" t="s">
        <v>3752</v>
      </c>
      <c r="D10154" s="17" t="s">
        <v>1407</v>
      </c>
      <c r="E10154" s="17" t="s">
        <v>3863</v>
      </c>
      <c r="F10154" s="17"/>
      <c r="G10154" s="18" t="n">
        <v>0</v>
      </c>
      <c r="H10154" s="18" t="n">
        <v>0.38</v>
      </c>
      <c r="I10154" s="18" t="n">
        <f aca="false">((I10153 + G10154) - H10154)</f>
        <v>40924.6999999999</v>
      </c>
      <c r="J10154" s="18" t="n">
        <v>0</v>
      </c>
      <c r="K10154" s="19" t="n">
        <v>0</v>
      </c>
      <c r="L10154" s="17"/>
    </row>
    <row r="10155" s="11" customFormat="true" ht="10.95" hidden="false" customHeight="true" outlineLevel="0" collapsed="false">
      <c r="A10155" s="16" t="n">
        <v>45225</v>
      </c>
      <c r="B10155" s="17" t="s">
        <v>3861</v>
      </c>
      <c r="C10155" s="17" t="s">
        <v>3752</v>
      </c>
      <c r="D10155" s="17" t="s">
        <v>1407</v>
      </c>
      <c r="E10155" s="17" t="s">
        <v>3911</v>
      </c>
      <c r="F10155" s="17"/>
      <c r="G10155" s="18" t="n">
        <v>0</v>
      </c>
      <c r="H10155" s="18" t="n">
        <v>12.69</v>
      </c>
      <c r="I10155" s="18" t="n">
        <f aca="false">((I10154 + G10155) - H10155)</f>
        <v>40912.0099999999</v>
      </c>
      <c r="J10155" s="18" t="n">
        <v>0</v>
      </c>
      <c r="K10155" s="19" t="n">
        <v>0</v>
      </c>
      <c r="L10155" s="17"/>
    </row>
    <row r="10156" s="11" customFormat="true" ht="10.95" hidden="false" customHeight="true" outlineLevel="0" collapsed="false">
      <c r="A10156" s="16" t="n">
        <v>45225</v>
      </c>
      <c r="B10156" s="17" t="s">
        <v>3861</v>
      </c>
      <c r="C10156" s="17" t="s">
        <v>3752</v>
      </c>
      <c r="D10156" s="17" t="s">
        <v>2895</v>
      </c>
      <c r="E10156" s="17" t="s">
        <v>2925</v>
      </c>
      <c r="F10156" s="17" t="s">
        <v>2984</v>
      </c>
      <c r="G10156" s="18" t="n">
        <v>324.78</v>
      </c>
      <c r="H10156" s="18" t="n">
        <v>0</v>
      </c>
      <c r="I10156" s="18" t="n">
        <f aca="false">((I10155 + G10156) - H10156)</f>
        <v>41236.7899999999</v>
      </c>
      <c r="J10156" s="18" t="n">
        <v>0</v>
      </c>
      <c r="K10156" s="19" t="n">
        <v>0</v>
      </c>
      <c r="L10156" s="17"/>
    </row>
    <row r="10157" s="11" customFormat="true" ht="10.95" hidden="false" customHeight="true" outlineLevel="0" collapsed="false">
      <c r="A10157" s="16" t="n">
        <v>45226</v>
      </c>
      <c r="B10157" s="17" t="s">
        <v>3861</v>
      </c>
      <c r="C10157" s="17" t="s">
        <v>3752</v>
      </c>
      <c r="D10157" s="17" t="s">
        <v>1276</v>
      </c>
      <c r="E10157" s="17" t="s">
        <v>3428</v>
      </c>
      <c r="F10157" s="17" t="s">
        <v>1316</v>
      </c>
      <c r="G10157" s="18" t="n">
        <v>16.09</v>
      </c>
      <c r="H10157" s="18" t="n">
        <v>0</v>
      </c>
      <c r="I10157" s="18" t="n">
        <f aca="false">((I10156 + G10157) - H10157)</f>
        <v>41252.8799999999</v>
      </c>
      <c r="J10157" s="18" t="n">
        <v>0</v>
      </c>
      <c r="K10157" s="19" t="n">
        <v>0</v>
      </c>
      <c r="L10157" s="17"/>
    </row>
    <row r="10158" s="11" customFormat="true" ht="10.95" hidden="false" customHeight="true" outlineLevel="0" collapsed="false">
      <c r="A10158" s="16" t="n">
        <v>45226</v>
      </c>
      <c r="B10158" s="17" t="s">
        <v>3861</v>
      </c>
      <c r="C10158" s="17" t="s">
        <v>3752</v>
      </c>
      <c r="D10158" s="17" t="s">
        <v>2895</v>
      </c>
      <c r="E10158" s="17" t="s">
        <v>3467</v>
      </c>
      <c r="F10158" s="17" t="s">
        <v>1316</v>
      </c>
      <c r="G10158" s="18" t="n">
        <v>919.6</v>
      </c>
      <c r="H10158" s="18" t="n">
        <v>0</v>
      </c>
      <c r="I10158" s="18" t="n">
        <f aca="false">((I10157 + G10158) - H10158)</f>
        <v>42172.4799999999</v>
      </c>
      <c r="J10158" s="18" t="n">
        <v>0</v>
      </c>
      <c r="K10158" s="19" t="n">
        <v>0</v>
      </c>
      <c r="L10158" s="17"/>
    </row>
    <row r="10159" s="11" customFormat="true" ht="10.95" hidden="false" customHeight="true" outlineLevel="0" collapsed="false">
      <c r="A10159" s="16" t="n">
        <v>45226</v>
      </c>
      <c r="B10159" s="17" t="s">
        <v>3861</v>
      </c>
      <c r="C10159" s="17" t="s">
        <v>3752</v>
      </c>
      <c r="D10159" s="17" t="s">
        <v>1407</v>
      </c>
      <c r="E10159" s="17" t="s">
        <v>3862</v>
      </c>
      <c r="F10159" s="17" t="s">
        <v>1316</v>
      </c>
      <c r="G10159" s="18" t="n">
        <v>0</v>
      </c>
      <c r="H10159" s="18" t="n">
        <v>16.68</v>
      </c>
      <c r="I10159" s="18" t="n">
        <f aca="false">((I10158 + G10159) - H10159)</f>
        <v>42155.7999999999</v>
      </c>
      <c r="J10159" s="18" t="n">
        <v>0</v>
      </c>
      <c r="K10159" s="19" t="n">
        <v>0</v>
      </c>
      <c r="L10159" s="17"/>
    </row>
    <row r="10160" s="11" customFormat="true" ht="10.95" hidden="false" customHeight="true" outlineLevel="0" collapsed="false">
      <c r="A10160" s="16" t="n">
        <v>45226</v>
      </c>
      <c r="B10160" s="17" t="s">
        <v>3861</v>
      </c>
      <c r="C10160" s="17" t="s">
        <v>3752</v>
      </c>
      <c r="D10160" s="17" t="s">
        <v>2895</v>
      </c>
      <c r="E10160" s="17" t="s">
        <v>3482</v>
      </c>
      <c r="F10160" s="17" t="s">
        <v>4067</v>
      </c>
      <c r="G10160" s="18" t="n">
        <v>2068</v>
      </c>
      <c r="H10160" s="18" t="n">
        <v>0</v>
      </c>
      <c r="I10160" s="18" t="n">
        <f aca="false">((I10159 + G10160) - H10160)</f>
        <v>44223.7999999999</v>
      </c>
      <c r="J10160" s="18" t="n">
        <v>0</v>
      </c>
      <c r="K10160" s="19" t="n">
        <v>0</v>
      </c>
      <c r="L10160" s="17"/>
    </row>
    <row r="10161" s="11" customFormat="true" ht="10.95" hidden="false" customHeight="true" outlineLevel="0" collapsed="false">
      <c r="A10161" s="16" t="n">
        <v>45226</v>
      </c>
      <c r="B10161" s="17" t="s">
        <v>3861</v>
      </c>
      <c r="C10161" s="17" t="s">
        <v>3752</v>
      </c>
      <c r="D10161" s="17" t="s">
        <v>2895</v>
      </c>
      <c r="E10161" s="17" t="s">
        <v>3504</v>
      </c>
      <c r="F10161" s="17" t="s">
        <v>4068</v>
      </c>
      <c r="G10161" s="18" t="n">
        <v>1034.55</v>
      </c>
      <c r="H10161" s="18" t="n">
        <v>0</v>
      </c>
      <c r="I10161" s="18" t="n">
        <f aca="false">((I10160 + G10161) - H10161)</f>
        <v>45258.3499999999</v>
      </c>
      <c r="J10161" s="18" t="n">
        <v>0</v>
      </c>
      <c r="K10161" s="19" t="n">
        <v>0</v>
      </c>
      <c r="L10161" s="17"/>
    </row>
    <row r="10162" s="11" customFormat="true" ht="10.95" hidden="false" customHeight="true" outlineLevel="0" collapsed="false">
      <c r="A10162" s="16" t="n">
        <v>45226</v>
      </c>
      <c r="B10162" s="17" t="s">
        <v>3861</v>
      </c>
      <c r="C10162" s="17" t="s">
        <v>3752</v>
      </c>
      <c r="D10162" s="17" t="s">
        <v>2895</v>
      </c>
      <c r="E10162" s="17" t="s">
        <v>3410</v>
      </c>
      <c r="F10162" s="17" t="s">
        <v>4069</v>
      </c>
      <c r="G10162" s="18" t="n">
        <v>968</v>
      </c>
      <c r="H10162" s="18" t="n">
        <v>0</v>
      </c>
      <c r="I10162" s="18" t="n">
        <f aca="false">((I10161 + G10162) - H10162)</f>
        <v>46226.3499999999</v>
      </c>
      <c r="J10162" s="18" t="n">
        <v>0</v>
      </c>
      <c r="K10162" s="19" t="n">
        <v>0</v>
      </c>
      <c r="L10162" s="17"/>
    </row>
    <row r="10163" s="11" customFormat="true" ht="10.95" hidden="false" customHeight="true" outlineLevel="0" collapsed="false">
      <c r="A10163" s="16" t="n">
        <v>45226</v>
      </c>
      <c r="B10163" s="17" t="s">
        <v>3861</v>
      </c>
      <c r="C10163" s="17" t="s">
        <v>3752</v>
      </c>
      <c r="D10163" s="17" t="s">
        <v>2895</v>
      </c>
      <c r="E10163" s="17" t="s">
        <v>3466</v>
      </c>
      <c r="F10163" s="17" t="s">
        <v>4070</v>
      </c>
      <c r="G10163" s="18" t="n">
        <v>396</v>
      </c>
      <c r="H10163" s="18" t="n">
        <v>0</v>
      </c>
      <c r="I10163" s="18" t="n">
        <f aca="false">((I10162 + G10163) - H10163)</f>
        <v>46622.3499999999</v>
      </c>
      <c r="J10163" s="18" t="n">
        <v>0</v>
      </c>
      <c r="K10163" s="19" t="n">
        <v>0</v>
      </c>
      <c r="L10163" s="17"/>
    </row>
    <row r="10164" s="11" customFormat="true" ht="10.95" hidden="false" customHeight="true" outlineLevel="0" collapsed="false">
      <c r="A10164" s="16" t="n">
        <v>45226</v>
      </c>
      <c r="B10164" s="17" t="s">
        <v>3861</v>
      </c>
      <c r="C10164" s="17" t="s">
        <v>3752</v>
      </c>
      <c r="D10164" s="17" t="s">
        <v>1407</v>
      </c>
      <c r="E10164" s="17" t="s">
        <v>3858</v>
      </c>
      <c r="F10164" s="17"/>
      <c r="G10164" s="18" t="n">
        <v>0</v>
      </c>
      <c r="H10164" s="18" t="n">
        <v>1063.61</v>
      </c>
      <c r="I10164" s="18" t="n">
        <f aca="false">((I10163 + G10164) - H10164)</f>
        <v>45558.7399999999</v>
      </c>
      <c r="J10164" s="18" t="n">
        <v>0</v>
      </c>
      <c r="K10164" s="19" t="n">
        <v>0</v>
      </c>
      <c r="L10164" s="17"/>
    </row>
    <row r="10165" s="11" customFormat="true" ht="10.95" hidden="false" customHeight="true" outlineLevel="0" collapsed="false">
      <c r="A10165" s="16" t="n">
        <v>45226</v>
      </c>
      <c r="B10165" s="17" t="s">
        <v>3861</v>
      </c>
      <c r="C10165" s="17" t="s">
        <v>3752</v>
      </c>
      <c r="D10165" s="17" t="s">
        <v>1407</v>
      </c>
      <c r="E10165" s="17" t="s">
        <v>3720</v>
      </c>
      <c r="F10165" s="17"/>
      <c r="G10165" s="18" t="n">
        <v>0</v>
      </c>
      <c r="H10165" s="18" t="n">
        <v>1344.83</v>
      </c>
      <c r="I10165" s="18" t="n">
        <f aca="false">((I10164 + G10165) - H10165)</f>
        <v>44213.9099999999</v>
      </c>
      <c r="J10165" s="18" t="n">
        <v>0</v>
      </c>
      <c r="K10165" s="19" t="n">
        <v>0</v>
      </c>
      <c r="L10165" s="17"/>
    </row>
    <row r="10166" s="11" customFormat="true" ht="10.95" hidden="false" customHeight="true" outlineLevel="0" collapsed="false">
      <c r="A10166" s="16" t="n">
        <v>45226</v>
      </c>
      <c r="B10166" s="17" t="s">
        <v>3861</v>
      </c>
      <c r="C10166" s="17" t="s">
        <v>3752</v>
      </c>
      <c r="D10166" s="17" t="s">
        <v>1407</v>
      </c>
      <c r="E10166" s="17" t="s">
        <v>4071</v>
      </c>
      <c r="F10166" s="17"/>
      <c r="G10166" s="18" t="n">
        <v>0</v>
      </c>
      <c r="H10166" s="18" t="n">
        <v>50</v>
      </c>
      <c r="I10166" s="18" t="n">
        <f aca="false">((I10165 + G10166) - H10166)</f>
        <v>44163.9099999999</v>
      </c>
      <c r="J10166" s="18" t="n">
        <v>0</v>
      </c>
      <c r="K10166" s="19" t="n">
        <v>0</v>
      </c>
      <c r="L10166" s="17"/>
    </row>
    <row r="10167" s="11" customFormat="true" ht="10.95" hidden="false" customHeight="true" outlineLevel="0" collapsed="false">
      <c r="A10167" s="16" t="n">
        <v>45227</v>
      </c>
      <c r="B10167" s="17" t="s">
        <v>3861</v>
      </c>
      <c r="C10167" s="17" t="s">
        <v>3752</v>
      </c>
      <c r="D10167" s="17" t="s">
        <v>1407</v>
      </c>
      <c r="E10167" s="17" t="s">
        <v>4072</v>
      </c>
      <c r="F10167" s="17"/>
      <c r="G10167" s="18" t="n">
        <v>0</v>
      </c>
      <c r="H10167" s="18" t="n">
        <v>318</v>
      </c>
      <c r="I10167" s="18" t="n">
        <f aca="false">((I10166 + G10167) - H10167)</f>
        <v>43845.9099999999</v>
      </c>
      <c r="J10167" s="18" t="n">
        <v>0</v>
      </c>
      <c r="K10167" s="19" t="n">
        <v>0</v>
      </c>
      <c r="L10167" s="17"/>
    </row>
    <row r="10168" s="11" customFormat="true" ht="10.95" hidden="false" customHeight="true" outlineLevel="0" collapsed="false">
      <c r="A10168" s="16" t="n">
        <v>45227</v>
      </c>
      <c r="B10168" s="17" t="s">
        <v>3861</v>
      </c>
      <c r="C10168" s="17" t="s">
        <v>3752</v>
      </c>
      <c r="D10168" s="17" t="s">
        <v>1407</v>
      </c>
      <c r="E10168" s="17" t="s">
        <v>3976</v>
      </c>
      <c r="F10168" s="17"/>
      <c r="G10168" s="18" t="n">
        <v>0</v>
      </c>
      <c r="H10168" s="18" t="n">
        <v>189.05</v>
      </c>
      <c r="I10168" s="18" t="n">
        <f aca="false">((I10167 + G10168) - H10168)</f>
        <v>43656.8599999999</v>
      </c>
      <c r="J10168" s="18" t="n">
        <v>0</v>
      </c>
      <c r="K10168" s="19" t="n">
        <v>0</v>
      </c>
      <c r="L10168" s="17"/>
    </row>
    <row r="10169" s="11" customFormat="true" ht="10.95" hidden="false" customHeight="true" outlineLevel="0" collapsed="false">
      <c r="A10169" s="16" t="n">
        <v>45229</v>
      </c>
      <c r="B10169" s="17" t="s">
        <v>3861</v>
      </c>
      <c r="C10169" s="17" t="s">
        <v>3752</v>
      </c>
      <c r="D10169" s="17" t="s">
        <v>2895</v>
      </c>
      <c r="E10169" s="17" t="s">
        <v>3382</v>
      </c>
      <c r="F10169" s="17" t="s">
        <v>4073</v>
      </c>
      <c r="G10169" s="18" t="n">
        <v>16797.72</v>
      </c>
      <c r="H10169" s="18" t="n">
        <v>0</v>
      </c>
      <c r="I10169" s="18" t="n">
        <f aca="false">((I10168 + G10169) - H10169)</f>
        <v>60454.5799999999</v>
      </c>
      <c r="J10169" s="18" t="n">
        <v>0</v>
      </c>
      <c r="K10169" s="19" t="n">
        <v>0</v>
      </c>
      <c r="L10169" s="17"/>
    </row>
    <row r="10170" s="11" customFormat="true" ht="10.95" hidden="false" customHeight="true" outlineLevel="0" collapsed="false">
      <c r="A10170" s="16" t="n">
        <v>45229</v>
      </c>
      <c r="B10170" s="17" t="s">
        <v>3861</v>
      </c>
      <c r="C10170" s="17" t="s">
        <v>3752</v>
      </c>
      <c r="D10170" s="17" t="s">
        <v>2895</v>
      </c>
      <c r="E10170" s="17" t="s">
        <v>3378</v>
      </c>
      <c r="F10170" s="17" t="s">
        <v>4074</v>
      </c>
      <c r="G10170" s="18" t="n">
        <v>413.6</v>
      </c>
      <c r="H10170" s="18" t="n">
        <v>0</v>
      </c>
      <c r="I10170" s="18" t="n">
        <f aca="false">((I10169 + G10170) - H10170)</f>
        <v>60868.1799999999</v>
      </c>
      <c r="J10170" s="18" t="n">
        <v>0</v>
      </c>
      <c r="K10170" s="19" t="n">
        <v>0</v>
      </c>
      <c r="L10170" s="17"/>
    </row>
    <row r="10171" s="11" customFormat="true" ht="10.95" hidden="false" customHeight="true" outlineLevel="0" collapsed="false">
      <c r="A10171" s="16" t="n">
        <v>45229</v>
      </c>
      <c r="B10171" s="17" t="s">
        <v>3861</v>
      </c>
      <c r="C10171" s="17" t="s">
        <v>3752</v>
      </c>
      <c r="D10171" s="17" t="s">
        <v>2895</v>
      </c>
      <c r="E10171" s="17" t="s">
        <v>3474</v>
      </c>
      <c r="F10171" s="17" t="s">
        <v>4075</v>
      </c>
      <c r="G10171" s="18" t="n">
        <v>357.5</v>
      </c>
      <c r="H10171" s="18" t="n">
        <v>0</v>
      </c>
      <c r="I10171" s="18" t="n">
        <f aca="false">((I10170 + G10171) - H10171)</f>
        <v>61225.6799999999</v>
      </c>
      <c r="J10171" s="18" t="n">
        <v>0</v>
      </c>
      <c r="K10171" s="19" t="n">
        <v>0</v>
      </c>
      <c r="L10171" s="17"/>
    </row>
    <row r="10172" s="11" customFormat="true" ht="10.95" hidden="false" customHeight="true" outlineLevel="0" collapsed="false">
      <c r="A10172" s="16" t="n">
        <v>45230</v>
      </c>
      <c r="B10172" s="17" t="s">
        <v>3861</v>
      </c>
      <c r="C10172" s="17" t="s">
        <v>3752</v>
      </c>
      <c r="D10172" s="17" t="s">
        <v>2895</v>
      </c>
      <c r="E10172" s="17" t="s">
        <v>3460</v>
      </c>
      <c r="F10172" s="17" t="s">
        <v>4076</v>
      </c>
      <c r="G10172" s="18" t="n">
        <v>4207.5</v>
      </c>
      <c r="H10172" s="18" t="n">
        <v>0</v>
      </c>
      <c r="I10172" s="18" t="n">
        <f aca="false">((I10171 + G10172) - H10172)</f>
        <v>65433.1799999999</v>
      </c>
      <c r="J10172" s="18" t="n">
        <v>0</v>
      </c>
      <c r="K10172" s="19" t="n">
        <v>0</v>
      </c>
      <c r="L10172" s="17"/>
    </row>
    <row r="10173" s="11" customFormat="true" ht="10.95" hidden="false" customHeight="true" outlineLevel="0" collapsed="false">
      <c r="A10173" s="16" t="n">
        <v>45230</v>
      </c>
      <c r="B10173" s="17" t="s">
        <v>3861</v>
      </c>
      <c r="C10173" s="17" t="s">
        <v>3752</v>
      </c>
      <c r="D10173" s="17" t="s">
        <v>2895</v>
      </c>
      <c r="E10173" s="17" t="s">
        <v>3460</v>
      </c>
      <c r="F10173" s="17" t="s">
        <v>4077</v>
      </c>
      <c r="G10173" s="18" t="n">
        <v>4182.2</v>
      </c>
      <c r="H10173" s="18" t="n">
        <v>0</v>
      </c>
      <c r="I10173" s="18" t="n">
        <f aca="false">((I10172 + G10173) - H10173)</f>
        <v>69615.3799999999</v>
      </c>
      <c r="J10173" s="18" t="n">
        <v>0</v>
      </c>
      <c r="K10173" s="19" t="n">
        <v>0</v>
      </c>
      <c r="L10173" s="17"/>
    </row>
    <row r="10174" s="11" customFormat="true" ht="10.95" hidden="false" customHeight="true" outlineLevel="0" collapsed="false">
      <c r="A10174" s="16" t="n">
        <v>45230</v>
      </c>
      <c r="B10174" s="17" t="s">
        <v>3861</v>
      </c>
      <c r="C10174" s="17" t="s">
        <v>3752</v>
      </c>
      <c r="D10174" s="17" t="s">
        <v>2895</v>
      </c>
      <c r="E10174" s="17" t="s">
        <v>3472</v>
      </c>
      <c r="F10174" s="17" t="s">
        <v>4078</v>
      </c>
      <c r="G10174" s="18" t="n">
        <v>1278.2</v>
      </c>
      <c r="H10174" s="18" t="n">
        <v>0</v>
      </c>
      <c r="I10174" s="18" t="n">
        <f aca="false">((I10173 + G10174) - H10174)</f>
        <v>70893.5799999999</v>
      </c>
      <c r="J10174" s="18" t="n">
        <v>0</v>
      </c>
      <c r="K10174" s="19" t="n">
        <v>0</v>
      </c>
      <c r="L10174" s="17"/>
    </row>
    <row r="10175" s="11" customFormat="true" ht="10.95" hidden="false" customHeight="true" outlineLevel="0" collapsed="false">
      <c r="A10175" s="16" t="n">
        <v>45230</v>
      </c>
      <c r="B10175" s="17" t="s">
        <v>3861</v>
      </c>
      <c r="C10175" s="17" t="s">
        <v>3752</v>
      </c>
      <c r="D10175" s="17" t="s">
        <v>2895</v>
      </c>
      <c r="E10175" s="17" t="s">
        <v>3465</v>
      </c>
      <c r="F10175" s="17" t="s">
        <v>4079</v>
      </c>
      <c r="G10175" s="18" t="n">
        <v>1094.5</v>
      </c>
      <c r="H10175" s="18" t="n">
        <v>0</v>
      </c>
      <c r="I10175" s="18" t="n">
        <f aca="false">((I10174 + G10175) - H10175)</f>
        <v>71988.0799999999</v>
      </c>
      <c r="J10175" s="18" t="n">
        <v>0</v>
      </c>
      <c r="K10175" s="19" t="n">
        <v>0</v>
      </c>
      <c r="L10175" s="17"/>
    </row>
    <row r="10176" s="11" customFormat="true" ht="10.95" hidden="false" customHeight="true" outlineLevel="0" collapsed="false">
      <c r="A10176" s="16" t="n">
        <v>45230</v>
      </c>
      <c r="B10176" s="17" t="s">
        <v>3861</v>
      </c>
      <c r="C10176" s="17" t="s">
        <v>3752</v>
      </c>
      <c r="D10176" s="17" t="s">
        <v>2895</v>
      </c>
      <c r="E10176" s="17" t="s">
        <v>3415</v>
      </c>
      <c r="F10176" s="17" t="s">
        <v>4080</v>
      </c>
      <c r="G10176" s="18" t="n">
        <v>1052.7</v>
      </c>
      <c r="H10176" s="18" t="n">
        <v>0</v>
      </c>
      <c r="I10176" s="18" t="n">
        <f aca="false">((I10175 + G10176) - H10176)</f>
        <v>73040.7799999999</v>
      </c>
      <c r="J10176" s="18" t="n">
        <v>0</v>
      </c>
      <c r="K10176" s="19" t="n">
        <v>0</v>
      </c>
      <c r="L10176" s="17"/>
    </row>
    <row r="10177" s="11" customFormat="true" ht="10.95" hidden="false" customHeight="true" outlineLevel="0" collapsed="false">
      <c r="A10177" s="16" t="n">
        <v>45230</v>
      </c>
      <c r="B10177" s="17" t="s">
        <v>3861</v>
      </c>
      <c r="C10177" s="17" t="s">
        <v>3752</v>
      </c>
      <c r="D10177" s="17" t="s">
        <v>2895</v>
      </c>
      <c r="E10177" s="17" t="s">
        <v>3403</v>
      </c>
      <c r="F10177" s="17" t="s">
        <v>4081</v>
      </c>
      <c r="G10177" s="18" t="n">
        <v>103.4</v>
      </c>
      <c r="H10177" s="18" t="n">
        <v>0</v>
      </c>
      <c r="I10177" s="18" t="n">
        <f aca="false">((I10176 + G10177) - H10177)</f>
        <v>73144.1799999999</v>
      </c>
      <c r="J10177" s="18" t="n">
        <v>0</v>
      </c>
      <c r="K10177" s="19" t="n">
        <v>0</v>
      </c>
      <c r="L10177" s="17"/>
    </row>
    <row r="10178" s="11" customFormat="true" ht="10.95" hidden="false" customHeight="true" outlineLevel="0" collapsed="false">
      <c r="A10178" s="16" t="n">
        <v>45230</v>
      </c>
      <c r="B10178" s="17" t="s">
        <v>3861</v>
      </c>
      <c r="C10178" s="17" t="s">
        <v>3752</v>
      </c>
      <c r="D10178" s="17" t="s">
        <v>2895</v>
      </c>
      <c r="E10178" s="17" t="s">
        <v>3403</v>
      </c>
      <c r="F10178" s="17" t="s">
        <v>4082</v>
      </c>
      <c r="G10178" s="18" t="n">
        <v>310.2</v>
      </c>
      <c r="H10178" s="18" t="n">
        <v>0</v>
      </c>
      <c r="I10178" s="18" t="n">
        <f aca="false">((I10177 + G10178) - H10178)</f>
        <v>73454.3799999999</v>
      </c>
      <c r="J10178" s="18" t="n">
        <v>0</v>
      </c>
      <c r="K10178" s="19" t="n">
        <v>0</v>
      </c>
      <c r="L10178" s="17"/>
    </row>
    <row r="10179" s="11" customFormat="true" ht="10.95" hidden="false" customHeight="true" outlineLevel="0" collapsed="false">
      <c r="A10179" s="16" t="n">
        <v>45230</v>
      </c>
      <c r="B10179" s="17" t="s">
        <v>3861</v>
      </c>
      <c r="C10179" s="17" t="s">
        <v>3752</v>
      </c>
      <c r="D10179" s="17" t="s">
        <v>2895</v>
      </c>
      <c r="E10179" s="17" t="s">
        <v>3403</v>
      </c>
      <c r="F10179" s="17" t="s">
        <v>4083</v>
      </c>
      <c r="G10179" s="18" t="n">
        <v>517</v>
      </c>
      <c r="H10179" s="18" t="n">
        <v>0</v>
      </c>
      <c r="I10179" s="18" t="n">
        <f aca="false">((I10178 + G10179) - H10179)</f>
        <v>73971.3799999999</v>
      </c>
      <c r="J10179" s="18" t="n">
        <v>0</v>
      </c>
      <c r="K10179" s="19" t="n">
        <v>0</v>
      </c>
      <c r="L10179" s="17"/>
    </row>
    <row r="10180" s="11" customFormat="true" ht="10.95" hidden="false" customHeight="true" outlineLevel="0" collapsed="false">
      <c r="A10180" s="16" t="n">
        <v>45230</v>
      </c>
      <c r="B10180" s="17" t="s">
        <v>3861</v>
      </c>
      <c r="C10180" s="17" t="s">
        <v>3752</v>
      </c>
      <c r="D10180" s="17" t="s">
        <v>1407</v>
      </c>
      <c r="E10180" s="17" t="s">
        <v>3863</v>
      </c>
      <c r="F10180" s="17"/>
      <c r="G10180" s="18" t="n">
        <v>0</v>
      </c>
      <c r="H10180" s="18" t="n">
        <v>2.33</v>
      </c>
      <c r="I10180" s="18" t="n">
        <f aca="false">((I10179 + G10180) - H10180)</f>
        <v>73969.0499999999</v>
      </c>
      <c r="J10180" s="18" t="n">
        <v>0</v>
      </c>
      <c r="K10180" s="19" t="n">
        <v>0</v>
      </c>
      <c r="L10180" s="17"/>
    </row>
    <row r="10181" s="11" customFormat="true" ht="10.95" hidden="false" customHeight="true" outlineLevel="0" collapsed="false">
      <c r="A10181" s="16" t="n">
        <v>45230</v>
      </c>
      <c r="B10181" s="17" t="s">
        <v>3861</v>
      </c>
      <c r="C10181" s="17" t="s">
        <v>3752</v>
      </c>
      <c r="D10181" s="17" t="s">
        <v>1407</v>
      </c>
      <c r="E10181" s="17" t="s">
        <v>3863</v>
      </c>
      <c r="F10181" s="17"/>
      <c r="G10181" s="18" t="n">
        <v>0</v>
      </c>
      <c r="H10181" s="18" t="n">
        <v>7.38</v>
      </c>
      <c r="I10181" s="18" t="n">
        <f aca="false">((I10180 + G10181) - H10181)</f>
        <v>73961.6699999999</v>
      </c>
      <c r="J10181" s="18" t="n">
        <v>0</v>
      </c>
      <c r="K10181" s="19" t="n">
        <v>0</v>
      </c>
      <c r="L10181" s="17"/>
    </row>
    <row r="10182" s="11" customFormat="true" ht="10.95" hidden="false" customHeight="true" outlineLevel="0" collapsed="false">
      <c r="A10182" s="16" t="n">
        <v>45230</v>
      </c>
      <c r="B10182" s="17" t="s">
        <v>3861</v>
      </c>
      <c r="C10182" s="17" t="s">
        <v>3752</v>
      </c>
      <c r="D10182" s="17" t="s">
        <v>1407</v>
      </c>
      <c r="E10182" s="17" t="s">
        <v>3863</v>
      </c>
      <c r="F10182" s="17"/>
      <c r="G10182" s="18" t="n">
        <v>0</v>
      </c>
      <c r="H10182" s="18" t="n">
        <v>18.32</v>
      </c>
      <c r="I10182" s="18" t="n">
        <f aca="false">((I10181 + G10182) - H10182)</f>
        <v>73943.3499999999</v>
      </c>
      <c r="J10182" s="18" t="n">
        <v>0</v>
      </c>
      <c r="K10182" s="19" t="n">
        <v>0</v>
      </c>
      <c r="L10182" s="17"/>
    </row>
    <row r="10183" s="11" customFormat="true" ht="10.95" hidden="false" customHeight="true" outlineLevel="0" collapsed="false">
      <c r="A10183" s="16" t="n">
        <v>45230</v>
      </c>
      <c r="B10183" s="17" t="s">
        <v>3861</v>
      </c>
      <c r="C10183" s="17" t="s">
        <v>3752</v>
      </c>
      <c r="D10183" s="17" t="s">
        <v>2903</v>
      </c>
      <c r="E10183" s="17" t="s">
        <v>3672</v>
      </c>
      <c r="F10183" s="17" t="s">
        <v>3366</v>
      </c>
      <c r="G10183" s="18" t="n">
        <v>0</v>
      </c>
      <c r="H10183" s="18" t="n">
        <v>150</v>
      </c>
      <c r="I10183" s="18" t="n">
        <f aca="false">((I10182 + G10183) - H10183)</f>
        <v>73793.3499999999</v>
      </c>
      <c r="J10183" s="18" t="n">
        <v>0</v>
      </c>
      <c r="K10183" s="19" t="n">
        <v>0</v>
      </c>
      <c r="L10183" s="17"/>
    </row>
    <row r="10184" s="11" customFormat="true" ht="10.95" hidden="false" customHeight="true" outlineLevel="0" collapsed="false">
      <c r="A10184" s="16" t="n">
        <v>45230</v>
      </c>
      <c r="B10184" s="17" t="s">
        <v>3861</v>
      </c>
      <c r="C10184" s="17" t="s">
        <v>3752</v>
      </c>
      <c r="D10184" s="17" t="s">
        <v>2903</v>
      </c>
      <c r="E10184" s="17" t="s">
        <v>3648</v>
      </c>
      <c r="F10184" s="17" t="s">
        <v>2654</v>
      </c>
      <c r="G10184" s="18" t="n">
        <v>0</v>
      </c>
      <c r="H10184" s="18" t="n">
        <v>223.21</v>
      </c>
      <c r="I10184" s="18" t="n">
        <f aca="false">((I10183 + G10184) - H10184)</f>
        <v>73570.1399999999</v>
      </c>
      <c r="J10184" s="18" t="n">
        <v>0</v>
      </c>
      <c r="K10184" s="19" t="n">
        <v>0</v>
      </c>
      <c r="L10184" s="17"/>
    </row>
    <row r="10185" s="11" customFormat="true" ht="10.95" hidden="false" customHeight="true" outlineLevel="0" collapsed="false">
      <c r="A10185" s="16" t="n">
        <v>45230</v>
      </c>
      <c r="B10185" s="17" t="s">
        <v>3861</v>
      </c>
      <c r="C10185" s="17" t="s">
        <v>3752</v>
      </c>
      <c r="D10185" s="17" t="s">
        <v>1407</v>
      </c>
      <c r="E10185" s="17" t="s">
        <v>3878</v>
      </c>
      <c r="F10185" s="17"/>
      <c r="G10185" s="18" t="n">
        <v>0</v>
      </c>
      <c r="H10185" s="18" t="n">
        <v>1188.2</v>
      </c>
      <c r="I10185" s="18" t="n">
        <f aca="false">((I10184 + G10185) - H10185)</f>
        <v>72381.9399999999</v>
      </c>
      <c r="J10185" s="18" t="n">
        <v>0</v>
      </c>
      <c r="K10185" s="19" t="n">
        <v>0</v>
      </c>
      <c r="L10185" s="17"/>
    </row>
    <row r="10186" s="11" customFormat="true" ht="10.95" hidden="false" customHeight="true" outlineLevel="0" collapsed="false">
      <c r="A10186" s="16" t="n">
        <v>45230</v>
      </c>
      <c r="B10186" s="17" t="s">
        <v>3861</v>
      </c>
      <c r="C10186" s="17" t="s">
        <v>3752</v>
      </c>
      <c r="D10186" s="17" t="s">
        <v>1407</v>
      </c>
      <c r="E10186" s="17" t="s">
        <v>3863</v>
      </c>
      <c r="F10186" s="17"/>
      <c r="G10186" s="18" t="n">
        <v>0</v>
      </c>
      <c r="H10186" s="18" t="n">
        <v>3</v>
      </c>
      <c r="I10186" s="18" t="n">
        <f aca="false">((I10185 + G10186) - H10186)</f>
        <v>72378.9399999999</v>
      </c>
      <c r="J10186" s="18" t="n">
        <v>0</v>
      </c>
      <c r="K10186" s="19" t="n">
        <v>0</v>
      </c>
      <c r="L10186" s="17"/>
    </row>
    <row r="10187" s="11" customFormat="true" ht="10.95" hidden="false" customHeight="true" outlineLevel="0" collapsed="false">
      <c r="A10187" s="16" t="n">
        <v>45230</v>
      </c>
      <c r="B10187" s="17" t="s">
        <v>3861</v>
      </c>
      <c r="C10187" s="17" t="s">
        <v>3752</v>
      </c>
      <c r="D10187" s="17" t="s">
        <v>1407</v>
      </c>
      <c r="E10187" s="17" t="s">
        <v>3917</v>
      </c>
      <c r="F10187" s="17"/>
      <c r="G10187" s="18" t="n">
        <v>0</v>
      </c>
      <c r="H10187" s="18" t="n">
        <v>5</v>
      </c>
      <c r="I10187" s="18" t="n">
        <f aca="false">((I10186 + G10187) - H10187)</f>
        <v>72373.9399999999</v>
      </c>
      <c r="J10187" s="18" t="n">
        <v>0</v>
      </c>
      <c r="K10187" s="19" t="n">
        <v>0</v>
      </c>
      <c r="L10187" s="17"/>
    </row>
    <row r="10188" s="11" customFormat="true" ht="10.95" hidden="false" customHeight="true" outlineLevel="0" collapsed="false">
      <c r="A10188" s="16" t="n">
        <v>45230</v>
      </c>
      <c r="B10188" s="17" t="s">
        <v>3861</v>
      </c>
      <c r="C10188" s="17" t="s">
        <v>3752</v>
      </c>
      <c r="D10188" s="17" t="s">
        <v>1407</v>
      </c>
      <c r="E10188" s="17" t="s">
        <v>3776</v>
      </c>
      <c r="F10188" s="17"/>
      <c r="G10188" s="18" t="n">
        <v>0</v>
      </c>
      <c r="H10188" s="18" t="n">
        <v>610.53</v>
      </c>
      <c r="I10188" s="18" t="n">
        <f aca="false">((I10187 + G10188) - H10188)</f>
        <v>71763.4099999999</v>
      </c>
      <c r="J10188" s="18" t="n">
        <v>0</v>
      </c>
      <c r="K10188" s="19" t="n">
        <v>0</v>
      </c>
      <c r="L10188" s="17"/>
    </row>
    <row r="10189" s="11" customFormat="true" ht="10.95" hidden="false" customHeight="true" outlineLevel="0" collapsed="false">
      <c r="A10189" s="16" t="n">
        <v>45230</v>
      </c>
      <c r="B10189" s="17" t="s">
        <v>3861</v>
      </c>
      <c r="C10189" s="17" t="s">
        <v>3752</v>
      </c>
      <c r="D10189" s="17" t="s">
        <v>1407</v>
      </c>
      <c r="E10189" s="17" t="s">
        <v>3808</v>
      </c>
      <c r="F10189" s="17"/>
      <c r="G10189" s="18" t="n">
        <v>0</v>
      </c>
      <c r="H10189" s="18" t="n">
        <v>1000</v>
      </c>
      <c r="I10189" s="18" t="n">
        <f aca="false">((I10188 + G10189) - H10189)</f>
        <v>70763.4099999999</v>
      </c>
      <c r="J10189" s="18" t="n">
        <v>0</v>
      </c>
      <c r="K10189" s="19" t="n">
        <v>0</v>
      </c>
      <c r="L10189" s="17"/>
    </row>
    <row r="10190" s="11" customFormat="true" ht="10.95" hidden="false" customHeight="true" outlineLevel="0" collapsed="false">
      <c r="A10190" s="16" t="n">
        <v>45230</v>
      </c>
      <c r="B10190" s="17" t="s">
        <v>3861</v>
      </c>
      <c r="C10190" s="17" t="s">
        <v>3752</v>
      </c>
      <c r="D10190" s="17" t="s">
        <v>1407</v>
      </c>
      <c r="E10190" s="17" t="s">
        <v>3864</v>
      </c>
      <c r="F10190" s="17"/>
      <c r="G10190" s="18" t="n">
        <v>0</v>
      </c>
      <c r="H10190" s="18" t="n">
        <v>77.62</v>
      </c>
      <c r="I10190" s="18" t="n">
        <f aca="false">((I10189 + G10190) - H10190)</f>
        <v>70685.7899999999</v>
      </c>
      <c r="J10190" s="18" t="n">
        <v>0</v>
      </c>
      <c r="K10190" s="19" t="n">
        <v>0</v>
      </c>
      <c r="L10190" s="17"/>
    </row>
    <row r="10191" s="11" customFormat="true" ht="10.95" hidden="false" customHeight="true" outlineLevel="0" collapsed="false">
      <c r="A10191" s="16" t="n">
        <v>45230</v>
      </c>
      <c r="B10191" s="17" t="s">
        <v>3861</v>
      </c>
      <c r="C10191" s="17" t="s">
        <v>3752</v>
      </c>
      <c r="D10191" s="17" t="s">
        <v>1407</v>
      </c>
      <c r="E10191" s="17" t="s">
        <v>3865</v>
      </c>
      <c r="F10191" s="17"/>
      <c r="G10191" s="18" t="n">
        <v>0</v>
      </c>
      <c r="H10191" s="18" t="n">
        <v>82.5</v>
      </c>
      <c r="I10191" s="18" t="n">
        <f aca="false">((I10190 + G10191) - H10191)</f>
        <v>70603.2899999999</v>
      </c>
      <c r="J10191" s="18" t="n">
        <v>0</v>
      </c>
      <c r="K10191" s="19" t="n">
        <v>0</v>
      </c>
      <c r="L10191" s="17"/>
    </row>
    <row r="10192" s="11" customFormat="true" ht="10.95" hidden="false" customHeight="true" outlineLevel="0" collapsed="false">
      <c r="A10192" s="16" t="n">
        <v>45230</v>
      </c>
      <c r="B10192" s="17" t="s">
        <v>3861</v>
      </c>
      <c r="C10192" s="17" t="s">
        <v>3752</v>
      </c>
      <c r="D10192" s="17" t="s">
        <v>2903</v>
      </c>
      <c r="E10192" s="17" t="s">
        <v>2985</v>
      </c>
      <c r="F10192" s="17" t="s">
        <v>2362</v>
      </c>
      <c r="G10192" s="18" t="n">
        <v>0</v>
      </c>
      <c r="H10192" s="18" t="n">
        <v>245.91</v>
      </c>
      <c r="I10192" s="18" t="n">
        <f aca="false">((I10191 + G10192) - H10192)</f>
        <v>70357.3799999999</v>
      </c>
      <c r="J10192" s="18" t="n">
        <v>0</v>
      </c>
      <c r="K10192" s="19" t="n">
        <v>0</v>
      </c>
      <c r="L10192" s="17"/>
    </row>
    <row r="10193" s="11" customFormat="true" ht="10.95" hidden="false" customHeight="true" outlineLevel="0" collapsed="false">
      <c r="A10193" s="16" t="n">
        <v>45230</v>
      </c>
      <c r="B10193" s="17" t="s">
        <v>3861</v>
      </c>
      <c r="C10193" s="17" t="s">
        <v>3752</v>
      </c>
      <c r="D10193" s="17" t="s">
        <v>1407</v>
      </c>
      <c r="E10193" s="17" t="s">
        <v>3879</v>
      </c>
      <c r="F10193" s="17"/>
      <c r="G10193" s="18" t="n">
        <v>0</v>
      </c>
      <c r="H10193" s="18" t="n">
        <v>1561.45</v>
      </c>
      <c r="I10193" s="18" t="n">
        <f aca="false">((I10192 + G10193) - H10193)</f>
        <v>68795.9299999999</v>
      </c>
      <c r="J10193" s="18" t="n">
        <v>0</v>
      </c>
      <c r="K10193" s="19" t="n">
        <v>0</v>
      </c>
      <c r="L10193" s="17"/>
    </row>
    <row r="10194" s="11" customFormat="true" ht="10.95" hidden="false" customHeight="true" outlineLevel="0" collapsed="false">
      <c r="A10194" s="16" t="n">
        <v>45230</v>
      </c>
      <c r="B10194" s="17" t="s">
        <v>3861</v>
      </c>
      <c r="C10194" s="17" t="s">
        <v>3752</v>
      </c>
      <c r="D10194" s="17" t="s">
        <v>1407</v>
      </c>
      <c r="E10194" s="17" t="s">
        <v>3880</v>
      </c>
      <c r="F10194" s="17"/>
      <c r="G10194" s="18" t="n">
        <v>0</v>
      </c>
      <c r="H10194" s="18" t="n">
        <v>1567.44</v>
      </c>
      <c r="I10194" s="18" t="n">
        <f aca="false">((I10193 + G10194) - H10194)</f>
        <v>67228.4899999999</v>
      </c>
      <c r="J10194" s="18" t="n">
        <v>0</v>
      </c>
      <c r="K10194" s="19" t="n">
        <v>0</v>
      </c>
      <c r="L10194" s="17"/>
    </row>
    <row r="10195" s="11" customFormat="true" ht="10.95" hidden="false" customHeight="true" outlineLevel="0" collapsed="false">
      <c r="A10195" s="16" t="n">
        <v>45231</v>
      </c>
      <c r="B10195" s="17" t="s">
        <v>3861</v>
      </c>
      <c r="C10195" s="17" t="s">
        <v>3752</v>
      </c>
      <c r="D10195" s="17" t="s">
        <v>1276</v>
      </c>
      <c r="E10195" s="17" t="s">
        <v>3423</v>
      </c>
      <c r="F10195" s="17" t="s">
        <v>1318</v>
      </c>
      <c r="G10195" s="18" t="n">
        <v>1.61</v>
      </c>
      <c r="H10195" s="18" t="n">
        <v>0</v>
      </c>
      <c r="I10195" s="18" t="n">
        <f aca="false">((I10194 + G10195) - H10195)</f>
        <v>67230.0999999999</v>
      </c>
      <c r="J10195" s="18" t="n">
        <v>0</v>
      </c>
      <c r="K10195" s="19" t="n">
        <v>0</v>
      </c>
      <c r="L10195" s="17"/>
    </row>
    <row r="10196" s="11" customFormat="true" ht="10.95" hidden="false" customHeight="true" outlineLevel="0" collapsed="false">
      <c r="A10196" s="16" t="n">
        <v>45231</v>
      </c>
      <c r="B10196" s="17" t="s">
        <v>3861</v>
      </c>
      <c r="C10196" s="17" t="s">
        <v>3752</v>
      </c>
      <c r="D10196" s="17" t="s">
        <v>2895</v>
      </c>
      <c r="E10196" s="17" t="s">
        <v>2896</v>
      </c>
      <c r="F10196" s="17" t="s">
        <v>1318</v>
      </c>
      <c r="G10196" s="18" t="n">
        <v>90.27</v>
      </c>
      <c r="H10196" s="18" t="n">
        <v>0</v>
      </c>
      <c r="I10196" s="18" t="n">
        <f aca="false">((I10195 + G10196) - H10196)</f>
        <v>67320.3699999999</v>
      </c>
      <c r="J10196" s="18" t="n">
        <v>0</v>
      </c>
      <c r="K10196" s="19" t="n">
        <v>0</v>
      </c>
      <c r="L10196" s="17"/>
    </row>
    <row r="10197" s="11" customFormat="true" ht="10.95" hidden="false" customHeight="true" outlineLevel="0" collapsed="false">
      <c r="A10197" s="16" t="n">
        <v>45231</v>
      </c>
      <c r="B10197" s="17" t="s">
        <v>3861</v>
      </c>
      <c r="C10197" s="17" t="s">
        <v>3752</v>
      </c>
      <c r="D10197" s="17" t="s">
        <v>1407</v>
      </c>
      <c r="E10197" s="17" t="s">
        <v>3862</v>
      </c>
      <c r="F10197" s="17" t="s">
        <v>1318</v>
      </c>
      <c r="G10197" s="18" t="n">
        <v>0</v>
      </c>
      <c r="H10197" s="18" t="n">
        <v>3.52</v>
      </c>
      <c r="I10197" s="18" t="n">
        <f aca="false">((I10196 + G10197) - H10197)</f>
        <v>67316.8499999999</v>
      </c>
      <c r="J10197" s="18" t="n">
        <v>0</v>
      </c>
      <c r="K10197" s="19" t="n">
        <v>0</v>
      </c>
      <c r="L10197" s="17"/>
    </row>
    <row r="10198" s="11" customFormat="true" ht="10.95" hidden="false" customHeight="true" outlineLevel="0" collapsed="false">
      <c r="A10198" s="16" t="n">
        <v>45231</v>
      </c>
      <c r="B10198" s="17" t="s">
        <v>3861</v>
      </c>
      <c r="C10198" s="17" t="s">
        <v>3752</v>
      </c>
      <c r="D10198" s="17" t="s">
        <v>2895</v>
      </c>
      <c r="E10198" s="17" t="s">
        <v>2897</v>
      </c>
      <c r="F10198" s="17" t="s">
        <v>1320</v>
      </c>
      <c r="G10198" s="18" t="n">
        <v>602.01</v>
      </c>
      <c r="H10198" s="18" t="n">
        <v>0</v>
      </c>
      <c r="I10198" s="18" t="n">
        <f aca="false">((I10197 + G10198) - H10198)</f>
        <v>67918.8599999999</v>
      </c>
      <c r="J10198" s="18" t="n">
        <v>0</v>
      </c>
      <c r="K10198" s="19" t="n">
        <v>0</v>
      </c>
      <c r="L10198" s="17"/>
    </row>
    <row r="10199" s="11" customFormat="true" ht="10.95" hidden="false" customHeight="true" outlineLevel="0" collapsed="false">
      <c r="A10199" s="16" t="n">
        <v>45231</v>
      </c>
      <c r="B10199" s="17" t="s">
        <v>3861</v>
      </c>
      <c r="C10199" s="17" t="s">
        <v>3752</v>
      </c>
      <c r="D10199" s="17" t="s">
        <v>1407</v>
      </c>
      <c r="E10199" s="17" t="s">
        <v>3862</v>
      </c>
      <c r="F10199" s="17" t="s">
        <v>1320</v>
      </c>
      <c r="G10199" s="18" t="n">
        <v>0</v>
      </c>
      <c r="H10199" s="18" t="n">
        <v>21.74</v>
      </c>
      <c r="I10199" s="18" t="n">
        <f aca="false">((I10198 + G10199) - H10199)</f>
        <v>67897.1199999999</v>
      </c>
      <c r="J10199" s="18" t="n">
        <v>0</v>
      </c>
      <c r="K10199" s="19" t="n">
        <v>0</v>
      </c>
      <c r="L10199" s="17"/>
    </row>
    <row r="10200" s="11" customFormat="true" ht="10.95" hidden="false" customHeight="true" outlineLevel="0" collapsed="false">
      <c r="A10200" s="16" t="n">
        <v>45231</v>
      </c>
      <c r="B10200" s="17" t="s">
        <v>3861</v>
      </c>
      <c r="C10200" s="17" t="s">
        <v>3752</v>
      </c>
      <c r="D10200" s="17" t="s">
        <v>1276</v>
      </c>
      <c r="E10200" s="17" t="s">
        <v>3449</v>
      </c>
      <c r="F10200" s="17" t="s">
        <v>1320</v>
      </c>
      <c r="G10200" s="18" t="n">
        <v>10.76</v>
      </c>
      <c r="H10200" s="18" t="n">
        <v>0</v>
      </c>
      <c r="I10200" s="18" t="n">
        <f aca="false">((I10199 + G10200) - H10200)</f>
        <v>67907.8799999999</v>
      </c>
      <c r="J10200" s="18" t="n">
        <v>0</v>
      </c>
      <c r="K10200" s="19" t="n">
        <v>0</v>
      </c>
      <c r="L10200" s="17"/>
    </row>
    <row r="10201" s="11" customFormat="true" ht="10.95" hidden="false" customHeight="true" outlineLevel="0" collapsed="false">
      <c r="A10201" s="16" t="n">
        <v>45231</v>
      </c>
      <c r="B10201" s="17" t="s">
        <v>3861</v>
      </c>
      <c r="C10201" s="17" t="s">
        <v>3752</v>
      </c>
      <c r="D10201" s="17" t="s">
        <v>2895</v>
      </c>
      <c r="E10201" s="17" t="s">
        <v>3389</v>
      </c>
      <c r="F10201" s="17" t="s">
        <v>4084</v>
      </c>
      <c r="G10201" s="18" t="n">
        <v>4873</v>
      </c>
      <c r="H10201" s="18" t="n">
        <v>0</v>
      </c>
      <c r="I10201" s="18" t="n">
        <f aca="false">((I10200 + G10201) - H10201)</f>
        <v>72780.8799999999</v>
      </c>
      <c r="J10201" s="18" t="n">
        <v>0</v>
      </c>
      <c r="K10201" s="19" t="n">
        <v>0</v>
      </c>
      <c r="L10201" s="17"/>
    </row>
    <row r="10202" s="11" customFormat="true" ht="10.95" hidden="false" customHeight="true" outlineLevel="0" collapsed="false">
      <c r="A10202" s="16" t="n">
        <v>45231</v>
      </c>
      <c r="B10202" s="17" t="s">
        <v>3861</v>
      </c>
      <c r="C10202" s="17" t="s">
        <v>3752</v>
      </c>
      <c r="D10202" s="17" t="s">
        <v>2895</v>
      </c>
      <c r="E10202" s="17" t="s">
        <v>3373</v>
      </c>
      <c r="F10202" s="17" t="s">
        <v>4085</v>
      </c>
      <c r="G10202" s="18" t="n">
        <v>1386</v>
      </c>
      <c r="H10202" s="18" t="n">
        <v>0</v>
      </c>
      <c r="I10202" s="18" t="n">
        <f aca="false">((I10201 + G10202) - H10202)</f>
        <v>74166.8799999999</v>
      </c>
      <c r="J10202" s="18" t="n">
        <v>0</v>
      </c>
      <c r="K10202" s="19" t="n">
        <v>0</v>
      </c>
      <c r="L10202" s="17"/>
    </row>
    <row r="10203" s="11" customFormat="true" ht="10.95" hidden="false" customHeight="true" outlineLevel="0" collapsed="false">
      <c r="A10203" s="16" t="n">
        <v>45231</v>
      </c>
      <c r="B10203" s="17" t="s">
        <v>3861</v>
      </c>
      <c r="C10203" s="17" t="s">
        <v>3752</v>
      </c>
      <c r="D10203" s="17" t="s">
        <v>2895</v>
      </c>
      <c r="E10203" s="17" t="s">
        <v>3391</v>
      </c>
      <c r="F10203" s="17" t="s">
        <v>4086</v>
      </c>
      <c r="G10203" s="18" t="n">
        <v>1100.06</v>
      </c>
      <c r="H10203" s="18" t="n">
        <v>0</v>
      </c>
      <c r="I10203" s="18" t="n">
        <f aca="false">((I10202 + G10203) - H10203)</f>
        <v>75266.9399999999</v>
      </c>
      <c r="J10203" s="18" t="n">
        <v>0</v>
      </c>
      <c r="K10203" s="19" t="n">
        <v>0</v>
      </c>
      <c r="L10203" s="17"/>
    </row>
    <row r="10204" s="11" customFormat="true" ht="10.95" hidden="false" customHeight="true" outlineLevel="0" collapsed="false">
      <c r="A10204" s="16" t="n">
        <v>45231</v>
      </c>
      <c r="B10204" s="17" t="s">
        <v>3861</v>
      </c>
      <c r="C10204" s="17" t="s">
        <v>3752</v>
      </c>
      <c r="D10204" s="17" t="s">
        <v>2895</v>
      </c>
      <c r="E10204" s="17" t="s">
        <v>2898</v>
      </c>
      <c r="F10204" s="17" t="s">
        <v>2986</v>
      </c>
      <c r="G10204" s="18" t="n">
        <v>736.4</v>
      </c>
      <c r="H10204" s="18" t="n">
        <v>0</v>
      </c>
      <c r="I10204" s="18" t="n">
        <f aca="false">((I10203 + G10204) - H10204)</f>
        <v>76003.3399999999</v>
      </c>
      <c r="J10204" s="18" t="n">
        <v>0</v>
      </c>
      <c r="K10204" s="19" t="n">
        <v>0</v>
      </c>
      <c r="L10204" s="17"/>
    </row>
    <row r="10205" s="11" customFormat="true" ht="10.95" hidden="false" customHeight="true" outlineLevel="0" collapsed="false">
      <c r="A10205" s="16" t="n">
        <v>45231</v>
      </c>
      <c r="B10205" s="17" t="s">
        <v>3861</v>
      </c>
      <c r="C10205" s="17" t="s">
        <v>3752</v>
      </c>
      <c r="D10205" s="17" t="s">
        <v>1407</v>
      </c>
      <c r="E10205" s="17" t="s">
        <v>3863</v>
      </c>
      <c r="F10205" s="17"/>
      <c r="G10205" s="18" t="n">
        <v>0</v>
      </c>
      <c r="H10205" s="18" t="n">
        <v>0.71</v>
      </c>
      <c r="I10205" s="18" t="n">
        <f aca="false">((I10204 + G10205) - H10205)</f>
        <v>76002.6299999999</v>
      </c>
      <c r="J10205" s="18" t="n">
        <v>0</v>
      </c>
      <c r="K10205" s="19" t="n">
        <v>0</v>
      </c>
      <c r="L10205" s="17"/>
    </row>
    <row r="10206" s="11" customFormat="true" ht="10.95" hidden="false" customHeight="true" outlineLevel="0" collapsed="false">
      <c r="A10206" s="16" t="n">
        <v>45231</v>
      </c>
      <c r="B10206" s="17" t="s">
        <v>3861</v>
      </c>
      <c r="C10206" s="17" t="s">
        <v>3752</v>
      </c>
      <c r="D10206" s="17" t="s">
        <v>1407</v>
      </c>
      <c r="E10206" s="17" t="s">
        <v>3863</v>
      </c>
      <c r="F10206" s="17"/>
      <c r="G10206" s="18" t="n">
        <v>0</v>
      </c>
      <c r="H10206" s="18" t="n">
        <v>10</v>
      </c>
      <c r="I10206" s="18" t="n">
        <f aca="false">((I10205 + G10206) - H10206)</f>
        <v>75992.6299999999</v>
      </c>
      <c r="J10206" s="18" t="n">
        <v>0</v>
      </c>
      <c r="K10206" s="19" t="n">
        <v>0</v>
      </c>
      <c r="L10206" s="17"/>
    </row>
    <row r="10207" s="11" customFormat="true" ht="10.95" hidden="false" customHeight="true" outlineLevel="0" collapsed="false">
      <c r="A10207" s="16" t="n">
        <v>45231</v>
      </c>
      <c r="B10207" s="17" t="s">
        <v>3861</v>
      </c>
      <c r="C10207" s="17" t="s">
        <v>3752</v>
      </c>
      <c r="D10207" s="17" t="s">
        <v>1407</v>
      </c>
      <c r="E10207" s="17" t="s">
        <v>3881</v>
      </c>
      <c r="F10207" s="17"/>
      <c r="G10207" s="18" t="n">
        <v>0</v>
      </c>
      <c r="H10207" s="18" t="n">
        <v>140</v>
      </c>
      <c r="I10207" s="18" t="n">
        <f aca="false">((I10206 + G10207) - H10207)</f>
        <v>75852.6299999999</v>
      </c>
      <c r="J10207" s="18" t="n">
        <v>0</v>
      </c>
      <c r="K10207" s="19" t="n">
        <v>0</v>
      </c>
      <c r="L10207" s="17"/>
    </row>
    <row r="10208" s="11" customFormat="true" ht="10.95" hidden="false" customHeight="true" outlineLevel="0" collapsed="false">
      <c r="A10208" s="16" t="n">
        <v>45231</v>
      </c>
      <c r="B10208" s="17" t="s">
        <v>3861</v>
      </c>
      <c r="C10208" s="17" t="s">
        <v>3752</v>
      </c>
      <c r="D10208" s="17" t="s">
        <v>1407</v>
      </c>
      <c r="E10208" s="17" t="s">
        <v>3946</v>
      </c>
      <c r="F10208" s="17"/>
      <c r="G10208" s="18" t="n">
        <v>0</v>
      </c>
      <c r="H10208" s="18" t="n">
        <v>789.67</v>
      </c>
      <c r="I10208" s="18" t="n">
        <f aca="false">((I10207 + G10208) - H10208)</f>
        <v>75062.9599999999</v>
      </c>
      <c r="J10208" s="18" t="n">
        <v>0</v>
      </c>
      <c r="K10208" s="19" t="n">
        <v>0</v>
      </c>
      <c r="L10208" s="17"/>
    </row>
    <row r="10209" s="11" customFormat="true" ht="10.95" hidden="false" customHeight="true" outlineLevel="0" collapsed="false">
      <c r="A10209" s="16" t="n">
        <v>45231</v>
      </c>
      <c r="B10209" s="17" t="s">
        <v>3861</v>
      </c>
      <c r="C10209" s="17" t="s">
        <v>3752</v>
      </c>
      <c r="D10209" s="17" t="s">
        <v>1407</v>
      </c>
      <c r="E10209" s="17" t="s">
        <v>3879</v>
      </c>
      <c r="F10209" s="17"/>
      <c r="G10209" s="18" t="n">
        <v>0</v>
      </c>
      <c r="H10209" s="18" t="n">
        <v>1207</v>
      </c>
      <c r="I10209" s="18" t="n">
        <f aca="false">((I10208 + G10209) - H10209)</f>
        <v>73855.9599999999</v>
      </c>
      <c r="J10209" s="18" t="n">
        <v>0</v>
      </c>
      <c r="K10209" s="19" t="n">
        <v>0</v>
      </c>
      <c r="L10209" s="17"/>
    </row>
    <row r="10210" s="11" customFormat="true" ht="10.95" hidden="false" customHeight="true" outlineLevel="0" collapsed="false">
      <c r="A10210" s="16" t="n">
        <v>45231</v>
      </c>
      <c r="B10210" s="17" t="s">
        <v>3861</v>
      </c>
      <c r="C10210" s="17" t="s">
        <v>3752</v>
      </c>
      <c r="D10210" s="17" t="s">
        <v>1407</v>
      </c>
      <c r="E10210" s="17" t="s">
        <v>3880</v>
      </c>
      <c r="F10210" s="17"/>
      <c r="G10210" s="18" t="n">
        <v>0</v>
      </c>
      <c r="H10210" s="18" t="n">
        <v>1207</v>
      </c>
      <c r="I10210" s="18" t="n">
        <f aca="false">((I10209 + G10210) - H10210)</f>
        <v>72648.9599999999</v>
      </c>
      <c r="J10210" s="18" t="n">
        <v>0</v>
      </c>
      <c r="K10210" s="19" t="n">
        <v>0</v>
      </c>
      <c r="L10210" s="17"/>
    </row>
    <row r="10211" s="11" customFormat="true" ht="10.95" hidden="false" customHeight="true" outlineLevel="0" collapsed="false">
      <c r="A10211" s="16" t="n">
        <v>45231</v>
      </c>
      <c r="B10211" s="17" t="s">
        <v>3861</v>
      </c>
      <c r="C10211" s="17" t="s">
        <v>3752</v>
      </c>
      <c r="D10211" s="17" t="s">
        <v>1407</v>
      </c>
      <c r="E10211" s="17" t="s">
        <v>3808</v>
      </c>
      <c r="F10211" s="17"/>
      <c r="G10211" s="18" t="n">
        <v>0</v>
      </c>
      <c r="H10211" s="18" t="n">
        <v>1705.92</v>
      </c>
      <c r="I10211" s="18" t="n">
        <f aca="false">((I10210 + G10211) - H10211)</f>
        <v>70943.0399999999</v>
      </c>
      <c r="J10211" s="18" t="n">
        <v>0</v>
      </c>
      <c r="K10211" s="19" t="n">
        <v>0</v>
      </c>
      <c r="L10211" s="17"/>
    </row>
    <row r="10212" s="11" customFormat="true" ht="10.95" hidden="false" customHeight="true" outlineLevel="0" collapsed="false">
      <c r="A10212" s="16" t="n">
        <v>45231</v>
      </c>
      <c r="B10212" s="17" t="s">
        <v>3861</v>
      </c>
      <c r="C10212" s="17" t="s">
        <v>3752</v>
      </c>
      <c r="D10212" s="17" t="s">
        <v>2903</v>
      </c>
      <c r="E10212" s="17" t="s">
        <v>3616</v>
      </c>
      <c r="F10212" s="17" t="s">
        <v>3270</v>
      </c>
      <c r="G10212" s="18" t="n">
        <v>0</v>
      </c>
      <c r="H10212" s="18" t="n">
        <v>2905.1</v>
      </c>
      <c r="I10212" s="18" t="n">
        <f aca="false">((I10211 + G10212) - H10212)</f>
        <v>68037.9399999999</v>
      </c>
      <c r="J10212" s="18" t="n">
        <v>0</v>
      </c>
      <c r="K10212" s="19" t="n">
        <v>0</v>
      </c>
      <c r="L10212" s="17"/>
    </row>
    <row r="10213" s="11" customFormat="true" ht="10.95" hidden="false" customHeight="true" outlineLevel="0" collapsed="false">
      <c r="A10213" s="16" t="n">
        <v>45231</v>
      </c>
      <c r="B10213" s="17" t="s">
        <v>3861</v>
      </c>
      <c r="C10213" s="17" t="s">
        <v>3752</v>
      </c>
      <c r="D10213" s="17" t="s">
        <v>1407</v>
      </c>
      <c r="E10213" s="17" t="s">
        <v>3615</v>
      </c>
      <c r="F10213" s="17"/>
      <c r="G10213" s="18" t="n">
        <v>0</v>
      </c>
      <c r="H10213" s="18" t="n">
        <v>155.42</v>
      </c>
      <c r="I10213" s="18" t="n">
        <f aca="false">((I10212 + G10213) - H10213)</f>
        <v>67882.5199999999</v>
      </c>
      <c r="J10213" s="18" t="n">
        <v>0</v>
      </c>
      <c r="K10213" s="19" t="n">
        <v>0</v>
      </c>
      <c r="L10213" s="17"/>
    </row>
    <row r="10214" s="11" customFormat="true" ht="10.95" hidden="false" customHeight="true" outlineLevel="0" collapsed="false">
      <c r="A10214" s="16" t="n">
        <v>45231</v>
      </c>
      <c r="B10214" s="17" t="s">
        <v>3861</v>
      </c>
      <c r="C10214" s="17" t="s">
        <v>3752</v>
      </c>
      <c r="D10214" s="17" t="s">
        <v>2903</v>
      </c>
      <c r="E10214" s="17" t="s">
        <v>3645</v>
      </c>
      <c r="F10214" s="17" t="s">
        <v>1448</v>
      </c>
      <c r="G10214" s="18" t="n">
        <v>0</v>
      </c>
      <c r="H10214" s="18" t="n">
        <v>538.76</v>
      </c>
      <c r="I10214" s="18" t="n">
        <f aca="false">((I10213 + G10214) - H10214)</f>
        <v>67343.7599999999</v>
      </c>
      <c r="J10214" s="18" t="n">
        <v>0</v>
      </c>
      <c r="K10214" s="19" t="n">
        <v>0</v>
      </c>
      <c r="L10214" s="17"/>
    </row>
    <row r="10215" s="11" customFormat="true" ht="10.95" hidden="false" customHeight="true" outlineLevel="0" collapsed="false">
      <c r="A10215" s="16" t="n">
        <v>45231</v>
      </c>
      <c r="B10215" s="17" t="s">
        <v>3861</v>
      </c>
      <c r="C10215" s="17" t="s">
        <v>3752</v>
      </c>
      <c r="D10215" s="17" t="s">
        <v>2903</v>
      </c>
      <c r="E10215" s="17" t="s">
        <v>3645</v>
      </c>
      <c r="F10215" s="17" t="s">
        <v>1450</v>
      </c>
      <c r="G10215" s="18" t="n">
        <v>0</v>
      </c>
      <c r="H10215" s="18" t="n">
        <v>17914.78</v>
      </c>
      <c r="I10215" s="18" t="n">
        <f aca="false">((I10214 + G10215) - H10215)</f>
        <v>49428.9799999999</v>
      </c>
      <c r="J10215" s="18" t="n">
        <v>0</v>
      </c>
      <c r="K10215" s="19" t="n">
        <v>0</v>
      </c>
      <c r="L10215" s="17"/>
    </row>
    <row r="10216" s="11" customFormat="true" ht="10.95" hidden="false" customHeight="true" outlineLevel="0" collapsed="false">
      <c r="A10216" s="16" t="n">
        <v>45231</v>
      </c>
      <c r="B10216" s="17" t="s">
        <v>3861</v>
      </c>
      <c r="C10216" s="17" t="s">
        <v>3752</v>
      </c>
      <c r="D10216" s="17" t="s">
        <v>2903</v>
      </c>
      <c r="E10216" s="17" t="s">
        <v>3645</v>
      </c>
      <c r="F10216" s="17" t="s">
        <v>1452</v>
      </c>
      <c r="G10216" s="18" t="n">
        <v>0</v>
      </c>
      <c r="H10216" s="18" t="n">
        <v>1996.5</v>
      </c>
      <c r="I10216" s="18" t="n">
        <f aca="false">((I10215 + G10216) - H10216)</f>
        <v>47432.4799999999</v>
      </c>
      <c r="J10216" s="18" t="n">
        <v>0</v>
      </c>
      <c r="K10216" s="19" t="n">
        <v>0</v>
      </c>
      <c r="L10216" s="17"/>
    </row>
    <row r="10217" s="11" customFormat="true" ht="10.95" hidden="false" customHeight="true" outlineLevel="0" collapsed="false">
      <c r="A10217" s="16" t="n">
        <v>45231</v>
      </c>
      <c r="B10217" s="17" t="s">
        <v>3861</v>
      </c>
      <c r="C10217" s="17" t="s">
        <v>3752</v>
      </c>
      <c r="D10217" s="17" t="s">
        <v>1407</v>
      </c>
      <c r="E10217" s="17" t="s">
        <v>3771</v>
      </c>
      <c r="F10217" s="17"/>
      <c r="G10217" s="18" t="n">
        <v>0</v>
      </c>
      <c r="H10217" s="18" t="n">
        <v>23.73</v>
      </c>
      <c r="I10217" s="18" t="n">
        <f aca="false">((I10216 + G10217) - H10217)</f>
        <v>47408.7499999999</v>
      </c>
      <c r="J10217" s="18" t="n">
        <v>0</v>
      </c>
      <c r="K10217" s="19" t="n">
        <v>0</v>
      </c>
      <c r="L10217" s="17"/>
    </row>
    <row r="10218" s="11" customFormat="true" ht="10.95" hidden="false" customHeight="true" outlineLevel="0" collapsed="false">
      <c r="A10218" s="16" t="n">
        <v>45231</v>
      </c>
      <c r="B10218" s="17" t="s">
        <v>3861</v>
      </c>
      <c r="C10218" s="17" t="s">
        <v>3752</v>
      </c>
      <c r="D10218" s="17" t="s">
        <v>2903</v>
      </c>
      <c r="E10218" s="17" t="s">
        <v>3679</v>
      </c>
      <c r="F10218" s="17" t="s">
        <v>2043</v>
      </c>
      <c r="G10218" s="18" t="n">
        <v>0</v>
      </c>
      <c r="H10218" s="18" t="n">
        <v>6648.73</v>
      </c>
      <c r="I10218" s="18" t="n">
        <f aca="false">((I10217 + G10218) - H10218)</f>
        <v>40760.0199999999</v>
      </c>
      <c r="J10218" s="18" t="n">
        <v>0</v>
      </c>
      <c r="K10218" s="19" t="n">
        <v>0</v>
      </c>
      <c r="L10218" s="17"/>
    </row>
    <row r="10219" s="11" customFormat="true" ht="10.95" hidden="false" customHeight="true" outlineLevel="0" collapsed="false">
      <c r="A10219" s="16" t="n">
        <v>45231</v>
      </c>
      <c r="B10219" s="17" t="s">
        <v>3861</v>
      </c>
      <c r="C10219" s="17" t="s">
        <v>3752</v>
      </c>
      <c r="D10219" s="17" t="s">
        <v>3753</v>
      </c>
      <c r="E10219" s="17" t="s">
        <v>3806</v>
      </c>
      <c r="F10219" s="17"/>
      <c r="G10219" s="18" t="n">
        <v>0</v>
      </c>
      <c r="H10219" s="18" t="n">
        <v>30</v>
      </c>
      <c r="I10219" s="18" t="n">
        <f aca="false">((I10218 + G10219) - H10219)</f>
        <v>40730.0199999999</v>
      </c>
      <c r="J10219" s="18" t="n">
        <v>0</v>
      </c>
      <c r="K10219" s="19" t="n">
        <v>0</v>
      </c>
      <c r="L10219" s="17"/>
    </row>
    <row r="10220" s="11" customFormat="true" ht="10.95" hidden="false" customHeight="true" outlineLevel="0" collapsed="false">
      <c r="A10220" s="16" t="n">
        <v>45232</v>
      </c>
      <c r="B10220" s="17" t="s">
        <v>3861</v>
      </c>
      <c r="C10220" s="17" t="s">
        <v>3752</v>
      </c>
      <c r="D10220" s="17" t="s">
        <v>2895</v>
      </c>
      <c r="E10220" s="17" t="s">
        <v>2909</v>
      </c>
      <c r="F10220" s="17" t="s">
        <v>1322</v>
      </c>
      <c r="G10220" s="18" t="n">
        <v>1483.48</v>
      </c>
      <c r="H10220" s="18" t="n">
        <v>0</v>
      </c>
      <c r="I10220" s="18" t="n">
        <f aca="false">((I10219 + G10220) - H10220)</f>
        <v>42213.4999999999</v>
      </c>
      <c r="J10220" s="18" t="n">
        <v>0</v>
      </c>
      <c r="K10220" s="19" t="n">
        <v>0</v>
      </c>
      <c r="L10220" s="17"/>
    </row>
    <row r="10221" s="11" customFormat="true" ht="10.95" hidden="false" customHeight="true" outlineLevel="0" collapsed="false">
      <c r="A10221" s="16" t="n">
        <v>45232</v>
      </c>
      <c r="B10221" s="17" t="s">
        <v>3861</v>
      </c>
      <c r="C10221" s="17" t="s">
        <v>3752</v>
      </c>
      <c r="D10221" s="17" t="s">
        <v>1276</v>
      </c>
      <c r="E10221" s="17" t="s">
        <v>3414</v>
      </c>
      <c r="F10221" s="17" t="s">
        <v>1322</v>
      </c>
      <c r="G10221" s="18" t="n">
        <v>26.42</v>
      </c>
      <c r="H10221" s="18" t="n">
        <v>0</v>
      </c>
      <c r="I10221" s="18" t="n">
        <f aca="false">((I10220 + G10221) - H10221)</f>
        <v>42239.9199999999</v>
      </c>
      <c r="J10221" s="18" t="n">
        <v>0</v>
      </c>
      <c r="K10221" s="19" t="n">
        <v>0</v>
      </c>
      <c r="L10221" s="17"/>
    </row>
    <row r="10222" s="11" customFormat="true" ht="10.95" hidden="false" customHeight="true" outlineLevel="0" collapsed="false">
      <c r="A10222" s="16" t="n">
        <v>45232</v>
      </c>
      <c r="B10222" s="17" t="s">
        <v>3861</v>
      </c>
      <c r="C10222" s="17" t="s">
        <v>3752</v>
      </c>
      <c r="D10222" s="17" t="s">
        <v>1407</v>
      </c>
      <c r="E10222" s="17" t="s">
        <v>3862</v>
      </c>
      <c r="F10222" s="17" t="s">
        <v>1322</v>
      </c>
      <c r="G10222" s="18" t="n">
        <v>0</v>
      </c>
      <c r="H10222" s="18" t="n">
        <v>53.13</v>
      </c>
      <c r="I10222" s="18" t="n">
        <f aca="false">((I10221 + G10222) - H10222)</f>
        <v>42186.7899999999</v>
      </c>
      <c r="J10222" s="18" t="n">
        <v>0</v>
      </c>
      <c r="K10222" s="19" t="n">
        <v>0</v>
      </c>
      <c r="L10222" s="17"/>
    </row>
    <row r="10223" s="11" customFormat="true" ht="10.95" hidden="false" customHeight="true" outlineLevel="0" collapsed="false">
      <c r="A10223" s="16" t="n">
        <v>45232</v>
      </c>
      <c r="B10223" s="17" t="s">
        <v>3861</v>
      </c>
      <c r="C10223" s="17" t="s">
        <v>3752</v>
      </c>
      <c r="D10223" s="17" t="s">
        <v>2895</v>
      </c>
      <c r="E10223" s="17" t="s">
        <v>3497</v>
      </c>
      <c r="F10223" s="17" t="s">
        <v>4087</v>
      </c>
      <c r="G10223" s="18" t="n">
        <v>1071.4</v>
      </c>
      <c r="H10223" s="18" t="n">
        <v>0</v>
      </c>
      <c r="I10223" s="18" t="n">
        <f aca="false">((I10222 + G10223) - H10223)</f>
        <v>43258.1899999999</v>
      </c>
      <c r="J10223" s="18" t="n">
        <v>0</v>
      </c>
      <c r="K10223" s="19" t="n">
        <v>0</v>
      </c>
      <c r="L10223" s="17"/>
    </row>
    <row r="10224" s="11" customFormat="true" ht="10.95" hidden="false" customHeight="true" outlineLevel="0" collapsed="false">
      <c r="A10224" s="16" t="n">
        <v>45232</v>
      </c>
      <c r="B10224" s="17" t="s">
        <v>3861</v>
      </c>
      <c r="C10224" s="17" t="s">
        <v>3752</v>
      </c>
      <c r="D10224" s="17" t="s">
        <v>2895</v>
      </c>
      <c r="E10224" s="17" t="s">
        <v>3401</v>
      </c>
      <c r="F10224" s="17" t="s">
        <v>4088</v>
      </c>
      <c r="G10224" s="18" t="n">
        <v>561</v>
      </c>
      <c r="H10224" s="18" t="n">
        <v>0</v>
      </c>
      <c r="I10224" s="18" t="n">
        <f aca="false">((I10223 + G10224) - H10224)</f>
        <v>43819.1899999999</v>
      </c>
      <c r="J10224" s="18" t="n">
        <v>0</v>
      </c>
      <c r="K10224" s="19" t="n">
        <v>0</v>
      </c>
      <c r="L10224" s="17"/>
    </row>
    <row r="10225" s="11" customFormat="true" ht="10.95" hidden="false" customHeight="true" outlineLevel="0" collapsed="false">
      <c r="A10225" s="16" t="n">
        <v>45232</v>
      </c>
      <c r="B10225" s="17" t="s">
        <v>3861</v>
      </c>
      <c r="C10225" s="17" t="s">
        <v>3752</v>
      </c>
      <c r="D10225" s="17" t="s">
        <v>2903</v>
      </c>
      <c r="E10225" s="17" t="s">
        <v>3637</v>
      </c>
      <c r="F10225" s="17" t="s">
        <v>2651</v>
      </c>
      <c r="G10225" s="18" t="n">
        <v>0</v>
      </c>
      <c r="H10225" s="18" t="n">
        <v>104.95</v>
      </c>
      <c r="I10225" s="18" t="n">
        <f aca="false">((I10224 + G10225) - H10225)</f>
        <v>43714.2399999999</v>
      </c>
      <c r="J10225" s="18" t="n">
        <v>0</v>
      </c>
      <c r="K10225" s="19" t="n">
        <v>0</v>
      </c>
      <c r="L10225" s="17"/>
    </row>
    <row r="10226" s="11" customFormat="true" ht="10.95" hidden="false" customHeight="true" outlineLevel="0" collapsed="false">
      <c r="A10226" s="16" t="n">
        <v>45233</v>
      </c>
      <c r="B10226" s="17" t="s">
        <v>3861</v>
      </c>
      <c r="C10226" s="17" t="s">
        <v>3752</v>
      </c>
      <c r="D10226" s="17" t="s">
        <v>2895</v>
      </c>
      <c r="E10226" s="17" t="s">
        <v>3384</v>
      </c>
      <c r="F10226" s="17" t="s">
        <v>4089</v>
      </c>
      <c r="G10226" s="18" t="n">
        <v>1716</v>
      </c>
      <c r="H10226" s="18" t="n">
        <v>0</v>
      </c>
      <c r="I10226" s="18" t="n">
        <f aca="false">((I10225 + G10226) - H10226)</f>
        <v>45430.2399999999</v>
      </c>
      <c r="J10226" s="18" t="n">
        <v>0</v>
      </c>
      <c r="K10226" s="19" t="n">
        <v>0</v>
      </c>
      <c r="L10226" s="17"/>
    </row>
    <row r="10227" s="11" customFormat="true" ht="10.95" hidden="false" customHeight="true" outlineLevel="0" collapsed="false">
      <c r="A10227" s="16" t="n">
        <v>45233</v>
      </c>
      <c r="B10227" s="17" t="s">
        <v>3861</v>
      </c>
      <c r="C10227" s="17" t="s">
        <v>3752</v>
      </c>
      <c r="D10227" s="17" t="s">
        <v>2895</v>
      </c>
      <c r="E10227" s="17" t="s">
        <v>3384</v>
      </c>
      <c r="F10227" s="17" t="s">
        <v>4090</v>
      </c>
      <c r="G10227" s="18" t="n">
        <v>1672</v>
      </c>
      <c r="H10227" s="18" t="n">
        <v>0</v>
      </c>
      <c r="I10227" s="18" t="n">
        <f aca="false">((I10226 + G10227) - H10227)</f>
        <v>47102.2399999999</v>
      </c>
      <c r="J10227" s="18" t="n">
        <v>0</v>
      </c>
      <c r="K10227" s="19" t="n">
        <v>0</v>
      </c>
      <c r="L10227" s="17"/>
    </row>
    <row r="10228" s="11" customFormat="true" ht="10.95" hidden="false" customHeight="true" outlineLevel="0" collapsed="false">
      <c r="A10228" s="16" t="n">
        <v>45233</v>
      </c>
      <c r="B10228" s="17" t="s">
        <v>3861</v>
      </c>
      <c r="C10228" s="17" t="s">
        <v>3752</v>
      </c>
      <c r="D10228" s="17" t="s">
        <v>2895</v>
      </c>
      <c r="E10228" s="17" t="s">
        <v>3384</v>
      </c>
      <c r="F10228" s="17" t="s">
        <v>4091</v>
      </c>
      <c r="G10228" s="18" t="n">
        <v>2194.5</v>
      </c>
      <c r="H10228" s="18" t="n">
        <v>0</v>
      </c>
      <c r="I10228" s="18" t="n">
        <f aca="false">((I10227 + G10228) - H10228)</f>
        <v>49296.7399999999</v>
      </c>
      <c r="J10228" s="18" t="n">
        <v>0</v>
      </c>
      <c r="K10228" s="19" t="n">
        <v>0</v>
      </c>
      <c r="L10228" s="17"/>
    </row>
    <row r="10229" s="11" customFormat="true" ht="10.95" hidden="false" customHeight="true" outlineLevel="0" collapsed="false">
      <c r="A10229" s="16" t="n">
        <v>45233</v>
      </c>
      <c r="B10229" s="17" t="s">
        <v>3861</v>
      </c>
      <c r="C10229" s="17" t="s">
        <v>3752</v>
      </c>
      <c r="D10229" s="17" t="s">
        <v>2895</v>
      </c>
      <c r="E10229" s="17" t="s">
        <v>3384</v>
      </c>
      <c r="F10229" s="17" t="s">
        <v>4092</v>
      </c>
      <c r="G10229" s="18" t="n">
        <v>2821.5</v>
      </c>
      <c r="H10229" s="18" t="n">
        <v>0</v>
      </c>
      <c r="I10229" s="18" t="n">
        <f aca="false">((I10228 + G10229) - H10229)</f>
        <v>52118.2399999999</v>
      </c>
      <c r="J10229" s="18" t="n">
        <v>0</v>
      </c>
      <c r="K10229" s="19" t="n">
        <v>0</v>
      </c>
      <c r="L10229" s="17"/>
    </row>
    <row r="10230" s="11" customFormat="true" ht="10.95" hidden="false" customHeight="true" outlineLevel="0" collapsed="false">
      <c r="A10230" s="16" t="n">
        <v>45233</v>
      </c>
      <c r="B10230" s="17" t="s">
        <v>3861</v>
      </c>
      <c r="C10230" s="17" t="s">
        <v>3752</v>
      </c>
      <c r="D10230" s="17" t="s">
        <v>3814</v>
      </c>
      <c r="E10230" s="17" t="s">
        <v>3815</v>
      </c>
      <c r="F10230" s="17"/>
      <c r="G10230" s="18" t="n">
        <v>0</v>
      </c>
      <c r="H10230" s="18" t="n">
        <v>5</v>
      </c>
      <c r="I10230" s="18" t="n">
        <f aca="false">((I10229 + G10230) - H10230)</f>
        <v>52113.2399999999</v>
      </c>
      <c r="J10230" s="18" t="n">
        <v>0</v>
      </c>
      <c r="K10230" s="19" t="n">
        <v>0</v>
      </c>
      <c r="L10230" s="17"/>
    </row>
    <row r="10231" s="11" customFormat="true" ht="10.95" hidden="false" customHeight="true" outlineLevel="0" collapsed="false">
      <c r="A10231" s="16" t="n">
        <v>45233</v>
      </c>
      <c r="B10231" s="17" t="s">
        <v>3861</v>
      </c>
      <c r="C10231" s="17" t="s">
        <v>3752</v>
      </c>
      <c r="D10231" s="17" t="s">
        <v>1407</v>
      </c>
      <c r="E10231" s="17" t="s">
        <v>3946</v>
      </c>
      <c r="F10231" s="17"/>
      <c r="G10231" s="18" t="n">
        <v>0</v>
      </c>
      <c r="H10231" s="18" t="n">
        <v>136.01</v>
      </c>
      <c r="I10231" s="18" t="n">
        <f aca="false">((I10230 + G10231) - H10231)</f>
        <v>51977.2299999999</v>
      </c>
      <c r="J10231" s="18" t="n">
        <v>0</v>
      </c>
      <c r="K10231" s="19" t="n">
        <v>0</v>
      </c>
      <c r="L10231" s="17"/>
    </row>
    <row r="10232" s="11" customFormat="true" ht="10.95" hidden="false" customHeight="true" outlineLevel="0" collapsed="false">
      <c r="A10232" s="16" t="n">
        <v>45233</v>
      </c>
      <c r="B10232" s="17" t="s">
        <v>3861</v>
      </c>
      <c r="C10232" s="17" t="s">
        <v>3752</v>
      </c>
      <c r="D10232" s="17" t="s">
        <v>2895</v>
      </c>
      <c r="E10232" s="17" t="s">
        <v>2917</v>
      </c>
      <c r="F10232" s="17" t="s">
        <v>2987</v>
      </c>
      <c r="G10232" s="18" t="n">
        <v>1320.34</v>
      </c>
      <c r="H10232" s="18" t="n">
        <v>0</v>
      </c>
      <c r="I10232" s="18" t="n">
        <f aca="false">((I10231 + G10232) - H10232)</f>
        <v>53297.5699999999</v>
      </c>
      <c r="J10232" s="18" t="n">
        <v>0</v>
      </c>
      <c r="K10232" s="19" t="n">
        <v>0</v>
      </c>
      <c r="L10232" s="17"/>
    </row>
    <row r="10233" s="11" customFormat="true" ht="10.95" hidden="false" customHeight="true" outlineLevel="0" collapsed="false">
      <c r="A10233" s="16" t="n">
        <v>45233</v>
      </c>
      <c r="B10233" s="17" t="s">
        <v>3861</v>
      </c>
      <c r="C10233" s="17" t="s">
        <v>3752</v>
      </c>
      <c r="D10233" s="17" t="s">
        <v>3814</v>
      </c>
      <c r="E10233" s="17" t="s">
        <v>3815</v>
      </c>
      <c r="F10233" s="17"/>
      <c r="G10233" s="18" t="n">
        <v>0</v>
      </c>
      <c r="H10233" s="18" t="n">
        <v>0.71</v>
      </c>
      <c r="I10233" s="18" t="n">
        <f aca="false">((I10232 + G10233) - H10233)</f>
        <v>53296.8599999999</v>
      </c>
      <c r="J10233" s="18" t="n">
        <v>0</v>
      </c>
      <c r="K10233" s="19" t="n">
        <v>0</v>
      </c>
      <c r="L10233" s="17"/>
    </row>
    <row r="10234" s="11" customFormat="true" ht="10.95" hidden="false" customHeight="true" outlineLevel="0" collapsed="false">
      <c r="A10234" s="16" t="n">
        <v>45233</v>
      </c>
      <c r="B10234" s="17" t="s">
        <v>3861</v>
      </c>
      <c r="C10234" s="17" t="s">
        <v>3752</v>
      </c>
      <c r="D10234" s="17" t="s">
        <v>1407</v>
      </c>
      <c r="E10234" s="17" t="s">
        <v>4093</v>
      </c>
      <c r="F10234" s="17"/>
      <c r="G10234" s="18" t="n">
        <v>0</v>
      </c>
      <c r="H10234" s="18" t="n">
        <v>50</v>
      </c>
      <c r="I10234" s="18" t="n">
        <f aca="false">((I10233 + G10234) - H10234)</f>
        <v>53246.8599999999</v>
      </c>
      <c r="J10234" s="18" t="n">
        <v>0</v>
      </c>
      <c r="K10234" s="19" t="n">
        <v>0</v>
      </c>
      <c r="L10234" s="17"/>
    </row>
    <row r="10235" s="11" customFormat="true" ht="10.95" hidden="false" customHeight="true" outlineLevel="0" collapsed="false">
      <c r="A10235" s="16" t="n">
        <v>45234</v>
      </c>
      <c r="B10235" s="17" t="s">
        <v>3861</v>
      </c>
      <c r="C10235" s="17" t="s">
        <v>3752</v>
      </c>
      <c r="D10235" s="17" t="s">
        <v>1407</v>
      </c>
      <c r="E10235" s="17" t="s">
        <v>3863</v>
      </c>
      <c r="F10235" s="17"/>
      <c r="G10235" s="18" t="n">
        <v>0</v>
      </c>
      <c r="H10235" s="18" t="n">
        <v>4.04</v>
      </c>
      <c r="I10235" s="18" t="n">
        <f aca="false">((I10234 + G10235) - H10235)</f>
        <v>53242.8199999999</v>
      </c>
      <c r="J10235" s="18" t="n">
        <v>0</v>
      </c>
      <c r="K10235" s="19" t="n">
        <v>0</v>
      </c>
      <c r="L10235" s="17"/>
    </row>
    <row r="10236" s="11" customFormat="true" ht="10.95" hidden="false" customHeight="true" outlineLevel="0" collapsed="false">
      <c r="A10236" s="16" t="n">
        <v>45234</v>
      </c>
      <c r="B10236" s="17" t="s">
        <v>3861</v>
      </c>
      <c r="C10236" s="17" t="s">
        <v>3752</v>
      </c>
      <c r="D10236" s="17" t="s">
        <v>2903</v>
      </c>
      <c r="E10236" s="17" t="s">
        <v>3652</v>
      </c>
      <c r="F10236" s="17" t="s">
        <v>2366</v>
      </c>
      <c r="G10236" s="18" t="n">
        <v>0</v>
      </c>
      <c r="H10236" s="18" t="n">
        <v>152.15</v>
      </c>
      <c r="I10236" s="18" t="n">
        <f aca="false">((I10235 + G10236) - H10236)</f>
        <v>53090.6699999999</v>
      </c>
      <c r="J10236" s="18" t="n">
        <v>0</v>
      </c>
      <c r="K10236" s="19" t="n">
        <v>0</v>
      </c>
      <c r="L10236" s="17"/>
    </row>
    <row r="10237" s="11" customFormat="true" ht="10.95" hidden="false" customHeight="true" outlineLevel="0" collapsed="false">
      <c r="A10237" s="16" t="n">
        <v>45234</v>
      </c>
      <c r="B10237" s="17" t="s">
        <v>3861</v>
      </c>
      <c r="C10237" s="17" t="s">
        <v>3752</v>
      </c>
      <c r="D10237" s="17" t="s">
        <v>2903</v>
      </c>
      <c r="E10237" s="17" t="s">
        <v>3652</v>
      </c>
      <c r="F10237" s="17"/>
      <c r="G10237" s="18" t="n">
        <v>0</v>
      </c>
      <c r="H10237" s="18" t="n">
        <v>248</v>
      </c>
      <c r="I10237" s="18" t="n">
        <f aca="false">((I10236 + G10237) - H10237)</f>
        <v>52842.6699999999</v>
      </c>
      <c r="J10237" s="18" t="n">
        <v>0</v>
      </c>
      <c r="K10237" s="19" t="n">
        <v>0</v>
      </c>
      <c r="L10237" s="17"/>
    </row>
    <row r="10238" s="11" customFormat="true" ht="10.95" hidden="false" customHeight="true" outlineLevel="0" collapsed="false">
      <c r="A10238" s="16" t="n">
        <v>45234</v>
      </c>
      <c r="B10238" s="17" t="s">
        <v>3861</v>
      </c>
      <c r="C10238" s="17" t="s">
        <v>3752</v>
      </c>
      <c r="D10238" s="17" t="s">
        <v>1407</v>
      </c>
      <c r="E10238" s="17" t="s">
        <v>3683</v>
      </c>
      <c r="F10238" s="17"/>
      <c r="G10238" s="18" t="n">
        <v>0</v>
      </c>
      <c r="H10238" s="18" t="n">
        <v>134.65</v>
      </c>
      <c r="I10238" s="18" t="n">
        <f aca="false">((I10237 + G10238) - H10238)</f>
        <v>52708.0199999999</v>
      </c>
      <c r="J10238" s="18" t="n">
        <v>0</v>
      </c>
      <c r="K10238" s="19" t="n">
        <v>0</v>
      </c>
      <c r="L10238" s="17"/>
    </row>
    <row r="10239" s="11" customFormat="true" ht="10.95" hidden="false" customHeight="true" outlineLevel="0" collapsed="false">
      <c r="A10239" s="16" t="n">
        <v>45235</v>
      </c>
      <c r="B10239" s="17" t="s">
        <v>3861</v>
      </c>
      <c r="C10239" s="17" t="s">
        <v>3752</v>
      </c>
      <c r="D10239" s="17" t="s">
        <v>1407</v>
      </c>
      <c r="E10239" s="17" t="s">
        <v>3881</v>
      </c>
      <c r="F10239" s="17"/>
      <c r="G10239" s="18" t="n">
        <v>0</v>
      </c>
      <c r="H10239" s="18" t="n">
        <v>1000</v>
      </c>
      <c r="I10239" s="18" t="n">
        <f aca="false">((I10238 + G10239) - H10239)</f>
        <v>51708.0199999999</v>
      </c>
      <c r="J10239" s="18" t="n">
        <v>0</v>
      </c>
      <c r="K10239" s="19" t="n">
        <v>0</v>
      </c>
      <c r="L10239" s="17"/>
    </row>
    <row r="10240" s="11" customFormat="true" ht="10.95" hidden="false" customHeight="true" outlineLevel="0" collapsed="false">
      <c r="A10240" s="16" t="n">
        <v>45236</v>
      </c>
      <c r="B10240" s="17" t="s">
        <v>3861</v>
      </c>
      <c r="C10240" s="17" t="s">
        <v>3752</v>
      </c>
      <c r="D10240" s="17" t="s">
        <v>2895</v>
      </c>
      <c r="E10240" s="17" t="s">
        <v>2988</v>
      </c>
      <c r="F10240" s="17" t="s">
        <v>2989</v>
      </c>
      <c r="G10240" s="18" t="n">
        <v>6359.89</v>
      </c>
      <c r="H10240" s="18" t="n">
        <v>0</v>
      </c>
      <c r="I10240" s="18" t="n">
        <f aca="false">((I10239 + G10240) - H10240)</f>
        <v>58067.9099999999</v>
      </c>
      <c r="J10240" s="18" t="n">
        <v>0</v>
      </c>
      <c r="K10240" s="19" t="n">
        <v>0</v>
      </c>
      <c r="L10240" s="17"/>
    </row>
    <row r="10241" s="11" customFormat="true" ht="10.95" hidden="false" customHeight="true" outlineLevel="0" collapsed="false">
      <c r="A10241" s="16" t="n">
        <v>45236</v>
      </c>
      <c r="B10241" s="17" t="s">
        <v>3861</v>
      </c>
      <c r="C10241" s="17" t="s">
        <v>3752</v>
      </c>
      <c r="D10241" s="17" t="s">
        <v>2895</v>
      </c>
      <c r="E10241" s="17" t="s">
        <v>3512</v>
      </c>
      <c r="F10241" s="17" t="s">
        <v>4094</v>
      </c>
      <c r="G10241" s="18" t="n">
        <v>770</v>
      </c>
      <c r="H10241" s="18" t="n">
        <v>0</v>
      </c>
      <c r="I10241" s="18" t="n">
        <f aca="false">((I10240 + G10241) - H10241)</f>
        <v>58837.9099999999</v>
      </c>
      <c r="J10241" s="18" t="n">
        <v>0</v>
      </c>
      <c r="K10241" s="19" t="n">
        <v>0</v>
      </c>
      <c r="L10241" s="17"/>
    </row>
    <row r="10242" s="11" customFormat="true" ht="10.95" hidden="false" customHeight="true" outlineLevel="0" collapsed="false">
      <c r="A10242" s="16" t="n">
        <v>45236</v>
      </c>
      <c r="B10242" s="17" t="s">
        <v>3861</v>
      </c>
      <c r="C10242" s="17" t="s">
        <v>3752</v>
      </c>
      <c r="D10242" s="17" t="s">
        <v>1407</v>
      </c>
      <c r="E10242" s="17" t="s">
        <v>3960</v>
      </c>
      <c r="F10242" s="17"/>
      <c r="G10242" s="18" t="n">
        <v>0</v>
      </c>
      <c r="H10242" s="18" t="n">
        <v>3172.44</v>
      </c>
      <c r="I10242" s="18" t="n">
        <f aca="false">((I10241 + G10242) - H10242)</f>
        <v>55665.4699999999</v>
      </c>
      <c r="J10242" s="18" t="n">
        <v>0</v>
      </c>
      <c r="K10242" s="19" t="n">
        <v>0</v>
      </c>
      <c r="L10242" s="17"/>
    </row>
    <row r="10243" s="11" customFormat="true" ht="10.95" hidden="false" customHeight="true" outlineLevel="0" collapsed="false">
      <c r="A10243" s="16" t="n">
        <v>45236</v>
      </c>
      <c r="B10243" s="17" t="s">
        <v>3861</v>
      </c>
      <c r="C10243" s="17" t="s">
        <v>3752</v>
      </c>
      <c r="D10243" s="17" t="s">
        <v>1407</v>
      </c>
      <c r="E10243" s="17" t="s">
        <v>3888</v>
      </c>
      <c r="F10243" s="17"/>
      <c r="G10243" s="18" t="n">
        <v>0</v>
      </c>
      <c r="H10243" s="18" t="n">
        <v>3217.43</v>
      </c>
      <c r="I10243" s="18" t="n">
        <f aca="false">((I10242 + G10243) - H10243)</f>
        <v>52448.0399999999</v>
      </c>
      <c r="J10243" s="18" t="n">
        <v>0</v>
      </c>
      <c r="K10243" s="19" t="n">
        <v>0</v>
      </c>
      <c r="L10243" s="17"/>
    </row>
    <row r="10244" s="11" customFormat="true" ht="10.95" hidden="false" customHeight="true" outlineLevel="0" collapsed="false">
      <c r="A10244" s="16" t="n">
        <v>45237</v>
      </c>
      <c r="B10244" s="17" t="s">
        <v>3861</v>
      </c>
      <c r="C10244" s="17" t="s">
        <v>3752</v>
      </c>
      <c r="D10244" s="17" t="s">
        <v>1407</v>
      </c>
      <c r="E10244" s="17" t="s">
        <v>3767</v>
      </c>
      <c r="F10244" s="17" t="s">
        <v>2781</v>
      </c>
      <c r="G10244" s="18" t="n">
        <v>0</v>
      </c>
      <c r="H10244" s="18" t="n">
        <v>2.25</v>
      </c>
      <c r="I10244" s="18" t="n">
        <f aca="false">((I10243 + G10244) - H10244)</f>
        <v>52445.7899999999</v>
      </c>
      <c r="J10244" s="18" t="n">
        <v>0</v>
      </c>
      <c r="K10244" s="19" t="n">
        <v>0</v>
      </c>
      <c r="L10244" s="17"/>
    </row>
    <row r="10245" s="11" customFormat="true" ht="10.95" hidden="false" customHeight="true" outlineLevel="0" collapsed="false">
      <c r="A10245" s="16" t="n">
        <v>45237</v>
      </c>
      <c r="B10245" s="17" t="s">
        <v>3861</v>
      </c>
      <c r="C10245" s="17" t="s">
        <v>3752</v>
      </c>
      <c r="D10245" s="17" t="s">
        <v>1407</v>
      </c>
      <c r="E10245" s="17" t="s">
        <v>3863</v>
      </c>
      <c r="F10245" s="17"/>
      <c r="G10245" s="18" t="n">
        <v>0</v>
      </c>
      <c r="H10245" s="18" t="n">
        <v>1.36</v>
      </c>
      <c r="I10245" s="18" t="n">
        <f aca="false">((I10244 + G10245) - H10245)</f>
        <v>52444.4299999999</v>
      </c>
      <c r="J10245" s="18" t="n">
        <v>0</v>
      </c>
      <c r="K10245" s="19" t="n">
        <v>0</v>
      </c>
      <c r="L10245" s="17"/>
    </row>
    <row r="10246" s="11" customFormat="true" ht="10.95" hidden="false" customHeight="true" outlineLevel="0" collapsed="false">
      <c r="A10246" s="16" t="n">
        <v>45237</v>
      </c>
      <c r="B10246" s="17" t="s">
        <v>3861</v>
      </c>
      <c r="C10246" s="17" t="s">
        <v>3752</v>
      </c>
      <c r="D10246" s="17" t="s">
        <v>1407</v>
      </c>
      <c r="E10246" s="17" t="s">
        <v>3863</v>
      </c>
      <c r="F10246" s="17"/>
      <c r="G10246" s="18" t="n">
        <v>0</v>
      </c>
      <c r="H10246" s="18" t="n">
        <v>5.63</v>
      </c>
      <c r="I10246" s="18" t="n">
        <f aca="false">((I10245 + G10246) - H10246)</f>
        <v>52438.7999999999</v>
      </c>
      <c r="J10246" s="18" t="n">
        <v>0</v>
      </c>
      <c r="K10246" s="19" t="n">
        <v>0</v>
      </c>
      <c r="L10246" s="17"/>
    </row>
    <row r="10247" s="11" customFormat="true" ht="10.95" hidden="false" customHeight="true" outlineLevel="0" collapsed="false">
      <c r="A10247" s="16" t="n">
        <v>45237</v>
      </c>
      <c r="B10247" s="17" t="s">
        <v>3861</v>
      </c>
      <c r="C10247" s="17" t="s">
        <v>3752</v>
      </c>
      <c r="D10247" s="17" t="s">
        <v>1407</v>
      </c>
      <c r="E10247" s="17" t="s">
        <v>3863</v>
      </c>
      <c r="F10247" s="17"/>
      <c r="G10247" s="18" t="n">
        <v>0</v>
      </c>
      <c r="H10247" s="18" t="n">
        <v>119.27</v>
      </c>
      <c r="I10247" s="18" t="n">
        <f aca="false">((I10246 + G10247) - H10247)</f>
        <v>52319.5299999999</v>
      </c>
      <c r="J10247" s="18" t="n">
        <v>0</v>
      </c>
      <c r="K10247" s="19" t="n">
        <v>0</v>
      </c>
      <c r="L10247" s="17"/>
    </row>
    <row r="10248" s="11" customFormat="true" ht="10.95" hidden="false" customHeight="true" outlineLevel="0" collapsed="false">
      <c r="A10248" s="16" t="n">
        <v>45237</v>
      </c>
      <c r="B10248" s="17" t="s">
        <v>3861</v>
      </c>
      <c r="C10248" s="17" t="s">
        <v>3752</v>
      </c>
      <c r="D10248" s="17" t="s">
        <v>1407</v>
      </c>
      <c r="E10248" s="17" t="s">
        <v>3878</v>
      </c>
      <c r="F10248" s="17"/>
      <c r="G10248" s="18" t="n">
        <v>0</v>
      </c>
      <c r="H10248" s="18" t="n">
        <v>1188.2</v>
      </c>
      <c r="I10248" s="18" t="n">
        <f aca="false">((I10247 + G10248) - H10248)</f>
        <v>51131.3299999999</v>
      </c>
      <c r="J10248" s="18" t="n">
        <v>0</v>
      </c>
      <c r="K10248" s="19" t="n">
        <v>0</v>
      </c>
      <c r="L10248" s="17"/>
    </row>
    <row r="10249" s="11" customFormat="true" ht="10.95" hidden="false" customHeight="true" outlineLevel="0" collapsed="false">
      <c r="A10249" s="16" t="n">
        <v>45237</v>
      </c>
      <c r="B10249" s="17" t="s">
        <v>3861</v>
      </c>
      <c r="C10249" s="17" t="s">
        <v>3752</v>
      </c>
      <c r="D10249" s="17" t="s">
        <v>2903</v>
      </c>
      <c r="E10249" s="17" t="s">
        <v>2904</v>
      </c>
      <c r="F10249" s="17" t="s">
        <v>1457</v>
      </c>
      <c r="G10249" s="18" t="n">
        <v>0</v>
      </c>
      <c r="H10249" s="18" t="n">
        <v>3975.61</v>
      </c>
      <c r="I10249" s="18" t="n">
        <f aca="false">((I10248 + G10249) - H10249)</f>
        <v>47155.7199999999</v>
      </c>
      <c r="J10249" s="18" t="n">
        <v>0</v>
      </c>
      <c r="K10249" s="19" t="n">
        <v>0</v>
      </c>
      <c r="L10249" s="17"/>
    </row>
    <row r="10250" s="11" customFormat="true" ht="10.95" hidden="false" customHeight="true" outlineLevel="0" collapsed="false">
      <c r="A10250" s="16" t="n">
        <v>45237</v>
      </c>
      <c r="B10250" s="17" t="s">
        <v>3861</v>
      </c>
      <c r="C10250" s="17" t="s">
        <v>3752</v>
      </c>
      <c r="D10250" s="17" t="s">
        <v>1407</v>
      </c>
      <c r="E10250" s="17" t="s">
        <v>3772</v>
      </c>
      <c r="F10250" s="17"/>
      <c r="G10250" s="18" t="n">
        <v>0</v>
      </c>
      <c r="H10250" s="18" t="n">
        <v>45.19</v>
      </c>
      <c r="I10250" s="18" t="n">
        <f aca="false">((I10249 + G10250) - H10250)</f>
        <v>47110.5299999999</v>
      </c>
      <c r="J10250" s="18" t="n">
        <v>0</v>
      </c>
      <c r="K10250" s="19" t="n">
        <v>0</v>
      </c>
      <c r="L10250" s="17"/>
    </row>
    <row r="10251" s="11" customFormat="true" ht="10.95" hidden="false" customHeight="true" outlineLevel="0" collapsed="false">
      <c r="A10251" s="16" t="n">
        <v>45237</v>
      </c>
      <c r="B10251" s="17" t="s">
        <v>3861</v>
      </c>
      <c r="C10251" s="17" t="s">
        <v>3752</v>
      </c>
      <c r="D10251" s="17" t="s">
        <v>1407</v>
      </c>
      <c r="E10251" s="17" t="s">
        <v>3626</v>
      </c>
      <c r="F10251" s="17"/>
      <c r="G10251" s="18" t="n">
        <v>0</v>
      </c>
      <c r="H10251" s="18" t="n">
        <v>71.5</v>
      </c>
      <c r="I10251" s="18" t="n">
        <f aca="false">((I10250 + G10251) - H10251)</f>
        <v>47039.0299999999</v>
      </c>
      <c r="J10251" s="18" t="n">
        <v>0</v>
      </c>
      <c r="K10251" s="19" t="n">
        <v>0</v>
      </c>
      <c r="L10251" s="17"/>
    </row>
    <row r="10252" s="11" customFormat="true" ht="10.95" hidden="false" customHeight="true" outlineLevel="0" collapsed="false">
      <c r="A10252" s="16" t="n">
        <v>45237</v>
      </c>
      <c r="B10252" s="17" t="s">
        <v>3861</v>
      </c>
      <c r="C10252" s="17" t="s">
        <v>3752</v>
      </c>
      <c r="D10252" s="17" t="s">
        <v>1407</v>
      </c>
      <c r="E10252" s="17" t="s">
        <v>3680</v>
      </c>
      <c r="F10252" s="17"/>
      <c r="G10252" s="18" t="n">
        <v>0</v>
      </c>
      <c r="H10252" s="18" t="n">
        <v>187.79</v>
      </c>
      <c r="I10252" s="18" t="n">
        <f aca="false">((I10251 + G10252) - H10252)</f>
        <v>46851.2399999999</v>
      </c>
      <c r="J10252" s="18" t="n">
        <v>0</v>
      </c>
      <c r="K10252" s="19" t="n">
        <v>0</v>
      </c>
      <c r="L10252" s="17"/>
    </row>
    <row r="10253" s="11" customFormat="true" ht="10.95" hidden="false" customHeight="true" outlineLevel="0" collapsed="false">
      <c r="A10253" s="16" t="n">
        <v>45237</v>
      </c>
      <c r="B10253" s="17" t="s">
        <v>3861</v>
      </c>
      <c r="C10253" s="17" t="s">
        <v>3752</v>
      </c>
      <c r="D10253" s="17" t="s">
        <v>2903</v>
      </c>
      <c r="E10253" s="17" t="s">
        <v>3631</v>
      </c>
      <c r="F10253" s="17" t="s">
        <v>3272</v>
      </c>
      <c r="G10253" s="18" t="n">
        <v>0</v>
      </c>
      <c r="H10253" s="18" t="n">
        <v>1059.2</v>
      </c>
      <c r="I10253" s="18" t="n">
        <f aca="false">((I10252 + G10253) - H10253)</f>
        <v>45792.0399999999</v>
      </c>
      <c r="J10253" s="18" t="n">
        <v>0</v>
      </c>
      <c r="K10253" s="19" t="n">
        <v>0</v>
      </c>
      <c r="L10253" s="17"/>
    </row>
    <row r="10254" s="11" customFormat="true" ht="10.95" hidden="false" customHeight="true" outlineLevel="0" collapsed="false">
      <c r="A10254" s="16" t="n">
        <v>45237</v>
      </c>
      <c r="B10254" s="17" t="s">
        <v>3861</v>
      </c>
      <c r="C10254" s="17" t="s">
        <v>3752</v>
      </c>
      <c r="D10254" s="17" t="s">
        <v>1407</v>
      </c>
      <c r="E10254" s="17" t="s">
        <v>3642</v>
      </c>
      <c r="F10254" s="17"/>
      <c r="G10254" s="18" t="n">
        <v>0</v>
      </c>
      <c r="H10254" s="18" t="n">
        <v>440</v>
      </c>
      <c r="I10254" s="18" t="n">
        <f aca="false">((I10253 + G10254) - H10254)</f>
        <v>45352.0399999999</v>
      </c>
      <c r="J10254" s="18" t="n">
        <v>0</v>
      </c>
      <c r="K10254" s="19" t="n">
        <v>0</v>
      </c>
      <c r="L10254" s="17"/>
    </row>
    <row r="10255" s="11" customFormat="true" ht="10.95" hidden="false" customHeight="true" outlineLevel="0" collapsed="false">
      <c r="A10255" s="16" t="n">
        <v>45237</v>
      </c>
      <c r="B10255" s="17" t="s">
        <v>3861</v>
      </c>
      <c r="C10255" s="17" t="s">
        <v>3752</v>
      </c>
      <c r="D10255" s="17" t="s">
        <v>1407</v>
      </c>
      <c r="E10255" s="17" t="s">
        <v>3742</v>
      </c>
      <c r="F10255" s="17"/>
      <c r="G10255" s="18" t="n">
        <v>0</v>
      </c>
      <c r="H10255" s="18" t="n">
        <v>7550.08</v>
      </c>
      <c r="I10255" s="18" t="n">
        <f aca="false">((I10254 + G10255) - H10255)</f>
        <v>37801.9599999999</v>
      </c>
      <c r="J10255" s="18" t="n">
        <v>0</v>
      </c>
      <c r="K10255" s="19" t="n">
        <v>0</v>
      </c>
      <c r="L10255" s="17"/>
    </row>
    <row r="10256" s="11" customFormat="true" ht="10.95" hidden="false" customHeight="true" outlineLevel="0" collapsed="false">
      <c r="A10256" s="16" t="n">
        <v>45238</v>
      </c>
      <c r="B10256" s="17" t="s">
        <v>3861</v>
      </c>
      <c r="C10256" s="17" t="s">
        <v>3752</v>
      </c>
      <c r="D10256" s="17" t="s">
        <v>1407</v>
      </c>
      <c r="E10256" s="17" t="s">
        <v>3863</v>
      </c>
      <c r="F10256" s="17"/>
      <c r="G10256" s="18" t="n">
        <v>0</v>
      </c>
      <c r="H10256" s="18" t="n">
        <v>0.58</v>
      </c>
      <c r="I10256" s="18" t="n">
        <f aca="false">((I10255 + G10256) - H10256)</f>
        <v>37801.3799999999</v>
      </c>
      <c r="J10256" s="18" t="n">
        <v>0</v>
      </c>
      <c r="K10256" s="19" t="n">
        <v>0</v>
      </c>
      <c r="L10256" s="17"/>
    </row>
    <row r="10257" s="11" customFormat="true" ht="10.95" hidden="false" customHeight="true" outlineLevel="0" collapsed="false">
      <c r="A10257" s="16" t="n">
        <v>45238</v>
      </c>
      <c r="B10257" s="17" t="s">
        <v>3861</v>
      </c>
      <c r="C10257" s="17" t="s">
        <v>3752</v>
      </c>
      <c r="D10257" s="17" t="s">
        <v>2903</v>
      </c>
      <c r="E10257" s="17" t="s">
        <v>3640</v>
      </c>
      <c r="F10257" s="17" t="s">
        <v>1642</v>
      </c>
      <c r="G10257" s="18" t="n">
        <v>0</v>
      </c>
      <c r="H10257" s="18" t="n">
        <v>40</v>
      </c>
      <c r="I10257" s="18" t="n">
        <f aca="false">((I10256 + G10257) - H10257)</f>
        <v>37761.3799999999</v>
      </c>
      <c r="J10257" s="18" t="n">
        <v>0</v>
      </c>
      <c r="K10257" s="19" t="n">
        <v>0</v>
      </c>
      <c r="L10257" s="17"/>
    </row>
    <row r="10258" s="11" customFormat="true" ht="10.95" hidden="false" customHeight="true" outlineLevel="0" collapsed="false">
      <c r="A10258" s="16" t="n">
        <v>45238</v>
      </c>
      <c r="B10258" s="17" t="s">
        <v>3861</v>
      </c>
      <c r="C10258" s="17" t="s">
        <v>3752</v>
      </c>
      <c r="D10258" s="17" t="s">
        <v>1407</v>
      </c>
      <c r="E10258" s="17" t="s">
        <v>3881</v>
      </c>
      <c r="F10258" s="17"/>
      <c r="G10258" s="18" t="n">
        <v>0</v>
      </c>
      <c r="H10258" s="18" t="n">
        <v>140</v>
      </c>
      <c r="I10258" s="18" t="n">
        <f aca="false">((I10257 + G10258) - H10258)</f>
        <v>37621.3799999999</v>
      </c>
      <c r="J10258" s="18" t="n">
        <v>0</v>
      </c>
      <c r="K10258" s="19" t="n">
        <v>0</v>
      </c>
      <c r="L10258" s="17"/>
    </row>
    <row r="10259" s="11" customFormat="true" ht="10.95" hidden="false" customHeight="true" outlineLevel="0" collapsed="false">
      <c r="A10259" s="16" t="n">
        <v>45238</v>
      </c>
      <c r="B10259" s="17" t="s">
        <v>3861</v>
      </c>
      <c r="C10259" s="17" t="s">
        <v>3752</v>
      </c>
      <c r="D10259" s="17" t="s">
        <v>1407</v>
      </c>
      <c r="E10259" s="17" t="s">
        <v>3879</v>
      </c>
      <c r="F10259" s="17"/>
      <c r="G10259" s="18" t="n">
        <v>0</v>
      </c>
      <c r="H10259" s="18" t="n">
        <v>1207</v>
      </c>
      <c r="I10259" s="18" t="n">
        <f aca="false">((I10258 + G10259) - H10259)</f>
        <v>36414.3799999999</v>
      </c>
      <c r="J10259" s="18" t="n">
        <v>0</v>
      </c>
      <c r="K10259" s="19" t="n">
        <v>0</v>
      </c>
      <c r="L10259" s="17"/>
    </row>
    <row r="10260" s="11" customFormat="true" ht="10.95" hidden="false" customHeight="true" outlineLevel="0" collapsed="false">
      <c r="A10260" s="16" t="n">
        <v>45238</v>
      </c>
      <c r="B10260" s="17" t="s">
        <v>3861</v>
      </c>
      <c r="C10260" s="17" t="s">
        <v>3752</v>
      </c>
      <c r="D10260" s="17" t="s">
        <v>1407</v>
      </c>
      <c r="E10260" s="17" t="s">
        <v>3880</v>
      </c>
      <c r="F10260" s="17"/>
      <c r="G10260" s="18" t="n">
        <v>0</v>
      </c>
      <c r="H10260" s="18" t="n">
        <v>1207</v>
      </c>
      <c r="I10260" s="18" t="n">
        <f aca="false">((I10259 + G10260) - H10260)</f>
        <v>35207.3799999999</v>
      </c>
      <c r="J10260" s="18" t="n">
        <v>0</v>
      </c>
      <c r="K10260" s="19" t="n">
        <v>0</v>
      </c>
      <c r="L10260" s="17"/>
    </row>
    <row r="10261" s="11" customFormat="true" ht="10.95" hidden="false" customHeight="true" outlineLevel="0" collapsed="false">
      <c r="A10261" s="16" t="n">
        <v>45238</v>
      </c>
      <c r="B10261" s="17" t="s">
        <v>3861</v>
      </c>
      <c r="C10261" s="17" t="s">
        <v>3752</v>
      </c>
      <c r="D10261" s="17" t="s">
        <v>1407</v>
      </c>
      <c r="E10261" s="17" t="s">
        <v>3808</v>
      </c>
      <c r="F10261" s="17"/>
      <c r="G10261" s="18" t="n">
        <v>0</v>
      </c>
      <c r="H10261" s="18" t="n">
        <v>1705.92</v>
      </c>
      <c r="I10261" s="18" t="n">
        <f aca="false">((I10260 + G10261) - H10261)</f>
        <v>33501.4599999999</v>
      </c>
      <c r="J10261" s="18" t="n">
        <v>0</v>
      </c>
      <c r="K10261" s="19" t="n">
        <v>0</v>
      </c>
      <c r="L10261" s="17"/>
    </row>
    <row r="10262" s="11" customFormat="true" ht="10.95" hidden="false" customHeight="true" outlineLevel="0" collapsed="false">
      <c r="A10262" s="16" t="n">
        <v>45238</v>
      </c>
      <c r="B10262" s="17" t="s">
        <v>3861</v>
      </c>
      <c r="C10262" s="17" t="s">
        <v>3752</v>
      </c>
      <c r="D10262" s="17" t="s">
        <v>1407</v>
      </c>
      <c r="E10262" s="17" t="s">
        <v>3621</v>
      </c>
      <c r="F10262" s="17"/>
      <c r="G10262" s="18" t="n">
        <v>0</v>
      </c>
      <c r="H10262" s="18" t="n">
        <v>731.5</v>
      </c>
      <c r="I10262" s="18" t="n">
        <f aca="false">((I10261 + G10262) - H10262)</f>
        <v>32769.9599999999</v>
      </c>
      <c r="J10262" s="18" t="n">
        <v>0</v>
      </c>
      <c r="K10262" s="19" t="n">
        <v>0</v>
      </c>
      <c r="L10262" s="17"/>
    </row>
    <row r="10263" s="11" customFormat="true" ht="10.95" hidden="false" customHeight="true" outlineLevel="0" collapsed="false">
      <c r="A10263" s="16" t="n">
        <v>45238</v>
      </c>
      <c r="B10263" s="17" t="s">
        <v>3861</v>
      </c>
      <c r="C10263" s="17" t="s">
        <v>3752</v>
      </c>
      <c r="D10263" s="17" t="s">
        <v>1407</v>
      </c>
      <c r="E10263" s="17" t="s">
        <v>3906</v>
      </c>
      <c r="F10263" s="17"/>
      <c r="G10263" s="18" t="n">
        <v>0</v>
      </c>
      <c r="H10263" s="18" t="n">
        <v>19.41</v>
      </c>
      <c r="I10263" s="18" t="n">
        <f aca="false">((I10262 + G10263) - H10263)</f>
        <v>32750.5499999999</v>
      </c>
      <c r="J10263" s="18" t="n">
        <v>0</v>
      </c>
      <c r="K10263" s="19" t="n">
        <v>0</v>
      </c>
      <c r="L10263" s="17"/>
    </row>
    <row r="10264" s="11" customFormat="true" ht="10.95" hidden="false" customHeight="true" outlineLevel="0" collapsed="false">
      <c r="A10264" s="16" t="n">
        <v>45239</v>
      </c>
      <c r="B10264" s="17" t="s">
        <v>3861</v>
      </c>
      <c r="C10264" s="17" t="s">
        <v>3752</v>
      </c>
      <c r="D10264" s="17" t="s">
        <v>2895</v>
      </c>
      <c r="E10264" s="17" t="s">
        <v>2906</v>
      </c>
      <c r="F10264" s="17" t="s">
        <v>2990</v>
      </c>
      <c r="G10264" s="18" t="n">
        <v>3041.83</v>
      </c>
      <c r="H10264" s="18" t="n">
        <v>0</v>
      </c>
      <c r="I10264" s="18" t="n">
        <f aca="false">((I10263 + G10264) - H10264)</f>
        <v>35792.3799999999</v>
      </c>
      <c r="J10264" s="18" t="n">
        <v>0</v>
      </c>
      <c r="K10264" s="19" t="n">
        <v>0</v>
      </c>
      <c r="L10264" s="17"/>
    </row>
    <row r="10265" s="11" customFormat="true" ht="10.95" hidden="false" customHeight="true" outlineLevel="0" collapsed="false">
      <c r="A10265" s="16" t="n">
        <v>45239</v>
      </c>
      <c r="B10265" s="17" t="s">
        <v>3861</v>
      </c>
      <c r="C10265" s="17" t="s">
        <v>3752</v>
      </c>
      <c r="D10265" s="17" t="s">
        <v>1407</v>
      </c>
      <c r="E10265" s="17" t="s">
        <v>4095</v>
      </c>
      <c r="F10265" s="17"/>
      <c r="G10265" s="18" t="n">
        <v>0</v>
      </c>
      <c r="H10265" s="18" t="n">
        <v>120</v>
      </c>
      <c r="I10265" s="18" t="n">
        <f aca="false">((I10264 + G10265) - H10265)</f>
        <v>35672.3799999999</v>
      </c>
      <c r="J10265" s="18" t="n">
        <v>0</v>
      </c>
      <c r="K10265" s="19" t="n">
        <v>0</v>
      </c>
      <c r="L10265" s="17"/>
    </row>
    <row r="10266" s="11" customFormat="true" ht="10.95" hidden="false" customHeight="true" outlineLevel="0" collapsed="false">
      <c r="A10266" s="16" t="n">
        <v>45239</v>
      </c>
      <c r="B10266" s="17" t="s">
        <v>3861</v>
      </c>
      <c r="C10266" s="17" t="s">
        <v>3752</v>
      </c>
      <c r="D10266" s="17" t="s">
        <v>1407</v>
      </c>
      <c r="E10266" s="17" t="s">
        <v>3666</v>
      </c>
      <c r="F10266" s="17"/>
      <c r="G10266" s="18" t="n">
        <v>0</v>
      </c>
      <c r="H10266" s="18" t="n">
        <v>22.45</v>
      </c>
      <c r="I10266" s="18" t="n">
        <f aca="false">((I10265 + G10266) - H10266)</f>
        <v>35649.9299999999</v>
      </c>
      <c r="J10266" s="18" t="n">
        <v>0</v>
      </c>
      <c r="K10266" s="19" t="n">
        <v>0</v>
      </c>
      <c r="L10266" s="17"/>
    </row>
    <row r="10267" s="11" customFormat="true" ht="10.95" hidden="false" customHeight="true" outlineLevel="0" collapsed="false">
      <c r="A10267" s="16" t="n">
        <v>45239</v>
      </c>
      <c r="B10267" s="17" t="s">
        <v>3861</v>
      </c>
      <c r="C10267" s="17" t="s">
        <v>3752</v>
      </c>
      <c r="D10267" s="17" t="s">
        <v>2903</v>
      </c>
      <c r="E10267" s="17" t="s">
        <v>3667</v>
      </c>
      <c r="F10267" s="17" t="s">
        <v>3588</v>
      </c>
      <c r="G10267" s="18" t="n">
        <v>0</v>
      </c>
      <c r="H10267" s="18" t="n">
        <v>2245.1</v>
      </c>
      <c r="I10267" s="18" t="n">
        <f aca="false">((I10266 + G10267) - H10267)</f>
        <v>33404.8299999999</v>
      </c>
      <c r="J10267" s="18" t="n">
        <v>0</v>
      </c>
      <c r="K10267" s="19" t="n">
        <v>0</v>
      </c>
      <c r="L10267" s="17"/>
    </row>
    <row r="10268" s="11" customFormat="true" ht="10.95" hidden="false" customHeight="true" outlineLevel="0" collapsed="false">
      <c r="A10268" s="16" t="n">
        <v>45239</v>
      </c>
      <c r="B10268" s="17" t="s">
        <v>3861</v>
      </c>
      <c r="C10268" s="17" t="s">
        <v>3752</v>
      </c>
      <c r="D10268" s="17" t="s">
        <v>2903</v>
      </c>
      <c r="E10268" s="17" t="s">
        <v>3687</v>
      </c>
      <c r="F10268" s="17" t="s">
        <v>3561</v>
      </c>
      <c r="G10268" s="18" t="n">
        <v>0</v>
      </c>
      <c r="H10268" s="18" t="n">
        <v>382.5</v>
      </c>
      <c r="I10268" s="18" t="n">
        <f aca="false">((I10267 + G10268) - H10268)</f>
        <v>33022.3299999999</v>
      </c>
      <c r="J10268" s="18" t="n">
        <v>0</v>
      </c>
      <c r="K10268" s="19" t="n">
        <v>0</v>
      </c>
      <c r="L10268" s="17"/>
    </row>
    <row r="10269" s="11" customFormat="true" ht="10.95" hidden="false" customHeight="true" outlineLevel="0" collapsed="false">
      <c r="A10269" s="16" t="n">
        <v>45240</v>
      </c>
      <c r="B10269" s="17" t="s">
        <v>3861</v>
      </c>
      <c r="C10269" s="17" t="s">
        <v>3752</v>
      </c>
      <c r="D10269" s="17" t="s">
        <v>2895</v>
      </c>
      <c r="E10269" s="17" t="s">
        <v>2947</v>
      </c>
      <c r="F10269" s="17" t="s">
        <v>2991</v>
      </c>
      <c r="G10269" s="18" t="n">
        <v>1778.07</v>
      </c>
      <c r="H10269" s="18" t="n">
        <v>0</v>
      </c>
      <c r="I10269" s="18" t="n">
        <f aca="false">((I10268 + G10269) - H10269)</f>
        <v>34800.3999999999</v>
      </c>
      <c r="J10269" s="18" t="n">
        <v>0</v>
      </c>
      <c r="K10269" s="19" t="n">
        <v>0</v>
      </c>
      <c r="L10269" s="17"/>
    </row>
    <row r="10270" s="11" customFormat="true" ht="10.95" hidden="false" customHeight="true" outlineLevel="0" collapsed="false">
      <c r="A10270" s="16" t="n">
        <v>45240</v>
      </c>
      <c r="B10270" s="17" t="s">
        <v>3861</v>
      </c>
      <c r="C10270" s="17" t="s">
        <v>3752</v>
      </c>
      <c r="D10270" s="17" t="s">
        <v>1407</v>
      </c>
      <c r="E10270" s="17" t="s">
        <v>3896</v>
      </c>
      <c r="F10270" s="17"/>
      <c r="G10270" s="18" t="n">
        <v>0</v>
      </c>
      <c r="H10270" s="18" t="n">
        <v>20.99</v>
      </c>
      <c r="I10270" s="18" t="n">
        <f aca="false">((I10269 + G10270) - H10270)</f>
        <v>34779.4099999999</v>
      </c>
      <c r="J10270" s="18" t="n">
        <v>0</v>
      </c>
      <c r="K10270" s="19" t="n">
        <v>0</v>
      </c>
      <c r="L10270" s="17"/>
    </row>
    <row r="10271" s="11" customFormat="true" ht="10.95" hidden="false" customHeight="true" outlineLevel="0" collapsed="false">
      <c r="A10271" s="16" t="n">
        <v>45240</v>
      </c>
      <c r="B10271" s="17" t="s">
        <v>3861</v>
      </c>
      <c r="C10271" s="17" t="s">
        <v>3752</v>
      </c>
      <c r="D10271" s="17" t="s">
        <v>1407</v>
      </c>
      <c r="E10271" s="17" t="s">
        <v>4096</v>
      </c>
      <c r="F10271" s="17"/>
      <c r="G10271" s="18" t="n">
        <v>0</v>
      </c>
      <c r="H10271" s="18" t="n">
        <v>757</v>
      </c>
      <c r="I10271" s="18" t="n">
        <f aca="false">((I10270 + G10271) - H10271)</f>
        <v>34022.4099999999</v>
      </c>
      <c r="J10271" s="18" t="n">
        <v>0</v>
      </c>
      <c r="K10271" s="19" t="n">
        <v>0</v>
      </c>
      <c r="L10271" s="17"/>
    </row>
    <row r="10272" s="11" customFormat="true" ht="10.95" hidden="false" customHeight="true" outlineLevel="0" collapsed="false">
      <c r="A10272" s="16" t="n">
        <v>45240</v>
      </c>
      <c r="B10272" s="17" t="s">
        <v>3861</v>
      </c>
      <c r="C10272" s="17" t="s">
        <v>3752</v>
      </c>
      <c r="D10272" s="17" t="s">
        <v>1407</v>
      </c>
      <c r="E10272" s="17" t="s">
        <v>2747</v>
      </c>
      <c r="F10272" s="17"/>
      <c r="G10272" s="18" t="n">
        <v>0</v>
      </c>
      <c r="H10272" s="18" t="n">
        <v>320</v>
      </c>
      <c r="I10272" s="18" t="n">
        <f aca="false">((I10271 + G10272) - H10272)</f>
        <v>33702.4099999999</v>
      </c>
      <c r="J10272" s="18" t="n">
        <v>0</v>
      </c>
      <c r="K10272" s="19" t="n">
        <v>0</v>
      </c>
      <c r="L10272" s="17"/>
    </row>
    <row r="10273" s="11" customFormat="true" ht="10.95" hidden="false" customHeight="true" outlineLevel="0" collapsed="false">
      <c r="A10273" s="16" t="n">
        <v>45240</v>
      </c>
      <c r="B10273" s="17" t="s">
        <v>3861</v>
      </c>
      <c r="C10273" s="17" t="s">
        <v>3752</v>
      </c>
      <c r="D10273" s="17" t="s">
        <v>1407</v>
      </c>
      <c r="E10273" s="17" t="s">
        <v>3720</v>
      </c>
      <c r="F10273" s="17"/>
      <c r="G10273" s="18" t="n">
        <v>0</v>
      </c>
      <c r="H10273" s="18" t="n">
        <v>1982.17</v>
      </c>
      <c r="I10273" s="18" t="n">
        <f aca="false">((I10272 + G10273) - H10273)</f>
        <v>31720.2399999999</v>
      </c>
      <c r="J10273" s="18" t="n">
        <v>0</v>
      </c>
      <c r="K10273" s="19" t="n">
        <v>0</v>
      </c>
      <c r="L10273" s="17"/>
    </row>
    <row r="10274" s="11" customFormat="true" ht="10.95" hidden="false" customHeight="true" outlineLevel="0" collapsed="false">
      <c r="A10274" s="16" t="n">
        <v>45240</v>
      </c>
      <c r="B10274" s="17" t="s">
        <v>3861</v>
      </c>
      <c r="C10274" s="17" t="s">
        <v>3752</v>
      </c>
      <c r="D10274" s="17" t="s">
        <v>2895</v>
      </c>
      <c r="E10274" s="17" t="s">
        <v>2900</v>
      </c>
      <c r="F10274" s="17" t="s">
        <v>2992</v>
      </c>
      <c r="G10274" s="18" t="n">
        <v>1797.98</v>
      </c>
      <c r="H10274" s="18" t="n">
        <v>0</v>
      </c>
      <c r="I10274" s="18" t="n">
        <f aca="false">((I10273 + G10274) - H10274)</f>
        <v>33518.2199999999</v>
      </c>
      <c r="J10274" s="18" t="n">
        <v>0</v>
      </c>
      <c r="K10274" s="19" t="n">
        <v>0</v>
      </c>
      <c r="L10274" s="17"/>
    </row>
    <row r="10275" s="11" customFormat="true" ht="10.95" hidden="false" customHeight="true" outlineLevel="0" collapsed="false">
      <c r="A10275" s="16" t="n">
        <v>45240</v>
      </c>
      <c r="B10275" s="17" t="s">
        <v>3861</v>
      </c>
      <c r="C10275" s="17" t="s">
        <v>3752</v>
      </c>
      <c r="D10275" s="17" t="s">
        <v>2895</v>
      </c>
      <c r="E10275" s="17" t="s">
        <v>2900</v>
      </c>
      <c r="F10275" s="17" t="s">
        <v>2993</v>
      </c>
      <c r="G10275" s="18" t="n">
        <v>792.88</v>
      </c>
      <c r="H10275" s="18" t="n">
        <v>0</v>
      </c>
      <c r="I10275" s="18" t="n">
        <f aca="false">((I10274 + G10275) - H10275)</f>
        <v>34311.0999999999</v>
      </c>
      <c r="J10275" s="18" t="n">
        <v>0</v>
      </c>
      <c r="K10275" s="19" t="n">
        <v>0</v>
      </c>
      <c r="L10275" s="17"/>
    </row>
    <row r="10276" s="11" customFormat="true" ht="10.95" hidden="false" customHeight="true" outlineLevel="0" collapsed="false">
      <c r="A10276" s="16" t="n">
        <v>45240</v>
      </c>
      <c r="B10276" s="17" t="s">
        <v>3861</v>
      </c>
      <c r="C10276" s="17" t="s">
        <v>3752</v>
      </c>
      <c r="D10276" s="17" t="s">
        <v>2895</v>
      </c>
      <c r="E10276" s="17" t="s">
        <v>2900</v>
      </c>
      <c r="F10276" s="17" t="s">
        <v>2994</v>
      </c>
      <c r="G10276" s="18" t="n">
        <v>131.16</v>
      </c>
      <c r="H10276" s="18" t="n">
        <v>0</v>
      </c>
      <c r="I10276" s="18" t="n">
        <f aca="false">((I10275 + G10276) - H10276)</f>
        <v>34442.2599999999</v>
      </c>
      <c r="J10276" s="18" t="n">
        <v>0</v>
      </c>
      <c r="K10276" s="19" t="n">
        <v>0</v>
      </c>
      <c r="L10276" s="17"/>
    </row>
    <row r="10277" s="11" customFormat="true" ht="10.95" hidden="false" customHeight="true" outlineLevel="0" collapsed="false">
      <c r="A10277" s="16" t="n">
        <v>45240</v>
      </c>
      <c r="B10277" s="17" t="s">
        <v>3861</v>
      </c>
      <c r="C10277" s="17" t="s">
        <v>3752</v>
      </c>
      <c r="D10277" s="17" t="s">
        <v>2895</v>
      </c>
      <c r="E10277" s="17" t="s">
        <v>2900</v>
      </c>
      <c r="F10277" s="17" t="s">
        <v>2995</v>
      </c>
      <c r="G10277" s="18" t="n">
        <v>1724.2</v>
      </c>
      <c r="H10277" s="18" t="n">
        <v>0</v>
      </c>
      <c r="I10277" s="18" t="n">
        <f aca="false">((I10276 + G10277) - H10277)</f>
        <v>36166.4599999999</v>
      </c>
      <c r="J10277" s="18" t="n">
        <v>0</v>
      </c>
      <c r="K10277" s="19" t="n">
        <v>0</v>
      </c>
      <c r="L10277" s="17"/>
    </row>
    <row r="10278" s="11" customFormat="true" ht="10.95" hidden="false" customHeight="true" outlineLevel="0" collapsed="false">
      <c r="A10278" s="16" t="n">
        <v>45241</v>
      </c>
      <c r="B10278" s="17" t="s">
        <v>3861</v>
      </c>
      <c r="C10278" s="17" t="s">
        <v>3752</v>
      </c>
      <c r="D10278" s="17" t="s">
        <v>1407</v>
      </c>
      <c r="E10278" s="17" t="s">
        <v>4097</v>
      </c>
      <c r="F10278" s="17"/>
      <c r="G10278" s="18" t="n">
        <v>0</v>
      </c>
      <c r="H10278" s="18" t="n">
        <v>357.04</v>
      </c>
      <c r="I10278" s="18" t="n">
        <f aca="false">((I10277 + G10278) - H10278)</f>
        <v>35809.4199999999</v>
      </c>
      <c r="J10278" s="18" t="n">
        <v>0</v>
      </c>
      <c r="K10278" s="19" t="n">
        <v>0</v>
      </c>
      <c r="L10278" s="17"/>
    </row>
    <row r="10279" s="11" customFormat="true" ht="10.95" hidden="false" customHeight="true" outlineLevel="0" collapsed="false">
      <c r="A10279" s="16" t="n">
        <v>45243</v>
      </c>
      <c r="B10279" s="17" t="s">
        <v>3861</v>
      </c>
      <c r="C10279" s="17" t="s">
        <v>3752</v>
      </c>
      <c r="D10279" s="17" t="s">
        <v>2895</v>
      </c>
      <c r="E10279" s="17" t="s">
        <v>2910</v>
      </c>
      <c r="F10279" s="17" t="s">
        <v>2996</v>
      </c>
      <c r="G10279" s="18" t="n">
        <v>3821.82</v>
      </c>
      <c r="H10279" s="18" t="n">
        <v>0</v>
      </c>
      <c r="I10279" s="18" t="n">
        <f aca="false">((I10278 + G10279) - H10279)</f>
        <v>39631.2399999999</v>
      </c>
      <c r="J10279" s="18" t="n">
        <v>0</v>
      </c>
      <c r="K10279" s="19" t="n">
        <v>0</v>
      </c>
      <c r="L10279" s="17"/>
    </row>
    <row r="10280" s="11" customFormat="true" ht="10.95" hidden="false" customHeight="true" outlineLevel="0" collapsed="false">
      <c r="A10280" s="16" t="n">
        <v>45243</v>
      </c>
      <c r="B10280" s="17" t="s">
        <v>3861</v>
      </c>
      <c r="C10280" s="17" t="s">
        <v>3752</v>
      </c>
      <c r="D10280" s="17" t="s">
        <v>2895</v>
      </c>
      <c r="E10280" s="17" t="s">
        <v>2910</v>
      </c>
      <c r="F10280" s="17" t="s">
        <v>2997</v>
      </c>
      <c r="G10280" s="18" t="n">
        <v>558.74</v>
      </c>
      <c r="H10280" s="18" t="n">
        <v>0</v>
      </c>
      <c r="I10280" s="18" t="n">
        <f aca="false">((I10279 + G10280) - H10280)</f>
        <v>40189.9799999999</v>
      </c>
      <c r="J10280" s="18" t="n">
        <v>0</v>
      </c>
      <c r="K10280" s="19" t="n">
        <v>0</v>
      </c>
      <c r="L10280" s="17"/>
    </row>
    <row r="10281" s="11" customFormat="true" ht="10.95" hidden="false" customHeight="true" outlineLevel="0" collapsed="false">
      <c r="A10281" s="16" t="n">
        <v>45243</v>
      </c>
      <c r="B10281" s="17" t="s">
        <v>3861</v>
      </c>
      <c r="C10281" s="17" t="s">
        <v>3752</v>
      </c>
      <c r="D10281" s="17" t="s">
        <v>2895</v>
      </c>
      <c r="E10281" s="17" t="s">
        <v>3403</v>
      </c>
      <c r="F10281" s="17" t="s">
        <v>4098</v>
      </c>
      <c r="G10281" s="18" t="n">
        <v>2484.9</v>
      </c>
      <c r="H10281" s="18" t="n">
        <v>0</v>
      </c>
      <c r="I10281" s="18" t="n">
        <f aca="false">((I10280 + G10281) - H10281)</f>
        <v>42674.8799999999</v>
      </c>
      <c r="J10281" s="18" t="n">
        <v>0</v>
      </c>
      <c r="K10281" s="19" t="n">
        <v>0</v>
      </c>
      <c r="L10281" s="17"/>
    </row>
    <row r="10282" s="11" customFormat="true" ht="10.95" hidden="false" customHeight="true" outlineLevel="0" collapsed="false">
      <c r="A10282" s="16" t="n">
        <v>45243</v>
      </c>
      <c r="B10282" s="17" t="s">
        <v>3861</v>
      </c>
      <c r="C10282" s="17" t="s">
        <v>3752</v>
      </c>
      <c r="D10282" s="17" t="s">
        <v>2895</v>
      </c>
      <c r="E10282" s="17" t="s">
        <v>3403</v>
      </c>
      <c r="F10282" s="17" t="s">
        <v>4099</v>
      </c>
      <c r="G10282" s="18" t="n">
        <v>517</v>
      </c>
      <c r="H10282" s="18" t="n">
        <v>0</v>
      </c>
      <c r="I10282" s="18" t="n">
        <f aca="false">((I10281 + G10282) - H10282)</f>
        <v>43191.8799999999</v>
      </c>
      <c r="J10282" s="18" t="n">
        <v>0</v>
      </c>
      <c r="K10282" s="19" t="n">
        <v>0</v>
      </c>
      <c r="L10282" s="17"/>
    </row>
    <row r="10283" s="11" customFormat="true" ht="10.95" hidden="false" customHeight="true" outlineLevel="0" collapsed="false">
      <c r="A10283" s="16" t="n">
        <v>45243</v>
      </c>
      <c r="B10283" s="17" t="s">
        <v>3861</v>
      </c>
      <c r="C10283" s="17" t="s">
        <v>3752</v>
      </c>
      <c r="D10283" s="17" t="s">
        <v>2895</v>
      </c>
      <c r="E10283" s="17" t="s">
        <v>3403</v>
      </c>
      <c r="F10283" s="17" t="s">
        <v>4100</v>
      </c>
      <c r="G10283" s="18" t="n">
        <v>310.2</v>
      </c>
      <c r="H10283" s="18" t="n">
        <v>0</v>
      </c>
      <c r="I10283" s="18" t="n">
        <f aca="false">((I10282 + G10283) - H10283)</f>
        <v>43502.0799999999</v>
      </c>
      <c r="J10283" s="18" t="n">
        <v>0</v>
      </c>
      <c r="K10283" s="19" t="n">
        <v>0</v>
      </c>
      <c r="L10283" s="17"/>
    </row>
    <row r="10284" s="11" customFormat="true" ht="10.95" hidden="false" customHeight="true" outlineLevel="0" collapsed="false">
      <c r="A10284" s="16" t="n">
        <v>45243</v>
      </c>
      <c r="B10284" s="17" t="s">
        <v>3861</v>
      </c>
      <c r="C10284" s="17" t="s">
        <v>3752</v>
      </c>
      <c r="D10284" s="17" t="s">
        <v>2895</v>
      </c>
      <c r="E10284" s="17" t="s">
        <v>3403</v>
      </c>
      <c r="F10284" s="17" t="s">
        <v>4101</v>
      </c>
      <c r="G10284" s="18" t="n">
        <v>1258.4</v>
      </c>
      <c r="H10284" s="18" t="n">
        <v>0</v>
      </c>
      <c r="I10284" s="18" t="n">
        <f aca="false">((I10283 + G10284) - H10284)</f>
        <v>44760.4799999999</v>
      </c>
      <c r="J10284" s="18" t="n">
        <v>0</v>
      </c>
      <c r="K10284" s="19" t="n">
        <v>0</v>
      </c>
      <c r="L10284" s="17"/>
    </row>
    <row r="10285" s="11" customFormat="true" ht="10.95" hidden="false" customHeight="true" outlineLevel="0" collapsed="false">
      <c r="A10285" s="16" t="n">
        <v>45243</v>
      </c>
      <c r="B10285" s="17" t="s">
        <v>3861</v>
      </c>
      <c r="C10285" s="17" t="s">
        <v>3752</v>
      </c>
      <c r="D10285" s="17" t="s">
        <v>2895</v>
      </c>
      <c r="E10285" s="17" t="s">
        <v>3403</v>
      </c>
      <c r="F10285" s="17" t="s">
        <v>4102</v>
      </c>
      <c r="G10285" s="18" t="n">
        <v>627</v>
      </c>
      <c r="H10285" s="18" t="n">
        <v>0</v>
      </c>
      <c r="I10285" s="18" t="n">
        <f aca="false">((I10284 + G10285) - H10285)</f>
        <v>45387.4799999999</v>
      </c>
      <c r="J10285" s="18" t="n">
        <v>0</v>
      </c>
      <c r="K10285" s="19" t="n">
        <v>0</v>
      </c>
      <c r="L10285" s="17"/>
    </row>
    <row r="10286" s="11" customFormat="true" ht="10.95" hidden="false" customHeight="true" outlineLevel="0" collapsed="false">
      <c r="A10286" s="16" t="n">
        <v>45243</v>
      </c>
      <c r="B10286" s="17" t="s">
        <v>3861</v>
      </c>
      <c r="C10286" s="17" t="s">
        <v>3752</v>
      </c>
      <c r="D10286" s="17" t="s">
        <v>2895</v>
      </c>
      <c r="E10286" s="17" t="s">
        <v>3403</v>
      </c>
      <c r="F10286" s="17" t="s">
        <v>4103</v>
      </c>
      <c r="G10286" s="18" t="n">
        <v>206.8</v>
      </c>
      <c r="H10286" s="18" t="n">
        <v>0</v>
      </c>
      <c r="I10286" s="18" t="n">
        <f aca="false">((I10285 + G10286) - H10286)</f>
        <v>45594.2799999999</v>
      </c>
      <c r="J10286" s="18" t="n">
        <v>0</v>
      </c>
      <c r="K10286" s="19" t="n">
        <v>0</v>
      </c>
      <c r="L10286" s="17"/>
    </row>
    <row r="10287" s="11" customFormat="true" ht="10.95" hidden="false" customHeight="true" outlineLevel="0" collapsed="false">
      <c r="A10287" s="16" t="n">
        <v>45243</v>
      </c>
      <c r="B10287" s="17" t="s">
        <v>3861</v>
      </c>
      <c r="C10287" s="17" t="s">
        <v>3752</v>
      </c>
      <c r="D10287" s="17" t="s">
        <v>2895</v>
      </c>
      <c r="E10287" s="17" t="s">
        <v>3403</v>
      </c>
      <c r="F10287" s="17" t="s">
        <v>4104</v>
      </c>
      <c r="G10287" s="18" t="n">
        <v>316.8</v>
      </c>
      <c r="H10287" s="18" t="n">
        <v>0</v>
      </c>
      <c r="I10287" s="18" t="n">
        <f aca="false">((I10286 + G10287) - H10287)</f>
        <v>45911.0799999999</v>
      </c>
      <c r="J10287" s="18" t="n">
        <v>0</v>
      </c>
      <c r="K10287" s="19" t="n">
        <v>0</v>
      </c>
      <c r="L10287" s="17"/>
    </row>
    <row r="10288" s="11" customFormat="true" ht="10.95" hidden="false" customHeight="true" outlineLevel="0" collapsed="false">
      <c r="A10288" s="16" t="n">
        <v>45243</v>
      </c>
      <c r="B10288" s="17" t="s">
        <v>3861</v>
      </c>
      <c r="C10288" s="17" t="s">
        <v>3752</v>
      </c>
      <c r="D10288" s="17" t="s">
        <v>2895</v>
      </c>
      <c r="E10288" s="17" t="s">
        <v>3403</v>
      </c>
      <c r="F10288" s="17" t="s">
        <v>4105</v>
      </c>
      <c r="G10288" s="18" t="n">
        <v>827.2</v>
      </c>
      <c r="H10288" s="18" t="n">
        <v>0</v>
      </c>
      <c r="I10288" s="18" t="n">
        <f aca="false">((I10287 + G10288) - H10288)</f>
        <v>46738.2799999999</v>
      </c>
      <c r="J10288" s="18" t="n">
        <v>0</v>
      </c>
      <c r="K10288" s="19" t="n">
        <v>0</v>
      </c>
      <c r="L10288" s="17"/>
    </row>
    <row r="10289" s="11" customFormat="true" ht="10.95" hidden="false" customHeight="true" outlineLevel="0" collapsed="false">
      <c r="A10289" s="16" t="n">
        <v>45243</v>
      </c>
      <c r="B10289" s="17" t="s">
        <v>3861</v>
      </c>
      <c r="C10289" s="17" t="s">
        <v>3752</v>
      </c>
      <c r="D10289" s="17" t="s">
        <v>2895</v>
      </c>
      <c r="E10289" s="17" t="s">
        <v>3403</v>
      </c>
      <c r="F10289" s="17" t="s">
        <v>4106</v>
      </c>
      <c r="G10289" s="18" t="n">
        <v>3660.25</v>
      </c>
      <c r="H10289" s="18" t="n">
        <v>0</v>
      </c>
      <c r="I10289" s="18" t="n">
        <f aca="false">((I10288 + G10289) - H10289)</f>
        <v>50398.5299999999</v>
      </c>
      <c r="J10289" s="18" t="n">
        <v>0</v>
      </c>
      <c r="K10289" s="19" t="n">
        <v>0</v>
      </c>
      <c r="L10289" s="17"/>
    </row>
    <row r="10290" s="11" customFormat="true" ht="10.95" hidden="false" customHeight="true" outlineLevel="0" collapsed="false">
      <c r="A10290" s="16" t="n">
        <v>45243</v>
      </c>
      <c r="B10290" s="17" t="s">
        <v>3861</v>
      </c>
      <c r="C10290" s="17" t="s">
        <v>3752</v>
      </c>
      <c r="D10290" s="17" t="s">
        <v>3753</v>
      </c>
      <c r="E10290" s="17" t="s">
        <v>4060</v>
      </c>
      <c r="F10290" s="17" t="s">
        <v>4061</v>
      </c>
      <c r="G10290" s="18" t="n">
        <v>0</v>
      </c>
      <c r="H10290" s="18" t="n">
        <v>1598.47</v>
      </c>
      <c r="I10290" s="18" t="n">
        <f aca="false">((I10289 + G10290) - H10290)</f>
        <v>48800.0599999999</v>
      </c>
      <c r="J10290" s="18" t="n">
        <v>0</v>
      </c>
      <c r="K10290" s="19" t="n">
        <v>0</v>
      </c>
      <c r="L10290" s="17"/>
    </row>
    <row r="10291" s="11" customFormat="true" ht="10.95" hidden="false" customHeight="true" outlineLevel="0" collapsed="false">
      <c r="A10291" s="16" t="n">
        <v>45244</v>
      </c>
      <c r="B10291" s="17" t="s">
        <v>3861</v>
      </c>
      <c r="C10291" s="17" t="s">
        <v>3752</v>
      </c>
      <c r="D10291" s="17" t="s">
        <v>1407</v>
      </c>
      <c r="E10291" s="17" t="s">
        <v>3863</v>
      </c>
      <c r="F10291" s="17"/>
      <c r="G10291" s="18" t="n">
        <v>0</v>
      </c>
      <c r="H10291" s="18" t="n">
        <v>0.63</v>
      </c>
      <c r="I10291" s="18" t="n">
        <f aca="false">((I10290 + G10291) - H10291)</f>
        <v>48799.4299999999</v>
      </c>
      <c r="J10291" s="18" t="n">
        <v>0</v>
      </c>
      <c r="K10291" s="19" t="n">
        <v>0</v>
      </c>
      <c r="L10291" s="17"/>
    </row>
    <row r="10292" s="11" customFormat="true" ht="10.95" hidden="false" customHeight="true" outlineLevel="0" collapsed="false">
      <c r="A10292" s="16" t="n">
        <v>45244</v>
      </c>
      <c r="B10292" s="17" t="s">
        <v>3861</v>
      </c>
      <c r="C10292" s="17" t="s">
        <v>3752</v>
      </c>
      <c r="D10292" s="17" t="s">
        <v>1407</v>
      </c>
      <c r="E10292" s="17" t="s">
        <v>3757</v>
      </c>
      <c r="F10292" s="17"/>
      <c r="G10292" s="18" t="n">
        <v>0</v>
      </c>
      <c r="H10292" s="18" t="n">
        <v>20.85</v>
      </c>
      <c r="I10292" s="18" t="n">
        <f aca="false">((I10291 + G10292) - H10292)</f>
        <v>48778.5799999999</v>
      </c>
      <c r="J10292" s="18" t="n">
        <v>0</v>
      </c>
      <c r="K10292" s="19" t="n">
        <v>0</v>
      </c>
      <c r="L10292" s="17"/>
    </row>
    <row r="10293" s="11" customFormat="true" ht="10.95" hidden="false" customHeight="true" outlineLevel="0" collapsed="false">
      <c r="A10293" s="16" t="n">
        <v>45244</v>
      </c>
      <c r="B10293" s="17" t="s">
        <v>3861</v>
      </c>
      <c r="C10293" s="17" t="s">
        <v>3752</v>
      </c>
      <c r="D10293" s="17" t="s">
        <v>1407</v>
      </c>
      <c r="E10293" s="17" t="s">
        <v>3897</v>
      </c>
      <c r="F10293" s="17"/>
      <c r="G10293" s="18" t="n">
        <v>0</v>
      </c>
      <c r="H10293" s="18" t="n">
        <v>30</v>
      </c>
      <c r="I10293" s="18" t="n">
        <f aca="false">((I10292 + G10293) - H10293)</f>
        <v>48748.5799999999</v>
      </c>
      <c r="J10293" s="18" t="n">
        <v>0</v>
      </c>
      <c r="K10293" s="19" t="n">
        <v>0</v>
      </c>
      <c r="L10293" s="17"/>
    </row>
    <row r="10294" s="11" customFormat="true" ht="10.95" hidden="false" customHeight="true" outlineLevel="0" collapsed="false">
      <c r="A10294" s="16" t="n">
        <v>45244</v>
      </c>
      <c r="B10294" s="17" t="s">
        <v>3861</v>
      </c>
      <c r="C10294" s="17" t="s">
        <v>3752</v>
      </c>
      <c r="D10294" s="17" t="s">
        <v>1407</v>
      </c>
      <c r="E10294" s="17" t="s">
        <v>3878</v>
      </c>
      <c r="F10294" s="17"/>
      <c r="G10294" s="18" t="n">
        <v>0</v>
      </c>
      <c r="H10294" s="18" t="n">
        <v>1188.2</v>
      </c>
      <c r="I10294" s="18" t="n">
        <f aca="false">((I10293 + G10294) - H10294)</f>
        <v>47560.3799999999</v>
      </c>
      <c r="J10294" s="18" t="n">
        <v>0</v>
      </c>
      <c r="K10294" s="19" t="n">
        <v>0</v>
      </c>
      <c r="L10294" s="17"/>
    </row>
    <row r="10295" s="11" customFormat="true" ht="10.95" hidden="false" customHeight="true" outlineLevel="0" collapsed="false">
      <c r="A10295" s="16" t="n">
        <v>45244</v>
      </c>
      <c r="B10295" s="17" t="s">
        <v>3861</v>
      </c>
      <c r="C10295" s="17" t="s">
        <v>3752</v>
      </c>
      <c r="D10295" s="17" t="s">
        <v>1407</v>
      </c>
      <c r="E10295" s="17" t="s">
        <v>3967</v>
      </c>
      <c r="F10295" s="17"/>
      <c r="G10295" s="18" t="n">
        <v>0</v>
      </c>
      <c r="H10295" s="18" t="n">
        <v>48</v>
      </c>
      <c r="I10295" s="18" t="n">
        <f aca="false">((I10294 + G10295) - H10295)</f>
        <v>47512.3799999999</v>
      </c>
      <c r="J10295" s="18" t="n">
        <v>0</v>
      </c>
      <c r="K10295" s="19" t="n">
        <v>0</v>
      </c>
      <c r="L10295" s="17"/>
    </row>
    <row r="10296" s="11" customFormat="true" ht="10.95" hidden="false" customHeight="true" outlineLevel="0" collapsed="false">
      <c r="A10296" s="16" t="n">
        <v>45244</v>
      </c>
      <c r="B10296" s="17" t="s">
        <v>3861</v>
      </c>
      <c r="C10296" s="17" t="s">
        <v>3752</v>
      </c>
      <c r="D10296" s="17" t="s">
        <v>2903</v>
      </c>
      <c r="E10296" s="17" t="s">
        <v>3643</v>
      </c>
      <c r="F10296" s="17" t="s">
        <v>1465</v>
      </c>
      <c r="G10296" s="18" t="n">
        <v>0</v>
      </c>
      <c r="H10296" s="18" t="n">
        <v>1310.19</v>
      </c>
      <c r="I10296" s="18" t="n">
        <f aca="false">((I10295 + G10296) - H10296)</f>
        <v>46202.1899999999</v>
      </c>
      <c r="J10296" s="18" t="n">
        <v>0</v>
      </c>
      <c r="K10296" s="19" t="n">
        <v>0</v>
      </c>
      <c r="L10296" s="17"/>
    </row>
    <row r="10297" s="11" customFormat="true" ht="10.95" hidden="false" customHeight="true" outlineLevel="0" collapsed="false">
      <c r="A10297" s="16" t="n">
        <v>45244</v>
      </c>
      <c r="B10297" s="17" t="s">
        <v>3861</v>
      </c>
      <c r="C10297" s="17" t="s">
        <v>3752</v>
      </c>
      <c r="D10297" s="17" t="s">
        <v>2903</v>
      </c>
      <c r="E10297" s="17" t="s">
        <v>3657</v>
      </c>
      <c r="F10297" s="17" t="s">
        <v>1459</v>
      </c>
      <c r="G10297" s="18" t="n">
        <v>0</v>
      </c>
      <c r="H10297" s="18" t="n">
        <v>4952.01</v>
      </c>
      <c r="I10297" s="18" t="n">
        <f aca="false">((I10296 + G10297) - H10297)</f>
        <v>41250.1799999999</v>
      </c>
      <c r="J10297" s="18" t="n">
        <v>0</v>
      </c>
      <c r="K10297" s="19" t="n">
        <v>0</v>
      </c>
      <c r="L10297" s="17"/>
    </row>
    <row r="10298" s="11" customFormat="true" ht="10.95" hidden="false" customHeight="true" outlineLevel="0" collapsed="false">
      <c r="A10298" s="16" t="n">
        <v>45244</v>
      </c>
      <c r="B10298" s="17" t="s">
        <v>3861</v>
      </c>
      <c r="C10298" s="17" t="s">
        <v>3752</v>
      </c>
      <c r="D10298" s="17" t="s">
        <v>1407</v>
      </c>
      <c r="E10298" s="17" t="s">
        <v>3666</v>
      </c>
      <c r="F10298" s="17"/>
      <c r="G10298" s="18" t="n">
        <v>0</v>
      </c>
      <c r="H10298" s="18" t="n">
        <v>6.29</v>
      </c>
      <c r="I10298" s="18" t="n">
        <f aca="false">((I10297 + G10298) - H10298)</f>
        <v>41243.8899999999</v>
      </c>
      <c r="J10298" s="18" t="n">
        <v>0</v>
      </c>
      <c r="K10298" s="19" t="n">
        <v>0</v>
      </c>
      <c r="L10298" s="17"/>
    </row>
    <row r="10299" s="11" customFormat="true" ht="10.95" hidden="false" customHeight="true" outlineLevel="0" collapsed="false">
      <c r="A10299" s="16" t="n">
        <v>45244</v>
      </c>
      <c r="B10299" s="17" t="s">
        <v>3861</v>
      </c>
      <c r="C10299" s="17" t="s">
        <v>3752</v>
      </c>
      <c r="D10299" s="17" t="s">
        <v>2903</v>
      </c>
      <c r="E10299" s="17" t="s">
        <v>3667</v>
      </c>
      <c r="F10299" s="17" t="s">
        <v>3590</v>
      </c>
      <c r="G10299" s="18" t="n">
        <v>0</v>
      </c>
      <c r="H10299" s="18" t="n">
        <v>629.2</v>
      </c>
      <c r="I10299" s="18" t="n">
        <f aca="false">((I10298 + G10299) - H10299)</f>
        <v>40614.6899999999</v>
      </c>
      <c r="J10299" s="18" t="n">
        <v>0</v>
      </c>
      <c r="K10299" s="19" t="n">
        <v>0</v>
      </c>
      <c r="L10299" s="17"/>
    </row>
    <row r="10300" s="11" customFormat="true" ht="10.95" hidden="false" customHeight="true" outlineLevel="0" collapsed="false">
      <c r="A10300" s="16" t="n">
        <v>45244</v>
      </c>
      <c r="B10300" s="17" t="s">
        <v>3861</v>
      </c>
      <c r="C10300" s="17" t="s">
        <v>3752</v>
      </c>
      <c r="D10300" s="17" t="s">
        <v>2903</v>
      </c>
      <c r="E10300" s="17" t="s">
        <v>2943</v>
      </c>
      <c r="F10300" s="17" t="s">
        <v>1777</v>
      </c>
      <c r="G10300" s="18" t="n">
        <v>0</v>
      </c>
      <c r="H10300" s="18" t="n">
        <v>799.49</v>
      </c>
      <c r="I10300" s="18" t="n">
        <f aca="false">((I10299 + G10300) - H10300)</f>
        <v>39815.1999999999</v>
      </c>
      <c r="J10300" s="18" t="n">
        <v>0</v>
      </c>
      <c r="K10300" s="19" t="n">
        <v>0</v>
      </c>
      <c r="L10300" s="17"/>
    </row>
    <row r="10301" s="11" customFormat="true" ht="10.95" hidden="false" customHeight="true" outlineLevel="0" collapsed="false">
      <c r="A10301" s="16" t="n">
        <v>45245</v>
      </c>
      <c r="B10301" s="17" t="s">
        <v>3861</v>
      </c>
      <c r="C10301" s="17" t="s">
        <v>3752</v>
      </c>
      <c r="D10301" s="17" t="s">
        <v>1407</v>
      </c>
      <c r="E10301" s="17" t="s">
        <v>3881</v>
      </c>
      <c r="F10301" s="17"/>
      <c r="G10301" s="18" t="n">
        <v>0</v>
      </c>
      <c r="H10301" s="18" t="n">
        <v>140</v>
      </c>
      <c r="I10301" s="18" t="n">
        <f aca="false">((I10300 + G10301) - H10301)</f>
        <v>39675.1999999999</v>
      </c>
      <c r="J10301" s="18" t="n">
        <v>0</v>
      </c>
      <c r="K10301" s="19" t="n">
        <v>0</v>
      </c>
      <c r="L10301" s="17"/>
    </row>
    <row r="10302" s="11" customFormat="true" ht="10.95" hidden="false" customHeight="true" outlineLevel="0" collapsed="false">
      <c r="A10302" s="16" t="n">
        <v>45245</v>
      </c>
      <c r="B10302" s="17" t="s">
        <v>3861</v>
      </c>
      <c r="C10302" s="17" t="s">
        <v>3752</v>
      </c>
      <c r="D10302" s="17" t="s">
        <v>1407</v>
      </c>
      <c r="E10302" s="17" t="s">
        <v>3879</v>
      </c>
      <c r="F10302" s="17"/>
      <c r="G10302" s="18" t="n">
        <v>0</v>
      </c>
      <c r="H10302" s="18" t="n">
        <v>1207</v>
      </c>
      <c r="I10302" s="18" t="n">
        <f aca="false">((I10301 + G10302) - H10302)</f>
        <v>38468.1999999999</v>
      </c>
      <c r="J10302" s="18" t="n">
        <v>0</v>
      </c>
      <c r="K10302" s="19" t="n">
        <v>0</v>
      </c>
      <c r="L10302" s="17"/>
    </row>
    <row r="10303" s="11" customFormat="true" ht="10.95" hidden="false" customHeight="true" outlineLevel="0" collapsed="false">
      <c r="A10303" s="16" t="n">
        <v>45245</v>
      </c>
      <c r="B10303" s="17" t="s">
        <v>3861</v>
      </c>
      <c r="C10303" s="17" t="s">
        <v>3752</v>
      </c>
      <c r="D10303" s="17" t="s">
        <v>1407</v>
      </c>
      <c r="E10303" s="17" t="s">
        <v>3880</v>
      </c>
      <c r="F10303" s="17"/>
      <c r="G10303" s="18" t="n">
        <v>0</v>
      </c>
      <c r="H10303" s="18" t="n">
        <v>1207</v>
      </c>
      <c r="I10303" s="18" t="n">
        <f aca="false">((I10302 + G10303) - H10303)</f>
        <v>37261.1999999999</v>
      </c>
      <c r="J10303" s="18" t="n">
        <v>0</v>
      </c>
      <c r="K10303" s="19" t="n">
        <v>0</v>
      </c>
      <c r="L10303" s="17"/>
    </row>
    <row r="10304" s="11" customFormat="true" ht="10.95" hidden="false" customHeight="true" outlineLevel="0" collapsed="false">
      <c r="A10304" s="16" t="n">
        <v>45245</v>
      </c>
      <c r="B10304" s="17" t="s">
        <v>3861</v>
      </c>
      <c r="C10304" s="17" t="s">
        <v>3752</v>
      </c>
      <c r="D10304" s="17" t="s">
        <v>1407</v>
      </c>
      <c r="E10304" s="17" t="s">
        <v>3808</v>
      </c>
      <c r="F10304" s="17"/>
      <c r="G10304" s="18" t="n">
        <v>0</v>
      </c>
      <c r="H10304" s="18" t="n">
        <v>1705.92</v>
      </c>
      <c r="I10304" s="18" t="n">
        <f aca="false">((I10303 + G10304) - H10304)</f>
        <v>35555.2799999999</v>
      </c>
      <c r="J10304" s="18" t="n">
        <v>0</v>
      </c>
      <c r="K10304" s="19" t="n">
        <v>0</v>
      </c>
      <c r="L10304" s="17"/>
    </row>
    <row r="10305" s="11" customFormat="true" ht="10.95" hidden="false" customHeight="true" outlineLevel="0" collapsed="false">
      <c r="A10305" s="16" t="n">
        <v>45246</v>
      </c>
      <c r="B10305" s="17" t="s">
        <v>3861</v>
      </c>
      <c r="C10305" s="17" t="s">
        <v>3752</v>
      </c>
      <c r="D10305" s="17" t="s">
        <v>2895</v>
      </c>
      <c r="E10305" s="17" t="s">
        <v>3457</v>
      </c>
      <c r="F10305" s="17" t="s">
        <v>4107</v>
      </c>
      <c r="G10305" s="18" t="n">
        <v>9999</v>
      </c>
      <c r="H10305" s="18" t="n">
        <v>0</v>
      </c>
      <c r="I10305" s="18" t="n">
        <f aca="false">((I10304 + G10305) - H10305)</f>
        <v>45554.2799999999</v>
      </c>
      <c r="J10305" s="18" t="n">
        <v>0</v>
      </c>
      <c r="K10305" s="19" t="n">
        <v>0</v>
      </c>
      <c r="L10305" s="17"/>
    </row>
    <row r="10306" s="11" customFormat="true" ht="10.95" hidden="false" customHeight="true" outlineLevel="0" collapsed="false">
      <c r="A10306" s="16" t="n">
        <v>45246</v>
      </c>
      <c r="B10306" s="17" t="s">
        <v>3861</v>
      </c>
      <c r="C10306" s="17" t="s">
        <v>3752</v>
      </c>
      <c r="D10306" s="17" t="s">
        <v>2895</v>
      </c>
      <c r="E10306" s="17" t="s">
        <v>3457</v>
      </c>
      <c r="F10306" s="17" t="s">
        <v>4108</v>
      </c>
      <c r="G10306" s="18" t="n">
        <v>9999</v>
      </c>
      <c r="H10306" s="18" t="n">
        <v>0</v>
      </c>
      <c r="I10306" s="18" t="n">
        <f aca="false">((I10305 + G10306) - H10306)</f>
        <v>55553.2799999999</v>
      </c>
      <c r="J10306" s="18" t="n">
        <v>0</v>
      </c>
      <c r="K10306" s="19" t="n">
        <v>0</v>
      </c>
      <c r="L10306" s="17"/>
    </row>
    <row r="10307" s="11" customFormat="true" ht="10.95" hidden="false" customHeight="true" outlineLevel="0" collapsed="false">
      <c r="A10307" s="16" t="n">
        <v>45246</v>
      </c>
      <c r="B10307" s="17" t="s">
        <v>3861</v>
      </c>
      <c r="C10307" s="17" t="s">
        <v>3752</v>
      </c>
      <c r="D10307" s="17" t="s">
        <v>1407</v>
      </c>
      <c r="E10307" s="17" t="s">
        <v>3863</v>
      </c>
      <c r="F10307" s="17"/>
      <c r="G10307" s="18" t="n">
        <v>0</v>
      </c>
      <c r="H10307" s="18" t="n">
        <v>5</v>
      </c>
      <c r="I10307" s="18" t="n">
        <f aca="false">((I10306 + G10307) - H10307)</f>
        <v>55548.2799999999</v>
      </c>
      <c r="J10307" s="18" t="n">
        <v>0</v>
      </c>
      <c r="K10307" s="19" t="n">
        <v>0</v>
      </c>
      <c r="L10307" s="17"/>
    </row>
    <row r="10308" s="11" customFormat="true" ht="10.95" hidden="false" customHeight="true" outlineLevel="0" collapsed="false">
      <c r="A10308" s="16" t="n">
        <v>45246</v>
      </c>
      <c r="B10308" s="17" t="s">
        <v>3861</v>
      </c>
      <c r="C10308" s="17" t="s">
        <v>3752</v>
      </c>
      <c r="D10308" s="17" t="s">
        <v>1407</v>
      </c>
      <c r="E10308" s="17" t="s">
        <v>3776</v>
      </c>
      <c r="F10308" s="17"/>
      <c r="G10308" s="18" t="n">
        <v>0</v>
      </c>
      <c r="H10308" s="18" t="n">
        <v>166.53</v>
      </c>
      <c r="I10308" s="18" t="n">
        <f aca="false">((I10307 + G10308) - H10308)</f>
        <v>55381.7499999999</v>
      </c>
      <c r="J10308" s="18" t="n">
        <v>0</v>
      </c>
      <c r="K10308" s="19" t="n">
        <v>0</v>
      </c>
      <c r="L10308" s="17"/>
    </row>
    <row r="10309" s="11" customFormat="true" ht="10.95" hidden="false" customHeight="true" outlineLevel="0" collapsed="false">
      <c r="A10309" s="16" t="n">
        <v>45246</v>
      </c>
      <c r="B10309" s="17" t="s">
        <v>3861</v>
      </c>
      <c r="C10309" s="17" t="s">
        <v>3752</v>
      </c>
      <c r="D10309" s="17" t="s">
        <v>1407</v>
      </c>
      <c r="E10309" s="17" t="s">
        <v>3642</v>
      </c>
      <c r="F10309" s="17"/>
      <c r="G10309" s="18" t="n">
        <v>0</v>
      </c>
      <c r="H10309" s="18" t="n">
        <v>18.15</v>
      </c>
      <c r="I10309" s="18" t="n">
        <f aca="false">((I10308 + G10309) - H10309)</f>
        <v>55363.5999999999</v>
      </c>
      <c r="J10309" s="18" t="n">
        <v>0</v>
      </c>
      <c r="K10309" s="19" t="n">
        <v>0</v>
      </c>
      <c r="L10309" s="17"/>
    </row>
    <row r="10310" s="11" customFormat="true" ht="10.95" hidden="false" customHeight="true" outlineLevel="0" collapsed="false">
      <c r="A10310" s="16" t="n">
        <v>45246</v>
      </c>
      <c r="B10310" s="17" t="s">
        <v>3861</v>
      </c>
      <c r="C10310" s="17" t="s">
        <v>3752</v>
      </c>
      <c r="D10310" s="17" t="s">
        <v>1407</v>
      </c>
      <c r="E10310" s="17" t="s">
        <v>3642</v>
      </c>
      <c r="F10310" s="17"/>
      <c r="G10310" s="18" t="n">
        <v>0</v>
      </c>
      <c r="H10310" s="18" t="n">
        <v>18.92</v>
      </c>
      <c r="I10310" s="18" t="n">
        <f aca="false">((I10309 + G10310) - H10310)</f>
        <v>55344.6799999999</v>
      </c>
      <c r="J10310" s="18" t="n">
        <v>0</v>
      </c>
      <c r="K10310" s="19" t="n">
        <v>0</v>
      </c>
      <c r="L10310" s="17"/>
    </row>
    <row r="10311" s="11" customFormat="true" ht="10.95" hidden="false" customHeight="true" outlineLevel="0" collapsed="false">
      <c r="A10311" s="16" t="n">
        <v>45247</v>
      </c>
      <c r="B10311" s="17" t="s">
        <v>3861</v>
      </c>
      <c r="C10311" s="17" t="s">
        <v>3752</v>
      </c>
      <c r="D10311" s="17" t="s">
        <v>2895</v>
      </c>
      <c r="E10311" s="17" t="s">
        <v>3415</v>
      </c>
      <c r="F10311" s="17" t="s">
        <v>4109</v>
      </c>
      <c r="G10311" s="18" t="n">
        <v>1052.7</v>
      </c>
      <c r="H10311" s="18" t="n">
        <v>0</v>
      </c>
      <c r="I10311" s="18" t="n">
        <f aca="false">((I10310 + G10311) - H10311)</f>
        <v>56397.3799999999</v>
      </c>
      <c r="J10311" s="18" t="n">
        <v>0</v>
      </c>
      <c r="K10311" s="19" t="n">
        <v>0</v>
      </c>
      <c r="L10311" s="17"/>
    </row>
    <row r="10312" s="11" customFormat="true" ht="10.95" hidden="false" customHeight="true" outlineLevel="0" collapsed="false">
      <c r="A10312" s="16" t="n">
        <v>45247</v>
      </c>
      <c r="B10312" s="17" t="s">
        <v>3861</v>
      </c>
      <c r="C10312" s="17" t="s">
        <v>3752</v>
      </c>
      <c r="D10312" s="17" t="s">
        <v>1407</v>
      </c>
      <c r="E10312" s="17" t="s">
        <v>3863</v>
      </c>
      <c r="F10312" s="17"/>
      <c r="G10312" s="18" t="n">
        <v>0</v>
      </c>
      <c r="H10312" s="18" t="n">
        <v>3.74</v>
      </c>
      <c r="I10312" s="18" t="n">
        <f aca="false">((I10311 + G10312) - H10312)</f>
        <v>56393.6399999999</v>
      </c>
      <c r="J10312" s="18" t="n">
        <v>0</v>
      </c>
      <c r="K10312" s="19" t="n">
        <v>0</v>
      </c>
      <c r="L10312" s="17"/>
    </row>
    <row r="10313" s="11" customFormat="true" ht="10.95" hidden="false" customHeight="true" outlineLevel="0" collapsed="false">
      <c r="A10313" s="16" t="n">
        <v>45247</v>
      </c>
      <c r="B10313" s="17" t="s">
        <v>3861</v>
      </c>
      <c r="C10313" s="17" t="s">
        <v>3752</v>
      </c>
      <c r="D10313" s="17" t="s">
        <v>1407</v>
      </c>
      <c r="E10313" s="17" t="s">
        <v>3982</v>
      </c>
      <c r="F10313" s="17"/>
      <c r="G10313" s="18" t="n">
        <v>0</v>
      </c>
      <c r="H10313" s="18" t="n">
        <v>124.57</v>
      </c>
      <c r="I10313" s="18" t="n">
        <f aca="false">((I10312 + G10313) - H10313)</f>
        <v>56269.0699999999</v>
      </c>
      <c r="J10313" s="18" t="n">
        <v>0</v>
      </c>
      <c r="K10313" s="19" t="n">
        <v>0</v>
      </c>
      <c r="L10313" s="17"/>
    </row>
    <row r="10314" s="11" customFormat="true" ht="10.95" hidden="false" customHeight="true" outlineLevel="0" collapsed="false">
      <c r="A10314" s="16" t="n">
        <v>45247</v>
      </c>
      <c r="B10314" s="17" t="s">
        <v>3861</v>
      </c>
      <c r="C10314" s="17" t="s">
        <v>3752</v>
      </c>
      <c r="D10314" s="17" t="s">
        <v>1407</v>
      </c>
      <c r="E10314" s="17" t="s">
        <v>4110</v>
      </c>
      <c r="F10314" s="17"/>
      <c r="G10314" s="18" t="n">
        <v>0</v>
      </c>
      <c r="H10314" s="18" t="n">
        <v>69</v>
      </c>
      <c r="I10314" s="18" t="n">
        <f aca="false">((I10313 + G10314) - H10314)</f>
        <v>56200.0699999999</v>
      </c>
      <c r="J10314" s="18" t="n">
        <v>0</v>
      </c>
      <c r="K10314" s="19" t="n">
        <v>0</v>
      </c>
      <c r="L10314" s="17"/>
    </row>
    <row r="10315" s="11" customFormat="true" ht="10.95" hidden="false" customHeight="true" outlineLevel="0" collapsed="false">
      <c r="A10315" s="16" t="n">
        <v>45248</v>
      </c>
      <c r="B10315" s="17" t="s">
        <v>3861</v>
      </c>
      <c r="C10315" s="17" t="s">
        <v>3752</v>
      </c>
      <c r="D10315" s="17" t="s">
        <v>1407</v>
      </c>
      <c r="E10315" s="17" t="s">
        <v>3900</v>
      </c>
      <c r="F10315" s="17"/>
      <c r="G10315" s="18" t="n">
        <v>0</v>
      </c>
      <c r="H10315" s="18" t="n">
        <v>14.99</v>
      </c>
      <c r="I10315" s="18" t="n">
        <f aca="false">((I10314 + G10315) - H10315)</f>
        <v>56185.0799999999</v>
      </c>
      <c r="J10315" s="18" t="n">
        <v>0</v>
      </c>
      <c r="K10315" s="19" t="n">
        <v>0</v>
      </c>
      <c r="L10315" s="17"/>
    </row>
    <row r="10316" s="11" customFormat="true" ht="10.95" hidden="false" customHeight="true" outlineLevel="0" collapsed="false">
      <c r="A10316" s="16" t="n">
        <v>45248</v>
      </c>
      <c r="B10316" s="17" t="s">
        <v>3861</v>
      </c>
      <c r="C10316" s="17" t="s">
        <v>3752</v>
      </c>
      <c r="D10316" s="17" t="s">
        <v>1407</v>
      </c>
      <c r="E10316" s="17" t="s">
        <v>3901</v>
      </c>
      <c r="F10316" s="17"/>
      <c r="G10316" s="18" t="n">
        <v>0</v>
      </c>
      <c r="H10316" s="18" t="n">
        <v>84.77</v>
      </c>
      <c r="I10316" s="18" t="n">
        <f aca="false">((I10315 + G10316) - H10316)</f>
        <v>56100.3099999999</v>
      </c>
      <c r="J10316" s="18" t="n">
        <v>0</v>
      </c>
      <c r="K10316" s="19" t="n">
        <v>0</v>
      </c>
      <c r="L10316" s="17"/>
    </row>
    <row r="10317" s="11" customFormat="true" ht="10.95" hidden="false" customHeight="true" outlineLevel="0" collapsed="false">
      <c r="A10317" s="16" t="n">
        <v>45248</v>
      </c>
      <c r="B10317" s="17" t="s">
        <v>3861</v>
      </c>
      <c r="C10317" s="17" t="s">
        <v>3752</v>
      </c>
      <c r="D10317" s="17" t="s">
        <v>1407</v>
      </c>
      <c r="E10317" s="17" t="s">
        <v>3902</v>
      </c>
      <c r="F10317" s="17"/>
      <c r="G10317" s="18" t="n">
        <v>0</v>
      </c>
      <c r="H10317" s="18" t="n">
        <v>272.5</v>
      </c>
      <c r="I10317" s="18" t="n">
        <f aca="false">((I10316 + G10317) - H10317)</f>
        <v>55827.8099999999</v>
      </c>
      <c r="J10317" s="18" t="n">
        <v>0</v>
      </c>
      <c r="K10317" s="19" t="n">
        <v>0</v>
      </c>
      <c r="L10317" s="17"/>
    </row>
    <row r="10318" s="11" customFormat="true" ht="10.95" hidden="false" customHeight="true" outlineLevel="0" collapsed="false">
      <c r="A10318" s="16" t="n">
        <v>45248</v>
      </c>
      <c r="B10318" s="17" t="s">
        <v>3861</v>
      </c>
      <c r="C10318" s="17" t="s">
        <v>3752</v>
      </c>
      <c r="D10318" s="17" t="s">
        <v>1407</v>
      </c>
      <c r="E10318" s="17" t="s">
        <v>3621</v>
      </c>
      <c r="F10318" s="17"/>
      <c r="G10318" s="18" t="n">
        <v>0</v>
      </c>
      <c r="H10318" s="18" t="n">
        <v>760.32</v>
      </c>
      <c r="I10318" s="18" t="n">
        <f aca="false">((I10317 + G10318) - H10318)</f>
        <v>55067.4899999999</v>
      </c>
      <c r="J10318" s="18" t="n">
        <v>0</v>
      </c>
      <c r="K10318" s="19" t="n">
        <v>0</v>
      </c>
      <c r="L10318" s="17"/>
    </row>
    <row r="10319" s="11" customFormat="true" ht="10.95" hidden="false" customHeight="true" outlineLevel="0" collapsed="false">
      <c r="A10319" s="16" t="n">
        <v>45248</v>
      </c>
      <c r="B10319" s="17" t="s">
        <v>3861</v>
      </c>
      <c r="C10319" s="17" t="s">
        <v>3752</v>
      </c>
      <c r="D10319" s="17" t="s">
        <v>2903</v>
      </c>
      <c r="E10319" s="17" t="s">
        <v>3643</v>
      </c>
      <c r="F10319" s="17" t="s">
        <v>1465</v>
      </c>
      <c r="G10319" s="18" t="n">
        <v>0</v>
      </c>
      <c r="H10319" s="18" t="n">
        <v>807.26</v>
      </c>
      <c r="I10319" s="18" t="n">
        <f aca="false">((I10318 + G10319) - H10319)</f>
        <v>54260.2299999999</v>
      </c>
      <c r="J10319" s="18" t="n">
        <v>0</v>
      </c>
      <c r="K10319" s="19" t="n">
        <v>0</v>
      </c>
      <c r="L10319" s="17"/>
    </row>
    <row r="10320" s="11" customFormat="true" ht="10.95" hidden="false" customHeight="true" outlineLevel="0" collapsed="false">
      <c r="A10320" s="16" t="n">
        <v>45248</v>
      </c>
      <c r="B10320" s="17" t="s">
        <v>3861</v>
      </c>
      <c r="C10320" s="17" t="s">
        <v>3752</v>
      </c>
      <c r="D10320" s="17" t="s">
        <v>1407</v>
      </c>
      <c r="E10320" s="17" t="s">
        <v>4111</v>
      </c>
      <c r="F10320" s="17"/>
      <c r="G10320" s="18" t="n">
        <v>0</v>
      </c>
      <c r="H10320" s="18" t="n">
        <v>60.92</v>
      </c>
      <c r="I10320" s="18" t="n">
        <f aca="false">((I10319 + G10320) - H10320)</f>
        <v>54199.3099999999</v>
      </c>
      <c r="J10320" s="18" t="n">
        <v>0</v>
      </c>
      <c r="K10320" s="19" t="n">
        <v>0</v>
      </c>
      <c r="L10320" s="17"/>
    </row>
    <row r="10321" s="11" customFormat="true" ht="10.95" hidden="false" customHeight="true" outlineLevel="0" collapsed="false">
      <c r="A10321" s="16" t="n">
        <v>45249</v>
      </c>
      <c r="B10321" s="17" t="s">
        <v>3861</v>
      </c>
      <c r="C10321" s="17" t="s">
        <v>3752</v>
      </c>
      <c r="D10321" s="17" t="s">
        <v>2903</v>
      </c>
      <c r="E10321" s="17" t="s">
        <v>3616</v>
      </c>
      <c r="F10321" s="17" t="s">
        <v>3274</v>
      </c>
      <c r="G10321" s="18" t="n">
        <v>0</v>
      </c>
      <c r="H10321" s="18" t="n">
        <v>3063.5</v>
      </c>
      <c r="I10321" s="18" t="n">
        <f aca="false">((I10320 + G10321) - H10321)</f>
        <v>51135.8099999999</v>
      </c>
      <c r="J10321" s="18" t="n">
        <v>0</v>
      </c>
      <c r="K10321" s="19" t="n">
        <v>0</v>
      </c>
      <c r="L10321" s="17"/>
    </row>
    <row r="10322" s="11" customFormat="true" ht="10.95" hidden="false" customHeight="true" outlineLevel="0" collapsed="false">
      <c r="A10322" s="16" t="n">
        <v>45250</v>
      </c>
      <c r="B10322" s="17" t="s">
        <v>3861</v>
      </c>
      <c r="C10322" s="17" t="s">
        <v>3752</v>
      </c>
      <c r="D10322" s="17" t="s">
        <v>3753</v>
      </c>
      <c r="E10322" s="17" t="s">
        <v>3806</v>
      </c>
      <c r="F10322" s="17"/>
      <c r="G10322" s="18" t="n">
        <v>0</v>
      </c>
      <c r="H10322" s="18" t="n">
        <v>24693.49</v>
      </c>
      <c r="I10322" s="18" t="n">
        <f aca="false">((I10321 + G10322) - H10322)</f>
        <v>26442.3199999999</v>
      </c>
      <c r="J10322" s="18" t="n">
        <v>0</v>
      </c>
      <c r="K10322" s="19" t="n">
        <v>0</v>
      </c>
      <c r="L10322" s="17"/>
    </row>
    <row r="10323" s="11" customFormat="true" ht="10.95" hidden="false" customHeight="true" outlineLevel="0" collapsed="false">
      <c r="A10323" s="16" t="n">
        <v>45250</v>
      </c>
      <c r="B10323" s="17" t="s">
        <v>3861</v>
      </c>
      <c r="C10323" s="17" t="s">
        <v>3752</v>
      </c>
      <c r="D10323" s="17" t="s">
        <v>1276</v>
      </c>
      <c r="E10323" s="17" t="s">
        <v>3808</v>
      </c>
      <c r="F10323" s="17"/>
      <c r="G10323" s="18" t="n">
        <v>24693.49</v>
      </c>
      <c r="H10323" s="18" t="n">
        <v>0</v>
      </c>
      <c r="I10323" s="18" t="n">
        <f aca="false">((I10322 + G10323) - H10323)</f>
        <v>51135.8099999999</v>
      </c>
      <c r="J10323" s="18" t="n">
        <v>0</v>
      </c>
      <c r="K10323" s="19" t="n">
        <v>0</v>
      </c>
      <c r="L10323" s="17"/>
    </row>
    <row r="10324" s="11" customFormat="true" ht="10.95" hidden="false" customHeight="true" outlineLevel="0" collapsed="false">
      <c r="A10324" s="16" t="n">
        <v>45251</v>
      </c>
      <c r="B10324" s="17" t="s">
        <v>3861</v>
      </c>
      <c r="C10324" s="17" t="s">
        <v>3752</v>
      </c>
      <c r="D10324" s="17" t="s">
        <v>1407</v>
      </c>
      <c r="E10324" s="17" t="s">
        <v>3863</v>
      </c>
      <c r="F10324" s="17"/>
      <c r="G10324" s="18" t="n">
        <v>0</v>
      </c>
      <c r="H10324" s="18" t="n">
        <v>0.93</v>
      </c>
      <c r="I10324" s="18" t="n">
        <f aca="false">((I10323 + G10324) - H10324)</f>
        <v>51134.8799999999</v>
      </c>
      <c r="J10324" s="18" t="n">
        <v>0</v>
      </c>
      <c r="K10324" s="19" t="n">
        <v>0</v>
      </c>
      <c r="L10324" s="17"/>
    </row>
    <row r="10325" s="11" customFormat="true" ht="10.95" hidden="false" customHeight="true" outlineLevel="0" collapsed="false">
      <c r="A10325" s="16" t="n">
        <v>45251</v>
      </c>
      <c r="B10325" s="17" t="s">
        <v>3861</v>
      </c>
      <c r="C10325" s="17" t="s">
        <v>3752</v>
      </c>
      <c r="D10325" s="17" t="s">
        <v>1407</v>
      </c>
      <c r="E10325" s="17" t="s">
        <v>3774</v>
      </c>
      <c r="F10325" s="17"/>
      <c r="G10325" s="18" t="n">
        <v>0</v>
      </c>
      <c r="H10325" s="18" t="n">
        <v>31.01</v>
      </c>
      <c r="I10325" s="18" t="n">
        <f aca="false">((I10324 + G10325) - H10325)</f>
        <v>51103.8699999999</v>
      </c>
      <c r="J10325" s="18" t="n">
        <v>0</v>
      </c>
      <c r="K10325" s="19" t="n">
        <v>0</v>
      </c>
      <c r="L10325" s="17"/>
    </row>
    <row r="10326" s="11" customFormat="true" ht="10.95" hidden="false" customHeight="true" outlineLevel="0" collapsed="false">
      <c r="A10326" s="16" t="n">
        <v>45251</v>
      </c>
      <c r="B10326" s="17" t="s">
        <v>3861</v>
      </c>
      <c r="C10326" s="17" t="s">
        <v>3752</v>
      </c>
      <c r="D10326" s="17" t="s">
        <v>1407</v>
      </c>
      <c r="E10326" s="17" t="s">
        <v>3865</v>
      </c>
      <c r="F10326" s="17"/>
      <c r="G10326" s="18" t="n">
        <v>0</v>
      </c>
      <c r="H10326" s="18" t="n">
        <v>184.67</v>
      </c>
      <c r="I10326" s="18" t="n">
        <f aca="false">((I10325 + G10326) - H10326)</f>
        <v>50919.1999999999</v>
      </c>
      <c r="J10326" s="18" t="n">
        <v>0</v>
      </c>
      <c r="K10326" s="19" t="n">
        <v>0</v>
      </c>
      <c r="L10326" s="17"/>
    </row>
    <row r="10327" s="11" customFormat="true" ht="10.95" hidden="false" customHeight="true" outlineLevel="0" collapsed="false">
      <c r="A10327" s="16" t="n">
        <v>45251</v>
      </c>
      <c r="B10327" s="17" t="s">
        <v>3861</v>
      </c>
      <c r="C10327" s="17" t="s">
        <v>3752</v>
      </c>
      <c r="D10327" s="17" t="s">
        <v>1407</v>
      </c>
      <c r="E10327" s="17" t="s">
        <v>3615</v>
      </c>
      <c r="F10327" s="17"/>
      <c r="G10327" s="18" t="n">
        <v>0</v>
      </c>
      <c r="H10327" s="18" t="n">
        <v>4.09</v>
      </c>
      <c r="I10327" s="18" t="n">
        <f aca="false">((I10326 + G10327) - H10327)</f>
        <v>50915.1099999999</v>
      </c>
      <c r="J10327" s="18" t="n">
        <v>0</v>
      </c>
      <c r="K10327" s="19" t="n">
        <v>0</v>
      </c>
      <c r="L10327" s="17"/>
    </row>
    <row r="10328" s="11" customFormat="true" ht="10.95" hidden="false" customHeight="true" outlineLevel="0" collapsed="false">
      <c r="A10328" s="16" t="n">
        <v>45251</v>
      </c>
      <c r="B10328" s="17" t="s">
        <v>3861</v>
      </c>
      <c r="C10328" s="17" t="s">
        <v>3752</v>
      </c>
      <c r="D10328" s="17" t="s">
        <v>2903</v>
      </c>
      <c r="E10328" s="17" t="s">
        <v>3645</v>
      </c>
      <c r="F10328" s="17" t="s">
        <v>1461</v>
      </c>
      <c r="G10328" s="18" t="n">
        <v>0</v>
      </c>
      <c r="H10328" s="18" t="n">
        <v>538.76</v>
      </c>
      <c r="I10328" s="18" t="n">
        <f aca="false">((I10327 + G10328) - H10328)</f>
        <v>50376.3499999999</v>
      </c>
      <c r="J10328" s="18" t="n">
        <v>0</v>
      </c>
      <c r="K10328" s="19" t="n">
        <v>0</v>
      </c>
      <c r="L10328" s="17"/>
    </row>
    <row r="10329" s="11" customFormat="true" ht="10.95" hidden="false" customHeight="true" outlineLevel="0" collapsed="false">
      <c r="A10329" s="16" t="n">
        <v>45251</v>
      </c>
      <c r="B10329" s="17" t="s">
        <v>3861</v>
      </c>
      <c r="C10329" s="17" t="s">
        <v>3752</v>
      </c>
      <c r="D10329" s="17" t="s">
        <v>1407</v>
      </c>
      <c r="E10329" s="17" t="s">
        <v>3878</v>
      </c>
      <c r="F10329" s="17"/>
      <c r="G10329" s="18" t="n">
        <v>0</v>
      </c>
      <c r="H10329" s="18" t="n">
        <v>1188.2</v>
      </c>
      <c r="I10329" s="18" t="n">
        <f aca="false">((I10328 + G10329) - H10329)</f>
        <v>49188.1499999999</v>
      </c>
      <c r="J10329" s="18" t="n">
        <v>0</v>
      </c>
      <c r="K10329" s="19" t="n">
        <v>0</v>
      </c>
      <c r="L10329" s="17"/>
    </row>
    <row r="10330" s="11" customFormat="true" ht="10.95" hidden="false" customHeight="true" outlineLevel="0" collapsed="false">
      <c r="A10330" s="16" t="n">
        <v>45251</v>
      </c>
      <c r="B10330" s="17" t="s">
        <v>3861</v>
      </c>
      <c r="C10330" s="17" t="s">
        <v>3752</v>
      </c>
      <c r="D10330" s="17" t="s">
        <v>1407</v>
      </c>
      <c r="E10330" s="17" t="s">
        <v>2747</v>
      </c>
      <c r="F10330" s="17"/>
      <c r="G10330" s="18" t="n">
        <v>0</v>
      </c>
      <c r="H10330" s="18" t="n">
        <v>30</v>
      </c>
      <c r="I10330" s="18" t="n">
        <f aca="false">((I10329 + G10330) - H10330)</f>
        <v>49158.1499999999</v>
      </c>
      <c r="J10330" s="18" t="n">
        <v>0</v>
      </c>
      <c r="K10330" s="19" t="n">
        <v>0</v>
      </c>
      <c r="L10330" s="17"/>
    </row>
    <row r="10331" s="11" customFormat="true" ht="10.95" hidden="false" customHeight="true" outlineLevel="0" collapsed="false">
      <c r="A10331" s="16" t="n">
        <v>45252</v>
      </c>
      <c r="B10331" s="17" t="s">
        <v>3861</v>
      </c>
      <c r="C10331" s="17" t="s">
        <v>3752</v>
      </c>
      <c r="D10331" s="17" t="s">
        <v>2895</v>
      </c>
      <c r="E10331" s="17" t="s">
        <v>2900</v>
      </c>
      <c r="F10331" s="17" t="s">
        <v>2998</v>
      </c>
      <c r="G10331" s="18" t="n">
        <v>261.21</v>
      </c>
      <c r="H10331" s="18" t="n">
        <v>0</v>
      </c>
      <c r="I10331" s="18" t="n">
        <f aca="false">((I10330 + G10331) - H10331)</f>
        <v>49419.3599999999</v>
      </c>
      <c r="J10331" s="18" t="n">
        <v>0</v>
      </c>
      <c r="K10331" s="19" t="n">
        <v>0</v>
      </c>
      <c r="L10331" s="17"/>
    </row>
    <row r="10332" s="11" customFormat="true" ht="10.95" hidden="false" customHeight="true" outlineLevel="0" collapsed="false">
      <c r="A10332" s="16" t="n">
        <v>45252</v>
      </c>
      <c r="B10332" s="17" t="s">
        <v>3861</v>
      </c>
      <c r="C10332" s="17" t="s">
        <v>3752</v>
      </c>
      <c r="D10332" s="17" t="s">
        <v>2903</v>
      </c>
      <c r="E10332" s="17" t="s">
        <v>3644</v>
      </c>
      <c r="F10332" s="17" t="s">
        <v>2378</v>
      </c>
      <c r="G10332" s="18" t="n">
        <v>0</v>
      </c>
      <c r="H10332" s="18" t="n">
        <v>9.02</v>
      </c>
      <c r="I10332" s="18" t="n">
        <f aca="false">((I10331 + G10332) - H10332)</f>
        <v>49410.3399999999</v>
      </c>
      <c r="J10332" s="18" t="n">
        <v>0</v>
      </c>
      <c r="K10332" s="19" t="n">
        <v>0</v>
      </c>
      <c r="L10332" s="17"/>
    </row>
    <row r="10333" s="11" customFormat="true" ht="10.95" hidden="false" customHeight="true" outlineLevel="0" collapsed="false">
      <c r="A10333" s="16" t="n">
        <v>45252</v>
      </c>
      <c r="B10333" s="17" t="s">
        <v>3861</v>
      </c>
      <c r="C10333" s="17" t="s">
        <v>3752</v>
      </c>
      <c r="D10333" s="17" t="s">
        <v>2903</v>
      </c>
      <c r="E10333" s="17" t="s">
        <v>3644</v>
      </c>
      <c r="F10333" s="17" t="s">
        <v>2372</v>
      </c>
      <c r="G10333" s="18" t="n">
        <v>0</v>
      </c>
      <c r="H10333" s="18" t="n">
        <v>24.2</v>
      </c>
      <c r="I10333" s="18" t="n">
        <f aca="false">((I10332 + G10333) - H10333)</f>
        <v>49386.1399999999</v>
      </c>
      <c r="J10333" s="18" t="n">
        <v>0</v>
      </c>
      <c r="K10333" s="19" t="n">
        <v>0</v>
      </c>
      <c r="L10333" s="17"/>
    </row>
    <row r="10334" s="11" customFormat="true" ht="10.95" hidden="false" customHeight="true" outlineLevel="0" collapsed="false">
      <c r="A10334" s="16" t="n">
        <v>45252</v>
      </c>
      <c r="B10334" s="17" t="s">
        <v>3861</v>
      </c>
      <c r="C10334" s="17" t="s">
        <v>3752</v>
      </c>
      <c r="D10334" s="17" t="s">
        <v>2903</v>
      </c>
      <c r="E10334" s="17" t="s">
        <v>3644</v>
      </c>
      <c r="F10334" s="17" t="s">
        <v>2380</v>
      </c>
      <c r="G10334" s="18" t="n">
        <v>0</v>
      </c>
      <c r="H10334" s="18" t="n">
        <v>33.22</v>
      </c>
      <c r="I10334" s="18" t="n">
        <f aca="false">((I10333 + G10334) - H10334)</f>
        <v>49352.9199999999</v>
      </c>
      <c r="J10334" s="18" t="n">
        <v>0</v>
      </c>
      <c r="K10334" s="19" t="n">
        <v>0</v>
      </c>
      <c r="L10334" s="17"/>
    </row>
    <row r="10335" s="11" customFormat="true" ht="10.95" hidden="false" customHeight="true" outlineLevel="0" collapsed="false">
      <c r="A10335" s="16" t="n">
        <v>45252</v>
      </c>
      <c r="B10335" s="17" t="s">
        <v>3861</v>
      </c>
      <c r="C10335" s="17" t="s">
        <v>3752</v>
      </c>
      <c r="D10335" s="17" t="s">
        <v>2903</v>
      </c>
      <c r="E10335" s="17" t="s">
        <v>3644</v>
      </c>
      <c r="F10335" s="17" t="s">
        <v>2376</v>
      </c>
      <c r="G10335" s="18" t="n">
        <v>0</v>
      </c>
      <c r="H10335" s="18" t="n">
        <v>45.32</v>
      </c>
      <c r="I10335" s="18" t="n">
        <f aca="false">((I10334 + G10335) - H10335)</f>
        <v>49307.5999999999</v>
      </c>
      <c r="J10335" s="18" t="n">
        <v>0</v>
      </c>
      <c r="K10335" s="19" t="n">
        <v>0</v>
      </c>
      <c r="L10335" s="17"/>
    </row>
    <row r="10336" s="11" customFormat="true" ht="10.95" hidden="false" customHeight="true" outlineLevel="0" collapsed="false">
      <c r="A10336" s="16" t="n">
        <v>45252</v>
      </c>
      <c r="B10336" s="17" t="s">
        <v>3861</v>
      </c>
      <c r="C10336" s="17" t="s">
        <v>3752</v>
      </c>
      <c r="D10336" s="17" t="s">
        <v>2903</v>
      </c>
      <c r="E10336" s="17" t="s">
        <v>3644</v>
      </c>
      <c r="F10336" s="17" t="s">
        <v>2386</v>
      </c>
      <c r="G10336" s="18" t="n">
        <v>0</v>
      </c>
      <c r="H10336" s="18" t="n">
        <v>60.5</v>
      </c>
      <c r="I10336" s="18" t="n">
        <f aca="false">((I10335 + G10336) - H10336)</f>
        <v>49247.0999999999</v>
      </c>
      <c r="J10336" s="18" t="n">
        <v>0</v>
      </c>
      <c r="K10336" s="19" t="n">
        <v>0</v>
      </c>
      <c r="L10336" s="17"/>
    </row>
    <row r="10337" s="11" customFormat="true" ht="10.95" hidden="false" customHeight="true" outlineLevel="0" collapsed="false">
      <c r="A10337" s="16" t="n">
        <v>45252</v>
      </c>
      <c r="B10337" s="17" t="s">
        <v>3861</v>
      </c>
      <c r="C10337" s="17" t="s">
        <v>3752</v>
      </c>
      <c r="D10337" s="17" t="s">
        <v>2903</v>
      </c>
      <c r="E10337" s="17" t="s">
        <v>3644</v>
      </c>
      <c r="F10337" s="17" t="s">
        <v>2382</v>
      </c>
      <c r="G10337" s="18" t="n">
        <v>0</v>
      </c>
      <c r="H10337" s="18" t="n">
        <v>68.2</v>
      </c>
      <c r="I10337" s="18" t="n">
        <f aca="false">((I10336 + G10337) - H10337)</f>
        <v>49178.8999999999</v>
      </c>
      <c r="J10337" s="18" t="n">
        <v>0</v>
      </c>
      <c r="K10337" s="19" t="n">
        <v>0</v>
      </c>
      <c r="L10337" s="17"/>
    </row>
    <row r="10338" s="11" customFormat="true" ht="10.95" hidden="false" customHeight="true" outlineLevel="0" collapsed="false">
      <c r="A10338" s="16" t="n">
        <v>45252</v>
      </c>
      <c r="B10338" s="17" t="s">
        <v>3861</v>
      </c>
      <c r="C10338" s="17" t="s">
        <v>3752</v>
      </c>
      <c r="D10338" s="17" t="s">
        <v>2903</v>
      </c>
      <c r="E10338" s="17" t="s">
        <v>3644</v>
      </c>
      <c r="F10338" s="17" t="s">
        <v>2374</v>
      </c>
      <c r="G10338" s="18" t="n">
        <v>0</v>
      </c>
      <c r="H10338" s="18" t="n">
        <v>76.56</v>
      </c>
      <c r="I10338" s="18" t="n">
        <f aca="false">((I10337 + G10338) - H10338)</f>
        <v>49102.3399999999</v>
      </c>
      <c r="J10338" s="18" t="n">
        <v>0</v>
      </c>
      <c r="K10338" s="19" t="n">
        <v>0</v>
      </c>
      <c r="L10338" s="17"/>
    </row>
    <row r="10339" s="11" customFormat="true" ht="10.95" hidden="false" customHeight="true" outlineLevel="0" collapsed="false">
      <c r="A10339" s="16" t="n">
        <v>45252</v>
      </c>
      <c r="B10339" s="17" t="s">
        <v>3861</v>
      </c>
      <c r="C10339" s="17" t="s">
        <v>3752</v>
      </c>
      <c r="D10339" s="17" t="s">
        <v>1407</v>
      </c>
      <c r="E10339" s="17" t="s">
        <v>3881</v>
      </c>
      <c r="F10339" s="17"/>
      <c r="G10339" s="18" t="n">
        <v>0</v>
      </c>
      <c r="H10339" s="18" t="n">
        <v>140</v>
      </c>
      <c r="I10339" s="18" t="n">
        <f aca="false">((I10338 + G10339) - H10339)</f>
        <v>48962.3399999999</v>
      </c>
      <c r="J10339" s="18" t="n">
        <v>0</v>
      </c>
      <c r="K10339" s="19" t="n">
        <v>0</v>
      </c>
      <c r="L10339" s="17"/>
    </row>
    <row r="10340" s="11" customFormat="true" ht="10.95" hidden="false" customHeight="true" outlineLevel="0" collapsed="false">
      <c r="A10340" s="16" t="n">
        <v>45252</v>
      </c>
      <c r="B10340" s="17" t="s">
        <v>3861</v>
      </c>
      <c r="C10340" s="17" t="s">
        <v>3752</v>
      </c>
      <c r="D10340" s="17" t="s">
        <v>2903</v>
      </c>
      <c r="E10340" s="17" t="s">
        <v>3644</v>
      </c>
      <c r="F10340" s="17" t="s">
        <v>2384</v>
      </c>
      <c r="G10340" s="18" t="n">
        <v>0</v>
      </c>
      <c r="H10340" s="18" t="n">
        <v>219.78</v>
      </c>
      <c r="I10340" s="18" t="n">
        <f aca="false">((I10339 + G10340) - H10340)</f>
        <v>48742.5599999999</v>
      </c>
      <c r="J10340" s="18" t="n">
        <v>0</v>
      </c>
      <c r="K10340" s="19" t="n">
        <v>0</v>
      </c>
      <c r="L10340" s="17"/>
    </row>
    <row r="10341" s="11" customFormat="true" ht="10.95" hidden="false" customHeight="true" outlineLevel="0" collapsed="false">
      <c r="A10341" s="16" t="n">
        <v>45252</v>
      </c>
      <c r="B10341" s="17" t="s">
        <v>3861</v>
      </c>
      <c r="C10341" s="17" t="s">
        <v>3752</v>
      </c>
      <c r="D10341" s="17" t="s">
        <v>1407</v>
      </c>
      <c r="E10341" s="17" t="s">
        <v>3879</v>
      </c>
      <c r="F10341" s="17"/>
      <c r="G10341" s="18" t="n">
        <v>0</v>
      </c>
      <c r="H10341" s="18" t="n">
        <v>1207</v>
      </c>
      <c r="I10341" s="18" t="n">
        <f aca="false">((I10340 + G10341) - H10341)</f>
        <v>47535.5599999999</v>
      </c>
      <c r="J10341" s="18" t="n">
        <v>0</v>
      </c>
      <c r="K10341" s="19" t="n">
        <v>0</v>
      </c>
      <c r="L10341" s="17"/>
    </row>
    <row r="10342" s="11" customFormat="true" ht="10.95" hidden="false" customHeight="true" outlineLevel="0" collapsed="false">
      <c r="A10342" s="16" t="n">
        <v>45252</v>
      </c>
      <c r="B10342" s="17" t="s">
        <v>3861</v>
      </c>
      <c r="C10342" s="17" t="s">
        <v>3752</v>
      </c>
      <c r="D10342" s="17" t="s">
        <v>1407</v>
      </c>
      <c r="E10342" s="17" t="s">
        <v>3880</v>
      </c>
      <c r="F10342" s="17"/>
      <c r="G10342" s="18" t="n">
        <v>0</v>
      </c>
      <c r="H10342" s="18" t="n">
        <v>1207</v>
      </c>
      <c r="I10342" s="18" t="n">
        <f aca="false">((I10341 + G10342) - H10342)</f>
        <v>46328.5599999999</v>
      </c>
      <c r="J10342" s="18" t="n">
        <v>0</v>
      </c>
      <c r="K10342" s="19" t="n">
        <v>0</v>
      </c>
      <c r="L10342" s="17"/>
    </row>
    <row r="10343" s="11" customFormat="true" ht="10.95" hidden="false" customHeight="true" outlineLevel="0" collapsed="false">
      <c r="A10343" s="16" t="n">
        <v>45252</v>
      </c>
      <c r="B10343" s="17" t="s">
        <v>3861</v>
      </c>
      <c r="C10343" s="17" t="s">
        <v>3752</v>
      </c>
      <c r="D10343" s="17" t="s">
        <v>1407</v>
      </c>
      <c r="E10343" s="17" t="s">
        <v>3808</v>
      </c>
      <c r="F10343" s="17"/>
      <c r="G10343" s="18" t="n">
        <v>0</v>
      </c>
      <c r="H10343" s="18" t="n">
        <v>1705.92</v>
      </c>
      <c r="I10343" s="18" t="n">
        <f aca="false">((I10342 + G10343) - H10343)</f>
        <v>44622.6399999999</v>
      </c>
      <c r="J10343" s="18" t="n">
        <v>0</v>
      </c>
      <c r="K10343" s="19" t="n">
        <v>0</v>
      </c>
      <c r="L10343" s="17"/>
    </row>
    <row r="10344" s="11" customFormat="true" ht="10.95" hidden="false" customHeight="true" outlineLevel="0" collapsed="false">
      <c r="A10344" s="16" t="n">
        <v>45252</v>
      </c>
      <c r="B10344" s="17" t="s">
        <v>3861</v>
      </c>
      <c r="C10344" s="17" t="s">
        <v>3752</v>
      </c>
      <c r="D10344" s="17" t="s">
        <v>1407</v>
      </c>
      <c r="E10344" s="17" t="s">
        <v>4111</v>
      </c>
      <c r="F10344" s="17"/>
      <c r="G10344" s="18" t="n">
        <v>0</v>
      </c>
      <c r="H10344" s="18" t="n">
        <v>300.95</v>
      </c>
      <c r="I10344" s="18" t="n">
        <f aca="false">((I10343 + G10344) - H10344)</f>
        <v>44321.6899999999</v>
      </c>
      <c r="J10344" s="18" t="n">
        <v>0</v>
      </c>
      <c r="K10344" s="19" t="n">
        <v>0</v>
      </c>
      <c r="L10344" s="17"/>
    </row>
    <row r="10345" s="11" customFormat="true" ht="10.95" hidden="false" customHeight="true" outlineLevel="0" collapsed="false">
      <c r="A10345" s="16" t="n">
        <v>45253</v>
      </c>
      <c r="B10345" s="17" t="s">
        <v>3861</v>
      </c>
      <c r="C10345" s="17" t="s">
        <v>3752</v>
      </c>
      <c r="D10345" s="17" t="s">
        <v>2895</v>
      </c>
      <c r="E10345" s="17" t="s">
        <v>3453</v>
      </c>
      <c r="F10345" s="17" t="s">
        <v>4112</v>
      </c>
      <c r="G10345" s="18" t="n">
        <v>93.5</v>
      </c>
      <c r="H10345" s="18" t="n">
        <v>0</v>
      </c>
      <c r="I10345" s="18" t="n">
        <f aca="false">((I10344 + G10345) - H10345)</f>
        <v>44415.1899999999</v>
      </c>
      <c r="J10345" s="18" t="n">
        <v>0</v>
      </c>
      <c r="K10345" s="19" t="n">
        <v>0</v>
      </c>
      <c r="L10345" s="17"/>
    </row>
    <row r="10346" s="11" customFormat="true" ht="10.95" hidden="false" customHeight="true" outlineLevel="0" collapsed="false">
      <c r="A10346" s="16" t="n">
        <v>45253</v>
      </c>
      <c r="B10346" s="17" t="s">
        <v>3861</v>
      </c>
      <c r="C10346" s="17" t="s">
        <v>3752</v>
      </c>
      <c r="D10346" s="17" t="s">
        <v>1407</v>
      </c>
      <c r="E10346" s="17" t="s">
        <v>3668</v>
      </c>
      <c r="F10346" s="17"/>
      <c r="G10346" s="18" t="n">
        <v>0</v>
      </c>
      <c r="H10346" s="18" t="n">
        <v>97</v>
      </c>
      <c r="I10346" s="18" t="n">
        <f aca="false">((I10345 + G10346) - H10346)</f>
        <v>44318.1899999999</v>
      </c>
      <c r="J10346" s="18" t="n">
        <v>0</v>
      </c>
      <c r="K10346" s="19" t="n">
        <v>0</v>
      </c>
      <c r="L10346" s="17"/>
    </row>
    <row r="10347" s="11" customFormat="true" ht="10.95" hidden="false" customHeight="true" outlineLevel="0" collapsed="false">
      <c r="A10347" s="16" t="n">
        <v>45253</v>
      </c>
      <c r="B10347" s="17" t="s">
        <v>3861</v>
      </c>
      <c r="C10347" s="17" t="s">
        <v>3752</v>
      </c>
      <c r="D10347" s="17" t="s">
        <v>1407</v>
      </c>
      <c r="E10347" s="17" t="s">
        <v>3907</v>
      </c>
      <c r="F10347" s="17"/>
      <c r="G10347" s="18" t="n">
        <v>0</v>
      </c>
      <c r="H10347" s="18" t="n">
        <v>8.65</v>
      </c>
      <c r="I10347" s="18" t="n">
        <f aca="false">((I10346 + G10347) - H10347)</f>
        <v>44309.5399999999</v>
      </c>
      <c r="J10347" s="18" t="n">
        <v>0</v>
      </c>
      <c r="K10347" s="19" t="n">
        <v>0</v>
      </c>
      <c r="L10347" s="17"/>
    </row>
    <row r="10348" s="11" customFormat="true" ht="10.95" hidden="false" customHeight="true" outlineLevel="0" collapsed="false">
      <c r="A10348" s="16" t="n">
        <v>45254</v>
      </c>
      <c r="B10348" s="17" t="s">
        <v>3861</v>
      </c>
      <c r="C10348" s="17" t="s">
        <v>3752</v>
      </c>
      <c r="D10348" s="17" t="s">
        <v>2895</v>
      </c>
      <c r="E10348" s="17" t="s">
        <v>3480</v>
      </c>
      <c r="F10348" s="17" t="s">
        <v>4113</v>
      </c>
      <c r="G10348" s="18" t="n">
        <v>180</v>
      </c>
      <c r="H10348" s="18" t="n">
        <v>0</v>
      </c>
      <c r="I10348" s="18" t="n">
        <f aca="false">((I10347 + G10348) - H10348)</f>
        <v>44489.5399999999</v>
      </c>
      <c r="J10348" s="18" t="n">
        <v>0</v>
      </c>
      <c r="K10348" s="19" t="n">
        <v>0</v>
      </c>
      <c r="L10348" s="17"/>
    </row>
    <row r="10349" s="11" customFormat="true" ht="10.95" hidden="false" customHeight="true" outlineLevel="0" collapsed="false">
      <c r="A10349" s="16" t="n">
        <v>45254</v>
      </c>
      <c r="B10349" s="17" t="s">
        <v>3861</v>
      </c>
      <c r="C10349" s="17" t="s">
        <v>3752</v>
      </c>
      <c r="D10349" s="17" t="s">
        <v>1407</v>
      </c>
      <c r="E10349" s="17" t="s">
        <v>3863</v>
      </c>
      <c r="F10349" s="17"/>
      <c r="G10349" s="18" t="n">
        <v>0</v>
      </c>
      <c r="H10349" s="18" t="n">
        <v>0.37</v>
      </c>
      <c r="I10349" s="18" t="n">
        <f aca="false">((I10348 + G10349) - H10349)</f>
        <v>44489.1699999999</v>
      </c>
      <c r="J10349" s="18" t="n">
        <v>0</v>
      </c>
      <c r="K10349" s="19" t="n">
        <v>0</v>
      </c>
      <c r="L10349" s="17"/>
    </row>
    <row r="10350" s="11" customFormat="true" ht="10.95" hidden="false" customHeight="true" outlineLevel="0" collapsed="false">
      <c r="A10350" s="16" t="n">
        <v>45254</v>
      </c>
      <c r="B10350" s="17" t="s">
        <v>3861</v>
      </c>
      <c r="C10350" s="17" t="s">
        <v>3752</v>
      </c>
      <c r="D10350" s="17" t="s">
        <v>1407</v>
      </c>
      <c r="E10350" s="17" t="s">
        <v>3863</v>
      </c>
      <c r="F10350" s="17"/>
      <c r="G10350" s="18" t="n">
        <v>0</v>
      </c>
      <c r="H10350" s="18" t="n">
        <v>8.58</v>
      </c>
      <c r="I10350" s="18" t="n">
        <f aca="false">((I10349 + G10350) - H10350)</f>
        <v>44480.5899999999</v>
      </c>
      <c r="J10350" s="18" t="n">
        <v>0</v>
      </c>
      <c r="K10350" s="19" t="n">
        <v>0</v>
      </c>
      <c r="L10350" s="17"/>
    </row>
    <row r="10351" s="11" customFormat="true" ht="10.95" hidden="false" customHeight="true" outlineLevel="0" collapsed="false">
      <c r="A10351" s="16" t="n">
        <v>45254</v>
      </c>
      <c r="B10351" s="17" t="s">
        <v>3861</v>
      </c>
      <c r="C10351" s="17" t="s">
        <v>3752</v>
      </c>
      <c r="D10351" s="17" t="s">
        <v>2903</v>
      </c>
      <c r="E10351" s="17" t="s">
        <v>3637</v>
      </c>
      <c r="F10351" s="17" t="s">
        <v>2659</v>
      </c>
      <c r="G10351" s="18" t="n">
        <v>0</v>
      </c>
      <c r="H10351" s="18" t="n">
        <v>104.95</v>
      </c>
      <c r="I10351" s="18" t="n">
        <f aca="false">((I10350 + G10351) - H10351)</f>
        <v>44375.6399999999</v>
      </c>
      <c r="J10351" s="18" t="n">
        <v>0</v>
      </c>
      <c r="K10351" s="19" t="n">
        <v>0</v>
      </c>
      <c r="L10351" s="17"/>
    </row>
    <row r="10352" s="11" customFormat="true" ht="10.95" hidden="false" customHeight="true" outlineLevel="0" collapsed="false">
      <c r="A10352" s="16" t="n">
        <v>45254</v>
      </c>
      <c r="B10352" s="17" t="s">
        <v>3861</v>
      </c>
      <c r="C10352" s="17" t="s">
        <v>3752</v>
      </c>
      <c r="D10352" s="17" t="s">
        <v>1407</v>
      </c>
      <c r="E10352" s="17" t="s">
        <v>1536</v>
      </c>
      <c r="F10352" s="17"/>
      <c r="G10352" s="18" t="n">
        <v>0</v>
      </c>
      <c r="H10352" s="18" t="n">
        <v>285.84</v>
      </c>
      <c r="I10352" s="18" t="n">
        <f aca="false">((I10351 + G10352) - H10352)</f>
        <v>44089.7999999999</v>
      </c>
      <c r="J10352" s="18" t="n">
        <v>0</v>
      </c>
      <c r="K10352" s="19" t="n">
        <v>0</v>
      </c>
      <c r="L10352" s="17"/>
    </row>
    <row r="10353" s="11" customFormat="true" ht="10.95" hidden="false" customHeight="true" outlineLevel="0" collapsed="false">
      <c r="A10353" s="16" t="n">
        <v>45254</v>
      </c>
      <c r="B10353" s="17" t="s">
        <v>3861</v>
      </c>
      <c r="C10353" s="17" t="s">
        <v>3752</v>
      </c>
      <c r="D10353" s="17" t="s">
        <v>1407</v>
      </c>
      <c r="E10353" s="17" t="s">
        <v>3911</v>
      </c>
      <c r="F10353" s="17"/>
      <c r="G10353" s="18" t="n">
        <v>0</v>
      </c>
      <c r="H10353" s="18" t="n">
        <v>12.3</v>
      </c>
      <c r="I10353" s="18" t="n">
        <f aca="false">((I10352 + G10353) - H10353)</f>
        <v>44077.4999999999</v>
      </c>
      <c r="J10353" s="18" t="n">
        <v>0</v>
      </c>
      <c r="K10353" s="19" t="n">
        <v>0</v>
      </c>
      <c r="L10353" s="17"/>
    </row>
    <row r="10354" s="11" customFormat="true" ht="10.95" hidden="false" customHeight="true" outlineLevel="0" collapsed="false">
      <c r="A10354" s="16" t="n">
        <v>45254</v>
      </c>
      <c r="B10354" s="17" t="s">
        <v>3861</v>
      </c>
      <c r="C10354" s="17" t="s">
        <v>3752</v>
      </c>
      <c r="D10354" s="17" t="s">
        <v>1407</v>
      </c>
      <c r="E10354" s="17" t="s">
        <v>4114</v>
      </c>
      <c r="F10354" s="17"/>
      <c r="G10354" s="18" t="n">
        <v>0</v>
      </c>
      <c r="H10354" s="18" t="n">
        <v>248</v>
      </c>
      <c r="I10354" s="18" t="n">
        <f aca="false">((I10353 + G10354) - H10354)</f>
        <v>43829.4999999999</v>
      </c>
      <c r="J10354" s="18" t="n">
        <v>0</v>
      </c>
      <c r="K10354" s="19" t="n">
        <v>0</v>
      </c>
      <c r="L10354" s="17"/>
    </row>
    <row r="10355" s="11" customFormat="true" ht="10.95" hidden="false" customHeight="true" outlineLevel="0" collapsed="false">
      <c r="A10355" s="16" t="n">
        <v>45255</v>
      </c>
      <c r="B10355" s="17" t="s">
        <v>3861</v>
      </c>
      <c r="C10355" s="17" t="s">
        <v>3752</v>
      </c>
      <c r="D10355" s="17" t="s">
        <v>1407</v>
      </c>
      <c r="E10355" s="17" t="s">
        <v>3863</v>
      </c>
      <c r="F10355" s="17"/>
      <c r="G10355" s="18" t="n">
        <v>0</v>
      </c>
      <c r="H10355" s="18" t="n">
        <v>1.01</v>
      </c>
      <c r="I10355" s="18" t="n">
        <f aca="false">((I10354 + G10355) - H10355)</f>
        <v>43828.4899999999</v>
      </c>
      <c r="J10355" s="18" t="n">
        <v>0</v>
      </c>
      <c r="K10355" s="19" t="n">
        <v>0</v>
      </c>
      <c r="L10355" s="17"/>
    </row>
    <row r="10356" s="11" customFormat="true" ht="10.95" hidden="false" customHeight="true" outlineLevel="0" collapsed="false">
      <c r="A10356" s="16" t="n">
        <v>45255</v>
      </c>
      <c r="B10356" s="17" t="s">
        <v>3861</v>
      </c>
      <c r="C10356" s="17" t="s">
        <v>3752</v>
      </c>
      <c r="D10356" s="17" t="s">
        <v>1407</v>
      </c>
      <c r="E10356" s="17" t="s">
        <v>3770</v>
      </c>
      <c r="F10356" s="17"/>
      <c r="G10356" s="18" t="n">
        <v>0</v>
      </c>
      <c r="H10356" s="18" t="n">
        <v>22.99</v>
      </c>
      <c r="I10356" s="18" t="n">
        <f aca="false">((I10355 + G10356) - H10356)</f>
        <v>43805.4999999999</v>
      </c>
      <c r="J10356" s="18" t="n">
        <v>0</v>
      </c>
      <c r="K10356" s="19" t="n">
        <v>0</v>
      </c>
      <c r="L10356" s="17"/>
    </row>
    <row r="10357" s="11" customFormat="true" ht="10.95" hidden="false" customHeight="true" outlineLevel="0" collapsed="false">
      <c r="A10357" s="16" t="n">
        <v>45255</v>
      </c>
      <c r="B10357" s="17" t="s">
        <v>3861</v>
      </c>
      <c r="C10357" s="17" t="s">
        <v>3752</v>
      </c>
      <c r="D10357" s="17" t="s">
        <v>1407</v>
      </c>
      <c r="E10357" s="17" t="s">
        <v>3770</v>
      </c>
      <c r="F10357" s="17"/>
      <c r="G10357" s="18" t="n">
        <v>0</v>
      </c>
      <c r="H10357" s="18" t="n">
        <v>33.79</v>
      </c>
      <c r="I10357" s="18" t="n">
        <f aca="false">((I10356 + G10357) - H10357)</f>
        <v>43771.7099999999</v>
      </c>
      <c r="J10357" s="18" t="n">
        <v>0</v>
      </c>
      <c r="K10357" s="19" t="n">
        <v>0</v>
      </c>
      <c r="L10357" s="17"/>
    </row>
    <row r="10358" s="11" customFormat="true" ht="10.95" hidden="false" customHeight="true" outlineLevel="0" collapsed="false">
      <c r="A10358" s="16" t="n">
        <v>45257</v>
      </c>
      <c r="B10358" s="17" t="s">
        <v>3861</v>
      </c>
      <c r="C10358" s="17" t="s">
        <v>3752</v>
      </c>
      <c r="D10358" s="17" t="s">
        <v>2895</v>
      </c>
      <c r="E10358" s="17" t="s">
        <v>2934</v>
      </c>
      <c r="F10358" s="17" t="s">
        <v>2999</v>
      </c>
      <c r="G10358" s="18" t="n">
        <v>2906.26</v>
      </c>
      <c r="H10358" s="18" t="n">
        <v>0</v>
      </c>
      <c r="I10358" s="18" t="n">
        <f aca="false">((I10357 + G10358) - H10358)</f>
        <v>46677.9699999999</v>
      </c>
      <c r="J10358" s="18" t="n">
        <v>0</v>
      </c>
      <c r="K10358" s="19" t="n">
        <v>0</v>
      </c>
      <c r="L10358" s="17"/>
    </row>
    <row r="10359" s="11" customFormat="true" ht="10.95" hidden="false" customHeight="true" outlineLevel="0" collapsed="false">
      <c r="A10359" s="16" t="n">
        <v>45257</v>
      </c>
      <c r="B10359" s="17" t="s">
        <v>3861</v>
      </c>
      <c r="C10359" s="17" t="s">
        <v>3752</v>
      </c>
      <c r="D10359" s="17" t="s">
        <v>2895</v>
      </c>
      <c r="E10359" s="17" t="s">
        <v>3498</v>
      </c>
      <c r="F10359" s="17" t="s">
        <v>4115</v>
      </c>
      <c r="G10359" s="18" t="n">
        <v>561</v>
      </c>
      <c r="H10359" s="18" t="n">
        <v>0</v>
      </c>
      <c r="I10359" s="18" t="n">
        <f aca="false">((I10358 + G10359) - H10359)</f>
        <v>47238.9699999999</v>
      </c>
      <c r="J10359" s="18" t="n">
        <v>0</v>
      </c>
      <c r="K10359" s="19" t="n">
        <v>0</v>
      </c>
      <c r="L10359" s="17"/>
    </row>
    <row r="10360" s="11" customFormat="true" ht="10.95" hidden="false" customHeight="true" outlineLevel="0" collapsed="false">
      <c r="A10360" s="16" t="n">
        <v>45257</v>
      </c>
      <c r="B10360" s="17" t="s">
        <v>3861</v>
      </c>
      <c r="C10360" s="17" t="s">
        <v>3752</v>
      </c>
      <c r="D10360" s="17" t="s">
        <v>2895</v>
      </c>
      <c r="E10360" s="17" t="s">
        <v>3378</v>
      </c>
      <c r="F10360" s="17" t="s">
        <v>4116</v>
      </c>
      <c r="G10360" s="18" t="n">
        <v>413.6</v>
      </c>
      <c r="H10360" s="18" t="n">
        <v>0</v>
      </c>
      <c r="I10360" s="18" t="n">
        <f aca="false">((I10359 + G10360) - H10360)</f>
        <v>47652.5699999999</v>
      </c>
      <c r="J10360" s="18" t="n">
        <v>0</v>
      </c>
      <c r="K10360" s="19" t="n">
        <v>0</v>
      </c>
      <c r="L10360" s="17"/>
    </row>
    <row r="10361" s="11" customFormat="true" ht="10.95" hidden="false" customHeight="true" outlineLevel="0" collapsed="false">
      <c r="A10361" s="16" t="n">
        <v>45257</v>
      </c>
      <c r="B10361" s="17" t="s">
        <v>3861</v>
      </c>
      <c r="C10361" s="17" t="s">
        <v>3752</v>
      </c>
      <c r="D10361" s="17" t="s">
        <v>2903</v>
      </c>
      <c r="E10361" s="17" t="s">
        <v>3618</v>
      </c>
      <c r="F10361" s="17" t="s">
        <v>1622</v>
      </c>
      <c r="G10361" s="18" t="n">
        <v>0</v>
      </c>
      <c r="H10361" s="18" t="n">
        <v>1870</v>
      </c>
      <c r="I10361" s="18" t="n">
        <f aca="false">((I10360 + G10361) - H10361)</f>
        <v>45782.5699999999</v>
      </c>
      <c r="J10361" s="18" t="n">
        <v>0</v>
      </c>
      <c r="K10361" s="19" t="n">
        <v>0</v>
      </c>
      <c r="L10361" s="17"/>
    </row>
    <row r="10362" s="11" customFormat="true" ht="10.95" hidden="false" customHeight="true" outlineLevel="0" collapsed="false">
      <c r="A10362" s="16" t="n">
        <v>45258</v>
      </c>
      <c r="B10362" s="17" t="s">
        <v>3861</v>
      </c>
      <c r="C10362" s="17" t="s">
        <v>3752</v>
      </c>
      <c r="D10362" s="17" t="s">
        <v>2895</v>
      </c>
      <c r="E10362" s="17" t="s">
        <v>3497</v>
      </c>
      <c r="F10362" s="17" t="s">
        <v>4117</v>
      </c>
      <c r="G10362" s="18" t="n">
        <v>1071.4</v>
      </c>
      <c r="H10362" s="18" t="n">
        <v>0</v>
      </c>
      <c r="I10362" s="18" t="n">
        <f aca="false">((I10361 + G10362) - H10362)</f>
        <v>46853.9699999999</v>
      </c>
      <c r="J10362" s="18" t="n">
        <v>0</v>
      </c>
      <c r="K10362" s="19" t="n">
        <v>0</v>
      </c>
      <c r="L10362" s="17"/>
    </row>
    <row r="10363" s="11" customFormat="true" ht="10.95" hidden="false" customHeight="true" outlineLevel="0" collapsed="false">
      <c r="A10363" s="16" t="n">
        <v>45258</v>
      </c>
      <c r="B10363" s="17" t="s">
        <v>3861</v>
      </c>
      <c r="C10363" s="17" t="s">
        <v>3752</v>
      </c>
      <c r="D10363" s="17" t="s">
        <v>1407</v>
      </c>
      <c r="E10363" s="17" t="s">
        <v>3863</v>
      </c>
      <c r="F10363" s="17"/>
      <c r="G10363" s="18" t="n">
        <v>0</v>
      </c>
      <c r="H10363" s="18" t="n">
        <v>0.37</v>
      </c>
      <c r="I10363" s="18" t="n">
        <f aca="false">((I10362 + G10363) - H10363)</f>
        <v>46853.5999999999</v>
      </c>
      <c r="J10363" s="18" t="n">
        <v>0</v>
      </c>
      <c r="K10363" s="19" t="n">
        <v>0</v>
      </c>
      <c r="L10363" s="17"/>
    </row>
    <row r="10364" s="11" customFormat="true" ht="10.95" hidden="false" customHeight="true" outlineLevel="0" collapsed="false">
      <c r="A10364" s="16" t="n">
        <v>45258</v>
      </c>
      <c r="B10364" s="17" t="s">
        <v>3861</v>
      </c>
      <c r="C10364" s="17" t="s">
        <v>3752</v>
      </c>
      <c r="D10364" s="17" t="s">
        <v>1407</v>
      </c>
      <c r="E10364" s="17" t="s">
        <v>3911</v>
      </c>
      <c r="F10364" s="17"/>
      <c r="G10364" s="18" t="n">
        <v>0</v>
      </c>
      <c r="H10364" s="18" t="n">
        <v>12.25</v>
      </c>
      <c r="I10364" s="18" t="n">
        <f aca="false">((I10363 + G10364) - H10364)</f>
        <v>46841.3499999999</v>
      </c>
      <c r="J10364" s="18" t="n">
        <v>0</v>
      </c>
      <c r="K10364" s="19" t="n">
        <v>0</v>
      </c>
      <c r="L10364" s="17"/>
    </row>
    <row r="10365" s="11" customFormat="true" ht="10.95" hidden="false" customHeight="true" outlineLevel="0" collapsed="false">
      <c r="A10365" s="16" t="n">
        <v>45258</v>
      </c>
      <c r="B10365" s="17" t="s">
        <v>3861</v>
      </c>
      <c r="C10365" s="17" t="s">
        <v>3752</v>
      </c>
      <c r="D10365" s="17" t="s">
        <v>1407</v>
      </c>
      <c r="E10365" s="17" t="s">
        <v>3879</v>
      </c>
      <c r="F10365" s="17"/>
      <c r="G10365" s="18" t="n">
        <v>0</v>
      </c>
      <c r="H10365" s="18" t="n">
        <v>400</v>
      </c>
      <c r="I10365" s="18" t="n">
        <f aca="false">((I10364 + G10365) - H10365)</f>
        <v>46441.3499999999</v>
      </c>
      <c r="J10365" s="18" t="n">
        <v>0</v>
      </c>
      <c r="K10365" s="19" t="n">
        <v>0</v>
      </c>
      <c r="L10365" s="17"/>
    </row>
    <row r="10366" s="11" customFormat="true" ht="10.95" hidden="false" customHeight="true" outlineLevel="0" collapsed="false">
      <c r="A10366" s="16" t="n">
        <v>45258</v>
      </c>
      <c r="B10366" s="17" t="s">
        <v>3861</v>
      </c>
      <c r="C10366" s="17" t="s">
        <v>3752</v>
      </c>
      <c r="D10366" s="17" t="s">
        <v>1407</v>
      </c>
      <c r="E10366" s="17" t="s">
        <v>3878</v>
      </c>
      <c r="F10366" s="17"/>
      <c r="G10366" s="18" t="n">
        <v>0</v>
      </c>
      <c r="H10366" s="18" t="n">
        <v>452</v>
      </c>
      <c r="I10366" s="18" t="n">
        <f aca="false">((I10365 + G10366) - H10366)</f>
        <v>45989.3499999999</v>
      </c>
      <c r="J10366" s="18" t="n">
        <v>0</v>
      </c>
      <c r="K10366" s="19" t="n">
        <v>0</v>
      </c>
      <c r="L10366" s="17"/>
    </row>
    <row r="10367" s="11" customFormat="true" ht="10.95" hidden="false" customHeight="true" outlineLevel="0" collapsed="false">
      <c r="A10367" s="16" t="n">
        <v>45258</v>
      </c>
      <c r="B10367" s="17" t="s">
        <v>3861</v>
      </c>
      <c r="C10367" s="17" t="s">
        <v>3752</v>
      </c>
      <c r="D10367" s="17" t="s">
        <v>1407</v>
      </c>
      <c r="E10367" s="17" t="s">
        <v>3878</v>
      </c>
      <c r="F10367" s="17"/>
      <c r="G10367" s="18" t="n">
        <v>0</v>
      </c>
      <c r="H10367" s="18" t="n">
        <v>1188.2</v>
      </c>
      <c r="I10367" s="18" t="n">
        <f aca="false">((I10366 + G10367) - H10367)</f>
        <v>44801.1499999999</v>
      </c>
      <c r="J10367" s="18" t="n">
        <v>0</v>
      </c>
      <c r="K10367" s="19" t="n">
        <v>0</v>
      </c>
      <c r="L10367" s="17"/>
    </row>
    <row r="10368" s="11" customFormat="true" ht="10.95" hidden="false" customHeight="true" outlineLevel="0" collapsed="false">
      <c r="A10368" s="16" t="n">
        <v>45258</v>
      </c>
      <c r="B10368" s="17" t="s">
        <v>3861</v>
      </c>
      <c r="C10368" s="17" t="s">
        <v>3752</v>
      </c>
      <c r="D10368" s="17" t="s">
        <v>1407</v>
      </c>
      <c r="E10368" s="17" t="s">
        <v>3976</v>
      </c>
      <c r="F10368" s="17"/>
      <c r="G10368" s="18" t="n">
        <v>0</v>
      </c>
      <c r="H10368" s="18" t="n">
        <v>189.05</v>
      </c>
      <c r="I10368" s="18" t="n">
        <f aca="false">((I10367 + G10368) - H10368)</f>
        <v>44612.0999999999</v>
      </c>
      <c r="J10368" s="18" t="n">
        <v>0</v>
      </c>
      <c r="K10368" s="19" t="n">
        <v>0</v>
      </c>
      <c r="L10368" s="17"/>
    </row>
    <row r="10369" s="11" customFormat="true" ht="10.95" hidden="false" customHeight="true" outlineLevel="0" collapsed="false">
      <c r="A10369" s="16" t="n">
        <v>45259</v>
      </c>
      <c r="B10369" s="17" t="s">
        <v>3861</v>
      </c>
      <c r="C10369" s="17" t="s">
        <v>3752</v>
      </c>
      <c r="D10369" s="17" t="s">
        <v>2895</v>
      </c>
      <c r="E10369" s="17" t="s">
        <v>3467</v>
      </c>
      <c r="F10369" s="17" t="s">
        <v>1324</v>
      </c>
      <c r="G10369" s="18" t="n">
        <v>919.6</v>
      </c>
      <c r="H10369" s="18" t="n">
        <v>0</v>
      </c>
      <c r="I10369" s="18" t="n">
        <f aca="false">((I10368 + G10369) - H10369)</f>
        <v>45531.6999999999</v>
      </c>
      <c r="J10369" s="18" t="n">
        <v>0</v>
      </c>
      <c r="K10369" s="19" t="n">
        <v>0</v>
      </c>
      <c r="L10369" s="17"/>
    </row>
    <row r="10370" s="11" customFormat="true" ht="10.95" hidden="false" customHeight="true" outlineLevel="0" collapsed="false">
      <c r="A10370" s="16" t="n">
        <v>45259</v>
      </c>
      <c r="B10370" s="17" t="s">
        <v>3861</v>
      </c>
      <c r="C10370" s="17" t="s">
        <v>3752</v>
      </c>
      <c r="D10370" s="17" t="s">
        <v>1407</v>
      </c>
      <c r="E10370" s="17" t="s">
        <v>3862</v>
      </c>
      <c r="F10370" s="17" t="s">
        <v>1324</v>
      </c>
      <c r="G10370" s="18" t="n">
        <v>0</v>
      </c>
      <c r="H10370" s="18" t="n">
        <v>16.68</v>
      </c>
      <c r="I10370" s="18" t="n">
        <f aca="false">((I10369 + G10370) - H10370)</f>
        <v>45515.0199999999</v>
      </c>
      <c r="J10370" s="18" t="n">
        <v>0</v>
      </c>
      <c r="K10370" s="19" t="n">
        <v>0</v>
      </c>
      <c r="L10370" s="17"/>
    </row>
    <row r="10371" s="11" customFormat="true" ht="10.95" hidden="false" customHeight="true" outlineLevel="0" collapsed="false">
      <c r="A10371" s="16" t="n">
        <v>45259</v>
      </c>
      <c r="B10371" s="17" t="s">
        <v>3861</v>
      </c>
      <c r="C10371" s="17" t="s">
        <v>3752</v>
      </c>
      <c r="D10371" s="17" t="s">
        <v>1276</v>
      </c>
      <c r="E10371" s="17" t="s">
        <v>3428</v>
      </c>
      <c r="F10371" s="17" t="s">
        <v>1324</v>
      </c>
      <c r="G10371" s="18" t="n">
        <v>16.09</v>
      </c>
      <c r="H10371" s="18" t="n">
        <v>0</v>
      </c>
      <c r="I10371" s="18" t="n">
        <f aca="false">((I10370 + G10371) - H10371)</f>
        <v>45531.1099999999</v>
      </c>
      <c r="J10371" s="18" t="n">
        <v>0</v>
      </c>
      <c r="K10371" s="19" t="n">
        <v>0</v>
      </c>
      <c r="L10371" s="17"/>
    </row>
    <row r="10372" s="11" customFormat="true" ht="10.95" hidden="false" customHeight="true" outlineLevel="0" collapsed="false">
      <c r="A10372" s="16" t="n">
        <v>45259</v>
      </c>
      <c r="B10372" s="17" t="s">
        <v>3861</v>
      </c>
      <c r="C10372" s="17" t="s">
        <v>3752</v>
      </c>
      <c r="D10372" s="17" t="s">
        <v>1407</v>
      </c>
      <c r="E10372" s="17" t="s">
        <v>3436</v>
      </c>
      <c r="F10372" s="17"/>
      <c r="G10372" s="18" t="n">
        <v>0</v>
      </c>
      <c r="H10372" s="18" t="n">
        <v>5</v>
      </c>
      <c r="I10372" s="18" t="n">
        <f aca="false">((I10371 + G10372) - H10372)</f>
        <v>45526.1099999999</v>
      </c>
      <c r="J10372" s="18" t="n">
        <v>0</v>
      </c>
      <c r="K10372" s="19" t="n">
        <v>0</v>
      </c>
      <c r="L10372" s="17"/>
    </row>
    <row r="10373" s="11" customFormat="true" ht="10.95" hidden="false" customHeight="true" outlineLevel="0" collapsed="false">
      <c r="A10373" s="16" t="n">
        <v>45259</v>
      </c>
      <c r="B10373" s="17" t="s">
        <v>3861</v>
      </c>
      <c r="C10373" s="17" t="s">
        <v>3752</v>
      </c>
      <c r="D10373" s="17" t="s">
        <v>2895</v>
      </c>
      <c r="E10373" s="17" t="s">
        <v>3384</v>
      </c>
      <c r="F10373" s="17" t="s">
        <v>4118</v>
      </c>
      <c r="G10373" s="18" t="n">
        <v>2194.5</v>
      </c>
      <c r="H10373" s="18" t="n">
        <v>0</v>
      </c>
      <c r="I10373" s="18" t="n">
        <f aca="false">((I10372 + G10373) - H10373)</f>
        <v>47720.6099999999</v>
      </c>
      <c r="J10373" s="18" t="n">
        <v>0</v>
      </c>
      <c r="K10373" s="19" t="n">
        <v>0</v>
      </c>
      <c r="L10373" s="17"/>
    </row>
    <row r="10374" s="11" customFormat="true" ht="10.95" hidden="false" customHeight="true" outlineLevel="0" collapsed="false">
      <c r="A10374" s="16" t="n">
        <v>45259</v>
      </c>
      <c r="B10374" s="17" t="s">
        <v>3861</v>
      </c>
      <c r="C10374" s="17" t="s">
        <v>3752</v>
      </c>
      <c r="D10374" s="17" t="s">
        <v>2895</v>
      </c>
      <c r="E10374" s="17" t="s">
        <v>3384</v>
      </c>
      <c r="F10374" s="17" t="s">
        <v>4119</v>
      </c>
      <c r="G10374" s="18" t="n">
        <v>2821.5</v>
      </c>
      <c r="H10374" s="18" t="n">
        <v>0</v>
      </c>
      <c r="I10374" s="18" t="n">
        <f aca="false">((I10373 + G10374) - H10374)</f>
        <v>50542.1099999999</v>
      </c>
      <c r="J10374" s="18" t="n">
        <v>0</v>
      </c>
      <c r="K10374" s="19" t="n">
        <v>0</v>
      </c>
      <c r="L10374" s="17"/>
    </row>
    <row r="10375" s="11" customFormat="true" ht="10.95" hidden="false" customHeight="true" outlineLevel="0" collapsed="false">
      <c r="A10375" s="16" t="n">
        <v>45259</v>
      </c>
      <c r="B10375" s="17" t="s">
        <v>3861</v>
      </c>
      <c r="C10375" s="17" t="s">
        <v>3752</v>
      </c>
      <c r="D10375" s="17" t="s">
        <v>2895</v>
      </c>
      <c r="E10375" s="17" t="s">
        <v>3384</v>
      </c>
      <c r="F10375" s="17" t="s">
        <v>4120</v>
      </c>
      <c r="G10375" s="18" t="n">
        <v>1672</v>
      </c>
      <c r="H10375" s="18" t="n">
        <v>0</v>
      </c>
      <c r="I10375" s="18" t="n">
        <f aca="false">((I10374 + G10375) - H10375)</f>
        <v>52214.1099999999</v>
      </c>
      <c r="J10375" s="18" t="n">
        <v>0</v>
      </c>
      <c r="K10375" s="19" t="n">
        <v>0</v>
      </c>
      <c r="L10375" s="17"/>
    </row>
    <row r="10376" s="11" customFormat="true" ht="10.95" hidden="false" customHeight="true" outlineLevel="0" collapsed="false">
      <c r="A10376" s="16" t="n">
        <v>45259</v>
      </c>
      <c r="B10376" s="17" t="s">
        <v>3861</v>
      </c>
      <c r="C10376" s="17" t="s">
        <v>3752</v>
      </c>
      <c r="D10376" s="17" t="s">
        <v>2895</v>
      </c>
      <c r="E10376" s="17" t="s">
        <v>3384</v>
      </c>
      <c r="F10376" s="17" t="s">
        <v>4121</v>
      </c>
      <c r="G10376" s="18" t="n">
        <v>1001</v>
      </c>
      <c r="H10376" s="18" t="n">
        <v>0</v>
      </c>
      <c r="I10376" s="18" t="n">
        <f aca="false">((I10375 + G10376) - H10376)</f>
        <v>53215.1099999999</v>
      </c>
      <c r="J10376" s="18" t="n">
        <v>0</v>
      </c>
      <c r="K10376" s="19" t="n">
        <v>0</v>
      </c>
      <c r="L10376" s="17"/>
    </row>
    <row r="10377" s="11" customFormat="true" ht="10.95" hidden="false" customHeight="true" outlineLevel="0" collapsed="false">
      <c r="A10377" s="16" t="n">
        <v>45259</v>
      </c>
      <c r="B10377" s="17" t="s">
        <v>3861</v>
      </c>
      <c r="C10377" s="17" t="s">
        <v>3752</v>
      </c>
      <c r="D10377" s="17" t="s">
        <v>2895</v>
      </c>
      <c r="E10377" s="17" t="s">
        <v>3496</v>
      </c>
      <c r="F10377" s="17" t="s">
        <v>4122</v>
      </c>
      <c r="G10377" s="18" t="n">
        <v>5184.3</v>
      </c>
      <c r="H10377" s="18" t="n">
        <v>0</v>
      </c>
      <c r="I10377" s="18" t="n">
        <f aca="false">((I10376 + G10377) - H10377)</f>
        <v>58399.4099999999</v>
      </c>
      <c r="J10377" s="18" t="n">
        <v>0</v>
      </c>
      <c r="K10377" s="19" t="n">
        <v>0</v>
      </c>
      <c r="L10377" s="17"/>
    </row>
    <row r="10378" s="11" customFormat="true" ht="10.95" hidden="false" customHeight="true" outlineLevel="0" collapsed="false">
      <c r="A10378" s="16" t="n">
        <v>45259</v>
      </c>
      <c r="B10378" s="17" t="s">
        <v>3861</v>
      </c>
      <c r="C10378" s="17" t="s">
        <v>3752</v>
      </c>
      <c r="D10378" s="17" t="s">
        <v>2895</v>
      </c>
      <c r="E10378" s="17" t="s">
        <v>3466</v>
      </c>
      <c r="F10378" s="17" t="s">
        <v>4123</v>
      </c>
      <c r="G10378" s="18" t="n">
        <v>396</v>
      </c>
      <c r="H10378" s="18" t="n">
        <v>0</v>
      </c>
      <c r="I10378" s="18" t="n">
        <f aca="false">((I10377 + G10378) - H10378)</f>
        <v>58795.4099999999</v>
      </c>
      <c r="J10378" s="18" t="n">
        <v>0</v>
      </c>
      <c r="K10378" s="19" t="n">
        <v>0</v>
      </c>
      <c r="L10378" s="17"/>
    </row>
    <row r="10379" s="11" customFormat="true" ht="10.95" hidden="false" customHeight="true" outlineLevel="0" collapsed="false">
      <c r="A10379" s="16" t="n">
        <v>45259</v>
      </c>
      <c r="B10379" s="17" t="s">
        <v>3861</v>
      </c>
      <c r="C10379" s="17" t="s">
        <v>3752</v>
      </c>
      <c r="D10379" s="17" t="s">
        <v>2895</v>
      </c>
      <c r="E10379" s="17" t="s">
        <v>3505</v>
      </c>
      <c r="F10379" s="17" t="s">
        <v>4124</v>
      </c>
      <c r="G10379" s="18" t="n">
        <v>157.3</v>
      </c>
      <c r="H10379" s="18" t="n">
        <v>0</v>
      </c>
      <c r="I10379" s="18" t="n">
        <f aca="false">((I10378 + G10379) - H10379)</f>
        <v>58952.7099999999</v>
      </c>
      <c r="J10379" s="18" t="n">
        <v>0</v>
      </c>
      <c r="K10379" s="19" t="n">
        <v>0</v>
      </c>
      <c r="L10379" s="17"/>
    </row>
    <row r="10380" s="11" customFormat="true" ht="10.95" hidden="false" customHeight="true" outlineLevel="0" collapsed="false">
      <c r="A10380" s="16" t="n">
        <v>45259</v>
      </c>
      <c r="B10380" s="17" t="s">
        <v>3861</v>
      </c>
      <c r="C10380" s="17" t="s">
        <v>3752</v>
      </c>
      <c r="D10380" s="17" t="s">
        <v>1407</v>
      </c>
      <c r="E10380" s="17" t="s">
        <v>3863</v>
      </c>
      <c r="F10380" s="17"/>
      <c r="G10380" s="18" t="n">
        <v>0</v>
      </c>
      <c r="H10380" s="18" t="n">
        <v>7.1</v>
      </c>
      <c r="I10380" s="18" t="n">
        <f aca="false">((I10379 + G10380) - H10380)</f>
        <v>58945.6099999999</v>
      </c>
      <c r="J10380" s="18" t="n">
        <v>0</v>
      </c>
      <c r="K10380" s="19" t="n">
        <v>0</v>
      </c>
      <c r="L10380" s="17"/>
    </row>
    <row r="10381" s="11" customFormat="true" ht="10.95" hidden="false" customHeight="true" outlineLevel="0" collapsed="false">
      <c r="A10381" s="16" t="n">
        <v>45259</v>
      </c>
      <c r="B10381" s="17" t="s">
        <v>3861</v>
      </c>
      <c r="C10381" s="17" t="s">
        <v>3752</v>
      </c>
      <c r="D10381" s="17" t="s">
        <v>1407</v>
      </c>
      <c r="E10381" s="17" t="s">
        <v>3881</v>
      </c>
      <c r="F10381" s="17"/>
      <c r="G10381" s="18" t="n">
        <v>0</v>
      </c>
      <c r="H10381" s="18" t="n">
        <v>140</v>
      </c>
      <c r="I10381" s="18" t="n">
        <f aca="false">((I10380 + G10381) - H10381)</f>
        <v>58805.6099999999</v>
      </c>
      <c r="J10381" s="18" t="n">
        <v>0</v>
      </c>
      <c r="K10381" s="19" t="n">
        <v>0</v>
      </c>
      <c r="L10381" s="17"/>
    </row>
    <row r="10382" s="11" customFormat="true" ht="10.95" hidden="false" customHeight="true" outlineLevel="0" collapsed="false">
      <c r="A10382" s="16" t="n">
        <v>45259</v>
      </c>
      <c r="B10382" s="17" t="s">
        <v>3861</v>
      </c>
      <c r="C10382" s="17" t="s">
        <v>3752</v>
      </c>
      <c r="D10382" s="17" t="s">
        <v>1407</v>
      </c>
      <c r="E10382" s="17" t="s">
        <v>3685</v>
      </c>
      <c r="F10382" s="17"/>
      <c r="G10382" s="18" t="n">
        <v>0</v>
      </c>
      <c r="H10382" s="18" t="n">
        <v>236.75</v>
      </c>
      <c r="I10382" s="18" t="n">
        <f aca="false">((I10381 + G10382) - H10382)</f>
        <v>58568.8599999999</v>
      </c>
      <c r="J10382" s="18" t="n">
        <v>0</v>
      </c>
      <c r="K10382" s="19" t="n">
        <v>0</v>
      </c>
      <c r="L10382" s="17"/>
    </row>
    <row r="10383" s="11" customFormat="true" ht="10.95" hidden="false" customHeight="true" outlineLevel="0" collapsed="false">
      <c r="A10383" s="16" t="n">
        <v>45259</v>
      </c>
      <c r="B10383" s="17" t="s">
        <v>3861</v>
      </c>
      <c r="C10383" s="17" t="s">
        <v>3752</v>
      </c>
      <c r="D10383" s="17" t="s">
        <v>1407</v>
      </c>
      <c r="E10383" s="17" t="s">
        <v>3879</v>
      </c>
      <c r="F10383" s="17"/>
      <c r="G10383" s="18" t="n">
        <v>0</v>
      </c>
      <c r="H10383" s="18" t="n">
        <v>1207</v>
      </c>
      <c r="I10383" s="18" t="n">
        <f aca="false">((I10382 + G10383) - H10383)</f>
        <v>57361.8599999999</v>
      </c>
      <c r="J10383" s="18" t="n">
        <v>0</v>
      </c>
      <c r="K10383" s="19" t="n">
        <v>0</v>
      </c>
      <c r="L10383" s="17"/>
    </row>
    <row r="10384" s="11" customFormat="true" ht="10.95" hidden="false" customHeight="true" outlineLevel="0" collapsed="false">
      <c r="A10384" s="16" t="n">
        <v>45259</v>
      </c>
      <c r="B10384" s="17" t="s">
        <v>3861</v>
      </c>
      <c r="C10384" s="17" t="s">
        <v>3752</v>
      </c>
      <c r="D10384" s="17" t="s">
        <v>1407</v>
      </c>
      <c r="E10384" s="17" t="s">
        <v>3880</v>
      </c>
      <c r="F10384" s="17"/>
      <c r="G10384" s="18" t="n">
        <v>0</v>
      </c>
      <c r="H10384" s="18" t="n">
        <v>1207</v>
      </c>
      <c r="I10384" s="18" t="n">
        <f aca="false">((I10383 + G10384) - H10384)</f>
        <v>56154.8599999999</v>
      </c>
      <c r="J10384" s="18" t="n">
        <v>0</v>
      </c>
      <c r="K10384" s="19" t="n">
        <v>0</v>
      </c>
      <c r="L10384" s="17"/>
    </row>
    <row r="10385" s="11" customFormat="true" ht="10.95" hidden="false" customHeight="true" outlineLevel="0" collapsed="false">
      <c r="A10385" s="16" t="n">
        <v>45259</v>
      </c>
      <c r="B10385" s="17" t="s">
        <v>3861</v>
      </c>
      <c r="C10385" s="17" t="s">
        <v>3752</v>
      </c>
      <c r="D10385" s="17" t="s">
        <v>1407</v>
      </c>
      <c r="E10385" s="17" t="s">
        <v>3808</v>
      </c>
      <c r="F10385" s="17"/>
      <c r="G10385" s="18" t="n">
        <v>0</v>
      </c>
      <c r="H10385" s="18" t="n">
        <v>1705.92</v>
      </c>
      <c r="I10385" s="18" t="n">
        <f aca="false">((I10384 + G10385) - H10385)</f>
        <v>54448.9399999999</v>
      </c>
      <c r="J10385" s="18" t="n">
        <v>0</v>
      </c>
      <c r="K10385" s="19" t="n">
        <v>0</v>
      </c>
      <c r="L10385" s="17"/>
    </row>
    <row r="10386" s="11" customFormat="true" ht="10.95" hidden="false" customHeight="true" outlineLevel="0" collapsed="false">
      <c r="A10386" s="16" t="n">
        <v>45260</v>
      </c>
      <c r="B10386" s="17" t="s">
        <v>3861</v>
      </c>
      <c r="C10386" s="17" t="s">
        <v>3752</v>
      </c>
      <c r="D10386" s="17" t="s">
        <v>2895</v>
      </c>
      <c r="E10386" s="17" t="s">
        <v>3382</v>
      </c>
      <c r="F10386" s="17" t="s">
        <v>4125</v>
      </c>
      <c r="G10386" s="18" t="n">
        <v>16315.92</v>
      </c>
      <c r="H10386" s="18" t="n">
        <v>0</v>
      </c>
      <c r="I10386" s="18" t="n">
        <f aca="false">((I10385 + G10386) - H10386)</f>
        <v>70764.8599999999</v>
      </c>
      <c r="J10386" s="18" t="n">
        <v>0</v>
      </c>
      <c r="K10386" s="19" t="n">
        <v>0</v>
      </c>
      <c r="L10386" s="17"/>
    </row>
    <row r="10387" s="11" customFormat="true" ht="10.95" hidden="false" customHeight="true" outlineLevel="0" collapsed="false">
      <c r="A10387" s="16" t="n">
        <v>45260</v>
      </c>
      <c r="B10387" s="17" t="s">
        <v>3861</v>
      </c>
      <c r="C10387" s="17" t="s">
        <v>3752</v>
      </c>
      <c r="D10387" s="17" t="s">
        <v>2895</v>
      </c>
      <c r="E10387" s="17" t="s">
        <v>3456</v>
      </c>
      <c r="F10387" s="17" t="s">
        <v>4126</v>
      </c>
      <c r="G10387" s="18" t="n">
        <v>34.5</v>
      </c>
      <c r="H10387" s="18" t="n">
        <v>0</v>
      </c>
      <c r="I10387" s="18" t="n">
        <f aca="false">((I10386 + G10387) - H10387)</f>
        <v>70799.3599999999</v>
      </c>
      <c r="J10387" s="18" t="n">
        <v>0</v>
      </c>
      <c r="K10387" s="19" t="n">
        <v>0</v>
      </c>
      <c r="L10387" s="17"/>
    </row>
    <row r="10388" s="11" customFormat="true" ht="10.95" hidden="false" customHeight="true" outlineLevel="0" collapsed="false">
      <c r="A10388" s="16" t="n">
        <v>45260</v>
      </c>
      <c r="B10388" s="17" t="s">
        <v>3861</v>
      </c>
      <c r="C10388" s="17" t="s">
        <v>3752</v>
      </c>
      <c r="D10388" s="17" t="s">
        <v>2895</v>
      </c>
      <c r="E10388" s="17" t="s">
        <v>3456</v>
      </c>
      <c r="F10388" s="17" t="s">
        <v>4127</v>
      </c>
      <c r="G10388" s="18" t="n">
        <v>2244</v>
      </c>
      <c r="H10388" s="18" t="n">
        <v>0</v>
      </c>
      <c r="I10388" s="18" t="n">
        <f aca="false">((I10387 + G10388) - H10388)</f>
        <v>73043.3599999999</v>
      </c>
      <c r="J10388" s="18" t="n">
        <v>0</v>
      </c>
      <c r="K10388" s="19" t="n">
        <v>0</v>
      </c>
      <c r="L10388" s="17"/>
    </row>
    <row r="10389" s="11" customFormat="true" ht="10.95" hidden="false" customHeight="true" outlineLevel="0" collapsed="false">
      <c r="A10389" s="16" t="n">
        <v>45260</v>
      </c>
      <c r="B10389" s="17" t="s">
        <v>3861</v>
      </c>
      <c r="C10389" s="17" t="s">
        <v>3752</v>
      </c>
      <c r="D10389" s="17" t="s">
        <v>2895</v>
      </c>
      <c r="E10389" s="17" t="s">
        <v>3465</v>
      </c>
      <c r="F10389" s="17" t="s">
        <v>4128</v>
      </c>
      <c r="G10389" s="18" t="n">
        <v>1094.5</v>
      </c>
      <c r="H10389" s="18" t="n">
        <v>0</v>
      </c>
      <c r="I10389" s="18" t="n">
        <f aca="false">((I10388 + G10389) - H10389)</f>
        <v>74137.8599999999</v>
      </c>
      <c r="J10389" s="18" t="n">
        <v>0</v>
      </c>
      <c r="K10389" s="19" t="n">
        <v>0</v>
      </c>
      <c r="L10389" s="17"/>
    </row>
    <row r="10390" s="11" customFormat="true" ht="10.95" hidden="false" customHeight="true" outlineLevel="0" collapsed="false">
      <c r="A10390" s="16" t="n">
        <v>45260</v>
      </c>
      <c r="B10390" s="17" t="s">
        <v>3861</v>
      </c>
      <c r="C10390" s="17" t="s">
        <v>3752</v>
      </c>
      <c r="D10390" s="17" t="s">
        <v>2895</v>
      </c>
      <c r="E10390" s="17" t="s">
        <v>3410</v>
      </c>
      <c r="F10390" s="17" t="s">
        <v>4129</v>
      </c>
      <c r="G10390" s="18" t="n">
        <v>968</v>
      </c>
      <c r="H10390" s="18" t="n">
        <v>0</v>
      </c>
      <c r="I10390" s="18" t="n">
        <f aca="false">((I10389 + G10390) - H10390)</f>
        <v>75105.8599999999</v>
      </c>
      <c r="J10390" s="18" t="n">
        <v>0</v>
      </c>
      <c r="K10390" s="19" t="n">
        <v>0</v>
      </c>
      <c r="L10390" s="17"/>
    </row>
    <row r="10391" s="11" customFormat="true" ht="10.95" hidden="false" customHeight="true" outlineLevel="0" collapsed="false">
      <c r="A10391" s="16" t="n">
        <v>45260</v>
      </c>
      <c r="B10391" s="17" t="s">
        <v>3861</v>
      </c>
      <c r="C10391" s="17" t="s">
        <v>3752</v>
      </c>
      <c r="D10391" s="17" t="s">
        <v>1407</v>
      </c>
      <c r="E10391" s="17" t="s">
        <v>3863</v>
      </c>
      <c r="F10391" s="17"/>
      <c r="G10391" s="18" t="n">
        <v>0</v>
      </c>
      <c r="H10391" s="18" t="n">
        <v>11.38</v>
      </c>
      <c r="I10391" s="18" t="n">
        <f aca="false">((I10390 + G10391) - H10391)</f>
        <v>75094.4799999999</v>
      </c>
      <c r="J10391" s="18" t="n">
        <v>0</v>
      </c>
      <c r="K10391" s="19" t="n">
        <v>0</v>
      </c>
      <c r="L10391" s="17"/>
    </row>
    <row r="10392" s="11" customFormat="true" ht="10.95" hidden="false" customHeight="true" outlineLevel="0" collapsed="false">
      <c r="A10392" s="16" t="n">
        <v>45260</v>
      </c>
      <c r="B10392" s="17" t="s">
        <v>3861</v>
      </c>
      <c r="C10392" s="17" t="s">
        <v>3752</v>
      </c>
      <c r="D10392" s="17" t="s">
        <v>2903</v>
      </c>
      <c r="E10392" s="17" t="s">
        <v>3648</v>
      </c>
      <c r="F10392" s="17" t="s">
        <v>2664</v>
      </c>
      <c r="G10392" s="18" t="n">
        <v>0</v>
      </c>
      <c r="H10392" s="18" t="n">
        <v>184.37</v>
      </c>
      <c r="I10392" s="18" t="n">
        <f aca="false">((I10391 + G10392) - H10392)</f>
        <v>74910.1099999999</v>
      </c>
      <c r="J10392" s="18" t="n">
        <v>0</v>
      </c>
      <c r="K10392" s="19" t="n">
        <v>0</v>
      </c>
      <c r="L10392" s="17"/>
    </row>
    <row r="10393" s="11" customFormat="true" ht="10.95" hidden="false" customHeight="true" outlineLevel="0" collapsed="false">
      <c r="A10393" s="16" t="n">
        <v>45260</v>
      </c>
      <c r="B10393" s="17" t="s">
        <v>3861</v>
      </c>
      <c r="C10393" s="17" t="s">
        <v>3752</v>
      </c>
      <c r="D10393" s="17" t="s">
        <v>1407</v>
      </c>
      <c r="E10393" s="17" t="s">
        <v>4130</v>
      </c>
      <c r="F10393" s="17"/>
      <c r="G10393" s="18" t="n">
        <v>0</v>
      </c>
      <c r="H10393" s="18" t="n">
        <v>379.34</v>
      </c>
      <c r="I10393" s="18" t="n">
        <f aca="false">((I10392 + G10393) - H10393)</f>
        <v>74530.7699999999</v>
      </c>
      <c r="J10393" s="18" t="n">
        <v>0</v>
      </c>
      <c r="K10393" s="19" t="n">
        <v>0</v>
      </c>
      <c r="L10393" s="17"/>
    </row>
    <row r="10394" s="11" customFormat="true" ht="10.95" hidden="false" customHeight="true" outlineLevel="0" collapsed="false">
      <c r="A10394" s="16" t="n">
        <v>45261</v>
      </c>
      <c r="B10394" s="17" t="s">
        <v>3861</v>
      </c>
      <c r="C10394" s="17" t="s">
        <v>3752</v>
      </c>
      <c r="D10394" s="17" t="s">
        <v>2895</v>
      </c>
      <c r="E10394" s="17" t="s">
        <v>2896</v>
      </c>
      <c r="F10394" s="17" t="s">
        <v>1326</v>
      </c>
      <c r="G10394" s="18" t="n">
        <v>88.75</v>
      </c>
      <c r="H10394" s="18" t="n">
        <v>0</v>
      </c>
      <c r="I10394" s="18" t="n">
        <f aca="false">((I10393 + G10394) - H10394)</f>
        <v>74619.5199999999</v>
      </c>
      <c r="J10394" s="18" t="n">
        <v>0</v>
      </c>
      <c r="K10394" s="19" t="n">
        <v>0</v>
      </c>
      <c r="L10394" s="17"/>
    </row>
    <row r="10395" s="11" customFormat="true" ht="10.95" hidden="false" customHeight="true" outlineLevel="0" collapsed="false">
      <c r="A10395" s="16" t="n">
        <v>45261</v>
      </c>
      <c r="B10395" s="17" t="s">
        <v>3861</v>
      </c>
      <c r="C10395" s="17" t="s">
        <v>3752</v>
      </c>
      <c r="D10395" s="17" t="s">
        <v>1276</v>
      </c>
      <c r="E10395" s="17" t="s">
        <v>3423</v>
      </c>
      <c r="F10395" s="17" t="s">
        <v>1326</v>
      </c>
      <c r="G10395" s="18" t="n">
        <v>1.58</v>
      </c>
      <c r="H10395" s="18" t="n">
        <v>0</v>
      </c>
      <c r="I10395" s="18" t="n">
        <f aca="false">((I10394 + G10395) - H10395)</f>
        <v>74621.0999999999</v>
      </c>
      <c r="J10395" s="18" t="n">
        <v>0</v>
      </c>
      <c r="K10395" s="19" t="n">
        <v>0</v>
      </c>
      <c r="L10395" s="17"/>
    </row>
    <row r="10396" s="11" customFormat="true" ht="10.95" hidden="false" customHeight="true" outlineLevel="0" collapsed="false">
      <c r="A10396" s="16" t="n">
        <v>45261</v>
      </c>
      <c r="B10396" s="17" t="s">
        <v>3861</v>
      </c>
      <c r="C10396" s="17" t="s">
        <v>3752</v>
      </c>
      <c r="D10396" s="17" t="s">
        <v>1407</v>
      </c>
      <c r="E10396" s="17" t="s">
        <v>3862</v>
      </c>
      <c r="F10396" s="17" t="s">
        <v>1326</v>
      </c>
      <c r="G10396" s="18" t="n">
        <v>0</v>
      </c>
      <c r="H10396" s="18" t="n">
        <v>3.47</v>
      </c>
      <c r="I10396" s="18" t="n">
        <f aca="false">((I10395 + G10396) - H10396)</f>
        <v>74617.6299999999</v>
      </c>
      <c r="J10396" s="18" t="n">
        <v>0</v>
      </c>
      <c r="K10396" s="19" t="n">
        <v>0</v>
      </c>
      <c r="L10396" s="17"/>
    </row>
    <row r="10397" s="11" customFormat="true" ht="10.95" hidden="false" customHeight="true" outlineLevel="0" collapsed="false">
      <c r="A10397" s="16" t="n">
        <v>45261</v>
      </c>
      <c r="B10397" s="17" t="s">
        <v>3861</v>
      </c>
      <c r="C10397" s="17" t="s">
        <v>3752</v>
      </c>
      <c r="D10397" s="17" t="s">
        <v>2895</v>
      </c>
      <c r="E10397" s="17" t="s">
        <v>3482</v>
      </c>
      <c r="F10397" s="17" t="s">
        <v>4131</v>
      </c>
      <c r="G10397" s="18" t="n">
        <v>1861.2</v>
      </c>
      <c r="H10397" s="18" t="n">
        <v>0</v>
      </c>
      <c r="I10397" s="18" t="n">
        <f aca="false">((I10396 + G10397) - H10397)</f>
        <v>76478.8299999999</v>
      </c>
      <c r="J10397" s="18" t="n">
        <v>0</v>
      </c>
      <c r="K10397" s="19" t="n">
        <v>0</v>
      </c>
      <c r="L10397" s="17"/>
    </row>
    <row r="10398" s="11" customFormat="true" ht="10.95" hidden="false" customHeight="true" outlineLevel="0" collapsed="false">
      <c r="A10398" s="16" t="n">
        <v>45261</v>
      </c>
      <c r="B10398" s="17" t="s">
        <v>3861</v>
      </c>
      <c r="C10398" s="17" t="s">
        <v>3752</v>
      </c>
      <c r="D10398" s="17" t="s">
        <v>2895</v>
      </c>
      <c r="E10398" s="17" t="s">
        <v>3472</v>
      </c>
      <c r="F10398" s="17" t="s">
        <v>4132</v>
      </c>
      <c r="G10398" s="18" t="n">
        <v>1278.2</v>
      </c>
      <c r="H10398" s="18" t="n">
        <v>0</v>
      </c>
      <c r="I10398" s="18" t="n">
        <f aca="false">((I10397 + G10398) - H10398)</f>
        <v>77757.0299999999</v>
      </c>
      <c r="J10398" s="18" t="n">
        <v>0</v>
      </c>
      <c r="K10398" s="19" t="n">
        <v>0</v>
      </c>
      <c r="L10398" s="17"/>
    </row>
    <row r="10399" s="11" customFormat="true" ht="10.95" hidden="false" customHeight="true" outlineLevel="0" collapsed="false">
      <c r="A10399" s="16" t="n">
        <v>45261</v>
      </c>
      <c r="B10399" s="17" t="s">
        <v>3861</v>
      </c>
      <c r="C10399" s="17" t="s">
        <v>3752</v>
      </c>
      <c r="D10399" s="17" t="s">
        <v>2895</v>
      </c>
      <c r="E10399" s="17" t="s">
        <v>3415</v>
      </c>
      <c r="F10399" s="17" t="s">
        <v>4133</v>
      </c>
      <c r="G10399" s="18" t="n">
        <v>1052.7</v>
      </c>
      <c r="H10399" s="18" t="n">
        <v>0</v>
      </c>
      <c r="I10399" s="18" t="n">
        <f aca="false">((I10398 + G10399) - H10399)</f>
        <v>78809.7299999999</v>
      </c>
      <c r="J10399" s="18" t="n">
        <v>0</v>
      </c>
      <c r="K10399" s="19" t="n">
        <v>0</v>
      </c>
      <c r="L10399" s="17"/>
    </row>
    <row r="10400" s="11" customFormat="true" ht="10.95" hidden="false" customHeight="true" outlineLevel="0" collapsed="false">
      <c r="A10400" s="16" t="n">
        <v>45261</v>
      </c>
      <c r="B10400" s="17" t="s">
        <v>3861</v>
      </c>
      <c r="C10400" s="17" t="s">
        <v>3752</v>
      </c>
      <c r="D10400" s="17" t="s">
        <v>2895</v>
      </c>
      <c r="E10400" s="17" t="s">
        <v>2898</v>
      </c>
      <c r="F10400" s="17" t="s">
        <v>3000</v>
      </c>
      <c r="G10400" s="18" t="n">
        <v>748.27</v>
      </c>
      <c r="H10400" s="18" t="n">
        <v>0</v>
      </c>
      <c r="I10400" s="18" t="n">
        <f aca="false">((I10399 + G10400) - H10400)</f>
        <v>79557.9999999999</v>
      </c>
      <c r="J10400" s="18" t="n">
        <v>0</v>
      </c>
      <c r="K10400" s="19" t="n">
        <v>0</v>
      </c>
      <c r="L10400" s="17"/>
    </row>
    <row r="10401" s="11" customFormat="true" ht="10.95" hidden="false" customHeight="true" outlineLevel="0" collapsed="false">
      <c r="A10401" s="16" t="n">
        <v>45261</v>
      </c>
      <c r="B10401" s="17" t="s">
        <v>3861</v>
      </c>
      <c r="C10401" s="17" t="s">
        <v>3752</v>
      </c>
      <c r="D10401" s="17" t="s">
        <v>2895</v>
      </c>
      <c r="E10401" s="17" t="s">
        <v>3474</v>
      </c>
      <c r="F10401" s="17" t="s">
        <v>4134</v>
      </c>
      <c r="G10401" s="18" t="n">
        <v>357.5</v>
      </c>
      <c r="H10401" s="18" t="n">
        <v>0</v>
      </c>
      <c r="I10401" s="18" t="n">
        <f aca="false">((I10400 + G10401) - H10401)</f>
        <v>79915.4999999999</v>
      </c>
      <c r="J10401" s="18" t="n">
        <v>0</v>
      </c>
      <c r="K10401" s="19" t="n">
        <v>0</v>
      </c>
      <c r="L10401" s="17"/>
    </row>
    <row r="10402" s="11" customFormat="true" ht="10.95" hidden="false" customHeight="true" outlineLevel="0" collapsed="false">
      <c r="A10402" s="16" t="n">
        <v>45261</v>
      </c>
      <c r="B10402" s="17" t="s">
        <v>3861</v>
      </c>
      <c r="C10402" s="17" t="s">
        <v>3752</v>
      </c>
      <c r="D10402" s="17" t="s">
        <v>2895</v>
      </c>
      <c r="E10402" s="17" t="s">
        <v>3401</v>
      </c>
      <c r="F10402" s="17" t="s">
        <v>4135</v>
      </c>
      <c r="G10402" s="18" t="n">
        <v>561</v>
      </c>
      <c r="H10402" s="18" t="n">
        <v>0</v>
      </c>
      <c r="I10402" s="18" t="n">
        <f aca="false">((I10401 + G10402) - H10402)</f>
        <v>80476.4999999999</v>
      </c>
      <c r="J10402" s="18" t="n">
        <v>0</v>
      </c>
      <c r="K10402" s="19" t="n">
        <v>0</v>
      </c>
      <c r="L10402" s="17"/>
    </row>
    <row r="10403" s="11" customFormat="true" ht="10.95" hidden="false" customHeight="true" outlineLevel="0" collapsed="false">
      <c r="A10403" s="16" t="n">
        <v>45261</v>
      </c>
      <c r="B10403" s="17" t="s">
        <v>3861</v>
      </c>
      <c r="C10403" s="17" t="s">
        <v>3752</v>
      </c>
      <c r="D10403" s="17" t="s">
        <v>1407</v>
      </c>
      <c r="E10403" s="17" t="s">
        <v>3863</v>
      </c>
      <c r="F10403" s="17"/>
      <c r="G10403" s="18" t="n">
        <v>0</v>
      </c>
      <c r="H10403" s="18" t="n">
        <v>2.32</v>
      </c>
      <c r="I10403" s="18" t="n">
        <f aca="false">((I10402 + G10403) - H10403)</f>
        <v>80474.1799999999</v>
      </c>
      <c r="J10403" s="18" t="n">
        <v>0</v>
      </c>
      <c r="K10403" s="19" t="n">
        <v>0</v>
      </c>
      <c r="L10403" s="17"/>
    </row>
    <row r="10404" s="11" customFormat="true" ht="10.95" hidden="false" customHeight="true" outlineLevel="0" collapsed="false">
      <c r="A10404" s="16" t="n">
        <v>45261</v>
      </c>
      <c r="B10404" s="17" t="s">
        <v>3861</v>
      </c>
      <c r="C10404" s="17" t="s">
        <v>3752</v>
      </c>
      <c r="D10404" s="17" t="s">
        <v>1407</v>
      </c>
      <c r="E10404" s="17" t="s">
        <v>3863</v>
      </c>
      <c r="F10404" s="17"/>
      <c r="G10404" s="18" t="n">
        <v>0</v>
      </c>
      <c r="H10404" s="18" t="n">
        <v>10</v>
      </c>
      <c r="I10404" s="18" t="n">
        <f aca="false">((I10403 + G10404) - H10404)</f>
        <v>80464.1799999999</v>
      </c>
      <c r="J10404" s="18" t="n">
        <v>0</v>
      </c>
      <c r="K10404" s="19" t="n">
        <v>0</v>
      </c>
      <c r="L10404" s="17"/>
    </row>
    <row r="10405" s="11" customFormat="true" ht="10.95" hidden="false" customHeight="true" outlineLevel="0" collapsed="false">
      <c r="A10405" s="16" t="n">
        <v>45261</v>
      </c>
      <c r="B10405" s="17" t="s">
        <v>3861</v>
      </c>
      <c r="C10405" s="17" t="s">
        <v>3752</v>
      </c>
      <c r="D10405" s="17" t="s">
        <v>1407</v>
      </c>
      <c r="E10405" s="17" t="s">
        <v>3863</v>
      </c>
      <c r="F10405" s="17"/>
      <c r="G10405" s="18" t="n">
        <v>0</v>
      </c>
      <c r="H10405" s="18" t="n">
        <v>17.63</v>
      </c>
      <c r="I10405" s="18" t="n">
        <f aca="false">((I10404 + G10405) - H10405)</f>
        <v>80446.5499999999</v>
      </c>
      <c r="J10405" s="18" t="n">
        <v>0</v>
      </c>
      <c r="K10405" s="19" t="n">
        <v>0</v>
      </c>
      <c r="L10405" s="17"/>
    </row>
    <row r="10406" s="11" customFormat="true" ht="10.95" hidden="false" customHeight="true" outlineLevel="0" collapsed="false">
      <c r="A10406" s="16" t="n">
        <v>45261</v>
      </c>
      <c r="B10406" s="17" t="s">
        <v>3861</v>
      </c>
      <c r="C10406" s="17" t="s">
        <v>3752</v>
      </c>
      <c r="D10406" s="17" t="s">
        <v>1407</v>
      </c>
      <c r="E10406" s="17" t="s">
        <v>3864</v>
      </c>
      <c r="F10406" s="17"/>
      <c r="G10406" s="18" t="n">
        <v>0</v>
      </c>
      <c r="H10406" s="18" t="n">
        <v>77.34</v>
      </c>
      <c r="I10406" s="18" t="n">
        <f aca="false">((I10405 + G10406) - H10406)</f>
        <v>80369.2099999999</v>
      </c>
      <c r="J10406" s="18" t="n">
        <v>0</v>
      </c>
      <c r="K10406" s="19" t="n">
        <v>0</v>
      </c>
      <c r="L10406" s="17"/>
    </row>
    <row r="10407" s="11" customFormat="true" ht="10.95" hidden="false" customHeight="true" outlineLevel="0" collapsed="false">
      <c r="A10407" s="16" t="n">
        <v>45261</v>
      </c>
      <c r="B10407" s="17" t="s">
        <v>3861</v>
      </c>
      <c r="C10407" s="17" t="s">
        <v>3752</v>
      </c>
      <c r="D10407" s="17" t="s">
        <v>1407</v>
      </c>
      <c r="E10407" s="17" t="s">
        <v>3865</v>
      </c>
      <c r="F10407" s="17"/>
      <c r="G10407" s="18" t="n">
        <v>0</v>
      </c>
      <c r="H10407" s="18" t="n">
        <v>82.5</v>
      </c>
      <c r="I10407" s="18" t="n">
        <f aca="false">((I10406 + G10407) - H10407)</f>
        <v>80286.7099999999</v>
      </c>
      <c r="J10407" s="18" t="n">
        <v>0</v>
      </c>
      <c r="K10407" s="19" t="n">
        <v>0</v>
      </c>
      <c r="L10407" s="17"/>
    </row>
    <row r="10408" s="11" customFormat="true" ht="10.95" hidden="false" customHeight="true" outlineLevel="0" collapsed="false">
      <c r="A10408" s="16" t="n">
        <v>45261</v>
      </c>
      <c r="B10408" s="17" t="s">
        <v>3861</v>
      </c>
      <c r="C10408" s="17" t="s">
        <v>3752</v>
      </c>
      <c r="D10408" s="17" t="s">
        <v>1407</v>
      </c>
      <c r="E10408" s="17" t="s">
        <v>3863</v>
      </c>
      <c r="F10408" s="17"/>
      <c r="G10408" s="18" t="n">
        <v>0</v>
      </c>
      <c r="H10408" s="18" t="n">
        <v>279.23</v>
      </c>
      <c r="I10408" s="18" t="n">
        <f aca="false">((I10407 + G10408) - H10408)</f>
        <v>80007.4799999999</v>
      </c>
      <c r="J10408" s="18" t="n">
        <v>0</v>
      </c>
      <c r="K10408" s="19" t="n">
        <v>0</v>
      </c>
      <c r="L10408" s="17"/>
    </row>
    <row r="10409" s="11" customFormat="true" ht="10.95" hidden="false" customHeight="true" outlineLevel="0" collapsed="false">
      <c r="A10409" s="16" t="n">
        <v>45261</v>
      </c>
      <c r="B10409" s="17" t="s">
        <v>3861</v>
      </c>
      <c r="C10409" s="17" t="s">
        <v>3752</v>
      </c>
      <c r="D10409" s="17" t="s">
        <v>2903</v>
      </c>
      <c r="E10409" s="17" t="s">
        <v>3616</v>
      </c>
      <c r="F10409" s="17" t="s">
        <v>3276</v>
      </c>
      <c r="G10409" s="18" t="n">
        <v>0</v>
      </c>
      <c r="H10409" s="18" t="n">
        <v>2905.1</v>
      </c>
      <c r="I10409" s="18" t="n">
        <f aca="false">((I10408 + G10409) - H10409)</f>
        <v>77102.3799999999</v>
      </c>
      <c r="J10409" s="18" t="n">
        <v>0</v>
      </c>
      <c r="K10409" s="19" t="n">
        <v>0</v>
      </c>
      <c r="L10409" s="17"/>
    </row>
    <row r="10410" s="11" customFormat="true" ht="10.95" hidden="false" customHeight="true" outlineLevel="0" collapsed="false">
      <c r="A10410" s="16" t="n">
        <v>45261</v>
      </c>
      <c r="B10410" s="17" t="s">
        <v>3861</v>
      </c>
      <c r="C10410" s="17" t="s">
        <v>3752</v>
      </c>
      <c r="D10410" s="17" t="s">
        <v>1407</v>
      </c>
      <c r="E10410" s="17" t="s">
        <v>3615</v>
      </c>
      <c r="F10410" s="17"/>
      <c r="G10410" s="18" t="n">
        <v>0</v>
      </c>
      <c r="H10410" s="18" t="n">
        <v>151.33</v>
      </c>
      <c r="I10410" s="18" t="n">
        <f aca="false">((I10409 + G10410) - H10410)</f>
        <v>76951.0499999999</v>
      </c>
      <c r="J10410" s="18" t="n">
        <v>0</v>
      </c>
      <c r="K10410" s="19" t="n">
        <v>0</v>
      </c>
      <c r="L10410" s="17"/>
    </row>
    <row r="10411" s="11" customFormat="true" ht="10.95" hidden="false" customHeight="true" outlineLevel="0" collapsed="false">
      <c r="A10411" s="16" t="n">
        <v>45261</v>
      </c>
      <c r="B10411" s="17" t="s">
        <v>3861</v>
      </c>
      <c r="C10411" s="17" t="s">
        <v>3752</v>
      </c>
      <c r="D10411" s="17" t="s">
        <v>2903</v>
      </c>
      <c r="E10411" s="17" t="s">
        <v>3645</v>
      </c>
      <c r="F10411" s="17" t="s">
        <v>1467</v>
      </c>
      <c r="G10411" s="18" t="n">
        <v>0</v>
      </c>
      <c r="H10411" s="18" t="n">
        <v>1996.5</v>
      </c>
      <c r="I10411" s="18" t="n">
        <f aca="false">((I10410 + G10411) - H10411)</f>
        <v>74954.5499999999</v>
      </c>
      <c r="J10411" s="18" t="n">
        <v>0</v>
      </c>
      <c r="K10411" s="19" t="n">
        <v>0</v>
      </c>
      <c r="L10411" s="17"/>
    </row>
    <row r="10412" s="11" customFormat="true" ht="10.95" hidden="false" customHeight="true" outlineLevel="0" collapsed="false">
      <c r="A10412" s="16" t="n">
        <v>45261</v>
      </c>
      <c r="B10412" s="17" t="s">
        <v>3861</v>
      </c>
      <c r="C10412" s="17" t="s">
        <v>3752</v>
      </c>
      <c r="D10412" s="17" t="s">
        <v>2903</v>
      </c>
      <c r="E10412" s="17" t="s">
        <v>3645</v>
      </c>
      <c r="F10412" s="17" t="s">
        <v>1463</v>
      </c>
      <c r="G10412" s="18" t="n">
        <v>0</v>
      </c>
      <c r="H10412" s="18" t="n">
        <v>17914.78</v>
      </c>
      <c r="I10412" s="18" t="n">
        <f aca="false">((I10411 + G10412) - H10412)</f>
        <v>57039.7699999999</v>
      </c>
      <c r="J10412" s="18" t="n">
        <v>0</v>
      </c>
      <c r="K10412" s="19" t="n">
        <v>0</v>
      </c>
      <c r="L10412" s="17"/>
    </row>
    <row r="10413" s="11" customFormat="true" ht="10.95" hidden="false" customHeight="true" outlineLevel="0" collapsed="false">
      <c r="A10413" s="16" t="n">
        <v>45261</v>
      </c>
      <c r="B10413" s="17" t="s">
        <v>3861</v>
      </c>
      <c r="C10413" s="17" t="s">
        <v>3752</v>
      </c>
      <c r="D10413" s="17" t="s">
        <v>1407</v>
      </c>
      <c r="E10413" s="17" t="s">
        <v>3776</v>
      </c>
      <c r="F10413" s="17"/>
      <c r="G10413" s="18" t="n">
        <v>0</v>
      </c>
      <c r="H10413" s="18" t="n">
        <v>587.55</v>
      </c>
      <c r="I10413" s="18" t="n">
        <f aca="false">((I10412 + G10413) - H10413)</f>
        <v>56452.2199999999</v>
      </c>
      <c r="J10413" s="18" t="n">
        <v>0</v>
      </c>
      <c r="K10413" s="19" t="n">
        <v>0</v>
      </c>
      <c r="L10413" s="17"/>
    </row>
    <row r="10414" s="11" customFormat="true" ht="10.95" hidden="false" customHeight="true" outlineLevel="0" collapsed="false">
      <c r="A10414" s="16" t="n">
        <v>45261</v>
      </c>
      <c r="B10414" s="17" t="s">
        <v>3861</v>
      </c>
      <c r="C10414" s="17" t="s">
        <v>3752</v>
      </c>
      <c r="D10414" s="17" t="s">
        <v>1407</v>
      </c>
      <c r="E10414" s="17" t="s">
        <v>3642</v>
      </c>
      <c r="F10414" s="17"/>
      <c r="G10414" s="18" t="n">
        <v>0</v>
      </c>
      <c r="H10414" s="18" t="n">
        <v>5.84</v>
      </c>
      <c r="I10414" s="18" t="n">
        <f aca="false">((I10413 + G10414) - H10414)</f>
        <v>56446.3799999999</v>
      </c>
      <c r="J10414" s="18" t="n">
        <v>0</v>
      </c>
      <c r="K10414" s="19" t="n">
        <v>0</v>
      </c>
      <c r="L10414" s="17"/>
    </row>
    <row r="10415" s="11" customFormat="true" ht="10.95" hidden="false" customHeight="true" outlineLevel="0" collapsed="false">
      <c r="A10415" s="16" t="n">
        <v>45261</v>
      </c>
      <c r="B10415" s="17" t="s">
        <v>3861</v>
      </c>
      <c r="C10415" s="17" t="s">
        <v>3752</v>
      </c>
      <c r="D10415" s="17" t="s">
        <v>2903</v>
      </c>
      <c r="E10415" s="17" t="s">
        <v>3629</v>
      </c>
      <c r="F10415" s="17" t="s">
        <v>3195</v>
      </c>
      <c r="G10415" s="18" t="n">
        <v>0</v>
      </c>
      <c r="H10415" s="18" t="n">
        <v>5010.29</v>
      </c>
      <c r="I10415" s="18" t="n">
        <f aca="false">((I10414 + G10415) - H10415)</f>
        <v>51436.0899999999</v>
      </c>
      <c r="J10415" s="18" t="n">
        <v>0</v>
      </c>
      <c r="K10415" s="19" t="n">
        <v>0</v>
      </c>
      <c r="L10415" s="17"/>
    </row>
    <row r="10416" s="11" customFormat="true" ht="10.95" hidden="false" customHeight="true" outlineLevel="0" collapsed="false">
      <c r="A10416" s="16" t="n">
        <v>45261</v>
      </c>
      <c r="B10416" s="17" t="s">
        <v>3861</v>
      </c>
      <c r="C10416" s="17" t="s">
        <v>3752</v>
      </c>
      <c r="D10416" s="17" t="s">
        <v>2903</v>
      </c>
      <c r="E10416" s="17" t="s">
        <v>3629</v>
      </c>
      <c r="F10416" s="17" t="s">
        <v>3193</v>
      </c>
      <c r="G10416" s="18" t="n">
        <v>0</v>
      </c>
      <c r="H10416" s="18" t="n">
        <v>8970.2</v>
      </c>
      <c r="I10416" s="18" t="n">
        <f aca="false">((I10415 + G10416) - H10416)</f>
        <v>42465.8899999999</v>
      </c>
      <c r="J10416" s="18" t="n">
        <v>0</v>
      </c>
      <c r="K10416" s="19" t="n">
        <v>0</v>
      </c>
      <c r="L10416" s="17"/>
    </row>
    <row r="10417" s="11" customFormat="true" ht="10.95" hidden="false" customHeight="true" outlineLevel="0" collapsed="false">
      <c r="A10417" s="16" t="n">
        <v>45262</v>
      </c>
      <c r="B10417" s="17" t="s">
        <v>3861</v>
      </c>
      <c r="C10417" s="17" t="s">
        <v>3752</v>
      </c>
      <c r="D10417" s="17" t="s">
        <v>1407</v>
      </c>
      <c r="E10417" s="17" t="s">
        <v>3862</v>
      </c>
      <c r="F10417" s="17" t="s">
        <v>1328</v>
      </c>
      <c r="G10417" s="18" t="n">
        <v>0</v>
      </c>
      <c r="H10417" s="18" t="n">
        <v>55.57</v>
      </c>
      <c r="I10417" s="18" t="n">
        <f aca="false">((I10416 + G10417) - H10417)</f>
        <v>42410.3199999999</v>
      </c>
      <c r="J10417" s="18" t="n">
        <v>0</v>
      </c>
      <c r="K10417" s="19" t="n">
        <v>0</v>
      </c>
      <c r="L10417" s="17"/>
    </row>
    <row r="10418" s="11" customFormat="true" ht="10.95" hidden="false" customHeight="true" outlineLevel="0" collapsed="false">
      <c r="A10418" s="16" t="n">
        <v>45262</v>
      </c>
      <c r="B10418" s="17" t="s">
        <v>3861</v>
      </c>
      <c r="C10418" s="17" t="s">
        <v>3752</v>
      </c>
      <c r="D10418" s="17" t="s">
        <v>2895</v>
      </c>
      <c r="E10418" s="17" t="s">
        <v>2964</v>
      </c>
      <c r="F10418" s="17" t="s">
        <v>1328</v>
      </c>
      <c r="G10418" s="18" t="n">
        <v>1552.03</v>
      </c>
      <c r="H10418" s="18" t="n">
        <v>0</v>
      </c>
      <c r="I10418" s="18" t="n">
        <f aca="false">((I10417 + G10418) - H10418)</f>
        <v>43962.3499999999</v>
      </c>
      <c r="J10418" s="18" t="n">
        <v>0</v>
      </c>
      <c r="K10418" s="19" t="n">
        <v>0</v>
      </c>
      <c r="L10418" s="17"/>
    </row>
    <row r="10419" s="11" customFormat="true" ht="10.95" hidden="false" customHeight="true" outlineLevel="0" collapsed="false">
      <c r="A10419" s="16" t="n">
        <v>45262</v>
      </c>
      <c r="B10419" s="17" t="s">
        <v>3861</v>
      </c>
      <c r="C10419" s="17" t="s">
        <v>3752</v>
      </c>
      <c r="D10419" s="17" t="s">
        <v>1276</v>
      </c>
      <c r="E10419" s="17" t="s">
        <v>3506</v>
      </c>
      <c r="F10419" s="17" t="s">
        <v>1328</v>
      </c>
      <c r="G10419" s="18" t="n">
        <v>27.58</v>
      </c>
      <c r="H10419" s="18" t="n">
        <v>0</v>
      </c>
      <c r="I10419" s="18" t="n">
        <f aca="false">((I10418 + G10419) - H10419)</f>
        <v>43989.9299999999</v>
      </c>
      <c r="J10419" s="18" t="n">
        <v>0</v>
      </c>
      <c r="K10419" s="19" t="n">
        <v>0</v>
      </c>
      <c r="L10419" s="17"/>
    </row>
    <row r="10420" s="11" customFormat="true" ht="10.95" hidden="false" customHeight="true" outlineLevel="0" collapsed="false">
      <c r="A10420" s="16" t="n">
        <v>45262</v>
      </c>
      <c r="B10420" s="17" t="s">
        <v>3861</v>
      </c>
      <c r="C10420" s="17" t="s">
        <v>3752</v>
      </c>
      <c r="D10420" s="17" t="s">
        <v>2895</v>
      </c>
      <c r="E10420" s="17" t="s">
        <v>3391</v>
      </c>
      <c r="F10420" s="17" t="s">
        <v>4136</v>
      </c>
      <c r="G10420" s="18" t="n">
        <v>1100.06</v>
      </c>
      <c r="H10420" s="18" t="n">
        <v>0</v>
      </c>
      <c r="I10420" s="18" t="n">
        <f aca="false">((I10419 + G10420) - H10420)</f>
        <v>45089.9899999999</v>
      </c>
      <c r="J10420" s="18" t="n">
        <v>0</v>
      </c>
      <c r="K10420" s="19" t="n">
        <v>0</v>
      </c>
      <c r="L10420" s="17"/>
    </row>
    <row r="10421" s="11" customFormat="true" ht="10.95" hidden="false" customHeight="true" outlineLevel="0" collapsed="false">
      <c r="A10421" s="16" t="n">
        <v>45262</v>
      </c>
      <c r="B10421" s="17" t="s">
        <v>3861</v>
      </c>
      <c r="C10421" s="17" t="s">
        <v>3752</v>
      </c>
      <c r="D10421" s="17" t="s">
        <v>1407</v>
      </c>
      <c r="E10421" s="17" t="s">
        <v>3863</v>
      </c>
      <c r="F10421" s="17"/>
      <c r="G10421" s="18" t="n">
        <v>0</v>
      </c>
      <c r="H10421" s="18" t="n">
        <v>0.68</v>
      </c>
      <c r="I10421" s="18" t="n">
        <f aca="false">((I10420 + G10421) - H10421)</f>
        <v>45089.3099999999</v>
      </c>
      <c r="J10421" s="18" t="n">
        <v>0</v>
      </c>
      <c r="K10421" s="19" t="n">
        <v>0</v>
      </c>
      <c r="L10421" s="17"/>
    </row>
    <row r="10422" s="11" customFormat="true" ht="10.95" hidden="false" customHeight="true" outlineLevel="0" collapsed="false">
      <c r="A10422" s="16" t="n">
        <v>45262</v>
      </c>
      <c r="B10422" s="17" t="s">
        <v>3861</v>
      </c>
      <c r="C10422" s="17" t="s">
        <v>3752</v>
      </c>
      <c r="D10422" s="17" t="s">
        <v>1407</v>
      </c>
      <c r="E10422" s="17" t="s">
        <v>3771</v>
      </c>
      <c r="F10422" s="17"/>
      <c r="G10422" s="18" t="n">
        <v>0</v>
      </c>
      <c r="H10422" s="18" t="n">
        <v>22.7</v>
      </c>
      <c r="I10422" s="18" t="n">
        <f aca="false">((I10421 + G10422) - H10422)</f>
        <v>45066.6099999999</v>
      </c>
      <c r="J10422" s="18" t="n">
        <v>0</v>
      </c>
      <c r="K10422" s="19" t="n">
        <v>0</v>
      </c>
      <c r="L10422" s="17"/>
    </row>
    <row r="10423" s="11" customFormat="true" ht="10.95" hidden="false" customHeight="true" outlineLevel="0" collapsed="false">
      <c r="A10423" s="16" t="n">
        <v>45264</v>
      </c>
      <c r="B10423" s="17" t="s">
        <v>3861</v>
      </c>
      <c r="C10423" s="17" t="s">
        <v>3752</v>
      </c>
      <c r="D10423" s="17" t="s">
        <v>2895</v>
      </c>
      <c r="E10423" s="17" t="s">
        <v>2922</v>
      </c>
      <c r="F10423" s="17" t="s">
        <v>2979</v>
      </c>
      <c r="G10423" s="18" t="n">
        <v>6787.83</v>
      </c>
      <c r="H10423" s="18" t="n">
        <v>0</v>
      </c>
      <c r="I10423" s="18" t="n">
        <f aca="false">((I10422 + G10423) - H10423)</f>
        <v>51854.4399999999</v>
      </c>
      <c r="J10423" s="18" t="n">
        <v>0</v>
      </c>
      <c r="K10423" s="19" t="n">
        <v>0</v>
      </c>
      <c r="L10423" s="17"/>
    </row>
    <row r="10424" s="11" customFormat="true" ht="10.95" hidden="false" customHeight="true" outlineLevel="0" collapsed="false">
      <c r="A10424" s="16" t="n">
        <v>45264</v>
      </c>
      <c r="B10424" s="17" t="s">
        <v>3861</v>
      </c>
      <c r="C10424" s="17" t="s">
        <v>3752</v>
      </c>
      <c r="D10424" s="17" t="s">
        <v>2895</v>
      </c>
      <c r="E10424" s="17" t="s">
        <v>2922</v>
      </c>
      <c r="F10424" s="17" t="s">
        <v>3001</v>
      </c>
      <c r="G10424" s="18" t="n">
        <v>9430.61</v>
      </c>
      <c r="H10424" s="18" t="n">
        <v>0</v>
      </c>
      <c r="I10424" s="18" t="n">
        <f aca="false">((I10423 + G10424) - H10424)</f>
        <v>61285.0499999999</v>
      </c>
      <c r="J10424" s="18" t="n">
        <v>0</v>
      </c>
      <c r="K10424" s="19" t="n">
        <v>0</v>
      </c>
      <c r="L10424" s="17"/>
    </row>
    <row r="10425" s="11" customFormat="true" ht="10.95" hidden="false" customHeight="true" outlineLevel="0" collapsed="false">
      <c r="A10425" s="16" t="n">
        <v>45264</v>
      </c>
      <c r="B10425" s="17" t="s">
        <v>3861</v>
      </c>
      <c r="C10425" s="17" t="s">
        <v>3752</v>
      </c>
      <c r="D10425" s="17" t="s">
        <v>1407</v>
      </c>
      <c r="E10425" s="17" t="s">
        <v>3960</v>
      </c>
      <c r="F10425" s="17"/>
      <c r="G10425" s="18" t="n">
        <v>0</v>
      </c>
      <c r="H10425" s="18" t="n">
        <v>3317.64</v>
      </c>
      <c r="I10425" s="18" t="n">
        <f aca="false">((I10424 + G10425) - H10425)</f>
        <v>57967.4099999999</v>
      </c>
      <c r="J10425" s="18" t="n">
        <v>0</v>
      </c>
      <c r="K10425" s="19" t="n">
        <v>0</v>
      </c>
      <c r="L10425" s="17"/>
    </row>
    <row r="10426" s="11" customFormat="true" ht="10.95" hidden="false" customHeight="true" outlineLevel="0" collapsed="false">
      <c r="A10426" s="16" t="n">
        <v>45264</v>
      </c>
      <c r="B10426" s="17" t="s">
        <v>3861</v>
      </c>
      <c r="C10426" s="17" t="s">
        <v>3752</v>
      </c>
      <c r="D10426" s="17" t="s">
        <v>3753</v>
      </c>
      <c r="E10426" s="17" t="s">
        <v>3806</v>
      </c>
      <c r="F10426" s="17"/>
      <c r="G10426" s="18" t="n">
        <v>0</v>
      </c>
      <c r="H10426" s="18" t="n">
        <v>12189.2</v>
      </c>
      <c r="I10426" s="18" t="n">
        <f aca="false">((I10425 + G10426) - H10426)</f>
        <v>45778.2099999999</v>
      </c>
      <c r="J10426" s="18" t="n">
        <v>0</v>
      </c>
      <c r="K10426" s="19" t="n">
        <v>0</v>
      </c>
      <c r="L10426" s="17"/>
    </row>
    <row r="10427" s="11" customFormat="true" ht="10.95" hidden="false" customHeight="true" outlineLevel="0" collapsed="false">
      <c r="A10427" s="16" t="n">
        <v>45264</v>
      </c>
      <c r="B10427" s="17" t="s">
        <v>3861</v>
      </c>
      <c r="C10427" s="17" t="s">
        <v>3752</v>
      </c>
      <c r="D10427" s="17" t="s">
        <v>1407</v>
      </c>
      <c r="E10427" s="17" t="s">
        <v>3742</v>
      </c>
      <c r="F10427" s="17" t="s">
        <v>1691</v>
      </c>
      <c r="G10427" s="18" t="n">
        <v>0</v>
      </c>
      <c r="H10427" s="18" t="n">
        <v>10606.26</v>
      </c>
      <c r="I10427" s="18" t="n">
        <f aca="false">((I10426 + G10427) - H10427)</f>
        <v>35171.9499999999</v>
      </c>
      <c r="J10427" s="18" t="n">
        <v>0</v>
      </c>
      <c r="K10427" s="19" t="n">
        <v>0</v>
      </c>
      <c r="L10427" s="17"/>
    </row>
    <row r="10428" s="11" customFormat="true" ht="10.95" hidden="false" customHeight="true" outlineLevel="0" collapsed="false">
      <c r="A10428" s="16" t="n">
        <v>45265</v>
      </c>
      <c r="B10428" s="17" t="s">
        <v>3861</v>
      </c>
      <c r="C10428" s="17" t="s">
        <v>3752</v>
      </c>
      <c r="D10428" s="17" t="s">
        <v>3814</v>
      </c>
      <c r="E10428" s="17" t="s">
        <v>3815</v>
      </c>
      <c r="F10428" s="17"/>
      <c r="G10428" s="18" t="n">
        <v>0</v>
      </c>
      <c r="H10428" s="18" t="n">
        <v>0.45</v>
      </c>
      <c r="I10428" s="18" t="n">
        <f aca="false">((I10427 + G10428) - H10428)</f>
        <v>35171.4999999999</v>
      </c>
      <c r="J10428" s="18" t="n">
        <v>0</v>
      </c>
      <c r="K10428" s="19" t="n">
        <v>0</v>
      </c>
      <c r="L10428" s="17"/>
    </row>
    <row r="10429" s="11" customFormat="true" ht="10.95" hidden="false" customHeight="true" outlineLevel="0" collapsed="false">
      <c r="A10429" s="16" t="n">
        <v>45265</v>
      </c>
      <c r="B10429" s="17" t="s">
        <v>3861</v>
      </c>
      <c r="C10429" s="17" t="s">
        <v>3752</v>
      </c>
      <c r="D10429" s="17" t="s">
        <v>1407</v>
      </c>
      <c r="E10429" s="17" t="s">
        <v>3863</v>
      </c>
      <c r="F10429" s="17"/>
      <c r="G10429" s="18" t="n">
        <v>0</v>
      </c>
      <c r="H10429" s="18" t="n">
        <v>1.17</v>
      </c>
      <c r="I10429" s="18" t="n">
        <f aca="false">((I10428 + G10429) - H10429)</f>
        <v>35170.3299999999</v>
      </c>
      <c r="J10429" s="18" t="n">
        <v>0</v>
      </c>
      <c r="K10429" s="19" t="n">
        <v>0</v>
      </c>
      <c r="L10429" s="17"/>
    </row>
    <row r="10430" s="11" customFormat="true" ht="10.95" hidden="false" customHeight="true" outlineLevel="0" collapsed="false">
      <c r="A10430" s="16" t="n">
        <v>45265</v>
      </c>
      <c r="B10430" s="17" t="s">
        <v>3861</v>
      </c>
      <c r="C10430" s="17" t="s">
        <v>3752</v>
      </c>
      <c r="D10430" s="17" t="s">
        <v>1407</v>
      </c>
      <c r="E10430" s="17" t="s">
        <v>3863</v>
      </c>
      <c r="F10430" s="17"/>
      <c r="G10430" s="18" t="n">
        <v>0</v>
      </c>
      <c r="H10430" s="18" t="n">
        <v>5.42</v>
      </c>
      <c r="I10430" s="18" t="n">
        <f aca="false">((I10429 + G10430) - H10430)</f>
        <v>35164.9099999999</v>
      </c>
      <c r="J10430" s="18" t="n">
        <v>0</v>
      </c>
      <c r="K10430" s="19" t="n">
        <v>0</v>
      </c>
      <c r="L10430" s="17"/>
    </row>
    <row r="10431" s="11" customFormat="true" ht="10.95" hidden="false" customHeight="true" outlineLevel="0" collapsed="false">
      <c r="A10431" s="16" t="n">
        <v>45265</v>
      </c>
      <c r="B10431" s="17" t="s">
        <v>3861</v>
      </c>
      <c r="C10431" s="17" t="s">
        <v>3752</v>
      </c>
      <c r="D10431" s="17" t="s">
        <v>2903</v>
      </c>
      <c r="E10431" s="17" t="s">
        <v>3652</v>
      </c>
      <c r="F10431" s="17" t="s">
        <v>2391</v>
      </c>
      <c r="G10431" s="18" t="n">
        <v>0</v>
      </c>
      <c r="H10431" s="18" t="n">
        <v>248</v>
      </c>
      <c r="I10431" s="18" t="n">
        <f aca="false">((I10430 + G10431) - H10431)</f>
        <v>34916.9099999999</v>
      </c>
      <c r="J10431" s="18" t="n">
        <v>0</v>
      </c>
      <c r="K10431" s="19" t="n">
        <v>0</v>
      </c>
      <c r="L10431" s="17"/>
    </row>
    <row r="10432" s="11" customFormat="true" ht="10.95" hidden="false" customHeight="true" outlineLevel="0" collapsed="false">
      <c r="A10432" s="16" t="n">
        <v>45265</v>
      </c>
      <c r="B10432" s="17" t="s">
        <v>3861</v>
      </c>
      <c r="C10432" s="17" t="s">
        <v>3752</v>
      </c>
      <c r="D10432" s="17" t="s">
        <v>2903</v>
      </c>
      <c r="E10432" s="17" t="s">
        <v>3631</v>
      </c>
      <c r="F10432" s="17" t="s">
        <v>3278</v>
      </c>
      <c r="G10432" s="18" t="n">
        <v>0</v>
      </c>
      <c r="H10432" s="18" t="n">
        <v>1008.52</v>
      </c>
      <c r="I10432" s="18" t="n">
        <f aca="false">((I10431 + G10432) - H10432)</f>
        <v>33908.3899999999</v>
      </c>
      <c r="J10432" s="18" t="n">
        <v>0</v>
      </c>
      <c r="K10432" s="19" t="n">
        <v>0</v>
      </c>
      <c r="L10432" s="17"/>
    </row>
    <row r="10433" s="11" customFormat="true" ht="10.95" hidden="false" customHeight="true" outlineLevel="0" collapsed="false">
      <c r="A10433" s="16" t="n">
        <v>45265</v>
      </c>
      <c r="B10433" s="17" t="s">
        <v>3861</v>
      </c>
      <c r="C10433" s="17" t="s">
        <v>3752</v>
      </c>
      <c r="D10433" s="17" t="s">
        <v>1407</v>
      </c>
      <c r="E10433" s="17" t="s">
        <v>3878</v>
      </c>
      <c r="F10433" s="17"/>
      <c r="G10433" s="18" t="n">
        <v>0</v>
      </c>
      <c r="H10433" s="18" t="n">
        <v>1188.2</v>
      </c>
      <c r="I10433" s="18" t="n">
        <f aca="false">((I10432 + G10433) - H10433)</f>
        <v>32720.1899999999</v>
      </c>
      <c r="J10433" s="18" t="n">
        <v>0</v>
      </c>
      <c r="K10433" s="19" t="n">
        <v>0</v>
      </c>
      <c r="L10433" s="17"/>
    </row>
    <row r="10434" s="11" customFormat="true" ht="10.95" hidden="false" customHeight="true" outlineLevel="0" collapsed="false">
      <c r="A10434" s="16" t="n">
        <v>45265</v>
      </c>
      <c r="B10434" s="17" t="s">
        <v>3861</v>
      </c>
      <c r="C10434" s="17" t="s">
        <v>3752</v>
      </c>
      <c r="D10434" s="17" t="s">
        <v>1407</v>
      </c>
      <c r="E10434" s="17" t="s">
        <v>3906</v>
      </c>
      <c r="F10434" s="17"/>
      <c r="G10434" s="18" t="n">
        <v>0</v>
      </c>
      <c r="H10434" s="18" t="n">
        <v>39.05</v>
      </c>
      <c r="I10434" s="18" t="n">
        <f aca="false">((I10433 + G10434) - H10434)</f>
        <v>32681.1399999999</v>
      </c>
      <c r="J10434" s="18" t="n">
        <v>0</v>
      </c>
      <c r="K10434" s="19" t="n">
        <v>0</v>
      </c>
      <c r="L10434" s="17"/>
    </row>
    <row r="10435" s="11" customFormat="true" ht="10.95" hidden="false" customHeight="true" outlineLevel="0" collapsed="false">
      <c r="A10435" s="16" t="n">
        <v>45265</v>
      </c>
      <c r="B10435" s="17" t="s">
        <v>3861</v>
      </c>
      <c r="C10435" s="17" t="s">
        <v>3752</v>
      </c>
      <c r="D10435" s="17" t="s">
        <v>2903</v>
      </c>
      <c r="E10435" s="17" t="s">
        <v>2963</v>
      </c>
      <c r="F10435" s="17" t="s">
        <v>2668</v>
      </c>
      <c r="G10435" s="18" t="n">
        <v>0</v>
      </c>
      <c r="H10435" s="18" t="n">
        <v>180.56</v>
      </c>
      <c r="I10435" s="18" t="n">
        <f aca="false">((I10434 + G10435) - H10435)</f>
        <v>32500.5799999999</v>
      </c>
      <c r="J10435" s="18" t="n">
        <v>0</v>
      </c>
      <c r="K10435" s="19" t="n">
        <v>0</v>
      </c>
      <c r="L10435" s="17"/>
    </row>
    <row r="10436" s="11" customFormat="true" ht="10.95" hidden="false" customHeight="true" outlineLevel="0" collapsed="false">
      <c r="A10436" s="16" t="n">
        <v>45265</v>
      </c>
      <c r="B10436" s="17" t="s">
        <v>3861</v>
      </c>
      <c r="C10436" s="17" t="s">
        <v>3752</v>
      </c>
      <c r="D10436" s="17" t="s">
        <v>1407</v>
      </c>
      <c r="E10436" s="17" t="s">
        <v>3881</v>
      </c>
      <c r="F10436" s="17"/>
      <c r="G10436" s="18" t="n">
        <v>0</v>
      </c>
      <c r="H10436" s="18" t="n">
        <v>1000</v>
      </c>
      <c r="I10436" s="18" t="n">
        <f aca="false">((I10435 + G10436) - H10436)</f>
        <v>31500.5799999999</v>
      </c>
      <c r="J10436" s="18" t="n">
        <v>0</v>
      </c>
      <c r="K10436" s="19" t="n">
        <v>0</v>
      </c>
      <c r="L10436" s="17"/>
    </row>
    <row r="10437" s="11" customFormat="true" ht="10.95" hidden="false" customHeight="true" outlineLevel="0" collapsed="false">
      <c r="A10437" s="16" t="n">
        <v>45265</v>
      </c>
      <c r="B10437" s="17" t="s">
        <v>3861</v>
      </c>
      <c r="C10437" s="17" t="s">
        <v>3752</v>
      </c>
      <c r="D10437" s="17" t="s">
        <v>1407</v>
      </c>
      <c r="E10437" s="17" t="s">
        <v>4137</v>
      </c>
      <c r="F10437" s="17"/>
      <c r="G10437" s="18" t="n">
        <v>0</v>
      </c>
      <c r="H10437" s="18" t="n">
        <v>394.74</v>
      </c>
      <c r="I10437" s="18" t="n">
        <f aca="false">((I10436 + G10437) - H10437)</f>
        <v>31105.8399999999</v>
      </c>
      <c r="J10437" s="18" t="n">
        <v>0</v>
      </c>
      <c r="K10437" s="19" t="n">
        <v>0</v>
      </c>
      <c r="L10437" s="17"/>
    </row>
    <row r="10438" s="11" customFormat="true" ht="10.95" hidden="false" customHeight="true" outlineLevel="0" collapsed="false">
      <c r="A10438" s="16" t="n">
        <v>45265</v>
      </c>
      <c r="B10438" s="17" t="s">
        <v>3861</v>
      </c>
      <c r="C10438" s="17" t="s">
        <v>3752</v>
      </c>
      <c r="D10438" s="17" t="s">
        <v>2903</v>
      </c>
      <c r="E10438" s="17" t="s">
        <v>3657</v>
      </c>
      <c r="F10438" s="17" t="s">
        <v>2396</v>
      </c>
      <c r="G10438" s="18" t="n">
        <v>0</v>
      </c>
      <c r="H10438" s="18" t="n">
        <v>78.1</v>
      </c>
      <c r="I10438" s="18" t="n">
        <f aca="false">((I10437 + G10438) - H10438)</f>
        <v>31027.7399999999</v>
      </c>
      <c r="J10438" s="18" t="n">
        <v>0</v>
      </c>
      <c r="K10438" s="19" t="n">
        <v>0</v>
      </c>
      <c r="L10438" s="17"/>
    </row>
    <row r="10439" s="11" customFormat="true" ht="10.95" hidden="false" customHeight="true" outlineLevel="0" collapsed="false">
      <c r="A10439" s="16" t="n">
        <v>45265</v>
      </c>
      <c r="B10439" s="17" t="s">
        <v>3861</v>
      </c>
      <c r="C10439" s="17" t="s">
        <v>3752</v>
      </c>
      <c r="D10439" s="17" t="s">
        <v>2903</v>
      </c>
      <c r="E10439" s="17" t="s">
        <v>3652</v>
      </c>
      <c r="F10439" s="17" t="s">
        <v>2394</v>
      </c>
      <c r="G10439" s="18" t="n">
        <v>0</v>
      </c>
      <c r="H10439" s="18" t="n">
        <v>152.15</v>
      </c>
      <c r="I10439" s="18" t="n">
        <f aca="false">((I10438 + G10439) - H10439)</f>
        <v>30875.5899999999</v>
      </c>
      <c r="J10439" s="18" t="n">
        <v>0</v>
      </c>
      <c r="K10439" s="19" t="n">
        <v>0</v>
      </c>
      <c r="L10439" s="17"/>
    </row>
    <row r="10440" s="11" customFormat="true" ht="10.95" hidden="false" customHeight="true" outlineLevel="0" collapsed="false">
      <c r="A10440" s="16" t="n">
        <v>45265</v>
      </c>
      <c r="B10440" s="17" t="s">
        <v>3861</v>
      </c>
      <c r="C10440" s="17" t="s">
        <v>3752</v>
      </c>
      <c r="D10440" s="17" t="s">
        <v>2895</v>
      </c>
      <c r="E10440" s="17" t="s">
        <v>2900</v>
      </c>
      <c r="F10440" s="17" t="s">
        <v>3002</v>
      </c>
      <c r="G10440" s="18" t="n">
        <v>2151.57</v>
      </c>
      <c r="H10440" s="18" t="n">
        <v>0</v>
      </c>
      <c r="I10440" s="18" t="n">
        <f aca="false">((I10439 + G10440) - H10440)</f>
        <v>33027.1599999999</v>
      </c>
      <c r="J10440" s="18" t="n">
        <v>0</v>
      </c>
      <c r="K10440" s="19" t="n">
        <v>0</v>
      </c>
      <c r="L10440" s="17"/>
    </row>
    <row r="10441" s="11" customFormat="true" ht="10.95" hidden="false" customHeight="true" outlineLevel="0" collapsed="false">
      <c r="A10441" s="16" t="n">
        <v>45265</v>
      </c>
      <c r="B10441" s="17" t="s">
        <v>3861</v>
      </c>
      <c r="C10441" s="17" t="s">
        <v>3752</v>
      </c>
      <c r="D10441" s="17" t="s">
        <v>2895</v>
      </c>
      <c r="E10441" s="17" t="s">
        <v>2900</v>
      </c>
      <c r="F10441" s="17" t="s">
        <v>3003</v>
      </c>
      <c r="G10441" s="18" t="n">
        <v>1005.74</v>
      </c>
      <c r="H10441" s="18" t="n">
        <v>0</v>
      </c>
      <c r="I10441" s="18" t="n">
        <f aca="false">((I10440 + G10441) - H10441)</f>
        <v>34032.8999999999</v>
      </c>
      <c r="J10441" s="18" t="n">
        <v>0</v>
      </c>
      <c r="K10441" s="19" t="n">
        <v>0</v>
      </c>
      <c r="L10441" s="17"/>
    </row>
    <row r="10442" s="11" customFormat="true" ht="10.95" hidden="false" customHeight="true" outlineLevel="0" collapsed="false">
      <c r="A10442" s="16" t="n">
        <v>45265</v>
      </c>
      <c r="B10442" s="17" t="s">
        <v>3861</v>
      </c>
      <c r="C10442" s="17" t="s">
        <v>3752</v>
      </c>
      <c r="D10442" s="17" t="s">
        <v>2895</v>
      </c>
      <c r="E10442" s="17" t="s">
        <v>2900</v>
      </c>
      <c r="F10442" s="17" t="s">
        <v>3004</v>
      </c>
      <c r="G10442" s="18" t="n">
        <v>131.85</v>
      </c>
      <c r="H10442" s="18" t="n">
        <v>0</v>
      </c>
      <c r="I10442" s="18" t="n">
        <f aca="false">((I10441 + G10442) - H10442)</f>
        <v>34164.7499999999</v>
      </c>
      <c r="J10442" s="18" t="n">
        <v>0</v>
      </c>
      <c r="K10442" s="19" t="n">
        <v>0</v>
      </c>
      <c r="L10442" s="17"/>
    </row>
    <row r="10443" s="11" customFormat="true" ht="10.95" hidden="false" customHeight="true" outlineLevel="0" collapsed="false">
      <c r="A10443" s="16" t="n">
        <v>45265</v>
      </c>
      <c r="B10443" s="17" t="s">
        <v>3861</v>
      </c>
      <c r="C10443" s="17" t="s">
        <v>3752</v>
      </c>
      <c r="D10443" s="17" t="s">
        <v>2895</v>
      </c>
      <c r="E10443" s="17" t="s">
        <v>2900</v>
      </c>
      <c r="F10443" s="17" t="s">
        <v>3005</v>
      </c>
      <c r="G10443" s="18" t="n">
        <v>996.58</v>
      </c>
      <c r="H10443" s="18" t="n">
        <v>0</v>
      </c>
      <c r="I10443" s="18" t="n">
        <f aca="false">((I10442 + G10443) - H10443)</f>
        <v>35161.3299999999</v>
      </c>
      <c r="J10443" s="18" t="n">
        <v>0</v>
      </c>
      <c r="K10443" s="19" t="n">
        <v>0</v>
      </c>
      <c r="L10443" s="17"/>
    </row>
    <row r="10444" s="11" customFormat="true" ht="10.95" hidden="false" customHeight="true" outlineLevel="0" collapsed="false">
      <c r="A10444" s="16" t="n">
        <v>45266</v>
      </c>
      <c r="B10444" s="17" t="s">
        <v>3861</v>
      </c>
      <c r="C10444" s="17" t="s">
        <v>3752</v>
      </c>
      <c r="D10444" s="17" t="s">
        <v>2895</v>
      </c>
      <c r="E10444" s="17" t="s">
        <v>2934</v>
      </c>
      <c r="F10444" s="17" t="s">
        <v>3006</v>
      </c>
      <c r="G10444" s="18" t="n">
        <v>5788.74</v>
      </c>
      <c r="H10444" s="18" t="n">
        <v>0</v>
      </c>
      <c r="I10444" s="18" t="n">
        <f aca="false">((I10443 + G10444) - H10444)</f>
        <v>40950.0699999999</v>
      </c>
      <c r="J10444" s="18" t="n">
        <v>0</v>
      </c>
      <c r="K10444" s="19" t="n">
        <v>0</v>
      </c>
      <c r="L10444" s="17"/>
    </row>
    <row r="10445" s="11" customFormat="true" ht="10.95" hidden="false" customHeight="true" outlineLevel="0" collapsed="false">
      <c r="A10445" s="16" t="n">
        <v>45266</v>
      </c>
      <c r="B10445" s="17" t="s">
        <v>3861</v>
      </c>
      <c r="C10445" s="17" t="s">
        <v>3752</v>
      </c>
      <c r="D10445" s="17" t="s">
        <v>2895</v>
      </c>
      <c r="E10445" s="17" t="s">
        <v>3389</v>
      </c>
      <c r="F10445" s="17" t="s">
        <v>4138</v>
      </c>
      <c r="G10445" s="18" t="n">
        <v>5236</v>
      </c>
      <c r="H10445" s="18" t="n">
        <v>0</v>
      </c>
      <c r="I10445" s="18" t="n">
        <f aca="false">((I10444 + G10445) - H10445)</f>
        <v>46186.0699999999</v>
      </c>
      <c r="J10445" s="18" t="n">
        <v>0</v>
      </c>
      <c r="K10445" s="19" t="n">
        <v>0</v>
      </c>
      <c r="L10445" s="17"/>
    </row>
    <row r="10446" s="11" customFormat="true" ht="10.95" hidden="false" customHeight="true" outlineLevel="0" collapsed="false">
      <c r="A10446" s="16" t="n">
        <v>45266</v>
      </c>
      <c r="B10446" s="17" t="s">
        <v>3861</v>
      </c>
      <c r="C10446" s="17" t="s">
        <v>3752</v>
      </c>
      <c r="D10446" s="17" t="s">
        <v>2895</v>
      </c>
      <c r="E10446" s="17" t="s">
        <v>2906</v>
      </c>
      <c r="F10446" s="17" t="s">
        <v>3007</v>
      </c>
      <c r="G10446" s="18" t="n">
        <v>3082</v>
      </c>
      <c r="H10446" s="18" t="n">
        <v>0</v>
      </c>
      <c r="I10446" s="18" t="n">
        <f aca="false">((I10445 + G10446) - H10446)</f>
        <v>49268.0699999999</v>
      </c>
      <c r="J10446" s="18" t="n">
        <v>0</v>
      </c>
      <c r="K10446" s="19" t="n">
        <v>0</v>
      </c>
      <c r="L10446" s="17"/>
    </row>
    <row r="10447" s="11" customFormat="true" ht="10.95" hidden="false" customHeight="true" outlineLevel="0" collapsed="false">
      <c r="A10447" s="16" t="n">
        <v>45266</v>
      </c>
      <c r="B10447" s="17" t="s">
        <v>3861</v>
      </c>
      <c r="C10447" s="17" t="s">
        <v>3752</v>
      </c>
      <c r="D10447" s="17" t="s">
        <v>1407</v>
      </c>
      <c r="E10447" s="17" t="s">
        <v>3881</v>
      </c>
      <c r="F10447" s="17"/>
      <c r="G10447" s="18" t="n">
        <v>0</v>
      </c>
      <c r="H10447" s="18" t="n">
        <v>140</v>
      </c>
      <c r="I10447" s="18" t="n">
        <f aca="false">((I10446 + G10447) - H10447)</f>
        <v>49128.0699999999</v>
      </c>
      <c r="J10447" s="18" t="n">
        <v>0</v>
      </c>
      <c r="K10447" s="19" t="n">
        <v>0</v>
      </c>
      <c r="L10447" s="17"/>
    </row>
    <row r="10448" s="11" customFormat="true" ht="10.95" hidden="false" customHeight="true" outlineLevel="0" collapsed="false">
      <c r="A10448" s="16" t="n">
        <v>45266</v>
      </c>
      <c r="B10448" s="17" t="s">
        <v>3861</v>
      </c>
      <c r="C10448" s="17" t="s">
        <v>3752</v>
      </c>
      <c r="D10448" s="17" t="s">
        <v>1407</v>
      </c>
      <c r="E10448" s="17" t="s">
        <v>3879</v>
      </c>
      <c r="F10448" s="17"/>
      <c r="G10448" s="18" t="n">
        <v>0</v>
      </c>
      <c r="H10448" s="18" t="n">
        <v>400</v>
      </c>
      <c r="I10448" s="18" t="n">
        <f aca="false">((I10447 + G10448) - H10448)</f>
        <v>48728.0699999999</v>
      </c>
      <c r="J10448" s="18" t="n">
        <v>0</v>
      </c>
      <c r="K10448" s="19" t="n">
        <v>0</v>
      </c>
      <c r="L10448" s="17"/>
    </row>
    <row r="10449" s="11" customFormat="true" ht="10.95" hidden="false" customHeight="true" outlineLevel="0" collapsed="false">
      <c r="A10449" s="16" t="n">
        <v>45266</v>
      </c>
      <c r="B10449" s="17" t="s">
        <v>3861</v>
      </c>
      <c r="C10449" s="17" t="s">
        <v>3752</v>
      </c>
      <c r="D10449" s="17" t="s">
        <v>1407</v>
      </c>
      <c r="E10449" s="17" t="s">
        <v>3879</v>
      </c>
      <c r="F10449" s="17"/>
      <c r="G10449" s="18" t="n">
        <v>0</v>
      </c>
      <c r="H10449" s="18" t="n">
        <v>1207</v>
      </c>
      <c r="I10449" s="18" t="n">
        <f aca="false">((I10448 + G10449) - H10449)</f>
        <v>47521.0699999999</v>
      </c>
      <c r="J10449" s="18" t="n">
        <v>0</v>
      </c>
      <c r="K10449" s="19" t="n">
        <v>0</v>
      </c>
      <c r="L10449" s="17"/>
    </row>
    <row r="10450" s="11" customFormat="true" ht="10.95" hidden="false" customHeight="true" outlineLevel="0" collapsed="false">
      <c r="A10450" s="16" t="n">
        <v>45266</v>
      </c>
      <c r="B10450" s="17" t="s">
        <v>3861</v>
      </c>
      <c r="C10450" s="17" t="s">
        <v>3752</v>
      </c>
      <c r="D10450" s="17" t="s">
        <v>1407</v>
      </c>
      <c r="E10450" s="17" t="s">
        <v>3880</v>
      </c>
      <c r="F10450" s="17"/>
      <c r="G10450" s="18" t="n">
        <v>0</v>
      </c>
      <c r="H10450" s="18" t="n">
        <v>1207</v>
      </c>
      <c r="I10450" s="18" t="n">
        <f aca="false">((I10449 + G10450) - H10450)</f>
        <v>46314.0699999999</v>
      </c>
      <c r="J10450" s="18" t="n">
        <v>0</v>
      </c>
      <c r="K10450" s="19" t="n">
        <v>0</v>
      </c>
      <c r="L10450" s="17"/>
    </row>
    <row r="10451" s="11" customFormat="true" ht="10.95" hidden="false" customHeight="true" outlineLevel="0" collapsed="false">
      <c r="A10451" s="16" t="n">
        <v>45266</v>
      </c>
      <c r="B10451" s="17" t="s">
        <v>3861</v>
      </c>
      <c r="C10451" s="17" t="s">
        <v>3752</v>
      </c>
      <c r="D10451" s="17" t="s">
        <v>1407</v>
      </c>
      <c r="E10451" s="17" t="s">
        <v>3808</v>
      </c>
      <c r="F10451" s="17"/>
      <c r="G10451" s="18" t="n">
        <v>0</v>
      </c>
      <c r="H10451" s="18" t="n">
        <v>1705.92</v>
      </c>
      <c r="I10451" s="18" t="n">
        <f aca="false">((I10450 + G10451) - H10451)</f>
        <v>44608.1499999999</v>
      </c>
      <c r="J10451" s="18" t="n">
        <v>0</v>
      </c>
      <c r="K10451" s="19" t="n">
        <v>0</v>
      </c>
      <c r="L10451" s="17"/>
    </row>
    <row r="10452" s="11" customFormat="true" ht="10.95" hidden="false" customHeight="true" outlineLevel="0" collapsed="false">
      <c r="A10452" s="16" t="n">
        <v>45266</v>
      </c>
      <c r="B10452" s="17" t="s">
        <v>3861</v>
      </c>
      <c r="C10452" s="17" t="s">
        <v>3752</v>
      </c>
      <c r="D10452" s="17" t="s">
        <v>1407</v>
      </c>
      <c r="E10452" s="17" t="s">
        <v>3888</v>
      </c>
      <c r="F10452" s="17"/>
      <c r="G10452" s="18" t="n">
        <v>0</v>
      </c>
      <c r="H10452" s="18" t="n">
        <v>3217.43</v>
      </c>
      <c r="I10452" s="18" t="n">
        <f aca="false">((I10451 + G10452) - H10452)</f>
        <v>41390.7199999999</v>
      </c>
      <c r="J10452" s="18" t="n">
        <v>0</v>
      </c>
      <c r="K10452" s="19" t="n">
        <v>0</v>
      </c>
      <c r="L10452" s="17"/>
    </row>
    <row r="10453" s="11" customFormat="true" ht="10.95" hidden="false" customHeight="true" outlineLevel="0" collapsed="false">
      <c r="A10453" s="16" t="n">
        <v>45266</v>
      </c>
      <c r="B10453" s="17" t="s">
        <v>3861</v>
      </c>
      <c r="C10453" s="17" t="s">
        <v>3752</v>
      </c>
      <c r="D10453" s="17" t="s">
        <v>2903</v>
      </c>
      <c r="E10453" s="17" t="s">
        <v>3657</v>
      </c>
      <c r="F10453" s="17" t="s">
        <v>1470</v>
      </c>
      <c r="G10453" s="18" t="n">
        <v>0</v>
      </c>
      <c r="H10453" s="18" t="n">
        <v>4929.68</v>
      </c>
      <c r="I10453" s="18" t="n">
        <f aca="false">((I10452 + G10453) - H10453)</f>
        <v>36461.0399999999</v>
      </c>
      <c r="J10453" s="18" t="n">
        <v>0</v>
      </c>
      <c r="K10453" s="19" t="n">
        <v>0</v>
      </c>
      <c r="L10453" s="17"/>
    </row>
    <row r="10454" s="11" customFormat="true" ht="10.95" hidden="false" customHeight="true" outlineLevel="0" collapsed="false">
      <c r="A10454" s="16" t="n">
        <v>45266</v>
      </c>
      <c r="B10454" s="17" t="s">
        <v>3861</v>
      </c>
      <c r="C10454" s="17" t="s">
        <v>3752</v>
      </c>
      <c r="D10454" s="17" t="s">
        <v>1407</v>
      </c>
      <c r="E10454" s="17" t="s">
        <v>3642</v>
      </c>
      <c r="F10454" s="17"/>
      <c r="G10454" s="18" t="n">
        <v>0</v>
      </c>
      <c r="H10454" s="18" t="n">
        <v>20.57</v>
      </c>
      <c r="I10454" s="18" t="n">
        <f aca="false">((I10453 + G10454) - H10454)</f>
        <v>36440.4699999999</v>
      </c>
      <c r="J10454" s="18" t="n">
        <v>0</v>
      </c>
      <c r="K10454" s="19" t="n">
        <v>0</v>
      </c>
      <c r="L10454" s="17"/>
    </row>
    <row r="10455" s="11" customFormat="true" ht="10.95" hidden="false" customHeight="true" outlineLevel="0" collapsed="false">
      <c r="A10455" s="16" t="n">
        <v>45267</v>
      </c>
      <c r="B10455" s="17" t="s">
        <v>3861</v>
      </c>
      <c r="C10455" s="17" t="s">
        <v>3752</v>
      </c>
      <c r="D10455" s="17" t="s">
        <v>1407</v>
      </c>
      <c r="E10455" s="17" t="s">
        <v>3863</v>
      </c>
      <c r="F10455" s="17"/>
      <c r="G10455" s="18" t="n">
        <v>0</v>
      </c>
      <c r="H10455" s="18" t="n">
        <v>1.32</v>
      </c>
      <c r="I10455" s="18" t="n">
        <f aca="false">((I10454 + G10455) - H10455)</f>
        <v>36439.1499999999</v>
      </c>
      <c r="J10455" s="18" t="n">
        <v>0</v>
      </c>
      <c r="K10455" s="19" t="n">
        <v>0</v>
      </c>
      <c r="L10455" s="17"/>
    </row>
    <row r="10456" s="11" customFormat="true" ht="10.95" hidden="false" customHeight="true" outlineLevel="0" collapsed="false">
      <c r="A10456" s="16" t="n">
        <v>45267</v>
      </c>
      <c r="B10456" s="17" t="s">
        <v>3861</v>
      </c>
      <c r="C10456" s="17" t="s">
        <v>3752</v>
      </c>
      <c r="D10456" s="17" t="s">
        <v>1407</v>
      </c>
      <c r="E10456" s="17" t="s">
        <v>3863</v>
      </c>
      <c r="F10456" s="17"/>
      <c r="G10456" s="18" t="n">
        <v>0</v>
      </c>
      <c r="H10456" s="18" t="n">
        <v>7.19</v>
      </c>
      <c r="I10456" s="18" t="n">
        <f aca="false">((I10455 + G10456) - H10456)</f>
        <v>36431.9599999999</v>
      </c>
      <c r="J10456" s="18" t="n">
        <v>0</v>
      </c>
      <c r="K10456" s="19" t="n">
        <v>0</v>
      </c>
      <c r="L10456" s="17"/>
    </row>
    <row r="10457" s="11" customFormat="true" ht="10.95" hidden="false" customHeight="true" outlineLevel="0" collapsed="false">
      <c r="A10457" s="16" t="n">
        <v>45267</v>
      </c>
      <c r="B10457" s="17" t="s">
        <v>3861</v>
      </c>
      <c r="C10457" s="17" t="s">
        <v>3752</v>
      </c>
      <c r="D10457" s="17" t="s">
        <v>1407</v>
      </c>
      <c r="E10457" s="17" t="s">
        <v>3863</v>
      </c>
      <c r="F10457" s="17"/>
      <c r="G10457" s="18" t="n">
        <v>0</v>
      </c>
      <c r="H10457" s="18" t="n">
        <v>7.19</v>
      </c>
      <c r="I10457" s="18" t="n">
        <f aca="false">((I10456 + G10457) - H10457)</f>
        <v>36424.7699999999</v>
      </c>
      <c r="J10457" s="18" t="n">
        <v>0</v>
      </c>
      <c r="K10457" s="19" t="n">
        <v>0</v>
      </c>
      <c r="L10457" s="17"/>
    </row>
    <row r="10458" s="11" customFormat="true" ht="10.95" hidden="false" customHeight="true" outlineLevel="0" collapsed="false">
      <c r="A10458" s="16" t="n">
        <v>45267</v>
      </c>
      <c r="B10458" s="17" t="s">
        <v>3861</v>
      </c>
      <c r="C10458" s="17" t="s">
        <v>3752</v>
      </c>
      <c r="D10458" s="17" t="s">
        <v>1407</v>
      </c>
      <c r="E10458" s="17" t="s">
        <v>3863</v>
      </c>
      <c r="F10458" s="17"/>
      <c r="G10458" s="18" t="n">
        <v>0</v>
      </c>
      <c r="H10458" s="18" t="n">
        <v>7.19</v>
      </c>
      <c r="I10458" s="18" t="n">
        <f aca="false">((I10457 + G10458) - H10458)</f>
        <v>36417.5799999999</v>
      </c>
      <c r="J10458" s="18" t="n">
        <v>0</v>
      </c>
      <c r="K10458" s="19" t="n">
        <v>0</v>
      </c>
      <c r="L10458" s="17"/>
    </row>
    <row r="10459" s="11" customFormat="true" ht="10.95" hidden="false" customHeight="true" outlineLevel="0" collapsed="false">
      <c r="A10459" s="16" t="n">
        <v>45267</v>
      </c>
      <c r="B10459" s="17" t="s">
        <v>3861</v>
      </c>
      <c r="C10459" s="17" t="s">
        <v>3752</v>
      </c>
      <c r="D10459" s="17" t="s">
        <v>1407</v>
      </c>
      <c r="E10459" s="17" t="s">
        <v>3767</v>
      </c>
      <c r="F10459" s="17" t="s">
        <v>2781</v>
      </c>
      <c r="G10459" s="18" t="n">
        <v>0</v>
      </c>
      <c r="H10459" s="18" t="n">
        <v>10</v>
      </c>
      <c r="I10459" s="18" t="n">
        <f aca="false">((I10458 + G10459) - H10459)</f>
        <v>36407.5799999999</v>
      </c>
      <c r="J10459" s="18" t="n">
        <v>0</v>
      </c>
      <c r="K10459" s="19" t="n">
        <v>0</v>
      </c>
      <c r="L10459" s="17"/>
    </row>
    <row r="10460" s="11" customFormat="true" ht="10.95" hidden="false" customHeight="true" outlineLevel="0" collapsed="false">
      <c r="A10460" s="16" t="n">
        <v>45267</v>
      </c>
      <c r="B10460" s="17" t="s">
        <v>3861</v>
      </c>
      <c r="C10460" s="17" t="s">
        <v>3752</v>
      </c>
      <c r="D10460" s="17" t="s">
        <v>1407</v>
      </c>
      <c r="E10460" s="17" t="s">
        <v>3767</v>
      </c>
      <c r="F10460" s="17" t="s">
        <v>2781</v>
      </c>
      <c r="G10460" s="18" t="n">
        <v>0</v>
      </c>
      <c r="H10460" s="18" t="n">
        <v>11.26</v>
      </c>
      <c r="I10460" s="18" t="n">
        <f aca="false">((I10459 + G10460) - H10460)</f>
        <v>36396.3199999999</v>
      </c>
      <c r="J10460" s="18" t="n">
        <v>0</v>
      </c>
      <c r="K10460" s="19" t="n">
        <v>0</v>
      </c>
      <c r="L10460" s="17"/>
    </row>
    <row r="10461" s="11" customFormat="true" ht="10.95" hidden="false" customHeight="true" outlineLevel="0" collapsed="false">
      <c r="A10461" s="16" t="n">
        <v>45267</v>
      </c>
      <c r="B10461" s="17" t="s">
        <v>3861</v>
      </c>
      <c r="C10461" s="17" t="s">
        <v>3752</v>
      </c>
      <c r="D10461" s="17" t="s">
        <v>1407</v>
      </c>
      <c r="E10461" s="17" t="s">
        <v>3863</v>
      </c>
      <c r="F10461" s="17"/>
      <c r="G10461" s="18" t="n">
        <v>0</v>
      </c>
      <c r="H10461" s="18" t="n">
        <v>38.65</v>
      </c>
      <c r="I10461" s="18" t="n">
        <f aca="false">((I10460 + G10461) - H10461)</f>
        <v>36357.6699999999</v>
      </c>
      <c r="J10461" s="18" t="n">
        <v>0</v>
      </c>
      <c r="K10461" s="19" t="n">
        <v>0</v>
      </c>
      <c r="L10461" s="17"/>
    </row>
    <row r="10462" s="11" customFormat="true" ht="10.95" hidden="false" customHeight="true" outlineLevel="0" collapsed="false">
      <c r="A10462" s="16" t="n">
        <v>45267</v>
      </c>
      <c r="B10462" s="17" t="s">
        <v>3861</v>
      </c>
      <c r="C10462" s="17" t="s">
        <v>3752</v>
      </c>
      <c r="D10462" s="17" t="s">
        <v>2903</v>
      </c>
      <c r="E10462" s="17" t="s">
        <v>3640</v>
      </c>
      <c r="F10462" s="17" t="s">
        <v>1642</v>
      </c>
      <c r="G10462" s="18" t="n">
        <v>0</v>
      </c>
      <c r="H10462" s="18" t="n">
        <v>40</v>
      </c>
      <c r="I10462" s="18" t="n">
        <f aca="false">((I10461 + G10462) - H10462)</f>
        <v>36317.6699999999</v>
      </c>
      <c r="J10462" s="18" t="n">
        <v>0</v>
      </c>
      <c r="K10462" s="19" t="n">
        <v>0</v>
      </c>
      <c r="L10462" s="17"/>
    </row>
    <row r="10463" s="11" customFormat="true" ht="10.95" hidden="false" customHeight="true" outlineLevel="0" collapsed="false">
      <c r="A10463" s="16" t="n">
        <v>45267</v>
      </c>
      <c r="B10463" s="17" t="s">
        <v>3861</v>
      </c>
      <c r="C10463" s="17" t="s">
        <v>3752</v>
      </c>
      <c r="D10463" s="17" t="s">
        <v>1407</v>
      </c>
      <c r="E10463" s="17" t="s">
        <v>3863</v>
      </c>
      <c r="F10463" s="17"/>
      <c r="G10463" s="18" t="n">
        <v>0</v>
      </c>
      <c r="H10463" s="18" t="n">
        <v>47.75</v>
      </c>
      <c r="I10463" s="18" t="n">
        <f aca="false">((I10462 + G10463) - H10463)</f>
        <v>36269.9199999999</v>
      </c>
      <c r="J10463" s="18" t="n">
        <v>0</v>
      </c>
      <c r="K10463" s="19" t="n">
        <v>0</v>
      </c>
      <c r="L10463" s="17"/>
    </row>
    <row r="10464" s="11" customFormat="true" ht="10.95" hidden="false" customHeight="true" outlineLevel="0" collapsed="false">
      <c r="A10464" s="16" t="n">
        <v>45267</v>
      </c>
      <c r="B10464" s="17" t="s">
        <v>3861</v>
      </c>
      <c r="C10464" s="17" t="s">
        <v>3752</v>
      </c>
      <c r="D10464" s="17" t="s">
        <v>1407</v>
      </c>
      <c r="E10464" s="17" t="s">
        <v>3626</v>
      </c>
      <c r="F10464" s="17"/>
      <c r="G10464" s="18" t="n">
        <v>0</v>
      </c>
      <c r="H10464" s="18" t="n">
        <v>71.5</v>
      </c>
      <c r="I10464" s="18" t="n">
        <f aca="false">((I10463 + G10464) - H10464)</f>
        <v>36198.4199999999</v>
      </c>
      <c r="J10464" s="18" t="n">
        <v>0</v>
      </c>
      <c r="K10464" s="19" t="n">
        <v>0</v>
      </c>
      <c r="L10464" s="17"/>
    </row>
    <row r="10465" s="11" customFormat="true" ht="10.95" hidden="false" customHeight="true" outlineLevel="0" collapsed="false">
      <c r="A10465" s="16" t="n">
        <v>45267</v>
      </c>
      <c r="B10465" s="17" t="s">
        <v>3861</v>
      </c>
      <c r="C10465" s="17" t="s">
        <v>3752</v>
      </c>
      <c r="D10465" s="17" t="s">
        <v>1407</v>
      </c>
      <c r="E10465" s="17" t="s">
        <v>3863</v>
      </c>
      <c r="F10465" s="17"/>
      <c r="G10465" s="18" t="n">
        <v>0</v>
      </c>
      <c r="H10465" s="18" t="n">
        <v>116.4</v>
      </c>
      <c r="I10465" s="18" t="n">
        <f aca="false">((I10464 + G10465) - H10465)</f>
        <v>36082.0199999999</v>
      </c>
      <c r="J10465" s="18" t="n">
        <v>0</v>
      </c>
      <c r="K10465" s="19" t="n">
        <v>0</v>
      </c>
      <c r="L10465" s="17"/>
    </row>
    <row r="10466" s="11" customFormat="true" ht="10.95" hidden="false" customHeight="true" outlineLevel="0" collapsed="false">
      <c r="A10466" s="16" t="n">
        <v>45267</v>
      </c>
      <c r="B10466" s="17" t="s">
        <v>3861</v>
      </c>
      <c r="C10466" s="17" t="s">
        <v>3752</v>
      </c>
      <c r="D10466" s="17" t="s">
        <v>1407</v>
      </c>
      <c r="E10466" s="17" t="s">
        <v>3772</v>
      </c>
      <c r="F10466" s="17"/>
      <c r="G10466" s="18" t="n">
        <v>0</v>
      </c>
      <c r="H10466" s="18" t="n">
        <v>43.96</v>
      </c>
      <c r="I10466" s="18" t="n">
        <f aca="false">((I10465 + G10466) - H10466)</f>
        <v>36038.0599999999</v>
      </c>
      <c r="J10466" s="18" t="n">
        <v>0</v>
      </c>
      <c r="K10466" s="19" t="n">
        <v>0</v>
      </c>
      <c r="L10466" s="17"/>
    </row>
    <row r="10467" s="11" customFormat="true" ht="10.95" hidden="false" customHeight="true" outlineLevel="0" collapsed="false">
      <c r="A10467" s="16" t="n">
        <v>45267</v>
      </c>
      <c r="B10467" s="17" t="s">
        <v>3861</v>
      </c>
      <c r="C10467" s="17" t="s">
        <v>3752</v>
      </c>
      <c r="D10467" s="17" t="s">
        <v>1407</v>
      </c>
      <c r="E10467" s="17" t="s">
        <v>4139</v>
      </c>
      <c r="F10467" s="17"/>
      <c r="G10467" s="18" t="n">
        <v>0</v>
      </c>
      <c r="H10467" s="18" t="n">
        <v>151.47</v>
      </c>
      <c r="I10467" s="18" t="n">
        <f aca="false">((I10466 + G10467) - H10467)</f>
        <v>35886.5899999999</v>
      </c>
      <c r="J10467" s="18" t="n">
        <v>0</v>
      </c>
      <c r="K10467" s="19" t="n">
        <v>0</v>
      </c>
      <c r="L10467" s="17"/>
    </row>
    <row r="10468" s="11" customFormat="true" ht="10.95" hidden="false" customHeight="true" outlineLevel="0" collapsed="false">
      <c r="A10468" s="16" t="n">
        <v>45267</v>
      </c>
      <c r="B10468" s="17" t="s">
        <v>3861</v>
      </c>
      <c r="C10468" s="17" t="s">
        <v>3752</v>
      </c>
      <c r="D10468" s="17" t="s">
        <v>2903</v>
      </c>
      <c r="E10468" s="17" t="s">
        <v>2904</v>
      </c>
      <c r="F10468" s="17" t="s">
        <v>1472</v>
      </c>
      <c r="G10468" s="18" t="n">
        <v>0</v>
      </c>
      <c r="H10468" s="18" t="n">
        <v>3879.94</v>
      </c>
      <c r="I10468" s="18" t="n">
        <f aca="false">((I10467 + G10468) - H10468)</f>
        <v>32006.6499999999</v>
      </c>
      <c r="J10468" s="18" t="n">
        <v>0</v>
      </c>
      <c r="K10468" s="19" t="n">
        <v>0</v>
      </c>
      <c r="L10468" s="17"/>
    </row>
    <row r="10469" s="11" customFormat="true" ht="10.95" hidden="false" customHeight="true" outlineLevel="0" collapsed="false">
      <c r="A10469" s="16" t="n">
        <v>45267</v>
      </c>
      <c r="B10469" s="17" t="s">
        <v>3861</v>
      </c>
      <c r="C10469" s="17" t="s">
        <v>3752</v>
      </c>
      <c r="D10469" s="17" t="s">
        <v>1407</v>
      </c>
      <c r="E10469" s="17" t="s">
        <v>3642</v>
      </c>
      <c r="F10469" s="17"/>
      <c r="G10469" s="18" t="n">
        <v>0</v>
      </c>
      <c r="H10469" s="18" t="n">
        <v>18.15</v>
      </c>
      <c r="I10469" s="18" t="n">
        <f aca="false">((I10468 + G10469) - H10469)</f>
        <v>31988.4999999999</v>
      </c>
      <c r="J10469" s="18" t="n">
        <v>0</v>
      </c>
      <c r="K10469" s="19" t="n">
        <v>0</v>
      </c>
      <c r="L10469" s="17"/>
    </row>
    <row r="10470" s="11" customFormat="true" ht="10.95" hidden="false" customHeight="true" outlineLevel="0" collapsed="false">
      <c r="A10470" s="16" t="n">
        <v>45267</v>
      </c>
      <c r="B10470" s="17" t="s">
        <v>3861</v>
      </c>
      <c r="C10470" s="17" t="s">
        <v>3752</v>
      </c>
      <c r="D10470" s="17" t="s">
        <v>2903</v>
      </c>
      <c r="E10470" s="17" t="s">
        <v>3008</v>
      </c>
      <c r="F10470" s="17" t="s">
        <v>1624</v>
      </c>
      <c r="G10470" s="18" t="n">
        <v>0</v>
      </c>
      <c r="H10470" s="18" t="n">
        <v>1591.63</v>
      </c>
      <c r="I10470" s="18" t="n">
        <f aca="false">((I10469 + G10470) - H10470)</f>
        <v>30396.8699999999</v>
      </c>
      <c r="J10470" s="18" t="n">
        <v>0</v>
      </c>
      <c r="K10470" s="19" t="n">
        <v>0</v>
      </c>
      <c r="L10470" s="17"/>
    </row>
    <row r="10471" s="11" customFormat="true" ht="10.95" hidden="false" customHeight="true" outlineLevel="0" collapsed="false">
      <c r="A10471" s="16" t="n">
        <v>45267</v>
      </c>
      <c r="B10471" s="17" t="s">
        <v>3861</v>
      </c>
      <c r="C10471" s="17" t="s">
        <v>3752</v>
      </c>
      <c r="D10471" s="17" t="s">
        <v>2903</v>
      </c>
      <c r="E10471" s="17" t="s">
        <v>3008</v>
      </c>
      <c r="F10471" s="17" t="s">
        <v>1626</v>
      </c>
      <c r="G10471" s="18" t="n">
        <v>0</v>
      </c>
      <c r="H10471" s="18" t="n">
        <v>239.5</v>
      </c>
      <c r="I10471" s="18" t="n">
        <f aca="false">((I10470 + G10471) - H10471)</f>
        <v>30157.3699999999</v>
      </c>
      <c r="J10471" s="18" t="n">
        <v>0</v>
      </c>
      <c r="K10471" s="19" t="n">
        <v>0</v>
      </c>
      <c r="L10471" s="17"/>
    </row>
    <row r="10472" s="11" customFormat="true" ht="10.95" hidden="false" customHeight="true" outlineLevel="0" collapsed="false">
      <c r="A10472" s="16" t="n">
        <v>45267</v>
      </c>
      <c r="B10472" s="17" t="s">
        <v>3861</v>
      </c>
      <c r="C10472" s="17" t="s">
        <v>3752</v>
      </c>
      <c r="D10472" s="17" t="s">
        <v>2903</v>
      </c>
      <c r="E10472" s="17" t="s">
        <v>3008</v>
      </c>
      <c r="F10472" s="17" t="s">
        <v>1617</v>
      </c>
      <c r="G10472" s="18" t="n">
        <v>0</v>
      </c>
      <c r="H10472" s="18" t="n">
        <v>239.5</v>
      </c>
      <c r="I10472" s="18" t="n">
        <f aca="false">((I10471 + G10472) - H10472)</f>
        <v>29917.8699999999</v>
      </c>
      <c r="J10472" s="18" t="n">
        <v>0</v>
      </c>
      <c r="K10472" s="19" t="n">
        <v>0</v>
      </c>
      <c r="L10472" s="17"/>
    </row>
    <row r="10473" s="11" customFormat="true" ht="10.95" hidden="false" customHeight="true" outlineLevel="0" collapsed="false">
      <c r="A10473" s="16" t="n">
        <v>45267</v>
      </c>
      <c r="B10473" s="17" t="s">
        <v>3861</v>
      </c>
      <c r="C10473" s="17" t="s">
        <v>3752</v>
      </c>
      <c r="D10473" s="17" t="s">
        <v>2903</v>
      </c>
      <c r="E10473" s="17" t="s">
        <v>3008</v>
      </c>
      <c r="F10473" s="17" t="s">
        <v>1620</v>
      </c>
      <c r="G10473" s="18" t="n">
        <v>0</v>
      </c>
      <c r="H10473" s="18" t="n">
        <v>239.5</v>
      </c>
      <c r="I10473" s="18" t="n">
        <f aca="false">((I10472 + G10473) - H10473)</f>
        <v>29678.3699999999</v>
      </c>
      <c r="J10473" s="18" t="n">
        <v>0</v>
      </c>
      <c r="K10473" s="19" t="n">
        <v>0</v>
      </c>
      <c r="L10473" s="17"/>
    </row>
    <row r="10474" s="11" customFormat="true" ht="10.95" hidden="false" customHeight="true" outlineLevel="0" collapsed="false">
      <c r="A10474" s="16" t="n">
        <v>45267</v>
      </c>
      <c r="B10474" s="17" t="s">
        <v>3861</v>
      </c>
      <c r="C10474" s="17" t="s">
        <v>3752</v>
      </c>
      <c r="D10474" s="17" t="s">
        <v>2903</v>
      </c>
      <c r="E10474" s="17" t="s">
        <v>3008</v>
      </c>
      <c r="F10474" s="17" t="s">
        <v>1619</v>
      </c>
      <c r="G10474" s="18" t="n">
        <v>0</v>
      </c>
      <c r="H10474" s="18" t="n">
        <v>1288.46</v>
      </c>
      <c r="I10474" s="18" t="n">
        <f aca="false">((I10473 + G10474) - H10474)</f>
        <v>28389.9099999999</v>
      </c>
      <c r="J10474" s="18" t="n">
        <v>0</v>
      </c>
      <c r="K10474" s="19" t="n">
        <v>0</v>
      </c>
      <c r="L10474" s="17"/>
    </row>
    <row r="10475" s="11" customFormat="true" ht="10.95" hidden="false" customHeight="true" outlineLevel="0" collapsed="false">
      <c r="A10475" s="16" t="n">
        <v>45268</v>
      </c>
      <c r="B10475" s="17" t="s">
        <v>3861</v>
      </c>
      <c r="C10475" s="17" t="s">
        <v>3752</v>
      </c>
      <c r="D10475" s="17" t="s">
        <v>2895</v>
      </c>
      <c r="E10475" s="17" t="s">
        <v>2922</v>
      </c>
      <c r="F10475" s="17" t="s">
        <v>3009</v>
      </c>
      <c r="G10475" s="18" t="n">
        <v>8940.57</v>
      </c>
      <c r="H10475" s="18" t="n">
        <v>0</v>
      </c>
      <c r="I10475" s="18" t="n">
        <f aca="false">((I10474 + G10475) - H10475)</f>
        <v>37330.4799999999</v>
      </c>
      <c r="J10475" s="18" t="n">
        <v>0</v>
      </c>
      <c r="K10475" s="19" t="n">
        <v>0</v>
      </c>
      <c r="L10475" s="17"/>
    </row>
    <row r="10476" s="11" customFormat="true" ht="10.95" hidden="false" customHeight="true" outlineLevel="0" collapsed="false">
      <c r="A10476" s="16" t="n">
        <v>45268</v>
      </c>
      <c r="B10476" s="17" t="s">
        <v>3861</v>
      </c>
      <c r="C10476" s="17" t="s">
        <v>3752</v>
      </c>
      <c r="D10476" s="17" t="s">
        <v>1407</v>
      </c>
      <c r="E10476" s="17" t="s">
        <v>3863</v>
      </c>
      <c r="F10476" s="17"/>
      <c r="G10476" s="18" t="n">
        <v>0</v>
      </c>
      <c r="H10476" s="18" t="n">
        <v>3.86</v>
      </c>
      <c r="I10476" s="18" t="n">
        <f aca="false">((I10475 + G10476) - H10476)</f>
        <v>37326.6199999999</v>
      </c>
      <c r="J10476" s="18" t="n">
        <v>0</v>
      </c>
      <c r="K10476" s="19" t="n">
        <v>0</v>
      </c>
      <c r="L10476" s="17"/>
    </row>
    <row r="10477" s="11" customFormat="true" ht="10.95" hidden="false" customHeight="true" outlineLevel="0" collapsed="false">
      <c r="A10477" s="16" t="n">
        <v>45268</v>
      </c>
      <c r="B10477" s="17" t="s">
        <v>3861</v>
      </c>
      <c r="C10477" s="17" t="s">
        <v>3752</v>
      </c>
      <c r="D10477" s="17" t="s">
        <v>1407</v>
      </c>
      <c r="E10477" s="17" t="s">
        <v>4140</v>
      </c>
      <c r="F10477" s="17"/>
      <c r="G10477" s="18" t="n">
        <v>0</v>
      </c>
      <c r="H10477" s="18" t="n">
        <v>298.35</v>
      </c>
      <c r="I10477" s="18" t="n">
        <f aca="false">((I10476 + G10477) - H10477)</f>
        <v>37028.2699999999</v>
      </c>
      <c r="J10477" s="18" t="n">
        <v>0</v>
      </c>
      <c r="K10477" s="19" t="n">
        <v>0</v>
      </c>
      <c r="L10477" s="17"/>
    </row>
    <row r="10478" s="11" customFormat="true" ht="10.95" hidden="false" customHeight="true" outlineLevel="0" collapsed="false">
      <c r="A10478" s="16" t="n">
        <v>45268</v>
      </c>
      <c r="B10478" s="17" t="s">
        <v>3861</v>
      </c>
      <c r="C10478" s="17" t="s">
        <v>3752</v>
      </c>
      <c r="D10478" s="17" t="s">
        <v>1407</v>
      </c>
      <c r="E10478" s="17" t="s">
        <v>3683</v>
      </c>
      <c r="F10478" s="17"/>
      <c r="G10478" s="18" t="n">
        <v>0</v>
      </c>
      <c r="H10478" s="18" t="n">
        <v>128.73</v>
      </c>
      <c r="I10478" s="18" t="n">
        <f aca="false">((I10477 + G10478) - H10478)</f>
        <v>36899.5399999999</v>
      </c>
      <c r="J10478" s="18" t="n">
        <v>0</v>
      </c>
      <c r="K10478" s="19" t="n">
        <v>0</v>
      </c>
      <c r="L10478" s="17"/>
    </row>
    <row r="10479" s="11" customFormat="true" ht="10.95" hidden="false" customHeight="true" outlineLevel="0" collapsed="false">
      <c r="A10479" s="16" t="n">
        <v>45269</v>
      </c>
      <c r="B10479" s="17" t="s">
        <v>3861</v>
      </c>
      <c r="C10479" s="17" t="s">
        <v>3752</v>
      </c>
      <c r="D10479" s="17" t="s">
        <v>1407</v>
      </c>
      <c r="E10479" s="17" t="s">
        <v>3767</v>
      </c>
      <c r="F10479" s="17" t="s">
        <v>2781</v>
      </c>
      <c r="G10479" s="18" t="n">
        <v>0</v>
      </c>
      <c r="H10479" s="18" t="n">
        <v>10.98</v>
      </c>
      <c r="I10479" s="18" t="n">
        <f aca="false">((I10478 + G10479) - H10479)</f>
        <v>36888.5599999999</v>
      </c>
      <c r="J10479" s="18" t="n">
        <v>0</v>
      </c>
      <c r="K10479" s="19" t="n">
        <v>0</v>
      </c>
      <c r="L10479" s="17"/>
    </row>
    <row r="10480" s="11" customFormat="true" ht="10.95" hidden="false" customHeight="true" outlineLevel="0" collapsed="false">
      <c r="A10480" s="16" t="n">
        <v>45271</v>
      </c>
      <c r="B10480" s="17" t="s">
        <v>3861</v>
      </c>
      <c r="C10480" s="17" t="s">
        <v>3752</v>
      </c>
      <c r="D10480" s="17" t="s">
        <v>2895</v>
      </c>
      <c r="E10480" s="17" t="s">
        <v>3460</v>
      </c>
      <c r="F10480" s="17" t="s">
        <v>4141</v>
      </c>
      <c r="G10480" s="18" t="n">
        <v>4182.2</v>
      </c>
      <c r="H10480" s="18" t="n">
        <v>0</v>
      </c>
      <c r="I10480" s="18" t="n">
        <f aca="false">((I10479 + G10480) - H10480)</f>
        <v>41070.7599999999</v>
      </c>
      <c r="J10480" s="18" t="n">
        <v>0</v>
      </c>
      <c r="K10480" s="19" t="n">
        <v>0</v>
      </c>
      <c r="L10480" s="17"/>
    </row>
    <row r="10481" s="11" customFormat="true" ht="10.95" hidden="false" customHeight="true" outlineLevel="0" collapsed="false">
      <c r="A10481" s="16" t="n">
        <v>45271</v>
      </c>
      <c r="B10481" s="17" t="s">
        <v>3861</v>
      </c>
      <c r="C10481" s="17" t="s">
        <v>3752</v>
      </c>
      <c r="D10481" s="17" t="s">
        <v>2895</v>
      </c>
      <c r="E10481" s="17" t="s">
        <v>3460</v>
      </c>
      <c r="F10481" s="17" t="s">
        <v>4142</v>
      </c>
      <c r="G10481" s="18" t="n">
        <v>4207.5</v>
      </c>
      <c r="H10481" s="18" t="n">
        <v>0</v>
      </c>
      <c r="I10481" s="18" t="n">
        <f aca="false">((I10480 + G10481) - H10481)</f>
        <v>45278.2599999999</v>
      </c>
      <c r="J10481" s="18" t="n">
        <v>0</v>
      </c>
      <c r="K10481" s="19" t="n">
        <v>0</v>
      </c>
      <c r="L10481" s="17"/>
    </row>
    <row r="10482" s="11" customFormat="true" ht="10.95" hidden="false" customHeight="true" outlineLevel="0" collapsed="false">
      <c r="A10482" s="16" t="n">
        <v>45271</v>
      </c>
      <c r="B10482" s="17" t="s">
        <v>3861</v>
      </c>
      <c r="C10482" s="17" t="s">
        <v>3752</v>
      </c>
      <c r="D10482" s="17" t="s">
        <v>2895</v>
      </c>
      <c r="E10482" s="17" t="s">
        <v>3515</v>
      </c>
      <c r="F10482" s="17" t="s">
        <v>4143</v>
      </c>
      <c r="G10482" s="18" t="n">
        <v>2548.26</v>
      </c>
      <c r="H10482" s="18" t="n">
        <v>0</v>
      </c>
      <c r="I10482" s="18" t="n">
        <f aca="false">((I10481 + G10482) - H10482)</f>
        <v>47826.5199999999</v>
      </c>
      <c r="J10482" s="18" t="n">
        <v>0</v>
      </c>
      <c r="K10482" s="19" t="n">
        <v>0</v>
      </c>
      <c r="L10482" s="17"/>
    </row>
    <row r="10483" s="11" customFormat="true" ht="10.95" hidden="false" customHeight="true" outlineLevel="0" collapsed="false">
      <c r="A10483" s="16" t="n">
        <v>45271</v>
      </c>
      <c r="B10483" s="17" t="s">
        <v>3861</v>
      </c>
      <c r="C10483" s="17" t="s">
        <v>3752</v>
      </c>
      <c r="D10483" s="17" t="s">
        <v>2895</v>
      </c>
      <c r="E10483" s="17" t="s">
        <v>2925</v>
      </c>
      <c r="F10483" s="17" t="s">
        <v>3010</v>
      </c>
      <c r="G10483" s="18" t="n">
        <v>317.64</v>
      </c>
      <c r="H10483" s="18" t="n">
        <v>0</v>
      </c>
      <c r="I10483" s="18" t="n">
        <f aca="false">((I10482 + G10483) - H10483)</f>
        <v>48144.1599999999</v>
      </c>
      <c r="J10483" s="18" t="n">
        <v>0</v>
      </c>
      <c r="K10483" s="19" t="n">
        <v>0</v>
      </c>
      <c r="L10483" s="17"/>
    </row>
    <row r="10484" s="11" customFormat="true" ht="10.95" hidden="false" customHeight="true" outlineLevel="0" collapsed="false">
      <c r="A10484" s="16" t="n">
        <v>45272</v>
      </c>
      <c r="B10484" s="17" t="s">
        <v>3861</v>
      </c>
      <c r="C10484" s="17" t="s">
        <v>3752</v>
      </c>
      <c r="D10484" s="17" t="s">
        <v>2895</v>
      </c>
      <c r="E10484" s="17" t="s">
        <v>2934</v>
      </c>
      <c r="F10484" s="17" t="s">
        <v>3011</v>
      </c>
      <c r="G10484" s="18" t="n">
        <v>12345.4</v>
      </c>
      <c r="H10484" s="18" t="n">
        <v>0</v>
      </c>
      <c r="I10484" s="18" t="n">
        <f aca="false">((I10483 + G10484) - H10484)</f>
        <v>60489.5599999999</v>
      </c>
      <c r="J10484" s="18" t="n">
        <v>0</v>
      </c>
      <c r="K10484" s="19" t="n">
        <v>0</v>
      </c>
      <c r="L10484" s="17"/>
    </row>
    <row r="10485" s="11" customFormat="true" ht="10.95" hidden="false" customHeight="true" outlineLevel="0" collapsed="false">
      <c r="A10485" s="16" t="n">
        <v>45272</v>
      </c>
      <c r="B10485" s="17" t="s">
        <v>3861</v>
      </c>
      <c r="C10485" s="17" t="s">
        <v>3752</v>
      </c>
      <c r="D10485" s="17" t="s">
        <v>2895</v>
      </c>
      <c r="E10485" s="17" t="s">
        <v>3397</v>
      </c>
      <c r="F10485" s="17" t="s">
        <v>4144</v>
      </c>
      <c r="G10485" s="18" t="n">
        <v>2750</v>
      </c>
      <c r="H10485" s="18" t="n">
        <v>0</v>
      </c>
      <c r="I10485" s="18" t="n">
        <f aca="false">((I10484 + G10485) - H10485)</f>
        <v>63239.5599999999</v>
      </c>
      <c r="J10485" s="18" t="n">
        <v>0</v>
      </c>
      <c r="K10485" s="19" t="n">
        <v>0</v>
      </c>
      <c r="L10485" s="17"/>
    </row>
    <row r="10486" s="11" customFormat="true" ht="10.95" hidden="false" customHeight="true" outlineLevel="0" collapsed="false">
      <c r="A10486" s="16" t="n">
        <v>45272</v>
      </c>
      <c r="B10486" s="17" t="s">
        <v>3861</v>
      </c>
      <c r="C10486" s="17" t="s">
        <v>3752</v>
      </c>
      <c r="D10486" s="17" t="s">
        <v>1407</v>
      </c>
      <c r="E10486" s="17" t="s">
        <v>3767</v>
      </c>
      <c r="F10486" s="17" t="s">
        <v>2781</v>
      </c>
      <c r="G10486" s="18" t="n">
        <v>0</v>
      </c>
      <c r="H10486" s="18" t="n">
        <v>5</v>
      </c>
      <c r="I10486" s="18" t="n">
        <f aca="false">((I10485 + G10486) - H10486)</f>
        <v>63234.5599999999</v>
      </c>
      <c r="J10486" s="18" t="n">
        <v>0</v>
      </c>
      <c r="K10486" s="19" t="n">
        <v>0</v>
      </c>
      <c r="L10486" s="17"/>
    </row>
    <row r="10487" s="11" customFormat="true" ht="10.95" hidden="false" customHeight="true" outlineLevel="0" collapsed="false">
      <c r="A10487" s="16" t="n">
        <v>45272</v>
      </c>
      <c r="B10487" s="17" t="s">
        <v>3861</v>
      </c>
      <c r="C10487" s="17" t="s">
        <v>3752</v>
      </c>
      <c r="D10487" s="17" t="s">
        <v>1407</v>
      </c>
      <c r="E10487" s="17" t="s">
        <v>3767</v>
      </c>
      <c r="F10487" s="17" t="s">
        <v>2781</v>
      </c>
      <c r="G10487" s="18" t="n">
        <v>0</v>
      </c>
      <c r="H10487" s="18" t="n">
        <v>5</v>
      </c>
      <c r="I10487" s="18" t="n">
        <f aca="false">((I10486 + G10487) - H10487)</f>
        <v>63229.5599999999</v>
      </c>
      <c r="J10487" s="18" t="n">
        <v>0</v>
      </c>
      <c r="K10487" s="19" t="n">
        <v>0</v>
      </c>
      <c r="L10487" s="17"/>
    </row>
    <row r="10488" s="11" customFormat="true" ht="10.95" hidden="false" customHeight="true" outlineLevel="0" collapsed="false">
      <c r="A10488" s="16" t="n">
        <v>45272</v>
      </c>
      <c r="B10488" s="17" t="s">
        <v>3861</v>
      </c>
      <c r="C10488" s="17" t="s">
        <v>3752</v>
      </c>
      <c r="D10488" s="17" t="s">
        <v>1407</v>
      </c>
      <c r="E10488" s="17" t="s">
        <v>3767</v>
      </c>
      <c r="F10488" s="17" t="s">
        <v>2781</v>
      </c>
      <c r="G10488" s="18" t="n">
        <v>0</v>
      </c>
      <c r="H10488" s="18" t="n">
        <v>5</v>
      </c>
      <c r="I10488" s="18" t="n">
        <f aca="false">((I10487 + G10488) - H10488)</f>
        <v>63224.5599999999</v>
      </c>
      <c r="J10488" s="18" t="n">
        <v>0</v>
      </c>
      <c r="K10488" s="19" t="n">
        <v>0</v>
      </c>
      <c r="L10488" s="17"/>
    </row>
    <row r="10489" s="11" customFormat="true" ht="10.95" hidden="false" customHeight="true" outlineLevel="0" collapsed="false">
      <c r="A10489" s="16" t="n">
        <v>45272</v>
      </c>
      <c r="B10489" s="17" t="s">
        <v>3861</v>
      </c>
      <c r="C10489" s="17" t="s">
        <v>3752</v>
      </c>
      <c r="D10489" s="17" t="s">
        <v>1407</v>
      </c>
      <c r="E10489" s="17" t="s">
        <v>3863</v>
      </c>
      <c r="F10489" s="17"/>
      <c r="G10489" s="18" t="n">
        <v>0</v>
      </c>
      <c r="H10489" s="18" t="n">
        <v>5.5</v>
      </c>
      <c r="I10489" s="18" t="n">
        <f aca="false">((I10488 + G10489) - H10489)</f>
        <v>63219.0599999999</v>
      </c>
      <c r="J10489" s="18" t="n">
        <v>0</v>
      </c>
      <c r="K10489" s="19" t="n">
        <v>0</v>
      </c>
      <c r="L10489" s="17"/>
    </row>
    <row r="10490" s="11" customFormat="true" ht="10.95" hidden="false" customHeight="true" outlineLevel="0" collapsed="false">
      <c r="A10490" s="16" t="n">
        <v>45272</v>
      </c>
      <c r="B10490" s="17" t="s">
        <v>3861</v>
      </c>
      <c r="C10490" s="17" t="s">
        <v>3752</v>
      </c>
      <c r="D10490" s="17" t="s">
        <v>1407</v>
      </c>
      <c r="E10490" s="17" t="s">
        <v>3767</v>
      </c>
      <c r="F10490" s="17" t="s">
        <v>2781</v>
      </c>
      <c r="G10490" s="18" t="n">
        <v>0</v>
      </c>
      <c r="H10490" s="18" t="n">
        <v>13.34</v>
      </c>
      <c r="I10490" s="18" t="n">
        <f aca="false">((I10489 + G10490) - H10490)</f>
        <v>63205.7199999999</v>
      </c>
      <c r="J10490" s="18" t="n">
        <v>0</v>
      </c>
      <c r="K10490" s="19" t="n">
        <v>0</v>
      </c>
      <c r="L10490" s="17"/>
    </row>
    <row r="10491" s="11" customFormat="true" ht="10.95" hidden="false" customHeight="true" outlineLevel="0" collapsed="false">
      <c r="A10491" s="16" t="n">
        <v>45272</v>
      </c>
      <c r="B10491" s="17" t="s">
        <v>3861</v>
      </c>
      <c r="C10491" s="17" t="s">
        <v>3752</v>
      </c>
      <c r="D10491" s="17" t="s">
        <v>1407</v>
      </c>
      <c r="E10491" s="17" t="s">
        <v>3767</v>
      </c>
      <c r="F10491" s="17" t="s">
        <v>2781</v>
      </c>
      <c r="G10491" s="18" t="n">
        <v>0</v>
      </c>
      <c r="H10491" s="18" t="n">
        <v>14.32</v>
      </c>
      <c r="I10491" s="18" t="n">
        <f aca="false">((I10490 + G10491) - H10491)</f>
        <v>63191.3999999999</v>
      </c>
      <c r="J10491" s="18" t="n">
        <v>0</v>
      </c>
      <c r="K10491" s="19" t="n">
        <v>0</v>
      </c>
      <c r="L10491" s="17"/>
    </row>
    <row r="10492" s="11" customFormat="true" ht="10.95" hidden="false" customHeight="true" outlineLevel="0" collapsed="false">
      <c r="A10492" s="16" t="n">
        <v>45272</v>
      </c>
      <c r="B10492" s="17" t="s">
        <v>3861</v>
      </c>
      <c r="C10492" s="17" t="s">
        <v>3752</v>
      </c>
      <c r="D10492" s="17" t="s">
        <v>1407</v>
      </c>
      <c r="E10492" s="17" t="s">
        <v>3767</v>
      </c>
      <c r="F10492" s="17" t="s">
        <v>2781</v>
      </c>
      <c r="G10492" s="18" t="n">
        <v>0</v>
      </c>
      <c r="H10492" s="18" t="n">
        <v>17.3</v>
      </c>
      <c r="I10492" s="18" t="n">
        <f aca="false">((I10491 + G10492) - H10492)</f>
        <v>63174.0999999999</v>
      </c>
      <c r="J10492" s="18" t="n">
        <v>0</v>
      </c>
      <c r="K10492" s="19" t="n">
        <v>0</v>
      </c>
      <c r="L10492" s="17"/>
    </row>
    <row r="10493" s="11" customFormat="true" ht="10.95" hidden="false" customHeight="true" outlineLevel="0" collapsed="false">
      <c r="A10493" s="16" t="n">
        <v>45272</v>
      </c>
      <c r="B10493" s="17" t="s">
        <v>3861</v>
      </c>
      <c r="C10493" s="17" t="s">
        <v>3752</v>
      </c>
      <c r="D10493" s="17" t="s">
        <v>1407</v>
      </c>
      <c r="E10493" s="17" t="s">
        <v>3896</v>
      </c>
      <c r="F10493" s="17"/>
      <c r="G10493" s="18" t="n">
        <v>0</v>
      </c>
      <c r="H10493" s="18" t="n">
        <v>20.99</v>
      </c>
      <c r="I10493" s="18" t="n">
        <f aca="false">((I10492 + G10493) - H10493)</f>
        <v>63153.1099999999</v>
      </c>
      <c r="J10493" s="18" t="n">
        <v>0</v>
      </c>
      <c r="K10493" s="19" t="n">
        <v>0</v>
      </c>
      <c r="L10493" s="17"/>
    </row>
    <row r="10494" s="11" customFormat="true" ht="10.95" hidden="false" customHeight="true" outlineLevel="0" collapsed="false">
      <c r="A10494" s="16" t="n">
        <v>45272</v>
      </c>
      <c r="B10494" s="17" t="s">
        <v>3861</v>
      </c>
      <c r="C10494" s="17" t="s">
        <v>3752</v>
      </c>
      <c r="D10494" s="17" t="s">
        <v>1407</v>
      </c>
      <c r="E10494" s="17" t="s">
        <v>3858</v>
      </c>
      <c r="F10494" s="17"/>
      <c r="G10494" s="18" t="n">
        <v>0</v>
      </c>
      <c r="H10494" s="18" t="n">
        <v>288.52</v>
      </c>
      <c r="I10494" s="18" t="n">
        <f aca="false">((I10493 + G10494) - H10494)</f>
        <v>62864.5899999999</v>
      </c>
      <c r="J10494" s="18" t="n">
        <v>0</v>
      </c>
      <c r="K10494" s="19" t="n">
        <v>0</v>
      </c>
      <c r="L10494" s="17"/>
    </row>
    <row r="10495" s="11" customFormat="true" ht="10.95" hidden="false" customHeight="true" outlineLevel="0" collapsed="false">
      <c r="A10495" s="16" t="n">
        <v>45272</v>
      </c>
      <c r="B10495" s="17" t="s">
        <v>3861</v>
      </c>
      <c r="C10495" s="17" t="s">
        <v>3752</v>
      </c>
      <c r="D10495" s="17" t="s">
        <v>1407</v>
      </c>
      <c r="E10495" s="17" t="s">
        <v>3955</v>
      </c>
      <c r="F10495" s="17"/>
      <c r="G10495" s="18" t="n">
        <v>0</v>
      </c>
      <c r="H10495" s="18" t="n">
        <v>361.54</v>
      </c>
      <c r="I10495" s="18" t="n">
        <f aca="false">((I10494 + G10495) - H10495)</f>
        <v>62503.0499999999</v>
      </c>
      <c r="J10495" s="18" t="n">
        <v>0</v>
      </c>
      <c r="K10495" s="19" t="n">
        <v>0</v>
      </c>
      <c r="L10495" s="17"/>
    </row>
    <row r="10496" s="11" customFormat="true" ht="10.95" hidden="false" customHeight="true" outlineLevel="0" collapsed="false">
      <c r="A10496" s="16" t="n">
        <v>45272</v>
      </c>
      <c r="B10496" s="17" t="s">
        <v>3861</v>
      </c>
      <c r="C10496" s="17" t="s">
        <v>3752</v>
      </c>
      <c r="D10496" s="17" t="s">
        <v>1407</v>
      </c>
      <c r="E10496" s="17" t="s">
        <v>4145</v>
      </c>
      <c r="F10496" s="17"/>
      <c r="G10496" s="18" t="n">
        <v>0</v>
      </c>
      <c r="H10496" s="18" t="n">
        <v>921.51</v>
      </c>
      <c r="I10496" s="18" t="n">
        <f aca="false">((I10495 + G10496) - H10496)</f>
        <v>61581.5399999999</v>
      </c>
      <c r="J10496" s="18" t="n">
        <v>0</v>
      </c>
      <c r="K10496" s="19" t="n">
        <v>0</v>
      </c>
      <c r="L10496" s="17"/>
    </row>
    <row r="10497" s="11" customFormat="true" ht="10.95" hidden="false" customHeight="true" outlineLevel="0" collapsed="false">
      <c r="A10497" s="16" t="n">
        <v>45272</v>
      </c>
      <c r="B10497" s="17" t="s">
        <v>3861</v>
      </c>
      <c r="C10497" s="17" t="s">
        <v>3752</v>
      </c>
      <c r="D10497" s="17" t="s">
        <v>1407</v>
      </c>
      <c r="E10497" s="17" t="s">
        <v>3858</v>
      </c>
      <c r="F10497" s="17"/>
      <c r="G10497" s="18" t="n">
        <v>0</v>
      </c>
      <c r="H10497" s="18" t="n">
        <v>1095.77</v>
      </c>
      <c r="I10497" s="18" t="n">
        <f aca="false">((I10496 + G10497) - H10497)</f>
        <v>60485.7699999999</v>
      </c>
      <c r="J10497" s="18" t="n">
        <v>0</v>
      </c>
      <c r="K10497" s="19" t="n">
        <v>0</v>
      </c>
      <c r="L10497" s="17"/>
    </row>
    <row r="10498" s="11" customFormat="true" ht="10.95" hidden="false" customHeight="true" outlineLevel="0" collapsed="false">
      <c r="A10498" s="16" t="n">
        <v>45272</v>
      </c>
      <c r="B10498" s="17" t="s">
        <v>3861</v>
      </c>
      <c r="C10498" s="17" t="s">
        <v>3752</v>
      </c>
      <c r="D10498" s="17" t="s">
        <v>1407</v>
      </c>
      <c r="E10498" s="17" t="s">
        <v>3878</v>
      </c>
      <c r="F10498" s="17"/>
      <c r="G10498" s="18" t="n">
        <v>0</v>
      </c>
      <c r="H10498" s="18" t="n">
        <v>1188.2</v>
      </c>
      <c r="I10498" s="18" t="n">
        <f aca="false">((I10497 + G10498) - H10498)</f>
        <v>59297.5699999999</v>
      </c>
      <c r="J10498" s="18" t="n">
        <v>0</v>
      </c>
      <c r="K10498" s="19" t="n">
        <v>0</v>
      </c>
      <c r="L10498" s="17"/>
    </row>
    <row r="10499" s="11" customFormat="true" ht="10.95" hidden="false" customHeight="true" outlineLevel="0" collapsed="false">
      <c r="A10499" s="16" t="n">
        <v>45272</v>
      </c>
      <c r="B10499" s="17" t="s">
        <v>3861</v>
      </c>
      <c r="C10499" s="17" t="s">
        <v>3752</v>
      </c>
      <c r="D10499" s="17" t="s">
        <v>1407</v>
      </c>
      <c r="E10499" s="17" t="s">
        <v>3967</v>
      </c>
      <c r="F10499" s="17"/>
      <c r="G10499" s="18" t="n">
        <v>0</v>
      </c>
      <c r="H10499" s="18" t="n">
        <v>48</v>
      </c>
      <c r="I10499" s="18" t="n">
        <f aca="false">((I10498 + G10499) - H10499)</f>
        <v>59249.5699999999</v>
      </c>
      <c r="J10499" s="18" t="n">
        <v>0</v>
      </c>
      <c r="K10499" s="19" t="n">
        <v>0</v>
      </c>
      <c r="L10499" s="17"/>
    </row>
    <row r="10500" s="11" customFormat="true" ht="10.95" hidden="false" customHeight="true" outlineLevel="0" collapsed="false">
      <c r="A10500" s="16" t="n">
        <v>45272</v>
      </c>
      <c r="B10500" s="17" t="s">
        <v>3861</v>
      </c>
      <c r="C10500" s="17" t="s">
        <v>3752</v>
      </c>
      <c r="D10500" s="17" t="s">
        <v>1407</v>
      </c>
      <c r="E10500" s="17" t="s">
        <v>4146</v>
      </c>
      <c r="F10500" s="17"/>
      <c r="G10500" s="18" t="n">
        <v>0</v>
      </c>
      <c r="H10500" s="18" t="n">
        <v>183.46</v>
      </c>
      <c r="I10500" s="18" t="n">
        <f aca="false">((I10499 + G10500) - H10500)</f>
        <v>59066.1099999999</v>
      </c>
      <c r="J10500" s="18" t="n">
        <v>0</v>
      </c>
      <c r="K10500" s="19" t="n">
        <v>0</v>
      </c>
      <c r="L10500" s="17"/>
    </row>
    <row r="10501" s="11" customFormat="true" ht="10.95" hidden="false" customHeight="true" outlineLevel="0" collapsed="false">
      <c r="A10501" s="16" t="n">
        <v>45272</v>
      </c>
      <c r="B10501" s="17" t="s">
        <v>3861</v>
      </c>
      <c r="C10501" s="17" t="s">
        <v>3752</v>
      </c>
      <c r="D10501" s="17" t="s">
        <v>2903</v>
      </c>
      <c r="E10501" s="17" t="s">
        <v>3657</v>
      </c>
      <c r="F10501" s="17" t="s">
        <v>1482</v>
      </c>
      <c r="G10501" s="18" t="n">
        <v>0</v>
      </c>
      <c r="H10501" s="18" t="n">
        <v>78.1</v>
      </c>
      <c r="I10501" s="18" t="n">
        <f aca="false">((I10500 + G10501) - H10501)</f>
        <v>58988.0099999999</v>
      </c>
      <c r="J10501" s="18" t="n">
        <v>0</v>
      </c>
      <c r="K10501" s="19" t="n">
        <v>0</v>
      </c>
      <c r="L10501" s="17"/>
    </row>
    <row r="10502" s="11" customFormat="true" ht="10.95" hidden="false" customHeight="true" outlineLevel="0" collapsed="false">
      <c r="A10502" s="16" t="n">
        <v>45272</v>
      </c>
      <c r="B10502" s="17" t="s">
        <v>3861</v>
      </c>
      <c r="C10502" s="17" t="s">
        <v>3752</v>
      </c>
      <c r="D10502" s="17" t="s">
        <v>1407</v>
      </c>
      <c r="E10502" s="17" t="s">
        <v>3355</v>
      </c>
      <c r="F10502" s="17"/>
      <c r="G10502" s="18" t="n">
        <v>0</v>
      </c>
      <c r="H10502" s="18" t="n">
        <v>10.4</v>
      </c>
      <c r="I10502" s="18" t="n">
        <f aca="false">((I10501 + G10502) - H10502)</f>
        <v>58977.6099999999</v>
      </c>
      <c r="J10502" s="18" t="n">
        <v>0</v>
      </c>
      <c r="K10502" s="19" t="n">
        <v>0</v>
      </c>
      <c r="L10502" s="17"/>
    </row>
    <row r="10503" s="11" customFormat="true" ht="10.95" hidden="false" customHeight="true" outlineLevel="0" collapsed="false">
      <c r="A10503" s="16" t="n">
        <v>45273</v>
      </c>
      <c r="B10503" s="17" t="s">
        <v>3861</v>
      </c>
      <c r="C10503" s="17" t="s">
        <v>3752</v>
      </c>
      <c r="D10503" s="17" t="s">
        <v>2895</v>
      </c>
      <c r="E10503" s="17" t="s">
        <v>2937</v>
      </c>
      <c r="F10503" s="17" t="s">
        <v>1330</v>
      </c>
      <c r="G10503" s="18" t="n">
        <v>338.76</v>
      </c>
      <c r="H10503" s="18" t="n">
        <v>0</v>
      </c>
      <c r="I10503" s="18" t="n">
        <f aca="false">((I10502 + G10503) - H10503)</f>
        <v>59316.3699999999</v>
      </c>
      <c r="J10503" s="18" t="n">
        <v>0</v>
      </c>
      <c r="K10503" s="19" t="n">
        <v>0</v>
      </c>
      <c r="L10503" s="17"/>
    </row>
    <row r="10504" s="11" customFormat="true" ht="10.95" hidden="false" customHeight="true" outlineLevel="0" collapsed="false">
      <c r="A10504" s="16" t="n">
        <v>45273</v>
      </c>
      <c r="B10504" s="17" t="s">
        <v>3861</v>
      </c>
      <c r="C10504" s="17" t="s">
        <v>3752</v>
      </c>
      <c r="D10504" s="17" t="s">
        <v>1276</v>
      </c>
      <c r="E10504" s="17" t="s">
        <v>3491</v>
      </c>
      <c r="F10504" s="17" t="s">
        <v>1330</v>
      </c>
      <c r="G10504" s="18" t="n">
        <v>6.06</v>
      </c>
      <c r="H10504" s="18" t="n">
        <v>0</v>
      </c>
      <c r="I10504" s="18" t="n">
        <f aca="false">((I10503 + G10504) - H10504)</f>
        <v>59322.4299999999</v>
      </c>
      <c r="J10504" s="18" t="n">
        <v>0</v>
      </c>
      <c r="K10504" s="19" t="n">
        <v>0</v>
      </c>
      <c r="L10504" s="17"/>
    </row>
    <row r="10505" s="11" customFormat="true" ht="10.95" hidden="false" customHeight="true" outlineLevel="0" collapsed="false">
      <c r="A10505" s="16" t="n">
        <v>45273</v>
      </c>
      <c r="B10505" s="17" t="s">
        <v>3861</v>
      </c>
      <c r="C10505" s="17" t="s">
        <v>3752</v>
      </c>
      <c r="D10505" s="17" t="s">
        <v>1407</v>
      </c>
      <c r="E10505" s="17" t="s">
        <v>3862</v>
      </c>
      <c r="F10505" s="17" t="s">
        <v>1330</v>
      </c>
      <c r="G10505" s="18" t="n">
        <v>0</v>
      </c>
      <c r="H10505" s="18" t="n">
        <v>12.36</v>
      </c>
      <c r="I10505" s="18" t="n">
        <f aca="false">((I10504 + G10505) - H10505)</f>
        <v>59310.0699999999</v>
      </c>
      <c r="J10505" s="18" t="n">
        <v>0</v>
      </c>
      <c r="K10505" s="19" t="n">
        <v>0</v>
      </c>
      <c r="L10505" s="17"/>
    </row>
    <row r="10506" s="11" customFormat="true" ht="10.95" hidden="false" customHeight="true" outlineLevel="0" collapsed="false">
      <c r="A10506" s="16" t="n">
        <v>45273</v>
      </c>
      <c r="B10506" s="17" t="s">
        <v>3861</v>
      </c>
      <c r="C10506" s="17" t="s">
        <v>3752</v>
      </c>
      <c r="D10506" s="17" t="s">
        <v>2895</v>
      </c>
      <c r="E10506" s="17" t="s">
        <v>2937</v>
      </c>
      <c r="F10506" s="17" t="s">
        <v>1332</v>
      </c>
      <c r="G10506" s="18" t="n">
        <v>508.15</v>
      </c>
      <c r="H10506" s="18" t="n">
        <v>0</v>
      </c>
      <c r="I10506" s="18" t="n">
        <f aca="false">((I10505 + G10506) - H10506)</f>
        <v>59818.2199999999</v>
      </c>
      <c r="J10506" s="18" t="n">
        <v>0</v>
      </c>
      <c r="K10506" s="19" t="n">
        <v>0</v>
      </c>
      <c r="L10506" s="17"/>
    </row>
    <row r="10507" s="11" customFormat="true" ht="10.95" hidden="false" customHeight="true" outlineLevel="0" collapsed="false">
      <c r="A10507" s="16" t="n">
        <v>45273</v>
      </c>
      <c r="B10507" s="17" t="s">
        <v>3861</v>
      </c>
      <c r="C10507" s="17" t="s">
        <v>3752</v>
      </c>
      <c r="D10507" s="17" t="s">
        <v>1276</v>
      </c>
      <c r="E10507" s="17" t="s">
        <v>3491</v>
      </c>
      <c r="F10507" s="17" t="s">
        <v>1332</v>
      </c>
      <c r="G10507" s="18" t="n">
        <v>9.07</v>
      </c>
      <c r="H10507" s="18" t="n">
        <v>0</v>
      </c>
      <c r="I10507" s="18" t="n">
        <f aca="false">((I10506 + G10507) - H10507)</f>
        <v>59827.2899999999</v>
      </c>
      <c r="J10507" s="18" t="n">
        <v>0</v>
      </c>
      <c r="K10507" s="19" t="n">
        <v>0</v>
      </c>
      <c r="L10507" s="17"/>
    </row>
    <row r="10508" s="11" customFormat="true" ht="10.95" hidden="false" customHeight="true" outlineLevel="0" collapsed="false">
      <c r="A10508" s="16" t="n">
        <v>45273</v>
      </c>
      <c r="B10508" s="17" t="s">
        <v>3861</v>
      </c>
      <c r="C10508" s="17" t="s">
        <v>3752</v>
      </c>
      <c r="D10508" s="17" t="s">
        <v>1407</v>
      </c>
      <c r="E10508" s="17" t="s">
        <v>3862</v>
      </c>
      <c r="F10508" s="17" t="s">
        <v>1332</v>
      </c>
      <c r="G10508" s="18" t="n">
        <v>0</v>
      </c>
      <c r="H10508" s="18" t="n">
        <v>18.39</v>
      </c>
      <c r="I10508" s="18" t="n">
        <f aca="false">((I10507 + G10508) - H10508)</f>
        <v>59808.8999999999</v>
      </c>
      <c r="J10508" s="18" t="n">
        <v>0</v>
      </c>
      <c r="K10508" s="19" t="n">
        <v>0</v>
      </c>
      <c r="L10508" s="17"/>
    </row>
    <row r="10509" s="11" customFormat="true" ht="10.95" hidden="false" customHeight="true" outlineLevel="0" collapsed="false">
      <c r="A10509" s="16" t="n">
        <v>45273</v>
      </c>
      <c r="B10509" s="17" t="s">
        <v>3861</v>
      </c>
      <c r="C10509" s="17" t="s">
        <v>3752</v>
      </c>
      <c r="D10509" s="17" t="s">
        <v>2895</v>
      </c>
      <c r="E10509" s="17" t="s">
        <v>3403</v>
      </c>
      <c r="F10509" s="17" t="s">
        <v>4147</v>
      </c>
      <c r="G10509" s="18" t="n">
        <v>1464.65</v>
      </c>
      <c r="H10509" s="18" t="n">
        <v>0</v>
      </c>
      <c r="I10509" s="18" t="n">
        <f aca="false">((I10508 + G10509) - H10509)</f>
        <v>61273.5499999999</v>
      </c>
      <c r="J10509" s="18" t="n">
        <v>0</v>
      </c>
      <c r="K10509" s="19" t="n">
        <v>0</v>
      </c>
      <c r="L10509" s="17"/>
    </row>
    <row r="10510" s="11" customFormat="true" ht="10.95" hidden="false" customHeight="true" outlineLevel="0" collapsed="false">
      <c r="A10510" s="16" t="n">
        <v>45273</v>
      </c>
      <c r="B10510" s="17" t="s">
        <v>3861</v>
      </c>
      <c r="C10510" s="17" t="s">
        <v>3752</v>
      </c>
      <c r="D10510" s="17" t="s">
        <v>2895</v>
      </c>
      <c r="E10510" s="17" t="s">
        <v>3403</v>
      </c>
      <c r="F10510" s="17" t="s">
        <v>4148</v>
      </c>
      <c r="G10510" s="18" t="n">
        <v>206.8</v>
      </c>
      <c r="H10510" s="18" t="n">
        <v>0</v>
      </c>
      <c r="I10510" s="18" t="n">
        <f aca="false">((I10509 + G10510) - H10510)</f>
        <v>61480.3499999999</v>
      </c>
      <c r="J10510" s="18" t="n">
        <v>0</v>
      </c>
      <c r="K10510" s="19" t="n">
        <v>0</v>
      </c>
      <c r="L10510" s="17"/>
    </row>
    <row r="10511" s="11" customFormat="true" ht="10.95" hidden="false" customHeight="true" outlineLevel="0" collapsed="false">
      <c r="A10511" s="16" t="n">
        <v>45273</v>
      </c>
      <c r="B10511" s="17" t="s">
        <v>3861</v>
      </c>
      <c r="C10511" s="17" t="s">
        <v>3752</v>
      </c>
      <c r="D10511" s="17" t="s">
        <v>2895</v>
      </c>
      <c r="E10511" s="17" t="s">
        <v>3403</v>
      </c>
      <c r="F10511" s="17" t="s">
        <v>4149</v>
      </c>
      <c r="G10511" s="18" t="n">
        <v>723.8</v>
      </c>
      <c r="H10511" s="18" t="n">
        <v>0</v>
      </c>
      <c r="I10511" s="18" t="n">
        <f aca="false">((I10510 + G10511) - H10511)</f>
        <v>62204.1499999999</v>
      </c>
      <c r="J10511" s="18" t="n">
        <v>0</v>
      </c>
      <c r="K10511" s="19" t="n">
        <v>0</v>
      </c>
      <c r="L10511" s="17"/>
    </row>
    <row r="10512" s="11" customFormat="true" ht="10.95" hidden="false" customHeight="true" outlineLevel="0" collapsed="false">
      <c r="A10512" s="16" t="n">
        <v>45273</v>
      </c>
      <c r="B10512" s="17" t="s">
        <v>3861</v>
      </c>
      <c r="C10512" s="17" t="s">
        <v>3752</v>
      </c>
      <c r="D10512" s="17" t="s">
        <v>2895</v>
      </c>
      <c r="E10512" s="17" t="s">
        <v>3403</v>
      </c>
      <c r="F10512" s="17" t="s">
        <v>4150</v>
      </c>
      <c r="G10512" s="18" t="n">
        <v>2484.9</v>
      </c>
      <c r="H10512" s="18" t="n">
        <v>0</v>
      </c>
      <c r="I10512" s="18" t="n">
        <f aca="false">((I10511 + G10512) - H10512)</f>
        <v>64689.0499999999</v>
      </c>
      <c r="J10512" s="18" t="n">
        <v>0</v>
      </c>
      <c r="K10512" s="19" t="n">
        <v>0</v>
      </c>
      <c r="L10512" s="17"/>
    </row>
    <row r="10513" s="11" customFormat="true" ht="10.95" hidden="false" customHeight="true" outlineLevel="0" collapsed="false">
      <c r="A10513" s="16" t="n">
        <v>45273</v>
      </c>
      <c r="B10513" s="17" t="s">
        <v>3861</v>
      </c>
      <c r="C10513" s="17" t="s">
        <v>3752</v>
      </c>
      <c r="D10513" s="17" t="s">
        <v>2895</v>
      </c>
      <c r="E10513" s="17" t="s">
        <v>3403</v>
      </c>
      <c r="F10513" s="17" t="s">
        <v>4151</v>
      </c>
      <c r="G10513" s="18" t="n">
        <v>627</v>
      </c>
      <c r="H10513" s="18" t="n">
        <v>0</v>
      </c>
      <c r="I10513" s="18" t="n">
        <f aca="false">((I10512 + G10513) - H10513)</f>
        <v>65316.0499999999</v>
      </c>
      <c r="J10513" s="18" t="n">
        <v>0</v>
      </c>
      <c r="K10513" s="19" t="n">
        <v>0</v>
      </c>
      <c r="L10513" s="17"/>
    </row>
    <row r="10514" s="11" customFormat="true" ht="10.95" hidden="false" customHeight="true" outlineLevel="0" collapsed="false">
      <c r="A10514" s="16" t="n">
        <v>45273</v>
      </c>
      <c r="B10514" s="17" t="s">
        <v>3861</v>
      </c>
      <c r="C10514" s="17" t="s">
        <v>3752</v>
      </c>
      <c r="D10514" s="17" t="s">
        <v>2895</v>
      </c>
      <c r="E10514" s="17" t="s">
        <v>3403</v>
      </c>
      <c r="F10514" s="17" t="s">
        <v>4152</v>
      </c>
      <c r="G10514" s="18" t="n">
        <v>618.75</v>
      </c>
      <c r="H10514" s="18" t="n">
        <v>0</v>
      </c>
      <c r="I10514" s="18" t="n">
        <f aca="false">((I10513 + G10514) - H10514)</f>
        <v>65934.7999999999</v>
      </c>
      <c r="J10514" s="18" t="n">
        <v>0</v>
      </c>
      <c r="K10514" s="19" t="n">
        <v>0</v>
      </c>
      <c r="L10514" s="17"/>
    </row>
    <row r="10515" s="11" customFormat="true" ht="10.95" hidden="false" customHeight="true" outlineLevel="0" collapsed="false">
      <c r="A10515" s="16" t="n">
        <v>45273</v>
      </c>
      <c r="B10515" s="17" t="s">
        <v>3861</v>
      </c>
      <c r="C10515" s="17" t="s">
        <v>3752</v>
      </c>
      <c r="D10515" s="17" t="s">
        <v>2895</v>
      </c>
      <c r="E10515" s="17" t="s">
        <v>3403</v>
      </c>
      <c r="F10515" s="17" t="s">
        <v>4153</v>
      </c>
      <c r="G10515" s="18" t="n">
        <v>723.8</v>
      </c>
      <c r="H10515" s="18" t="n">
        <v>0</v>
      </c>
      <c r="I10515" s="18" t="n">
        <f aca="false">((I10514 + G10515) - H10515)</f>
        <v>66658.5999999999</v>
      </c>
      <c r="J10515" s="18" t="n">
        <v>0</v>
      </c>
      <c r="K10515" s="19" t="n">
        <v>0</v>
      </c>
      <c r="L10515" s="17"/>
    </row>
    <row r="10516" s="11" customFormat="true" ht="10.95" hidden="false" customHeight="true" outlineLevel="0" collapsed="false">
      <c r="A10516" s="16" t="n">
        <v>45273</v>
      </c>
      <c r="B10516" s="17" t="s">
        <v>3861</v>
      </c>
      <c r="C10516" s="17" t="s">
        <v>3752</v>
      </c>
      <c r="D10516" s="17" t="s">
        <v>2895</v>
      </c>
      <c r="E10516" s="17" t="s">
        <v>3403</v>
      </c>
      <c r="F10516" s="17" t="s">
        <v>4154</v>
      </c>
      <c r="G10516" s="18" t="n">
        <v>1878.25</v>
      </c>
      <c r="H10516" s="18" t="n">
        <v>0</v>
      </c>
      <c r="I10516" s="18" t="n">
        <f aca="false">((I10515 + G10516) - H10516)</f>
        <v>68536.8499999999</v>
      </c>
      <c r="J10516" s="18" t="n">
        <v>0</v>
      </c>
      <c r="K10516" s="19" t="n">
        <v>0</v>
      </c>
      <c r="L10516" s="17"/>
    </row>
    <row r="10517" s="11" customFormat="true" ht="10.95" hidden="false" customHeight="true" outlineLevel="0" collapsed="false">
      <c r="A10517" s="16" t="n">
        <v>45273</v>
      </c>
      <c r="B10517" s="17" t="s">
        <v>3861</v>
      </c>
      <c r="C10517" s="17" t="s">
        <v>3752</v>
      </c>
      <c r="D10517" s="17" t="s">
        <v>2895</v>
      </c>
      <c r="E10517" s="17" t="s">
        <v>3403</v>
      </c>
      <c r="F10517" s="17" t="s">
        <v>4155</v>
      </c>
      <c r="G10517" s="18" t="n">
        <v>1137.4</v>
      </c>
      <c r="H10517" s="18" t="n">
        <v>0</v>
      </c>
      <c r="I10517" s="18" t="n">
        <f aca="false">((I10516 + G10517) - H10517)</f>
        <v>69674.2499999999</v>
      </c>
      <c r="J10517" s="18" t="n">
        <v>0</v>
      </c>
      <c r="K10517" s="19" t="n">
        <v>0</v>
      </c>
      <c r="L10517" s="17"/>
    </row>
    <row r="10518" s="11" customFormat="true" ht="10.95" hidden="false" customHeight="true" outlineLevel="0" collapsed="false">
      <c r="A10518" s="16" t="n">
        <v>45273</v>
      </c>
      <c r="B10518" s="17" t="s">
        <v>3861</v>
      </c>
      <c r="C10518" s="17" t="s">
        <v>3752</v>
      </c>
      <c r="D10518" s="17" t="s">
        <v>2895</v>
      </c>
      <c r="E10518" s="17" t="s">
        <v>3403</v>
      </c>
      <c r="F10518" s="17" t="s">
        <v>4156</v>
      </c>
      <c r="G10518" s="18" t="n">
        <v>827.2</v>
      </c>
      <c r="H10518" s="18" t="n">
        <v>0</v>
      </c>
      <c r="I10518" s="18" t="n">
        <f aca="false">((I10517 + G10518) - H10518)</f>
        <v>70501.4499999999</v>
      </c>
      <c r="J10518" s="18" t="n">
        <v>0</v>
      </c>
      <c r="K10518" s="19" t="n">
        <v>0</v>
      </c>
      <c r="L10518" s="17"/>
    </row>
    <row r="10519" s="11" customFormat="true" ht="10.95" hidden="false" customHeight="true" outlineLevel="0" collapsed="false">
      <c r="A10519" s="16" t="n">
        <v>45273</v>
      </c>
      <c r="B10519" s="17" t="s">
        <v>3861</v>
      </c>
      <c r="C10519" s="17" t="s">
        <v>3752</v>
      </c>
      <c r="D10519" s="17" t="s">
        <v>2895</v>
      </c>
      <c r="E10519" s="17" t="s">
        <v>3403</v>
      </c>
      <c r="F10519" s="17" t="s">
        <v>4157</v>
      </c>
      <c r="G10519" s="18" t="n">
        <v>310.2</v>
      </c>
      <c r="H10519" s="18" t="n">
        <v>0</v>
      </c>
      <c r="I10519" s="18" t="n">
        <f aca="false">((I10518 + G10519) - H10519)</f>
        <v>70811.6499999999</v>
      </c>
      <c r="J10519" s="18" t="n">
        <v>0</v>
      </c>
      <c r="K10519" s="19" t="n">
        <v>0</v>
      </c>
      <c r="L10519" s="17"/>
    </row>
    <row r="10520" s="11" customFormat="true" ht="10.95" hidden="false" customHeight="true" outlineLevel="0" collapsed="false">
      <c r="A10520" s="16" t="n">
        <v>45273</v>
      </c>
      <c r="B10520" s="17" t="s">
        <v>3861</v>
      </c>
      <c r="C10520" s="17" t="s">
        <v>3752</v>
      </c>
      <c r="D10520" s="17" t="s">
        <v>2895</v>
      </c>
      <c r="E10520" s="17" t="s">
        <v>3403</v>
      </c>
      <c r="F10520" s="17" t="s">
        <v>4158</v>
      </c>
      <c r="G10520" s="18" t="n">
        <v>310.2</v>
      </c>
      <c r="H10520" s="18" t="n">
        <v>0</v>
      </c>
      <c r="I10520" s="18" t="n">
        <f aca="false">((I10519 + G10520) - H10520)</f>
        <v>71121.8499999999</v>
      </c>
      <c r="J10520" s="18" t="n">
        <v>0</v>
      </c>
      <c r="K10520" s="19" t="n">
        <v>0</v>
      </c>
      <c r="L10520" s="17"/>
    </row>
    <row r="10521" s="11" customFormat="true" ht="10.95" hidden="false" customHeight="true" outlineLevel="0" collapsed="false">
      <c r="A10521" s="16" t="n">
        <v>45273</v>
      </c>
      <c r="B10521" s="17" t="s">
        <v>3861</v>
      </c>
      <c r="C10521" s="17" t="s">
        <v>3752</v>
      </c>
      <c r="D10521" s="17" t="s">
        <v>2895</v>
      </c>
      <c r="E10521" s="17" t="s">
        <v>3403</v>
      </c>
      <c r="F10521" s="17" t="s">
        <v>4159</v>
      </c>
      <c r="G10521" s="18" t="n">
        <v>1258.4</v>
      </c>
      <c r="H10521" s="18" t="n">
        <v>0</v>
      </c>
      <c r="I10521" s="18" t="n">
        <f aca="false">((I10520 + G10521) - H10521)</f>
        <v>72380.2499999999</v>
      </c>
      <c r="J10521" s="18" t="n">
        <v>0</v>
      </c>
      <c r="K10521" s="19" t="n">
        <v>0</v>
      </c>
      <c r="L10521" s="17"/>
    </row>
    <row r="10522" s="11" customFormat="true" ht="10.95" hidden="false" customHeight="true" outlineLevel="0" collapsed="false">
      <c r="A10522" s="16" t="n">
        <v>45273</v>
      </c>
      <c r="B10522" s="17" t="s">
        <v>3861</v>
      </c>
      <c r="C10522" s="17" t="s">
        <v>3752</v>
      </c>
      <c r="D10522" s="17" t="s">
        <v>2895</v>
      </c>
      <c r="E10522" s="17" t="s">
        <v>3403</v>
      </c>
      <c r="F10522" s="17" t="s">
        <v>4160</v>
      </c>
      <c r="G10522" s="18" t="n">
        <v>316.8</v>
      </c>
      <c r="H10522" s="18" t="n">
        <v>0</v>
      </c>
      <c r="I10522" s="18" t="n">
        <f aca="false">((I10521 + G10522) - H10522)</f>
        <v>72697.0499999999</v>
      </c>
      <c r="J10522" s="18" t="n">
        <v>0</v>
      </c>
      <c r="K10522" s="19" t="n">
        <v>0</v>
      </c>
      <c r="L10522" s="17"/>
    </row>
    <row r="10523" s="11" customFormat="true" ht="10.95" hidden="false" customHeight="true" outlineLevel="0" collapsed="false">
      <c r="A10523" s="16" t="n">
        <v>45273</v>
      </c>
      <c r="B10523" s="17" t="s">
        <v>3861</v>
      </c>
      <c r="C10523" s="17" t="s">
        <v>3752</v>
      </c>
      <c r="D10523" s="17" t="s">
        <v>2895</v>
      </c>
      <c r="E10523" s="17" t="s">
        <v>3403</v>
      </c>
      <c r="F10523" s="17" t="s">
        <v>4161</v>
      </c>
      <c r="G10523" s="18" t="n">
        <v>103.4</v>
      </c>
      <c r="H10523" s="18" t="n">
        <v>0</v>
      </c>
      <c r="I10523" s="18" t="n">
        <f aca="false">((I10522 + G10523) - H10523)</f>
        <v>72800.4499999999</v>
      </c>
      <c r="J10523" s="18" t="n">
        <v>0</v>
      </c>
      <c r="K10523" s="19" t="n">
        <v>0</v>
      </c>
      <c r="L10523" s="17"/>
    </row>
    <row r="10524" s="11" customFormat="true" ht="10.95" hidden="false" customHeight="true" outlineLevel="0" collapsed="false">
      <c r="A10524" s="16" t="n">
        <v>45273</v>
      </c>
      <c r="B10524" s="17" t="s">
        <v>3861</v>
      </c>
      <c r="C10524" s="17" t="s">
        <v>3752</v>
      </c>
      <c r="D10524" s="17" t="s">
        <v>2895</v>
      </c>
      <c r="E10524" s="17" t="s">
        <v>3403</v>
      </c>
      <c r="F10524" s="17" t="s">
        <v>4162</v>
      </c>
      <c r="G10524" s="18" t="n">
        <v>517</v>
      </c>
      <c r="H10524" s="18" t="n">
        <v>0</v>
      </c>
      <c r="I10524" s="18" t="n">
        <f aca="false">((I10523 + G10524) - H10524)</f>
        <v>73317.4499999999</v>
      </c>
      <c r="J10524" s="18" t="n">
        <v>0</v>
      </c>
      <c r="K10524" s="19" t="n">
        <v>0</v>
      </c>
      <c r="L10524" s="17"/>
    </row>
    <row r="10525" s="11" customFormat="true" ht="10.95" hidden="false" customHeight="true" outlineLevel="0" collapsed="false">
      <c r="A10525" s="16" t="n">
        <v>45273</v>
      </c>
      <c r="B10525" s="17" t="s">
        <v>3861</v>
      </c>
      <c r="C10525" s="17" t="s">
        <v>3752</v>
      </c>
      <c r="D10525" s="17" t="s">
        <v>2895</v>
      </c>
      <c r="E10525" s="17" t="s">
        <v>3403</v>
      </c>
      <c r="F10525" s="17" t="s">
        <v>4163</v>
      </c>
      <c r="G10525" s="18" t="n">
        <v>827.2</v>
      </c>
      <c r="H10525" s="18" t="n">
        <v>0</v>
      </c>
      <c r="I10525" s="18" t="n">
        <f aca="false">((I10524 + G10525) - H10525)</f>
        <v>74144.6499999999</v>
      </c>
      <c r="J10525" s="18" t="n">
        <v>0</v>
      </c>
      <c r="K10525" s="19" t="n">
        <v>0</v>
      </c>
      <c r="L10525" s="17"/>
    </row>
    <row r="10526" s="11" customFormat="true" ht="10.95" hidden="false" customHeight="true" outlineLevel="0" collapsed="false">
      <c r="A10526" s="16" t="n">
        <v>45273</v>
      </c>
      <c r="B10526" s="17" t="s">
        <v>3861</v>
      </c>
      <c r="C10526" s="17" t="s">
        <v>3752</v>
      </c>
      <c r="D10526" s="17" t="s">
        <v>1407</v>
      </c>
      <c r="E10526" s="17" t="s">
        <v>3897</v>
      </c>
      <c r="F10526" s="17"/>
      <c r="G10526" s="18" t="n">
        <v>0</v>
      </c>
      <c r="H10526" s="18" t="n">
        <v>30</v>
      </c>
      <c r="I10526" s="18" t="n">
        <f aca="false">((I10525 + G10526) - H10526)</f>
        <v>74114.6499999999</v>
      </c>
      <c r="J10526" s="18" t="n">
        <v>0</v>
      </c>
      <c r="K10526" s="19" t="n">
        <v>0</v>
      </c>
      <c r="L10526" s="17"/>
    </row>
    <row r="10527" s="11" customFormat="true" ht="10.95" hidden="false" customHeight="true" outlineLevel="0" collapsed="false">
      <c r="A10527" s="16" t="n">
        <v>45273</v>
      </c>
      <c r="B10527" s="17" t="s">
        <v>3861</v>
      </c>
      <c r="C10527" s="17" t="s">
        <v>3752</v>
      </c>
      <c r="D10527" s="17" t="s">
        <v>1407</v>
      </c>
      <c r="E10527" s="17" t="s">
        <v>3881</v>
      </c>
      <c r="F10527" s="17"/>
      <c r="G10527" s="18" t="n">
        <v>0</v>
      </c>
      <c r="H10527" s="18" t="n">
        <v>140</v>
      </c>
      <c r="I10527" s="18" t="n">
        <f aca="false">((I10526 + G10527) - H10527)</f>
        <v>73974.6499999999</v>
      </c>
      <c r="J10527" s="18" t="n">
        <v>0</v>
      </c>
      <c r="K10527" s="19" t="n">
        <v>0</v>
      </c>
      <c r="L10527" s="17"/>
    </row>
    <row r="10528" s="11" customFormat="true" ht="10.95" hidden="false" customHeight="true" outlineLevel="0" collapsed="false">
      <c r="A10528" s="16" t="n">
        <v>45273</v>
      </c>
      <c r="B10528" s="17" t="s">
        <v>3861</v>
      </c>
      <c r="C10528" s="17" t="s">
        <v>3752</v>
      </c>
      <c r="D10528" s="17" t="s">
        <v>1407</v>
      </c>
      <c r="E10528" s="17" t="s">
        <v>3879</v>
      </c>
      <c r="F10528" s="17"/>
      <c r="G10528" s="18" t="n">
        <v>0</v>
      </c>
      <c r="H10528" s="18" t="n">
        <v>1207</v>
      </c>
      <c r="I10528" s="18" t="n">
        <f aca="false">((I10527 + G10528) - H10528)</f>
        <v>72767.6499999999</v>
      </c>
      <c r="J10528" s="18" t="n">
        <v>0</v>
      </c>
      <c r="K10528" s="19" t="n">
        <v>0</v>
      </c>
      <c r="L10528" s="17"/>
    </row>
    <row r="10529" s="11" customFormat="true" ht="10.95" hidden="false" customHeight="true" outlineLevel="0" collapsed="false">
      <c r="A10529" s="16" t="n">
        <v>45273</v>
      </c>
      <c r="B10529" s="17" t="s">
        <v>3861</v>
      </c>
      <c r="C10529" s="17" t="s">
        <v>3752</v>
      </c>
      <c r="D10529" s="17" t="s">
        <v>1407</v>
      </c>
      <c r="E10529" s="17" t="s">
        <v>3880</v>
      </c>
      <c r="F10529" s="17"/>
      <c r="G10529" s="18" t="n">
        <v>0</v>
      </c>
      <c r="H10529" s="18" t="n">
        <v>1207</v>
      </c>
      <c r="I10529" s="18" t="n">
        <f aca="false">((I10528 + G10529) - H10529)</f>
        <v>71560.6499999999</v>
      </c>
      <c r="J10529" s="18" t="n">
        <v>0</v>
      </c>
      <c r="K10529" s="19" t="n">
        <v>0</v>
      </c>
      <c r="L10529" s="17"/>
    </row>
    <row r="10530" s="11" customFormat="true" ht="10.95" hidden="false" customHeight="true" outlineLevel="0" collapsed="false">
      <c r="A10530" s="16" t="n">
        <v>45273</v>
      </c>
      <c r="B10530" s="17" t="s">
        <v>3861</v>
      </c>
      <c r="C10530" s="17" t="s">
        <v>3752</v>
      </c>
      <c r="D10530" s="17" t="s">
        <v>1407</v>
      </c>
      <c r="E10530" s="17" t="s">
        <v>3808</v>
      </c>
      <c r="F10530" s="17"/>
      <c r="G10530" s="18" t="n">
        <v>0</v>
      </c>
      <c r="H10530" s="18" t="n">
        <v>1705.92</v>
      </c>
      <c r="I10530" s="18" t="n">
        <f aca="false">((I10529 + G10530) - H10530)</f>
        <v>69854.7299999999</v>
      </c>
      <c r="J10530" s="18" t="n">
        <v>0</v>
      </c>
      <c r="K10530" s="19" t="n">
        <v>0</v>
      </c>
      <c r="L10530" s="17"/>
    </row>
    <row r="10531" s="11" customFormat="true" ht="10.95" hidden="false" customHeight="true" outlineLevel="0" collapsed="false">
      <c r="A10531" s="16" t="n">
        <v>45273</v>
      </c>
      <c r="B10531" s="17" t="s">
        <v>3861</v>
      </c>
      <c r="C10531" s="17" t="s">
        <v>3752</v>
      </c>
      <c r="D10531" s="17" t="s">
        <v>2903</v>
      </c>
      <c r="E10531" s="17" t="s">
        <v>3643</v>
      </c>
      <c r="F10531" s="17" t="s">
        <v>1476</v>
      </c>
      <c r="G10531" s="18" t="n">
        <v>0</v>
      </c>
      <c r="H10531" s="18" t="n">
        <v>1525.02</v>
      </c>
      <c r="I10531" s="18" t="n">
        <f aca="false">((I10530 + G10531) - H10531)</f>
        <v>68329.7099999999</v>
      </c>
      <c r="J10531" s="18" t="n">
        <v>0</v>
      </c>
      <c r="K10531" s="19" t="n">
        <v>0</v>
      </c>
      <c r="L10531" s="17"/>
    </row>
    <row r="10532" s="11" customFormat="true" ht="10.95" hidden="false" customHeight="true" outlineLevel="0" collapsed="false">
      <c r="A10532" s="16" t="n">
        <v>45274</v>
      </c>
      <c r="B10532" s="17" t="s">
        <v>3861</v>
      </c>
      <c r="C10532" s="17" t="s">
        <v>3752</v>
      </c>
      <c r="D10532" s="17" t="s">
        <v>1407</v>
      </c>
      <c r="E10532" s="17" t="s">
        <v>3642</v>
      </c>
      <c r="F10532" s="17"/>
      <c r="G10532" s="18" t="n">
        <v>0</v>
      </c>
      <c r="H10532" s="18" t="n">
        <v>70.07</v>
      </c>
      <c r="I10532" s="18" t="n">
        <f aca="false">((I10531 + G10532) - H10532)</f>
        <v>68259.6399999999</v>
      </c>
      <c r="J10532" s="18" t="n">
        <v>0</v>
      </c>
      <c r="K10532" s="19" t="n">
        <v>0</v>
      </c>
      <c r="L10532" s="17"/>
    </row>
    <row r="10533" s="11" customFormat="true" ht="10.95" hidden="false" customHeight="true" outlineLevel="0" collapsed="false">
      <c r="A10533" s="16" t="n">
        <v>45275</v>
      </c>
      <c r="B10533" s="17" t="s">
        <v>3861</v>
      </c>
      <c r="C10533" s="17" t="s">
        <v>3752</v>
      </c>
      <c r="D10533" s="17" t="s">
        <v>1276</v>
      </c>
      <c r="E10533" s="17" t="s">
        <v>3449</v>
      </c>
      <c r="F10533" s="17" t="s">
        <v>1334</v>
      </c>
      <c r="G10533" s="18" t="n">
        <v>30.37</v>
      </c>
      <c r="H10533" s="18" t="n">
        <v>0</v>
      </c>
      <c r="I10533" s="18" t="n">
        <f aca="false">((I10532 + G10533) - H10533)</f>
        <v>68290.0099999999</v>
      </c>
      <c r="J10533" s="18" t="n">
        <v>0</v>
      </c>
      <c r="K10533" s="19" t="n">
        <v>0</v>
      </c>
      <c r="L10533" s="17"/>
    </row>
    <row r="10534" s="11" customFormat="true" ht="10.95" hidden="false" customHeight="true" outlineLevel="0" collapsed="false">
      <c r="A10534" s="16" t="n">
        <v>45275</v>
      </c>
      <c r="B10534" s="17" t="s">
        <v>3861</v>
      </c>
      <c r="C10534" s="17" t="s">
        <v>3752</v>
      </c>
      <c r="D10534" s="17" t="s">
        <v>2895</v>
      </c>
      <c r="E10534" s="17" t="s">
        <v>2897</v>
      </c>
      <c r="F10534" s="17" t="s">
        <v>1334</v>
      </c>
      <c r="G10534" s="18" t="n">
        <v>1700.04</v>
      </c>
      <c r="H10534" s="18" t="n">
        <v>0</v>
      </c>
      <c r="I10534" s="18" t="n">
        <f aca="false">((I10533 + G10534) - H10534)</f>
        <v>69990.0499999999</v>
      </c>
      <c r="J10534" s="18" t="n">
        <v>0</v>
      </c>
      <c r="K10534" s="19" t="n">
        <v>0</v>
      </c>
      <c r="L10534" s="17"/>
    </row>
    <row r="10535" s="11" customFormat="true" ht="10.95" hidden="false" customHeight="true" outlineLevel="0" collapsed="false">
      <c r="A10535" s="16" t="n">
        <v>45275</v>
      </c>
      <c r="B10535" s="17" t="s">
        <v>3861</v>
      </c>
      <c r="C10535" s="17" t="s">
        <v>3752</v>
      </c>
      <c r="D10535" s="17" t="s">
        <v>1407</v>
      </c>
      <c r="E10535" s="17" t="s">
        <v>3862</v>
      </c>
      <c r="F10535" s="17" t="s">
        <v>1334</v>
      </c>
      <c r="G10535" s="18" t="n">
        <v>0</v>
      </c>
      <c r="H10535" s="18" t="n">
        <v>60.84</v>
      </c>
      <c r="I10535" s="18" t="n">
        <f aca="false">((I10534 + G10535) - H10535)</f>
        <v>69929.2099999999</v>
      </c>
      <c r="J10535" s="18" t="n">
        <v>0</v>
      </c>
      <c r="K10535" s="19" t="n">
        <v>0</v>
      </c>
      <c r="L10535" s="17"/>
    </row>
    <row r="10536" s="11" customFormat="true" ht="10.95" hidden="false" customHeight="true" outlineLevel="0" collapsed="false">
      <c r="A10536" s="16" t="n">
        <v>45275</v>
      </c>
      <c r="B10536" s="17" t="s">
        <v>3861</v>
      </c>
      <c r="C10536" s="17" t="s">
        <v>3752</v>
      </c>
      <c r="D10536" s="17" t="s">
        <v>1407</v>
      </c>
      <c r="E10536" s="17" t="s">
        <v>3862</v>
      </c>
      <c r="F10536" s="17" t="s">
        <v>1336</v>
      </c>
      <c r="G10536" s="18" t="n">
        <v>0</v>
      </c>
      <c r="H10536" s="18" t="n">
        <v>181.93</v>
      </c>
      <c r="I10536" s="18" t="n">
        <f aca="false">((I10535 + G10536) - H10536)</f>
        <v>69747.2799999999</v>
      </c>
      <c r="J10536" s="18" t="n">
        <v>0</v>
      </c>
      <c r="K10536" s="19" t="n">
        <v>0</v>
      </c>
      <c r="L10536" s="17"/>
    </row>
    <row r="10537" s="11" customFormat="true" ht="10.95" hidden="false" customHeight="true" outlineLevel="0" collapsed="false">
      <c r="A10537" s="16" t="n">
        <v>45275</v>
      </c>
      <c r="B10537" s="17" t="s">
        <v>3861</v>
      </c>
      <c r="C10537" s="17" t="s">
        <v>3752</v>
      </c>
      <c r="D10537" s="17" t="s">
        <v>2895</v>
      </c>
      <c r="E10537" s="17" t="s">
        <v>2897</v>
      </c>
      <c r="F10537" s="17" t="s">
        <v>1336</v>
      </c>
      <c r="G10537" s="18" t="n">
        <v>5100.11</v>
      </c>
      <c r="H10537" s="18" t="n">
        <v>0</v>
      </c>
      <c r="I10537" s="18" t="n">
        <f aca="false">((I10536 + G10537) - H10537)</f>
        <v>74847.3899999999</v>
      </c>
      <c r="J10537" s="18" t="n">
        <v>0</v>
      </c>
      <c r="K10537" s="19" t="n">
        <v>0</v>
      </c>
      <c r="L10537" s="17"/>
    </row>
    <row r="10538" s="11" customFormat="true" ht="10.95" hidden="false" customHeight="true" outlineLevel="0" collapsed="false">
      <c r="A10538" s="16" t="n">
        <v>45275</v>
      </c>
      <c r="B10538" s="17" t="s">
        <v>3861</v>
      </c>
      <c r="C10538" s="17" t="s">
        <v>3752</v>
      </c>
      <c r="D10538" s="17" t="s">
        <v>1276</v>
      </c>
      <c r="E10538" s="17" t="s">
        <v>3449</v>
      </c>
      <c r="F10538" s="17" t="s">
        <v>1336</v>
      </c>
      <c r="G10538" s="18" t="n">
        <v>91.1</v>
      </c>
      <c r="H10538" s="18" t="n">
        <v>0</v>
      </c>
      <c r="I10538" s="18" t="n">
        <f aca="false">((I10537 + G10538) - H10538)</f>
        <v>74938.4899999999</v>
      </c>
      <c r="J10538" s="18" t="n">
        <v>0</v>
      </c>
      <c r="K10538" s="19" t="n">
        <v>0</v>
      </c>
      <c r="L10538" s="17"/>
    </row>
    <row r="10539" s="11" customFormat="true" ht="10.95" hidden="false" customHeight="true" outlineLevel="0" collapsed="false">
      <c r="A10539" s="16" t="n">
        <v>45275</v>
      </c>
      <c r="B10539" s="17" t="s">
        <v>3861</v>
      </c>
      <c r="C10539" s="17" t="s">
        <v>3752</v>
      </c>
      <c r="D10539" s="17" t="s">
        <v>2895</v>
      </c>
      <c r="E10539" s="17" t="s">
        <v>2897</v>
      </c>
      <c r="F10539" s="17" t="s">
        <v>1338</v>
      </c>
      <c r="G10539" s="18" t="n">
        <v>10069.45</v>
      </c>
      <c r="H10539" s="18" t="n">
        <v>0</v>
      </c>
      <c r="I10539" s="18" t="n">
        <f aca="false">((I10538 + G10539) - H10539)</f>
        <v>85007.9399999999</v>
      </c>
      <c r="J10539" s="18" t="n">
        <v>0</v>
      </c>
      <c r="K10539" s="19" t="n">
        <v>0</v>
      </c>
      <c r="L10539" s="17"/>
    </row>
    <row r="10540" s="11" customFormat="true" ht="10.95" hidden="false" customHeight="true" outlineLevel="0" collapsed="false">
      <c r="A10540" s="16" t="n">
        <v>45275</v>
      </c>
      <c r="B10540" s="17" t="s">
        <v>3861</v>
      </c>
      <c r="C10540" s="17" t="s">
        <v>3752</v>
      </c>
      <c r="D10540" s="17" t="s">
        <v>1276</v>
      </c>
      <c r="E10540" s="17" t="s">
        <v>3449</v>
      </c>
      <c r="F10540" s="17" t="s">
        <v>1338</v>
      </c>
      <c r="G10540" s="18" t="n">
        <v>179.87</v>
      </c>
      <c r="H10540" s="18" t="n">
        <v>0</v>
      </c>
      <c r="I10540" s="18" t="n">
        <f aca="false">((I10539 + G10540) - H10540)</f>
        <v>85187.8099999999</v>
      </c>
      <c r="J10540" s="18" t="n">
        <v>0</v>
      </c>
      <c r="K10540" s="19" t="n">
        <v>0</v>
      </c>
      <c r="L10540" s="17"/>
    </row>
    <row r="10541" s="11" customFormat="true" ht="10.95" hidden="false" customHeight="true" outlineLevel="0" collapsed="false">
      <c r="A10541" s="16" t="n">
        <v>45275</v>
      </c>
      <c r="B10541" s="17" t="s">
        <v>3861</v>
      </c>
      <c r="C10541" s="17" t="s">
        <v>3752</v>
      </c>
      <c r="D10541" s="17" t="s">
        <v>1407</v>
      </c>
      <c r="E10541" s="17" t="s">
        <v>3862</v>
      </c>
      <c r="F10541" s="17" t="s">
        <v>1338</v>
      </c>
      <c r="G10541" s="18" t="n">
        <v>0</v>
      </c>
      <c r="H10541" s="18" t="n">
        <v>358.9</v>
      </c>
      <c r="I10541" s="18" t="n">
        <f aca="false">((I10540 + G10541) - H10541)</f>
        <v>84828.9099999999</v>
      </c>
      <c r="J10541" s="18" t="n">
        <v>0</v>
      </c>
      <c r="K10541" s="19" t="n">
        <v>0</v>
      </c>
      <c r="L10541" s="17"/>
    </row>
    <row r="10542" s="11" customFormat="true" ht="10.95" hidden="false" customHeight="true" outlineLevel="0" collapsed="false">
      <c r="A10542" s="16" t="n">
        <v>45275</v>
      </c>
      <c r="B10542" s="17" t="s">
        <v>3861</v>
      </c>
      <c r="C10542" s="17" t="s">
        <v>3752</v>
      </c>
      <c r="D10542" s="17" t="s">
        <v>3814</v>
      </c>
      <c r="E10542" s="17" t="s">
        <v>3815</v>
      </c>
      <c r="F10542" s="17"/>
      <c r="G10542" s="18" t="n">
        <v>0</v>
      </c>
      <c r="H10542" s="18" t="n">
        <v>0.3</v>
      </c>
      <c r="I10542" s="18" t="n">
        <f aca="false">((I10541 + G10542) - H10542)</f>
        <v>84828.6099999999</v>
      </c>
      <c r="J10542" s="18" t="n">
        <v>0</v>
      </c>
      <c r="K10542" s="19" t="n">
        <v>0</v>
      </c>
      <c r="L10542" s="17"/>
    </row>
    <row r="10543" s="11" customFormat="true" ht="10.95" hidden="false" customHeight="true" outlineLevel="0" collapsed="false">
      <c r="A10543" s="16" t="n">
        <v>45275</v>
      </c>
      <c r="B10543" s="17" t="s">
        <v>3861</v>
      </c>
      <c r="C10543" s="17" t="s">
        <v>3752</v>
      </c>
      <c r="D10543" s="17" t="s">
        <v>1407</v>
      </c>
      <c r="E10543" s="17" t="s">
        <v>3863</v>
      </c>
      <c r="F10543" s="17"/>
      <c r="G10543" s="18" t="n">
        <v>0</v>
      </c>
      <c r="H10543" s="18" t="n">
        <v>0.61</v>
      </c>
      <c r="I10543" s="18" t="n">
        <f aca="false">((I10542 + G10543) - H10543)</f>
        <v>84827.9999999999</v>
      </c>
      <c r="J10543" s="18" t="n">
        <v>0</v>
      </c>
      <c r="K10543" s="19" t="n">
        <v>0</v>
      </c>
      <c r="L10543" s="17"/>
    </row>
    <row r="10544" s="11" customFormat="true" ht="10.95" hidden="false" customHeight="true" outlineLevel="0" collapsed="false">
      <c r="A10544" s="16" t="n">
        <v>45275</v>
      </c>
      <c r="B10544" s="17" t="s">
        <v>3861</v>
      </c>
      <c r="C10544" s="17" t="s">
        <v>3752</v>
      </c>
      <c r="D10544" s="17" t="s">
        <v>1407</v>
      </c>
      <c r="E10544" s="17" t="s">
        <v>3863</v>
      </c>
      <c r="F10544" s="17"/>
      <c r="G10544" s="18" t="n">
        <v>0</v>
      </c>
      <c r="H10544" s="18" t="n">
        <v>14.09</v>
      </c>
      <c r="I10544" s="18" t="n">
        <f aca="false">((I10543 + G10544) - H10544)</f>
        <v>84813.9099999999</v>
      </c>
      <c r="J10544" s="18" t="n">
        <v>0</v>
      </c>
      <c r="K10544" s="19" t="n">
        <v>0</v>
      </c>
      <c r="L10544" s="17"/>
    </row>
    <row r="10545" s="11" customFormat="true" ht="10.95" hidden="false" customHeight="true" outlineLevel="0" collapsed="false">
      <c r="A10545" s="16" t="n">
        <v>45275</v>
      </c>
      <c r="B10545" s="17" t="s">
        <v>3861</v>
      </c>
      <c r="C10545" s="17" t="s">
        <v>3752</v>
      </c>
      <c r="D10545" s="17" t="s">
        <v>2903</v>
      </c>
      <c r="E10545" s="17" t="s">
        <v>2908</v>
      </c>
      <c r="F10545" s="17" t="s">
        <v>2364</v>
      </c>
      <c r="G10545" s="18" t="n">
        <v>0</v>
      </c>
      <c r="H10545" s="18" t="n">
        <v>469.61</v>
      </c>
      <c r="I10545" s="18" t="n">
        <f aca="false">((I10544 + G10545) - H10545)</f>
        <v>84344.2999999999</v>
      </c>
      <c r="J10545" s="18" t="n">
        <v>0</v>
      </c>
      <c r="K10545" s="19" t="n">
        <v>0</v>
      </c>
      <c r="L10545" s="17"/>
    </row>
    <row r="10546" s="11" customFormat="true" ht="10.95" hidden="false" customHeight="true" outlineLevel="0" collapsed="false">
      <c r="A10546" s="16" t="n">
        <v>45275</v>
      </c>
      <c r="B10546" s="17" t="s">
        <v>3861</v>
      </c>
      <c r="C10546" s="17" t="s">
        <v>3752</v>
      </c>
      <c r="D10546" s="17" t="s">
        <v>1407</v>
      </c>
      <c r="E10546" s="17" t="s">
        <v>3757</v>
      </c>
      <c r="F10546" s="17"/>
      <c r="G10546" s="18" t="n">
        <v>0</v>
      </c>
      <c r="H10546" s="18" t="n">
        <v>20.17</v>
      </c>
      <c r="I10546" s="18" t="n">
        <f aca="false">((I10545 + G10546) - H10546)</f>
        <v>84324.1299999999</v>
      </c>
      <c r="J10546" s="18" t="n">
        <v>0</v>
      </c>
      <c r="K10546" s="19" t="n">
        <v>0</v>
      </c>
      <c r="L10546" s="17"/>
    </row>
    <row r="10547" s="11" customFormat="true" ht="10.95" hidden="false" customHeight="true" outlineLevel="0" collapsed="false">
      <c r="A10547" s="16" t="n">
        <v>45276</v>
      </c>
      <c r="B10547" s="17" t="s">
        <v>3861</v>
      </c>
      <c r="C10547" s="17" t="s">
        <v>3752</v>
      </c>
      <c r="D10547" s="17" t="s">
        <v>1407</v>
      </c>
      <c r="E10547" s="17" t="s">
        <v>3863</v>
      </c>
      <c r="F10547" s="17"/>
      <c r="G10547" s="18" t="n">
        <v>0</v>
      </c>
      <c r="H10547" s="18" t="n">
        <v>4.84</v>
      </c>
      <c r="I10547" s="18" t="n">
        <f aca="false">((I10546 + G10547) - H10547)</f>
        <v>84319.2899999999</v>
      </c>
      <c r="J10547" s="18" t="n">
        <v>0</v>
      </c>
      <c r="K10547" s="19" t="n">
        <v>0</v>
      </c>
      <c r="L10547" s="17"/>
    </row>
    <row r="10548" s="11" customFormat="true" ht="10.95" hidden="false" customHeight="true" outlineLevel="0" collapsed="false">
      <c r="A10548" s="16" t="n">
        <v>45276</v>
      </c>
      <c r="B10548" s="17" t="s">
        <v>3861</v>
      </c>
      <c r="C10548" s="17" t="s">
        <v>3752</v>
      </c>
      <c r="D10548" s="17" t="s">
        <v>1407</v>
      </c>
      <c r="E10548" s="17" t="s">
        <v>3776</v>
      </c>
      <c r="F10548" s="17"/>
      <c r="G10548" s="18" t="n">
        <v>0</v>
      </c>
      <c r="H10548" s="18" t="n">
        <v>161.41</v>
      </c>
      <c r="I10548" s="18" t="n">
        <f aca="false">((I10547 + G10548) - H10548)</f>
        <v>84157.8799999999</v>
      </c>
      <c r="J10548" s="18" t="n">
        <v>0</v>
      </c>
      <c r="K10548" s="19" t="n">
        <v>0</v>
      </c>
      <c r="L10548" s="17"/>
    </row>
    <row r="10549" s="11" customFormat="true" ht="10.95" hidden="false" customHeight="true" outlineLevel="0" collapsed="false">
      <c r="A10549" s="16" t="n">
        <v>45276</v>
      </c>
      <c r="B10549" s="17" t="s">
        <v>3861</v>
      </c>
      <c r="C10549" s="17" t="s">
        <v>3752</v>
      </c>
      <c r="D10549" s="17" t="s">
        <v>1407</v>
      </c>
      <c r="E10549" s="17" t="s">
        <v>3697</v>
      </c>
      <c r="F10549" s="17"/>
      <c r="G10549" s="18" t="n">
        <v>0</v>
      </c>
      <c r="H10549" s="18" t="n">
        <v>1827.27</v>
      </c>
      <c r="I10549" s="18" t="n">
        <f aca="false">((I10548 + G10549) - H10549)</f>
        <v>82330.6099999999</v>
      </c>
      <c r="J10549" s="18" t="n">
        <v>0</v>
      </c>
      <c r="K10549" s="19" t="n">
        <v>0</v>
      </c>
      <c r="L10549" s="17"/>
    </row>
    <row r="10550" s="11" customFormat="true" ht="10.95" hidden="false" customHeight="true" outlineLevel="0" collapsed="false">
      <c r="A10550" s="16" t="n">
        <v>45276</v>
      </c>
      <c r="B10550" s="17" t="s">
        <v>3861</v>
      </c>
      <c r="C10550" s="17" t="s">
        <v>3752</v>
      </c>
      <c r="D10550" s="17" t="s">
        <v>2903</v>
      </c>
      <c r="E10550" s="17" t="s">
        <v>3695</v>
      </c>
      <c r="F10550" s="17" t="s">
        <v>3201</v>
      </c>
      <c r="G10550" s="18" t="n">
        <v>0</v>
      </c>
      <c r="H10550" s="18" t="n">
        <v>427.34</v>
      </c>
      <c r="I10550" s="18" t="n">
        <f aca="false">((I10549 + G10550) - H10550)</f>
        <v>81903.2699999999</v>
      </c>
      <c r="J10550" s="18" t="n">
        <v>0</v>
      </c>
      <c r="K10550" s="19" t="n">
        <v>0</v>
      </c>
      <c r="L10550" s="17"/>
    </row>
    <row r="10551" s="11" customFormat="true" ht="10.95" hidden="false" customHeight="true" outlineLevel="0" collapsed="false">
      <c r="A10551" s="16" t="n">
        <v>45277</v>
      </c>
      <c r="B10551" s="17" t="s">
        <v>3861</v>
      </c>
      <c r="C10551" s="17" t="s">
        <v>3752</v>
      </c>
      <c r="D10551" s="17" t="s">
        <v>1407</v>
      </c>
      <c r="E10551" s="17" t="s">
        <v>3863</v>
      </c>
      <c r="F10551" s="17"/>
      <c r="G10551" s="18" t="n">
        <v>0</v>
      </c>
      <c r="H10551" s="18" t="n">
        <v>3</v>
      </c>
      <c r="I10551" s="18" t="n">
        <f aca="false">((I10550 + G10551) - H10551)</f>
        <v>81900.2699999999</v>
      </c>
      <c r="J10551" s="18" t="n">
        <v>0</v>
      </c>
      <c r="K10551" s="19" t="n">
        <v>0</v>
      </c>
      <c r="L10551" s="17"/>
    </row>
    <row r="10552" s="11" customFormat="true" ht="10.95" hidden="false" customHeight="true" outlineLevel="0" collapsed="false">
      <c r="A10552" s="16" t="n">
        <v>45277</v>
      </c>
      <c r="B10552" s="17" t="s">
        <v>3861</v>
      </c>
      <c r="C10552" s="17" t="s">
        <v>3752</v>
      </c>
      <c r="D10552" s="17" t="s">
        <v>1407</v>
      </c>
      <c r="E10552" s="17" t="s">
        <v>3808</v>
      </c>
      <c r="F10552" s="17"/>
      <c r="G10552" s="18" t="n">
        <v>0</v>
      </c>
      <c r="H10552" s="18" t="n">
        <v>200</v>
      </c>
      <c r="I10552" s="18" t="n">
        <f aca="false">((I10551 + G10552) - H10552)</f>
        <v>81700.2699999999</v>
      </c>
      <c r="J10552" s="18" t="n">
        <v>0</v>
      </c>
      <c r="K10552" s="19" t="n">
        <v>0</v>
      </c>
      <c r="L10552" s="17"/>
    </row>
    <row r="10553" s="11" customFormat="true" ht="10.95" hidden="false" customHeight="true" outlineLevel="0" collapsed="false">
      <c r="A10553" s="16" t="n">
        <v>45277</v>
      </c>
      <c r="B10553" s="17" t="s">
        <v>3861</v>
      </c>
      <c r="C10553" s="17" t="s">
        <v>3752</v>
      </c>
      <c r="D10553" s="17" t="s">
        <v>1407</v>
      </c>
      <c r="E10553" s="17" t="s">
        <v>2747</v>
      </c>
      <c r="F10553" s="17"/>
      <c r="G10553" s="18" t="n">
        <v>0</v>
      </c>
      <c r="H10553" s="18" t="n">
        <v>30</v>
      </c>
      <c r="I10553" s="18" t="n">
        <f aca="false">((I10552 + G10553) - H10553)</f>
        <v>81670.2699999999</v>
      </c>
      <c r="J10553" s="18" t="n">
        <v>0</v>
      </c>
      <c r="K10553" s="19" t="n">
        <v>0</v>
      </c>
      <c r="L10553" s="17"/>
    </row>
    <row r="10554" s="11" customFormat="true" ht="10.95" hidden="false" customHeight="true" outlineLevel="0" collapsed="false">
      <c r="A10554" s="16" t="n">
        <v>45277</v>
      </c>
      <c r="B10554" s="17" t="s">
        <v>3861</v>
      </c>
      <c r="C10554" s="17" t="s">
        <v>3752</v>
      </c>
      <c r="D10554" s="17" t="s">
        <v>1407</v>
      </c>
      <c r="E10554" s="17" t="s">
        <v>4164</v>
      </c>
      <c r="F10554" s="17"/>
      <c r="G10554" s="18" t="n">
        <v>0</v>
      </c>
      <c r="H10554" s="18" t="n">
        <v>49.95</v>
      </c>
      <c r="I10554" s="18" t="n">
        <f aca="false">((I10553 + G10554) - H10554)</f>
        <v>81620.3199999999</v>
      </c>
      <c r="J10554" s="18" t="n">
        <v>0</v>
      </c>
      <c r="K10554" s="19" t="n">
        <v>0</v>
      </c>
      <c r="L10554" s="17"/>
    </row>
    <row r="10555" s="11" customFormat="true" ht="10.95" hidden="false" customHeight="true" outlineLevel="0" collapsed="false">
      <c r="A10555" s="16" t="n">
        <v>45278</v>
      </c>
      <c r="B10555" s="17" t="s">
        <v>3861</v>
      </c>
      <c r="C10555" s="17" t="s">
        <v>3752</v>
      </c>
      <c r="D10555" s="17" t="s">
        <v>1407</v>
      </c>
      <c r="E10555" s="17" t="s">
        <v>4165</v>
      </c>
      <c r="F10555" s="17"/>
      <c r="G10555" s="18" t="n">
        <v>0</v>
      </c>
      <c r="H10555" s="18" t="n">
        <v>47.25</v>
      </c>
      <c r="I10555" s="18" t="n">
        <f aca="false">((I10554 + G10555) - H10555)</f>
        <v>81573.0699999999</v>
      </c>
      <c r="J10555" s="18" t="n">
        <v>0</v>
      </c>
      <c r="K10555" s="19" t="n">
        <v>0</v>
      </c>
      <c r="L10555" s="17"/>
    </row>
    <row r="10556" s="11" customFormat="true" ht="10.95" hidden="false" customHeight="true" outlineLevel="0" collapsed="false">
      <c r="A10556" s="16" t="n">
        <v>45278</v>
      </c>
      <c r="B10556" s="17" t="s">
        <v>3861</v>
      </c>
      <c r="C10556" s="17" t="s">
        <v>3752</v>
      </c>
      <c r="D10556" s="17" t="s">
        <v>3753</v>
      </c>
      <c r="E10556" s="17" t="s">
        <v>3806</v>
      </c>
      <c r="F10556" s="17" t="s">
        <v>3811</v>
      </c>
      <c r="G10556" s="18" t="n">
        <v>0</v>
      </c>
      <c r="H10556" s="18" t="n">
        <v>17568</v>
      </c>
      <c r="I10556" s="18" t="n">
        <f aca="false">((I10555 + G10556) - H10556)</f>
        <v>64005.0699999999</v>
      </c>
      <c r="J10556" s="18" t="n">
        <v>0</v>
      </c>
      <c r="K10556" s="19" t="n">
        <v>0</v>
      </c>
      <c r="L10556" s="17"/>
    </row>
    <row r="10557" s="11" customFormat="true" ht="10.95" hidden="false" customHeight="true" outlineLevel="0" collapsed="false">
      <c r="A10557" s="16" t="n">
        <v>45279</v>
      </c>
      <c r="B10557" s="17" t="s">
        <v>3861</v>
      </c>
      <c r="C10557" s="17" t="s">
        <v>3752</v>
      </c>
      <c r="D10557" s="17" t="s">
        <v>3814</v>
      </c>
      <c r="E10557" s="17" t="s">
        <v>3815</v>
      </c>
      <c r="F10557" s="17"/>
      <c r="G10557" s="18" t="n">
        <v>0</v>
      </c>
      <c r="H10557" s="18" t="n">
        <v>6.13</v>
      </c>
      <c r="I10557" s="18" t="n">
        <f aca="false">((I10556 + G10557) - H10557)</f>
        <v>63998.9399999999</v>
      </c>
      <c r="J10557" s="18" t="n">
        <v>0</v>
      </c>
      <c r="K10557" s="19" t="n">
        <v>0</v>
      </c>
      <c r="L10557" s="17"/>
    </row>
    <row r="10558" s="11" customFormat="true" ht="10.95" hidden="false" customHeight="true" outlineLevel="0" collapsed="false">
      <c r="A10558" s="16" t="n">
        <v>45279</v>
      </c>
      <c r="B10558" s="17" t="s">
        <v>3861</v>
      </c>
      <c r="C10558" s="17" t="s">
        <v>3752</v>
      </c>
      <c r="D10558" s="17" t="s">
        <v>1407</v>
      </c>
      <c r="E10558" s="17" t="s">
        <v>3863</v>
      </c>
      <c r="F10558" s="17"/>
      <c r="G10558" s="18" t="n">
        <v>0</v>
      </c>
      <c r="H10558" s="18" t="n">
        <v>6.95</v>
      </c>
      <c r="I10558" s="18" t="n">
        <f aca="false">((I10557 + G10558) - H10558)</f>
        <v>63991.9899999999</v>
      </c>
      <c r="J10558" s="18" t="n">
        <v>0</v>
      </c>
      <c r="K10558" s="19" t="n">
        <v>0</v>
      </c>
      <c r="L10558" s="17"/>
    </row>
    <row r="10559" s="11" customFormat="true" ht="10.95" hidden="false" customHeight="true" outlineLevel="0" collapsed="false">
      <c r="A10559" s="16" t="n">
        <v>45279</v>
      </c>
      <c r="B10559" s="17" t="s">
        <v>3861</v>
      </c>
      <c r="C10559" s="17" t="s">
        <v>3752</v>
      </c>
      <c r="D10559" s="17" t="s">
        <v>1407</v>
      </c>
      <c r="E10559" s="17" t="s">
        <v>3900</v>
      </c>
      <c r="F10559" s="17"/>
      <c r="G10559" s="18" t="n">
        <v>0</v>
      </c>
      <c r="H10559" s="18" t="n">
        <v>16.99</v>
      </c>
      <c r="I10559" s="18" t="n">
        <f aca="false">((I10558 + G10559) - H10559)</f>
        <v>63974.9999999999</v>
      </c>
      <c r="J10559" s="18" t="n">
        <v>0</v>
      </c>
      <c r="K10559" s="19" t="n">
        <v>0</v>
      </c>
      <c r="L10559" s="17"/>
    </row>
    <row r="10560" s="11" customFormat="true" ht="10.95" hidden="false" customHeight="true" outlineLevel="0" collapsed="false">
      <c r="A10560" s="16" t="n">
        <v>45279</v>
      </c>
      <c r="B10560" s="17" t="s">
        <v>3861</v>
      </c>
      <c r="C10560" s="17" t="s">
        <v>3752</v>
      </c>
      <c r="D10560" s="17" t="s">
        <v>1407</v>
      </c>
      <c r="E10560" s="17" t="s">
        <v>3901</v>
      </c>
      <c r="F10560" s="17"/>
      <c r="G10560" s="18" t="n">
        <v>0</v>
      </c>
      <c r="H10560" s="18" t="n">
        <v>81.03</v>
      </c>
      <c r="I10560" s="18" t="n">
        <f aca="false">((I10559 + G10560) - H10560)</f>
        <v>63893.9699999999</v>
      </c>
      <c r="J10560" s="18" t="n">
        <v>0</v>
      </c>
      <c r="K10560" s="19" t="n">
        <v>0</v>
      </c>
      <c r="L10560" s="17"/>
    </row>
    <row r="10561" s="11" customFormat="true" ht="10.95" hidden="false" customHeight="true" outlineLevel="0" collapsed="false">
      <c r="A10561" s="16" t="n">
        <v>45279</v>
      </c>
      <c r="B10561" s="17" t="s">
        <v>3861</v>
      </c>
      <c r="C10561" s="17" t="s">
        <v>3752</v>
      </c>
      <c r="D10561" s="17" t="s">
        <v>1407</v>
      </c>
      <c r="E10561" s="17" t="s">
        <v>3902</v>
      </c>
      <c r="F10561" s="17"/>
      <c r="G10561" s="18" t="n">
        <v>0</v>
      </c>
      <c r="H10561" s="18" t="n">
        <v>272.5</v>
      </c>
      <c r="I10561" s="18" t="n">
        <f aca="false">((I10560 + G10561) - H10561)</f>
        <v>63621.4699999999</v>
      </c>
      <c r="J10561" s="18" t="n">
        <v>0</v>
      </c>
      <c r="K10561" s="19" t="n">
        <v>0</v>
      </c>
      <c r="L10561" s="17"/>
    </row>
    <row r="10562" s="11" customFormat="true" ht="10.95" hidden="false" customHeight="true" outlineLevel="0" collapsed="false">
      <c r="A10562" s="16" t="n">
        <v>45279</v>
      </c>
      <c r="B10562" s="17" t="s">
        <v>3861</v>
      </c>
      <c r="C10562" s="17" t="s">
        <v>3752</v>
      </c>
      <c r="D10562" s="17" t="s">
        <v>1407</v>
      </c>
      <c r="E10562" s="17" t="s">
        <v>3878</v>
      </c>
      <c r="F10562" s="17"/>
      <c r="G10562" s="18" t="n">
        <v>0</v>
      </c>
      <c r="H10562" s="18" t="n">
        <v>1188.2</v>
      </c>
      <c r="I10562" s="18" t="n">
        <f aca="false">((I10561 + G10562) - H10562)</f>
        <v>62433.2699999999</v>
      </c>
      <c r="J10562" s="18" t="n">
        <v>0</v>
      </c>
      <c r="K10562" s="19" t="n">
        <v>0</v>
      </c>
      <c r="L10562" s="17"/>
    </row>
    <row r="10563" s="11" customFormat="true" ht="10.95" hidden="false" customHeight="true" outlineLevel="0" collapsed="false">
      <c r="A10563" s="16" t="n">
        <v>45279</v>
      </c>
      <c r="B10563" s="17" t="s">
        <v>3861</v>
      </c>
      <c r="C10563" s="17" t="s">
        <v>3752</v>
      </c>
      <c r="D10563" s="17" t="s">
        <v>1407</v>
      </c>
      <c r="E10563" s="17" t="s">
        <v>4166</v>
      </c>
      <c r="F10563" s="17"/>
      <c r="G10563" s="18" t="n">
        <v>0</v>
      </c>
      <c r="H10563" s="18" t="n">
        <v>360</v>
      </c>
      <c r="I10563" s="18" t="n">
        <f aca="false">((I10562 + G10563) - H10563)</f>
        <v>62073.2699999999</v>
      </c>
      <c r="J10563" s="18" t="n">
        <v>0</v>
      </c>
      <c r="K10563" s="19" t="n">
        <v>0</v>
      </c>
      <c r="L10563" s="17"/>
    </row>
    <row r="10564" s="11" customFormat="true" ht="10.95" hidden="false" customHeight="true" outlineLevel="0" collapsed="false">
      <c r="A10564" s="16" t="n">
        <v>45279</v>
      </c>
      <c r="B10564" s="17" t="s">
        <v>3861</v>
      </c>
      <c r="C10564" s="17" t="s">
        <v>3752</v>
      </c>
      <c r="D10564" s="17" t="s">
        <v>2903</v>
      </c>
      <c r="E10564" s="17" t="s">
        <v>3616</v>
      </c>
      <c r="F10564" s="17" t="s">
        <v>3280</v>
      </c>
      <c r="G10564" s="18" t="n">
        <v>0</v>
      </c>
      <c r="H10564" s="18" t="n">
        <v>3063.5</v>
      </c>
      <c r="I10564" s="18" t="n">
        <f aca="false">((I10563 + G10564) - H10564)</f>
        <v>59009.7699999999</v>
      </c>
      <c r="J10564" s="18" t="n">
        <v>0</v>
      </c>
      <c r="K10564" s="19" t="n">
        <v>0</v>
      </c>
      <c r="L10564" s="17"/>
    </row>
    <row r="10565" s="11" customFormat="true" ht="10.95" hidden="false" customHeight="true" outlineLevel="0" collapsed="false">
      <c r="A10565" s="16" t="n">
        <v>45279</v>
      </c>
      <c r="B10565" s="17" t="s">
        <v>3861</v>
      </c>
      <c r="C10565" s="17" t="s">
        <v>3752</v>
      </c>
      <c r="D10565" s="17" t="s">
        <v>2903</v>
      </c>
      <c r="E10565" s="17" t="s">
        <v>3012</v>
      </c>
      <c r="F10565" s="17" t="s">
        <v>2404</v>
      </c>
      <c r="G10565" s="18" t="n">
        <v>0</v>
      </c>
      <c r="H10565" s="18" t="n">
        <v>180</v>
      </c>
      <c r="I10565" s="18" t="n">
        <f aca="false">((I10564 + G10565) - H10565)</f>
        <v>58829.7699999999</v>
      </c>
      <c r="J10565" s="18" t="n">
        <v>0</v>
      </c>
      <c r="K10565" s="19" t="n">
        <v>0</v>
      </c>
      <c r="L10565" s="17"/>
    </row>
    <row r="10566" s="11" customFormat="true" ht="10.95" hidden="false" customHeight="true" outlineLevel="0" collapsed="false">
      <c r="A10566" s="16" t="n">
        <v>45279</v>
      </c>
      <c r="B10566" s="17" t="s">
        <v>3861</v>
      </c>
      <c r="C10566" s="17" t="s">
        <v>3752</v>
      </c>
      <c r="D10566" s="17" t="s">
        <v>2903</v>
      </c>
      <c r="E10566" s="17" t="s">
        <v>3013</v>
      </c>
      <c r="F10566" s="17" t="s">
        <v>2402</v>
      </c>
      <c r="G10566" s="18" t="n">
        <v>0</v>
      </c>
      <c r="H10566" s="18" t="n">
        <v>231.69</v>
      </c>
      <c r="I10566" s="18" t="n">
        <f aca="false">((I10565 + G10566) - H10566)</f>
        <v>58598.0799999999</v>
      </c>
      <c r="J10566" s="18" t="n">
        <v>0</v>
      </c>
      <c r="K10566" s="19" t="n">
        <v>0</v>
      </c>
      <c r="L10566" s="17"/>
    </row>
    <row r="10567" s="11" customFormat="true" ht="10.95" hidden="false" customHeight="true" outlineLevel="0" collapsed="false">
      <c r="A10567" s="16" t="n">
        <v>45279</v>
      </c>
      <c r="B10567" s="17" t="s">
        <v>3861</v>
      </c>
      <c r="C10567" s="17" t="s">
        <v>3752</v>
      </c>
      <c r="D10567" s="17" t="s">
        <v>1407</v>
      </c>
      <c r="E10567" s="17" t="s">
        <v>3742</v>
      </c>
      <c r="F10567" s="17" t="s">
        <v>1700</v>
      </c>
      <c r="G10567" s="18" t="n">
        <v>0</v>
      </c>
      <c r="H10567" s="18" t="n">
        <v>9907.47</v>
      </c>
      <c r="I10567" s="18" t="n">
        <f aca="false">((I10566 + G10567) - H10567)</f>
        <v>48690.6099999999</v>
      </c>
      <c r="J10567" s="18" t="n">
        <v>0</v>
      </c>
      <c r="K10567" s="19" t="n">
        <v>0</v>
      </c>
      <c r="L10567" s="17"/>
    </row>
    <row r="10568" s="11" customFormat="true" ht="10.95" hidden="false" customHeight="true" outlineLevel="0" collapsed="false">
      <c r="A10568" s="16" t="n">
        <v>45279</v>
      </c>
      <c r="B10568" s="17" t="s">
        <v>3861</v>
      </c>
      <c r="C10568" s="17" t="s">
        <v>3752</v>
      </c>
      <c r="D10568" s="17" t="s">
        <v>1407</v>
      </c>
      <c r="E10568" s="17" t="s">
        <v>3808</v>
      </c>
      <c r="F10568" s="17"/>
      <c r="G10568" s="18" t="n">
        <v>0</v>
      </c>
      <c r="H10568" s="18" t="n">
        <v>9461.09</v>
      </c>
      <c r="I10568" s="18" t="n">
        <f aca="false">((I10567 + G10568) - H10568)</f>
        <v>39229.5199999999</v>
      </c>
      <c r="J10568" s="18" t="n">
        <v>0</v>
      </c>
      <c r="K10568" s="19" t="n">
        <v>0</v>
      </c>
      <c r="L10568" s="17"/>
    </row>
    <row r="10569" s="11" customFormat="true" ht="10.95" hidden="false" customHeight="true" outlineLevel="0" collapsed="false">
      <c r="A10569" s="16" t="n">
        <v>45280</v>
      </c>
      <c r="B10569" s="17" t="s">
        <v>3861</v>
      </c>
      <c r="C10569" s="17" t="s">
        <v>3752</v>
      </c>
      <c r="D10569" s="17" t="s">
        <v>1276</v>
      </c>
      <c r="E10569" s="17" t="s">
        <v>3428</v>
      </c>
      <c r="F10569" s="17" t="s">
        <v>1340</v>
      </c>
      <c r="G10569" s="18" t="n">
        <v>34.2</v>
      </c>
      <c r="H10569" s="18" t="n">
        <v>0</v>
      </c>
      <c r="I10569" s="18" t="n">
        <f aca="false">((I10568 + G10569) - H10569)</f>
        <v>39263.7199999999</v>
      </c>
      <c r="J10569" s="18" t="n">
        <v>0</v>
      </c>
      <c r="K10569" s="19" t="n">
        <v>0</v>
      </c>
      <c r="L10569" s="17"/>
    </row>
    <row r="10570" s="11" customFormat="true" ht="10.95" hidden="false" customHeight="true" outlineLevel="0" collapsed="false">
      <c r="A10570" s="16" t="n">
        <v>45280</v>
      </c>
      <c r="B10570" s="17" t="s">
        <v>3861</v>
      </c>
      <c r="C10570" s="17" t="s">
        <v>3752</v>
      </c>
      <c r="D10570" s="17" t="s">
        <v>2895</v>
      </c>
      <c r="E10570" s="17" t="s">
        <v>3467</v>
      </c>
      <c r="F10570" s="17" t="s">
        <v>1340</v>
      </c>
      <c r="G10570" s="18" t="n">
        <v>1954.15</v>
      </c>
      <c r="H10570" s="18" t="n">
        <v>0</v>
      </c>
      <c r="I10570" s="18" t="n">
        <f aca="false">((I10569 + G10570) - H10570)</f>
        <v>41217.8699999999</v>
      </c>
      <c r="J10570" s="18" t="n">
        <v>0</v>
      </c>
      <c r="K10570" s="19" t="n">
        <v>0</v>
      </c>
      <c r="L10570" s="17"/>
    </row>
    <row r="10571" s="11" customFormat="true" ht="10.95" hidden="false" customHeight="true" outlineLevel="0" collapsed="false">
      <c r="A10571" s="16" t="n">
        <v>45280</v>
      </c>
      <c r="B10571" s="17" t="s">
        <v>3861</v>
      </c>
      <c r="C10571" s="17" t="s">
        <v>3752</v>
      </c>
      <c r="D10571" s="17" t="s">
        <v>1407</v>
      </c>
      <c r="E10571" s="17" t="s">
        <v>3862</v>
      </c>
      <c r="F10571" s="17" t="s">
        <v>1340</v>
      </c>
      <c r="G10571" s="18" t="n">
        <v>0</v>
      </c>
      <c r="H10571" s="18" t="n">
        <v>35.1</v>
      </c>
      <c r="I10571" s="18" t="n">
        <f aca="false">((I10570 + G10571) - H10571)</f>
        <v>41182.7699999999</v>
      </c>
      <c r="J10571" s="18" t="n">
        <v>0</v>
      </c>
      <c r="K10571" s="19" t="n">
        <v>0</v>
      </c>
      <c r="L10571" s="17"/>
    </row>
    <row r="10572" s="11" customFormat="true" ht="10.95" hidden="false" customHeight="true" outlineLevel="0" collapsed="false">
      <c r="A10572" s="16" t="n">
        <v>45280</v>
      </c>
      <c r="B10572" s="17" t="s">
        <v>3861</v>
      </c>
      <c r="C10572" s="17" t="s">
        <v>3752</v>
      </c>
      <c r="D10572" s="17" t="s">
        <v>1407</v>
      </c>
      <c r="E10572" s="17" t="s">
        <v>3767</v>
      </c>
      <c r="F10572" s="17" t="s">
        <v>2781</v>
      </c>
      <c r="G10572" s="18" t="n">
        <v>0</v>
      </c>
      <c r="H10572" s="18" t="n">
        <v>5</v>
      </c>
      <c r="I10572" s="18" t="n">
        <f aca="false">((I10571 + G10572) - H10572)</f>
        <v>41177.7699999999</v>
      </c>
      <c r="J10572" s="18" t="n">
        <v>0</v>
      </c>
      <c r="K10572" s="19" t="n">
        <v>0</v>
      </c>
      <c r="L10572" s="17"/>
    </row>
    <row r="10573" s="11" customFormat="true" ht="10.95" hidden="false" customHeight="true" outlineLevel="0" collapsed="false">
      <c r="A10573" s="16" t="n">
        <v>45280</v>
      </c>
      <c r="B10573" s="17" t="s">
        <v>3861</v>
      </c>
      <c r="C10573" s="17" t="s">
        <v>3752</v>
      </c>
      <c r="D10573" s="17" t="s">
        <v>1407</v>
      </c>
      <c r="E10573" s="17" t="s">
        <v>3767</v>
      </c>
      <c r="F10573" s="17" t="s">
        <v>2781</v>
      </c>
      <c r="G10573" s="18" t="n">
        <v>0</v>
      </c>
      <c r="H10573" s="18" t="n">
        <v>14.42</v>
      </c>
      <c r="I10573" s="18" t="n">
        <f aca="false">((I10572 + G10573) - H10573)</f>
        <v>41163.3499999999</v>
      </c>
      <c r="J10573" s="18" t="n">
        <v>0</v>
      </c>
      <c r="K10573" s="19" t="n">
        <v>0</v>
      </c>
      <c r="L10573" s="17"/>
    </row>
    <row r="10574" s="11" customFormat="true" ht="10.95" hidden="false" customHeight="true" outlineLevel="0" collapsed="false">
      <c r="A10574" s="16" t="n">
        <v>45280</v>
      </c>
      <c r="B10574" s="17" t="s">
        <v>3861</v>
      </c>
      <c r="C10574" s="17" t="s">
        <v>3752</v>
      </c>
      <c r="D10574" s="17" t="s">
        <v>2895</v>
      </c>
      <c r="E10574" s="17" t="s">
        <v>3453</v>
      </c>
      <c r="F10574" s="17" t="s">
        <v>4167</v>
      </c>
      <c r="G10574" s="18" t="n">
        <v>93.5</v>
      </c>
      <c r="H10574" s="18" t="n">
        <v>0</v>
      </c>
      <c r="I10574" s="18" t="n">
        <f aca="false">((I10573 + G10574) - H10574)</f>
        <v>41256.8499999999</v>
      </c>
      <c r="J10574" s="18" t="n">
        <v>0</v>
      </c>
      <c r="K10574" s="19" t="n">
        <v>0</v>
      </c>
      <c r="L10574" s="17"/>
    </row>
    <row r="10575" s="11" customFormat="true" ht="10.95" hidden="false" customHeight="true" outlineLevel="0" collapsed="false">
      <c r="A10575" s="16" t="n">
        <v>45280</v>
      </c>
      <c r="B10575" s="17" t="s">
        <v>3861</v>
      </c>
      <c r="C10575" s="17" t="s">
        <v>3752</v>
      </c>
      <c r="D10575" s="17" t="s">
        <v>2895</v>
      </c>
      <c r="E10575" s="17" t="s">
        <v>2917</v>
      </c>
      <c r="F10575" s="17" t="s">
        <v>3014</v>
      </c>
      <c r="G10575" s="18" t="n">
        <v>3949.09</v>
      </c>
      <c r="H10575" s="18" t="n">
        <v>0</v>
      </c>
      <c r="I10575" s="18" t="n">
        <f aca="false">((I10574 + G10575) - H10575)</f>
        <v>45205.9399999999</v>
      </c>
      <c r="J10575" s="18" t="n">
        <v>0</v>
      </c>
      <c r="K10575" s="19" t="n">
        <v>0</v>
      </c>
      <c r="L10575" s="17"/>
    </row>
    <row r="10576" s="11" customFormat="true" ht="10.95" hidden="false" customHeight="true" outlineLevel="0" collapsed="false">
      <c r="A10576" s="16" t="n">
        <v>45280</v>
      </c>
      <c r="B10576" s="17" t="s">
        <v>3861</v>
      </c>
      <c r="C10576" s="17" t="s">
        <v>3752</v>
      </c>
      <c r="D10576" s="17" t="s">
        <v>2895</v>
      </c>
      <c r="E10576" s="17" t="s">
        <v>2951</v>
      </c>
      <c r="F10576" s="17" t="s">
        <v>3015</v>
      </c>
      <c r="G10576" s="18" t="n">
        <v>1475.11</v>
      </c>
      <c r="H10576" s="18" t="n">
        <v>0</v>
      </c>
      <c r="I10576" s="18" t="n">
        <f aca="false">((I10575 + G10576) - H10576)</f>
        <v>46681.0499999999</v>
      </c>
      <c r="J10576" s="18" t="n">
        <v>0</v>
      </c>
      <c r="K10576" s="19" t="n">
        <v>0</v>
      </c>
      <c r="L10576" s="17"/>
    </row>
    <row r="10577" s="11" customFormat="true" ht="10.95" hidden="false" customHeight="true" outlineLevel="0" collapsed="false">
      <c r="A10577" s="16" t="n">
        <v>45280</v>
      </c>
      <c r="B10577" s="17" t="s">
        <v>3861</v>
      </c>
      <c r="C10577" s="17" t="s">
        <v>3752</v>
      </c>
      <c r="D10577" s="17" t="s">
        <v>2895</v>
      </c>
      <c r="E10577" s="17" t="s">
        <v>2951</v>
      </c>
      <c r="F10577" s="17" t="s">
        <v>3016</v>
      </c>
      <c r="G10577" s="18" t="n">
        <v>1674.83</v>
      </c>
      <c r="H10577" s="18" t="n">
        <v>0</v>
      </c>
      <c r="I10577" s="18" t="n">
        <f aca="false">((I10576 + G10577) - H10577)</f>
        <v>48355.8799999999</v>
      </c>
      <c r="J10577" s="18" t="n">
        <v>0</v>
      </c>
      <c r="K10577" s="19" t="n">
        <v>0</v>
      </c>
      <c r="L10577" s="17"/>
    </row>
    <row r="10578" s="11" customFormat="true" ht="10.95" hidden="false" customHeight="true" outlineLevel="0" collapsed="false">
      <c r="A10578" s="16" t="n">
        <v>45280</v>
      </c>
      <c r="B10578" s="17" t="s">
        <v>3861</v>
      </c>
      <c r="C10578" s="17" t="s">
        <v>3752</v>
      </c>
      <c r="D10578" s="17" t="s">
        <v>1407</v>
      </c>
      <c r="E10578" s="17" t="s">
        <v>3881</v>
      </c>
      <c r="F10578" s="17"/>
      <c r="G10578" s="18" t="n">
        <v>0</v>
      </c>
      <c r="H10578" s="18" t="n">
        <v>140</v>
      </c>
      <c r="I10578" s="18" t="n">
        <f aca="false">((I10577 + G10578) - H10578)</f>
        <v>48215.8799999999</v>
      </c>
      <c r="J10578" s="18" t="n">
        <v>0</v>
      </c>
      <c r="K10578" s="19" t="n">
        <v>0</v>
      </c>
      <c r="L10578" s="17"/>
    </row>
    <row r="10579" s="11" customFormat="true" ht="10.95" hidden="false" customHeight="true" outlineLevel="0" collapsed="false">
      <c r="A10579" s="16" t="n">
        <v>45280</v>
      </c>
      <c r="B10579" s="17" t="s">
        <v>3861</v>
      </c>
      <c r="C10579" s="17" t="s">
        <v>3752</v>
      </c>
      <c r="D10579" s="17" t="s">
        <v>1407</v>
      </c>
      <c r="E10579" s="17" t="s">
        <v>3879</v>
      </c>
      <c r="F10579" s="17"/>
      <c r="G10579" s="18" t="n">
        <v>0</v>
      </c>
      <c r="H10579" s="18" t="n">
        <v>1207</v>
      </c>
      <c r="I10579" s="18" t="n">
        <f aca="false">((I10578 + G10579) - H10579)</f>
        <v>47008.8799999999</v>
      </c>
      <c r="J10579" s="18" t="n">
        <v>0</v>
      </c>
      <c r="K10579" s="19" t="n">
        <v>0</v>
      </c>
      <c r="L10579" s="17"/>
    </row>
    <row r="10580" s="11" customFormat="true" ht="10.95" hidden="false" customHeight="true" outlineLevel="0" collapsed="false">
      <c r="A10580" s="16" t="n">
        <v>45280</v>
      </c>
      <c r="B10580" s="17" t="s">
        <v>3861</v>
      </c>
      <c r="C10580" s="17" t="s">
        <v>3752</v>
      </c>
      <c r="D10580" s="17" t="s">
        <v>1407</v>
      </c>
      <c r="E10580" s="17" t="s">
        <v>3880</v>
      </c>
      <c r="F10580" s="17"/>
      <c r="G10580" s="18" t="n">
        <v>0</v>
      </c>
      <c r="H10580" s="18" t="n">
        <v>1207</v>
      </c>
      <c r="I10580" s="18" t="n">
        <f aca="false">((I10579 + G10580) - H10580)</f>
        <v>45801.8799999999</v>
      </c>
      <c r="J10580" s="18" t="n">
        <v>0</v>
      </c>
      <c r="K10580" s="19" t="n">
        <v>0</v>
      </c>
      <c r="L10580" s="17"/>
    </row>
    <row r="10581" s="11" customFormat="true" ht="10.95" hidden="false" customHeight="true" outlineLevel="0" collapsed="false">
      <c r="A10581" s="16" t="n">
        <v>45280</v>
      </c>
      <c r="B10581" s="17" t="s">
        <v>3861</v>
      </c>
      <c r="C10581" s="17" t="s">
        <v>3752</v>
      </c>
      <c r="D10581" s="17" t="s">
        <v>1407</v>
      </c>
      <c r="E10581" s="17" t="s">
        <v>3808</v>
      </c>
      <c r="F10581" s="17"/>
      <c r="G10581" s="18" t="n">
        <v>0</v>
      </c>
      <c r="H10581" s="18" t="n">
        <v>1705.92</v>
      </c>
      <c r="I10581" s="18" t="n">
        <f aca="false">((I10580 + G10581) - H10581)</f>
        <v>44095.9599999999</v>
      </c>
      <c r="J10581" s="18" t="n">
        <v>0</v>
      </c>
      <c r="K10581" s="19" t="n">
        <v>0</v>
      </c>
      <c r="L10581" s="17"/>
    </row>
    <row r="10582" s="11" customFormat="true" ht="10.95" hidden="false" customHeight="true" outlineLevel="0" collapsed="false">
      <c r="A10582" s="16" t="n">
        <v>45280</v>
      </c>
      <c r="B10582" s="17" t="s">
        <v>3861</v>
      </c>
      <c r="C10582" s="17" t="s">
        <v>3752</v>
      </c>
      <c r="D10582" s="17" t="s">
        <v>1407</v>
      </c>
      <c r="E10582" s="17" t="s">
        <v>3955</v>
      </c>
      <c r="F10582" s="17"/>
      <c r="G10582" s="18" t="n">
        <v>0</v>
      </c>
      <c r="H10582" s="18" t="n">
        <v>514.5</v>
      </c>
      <c r="I10582" s="18" t="n">
        <f aca="false">((I10581 + G10582) - H10582)</f>
        <v>43581.4599999999</v>
      </c>
      <c r="J10582" s="18" t="n">
        <v>0</v>
      </c>
      <c r="K10582" s="19" t="n">
        <v>0</v>
      </c>
      <c r="L10582" s="17"/>
    </row>
    <row r="10583" s="11" customFormat="true" ht="10.95" hidden="false" customHeight="true" outlineLevel="0" collapsed="false">
      <c r="A10583" s="16" t="n">
        <v>45281</v>
      </c>
      <c r="B10583" s="17" t="s">
        <v>3861</v>
      </c>
      <c r="C10583" s="17" t="s">
        <v>3752</v>
      </c>
      <c r="D10583" s="17" t="s">
        <v>2895</v>
      </c>
      <c r="E10583" s="17" t="s">
        <v>3382</v>
      </c>
      <c r="F10583" s="17" t="s">
        <v>4168</v>
      </c>
      <c r="G10583" s="18" t="n">
        <v>18800.82</v>
      </c>
      <c r="H10583" s="18" t="n">
        <v>0</v>
      </c>
      <c r="I10583" s="18" t="n">
        <f aca="false">((I10582 + G10583) - H10583)</f>
        <v>62382.2799999999</v>
      </c>
      <c r="J10583" s="18" t="n">
        <v>0</v>
      </c>
      <c r="K10583" s="19" t="n">
        <v>0</v>
      </c>
      <c r="L10583" s="17"/>
    </row>
    <row r="10584" s="11" customFormat="true" ht="10.95" hidden="false" customHeight="true" outlineLevel="0" collapsed="false">
      <c r="A10584" s="16" t="n">
        <v>45281</v>
      </c>
      <c r="B10584" s="17" t="s">
        <v>3861</v>
      </c>
      <c r="C10584" s="17" t="s">
        <v>3752</v>
      </c>
      <c r="D10584" s="17" t="s">
        <v>2895</v>
      </c>
      <c r="E10584" s="17" t="s">
        <v>3382</v>
      </c>
      <c r="F10584" s="17" t="s">
        <v>4169</v>
      </c>
      <c r="G10584" s="18" t="n">
        <v>18112.77</v>
      </c>
      <c r="H10584" s="18" t="n">
        <v>0</v>
      </c>
      <c r="I10584" s="18" t="n">
        <f aca="false">((I10583 + G10584) - H10584)</f>
        <v>80495.0499999999</v>
      </c>
      <c r="J10584" s="18" t="n">
        <v>0</v>
      </c>
      <c r="K10584" s="19" t="n">
        <v>0</v>
      </c>
      <c r="L10584" s="17"/>
    </row>
    <row r="10585" s="11" customFormat="true" ht="10.95" hidden="false" customHeight="true" outlineLevel="0" collapsed="false">
      <c r="A10585" s="16" t="n">
        <v>45281</v>
      </c>
      <c r="B10585" s="17" t="s">
        <v>3861</v>
      </c>
      <c r="C10585" s="17" t="s">
        <v>3752</v>
      </c>
      <c r="D10585" s="17" t="s">
        <v>2895</v>
      </c>
      <c r="E10585" s="17" t="s">
        <v>3384</v>
      </c>
      <c r="F10585" s="17" t="s">
        <v>4170</v>
      </c>
      <c r="G10585" s="18" t="n">
        <v>1672</v>
      </c>
      <c r="H10585" s="18" t="n">
        <v>0</v>
      </c>
      <c r="I10585" s="18" t="n">
        <f aca="false">((I10584 + G10585) - H10585)</f>
        <v>82167.0499999999</v>
      </c>
      <c r="J10585" s="18" t="n">
        <v>0</v>
      </c>
      <c r="K10585" s="19" t="n">
        <v>0</v>
      </c>
      <c r="L10585" s="17"/>
    </row>
    <row r="10586" s="11" customFormat="true" ht="10.95" hidden="false" customHeight="true" outlineLevel="0" collapsed="false">
      <c r="A10586" s="16" t="n">
        <v>45281</v>
      </c>
      <c r="B10586" s="17" t="s">
        <v>3861</v>
      </c>
      <c r="C10586" s="17" t="s">
        <v>3752</v>
      </c>
      <c r="D10586" s="17" t="s">
        <v>2895</v>
      </c>
      <c r="E10586" s="17" t="s">
        <v>3384</v>
      </c>
      <c r="F10586" s="17" t="s">
        <v>4171</v>
      </c>
      <c r="G10586" s="18" t="n">
        <v>1001</v>
      </c>
      <c r="H10586" s="18" t="n">
        <v>0</v>
      </c>
      <c r="I10586" s="18" t="n">
        <f aca="false">((I10585 + G10586) - H10586)</f>
        <v>83168.0499999999</v>
      </c>
      <c r="J10586" s="18" t="n">
        <v>0</v>
      </c>
      <c r="K10586" s="19" t="n">
        <v>0</v>
      </c>
      <c r="L10586" s="17"/>
    </row>
    <row r="10587" s="11" customFormat="true" ht="10.95" hidden="false" customHeight="true" outlineLevel="0" collapsed="false">
      <c r="A10587" s="16" t="n">
        <v>45281</v>
      </c>
      <c r="B10587" s="17" t="s">
        <v>3861</v>
      </c>
      <c r="C10587" s="17" t="s">
        <v>3752</v>
      </c>
      <c r="D10587" s="17" t="s">
        <v>2895</v>
      </c>
      <c r="E10587" s="17" t="s">
        <v>3384</v>
      </c>
      <c r="F10587" s="17" t="s">
        <v>4172</v>
      </c>
      <c r="G10587" s="18" t="n">
        <v>2821.5</v>
      </c>
      <c r="H10587" s="18" t="n">
        <v>0</v>
      </c>
      <c r="I10587" s="18" t="n">
        <f aca="false">((I10586 + G10587) - H10587)</f>
        <v>85989.5499999999</v>
      </c>
      <c r="J10587" s="18" t="n">
        <v>0</v>
      </c>
      <c r="K10587" s="19" t="n">
        <v>0</v>
      </c>
      <c r="L10587" s="17"/>
    </row>
    <row r="10588" s="11" customFormat="true" ht="10.95" hidden="false" customHeight="true" outlineLevel="0" collapsed="false">
      <c r="A10588" s="16" t="n">
        <v>45281</v>
      </c>
      <c r="B10588" s="17" t="s">
        <v>3861</v>
      </c>
      <c r="C10588" s="17" t="s">
        <v>3752</v>
      </c>
      <c r="D10588" s="17" t="s">
        <v>3814</v>
      </c>
      <c r="E10588" s="17" t="s">
        <v>3815</v>
      </c>
      <c r="F10588" s="17"/>
      <c r="G10588" s="18" t="n">
        <v>0</v>
      </c>
      <c r="H10588" s="18" t="n">
        <v>5</v>
      </c>
      <c r="I10588" s="18" t="n">
        <f aca="false">((I10587 + G10588) - H10588)</f>
        <v>85984.5499999999</v>
      </c>
      <c r="J10588" s="18" t="n">
        <v>0</v>
      </c>
      <c r="K10588" s="19" t="n">
        <v>0</v>
      </c>
      <c r="L10588" s="17"/>
    </row>
    <row r="10589" s="11" customFormat="true" ht="10.95" hidden="false" customHeight="true" outlineLevel="0" collapsed="false">
      <c r="A10589" s="16" t="n">
        <v>45281</v>
      </c>
      <c r="B10589" s="17" t="s">
        <v>3861</v>
      </c>
      <c r="C10589" s="17" t="s">
        <v>3752</v>
      </c>
      <c r="D10589" s="17" t="s">
        <v>2895</v>
      </c>
      <c r="E10589" s="17" t="s">
        <v>3504</v>
      </c>
      <c r="F10589" s="17" t="s">
        <v>4173</v>
      </c>
      <c r="G10589" s="18" t="n">
        <v>1034.55</v>
      </c>
      <c r="H10589" s="18" t="n">
        <v>0</v>
      </c>
      <c r="I10589" s="18" t="n">
        <f aca="false">((I10588 + G10589) - H10589)</f>
        <v>87019.0999999999</v>
      </c>
      <c r="J10589" s="18" t="n">
        <v>0</v>
      </c>
      <c r="K10589" s="19" t="n">
        <v>0</v>
      </c>
      <c r="L10589" s="17"/>
    </row>
    <row r="10590" s="11" customFormat="true" ht="10.95" hidden="false" customHeight="true" outlineLevel="0" collapsed="false">
      <c r="A10590" s="16" t="n">
        <v>45281</v>
      </c>
      <c r="B10590" s="17" t="s">
        <v>3861</v>
      </c>
      <c r="C10590" s="17" t="s">
        <v>3752</v>
      </c>
      <c r="D10590" s="17" t="s">
        <v>1407</v>
      </c>
      <c r="E10590" s="17" t="s">
        <v>3863</v>
      </c>
      <c r="F10590" s="17"/>
      <c r="G10590" s="18" t="n">
        <v>0</v>
      </c>
      <c r="H10590" s="18" t="n">
        <v>0.9</v>
      </c>
      <c r="I10590" s="18" t="n">
        <f aca="false">((I10589 + G10590) - H10590)</f>
        <v>87018.1999999999</v>
      </c>
      <c r="J10590" s="18" t="n">
        <v>0</v>
      </c>
      <c r="K10590" s="19" t="n">
        <v>0</v>
      </c>
      <c r="L10590" s="17"/>
    </row>
    <row r="10591" s="11" customFormat="true" ht="10.95" hidden="false" customHeight="true" outlineLevel="0" collapsed="false">
      <c r="A10591" s="16" t="n">
        <v>45281</v>
      </c>
      <c r="B10591" s="17" t="s">
        <v>3861</v>
      </c>
      <c r="C10591" s="17" t="s">
        <v>3752</v>
      </c>
      <c r="D10591" s="17" t="s">
        <v>1407</v>
      </c>
      <c r="E10591" s="17" t="s">
        <v>3767</v>
      </c>
      <c r="F10591" s="17" t="s">
        <v>2781</v>
      </c>
      <c r="G10591" s="18" t="n">
        <v>0</v>
      </c>
      <c r="H10591" s="18" t="n">
        <v>5</v>
      </c>
      <c r="I10591" s="18" t="n">
        <f aca="false">((I10590 + G10591) - H10591)</f>
        <v>87013.1999999999</v>
      </c>
      <c r="J10591" s="18" t="n">
        <v>0</v>
      </c>
      <c r="K10591" s="19" t="n">
        <v>0</v>
      </c>
      <c r="L10591" s="17"/>
    </row>
    <row r="10592" s="11" customFormat="true" ht="10.95" hidden="false" customHeight="true" outlineLevel="0" collapsed="false">
      <c r="A10592" s="16" t="n">
        <v>45281</v>
      </c>
      <c r="B10592" s="17" t="s">
        <v>3861</v>
      </c>
      <c r="C10592" s="17" t="s">
        <v>3752</v>
      </c>
      <c r="D10592" s="17" t="s">
        <v>1407</v>
      </c>
      <c r="E10592" s="17" t="s">
        <v>3767</v>
      </c>
      <c r="F10592" s="17" t="s">
        <v>2781</v>
      </c>
      <c r="G10592" s="18" t="n">
        <v>0</v>
      </c>
      <c r="H10592" s="18" t="n">
        <v>5</v>
      </c>
      <c r="I10592" s="18" t="n">
        <f aca="false">((I10591 + G10592) - H10592)</f>
        <v>87008.1999999999</v>
      </c>
      <c r="J10592" s="18" t="n">
        <v>0</v>
      </c>
      <c r="K10592" s="19" t="n">
        <v>0</v>
      </c>
      <c r="L10592" s="17"/>
    </row>
    <row r="10593" s="11" customFormat="true" ht="10.95" hidden="false" customHeight="true" outlineLevel="0" collapsed="false">
      <c r="A10593" s="16" t="n">
        <v>45281</v>
      </c>
      <c r="B10593" s="17" t="s">
        <v>3861</v>
      </c>
      <c r="C10593" s="17" t="s">
        <v>3752</v>
      </c>
      <c r="D10593" s="17" t="s">
        <v>1407</v>
      </c>
      <c r="E10593" s="17" t="s">
        <v>3767</v>
      </c>
      <c r="F10593" s="17" t="s">
        <v>2781</v>
      </c>
      <c r="G10593" s="18" t="n">
        <v>0</v>
      </c>
      <c r="H10593" s="18" t="n">
        <v>13.23</v>
      </c>
      <c r="I10593" s="18" t="n">
        <f aca="false">((I10592 + G10593) - H10593)</f>
        <v>86994.9699999999</v>
      </c>
      <c r="J10593" s="18" t="n">
        <v>0</v>
      </c>
      <c r="K10593" s="19" t="n">
        <v>0</v>
      </c>
      <c r="L10593" s="17"/>
    </row>
    <row r="10594" s="11" customFormat="true" ht="10.95" hidden="false" customHeight="true" outlineLevel="0" collapsed="false">
      <c r="A10594" s="16" t="n">
        <v>45281</v>
      </c>
      <c r="B10594" s="17" t="s">
        <v>3861</v>
      </c>
      <c r="C10594" s="17" t="s">
        <v>3752</v>
      </c>
      <c r="D10594" s="17" t="s">
        <v>1407</v>
      </c>
      <c r="E10594" s="17" t="s">
        <v>3767</v>
      </c>
      <c r="F10594" s="17" t="s">
        <v>2781</v>
      </c>
      <c r="G10594" s="18" t="n">
        <v>0</v>
      </c>
      <c r="H10594" s="18" t="n">
        <v>14.87</v>
      </c>
      <c r="I10594" s="18" t="n">
        <f aca="false">((I10593 + G10594) - H10594)</f>
        <v>86980.0999999999</v>
      </c>
      <c r="J10594" s="18" t="n">
        <v>0</v>
      </c>
      <c r="K10594" s="19" t="n">
        <v>0</v>
      </c>
      <c r="L10594" s="17"/>
    </row>
    <row r="10595" s="11" customFormat="true" ht="10.95" hidden="false" customHeight="true" outlineLevel="0" collapsed="false">
      <c r="A10595" s="16" t="n">
        <v>45281</v>
      </c>
      <c r="B10595" s="17" t="s">
        <v>3861</v>
      </c>
      <c r="C10595" s="17" t="s">
        <v>3752</v>
      </c>
      <c r="D10595" s="17" t="s">
        <v>1407</v>
      </c>
      <c r="E10595" s="17" t="s">
        <v>3774</v>
      </c>
      <c r="F10595" s="17"/>
      <c r="G10595" s="18" t="n">
        <v>0</v>
      </c>
      <c r="H10595" s="18" t="n">
        <v>29.9</v>
      </c>
      <c r="I10595" s="18" t="n">
        <f aca="false">((I10594 + G10595) - H10595)</f>
        <v>86950.1999999999</v>
      </c>
      <c r="J10595" s="18" t="n">
        <v>0</v>
      </c>
      <c r="K10595" s="19" t="n">
        <v>0</v>
      </c>
      <c r="L10595" s="17"/>
    </row>
    <row r="10596" s="11" customFormat="true" ht="10.95" hidden="false" customHeight="true" outlineLevel="0" collapsed="false">
      <c r="A10596" s="16" t="n">
        <v>45281</v>
      </c>
      <c r="B10596" s="17" t="s">
        <v>3861</v>
      </c>
      <c r="C10596" s="17" t="s">
        <v>3752</v>
      </c>
      <c r="D10596" s="17" t="s">
        <v>2903</v>
      </c>
      <c r="E10596" s="17" t="s">
        <v>3644</v>
      </c>
      <c r="F10596" s="17" t="s">
        <v>2412</v>
      </c>
      <c r="G10596" s="18" t="n">
        <v>0</v>
      </c>
      <c r="H10596" s="18" t="n">
        <v>76.56</v>
      </c>
      <c r="I10596" s="18" t="n">
        <f aca="false">((I10595 + G10596) - H10596)</f>
        <v>86873.6399999999</v>
      </c>
      <c r="J10596" s="18" t="n">
        <v>0</v>
      </c>
      <c r="K10596" s="19" t="n">
        <v>0</v>
      </c>
      <c r="L10596" s="17"/>
    </row>
    <row r="10597" s="11" customFormat="true" ht="10.95" hidden="false" customHeight="true" outlineLevel="0" collapsed="false">
      <c r="A10597" s="16" t="n">
        <v>45281</v>
      </c>
      <c r="B10597" s="17" t="s">
        <v>3861</v>
      </c>
      <c r="C10597" s="17" t="s">
        <v>3752</v>
      </c>
      <c r="D10597" s="17" t="s">
        <v>1407</v>
      </c>
      <c r="E10597" s="17" t="s">
        <v>3615</v>
      </c>
      <c r="F10597" s="17"/>
      <c r="G10597" s="18" t="n">
        <v>0</v>
      </c>
      <c r="H10597" s="18" t="n">
        <v>4.09</v>
      </c>
      <c r="I10597" s="18" t="n">
        <f aca="false">((I10596 + G10597) - H10597)</f>
        <v>86869.5499999999</v>
      </c>
      <c r="J10597" s="18" t="n">
        <v>0</v>
      </c>
      <c r="K10597" s="19" t="n">
        <v>0</v>
      </c>
      <c r="L10597" s="17"/>
    </row>
    <row r="10598" s="11" customFormat="true" ht="10.95" hidden="false" customHeight="true" outlineLevel="0" collapsed="false">
      <c r="A10598" s="16" t="n">
        <v>45281</v>
      </c>
      <c r="B10598" s="17" t="s">
        <v>3861</v>
      </c>
      <c r="C10598" s="17" t="s">
        <v>3752</v>
      </c>
      <c r="D10598" s="17" t="s">
        <v>2903</v>
      </c>
      <c r="E10598" s="17" t="s">
        <v>3645</v>
      </c>
      <c r="F10598" s="17" t="s">
        <v>1474</v>
      </c>
      <c r="G10598" s="18" t="n">
        <v>0</v>
      </c>
      <c r="H10598" s="18" t="n">
        <v>538.76</v>
      </c>
      <c r="I10598" s="18" t="n">
        <f aca="false">((I10597 + G10598) - H10598)</f>
        <v>86330.7899999999</v>
      </c>
      <c r="J10598" s="18" t="n">
        <v>0</v>
      </c>
      <c r="K10598" s="19" t="n">
        <v>0</v>
      </c>
      <c r="L10598" s="17"/>
    </row>
    <row r="10599" s="11" customFormat="true" ht="10.95" hidden="false" customHeight="true" outlineLevel="0" collapsed="false">
      <c r="A10599" s="16" t="n">
        <v>45281</v>
      </c>
      <c r="B10599" s="17" t="s">
        <v>3861</v>
      </c>
      <c r="C10599" s="17" t="s">
        <v>3752</v>
      </c>
      <c r="D10599" s="17" t="s">
        <v>2895</v>
      </c>
      <c r="E10599" s="17" t="s">
        <v>2900</v>
      </c>
      <c r="F10599" s="17" t="s">
        <v>3017</v>
      </c>
      <c r="G10599" s="18" t="n">
        <v>1311.45</v>
      </c>
      <c r="H10599" s="18" t="n">
        <v>0</v>
      </c>
      <c r="I10599" s="18" t="n">
        <f aca="false">((I10598 + G10599) - H10599)</f>
        <v>87642.2399999999</v>
      </c>
      <c r="J10599" s="18" t="n">
        <v>0</v>
      </c>
      <c r="K10599" s="19" t="n">
        <v>0</v>
      </c>
      <c r="L10599" s="17"/>
    </row>
    <row r="10600" s="11" customFormat="true" ht="10.95" hidden="false" customHeight="true" outlineLevel="0" collapsed="false">
      <c r="A10600" s="16" t="n">
        <v>45281</v>
      </c>
      <c r="B10600" s="17" t="s">
        <v>3861</v>
      </c>
      <c r="C10600" s="17" t="s">
        <v>3752</v>
      </c>
      <c r="D10600" s="17" t="s">
        <v>2895</v>
      </c>
      <c r="E10600" s="17" t="s">
        <v>2900</v>
      </c>
      <c r="F10600" s="17" t="s">
        <v>3018</v>
      </c>
      <c r="G10600" s="18" t="n">
        <v>6972.55</v>
      </c>
      <c r="H10600" s="18" t="n">
        <v>0</v>
      </c>
      <c r="I10600" s="18" t="n">
        <f aca="false">((I10599 + G10600) - H10600)</f>
        <v>94614.7899999999</v>
      </c>
      <c r="J10600" s="18" t="n">
        <v>0</v>
      </c>
      <c r="K10600" s="19" t="n">
        <v>0</v>
      </c>
      <c r="L10600" s="17"/>
    </row>
    <row r="10601" s="11" customFormat="true" ht="10.95" hidden="false" customHeight="true" outlineLevel="0" collapsed="false">
      <c r="A10601" s="16" t="n">
        <v>45282</v>
      </c>
      <c r="B10601" s="17" t="s">
        <v>3861</v>
      </c>
      <c r="C10601" s="17" t="s">
        <v>3752</v>
      </c>
      <c r="D10601" s="17" t="s">
        <v>2895</v>
      </c>
      <c r="E10601" s="17" t="s">
        <v>3472</v>
      </c>
      <c r="F10601" s="17" t="s">
        <v>4174</v>
      </c>
      <c r="G10601" s="18" t="n">
        <v>1278.2</v>
      </c>
      <c r="H10601" s="18" t="n">
        <v>0</v>
      </c>
      <c r="I10601" s="18" t="n">
        <f aca="false">((I10600 + G10601) - H10601)</f>
        <v>95892.9899999999</v>
      </c>
      <c r="J10601" s="18" t="n">
        <v>0</v>
      </c>
      <c r="K10601" s="19" t="n">
        <v>0</v>
      </c>
      <c r="L10601" s="17"/>
    </row>
    <row r="10602" s="11" customFormat="true" ht="10.95" hidden="false" customHeight="true" outlineLevel="0" collapsed="false">
      <c r="A10602" s="16" t="n">
        <v>45282</v>
      </c>
      <c r="B10602" s="17" t="s">
        <v>3861</v>
      </c>
      <c r="C10602" s="17" t="s">
        <v>3752</v>
      </c>
      <c r="D10602" s="17" t="s">
        <v>2895</v>
      </c>
      <c r="E10602" s="17" t="s">
        <v>2947</v>
      </c>
      <c r="F10602" s="17" t="s">
        <v>3019</v>
      </c>
      <c r="G10602" s="18" t="n">
        <v>1716.95</v>
      </c>
      <c r="H10602" s="18" t="n">
        <v>0</v>
      </c>
      <c r="I10602" s="18" t="n">
        <f aca="false">((I10601 + G10602) - H10602)</f>
        <v>97609.9399999999</v>
      </c>
      <c r="J10602" s="18" t="n">
        <v>0</v>
      </c>
      <c r="K10602" s="19" t="n">
        <v>0</v>
      </c>
      <c r="L10602" s="17"/>
    </row>
    <row r="10603" s="11" customFormat="true" ht="10.95" hidden="false" customHeight="true" outlineLevel="0" collapsed="false">
      <c r="A10603" s="16" t="n">
        <v>45282</v>
      </c>
      <c r="B10603" s="17" t="s">
        <v>3861</v>
      </c>
      <c r="C10603" s="17" t="s">
        <v>3752</v>
      </c>
      <c r="D10603" s="17" t="s">
        <v>1407</v>
      </c>
      <c r="E10603" s="17" t="s">
        <v>3767</v>
      </c>
      <c r="F10603" s="17" t="s">
        <v>2781</v>
      </c>
      <c r="G10603" s="18" t="n">
        <v>0</v>
      </c>
      <c r="H10603" s="18" t="n">
        <v>5</v>
      </c>
      <c r="I10603" s="18" t="n">
        <f aca="false">((I10602 + G10603) - H10603)</f>
        <v>97604.9399999999</v>
      </c>
      <c r="J10603" s="18" t="n">
        <v>0</v>
      </c>
      <c r="K10603" s="19" t="n">
        <v>0</v>
      </c>
      <c r="L10603" s="17"/>
    </row>
    <row r="10604" s="11" customFormat="true" ht="10.95" hidden="false" customHeight="true" outlineLevel="0" collapsed="false">
      <c r="A10604" s="16" t="n">
        <v>45282</v>
      </c>
      <c r="B10604" s="17" t="s">
        <v>3861</v>
      </c>
      <c r="C10604" s="17" t="s">
        <v>3752</v>
      </c>
      <c r="D10604" s="17" t="s">
        <v>1407</v>
      </c>
      <c r="E10604" s="17" t="s">
        <v>3767</v>
      </c>
      <c r="F10604" s="17" t="s">
        <v>2781</v>
      </c>
      <c r="G10604" s="18" t="n">
        <v>0</v>
      </c>
      <c r="H10604" s="18" t="n">
        <v>5</v>
      </c>
      <c r="I10604" s="18" t="n">
        <f aca="false">((I10603 + G10604) - H10604)</f>
        <v>97599.9399999999</v>
      </c>
      <c r="J10604" s="18" t="n">
        <v>0</v>
      </c>
      <c r="K10604" s="19" t="n">
        <v>0</v>
      </c>
      <c r="L10604" s="17"/>
    </row>
    <row r="10605" s="11" customFormat="true" ht="10.95" hidden="false" customHeight="true" outlineLevel="0" collapsed="false">
      <c r="A10605" s="16" t="n">
        <v>45282</v>
      </c>
      <c r="B10605" s="17" t="s">
        <v>3861</v>
      </c>
      <c r="C10605" s="17" t="s">
        <v>3752</v>
      </c>
      <c r="D10605" s="17" t="s">
        <v>1407</v>
      </c>
      <c r="E10605" s="17" t="s">
        <v>3767</v>
      </c>
      <c r="F10605" s="17" t="s">
        <v>2781</v>
      </c>
      <c r="G10605" s="18" t="n">
        <v>0</v>
      </c>
      <c r="H10605" s="18" t="n">
        <v>5</v>
      </c>
      <c r="I10605" s="18" t="n">
        <f aca="false">((I10604 + G10605) - H10605)</f>
        <v>97594.9399999999</v>
      </c>
      <c r="J10605" s="18" t="n">
        <v>0</v>
      </c>
      <c r="K10605" s="19" t="n">
        <v>0</v>
      </c>
      <c r="L10605" s="17"/>
    </row>
    <row r="10606" s="11" customFormat="true" ht="10.95" hidden="false" customHeight="true" outlineLevel="0" collapsed="false">
      <c r="A10606" s="16" t="n">
        <v>45282</v>
      </c>
      <c r="B10606" s="17" t="s">
        <v>3861</v>
      </c>
      <c r="C10606" s="17" t="s">
        <v>3752</v>
      </c>
      <c r="D10606" s="17" t="s">
        <v>1407</v>
      </c>
      <c r="E10606" s="17" t="s">
        <v>3767</v>
      </c>
      <c r="F10606" s="17" t="s">
        <v>2781</v>
      </c>
      <c r="G10606" s="18" t="n">
        <v>0</v>
      </c>
      <c r="H10606" s="18" t="n">
        <v>5</v>
      </c>
      <c r="I10606" s="18" t="n">
        <f aca="false">((I10605 + G10606) - H10606)</f>
        <v>97589.9399999999</v>
      </c>
      <c r="J10606" s="18" t="n">
        <v>0</v>
      </c>
      <c r="K10606" s="19" t="n">
        <v>0</v>
      </c>
      <c r="L10606" s="17"/>
    </row>
    <row r="10607" s="11" customFormat="true" ht="10.95" hidden="false" customHeight="true" outlineLevel="0" collapsed="false">
      <c r="A10607" s="16" t="n">
        <v>45282</v>
      </c>
      <c r="B10607" s="17" t="s">
        <v>3861</v>
      </c>
      <c r="C10607" s="17" t="s">
        <v>3752</v>
      </c>
      <c r="D10607" s="17" t="s">
        <v>2903</v>
      </c>
      <c r="E10607" s="17" t="s">
        <v>3644</v>
      </c>
      <c r="F10607" s="17" t="s">
        <v>2416</v>
      </c>
      <c r="G10607" s="18" t="n">
        <v>0</v>
      </c>
      <c r="H10607" s="18" t="n">
        <v>9.02</v>
      </c>
      <c r="I10607" s="18" t="n">
        <f aca="false">((I10606 + G10607) - H10607)</f>
        <v>97580.9199999999</v>
      </c>
      <c r="J10607" s="18" t="n">
        <v>0</v>
      </c>
      <c r="K10607" s="19" t="n">
        <v>0</v>
      </c>
      <c r="L10607" s="17"/>
    </row>
    <row r="10608" s="11" customFormat="true" ht="10.95" hidden="false" customHeight="true" outlineLevel="0" collapsed="false">
      <c r="A10608" s="16" t="n">
        <v>45282</v>
      </c>
      <c r="B10608" s="17" t="s">
        <v>3861</v>
      </c>
      <c r="C10608" s="17" t="s">
        <v>3752</v>
      </c>
      <c r="D10608" s="17" t="s">
        <v>1407</v>
      </c>
      <c r="E10608" s="17" t="s">
        <v>3767</v>
      </c>
      <c r="F10608" s="17" t="s">
        <v>2781</v>
      </c>
      <c r="G10608" s="18" t="n">
        <v>0</v>
      </c>
      <c r="H10608" s="18" t="n">
        <v>13.23</v>
      </c>
      <c r="I10608" s="18" t="n">
        <f aca="false">((I10607 + G10608) - H10608)</f>
        <v>97567.6899999999</v>
      </c>
      <c r="J10608" s="18" t="n">
        <v>0</v>
      </c>
      <c r="K10608" s="19" t="n">
        <v>0</v>
      </c>
      <c r="L10608" s="17"/>
    </row>
    <row r="10609" s="11" customFormat="true" ht="10.95" hidden="false" customHeight="true" outlineLevel="0" collapsed="false">
      <c r="A10609" s="16" t="n">
        <v>45282</v>
      </c>
      <c r="B10609" s="17" t="s">
        <v>3861</v>
      </c>
      <c r="C10609" s="17" t="s">
        <v>3752</v>
      </c>
      <c r="D10609" s="17" t="s">
        <v>1407</v>
      </c>
      <c r="E10609" s="17" t="s">
        <v>3767</v>
      </c>
      <c r="F10609" s="17" t="s">
        <v>2781</v>
      </c>
      <c r="G10609" s="18" t="n">
        <v>0</v>
      </c>
      <c r="H10609" s="18" t="n">
        <v>13.37</v>
      </c>
      <c r="I10609" s="18" t="n">
        <f aca="false">((I10608 + G10609) - H10609)</f>
        <v>97554.3199999999</v>
      </c>
      <c r="J10609" s="18" t="n">
        <v>0</v>
      </c>
      <c r="K10609" s="19" t="n">
        <v>0</v>
      </c>
      <c r="L10609" s="17"/>
    </row>
    <row r="10610" s="11" customFormat="true" ht="10.95" hidden="false" customHeight="true" outlineLevel="0" collapsed="false">
      <c r="A10610" s="16" t="n">
        <v>45282</v>
      </c>
      <c r="B10610" s="17" t="s">
        <v>3861</v>
      </c>
      <c r="C10610" s="17" t="s">
        <v>3752</v>
      </c>
      <c r="D10610" s="17" t="s">
        <v>1407</v>
      </c>
      <c r="E10610" s="17" t="s">
        <v>3767</v>
      </c>
      <c r="F10610" s="17" t="s">
        <v>2781</v>
      </c>
      <c r="G10610" s="18" t="n">
        <v>0</v>
      </c>
      <c r="H10610" s="18" t="n">
        <v>15.1</v>
      </c>
      <c r="I10610" s="18" t="n">
        <f aca="false">((I10609 + G10610) - H10610)</f>
        <v>97539.2199999999</v>
      </c>
      <c r="J10610" s="18" t="n">
        <v>0</v>
      </c>
      <c r="K10610" s="19" t="n">
        <v>0</v>
      </c>
      <c r="L10610" s="17"/>
    </row>
    <row r="10611" s="11" customFormat="true" ht="10.95" hidden="false" customHeight="true" outlineLevel="0" collapsed="false">
      <c r="A10611" s="16" t="n">
        <v>45282</v>
      </c>
      <c r="B10611" s="17" t="s">
        <v>3861</v>
      </c>
      <c r="C10611" s="17" t="s">
        <v>3752</v>
      </c>
      <c r="D10611" s="17" t="s">
        <v>1407</v>
      </c>
      <c r="E10611" s="17" t="s">
        <v>3767</v>
      </c>
      <c r="F10611" s="17" t="s">
        <v>2781</v>
      </c>
      <c r="G10611" s="18" t="n">
        <v>0</v>
      </c>
      <c r="H10611" s="18" t="n">
        <v>17.9</v>
      </c>
      <c r="I10611" s="18" t="n">
        <f aca="false">((I10610 + G10611) - H10611)</f>
        <v>97521.3199999999</v>
      </c>
      <c r="J10611" s="18" t="n">
        <v>0</v>
      </c>
      <c r="K10611" s="19" t="n">
        <v>0</v>
      </c>
      <c r="L10611" s="17"/>
    </row>
    <row r="10612" s="11" customFormat="true" ht="10.95" hidden="false" customHeight="true" outlineLevel="0" collapsed="false">
      <c r="A10612" s="16" t="n">
        <v>45282</v>
      </c>
      <c r="B10612" s="17" t="s">
        <v>3861</v>
      </c>
      <c r="C10612" s="17" t="s">
        <v>3752</v>
      </c>
      <c r="D10612" s="17" t="s">
        <v>2903</v>
      </c>
      <c r="E10612" s="17" t="s">
        <v>3644</v>
      </c>
      <c r="F10612" s="17" t="s">
        <v>2418</v>
      </c>
      <c r="G10612" s="18" t="n">
        <v>0</v>
      </c>
      <c r="H10612" s="18" t="n">
        <v>24.2</v>
      </c>
      <c r="I10612" s="18" t="n">
        <f aca="false">((I10611 + G10612) - H10612)</f>
        <v>97497.1199999999</v>
      </c>
      <c r="J10612" s="18" t="n">
        <v>0</v>
      </c>
      <c r="K10612" s="19" t="n">
        <v>0</v>
      </c>
      <c r="L10612" s="17"/>
    </row>
    <row r="10613" s="11" customFormat="true" ht="10.95" hidden="false" customHeight="true" outlineLevel="0" collapsed="false">
      <c r="A10613" s="16" t="n">
        <v>45282</v>
      </c>
      <c r="B10613" s="17" t="s">
        <v>3861</v>
      </c>
      <c r="C10613" s="17" t="s">
        <v>3752</v>
      </c>
      <c r="D10613" s="17" t="s">
        <v>2903</v>
      </c>
      <c r="E10613" s="17" t="s">
        <v>3644</v>
      </c>
      <c r="F10613" s="17" t="s">
        <v>2410</v>
      </c>
      <c r="G10613" s="18" t="n">
        <v>0</v>
      </c>
      <c r="H10613" s="18" t="n">
        <v>36.19</v>
      </c>
      <c r="I10613" s="18" t="n">
        <f aca="false">((I10612 + G10613) - H10613)</f>
        <v>97460.9299999999</v>
      </c>
      <c r="J10613" s="18" t="n">
        <v>0</v>
      </c>
      <c r="K10613" s="19" t="n">
        <v>0</v>
      </c>
      <c r="L10613" s="17"/>
    </row>
    <row r="10614" s="11" customFormat="true" ht="10.95" hidden="false" customHeight="true" outlineLevel="0" collapsed="false">
      <c r="A10614" s="16" t="n">
        <v>45282</v>
      </c>
      <c r="B10614" s="17" t="s">
        <v>3861</v>
      </c>
      <c r="C10614" s="17" t="s">
        <v>3752</v>
      </c>
      <c r="D10614" s="17" t="s">
        <v>2903</v>
      </c>
      <c r="E10614" s="17" t="s">
        <v>3644</v>
      </c>
      <c r="F10614" s="17" t="s">
        <v>2408</v>
      </c>
      <c r="G10614" s="18" t="n">
        <v>0</v>
      </c>
      <c r="H10614" s="18" t="n">
        <v>45.32</v>
      </c>
      <c r="I10614" s="18" t="n">
        <f aca="false">((I10613 + G10614) - H10614)</f>
        <v>97415.6099999999</v>
      </c>
      <c r="J10614" s="18" t="n">
        <v>0</v>
      </c>
      <c r="K10614" s="19" t="n">
        <v>0</v>
      </c>
      <c r="L10614" s="17"/>
    </row>
    <row r="10615" s="11" customFormat="true" ht="10.95" hidden="false" customHeight="true" outlineLevel="0" collapsed="false">
      <c r="A10615" s="16" t="n">
        <v>45282</v>
      </c>
      <c r="B10615" s="17" t="s">
        <v>3861</v>
      </c>
      <c r="C10615" s="17" t="s">
        <v>3752</v>
      </c>
      <c r="D10615" s="17" t="s">
        <v>2903</v>
      </c>
      <c r="E10615" s="17" t="s">
        <v>3644</v>
      </c>
      <c r="F10615" s="17" t="s">
        <v>2420</v>
      </c>
      <c r="G10615" s="18" t="n">
        <v>0</v>
      </c>
      <c r="H10615" s="18" t="n">
        <v>60.5</v>
      </c>
      <c r="I10615" s="18" t="n">
        <f aca="false">((I10614 + G10615) - H10615)</f>
        <v>97355.1099999999</v>
      </c>
      <c r="J10615" s="18" t="n">
        <v>0</v>
      </c>
      <c r="K10615" s="19" t="n">
        <v>0</v>
      </c>
      <c r="L10615" s="17"/>
    </row>
    <row r="10616" s="11" customFormat="true" ht="10.95" hidden="false" customHeight="true" outlineLevel="0" collapsed="false">
      <c r="A10616" s="16" t="n">
        <v>45282</v>
      </c>
      <c r="B10616" s="17" t="s">
        <v>3861</v>
      </c>
      <c r="C10616" s="17" t="s">
        <v>3752</v>
      </c>
      <c r="D10616" s="17" t="s">
        <v>2903</v>
      </c>
      <c r="E10616" s="17" t="s">
        <v>3644</v>
      </c>
      <c r="F10616" s="17" t="s">
        <v>2406</v>
      </c>
      <c r="G10616" s="18" t="n">
        <v>0</v>
      </c>
      <c r="H10616" s="18" t="n">
        <v>68.2</v>
      </c>
      <c r="I10616" s="18" t="n">
        <f aca="false">((I10615 + G10616) - H10616)</f>
        <v>97286.9099999999</v>
      </c>
      <c r="J10616" s="18" t="n">
        <v>0</v>
      </c>
      <c r="K10616" s="19" t="n">
        <v>0</v>
      </c>
      <c r="L10616" s="17"/>
    </row>
    <row r="10617" s="11" customFormat="true" ht="10.95" hidden="false" customHeight="true" outlineLevel="0" collapsed="false">
      <c r="A10617" s="16" t="n">
        <v>45282</v>
      </c>
      <c r="B10617" s="17" t="s">
        <v>3861</v>
      </c>
      <c r="C10617" s="17" t="s">
        <v>3752</v>
      </c>
      <c r="D10617" s="17" t="s">
        <v>2903</v>
      </c>
      <c r="E10617" s="17" t="s">
        <v>3644</v>
      </c>
      <c r="F10617" s="17" t="s">
        <v>2414</v>
      </c>
      <c r="G10617" s="18" t="n">
        <v>0</v>
      </c>
      <c r="H10617" s="18" t="n">
        <v>219.78</v>
      </c>
      <c r="I10617" s="18" t="n">
        <f aca="false">((I10616 + G10617) - H10617)</f>
        <v>97067.1299999999</v>
      </c>
      <c r="J10617" s="18" t="n">
        <v>0</v>
      </c>
      <c r="K10617" s="19" t="n">
        <v>0</v>
      </c>
      <c r="L10617" s="17"/>
    </row>
    <row r="10618" s="11" customFormat="true" ht="10.95" hidden="false" customHeight="true" outlineLevel="0" collapsed="false">
      <c r="A10618" s="16" t="n">
        <v>45282</v>
      </c>
      <c r="B10618" s="17" t="s">
        <v>3861</v>
      </c>
      <c r="C10618" s="17" t="s">
        <v>3752</v>
      </c>
      <c r="D10618" s="17" t="s">
        <v>1407</v>
      </c>
      <c r="E10618" s="17" t="s">
        <v>3642</v>
      </c>
      <c r="F10618" s="17"/>
      <c r="G10618" s="18" t="n">
        <v>0</v>
      </c>
      <c r="H10618" s="18" t="n">
        <v>76.56</v>
      </c>
      <c r="I10618" s="18" t="n">
        <f aca="false">((I10617 + G10618) - H10618)</f>
        <v>96990.5699999999</v>
      </c>
      <c r="J10618" s="18" t="n">
        <v>0</v>
      </c>
      <c r="K10618" s="19" t="n">
        <v>0</v>
      </c>
      <c r="L10618" s="17"/>
    </row>
    <row r="10619" s="11" customFormat="true" ht="10.95" hidden="false" customHeight="true" outlineLevel="0" collapsed="false">
      <c r="A10619" s="16" t="n">
        <v>45283</v>
      </c>
      <c r="B10619" s="17" t="s">
        <v>3861</v>
      </c>
      <c r="C10619" s="17" t="s">
        <v>3752</v>
      </c>
      <c r="D10619" s="17" t="s">
        <v>1407</v>
      </c>
      <c r="E10619" s="17" t="s">
        <v>3863</v>
      </c>
      <c r="F10619" s="17"/>
      <c r="G10619" s="18" t="n">
        <v>0</v>
      </c>
      <c r="H10619" s="18" t="n">
        <v>0.36</v>
      </c>
      <c r="I10619" s="18" t="n">
        <f aca="false">((I10618 + G10619) - H10619)</f>
        <v>96990.2099999999</v>
      </c>
      <c r="J10619" s="18" t="n">
        <v>0</v>
      </c>
      <c r="K10619" s="19" t="n">
        <v>0</v>
      </c>
      <c r="L10619" s="17"/>
    </row>
    <row r="10620" s="11" customFormat="true" ht="10.95" hidden="false" customHeight="true" outlineLevel="0" collapsed="false">
      <c r="A10620" s="16" t="n">
        <v>45283</v>
      </c>
      <c r="B10620" s="17" t="s">
        <v>3861</v>
      </c>
      <c r="C10620" s="17" t="s">
        <v>3752</v>
      </c>
      <c r="D10620" s="17" t="s">
        <v>1407</v>
      </c>
      <c r="E10620" s="17" t="s">
        <v>3907</v>
      </c>
      <c r="F10620" s="17"/>
      <c r="G10620" s="18" t="n">
        <v>0</v>
      </c>
      <c r="H10620" s="18" t="n">
        <v>8.65</v>
      </c>
      <c r="I10620" s="18" t="n">
        <f aca="false">((I10619 + G10620) - H10620)</f>
        <v>96981.5599999999</v>
      </c>
      <c r="J10620" s="18" t="n">
        <v>0</v>
      </c>
      <c r="K10620" s="19" t="n">
        <v>0</v>
      </c>
      <c r="L10620" s="17"/>
    </row>
    <row r="10621" s="11" customFormat="true" ht="10.95" hidden="false" customHeight="true" outlineLevel="0" collapsed="false">
      <c r="A10621" s="16" t="n">
        <v>45283</v>
      </c>
      <c r="B10621" s="17" t="s">
        <v>3861</v>
      </c>
      <c r="C10621" s="17" t="s">
        <v>3752</v>
      </c>
      <c r="D10621" s="17" t="s">
        <v>1407</v>
      </c>
      <c r="E10621" s="17" t="s">
        <v>3879</v>
      </c>
      <c r="F10621" s="17"/>
      <c r="G10621" s="18" t="n">
        <v>0</v>
      </c>
      <c r="H10621" s="18" t="n">
        <v>1000</v>
      </c>
      <c r="I10621" s="18" t="n">
        <f aca="false">((I10620 + G10621) - H10621)</f>
        <v>95981.5599999999</v>
      </c>
      <c r="J10621" s="18" t="n">
        <v>0</v>
      </c>
      <c r="K10621" s="19" t="n">
        <v>0</v>
      </c>
      <c r="L10621" s="17"/>
    </row>
    <row r="10622" s="11" customFormat="true" ht="10.95" hidden="false" customHeight="true" outlineLevel="0" collapsed="false">
      <c r="A10622" s="16" t="n">
        <v>45283</v>
      </c>
      <c r="B10622" s="17" t="s">
        <v>3861</v>
      </c>
      <c r="C10622" s="17" t="s">
        <v>3752</v>
      </c>
      <c r="D10622" s="17" t="s">
        <v>1407</v>
      </c>
      <c r="E10622" s="17" t="s">
        <v>3880</v>
      </c>
      <c r="F10622" s="17"/>
      <c r="G10622" s="18" t="n">
        <v>0</v>
      </c>
      <c r="H10622" s="18" t="n">
        <v>1000</v>
      </c>
      <c r="I10622" s="18" t="n">
        <f aca="false">((I10621 + G10622) - H10622)</f>
        <v>94981.5599999999</v>
      </c>
      <c r="J10622" s="18" t="n">
        <v>0</v>
      </c>
      <c r="K10622" s="19" t="n">
        <v>0</v>
      </c>
      <c r="L10622" s="17"/>
    </row>
    <row r="10623" s="11" customFormat="true" ht="10.95" hidden="false" customHeight="true" outlineLevel="0" collapsed="false">
      <c r="A10623" s="16" t="n">
        <v>45283</v>
      </c>
      <c r="B10623" s="17" t="s">
        <v>3861</v>
      </c>
      <c r="C10623" s="17" t="s">
        <v>3752</v>
      </c>
      <c r="D10623" s="17" t="s">
        <v>1407</v>
      </c>
      <c r="E10623" s="17" t="s">
        <v>3878</v>
      </c>
      <c r="F10623" s="17"/>
      <c r="G10623" s="18" t="n">
        <v>0</v>
      </c>
      <c r="H10623" s="18" t="n">
        <v>1000</v>
      </c>
      <c r="I10623" s="18" t="n">
        <f aca="false">((I10622 + G10623) - H10623)</f>
        <v>93981.5599999999</v>
      </c>
      <c r="J10623" s="18" t="n">
        <v>0</v>
      </c>
      <c r="K10623" s="19" t="n">
        <v>0</v>
      </c>
      <c r="L10623" s="17"/>
    </row>
    <row r="10624" s="11" customFormat="true" ht="10.95" hidden="false" customHeight="true" outlineLevel="0" collapsed="false">
      <c r="A10624" s="16" t="n">
        <v>45283</v>
      </c>
      <c r="B10624" s="17" t="s">
        <v>3861</v>
      </c>
      <c r="C10624" s="17" t="s">
        <v>3752</v>
      </c>
      <c r="D10624" s="17" t="s">
        <v>1407</v>
      </c>
      <c r="E10624" s="17" t="s">
        <v>3911</v>
      </c>
      <c r="F10624" s="17"/>
      <c r="G10624" s="18" t="n">
        <v>0</v>
      </c>
      <c r="H10624" s="18" t="n">
        <v>11.89</v>
      </c>
      <c r="I10624" s="18" t="n">
        <f aca="false">((I10623 + G10624) - H10624)</f>
        <v>93969.6699999999</v>
      </c>
      <c r="J10624" s="18" t="n">
        <v>0</v>
      </c>
      <c r="K10624" s="19" t="n">
        <v>0</v>
      </c>
      <c r="L10624" s="17"/>
    </row>
    <row r="10625" s="11" customFormat="true" ht="10.95" hidden="false" customHeight="true" outlineLevel="0" collapsed="false">
      <c r="A10625" s="16" t="n">
        <v>45283</v>
      </c>
      <c r="B10625" s="17" t="s">
        <v>3861</v>
      </c>
      <c r="C10625" s="17" t="s">
        <v>3752</v>
      </c>
      <c r="D10625" s="17" t="s">
        <v>2903</v>
      </c>
      <c r="E10625" s="17" t="s">
        <v>3671</v>
      </c>
      <c r="F10625" s="17" t="s">
        <v>2423</v>
      </c>
      <c r="G10625" s="18" t="n">
        <v>0</v>
      </c>
      <c r="H10625" s="18" t="n">
        <v>97</v>
      </c>
      <c r="I10625" s="18" t="n">
        <f aca="false">((I10624 + G10625) - H10625)</f>
        <v>93872.6699999999</v>
      </c>
      <c r="J10625" s="18" t="n">
        <v>0</v>
      </c>
      <c r="K10625" s="19" t="n">
        <v>0</v>
      </c>
      <c r="L10625" s="17"/>
    </row>
    <row r="10626" s="11" customFormat="true" ht="10.95" hidden="false" customHeight="true" outlineLevel="0" collapsed="false">
      <c r="A10626" s="16" t="n">
        <v>45284</v>
      </c>
      <c r="B10626" s="17" t="s">
        <v>3861</v>
      </c>
      <c r="C10626" s="17" t="s">
        <v>3752</v>
      </c>
      <c r="D10626" s="17" t="s">
        <v>1407</v>
      </c>
      <c r="E10626" s="17" t="s">
        <v>3880</v>
      </c>
      <c r="F10626" s="17"/>
      <c r="G10626" s="18" t="n">
        <v>0</v>
      </c>
      <c r="H10626" s="18" t="n">
        <v>500</v>
      </c>
      <c r="I10626" s="18" t="n">
        <f aca="false">((I10625 + G10626) - H10626)</f>
        <v>93372.6699999999</v>
      </c>
      <c r="J10626" s="18" t="n">
        <v>0</v>
      </c>
      <c r="K10626" s="19" t="n">
        <v>0</v>
      </c>
      <c r="L10626" s="17"/>
    </row>
    <row r="10627" s="11" customFormat="true" ht="10.95" hidden="false" customHeight="true" outlineLevel="0" collapsed="false">
      <c r="A10627" s="16" t="n">
        <v>45286</v>
      </c>
      <c r="B10627" s="17" t="s">
        <v>3861</v>
      </c>
      <c r="C10627" s="17" t="s">
        <v>3752</v>
      </c>
      <c r="D10627" s="17" t="s">
        <v>1407</v>
      </c>
      <c r="E10627" s="17" t="s">
        <v>3878</v>
      </c>
      <c r="F10627" s="17"/>
      <c r="G10627" s="18" t="n">
        <v>0</v>
      </c>
      <c r="H10627" s="18" t="n">
        <v>1188.2</v>
      </c>
      <c r="I10627" s="18" t="n">
        <f aca="false">((I10626 + G10627) - H10627)</f>
        <v>92184.4699999999</v>
      </c>
      <c r="J10627" s="18" t="n">
        <v>0</v>
      </c>
      <c r="K10627" s="19" t="n">
        <v>0</v>
      </c>
      <c r="L10627" s="17"/>
    </row>
    <row r="10628" s="11" customFormat="true" ht="10.95" hidden="false" customHeight="true" outlineLevel="0" collapsed="false">
      <c r="A10628" s="16" t="n">
        <v>45287</v>
      </c>
      <c r="B10628" s="17" t="s">
        <v>3861</v>
      </c>
      <c r="C10628" s="17" t="s">
        <v>3752</v>
      </c>
      <c r="D10628" s="17" t="s">
        <v>2895</v>
      </c>
      <c r="E10628" s="17" t="s">
        <v>2910</v>
      </c>
      <c r="F10628" s="17" t="s">
        <v>3020</v>
      </c>
      <c r="G10628" s="18" t="n">
        <v>2440.39</v>
      </c>
      <c r="H10628" s="18" t="n">
        <v>0</v>
      </c>
      <c r="I10628" s="18" t="n">
        <f aca="false">((I10627 + G10628) - H10628)</f>
        <v>94624.8599999999</v>
      </c>
      <c r="J10628" s="18" t="n">
        <v>0</v>
      </c>
      <c r="K10628" s="19" t="n">
        <v>0</v>
      </c>
      <c r="L10628" s="17"/>
    </row>
    <row r="10629" s="11" customFormat="true" ht="10.95" hidden="false" customHeight="true" outlineLevel="0" collapsed="false">
      <c r="A10629" s="16" t="n">
        <v>45287</v>
      </c>
      <c r="B10629" s="17" t="s">
        <v>3861</v>
      </c>
      <c r="C10629" s="17" t="s">
        <v>3752</v>
      </c>
      <c r="D10629" s="17" t="s">
        <v>2895</v>
      </c>
      <c r="E10629" s="17" t="s">
        <v>3497</v>
      </c>
      <c r="F10629" s="17" t="s">
        <v>4175</v>
      </c>
      <c r="G10629" s="18" t="n">
        <v>1071.4</v>
      </c>
      <c r="H10629" s="18" t="n">
        <v>0</v>
      </c>
      <c r="I10629" s="18" t="n">
        <f aca="false">((I10628 + G10629) - H10629)</f>
        <v>95696.2599999999</v>
      </c>
      <c r="J10629" s="18" t="n">
        <v>0</v>
      </c>
      <c r="K10629" s="19" t="n">
        <v>0</v>
      </c>
      <c r="L10629" s="17"/>
    </row>
    <row r="10630" s="11" customFormat="true" ht="10.95" hidden="false" customHeight="true" outlineLevel="0" collapsed="false">
      <c r="A10630" s="16" t="n">
        <v>45287</v>
      </c>
      <c r="B10630" s="17" t="s">
        <v>3861</v>
      </c>
      <c r="C10630" s="17" t="s">
        <v>3752</v>
      </c>
      <c r="D10630" s="17" t="s">
        <v>2895</v>
      </c>
      <c r="E10630" s="17" t="s">
        <v>3378</v>
      </c>
      <c r="F10630" s="17" t="s">
        <v>4176</v>
      </c>
      <c r="G10630" s="18" t="n">
        <v>413.6</v>
      </c>
      <c r="H10630" s="18" t="n">
        <v>0</v>
      </c>
      <c r="I10630" s="18" t="n">
        <f aca="false">((I10629 + G10630) - H10630)</f>
        <v>96109.8599999999</v>
      </c>
      <c r="J10630" s="18" t="n">
        <v>0</v>
      </c>
      <c r="K10630" s="19" t="n">
        <v>0</v>
      </c>
      <c r="L10630" s="17"/>
    </row>
    <row r="10631" s="11" customFormat="true" ht="10.95" hidden="false" customHeight="true" outlineLevel="0" collapsed="false">
      <c r="A10631" s="16" t="n">
        <v>45287</v>
      </c>
      <c r="B10631" s="17" t="s">
        <v>3861</v>
      </c>
      <c r="C10631" s="17" t="s">
        <v>3752</v>
      </c>
      <c r="D10631" s="17" t="s">
        <v>1407</v>
      </c>
      <c r="E10631" s="17" t="s">
        <v>3881</v>
      </c>
      <c r="F10631" s="17"/>
      <c r="G10631" s="18" t="n">
        <v>0</v>
      </c>
      <c r="H10631" s="18" t="n">
        <v>140</v>
      </c>
      <c r="I10631" s="18" t="n">
        <f aca="false">((I10630 + G10631) - H10631)</f>
        <v>95969.8599999999</v>
      </c>
      <c r="J10631" s="18" t="n">
        <v>0</v>
      </c>
      <c r="K10631" s="19" t="n">
        <v>0</v>
      </c>
      <c r="L10631" s="17"/>
    </row>
    <row r="10632" s="11" customFormat="true" ht="10.95" hidden="false" customHeight="true" outlineLevel="0" collapsed="false">
      <c r="A10632" s="16" t="n">
        <v>45287</v>
      </c>
      <c r="B10632" s="17" t="s">
        <v>3861</v>
      </c>
      <c r="C10632" s="17" t="s">
        <v>3752</v>
      </c>
      <c r="D10632" s="17" t="s">
        <v>1407</v>
      </c>
      <c r="E10632" s="17" t="s">
        <v>3879</v>
      </c>
      <c r="F10632" s="17"/>
      <c r="G10632" s="18" t="n">
        <v>0</v>
      </c>
      <c r="H10632" s="18" t="n">
        <v>1207</v>
      </c>
      <c r="I10632" s="18" t="n">
        <f aca="false">((I10631 + G10632) - H10632)</f>
        <v>94762.8599999999</v>
      </c>
      <c r="J10632" s="18" t="n">
        <v>0</v>
      </c>
      <c r="K10632" s="19" t="n">
        <v>0</v>
      </c>
      <c r="L10632" s="17"/>
    </row>
    <row r="10633" s="11" customFormat="true" ht="10.95" hidden="false" customHeight="true" outlineLevel="0" collapsed="false">
      <c r="A10633" s="16" t="n">
        <v>45287</v>
      </c>
      <c r="B10633" s="17" t="s">
        <v>3861</v>
      </c>
      <c r="C10633" s="17" t="s">
        <v>3752</v>
      </c>
      <c r="D10633" s="17" t="s">
        <v>1407</v>
      </c>
      <c r="E10633" s="17" t="s">
        <v>3880</v>
      </c>
      <c r="F10633" s="17"/>
      <c r="G10633" s="18" t="n">
        <v>0</v>
      </c>
      <c r="H10633" s="18" t="n">
        <v>1207</v>
      </c>
      <c r="I10633" s="18" t="n">
        <f aca="false">((I10632 + G10633) - H10633)</f>
        <v>93555.8599999999</v>
      </c>
      <c r="J10633" s="18" t="n">
        <v>0</v>
      </c>
      <c r="K10633" s="19" t="n">
        <v>0</v>
      </c>
      <c r="L10633" s="17"/>
    </row>
    <row r="10634" s="11" customFormat="true" ht="10.95" hidden="false" customHeight="true" outlineLevel="0" collapsed="false">
      <c r="A10634" s="16" t="n">
        <v>45287</v>
      </c>
      <c r="B10634" s="17" t="s">
        <v>3861</v>
      </c>
      <c r="C10634" s="17" t="s">
        <v>3752</v>
      </c>
      <c r="D10634" s="17" t="s">
        <v>1407</v>
      </c>
      <c r="E10634" s="17" t="s">
        <v>3808</v>
      </c>
      <c r="F10634" s="17"/>
      <c r="G10634" s="18" t="n">
        <v>0</v>
      </c>
      <c r="H10634" s="18" t="n">
        <v>1705.92</v>
      </c>
      <c r="I10634" s="18" t="n">
        <f aca="false">((I10633 + G10634) - H10634)</f>
        <v>91849.9399999999</v>
      </c>
      <c r="J10634" s="18" t="n">
        <v>0</v>
      </c>
      <c r="K10634" s="19" t="n">
        <v>0</v>
      </c>
      <c r="L10634" s="17"/>
    </row>
    <row r="10635" s="11" customFormat="true" ht="10.95" hidden="false" customHeight="true" outlineLevel="0" collapsed="false">
      <c r="A10635" s="16" t="n">
        <v>45287</v>
      </c>
      <c r="B10635" s="17" t="s">
        <v>3861</v>
      </c>
      <c r="C10635" s="17" t="s">
        <v>3752</v>
      </c>
      <c r="D10635" s="17" t="s">
        <v>1407</v>
      </c>
      <c r="E10635" s="17" t="s">
        <v>3720</v>
      </c>
      <c r="F10635" s="17"/>
      <c r="G10635" s="18" t="n">
        <v>0</v>
      </c>
      <c r="H10635" s="18" t="n">
        <v>317</v>
      </c>
      <c r="I10635" s="18" t="n">
        <f aca="false">((I10634 + G10635) - H10635)</f>
        <v>91532.9399999999</v>
      </c>
      <c r="J10635" s="18" t="n">
        <v>0</v>
      </c>
      <c r="K10635" s="19" t="n">
        <v>0</v>
      </c>
      <c r="L10635" s="17"/>
    </row>
    <row r="10636" s="11" customFormat="true" ht="10.95" hidden="false" customHeight="true" outlineLevel="0" collapsed="false">
      <c r="A10636" s="16" t="n">
        <v>45288</v>
      </c>
      <c r="B10636" s="17" t="s">
        <v>3861</v>
      </c>
      <c r="C10636" s="17" t="s">
        <v>3752</v>
      </c>
      <c r="D10636" s="17" t="s">
        <v>2895</v>
      </c>
      <c r="E10636" s="17" t="s">
        <v>3466</v>
      </c>
      <c r="F10636" s="17" t="s">
        <v>4177</v>
      </c>
      <c r="G10636" s="18" t="n">
        <v>396</v>
      </c>
      <c r="H10636" s="18" t="n">
        <v>0</v>
      </c>
      <c r="I10636" s="18" t="n">
        <f aca="false">((I10635 + G10636) - H10636)</f>
        <v>91928.9399999999</v>
      </c>
      <c r="J10636" s="18" t="n">
        <v>0</v>
      </c>
      <c r="K10636" s="19" t="n">
        <v>0</v>
      </c>
      <c r="L10636" s="17"/>
    </row>
    <row r="10637" s="11" customFormat="true" ht="10.95" hidden="false" customHeight="true" outlineLevel="0" collapsed="false">
      <c r="A10637" s="16" t="n">
        <v>45288</v>
      </c>
      <c r="B10637" s="17" t="s">
        <v>3861</v>
      </c>
      <c r="C10637" s="17" t="s">
        <v>3752</v>
      </c>
      <c r="D10637" s="17" t="s">
        <v>2895</v>
      </c>
      <c r="E10637" s="17" t="s">
        <v>3505</v>
      </c>
      <c r="F10637" s="17" t="s">
        <v>4178</v>
      </c>
      <c r="G10637" s="18" t="n">
        <v>157.3</v>
      </c>
      <c r="H10637" s="18" t="n">
        <v>0</v>
      </c>
      <c r="I10637" s="18" t="n">
        <f aca="false">((I10636 + G10637) - H10637)</f>
        <v>92086.2399999999</v>
      </c>
      <c r="J10637" s="18" t="n">
        <v>0</v>
      </c>
      <c r="K10637" s="19" t="n">
        <v>0</v>
      </c>
      <c r="L10637" s="17"/>
    </row>
    <row r="10638" s="11" customFormat="true" ht="10.95" hidden="false" customHeight="true" outlineLevel="0" collapsed="false">
      <c r="A10638" s="16" t="n">
        <v>45288</v>
      </c>
      <c r="B10638" s="17" t="s">
        <v>3861</v>
      </c>
      <c r="C10638" s="17" t="s">
        <v>3752</v>
      </c>
      <c r="D10638" s="17" t="s">
        <v>1407</v>
      </c>
      <c r="E10638" s="17" t="s">
        <v>3863</v>
      </c>
      <c r="F10638" s="17"/>
      <c r="G10638" s="18" t="n">
        <v>0</v>
      </c>
      <c r="H10638" s="18" t="n">
        <v>0.35</v>
      </c>
      <c r="I10638" s="18" t="n">
        <f aca="false">((I10637 + G10638) - H10638)</f>
        <v>92085.8899999999</v>
      </c>
      <c r="J10638" s="18" t="n">
        <v>0</v>
      </c>
      <c r="K10638" s="19" t="n">
        <v>0</v>
      </c>
      <c r="L10638" s="17"/>
    </row>
    <row r="10639" s="11" customFormat="true" ht="10.95" hidden="false" customHeight="true" outlineLevel="0" collapsed="false">
      <c r="A10639" s="16" t="n">
        <v>45288</v>
      </c>
      <c r="B10639" s="17" t="s">
        <v>3861</v>
      </c>
      <c r="C10639" s="17" t="s">
        <v>3752</v>
      </c>
      <c r="D10639" s="17" t="s">
        <v>1407</v>
      </c>
      <c r="E10639" s="17" t="s">
        <v>3863</v>
      </c>
      <c r="F10639" s="17"/>
      <c r="G10639" s="18" t="n">
        <v>0</v>
      </c>
      <c r="H10639" s="18" t="n">
        <v>0.36</v>
      </c>
      <c r="I10639" s="18" t="n">
        <f aca="false">((I10638 + G10639) - H10639)</f>
        <v>92085.5299999999</v>
      </c>
      <c r="J10639" s="18" t="n">
        <v>0</v>
      </c>
      <c r="K10639" s="19" t="n">
        <v>0</v>
      </c>
      <c r="L10639" s="17"/>
    </row>
    <row r="10640" s="11" customFormat="true" ht="10.95" hidden="false" customHeight="true" outlineLevel="0" collapsed="false">
      <c r="A10640" s="16" t="n">
        <v>45288</v>
      </c>
      <c r="B10640" s="17" t="s">
        <v>3861</v>
      </c>
      <c r="C10640" s="17" t="s">
        <v>3752</v>
      </c>
      <c r="D10640" s="17" t="s">
        <v>1407</v>
      </c>
      <c r="E10640" s="17" t="s">
        <v>3863</v>
      </c>
      <c r="F10640" s="17"/>
      <c r="G10640" s="18" t="n">
        <v>0</v>
      </c>
      <c r="H10640" s="18" t="n">
        <v>1.12</v>
      </c>
      <c r="I10640" s="18" t="n">
        <f aca="false">((I10639 + G10640) - H10640)</f>
        <v>92084.4099999999</v>
      </c>
      <c r="J10640" s="18" t="n">
        <v>0</v>
      </c>
      <c r="K10640" s="19" t="n">
        <v>0</v>
      </c>
      <c r="L10640" s="17"/>
    </row>
    <row r="10641" s="11" customFormat="true" ht="10.95" hidden="false" customHeight="true" outlineLevel="0" collapsed="false">
      <c r="A10641" s="16" t="n">
        <v>45288</v>
      </c>
      <c r="B10641" s="17" t="s">
        <v>3861</v>
      </c>
      <c r="C10641" s="17" t="s">
        <v>3752</v>
      </c>
      <c r="D10641" s="17" t="s">
        <v>1407</v>
      </c>
      <c r="E10641" s="17" t="s">
        <v>3863</v>
      </c>
      <c r="F10641" s="17"/>
      <c r="G10641" s="18" t="n">
        <v>0</v>
      </c>
      <c r="H10641" s="18" t="n">
        <v>1.76</v>
      </c>
      <c r="I10641" s="18" t="n">
        <f aca="false">((I10640 + G10641) - H10641)</f>
        <v>92082.6499999999</v>
      </c>
      <c r="J10641" s="18" t="n">
        <v>0</v>
      </c>
      <c r="K10641" s="19" t="n">
        <v>0</v>
      </c>
      <c r="L10641" s="17"/>
    </row>
    <row r="10642" s="11" customFormat="true" ht="10.95" hidden="false" customHeight="true" outlineLevel="0" collapsed="false">
      <c r="A10642" s="16" t="n">
        <v>45288</v>
      </c>
      <c r="B10642" s="17" t="s">
        <v>3861</v>
      </c>
      <c r="C10642" s="17" t="s">
        <v>3752</v>
      </c>
      <c r="D10642" s="17" t="s">
        <v>1407</v>
      </c>
      <c r="E10642" s="17" t="s">
        <v>3863</v>
      </c>
      <c r="F10642" s="17"/>
      <c r="G10642" s="18" t="n">
        <v>0</v>
      </c>
      <c r="H10642" s="18" t="n">
        <v>2.9</v>
      </c>
      <c r="I10642" s="18" t="n">
        <f aca="false">((I10641 + G10642) - H10642)</f>
        <v>92079.7499999999</v>
      </c>
      <c r="J10642" s="18" t="n">
        <v>0</v>
      </c>
      <c r="K10642" s="19" t="n">
        <v>0</v>
      </c>
      <c r="L10642" s="17"/>
    </row>
    <row r="10643" s="11" customFormat="true" ht="10.95" hidden="false" customHeight="true" outlineLevel="0" collapsed="false">
      <c r="A10643" s="16" t="n">
        <v>45288</v>
      </c>
      <c r="B10643" s="17" t="s">
        <v>3861</v>
      </c>
      <c r="C10643" s="17" t="s">
        <v>3752</v>
      </c>
      <c r="D10643" s="17" t="s">
        <v>1407</v>
      </c>
      <c r="E10643" s="17" t="s">
        <v>3863</v>
      </c>
      <c r="F10643" s="17"/>
      <c r="G10643" s="18" t="n">
        <v>0</v>
      </c>
      <c r="H10643" s="18" t="n">
        <v>2.9</v>
      </c>
      <c r="I10643" s="18" t="n">
        <f aca="false">((I10642 + G10643) - H10643)</f>
        <v>92076.85</v>
      </c>
      <c r="J10643" s="18" t="n">
        <v>0</v>
      </c>
      <c r="K10643" s="19" t="n">
        <v>0</v>
      </c>
      <c r="L10643" s="17"/>
    </row>
    <row r="10644" s="11" customFormat="true" ht="10.95" hidden="false" customHeight="true" outlineLevel="0" collapsed="false">
      <c r="A10644" s="16" t="n">
        <v>45288</v>
      </c>
      <c r="B10644" s="17" t="s">
        <v>3861</v>
      </c>
      <c r="C10644" s="17" t="s">
        <v>3752</v>
      </c>
      <c r="D10644" s="17" t="s">
        <v>1407</v>
      </c>
      <c r="E10644" s="17" t="s">
        <v>3863</v>
      </c>
      <c r="F10644" s="17"/>
      <c r="G10644" s="18" t="n">
        <v>0</v>
      </c>
      <c r="H10644" s="18" t="n">
        <v>8.35</v>
      </c>
      <c r="I10644" s="18" t="n">
        <f aca="false">((I10643 + G10644) - H10644)</f>
        <v>92068.4999999999</v>
      </c>
      <c r="J10644" s="18" t="n">
        <v>0</v>
      </c>
      <c r="K10644" s="19" t="n">
        <v>0</v>
      </c>
      <c r="L10644" s="17"/>
    </row>
    <row r="10645" s="11" customFormat="true" ht="10.95" hidden="false" customHeight="true" outlineLevel="0" collapsed="false">
      <c r="A10645" s="16" t="n">
        <v>45288</v>
      </c>
      <c r="B10645" s="17" t="s">
        <v>3861</v>
      </c>
      <c r="C10645" s="17" t="s">
        <v>3752</v>
      </c>
      <c r="D10645" s="17" t="s">
        <v>1407</v>
      </c>
      <c r="E10645" s="17" t="s">
        <v>3770</v>
      </c>
      <c r="F10645" s="17"/>
      <c r="G10645" s="18" t="n">
        <v>0</v>
      </c>
      <c r="H10645" s="18" t="n">
        <v>22.99</v>
      </c>
      <c r="I10645" s="18" t="n">
        <f aca="false">((I10644 + G10645) - H10645)</f>
        <v>92045.5099999999</v>
      </c>
      <c r="J10645" s="18" t="n">
        <v>0</v>
      </c>
      <c r="K10645" s="19" t="n">
        <v>0</v>
      </c>
      <c r="L10645" s="17"/>
    </row>
    <row r="10646" s="11" customFormat="true" ht="10.95" hidden="false" customHeight="true" outlineLevel="0" collapsed="false">
      <c r="A10646" s="16" t="n">
        <v>45288</v>
      </c>
      <c r="B10646" s="17" t="s">
        <v>3861</v>
      </c>
      <c r="C10646" s="17" t="s">
        <v>3752</v>
      </c>
      <c r="D10646" s="17" t="s">
        <v>1407</v>
      </c>
      <c r="E10646" s="17" t="s">
        <v>3770</v>
      </c>
      <c r="F10646" s="17"/>
      <c r="G10646" s="18" t="n">
        <v>0</v>
      </c>
      <c r="H10646" s="18" t="n">
        <v>37.41</v>
      </c>
      <c r="I10646" s="18" t="n">
        <f aca="false">((I10645 + G10646) - H10646)</f>
        <v>92008.0999999999</v>
      </c>
      <c r="J10646" s="18" t="n">
        <v>0</v>
      </c>
      <c r="K10646" s="19" t="n">
        <v>0</v>
      </c>
      <c r="L10646" s="17"/>
    </row>
    <row r="10647" s="11" customFormat="true" ht="10.95" hidden="false" customHeight="true" outlineLevel="0" collapsed="false">
      <c r="A10647" s="16" t="n">
        <v>45288</v>
      </c>
      <c r="B10647" s="17" t="s">
        <v>3861</v>
      </c>
      <c r="C10647" s="17" t="s">
        <v>3752</v>
      </c>
      <c r="D10647" s="17" t="s">
        <v>1407</v>
      </c>
      <c r="E10647" s="17" t="s">
        <v>3911</v>
      </c>
      <c r="F10647" s="17"/>
      <c r="G10647" s="18" t="n">
        <v>0</v>
      </c>
      <c r="H10647" s="18" t="n">
        <v>11.8</v>
      </c>
      <c r="I10647" s="18" t="n">
        <f aca="false">((I10646 + G10647) - H10647)</f>
        <v>91996.2999999999</v>
      </c>
      <c r="J10647" s="18" t="n">
        <v>0</v>
      </c>
      <c r="K10647" s="19" t="n">
        <v>0</v>
      </c>
      <c r="L10647" s="17"/>
    </row>
    <row r="10648" s="11" customFormat="true" ht="10.95" hidden="false" customHeight="true" outlineLevel="0" collapsed="false">
      <c r="A10648" s="16" t="n">
        <v>45288</v>
      </c>
      <c r="B10648" s="17" t="s">
        <v>3861</v>
      </c>
      <c r="C10648" s="17" t="s">
        <v>3752</v>
      </c>
      <c r="D10648" s="17" t="s">
        <v>1407</v>
      </c>
      <c r="E10648" s="17" t="s">
        <v>3911</v>
      </c>
      <c r="F10648" s="17"/>
      <c r="G10648" s="18" t="n">
        <v>0</v>
      </c>
      <c r="H10648" s="18" t="n">
        <v>11.89</v>
      </c>
      <c r="I10648" s="18" t="n">
        <f aca="false">((I10647 + G10648) - H10648)</f>
        <v>91984.4099999999</v>
      </c>
      <c r="J10648" s="18" t="n">
        <v>0</v>
      </c>
      <c r="K10648" s="19" t="n">
        <v>0</v>
      </c>
      <c r="L10648" s="17"/>
    </row>
    <row r="10649" s="11" customFormat="true" ht="10.95" hidden="false" customHeight="true" outlineLevel="0" collapsed="false">
      <c r="A10649" s="16" t="n">
        <v>45288</v>
      </c>
      <c r="B10649" s="17" t="s">
        <v>3861</v>
      </c>
      <c r="C10649" s="17" t="s">
        <v>3752</v>
      </c>
      <c r="D10649" s="17" t="s">
        <v>1407</v>
      </c>
      <c r="E10649" s="17" t="s">
        <v>3955</v>
      </c>
      <c r="F10649" s="17"/>
      <c r="G10649" s="18" t="n">
        <v>0</v>
      </c>
      <c r="H10649" s="18" t="n">
        <v>123.81</v>
      </c>
      <c r="I10649" s="18" t="n">
        <f aca="false">((I10648 + G10649) - H10649)</f>
        <v>91860.5999999999</v>
      </c>
      <c r="J10649" s="18" t="n">
        <v>0</v>
      </c>
      <c r="K10649" s="19" t="n">
        <v>0</v>
      </c>
      <c r="L10649" s="17"/>
    </row>
    <row r="10650" s="11" customFormat="true" ht="10.95" hidden="false" customHeight="true" outlineLevel="0" collapsed="false">
      <c r="A10650" s="16" t="n">
        <v>45288</v>
      </c>
      <c r="B10650" s="17" t="s">
        <v>3861</v>
      </c>
      <c r="C10650" s="17" t="s">
        <v>3752</v>
      </c>
      <c r="D10650" s="17" t="s">
        <v>1407</v>
      </c>
      <c r="E10650" s="17" t="s">
        <v>3976</v>
      </c>
      <c r="F10650" s="17"/>
      <c r="G10650" s="18" t="n">
        <v>0</v>
      </c>
      <c r="H10650" s="18" t="n">
        <v>189.05</v>
      </c>
      <c r="I10650" s="18" t="n">
        <f aca="false">((I10649 + G10650) - H10650)</f>
        <v>91671.5499999999</v>
      </c>
      <c r="J10650" s="18" t="n">
        <v>0</v>
      </c>
      <c r="K10650" s="19" t="n">
        <v>0</v>
      </c>
      <c r="L10650" s="17"/>
    </row>
    <row r="10651" s="11" customFormat="true" ht="10.95" hidden="false" customHeight="true" outlineLevel="0" collapsed="false">
      <c r="A10651" s="16" t="n">
        <v>45288</v>
      </c>
      <c r="B10651" s="17" t="s">
        <v>3861</v>
      </c>
      <c r="C10651" s="17" t="s">
        <v>3752</v>
      </c>
      <c r="D10651" s="17" t="s">
        <v>1407</v>
      </c>
      <c r="E10651" s="17" t="s">
        <v>3808</v>
      </c>
      <c r="F10651" s="17"/>
      <c r="G10651" s="18" t="n">
        <v>0</v>
      </c>
      <c r="H10651" s="18" t="n">
        <v>200</v>
      </c>
      <c r="I10651" s="18" t="n">
        <f aca="false">((I10650 + G10651) - H10651)</f>
        <v>91471.5499999999</v>
      </c>
      <c r="J10651" s="18" t="n">
        <v>0</v>
      </c>
      <c r="K10651" s="19" t="n">
        <v>0</v>
      </c>
      <c r="L10651" s="17"/>
    </row>
    <row r="10652" s="11" customFormat="true" ht="10.95" hidden="false" customHeight="true" outlineLevel="0" collapsed="false">
      <c r="A10652" s="16" t="n">
        <v>45288</v>
      </c>
      <c r="B10652" s="17" t="s">
        <v>3861</v>
      </c>
      <c r="C10652" s="17" t="s">
        <v>3752</v>
      </c>
      <c r="D10652" s="17" t="s">
        <v>1407</v>
      </c>
      <c r="E10652" s="17" t="s">
        <v>3808</v>
      </c>
      <c r="F10652" s="17"/>
      <c r="G10652" s="18" t="n">
        <v>0</v>
      </c>
      <c r="H10652" s="18" t="n">
        <v>200</v>
      </c>
      <c r="I10652" s="18" t="n">
        <f aca="false">((I10651 + G10652) - H10652)</f>
        <v>91271.5499999999</v>
      </c>
      <c r="J10652" s="18" t="n">
        <v>0</v>
      </c>
      <c r="K10652" s="19" t="n">
        <v>0</v>
      </c>
      <c r="L10652" s="17"/>
    </row>
    <row r="10653" s="11" customFormat="true" ht="10.95" hidden="false" customHeight="true" outlineLevel="0" collapsed="false">
      <c r="A10653" s="16" t="n">
        <v>45288</v>
      </c>
      <c r="B10653" s="17" t="s">
        <v>3861</v>
      </c>
      <c r="C10653" s="17" t="s">
        <v>3752</v>
      </c>
      <c r="D10653" s="17" t="s">
        <v>1407</v>
      </c>
      <c r="E10653" s="17" t="s">
        <v>3955</v>
      </c>
      <c r="F10653" s="17"/>
      <c r="G10653" s="18" t="n">
        <v>0</v>
      </c>
      <c r="H10653" s="18" t="n">
        <v>207.87</v>
      </c>
      <c r="I10653" s="18" t="n">
        <f aca="false">((I10652 + G10653) - H10653)</f>
        <v>91063.6799999999</v>
      </c>
      <c r="J10653" s="18" t="n">
        <v>0</v>
      </c>
      <c r="K10653" s="19" t="n">
        <v>0</v>
      </c>
      <c r="L10653" s="17"/>
    </row>
    <row r="10654" s="11" customFormat="true" ht="10.95" hidden="false" customHeight="true" outlineLevel="0" collapsed="false">
      <c r="A10654" s="16" t="n">
        <v>45288</v>
      </c>
      <c r="B10654" s="17" t="s">
        <v>3861</v>
      </c>
      <c r="C10654" s="17" t="s">
        <v>3752</v>
      </c>
      <c r="D10654" s="17" t="s">
        <v>1407</v>
      </c>
      <c r="E10654" s="17" t="s">
        <v>3621</v>
      </c>
      <c r="F10654" s="17"/>
      <c r="G10654" s="18" t="n">
        <v>0</v>
      </c>
      <c r="H10654" s="18" t="n">
        <v>104.95</v>
      </c>
      <c r="I10654" s="18" t="n">
        <f aca="false">((I10653 + G10654) - H10654)</f>
        <v>90958.7299999999</v>
      </c>
      <c r="J10654" s="18" t="n">
        <v>0</v>
      </c>
      <c r="K10654" s="19" t="n">
        <v>0</v>
      </c>
      <c r="L10654" s="17"/>
    </row>
    <row r="10655" s="11" customFormat="true" ht="10.95" hidden="false" customHeight="true" outlineLevel="0" collapsed="false">
      <c r="A10655" s="16" t="n">
        <v>45288</v>
      </c>
      <c r="B10655" s="17" t="s">
        <v>3861</v>
      </c>
      <c r="C10655" s="17" t="s">
        <v>3752</v>
      </c>
      <c r="D10655" s="17" t="s">
        <v>1407</v>
      </c>
      <c r="E10655" s="17" t="s">
        <v>1536</v>
      </c>
      <c r="F10655" s="17"/>
      <c r="G10655" s="18" t="n">
        <v>0</v>
      </c>
      <c r="H10655" s="18" t="n">
        <v>278.27</v>
      </c>
      <c r="I10655" s="18" t="n">
        <f aca="false">((I10654 + G10655) - H10655)</f>
        <v>90680.4599999999</v>
      </c>
      <c r="J10655" s="18" t="n">
        <v>0</v>
      </c>
      <c r="K10655" s="19" t="n">
        <v>0</v>
      </c>
      <c r="L10655" s="17"/>
    </row>
    <row r="10656" s="11" customFormat="true" ht="10.95" hidden="false" customHeight="true" outlineLevel="0" collapsed="false">
      <c r="A10656" s="16" t="n">
        <v>45288</v>
      </c>
      <c r="B10656" s="17" t="s">
        <v>3861</v>
      </c>
      <c r="C10656" s="17" t="s">
        <v>3752</v>
      </c>
      <c r="D10656" s="17" t="s">
        <v>1407</v>
      </c>
      <c r="E10656" s="17" t="s">
        <v>4179</v>
      </c>
      <c r="F10656" s="17"/>
      <c r="G10656" s="18" t="n">
        <v>0</v>
      </c>
      <c r="H10656" s="18" t="n">
        <v>100</v>
      </c>
      <c r="I10656" s="18" t="n">
        <f aca="false">((I10655 + G10656) - H10656)</f>
        <v>90580.4599999999</v>
      </c>
      <c r="J10656" s="18" t="n">
        <v>0</v>
      </c>
      <c r="K10656" s="19" t="n">
        <v>0</v>
      </c>
      <c r="L10656" s="17"/>
    </row>
    <row r="10657" s="11" customFormat="true" ht="10.95" hidden="false" customHeight="true" outlineLevel="0" collapsed="false">
      <c r="A10657" s="16" t="n">
        <v>45288</v>
      </c>
      <c r="B10657" s="17" t="s">
        <v>3861</v>
      </c>
      <c r="C10657" s="17" t="s">
        <v>3752</v>
      </c>
      <c r="D10657" s="17" t="s">
        <v>1407</v>
      </c>
      <c r="E10657" s="17" t="s">
        <v>4180</v>
      </c>
      <c r="F10657" s="17"/>
      <c r="G10657" s="18" t="n">
        <v>0</v>
      </c>
      <c r="H10657" s="18" t="n">
        <v>58.54</v>
      </c>
      <c r="I10657" s="18" t="n">
        <f aca="false">((I10656 + G10657) - H10657)</f>
        <v>90521.9199999999</v>
      </c>
      <c r="J10657" s="18" t="n">
        <v>0</v>
      </c>
      <c r="K10657" s="19" t="n">
        <v>0</v>
      </c>
      <c r="L10657" s="17"/>
    </row>
    <row r="10658" s="11" customFormat="true" ht="10.95" hidden="false" customHeight="true" outlineLevel="0" collapsed="false">
      <c r="A10658" s="16" t="n">
        <v>45288</v>
      </c>
      <c r="B10658" s="17" t="s">
        <v>3861</v>
      </c>
      <c r="C10658" s="17" t="s">
        <v>3752</v>
      </c>
      <c r="D10658" s="17" t="s">
        <v>1407</v>
      </c>
      <c r="E10658" s="17" t="s">
        <v>2747</v>
      </c>
      <c r="F10658" s="17"/>
      <c r="G10658" s="18" t="n">
        <v>0</v>
      </c>
      <c r="H10658" s="18" t="n">
        <v>39</v>
      </c>
      <c r="I10658" s="18" t="n">
        <f aca="false">((I10657 + G10658) - H10658)</f>
        <v>90482.9199999999</v>
      </c>
      <c r="J10658" s="18" t="n">
        <v>0</v>
      </c>
      <c r="K10658" s="19" t="n">
        <v>0</v>
      </c>
      <c r="L10658" s="17"/>
    </row>
    <row r="10659" s="11" customFormat="true" ht="10.95" hidden="false" customHeight="true" outlineLevel="0" collapsed="false">
      <c r="A10659" s="16" t="n">
        <v>45288</v>
      </c>
      <c r="B10659" s="17" t="s">
        <v>3861</v>
      </c>
      <c r="C10659" s="17" t="s">
        <v>3752</v>
      </c>
      <c r="D10659" s="17" t="s">
        <v>1407</v>
      </c>
      <c r="E10659" s="17" t="s">
        <v>4140</v>
      </c>
      <c r="F10659" s="17"/>
      <c r="G10659" s="18" t="n">
        <v>0</v>
      </c>
      <c r="H10659" s="18" t="n">
        <v>67.99</v>
      </c>
      <c r="I10659" s="18" t="n">
        <f aca="false">((I10658 + G10659) - H10659)</f>
        <v>90414.9299999999</v>
      </c>
      <c r="J10659" s="18" t="n">
        <v>0</v>
      </c>
      <c r="K10659" s="19" t="n">
        <v>0</v>
      </c>
      <c r="L10659" s="17"/>
    </row>
    <row r="10660" s="11" customFormat="true" ht="10.95" hidden="false" customHeight="true" outlineLevel="0" collapsed="false">
      <c r="A10660" s="16" t="n">
        <v>45289</v>
      </c>
      <c r="B10660" s="17" t="s">
        <v>3861</v>
      </c>
      <c r="C10660" s="17" t="s">
        <v>3752</v>
      </c>
      <c r="D10660" s="17" t="s">
        <v>2895</v>
      </c>
      <c r="E10660" s="17" t="s">
        <v>3465</v>
      </c>
      <c r="F10660" s="17" t="s">
        <v>4181</v>
      </c>
      <c r="G10660" s="18" t="n">
        <v>1094.5</v>
      </c>
      <c r="H10660" s="18" t="n">
        <v>0</v>
      </c>
      <c r="I10660" s="18" t="n">
        <f aca="false">((I10659 + G10660) - H10660)</f>
        <v>91509.4299999999</v>
      </c>
      <c r="J10660" s="18" t="n">
        <v>0</v>
      </c>
      <c r="K10660" s="19" t="n">
        <v>0</v>
      </c>
      <c r="L10660" s="17"/>
    </row>
    <row r="10661" s="11" customFormat="true" ht="10.95" hidden="false" customHeight="true" outlineLevel="0" collapsed="false">
      <c r="A10661" s="16" t="n">
        <v>45289</v>
      </c>
      <c r="B10661" s="17" t="s">
        <v>3861</v>
      </c>
      <c r="C10661" s="17" t="s">
        <v>3752</v>
      </c>
      <c r="D10661" s="17" t="s">
        <v>2895</v>
      </c>
      <c r="E10661" s="17" t="s">
        <v>3415</v>
      </c>
      <c r="F10661" s="17" t="s">
        <v>4182</v>
      </c>
      <c r="G10661" s="18" t="n">
        <v>1052.7</v>
      </c>
      <c r="H10661" s="18" t="n">
        <v>0</v>
      </c>
      <c r="I10661" s="18" t="n">
        <f aca="false">((I10660 + G10661) - H10661)</f>
        <v>92562.1299999999</v>
      </c>
      <c r="J10661" s="18" t="n">
        <v>0</v>
      </c>
      <c r="K10661" s="19" t="n">
        <v>0</v>
      </c>
      <c r="L10661" s="17"/>
    </row>
    <row r="10662" s="11" customFormat="true" ht="10.95" hidden="false" customHeight="true" outlineLevel="0" collapsed="false">
      <c r="A10662" s="16" t="n">
        <v>45289</v>
      </c>
      <c r="B10662" s="17" t="s">
        <v>3861</v>
      </c>
      <c r="C10662" s="17" t="s">
        <v>3752</v>
      </c>
      <c r="D10662" s="17" t="s">
        <v>1407</v>
      </c>
      <c r="E10662" s="17" t="s">
        <v>3863</v>
      </c>
      <c r="F10662" s="17"/>
      <c r="G10662" s="18" t="n">
        <v>0</v>
      </c>
      <c r="H10662" s="18" t="n">
        <v>6.87</v>
      </c>
      <c r="I10662" s="18" t="n">
        <f aca="false">((I10661 + G10662) - H10662)</f>
        <v>92555.2599999999</v>
      </c>
      <c r="J10662" s="18" t="n">
        <v>0</v>
      </c>
      <c r="K10662" s="19" t="n">
        <v>0</v>
      </c>
      <c r="L10662" s="17"/>
    </row>
    <row r="10663" s="11" customFormat="true" ht="10.95" hidden="false" customHeight="true" outlineLevel="0" collapsed="false">
      <c r="A10663" s="16" t="n">
        <v>45289</v>
      </c>
      <c r="B10663" s="17" t="s">
        <v>3861</v>
      </c>
      <c r="C10663" s="17" t="s">
        <v>3752</v>
      </c>
      <c r="D10663" s="17" t="s">
        <v>1407</v>
      </c>
      <c r="E10663" s="17" t="s">
        <v>3642</v>
      </c>
      <c r="F10663" s="17"/>
      <c r="G10663" s="18" t="n">
        <v>0</v>
      </c>
      <c r="H10663" s="18" t="n">
        <v>70.01</v>
      </c>
      <c r="I10663" s="18" t="n">
        <f aca="false">((I10662 + G10663) - H10663)</f>
        <v>92485.2499999999</v>
      </c>
      <c r="J10663" s="18" t="n">
        <v>0</v>
      </c>
      <c r="K10663" s="19" t="n">
        <v>0</v>
      </c>
      <c r="L10663" s="17"/>
    </row>
    <row r="10664" s="11" customFormat="true" ht="10.95" hidden="false" customHeight="true" outlineLevel="0" collapsed="false">
      <c r="A10664" s="16" t="n">
        <v>45289</v>
      </c>
      <c r="B10664" s="17" t="s">
        <v>3861</v>
      </c>
      <c r="C10664" s="17" t="s">
        <v>3752</v>
      </c>
      <c r="D10664" s="17" t="s">
        <v>1407</v>
      </c>
      <c r="E10664" s="17" t="s">
        <v>3685</v>
      </c>
      <c r="F10664" s="17"/>
      <c r="G10664" s="18" t="n">
        <v>0</v>
      </c>
      <c r="H10664" s="18" t="n">
        <v>228.92</v>
      </c>
      <c r="I10664" s="18" t="n">
        <f aca="false">((I10663 + G10664) - H10664)</f>
        <v>92256.3299999999</v>
      </c>
      <c r="J10664" s="18" t="n">
        <v>0</v>
      </c>
      <c r="K10664" s="19" t="n">
        <v>0</v>
      </c>
      <c r="L10664" s="17"/>
    </row>
    <row r="10665" s="11" customFormat="true" ht="10.95" hidden="false" customHeight="true" outlineLevel="0" collapsed="false">
      <c r="A10665" s="16" t="n">
        <v>45290</v>
      </c>
      <c r="B10665" s="17" t="s">
        <v>3861</v>
      </c>
      <c r="C10665" s="17" t="s">
        <v>3752</v>
      </c>
      <c r="D10665" s="17" t="s">
        <v>2903</v>
      </c>
      <c r="E10665" s="17" t="s">
        <v>3648</v>
      </c>
      <c r="F10665" s="17" t="s">
        <v>2673</v>
      </c>
      <c r="G10665" s="18" t="n">
        <v>0</v>
      </c>
      <c r="H10665" s="18" t="n">
        <v>331.23</v>
      </c>
      <c r="I10665" s="18" t="n">
        <f aca="false">((I10664 + G10665) - H10665)</f>
        <v>91925.1</v>
      </c>
      <c r="J10665" s="18" t="n">
        <v>0</v>
      </c>
      <c r="K10665" s="19" t="n">
        <v>0</v>
      </c>
      <c r="L10665" s="17"/>
    </row>
    <row r="10666" s="11" customFormat="true" ht="10.95" hidden="false" customHeight="true" outlineLevel="0" collapsed="false">
      <c r="A10666" s="16" t="n">
        <v>45290</v>
      </c>
      <c r="B10666" s="17" t="s">
        <v>3861</v>
      </c>
      <c r="C10666" s="17" t="s">
        <v>3752</v>
      </c>
      <c r="D10666" s="17" t="s">
        <v>2903</v>
      </c>
      <c r="E10666" s="17" t="s">
        <v>3657</v>
      </c>
      <c r="F10666" s="17" t="s">
        <v>1484</v>
      </c>
      <c r="G10666" s="18" t="n">
        <v>0</v>
      </c>
      <c r="H10666" s="18" t="n">
        <v>4971.71</v>
      </c>
      <c r="I10666" s="18" t="n">
        <f aca="false">((I10665 + G10666) - H10666)</f>
        <v>86953.3899999999</v>
      </c>
      <c r="J10666" s="18" t="n">
        <v>0</v>
      </c>
      <c r="K10666" s="19" t="n">
        <v>0</v>
      </c>
      <c r="L10666" s="17"/>
    </row>
    <row r="10667" s="11" customFormat="true" ht="10.95" hidden="false" customHeight="true" outlineLevel="0" collapsed="false">
      <c r="A10667" s="16" t="n">
        <v>45290</v>
      </c>
      <c r="B10667" s="17" t="s">
        <v>3861</v>
      </c>
      <c r="C10667" s="17" t="s">
        <v>3752</v>
      </c>
      <c r="D10667" s="17" t="s">
        <v>1407</v>
      </c>
      <c r="E10667" s="17" t="s">
        <v>3615</v>
      </c>
      <c r="F10667" s="17"/>
      <c r="G10667" s="18" t="n">
        <v>0</v>
      </c>
      <c r="H10667" s="18" t="n">
        <v>151.45</v>
      </c>
      <c r="I10667" s="18" t="n">
        <f aca="false">((I10666 + G10667) - H10667)</f>
        <v>86801.9399999999</v>
      </c>
      <c r="J10667" s="18" t="n">
        <v>0</v>
      </c>
      <c r="K10667" s="19" t="n">
        <v>0</v>
      </c>
      <c r="L10667" s="17"/>
    </row>
    <row r="10668" s="11" customFormat="true" ht="10.95" hidden="false" customHeight="true" outlineLevel="0" collapsed="false">
      <c r="A10668" s="16" t="n">
        <v>45290</v>
      </c>
      <c r="B10668" s="17" t="s">
        <v>3861</v>
      </c>
      <c r="C10668" s="17" t="s">
        <v>3752</v>
      </c>
      <c r="D10668" s="17" t="s">
        <v>2903</v>
      </c>
      <c r="E10668" s="17" t="s">
        <v>3645</v>
      </c>
      <c r="F10668" s="17" t="s">
        <v>1478</v>
      </c>
      <c r="G10668" s="18" t="n">
        <v>0</v>
      </c>
      <c r="H10668" s="18" t="n">
        <v>2013</v>
      </c>
      <c r="I10668" s="18" t="n">
        <f aca="false">((I10667 + G10668) - H10668)</f>
        <v>84788.9399999999</v>
      </c>
      <c r="J10668" s="18" t="n">
        <v>0</v>
      </c>
      <c r="K10668" s="19" t="n">
        <v>0</v>
      </c>
      <c r="L10668" s="17"/>
    </row>
    <row r="10669" s="11" customFormat="true" ht="10.95" hidden="false" customHeight="true" outlineLevel="0" collapsed="false">
      <c r="A10669" s="16" t="n">
        <v>45290</v>
      </c>
      <c r="B10669" s="17" t="s">
        <v>3861</v>
      </c>
      <c r="C10669" s="17" t="s">
        <v>3752</v>
      </c>
      <c r="D10669" s="17" t="s">
        <v>2903</v>
      </c>
      <c r="E10669" s="17" t="s">
        <v>3645</v>
      </c>
      <c r="F10669" s="17" t="s">
        <v>1480</v>
      </c>
      <c r="G10669" s="18" t="n">
        <v>0</v>
      </c>
      <c r="H10669" s="18" t="n">
        <v>17914.78</v>
      </c>
      <c r="I10669" s="18" t="n">
        <f aca="false">((I10668 + G10669) - H10669)</f>
        <v>66874.16</v>
      </c>
      <c r="J10669" s="18" t="n">
        <v>0</v>
      </c>
      <c r="K10669" s="19" t="n">
        <v>0</v>
      </c>
      <c r="L10669" s="17"/>
    </row>
    <row r="10670" s="11" customFormat="true" ht="10.95" hidden="false" customHeight="true" outlineLevel="0" collapsed="false">
      <c r="A10670" s="16" t="n">
        <v>45292</v>
      </c>
      <c r="B10670" s="17" t="s">
        <v>3861</v>
      </c>
      <c r="C10670" s="17" t="s">
        <v>3752</v>
      </c>
      <c r="D10670" s="17" t="s">
        <v>2895</v>
      </c>
      <c r="E10670" s="17" t="s">
        <v>2964</v>
      </c>
      <c r="F10670" s="17" t="s">
        <v>1342</v>
      </c>
      <c r="G10670" s="18" t="n">
        <v>3752.28</v>
      </c>
      <c r="H10670" s="18" t="n">
        <v>0</v>
      </c>
      <c r="I10670" s="18" t="n">
        <f aca="false">((I10669 + G10670) - H10670)</f>
        <v>70626.4399999999</v>
      </c>
      <c r="J10670" s="18" t="n">
        <v>0</v>
      </c>
      <c r="K10670" s="19" t="n">
        <v>0</v>
      </c>
      <c r="L10670" s="17"/>
    </row>
    <row r="10671" s="11" customFormat="true" ht="10.95" hidden="false" customHeight="true" outlineLevel="0" collapsed="false">
      <c r="A10671" s="16" t="n">
        <v>45292</v>
      </c>
      <c r="B10671" s="17" t="s">
        <v>3861</v>
      </c>
      <c r="C10671" s="17" t="s">
        <v>3752</v>
      </c>
      <c r="D10671" s="17" t="s">
        <v>1276</v>
      </c>
      <c r="E10671" s="17" t="s">
        <v>3506</v>
      </c>
      <c r="F10671" s="17" t="s">
        <v>1342</v>
      </c>
      <c r="G10671" s="18" t="n">
        <v>67</v>
      </c>
      <c r="H10671" s="18" t="n">
        <v>0</v>
      </c>
      <c r="I10671" s="18" t="n">
        <f aca="false">((I10670 + G10671) - H10671)</f>
        <v>70693.4399999999</v>
      </c>
      <c r="J10671" s="18" t="n">
        <v>0</v>
      </c>
      <c r="K10671" s="19" t="n">
        <v>0</v>
      </c>
      <c r="L10671" s="17"/>
    </row>
    <row r="10672" s="11" customFormat="true" ht="10.95" hidden="false" customHeight="true" outlineLevel="0" collapsed="false">
      <c r="A10672" s="16" t="n">
        <v>45292</v>
      </c>
      <c r="B10672" s="17" t="s">
        <v>3861</v>
      </c>
      <c r="C10672" s="17" t="s">
        <v>3752</v>
      </c>
      <c r="D10672" s="17" t="s">
        <v>1407</v>
      </c>
      <c r="E10672" s="17" t="s">
        <v>3862</v>
      </c>
      <c r="F10672" s="17" t="s">
        <v>1342</v>
      </c>
      <c r="G10672" s="18" t="n">
        <v>0</v>
      </c>
      <c r="H10672" s="18" t="n">
        <v>133.93</v>
      </c>
      <c r="I10672" s="18" t="n">
        <f aca="false">((I10671 + G10672) - H10672)</f>
        <v>70559.51</v>
      </c>
      <c r="J10672" s="18" t="n">
        <v>0</v>
      </c>
      <c r="K10672" s="19" t="n">
        <v>0</v>
      </c>
      <c r="L10672" s="17"/>
    </row>
    <row r="10673" s="11" customFormat="true" ht="10.95" hidden="false" customHeight="true" outlineLevel="0" collapsed="false">
      <c r="A10673" s="16" t="n">
        <v>45292</v>
      </c>
      <c r="B10673" s="17" t="s">
        <v>3861</v>
      </c>
      <c r="C10673" s="17" t="s">
        <v>3752</v>
      </c>
      <c r="D10673" s="17" t="s">
        <v>2903</v>
      </c>
      <c r="E10673" s="17" t="s">
        <v>3616</v>
      </c>
      <c r="F10673" s="17" t="s">
        <v>3282</v>
      </c>
      <c r="G10673" s="18" t="n">
        <v>0</v>
      </c>
      <c r="H10673" s="18" t="n">
        <v>2905.1</v>
      </c>
      <c r="I10673" s="18" t="n">
        <f aca="false">((I10672 + G10673) - H10673)</f>
        <v>67654.41</v>
      </c>
      <c r="J10673" s="18" t="n">
        <v>0</v>
      </c>
      <c r="K10673" s="19" t="n">
        <v>0</v>
      </c>
      <c r="L10673" s="17"/>
    </row>
    <row r="10674" s="11" customFormat="true" ht="10.95" hidden="false" customHeight="true" outlineLevel="0" collapsed="false">
      <c r="A10674" s="16" t="n">
        <v>45292</v>
      </c>
      <c r="B10674" s="17" t="s">
        <v>3861</v>
      </c>
      <c r="C10674" s="17" t="s">
        <v>3752</v>
      </c>
      <c r="D10674" s="17" t="s">
        <v>1407</v>
      </c>
      <c r="E10674" s="17" t="s">
        <v>3863</v>
      </c>
      <c r="F10674" s="17"/>
      <c r="G10674" s="18" t="n">
        <v>0</v>
      </c>
      <c r="H10674" s="18" t="n">
        <v>10</v>
      </c>
      <c r="I10674" s="18" t="n">
        <f aca="false">((I10673 + G10674) - H10674)</f>
        <v>67644.41</v>
      </c>
      <c r="J10674" s="18" t="n">
        <v>0</v>
      </c>
      <c r="K10674" s="19" t="n">
        <v>0</v>
      </c>
      <c r="L10674" s="17"/>
    </row>
    <row r="10675" s="11" customFormat="true" ht="10.95" hidden="false" customHeight="true" outlineLevel="0" collapsed="false">
      <c r="A10675" s="16" t="n">
        <v>45293</v>
      </c>
      <c r="B10675" s="17" t="s">
        <v>3861</v>
      </c>
      <c r="C10675" s="17" t="s">
        <v>3752</v>
      </c>
      <c r="D10675" s="17" t="s">
        <v>2895</v>
      </c>
      <c r="E10675" s="17" t="s">
        <v>2896</v>
      </c>
      <c r="F10675" s="17" t="s">
        <v>1344</v>
      </c>
      <c r="G10675" s="18" t="n">
        <v>87.22</v>
      </c>
      <c r="H10675" s="18" t="n">
        <v>0</v>
      </c>
      <c r="I10675" s="18" t="n">
        <f aca="false">((I10674 + G10675) - H10675)</f>
        <v>67731.63</v>
      </c>
      <c r="J10675" s="18" t="n">
        <v>0</v>
      </c>
      <c r="K10675" s="19" t="n">
        <v>0</v>
      </c>
      <c r="L10675" s="17"/>
    </row>
    <row r="10676" s="11" customFormat="true" ht="10.95" hidden="false" customHeight="true" outlineLevel="0" collapsed="false">
      <c r="A10676" s="16" t="n">
        <v>45293</v>
      </c>
      <c r="B10676" s="17" t="s">
        <v>3861</v>
      </c>
      <c r="C10676" s="17" t="s">
        <v>3752</v>
      </c>
      <c r="D10676" s="17" t="s">
        <v>1276</v>
      </c>
      <c r="E10676" s="17" t="s">
        <v>3423</v>
      </c>
      <c r="F10676" s="17" t="s">
        <v>1344</v>
      </c>
      <c r="G10676" s="18" t="n">
        <v>1.56</v>
      </c>
      <c r="H10676" s="18" t="n">
        <v>0</v>
      </c>
      <c r="I10676" s="18" t="n">
        <f aca="false">((I10675 + G10676) - H10676)</f>
        <v>67733.1899999999</v>
      </c>
      <c r="J10676" s="18" t="n">
        <v>0</v>
      </c>
      <c r="K10676" s="19" t="n">
        <v>0</v>
      </c>
      <c r="L10676" s="17"/>
    </row>
    <row r="10677" s="11" customFormat="true" ht="10.95" hidden="false" customHeight="true" outlineLevel="0" collapsed="false">
      <c r="A10677" s="16" t="n">
        <v>45293</v>
      </c>
      <c r="B10677" s="17" t="s">
        <v>3861</v>
      </c>
      <c r="C10677" s="17" t="s">
        <v>3752</v>
      </c>
      <c r="D10677" s="17" t="s">
        <v>1407</v>
      </c>
      <c r="E10677" s="17" t="s">
        <v>3862</v>
      </c>
      <c r="F10677" s="17" t="s">
        <v>1344</v>
      </c>
      <c r="G10677" s="18" t="n">
        <v>0</v>
      </c>
      <c r="H10677" s="18" t="n">
        <v>3.41</v>
      </c>
      <c r="I10677" s="18" t="n">
        <f aca="false">((I10676 + G10677) - H10677)</f>
        <v>67729.7799999999</v>
      </c>
      <c r="J10677" s="18" t="n">
        <v>0</v>
      </c>
      <c r="K10677" s="19" t="n">
        <v>0</v>
      </c>
      <c r="L10677" s="17"/>
    </row>
    <row r="10678" s="11" customFormat="true" ht="10.95" hidden="false" customHeight="true" outlineLevel="0" collapsed="false">
      <c r="A10678" s="16" t="n">
        <v>45293</v>
      </c>
      <c r="B10678" s="17" t="s">
        <v>3861</v>
      </c>
      <c r="C10678" s="17" t="s">
        <v>3752</v>
      </c>
      <c r="D10678" s="17" t="s">
        <v>2895</v>
      </c>
      <c r="E10678" s="17" t="s">
        <v>3384</v>
      </c>
      <c r="F10678" s="17" t="s">
        <v>4183</v>
      </c>
      <c r="G10678" s="18" t="n">
        <v>2403.5</v>
      </c>
      <c r="H10678" s="18" t="n">
        <v>0</v>
      </c>
      <c r="I10678" s="18" t="n">
        <f aca="false">((I10677 + G10678) - H10678)</f>
        <v>70133.2799999999</v>
      </c>
      <c r="J10678" s="18" t="n">
        <v>0</v>
      </c>
      <c r="K10678" s="19" t="n">
        <v>0</v>
      </c>
      <c r="L10678" s="17"/>
    </row>
    <row r="10679" s="11" customFormat="true" ht="10.95" hidden="false" customHeight="true" outlineLevel="0" collapsed="false">
      <c r="A10679" s="16" t="n">
        <v>45293</v>
      </c>
      <c r="B10679" s="17" t="s">
        <v>3861</v>
      </c>
      <c r="C10679" s="17" t="s">
        <v>3752</v>
      </c>
      <c r="D10679" s="17" t="s">
        <v>2895</v>
      </c>
      <c r="E10679" s="17" t="s">
        <v>3384</v>
      </c>
      <c r="F10679" s="17" t="s">
        <v>4184</v>
      </c>
      <c r="G10679" s="18" t="n">
        <v>1672</v>
      </c>
      <c r="H10679" s="18" t="n">
        <v>0</v>
      </c>
      <c r="I10679" s="18" t="n">
        <f aca="false">((I10678 + G10679) - H10679)</f>
        <v>71805.2799999999</v>
      </c>
      <c r="J10679" s="18" t="n">
        <v>0</v>
      </c>
      <c r="K10679" s="19" t="n">
        <v>0</v>
      </c>
      <c r="L10679" s="17"/>
    </row>
    <row r="10680" s="11" customFormat="true" ht="10.95" hidden="false" customHeight="true" outlineLevel="0" collapsed="false">
      <c r="A10680" s="16" t="n">
        <v>45293</v>
      </c>
      <c r="B10680" s="17" t="s">
        <v>3861</v>
      </c>
      <c r="C10680" s="17" t="s">
        <v>3752</v>
      </c>
      <c r="D10680" s="17" t="s">
        <v>2895</v>
      </c>
      <c r="E10680" s="17" t="s">
        <v>3384</v>
      </c>
      <c r="F10680" s="17" t="s">
        <v>4185</v>
      </c>
      <c r="G10680" s="18" t="n">
        <v>1001</v>
      </c>
      <c r="H10680" s="18" t="n">
        <v>0</v>
      </c>
      <c r="I10680" s="18" t="n">
        <f aca="false">((I10679 + G10680) - H10680)</f>
        <v>72806.2799999999</v>
      </c>
      <c r="J10680" s="18" t="n">
        <v>0</v>
      </c>
      <c r="K10680" s="19" t="n">
        <v>0</v>
      </c>
      <c r="L10680" s="17"/>
    </row>
    <row r="10681" s="11" customFormat="true" ht="10.95" hidden="false" customHeight="true" outlineLevel="0" collapsed="false">
      <c r="A10681" s="16" t="n">
        <v>45293</v>
      </c>
      <c r="B10681" s="17" t="s">
        <v>3861</v>
      </c>
      <c r="C10681" s="17" t="s">
        <v>3752</v>
      </c>
      <c r="D10681" s="17" t="s">
        <v>3814</v>
      </c>
      <c r="E10681" s="17" t="s">
        <v>3815</v>
      </c>
      <c r="F10681" s="17"/>
      <c r="G10681" s="18" t="n">
        <v>0</v>
      </c>
      <c r="H10681" s="18" t="n">
        <v>5</v>
      </c>
      <c r="I10681" s="18" t="n">
        <f aca="false">((I10680 + G10681) - H10681)</f>
        <v>72801.2799999999</v>
      </c>
      <c r="J10681" s="18" t="n">
        <v>0</v>
      </c>
      <c r="K10681" s="19" t="n">
        <v>0</v>
      </c>
      <c r="L10681" s="17"/>
    </row>
    <row r="10682" s="11" customFormat="true" ht="10.95" hidden="false" customHeight="true" outlineLevel="0" collapsed="false">
      <c r="A10682" s="16" t="n">
        <v>45293</v>
      </c>
      <c r="B10682" s="17" t="s">
        <v>3861</v>
      </c>
      <c r="C10682" s="17" t="s">
        <v>3752</v>
      </c>
      <c r="D10682" s="17" t="s">
        <v>2895</v>
      </c>
      <c r="E10682" s="17" t="s">
        <v>3391</v>
      </c>
      <c r="F10682" s="17" t="s">
        <v>4186</v>
      </c>
      <c r="G10682" s="18" t="n">
        <v>1100.06</v>
      </c>
      <c r="H10682" s="18" t="n">
        <v>0</v>
      </c>
      <c r="I10682" s="18" t="n">
        <f aca="false">((I10681 + G10682) - H10682)</f>
        <v>73901.3399999999</v>
      </c>
      <c r="J10682" s="18" t="n">
        <v>0</v>
      </c>
      <c r="K10682" s="19" t="n">
        <v>0</v>
      </c>
      <c r="L10682" s="17"/>
    </row>
    <row r="10683" s="11" customFormat="true" ht="10.95" hidden="false" customHeight="true" outlineLevel="0" collapsed="false">
      <c r="A10683" s="16" t="n">
        <v>45293</v>
      </c>
      <c r="B10683" s="17" t="s">
        <v>3861</v>
      </c>
      <c r="C10683" s="17" t="s">
        <v>3752</v>
      </c>
      <c r="D10683" s="17" t="s">
        <v>2895</v>
      </c>
      <c r="E10683" s="17" t="s">
        <v>3474</v>
      </c>
      <c r="F10683" s="17" t="s">
        <v>4187</v>
      </c>
      <c r="G10683" s="18" t="n">
        <v>357.5</v>
      </c>
      <c r="H10683" s="18" t="n">
        <v>0</v>
      </c>
      <c r="I10683" s="18" t="n">
        <f aca="false">((I10682 + G10683) - H10683)</f>
        <v>74258.8399999999</v>
      </c>
      <c r="J10683" s="18" t="n">
        <v>0</v>
      </c>
      <c r="K10683" s="19" t="n">
        <v>0</v>
      </c>
      <c r="L10683" s="17"/>
    </row>
    <row r="10684" s="11" customFormat="true" ht="10.95" hidden="false" customHeight="true" outlineLevel="0" collapsed="false">
      <c r="A10684" s="16" t="n">
        <v>45293</v>
      </c>
      <c r="B10684" s="17" t="s">
        <v>3861</v>
      </c>
      <c r="C10684" s="17" t="s">
        <v>3752</v>
      </c>
      <c r="D10684" s="17" t="s">
        <v>1407</v>
      </c>
      <c r="E10684" s="17" t="s">
        <v>3878</v>
      </c>
      <c r="F10684" s="17"/>
      <c r="G10684" s="18" t="n">
        <v>0</v>
      </c>
      <c r="H10684" s="18" t="n">
        <v>1188.2</v>
      </c>
      <c r="I10684" s="18" t="n">
        <f aca="false">((I10683 + G10684) - H10684)</f>
        <v>73070.6399999999</v>
      </c>
      <c r="J10684" s="18" t="n">
        <v>0</v>
      </c>
      <c r="K10684" s="19" t="n">
        <v>0</v>
      </c>
      <c r="L10684" s="17"/>
    </row>
    <row r="10685" s="11" customFormat="true" ht="10.95" hidden="false" customHeight="true" outlineLevel="0" collapsed="false">
      <c r="A10685" s="16" t="n">
        <v>45293</v>
      </c>
      <c r="B10685" s="17" t="s">
        <v>3861</v>
      </c>
      <c r="C10685" s="17" t="s">
        <v>3752</v>
      </c>
      <c r="D10685" s="17" t="s">
        <v>2903</v>
      </c>
      <c r="E10685" s="17" t="s">
        <v>3629</v>
      </c>
      <c r="F10685" s="17" t="s">
        <v>3197</v>
      </c>
      <c r="G10685" s="18" t="n">
        <v>0</v>
      </c>
      <c r="H10685" s="18" t="n">
        <v>23417</v>
      </c>
      <c r="I10685" s="18" t="n">
        <f aca="false">((I10684 + G10685) - H10685)</f>
        <v>49653.6399999999</v>
      </c>
      <c r="J10685" s="18" t="n">
        <v>0</v>
      </c>
      <c r="K10685" s="19" t="n">
        <v>0</v>
      </c>
      <c r="L10685" s="17"/>
    </row>
    <row r="10686" s="11" customFormat="true" ht="10.95" hidden="false" customHeight="true" outlineLevel="0" collapsed="false">
      <c r="A10686" s="16" t="n">
        <v>45294</v>
      </c>
      <c r="B10686" s="17" t="s">
        <v>3861</v>
      </c>
      <c r="C10686" s="17" t="s">
        <v>3752</v>
      </c>
      <c r="D10686" s="17" t="s">
        <v>2895</v>
      </c>
      <c r="E10686" s="17" t="s">
        <v>3389</v>
      </c>
      <c r="F10686" s="17" t="s">
        <v>4188</v>
      </c>
      <c r="G10686" s="18" t="n">
        <v>4994</v>
      </c>
      <c r="H10686" s="18" t="n">
        <v>0</v>
      </c>
      <c r="I10686" s="18" t="n">
        <f aca="false">((I10685 + G10686) - H10686)</f>
        <v>54647.6399999999</v>
      </c>
      <c r="J10686" s="18" t="n">
        <v>0</v>
      </c>
      <c r="K10686" s="19" t="n">
        <v>0</v>
      </c>
      <c r="L10686" s="17"/>
    </row>
    <row r="10687" s="11" customFormat="true" ht="10.95" hidden="false" customHeight="true" outlineLevel="0" collapsed="false">
      <c r="A10687" s="16" t="n">
        <v>45294</v>
      </c>
      <c r="B10687" s="17" t="s">
        <v>3861</v>
      </c>
      <c r="C10687" s="17" t="s">
        <v>3752</v>
      </c>
      <c r="D10687" s="17" t="s">
        <v>2895</v>
      </c>
      <c r="E10687" s="17" t="s">
        <v>2898</v>
      </c>
      <c r="F10687" s="17" t="s">
        <v>3021</v>
      </c>
      <c r="G10687" s="18" t="n">
        <v>742.49</v>
      </c>
      <c r="H10687" s="18" t="n">
        <v>0</v>
      </c>
      <c r="I10687" s="18" t="n">
        <f aca="false">((I10686 + G10687) - H10687)</f>
        <v>55390.1299999999</v>
      </c>
      <c r="J10687" s="18" t="n">
        <v>0</v>
      </c>
      <c r="K10687" s="19" t="n">
        <v>0</v>
      </c>
      <c r="L10687" s="17"/>
    </row>
    <row r="10688" s="11" customFormat="true" ht="10.95" hidden="false" customHeight="true" outlineLevel="0" collapsed="false">
      <c r="A10688" s="16" t="n">
        <v>45294</v>
      </c>
      <c r="B10688" s="17" t="s">
        <v>3861</v>
      </c>
      <c r="C10688" s="17" t="s">
        <v>3752</v>
      </c>
      <c r="D10688" s="17" t="s">
        <v>1407</v>
      </c>
      <c r="E10688" s="17" t="s">
        <v>3863</v>
      </c>
      <c r="F10688" s="17"/>
      <c r="G10688" s="18" t="n">
        <v>0</v>
      </c>
      <c r="H10688" s="18" t="n">
        <v>0.66</v>
      </c>
      <c r="I10688" s="18" t="n">
        <f aca="false">((I10687 + G10688) - H10688)</f>
        <v>55389.4699999999</v>
      </c>
      <c r="J10688" s="18" t="n">
        <v>0</v>
      </c>
      <c r="K10688" s="19" t="n">
        <v>0</v>
      </c>
      <c r="L10688" s="17"/>
    </row>
    <row r="10689" s="11" customFormat="true" ht="10.95" hidden="false" customHeight="true" outlineLevel="0" collapsed="false">
      <c r="A10689" s="16" t="n">
        <v>45294</v>
      </c>
      <c r="B10689" s="17" t="s">
        <v>3861</v>
      </c>
      <c r="C10689" s="17" t="s">
        <v>3752</v>
      </c>
      <c r="D10689" s="17" t="s">
        <v>1407</v>
      </c>
      <c r="E10689" s="17" t="s">
        <v>3863</v>
      </c>
      <c r="F10689" s="17"/>
      <c r="G10689" s="18" t="n">
        <v>0</v>
      </c>
      <c r="H10689" s="18" t="n">
        <v>2.26</v>
      </c>
      <c r="I10689" s="18" t="n">
        <f aca="false">((I10688 + G10689) - H10689)</f>
        <v>55387.2099999999</v>
      </c>
      <c r="J10689" s="18" t="n">
        <v>0</v>
      </c>
      <c r="K10689" s="19" t="n">
        <v>0</v>
      </c>
      <c r="L10689" s="17"/>
    </row>
    <row r="10690" s="11" customFormat="true" ht="10.95" hidden="false" customHeight="true" outlineLevel="0" collapsed="false">
      <c r="A10690" s="16" t="n">
        <v>45294</v>
      </c>
      <c r="B10690" s="17" t="s">
        <v>3861</v>
      </c>
      <c r="C10690" s="17" t="s">
        <v>3752</v>
      </c>
      <c r="D10690" s="17" t="s">
        <v>1407</v>
      </c>
      <c r="E10690" s="17" t="s">
        <v>3863</v>
      </c>
      <c r="F10690" s="17"/>
      <c r="G10690" s="18" t="n">
        <v>0</v>
      </c>
      <c r="H10690" s="18" t="n">
        <v>9.56</v>
      </c>
      <c r="I10690" s="18" t="n">
        <f aca="false">((I10689 + G10690) - H10690)</f>
        <v>55377.6499999999</v>
      </c>
      <c r="J10690" s="18" t="n">
        <v>0</v>
      </c>
      <c r="K10690" s="19" t="n">
        <v>0</v>
      </c>
      <c r="L10690" s="17"/>
    </row>
    <row r="10691" s="11" customFormat="true" ht="10.95" hidden="false" customHeight="true" outlineLevel="0" collapsed="false">
      <c r="A10691" s="16" t="n">
        <v>45294</v>
      </c>
      <c r="B10691" s="17" t="s">
        <v>3861</v>
      </c>
      <c r="C10691" s="17" t="s">
        <v>3752</v>
      </c>
      <c r="D10691" s="17" t="s">
        <v>1407</v>
      </c>
      <c r="E10691" s="17" t="s">
        <v>3863</v>
      </c>
      <c r="F10691" s="17"/>
      <c r="G10691" s="18" t="n">
        <v>0</v>
      </c>
      <c r="H10691" s="18" t="n">
        <v>16.97</v>
      </c>
      <c r="I10691" s="18" t="n">
        <f aca="false">((I10690 + G10691) - H10691)</f>
        <v>55360.6799999999</v>
      </c>
      <c r="J10691" s="18" t="n">
        <v>0</v>
      </c>
      <c r="K10691" s="19" t="n">
        <v>0</v>
      </c>
      <c r="L10691" s="17"/>
    </row>
    <row r="10692" s="11" customFormat="true" ht="10.95" hidden="false" customHeight="true" outlineLevel="0" collapsed="false">
      <c r="A10692" s="16" t="n">
        <v>45294</v>
      </c>
      <c r="B10692" s="17" t="s">
        <v>3861</v>
      </c>
      <c r="C10692" s="17" t="s">
        <v>3752</v>
      </c>
      <c r="D10692" s="17" t="s">
        <v>1407</v>
      </c>
      <c r="E10692" s="17" t="s">
        <v>3881</v>
      </c>
      <c r="F10692" s="17"/>
      <c r="G10692" s="18" t="n">
        <v>0</v>
      </c>
      <c r="H10692" s="18" t="n">
        <v>140</v>
      </c>
      <c r="I10692" s="18" t="n">
        <f aca="false">((I10691 + G10692) - H10692)</f>
        <v>55220.6799999999</v>
      </c>
      <c r="J10692" s="18" t="n">
        <v>0</v>
      </c>
      <c r="K10692" s="19" t="n">
        <v>0</v>
      </c>
      <c r="L10692" s="17"/>
    </row>
    <row r="10693" s="11" customFormat="true" ht="10.95" hidden="false" customHeight="true" outlineLevel="0" collapsed="false">
      <c r="A10693" s="16" t="n">
        <v>45294</v>
      </c>
      <c r="B10693" s="17" t="s">
        <v>3861</v>
      </c>
      <c r="C10693" s="17" t="s">
        <v>3752</v>
      </c>
      <c r="D10693" s="17" t="s">
        <v>2903</v>
      </c>
      <c r="E10693" s="17" t="s">
        <v>3643</v>
      </c>
      <c r="F10693" s="17" t="s">
        <v>1476</v>
      </c>
      <c r="G10693" s="18" t="n">
        <v>0</v>
      </c>
      <c r="H10693" s="18" t="n">
        <v>911.02</v>
      </c>
      <c r="I10693" s="18" t="n">
        <f aca="false">((I10692 + G10693) - H10693)</f>
        <v>54309.6599999999</v>
      </c>
      <c r="J10693" s="18" t="n">
        <v>0</v>
      </c>
      <c r="K10693" s="19" t="n">
        <v>0</v>
      </c>
      <c r="L10693" s="17"/>
    </row>
    <row r="10694" s="11" customFormat="true" ht="10.95" hidden="false" customHeight="true" outlineLevel="0" collapsed="false">
      <c r="A10694" s="16" t="n">
        <v>45294</v>
      </c>
      <c r="B10694" s="17" t="s">
        <v>3861</v>
      </c>
      <c r="C10694" s="17" t="s">
        <v>3752</v>
      </c>
      <c r="D10694" s="17" t="s">
        <v>1407</v>
      </c>
      <c r="E10694" s="17" t="s">
        <v>3879</v>
      </c>
      <c r="F10694" s="17"/>
      <c r="G10694" s="18" t="n">
        <v>0</v>
      </c>
      <c r="H10694" s="18" t="n">
        <v>1207</v>
      </c>
      <c r="I10694" s="18" t="n">
        <f aca="false">((I10693 + G10694) - H10694)</f>
        <v>53102.6599999999</v>
      </c>
      <c r="J10694" s="18" t="n">
        <v>0</v>
      </c>
      <c r="K10694" s="19" t="n">
        <v>0</v>
      </c>
      <c r="L10694" s="17"/>
    </row>
    <row r="10695" s="11" customFormat="true" ht="10.95" hidden="false" customHeight="true" outlineLevel="0" collapsed="false">
      <c r="A10695" s="16" t="n">
        <v>45294</v>
      </c>
      <c r="B10695" s="17" t="s">
        <v>3861</v>
      </c>
      <c r="C10695" s="17" t="s">
        <v>3752</v>
      </c>
      <c r="D10695" s="17" t="s">
        <v>1407</v>
      </c>
      <c r="E10695" s="17" t="s">
        <v>3880</v>
      </c>
      <c r="F10695" s="17"/>
      <c r="G10695" s="18" t="n">
        <v>0</v>
      </c>
      <c r="H10695" s="18" t="n">
        <v>1207</v>
      </c>
      <c r="I10695" s="18" t="n">
        <f aca="false">((I10694 + G10695) - H10695)</f>
        <v>51895.6599999999</v>
      </c>
      <c r="J10695" s="18" t="n">
        <v>0</v>
      </c>
      <c r="K10695" s="19" t="n">
        <v>0</v>
      </c>
      <c r="L10695" s="17"/>
    </row>
    <row r="10696" s="11" customFormat="true" ht="10.95" hidden="false" customHeight="true" outlineLevel="0" collapsed="false">
      <c r="A10696" s="16" t="n">
        <v>45294</v>
      </c>
      <c r="B10696" s="17" t="s">
        <v>3861</v>
      </c>
      <c r="C10696" s="17" t="s">
        <v>3752</v>
      </c>
      <c r="D10696" s="17" t="s">
        <v>1407</v>
      </c>
      <c r="E10696" s="17" t="s">
        <v>3808</v>
      </c>
      <c r="F10696" s="17"/>
      <c r="G10696" s="18" t="n">
        <v>0</v>
      </c>
      <c r="H10696" s="18" t="n">
        <v>1705.92</v>
      </c>
      <c r="I10696" s="18" t="n">
        <f aca="false">((I10695 + G10696) - H10696)</f>
        <v>50189.7399999999</v>
      </c>
      <c r="J10696" s="18" t="n">
        <v>0</v>
      </c>
      <c r="K10696" s="19" t="n">
        <v>0</v>
      </c>
      <c r="L10696" s="17"/>
    </row>
    <row r="10697" s="11" customFormat="true" ht="10.95" hidden="false" customHeight="true" outlineLevel="0" collapsed="false">
      <c r="A10697" s="16" t="n">
        <v>45294</v>
      </c>
      <c r="B10697" s="17" t="s">
        <v>3861</v>
      </c>
      <c r="C10697" s="17" t="s">
        <v>3752</v>
      </c>
      <c r="D10697" s="17" t="s">
        <v>1407</v>
      </c>
      <c r="E10697" s="17" t="s">
        <v>3771</v>
      </c>
      <c r="F10697" s="17"/>
      <c r="G10697" s="18" t="n">
        <v>0</v>
      </c>
      <c r="H10697" s="18" t="n">
        <v>22.11</v>
      </c>
      <c r="I10697" s="18" t="n">
        <f aca="false">((I10696 + G10697) - H10697)</f>
        <v>50167.6299999999</v>
      </c>
      <c r="J10697" s="18" t="n">
        <v>0</v>
      </c>
      <c r="K10697" s="19" t="n">
        <v>0</v>
      </c>
      <c r="L10697" s="17"/>
    </row>
    <row r="10698" s="11" customFormat="true" ht="10.95" hidden="false" customHeight="true" outlineLevel="0" collapsed="false">
      <c r="A10698" s="16" t="n">
        <v>45294</v>
      </c>
      <c r="B10698" s="17" t="s">
        <v>3861</v>
      </c>
      <c r="C10698" s="17" t="s">
        <v>3752</v>
      </c>
      <c r="D10698" s="17" t="s">
        <v>1407</v>
      </c>
      <c r="E10698" s="17" t="s">
        <v>3864</v>
      </c>
      <c r="F10698" s="17"/>
      <c r="G10698" s="18" t="n">
        <v>0</v>
      </c>
      <c r="H10698" s="18" t="n">
        <v>75.37</v>
      </c>
      <c r="I10698" s="18" t="n">
        <f aca="false">((I10697 + G10698) - H10698)</f>
        <v>50092.2599999999</v>
      </c>
      <c r="J10698" s="18" t="n">
        <v>0</v>
      </c>
      <c r="K10698" s="19" t="n">
        <v>0</v>
      </c>
      <c r="L10698" s="17"/>
    </row>
    <row r="10699" s="11" customFormat="true" ht="10.95" hidden="false" customHeight="true" outlineLevel="0" collapsed="false">
      <c r="A10699" s="16" t="n">
        <v>45294</v>
      </c>
      <c r="B10699" s="17" t="s">
        <v>3861</v>
      </c>
      <c r="C10699" s="17" t="s">
        <v>3752</v>
      </c>
      <c r="D10699" s="17" t="s">
        <v>1407</v>
      </c>
      <c r="E10699" s="17" t="s">
        <v>3865</v>
      </c>
      <c r="F10699" s="17"/>
      <c r="G10699" s="18" t="n">
        <v>0</v>
      </c>
      <c r="H10699" s="18" t="n">
        <v>82.5</v>
      </c>
      <c r="I10699" s="18" t="n">
        <f aca="false">((I10698 + G10699) - H10699)</f>
        <v>50009.7599999999</v>
      </c>
      <c r="J10699" s="18" t="n">
        <v>0</v>
      </c>
      <c r="K10699" s="19" t="n">
        <v>0</v>
      </c>
      <c r="L10699" s="17"/>
    </row>
    <row r="10700" s="11" customFormat="true" ht="10.95" hidden="false" customHeight="true" outlineLevel="0" collapsed="false">
      <c r="A10700" s="16" t="n">
        <v>45294</v>
      </c>
      <c r="B10700" s="17" t="s">
        <v>3861</v>
      </c>
      <c r="C10700" s="17" t="s">
        <v>3752</v>
      </c>
      <c r="D10700" s="17" t="s">
        <v>1407</v>
      </c>
      <c r="E10700" s="17" t="s">
        <v>3776</v>
      </c>
      <c r="F10700" s="17"/>
      <c r="G10700" s="18" t="n">
        <v>0</v>
      </c>
      <c r="H10700" s="18" t="n">
        <v>565.83</v>
      </c>
      <c r="I10700" s="18" t="n">
        <f aca="false">((I10699 + G10700) - H10700)</f>
        <v>49443.9299999999</v>
      </c>
      <c r="J10700" s="18" t="n">
        <v>0</v>
      </c>
      <c r="K10700" s="19" t="n">
        <v>0</v>
      </c>
      <c r="L10700" s="17"/>
    </row>
    <row r="10701" s="11" customFormat="true" ht="10.95" hidden="false" customHeight="true" outlineLevel="0" collapsed="false">
      <c r="A10701" s="16" t="n">
        <v>45294</v>
      </c>
      <c r="B10701" s="17" t="s">
        <v>3861</v>
      </c>
      <c r="C10701" s="17" t="s">
        <v>3752</v>
      </c>
      <c r="D10701" s="17" t="s">
        <v>1407</v>
      </c>
      <c r="E10701" s="17" t="s">
        <v>4189</v>
      </c>
      <c r="F10701" s="17"/>
      <c r="G10701" s="18" t="n">
        <v>0</v>
      </c>
      <c r="H10701" s="18" t="n">
        <v>318.63</v>
      </c>
      <c r="I10701" s="18" t="n">
        <f aca="false">((I10700 + G10701) - H10701)</f>
        <v>49125.2999999999</v>
      </c>
      <c r="J10701" s="18" t="n">
        <v>0</v>
      </c>
      <c r="K10701" s="19" t="n">
        <v>0</v>
      </c>
      <c r="L10701" s="17"/>
    </row>
    <row r="10702" s="11" customFormat="true" ht="10.95" hidden="false" customHeight="true" outlineLevel="0" collapsed="false">
      <c r="A10702" s="16" t="n">
        <v>45294</v>
      </c>
      <c r="B10702" s="17" t="s">
        <v>3861</v>
      </c>
      <c r="C10702" s="17" t="s">
        <v>3752</v>
      </c>
      <c r="D10702" s="17" t="s">
        <v>1276</v>
      </c>
      <c r="E10702" s="17" t="s">
        <v>4140</v>
      </c>
      <c r="F10702" s="17"/>
      <c r="G10702" s="18" t="n">
        <v>369.15</v>
      </c>
      <c r="H10702" s="18" t="n">
        <v>0</v>
      </c>
      <c r="I10702" s="18" t="n">
        <f aca="false">((I10701 + G10702) - H10702)</f>
        <v>49494.4499999999</v>
      </c>
      <c r="J10702" s="18" t="n">
        <v>0</v>
      </c>
      <c r="K10702" s="19" t="n">
        <v>0</v>
      </c>
      <c r="L10702" s="17"/>
    </row>
    <row r="10703" s="11" customFormat="true" ht="10.95" hidden="false" customHeight="true" outlineLevel="0" collapsed="false">
      <c r="A10703" s="16" t="n">
        <v>45294</v>
      </c>
      <c r="B10703" s="17" t="s">
        <v>3861</v>
      </c>
      <c r="C10703" s="17" t="s">
        <v>3752</v>
      </c>
      <c r="D10703" s="17" t="s">
        <v>1276</v>
      </c>
      <c r="E10703" s="17" t="s">
        <v>4140</v>
      </c>
      <c r="F10703" s="17"/>
      <c r="G10703" s="18" t="n">
        <v>369.15</v>
      </c>
      <c r="H10703" s="18" t="n">
        <v>0</v>
      </c>
      <c r="I10703" s="18" t="n">
        <f aca="false">((I10702 + G10703) - H10703)</f>
        <v>49863.5999999999</v>
      </c>
      <c r="J10703" s="18" t="n">
        <v>0</v>
      </c>
      <c r="K10703" s="19" t="n">
        <v>0</v>
      </c>
      <c r="L10703" s="17"/>
    </row>
    <row r="10704" s="11" customFormat="true" ht="10.95" hidden="false" customHeight="true" outlineLevel="0" collapsed="false">
      <c r="A10704" s="16" t="n">
        <v>45294</v>
      </c>
      <c r="B10704" s="17" t="s">
        <v>3861</v>
      </c>
      <c r="C10704" s="17" t="s">
        <v>3752</v>
      </c>
      <c r="D10704" s="17" t="s">
        <v>1407</v>
      </c>
      <c r="E10704" s="17" t="s">
        <v>4140</v>
      </c>
      <c r="F10704" s="17"/>
      <c r="G10704" s="18" t="n">
        <v>0</v>
      </c>
      <c r="H10704" s="18" t="n">
        <v>821.28</v>
      </c>
      <c r="I10704" s="18" t="n">
        <f aca="false">((I10703 + G10704) - H10704)</f>
        <v>49042.3199999999</v>
      </c>
      <c r="J10704" s="18" t="n">
        <v>0</v>
      </c>
      <c r="K10704" s="19" t="n">
        <v>0</v>
      </c>
      <c r="L10704" s="17"/>
    </row>
    <row r="10705" s="11" customFormat="true" ht="10.95" hidden="false" customHeight="true" outlineLevel="0" collapsed="false">
      <c r="A10705" s="16" t="n">
        <v>45295</v>
      </c>
      <c r="B10705" s="17" t="s">
        <v>3861</v>
      </c>
      <c r="C10705" s="17" t="s">
        <v>3752</v>
      </c>
      <c r="D10705" s="17" t="s">
        <v>2895</v>
      </c>
      <c r="E10705" s="17" t="s">
        <v>2964</v>
      </c>
      <c r="F10705" s="17" t="s">
        <v>1346</v>
      </c>
      <c r="G10705" s="18" t="n">
        <v>751.37</v>
      </c>
      <c r="H10705" s="18" t="n">
        <v>0</v>
      </c>
      <c r="I10705" s="18" t="n">
        <f aca="false">((I10704 + G10705) - H10705)</f>
        <v>49793.6899999999</v>
      </c>
      <c r="J10705" s="18" t="n">
        <v>0</v>
      </c>
      <c r="K10705" s="19" t="n">
        <v>0</v>
      </c>
      <c r="L10705" s="17"/>
    </row>
    <row r="10706" s="11" customFormat="true" ht="10.95" hidden="false" customHeight="true" outlineLevel="0" collapsed="false">
      <c r="A10706" s="16" t="n">
        <v>45295</v>
      </c>
      <c r="B10706" s="17" t="s">
        <v>3861</v>
      </c>
      <c r="C10706" s="17" t="s">
        <v>3752</v>
      </c>
      <c r="D10706" s="17" t="s">
        <v>1276</v>
      </c>
      <c r="E10706" s="17" t="s">
        <v>3506</v>
      </c>
      <c r="F10706" s="17" t="s">
        <v>1346</v>
      </c>
      <c r="G10706" s="18" t="n">
        <v>13.39</v>
      </c>
      <c r="H10706" s="18" t="n">
        <v>0</v>
      </c>
      <c r="I10706" s="18" t="n">
        <f aca="false">((I10705 + G10706) - H10706)</f>
        <v>49807.0799999999</v>
      </c>
      <c r="J10706" s="18" t="n">
        <v>0</v>
      </c>
      <c r="K10706" s="19" t="n">
        <v>0</v>
      </c>
      <c r="L10706" s="17"/>
    </row>
    <row r="10707" s="11" customFormat="true" ht="10.95" hidden="false" customHeight="true" outlineLevel="0" collapsed="false">
      <c r="A10707" s="16" t="n">
        <v>45295</v>
      </c>
      <c r="B10707" s="17" t="s">
        <v>3861</v>
      </c>
      <c r="C10707" s="17" t="s">
        <v>3752</v>
      </c>
      <c r="D10707" s="17" t="s">
        <v>1407</v>
      </c>
      <c r="E10707" s="17" t="s">
        <v>3862</v>
      </c>
      <c r="F10707" s="17" t="s">
        <v>1346</v>
      </c>
      <c r="G10707" s="18" t="n">
        <v>0</v>
      </c>
      <c r="H10707" s="18" t="n">
        <v>27.06</v>
      </c>
      <c r="I10707" s="18" t="n">
        <f aca="false">((I10706 + G10707) - H10707)</f>
        <v>49780.0199999999</v>
      </c>
      <c r="J10707" s="18" t="n">
        <v>0</v>
      </c>
      <c r="K10707" s="19" t="n">
        <v>0</v>
      </c>
      <c r="L10707" s="17"/>
    </row>
    <row r="10708" s="11" customFormat="true" ht="10.95" hidden="false" customHeight="true" outlineLevel="0" collapsed="false">
      <c r="A10708" s="16" t="n">
        <v>45295</v>
      </c>
      <c r="B10708" s="17" t="s">
        <v>3861</v>
      </c>
      <c r="C10708" s="17" t="s">
        <v>3752</v>
      </c>
      <c r="D10708" s="17" t="s">
        <v>2895</v>
      </c>
      <c r="E10708" s="17" t="s">
        <v>3456</v>
      </c>
      <c r="F10708" s="17" t="s">
        <v>4190</v>
      </c>
      <c r="G10708" s="18" t="n">
        <v>28516.08</v>
      </c>
      <c r="H10708" s="18" t="n">
        <v>0</v>
      </c>
      <c r="I10708" s="18" t="n">
        <f aca="false">((I10707 + G10708) - H10708)</f>
        <v>78296.1</v>
      </c>
      <c r="J10708" s="18" t="n">
        <v>0</v>
      </c>
      <c r="K10708" s="19" t="n">
        <v>0</v>
      </c>
      <c r="L10708" s="17"/>
    </row>
    <row r="10709" s="11" customFormat="true" ht="10.95" hidden="false" customHeight="true" outlineLevel="0" collapsed="false">
      <c r="A10709" s="16" t="n">
        <v>45295</v>
      </c>
      <c r="B10709" s="17" t="s">
        <v>3861</v>
      </c>
      <c r="C10709" s="17" t="s">
        <v>3752</v>
      </c>
      <c r="D10709" s="17" t="s">
        <v>2895</v>
      </c>
      <c r="E10709" s="17" t="s">
        <v>2922</v>
      </c>
      <c r="F10709" s="17" t="s">
        <v>3022</v>
      </c>
      <c r="G10709" s="18" t="n">
        <v>9063.7</v>
      </c>
      <c r="H10709" s="18" t="n">
        <v>0</v>
      </c>
      <c r="I10709" s="18" t="n">
        <f aca="false">((I10708 + G10709) - H10709)</f>
        <v>87359.7999999999</v>
      </c>
      <c r="J10709" s="18" t="n">
        <v>0</v>
      </c>
      <c r="K10709" s="19" t="n">
        <v>0</v>
      </c>
      <c r="L10709" s="17"/>
    </row>
    <row r="10710" s="11" customFormat="true" ht="10.95" hidden="false" customHeight="true" outlineLevel="0" collapsed="false">
      <c r="A10710" s="16" t="n">
        <v>45295</v>
      </c>
      <c r="B10710" s="17" t="s">
        <v>3861</v>
      </c>
      <c r="C10710" s="17" t="s">
        <v>3752</v>
      </c>
      <c r="D10710" s="17" t="s">
        <v>3814</v>
      </c>
      <c r="E10710" s="17" t="s">
        <v>3815</v>
      </c>
      <c r="F10710" s="17"/>
      <c r="G10710" s="18" t="n">
        <v>0</v>
      </c>
      <c r="H10710" s="18" t="n">
        <v>1.37</v>
      </c>
      <c r="I10710" s="18" t="n">
        <f aca="false">((I10709 + G10710) - H10710)</f>
        <v>87358.43</v>
      </c>
      <c r="J10710" s="18" t="n">
        <v>0</v>
      </c>
      <c r="K10710" s="19" t="n">
        <v>0</v>
      </c>
      <c r="L10710" s="17"/>
    </row>
    <row r="10711" s="11" customFormat="true" ht="10.95" hidden="false" customHeight="true" outlineLevel="0" collapsed="false">
      <c r="A10711" s="16" t="n">
        <v>45295</v>
      </c>
      <c r="B10711" s="17" t="s">
        <v>3861</v>
      </c>
      <c r="C10711" s="17" t="s">
        <v>3752</v>
      </c>
      <c r="D10711" s="17" t="s">
        <v>2895</v>
      </c>
      <c r="E10711" s="17" t="s">
        <v>3456</v>
      </c>
      <c r="F10711" s="17" t="s">
        <v>4191</v>
      </c>
      <c r="G10711" s="18" t="n">
        <v>2244</v>
      </c>
      <c r="H10711" s="18" t="n">
        <v>0</v>
      </c>
      <c r="I10711" s="18" t="n">
        <f aca="false">((I10710 + G10711) - H10711)</f>
        <v>89602.43</v>
      </c>
      <c r="J10711" s="18" t="n">
        <v>0</v>
      </c>
      <c r="K10711" s="19" t="n">
        <v>0</v>
      </c>
      <c r="L10711" s="17"/>
    </row>
    <row r="10712" s="11" customFormat="true" ht="10.95" hidden="false" customHeight="true" outlineLevel="0" collapsed="false">
      <c r="A10712" s="16" t="n">
        <v>45295</v>
      </c>
      <c r="B10712" s="17" t="s">
        <v>3861</v>
      </c>
      <c r="C10712" s="17" t="s">
        <v>3752</v>
      </c>
      <c r="D10712" s="17" t="s">
        <v>2895</v>
      </c>
      <c r="E10712" s="17" t="s">
        <v>3504</v>
      </c>
      <c r="F10712" s="17" t="s">
        <v>4192</v>
      </c>
      <c r="G10712" s="18" t="n">
        <v>1034.55</v>
      </c>
      <c r="H10712" s="18" t="n">
        <v>0</v>
      </c>
      <c r="I10712" s="18" t="n">
        <f aca="false">((I10711 + G10712) - H10712)</f>
        <v>90636.98</v>
      </c>
      <c r="J10712" s="18" t="n">
        <v>0</v>
      </c>
      <c r="K10712" s="19" t="n">
        <v>0</v>
      </c>
      <c r="L10712" s="17"/>
    </row>
    <row r="10713" s="11" customFormat="true" ht="10.95" hidden="false" customHeight="true" outlineLevel="0" collapsed="false">
      <c r="A10713" s="16" t="n">
        <v>45295</v>
      </c>
      <c r="B10713" s="17" t="s">
        <v>3861</v>
      </c>
      <c r="C10713" s="17" t="s">
        <v>3752</v>
      </c>
      <c r="D10713" s="17" t="s">
        <v>2895</v>
      </c>
      <c r="E10713" s="17" t="s">
        <v>3480</v>
      </c>
      <c r="F10713" s="17" t="s">
        <v>4193</v>
      </c>
      <c r="G10713" s="18" t="n">
        <v>180</v>
      </c>
      <c r="H10713" s="18" t="n">
        <v>0</v>
      </c>
      <c r="I10713" s="18" t="n">
        <f aca="false">((I10712 + G10713) - H10713)</f>
        <v>90816.98</v>
      </c>
      <c r="J10713" s="18" t="n">
        <v>0</v>
      </c>
      <c r="K10713" s="19" t="n">
        <v>0</v>
      </c>
      <c r="L10713" s="17"/>
    </row>
    <row r="10714" s="11" customFormat="true" ht="10.95" hidden="false" customHeight="true" outlineLevel="0" collapsed="false">
      <c r="A10714" s="16" t="n">
        <v>45295</v>
      </c>
      <c r="B10714" s="17" t="s">
        <v>3861</v>
      </c>
      <c r="C10714" s="17" t="s">
        <v>3752</v>
      </c>
      <c r="D10714" s="17" t="s">
        <v>1407</v>
      </c>
      <c r="E10714" s="17" t="s">
        <v>3863</v>
      </c>
      <c r="F10714" s="17"/>
      <c r="G10714" s="18" t="n">
        <v>0</v>
      </c>
      <c r="H10714" s="18" t="n">
        <v>3.41</v>
      </c>
      <c r="I10714" s="18" t="n">
        <f aca="false">((I10713 + G10714) - H10714)</f>
        <v>90813.57</v>
      </c>
      <c r="J10714" s="18" t="n">
        <v>0</v>
      </c>
      <c r="K10714" s="19" t="n">
        <v>0</v>
      </c>
      <c r="L10714" s="17"/>
    </row>
    <row r="10715" s="11" customFormat="true" ht="10.95" hidden="false" customHeight="true" outlineLevel="0" collapsed="false">
      <c r="A10715" s="16" t="n">
        <v>45295</v>
      </c>
      <c r="B10715" s="17" t="s">
        <v>3861</v>
      </c>
      <c r="C10715" s="17" t="s">
        <v>3752</v>
      </c>
      <c r="D10715" s="17" t="s">
        <v>1407</v>
      </c>
      <c r="E10715" s="17" t="s">
        <v>3863</v>
      </c>
      <c r="F10715" s="17"/>
      <c r="G10715" s="18" t="n">
        <v>0</v>
      </c>
      <c r="H10715" s="18" t="n">
        <v>3.89</v>
      </c>
      <c r="I10715" s="18" t="n">
        <f aca="false">((I10714 + G10715) - H10715)</f>
        <v>90809.68</v>
      </c>
      <c r="J10715" s="18" t="n">
        <v>0</v>
      </c>
      <c r="K10715" s="19" t="n">
        <v>0</v>
      </c>
      <c r="L10715" s="17"/>
    </row>
    <row r="10716" s="11" customFormat="true" ht="10.95" hidden="false" customHeight="true" outlineLevel="0" collapsed="false">
      <c r="A10716" s="16" t="n">
        <v>45295</v>
      </c>
      <c r="B10716" s="17" t="s">
        <v>3861</v>
      </c>
      <c r="C10716" s="17" t="s">
        <v>3752</v>
      </c>
      <c r="D10716" s="17" t="s">
        <v>1407</v>
      </c>
      <c r="E10716" s="17" t="s">
        <v>3863</v>
      </c>
      <c r="F10716" s="17"/>
      <c r="G10716" s="18" t="n">
        <v>0</v>
      </c>
      <c r="H10716" s="18" t="n">
        <v>5.25</v>
      </c>
      <c r="I10716" s="18" t="n">
        <f aca="false">((I10715 + G10716) - H10716)</f>
        <v>90804.43</v>
      </c>
      <c r="J10716" s="18" t="n">
        <v>0</v>
      </c>
      <c r="K10716" s="19" t="n">
        <v>0</v>
      </c>
      <c r="L10716" s="17"/>
    </row>
    <row r="10717" s="11" customFormat="true" ht="10.95" hidden="false" customHeight="true" outlineLevel="0" collapsed="false">
      <c r="A10717" s="16" t="n">
        <v>45295</v>
      </c>
      <c r="B10717" s="17" t="s">
        <v>3861</v>
      </c>
      <c r="C10717" s="17" t="s">
        <v>3752</v>
      </c>
      <c r="D10717" s="17" t="s">
        <v>2903</v>
      </c>
      <c r="E10717" s="17" t="s">
        <v>3700</v>
      </c>
      <c r="F10717" s="17"/>
      <c r="G10717" s="18" t="n">
        <v>0</v>
      </c>
      <c r="H10717" s="18" t="n">
        <v>170.39</v>
      </c>
      <c r="I10717" s="18" t="n">
        <f aca="false">((I10716 + G10717) - H10717)</f>
        <v>90634.04</v>
      </c>
      <c r="J10717" s="18" t="n">
        <v>0</v>
      </c>
      <c r="K10717" s="19" t="n">
        <v>0</v>
      </c>
      <c r="L10717" s="17"/>
    </row>
    <row r="10718" s="11" customFormat="true" ht="10.95" hidden="false" customHeight="true" outlineLevel="0" collapsed="false">
      <c r="A10718" s="16" t="n">
        <v>45295</v>
      </c>
      <c r="B10718" s="17" t="s">
        <v>3861</v>
      </c>
      <c r="C10718" s="17" t="s">
        <v>3752</v>
      </c>
      <c r="D10718" s="17" t="s">
        <v>2903</v>
      </c>
      <c r="E10718" s="17" t="s">
        <v>2963</v>
      </c>
      <c r="F10718" s="17" t="s">
        <v>2677</v>
      </c>
      <c r="G10718" s="18" t="n">
        <v>0</v>
      </c>
      <c r="H10718" s="18" t="n">
        <v>175</v>
      </c>
      <c r="I10718" s="18" t="n">
        <f aca="false">((I10717 + G10718) - H10718)</f>
        <v>90459.04</v>
      </c>
      <c r="J10718" s="18" t="n">
        <v>0</v>
      </c>
      <c r="K10718" s="19" t="n">
        <v>0</v>
      </c>
      <c r="L10718" s="17"/>
    </row>
    <row r="10719" s="11" customFormat="true" ht="10.95" hidden="false" customHeight="true" outlineLevel="0" collapsed="false">
      <c r="A10719" s="16" t="n">
        <v>45295</v>
      </c>
      <c r="B10719" s="17" t="s">
        <v>3861</v>
      </c>
      <c r="C10719" s="17" t="s">
        <v>3752</v>
      </c>
      <c r="D10719" s="17" t="s">
        <v>2903</v>
      </c>
      <c r="E10719" s="17" t="s">
        <v>3701</v>
      </c>
      <c r="F10719" s="17" t="s">
        <v>3199</v>
      </c>
      <c r="G10719" s="18" t="n">
        <v>0</v>
      </c>
      <c r="H10719" s="18" t="n">
        <v>19800</v>
      </c>
      <c r="I10719" s="18" t="n">
        <f aca="false">((I10718 + G10719) - H10719)</f>
        <v>70659.04</v>
      </c>
      <c r="J10719" s="18" t="n">
        <v>0</v>
      </c>
      <c r="K10719" s="19" t="n">
        <v>0</v>
      </c>
      <c r="L10719" s="17"/>
    </row>
    <row r="10720" s="11" customFormat="true" ht="10.95" hidden="false" customHeight="true" outlineLevel="0" collapsed="false">
      <c r="A10720" s="16" t="n">
        <v>45295</v>
      </c>
      <c r="B10720" s="17" t="s">
        <v>3861</v>
      </c>
      <c r="C10720" s="17" t="s">
        <v>3752</v>
      </c>
      <c r="D10720" s="17" t="s">
        <v>2895</v>
      </c>
      <c r="E10720" s="17" t="s">
        <v>3518</v>
      </c>
      <c r="F10720" s="17" t="s">
        <v>4194</v>
      </c>
      <c r="G10720" s="18" t="n">
        <v>2757.7</v>
      </c>
      <c r="H10720" s="18" t="n">
        <v>0</v>
      </c>
      <c r="I10720" s="18" t="n">
        <f aca="false">((I10719 + G10720) - H10720)</f>
        <v>73416.74</v>
      </c>
      <c r="J10720" s="18" t="n">
        <v>0</v>
      </c>
      <c r="K10720" s="19" t="n">
        <v>0</v>
      </c>
      <c r="L10720" s="17"/>
    </row>
    <row r="10721" s="11" customFormat="true" ht="10.95" hidden="false" customHeight="true" outlineLevel="0" collapsed="false">
      <c r="A10721" s="16" t="n">
        <v>45295</v>
      </c>
      <c r="B10721" s="17" t="s">
        <v>3861</v>
      </c>
      <c r="C10721" s="17" t="s">
        <v>3752</v>
      </c>
      <c r="D10721" s="17" t="s">
        <v>2903</v>
      </c>
      <c r="E10721" s="17" t="s">
        <v>3652</v>
      </c>
      <c r="F10721" s="17" t="s">
        <v>2426</v>
      </c>
      <c r="G10721" s="18" t="n">
        <v>0</v>
      </c>
      <c r="H10721" s="18" t="n">
        <v>152.15</v>
      </c>
      <c r="I10721" s="18" t="n">
        <f aca="false">((I10720 + G10721) - H10721)</f>
        <v>73264.59</v>
      </c>
      <c r="J10721" s="18" t="n">
        <v>0</v>
      </c>
      <c r="K10721" s="19" t="n">
        <v>0</v>
      </c>
      <c r="L10721" s="17"/>
    </row>
    <row r="10722" s="11" customFormat="true" ht="10.95" hidden="false" customHeight="true" outlineLevel="0" collapsed="false">
      <c r="A10722" s="16" t="n">
        <v>45295</v>
      </c>
      <c r="B10722" s="17" t="s">
        <v>3861</v>
      </c>
      <c r="C10722" s="17" t="s">
        <v>3752</v>
      </c>
      <c r="D10722" s="17" t="s">
        <v>2903</v>
      </c>
      <c r="E10722" s="17" t="s">
        <v>3652</v>
      </c>
      <c r="F10722" s="17" t="s">
        <v>2428</v>
      </c>
      <c r="G10722" s="18" t="n">
        <v>0</v>
      </c>
      <c r="H10722" s="18" t="n">
        <v>248</v>
      </c>
      <c r="I10722" s="18" t="n">
        <f aca="false">((I10721 + G10722) - H10722)</f>
        <v>73016.59</v>
      </c>
      <c r="J10722" s="18" t="n">
        <v>0</v>
      </c>
      <c r="K10722" s="19" t="n">
        <v>0</v>
      </c>
      <c r="L10722" s="17"/>
    </row>
    <row r="10723" s="11" customFormat="true" ht="10.95" hidden="false" customHeight="true" outlineLevel="0" collapsed="false">
      <c r="A10723" s="16" t="n">
        <v>45295</v>
      </c>
      <c r="B10723" s="17" t="s">
        <v>3861</v>
      </c>
      <c r="C10723" s="17" t="s">
        <v>3752</v>
      </c>
      <c r="D10723" s="17" t="s">
        <v>1407</v>
      </c>
      <c r="E10723" s="17" t="s">
        <v>3683</v>
      </c>
      <c r="F10723" s="17"/>
      <c r="G10723" s="18" t="n">
        <v>0</v>
      </c>
      <c r="H10723" s="18" t="n">
        <v>129.8</v>
      </c>
      <c r="I10723" s="18" t="n">
        <f aca="false">((I10722 + G10723) - H10723)</f>
        <v>72886.79</v>
      </c>
      <c r="J10723" s="18" t="n">
        <v>0</v>
      </c>
      <c r="K10723" s="19" t="n">
        <v>0</v>
      </c>
      <c r="L10723" s="17"/>
    </row>
    <row r="10724" s="11" customFormat="true" ht="10.95" hidden="false" customHeight="true" outlineLevel="0" collapsed="false">
      <c r="A10724" s="16" t="n">
        <v>45295</v>
      </c>
      <c r="B10724" s="17" t="s">
        <v>3861</v>
      </c>
      <c r="C10724" s="17" t="s">
        <v>3752</v>
      </c>
      <c r="D10724" s="17" t="s">
        <v>1407</v>
      </c>
      <c r="E10724" s="17" t="s">
        <v>3683</v>
      </c>
      <c r="F10724" s="17"/>
      <c r="G10724" s="18" t="n">
        <v>0</v>
      </c>
      <c r="H10724" s="18" t="n">
        <v>113.57</v>
      </c>
      <c r="I10724" s="18" t="n">
        <f aca="false">((I10723 + G10724) - H10724)</f>
        <v>72773.2199999999</v>
      </c>
      <c r="J10724" s="18" t="n">
        <v>0</v>
      </c>
      <c r="K10724" s="19" t="n">
        <v>0</v>
      </c>
      <c r="L10724" s="17"/>
    </row>
    <row r="10725" s="11" customFormat="true" ht="10.95" hidden="false" customHeight="true" outlineLevel="0" collapsed="false">
      <c r="A10725" s="16" t="n">
        <v>45295</v>
      </c>
      <c r="B10725" s="17" t="s">
        <v>3861</v>
      </c>
      <c r="C10725" s="17" t="s">
        <v>3752</v>
      </c>
      <c r="D10725" s="17" t="s">
        <v>1407</v>
      </c>
      <c r="E10725" s="17" t="s">
        <v>3810</v>
      </c>
      <c r="F10725" s="17" t="s">
        <v>1707</v>
      </c>
      <c r="G10725" s="18" t="n">
        <v>0</v>
      </c>
      <c r="H10725" s="18" t="n">
        <v>797.1</v>
      </c>
      <c r="I10725" s="18" t="n">
        <f aca="false">((I10724 + G10725) - H10725)</f>
        <v>71976.1199999999</v>
      </c>
      <c r="J10725" s="18" t="n">
        <v>0</v>
      </c>
      <c r="K10725" s="19" t="n">
        <v>0</v>
      </c>
      <c r="L10725" s="17"/>
    </row>
    <row r="10726" s="11" customFormat="true" ht="10.95" hidden="false" customHeight="true" outlineLevel="0" collapsed="false">
      <c r="A10726" s="16" t="n">
        <v>45296</v>
      </c>
      <c r="B10726" s="17" t="s">
        <v>3861</v>
      </c>
      <c r="C10726" s="17" t="s">
        <v>3752</v>
      </c>
      <c r="D10726" s="17" t="s">
        <v>2895</v>
      </c>
      <c r="E10726" s="17" t="s">
        <v>2947</v>
      </c>
      <c r="F10726" s="17" t="s">
        <v>3023</v>
      </c>
      <c r="G10726" s="18" t="n">
        <v>1730.44</v>
      </c>
      <c r="H10726" s="18" t="n">
        <v>0</v>
      </c>
      <c r="I10726" s="18" t="n">
        <f aca="false">((I10725 + G10726) - H10726)</f>
        <v>73706.5599999999</v>
      </c>
      <c r="J10726" s="18" t="n">
        <v>0</v>
      </c>
      <c r="K10726" s="19" t="n">
        <v>0</v>
      </c>
      <c r="L10726" s="17"/>
    </row>
    <row r="10727" s="11" customFormat="true" ht="10.95" hidden="false" customHeight="true" outlineLevel="0" collapsed="false">
      <c r="A10727" s="16" t="n">
        <v>45296</v>
      </c>
      <c r="B10727" s="17" t="s">
        <v>3861</v>
      </c>
      <c r="C10727" s="17" t="s">
        <v>3752</v>
      </c>
      <c r="D10727" s="17" t="s">
        <v>1407</v>
      </c>
      <c r="E10727" s="17" t="s">
        <v>3863</v>
      </c>
      <c r="F10727" s="17"/>
      <c r="G10727" s="18" t="n">
        <v>0</v>
      </c>
      <c r="H10727" s="18" t="n">
        <v>0.06</v>
      </c>
      <c r="I10727" s="18" t="n">
        <f aca="false">((I10726 + G10727) - H10727)</f>
        <v>73706.4999999999</v>
      </c>
      <c r="J10727" s="18" t="n">
        <v>0</v>
      </c>
      <c r="K10727" s="19" t="n">
        <v>0</v>
      </c>
      <c r="L10727" s="17"/>
    </row>
    <row r="10728" s="11" customFormat="true" ht="10.95" hidden="false" customHeight="true" outlineLevel="0" collapsed="false">
      <c r="A10728" s="16" t="n">
        <v>45296</v>
      </c>
      <c r="B10728" s="17" t="s">
        <v>3861</v>
      </c>
      <c r="C10728" s="17" t="s">
        <v>3752</v>
      </c>
      <c r="D10728" s="17" t="s">
        <v>1407</v>
      </c>
      <c r="E10728" s="17" t="s">
        <v>3863</v>
      </c>
      <c r="F10728" s="17"/>
      <c r="G10728" s="18" t="n">
        <v>0</v>
      </c>
      <c r="H10728" s="18" t="n">
        <v>6.99</v>
      </c>
      <c r="I10728" s="18" t="n">
        <f aca="false">((I10727 + G10728) - H10728)</f>
        <v>73699.5099999999</v>
      </c>
      <c r="J10728" s="18" t="n">
        <v>0</v>
      </c>
      <c r="K10728" s="19" t="n">
        <v>0</v>
      </c>
      <c r="L10728" s="17"/>
    </row>
    <row r="10729" s="11" customFormat="true" ht="10.95" hidden="false" customHeight="true" outlineLevel="0" collapsed="false">
      <c r="A10729" s="16" t="n">
        <v>45296</v>
      </c>
      <c r="B10729" s="17" t="s">
        <v>3861</v>
      </c>
      <c r="C10729" s="17" t="s">
        <v>3752</v>
      </c>
      <c r="D10729" s="17" t="s">
        <v>1407</v>
      </c>
      <c r="E10729" s="17" t="s">
        <v>3767</v>
      </c>
      <c r="F10729" s="17" t="s">
        <v>2781</v>
      </c>
      <c r="G10729" s="18" t="n">
        <v>0</v>
      </c>
      <c r="H10729" s="18" t="n">
        <v>16.93</v>
      </c>
      <c r="I10729" s="18" t="n">
        <f aca="false">((I10728 + G10729) - H10729)</f>
        <v>73682.5799999999</v>
      </c>
      <c r="J10729" s="18" t="n">
        <v>0</v>
      </c>
      <c r="K10729" s="19" t="n">
        <v>0</v>
      </c>
      <c r="L10729" s="17"/>
    </row>
    <row r="10730" s="11" customFormat="true" ht="10.95" hidden="false" customHeight="true" outlineLevel="0" collapsed="false">
      <c r="A10730" s="16" t="n">
        <v>45296</v>
      </c>
      <c r="B10730" s="17" t="s">
        <v>3861</v>
      </c>
      <c r="C10730" s="17" t="s">
        <v>3752</v>
      </c>
      <c r="D10730" s="17" t="s">
        <v>2903</v>
      </c>
      <c r="E10730" s="17" t="s">
        <v>3008</v>
      </c>
      <c r="F10730" s="17" t="s">
        <v>1628</v>
      </c>
      <c r="G10730" s="18" t="n">
        <v>0</v>
      </c>
      <c r="H10730" s="18" t="n">
        <v>233.07</v>
      </c>
      <c r="I10730" s="18" t="n">
        <f aca="false">((I10729 + G10730) - H10730)</f>
        <v>73449.5099999999</v>
      </c>
      <c r="J10730" s="18" t="n">
        <v>0</v>
      </c>
      <c r="K10730" s="19" t="n">
        <v>0</v>
      </c>
      <c r="L10730" s="17"/>
    </row>
    <row r="10731" s="11" customFormat="true" ht="10.95" hidden="false" customHeight="true" outlineLevel="0" collapsed="false">
      <c r="A10731" s="16" t="n">
        <v>45296</v>
      </c>
      <c r="B10731" s="17" t="s">
        <v>3861</v>
      </c>
      <c r="C10731" s="17" t="s">
        <v>3752</v>
      </c>
      <c r="D10731" s="17" t="s">
        <v>1407</v>
      </c>
      <c r="E10731" s="17" t="s">
        <v>3960</v>
      </c>
      <c r="F10731" s="17"/>
      <c r="G10731" s="18" t="n">
        <v>0</v>
      </c>
      <c r="H10731" s="18" t="n">
        <v>4038.15</v>
      </c>
      <c r="I10731" s="18" t="n">
        <f aca="false">((I10730 + G10731) - H10731)</f>
        <v>69411.3599999999</v>
      </c>
      <c r="J10731" s="18" t="n">
        <v>0</v>
      </c>
      <c r="K10731" s="19" t="n">
        <v>0</v>
      </c>
      <c r="L10731" s="17"/>
    </row>
    <row r="10732" s="11" customFormat="true" ht="10.95" hidden="false" customHeight="true" outlineLevel="0" collapsed="false">
      <c r="A10732" s="16" t="n">
        <v>45296</v>
      </c>
      <c r="B10732" s="17" t="s">
        <v>3861</v>
      </c>
      <c r="C10732" s="17" t="s">
        <v>3752</v>
      </c>
      <c r="D10732" s="17" t="s">
        <v>1407</v>
      </c>
      <c r="E10732" s="17" t="s">
        <v>4195</v>
      </c>
      <c r="F10732" s="17"/>
      <c r="G10732" s="18" t="n">
        <v>0</v>
      </c>
      <c r="H10732" s="18" t="n">
        <v>2.01</v>
      </c>
      <c r="I10732" s="18" t="n">
        <f aca="false">((I10731 + G10732) - H10732)</f>
        <v>69409.35</v>
      </c>
      <c r="J10732" s="18" t="n">
        <v>0</v>
      </c>
      <c r="K10732" s="19" t="n">
        <v>0</v>
      </c>
      <c r="L10732" s="17"/>
    </row>
    <row r="10733" s="11" customFormat="true" ht="10.95" hidden="false" customHeight="true" outlineLevel="0" collapsed="false">
      <c r="A10733" s="16" t="n">
        <v>45296</v>
      </c>
      <c r="B10733" s="17" t="s">
        <v>3861</v>
      </c>
      <c r="C10733" s="17" t="s">
        <v>3752</v>
      </c>
      <c r="D10733" s="17" t="s">
        <v>1407</v>
      </c>
      <c r="E10733" s="17" t="s">
        <v>3642</v>
      </c>
      <c r="F10733" s="17"/>
      <c r="G10733" s="18" t="n">
        <v>0</v>
      </c>
      <c r="H10733" s="18" t="n">
        <v>11.69</v>
      </c>
      <c r="I10733" s="18" t="n">
        <f aca="false">((I10732 + G10733) - H10733)</f>
        <v>69397.66</v>
      </c>
      <c r="J10733" s="18" t="n">
        <v>0</v>
      </c>
      <c r="K10733" s="19" t="n">
        <v>0</v>
      </c>
      <c r="L10733" s="17"/>
    </row>
    <row r="10734" s="11" customFormat="true" ht="10.95" hidden="false" customHeight="true" outlineLevel="0" collapsed="false">
      <c r="A10734" s="16" t="n">
        <v>45296</v>
      </c>
      <c r="B10734" s="17" t="s">
        <v>3861</v>
      </c>
      <c r="C10734" s="17" t="s">
        <v>3752</v>
      </c>
      <c r="D10734" s="17" t="s">
        <v>2903</v>
      </c>
      <c r="E10734" s="17" t="s">
        <v>3631</v>
      </c>
      <c r="F10734" s="17" t="s">
        <v>3284</v>
      </c>
      <c r="G10734" s="18" t="n">
        <v>0</v>
      </c>
      <c r="H10734" s="18" t="n">
        <v>1001.77</v>
      </c>
      <c r="I10734" s="18" t="n">
        <f aca="false">((I10733 + G10734) - H10734)</f>
        <v>68395.8899999999</v>
      </c>
      <c r="J10734" s="18" t="n">
        <v>0</v>
      </c>
      <c r="K10734" s="19" t="n">
        <v>0</v>
      </c>
      <c r="L10734" s="17"/>
    </row>
    <row r="10735" s="11" customFormat="true" ht="10.95" hidden="false" customHeight="true" outlineLevel="0" collapsed="false">
      <c r="A10735" s="16" t="n">
        <v>45296</v>
      </c>
      <c r="B10735" s="17" t="s">
        <v>3861</v>
      </c>
      <c r="C10735" s="17" t="s">
        <v>3752</v>
      </c>
      <c r="D10735" s="17" t="s">
        <v>3753</v>
      </c>
      <c r="E10735" s="17" t="s">
        <v>3806</v>
      </c>
      <c r="F10735" s="17" t="s">
        <v>3811</v>
      </c>
      <c r="G10735" s="18" t="n">
        <v>0</v>
      </c>
      <c r="H10735" s="18" t="n">
        <v>28749.86</v>
      </c>
      <c r="I10735" s="18" t="n">
        <f aca="false">((I10734 + G10735) - H10735)</f>
        <v>39646.0299999999</v>
      </c>
      <c r="J10735" s="18" t="n">
        <v>0</v>
      </c>
      <c r="K10735" s="19" t="n">
        <v>0</v>
      </c>
      <c r="L10735" s="17"/>
    </row>
    <row r="10736" s="11" customFormat="true" ht="10.95" hidden="false" customHeight="true" outlineLevel="0" collapsed="false">
      <c r="A10736" s="16" t="n">
        <v>45296</v>
      </c>
      <c r="B10736" s="17" t="s">
        <v>3861</v>
      </c>
      <c r="C10736" s="17" t="s">
        <v>3752</v>
      </c>
      <c r="D10736" s="17" t="s">
        <v>1407</v>
      </c>
      <c r="E10736" s="17" t="s">
        <v>3881</v>
      </c>
      <c r="F10736" s="17"/>
      <c r="G10736" s="18" t="n">
        <v>0</v>
      </c>
      <c r="H10736" s="18" t="n">
        <v>1000</v>
      </c>
      <c r="I10736" s="18" t="n">
        <f aca="false">((I10735 + G10736) - H10736)</f>
        <v>38646.0299999999</v>
      </c>
      <c r="J10736" s="18" t="n">
        <v>0</v>
      </c>
      <c r="K10736" s="19" t="n">
        <v>0</v>
      </c>
      <c r="L10736" s="17"/>
    </row>
    <row r="10737" s="11" customFormat="true" ht="10.95" hidden="false" customHeight="true" outlineLevel="0" collapsed="false">
      <c r="A10737" s="16" t="n">
        <v>45297</v>
      </c>
      <c r="B10737" s="17" t="s">
        <v>3861</v>
      </c>
      <c r="C10737" s="17" t="s">
        <v>3752</v>
      </c>
      <c r="D10737" s="17" t="s">
        <v>1407</v>
      </c>
      <c r="E10737" s="17" t="s">
        <v>3863</v>
      </c>
      <c r="F10737" s="17"/>
      <c r="G10737" s="18" t="n">
        <v>0</v>
      </c>
      <c r="H10737" s="18" t="n">
        <v>46.85</v>
      </c>
      <c r="I10737" s="18" t="n">
        <f aca="false">((I10736 + G10737) - H10737)</f>
        <v>38599.1799999999</v>
      </c>
      <c r="J10737" s="18" t="n">
        <v>0</v>
      </c>
      <c r="K10737" s="19" t="n">
        <v>0</v>
      </c>
      <c r="L10737" s="17"/>
    </row>
    <row r="10738" s="11" customFormat="true" ht="10.95" hidden="false" customHeight="true" outlineLevel="0" collapsed="false">
      <c r="A10738" s="16" t="n">
        <v>45297</v>
      </c>
      <c r="B10738" s="17" t="s">
        <v>3861</v>
      </c>
      <c r="C10738" s="17" t="s">
        <v>3752</v>
      </c>
      <c r="D10738" s="17" t="s">
        <v>1407</v>
      </c>
      <c r="E10738" s="17" t="s">
        <v>3642</v>
      </c>
      <c r="F10738" s="17"/>
      <c r="G10738" s="18" t="n">
        <v>0</v>
      </c>
      <c r="H10738" s="18" t="n">
        <v>20.57</v>
      </c>
      <c r="I10738" s="18" t="n">
        <f aca="false">((I10737 + G10738) - H10738)</f>
        <v>38578.6099999999</v>
      </c>
      <c r="J10738" s="18" t="n">
        <v>0</v>
      </c>
      <c r="K10738" s="19" t="n">
        <v>0</v>
      </c>
      <c r="L10738" s="17"/>
    </row>
    <row r="10739" s="11" customFormat="true" ht="10.95" hidden="false" customHeight="true" outlineLevel="0" collapsed="false">
      <c r="A10739" s="16" t="n">
        <v>45297</v>
      </c>
      <c r="B10739" s="17" t="s">
        <v>3861</v>
      </c>
      <c r="C10739" s="17" t="s">
        <v>3752</v>
      </c>
      <c r="D10739" s="17" t="s">
        <v>1407</v>
      </c>
      <c r="E10739" s="17" t="s">
        <v>4023</v>
      </c>
      <c r="F10739" s="17"/>
      <c r="G10739" s="18" t="n">
        <v>0</v>
      </c>
      <c r="H10739" s="18" t="n">
        <v>48.4</v>
      </c>
      <c r="I10739" s="18" t="n">
        <f aca="false">((I10738 + G10739) - H10739)</f>
        <v>38530.2099999999</v>
      </c>
      <c r="J10739" s="18" t="n">
        <v>0</v>
      </c>
      <c r="K10739" s="19" t="n">
        <v>0</v>
      </c>
      <c r="L10739" s="17"/>
    </row>
    <row r="10740" s="11" customFormat="true" ht="10.95" hidden="false" customHeight="true" outlineLevel="0" collapsed="false">
      <c r="A10740" s="16" t="n">
        <v>45297</v>
      </c>
      <c r="B10740" s="17" t="s">
        <v>3861</v>
      </c>
      <c r="C10740" s="17" t="s">
        <v>3752</v>
      </c>
      <c r="D10740" s="17" t="s">
        <v>1407</v>
      </c>
      <c r="E10740" s="17" t="s">
        <v>1583</v>
      </c>
      <c r="F10740" s="17"/>
      <c r="G10740" s="18" t="n">
        <v>0</v>
      </c>
      <c r="H10740" s="18" t="n">
        <v>1561.61</v>
      </c>
      <c r="I10740" s="18" t="n">
        <f aca="false">((I10739 + G10740) - H10740)</f>
        <v>36968.5999999999</v>
      </c>
      <c r="J10740" s="18" t="n">
        <v>0</v>
      </c>
      <c r="K10740" s="19" t="n">
        <v>0</v>
      </c>
      <c r="L10740" s="17"/>
    </row>
    <row r="10741" s="11" customFormat="true" ht="10.95" hidden="false" customHeight="true" outlineLevel="0" collapsed="false">
      <c r="A10741" s="16" t="n">
        <v>45299</v>
      </c>
      <c r="B10741" s="17" t="s">
        <v>3861</v>
      </c>
      <c r="C10741" s="17" t="s">
        <v>3752</v>
      </c>
      <c r="D10741" s="17" t="s">
        <v>3814</v>
      </c>
      <c r="E10741" s="17" t="s">
        <v>3815</v>
      </c>
      <c r="F10741" s="17"/>
      <c r="G10741" s="18" t="n">
        <v>0</v>
      </c>
      <c r="H10741" s="18" t="n">
        <v>0.24</v>
      </c>
      <c r="I10741" s="18" t="n">
        <f aca="false">((I10740 + G10741) - H10741)</f>
        <v>36968.3599999999</v>
      </c>
      <c r="J10741" s="18" t="n">
        <v>0</v>
      </c>
      <c r="K10741" s="19" t="n">
        <v>0</v>
      </c>
      <c r="L10741" s="17"/>
    </row>
    <row r="10742" s="11" customFormat="true" ht="10.95" hidden="false" customHeight="true" outlineLevel="0" collapsed="false">
      <c r="A10742" s="16" t="n">
        <v>45299</v>
      </c>
      <c r="B10742" s="17" t="s">
        <v>3861</v>
      </c>
      <c r="C10742" s="17" t="s">
        <v>3752</v>
      </c>
      <c r="D10742" s="17" t="s">
        <v>2903</v>
      </c>
      <c r="E10742" s="17" t="s">
        <v>3629</v>
      </c>
      <c r="F10742" s="17" t="s">
        <v>3206</v>
      </c>
      <c r="G10742" s="18" t="n">
        <v>0</v>
      </c>
      <c r="H10742" s="18" t="n">
        <v>12019.7</v>
      </c>
      <c r="I10742" s="18" t="n">
        <f aca="false">((I10741 + G10742) - H10742)</f>
        <v>24948.6599999999</v>
      </c>
      <c r="J10742" s="18" t="n">
        <v>0</v>
      </c>
      <c r="K10742" s="19" t="n">
        <v>0</v>
      </c>
      <c r="L10742" s="17"/>
    </row>
    <row r="10743" s="11" customFormat="true" ht="10.95" hidden="false" customHeight="true" outlineLevel="0" collapsed="false">
      <c r="A10743" s="16" t="n">
        <v>45299</v>
      </c>
      <c r="B10743" s="17" t="s">
        <v>3861</v>
      </c>
      <c r="C10743" s="17" t="s">
        <v>3752</v>
      </c>
      <c r="D10743" s="17" t="s">
        <v>1407</v>
      </c>
      <c r="E10743" s="17" t="s">
        <v>3888</v>
      </c>
      <c r="F10743" s="17"/>
      <c r="G10743" s="18" t="n">
        <v>0</v>
      </c>
      <c r="H10743" s="18" t="n">
        <v>3217.43</v>
      </c>
      <c r="I10743" s="18" t="n">
        <f aca="false">((I10742 + G10743) - H10743)</f>
        <v>21731.2299999999</v>
      </c>
      <c r="J10743" s="18" t="n">
        <v>0</v>
      </c>
      <c r="K10743" s="19" t="n">
        <v>0</v>
      </c>
      <c r="L10743" s="17"/>
    </row>
    <row r="10744" s="11" customFormat="true" ht="10.95" hidden="false" customHeight="true" outlineLevel="0" collapsed="false">
      <c r="A10744" s="16" t="n">
        <v>45300</v>
      </c>
      <c r="B10744" s="17" t="s">
        <v>3861</v>
      </c>
      <c r="C10744" s="17" t="s">
        <v>3752</v>
      </c>
      <c r="D10744" s="17" t="s">
        <v>2903</v>
      </c>
      <c r="E10744" s="17" t="s">
        <v>3637</v>
      </c>
      <c r="F10744" s="17" t="s">
        <v>2679</v>
      </c>
      <c r="G10744" s="18" t="n">
        <v>0</v>
      </c>
      <c r="H10744" s="18" t="n">
        <v>731.5</v>
      </c>
      <c r="I10744" s="18" t="n">
        <f aca="false">((I10743 + G10744) - H10744)</f>
        <v>20999.7299999999</v>
      </c>
      <c r="J10744" s="18" t="n">
        <v>0</v>
      </c>
      <c r="K10744" s="19" t="n">
        <v>0</v>
      </c>
      <c r="L10744" s="17"/>
    </row>
    <row r="10745" s="11" customFormat="true" ht="10.95" hidden="false" customHeight="true" outlineLevel="0" collapsed="false">
      <c r="A10745" s="16" t="n">
        <v>45300</v>
      </c>
      <c r="B10745" s="17" t="s">
        <v>3861</v>
      </c>
      <c r="C10745" s="17" t="s">
        <v>3752</v>
      </c>
      <c r="D10745" s="17" t="s">
        <v>1407</v>
      </c>
      <c r="E10745" s="17" t="s">
        <v>3878</v>
      </c>
      <c r="F10745" s="17"/>
      <c r="G10745" s="18" t="n">
        <v>0</v>
      </c>
      <c r="H10745" s="18" t="n">
        <v>1417</v>
      </c>
      <c r="I10745" s="18" t="n">
        <f aca="false">((I10744 + G10745) - H10745)</f>
        <v>19582.7299999999</v>
      </c>
      <c r="J10745" s="18" t="n">
        <v>0</v>
      </c>
      <c r="K10745" s="19" t="n">
        <v>0</v>
      </c>
      <c r="L10745" s="17"/>
    </row>
    <row r="10746" s="11" customFormat="true" ht="10.95" hidden="false" customHeight="true" outlineLevel="0" collapsed="false">
      <c r="A10746" s="16" t="n">
        <v>45300</v>
      </c>
      <c r="B10746" s="17" t="s">
        <v>3861</v>
      </c>
      <c r="C10746" s="17" t="s">
        <v>3752</v>
      </c>
      <c r="D10746" s="17" t="s">
        <v>1407</v>
      </c>
      <c r="E10746" s="17" t="s">
        <v>3863</v>
      </c>
      <c r="F10746" s="17"/>
      <c r="G10746" s="18" t="n">
        <v>0</v>
      </c>
      <c r="H10746" s="18" t="n">
        <v>0.94</v>
      </c>
      <c r="I10746" s="18" t="n">
        <f aca="false">((I10745 + G10746) - H10746)</f>
        <v>19581.7899999999</v>
      </c>
      <c r="J10746" s="18" t="n">
        <v>0</v>
      </c>
      <c r="K10746" s="19" t="n">
        <v>0</v>
      </c>
      <c r="L10746" s="17"/>
    </row>
    <row r="10747" s="11" customFormat="true" ht="10.95" hidden="false" customHeight="true" outlineLevel="0" collapsed="false">
      <c r="A10747" s="16" t="n">
        <v>45300</v>
      </c>
      <c r="B10747" s="17" t="s">
        <v>3861</v>
      </c>
      <c r="C10747" s="17" t="s">
        <v>3752</v>
      </c>
      <c r="D10747" s="17" t="s">
        <v>1407</v>
      </c>
      <c r="E10747" s="17" t="s">
        <v>3863</v>
      </c>
      <c r="F10747" s="17"/>
      <c r="G10747" s="18" t="n">
        <v>0</v>
      </c>
      <c r="H10747" s="18" t="n">
        <v>1.3</v>
      </c>
      <c r="I10747" s="18" t="n">
        <f aca="false">((I10746 + G10747) - H10747)</f>
        <v>19580.4899999999</v>
      </c>
      <c r="J10747" s="18" t="n">
        <v>0</v>
      </c>
      <c r="K10747" s="19" t="n">
        <v>0</v>
      </c>
      <c r="L10747" s="17"/>
    </row>
    <row r="10748" s="11" customFormat="true" ht="10.95" hidden="false" customHeight="true" outlineLevel="0" collapsed="false">
      <c r="A10748" s="16" t="n">
        <v>45300</v>
      </c>
      <c r="B10748" s="17" t="s">
        <v>3861</v>
      </c>
      <c r="C10748" s="17" t="s">
        <v>3752</v>
      </c>
      <c r="D10748" s="17" t="s">
        <v>1407</v>
      </c>
      <c r="E10748" s="17" t="s">
        <v>4196</v>
      </c>
      <c r="F10748" s="17"/>
      <c r="G10748" s="18" t="n">
        <v>0</v>
      </c>
      <c r="H10748" s="18" t="n">
        <v>31.37</v>
      </c>
      <c r="I10748" s="18" t="n">
        <f aca="false">((I10747 + G10748) - H10748)</f>
        <v>19549.1199999999</v>
      </c>
      <c r="J10748" s="18" t="n">
        <v>0</v>
      </c>
      <c r="K10748" s="19" t="n">
        <v>0</v>
      </c>
      <c r="L10748" s="17"/>
    </row>
    <row r="10749" s="11" customFormat="true" ht="10.95" hidden="false" customHeight="true" outlineLevel="0" collapsed="false">
      <c r="A10749" s="16" t="n">
        <v>45300</v>
      </c>
      <c r="B10749" s="17" t="s">
        <v>3861</v>
      </c>
      <c r="C10749" s="17" t="s">
        <v>3752</v>
      </c>
      <c r="D10749" s="17" t="s">
        <v>1407</v>
      </c>
      <c r="E10749" s="17" t="s">
        <v>3772</v>
      </c>
      <c r="F10749" s="17"/>
      <c r="G10749" s="18" t="n">
        <v>0</v>
      </c>
      <c r="H10749" s="18" t="n">
        <v>43.28</v>
      </c>
      <c r="I10749" s="18" t="n">
        <f aca="false">((I10748 + G10749) - H10749)</f>
        <v>19505.8399999999</v>
      </c>
      <c r="J10749" s="18" t="n">
        <v>0</v>
      </c>
      <c r="K10749" s="19" t="n">
        <v>0</v>
      </c>
      <c r="L10749" s="17"/>
    </row>
    <row r="10750" s="11" customFormat="true" ht="10.95" hidden="false" customHeight="true" outlineLevel="0" collapsed="false">
      <c r="A10750" s="16" t="n">
        <v>45300</v>
      </c>
      <c r="B10750" s="17" t="s">
        <v>3861</v>
      </c>
      <c r="C10750" s="17" t="s">
        <v>3752</v>
      </c>
      <c r="D10750" s="17" t="s">
        <v>1407</v>
      </c>
      <c r="E10750" s="17" t="s">
        <v>3967</v>
      </c>
      <c r="F10750" s="17"/>
      <c r="G10750" s="18" t="n">
        <v>0</v>
      </c>
      <c r="H10750" s="18" t="n">
        <v>48</v>
      </c>
      <c r="I10750" s="18" t="n">
        <f aca="false">((I10749 + G10750) - H10750)</f>
        <v>19457.8399999999</v>
      </c>
      <c r="J10750" s="18" t="n">
        <v>0</v>
      </c>
      <c r="K10750" s="19" t="n">
        <v>0</v>
      </c>
      <c r="L10750" s="17"/>
    </row>
    <row r="10751" s="11" customFormat="true" ht="10.95" hidden="false" customHeight="true" outlineLevel="0" collapsed="false">
      <c r="A10751" s="16" t="n">
        <v>45300</v>
      </c>
      <c r="B10751" s="17" t="s">
        <v>3861</v>
      </c>
      <c r="C10751" s="17" t="s">
        <v>3752</v>
      </c>
      <c r="D10751" s="17" t="s">
        <v>1407</v>
      </c>
      <c r="E10751" s="17" t="s">
        <v>3626</v>
      </c>
      <c r="F10751" s="17"/>
      <c r="G10751" s="18" t="n">
        <v>0</v>
      </c>
      <c r="H10751" s="18" t="n">
        <v>71.5</v>
      </c>
      <c r="I10751" s="18" t="n">
        <f aca="false">((I10750 + G10751) - H10751)</f>
        <v>19386.3399999999</v>
      </c>
      <c r="J10751" s="18" t="n">
        <v>0</v>
      </c>
      <c r="K10751" s="19" t="n">
        <v>0</v>
      </c>
      <c r="L10751" s="17"/>
    </row>
    <row r="10752" s="11" customFormat="true" ht="10.95" hidden="false" customHeight="true" outlineLevel="0" collapsed="false">
      <c r="A10752" s="16" t="n">
        <v>45300</v>
      </c>
      <c r="B10752" s="17" t="s">
        <v>3861</v>
      </c>
      <c r="C10752" s="17" t="s">
        <v>3752</v>
      </c>
      <c r="D10752" s="17" t="s">
        <v>1407</v>
      </c>
      <c r="E10752" s="17" t="s">
        <v>4197</v>
      </c>
      <c r="F10752" s="17"/>
      <c r="G10752" s="18" t="n">
        <v>0</v>
      </c>
      <c r="H10752" s="18" t="n">
        <v>160</v>
      </c>
      <c r="I10752" s="18" t="n">
        <f aca="false">((I10751 + G10752) - H10752)</f>
        <v>19226.3399999999</v>
      </c>
      <c r="J10752" s="18" t="n">
        <v>0</v>
      </c>
      <c r="K10752" s="19" t="n">
        <v>0</v>
      </c>
      <c r="L10752" s="17"/>
    </row>
    <row r="10753" s="11" customFormat="true" ht="10.95" hidden="false" customHeight="true" outlineLevel="0" collapsed="false">
      <c r="A10753" s="16" t="n">
        <v>45301</v>
      </c>
      <c r="B10753" s="17" t="s">
        <v>3861</v>
      </c>
      <c r="C10753" s="17" t="s">
        <v>3752</v>
      </c>
      <c r="D10753" s="17" t="s">
        <v>2895</v>
      </c>
      <c r="E10753" s="17" t="s">
        <v>2906</v>
      </c>
      <c r="F10753" s="17" t="s">
        <v>3024</v>
      </c>
      <c r="G10753" s="18" t="n">
        <v>3071.58</v>
      </c>
      <c r="H10753" s="18" t="n">
        <v>0</v>
      </c>
      <c r="I10753" s="18" t="n">
        <f aca="false">((I10752 + G10753) - H10753)</f>
        <v>22297.9199999999</v>
      </c>
      <c r="J10753" s="18" t="n">
        <v>0</v>
      </c>
      <c r="K10753" s="19" t="n">
        <v>0</v>
      </c>
      <c r="L10753" s="17"/>
    </row>
    <row r="10754" s="11" customFormat="true" ht="10.95" hidden="false" customHeight="true" outlineLevel="0" collapsed="false">
      <c r="A10754" s="16" t="n">
        <v>45301</v>
      </c>
      <c r="B10754" s="17" t="s">
        <v>3861</v>
      </c>
      <c r="C10754" s="17" t="s">
        <v>3752</v>
      </c>
      <c r="D10754" s="17" t="s">
        <v>2903</v>
      </c>
      <c r="E10754" s="17" t="s">
        <v>3640</v>
      </c>
      <c r="F10754" s="17" t="s">
        <v>1642</v>
      </c>
      <c r="G10754" s="18" t="n">
        <v>0</v>
      </c>
      <c r="H10754" s="18" t="n">
        <v>40</v>
      </c>
      <c r="I10754" s="18" t="n">
        <f aca="false">((I10753 + G10754) - H10754)</f>
        <v>22257.9199999999</v>
      </c>
      <c r="J10754" s="18" t="n">
        <v>0</v>
      </c>
      <c r="K10754" s="19" t="n">
        <v>0</v>
      </c>
      <c r="L10754" s="17"/>
    </row>
    <row r="10755" s="11" customFormat="true" ht="10.95" hidden="false" customHeight="true" outlineLevel="0" collapsed="false">
      <c r="A10755" s="16" t="n">
        <v>45301</v>
      </c>
      <c r="B10755" s="17" t="s">
        <v>3861</v>
      </c>
      <c r="C10755" s="17" t="s">
        <v>3752</v>
      </c>
      <c r="D10755" s="17" t="s">
        <v>2903</v>
      </c>
      <c r="E10755" s="17" t="s">
        <v>3657</v>
      </c>
      <c r="F10755" s="17" t="s">
        <v>1497</v>
      </c>
      <c r="G10755" s="18" t="n">
        <v>0</v>
      </c>
      <c r="H10755" s="18" t="n">
        <v>78.1</v>
      </c>
      <c r="I10755" s="18" t="n">
        <f aca="false">((I10754 + G10755) - H10755)</f>
        <v>22179.82</v>
      </c>
      <c r="J10755" s="18" t="n">
        <v>0</v>
      </c>
      <c r="K10755" s="19" t="n">
        <v>0</v>
      </c>
      <c r="L10755" s="17"/>
    </row>
    <row r="10756" s="11" customFormat="true" ht="10.95" hidden="false" customHeight="true" outlineLevel="0" collapsed="false">
      <c r="A10756" s="16" t="n">
        <v>45301</v>
      </c>
      <c r="B10756" s="17" t="s">
        <v>3861</v>
      </c>
      <c r="C10756" s="17" t="s">
        <v>3752</v>
      </c>
      <c r="D10756" s="17" t="s">
        <v>1407</v>
      </c>
      <c r="E10756" s="17" t="s">
        <v>3896</v>
      </c>
      <c r="F10756" s="17"/>
      <c r="G10756" s="18" t="n">
        <v>0</v>
      </c>
      <c r="H10756" s="18" t="n">
        <v>20.99</v>
      </c>
      <c r="I10756" s="18" t="n">
        <f aca="false">((I10755 + G10756) - H10756)</f>
        <v>22158.8299999999</v>
      </c>
      <c r="J10756" s="18" t="n">
        <v>0</v>
      </c>
      <c r="K10756" s="19" t="n">
        <v>0</v>
      </c>
      <c r="L10756" s="17"/>
    </row>
    <row r="10757" s="11" customFormat="true" ht="10.95" hidden="false" customHeight="true" outlineLevel="0" collapsed="false">
      <c r="A10757" s="16" t="n">
        <v>45301</v>
      </c>
      <c r="B10757" s="17" t="s">
        <v>3861</v>
      </c>
      <c r="C10757" s="17" t="s">
        <v>3752</v>
      </c>
      <c r="D10757" s="17" t="s">
        <v>1407</v>
      </c>
      <c r="E10757" s="17" t="s">
        <v>3881</v>
      </c>
      <c r="F10757" s="17"/>
      <c r="G10757" s="18" t="n">
        <v>0</v>
      </c>
      <c r="H10757" s="18" t="n">
        <v>140</v>
      </c>
      <c r="I10757" s="18" t="n">
        <f aca="false">((I10756 + G10757) - H10757)</f>
        <v>22018.8299999999</v>
      </c>
      <c r="J10757" s="18" t="n">
        <v>0</v>
      </c>
      <c r="K10757" s="19" t="n">
        <v>0</v>
      </c>
      <c r="L10757" s="17"/>
    </row>
    <row r="10758" s="11" customFormat="true" ht="10.95" hidden="false" customHeight="true" outlineLevel="0" collapsed="false">
      <c r="A10758" s="16" t="n">
        <v>45301</v>
      </c>
      <c r="B10758" s="17" t="s">
        <v>3861</v>
      </c>
      <c r="C10758" s="17" t="s">
        <v>3752</v>
      </c>
      <c r="D10758" s="17" t="s">
        <v>1407</v>
      </c>
      <c r="E10758" s="17" t="s">
        <v>3879</v>
      </c>
      <c r="F10758" s="17"/>
      <c r="G10758" s="18" t="n">
        <v>0</v>
      </c>
      <c r="H10758" s="18" t="n">
        <v>1207</v>
      </c>
      <c r="I10758" s="18" t="n">
        <f aca="false">((I10757 + G10758) - H10758)</f>
        <v>20811.8299999999</v>
      </c>
      <c r="J10758" s="18" t="n">
        <v>0</v>
      </c>
      <c r="K10758" s="19" t="n">
        <v>0</v>
      </c>
      <c r="L10758" s="17"/>
    </row>
    <row r="10759" s="11" customFormat="true" ht="10.95" hidden="false" customHeight="true" outlineLevel="0" collapsed="false">
      <c r="A10759" s="16" t="n">
        <v>45301</v>
      </c>
      <c r="B10759" s="17" t="s">
        <v>3861</v>
      </c>
      <c r="C10759" s="17" t="s">
        <v>3752</v>
      </c>
      <c r="D10759" s="17" t="s">
        <v>1407</v>
      </c>
      <c r="E10759" s="17" t="s">
        <v>3880</v>
      </c>
      <c r="F10759" s="17"/>
      <c r="G10759" s="18" t="n">
        <v>0</v>
      </c>
      <c r="H10759" s="18" t="n">
        <v>1207</v>
      </c>
      <c r="I10759" s="18" t="n">
        <f aca="false">((I10758 + G10759) - H10759)</f>
        <v>19604.8299999999</v>
      </c>
      <c r="J10759" s="18" t="n">
        <v>0</v>
      </c>
      <c r="K10759" s="19" t="n">
        <v>0</v>
      </c>
      <c r="L10759" s="17"/>
    </row>
    <row r="10760" s="11" customFormat="true" ht="10.95" hidden="false" customHeight="true" outlineLevel="0" collapsed="false">
      <c r="A10760" s="16" t="n">
        <v>45301</v>
      </c>
      <c r="B10760" s="17" t="s">
        <v>3861</v>
      </c>
      <c r="C10760" s="17" t="s">
        <v>3752</v>
      </c>
      <c r="D10760" s="17" t="s">
        <v>1407</v>
      </c>
      <c r="E10760" s="17" t="s">
        <v>3808</v>
      </c>
      <c r="F10760" s="17"/>
      <c r="G10760" s="18" t="n">
        <v>0</v>
      </c>
      <c r="H10760" s="18" t="n">
        <v>1705.92</v>
      </c>
      <c r="I10760" s="18" t="n">
        <f aca="false">((I10759 + G10760) - H10760)</f>
        <v>17898.9099999999</v>
      </c>
      <c r="J10760" s="18" t="n">
        <v>0</v>
      </c>
      <c r="K10760" s="19" t="n">
        <v>0</v>
      </c>
      <c r="L10760" s="17"/>
    </row>
    <row r="10761" s="11" customFormat="true" ht="10.95" hidden="false" customHeight="true" outlineLevel="0" collapsed="false">
      <c r="A10761" s="16" t="n">
        <v>45302</v>
      </c>
      <c r="B10761" s="17" t="s">
        <v>3861</v>
      </c>
      <c r="C10761" s="17" t="s">
        <v>3752</v>
      </c>
      <c r="D10761" s="17" t="s">
        <v>2895</v>
      </c>
      <c r="E10761" s="17" t="s">
        <v>3457</v>
      </c>
      <c r="F10761" s="17" t="s">
        <v>4198</v>
      </c>
      <c r="G10761" s="18" t="n">
        <v>9999</v>
      </c>
      <c r="H10761" s="18" t="n">
        <v>0</v>
      </c>
      <c r="I10761" s="18" t="n">
        <f aca="false">((I10760 + G10761) - H10761)</f>
        <v>27897.9099999999</v>
      </c>
      <c r="J10761" s="18" t="n">
        <v>0</v>
      </c>
      <c r="K10761" s="19" t="n">
        <v>0</v>
      </c>
      <c r="L10761" s="17"/>
    </row>
    <row r="10762" s="11" customFormat="true" ht="10.95" hidden="false" customHeight="true" outlineLevel="0" collapsed="false">
      <c r="A10762" s="16" t="n">
        <v>45302</v>
      </c>
      <c r="B10762" s="17" t="s">
        <v>3861</v>
      </c>
      <c r="C10762" s="17" t="s">
        <v>3752</v>
      </c>
      <c r="D10762" s="17" t="s">
        <v>2895</v>
      </c>
      <c r="E10762" s="17" t="s">
        <v>3401</v>
      </c>
      <c r="F10762" s="17" t="s">
        <v>4199</v>
      </c>
      <c r="G10762" s="18" t="n">
        <v>561</v>
      </c>
      <c r="H10762" s="18" t="n">
        <v>0</v>
      </c>
      <c r="I10762" s="18" t="n">
        <f aca="false">((I10761 + G10762) - H10762)</f>
        <v>28458.9099999999</v>
      </c>
      <c r="J10762" s="18" t="n">
        <v>0</v>
      </c>
      <c r="K10762" s="19" t="n">
        <v>0</v>
      </c>
      <c r="L10762" s="17"/>
    </row>
    <row r="10763" s="11" customFormat="true" ht="10.95" hidden="false" customHeight="true" outlineLevel="0" collapsed="false">
      <c r="A10763" s="16" t="n">
        <v>45302</v>
      </c>
      <c r="B10763" s="17" t="s">
        <v>3861</v>
      </c>
      <c r="C10763" s="17" t="s">
        <v>3752</v>
      </c>
      <c r="D10763" s="17" t="s">
        <v>2903</v>
      </c>
      <c r="E10763" s="17" t="s">
        <v>2904</v>
      </c>
      <c r="F10763" s="17" t="s">
        <v>1486</v>
      </c>
      <c r="G10763" s="18" t="n">
        <v>0</v>
      </c>
      <c r="H10763" s="18" t="n">
        <v>3936.73</v>
      </c>
      <c r="I10763" s="18" t="n">
        <f aca="false">((I10762 + G10763) - H10763)</f>
        <v>24522.1799999999</v>
      </c>
      <c r="J10763" s="18" t="n">
        <v>0</v>
      </c>
      <c r="K10763" s="19" t="n">
        <v>0</v>
      </c>
      <c r="L10763" s="17"/>
    </row>
    <row r="10764" s="11" customFormat="true" ht="10.95" hidden="false" customHeight="true" outlineLevel="0" collapsed="false">
      <c r="A10764" s="16" t="n">
        <v>45302</v>
      </c>
      <c r="B10764" s="17" t="s">
        <v>3861</v>
      </c>
      <c r="C10764" s="17" t="s">
        <v>3752</v>
      </c>
      <c r="D10764" s="17" t="s">
        <v>1407</v>
      </c>
      <c r="E10764" s="17" t="s">
        <v>3863</v>
      </c>
      <c r="F10764" s="17"/>
      <c r="G10764" s="18" t="n">
        <v>0</v>
      </c>
      <c r="H10764" s="18" t="n">
        <v>118.1</v>
      </c>
      <c r="I10764" s="18" t="n">
        <f aca="false">((I10763 + G10764) - H10764)</f>
        <v>24404.0799999999</v>
      </c>
      <c r="J10764" s="18" t="n">
        <v>0</v>
      </c>
      <c r="K10764" s="19" t="n">
        <v>0</v>
      </c>
      <c r="L10764" s="17"/>
    </row>
    <row r="10765" s="11" customFormat="true" ht="10.95" hidden="false" customHeight="true" outlineLevel="0" collapsed="false">
      <c r="A10765" s="16" t="n">
        <v>45302</v>
      </c>
      <c r="B10765" s="17" t="s">
        <v>3861</v>
      </c>
      <c r="C10765" s="17" t="s">
        <v>3752</v>
      </c>
      <c r="D10765" s="17" t="s">
        <v>2895</v>
      </c>
      <c r="E10765" s="17" t="s">
        <v>3403</v>
      </c>
      <c r="F10765" s="17" t="s">
        <v>4200</v>
      </c>
      <c r="G10765" s="18" t="n">
        <v>638</v>
      </c>
      <c r="H10765" s="18" t="n">
        <v>0</v>
      </c>
      <c r="I10765" s="18" t="n">
        <f aca="false">((I10764 + G10765) - H10765)</f>
        <v>25042.0799999999</v>
      </c>
      <c r="J10765" s="18" t="n">
        <v>0</v>
      </c>
      <c r="K10765" s="19" t="n">
        <v>0</v>
      </c>
      <c r="L10765" s="17"/>
    </row>
    <row r="10766" s="11" customFormat="true" ht="10.95" hidden="false" customHeight="true" outlineLevel="0" collapsed="false">
      <c r="A10766" s="16" t="n">
        <v>45302</v>
      </c>
      <c r="B10766" s="17" t="s">
        <v>3861</v>
      </c>
      <c r="C10766" s="17" t="s">
        <v>3752</v>
      </c>
      <c r="D10766" s="17" t="s">
        <v>2895</v>
      </c>
      <c r="E10766" s="17" t="s">
        <v>3403</v>
      </c>
      <c r="F10766" s="17" t="s">
        <v>4201</v>
      </c>
      <c r="G10766" s="18" t="n">
        <v>827.2</v>
      </c>
      <c r="H10766" s="18" t="n">
        <v>0</v>
      </c>
      <c r="I10766" s="18" t="n">
        <f aca="false">((I10765 + G10766) - H10766)</f>
        <v>25869.2799999999</v>
      </c>
      <c r="J10766" s="18" t="n">
        <v>0</v>
      </c>
      <c r="K10766" s="19" t="n">
        <v>0</v>
      </c>
      <c r="L10766" s="17"/>
    </row>
    <row r="10767" s="11" customFormat="true" ht="10.95" hidden="false" customHeight="true" outlineLevel="0" collapsed="false">
      <c r="A10767" s="16" t="n">
        <v>45302</v>
      </c>
      <c r="B10767" s="17" t="s">
        <v>3861</v>
      </c>
      <c r="C10767" s="17" t="s">
        <v>3752</v>
      </c>
      <c r="D10767" s="17" t="s">
        <v>2895</v>
      </c>
      <c r="E10767" s="17" t="s">
        <v>3403</v>
      </c>
      <c r="F10767" s="17" t="s">
        <v>4202</v>
      </c>
      <c r="G10767" s="18" t="n">
        <v>310.2</v>
      </c>
      <c r="H10767" s="18" t="n">
        <v>0</v>
      </c>
      <c r="I10767" s="18" t="n">
        <f aca="false">((I10766 + G10767) - H10767)</f>
        <v>26179.48</v>
      </c>
      <c r="J10767" s="18" t="n">
        <v>0</v>
      </c>
      <c r="K10767" s="19" t="n">
        <v>0</v>
      </c>
      <c r="L10767" s="17"/>
    </row>
    <row r="10768" s="11" customFormat="true" ht="10.95" hidden="false" customHeight="true" outlineLevel="0" collapsed="false">
      <c r="A10768" s="16" t="n">
        <v>45302</v>
      </c>
      <c r="B10768" s="17" t="s">
        <v>3861</v>
      </c>
      <c r="C10768" s="17" t="s">
        <v>3752</v>
      </c>
      <c r="D10768" s="17" t="s">
        <v>2895</v>
      </c>
      <c r="E10768" s="17" t="s">
        <v>3403</v>
      </c>
      <c r="F10768" s="17" t="s">
        <v>4203</v>
      </c>
      <c r="G10768" s="18" t="n">
        <v>517</v>
      </c>
      <c r="H10768" s="18" t="n">
        <v>0</v>
      </c>
      <c r="I10768" s="18" t="n">
        <f aca="false">((I10767 + G10768) - H10768)</f>
        <v>26696.48</v>
      </c>
      <c r="J10768" s="18" t="n">
        <v>0</v>
      </c>
      <c r="K10768" s="19" t="n">
        <v>0</v>
      </c>
      <c r="L10768" s="17"/>
    </row>
    <row r="10769" s="11" customFormat="true" ht="10.95" hidden="false" customHeight="true" outlineLevel="0" collapsed="false">
      <c r="A10769" s="16" t="n">
        <v>45302</v>
      </c>
      <c r="B10769" s="17" t="s">
        <v>3861</v>
      </c>
      <c r="C10769" s="17" t="s">
        <v>3752</v>
      </c>
      <c r="D10769" s="17" t="s">
        <v>2895</v>
      </c>
      <c r="E10769" s="17" t="s">
        <v>3403</v>
      </c>
      <c r="F10769" s="17" t="s">
        <v>4204</v>
      </c>
      <c r="G10769" s="18" t="n">
        <v>618.75</v>
      </c>
      <c r="H10769" s="18" t="n">
        <v>0</v>
      </c>
      <c r="I10769" s="18" t="n">
        <f aca="false">((I10768 + G10769) - H10769)</f>
        <v>27315.23</v>
      </c>
      <c r="J10769" s="18" t="n">
        <v>0</v>
      </c>
      <c r="K10769" s="19" t="n">
        <v>0</v>
      </c>
      <c r="L10769" s="17"/>
    </row>
    <row r="10770" s="11" customFormat="true" ht="10.95" hidden="false" customHeight="true" outlineLevel="0" collapsed="false">
      <c r="A10770" s="16" t="n">
        <v>45302</v>
      </c>
      <c r="B10770" s="17" t="s">
        <v>3861</v>
      </c>
      <c r="C10770" s="17" t="s">
        <v>3752</v>
      </c>
      <c r="D10770" s="17" t="s">
        <v>2895</v>
      </c>
      <c r="E10770" s="17" t="s">
        <v>3403</v>
      </c>
      <c r="F10770" s="17" t="s">
        <v>4205</v>
      </c>
      <c r="G10770" s="18" t="n">
        <v>206.8</v>
      </c>
      <c r="H10770" s="18" t="n">
        <v>0</v>
      </c>
      <c r="I10770" s="18" t="n">
        <f aca="false">((I10769 + G10770) - H10770)</f>
        <v>27522.0299999999</v>
      </c>
      <c r="J10770" s="18" t="n">
        <v>0</v>
      </c>
      <c r="K10770" s="19" t="n">
        <v>0</v>
      </c>
      <c r="L10770" s="17"/>
    </row>
    <row r="10771" s="11" customFormat="true" ht="10.95" hidden="false" customHeight="true" outlineLevel="0" collapsed="false">
      <c r="A10771" s="16" t="n">
        <v>45302</v>
      </c>
      <c r="B10771" s="17" t="s">
        <v>3861</v>
      </c>
      <c r="C10771" s="17" t="s">
        <v>3752</v>
      </c>
      <c r="D10771" s="17" t="s">
        <v>2895</v>
      </c>
      <c r="E10771" s="17" t="s">
        <v>3403</v>
      </c>
      <c r="F10771" s="17" t="s">
        <v>4206</v>
      </c>
      <c r="G10771" s="18" t="n">
        <v>638</v>
      </c>
      <c r="H10771" s="18" t="n">
        <v>0</v>
      </c>
      <c r="I10771" s="18" t="n">
        <f aca="false">((I10770 + G10771) - H10771)</f>
        <v>28160.0299999999</v>
      </c>
      <c r="J10771" s="18" t="n">
        <v>0</v>
      </c>
      <c r="K10771" s="19" t="n">
        <v>0</v>
      </c>
      <c r="L10771" s="17"/>
    </row>
    <row r="10772" s="11" customFormat="true" ht="10.95" hidden="false" customHeight="true" outlineLevel="0" collapsed="false">
      <c r="A10772" s="16" t="n">
        <v>45302</v>
      </c>
      <c r="B10772" s="17" t="s">
        <v>3861</v>
      </c>
      <c r="C10772" s="17" t="s">
        <v>3752</v>
      </c>
      <c r="D10772" s="17" t="s">
        <v>2895</v>
      </c>
      <c r="E10772" s="17" t="s">
        <v>3403</v>
      </c>
      <c r="F10772" s="17" t="s">
        <v>4207</v>
      </c>
      <c r="G10772" s="18" t="n">
        <v>1137.4</v>
      </c>
      <c r="H10772" s="18" t="n">
        <v>0</v>
      </c>
      <c r="I10772" s="18" t="n">
        <f aca="false">((I10771 + G10772) - H10772)</f>
        <v>29297.43</v>
      </c>
      <c r="J10772" s="18" t="n">
        <v>0</v>
      </c>
      <c r="K10772" s="19" t="n">
        <v>0</v>
      </c>
      <c r="L10772" s="17"/>
    </row>
    <row r="10773" s="11" customFormat="true" ht="10.95" hidden="false" customHeight="true" outlineLevel="0" collapsed="false">
      <c r="A10773" s="16" t="n">
        <v>45302</v>
      </c>
      <c r="B10773" s="17" t="s">
        <v>3861</v>
      </c>
      <c r="C10773" s="17" t="s">
        <v>3752</v>
      </c>
      <c r="D10773" s="17" t="s">
        <v>2895</v>
      </c>
      <c r="E10773" s="17" t="s">
        <v>3403</v>
      </c>
      <c r="F10773" s="17" t="s">
        <v>4208</v>
      </c>
      <c r="G10773" s="18" t="n">
        <v>627</v>
      </c>
      <c r="H10773" s="18" t="n">
        <v>0</v>
      </c>
      <c r="I10773" s="18" t="n">
        <f aca="false">((I10772 + G10773) - H10773)</f>
        <v>29924.43</v>
      </c>
      <c r="J10773" s="18" t="n">
        <v>0</v>
      </c>
      <c r="K10773" s="19" t="n">
        <v>0</v>
      </c>
      <c r="L10773" s="17"/>
    </row>
    <row r="10774" s="11" customFormat="true" ht="10.95" hidden="false" customHeight="true" outlineLevel="0" collapsed="false">
      <c r="A10774" s="16" t="n">
        <v>45302</v>
      </c>
      <c r="B10774" s="17" t="s">
        <v>3861</v>
      </c>
      <c r="C10774" s="17" t="s">
        <v>3752</v>
      </c>
      <c r="D10774" s="17" t="s">
        <v>2895</v>
      </c>
      <c r="E10774" s="17" t="s">
        <v>3403</v>
      </c>
      <c r="F10774" s="17" t="s">
        <v>4209</v>
      </c>
      <c r="G10774" s="18" t="n">
        <v>206.8</v>
      </c>
      <c r="H10774" s="18" t="n">
        <v>0</v>
      </c>
      <c r="I10774" s="18" t="n">
        <f aca="false">((I10773 + G10774) - H10774)</f>
        <v>30131.23</v>
      </c>
      <c r="J10774" s="18" t="n">
        <v>0</v>
      </c>
      <c r="K10774" s="19" t="n">
        <v>0</v>
      </c>
      <c r="L10774" s="17"/>
    </row>
    <row r="10775" s="11" customFormat="true" ht="10.95" hidden="false" customHeight="true" outlineLevel="0" collapsed="false">
      <c r="A10775" s="16" t="n">
        <v>45302</v>
      </c>
      <c r="B10775" s="17" t="s">
        <v>3861</v>
      </c>
      <c r="C10775" s="17" t="s">
        <v>3752</v>
      </c>
      <c r="D10775" s="17" t="s">
        <v>2895</v>
      </c>
      <c r="E10775" s="17" t="s">
        <v>3403</v>
      </c>
      <c r="F10775" s="17" t="s">
        <v>4210</v>
      </c>
      <c r="G10775" s="18" t="n">
        <v>638</v>
      </c>
      <c r="H10775" s="18" t="n">
        <v>0</v>
      </c>
      <c r="I10775" s="18" t="n">
        <f aca="false">((I10774 + G10775) - H10775)</f>
        <v>30769.23</v>
      </c>
      <c r="J10775" s="18" t="n">
        <v>0</v>
      </c>
      <c r="K10775" s="19" t="n">
        <v>0</v>
      </c>
      <c r="L10775" s="17"/>
    </row>
    <row r="10776" s="11" customFormat="true" ht="10.95" hidden="false" customHeight="true" outlineLevel="0" collapsed="false">
      <c r="A10776" s="16" t="n">
        <v>45302</v>
      </c>
      <c r="B10776" s="17" t="s">
        <v>3861</v>
      </c>
      <c r="C10776" s="17" t="s">
        <v>3752</v>
      </c>
      <c r="D10776" s="17" t="s">
        <v>2895</v>
      </c>
      <c r="E10776" s="17" t="s">
        <v>3403</v>
      </c>
      <c r="F10776" s="17" t="s">
        <v>4211</v>
      </c>
      <c r="G10776" s="18" t="n">
        <v>827.2</v>
      </c>
      <c r="H10776" s="18" t="n">
        <v>0</v>
      </c>
      <c r="I10776" s="18" t="n">
        <f aca="false">((I10775 + G10776) - H10776)</f>
        <v>31596.43</v>
      </c>
      <c r="J10776" s="18" t="n">
        <v>0</v>
      </c>
      <c r="K10776" s="19" t="n">
        <v>0</v>
      </c>
      <c r="L10776" s="17"/>
    </row>
    <row r="10777" s="11" customFormat="true" ht="10.95" hidden="false" customHeight="true" outlineLevel="0" collapsed="false">
      <c r="A10777" s="16" t="n">
        <v>45302</v>
      </c>
      <c r="B10777" s="17" t="s">
        <v>3861</v>
      </c>
      <c r="C10777" s="17" t="s">
        <v>3752</v>
      </c>
      <c r="D10777" s="17" t="s">
        <v>2895</v>
      </c>
      <c r="E10777" s="17" t="s">
        <v>3403</v>
      </c>
      <c r="F10777" s="17" t="s">
        <v>4212</v>
      </c>
      <c r="G10777" s="18" t="n">
        <v>310.2</v>
      </c>
      <c r="H10777" s="18" t="n">
        <v>0</v>
      </c>
      <c r="I10777" s="18" t="n">
        <f aca="false">((I10776 + G10777) - H10777)</f>
        <v>31906.63</v>
      </c>
      <c r="J10777" s="18" t="n">
        <v>0</v>
      </c>
      <c r="K10777" s="19" t="n">
        <v>0</v>
      </c>
      <c r="L10777" s="17"/>
    </row>
    <row r="10778" s="11" customFormat="true" ht="10.95" hidden="false" customHeight="true" outlineLevel="0" collapsed="false">
      <c r="A10778" s="16" t="n">
        <v>45302</v>
      </c>
      <c r="B10778" s="17" t="s">
        <v>3861</v>
      </c>
      <c r="C10778" s="17" t="s">
        <v>3752</v>
      </c>
      <c r="D10778" s="17" t="s">
        <v>2895</v>
      </c>
      <c r="E10778" s="17" t="s">
        <v>3403</v>
      </c>
      <c r="F10778" s="17" t="s">
        <v>4213</v>
      </c>
      <c r="G10778" s="18" t="n">
        <v>316.8</v>
      </c>
      <c r="H10778" s="18" t="n">
        <v>0</v>
      </c>
      <c r="I10778" s="18" t="n">
        <f aca="false">((I10777 + G10778) - H10778)</f>
        <v>32223.43</v>
      </c>
      <c r="J10778" s="18" t="n">
        <v>0</v>
      </c>
      <c r="K10778" s="19" t="n">
        <v>0</v>
      </c>
      <c r="L10778" s="17"/>
    </row>
    <row r="10779" s="11" customFormat="true" ht="10.95" hidden="false" customHeight="true" outlineLevel="0" collapsed="false">
      <c r="A10779" s="16" t="n">
        <v>45302</v>
      </c>
      <c r="B10779" s="17" t="s">
        <v>3861</v>
      </c>
      <c r="C10779" s="17" t="s">
        <v>3752</v>
      </c>
      <c r="D10779" s="17" t="s">
        <v>2895</v>
      </c>
      <c r="E10779" s="17" t="s">
        <v>3403</v>
      </c>
      <c r="F10779" s="17" t="s">
        <v>4214</v>
      </c>
      <c r="G10779" s="18" t="n">
        <v>316.8</v>
      </c>
      <c r="H10779" s="18" t="n">
        <v>0</v>
      </c>
      <c r="I10779" s="18" t="n">
        <f aca="false">((I10778 + G10779) - H10779)</f>
        <v>32540.23</v>
      </c>
      <c r="J10779" s="18" t="n">
        <v>0</v>
      </c>
      <c r="K10779" s="19" t="n">
        <v>0</v>
      </c>
      <c r="L10779" s="17"/>
    </row>
    <row r="10780" s="11" customFormat="true" ht="10.95" hidden="false" customHeight="true" outlineLevel="0" collapsed="false">
      <c r="A10780" s="16" t="n">
        <v>45302</v>
      </c>
      <c r="B10780" s="17" t="s">
        <v>3861</v>
      </c>
      <c r="C10780" s="17" t="s">
        <v>3752</v>
      </c>
      <c r="D10780" s="17" t="s">
        <v>2895</v>
      </c>
      <c r="E10780" s="17" t="s">
        <v>3403</v>
      </c>
      <c r="F10780" s="17" t="s">
        <v>4215</v>
      </c>
      <c r="G10780" s="18" t="n">
        <v>1568.05</v>
      </c>
      <c r="H10780" s="18" t="n">
        <v>0</v>
      </c>
      <c r="I10780" s="18" t="n">
        <f aca="false">((I10779 + G10780) - H10780)</f>
        <v>34108.28</v>
      </c>
      <c r="J10780" s="18" t="n">
        <v>0</v>
      </c>
      <c r="K10780" s="19" t="n">
        <v>0</v>
      </c>
      <c r="L10780" s="17"/>
    </row>
    <row r="10781" s="11" customFormat="true" ht="10.95" hidden="false" customHeight="true" outlineLevel="0" collapsed="false">
      <c r="A10781" s="16" t="n">
        <v>45302</v>
      </c>
      <c r="B10781" s="17" t="s">
        <v>3861</v>
      </c>
      <c r="C10781" s="17" t="s">
        <v>3752</v>
      </c>
      <c r="D10781" s="17" t="s">
        <v>2895</v>
      </c>
      <c r="E10781" s="17" t="s">
        <v>3403</v>
      </c>
      <c r="F10781" s="17" t="s">
        <v>4216</v>
      </c>
      <c r="G10781" s="18" t="n">
        <v>517</v>
      </c>
      <c r="H10781" s="18" t="n">
        <v>0</v>
      </c>
      <c r="I10781" s="18" t="n">
        <f aca="false">((I10780 + G10781) - H10781)</f>
        <v>34625.28</v>
      </c>
      <c r="J10781" s="18" t="n">
        <v>0</v>
      </c>
      <c r="K10781" s="19" t="n">
        <v>0</v>
      </c>
      <c r="L10781" s="17"/>
    </row>
    <row r="10782" s="11" customFormat="true" ht="10.95" hidden="false" customHeight="true" outlineLevel="0" collapsed="false">
      <c r="A10782" s="16" t="n">
        <v>45302</v>
      </c>
      <c r="B10782" s="17" t="s">
        <v>3861</v>
      </c>
      <c r="C10782" s="17" t="s">
        <v>3752</v>
      </c>
      <c r="D10782" s="17" t="s">
        <v>2895</v>
      </c>
      <c r="E10782" s="17" t="s">
        <v>2900</v>
      </c>
      <c r="F10782" s="17" t="s">
        <v>3025</v>
      </c>
      <c r="G10782" s="18" t="n">
        <v>131.71</v>
      </c>
      <c r="H10782" s="18" t="n">
        <v>0</v>
      </c>
      <c r="I10782" s="18" t="n">
        <f aca="false">((I10781 + G10782) - H10782)</f>
        <v>34756.99</v>
      </c>
      <c r="J10782" s="18" t="n">
        <v>0</v>
      </c>
      <c r="K10782" s="19" t="n">
        <v>0</v>
      </c>
      <c r="L10782" s="17"/>
    </row>
    <row r="10783" s="11" customFormat="true" ht="10.95" hidden="false" customHeight="true" outlineLevel="0" collapsed="false">
      <c r="A10783" s="16" t="n">
        <v>45302</v>
      </c>
      <c r="B10783" s="17" t="s">
        <v>3861</v>
      </c>
      <c r="C10783" s="17" t="s">
        <v>3752</v>
      </c>
      <c r="D10783" s="17" t="s">
        <v>2895</v>
      </c>
      <c r="E10783" s="17" t="s">
        <v>2900</v>
      </c>
      <c r="F10783" s="17" t="s">
        <v>3026</v>
      </c>
      <c r="G10783" s="18" t="n">
        <v>1891.54</v>
      </c>
      <c r="H10783" s="18" t="n">
        <v>0</v>
      </c>
      <c r="I10783" s="18" t="n">
        <f aca="false">((I10782 + G10783) - H10783)</f>
        <v>36648.53</v>
      </c>
      <c r="J10783" s="18" t="n">
        <v>0</v>
      </c>
      <c r="K10783" s="19" t="n">
        <v>0</v>
      </c>
      <c r="L10783" s="17"/>
    </row>
    <row r="10784" s="11" customFormat="true" ht="10.95" hidden="false" customHeight="true" outlineLevel="0" collapsed="false">
      <c r="A10784" s="16" t="n">
        <v>45302</v>
      </c>
      <c r="B10784" s="17" t="s">
        <v>3861</v>
      </c>
      <c r="C10784" s="17" t="s">
        <v>3752</v>
      </c>
      <c r="D10784" s="17" t="s">
        <v>2895</v>
      </c>
      <c r="E10784" s="17" t="s">
        <v>2900</v>
      </c>
      <c r="F10784" s="17" t="s">
        <v>3027</v>
      </c>
      <c r="G10784" s="18" t="n">
        <v>520.68</v>
      </c>
      <c r="H10784" s="18" t="n">
        <v>0</v>
      </c>
      <c r="I10784" s="18" t="n">
        <f aca="false">((I10783 + G10784) - H10784)</f>
        <v>37169.21</v>
      </c>
      <c r="J10784" s="18" t="n">
        <v>0</v>
      </c>
      <c r="K10784" s="19" t="n">
        <v>0</v>
      </c>
      <c r="L10784" s="17"/>
    </row>
    <row r="10785" s="11" customFormat="true" ht="10.95" hidden="false" customHeight="true" outlineLevel="0" collapsed="false">
      <c r="A10785" s="16" t="n">
        <v>45302</v>
      </c>
      <c r="B10785" s="17" t="s">
        <v>3861</v>
      </c>
      <c r="C10785" s="17" t="s">
        <v>3752</v>
      </c>
      <c r="D10785" s="17" t="s">
        <v>2895</v>
      </c>
      <c r="E10785" s="17" t="s">
        <v>2900</v>
      </c>
      <c r="F10785" s="17" t="s">
        <v>3028</v>
      </c>
      <c r="G10785" s="18" t="n">
        <v>1004.77</v>
      </c>
      <c r="H10785" s="18" t="n">
        <v>0</v>
      </c>
      <c r="I10785" s="18" t="n">
        <f aca="false">((I10784 + G10785) - H10785)</f>
        <v>38173.9799999999</v>
      </c>
      <c r="J10785" s="18" t="n">
        <v>0</v>
      </c>
      <c r="K10785" s="19" t="n">
        <v>0</v>
      </c>
      <c r="L10785" s="17"/>
    </row>
    <row r="10786" s="11" customFormat="true" ht="10.95" hidden="false" customHeight="true" outlineLevel="0" collapsed="false">
      <c r="A10786" s="16" t="n">
        <v>45302</v>
      </c>
      <c r="B10786" s="17" t="s">
        <v>3861</v>
      </c>
      <c r="C10786" s="17" t="s">
        <v>3752</v>
      </c>
      <c r="D10786" s="17" t="s">
        <v>2895</v>
      </c>
      <c r="E10786" s="17" t="s">
        <v>2900</v>
      </c>
      <c r="F10786" s="17" t="s">
        <v>3029</v>
      </c>
      <c r="G10786" s="18" t="n">
        <v>995.62</v>
      </c>
      <c r="H10786" s="18" t="n">
        <v>0</v>
      </c>
      <c r="I10786" s="18" t="n">
        <f aca="false">((I10785 + G10786) - H10786)</f>
        <v>39169.6</v>
      </c>
      <c r="J10786" s="18" t="n">
        <v>0</v>
      </c>
      <c r="K10786" s="19" t="n">
        <v>0</v>
      </c>
      <c r="L10786" s="17"/>
    </row>
    <row r="10787" s="11" customFormat="true" ht="10.95" hidden="false" customHeight="true" outlineLevel="0" collapsed="false">
      <c r="A10787" s="16" t="n">
        <v>45302</v>
      </c>
      <c r="B10787" s="17" t="s">
        <v>3861</v>
      </c>
      <c r="C10787" s="17" t="s">
        <v>3752</v>
      </c>
      <c r="D10787" s="17" t="s">
        <v>2895</v>
      </c>
      <c r="E10787" s="17" t="s">
        <v>2900</v>
      </c>
      <c r="F10787" s="17" t="s">
        <v>3030</v>
      </c>
      <c r="G10787" s="18" t="n">
        <v>796.21</v>
      </c>
      <c r="H10787" s="18" t="n">
        <v>0</v>
      </c>
      <c r="I10787" s="18" t="n">
        <f aca="false">((I10786 + G10787) - H10787)</f>
        <v>39965.81</v>
      </c>
      <c r="J10787" s="18" t="n">
        <v>0</v>
      </c>
      <c r="K10787" s="19" t="n">
        <v>0</v>
      </c>
      <c r="L10787" s="17"/>
    </row>
    <row r="10788" s="11" customFormat="true" ht="10.95" hidden="false" customHeight="true" outlineLevel="0" collapsed="false">
      <c r="A10788" s="16" t="n">
        <v>45303</v>
      </c>
      <c r="B10788" s="17" t="s">
        <v>3861</v>
      </c>
      <c r="C10788" s="17" t="s">
        <v>3752</v>
      </c>
      <c r="D10788" s="17" t="s">
        <v>2895</v>
      </c>
      <c r="E10788" s="17" t="s">
        <v>3482</v>
      </c>
      <c r="F10788" s="17" t="s">
        <v>4217</v>
      </c>
      <c r="G10788" s="18" t="n">
        <v>1861.2</v>
      </c>
      <c r="H10788" s="18" t="n">
        <v>0</v>
      </c>
      <c r="I10788" s="18" t="n">
        <f aca="false">((I10787 + G10788) - H10788)</f>
        <v>41827.0099999999</v>
      </c>
      <c r="J10788" s="18" t="n">
        <v>0</v>
      </c>
      <c r="K10788" s="19" t="n">
        <v>0</v>
      </c>
      <c r="L10788" s="17"/>
    </row>
    <row r="10789" s="11" customFormat="true" ht="10.95" hidden="false" customHeight="true" outlineLevel="0" collapsed="false">
      <c r="A10789" s="16" t="n">
        <v>45303</v>
      </c>
      <c r="B10789" s="17" t="s">
        <v>3861</v>
      </c>
      <c r="C10789" s="17" t="s">
        <v>3752</v>
      </c>
      <c r="D10789" s="17" t="s">
        <v>2895</v>
      </c>
      <c r="E10789" s="17" t="s">
        <v>2934</v>
      </c>
      <c r="F10789" s="17" t="s">
        <v>3031</v>
      </c>
      <c r="G10789" s="18" t="n">
        <v>5763.56</v>
      </c>
      <c r="H10789" s="18" t="n">
        <v>0</v>
      </c>
      <c r="I10789" s="18" t="n">
        <f aca="false">((I10788 + G10789) - H10789)</f>
        <v>47590.5699999999</v>
      </c>
      <c r="J10789" s="18" t="n">
        <v>0</v>
      </c>
      <c r="K10789" s="19" t="n">
        <v>0</v>
      </c>
      <c r="L10789" s="17"/>
    </row>
    <row r="10790" s="11" customFormat="true" ht="10.95" hidden="false" customHeight="true" outlineLevel="0" collapsed="false">
      <c r="A10790" s="16" t="n">
        <v>45303</v>
      </c>
      <c r="B10790" s="17" t="s">
        <v>3861</v>
      </c>
      <c r="C10790" s="17" t="s">
        <v>3752</v>
      </c>
      <c r="D10790" s="17" t="s">
        <v>1407</v>
      </c>
      <c r="E10790" s="17" t="s">
        <v>3897</v>
      </c>
      <c r="F10790" s="17"/>
      <c r="G10790" s="18" t="n">
        <v>0</v>
      </c>
      <c r="H10790" s="18" t="n">
        <v>30</v>
      </c>
      <c r="I10790" s="18" t="n">
        <f aca="false">((I10789 + G10790) - H10790)</f>
        <v>47560.5699999999</v>
      </c>
      <c r="J10790" s="18" t="n">
        <v>0</v>
      </c>
      <c r="K10790" s="19" t="n">
        <v>0</v>
      </c>
      <c r="L10790" s="17"/>
    </row>
    <row r="10791" s="11" customFormat="true" ht="10.95" hidden="false" customHeight="true" outlineLevel="0" collapsed="false">
      <c r="A10791" s="16" t="n">
        <v>45303</v>
      </c>
      <c r="B10791" s="17" t="s">
        <v>3861</v>
      </c>
      <c r="C10791" s="17" t="s">
        <v>3752</v>
      </c>
      <c r="D10791" s="17" t="s">
        <v>1407</v>
      </c>
      <c r="E10791" s="17" t="s">
        <v>3863</v>
      </c>
      <c r="F10791" s="17"/>
      <c r="G10791" s="18" t="n">
        <v>0</v>
      </c>
      <c r="H10791" s="18" t="n">
        <v>193.17</v>
      </c>
      <c r="I10791" s="18" t="n">
        <f aca="false">((I10790 + G10791) - H10791)</f>
        <v>47367.3999999999</v>
      </c>
      <c r="J10791" s="18" t="n">
        <v>0</v>
      </c>
      <c r="K10791" s="19" t="n">
        <v>0</v>
      </c>
      <c r="L10791" s="17"/>
    </row>
    <row r="10792" s="11" customFormat="true" ht="10.95" hidden="false" customHeight="true" outlineLevel="0" collapsed="false">
      <c r="A10792" s="16" t="n">
        <v>45303</v>
      </c>
      <c r="B10792" s="17" t="s">
        <v>3861</v>
      </c>
      <c r="C10792" s="17" t="s">
        <v>3752</v>
      </c>
      <c r="D10792" s="17" t="s">
        <v>1407</v>
      </c>
      <c r="E10792" s="17" t="s">
        <v>3851</v>
      </c>
      <c r="F10792" s="17"/>
      <c r="G10792" s="18" t="n">
        <v>0</v>
      </c>
      <c r="H10792" s="18" t="n">
        <v>6439.15</v>
      </c>
      <c r="I10792" s="18" t="n">
        <f aca="false">((I10791 + G10792) - H10792)</f>
        <v>40928.2499999999</v>
      </c>
      <c r="J10792" s="18" t="n">
        <v>0</v>
      </c>
      <c r="K10792" s="19" t="n">
        <v>0</v>
      </c>
      <c r="L10792" s="17"/>
    </row>
    <row r="10793" s="11" customFormat="true" ht="10.95" hidden="false" customHeight="true" outlineLevel="0" collapsed="false">
      <c r="A10793" s="16" t="n">
        <v>45304</v>
      </c>
      <c r="B10793" s="17" t="s">
        <v>3861</v>
      </c>
      <c r="C10793" s="17" t="s">
        <v>3752</v>
      </c>
      <c r="D10793" s="17" t="s">
        <v>2903</v>
      </c>
      <c r="E10793" s="17" t="s">
        <v>3637</v>
      </c>
      <c r="F10793" s="17" t="s">
        <v>2670</v>
      </c>
      <c r="G10793" s="18" t="n">
        <v>0</v>
      </c>
      <c r="H10793" s="18" t="n">
        <v>760.32</v>
      </c>
      <c r="I10793" s="18" t="n">
        <f aca="false">((I10792 + G10793) - H10793)</f>
        <v>40167.9299999999</v>
      </c>
      <c r="J10793" s="18" t="n">
        <v>0</v>
      </c>
      <c r="K10793" s="19" t="n">
        <v>0</v>
      </c>
      <c r="L10793" s="17"/>
    </row>
    <row r="10794" s="11" customFormat="true" ht="10.95" hidden="false" customHeight="true" outlineLevel="0" collapsed="false">
      <c r="A10794" s="16" t="n">
        <v>45304</v>
      </c>
      <c r="B10794" s="17" t="s">
        <v>3861</v>
      </c>
      <c r="C10794" s="17" t="s">
        <v>3752</v>
      </c>
      <c r="D10794" s="17" t="s">
        <v>2903</v>
      </c>
      <c r="E10794" s="17" t="s">
        <v>3643</v>
      </c>
      <c r="F10794" s="17" t="s">
        <v>1495</v>
      </c>
      <c r="G10794" s="18" t="n">
        <v>0</v>
      </c>
      <c r="H10794" s="18" t="n">
        <v>1295.12</v>
      </c>
      <c r="I10794" s="18" t="n">
        <f aca="false">((I10793 + G10794) - H10794)</f>
        <v>38872.8099999999</v>
      </c>
      <c r="J10794" s="18" t="n">
        <v>0</v>
      </c>
      <c r="K10794" s="19" t="n">
        <v>0</v>
      </c>
      <c r="L10794" s="17"/>
    </row>
    <row r="10795" s="11" customFormat="true" ht="10.95" hidden="false" customHeight="true" outlineLevel="0" collapsed="false">
      <c r="A10795" s="16" t="n">
        <v>45305</v>
      </c>
      <c r="B10795" s="17" t="s">
        <v>3861</v>
      </c>
      <c r="C10795" s="17" t="s">
        <v>3752</v>
      </c>
      <c r="D10795" s="17" t="s">
        <v>1407</v>
      </c>
      <c r="E10795" s="17" t="s">
        <v>3863</v>
      </c>
      <c r="F10795" s="17"/>
      <c r="G10795" s="18" t="n">
        <v>0</v>
      </c>
      <c r="H10795" s="18" t="n">
        <v>2.75</v>
      </c>
      <c r="I10795" s="18" t="n">
        <f aca="false">((I10794 + G10795) - H10795)</f>
        <v>38870.0599999999</v>
      </c>
      <c r="J10795" s="18" t="n">
        <v>0</v>
      </c>
      <c r="K10795" s="19" t="n">
        <v>0</v>
      </c>
      <c r="L10795" s="17"/>
    </row>
    <row r="10796" s="11" customFormat="true" ht="10.95" hidden="false" customHeight="true" outlineLevel="0" collapsed="false">
      <c r="A10796" s="16" t="n">
        <v>45305</v>
      </c>
      <c r="B10796" s="17" t="s">
        <v>3861</v>
      </c>
      <c r="C10796" s="17" t="s">
        <v>3752</v>
      </c>
      <c r="D10796" s="17" t="s">
        <v>1407</v>
      </c>
      <c r="E10796" s="17" t="s">
        <v>3808</v>
      </c>
      <c r="F10796" s="17"/>
      <c r="G10796" s="18" t="n">
        <v>0</v>
      </c>
      <c r="H10796" s="18" t="n">
        <v>500</v>
      </c>
      <c r="I10796" s="18" t="n">
        <f aca="false">((I10795 + G10796) - H10796)</f>
        <v>38370.0599999999</v>
      </c>
      <c r="J10796" s="18" t="n">
        <v>0</v>
      </c>
      <c r="K10796" s="19" t="n">
        <v>0</v>
      </c>
      <c r="L10796" s="17"/>
    </row>
    <row r="10797" s="11" customFormat="true" ht="10.95" hidden="false" customHeight="true" outlineLevel="0" collapsed="false">
      <c r="A10797" s="16" t="n">
        <v>45306</v>
      </c>
      <c r="B10797" s="17" t="s">
        <v>3861</v>
      </c>
      <c r="C10797" s="17" t="s">
        <v>3752</v>
      </c>
      <c r="D10797" s="17" t="s">
        <v>2895</v>
      </c>
      <c r="E10797" s="17" t="s">
        <v>3460</v>
      </c>
      <c r="F10797" s="17" t="s">
        <v>4218</v>
      </c>
      <c r="G10797" s="18" t="n">
        <v>4207.5</v>
      </c>
      <c r="H10797" s="18" t="n">
        <v>0</v>
      </c>
      <c r="I10797" s="18" t="n">
        <f aca="false">((I10796 + G10797) - H10797)</f>
        <v>42577.5599999999</v>
      </c>
      <c r="J10797" s="18" t="n">
        <v>0</v>
      </c>
      <c r="K10797" s="19" t="n">
        <v>0</v>
      </c>
      <c r="L10797" s="17"/>
    </row>
    <row r="10798" s="11" customFormat="true" ht="10.95" hidden="false" customHeight="true" outlineLevel="0" collapsed="false">
      <c r="A10798" s="16" t="n">
        <v>45306</v>
      </c>
      <c r="B10798" s="17" t="s">
        <v>3861</v>
      </c>
      <c r="C10798" s="17" t="s">
        <v>3752</v>
      </c>
      <c r="D10798" s="17" t="s">
        <v>2895</v>
      </c>
      <c r="E10798" s="17" t="s">
        <v>3460</v>
      </c>
      <c r="F10798" s="17" t="s">
        <v>4219</v>
      </c>
      <c r="G10798" s="18" t="n">
        <v>4182.2</v>
      </c>
      <c r="H10798" s="18" t="n">
        <v>0</v>
      </c>
      <c r="I10798" s="18" t="n">
        <f aca="false">((I10797 + G10798) - H10798)</f>
        <v>46759.7599999999</v>
      </c>
      <c r="J10798" s="18" t="n">
        <v>0</v>
      </c>
      <c r="K10798" s="19" t="n">
        <v>0</v>
      </c>
      <c r="L10798" s="17"/>
    </row>
    <row r="10799" s="11" customFormat="true" ht="10.95" hidden="false" customHeight="true" outlineLevel="0" collapsed="false">
      <c r="A10799" s="16" t="n">
        <v>45306</v>
      </c>
      <c r="B10799" s="17" t="s">
        <v>3861</v>
      </c>
      <c r="C10799" s="17" t="s">
        <v>3752</v>
      </c>
      <c r="D10799" s="17" t="s">
        <v>2895</v>
      </c>
      <c r="E10799" s="17" t="s">
        <v>3373</v>
      </c>
      <c r="F10799" s="17" t="s">
        <v>4220</v>
      </c>
      <c r="G10799" s="18" t="n">
        <v>1386</v>
      </c>
      <c r="H10799" s="18" t="n">
        <v>0</v>
      </c>
      <c r="I10799" s="18" t="n">
        <f aca="false">((I10798 + G10799) - H10799)</f>
        <v>48145.7599999999</v>
      </c>
      <c r="J10799" s="18" t="n">
        <v>0</v>
      </c>
      <c r="K10799" s="19" t="n">
        <v>0</v>
      </c>
      <c r="L10799" s="17"/>
    </row>
    <row r="10800" s="11" customFormat="true" ht="10.95" hidden="false" customHeight="true" outlineLevel="0" collapsed="false">
      <c r="A10800" s="16" t="n">
        <v>45306</v>
      </c>
      <c r="B10800" s="17" t="s">
        <v>3861</v>
      </c>
      <c r="C10800" s="17" t="s">
        <v>3752</v>
      </c>
      <c r="D10800" s="17" t="s">
        <v>2903</v>
      </c>
      <c r="E10800" s="17" t="s">
        <v>3704</v>
      </c>
      <c r="F10800" s="17" t="s">
        <v>1642</v>
      </c>
      <c r="G10800" s="18" t="n">
        <v>0</v>
      </c>
      <c r="H10800" s="18" t="n">
        <v>71.55</v>
      </c>
      <c r="I10800" s="18" t="n">
        <f aca="false">((I10799 + G10800) - H10800)</f>
        <v>48074.2099999999</v>
      </c>
      <c r="J10800" s="18" t="n">
        <v>0</v>
      </c>
      <c r="K10800" s="19" t="n">
        <v>0</v>
      </c>
      <c r="L10800" s="17"/>
    </row>
    <row r="10801" s="11" customFormat="true" ht="10.95" hidden="false" customHeight="true" outlineLevel="0" collapsed="false">
      <c r="A10801" s="16" t="n">
        <v>45306</v>
      </c>
      <c r="B10801" s="17" t="s">
        <v>3861</v>
      </c>
      <c r="C10801" s="17" t="s">
        <v>3752</v>
      </c>
      <c r="D10801" s="17" t="s">
        <v>2895</v>
      </c>
      <c r="E10801" s="17" t="s">
        <v>3503</v>
      </c>
      <c r="F10801" s="17" t="s">
        <v>4221</v>
      </c>
      <c r="G10801" s="18" t="n">
        <v>199.65</v>
      </c>
      <c r="H10801" s="18" t="n">
        <v>0</v>
      </c>
      <c r="I10801" s="18" t="n">
        <f aca="false">((I10800 + G10801) - H10801)</f>
        <v>48273.8599999999</v>
      </c>
      <c r="J10801" s="18" t="n">
        <v>0</v>
      </c>
      <c r="K10801" s="19" t="n">
        <v>0</v>
      </c>
      <c r="L10801" s="17"/>
    </row>
    <row r="10802" s="11" customFormat="true" ht="10.95" hidden="false" customHeight="true" outlineLevel="0" collapsed="false">
      <c r="A10802" s="16" t="n">
        <v>45306</v>
      </c>
      <c r="B10802" s="17" t="s">
        <v>3861</v>
      </c>
      <c r="C10802" s="17" t="s">
        <v>3752</v>
      </c>
      <c r="D10802" s="17" t="s">
        <v>2895</v>
      </c>
      <c r="E10802" s="17" t="s">
        <v>3503</v>
      </c>
      <c r="F10802" s="17" t="s">
        <v>4222</v>
      </c>
      <c r="G10802" s="18" t="n">
        <v>199.65</v>
      </c>
      <c r="H10802" s="18" t="n">
        <v>0</v>
      </c>
      <c r="I10802" s="18" t="n">
        <f aca="false">((I10801 + G10802) - H10802)</f>
        <v>48473.5099999999</v>
      </c>
      <c r="J10802" s="18" t="n">
        <v>0</v>
      </c>
      <c r="K10802" s="19" t="n">
        <v>0</v>
      </c>
      <c r="L10802" s="17"/>
    </row>
    <row r="10803" s="11" customFormat="true" ht="10.95" hidden="false" customHeight="true" outlineLevel="0" collapsed="false">
      <c r="A10803" s="16" t="n">
        <v>45306</v>
      </c>
      <c r="B10803" s="17" t="s">
        <v>3861</v>
      </c>
      <c r="C10803" s="17" t="s">
        <v>3752</v>
      </c>
      <c r="D10803" s="17" t="s">
        <v>2895</v>
      </c>
      <c r="E10803" s="17" t="s">
        <v>3503</v>
      </c>
      <c r="F10803" s="17" t="s">
        <v>4223</v>
      </c>
      <c r="G10803" s="18" t="n">
        <v>199.65</v>
      </c>
      <c r="H10803" s="18" t="n">
        <v>0</v>
      </c>
      <c r="I10803" s="18" t="n">
        <f aca="false">((I10802 + G10803) - H10803)</f>
        <v>48673.1599999999</v>
      </c>
      <c r="J10803" s="18" t="n">
        <v>0</v>
      </c>
      <c r="K10803" s="19" t="n">
        <v>0</v>
      </c>
      <c r="L10803" s="17"/>
    </row>
    <row r="10804" s="11" customFormat="true" ht="10.95" hidden="false" customHeight="true" outlineLevel="0" collapsed="false">
      <c r="A10804" s="16" t="n">
        <v>45307</v>
      </c>
      <c r="B10804" s="17" t="s">
        <v>3861</v>
      </c>
      <c r="C10804" s="17" t="s">
        <v>3752</v>
      </c>
      <c r="D10804" s="17" t="s">
        <v>1407</v>
      </c>
      <c r="E10804" s="17" t="s">
        <v>3878</v>
      </c>
      <c r="F10804" s="17"/>
      <c r="G10804" s="18" t="n">
        <v>0</v>
      </c>
      <c r="H10804" s="18" t="n">
        <v>1417</v>
      </c>
      <c r="I10804" s="18" t="n">
        <f aca="false">((I10803 + G10804) - H10804)</f>
        <v>47256.1599999999</v>
      </c>
      <c r="J10804" s="18" t="n">
        <v>0</v>
      </c>
      <c r="K10804" s="19" t="n">
        <v>0</v>
      </c>
      <c r="L10804" s="17"/>
    </row>
    <row r="10805" s="11" customFormat="true" ht="10.95" hidden="false" customHeight="true" outlineLevel="0" collapsed="false">
      <c r="A10805" s="16" t="n">
        <v>45307</v>
      </c>
      <c r="B10805" s="17" t="s">
        <v>3861</v>
      </c>
      <c r="C10805" s="17" t="s">
        <v>3752</v>
      </c>
      <c r="D10805" s="17" t="s">
        <v>1407</v>
      </c>
      <c r="E10805" s="17" t="s">
        <v>3863</v>
      </c>
      <c r="F10805" s="17"/>
      <c r="G10805" s="18" t="n">
        <v>0</v>
      </c>
      <c r="H10805" s="18" t="n">
        <v>0.6</v>
      </c>
      <c r="I10805" s="18" t="n">
        <f aca="false">((I10804 + G10805) - H10805)</f>
        <v>47255.5599999999</v>
      </c>
      <c r="J10805" s="18" t="n">
        <v>0</v>
      </c>
      <c r="K10805" s="19" t="n">
        <v>0</v>
      </c>
      <c r="L10805" s="17"/>
    </row>
    <row r="10806" s="11" customFormat="true" ht="10.95" hidden="false" customHeight="true" outlineLevel="0" collapsed="false">
      <c r="A10806" s="16" t="n">
        <v>45307</v>
      </c>
      <c r="B10806" s="17" t="s">
        <v>3861</v>
      </c>
      <c r="C10806" s="17" t="s">
        <v>3752</v>
      </c>
      <c r="D10806" s="17" t="s">
        <v>1407</v>
      </c>
      <c r="E10806" s="17" t="s">
        <v>3863</v>
      </c>
      <c r="F10806" s="17"/>
      <c r="G10806" s="18" t="n">
        <v>0</v>
      </c>
      <c r="H10806" s="18" t="n">
        <v>2.47</v>
      </c>
      <c r="I10806" s="18" t="n">
        <f aca="false">((I10805 + G10806) - H10806)</f>
        <v>47253.0899999999</v>
      </c>
      <c r="J10806" s="18" t="n">
        <v>0</v>
      </c>
      <c r="K10806" s="19" t="n">
        <v>0</v>
      </c>
      <c r="L10806" s="17"/>
    </row>
    <row r="10807" s="11" customFormat="true" ht="10.95" hidden="false" customHeight="true" outlineLevel="0" collapsed="false">
      <c r="A10807" s="16" t="n">
        <v>45307</v>
      </c>
      <c r="B10807" s="17" t="s">
        <v>3861</v>
      </c>
      <c r="C10807" s="17" t="s">
        <v>3752</v>
      </c>
      <c r="D10807" s="17" t="s">
        <v>1407</v>
      </c>
      <c r="E10807" s="17" t="s">
        <v>3863</v>
      </c>
      <c r="F10807" s="17"/>
      <c r="G10807" s="18" t="n">
        <v>0</v>
      </c>
      <c r="H10807" s="18" t="n">
        <v>3.05</v>
      </c>
      <c r="I10807" s="18" t="n">
        <f aca="false">((I10806 + G10807) - H10807)</f>
        <v>47250.0399999999</v>
      </c>
      <c r="J10807" s="18" t="n">
        <v>0</v>
      </c>
      <c r="K10807" s="19" t="n">
        <v>0</v>
      </c>
      <c r="L10807" s="17"/>
    </row>
    <row r="10808" s="11" customFormat="true" ht="10.95" hidden="false" customHeight="true" outlineLevel="0" collapsed="false">
      <c r="A10808" s="16" t="n">
        <v>45307</v>
      </c>
      <c r="B10808" s="17" t="s">
        <v>3861</v>
      </c>
      <c r="C10808" s="17" t="s">
        <v>3752</v>
      </c>
      <c r="D10808" s="17" t="s">
        <v>1407</v>
      </c>
      <c r="E10808" s="17" t="s">
        <v>3863</v>
      </c>
      <c r="F10808" s="17"/>
      <c r="G10808" s="18" t="n">
        <v>0</v>
      </c>
      <c r="H10808" s="18" t="n">
        <v>4.74</v>
      </c>
      <c r="I10808" s="18" t="n">
        <f aca="false">((I10807 + G10808) - H10808)</f>
        <v>47245.2999999999</v>
      </c>
      <c r="J10808" s="18" t="n">
        <v>0</v>
      </c>
      <c r="K10808" s="19" t="n">
        <v>0</v>
      </c>
      <c r="L10808" s="17"/>
    </row>
    <row r="10809" s="11" customFormat="true" ht="10.95" hidden="false" customHeight="true" outlineLevel="0" collapsed="false">
      <c r="A10809" s="16" t="n">
        <v>45307</v>
      </c>
      <c r="B10809" s="17" t="s">
        <v>3861</v>
      </c>
      <c r="C10809" s="17" t="s">
        <v>3752</v>
      </c>
      <c r="D10809" s="17" t="s">
        <v>1407</v>
      </c>
      <c r="E10809" s="17" t="s">
        <v>3899</v>
      </c>
      <c r="F10809" s="17"/>
      <c r="G10809" s="18" t="n">
        <v>0</v>
      </c>
      <c r="H10809" s="18" t="n">
        <v>15.85</v>
      </c>
      <c r="I10809" s="18" t="n">
        <f aca="false">((I10808 + G10809) - H10809)</f>
        <v>47229.4499999999</v>
      </c>
      <c r="J10809" s="18" t="n">
        <v>0</v>
      </c>
      <c r="K10809" s="19" t="n">
        <v>0</v>
      </c>
      <c r="L10809" s="17"/>
    </row>
    <row r="10810" s="11" customFormat="true" ht="10.95" hidden="false" customHeight="true" outlineLevel="0" collapsed="false">
      <c r="A10810" s="16" t="n">
        <v>45307</v>
      </c>
      <c r="B10810" s="17" t="s">
        <v>3861</v>
      </c>
      <c r="C10810" s="17" t="s">
        <v>3752</v>
      </c>
      <c r="D10810" s="17" t="s">
        <v>1407</v>
      </c>
      <c r="E10810" s="17" t="s">
        <v>3899</v>
      </c>
      <c r="F10810" s="17"/>
      <c r="G10810" s="18" t="n">
        <v>0</v>
      </c>
      <c r="H10810" s="18" t="n">
        <v>15.85</v>
      </c>
      <c r="I10810" s="18" t="n">
        <f aca="false">((I10809 + G10810) - H10810)</f>
        <v>47213.5999999999</v>
      </c>
      <c r="J10810" s="18" t="n">
        <v>0</v>
      </c>
      <c r="K10810" s="19" t="n">
        <v>0</v>
      </c>
      <c r="L10810" s="17"/>
    </row>
    <row r="10811" s="11" customFormat="true" ht="10.95" hidden="false" customHeight="true" outlineLevel="0" collapsed="false">
      <c r="A10811" s="16" t="n">
        <v>45307</v>
      </c>
      <c r="B10811" s="17" t="s">
        <v>3861</v>
      </c>
      <c r="C10811" s="17" t="s">
        <v>3752</v>
      </c>
      <c r="D10811" s="17" t="s">
        <v>1407</v>
      </c>
      <c r="E10811" s="17" t="s">
        <v>3899</v>
      </c>
      <c r="F10811" s="17"/>
      <c r="G10811" s="18" t="n">
        <v>0</v>
      </c>
      <c r="H10811" s="18" t="n">
        <v>16.66</v>
      </c>
      <c r="I10811" s="18" t="n">
        <f aca="false">((I10810 + G10811) - H10811)</f>
        <v>47196.9399999999</v>
      </c>
      <c r="J10811" s="18" t="n">
        <v>0</v>
      </c>
      <c r="K10811" s="19" t="n">
        <v>0</v>
      </c>
      <c r="L10811" s="17"/>
    </row>
    <row r="10812" s="11" customFormat="true" ht="10.95" hidden="false" customHeight="true" outlineLevel="0" collapsed="false">
      <c r="A10812" s="16" t="n">
        <v>45307</v>
      </c>
      <c r="B10812" s="17" t="s">
        <v>3861</v>
      </c>
      <c r="C10812" s="17" t="s">
        <v>3752</v>
      </c>
      <c r="D10812" s="17" t="s">
        <v>1407</v>
      </c>
      <c r="E10812" s="17" t="s">
        <v>3757</v>
      </c>
      <c r="F10812" s="17"/>
      <c r="G10812" s="18" t="n">
        <v>0</v>
      </c>
      <c r="H10812" s="18" t="n">
        <v>19.88</v>
      </c>
      <c r="I10812" s="18" t="n">
        <f aca="false">((I10811 + G10812) - H10812)</f>
        <v>47177.0599999999</v>
      </c>
      <c r="J10812" s="18" t="n">
        <v>0</v>
      </c>
      <c r="K10812" s="19" t="n">
        <v>0</v>
      </c>
      <c r="L10812" s="17"/>
    </row>
    <row r="10813" s="11" customFormat="true" ht="10.95" hidden="false" customHeight="true" outlineLevel="0" collapsed="false">
      <c r="A10813" s="16" t="n">
        <v>45307</v>
      </c>
      <c r="B10813" s="17" t="s">
        <v>3861</v>
      </c>
      <c r="C10813" s="17" t="s">
        <v>3752</v>
      </c>
      <c r="D10813" s="17" t="s">
        <v>1407</v>
      </c>
      <c r="E10813" s="17" t="s">
        <v>4224</v>
      </c>
      <c r="F10813" s="17"/>
      <c r="G10813" s="18" t="n">
        <v>0</v>
      </c>
      <c r="H10813" s="18" t="n">
        <v>82.29</v>
      </c>
      <c r="I10813" s="18" t="n">
        <f aca="false">((I10812 + G10813) - H10813)</f>
        <v>47094.7699999999</v>
      </c>
      <c r="J10813" s="18" t="n">
        <v>0</v>
      </c>
      <c r="K10813" s="19" t="n">
        <v>0</v>
      </c>
      <c r="L10813" s="17"/>
    </row>
    <row r="10814" s="11" customFormat="true" ht="10.95" hidden="false" customHeight="true" outlineLevel="0" collapsed="false">
      <c r="A10814" s="16" t="n">
        <v>45307</v>
      </c>
      <c r="B10814" s="17" t="s">
        <v>3861</v>
      </c>
      <c r="C10814" s="17" t="s">
        <v>3752</v>
      </c>
      <c r="D10814" s="17" t="s">
        <v>1407</v>
      </c>
      <c r="E10814" s="17" t="s">
        <v>3836</v>
      </c>
      <c r="F10814" s="17"/>
      <c r="G10814" s="18" t="n">
        <v>0</v>
      </c>
      <c r="H10814" s="18" t="n">
        <v>101.53</v>
      </c>
      <c r="I10814" s="18" t="n">
        <f aca="false">((I10813 + G10814) - H10814)</f>
        <v>46993.2399999999</v>
      </c>
      <c r="J10814" s="18" t="n">
        <v>0</v>
      </c>
      <c r="K10814" s="19" t="n">
        <v>0</v>
      </c>
      <c r="L10814" s="17"/>
    </row>
    <row r="10815" s="11" customFormat="true" ht="10.95" hidden="false" customHeight="true" outlineLevel="0" collapsed="false">
      <c r="A10815" s="16" t="n">
        <v>45307</v>
      </c>
      <c r="B10815" s="17" t="s">
        <v>3861</v>
      </c>
      <c r="C10815" s="17" t="s">
        <v>3752</v>
      </c>
      <c r="D10815" s="17" t="s">
        <v>1407</v>
      </c>
      <c r="E10815" s="17" t="s">
        <v>3776</v>
      </c>
      <c r="F10815" s="17"/>
      <c r="G10815" s="18" t="n">
        <v>0</v>
      </c>
      <c r="H10815" s="18" t="n">
        <v>158.1</v>
      </c>
      <c r="I10815" s="18" t="n">
        <f aca="false">((I10814 + G10815) - H10815)</f>
        <v>46835.1399999999</v>
      </c>
      <c r="J10815" s="18" t="n">
        <v>0</v>
      </c>
      <c r="K10815" s="19" t="n">
        <v>0</v>
      </c>
      <c r="L10815" s="17"/>
    </row>
    <row r="10816" s="11" customFormat="true" ht="10.95" hidden="false" customHeight="true" outlineLevel="0" collapsed="false">
      <c r="A10816" s="16" t="n">
        <v>45307</v>
      </c>
      <c r="B10816" s="17" t="s">
        <v>3861</v>
      </c>
      <c r="C10816" s="17" t="s">
        <v>3752</v>
      </c>
      <c r="D10816" s="17" t="s">
        <v>1407</v>
      </c>
      <c r="E10816" s="17" t="s">
        <v>3882</v>
      </c>
      <c r="F10816" s="17"/>
      <c r="G10816" s="18" t="n">
        <v>0</v>
      </c>
      <c r="H10816" s="18" t="n">
        <v>227.66</v>
      </c>
      <c r="I10816" s="18" t="n">
        <f aca="false">((I10815 + G10816) - H10816)</f>
        <v>46607.4799999999</v>
      </c>
      <c r="J10816" s="18" t="n">
        <v>0</v>
      </c>
      <c r="K10816" s="19" t="n">
        <v>0</v>
      </c>
      <c r="L10816" s="17"/>
    </row>
    <row r="10817" s="11" customFormat="true" ht="10.95" hidden="false" customHeight="true" outlineLevel="0" collapsed="false">
      <c r="A10817" s="16" t="n">
        <v>45308</v>
      </c>
      <c r="B10817" s="17" t="s">
        <v>3861</v>
      </c>
      <c r="C10817" s="17" t="s">
        <v>3752</v>
      </c>
      <c r="D10817" s="17" t="s">
        <v>1407</v>
      </c>
      <c r="E10817" s="17" t="s">
        <v>3881</v>
      </c>
      <c r="F10817" s="17"/>
      <c r="G10817" s="18" t="n">
        <v>0</v>
      </c>
      <c r="H10817" s="18" t="n">
        <v>140</v>
      </c>
      <c r="I10817" s="18" t="n">
        <f aca="false">((I10816 + G10817) - H10817)</f>
        <v>46467.4799999999</v>
      </c>
      <c r="J10817" s="18" t="n">
        <v>0</v>
      </c>
      <c r="K10817" s="19" t="n">
        <v>0</v>
      </c>
      <c r="L10817" s="17"/>
    </row>
    <row r="10818" s="11" customFormat="true" ht="10.95" hidden="false" customHeight="true" outlineLevel="0" collapsed="false">
      <c r="A10818" s="16" t="n">
        <v>45308</v>
      </c>
      <c r="B10818" s="17" t="s">
        <v>3861</v>
      </c>
      <c r="C10818" s="17" t="s">
        <v>3752</v>
      </c>
      <c r="D10818" s="17" t="s">
        <v>2903</v>
      </c>
      <c r="E10818" s="17" t="s">
        <v>3616</v>
      </c>
      <c r="F10818" s="17" t="s">
        <v>3213</v>
      </c>
      <c r="G10818" s="18" t="n">
        <v>0</v>
      </c>
      <c r="H10818" s="18" t="n">
        <v>218.9</v>
      </c>
      <c r="I10818" s="18" t="n">
        <f aca="false">((I10817 + G10818) - H10818)</f>
        <v>46248.5799999999</v>
      </c>
      <c r="J10818" s="18" t="n">
        <v>0</v>
      </c>
      <c r="K10818" s="19" t="n">
        <v>0</v>
      </c>
      <c r="L10818" s="17"/>
    </row>
    <row r="10819" s="11" customFormat="true" ht="10.95" hidden="false" customHeight="true" outlineLevel="0" collapsed="false">
      <c r="A10819" s="16" t="n">
        <v>45308</v>
      </c>
      <c r="B10819" s="17" t="s">
        <v>3861</v>
      </c>
      <c r="C10819" s="17" t="s">
        <v>3752</v>
      </c>
      <c r="D10819" s="17" t="s">
        <v>1407</v>
      </c>
      <c r="E10819" s="17" t="s">
        <v>3879</v>
      </c>
      <c r="F10819" s="17"/>
      <c r="G10819" s="18" t="n">
        <v>0</v>
      </c>
      <c r="H10819" s="18" t="n">
        <v>1207</v>
      </c>
      <c r="I10819" s="18" t="n">
        <f aca="false">((I10818 + G10819) - H10819)</f>
        <v>45041.5799999999</v>
      </c>
      <c r="J10819" s="18" t="n">
        <v>0</v>
      </c>
      <c r="K10819" s="19" t="n">
        <v>0</v>
      </c>
      <c r="L10819" s="17"/>
    </row>
    <row r="10820" s="11" customFormat="true" ht="10.95" hidden="false" customHeight="true" outlineLevel="0" collapsed="false">
      <c r="A10820" s="16" t="n">
        <v>45308</v>
      </c>
      <c r="B10820" s="17" t="s">
        <v>3861</v>
      </c>
      <c r="C10820" s="17" t="s">
        <v>3752</v>
      </c>
      <c r="D10820" s="17" t="s">
        <v>1407</v>
      </c>
      <c r="E10820" s="17" t="s">
        <v>3880</v>
      </c>
      <c r="F10820" s="17"/>
      <c r="G10820" s="18" t="n">
        <v>0</v>
      </c>
      <c r="H10820" s="18" t="n">
        <v>1207</v>
      </c>
      <c r="I10820" s="18" t="n">
        <f aca="false">((I10819 + G10820) - H10820)</f>
        <v>43834.5799999999</v>
      </c>
      <c r="J10820" s="18" t="n">
        <v>0</v>
      </c>
      <c r="K10820" s="19" t="n">
        <v>0</v>
      </c>
      <c r="L10820" s="17"/>
    </row>
    <row r="10821" s="11" customFormat="true" ht="10.95" hidden="false" customHeight="true" outlineLevel="0" collapsed="false">
      <c r="A10821" s="16" t="n">
        <v>45308</v>
      </c>
      <c r="B10821" s="17" t="s">
        <v>3861</v>
      </c>
      <c r="C10821" s="17" t="s">
        <v>3752</v>
      </c>
      <c r="D10821" s="17" t="s">
        <v>1407</v>
      </c>
      <c r="E10821" s="17" t="s">
        <v>3808</v>
      </c>
      <c r="F10821" s="17"/>
      <c r="G10821" s="18" t="n">
        <v>0</v>
      </c>
      <c r="H10821" s="18" t="n">
        <v>1705.92</v>
      </c>
      <c r="I10821" s="18" t="n">
        <f aca="false">((I10820 + G10821) - H10821)</f>
        <v>42128.6599999999</v>
      </c>
      <c r="J10821" s="18" t="n">
        <v>0</v>
      </c>
      <c r="K10821" s="19" t="n">
        <v>0</v>
      </c>
      <c r="L10821" s="17"/>
    </row>
    <row r="10822" s="11" customFormat="true" ht="10.95" hidden="false" customHeight="true" outlineLevel="0" collapsed="false">
      <c r="A10822" s="16" t="n">
        <v>45308</v>
      </c>
      <c r="B10822" s="17" t="s">
        <v>3861</v>
      </c>
      <c r="C10822" s="17" t="s">
        <v>3752</v>
      </c>
      <c r="D10822" s="17" t="s">
        <v>1407</v>
      </c>
      <c r="E10822" s="17" t="s">
        <v>4225</v>
      </c>
      <c r="F10822" s="17"/>
      <c r="G10822" s="18" t="n">
        <v>0</v>
      </c>
      <c r="H10822" s="18" t="n">
        <v>14.98</v>
      </c>
      <c r="I10822" s="18" t="n">
        <f aca="false">((I10821 + G10822) - H10822)</f>
        <v>42113.6799999999</v>
      </c>
      <c r="J10822" s="18" t="n">
        <v>0</v>
      </c>
      <c r="K10822" s="19" t="n">
        <v>0</v>
      </c>
      <c r="L10822" s="17"/>
    </row>
    <row r="10823" s="11" customFormat="true" ht="10.95" hidden="false" customHeight="true" outlineLevel="0" collapsed="false">
      <c r="A10823" s="16" t="n">
        <v>45308</v>
      </c>
      <c r="B10823" s="17" t="s">
        <v>3861</v>
      </c>
      <c r="C10823" s="17" t="s">
        <v>3752</v>
      </c>
      <c r="D10823" s="17" t="s">
        <v>1407</v>
      </c>
      <c r="E10823" s="17" t="s">
        <v>3863</v>
      </c>
      <c r="F10823" s="17"/>
      <c r="G10823" s="18" t="n">
        <v>0</v>
      </c>
      <c r="H10823" s="18" t="n">
        <v>0.45</v>
      </c>
      <c r="I10823" s="18" t="n">
        <f aca="false">((I10822 + G10823) - H10823)</f>
        <v>42113.2299999999</v>
      </c>
      <c r="J10823" s="18" t="n">
        <v>0</v>
      </c>
      <c r="K10823" s="19" t="n">
        <v>0</v>
      </c>
      <c r="L10823" s="17"/>
    </row>
    <row r="10824" s="11" customFormat="true" ht="10.95" hidden="false" customHeight="true" outlineLevel="0" collapsed="false">
      <c r="A10824" s="16" t="n">
        <v>45308</v>
      </c>
      <c r="B10824" s="17" t="s">
        <v>3861</v>
      </c>
      <c r="C10824" s="17" t="s">
        <v>3752</v>
      </c>
      <c r="D10824" s="17" t="s">
        <v>1407</v>
      </c>
      <c r="E10824" s="17" t="s">
        <v>3863</v>
      </c>
      <c r="F10824" s="17"/>
      <c r="G10824" s="18" t="n">
        <v>0</v>
      </c>
      <c r="H10824" s="18" t="n">
        <v>0.45</v>
      </c>
      <c r="I10824" s="18" t="n">
        <f aca="false">((I10823 + G10824) - H10824)</f>
        <v>42112.7799999999</v>
      </c>
      <c r="J10824" s="18" t="n">
        <v>0</v>
      </c>
      <c r="K10824" s="19" t="n">
        <v>0</v>
      </c>
      <c r="L10824" s="17"/>
    </row>
    <row r="10825" s="11" customFormat="true" ht="10.95" hidden="false" customHeight="true" outlineLevel="0" collapsed="false">
      <c r="A10825" s="16" t="n">
        <v>45308</v>
      </c>
      <c r="B10825" s="17" t="s">
        <v>3861</v>
      </c>
      <c r="C10825" s="17" t="s">
        <v>3752</v>
      </c>
      <c r="D10825" s="17" t="s">
        <v>1407</v>
      </c>
      <c r="E10825" s="17" t="s">
        <v>3899</v>
      </c>
      <c r="F10825" s="17"/>
      <c r="G10825" s="18" t="n">
        <v>0</v>
      </c>
      <c r="H10825" s="18" t="n">
        <v>14.97</v>
      </c>
      <c r="I10825" s="18" t="n">
        <f aca="false">((I10824 + G10825) - H10825)</f>
        <v>42097.8099999999</v>
      </c>
      <c r="J10825" s="18" t="n">
        <v>0</v>
      </c>
      <c r="K10825" s="19" t="n">
        <v>0</v>
      </c>
      <c r="L10825" s="17"/>
    </row>
    <row r="10826" s="11" customFormat="true" ht="10.95" hidden="false" customHeight="true" outlineLevel="0" collapsed="false">
      <c r="A10826" s="16" t="n">
        <v>45309</v>
      </c>
      <c r="B10826" s="17" t="s">
        <v>3861</v>
      </c>
      <c r="C10826" s="17" t="s">
        <v>3752</v>
      </c>
      <c r="D10826" s="17" t="s">
        <v>2895</v>
      </c>
      <c r="E10826" s="17" t="s">
        <v>2917</v>
      </c>
      <c r="F10826" s="17" t="s">
        <v>3032</v>
      </c>
      <c r="G10826" s="18" t="n">
        <v>10078.71</v>
      </c>
      <c r="H10826" s="18" t="n">
        <v>0</v>
      </c>
      <c r="I10826" s="18" t="n">
        <f aca="false">((I10825 + G10826) - H10826)</f>
        <v>52176.5199999999</v>
      </c>
      <c r="J10826" s="18" t="n">
        <v>0</v>
      </c>
      <c r="K10826" s="19" t="n">
        <v>0</v>
      </c>
      <c r="L10826" s="17"/>
    </row>
    <row r="10827" s="11" customFormat="true" ht="10.95" hidden="false" customHeight="true" outlineLevel="0" collapsed="false">
      <c r="A10827" s="16" t="n">
        <v>45309</v>
      </c>
      <c r="B10827" s="17" t="s">
        <v>3861</v>
      </c>
      <c r="C10827" s="17" t="s">
        <v>3752</v>
      </c>
      <c r="D10827" s="17" t="s">
        <v>1407</v>
      </c>
      <c r="E10827" s="17" t="s">
        <v>3863</v>
      </c>
      <c r="F10827" s="17"/>
      <c r="G10827" s="18" t="n">
        <v>0</v>
      </c>
      <c r="H10827" s="18" t="n">
        <v>15.23</v>
      </c>
      <c r="I10827" s="18" t="n">
        <f aca="false">((I10826 + G10827) - H10827)</f>
        <v>52161.2899999999</v>
      </c>
      <c r="J10827" s="18" t="n">
        <v>0</v>
      </c>
      <c r="K10827" s="19" t="n">
        <v>0</v>
      </c>
      <c r="L10827" s="17"/>
    </row>
    <row r="10828" s="11" customFormat="true" ht="10.95" hidden="false" customHeight="true" outlineLevel="0" collapsed="false">
      <c r="A10828" s="16" t="n">
        <v>45309</v>
      </c>
      <c r="B10828" s="17" t="s">
        <v>3861</v>
      </c>
      <c r="C10828" s="17" t="s">
        <v>3752</v>
      </c>
      <c r="D10828" s="17" t="s">
        <v>1407</v>
      </c>
      <c r="E10828" s="17" t="s">
        <v>3900</v>
      </c>
      <c r="F10828" s="17"/>
      <c r="G10828" s="18" t="n">
        <v>0</v>
      </c>
      <c r="H10828" s="18" t="n">
        <v>16.99</v>
      </c>
      <c r="I10828" s="18" t="n">
        <f aca="false">((I10827 + G10828) - H10828)</f>
        <v>52144.2999999999</v>
      </c>
      <c r="J10828" s="18" t="n">
        <v>0</v>
      </c>
      <c r="K10828" s="19" t="n">
        <v>0</v>
      </c>
      <c r="L10828" s="17"/>
    </row>
    <row r="10829" s="11" customFormat="true" ht="10.95" hidden="false" customHeight="true" outlineLevel="0" collapsed="false">
      <c r="A10829" s="16" t="n">
        <v>45309</v>
      </c>
      <c r="B10829" s="17" t="s">
        <v>3861</v>
      </c>
      <c r="C10829" s="17" t="s">
        <v>3752</v>
      </c>
      <c r="D10829" s="17" t="s">
        <v>1407</v>
      </c>
      <c r="E10829" s="17" t="s">
        <v>3901</v>
      </c>
      <c r="F10829" s="17"/>
      <c r="G10829" s="18" t="n">
        <v>0</v>
      </c>
      <c r="H10829" s="18" t="n">
        <v>80.75</v>
      </c>
      <c r="I10829" s="18" t="n">
        <f aca="false">((I10828 + G10829) - H10829)</f>
        <v>52063.5499999999</v>
      </c>
      <c r="J10829" s="18" t="n">
        <v>0</v>
      </c>
      <c r="K10829" s="19" t="n">
        <v>0</v>
      </c>
      <c r="L10829" s="17"/>
    </row>
    <row r="10830" s="11" customFormat="true" ht="10.95" hidden="false" customHeight="true" outlineLevel="0" collapsed="false">
      <c r="A10830" s="16" t="n">
        <v>45309</v>
      </c>
      <c r="B10830" s="17" t="s">
        <v>3861</v>
      </c>
      <c r="C10830" s="17" t="s">
        <v>3752</v>
      </c>
      <c r="D10830" s="17" t="s">
        <v>1407</v>
      </c>
      <c r="E10830" s="17" t="s">
        <v>3880</v>
      </c>
      <c r="F10830" s="17"/>
      <c r="G10830" s="18" t="n">
        <v>0</v>
      </c>
      <c r="H10830" s="18" t="n">
        <v>100</v>
      </c>
      <c r="I10830" s="18" t="n">
        <f aca="false">((I10829 + G10830) - H10830)</f>
        <v>51963.5499999999</v>
      </c>
      <c r="J10830" s="18" t="n">
        <v>0</v>
      </c>
      <c r="K10830" s="19" t="n">
        <v>0</v>
      </c>
      <c r="L10830" s="17"/>
    </row>
    <row r="10831" s="11" customFormat="true" ht="10.95" hidden="false" customHeight="true" outlineLevel="0" collapsed="false">
      <c r="A10831" s="16" t="n">
        <v>45309</v>
      </c>
      <c r="B10831" s="17" t="s">
        <v>3861</v>
      </c>
      <c r="C10831" s="17" t="s">
        <v>3752</v>
      </c>
      <c r="D10831" s="17" t="s">
        <v>1407</v>
      </c>
      <c r="E10831" s="17" t="s">
        <v>3808</v>
      </c>
      <c r="F10831" s="17"/>
      <c r="G10831" s="18" t="n">
        <v>0</v>
      </c>
      <c r="H10831" s="18" t="n">
        <v>340.84</v>
      </c>
      <c r="I10831" s="18" t="n">
        <f aca="false">((I10830 + G10831) - H10831)</f>
        <v>51622.7099999999</v>
      </c>
      <c r="J10831" s="18" t="n">
        <v>0</v>
      </c>
      <c r="K10831" s="19" t="n">
        <v>0</v>
      </c>
      <c r="L10831" s="17"/>
    </row>
    <row r="10832" s="11" customFormat="true" ht="10.95" hidden="false" customHeight="true" outlineLevel="0" collapsed="false">
      <c r="A10832" s="16" t="n">
        <v>45309</v>
      </c>
      <c r="B10832" s="17" t="s">
        <v>3861</v>
      </c>
      <c r="C10832" s="17" t="s">
        <v>3752</v>
      </c>
      <c r="D10832" s="17" t="s">
        <v>1407</v>
      </c>
      <c r="E10832" s="17" t="s">
        <v>3902</v>
      </c>
      <c r="F10832" s="17"/>
      <c r="G10832" s="18" t="n">
        <v>0</v>
      </c>
      <c r="H10832" s="18" t="n">
        <v>272.5</v>
      </c>
      <c r="I10832" s="18" t="n">
        <f aca="false">((I10831 + G10832) - H10832)</f>
        <v>51350.2099999999</v>
      </c>
      <c r="J10832" s="18" t="n">
        <v>0</v>
      </c>
      <c r="K10832" s="19" t="n">
        <v>0</v>
      </c>
      <c r="L10832" s="17"/>
    </row>
    <row r="10833" s="11" customFormat="true" ht="10.95" hidden="false" customHeight="true" outlineLevel="0" collapsed="false">
      <c r="A10833" s="16" t="n">
        <v>45310</v>
      </c>
      <c r="B10833" s="17" t="s">
        <v>3861</v>
      </c>
      <c r="C10833" s="17" t="s">
        <v>3752</v>
      </c>
      <c r="D10833" s="17" t="s">
        <v>2895</v>
      </c>
      <c r="E10833" s="17" t="s">
        <v>3410</v>
      </c>
      <c r="F10833" s="17" t="s">
        <v>4226</v>
      </c>
      <c r="G10833" s="18" t="n">
        <v>968</v>
      </c>
      <c r="H10833" s="18" t="n">
        <v>0</v>
      </c>
      <c r="I10833" s="18" t="n">
        <f aca="false">((I10832 + G10833) - H10833)</f>
        <v>52318.2099999999</v>
      </c>
      <c r="J10833" s="18" t="n">
        <v>0</v>
      </c>
      <c r="K10833" s="19" t="n">
        <v>0</v>
      </c>
      <c r="L10833" s="17"/>
    </row>
    <row r="10834" s="11" customFormat="true" ht="10.95" hidden="false" customHeight="true" outlineLevel="0" collapsed="false">
      <c r="A10834" s="16" t="n">
        <v>45310</v>
      </c>
      <c r="B10834" s="17" t="s">
        <v>3861</v>
      </c>
      <c r="C10834" s="17" t="s">
        <v>3752</v>
      </c>
      <c r="D10834" s="17" t="s">
        <v>2903</v>
      </c>
      <c r="E10834" s="17" t="s">
        <v>3616</v>
      </c>
      <c r="F10834" s="17" t="s">
        <v>3288</v>
      </c>
      <c r="G10834" s="18" t="n">
        <v>0</v>
      </c>
      <c r="H10834" s="18" t="n">
        <v>4227.31</v>
      </c>
      <c r="I10834" s="18" t="n">
        <f aca="false">((I10833 + G10834) - H10834)</f>
        <v>48090.8999999999</v>
      </c>
      <c r="J10834" s="18" t="n">
        <v>0</v>
      </c>
      <c r="K10834" s="19" t="n">
        <v>0</v>
      </c>
      <c r="L10834" s="17"/>
    </row>
    <row r="10835" s="11" customFormat="true" ht="10.95" hidden="false" customHeight="true" outlineLevel="0" collapsed="false">
      <c r="A10835" s="16" t="n">
        <v>45310</v>
      </c>
      <c r="B10835" s="17" t="s">
        <v>3861</v>
      </c>
      <c r="C10835" s="17" t="s">
        <v>3752</v>
      </c>
      <c r="D10835" s="17" t="s">
        <v>1407</v>
      </c>
      <c r="E10835" s="17" t="s">
        <v>3863</v>
      </c>
      <c r="F10835" s="17"/>
      <c r="G10835" s="18" t="n">
        <v>0</v>
      </c>
      <c r="H10835" s="18" t="n">
        <v>2.47</v>
      </c>
      <c r="I10835" s="18" t="n">
        <f aca="false">((I10834 + G10835) - H10835)</f>
        <v>48088.4299999999</v>
      </c>
      <c r="J10835" s="18" t="n">
        <v>0</v>
      </c>
      <c r="K10835" s="19" t="n">
        <v>0</v>
      </c>
      <c r="L10835" s="17"/>
    </row>
    <row r="10836" s="11" customFormat="true" ht="10.95" hidden="false" customHeight="true" outlineLevel="0" collapsed="false">
      <c r="A10836" s="16" t="n">
        <v>45310</v>
      </c>
      <c r="B10836" s="17" t="s">
        <v>3861</v>
      </c>
      <c r="C10836" s="17" t="s">
        <v>3752</v>
      </c>
      <c r="D10836" s="17" t="s">
        <v>1407</v>
      </c>
      <c r="E10836" s="17" t="s">
        <v>4224</v>
      </c>
      <c r="F10836" s="17"/>
      <c r="G10836" s="18" t="n">
        <v>0</v>
      </c>
      <c r="H10836" s="18" t="n">
        <v>82.32</v>
      </c>
      <c r="I10836" s="18" t="n">
        <f aca="false">((I10835 + G10836) - H10836)</f>
        <v>48006.1099999999</v>
      </c>
      <c r="J10836" s="18" t="n">
        <v>0</v>
      </c>
      <c r="K10836" s="19" t="n">
        <v>0</v>
      </c>
      <c r="L10836" s="17"/>
    </row>
    <row r="10837" s="11" customFormat="true" ht="10.95" hidden="false" customHeight="true" outlineLevel="0" collapsed="false">
      <c r="A10837" s="16" t="n">
        <v>45310</v>
      </c>
      <c r="B10837" s="17" t="s">
        <v>3861</v>
      </c>
      <c r="C10837" s="17" t="s">
        <v>3752</v>
      </c>
      <c r="D10837" s="17" t="s">
        <v>2895</v>
      </c>
      <c r="E10837" s="17" t="s">
        <v>2925</v>
      </c>
      <c r="F10837" s="17" t="s">
        <v>3033</v>
      </c>
      <c r="G10837" s="18" t="n">
        <v>317.46</v>
      </c>
      <c r="H10837" s="18" t="n">
        <v>0</v>
      </c>
      <c r="I10837" s="18" t="n">
        <f aca="false">((I10836 + G10837) - H10837)</f>
        <v>48323.5699999999</v>
      </c>
      <c r="J10837" s="18" t="n">
        <v>0</v>
      </c>
      <c r="K10837" s="19" t="n">
        <v>0</v>
      </c>
      <c r="L10837" s="17"/>
    </row>
    <row r="10838" s="11" customFormat="true" ht="10.95" hidden="false" customHeight="true" outlineLevel="0" collapsed="false">
      <c r="A10838" s="16" t="n">
        <v>45310</v>
      </c>
      <c r="B10838" s="17" t="s">
        <v>3861</v>
      </c>
      <c r="C10838" s="17" t="s">
        <v>3752</v>
      </c>
      <c r="D10838" s="17" t="s">
        <v>2895</v>
      </c>
      <c r="E10838" s="17" t="s">
        <v>2925</v>
      </c>
      <c r="F10838" s="17" t="s">
        <v>3034</v>
      </c>
      <c r="G10838" s="18" t="n">
        <v>1794.87</v>
      </c>
      <c r="H10838" s="18" t="n">
        <v>0</v>
      </c>
      <c r="I10838" s="18" t="n">
        <f aca="false">((I10837 + G10838) - H10838)</f>
        <v>50118.4399999999</v>
      </c>
      <c r="J10838" s="18" t="n">
        <v>0</v>
      </c>
      <c r="K10838" s="19" t="n">
        <v>0</v>
      </c>
      <c r="L10838" s="17"/>
    </row>
    <row r="10839" s="11" customFormat="true" ht="10.95" hidden="false" customHeight="true" outlineLevel="0" collapsed="false">
      <c r="A10839" s="16" t="n">
        <v>45311</v>
      </c>
      <c r="B10839" s="17" t="s">
        <v>3861</v>
      </c>
      <c r="C10839" s="17" t="s">
        <v>3752</v>
      </c>
      <c r="D10839" s="17" t="s">
        <v>2903</v>
      </c>
      <c r="E10839" s="17" t="s">
        <v>3035</v>
      </c>
      <c r="F10839" s="17" t="s">
        <v>3036</v>
      </c>
      <c r="G10839" s="18" t="n">
        <v>0</v>
      </c>
      <c r="H10839" s="18" t="n">
        <v>3841.29</v>
      </c>
      <c r="I10839" s="18" t="n">
        <f aca="false">((I10838 + G10839) - H10839)</f>
        <v>46277.1499999999</v>
      </c>
      <c r="J10839" s="18" t="n">
        <v>0</v>
      </c>
      <c r="K10839" s="19" t="n">
        <v>0</v>
      </c>
      <c r="L10839" s="17"/>
    </row>
    <row r="10840" s="11" customFormat="true" ht="10.95" hidden="false" customHeight="true" outlineLevel="0" collapsed="false">
      <c r="A10840" s="16" t="n">
        <v>45314</v>
      </c>
      <c r="B10840" s="17" t="s">
        <v>3861</v>
      </c>
      <c r="C10840" s="17" t="s">
        <v>3752</v>
      </c>
      <c r="D10840" s="17" t="s">
        <v>2903</v>
      </c>
      <c r="E10840" s="17" t="s">
        <v>3644</v>
      </c>
      <c r="F10840" s="17" t="s">
        <v>2457</v>
      </c>
      <c r="G10840" s="18" t="n">
        <v>0</v>
      </c>
      <c r="H10840" s="18" t="n">
        <v>24.2</v>
      </c>
      <c r="I10840" s="18" t="n">
        <f aca="false">((I10839 + G10840) - H10840)</f>
        <v>46252.9499999999</v>
      </c>
      <c r="J10840" s="18" t="n">
        <v>0</v>
      </c>
      <c r="K10840" s="19" t="n">
        <v>0</v>
      </c>
      <c r="L10840" s="17"/>
    </row>
    <row r="10841" s="11" customFormat="true" ht="10.95" hidden="false" customHeight="true" outlineLevel="0" collapsed="false">
      <c r="A10841" s="16" t="n">
        <v>45314</v>
      </c>
      <c r="B10841" s="17" t="s">
        <v>3861</v>
      </c>
      <c r="C10841" s="17" t="s">
        <v>3752</v>
      </c>
      <c r="D10841" s="17" t="s">
        <v>2903</v>
      </c>
      <c r="E10841" s="17" t="s">
        <v>3644</v>
      </c>
      <c r="F10841" s="17" t="s">
        <v>2451</v>
      </c>
      <c r="G10841" s="18" t="n">
        <v>0</v>
      </c>
      <c r="H10841" s="18" t="n">
        <v>9.02</v>
      </c>
      <c r="I10841" s="18" t="n">
        <f aca="false">((I10840 + G10841) - H10841)</f>
        <v>46243.93</v>
      </c>
      <c r="J10841" s="18" t="n">
        <v>0</v>
      </c>
      <c r="K10841" s="19" t="n">
        <v>0</v>
      </c>
      <c r="L10841" s="17"/>
    </row>
    <row r="10842" s="11" customFormat="true" ht="10.95" hidden="false" customHeight="true" outlineLevel="0" collapsed="false">
      <c r="A10842" s="16" t="n">
        <v>45314</v>
      </c>
      <c r="B10842" s="17" t="s">
        <v>3861</v>
      </c>
      <c r="C10842" s="17" t="s">
        <v>3752</v>
      </c>
      <c r="D10842" s="17" t="s">
        <v>2903</v>
      </c>
      <c r="E10842" s="17" t="s">
        <v>3644</v>
      </c>
      <c r="F10842" s="17" t="s">
        <v>2453</v>
      </c>
      <c r="G10842" s="18" t="n">
        <v>0</v>
      </c>
      <c r="H10842" s="18" t="n">
        <v>36.19</v>
      </c>
      <c r="I10842" s="18" t="n">
        <f aca="false">((I10841 + G10842) - H10842)</f>
        <v>46207.74</v>
      </c>
      <c r="J10842" s="18" t="n">
        <v>0</v>
      </c>
      <c r="K10842" s="19" t="n">
        <v>0</v>
      </c>
      <c r="L10842" s="17"/>
    </row>
    <row r="10843" s="11" customFormat="true" ht="10.95" hidden="false" customHeight="true" outlineLevel="0" collapsed="false">
      <c r="A10843" s="16" t="n">
        <v>45314</v>
      </c>
      <c r="B10843" s="17" t="s">
        <v>3861</v>
      </c>
      <c r="C10843" s="17" t="s">
        <v>3752</v>
      </c>
      <c r="D10843" s="17" t="s">
        <v>2903</v>
      </c>
      <c r="E10843" s="17" t="s">
        <v>3644</v>
      </c>
      <c r="F10843" s="17" t="s">
        <v>2449</v>
      </c>
      <c r="G10843" s="18" t="n">
        <v>0</v>
      </c>
      <c r="H10843" s="18" t="n">
        <v>45.32</v>
      </c>
      <c r="I10843" s="18" t="n">
        <f aca="false">((I10842 + G10843) - H10843)</f>
        <v>46162.42</v>
      </c>
      <c r="J10843" s="18" t="n">
        <v>0</v>
      </c>
      <c r="K10843" s="19" t="n">
        <v>0</v>
      </c>
      <c r="L10843" s="17"/>
    </row>
    <row r="10844" s="11" customFormat="true" ht="10.95" hidden="false" customHeight="true" outlineLevel="0" collapsed="false">
      <c r="A10844" s="16" t="n">
        <v>45314</v>
      </c>
      <c r="B10844" s="17" t="s">
        <v>3861</v>
      </c>
      <c r="C10844" s="17" t="s">
        <v>3752</v>
      </c>
      <c r="D10844" s="17" t="s">
        <v>2903</v>
      </c>
      <c r="E10844" s="17" t="s">
        <v>3644</v>
      </c>
      <c r="F10844" s="17" t="s">
        <v>2445</v>
      </c>
      <c r="G10844" s="18" t="n">
        <v>0</v>
      </c>
      <c r="H10844" s="18" t="n">
        <v>60.5</v>
      </c>
      <c r="I10844" s="18" t="n">
        <f aca="false">((I10843 + G10844) - H10844)</f>
        <v>46101.92</v>
      </c>
      <c r="J10844" s="18" t="n">
        <v>0</v>
      </c>
      <c r="K10844" s="19" t="n">
        <v>0</v>
      </c>
      <c r="L10844" s="17"/>
    </row>
    <row r="10845" s="11" customFormat="true" ht="10.95" hidden="false" customHeight="true" outlineLevel="0" collapsed="false">
      <c r="A10845" s="16" t="n">
        <v>45314</v>
      </c>
      <c r="B10845" s="17" t="s">
        <v>3861</v>
      </c>
      <c r="C10845" s="17" t="s">
        <v>3752</v>
      </c>
      <c r="D10845" s="17" t="s">
        <v>2903</v>
      </c>
      <c r="E10845" s="17" t="s">
        <v>3644</v>
      </c>
      <c r="F10845" s="17" t="s">
        <v>2455</v>
      </c>
      <c r="G10845" s="18" t="n">
        <v>0</v>
      </c>
      <c r="H10845" s="18" t="n">
        <v>68.2</v>
      </c>
      <c r="I10845" s="18" t="n">
        <f aca="false">((I10844 + G10845) - H10845)</f>
        <v>46033.72</v>
      </c>
      <c r="J10845" s="18" t="n">
        <v>0</v>
      </c>
      <c r="K10845" s="19" t="n">
        <v>0</v>
      </c>
      <c r="L10845" s="17"/>
    </row>
    <row r="10846" s="11" customFormat="true" ht="10.95" hidden="false" customHeight="true" outlineLevel="0" collapsed="false">
      <c r="A10846" s="16" t="n">
        <v>45314</v>
      </c>
      <c r="B10846" s="17" t="s">
        <v>3861</v>
      </c>
      <c r="C10846" s="17" t="s">
        <v>3752</v>
      </c>
      <c r="D10846" s="17" t="s">
        <v>2903</v>
      </c>
      <c r="E10846" s="17" t="s">
        <v>3644</v>
      </c>
      <c r="F10846" s="17" t="s">
        <v>2447</v>
      </c>
      <c r="G10846" s="18" t="n">
        <v>0</v>
      </c>
      <c r="H10846" s="18" t="n">
        <v>83.6</v>
      </c>
      <c r="I10846" s="18" t="n">
        <f aca="false">((I10845 + G10846) - H10846)</f>
        <v>45950.12</v>
      </c>
      <c r="J10846" s="18" t="n">
        <v>0</v>
      </c>
      <c r="K10846" s="19" t="n">
        <v>0</v>
      </c>
      <c r="L10846" s="17"/>
    </row>
    <row r="10847" s="11" customFormat="true" ht="10.95" hidden="false" customHeight="true" outlineLevel="0" collapsed="false">
      <c r="A10847" s="16" t="n">
        <v>45314</v>
      </c>
      <c r="B10847" s="17" t="s">
        <v>3861</v>
      </c>
      <c r="C10847" s="17" t="s">
        <v>3752</v>
      </c>
      <c r="D10847" s="17" t="s">
        <v>2903</v>
      </c>
      <c r="E10847" s="17" t="s">
        <v>3644</v>
      </c>
      <c r="F10847" s="17" t="s">
        <v>2443</v>
      </c>
      <c r="G10847" s="18" t="n">
        <v>0</v>
      </c>
      <c r="H10847" s="18" t="n">
        <v>219.78</v>
      </c>
      <c r="I10847" s="18" t="n">
        <f aca="false">((I10846 + G10847) - H10847)</f>
        <v>45730.34</v>
      </c>
      <c r="J10847" s="18" t="n">
        <v>0</v>
      </c>
      <c r="K10847" s="19" t="n">
        <v>0</v>
      </c>
      <c r="L10847" s="17"/>
    </row>
    <row r="10848" s="11" customFormat="true" ht="10.95" hidden="false" customHeight="true" outlineLevel="0" collapsed="false">
      <c r="A10848" s="16" t="n">
        <v>45314</v>
      </c>
      <c r="B10848" s="17" t="s">
        <v>3861</v>
      </c>
      <c r="C10848" s="17" t="s">
        <v>3752</v>
      </c>
      <c r="D10848" s="17" t="s">
        <v>1407</v>
      </c>
      <c r="E10848" s="17" t="s">
        <v>3880</v>
      </c>
      <c r="F10848" s="17"/>
      <c r="G10848" s="18" t="n">
        <v>0</v>
      </c>
      <c r="H10848" s="18" t="n">
        <v>620</v>
      </c>
      <c r="I10848" s="18" t="n">
        <f aca="false">((I10847 + G10848) - H10848)</f>
        <v>45110.34</v>
      </c>
      <c r="J10848" s="18" t="n">
        <v>0</v>
      </c>
      <c r="K10848" s="19" t="n">
        <v>0</v>
      </c>
      <c r="L10848" s="17"/>
    </row>
    <row r="10849" s="11" customFormat="true" ht="10.95" hidden="false" customHeight="true" outlineLevel="0" collapsed="false">
      <c r="A10849" s="16" t="n">
        <v>45314</v>
      </c>
      <c r="B10849" s="17" t="s">
        <v>3861</v>
      </c>
      <c r="C10849" s="17" t="s">
        <v>3752</v>
      </c>
      <c r="D10849" s="17" t="s">
        <v>1407</v>
      </c>
      <c r="E10849" s="17" t="s">
        <v>3863</v>
      </c>
      <c r="F10849" s="17"/>
      <c r="G10849" s="18" t="n">
        <v>0</v>
      </c>
      <c r="H10849" s="18" t="n">
        <v>24.53</v>
      </c>
      <c r="I10849" s="18" t="n">
        <f aca="false">((I10848 + G10849) - H10849)</f>
        <v>45085.81</v>
      </c>
      <c r="J10849" s="18" t="n">
        <v>0</v>
      </c>
      <c r="K10849" s="19" t="n">
        <v>0</v>
      </c>
      <c r="L10849" s="17"/>
    </row>
    <row r="10850" s="11" customFormat="true" ht="10.95" hidden="false" customHeight="true" outlineLevel="0" collapsed="false">
      <c r="A10850" s="16" t="n">
        <v>45314</v>
      </c>
      <c r="B10850" s="17" t="s">
        <v>3861</v>
      </c>
      <c r="C10850" s="17" t="s">
        <v>3752</v>
      </c>
      <c r="D10850" s="17" t="s">
        <v>1407</v>
      </c>
      <c r="E10850" s="17" t="s">
        <v>3863</v>
      </c>
      <c r="F10850" s="17"/>
      <c r="G10850" s="18" t="n">
        <v>0</v>
      </c>
      <c r="H10850" s="18" t="n">
        <v>0.37</v>
      </c>
      <c r="I10850" s="18" t="n">
        <f aca="false">((I10849 + G10850) - H10850)</f>
        <v>45085.44</v>
      </c>
      <c r="J10850" s="18" t="n">
        <v>0</v>
      </c>
      <c r="K10850" s="19" t="n">
        <v>0</v>
      </c>
      <c r="L10850" s="17"/>
    </row>
    <row r="10851" s="11" customFormat="true" ht="10.95" hidden="false" customHeight="true" outlineLevel="0" collapsed="false">
      <c r="A10851" s="16" t="n">
        <v>45314</v>
      </c>
      <c r="B10851" s="17" t="s">
        <v>3861</v>
      </c>
      <c r="C10851" s="17" t="s">
        <v>3752</v>
      </c>
      <c r="D10851" s="17" t="s">
        <v>1407</v>
      </c>
      <c r="E10851" s="17" t="s">
        <v>3863</v>
      </c>
      <c r="F10851" s="17"/>
      <c r="G10851" s="18" t="n">
        <v>0</v>
      </c>
      <c r="H10851" s="18" t="n">
        <v>0.92</v>
      </c>
      <c r="I10851" s="18" t="n">
        <f aca="false">((I10850 + G10851) - H10851)</f>
        <v>45084.52</v>
      </c>
      <c r="J10851" s="18" t="n">
        <v>0</v>
      </c>
      <c r="K10851" s="19" t="n">
        <v>0</v>
      </c>
      <c r="L10851" s="17"/>
    </row>
    <row r="10852" s="11" customFormat="true" ht="10.95" hidden="false" customHeight="true" outlineLevel="0" collapsed="false">
      <c r="A10852" s="16" t="n">
        <v>45314</v>
      </c>
      <c r="B10852" s="17" t="s">
        <v>3861</v>
      </c>
      <c r="C10852" s="17" t="s">
        <v>3752</v>
      </c>
      <c r="D10852" s="17" t="s">
        <v>1407</v>
      </c>
      <c r="E10852" s="17" t="s">
        <v>3878</v>
      </c>
      <c r="F10852" s="17"/>
      <c r="G10852" s="18" t="n">
        <v>0</v>
      </c>
      <c r="H10852" s="18" t="n">
        <v>1417</v>
      </c>
      <c r="I10852" s="18" t="n">
        <f aca="false">((I10851 + G10852) - H10852)</f>
        <v>43667.52</v>
      </c>
      <c r="J10852" s="18" t="n">
        <v>0</v>
      </c>
      <c r="K10852" s="19" t="n">
        <v>0</v>
      </c>
      <c r="L10852" s="17"/>
    </row>
    <row r="10853" s="11" customFormat="true" ht="10.95" hidden="false" customHeight="true" outlineLevel="0" collapsed="false">
      <c r="A10853" s="16" t="n">
        <v>45314</v>
      </c>
      <c r="B10853" s="17" t="s">
        <v>3861</v>
      </c>
      <c r="C10853" s="17" t="s">
        <v>3752</v>
      </c>
      <c r="D10853" s="17" t="s">
        <v>1407</v>
      </c>
      <c r="E10853" s="17" t="s">
        <v>3615</v>
      </c>
      <c r="F10853" s="17"/>
      <c r="G10853" s="18" t="n">
        <v>0</v>
      </c>
      <c r="H10853" s="18" t="n">
        <v>155.04</v>
      </c>
      <c r="I10853" s="18" t="n">
        <f aca="false">((I10852 + G10853) - H10853)</f>
        <v>43512.48</v>
      </c>
      <c r="J10853" s="18" t="n">
        <v>0</v>
      </c>
      <c r="K10853" s="19" t="n">
        <v>0</v>
      </c>
      <c r="L10853" s="17"/>
    </row>
    <row r="10854" s="11" customFormat="true" ht="10.95" hidden="false" customHeight="true" outlineLevel="0" collapsed="false">
      <c r="A10854" s="16" t="n">
        <v>45314</v>
      </c>
      <c r="B10854" s="17" t="s">
        <v>3861</v>
      </c>
      <c r="C10854" s="17" t="s">
        <v>3752</v>
      </c>
      <c r="D10854" s="17" t="s">
        <v>2903</v>
      </c>
      <c r="E10854" s="17" t="s">
        <v>3645</v>
      </c>
      <c r="F10854" s="17" t="s">
        <v>1490</v>
      </c>
      <c r="G10854" s="18" t="n">
        <v>0</v>
      </c>
      <c r="H10854" s="18" t="n">
        <v>1947</v>
      </c>
      <c r="I10854" s="18" t="n">
        <f aca="false">((I10853 + G10854) - H10854)</f>
        <v>41565.48</v>
      </c>
      <c r="J10854" s="18" t="n">
        <v>0</v>
      </c>
      <c r="K10854" s="19" t="n">
        <v>0</v>
      </c>
      <c r="L10854" s="17"/>
    </row>
    <row r="10855" s="11" customFormat="true" ht="10.95" hidden="false" customHeight="true" outlineLevel="0" collapsed="false">
      <c r="A10855" s="16" t="n">
        <v>45314</v>
      </c>
      <c r="B10855" s="17" t="s">
        <v>3861</v>
      </c>
      <c r="C10855" s="17" t="s">
        <v>3752</v>
      </c>
      <c r="D10855" s="17" t="s">
        <v>2903</v>
      </c>
      <c r="E10855" s="17" t="s">
        <v>3645</v>
      </c>
      <c r="F10855" s="17" t="s">
        <v>1492</v>
      </c>
      <c r="G10855" s="18" t="n">
        <v>0</v>
      </c>
      <c r="H10855" s="18" t="n">
        <v>17914.78</v>
      </c>
      <c r="I10855" s="18" t="n">
        <f aca="false">((I10854 + G10855) - H10855)</f>
        <v>23650.7</v>
      </c>
      <c r="J10855" s="18" t="n">
        <v>0</v>
      </c>
      <c r="K10855" s="19" t="n">
        <v>0</v>
      </c>
      <c r="L10855" s="17"/>
    </row>
    <row r="10856" s="11" customFormat="true" ht="10.95" hidden="false" customHeight="true" outlineLevel="0" collapsed="false">
      <c r="A10856" s="16" t="n">
        <v>45314</v>
      </c>
      <c r="B10856" s="17" t="s">
        <v>3861</v>
      </c>
      <c r="C10856" s="17" t="s">
        <v>3752</v>
      </c>
      <c r="D10856" s="17" t="s">
        <v>2903</v>
      </c>
      <c r="E10856" s="17" t="s">
        <v>3645</v>
      </c>
      <c r="F10856" s="17" t="s">
        <v>1488</v>
      </c>
      <c r="G10856" s="18" t="n">
        <v>0</v>
      </c>
      <c r="H10856" s="18" t="n">
        <v>538.76</v>
      </c>
      <c r="I10856" s="18" t="n">
        <f aca="false">((I10855 + G10856) - H10856)</f>
        <v>23111.94</v>
      </c>
      <c r="J10856" s="18" t="n">
        <v>0</v>
      </c>
      <c r="K10856" s="19" t="n">
        <v>0</v>
      </c>
      <c r="L10856" s="17"/>
    </row>
    <row r="10857" s="11" customFormat="true" ht="10.95" hidden="false" customHeight="true" outlineLevel="0" collapsed="false">
      <c r="A10857" s="16" t="n">
        <v>45314</v>
      </c>
      <c r="B10857" s="17" t="s">
        <v>3861</v>
      </c>
      <c r="C10857" s="17" t="s">
        <v>3752</v>
      </c>
      <c r="D10857" s="17" t="s">
        <v>1407</v>
      </c>
      <c r="E10857" s="17" t="s">
        <v>4140</v>
      </c>
      <c r="F10857" s="17"/>
      <c r="G10857" s="18" t="n">
        <v>0</v>
      </c>
      <c r="H10857" s="18" t="n">
        <v>817.75</v>
      </c>
      <c r="I10857" s="18" t="n">
        <f aca="false">((I10856 + G10857) - H10857)</f>
        <v>22294.19</v>
      </c>
      <c r="J10857" s="18" t="n">
        <v>0</v>
      </c>
      <c r="K10857" s="19" t="n">
        <v>0</v>
      </c>
      <c r="L10857" s="17"/>
    </row>
    <row r="10858" s="11" customFormat="true" ht="10.95" hidden="false" customHeight="true" outlineLevel="0" collapsed="false">
      <c r="A10858" s="16" t="n">
        <v>45314</v>
      </c>
      <c r="B10858" s="17" t="s">
        <v>3861</v>
      </c>
      <c r="C10858" s="17" t="s">
        <v>3752</v>
      </c>
      <c r="D10858" s="17" t="s">
        <v>1407</v>
      </c>
      <c r="E10858" s="17" t="s">
        <v>3774</v>
      </c>
      <c r="F10858" s="17"/>
      <c r="G10858" s="18" t="n">
        <v>0</v>
      </c>
      <c r="H10858" s="18" t="n">
        <v>30.66</v>
      </c>
      <c r="I10858" s="18" t="n">
        <f aca="false">((I10857 + G10858) - H10858)</f>
        <v>22263.53</v>
      </c>
      <c r="J10858" s="18" t="n">
        <v>0</v>
      </c>
      <c r="K10858" s="19" t="n">
        <v>0</v>
      </c>
      <c r="L10858" s="17"/>
    </row>
    <row r="10859" s="11" customFormat="true" ht="10.95" hidden="false" customHeight="true" outlineLevel="0" collapsed="false">
      <c r="A10859" s="16" t="n">
        <v>45314</v>
      </c>
      <c r="B10859" s="17" t="s">
        <v>3861</v>
      </c>
      <c r="C10859" s="17" t="s">
        <v>3752</v>
      </c>
      <c r="D10859" s="17" t="s">
        <v>2903</v>
      </c>
      <c r="E10859" s="17" t="s">
        <v>3671</v>
      </c>
      <c r="F10859" s="17" t="s">
        <v>2459</v>
      </c>
      <c r="G10859" s="18" t="n">
        <v>0</v>
      </c>
      <c r="H10859" s="18" t="n">
        <v>97</v>
      </c>
      <c r="I10859" s="18" t="n">
        <f aca="false">((I10858 + G10859) - H10859)</f>
        <v>22166.53</v>
      </c>
      <c r="J10859" s="18" t="n">
        <v>0</v>
      </c>
      <c r="K10859" s="19" t="n">
        <v>0</v>
      </c>
      <c r="L10859" s="17"/>
    </row>
    <row r="10860" s="11" customFormat="true" ht="10.95" hidden="false" customHeight="true" outlineLevel="0" collapsed="false">
      <c r="A10860" s="16" t="n">
        <v>45314</v>
      </c>
      <c r="B10860" s="17" t="s">
        <v>3861</v>
      </c>
      <c r="C10860" s="17" t="s">
        <v>3752</v>
      </c>
      <c r="D10860" s="17" t="s">
        <v>1407</v>
      </c>
      <c r="E10860" s="17" t="s">
        <v>4227</v>
      </c>
      <c r="F10860" s="17"/>
      <c r="G10860" s="18" t="n">
        <v>0</v>
      </c>
      <c r="H10860" s="18" t="n">
        <v>10.36</v>
      </c>
      <c r="I10860" s="18" t="n">
        <f aca="false">((I10859 + G10860) - H10860)</f>
        <v>22156.17</v>
      </c>
      <c r="J10860" s="18" t="n">
        <v>0</v>
      </c>
      <c r="K10860" s="19" t="n">
        <v>0</v>
      </c>
      <c r="L10860" s="17"/>
    </row>
    <row r="10861" s="11" customFormat="true" ht="10.95" hidden="false" customHeight="true" outlineLevel="0" collapsed="false">
      <c r="A10861" s="16" t="n">
        <v>45314</v>
      </c>
      <c r="B10861" s="17" t="s">
        <v>3861</v>
      </c>
      <c r="C10861" s="17" t="s">
        <v>3752</v>
      </c>
      <c r="D10861" s="17" t="s">
        <v>2895</v>
      </c>
      <c r="E10861" s="17" t="s">
        <v>3403</v>
      </c>
      <c r="F10861" s="17" t="s">
        <v>4228</v>
      </c>
      <c r="G10861" s="18" t="n">
        <v>1967.9</v>
      </c>
      <c r="H10861" s="18" t="n">
        <v>0</v>
      </c>
      <c r="I10861" s="18" t="n">
        <f aca="false">((I10860 + G10861) - H10861)</f>
        <v>24124.07</v>
      </c>
      <c r="J10861" s="18" t="n">
        <v>0</v>
      </c>
      <c r="K10861" s="19" t="n">
        <v>0</v>
      </c>
      <c r="L10861" s="17"/>
    </row>
    <row r="10862" s="11" customFormat="true" ht="10.95" hidden="false" customHeight="true" outlineLevel="0" collapsed="false">
      <c r="A10862" s="16" t="n">
        <v>45314</v>
      </c>
      <c r="B10862" s="17" t="s">
        <v>3861</v>
      </c>
      <c r="C10862" s="17" t="s">
        <v>3752</v>
      </c>
      <c r="D10862" s="17" t="s">
        <v>2895</v>
      </c>
      <c r="E10862" s="17" t="s">
        <v>3403</v>
      </c>
      <c r="F10862" s="17" t="s">
        <v>4229</v>
      </c>
      <c r="G10862" s="18" t="n">
        <v>103.4</v>
      </c>
      <c r="H10862" s="18" t="n">
        <v>0</v>
      </c>
      <c r="I10862" s="18" t="n">
        <f aca="false">((I10861 + G10862) - H10862)</f>
        <v>24227.47</v>
      </c>
      <c r="J10862" s="18" t="n">
        <v>0</v>
      </c>
      <c r="K10862" s="19" t="n">
        <v>0</v>
      </c>
      <c r="L10862" s="17"/>
    </row>
    <row r="10863" s="11" customFormat="true" ht="10.95" hidden="false" customHeight="true" outlineLevel="0" collapsed="false">
      <c r="A10863" s="16" t="n">
        <v>45314</v>
      </c>
      <c r="B10863" s="17" t="s">
        <v>3861</v>
      </c>
      <c r="C10863" s="17" t="s">
        <v>3752</v>
      </c>
      <c r="D10863" s="17" t="s">
        <v>2895</v>
      </c>
      <c r="E10863" s="17" t="s">
        <v>3403</v>
      </c>
      <c r="F10863" s="17" t="s">
        <v>4230</v>
      </c>
      <c r="G10863" s="18" t="n">
        <v>103.4</v>
      </c>
      <c r="H10863" s="18" t="n">
        <v>0</v>
      </c>
      <c r="I10863" s="18" t="n">
        <f aca="false">((I10862 + G10863) - H10863)</f>
        <v>24330.87</v>
      </c>
      <c r="J10863" s="18" t="n">
        <v>0</v>
      </c>
      <c r="K10863" s="19" t="n">
        <v>0</v>
      </c>
      <c r="L10863" s="17"/>
    </row>
    <row r="10864" s="11" customFormat="true" ht="10.95" hidden="false" customHeight="true" outlineLevel="0" collapsed="false">
      <c r="A10864" s="16" t="n">
        <v>45314</v>
      </c>
      <c r="B10864" s="17" t="s">
        <v>3861</v>
      </c>
      <c r="C10864" s="17" t="s">
        <v>3752</v>
      </c>
      <c r="D10864" s="17" t="s">
        <v>2895</v>
      </c>
      <c r="E10864" s="17" t="s">
        <v>3403</v>
      </c>
      <c r="F10864" s="17" t="s">
        <v>4231</v>
      </c>
      <c r="G10864" s="18" t="n">
        <v>1258.4</v>
      </c>
      <c r="H10864" s="18" t="n">
        <v>0</v>
      </c>
      <c r="I10864" s="18" t="n">
        <f aca="false">((I10863 + G10864) - H10864)</f>
        <v>25589.27</v>
      </c>
      <c r="J10864" s="18" t="n">
        <v>0</v>
      </c>
      <c r="K10864" s="19" t="n">
        <v>0</v>
      </c>
      <c r="L10864" s="17"/>
    </row>
    <row r="10865" s="11" customFormat="true" ht="10.95" hidden="false" customHeight="true" outlineLevel="0" collapsed="false">
      <c r="A10865" s="16" t="n">
        <v>45314</v>
      </c>
      <c r="B10865" s="17" t="s">
        <v>3861</v>
      </c>
      <c r="C10865" s="17" t="s">
        <v>3752</v>
      </c>
      <c r="D10865" s="17" t="s">
        <v>2895</v>
      </c>
      <c r="E10865" s="17" t="s">
        <v>3403</v>
      </c>
      <c r="F10865" s="17" t="s">
        <v>4232</v>
      </c>
      <c r="G10865" s="18" t="n">
        <v>310.2</v>
      </c>
      <c r="H10865" s="18" t="n">
        <v>0</v>
      </c>
      <c r="I10865" s="18" t="n">
        <f aca="false">((I10864 + G10865) - H10865)</f>
        <v>25899.47</v>
      </c>
      <c r="J10865" s="18" t="n">
        <v>0</v>
      </c>
      <c r="K10865" s="19" t="n">
        <v>0</v>
      </c>
      <c r="L10865" s="17"/>
    </row>
    <row r="10866" s="11" customFormat="true" ht="10.95" hidden="false" customHeight="true" outlineLevel="0" collapsed="false">
      <c r="A10866" s="16" t="n">
        <v>45314</v>
      </c>
      <c r="B10866" s="17" t="s">
        <v>3861</v>
      </c>
      <c r="C10866" s="17" t="s">
        <v>3752</v>
      </c>
      <c r="D10866" s="17" t="s">
        <v>2895</v>
      </c>
      <c r="E10866" s="17" t="s">
        <v>3403</v>
      </c>
      <c r="F10866" s="17" t="s">
        <v>4233</v>
      </c>
      <c r="G10866" s="18" t="n">
        <v>1967.9</v>
      </c>
      <c r="H10866" s="18" t="n">
        <v>0</v>
      </c>
      <c r="I10866" s="18" t="n">
        <f aca="false">((I10865 + G10866) - H10866)</f>
        <v>27867.37</v>
      </c>
      <c r="J10866" s="18" t="n">
        <v>0</v>
      </c>
      <c r="K10866" s="19" t="n">
        <v>0</v>
      </c>
      <c r="L10866" s="17"/>
    </row>
    <row r="10867" s="11" customFormat="true" ht="10.95" hidden="false" customHeight="true" outlineLevel="0" collapsed="false">
      <c r="A10867" s="16" t="n">
        <v>45314</v>
      </c>
      <c r="B10867" s="17" t="s">
        <v>3861</v>
      </c>
      <c r="C10867" s="17" t="s">
        <v>3752</v>
      </c>
      <c r="D10867" s="17" t="s">
        <v>2895</v>
      </c>
      <c r="E10867" s="17" t="s">
        <v>3403</v>
      </c>
      <c r="F10867" s="17" t="s">
        <v>4234</v>
      </c>
      <c r="G10867" s="18" t="n">
        <v>310.2</v>
      </c>
      <c r="H10867" s="18" t="n">
        <v>0</v>
      </c>
      <c r="I10867" s="18" t="n">
        <f aca="false">((I10866 + G10867) - H10867)</f>
        <v>28177.57</v>
      </c>
      <c r="J10867" s="18" t="n">
        <v>0</v>
      </c>
      <c r="K10867" s="19" t="n">
        <v>0</v>
      </c>
      <c r="L10867" s="17"/>
    </row>
    <row r="10868" s="11" customFormat="true" ht="10.95" hidden="false" customHeight="true" outlineLevel="0" collapsed="false">
      <c r="A10868" s="16" t="n">
        <v>45314</v>
      </c>
      <c r="B10868" s="17" t="s">
        <v>3861</v>
      </c>
      <c r="C10868" s="17" t="s">
        <v>3752</v>
      </c>
      <c r="D10868" s="17" t="s">
        <v>2895</v>
      </c>
      <c r="E10868" s="17" t="s">
        <v>3403</v>
      </c>
      <c r="F10868" s="17" t="s">
        <v>4235</v>
      </c>
      <c r="G10868" s="18" t="n">
        <v>103.4</v>
      </c>
      <c r="H10868" s="18" t="n">
        <v>0</v>
      </c>
      <c r="I10868" s="18" t="n">
        <f aca="false">((I10867 + G10868) - H10868)</f>
        <v>28280.97</v>
      </c>
      <c r="J10868" s="18" t="n">
        <v>0</v>
      </c>
      <c r="K10868" s="19" t="n">
        <v>0</v>
      </c>
      <c r="L10868" s="17"/>
    </row>
    <row r="10869" s="11" customFormat="true" ht="10.95" hidden="false" customHeight="true" outlineLevel="0" collapsed="false">
      <c r="A10869" s="16" t="n">
        <v>45314</v>
      </c>
      <c r="B10869" s="17" t="s">
        <v>3861</v>
      </c>
      <c r="C10869" s="17" t="s">
        <v>3752</v>
      </c>
      <c r="D10869" s="17" t="s">
        <v>2895</v>
      </c>
      <c r="E10869" s="17" t="s">
        <v>3403</v>
      </c>
      <c r="F10869" s="17" t="s">
        <v>4236</v>
      </c>
      <c r="G10869" s="18" t="n">
        <v>1258.4</v>
      </c>
      <c r="H10869" s="18" t="n">
        <v>0</v>
      </c>
      <c r="I10869" s="18" t="n">
        <f aca="false">((I10868 + G10869) - H10869)</f>
        <v>29539.37</v>
      </c>
      <c r="J10869" s="18" t="n">
        <v>0</v>
      </c>
      <c r="K10869" s="19" t="n">
        <v>0</v>
      </c>
      <c r="L10869" s="17"/>
    </row>
    <row r="10870" s="11" customFormat="true" ht="10.95" hidden="false" customHeight="true" outlineLevel="0" collapsed="false">
      <c r="A10870" s="16" t="n">
        <v>45314</v>
      </c>
      <c r="B10870" s="17" t="s">
        <v>3861</v>
      </c>
      <c r="C10870" s="17" t="s">
        <v>3752</v>
      </c>
      <c r="D10870" s="17" t="s">
        <v>1407</v>
      </c>
      <c r="E10870" s="17" t="s">
        <v>3911</v>
      </c>
      <c r="F10870" s="17"/>
      <c r="G10870" s="18" t="n">
        <v>0</v>
      </c>
      <c r="H10870" s="18" t="n">
        <v>12.18</v>
      </c>
      <c r="I10870" s="18" t="n">
        <f aca="false">((I10869 + G10870) - H10870)</f>
        <v>29527.19</v>
      </c>
      <c r="J10870" s="18" t="n">
        <v>0</v>
      </c>
      <c r="K10870" s="19" t="n">
        <v>0</v>
      </c>
      <c r="L10870" s="17"/>
    </row>
    <row r="10871" s="11" customFormat="true" ht="10.95" hidden="false" customHeight="true" outlineLevel="0" collapsed="false">
      <c r="A10871" s="16" t="n">
        <v>45315</v>
      </c>
      <c r="B10871" s="17" t="s">
        <v>3861</v>
      </c>
      <c r="C10871" s="17" t="s">
        <v>3752</v>
      </c>
      <c r="D10871" s="17" t="s">
        <v>1407</v>
      </c>
      <c r="E10871" s="17" t="s">
        <v>3881</v>
      </c>
      <c r="F10871" s="17"/>
      <c r="G10871" s="18" t="n">
        <v>0</v>
      </c>
      <c r="H10871" s="18" t="n">
        <v>140</v>
      </c>
      <c r="I10871" s="18" t="n">
        <f aca="false">((I10870 + G10871) - H10871)</f>
        <v>29387.19</v>
      </c>
      <c r="J10871" s="18" t="n">
        <v>0</v>
      </c>
      <c r="K10871" s="19" t="n">
        <v>0</v>
      </c>
      <c r="L10871" s="17"/>
    </row>
    <row r="10872" s="11" customFormat="true" ht="10.95" hidden="false" customHeight="true" outlineLevel="0" collapsed="false">
      <c r="A10872" s="16" t="n">
        <v>45315</v>
      </c>
      <c r="B10872" s="17" t="s">
        <v>3861</v>
      </c>
      <c r="C10872" s="17" t="s">
        <v>3752</v>
      </c>
      <c r="D10872" s="17" t="s">
        <v>1407</v>
      </c>
      <c r="E10872" s="17" t="s">
        <v>3880</v>
      </c>
      <c r="F10872" s="17"/>
      <c r="G10872" s="18" t="n">
        <v>0</v>
      </c>
      <c r="H10872" s="18" t="n">
        <v>180</v>
      </c>
      <c r="I10872" s="18" t="n">
        <f aca="false">((I10871 + G10872) - H10872)</f>
        <v>29207.19</v>
      </c>
      <c r="J10872" s="18" t="n">
        <v>0</v>
      </c>
      <c r="K10872" s="19" t="n">
        <v>0</v>
      </c>
      <c r="L10872" s="17"/>
    </row>
    <row r="10873" s="11" customFormat="true" ht="10.95" hidden="false" customHeight="true" outlineLevel="0" collapsed="false">
      <c r="A10873" s="16" t="n">
        <v>45315</v>
      </c>
      <c r="B10873" s="17" t="s">
        <v>3861</v>
      </c>
      <c r="C10873" s="17" t="s">
        <v>3752</v>
      </c>
      <c r="D10873" s="17" t="s">
        <v>1407</v>
      </c>
      <c r="E10873" s="17" t="s">
        <v>3879</v>
      </c>
      <c r="F10873" s="17"/>
      <c r="G10873" s="18" t="n">
        <v>0</v>
      </c>
      <c r="H10873" s="18" t="n">
        <v>1207</v>
      </c>
      <c r="I10873" s="18" t="n">
        <f aca="false">((I10872 + G10873) - H10873)</f>
        <v>28000.19</v>
      </c>
      <c r="J10873" s="18" t="n">
        <v>0</v>
      </c>
      <c r="K10873" s="19" t="n">
        <v>0</v>
      </c>
      <c r="L10873" s="17"/>
    </row>
    <row r="10874" s="11" customFormat="true" ht="10.95" hidden="false" customHeight="true" outlineLevel="0" collapsed="false">
      <c r="A10874" s="16" t="n">
        <v>45315</v>
      </c>
      <c r="B10874" s="17" t="s">
        <v>3861</v>
      </c>
      <c r="C10874" s="17" t="s">
        <v>3752</v>
      </c>
      <c r="D10874" s="17" t="s">
        <v>1407</v>
      </c>
      <c r="E10874" s="17" t="s">
        <v>3880</v>
      </c>
      <c r="F10874" s="17"/>
      <c r="G10874" s="18" t="n">
        <v>0</v>
      </c>
      <c r="H10874" s="18" t="n">
        <v>1207</v>
      </c>
      <c r="I10874" s="18" t="n">
        <f aca="false">((I10873 + G10874) - H10874)</f>
        <v>26793.19</v>
      </c>
      <c r="J10874" s="18" t="n">
        <v>0</v>
      </c>
      <c r="K10874" s="19" t="n">
        <v>0</v>
      </c>
      <c r="L10874" s="17"/>
    </row>
    <row r="10875" s="11" customFormat="true" ht="10.95" hidden="false" customHeight="true" outlineLevel="0" collapsed="false">
      <c r="A10875" s="16" t="n">
        <v>45315</v>
      </c>
      <c r="B10875" s="17" t="s">
        <v>3861</v>
      </c>
      <c r="C10875" s="17" t="s">
        <v>3752</v>
      </c>
      <c r="D10875" s="17" t="s">
        <v>1407</v>
      </c>
      <c r="E10875" s="17" t="s">
        <v>3808</v>
      </c>
      <c r="F10875" s="17"/>
      <c r="G10875" s="18" t="n">
        <v>0</v>
      </c>
      <c r="H10875" s="18" t="n">
        <v>1705.92</v>
      </c>
      <c r="I10875" s="18" t="n">
        <f aca="false">((I10874 + G10875) - H10875)</f>
        <v>25087.27</v>
      </c>
      <c r="J10875" s="18" t="n">
        <v>0</v>
      </c>
      <c r="K10875" s="19" t="n">
        <v>0</v>
      </c>
      <c r="L10875" s="17"/>
    </row>
    <row r="10876" s="11" customFormat="true" ht="10.95" hidden="false" customHeight="true" outlineLevel="0" collapsed="false">
      <c r="A10876" s="16" t="n">
        <v>45315</v>
      </c>
      <c r="B10876" s="17" t="s">
        <v>3861</v>
      </c>
      <c r="C10876" s="17" t="s">
        <v>3752</v>
      </c>
      <c r="D10876" s="17" t="s">
        <v>1407</v>
      </c>
      <c r="E10876" s="17" t="s">
        <v>3863</v>
      </c>
      <c r="F10876" s="17"/>
      <c r="G10876" s="18" t="n">
        <v>0</v>
      </c>
      <c r="H10876" s="18" t="n">
        <v>1.1</v>
      </c>
      <c r="I10876" s="18" t="n">
        <f aca="false">((I10875 + G10876) - H10876)</f>
        <v>25086.17</v>
      </c>
      <c r="J10876" s="18" t="n">
        <v>0</v>
      </c>
      <c r="K10876" s="19" t="n">
        <v>0</v>
      </c>
      <c r="L10876" s="17"/>
    </row>
    <row r="10877" s="11" customFormat="true" ht="10.95" hidden="false" customHeight="true" outlineLevel="0" collapsed="false">
      <c r="A10877" s="16" t="n">
        <v>45315</v>
      </c>
      <c r="B10877" s="17" t="s">
        <v>3861</v>
      </c>
      <c r="C10877" s="17" t="s">
        <v>3752</v>
      </c>
      <c r="D10877" s="17" t="s">
        <v>1407</v>
      </c>
      <c r="E10877" s="17" t="s">
        <v>3863</v>
      </c>
      <c r="F10877" s="17"/>
      <c r="G10877" s="18" t="n">
        <v>0</v>
      </c>
      <c r="H10877" s="18" t="n">
        <v>2.35</v>
      </c>
      <c r="I10877" s="18" t="n">
        <f aca="false">((I10876 + G10877) - H10877)</f>
        <v>25083.82</v>
      </c>
      <c r="J10877" s="18" t="n">
        <v>0</v>
      </c>
      <c r="K10877" s="19" t="n">
        <v>0</v>
      </c>
      <c r="L10877" s="17"/>
    </row>
    <row r="10878" s="11" customFormat="true" ht="10.95" hidden="false" customHeight="true" outlineLevel="0" collapsed="false">
      <c r="A10878" s="16" t="n">
        <v>45315</v>
      </c>
      <c r="B10878" s="17" t="s">
        <v>3861</v>
      </c>
      <c r="C10878" s="17" t="s">
        <v>3752</v>
      </c>
      <c r="D10878" s="17" t="s">
        <v>1407</v>
      </c>
      <c r="E10878" s="17" t="s">
        <v>3836</v>
      </c>
      <c r="F10878" s="17"/>
      <c r="G10878" s="18" t="n">
        <v>0</v>
      </c>
      <c r="H10878" s="18" t="n">
        <v>9.94</v>
      </c>
      <c r="I10878" s="18" t="n">
        <f aca="false">((I10877 + G10878) - H10878)</f>
        <v>25073.88</v>
      </c>
      <c r="J10878" s="18" t="n">
        <v>0</v>
      </c>
      <c r="K10878" s="19" t="n">
        <v>0</v>
      </c>
      <c r="L10878" s="17"/>
    </row>
    <row r="10879" s="11" customFormat="true" ht="10.95" hidden="false" customHeight="true" outlineLevel="0" collapsed="false">
      <c r="A10879" s="16" t="n">
        <v>45315</v>
      </c>
      <c r="B10879" s="17" t="s">
        <v>3861</v>
      </c>
      <c r="C10879" s="17" t="s">
        <v>3752</v>
      </c>
      <c r="D10879" s="17" t="s">
        <v>1407</v>
      </c>
      <c r="E10879" s="17" t="s">
        <v>3863</v>
      </c>
      <c r="F10879" s="17"/>
      <c r="G10879" s="18" t="n">
        <v>0</v>
      </c>
      <c r="H10879" s="18" t="n">
        <v>11.69</v>
      </c>
      <c r="I10879" s="18" t="n">
        <f aca="false">((I10878 + G10879) - H10879)</f>
        <v>25062.19</v>
      </c>
      <c r="J10879" s="18" t="n">
        <v>0</v>
      </c>
      <c r="K10879" s="19" t="n">
        <v>0</v>
      </c>
      <c r="L10879" s="17"/>
    </row>
    <row r="10880" s="11" customFormat="true" ht="10.95" hidden="false" customHeight="true" outlineLevel="0" collapsed="false">
      <c r="A10880" s="16" t="n">
        <v>45315</v>
      </c>
      <c r="B10880" s="17" t="s">
        <v>3861</v>
      </c>
      <c r="C10880" s="17" t="s">
        <v>3752</v>
      </c>
      <c r="D10880" s="17" t="s">
        <v>1407</v>
      </c>
      <c r="E10880" s="17" t="s">
        <v>3795</v>
      </c>
      <c r="F10880" s="17"/>
      <c r="G10880" s="18" t="n">
        <v>0</v>
      </c>
      <c r="H10880" s="18" t="n">
        <v>17.83</v>
      </c>
      <c r="I10880" s="18" t="n">
        <f aca="false">((I10879 + G10880) - H10880)</f>
        <v>25044.36</v>
      </c>
      <c r="J10880" s="18" t="n">
        <v>0</v>
      </c>
      <c r="K10880" s="19" t="n">
        <v>0</v>
      </c>
      <c r="L10880" s="17"/>
    </row>
    <row r="10881" s="11" customFormat="true" ht="10.95" hidden="false" customHeight="true" outlineLevel="0" collapsed="false">
      <c r="A10881" s="16" t="n">
        <v>45315</v>
      </c>
      <c r="B10881" s="17" t="s">
        <v>3861</v>
      </c>
      <c r="C10881" s="17" t="s">
        <v>3752</v>
      </c>
      <c r="D10881" s="17" t="s">
        <v>1407</v>
      </c>
      <c r="E10881" s="17" t="s">
        <v>3621</v>
      </c>
      <c r="F10881" s="17"/>
      <c r="G10881" s="18" t="n">
        <v>0</v>
      </c>
      <c r="H10881" s="18" t="n">
        <v>104.95</v>
      </c>
      <c r="I10881" s="18" t="n">
        <f aca="false">((I10880 + G10881) - H10881)</f>
        <v>24939.41</v>
      </c>
      <c r="J10881" s="18" t="n">
        <v>0</v>
      </c>
      <c r="K10881" s="19" t="n">
        <v>0</v>
      </c>
      <c r="L10881" s="17"/>
    </row>
    <row r="10882" s="11" customFormat="true" ht="10.95" hidden="false" customHeight="true" outlineLevel="0" collapsed="false">
      <c r="A10882" s="16" t="n">
        <v>45315</v>
      </c>
      <c r="B10882" s="17" t="s">
        <v>3861</v>
      </c>
      <c r="C10882" s="17" t="s">
        <v>3752</v>
      </c>
      <c r="D10882" s="17" t="s">
        <v>1407</v>
      </c>
      <c r="E10882" s="17" t="s">
        <v>3863</v>
      </c>
      <c r="F10882" s="17"/>
      <c r="G10882" s="18" t="n">
        <v>0</v>
      </c>
      <c r="H10882" s="18" t="n">
        <v>0.37</v>
      </c>
      <c r="I10882" s="18" t="n">
        <f aca="false">((I10881 + G10882) - H10882)</f>
        <v>24939.04</v>
      </c>
      <c r="J10882" s="18" t="n">
        <v>0</v>
      </c>
      <c r="K10882" s="19" t="n">
        <v>0</v>
      </c>
      <c r="L10882" s="17"/>
    </row>
    <row r="10883" s="11" customFormat="true" ht="10.95" hidden="false" customHeight="true" outlineLevel="0" collapsed="false">
      <c r="A10883" s="16" t="n">
        <v>45315</v>
      </c>
      <c r="B10883" s="17" t="s">
        <v>3861</v>
      </c>
      <c r="C10883" s="17" t="s">
        <v>3752</v>
      </c>
      <c r="D10883" s="17" t="s">
        <v>1407</v>
      </c>
      <c r="E10883" s="17" t="s">
        <v>3863</v>
      </c>
      <c r="F10883" s="17"/>
      <c r="G10883" s="18" t="n">
        <v>0</v>
      </c>
      <c r="H10883" s="18" t="n">
        <v>0.53</v>
      </c>
      <c r="I10883" s="18" t="n">
        <f aca="false">((I10882 + G10883) - H10883)</f>
        <v>24938.51</v>
      </c>
      <c r="J10883" s="18" t="n">
        <v>0</v>
      </c>
      <c r="K10883" s="19" t="n">
        <v>0</v>
      </c>
      <c r="L10883" s="17"/>
    </row>
    <row r="10884" s="11" customFormat="true" ht="10.95" hidden="false" customHeight="true" outlineLevel="0" collapsed="false">
      <c r="A10884" s="16" t="n">
        <v>45315</v>
      </c>
      <c r="B10884" s="17" t="s">
        <v>3861</v>
      </c>
      <c r="C10884" s="17" t="s">
        <v>3752</v>
      </c>
      <c r="D10884" s="17" t="s">
        <v>1407</v>
      </c>
      <c r="E10884" s="17" t="s">
        <v>3863</v>
      </c>
      <c r="F10884" s="17"/>
      <c r="G10884" s="18" t="n">
        <v>0</v>
      </c>
      <c r="H10884" s="18" t="n">
        <v>0.3</v>
      </c>
      <c r="I10884" s="18" t="n">
        <f aca="false">((I10883 + G10884) - H10884)</f>
        <v>24938.21</v>
      </c>
      <c r="J10884" s="18" t="n">
        <v>0</v>
      </c>
      <c r="K10884" s="19" t="n">
        <v>0</v>
      </c>
      <c r="L10884" s="17"/>
    </row>
    <row r="10885" s="11" customFormat="true" ht="10.95" hidden="false" customHeight="true" outlineLevel="0" collapsed="false">
      <c r="A10885" s="16" t="n">
        <v>45315</v>
      </c>
      <c r="B10885" s="17" t="s">
        <v>3861</v>
      </c>
      <c r="C10885" s="17" t="s">
        <v>3752</v>
      </c>
      <c r="D10885" s="17" t="s">
        <v>1407</v>
      </c>
      <c r="E10885" s="17" t="s">
        <v>3907</v>
      </c>
      <c r="F10885" s="17"/>
      <c r="G10885" s="18" t="n">
        <v>0</v>
      </c>
      <c r="H10885" s="18" t="n">
        <v>19.49</v>
      </c>
      <c r="I10885" s="18" t="n">
        <f aca="false">((I10884 + G10885) - H10885)</f>
        <v>24918.72</v>
      </c>
      <c r="J10885" s="18" t="n">
        <v>0</v>
      </c>
      <c r="K10885" s="19" t="n">
        <v>0</v>
      </c>
      <c r="L10885" s="17"/>
    </row>
    <row r="10886" s="11" customFormat="true" ht="10.95" hidden="false" customHeight="true" outlineLevel="0" collapsed="false">
      <c r="A10886" s="16" t="n">
        <v>45315</v>
      </c>
      <c r="B10886" s="17" t="s">
        <v>3861</v>
      </c>
      <c r="C10886" s="17" t="s">
        <v>3752</v>
      </c>
      <c r="D10886" s="17" t="s">
        <v>1407</v>
      </c>
      <c r="E10886" s="17" t="s">
        <v>4237</v>
      </c>
      <c r="F10886" s="17"/>
      <c r="G10886" s="18" t="n">
        <v>0</v>
      </c>
      <c r="H10886" s="18" t="n">
        <v>36.55</v>
      </c>
      <c r="I10886" s="18" t="n">
        <f aca="false">((I10885 + G10886) - H10886)</f>
        <v>24882.17</v>
      </c>
      <c r="J10886" s="18" t="n">
        <v>0</v>
      </c>
      <c r="K10886" s="19" t="n">
        <v>0</v>
      </c>
      <c r="L10886" s="17"/>
    </row>
    <row r="10887" s="11" customFormat="true" ht="10.95" hidden="false" customHeight="true" outlineLevel="0" collapsed="false">
      <c r="A10887" s="16" t="n">
        <v>45315</v>
      </c>
      <c r="B10887" s="17" t="s">
        <v>3861</v>
      </c>
      <c r="C10887" s="17" t="s">
        <v>3752</v>
      </c>
      <c r="D10887" s="17" t="s">
        <v>1407</v>
      </c>
      <c r="E10887" s="17" t="s">
        <v>4238</v>
      </c>
      <c r="F10887" s="17"/>
      <c r="G10887" s="18" t="n">
        <v>0</v>
      </c>
      <c r="H10887" s="18" t="n">
        <v>389.59</v>
      </c>
      <c r="I10887" s="18" t="n">
        <f aca="false">((I10886 + G10887) - H10887)</f>
        <v>24492.58</v>
      </c>
      <c r="J10887" s="18" t="n">
        <v>0</v>
      </c>
      <c r="K10887" s="19" t="n">
        <v>0</v>
      </c>
      <c r="L10887" s="17"/>
    </row>
    <row r="10888" s="11" customFormat="true" ht="10.95" hidden="false" customHeight="true" outlineLevel="0" collapsed="false">
      <c r="A10888" s="16" t="n">
        <v>45315</v>
      </c>
      <c r="B10888" s="17" t="s">
        <v>3861</v>
      </c>
      <c r="C10888" s="17" t="s">
        <v>3752</v>
      </c>
      <c r="D10888" s="17" t="s">
        <v>1407</v>
      </c>
      <c r="E10888" s="17" t="s">
        <v>3808</v>
      </c>
      <c r="F10888" s="17"/>
      <c r="G10888" s="18" t="n">
        <v>0</v>
      </c>
      <c r="H10888" s="18" t="n">
        <v>78.29</v>
      </c>
      <c r="I10888" s="18" t="n">
        <f aca="false">((I10887 + G10888) - H10888)</f>
        <v>24414.29</v>
      </c>
      <c r="J10888" s="18" t="n">
        <v>0</v>
      </c>
      <c r="K10888" s="19" t="n">
        <v>0</v>
      </c>
      <c r="L10888" s="17"/>
    </row>
    <row r="10889" s="11" customFormat="true" ht="10.95" hidden="false" customHeight="true" outlineLevel="0" collapsed="false">
      <c r="A10889" s="16" t="n">
        <v>45315</v>
      </c>
      <c r="B10889" s="17" t="s">
        <v>3861</v>
      </c>
      <c r="C10889" s="17" t="s">
        <v>3752</v>
      </c>
      <c r="D10889" s="17" t="s">
        <v>1407</v>
      </c>
      <c r="E10889" s="17" t="s">
        <v>3911</v>
      </c>
      <c r="F10889" s="17"/>
      <c r="G10889" s="18" t="n">
        <v>0</v>
      </c>
      <c r="H10889" s="18" t="n">
        <v>12.18</v>
      </c>
      <c r="I10889" s="18" t="n">
        <f aca="false">((I10888 + G10889) - H10889)</f>
        <v>24402.11</v>
      </c>
      <c r="J10889" s="18" t="n">
        <v>0</v>
      </c>
      <c r="K10889" s="19" t="n">
        <v>0</v>
      </c>
      <c r="L10889" s="17"/>
    </row>
    <row r="10890" s="11" customFormat="true" ht="10.95" hidden="false" customHeight="true" outlineLevel="0" collapsed="false">
      <c r="A10890" s="16" t="n">
        <v>45316</v>
      </c>
      <c r="B10890" s="17" t="s">
        <v>3861</v>
      </c>
      <c r="C10890" s="17" t="s">
        <v>3752</v>
      </c>
      <c r="D10890" s="17" t="s">
        <v>2895</v>
      </c>
      <c r="E10890" s="17" t="s">
        <v>2900</v>
      </c>
      <c r="F10890" s="17" t="s">
        <v>3037</v>
      </c>
      <c r="G10890" s="18" t="n">
        <v>263</v>
      </c>
      <c r="H10890" s="18" t="n">
        <v>0</v>
      </c>
      <c r="I10890" s="18" t="n">
        <f aca="false">((I10889 + G10890) - H10890)</f>
        <v>24665.11</v>
      </c>
      <c r="J10890" s="18" t="n">
        <v>0</v>
      </c>
      <c r="K10890" s="19" t="n">
        <v>0</v>
      </c>
      <c r="L10890" s="17"/>
    </row>
    <row r="10891" s="11" customFormat="true" ht="10.95" hidden="false" customHeight="true" outlineLevel="0" collapsed="false">
      <c r="A10891" s="16" t="n">
        <v>45316</v>
      </c>
      <c r="B10891" s="17" t="s">
        <v>3861</v>
      </c>
      <c r="C10891" s="17" t="s">
        <v>3752</v>
      </c>
      <c r="D10891" s="17" t="s">
        <v>2895</v>
      </c>
      <c r="E10891" s="17" t="s">
        <v>3480</v>
      </c>
      <c r="F10891" s="17" t="s">
        <v>4239</v>
      </c>
      <c r="G10891" s="18" t="n">
        <v>180</v>
      </c>
      <c r="H10891" s="18" t="n">
        <v>0</v>
      </c>
      <c r="I10891" s="18" t="n">
        <f aca="false">((I10890 + G10891) - H10891)</f>
        <v>24845.11</v>
      </c>
      <c r="J10891" s="18" t="n">
        <v>0</v>
      </c>
      <c r="K10891" s="19" t="n">
        <v>0</v>
      </c>
      <c r="L10891" s="17"/>
    </row>
    <row r="10892" s="11" customFormat="true" ht="10.95" hidden="false" customHeight="true" outlineLevel="0" collapsed="false">
      <c r="A10892" s="16" t="n">
        <v>45316</v>
      </c>
      <c r="B10892" s="17" t="s">
        <v>3861</v>
      </c>
      <c r="C10892" s="17" t="s">
        <v>3752</v>
      </c>
      <c r="D10892" s="17" t="s">
        <v>2895</v>
      </c>
      <c r="E10892" s="17" t="s">
        <v>3453</v>
      </c>
      <c r="F10892" s="17" t="s">
        <v>4240</v>
      </c>
      <c r="G10892" s="18" t="n">
        <v>93.5</v>
      </c>
      <c r="H10892" s="18" t="n">
        <v>0</v>
      </c>
      <c r="I10892" s="18" t="n">
        <f aca="false">((I10891 + G10892) - H10892)</f>
        <v>24938.61</v>
      </c>
      <c r="J10892" s="18" t="n">
        <v>0</v>
      </c>
      <c r="K10892" s="19" t="n">
        <v>0</v>
      </c>
      <c r="L10892" s="17"/>
    </row>
    <row r="10893" s="11" customFormat="true" ht="10.95" hidden="false" customHeight="true" outlineLevel="0" collapsed="false">
      <c r="A10893" s="16" t="n">
        <v>45316</v>
      </c>
      <c r="B10893" s="17" t="s">
        <v>3861</v>
      </c>
      <c r="C10893" s="17" t="s">
        <v>3752</v>
      </c>
      <c r="D10893" s="17" t="s">
        <v>2895</v>
      </c>
      <c r="E10893" s="17" t="s">
        <v>2910</v>
      </c>
      <c r="F10893" s="17" t="s">
        <v>3038</v>
      </c>
      <c r="G10893" s="18" t="n">
        <v>32225.68</v>
      </c>
      <c r="H10893" s="18" t="n">
        <v>0</v>
      </c>
      <c r="I10893" s="18" t="n">
        <f aca="false">((I10892 + G10893) - H10893)</f>
        <v>57164.29</v>
      </c>
      <c r="J10893" s="18" t="n">
        <v>0</v>
      </c>
      <c r="K10893" s="19" t="n">
        <v>0</v>
      </c>
      <c r="L10893" s="17"/>
    </row>
    <row r="10894" s="11" customFormat="true" ht="10.95" hidden="false" customHeight="true" outlineLevel="0" collapsed="false">
      <c r="A10894" s="16" t="n">
        <v>45316</v>
      </c>
      <c r="B10894" s="17" t="s">
        <v>3861</v>
      </c>
      <c r="C10894" s="17" t="s">
        <v>3752</v>
      </c>
      <c r="D10894" s="17" t="s">
        <v>2895</v>
      </c>
      <c r="E10894" s="17" t="s">
        <v>2910</v>
      </c>
      <c r="F10894" s="17" t="s">
        <v>3039</v>
      </c>
      <c r="G10894" s="18" t="n">
        <v>16380.03</v>
      </c>
      <c r="H10894" s="18" t="n">
        <v>0</v>
      </c>
      <c r="I10894" s="18" t="n">
        <f aca="false">((I10893 + G10894) - H10894)</f>
        <v>73544.32</v>
      </c>
      <c r="J10894" s="18" t="n">
        <v>0</v>
      </c>
      <c r="K10894" s="19" t="n">
        <v>0</v>
      </c>
      <c r="L10894" s="17"/>
    </row>
    <row r="10895" s="11" customFormat="true" ht="10.95" hidden="false" customHeight="true" outlineLevel="0" collapsed="false">
      <c r="A10895" s="16" t="n">
        <v>45316</v>
      </c>
      <c r="B10895" s="17" t="s">
        <v>3861</v>
      </c>
      <c r="C10895" s="17" t="s">
        <v>3752</v>
      </c>
      <c r="D10895" s="17" t="s">
        <v>1407</v>
      </c>
      <c r="E10895" s="17" t="s">
        <v>3770</v>
      </c>
      <c r="F10895" s="17"/>
      <c r="G10895" s="18" t="n">
        <v>0</v>
      </c>
      <c r="H10895" s="18" t="n">
        <v>22.99</v>
      </c>
      <c r="I10895" s="18" t="n">
        <f aca="false">((I10894 + G10895) - H10895)</f>
        <v>73521.33</v>
      </c>
      <c r="J10895" s="18" t="n">
        <v>0</v>
      </c>
      <c r="K10895" s="19" t="n">
        <v>0</v>
      </c>
      <c r="L10895" s="17"/>
    </row>
    <row r="10896" s="11" customFormat="true" ht="10.95" hidden="false" customHeight="true" outlineLevel="0" collapsed="false">
      <c r="A10896" s="16" t="n">
        <v>45316</v>
      </c>
      <c r="B10896" s="17" t="s">
        <v>3861</v>
      </c>
      <c r="C10896" s="17" t="s">
        <v>3752</v>
      </c>
      <c r="D10896" s="17" t="s">
        <v>3753</v>
      </c>
      <c r="E10896" s="17" t="s">
        <v>4060</v>
      </c>
      <c r="F10896" s="17" t="s">
        <v>4061</v>
      </c>
      <c r="G10896" s="18" t="n">
        <v>0</v>
      </c>
      <c r="H10896" s="18" t="n">
        <v>4646.84</v>
      </c>
      <c r="I10896" s="18" t="n">
        <f aca="false">((I10895 + G10896) - H10896)</f>
        <v>68874.49</v>
      </c>
      <c r="J10896" s="18" t="n">
        <v>0</v>
      </c>
      <c r="K10896" s="19" t="n">
        <v>0</v>
      </c>
      <c r="L10896" s="17"/>
    </row>
    <row r="10897" s="11" customFormat="true" ht="10.95" hidden="false" customHeight="true" outlineLevel="0" collapsed="false">
      <c r="A10897" s="16" t="n">
        <v>45316</v>
      </c>
      <c r="B10897" s="17" t="s">
        <v>3861</v>
      </c>
      <c r="C10897" s="17" t="s">
        <v>3752</v>
      </c>
      <c r="D10897" s="17" t="s">
        <v>1407</v>
      </c>
      <c r="E10897" s="17" t="s">
        <v>1583</v>
      </c>
      <c r="F10897" s="17"/>
      <c r="G10897" s="18" t="n">
        <v>0</v>
      </c>
      <c r="H10897" s="18" t="n">
        <v>49</v>
      </c>
      <c r="I10897" s="18" t="n">
        <f aca="false">((I10896 + G10897) - H10897)</f>
        <v>68825.49</v>
      </c>
      <c r="J10897" s="18" t="n">
        <v>0</v>
      </c>
      <c r="K10897" s="19" t="n">
        <v>0</v>
      </c>
      <c r="L10897" s="17"/>
    </row>
    <row r="10898" s="11" customFormat="true" ht="10.95" hidden="false" customHeight="true" outlineLevel="0" collapsed="false">
      <c r="A10898" s="16" t="n">
        <v>45317</v>
      </c>
      <c r="B10898" s="17" t="s">
        <v>3861</v>
      </c>
      <c r="C10898" s="17" t="s">
        <v>3752</v>
      </c>
      <c r="D10898" s="17" t="s">
        <v>1276</v>
      </c>
      <c r="E10898" s="17" t="s">
        <v>3414</v>
      </c>
      <c r="F10898" s="17" t="s">
        <v>1348</v>
      </c>
      <c r="G10898" s="18" t="n">
        <v>57.43</v>
      </c>
      <c r="H10898" s="18" t="n">
        <v>0</v>
      </c>
      <c r="I10898" s="18" t="n">
        <f aca="false">((I10897 + G10898) - H10898)</f>
        <v>68882.92</v>
      </c>
      <c r="J10898" s="18" t="n">
        <v>0</v>
      </c>
      <c r="K10898" s="19" t="n">
        <v>0</v>
      </c>
      <c r="L10898" s="17"/>
    </row>
    <row r="10899" s="11" customFormat="true" ht="10.95" hidden="false" customHeight="true" outlineLevel="0" collapsed="false">
      <c r="A10899" s="16" t="n">
        <v>45317</v>
      </c>
      <c r="B10899" s="17" t="s">
        <v>3861</v>
      </c>
      <c r="C10899" s="17" t="s">
        <v>3752</v>
      </c>
      <c r="D10899" s="17" t="s">
        <v>1407</v>
      </c>
      <c r="E10899" s="17" t="s">
        <v>3863</v>
      </c>
      <c r="F10899" s="17"/>
      <c r="G10899" s="18" t="n">
        <v>0</v>
      </c>
      <c r="H10899" s="18" t="n">
        <v>0.17</v>
      </c>
      <c r="I10899" s="18" t="n">
        <f aca="false">((I10898 + G10899) - H10899)</f>
        <v>68882.75</v>
      </c>
      <c r="J10899" s="18" t="n">
        <v>0</v>
      </c>
      <c r="K10899" s="19" t="n">
        <v>0</v>
      </c>
      <c r="L10899" s="17"/>
    </row>
    <row r="10900" s="11" customFormat="true" ht="10.95" hidden="false" customHeight="true" outlineLevel="0" collapsed="false">
      <c r="A10900" s="16" t="n">
        <v>45317</v>
      </c>
      <c r="B10900" s="17" t="s">
        <v>3861</v>
      </c>
      <c r="C10900" s="17" t="s">
        <v>3752</v>
      </c>
      <c r="D10900" s="17" t="s">
        <v>1407</v>
      </c>
      <c r="E10900" s="17" t="s">
        <v>3863</v>
      </c>
      <c r="F10900" s="17"/>
      <c r="G10900" s="18" t="n">
        <v>0</v>
      </c>
      <c r="H10900" s="18" t="n">
        <v>0.29</v>
      </c>
      <c r="I10900" s="18" t="n">
        <f aca="false">((I10899 + G10900) - H10900)</f>
        <v>68882.46</v>
      </c>
      <c r="J10900" s="18" t="n">
        <v>0</v>
      </c>
      <c r="K10900" s="19" t="n">
        <v>0</v>
      </c>
      <c r="L10900" s="17"/>
    </row>
    <row r="10901" s="11" customFormat="true" ht="10.95" hidden="false" customHeight="true" outlineLevel="0" collapsed="false">
      <c r="A10901" s="16" t="n">
        <v>45317</v>
      </c>
      <c r="B10901" s="17" t="s">
        <v>3861</v>
      </c>
      <c r="C10901" s="17" t="s">
        <v>3752</v>
      </c>
      <c r="D10901" s="17" t="s">
        <v>1407</v>
      </c>
      <c r="E10901" s="17" t="s">
        <v>3863</v>
      </c>
      <c r="F10901" s="17"/>
      <c r="G10901" s="18" t="n">
        <v>0</v>
      </c>
      <c r="H10901" s="18" t="n">
        <v>0.37</v>
      </c>
      <c r="I10901" s="18" t="n">
        <f aca="false">((I10900 + G10901) - H10901)</f>
        <v>68882.09</v>
      </c>
      <c r="J10901" s="18" t="n">
        <v>0</v>
      </c>
      <c r="K10901" s="19" t="n">
        <v>0</v>
      </c>
      <c r="L10901" s="17"/>
    </row>
    <row r="10902" s="11" customFormat="true" ht="10.95" hidden="false" customHeight="true" outlineLevel="0" collapsed="false">
      <c r="A10902" s="16" t="n">
        <v>45317</v>
      </c>
      <c r="B10902" s="17" t="s">
        <v>3861</v>
      </c>
      <c r="C10902" s="17" t="s">
        <v>3752</v>
      </c>
      <c r="D10902" s="17" t="s">
        <v>1407</v>
      </c>
      <c r="E10902" s="17" t="s">
        <v>3863</v>
      </c>
      <c r="F10902" s="17"/>
      <c r="G10902" s="18" t="n">
        <v>0</v>
      </c>
      <c r="H10902" s="18" t="n">
        <v>0.51</v>
      </c>
      <c r="I10902" s="18" t="n">
        <f aca="false">((I10901 + G10902) - H10902)</f>
        <v>68881.58</v>
      </c>
      <c r="J10902" s="18" t="n">
        <v>0</v>
      </c>
      <c r="K10902" s="19" t="n">
        <v>0</v>
      </c>
      <c r="L10902" s="17"/>
    </row>
    <row r="10903" s="11" customFormat="true" ht="10.95" hidden="false" customHeight="true" outlineLevel="0" collapsed="false">
      <c r="A10903" s="16" t="n">
        <v>45317</v>
      </c>
      <c r="B10903" s="17" t="s">
        <v>3861</v>
      </c>
      <c r="C10903" s="17" t="s">
        <v>3752</v>
      </c>
      <c r="D10903" s="17" t="s">
        <v>1407</v>
      </c>
      <c r="E10903" s="17" t="s">
        <v>3863</v>
      </c>
      <c r="F10903" s="17"/>
      <c r="G10903" s="18" t="n">
        <v>0</v>
      </c>
      <c r="H10903" s="18" t="n">
        <v>5.89</v>
      </c>
      <c r="I10903" s="18" t="n">
        <f aca="false">((I10902 + G10903) - H10903)</f>
        <v>68875.69</v>
      </c>
      <c r="J10903" s="18" t="n">
        <v>0</v>
      </c>
      <c r="K10903" s="19" t="n">
        <v>0</v>
      </c>
      <c r="L10903" s="17"/>
    </row>
    <row r="10904" s="11" customFormat="true" ht="10.95" hidden="false" customHeight="true" outlineLevel="0" collapsed="false">
      <c r="A10904" s="16" t="n">
        <v>45317</v>
      </c>
      <c r="B10904" s="17" t="s">
        <v>3861</v>
      </c>
      <c r="C10904" s="17" t="s">
        <v>3752</v>
      </c>
      <c r="D10904" s="17" t="s">
        <v>1407</v>
      </c>
      <c r="E10904" s="17" t="s">
        <v>3863</v>
      </c>
      <c r="F10904" s="17"/>
      <c r="G10904" s="18" t="n">
        <v>0</v>
      </c>
      <c r="H10904" s="18" t="n">
        <v>6.4</v>
      </c>
      <c r="I10904" s="18" t="n">
        <f aca="false">((I10903 + G10904) - H10904)</f>
        <v>68869.29</v>
      </c>
      <c r="J10904" s="18" t="n">
        <v>0</v>
      </c>
      <c r="K10904" s="19" t="n">
        <v>0</v>
      </c>
      <c r="L10904" s="17"/>
    </row>
    <row r="10905" s="11" customFormat="true" ht="10.95" hidden="false" customHeight="true" outlineLevel="0" collapsed="false">
      <c r="A10905" s="16" t="n">
        <v>45317</v>
      </c>
      <c r="B10905" s="17" t="s">
        <v>3861</v>
      </c>
      <c r="C10905" s="17" t="s">
        <v>3752</v>
      </c>
      <c r="D10905" s="17" t="s">
        <v>1407</v>
      </c>
      <c r="E10905" s="17" t="s">
        <v>3795</v>
      </c>
      <c r="F10905" s="17"/>
      <c r="G10905" s="18" t="n">
        <v>0</v>
      </c>
      <c r="H10905" s="18" t="n">
        <v>17.16</v>
      </c>
      <c r="I10905" s="18" t="n">
        <f aca="false">((I10904 + G10905) - H10905)</f>
        <v>68852.13</v>
      </c>
      <c r="J10905" s="18" t="n">
        <v>0</v>
      </c>
      <c r="K10905" s="19" t="n">
        <v>0</v>
      </c>
      <c r="L10905" s="17"/>
    </row>
    <row r="10906" s="11" customFormat="true" ht="10.95" hidden="false" customHeight="true" outlineLevel="0" collapsed="false">
      <c r="A10906" s="16" t="n">
        <v>45317</v>
      </c>
      <c r="B10906" s="17" t="s">
        <v>3861</v>
      </c>
      <c r="C10906" s="17" t="s">
        <v>3752</v>
      </c>
      <c r="D10906" s="17" t="s">
        <v>3753</v>
      </c>
      <c r="E10906" s="17" t="s">
        <v>3806</v>
      </c>
      <c r="F10906" s="17"/>
      <c r="G10906" s="18" t="n">
        <v>0</v>
      </c>
      <c r="H10906" s="18" t="n">
        <v>18491.34</v>
      </c>
      <c r="I10906" s="18" t="n">
        <f aca="false">((I10905 + G10906) - H10906)</f>
        <v>50360.79</v>
      </c>
      <c r="J10906" s="18" t="n">
        <v>0</v>
      </c>
      <c r="K10906" s="19" t="n">
        <v>0</v>
      </c>
      <c r="L10906" s="17"/>
    </row>
    <row r="10907" s="11" customFormat="true" ht="10.95" hidden="false" customHeight="true" outlineLevel="0" collapsed="false">
      <c r="A10907" s="16" t="n">
        <v>45317</v>
      </c>
      <c r="B10907" s="17" t="s">
        <v>3861</v>
      </c>
      <c r="C10907" s="17" t="s">
        <v>3752</v>
      </c>
      <c r="D10907" s="17" t="s">
        <v>1407</v>
      </c>
      <c r="E10907" s="17" t="s">
        <v>3782</v>
      </c>
      <c r="F10907" s="17"/>
      <c r="G10907" s="18" t="n">
        <v>0</v>
      </c>
      <c r="H10907" s="18" t="n">
        <v>9.81</v>
      </c>
      <c r="I10907" s="18" t="n">
        <f aca="false">((I10906 + G10907) - H10907)</f>
        <v>50350.98</v>
      </c>
      <c r="J10907" s="18" t="n">
        <v>0</v>
      </c>
      <c r="K10907" s="19" t="n">
        <v>0</v>
      </c>
      <c r="L10907" s="17"/>
    </row>
    <row r="10908" s="11" customFormat="true" ht="10.95" hidden="false" customHeight="true" outlineLevel="0" collapsed="false">
      <c r="A10908" s="16" t="n">
        <v>45317</v>
      </c>
      <c r="B10908" s="17" t="s">
        <v>3861</v>
      </c>
      <c r="C10908" s="17" t="s">
        <v>3752</v>
      </c>
      <c r="D10908" s="17" t="s">
        <v>1407</v>
      </c>
      <c r="E10908" s="17" t="s">
        <v>3808</v>
      </c>
      <c r="F10908" s="17"/>
      <c r="G10908" s="18" t="n">
        <v>0</v>
      </c>
      <c r="H10908" s="18" t="n">
        <v>5.57</v>
      </c>
      <c r="I10908" s="18" t="n">
        <f aca="false">((I10907 + G10908) - H10908)</f>
        <v>50345.41</v>
      </c>
      <c r="J10908" s="18" t="n">
        <v>0</v>
      </c>
      <c r="K10908" s="19" t="n">
        <v>0</v>
      </c>
      <c r="L10908" s="17"/>
    </row>
    <row r="10909" s="11" customFormat="true" ht="10.95" hidden="false" customHeight="true" outlineLevel="0" collapsed="false">
      <c r="A10909" s="16" t="n">
        <v>45317</v>
      </c>
      <c r="B10909" s="17" t="s">
        <v>3861</v>
      </c>
      <c r="C10909" s="17" t="s">
        <v>3752</v>
      </c>
      <c r="D10909" s="17" t="s">
        <v>1407</v>
      </c>
      <c r="E10909" s="17" t="s">
        <v>4241</v>
      </c>
      <c r="F10909" s="17"/>
      <c r="G10909" s="18" t="n">
        <v>0</v>
      </c>
      <c r="H10909" s="18" t="n">
        <v>196.46</v>
      </c>
      <c r="I10909" s="18" t="n">
        <f aca="false">((I10908 + G10909) - H10909)</f>
        <v>50148.95</v>
      </c>
      <c r="J10909" s="18" t="n">
        <v>0</v>
      </c>
      <c r="K10909" s="19" t="n">
        <v>0</v>
      </c>
      <c r="L10909" s="17"/>
    </row>
    <row r="10910" s="11" customFormat="true" ht="10.95" hidden="false" customHeight="true" outlineLevel="0" collapsed="false">
      <c r="A10910" s="16" t="n">
        <v>45317</v>
      </c>
      <c r="B10910" s="17" t="s">
        <v>3861</v>
      </c>
      <c r="C10910" s="17" t="s">
        <v>3752</v>
      </c>
      <c r="D10910" s="17" t="s">
        <v>1407</v>
      </c>
      <c r="E10910" s="17" t="s">
        <v>3808</v>
      </c>
      <c r="F10910" s="17"/>
      <c r="G10910" s="18" t="n">
        <v>0</v>
      </c>
      <c r="H10910" s="18" t="n">
        <v>213.27</v>
      </c>
      <c r="I10910" s="18" t="n">
        <f aca="false">((I10909 + G10910) - H10910)</f>
        <v>49935.68</v>
      </c>
      <c r="J10910" s="18" t="n">
        <v>0</v>
      </c>
      <c r="K10910" s="19" t="n">
        <v>0</v>
      </c>
      <c r="L10910" s="17"/>
    </row>
    <row r="10911" s="11" customFormat="true" ht="10.95" hidden="false" customHeight="true" outlineLevel="0" collapsed="false">
      <c r="A10911" s="16" t="n">
        <v>45317</v>
      </c>
      <c r="B10911" s="17" t="s">
        <v>3861</v>
      </c>
      <c r="C10911" s="17" t="s">
        <v>3752</v>
      </c>
      <c r="D10911" s="17" t="s">
        <v>1407</v>
      </c>
      <c r="E10911" s="17" t="s">
        <v>3911</v>
      </c>
      <c r="F10911" s="17"/>
      <c r="G10911" s="18" t="n">
        <v>0</v>
      </c>
      <c r="H10911" s="18" t="n">
        <v>12.17</v>
      </c>
      <c r="I10911" s="18" t="n">
        <f aca="false">((I10910 + G10911) - H10911)</f>
        <v>49923.51</v>
      </c>
      <c r="J10911" s="18" t="n">
        <v>0</v>
      </c>
      <c r="K10911" s="19" t="n">
        <v>0</v>
      </c>
      <c r="L10911" s="17"/>
    </row>
    <row r="10912" s="11" customFormat="true" ht="10.95" hidden="false" customHeight="true" outlineLevel="0" collapsed="false">
      <c r="A10912" s="16" t="n">
        <v>45319</v>
      </c>
      <c r="B10912" s="17" t="s">
        <v>3861</v>
      </c>
      <c r="C10912" s="17" t="s">
        <v>3752</v>
      </c>
      <c r="D10912" s="17" t="s">
        <v>1407</v>
      </c>
      <c r="E10912" s="17" t="s">
        <v>3880</v>
      </c>
      <c r="F10912" s="17"/>
      <c r="G10912" s="18" t="n">
        <v>0</v>
      </c>
      <c r="H10912" s="18" t="n">
        <v>200</v>
      </c>
      <c r="I10912" s="18" t="n">
        <f aca="false">((I10911 + G10912) - H10912)</f>
        <v>49723.51</v>
      </c>
      <c r="J10912" s="18" t="n">
        <v>0</v>
      </c>
      <c r="K10912" s="19" t="n">
        <v>0</v>
      </c>
      <c r="L10912" s="17"/>
    </row>
    <row r="10913" s="11" customFormat="true" ht="10.95" hidden="false" customHeight="true" outlineLevel="0" collapsed="false">
      <c r="A10913" s="16" t="n">
        <v>45320</v>
      </c>
      <c r="B10913" s="17" t="s">
        <v>3861</v>
      </c>
      <c r="C10913" s="17" t="s">
        <v>3752</v>
      </c>
      <c r="D10913" s="17" t="s">
        <v>1276</v>
      </c>
      <c r="E10913" s="17" t="s">
        <v>3428</v>
      </c>
      <c r="F10913" s="17" t="s">
        <v>1350</v>
      </c>
      <c r="G10913" s="18" t="n">
        <v>22.13</v>
      </c>
      <c r="H10913" s="18" t="n">
        <v>0</v>
      </c>
      <c r="I10913" s="18" t="n">
        <f aca="false">((I10912 + G10913) - H10913)</f>
        <v>49745.64</v>
      </c>
      <c r="J10913" s="18" t="n">
        <v>0</v>
      </c>
      <c r="K10913" s="19" t="n">
        <v>0</v>
      </c>
      <c r="L10913" s="17"/>
    </row>
    <row r="10914" s="11" customFormat="true" ht="10.95" hidden="false" customHeight="true" outlineLevel="0" collapsed="false">
      <c r="A10914" s="16" t="n">
        <v>45320</v>
      </c>
      <c r="B10914" s="17" t="s">
        <v>3861</v>
      </c>
      <c r="C10914" s="17" t="s">
        <v>3752</v>
      </c>
      <c r="D10914" s="17" t="s">
        <v>1407</v>
      </c>
      <c r="E10914" s="17" t="s">
        <v>4242</v>
      </c>
      <c r="F10914" s="17"/>
      <c r="G10914" s="18" t="n">
        <v>0</v>
      </c>
      <c r="H10914" s="18" t="n">
        <v>60.25</v>
      </c>
      <c r="I10914" s="18" t="n">
        <f aca="false">((I10913 + G10914) - H10914)</f>
        <v>49685.39</v>
      </c>
      <c r="J10914" s="18" t="n">
        <v>0</v>
      </c>
      <c r="K10914" s="19" t="n">
        <v>0</v>
      </c>
      <c r="L10914" s="17"/>
    </row>
    <row r="10915" s="11" customFormat="true" ht="10.95" hidden="false" customHeight="true" outlineLevel="0" collapsed="false">
      <c r="A10915" s="16" t="n">
        <v>45321</v>
      </c>
      <c r="B10915" s="17" t="s">
        <v>3861</v>
      </c>
      <c r="C10915" s="17" t="s">
        <v>3752</v>
      </c>
      <c r="D10915" s="17" t="s">
        <v>1276</v>
      </c>
      <c r="E10915" s="17" t="s">
        <v>3516</v>
      </c>
      <c r="F10915" s="17" t="s">
        <v>1352</v>
      </c>
      <c r="G10915" s="18" t="n">
        <v>76.06</v>
      </c>
      <c r="H10915" s="18" t="n">
        <v>0</v>
      </c>
      <c r="I10915" s="18" t="n">
        <f aca="false">((I10914 + G10915) - H10915)</f>
        <v>49761.45</v>
      </c>
      <c r="J10915" s="18" t="n">
        <v>0</v>
      </c>
      <c r="K10915" s="19" t="n">
        <v>0</v>
      </c>
      <c r="L10915" s="17"/>
    </row>
    <row r="10916" s="11" customFormat="true" ht="10.95" hidden="false" customHeight="true" outlineLevel="0" collapsed="false">
      <c r="A10916" s="16" t="n">
        <v>45321</v>
      </c>
      <c r="B10916" s="17" t="s">
        <v>3861</v>
      </c>
      <c r="C10916" s="17" t="s">
        <v>3752</v>
      </c>
      <c r="D10916" s="17" t="s">
        <v>2895</v>
      </c>
      <c r="E10916" s="17" t="s">
        <v>3466</v>
      </c>
      <c r="F10916" s="17" t="s">
        <v>4243</v>
      </c>
      <c r="G10916" s="18" t="n">
        <v>396</v>
      </c>
      <c r="H10916" s="18" t="n">
        <v>0</v>
      </c>
      <c r="I10916" s="18" t="n">
        <f aca="false">((I10915 + G10916) - H10916)</f>
        <v>50157.45</v>
      </c>
      <c r="J10916" s="18" t="n">
        <v>0</v>
      </c>
      <c r="K10916" s="19" t="n">
        <v>0</v>
      </c>
      <c r="L10916" s="17"/>
    </row>
    <row r="10917" s="11" customFormat="true" ht="10.95" hidden="false" customHeight="true" outlineLevel="0" collapsed="false">
      <c r="A10917" s="16" t="n">
        <v>45321</v>
      </c>
      <c r="B10917" s="17" t="s">
        <v>3861</v>
      </c>
      <c r="C10917" s="17" t="s">
        <v>3752</v>
      </c>
      <c r="D10917" s="17" t="s">
        <v>1407</v>
      </c>
      <c r="E10917" s="17" t="s">
        <v>3863</v>
      </c>
      <c r="F10917" s="17"/>
      <c r="G10917" s="18" t="n">
        <v>0</v>
      </c>
      <c r="H10917" s="18" t="n">
        <v>0.08</v>
      </c>
      <c r="I10917" s="18" t="n">
        <f aca="false">((I10916 + G10917) - H10917)</f>
        <v>50157.37</v>
      </c>
      <c r="J10917" s="18" t="n">
        <v>0</v>
      </c>
      <c r="K10917" s="19" t="n">
        <v>0</v>
      </c>
      <c r="L10917" s="17"/>
    </row>
    <row r="10918" s="11" customFormat="true" ht="10.95" hidden="false" customHeight="true" outlineLevel="0" collapsed="false">
      <c r="A10918" s="16" t="n">
        <v>45321</v>
      </c>
      <c r="B10918" s="17" t="s">
        <v>3861</v>
      </c>
      <c r="C10918" s="17" t="s">
        <v>3752</v>
      </c>
      <c r="D10918" s="17" t="s">
        <v>1407</v>
      </c>
      <c r="E10918" s="17" t="s">
        <v>3863</v>
      </c>
      <c r="F10918" s="17"/>
      <c r="G10918" s="18" t="n">
        <v>0</v>
      </c>
      <c r="H10918" s="18" t="n">
        <v>0.3</v>
      </c>
      <c r="I10918" s="18" t="n">
        <f aca="false">((I10917 + G10918) - H10918)</f>
        <v>50157.07</v>
      </c>
      <c r="J10918" s="18" t="n">
        <v>0</v>
      </c>
      <c r="K10918" s="19" t="n">
        <v>0</v>
      </c>
      <c r="L10918" s="17"/>
    </row>
    <row r="10919" s="11" customFormat="true" ht="10.95" hidden="false" customHeight="true" outlineLevel="0" collapsed="false">
      <c r="A10919" s="16" t="n">
        <v>45321</v>
      </c>
      <c r="B10919" s="17" t="s">
        <v>3861</v>
      </c>
      <c r="C10919" s="17" t="s">
        <v>3752</v>
      </c>
      <c r="D10919" s="17" t="s">
        <v>1407</v>
      </c>
      <c r="E10919" s="17" t="s">
        <v>3863</v>
      </c>
      <c r="F10919" s="17"/>
      <c r="G10919" s="18" t="n">
        <v>0</v>
      </c>
      <c r="H10919" s="18" t="n">
        <v>0.65</v>
      </c>
      <c r="I10919" s="18" t="n">
        <f aca="false">((I10918 + G10919) - H10919)</f>
        <v>50156.42</v>
      </c>
      <c r="J10919" s="18" t="n">
        <v>0</v>
      </c>
      <c r="K10919" s="19" t="n">
        <v>0</v>
      </c>
      <c r="L10919" s="17"/>
    </row>
    <row r="10920" s="11" customFormat="true" ht="10.95" hidden="false" customHeight="true" outlineLevel="0" collapsed="false">
      <c r="A10920" s="16" t="n">
        <v>45321</v>
      </c>
      <c r="B10920" s="17" t="s">
        <v>3861</v>
      </c>
      <c r="C10920" s="17" t="s">
        <v>3752</v>
      </c>
      <c r="D10920" s="17" t="s">
        <v>1407</v>
      </c>
      <c r="E10920" s="17" t="s">
        <v>3863</v>
      </c>
      <c r="F10920" s="17"/>
      <c r="G10920" s="18" t="n">
        <v>0</v>
      </c>
      <c r="H10920" s="18" t="n">
        <v>0.96</v>
      </c>
      <c r="I10920" s="18" t="n">
        <f aca="false">((I10919 + G10920) - H10920)</f>
        <v>50155.46</v>
      </c>
      <c r="J10920" s="18" t="n">
        <v>0</v>
      </c>
      <c r="K10920" s="19" t="n">
        <v>0</v>
      </c>
      <c r="L10920" s="17"/>
    </row>
    <row r="10921" s="11" customFormat="true" ht="10.95" hidden="false" customHeight="true" outlineLevel="0" collapsed="false">
      <c r="A10921" s="16" t="n">
        <v>45321</v>
      </c>
      <c r="B10921" s="17" t="s">
        <v>3861</v>
      </c>
      <c r="C10921" s="17" t="s">
        <v>3752</v>
      </c>
      <c r="D10921" s="17" t="s">
        <v>1407</v>
      </c>
      <c r="E10921" s="17" t="s">
        <v>3863</v>
      </c>
      <c r="F10921" s="17"/>
      <c r="G10921" s="18" t="n">
        <v>0</v>
      </c>
      <c r="H10921" s="18" t="n">
        <v>0.2</v>
      </c>
      <c r="I10921" s="18" t="n">
        <f aca="false">((I10920 + G10921) - H10921)</f>
        <v>50155.26</v>
      </c>
      <c r="J10921" s="18" t="n">
        <v>0</v>
      </c>
      <c r="K10921" s="19" t="n">
        <v>0</v>
      </c>
      <c r="L10921" s="17"/>
    </row>
    <row r="10922" s="11" customFormat="true" ht="10.95" hidden="false" customHeight="true" outlineLevel="0" collapsed="false">
      <c r="A10922" s="16" t="n">
        <v>45321</v>
      </c>
      <c r="B10922" s="17" t="s">
        <v>3861</v>
      </c>
      <c r="C10922" s="17" t="s">
        <v>3752</v>
      </c>
      <c r="D10922" s="17" t="s">
        <v>1407</v>
      </c>
      <c r="E10922" s="17" t="s">
        <v>3863</v>
      </c>
      <c r="F10922" s="17"/>
      <c r="G10922" s="18" t="n">
        <v>0</v>
      </c>
      <c r="H10922" s="18" t="n">
        <v>1.1</v>
      </c>
      <c r="I10922" s="18" t="n">
        <f aca="false">((I10921 + G10922) - H10922)</f>
        <v>50154.16</v>
      </c>
      <c r="J10922" s="18" t="n">
        <v>0</v>
      </c>
      <c r="K10922" s="19" t="n">
        <v>0</v>
      </c>
      <c r="L10922" s="17"/>
    </row>
    <row r="10923" s="11" customFormat="true" ht="10.95" hidden="false" customHeight="true" outlineLevel="0" collapsed="false">
      <c r="A10923" s="16" t="n">
        <v>45321</v>
      </c>
      <c r="B10923" s="17" t="s">
        <v>3861</v>
      </c>
      <c r="C10923" s="17" t="s">
        <v>3752</v>
      </c>
      <c r="D10923" s="17" t="s">
        <v>1407</v>
      </c>
      <c r="E10923" s="17" t="s">
        <v>3863</v>
      </c>
      <c r="F10923" s="17"/>
      <c r="G10923" s="18" t="n">
        <v>0</v>
      </c>
      <c r="H10923" s="18" t="n">
        <v>1.13</v>
      </c>
      <c r="I10923" s="18" t="n">
        <f aca="false">((I10922 + G10923) - H10923)</f>
        <v>50153.03</v>
      </c>
      <c r="J10923" s="18" t="n">
        <v>0</v>
      </c>
      <c r="K10923" s="19" t="n">
        <v>0</v>
      </c>
      <c r="L10923" s="17"/>
    </row>
    <row r="10924" s="11" customFormat="true" ht="10.95" hidden="false" customHeight="true" outlineLevel="0" collapsed="false">
      <c r="A10924" s="16" t="n">
        <v>45321</v>
      </c>
      <c r="B10924" s="17" t="s">
        <v>3861</v>
      </c>
      <c r="C10924" s="17" t="s">
        <v>3752</v>
      </c>
      <c r="D10924" s="17" t="s">
        <v>1407</v>
      </c>
      <c r="E10924" s="17" t="s">
        <v>3863</v>
      </c>
      <c r="F10924" s="17"/>
      <c r="G10924" s="18" t="n">
        <v>0</v>
      </c>
      <c r="H10924" s="18" t="n">
        <v>1.94</v>
      </c>
      <c r="I10924" s="18" t="n">
        <f aca="false">((I10923 + G10924) - H10924)</f>
        <v>50151.09</v>
      </c>
      <c r="J10924" s="18" t="n">
        <v>0</v>
      </c>
      <c r="K10924" s="19" t="n">
        <v>0</v>
      </c>
      <c r="L10924" s="17"/>
    </row>
    <row r="10925" s="11" customFormat="true" ht="10.95" hidden="false" customHeight="true" outlineLevel="0" collapsed="false">
      <c r="A10925" s="16" t="n">
        <v>45321</v>
      </c>
      <c r="B10925" s="17" t="s">
        <v>3861</v>
      </c>
      <c r="C10925" s="17" t="s">
        <v>3752</v>
      </c>
      <c r="D10925" s="17" t="s">
        <v>1407</v>
      </c>
      <c r="E10925" s="17" t="s">
        <v>3863</v>
      </c>
      <c r="F10925" s="17"/>
      <c r="G10925" s="18" t="n">
        <v>0</v>
      </c>
      <c r="H10925" s="18" t="n">
        <v>2.3</v>
      </c>
      <c r="I10925" s="18" t="n">
        <f aca="false">((I10924 + G10925) - H10925)</f>
        <v>50148.79</v>
      </c>
      <c r="J10925" s="18" t="n">
        <v>0</v>
      </c>
      <c r="K10925" s="19" t="n">
        <v>0</v>
      </c>
      <c r="L10925" s="17"/>
    </row>
    <row r="10926" s="11" customFormat="true" ht="10.95" hidden="false" customHeight="true" outlineLevel="0" collapsed="false">
      <c r="A10926" s="16" t="n">
        <v>45321</v>
      </c>
      <c r="B10926" s="17" t="s">
        <v>3861</v>
      </c>
      <c r="C10926" s="17" t="s">
        <v>3752</v>
      </c>
      <c r="D10926" s="17" t="s">
        <v>1407</v>
      </c>
      <c r="E10926" s="17" t="s">
        <v>3863</v>
      </c>
      <c r="F10926" s="17"/>
      <c r="G10926" s="18" t="n">
        <v>0</v>
      </c>
      <c r="H10926" s="18" t="n">
        <v>2.85</v>
      </c>
      <c r="I10926" s="18" t="n">
        <f aca="false">((I10925 + G10926) - H10926)</f>
        <v>50145.94</v>
      </c>
      <c r="J10926" s="18" t="n">
        <v>0</v>
      </c>
      <c r="K10926" s="19" t="n">
        <v>0</v>
      </c>
      <c r="L10926" s="17"/>
    </row>
    <row r="10927" s="11" customFormat="true" ht="10.95" hidden="false" customHeight="true" outlineLevel="0" collapsed="false">
      <c r="A10927" s="16" t="n">
        <v>45321</v>
      </c>
      <c r="B10927" s="17" t="s">
        <v>3861</v>
      </c>
      <c r="C10927" s="17" t="s">
        <v>3752</v>
      </c>
      <c r="D10927" s="17" t="s">
        <v>1407</v>
      </c>
      <c r="E10927" s="17" t="s">
        <v>3863</v>
      </c>
      <c r="F10927" s="17"/>
      <c r="G10927" s="18" t="n">
        <v>0</v>
      </c>
      <c r="H10927" s="18" t="n">
        <v>7.08</v>
      </c>
      <c r="I10927" s="18" t="n">
        <f aca="false">((I10926 + G10927) - H10927)</f>
        <v>50138.86</v>
      </c>
      <c r="J10927" s="18" t="n">
        <v>0</v>
      </c>
      <c r="K10927" s="19" t="n">
        <v>0</v>
      </c>
      <c r="L10927" s="17"/>
    </row>
    <row r="10928" s="11" customFormat="true" ht="10.95" hidden="false" customHeight="true" outlineLevel="0" collapsed="false">
      <c r="A10928" s="16" t="n">
        <v>45321</v>
      </c>
      <c r="B10928" s="17" t="s">
        <v>3861</v>
      </c>
      <c r="C10928" s="17" t="s">
        <v>3752</v>
      </c>
      <c r="D10928" s="17" t="s">
        <v>1407</v>
      </c>
      <c r="E10928" s="17" t="s">
        <v>3863</v>
      </c>
      <c r="F10928" s="17"/>
      <c r="G10928" s="18" t="n">
        <v>0</v>
      </c>
      <c r="H10928" s="18" t="n">
        <v>11.78</v>
      </c>
      <c r="I10928" s="18" t="n">
        <f aca="false">((I10927 + G10928) - H10928)</f>
        <v>50127.08</v>
      </c>
      <c r="J10928" s="18" t="n">
        <v>0</v>
      </c>
      <c r="K10928" s="19" t="n">
        <v>0</v>
      </c>
      <c r="L10928" s="17"/>
    </row>
    <row r="10929" s="11" customFormat="true" ht="10.95" hidden="false" customHeight="true" outlineLevel="0" collapsed="false">
      <c r="A10929" s="16" t="n">
        <v>45321</v>
      </c>
      <c r="B10929" s="17" t="s">
        <v>3861</v>
      </c>
      <c r="C10929" s="17" t="s">
        <v>3752</v>
      </c>
      <c r="D10929" s="17" t="s">
        <v>2903</v>
      </c>
      <c r="E10929" s="17" t="s">
        <v>3648</v>
      </c>
      <c r="F10929" s="17" t="s">
        <v>2682</v>
      </c>
      <c r="G10929" s="18" t="n">
        <v>0</v>
      </c>
      <c r="H10929" s="18" t="n">
        <v>162.14</v>
      </c>
      <c r="I10929" s="18" t="n">
        <f aca="false">((I10928 + G10929) - H10929)</f>
        <v>49964.94</v>
      </c>
      <c r="J10929" s="18" t="n">
        <v>0</v>
      </c>
      <c r="K10929" s="19" t="n">
        <v>0</v>
      </c>
      <c r="L10929" s="17"/>
    </row>
    <row r="10930" s="11" customFormat="true" ht="10.95" hidden="false" customHeight="true" outlineLevel="0" collapsed="false">
      <c r="A10930" s="16" t="n">
        <v>45321</v>
      </c>
      <c r="B10930" s="17" t="s">
        <v>3861</v>
      </c>
      <c r="C10930" s="17" t="s">
        <v>3752</v>
      </c>
      <c r="D10930" s="17" t="s">
        <v>1407</v>
      </c>
      <c r="E10930" s="17" t="s">
        <v>3778</v>
      </c>
      <c r="F10930" s="17"/>
      <c r="G10930" s="18" t="n">
        <v>0</v>
      </c>
      <c r="H10930" s="18" t="n">
        <v>9.86</v>
      </c>
      <c r="I10930" s="18" t="n">
        <f aca="false">((I10929 + G10930) - H10930)</f>
        <v>49955.08</v>
      </c>
      <c r="J10930" s="18" t="n">
        <v>0</v>
      </c>
      <c r="K10930" s="19" t="n">
        <v>0</v>
      </c>
      <c r="L10930" s="17"/>
    </row>
    <row r="10931" s="11" customFormat="true" ht="10.95" hidden="false" customHeight="true" outlineLevel="0" collapsed="false">
      <c r="A10931" s="16" t="n">
        <v>45321</v>
      </c>
      <c r="B10931" s="17" t="s">
        <v>3861</v>
      </c>
      <c r="C10931" s="17" t="s">
        <v>3752</v>
      </c>
      <c r="D10931" s="17" t="s">
        <v>1407</v>
      </c>
      <c r="E10931" s="17" t="s">
        <v>2747</v>
      </c>
      <c r="F10931" s="17"/>
      <c r="G10931" s="18" t="n">
        <v>0</v>
      </c>
      <c r="H10931" s="18" t="n">
        <v>39</v>
      </c>
      <c r="I10931" s="18" t="n">
        <f aca="false">((I10930 + G10931) - H10931)</f>
        <v>49916.08</v>
      </c>
      <c r="J10931" s="18" t="n">
        <v>0</v>
      </c>
      <c r="K10931" s="19" t="n">
        <v>0</v>
      </c>
      <c r="L10931" s="17"/>
    </row>
    <row r="10932" s="11" customFormat="true" ht="10.95" hidden="false" customHeight="true" outlineLevel="0" collapsed="false">
      <c r="A10932" s="16" t="n">
        <v>45321</v>
      </c>
      <c r="B10932" s="17" t="s">
        <v>3861</v>
      </c>
      <c r="C10932" s="17" t="s">
        <v>3752</v>
      </c>
      <c r="D10932" s="17" t="s">
        <v>1407</v>
      </c>
      <c r="E10932" s="17" t="s">
        <v>3778</v>
      </c>
      <c r="F10932" s="17"/>
      <c r="G10932" s="18" t="n">
        <v>0</v>
      </c>
      <c r="H10932" s="18" t="n">
        <v>64.74</v>
      </c>
      <c r="I10932" s="18" t="n">
        <f aca="false">((I10931 + G10932) - H10932)</f>
        <v>49851.34</v>
      </c>
      <c r="J10932" s="18" t="n">
        <v>0</v>
      </c>
      <c r="K10932" s="19" t="n">
        <v>0</v>
      </c>
      <c r="L10932" s="17"/>
    </row>
    <row r="10933" s="11" customFormat="true" ht="10.95" hidden="false" customHeight="true" outlineLevel="0" collapsed="false">
      <c r="A10933" s="16" t="n">
        <v>45321</v>
      </c>
      <c r="B10933" s="17" t="s">
        <v>3861</v>
      </c>
      <c r="C10933" s="17" t="s">
        <v>3752</v>
      </c>
      <c r="D10933" s="17" t="s">
        <v>2903</v>
      </c>
      <c r="E10933" s="17" t="s">
        <v>3616</v>
      </c>
      <c r="F10933" s="17" t="s">
        <v>3217</v>
      </c>
      <c r="G10933" s="18" t="n">
        <v>0</v>
      </c>
      <c r="H10933" s="18" t="n">
        <v>218.9</v>
      </c>
      <c r="I10933" s="18" t="n">
        <f aca="false">((I10932 + G10933) - H10933)</f>
        <v>49632.44</v>
      </c>
      <c r="J10933" s="18" t="n">
        <v>0</v>
      </c>
      <c r="K10933" s="19" t="n">
        <v>0</v>
      </c>
      <c r="L10933" s="17"/>
    </row>
    <row r="10934" s="11" customFormat="true" ht="10.95" hidden="false" customHeight="true" outlineLevel="0" collapsed="false">
      <c r="A10934" s="16" t="n">
        <v>45321</v>
      </c>
      <c r="B10934" s="17" t="s">
        <v>3861</v>
      </c>
      <c r="C10934" s="17" t="s">
        <v>3752</v>
      </c>
      <c r="D10934" s="17" t="s">
        <v>1407</v>
      </c>
      <c r="E10934" s="17" t="s">
        <v>3878</v>
      </c>
      <c r="F10934" s="17"/>
      <c r="G10934" s="18" t="n">
        <v>0</v>
      </c>
      <c r="H10934" s="18" t="n">
        <v>1417</v>
      </c>
      <c r="I10934" s="18" t="n">
        <f aca="false">((I10933 + G10934) - H10934)</f>
        <v>48215.44</v>
      </c>
      <c r="J10934" s="18" t="n">
        <v>0</v>
      </c>
      <c r="K10934" s="19" t="n">
        <v>0</v>
      </c>
      <c r="L10934" s="17"/>
    </row>
    <row r="10935" s="11" customFormat="true" ht="10.95" hidden="false" customHeight="true" outlineLevel="0" collapsed="false">
      <c r="A10935" s="16" t="n">
        <v>45321</v>
      </c>
      <c r="B10935" s="17" t="s">
        <v>3861</v>
      </c>
      <c r="C10935" s="17" t="s">
        <v>3752</v>
      </c>
      <c r="D10935" s="17" t="s">
        <v>1407</v>
      </c>
      <c r="E10935" s="17" t="s">
        <v>3817</v>
      </c>
      <c r="F10935" s="17"/>
      <c r="G10935" s="18" t="n">
        <v>0</v>
      </c>
      <c r="H10935" s="18" t="n">
        <v>392.73</v>
      </c>
      <c r="I10935" s="18" t="n">
        <f aca="false">((I10934 + G10935) - H10935)</f>
        <v>47822.71</v>
      </c>
      <c r="J10935" s="18" t="n">
        <v>0</v>
      </c>
      <c r="K10935" s="19" t="n">
        <v>0</v>
      </c>
      <c r="L10935" s="17"/>
    </row>
    <row r="10936" s="11" customFormat="true" ht="10.95" hidden="false" customHeight="true" outlineLevel="0" collapsed="false">
      <c r="A10936" s="16" t="n">
        <v>45321</v>
      </c>
      <c r="B10936" s="17" t="s">
        <v>3861</v>
      </c>
      <c r="C10936" s="17" t="s">
        <v>3752</v>
      </c>
      <c r="D10936" s="17" t="s">
        <v>1407</v>
      </c>
      <c r="E10936" s="17" t="s">
        <v>3976</v>
      </c>
      <c r="F10936" s="17"/>
      <c r="G10936" s="18" t="n">
        <v>0</v>
      </c>
      <c r="H10936" s="18" t="n">
        <v>194.05</v>
      </c>
      <c r="I10936" s="18" t="n">
        <f aca="false">((I10935 + G10936) - H10936)</f>
        <v>47628.66</v>
      </c>
      <c r="J10936" s="18" t="n">
        <v>0</v>
      </c>
      <c r="K10936" s="19" t="n">
        <v>0</v>
      </c>
      <c r="L10936" s="17"/>
    </row>
    <row r="10937" s="11" customFormat="true" ht="10.95" hidden="false" customHeight="true" outlineLevel="0" collapsed="false">
      <c r="A10937" s="16" t="n">
        <v>45321</v>
      </c>
      <c r="B10937" s="17" t="s">
        <v>3861</v>
      </c>
      <c r="C10937" s="17" t="s">
        <v>3752</v>
      </c>
      <c r="D10937" s="17" t="s">
        <v>1407</v>
      </c>
      <c r="E10937" s="17" t="s">
        <v>3685</v>
      </c>
      <c r="F10937" s="17"/>
      <c r="G10937" s="18" t="n">
        <v>0</v>
      </c>
      <c r="H10937" s="18" t="n">
        <v>236.14</v>
      </c>
      <c r="I10937" s="18" t="n">
        <f aca="false">((I10936 + G10937) - H10937)</f>
        <v>47392.52</v>
      </c>
      <c r="J10937" s="18" t="n">
        <v>0</v>
      </c>
      <c r="K10937" s="19" t="n">
        <v>0</v>
      </c>
      <c r="L10937" s="17"/>
    </row>
    <row r="10938" s="11" customFormat="true" ht="10.95" hidden="false" customHeight="true" outlineLevel="0" collapsed="false">
      <c r="A10938" s="16" t="n">
        <v>45321</v>
      </c>
      <c r="B10938" s="17" t="s">
        <v>3861</v>
      </c>
      <c r="C10938" s="17" t="s">
        <v>3752</v>
      </c>
      <c r="D10938" s="17" t="s">
        <v>1407</v>
      </c>
      <c r="E10938" s="17" t="s">
        <v>3808</v>
      </c>
      <c r="F10938" s="17"/>
      <c r="G10938" s="18" t="n">
        <v>0</v>
      </c>
      <c r="H10938" s="18" t="n">
        <v>400</v>
      </c>
      <c r="I10938" s="18" t="n">
        <f aca="false">((I10937 + G10938) - H10938)</f>
        <v>46992.52</v>
      </c>
      <c r="J10938" s="18" t="n">
        <v>0</v>
      </c>
      <c r="K10938" s="19" t="n">
        <v>0</v>
      </c>
      <c r="L10938" s="17"/>
    </row>
    <row r="10939" s="11" customFormat="true" ht="10.95" hidden="false" customHeight="true" outlineLevel="0" collapsed="false">
      <c r="A10939" s="16" t="n">
        <v>45321</v>
      </c>
      <c r="B10939" s="17" t="s">
        <v>3861</v>
      </c>
      <c r="C10939" s="17" t="s">
        <v>3752</v>
      </c>
      <c r="D10939" s="17" t="s">
        <v>1407</v>
      </c>
      <c r="E10939" s="17" t="s">
        <v>3808</v>
      </c>
      <c r="F10939" s="17"/>
      <c r="G10939" s="18" t="n">
        <v>0</v>
      </c>
      <c r="H10939" s="18" t="n">
        <v>2.8</v>
      </c>
      <c r="I10939" s="18" t="n">
        <f aca="false">((I10938 + G10939) - H10939)</f>
        <v>46989.72</v>
      </c>
      <c r="J10939" s="18" t="n">
        <v>0</v>
      </c>
      <c r="K10939" s="19" t="n">
        <v>0</v>
      </c>
      <c r="L10939" s="17"/>
    </row>
    <row r="10940" s="11" customFormat="true" ht="10.95" hidden="false" customHeight="true" outlineLevel="0" collapsed="false">
      <c r="A10940" s="16" t="n">
        <v>45321</v>
      </c>
      <c r="B10940" s="17" t="s">
        <v>3861</v>
      </c>
      <c r="C10940" s="17" t="s">
        <v>3752</v>
      </c>
      <c r="D10940" s="17" t="s">
        <v>1407</v>
      </c>
      <c r="E10940" s="17" t="s">
        <v>3808</v>
      </c>
      <c r="F10940" s="17"/>
      <c r="G10940" s="18" t="n">
        <v>0</v>
      </c>
      <c r="H10940" s="18" t="n">
        <v>6.51</v>
      </c>
      <c r="I10940" s="18" t="n">
        <f aca="false">((I10939 + G10940) - H10940)</f>
        <v>46983.21</v>
      </c>
      <c r="J10940" s="18" t="n">
        <v>0</v>
      </c>
      <c r="K10940" s="19" t="n">
        <v>0</v>
      </c>
      <c r="L10940" s="17"/>
    </row>
    <row r="10941" s="11" customFormat="true" ht="10.95" hidden="false" customHeight="true" outlineLevel="0" collapsed="false">
      <c r="A10941" s="16" t="n">
        <v>45321</v>
      </c>
      <c r="B10941" s="17" t="s">
        <v>3861</v>
      </c>
      <c r="C10941" s="17" t="s">
        <v>3752</v>
      </c>
      <c r="D10941" s="17" t="s">
        <v>1407</v>
      </c>
      <c r="E10941" s="17" t="s">
        <v>4225</v>
      </c>
      <c r="F10941" s="17"/>
      <c r="G10941" s="18" t="n">
        <v>0</v>
      </c>
      <c r="H10941" s="18" t="n">
        <v>24.2</v>
      </c>
      <c r="I10941" s="18" t="n">
        <f aca="false">((I10940 + G10941) - H10941)</f>
        <v>46959.01</v>
      </c>
      <c r="J10941" s="18" t="n">
        <v>0</v>
      </c>
      <c r="K10941" s="19" t="n">
        <v>0</v>
      </c>
      <c r="L10941" s="17"/>
    </row>
    <row r="10942" s="11" customFormat="true" ht="10.95" hidden="false" customHeight="true" outlineLevel="0" collapsed="false">
      <c r="A10942" s="16" t="n">
        <v>45321</v>
      </c>
      <c r="B10942" s="17" t="s">
        <v>3861</v>
      </c>
      <c r="C10942" s="17" t="s">
        <v>3752</v>
      </c>
      <c r="D10942" s="17" t="s">
        <v>1407</v>
      </c>
      <c r="E10942" s="17" t="s">
        <v>4244</v>
      </c>
      <c r="F10942" s="17"/>
      <c r="G10942" s="18" t="n">
        <v>0</v>
      </c>
      <c r="H10942" s="18" t="n">
        <v>32</v>
      </c>
      <c r="I10942" s="18" t="n">
        <f aca="false">((I10941 + G10942) - H10942)</f>
        <v>46927.01</v>
      </c>
      <c r="J10942" s="18" t="n">
        <v>0</v>
      </c>
      <c r="K10942" s="19" t="n">
        <v>0</v>
      </c>
      <c r="L10942" s="17"/>
    </row>
    <row r="10943" s="11" customFormat="true" ht="10.95" hidden="false" customHeight="true" outlineLevel="0" collapsed="false">
      <c r="A10943" s="16" t="n">
        <v>45321</v>
      </c>
      <c r="B10943" s="17" t="s">
        <v>3861</v>
      </c>
      <c r="C10943" s="17" t="s">
        <v>3752</v>
      </c>
      <c r="D10943" s="17" t="s">
        <v>1407</v>
      </c>
      <c r="E10943" s="17" t="s">
        <v>4237</v>
      </c>
      <c r="F10943" s="17"/>
      <c r="G10943" s="18" t="n">
        <v>0</v>
      </c>
      <c r="H10943" s="18" t="n">
        <v>36.66</v>
      </c>
      <c r="I10943" s="18" t="n">
        <f aca="false">((I10942 + G10943) - H10943)</f>
        <v>46890.35</v>
      </c>
      <c r="J10943" s="18" t="n">
        <v>0</v>
      </c>
      <c r="K10943" s="19" t="n">
        <v>0</v>
      </c>
      <c r="L10943" s="17"/>
    </row>
    <row r="10944" s="11" customFormat="true" ht="10.95" hidden="false" customHeight="true" outlineLevel="0" collapsed="false">
      <c r="A10944" s="16" t="n">
        <v>45321</v>
      </c>
      <c r="B10944" s="17" t="s">
        <v>3861</v>
      </c>
      <c r="C10944" s="17" t="s">
        <v>3752</v>
      </c>
      <c r="D10944" s="17" t="s">
        <v>1407</v>
      </c>
      <c r="E10944" s="17" t="s">
        <v>4245</v>
      </c>
      <c r="F10944" s="17"/>
      <c r="G10944" s="18" t="n">
        <v>0</v>
      </c>
      <c r="H10944" s="18" t="n">
        <v>37.79</v>
      </c>
      <c r="I10944" s="18" t="n">
        <f aca="false">((I10943 + G10944) - H10944)</f>
        <v>46852.56</v>
      </c>
      <c r="J10944" s="18" t="n">
        <v>0</v>
      </c>
      <c r="K10944" s="19" t="n">
        <v>0</v>
      </c>
      <c r="L10944" s="17"/>
    </row>
    <row r="10945" s="11" customFormat="true" ht="10.95" hidden="false" customHeight="true" outlineLevel="0" collapsed="false">
      <c r="A10945" s="16" t="n">
        <v>45321</v>
      </c>
      <c r="B10945" s="17" t="s">
        <v>3861</v>
      </c>
      <c r="C10945" s="17" t="s">
        <v>3752</v>
      </c>
      <c r="D10945" s="17" t="s">
        <v>1407</v>
      </c>
      <c r="E10945" s="17" t="s">
        <v>3808</v>
      </c>
      <c r="F10945" s="17"/>
      <c r="G10945" s="18" t="n">
        <v>0</v>
      </c>
      <c r="H10945" s="18" t="n">
        <v>76.72</v>
      </c>
      <c r="I10945" s="18" t="n">
        <f aca="false">((I10944 + G10945) - H10945)</f>
        <v>46775.84</v>
      </c>
      <c r="J10945" s="18" t="n">
        <v>0</v>
      </c>
      <c r="K10945" s="19" t="n">
        <v>0</v>
      </c>
      <c r="L10945" s="17"/>
    </row>
    <row r="10946" s="11" customFormat="true" ht="10.95" hidden="false" customHeight="true" outlineLevel="0" collapsed="false">
      <c r="A10946" s="16" t="n">
        <v>45321</v>
      </c>
      <c r="B10946" s="17" t="s">
        <v>3861</v>
      </c>
      <c r="C10946" s="17" t="s">
        <v>3752</v>
      </c>
      <c r="D10946" s="17" t="s">
        <v>2895</v>
      </c>
      <c r="E10946" s="17" t="s">
        <v>2909</v>
      </c>
      <c r="F10946" s="17" t="s">
        <v>3040</v>
      </c>
      <c r="G10946" s="18" t="n">
        <v>3095.79</v>
      </c>
      <c r="H10946" s="18" t="n">
        <v>0</v>
      </c>
      <c r="I10946" s="18" t="n">
        <f aca="false">((I10945 + G10946) - H10946)</f>
        <v>49871.63</v>
      </c>
      <c r="J10946" s="18" t="n">
        <v>0</v>
      </c>
      <c r="K10946" s="19" t="n">
        <v>0</v>
      </c>
      <c r="L10946" s="17"/>
    </row>
    <row r="10947" s="11" customFormat="true" ht="10.95" hidden="false" customHeight="true" outlineLevel="0" collapsed="false">
      <c r="A10947" s="16" t="n">
        <v>45321</v>
      </c>
      <c r="B10947" s="17" t="s">
        <v>3861</v>
      </c>
      <c r="C10947" s="17" t="s">
        <v>3752</v>
      </c>
      <c r="D10947" s="17" t="s">
        <v>1407</v>
      </c>
      <c r="E10947" s="17" t="s">
        <v>3757</v>
      </c>
      <c r="F10947" s="17"/>
      <c r="G10947" s="18" t="n">
        <v>0</v>
      </c>
      <c r="H10947" s="18" t="n">
        <v>21.78</v>
      </c>
      <c r="I10947" s="18" t="n">
        <f aca="false">((I10946 + G10947) - H10947)</f>
        <v>49849.85</v>
      </c>
      <c r="J10947" s="18" t="n">
        <v>0</v>
      </c>
      <c r="K10947" s="19" t="n">
        <v>0</v>
      </c>
      <c r="L10947" s="17"/>
    </row>
    <row r="10948" s="11" customFormat="true" ht="10.95" hidden="false" customHeight="true" outlineLevel="0" collapsed="false">
      <c r="A10948" s="16" t="n">
        <v>45322</v>
      </c>
      <c r="B10948" s="17" t="s">
        <v>3861</v>
      </c>
      <c r="C10948" s="17" t="s">
        <v>3752</v>
      </c>
      <c r="D10948" s="17" t="s">
        <v>2895</v>
      </c>
      <c r="E10948" s="17" t="s">
        <v>3389</v>
      </c>
      <c r="F10948" s="17" t="s">
        <v>4246</v>
      </c>
      <c r="G10948" s="18" t="n">
        <v>4994</v>
      </c>
      <c r="H10948" s="18" t="n">
        <v>0</v>
      </c>
      <c r="I10948" s="18" t="n">
        <f aca="false">((I10947 + G10948) - H10948)</f>
        <v>54843.85</v>
      </c>
      <c r="J10948" s="18" t="n">
        <v>0</v>
      </c>
      <c r="K10948" s="19" t="n">
        <v>0</v>
      </c>
      <c r="L10948" s="17"/>
    </row>
    <row r="10949" s="11" customFormat="true" ht="10.95" hidden="false" customHeight="true" outlineLevel="0" collapsed="false">
      <c r="A10949" s="16" t="n">
        <v>45322</v>
      </c>
      <c r="B10949" s="17" t="s">
        <v>3861</v>
      </c>
      <c r="C10949" s="17" t="s">
        <v>3752</v>
      </c>
      <c r="D10949" s="17" t="s">
        <v>2895</v>
      </c>
      <c r="E10949" s="17" t="s">
        <v>3373</v>
      </c>
      <c r="F10949" s="17" t="s">
        <v>4247</v>
      </c>
      <c r="G10949" s="18" t="n">
        <v>1386</v>
      </c>
      <c r="H10949" s="18" t="n">
        <v>0</v>
      </c>
      <c r="I10949" s="18" t="n">
        <f aca="false">((I10948 + G10949) - H10949)</f>
        <v>56229.85</v>
      </c>
      <c r="J10949" s="18" t="n">
        <v>0</v>
      </c>
      <c r="K10949" s="19" t="n">
        <v>0</v>
      </c>
      <c r="L10949" s="17"/>
    </row>
    <row r="10950" s="11" customFormat="true" ht="10.95" hidden="false" customHeight="true" outlineLevel="0" collapsed="false">
      <c r="A10950" s="16" t="n">
        <v>45322</v>
      </c>
      <c r="B10950" s="17" t="s">
        <v>3861</v>
      </c>
      <c r="C10950" s="17" t="s">
        <v>3752</v>
      </c>
      <c r="D10950" s="17" t="s">
        <v>2895</v>
      </c>
      <c r="E10950" s="17" t="s">
        <v>3465</v>
      </c>
      <c r="F10950" s="17" t="s">
        <v>4248</v>
      </c>
      <c r="G10950" s="18" t="n">
        <v>1094.5</v>
      </c>
      <c r="H10950" s="18" t="n">
        <v>0</v>
      </c>
      <c r="I10950" s="18" t="n">
        <f aca="false">((I10949 + G10950) - H10950)</f>
        <v>57324.35</v>
      </c>
      <c r="J10950" s="18" t="n">
        <v>0</v>
      </c>
      <c r="K10950" s="19" t="n">
        <v>0</v>
      </c>
      <c r="L10950" s="17"/>
    </row>
    <row r="10951" s="11" customFormat="true" ht="10.95" hidden="false" customHeight="true" outlineLevel="0" collapsed="false">
      <c r="A10951" s="16" t="n">
        <v>45322</v>
      </c>
      <c r="B10951" s="17" t="s">
        <v>3861</v>
      </c>
      <c r="C10951" s="17" t="s">
        <v>3752</v>
      </c>
      <c r="D10951" s="17" t="s">
        <v>2895</v>
      </c>
      <c r="E10951" s="17" t="s">
        <v>3378</v>
      </c>
      <c r="F10951" s="17" t="s">
        <v>4249</v>
      </c>
      <c r="G10951" s="18" t="n">
        <v>413.6</v>
      </c>
      <c r="H10951" s="18" t="n">
        <v>0</v>
      </c>
      <c r="I10951" s="18" t="n">
        <f aca="false">((I10950 + G10951) - H10951)</f>
        <v>57737.95</v>
      </c>
      <c r="J10951" s="18" t="n">
        <v>0</v>
      </c>
      <c r="K10951" s="19" t="n">
        <v>0</v>
      </c>
      <c r="L10951" s="17"/>
    </row>
    <row r="10952" s="11" customFormat="true" ht="10.95" hidden="false" customHeight="true" outlineLevel="0" collapsed="false">
      <c r="A10952" s="16" t="n">
        <v>45322</v>
      </c>
      <c r="B10952" s="17" t="s">
        <v>3861</v>
      </c>
      <c r="C10952" s="17" t="s">
        <v>3752</v>
      </c>
      <c r="D10952" s="17" t="s">
        <v>2895</v>
      </c>
      <c r="E10952" s="17" t="s">
        <v>3505</v>
      </c>
      <c r="F10952" s="17" t="s">
        <v>4250</v>
      </c>
      <c r="G10952" s="18" t="n">
        <v>157.3</v>
      </c>
      <c r="H10952" s="18" t="n">
        <v>0</v>
      </c>
      <c r="I10952" s="18" t="n">
        <f aca="false">((I10951 + G10952) - H10952)</f>
        <v>57895.25</v>
      </c>
      <c r="J10952" s="18" t="n">
        <v>0</v>
      </c>
      <c r="K10952" s="19" t="n">
        <v>0</v>
      </c>
      <c r="L10952" s="17"/>
    </row>
    <row r="10953" s="11" customFormat="true" ht="10.95" hidden="false" customHeight="true" outlineLevel="0" collapsed="false">
      <c r="A10953" s="16" t="n">
        <v>45322</v>
      </c>
      <c r="B10953" s="17" t="s">
        <v>3861</v>
      </c>
      <c r="C10953" s="17" t="s">
        <v>3752</v>
      </c>
      <c r="D10953" s="17" t="s">
        <v>1407</v>
      </c>
      <c r="E10953" s="17" t="s">
        <v>3863</v>
      </c>
      <c r="F10953" s="17"/>
      <c r="G10953" s="18" t="n">
        <v>0</v>
      </c>
      <c r="H10953" s="18" t="n">
        <v>0.5</v>
      </c>
      <c r="I10953" s="18" t="n">
        <f aca="false">((I10952 + G10953) - H10953)</f>
        <v>57894.75</v>
      </c>
      <c r="J10953" s="18" t="n">
        <v>0</v>
      </c>
      <c r="K10953" s="19" t="n">
        <v>0</v>
      </c>
      <c r="L10953" s="17"/>
    </row>
    <row r="10954" s="11" customFormat="true" ht="10.95" hidden="false" customHeight="true" outlineLevel="0" collapsed="false">
      <c r="A10954" s="16" t="n">
        <v>45322</v>
      </c>
      <c r="B10954" s="17" t="s">
        <v>3861</v>
      </c>
      <c r="C10954" s="17" t="s">
        <v>3752</v>
      </c>
      <c r="D10954" s="17" t="s">
        <v>1407</v>
      </c>
      <c r="E10954" s="17" t="s">
        <v>3863</v>
      </c>
      <c r="F10954" s="17"/>
      <c r="G10954" s="18" t="n">
        <v>0</v>
      </c>
      <c r="H10954" s="18" t="n">
        <v>2.3</v>
      </c>
      <c r="I10954" s="18" t="n">
        <f aca="false">((I10953 + G10954) - H10954)</f>
        <v>57892.45</v>
      </c>
      <c r="J10954" s="18" t="n">
        <v>0</v>
      </c>
      <c r="K10954" s="19" t="n">
        <v>0</v>
      </c>
      <c r="L10954" s="17"/>
    </row>
    <row r="10955" s="11" customFormat="true" ht="10.95" hidden="false" customHeight="true" outlineLevel="0" collapsed="false">
      <c r="A10955" s="16" t="n">
        <v>45322</v>
      </c>
      <c r="B10955" s="17" t="s">
        <v>3861</v>
      </c>
      <c r="C10955" s="17" t="s">
        <v>3752</v>
      </c>
      <c r="D10955" s="17" t="s">
        <v>1407</v>
      </c>
      <c r="E10955" s="17" t="s">
        <v>3863</v>
      </c>
      <c r="F10955" s="17"/>
      <c r="G10955" s="18" t="n">
        <v>0</v>
      </c>
      <c r="H10955" s="18" t="n">
        <v>5.84</v>
      </c>
      <c r="I10955" s="18" t="n">
        <f aca="false">((I10954 + G10955) - H10955)</f>
        <v>57886.61</v>
      </c>
      <c r="J10955" s="18" t="n">
        <v>0</v>
      </c>
      <c r="K10955" s="19" t="n">
        <v>0</v>
      </c>
      <c r="L10955" s="17"/>
    </row>
    <row r="10956" s="11" customFormat="true" ht="10.95" hidden="false" customHeight="true" outlineLevel="0" collapsed="false">
      <c r="A10956" s="16" t="n">
        <v>45322</v>
      </c>
      <c r="B10956" s="17" t="s">
        <v>3861</v>
      </c>
      <c r="C10956" s="17" t="s">
        <v>3752</v>
      </c>
      <c r="D10956" s="17" t="s">
        <v>1407</v>
      </c>
      <c r="E10956" s="17" t="s">
        <v>3863</v>
      </c>
      <c r="F10956" s="17"/>
      <c r="G10956" s="18" t="n">
        <v>0</v>
      </c>
      <c r="H10956" s="18" t="n">
        <v>17.61</v>
      </c>
      <c r="I10956" s="18" t="n">
        <f aca="false">((I10955 + G10956) - H10956)</f>
        <v>57869</v>
      </c>
      <c r="J10956" s="18" t="n">
        <v>0</v>
      </c>
      <c r="K10956" s="19" t="n">
        <v>0</v>
      </c>
      <c r="L10956" s="17"/>
    </row>
    <row r="10957" s="11" customFormat="true" ht="10.95" hidden="false" customHeight="true" outlineLevel="0" collapsed="false">
      <c r="A10957" s="16" t="n">
        <v>45322</v>
      </c>
      <c r="B10957" s="17" t="s">
        <v>3861</v>
      </c>
      <c r="C10957" s="17" t="s">
        <v>3752</v>
      </c>
      <c r="D10957" s="17" t="s">
        <v>1407</v>
      </c>
      <c r="E10957" s="17" t="s">
        <v>4007</v>
      </c>
      <c r="F10957" s="17"/>
      <c r="G10957" s="18" t="n">
        <v>0</v>
      </c>
      <c r="H10957" s="18" t="n">
        <v>50.85</v>
      </c>
      <c r="I10957" s="18" t="n">
        <f aca="false">((I10956 + G10957) - H10957)</f>
        <v>57818.15</v>
      </c>
      <c r="J10957" s="18" t="n">
        <v>0</v>
      </c>
      <c r="K10957" s="19" t="n">
        <v>0</v>
      </c>
      <c r="L10957" s="17"/>
    </row>
    <row r="10958" s="11" customFormat="true" ht="10.95" hidden="false" customHeight="true" outlineLevel="0" collapsed="false">
      <c r="A10958" s="16" t="n">
        <v>45322</v>
      </c>
      <c r="B10958" s="17" t="s">
        <v>3861</v>
      </c>
      <c r="C10958" s="17" t="s">
        <v>3752</v>
      </c>
      <c r="D10958" s="17" t="s">
        <v>1407</v>
      </c>
      <c r="E10958" s="17" t="s">
        <v>3864</v>
      </c>
      <c r="F10958" s="17"/>
      <c r="G10958" s="18" t="n">
        <v>0</v>
      </c>
      <c r="H10958" s="18" t="n">
        <v>76.73</v>
      </c>
      <c r="I10958" s="18" t="n">
        <f aca="false">((I10957 + G10958) - H10958)</f>
        <v>57741.42</v>
      </c>
      <c r="J10958" s="18" t="n">
        <v>0</v>
      </c>
      <c r="K10958" s="19" t="n">
        <v>0</v>
      </c>
      <c r="L10958" s="17"/>
    </row>
    <row r="10959" s="11" customFormat="true" ht="10.95" hidden="false" customHeight="true" outlineLevel="0" collapsed="false">
      <c r="A10959" s="16" t="n">
        <v>45322</v>
      </c>
      <c r="B10959" s="17" t="s">
        <v>3861</v>
      </c>
      <c r="C10959" s="17" t="s">
        <v>3752</v>
      </c>
      <c r="D10959" s="17" t="s">
        <v>1407</v>
      </c>
      <c r="E10959" s="17" t="s">
        <v>3865</v>
      </c>
      <c r="F10959" s="17"/>
      <c r="G10959" s="18" t="n">
        <v>0</v>
      </c>
      <c r="H10959" s="18" t="n">
        <v>82.5</v>
      </c>
      <c r="I10959" s="18" t="n">
        <f aca="false">((I10958 + G10959) - H10959)</f>
        <v>57658.92</v>
      </c>
      <c r="J10959" s="18" t="n">
        <v>0</v>
      </c>
      <c r="K10959" s="19" t="n">
        <v>0</v>
      </c>
      <c r="L10959" s="17"/>
    </row>
    <row r="10960" s="11" customFormat="true" ht="10.95" hidden="false" customHeight="true" outlineLevel="0" collapsed="false">
      <c r="A10960" s="16" t="n">
        <v>45322</v>
      </c>
      <c r="B10960" s="17" t="s">
        <v>3861</v>
      </c>
      <c r="C10960" s="17" t="s">
        <v>3752</v>
      </c>
      <c r="D10960" s="17" t="s">
        <v>1407</v>
      </c>
      <c r="E10960" s="17" t="s">
        <v>3881</v>
      </c>
      <c r="F10960" s="17"/>
      <c r="G10960" s="18" t="n">
        <v>0</v>
      </c>
      <c r="H10960" s="18" t="n">
        <v>140</v>
      </c>
      <c r="I10960" s="18" t="n">
        <f aca="false">((I10959 + G10960) - H10960)</f>
        <v>57518.92</v>
      </c>
      <c r="J10960" s="18" t="n">
        <v>0</v>
      </c>
      <c r="K10960" s="19" t="n">
        <v>0</v>
      </c>
      <c r="L10960" s="17"/>
    </row>
    <row r="10961" s="11" customFormat="true" ht="10.95" hidden="false" customHeight="true" outlineLevel="0" collapsed="false">
      <c r="A10961" s="16" t="n">
        <v>45322</v>
      </c>
      <c r="B10961" s="17" t="s">
        <v>3861</v>
      </c>
      <c r="C10961" s="17" t="s">
        <v>3752</v>
      </c>
      <c r="D10961" s="17" t="s">
        <v>1407</v>
      </c>
      <c r="E10961" s="17" t="s">
        <v>3767</v>
      </c>
      <c r="F10961" s="17" t="s">
        <v>2781</v>
      </c>
      <c r="G10961" s="18" t="n">
        <v>0</v>
      </c>
      <c r="H10961" s="18" t="n">
        <v>194.75</v>
      </c>
      <c r="I10961" s="18" t="n">
        <f aca="false">((I10960 + G10961) - H10961)</f>
        <v>57324.17</v>
      </c>
      <c r="J10961" s="18" t="n">
        <v>0</v>
      </c>
      <c r="K10961" s="19" t="n">
        <v>0</v>
      </c>
      <c r="L10961" s="17"/>
    </row>
    <row r="10962" s="11" customFormat="true" ht="10.95" hidden="false" customHeight="true" outlineLevel="0" collapsed="false">
      <c r="A10962" s="16" t="n">
        <v>45322</v>
      </c>
      <c r="B10962" s="17" t="s">
        <v>3861</v>
      </c>
      <c r="C10962" s="17" t="s">
        <v>3752</v>
      </c>
      <c r="D10962" s="17" t="s">
        <v>2903</v>
      </c>
      <c r="E10962" s="17" t="s">
        <v>3643</v>
      </c>
      <c r="F10962" s="17" t="s">
        <v>1495</v>
      </c>
      <c r="G10962" s="18" t="n">
        <v>0</v>
      </c>
      <c r="H10962" s="18" t="n">
        <v>1063.92</v>
      </c>
      <c r="I10962" s="18" t="n">
        <f aca="false">((I10961 + G10962) - H10962)</f>
        <v>56260.25</v>
      </c>
      <c r="J10962" s="18" t="n">
        <v>0</v>
      </c>
      <c r="K10962" s="19" t="n">
        <v>0</v>
      </c>
      <c r="L10962" s="17"/>
    </row>
    <row r="10963" s="11" customFormat="true" ht="10.95" hidden="false" customHeight="true" outlineLevel="0" collapsed="false">
      <c r="A10963" s="16" t="n">
        <v>45322</v>
      </c>
      <c r="B10963" s="17" t="s">
        <v>3861</v>
      </c>
      <c r="C10963" s="17" t="s">
        <v>3752</v>
      </c>
      <c r="D10963" s="17" t="s">
        <v>1407</v>
      </c>
      <c r="E10963" s="17" t="s">
        <v>3879</v>
      </c>
      <c r="F10963" s="17"/>
      <c r="G10963" s="18" t="n">
        <v>0</v>
      </c>
      <c r="H10963" s="18" t="n">
        <v>1207</v>
      </c>
      <c r="I10963" s="18" t="n">
        <f aca="false">((I10962 + G10963) - H10963)</f>
        <v>55053.25</v>
      </c>
      <c r="J10963" s="18" t="n">
        <v>0</v>
      </c>
      <c r="K10963" s="19" t="n">
        <v>0</v>
      </c>
      <c r="L10963" s="17"/>
    </row>
    <row r="10964" s="11" customFormat="true" ht="10.95" hidden="false" customHeight="true" outlineLevel="0" collapsed="false">
      <c r="A10964" s="16" t="n">
        <v>45322</v>
      </c>
      <c r="B10964" s="17" t="s">
        <v>3861</v>
      </c>
      <c r="C10964" s="17" t="s">
        <v>3752</v>
      </c>
      <c r="D10964" s="17" t="s">
        <v>1407</v>
      </c>
      <c r="E10964" s="17" t="s">
        <v>3880</v>
      </c>
      <c r="F10964" s="17"/>
      <c r="G10964" s="18" t="n">
        <v>0</v>
      </c>
      <c r="H10964" s="18" t="n">
        <v>1207</v>
      </c>
      <c r="I10964" s="18" t="n">
        <f aca="false">((I10963 + G10964) - H10964)</f>
        <v>53846.25</v>
      </c>
      <c r="J10964" s="18" t="n">
        <v>0</v>
      </c>
      <c r="K10964" s="19" t="n">
        <v>0</v>
      </c>
      <c r="L10964" s="17"/>
    </row>
    <row r="10965" s="11" customFormat="true" ht="10.95" hidden="false" customHeight="true" outlineLevel="0" collapsed="false">
      <c r="A10965" s="16" t="n">
        <v>45322</v>
      </c>
      <c r="B10965" s="17" t="s">
        <v>3861</v>
      </c>
      <c r="C10965" s="17" t="s">
        <v>3752</v>
      </c>
      <c r="D10965" s="17" t="s">
        <v>1407</v>
      </c>
      <c r="E10965" s="17" t="s">
        <v>3808</v>
      </c>
      <c r="F10965" s="17"/>
      <c r="G10965" s="18" t="n">
        <v>0</v>
      </c>
      <c r="H10965" s="18" t="n">
        <v>1705.92</v>
      </c>
      <c r="I10965" s="18" t="n">
        <f aca="false">((I10964 + G10965) - H10965)</f>
        <v>52140.33</v>
      </c>
      <c r="J10965" s="18" t="n">
        <v>0</v>
      </c>
      <c r="K10965" s="19" t="n">
        <v>0</v>
      </c>
      <c r="L10965" s="17"/>
    </row>
    <row r="10966" s="11" customFormat="true" ht="10.95" hidden="false" customHeight="true" outlineLevel="0" collapsed="false">
      <c r="A10966" s="16" t="n">
        <v>45322</v>
      </c>
      <c r="B10966" s="17" t="s">
        <v>3861</v>
      </c>
      <c r="C10966" s="17" t="s">
        <v>3752</v>
      </c>
      <c r="D10966" s="17" t="s">
        <v>1407</v>
      </c>
      <c r="E10966" s="17" t="s">
        <v>3960</v>
      </c>
      <c r="F10966" s="17"/>
      <c r="G10966" s="18" t="n">
        <v>0</v>
      </c>
      <c r="H10966" s="18" t="n">
        <v>3466.72</v>
      </c>
      <c r="I10966" s="18" t="n">
        <f aca="false">((I10965 + G10966) - H10966)</f>
        <v>48673.61</v>
      </c>
      <c r="J10966" s="18" t="n">
        <v>0</v>
      </c>
      <c r="K10966" s="19" t="n">
        <v>0</v>
      </c>
      <c r="L10966" s="17"/>
    </row>
    <row r="10967" s="11" customFormat="true" ht="10.95" hidden="false" customHeight="true" outlineLevel="0" collapsed="false">
      <c r="A10967" s="16" t="n">
        <v>45322</v>
      </c>
      <c r="B10967" s="17" t="s">
        <v>3861</v>
      </c>
      <c r="C10967" s="17" t="s">
        <v>3752</v>
      </c>
      <c r="D10967" s="17" t="s">
        <v>3753</v>
      </c>
      <c r="E10967" s="17" t="s">
        <v>3806</v>
      </c>
      <c r="F10967" s="17" t="s">
        <v>3822</v>
      </c>
      <c r="G10967" s="18" t="n">
        <v>0</v>
      </c>
      <c r="H10967" s="18" t="n">
        <v>3274.94</v>
      </c>
      <c r="I10967" s="18" t="n">
        <f aca="false">((I10966 + G10967) - H10967)</f>
        <v>45398.67</v>
      </c>
      <c r="J10967" s="18" t="n">
        <v>0</v>
      </c>
      <c r="K10967" s="19" t="n">
        <v>0</v>
      </c>
      <c r="L10967" s="17"/>
    </row>
    <row r="10968" s="11" customFormat="true" ht="10.95" hidden="false" customHeight="true" outlineLevel="0" collapsed="false">
      <c r="A10968" s="16" t="n">
        <v>45322</v>
      </c>
      <c r="B10968" s="17" t="s">
        <v>3861</v>
      </c>
      <c r="C10968" s="17" t="s">
        <v>3752</v>
      </c>
      <c r="D10968" s="17" t="s">
        <v>1407</v>
      </c>
      <c r="E10968" s="17" t="s">
        <v>3757</v>
      </c>
      <c r="F10968" s="17"/>
      <c r="G10968" s="18" t="n">
        <v>0</v>
      </c>
      <c r="H10968" s="18" t="n">
        <v>16.76</v>
      </c>
      <c r="I10968" s="18" t="n">
        <f aca="false">((I10967 + G10968) - H10968)</f>
        <v>45381.91</v>
      </c>
      <c r="J10968" s="18" t="n">
        <v>0</v>
      </c>
      <c r="K10968" s="19" t="n">
        <v>0</v>
      </c>
      <c r="L10968" s="17"/>
    </row>
    <row r="10969" s="11" customFormat="true" ht="10.95" hidden="false" customHeight="true" outlineLevel="0" collapsed="false">
      <c r="A10969" s="16" t="n">
        <v>45322</v>
      </c>
      <c r="B10969" s="17" t="s">
        <v>3861</v>
      </c>
      <c r="C10969" s="17" t="s">
        <v>3752</v>
      </c>
      <c r="D10969" s="17" t="s">
        <v>1407</v>
      </c>
      <c r="E10969" s="17" t="s">
        <v>3862</v>
      </c>
      <c r="F10969" s="17"/>
      <c r="G10969" s="18" t="n">
        <v>0</v>
      </c>
      <c r="H10969" s="18" t="n">
        <v>22.81</v>
      </c>
      <c r="I10969" s="18" t="n">
        <f aca="false">((I10968 + G10969) - H10969)</f>
        <v>45359.1</v>
      </c>
      <c r="J10969" s="18" t="n">
        <v>0</v>
      </c>
      <c r="K10969" s="19" t="n">
        <v>0</v>
      </c>
      <c r="L10969" s="17"/>
    </row>
    <row r="10970" s="11" customFormat="true" ht="10.95" hidden="false" customHeight="true" outlineLevel="0" collapsed="false">
      <c r="A10970" s="16" t="n">
        <v>45322</v>
      </c>
      <c r="B10970" s="17" t="s">
        <v>3861</v>
      </c>
      <c r="C10970" s="17" t="s">
        <v>3752</v>
      </c>
      <c r="D10970" s="17" t="s">
        <v>2895</v>
      </c>
      <c r="E10970" s="17" t="s">
        <v>3467</v>
      </c>
      <c r="F10970" s="17" t="s">
        <v>4251</v>
      </c>
      <c r="G10970" s="18" t="n">
        <v>1264.45</v>
      </c>
      <c r="H10970" s="18" t="n">
        <v>0</v>
      </c>
      <c r="I10970" s="18" t="n">
        <f aca="false">((I10969 + G10970) - H10970)</f>
        <v>46623.55</v>
      </c>
      <c r="J10970" s="18" t="n">
        <v>0</v>
      </c>
      <c r="K10970" s="19" t="n">
        <v>0</v>
      </c>
      <c r="L10970" s="17"/>
    </row>
    <row r="10971" s="11" customFormat="true" ht="10.95" hidden="false" customHeight="true" outlineLevel="0" collapsed="false">
      <c r="A10971" s="16" t="n">
        <v>45322</v>
      </c>
      <c r="B10971" s="17" t="s">
        <v>3861</v>
      </c>
      <c r="C10971" s="17" t="s">
        <v>3752</v>
      </c>
      <c r="D10971" s="17" t="s">
        <v>1407</v>
      </c>
      <c r="E10971" s="17" t="s">
        <v>3776</v>
      </c>
      <c r="F10971" s="17"/>
      <c r="G10971" s="18" t="n">
        <v>0</v>
      </c>
      <c r="H10971" s="18" t="n">
        <v>587.11</v>
      </c>
      <c r="I10971" s="18" t="n">
        <f aca="false">((I10970 + G10971) - H10971)</f>
        <v>46036.44</v>
      </c>
      <c r="J10971" s="18" t="n">
        <v>0</v>
      </c>
      <c r="K10971" s="19" t="n">
        <v>0</v>
      </c>
      <c r="L10971" s="17"/>
    </row>
    <row r="10972" s="11" customFormat="true" ht="10.95" hidden="false" customHeight="true" outlineLevel="0" collapsed="false">
      <c r="A10972" s="16" t="n">
        <v>45323</v>
      </c>
      <c r="B10972" s="17" t="s">
        <v>3861</v>
      </c>
      <c r="C10972" s="17" t="s">
        <v>3752</v>
      </c>
      <c r="D10972" s="17" t="s">
        <v>1276</v>
      </c>
      <c r="E10972" s="17" t="s">
        <v>3423</v>
      </c>
      <c r="F10972" s="17" t="s">
        <v>1354</v>
      </c>
      <c r="G10972" s="18" t="n">
        <v>1.59</v>
      </c>
      <c r="H10972" s="18" t="n">
        <v>0</v>
      </c>
      <c r="I10972" s="18" t="n">
        <f aca="false">((I10971 + G10972) - H10972)</f>
        <v>46038.03</v>
      </c>
      <c r="J10972" s="18" t="n">
        <v>0</v>
      </c>
      <c r="K10972" s="19" t="n">
        <v>0</v>
      </c>
      <c r="L10972" s="17"/>
    </row>
    <row r="10973" s="11" customFormat="true" ht="10.95" hidden="false" customHeight="true" outlineLevel="0" collapsed="false">
      <c r="A10973" s="16" t="n">
        <v>45323</v>
      </c>
      <c r="B10973" s="17" t="s">
        <v>3861</v>
      </c>
      <c r="C10973" s="17" t="s">
        <v>3752</v>
      </c>
      <c r="D10973" s="17" t="s">
        <v>2895</v>
      </c>
      <c r="E10973" s="17" t="s">
        <v>2896</v>
      </c>
      <c r="F10973" s="17" t="s">
        <v>1354</v>
      </c>
      <c r="G10973" s="18" t="n">
        <v>89.11</v>
      </c>
      <c r="H10973" s="18" t="n">
        <v>0</v>
      </c>
      <c r="I10973" s="18" t="n">
        <f aca="false">((I10972 + G10973) - H10973)</f>
        <v>46127.14</v>
      </c>
      <c r="J10973" s="18" t="n">
        <v>0</v>
      </c>
      <c r="K10973" s="19" t="n">
        <v>0</v>
      </c>
      <c r="L10973" s="17"/>
    </row>
    <row r="10974" s="11" customFormat="true" ht="10.95" hidden="false" customHeight="true" outlineLevel="0" collapsed="false">
      <c r="A10974" s="16" t="n">
        <v>45323</v>
      </c>
      <c r="B10974" s="17" t="s">
        <v>3861</v>
      </c>
      <c r="C10974" s="17" t="s">
        <v>3752</v>
      </c>
      <c r="D10974" s="17" t="s">
        <v>1407</v>
      </c>
      <c r="E10974" s="17" t="s">
        <v>3862</v>
      </c>
      <c r="F10974" s="17" t="s">
        <v>1354</v>
      </c>
      <c r="G10974" s="18" t="n">
        <v>0</v>
      </c>
      <c r="H10974" s="18" t="n">
        <v>3.46</v>
      </c>
      <c r="I10974" s="18" t="n">
        <f aca="false">((I10973 + G10974) - H10974)</f>
        <v>46123.68</v>
      </c>
      <c r="J10974" s="18" t="n">
        <v>0</v>
      </c>
      <c r="K10974" s="19" t="n">
        <v>0</v>
      </c>
      <c r="L10974" s="17"/>
    </row>
    <row r="10975" s="11" customFormat="true" ht="10.95" hidden="false" customHeight="true" outlineLevel="0" collapsed="false">
      <c r="A10975" s="16" t="n">
        <v>45323</v>
      </c>
      <c r="B10975" s="17" t="s">
        <v>3861</v>
      </c>
      <c r="C10975" s="17" t="s">
        <v>3752</v>
      </c>
      <c r="D10975" s="17" t="s">
        <v>2895</v>
      </c>
      <c r="E10975" s="17" t="s">
        <v>2964</v>
      </c>
      <c r="F10975" s="17" t="s">
        <v>1356</v>
      </c>
      <c r="G10975" s="18" t="n">
        <v>338.73</v>
      </c>
      <c r="H10975" s="18" t="n">
        <v>0</v>
      </c>
      <c r="I10975" s="18" t="n">
        <f aca="false">((I10974 + G10975) - H10975)</f>
        <v>46462.41</v>
      </c>
      <c r="J10975" s="18" t="n">
        <v>0</v>
      </c>
      <c r="K10975" s="19" t="n">
        <v>0</v>
      </c>
      <c r="L10975" s="17"/>
    </row>
    <row r="10976" s="11" customFormat="true" ht="10.95" hidden="false" customHeight="true" outlineLevel="0" collapsed="false">
      <c r="A10976" s="16" t="n">
        <v>45323</v>
      </c>
      <c r="B10976" s="17" t="s">
        <v>3861</v>
      </c>
      <c r="C10976" s="17" t="s">
        <v>3752</v>
      </c>
      <c r="D10976" s="17" t="s">
        <v>1407</v>
      </c>
      <c r="E10976" s="17" t="s">
        <v>3862</v>
      </c>
      <c r="F10976" s="17" t="s">
        <v>1356</v>
      </c>
      <c r="G10976" s="18" t="n">
        <v>0</v>
      </c>
      <c r="H10976" s="18" t="n">
        <v>12.36</v>
      </c>
      <c r="I10976" s="18" t="n">
        <f aca="false">((I10975 + G10976) - H10976)</f>
        <v>46450.05</v>
      </c>
      <c r="J10976" s="18" t="n">
        <v>0</v>
      </c>
      <c r="K10976" s="19" t="n">
        <v>0</v>
      </c>
      <c r="L10976" s="17"/>
    </row>
    <row r="10977" s="11" customFormat="true" ht="10.95" hidden="false" customHeight="true" outlineLevel="0" collapsed="false">
      <c r="A10977" s="16" t="n">
        <v>45323</v>
      </c>
      <c r="B10977" s="17" t="s">
        <v>3861</v>
      </c>
      <c r="C10977" s="17" t="s">
        <v>3752</v>
      </c>
      <c r="D10977" s="17" t="s">
        <v>1276</v>
      </c>
      <c r="E10977" s="17" t="s">
        <v>3506</v>
      </c>
      <c r="F10977" s="17" t="s">
        <v>1356</v>
      </c>
      <c r="G10977" s="18" t="n">
        <v>6.09</v>
      </c>
      <c r="H10977" s="18" t="n">
        <v>0</v>
      </c>
      <c r="I10977" s="18" t="n">
        <f aca="false">((I10976 + G10977) - H10977)</f>
        <v>46456.14</v>
      </c>
      <c r="J10977" s="18" t="n">
        <v>0</v>
      </c>
      <c r="K10977" s="19" t="n">
        <v>0</v>
      </c>
      <c r="L10977" s="17"/>
    </row>
    <row r="10978" s="11" customFormat="true" ht="10.95" hidden="false" customHeight="true" outlineLevel="0" collapsed="false">
      <c r="A10978" s="16" t="n">
        <v>45323</v>
      </c>
      <c r="B10978" s="17" t="s">
        <v>3861</v>
      </c>
      <c r="C10978" s="17" t="s">
        <v>3752</v>
      </c>
      <c r="D10978" s="17" t="s">
        <v>2895</v>
      </c>
      <c r="E10978" s="17" t="s">
        <v>2951</v>
      </c>
      <c r="F10978" s="17" t="s">
        <v>3042</v>
      </c>
      <c r="G10978" s="18" t="n">
        <v>1464.08</v>
      </c>
      <c r="H10978" s="18" t="n">
        <v>0</v>
      </c>
      <c r="I10978" s="18" t="n">
        <f aca="false">((I10977 + G10978) - H10978)</f>
        <v>47920.22</v>
      </c>
      <c r="J10978" s="18" t="n">
        <v>0</v>
      </c>
      <c r="K10978" s="19" t="n">
        <v>0</v>
      </c>
      <c r="L10978" s="17"/>
    </row>
    <row r="10979" s="11" customFormat="true" ht="10.95" hidden="false" customHeight="true" outlineLevel="0" collapsed="false">
      <c r="A10979" s="16" t="n">
        <v>45323</v>
      </c>
      <c r="B10979" s="17" t="s">
        <v>3861</v>
      </c>
      <c r="C10979" s="17" t="s">
        <v>3752</v>
      </c>
      <c r="D10979" s="17" t="s">
        <v>2895</v>
      </c>
      <c r="E10979" s="17" t="s">
        <v>2951</v>
      </c>
      <c r="F10979" s="17" t="s">
        <v>3043</v>
      </c>
      <c r="G10979" s="18" t="n">
        <v>1464.08</v>
      </c>
      <c r="H10979" s="18" t="n">
        <v>0</v>
      </c>
      <c r="I10979" s="18" t="n">
        <f aca="false">((I10978 + G10979) - H10979)</f>
        <v>49384.3</v>
      </c>
      <c r="J10979" s="18" t="n">
        <v>0</v>
      </c>
      <c r="K10979" s="19" t="n">
        <v>0</v>
      </c>
      <c r="L10979" s="17"/>
    </row>
    <row r="10980" s="11" customFormat="true" ht="10.95" hidden="false" customHeight="true" outlineLevel="0" collapsed="false">
      <c r="A10980" s="16" t="n">
        <v>45323</v>
      </c>
      <c r="B10980" s="17" t="s">
        <v>3861</v>
      </c>
      <c r="C10980" s="17" t="s">
        <v>3752</v>
      </c>
      <c r="D10980" s="17" t="s">
        <v>2895</v>
      </c>
      <c r="E10980" s="17" t="s">
        <v>3456</v>
      </c>
      <c r="F10980" s="17" t="s">
        <v>4252</v>
      </c>
      <c r="G10980" s="18" t="n">
        <v>2244</v>
      </c>
      <c r="H10980" s="18" t="n">
        <v>0</v>
      </c>
      <c r="I10980" s="18" t="n">
        <f aca="false">((I10979 + G10980) - H10980)</f>
        <v>51628.3</v>
      </c>
      <c r="J10980" s="18" t="n">
        <v>0</v>
      </c>
      <c r="K10980" s="19" t="n">
        <v>0</v>
      </c>
      <c r="L10980" s="17"/>
    </row>
    <row r="10981" s="11" customFormat="true" ht="10.95" hidden="false" customHeight="true" outlineLevel="0" collapsed="false">
      <c r="A10981" s="16" t="n">
        <v>45323</v>
      </c>
      <c r="B10981" s="17" t="s">
        <v>3861</v>
      </c>
      <c r="C10981" s="17" t="s">
        <v>3752</v>
      </c>
      <c r="D10981" s="17" t="s">
        <v>2895</v>
      </c>
      <c r="E10981" s="17" t="s">
        <v>3472</v>
      </c>
      <c r="F10981" s="17" t="s">
        <v>4253</v>
      </c>
      <c r="G10981" s="18" t="n">
        <v>1278.2</v>
      </c>
      <c r="H10981" s="18" t="n">
        <v>0</v>
      </c>
      <c r="I10981" s="18" t="n">
        <f aca="false">((I10980 + G10981) - H10981)</f>
        <v>52906.5</v>
      </c>
      <c r="J10981" s="18" t="n">
        <v>0</v>
      </c>
      <c r="K10981" s="19" t="n">
        <v>0</v>
      </c>
      <c r="L10981" s="17"/>
    </row>
    <row r="10982" s="11" customFormat="true" ht="10.95" hidden="false" customHeight="true" outlineLevel="0" collapsed="false">
      <c r="A10982" s="16" t="n">
        <v>45323</v>
      </c>
      <c r="B10982" s="17" t="s">
        <v>3861</v>
      </c>
      <c r="C10982" s="17" t="s">
        <v>3752</v>
      </c>
      <c r="D10982" s="17" t="s">
        <v>2895</v>
      </c>
      <c r="E10982" s="17" t="s">
        <v>3497</v>
      </c>
      <c r="F10982" s="17" t="s">
        <v>4254</v>
      </c>
      <c r="G10982" s="18" t="n">
        <v>1071.4</v>
      </c>
      <c r="H10982" s="18" t="n">
        <v>0</v>
      </c>
      <c r="I10982" s="18" t="n">
        <f aca="false">((I10981 + G10982) - H10982)</f>
        <v>53977.9</v>
      </c>
      <c r="J10982" s="18" t="n">
        <v>0</v>
      </c>
      <c r="K10982" s="19" t="n">
        <v>0</v>
      </c>
      <c r="L10982" s="17"/>
    </row>
    <row r="10983" s="11" customFormat="true" ht="10.95" hidden="false" customHeight="true" outlineLevel="0" collapsed="false">
      <c r="A10983" s="16" t="n">
        <v>45323</v>
      </c>
      <c r="B10983" s="17" t="s">
        <v>3861</v>
      </c>
      <c r="C10983" s="17" t="s">
        <v>3752</v>
      </c>
      <c r="D10983" s="17" t="s">
        <v>2895</v>
      </c>
      <c r="E10983" s="17" t="s">
        <v>3504</v>
      </c>
      <c r="F10983" s="17" t="s">
        <v>4255</v>
      </c>
      <c r="G10983" s="18" t="n">
        <v>1034.55</v>
      </c>
      <c r="H10983" s="18" t="n">
        <v>0</v>
      </c>
      <c r="I10983" s="18" t="n">
        <f aca="false">((I10982 + G10983) - H10983)</f>
        <v>55012.45</v>
      </c>
      <c r="J10983" s="18" t="n">
        <v>0</v>
      </c>
      <c r="K10983" s="19" t="n">
        <v>0</v>
      </c>
      <c r="L10983" s="17"/>
    </row>
    <row r="10984" s="11" customFormat="true" ht="10.95" hidden="false" customHeight="true" outlineLevel="0" collapsed="false">
      <c r="A10984" s="16" t="n">
        <v>45323</v>
      </c>
      <c r="B10984" s="17" t="s">
        <v>3861</v>
      </c>
      <c r="C10984" s="17" t="s">
        <v>3752</v>
      </c>
      <c r="D10984" s="17" t="s">
        <v>2895</v>
      </c>
      <c r="E10984" s="17" t="s">
        <v>2898</v>
      </c>
      <c r="F10984" s="17" t="s">
        <v>3044</v>
      </c>
      <c r="G10984" s="18" t="n">
        <v>747.99</v>
      </c>
      <c r="H10984" s="18" t="n">
        <v>0</v>
      </c>
      <c r="I10984" s="18" t="n">
        <f aca="false">((I10983 + G10984) - H10984)</f>
        <v>55760.44</v>
      </c>
      <c r="J10984" s="18" t="n">
        <v>0</v>
      </c>
      <c r="K10984" s="19" t="n">
        <v>0</v>
      </c>
      <c r="L10984" s="17"/>
    </row>
    <row r="10985" s="11" customFormat="true" ht="10.95" hidden="false" customHeight="true" outlineLevel="0" collapsed="false">
      <c r="A10985" s="16" t="n">
        <v>45323</v>
      </c>
      <c r="B10985" s="17" t="s">
        <v>3861</v>
      </c>
      <c r="C10985" s="17" t="s">
        <v>3752</v>
      </c>
      <c r="D10985" s="17" t="s">
        <v>2895</v>
      </c>
      <c r="E10985" s="17" t="s">
        <v>3401</v>
      </c>
      <c r="F10985" s="17" t="s">
        <v>4256</v>
      </c>
      <c r="G10985" s="18" t="n">
        <v>561</v>
      </c>
      <c r="H10985" s="18" t="n">
        <v>0</v>
      </c>
      <c r="I10985" s="18" t="n">
        <f aca="false">((I10984 + G10985) - H10985)</f>
        <v>56321.44</v>
      </c>
      <c r="J10985" s="18" t="n">
        <v>0</v>
      </c>
      <c r="K10985" s="19" t="n">
        <v>0</v>
      </c>
      <c r="L10985" s="17"/>
    </row>
    <row r="10986" s="11" customFormat="true" ht="10.95" hidden="false" customHeight="true" outlineLevel="0" collapsed="false">
      <c r="A10986" s="16" t="n">
        <v>45323</v>
      </c>
      <c r="B10986" s="17" t="s">
        <v>3861</v>
      </c>
      <c r="C10986" s="17" t="s">
        <v>3752</v>
      </c>
      <c r="D10986" s="17" t="s">
        <v>2903</v>
      </c>
      <c r="E10986" s="17" t="s">
        <v>3616</v>
      </c>
      <c r="F10986" s="17" t="s">
        <v>3291</v>
      </c>
      <c r="G10986" s="18" t="n">
        <v>0</v>
      </c>
      <c r="H10986" s="18" t="n">
        <v>2905.1</v>
      </c>
      <c r="I10986" s="18" t="n">
        <f aca="false">((I10985 + G10986) - H10986)</f>
        <v>53416.34</v>
      </c>
      <c r="J10986" s="18" t="n">
        <v>0</v>
      </c>
      <c r="K10986" s="19" t="n">
        <v>0</v>
      </c>
      <c r="L10986" s="17"/>
    </row>
    <row r="10987" s="11" customFormat="true" ht="10.95" hidden="false" customHeight="true" outlineLevel="0" collapsed="false">
      <c r="A10987" s="16" t="n">
        <v>45323</v>
      </c>
      <c r="B10987" s="17" t="s">
        <v>3861</v>
      </c>
      <c r="C10987" s="17" t="s">
        <v>3752</v>
      </c>
      <c r="D10987" s="17" t="s">
        <v>1407</v>
      </c>
      <c r="E10987" s="17" t="s">
        <v>3863</v>
      </c>
      <c r="F10987" s="17"/>
      <c r="G10987" s="18" t="n">
        <v>0</v>
      </c>
      <c r="H10987" s="18" t="n">
        <v>10</v>
      </c>
      <c r="I10987" s="18" t="n">
        <f aca="false">((I10986 + G10987) - H10987)</f>
        <v>53406.34</v>
      </c>
      <c r="J10987" s="18" t="n">
        <v>0</v>
      </c>
      <c r="K10987" s="19" t="n">
        <v>0</v>
      </c>
      <c r="L10987" s="17"/>
    </row>
    <row r="10988" s="11" customFormat="true" ht="10.95" hidden="false" customHeight="true" outlineLevel="0" collapsed="false">
      <c r="A10988" s="16" t="n">
        <v>45323</v>
      </c>
      <c r="B10988" s="17" t="s">
        <v>3861</v>
      </c>
      <c r="C10988" s="17" t="s">
        <v>3752</v>
      </c>
      <c r="D10988" s="17" t="s">
        <v>1407</v>
      </c>
      <c r="E10988" s="17" t="s">
        <v>3863</v>
      </c>
      <c r="F10988" s="17"/>
      <c r="G10988" s="18" t="n">
        <v>0</v>
      </c>
      <c r="H10988" s="18" t="n">
        <v>30.6</v>
      </c>
      <c r="I10988" s="18" t="n">
        <f aca="false">((I10987 + G10988) - H10988)</f>
        <v>53375.74</v>
      </c>
      <c r="J10988" s="18" t="n">
        <v>0</v>
      </c>
      <c r="K10988" s="19" t="n">
        <v>0</v>
      </c>
      <c r="L10988" s="17"/>
    </row>
    <row r="10989" s="11" customFormat="true" ht="10.95" hidden="false" customHeight="true" outlineLevel="0" collapsed="false">
      <c r="A10989" s="16" t="n">
        <v>45323</v>
      </c>
      <c r="B10989" s="17" t="s">
        <v>3861</v>
      </c>
      <c r="C10989" s="17" t="s">
        <v>3752</v>
      </c>
      <c r="D10989" s="17" t="s">
        <v>1407</v>
      </c>
      <c r="E10989" s="17" t="s">
        <v>3817</v>
      </c>
      <c r="F10989" s="17"/>
      <c r="G10989" s="18" t="n">
        <v>0</v>
      </c>
      <c r="H10989" s="18" t="n">
        <v>1020.06</v>
      </c>
      <c r="I10989" s="18" t="n">
        <f aca="false">((I10988 + G10989) - H10989)</f>
        <v>52355.68</v>
      </c>
      <c r="J10989" s="18" t="n">
        <v>0</v>
      </c>
      <c r="K10989" s="19" t="n">
        <v>0</v>
      </c>
      <c r="L10989" s="17"/>
    </row>
    <row r="10990" s="11" customFormat="true" ht="10.95" hidden="false" customHeight="true" outlineLevel="0" collapsed="false">
      <c r="A10990" s="16" t="n">
        <v>45323</v>
      </c>
      <c r="B10990" s="17" t="s">
        <v>3861</v>
      </c>
      <c r="C10990" s="17" t="s">
        <v>3752</v>
      </c>
      <c r="D10990" s="17" t="s">
        <v>2895</v>
      </c>
      <c r="E10990" s="17" t="s">
        <v>3474</v>
      </c>
      <c r="F10990" s="17" t="s">
        <v>4257</v>
      </c>
      <c r="G10990" s="18" t="n">
        <v>257.5</v>
      </c>
      <c r="H10990" s="18" t="n">
        <v>0</v>
      </c>
      <c r="I10990" s="18" t="n">
        <f aca="false">((I10989 + G10990) - H10990)</f>
        <v>52613.18</v>
      </c>
      <c r="J10990" s="18" t="n">
        <v>0</v>
      </c>
      <c r="K10990" s="19" t="n">
        <v>0</v>
      </c>
      <c r="L10990" s="17"/>
    </row>
    <row r="10991" s="11" customFormat="true" ht="10.95" hidden="false" customHeight="true" outlineLevel="0" collapsed="false">
      <c r="A10991" s="16" t="n">
        <v>45323</v>
      </c>
      <c r="B10991" s="17" t="s">
        <v>3861</v>
      </c>
      <c r="C10991" s="17" t="s">
        <v>3752</v>
      </c>
      <c r="D10991" s="17" t="s">
        <v>2895</v>
      </c>
      <c r="E10991" s="17" t="s">
        <v>3045</v>
      </c>
      <c r="F10991" s="17" t="s">
        <v>3046</v>
      </c>
      <c r="G10991" s="18" t="n">
        <v>4095.31</v>
      </c>
      <c r="H10991" s="18" t="n">
        <v>0</v>
      </c>
      <c r="I10991" s="18" t="n">
        <f aca="false">((I10990 + G10991) - H10991)</f>
        <v>56708.49</v>
      </c>
      <c r="J10991" s="18" t="n">
        <v>0</v>
      </c>
      <c r="K10991" s="19" t="n">
        <v>0</v>
      </c>
      <c r="L10991" s="17"/>
    </row>
    <row r="10992" s="11" customFormat="true" ht="10.95" hidden="false" customHeight="true" outlineLevel="0" collapsed="false">
      <c r="A10992" s="16" t="n">
        <v>45324</v>
      </c>
      <c r="B10992" s="17" t="s">
        <v>3861</v>
      </c>
      <c r="C10992" s="17" t="s">
        <v>3752</v>
      </c>
      <c r="D10992" s="17" t="s">
        <v>2895</v>
      </c>
      <c r="E10992" s="17" t="s">
        <v>2922</v>
      </c>
      <c r="F10992" s="17" t="s">
        <v>3047</v>
      </c>
      <c r="G10992" s="18" t="n">
        <v>9052.45</v>
      </c>
      <c r="H10992" s="18" t="n">
        <v>0</v>
      </c>
      <c r="I10992" s="18" t="n">
        <f aca="false">((I10991 + G10992) - H10992)</f>
        <v>65760.94</v>
      </c>
      <c r="J10992" s="18" t="n">
        <v>0</v>
      </c>
      <c r="K10992" s="19" t="n">
        <v>0</v>
      </c>
      <c r="L10992" s="17"/>
    </row>
    <row r="10993" s="11" customFormat="true" ht="10.95" hidden="false" customHeight="true" outlineLevel="0" collapsed="false">
      <c r="A10993" s="16" t="n">
        <v>45324</v>
      </c>
      <c r="B10993" s="17" t="s">
        <v>3861</v>
      </c>
      <c r="C10993" s="17" t="s">
        <v>3752</v>
      </c>
      <c r="D10993" s="17" t="s">
        <v>2895</v>
      </c>
      <c r="E10993" s="17" t="s">
        <v>3503</v>
      </c>
      <c r="F10993" s="17" t="s">
        <v>4258</v>
      </c>
      <c r="G10993" s="18" t="n">
        <v>199.65</v>
      </c>
      <c r="H10993" s="18" t="n">
        <v>0</v>
      </c>
      <c r="I10993" s="18" t="n">
        <f aca="false">((I10992 + G10993) - H10993)</f>
        <v>65960.59</v>
      </c>
      <c r="J10993" s="18" t="n">
        <v>0</v>
      </c>
      <c r="K10993" s="19" t="n">
        <v>0</v>
      </c>
      <c r="L10993" s="17"/>
    </row>
    <row r="10994" s="11" customFormat="true" ht="10.95" hidden="false" customHeight="true" outlineLevel="0" collapsed="false">
      <c r="A10994" s="16" t="n">
        <v>45324</v>
      </c>
      <c r="B10994" s="17" t="s">
        <v>3861</v>
      </c>
      <c r="C10994" s="17" t="s">
        <v>3752</v>
      </c>
      <c r="D10994" s="17" t="s">
        <v>2895</v>
      </c>
      <c r="E10994" s="17" t="s">
        <v>3474</v>
      </c>
      <c r="F10994" s="17" t="s">
        <v>4257</v>
      </c>
      <c r="G10994" s="18" t="n">
        <v>100</v>
      </c>
      <c r="H10994" s="18" t="n">
        <v>0</v>
      </c>
      <c r="I10994" s="18" t="n">
        <f aca="false">((I10993 + G10994) - H10994)</f>
        <v>66060.59</v>
      </c>
      <c r="J10994" s="18" t="n">
        <v>0</v>
      </c>
      <c r="K10994" s="19" t="n">
        <v>0</v>
      </c>
      <c r="L10994" s="17"/>
    </row>
    <row r="10995" s="11" customFormat="true" ht="10.95" hidden="false" customHeight="true" outlineLevel="0" collapsed="false">
      <c r="A10995" s="16" t="n">
        <v>45324</v>
      </c>
      <c r="B10995" s="17" t="s">
        <v>3861</v>
      </c>
      <c r="C10995" s="17" t="s">
        <v>3752</v>
      </c>
      <c r="D10995" s="17" t="s">
        <v>2903</v>
      </c>
      <c r="E10995" s="17" t="s">
        <v>3048</v>
      </c>
      <c r="F10995" s="17" t="s">
        <v>2069</v>
      </c>
      <c r="G10995" s="18" t="n">
        <v>0</v>
      </c>
      <c r="H10995" s="18" t="n">
        <v>7227</v>
      </c>
      <c r="I10995" s="18" t="n">
        <f aca="false">((I10994 + G10995) - H10995)</f>
        <v>58833.59</v>
      </c>
      <c r="J10995" s="18" t="n">
        <v>0</v>
      </c>
      <c r="K10995" s="19" t="n">
        <v>0</v>
      </c>
      <c r="L10995" s="17"/>
    </row>
    <row r="10996" s="11" customFormat="true" ht="10.95" hidden="false" customHeight="true" outlineLevel="0" collapsed="false">
      <c r="A10996" s="16" t="n">
        <v>45324</v>
      </c>
      <c r="B10996" s="17" t="s">
        <v>3861</v>
      </c>
      <c r="C10996" s="17" t="s">
        <v>3752</v>
      </c>
      <c r="D10996" s="17" t="s">
        <v>2903</v>
      </c>
      <c r="E10996" s="17" t="s">
        <v>2943</v>
      </c>
      <c r="F10996" s="17" t="s">
        <v>1785</v>
      </c>
      <c r="G10996" s="18" t="n">
        <v>0</v>
      </c>
      <c r="H10996" s="18" t="n">
        <v>776.52</v>
      </c>
      <c r="I10996" s="18" t="n">
        <f aca="false">((I10995 + G10996) - H10996)</f>
        <v>58057.07</v>
      </c>
      <c r="J10996" s="18" t="n">
        <v>0</v>
      </c>
      <c r="K10996" s="19" t="n">
        <v>0</v>
      </c>
      <c r="L10996" s="17"/>
    </row>
    <row r="10997" s="11" customFormat="true" ht="10.95" hidden="false" customHeight="true" outlineLevel="0" collapsed="false">
      <c r="A10997" s="16" t="n">
        <v>45324</v>
      </c>
      <c r="B10997" s="17" t="s">
        <v>3861</v>
      </c>
      <c r="C10997" s="17" t="s">
        <v>3752</v>
      </c>
      <c r="D10997" s="17" t="s">
        <v>1407</v>
      </c>
      <c r="E10997" s="17" t="s">
        <v>3437</v>
      </c>
      <c r="F10997" s="17"/>
      <c r="G10997" s="18" t="n">
        <v>9905.94</v>
      </c>
      <c r="H10997" s="18" t="n">
        <v>0</v>
      </c>
      <c r="I10997" s="18" t="n">
        <f aca="false">((I10996 + G10997) - H10997)</f>
        <v>67963.01</v>
      </c>
      <c r="J10997" s="18" t="n">
        <v>0</v>
      </c>
      <c r="K10997" s="19" t="n">
        <v>0</v>
      </c>
      <c r="L10997" s="17"/>
    </row>
    <row r="10998" s="11" customFormat="true" ht="10.95" hidden="false" customHeight="true" outlineLevel="0" collapsed="false">
      <c r="A10998" s="16" t="n">
        <v>45324</v>
      </c>
      <c r="B10998" s="17" t="s">
        <v>3861</v>
      </c>
      <c r="C10998" s="17" t="s">
        <v>3752</v>
      </c>
      <c r="D10998" s="17" t="s">
        <v>2895</v>
      </c>
      <c r="E10998" s="17" t="s">
        <v>3391</v>
      </c>
      <c r="F10998" s="17" t="s">
        <v>4259</v>
      </c>
      <c r="G10998" s="18" t="n">
        <v>1100.06</v>
      </c>
      <c r="H10998" s="18" t="n">
        <v>0</v>
      </c>
      <c r="I10998" s="18" t="n">
        <f aca="false">((I10997 + G10998) - H10998)</f>
        <v>69063.07</v>
      </c>
      <c r="J10998" s="18" t="n">
        <v>0</v>
      </c>
      <c r="K10998" s="19" t="n">
        <v>0</v>
      </c>
      <c r="L10998" s="17"/>
    </row>
    <row r="10999" s="11" customFormat="true" ht="10.95" hidden="false" customHeight="true" outlineLevel="0" collapsed="false">
      <c r="A10999" s="16" t="n">
        <v>45325</v>
      </c>
      <c r="B10999" s="17" t="s">
        <v>3861</v>
      </c>
      <c r="C10999" s="17" t="s">
        <v>3752</v>
      </c>
      <c r="D10999" s="17" t="s">
        <v>1276</v>
      </c>
      <c r="E10999" s="17" t="s">
        <v>3685</v>
      </c>
      <c r="F10999" s="17"/>
      <c r="G10999" s="18" t="n">
        <v>233.89</v>
      </c>
      <c r="H10999" s="18" t="n">
        <v>0</v>
      </c>
      <c r="I10999" s="18" t="n">
        <f aca="false">((I10998 + G10999) - H10999)</f>
        <v>69296.96</v>
      </c>
      <c r="J10999" s="18" t="n">
        <v>0</v>
      </c>
      <c r="K10999" s="19" t="n">
        <v>0</v>
      </c>
      <c r="L10999" s="17"/>
    </row>
    <row r="11000" s="11" customFormat="true" ht="10.95" hidden="false" customHeight="true" outlineLevel="0" collapsed="false">
      <c r="A11000" s="16" t="n">
        <v>45325</v>
      </c>
      <c r="B11000" s="17" t="s">
        <v>3861</v>
      </c>
      <c r="C11000" s="17" t="s">
        <v>3752</v>
      </c>
      <c r="D11000" s="17" t="s">
        <v>2903</v>
      </c>
      <c r="E11000" s="17" t="s">
        <v>3657</v>
      </c>
      <c r="F11000" s="17" t="s">
        <v>2470</v>
      </c>
      <c r="G11000" s="18" t="n">
        <v>0</v>
      </c>
      <c r="H11000" s="18" t="n">
        <v>80.12</v>
      </c>
      <c r="I11000" s="18" t="n">
        <f aca="false">((I10999 + G11000) - H11000)</f>
        <v>69216.84</v>
      </c>
      <c r="J11000" s="18" t="n">
        <v>0</v>
      </c>
      <c r="K11000" s="19" t="n">
        <v>0</v>
      </c>
      <c r="L11000" s="17"/>
    </row>
    <row r="11001" s="11" customFormat="true" ht="10.95" hidden="false" customHeight="true" outlineLevel="0" collapsed="false">
      <c r="A11001" s="16" t="n">
        <v>45325</v>
      </c>
      <c r="B11001" s="17" t="s">
        <v>3861</v>
      </c>
      <c r="C11001" s="17" t="s">
        <v>3752</v>
      </c>
      <c r="D11001" s="17" t="s">
        <v>1407</v>
      </c>
      <c r="E11001" s="17" t="s">
        <v>3437</v>
      </c>
      <c r="F11001" s="17"/>
      <c r="G11001" s="18" t="n">
        <v>0</v>
      </c>
      <c r="H11001" s="18" t="n">
        <v>9905.94</v>
      </c>
      <c r="I11001" s="18" t="n">
        <f aca="false">((I11000 + G11001) - H11001)</f>
        <v>59310.9</v>
      </c>
      <c r="J11001" s="18" t="n">
        <v>0</v>
      </c>
      <c r="K11001" s="19" t="n">
        <v>0</v>
      </c>
      <c r="L11001" s="17"/>
    </row>
    <row r="11002" s="11" customFormat="true" ht="10.95" hidden="false" customHeight="true" outlineLevel="0" collapsed="false">
      <c r="A11002" s="16" t="n">
        <v>45325</v>
      </c>
      <c r="B11002" s="17" t="s">
        <v>3861</v>
      </c>
      <c r="C11002" s="17" t="s">
        <v>3752</v>
      </c>
      <c r="D11002" s="17" t="s">
        <v>1407</v>
      </c>
      <c r="E11002" s="17" t="s">
        <v>3717</v>
      </c>
      <c r="F11002" s="17"/>
      <c r="G11002" s="18" t="n">
        <v>0</v>
      </c>
      <c r="H11002" s="18" t="n">
        <v>1254.99</v>
      </c>
      <c r="I11002" s="18" t="n">
        <f aca="false">((I11001 + G11002) - H11002)</f>
        <v>58055.91</v>
      </c>
      <c r="J11002" s="18" t="n">
        <v>0</v>
      </c>
      <c r="K11002" s="19" t="n">
        <v>0</v>
      </c>
      <c r="L11002" s="17"/>
    </row>
    <row r="11003" s="11" customFormat="true" ht="10.95" hidden="false" customHeight="true" outlineLevel="0" collapsed="false">
      <c r="A11003" s="16" t="n">
        <v>45327</v>
      </c>
      <c r="B11003" s="17" t="s">
        <v>3861</v>
      </c>
      <c r="C11003" s="17" t="s">
        <v>3752</v>
      </c>
      <c r="D11003" s="17" t="s">
        <v>2895</v>
      </c>
      <c r="E11003" s="17" t="s">
        <v>2925</v>
      </c>
      <c r="F11003" s="17" t="s">
        <v>3050</v>
      </c>
      <c r="G11003" s="18" t="n">
        <v>480.08</v>
      </c>
      <c r="H11003" s="18" t="n">
        <v>0</v>
      </c>
      <c r="I11003" s="18" t="n">
        <f aca="false">((I11002 + G11003) - H11003)</f>
        <v>58535.99</v>
      </c>
      <c r="J11003" s="18" t="n">
        <v>0</v>
      </c>
      <c r="K11003" s="19" t="n">
        <v>0</v>
      </c>
      <c r="L11003" s="17"/>
    </row>
    <row r="11004" s="11" customFormat="true" ht="10.95" hidden="false" customHeight="true" outlineLevel="0" collapsed="false">
      <c r="A11004" s="16" t="n">
        <v>45327</v>
      </c>
      <c r="B11004" s="17" t="s">
        <v>3861</v>
      </c>
      <c r="C11004" s="17" t="s">
        <v>3752</v>
      </c>
      <c r="D11004" s="17" t="s">
        <v>2895</v>
      </c>
      <c r="E11004" s="17" t="s">
        <v>2925</v>
      </c>
      <c r="F11004" s="17" t="s">
        <v>3051</v>
      </c>
      <c r="G11004" s="18" t="n">
        <v>320.05</v>
      </c>
      <c r="H11004" s="18" t="n">
        <v>0</v>
      </c>
      <c r="I11004" s="18" t="n">
        <f aca="false">((I11003 + G11004) - H11004)</f>
        <v>58856.04</v>
      </c>
      <c r="J11004" s="18" t="n">
        <v>0</v>
      </c>
      <c r="K11004" s="19" t="n">
        <v>0</v>
      </c>
      <c r="L11004" s="17"/>
    </row>
    <row r="11005" s="11" customFormat="true" ht="10.95" hidden="false" customHeight="true" outlineLevel="0" collapsed="false">
      <c r="A11005" s="16" t="n">
        <v>45327</v>
      </c>
      <c r="B11005" s="17" t="s">
        <v>3861</v>
      </c>
      <c r="C11005" s="17" t="s">
        <v>3752</v>
      </c>
      <c r="D11005" s="17" t="s">
        <v>2895</v>
      </c>
      <c r="E11005" s="17" t="s">
        <v>2925</v>
      </c>
      <c r="F11005" s="17" t="s">
        <v>3052</v>
      </c>
      <c r="G11005" s="18" t="n">
        <v>480.08</v>
      </c>
      <c r="H11005" s="18" t="n">
        <v>0</v>
      </c>
      <c r="I11005" s="18" t="n">
        <f aca="false">((I11004 + G11005) - H11005)</f>
        <v>59336.12</v>
      </c>
      <c r="J11005" s="18" t="n">
        <v>0</v>
      </c>
      <c r="K11005" s="19" t="n">
        <v>0</v>
      </c>
      <c r="L11005" s="17"/>
    </row>
    <row r="11006" s="11" customFormat="true" ht="10.95" hidden="false" customHeight="true" outlineLevel="0" collapsed="false">
      <c r="A11006" s="16" t="n">
        <v>45327</v>
      </c>
      <c r="B11006" s="17" t="s">
        <v>3861</v>
      </c>
      <c r="C11006" s="17" t="s">
        <v>3752</v>
      </c>
      <c r="D11006" s="17" t="s">
        <v>2895</v>
      </c>
      <c r="E11006" s="17" t="s">
        <v>2925</v>
      </c>
      <c r="F11006" s="17" t="s">
        <v>3053</v>
      </c>
      <c r="G11006" s="18" t="n">
        <v>480.08</v>
      </c>
      <c r="H11006" s="18" t="n">
        <v>0</v>
      </c>
      <c r="I11006" s="18" t="n">
        <f aca="false">((I11005 + G11006) - H11006)</f>
        <v>59816.2</v>
      </c>
      <c r="J11006" s="18" t="n">
        <v>0</v>
      </c>
      <c r="K11006" s="19" t="n">
        <v>0</v>
      </c>
      <c r="L11006" s="17"/>
    </row>
    <row r="11007" s="11" customFormat="true" ht="10.95" hidden="false" customHeight="true" outlineLevel="0" collapsed="false">
      <c r="A11007" s="16" t="n">
        <v>45327</v>
      </c>
      <c r="B11007" s="17" t="s">
        <v>3861</v>
      </c>
      <c r="C11007" s="17" t="s">
        <v>3752</v>
      </c>
      <c r="D11007" s="17" t="s">
        <v>2895</v>
      </c>
      <c r="E11007" s="17" t="s">
        <v>2925</v>
      </c>
      <c r="F11007" s="17" t="s">
        <v>3054</v>
      </c>
      <c r="G11007" s="18" t="n">
        <v>603.18</v>
      </c>
      <c r="H11007" s="18" t="n">
        <v>0</v>
      </c>
      <c r="I11007" s="18" t="n">
        <f aca="false">((I11006 + G11007) - H11007)</f>
        <v>60419.38</v>
      </c>
      <c r="J11007" s="18" t="n">
        <v>0</v>
      </c>
      <c r="K11007" s="19" t="n">
        <v>0</v>
      </c>
      <c r="L11007" s="17"/>
    </row>
    <row r="11008" s="11" customFormat="true" ht="10.95" hidden="false" customHeight="true" outlineLevel="0" collapsed="false">
      <c r="A11008" s="16" t="n">
        <v>45327</v>
      </c>
      <c r="B11008" s="17" t="s">
        <v>3861</v>
      </c>
      <c r="C11008" s="17" t="s">
        <v>3752</v>
      </c>
      <c r="D11008" s="17" t="s">
        <v>2895</v>
      </c>
      <c r="E11008" s="17" t="s">
        <v>2925</v>
      </c>
      <c r="F11008" s="17" t="s">
        <v>3055</v>
      </c>
      <c r="G11008" s="18" t="n">
        <v>603.18</v>
      </c>
      <c r="H11008" s="18" t="n">
        <v>0</v>
      </c>
      <c r="I11008" s="18" t="n">
        <f aca="false">((I11007 + G11008) - H11008)</f>
        <v>61022.56</v>
      </c>
      <c r="J11008" s="18" t="n">
        <v>0</v>
      </c>
      <c r="K11008" s="19" t="n">
        <v>0</v>
      </c>
      <c r="L11008" s="17"/>
    </row>
    <row r="11009" s="11" customFormat="true" ht="10.95" hidden="false" customHeight="true" outlineLevel="0" collapsed="false">
      <c r="A11009" s="16" t="n">
        <v>45327</v>
      </c>
      <c r="B11009" s="17" t="s">
        <v>3861</v>
      </c>
      <c r="C11009" s="17" t="s">
        <v>3752</v>
      </c>
      <c r="D11009" s="17" t="s">
        <v>2895</v>
      </c>
      <c r="E11009" s="17" t="s">
        <v>3410</v>
      </c>
      <c r="F11009" s="17" t="s">
        <v>4260</v>
      </c>
      <c r="G11009" s="18" t="n">
        <v>968</v>
      </c>
      <c r="H11009" s="18" t="n">
        <v>0</v>
      </c>
      <c r="I11009" s="18" t="n">
        <f aca="false">((I11008 + G11009) - H11009)</f>
        <v>61990.56</v>
      </c>
      <c r="J11009" s="18" t="n">
        <v>0</v>
      </c>
      <c r="K11009" s="19" t="n">
        <v>0</v>
      </c>
      <c r="L11009" s="17"/>
    </row>
    <row r="11010" s="11" customFormat="true" ht="10.95" hidden="false" customHeight="true" outlineLevel="0" collapsed="false">
      <c r="A11010" s="16" t="n">
        <v>45327</v>
      </c>
      <c r="B11010" s="17" t="s">
        <v>3861</v>
      </c>
      <c r="C11010" s="17" t="s">
        <v>3752</v>
      </c>
      <c r="D11010" s="17" t="s">
        <v>3814</v>
      </c>
      <c r="E11010" s="17" t="s">
        <v>3815</v>
      </c>
      <c r="F11010" s="17"/>
      <c r="G11010" s="18" t="n">
        <v>0</v>
      </c>
      <c r="H11010" s="18" t="n">
        <v>0.18</v>
      </c>
      <c r="I11010" s="18" t="n">
        <f aca="false">((I11009 + G11010) - H11010)</f>
        <v>61990.38</v>
      </c>
      <c r="J11010" s="18" t="n">
        <v>0</v>
      </c>
      <c r="K11010" s="19" t="n">
        <v>0</v>
      </c>
      <c r="L11010" s="17"/>
    </row>
    <row r="11011" s="11" customFormat="true" ht="10.95" hidden="false" customHeight="true" outlineLevel="0" collapsed="false">
      <c r="A11011" s="16" t="n">
        <v>45327</v>
      </c>
      <c r="B11011" s="17" t="s">
        <v>3861</v>
      </c>
      <c r="C11011" s="17" t="s">
        <v>3752</v>
      </c>
      <c r="D11011" s="17" t="s">
        <v>1407</v>
      </c>
      <c r="E11011" s="17" t="s">
        <v>3881</v>
      </c>
      <c r="F11011" s="17"/>
      <c r="G11011" s="18" t="n">
        <v>0</v>
      </c>
      <c r="H11011" s="18" t="n">
        <v>1000</v>
      </c>
      <c r="I11011" s="18" t="n">
        <f aca="false">((I11010 + G11011) - H11011)</f>
        <v>60990.38</v>
      </c>
      <c r="J11011" s="18" t="n">
        <v>0</v>
      </c>
      <c r="K11011" s="19" t="n">
        <v>0</v>
      </c>
      <c r="L11011" s="17"/>
    </row>
    <row r="11012" s="11" customFormat="true" ht="10.95" hidden="false" customHeight="true" outlineLevel="0" collapsed="false">
      <c r="A11012" s="16" t="n">
        <v>45328</v>
      </c>
      <c r="B11012" s="17" t="s">
        <v>3861</v>
      </c>
      <c r="C11012" s="17" t="s">
        <v>3752</v>
      </c>
      <c r="D11012" s="17" t="s">
        <v>2895</v>
      </c>
      <c r="E11012" s="17" t="s">
        <v>3415</v>
      </c>
      <c r="F11012" s="17" t="s">
        <v>4261</v>
      </c>
      <c r="G11012" s="18" t="n">
        <v>1052.7</v>
      </c>
      <c r="H11012" s="18" t="n">
        <v>0</v>
      </c>
      <c r="I11012" s="18" t="n">
        <f aca="false">((I11011 + G11012) - H11012)</f>
        <v>62043.08</v>
      </c>
      <c r="J11012" s="18" t="n">
        <v>0</v>
      </c>
      <c r="K11012" s="19" t="n">
        <v>0</v>
      </c>
      <c r="L11012" s="17"/>
    </row>
    <row r="11013" s="11" customFormat="true" ht="10.95" hidden="false" customHeight="true" outlineLevel="0" collapsed="false">
      <c r="A11013" s="16" t="n">
        <v>45328</v>
      </c>
      <c r="B11013" s="17" t="s">
        <v>3861</v>
      </c>
      <c r="C11013" s="17" t="s">
        <v>3752</v>
      </c>
      <c r="D11013" s="17" t="s">
        <v>1407</v>
      </c>
      <c r="E11013" s="17" t="s">
        <v>3878</v>
      </c>
      <c r="F11013" s="17"/>
      <c r="G11013" s="18" t="n">
        <v>0</v>
      </c>
      <c r="H11013" s="18" t="n">
        <v>1417</v>
      </c>
      <c r="I11013" s="18" t="n">
        <f aca="false">((I11012 + G11013) - H11013)</f>
        <v>60626.08</v>
      </c>
      <c r="J11013" s="18" t="n">
        <v>0</v>
      </c>
      <c r="K11013" s="19" t="n">
        <v>0</v>
      </c>
      <c r="L11013" s="17"/>
    </row>
    <row r="11014" s="11" customFormat="true" ht="10.95" hidden="false" customHeight="true" outlineLevel="0" collapsed="false">
      <c r="A11014" s="16" t="n">
        <v>45328</v>
      </c>
      <c r="B11014" s="17" t="s">
        <v>3861</v>
      </c>
      <c r="C11014" s="17" t="s">
        <v>3752</v>
      </c>
      <c r="D11014" s="17" t="s">
        <v>1407</v>
      </c>
      <c r="E11014" s="17" t="s">
        <v>3888</v>
      </c>
      <c r="F11014" s="17"/>
      <c r="G11014" s="18" t="n">
        <v>0</v>
      </c>
      <c r="H11014" s="18" t="n">
        <v>3217.43</v>
      </c>
      <c r="I11014" s="18" t="n">
        <f aca="false">((I11013 + G11014) - H11014)</f>
        <v>57408.65</v>
      </c>
      <c r="J11014" s="18" t="n">
        <v>0</v>
      </c>
      <c r="K11014" s="19" t="n">
        <v>0</v>
      </c>
      <c r="L11014" s="17"/>
    </row>
    <row r="11015" s="11" customFormat="true" ht="10.95" hidden="false" customHeight="true" outlineLevel="0" collapsed="false">
      <c r="A11015" s="16" t="n">
        <v>45328</v>
      </c>
      <c r="B11015" s="17" t="s">
        <v>3861</v>
      </c>
      <c r="C11015" s="17" t="s">
        <v>3752</v>
      </c>
      <c r="D11015" s="17" t="s">
        <v>2903</v>
      </c>
      <c r="E11015" s="17" t="s">
        <v>3657</v>
      </c>
      <c r="F11015" s="17" t="s">
        <v>1505</v>
      </c>
      <c r="G11015" s="18" t="n">
        <v>0</v>
      </c>
      <c r="H11015" s="18" t="n">
        <v>5762.58</v>
      </c>
      <c r="I11015" s="18" t="n">
        <f aca="false">((I11014 + G11015) - H11015)</f>
        <v>51646.07</v>
      </c>
      <c r="J11015" s="18" t="n">
        <v>0</v>
      </c>
      <c r="K11015" s="19" t="n">
        <v>0</v>
      </c>
      <c r="L11015" s="17"/>
    </row>
    <row r="11016" s="11" customFormat="true" ht="10.95" hidden="false" customHeight="true" outlineLevel="0" collapsed="false">
      <c r="A11016" s="16" t="n">
        <v>45328</v>
      </c>
      <c r="B11016" s="17" t="s">
        <v>3861</v>
      </c>
      <c r="C11016" s="17" t="s">
        <v>3752</v>
      </c>
      <c r="D11016" s="17" t="s">
        <v>1407</v>
      </c>
      <c r="E11016" s="17" t="s">
        <v>3918</v>
      </c>
      <c r="F11016" s="17"/>
      <c r="G11016" s="18" t="n">
        <v>0</v>
      </c>
      <c r="H11016" s="18" t="n">
        <v>218.11</v>
      </c>
      <c r="I11016" s="18" t="n">
        <f aca="false">((I11015 + G11016) - H11016)</f>
        <v>51427.96</v>
      </c>
      <c r="J11016" s="18" t="n">
        <v>0</v>
      </c>
      <c r="K11016" s="19" t="n">
        <v>0</v>
      </c>
      <c r="L11016" s="17"/>
    </row>
    <row r="11017" s="11" customFormat="true" ht="10.95" hidden="false" customHeight="true" outlineLevel="0" collapsed="false">
      <c r="A11017" s="16" t="n">
        <v>45328</v>
      </c>
      <c r="B11017" s="17" t="s">
        <v>3861</v>
      </c>
      <c r="C11017" s="17" t="s">
        <v>3752</v>
      </c>
      <c r="D11017" s="17" t="s">
        <v>2903</v>
      </c>
      <c r="E11017" s="17" t="s">
        <v>3652</v>
      </c>
      <c r="F11017" s="17" t="s">
        <v>2466</v>
      </c>
      <c r="G11017" s="18" t="n">
        <v>0</v>
      </c>
      <c r="H11017" s="18" t="n">
        <v>179</v>
      </c>
      <c r="I11017" s="18" t="n">
        <f aca="false">((I11016 + G11017) - H11017)</f>
        <v>51248.96</v>
      </c>
      <c r="J11017" s="18" t="n">
        <v>0</v>
      </c>
      <c r="K11017" s="19" t="n">
        <v>0</v>
      </c>
      <c r="L11017" s="17"/>
    </row>
    <row r="11018" s="11" customFormat="true" ht="10.95" hidden="false" customHeight="true" outlineLevel="0" collapsed="false">
      <c r="A11018" s="16" t="n">
        <v>45328</v>
      </c>
      <c r="B11018" s="17" t="s">
        <v>3861</v>
      </c>
      <c r="C11018" s="17" t="s">
        <v>3752</v>
      </c>
      <c r="D11018" s="17" t="s">
        <v>2903</v>
      </c>
      <c r="E11018" s="17" t="s">
        <v>3652</v>
      </c>
      <c r="F11018" s="17" t="s">
        <v>2468</v>
      </c>
      <c r="G11018" s="18" t="n">
        <v>0</v>
      </c>
      <c r="H11018" s="18" t="n">
        <v>248</v>
      </c>
      <c r="I11018" s="18" t="n">
        <f aca="false">((I11017 + G11018) - H11018)</f>
        <v>51000.96</v>
      </c>
      <c r="J11018" s="18" t="n">
        <v>0</v>
      </c>
      <c r="K11018" s="19" t="n">
        <v>0</v>
      </c>
      <c r="L11018" s="17"/>
    </row>
    <row r="11019" s="11" customFormat="true" ht="10.95" hidden="false" customHeight="true" outlineLevel="0" collapsed="false">
      <c r="A11019" s="16" t="n">
        <v>45328</v>
      </c>
      <c r="B11019" s="17" t="s">
        <v>3861</v>
      </c>
      <c r="C11019" s="17" t="s">
        <v>3752</v>
      </c>
      <c r="D11019" s="17" t="s">
        <v>2903</v>
      </c>
      <c r="E11019" s="17" t="s">
        <v>3631</v>
      </c>
      <c r="F11019" s="17" t="s">
        <v>3294</v>
      </c>
      <c r="G11019" s="18" t="n">
        <v>0</v>
      </c>
      <c r="H11019" s="18" t="n">
        <v>1012.38</v>
      </c>
      <c r="I11019" s="18" t="n">
        <f aca="false">((I11018 + G11019) - H11019)</f>
        <v>49988.58</v>
      </c>
      <c r="J11019" s="18" t="n">
        <v>0</v>
      </c>
      <c r="K11019" s="19" t="n">
        <v>0</v>
      </c>
      <c r="L11019" s="17"/>
    </row>
    <row r="11020" s="11" customFormat="true" ht="10.95" hidden="false" customHeight="true" outlineLevel="0" collapsed="false">
      <c r="A11020" s="16" t="n">
        <v>45328</v>
      </c>
      <c r="B11020" s="17" t="s">
        <v>3861</v>
      </c>
      <c r="C11020" s="17" t="s">
        <v>3752</v>
      </c>
      <c r="D11020" s="17" t="s">
        <v>2903</v>
      </c>
      <c r="E11020" s="17" t="s">
        <v>3640</v>
      </c>
      <c r="F11020" s="17" t="s">
        <v>1642</v>
      </c>
      <c r="G11020" s="18" t="n">
        <v>0</v>
      </c>
      <c r="H11020" s="18" t="n">
        <v>40</v>
      </c>
      <c r="I11020" s="18" t="n">
        <f aca="false">((I11019 + G11020) - H11020)</f>
        <v>49948.58</v>
      </c>
      <c r="J11020" s="18" t="n">
        <v>0</v>
      </c>
      <c r="K11020" s="19" t="n">
        <v>0</v>
      </c>
      <c r="L11020" s="17"/>
    </row>
    <row r="11021" s="11" customFormat="true" ht="10.95" hidden="false" customHeight="true" outlineLevel="0" collapsed="false">
      <c r="A11021" s="16" t="n">
        <v>45328</v>
      </c>
      <c r="B11021" s="17" t="s">
        <v>3861</v>
      </c>
      <c r="C11021" s="17" t="s">
        <v>3752</v>
      </c>
      <c r="D11021" s="17" t="s">
        <v>1407</v>
      </c>
      <c r="E11021" s="17" t="s">
        <v>3863</v>
      </c>
      <c r="F11021" s="17"/>
      <c r="G11021" s="18" t="n">
        <v>0</v>
      </c>
      <c r="H11021" s="18" t="n">
        <v>0.08</v>
      </c>
      <c r="I11021" s="18" t="n">
        <f aca="false">((I11020 + G11021) - H11021)</f>
        <v>49948.5</v>
      </c>
      <c r="J11021" s="18" t="n">
        <v>0</v>
      </c>
      <c r="K11021" s="19" t="n">
        <v>0</v>
      </c>
      <c r="L11021" s="17"/>
    </row>
    <row r="11022" s="11" customFormat="true" ht="10.95" hidden="false" customHeight="true" outlineLevel="0" collapsed="false">
      <c r="A11022" s="16" t="n">
        <v>45328</v>
      </c>
      <c r="B11022" s="17" t="s">
        <v>3861</v>
      </c>
      <c r="C11022" s="17" t="s">
        <v>3752</v>
      </c>
      <c r="D11022" s="17" t="s">
        <v>1407</v>
      </c>
      <c r="E11022" s="17" t="s">
        <v>3863</v>
      </c>
      <c r="F11022" s="17"/>
      <c r="G11022" s="18" t="n">
        <v>0</v>
      </c>
      <c r="H11022" s="18" t="n">
        <v>3.46</v>
      </c>
      <c r="I11022" s="18" t="n">
        <f aca="false">((I11021 + G11022) - H11022)</f>
        <v>49945.04</v>
      </c>
      <c r="J11022" s="18" t="n">
        <v>0</v>
      </c>
      <c r="K11022" s="19" t="n">
        <v>0</v>
      </c>
      <c r="L11022" s="17"/>
    </row>
    <row r="11023" s="11" customFormat="true" ht="10.95" hidden="false" customHeight="true" outlineLevel="0" collapsed="false">
      <c r="A11023" s="16" t="n">
        <v>45328</v>
      </c>
      <c r="B11023" s="17" t="s">
        <v>3861</v>
      </c>
      <c r="C11023" s="17" t="s">
        <v>3752</v>
      </c>
      <c r="D11023" s="17" t="s">
        <v>1407</v>
      </c>
      <c r="E11023" s="17" t="s">
        <v>3863</v>
      </c>
      <c r="F11023" s="17"/>
      <c r="G11023" s="18" t="n">
        <v>0</v>
      </c>
      <c r="H11023" s="18" t="n">
        <v>6.54</v>
      </c>
      <c r="I11023" s="18" t="n">
        <f aca="false">((I11022 + G11023) - H11023)</f>
        <v>49938.5</v>
      </c>
      <c r="J11023" s="18" t="n">
        <v>0</v>
      </c>
      <c r="K11023" s="19" t="n">
        <v>0</v>
      </c>
      <c r="L11023" s="17"/>
    </row>
    <row r="11024" s="11" customFormat="true" ht="10.95" hidden="false" customHeight="true" outlineLevel="0" collapsed="false">
      <c r="A11024" s="16" t="n">
        <v>45328</v>
      </c>
      <c r="B11024" s="17" t="s">
        <v>3861</v>
      </c>
      <c r="C11024" s="17" t="s">
        <v>3752</v>
      </c>
      <c r="D11024" s="17" t="s">
        <v>1407</v>
      </c>
      <c r="E11024" s="17" t="s">
        <v>3967</v>
      </c>
      <c r="F11024" s="17"/>
      <c r="G11024" s="18" t="n">
        <v>0</v>
      </c>
      <c r="H11024" s="18" t="n">
        <v>48</v>
      </c>
      <c r="I11024" s="18" t="n">
        <f aca="false">((I11023 + G11024) - H11024)</f>
        <v>49890.5</v>
      </c>
      <c r="J11024" s="18" t="n">
        <v>0</v>
      </c>
      <c r="K11024" s="19" t="n">
        <v>0</v>
      </c>
      <c r="L11024" s="17"/>
    </row>
    <row r="11025" s="11" customFormat="true" ht="10.95" hidden="false" customHeight="true" outlineLevel="0" collapsed="false">
      <c r="A11025" s="16" t="n">
        <v>45328</v>
      </c>
      <c r="B11025" s="17" t="s">
        <v>3861</v>
      </c>
      <c r="C11025" s="17" t="s">
        <v>3752</v>
      </c>
      <c r="D11025" s="17" t="s">
        <v>1407</v>
      </c>
      <c r="E11025" s="17" t="s">
        <v>3642</v>
      </c>
      <c r="F11025" s="17"/>
      <c r="G11025" s="18" t="n">
        <v>0</v>
      </c>
      <c r="H11025" s="18" t="n">
        <v>12.1</v>
      </c>
      <c r="I11025" s="18" t="n">
        <f aca="false">((I11024 + G11025) - H11025)</f>
        <v>49878.4</v>
      </c>
      <c r="J11025" s="18" t="n">
        <v>0</v>
      </c>
      <c r="K11025" s="19" t="n">
        <v>0</v>
      </c>
      <c r="L11025" s="17"/>
    </row>
    <row r="11026" s="11" customFormat="true" ht="10.95" hidden="false" customHeight="true" outlineLevel="0" collapsed="false">
      <c r="A11026" s="16" t="n">
        <v>45328</v>
      </c>
      <c r="B11026" s="17" t="s">
        <v>3861</v>
      </c>
      <c r="C11026" s="17" t="s">
        <v>3752</v>
      </c>
      <c r="D11026" s="17" t="s">
        <v>1407</v>
      </c>
      <c r="E11026" s="17" t="s">
        <v>3642</v>
      </c>
      <c r="F11026" s="17"/>
      <c r="G11026" s="18" t="n">
        <v>0</v>
      </c>
      <c r="H11026" s="18" t="n">
        <v>20.57</v>
      </c>
      <c r="I11026" s="18" t="n">
        <f aca="false">((I11025 + G11026) - H11026)</f>
        <v>49857.83</v>
      </c>
      <c r="J11026" s="18" t="n">
        <v>0</v>
      </c>
      <c r="K11026" s="19" t="n">
        <v>0</v>
      </c>
      <c r="L11026" s="17"/>
    </row>
    <row r="11027" s="11" customFormat="true" ht="10.95" hidden="false" customHeight="true" outlineLevel="0" collapsed="false">
      <c r="A11027" s="16" t="n">
        <v>45328</v>
      </c>
      <c r="B11027" s="17" t="s">
        <v>3861</v>
      </c>
      <c r="C11027" s="17" t="s">
        <v>3752</v>
      </c>
      <c r="D11027" s="17" t="s">
        <v>1407</v>
      </c>
      <c r="E11027" s="17" t="s">
        <v>3911</v>
      </c>
      <c r="F11027" s="17"/>
      <c r="G11027" s="18" t="n">
        <v>0</v>
      </c>
      <c r="H11027" s="18" t="n">
        <v>115.4</v>
      </c>
      <c r="I11027" s="18" t="n">
        <f aca="false">((I11026 + G11027) - H11027)</f>
        <v>49742.43</v>
      </c>
      <c r="J11027" s="18" t="n">
        <v>0</v>
      </c>
      <c r="K11027" s="19" t="n">
        <v>0</v>
      </c>
      <c r="L11027" s="17"/>
    </row>
    <row r="11028" s="11" customFormat="true" ht="10.95" hidden="false" customHeight="true" outlineLevel="0" collapsed="false">
      <c r="A11028" s="16" t="n">
        <v>45328</v>
      </c>
      <c r="B11028" s="17" t="s">
        <v>3861</v>
      </c>
      <c r="C11028" s="17" t="s">
        <v>3752</v>
      </c>
      <c r="D11028" s="17" t="s">
        <v>1407</v>
      </c>
      <c r="E11028" s="17" t="s">
        <v>4195</v>
      </c>
      <c r="F11028" s="17"/>
      <c r="G11028" s="18" t="n">
        <v>0</v>
      </c>
      <c r="H11028" s="18" t="n">
        <v>2.63</v>
      </c>
      <c r="I11028" s="18" t="n">
        <f aca="false">((I11027 + G11028) - H11028)</f>
        <v>49739.8</v>
      </c>
      <c r="J11028" s="18" t="n">
        <v>0</v>
      </c>
      <c r="K11028" s="19" t="n">
        <v>0</v>
      </c>
      <c r="L11028" s="17"/>
    </row>
    <row r="11029" s="11" customFormat="true" ht="10.95" hidden="false" customHeight="true" outlineLevel="0" collapsed="false">
      <c r="A11029" s="16" t="n">
        <v>45329</v>
      </c>
      <c r="B11029" s="17" t="s">
        <v>3861</v>
      </c>
      <c r="C11029" s="17" t="s">
        <v>3752</v>
      </c>
      <c r="D11029" s="17" t="s">
        <v>2895</v>
      </c>
      <c r="E11029" s="17" t="s">
        <v>3373</v>
      </c>
      <c r="F11029" s="17" t="s">
        <v>4262</v>
      </c>
      <c r="G11029" s="18" t="n">
        <v>1386</v>
      </c>
      <c r="H11029" s="18" t="n">
        <v>0</v>
      </c>
      <c r="I11029" s="18" t="n">
        <f aca="false">((I11028 + G11029) - H11029)</f>
        <v>51125.8</v>
      </c>
      <c r="J11029" s="18" t="n">
        <v>0</v>
      </c>
      <c r="K11029" s="19" t="n">
        <v>0</v>
      </c>
      <c r="L11029" s="17"/>
    </row>
    <row r="11030" s="11" customFormat="true" ht="10.95" hidden="false" customHeight="true" outlineLevel="0" collapsed="false">
      <c r="A11030" s="16" t="n">
        <v>45329</v>
      </c>
      <c r="B11030" s="17" t="s">
        <v>3861</v>
      </c>
      <c r="C11030" s="17" t="s">
        <v>3752</v>
      </c>
      <c r="D11030" s="17" t="s">
        <v>2895</v>
      </c>
      <c r="E11030" s="17" t="s">
        <v>2900</v>
      </c>
      <c r="F11030" s="17" t="s">
        <v>3056</v>
      </c>
      <c r="G11030" s="18" t="n">
        <v>999.8</v>
      </c>
      <c r="H11030" s="18" t="n">
        <v>0</v>
      </c>
      <c r="I11030" s="18" t="n">
        <f aca="false">((I11029 + G11030) - H11030)</f>
        <v>52125.6</v>
      </c>
      <c r="J11030" s="18" t="n">
        <v>0</v>
      </c>
      <c r="K11030" s="19" t="n">
        <v>0</v>
      </c>
      <c r="L11030" s="17"/>
    </row>
    <row r="11031" s="11" customFormat="true" ht="10.95" hidden="false" customHeight="true" outlineLevel="0" collapsed="false">
      <c r="A11031" s="16" t="n">
        <v>45329</v>
      </c>
      <c r="B11031" s="17" t="s">
        <v>3861</v>
      </c>
      <c r="C11031" s="17" t="s">
        <v>3752</v>
      </c>
      <c r="D11031" s="17" t="s">
        <v>1407</v>
      </c>
      <c r="E11031" s="17" t="s">
        <v>3626</v>
      </c>
      <c r="F11031" s="17"/>
      <c r="G11031" s="18" t="n">
        <v>0</v>
      </c>
      <c r="H11031" s="18" t="n">
        <v>71.5</v>
      </c>
      <c r="I11031" s="18" t="n">
        <f aca="false">((I11030 + G11031) - H11031)</f>
        <v>52054.1</v>
      </c>
      <c r="J11031" s="18" t="n">
        <v>0</v>
      </c>
      <c r="K11031" s="19" t="n">
        <v>0</v>
      </c>
      <c r="L11031" s="17"/>
    </row>
    <row r="11032" s="11" customFormat="true" ht="10.95" hidden="false" customHeight="true" outlineLevel="0" collapsed="false">
      <c r="A11032" s="16" t="n">
        <v>45329</v>
      </c>
      <c r="B11032" s="17" t="s">
        <v>3861</v>
      </c>
      <c r="C11032" s="17" t="s">
        <v>3752</v>
      </c>
      <c r="D11032" s="17" t="s">
        <v>1407</v>
      </c>
      <c r="E11032" s="17" t="s">
        <v>3881</v>
      </c>
      <c r="F11032" s="17"/>
      <c r="G11032" s="18" t="n">
        <v>0</v>
      </c>
      <c r="H11032" s="18" t="n">
        <v>140</v>
      </c>
      <c r="I11032" s="18" t="n">
        <f aca="false">((I11031 + G11032) - H11032)</f>
        <v>51914.1</v>
      </c>
      <c r="J11032" s="18" t="n">
        <v>0</v>
      </c>
      <c r="K11032" s="19" t="n">
        <v>0</v>
      </c>
      <c r="L11032" s="17"/>
    </row>
    <row r="11033" s="11" customFormat="true" ht="10.95" hidden="false" customHeight="true" outlineLevel="0" collapsed="false">
      <c r="A11033" s="16" t="n">
        <v>45329</v>
      </c>
      <c r="B11033" s="17" t="s">
        <v>3861</v>
      </c>
      <c r="C11033" s="17" t="s">
        <v>3752</v>
      </c>
      <c r="D11033" s="17" t="s">
        <v>1407</v>
      </c>
      <c r="E11033" s="17" t="s">
        <v>3879</v>
      </c>
      <c r="F11033" s="17"/>
      <c r="G11033" s="18" t="n">
        <v>0</v>
      </c>
      <c r="H11033" s="18" t="n">
        <v>1207</v>
      </c>
      <c r="I11033" s="18" t="n">
        <f aca="false">((I11032 + G11033) - H11033)</f>
        <v>50707.1</v>
      </c>
      <c r="J11033" s="18" t="n">
        <v>0</v>
      </c>
      <c r="K11033" s="19" t="n">
        <v>0</v>
      </c>
      <c r="L11033" s="17"/>
    </row>
    <row r="11034" s="11" customFormat="true" ht="10.95" hidden="false" customHeight="true" outlineLevel="0" collapsed="false">
      <c r="A11034" s="16" t="n">
        <v>45329</v>
      </c>
      <c r="B11034" s="17" t="s">
        <v>3861</v>
      </c>
      <c r="C11034" s="17" t="s">
        <v>3752</v>
      </c>
      <c r="D11034" s="17" t="s">
        <v>1407</v>
      </c>
      <c r="E11034" s="17" t="s">
        <v>3880</v>
      </c>
      <c r="F11034" s="17"/>
      <c r="G11034" s="18" t="n">
        <v>0</v>
      </c>
      <c r="H11034" s="18" t="n">
        <v>1207</v>
      </c>
      <c r="I11034" s="18" t="n">
        <f aca="false">((I11033 + G11034) - H11034)</f>
        <v>49500.1</v>
      </c>
      <c r="J11034" s="18" t="n">
        <v>0</v>
      </c>
      <c r="K11034" s="19" t="n">
        <v>0</v>
      </c>
      <c r="L11034" s="17"/>
    </row>
    <row r="11035" s="11" customFormat="true" ht="10.95" hidden="false" customHeight="true" outlineLevel="0" collapsed="false">
      <c r="A11035" s="16" t="n">
        <v>45329</v>
      </c>
      <c r="B11035" s="17" t="s">
        <v>3861</v>
      </c>
      <c r="C11035" s="17" t="s">
        <v>3752</v>
      </c>
      <c r="D11035" s="17" t="s">
        <v>1407</v>
      </c>
      <c r="E11035" s="17" t="s">
        <v>3808</v>
      </c>
      <c r="F11035" s="17"/>
      <c r="G11035" s="18" t="n">
        <v>0</v>
      </c>
      <c r="H11035" s="18" t="n">
        <v>1705.92</v>
      </c>
      <c r="I11035" s="18" t="n">
        <f aca="false">((I11034 + G11035) - H11035)</f>
        <v>47794.18</v>
      </c>
      <c r="J11035" s="18" t="n">
        <v>0</v>
      </c>
      <c r="K11035" s="19" t="n">
        <v>0</v>
      </c>
      <c r="L11035" s="17"/>
    </row>
    <row r="11036" s="11" customFormat="true" ht="10.95" hidden="false" customHeight="true" outlineLevel="0" collapsed="false">
      <c r="A11036" s="16" t="n">
        <v>45329</v>
      </c>
      <c r="B11036" s="17" t="s">
        <v>3861</v>
      </c>
      <c r="C11036" s="17" t="s">
        <v>3752</v>
      </c>
      <c r="D11036" s="17" t="s">
        <v>1407</v>
      </c>
      <c r="E11036" s="17" t="s">
        <v>4063</v>
      </c>
      <c r="F11036" s="17"/>
      <c r="G11036" s="18" t="n">
        <v>0</v>
      </c>
      <c r="H11036" s="18" t="n">
        <v>5000</v>
      </c>
      <c r="I11036" s="18" t="n">
        <f aca="false">((I11035 + G11036) - H11036)</f>
        <v>42794.18</v>
      </c>
      <c r="J11036" s="18" t="n">
        <v>0</v>
      </c>
      <c r="K11036" s="19" t="n">
        <v>0</v>
      </c>
      <c r="L11036" s="17"/>
    </row>
    <row r="11037" s="11" customFormat="true" ht="10.95" hidden="false" customHeight="true" outlineLevel="0" collapsed="false">
      <c r="A11037" s="16" t="n">
        <v>45330</v>
      </c>
      <c r="B11037" s="17" t="s">
        <v>3861</v>
      </c>
      <c r="C11037" s="17" t="s">
        <v>3752</v>
      </c>
      <c r="D11037" s="17" t="s">
        <v>2895</v>
      </c>
      <c r="E11037" s="17" t="s">
        <v>3403</v>
      </c>
      <c r="F11037" s="17" t="s">
        <v>4263</v>
      </c>
      <c r="G11037" s="18" t="n">
        <v>1967.9</v>
      </c>
      <c r="H11037" s="18" t="n">
        <v>0</v>
      </c>
      <c r="I11037" s="18" t="n">
        <f aca="false">((I11036 + G11037) - H11037)</f>
        <v>44762.08</v>
      </c>
      <c r="J11037" s="18" t="n">
        <v>0</v>
      </c>
      <c r="K11037" s="19" t="n">
        <v>0</v>
      </c>
      <c r="L11037" s="17"/>
    </row>
    <row r="11038" s="11" customFormat="true" ht="10.95" hidden="false" customHeight="true" outlineLevel="0" collapsed="false">
      <c r="A11038" s="16" t="n">
        <v>45330</v>
      </c>
      <c r="B11038" s="17" t="s">
        <v>3861</v>
      </c>
      <c r="C11038" s="17" t="s">
        <v>3752</v>
      </c>
      <c r="D11038" s="17" t="s">
        <v>2895</v>
      </c>
      <c r="E11038" s="17" t="s">
        <v>3403</v>
      </c>
      <c r="F11038" s="17" t="s">
        <v>4264</v>
      </c>
      <c r="G11038" s="18" t="n">
        <v>1137.4</v>
      </c>
      <c r="H11038" s="18" t="n">
        <v>0</v>
      </c>
      <c r="I11038" s="18" t="n">
        <f aca="false">((I11037 + G11038) - H11038)</f>
        <v>45899.48</v>
      </c>
      <c r="J11038" s="18" t="n">
        <v>0</v>
      </c>
      <c r="K11038" s="19" t="n">
        <v>0</v>
      </c>
      <c r="L11038" s="17"/>
    </row>
    <row r="11039" s="11" customFormat="true" ht="10.95" hidden="false" customHeight="true" outlineLevel="0" collapsed="false">
      <c r="A11039" s="16" t="n">
        <v>45330</v>
      </c>
      <c r="B11039" s="17" t="s">
        <v>3861</v>
      </c>
      <c r="C11039" s="17" t="s">
        <v>3752</v>
      </c>
      <c r="D11039" s="17" t="s">
        <v>2895</v>
      </c>
      <c r="E11039" s="17" t="s">
        <v>3403</v>
      </c>
      <c r="F11039" s="17" t="s">
        <v>4265</v>
      </c>
      <c r="G11039" s="18" t="n">
        <v>1137.4</v>
      </c>
      <c r="H11039" s="18" t="n">
        <v>0</v>
      </c>
      <c r="I11039" s="18" t="n">
        <f aca="false">((I11038 + G11039) - H11039)</f>
        <v>47036.88</v>
      </c>
      <c r="J11039" s="18" t="n">
        <v>0</v>
      </c>
      <c r="K11039" s="19" t="n">
        <v>0</v>
      </c>
      <c r="L11039" s="17"/>
    </row>
    <row r="11040" s="11" customFormat="true" ht="10.95" hidden="false" customHeight="true" outlineLevel="0" collapsed="false">
      <c r="A11040" s="16" t="n">
        <v>45330</v>
      </c>
      <c r="B11040" s="17" t="s">
        <v>3861</v>
      </c>
      <c r="C11040" s="17" t="s">
        <v>3752</v>
      </c>
      <c r="D11040" s="17" t="s">
        <v>2895</v>
      </c>
      <c r="E11040" s="17" t="s">
        <v>3403</v>
      </c>
      <c r="F11040" s="17" t="s">
        <v>4266</v>
      </c>
      <c r="G11040" s="18" t="n">
        <v>316.8</v>
      </c>
      <c r="H11040" s="18" t="n">
        <v>0</v>
      </c>
      <c r="I11040" s="18" t="n">
        <f aca="false">((I11039 + G11040) - H11040)</f>
        <v>47353.68</v>
      </c>
      <c r="J11040" s="18" t="n">
        <v>0</v>
      </c>
      <c r="K11040" s="19" t="n">
        <v>0</v>
      </c>
      <c r="L11040" s="17"/>
    </row>
    <row r="11041" s="11" customFormat="true" ht="10.95" hidden="false" customHeight="true" outlineLevel="0" collapsed="false">
      <c r="A11041" s="16" t="n">
        <v>45330</v>
      </c>
      <c r="B11041" s="17" t="s">
        <v>3861</v>
      </c>
      <c r="C11041" s="17" t="s">
        <v>3752</v>
      </c>
      <c r="D11041" s="17" t="s">
        <v>2895</v>
      </c>
      <c r="E11041" s="17" t="s">
        <v>3403</v>
      </c>
      <c r="F11041" s="17" t="s">
        <v>4267</v>
      </c>
      <c r="G11041" s="18" t="n">
        <v>206.8</v>
      </c>
      <c r="H11041" s="18" t="n">
        <v>0</v>
      </c>
      <c r="I11041" s="18" t="n">
        <f aca="false">((I11040 + G11041) - H11041)</f>
        <v>47560.48</v>
      </c>
      <c r="J11041" s="18" t="n">
        <v>0</v>
      </c>
      <c r="K11041" s="19" t="n">
        <v>0</v>
      </c>
      <c r="L11041" s="17"/>
    </row>
    <row r="11042" s="11" customFormat="true" ht="10.95" hidden="false" customHeight="true" outlineLevel="0" collapsed="false">
      <c r="A11042" s="16" t="n">
        <v>45330</v>
      </c>
      <c r="B11042" s="17" t="s">
        <v>3861</v>
      </c>
      <c r="C11042" s="17" t="s">
        <v>3752</v>
      </c>
      <c r="D11042" s="17" t="s">
        <v>2895</v>
      </c>
      <c r="E11042" s="17" t="s">
        <v>3403</v>
      </c>
      <c r="F11042" s="17" t="s">
        <v>4268</v>
      </c>
      <c r="G11042" s="18" t="n">
        <v>827.2</v>
      </c>
      <c r="H11042" s="18" t="n">
        <v>0</v>
      </c>
      <c r="I11042" s="18" t="n">
        <f aca="false">((I11041 + G11042) - H11042)</f>
        <v>48387.68</v>
      </c>
      <c r="J11042" s="18" t="n">
        <v>0</v>
      </c>
      <c r="K11042" s="19" t="n">
        <v>0</v>
      </c>
      <c r="L11042" s="17"/>
    </row>
    <row r="11043" s="11" customFormat="true" ht="10.95" hidden="false" customHeight="true" outlineLevel="0" collapsed="false">
      <c r="A11043" s="16" t="n">
        <v>45330</v>
      </c>
      <c r="B11043" s="17" t="s">
        <v>3861</v>
      </c>
      <c r="C11043" s="17" t="s">
        <v>3752</v>
      </c>
      <c r="D11043" s="17" t="s">
        <v>2895</v>
      </c>
      <c r="E11043" s="17" t="s">
        <v>3403</v>
      </c>
      <c r="F11043" s="17" t="s">
        <v>4229</v>
      </c>
      <c r="G11043" s="18" t="n">
        <v>620.4</v>
      </c>
      <c r="H11043" s="18" t="n">
        <v>0</v>
      </c>
      <c r="I11043" s="18" t="n">
        <f aca="false">((I11042 + G11043) - H11043)</f>
        <v>49008.08</v>
      </c>
      <c r="J11043" s="18" t="n">
        <v>0</v>
      </c>
      <c r="K11043" s="19" t="n">
        <v>0</v>
      </c>
      <c r="L11043" s="17"/>
    </row>
    <row r="11044" s="11" customFormat="true" ht="10.95" hidden="false" customHeight="true" outlineLevel="0" collapsed="false">
      <c r="A11044" s="16" t="n">
        <v>45330</v>
      </c>
      <c r="B11044" s="17" t="s">
        <v>3861</v>
      </c>
      <c r="C11044" s="17" t="s">
        <v>3752</v>
      </c>
      <c r="D11044" s="17" t="s">
        <v>2895</v>
      </c>
      <c r="E11044" s="17" t="s">
        <v>3403</v>
      </c>
      <c r="F11044" s="17" t="s">
        <v>4269</v>
      </c>
      <c r="G11044" s="18" t="n">
        <v>620.4</v>
      </c>
      <c r="H11044" s="18" t="n">
        <v>0</v>
      </c>
      <c r="I11044" s="18" t="n">
        <f aca="false">((I11043 + G11044) - H11044)</f>
        <v>49628.48</v>
      </c>
      <c r="J11044" s="18" t="n">
        <v>0</v>
      </c>
      <c r="K11044" s="19" t="n">
        <v>0</v>
      </c>
      <c r="L11044" s="17"/>
    </row>
    <row r="11045" s="11" customFormat="true" ht="10.95" hidden="false" customHeight="true" outlineLevel="0" collapsed="false">
      <c r="A11045" s="16" t="n">
        <v>45330</v>
      </c>
      <c r="B11045" s="17" t="s">
        <v>3861</v>
      </c>
      <c r="C11045" s="17" t="s">
        <v>3752</v>
      </c>
      <c r="D11045" s="17" t="s">
        <v>2895</v>
      </c>
      <c r="E11045" s="17" t="s">
        <v>3403</v>
      </c>
      <c r="F11045" s="17" t="s">
        <v>4270</v>
      </c>
      <c r="G11045" s="18" t="n">
        <v>620.4</v>
      </c>
      <c r="H11045" s="18" t="n">
        <v>0</v>
      </c>
      <c r="I11045" s="18" t="n">
        <f aca="false">((I11044 + G11045) - H11045)</f>
        <v>50248.88</v>
      </c>
      <c r="J11045" s="18" t="n">
        <v>0</v>
      </c>
      <c r="K11045" s="19" t="n">
        <v>0</v>
      </c>
      <c r="L11045" s="17"/>
    </row>
    <row r="11046" s="11" customFormat="true" ht="10.95" hidden="false" customHeight="true" outlineLevel="0" collapsed="false">
      <c r="A11046" s="16" t="n">
        <v>45330</v>
      </c>
      <c r="B11046" s="17" t="s">
        <v>3861</v>
      </c>
      <c r="C11046" s="17" t="s">
        <v>3752</v>
      </c>
      <c r="D11046" s="17" t="s">
        <v>2895</v>
      </c>
      <c r="E11046" s="17" t="s">
        <v>3403</v>
      </c>
      <c r="F11046" s="17" t="s">
        <v>4271</v>
      </c>
      <c r="G11046" s="18" t="n">
        <v>103.4</v>
      </c>
      <c r="H11046" s="18" t="n">
        <v>0</v>
      </c>
      <c r="I11046" s="18" t="n">
        <f aca="false">((I11045 + G11046) - H11046)</f>
        <v>50352.28</v>
      </c>
      <c r="J11046" s="18" t="n">
        <v>0</v>
      </c>
      <c r="K11046" s="19" t="n">
        <v>0</v>
      </c>
      <c r="L11046" s="17"/>
    </row>
    <row r="11047" s="11" customFormat="true" ht="10.95" hidden="false" customHeight="true" outlineLevel="0" collapsed="false">
      <c r="A11047" s="16" t="n">
        <v>45330</v>
      </c>
      <c r="B11047" s="17" t="s">
        <v>3861</v>
      </c>
      <c r="C11047" s="17" t="s">
        <v>3752</v>
      </c>
      <c r="D11047" s="17" t="s">
        <v>2895</v>
      </c>
      <c r="E11047" s="17" t="s">
        <v>3403</v>
      </c>
      <c r="F11047" s="17" t="s">
        <v>4272</v>
      </c>
      <c r="G11047" s="18" t="n">
        <v>620.4</v>
      </c>
      <c r="H11047" s="18" t="n">
        <v>0</v>
      </c>
      <c r="I11047" s="18" t="n">
        <f aca="false">((I11046 + G11047) - H11047)</f>
        <v>50972.68</v>
      </c>
      <c r="J11047" s="18" t="n">
        <v>0</v>
      </c>
      <c r="K11047" s="19" t="n">
        <v>0</v>
      </c>
      <c r="L11047" s="17"/>
    </row>
    <row r="11048" s="11" customFormat="true" ht="10.95" hidden="false" customHeight="true" outlineLevel="0" collapsed="false">
      <c r="A11048" s="16" t="n">
        <v>45330</v>
      </c>
      <c r="B11048" s="17" t="s">
        <v>3861</v>
      </c>
      <c r="C11048" s="17" t="s">
        <v>3752</v>
      </c>
      <c r="D11048" s="17" t="s">
        <v>2895</v>
      </c>
      <c r="E11048" s="17" t="s">
        <v>3403</v>
      </c>
      <c r="F11048" s="17" t="s">
        <v>4273</v>
      </c>
      <c r="G11048" s="18" t="n">
        <v>310.2</v>
      </c>
      <c r="H11048" s="18" t="n">
        <v>0</v>
      </c>
      <c r="I11048" s="18" t="n">
        <f aca="false">((I11047 + G11048) - H11048)</f>
        <v>51282.88</v>
      </c>
      <c r="J11048" s="18" t="n">
        <v>0</v>
      </c>
      <c r="K11048" s="19" t="n">
        <v>0</v>
      </c>
      <c r="L11048" s="17"/>
    </row>
    <row r="11049" s="11" customFormat="true" ht="10.95" hidden="false" customHeight="true" outlineLevel="0" collapsed="false">
      <c r="A11049" s="16" t="n">
        <v>45330</v>
      </c>
      <c r="B11049" s="17" t="s">
        <v>3861</v>
      </c>
      <c r="C11049" s="17" t="s">
        <v>3752</v>
      </c>
      <c r="D11049" s="17" t="s">
        <v>2895</v>
      </c>
      <c r="E11049" s="17" t="s">
        <v>3403</v>
      </c>
      <c r="F11049" s="17" t="s">
        <v>4274</v>
      </c>
      <c r="G11049" s="18" t="n">
        <v>1258.4</v>
      </c>
      <c r="H11049" s="18" t="n">
        <v>0</v>
      </c>
      <c r="I11049" s="18" t="n">
        <f aca="false">((I11048 + G11049) - H11049)</f>
        <v>52541.28</v>
      </c>
      <c r="J11049" s="18" t="n">
        <v>0</v>
      </c>
      <c r="K11049" s="19" t="n">
        <v>0</v>
      </c>
      <c r="L11049" s="17"/>
    </row>
    <row r="11050" s="11" customFormat="true" ht="10.95" hidden="false" customHeight="true" outlineLevel="0" collapsed="false">
      <c r="A11050" s="16" t="n">
        <v>45330</v>
      </c>
      <c r="B11050" s="17" t="s">
        <v>3861</v>
      </c>
      <c r="C11050" s="17" t="s">
        <v>3752</v>
      </c>
      <c r="D11050" s="17" t="s">
        <v>2895</v>
      </c>
      <c r="E11050" s="17" t="s">
        <v>3403</v>
      </c>
      <c r="F11050" s="17" t="s">
        <v>4275</v>
      </c>
      <c r="G11050" s="18" t="n">
        <v>517</v>
      </c>
      <c r="H11050" s="18" t="n">
        <v>0</v>
      </c>
      <c r="I11050" s="18" t="n">
        <f aca="false">((I11049 + G11050) - H11050)</f>
        <v>53058.28</v>
      </c>
      <c r="J11050" s="18" t="n">
        <v>0</v>
      </c>
      <c r="K11050" s="19" t="n">
        <v>0</v>
      </c>
      <c r="L11050" s="17"/>
    </row>
    <row r="11051" s="11" customFormat="true" ht="10.95" hidden="false" customHeight="true" outlineLevel="0" collapsed="false">
      <c r="A11051" s="16" t="n">
        <v>45330</v>
      </c>
      <c r="B11051" s="17" t="s">
        <v>3861</v>
      </c>
      <c r="C11051" s="17" t="s">
        <v>3752</v>
      </c>
      <c r="D11051" s="17" t="s">
        <v>2895</v>
      </c>
      <c r="E11051" s="17" t="s">
        <v>3403</v>
      </c>
      <c r="F11051" s="17" t="s">
        <v>4276</v>
      </c>
      <c r="G11051" s="18" t="n">
        <v>627</v>
      </c>
      <c r="H11051" s="18" t="n">
        <v>0</v>
      </c>
      <c r="I11051" s="18" t="n">
        <f aca="false">((I11050 + G11051) - H11051)</f>
        <v>53685.28</v>
      </c>
      <c r="J11051" s="18" t="n">
        <v>0</v>
      </c>
      <c r="K11051" s="19" t="n">
        <v>0</v>
      </c>
      <c r="L11051" s="17"/>
    </row>
    <row r="11052" s="11" customFormat="true" ht="10.95" hidden="false" customHeight="true" outlineLevel="0" collapsed="false">
      <c r="A11052" s="16" t="n">
        <v>45330</v>
      </c>
      <c r="B11052" s="17" t="s">
        <v>3861</v>
      </c>
      <c r="C11052" s="17" t="s">
        <v>3752</v>
      </c>
      <c r="D11052" s="17" t="s">
        <v>2895</v>
      </c>
      <c r="E11052" s="17" t="s">
        <v>3403</v>
      </c>
      <c r="F11052" s="17" t="s">
        <v>4277</v>
      </c>
      <c r="G11052" s="18" t="n">
        <v>310.2</v>
      </c>
      <c r="H11052" s="18" t="n">
        <v>0</v>
      </c>
      <c r="I11052" s="18" t="n">
        <f aca="false">((I11051 + G11052) - H11052)</f>
        <v>53995.48</v>
      </c>
      <c r="J11052" s="18" t="n">
        <v>0</v>
      </c>
      <c r="K11052" s="19" t="n">
        <v>0</v>
      </c>
      <c r="L11052" s="17"/>
    </row>
    <row r="11053" s="11" customFormat="true" ht="10.95" hidden="false" customHeight="true" outlineLevel="0" collapsed="false">
      <c r="A11053" s="16" t="n">
        <v>45330</v>
      </c>
      <c r="B11053" s="17" t="s">
        <v>3861</v>
      </c>
      <c r="C11053" s="17" t="s">
        <v>3752</v>
      </c>
      <c r="D11053" s="17" t="s">
        <v>2895</v>
      </c>
      <c r="E11053" s="17" t="s">
        <v>3403</v>
      </c>
      <c r="F11053" s="17" t="s">
        <v>4278</v>
      </c>
      <c r="G11053" s="18" t="n">
        <v>627</v>
      </c>
      <c r="H11053" s="18" t="n">
        <v>0</v>
      </c>
      <c r="I11053" s="18" t="n">
        <f aca="false">((I11052 + G11053) - H11053)</f>
        <v>54622.48</v>
      </c>
      <c r="J11053" s="18" t="n">
        <v>0</v>
      </c>
      <c r="K11053" s="19" t="n">
        <v>0</v>
      </c>
      <c r="L11053" s="17"/>
    </row>
    <row r="11054" s="11" customFormat="true" ht="10.95" hidden="false" customHeight="true" outlineLevel="0" collapsed="false">
      <c r="A11054" s="16" t="n">
        <v>45331</v>
      </c>
      <c r="B11054" s="17" t="s">
        <v>3861</v>
      </c>
      <c r="C11054" s="17" t="s">
        <v>3752</v>
      </c>
      <c r="D11054" s="17" t="s">
        <v>2895</v>
      </c>
      <c r="E11054" s="17" t="s">
        <v>3457</v>
      </c>
      <c r="F11054" s="17" t="s">
        <v>4279</v>
      </c>
      <c r="G11054" s="18" t="n">
        <v>9999</v>
      </c>
      <c r="H11054" s="18" t="n">
        <v>0</v>
      </c>
      <c r="I11054" s="18" t="n">
        <f aca="false">((I11053 + G11054) - H11054)</f>
        <v>64621.48</v>
      </c>
      <c r="J11054" s="18" t="n">
        <v>0</v>
      </c>
      <c r="K11054" s="19" t="n">
        <v>0</v>
      </c>
      <c r="L11054" s="17"/>
    </row>
    <row r="11055" s="11" customFormat="true" ht="10.95" hidden="false" customHeight="true" outlineLevel="0" collapsed="false">
      <c r="A11055" s="16" t="n">
        <v>45331</v>
      </c>
      <c r="B11055" s="17" t="s">
        <v>3861</v>
      </c>
      <c r="C11055" s="17" t="s">
        <v>3752</v>
      </c>
      <c r="D11055" s="17" t="s">
        <v>2895</v>
      </c>
      <c r="E11055" s="17" t="s">
        <v>3482</v>
      </c>
      <c r="F11055" s="17" t="s">
        <v>4280</v>
      </c>
      <c r="G11055" s="18" t="n">
        <v>1861.2</v>
      </c>
      <c r="H11055" s="18" t="n">
        <v>0</v>
      </c>
      <c r="I11055" s="18" t="n">
        <f aca="false">((I11054 + G11055) - H11055)</f>
        <v>66482.68</v>
      </c>
      <c r="J11055" s="18" t="n">
        <v>0</v>
      </c>
      <c r="K11055" s="19" t="n">
        <v>0</v>
      </c>
      <c r="L11055" s="17"/>
    </row>
    <row r="11056" s="11" customFormat="true" ht="10.95" hidden="false" customHeight="true" outlineLevel="0" collapsed="false">
      <c r="A11056" s="16" t="n">
        <v>45331</v>
      </c>
      <c r="B11056" s="17" t="s">
        <v>3861</v>
      </c>
      <c r="C11056" s="17" t="s">
        <v>3752</v>
      </c>
      <c r="D11056" s="17" t="s">
        <v>2903</v>
      </c>
      <c r="E11056" s="17" t="s">
        <v>3704</v>
      </c>
      <c r="F11056" s="17" t="s">
        <v>1642</v>
      </c>
      <c r="G11056" s="18" t="n">
        <v>0</v>
      </c>
      <c r="H11056" s="18" t="n">
        <v>35.35</v>
      </c>
      <c r="I11056" s="18" t="n">
        <f aca="false">((I11055 + G11056) - H11056)</f>
        <v>66447.33</v>
      </c>
      <c r="J11056" s="18" t="n">
        <v>0</v>
      </c>
      <c r="K11056" s="19" t="n">
        <v>0</v>
      </c>
      <c r="L11056" s="17"/>
    </row>
    <row r="11057" s="11" customFormat="true" ht="10.95" hidden="false" customHeight="true" outlineLevel="0" collapsed="false">
      <c r="A11057" s="16" t="n">
        <v>45331</v>
      </c>
      <c r="B11057" s="17" t="s">
        <v>3861</v>
      </c>
      <c r="C11057" s="17" t="s">
        <v>3752</v>
      </c>
      <c r="D11057" s="17" t="s">
        <v>2903</v>
      </c>
      <c r="E11057" s="17" t="s">
        <v>3704</v>
      </c>
      <c r="F11057" s="17" t="s">
        <v>1642</v>
      </c>
      <c r="G11057" s="18" t="n">
        <v>0</v>
      </c>
      <c r="H11057" s="18" t="n">
        <v>28.2</v>
      </c>
      <c r="I11057" s="18" t="n">
        <f aca="false">((I11056 + G11057) - H11057)</f>
        <v>66419.13</v>
      </c>
      <c r="J11057" s="18" t="n">
        <v>0</v>
      </c>
      <c r="K11057" s="19" t="n">
        <v>0</v>
      </c>
      <c r="L11057" s="17"/>
    </row>
    <row r="11058" s="11" customFormat="true" ht="10.95" hidden="false" customHeight="true" outlineLevel="0" collapsed="false">
      <c r="A11058" s="16" t="n">
        <v>45331</v>
      </c>
      <c r="B11058" s="17" t="s">
        <v>3861</v>
      </c>
      <c r="C11058" s="17" t="s">
        <v>3752</v>
      </c>
      <c r="D11058" s="17" t="s">
        <v>1407</v>
      </c>
      <c r="E11058" s="17" t="s">
        <v>4281</v>
      </c>
      <c r="F11058" s="17"/>
      <c r="G11058" s="18" t="n">
        <v>0</v>
      </c>
      <c r="H11058" s="18" t="n">
        <v>250</v>
      </c>
      <c r="I11058" s="18" t="n">
        <f aca="false">((I11057 + G11058) - H11058)</f>
        <v>66169.13</v>
      </c>
      <c r="J11058" s="18" t="n">
        <v>0</v>
      </c>
      <c r="K11058" s="19" t="n">
        <v>0</v>
      </c>
      <c r="L11058" s="17"/>
    </row>
    <row r="11059" s="11" customFormat="true" ht="10.95" hidden="false" customHeight="true" outlineLevel="0" collapsed="false">
      <c r="A11059" s="16" t="n">
        <v>45332</v>
      </c>
      <c r="B11059" s="17" t="s">
        <v>3861</v>
      </c>
      <c r="C11059" s="17" t="s">
        <v>3752</v>
      </c>
      <c r="D11059" s="17" t="s">
        <v>1407</v>
      </c>
      <c r="E11059" s="17" t="s">
        <v>3896</v>
      </c>
      <c r="F11059" s="17"/>
      <c r="G11059" s="18" t="n">
        <v>0</v>
      </c>
      <c r="H11059" s="18" t="n">
        <v>20.99</v>
      </c>
      <c r="I11059" s="18" t="n">
        <f aca="false">((I11058 + G11059) - H11059)</f>
        <v>66148.14</v>
      </c>
      <c r="J11059" s="18" t="n">
        <v>0</v>
      </c>
      <c r="K11059" s="19" t="n">
        <v>0</v>
      </c>
      <c r="L11059" s="17"/>
    </row>
    <row r="11060" s="11" customFormat="true" ht="10.95" hidden="false" customHeight="true" outlineLevel="0" collapsed="false">
      <c r="A11060" s="16" t="n">
        <v>45334</v>
      </c>
      <c r="B11060" s="17" t="s">
        <v>3861</v>
      </c>
      <c r="C11060" s="17" t="s">
        <v>3752</v>
      </c>
      <c r="D11060" s="17" t="s">
        <v>2895</v>
      </c>
      <c r="E11060" s="17" t="s">
        <v>3057</v>
      </c>
      <c r="F11060" s="17" t="s">
        <v>3058</v>
      </c>
      <c r="G11060" s="18" t="n">
        <v>1077.84</v>
      </c>
      <c r="H11060" s="18" t="n">
        <v>0</v>
      </c>
      <c r="I11060" s="18" t="n">
        <f aca="false">((I11059 + G11060) - H11060)</f>
        <v>67225.98</v>
      </c>
      <c r="J11060" s="18" t="n">
        <v>0</v>
      </c>
      <c r="K11060" s="19" t="n">
        <v>0</v>
      </c>
      <c r="L11060" s="17"/>
    </row>
    <row r="11061" s="11" customFormat="true" ht="10.95" hidden="false" customHeight="true" outlineLevel="0" collapsed="false">
      <c r="A11061" s="16" t="n">
        <v>45335</v>
      </c>
      <c r="B11061" s="17" t="s">
        <v>3861</v>
      </c>
      <c r="C11061" s="17" t="s">
        <v>3752</v>
      </c>
      <c r="D11061" s="17" t="s">
        <v>3753</v>
      </c>
      <c r="E11061" s="17" t="s">
        <v>3806</v>
      </c>
      <c r="F11061" s="17" t="s">
        <v>3823</v>
      </c>
      <c r="G11061" s="18" t="n">
        <v>0</v>
      </c>
      <c r="H11061" s="18" t="n">
        <v>15411.01</v>
      </c>
      <c r="I11061" s="18" t="n">
        <f aca="false">((I11060 + G11061) - H11061)</f>
        <v>51814.97</v>
      </c>
      <c r="J11061" s="18" t="n">
        <v>0</v>
      </c>
      <c r="K11061" s="19" t="n">
        <v>0</v>
      </c>
      <c r="L11061" s="17"/>
    </row>
    <row r="11062" s="11" customFormat="true" ht="10.95" hidden="false" customHeight="true" outlineLevel="0" collapsed="false">
      <c r="A11062" s="16" t="n">
        <v>45335</v>
      </c>
      <c r="B11062" s="17" t="s">
        <v>3861</v>
      </c>
      <c r="C11062" s="17" t="s">
        <v>3752</v>
      </c>
      <c r="D11062" s="17" t="s">
        <v>2895</v>
      </c>
      <c r="E11062" s="17" t="s">
        <v>2906</v>
      </c>
      <c r="F11062" s="17" t="s">
        <v>3059</v>
      </c>
      <c r="G11062" s="18" t="n">
        <v>3091.36</v>
      </c>
      <c r="H11062" s="18" t="n">
        <v>0</v>
      </c>
      <c r="I11062" s="18" t="n">
        <f aca="false">((I11061 + G11062) - H11062)</f>
        <v>54906.33</v>
      </c>
      <c r="J11062" s="18" t="n">
        <v>0</v>
      </c>
      <c r="K11062" s="19" t="n">
        <v>0</v>
      </c>
      <c r="L11062" s="17"/>
    </row>
    <row r="11063" s="11" customFormat="true" ht="10.95" hidden="false" customHeight="true" outlineLevel="0" collapsed="false">
      <c r="A11063" s="16" t="n">
        <v>45335</v>
      </c>
      <c r="B11063" s="17" t="s">
        <v>3861</v>
      </c>
      <c r="C11063" s="17" t="s">
        <v>3752</v>
      </c>
      <c r="D11063" s="17" t="s">
        <v>1407</v>
      </c>
      <c r="E11063" s="17" t="s">
        <v>3878</v>
      </c>
      <c r="F11063" s="17"/>
      <c r="G11063" s="18" t="n">
        <v>0</v>
      </c>
      <c r="H11063" s="18" t="n">
        <v>1417</v>
      </c>
      <c r="I11063" s="18" t="n">
        <f aca="false">((I11062 + G11063) - H11063)</f>
        <v>53489.33</v>
      </c>
      <c r="J11063" s="18" t="n">
        <v>0</v>
      </c>
      <c r="K11063" s="19" t="n">
        <v>0</v>
      </c>
      <c r="L11063" s="17"/>
    </row>
    <row r="11064" s="11" customFormat="true" ht="10.95" hidden="false" customHeight="true" outlineLevel="0" collapsed="false">
      <c r="A11064" s="16" t="n">
        <v>45335</v>
      </c>
      <c r="B11064" s="17" t="s">
        <v>3861</v>
      </c>
      <c r="C11064" s="17" t="s">
        <v>3752</v>
      </c>
      <c r="D11064" s="17" t="s">
        <v>2903</v>
      </c>
      <c r="E11064" s="17" t="s">
        <v>3643</v>
      </c>
      <c r="F11064" s="17" t="s">
        <v>1517</v>
      </c>
      <c r="G11064" s="18" t="n">
        <v>0</v>
      </c>
      <c r="H11064" s="18" t="n">
        <v>1415.02</v>
      </c>
      <c r="I11064" s="18" t="n">
        <f aca="false">((I11063 + G11064) - H11064)</f>
        <v>52074.31</v>
      </c>
      <c r="J11064" s="18" t="n">
        <v>0</v>
      </c>
      <c r="K11064" s="19" t="n">
        <v>0</v>
      </c>
      <c r="L11064" s="17"/>
    </row>
    <row r="11065" s="11" customFormat="true" ht="10.95" hidden="false" customHeight="true" outlineLevel="0" collapsed="false">
      <c r="A11065" s="16" t="n">
        <v>45336</v>
      </c>
      <c r="B11065" s="17" t="s">
        <v>3861</v>
      </c>
      <c r="C11065" s="17" t="s">
        <v>3752</v>
      </c>
      <c r="D11065" s="17" t="s">
        <v>1407</v>
      </c>
      <c r="E11065" s="17" t="s">
        <v>3897</v>
      </c>
      <c r="F11065" s="17"/>
      <c r="G11065" s="18" t="n">
        <v>0</v>
      </c>
      <c r="H11065" s="18" t="n">
        <v>30</v>
      </c>
      <c r="I11065" s="18" t="n">
        <f aca="false">((I11064 + G11065) - H11065)</f>
        <v>52044.31</v>
      </c>
      <c r="J11065" s="18" t="n">
        <v>0</v>
      </c>
      <c r="K11065" s="19" t="n">
        <v>0</v>
      </c>
      <c r="L11065" s="17"/>
    </row>
    <row r="11066" s="11" customFormat="true" ht="10.95" hidden="false" customHeight="true" outlineLevel="0" collapsed="false">
      <c r="A11066" s="16" t="n">
        <v>45336</v>
      </c>
      <c r="B11066" s="17" t="s">
        <v>3861</v>
      </c>
      <c r="C11066" s="17" t="s">
        <v>3752</v>
      </c>
      <c r="D11066" s="17" t="s">
        <v>1407</v>
      </c>
      <c r="E11066" s="17" t="s">
        <v>3881</v>
      </c>
      <c r="F11066" s="17"/>
      <c r="G11066" s="18" t="n">
        <v>0</v>
      </c>
      <c r="H11066" s="18" t="n">
        <v>140</v>
      </c>
      <c r="I11066" s="18" t="n">
        <f aca="false">((I11065 + G11066) - H11066)</f>
        <v>51904.31</v>
      </c>
      <c r="J11066" s="18" t="n">
        <v>0</v>
      </c>
      <c r="K11066" s="19" t="n">
        <v>0</v>
      </c>
      <c r="L11066" s="17"/>
    </row>
    <row r="11067" s="11" customFormat="true" ht="10.95" hidden="false" customHeight="true" outlineLevel="0" collapsed="false">
      <c r="A11067" s="16" t="n">
        <v>45336</v>
      </c>
      <c r="B11067" s="17" t="s">
        <v>3861</v>
      </c>
      <c r="C11067" s="17" t="s">
        <v>3752</v>
      </c>
      <c r="D11067" s="17" t="s">
        <v>1407</v>
      </c>
      <c r="E11067" s="17" t="s">
        <v>3879</v>
      </c>
      <c r="F11067" s="17"/>
      <c r="G11067" s="18" t="n">
        <v>0</v>
      </c>
      <c r="H11067" s="18" t="n">
        <v>1207</v>
      </c>
      <c r="I11067" s="18" t="n">
        <f aca="false">((I11066 + G11067) - H11067)</f>
        <v>50697.31</v>
      </c>
      <c r="J11067" s="18" t="n">
        <v>0</v>
      </c>
      <c r="K11067" s="19" t="n">
        <v>0</v>
      </c>
      <c r="L11067" s="17"/>
    </row>
    <row r="11068" s="11" customFormat="true" ht="10.95" hidden="false" customHeight="true" outlineLevel="0" collapsed="false">
      <c r="A11068" s="16" t="n">
        <v>45336</v>
      </c>
      <c r="B11068" s="17" t="s">
        <v>3861</v>
      </c>
      <c r="C11068" s="17" t="s">
        <v>3752</v>
      </c>
      <c r="D11068" s="17" t="s">
        <v>1407</v>
      </c>
      <c r="E11068" s="17" t="s">
        <v>3880</v>
      </c>
      <c r="F11068" s="17"/>
      <c r="G11068" s="18" t="n">
        <v>0</v>
      </c>
      <c r="H11068" s="18" t="n">
        <v>1207</v>
      </c>
      <c r="I11068" s="18" t="n">
        <f aca="false">((I11067 + G11068) - H11068)</f>
        <v>49490.31</v>
      </c>
      <c r="J11068" s="18" t="n">
        <v>0</v>
      </c>
      <c r="K11068" s="19" t="n">
        <v>0</v>
      </c>
      <c r="L11068" s="17"/>
    </row>
    <row r="11069" s="11" customFormat="true" ht="10.95" hidden="false" customHeight="true" outlineLevel="0" collapsed="false">
      <c r="A11069" s="16" t="n">
        <v>45336</v>
      </c>
      <c r="B11069" s="17" t="s">
        <v>3861</v>
      </c>
      <c r="C11069" s="17" t="s">
        <v>3752</v>
      </c>
      <c r="D11069" s="17" t="s">
        <v>1407</v>
      </c>
      <c r="E11069" s="17" t="s">
        <v>3808</v>
      </c>
      <c r="F11069" s="17"/>
      <c r="G11069" s="18" t="n">
        <v>0</v>
      </c>
      <c r="H11069" s="18" t="n">
        <v>1705.92</v>
      </c>
      <c r="I11069" s="18" t="n">
        <f aca="false">((I11068 + G11069) - H11069)</f>
        <v>47784.39</v>
      </c>
      <c r="J11069" s="18" t="n">
        <v>0</v>
      </c>
      <c r="K11069" s="19" t="n">
        <v>0</v>
      </c>
      <c r="L11069" s="17"/>
    </row>
    <row r="11070" s="11" customFormat="true" ht="10.95" hidden="false" customHeight="true" outlineLevel="0" collapsed="false">
      <c r="A11070" s="16" t="n">
        <v>45336</v>
      </c>
      <c r="B11070" s="17" t="s">
        <v>3861</v>
      </c>
      <c r="C11070" s="17" t="s">
        <v>3752</v>
      </c>
      <c r="D11070" s="17" t="s">
        <v>1407</v>
      </c>
      <c r="E11070" s="17" t="s">
        <v>3881</v>
      </c>
      <c r="F11070" s="17"/>
      <c r="G11070" s="18" t="n">
        <v>0</v>
      </c>
      <c r="H11070" s="18" t="n">
        <v>2784</v>
      </c>
      <c r="I11070" s="18" t="n">
        <f aca="false">((I11069 + G11070) - H11070)</f>
        <v>45000.39</v>
      </c>
      <c r="J11070" s="18" t="n">
        <v>0</v>
      </c>
      <c r="K11070" s="19" t="n">
        <v>0</v>
      </c>
      <c r="L11070" s="17"/>
    </row>
    <row r="11071" s="11" customFormat="true" ht="10.95" hidden="false" customHeight="true" outlineLevel="0" collapsed="false">
      <c r="A11071" s="16" t="n">
        <v>45337</v>
      </c>
      <c r="B11071" s="17" t="s">
        <v>3861</v>
      </c>
      <c r="C11071" s="17" t="s">
        <v>3752</v>
      </c>
      <c r="D11071" s="17" t="s">
        <v>1407</v>
      </c>
      <c r="E11071" s="17" t="s">
        <v>3863</v>
      </c>
      <c r="F11071" s="17"/>
      <c r="G11071" s="18" t="n">
        <v>0</v>
      </c>
      <c r="H11071" s="18" t="n">
        <v>0.46</v>
      </c>
      <c r="I11071" s="18" t="n">
        <f aca="false">((I11070 + G11071) - H11071)</f>
        <v>44999.93</v>
      </c>
      <c r="J11071" s="18" t="n">
        <v>0</v>
      </c>
      <c r="K11071" s="19" t="n">
        <v>0</v>
      </c>
      <c r="L11071" s="17"/>
    </row>
    <row r="11072" s="11" customFormat="true" ht="10.95" hidden="false" customHeight="true" outlineLevel="0" collapsed="false">
      <c r="A11072" s="16" t="n">
        <v>45337</v>
      </c>
      <c r="B11072" s="17" t="s">
        <v>3861</v>
      </c>
      <c r="C11072" s="17" t="s">
        <v>3752</v>
      </c>
      <c r="D11072" s="17" t="s">
        <v>1407</v>
      </c>
      <c r="E11072" s="17" t="s">
        <v>3863</v>
      </c>
      <c r="F11072" s="17"/>
      <c r="G11072" s="18" t="n">
        <v>0</v>
      </c>
      <c r="H11072" s="18" t="n">
        <v>2.8</v>
      </c>
      <c r="I11072" s="18" t="n">
        <f aca="false">((I11071 + G11072) - H11072)</f>
        <v>44997.13</v>
      </c>
      <c r="J11072" s="18" t="n">
        <v>0</v>
      </c>
      <c r="K11072" s="19" t="n">
        <v>0</v>
      </c>
      <c r="L11072" s="17"/>
    </row>
    <row r="11073" s="11" customFormat="true" ht="10.95" hidden="false" customHeight="true" outlineLevel="0" collapsed="false">
      <c r="A11073" s="16" t="n">
        <v>45337</v>
      </c>
      <c r="B11073" s="17" t="s">
        <v>3861</v>
      </c>
      <c r="C11073" s="17" t="s">
        <v>3752</v>
      </c>
      <c r="D11073" s="17" t="s">
        <v>1407</v>
      </c>
      <c r="E11073" s="17" t="s">
        <v>3805</v>
      </c>
      <c r="F11073" s="17"/>
      <c r="G11073" s="18" t="n">
        <v>0</v>
      </c>
      <c r="H11073" s="18" t="n">
        <v>10.99</v>
      </c>
      <c r="I11073" s="18" t="n">
        <f aca="false">((I11072 + G11073) - H11073)</f>
        <v>44986.14</v>
      </c>
      <c r="J11073" s="18" t="n">
        <v>0</v>
      </c>
      <c r="K11073" s="19" t="n">
        <v>0</v>
      </c>
      <c r="L11073" s="17"/>
    </row>
    <row r="11074" s="11" customFormat="true" ht="10.95" hidden="false" customHeight="true" outlineLevel="0" collapsed="false">
      <c r="A11074" s="16" t="n">
        <v>45337</v>
      </c>
      <c r="B11074" s="17" t="s">
        <v>3861</v>
      </c>
      <c r="C11074" s="17" t="s">
        <v>3752</v>
      </c>
      <c r="D11074" s="17" t="s">
        <v>1407</v>
      </c>
      <c r="E11074" s="17" t="s">
        <v>3899</v>
      </c>
      <c r="F11074" s="17"/>
      <c r="G11074" s="18" t="n">
        <v>0</v>
      </c>
      <c r="H11074" s="18" t="n">
        <v>15.4</v>
      </c>
      <c r="I11074" s="18" t="n">
        <f aca="false">((I11073 + G11074) - H11074)</f>
        <v>44970.74</v>
      </c>
      <c r="J11074" s="18" t="n">
        <v>0</v>
      </c>
      <c r="K11074" s="19" t="n">
        <v>0</v>
      </c>
      <c r="L11074" s="17"/>
    </row>
    <row r="11075" s="11" customFormat="true" ht="10.95" hidden="false" customHeight="true" outlineLevel="0" collapsed="false">
      <c r="A11075" s="16" t="n">
        <v>45337</v>
      </c>
      <c r="B11075" s="17" t="s">
        <v>3861</v>
      </c>
      <c r="C11075" s="17" t="s">
        <v>3752</v>
      </c>
      <c r="D11075" s="17" t="s">
        <v>1407</v>
      </c>
      <c r="E11075" s="17" t="s">
        <v>3808</v>
      </c>
      <c r="F11075" s="17"/>
      <c r="G11075" s="18" t="n">
        <v>0</v>
      </c>
      <c r="H11075" s="18" t="n">
        <v>200</v>
      </c>
      <c r="I11075" s="18" t="n">
        <f aca="false">((I11074 + G11075) - H11075)</f>
        <v>44770.74</v>
      </c>
      <c r="J11075" s="18" t="n">
        <v>0</v>
      </c>
      <c r="K11075" s="19" t="n">
        <v>0</v>
      </c>
      <c r="L11075" s="17"/>
    </row>
    <row r="11076" s="11" customFormat="true" ht="10.95" hidden="false" customHeight="true" outlineLevel="0" collapsed="false">
      <c r="A11076" s="16" t="n">
        <v>45338</v>
      </c>
      <c r="B11076" s="17" t="s">
        <v>3861</v>
      </c>
      <c r="C11076" s="17" t="s">
        <v>3752</v>
      </c>
      <c r="D11076" s="17" t="s">
        <v>1407</v>
      </c>
      <c r="E11076" s="17" t="s">
        <v>3863</v>
      </c>
      <c r="F11076" s="17"/>
      <c r="G11076" s="18" t="n">
        <v>0</v>
      </c>
      <c r="H11076" s="18" t="n">
        <v>5.48</v>
      </c>
      <c r="I11076" s="18" t="n">
        <f aca="false">((I11075 + G11076) - H11076)</f>
        <v>44765.26</v>
      </c>
      <c r="J11076" s="18" t="n">
        <v>0</v>
      </c>
      <c r="K11076" s="19" t="n">
        <v>0</v>
      </c>
      <c r="L11076" s="17"/>
    </row>
    <row r="11077" s="11" customFormat="true" ht="10.95" hidden="false" customHeight="true" outlineLevel="0" collapsed="false">
      <c r="A11077" s="16" t="n">
        <v>45338</v>
      </c>
      <c r="B11077" s="17" t="s">
        <v>3861</v>
      </c>
      <c r="C11077" s="17" t="s">
        <v>3752</v>
      </c>
      <c r="D11077" s="17" t="s">
        <v>1407</v>
      </c>
      <c r="E11077" s="17" t="s">
        <v>3776</v>
      </c>
      <c r="F11077" s="17"/>
      <c r="G11077" s="18" t="n">
        <v>0</v>
      </c>
      <c r="H11077" s="18" t="n">
        <v>182.55</v>
      </c>
      <c r="I11077" s="18" t="n">
        <f aca="false">((I11076 + G11077) - H11077)</f>
        <v>44582.71</v>
      </c>
      <c r="J11077" s="18" t="n">
        <v>0</v>
      </c>
      <c r="K11077" s="19" t="n">
        <v>0</v>
      </c>
      <c r="L11077" s="17"/>
    </row>
    <row r="11078" s="11" customFormat="true" ht="10.95" hidden="false" customHeight="true" outlineLevel="0" collapsed="false">
      <c r="A11078" s="16" t="n">
        <v>45338</v>
      </c>
      <c r="B11078" s="17" t="s">
        <v>3861</v>
      </c>
      <c r="C11078" s="17" t="s">
        <v>3752</v>
      </c>
      <c r="D11078" s="17" t="s">
        <v>2895</v>
      </c>
      <c r="E11078" s="17" t="s">
        <v>2900</v>
      </c>
      <c r="F11078" s="17" t="s">
        <v>3062</v>
      </c>
      <c r="G11078" s="18" t="n">
        <v>1003.02</v>
      </c>
      <c r="H11078" s="18" t="n">
        <v>0</v>
      </c>
      <c r="I11078" s="18" t="n">
        <f aca="false">((I11077 + G11078) - H11078)</f>
        <v>45585.73</v>
      </c>
      <c r="J11078" s="18" t="n">
        <v>0</v>
      </c>
      <c r="K11078" s="19" t="n">
        <v>0</v>
      </c>
      <c r="L11078" s="17"/>
    </row>
    <row r="11079" s="11" customFormat="true" ht="10.95" hidden="false" customHeight="true" outlineLevel="0" collapsed="false">
      <c r="A11079" s="16" t="n">
        <v>45338</v>
      </c>
      <c r="B11079" s="17" t="s">
        <v>3861</v>
      </c>
      <c r="C11079" s="17" t="s">
        <v>3752</v>
      </c>
      <c r="D11079" s="17" t="s">
        <v>2895</v>
      </c>
      <c r="E11079" s="17" t="s">
        <v>2900</v>
      </c>
      <c r="F11079" s="17" t="s">
        <v>3063</v>
      </c>
      <c r="G11079" s="18" t="n">
        <v>132.69</v>
      </c>
      <c r="H11079" s="18" t="n">
        <v>0</v>
      </c>
      <c r="I11079" s="18" t="n">
        <f aca="false">((I11078 + G11079) - H11079)</f>
        <v>45718.42</v>
      </c>
      <c r="J11079" s="18" t="n">
        <v>0</v>
      </c>
      <c r="K11079" s="19" t="n">
        <v>0</v>
      </c>
      <c r="L11079" s="17"/>
    </row>
    <row r="11080" s="11" customFormat="true" ht="10.95" hidden="false" customHeight="true" outlineLevel="0" collapsed="false">
      <c r="A11080" s="16" t="n">
        <v>45338</v>
      </c>
      <c r="B11080" s="17" t="s">
        <v>3861</v>
      </c>
      <c r="C11080" s="17" t="s">
        <v>3752</v>
      </c>
      <c r="D11080" s="17" t="s">
        <v>2895</v>
      </c>
      <c r="E11080" s="17" t="s">
        <v>2900</v>
      </c>
      <c r="F11080" s="17" t="s">
        <v>3064</v>
      </c>
      <c r="G11080" s="18" t="n">
        <v>1012.24</v>
      </c>
      <c r="H11080" s="18" t="n">
        <v>0</v>
      </c>
      <c r="I11080" s="18" t="n">
        <f aca="false">((I11079 + G11080) - H11080)</f>
        <v>46730.66</v>
      </c>
      <c r="J11080" s="18" t="n">
        <v>0</v>
      </c>
      <c r="K11080" s="19" t="n">
        <v>0</v>
      </c>
      <c r="L11080" s="17"/>
    </row>
    <row r="11081" s="11" customFormat="true" ht="10.95" hidden="false" customHeight="true" outlineLevel="0" collapsed="false">
      <c r="A11081" s="16" t="n">
        <v>45338</v>
      </c>
      <c r="B11081" s="17" t="s">
        <v>3861</v>
      </c>
      <c r="C11081" s="17" t="s">
        <v>3752</v>
      </c>
      <c r="D11081" s="17" t="s">
        <v>2895</v>
      </c>
      <c r="E11081" s="17" t="s">
        <v>2900</v>
      </c>
      <c r="F11081" s="17" t="s">
        <v>3065</v>
      </c>
      <c r="G11081" s="18" t="n">
        <v>1905.6</v>
      </c>
      <c r="H11081" s="18" t="n">
        <v>0</v>
      </c>
      <c r="I11081" s="18" t="n">
        <f aca="false">((I11080 + G11081) - H11081)</f>
        <v>48636.26</v>
      </c>
      <c r="J11081" s="18" t="n">
        <v>0</v>
      </c>
      <c r="K11081" s="19" t="n">
        <v>0</v>
      </c>
      <c r="L11081" s="17"/>
    </row>
    <row r="11082" s="11" customFormat="true" ht="10.95" hidden="false" customHeight="true" outlineLevel="0" collapsed="false">
      <c r="A11082" s="16" t="n">
        <v>45338</v>
      </c>
      <c r="B11082" s="17" t="s">
        <v>3861</v>
      </c>
      <c r="C11082" s="17" t="s">
        <v>3752</v>
      </c>
      <c r="D11082" s="17" t="s">
        <v>2895</v>
      </c>
      <c r="E11082" s="17" t="s">
        <v>2900</v>
      </c>
      <c r="F11082" s="17" t="s">
        <v>3066</v>
      </c>
      <c r="G11082" s="18" t="n">
        <v>265.38</v>
      </c>
      <c r="H11082" s="18" t="n">
        <v>0</v>
      </c>
      <c r="I11082" s="18" t="n">
        <f aca="false">((I11081 + G11082) - H11082)</f>
        <v>48901.64</v>
      </c>
      <c r="J11082" s="18" t="n">
        <v>0</v>
      </c>
      <c r="K11082" s="19" t="n">
        <v>0</v>
      </c>
      <c r="L11082" s="17"/>
    </row>
    <row r="11083" s="11" customFormat="true" ht="10.95" hidden="false" customHeight="true" outlineLevel="0" collapsed="false">
      <c r="A11083" s="16" t="n">
        <v>45338</v>
      </c>
      <c r="B11083" s="17" t="s">
        <v>3861</v>
      </c>
      <c r="C11083" s="17" t="s">
        <v>3752</v>
      </c>
      <c r="D11083" s="17" t="s">
        <v>2895</v>
      </c>
      <c r="E11083" s="17" t="s">
        <v>2900</v>
      </c>
      <c r="F11083" s="17" t="s">
        <v>3067</v>
      </c>
      <c r="G11083" s="18" t="n">
        <v>265.38</v>
      </c>
      <c r="H11083" s="18" t="n">
        <v>0</v>
      </c>
      <c r="I11083" s="18" t="n">
        <f aca="false">((I11082 + G11083) - H11083)</f>
        <v>49167.02</v>
      </c>
      <c r="J11083" s="18" t="n">
        <v>0</v>
      </c>
      <c r="K11083" s="19" t="n">
        <v>0</v>
      </c>
      <c r="L11083" s="17"/>
    </row>
    <row r="11084" s="11" customFormat="true" ht="10.95" hidden="false" customHeight="true" outlineLevel="0" collapsed="false">
      <c r="A11084" s="16" t="n">
        <v>45338</v>
      </c>
      <c r="B11084" s="17" t="s">
        <v>3861</v>
      </c>
      <c r="C11084" s="17" t="s">
        <v>3752</v>
      </c>
      <c r="D11084" s="17" t="s">
        <v>2895</v>
      </c>
      <c r="E11084" s="17" t="s">
        <v>2900</v>
      </c>
      <c r="F11084" s="17" t="s">
        <v>3068</v>
      </c>
      <c r="G11084" s="18" t="n">
        <v>1744.35</v>
      </c>
      <c r="H11084" s="18" t="n">
        <v>0</v>
      </c>
      <c r="I11084" s="18" t="n">
        <f aca="false">((I11083 + G11084) - H11084)</f>
        <v>50911.37</v>
      </c>
      <c r="J11084" s="18" t="n">
        <v>0</v>
      </c>
      <c r="K11084" s="19" t="n">
        <v>0</v>
      </c>
      <c r="L11084" s="17"/>
    </row>
    <row r="11085" s="11" customFormat="true" ht="10.95" hidden="false" customHeight="true" outlineLevel="0" collapsed="false">
      <c r="A11085" s="16" t="n">
        <v>45338</v>
      </c>
      <c r="B11085" s="17" t="s">
        <v>3861</v>
      </c>
      <c r="C11085" s="17" t="s">
        <v>3752</v>
      </c>
      <c r="D11085" s="17" t="s">
        <v>2895</v>
      </c>
      <c r="E11085" s="17" t="s">
        <v>2900</v>
      </c>
      <c r="F11085" s="17" t="s">
        <v>3069</v>
      </c>
      <c r="G11085" s="18" t="n">
        <v>1744.35</v>
      </c>
      <c r="H11085" s="18" t="n">
        <v>0</v>
      </c>
      <c r="I11085" s="18" t="n">
        <f aca="false">((I11084 + G11085) - H11085)</f>
        <v>52655.72</v>
      </c>
      <c r="J11085" s="18" t="n">
        <v>0</v>
      </c>
      <c r="K11085" s="19" t="n">
        <v>0</v>
      </c>
      <c r="L11085" s="17"/>
    </row>
    <row r="11086" s="11" customFormat="true" ht="10.95" hidden="false" customHeight="true" outlineLevel="0" collapsed="false">
      <c r="A11086" s="16" t="n">
        <v>45338</v>
      </c>
      <c r="B11086" s="17" t="s">
        <v>3861</v>
      </c>
      <c r="C11086" s="17" t="s">
        <v>3752</v>
      </c>
      <c r="D11086" s="17" t="s">
        <v>2895</v>
      </c>
      <c r="E11086" s="17" t="s">
        <v>2900</v>
      </c>
      <c r="F11086" s="17" t="s">
        <v>3070</v>
      </c>
      <c r="G11086" s="18" t="n">
        <v>802.14</v>
      </c>
      <c r="H11086" s="18" t="n">
        <v>0</v>
      </c>
      <c r="I11086" s="18" t="n">
        <f aca="false">((I11085 + G11086) - H11086)</f>
        <v>53457.86</v>
      </c>
      <c r="J11086" s="18" t="n">
        <v>0</v>
      </c>
      <c r="K11086" s="19" t="n">
        <v>0</v>
      </c>
      <c r="L11086" s="17"/>
    </row>
    <row r="11087" s="11" customFormat="true" ht="10.95" hidden="false" customHeight="true" outlineLevel="0" collapsed="false">
      <c r="A11087" s="16" t="n">
        <v>45338</v>
      </c>
      <c r="B11087" s="17" t="s">
        <v>3861</v>
      </c>
      <c r="C11087" s="17" t="s">
        <v>3752</v>
      </c>
      <c r="D11087" s="17" t="s">
        <v>2895</v>
      </c>
      <c r="E11087" s="17" t="s">
        <v>2900</v>
      </c>
      <c r="F11087" s="17" t="s">
        <v>3071</v>
      </c>
      <c r="G11087" s="18" t="n">
        <v>802.13</v>
      </c>
      <c r="H11087" s="18" t="n">
        <v>0</v>
      </c>
      <c r="I11087" s="18" t="n">
        <f aca="false">((I11086 + G11087) - H11087)</f>
        <v>54259.99</v>
      </c>
      <c r="J11087" s="18" t="n">
        <v>0</v>
      </c>
      <c r="K11087" s="19" t="n">
        <v>0</v>
      </c>
      <c r="L11087" s="17"/>
    </row>
    <row r="11088" s="11" customFormat="true" ht="10.95" hidden="false" customHeight="true" outlineLevel="0" collapsed="false">
      <c r="A11088" s="16" t="n">
        <v>45338</v>
      </c>
      <c r="B11088" s="17" t="s">
        <v>3861</v>
      </c>
      <c r="C11088" s="17" t="s">
        <v>3752</v>
      </c>
      <c r="D11088" s="17" t="s">
        <v>1407</v>
      </c>
      <c r="E11088" s="17" t="s">
        <v>3742</v>
      </c>
      <c r="F11088" s="17"/>
      <c r="G11088" s="18" t="n">
        <v>0</v>
      </c>
      <c r="H11088" s="18" t="n">
        <v>13945</v>
      </c>
      <c r="I11088" s="18" t="n">
        <f aca="false">((I11087 + G11088) - H11088)</f>
        <v>40314.99</v>
      </c>
      <c r="J11088" s="18" t="n">
        <v>0</v>
      </c>
      <c r="K11088" s="19" t="n">
        <v>0</v>
      </c>
      <c r="L11088" s="17"/>
    </row>
    <row r="11089" s="11" customFormat="true" ht="10.95" hidden="false" customHeight="true" outlineLevel="0" collapsed="false">
      <c r="A11089" s="16" t="n">
        <v>45341</v>
      </c>
      <c r="B11089" s="17" t="s">
        <v>3861</v>
      </c>
      <c r="C11089" s="17" t="s">
        <v>3752</v>
      </c>
      <c r="D11089" s="17" t="s">
        <v>2903</v>
      </c>
      <c r="E11089" s="17" t="s">
        <v>3616</v>
      </c>
      <c r="F11089" s="17" t="s">
        <v>3296</v>
      </c>
      <c r="G11089" s="18" t="n">
        <v>0</v>
      </c>
      <c r="H11089" s="18" t="n">
        <v>3063.5</v>
      </c>
      <c r="I11089" s="18" t="n">
        <f aca="false">((I11088 + G11089) - H11089)</f>
        <v>37251.49</v>
      </c>
      <c r="J11089" s="18" t="n">
        <v>0</v>
      </c>
      <c r="K11089" s="19" t="n">
        <v>0</v>
      </c>
      <c r="L11089" s="17"/>
    </row>
    <row r="11090" s="11" customFormat="true" ht="10.95" hidden="false" customHeight="true" outlineLevel="0" collapsed="false">
      <c r="A11090" s="16" t="n">
        <v>45342</v>
      </c>
      <c r="B11090" s="17" t="s">
        <v>3861</v>
      </c>
      <c r="C11090" s="17" t="s">
        <v>3752</v>
      </c>
      <c r="D11090" s="17" t="s">
        <v>2895</v>
      </c>
      <c r="E11090" s="17" t="s">
        <v>2934</v>
      </c>
      <c r="F11090" s="17" t="s">
        <v>3072</v>
      </c>
      <c r="G11090" s="18" t="n">
        <v>875.45</v>
      </c>
      <c r="H11090" s="18" t="n">
        <v>0</v>
      </c>
      <c r="I11090" s="18" t="n">
        <f aca="false">((I11089 + G11090) - H11090)</f>
        <v>38126.94</v>
      </c>
      <c r="J11090" s="18" t="n">
        <v>0</v>
      </c>
      <c r="K11090" s="19" t="n">
        <v>0</v>
      </c>
      <c r="L11090" s="17"/>
    </row>
    <row r="11091" s="11" customFormat="true" ht="10.95" hidden="false" customHeight="true" outlineLevel="0" collapsed="false">
      <c r="A11091" s="16" t="n">
        <v>45342</v>
      </c>
      <c r="B11091" s="17" t="s">
        <v>3861</v>
      </c>
      <c r="C11091" s="17" t="s">
        <v>3752</v>
      </c>
      <c r="D11091" s="17" t="s">
        <v>2895</v>
      </c>
      <c r="E11091" s="17" t="s">
        <v>2934</v>
      </c>
      <c r="F11091" s="17" t="s">
        <v>3073</v>
      </c>
      <c r="G11091" s="18" t="n">
        <v>875.45</v>
      </c>
      <c r="H11091" s="18" t="n">
        <v>0</v>
      </c>
      <c r="I11091" s="18" t="n">
        <f aca="false">((I11090 + G11091) - H11091)</f>
        <v>39002.39</v>
      </c>
      <c r="J11091" s="18" t="n">
        <v>0</v>
      </c>
      <c r="K11091" s="19" t="n">
        <v>0</v>
      </c>
      <c r="L11091" s="17"/>
    </row>
    <row r="11092" s="11" customFormat="true" ht="10.95" hidden="false" customHeight="true" outlineLevel="0" collapsed="false">
      <c r="A11092" s="16" t="n">
        <v>45342</v>
      </c>
      <c r="B11092" s="17" t="s">
        <v>3861</v>
      </c>
      <c r="C11092" s="17" t="s">
        <v>3752</v>
      </c>
      <c r="D11092" s="17" t="s">
        <v>2903</v>
      </c>
      <c r="E11092" s="17" t="s">
        <v>3616</v>
      </c>
      <c r="F11092" s="17" t="s">
        <v>3300</v>
      </c>
      <c r="G11092" s="18" t="n">
        <v>0</v>
      </c>
      <c r="H11092" s="18" t="n">
        <v>335.5</v>
      </c>
      <c r="I11092" s="18" t="n">
        <f aca="false">((I11091 + G11092) - H11092)</f>
        <v>38666.89</v>
      </c>
      <c r="J11092" s="18" t="n">
        <v>0</v>
      </c>
      <c r="K11092" s="19" t="n">
        <v>0</v>
      </c>
      <c r="L11092" s="17"/>
    </row>
    <row r="11093" s="11" customFormat="true" ht="10.95" hidden="false" customHeight="true" outlineLevel="0" collapsed="false">
      <c r="A11093" s="16" t="n">
        <v>45342</v>
      </c>
      <c r="B11093" s="17" t="s">
        <v>3861</v>
      </c>
      <c r="C11093" s="17" t="s">
        <v>3752</v>
      </c>
      <c r="D11093" s="17" t="s">
        <v>2903</v>
      </c>
      <c r="E11093" s="17" t="s">
        <v>3643</v>
      </c>
      <c r="F11093" s="17" t="s">
        <v>1517</v>
      </c>
      <c r="G11093" s="18" t="n">
        <v>0</v>
      </c>
      <c r="H11093" s="18" t="n">
        <v>1013.76</v>
      </c>
      <c r="I11093" s="18" t="n">
        <f aca="false">((I11092 + G11093) - H11093)</f>
        <v>37653.13</v>
      </c>
      <c r="J11093" s="18" t="n">
        <v>0</v>
      </c>
      <c r="K11093" s="19" t="n">
        <v>0</v>
      </c>
      <c r="L11093" s="17"/>
    </row>
    <row r="11094" s="11" customFormat="true" ht="10.95" hidden="false" customHeight="true" outlineLevel="0" collapsed="false">
      <c r="A11094" s="16" t="n">
        <v>45342</v>
      </c>
      <c r="B11094" s="17" t="s">
        <v>3861</v>
      </c>
      <c r="C11094" s="17" t="s">
        <v>3752</v>
      </c>
      <c r="D11094" s="17" t="s">
        <v>1407</v>
      </c>
      <c r="E11094" s="17" t="s">
        <v>3878</v>
      </c>
      <c r="F11094" s="17"/>
      <c r="G11094" s="18" t="n">
        <v>0</v>
      </c>
      <c r="H11094" s="18" t="n">
        <v>1417</v>
      </c>
      <c r="I11094" s="18" t="n">
        <f aca="false">((I11093 + G11094) - H11094)</f>
        <v>36236.13</v>
      </c>
      <c r="J11094" s="18" t="n">
        <v>0</v>
      </c>
      <c r="K11094" s="19" t="n">
        <v>0</v>
      </c>
      <c r="L11094" s="17"/>
    </row>
    <row r="11095" s="11" customFormat="true" ht="10.95" hidden="false" customHeight="true" outlineLevel="0" collapsed="false">
      <c r="A11095" s="16" t="n">
        <v>45342</v>
      </c>
      <c r="B11095" s="17" t="s">
        <v>3861</v>
      </c>
      <c r="C11095" s="17" t="s">
        <v>3752</v>
      </c>
      <c r="D11095" s="17" t="s">
        <v>1407</v>
      </c>
      <c r="E11095" s="17" t="s">
        <v>3900</v>
      </c>
      <c r="F11095" s="17"/>
      <c r="G11095" s="18" t="n">
        <v>0</v>
      </c>
      <c r="H11095" s="18" t="n">
        <v>16.99</v>
      </c>
      <c r="I11095" s="18" t="n">
        <f aca="false">((I11094 + G11095) - H11095)</f>
        <v>36219.14</v>
      </c>
      <c r="J11095" s="18" t="n">
        <v>0</v>
      </c>
      <c r="K11095" s="19" t="n">
        <v>0</v>
      </c>
      <c r="L11095" s="17"/>
    </row>
    <row r="11096" s="11" customFormat="true" ht="10.95" hidden="false" customHeight="true" outlineLevel="0" collapsed="false">
      <c r="A11096" s="16" t="n">
        <v>45342</v>
      </c>
      <c r="B11096" s="17" t="s">
        <v>3861</v>
      </c>
      <c r="C11096" s="17" t="s">
        <v>3752</v>
      </c>
      <c r="D11096" s="17" t="s">
        <v>1407</v>
      </c>
      <c r="E11096" s="17" t="s">
        <v>3901</v>
      </c>
      <c r="F11096" s="17"/>
      <c r="G11096" s="18" t="n">
        <v>0</v>
      </c>
      <c r="H11096" s="18" t="n">
        <v>83.64</v>
      </c>
      <c r="I11096" s="18" t="n">
        <f aca="false">((I11095 + G11096) - H11096)</f>
        <v>36135.5</v>
      </c>
      <c r="J11096" s="18" t="n">
        <v>0</v>
      </c>
      <c r="K11096" s="19" t="n">
        <v>0</v>
      </c>
      <c r="L11096" s="17"/>
    </row>
    <row r="11097" s="11" customFormat="true" ht="10.95" hidden="false" customHeight="true" outlineLevel="0" collapsed="false">
      <c r="A11097" s="16" t="n">
        <v>45342</v>
      </c>
      <c r="B11097" s="17" t="s">
        <v>3861</v>
      </c>
      <c r="C11097" s="17" t="s">
        <v>3752</v>
      </c>
      <c r="D11097" s="17" t="s">
        <v>1407</v>
      </c>
      <c r="E11097" s="17" t="s">
        <v>3902</v>
      </c>
      <c r="F11097" s="17"/>
      <c r="G11097" s="18" t="n">
        <v>0</v>
      </c>
      <c r="H11097" s="18" t="n">
        <v>272.5</v>
      </c>
      <c r="I11097" s="18" t="n">
        <f aca="false">((I11096 + G11097) - H11097)</f>
        <v>35863</v>
      </c>
      <c r="J11097" s="18" t="n">
        <v>0</v>
      </c>
      <c r="K11097" s="19" t="n">
        <v>0</v>
      </c>
      <c r="L11097" s="17"/>
    </row>
    <row r="11098" s="11" customFormat="true" ht="10.95" hidden="false" customHeight="true" outlineLevel="0" collapsed="false">
      <c r="A11098" s="16" t="n">
        <v>45342</v>
      </c>
      <c r="B11098" s="17" t="s">
        <v>3861</v>
      </c>
      <c r="C11098" s="17" t="s">
        <v>3752</v>
      </c>
      <c r="D11098" s="17" t="s">
        <v>1407</v>
      </c>
      <c r="E11098" s="17" t="s">
        <v>3863</v>
      </c>
      <c r="F11098" s="17"/>
      <c r="G11098" s="18" t="n">
        <v>0</v>
      </c>
      <c r="H11098" s="18" t="n">
        <v>3.62</v>
      </c>
      <c r="I11098" s="18" t="n">
        <f aca="false">((I11097 + G11098) - H11098)</f>
        <v>35859.38</v>
      </c>
      <c r="J11098" s="18" t="n">
        <v>0</v>
      </c>
      <c r="K11098" s="19" t="n">
        <v>0</v>
      </c>
      <c r="L11098" s="17"/>
    </row>
    <row r="11099" s="11" customFormat="true" ht="10.95" hidden="false" customHeight="true" outlineLevel="0" collapsed="false">
      <c r="A11099" s="16" t="n">
        <v>45342</v>
      </c>
      <c r="B11099" s="17" t="s">
        <v>3861</v>
      </c>
      <c r="C11099" s="17" t="s">
        <v>3752</v>
      </c>
      <c r="D11099" s="17" t="s">
        <v>1407</v>
      </c>
      <c r="E11099" s="17" t="s">
        <v>3863</v>
      </c>
      <c r="F11099" s="17"/>
      <c r="G11099" s="18" t="n">
        <v>0</v>
      </c>
      <c r="H11099" s="18" t="n">
        <v>5.03</v>
      </c>
      <c r="I11099" s="18" t="n">
        <f aca="false">((I11098 + G11099) - H11099)</f>
        <v>35854.35</v>
      </c>
      <c r="J11099" s="18" t="n">
        <v>0</v>
      </c>
      <c r="K11099" s="19" t="n">
        <v>0</v>
      </c>
      <c r="L11099" s="17"/>
    </row>
    <row r="11100" s="11" customFormat="true" ht="10.95" hidden="false" customHeight="true" outlineLevel="0" collapsed="false">
      <c r="A11100" s="16" t="n">
        <v>45342</v>
      </c>
      <c r="B11100" s="17" t="s">
        <v>3861</v>
      </c>
      <c r="C11100" s="17" t="s">
        <v>3752</v>
      </c>
      <c r="D11100" s="17" t="s">
        <v>1407</v>
      </c>
      <c r="E11100" s="17" t="s">
        <v>3911</v>
      </c>
      <c r="F11100" s="17"/>
      <c r="G11100" s="18" t="n">
        <v>0</v>
      </c>
      <c r="H11100" s="18" t="n">
        <v>120.62</v>
      </c>
      <c r="I11100" s="18" t="n">
        <f aca="false">((I11099 + G11100) - H11100)</f>
        <v>35733.73</v>
      </c>
      <c r="J11100" s="18" t="n">
        <v>0</v>
      </c>
      <c r="K11100" s="19" t="n">
        <v>0</v>
      </c>
      <c r="L11100" s="17"/>
    </row>
    <row r="11101" s="11" customFormat="true" ht="10.95" hidden="false" customHeight="true" outlineLevel="0" collapsed="false">
      <c r="A11101" s="16" t="n">
        <v>45342</v>
      </c>
      <c r="B11101" s="17" t="s">
        <v>3861</v>
      </c>
      <c r="C11101" s="17" t="s">
        <v>3752</v>
      </c>
      <c r="D11101" s="17" t="s">
        <v>1407</v>
      </c>
      <c r="E11101" s="17" t="s">
        <v>3882</v>
      </c>
      <c r="F11101" s="17"/>
      <c r="G11101" s="18" t="n">
        <v>0</v>
      </c>
      <c r="H11101" s="18" t="n">
        <v>360.79</v>
      </c>
      <c r="I11101" s="18" t="n">
        <f aca="false">((I11100 + G11101) - H11101)</f>
        <v>35372.94</v>
      </c>
      <c r="J11101" s="18" t="n">
        <v>0</v>
      </c>
      <c r="K11101" s="19" t="n">
        <v>0</v>
      </c>
      <c r="L11101" s="17"/>
    </row>
    <row r="11102" s="11" customFormat="true" ht="10.95" hidden="false" customHeight="true" outlineLevel="0" collapsed="false">
      <c r="A11102" s="16" t="n">
        <v>45342</v>
      </c>
      <c r="B11102" s="17" t="s">
        <v>3861</v>
      </c>
      <c r="C11102" s="17" t="s">
        <v>3752</v>
      </c>
      <c r="D11102" s="17" t="s">
        <v>1407</v>
      </c>
      <c r="E11102" s="17" t="s">
        <v>3882</v>
      </c>
      <c r="F11102" s="17"/>
      <c r="G11102" s="18" t="n">
        <v>0</v>
      </c>
      <c r="H11102" s="18" t="n">
        <v>340.84</v>
      </c>
      <c r="I11102" s="18" t="n">
        <f aca="false">((I11101 + G11102) - H11102)</f>
        <v>35032.1</v>
      </c>
      <c r="J11102" s="18" t="n">
        <v>0</v>
      </c>
      <c r="K11102" s="19" t="n">
        <v>0</v>
      </c>
      <c r="L11102" s="17"/>
    </row>
    <row r="11103" s="11" customFormat="true" ht="10.95" hidden="false" customHeight="true" outlineLevel="0" collapsed="false">
      <c r="A11103" s="16" t="n">
        <v>45342</v>
      </c>
      <c r="B11103" s="17" t="s">
        <v>3861</v>
      </c>
      <c r="C11103" s="17" t="s">
        <v>3752</v>
      </c>
      <c r="D11103" s="17" t="s">
        <v>1407</v>
      </c>
      <c r="E11103" s="17" t="s">
        <v>4023</v>
      </c>
      <c r="F11103" s="17"/>
      <c r="G11103" s="18" t="n">
        <v>0</v>
      </c>
      <c r="H11103" s="18" t="n">
        <v>167.67</v>
      </c>
      <c r="I11103" s="18" t="n">
        <f aca="false">((I11102 + G11103) - H11103)</f>
        <v>34864.43</v>
      </c>
      <c r="J11103" s="18" t="n">
        <v>0</v>
      </c>
      <c r="K11103" s="19" t="n">
        <v>0</v>
      </c>
      <c r="L11103" s="17"/>
    </row>
    <row r="11104" s="11" customFormat="true" ht="10.95" hidden="false" customHeight="true" outlineLevel="0" collapsed="false">
      <c r="A11104" s="16" t="n">
        <v>45343</v>
      </c>
      <c r="B11104" s="17" t="s">
        <v>3861</v>
      </c>
      <c r="C11104" s="17" t="s">
        <v>3752</v>
      </c>
      <c r="D11104" s="17" t="s">
        <v>2895</v>
      </c>
      <c r="E11104" s="17" t="s">
        <v>3453</v>
      </c>
      <c r="F11104" s="17" t="s">
        <v>4282</v>
      </c>
      <c r="G11104" s="18" t="n">
        <v>93.5</v>
      </c>
      <c r="H11104" s="18" t="n">
        <v>0</v>
      </c>
      <c r="I11104" s="18" t="n">
        <f aca="false">((I11103 + G11104) - H11104)</f>
        <v>34957.93</v>
      </c>
      <c r="J11104" s="18" t="n">
        <v>0</v>
      </c>
      <c r="K11104" s="19" t="n">
        <v>0</v>
      </c>
      <c r="L11104" s="17"/>
    </row>
    <row r="11105" s="11" customFormat="true" ht="10.95" hidden="false" customHeight="true" outlineLevel="0" collapsed="false">
      <c r="A11105" s="16" t="n">
        <v>45343</v>
      </c>
      <c r="B11105" s="17" t="s">
        <v>3861</v>
      </c>
      <c r="C11105" s="17" t="s">
        <v>3752</v>
      </c>
      <c r="D11105" s="17" t="s">
        <v>2903</v>
      </c>
      <c r="E11105" s="17" t="s">
        <v>3644</v>
      </c>
      <c r="F11105" s="17" t="s">
        <v>2495</v>
      </c>
      <c r="G11105" s="18" t="n">
        <v>0</v>
      </c>
      <c r="H11105" s="18" t="n">
        <v>36.19</v>
      </c>
      <c r="I11105" s="18" t="n">
        <f aca="false">((I11104 + G11105) - H11105)</f>
        <v>34921.74</v>
      </c>
      <c r="J11105" s="18" t="n">
        <v>0</v>
      </c>
      <c r="K11105" s="19" t="n">
        <v>0</v>
      </c>
      <c r="L11105" s="17"/>
    </row>
    <row r="11106" s="11" customFormat="true" ht="10.95" hidden="false" customHeight="true" outlineLevel="0" collapsed="false">
      <c r="A11106" s="16" t="n">
        <v>45343</v>
      </c>
      <c r="B11106" s="17" t="s">
        <v>3861</v>
      </c>
      <c r="C11106" s="17" t="s">
        <v>3752</v>
      </c>
      <c r="D11106" s="17" t="s">
        <v>1407</v>
      </c>
      <c r="E11106" s="17" t="s">
        <v>3881</v>
      </c>
      <c r="F11106" s="17"/>
      <c r="G11106" s="18" t="n">
        <v>0</v>
      </c>
      <c r="H11106" s="18" t="n">
        <v>140</v>
      </c>
      <c r="I11106" s="18" t="n">
        <f aca="false">((I11105 + G11106) - H11106)</f>
        <v>34781.74</v>
      </c>
      <c r="J11106" s="18" t="n">
        <v>0</v>
      </c>
      <c r="K11106" s="19" t="n">
        <v>0</v>
      </c>
      <c r="L11106" s="17"/>
    </row>
    <row r="11107" s="11" customFormat="true" ht="10.95" hidden="false" customHeight="true" outlineLevel="0" collapsed="false">
      <c r="A11107" s="16" t="n">
        <v>45343</v>
      </c>
      <c r="B11107" s="17" t="s">
        <v>3861</v>
      </c>
      <c r="C11107" s="17" t="s">
        <v>3752</v>
      </c>
      <c r="D11107" s="17" t="s">
        <v>1407</v>
      </c>
      <c r="E11107" s="17" t="s">
        <v>3880</v>
      </c>
      <c r="F11107" s="17"/>
      <c r="G11107" s="18" t="n">
        <v>0</v>
      </c>
      <c r="H11107" s="18" t="n">
        <v>1207</v>
      </c>
      <c r="I11107" s="18" t="n">
        <f aca="false">((I11106 + G11107) - H11107)</f>
        <v>33574.74</v>
      </c>
      <c r="J11107" s="18" t="n">
        <v>0</v>
      </c>
      <c r="K11107" s="19" t="n">
        <v>0</v>
      </c>
      <c r="L11107" s="17"/>
    </row>
    <row r="11108" s="11" customFormat="true" ht="10.95" hidden="false" customHeight="true" outlineLevel="0" collapsed="false">
      <c r="A11108" s="16" t="n">
        <v>45343</v>
      </c>
      <c r="B11108" s="17" t="s">
        <v>3861</v>
      </c>
      <c r="C11108" s="17" t="s">
        <v>3752</v>
      </c>
      <c r="D11108" s="17" t="s">
        <v>1407</v>
      </c>
      <c r="E11108" s="17" t="s">
        <v>3879</v>
      </c>
      <c r="F11108" s="17"/>
      <c r="G11108" s="18" t="n">
        <v>0</v>
      </c>
      <c r="H11108" s="18" t="n">
        <v>1207</v>
      </c>
      <c r="I11108" s="18" t="n">
        <f aca="false">((I11107 + G11108) - H11108)</f>
        <v>32367.74</v>
      </c>
      <c r="J11108" s="18" t="n">
        <v>0</v>
      </c>
      <c r="K11108" s="19" t="n">
        <v>0</v>
      </c>
      <c r="L11108" s="17"/>
    </row>
    <row r="11109" s="11" customFormat="true" ht="10.95" hidden="false" customHeight="true" outlineLevel="0" collapsed="false">
      <c r="A11109" s="16" t="n">
        <v>45343</v>
      </c>
      <c r="B11109" s="17" t="s">
        <v>3861</v>
      </c>
      <c r="C11109" s="17" t="s">
        <v>3752</v>
      </c>
      <c r="D11109" s="17" t="s">
        <v>1407</v>
      </c>
      <c r="E11109" s="17" t="s">
        <v>3808</v>
      </c>
      <c r="F11109" s="17"/>
      <c r="G11109" s="18" t="n">
        <v>0</v>
      </c>
      <c r="H11109" s="18" t="n">
        <v>1705.92</v>
      </c>
      <c r="I11109" s="18" t="n">
        <f aca="false">((I11108 + G11109) - H11109)</f>
        <v>30661.82</v>
      </c>
      <c r="J11109" s="18" t="n">
        <v>0</v>
      </c>
      <c r="K11109" s="19" t="n">
        <v>0</v>
      </c>
      <c r="L11109" s="17"/>
    </row>
    <row r="11110" s="11" customFormat="true" ht="10.95" hidden="false" customHeight="true" outlineLevel="0" collapsed="false">
      <c r="A11110" s="16" t="n">
        <v>45343</v>
      </c>
      <c r="B11110" s="17" t="s">
        <v>3861</v>
      </c>
      <c r="C11110" s="17" t="s">
        <v>3752</v>
      </c>
      <c r="D11110" s="17" t="s">
        <v>2895</v>
      </c>
      <c r="E11110" s="17" t="s">
        <v>3403</v>
      </c>
      <c r="F11110" s="17" t="s">
        <v>4283</v>
      </c>
      <c r="G11110" s="18" t="n">
        <v>618.75</v>
      </c>
      <c r="H11110" s="18" t="n">
        <v>0</v>
      </c>
      <c r="I11110" s="18" t="n">
        <f aca="false">((I11109 + G11110) - H11110)</f>
        <v>31280.57</v>
      </c>
      <c r="J11110" s="18" t="n">
        <v>0</v>
      </c>
      <c r="K11110" s="19" t="n">
        <v>0</v>
      </c>
      <c r="L11110" s="17"/>
    </row>
    <row r="11111" s="11" customFormat="true" ht="10.95" hidden="false" customHeight="true" outlineLevel="0" collapsed="false">
      <c r="A11111" s="16" t="n">
        <v>45343</v>
      </c>
      <c r="B11111" s="17" t="s">
        <v>3861</v>
      </c>
      <c r="C11111" s="17" t="s">
        <v>3752</v>
      </c>
      <c r="D11111" s="17" t="s">
        <v>2895</v>
      </c>
      <c r="E11111" s="17" t="s">
        <v>3403</v>
      </c>
      <c r="F11111" s="17" t="s">
        <v>4284</v>
      </c>
      <c r="G11111" s="18" t="n">
        <v>638</v>
      </c>
      <c r="H11111" s="18" t="n">
        <v>0</v>
      </c>
      <c r="I11111" s="18" t="n">
        <f aca="false">((I11110 + G11111) - H11111)</f>
        <v>31918.57</v>
      </c>
      <c r="J11111" s="18" t="n">
        <v>0</v>
      </c>
      <c r="K11111" s="19" t="n">
        <v>0</v>
      </c>
      <c r="L11111" s="17"/>
    </row>
    <row r="11112" s="11" customFormat="true" ht="10.95" hidden="false" customHeight="true" outlineLevel="0" collapsed="false">
      <c r="A11112" s="16" t="n">
        <v>45343</v>
      </c>
      <c r="B11112" s="17" t="s">
        <v>3861</v>
      </c>
      <c r="C11112" s="17" t="s">
        <v>3752</v>
      </c>
      <c r="D11112" s="17" t="s">
        <v>2895</v>
      </c>
      <c r="E11112" s="17" t="s">
        <v>3403</v>
      </c>
      <c r="F11112" s="17" t="s">
        <v>4285</v>
      </c>
      <c r="G11112" s="18" t="n">
        <v>618.75</v>
      </c>
      <c r="H11112" s="18" t="n">
        <v>0</v>
      </c>
      <c r="I11112" s="18" t="n">
        <f aca="false">((I11111 + G11112) - H11112)</f>
        <v>32537.32</v>
      </c>
      <c r="J11112" s="18" t="n">
        <v>0</v>
      </c>
      <c r="K11112" s="19" t="n">
        <v>0</v>
      </c>
      <c r="L11112" s="17"/>
    </row>
    <row r="11113" s="11" customFormat="true" ht="10.95" hidden="false" customHeight="true" outlineLevel="0" collapsed="false">
      <c r="A11113" s="16" t="n">
        <v>45344</v>
      </c>
      <c r="B11113" s="17" t="s">
        <v>3861</v>
      </c>
      <c r="C11113" s="17" t="s">
        <v>3752</v>
      </c>
      <c r="D11113" s="17" t="s">
        <v>2903</v>
      </c>
      <c r="E11113" s="17" t="s">
        <v>3644</v>
      </c>
      <c r="F11113" s="17" t="s">
        <v>2493</v>
      </c>
      <c r="G11113" s="18" t="n">
        <v>0</v>
      </c>
      <c r="H11113" s="18" t="n">
        <v>9.9</v>
      </c>
      <c r="I11113" s="18" t="n">
        <f aca="false">((I11112 + G11113) - H11113)</f>
        <v>32527.42</v>
      </c>
      <c r="J11113" s="18" t="n">
        <v>0</v>
      </c>
      <c r="K11113" s="19" t="n">
        <v>0</v>
      </c>
      <c r="L11113" s="17"/>
    </row>
    <row r="11114" s="11" customFormat="true" ht="10.95" hidden="false" customHeight="true" outlineLevel="0" collapsed="false">
      <c r="A11114" s="16" t="n">
        <v>45344</v>
      </c>
      <c r="B11114" s="17" t="s">
        <v>3861</v>
      </c>
      <c r="C11114" s="17" t="s">
        <v>3752</v>
      </c>
      <c r="D11114" s="17" t="s">
        <v>2903</v>
      </c>
      <c r="E11114" s="17" t="s">
        <v>3644</v>
      </c>
      <c r="F11114" s="17" t="s">
        <v>2485</v>
      </c>
      <c r="G11114" s="18" t="n">
        <v>0</v>
      </c>
      <c r="H11114" s="18" t="n">
        <v>24.2</v>
      </c>
      <c r="I11114" s="18" t="n">
        <f aca="false">((I11113 + G11114) - H11114)</f>
        <v>32503.22</v>
      </c>
      <c r="J11114" s="18" t="n">
        <v>0</v>
      </c>
      <c r="K11114" s="19" t="n">
        <v>0</v>
      </c>
      <c r="L11114" s="17"/>
    </row>
    <row r="11115" s="11" customFormat="true" ht="10.95" hidden="false" customHeight="true" outlineLevel="0" collapsed="false">
      <c r="A11115" s="16" t="n">
        <v>45344</v>
      </c>
      <c r="B11115" s="17" t="s">
        <v>3861</v>
      </c>
      <c r="C11115" s="17" t="s">
        <v>3752</v>
      </c>
      <c r="D11115" s="17" t="s">
        <v>2903</v>
      </c>
      <c r="E11115" s="17" t="s">
        <v>3644</v>
      </c>
      <c r="F11115" s="17" t="s">
        <v>2491</v>
      </c>
      <c r="G11115" s="18" t="n">
        <v>0</v>
      </c>
      <c r="H11115" s="18" t="n">
        <v>49.28</v>
      </c>
      <c r="I11115" s="18" t="n">
        <f aca="false">((I11114 + G11115) - H11115)</f>
        <v>32453.94</v>
      </c>
      <c r="J11115" s="18" t="n">
        <v>0</v>
      </c>
      <c r="K11115" s="19" t="n">
        <v>0</v>
      </c>
      <c r="L11115" s="17"/>
    </row>
    <row r="11116" s="11" customFormat="true" ht="10.95" hidden="false" customHeight="true" outlineLevel="0" collapsed="false">
      <c r="A11116" s="16" t="n">
        <v>45344</v>
      </c>
      <c r="B11116" s="17" t="s">
        <v>3861</v>
      </c>
      <c r="C11116" s="17" t="s">
        <v>3752</v>
      </c>
      <c r="D11116" s="17" t="s">
        <v>2903</v>
      </c>
      <c r="E11116" s="17" t="s">
        <v>3644</v>
      </c>
      <c r="F11116" s="17" t="s">
        <v>2489</v>
      </c>
      <c r="G11116" s="18" t="n">
        <v>0</v>
      </c>
      <c r="H11116" s="18" t="n">
        <v>60.5</v>
      </c>
      <c r="I11116" s="18" t="n">
        <f aca="false">((I11115 + G11116) - H11116)</f>
        <v>32393.44</v>
      </c>
      <c r="J11116" s="18" t="n">
        <v>0</v>
      </c>
      <c r="K11116" s="19" t="n">
        <v>0</v>
      </c>
      <c r="L11116" s="17"/>
    </row>
    <row r="11117" s="11" customFormat="true" ht="10.95" hidden="false" customHeight="true" outlineLevel="0" collapsed="false">
      <c r="A11117" s="16" t="n">
        <v>45344</v>
      </c>
      <c r="B11117" s="17" t="s">
        <v>3861</v>
      </c>
      <c r="C11117" s="17" t="s">
        <v>3752</v>
      </c>
      <c r="D11117" s="17" t="s">
        <v>2903</v>
      </c>
      <c r="E11117" s="17" t="s">
        <v>3644</v>
      </c>
      <c r="F11117" s="17" t="s">
        <v>2481</v>
      </c>
      <c r="G11117" s="18" t="n">
        <v>0</v>
      </c>
      <c r="H11117" s="18" t="n">
        <v>68.2</v>
      </c>
      <c r="I11117" s="18" t="n">
        <f aca="false">((I11116 + G11117) - H11117)</f>
        <v>32325.24</v>
      </c>
      <c r="J11117" s="18" t="n">
        <v>0</v>
      </c>
      <c r="K11117" s="19" t="n">
        <v>0</v>
      </c>
      <c r="L11117" s="17"/>
    </row>
    <row r="11118" s="11" customFormat="true" ht="10.95" hidden="false" customHeight="true" outlineLevel="0" collapsed="false">
      <c r="A11118" s="16" t="n">
        <v>45344</v>
      </c>
      <c r="B11118" s="17" t="s">
        <v>3861</v>
      </c>
      <c r="C11118" s="17" t="s">
        <v>3752</v>
      </c>
      <c r="D11118" s="17" t="s">
        <v>2903</v>
      </c>
      <c r="E11118" s="17" t="s">
        <v>3644</v>
      </c>
      <c r="F11118" s="17" t="s">
        <v>2483</v>
      </c>
      <c r="G11118" s="18" t="n">
        <v>0</v>
      </c>
      <c r="H11118" s="18" t="n">
        <v>83.6</v>
      </c>
      <c r="I11118" s="18" t="n">
        <f aca="false">((I11117 + G11118) - H11118)</f>
        <v>32241.64</v>
      </c>
      <c r="J11118" s="18" t="n">
        <v>0</v>
      </c>
      <c r="K11118" s="19" t="n">
        <v>0</v>
      </c>
      <c r="L11118" s="17"/>
    </row>
    <row r="11119" s="11" customFormat="true" ht="10.95" hidden="false" customHeight="true" outlineLevel="0" collapsed="false">
      <c r="A11119" s="16" t="n">
        <v>45344</v>
      </c>
      <c r="B11119" s="17" t="s">
        <v>3861</v>
      </c>
      <c r="C11119" s="17" t="s">
        <v>3752</v>
      </c>
      <c r="D11119" s="17" t="s">
        <v>2903</v>
      </c>
      <c r="E11119" s="17" t="s">
        <v>3644</v>
      </c>
      <c r="F11119" s="17" t="s">
        <v>2487</v>
      </c>
      <c r="G11119" s="18" t="n">
        <v>0</v>
      </c>
      <c r="H11119" s="18" t="n">
        <v>219.78</v>
      </c>
      <c r="I11119" s="18" t="n">
        <f aca="false">((I11118 + G11119) - H11119)</f>
        <v>32021.86</v>
      </c>
      <c r="J11119" s="18" t="n">
        <v>0</v>
      </c>
      <c r="K11119" s="19" t="n">
        <v>0</v>
      </c>
      <c r="L11119" s="17"/>
    </row>
    <row r="11120" s="11" customFormat="true" ht="10.95" hidden="false" customHeight="true" outlineLevel="0" collapsed="false">
      <c r="A11120" s="16" t="n">
        <v>45345</v>
      </c>
      <c r="B11120" s="17" t="s">
        <v>3861</v>
      </c>
      <c r="C11120" s="17" t="s">
        <v>3752</v>
      </c>
      <c r="D11120" s="17" t="s">
        <v>1407</v>
      </c>
      <c r="E11120" s="17" t="s">
        <v>3907</v>
      </c>
      <c r="F11120" s="17"/>
      <c r="G11120" s="18" t="n">
        <v>0</v>
      </c>
      <c r="H11120" s="18" t="n">
        <v>19.49</v>
      </c>
      <c r="I11120" s="18" t="n">
        <f aca="false">((I11119 + G11120) - H11120)</f>
        <v>32002.37</v>
      </c>
      <c r="J11120" s="18" t="n">
        <v>0</v>
      </c>
      <c r="K11120" s="19" t="n">
        <v>0</v>
      </c>
      <c r="L11120" s="17"/>
    </row>
    <row r="11121" s="11" customFormat="true" ht="10.95" hidden="false" customHeight="true" outlineLevel="0" collapsed="false">
      <c r="A11121" s="16" t="n">
        <v>45345</v>
      </c>
      <c r="B11121" s="17" t="s">
        <v>3861</v>
      </c>
      <c r="C11121" s="17" t="s">
        <v>3752</v>
      </c>
      <c r="D11121" s="17" t="s">
        <v>2903</v>
      </c>
      <c r="E11121" s="17" t="s">
        <v>3671</v>
      </c>
      <c r="F11121" s="17" t="s">
        <v>2497</v>
      </c>
      <c r="G11121" s="18" t="n">
        <v>0</v>
      </c>
      <c r="H11121" s="18" t="n">
        <v>97</v>
      </c>
      <c r="I11121" s="18" t="n">
        <f aca="false">((I11120 + G11121) - H11121)</f>
        <v>31905.37</v>
      </c>
      <c r="J11121" s="18" t="n">
        <v>0</v>
      </c>
      <c r="K11121" s="19" t="n">
        <v>0</v>
      </c>
      <c r="L11121" s="17"/>
    </row>
    <row r="11122" s="11" customFormat="true" ht="10.95" hidden="false" customHeight="true" outlineLevel="0" collapsed="false">
      <c r="A11122" s="16" t="n">
        <v>45346</v>
      </c>
      <c r="B11122" s="17" t="s">
        <v>3861</v>
      </c>
      <c r="C11122" s="17" t="s">
        <v>3752</v>
      </c>
      <c r="D11122" s="17" t="s">
        <v>2895</v>
      </c>
      <c r="E11122" s="17" t="s">
        <v>2909</v>
      </c>
      <c r="F11122" s="17" t="s">
        <v>1358</v>
      </c>
      <c r="G11122" s="18" t="n">
        <v>1821.48</v>
      </c>
      <c r="H11122" s="18" t="n">
        <v>0</v>
      </c>
      <c r="I11122" s="18" t="n">
        <f aca="false">((I11121 + G11122) - H11122)</f>
        <v>33726.85</v>
      </c>
      <c r="J11122" s="18" t="n">
        <v>0</v>
      </c>
      <c r="K11122" s="19" t="n">
        <v>0</v>
      </c>
      <c r="L11122" s="17"/>
    </row>
    <row r="11123" s="11" customFormat="true" ht="10.95" hidden="false" customHeight="true" outlineLevel="0" collapsed="false">
      <c r="A11123" s="16" t="n">
        <v>45346</v>
      </c>
      <c r="B11123" s="17" t="s">
        <v>3861</v>
      </c>
      <c r="C11123" s="17" t="s">
        <v>3752</v>
      </c>
      <c r="D11123" s="17" t="s">
        <v>1276</v>
      </c>
      <c r="E11123" s="17" t="s">
        <v>3414</v>
      </c>
      <c r="F11123" s="17" t="s">
        <v>1358</v>
      </c>
      <c r="G11123" s="18" t="n">
        <v>32.52</v>
      </c>
      <c r="H11123" s="18" t="n">
        <v>0</v>
      </c>
      <c r="I11123" s="18" t="n">
        <f aca="false">((I11122 + G11123) - H11123)</f>
        <v>33759.37</v>
      </c>
      <c r="J11123" s="18" t="n">
        <v>0</v>
      </c>
      <c r="K11123" s="19" t="n">
        <v>0</v>
      </c>
      <c r="L11123" s="17"/>
    </row>
    <row r="11124" s="11" customFormat="true" ht="10.95" hidden="false" customHeight="true" outlineLevel="0" collapsed="false">
      <c r="A11124" s="16" t="n">
        <v>45346</v>
      </c>
      <c r="B11124" s="17" t="s">
        <v>3861</v>
      </c>
      <c r="C11124" s="17" t="s">
        <v>3752</v>
      </c>
      <c r="D11124" s="17" t="s">
        <v>1407</v>
      </c>
      <c r="E11124" s="17" t="s">
        <v>3862</v>
      </c>
      <c r="F11124" s="17" t="s">
        <v>1358</v>
      </c>
      <c r="G11124" s="18" t="n">
        <v>0</v>
      </c>
      <c r="H11124" s="18" t="n">
        <v>65.17</v>
      </c>
      <c r="I11124" s="18" t="n">
        <f aca="false">((I11123 + G11124) - H11124)</f>
        <v>33694.2</v>
      </c>
      <c r="J11124" s="18" t="n">
        <v>0</v>
      </c>
      <c r="K11124" s="19" t="n">
        <v>0</v>
      </c>
      <c r="L11124" s="17"/>
    </row>
    <row r="11125" s="11" customFormat="true" ht="10.95" hidden="false" customHeight="true" outlineLevel="0" collapsed="false">
      <c r="A11125" s="16" t="n">
        <v>45346</v>
      </c>
      <c r="B11125" s="17" t="s">
        <v>3861</v>
      </c>
      <c r="C11125" s="17" t="s">
        <v>3752</v>
      </c>
      <c r="D11125" s="17" t="s">
        <v>1407</v>
      </c>
      <c r="E11125" s="17" t="s">
        <v>3863</v>
      </c>
      <c r="F11125" s="17"/>
      <c r="G11125" s="18" t="n">
        <v>0</v>
      </c>
      <c r="H11125" s="18" t="n">
        <v>0.37</v>
      </c>
      <c r="I11125" s="18" t="n">
        <f aca="false">((I11124 + G11125) - H11125)</f>
        <v>33693.83</v>
      </c>
      <c r="J11125" s="18" t="n">
        <v>0</v>
      </c>
      <c r="K11125" s="19" t="n">
        <v>0</v>
      </c>
      <c r="L11125" s="17"/>
    </row>
    <row r="11126" s="11" customFormat="true" ht="10.95" hidden="false" customHeight="true" outlineLevel="0" collapsed="false">
      <c r="A11126" s="16" t="n">
        <v>45346</v>
      </c>
      <c r="B11126" s="17" t="s">
        <v>3861</v>
      </c>
      <c r="C11126" s="17" t="s">
        <v>3752</v>
      </c>
      <c r="D11126" s="17" t="s">
        <v>1407</v>
      </c>
      <c r="E11126" s="17" t="s">
        <v>3911</v>
      </c>
      <c r="F11126" s="17"/>
      <c r="G11126" s="18" t="n">
        <v>0</v>
      </c>
      <c r="H11126" s="18" t="n">
        <v>12.26</v>
      </c>
      <c r="I11126" s="18" t="n">
        <f aca="false">((I11125 + G11126) - H11126)</f>
        <v>33681.57</v>
      </c>
      <c r="J11126" s="18" t="n">
        <v>0</v>
      </c>
      <c r="K11126" s="19" t="n">
        <v>0</v>
      </c>
      <c r="L11126" s="17"/>
    </row>
    <row r="11127" s="11" customFormat="true" ht="10.95" hidden="false" customHeight="true" outlineLevel="0" collapsed="false">
      <c r="A11127" s="16" t="n">
        <v>45346</v>
      </c>
      <c r="B11127" s="17" t="s">
        <v>3861</v>
      </c>
      <c r="C11127" s="17" t="s">
        <v>3752</v>
      </c>
      <c r="D11127" s="17" t="s">
        <v>1407</v>
      </c>
      <c r="E11127" s="17" t="s">
        <v>3621</v>
      </c>
      <c r="F11127" s="17"/>
      <c r="G11127" s="18" t="n">
        <v>0</v>
      </c>
      <c r="H11127" s="18" t="n">
        <v>104.95</v>
      </c>
      <c r="I11127" s="18" t="n">
        <f aca="false">((I11126 + G11127) - H11127)</f>
        <v>33576.62</v>
      </c>
      <c r="J11127" s="18" t="n">
        <v>0</v>
      </c>
      <c r="K11127" s="19" t="n">
        <v>0</v>
      </c>
      <c r="L11127" s="17"/>
    </row>
    <row r="11128" s="11" customFormat="true" ht="10.95" hidden="false" customHeight="true" outlineLevel="0" collapsed="false">
      <c r="A11128" s="16" t="n">
        <v>45347</v>
      </c>
      <c r="B11128" s="17" t="s">
        <v>3861</v>
      </c>
      <c r="C11128" s="17" t="s">
        <v>3752</v>
      </c>
      <c r="D11128" s="17" t="s">
        <v>2903</v>
      </c>
      <c r="E11128" s="17" t="s">
        <v>3157</v>
      </c>
      <c r="F11128" s="17" t="s">
        <v>2505</v>
      </c>
      <c r="G11128" s="18" t="n">
        <v>0</v>
      </c>
      <c r="H11128" s="18" t="n">
        <v>49</v>
      </c>
      <c r="I11128" s="18" t="n">
        <f aca="false">((I11127 + G11128) - H11128)</f>
        <v>33527.62</v>
      </c>
      <c r="J11128" s="18" t="n">
        <v>0</v>
      </c>
      <c r="K11128" s="19" t="n">
        <v>0</v>
      </c>
      <c r="L11128" s="17"/>
    </row>
    <row r="11129" s="11" customFormat="true" ht="10.95" hidden="false" customHeight="true" outlineLevel="0" collapsed="false">
      <c r="A11129" s="16" t="n">
        <v>45348</v>
      </c>
      <c r="B11129" s="17" t="s">
        <v>3861</v>
      </c>
      <c r="C11129" s="17" t="s">
        <v>3752</v>
      </c>
      <c r="D11129" s="17" t="s">
        <v>2895</v>
      </c>
      <c r="E11129" s="17" t="s">
        <v>3403</v>
      </c>
      <c r="F11129" s="17" t="s">
        <v>4286</v>
      </c>
      <c r="G11129" s="18" t="n">
        <v>948.2</v>
      </c>
      <c r="H11129" s="18" t="n">
        <v>0</v>
      </c>
      <c r="I11129" s="18" t="n">
        <f aca="false">((I11128 + G11129) - H11129)</f>
        <v>34475.82</v>
      </c>
      <c r="J11129" s="18" t="n">
        <v>0</v>
      </c>
      <c r="K11129" s="19" t="n">
        <v>0</v>
      </c>
      <c r="L11129" s="17"/>
    </row>
    <row r="11130" s="11" customFormat="true" ht="10.95" hidden="false" customHeight="true" outlineLevel="0" collapsed="false">
      <c r="A11130" s="16" t="n">
        <v>45348</v>
      </c>
      <c r="B11130" s="17" t="s">
        <v>3861</v>
      </c>
      <c r="C11130" s="17" t="s">
        <v>3752</v>
      </c>
      <c r="D11130" s="17" t="s">
        <v>2895</v>
      </c>
      <c r="E11130" s="17" t="s">
        <v>3403</v>
      </c>
      <c r="F11130" s="17" t="s">
        <v>4287</v>
      </c>
      <c r="G11130" s="18" t="n">
        <v>1568.05</v>
      </c>
      <c r="H11130" s="18" t="n">
        <v>0</v>
      </c>
      <c r="I11130" s="18" t="n">
        <f aca="false">((I11129 + G11130) - H11130)</f>
        <v>36043.87</v>
      </c>
      <c r="J11130" s="18" t="n">
        <v>0</v>
      </c>
      <c r="K11130" s="19" t="n">
        <v>0</v>
      </c>
      <c r="L11130" s="17"/>
    </row>
    <row r="11131" s="11" customFormat="true" ht="10.95" hidden="false" customHeight="true" outlineLevel="0" collapsed="false">
      <c r="A11131" s="16" t="n">
        <v>45348</v>
      </c>
      <c r="B11131" s="17" t="s">
        <v>3861</v>
      </c>
      <c r="C11131" s="17" t="s">
        <v>3752</v>
      </c>
      <c r="D11131" s="17" t="s">
        <v>2895</v>
      </c>
      <c r="E11131" s="17" t="s">
        <v>3403</v>
      </c>
      <c r="F11131" s="17" t="s">
        <v>4288</v>
      </c>
      <c r="G11131" s="18" t="n">
        <v>1568.05</v>
      </c>
      <c r="H11131" s="18" t="n">
        <v>0</v>
      </c>
      <c r="I11131" s="18" t="n">
        <f aca="false">((I11130 + G11131) - H11131)</f>
        <v>37611.92</v>
      </c>
      <c r="J11131" s="18" t="n">
        <v>0</v>
      </c>
      <c r="K11131" s="19" t="n">
        <v>0</v>
      </c>
      <c r="L11131" s="17"/>
    </row>
    <row r="11132" s="11" customFormat="true" ht="10.95" hidden="false" customHeight="true" outlineLevel="0" collapsed="false">
      <c r="A11132" s="16" t="n">
        <v>45348</v>
      </c>
      <c r="B11132" s="17" t="s">
        <v>3861</v>
      </c>
      <c r="C11132" s="17" t="s">
        <v>3752</v>
      </c>
      <c r="D11132" s="17" t="s">
        <v>2895</v>
      </c>
      <c r="E11132" s="17" t="s">
        <v>2900</v>
      </c>
      <c r="F11132" s="17" t="s">
        <v>3074</v>
      </c>
      <c r="G11132" s="18" t="n">
        <v>1017.21</v>
      </c>
      <c r="H11132" s="18" t="n">
        <v>0</v>
      </c>
      <c r="I11132" s="18" t="n">
        <f aca="false">((I11131 + G11132) - H11132)</f>
        <v>38629.13</v>
      </c>
      <c r="J11132" s="18" t="n">
        <v>0</v>
      </c>
      <c r="K11132" s="19" t="n">
        <v>0</v>
      </c>
      <c r="L11132" s="17"/>
    </row>
    <row r="11133" s="11" customFormat="true" ht="10.95" hidden="false" customHeight="true" outlineLevel="0" collapsed="false">
      <c r="A11133" s="16" t="n">
        <v>45348</v>
      </c>
      <c r="B11133" s="17" t="s">
        <v>3861</v>
      </c>
      <c r="C11133" s="17" t="s">
        <v>3752</v>
      </c>
      <c r="D11133" s="17" t="s">
        <v>2895</v>
      </c>
      <c r="E11133" s="17" t="s">
        <v>2925</v>
      </c>
      <c r="F11133" s="17" t="s">
        <v>3075</v>
      </c>
      <c r="G11133" s="18" t="n">
        <v>318.03</v>
      </c>
      <c r="H11133" s="18" t="n">
        <v>0</v>
      </c>
      <c r="I11133" s="18" t="n">
        <f aca="false">((I11132 + G11133) - H11133)</f>
        <v>38947.16</v>
      </c>
      <c r="J11133" s="18" t="n">
        <v>0</v>
      </c>
      <c r="K11133" s="19" t="n">
        <v>0</v>
      </c>
      <c r="L11133" s="17"/>
    </row>
    <row r="11134" s="11" customFormat="true" ht="10.95" hidden="false" customHeight="true" outlineLevel="0" collapsed="false">
      <c r="A11134" s="16" t="n">
        <v>45348</v>
      </c>
      <c r="B11134" s="17" t="s">
        <v>3861</v>
      </c>
      <c r="C11134" s="17" t="s">
        <v>3752</v>
      </c>
      <c r="D11134" s="17" t="s">
        <v>2895</v>
      </c>
      <c r="E11134" s="17" t="s">
        <v>2925</v>
      </c>
      <c r="F11134" s="17" t="s">
        <v>3076</v>
      </c>
      <c r="G11134" s="18" t="n">
        <v>599.35</v>
      </c>
      <c r="H11134" s="18" t="n">
        <v>0</v>
      </c>
      <c r="I11134" s="18" t="n">
        <f aca="false">((I11133 + G11134) - H11134)</f>
        <v>39546.51</v>
      </c>
      <c r="J11134" s="18" t="n">
        <v>0</v>
      </c>
      <c r="K11134" s="19" t="n">
        <v>0</v>
      </c>
      <c r="L11134" s="17"/>
    </row>
    <row r="11135" s="11" customFormat="true" ht="10.95" hidden="false" customHeight="true" outlineLevel="0" collapsed="false">
      <c r="A11135" s="16" t="n">
        <v>45348</v>
      </c>
      <c r="B11135" s="17" t="s">
        <v>3861</v>
      </c>
      <c r="C11135" s="17" t="s">
        <v>3752</v>
      </c>
      <c r="D11135" s="17" t="s">
        <v>2895</v>
      </c>
      <c r="E11135" s="17" t="s">
        <v>2900</v>
      </c>
      <c r="F11135" s="17" t="s">
        <v>3077</v>
      </c>
      <c r="G11135" s="18" t="n">
        <v>1914.97</v>
      </c>
      <c r="H11135" s="18" t="n">
        <v>0</v>
      </c>
      <c r="I11135" s="18" t="n">
        <f aca="false">((I11134 + G11135) - H11135)</f>
        <v>41461.48</v>
      </c>
      <c r="J11135" s="18" t="n">
        <v>0</v>
      </c>
      <c r="K11135" s="19" t="n">
        <v>0</v>
      </c>
      <c r="L11135" s="17"/>
    </row>
    <row r="11136" s="11" customFormat="true" ht="10.95" hidden="false" customHeight="true" outlineLevel="0" collapsed="false">
      <c r="A11136" s="16" t="n">
        <v>45349</v>
      </c>
      <c r="B11136" s="17" t="s">
        <v>3861</v>
      </c>
      <c r="C11136" s="17" t="s">
        <v>3752</v>
      </c>
      <c r="D11136" s="17" t="s">
        <v>1407</v>
      </c>
      <c r="E11136" s="17" t="s">
        <v>3436</v>
      </c>
      <c r="F11136" s="17"/>
      <c r="G11136" s="18" t="n">
        <v>0</v>
      </c>
      <c r="H11136" s="18" t="n">
        <v>5</v>
      </c>
      <c r="I11136" s="18" t="n">
        <f aca="false">((I11135 + G11136) - H11136)</f>
        <v>41456.48</v>
      </c>
      <c r="J11136" s="18" t="n">
        <v>0</v>
      </c>
      <c r="K11136" s="19" t="n">
        <v>0</v>
      </c>
      <c r="L11136" s="17"/>
    </row>
    <row r="11137" s="11" customFormat="true" ht="10.95" hidden="false" customHeight="true" outlineLevel="0" collapsed="false">
      <c r="A11137" s="16" t="n">
        <v>45349</v>
      </c>
      <c r="B11137" s="17" t="s">
        <v>3861</v>
      </c>
      <c r="C11137" s="17" t="s">
        <v>3752</v>
      </c>
      <c r="D11137" s="17" t="s">
        <v>2895</v>
      </c>
      <c r="E11137" s="17" t="s">
        <v>3384</v>
      </c>
      <c r="F11137" s="17" t="s">
        <v>4289</v>
      </c>
      <c r="G11137" s="18" t="n">
        <v>2403.5</v>
      </c>
      <c r="H11137" s="18" t="n">
        <v>0</v>
      </c>
      <c r="I11137" s="18" t="n">
        <f aca="false">((I11136 + G11137) - H11137)</f>
        <v>43859.98</v>
      </c>
      <c r="J11137" s="18" t="n">
        <v>0</v>
      </c>
      <c r="K11137" s="19" t="n">
        <v>0</v>
      </c>
      <c r="L11137" s="17"/>
    </row>
    <row r="11138" s="11" customFormat="true" ht="10.95" hidden="false" customHeight="true" outlineLevel="0" collapsed="false">
      <c r="A11138" s="16" t="n">
        <v>45349</v>
      </c>
      <c r="B11138" s="17" t="s">
        <v>3861</v>
      </c>
      <c r="C11138" s="17" t="s">
        <v>3752</v>
      </c>
      <c r="D11138" s="17" t="s">
        <v>2895</v>
      </c>
      <c r="E11138" s="17" t="s">
        <v>3384</v>
      </c>
      <c r="F11138" s="17" t="s">
        <v>4290</v>
      </c>
      <c r="G11138" s="18" t="n">
        <v>1001</v>
      </c>
      <c r="H11138" s="18" t="n">
        <v>0</v>
      </c>
      <c r="I11138" s="18" t="n">
        <f aca="false">((I11137 + G11138) - H11138)</f>
        <v>44860.98</v>
      </c>
      <c r="J11138" s="18" t="n">
        <v>0</v>
      </c>
      <c r="K11138" s="19" t="n">
        <v>0</v>
      </c>
      <c r="L11138" s="17"/>
    </row>
    <row r="11139" s="11" customFormat="true" ht="10.95" hidden="false" customHeight="true" outlineLevel="0" collapsed="false">
      <c r="A11139" s="16" t="n">
        <v>45349</v>
      </c>
      <c r="B11139" s="17" t="s">
        <v>3861</v>
      </c>
      <c r="C11139" s="17" t="s">
        <v>3752</v>
      </c>
      <c r="D11139" s="17" t="s">
        <v>2895</v>
      </c>
      <c r="E11139" s="17" t="s">
        <v>3384</v>
      </c>
      <c r="F11139" s="17" t="s">
        <v>4291</v>
      </c>
      <c r="G11139" s="18" t="n">
        <v>1672</v>
      </c>
      <c r="H11139" s="18" t="n">
        <v>0</v>
      </c>
      <c r="I11139" s="18" t="n">
        <f aca="false">((I11138 + G11139) - H11139)</f>
        <v>46532.98</v>
      </c>
      <c r="J11139" s="18" t="n">
        <v>0</v>
      </c>
      <c r="K11139" s="19" t="n">
        <v>0</v>
      </c>
      <c r="L11139" s="17"/>
    </row>
    <row r="11140" s="11" customFormat="true" ht="10.95" hidden="false" customHeight="true" outlineLevel="0" collapsed="false">
      <c r="A11140" s="16" t="n">
        <v>45349</v>
      </c>
      <c r="B11140" s="17" t="s">
        <v>3861</v>
      </c>
      <c r="C11140" s="17" t="s">
        <v>3752</v>
      </c>
      <c r="D11140" s="17" t="s">
        <v>1407</v>
      </c>
      <c r="E11140" s="17" t="s">
        <v>3878</v>
      </c>
      <c r="F11140" s="17"/>
      <c r="G11140" s="18" t="n">
        <v>0</v>
      </c>
      <c r="H11140" s="18" t="n">
        <v>1417</v>
      </c>
      <c r="I11140" s="18" t="n">
        <f aca="false">((I11139 + G11140) - H11140)</f>
        <v>45115.98</v>
      </c>
      <c r="J11140" s="18" t="n">
        <v>0</v>
      </c>
      <c r="K11140" s="19" t="n">
        <v>0</v>
      </c>
      <c r="L11140" s="17"/>
    </row>
    <row r="11141" s="11" customFormat="true" ht="10.95" hidden="false" customHeight="true" outlineLevel="0" collapsed="false">
      <c r="A11141" s="16" t="n">
        <v>45349</v>
      </c>
      <c r="B11141" s="17" t="s">
        <v>3861</v>
      </c>
      <c r="C11141" s="17" t="s">
        <v>3752</v>
      </c>
      <c r="D11141" s="17" t="s">
        <v>1407</v>
      </c>
      <c r="E11141" s="17" t="s">
        <v>3770</v>
      </c>
      <c r="F11141" s="17"/>
      <c r="G11141" s="18" t="n">
        <v>0</v>
      </c>
      <c r="H11141" s="18" t="n">
        <v>22.99</v>
      </c>
      <c r="I11141" s="18" t="n">
        <f aca="false">((I11140 + G11141) - H11141)</f>
        <v>45092.99</v>
      </c>
      <c r="J11141" s="18" t="n">
        <v>0</v>
      </c>
      <c r="K11141" s="19" t="n">
        <v>0</v>
      </c>
      <c r="L11141" s="17"/>
    </row>
    <row r="11142" s="11" customFormat="true" ht="10.95" hidden="false" customHeight="true" outlineLevel="0" collapsed="false">
      <c r="A11142" s="16" t="n">
        <v>45350</v>
      </c>
      <c r="B11142" s="17" t="s">
        <v>3861</v>
      </c>
      <c r="C11142" s="17" t="s">
        <v>3752</v>
      </c>
      <c r="D11142" s="17" t="s">
        <v>2895</v>
      </c>
      <c r="E11142" s="17" t="s">
        <v>3382</v>
      </c>
      <c r="F11142" s="17" t="s">
        <v>4292</v>
      </c>
      <c r="G11142" s="18" t="n">
        <v>17105.72</v>
      </c>
      <c r="H11142" s="18" t="n">
        <v>0</v>
      </c>
      <c r="I11142" s="18" t="n">
        <f aca="false">((I11141 + G11142) - H11142)</f>
        <v>62198.71</v>
      </c>
      <c r="J11142" s="18" t="n">
        <v>0</v>
      </c>
      <c r="K11142" s="19" t="n">
        <v>0</v>
      </c>
      <c r="L11142" s="17"/>
    </row>
    <row r="11143" s="11" customFormat="true" ht="10.95" hidden="false" customHeight="true" outlineLevel="0" collapsed="false">
      <c r="A11143" s="16" t="n">
        <v>45350</v>
      </c>
      <c r="B11143" s="17" t="s">
        <v>3861</v>
      </c>
      <c r="C11143" s="17" t="s">
        <v>3752</v>
      </c>
      <c r="D11143" s="17" t="s">
        <v>2895</v>
      </c>
      <c r="E11143" s="17" t="s">
        <v>2910</v>
      </c>
      <c r="F11143" s="17" t="s">
        <v>3078</v>
      </c>
      <c r="G11143" s="18" t="n">
        <v>1257.29</v>
      </c>
      <c r="H11143" s="18" t="n">
        <v>0</v>
      </c>
      <c r="I11143" s="18" t="n">
        <f aca="false">((I11142 + G11143) - H11143)</f>
        <v>63456</v>
      </c>
      <c r="J11143" s="18" t="n">
        <v>0</v>
      </c>
      <c r="K11143" s="19" t="n">
        <v>0</v>
      </c>
      <c r="L11143" s="17"/>
    </row>
    <row r="11144" s="11" customFormat="true" ht="10.95" hidden="false" customHeight="true" outlineLevel="0" collapsed="false">
      <c r="A11144" s="16" t="n">
        <v>45350</v>
      </c>
      <c r="B11144" s="17" t="s">
        <v>3861</v>
      </c>
      <c r="C11144" s="17" t="s">
        <v>3752</v>
      </c>
      <c r="D11144" s="17" t="s">
        <v>2895</v>
      </c>
      <c r="E11144" s="17" t="s">
        <v>2910</v>
      </c>
      <c r="F11144" s="17" t="s">
        <v>3079</v>
      </c>
      <c r="G11144" s="18" t="n">
        <v>9131.87</v>
      </c>
      <c r="H11144" s="18" t="n">
        <v>0</v>
      </c>
      <c r="I11144" s="18" t="n">
        <f aca="false">((I11143 + G11144) - H11144)</f>
        <v>72587.87</v>
      </c>
      <c r="J11144" s="18" t="n">
        <v>0</v>
      </c>
      <c r="K11144" s="19" t="n">
        <v>0</v>
      </c>
      <c r="L11144" s="17"/>
    </row>
    <row r="11145" s="11" customFormat="true" ht="10.95" hidden="false" customHeight="true" outlineLevel="0" collapsed="false">
      <c r="A11145" s="16" t="n">
        <v>45350</v>
      </c>
      <c r="B11145" s="17" t="s">
        <v>3861</v>
      </c>
      <c r="C11145" s="17" t="s">
        <v>3752</v>
      </c>
      <c r="D11145" s="17" t="s">
        <v>2895</v>
      </c>
      <c r="E11145" s="17" t="s">
        <v>3496</v>
      </c>
      <c r="F11145" s="17" t="s">
        <v>4293</v>
      </c>
      <c r="G11145" s="18" t="n">
        <v>5184.3</v>
      </c>
      <c r="H11145" s="18" t="n">
        <v>0</v>
      </c>
      <c r="I11145" s="18" t="n">
        <f aca="false">((I11144 + G11145) - H11145)</f>
        <v>77772.17</v>
      </c>
      <c r="J11145" s="18" t="n">
        <v>0</v>
      </c>
      <c r="K11145" s="19" t="n">
        <v>0</v>
      </c>
      <c r="L11145" s="17"/>
    </row>
    <row r="11146" s="11" customFormat="true" ht="10.95" hidden="false" customHeight="true" outlineLevel="0" collapsed="false">
      <c r="A11146" s="16" t="n">
        <v>45350</v>
      </c>
      <c r="B11146" s="17" t="s">
        <v>3861</v>
      </c>
      <c r="C11146" s="17" t="s">
        <v>3752</v>
      </c>
      <c r="D11146" s="17" t="s">
        <v>2895</v>
      </c>
      <c r="E11146" s="17" t="s">
        <v>3389</v>
      </c>
      <c r="F11146" s="17" t="s">
        <v>4294</v>
      </c>
      <c r="G11146" s="18" t="n">
        <v>4994</v>
      </c>
      <c r="H11146" s="18" t="n">
        <v>0</v>
      </c>
      <c r="I11146" s="18" t="n">
        <f aca="false">((I11145 + G11146) - H11146)</f>
        <v>82766.17</v>
      </c>
      <c r="J11146" s="18" t="n">
        <v>0</v>
      </c>
      <c r="K11146" s="19" t="n">
        <v>0</v>
      </c>
      <c r="L11146" s="17"/>
    </row>
    <row r="11147" s="11" customFormat="true" ht="10.95" hidden="false" customHeight="true" outlineLevel="0" collapsed="false">
      <c r="A11147" s="16" t="n">
        <v>45350</v>
      </c>
      <c r="B11147" s="17" t="s">
        <v>3861</v>
      </c>
      <c r="C11147" s="17" t="s">
        <v>3752</v>
      </c>
      <c r="D11147" s="17" t="s">
        <v>3814</v>
      </c>
      <c r="E11147" s="17" t="s">
        <v>3815</v>
      </c>
      <c r="F11147" s="17"/>
      <c r="G11147" s="18" t="n">
        <v>0</v>
      </c>
      <c r="H11147" s="18" t="n">
        <v>0.64</v>
      </c>
      <c r="I11147" s="18" t="n">
        <f aca="false">((I11146 + G11147) - H11147)</f>
        <v>82765.53</v>
      </c>
      <c r="J11147" s="18" t="n">
        <v>0</v>
      </c>
      <c r="K11147" s="19" t="n">
        <v>0</v>
      </c>
      <c r="L11147" s="17"/>
    </row>
    <row r="11148" s="11" customFormat="true" ht="10.95" hidden="false" customHeight="true" outlineLevel="0" collapsed="false">
      <c r="A11148" s="16" t="n">
        <v>45350</v>
      </c>
      <c r="B11148" s="17" t="s">
        <v>3861</v>
      </c>
      <c r="C11148" s="17" t="s">
        <v>3752</v>
      </c>
      <c r="D11148" s="17" t="s">
        <v>2895</v>
      </c>
      <c r="E11148" s="17" t="s">
        <v>3466</v>
      </c>
      <c r="F11148" s="17" t="s">
        <v>4295</v>
      </c>
      <c r="G11148" s="18" t="n">
        <v>396</v>
      </c>
      <c r="H11148" s="18" t="n">
        <v>0</v>
      </c>
      <c r="I11148" s="18" t="n">
        <f aca="false">((I11147 + G11148) - H11148)</f>
        <v>83161.53</v>
      </c>
      <c r="J11148" s="18" t="n">
        <v>0</v>
      </c>
      <c r="K11148" s="19" t="n">
        <v>0</v>
      </c>
      <c r="L11148" s="17"/>
    </row>
    <row r="11149" s="11" customFormat="true" ht="10.95" hidden="false" customHeight="true" outlineLevel="0" collapsed="false">
      <c r="A11149" s="16" t="n">
        <v>45350</v>
      </c>
      <c r="B11149" s="17" t="s">
        <v>3861</v>
      </c>
      <c r="C11149" s="17" t="s">
        <v>3752</v>
      </c>
      <c r="D11149" s="17" t="s">
        <v>2895</v>
      </c>
      <c r="E11149" s="17" t="s">
        <v>3505</v>
      </c>
      <c r="F11149" s="17" t="s">
        <v>4296</v>
      </c>
      <c r="G11149" s="18" t="n">
        <v>157.3</v>
      </c>
      <c r="H11149" s="18" t="n">
        <v>0</v>
      </c>
      <c r="I11149" s="18" t="n">
        <f aca="false">((I11148 + G11149) - H11149)</f>
        <v>83318.83</v>
      </c>
      <c r="J11149" s="18" t="n">
        <v>0</v>
      </c>
      <c r="K11149" s="19" t="n">
        <v>0</v>
      </c>
      <c r="L11149" s="17"/>
    </row>
    <row r="11150" s="11" customFormat="true" ht="10.95" hidden="false" customHeight="true" outlineLevel="0" collapsed="false">
      <c r="A11150" s="16" t="n">
        <v>45350</v>
      </c>
      <c r="B11150" s="17" t="s">
        <v>3861</v>
      </c>
      <c r="C11150" s="17" t="s">
        <v>3752</v>
      </c>
      <c r="D11150" s="17" t="s">
        <v>1407</v>
      </c>
      <c r="E11150" s="17" t="s">
        <v>3863</v>
      </c>
      <c r="F11150" s="17"/>
      <c r="G11150" s="18" t="n">
        <v>0</v>
      </c>
      <c r="H11150" s="18" t="n">
        <v>3.36</v>
      </c>
      <c r="I11150" s="18" t="n">
        <f aca="false">((I11149 + G11150) - H11150)</f>
        <v>83315.47</v>
      </c>
      <c r="J11150" s="18" t="n">
        <v>0</v>
      </c>
      <c r="K11150" s="19" t="n">
        <v>0</v>
      </c>
      <c r="L11150" s="17"/>
    </row>
    <row r="11151" s="11" customFormat="true" ht="10.95" hidden="false" customHeight="true" outlineLevel="0" collapsed="false">
      <c r="A11151" s="16" t="n">
        <v>45350</v>
      </c>
      <c r="B11151" s="17" t="s">
        <v>3861</v>
      </c>
      <c r="C11151" s="17" t="s">
        <v>3752</v>
      </c>
      <c r="D11151" s="17" t="s">
        <v>1407</v>
      </c>
      <c r="E11151" s="17" t="s">
        <v>2747</v>
      </c>
      <c r="F11151" s="17"/>
      <c r="G11151" s="18" t="n">
        <v>0</v>
      </c>
      <c r="H11151" s="18" t="n">
        <v>39</v>
      </c>
      <c r="I11151" s="18" t="n">
        <f aca="false">((I11150 + G11151) - H11151)</f>
        <v>83276.47</v>
      </c>
      <c r="J11151" s="18" t="n">
        <v>0</v>
      </c>
      <c r="K11151" s="19" t="n">
        <v>0</v>
      </c>
      <c r="L11151" s="17"/>
    </row>
    <row r="11152" s="11" customFormat="true" ht="10.95" hidden="false" customHeight="true" outlineLevel="0" collapsed="false">
      <c r="A11152" s="16" t="n">
        <v>45350</v>
      </c>
      <c r="B11152" s="17" t="s">
        <v>3861</v>
      </c>
      <c r="C11152" s="17" t="s">
        <v>3752</v>
      </c>
      <c r="D11152" s="17" t="s">
        <v>1407</v>
      </c>
      <c r="E11152" s="17" t="s">
        <v>3881</v>
      </c>
      <c r="F11152" s="17"/>
      <c r="G11152" s="18" t="n">
        <v>0</v>
      </c>
      <c r="H11152" s="18" t="n">
        <v>140</v>
      </c>
      <c r="I11152" s="18" t="n">
        <f aca="false">((I11151 + G11152) - H11152)</f>
        <v>83136.47</v>
      </c>
      <c r="J11152" s="18" t="n">
        <v>0</v>
      </c>
      <c r="K11152" s="19" t="n">
        <v>0</v>
      </c>
      <c r="L11152" s="17"/>
    </row>
    <row r="11153" s="11" customFormat="true" ht="10.95" hidden="false" customHeight="true" outlineLevel="0" collapsed="false">
      <c r="A11153" s="16" t="n">
        <v>45350</v>
      </c>
      <c r="B11153" s="17" t="s">
        <v>3861</v>
      </c>
      <c r="C11153" s="17" t="s">
        <v>3752</v>
      </c>
      <c r="D11153" s="17" t="s">
        <v>1407</v>
      </c>
      <c r="E11153" s="17" t="s">
        <v>3880</v>
      </c>
      <c r="F11153" s="17"/>
      <c r="G11153" s="18" t="n">
        <v>0</v>
      </c>
      <c r="H11153" s="18" t="n">
        <v>748</v>
      </c>
      <c r="I11153" s="18" t="n">
        <f aca="false">((I11152 + G11153) - H11153)</f>
        <v>82388.47</v>
      </c>
      <c r="J11153" s="18" t="n">
        <v>0</v>
      </c>
      <c r="K11153" s="19" t="n">
        <v>0</v>
      </c>
      <c r="L11153" s="17"/>
    </row>
    <row r="11154" s="11" customFormat="true" ht="10.95" hidden="false" customHeight="true" outlineLevel="0" collapsed="false">
      <c r="A11154" s="16" t="n">
        <v>45350</v>
      </c>
      <c r="B11154" s="17" t="s">
        <v>3861</v>
      </c>
      <c r="C11154" s="17" t="s">
        <v>3752</v>
      </c>
      <c r="D11154" s="17" t="s">
        <v>1407</v>
      </c>
      <c r="E11154" s="17" t="s">
        <v>3879</v>
      </c>
      <c r="F11154" s="17"/>
      <c r="G11154" s="18" t="n">
        <v>0</v>
      </c>
      <c r="H11154" s="18" t="n">
        <v>1207</v>
      </c>
      <c r="I11154" s="18" t="n">
        <f aca="false">((I11153 + G11154) - H11154)</f>
        <v>81181.47</v>
      </c>
      <c r="J11154" s="18" t="n">
        <v>0</v>
      </c>
      <c r="K11154" s="19" t="n">
        <v>0</v>
      </c>
      <c r="L11154" s="17"/>
    </row>
    <row r="11155" s="11" customFormat="true" ht="10.95" hidden="false" customHeight="true" outlineLevel="0" collapsed="false">
      <c r="A11155" s="16" t="n">
        <v>45350</v>
      </c>
      <c r="B11155" s="17" t="s">
        <v>3861</v>
      </c>
      <c r="C11155" s="17" t="s">
        <v>3752</v>
      </c>
      <c r="D11155" s="17" t="s">
        <v>1407</v>
      </c>
      <c r="E11155" s="17" t="s">
        <v>3880</v>
      </c>
      <c r="F11155" s="17"/>
      <c r="G11155" s="18" t="n">
        <v>0</v>
      </c>
      <c r="H11155" s="18" t="n">
        <v>1207</v>
      </c>
      <c r="I11155" s="18" t="n">
        <f aca="false">((I11154 + G11155) - H11155)</f>
        <v>79974.47</v>
      </c>
      <c r="J11155" s="18" t="n">
        <v>0</v>
      </c>
      <c r="K11155" s="19" t="n">
        <v>0</v>
      </c>
      <c r="L11155" s="17"/>
    </row>
    <row r="11156" s="11" customFormat="true" ht="10.95" hidden="false" customHeight="true" outlineLevel="0" collapsed="false">
      <c r="A11156" s="16" t="n">
        <v>45350</v>
      </c>
      <c r="B11156" s="17" t="s">
        <v>3861</v>
      </c>
      <c r="C11156" s="17" t="s">
        <v>3752</v>
      </c>
      <c r="D11156" s="17" t="s">
        <v>1407</v>
      </c>
      <c r="E11156" s="17" t="s">
        <v>3808</v>
      </c>
      <c r="F11156" s="17"/>
      <c r="G11156" s="18" t="n">
        <v>0</v>
      </c>
      <c r="H11156" s="18" t="n">
        <v>1705.92</v>
      </c>
      <c r="I11156" s="18" t="n">
        <f aca="false">((I11155 + G11156) - H11156)</f>
        <v>78268.55</v>
      </c>
      <c r="J11156" s="18" t="n">
        <v>0</v>
      </c>
      <c r="K11156" s="19" t="n">
        <v>0</v>
      </c>
      <c r="L11156" s="17"/>
    </row>
    <row r="11157" s="11" customFormat="true" ht="10.95" hidden="false" customHeight="true" outlineLevel="0" collapsed="false">
      <c r="A11157" s="16" t="n">
        <v>45350</v>
      </c>
      <c r="B11157" s="17" t="s">
        <v>3861</v>
      </c>
      <c r="C11157" s="17" t="s">
        <v>3752</v>
      </c>
      <c r="D11157" s="17" t="s">
        <v>1407</v>
      </c>
      <c r="E11157" s="17" t="s">
        <v>3976</v>
      </c>
      <c r="F11157" s="17"/>
      <c r="G11157" s="18" t="n">
        <v>0</v>
      </c>
      <c r="H11157" s="18" t="n">
        <v>194.05</v>
      </c>
      <c r="I11157" s="18" t="n">
        <f aca="false">((I11156 + G11157) - H11157)</f>
        <v>78074.5</v>
      </c>
      <c r="J11157" s="18" t="n">
        <v>0</v>
      </c>
      <c r="K11157" s="19" t="n">
        <v>0</v>
      </c>
      <c r="L11157" s="17"/>
    </row>
    <row r="11158" s="11" customFormat="true" ht="10.95" hidden="false" customHeight="true" outlineLevel="0" collapsed="false">
      <c r="A11158" s="16" t="n">
        <v>45350</v>
      </c>
      <c r="B11158" s="17" t="s">
        <v>3861</v>
      </c>
      <c r="C11158" s="17" t="s">
        <v>3752</v>
      </c>
      <c r="D11158" s="17" t="s">
        <v>1407</v>
      </c>
      <c r="E11158" s="17" t="s">
        <v>3911</v>
      </c>
      <c r="F11158" s="17"/>
      <c r="G11158" s="18" t="n">
        <v>0</v>
      </c>
      <c r="H11158" s="18" t="n">
        <v>111.84</v>
      </c>
      <c r="I11158" s="18" t="n">
        <f aca="false">((I11157 + G11158) - H11158)</f>
        <v>77962.66</v>
      </c>
      <c r="J11158" s="18" t="n">
        <v>0</v>
      </c>
      <c r="K11158" s="19" t="n">
        <v>0</v>
      </c>
      <c r="L11158" s="17"/>
    </row>
    <row r="11159" s="11" customFormat="true" ht="10.95" hidden="false" customHeight="true" outlineLevel="0" collapsed="false">
      <c r="A11159" s="16" t="n">
        <v>45350</v>
      </c>
      <c r="B11159" s="17" t="s">
        <v>3861</v>
      </c>
      <c r="C11159" s="17" t="s">
        <v>3752</v>
      </c>
      <c r="D11159" s="17" t="s">
        <v>2895</v>
      </c>
      <c r="E11159" s="17" t="s">
        <v>2900</v>
      </c>
      <c r="F11159" s="17" t="s">
        <v>3080</v>
      </c>
      <c r="G11159" s="18" t="n">
        <v>133.55</v>
      </c>
      <c r="H11159" s="18" t="n">
        <v>0</v>
      </c>
      <c r="I11159" s="18" t="n">
        <f aca="false">((I11158 + G11159) - H11159)</f>
        <v>78096.21</v>
      </c>
      <c r="J11159" s="18" t="n">
        <v>0</v>
      </c>
      <c r="K11159" s="19" t="n">
        <v>0</v>
      </c>
      <c r="L11159" s="17"/>
    </row>
    <row r="11160" s="11" customFormat="true" ht="10.95" hidden="false" customHeight="true" outlineLevel="0" collapsed="false">
      <c r="A11160" s="16" t="n">
        <v>45350</v>
      </c>
      <c r="B11160" s="17" t="s">
        <v>3861</v>
      </c>
      <c r="C11160" s="17" t="s">
        <v>3752</v>
      </c>
      <c r="D11160" s="17" t="s">
        <v>2895</v>
      </c>
      <c r="E11160" s="17" t="s">
        <v>2900</v>
      </c>
      <c r="F11160" s="17" t="s">
        <v>3081</v>
      </c>
      <c r="G11160" s="18" t="n">
        <v>2014.49</v>
      </c>
      <c r="H11160" s="18" t="n">
        <v>0</v>
      </c>
      <c r="I11160" s="18" t="n">
        <f aca="false">((I11159 + G11160) - H11160)</f>
        <v>80110.7</v>
      </c>
      <c r="J11160" s="18" t="n">
        <v>0</v>
      </c>
      <c r="K11160" s="19" t="n">
        <v>0</v>
      </c>
      <c r="L11160" s="17"/>
    </row>
    <row r="11161" s="11" customFormat="true" ht="10.95" hidden="false" customHeight="true" outlineLevel="0" collapsed="false">
      <c r="A11161" s="16" t="n">
        <v>45351</v>
      </c>
      <c r="B11161" s="17" t="s">
        <v>3861</v>
      </c>
      <c r="C11161" s="17" t="s">
        <v>3752</v>
      </c>
      <c r="D11161" s="17" t="s">
        <v>3753</v>
      </c>
      <c r="E11161" s="17" t="s">
        <v>3806</v>
      </c>
      <c r="F11161" s="17" t="s">
        <v>3827</v>
      </c>
      <c r="G11161" s="18" t="n">
        <v>0</v>
      </c>
      <c r="H11161" s="18" t="n">
        <v>27343.12</v>
      </c>
      <c r="I11161" s="18" t="n">
        <f aca="false">((I11160 + G11161) - H11161)</f>
        <v>52767.58</v>
      </c>
      <c r="J11161" s="18" t="n">
        <v>0</v>
      </c>
      <c r="K11161" s="19" t="n">
        <v>0</v>
      </c>
      <c r="L11161" s="17"/>
    </row>
    <row r="11162" s="11" customFormat="true" ht="10.95" hidden="false" customHeight="true" outlineLevel="0" collapsed="false">
      <c r="A11162" s="16" t="n">
        <v>45351</v>
      </c>
      <c r="B11162" s="17" t="s">
        <v>3861</v>
      </c>
      <c r="C11162" s="17" t="s">
        <v>3752</v>
      </c>
      <c r="D11162" s="17" t="s">
        <v>2895</v>
      </c>
      <c r="E11162" s="17" t="s">
        <v>3456</v>
      </c>
      <c r="F11162" s="17" t="s">
        <v>4297</v>
      </c>
      <c r="G11162" s="18" t="n">
        <v>2244</v>
      </c>
      <c r="H11162" s="18" t="n">
        <v>0</v>
      </c>
      <c r="I11162" s="18" t="n">
        <f aca="false">((I11161 + G11162) - H11162)</f>
        <v>55011.58</v>
      </c>
      <c r="J11162" s="18" t="n">
        <v>0</v>
      </c>
      <c r="K11162" s="19" t="n">
        <v>0</v>
      </c>
      <c r="L11162" s="17"/>
    </row>
    <row r="11163" s="11" customFormat="true" ht="10.95" hidden="false" customHeight="true" outlineLevel="0" collapsed="false">
      <c r="A11163" s="16" t="n">
        <v>45351</v>
      </c>
      <c r="B11163" s="17" t="s">
        <v>3861</v>
      </c>
      <c r="C11163" s="17" t="s">
        <v>3752</v>
      </c>
      <c r="D11163" s="17" t="s">
        <v>2895</v>
      </c>
      <c r="E11163" s="17" t="s">
        <v>3465</v>
      </c>
      <c r="F11163" s="17" t="s">
        <v>4298</v>
      </c>
      <c r="G11163" s="18" t="n">
        <v>1094.5</v>
      </c>
      <c r="H11163" s="18" t="n">
        <v>0</v>
      </c>
      <c r="I11163" s="18" t="n">
        <f aca="false">((I11162 + G11163) - H11163)</f>
        <v>56106.08</v>
      </c>
      <c r="J11163" s="18" t="n">
        <v>0</v>
      </c>
      <c r="K11163" s="19" t="n">
        <v>0</v>
      </c>
      <c r="L11163" s="17"/>
    </row>
    <row r="11164" s="11" customFormat="true" ht="10.95" hidden="false" customHeight="true" outlineLevel="0" collapsed="false">
      <c r="A11164" s="16" t="n">
        <v>45351</v>
      </c>
      <c r="B11164" s="17" t="s">
        <v>3861</v>
      </c>
      <c r="C11164" s="17" t="s">
        <v>3752</v>
      </c>
      <c r="D11164" s="17" t="s">
        <v>2895</v>
      </c>
      <c r="E11164" s="17" t="s">
        <v>3497</v>
      </c>
      <c r="F11164" s="17" t="s">
        <v>4299</v>
      </c>
      <c r="G11164" s="18" t="n">
        <v>913</v>
      </c>
      <c r="H11164" s="18" t="n">
        <v>0</v>
      </c>
      <c r="I11164" s="18" t="n">
        <f aca="false">((I11163 + G11164) - H11164)</f>
        <v>57019.08</v>
      </c>
      <c r="J11164" s="18" t="n">
        <v>0</v>
      </c>
      <c r="K11164" s="19" t="n">
        <v>0</v>
      </c>
      <c r="L11164" s="17"/>
    </row>
    <row r="11165" s="11" customFormat="true" ht="10.95" hidden="false" customHeight="true" outlineLevel="0" collapsed="false">
      <c r="A11165" s="16" t="n">
        <v>45351</v>
      </c>
      <c r="B11165" s="17" t="s">
        <v>3861</v>
      </c>
      <c r="C11165" s="17" t="s">
        <v>3752</v>
      </c>
      <c r="D11165" s="17" t="s">
        <v>2895</v>
      </c>
      <c r="E11165" s="17" t="s">
        <v>3401</v>
      </c>
      <c r="F11165" s="17" t="s">
        <v>4300</v>
      </c>
      <c r="G11165" s="18" t="n">
        <v>748</v>
      </c>
      <c r="H11165" s="18" t="n">
        <v>0</v>
      </c>
      <c r="I11165" s="18" t="n">
        <f aca="false">((I11164 + G11165) - H11165)</f>
        <v>57767.08</v>
      </c>
      <c r="J11165" s="18" t="n">
        <v>0</v>
      </c>
      <c r="K11165" s="19" t="n">
        <v>0</v>
      </c>
      <c r="L11165" s="17"/>
    </row>
    <row r="11166" s="11" customFormat="true" ht="10.95" hidden="false" customHeight="true" outlineLevel="0" collapsed="false">
      <c r="A11166" s="16" t="n">
        <v>45351</v>
      </c>
      <c r="B11166" s="17" t="s">
        <v>3861</v>
      </c>
      <c r="C11166" s="17" t="s">
        <v>3752</v>
      </c>
      <c r="D11166" s="17" t="s">
        <v>2895</v>
      </c>
      <c r="E11166" s="17" t="s">
        <v>3498</v>
      </c>
      <c r="F11166" s="17" t="s">
        <v>4301</v>
      </c>
      <c r="G11166" s="18" t="n">
        <v>561</v>
      </c>
      <c r="H11166" s="18" t="n">
        <v>0</v>
      </c>
      <c r="I11166" s="18" t="n">
        <f aca="false">((I11165 + G11166) - H11166)</f>
        <v>58328.08</v>
      </c>
      <c r="J11166" s="18" t="n">
        <v>0</v>
      </c>
      <c r="K11166" s="19" t="n">
        <v>0</v>
      </c>
      <c r="L11166" s="17"/>
    </row>
    <row r="11167" s="11" customFormat="true" ht="10.95" hidden="false" customHeight="true" outlineLevel="0" collapsed="false">
      <c r="A11167" s="16" t="n">
        <v>45351</v>
      </c>
      <c r="B11167" s="17" t="s">
        <v>3861</v>
      </c>
      <c r="C11167" s="17" t="s">
        <v>3752</v>
      </c>
      <c r="D11167" s="17" t="s">
        <v>2895</v>
      </c>
      <c r="E11167" s="17" t="s">
        <v>3474</v>
      </c>
      <c r="F11167" s="17" t="s">
        <v>4302</v>
      </c>
      <c r="G11167" s="18" t="n">
        <v>357.5</v>
      </c>
      <c r="H11167" s="18" t="n">
        <v>0</v>
      </c>
      <c r="I11167" s="18" t="n">
        <f aca="false">((I11166 + G11167) - H11167)</f>
        <v>58685.58</v>
      </c>
      <c r="J11167" s="18" t="n">
        <v>0</v>
      </c>
      <c r="K11167" s="19" t="n">
        <v>0</v>
      </c>
      <c r="L11167" s="17"/>
    </row>
    <row r="11168" s="11" customFormat="true" ht="10.95" hidden="false" customHeight="true" outlineLevel="0" collapsed="false">
      <c r="A11168" s="16" t="n">
        <v>45351</v>
      </c>
      <c r="B11168" s="17" t="s">
        <v>3861</v>
      </c>
      <c r="C11168" s="17" t="s">
        <v>3752</v>
      </c>
      <c r="D11168" s="17" t="s">
        <v>2895</v>
      </c>
      <c r="E11168" s="17" t="s">
        <v>3480</v>
      </c>
      <c r="F11168" s="17" t="s">
        <v>4303</v>
      </c>
      <c r="G11168" s="18" t="n">
        <v>180</v>
      </c>
      <c r="H11168" s="18" t="n">
        <v>0</v>
      </c>
      <c r="I11168" s="18" t="n">
        <f aca="false">((I11167 + G11168) - H11168)</f>
        <v>58865.58</v>
      </c>
      <c r="J11168" s="18" t="n">
        <v>0</v>
      </c>
      <c r="K11168" s="19" t="n">
        <v>0</v>
      </c>
      <c r="L11168" s="17"/>
    </row>
    <row r="11169" s="11" customFormat="true" ht="10.95" hidden="false" customHeight="true" outlineLevel="0" collapsed="false">
      <c r="A11169" s="16" t="n">
        <v>45352</v>
      </c>
      <c r="B11169" s="17" t="s">
        <v>3861</v>
      </c>
      <c r="C11169" s="17" t="s">
        <v>3752</v>
      </c>
      <c r="D11169" s="17" t="s">
        <v>2895</v>
      </c>
      <c r="E11169" s="17" t="s">
        <v>3467</v>
      </c>
      <c r="F11169" s="17" t="s">
        <v>1360</v>
      </c>
      <c r="G11169" s="18" t="n">
        <v>1869.45</v>
      </c>
      <c r="H11169" s="18" t="n">
        <v>0</v>
      </c>
      <c r="I11169" s="18" t="n">
        <f aca="false">((I11168 + G11169) - H11169)</f>
        <v>60735.03</v>
      </c>
      <c r="J11169" s="18" t="n">
        <v>0</v>
      </c>
      <c r="K11169" s="19" t="n">
        <v>0</v>
      </c>
      <c r="L11169" s="17"/>
    </row>
    <row r="11170" s="11" customFormat="true" ht="10.95" hidden="false" customHeight="true" outlineLevel="0" collapsed="false">
      <c r="A11170" s="16" t="n">
        <v>45352</v>
      </c>
      <c r="B11170" s="17" t="s">
        <v>3861</v>
      </c>
      <c r="C11170" s="17" t="s">
        <v>3752</v>
      </c>
      <c r="D11170" s="17" t="s">
        <v>1276</v>
      </c>
      <c r="E11170" s="17" t="s">
        <v>3428</v>
      </c>
      <c r="F11170" s="17" t="s">
        <v>1360</v>
      </c>
      <c r="G11170" s="18" t="n">
        <v>32.72</v>
      </c>
      <c r="H11170" s="18" t="n">
        <v>0</v>
      </c>
      <c r="I11170" s="18" t="n">
        <f aca="false">((I11169 + G11170) - H11170)</f>
        <v>60767.75</v>
      </c>
      <c r="J11170" s="18" t="n">
        <v>0</v>
      </c>
      <c r="K11170" s="19" t="n">
        <v>0</v>
      </c>
      <c r="L11170" s="17"/>
    </row>
    <row r="11171" s="11" customFormat="true" ht="10.95" hidden="false" customHeight="true" outlineLevel="0" collapsed="false">
      <c r="A11171" s="16" t="n">
        <v>45352</v>
      </c>
      <c r="B11171" s="17" t="s">
        <v>3861</v>
      </c>
      <c r="C11171" s="17" t="s">
        <v>3752</v>
      </c>
      <c r="D11171" s="17" t="s">
        <v>1407</v>
      </c>
      <c r="E11171" s="17" t="s">
        <v>3862</v>
      </c>
      <c r="F11171" s="17" t="s">
        <v>1360</v>
      </c>
      <c r="G11171" s="18" t="n">
        <v>0</v>
      </c>
      <c r="H11171" s="18" t="n">
        <v>33.59</v>
      </c>
      <c r="I11171" s="18" t="n">
        <f aca="false">((I11170 + G11171) - H11171)</f>
        <v>60734.16</v>
      </c>
      <c r="J11171" s="18" t="n">
        <v>0</v>
      </c>
      <c r="K11171" s="19" t="n">
        <v>0</v>
      </c>
      <c r="L11171" s="17"/>
    </row>
    <row r="11172" s="11" customFormat="true" ht="10.95" hidden="false" customHeight="true" outlineLevel="0" collapsed="false">
      <c r="A11172" s="16" t="n">
        <v>45352</v>
      </c>
      <c r="B11172" s="17" t="s">
        <v>3861</v>
      </c>
      <c r="C11172" s="17" t="s">
        <v>3752</v>
      </c>
      <c r="D11172" s="17" t="s">
        <v>2895</v>
      </c>
      <c r="E11172" s="17" t="s">
        <v>2896</v>
      </c>
      <c r="F11172" s="17" t="s">
        <v>1362</v>
      </c>
      <c r="G11172" s="18" t="n">
        <v>90.57</v>
      </c>
      <c r="H11172" s="18" t="n">
        <v>0</v>
      </c>
      <c r="I11172" s="18" t="n">
        <f aca="false">((I11171 + G11172) - H11172)</f>
        <v>60824.73</v>
      </c>
      <c r="J11172" s="18" t="n">
        <v>0</v>
      </c>
      <c r="K11172" s="19" t="n">
        <v>0</v>
      </c>
      <c r="L11172" s="17"/>
    </row>
    <row r="11173" s="11" customFormat="true" ht="10.95" hidden="false" customHeight="true" outlineLevel="0" collapsed="false">
      <c r="A11173" s="16" t="n">
        <v>45352</v>
      </c>
      <c r="B11173" s="17" t="s">
        <v>3861</v>
      </c>
      <c r="C11173" s="17" t="s">
        <v>3752</v>
      </c>
      <c r="D11173" s="17" t="s">
        <v>1276</v>
      </c>
      <c r="E11173" s="17" t="s">
        <v>3423</v>
      </c>
      <c r="F11173" s="17" t="s">
        <v>1362</v>
      </c>
      <c r="G11173" s="18" t="n">
        <v>1.6</v>
      </c>
      <c r="H11173" s="18" t="n">
        <v>0</v>
      </c>
      <c r="I11173" s="18" t="n">
        <f aca="false">((I11172 + G11173) - H11173)</f>
        <v>60826.33</v>
      </c>
      <c r="J11173" s="18" t="n">
        <v>0</v>
      </c>
      <c r="K11173" s="19" t="n">
        <v>0</v>
      </c>
      <c r="L11173" s="17"/>
    </row>
    <row r="11174" s="11" customFormat="true" ht="10.95" hidden="false" customHeight="true" outlineLevel="0" collapsed="false">
      <c r="A11174" s="16" t="n">
        <v>45352</v>
      </c>
      <c r="B11174" s="17" t="s">
        <v>3861</v>
      </c>
      <c r="C11174" s="17" t="s">
        <v>3752</v>
      </c>
      <c r="D11174" s="17" t="s">
        <v>1407</v>
      </c>
      <c r="E11174" s="17" t="s">
        <v>3862</v>
      </c>
      <c r="F11174" s="17" t="s">
        <v>1362</v>
      </c>
      <c r="G11174" s="18" t="n">
        <v>0</v>
      </c>
      <c r="H11174" s="18" t="n">
        <v>3.52</v>
      </c>
      <c r="I11174" s="18" t="n">
        <f aca="false">((I11173 + G11174) - H11174)</f>
        <v>60822.81</v>
      </c>
      <c r="J11174" s="18" t="n">
        <v>0</v>
      </c>
      <c r="K11174" s="19" t="n">
        <v>0</v>
      </c>
      <c r="L11174" s="17"/>
    </row>
    <row r="11175" s="11" customFormat="true" ht="10.95" hidden="false" customHeight="true" outlineLevel="0" collapsed="false">
      <c r="A11175" s="16" t="n">
        <v>45352</v>
      </c>
      <c r="B11175" s="17" t="s">
        <v>3861</v>
      </c>
      <c r="C11175" s="17" t="s">
        <v>3752</v>
      </c>
      <c r="D11175" s="17" t="s">
        <v>2895</v>
      </c>
      <c r="E11175" s="17" t="s">
        <v>2964</v>
      </c>
      <c r="F11175" s="17" t="s">
        <v>1364</v>
      </c>
      <c r="G11175" s="18" t="n">
        <v>724.23</v>
      </c>
      <c r="H11175" s="18" t="n">
        <v>0</v>
      </c>
      <c r="I11175" s="18" t="n">
        <f aca="false">((I11174 + G11175) - H11175)</f>
        <v>61547.04</v>
      </c>
      <c r="J11175" s="18" t="n">
        <v>0</v>
      </c>
      <c r="K11175" s="19" t="n">
        <v>0</v>
      </c>
      <c r="L11175" s="17"/>
    </row>
    <row r="11176" s="11" customFormat="true" ht="10.95" hidden="false" customHeight="true" outlineLevel="0" collapsed="false">
      <c r="A11176" s="16" t="n">
        <v>45352</v>
      </c>
      <c r="B11176" s="17" t="s">
        <v>3861</v>
      </c>
      <c r="C11176" s="17" t="s">
        <v>3752</v>
      </c>
      <c r="D11176" s="17" t="s">
        <v>1276</v>
      </c>
      <c r="E11176" s="17" t="s">
        <v>3506</v>
      </c>
      <c r="F11176" s="17" t="s">
        <v>1364</v>
      </c>
      <c r="G11176" s="18" t="n">
        <v>12.79</v>
      </c>
      <c r="H11176" s="18" t="n">
        <v>0</v>
      </c>
      <c r="I11176" s="18" t="n">
        <f aca="false">((I11175 + G11176) - H11176)</f>
        <v>61559.83</v>
      </c>
      <c r="J11176" s="18" t="n">
        <v>0</v>
      </c>
      <c r="K11176" s="19" t="n">
        <v>0</v>
      </c>
      <c r="L11176" s="17"/>
    </row>
    <row r="11177" s="11" customFormat="true" ht="10.95" hidden="false" customHeight="true" outlineLevel="0" collapsed="false">
      <c r="A11177" s="16" t="n">
        <v>45352</v>
      </c>
      <c r="B11177" s="17" t="s">
        <v>3861</v>
      </c>
      <c r="C11177" s="17" t="s">
        <v>3752</v>
      </c>
      <c r="D11177" s="17" t="s">
        <v>1407</v>
      </c>
      <c r="E11177" s="17" t="s">
        <v>3862</v>
      </c>
      <c r="F11177" s="17" t="s">
        <v>1364</v>
      </c>
      <c r="G11177" s="18" t="n">
        <v>0</v>
      </c>
      <c r="H11177" s="18" t="n">
        <v>26.1</v>
      </c>
      <c r="I11177" s="18" t="n">
        <f aca="false">((I11176 + G11177) - H11177)</f>
        <v>61533.73</v>
      </c>
      <c r="J11177" s="18" t="n">
        <v>0</v>
      </c>
      <c r="K11177" s="19" t="n">
        <v>0</v>
      </c>
      <c r="L11177" s="17"/>
    </row>
    <row r="11178" s="11" customFormat="true" ht="10.95" hidden="false" customHeight="true" outlineLevel="0" collapsed="false">
      <c r="A11178" s="16" t="n">
        <v>45352</v>
      </c>
      <c r="B11178" s="17" t="s">
        <v>3861</v>
      </c>
      <c r="C11178" s="17" t="s">
        <v>3752</v>
      </c>
      <c r="D11178" s="17" t="s">
        <v>1407</v>
      </c>
      <c r="E11178" s="17" t="s">
        <v>3862</v>
      </c>
      <c r="F11178" s="17" t="s">
        <v>1366</v>
      </c>
      <c r="G11178" s="18" t="n">
        <v>0</v>
      </c>
      <c r="H11178" s="18" t="n">
        <v>129.26</v>
      </c>
      <c r="I11178" s="18" t="n">
        <f aca="false">((I11177 + G11178) - H11178)</f>
        <v>61404.47</v>
      </c>
      <c r="J11178" s="18" t="n">
        <v>0</v>
      </c>
      <c r="K11178" s="19" t="n">
        <v>0</v>
      </c>
      <c r="L11178" s="17"/>
    </row>
    <row r="11179" s="11" customFormat="true" ht="10.95" hidden="false" customHeight="true" outlineLevel="0" collapsed="false">
      <c r="A11179" s="16" t="n">
        <v>45352</v>
      </c>
      <c r="B11179" s="17" t="s">
        <v>3861</v>
      </c>
      <c r="C11179" s="17" t="s">
        <v>3752</v>
      </c>
      <c r="D11179" s="17" t="s">
        <v>2895</v>
      </c>
      <c r="E11179" s="17" t="s">
        <v>2964</v>
      </c>
      <c r="F11179" s="17" t="s">
        <v>1366</v>
      </c>
      <c r="G11179" s="18" t="n">
        <v>3621.16</v>
      </c>
      <c r="H11179" s="18" t="n">
        <v>0</v>
      </c>
      <c r="I11179" s="18" t="n">
        <f aca="false">((I11178 + G11179) - H11179)</f>
        <v>65025.63</v>
      </c>
      <c r="J11179" s="18" t="n">
        <v>0</v>
      </c>
      <c r="K11179" s="19" t="n">
        <v>0</v>
      </c>
      <c r="L11179" s="17"/>
    </row>
    <row r="11180" s="11" customFormat="true" ht="10.95" hidden="false" customHeight="true" outlineLevel="0" collapsed="false">
      <c r="A11180" s="16" t="n">
        <v>45352</v>
      </c>
      <c r="B11180" s="17" t="s">
        <v>3861</v>
      </c>
      <c r="C11180" s="17" t="s">
        <v>3752</v>
      </c>
      <c r="D11180" s="17" t="s">
        <v>1276</v>
      </c>
      <c r="E11180" s="17" t="s">
        <v>3506</v>
      </c>
      <c r="F11180" s="17" t="s">
        <v>1366</v>
      </c>
      <c r="G11180" s="18" t="n">
        <v>63.87</v>
      </c>
      <c r="H11180" s="18" t="n">
        <v>0</v>
      </c>
      <c r="I11180" s="18" t="n">
        <f aca="false">((I11179 + G11180) - H11180)</f>
        <v>65089.5</v>
      </c>
      <c r="J11180" s="18" t="n">
        <v>0</v>
      </c>
      <c r="K11180" s="19" t="n">
        <v>0</v>
      </c>
      <c r="L11180" s="17"/>
    </row>
    <row r="11181" s="11" customFormat="true" ht="10.95" hidden="false" customHeight="true" outlineLevel="0" collapsed="false">
      <c r="A11181" s="16" t="n">
        <v>45352</v>
      </c>
      <c r="B11181" s="17" t="s">
        <v>3861</v>
      </c>
      <c r="C11181" s="17" t="s">
        <v>3752</v>
      </c>
      <c r="D11181" s="17" t="s">
        <v>2895</v>
      </c>
      <c r="E11181" s="17" t="s">
        <v>3482</v>
      </c>
      <c r="F11181" s="17" t="s">
        <v>4304</v>
      </c>
      <c r="G11181" s="18" t="n">
        <v>1861.2</v>
      </c>
      <c r="H11181" s="18" t="n">
        <v>0</v>
      </c>
      <c r="I11181" s="18" t="n">
        <f aca="false">((I11180 + G11181) - H11181)</f>
        <v>66950.7</v>
      </c>
      <c r="J11181" s="18" t="n">
        <v>0</v>
      </c>
      <c r="K11181" s="19" t="n">
        <v>0</v>
      </c>
      <c r="L11181" s="17"/>
    </row>
    <row r="11182" s="11" customFormat="true" ht="10.95" hidden="false" customHeight="true" outlineLevel="0" collapsed="false">
      <c r="A11182" s="16" t="n">
        <v>45352</v>
      </c>
      <c r="B11182" s="17" t="s">
        <v>3861</v>
      </c>
      <c r="C11182" s="17" t="s">
        <v>3752</v>
      </c>
      <c r="D11182" s="17" t="s">
        <v>2895</v>
      </c>
      <c r="E11182" s="17" t="s">
        <v>3472</v>
      </c>
      <c r="F11182" s="17" t="s">
        <v>4305</v>
      </c>
      <c r="G11182" s="18" t="n">
        <v>1278.2</v>
      </c>
      <c r="H11182" s="18" t="n">
        <v>0</v>
      </c>
      <c r="I11182" s="18" t="n">
        <f aca="false">((I11181 + G11182) - H11182)</f>
        <v>68228.9</v>
      </c>
      <c r="J11182" s="18" t="n">
        <v>0</v>
      </c>
      <c r="K11182" s="19" t="n">
        <v>0</v>
      </c>
      <c r="L11182" s="17"/>
    </row>
    <row r="11183" s="11" customFormat="true" ht="10.95" hidden="false" customHeight="true" outlineLevel="0" collapsed="false">
      <c r="A11183" s="16" t="n">
        <v>45352</v>
      </c>
      <c r="B11183" s="17" t="s">
        <v>3861</v>
      </c>
      <c r="C11183" s="17" t="s">
        <v>3752</v>
      </c>
      <c r="D11183" s="17" t="s">
        <v>2895</v>
      </c>
      <c r="E11183" s="17" t="s">
        <v>3391</v>
      </c>
      <c r="F11183" s="17" t="s">
        <v>4306</v>
      </c>
      <c r="G11183" s="18" t="n">
        <v>1188.06</v>
      </c>
      <c r="H11183" s="18" t="n">
        <v>0</v>
      </c>
      <c r="I11183" s="18" t="n">
        <f aca="false">((I11182 + G11183) - H11183)</f>
        <v>69416.96</v>
      </c>
      <c r="J11183" s="18" t="n">
        <v>0</v>
      </c>
      <c r="K11183" s="19" t="n">
        <v>0</v>
      </c>
      <c r="L11183" s="17"/>
    </row>
    <row r="11184" s="11" customFormat="true" ht="10.95" hidden="false" customHeight="true" outlineLevel="0" collapsed="false">
      <c r="A11184" s="16" t="n">
        <v>45352</v>
      </c>
      <c r="B11184" s="17" t="s">
        <v>3861</v>
      </c>
      <c r="C11184" s="17" t="s">
        <v>3752</v>
      </c>
      <c r="D11184" s="17" t="s">
        <v>2895</v>
      </c>
      <c r="E11184" s="17" t="s">
        <v>3504</v>
      </c>
      <c r="F11184" s="17" t="s">
        <v>4307</v>
      </c>
      <c r="G11184" s="18" t="n">
        <v>1034.55</v>
      </c>
      <c r="H11184" s="18" t="n">
        <v>0</v>
      </c>
      <c r="I11184" s="18" t="n">
        <f aca="false">((I11183 + G11184) - H11184)</f>
        <v>70451.51</v>
      </c>
      <c r="J11184" s="18" t="n">
        <v>0</v>
      </c>
      <c r="K11184" s="19" t="n">
        <v>0</v>
      </c>
      <c r="L11184" s="17"/>
    </row>
    <row r="11185" s="11" customFormat="true" ht="10.95" hidden="false" customHeight="true" outlineLevel="0" collapsed="false">
      <c r="A11185" s="16" t="n">
        <v>45352</v>
      </c>
      <c r="B11185" s="17" t="s">
        <v>3861</v>
      </c>
      <c r="C11185" s="17" t="s">
        <v>3752</v>
      </c>
      <c r="D11185" s="17" t="s">
        <v>2895</v>
      </c>
      <c r="E11185" s="17" t="s">
        <v>2898</v>
      </c>
      <c r="F11185" s="17" t="s">
        <v>3082</v>
      </c>
      <c r="G11185" s="18" t="n">
        <v>752.24</v>
      </c>
      <c r="H11185" s="18" t="n">
        <v>0</v>
      </c>
      <c r="I11185" s="18" t="n">
        <f aca="false">((I11184 + G11185) - H11185)</f>
        <v>71203.75</v>
      </c>
      <c r="J11185" s="18" t="n">
        <v>0</v>
      </c>
      <c r="K11185" s="19" t="n">
        <v>0</v>
      </c>
      <c r="L11185" s="17"/>
    </row>
    <row r="11186" s="11" customFormat="true" ht="10.95" hidden="false" customHeight="true" outlineLevel="0" collapsed="false">
      <c r="A11186" s="16" t="n">
        <v>45352</v>
      </c>
      <c r="B11186" s="17" t="s">
        <v>3861</v>
      </c>
      <c r="C11186" s="17" t="s">
        <v>3752</v>
      </c>
      <c r="D11186" s="17" t="s">
        <v>1407</v>
      </c>
      <c r="E11186" s="17" t="s">
        <v>3863</v>
      </c>
      <c r="F11186" s="17"/>
      <c r="G11186" s="18" t="n">
        <v>0</v>
      </c>
      <c r="H11186" s="18" t="n">
        <v>10</v>
      </c>
      <c r="I11186" s="18" t="n">
        <f aca="false">((I11185 + G11186) - H11186)</f>
        <v>71193.75</v>
      </c>
      <c r="J11186" s="18" t="n">
        <v>0</v>
      </c>
      <c r="K11186" s="19" t="n">
        <v>0</v>
      </c>
      <c r="L11186" s="17"/>
    </row>
    <row r="11187" s="11" customFormat="true" ht="10.95" hidden="false" customHeight="true" outlineLevel="0" collapsed="false">
      <c r="A11187" s="16" t="n">
        <v>45352</v>
      </c>
      <c r="B11187" s="17" t="s">
        <v>3861</v>
      </c>
      <c r="C11187" s="17" t="s">
        <v>3752</v>
      </c>
      <c r="D11187" s="17" t="s">
        <v>2903</v>
      </c>
      <c r="E11187" s="17" t="s">
        <v>3648</v>
      </c>
      <c r="F11187" s="17" t="s">
        <v>2693</v>
      </c>
      <c r="G11187" s="18" t="n">
        <v>0</v>
      </c>
      <c r="H11187" s="18" t="n">
        <v>249.13</v>
      </c>
      <c r="I11187" s="18" t="n">
        <f aca="false">((I11186 + G11187) - H11187)</f>
        <v>70944.62</v>
      </c>
      <c r="J11187" s="18" t="n">
        <v>0</v>
      </c>
      <c r="K11187" s="19" t="n">
        <v>0</v>
      </c>
      <c r="L11187" s="17"/>
    </row>
    <row r="11188" s="11" customFormat="true" ht="10.95" hidden="false" customHeight="true" outlineLevel="0" collapsed="false">
      <c r="A11188" s="16" t="n">
        <v>45352</v>
      </c>
      <c r="B11188" s="17" t="s">
        <v>3861</v>
      </c>
      <c r="C11188" s="17" t="s">
        <v>3752</v>
      </c>
      <c r="D11188" s="17" t="s">
        <v>1407</v>
      </c>
      <c r="E11188" s="17" t="s">
        <v>3863</v>
      </c>
      <c r="F11188" s="17"/>
      <c r="G11188" s="18" t="n">
        <v>0</v>
      </c>
      <c r="H11188" s="18" t="n">
        <v>279.23</v>
      </c>
      <c r="I11188" s="18" t="n">
        <f aca="false">((I11187 + G11188) - H11188)</f>
        <v>70665.39</v>
      </c>
      <c r="J11188" s="18" t="n">
        <v>0</v>
      </c>
      <c r="K11188" s="19" t="n">
        <v>0</v>
      </c>
      <c r="L11188" s="17"/>
    </row>
    <row r="11189" s="11" customFormat="true" ht="10.95" hidden="false" customHeight="true" outlineLevel="0" collapsed="false">
      <c r="A11189" s="16" t="n">
        <v>45352</v>
      </c>
      <c r="B11189" s="17" t="s">
        <v>3861</v>
      </c>
      <c r="C11189" s="17" t="s">
        <v>3752</v>
      </c>
      <c r="D11189" s="17" t="s">
        <v>2903</v>
      </c>
      <c r="E11189" s="17" t="s">
        <v>3616</v>
      </c>
      <c r="F11189" s="17" t="s">
        <v>3298</v>
      </c>
      <c r="G11189" s="18" t="n">
        <v>0</v>
      </c>
      <c r="H11189" s="18" t="n">
        <v>3779.6</v>
      </c>
      <c r="I11189" s="18" t="n">
        <f aca="false">((I11188 + G11189) - H11189)</f>
        <v>66885.79</v>
      </c>
      <c r="J11189" s="18" t="n">
        <v>0</v>
      </c>
      <c r="K11189" s="19" t="n">
        <v>0</v>
      </c>
      <c r="L11189" s="17"/>
    </row>
    <row r="11190" s="11" customFormat="true" ht="10.95" hidden="false" customHeight="true" outlineLevel="0" collapsed="false">
      <c r="A11190" s="16" t="n">
        <v>45352</v>
      </c>
      <c r="B11190" s="17" t="s">
        <v>3861</v>
      </c>
      <c r="C11190" s="17" t="s">
        <v>3752</v>
      </c>
      <c r="D11190" s="17" t="s">
        <v>2903</v>
      </c>
      <c r="E11190" s="17" t="s">
        <v>3629</v>
      </c>
      <c r="F11190" s="17" t="s">
        <v>3215</v>
      </c>
      <c r="G11190" s="18" t="n">
        <v>0</v>
      </c>
      <c r="H11190" s="18" t="n">
        <v>8970.2</v>
      </c>
      <c r="I11190" s="18" t="n">
        <f aca="false">((I11189 + G11190) - H11190)</f>
        <v>57915.59</v>
      </c>
      <c r="J11190" s="18" t="n">
        <v>0</v>
      </c>
      <c r="K11190" s="19" t="n">
        <v>0</v>
      </c>
      <c r="L11190" s="17"/>
    </row>
    <row r="11191" s="11" customFormat="true" ht="10.95" hidden="false" customHeight="true" outlineLevel="0" collapsed="false">
      <c r="A11191" s="16" t="n">
        <v>45352</v>
      </c>
      <c r="B11191" s="17" t="s">
        <v>3861</v>
      </c>
      <c r="C11191" s="17" t="s">
        <v>3752</v>
      </c>
      <c r="D11191" s="17" t="s">
        <v>1407</v>
      </c>
      <c r="E11191" s="17" t="s">
        <v>3673</v>
      </c>
      <c r="F11191" s="17"/>
      <c r="G11191" s="18" t="n">
        <v>0</v>
      </c>
      <c r="H11191" s="18" t="n">
        <v>5010.29</v>
      </c>
      <c r="I11191" s="18" t="n">
        <f aca="false">((I11190 + G11191) - H11191)</f>
        <v>52905.3</v>
      </c>
      <c r="J11191" s="18" t="n">
        <v>0</v>
      </c>
      <c r="K11191" s="19" t="n">
        <v>0</v>
      </c>
      <c r="L11191" s="17"/>
    </row>
    <row r="11192" s="11" customFormat="true" ht="10.95" hidden="false" customHeight="true" outlineLevel="0" collapsed="false">
      <c r="A11192" s="16" t="n">
        <v>45353</v>
      </c>
      <c r="B11192" s="17" t="s">
        <v>3861</v>
      </c>
      <c r="C11192" s="17" t="s">
        <v>3752</v>
      </c>
      <c r="D11192" s="17" t="s">
        <v>1407</v>
      </c>
      <c r="E11192" s="17" t="s">
        <v>3863</v>
      </c>
      <c r="F11192" s="17"/>
      <c r="G11192" s="18" t="n">
        <v>0</v>
      </c>
      <c r="H11192" s="18" t="n">
        <v>2.31</v>
      </c>
      <c r="I11192" s="18" t="n">
        <f aca="false">((I11191 + G11192) - H11192)</f>
        <v>52902.99</v>
      </c>
      <c r="J11192" s="18" t="n">
        <v>0</v>
      </c>
      <c r="K11192" s="19" t="n">
        <v>0</v>
      </c>
      <c r="L11192" s="17"/>
    </row>
    <row r="11193" s="11" customFormat="true" ht="10.95" hidden="false" customHeight="true" outlineLevel="0" collapsed="false">
      <c r="A11193" s="16" t="n">
        <v>45353</v>
      </c>
      <c r="B11193" s="17" t="s">
        <v>3861</v>
      </c>
      <c r="C11193" s="17" t="s">
        <v>3752</v>
      </c>
      <c r="D11193" s="17" t="s">
        <v>1407</v>
      </c>
      <c r="E11193" s="17" t="s">
        <v>3863</v>
      </c>
      <c r="F11193" s="17"/>
      <c r="G11193" s="18" t="n">
        <v>0</v>
      </c>
      <c r="H11193" s="18" t="n">
        <v>19.71</v>
      </c>
      <c r="I11193" s="18" t="n">
        <f aca="false">((I11192 + G11193) - H11193)</f>
        <v>52883.28</v>
      </c>
      <c r="J11193" s="18" t="n">
        <v>0</v>
      </c>
      <c r="K11193" s="19" t="n">
        <v>0</v>
      </c>
      <c r="L11193" s="17"/>
    </row>
    <row r="11194" s="11" customFormat="true" ht="10.95" hidden="false" customHeight="true" outlineLevel="0" collapsed="false">
      <c r="A11194" s="16" t="n">
        <v>45353</v>
      </c>
      <c r="B11194" s="17" t="s">
        <v>3861</v>
      </c>
      <c r="C11194" s="17" t="s">
        <v>3752</v>
      </c>
      <c r="D11194" s="17" t="s">
        <v>1407</v>
      </c>
      <c r="E11194" s="17" t="s">
        <v>3864</v>
      </c>
      <c r="F11194" s="17"/>
      <c r="G11194" s="18" t="n">
        <v>0</v>
      </c>
      <c r="H11194" s="18" t="n">
        <v>77.15</v>
      </c>
      <c r="I11194" s="18" t="n">
        <f aca="false">((I11193 + G11194) - H11194)</f>
        <v>52806.13</v>
      </c>
      <c r="J11194" s="18" t="n">
        <v>0</v>
      </c>
      <c r="K11194" s="19" t="n">
        <v>0</v>
      </c>
      <c r="L11194" s="17"/>
    </row>
    <row r="11195" s="11" customFormat="true" ht="10.95" hidden="false" customHeight="true" outlineLevel="0" collapsed="false">
      <c r="A11195" s="16" t="n">
        <v>45353</v>
      </c>
      <c r="B11195" s="17" t="s">
        <v>3861</v>
      </c>
      <c r="C11195" s="17" t="s">
        <v>3752</v>
      </c>
      <c r="D11195" s="17" t="s">
        <v>1407</v>
      </c>
      <c r="E11195" s="17" t="s">
        <v>3865</v>
      </c>
      <c r="F11195" s="17"/>
      <c r="G11195" s="18" t="n">
        <v>0</v>
      </c>
      <c r="H11195" s="18" t="n">
        <v>82.5</v>
      </c>
      <c r="I11195" s="18" t="n">
        <f aca="false">((I11194 + G11195) - H11195)</f>
        <v>52723.63</v>
      </c>
      <c r="J11195" s="18" t="n">
        <v>0</v>
      </c>
      <c r="K11195" s="19" t="n">
        <v>0</v>
      </c>
      <c r="L11195" s="17"/>
    </row>
    <row r="11196" s="11" customFormat="true" ht="10.95" hidden="false" customHeight="true" outlineLevel="0" collapsed="false">
      <c r="A11196" s="16" t="n">
        <v>45353</v>
      </c>
      <c r="B11196" s="17" t="s">
        <v>3861</v>
      </c>
      <c r="C11196" s="17" t="s">
        <v>3752</v>
      </c>
      <c r="D11196" s="17" t="s">
        <v>1407</v>
      </c>
      <c r="E11196" s="17" t="s">
        <v>3776</v>
      </c>
      <c r="F11196" s="17"/>
      <c r="G11196" s="18" t="n">
        <v>0</v>
      </c>
      <c r="H11196" s="18" t="n">
        <v>657.01</v>
      </c>
      <c r="I11196" s="18" t="n">
        <f aca="false">((I11195 + G11196) - H11196)</f>
        <v>52066.62</v>
      </c>
      <c r="J11196" s="18" t="n">
        <v>0</v>
      </c>
      <c r="K11196" s="19" t="n">
        <v>0</v>
      </c>
      <c r="L11196" s="17"/>
    </row>
    <row r="11197" s="11" customFormat="true" ht="10.95" hidden="false" customHeight="true" outlineLevel="0" collapsed="false">
      <c r="A11197" s="16" t="n">
        <v>45355</v>
      </c>
      <c r="B11197" s="17" t="s">
        <v>3861</v>
      </c>
      <c r="C11197" s="17" t="s">
        <v>3752</v>
      </c>
      <c r="D11197" s="17" t="s">
        <v>2895</v>
      </c>
      <c r="E11197" s="17" t="s">
        <v>2947</v>
      </c>
      <c r="F11197" s="17" t="s">
        <v>3083</v>
      </c>
      <c r="G11197" s="18" t="n">
        <v>1761.53</v>
      </c>
      <c r="H11197" s="18" t="n">
        <v>0</v>
      </c>
      <c r="I11197" s="18" t="n">
        <f aca="false">((I11196 + G11197) - H11197)</f>
        <v>53828.15</v>
      </c>
      <c r="J11197" s="18" t="n">
        <v>0</v>
      </c>
      <c r="K11197" s="19" t="n">
        <v>0</v>
      </c>
      <c r="L11197" s="17"/>
    </row>
    <row r="11198" s="11" customFormat="true" ht="10.95" hidden="false" customHeight="true" outlineLevel="0" collapsed="false">
      <c r="A11198" s="16" t="n">
        <v>45356</v>
      </c>
      <c r="B11198" s="17" t="s">
        <v>3861</v>
      </c>
      <c r="C11198" s="17" t="s">
        <v>3752</v>
      </c>
      <c r="D11198" s="17" t="s">
        <v>3814</v>
      </c>
      <c r="E11198" s="17" t="s">
        <v>3815</v>
      </c>
      <c r="F11198" s="17"/>
      <c r="G11198" s="18" t="n">
        <v>0</v>
      </c>
      <c r="H11198" s="18" t="n">
        <v>0.62</v>
      </c>
      <c r="I11198" s="18" t="n">
        <f aca="false">((I11197 + G11198) - H11198)</f>
        <v>53827.53</v>
      </c>
      <c r="J11198" s="18" t="n">
        <v>0</v>
      </c>
      <c r="K11198" s="19" t="n">
        <v>0</v>
      </c>
      <c r="L11198" s="17"/>
    </row>
    <row r="11199" s="11" customFormat="true" ht="10.95" hidden="false" customHeight="true" outlineLevel="0" collapsed="false">
      <c r="A11199" s="16" t="n">
        <v>45356</v>
      </c>
      <c r="B11199" s="17" t="s">
        <v>3861</v>
      </c>
      <c r="C11199" s="17" t="s">
        <v>3752</v>
      </c>
      <c r="D11199" s="17" t="s">
        <v>1407</v>
      </c>
      <c r="E11199" s="17" t="s">
        <v>3767</v>
      </c>
      <c r="F11199" s="17" t="s">
        <v>2781</v>
      </c>
      <c r="G11199" s="18" t="n">
        <v>0</v>
      </c>
      <c r="H11199" s="18" t="n">
        <v>4.75</v>
      </c>
      <c r="I11199" s="18" t="n">
        <f aca="false">((I11198 + G11199) - H11199)</f>
        <v>53822.78</v>
      </c>
      <c r="J11199" s="18" t="n">
        <v>0</v>
      </c>
      <c r="K11199" s="19" t="n">
        <v>0</v>
      </c>
      <c r="L11199" s="17"/>
    </row>
    <row r="11200" s="11" customFormat="true" ht="10.95" hidden="false" customHeight="true" outlineLevel="0" collapsed="false">
      <c r="A11200" s="16" t="n">
        <v>45356</v>
      </c>
      <c r="B11200" s="17" t="s">
        <v>3861</v>
      </c>
      <c r="C11200" s="17" t="s">
        <v>3752</v>
      </c>
      <c r="D11200" s="17" t="s">
        <v>2895</v>
      </c>
      <c r="E11200" s="17" t="s">
        <v>3410</v>
      </c>
      <c r="F11200" s="17" t="s">
        <v>4308</v>
      </c>
      <c r="G11200" s="18" t="n">
        <v>968</v>
      </c>
      <c r="H11200" s="18" t="n">
        <v>0</v>
      </c>
      <c r="I11200" s="18" t="n">
        <f aca="false">((I11199 + G11200) - H11200)</f>
        <v>54790.78</v>
      </c>
      <c r="J11200" s="18" t="n">
        <v>0</v>
      </c>
      <c r="K11200" s="19" t="n">
        <v>0</v>
      </c>
      <c r="L11200" s="17"/>
    </row>
    <row r="11201" s="11" customFormat="true" ht="10.95" hidden="false" customHeight="true" outlineLevel="0" collapsed="false">
      <c r="A11201" s="16" t="n">
        <v>45356</v>
      </c>
      <c r="B11201" s="17" t="s">
        <v>3861</v>
      </c>
      <c r="C11201" s="17" t="s">
        <v>3752</v>
      </c>
      <c r="D11201" s="17" t="s">
        <v>1407</v>
      </c>
      <c r="E11201" s="17" t="s">
        <v>3767</v>
      </c>
      <c r="F11201" s="17" t="s">
        <v>2781</v>
      </c>
      <c r="G11201" s="18" t="n">
        <v>0</v>
      </c>
      <c r="H11201" s="18" t="n">
        <v>47.52</v>
      </c>
      <c r="I11201" s="18" t="n">
        <f aca="false">((I11200 + G11201) - H11201)</f>
        <v>54743.26</v>
      </c>
      <c r="J11201" s="18" t="n">
        <v>0</v>
      </c>
      <c r="K11201" s="19" t="n">
        <v>0</v>
      </c>
      <c r="L11201" s="17"/>
    </row>
    <row r="11202" s="11" customFormat="true" ht="10.95" hidden="false" customHeight="true" outlineLevel="0" collapsed="false">
      <c r="A11202" s="16" t="n">
        <v>45356</v>
      </c>
      <c r="B11202" s="17" t="s">
        <v>3861</v>
      </c>
      <c r="C11202" s="17" t="s">
        <v>3752</v>
      </c>
      <c r="D11202" s="17" t="s">
        <v>1407</v>
      </c>
      <c r="E11202" s="17" t="s">
        <v>3878</v>
      </c>
      <c r="F11202" s="17"/>
      <c r="G11202" s="18" t="n">
        <v>0</v>
      </c>
      <c r="H11202" s="18" t="n">
        <v>1417</v>
      </c>
      <c r="I11202" s="18" t="n">
        <f aca="false">((I11201 + G11202) - H11202)</f>
        <v>53326.26</v>
      </c>
      <c r="J11202" s="18" t="n">
        <v>0</v>
      </c>
      <c r="K11202" s="19" t="n">
        <v>0</v>
      </c>
      <c r="L11202" s="17"/>
    </row>
    <row r="11203" s="11" customFormat="true" ht="10.95" hidden="false" customHeight="true" outlineLevel="0" collapsed="false">
      <c r="A11203" s="16" t="n">
        <v>45356</v>
      </c>
      <c r="B11203" s="17" t="s">
        <v>3861</v>
      </c>
      <c r="C11203" s="17" t="s">
        <v>3752</v>
      </c>
      <c r="D11203" s="17" t="s">
        <v>1407</v>
      </c>
      <c r="E11203" s="17" t="s">
        <v>3960</v>
      </c>
      <c r="F11203" s="17"/>
      <c r="G11203" s="18" t="n">
        <v>0</v>
      </c>
      <c r="H11203" s="18" t="n">
        <v>3394.12</v>
      </c>
      <c r="I11203" s="18" t="n">
        <f aca="false">((I11202 + G11203) - H11203)</f>
        <v>49932.14</v>
      </c>
      <c r="J11203" s="18" t="n">
        <v>0</v>
      </c>
      <c r="K11203" s="19" t="n">
        <v>0</v>
      </c>
      <c r="L11203" s="17"/>
    </row>
    <row r="11204" s="11" customFormat="true" ht="10.95" hidden="false" customHeight="true" outlineLevel="0" collapsed="false">
      <c r="A11204" s="16" t="n">
        <v>45356</v>
      </c>
      <c r="B11204" s="17" t="s">
        <v>3861</v>
      </c>
      <c r="C11204" s="17" t="s">
        <v>3752</v>
      </c>
      <c r="D11204" s="17" t="s">
        <v>1407</v>
      </c>
      <c r="E11204" s="17" t="s">
        <v>3863</v>
      </c>
      <c r="F11204" s="17"/>
      <c r="G11204" s="18" t="n">
        <v>0</v>
      </c>
      <c r="H11204" s="18" t="n">
        <v>0.47</v>
      </c>
      <c r="I11204" s="18" t="n">
        <f aca="false">((I11203 + G11204) - H11204)</f>
        <v>49931.67</v>
      </c>
      <c r="J11204" s="18" t="n">
        <v>0</v>
      </c>
      <c r="K11204" s="19" t="n">
        <v>0</v>
      </c>
      <c r="L11204" s="17"/>
    </row>
    <row r="11205" s="11" customFormat="true" ht="10.95" hidden="false" customHeight="true" outlineLevel="0" collapsed="false">
      <c r="A11205" s="16" t="n">
        <v>45356</v>
      </c>
      <c r="B11205" s="17" t="s">
        <v>3861</v>
      </c>
      <c r="C11205" s="17" t="s">
        <v>3752</v>
      </c>
      <c r="D11205" s="17" t="s">
        <v>1407</v>
      </c>
      <c r="E11205" s="17" t="s">
        <v>3863</v>
      </c>
      <c r="F11205" s="17"/>
      <c r="G11205" s="18" t="n">
        <v>0</v>
      </c>
      <c r="H11205" s="18" t="n">
        <v>4.02</v>
      </c>
      <c r="I11205" s="18" t="n">
        <f aca="false">((I11204 + G11205) - H11205)</f>
        <v>49927.65</v>
      </c>
      <c r="J11205" s="18" t="n">
        <v>0</v>
      </c>
      <c r="K11205" s="19" t="n">
        <v>0</v>
      </c>
      <c r="L11205" s="17"/>
    </row>
    <row r="11206" s="11" customFormat="true" ht="10.95" hidden="false" customHeight="true" outlineLevel="0" collapsed="false">
      <c r="A11206" s="16" t="n">
        <v>45356</v>
      </c>
      <c r="B11206" s="17" t="s">
        <v>3861</v>
      </c>
      <c r="C11206" s="17" t="s">
        <v>3752</v>
      </c>
      <c r="D11206" s="17" t="s">
        <v>1407</v>
      </c>
      <c r="E11206" s="17" t="s">
        <v>3863</v>
      </c>
      <c r="F11206" s="17"/>
      <c r="G11206" s="18" t="n">
        <v>0</v>
      </c>
      <c r="H11206" s="18" t="n">
        <v>6.05</v>
      </c>
      <c r="I11206" s="18" t="n">
        <f aca="false">((I11205 + G11206) - H11206)</f>
        <v>49921.6</v>
      </c>
      <c r="J11206" s="18" t="n">
        <v>0</v>
      </c>
      <c r="K11206" s="19" t="n">
        <v>0</v>
      </c>
      <c r="L11206" s="17"/>
    </row>
    <row r="11207" s="11" customFormat="true" ht="10.95" hidden="false" customHeight="true" outlineLevel="0" collapsed="false">
      <c r="A11207" s="16" t="n">
        <v>45356</v>
      </c>
      <c r="B11207" s="17" t="s">
        <v>3861</v>
      </c>
      <c r="C11207" s="17" t="s">
        <v>3752</v>
      </c>
      <c r="D11207" s="17" t="s">
        <v>1407</v>
      </c>
      <c r="E11207" s="17" t="s">
        <v>3967</v>
      </c>
      <c r="F11207" s="17"/>
      <c r="G11207" s="18" t="n">
        <v>0</v>
      </c>
      <c r="H11207" s="18" t="n">
        <v>48</v>
      </c>
      <c r="I11207" s="18" t="n">
        <f aca="false">((I11206 + G11207) - H11207)</f>
        <v>49873.6</v>
      </c>
      <c r="J11207" s="18" t="n">
        <v>0</v>
      </c>
      <c r="K11207" s="19" t="n">
        <v>0</v>
      </c>
      <c r="L11207" s="17"/>
    </row>
    <row r="11208" s="11" customFormat="true" ht="10.95" hidden="false" customHeight="true" outlineLevel="0" collapsed="false">
      <c r="A11208" s="16" t="n">
        <v>45356</v>
      </c>
      <c r="B11208" s="17" t="s">
        <v>3861</v>
      </c>
      <c r="C11208" s="17" t="s">
        <v>3752</v>
      </c>
      <c r="D11208" s="17" t="s">
        <v>1407</v>
      </c>
      <c r="E11208" s="17" t="s">
        <v>4195</v>
      </c>
      <c r="F11208" s="17"/>
      <c r="G11208" s="18" t="n">
        <v>0</v>
      </c>
      <c r="H11208" s="18" t="n">
        <v>15.6</v>
      </c>
      <c r="I11208" s="18" t="n">
        <f aca="false">((I11207 + G11208) - H11208)</f>
        <v>49858</v>
      </c>
      <c r="J11208" s="18" t="n">
        <v>0</v>
      </c>
      <c r="K11208" s="19" t="n">
        <v>0</v>
      </c>
      <c r="L11208" s="17"/>
    </row>
    <row r="11209" s="11" customFormat="true" ht="10.95" hidden="false" customHeight="true" outlineLevel="0" collapsed="false">
      <c r="A11209" s="16" t="n">
        <v>45356</v>
      </c>
      <c r="B11209" s="17" t="s">
        <v>3861</v>
      </c>
      <c r="C11209" s="17" t="s">
        <v>3752</v>
      </c>
      <c r="D11209" s="17" t="s">
        <v>2903</v>
      </c>
      <c r="E11209" s="17" t="s">
        <v>3652</v>
      </c>
      <c r="F11209" s="17" t="s">
        <v>2432</v>
      </c>
      <c r="G11209" s="18" t="n">
        <v>0</v>
      </c>
      <c r="H11209" s="18" t="n">
        <v>248</v>
      </c>
      <c r="I11209" s="18" t="n">
        <f aca="false">((I11208 + G11209) - H11209)</f>
        <v>49610</v>
      </c>
      <c r="J11209" s="18" t="n">
        <v>0</v>
      </c>
      <c r="K11209" s="19" t="n">
        <v>0</v>
      </c>
      <c r="L11209" s="17"/>
    </row>
    <row r="11210" s="11" customFormat="true" ht="10.95" hidden="false" customHeight="true" outlineLevel="0" collapsed="false">
      <c r="A11210" s="16" t="n">
        <v>45356</v>
      </c>
      <c r="B11210" s="17" t="s">
        <v>3861</v>
      </c>
      <c r="C11210" s="17" t="s">
        <v>3752</v>
      </c>
      <c r="D11210" s="17" t="s">
        <v>2903</v>
      </c>
      <c r="E11210" s="17" t="s">
        <v>3652</v>
      </c>
      <c r="F11210" s="17" t="s">
        <v>2430</v>
      </c>
      <c r="G11210" s="18" t="n">
        <v>0</v>
      </c>
      <c r="H11210" s="18" t="n">
        <v>179</v>
      </c>
      <c r="I11210" s="18" t="n">
        <f aca="false">((I11209 + G11210) - H11210)</f>
        <v>49431</v>
      </c>
      <c r="J11210" s="18" t="n">
        <v>0</v>
      </c>
      <c r="K11210" s="19" t="n">
        <v>0</v>
      </c>
      <c r="L11210" s="17"/>
    </row>
    <row r="11211" s="11" customFormat="true" ht="10.95" hidden="false" customHeight="true" outlineLevel="0" collapsed="false">
      <c r="A11211" s="16" t="n">
        <v>45356</v>
      </c>
      <c r="B11211" s="17" t="s">
        <v>3861</v>
      </c>
      <c r="C11211" s="17" t="s">
        <v>3752</v>
      </c>
      <c r="D11211" s="17" t="s">
        <v>1407</v>
      </c>
      <c r="E11211" s="17" t="s">
        <v>4023</v>
      </c>
      <c r="F11211" s="17"/>
      <c r="G11211" s="18" t="n">
        <v>0</v>
      </c>
      <c r="H11211" s="18" t="n">
        <v>201.76</v>
      </c>
      <c r="I11211" s="18" t="n">
        <f aca="false">((I11210 + G11211) - H11211)</f>
        <v>49229.24</v>
      </c>
      <c r="J11211" s="18" t="n">
        <v>0</v>
      </c>
      <c r="K11211" s="19" t="n">
        <v>0</v>
      </c>
      <c r="L11211" s="17"/>
    </row>
    <row r="11212" s="11" customFormat="true" ht="10.95" hidden="false" customHeight="true" outlineLevel="0" collapsed="false">
      <c r="A11212" s="16" t="n">
        <v>45356</v>
      </c>
      <c r="B11212" s="17" t="s">
        <v>3861</v>
      </c>
      <c r="C11212" s="17" t="s">
        <v>3752</v>
      </c>
      <c r="D11212" s="17" t="s">
        <v>1407</v>
      </c>
      <c r="E11212" s="17" t="s">
        <v>4023</v>
      </c>
      <c r="F11212" s="17"/>
      <c r="G11212" s="18" t="n">
        <v>0</v>
      </c>
      <c r="H11212" s="18" t="n">
        <v>133.94</v>
      </c>
      <c r="I11212" s="18" t="n">
        <f aca="false">((I11211 + G11212) - H11212)</f>
        <v>49095.3</v>
      </c>
      <c r="J11212" s="18" t="n">
        <v>0</v>
      </c>
      <c r="K11212" s="19" t="n">
        <v>0</v>
      </c>
      <c r="L11212" s="17"/>
    </row>
    <row r="11213" s="11" customFormat="true" ht="10.95" hidden="false" customHeight="true" outlineLevel="0" collapsed="false">
      <c r="A11213" s="16" t="n">
        <v>45357</v>
      </c>
      <c r="B11213" s="17" t="s">
        <v>3861</v>
      </c>
      <c r="C11213" s="17" t="s">
        <v>3752</v>
      </c>
      <c r="D11213" s="17" t="s">
        <v>2895</v>
      </c>
      <c r="E11213" s="17" t="s">
        <v>2947</v>
      </c>
      <c r="F11213" s="17" t="s">
        <v>3084</v>
      </c>
      <c r="G11213" s="18" t="n">
        <v>2907.78</v>
      </c>
      <c r="H11213" s="18" t="n">
        <v>0</v>
      </c>
      <c r="I11213" s="18" t="n">
        <f aca="false">((I11212 + G11213) - H11213)</f>
        <v>52003.08</v>
      </c>
      <c r="J11213" s="18" t="n">
        <v>0</v>
      </c>
      <c r="K11213" s="19" t="n">
        <v>0</v>
      </c>
      <c r="L11213" s="17"/>
    </row>
    <row r="11214" s="11" customFormat="true" ht="10.95" hidden="false" customHeight="true" outlineLevel="0" collapsed="false">
      <c r="A11214" s="16" t="n">
        <v>45357</v>
      </c>
      <c r="B11214" s="17" t="s">
        <v>3861</v>
      </c>
      <c r="C11214" s="17" t="s">
        <v>3752</v>
      </c>
      <c r="D11214" s="17" t="s">
        <v>1407</v>
      </c>
      <c r="E11214" s="17" t="s">
        <v>3642</v>
      </c>
      <c r="F11214" s="17"/>
      <c r="G11214" s="18" t="n">
        <v>0</v>
      </c>
      <c r="H11214" s="18" t="n">
        <v>12.1</v>
      </c>
      <c r="I11214" s="18" t="n">
        <f aca="false">((I11213 + G11214) - H11214)</f>
        <v>51990.98</v>
      </c>
      <c r="J11214" s="18" t="n">
        <v>0</v>
      </c>
      <c r="K11214" s="19" t="n">
        <v>0</v>
      </c>
      <c r="L11214" s="17"/>
    </row>
    <row r="11215" s="11" customFormat="true" ht="10.95" hidden="false" customHeight="true" outlineLevel="0" collapsed="false">
      <c r="A11215" s="16" t="n">
        <v>45357</v>
      </c>
      <c r="B11215" s="17" t="s">
        <v>3861</v>
      </c>
      <c r="C11215" s="17" t="s">
        <v>3752</v>
      </c>
      <c r="D11215" s="17" t="s">
        <v>1407</v>
      </c>
      <c r="E11215" s="17" t="s">
        <v>3642</v>
      </c>
      <c r="F11215" s="17"/>
      <c r="G11215" s="18" t="n">
        <v>0</v>
      </c>
      <c r="H11215" s="18" t="n">
        <v>20.57</v>
      </c>
      <c r="I11215" s="18" t="n">
        <f aca="false">((I11214 + G11215) - H11215)</f>
        <v>51970.41</v>
      </c>
      <c r="J11215" s="18" t="n">
        <v>0</v>
      </c>
      <c r="K11215" s="19" t="n">
        <v>0</v>
      </c>
      <c r="L11215" s="17"/>
    </row>
    <row r="11216" s="11" customFormat="true" ht="10.95" hidden="false" customHeight="true" outlineLevel="0" collapsed="false">
      <c r="A11216" s="16" t="n">
        <v>45357</v>
      </c>
      <c r="B11216" s="17" t="s">
        <v>3861</v>
      </c>
      <c r="C11216" s="17" t="s">
        <v>3752</v>
      </c>
      <c r="D11216" s="17" t="s">
        <v>1407</v>
      </c>
      <c r="E11216" s="17" t="s">
        <v>3881</v>
      </c>
      <c r="F11216" s="17"/>
      <c r="G11216" s="18" t="n">
        <v>0</v>
      </c>
      <c r="H11216" s="18" t="n">
        <v>140</v>
      </c>
      <c r="I11216" s="18" t="n">
        <f aca="false">((I11215 + G11216) - H11216)</f>
        <v>51830.41</v>
      </c>
      <c r="J11216" s="18" t="n">
        <v>0</v>
      </c>
      <c r="K11216" s="19" t="n">
        <v>0</v>
      </c>
      <c r="L11216" s="17"/>
    </row>
    <row r="11217" s="11" customFormat="true" ht="10.95" hidden="false" customHeight="true" outlineLevel="0" collapsed="false">
      <c r="A11217" s="16" t="n">
        <v>45357</v>
      </c>
      <c r="B11217" s="17" t="s">
        <v>3861</v>
      </c>
      <c r="C11217" s="17" t="s">
        <v>3752</v>
      </c>
      <c r="D11217" s="17" t="s">
        <v>1407</v>
      </c>
      <c r="E11217" s="17" t="s">
        <v>3879</v>
      </c>
      <c r="F11217" s="17"/>
      <c r="G11217" s="18" t="n">
        <v>0</v>
      </c>
      <c r="H11217" s="18" t="n">
        <v>1207</v>
      </c>
      <c r="I11217" s="18" t="n">
        <f aca="false">((I11216 + G11217) - H11217)</f>
        <v>50623.41</v>
      </c>
      <c r="J11217" s="18" t="n">
        <v>0</v>
      </c>
      <c r="K11217" s="19" t="n">
        <v>0</v>
      </c>
      <c r="L11217" s="17"/>
    </row>
    <row r="11218" s="11" customFormat="true" ht="10.95" hidden="false" customHeight="true" outlineLevel="0" collapsed="false">
      <c r="A11218" s="16" t="n">
        <v>45357</v>
      </c>
      <c r="B11218" s="17" t="s">
        <v>3861</v>
      </c>
      <c r="C11218" s="17" t="s">
        <v>3752</v>
      </c>
      <c r="D11218" s="17" t="s">
        <v>1407</v>
      </c>
      <c r="E11218" s="17" t="s">
        <v>3880</v>
      </c>
      <c r="F11218" s="17"/>
      <c r="G11218" s="18" t="n">
        <v>0</v>
      </c>
      <c r="H11218" s="18" t="n">
        <v>1207</v>
      </c>
      <c r="I11218" s="18" t="n">
        <f aca="false">((I11217 + G11218) - H11218)</f>
        <v>49416.41</v>
      </c>
      <c r="J11218" s="18" t="n">
        <v>0</v>
      </c>
      <c r="K11218" s="19" t="n">
        <v>0</v>
      </c>
      <c r="L11218" s="17"/>
    </row>
    <row r="11219" s="11" customFormat="true" ht="10.95" hidden="false" customHeight="true" outlineLevel="0" collapsed="false">
      <c r="A11219" s="16" t="n">
        <v>45357</v>
      </c>
      <c r="B11219" s="17" t="s">
        <v>3861</v>
      </c>
      <c r="C11219" s="17" t="s">
        <v>3752</v>
      </c>
      <c r="D11219" s="17" t="s">
        <v>1407</v>
      </c>
      <c r="E11219" s="17" t="s">
        <v>3808</v>
      </c>
      <c r="F11219" s="17"/>
      <c r="G11219" s="18" t="n">
        <v>0</v>
      </c>
      <c r="H11219" s="18" t="n">
        <v>1705.92</v>
      </c>
      <c r="I11219" s="18" t="n">
        <f aca="false">((I11218 + G11219) - H11219)</f>
        <v>47710.49</v>
      </c>
      <c r="J11219" s="18" t="n">
        <v>0</v>
      </c>
      <c r="K11219" s="19" t="n">
        <v>0</v>
      </c>
      <c r="L11219" s="17"/>
    </row>
    <row r="11220" s="11" customFormat="true" ht="10.95" hidden="false" customHeight="true" outlineLevel="0" collapsed="false">
      <c r="A11220" s="16" t="n">
        <v>45357</v>
      </c>
      <c r="B11220" s="17" t="s">
        <v>3861</v>
      </c>
      <c r="C11220" s="17" t="s">
        <v>3752</v>
      </c>
      <c r="D11220" s="17" t="s">
        <v>1407</v>
      </c>
      <c r="E11220" s="17" t="s">
        <v>3888</v>
      </c>
      <c r="F11220" s="17"/>
      <c r="G11220" s="18" t="n">
        <v>0</v>
      </c>
      <c r="H11220" s="18" t="n">
        <v>3217.43</v>
      </c>
      <c r="I11220" s="18" t="n">
        <f aca="false">((I11219 + G11220) - H11220)</f>
        <v>44493.06</v>
      </c>
      <c r="J11220" s="18" t="n">
        <v>0</v>
      </c>
      <c r="K11220" s="19" t="n">
        <v>0</v>
      </c>
      <c r="L11220" s="17"/>
    </row>
    <row r="11221" s="11" customFormat="true" ht="10.95" hidden="false" customHeight="true" outlineLevel="0" collapsed="false">
      <c r="A11221" s="16" t="n">
        <v>45357</v>
      </c>
      <c r="B11221" s="17" t="s">
        <v>3861</v>
      </c>
      <c r="C11221" s="17" t="s">
        <v>3752</v>
      </c>
      <c r="D11221" s="17" t="s">
        <v>1407</v>
      </c>
      <c r="E11221" s="17" t="s">
        <v>4309</v>
      </c>
      <c r="F11221" s="17"/>
      <c r="G11221" s="18" t="n">
        <v>0</v>
      </c>
      <c r="H11221" s="18" t="n">
        <v>99</v>
      </c>
      <c r="I11221" s="18" t="n">
        <f aca="false">((I11220 + G11221) - H11221)</f>
        <v>44394.06</v>
      </c>
      <c r="J11221" s="18" t="n">
        <v>0</v>
      </c>
      <c r="K11221" s="19" t="n">
        <v>0</v>
      </c>
      <c r="L11221" s="17"/>
    </row>
    <row r="11222" s="11" customFormat="true" ht="10.95" hidden="false" customHeight="true" outlineLevel="0" collapsed="false">
      <c r="A11222" s="16" t="n">
        <v>45357</v>
      </c>
      <c r="B11222" s="17" t="s">
        <v>3861</v>
      </c>
      <c r="C11222" s="17" t="s">
        <v>3752</v>
      </c>
      <c r="D11222" s="17" t="s">
        <v>2903</v>
      </c>
      <c r="E11222" s="17" t="s">
        <v>3657</v>
      </c>
      <c r="F11222" s="17" t="s">
        <v>1527</v>
      </c>
      <c r="G11222" s="18" t="n">
        <v>0</v>
      </c>
      <c r="H11222" s="18" t="n">
        <v>80.12</v>
      </c>
      <c r="I11222" s="18" t="n">
        <f aca="false">((I11221 + G11222) - H11222)</f>
        <v>44313.94</v>
      </c>
      <c r="J11222" s="18" t="n">
        <v>0</v>
      </c>
      <c r="K11222" s="19" t="n">
        <v>0</v>
      </c>
      <c r="L11222" s="17"/>
    </row>
    <row r="11223" s="11" customFormat="true" ht="10.95" hidden="false" customHeight="true" outlineLevel="0" collapsed="false">
      <c r="A11223" s="16" t="n">
        <v>45357</v>
      </c>
      <c r="B11223" s="17" t="s">
        <v>3861</v>
      </c>
      <c r="C11223" s="17" t="s">
        <v>3752</v>
      </c>
      <c r="D11223" s="17" t="s">
        <v>2903</v>
      </c>
      <c r="E11223" s="17" t="s">
        <v>3657</v>
      </c>
      <c r="F11223" s="17" t="s">
        <v>1521</v>
      </c>
      <c r="G11223" s="18" t="n">
        <v>0</v>
      </c>
      <c r="H11223" s="18" t="n">
        <v>5900.97</v>
      </c>
      <c r="I11223" s="18" t="n">
        <f aca="false">((I11222 + G11223) - H11223)</f>
        <v>38412.97</v>
      </c>
      <c r="J11223" s="18" t="n">
        <v>0</v>
      </c>
      <c r="K11223" s="19" t="n">
        <v>0</v>
      </c>
      <c r="L11223" s="17"/>
    </row>
    <row r="11224" s="11" customFormat="true" ht="10.95" hidden="false" customHeight="true" outlineLevel="0" collapsed="false">
      <c r="A11224" s="16" t="n">
        <v>45358</v>
      </c>
      <c r="B11224" s="17" t="s">
        <v>3861</v>
      </c>
      <c r="C11224" s="17" t="s">
        <v>3752</v>
      </c>
      <c r="D11224" s="17" t="s">
        <v>1407</v>
      </c>
      <c r="E11224" s="17" t="s">
        <v>3626</v>
      </c>
      <c r="F11224" s="17"/>
      <c r="G11224" s="18" t="n">
        <v>0</v>
      </c>
      <c r="H11224" s="18" t="n">
        <v>71.5</v>
      </c>
      <c r="I11224" s="18" t="n">
        <f aca="false">((I11223 + G11224) - H11224)</f>
        <v>38341.47</v>
      </c>
      <c r="J11224" s="18" t="n">
        <v>0</v>
      </c>
      <c r="K11224" s="19" t="n">
        <v>0</v>
      </c>
      <c r="L11224" s="17"/>
    </row>
    <row r="11225" s="11" customFormat="true" ht="10.95" hidden="false" customHeight="true" outlineLevel="0" collapsed="false">
      <c r="A11225" s="16" t="n">
        <v>45358</v>
      </c>
      <c r="B11225" s="17" t="s">
        <v>3861</v>
      </c>
      <c r="C11225" s="17" t="s">
        <v>3752</v>
      </c>
      <c r="D11225" s="17" t="s">
        <v>2895</v>
      </c>
      <c r="E11225" s="17" t="s">
        <v>2934</v>
      </c>
      <c r="F11225" s="17" t="s">
        <v>3085</v>
      </c>
      <c r="G11225" s="18" t="n">
        <v>866.34</v>
      </c>
      <c r="H11225" s="18" t="n">
        <v>0</v>
      </c>
      <c r="I11225" s="18" t="n">
        <f aca="false">((I11224 + G11225) - H11225)</f>
        <v>39207.81</v>
      </c>
      <c r="J11225" s="18" t="n">
        <v>0</v>
      </c>
      <c r="K11225" s="19" t="n">
        <v>0</v>
      </c>
      <c r="L11225" s="17"/>
    </row>
    <row r="11226" s="11" customFormat="true" ht="10.95" hidden="false" customHeight="true" outlineLevel="0" collapsed="false">
      <c r="A11226" s="16" t="n">
        <v>45358</v>
      </c>
      <c r="B11226" s="17" t="s">
        <v>3861</v>
      </c>
      <c r="C11226" s="17" t="s">
        <v>3752</v>
      </c>
      <c r="D11226" s="17" t="s">
        <v>2895</v>
      </c>
      <c r="E11226" s="17" t="s">
        <v>2922</v>
      </c>
      <c r="F11226" s="17" t="s">
        <v>3086</v>
      </c>
      <c r="G11226" s="18" t="n">
        <v>9955.69</v>
      </c>
      <c r="H11226" s="18" t="n">
        <v>0</v>
      </c>
      <c r="I11226" s="18" t="n">
        <f aca="false">((I11225 + G11226) - H11226)</f>
        <v>49163.5</v>
      </c>
      <c r="J11226" s="18" t="n">
        <v>0</v>
      </c>
      <c r="K11226" s="19" t="n">
        <v>0</v>
      </c>
      <c r="L11226" s="17"/>
    </row>
    <row r="11227" s="11" customFormat="true" ht="10.95" hidden="false" customHeight="true" outlineLevel="0" collapsed="false">
      <c r="A11227" s="16" t="n">
        <v>45358</v>
      </c>
      <c r="B11227" s="17" t="s">
        <v>3861</v>
      </c>
      <c r="C11227" s="17" t="s">
        <v>3752</v>
      </c>
      <c r="D11227" s="17" t="s">
        <v>2895</v>
      </c>
      <c r="E11227" s="17" t="s">
        <v>2947</v>
      </c>
      <c r="F11227" s="17" t="s">
        <v>3087</v>
      </c>
      <c r="G11227" s="18" t="n">
        <v>1759.8</v>
      </c>
      <c r="H11227" s="18" t="n">
        <v>0</v>
      </c>
      <c r="I11227" s="18" t="n">
        <f aca="false">((I11226 + G11227) - H11227)</f>
        <v>50923.3</v>
      </c>
      <c r="J11227" s="18" t="n">
        <v>0</v>
      </c>
      <c r="K11227" s="19" t="n">
        <v>0</v>
      </c>
      <c r="L11227" s="17"/>
    </row>
    <row r="11228" s="11" customFormat="true" ht="10.95" hidden="false" customHeight="true" outlineLevel="0" collapsed="false">
      <c r="A11228" s="16" t="n">
        <v>45358</v>
      </c>
      <c r="B11228" s="17" t="s">
        <v>3861</v>
      </c>
      <c r="C11228" s="17" t="s">
        <v>3752</v>
      </c>
      <c r="D11228" s="17" t="s">
        <v>2895</v>
      </c>
      <c r="E11228" s="17" t="s">
        <v>3088</v>
      </c>
      <c r="F11228" s="17" t="s">
        <v>3089</v>
      </c>
      <c r="G11228" s="18" t="n">
        <v>1207.37</v>
      </c>
      <c r="H11228" s="18" t="n">
        <v>0</v>
      </c>
      <c r="I11228" s="18" t="n">
        <f aca="false">((I11227 + G11228) - H11228)</f>
        <v>52130.67</v>
      </c>
      <c r="J11228" s="18" t="n">
        <v>0</v>
      </c>
      <c r="K11228" s="19" t="n">
        <v>0</v>
      </c>
      <c r="L11228" s="17"/>
    </row>
    <row r="11229" s="11" customFormat="true" ht="10.95" hidden="false" customHeight="true" outlineLevel="0" collapsed="false">
      <c r="A11229" s="16" t="n">
        <v>45358</v>
      </c>
      <c r="B11229" s="17" t="s">
        <v>3861</v>
      </c>
      <c r="C11229" s="17" t="s">
        <v>3752</v>
      </c>
      <c r="D11229" s="17" t="s">
        <v>2903</v>
      </c>
      <c r="E11229" s="17" t="s">
        <v>3710</v>
      </c>
      <c r="F11229" s="17" t="s">
        <v>2699</v>
      </c>
      <c r="G11229" s="18" t="n">
        <v>0</v>
      </c>
      <c r="H11229" s="18" t="n">
        <v>790</v>
      </c>
      <c r="I11229" s="18" t="n">
        <f aca="false">((I11228 + G11229) - H11229)</f>
        <v>51340.67</v>
      </c>
      <c r="J11229" s="18" t="n">
        <v>0</v>
      </c>
      <c r="K11229" s="19" t="n">
        <v>0</v>
      </c>
      <c r="L11229" s="17"/>
    </row>
    <row r="11230" s="11" customFormat="true" ht="10.95" hidden="false" customHeight="true" outlineLevel="0" collapsed="false">
      <c r="A11230" s="16" t="n">
        <v>45358</v>
      </c>
      <c r="B11230" s="17" t="s">
        <v>3861</v>
      </c>
      <c r="C11230" s="17" t="s">
        <v>3752</v>
      </c>
      <c r="D11230" s="17" t="s">
        <v>2903</v>
      </c>
      <c r="E11230" s="17" t="s">
        <v>3035</v>
      </c>
      <c r="F11230" s="17" t="s">
        <v>3090</v>
      </c>
      <c r="G11230" s="18" t="n">
        <v>0</v>
      </c>
      <c r="H11230" s="18" t="n">
        <v>2153.81</v>
      </c>
      <c r="I11230" s="18" t="n">
        <f aca="false">((I11229 + G11230) - H11230)</f>
        <v>49186.86</v>
      </c>
      <c r="J11230" s="18" t="n">
        <v>0</v>
      </c>
      <c r="K11230" s="19" t="n">
        <v>0</v>
      </c>
      <c r="L11230" s="17"/>
    </row>
    <row r="11231" s="11" customFormat="true" ht="10.95" hidden="false" customHeight="true" outlineLevel="0" collapsed="false">
      <c r="A11231" s="16" t="n">
        <v>45358</v>
      </c>
      <c r="B11231" s="17" t="s">
        <v>3861</v>
      </c>
      <c r="C11231" s="17" t="s">
        <v>3752</v>
      </c>
      <c r="D11231" s="17" t="s">
        <v>3753</v>
      </c>
      <c r="E11231" s="17" t="s">
        <v>4060</v>
      </c>
      <c r="F11231" s="17" t="s">
        <v>4061</v>
      </c>
      <c r="G11231" s="18" t="n">
        <v>0</v>
      </c>
      <c r="H11231" s="18" t="n">
        <v>4649</v>
      </c>
      <c r="I11231" s="18" t="n">
        <f aca="false">((I11230 + G11231) - H11231)</f>
        <v>44537.86</v>
      </c>
      <c r="J11231" s="18" t="n">
        <v>0</v>
      </c>
      <c r="K11231" s="19" t="n">
        <v>0</v>
      </c>
      <c r="L11231" s="17"/>
    </row>
    <row r="11232" s="11" customFormat="true" ht="10.95" hidden="false" customHeight="true" outlineLevel="0" collapsed="false">
      <c r="A11232" s="16" t="n">
        <v>45359</v>
      </c>
      <c r="B11232" s="17" t="s">
        <v>3861</v>
      </c>
      <c r="C11232" s="17" t="s">
        <v>3752</v>
      </c>
      <c r="D11232" s="17" t="s">
        <v>2903</v>
      </c>
      <c r="E11232" s="17" t="s">
        <v>3640</v>
      </c>
      <c r="F11232" s="17" t="s">
        <v>1642</v>
      </c>
      <c r="G11232" s="18" t="n">
        <v>0</v>
      </c>
      <c r="H11232" s="18" t="n">
        <v>40</v>
      </c>
      <c r="I11232" s="18" t="n">
        <f aca="false">((I11231 + G11232) - H11232)</f>
        <v>44497.86</v>
      </c>
      <c r="J11232" s="18" t="n">
        <v>0</v>
      </c>
      <c r="K11232" s="19" t="n">
        <v>0</v>
      </c>
      <c r="L11232" s="17"/>
    </row>
    <row r="11233" s="11" customFormat="true" ht="10.95" hidden="false" customHeight="true" outlineLevel="0" collapsed="false">
      <c r="A11233" s="16" t="n">
        <v>45359</v>
      </c>
      <c r="B11233" s="17" t="s">
        <v>3861</v>
      </c>
      <c r="C11233" s="17" t="s">
        <v>3752</v>
      </c>
      <c r="D11233" s="17" t="s">
        <v>2903</v>
      </c>
      <c r="E11233" s="17" t="s">
        <v>3660</v>
      </c>
      <c r="F11233" s="17" t="s">
        <v>1642</v>
      </c>
      <c r="G11233" s="18" t="n">
        <v>0</v>
      </c>
      <c r="H11233" s="18" t="n">
        <v>161</v>
      </c>
      <c r="I11233" s="18" t="n">
        <f aca="false">((I11232 + G11233) - H11233)</f>
        <v>44336.86</v>
      </c>
      <c r="J11233" s="18" t="n">
        <v>0</v>
      </c>
      <c r="K11233" s="19" t="n">
        <v>0</v>
      </c>
      <c r="L11233" s="17"/>
    </row>
    <row r="11234" s="11" customFormat="true" ht="10.95" hidden="false" customHeight="true" outlineLevel="0" collapsed="false">
      <c r="A11234" s="16" t="n">
        <v>45359</v>
      </c>
      <c r="B11234" s="17" t="s">
        <v>3861</v>
      </c>
      <c r="C11234" s="17" t="s">
        <v>3752</v>
      </c>
      <c r="D11234" s="17" t="s">
        <v>1407</v>
      </c>
      <c r="E11234" s="17" t="s">
        <v>4310</v>
      </c>
      <c r="F11234" s="17"/>
      <c r="G11234" s="18" t="n">
        <v>0</v>
      </c>
      <c r="H11234" s="18" t="n">
        <v>172.6</v>
      </c>
      <c r="I11234" s="18" t="n">
        <f aca="false">((I11233 + G11234) - H11234)</f>
        <v>44164.26</v>
      </c>
      <c r="J11234" s="18" t="n">
        <v>0</v>
      </c>
      <c r="K11234" s="19" t="n">
        <v>0</v>
      </c>
      <c r="L11234" s="17"/>
    </row>
    <row r="11235" s="11" customFormat="true" ht="10.95" hidden="false" customHeight="true" outlineLevel="0" collapsed="false">
      <c r="A11235" s="16" t="n">
        <v>45360</v>
      </c>
      <c r="B11235" s="17" t="s">
        <v>3861</v>
      </c>
      <c r="C11235" s="17" t="s">
        <v>3752</v>
      </c>
      <c r="D11235" s="17" t="s">
        <v>1407</v>
      </c>
      <c r="E11235" s="17" t="s">
        <v>4311</v>
      </c>
      <c r="F11235" s="17"/>
      <c r="G11235" s="18" t="n">
        <v>0</v>
      </c>
      <c r="H11235" s="18" t="n">
        <v>223.91</v>
      </c>
      <c r="I11235" s="18" t="n">
        <f aca="false">((I11234 + G11235) - H11235)</f>
        <v>43940.35</v>
      </c>
      <c r="J11235" s="18" t="n">
        <v>0</v>
      </c>
      <c r="K11235" s="19" t="n">
        <v>0</v>
      </c>
      <c r="L11235" s="17"/>
    </row>
    <row r="11236" s="11" customFormat="true" ht="10.95" hidden="false" customHeight="true" outlineLevel="0" collapsed="false">
      <c r="A11236" s="16" t="n">
        <v>45360</v>
      </c>
      <c r="B11236" s="17" t="s">
        <v>3861</v>
      </c>
      <c r="C11236" s="17" t="s">
        <v>3752</v>
      </c>
      <c r="D11236" s="17" t="s">
        <v>1407</v>
      </c>
      <c r="E11236" s="17" t="s">
        <v>4312</v>
      </c>
      <c r="F11236" s="17"/>
      <c r="G11236" s="18" t="n">
        <v>0</v>
      </c>
      <c r="H11236" s="18" t="n">
        <v>245.43</v>
      </c>
      <c r="I11236" s="18" t="n">
        <f aca="false">((I11235 + G11236) - H11236)</f>
        <v>43694.92</v>
      </c>
      <c r="J11236" s="18" t="n">
        <v>0</v>
      </c>
      <c r="K11236" s="19" t="n">
        <v>0</v>
      </c>
      <c r="L11236" s="17"/>
    </row>
    <row r="11237" s="11" customFormat="true" ht="10.95" hidden="false" customHeight="true" outlineLevel="0" collapsed="false">
      <c r="A11237" s="16" t="n">
        <v>45360</v>
      </c>
      <c r="B11237" s="17" t="s">
        <v>3861</v>
      </c>
      <c r="C11237" s="17" t="s">
        <v>3752</v>
      </c>
      <c r="D11237" s="17" t="s">
        <v>1407</v>
      </c>
      <c r="E11237" s="17" t="s">
        <v>4313</v>
      </c>
      <c r="F11237" s="17"/>
      <c r="G11237" s="18" t="n">
        <v>0</v>
      </c>
      <c r="H11237" s="18" t="n">
        <v>414</v>
      </c>
      <c r="I11237" s="18" t="n">
        <f aca="false">((I11236 + G11237) - H11237)</f>
        <v>43280.92</v>
      </c>
      <c r="J11237" s="18" t="n">
        <v>0</v>
      </c>
      <c r="K11237" s="19" t="n">
        <v>0</v>
      </c>
      <c r="L11237" s="17"/>
    </row>
    <row r="11238" s="11" customFormat="true" ht="10.95" hidden="false" customHeight="true" outlineLevel="0" collapsed="false">
      <c r="A11238" s="16" t="n">
        <v>45362</v>
      </c>
      <c r="B11238" s="17" t="s">
        <v>3861</v>
      </c>
      <c r="C11238" s="17" t="s">
        <v>3752</v>
      </c>
      <c r="D11238" s="17" t="s">
        <v>2895</v>
      </c>
      <c r="E11238" s="17" t="s">
        <v>3373</v>
      </c>
      <c r="F11238" s="17" t="s">
        <v>4314</v>
      </c>
      <c r="G11238" s="18" t="n">
        <v>1386</v>
      </c>
      <c r="H11238" s="18" t="n">
        <v>0</v>
      </c>
      <c r="I11238" s="18" t="n">
        <f aca="false">((I11237 + G11238) - H11238)</f>
        <v>44666.92</v>
      </c>
      <c r="J11238" s="18" t="n">
        <v>0</v>
      </c>
      <c r="K11238" s="19" t="n">
        <v>0</v>
      </c>
      <c r="L11238" s="17"/>
    </row>
    <row r="11239" s="11" customFormat="true" ht="10.95" hidden="false" customHeight="true" outlineLevel="0" collapsed="false">
      <c r="A11239" s="16" t="n">
        <v>45362</v>
      </c>
      <c r="B11239" s="17" t="s">
        <v>3861</v>
      </c>
      <c r="C11239" s="17" t="s">
        <v>3752</v>
      </c>
      <c r="D11239" s="17" t="s">
        <v>2895</v>
      </c>
      <c r="E11239" s="17" t="s">
        <v>2906</v>
      </c>
      <c r="F11239" s="17" t="s">
        <v>3091</v>
      </c>
      <c r="G11239" s="18" t="n">
        <v>3071.3</v>
      </c>
      <c r="H11239" s="18" t="n">
        <v>0</v>
      </c>
      <c r="I11239" s="18" t="n">
        <f aca="false">((I11238 + G11239) - H11239)</f>
        <v>47738.22</v>
      </c>
      <c r="J11239" s="18" t="n">
        <v>0</v>
      </c>
      <c r="K11239" s="19" t="n">
        <v>0</v>
      </c>
      <c r="L11239" s="17"/>
    </row>
    <row r="11240" s="11" customFormat="true" ht="10.95" hidden="false" customHeight="true" outlineLevel="0" collapsed="false">
      <c r="A11240" s="16" t="n">
        <v>45362</v>
      </c>
      <c r="B11240" s="17" t="s">
        <v>3861</v>
      </c>
      <c r="C11240" s="17" t="s">
        <v>3752</v>
      </c>
      <c r="D11240" s="17" t="s">
        <v>2895</v>
      </c>
      <c r="E11240" s="17" t="s">
        <v>3403</v>
      </c>
      <c r="F11240" s="17" t="s">
        <v>4315</v>
      </c>
      <c r="G11240" s="18" t="n">
        <v>1967.9</v>
      </c>
      <c r="H11240" s="18" t="n">
        <v>0</v>
      </c>
      <c r="I11240" s="18" t="n">
        <f aca="false">((I11239 + G11240) - H11240)</f>
        <v>49706.12</v>
      </c>
      <c r="J11240" s="18" t="n">
        <v>0</v>
      </c>
      <c r="K11240" s="19" t="n">
        <v>0</v>
      </c>
      <c r="L11240" s="17"/>
    </row>
    <row r="11241" s="11" customFormat="true" ht="10.95" hidden="false" customHeight="true" outlineLevel="0" collapsed="false">
      <c r="A11241" s="16" t="n">
        <v>45362</v>
      </c>
      <c r="B11241" s="17" t="s">
        <v>3861</v>
      </c>
      <c r="C11241" s="17" t="s">
        <v>3752</v>
      </c>
      <c r="D11241" s="17" t="s">
        <v>2895</v>
      </c>
      <c r="E11241" s="17" t="s">
        <v>3403</v>
      </c>
      <c r="F11241" s="17" t="s">
        <v>4316</v>
      </c>
      <c r="G11241" s="18" t="n">
        <v>344.85</v>
      </c>
      <c r="H11241" s="18" t="n">
        <v>0</v>
      </c>
      <c r="I11241" s="18" t="n">
        <f aca="false">((I11240 + G11241) - H11241)</f>
        <v>50050.97</v>
      </c>
      <c r="J11241" s="18" t="n">
        <v>0</v>
      </c>
      <c r="K11241" s="19" t="n">
        <v>0</v>
      </c>
      <c r="L11241" s="17"/>
    </row>
    <row r="11242" s="11" customFormat="true" ht="10.95" hidden="false" customHeight="true" outlineLevel="0" collapsed="false">
      <c r="A11242" s="16" t="n">
        <v>45362</v>
      </c>
      <c r="B11242" s="17" t="s">
        <v>3861</v>
      </c>
      <c r="C11242" s="17" t="s">
        <v>3752</v>
      </c>
      <c r="D11242" s="17" t="s">
        <v>2895</v>
      </c>
      <c r="E11242" s="17" t="s">
        <v>3403</v>
      </c>
      <c r="F11242" s="17" t="s">
        <v>4317</v>
      </c>
      <c r="G11242" s="18" t="n">
        <v>310.2</v>
      </c>
      <c r="H11242" s="18" t="n">
        <v>0</v>
      </c>
      <c r="I11242" s="18" t="n">
        <f aca="false">((I11241 + G11242) - H11242)</f>
        <v>50361.17</v>
      </c>
      <c r="J11242" s="18" t="n">
        <v>0</v>
      </c>
      <c r="K11242" s="19" t="n">
        <v>0</v>
      </c>
      <c r="L11242" s="17"/>
    </row>
    <row r="11243" s="11" customFormat="true" ht="10.95" hidden="false" customHeight="true" outlineLevel="0" collapsed="false">
      <c r="A11243" s="16" t="n">
        <v>45362</v>
      </c>
      <c r="B11243" s="17" t="s">
        <v>3861</v>
      </c>
      <c r="C11243" s="17" t="s">
        <v>3752</v>
      </c>
      <c r="D11243" s="17" t="s">
        <v>2895</v>
      </c>
      <c r="E11243" s="17" t="s">
        <v>3403</v>
      </c>
      <c r="F11243" s="17" t="s">
        <v>4318</v>
      </c>
      <c r="G11243" s="18" t="n">
        <v>316.8</v>
      </c>
      <c r="H11243" s="18" t="n">
        <v>0</v>
      </c>
      <c r="I11243" s="18" t="n">
        <f aca="false">((I11242 + G11243) - H11243)</f>
        <v>50677.97</v>
      </c>
      <c r="J11243" s="18" t="n">
        <v>0</v>
      </c>
      <c r="K11243" s="19" t="n">
        <v>0</v>
      </c>
      <c r="L11243" s="17"/>
    </row>
    <row r="11244" s="11" customFormat="true" ht="10.95" hidden="false" customHeight="true" outlineLevel="0" collapsed="false">
      <c r="A11244" s="16" t="n">
        <v>45362</v>
      </c>
      <c r="B11244" s="17" t="s">
        <v>3861</v>
      </c>
      <c r="C11244" s="17" t="s">
        <v>3752</v>
      </c>
      <c r="D11244" s="17" t="s">
        <v>2895</v>
      </c>
      <c r="E11244" s="17" t="s">
        <v>3403</v>
      </c>
      <c r="F11244" s="17" t="s">
        <v>4319</v>
      </c>
      <c r="G11244" s="18" t="n">
        <v>517</v>
      </c>
      <c r="H11244" s="18" t="n">
        <v>0</v>
      </c>
      <c r="I11244" s="18" t="n">
        <f aca="false">((I11243 + G11244) - H11244)</f>
        <v>51194.97</v>
      </c>
      <c r="J11244" s="18" t="n">
        <v>0</v>
      </c>
      <c r="K11244" s="19" t="n">
        <v>0</v>
      </c>
      <c r="L11244" s="17"/>
    </row>
    <row r="11245" s="11" customFormat="true" ht="10.95" hidden="false" customHeight="true" outlineLevel="0" collapsed="false">
      <c r="A11245" s="16" t="n">
        <v>45362</v>
      </c>
      <c r="B11245" s="17" t="s">
        <v>3861</v>
      </c>
      <c r="C11245" s="17" t="s">
        <v>3752</v>
      </c>
      <c r="D11245" s="17" t="s">
        <v>2895</v>
      </c>
      <c r="E11245" s="17" t="s">
        <v>3403</v>
      </c>
      <c r="F11245" s="17" t="s">
        <v>4320</v>
      </c>
      <c r="G11245" s="18" t="n">
        <v>827.2</v>
      </c>
      <c r="H11245" s="18" t="n">
        <v>0</v>
      </c>
      <c r="I11245" s="18" t="n">
        <f aca="false">((I11244 + G11245) - H11245)</f>
        <v>52022.17</v>
      </c>
      <c r="J11245" s="18" t="n">
        <v>0</v>
      </c>
      <c r="K11245" s="19" t="n">
        <v>0</v>
      </c>
      <c r="L11245" s="17"/>
    </row>
    <row r="11246" s="11" customFormat="true" ht="10.95" hidden="false" customHeight="true" outlineLevel="0" collapsed="false">
      <c r="A11246" s="16" t="n">
        <v>45362</v>
      </c>
      <c r="B11246" s="17" t="s">
        <v>3861</v>
      </c>
      <c r="C11246" s="17" t="s">
        <v>3752</v>
      </c>
      <c r="D11246" s="17" t="s">
        <v>2895</v>
      </c>
      <c r="E11246" s="17" t="s">
        <v>3403</v>
      </c>
      <c r="F11246" s="17" t="s">
        <v>4321</v>
      </c>
      <c r="G11246" s="18" t="n">
        <v>723.8</v>
      </c>
      <c r="H11246" s="18" t="n">
        <v>0</v>
      </c>
      <c r="I11246" s="18" t="n">
        <f aca="false">((I11245 + G11246) - H11246)</f>
        <v>52745.97</v>
      </c>
      <c r="J11246" s="18" t="n">
        <v>0</v>
      </c>
      <c r="K11246" s="19" t="n">
        <v>0</v>
      </c>
      <c r="L11246" s="17"/>
    </row>
    <row r="11247" s="11" customFormat="true" ht="10.95" hidden="false" customHeight="true" outlineLevel="0" collapsed="false">
      <c r="A11247" s="16" t="n">
        <v>45362</v>
      </c>
      <c r="B11247" s="17" t="s">
        <v>3861</v>
      </c>
      <c r="C11247" s="17" t="s">
        <v>3752</v>
      </c>
      <c r="D11247" s="17" t="s">
        <v>2895</v>
      </c>
      <c r="E11247" s="17" t="s">
        <v>3403</v>
      </c>
      <c r="F11247" s="17" t="s">
        <v>4322</v>
      </c>
      <c r="G11247" s="18" t="n">
        <v>1137.4</v>
      </c>
      <c r="H11247" s="18" t="n">
        <v>0</v>
      </c>
      <c r="I11247" s="18" t="n">
        <f aca="false">((I11246 + G11247) - H11247)</f>
        <v>53883.37</v>
      </c>
      <c r="J11247" s="18" t="n">
        <v>0</v>
      </c>
      <c r="K11247" s="19" t="n">
        <v>0</v>
      </c>
      <c r="L11247" s="17"/>
    </row>
    <row r="11248" s="11" customFormat="true" ht="10.95" hidden="false" customHeight="true" outlineLevel="0" collapsed="false">
      <c r="A11248" s="16" t="n">
        <v>45362</v>
      </c>
      <c r="B11248" s="17" t="s">
        <v>3861</v>
      </c>
      <c r="C11248" s="17" t="s">
        <v>3752</v>
      </c>
      <c r="D11248" s="17" t="s">
        <v>2895</v>
      </c>
      <c r="E11248" s="17" t="s">
        <v>3403</v>
      </c>
      <c r="F11248" s="17" t="s">
        <v>4323</v>
      </c>
      <c r="G11248" s="18" t="n">
        <v>1258.4</v>
      </c>
      <c r="H11248" s="18" t="n">
        <v>0</v>
      </c>
      <c r="I11248" s="18" t="n">
        <f aca="false">((I11247 + G11248) - H11248)</f>
        <v>55141.77</v>
      </c>
      <c r="J11248" s="18" t="n">
        <v>0</v>
      </c>
      <c r="K11248" s="19" t="n">
        <v>0</v>
      </c>
      <c r="L11248" s="17"/>
    </row>
    <row r="11249" s="11" customFormat="true" ht="10.95" hidden="false" customHeight="true" outlineLevel="0" collapsed="false">
      <c r="A11249" s="16" t="n">
        <v>45362</v>
      </c>
      <c r="B11249" s="17" t="s">
        <v>3861</v>
      </c>
      <c r="C11249" s="17" t="s">
        <v>3752</v>
      </c>
      <c r="D11249" s="17" t="s">
        <v>2895</v>
      </c>
      <c r="E11249" s="17" t="s">
        <v>3403</v>
      </c>
      <c r="F11249" s="17" t="s">
        <v>4324</v>
      </c>
      <c r="G11249" s="18" t="n">
        <v>627</v>
      </c>
      <c r="H11249" s="18" t="n">
        <v>0</v>
      </c>
      <c r="I11249" s="18" t="n">
        <f aca="false">((I11248 + G11249) - H11249)</f>
        <v>55768.77</v>
      </c>
      <c r="J11249" s="18" t="n">
        <v>0</v>
      </c>
      <c r="K11249" s="19" t="n">
        <v>0</v>
      </c>
      <c r="L11249" s="17"/>
    </row>
    <row r="11250" s="11" customFormat="true" ht="10.95" hidden="false" customHeight="true" outlineLevel="0" collapsed="false">
      <c r="A11250" s="16" t="n">
        <v>45362</v>
      </c>
      <c r="B11250" s="17" t="s">
        <v>3861</v>
      </c>
      <c r="C11250" s="17" t="s">
        <v>3752</v>
      </c>
      <c r="D11250" s="17" t="s">
        <v>2895</v>
      </c>
      <c r="E11250" s="17" t="s">
        <v>3403</v>
      </c>
      <c r="F11250" s="17" t="s">
        <v>4325</v>
      </c>
      <c r="G11250" s="18" t="n">
        <v>206.8</v>
      </c>
      <c r="H11250" s="18" t="n">
        <v>0</v>
      </c>
      <c r="I11250" s="18" t="n">
        <f aca="false">((I11249 + G11250) - H11250)</f>
        <v>55975.57</v>
      </c>
      <c r="J11250" s="18" t="n">
        <v>0</v>
      </c>
      <c r="K11250" s="19" t="n">
        <v>0</v>
      </c>
      <c r="L11250" s="17"/>
    </row>
    <row r="11251" s="11" customFormat="true" ht="10.95" hidden="false" customHeight="true" outlineLevel="0" collapsed="false">
      <c r="A11251" s="16" t="n">
        <v>45362</v>
      </c>
      <c r="B11251" s="17" t="s">
        <v>3861</v>
      </c>
      <c r="C11251" s="17" t="s">
        <v>3752</v>
      </c>
      <c r="D11251" s="17" t="s">
        <v>2895</v>
      </c>
      <c r="E11251" s="17" t="s">
        <v>3403</v>
      </c>
      <c r="F11251" s="17" t="s">
        <v>4326</v>
      </c>
      <c r="G11251" s="18" t="n">
        <v>741.4</v>
      </c>
      <c r="H11251" s="18" t="n">
        <v>0</v>
      </c>
      <c r="I11251" s="18" t="n">
        <f aca="false">((I11250 + G11251) - H11251)</f>
        <v>56716.97</v>
      </c>
      <c r="J11251" s="18" t="n">
        <v>0</v>
      </c>
      <c r="K11251" s="19" t="n">
        <v>0</v>
      </c>
      <c r="L11251" s="17"/>
    </row>
    <row r="11252" s="11" customFormat="true" ht="10.95" hidden="false" customHeight="true" outlineLevel="0" collapsed="false">
      <c r="A11252" s="16" t="n">
        <v>45362</v>
      </c>
      <c r="B11252" s="17" t="s">
        <v>3861</v>
      </c>
      <c r="C11252" s="17" t="s">
        <v>3752</v>
      </c>
      <c r="D11252" s="17" t="s">
        <v>2895</v>
      </c>
      <c r="E11252" s="17" t="s">
        <v>3403</v>
      </c>
      <c r="F11252" s="17" t="s">
        <v>4327</v>
      </c>
      <c r="G11252" s="18" t="n">
        <v>618.75</v>
      </c>
      <c r="H11252" s="18" t="n">
        <v>0</v>
      </c>
      <c r="I11252" s="18" t="n">
        <f aca="false">((I11251 + G11252) - H11252)</f>
        <v>57335.72</v>
      </c>
      <c r="J11252" s="18" t="n">
        <v>0</v>
      </c>
      <c r="K11252" s="19" t="n">
        <v>0</v>
      </c>
      <c r="L11252" s="17"/>
    </row>
    <row r="11253" s="11" customFormat="true" ht="10.95" hidden="false" customHeight="true" outlineLevel="0" collapsed="false">
      <c r="A11253" s="16" t="n">
        <v>45363</v>
      </c>
      <c r="B11253" s="17" t="s">
        <v>3861</v>
      </c>
      <c r="C11253" s="17" t="s">
        <v>3752</v>
      </c>
      <c r="D11253" s="17" t="s">
        <v>2895</v>
      </c>
      <c r="E11253" s="17" t="s">
        <v>3525</v>
      </c>
      <c r="F11253" s="17" t="s">
        <v>4328</v>
      </c>
      <c r="G11253" s="18" t="n">
        <v>2138.4</v>
      </c>
      <c r="H11253" s="18" t="n">
        <v>0</v>
      </c>
      <c r="I11253" s="18" t="n">
        <f aca="false">((I11252 + G11253) - H11253)</f>
        <v>59474.12</v>
      </c>
      <c r="J11253" s="18" t="n">
        <v>0</v>
      </c>
      <c r="K11253" s="19" t="n">
        <v>0</v>
      </c>
      <c r="L11253" s="17"/>
    </row>
    <row r="11254" s="11" customFormat="true" ht="10.95" hidden="false" customHeight="true" outlineLevel="0" collapsed="false">
      <c r="A11254" s="16" t="n">
        <v>45363</v>
      </c>
      <c r="B11254" s="17" t="s">
        <v>3861</v>
      </c>
      <c r="C11254" s="17" t="s">
        <v>3752</v>
      </c>
      <c r="D11254" s="17" t="s">
        <v>2903</v>
      </c>
      <c r="E11254" s="17" t="s">
        <v>3712</v>
      </c>
      <c r="F11254" s="17" t="s">
        <v>1633</v>
      </c>
      <c r="G11254" s="18" t="n">
        <v>0</v>
      </c>
      <c r="H11254" s="18" t="n">
        <v>625</v>
      </c>
      <c r="I11254" s="18" t="n">
        <f aca="false">((I11253 + G11254) - H11254)</f>
        <v>58849.12</v>
      </c>
      <c r="J11254" s="18" t="n">
        <v>0</v>
      </c>
      <c r="K11254" s="19" t="n">
        <v>0</v>
      </c>
      <c r="L11254" s="17"/>
    </row>
    <row r="11255" s="11" customFormat="true" ht="10.95" hidden="false" customHeight="true" outlineLevel="0" collapsed="false">
      <c r="A11255" s="16" t="n">
        <v>45363</v>
      </c>
      <c r="B11255" s="17" t="s">
        <v>3861</v>
      </c>
      <c r="C11255" s="17" t="s">
        <v>3752</v>
      </c>
      <c r="D11255" s="17" t="s">
        <v>1407</v>
      </c>
      <c r="E11255" s="17" t="s">
        <v>3878</v>
      </c>
      <c r="F11255" s="17"/>
      <c r="G11255" s="18" t="n">
        <v>0</v>
      </c>
      <c r="H11255" s="18" t="n">
        <v>1417</v>
      </c>
      <c r="I11255" s="18" t="n">
        <f aca="false">((I11254 + G11255) - H11255)</f>
        <v>57432.12</v>
      </c>
      <c r="J11255" s="18" t="n">
        <v>0</v>
      </c>
      <c r="K11255" s="19" t="n">
        <v>0</v>
      </c>
      <c r="L11255" s="17"/>
    </row>
    <row r="11256" s="11" customFormat="true" ht="10.95" hidden="false" customHeight="true" outlineLevel="0" collapsed="false">
      <c r="A11256" s="16" t="n">
        <v>45363</v>
      </c>
      <c r="B11256" s="17" t="s">
        <v>3861</v>
      </c>
      <c r="C11256" s="17" t="s">
        <v>3752</v>
      </c>
      <c r="D11256" s="17" t="s">
        <v>1407</v>
      </c>
      <c r="E11256" s="17" t="s">
        <v>3896</v>
      </c>
      <c r="F11256" s="17"/>
      <c r="G11256" s="18" t="n">
        <v>0</v>
      </c>
      <c r="H11256" s="18" t="n">
        <v>20.99</v>
      </c>
      <c r="I11256" s="18" t="n">
        <f aca="false">((I11255 + G11256) - H11256)</f>
        <v>57411.13</v>
      </c>
      <c r="J11256" s="18" t="n">
        <v>0</v>
      </c>
      <c r="K11256" s="19" t="n">
        <v>0</v>
      </c>
      <c r="L11256" s="17"/>
    </row>
    <row r="11257" s="11" customFormat="true" ht="10.95" hidden="false" customHeight="true" outlineLevel="0" collapsed="false">
      <c r="A11257" s="16" t="n">
        <v>45363</v>
      </c>
      <c r="B11257" s="17" t="s">
        <v>3861</v>
      </c>
      <c r="C11257" s="17" t="s">
        <v>3752</v>
      </c>
      <c r="D11257" s="17" t="s">
        <v>1407</v>
      </c>
      <c r="E11257" s="17" t="s">
        <v>3854</v>
      </c>
      <c r="F11257" s="17"/>
      <c r="G11257" s="18" t="n">
        <v>0</v>
      </c>
      <c r="H11257" s="18" t="n">
        <v>81.01</v>
      </c>
      <c r="I11257" s="18" t="n">
        <f aca="false">((I11256 + G11257) - H11257)</f>
        <v>57330.12</v>
      </c>
      <c r="J11257" s="18" t="n">
        <v>0</v>
      </c>
      <c r="K11257" s="19" t="n">
        <v>0</v>
      </c>
      <c r="L11257" s="17"/>
    </row>
    <row r="11258" s="11" customFormat="true" ht="10.95" hidden="false" customHeight="true" outlineLevel="0" collapsed="false">
      <c r="A11258" s="16" t="n">
        <v>45363</v>
      </c>
      <c r="B11258" s="17" t="s">
        <v>3861</v>
      </c>
      <c r="C11258" s="17" t="s">
        <v>3752</v>
      </c>
      <c r="D11258" s="17" t="s">
        <v>2903</v>
      </c>
      <c r="E11258" s="17" t="s">
        <v>3643</v>
      </c>
      <c r="F11258" s="17" t="s">
        <v>1529</v>
      </c>
      <c r="G11258" s="18" t="n">
        <v>0</v>
      </c>
      <c r="H11258" s="18" t="n">
        <v>2312.62</v>
      </c>
      <c r="I11258" s="18" t="n">
        <f aca="false">((I11257 + G11258) - H11258)</f>
        <v>55017.5</v>
      </c>
      <c r="J11258" s="18" t="n">
        <v>0</v>
      </c>
      <c r="K11258" s="19" t="n">
        <v>0</v>
      </c>
      <c r="L11258" s="17"/>
    </row>
    <row r="11259" s="11" customFormat="true" ht="10.95" hidden="false" customHeight="true" outlineLevel="0" collapsed="false">
      <c r="A11259" s="16" t="n">
        <v>45363</v>
      </c>
      <c r="B11259" s="17" t="s">
        <v>3861</v>
      </c>
      <c r="C11259" s="17" t="s">
        <v>3752</v>
      </c>
      <c r="D11259" s="17" t="s">
        <v>2895</v>
      </c>
      <c r="E11259" s="17" t="s">
        <v>2900</v>
      </c>
      <c r="F11259" s="17" t="s">
        <v>3092</v>
      </c>
      <c r="G11259" s="18" t="n">
        <v>1725.12</v>
      </c>
      <c r="H11259" s="18" t="n">
        <v>0</v>
      </c>
      <c r="I11259" s="18" t="n">
        <f aca="false">((I11258 + G11259) - H11259)</f>
        <v>56742.62</v>
      </c>
      <c r="J11259" s="18" t="n">
        <v>0</v>
      </c>
      <c r="K11259" s="19" t="n">
        <v>0</v>
      </c>
      <c r="L11259" s="17"/>
    </row>
    <row r="11260" s="11" customFormat="true" ht="10.95" hidden="false" customHeight="true" outlineLevel="0" collapsed="false">
      <c r="A11260" s="16" t="n">
        <v>45363</v>
      </c>
      <c r="B11260" s="17" t="s">
        <v>3861</v>
      </c>
      <c r="C11260" s="17" t="s">
        <v>3752</v>
      </c>
      <c r="D11260" s="17" t="s">
        <v>1407</v>
      </c>
      <c r="E11260" s="17" t="s">
        <v>3882</v>
      </c>
      <c r="F11260" s="17"/>
      <c r="G11260" s="18" t="n">
        <v>0</v>
      </c>
      <c r="H11260" s="18" t="n">
        <v>47.91</v>
      </c>
      <c r="I11260" s="18" t="n">
        <f aca="false">((I11259 + G11260) - H11260)</f>
        <v>56694.71</v>
      </c>
      <c r="J11260" s="18" t="n">
        <v>0</v>
      </c>
      <c r="K11260" s="19" t="n">
        <v>0</v>
      </c>
      <c r="L11260" s="17"/>
    </row>
    <row r="11261" s="11" customFormat="true" ht="10.95" hidden="false" customHeight="true" outlineLevel="0" collapsed="false">
      <c r="A11261" s="16" t="n">
        <v>45364</v>
      </c>
      <c r="B11261" s="17" t="s">
        <v>3861</v>
      </c>
      <c r="C11261" s="17" t="s">
        <v>3752</v>
      </c>
      <c r="D11261" s="17" t="s">
        <v>1407</v>
      </c>
      <c r="E11261" s="17" t="s">
        <v>3897</v>
      </c>
      <c r="F11261" s="17"/>
      <c r="G11261" s="18" t="n">
        <v>0</v>
      </c>
      <c r="H11261" s="18" t="n">
        <v>30</v>
      </c>
      <c r="I11261" s="18" t="n">
        <f aca="false">((I11260 + G11261) - H11261)</f>
        <v>56664.71</v>
      </c>
      <c r="J11261" s="18" t="n">
        <v>0</v>
      </c>
      <c r="K11261" s="19" t="n">
        <v>0</v>
      </c>
      <c r="L11261" s="17"/>
    </row>
    <row r="11262" s="11" customFormat="true" ht="10.95" hidden="false" customHeight="true" outlineLevel="0" collapsed="false">
      <c r="A11262" s="16" t="n">
        <v>45364</v>
      </c>
      <c r="B11262" s="17" t="s">
        <v>3861</v>
      </c>
      <c r="C11262" s="17" t="s">
        <v>3752</v>
      </c>
      <c r="D11262" s="17" t="s">
        <v>1407</v>
      </c>
      <c r="E11262" s="17" t="s">
        <v>3881</v>
      </c>
      <c r="F11262" s="17"/>
      <c r="G11262" s="18" t="n">
        <v>0</v>
      </c>
      <c r="H11262" s="18" t="n">
        <v>140</v>
      </c>
      <c r="I11262" s="18" t="n">
        <f aca="false">((I11261 + G11262) - H11262)</f>
        <v>56524.71</v>
      </c>
      <c r="J11262" s="18" t="n">
        <v>0</v>
      </c>
      <c r="K11262" s="19" t="n">
        <v>0</v>
      </c>
      <c r="L11262" s="17"/>
    </row>
    <row r="11263" s="11" customFormat="true" ht="10.95" hidden="false" customHeight="true" outlineLevel="0" collapsed="false">
      <c r="A11263" s="16" t="n">
        <v>45364</v>
      </c>
      <c r="B11263" s="17" t="s">
        <v>3861</v>
      </c>
      <c r="C11263" s="17" t="s">
        <v>3752</v>
      </c>
      <c r="D11263" s="17" t="s">
        <v>1407</v>
      </c>
      <c r="E11263" s="17" t="s">
        <v>3879</v>
      </c>
      <c r="F11263" s="17"/>
      <c r="G11263" s="18" t="n">
        <v>0</v>
      </c>
      <c r="H11263" s="18" t="n">
        <v>1207</v>
      </c>
      <c r="I11263" s="18" t="n">
        <f aca="false">((I11262 + G11263) - H11263)</f>
        <v>55317.71</v>
      </c>
      <c r="J11263" s="18" t="n">
        <v>0</v>
      </c>
      <c r="K11263" s="19" t="n">
        <v>0</v>
      </c>
      <c r="L11263" s="17"/>
    </row>
    <row r="11264" s="11" customFormat="true" ht="10.95" hidden="false" customHeight="true" outlineLevel="0" collapsed="false">
      <c r="A11264" s="16" t="n">
        <v>45364</v>
      </c>
      <c r="B11264" s="17" t="s">
        <v>3861</v>
      </c>
      <c r="C11264" s="17" t="s">
        <v>3752</v>
      </c>
      <c r="D11264" s="17" t="s">
        <v>1407</v>
      </c>
      <c r="E11264" s="17" t="s">
        <v>3880</v>
      </c>
      <c r="F11264" s="17"/>
      <c r="G11264" s="18" t="n">
        <v>0</v>
      </c>
      <c r="H11264" s="18" t="n">
        <v>1207</v>
      </c>
      <c r="I11264" s="18" t="n">
        <f aca="false">((I11263 + G11264) - H11264)</f>
        <v>54110.71</v>
      </c>
      <c r="J11264" s="18" t="n">
        <v>0</v>
      </c>
      <c r="K11264" s="19" t="n">
        <v>0</v>
      </c>
      <c r="L11264" s="17"/>
    </row>
    <row r="11265" s="11" customFormat="true" ht="10.95" hidden="false" customHeight="true" outlineLevel="0" collapsed="false">
      <c r="A11265" s="16" t="n">
        <v>45364</v>
      </c>
      <c r="B11265" s="17" t="s">
        <v>3861</v>
      </c>
      <c r="C11265" s="17" t="s">
        <v>3752</v>
      </c>
      <c r="D11265" s="17" t="s">
        <v>1407</v>
      </c>
      <c r="E11265" s="17" t="s">
        <v>3808</v>
      </c>
      <c r="F11265" s="17"/>
      <c r="G11265" s="18" t="n">
        <v>0</v>
      </c>
      <c r="H11265" s="18" t="n">
        <v>1705.92</v>
      </c>
      <c r="I11265" s="18" t="n">
        <f aca="false">((I11264 + G11265) - H11265)</f>
        <v>52404.79</v>
      </c>
      <c r="J11265" s="18" t="n">
        <v>0</v>
      </c>
      <c r="K11265" s="19" t="n">
        <v>0</v>
      </c>
      <c r="L11265" s="17"/>
    </row>
    <row r="11266" s="11" customFormat="true" ht="10.95" hidden="false" customHeight="true" outlineLevel="0" collapsed="false">
      <c r="A11266" s="16" t="n">
        <v>45365</v>
      </c>
      <c r="B11266" s="17" t="s">
        <v>3861</v>
      </c>
      <c r="C11266" s="17" t="s">
        <v>3752</v>
      </c>
      <c r="D11266" s="17" t="s">
        <v>2903</v>
      </c>
      <c r="E11266" s="17" t="s">
        <v>3714</v>
      </c>
      <c r="F11266" s="17" t="s">
        <v>3565</v>
      </c>
      <c r="G11266" s="18" t="n">
        <v>0</v>
      </c>
      <c r="H11266" s="18" t="n">
        <v>3466.7</v>
      </c>
      <c r="I11266" s="18" t="n">
        <f aca="false">((I11265 + G11266) - H11266)</f>
        <v>48938.09</v>
      </c>
      <c r="J11266" s="18" t="n">
        <v>0</v>
      </c>
      <c r="K11266" s="19" t="n">
        <v>0</v>
      </c>
      <c r="L11266" s="17"/>
    </row>
    <row r="11267" s="11" customFormat="true" ht="10.95" hidden="false" customHeight="true" outlineLevel="0" collapsed="false">
      <c r="A11267" s="16" t="n">
        <v>45365</v>
      </c>
      <c r="B11267" s="17" t="s">
        <v>3861</v>
      </c>
      <c r="C11267" s="17" t="s">
        <v>3752</v>
      </c>
      <c r="D11267" s="17" t="s">
        <v>2903</v>
      </c>
      <c r="E11267" s="17" t="s">
        <v>3049</v>
      </c>
      <c r="F11267" s="17" t="s">
        <v>1606</v>
      </c>
      <c r="G11267" s="18" t="n">
        <v>0</v>
      </c>
      <c r="H11267" s="18" t="n">
        <v>1505.24</v>
      </c>
      <c r="I11267" s="18" t="n">
        <f aca="false">((I11266 + G11267) - H11267)</f>
        <v>47432.85</v>
      </c>
      <c r="J11267" s="18" t="n">
        <v>0</v>
      </c>
      <c r="K11267" s="19" t="n">
        <v>0</v>
      </c>
      <c r="L11267" s="17"/>
    </row>
    <row r="11268" s="11" customFormat="true" ht="10.95" hidden="false" customHeight="true" outlineLevel="0" collapsed="false">
      <c r="A11268" s="16" t="n">
        <v>45366</v>
      </c>
      <c r="B11268" s="17" t="s">
        <v>3861</v>
      </c>
      <c r="C11268" s="17" t="s">
        <v>3752</v>
      </c>
      <c r="D11268" s="17" t="s">
        <v>2903</v>
      </c>
      <c r="E11268" s="17" t="s">
        <v>3704</v>
      </c>
      <c r="F11268" s="17" t="s">
        <v>1642</v>
      </c>
      <c r="G11268" s="18" t="n">
        <v>0</v>
      </c>
      <c r="H11268" s="18" t="n">
        <v>47.25</v>
      </c>
      <c r="I11268" s="18" t="n">
        <f aca="false">((I11267 + G11268) - H11268)</f>
        <v>47385.6</v>
      </c>
      <c r="J11268" s="18" t="n">
        <v>0</v>
      </c>
      <c r="K11268" s="19" t="n">
        <v>0</v>
      </c>
      <c r="L11268" s="17"/>
    </row>
    <row r="11269" s="11" customFormat="true" ht="10.95" hidden="false" customHeight="true" outlineLevel="0" collapsed="false">
      <c r="A11269" s="16" t="n">
        <v>45366</v>
      </c>
      <c r="B11269" s="17" t="s">
        <v>3861</v>
      </c>
      <c r="C11269" s="17" t="s">
        <v>3752</v>
      </c>
      <c r="D11269" s="17" t="s">
        <v>2903</v>
      </c>
      <c r="E11269" s="17" t="s">
        <v>3704</v>
      </c>
      <c r="F11269" s="17" t="s">
        <v>1642</v>
      </c>
      <c r="G11269" s="18" t="n">
        <v>0</v>
      </c>
      <c r="H11269" s="18" t="n">
        <v>14.4</v>
      </c>
      <c r="I11269" s="18" t="n">
        <f aca="false">((I11268 + G11269) - H11269)</f>
        <v>47371.2</v>
      </c>
      <c r="J11269" s="18" t="n">
        <v>0</v>
      </c>
      <c r="K11269" s="19" t="n">
        <v>0</v>
      </c>
      <c r="L11269" s="17"/>
    </row>
    <row r="11270" s="11" customFormat="true" ht="10.95" hidden="false" customHeight="true" outlineLevel="0" collapsed="false">
      <c r="A11270" s="16" t="n">
        <v>45366</v>
      </c>
      <c r="B11270" s="17" t="s">
        <v>3861</v>
      </c>
      <c r="C11270" s="17" t="s">
        <v>3752</v>
      </c>
      <c r="D11270" s="17" t="s">
        <v>1407</v>
      </c>
      <c r="E11270" s="17" t="s">
        <v>3863</v>
      </c>
      <c r="F11270" s="17"/>
      <c r="G11270" s="18" t="n">
        <v>0</v>
      </c>
      <c r="H11270" s="18" t="n">
        <v>0.45</v>
      </c>
      <c r="I11270" s="18" t="n">
        <f aca="false">((I11269 + G11270) - H11270)</f>
        <v>47370.75</v>
      </c>
      <c r="J11270" s="18" t="n">
        <v>0</v>
      </c>
      <c r="K11270" s="19" t="n">
        <v>0</v>
      </c>
      <c r="L11270" s="17"/>
    </row>
    <row r="11271" s="11" customFormat="true" ht="10.95" hidden="false" customHeight="true" outlineLevel="0" collapsed="false">
      <c r="A11271" s="16" t="n">
        <v>45366</v>
      </c>
      <c r="B11271" s="17" t="s">
        <v>3861</v>
      </c>
      <c r="C11271" s="17" t="s">
        <v>3752</v>
      </c>
      <c r="D11271" s="17" t="s">
        <v>1407</v>
      </c>
      <c r="E11271" s="17" t="s">
        <v>3863</v>
      </c>
      <c r="F11271" s="17"/>
      <c r="G11271" s="18" t="n">
        <v>0</v>
      </c>
      <c r="H11271" s="18" t="n">
        <v>35.4</v>
      </c>
      <c r="I11271" s="18" t="n">
        <f aca="false">((I11270 + G11271) - H11271)</f>
        <v>47335.35</v>
      </c>
      <c r="J11271" s="18" t="n">
        <v>0</v>
      </c>
      <c r="K11271" s="19" t="n">
        <v>0</v>
      </c>
      <c r="L11271" s="17"/>
    </row>
    <row r="11272" s="11" customFormat="true" ht="10.95" hidden="false" customHeight="true" outlineLevel="0" collapsed="false">
      <c r="A11272" s="16" t="n">
        <v>45366</v>
      </c>
      <c r="B11272" s="17" t="s">
        <v>3861</v>
      </c>
      <c r="C11272" s="17" t="s">
        <v>3752</v>
      </c>
      <c r="D11272" s="17" t="s">
        <v>1407</v>
      </c>
      <c r="E11272" s="17" t="s">
        <v>3899</v>
      </c>
      <c r="F11272" s="17"/>
      <c r="G11272" s="18" t="n">
        <v>0</v>
      </c>
      <c r="H11272" s="18" t="n">
        <v>15.15</v>
      </c>
      <c r="I11272" s="18" t="n">
        <f aca="false">((I11271 + G11272) - H11272)</f>
        <v>47320.2</v>
      </c>
      <c r="J11272" s="18" t="n">
        <v>0</v>
      </c>
      <c r="K11272" s="19" t="n">
        <v>0</v>
      </c>
      <c r="L11272" s="17"/>
    </row>
    <row r="11273" s="11" customFormat="true" ht="10.95" hidden="false" customHeight="true" outlineLevel="0" collapsed="false">
      <c r="A11273" s="16" t="n">
        <v>45366</v>
      </c>
      <c r="B11273" s="17" t="s">
        <v>3861</v>
      </c>
      <c r="C11273" s="17" t="s">
        <v>3752</v>
      </c>
      <c r="D11273" s="17" t="s">
        <v>1407</v>
      </c>
      <c r="E11273" s="17" t="s">
        <v>4329</v>
      </c>
      <c r="F11273" s="17"/>
      <c r="G11273" s="18" t="n">
        <v>0</v>
      </c>
      <c r="H11273" s="18" t="n">
        <v>1179.85</v>
      </c>
      <c r="I11273" s="18" t="n">
        <f aca="false">((I11272 + G11273) - H11273)</f>
        <v>46140.35</v>
      </c>
      <c r="J11273" s="18" t="n">
        <v>0</v>
      </c>
      <c r="K11273" s="19" t="n">
        <v>0</v>
      </c>
      <c r="L11273" s="17"/>
    </row>
    <row r="11274" s="11" customFormat="true" ht="10.95" hidden="false" customHeight="true" outlineLevel="0" collapsed="false">
      <c r="A11274" s="16" t="n">
        <v>45369</v>
      </c>
      <c r="B11274" s="17" t="s">
        <v>3861</v>
      </c>
      <c r="C11274" s="17" t="s">
        <v>3752</v>
      </c>
      <c r="D11274" s="17" t="s">
        <v>2895</v>
      </c>
      <c r="E11274" s="17" t="s">
        <v>3415</v>
      </c>
      <c r="F11274" s="17" t="s">
        <v>4330</v>
      </c>
      <c r="G11274" s="18" t="n">
        <v>1052.7</v>
      </c>
      <c r="H11274" s="18" t="n">
        <v>0</v>
      </c>
      <c r="I11274" s="18" t="n">
        <f aca="false">((I11273 + G11274) - H11274)</f>
        <v>47193.05</v>
      </c>
      <c r="J11274" s="18" t="n">
        <v>0</v>
      </c>
      <c r="K11274" s="19" t="n">
        <v>0</v>
      </c>
      <c r="L11274" s="17"/>
    </row>
    <row r="11275" s="11" customFormat="true" ht="10.95" hidden="false" customHeight="true" outlineLevel="0" collapsed="false">
      <c r="A11275" s="16" t="n">
        <v>45369</v>
      </c>
      <c r="B11275" s="17" t="s">
        <v>3861</v>
      </c>
      <c r="C11275" s="17" t="s">
        <v>3752</v>
      </c>
      <c r="D11275" s="17" t="s">
        <v>2895</v>
      </c>
      <c r="E11275" s="17" t="s">
        <v>2934</v>
      </c>
      <c r="F11275" s="17" t="s">
        <v>3093</v>
      </c>
      <c r="G11275" s="18" t="n">
        <v>5829.3</v>
      </c>
      <c r="H11275" s="18" t="n">
        <v>0</v>
      </c>
      <c r="I11275" s="18" t="n">
        <f aca="false">((I11274 + G11275) - H11275)</f>
        <v>53022.35</v>
      </c>
      <c r="J11275" s="18" t="n">
        <v>0</v>
      </c>
      <c r="K11275" s="19" t="n">
        <v>0</v>
      </c>
      <c r="L11275" s="17"/>
    </row>
    <row r="11276" s="11" customFormat="true" ht="10.95" hidden="false" customHeight="true" outlineLevel="0" collapsed="false">
      <c r="A11276" s="16" t="n">
        <v>45369</v>
      </c>
      <c r="B11276" s="17" t="s">
        <v>3861</v>
      </c>
      <c r="C11276" s="17" t="s">
        <v>3752</v>
      </c>
      <c r="D11276" s="17" t="s">
        <v>1407</v>
      </c>
      <c r="E11276" s="17" t="s">
        <v>3742</v>
      </c>
      <c r="F11276" s="17"/>
      <c r="G11276" s="18" t="n">
        <v>0</v>
      </c>
      <c r="H11276" s="18" t="n">
        <v>10557</v>
      </c>
      <c r="I11276" s="18" t="n">
        <f aca="false">((I11275 + G11276) - H11276)</f>
        <v>42465.35</v>
      </c>
      <c r="J11276" s="18" t="n">
        <v>0</v>
      </c>
      <c r="K11276" s="19" t="n">
        <v>0</v>
      </c>
      <c r="L11276" s="17"/>
    </row>
    <row r="11277" s="11" customFormat="true" ht="10.95" hidden="false" customHeight="true" outlineLevel="0" collapsed="false">
      <c r="A11277" s="16" t="n">
        <v>45370</v>
      </c>
      <c r="B11277" s="17" t="s">
        <v>3861</v>
      </c>
      <c r="C11277" s="17" t="s">
        <v>3752</v>
      </c>
      <c r="D11277" s="17" t="s">
        <v>2895</v>
      </c>
      <c r="E11277" s="17" t="s">
        <v>3403</v>
      </c>
      <c r="F11277" s="17" t="s">
        <v>4331</v>
      </c>
      <c r="G11277" s="18" t="n">
        <v>689.7</v>
      </c>
      <c r="H11277" s="18" t="n">
        <v>0</v>
      </c>
      <c r="I11277" s="18" t="n">
        <f aca="false">((I11276 + G11277) - H11277)</f>
        <v>43155.05</v>
      </c>
      <c r="J11277" s="18" t="n">
        <v>0</v>
      </c>
      <c r="K11277" s="19" t="n">
        <v>0</v>
      </c>
      <c r="L11277" s="17"/>
    </row>
    <row r="11278" s="11" customFormat="true" ht="10.95" hidden="false" customHeight="true" outlineLevel="0" collapsed="false">
      <c r="A11278" s="16" t="n">
        <v>45370</v>
      </c>
      <c r="B11278" s="17" t="s">
        <v>3861</v>
      </c>
      <c r="C11278" s="17" t="s">
        <v>3752</v>
      </c>
      <c r="D11278" s="17" t="s">
        <v>1407</v>
      </c>
      <c r="E11278" s="17" t="s">
        <v>3900</v>
      </c>
      <c r="F11278" s="17"/>
      <c r="G11278" s="18" t="n">
        <v>0</v>
      </c>
      <c r="H11278" s="18" t="n">
        <v>16.99</v>
      </c>
      <c r="I11278" s="18" t="n">
        <f aca="false">((I11277 + G11278) - H11278)</f>
        <v>43138.06</v>
      </c>
      <c r="J11278" s="18" t="n">
        <v>0</v>
      </c>
      <c r="K11278" s="19" t="n">
        <v>0</v>
      </c>
      <c r="L11278" s="17"/>
    </row>
    <row r="11279" s="11" customFormat="true" ht="10.95" hidden="false" customHeight="true" outlineLevel="0" collapsed="false">
      <c r="A11279" s="16" t="n">
        <v>45370</v>
      </c>
      <c r="B11279" s="17" t="s">
        <v>3861</v>
      </c>
      <c r="C11279" s="17" t="s">
        <v>3752</v>
      </c>
      <c r="D11279" s="17" t="s">
        <v>1407</v>
      </c>
      <c r="E11279" s="17" t="s">
        <v>3901</v>
      </c>
      <c r="F11279" s="17"/>
      <c r="G11279" s="18" t="n">
        <v>0</v>
      </c>
      <c r="H11279" s="18" t="n">
        <v>82.08</v>
      </c>
      <c r="I11279" s="18" t="n">
        <f aca="false">((I11278 + G11279) - H11279)</f>
        <v>43055.98</v>
      </c>
      <c r="J11279" s="18" t="n">
        <v>0</v>
      </c>
      <c r="K11279" s="19" t="n">
        <v>0</v>
      </c>
      <c r="L11279" s="17"/>
    </row>
    <row r="11280" s="11" customFormat="true" ht="10.95" hidden="false" customHeight="true" outlineLevel="0" collapsed="false">
      <c r="A11280" s="16" t="n">
        <v>45370</v>
      </c>
      <c r="B11280" s="17" t="s">
        <v>3861</v>
      </c>
      <c r="C11280" s="17" t="s">
        <v>3752</v>
      </c>
      <c r="D11280" s="17" t="s">
        <v>1407</v>
      </c>
      <c r="E11280" s="17" t="s">
        <v>3902</v>
      </c>
      <c r="F11280" s="17"/>
      <c r="G11280" s="18" t="n">
        <v>0</v>
      </c>
      <c r="H11280" s="18" t="n">
        <v>272.5</v>
      </c>
      <c r="I11280" s="18" t="n">
        <f aca="false">((I11279 + G11280) - H11280)</f>
        <v>42783.48</v>
      </c>
      <c r="J11280" s="18" t="n">
        <v>0</v>
      </c>
      <c r="K11280" s="19" t="n">
        <v>0</v>
      </c>
      <c r="L11280" s="17"/>
    </row>
    <row r="11281" s="11" customFormat="true" ht="10.95" hidden="false" customHeight="true" outlineLevel="0" collapsed="false">
      <c r="A11281" s="16" t="n">
        <v>45370</v>
      </c>
      <c r="B11281" s="17" t="s">
        <v>3861</v>
      </c>
      <c r="C11281" s="17" t="s">
        <v>3752</v>
      </c>
      <c r="D11281" s="17" t="s">
        <v>2903</v>
      </c>
      <c r="E11281" s="17" t="s">
        <v>3637</v>
      </c>
      <c r="F11281" s="17" t="s">
        <v>2689</v>
      </c>
      <c r="G11281" s="18" t="n">
        <v>0</v>
      </c>
      <c r="H11281" s="18" t="n">
        <v>745.91</v>
      </c>
      <c r="I11281" s="18" t="n">
        <f aca="false">((I11280 + G11281) - H11281)</f>
        <v>42037.57</v>
      </c>
      <c r="J11281" s="18" t="n">
        <v>0</v>
      </c>
      <c r="K11281" s="19" t="n">
        <v>0</v>
      </c>
      <c r="L11281" s="17"/>
    </row>
    <row r="11282" s="11" customFormat="true" ht="10.95" hidden="false" customHeight="true" outlineLevel="0" collapsed="false">
      <c r="A11282" s="16" t="n">
        <v>45370</v>
      </c>
      <c r="B11282" s="17" t="s">
        <v>3861</v>
      </c>
      <c r="C11282" s="17" t="s">
        <v>3752</v>
      </c>
      <c r="D11282" s="17" t="s">
        <v>2903</v>
      </c>
      <c r="E11282" s="17" t="s">
        <v>3616</v>
      </c>
      <c r="F11282" s="17" t="s">
        <v>3305</v>
      </c>
      <c r="G11282" s="18" t="n">
        <v>0</v>
      </c>
      <c r="H11282" s="18" t="n">
        <v>4023.35</v>
      </c>
      <c r="I11282" s="18" t="n">
        <f aca="false">((I11281 + G11282) - H11282)</f>
        <v>38014.22</v>
      </c>
      <c r="J11282" s="18" t="n">
        <v>0</v>
      </c>
      <c r="K11282" s="19" t="n">
        <v>0</v>
      </c>
      <c r="L11282" s="17"/>
    </row>
    <row r="11283" s="11" customFormat="true" ht="10.95" hidden="false" customHeight="true" outlineLevel="0" collapsed="false">
      <c r="A11283" s="16" t="n">
        <v>45370</v>
      </c>
      <c r="B11283" s="17" t="s">
        <v>3861</v>
      </c>
      <c r="C11283" s="17" t="s">
        <v>3752</v>
      </c>
      <c r="D11283" s="17" t="s">
        <v>1407</v>
      </c>
      <c r="E11283" s="17" t="s">
        <v>3878</v>
      </c>
      <c r="F11283" s="17"/>
      <c r="G11283" s="18" t="n">
        <v>0</v>
      </c>
      <c r="H11283" s="18" t="n">
        <v>1417</v>
      </c>
      <c r="I11283" s="18" t="n">
        <f aca="false">((I11282 + G11283) - H11283)</f>
        <v>36597.22</v>
      </c>
      <c r="J11283" s="18" t="n">
        <v>0</v>
      </c>
      <c r="K11283" s="19" t="n">
        <v>0</v>
      </c>
      <c r="L11283" s="17"/>
    </row>
    <row r="11284" s="11" customFormat="true" ht="10.95" hidden="false" customHeight="true" outlineLevel="0" collapsed="false">
      <c r="A11284" s="16" t="n">
        <v>45371</v>
      </c>
      <c r="B11284" s="17" t="s">
        <v>3861</v>
      </c>
      <c r="C11284" s="17" t="s">
        <v>3752</v>
      </c>
      <c r="D11284" s="17" t="s">
        <v>3753</v>
      </c>
      <c r="E11284" s="17" t="s">
        <v>3806</v>
      </c>
      <c r="F11284" s="17" t="s">
        <v>3831</v>
      </c>
      <c r="G11284" s="18" t="n">
        <v>0</v>
      </c>
      <c r="H11284" s="18" t="n">
        <v>7918.26</v>
      </c>
      <c r="I11284" s="18" t="n">
        <f aca="false">((I11283 + G11284) - H11284)</f>
        <v>28678.96</v>
      </c>
      <c r="J11284" s="18" t="n">
        <v>0</v>
      </c>
      <c r="K11284" s="19" t="n">
        <v>0</v>
      </c>
      <c r="L11284" s="17"/>
    </row>
    <row r="11285" s="11" customFormat="true" ht="10.95" hidden="false" customHeight="true" outlineLevel="0" collapsed="false">
      <c r="A11285" s="16" t="n">
        <v>45371</v>
      </c>
      <c r="B11285" s="17" t="s">
        <v>3861</v>
      </c>
      <c r="C11285" s="17" t="s">
        <v>3752</v>
      </c>
      <c r="D11285" s="17" t="s">
        <v>1407</v>
      </c>
      <c r="E11285" s="17" t="s">
        <v>3881</v>
      </c>
      <c r="F11285" s="17"/>
      <c r="G11285" s="18" t="n">
        <v>0</v>
      </c>
      <c r="H11285" s="18" t="n">
        <v>140</v>
      </c>
      <c r="I11285" s="18" t="n">
        <f aca="false">((I11284 + G11285) - H11285)</f>
        <v>28538.96</v>
      </c>
      <c r="J11285" s="18" t="n">
        <v>0</v>
      </c>
      <c r="K11285" s="19" t="n">
        <v>0</v>
      </c>
      <c r="L11285" s="17"/>
    </row>
    <row r="11286" s="11" customFormat="true" ht="10.95" hidden="false" customHeight="true" outlineLevel="0" collapsed="false">
      <c r="A11286" s="16" t="n">
        <v>45371</v>
      </c>
      <c r="B11286" s="17" t="s">
        <v>3861</v>
      </c>
      <c r="C11286" s="17" t="s">
        <v>3752</v>
      </c>
      <c r="D11286" s="17" t="s">
        <v>2903</v>
      </c>
      <c r="E11286" s="17" t="s">
        <v>3645</v>
      </c>
      <c r="F11286" s="17" t="s">
        <v>1525</v>
      </c>
      <c r="G11286" s="18" t="n">
        <v>0</v>
      </c>
      <c r="H11286" s="18" t="n">
        <v>538.76</v>
      </c>
      <c r="I11286" s="18" t="n">
        <f aca="false">((I11285 + G11286) - H11286)</f>
        <v>28000.2</v>
      </c>
      <c r="J11286" s="18" t="n">
        <v>0</v>
      </c>
      <c r="K11286" s="19" t="n">
        <v>0</v>
      </c>
      <c r="L11286" s="17"/>
    </row>
    <row r="11287" s="11" customFormat="true" ht="10.95" hidden="false" customHeight="true" outlineLevel="0" collapsed="false">
      <c r="A11287" s="16" t="n">
        <v>45371</v>
      </c>
      <c r="B11287" s="17" t="s">
        <v>3861</v>
      </c>
      <c r="C11287" s="17" t="s">
        <v>3752</v>
      </c>
      <c r="D11287" s="17" t="s">
        <v>1407</v>
      </c>
      <c r="E11287" s="17" t="s">
        <v>3879</v>
      </c>
      <c r="F11287" s="17"/>
      <c r="G11287" s="18" t="n">
        <v>0</v>
      </c>
      <c r="H11287" s="18" t="n">
        <v>1207</v>
      </c>
      <c r="I11287" s="18" t="n">
        <f aca="false">((I11286 + G11287) - H11287)</f>
        <v>26793.2</v>
      </c>
      <c r="J11287" s="18" t="n">
        <v>0</v>
      </c>
      <c r="K11287" s="19" t="n">
        <v>0</v>
      </c>
      <c r="L11287" s="17"/>
    </row>
    <row r="11288" s="11" customFormat="true" ht="10.95" hidden="false" customHeight="true" outlineLevel="0" collapsed="false">
      <c r="A11288" s="16" t="n">
        <v>45371</v>
      </c>
      <c r="B11288" s="17" t="s">
        <v>3861</v>
      </c>
      <c r="C11288" s="17" t="s">
        <v>3752</v>
      </c>
      <c r="D11288" s="17" t="s">
        <v>1407</v>
      </c>
      <c r="E11288" s="17" t="s">
        <v>3880</v>
      </c>
      <c r="F11288" s="17"/>
      <c r="G11288" s="18" t="n">
        <v>0</v>
      </c>
      <c r="H11288" s="18" t="n">
        <v>1207</v>
      </c>
      <c r="I11288" s="18" t="n">
        <f aca="false">((I11287 + G11288) - H11288)</f>
        <v>25586.2</v>
      </c>
      <c r="J11288" s="18" t="n">
        <v>0</v>
      </c>
      <c r="K11288" s="19" t="n">
        <v>0</v>
      </c>
      <c r="L11288" s="17"/>
    </row>
    <row r="11289" s="11" customFormat="true" ht="10.95" hidden="false" customHeight="true" outlineLevel="0" collapsed="false">
      <c r="A11289" s="16" t="n">
        <v>45371</v>
      </c>
      <c r="B11289" s="17" t="s">
        <v>3861</v>
      </c>
      <c r="C11289" s="17" t="s">
        <v>3752</v>
      </c>
      <c r="D11289" s="17" t="s">
        <v>1407</v>
      </c>
      <c r="E11289" s="17" t="s">
        <v>3808</v>
      </c>
      <c r="F11289" s="17"/>
      <c r="G11289" s="18" t="n">
        <v>0</v>
      </c>
      <c r="H11289" s="18" t="n">
        <v>1705.92</v>
      </c>
      <c r="I11289" s="18" t="n">
        <f aca="false">((I11288 + G11289) - H11289)</f>
        <v>23880.28</v>
      </c>
      <c r="J11289" s="18" t="n">
        <v>0</v>
      </c>
      <c r="K11289" s="19" t="n">
        <v>0</v>
      </c>
      <c r="L11289" s="17"/>
    </row>
    <row r="11290" s="11" customFormat="true" ht="10.95" hidden="false" customHeight="true" outlineLevel="0" collapsed="false">
      <c r="A11290" s="16" t="n">
        <v>45371</v>
      </c>
      <c r="B11290" s="17" t="s">
        <v>3861</v>
      </c>
      <c r="C11290" s="17" t="s">
        <v>3752</v>
      </c>
      <c r="D11290" s="17" t="s">
        <v>2895</v>
      </c>
      <c r="E11290" s="17" t="s">
        <v>2900</v>
      </c>
      <c r="F11290" s="17" t="s">
        <v>3094</v>
      </c>
      <c r="G11290" s="18" t="n">
        <v>783.55</v>
      </c>
      <c r="H11290" s="18" t="n">
        <v>0</v>
      </c>
      <c r="I11290" s="18" t="n">
        <f aca="false">((I11289 + G11290) - H11290)</f>
        <v>24663.83</v>
      </c>
      <c r="J11290" s="18" t="n">
        <v>0</v>
      </c>
      <c r="K11290" s="19" t="n">
        <v>0</v>
      </c>
      <c r="L11290" s="17"/>
    </row>
    <row r="11291" s="11" customFormat="true" ht="10.95" hidden="false" customHeight="true" outlineLevel="0" collapsed="false">
      <c r="A11291" s="16" t="n">
        <v>45371</v>
      </c>
      <c r="B11291" s="17" t="s">
        <v>3861</v>
      </c>
      <c r="C11291" s="17" t="s">
        <v>3752</v>
      </c>
      <c r="D11291" s="17" t="s">
        <v>2895</v>
      </c>
      <c r="E11291" s="17" t="s">
        <v>2900</v>
      </c>
      <c r="F11291" s="17" t="s">
        <v>3095</v>
      </c>
      <c r="G11291" s="18" t="n">
        <v>2228.02</v>
      </c>
      <c r="H11291" s="18" t="n">
        <v>0</v>
      </c>
      <c r="I11291" s="18" t="n">
        <f aca="false">((I11290 + G11291) - H11291)</f>
        <v>26891.85</v>
      </c>
      <c r="J11291" s="18" t="n">
        <v>0</v>
      </c>
      <c r="K11291" s="19" t="n">
        <v>0</v>
      </c>
      <c r="L11291" s="17"/>
    </row>
    <row r="11292" s="11" customFormat="true" ht="10.95" hidden="false" customHeight="true" outlineLevel="0" collapsed="false">
      <c r="A11292" s="16" t="n">
        <v>45371</v>
      </c>
      <c r="B11292" s="17" t="s">
        <v>3861</v>
      </c>
      <c r="C11292" s="17" t="s">
        <v>3752</v>
      </c>
      <c r="D11292" s="17" t="s">
        <v>2895</v>
      </c>
      <c r="E11292" s="17" t="s">
        <v>2900</v>
      </c>
      <c r="F11292" s="17" t="s">
        <v>3096</v>
      </c>
      <c r="G11292" s="18" t="n">
        <v>262.56</v>
      </c>
      <c r="H11292" s="18" t="n">
        <v>0</v>
      </c>
      <c r="I11292" s="18" t="n">
        <f aca="false">((I11291 + G11292) - H11292)</f>
        <v>27154.41</v>
      </c>
      <c r="J11292" s="18" t="n">
        <v>0</v>
      </c>
      <c r="K11292" s="19" t="n">
        <v>0</v>
      </c>
      <c r="L11292" s="17"/>
    </row>
    <row r="11293" s="11" customFormat="true" ht="10.95" hidden="false" customHeight="true" outlineLevel="0" collapsed="false">
      <c r="A11293" s="16" t="n">
        <v>45371</v>
      </c>
      <c r="B11293" s="17" t="s">
        <v>3861</v>
      </c>
      <c r="C11293" s="17" t="s">
        <v>3752</v>
      </c>
      <c r="D11293" s="17" t="s">
        <v>2895</v>
      </c>
      <c r="E11293" s="17" t="s">
        <v>2900</v>
      </c>
      <c r="F11293" s="17" t="s">
        <v>3097</v>
      </c>
      <c r="G11293" s="18" t="n">
        <v>42237.13</v>
      </c>
      <c r="H11293" s="18" t="n">
        <v>0</v>
      </c>
      <c r="I11293" s="18" t="n">
        <f aca="false">((I11292 + G11293) - H11293)</f>
        <v>69391.54</v>
      </c>
      <c r="J11293" s="18" t="n">
        <v>0</v>
      </c>
      <c r="K11293" s="19" t="n">
        <v>0</v>
      </c>
      <c r="L11293" s="17"/>
    </row>
    <row r="11294" s="11" customFormat="true" ht="10.95" hidden="false" customHeight="true" outlineLevel="0" collapsed="false">
      <c r="A11294" s="16" t="n">
        <v>45371</v>
      </c>
      <c r="B11294" s="17" t="s">
        <v>3861</v>
      </c>
      <c r="C11294" s="17" t="s">
        <v>3752</v>
      </c>
      <c r="D11294" s="17" t="s">
        <v>3753</v>
      </c>
      <c r="E11294" s="17" t="s">
        <v>4060</v>
      </c>
      <c r="F11294" s="17" t="s">
        <v>4061</v>
      </c>
      <c r="G11294" s="18" t="n">
        <v>0</v>
      </c>
      <c r="H11294" s="18" t="n">
        <v>6256.84</v>
      </c>
      <c r="I11294" s="18" t="n">
        <f aca="false">((I11293 + G11294) - H11294)</f>
        <v>63134.7</v>
      </c>
      <c r="J11294" s="18" t="n">
        <v>0</v>
      </c>
      <c r="K11294" s="19" t="n">
        <v>0</v>
      </c>
      <c r="L11294" s="17"/>
    </row>
    <row r="11295" s="11" customFormat="true" ht="10.95" hidden="false" customHeight="true" outlineLevel="0" collapsed="false">
      <c r="A11295" s="16" t="n">
        <v>45372</v>
      </c>
      <c r="B11295" s="17" t="s">
        <v>3861</v>
      </c>
      <c r="C11295" s="17" t="s">
        <v>3752</v>
      </c>
      <c r="D11295" s="17" t="s">
        <v>2895</v>
      </c>
      <c r="E11295" s="17" t="s">
        <v>3453</v>
      </c>
      <c r="F11295" s="17" t="s">
        <v>4332</v>
      </c>
      <c r="G11295" s="18" t="n">
        <v>93.5</v>
      </c>
      <c r="H11295" s="18" t="n">
        <v>0</v>
      </c>
      <c r="I11295" s="18" t="n">
        <f aca="false">((I11294 + G11295) - H11295)</f>
        <v>63228.2</v>
      </c>
      <c r="J11295" s="18" t="n">
        <v>0</v>
      </c>
      <c r="K11295" s="19" t="n">
        <v>0</v>
      </c>
      <c r="L11295" s="17"/>
    </row>
    <row r="11296" s="11" customFormat="true" ht="10.95" hidden="false" customHeight="true" outlineLevel="0" collapsed="false">
      <c r="A11296" s="16" t="n">
        <v>45372</v>
      </c>
      <c r="B11296" s="17" t="s">
        <v>3861</v>
      </c>
      <c r="C11296" s="17" t="s">
        <v>3752</v>
      </c>
      <c r="D11296" s="17" t="s">
        <v>2895</v>
      </c>
      <c r="E11296" s="17" t="s">
        <v>3457</v>
      </c>
      <c r="F11296" s="17" t="s">
        <v>4333</v>
      </c>
      <c r="G11296" s="18" t="n">
        <v>19998</v>
      </c>
      <c r="H11296" s="18" t="n">
        <v>0</v>
      </c>
      <c r="I11296" s="18" t="n">
        <f aca="false">((I11295 + G11296) - H11296)</f>
        <v>83226.2</v>
      </c>
      <c r="J11296" s="18" t="n">
        <v>0</v>
      </c>
      <c r="K11296" s="19" t="n">
        <v>0</v>
      </c>
      <c r="L11296" s="17"/>
    </row>
    <row r="11297" s="11" customFormat="true" ht="10.95" hidden="false" customHeight="true" outlineLevel="0" collapsed="false">
      <c r="A11297" s="16" t="n">
        <v>45372</v>
      </c>
      <c r="B11297" s="17" t="s">
        <v>3861</v>
      </c>
      <c r="C11297" s="17" t="s">
        <v>3752</v>
      </c>
      <c r="D11297" s="17" t="s">
        <v>2895</v>
      </c>
      <c r="E11297" s="17" t="s">
        <v>3457</v>
      </c>
      <c r="F11297" s="17" t="s">
        <v>4334</v>
      </c>
      <c r="G11297" s="18" t="n">
        <v>9999</v>
      </c>
      <c r="H11297" s="18" t="n">
        <v>0</v>
      </c>
      <c r="I11297" s="18" t="n">
        <f aca="false">((I11296 + G11297) - H11297)</f>
        <v>93225.2</v>
      </c>
      <c r="J11297" s="18" t="n">
        <v>0</v>
      </c>
      <c r="K11297" s="19" t="n">
        <v>0</v>
      </c>
      <c r="L11297" s="17"/>
    </row>
    <row r="11298" s="11" customFormat="true" ht="10.95" hidden="false" customHeight="true" outlineLevel="0" collapsed="false">
      <c r="A11298" s="16" t="n">
        <v>45372</v>
      </c>
      <c r="B11298" s="17" t="s">
        <v>3861</v>
      </c>
      <c r="C11298" s="17" t="s">
        <v>3752</v>
      </c>
      <c r="D11298" s="17" t="s">
        <v>2895</v>
      </c>
      <c r="E11298" s="17" t="s">
        <v>3457</v>
      </c>
      <c r="F11298" s="17" t="s">
        <v>4335</v>
      </c>
      <c r="G11298" s="18" t="n">
        <v>9999</v>
      </c>
      <c r="H11298" s="18" t="n">
        <v>0</v>
      </c>
      <c r="I11298" s="18" t="n">
        <f aca="false">((I11297 + G11298) - H11298)</f>
        <v>103224.2</v>
      </c>
      <c r="J11298" s="18" t="n">
        <v>0</v>
      </c>
      <c r="K11298" s="19" t="n">
        <v>0</v>
      </c>
      <c r="L11298" s="17"/>
    </row>
    <row r="11299" s="11" customFormat="true" ht="10.95" hidden="false" customHeight="true" outlineLevel="0" collapsed="false">
      <c r="A11299" s="16" t="n">
        <v>45372</v>
      </c>
      <c r="B11299" s="17" t="s">
        <v>3861</v>
      </c>
      <c r="C11299" s="17" t="s">
        <v>3752</v>
      </c>
      <c r="D11299" s="17" t="s">
        <v>1407</v>
      </c>
      <c r="E11299" s="17" t="s">
        <v>3691</v>
      </c>
      <c r="F11299" s="17"/>
      <c r="G11299" s="18" t="n">
        <v>0</v>
      </c>
      <c r="H11299" s="18" t="n">
        <v>18040</v>
      </c>
      <c r="I11299" s="18" t="n">
        <f aca="false">((I11298 + G11299) - H11299)</f>
        <v>85184.2</v>
      </c>
      <c r="J11299" s="18" t="n">
        <v>0</v>
      </c>
      <c r="K11299" s="19" t="n">
        <v>0</v>
      </c>
      <c r="L11299" s="17"/>
    </row>
    <row r="11300" s="11" customFormat="true" ht="10.95" hidden="false" customHeight="true" outlineLevel="0" collapsed="false">
      <c r="A11300" s="16" t="n">
        <v>45373</v>
      </c>
      <c r="B11300" s="17" t="s">
        <v>3861</v>
      </c>
      <c r="C11300" s="17" t="s">
        <v>3752</v>
      </c>
      <c r="D11300" s="17" t="s">
        <v>2903</v>
      </c>
      <c r="E11300" s="17" t="s">
        <v>3644</v>
      </c>
      <c r="F11300" s="17" t="s">
        <v>2514</v>
      </c>
      <c r="G11300" s="18" t="n">
        <v>0</v>
      </c>
      <c r="H11300" s="18" t="n">
        <v>9.9</v>
      </c>
      <c r="I11300" s="18" t="n">
        <f aca="false">((I11299 + G11300) - H11300)</f>
        <v>85174.3</v>
      </c>
      <c r="J11300" s="18" t="n">
        <v>0</v>
      </c>
      <c r="K11300" s="19" t="n">
        <v>0</v>
      </c>
      <c r="L11300" s="17"/>
    </row>
    <row r="11301" s="11" customFormat="true" ht="10.95" hidden="false" customHeight="true" outlineLevel="0" collapsed="false">
      <c r="A11301" s="16" t="n">
        <v>45373</v>
      </c>
      <c r="B11301" s="17" t="s">
        <v>3861</v>
      </c>
      <c r="C11301" s="17" t="s">
        <v>3752</v>
      </c>
      <c r="D11301" s="17" t="s">
        <v>2903</v>
      </c>
      <c r="E11301" s="17" t="s">
        <v>3644</v>
      </c>
      <c r="F11301" s="17" t="s">
        <v>2516</v>
      </c>
      <c r="G11301" s="18" t="n">
        <v>0</v>
      </c>
      <c r="H11301" s="18" t="n">
        <v>24.2</v>
      </c>
      <c r="I11301" s="18" t="n">
        <f aca="false">((I11300 + G11301) - H11301)</f>
        <v>85150.1</v>
      </c>
      <c r="J11301" s="18" t="n">
        <v>0</v>
      </c>
      <c r="K11301" s="19" t="n">
        <v>0</v>
      </c>
      <c r="L11301" s="17"/>
    </row>
    <row r="11302" s="11" customFormat="true" ht="10.95" hidden="false" customHeight="true" outlineLevel="0" collapsed="false">
      <c r="A11302" s="16" t="n">
        <v>45373</v>
      </c>
      <c r="B11302" s="17" t="s">
        <v>3861</v>
      </c>
      <c r="C11302" s="17" t="s">
        <v>3752</v>
      </c>
      <c r="D11302" s="17" t="s">
        <v>2903</v>
      </c>
      <c r="E11302" s="17" t="s">
        <v>3644</v>
      </c>
      <c r="F11302" s="17" t="s">
        <v>2520</v>
      </c>
      <c r="G11302" s="18" t="n">
        <v>0</v>
      </c>
      <c r="H11302" s="18" t="n">
        <v>36.19</v>
      </c>
      <c r="I11302" s="18" t="n">
        <f aca="false">((I11301 + G11302) - H11302)</f>
        <v>85113.91</v>
      </c>
      <c r="J11302" s="18" t="n">
        <v>0</v>
      </c>
      <c r="K11302" s="19" t="n">
        <v>0</v>
      </c>
      <c r="L11302" s="17"/>
    </row>
    <row r="11303" s="11" customFormat="true" ht="10.95" hidden="false" customHeight="true" outlineLevel="0" collapsed="false">
      <c r="A11303" s="16" t="n">
        <v>45373</v>
      </c>
      <c r="B11303" s="17" t="s">
        <v>3861</v>
      </c>
      <c r="C11303" s="17" t="s">
        <v>3752</v>
      </c>
      <c r="D11303" s="17" t="s">
        <v>2903</v>
      </c>
      <c r="E11303" s="17" t="s">
        <v>3644</v>
      </c>
      <c r="F11303" s="17" t="s">
        <v>2512</v>
      </c>
      <c r="G11303" s="18" t="n">
        <v>0</v>
      </c>
      <c r="H11303" s="18" t="n">
        <v>49.28</v>
      </c>
      <c r="I11303" s="18" t="n">
        <f aca="false">((I11302 + G11303) - H11303)</f>
        <v>85064.63</v>
      </c>
      <c r="J11303" s="18" t="n">
        <v>0</v>
      </c>
      <c r="K11303" s="19" t="n">
        <v>0</v>
      </c>
      <c r="L11303" s="17"/>
    </row>
    <row r="11304" s="11" customFormat="true" ht="10.95" hidden="false" customHeight="true" outlineLevel="0" collapsed="false">
      <c r="A11304" s="16" t="n">
        <v>45373</v>
      </c>
      <c r="B11304" s="17" t="s">
        <v>3861</v>
      </c>
      <c r="C11304" s="17" t="s">
        <v>3752</v>
      </c>
      <c r="D11304" s="17" t="s">
        <v>2903</v>
      </c>
      <c r="E11304" s="17" t="s">
        <v>3644</v>
      </c>
      <c r="F11304" s="17" t="s">
        <v>2518</v>
      </c>
      <c r="G11304" s="18" t="n">
        <v>0</v>
      </c>
      <c r="H11304" s="18" t="n">
        <v>60.5</v>
      </c>
      <c r="I11304" s="18" t="n">
        <f aca="false">((I11303 + G11304) - H11304)</f>
        <v>85004.13</v>
      </c>
      <c r="J11304" s="18" t="n">
        <v>0</v>
      </c>
      <c r="K11304" s="19" t="n">
        <v>0</v>
      </c>
      <c r="L11304" s="17"/>
    </row>
    <row r="11305" s="11" customFormat="true" ht="10.95" hidden="false" customHeight="true" outlineLevel="0" collapsed="false">
      <c r="A11305" s="16" t="n">
        <v>45373</v>
      </c>
      <c r="B11305" s="17" t="s">
        <v>3861</v>
      </c>
      <c r="C11305" s="17" t="s">
        <v>3752</v>
      </c>
      <c r="D11305" s="17" t="s">
        <v>2903</v>
      </c>
      <c r="E11305" s="17" t="s">
        <v>3644</v>
      </c>
      <c r="F11305" s="17" t="s">
        <v>2510</v>
      </c>
      <c r="G11305" s="18" t="n">
        <v>0</v>
      </c>
      <c r="H11305" s="18" t="n">
        <v>68.2</v>
      </c>
      <c r="I11305" s="18" t="n">
        <f aca="false">((I11304 + G11305) - H11305)</f>
        <v>84935.93</v>
      </c>
      <c r="J11305" s="18" t="n">
        <v>0</v>
      </c>
      <c r="K11305" s="19" t="n">
        <v>0</v>
      </c>
      <c r="L11305" s="17"/>
    </row>
    <row r="11306" s="11" customFormat="true" ht="10.95" hidden="false" customHeight="true" outlineLevel="0" collapsed="false">
      <c r="A11306" s="16" t="n">
        <v>45373</v>
      </c>
      <c r="B11306" s="17" t="s">
        <v>3861</v>
      </c>
      <c r="C11306" s="17" t="s">
        <v>3752</v>
      </c>
      <c r="D11306" s="17" t="s">
        <v>2903</v>
      </c>
      <c r="E11306" s="17" t="s">
        <v>3098</v>
      </c>
      <c r="F11306" s="17" t="s">
        <v>2524</v>
      </c>
      <c r="G11306" s="18" t="n">
        <v>0</v>
      </c>
      <c r="H11306" s="18" t="n">
        <v>69.21</v>
      </c>
      <c r="I11306" s="18" t="n">
        <f aca="false">((I11305 + G11306) - H11306)</f>
        <v>84866.72</v>
      </c>
      <c r="J11306" s="18" t="n">
        <v>0</v>
      </c>
      <c r="K11306" s="19" t="n">
        <v>0</v>
      </c>
      <c r="L11306" s="17"/>
    </row>
    <row r="11307" s="11" customFormat="true" ht="10.95" hidden="false" customHeight="true" outlineLevel="0" collapsed="false">
      <c r="A11307" s="16" t="n">
        <v>45373</v>
      </c>
      <c r="B11307" s="17" t="s">
        <v>3861</v>
      </c>
      <c r="C11307" s="17" t="s">
        <v>3752</v>
      </c>
      <c r="D11307" s="17" t="s">
        <v>2903</v>
      </c>
      <c r="E11307" s="17" t="s">
        <v>3644</v>
      </c>
      <c r="F11307" s="17" t="s">
        <v>2522</v>
      </c>
      <c r="G11307" s="18" t="n">
        <v>0</v>
      </c>
      <c r="H11307" s="18" t="n">
        <v>83.6</v>
      </c>
      <c r="I11307" s="18" t="n">
        <f aca="false">((I11306 + G11307) - H11307)</f>
        <v>84783.12</v>
      </c>
      <c r="J11307" s="18" t="n">
        <v>0</v>
      </c>
      <c r="K11307" s="19" t="n">
        <v>0</v>
      </c>
      <c r="L11307" s="17"/>
    </row>
    <row r="11308" s="11" customFormat="true" ht="10.95" hidden="false" customHeight="true" outlineLevel="0" collapsed="false">
      <c r="A11308" s="16" t="n">
        <v>45373</v>
      </c>
      <c r="B11308" s="17" t="s">
        <v>3861</v>
      </c>
      <c r="C11308" s="17" t="s">
        <v>3752</v>
      </c>
      <c r="D11308" s="17" t="s">
        <v>2903</v>
      </c>
      <c r="E11308" s="17" t="s">
        <v>3644</v>
      </c>
      <c r="F11308" s="17" t="s">
        <v>2508</v>
      </c>
      <c r="G11308" s="18" t="n">
        <v>0</v>
      </c>
      <c r="H11308" s="18" t="n">
        <v>219.78</v>
      </c>
      <c r="I11308" s="18" t="n">
        <f aca="false">((I11307 + G11308) - H11308)</f>
        <v>84563.34</v>
      </c>
      <c r="J11308" s="18" t="n">
        <v>0</v>
      </c>
      <c r="K11308" s="19" t="n">
        <v>0</v>
      </c>
      <c r="L11308" s="17"/>
    </row>
    <row r="11309" s="11" customFormat="true" ht="10.95" hidden="false" customHeight="true" outlineLevel="0" collapsed="false">
      <c r="A11309" s="16" t="n">
        <v>45373</v>
      </c>
      <c r="B11309" s="17" t="s">
        <v>3861</v>
      </c>
      <c r="C11309" s="17" t="s">
        <v>3752</v>
      </c>
      <c r="D11309" s="17" t="s">
        <v>1407</v>
      </c>
      <c r="E11309" s="17" t="s">
        <v>3863</v>
      </c>
      <c r="F11309" s="17"/>
      <c r="G11309" s="18" t="n">
        <v>0</v>
      </c>
      <c r="H11309" s="18" t="n">
        <v>2.08</v>
      </c>
      <c r="I11309" s="18" t="n">
        <f aca="false">((I11308 + G11309) - H11309)</f>
        <v>84561.26</v>
      </c>
      <c r="J11309" s="18" t="n">
        <v>0</v>
      </c>
      <c r="K11309" s="19" t="n">
        <v>0</v>
      </c>
      <c r="L11309" s="17"/>
    </row>
    <row r="11310" s="11" customFormat="true" ht="10.95" hidden="false" customHeight="true" outlineLevel="0" collapsed="false">
      <c r="A11310" s="16" t="n">
        <v>45374</v>
      </c>
      <c r="B11310" s="17" t="s">
        <v>3861</v>
      </c>
      <c r="C11310" s="17" t="s">
        <v>3752</v>
      </c>
      <c r="D11310" s="17" t="s">
        <v>1407</v>
      </c>
      <c r="E11310" s="17" t="s">
        <v>3907</v>
      </c>
      <c r="F11310" s="17"/>
      <c r="G11310" s="18" t="n">
        <v>0</v>
      </c>
      <c r="H11310" s="18" t="n">
        <v>19.49</v>
      </c>
      <c r="I11310" s="18" t="n">
        <f aca="false">((I11309 + G11310) - H11310)</f>
        <v>84541.77</v>
      </c>
      <c r="J11310" s="18" t="n">
        <v>0</v>
      </c>
      <c r="K11310" s="19" t="n">
        <v>0</v>
      </c>
      <c r="L11310" s="17"/>
    </row>
    <row r="11311" s="11" customFormat="true" ht="10.95" hidden="false" customHeight="true" outlineLevel="0" collapsed="false">
      <c r="A11311" s="16" t="n">
        <v>45374</v>
      </c>
      <c r="B11311" s="17" t="s">
        <v>3861</v>
      </c>
      <c r="C11311" s="17" t="s">
        <v>3752</v>
      </c>
      <c r="D11311" s="17" t="s">
        <v>2903</v>
      </c>
      <c r="E11311" s="17" t="s">
        <v>3671</v>
      </c>
      <c r="F11311" s="17" t="s">
        <v>2526</v>
      </c>
      <c r="G11311" s="18" t="n">
        <v>0</v>
      </c>
      <c r="H11311" s="18" t="n">
        <v>97</v>
      </c>
      <c r="I11311" s="18" t="n">
        <f aca="false">((I11310 + G11311) - H11311)</f>
        <v>84444.77</v>
      </c>
      <c r="J11311" s="18" t="n">
        <v>0</v>
      </c>
      <c r="K11311" s="19" t="n">
        <v>0</v>
      </c>
      <c r="L11311" s="17"/>
    </row>
    <row r="11312" s="11" customFormat="true" ht="10.95" hidden="false" customHeight="true" outlineLevel="0" collapsed="false">
      <c r="A11312" s="16" t="n">
        <v>45375</v>
      </c>
      <c r="B11312" s="17" t="s">
        <v>3861</v>
      </c>
      <c r="C11312" s="17" t="s">
        <v>3752</v>
      </c>
      <c r="D11312" s="17" t="s">
        <v>2903</v>
      </c>
      <c r="E11312" s="17" t="s">
        <v>3718</v>
      </c>
      <c r="F11312" s="17" t="s">
        <v>1762</v>
      </c>
      <c r="G11312" s="18" t="n">
        <v>0</v>
      </c>
      <c r="H11312" s="18" t="n">
        <v>310</v>
      </c>
      <c r="I11312" s="18" t="n">
        <f aca="false">((I11311 + G11312) - H11312)</f>
        <v>84134.77</v>
      </c>
      <c r="J11312" s="18" t="n">
        <v>0</v>
      </c>
      <c r="K11312" s="19" t="n">
        <v>0</v>
      </c>
      <c r="L11312" s="17"/>
    </row>
    <row r="11313" s="11" customFormat="true" ht="10.95" hidden="false" customHeight="true" outlineLevel="0" collapsed="false">
      <c r="A11313" s="16" t="n">
        <v>45375</v>
      </c>
      <c r="B11313" s="17" t="s">
        <v>3861</v>
      </c>
      <c r="C11313" s="17" t="s">
        <v>3752</v>
      </c>
      <c r="D11313" s="17" t="s">
        <v>1407</v>
      </c>
      <c r="E11313" s="17" t="s">
        <v>3812</v>
      </c>
      <c r="F11313" s="17"/>
      <c r="G11313" s="18" t="n">
        <v>0</v>
      </c>
      <c r="H11313" s="18" t="n">
        <v>6922.17</v>
      </c>
      <c r="I11313" s="18" t="n">
        <f aca="false">((I11312 + G11313) - H11313)</f>
        <v>77212.6</v>
      </c>
      <c r="J11313" s="18" t="n">
        <v>0</v>
      </c>
      <c r="K11313" s="19" t="n">
        <v>0</v>
      </c>
      <c r="L11313" s="17"/>
    </row>
    <row r="11314" s="11" customFormat="true" ht="10.95" hidden="false" customHeight="true" outlineLevel="0" collapsed="false">
      <c r="A11314" s="16" t="n">
        <v>45376</v>
      </c>
      <c r="B11314" s="17" t="s">
        <v>3861</v>
      </c>
      <c r="C11314" s="17" t="s">
        <v>3752</v>
      </c>
      <c r="D11314" s="17" t="s">
        <v>1407</v>
      </c>
      <c r="E11314" s="17" t="s">
        <v>1583</v>
      </c>
      <c r="F11314" s="17"/>
      <c r="G11314" s="18" t="n">
        <v>0</v>
      </c>
      <c r="H11314" s="18" t="n">
        <v>49</v>
      </c>
      <c r="I11314" s="18" t="n">
        <f aca="false">((I11313 + G11314) - H11314)</f>
        <v>77163.6</v>
      </c>
      <c r="J11314" s="18" t="n">
        <v>0</v>
      </c>
      <c r="K11314" s="19" t="n">
        <v>0</v>
      </c>
      <c r="L11314" s="17"/>
    </row>
    <row r="11315" s="11" customFormat="true" ht="10.95" hidden="false" customHeight="true" outlineLevel="0" collapsed="false">
      <c r="A11315" s="16" t="n">
        <v>45376</v>
      </c>
      <c r="B11315" s="17" t="s">
        <v>3861</v>
      </c>
      <c r="C11315" s="17" t="s">
        <v>3752</v>
      </c>
      <c r="D11315" s="17" t="s">
        <v>2903</v>
      </c>
      <c r="E11315" s="17" t="s">
        <v>3035</v>
      </c>
      <c r="F11315" s="17" t="s">
        <v>3099</v>
      </c>
      <c r="G11315" s="18" t="n">
        <v>0</v>
      </c>
      <c r="H11315" s="18" t="n">
        <v>1973.02</v>
      </c>
      <c r="I11315" s="18" t="n">
        <f aca="false">((I11314 + G11315) - H11315)</f>
        <v>75190.58</v>
      </c>
      <c r="J11315" s="18" t="n">
        <v>0</v>
      </c>
      <c r="K11315" s="19" t="n">
        <v>0</v>
      </c>
      <c r="L11315" s="17"/>
    </row>
    <row r="11316" s="11" customFormat="true" ht="10.95" hidden="false" customHeight="true" outlineLevel="0" collapsed="false">
      <c r="A11316" s="16" t="n">
        <v>45377</v>
      </c>
      <c r="B11316" s="17" t="s">
        <v>3861</v>
      </c>
      <c r="C11316" s="17" t="s">
        <v>3752</v>
      </c>
      <c r="D11316" s="17" t="s">
        <v>2895</v>
      </c>
      <c r="E11316" s="17" t="s">
        <v>3389</v>
      </c>
      <c r="F11316" s="17" t="s">
        <v>4336</v>
      </c>
      <c r="G11316" s="18" t="n">
        <v>4994</v>
      </c>
      <c r="H11316" s="18" t="n">
        <v>0</v>
      </c>
      <c r="I11316" s="18" t="n">
        <f aca="false">((I11315 + G11316) - H11316)</f>
        <v>80184.58</v>
      </c>
      <c r="J11316" s="18" t="n">
        <v>0</v>
      </c>
      <c r="K11316" s="19" t="n">
        <v>0</v>
      </c>
      <c r="L11316" s="17"/>
    </row>
    <row r="11317" s="11" customFormat="true" ht="10.95" hidden="false" customHeight="true" outlineLevel="0" collapsed="false">
      <c r="A11317" s="16" t="n">
        <v>45377</v>
      </c>
      <c r="B11317" s="17" t="s">
        <v>3861</v>
      </c>
      <c r="C11317" s="17" t="s">
        <v>3752</v>
      </c>
      <c r="D11317" s="17" t="s">
        <v>2895</v>
      </c>
      <c r="E11317" s="17" t="s">
        <v>3410</v>
      </c>
      <c r="F11317" s="17" t="s">
        <v>4337</v>
      </c>
      <c r="G11317" s="18" t="n">
        <v>968</v>
      </c>
      <c r="H11317" s="18" t="n">
        <v>0</v>
      </c>
      <c r="I11317" s="18" t="n">
        <f aca="false">((I11316 + G11317) - H11317)</f>
        <v>81152.58</v>
      </c>
      <c r="J11317" s="18" t="n">
        <v>0</v>
      </c>
      <c r="K11317" s="19" t="n">
        <v>0</v>
      </c>
      <c r="L11317" s="17"/>
    </row>
    <row r="11318" s="11" customFormat="true" ht="10.95" hidden="false" customHeight="true" outlineLevel="0" collapsed="false">
      <c r="A11318" s="16" t="n">
        <v>45377</v>
      </c>
      <c r="B11318" s="17" t="s">
        <v>3861</v>
      </c>
      <c r="C11318" s="17" t="s">
        <v>3752</v>
      </c>
      <c r="D11318" s="17" t="s">
        <v>1407</v>
      </c>
      <c r="E11318" s="17" t="s">
        <v>3770</v>
      </c>
      <c r="F11318" s="17"/>
      <c r="G11318" s="18" t="n">
        <v>0</v>
      </c>
      <c r="H11318" s="18" t="n">
        <v>22.99</v>
      </c>
      <c r="I11318" s="18" t="n">
        <f aca="false">((I11317 + G11318) - H11318)</f>
        <v>81129.59</v>
      </c>
      <c r="J11318" s="18" t="n">
        <v>0</v>
      </c>
      <c r="K11318" s="19" t="n">
        <v>0</v>
      </c>
      <c r="L11318" s="17"/>
    </row>
    <row r="11319" s="11" customFormat="true" ht="10.95" hidden="false" customHeight="true" outlineLevel="0" collapsed="false">
      <c r="A11319" s="16" t="n">
        <v>45377</v>
      </c>
      <c r="B11319" s="17" t="s">
        <v>3861</v>
      </c>
      <c r="C11319" s="17" t="s">
        <v>3752</v>
      </c>
      <c r="D11319" s="17" t="s">
        <v>2903</v>
      </c>
      <c r="E11319" s="17" t="s">
        <v>3637</v>
      </c>
      <c r="F11319" s="17" t="s">
        <v>2702</v>
      </c>
      <c r="G11319" s="18" t="n">
        <v>0</v>
      </c>
      <c r="H11319" s="18" t="n">
        <v>104.95</v>
      </c>
      <c r="I11319" s="18" t="n">
        <f aca="false">((I11318 + G11319) - H11319)</f>
        <v>81024.64</v>
      </c>
      <c r="J11319" s="18" t="n">
        <v>0</v>
      </c>
      <c r="K11319" s="19" t="n">
        <v>0</v>
      </c>
      <c r="L11319" s="17"/>
    </row>
    <row r="11320" s="11" customFormat="true" ht="10.95" hidden="false" customHeight="true" outlineLevel="0" collapsed="false">
      <c r="A11320" s="16" t="n">
        <v>45377</v>
      </c>
      <c r="B11320" s="17" t="s">
        <v>3861</v>
      </c>
      <c r="C11320" s="17" t="s">
        <v>3752</v>
      </c>
      <c r="D11320" s="17" t="s">
        <v>1407</v>
      </c>
      <c r="E11320" s="17" t="s">
        <v>3878</v>
      </c>
      <c r="F11320" s="17"/>
      <c r="G11320" s="18" t="n">
        <v>0</v>
      </c>
      <c r="H11320" s="18" t="n">
        <v>1417</v>
      </c>
      <c r="I11320" s="18" t="n">
        <f aca="false">((I11319 + G11320) - H11320)</f>
        <v>79607.64</v>
      </c>
      <c r="J11320" s="18" t="n">
        <v>0</v>
      </c>
      <c r="K11320" s="19" t="n">
        <v>0</v>
      </c>
      <c r="L11320" s="17"/>
    </row>
    <row r="11321" s="11" customFormat="true" ht="10.95" hidden="false" customHeight="true" outlineLevel="0" collapsed="false">
      <c r="A11321" s="16" t="n">
        <v>45377</v>
      </c>
      <c r="B11321" s="17" t="s">
        <v>3861</v>
      </c>
      <c r="C11321" s="17" t="s">
        <v>3752</v>
      </c>
      <c r="D11321" s="17" t="s">
        <v>2903</v>
      </c>
      <c r="E11321" s="17" t="s">
        <v>3719</v>
      </c>
      <c r="F11321" s="17" t="s">
        <v>3601</v>
      </c>
      <c r="G11321" s="18" t="n">
        <v>0</v>
      </c>
      <c r="H11321" s="18" t="n">
        <v>1464.15</v>
      </c>
      <c r="I11321" s="18" t="n">
        <f aca="false">((I11320 + G11321) - H11321)</f>
        <v>78143.49</v>
      </c>
      <c r="J11321" s="18" t="n">
        <v>0</v>
      </c>
      <c r="K11321" s="19" t="n">
        <v>0</v>
      </c>
      <c r="L11321" s="17"/>
    </row>
    <row r="11322" s="11" customFormat="true" ht="10.95" hidden="false" customHeight="true" outlineLevel="0" collapsed="false">
      <c r="A11322" s="16" t="n">
        <v>45377</v>
      </c>
      <c r="B11322" s="17" t="s">
        <v>3861</v>
      </c>
      <c r="C11322" s="17" t="s">
        <v>3752</v>
      </c>
      <c r="D11322" s="17" t="s">
        <v>2895</v>
      </c>
      <c r="E11322" s="17" t="s">
        <v>3403</v>
      </c>
      <c r="F11322" s="17" t="s">
        <v>4338</v>
      </c>
      <c r="G11322" s="18" t="n">
        <v>620.4</v>
      </c>
      <c r="H11322" s="18" t="n">
        <v>0</v>
      </c>
      <c r="I11322" s="18" t="n">
        <f aca="false">((I11321 + G11322) - H11322)</f>
        <v>78763.89</v>
      </c>
      <c r="J11322" s="18" t="n">
        <v>0</v>
      </c>
      <c r="K11322" s="19" t="n">
        <v>0</v>
      </c>
      <c r="L11322" s="17"/>
    </row>
    <row r="11323" s="11" customFormat="true" ht="10.95" hidden="false" customHeight="true" outlineLevel="0" collapsed="false">
      <c r="A11323" s="16" t="n">
        <v>45377</v>
      </c>
      <c r="B11323" s="17" t="s">
        <v>3861</v>
      </c>
      <c r="C11323" s="17" t="s">
        <v>3752</v>
      </c>
      <c r="D11323" s="17" t="s">
        <v>2895</v>
      </c>
      <c r="E11323" s="17" t="s">
        <v>3403</v>
      </c>
      <c r="F11323" s="17" t="s">
        <v>4339</v>
      </c>
      <c r="G11323" s="18" t="n">
        <v>310.2</v>
      </c>
      <c r="H11323" s="18" t="n">
        <v>0</v>
      </c>
      <c r="I11323" s="18" t="n">
        <f aca="false">((I11322 + G11323) - H11323)</f>
        <v>79074.09</v>
      </c>
      <c r="J11323" s="18" t="n">
        <v>0</v>
      </c>
      <c r="K11323" s="19" t="n">
        <v>0</v>
      </c>
      <c r="L11323" s="17"/>
    </row>
    <row r="11324" s="11" customFormat="true" ht="10.95" hidden="false" customHeight="true" outlineLevel="0" collapsed="false">
      <c r="A11324" s="16" t="n">
        <v>45377</v>
      </c>
      <c r="B11324" s="17" t="s">
        <v>3861</v>
      </c>
      <c r="C11324" s="17" t="s">
        <v>3752</v>
      </c>
      <c r="D11324" s="17" t="s">
        <v>2895</v>
      </c>
      <c r="E11324" s="17" t="s">
        <v>3403</v>
      </c>
      <c r="F11324" s="17" t="s">
        <v>4340</v>
      </c>
      <c r="G11324" s="18" t="n">
        <v>103.4</v>
      </c>
      <c r="H11324" s="18" t="n">
        <v>0</v>
      </c>
      <c r="I11324" s="18" t="n">
        <f aca="false">((I11323 + G11324) - H11324)</f>
        <v>79177.49</v>
      </c>
      <c r="J11324" s="18" t="n">
        <v>0</v>
      </c>
      <c r="K11324" s="19" t="n">
        <v>0</v>
      </c>
      <c r="L11324" s="17"/>
    </row>
    <row r="11325" s="11" customFormat="true" ht="10.95" hidden="false" customHeight="true" outlineLevel="0" collapsed="false">
      <c r="A11325" s="16" t="n">
        <v>45378</v>
      </c>
      <c r="B11325" s="17" t="s">
        <v>3861</v>
      </c>
      <c r="C11325" s="17" t="s">
        <v>3752</v>
      </c>
      <c r="D11325" s="17" t="s">
        <v>2895</v>
      </c>
      <c r="E11325" s="17" t="s">
        <v>3401</v>
      </c>
      <c r="F11325" s="17" t="s">
        <v>4341</v>
      </c>
      <c r="G11325" s="18" t="n">
        <v>654.5</v>
      </c>
      <c r="H11325" s="18" t="n">
        <v>0</v>
      </c>
      <c r="I11325" s="18" t="n">
        <f aca="false">((I11324 + G11325) - H11325)</f>
        <v>79831.99</v>
      </c>
      <c r="J11325" s="18" t="n">
        <v>0</v>
      </c>
      <c r="K11325" s="19" t="n">
        <v>0</v>
      </c>
      <c r="L11325" s="17"/>
    </row>
    <row r="11326" s="11" customFormat="true" ht="10.95" hidden="false" customHeight="true" outlineLevel="0" collapsed="false">
      <c r="A11326" s="16" t="n">
        <v>45378</v>
      </c>
      <c r="B11326" s="17" t="s">
        <v>3861</v>
      </c>
      <c r="C11326" s="17" t="s">
        <v>3752</v>
      </c>
      <c r="D11326" s="17" t="s">
        <v>1407</v>
      </c>
      <c r="E11326" s="17" t="s">
        <v>3881</v>
      </c>
      <c r="F11326" s="17"/>
      <c r="G11326" s="18" t="n">
        <v>0</v>
      </c>
      <c r="H11326" s="18" t="n">
        <v>140</v>
      </c>
      <c r="I11326" s="18" t="n">
        <f aca="false">((I11325 + G11326) - H11326)</f>
        <v>79691.99</v>
      </c>
      <c r="J11326" s="18" t="n">
        <v>0</v>
      </c>
      <c r="K11326" s="19" t="n">
        <v>0</v>
      </c>
      <c r="L11326" s="17"/>
    </row>
    <row r="11327" s="11" customFormat="true" ht="10.95" hidden="false" customHeight="true" outlineLevel="0" collapsed="false">
      <c r="A11327" s="16" t="n">
        <v>45378</v>
      </c>
      <c r="B11327" s="17" t="s">
        <v>3861</v>
      </c>
      <c r="C11327" s="17" t="s">
        <v>3752</v>
      </c>
      <c r="D11327" s="17" t="s">
        <v>1407</v>
      </c>
      <c r="E11327" s="17" t="s">
        <v>3879</v>
      </c>
      <c r="F11327" s="17"/>
      <c r="G11327" s="18" t="n">
        <v>0</v>
      </c>
      <c r="H11327" s="18" t="n">
        <v>1207</v>
      </c>
      <c r="I11327" s="18" t="n">
        <f aca="false">((I11326 + G11327) - H11327)</f>
        <v>78484.99</v>
      </c>
      <c r="J11327" s="18" t="n">
        <v>0</v>
      </c>
      <c r="K11327" s="19" t="n">
        <v>0</v>
      </c>
      <c r="L11327" s="17"/>
    </row>
    <row r="11328" s="11" customFormat="true" ht="10.95" hidden="false" customHeight="true" outlineLevel="0" collapsed="false">
      <c r="A11328" s="16" t="n">
        <v>45378</v>
      </c>
      <c r="B11328" s="17" t="s">
        <v>3861</v>
      </c>
      <c r="C11328" s="17" t="s">
        <v>3752</v>
      </c>
      <c r="D11328" s="17" t="s">
        <v>1407</v>
      </c>
      <c r="E11328" s="17" t="s">
        <v>3880</v>
      </c>
      <c r="F11328" s="17"/>
      <c r="G11328" s="18" t="n">
        <v>0</v>
      </c>
      <c r="H11328" s="18" t="n">
        <v>1207</v>
      </c>
      <c r="I11328" s="18" t="n">
        <f aca="false">((I11327 + G11328) - H11328)</f>
        <v>77277.99</v>
      </c>
      <c r="J11328" s="18" t="n">
        <v>0</v>
      </c>
      <c r="K11328" s="19" t="n">
        <v>0</v>
      </c>
      <c r="L11328" s="17"/>
    </row>
    <row r="11329" s="11" customFormat="true" ht="10.95" hidden="false" customHeight="true" outlineLevel="0" collapsed="false">
      <c r="A11329" s="16" t="n">
        <v>45378</v>
      </c>
      <c r="B11329" s="17" t="s">
        <v>3861</v>
      </c>
      <c r="C11329" s="17" t="s">
        <v>3752</v>
      </c>
      <c r="D11329" s="17" t="s">
        <v>1407</v>
      </c>
      <c r="E11329" s="17" t="s">
        <v>3808</v>
      </c>
      <c r="F11329" s="17"/>
      <c r="G11329" s="18" t="n">
        <v>0</v>
      </c>
      <c r="H11329" s="18" t="n">
        <v>1705.92</v>
      </c>
      <c r="I11329" s="18" t="n">
        <f aca="false">((I11328 + G11329) - H11329)</f>
        <v>75572.07</v>
      </c>
      <c r="J11329" s="18" t="n">
        <v>0</v>
      </c>
      <c r="K11329" s="19" t="n">
        <v>0</v>
      </c>
      <c r="L11329" s="17"/>
    </row>
    <row r="11330" s="11" customFormat="true" ht="10.95" hidden="false" customHeight="true" outlineLevel="0" collapsed="false">
      <c r="A11330" s="16" t="n">
        <v>45378</v>
      </c>
      <c r="B11330" s="17" t="s">
        <v>3861</v>
      </c>
      <c r="C11330" s="17" t="s">
        <v>3752</v>
      </c>
      <c r="D11330" s="17" t="s">
        <v>1407</v>
      </c>
      <c r="E11330" s="17" t="s">
        <v>2747</v>
      </c>
      <c r="F11330" s="17"/>
      <c r="G11330" s="18" t="n">
        <v>0</v>
      </c>
      <c r="H11330" s="18" t="n">
        <v>39</v>
      </c>
      <c r="I11330" s="18" t="n">
        <f aca="false">((I11329 + G11330) - H11330)</f>
        <v>75533.07</v>
      </c>
      <c r="J11330" s="18" t="n">
        <v>0</v>
      </c>
      <c r="K11330" s="19" t="n">
        <v>0</v>
      </c>
      <c r="L11330" s="17"/>
    </row>
    <row r="11331" s="11" customFormat="true" ht="10.95" hidden="false" customHeight="true" outlineLevel="0" collapsed="false">
      <c r="A11331" s="16" t="n">
        <v>45378</v>
      </c>
      <c r="B11331" s="17" t="s">
        <v>3861</v>
      </c>
      <c r="C11331" s="17" t="s">
        <v>3752</v>
      </c>
      <c r="D11331" s="17" t="s">
        <v>2903</v>
      </c>
      <c r="E11331" s="17" t="s">
        <v>3719</v>
      </c>
      <c r="F11331" s="17" t="s">
        <v>3603</v>
      </c>
      <c r="G11331" s="18" t="n">
        <v>0</v>
      </c>
      <c r="H11331" s="18" t="n">
        <v>107.99</v>
      </c>
      <c r="I11331" s="18" t="n">
        <f aca="false">((I11330 + G11331) - H11331)</f>
        <v>75425.08</v>
      </c>
      <c r="J11331" s="18" t="n">
        <v>0</v>
      </c>
      <c r="K11331" s="19" t="n">
        <v>0</v>
      </c>
      <c r="L11331" s="17"/>
    </row>
    <row r="11332" s="11" customFormat="true" ht="10.95" hidden="false" customHeight="true" outlineLevel="0" collapsed="false">
      <c r="A11332" s="16" t="n">
        <v>45378</v>
      </c>
      <c r="B11332" s="17" t="s">
        <v>3861</v>
      </c>
      <c r="C11332" s="17" t="s">
        <v>3752</v>
      </c>
      <c r="D11332" s="17" t="s">
        <v>2903</v>
      </c>
      <c r="E11332" s="17" t="s">
        <v>3721</v>
      </c>
      <c r="F11332" s="17" t="s">
        <v>2706</v>
      </c>
      <c r="G11332" s="18" t="n">
        <v>0</v>
      </c>
      <c r="H11332" s="18" t="n">
        <v>2206.85</v>
      </c>
      <c r="I11332" s="18" t="n">
        <f aca="false">((I11331 + G11332) - H11332)</f>
        <v>73218.23</v>
      </c>
      <c r="J11332" s="18" t="n">
        <v>0</v>
      </c>
      <c r="K11332" s="19" t="n">
        <v>0</v>
      </c>
      <c r="L11332" s="17"/>
    </row>
    <row r="11333" s="11" customFormat="true" ht="10.95" hidden="false" customHeight="true" outlineLevel="0" collapsed="false">
      <c r="A11333" s="16" t="n">
        <v>45378</v>
      </c>
      <c r="B11333" s="17" t="s">
        <v>3861</v>
      </c>
      <c r="C11333" s="17" t="s">
        <v>3752</v>
      </c>
      <c r="D11333" s="17" t="s">
        <v>1407</v>
      </c>
      <c r="E11333" s="17" t="s">
        <v>4342</v>
      </c>
      <c r="F11333" s="17"/>
      <c r="G11333" s="18" t="n">
        <v>0</v>
      </c>
      <c r="H11333" s="18" t="n">
        <v>115.24</v>
      </c>
      <c r="I11333" s="18" t="n">
        <f aca="false">((I11332 + G11333) - H11333)</f>
        <v>73102.99</v>
      </c>
      <c r="J11333" s="18" t="n">
        <v>0</v>
      </c>
      <c r="K11333" s="19" t="n">
        <v>0</v>
      </c>
      <c r="L11333" s="17"/>
    </row>
    <row r="11334" s="11" customFormat="true" ht="10.95" hidden="false" customHeight="true" outlineLevel="0" collapsed="false">
      <c r="A11334" s="16" t="n">
        <v>45378</v>
      </c>
      <c r="B11334" s="17" t="s">
        <v>3861</v>
      </c>
      <c r="C11334" s="17" t="s">
        <v>3752</v>
      </c>
      <c r="D11334" s="17" t="s">
        <v>1407</v>
      </c>
      <c r="E11334" s="17" t="s">
        <v>4343</v>
      </c>
      <c r="F11334" s="17"/>
      <c r="G11334" s="18" t="n">
        <v>0</v>
      </c>
      <c r="H11334" s="18" t="n">
        <v>281</v>
      </c>
      <c r="I11334" s="18" t="n">
        <f aca="false">((I11333 + G11334) - H11334)</f>
        <v>72821.99</v>
      </c>
      <c r="J11334" s="18" t="n">
        <v>0</v>
      </c>
      <c r="K11334" s="19" t="n">
        <v>0</v>
      </c>
      <c r="L11334" s="17"/>
    </row>
    <row r="11335" s="11" customFormat="true" ht="10.95" hidden="false" customHeight="true" outlineLevel="0" collapsed="false">
      <c r="A11335" s="16" t="n">
        <v>45379</v>
      </c>
      <c r="B11335" s="17" t="s">
        <v>3861</v>
      </c>
      <c r="C11335" s="17" t="s">
        <v>3752</v>
      </c>
      <c r="D11335" s="17" t="s">
        <v>2895</v>
      </c>
      <c r="E11335" s="17" t="s">
        <v>3456</v>
      </c>
      <c r="F11335" s="17" t="s">
        <v>4344</v>
      </c>
      <c r="G11335" s="18" t="n">
        <v>2244</v>
      </c>
      <c r="H11335" s="18" t="n">
        <v>0</v>
      </c>
      <c r="I11335" s="18" t="n">
        <f aca="false">((I11334 + G11335) - H11335)</f>
        <v>75065.99</v>
      </c>
      <c r="J11335" s="18" t="n">
        <v>0</v>
      </c>
      <c r="K11335" s="19" t="n">
        <v>0</v>
      </c>
      <c r="L11335" s="17"/>
    </row>
    <row r="11336" s="11" customFormat="true" ht="10.95" hidden="false" customHeight="true" outlineLevel="0" collapsed="false">
      <c r="A11336" s="16" t="n">
        <v>45379</v>
      </c>
      <c r="B11336" s="17" t="s">
        <v>3861</v>
      </c>
      <c r="C11336" s="17" t="s">
        <v>3752</v>
      </c>
      <c r="D11336" s="17" t="s">
        <v>2895</v>
      </c>
      <c r="E11336" s="17" t="s">
        <v>3465</v>
      </c>
      <c r="F11336" s="17" t="s">
        <v>4345</v>
      </c>
      <c r="G11336" s="18" t="n">
        <v>1094.5</v>
      </c>
      <c r="H11336" s="18" t="n">
        <v>0</v>
      </c>
      <c r="I11336" s="18" t="n">
        <f aca="false">((I11335 + G11336) - H11336)</f>
        <v>76160.49</v>
      </c>
      <c r="J11336" s="18" t="n">
        <v>0</v>
      </c>
      <c r="K11336" s="19" t="n">
        <v>0</v>
      </c>
      <c r="L11336" s="17"/>
    </row>
    <row r="11337" s="11" customFormat="true" ht="10.95" hidden="false" customHeight="true" outlineLevel="0" collapsed="false">
      <c r="A11337" s="16" t="n">
        <v>45379</v>
      </c>
      <c r="B11337" s="17" t="s">
        <v>3861</v>
      </c>
      <c r="C11337" s="17" t="s">
        <v>3752</v>
      </c>
      <c r="D11337" s="17" t="s">
        <v>2895</v>
      </c>
      <c r="E11337" s="17" t="s">
        <v>3497</v>
      </c>
      <c r="F11337" s="17" t="s">
        <v>4346</v>
      </c>
      <c r="G11337" s="18" t="n">
        <v>913</v>
      </c>
      <c r="H11337" s="18" t="n">
        <v>0</v>
      </c>
      <c r="I11337" s="18" t="n">
        <f aca="false">((I11336 + G11337) - H11337)</f>
        <v>77073.49</v>
      </c>
      <c r="J11337" s="18" t="n">
        <v>0</v>
      </c>
      <c r="K11337" s="19" t="n">
        <v>0</v>
      </c>
      <c r="L11337" s="17"/>
    </row>
    <row r="11338" s="11" customFormat="true" ht="10.95" hidden="false" customHeight="true" outlineLevel="0" collapsed="false">
      <c r="A11338" s="16" t="n">
        <v>45379</v>
      </c>
      <c r="B11338" s="17" t="s">
        <v>3861</v>
      </c>
      <c r="C11338" s="17" t="s">
        <v>3752</v>
      </c>
      <c r="D11338" s="17" t="s">
        <v>2895</v>
      </c>
      <c r="E11338" s="17" t="s">
        <v>3466</v>
      </c>
      <c r="F11338" s="17" t="s">
        <v>4347</v>
      </c>
      <c r="G11338" s="18" t="n">
        <v>396</v>
      </c>
      <c r="H11338" s="18" t="n">
        <v>0</v>
      </c>
      <c r="I11338" s="18" t="n">
        <f aca="false">((I11337 + G11338) - H11338)</f>
        <v>77469.49</v>
      </c>
      <c r="J11338" s="18" t="n">
        <v>0</v>
      </c>
      <c r="K11338" s="19" t="n">
        <v>0</v>
      </c>
      <c r="L11338" s="17"/>
    </row>
    <row r="11339" s="11" customFormat="true" ht="10.95" hidden="false" customHeight="true" outlineLevel="0" collapsed="false">
      <c r="A11339" s="16" t="n">
        <v>45379</v>
      </c>
      <c r="B11339" s="17" t="s">
        <v>3861</v>
      </c>
      <c r="C11339" s="17" t="s">
        <v>3752</v>
      </c>
      <c r="D11339" s="17" t="s">
        <v>2895</v>
      </c>
      <c r="E11339" s="17" t="s">
        <v>3480</v>
      </c>
      <c r="F11339" s="17" t="s">
        <v>4348</v>
      </c>
      <c r="G11339" s="18" t="n">
        <v>180</v>
      </c>
      <c r="H11339" s="18" t="n">
        <v>0</v>
      </c>
      <c r="I11339" s="18" t="n">
        <f aca="false">((I11338 + G11339) - H11339)</f>
        <v>77649.49</v>
      </c>
      <c r="J11339" s="18" t="n">
        <v>0</v>
      </c>
      <c r="K11339" s="19" t="n">
        <v>0</v>
      </c>
      <c r="L11339" s="17"/>
    </row>
    <row r="11340" s="11" customFormat="true" ht="10.95" hidden="false" customHeight="true" outlineLevel="0" collapsed="false">
      <c r="A11340" s="16" t="n">
        <v>45379</v>
      </c>
      <c r="B11340" s="17" t="s">
        <v>3861</v>
      </c>
      <c r="C11340" s="17" t="s">
        <v>3752</v>
      </c>
      <c r="D11340" s="17" t="s">
        <v>2895</v>
      </c>
      <c r="E11340" s="17" t="s">
        <v>3403</v>
      </c>
      <c r="F11340" s="17" t="s">
        <v>4349</v>
      </c>
      <c r="G11340" s="18" t="n">
        <v>723.8</v>
      </c>
      <c r="H11340" s="18" t="n">
        <v>0</v>
      </c>
      <c r="I11340" s="18" t="n">
        <f aca="false">((I11339 + G11340) - H11340)</f>
        <v>78373.29</v>
      </c>
      <c r="J11340" s="18" t="n">
        <v>0</v>
      </c>
      <c r="K11340" s="19" t="n">
        <v>0</v>
      </c>
      <c r="L11340" s="17"/>
    </row>
    <row r="11341" s="11" customFormat="true" ht="10.95" hidden="false" customHeight="true" outlineLevel="0" collapsed="false">
      <c r="A11341" s="16" t="n">
        <v>45379</v>
      </c>
      <c r="B11341" s="17" t="s">
        <v>3861</v>
      </c>
      <c r="C11341" s="17" t="s">
        <v>3752</v>
      </c>
      <c r="D11341" s="17" t="s">
        <v>2895</v>
      </c>
      <c r="E11341" s="17" t="s">
        <v>2900</v>
      </c>
      <c r="F11341" s="17" t="s">
        <v>3100</v>
      </c>
      <c r="G11341" s="18" t="n">
        <v>992.65</v>
      </c>
      <c r="H11341" s="18" t="n">
        <v>0</v>
      </c>
      <c r="I11341" s="18" t="n">
        <f aca="false">((I11340 + G11341) - H11341)</f>
        <v>79365.94</v>
      </c>
      <c r="J11341" s="18" t="n">
        <v>0</v>
      </c>
      <c r="K11341" s="19" t="n">
        <v>0</v>
      </c>
      <c r="L11341" s="17"/>
    </row>
    <row r="11342" s="11" customFormat="true" ht="10.95" hidden="false" customHeight="true" outlineLevel="0" collapsed="false">
      <c r="A11342" s="16" t="n">
        <v>45379</v>
      </c>
      <c r="B11342" s="17" t="s">
        <v>3861</v>
      </c>
      <c r="C11342" s="17" t="s">
        <v>3752</v>
      </c>
      <c r="D11342" s="17" t="s">
        <v>2895</v>
      </c>
      <c r="E11342" s="17" t="s">
        <v>2900</v>
      </c>
      <c r="F11342" s="17" t="s">
        <v>3101</v>
      </c>
      <c r="G11342" s="18" t="n">
        <v>130.12</v>
      </c>
      <c r="H11342" s="18" t="n">
        <v>0</v>
      </c>
      <c r="I11342" s="18" t="n">
        <f aca="false">((I11341 + G11342) - H11342)</f>
        <v>79496.06</v>
      </c>
      <c r="J11342" s="18" t="n">
        <v>0</v>
      </c>
      <c r="K11342" s="19" t="n">
        <v>0</v>
      </c>
      <c r="L11342" s="17"/>
    </row>
    <row r="11343" s="11" customFormat="true" ht="10.95" hidden="false" customHeight="true" outlineLevel="0" collapsed="false">
      <c r="A11343" s="16" t="n">
        <v>45379</v>
      </c>
      <c r="B11343" s="17" t="s">
        <v>3861</v>
      </c>
      <c r="C11343" s="17" t="s">
        <v>3752</v>
      </c>
      <c r="D11343" s="17" t="s">
        <v>2903</v>
      </c>
      <c r="E11343" s="17" t="s">
        <v>3645</v>
      </c>
      <c r="F11343" s="17" t="s">
        <v>1531</v>
      </c>
      <c r="G11343" s="18" t="n">
        <v>0</v>
      </c>
      <c r="H11343" s="18" t="n">
        <v>21257.54</v>
      </c>
      <c r="I11343" s="18" t="n">
        <f aca="false">((I11342 + G11343) - H11343)</f>
        <v>58238.52</v>
      </c>
      <c r="J11343" s="18" t="n">
        <v>0</v>
      </c>
      <c r="K11343" s="19" t="n">
        <v>0</v>
      </c>
      <c r="L11343" s="17"/>
    </row>
    <row r="11344" s="11" customFormat="true" ht="10.95" hidden="false" customHeight="true" outlineLevel="0" collapsed="false">
      <c r="A11344" s="16" t="n">
        <v>45379</v>
      </c>
      <c r="B11344" s="17" t="s">
        <v>3861</v>
      </c>
      <c r="C11344" s="17" t="s">
        <v>3752</v>
      </c>
      <c r="D11344" s="17" t="s">
        <v>2903</v>
      </c>
      <c r="E11344" s="17" t="s">
        <v>3645</v>
      </c>
      <c r="F11344" s="17" t="s">
        <v>1533</v>
      </c>
      <c r="G11344" s="18" t="n">
        <v>0</v>
      </c>
      <c r="H11344" s="18" t="n">
        <v>2207.21</v>
      </c>
      <c r="I11344" s="18" t="n">
        <f aca="false">((I11343 + G11344) - H11344)</f>
        <v>56031.31</v>
      </c>
      <c r="J11344" s="18" t="n">
        <v>0</v>
      </c>
      <c r="K11344" s="19" t="n">
        <v>0</v>
      </c>
      <c r="L11344" s="17"/>
    </row>
    <row r="11345" s="11" customFormat="true" ht="10.95" hidden="false" customHeight="true" outlineLevel="0" collapsed="false">
      <c r="A11345" s="16" t="n">
        <v>45379</v>
      </c>
      <c r="B11345" s="17" t="s">
        <v>3861</v>
      </c>
      <c r="C11345" s="17" t="s">
        <v>3752</v>
      </c>
      <c r="D11345" s="17" t="s">
        <v>1407</v>
      </c>
      <c r="E11345" s="17" t="s">
        <v>3976</v>
      </c>
      <c r="F11345" s="17"/>
      <c r="G11345" s="18" t="n">
        <v>0</v>
      </c>
      <c r="H11345" s="18" t="n">
        <v>199.05</v>
      </c>
      <c r="I11345" s="18" t="n">
        <f aca="false">((I11344 + G11345) - H11345)</f>
        <v>55832.26</v>
      </c>
      <c r="J11345" s="18" t="n">
        <v>0</v>
      </c>
      <c r="K11345" s="19" t="n">
        <v>0</v>
      </c>
      <c r="L11345" s="17"/>
    </row>
    <row r="11346" s="11" customFormat="true" ht="10.95" hidden="false" customHeight="true" outlineLevel="0" collapsed="false">
      <c r="A11346" s="16" t="n">
        <v>45383</v>
      </c>
      <c r="B11346" s="17" t="s">
        <v>3861</v>
      </c>
      <c r="C11346" s="17" t="s">
        <v>3752</v>
      </c>
      <c r="D11346" s="17" t="s">
        <v>2903</v>
      </c>
      <c r="E11346" s="17" t="s">
        <v>3616</v>
      </c>
      <c r="F11346" s="17" t="s">
        <v>3307</v>
      </c>
      <c r="G11346" s="18" t="n">
        <v>0</v>
      </c>
      <c r="H11346" s="18" t="n">
        <v>2819.75</v>
      </c>
      <c r="I11346" s="18" t="n">
        <f aca="false">((I11345 + G11346) - H11346)</f>
        <v>53012.51</v>
      </c>
      <c r="J11346" s="18" t="n">
        <v>0</v>
      </c>
      <c r="K11346" s="19" t="n">
        <v>0</v>
      </c>
      <c r="L11346" s="17"/>
    </row>
    <row r="11347" s="11" customFormat="true" ht="10.95" hidden="false" customHeight="true" outlineLevel="0" collapsed="false">
      <c r="A11347" s="16" t="n">
        <v>45383</v>
      </c>
      <c r="B11347" s="17" t="s">
        <v>3861</v>
      </c>
      <c r="C11347" s="17" t="s">
        <v>3752</v>
      </c>
      <c r="D11347" s="17" t="s">
        <v>1407</v>
      </c>
      <c r="E11347" s="17" t="s">
        <v>3863</v>
      </c>
      <c r="F11347" s="17"/>
      <c r="G11347" s="18" t="n">
        <v>0</v>
      </c>
      <c r="H11347" s="18" t="n">
        <v>10</v>
      </c>
      <c r="I11347" s="18" t="n">
        <f aca="false">((I11346 + G11347) - H11347)</f>
        <v>53002.51</v>
      </c>
      <c r="J11347" s="18" t="n">
        <v>0</v>
      </c>
      <c r="K11347" s="19" t="n">
        <v>0</v>
      </c>
      <c r="L11347" s="17"/>
    </row>
    <row r="11348" s="11" customFormat="true" ht="10.95" hidden="false" customHeight="true" outlineLevel="0" collapsed="false">
      <c r="A11348" s="16" t="n">
        <v>45384</v>
      </c>
      <c r="B11348" s="17" t="s">
        <v>3861</v>
      </c>
      <c r="C11348" s="17" t="s">
        <v>3752</v>
      </c>
      <c r="D11348" s="17" t="s">
        <v>2895</v>
      </c>
      <c r="E11348" s="17" t="s">
        <v>3382</v>
      </c>
      <c r="F11348" s="17" t="s">
        <v>4350</v>
      </c>
      <c r="G11348" s="18" t="n">
        <v>18421.87</v>
      </c>
      <c r="H11348" s="18" t="n">
        <v>0</v>
      </c>
      <c r="I11348" s="18" t="n">
        <f aca="false">((I11347 + G11348) - H11348)</f>
        <v>71424.38</v>
      </c>
      <c r="J11348" s="18" t="n">
        <v>0</v>
      </c>
      <c r="K11348" s="19" t="n">
        <v>0</v>
      </c>
      <c r="L11348" s="17"/>
    </row>
    <row r="11349" s="11" customFormat="true" ht="10.95" hidden="false" customHeight="true" outlineLevel="0" collapsed="false">
      <c r="A11349" s="16" t="n">
        <v>45384</v>
      </c>
      <c r="B11349" s="17" t="s">
        <v>3861</v>
      </c>
      <c r="C11349" s="17" t="s">
        <v>3752</v>
      </c>
      <c r="D11349" s="17" t="s">
        <v>2895</v>
      </c>
      <c r="E11349" s="17" t="s">
        <v>3415</v>
      </c>
      <c r="F11349" s="17" t="s">
        <v>4351</v>
      </c>
      <c r="G11349" s="18" t="n">
        <v>1052.7</v>
      </c>
      <c r="H11349" s="18" t="n">
        <v>0</v>
      </c>
      <c r="I11349" s="18" t="n">
        <f aca="false">((I11348 + G11349) - H11349)</f>
        <v>72477.0799999999</v>
      </c>
      <c r="J11349" s="18" t="n">
        <v>0</v>
      </c>
      <c r="K11349" s="19" t="n">
        <v>0</v>
      </c>
      <c r="L11349" s="17"/>
    </row>
    <row r="11350" s="11" customFormat="true" ht="10.95" hidden="false" customHeight="true" outlineLevel="0" collapsed="false">
      <c r="A11350" s="16" t="n">
        <v>45384</v>
      </c>
      <c r="B11350" s="17" t="s">
        <v>3861</v>
      </c>
      <c r="C11350" s="17" t="s">
        <v>3752</v>
      </c>
      <c r="D11350" s="17" t="s">
        <v>2895</v>
      </c>
      <c r="E11350" s="17" t="s">
        <v>2898</v>
      </c>
      <c r="F11350" s="17" t="s">
        <v>3102</v>
      </c>
      <c r="G11350" s="18" t="n">
        <v>736.27</v>
      </c>
      <c r="H11350" s="18" t="n">
        <v>0</v>
      </c>
      <c r="I11350" s="18" t="n">
        <f aca="false">((I11349 + G11350) - H11350)</f>
        <v>73213.35</v>
      </c>
      <c r="J11350" s="18" t="n">
        <v>0</v>
      </c>
      <c r="K11350" s="19" t="n">
        <v>0</v>
      </c>
      <c r="L11350" s="17"/>
    </row>
    <row r="11351" s="11" customFormat="true" ht="10.95" hidden="false" customHeight="true" outlineLevel="0" collapsed="false">
      <c r="A11351" s="16" t="n">
        <v>45384</v>
      </c>
      <c r="B11351" s="17" t="s">
        <v>3861</v>
      </c>
      <c r="C11351" s="17" t="s">
        <v>3752</v>
      </c>
      <c r="D11351" s="17" t="s">
        <v>2895</v>
      </c>
      <c r="E11351" s="17" t="s">
        <v>3474</v>
      </c>
      <c r="F11351" s="17" t="s">
        <v>4352</v>
      </c>
      <c r="G11351" s="18" t="n">
        <v>357.5</v>
      </c>
      <c r="H11351" s="18" t="n">
        <v>0</v>
      </c>
      <c r="I11351" s="18" t="n">
        <f aca="false">((I11350 + G11351) - H11351)</f>
        <v>73570.85</v>
      </c>
      <c r="J11351" s="18" t="n">
        <v>0</v>
      </c>
      <c r="K11351" s="19" t="n">
        <v>0</v>
      </c>
      <c r="L11351" s="17"/>
    </row>
    <row r="11352" s="11" customFormat="true" ht="10.95" hidden="false" customHeight="true" outlineLevel="0" collapsed="false">
      <c r="A11352" s="16" t="n">
        <v>45384</v>
      </c>
      <c r="B11352" s="17" t="s">
        <v>3861</v>
      </c>
      <c r="C11352" s="17" t="s">
        <v>3752</v>
      </c>
      <c r="D11352" s="17" t="s">
        <v>1407</v>
      </c>
      <c r="E11352" s="17" t="s">
        <v>3878</v>
      </c>
      <c r="F11352" s="17"/>
      <c r="G11352" s="18" t="n">
        <v>0</v>
      </c>
      <c r="H11352" s="18" t="n">
        <v>1417</v>
      </c>
      <c r="I11352" s="18" t="n">
        <f aca="false">((I11351 + G11352) - H11352)</f>
        <v>72153.85</v>
      </c>
      <c r="J11352" s="18" t="n">
        <v>0</v>
      </c>
      <c r="K11352" s="19" t="n">
        <v>0</v>
      </c>
      <c r="L11352" s="17"/>
    </row>
    <row r="11353" s="11" customFormat="true" ht="10.95" hidden="false" customHeight="true" outlineLevel="0" collapsed="false">
      <c r="A11353" s="16" t="n">
        <v>45384</v>
      </c>
      <c r="B11353" s="17" t="s">
        <v>3861</v>
      </c>
      <c r="C11353" s="17" t="s">
        <v>3752</v>
      </c>
      <c r="D11353" s="17" t="s">
        <v>1407</v>
      </c>
      <c r="E11353" s="17" t="s">
        <v>3673</v>
      </c>
      <c r="F11353" s="17"/>
      <c r="G11353" s="18" t="n">
        <v>0</v>
      </c>
      <c r="H11353" s="18" t="n">
        <v>23417</v>
      </c>
      <c r="I11353" s="18" t="n">
        <f aca="false">((I11352 + G11353) - H11353)</f>
        <v>48736.85</v>
      </c>
      <c r="J11353" s="18" t="n">
        <v>0</v>
      </c>
      <c r="K11353" s="19" t="n">
        <v>0</v>
      </c>
      <c r="L11353" s="17"/>
    </row>
    <row r="11354" s="11" customFormat="true" ht="10.95" hidden="false" customHeight="true" outlineLevel="0" collapsed="false">
      <c r="A11354" s="16" t="n">
        <v>45385</v>
      </c>
      <c r="B11354" s="17" t="s">
        <v>3861</v>
      </c>
      <c r="C11354" s="17" t="s">
        <v>3752</v>
      </c>
      <c r="D11354" s="17" t="s">
        <v>3753</v>
      </c>
      <c r="E11354" s="17" t="s">
        <v>3806</v>
      </c>
      <c r="F11354" s="17" t="s">
        <v>3833</v>
      </c>
      <c r="G11354" s="18" t="n">
        <v>0</v>
      </c>
      <c r="H11354" s="18" t="n">
        <v>134.97</v>
      </c>
      <c r="I11354" s="18" t="n">
        <f aca="false">((I11353 + G11354) - H11354)</f>
        <v>48601.88</v>
      </c>
      <c r="J11354" s="18" t="n">
        <v>0</v>
      </c>
      <c r="K11354" s="19" t="n">
        <v>0</v>
      </c>
      <c r="L11354" s="17"/>
    </row>
    <row r="11355" s="11" customFormat="true" ht="10.95" hidden="false" customHeight="true" outlineLevel="0" collapsed="false">
      <c r="A11355" s="16" t="n">
        <v>45385</v>
      </c>
      <c r="B11355" s="17" t="s">
        <v>3861</v>
      </c>
      <c r="C11355" s="17" t="s">
        <v>3752</v>
      </c>
      <c r="D11355" s="17" t="s">
        <v>2895</v>
      </c>
      <c r="E11355" s="17" t="s">
        <v>3472</v>
      </c>
      <c r="F11355" s="17" t="s">
        <v>4353</v>
      </c>
      <c r="G11355" s="18" t="n">
        <v>1278.2</v>
      </c>
      <c r="H11355" s="18" t="n">
        <v>0</v>
      </c>
      <c r="I11355" s="18" t="n">
        <f aca="false">((I11354 + G11355) - H11355)</f>
        <v>49880.0799999999</v>
      </c>
      <c r="J11355" s="18" t="n">
        <v>0</v>
      </c>
      <c r="K11355" s="19" t="n">
        <v>0</v>
      </c>
      <c r="L11355" s="17"/>
    </row>
    <row r="11356" s="11" customFormat="true" ht="10.95" hidden="false" customHeight="true" outlineLevel="0" collapsed="false">
      <c r="A11356" s="16" t="n">
        <v>45385</v>
      </c>
      <c r="B11356" s="17" t="s">
        <v>3861</v>
      </c>
      <c r="C11356" s="17" t="s">
        <v>3752</v>
      </c>
      <c r="D11356" s="17" t="s">
        <v>2895</v>
      </c>
      <c r="E11356" s="17" t="s">
        <v>2925</v>
      </c>
      <c r="F11356" s="17" t="s">
        <v>3103</v>
      </c>
      <c r="G11356" s="18" t="n">
        <v>318.27</v>
      </c>
      <c r="H11356" s="18" t="n">
        <v>0</v>
      </c>
      <c r="I11356" s="18" t="n">
        <f aca="false">((I11355 + G11356) - H11356)</f>
        <v>50198.3499999999</v>
      </c>
      <c r="J11356" s="18" t="n">
        <v>0</v>
      </c>
      <c r="K11356" s="19" t="n">
        <v>0</v>
      </c>
      <c r="L11356" s="17"/>
    </row>
    <row r="11357" s="11" customFormat="true" ht="10.95" hidden="false" customHeight="true" outlineLevel="0" collapsed="false">
      <c r="A11357" s="16" t="n">
        <v>45385</v>
      </c>
      <c r="B11357" s="17" t="s">
        <v>3861</v>
      </c>
      <c r="C11357" s="17" t="s">
        <v>3752</v>
      </c>
      <c r="D11357" s="17" t="s">
        <v>2895</v>
      </c>
      <c r="E11357" s="17" t="s">
        <v>2925</v>
      </c>
      <c r="F11357" s="17" t="s">
        <v>3104</v>
      </c>
      <c r="G11357" s="18" t="n">
        <v>348.88</v>
      </c>
      <c r="H11357" s="18" t="n">
        <v>0</v>
      </c>
      <c r="I11357" s="18" t="n">
        <f aca="false">((I11356 + G11357) - H11357)</f>
        <v>50547.2299999999</v>
      </c>
      <c r="J11357" s="18" t="n">
        <v>0</v>
      </c>
      <c r="K11357" s="19" t="n">
        <v>0</v>
      </c>
      <c r="L11357" s="17"/>
    </row>
    <row r="11358" s="11" customFormat="true" ht="10.95" hidden="false" customHeight="true" outlineLevel="0" collapsed="false">
      <c r="A11358" s="16" t="n">
        <v>45385</v>
      </c>
      <c r="B11358" s="17" t="s">
        <v>3861</v>
      </c>
      <c r="C11358" s="17" t="s">
        <v>3752</v>
      </c>
      <c r="D11358" s="17" t="s">
        <v>2895</v>
      </c>
      <c r="E11358" s="17" t="s">
        <v>2925</v>
      </c>
      <c r="F11358" s="17" t="s">
        <v>3105</v>
      </c>
      <c r="G11358" s="18" t="n">
        <v>599.82</v>
      </c>
      <c r="H11358" s="18" t="n">
        <v>0</v>
      </c>
      <c r="I11358" s="18" t="n">
        <f aca="false">((I11357 + G11358) - H11358)</f>
        <v>51147.0499999999</v>
      </c>
      <c r="J11358" s="18" t="n">
        <v>0</v>
      </c>
      <c r="K11358" s="19" t="n">
        <v>0</v>
      </c>
      <c r="L11358" s="17"/>
    </row>
    <row r="11359" s="11" customFormat="true" ht="10.95" hidden="false" customHeight="true" outlineLevel="0" collapsed="false">
      <c r="A11359" s="16" t="n">
        <v>45385</v>
      </c>
      <c r="B11359" s="17" t="s">
        <v>3861</v>
      </c>
      <c r="C11359" s="17" t="s">
        <v>3752</v>
      </c>
      <c r="D11359" s="17" t="s">
        <v>2895</v>
      </c>
      <c r="E11359" s="17" t="s">
        <v>3505</v>
      </c>
      <c r="F11359" s="17" t="s">
        <v>4354</v>
      </c>
      <c r="G11359" s="18" t="n">
        <v>157.3</v>
      </c>
      <c r="H11359" s="18" t="n">
        <v>0</v>
      </c>
      <c r="I11359" s="18" t="n">
        <f aca="false">((I11358 + G11359) - H11359)</f>
        <v>51304.3499999999</v>
      </c>
      <c r="J11359" s="18" t="n">
        <v>0</v>
      </c>
      <c r="K11359" s="19" t="n">
        <v>0</v>
      </c>
      <c r="L11359" s="17"/>
    </row>
    <row r="11360" s="11" customFormat="true" ht="10.95" hidden="false" customHeight="true" outlineLevel="0" collapsed="false">
      <c r="A11360" s="16" t="n">
        <v>45385</v>
      </c>
      <c r="B11360" s="17" t="s">
        <v>3861</v>
      </c>
      <c r="C11360" s="17" t="s">
        <v>3752</v>
      </c>
      <c r="D11360" s="17" t="s">
        <v>2895</v>
      </c>
      <c r="E11360" s="17" t="s">
        <v>3504</v>
      </c>
      <c r="F11360" s="17" t="s">
        <v>4355</v>
      </c>
      <c r="G11360" s="18" t="n">
        <v>1034.55</v>
      </c>
      <c r="H11360" s="18" t="n">
        <v>0</v>
      </c>
      <c r="I11360" s="18" t="n">
        <f aca="false">((I11359 + G11360) - H11360)</f>
        <v>52338.8999999999</v>
      </c>
      <c r="J11360" s="18" t="n">
        <v>0</v>
      </c>
      <c r="K11360" s="19" t="n">
        <v>0</v>
      </c>
      <c r="L11360" s="17"/>
    </row>
    <row r="11361" s="11" customFormat="true" ht="10.95" hidden="false" customHeight="true" outlineLevel="0" collapsed="false">
      <c r="A11361" s="16" t="n">
        <v>45385</v>
      </c>
      <c r="B11361" s="17" t="s">
        <v>3861</v>
      </c>
      <c r="C11361" s="17" t="s">
        <v>3752</v>
      </c>
      <c r="D11361" s="17" t="s">
        <v>1407</v>
      </c>
      <c r="E11361" s="17" t="s">
        <v>3863</v>
      </c>
      <c r="F11361" s="17"/>
      <c r="G11361" s="18" t="n">
        <v>0</v>
      </c>
      <c r="H11361" s="18" t="n">
        <v>2.31</v>
      </c>
      <c r="I11361" s="18" t="n">
        <f aca="false">((I11360 + G11361) - H11361)</f>
        <v>52336.5899999999</v>
      </c>
      <c r="J11361" s="18" t="n">
        <v>0</v>
      </c>
      <c r="K11361" s="19" t="n">
        <v>0</v>
      </c>
      <c r="L11361" s="17"/>
    </row>
    <row r="11362" s="11" customFormat="true" ht="10.95" hidden="false" customHeight="true" outlineLevel="0" collapsed="false">
      <c r="A11362" s="16" t="n">
        <v>45385</v>
      </c>
      <c r="B11362" s="17" t="s">
        <v>3861</v>
      </c>
      <c r="C11362" s="17" t="s">
        <v>3752</v>
      </c>
      <c r="D11362" s="17" t="s">
        <v>1407</v>
      </c>
      <c r="E11362" s="17" t="s">
        <v>3967</v>
      </c>
      <c r="F11362" s="17"/>
      <c r="G11362" s="18" t="n">
        <v>0</v>
      </c>
      <c r="H11362" s="18" t="n">
        <v>48</v>
      </c>
      <c r="I11362" s="18" t="n">
        <f aca="false">((I11361 + G11362) - H11362)</f>
        <v>52288.5899999999</v>
      </c>
      <c r="J11362" s="18" t="n">
        <v>0</v>
      </c>
      <c r="K11362" s="19" t="n">
        <v>0</v>
      </c>
      <c r="L11362" s="17"/>
    </row>
    <row r="11363" s="11" customFormat="true" ht="10.95" hidden="false" customHeight="true" outlineLevel="0" collapsed="false">
      <c r="A11363" s="16" t="n">
        <v>45385</v>
      </c>
      <c r="B11363" s="17" t="s">
        <v>3861</v>
      </c>
      <c r="C11363" s="17" t="s">
        <v>3752</v>
      </c>
      <c r="D11363" s="17" t="s">
        <v>1407</v>
      </c>
      <c r="E11363" s="17" t="s">
        <v>3864</v>
      </c>
      <c r="F11363" s="17"/>
      <c r="G11363" s="18" t="n">
        <v>0</v>
      </c>
      <c r="H11363" s="18" t="n">
        <v>77.11</v>
      </c>
      <c r="I11363" s="18" t="n">
        <f aca="false">((I11362 + G11363) - H11363)</f>
        <v>52211.4799999999</v>
      </c>
      <c r="J11363" s="18" t="n">
        <v>0</v>
      </c>
      <c r="K11363" s="19" t="n">
        <v>0</v>
      </c>
      <c r="L11363" s="17"/>
    </row>
    <row r="11364" s="11" customFormat="true" ht="10.95" hidden="false" customHeight="true" outlineLevel="0" collapsed="false">
      <c r="A11364" s="16" t="n">
        <v>45385</v>
      </c>
      <c r="B11364" s="17" t="s">
        <v>3861</v>
      </c>
      <c r="C11364" s="17" t="s">
        <v>3752</v>
      </c>
      <c r="D11364" s="17" t="s">
        <v>1407</v>
      </c>
      <c r="E11364" s="17" t="s">
        <v>3865</v>
      </c>
      <c r="F11364" s="17"/>
      <c r="G11364" s="18" t="n">
        <v>0</v>
      </c>
      <c r="H11364" s="18" t="n">
        <v>82.5</v>
      </c>
      <c r="I11364" s="18" t="n">
        <f aca="false">((I11363 + G11364) - H11364)</f>
        <v>52128.9799999999</v>
      </c>
      <c r="J11364" s="18" t="n">
        <v>0</v>
      </c>
      <c r="K11364" s="19" t="n">
        <v>0</v>
      </c>
      <c r="L11364" s="17"/>
    </row>
    <row r="11365" s="11" customFormat="true" ht="10.95" hidden="false" customHeight="true" outlineLevel="0" collapsed="false">
      <c r="A11365" s="16" t="n">
        <v>45385</v>
      </c>
      <c r="B11365" s="17" t="s">
        <v>3861</v>
      </c>
      <c r="C11365" s="17" t="s">
        <v>3752</v>
      </c>
      <c r="D11365" s="17" t="s">
        <v>1407</v>
      </c>
      <c r="E11365" s="17" t="s">
        <v>3881</v>
      </c>
      <c r="F11365" s="17"/>
      <c r="G11365" s="18" t="n">
        <v>0</v>
      </c>
      <c r="H11365" s="18" t="n">
        <v>140</v>
      </c>
      <c r="I11365" s="18" t="n">
        <f aca="false">((I11364 + G11365) - H11365)</f>
        <v>51988.9799999999</v>
      </c>
      <c r="J11365" s="18" t="n">
        <v>0</v>
      </c>
      <c r="K11365" s="19" t="n">
        <v>0</v>
      </c>
      <c r="L11365" s="17"/>
    </row>
    <row r="11366" s="11" customFormat="true" ht="10.95" hidden="false" customHeight="true" outlineLevel="0" collapsed="false">
      <c r="A11366" s="16" t="n">
        <v>45385</v>
      </c>
      <c r="B11366" s="17" t="s">
        <v>3861</v>
      </c>
      <c r="C11366" s="17" t="s">
        <v>3752</v>
      </c>
      <c r="D11366" s="17" t="s">
        <v>2903</v>
      </c>
      <c r="E11366" s="17" t="s">
        <v>3648</v>
      </c>
      <c r="F11366" s="17" t="s">
        <v>2704</v>
      </c>
      <c r="G11366" s="18" t="n">
        <v>0</v>
      </c>
      <c r="H11366" s="18" t="n">
        <v>168.48</v>
      </c>
      <c r="I11366" s="18" t="n">
        <f aca="false">((I11365 + G11366) - H11366)</f>
        <v>51820.4999999999</v>
      </c>
      <c r="J11366" s="18" t="n">
        <v>0</v>
      </c>
      <c r="K11366" s="19" t="n">
        <v>0</v>
      </c>
      <c r="L11366" s="17"/>
    </row>
    <row r="11367" s="11" customFormat="true" ht="10.95" hidden="false" customHeight="true" outlineLevel="0" collapsed="false">
      <c r="A11367" s="16" t="n">
        <v>45385</v>
      </c>
      <c r="B11367" s="17" t="s">
        <v>3861</v>
      </c>
      <c r="C11367" s="17" t="s">
        <v>3752</v>
      </c>
      <c r="D11367" s="17" t="s">
        <v>1407</v>
      </c>
      <c r="E11367" s="17" t="s">
        <v>3879</v>
      </c>
      <c r="F11367" s="17"/>
      <c r="G11367" s="18" t="n">
        <v>0</v>
      </c>
      <c r="H11367" s="18" t="n">
        <v>1207</v>
      </c>
      <c r="I11367" s="18" t="n">
        <f aca="false">((I11366 + G11367) - H11367)</f>
        <v>50613.4999999999</v>
      </c>
      <c r="J11367" s="18" t="n">
        <v>0</v>
      </c>
      <c r="K11367" s="19" t="n">
        <v>0</v>
      </c>
      <c r="L11367" s="17"/>
    </row>
    <row r="11368" s="11" customFormat="true" ht="10.95" hidden="false" customHeight="true" outlineLevel="0" collapsed="false">
      <c r="A11368" s="16" t="n">
        <v>45385</v>
      </c>
      <c r="B11368" s="17" t="s">
        <v>3861</v>
      </c>
      <c r="C11368" s="17" t="s">
        <v>3752</v>
      </c>
      <c r="D11368" s="17" t="s">
        <v>1407</v>
      </c>
      <c r="E11368" s="17" t="s">
        <v>3880</v>
      </c>
      <c r="F11368" s="17"/>
      <c r="G11368" s="18" t="n">
        <v>0</v>
      </c>
      <c r="H11368" s="18" t="n">
        <v>1207</v>
      </c>
      <c r="I11368" s="18" t="n">
        <f aca="false">((I11367 + G11368) - H11368)</f>
        <v>49406.4999999999</v>
      </c>
      <c r="J11368" s="18" t="n">
        <v>0</v>
      </c>
      <c r="K11368" s="19" t="n">
        <v>0</v>
      </c>
      <c r="L11368" s="17"/>
    </row>
    <row r="11369" s="11" customFormat="true" ht="10.95" hidden="false" customHeight="true" outlineLevel="0" collapsed="false">
      <c r="A11369" s="16" t="n">
        <v>45385</v>
      </c>
      <c r="B11369" s="17" t="s">
        <v>3861</v>
      </c>
      <c r="C11369" s="17" t="s">
        <v>3752</v>
      </c>
      <c r="D11369" s="17" t="s">
        <v>1407</v>
      </c>
      <c r="E11369" s="17" t="s">
        <v>3808</v>
      </c>
      <c r="F11369" s="17"/>
      <c r="G11369" s="18" t="n">
        <v>0</v>
      </c>
      <c r="H11369" s="18" t="n">
        <v>1705.92</v>
      </c>
      <c r="I11369" s="18" t="n">
        <f aca="false">((I11368 + G11369) - H11369)</f>
        <v>47700.5799999999</v>
      </c>
      <c r="J11369" s="18" t="n">
        <v>0</v>
      </c>
      <c r="K11369" s="19" t="n">
        <v>0</v>
      </c>
      <c r="L11369" s="17"/>
    </row>
    <row r="11370" s="11" customFormat="true" ht="10.95" hidden="false" customHeight="true" outlineLevel="0" collapsed="false">
      <c r="A11370" s="16" t="n">
        <v>45385</v>
      </c>
      <c r="B11370" s="17" t="s">
        <v>3861</v>
      </c>
      <c r="C11370" s="17" t="s">
        <v>3752</v>
      </c>
      <c r="D11370" s="17" t="s">
        <v>2903</v>
      </c>
      <c r="E11370" s="17" t="s">
        <v>3723</v>
      </c>
      <c r="F11370" s="17" t="s">
        <v>1519</v>
      </c>
      <c r="G11370" s="18" t="n">
        <v>0</v>
      </c>
      <c r="H11370" s="18" t="n">
        <v>1976.7</v>
      </c>
      <c r="I11370" s="18" t="n">
        <f aca="false">((I11369 + G11370) - H11370)</f>
        <v>45723.88</v>
      </c>
      <c r="J11370" s="18" t="n">
        <v>0</v>
      </c>
      <c r="K11370" s="19" t="n">
        <v>0</v>
      </c>
      <c r="L11370" s="17"/>
    </row>
    <row r="11371" s="11" customFormat="true" ht="10.95" hidden="false" customHeight="true" outlineLevel="0" collapsed="false">
      <c r="A11371" s="16" t="n">
        <v>45385</v>
      </c>
      <c r="B11371" s="17" t="s">
        <v>3861</v>
      </c>
      <c r="C11371" s="17" t="s">
        <v>3752</v>
      </c>
      <c r="D11371" s="17" t="s">
        <v>2903</v>
      </c>
      <c r="E11371" s="17" t="s">
        <v>3657</v>
      </c>
      <c r="F11371" s="17" t="s">
        <v>1538</v>
      </c>
      <c r="G11371" s="18" t="n">
        <v>0</v>
      </c>
      <c r="H11371" s="18" t="n">
        <v>6186.55</v>
      </c>
      <c r="I11371" s="18" t="n">
        <f aca="false">((I11370 + G11371) - H11371)</f>
        <v>39537.3299999999</v>
      </c>
      <c r="J11371" s="18" t="n">
        <v>0</v>
      </c>
      <c r="K11371" s="19" t="n">
        <v>0</v>
      </c>
      <c r="L11371" s="17"/>
    </row>
    <row r="11372" s="11" customFormat="true" ht="10.95" hidden="false" customHeight="true" outlineLevel="0" collapsed="false">
      <c r="A11372" s="16" t="n">
        <v>45385</v>
      </c>
      <c r="B11372" s="17" t="s">
        <v>3861</v>
      </c>
      <c r="C11372" s="17" t="s">
        <v>3752</v>
      </c>
      <c r="D11372" s="17" t="s">
        <v>2895</v>
      </c>
      <c r="E11372" s="17" t="s">
        <v>2896</v>
      </c>
      <c r="F11372" s="17" t="s">
        <v>3106</v>
      </c>
      <c r="G11372" s="18" t="n">
        <v>83.13</v>
      </c>
      <c r="H11372" s="18" t="n">
        <v>0</v>
      </c>
      <c r="I11372" s="18" t="n">
        <f aca="false">((I11371 + G11372) - H11372)</f>
        <v>39620.4599999999</v>
      </c>
      <c r="J11372" s="18" t="n">
        <v>0</v>
      </c>
      <c r="K11372" s="19" t="n">
        <v>0</v>
      </c>
      <c r="L11372" s="17"/>
    </row>
    <row r="11373" s="11" customFormat="true" ht="10.95" hidden="false" customHeight="true" outlineLevel="0" collapsed="false">
      <c r="A11373" s="16" t="n">
        <v>45385</v>
      </c>
      <c r="B11373" s="17" t="s">
        <v>3861</v>
      </c>
      <c r="C11373" s="17" t="s">
        <v>3752</v>
      </c>
      <c r="D11373" s="17" t="s">
        <v>1407</v>
      </c>
      <c r="E11373" s="17" t="s">
        <v>3800</v>
      </c>
      <c r="F11373" s="17"/>
      <c r="G11373" s="18" t="n">
        <v>0</v>
      </c>
      <c r="H11373" s="18" t="n">
        <v>46.32</v>
      </c>
      <c r="I11373" s="18" t="n">
        <f aca="false">((I11372 + G11373) - H11373)</f>
        <v>39574.1399999999</v>
      </c>
      <c r="J11373" s="18" t="n">
        <v>0</v>
      </c>
      <c r="K11373" s="19" t="n">
        <v>0</v>
      </c>
      <c r="L11373" s="17"/>
    </row>
    <row r="11374" s="11" customFormat="true" ht="10.95" hidden="false" customHeight="true" outlineLevel="0" collapsed="false">
      <c r="A11374" s="16" t="n">
        <v>45385</v>
      </c>
      <c r="B11374" s="17" t="s">
        <v>3861</v>
      </c>
      <c r="C11374" s="17" t="s">
        <v>3752</v>
      </c>
      <c r="D11374" s="17" t="s">
        <v>2895</v>
      </c>
      <c r="E11374" s="17" t="s">
        <v>3467</v>
      </c>
      <c r="F11374" s="17" t="s">
        <v>4356</v>
      </c>
      <c r="G11374" s="18" t="n">
        <v>1385.45</v>
      </c>
      <c r="H11374" s="18" t="n">
        <v>0</v>
      </c>
      <c r="I11374" s="18" t="n">
        <f aca="false">((I11373 + G11374) - H11374)</f>
        <v>40959.5899999999</v>
      </c>
      <c r="J11374" s="18" t="n">
        <v>0</v>
      </c>
      <c r="K11374" s="19" t="n">
        <v>0</v>
      </c>
      <c r="L11374" s="17"/>
    </row>
    <row r="11375" s="11" customFormat="true" ht="10.95" hidden="false" customHeight="true" outlineLevel="0" collapsed="false">
      <c r="A11375" s="16" t="n">
        <v>45385</v>
      </c>
      <c r="B11375" s="17" t="s">
        <v>3861</v>
      </c>
      <c r="C11375" s="17" t="s">
        <v>3752</v>
      </c>
      <c r="D11375" s="17" t="s">
        <v>2895</v>
      </c>
      <c r="E11375" s="17" t="s">
        <v>2964</v>
      </c>
      <c r="F11375" s="17" t="s">
        <v>3107</v>
      </c>
      <c r="G11375" s="18" t="n">
        <v>1377.46</v>
      </c>
      <c r="H11375" s="18" t="n">
        <v>0</v>
      </c>
      <c r="I11375" s="18" t="n">
        <f aca="false">((I11374 + G11375) - H11375)</f>
        <v>42337.0499999999</v>
      </c>
      <c r="J11375" s="18" t="n">
        <v>0</v>
      </c>
      <c r="K11375" s="19" t="n">
        <v>0</v>
      </c>
      <c r="L11375" s="17"/>
    </row>
    <row r="11376" s="11" customFormat="true" ht="10.95" hidden="false" customHeight="true" outlineLevel="0" collapsed="false">
      <c r="A11376" s="16" t="n">
        <v>45385</v>
      </c>
      <c r="B11376" s="17" t="s">
        <v>3861</v>
      </c>
      <c r="C11376" s="17" t="s">
        <v>3752</v>
      </c>
      <c r="D11376" s="17" t="s">
        <v>2895</v>
      </c>
      <c r="E11376" s="17" t="s">
        <v>2964</v>
      </c>
      <c r="F11376" s="17" t="s">
        <v>3108</v>
      </c>
      <c r="G11376" s="18" t="n">
        <v>451.14</v>
      </c>
      <c r="H11376" s="18" t="n">
        <v>0</v>
      </c>
      <c r="I11376" s="18" t="n">
        <f aca="false">((I11375 + G11376) - H11376)</f>
        <v>42788.1899999999</v>
      </c>
      <c r="J11376" s="18" t="n">
        <v>0</v>
      </c>
      <c r="K11376" s="19" t="n">
        <v>0</v>
      </c>
      <c r="L11376" s="17"/>
    </row>
    <row r="11377" s="11" customFormat="true" ht="10.95" hidden="false" customHeight="true" outlineLevel="0" collapsed="false">
      <c r="A11377" s="16" t="n">
        <v>45385</v>
      </c>
      <c r="B11377" s="17" t="s">
        <v>3861</v>
      </c>
      <c r="C11377" s="17" t="s">
        <v>3752</v>
      </c>
      <c r="D11377" s="17" t="s">
        <v>2895</v>
      </c>
      <c r="E11377" s="17" t="s">
        <v>2964</v>
      </c>
      <c r="F11377" s="17" t="s">
        <v>3109</v>
      </c>
      <c r="G11377" s="18" t="n">
        <v>300.76</v>
      </c>
      <c r="H11377" s="18" t="n">
        <v>0</v>
      </c>
      <c r="I11377" s="18" t="n">
        <f aca="false">((I11376 + G11377) - H11377)</f>
        <v>43088.9499999999</v>
      </c>
      <c r="J11377" s="18" t="n">
        <v>0</v>
      </c>
      <c r="K11377" s="19" t="n">
        <v>0</v>
      </c>
      <c r="L11377" s="17"/>
    </row>
    <row r="11378" s="11" customFormat="true" ht="10.95" hidden="false" customHeight="true" outlineLevel="0" collapsed="false">
      <c r="A11378" s="16" t="n">
        <v>45385</v>
      </c>
      <c r="B11378" s="17" t="s">
        <v>3861</v>
      </c>
      <c r="C11378" s="17" t="s">
        <v>3752</v>
      </c>
      <c r="D11378" s="17" t="s">
        <v>2895</v>
      </c>
      <c r="E11378" s="17" t="s">
        <v>2964</v>
      </c>
      <c r="F11378" s="17" t="s">
        <v>3110</v>
      </c>
      <c r="G11378" s="18" t="n">
        <v>300.76</v>
      </c>
      <c r="H11378" s="18" t="n">
        <v>0</v>
      </c>
      <c r="I11378" s="18" t="n">
        <f aca="false">((I11377 + G11378) - H11378)</f>
        <v>43389.7099999999</v>
      </c>
      <c r="J11378" s="18" t="n">
        <v>0</v>
      </c>
      <c r="K11378" s="19" t="n">
        <v>0</v>
      </c>
      <c r="L11378" s="17"/>
    </row>
    <row r="11379" s="11" customFormat="true" ht="10.95" hidden="false" customHeight="true" outlineLevel="0" collapsed="false">
      <c r="A11379" s="16" t="n">
        <v>45385</v>
      </c>
      <c r="B11379" s="17" t="s">
        <v>3861</v>
      </c>
      <c r="C11379" s="17" t="s">
        <v>3752</v>
      </c>
      <c r="D11379" s="17" t="s">
        <v>2895</v>
      </c>
      <c r="E11379" s="17" t="s">
        <v>2964</v>
      </c>
      <c r="F11379" s="17" t="s">
        <v>3111</v>
      </c>
      <c r="G11379" s="18" t="n">
        <v>926.33</v>
      </c>
      <c r="H11379" s="18" t="n">
        <v>0</v>
      </c>
      <c r="I11379" s="18" t="n">
        <f aca="false">((I11378 + G11379) - H11379)</f>
        <v>44316.0399999999</v>
      </c>
      <c r="J11379" s="18" t="n">
        <v>0</v>
      </c>
      <c r="K11379" s="19" t="n">
        <v>0</v>
      </c>
      <c r="L11379" s="17"/>
    </row>
    <row r="11380" s="11" customFormat="true" ht="10.95" hidden="false" customHeight="true" outlineLevel="0" collapsed="false">
      <c r="A11380" s="16" t="n">
        <v>45385</v>
      </c>
      <c r="B11380" s="17" t="s">
        <v>3861</v>
      </c>
      <c r="C11380" s="17" t="s">
        <v>3752</v>
      </c>
      <c r="D11380" s="17" t="s">
        <v>1407</v>
      </c>
      <c r="E11380" s="17" t="s">
        <v>3882</v>
      </c>
      <c r="F11380" s="17"/>
      <c r="G11380" s="18" t="n">
        <v>0</v>
      </c>
      <c r="H11380" s="18" t="n">
        <v>56.91</v>
      </c>
      <c r="I11380" s="18" t="n">
        <f aca="false">((I11379 + G11380) - H11380)</f>
        <v>44259.1299999999</v>
      </c>
      <c r="J11380" s="18" t="n">
        <v>0</v>
      </c>
      <c r="K11380" s="19" t="n">
        <v>0</v>
      </c>
      <c r="L11380" s="17"/>
    </row>
    <row r="11381" s="11" customFormat="true" ht="10.95" hidden="false" customHeight="true" outlineLevel="0" collapsed="false">
      <c r="A11381" s="16" t="n">
        <v>45386</v>
      </c>
      <c r="B11381" s="17" t="s">
        <v>3861</v>
      </c>
      <c r="C11381" s="17" t="s">
        <v>3752</v>
      </c>
      <c r="D11381" s="17" t="s">
        <v>2895</v>
      </c>
      <c r="E11381" s="17" t="s">
        <v>3457</v>
      </c>
      <c r="F11381" s="17" t="s">
        <v>4357</v>
      </c>
      <c r="G11381" s="18" t="n">
        <v>9999</v>
      </c>
      <c r="H11381" s="18" t="n">
        <v>0</v>
      </c>
      <c r="I11381" s="18" t="n">
        <f aca="false">((I11380 + G11381) - H11381)</f>
        <v>54258.1299999999</v>
      </c>
      <c r="J11381" s="18" t="n">
        <v>0</v>
      </c>
      <c r="K11381" s="19" t="n">
        <v>0</v>
      </c>
      <c r="L11381" s="17"/>
    </row>
    <row r="11382" s="11" customFormat="true" ht="10.95" hidden="false" customHeight="true" outlineLevel="0" collapsed="false">
      <c r="A11382" s="16" t="n">
        <v>45386</v>
      </c>
      <c r="B11382" s="17" t="s">
        <v>3861</v>
      </c>
      <c r="C11382" s="17" t="s">
        <v>3752</v>
      </c>
      <c r="D11382" s="17" t="s">
        <v>2895</v>
      </c>
      <c r="E11382" s="17" t="s">
        <v>3457</v>
      </c>
      <c r="F11382" s="17" t="s">
        <v>4358</v>
      </c>
      <c r="G11382" s="18" t="n">
        <v>9999</v>
      </c>
      <c r="H11382" s="18" t="n">
        <v>0</v>
      </c>
      <c r="I11382" s="18" t="n">
        <f aca="false">((I11381 + G11382) - H11382)</f>
        <v>64257.1299999999</v>
      </c>
      <c r="J11382" s="18" t="n">
        <v>0</v>
      </c>
      <c r="K11382" s="19" t="n">
        <v>0</v>
      </c>
      <c r="L11382" s="17"/>
    </row>
    <row r="11383" s="11" customFormat="true" ht="10.95" hidden="false" customHeight="true" outlineLevel="0" collapsed="false">
      <c r="A11383" s="16" t="n">
        <v>45386</v>
      </c>
      <c r="B11383" s="17" t="s">
        <v>3861</v>
      </c>
      <c r="C11383" s="17" t="s">
        <v>3752</v>
      </c>
      <c r="D11383" s="17" t="s">
        <v>2895</v>
      </c>
      <c r="E11383" s="17" t="s">
        <v>2917</v>
      </c>
      <c r="F11383" s="17" t="s">
        <v>3112</v>
      </c>
      <c r="G11383" s="18" t="n">
        <v>88.8</v>
      </c>
      <c r="H11383" s="18" t="n">
        <v>0</v>
      </c>
      <c r="I11383" s="18" t="n">
        <f aca="false">((I11382 + G11383) - H11383)</f>
        <v>64345.9299999999</v>
      </c>
      <c r="J11383" s="18" t="n">
        <v>0</v>
      </c>
      <c r="K11383" s="19" t="n">
        <v>0</v>
      </c>
      <c r="L11383" s="17"/>
    </row>
    <row r="11384" s="11" customFormat="true" ht="10.95" hidden="false" customHeight="true" outlineLevel="0" collapsed="false">
      <c r="A11384" s="16" t="n">
        <v>45386</v>
      </c>
      <c r="B11384" s="17" t="s">
        <v>3861</v>
      </c>
      <c r="C11384" s="17" t="s">
        <v>3752</v>
      </c>
      <c r="D11384" s="17" t="s">
        <v>2895</v>
      </c>
      <c r="E11384" s="17" t="s">
        <v>2917</v>
      </c>
      <c r="F11384" s="17" t="s">
        <v>3113</v>
      </c>
      <c r="G11384" s="18" t="n">
        <v>11258.9</v>
      </c>
      <c r="H11384" s="18" t="n">
        <v>0</v>
      </c>
      <c r="I11384" s="18" t="n">
        <f aca="false">((I11383 + G11384) - H11384)</f>
        <v>75604.8299999999</v>
      </c>
      <c r="J11384" s="18" t="n">
        <v>0</v>
      </c>
      <c r="K11384" s="19" t="n">
        <v>0</v>
      </c>
      <c r="L11384" s="17"/>
    </row>
    <row r="11385" s="11" customFormat="true" ht="10.95" hidden="false" customHeight="true" outlineLevel="0" collapsed="false">
      <c r="A11385" s="16" t="n">
        <v>45386</v>
      </c>
      <c r="B11385" s="17" t="s">
        <v>3861</v>
      </c>
      <c r="C11385" s="17" t="s">
        <v>3752</v>
      </c>
      <c r="D11385" s="17" t="s">
        <v>2895</v>
      </c>
      <c r="E11385" s="17" t="s">
        <v>2917</v>
      </c>
      <c r="F11385" s="17" t="s">
        <v>3114</v>
      </c>
      <c r="G11385" s="18" t="n">
        <v>376.72</v>
      </c>
      <c r="H11385" s="18" t="n">
        <v>0</v>
      </c>
      <c r="I11385" s="18" t="n">
        <f aca="false">((I11384 + G11385) - H11385)</f>
        <v>75981.5499999999</v>
      </c>
      <c r="J11385" s="18" t="n">
        <v>0</v>
      </c>
      <c r="K11385" s="19" t="n">
        <v>0</v>
      </c>
      <c r="L11385" s="17"/>
    </row>
    <row r="11386" s="11" customFormat="true" ht="10.95" hidden="false" customHeight="true" outlineLevel="0" collapsed="false">
      <c r="A11386" s="16" t="n">
        <v>45386</v>
      </c>
      <c r="B11386" s="17" t="s">
        <v>3861</v>
      </c>
      <c r="C11386" s="17" t="s">
        <v>3752</v>
      </c>
      <c r="D11386" s="17" t="s">
        <v>2895</v>
      </c>
      <c r="E11386" s="17" t="s">
        <v>2917</v>
      </c>
      <c r="F11386" s="17" t="s">
        <v>3115</v>
      </c>
      <c r="G11386" s="18" t="n">
        <v>282.54</v>
      </c>
      <c r="H11386" s="18" t="n">
        <v>0</v>
      </c>
      <c r="I11386" s="18" t="n">
        <f aca="false">((I11385 + G11386) - H11386)</f>
        <v>76264.0899999999</v>
      </c>
      <c r="J11386" s="18" t="n">
        <v>0</v>
      </c>
      <c r="K11386" s="19" t="n">
        <v>0</v>
      </c>
      <c r="L11386" s="17"/>
    </row>
    <row r="11387" s="11" customFormat="true" ht="10.95" hidden="false" customHeight="true" outlineLevel="0" collapsed="false">
      <c r="A11387" s="16" t="n">
        <v>45386</v>
      </c>
      <c r="B11387" s="17" t="s">
        <v>3861</v>
      </c>
      <c r="C11387" s="17" t="s">
        <v>3752</v>
      </c>
      <c r="D11387" s="17" t="s">
        <v>2895</v>
      </c>
      <c r="E11387" s="17" t="s">
        <v>2917</v>
      </c>
      <c r="F11387" s="17" t="s">
        <v>3116</v>
      </c>
      <c r="G11387" s="18" t="n">
        <v>870.97</v>
      </c>
      <c r="H11387" s="18" t="n">
        <v>0</v>
      </c>
      <c r="I11387" s="18" t="n">
        <f aca="false">((I11386 + G11387) - H11387)</f>
        <v>77135.0599999999</v>
      </c>
      <c r="J11387" s="18" t="n">
        <v>0</v>
      </c>
      <c r="K11387" s="19" t="n">
        <v>0</v>
      </c>
      <c r="L11387" s="17"/>
    </row>
    <row r="11388" s="11" customFormat="true" ht="10.95" hidden="false" customHeight="true" outlineLevel="0" collapsed="false">
      <c r="A11388" s="16" t="n">
        <v>45386</v>
      </c>
      <c r="B11388" s="17" t="s">
        <v>3861</v>
      </c>
      <c r="C11388" s="17" t="s">
        <v>3752</v>
      </c>
      <c r="D11388" s="17" t="s">
        <v>2895</v>
      </c>
      <c r="E11388" s="17" t="s">
        <v>2917</v>
      </c>
      <c r="F11388" s="17" t="s">
        <v>3117</v>
      </c>
      <c r="G11388" s="18" t="n">
        <v>177.6</v>
      </c>
      <c r="H11388" s="18" t="n">
        <v>0</v>
      </c>
      <c r="I11388" s="18" t="n">
        <f aca="false">((I11387 + G11388) - H11388)</f>
        <v>77312.66</v>
      </c>
      <c r="J11388" s="18" t="n">
        <v>0</v>
      </c>
      <c r="K11388" s="19" t="n">
        <v>0</v>
      </c>
      <c r="L11388" s="17"/>
    </row>
    <row r="11389" s="11" customFormat="true" ht="10.95" hidden="false" customHeight="true" outlineLevel="0" collapsed="false">
      <c r="A11389" s="16" t="n">
        <v>45386</v>
      </c>
      <c r="B11389" s="17" t="s">
        <v>3861</v>
      </c>
      <c r="C11389" s="17" t="s">
        <v>3752</v>
      </c>
      <c r="D11389" s="17" t="s">
        <v>2903</v>
      </c>
      <c r="E11389" s="17" t="s">
        <v>3652</v>
      </c>
      <c r="F11389" s="17" t="s">
        <v>2531</v>
      </c>
      <c r="G11389" s="18" t="n">
        <v>0</v>
      </c>
      <c r="H11389" s="18" t="n">
        <v>179</v>
      </c>
      <c r="I11389" s="18" t="n">
        <f aca="false">((I11388 + G11389) - H11389)</f>
        <v>77133.66</v>
      </c>
      <c r="J11389" s="18" t="n">
        <v>0</v>
      </c>
      <c r="K11389" s="19" t="n">
        <v>0</v>
      </c>
      <c r="L11389" s="17"/>
    </row>
    <row r="11390" s="11" customFormat="true" ht="10.95" hidden="false" customHeight="true" outlineLevel="0" collapsed="false">
      <c r="A11390" s="16" t="n">
        <v>45386</v>
      </c>
      <c r="B11390" s="17" t="s">
        <v>3861</v>
      </c>
      <c r="C11390" s="17" t="s">
        <v>3752</v>
      </c>
      <c r="D11390" s="17" t="s">
        <v>2903</v>
      </c>
      <c r="E11390" s="17" t="s">
        <v>3652</v>
      </c>
      <c r="F11390" s="17" t="s">
        <v>2529</v>
      </c>
      <c r="G11390" s="18" t="n">
        <v>0</v>
      </c>
      <c r="H11390" s="18" t="n">
        <v>248</v>
      </c>
      <c r="I11390" s="18" t="n">
        <f aca="false">((I11389 + G11390) - H11390)</f>
        <v>76885.66</v>
      </c>
      <c r="J11390" s="18" t="n">
        <v>0</v>
      </c>
      <c r="K11390" s="19" t="n">
        <v>0</v>
      </c>
      <c r="L11390" s="17"/>
    </row>
    <row r="11391" s="11" customFormat="true" ht="10.95" hidden="false" customHeight="true" outlineLevel="0" collapsed="false">
      <c r="A11391" s="16" t="n">
        <v>45386</v>
      </c>
      <c r="B11391" s="17" t="s">
        <v>3861</v>
      </c>
      <c r="C11391" s="17" t="s">
        <v>3752</v>
      </c>
      <c r="D11391" s="17" t="s">
        <v>2895</v>
      </c>
      <c r="E11391" s="17" t="s">
        <v>3391</v>
      </c>
      <c r="F11391" s="17" t="s">
        <v>4359</v>
      </c>
      <c r="G11391" s="18" t="n">
        <v>1100.06</v>
      </c>
      <c r="H11391" s="18" t="n">
        <v>0</v>
      </c>
      <c r="I11391" s="18" t="n">
        <f aca="false">((I11390 + G11391) - H11391)</f>
        <v>77985.7199999999</v>
      </c>
      <c r="J11391" s="18" t="n">
        <v>0</v>
      </c>
      <c r="K11391" s="19" t="n">
        <v>0</v>
      </c>
      <c r="L11391" s="17"/>
    </row>
    <row r="11392" s="11" customFormat="true" ht="10.95" hidden="false" customHeight="true" outlineLevel="0" collapsed="false">
      <c r="A11392" s="16" t="n">
        <v>45386</v>
      </c>
      <c r="B11392" s="17" t="s">
        <v>3861</v>
      </c>
      <c r="C11392" s="17" t="s">
        <v>3752</v>
      </c>
      <c r="D11392" s="17" t="s">
        <v>1407</v>
      </c>
      <c r="E11392" s="17" t="s">
        <v>3863</v>
      </c>
      <c r="F11392" s="17"/>
      <c r="G11392" s="18" t="n">
        <v>0</v>
      </c>
      <c r="H11392" s="18" t="n">
        <v>1.85</v>
      </c>
      <c r="I11392" s="18" t="n">
        <f aca="false">((I11391 + G11392) - H11392)</f>
        <v>77983.8699999999</v>
      </c>
      <c r="J11392" s="18" t="n">
        <v>0</v>
      </c>
      <c r="K11392" s="19" t="n">
        <v>0</v>
      </c>
      <c r="L11392" s="17"/>
    </row>
    <row r="11393" s="11" customFormat="true" ht="10.95" hidden="false" customHeight="true" outlineLevel="0" collapsed="false">
      <c r="A11393" s="16" t="n">
        <v>45386</v>
      </c>
      <c r="B11393" s="17" t="s">
        <v>3861</v>
      </c>
      <c r="C11393" s="17" t="s">
        <v>3752</v>
      </c>
      <c r="D11393" s="17" t="s">
        <v>1407</v>
      </c>
      <c r="E11393" s="17" t="s">
        <v>3734</v>
      </c>
      <c r="F11393" s="17"/>
      <c r="G11393" s="18" t="n">
        <v>0</v>
      </c>
      <c r="H11393" s="18" t="n">
        <v>36.96</v>
      </c>
      <c r="I11393" s="18" t="n">
        <f aca="false">((I11392 + G11393) - H11393)</f>
        <v>77946.9099999999</v>
      </c>
      <c r="J11393" s="18" t="n">
        <v>0</v>
      </c>
      <c r="K11393" s="19" t="n">
        <v>0</v>
      </c>
      <c r="L11393" s="17"/>
    </row>
    <row r="11394" s="11" customFormat="true" ht="10.95" hidden="false" customHeight="true" outlineLevel="0" collapsed="false">
      <c r="A11394" s="16" t="n">
        <v>45386</v>
      </c>
      <c r="B11394" s="17" t="s">
        <v>3861</v>
      </c>
      <c r="C11394" s="17" t="s">
        <v>3752</v>
      </c>
      <c r="D11394" s="17" t="s">
        <v>1407</v>
      </c>
      <c r="E11394" s="17" t="s">
        <v>4360</v>
      </c>
      <c r="F11394" s="17"/>
      <c r="G11394" s="18" t="n">
        <v>0</v>
      </c>
      <c r="H11394" s="18" t="n">
        <v>61.72</v>
      </c>
      <c r="I11394" s="18" t="n">
        <f aca="false">((I11393 + G11394) - H11394)</f>
        <v>77885.1899999999</v>
      </c>
      <c r="J11394" s="18" t="n">
        <v>0</v>
      </c>
      <c r="K11394" s="19" t="n">
        <v>0</v>
      </c>
      <c r="L11394" s="17"/>
    </row>
    <row r="11395" s="11" customFormat="true" ht="10.95" hidden="false" customHeight="true" outlineLevel="0" collapsed="false">
      <c r="A11395" s="16" t="n">
        <v>45387</v>
      </c>
      <c r="B11395" s="17" t="s">
        <v>3861</v>
      </c>
      <c r="C11395" s="17" t="s">
        <v>3752</v>
      </c>
      <c r="D11395" s="17" t="s">
        <v>2895</v>
      </c>
      <c r="E11395" s="17" t="s">
        <v>3482</v>
      </c>
      <c r="F11395" s="17" t="s">
        <v>4361</v>
      </c>
      <c r="G11395" s="18" t="n">
        <v>1861.2</v>
      </c>
      <c r="H11395" s="18" t="n">
        <v>0</v>
      </c>
      <c r="I11395" s="18" t="n">
        <f aca="false">((I11394 + G11395) - H11395)</f>
        <v>79746.3899999999</v>
      </c>
      <c r="J11395" s="18" t="n">
        <v>0</v>
      </c>
      <c r="K11395" s="19" t="n">
        <v>0</v>
      </c>
      <c r="L11395" s="17"/>
    </row>
    <row r="11396" s="11" customFormat="true" ht="10.95" hidden="false" customHeight="true" outlineLevel="0" collapsed="false">
      <c r="A11396" s="16" t="n">
        <v>45387</v>
      </c>
      <c r="B11396" s="17" t="s">
        <v>3861</v>
      </c>
      <c r="C11396" s="17" t="s">
        <v>3752</v>
      </c>
      <c r="D11396" s="17" t="s">
        <v>1407</v>
      </c>
      <c r="E11396" s="17" t="s">
        <v>3436</v>
      </c>
      <c r="F11396" s="17"/>
      <c r="G11396" s="18" t="n">
        <v>0</v>
      </c>
      <c r="H11396" s="18" t="n">
        <v>5</v>
      </c>
      <c r="I11396" s="18" t="n">
        <f aca="false">((I11395 + G11396) - H11396)</f>
        <v>79741.3899999999</v>
      </c>
      <c r="J11396" s="18" t="n">
        <v>0</v>
      </c>
      <c r="K11396" s="19" t="n">
        <v>0</v>
      </c>
      <c r="L11396" s="17"/>
    </row>
    <row r="11397" s="11" customFormat="true" ht="10.95" hidden="false" customHeight="true" outlineLevel="0" collapsed="false">
      <c r="A11397" s="16" t="n">
        <v>45387</v>
      </c>
      <c r="B11397" s="17" t="s">
        <v>3861</v>
      </c>
      <c r="C11397" s="17" t="s">
        <v>3752</v>
      </c>
      <c r="D11397" s="17" t="s">
        <v>2895</v>
      </c>
      <c r="E11397" s="17" t="s">
        <v>3384</v>
      </c>
      <c r="F11397" s="17" t="s">
        <v>4362</v>
      </c>
      <c r="G11397" s="18" t="n">
        <v>1001</v>
      </c>
      <c r="H11397" s="18" t="n">
        <v>0</v>
      </c>
      <c r="I11397" s="18" t="n">
        <f aca="false">((I11396 + G11397) - H11397)</f>
        <v>80742.3899999999</v>
      </c>
      <c r="J11397" s="18" t="n">
        <v>0</v>
      </c>
      <c r="K11397" s="19" t="n">
        <v>0</v>
      </c>
      <c r="L11397" s="17"/>
    </row>
    <row r="11398" s="11" customFormat="true" ht="10.95" hidden="false" customHeight="true" outlineLevel="0" collapsed="false">
      <c r="A11398" s="16" t="n">
        <v>45387</v>
      </c>
      <c r="B11398" s="17" t="s">
        <v>3861</v>
      </c>
      <c r="C11398" s="17" t="s">
        <v>3752</v>
      </c>
      <c r="D11398" s="17" t="s">
        <v>2895</v>
      </c>
      <c r="E11398" s="17" t="s">
        <v>3384</v>
      </c>
      <c r="F11398" s="17" t="s">
        <v>4363</v>
      </c>
      <c r="G11398" s="18" t="n">
        <v>2403.5</v>
      </c>
      <c r="H11398" s="18" t="n">
        <v>0</v>
      </c>
      <c r="I11398" s="18" t="n">
        <f aca="false">((I11397 + G11398) - H11398)</f>
        <v>83145.8899999999</v>
      </c>
      <c r="J11398" s="18" t="n">
        <v>0</v>
      </c>
      <c r="K11398" s="19" t="n">
        <v>0</v>
      </c>
      <c r="L11398" s="17"/>
    </row>
    <row r="11399" s="11" customFormat="true" ht="10.95" hidden="false" customHeight="true" outlineLevel="0" collapsed="false">
      <c r="A11399" s="16" t="n">
        <v>45387</v>
      </c>
      <c r="B11399" s="17" t="s">
        <v>3861</v>
      </c>
      <c r="C11399" s="17" t="s">
        <v>3752</v>
      </c>
      <c r="D11399" s="17" t="s">
        <v>2895</v>
      </c>
      <c r="E11399" s="17" t="s">
        <v>3384</v>
      </c>
      <c r="F11399" s="17" t="s">
        <v>4364</v>
      </c>
      <c r="G11399" s="18" t="n">
        <v>1672</v>
      </c>
      <c r="H11399" s="18" t="n">
        <v>0</v>
      </c>
      <c r="I11399" s="18" t="n">
        <f aca="false">((I11398 + G11399) - H11399)</f>
        <v>84817.8899999999</v>
      </c>
      <c r="J11399" s="18" t="n">
        <v>0</v>
      </c>
      <c r="K11399" s="19" t="n">
        <v>0</v>
      </c>
      <c r="L11399" s="17"/>
    </row>
    <row r="11400" s="11" customFormat="true" ht="10.95" hidden="false" customHeight="true" outlineLevel="0" collapsed="false">
      <c r="A11400" s="16" t="n">
        <v>45387</v>
      </c>
      <c r="B11400" s="17" t="s">
        <v>3861</v>
      </c>
      <c r="C11400" s="17" t="s">
        <v>3752</v>
      </c>
      <c r="D11400" s="17" t="s">
        <v>2895</v>
      </c>
      <c r="E11400" s="17" t="s">
        <v>2947</v>
      </c>
      <c r="F11400" s="17" t="s">
        <v>3118</v>
      </c>
      <c r="G11400" s="18" t="n">
        <v>1746.98</v>
      </c>
      <c r="H11400" s="18" t="n">
        <v>0</v>
      </c>
      <c r="I11400" s="18" t="n">
        <f aca="false">((I11399 + G11400) - H11400)</f>
        <v>86564.8699999999</v>
      </c>
      <c r="J11400" s="18" t="n">
        <v>0</v>
      </c>
      <c r="K11400" s="19" t="n">
        <v>0</v>
      </c>
      <c r="L11400" s="17"/>
    </row>
    <row r="11401" s="11" customFormat="true" ht="10.95" hidden="false" customHeight="true" outlineLevel="0" collapsed="false">
      <c r="A11401" s="16" t="n">
        <v>45387</v>
      </c>
      <c r="B11401" s="17" t="s">
        <v>3861</v>
      </c>
      <c r="C11401" s="17" t="s">
        <v>3752</v>
      </c>
      <c r="D11401" s="17" t="s">
        <v>2903</v>
      </c>
      <c r="E11401" s="17" t="s">
        <v>3724</v>
      </c>
      <c r="F11401" s="17" t="s">
        <v>1544</v>
      </c>
      <c r="G11401" s="18" t="n">
        <v>0</v>
      </c>
      <c r="H11401" s="18" t="n">
        <v>912</v>
      </c>
      <c r="I11401" s="18" t="n">
        <f aca="false">((I11400 + G11401) - H11401)</f>
        <v>85652.8699999999</v>
      </c>
      <c r="J11401" s="18" t="n">
        <v>0</v>
      </c>
      <c r="K11401" s="19" t="n">
        <v>0</v>
      </c>
      <c r="L11401" s="17"/>
    </row>
    <row r="11402" s="11" customFormat="true" ht="10.95" hidden="false" customHeight="true" outlineLevel="0" collapsed="false">
      <c r="A11402" s="16" t="n">
        <v>45387</v>
      </c>
      <c r="B11402" s="17" t="s">
        <v>3861</v>
      </c>
      <c r="C11402" s="17" t="s">
        <v>3752</v>
      </c>
      <c r="D11402" s="17" t="s">
        <v>2903</v>
      </c>
      <c r="E11402" s="17" t="s">
        <v>3119</v>
      </c>
      <c r="F11402" s="17" t="s">
        <v>2535</v>
      </c>
      <c r="G11402" s="18" t="n">
        <v>0</v>
      </c>
      <c r="H11402" s="18" t="n">
        <v>501.6</v>
      </c>
      <c r="I11402" s="18" t="n">
        <f aca="false">((I11401 + G11402) - H11402)</f>
        <v>85151.2699999999</v>
      </c>
      <c r="J11402" s="18" t="n">
        <v>0</v>
      </c>
      <c r="K11402" s="19" t="n">
        <v>0</v>
      </c>
      <c r="L11402" s="17"/>
    </row>
    <row r="11403" s="11" customFormat="true" ht="10.95" hidden="false" customHeight="true" outlineLevel="0" collapsed="false">
      <c r="A11403" s="16" t="n">
        <v>45387</v>
      </c>
      <c r="B11403" s="17" t="s">
        <v>3861</v>
      </c>
      <c r="C11403" s="17" t="s">
        <v>3752</v>
      </c>
      <c r="D11403" s="17" t="s">
        <v>1407</v>
      </c>
      <c r="E11403" s="17" t="s">
        <v>3960</v>
      </c>
      <c r="F11403" s="17"/>
      <c r="G11403" s="18" t="n">
        <v>0</v>
      </c>
      <c r="H11403" s="18" t="n">
        <v>4224.5</v>
      </c>
      <c r="I11403" s="18" t="n">
        <f aca="false">((I11402 + G11403) - H11403)</f>
        <v>80926.7699999999</v>
      </c>
      <c r="J11403" s="18" t="n">
        <v>0</v>
      </c>
      <c r="K11403" s="19" t="n">
        <v>0</v>
      </c>
      <c r="L11403" s="17"/>
    </row>
    <row r="11404" s="11" customFormat="true" ht="10.95" hidden="false" customHeight="true" outlineLevel="0" collapsed="false">
      <c r="A11404" s="16" t="n">
        <v>45387</v>
      </c>
      <c r="B11404" s="17" t="s">
        <v>3861</v>
      </c>
      <c r="C11404" s="17" t="s">
        <v>3752</v>
      </c>
      <c r="D11404" s="17" t="s">
        <v>1407</v>
      </c>
      <c r="E11404" s="17" t="s">
        <v>3863</v>
      </c>
      <c r="F11404" s="17"/>
      <c r="G11404" s="18" t="n">
        <v>0</v>
      </c>
      <c r="H11404" s="18" t="n">
        <v>0.73</v>
      </c>
      <c r="I11404" s="18" t="n">
        <f aca="false">((I11403 + G11404) - H11404)</f>
        <v>80926.0399999999</v>
      </c>
      <c r="J11404" s="18" t="n">
        <v>0</v>
      </c>
      <c r="K11404" s="19" t="n">
        <v>0</v>
      </c>
      <c r="L11404" s="17"/>
    </row>
    <row r="11405" s="11" customFormat="true" ht="10.95" hidden="false" customHeight="true" outlineLevel="0" collapsed="false">
      <c r="A11405" s="16" t="n">
        <v>45387</v>
      </c>
      <c r="B11405" s="17" t="s">
        <v>3861</v>
      </c>
      <c r="C11405" s="17" t="s">
        <v>3752</v>
      </c>
      <c r="D11405" s="17" t="s">
        <v>1407</v>
      </c>
      <c r="E11405" s="17" t="s">
        <v>3863</v>
      </c>
      <c r="F11405" s="17"/>
      <c r="G11405" s="18" t="n">
        <v>0</v>
      </c>
      <c r="H11405" s="18" t="n">
        <v>15.05</v>
      </c>
      <c r="I11405" s="18" t="n">
        <f aca="false">((I11404 + G11405) - H11405)</f>
        <v>80910.9899999999</v>
      </c>
      <c r="J11405" s="18" t="n">
        <v>0</v>
      </c>
      <c r="K11405" s="19" t="n">
        <v>0</v>
      </c>
      <c r="L11405" s="17"/>
    </row>
    <row r="11406" s="11" customFormat="true" ht="10.95" hidden="false" customHeight="true" outlineLevel="0" collapsed="false">
      <c r="A11406" s="16" t="n">
        <v>45387</v>
      </c>
      <c r="B11406" s="17" t="s">
        <v>3861</v>
      </c>
      <c r="C11406" s="17" t="s">
        <v>3752</v>
      </c>
      <c r="D11406" s="17" t="s">
        <v>1407</v>
      </c>
      <c r="E11406" s="17" t="s">
        <v>3647</v>
      </c>
      <c r="F11406" s="17"/>
      <c r="G11406" s="18" t="n">
        <v>0</v>
      </c>
      <c r="H11406" s="18" t="n">
        <v>78.88</v>
      </c>
      <c r="I11406" s="18" t="n">
        <f aca="false">((I11405 + G11406) - H11406)</f>
        <v>80832.1099999999</v>
      </c>
      <c r="J11406" s="18" t="n">
        <v>0</v>
      </c>
      <c r="K11406" s="19" t="n">
        <v>0</v>
      </c>
      <c r="L11406" s="17"/>
    </row>
    <row r="11407" s="11" customFormat="true" ht="10.95" hidden="false" customHeight="true" outlineLevel="0" collapsed="false">
      <c r="A11407" s="16" t="n">
        <v>45387</v>
      </c>
      <c r="B11407" s="17" t="s">
        <v>3861</v>
      </c>
      <c r="C11407" s="17" t="s">
        <v>3752</v>
      </c>
      <c r="D11407" s="17" t="s">
        <v>1407</v>
      </c>
      <c r="E11407" s="17" t="s">
        <v>4195</v>
      </c>
      <c r="F11407" s="17"/>
      <c r="G11407" s="18" t="n">
        <v>0</v>
      </c>
      <c r="H11407" s="18" t="n">
        <v>24.41</v>
      </c>
      <c r="I11407" s="18" t="n">
        <f aca="false">((I11406 + G11407) - H11407)</f>
        <v>80807.6999999999</v>
      </c>
      <c r="J11407" s="18" t="n">
        <v>0</v>
      </c>
      <c r="K11407" s="19" t="n">
        <v>0</v>
      </c>
      <c r="L11407" s="17"/>
    </row>
    <row r="11408" s="11" customFormat="true" ht="10.95" hidden="false" customHeight="true" outlineLevel="0" collapsed="false">
      <c r="A11408" s="16" t="n">
        <v>45387</v>
      </c>
      <c r="B11408" s="17" t="s">
        <v>3861</v>
      </c>
      <c r="C11408" s="17" t="s">
        <v>3752</v>
      </c>
      <c r="D11408" s="17" t="s">
        <v>2895</v>
      </c>
      <c r="E11408" s="17" t="s">
        <v>3378</v>
      </c>
      <c r="F11408" s="17" t="s">
        <v>4365</v>
      </c>
      <c r="G11408" s="18" t="n">
        <v>413.6</v>
      </c>
      <c r="H11408" s="18" t="n">
        <v>0</v>
      </c>
      <c r="I11408" s="18" t="n">
        <f aca="false">((I11407 + G11408) - H11408)</f>
        <v>81221.2999999999</v>
      </c>
      <c r="J11408" s="18" t="n">
        <v>0</v>
      </c>
      <c r="K11408" s="19" t="n">
        <v>0</v>
      </c>
      <c r="L11408" s="17"/>
    </row>
    <row r="11409" s="11" customFormat="true" ht="10.95" hidden="false" customHeight="true" outlineLevel="0" collapsed="false">
      <c r="A11409" s="16" t="n">
        <v>45387</v>
      </c>
      <c r="B11409" s="17" t="s">
        <v>3861</v>
      </c>
      <c r="C11409" s="17" t="s">
        <v>3752</v>
      </c>
      <c r="D11409" s="17" t="s">
        <v>2895</v>
      </c>
      <c r="E11409" s="17" t="s">
        <v>3373</v>
      </c>
      <c r="F11409" s="17" t="s">
        <v>4366</v>
      </c>
      <c r="G11409" s="18" t="n">
        <v>1512.5</v>
      </c>
      <c r="H11409" s="18" t="n">
        <v>0</v>
      </c>
      <c r="I11409" s="18" t="n">
        <f aca="false">((I11408 + G11409) - H11409)</f>
        <v>82733.7999999999</v>
      </c>
      <c r="J11409" s="18" t="n">
        <v>0</v>
      </c>
      <c r="K11409" s="19" t="n">
        <v>0</v>
      </c>
      <c r="L11409" s="17"/>
    </row>
    <row r="11410" s="11" customFormat="true" ht="10.95" hidden="false" customHeight="true" outlineLevel="0" collapsed="false">
      <c r="A11410" s="16" t="n">
        <v>45388</v>
      </c>
      <c r="B11410" s="17" t="s">
        <v>3861</v>
      </c>
      <c r="C11410" s="17" t="s">
        <v>3752</v>
      </c>
      <c r="D11410" s="17" t="s">
        <v>1407</v>
      </c>
      <c r="E11410" s="17" t="s">
        <v>3863</v>
      </c>
      <c r="F11410" s="17"/>
      <c r="G11410" s="18" t="n">
        <v>0</v>
      </c>
      <c r="H11410" s="18" t="n">
        <v>7.61</v>
      </c>
      <c r="I11410" s="18" t="n">
        <f aca="false">((I11409 + G11410) - H11410)</f>
        <v>82726.1899999999</v>
      </c>
      <c r="J11410" s="18" t="n">
        <v>0</v>
      </c>
      <c r="K11410" s="19" t="n">
        <v>0</v>
      </c>
      <c r="L11410" s="17"/>
    </row>
    <row r="11411" s="11" customFormat="true" ht="10.95" hidden="false" customHeight="true" outlineLevel="0" collapsed="false">
      <c r="A11411" s="16" t="n">
        <v>45388</v>
      </c>
      <c r="B11411" s="17" t="s">
        <v>3861</v>
      </c>
      <c r="C11411" s="17" t="s">
        <v>3752</v>
      </c>
      <c r="D11411" s="17" t="s">
        <v>1407</v>
      </c>
      <c r="E11411" s="17" t="s">
        <v>3642</v>
      </c>
      <c r="F11411" s="17"/>
      <c r="G11411" s="18" t="n">
        <v>0</v>
      </c>
      <c r="H11411" s="18" t="n">
        <v>13.2</v>
      </c>
      <c r="I11411" s="18" t="n">
        <f aca="false">((I11410 + G11411) - H11411)</f>
        <v>82712.9899999999</v>
      </c>
      <c r="J11411" s="18" t="n">
        <v>0</v>
      </c>
      <c r="K11411" s="19" t="n">
        <v>0</v>
      </c>
      <c r="L11411" s="17"/>
    </row>
    <row r="11412" s="11" customFormat="true" ht="10.95" hidden="false" customHeight="true" outlineLevel="0" collapsed="false">
      <c r="A11412" s="16" t="n">
        <v>45388</v>
      </c>
      <c r="B11412" s="17" t="s">
        <v>3861</v>
      </c>
      <c r="C11412" s="17" t="s">
        <v>3752</v>
      </c>
      <c r="D11412" s="17" t="s">
        <v>1407</v>
      </c>
      <c r="E11412" s="17" t="s">
        <v>3642</v>
      </c>
      <c r="F11412" s="17"/>
      <c r="G11412" s="18" t="n">
        <v>0</v>
      </c>
      <c r="H11412" s="18" t="n">
        <v>20.57</v>
      </c>
      <c r="I11412" s="18" t="n">
        <f aca="false">((I11411 + G11412) - H11412)</f>
        <v>82692.4199999999</v>
      </c>
      <c r="J11412" s="18" t="n">
        <v>0</v>
      </c>
      <c r="K11412" s="19" t="n">
        <v>0</v>
      </c>
      <c r="L11412" s="17"/>
    </row>
    <row r="11413" s="11" customFormat="true" ht="10.95" hidden="false" customHeight="true" outlineLevel="0" collapsed="false">
      <c r="A11413" s="16" t="n">
        <v>45388</v>
      </c>
      <c r="B11413" s="17" t="s">
        <v>3861</v>
      </c>
      <c r="C11413" s="17" t="s">
        <v>3752</v>
      </c>
      <c r="D11413" s="17" t="s">
        <v>2903</v>
      </c>
      <c r="E11413" s="17" t="s">
        <v>2969</v>
      </c>
      <c r="F11413" s="17" t="s">
        <v>2533</v>
      </c>
      <c r="G11413" s="18" t="n">
        <v>0</v>
      </c>
      <c r="H11413" s="18" t="n">
        <v>253.81</v>
      </c>
      <c r="I11413" s="18" t="n">
        <f aca="false">((I11412 + G11413) - H11413)</f>
        <v>82438.6099999999</v>
      </c>
      <c r="J11413" s="18" t="n">
        <v>0</v>
      </c>
      <c r="K11413" s="19" t="n">
        <v>0</v>
      </c>
      <c r="L11413" s="17"/>
    </row>
    <row r="11414" s="11" customFormat="true" ht="10.95" hidden="false" customHeight="true" outlineLevel="0" collapsed="false">
      <c r="A11414" s="16" t="n">
        <v>45389</v>
      </c>
      <c r="B11414" s="17" t="s">
        <v>3861</v>
      </c>
      <c r="C11414" s="17" t="s">
        <v>3752</v>
      </c>
      <c r="D11414" s="17" t="s">
        <v>1407</v>
      </c>
      <c r="E11414" s="17" t="s">
        <v>2747</v>
      </c>
      <c r="F11414" s="17"/>
      <c r="G11414" s="18" t="n">
        <v>0</v>
      </c>
      <c r="H11414" s="18" t="n">
        <v>35</v>
      </c>
      <c r="I11414" s="18" t="n">
        <f aca="false">((I11413 + G11414) - H11414)</f>
        <v>82403.6099999999</v>
      </c>
      <c r="J11414" s="18" t="n">
        <v>0</v>
      </c>
      <c r="K11414" s="19" t="n">
        <v>0</v>
      </c>
      <c r="L11414" s="17"/>
    </row>
    <row r="11415" s="11" customFormat="true" ht="10.95" hidden="false" customHeight="true" outlineLevel="0" collapsed="false">
      <c r="A11415" s="16" t="n">
        <v>45390</v>
      </c>
      <c r="B11415" s="17" t="s">
        <v>3861</v>
      </c>
      <c r="C11415" s="17" t="s">
        <v>3752</v>
      </c>
      <c r="D11415" s="17" t="s">
        <v>1407</v>
      </c>
      <c r="E11415" s="17" t="s">
        <v>3888</v>
      </c>
      <c r="F11415" s="17"/>
      <c r="G11415" s="18" t="n">
        <v>0</v>
      </c>
      <c r="H11415" s="18" t="n">
        <v>3217.43</v>
      </c>
      <c r="I11415" s="18" t="n">
        <f aca="false">((I11414 + G11415) - H11415)</f>
        <v>79186.1799999999</v>
      </c>
      <c r="J11415" s="18" t="n">
        <v>0</v>
      </c>
      <c r="K11415" s="19" t="n">
        <v>0</v>
      </c>
      <c r="L11415" s="17"/>
    </row>
    <row r="11416" s="11" customFormat="true" ht="10.95" hidden="false" customHeight="true" outlineLevel="0" collapsed="false">
      <c r="A11416" s="16" t="n">
        <v>45390</v>
      </c>
      <c r="B11416" s="17" t="s">
        <v>3861</v>
      </c>
      <c r="C11416" s="17" t="s">
        <v>3752</v>
      </c>
      <c r="D11416" s="17" t="s">
        <v>1407</v>
      </c>
      <c r="E11416" s="17" t="s">
        <v>3863</v>
      </c>
      <c r="F11416" s="17"/>
      <c r="G11416" s="18" t="n">
        <v>0</v>
      </c>
      <c r="H11416" s="18" t="n">
        <v>15.49</v>
      </c>
      <c r="I11416" s="18" t="n">
        <f aca="false">((I11415 + G11416) - H11416)</f>
        <v>79170.6899999999</v>
      </c>
      <c r="J11416" s="18" t="n">
        <v>0</v>
      </c>
      <c r="K11416" s="19" t="n">
        <v>0</v>
      </c>
      <c r="L11416" s="17"/>
    </row>
    <row r="11417" s="11" customFormat="true" ht="10.95" hidden="false" customHeight="true" outlineLevel="0" collapsed="false">
      <c r="A11417" s="16" t="n">
        <v>45390</v>
      </c>
      <c r="B11417" s="17" t="s">
        <v>3861</v>
      </c>
      <c r="C11417" s="17" t="s">
        <v>3752</v>
      </c>
      <c r="D11417" s="17" t="s">
        <v>1407</v>
      </c>
      <c r="E11417" s="17" t="s">
        <v>3808</v>
      </c>
      <c r="F11417" s="17"/>
      <c r="G11417" s="18" t="n">
        <v>0</v>
      </c>
      <c r="H11417" s="18" t="n">
        <v>349.79</v>
      </c>
      <c r="I11417" s="18" t="n">
        <f aca="false">((I11416 + G11417) - H11417)</f>
        <v>78820.8999999999</v>
      </c>
      <c r="J11417" s="18" t="n">
        <v>0</v>
      </c>
      <c r="K11417" s="19" t="n">
        <v>0</v>
      </c>
      <c r="L11417" s="17"/>
    </row>
    <row r="11418" s="11" customFormat="true" ht="10.95" hidden="false" customHeight="true" outlineLevel="0" collapsed="false">
      <c r="A11418" s="16" t="n">
        <v>45391</v>
      </c>
      <c r="B11418" s="17" t="s">
        <v>3861</v>
      </c>
      <c r="C11418" s="17" t="s">
        <v>3752</v>
      </c>
      <c r="D11418" s="17" t="s">
        <v>2895</v>
      </c>
      <c r="E11418" s="17" t="s">
        <v>3403</v>
      </c>
      <c r="F11418" s="17" t="s">
        <v>4367</v>
      </c>
      <c r="G11418" s="18" t="n">
        <v>229.9</v>
      </c>
      <c r="H11418" s="18" t="n">
        <v>0</v>
      </c>
      <c r="I11418" s="18" t="n">
        <f aca="false">((I11417 + G11418) - H11418)</f>
        <v>79050.7999999999</v>
      </c>
      <c r="J11418" s="18" t="n">
        <v>0</v>
      </c>
      <c r="K11418" s="19" t="n">
        <v>0</v>
      </c>
      <c r="L11418" s="17"/>
    </row>
    <row r="11419" s="11" customFormat="true" ht="10.95" hidden="false" customHeight="true" outlineLevel="0" collapsed="false">
      <c r="A11419" s="16" t="n">
        <v>45391</v>
      </c>
      <c r="B11419" s="17" t="s">
        <v>3861</v>
      </c>
      <c r="C11419" s="17" t="s">
        <v>3752</v>
      </c>
      <c r="D11419" s="17" t="s">
        <v>2895</v>
      </c>
      <c r="E11419" s="17" t="s">
        <v>3403</v>
      </c>
      <c r="F11419" s="17" t="s">
        <v>4368</v>
      </c>
      <c r="G11419" s="18" t="n">
        <v>627</v>
      </c>
      <c r="H11419" s="18" t="n">
        <v>0</v>
      </c>
      <c r="I11419" s="18" t="n">
        <f aca="false">((I11418 + G11419) - H11419)</f>
        <v>79677.7999999999</v>
      </c>
      <c r="J11419" s="18" t="n">
        <v>0</v>
      </c>
      <c r="K11419" s="19" t="n">
        <v>0</v>
      </c>
      <c r="L11419" s="17"/>
    </row>
    <row r="11420" s="11" customFormat="true" ht="10.95" hidden="false" customHeight="true" outlineLevel="0" collapsed="false">
      <c r="A11420" s="16" t="n">
        <v>45391</v>
      </c>
      <c r="B11420" s="17" t="s">
        <v>3861</v>
      </c>
      <c r="C11420" s="17" t="s">
        <v>3752</v>
      </c>
      <c r="D11420" s="17" t="s">
        <v>2895</v>
      </c>
      <c r="E11420" s="17" t="s">
        <v>3403</v>
      </c>
      <c r="F11420" s="17" t="s">
        <v>4369</v>
      </c>
      <c r="G11420" s="18" t="n">
        <v>3088.25</v>
      </c>
      <c r="H11420" s="18" t="n">
        <v>0</v>
      </c>
      <c r="I11420" s="18" t="n">
        <f aca="false">((I11419 + G11420) - H11420)</f>
        <v>82766.0499999999</v>
      </c>
      <c r="J11420" s="18" t="n">
        <v>0</v>
      </c>
      <c r="K11420" s="19" t="n">
        <v>0</v>
      </c>
      <c r="L11420" s="17"/>
    </row>
    <row r="11421" s="11" customFormat="true" ht="10.95" hidden="false" customHeight="true" outlineLevel="0" collapsed="false">
      <c r="A11421" s="16" t="n">
        <v>45391</v>
      </c>
      <c r="B11421" s="17" t="s">
        <v>3861</v>
      </c>
      <c r="C11421" s="17" t="s">
        <v>3752</v>
      </c>
      <c r="D11421" s="17" t="s">
        <v>2895</v>
      </c>
      <c r="E11421" s="17" t="s">
        <v>3403</v>
      </c>
      <c r="F11421" s="17" t="s">
        <v>4370</v>
      </c>
      <c r="G11421" s="18" t="n">
        <v>620.4</v>
      </c>
      <c r="H11421" s="18" t="n">
        <v>0</v>
      </c>
      <c r="I11421" s="18" t="n">
        <f aca="false">((I11420 + G11421) - H11421)</f>
        <v>83386.4499999999</v>
      </c>
      <c r="J11421" s="18" t="n">
        <v>0</v>
      </c>
      <c r="K11421" s="19" t="n">
        <v>0</v>
      </c>
      <c r="L11421" s="17"/>
    </row>
    <row r="11422" s="11" customFormat="true" ht="10.95" hidden="false" customHeight="true" outlineLevel="0" collapsed="false">
      <c r="A11422" s="16" t="n">
        <v>45391</v>
      </c>
      <c r="B11422" s="17" t="s">
        <v>3861</v>
      </c>
      <c r="C11422" s="17" t="s">
        <v>3752</v>
      </c>
      <c r="D11422" s="17" t="s">
        <v>2895</v>
      </c>
      <c r="E11422" s="17" t="s">
        <v>3403</v>
      </c>
      <c r="F11422" s="17" t="s">
        <v>4371</v>
      </c>
      <c r="G11422" s="18" t="n">
        <v>1967.9</v>
      </c>
      <c r="H11422" s="18" t="n">
        <v>0</v>
      </c>
      <c r="I11422" s="18" t="n">
        <f aca="false">((I11421 + G11422) - H11422)</f>
        <v>85354.3499999999</v>
      </c>
      <c r="J11422" s="18" t="n">
        <v>0</v>
      </c>
      <c r="K11422" s="19" t="n">
        <v>0</v>
      </c>
      <c r="L11422" s="17"/>
    </row>
    <row r="11423" s="11" customFormat="true" ht="10.95" hidden="false" customHeight="true" outlineLevel="0" collapsed="false">
      <c r="A11423" s="16" t="n">
        <v>45391</v>
      </c>
      <c r="B11423" s="17" t="s">
        <v>3861</v>
      </c>
      <c r="C11423" s="17" t="s">
        <v>3752</v>
      </c>
      <c r="D11423" s="17" t="s">
        <v>2895</v>
      </c>
      <c r="E11423" s="17" t="s">
        <v>3403</v>
      </c>
      <c r="F11423" s="17" t="s">
        <v>4372</v>
      </c>
      <c r="G11423" s="18" t="n">
        <v>618.75</v>
      </c>
      <c r="H11423" s="18" t="n">
        <v>0</v>
      </c>
      <c r="I11423" s="18" t="n">
        <f aca="false">((I11422 + G11423) - H11423)</f>
        <v>85973.0999999999</v>
      </c>
      <c r="J11423" s="18" t="n">
        <v>0</v>
      </c>
      <c r="K11423" s="19" t="n">
        <v>0</v>
      </c>
      <c r="L11423" s="17"/>
    </row>
    <row r="11424" s="11" customFormat="true" ht="10.95" hidden="false" customHeight="true" outlineLevel="0" collapsed="false">
      <c r="A11424" s="16" t="n">
        <v>45391</v>
      </c>
      <c r="B11424" s="17" t="s">
        <v>3861</v>
      </c>
      <c r="C11424" s="17" t="s">
        <v>3752</v>
      </c>
      <c r="D11424" s="17" t="s">
        <v>2895</v>
      </c>
      <c r="E11424" s="17" t="s">
        <v>3403</v>
      </c>
      <c r="F11424" s="17" t="s">
        <v>4373</v>
      </c>
      <c r="G11424" s="18" t="n">
        <v>103.4</v>
      </c>
      <c r="H11424" s="18" t="n">
        <v>0</v>
      </c>
      <c r="I11424" s="18" t="n">
        <f aca="false">((I11423 + G11424) - H11424)</f>
        <v>86076.4999999999</v>
      </c>
      <c r="J11424" s="18" t="n">
        <v>0</v>
      </c>
      <c r="K11424" s="19" t="n">
        <v>0</v>
      </c>
      <c r="L11424" s="17"/>
    </row>
    <row r="11425" s="11" customFormat="true" ht="10.95" hidden="false" customHeight="true" outlineLevel="0" collapsed="false">
      <c r="A11425" s="16" t="n">
        <v>45391</v>
      </c>
      <c r="B11425" s="17" t="s">
        <v>3861</v>
      </c>
      <c r="C11425" s="17" t="s">
        <v>3752</v>
      </c>
      <c r="D11425" s="17" t="s">
        <v>2895</v>
      </c>
      <c r="E11425" s="17" t="s">
        <v>3403</v>
      </c>
      <c r="F11425" s="17" t="s">
        <v>4374</v>
      </c>
      <c r="G11425" s="18" t="n">
        <v>310.2</v>
      </c>
      <c r="H11425" s="18" t="n">
        <v>0</v>
      </c>
      <c r="I11425" s="18" t="n">
        <f aca="false">((I11424 + G11425) - H11425)</f>
        <v>86386.6999999999</v>
      </c>
      <c r="J11425" s="18" t="n">
        <v>0</v>
      </c>
      <c r="K11425" s="19" t="n">
        <v>0</v>
      </c>
      <c r="L11425" s="17"/>
    </row>
    <row r="11426" s="11" customFormat="true" ht="10.95" hidden="false" customHeight="true" outlineLevel="0" collapsed="false">
      <c r="A11426" s="16" t="n">
        <v>45391</v>
      </c>
      <c r="B11426" s="17" t="s">
        <v>3861</v>
      </c>
      <c r="C11426" s="17" t="s">
        <v>3752</v>
      </c>
      <c r="D11426" s="17" t="s">
        <v>2895</v>
      </c>
      <c r="E11426" s="17" t="s">
        <v>3403</v>
      </c>
      <c r="F11426" s="17" t="s">
        <v>4375</v>
      </c>
      <c r="G11426" s="18" t="n">
        <v>1568.6</v>
      </c>
      <c r="H11426" s="18" t="n">
        <v>0</v>
      </c>
      <c r="I11426" s="18" t="n">
        <f aca="false">((I11425 + G11426) - H11426)</f>
        <v>87955.2999999999</v>
      </c>
      <c r="J11426" s="18" t="n">
        <v>0</v>
      </c>
      <c r="K11426" s="19" t="n">
        <v>0</v>
      </c>
      <c r="L11426" s="17"/>
    </row>
    <row r="11427" s="11" customFormat="true" ht="10.95" hidden="false" customHeight="true" outlineLevel="0" collapsed="false">
      <c r="A11427" s="16" t="n">
        <v>45391</v>
      </c>
      <c r="B11427" s="17" t="s">
        <v>3861</v>
      </c>
      <c r="C11427" s="17" t="s">
        <v>3752</v>
      </c>
      <c r="D11427" s="17" t="s">
        <v>2895</v>
      </c>
      <c r="E11427" s="17" t="s">
        <v>3403</v>
      </c>
      <c r="F11427" s="17" t="s">
        <v>4376</v>
      </c>
      <c r="G11427" s="18" t="n">
        <v>316.8</v>
      </c>
      <c r="H11427" s="18" t="n">
        <v>0</v>
      </c>
      <c r="I11427" s="18" t="n">
        <f aca="false">((I11426 + G11427) - H11427)</f>
        <v>88272.0999999999</v>
      </c>
      <c r="J11427" s="18" t="n">
        <v>0</v>
      </c>
      <c r="K11427" s="19" t="n">
        <v>0</v>
      </c>
      <c r="L11427" s="17"/>
    </row>
    <row r="11428" s="11" customFormat="true" ht="10.95" hidden="false" customHeight="true" outlineLevel="0" collapsed="false">
      <c r="A11428" s="16" t="n">
        <v>45391</v>
      </c>
      <c r="B11428" s="17" t="s">
        <v>3861</v>
      </c>
      <c r="C11428" s="17" t="s">
        <v>3752</v>
      </c>
      <c r="D11428" s="17" t="s">
        <v>2895</v>
      </c>
      <c r="E11428" s="17" t="s">
        <v>3403</v>
      </c>
      <c r="F11428" s="17" t="s">
        <v>4377</v>
      </c>
      <c r="G11428" s="18" t="n">
        <v>517</v>
      </c>
      <c r="H11428" s="18" t="n">
        <v>0</v>
      </c>
      <c r="I11428" s="18" t="n">
        <f aca="false">((I11427 + G11428) - H11428)</f>
        <v>88789.0999999999</v>
      </c>
      <c r="J11428" s="18" t="n">
        <v>0</v>
      </c>
      <c r="K11428" s="19" t="n">
        <v>0</v>
      </c>
      <c r="L11428" s="17"/>
    </row>
    <row r="11429" s="11" customFormat="true" ht="10.95" hidden="false" customHeight="true" outlineLevel="0" collapsed="false">
      <c r="A11429" s="16" t="n">
        <v>45391</v>
      </c>
      <c r="B11429" s="17" t="s">
        <v>3861</v>
      </c>
      <c r="C11429" s="17" t="s">
        <v>3752</v>
      </c>
      <c r="D11429" s="17" t="s">
        <v>2895</v>
      </c>
      <c r="E11429" s="17" t="s">
        <v>3403</v>
      </c>
      <c r="F11429" s="17" t="s">
        <v>4378</v>
      </c>
      <c r="G11429" s="18" t="n">
        <v>206.8</v>
      </c>
      <c r="H11429" s="18" t="n">
        <v>0</v>
      </c>
      <c r="I11429" s="18" t="n">
        <f aca="false">((I11428 + G11429) - H11429)</f>
        <v>88995.8999999999</v>
      </c>
      <c r="J11429" s="18" t="n">
        <v>0</v>
      </c>
      <c r="K11429" s="19" t="n">
        <v>0</v>
      </c>
      <c r="L11429" s="17"/>
    </row>
    <row r="11430" s="11" customFormat="true" ht="10.95" hidden="false" customHeight="true" outlineLevel="0" collapsed="false">
      <c r="A11430" s="16" t="n">
        <v>45391</v>
      </c>
      <c r="B11430" s="17" t="s">
        <v>3861</v>
      </c>
      <c r="C11430" s="17" t="s">
        <v>3752</v>
      </c>
      <c r="D11430" s="17" t="s">
        <v>2895</v>
      </c>
      <c r="E11430" s="17" t="s">
        <v>3403</v>
      </c>
      <c r="F11430" s="17" t="s">
        <v>4379</v>
      </c>
      <c r="G11430" s="18" t="n">
        <v>741.4</v>
      </c>
      <c r="H11430" s="18" t="n">
        <v>0</v>
      </c>
      <c r="I11430" s="18" t="n">
        <f aca="false">((I11429 + G11430) - H11430)</f>
        <v>89737.2999999999</v>
      </c>
      <c r="J11430" s="18" t="n">
        <v>0</v>
      </c>
      <c r="K11430" s="19" t="n">
        <v>0</v>
      </c>
      <c r="L11430" s="17"/>
    </row>
    <row r="11431" s="11" customFormat="true" ht="10.95" hidden="false" customHeight="true" outlineLevel="0" collapsed="false">
      <c r="A11431" s="16" t="n">
        <v>45391</v>
      </c>
      <c r="B11431" s="17" t="s">
        <v>3861</v>
      </c>
      <c r="C11431" s="17" t="s">
        <v>3752</v>
      </c>
      <c r="D11431" s="17" t="s">
        <v>2895</v>
      </c>
      <c r="E11431" s="17" t="s">
        <v>3403</v>
      </c>
      <c r="F11431" s="17" t="s">
        <v>4380</v>
      </c>
      <c r="G11431" s="18" t="n">
        <v>827.2</v>
      </c>
      <c r="H11431" s="18" t="n">
        <v>0</v>
      </c>
      <c r="I11431" s="18" t="n">
        <f aca="false">((I11430 + G11431) - H11431)</f>
        <v>90564.4999999999</v>
      </c>
      <c r="J11431" s="18" t="n">
        <v>0</v>
      </c>
      <c r="K11431" s="19" t="n">
        <v>0</v>
      </c>
      <c r="L11431" s="17"/>
    </row>
    <row r="11432" s="11" customFormat="true" ht="10.95" hidden="false" customHeight="true" outlineLevel="0" collapsed="false">
      <c r="A11432" s="16" t="n">
        <v>45391</v>
      </c>
      <c r="B11432" s="17" t="s">
        <v>3861</v>
      </c>
      <c r="C11432" s="17" t="s">
        <v>3752</v>
      </c>
      <c r="D11432" s="17" t="s">
        <v>2895</v>
      </c>
      <c r="E11432" s="17" t="s">
        <v>3529</v>
      </c>
      <c r="F11432" s="17" t="s">
        <v>4381</v>
      </c>
      <c r="G11432" s="18" t="n">
        <v>176</v>
      </c>
      <c r="H11432" s="18" t="n">
        <v>0</v>
      </c>
      <c r="I11432" s="18" t="n">
        <f aca="false">((I11431 + G11432) - H11432)</f>
        <v>90740.4999999999</v>
      </c>
      <c r="J11432" s="18" t="n">
        <v>0</v>
      </c>
      <c r="K11432" s="19" t="n">
        <v>0</v>
      </c>
      <c r="L11432" s="17"/>
    </row>
    <row r="11433" s="11" customFormat="true" ht="10.95" hidden="false" customHeight="true" outlineLevel="0" collapsed="false">
      <c r="A11433" s="16" t="n">
        <v>45391</v>
      </c>
      <c r="B11433" s="17" t="s">
        <v>3861</v>
      </c>
      <c r="C11433" s="17" t="s">
        <v>3752</v>
      </c>
      <c r="D11433" s="17" t="s">
        <v>1407</v>
      </c>
      <c r="E11433" s="17" t="s">
        <v>3436</v>
      </c>
      <c r="F11433" s="17"/>
      <c r="G11433" s="18" t="n">
        <v>0</v>
      </c>
      <c r="H11433" s="18" t="n">
        <v>5</v>
      </c>
      <c r="I11433" s="18" t="n">
        <f aca="false">((I11432 + G11433) - H11433)</f>
        <v>90735.4999999999</v>
      </c>
      <c r="J11433" s="18" t="n">
        <v>0</v>
      </c>
      <c r="K11433" s="19" t="n">
        <v>0</v>
      </c>
      <c r="L11433" s="17"/>
    </row>
    <row r="11434" s="11" customFormat="true" ht="10.95" hidden="false" customHeight="true" outlineLevel="0" collapsed="false">
      <c r="A11434" s="16" t="n">
        <v>45391</v>
      </c>
      <c r="B11434" s="17" t="s">
        <v>3861</v>
      </c>
      <c r="C11434" s="17" t="s">
        <v>3752</v>
      </c>
      <c r="D11434" s="17" t="s">
        <v>2895</v>
      </c>
      <c r="E11434" s="17" t="s">
        <v>3384</v>
      </c>
      <c r="F11434" s="17" t="s">
        <v>4382</v>
      </c>
      <c r="G11434" s="18" t="n">
        <v>2403.5</v>
      </c>
      <c r="H11434" s="18" t="n">
        <v>0</v>
      </c>
      <c r="I11434" s="18" t="n">
        <f aca="false">((I11433 + G11434) - H11434)</f>
        <v>93138.9999999999</v>
      </c>
      <c r="J11434" s="18" t="n">
        <v>0</v>
      </c>
      <c r="K11434" s="19" t="n">
        <v>0</v>
      </c>
      <c r="L11434" s="17"/>
    </row>
    <row r="11435" s="11" customFormat="true" ht="10.95" hidden="false" customHeight="true" outlineLevel="0" collapsed="false">
      <c r="A11435" s="16" t="n">
        <v>45391</v>
      </c>
      <c r="B11435" s="17" t="s">
        <v>3861</v>
      </c>
      <c r="C11435" s="17" t="s">
        <v>3752</v>
      </c>
      <c r="D11435" s="17" t="s">
        <v>2895</v>
      </c>
      <c r="E11435" s="17" t="s">
        <v>3384</v>
      </c>
      <c r="F11435" s="17" t="s">
        <v>4383</v>
      </c>
      <c r="G11435" s="18" t="n">
        <v>1672</v>
      </c>
      <c r="H11435" s="18" t="n">
        <v>0</v>
      </c>
      <c r="I11435" s="18" t="n">
        <f aca="false">((I11434 + G11435) - H11435)</f>
        <v>94810.9999999999</v>
      </c>
      <c r="J11435" s="18" t="n">
        <v>0</v>
      </c>
      <c r="K11435" s="19" t="n">
        <v>0</v>
      </c>
      <c r="L11435" s="17"/>
    </row>
    <row r="11436" s="11" customFormat="true" ht="10.95" hidden="false" customHeight="true" outlineLevel="0" collapsed="false">
      <c r="A11436" s="16" t="n">
        <v>45391</v>
      </c>
      <c r="B11436" s="17" t="s">
        <v>3861</v>
      </c>
      <c r="C11436" s="17" t="s">
        <v>3752</v>
      </c>
      <c r="D11436" s="17" t="s">
        <v>2895</v>
      </c>
      <c r="E11436" s="17" t="s">
        <v>3384</v>
      </c>
      <c r="F11436" s="17" t="s">
        <v>4384</v>
      </c>
      <c r="G11436" s="18" t="n">
        <v>1001</v>
      </c>
      <c r="H11436" s="18" t="n">
        <v>0</v>
      </c>
      <c r="I11436" s="18" t="n">
        <f aca="false">((I11435 + G11436) - H11436)</f>
        <v>95811.9999999999</v>
      </c>
      <c r="J11436" s="18" t="n">
        <v>0</v>
      </c>
      <c r="K11436" s="19" t="n">
        <v>0</v>
      </c>
      <c r="L11436" s="17"/>
    </row>
    <row r="11437" s="11" customFormat="true" ht="10.95" hidden="false" customHeight="true" outlineLevel="0" collapsed="false">
      <c r="A11437" s="16" t="n">
        <v>45391</v>
      </c>
      <c r="B11437" s="17" t="s">
        <v>3861</v>
      </c>
      <c r="C11437" s="17" t="s">
        <v>3752</v>
      </c>
      <c r="D11437" s="17" t="s">
        <v>1407</v>
      </c>
      <c r="E11437" s="17" t="s">
        <v>3863</v>
      </c>
      <c r="F11437" s="17"/>
      <c r="G11437" s="18" t="n">
        <v>0</v>
      </c>
      <c r="H11437" s="18" t="n">
        <v>3.09</v>
      </c>
      <c r="I11437" s="18" t="n">
        <f aca="false">((I11436 + G11437) - H11437)</f>
        <v>95808.9099999999</v>
      </c>
      <c r="J11437" s="18" t="n">
        <v>0</v>
      </c>
      <c r="K11437" s="19" t="n">
        <v>0</v>
      </c>
      <c r="L11437" s="17"/>
    </row>
    <row r="11438" s="11" customFormat="true" ht="10.95" hidden="false" customHeight="true" outlineLevel="0" collapsed="false">
      <c r="A11438" s="16" t="n">
        <v>45391</v>
      </c>
      <c r="B11438" s="17" t="s">
        <v>3861</v>
      </c>
      <c r="C11438" s="17" t="s">
        <v>3752</v>
      </c>
      <c r="D11438" s="17" t="s">
        <v>1407</v>
      </c>
      <c r="E11438" s="17" t="s">
        <v>3626</v>
      </c>
      <c r="F11438" s="17"/>
      <c r="G11438" s="18" t="n">
        <v>0</v>
      </c>
      <c r="H11438" s="18" t="n">
        <v>71.5</v>
      </c>
      <c r="I11438" s="18" t="n">
        <f aca="false">((I11437 + G11438) - H11438)</f>
        <v>95737.4099999999</v>
      </c>
      <c r="J11438" s="18" t="n">
        <v>0</v>
      </c>
      <c r="K11438" s="19" t="n">
        <v>0</v>
      </c>
      <c r="L11438" s="17"/>
    </row>
    <row r="11439" s="11" customFormat="true" ht="10.95" hidden="false" customHeight="true" outlineLevel="0" collapsed="false">
      <c r="A11439" s="16" t="n">
        <v>45391</v>
      </c>
      <c r="B11439" s="17" t="s">
        <v>3861</v>
      </c>
      <c r="C11439" s="17" t="s">
        <v>3752</v>
      </c>
      <c r="D11439" s="17" t="s">
        <v>1407</v>
      </c>
      <c r="E11439" s="17" t="s">
        <v>3878</v>
      </c>
      <c r="F11439" s="17"/>
      <c r="G11439" s="18" t="n">
        <v>0</v>
      </c>
      <c r="H11439" s="18" t="n">
        <v>1417</v>
      </c>
      <c r="I11439" s="18" t="n">
        <f aca="false">((I11438 + G11439) - H11439)</f>
        <v>94320.4099999999</v>
      </c>
      <c r="J11439" s="18" t="n">
        <v>0</v>
      </c>
      <c r="K11439" s="19" t="n">
        <v>0</v>
      </c>
      <c r="L11439" s="17"/>
    </row>
    <row r="11440" s="11" customFormat="true" ht="10.95" hidden="false" customHeight="true" outlineLevel="0" collapsed="false">
      <c r="A11440" s="16" t="n">
        <v>45391</v>
      </c>
      <c r="B11440" s="17" t="s">
        <v>3861</v>
      </c>
      <c r="C11440" s="17" t="s">
        <v>3752</v>
      </c>
      <c r="D11440" s="17" t="s">
        <v>1407</v>
      </c>
      <c r="E11440" s="17" t="s">
        <v>3836</v>
      </c>
      <c r="F11440" s="17"/>
      <c r="G11440" s="18" t="n">
        <v>0</v>
      </c>
      <c r="H11440" s="18" t="n">
        <v>103.13</v>
      </c>
      <c r="I11440" s="18" t="n">
        <f aca="false">((I11439 + G11440) - H11440)</f>
        <v>94217.2799999999</v>
      </c>
      <c r="J11440" s="18" t="n">
        <v>0</v>
      </c>
      <c r="K11440" s="19" t="n">
        <v>0</v>
      </c>
      <c r="L11440" s="17"/>
    </row>
    <row r="11441" s="11" customFormat="true" ht="10.95" hidden="false" customHeight="true" outlineLevel="0" collapsed="false">
      <c r="A11441" s="16" t="n">
        <v>45391</v>
      </c>
      <c r="B11441" s="17" t="s">
        <v>3861</v>
      </c>
      <c r="C11441" s="17" t="s">
        <v>3752</v>
      </c>
      <c r="D11441" s="17" t="s">
        <v>2903</v>
      </c>
      <c r="E11441" s="17" t="s">
        <v>3643</v>
      </c>
      <c r="F11441" s="17" t="s">
        <v>1550</v>
      </c>
      <c r="G11441" s="18" t="n">
        <v>0</v>
      </c>
      <c r="H11441" s="18" t="n">
        <v>2316.36</v>
      </c>
      <c r="I11441" s="18" t="n">
        <f aca="false">((I11440 + G11441) - H11441)</f>
        <v>91900.9199999999</v>
      </c>
      <c r="J11441" s="18" t="n">
        <v>0</v>
      </c>
      <c r="K11441" s="19" t="n">
        <v>0</v>
      </c>
      <c r="L11441" s="17"/>
    </row>
    <row r="11442" s="11" customFormat="true" ht="10.95" hidden="false" customHeight="true" outlineLevel="0" collapsed="false">
      <c r="A11442" s="16" t="n">
        <v>45392</v>
      </c>
      <c r="B11442" s="17" t="s">
        <v>3861</v>
      </c>
      <c r="C11442" s="17" t="s">
        <v>3752</v>
      </c>
      <c r="D11442" s="17" t="s">
        <v>2895</v>
      </c>
      <c r="E11442" s="17" t="s">
        <v>2934</v>
      </c>
      <c r="F11442" s="17" t="s">
        <v>3120</v>
      </c>
      <c r="G11442" s="18" t="n">
        <v>5758.67</v>
      </c>
      <c r="H11442" s="18" t="n">
        <v>0</v>
      </c>
      <c r="I11442" s="18" t="n">
        <f aca="false">((I11441 + G11442) - H11442)</f>
        <v>97659.5899999999</v>
      </c>
      <c r="J11442" s="18" t="n">
        <v>0</v>
      </c>
      <c r="K11442" s="19" t="n">
        <v>0</v>
      </c>
      <c r="L11442" s="17"/>
    </row>
    <row r="11443" s="11" customFormat="true" ht="10.95" hidden="false" customHeight="true" outlineLevel="0" collapsed="false">
      <c r="A11443" s="16" t="n">
        <v>45392</v>
      </c>
      <c r="B11443" s="17" t="s">
        <v>3861</v>
      </c>
      <c r="C11443" s="17" t="s">
        <v>3752</v>
      </c>
      <c r="D11443" s="17" t="s">
        <v>2895</v>
      </c>
      <c r="E11443" s="17" t="s">
        <v>2934</v>
      </c>
      <c r="F11443" s="17" t="s">
        <v>3121</v>
      </c>
      <c r="G11443" s="18" t="n">
        <v>879.8</v>
      </c>
      <c r="H11443" s="18" t="n">
        <v>0</v>
      </c>
      <c r="I11443" s="18" t="n">
        <f aca="false">((I11442 + G11443) - H11443)</f>
        <v>98539.3899999999</v>
      </c>
      <c r="J11443" s="18" t="n">
        <v>0</v>
      </c>
      <c r="K11443" s="19" t="n">
        <v>0</v>
      </c>
      <c r="L11443" s="17"/>
    </row>
    <row r="11444" s="11" customFormat="true" ht="10.95" hidden="false" customHeight="true" outlineLevel="0" collapsed="false">
      <c r="A11444" s="16" t="n">
        <v>45392</v>
      </c>
      <c r="B11444" s="17" t="s">
        <v>3861</v>
      </c>
      <c r="C11444" s="17" t="s">
        <v>3752</v>
      </c>
      <c r="D11444" s="17" t="s">
        <v>2895</v>
      </c>
      <c r="E11444" s="17" t="s">
        <v>2906</v>
      </c>
      <c r="F11444" s="17" t="s">
        <v>3122</v>
      </c>
      <c r="G11444" s="18" t="n">
        <v>3014.26</v>
      </c>
      <c r="H11444" s="18" t="n">
        <v>0</v>
      </c>
      <c r="I11444" s="18" t="n">
        <f aca="false">((I11443 + G11444) - H11444)</f>
        <v>101553.65</v>
      </c>
      <c r="J11444" s="18" t="n">
        <v>0</v>
      </c>
      <c r="K11444" s="19" t="n">
        <v>0</v>
      </c>
      <c r="L11444" s="17"/>
    </row>
    <row r="11445" s="11" customFormat="true" ht="10.95" hidden="false" customHeight="true" outlineLevel="0" collapsed="false">
      <c r="A11445" s="16" t="n">
        <v>45392</v>
      </c>
      <c r="B11445" s="17" t="s">
        <v>3861</v>
      </c>
      <c r="C11445" s="17" t="s">
        <v>3752</v>
      </c>
      <c r="D11445" s="17" t="s">
        <v>1407</v>
      </c>
      <c r="E11445" s="17" t="s">
        <v>3863</v>
      </c>
      <c r="F11445" s="17"/>
      <c r="G11445" s="18" t="n">
        <v>0</v>
      </c>
      <c r="H11445" s="18" t="n">
        <v>2.47</v>
      </c>
      <c r="I11445" s="18" t="n">
        <f aca="false">((I11444 + G11445) - H11445)</f>
        <v>101551.18</v>
      </c>
      <c r="J11445" s="18" t="n">
        <v>0</v>
      </c>
      <c r="K11445" s="19" t="n">
        <v>0</v>
      </c>
      <c r="L11445" s="17"/>
    </row>
    <row r="11446" s="11" customFormat="true" ht="10.95" hidden="false" customHeight="true" outlineLevel="0" collapsed="false">
      <c r="A11446" s="16" t="n">
        <v>45392</v>
      </c>
      <c r="B11446" s="17" t="s">
        <v>3861</v>
      </c>
      <c r="C11446" s="17" t="s">
        <v>3752</v>
      </c>
      <c r="D11446" s="17" t="s">
        <v>1407</v>
      </c>
      <c r="E11446" s="17" t="s">
        <v>3896</v>
      </c>
      <c r="F11446" s="17"/>
      <c r="G11446" s="18" t="n">
        <v>0</v>
      </c>
      <c r="H11446" s="18" t="n">
        <v>20.99</v>
      </c>
      <c r="I11446" s="18" t="n">
        <f aca="false">((I11445 + G11446) - H11446)</f>
        <v>101530.19</v>
      </c>
      <c r="J11446" s="18" t="n">
        <v>0</v>
      </c>
      <c r="K11446" s="19" t="n">
        <v>0</v>
      </c>
      <c r="L11446" s="17"/>
    </row>
    <row r="11447" s="11" customFormat="true" ht="10.95" hidden="false" customHeight="true" outlineLevel="0" collapsed="false">
      <c r="A11447" s="16" t="n">
        <v>45392</v>
      </c>
      <c r="B11447" s="17" t="s">
        <v>3861</v>
      </c>
      <c r="C11447" s="17" t="s">
        <v>3752</v>
      </c>
      <c r="D11447" s="17" t="s">
        <v>1407</v>
      </c>
      <c r="E11447" s="17" t="s">
        <v>3881</v>
      </c>
      <c r="F11447" s="17"/>
      <c r="G11447" s="18" t="n">
        <v>0</v>
      </c>
      <c r="H11447" s="18" t="n">
        <v>140</v>
      </c>
      <c r="I11447" s="18" t="n">
        <f aca="false">((I11446 + G11447) - H11447)</f>
        <v>101390.19</v>
      </c>
      <c r="J11447" s="18" t="n">
        <v>0</v>
      </c>
      <c r="K11447" s="19" t="n">
        <v>0</v>
      </c>
      <c r="L11447" s="17"/>
    </row>
    <row r="11448" s="11" customFormat="true" ht="10.95" hidden="false" customHeight="true" outlineLevel="0" collapsed="false">
      <c r="A11448" s="16" t="n">
        <v>45392</v>
      </c>
      <c r="B11448" s="17" t="s">
        <v>3861</v>
      </c>
      <c r="C11448" s="17" t="s">
        <v>3752</v>
      </c>
      <c r="D11448" s="17" t="s">
        <v>2903</v>
      </c>
      <c r="E11448" s="17" t="s">
        <v>3637</v>
      </c>
      <c r="F11448" s="17" t="s">
        <v>2696</v>
      </c>
      <c r="G11448" s="18" t="n">
        <v>0</v>
      </c>
      <c r="H11448" s="18" t="n">
        <v>731.5</v>
      </c>
      <c r="I11448" s="18" t="n">
        <f aca="false">((I11447 + G11448) - H11448)</f>
        <v>100658.69</v>
      </c>
      <c r="J11448" s="18" t="n">
        <v>0</v>
      </c>
      <c r="K11448" s="19" t="n">
        <v>0</v>
      </c>
      <c r="L11448" s="17"/>
    </row>
    <row r="11449" s="11" customFormat="true" ht="10.95" hidden="false" customHeight="true" outlineLevel="0" collapsed="false">
      <c r="A11449" s="16" t="n">
        <v>45392</v>
      </c>
      <c r="B11449" s="17" t="s">
        <v>3861</v>
      </c>
      <c r="C11449" s="17" t="s">
        <v>3752</v>
      </c>
      <c r="D11449" s="17" t="s">
        <v>1407</v>
      </c>
      <c r="E11449" s="17" t="s">
        <v>3880</v>
      </c>
      <c r="F11449" s="17"/>
      <c r="G11449" s="18" t="n">
        <v>0</v>
      </c>
      <c r="H11449" s="18" t="n">
        <v>1207</v>
      </c>
      <c r="I11449" s="18" t="n">
        <f aca="false">((I11448 + G11449) - H11449)</f>
        <v>99451.6899999999</v>
      </c>
      <c r="J11449" s="18" t="n">
        <v>0</v>
      </c>
      <c r="K11449" s="19" t="n">
        <v>0</v>
      </c>
      <c r="L11449" s="17"/>
    </row>
    <row r="11450" s="11" customFormat="true" ht="10.95" hidden="false" customHeight="true" outlineLevel="0" collapsed="false">
      <c r="A11450" s="16" t="n">
        <v>45392</v>
      </c>
      <c r="B11450" s="17" t="s">
        <v>3861</v>
      </c>
      <c r="C11450" s="17" t="s">
        <v>3752</v>
      </c>
      <c r="D11450" s="17" t="s">
        <v>1407</v>
      </c>
      <c r="E11450" s="17" t="s">
        <v>3879</v>
      </c>
      <c r="F11450" s="17"/>
      <c r="G11450" s="18" t="n">
        <v>0</v>
      </c>
      <c r="H11450" s="18" t="n">
        <v>1207</v>
      </c>
      <c r="I11450" s="18" t="n">
        <f aca="false">((I11449 + G11450) - H11450)</f>
        <v>98244.6899999999</v>
      </c>
      <c r="J11450" s="18" t="n">
        <v>0</v>
      </c>
      <c r="K11450" s="19" t="n">
        <v>0</v>
      </c>
      <c r="L11450" s="17"/>
    </row>
    <row r="11451" s="11" customFormat="true" ht="10.95" hidden="false" customHeight="true" outlineLevel="0" collapsed="false">
      <c r="A11451" s="16" t="n">
        <v>45392</v>
      </c>
      <c r="B11451" s="17" t="s">
        <v>3861</v>
      </c>
      <c r="C11451" s="17" t="s">
        <v>3752</v>
      </c>
      <c r="D11451" s="17" t="s">
        <v>1407</v>
      </c>
      <c r="E11451" s="17" t="s">
        <v>3808</v>
      </c>
      <c r="F11451" s="17"/>
      <c r="G11451" s="18" t="n">
        <v>0</v>
      </c>
      <c r="H11451" s="18" t="n">
        <v>1705.92</v>
      </c>
      <c r="I11451" s="18" t="n">
        <f aca="false">((I11450 + G11451) - H11451)</f>
        <v>96538.7699999999</v>
      </c>
      <c r="J11451" s="18" t="n">
        <v>0</v>
      </c>
      <c r="K11451" s="19" t="n">
        <v>0</v>
      </c>
      <c r="L11451" s="17"/>
    </row>
    <row r="11452" s="11" customFormat="true" ht="10.95" hidden="false" customHeight="true" outlineLevel="0" collapsed="false">
      <c r="A11452" s="16" t="n">
        <v>45392</v>
      </c>
      <c r="B11452" s="17" t="s">
        <v>3861</v>
      </c>
      <c r="C11452" s="17" t="s">
        <v>3752</v>
      </c>
      <c r="D11452" s="17" t="s">
        <v>1407</v>
      </c>
      <c r="E11452" s="17" t="s">
        <v>3880</v>
      </c>
      <c r="F11452" s="17"/>
      <c r="G11452" s="18" t="n">
        <v>0</v>
      </c>
      <c r="H11452" s="18" t="n">
        <v>360</v>
      </c>
      <c r="I11452" s="18" t="n">
        <f aca="false">((I11451 + G11452) - H11452)</f>
        <v>96178.7699999999</v>
      </c>
      <c r="J11452" s="18" t="n">
        <v>0</v>
      </c>
      <c r="K11452" s="19" t="n">
        <v>0</v>
      </c>
      <c r="L11452" s="17"/>
    </row>
    <row r="11453" s="11" customFormat="true" ht="10.95" hidden="false" customHeight="true" outlineLevel="0" collapsed="false">
      <c r="A11453" s="16" t="n">
        <v>45392</v>
      </c>
      <c r="B11453" s="17" t="s">
        <v>3861</v>
      </c>
      <c r="C11453" s="17" t="s">
        <v>3752</v>
      </c>
      <c r="D11453" s="17" t="s">
        <v>1407</v>
      </c>
      <c r="E11453" s="17" t="s">
        <v>4224</v>
      </c>
      <c r="F11453" s="17"/>
      <c r="G11453" s="18" t="n">
        <v>0</v>
      </c>
      <c r="H11453" s="18" t="n">
        <v>82.47</v>
      </c>
      <c r="I11453" s="18" t="n">
        <f aca="false">((I11452 + G11453) - H11453)</f>
        <v>96096.2999999999</v>
      </c>
      <c r="J11453" s="18" t="n">
        <v>0</v>
      </c>
      <c r="K11453" s="19" t="n">
        <v>0</v>
      </c>
      <c r="L11453" s="17"/>
    </row>
    <row r="11454" s="11" customFormat="true" ht="10.95" hidden="false" customHeight="true" outlineLevel="0" collapsed="false">
      <c r="A11454" s="16" t="n">
        <v>45393</v>
      </c>
      <c r="B11454" s="17" t="s">
        <v>3861</v>
      </c>
      <c r="C11454" s="17" t="s">
        <v>3752</v>
      </c>
      <c r="D11454" s="17" t="s">
        <v>1407</v>
      </c>
      <c r="E11454" s="17" t="s">
        <v>3863</v>
      </c>
      <c r="F11454" s="17"/>
      <c r="G11454" s="18" t="n">
        <v>0</v>
      </c>
      <c r="H11454" s="18" t="n">
        <v>0.23</v>
      </c>
      <c r="I11454" s="18" t="n">
        <f aca="false">((I11453 + G11454) - H11454)</f>
        <v>96096.0699999999</v>
      </c>
      <c r="J11454" s="18" t="n">
        <v>0</v>
      </c>
      <c r="K11454" s="19" t="n">
        <v>0</v>
      </c>
      <c r="L11454" s="17"/>
    </row>
    <row r="11455" s="11" customFormat="true" ht="10.95" hidden="false" customHeight="true" outlineLevel="0" collapsed="false">
      <c r="A11455" s="16" t="n">
        <v>45393</v>
      </c>
      <c r="B11455" s="17" t="s">
        <v>3861</v>
      </c>
      <c r="C11455" s="17" t="s">
        <v>3752</v>
      </c>
      <c r="D11455" s="17" t="s">
        <v>1407</v>
      </c>
      <c r="E11455" s="17" t="s">
        <v>3863</v>
      </c>
      <c r="F11455" s="17"/>
      <c r="G11455" s="18" t="n">
        <v>0</v>
      </c>
      <c r="H11455" s="18" t="n">
        <v>0.69</v>
      </c>
      <c r="I11455" s="18" t="n">
        <f aca="false">((I11454 + G11455) - H11455)</f>
        <v>96095.3799999999</v>
      </c>
      <c r="J11455" s="18" t="n">
        <v>0</v>
      </c>
      <c r="K11455" s="19" t="n">
        <v>0</v>
      </c>
      <c r="L11455" s="17"/>
    </row>
    <row r="11456" s="11" customFormat="true" ht="10.95" hidden="false" customHeight="true" outlineLevel="0" collapsed="false">
      <c r="A11456" s="16" t="n">
        <v>45393</v>
      </c>
      <c r="B11456" s="17" t="s">
        <v>3861</v>
      </c>
      <c r="C11456" s="17" t="s">
        <v>3752</v>
      </c>
      <c r="D11456" s="17" t="s">
        <v>1407</v>
      </c>
      <c r="E11456" s="17" t="s">
        <v>3863</v>
      </c>
      <c r="F11456" s="17"/>
      <c r="G11456" s="18" t="n">
        <v>0</v>
      </c>
      <c r="H11456" s="18" t="n">
        <v>1.07</v>
      </c>
      <c r="I11456" s="18" t="n">
        <f aca="false">((I11455 + G11456) - H11456)</f>
        <v>96094.3099999999</v>
      </c>
      <c r="J11456" s="18" t="n">
        <v>0</v>
      </c>
      <c r="K11456" s="19" t="n">
        <v>0</v>
      </c>
      <c r="L11456" s="17"/>
    </row>
    <row r="11457" s="11" customFormat="true" ht="10.95" hidden="false" customHeight="true" outlineLevel="0" collapsed="false">
      <c r="A11457" s="16" t="n">
        <v>45393</v>
      </c>
      <c r="B11457" s="17" t="s">
        <v>3861</v>
      </c>
      <c r="C11457" s="17" t="s">
        <v>3752</v>
      </c>
      <c r="D11457" s="17" t="s">
        <v>1407</v>
      </c>
      <c r="E11457" s="17" t="s">
        <v>3767</v>
      </c>
      <c r="F11457" s="17" t="s">
        <v>2781</v>
      </c>
      <c r="G11457" s="18" t="n">
        <v>0</v>
      </c>
      <c r="H11457" s="18" t="n">
        <v>7.63</v>
      </c>
      <c r="I11457" s="18" t="n">
        <f aca="false">((I11456 + G11457) - H11457)</f>
        <v>96086.6799999999</v>
      </c>
      <c r="J11457" s="18" t="n">
        <v>0</v>
      </c>
      <c r="K11457" s="19" t="n">
        <v>0</v>
      </c>
      <c r="L11457" s="17"/>
    </row>
    <row r="11458" s="11" customFormat="true" ht="10.95" hidden="false" customHeight="true" outlineLevel="0" collapsed="false">
      <c r="A11458" s="16" t="n">
        <v>45393</v>
      </c>
      <c r="B11458" s="17" t="s">
        <v>3861</v>
      </c>
      <c r="C11458" s="17" t="s">
        <v>3752</v>
      </c>
      <c r="D11458" s="17" t="s">
        <v>1407</v>
      </c>
      <c r="E11458" s="17" t="s">
        <v>3767</v>
      </c>
      <c r="F11458" s="17" t="s">
        <v>2781</v>
      </c>
      <c r="G11458" s="18" t="n">
        <v>0</v>
      </c>
      <c r="H11458" s="18" t="n">
        <v>23.14</v>
      </c>
      <c r="I11458" s="18" t="n">
        <f aca="false">((I11457 + G11458) - H11458)</f>
        <v>96063.5399999999</v>
      </c>
      <c r="J11458" s="18" t="n">
        <v>0</v>
      </c>
      <c r="K11458" s="19" t="n">
        <v>0</v>
      </c>
      <c r="L11458" s="17"/>
    </row>
    <row r="11459" s="11" customFormat="true" ht="10.95" hidden="false" customHeight="true" outlineLevel="0" collapsed="false">
      <c r="A11459" s="16" t="n">
        <v>45393</v>
      </c>
      <c r="B11459" s="17" t="s">
        <v>3861</v>
      </c>
      <c r="C11459" s="17" t="s">
        <v>3752</v>
      </c>
      <c r="D11459" s="17" t="s">
        <v>1407</v>
      </c>
      <c r="E11459" s="17" t="s">
        <v>3863</v>
      </c>
      <c r="F11459" s="17"/>
      <c r="G11459" s="18" t="n">
        <v>0</v>
      </c>
      <c r="H11459" s="18" t="n">
        <v>24.17</v>
      </c>
      <c r="I11459" s="18" t="n">
        <f aca="false">((I11458 + G11459) - H11459)</f>
        <v>96039.3699999999</v>
      </c>
      <c r="J11459" s="18" t="n">
        <v>0</v>
      </c>
      <c r="K11459" s="19" t="n">
        <v>0</v>
      </c>
      <c r="L11459" s="17"/>
    </row>
    <row r="11460" s="11" customFormat="true" ht="10.95" hidden="false" customHeight="true" outlineLevel="0" collapsed="false">
      <c r="A11460" s="16" t="n">
        <v>45393</v>
      </c>
      <c r="B11460" s="17" t="s">
        <v>3861</v>
      </c>
      <c r="C11460" s="17" t="s">
        <v>3752</v>
      </c>
      <c r="D11460" s="17" t="s">
        <v>1407</v>
      </c>
      <c r="E11460" s="17" t="s">
        <v>3767</v>
      </c>
      <c r="F11460" s="17" t="s">
        <v>2781</v>
      </c>
      <c r="G11460" s="18" t="n">
        <v>0</v>
      </c>
      <c r="H11460" s="18" t="n">
        <v>35.64</v>
      </c>
      <c r="I11460" s="18" t="n">
        <f aca="false">((I11459 + G11460) - H11460)</f>
        <v>96003.7299999999</v>
      </c>
      <c r="J11460" s="18" t="n">
        <v>0</v>
      </c>
      <c r="K11460" s="19" t="n">
        <v>0</v>
      </c>
      <c r="L11460" s="17"/>
    </row>
    <row r="11461" s="11" customFormat="true" ht="10.95" hidden="false" customHeight="true" outlineLevel="0" collapsed="false">
      <c r="A11461" s="16" t="n">
        <v>45393</v>
      </c>
      <c r="B11461" s="17" t="s">
        <v>3861</v>
      </c>
      <c r="C11461" s="17" t="s">
        <v>3752</v>
      </c>
      <c r="D11461" s="17" t="s">
        <v>1407</v>
      </c>
      <c r="E11461" s="17" t="s">
        <v>3779</v>
      </c>
      <c r="F11461" s="17"/>
      <c r="G11461" s="18" t="n">
        <v>0</v>
      </c>
      <c r="H11461" s="18" t="n">
        <v>805.59</v>
      </c>
      <c r="I11461" s="18" t="n">
        <f aca="false">((I11460 + G11461) - H11461)</f>
        <v>95198.1399999999</v>
      </c>
      <c r="J11461" s="18" t="n">
        <v>0</v>
      </c>
      <c r="K11461" s="19" t="n">
        <v>0</v>
      </c>
      <c r="L11461" s="17"/>
    </row>
    <row r="11462" s="11" customFormat="true" ht="10.95" hidden="false" customHeight="true" outlineLevel="0" collapsed="false">
      <c r="A11462" s="16" t="n">
        <v>45394</v>
      </c>
      <c r="B11462" s="17" t="s">
        <v>3861</v>
      </c>
      <c r="C11462" s="17" t="s">
        <v>3752</v>
      </c>
      <c r="D11462" s="17" t="s">
        <v>3753</v>
      </c>
      <c r="E11462" s="17" t="s">
        <v>4060</v>
      </c>
      <c r="F11462" s="17" t="s">
        <v>4061</v>
      </c>
      <c r="G11462" s="18" t="n">
        <v>0</v>
      </c>
      <c r="H11462" s="18" t="n">
        <v>7821.05</v>
      </c>
      <c r="I11462" s="18" t="n">
        <f aca="false">((I11461 + G11462) - H11462)</f>
        <v>87377.0899999999</v>
      </c>
      <c r="J11462" s="18" t="n">
        <v>0</v>
      </c>
      <c r="K11462" s="19" t="n">
        <v>0</v>
      </c>
      <c r="L11462" s="17"/>
    </row>
    <row r="11463" s="11" customFormat="true" ht="10.95" hidden="false" customHeight="true" outlineLevel="0" collapsed="false">
      <c r="A11463" s="16" t="n">
        <v>45394</v>
      </c>
      <c r="B11463" s="17" t="s">
        <v>3861</v>
      </c>
      <c r="C11463" s="17" t="s">
        <v>3752</v>
      </c>
      <c r="D11463" s="17" t="s">
        <v>1407</v>
      </c>
      <c r="E11463" s="17" t="s">
        <v>3863</v>
      </c>
      <c r="F11463" s="17"/>
      <c r="G11463" s="18" t="n">
        <v>0</v>
      </c>
      <c r="H11463" s="18" t="n">
        <v>0.23</v>
      </c>
      <c r="I11463" s="18" t="n">
        <f aca="false">((I11462 + G11463) - H11463)</f>
        <v>87376.8599999999</v>
      </c>
      <c r="J11463" s="18" t="n">
        <v>0</v>
      </c>
      <c r="K11463" s="19" t="n">
        <v>0</v>
      </c>
      <c r="L11463" s="17"/>
    </row>
    <row r="11464" s="11" customFormat="true" ht="10.95" hidden="false" customHeight="true" outlineLevel="0" collapsed="false">
      <c r="A11464" s="16" t="n">
        <v>45394</v>
      </c>
      <c r="B11464" s="17" t="s">
        <v>3861</v>
      </c>
      <c r="C11464" s="17" t="s">
        <v>3752</v>
      </c>
      <c r="D11464" s="17" t="s">
        <v>1407</v>
      </c>
      <c r="E11464" s="17" t="s">
        <v>3863</v>
      </c>
      <c r="F11464" s="17"/>
      <c r="G11464" s="18" t="n">
        <v>0</v>
      </c>
      <c r="H11464" s="18" t="n">
        <v>0.23</v>
      </c>
      <c r="I11464" s="18" t="n">
        <f aca="false">((I11463 + G11464) - H11464)</f>
        <v>87376.6299999999</v>
      </c>
      <c r="J11464" s="18" t="n">
        <v>0</v>
      </c>
      <c r="K11464" s="19" t="n">
        <v>0</v>
      </c>
      <c r="L11464" s="17"/>
    </row>
    <row r="11465" s="11" customFormat="true" ht="10.95" hidden="false" customHeight="true" outlineLevel="0" collapsed="false">
      <c r="A11465" s="16" t="n">
        <v>45394</v>
      </c>
      <c r="B11465" s="17" t="s">
        <v>3861</v>
      </c>
      <c r="C11465" s="17" t="s">
        <v>3752</v>
      </c>
      <c r="D11465" s="17" t="s">
        <v>1407</v>
      </c>
      <c r="E11465" s="17" t="s">
        <v>3863</v>
      </c>
      <c r="F11465" s="17"/>
      <c r="G11465" s="18" t="n">
        <v>0</v>
      </c>
      <c r="H11465" s="18" t="n">
        <v>0.36</v>
      </c>
      <c r="I11465" s="18" t="n">
        <f aca="false">((I11464 + G11465) - H11465)</f>
        <v>87376.2699999999</v>
      </c>
      <c r="J11465" s="18" t="n">
        <v>0</v>
      </c>
      <c r="K11465" s="19" t="n">
        <v>0</v>
      </c>
      <c r="L11465" s="17"/>
    </row>
    <row r="11466" s="11" customFormat="true" ht="10.95" hidden="false" customHeight="true" outlineLevel="0" collapsed="false">
      <c r="A11466" s="16" t="n">
        <v>45394</v>
      </c>
      <c r="B11466" s="17" t="s">
        <v>3861</v>
      </c>
      <c r="C11466" s="17" t="s">
        <v>3752</v>
      </c>
      <c r="D11466" s="17" t="s">
        <v>1407</v>
      </c>
      <c r="E11466" s="17" t="s">
        <v>3863</v>
      </c>
      <c r="F11466" s="17"/>
      <c r="G11466" s="18" t="n">
        <v>0</v>
      </c>
      <c r="H11466" s="18" t="n">
        <v>0.74</v>
      </c>
      <c r="I11466" s="18" t="n">
        <f aca="false">((I11465 + G11466) - H11466)</f>
        <v>87375.5299999999</v>
      </c>
      <c r="J11466" s="18" t="n">
        <v>0</v>
      </c>
      <c r="K11466" s="19" t="n">
        <v>0</v>
      </c>
      <c r="L11466" s="17"/>
    </row>
    <row r="11467" s="11" customFormat="true" ht="10.95" hidden="false" customHeight="true" outlineLevel="0" collapsed="false">
      <c r="A11467" s="16" t="n">
        <v>45394</v>
      </c>
      <c r="B11467" s="17" t="s">
        <v>3861</v>
      </c>
      <c r="C11467" s="17" t="s">
        <v>3752</v>
      </c>
      <c r="D11467" s="17" t="s">
        <v>1407</v>
      </c>
      <c r="E11467" s="17" t="s">
        <v>3863</v>
      </c>
      <c r="F11467" s="17"/>
      <c r="G11467" s="18" t="n">
        <v>0</v>
      </c>
      <c r="H11467" s="18" t="n">
        <v>2.24</v>
      </c>
      <c r="I11467" s="18" t="n">
        <f aca="false">((I11466 + G11467) - H11467)</f>
        <v>87373.2899999999</v>
      </c>
      <c r="J11467" s="18" t="n">
        <v>0</v>
      </c>
      <c r="K11467" s="19" t="n">
        <v>0</v>
      </c>
      <c r="L11467" s="17"/>
    </row>
    <row r="11468" s="11" customFormat="true" ht="10.95" hidden="false" customHeight="true" outlineLevel="0" collapsed="false">
      <c r="A11468" s="16" t="n">
        <v>45394</v>
      </c>
      <c r="B11468" s="17" t="s">
        <v>3861</v>
      </c>
      <c r="C11468" s="17" t="s">
        <v>3752</v>
      </c>
      <c r="D11468" s="17" t="s">
        <v>1407</v>
      </c>
      <c r="E11468" s="17" t="s">
        <v>3767</v>
      </c>
      <c r="F11468" s="17" t="s">
        <v>2781</v>
      </c>
      <c r="G11468" s="18" t="n">
        <v>0</v>
      </c>
      <c r="H11468" s="18" t="n">
        <v>7.63</v>
      </c>
      <c r="I11468" s="18" t="n">
        <f aca="false">((I11467 + G11468) - H11468)</f>
        <v>87365.6599999999</v>
      </c>
      <c r="J11468" s="18" t="n">
        <v>0</v>
      </c>
      <c r="K11468" s="19" t="n">
        <v>0</v>
      </c>
      <c r="L11468" s="17"/>
    </row>
    <row r="11469" s="11" customFormat="true" ht="10.95" hidden="false" customHeight="true" outlineLevel="0" collapsed="false">
      <c r="A11469" s="16" t="n">
        <v>45394</v>
      </c>
      <c r="B11469" s="17" t="s">
        <v>3861</v>
      </c>
      <c r="C11469" s="17" t="s">
        <v>3752</v>
      </c>
      <c r="D11469" s="17" t="s">
        <v>1407</v>
      </c>
      <c r="E11469" s="17" t="s">
        <v>3767</v>
      </c>
      <c r="F11469" s="17" t="s">
        <v>2781</v>
      </c>
      <c r="G11469" s="18" t="n">
        <v>0</v>
      </c>
      <c r="H11469" s="18" t="n">
        <v>7.63</v>
      </c>
      <c r="I11469" s="18" t="n">
        <f aca="false">((I11468 + G11469) - H11469)</f>
        <v>87358.0299999999</v>
      </c>
      <c r="J11469" s="18" t="n">
        <v>0</v>
      </c>
      <c r="K11469" s="19" t="n">
        <v>0</v>
      </c>
      <c r="L11469" s="17"/>
    </row>
    <row r="11470" s="11" customFormat="true" ht="10.95" hidden="false" customHeight="true" outlineLevel="0" collapsed="false">
      <c r="A11470" s="16" t="n">
        <v>45394</v>
      </c>
      <c r="B11470" s="17" t="s">
        <v>3861</v>
      </c>
      <c r="C11470" s="17" t="s">
        <v>3752</v>
      </c>
      <c r="D11470" s="17" t="s">
        <v>1407</v>
      </c>
      <c r="E11470" s="17" t="s">
        <v>4385</v>
      </c>
      <c r="F11470" s="17"/>
      <c r="G11470" s="18" t="n">
        <v>0</v>
      </c>
      <c r="H11470" s="18" t="n">
        <v>12.13</v>
      </c>
      <c r="I11470" s="18" t="n">
        <f aca="false">((I11469 + G11470) - H11470)</f>
        <v>87345.8999999999</v>
      </c>
      <c r="J11470" s="18" t="n">
        <v>0</v>
      </c>
      <c r="K11470" s="19" t="n">
        <v>0</v>
      </c>
      <c r="L11470" s="17"/>
    </row>
    <row r="11471" s="11" customFormat="true" ht="10.95" hidden="false" customHeight="true" outlineLevel="0" collapsed="false">
      <c r="A11471" s="16" t="n">
        <v>45394</v>
      </c>
      <c r="B11471" s="17" t="s">
        <v>3861</v>
      </c>
      <c r="C11471" s="17" t="s">
        <v>3752</v>
      </c>
      <c r="D11471" s="17" t="s">
        <v>1407</v>
      </c>
      <c r="E11471" s="17" t="s">
        <v>3767</v>
      </c>
      <c r="F11471" s="17" t="s">
        <v>2781</v>
      </c>
      <c r="G11471" s="18" t="n">
        <v>0</v>
      </c>
      <c r="H11471" s="18" t="n">
        <v>24.65</v>
      </c>
      <c r="I11471" s="18" t="n">
        <f aca="false">((I11470 + G11471) - H11471)</f>
        <v>87321.2499999999</v>
      </c>
      <c r="J11471" s="18" t="n">
        <v>0</v>
      </c>
      <c r="K11471" s="19" t="n">
        <v>0</v>
      </c>
      <c r="L11471" s="17"/>
    </row>
    <row r="11472" s="11" customFormat="true" ht="10.95" hidden="false" customHeight="true" outlineLevel="0" collapsed="false">
      <c r="A11472" s="16" t="n">
        <v>45394</v>
      </c>
      <c r="B11472" s="17" t="s">
        <v>3861</v>
      </c>
      <c r="C11472" s="17" t="s">
        <v>3752</v>
      </c>
      <c r="D11472" s="17" t="s">
        <v>1407</v>
      </c>
      <c r="E11472" s="17" t="s">
        <v>3897</v>
      </c>
      <c r="F11472" s="17"/>
      <c r="G11472" s="18" t="n">
        <v>0</v>
      </c>
      <c r="H11472" s="18" t="n">
        <v>30</v>
      </c>
      <c r="I11472" s="18" t="n">
        <f aca="false">((I11471 + G11472) - H11472)</f>
        <v>87291.2499999999</v>
      </c>
      <c r="J11472" s="18" t="n">
        <v>0</v>
      </c>
      <c r="K11472" s="19" t="n">
        <v>0</v>
      </c>
      <c r="L11472" s="17"/>
    </row>
    <row r="11473" s="11" customFormat="true" ht="10.95" hidden="false" customHeight="true" outlineLevel="0" collapsed="false">
      <c r="A11473" s="16" t="n">
        <v>45394</v>
      </c>
      <c r="B11473" s="17" t="s">
        <v>3861</v>
      </c>
      <c r="C11473" s="17" t="s">
        <v>3752</v>
      </c>
      <c r="D11473" s="17" t="s">
        <v>1407</v>
      </c>
      <c r="E11473" s="17" t="s">
        <v>3778</v>
      </c>
      <c r="F11473" s="17"/>
      <c r="G11473" s="18" t="n">
        <v>0</v>
      </c>
      <c r="H11473" s="18" t="n">
        <v>74.68</v>
      </c>
      <c r="I11473" s="18" t="n">
        <f aca="false">((I11472 + G11473) - H11473)</f>
        <v>87216.5699999999</v>
      </c>
      <c r="J11473" s="18" t="n">
        <v>0</v>
      </c>
      <c r="K11473" s="19" t="n">
        <v>0</v>
      </c>
      <c r="L11473" s="17"/>
    </row>
    <row r="11474" s="11" customFormat="true" ht="10.95" hidden="false" customHeight="true" outlineLevel="0" collapsed="false">
      <c r="A11474" s="16" t="n">
        <v>45394</v>
      </c>
      <c r="B11474" s="17" t="s">
        <v>3861</v>
      </c>
      <c r="C11474" s="17" t="s">
        <v>3752</v>
      </c>
      <c r="D11474" s="17" t="s">
        <v>1407</v>
      </c>
      <c r="E11474" s="17" t="s">
        <v>4063</v>
      </c>
      <c r="F11474" s="17"/>
      <c r="G11474" s="18" t="n">
        <v>0</v>
      </c>
      <c r="H11474" s="18" t="n">
        <v>5000</v>
      </c>
      <c r="I11474" s="18" t="n">
        <f aca="false">((I11473 + G11474) - H11474)</f>
        <v>82216.5699999999</v>
      </c>
      <c r="J11474" s="18" t="n">
        <v>0</v>
      </c>
      <c r="K11474" s="19" t="n">
        <v>0</v>
      </c>
      <c r="L11474" s="17"/>
    </row>
    <row r="11475" s="11" customFormat="true" ht="10.95" hidden="false" customHeight="true" outlineLevel="0" collapsed="false">
      <c r="A11475" s="16" t="n">
        <v>45396</v>
      </c>
      <c r="B11475" s="17" t="s">
        <v>3861</v>
      </c>
      <c r="C11475" s="17" t="s">
        <v>3752</v>
      </c>
      <c r="D11475" s="17" t="s">
        <v>1407</v>
      </c>
      <c r="E11475" s="17" t="s">
        <v>4386</v>
      </c>
      <c r="F11475" s="17"/>
      <c r="G11475" s="18" t="n">
        <v>0</v>
      </c>
      <c r="H11475" s="18" t="n">
        <v>39.99</v>
      </c>
      <c r="I11475" s="18" t="n">
        <f aca="false">((I11474 + G11475) - H11475)</f>
        <v>82176.5799999999</v>
      </c>
      <c r="J11475" s="18" t="n">
        <v>0</v>
      </c>
      <c r="K11475" s="19" t="n">
        <v>0</v>
      </c>
      <c r="L11475" s="17"/>
    </row>
    <row r="11476" s="11" customFormat="true" ht="10.95" hidden="false" customHeight="true" outlineLevel="0" collapsed="false">
      <c r="A11476" s="16" t="n">
        <v>45398</v>
      </c>
      <c r="B11476" s="17" t="s">
        <v>3861</v>
      </c>
      <c r="C11476" s="17" t="s">
        <v>3752</v>
      </c>
      <c r="D11476" s="17" t="s">
        <v>1407</v>
      </c>
      <c r="E11476" s="17" t="s">
        <v>3863</v>
      </c>
      <c r="F11476" s="17"/>
      <c r="G11476" s="18" t="n">
        <v>0</v>
      </c>
      <c r="H11476" s="18" t="n">
        <v>0.46</v>
      </c>
      <c r="I11476" s="18" t="n">
        <f aca="false">((I11475 + G11476) - H11476)</f>
        <v>82176.1199999999</v>
      </c>
      <c r="J11476" s="18" t="n">
        <v>0</v>
      </c>
      <c r="K11476" s="19" t="n">
        <v>0</v>
      </c>
      <c r="L11476" s="17"/>
    </row>
    <row r="11477" s="11" customFormat="true" ht="10.95" hidden="false" customHeight="true" outlineLevel="0" collapsed="false">
      <c r="A11477" s="16" t="n">
        <v>45398</v>
      </c>
      <c r="B11477" s="17" t="s">
        <v>3861</v>
      </c>
      <c r="C11477" s="17" t="s">
        <v>3752</v>
      </c>
      <c r="D11477" s="17" t="s">
        <v>1407</v>
      </c>
      <c r="E11477" s="17" t="s">
        <v>3863</v>
      </c>
      <c r="F11477" s="17"/>
      <c r="G11477" s="18" t="n">
        <v>0</v>
      </c>
      <c r="H11477" s="18" t="n">
        <v>6.07</v>
      </c>
      <c r="I11477" s="18" t="n">
        <f aca="false">((I11476 + G11477) - H11477)</f>
        <v>82170.0499999999</v>
      </c>
      <c r="J11477" s="18" t="n">
        <v>0</v>
      </c>
      <c r="K11477" s="19" t="n">
        <v>0</v>
      </c>
      <c r="L11477" s="17"/>
    </row>
    <row r="11478" s="11" customFormat="true" ht="10.95" hidden="false" customHeight="true" outlineLevel="0" collapsed="false">
      <c r="A11478" s="16" t="n">
        <v>45398</v>
      </c>
      <c r="B11478" s="17" t="s">
        <v>3861</v>
      </c>
      <c r="C11478" s="17" t="s">
        <v>3752</v>
      </c>
      <c r="D11478" s="17" t="s">
        <v>1407</v>
      </c>
      <c r="E11478" s="17" t="s">
        <v>3899</v>
      </c>
      <c r="F11478" s="17"/>
      <c r="G11478" s="18" t="n">
        <v>0</v>
      </c>
      <c r="H11478" s="18" t="n">
        <v>15.37</v>
      </c>
      <c r="I11478" s="18" t="n">
        <f aca="false">((I11477 + G11478) - H11478)</f>
        <v>82154.6799999999</v>
      </c>
      <c r="J11478" s="18" t="n">
        <v>0</v>
      </c>
      <c r="K11478" s="19" t="n">
        <v>0</v>
      </c>
      <c r="L11478" s="17"/>
    </row>
    <row r="11479" s="11" customFormat="true" ht="10.95" hidden="false" customHeight="true" outlineLevel="0" collapsed="false">
      <c r="A11479" s="16" t="n">
        <v>45398</v>
      </c>
      <c r="B11479" s="17" t="s">
        <v>3861</v>
      </c>
      <c r="C11479" s="17" t="s">
        <v>3752</v>
      </c>
      <c r="D11479" s="17" t="s">
        <v>1407</v>
      </c>
      <c r="E11479" s="17" t="s">
        <v>3878</v>
      </c>
      <c r="F11479" s="17"/>
      <c r="G11479" s="18" t="n">
        <v>0</v>
      </c>
      <c r="H11479" s="18" t="n">
        <v>1417</v>
      </c>
      <c r="I11479" s="18" t="n">
        <f aca="false">((I11478 + G11479) - H11479)</f>
        <v>80737.6799999999</v>
      </c>
      <c r="J11479" s="18" t="n">
        <v>0</v>
      </c>
      <c r="K11479" s="19" t="n">
        <v>0</v>
      </c>
      <c r="L11479" s="17"/>
    </row>
    <row r="11480" s="11" customFormat="true" ht="10.95" hidden="false" customHeight="true" outlineLevel="0" collapsed="false">
      <c r="A11480" s="16" t="n">
        <v>45398</v>
      </c>
      <c r="B11480" s="17" t="s">
        <v>3861</v>
      </c>
      <c r="C11480" s="17" t="s">
        <v>3752</v>
      </c>
      <c r="D11480" s="17" t="s">
        <v>1407</v>
      </c>
      <c r="E11480" s="17" t="s">
        <v>1583</v>
      </c>
      <c r="F11480" s="17"/>
      <c r="G11480" s="18" t="n">
        <v>0</v>
      </c>
      <c r="H11480" s="18" t="n">
        <v>202.34</v>
      </c>
      <c r="I11480" s="18" t="n">
        <f aca="false">((I11479 + G11480) - H11480)</f>
        <v>80535.3399999999</v>
      </c>
      <c r="J11480" s="18" t="n">
        <v>0</v>
      </c>
      <c r="K11480" s="19" t="n">
        <v>0</v>
      </c>
      <c r="L11480" s="17"/>
    </row>
    <row r="11481" s="11" customFormat="true" ht="10.95" hidden="false" customHeight="true" outlineLevel="0" collapsed="false">
      <c r="A11481" s="16" t="n">
        <v>45399</v>
      </c>
      <c r="B11481" s="17" t="s">
        <v>3861</v>
      </c>
      <c r="C11481" s="17" t="s">
        <v>3752</v>
      </c>
      <c r="D11481" s="17" t="s">
        <v>1407</v>
      </c>
      <c r="E11481" s="17" t="s">
        <v>3881</v>
      </c>
      <c r="F11481" s="17"/>
      <c r="G11481" s="18" t="n">
        <v>0</v>
      </c>
      <c r="H11481" s="18" t="n">
        <v>140</v>
      </c>
      <c r="I11481" s="18" t="n">
        <f aca="false">((I11480 + G11481) - H11481)</f>
        <v>80395.3399999999</v>
      </c>
      <c r="J11481" s="18" t="n">
        <v>0</v>
      </c>
      <c r="K11481" s="19" t="n">
        <v>0</v>
      </c>
      <c r="L11481" s="17"/>
    </row>
    <row r="11482" s="11" customFormat="true" ht="10.95" hidden="false" customHeight="true" outlineLevel="0" collapsed="false">
      <c r="A11482" s="16" t="n">
        <v>45399</v>
      </c>
      <c r="B11482" s="17" t="s">
        <v>3861</v>
      </c>
      <c r="C11482" s="17" t="s">
        <v>3752</v>
      </c>
      <c r="D11482" s="17" t="s">
        <v>2895</v>
      </c>
      <c r="E11482" s="17" t="s">
        <v>2900</v>
      </c>
      <c r="F11482" s="17" t="s">
        <v>3123</v>
      </c>
      <c r="G11482" s="18" t="n">
        <v>1796.57</v>
      </c>
      <c r="H11482" s="18" t="n">
        <v>0</v>
      </c>
      <c r="I11482" s="18" t="n">
        <f aca="false">((I11481 + G11482) - H11482)</f>
        <v>82191.9099999999</v>
      </c>
      <c r="J11482" s="18" t="n">
        <v>0</v>
      </c>
      <c r="K11482" s="19" t="n">
        <v>0</v>
      </c>
      <c r="L11482" s="17"/>
    </row>
    <row r="11483" s="11" customFormat="true" ht="10.95" hidden="false" customHeight="true" outlineLevel="0" collapsed="false">
      <c r="A11483" s="16" t="n">
        <v>45399</v>
      </c>
      <c r="B11483" s="17" t="s">
        <v>3861</v>
      </c>
      <c r="C11483" s="17" t="s">
        <v>3752</v>
      </c>
      <c r="D11483" s="17" t="s">
        <v>2895</v>
      </c>
      <c r="E11483" s="17" t="s">
        <v>2900</v>
      </c>
      <c r="F11483" s="17" t="s">
        <v>3124</v>
      </c>
      <c r="G11483" s="18" t="n">
        <v>1296.77</v>
      </c>
      <c r="H11483" s="18" t="n">
        <v>0</v>
      </c>
      <c r="I11483" s="18" t="n">
        <f aca="false">((I11482 + G11483) - H11483)</f>
        <v>83488.6799999999</v>
      </c>
      <c r="J11483" s="18" t="n">
        <v>0</v>
      </c>
      <c r="K11483" s="19" t="n">
        <v>0</v>
      </c>
      <c r="L11483" s="17"/>
    </row>
    <row r="11484" s="11" customFormat="true" ht="10.95" hidden="false" customHeight="true" outlineLevel="0" collapsed="false">
      <c r="A11484" s="16" t="n">
        <v>45399</v>
      </c>
      <c r="B11484" s="17" t="s">
        <v>3861</v>
      </c>
      <c r="C11484" s="17" t="s">
        <v>3752</v>
      </c>
      <c r="D11484" s="17" t="s">
        <v>2895</v>
      </c>
      <c r="E11484" s="17" t="s">
        <v>2900</v>
      </c>
      <c r="F11484" s="17" t="s">
        <v>3125</v>
      </c>
      <c r="G11484" s="18" t="n">
        <v>1955.79</v>
      </c>
      <c r="H11484" s="18" t="n">
        <v>0</v>
      </c>
      <c r="I11484" s="18" t="n">
        <f aca="false">((I11483 + G11484) - H11484)</f>
        <v>85444.4699999999</v>
      </c>
      <c r="J11484" s="18" t="n">
        <v>0</v>
      </c>
      <c r="K11484" s="19" t="n">
        <v>0</v>
      </c>
      <c r="L11484" s="17"/>
    </row>
    <row r="11485" s="11" customFormat="true" ht="10.95" hidden="false" customHeight="true" outlineLevel="0" collapsed="false">
      <c r="A11485" s="16" t="n">
        <v>45399</v>
      </c>
      <c r="B11485" s="17" t="s">
        <v>3861</v>
      </c>
      <c r="C11485" s="17" t="s">
        <v>3752</v>
      </c>
      <c r="D11485" s="17" t="s">
        <v>2895</v>
      </c>
      <c r="E11485" s="17" t="s">
        <v>2900</v>
      </c>
      <c r="F11485" s="17" t="s">
        <v>3126</v>
      </c>
      <c r="G11485" s="18" t="n">
        <v>1088.72</v>
      </c>
      <c r="H11485" s="18" t="n">
        <v>0</v>
      </c>
      <c r="I11485" s="18" t="n">
        <f aca="false">((I11484 + G11485) - H11485)</f>
        <v>86533.1899999999</v>
      </c>
      <c r="J11485" s="18" t="n">
        <v>0</v>
      </c>
      <c r="K11485" s="19" t="n">
        <v>0</v>
      </c>
      <c r="L11485" s="17"/>
    </row>
    <row r="11486" s="11" customFormat="true" ht="10.95" hidden="false" customHeight="true" outlineLevel="0" collapsed="false">
      <c r="A11486" s="16" t="n">
        <v>45399</v>
      </c>
      <c r="B11486" s="17" t="s">
        <v>3861</v>
      </c>
      <c r="C11486" s="17" t="s">
        <v>3752</v>
      </c>
      <c r="D11486" s="17" t="s">
        <v>1407</v>
      </c>
      <c r="E11486" s="17" t="s">
        <v>3879</v>
      </c>
      <c r="F11486" s="17"/>
      <c r="G11486" s="18" t="n">
        <v>0</v>
      </c>
      <c r="H11486" s="18" t="n">
        <v>1207</v>
      </c>
      <c r="I11486" s="18" t="n">
        <f aca="false">((I11485 + G11486) - H11486)</f>
        <v>85326.1899999999</v>
      </c>
      <c r="J11486" s="18" t="n">
        <v>0</v>
      </c>
      <c r="K11486" s="19" t="n">
        <v>0</v>
      </c>
      <c r="L11486" s="17"/>
    </row>
    <row r="11487" s="11" customFormat="true" ht="10.95" hidden="false" customHeight="true" outlineLevel="0" collapsed="false">
      <c r="A11487" s="16" t="n">
        <v>45399</v>
      </c>
      <c r="B11487" s="17" t="s">
        <v>3861</v>
      </c>
      <c r="C11487" s="17" t="s">
        <v>3752</v>
      </c>
      <c r="D11487" s="17" t="s">
        <v>1407</v>
      </c>
      <c r="E11487" s="17" t="s">
        <v>3880</v>
      </c>
      <c r="F11487" s="17"/>
      <c r="G11487" s="18" t="n">
        <v>0</v>
      </c>
      <c r="H11487" s="18" t="n">
        <v>1207</v>
      </c>
      <c r="I11487" s="18" t="n">
        <f aca="false">((I11486 + G11487) - H11487)</f>
        <v>84119.1899999999</v>
      </c>
      <c r="J11487" s="18" t="n">
        <v>0</v>
      </c>
      <c r="K11487" s="19" t="n">
        <v>0</v>
      </c>
      <c r="L11487" s="17"/>
    </row>
    <row r="11488" s="11" customFormat="true" ht="10.95" hidden="false" customHeight="true" outlineLevel="0" collapsed="false">
      <c r="A11488" s="16" t="n">
        <v>45399</v>
      </c>
      <c r="B11488" s="17" t="s">
        <v>3861</v>
      </c>
      <c r="C11488" s="17" t="s">
        <v>3752</v>
      </c>
      <c r="D11488" s="17" t="s">
        <v>1407</v>
      </c>
      <c r="E11488" s="17" t="s">
        <v>3808</v>
      </c>
      <c r="F11488" s="17"/>
      <c r="G11488" s="18" t="n">
        <v>0</v>
      </c>
      <c r="H11488" s="18" t="n">
        <v>1705.92</v>
      </c>
      <c r="I11488" s="18" t="n">
        <f aca="false">((I11487 + G11488) - H11488)</f>
        <v>82413.2699999999</v>
      </c>
      <c r="J11488" s="18" t="n">
        <v>0</v>
      </c>
      <c r="K11488" s="19" t="n">
        <v>0</v>
      </c>
      <c r="L11488" s="17"/>
    </row>
    <row r="11489" s="11" customFormat="true" ht="10.95" hidden="false" customHeight="true" outlineLevel="0" collapsed="false">
      <c r="A11489" s="16" t="n">
        <v>45400</v>
      </c>
      <c r="B11489" s="17" t="s">
        <v>3861</v>
      </c>
      <c r="C11489" s="17" t="s">
        <v>3752</v>
      </c>
      <c r="D11489" s="17" t="s">
        <v>1407</v>
      </c>
      <c r="E11489" s="17" t="s">
        <v>3900</v>
      </c>
      <c r="F11489" s="17"/>
      <c r="G11489" s="18" t="n">
        <v>0</v>
      </c>
      <c r="H11489" s="18" t="n">
        <v>16.99</v>
      </c>
      <c r="I11489" s="18" t="n">
        <f aca="false">((I11488 + G11489) - H11489)</f>
        <v>82396.2799999999</v>
      </c>
      <c r="J11489" s="18" t="n">
        <v>0</v>
      </c>
      <c r="K11489" s="19" t="n">
        <v>0</v>
      </c>
      <c r="L11489" s="17"/>
    </row>
    <row r="11490" s="11" customFormat="true" ht="10.95" hidden="false" customHeight="true" outlineLevel="0" collapsed="false">
      <c r="A11490" s="16" t="n">
        <v>45400</v>
      </c>
      <c r="B11490" s="17" t="s">
        <v>3861</v>
      </c>
      <c r="C11490" s="17" t="s">
        <v>3752</v>
      </c>
      <c r="D11490" s="17" t="s">
        <v>1407</v>
      </c>
      <c r="E11490" s="17" t="s">
        <v>3901</v>
      </c>
      <c r="F11490" s="17"/>
      <c r="G11490" s="18" t="n">
        <v>0</v>
      </c>
      <c r="H11490" s="18" t="n">
        <v>83.51</v>
      </c>
      <c r="I11490" s="18" t="n">
        <f aca="false">((I11489 + G11490) - H11490)</f>
        <v>82312.7699999999</v>
      </c>
      <c r="J11490" s="18" t="n">
        <v>0</v>
      </c>
      <c r="K11490" s="19" t="n">
        <v>0</v>
      </c>
      <c r="L11490" s="17"/>
    </row>
    <row r="11491" s="11" customFormat="true" ht="10.95" hidden="false" customHeight="true" outlineLevel="0" collapsed="false">
      <c r="A11491" s="16" t="n">
        <v>45400</v>
      </c>
      <c r="B11491" s="17" t="s">
        <v>3861</v>
      </c>
      <c r="C11491" s="17" t="s">
        <v>3752</v>
      </c>
      <c r="D11491" s="17" t="s">
        <v>1407</v>
      </c>
      <c r="E11491" s="17" t="s">
        <v>3902</v>
      </c>
      <c r="F11491" s="17"/>
      <c r="G11491" s="18" t="n">
        <v>0</v>
      </c>
      <c r="H11491" s="18" t="n">
        <v>272.5</v>
      </c>
      <c r="I11491" s="18" t="n">
        <f aca="false">((I11490 + G11491) - H11491)</f>
        <v>82040.2699999999</v>
      </c>
      <c r="J11491" s="18" t="n">
        <v>0</v>
      </c>
      <c r="K11491" s="19" t="n">
        <v>0</v>
      </c>
      <c r="L11491" s="17"/>
    </row>
    <row r="11492" s="11" customFormat="true" ht="10.95" hidden="false" customHeight="true" outlineLevel="0" collapsed="false">
      <c r="A11492" s="16" t="n">
        <v>45400</v>
      </c>
      <c r="B11492" s="17" t="s">
        <v>3861</v>
      </c>
      <c r="C11492" s="17" t="s">
        <v>3752</v>
      </c>
      <c r="D11492" s="17" t="s">
        <v>2903</v>
      </c>
      <c r="E11492" s="17" t="s">
        <v>3616</v>
      </c>
      <c r="F11492" s="17" t="s">
        <v>3312</v>
      </c>
      <c r="G11492" s="18" t="n">
        <v>0</v>
      </c>
      <c r="H11492" s="18" t="n">
        <v>657.01</v>
      </c>
      <c r="I11492" s="18" t="n">
        <f aca="false">((I11491 + G11492) - H11492)</f>
        <v>81383.2599999999</v>
      </c>
      <c r="J11492" s="18" t="n">
        <v>0</v>
      </c>
      <c r="K11492" s="19" t="n">
        <v>0</v>
      </c>
      <c r="L11492" s="17"/>
    </row>
    <row r="11493" s="11" customFormat="true" ht="10.95" hidden="false" customHeight="true" outlineLevel="0" collapsed="false">
      <c r="A11493" s="16" t="n">
        <v>45401</v>
      </c>
      <c r="B11493" s="17" t="s">
        <v>3861</v>
      </c>
      <c r="C11493" s="17" t="s">
        <v>3752</v>
      </c>
      <c r="D11493" s="17" t="s">
        <v>1407</v>
      </c>
      <c r="E11493" s="17" t="s">
        <v>3863</v>
      </c>
      <c r="F11493" s="17"/>
      <c r="G11493" s="18" t="n">
        <v>0</v>
      </c>
      <c r="H11493" s="18" t="n">
        <v>19.95</v>
      </c>
      <c r="I11493" s="18" t="n">
        <f aca="false">((I11492 + G11493) - H11493)</f>
        <v>81363.3099999999</v>
      </c>
      <c r="J11493" s="18" t="n">
        <v>0</v>
      </c>
      <c r="K11493" s="19" t="n">
        <v>0</v>
      </c>
      <c r="L11493" s="17"/>
    </row>
    <row r="11494" s="11" customFormat="true" ht="10.95" hidden="false" customHeight="true" outlineLevel="0" collapsed="false">
      <c r="A11494" s="16" t="n">
        <v>45401</v>
      </c>
      <c r="B11494" s="17" t="s">
        <v>3861</v>
      </c>
      <c r="C11494" s="17" t="s">
        <v>3752</v>
      </c>
      <c r="D11494" s="17" t="s">
        <v>1407</v>
      </c>
      <c r="E11494" s="17" t="s">
        <v>3808</v>
      </c>
      <c r="F11494" s="17"/>
      <c r="G11494" s="18" t="n">
        <v>0</v>
      </c>
      <c r="H11494" s="18" t="n">
        <v>498.4</v>
      </c>
      <c r="I11494" s="18" t="n">
        <f aca="false">((I11493 + G11494) - H11494)</f>
        <v>80864.9099999999</v>
      </c>
      <c r="J11494" s="18" t="n">
        <v>0</v>
      </c>
      <c r="K11494" s="19" t="n">
        <v>0</v>
      </c>
      <c r="L11494" s="17"/>
    </row>
    <row r="11495" s="11" customFormat="true" ht="10.95" hidden="false" customHeight="true" outlineLevel="0" collapsed="false">
      <c r="A11495" s="16" t="n">
        <v>45401</v>
      </c>
      <c r="B11495" s="17" t="s">
        <v>3861</v>
      </c>
      <c r="C11495" s="17" t="s">
        <v>3752</v>
      </c>
      <c r="D11495" s="17" t="s">
        <v>2903</v>
      </c>
      <c r="E11495" s="17" t="s">
        <v>3616</v>
      </c>
      <c r="F11495" s="17" t="s">
        <v>3314</v>
      </c>
      <c r="G11495" s="18" t="n">
        <v>0</v>
      </c>
      <c r="H11495" s="18" t="n">
        <v>3063.5</v>
      </c>
      <c r="I11495" s="18" t="n">
        <f aca="false">((I11494 + G11495) - H11495)</f>
        <v>77801.4099999999</v>
      </c>
      <c r="J11495" s="18" t="n">
        <v>0</v>
      </c>
      <c r="K11495" s="19" t="n">
        <v>0</v>
      </c>
      <c r="L11495" s="17"/>
    </row>
    <row r="11496" s="11" customFormat="true" ht="10.95" hidden="false" customHeight="true" outlineLevel="0" collapsed="false">
      <c r="A11496" s="16" t="n">
        <v>45404</v>
      </c>
      <c r="B11496" s="17" t="s">
        <v>3861</v>
      </c>
      <c r="C11496" s="17" t="s">
        <v>3752</v>
      </c>
      <c r="D11496" s="17" t="s">
        <v>2903</v>
      </c>
      <c r="E11496" s="17" t="s">
        <v>3645</v>
      </c>
      <c r="F11496" s="17" t="s">
        <v>1542</v>
      </c>
      <c r="G11496" s="18" t="n">
        <v>0</v>
      </c>
      <c r="H11496" s="18" t="n">
        <v>538.76</v>
      </c>
      <c r="I11496" s="18" t="n">
        <f aca="false">((I11495 + G11496) - H11496)</f>
        <v>77262.6499999999</v>
      </c>
      <c r="J11496" s="18" t="n">
        <v>0</v>
      </c>
      <c r="K11496" s="19" t="n">
        <v>0</v>
      </c>
      <c r="L11496" s="17"/>
    </row>
    <row r="11497" s="11" customFormat="true" ht="10.95" hidden="false" customHeight="true" outlineLevel="0" collapsed="false">
      <c r="A11497" s="16" t="n">
        <v>45404</v>
      </c>
      <c r="B11497" s="17" t="s">
        <v>3861</v>
      </c>
      <c r="C11497" s="17" t="s">
        <v>3752</v>
      </c>
      <c r="D11497" s="17" t="s">
        <v>2903</v>
      </c>
      <c r="E11497" s="17" t="s">
        <v>3645</v>
      </c>
      <c r="F11497" s="17" t="s">
        <v>1546</v>
      </c>
      <c r="G11497" s="18" t="n">
        <v>0</v>
      </c>
      <c r="H11497" s="18" t="n">
        <v>25881.81</v>
      </c>
      <c r="I11497" s="18" t="n">
        <f aca="false">((I11496 + G11497) - H11497)</f>
        <v>51380.8399999999</v>
      </c>
      <c r="J11497" s="18" t="n">
        <v>0</v>
      </c>
      <c r="K11497" s="19" t="n">
        <v>0</v>
      </c>
      <c r="L11497" s="17"/>
    </row>
    <row r="11498" s="11" customFormat="true" ht="10.95" hidden="false" customHeight="true" outlineLevel="0" collapsed="false">
      <c r="A11498" s="16" t="n">
        <v>45404</v>
      </c>
      <c r="B11498" s="17" t="s">
        <v>3861</v>
      </c>
      <c r="C11498" s="17" t="s">
        <v>3752</v>
      </c>
      <c r="D11498" s="17" t="s">
        <v>2903</v>
      </c>
      <c r="E11498" s="17" t="s">
        <v>3645</v>
      </c>
      <c r="F11498" s="17" t="s">
        <v>1548</v>
      </c>
      <c r="G11498" s="18" t="n">
        <v>0</v>
      </c>
      <c r="H11498" s="18" t="n">
        <v>2519.95</v>
      </c>
      <c r="I11498" s="18" t="n">
        <f aca="false">((I11497 + G11498) - H11498)</f>
        <v>48860.8899999999</v>
      </c>
      <c r="J11498" s="18" t="n">
        <v>0</v>
      </c>
      <c r="K11498" s="19" t="n">
        <v>0</v>
      </c>
      <c r="L11498" s="17"/>
    </row>
    <row r="11499" s="11" customFormat="true" ht="10.95" hidden="false" customHeight="true" outlineLevel="0" collapsed="false">
      <c r="A11499" s="16" t="n">
        <v>45405</v>
      </c>
      <c r="B11499" s="17" t="s">
        <v>3861</v>
      </c>
      <c r="C11499" s="17" t="s">
        <v>3752</v>
      </c>
      <c r="D11499" s="17" t="s">
        <v>2903</v>
      </c>
      <c r="E11499" s="17" t="s">
        <v>3644</v>
      </c>
      <c r="F11499" s="17" t="s">
        <v>2546</v>
      </c>
      <c r="G11499" s="18" t="n">
        <v>0</v>
      </c>
      <c r="H11499" s="18" t="n">
        <v>6.6</v>
      </c>
      <c r="I11499" s="18" t="n">
        <f aca="false">((I11498 + G11499) - H11499)</f>
        <v>48854.2899999999</v>
      </c>
      <c r="J11499" s="18" t="n">
        <v>0</v>
      </c>
      <c r="K11499" s="19" t="n">
        <v>0</v>
      </c>
      <c r="L11499" s="17"/>
    </row>
    <row r="11500" s="11" customFormat="true" ht="10.95" hidden="false" customHeight="true" outlineLevel="0" collapsed="false">
      <c r="A11500" s="16" t="n">
        <v>45405</v>
      </c>
      <c r="B11500" s="17" t="s">
        <v>3861</v>
      </c>
      <c r="C11500" s="17" t="s">
        <v>3752</v>
      </c>
      <c r="D11500" s="17" t="s">
        <v>2903</v>
      </c>
      <c r="E11500" s="17" t="s">
        <v>3644</v>
      </c>
      <c r="F11500" s="17" t="s">
        <v>2550</v>
      </c>
      <c r="G11500" s="18" t="n">
        <v>0</v>
      </c>
      <c r="H11500" s="18" t="n">
        <v>8.75</v>
      </c>
      <c r="I11500" s="18" t="n">
        <f aca="false">((I11499 + G11500) - H11500)</f>
        <v>48845.5399999999</v>
      </c>
      <c r="J11500" s="18" t="n">
        <v>0</v>
      </c>
      <c r="K11500" s="19" t="n">
        <v>0</v>
      </c>
      <c r="L11500" s="17"/>
    </row>
    <row r="11501" s="11" customFormat="true" ht="10.95" hidden="false" customHeight="true" outlineLevel="0" collapsed="false">
      <c r="A11501" s="16" t="n">
        <v>45405</v>
      </c>
      <c r="B11501" s="17" t="s">
        <v>3861</v>
      </c>
      <c r="C11501" s="17" t="s">
        <v>3752</v>
      </c>
      <c r="D11501" s="17" t="s">
        <v>1276</v>
      </c>
      <c r="E11501" s="17" t="s">
        <v>3642</v>
      </c>
      <c r="F11501" s="17"/>
      <c r="G11501" s="18" t="n">
        <v>35.06</v>
      </c>
      <c r="H11501" s="18" t="n">
        <v>0</v>
      </c>
      <c r="I11501" s="18" t="n">
        <f aca="false">((I11500 + G11501) - H11501)</f>
        <v>48880.5999999999</v>
      </c>
      <c r="J11501" s="18" t="n">
        <v>0</v>
      </c>
      <c r="K11501" s="19" t="n">
        <v>0</v>
      </c>
      <c r="L11501" s="17"/>
    </row>
    <row r="11502" s="11" customFormat="true" ht="10.95" hidden="false" customHeight="true" outlineLevel="0" collapsed="false">
      <c r="A11502" s="16" t="n">
        <v>45405</v>
      </c>
      <c r="B11502" s="17" t="s">
        <v>3861</v>
      </c>
      <c r="C11502" s="17" t="s">
        <v>3752</v>
      </c>
      <c r="D11502" s="17" t="s">
        <v>1276</v>
      </c>
      <c r="E11502" s="17" t="s">
        <v>3642</v>
      </c>
      <c r="F11502" s="17"/>
      <c r="G11502" s="18" t="n">
        <v>21.01</v>
      </c>
      <c r="H11502" s="18" t="n">
        <v>0</v>
      </c>
      <c r="I11502" s="18" t="n">
        <f aca="false">((I11501 + G11502) - H11502)</f>
        <v>48901.6099999999</v>
      </c>
      <c r="J11502" s="18" t="n">
        <v>0</v>
      </c>
      <c r="K11502" s="19" t="n">
        <v>0</v>
      </c>
      <c r="L11502" s="17"/>
    </row>
    <row r="11503" s="11" customFormat="true" ht="10.95" hidden="false" customHeight="true" outlineLevel="0" collapsed="false">
      <c r="A11503" s="16" t="n">
        <v>45405</v>
      </c>
      <c r="B11503" s="17" t="s">
        <v>3861</v>
      </c>
      <c r="C11503" s="17" t="s">
        <v>3752</v>
      </c>
      <c r="D11503" s="17" t="s">
        <v>1276</v>
      </c>
      <c r="E11503" s="17" t="s">
        <v>3642</v>
      </c>
      <c r="F11503" s="17"/>
      <c r="G11503" s="18" t="n">
        <v>12.52</v>
      </c>
      <c r="H11503" s="18" t="n">
        <v>0</v>
      </c>
      <c r="I11503" s="18" t="n">
        <f aca="false">((I11502 + G11503) - H11503)</f>
        <v>48914.1299999999</v>
      </c>
      <c r="J11503" s="18" t="n">
        <v>0</v>
      </c>
      <c r="K11503" s="19" t="n">
        <v>0</v>
      </c>
      <c r="L11503" s="17"/>
    </row>
    <row r="11504" s="11" customFormat="true" ht="10.95" hidden="false" customHeight="true" outlineLevel="0" collapsed="false">
      <c r="A11504" s="16" t="n">
        <v>45405</v>
      </c>
      <c r="B11504" s="17" t="s">
        <v>3861</v>
      </c>
      <c r="C11504" s="17" t="s">
        <v>3752</v>
      </c>
      <c r="D11504" s="17" t="s">
        <v>1276</v>
      </c>
      <c r="E11504" s="17" t="s">
        <v>3642</v>
      </c>
      <c r="F11504" s="17"/>
      <c r="G11504" s="18" t="n">
        <v>4.79</v>
      </c>
      <c r="H11504" s="18" t="n">
        <v>0</v>
      </c>
      <c r="I11504" s="18" t="n">
        <f aca="false">((I11503 + G11504) - H11504)</f>
        <v>48918.9199999999</v>
      </c>
      <c r="J11504" s="18" t="n">
        <v>0</v>
      </c>
      <c r="K11504" s="19" t="n">
        <v>0</v>
      </c>
      <c r="L11504" s="17"/>
    </row>
    <row r="11505" s="11" customFormat="true" ht="10.95" hidden="false" customHeight="true" outlineLevel="0" collapsed="false">
      <c r="A11505" s="16" t="n">
        <v>45405</v>
      </c>
      <c r="B11505" s="17" t="s">
        <v>3861</v>
      </c>
      <c r="C11505" s="17" t="s">
        <v>3752</v>
      </c>
      <c r="D11505" s="17" t="s">
        <v>1407</v>
      </c>
      <c r="E11505" s="17" t="s">
        <v>3863</v>
      </c>
      <c r="F11505" s="17"/>
      <c r="G11505" s="18" t="n">
        <v>0</v>
      </c>
      <c r="H11505" s="18" t="n">
        <v>0.3</v>
      </c>
      <c r="I11505" s="18" t="n">
        <f aca="false">((I11504 + G11505) - H11505)</f>
        <v>48918.6199999999</v>
      </c>
      <c r="J11505" s="18" t="n">
        <v>0</v>
      </c>
      <c r="K11505" s="19" t="n">
        <v>0</v>
      </c>
      <c r="L11505" s="17"/>
    </row>
    <row r="11506" s="11" customFormat="true" ht="10.95" hidden="false" customHeight="true" outlineLevel="0" collapsed="false">
      <c r="A11506" s="16" t="n">
        <v>45405</v>
      </c>
      <c r="B11506" s="17" t="s">
        <v>3861</v>
      </c>
      <c r="C11506" s="17" t="s">
        <v>3752</v>
      </c>
      <c r="D11506" s="17" t="s">
        <v>1407</v>
      </c>
      <c r="E11506" s="17" t="s">
        <v>3863</v>
      </c>
      <c r="F11506" s="17"/>
      <c r="G11506" s="18" t="n">
        <v>0</v>
      </c>
      <c r="H11506" s="18" t="n">
        <v>0.46</v>
      </c>
      <c r="I11506" s="18" t="n">
        <f aca="false">((I11505 + G11506) - H11506)</f>
        <v>48918.1599999999</v>
      </c>
      <c r="J11506" s="18" t="n">
        <v>0</v>
      </c>
      <c r="K11506" s="19" t="n">
        <v>0</v>
      </c>
      <c r="L11506" s="17"/>
    </row>
    <row r="11507" s="11" customFormat="true" ht="10.95" hidden="false" customHeight="true" outlineLevel="0" collapsed="false">
      <c r="A11507" s="16" t="n">
        <v>45405</v>
      </c>
      <c r="B11507" s="17" t="s">
        <v>3861</v>
      </c>
      <c r="C11507" s="17" t="s">
        <v>3752</v>
      </c>
      <c r="D11507" s="17" t="s">
        <v>2903</v>
      </c>
      <c r="E11507" s="17" t="s">
        <v>3644</v>
      </c>
      <c r="F11507" s="17" t="s">
        <v>2548</v>
      </c>
      <c r="G11507" s="18" t="n">
        <v>0</v>
      </c>
      <c r="H11507" s="18" t="n">
        <v>68.2</v>
      </c>
      <c r="I11507" s="18" t="n">
        <f aca="false">((I11506 + G11507) - H11507)</f>
        <v>48849.9599999999</v>
      </c>
      <c r="J11507" s="18" t="n">
        <v>0</v>
      </c>
      <c r="K11507" s="19" t="n">
        <v>0</v>
      </c>
      <c r="L11507" s="17"/>
    </row>
    <row r="11508" s="11" customFormat="true" ht="10.95" hidden="false" customHeight="true" outlineLevel="0" collapsed="false">
      <c r="A11508" s="16" t="n">
        <v>45405</v>
      </c>
      <c r="B11508" s="17" t="s">
        <v>3861</v>
      </c>
      <c r="C11508" s="17" t="s">
        <v>3752</v>
      </c>
      <c r="D11508" s="17" t="s">
        <v>2903</v>
      </c>
      <c r="E11508" s="17" t="s">
        <v>3644</v>
      </c>
      <c r="F11508" s="17" t="s">
        <v>2544</v>
      </c>
      <c r="G11508" s="18" t="n">
        <v>0</v>
      </c>
      <c r="H11508" s="18" t="n">
        <v>219.78</v>
      </c>
      <c r="I11508" s="18" t="n">
        <f aca="false">((I11507 + G11508) - H11508)</f>
        <v>48630.1799999999</v>
      </c>
      <c r="J11508" s="18" t="n">
        <v>0</v>
      </c>
      <c r="K11508" s="19" t="n">
        <v>0</v>
      </c>
      <c r="L11508" s="17"/>
    </row>
    <row r="11509" s="11" customFormat="true" ht="10.95" hidden="false" customHeight="true" outlineLevel="0" collapsed="false">
      <c r="A11509" s="16" t="n">
        <v>45405</v>
      </c>
      <c r="B11509" s="17" t="s">
        <v>3861</v>
      </c>
      <c r="C11509" s="17" t="s">
        <v>3752</v>
      </c>
      <c r="D11509" s="17" t="s">
        <v>1407</v>
      </c>
      <c r="E11509" s="17" t="s">
        <v>3836</v>
      </c>
      <c r="F11509" s="17"/>
      <c r="G11509" s="18" t="n">
        <v>0</v>
      </c>
      <c r="H11509" s="18" t="n">
        <v>9.97</v>
      </c>
      <c r="I11509" s="18" t="n">
        <f aca="false">((I11508 + G11509) - H11509)</f>
        <v>48620.2099999999</v>
      </c>
      <c r="J11509" s="18" t="n">
        <v>0</v>
      </c>
      <c r="K11509" s="19" t="n">
        <v>0</v>
      </c>
      <c r="L11509" s="17"/>
    </row>
    <row r="11510" s="11" customFormat="true" ht="10.95" hidden="false" customHeight="true" outlineLevel="0" collapsed="false">
      <c r="A11510" s="16" t="n">
        <v>45405</v>
      </c>
      <c r="B11510" s="17" t="s">
        <v>3861</v>
      </c>
      <c r="C11510" s="17" t="s">
        <v>3752</v>
      </c>
      <c r="D11510" s="17" t="s">
        <v>1407</v>
      </c>
      <c r="E11510" s="17" t="s">
        <v>3778</v>
      </c>
      <c r="F11510" s="17"/>
      <c r="G11510" s="18" t="n">
        <v>0</v>
      </c>
      <c r="H11510" s="18" t="n">
        <v>15.45</v>
      </c>
      <c r="I11510" s="18" t="n">
        <f aca="false">((I11509 + G11510) - H11510)</f>
        <v>48604.7599999999</v>
      </c>
      <c r="J11510" s="18" t="n">
        <v>0</v>
      </c>
      <c r="K11510" s="19" t="n">
        <v>0</v>
      </c>
      <c r="L11510" s="17"/>
    </row>
    <row r="11511" s="11" customFormat="true" ht="10.95" hidden="false" customHeight="true" outlineLevel="0" collapsed="false">
      <c r="A11511" s="16" t="n">
        <v>45405</v>
      </c>
      <c r="B11511" s="17" t="s">
        <v>3861</v>
      </c>
      <c r="C11511" s="17" t="s">
        <v>3752</v>
      </c>
      <c r="D11511" s="17" t="s">
        <v>1407</v>
      </c>
      <c r="E11511" s="17" t="s">
        <v>3878</v>
      </c>
      <c r="F11511" s="17"/>
      <c r="G11511" s="18" t="n">
        <v>0</v>
      </c>
      <c r="H11511" s="18" t="n">
        <v>1417</v>
      </c>
      <c r="I11511" s="18" t="n">
        <f aca="false">((I11510 + G11511) - H11511)</f>
        <v>47187.7599999999</v>
      </c>
      <c r="J11511" s="18" t="n">
        <v>0</v>
      </c>
      <c r="K11511" s="19" t="n">
        <v>0</v>
      </c>
      <c r="L11511" s="17"/>
    </row>
    <row r="11512" s="11" customFormat="true" ht="10.95" hidden="false" customHeight="true" outlineLevel="0" collapsed="false">
      <c r="A11512" s="16" t="n">
        <v>45405</v>
      </c>
      <c r="B11512" s="17" t="s">
        <v>3861</v>
      </c>
      <c r="C11512" s="17" t="s">
        <v>3752</v>
      </c>
      <c r="D11512" s="17" t="s">
        <v>2895</v>
      </c>
      <c r="E11512" s="17" t="s">
        <v>3403</v>
      </c>
      <c r="F11512" s="17" t="s">
        <v>4387</v>
      </c>
      <c r="G11512" s="18" t="n">
        <v>1137.4</v>
      </c>
      <c r="H11512" s="18" t="n">
        <v>0</v>
      </c>
      <c r="I11512" s="18" t="n">
        <f aca="false">((I11511 + G11512) - H11512)</f>
        <v>48325.1599999999</v>
      </c>
      <c r="J11512" s="18" t="n">
        <v>0</v>
      </c>
      <c r="K11512" s="19" t="n">
        <v>0</v>
      </c>
      <c r="L11512" s="17"/>
    </row>
    <row r="11513" s="11" customFormat="true" ht="10.95" hidden="false" customHeight="true" outlineLevel="0" collapsed="false">
      <c r="A11513" s="16" t="n">
        <v>45405</v>
      </c>
      <c r="B11513" s="17" t="s">
        <v>3861</v>
      </c>
      <c r="C11513" s="17" t="s">
        <v>3752</v>
      </c>
      <c r="D11513" s="17" t="s">
        <v>2895</v>
      </c>
      <c r="E11513" s="17" t="s">
        <v>3403</v>
      </c>
      <c r="F11513" s="17" t="s">
        <v>4388</v>
      </c>
      <c r="G11513" s="18" t="n">
        <v>310.2</v>
      </c>
      <c r="H11513" s="18" t="n">
        <v>0</v>
      </c>
      <c r="I11513" s="18" t="n">
        <f aca="false">((I11512 + G11513) - H11513)</f>
        <v>48635.3599999999</v>
      </c>
      <c r="J11513" s="18" t="n">
        <v>0</v>
      </c>
      <c r="K11513" s="19" t="n">
        <v>0</v>
      </c>
      <c r="L11513" s="17"/>
    </row>
    <row r="11514" s="11" customFormat="true" ht="10.95" hidden="false" customHeight="true" outlineLevel="0" collapsed="false">
      <c r="A11514" s="16" t="n">
        <v>45406</v>
      </c>
      <c r="B11514" s="17" t="s">
        <v>3861</v>
      </c>
      <c r="C11514" s="17" t="s">
        <v>3752</v>
      </c>
      <c r="D11514" s="17" t="s">
        <v>1407</v>
      </c>
      <c r="E11514" s="17" t="s">
        <v>3907</v>
      </c>
      <c r="F11514" s="17"/>
      <c r="G11514" s="18" t="n">
        <v>0</v>
      </c>
      <c r="H11514" s="18" t="n">
        <v>19.49</v>
      </c>
      <c r="I11514" s="18" t="n">
        <f aca="false">((I11513 + G11514) - H11514)</f>
        <v>48615.8699999999</v>
      </c>
      <c r="J11514" s="18" t="n">
        <v>0</v>
      </c>
      <c r="K11514" s="19" t="n">
        <v>0</v>
      </c>
      <c r="L11514" s="17"/>
    </row>
    <row r="11515" s="11" customFormat="true" ht="10.95" hidden="false" customHeight="true" outlineLevel="0" collapsed="false">
      <c r="A11515" s="16" t="n">
        <v>45406</v>
      </c>
      <c r="B11515" s="17" t="s">
        <v>3861</v>
      </c>
      <c r="C11515" s="17" t="s">
        <v>3752</v>
      </c>
      <c r="D11515" s="17" t="s">
        <v>2903</v>
      </c>
      <c r="E11515" s="17" t="s">
        <v>3637</v>
      </c>
      <c r="F11515" s="17" t="s">
        <v>2712</v>
      </c>
      <c r="G11515" s="18" t="n">
        <v>0</v>
      </c>
      <c r="H11515" s="18" t="n">
        <v>104.95</v>
      </c>
      <c r="I11515" s="18" t="n">
        <f aca="false">((I11514 + G11515) - H11515)</f>
        <v>48510.9199999999</v>
      </c>
      <c r="J11515" s="18" t="n">
        <v>0</v>
      </c>
      <c r="K11515" s="19" t="n">
        <v>0</v>
      </c>
      <c r="L11515" s="17"/>
    </row>
    <row r="11516" s="11" customFormat="true" ht="10.95" hidden="false" customHeight="true" outlineLevel="0" collapsed="false">
      <c r="A11516" s="16" t="n">
        <v>45406</v>
      </c>
      <c r="B11516" s="17" t="s">
        <v>3861</v>
      </c>
      <c r="C11516" s="17" t="s">
        <v>3752</v>
      </c>
      <c r="D11516" s="17" t="s">
        <v>1407</v>
      </c>
      <c r="E11516" s="17" t="s">
        <v>3881</v>
      </c>
      <c r="F11516" s="17"/>
      <c r="G11516" s="18" t="n">
        <v>0</v>
      </c>
      <c r="H11516" s="18" t="n">
        <v>140</v>
      </c>
      <c r="I11516" s="18" t="n">
        <f aca="false">((I11515 + G11516) - H11516)</f>
        <v>48370.9199999999</v>
      </c>
      <c r="J11516" s="18" t="n">
        <v>0</v>
      </c>
      <c r="K11516" s="19" t="n">
        <v>0</v>
      </c>
      <c r="L11516" s="17"/>
    </row>
    <row r="11517" s="11" customFormat="true" ht="10.95" hidden="false" customHeight="true" outlineLevel="0" collapsed="false">
      <c r="A11517" s="16" t="n">
        <v>45406</v>
      </c>
      <c r="B11517" s="17" t="s">
        <v>3861</v>
      </c>
      <c r="C11517" s="17" t="s">
        <v>3752</v>
      </c>
      <c r="D11517" s="17" t="s">
        <v>1407</v>
      </c>
      <c r="E11517" s="17" t="s">
        <v>3880</v>
      </c>
      <c r="F11517" s="17"/>
      <c r="G11517" s="18" t="n">
        <v>0</v>
      </c>
      <c r="H11517" s="18" t="n">
        <v>1207</v>
      </c>
      <c r="I11517" s="18" t="n">
        <f aca="false">((I11516 + G11517) - H11517)</f>
        <v>47163.9199999999</v>
      </c>
      <c r="J11517" s="18" t="n">
        <v>0</v>
      </c>
      <c r="K11517" s="19" t="n">
        <v>0</v>
      </c>
      <c r="L11517" s="17"/>
    </row>
    <row r="11518" s="11" customFormat="true" ht="10.95" hidden="false" customHeight="true" outlineLevel="0" collapsed="false">
      <c r="A11518" s="16" t="n">
        <v>45406</v>
      </c>
      <c r="B11518" s="17" t="s">
        <v>3861</v>
      </c>
      <c r="C11518" s="17" t="s">
        <v>3752</v>
      </c>
      <c r="D11518" s="17" t="s">
        <v>1407</v>
      </c>
      <c r="E11518" s="17" t="s">
        <v>3879</v>
      </c>
      <c r="F11518" s="17"/>
      <c r="G11518" s="18" t="n">
        <v>0</v>
      </c>
      <c r="H11518" s="18" t="n">
        <v>1207</v>
      </c>
      <c r="I11518" s="18" t="n">
        <f aca="false">((I11517 + G11518) - H11518)</f>
        <v>45956.9199999999</v>
      </c>
      <c r="J11518" s="18" t="n">
        <v>0</v>
      </c>
      <c r="K11518" s="19" t="n">
        <v>0</v>
      </c>
      <c r="L11518" s="17"/>
    </row>
    <row r="11519" s="11" customFormat="true" ht="10.95" hidden="false" customHeight="true" outlineLevel="0" collapsed="false">
      <c r="A11519" s="16" t="n">
        <v>45406</v>
      </c>
      <c r="B11519" s="17" t="s">
        <v>3861</v>
      </c>
      <c r="C11519" s="17" t="s">
        <v>3752</v>
      </c>
      <c r="D11519" s="17" t="s">
        <v>1407</v>
      </c>
      <c r="E11519" s="17" t="s">
        <v>3808</v>
      </c>
      <c r="F11519" s="17"/>
      <c r="G11519" s="18" t="n">
        <v>0</v>
      </c>
      <c r="H11519" s="18" t="n">
        <v>1705.92</v>
      </c>
      <c r="I11519" s="18" t="n">
        <f aca="false">((I11518 + G11519) - H11519)</f>
        <v>44250.9999999999</v>
      </c>
      <c r="J11519" s="18" t="n">
        <v>0</v>
      </c>
      <c r="K11519" s="19" t="n">
        <v>0</v>
      </c>
      <c r="L11519" s="17"/>
    </row>
    <row r="11520" s="11" customFormat="true" ht="10.95" hidden="false" customHeight="true" outlineLevel="0" collapsed="false">
      <c r="A11520" s="16" t="n">
        <v>45407</v>
      </c>
      <c r="B11520" s="17" t="s">
        <v>3861</v>
      </c>
      <c r="C11520" s="17" t="s">
        <v>3752</v>
      </c>
      <c r="D11520" s="17" t="s">
        <v>1407</v>
      </c>
      <c r="E11520" s="17" t="s">
        <v>3863</v>
      </c>
      <c r="F11520" s="17"/>
      <c r="G11520" s="18" t="n">
        <v>0</v>
      </c>
      <c r="H11520" s="18" t="n">
        <v>0.4</v>
      </c>
      <c r="I11520" s="18" t="n">
        <f aca="false">((I11519 + G11520) - H11520)</f>
        <v>44250.5999999999</v>
      </c>
      <c r="J11520" s="18" t="n">
        <v>0</v>
      </c>
      <c r="K11520" s="19" t="n">
        <v>0</v>
      </c>
      <c r="L11520" s="17"/>
    </row>
    <row r="11521" s="11" customFormat="true" ht="10.95" hidden="false" customHeight="true" outlineLevel="0" collapsed="false">
      <c r="A11521" s="16" t="n">
        <v>45407</v>
      </c>
      <c r="B11521" s="17" t="s">
        <v>3861</v>
      </c>
      <c r="C11521" s="17" t="s">
        <v>3752</v>
      </c>
      <c r="D11521" s="17" t="s">
        <v>1407</v>
      </c>
      <c r="E11521" s="17" t="s">
        <v>3863</v>
      </c>
      <c r="F11521" s="17"/>
      <c r="G11521" s="18" t="n">
        <v>0</v>
      </c>
      <c r="H11521" s="18" t="n">
        <v>0.65</v>
      </c>
      <c r="I11521" s="18" t="n">
        <f aca="false">((I11520 + G11521) - H11521)</f>
        <v>44249.9499999999</v>
      </c>
      <c r="J11521" s="18" t="n">
        <v>0</v>
      </c>
      <c r="K11521" s="19" t="n">
        <v>0</v>
      </c>
      <c r="L11521" s="17"/>
    </row>
    <row r="11522" s="11" customFormat="true" ht="10.95" hidden="false" customHeight="true" outlineLevel="0" collapsed="false">
      <c r="A11522" s="16" t="n">
        <v>45407</v>
      </c>
      <c r="B11522" s="17" t="s">
        <v>3861</v>
      </c>
      <c r="C11522" s="17" t="s">
        <v>3752</v>
      </c>
      <c r="D11522" s="17" t="s">
        <v>1407</v>
      </c>
      <c r="E11522" s="17" t="s">
        <v>3863</v>
      </c>
      <c r="F11522" s="17"/>
      <c r="G11522" s="18" t="n">
        <v>0</v>
      </c>
      <c r="H11522" s="18" t="n">
        <v>0.99</v>
      </c>
      <c r="I11522" s="18" t="n">
        <f aca="false">((I11521 + G11522) - H11522)</f>
        <v>44248.9599999999</v>
      </c>
      <c r="J11522" s="18" t="n">
        <v>0</v>
      </c>
      <c r="K11522" s="19" t="n">
        <v>0</v>
      </c>
      <c r="L11522" s="17"/>
    </row>
    <row r="11523" s="11" customFormat="true" ht="10.95" hidden="false" customHeight="true" outlineLevel="0" collapsed="false">
      <c r="A11523" s="16" t="n">
        <v>45407</v>
      </c>
      <c r="B11523" s="17" t="s">
        <v>3861</v>
      </c>
      <c r="C11523" s="17" t="s">
        <v>3752</v>
      </c>
      <c r="D11523" s="17" t="s">
        <v>1407</v>
      </c>
      <c r="E11523" s="17" t="s">
        <v>3767</v>
      </c>
      <c r="F11523" s="17" t="s">
        <v>2781</v>
      </c>
      <c r="G11523" s="18" t="n">
        <v>0</v>
      </c>
      <c r="H11523" s="18" t="n">
        <v>21.59</v>
      </c>
      <c r="I11523" s="18" t="n">
        <f aca="false">((I11522 + G11523) - H11523)</f>
        <v>44227.3699999999</v>
      </c>
      <c r="J11523" s="18" t="n">
        <v>0</v>
      </c>
      <c r="K11523" s="19" t="n">
        <v>0</v>
      </c>
      <c r="L11523" s="17"/>
    </row>
    <row r="11524" s="11" customFormat="true" ht="10.95" hidden="false" customHeight="true" outlineLevel="0" collapsed="false">
      <c r="A11524" s="16" t="n">
        <v>45407</v>
      </c>
      <c r="B11524" s="17" t="s">
        <v>3861</v>
      </c>
      <c r="C11524" s="17" t="s">
        <v>3752</v>
      </c>
      <c r="D11524" s="17" t="s">
        <v>1407</v>
      </c>
      <c r="E11524" s="17" t="s">
        <v>3767</v>
      </c>
      <c r="F11524" s="17" t="s">
        <v>2781</v>
      </c>
      <c r="G11524" s="18" t="n">
        <v>0</v>
      </c>
      <c r="H11524" s="18" t="n">
        <v>32.95</v>
      </c>
      <c r="I11524" s="18" t="n">
        <f aca="false">((I11523 + G11524) - H11524)</f>
        <v>44194.4199999999</v>
      </c>
      <c r="J11524" s="18" t="n">
        <v>0</v>
      </c>
      <c r="K11524" s="19" t="n">
        <v>0</v>
      </c>
      <c r="L11524" s="17"/>
    </row>
    <row r="11525" s="11" customFormat="true" ht="10.95" hidden="false" customHeight="true" outlineLevel="0" collapsed="false">
      <c r="A11525" s="16" t="n">
        <v>45407</v>
      </c>
      <c r="B11525" s="17" t="s">
        <v>3861</v>
      </c>
      <c r="C11525" s="17" t="s">
        <v>3752</v>
      </c>
      <c r="D11525" s="17" t="s">
        <v>1407</v>
      </c>
      <c r="E11525" s="17" t="s">
        <v>2747</v>
      </c>
      <c r="F11525" s="17"/>
      <c r="G11525" s="18" t="n">
        <v>0</v>
      </c>
      <c r="H11525" s="18" t="n">
        <v>5</v>
      </c>
      <c r="I11525" s="18" t="n">
        <f aca="false">((I11524 + G11525) - H11525)</f>
        <v>44189.4199999999</v>
      </c>
      <c r="J11525" s="18" t="n">
        <v>0</v>
      </c>
      <c r="K11525" s="19" t="n">
        <v>0</v>
      </c>
      <c r="L11525" s="17"/>
    </row>
    <row r="11526" s="11" customFormat="true" ht="10.95" hidden="false" customHeight="true" outlineLevel="0" collapsed="false">
      <c r="A11526" s="16" t="n">
        <v>45407</v>
      </c>
      <c r="B11526" s="17" t="s">
        <v>3861</v>
      </c>
      <c r="C11526" s="17" t="s">
        <v>3752</v>
      </c>
      <c r="D11526" s="17" t="s">
        <v>1407</v>
      </c>
      <c r="E11526" s="17" t="s">
        <v>3836</v>
      </c>
      <c r="F11526" s="17"/>
      <c r="G11526" s="18" t="n">
        <v>0</v>
      </c>
      <c r="H11526" s="18" t="n">
        <v>13.35</v>
      </c>
      <c r="I11526" s="18" t="n">
        <f aca="false">((I11525 + G11526) - H11526)</f>
        <v>44176.0699999999</v>
      </c>
      <c r="J11526" s="18" t="n">
        <v>0</v>
      </c>
      <c r="K11526" s="19" t="n">
        <v>0</v>
      </c>
      <c r="L11526" s="17"/>
    </row>
    <row r="11527" s="11" customFormat="true" ht="10.95" hidden="false" customHeight="true" outlineLevel="0" collapsed="false">
      <c r="A11527" s="16" t="n">
        <v>45407</v>
      </c>
      <c r="B11527" s="17" t="s">
        <v>3861</v>
      </c>
      <c r="C11527" s="17" t="s">
        <v>3752</v>
      </c>
      <c r="D11527" s="17" t="s">
        <v>1407</v>
      </c>
      <c r="E11527" s="17" t="s">
        <v>3770</v>
      </c>
      <c r="F11527" s="17"/>
      <c r="G11527" s="18" t="n">
        <v>0</v>
      </c>
      <c r="H11527" s="18" t="n">
        <v>22.99</v>
      </c>
      <c r="I11527" s="18" t="n">
        <f aca="false">((I11526 + G11527) - H11527)</f>
        <v>44153.0799999999</v>
      </c>
      <c r="J11527" s="18" t="n">
        <v>0</v>
      </c>
      <c r="K11527" s="19" t="n">
        <v>0</v>
      </c>
      <c r="L11527" s="17"/>
    </row>
    <row r="11528" s="11" customFormat="true" ht="10.95" hidden="false" customHeight="true" outlineLevel="0" collapsed="false">
      <c r="A11528" s="16" t="n">
        <v>45407</v>
      </c>
      <c r="B11528" s="17" t="s">
        <v>3861</v>
      </c>
      <c r="C11528" s="17" t="s">
        <v>3752</v>
      </c>
      <c r="D11528" s="17" t="s">
        <v>1407</v>
      </c>
      <c r="E11528" s="17" t="s">
        <v>3863</v>
      </c>
      <c r="F11528" s="17"/>
      <c r="G11528" s="18" t="n">
        <v>0</v>
      </c>
      <c r="H11528" s="18" t="n">
        <v>38.37</v>
      </c>
      <c r="I11528" s="18" t="n">
        <f aca="false">((I11527 + G11528) - H11528)</f>
        <v>44114.7099999999</v>
      </c>
      <c r="J11528" s="18" t="n">
        <v>0</v>
      </c>
      <c r="K11528" s="19" t="n">
        <v>0</v>
      </c>
      <c r="L11528" s="17"/>
    </row>
    <row r="11529" s="11" customFormat="true" ht="10.95" hidden="false" customHeight="true" outlineLevel="0" collapsed="false">
      <c r="A11529" s="16" t="n">
        <v>45407</v>
      </c>
      <c r="B11529" s="17" t="s">
        <v>3861</v>
      </c>
      <c r="C11529" s="17" t="s">
        <v>3752</v>
      </c>
      <c r="D11529" s="17" t="s">
        <v>1407</v>
      </c>
      <c r="E11529" s="17" t="s">
        <v>4389</v>
      </c>
      <c r="F11529" s="17"/>
      <c r="G11529" s="18" t="n">
        <v>0</v>
      </c>
      <c r="H11529" s="18" t="n">
        <v>1278.96</v>
      </c>
      <c r="I11529" s="18" t="n">
        <f aca="false">((I11528 + G11529) - H11529)</f>
        <v>42835.7499999999</v>
      </c>
      <c r="J11529" s="18" t="n">
        <v>0</v>
      </c>
      <c r="K11529" s="19" t="n">
        <v>0</v>
      </c>
      <c r="L11529" s="17"/>
    </row>
    <row r="11530" s="11" customFormat="true" ht="10.95" hidden="false" customHeight="true" outlineLevel="0" collapsed="false">
      <c r="A11530" s="16" t="n">
        <v>45407</v>
      </c>
      <c r="B11530" s="17" t="s">
        <v>3861</v>
      </c>
      <c r="C11530" s="17" t="s">
        <v>3752</v>
      </c>
      <c r="D11530" s="17" t="s">
        <v>1407</v>
      </c>
      <c r="E11530" s="17" t="s">
        <v>1583</v>
      </c>
      <c r="F11530" s="17"/>
      <c r="G11530" s="18" t="n">
        <v>0</v>
      </c>
      <c r="H11530" s="18" t="n">
        <v>49</v>
      </c>
      <c r="I11530" s="18" t="n">
        <f aca="false">((I11529 + G11530) - H11530)</f>
        <v>42786.7499999999</v>
      </c>
      <c r="J11530" s="18" t="n">
        <v>0</v>
      </c>
      <c r="K11530" s="19" t="n">
        <v>0</v>
      </c>
      <c r="L11530" s="17"/>
    </row>
    <row r="11531" s="11" customFormat="true" ht="10.95" hidden="false" customHeight="true" outlineLevel="0" collapsed="false">
      <c r="A11531" s="16" t="n">
        <v>45408</v>
      </c>
      <c r="B11531" s="17" t="s">
        <v>3861</v>
      </c>
      <c r="C11531" s="17" t="s">
        <v>3752</v>
      </c>
      <c r="D11531" s="17" t="s">
        <v>2895</v>
      </c>
      <c r="E11531" s="17" t="s">
        <v>3480</v>
      </c>
      <c r="F11531" s="17" t="s">
        <v>4390</v>
      </c>
      <c r="G11531" s="18" t="n">
        <v>180</v>
      </c>
      <c r="H11531" s="18" t="n">
        <v>0</v>
      </c>
      <c r="I11531" s="18" t="n">
        <f aca="false">((I11530 + G11531) - H11531)</f>
        <v>42966.7499999999</v>
      </c>
      <c r="J11531" s="18" t="n">
        <v>0</v>
      </c>
      <c r="K11531" s="19" t="n">
        <v>0</v>
      </c>
      <c r="L11531" s="17"/>
    </row>
    <row r="11532" s="11" customFormat="true" ht="10.95" hidden="false" customHeight="true" outlineLevel="0" collapsed="false">
      <c r="A11532" s="16" t="n">
        <v>45408</v>
      </c>
      <c r="B11532" s="17" t="s">
        <v>3861</v>
      </c>
      <c r="C11532" s="17" t="s">
        <v>3752</v>
      </c>
      <c r="D11532" s="17" t="s">
        <v>1407</v>
      </c>
      <c r="E11532" s="17" t="s">
        <v>3863</v>
      </c>
      <c r="F11532" s="17"/>
      <c r="G11532" s="18" t="n">
        <v>0</v>
      </c>
      <c r="H11532" s="18" t="n">
        <v>10.79</v>
      </c>
      <c r="I11532" s="18" t="n">
        <f aca="false">((I11531 + G11532) - H11532)</f>
        <v>42955.9599999999</v>
      </c>
      <c r="J11532" s="18" t="n">
        <v>0</v>
      </c>
      <c r="K11532" s="19" t="n">
        <v>0</v>
      </c>
      <c r="L11532" s="17"/>
    </row>
    <row r="11533" s="11" customFormat="true" ht="10.95" hidden="false" customHeight="true" outlineLevel="0" collapsed="false">
      <c r="A11533" s="16" t="n">
        <v>45408</v>
      </c>
      <c r="B11533" s="17" t="s">
        <v>3861</v>
      </c>
      <c r="C11533" s="17" t="s">
        <v>3752</v>
      </c>
      <c r="D11533" s="17" t="s">
        <v>1407</v>
      </c>
      <c r="E11533" s="17" t="s">
        <v>3808</v>
      </c>
      <c r="F11533" s="17"/>
      <c r="G11533" s="18" t="n">
        <v>0</v>
      </c>
      <c r="H11533" s="18" t="n">
        <v>192.87</v>
      </c>
      <c r="I11533" s="18" t="n">
        <f aca="false">((I11532 + G11533) - H11533)</f>
        <v>42763.0899999999</v>
      </c>
      <c r="J11533" s="18" t="n">
        <v>0</v>
      </c>
      <c r="K11533" s="19" t="n">
        <v>0</v>
      </c>
      <c r="L11533" s="17"/>
    </row>
    <row r="11534" s="11" customFormat="true" ht="10.95" hidden="false" customHeight="true" outlineLevel="0" collapsed="false">
      <c r="A11534" s="16" t="n">
        <v>45409</v>
      </c>
      <c r="B11534" s="17" t="s">
        <v>3861</v>
      </c>
      <c r="C11534" s="17" t="s">
        <v>3752</v>
      </c>
      <c r="D11534" s="17" t="s">
        <v>2895</v>
      </c>
      <c r="E11534" s="17" t="s">
        <v>3453</v>
      </c>
      <c r="F11534" s="17" t="s">
        <v>4391</v>
      </c>
      <c r="G11534" s="18" t="n">
        <v>93.5</v>
      </c>
      <c r="H11534" s="18" t="n">
        <v>0</v>
      </c>
      <c r="I11534" s="18" t="n">
        <f aca="false">((I11533 + G11534) - H11534)</f>
        <v>42856.5899999999</v>
      </c>
      <c r="J11534" s="18" t="n">
        <v>0</v>
      </c>
      <c r="K11534" s="19" t="n">
        <v>0</v>
      </c>
      <c r="L11534" s="17"/>
    </row>
    <row r="11535" s="11" customFormat="true" ht="10.95" hidden="false" customHeight="true" outlineLevel="0" collapsed="false">
      <c r="A11535" s="16" t="n">
        <v>45409</v>
      </c>
      <c r="B11535" s="17" t="s">
        <v>3861</v>
      </c>
      <c r="C11535" s="17" t="s">
        <v>3752</v>
      </c>
      <c r="D11535" s="17" t="s">
        <v>1407</v>
      </c>
      <c r="E11535" s="17" t="s">
        <v>3863</v>
      </c>
      <c r="F11535" s="17"/>
      <c r="G11535" s="18" t="n">
        <v>0</v>
      </c>
      <c r="H11535" s="18" t="n">
        <v>0.7</v>
      </c>
      <c r="I11535" s="18" t="n">
        <f aca="false">((I11534 + G11535) - H11535)</f>
        <v>42855.8899999999</v>
      </c>
      <c r="J11535" s="18" t="n">
        <v>0</v>
      </c>
      <c r="K11535" s="19" t="n">
        <v>0</v>
      </c>
      <c r="L11535" s="17"/>
    </row>
    <row r="11536" s="11" customFormat="true" ht="10.95" hidden="false" customHeight="true" outlineLevel="0" collapsed="false">
      <c r="A11536" s="16" t="n">
        <v>45409</v>
      </c>
      <c r="B11536" s="17" t="s">
        <v>3861</v>
      </c>
      <c r="C11536" s="17" t="s">
        <v>3752</v>
      </c>
      <c r="D11536" s="17" t="s">
        <v>1407</v>
      </c>
      <c r="E11536" s="17" t="s">
        <v>3863</v>
      </c>
      <c r="F11536" s="17"/>
      <c r="G11536" s="18" t="n">
        <v>0</v>
      </c>
      <c r="H11536" s="18" t="n">
        <v>0.79</v>
      </c>
      <c r="I11536" s="18" t="n">
        <f aca="false">((I11535 + G11536) - H11536)</f>
        <v>42855.0999999999</v>
      </c>
      <c r="J11536" s="18" t="n">
        <v>0</v>
      </c>
      <c r="K11536" s="19" t="n">
        <v>0</v>
      </c>
      <c r="L11536" s="17"/>
    </row>
    <row r="11537" s="11" customFormat="true" ht="10.95" hidden="false" customHeight="true" outlineLevel="0" collapsed="false">
      <c r="A11537" s="16" t="n">
        <v>45409</v>
      </c>
      <c r="B11537" s="17" t="s">
        <v>3861</v>
      </c>
      <c r="C11537" s="17" t="s">
        <v>3752</v>
      </c>
      <c r="D11537" s="17" t="s">
        <v>1407</v>
      </c>
      <c r="E11537" s="17" t="s">
        <v>3863</v>
      </c>
      <c r="F11537" s="17"/>
      <c r="G11537" s="18" t="n">
        <v>0</v>
      </c>
      <c r="H11537" s="18" t="n">
        <v>0.8</v>
      </c>
      <c r="I11537" s="18" t="n">
        <f aca="false">((I11536 + G11537) - H11537)</f>
        <v>42854.2999999999</v>
      </c>
      <c r="J11537" s="18" t="n">
        <v>0</v>
      </c>
      <c r="K11537" s="19" t="n">
        <v>0</v>
      </c>
      <c r="L11537" s="17"/>
    </row>
    <row r="11538" s="11" customFormat="true" ht="10.95" hidden="false" customHeight="true" outlineLevel="0" collapsed="false">
      <c r="A11538" s="16" t="n">
        <v>45409</v>
      </c>
      <c r="B11538" s="17" t="s">
        <v>3861</v>
      </c>
      <c r="C11538" s="17" t="s">
        <v>3752</v>
      </c>
      <c r="D11538" s="17" t="s">
        <v>1407</v>
      </c>
      <c r="E11538" s="17" t="s">
        <v>3863</v>
      </c>
      <c r="F11538" s="17"/>
      <c r="G11538" s="18" t="n">
        <v>0</v>
      </c>
      <c r="H11538" s="18" t="n">
        <v>0.97</v>
      </c>
      <c r="I11538" s="18" t="n">
        <f aca="false">((I11537 + G11538) - H11538)</f>
        <v>42853.3299999999</v>
      </c>
      <c r="J11538" s="18" t="n">
        <v>0</v>
      </c>
      <c r="K11538" s="19" t="n">
        <v>0</v>
      </c>
      <c r="L11538" s="17"/>
    </row>
    <row r="11539" s="11" customFormat="true" ht="10.95" hidden="false" customHeight="true" outlineLevel="0" collapsed="false">
      <c r="A11539" s="16" t="n">
        <v>45409</v>
      </c>
      <c r="B11539" s="17" t="s">
        <v>3861</v>
      </c>
      <c r="C11539" s="17" t="s">
        <v>3752</v>
      </c>
      <c r="D11539" s="17" t="s">
        <v>1407</v>
      </c>
      <c r="E11539" s="17" t="s">
        <v>3863</v>
      </c>
      <c r="F11539" s="17"/>
      <c r="G11539" s="18" t="n">
        <v>0</v>
      </c>
      <c r="H11539" s="18" t="n">
        <v>3.73</v>
      </c>
      <c r="I11539" s="18" t="n">
        <f aca="false">((I11538 + G11539) - H11539)</f>
        <v>42849.5999999999</v>
      </c>
      <c r="J11539" s="18" t="n">
        <v>0</v>
      </c>
      <c r="K11539" s="19" t="n">
        <v>0</v>
      </c>
      <c r="L11539" s="17"/>
    </row>
    <row r="11540" s="11" customFormat="true" ht="10.95" hidden="false" customHeight="true" outlineLevel="0" collapsed="false">
      <c r="A11540" s="16" t="n">
        <v>45409</v>
      </c>
      <c r="B11540" s="17" t="s">
        <v>3861</v>
      </c>
      <c r="C11540" s="17" t="s">
        <v>3752</v>
      </c>
      <c r="D11540" s="17" t="s">
        <v>1407</v>
      </c>
      <c r="E11540" s="17" t="s">
        <v>3767</v>
      </c>
      <c r="F11540" s="17" t="s">
        <v>2781</v>
      </c>
      <c r="G11540" s="18" t="n">
        <v>0</v>
      </c>
      <c r="H11540" s="18" t="n">
        <v>23.18</v>
      </c>
      <c r="I11540" s="18" t="n">
        <f aca="false">((I11539 + G11540) - H11540)</f>
        <v>42826.4199999999</v>
      </c>
      <c r="J11540" s="18" t="n">
        <v>0</v>
      </c>
      <c r="K11540" s="19" t="n">
        <v>0</v>
      </c>
      <c r="L11540" s="17"/>
    </row>
    <row r="11541" s="11" customFormat="true" ht="10.95" hidden="false" customHeight="true" outlineLevel="0" collapsed="false">
      <c r="A11541" s="16" t="n">
        <v>45409</v>
      </c>
      <c r="B11541" s="17" t="s">
        <v>3861</v>
      </c>
      <c r="C11541" s="17" t="s">
        <v>3752</v>
      </c>
      <c r="D11541" s="17" t="s">
        <v>1407</v>
      </c>
      <c r="E11541" s="17" t="s">
        <v>3767</v>
      </c>
      <c r="F11541" s="17" t="s">
        <v>2781</v>
      </c>
      <c r="G11541" s="18" t="n">
        <v>0</v>
      </c>
      <c r="H11541" s="18" t="n">
        <v>26.22</v>
      </c>
      <c r="I11541" s="18" t="n">
        <f aca="false">((I11540 + G11541) - H11541)</f>
        <v>42800.1999999999</v>
      </c>
      <c r="J11541" s="18" t="n">
        <v>0</v>
      </c>
      <c r="K11541" s="19" t="n">
        <v>0</v>
      </c>
      <c r="L11541" s="17"/>
    </row>
    <row r="11542" s="11" customFormat="true" ht="10.95" hidden="false" customHeight="true" outlineLevel="0" collapsed="false">
      <c r="A11542" s="16" t="n">
        <v>45409</v>
      </c>
      <c r="B11542" s="17" t="s">
        <v>3861</v>
      </c>
      <c r="C11542" s="17" t="s">
        <v>3752</v>
      </c>
      <c r="D11542" s="17" t="s">
        <v>1407</v>
      </c>
      <c r="E11542" s="17" t="s">
        <v>3767</v>
      </c>
      <c r="F11542" s="17" t="s">
        <v>2781</v>
      </c>
      <c r="G11542" s="18" t="n">
        <v>0</v>
      </c>
      <c r="H11542" s="18" t="n">
        <v>26.5</v>
      </c>
      <c r="I11542" s="18" t="n">
        <f aca="false">((I11541 + G11542) - H11542)</f>
        <v>42773.6999999999</v>
      </c>
      <c r="J11542" s="18" t="n">
        <v>0</v>
      </c>
      <c r="K11542" s="19" t="n">
        <v>0</v>
      </c>
      <c r="L11542" s="17"/>
    </row>
    <row r="11543" s="11" customFormat="true" ht="10.95" hidden="false" customHeight="true" outlineLevel="0" collapsed="false">
      <c r="A11543" s="16" t="n">
        <v>45409</v>
      </c>
      <c r="B11543" s="17" t="s">
        <v>3861</v>
      </c>
      <c r="C11543" s="17" t="s">
        <v>3752</v>
      </c>
      <c r="D11543" s="17" t="s">
        <v>1407</v>
      </c>
      <c r="E11543" s="17" t="s">
        <v>3767</v>
      </c>
      <c r="F11543" s="17" t="s">
        <v>2781</v>
      </c>
      <c r="G11543" s="18" t="n">
        <v>0</v>
      </c>
      <c r="H11543" s="18" t="n">
        <v>32.32</v>
      </c>
      <c r="I11543" s="18" t="n">
        <f aca="false">((I11542 + G11543) - H11543)</f>
        <v>42741.3799999999</v>
      </c>
      <c r="J11543" s="18" t="n">
        <v>0</v>
      </c>
      <c r="K11543" s="19" t="n">
        <v>0</v>
      </c>
      <c r="L11543" s="17"/>
    </row>
    <row r="11544" s="11" customFormat="true" ht="10.95" hidden="false" customHeight="true" outlineLevel="0" collapsed="false">
      <c r="A11544" s="16" t="n">
        <v>45409</v>
      </c>
      <c r="B11544" s="17" t="s">
        <v>3861</v>
      </c>
      <c r="C11544" s="17" t="s">
        <v>3752</v>
      </c>
      <c r="D11544" s="17" t="s">
        <v>1407</v>
      </c>
      <c r="E11544" s="17" t="s">
        <v>4392</v>
      </c>
      <c r="F11544" s="17"/>
      <c r="G11544" s="18" t="n">
        <v>0</v>
      </c>
      <c r="H11544" s="18" t="n">
        <v>124.31</v>
      </c>
      <c r="I11544" s="18" t="n">
        <f aca="false">((I11543 + G11544) - H11544)</f>
        <v>42617.0699999999</v>
      </c>
      <c r="J11544" s="18" t="n">
        <v>0</v>
      </c>
      <c r="K11544" s="19" t="n">
        <v>0</v>
      </c>
      <c r="L11544" s="17"/>
    </row>
    <row r="11545" s="11" customFormat="true" ht="10.95" hidden="false" customHeight="true" outlineLevel="0" collapsed="false">
      <c r="A11545" s="16" t="n">
        <v>45411</v>
      </c>
      <c r="B11545" s="17" t="s">
        <v>3861</v>
      </c>
      <c r="C11545" s="17" t="s">
        <v>3752</v>
      </c>
      <c r="D11545" s="17" t="s">
        <v>3753</v>
      </c>
      <c r="E11545" s="17" t="s">
        <v>3806</v>
      </c>
      <c r="F11545" s="17" t="s">
        <v>3840</v>
      </c>
      <c r="G11545" s="18" t="n">
        <v>0</v>
      </c>
      <c r="H11545" s="18" t="n">
        <v>10000</v>
      </c>
      <c r="I11545" s="18" t="n">
        <f aca="false">((I11544 + G11545) - H11545)</f>
        <v>32617.0699999999</v>
      </c>
      <c r="J11545" s="18" t="n">
        <v>0</v>
      </c>
      <c r="K11545" s="19" t="n">
        <v>0</v>
      </c>
      <c r="L11545" s="17"/>
    </row>
    <row r="11546" s="11" customFormat="true" ht="10.95" hidden="false" customHeight="true" outlineLevel="0" collapsed="false">
      <c r="A11546" s="16" t="n">
        <v>45411</v>
      </c>
      <c r="B11546" s="17" t="s">
        <v>3861</v>
      </c>
      <c r="C11546" s="17" t="s">
        <v>3752</v>
      </c>
      <c r="D11546" s="17" t="s">
        <v>2895</v>
      </c>
      <c r="E11546" s="17" t="s">
        <v>3403</v>
      </c>
      <c r="F11546" s="17" t="s">
        <v>4393</v>
      </c>
      <c r="G11546" s="18" t="n">
        <v>114.95</v>
      </c>
      <c r="H11546" s="18" t="n">
        <v>0</v>
      </c>
      <c r="I11546" s="18" t="n">
        <f aca="false">((I11545 + G11546) - H11546)</f>
        <v>32732.0199999999</v>
      </c>
      <c r="J11546" s="18" t="n">
        <v>0</v>
      </c>
      <c r="K11546" s="19" t="n">
        <v>0</v>
      </c>
      <c r="L11546" s="17"/>
    </row>
    <row r="11547" s="11" customFormat="true" ht="10.95" hidden="false" customHeight="true" outlineLevel="0" collapsed="false">
      <c r="A11547" s="16" t="n">
        <v>45411</v>
      </c>
      <c r="B11547" s="17" t="s">
        <v>3861</v>
      </c>
      <c r="C11547" s="17" t="s">
        <v>3752</v>
      </c>
      <c r="D11547" s="17" t="s">
        <v>2895</v>
      </c>
      <c r="E11547" s="17" t="s">
        <v>3403</v>
      </c>
      <c r="F11547" s="17" t="s">
        <v>4394</v>
      </c>
      <c r="G11547" s="18" t="n">
        <v>1792.45</v>
      </c>
      <c r="H11547" s="18" t="n">
        <v>0</v>
      </c>
      <c r="I11547" s="18" t="n">
        <f aca="false">((I11546 + G11547) - H11547)</f>
        <v>34524.4699999999</v>
      </c>
      <c r="J11547" s="18" t="n">
        <v>0</v>
      </c>
      <c r="K11547" s="19" t="n">
        <v>0</v>
      </c>
      <c r="L11547" s="17"/>
    </row>
    <row r="11548" s="11" customFormat="true" ht="10.95" hidden="false" customHeight="true" outlineLevel="0" collapsed="false">
      <c r="A11548" s="16" t="n">
        <v>45411</v>
      </c>
      <c r="B11548" s="17" t="s">
        <v>3861</v>
      </c>
      <c r="C11548" s="17" t="s">
        <v>3752</v>
      </c>
      <c r="D11548" s="17" t="s">
        <v>2895</v>
      </c>
      <c r="E11548" s="17" t="s">
        <v>3466</v>
      </c>
      <c r="F11548" s="17" t="s">
        <v>4395</v>
      </c>
      <c r="G11548" s="18" t="n">
        <v>396</v>
      </c>
      <c r="H11548" s="18" t="n">
        <v>0</v>
      </c>
      <c r="I11548" s="18" t="n">
        <f aca="false">((I11547 + G11548) - H11548)</f>
        <v>34920.4699999999</v>
      </c>
      <c r="J11548" s="18" t="n">
        <v>0</v>
      </c>
      <c r="K11548" s="19" t="n">
        <v>0</v>
      </c>
      <c r="L11548" s="17"/>
    </row>
    <row r="11549" s="11" customFormat="true" ht="10.95" hidden="false" customHeight="true" outlineLevel="0" collapsed="false">
      <c r="A11549" s="16" t="n">
        <v>45411</v>
      </c>
      <c r="B11549" s="17" t="s">
        <v>3861</v>
      </c>
      <c r="C11549" s="17" t="s">
        <v>3752</v>
      </c>
      <c r="D11549" s="17" t="s">
        <v>2903</v>
      </c>
      <c r="E11549" s="17" t="s">
        <v>3704</v>
      </c>
      <c r="F11549" s="17" t="s">
        <v>1642</v>
      </c>
      <c r="G11549" s="18" t="n">
        <v>0</v>
      </c>
      <c r="H11549" s="18" t="n">
        <v>64.8</v>
      </c>
      <c r="I11549" s="18" t="n">
        <f aca="false">((I11548 + G11549) - H11549)</f>
        <v>34855.6699999999</v>
      </c>
      <c r="J11549" s="18" t="n">
        <v>0</v>
      </c>
      <c r="K11549" s="19" t="n">
        <v>0</v>
      </c>
      <c r="L11549" s="17"/>
    </row>
    <row r="11550" s="11" customFormat="true" ht="10.95" hidden="false" customHeight="true" outlineLevel="0" collapsed="false">
      <c r="A11550" s="16" t="n">
        <v>45412</v>
      </c>
      <c r="B11550" s="17" t="s">
        <v>3861</v>
      </c>
      <c r="C11550" s="17" t="s">
        <v>3752</v>
      </c>
      <c r="D11550" s="17" t="s">
        <v>2895</v>
      </c>
      <c r="E11550" s="17" t="s">
        <v>3382</v>
      </c>
      <c r="F11550" s="17" t="s">
        <v>4396</v>
      </c>
      <c r="G11550" s="18" t="n">
        <v>18345.42</v>
      </c>
      <c r="H11550" s="18" t="n">
        <v>0</v>
      </c>
      <c r="I11550" s="18" t="n">
        <f aca="false">((I11549 + G11550) - H11550)</f>
        <v>53201.0899999999</v>
      </c>
      <c r="J11550" s="18" t="n">
        <v>0</v>
      </c>
      <c r="K11550" s="19" t="n">
        <v>0</v>
      </c>
      <c r="L11550" s="17"/>
    </row>
    <row r="11551" s="11" customFormat="true" ht="10.95" hidden="false" customHeight="true" outlineLevel="0" collapsed="false">
      <c r="A11551" s="16" t="n">
        <v>45412</v>
      </c>
      <c r="B11551" s="17" t="s">
        <v>3861</v>
      </c>
      <c r="C11551" s="17" t="s">
        <v>3752</v>
      </c>
      <c r="D11551" s="17" t="s">
        <v>2895</v>
      </c>
      <c r="E11551" s="17" t="s">
        <v>3373</v>
      </c>
      <c r="F11551" s="17" t="s">
        <v>4397</v>
      </c>
      <c r="G11551" s="18" t="n">
        <v>1765.5</v>
      </c>
      <c r="H11551" s="18" t="n">
        <v>0</v>
      </c>
      <c r="I11551" s="18" t="n">
        <f aca="false">((I11550 + G11551) - H11551)</f>
        <v>54966.5899999999</v>
      </c>
      <c r="J11551" s="18" t="n">
        <v>0</v>
      </c>
      <c r="K11551" s="19" t="n">
        <v>0</v>
      </c>
      <c r="L11551" s="17"/>
    </row>
    <row r="11552" s="11" customFormat="true" ht="10.95" hidden="false" customHeight="true" outlineLevel="0" collapsed="false">
      <c r="A11552" s="16" t="n">
        <v>45412</v>
      </c>
      <c r="B11552" s="17" t="s">
        <v>3861</v>
      </c>
      <c r="C11552" s="17" t="s">
        <v>3752</v>
      </c>
      <c r="D11552" s="17" t="s">
        <v>2895</v>
      </c>
      <c r="E11552" s="17" t="s">
        <v>3465</v>
      </c>
      <c r="F11552" s="17" t="s">
        <v>4398</v>
      </c>
      <c r="G11552" s="18" t="n">
        <v>1094.5</v>
      </c>
      <c r="H11552" s="18" t="n">
        <v>0</v>
      </c>
      <c r="I11552" s="18" t="n">
        <f aca="false">((I11551 + G11552) - H11552)</f>
        <v>56061.0899999999</v>
      </c>
      <c r="J11552" s="18" t="n">
        <v>0</v>
      </c>
      <c r="K11552" s="19" t="n">
        <v>0</v>
      </c>
      <c r="L11552" s="17"/>
    </row>
    <row r="11553" s="11" customFormat="true" ht="10.95" hidden="false" customHeight="true" outlineLevel="0" collapsed="false">
      <c r="A11553" s="16" t="n">
        <v>45412</v>
      </c>
      <c r="B11553" s="17" t="s">
        <v>3861</v>
      </c>
      <c r="C11553" s="17" t="s">
        <v>3752</v>
      </c>
      <c r="D11553" s="17" t="s">
        <v>2895</v>
      </c>
      <c r="E11553" s="17" t="s">
        <v>3397</v>
      </c>
      <c r="F11553" s="17" t="s">
        <v>4399</v>
      </c>
      <c r="G11553" s="18" t="n">
        <v>594</v>
      </c>
      <c r="H11553" s="18" t="n">
        <v>0</v>
      </c>
      <c r="I11553" s="18" t="n">
        <f aca="false">((I11552 + G11553) - H11553)</f>
        <v>56655.0899999999</v>
      </c>
      <c r="J11553" s="18" t="n">
        <v>0</v>
      </c>
      <c r="K11553" s="19" t="n">
        <v>0</v>
      </c>
      <c r="L11553" s="17"/>
    </row>
    <row r="11554" s="11" customFormat="true" ht="10.95" hidden="false" customHeight="true" outlineLevel="0" collapsed="false">
      <c r="A11554" s="16" t="n">
        <v>45412</v>
      </c>
      <c r="B11554" s="17" t="s">
        <v>3861</v>
      </c>
      <c r="C11554" s="17" t="s">
        <v>3752</v>
      </c>
      <c r="D11554" s="17" t="s">
        <v>1407</v>
      </c>
      <c r="E11554" s="17" t="s">
        <v>3863</v>
      </c>
      <c r="F11554" s="17"/>
      <c r="G11554" s="18" t="n">
        <v>0</v>
      </c>
      <c r="H11554" s="18" t="n">
        <v>0.2</v>
      </c>
      <c r="I11554" s="18" t="n">
        <f aca="false">((I11553 + G11554) - H11554)</f>
        <v>56654.8899999999</v>
      </c>
      <c r="J11554" s="18" t="n">
        <v>0</v>
      </c>
      <c r="K11554" s="19" t="n">
        <v>0</v>
      </c>
      <c r="L11554" s="17"/>
    </row>
    <row r="11555" s="11" customFormat="true" ht="10.95" hidden="false" customHeight="true" outlineLevel="0" collapsed="false">
      <c r="A11555" s="16" t="n">
        <v>45412</v>
      </c>
      <c r="B11555" s="17" t="s">
        <v>3861</v>
      </c>
      <c r="C11555" s="17" t="s">
        <v>3752</v>
      </c>
      <c r="D11555" s="17" t="s">
        <v>1407</v>
      </c>
      <c r="E11555" s="17" t="s">
        <v>3863</v>
      </c>
      <c r="F11555" s="17"/>
      <c r="G11555" s="18" t="n">
        <v>0</v>
      </c>
      <c r="H11555" s="18" t="n">
        <v>0.46</v>
      </c>
      <c r="I11555" s="18" t="n">
        <f aca="false">((I11554 + G11555) - H11555)</f>
        <v>56654.4299999999</v>
      </c>
      <c r="J11555" s="18" t="n">
        <v>0</v>
      </c>
      <c r="K11555" s="19" t="n">
        <v>0</v>
      </c>
      <c r="L11555" s="17"/>
    </row>
    <row r="11556" s="11" customFormat="true" ht="10.95" hidden="false" customHeight="true" outlineLevel="0" collapsed="false">
      <c r="A11556" s="16" t="n">
        <v>45412</v>
      </c>
      <c r="B11556" s="17" t="s">
        <v>3861</v>
      </c>
      <c r="C11556" s="17" t="s">
        <v>3752</v>
      </c>
      <c r="D11556" s="17" t="s">
        <v>1407</v>
      </c>
      <c r="E11556" s="17" t="s">
        <v>3863</v>
      </c>
      <c r="F11556" s="17"/>
      <c r="G11556" s="18" t="n">
        <v>0</v>
      </c>
      <c r="H11556" s="18" t="n">
        <v>0.62</v>
      </c>
      <c r="I11556" s="18" t="n">
        <f aca="false">((I11555 + G11556) - H11556)</f>
        <v>56653.8099999999</v>
      </c>
      <c r="J11556" s="18" t="n">
        <v>0</v>
      </c>
      <c r="K11556" s="19" t="n">
        <v>0</v>
      </c>
      <c r="L11556" s="17"/>
    </row>
    <row r="11557" s="11" customFormat="true" ht="10.95" hidden="false" customHeight="true" outlineLevel="0" collapsed="false">
      <c r="A11557" s="16" t="n">
        <v>45412</v>
      </c>
      <c r="B11557" s="17" t="s">
        <v>3861</v>
      </c>
      <c r="C11557" s="17" t="s">
        <v>3752</v>
      </c>
      <c r="D11557" s="17" t="s">
        <v>1407</v>
      </c>
      <c r="E11557" s="17" t="s">
        <v>3863</v>
      </c>
      <c r="F11557" s="17"/>
      <c r="G11557" s="18" t="n">
        <v>0</v>
      </c>
      <c r="H11557" s="18" t="n">
        <v>0.63</v>
      </c>
      <c r="I11557" s="18" t="n">
        <f aca="false">((I11556 + G11557) - H11557)</f>
        <v>56653.1799999999</v>
      </c>
      <c r="J11557" s="18" t="n">
        <v>0</v>
      </c>
      <c r="K11557" s="19" t="n">
        <v>0</v>
      </c>
      <c r="L11557" s="17"/>
    </row>
    <row r="11558" s="11" customFormat="true" ht="10.95" hidden="false" customHeight="true" outlineLevel="0" collapsed="false">
      <c r="A11558" s="16" t="n">
        <v>45412</v>
      </c>
      <c r="B11558" s="17" t="s">
        <v>3861</v>
      </c>
      <c r="C11558" s="17" t="s">
        <v>3752</v>
      </c>
      <c r="D11558" s="17" t="s">
        <v>1407</v>
      </c>
      <c r="E11558" s="17" t="s">
        <v>3863</v>
      </c>
      <c r="F11558" s="17"/>
      <c r="G11558" s="18" t="n">
        <v>0</v>
      </c>
      <c r="H11558" s="18" t="n">
        <v>0.74</v>
      </c>
      <c r="I11558" s="18" t="n">
        <f aca="false">((I11557 + G11558) - H11558)</f>
        <v>56652.4399999999</v>
      </c>
      <c r="J11558" s="18" t="n">
        <v>0</v>
      </c>
      <c r="K11558" s="19" t="n">
        <v>0</v>
      </c>
      <c r="L11558" s="17"/>
    </row>
    <row r="11559" s="11" customFormat="true" ht="10.95" hidden="false" customHeight="true" outlineLevel="0" collapsed="false">
      <c r="A11559" s="16" t="n">
        <v>45412</v>
      </c>
      <c r="B11559" s="17" t="s">
        <v>3861</v>
      </c>
      <c r="C11559" s="17" t="s">
        <v>3752</v>
      </c>
      <c r="D11559" s="17" t="s">
        <v>1407</v>
      </c>
      <c r="E11559" s="17" t="s">
        <v>3863</v>
      </c>
      <c r="F11559" s="17"/>
      <c r="G11559" s="18" t="n">
        <v>0</v>
      </c>
      <c r="H11559" s="18" t="n">
        <v>1</v>
      </c>
      <c r="I11559" s="18" t="n">
        <f aca="false">((I11558 + G11559) - H11559)</f>
        <v>56651.4399999999</v>
      </c>
      <c r="J11559" s="18" t="n">
        <v>0</v>
      </c>
      <c r="K11559" s="19" t="n">
        <v>0</v>
      </c>
      <c r="L11559" s="17"/>
    </row>
    <row r="11560" s="11" customFormat="true" ht="10.95" hidden="false" customHeight="true" outlineLevel="0" collapsed="false">
      <c r="A11560" s="16" t="n">
        <v>45412</v>
      </c>
      <c r="B11560" s="17" t="s">
        <v>3861</v>
      </c>
      <c r="C11560" s="17" t="s">
        <v>3752</v>
      </c>
      <c r="D11560" s="17" t="s">
        <v>1407</v>
      </c>
      <c r="E11560" s="17" t="s">
        <v>3863</v>
      </c>
      <c r="F11560" s="17"/>
      <c r="G11560" s="18" t="n">
        <v>0</v>
      </c>
      <c r="H11560" s="18" t="n">
        <v>1.48</v>
      </c>
      <c r="I11560" s="18" t="n">
        <f aca="false">((I11559 + G11560) - H11560)</f>
        <v>56649.9599999999</v>
      </c>
      <c r="J11560" s="18" t="n">
        <v>0</v>
      </c>
      <c r="K11560" s="19" t="n">
        <v>0</v>
      </c>
      <c r="L11560" s="17"/>
    </row>
    <row r="11561" s="11" customFormat="true" ht="10.95" hidden="false" customHeight="true" outlineLevel="0" collapsed="false">
      <c r="A11561" s="16" t="n">
        <v>45412</v>
      </c>
      <c r="B11561" s="17" t="s">
        <v>3861</v>
      </c>
      <c r="C11561" s="17" t="s">
        <v>3752</v>
      </c>
      <c r="D11561" s="17" t="s">
        <v>1407</v>
      </c>
      <c r="E11561" s="17" t="s">
        <v>2747</v>
      </c>
      <c r="F11561" s="17"/>
      <c r="G11561" s="18" t="n">
        <v>0</v>
      </c>
      <c r="H11561" s="18" t="n">
        <v>5</v>
      </c>
      <c r="I11561" s="18" t="n">
        <f aca="false">((I11560 + G11561) - H11561)</f>
        <v>56644.9599999999</v>
      </c>
      <c r="J11561" s="18" t="n">
        <v>0</v>
      </c>
      <c r="K11561" s="19" t="n">
        <v>0</v>
      </c>
      <c r="L11561" s="17"/>
    </row>
    <row r="11562" s="11" customFormat="true" ht="10.95" hidden="false" customHeight="true" outlineLevel="0" collapsed="false">
      <c r="A11562" s="16" t="n">
        <v>45412</v>
      </c>
      <c r="B11562" s="17" t="s">
        <v>3861</v>
      </c>
      <c r="C11562" s="17" t="s">
        <v>3752</v>
      </c>
      <c r="D11562" s="17" t="s">
        <v>1407</v>
      </c>
      <c r="E11562" s="17" t="s">
        <v>4389</v>
      </c>
      <c r="F11562" s="17"/>
      <c r="G11562" s="18" t="n">
        <v>0</v>
      </c>
      <c r="H11562" s="18" t="n">
        <v>6.76</v>
      </c>
      <c r="I11562" s="18" t="n">
        <f aca="false">((I11561 + G11562) - H11562)</f>
        <v>56638.1999999999</v>
      </c>
      <c r="J11562" s="18" t="n">
        <v>0</v>
      </c>
      <c r="K11562" s="19" t="n">
        <v>0</v>
      </c>
      <c r="L11562" s="17"/>
    </row>
    <row r="11563" s="11" customFormat="true" ht="10.95" hidden="false" customHeight="true" outlineLevel="0" collapsed="false">
      <c r="A11563" s="16" t="n">
        <v>45412</v>
      </c>
      <c r="B11563" s="17" t="s">
        <v>3861</v>
      </c>
      <c r="C11563" s="17" t="s">
        <v>3752</v>
      </c>
      <c r="D11563" s="17" t="s">
        <v>1407</v>
      </c>
      <c r="E11563" s="17" t="s">
        <v>3863</v>
      </c>
      <c r="F11563" s="17"/>
      <c r="G11563" s="18" t="n">
        <v>0</v>
      </c>
      <c r="H11563" s="18" t="n">
        <v>8.55</v>
      </c>
      <c r="I11563" s="18" t="n">
        <f aca="false">((I11562 + G11563) - H11563)</f>
        <v>56629.6499999999</v>
      </c>
      <c r="J11563" s="18" t="n">
        <v>0</v>
      </c>
      <c r="K11563" s="19" t="n">
        <v>0</v>
      </c>
      <c r="L11563" s="17"/>
    </row>
    <row r="11564" s="11" customFormat="true" ht="10.95" hidden="false" customHeight="true" outlineLevel="0" collapsed="false">
      <c r="A11564" s="16" t="n">
        <v>45412</v>
      </c>
      <c r="B11564" s="17" t="s">
        <v>3861</v>
      </c>
      <c r="C11564" s="17" t="s">
        <v>3752</v>
      </c>
      <c r="D11564" s="17" t="s">
        <v>1407</v>
      </c>
      <c r="E11564" s="17" t="s">
        <v>3767</v>
      </c>
      <c r="F11564" s="17" t="s">
        <v>2781</v>
      </c>
      <c r="G11564" s="18" t="n">
        <v>0</v>
      </c>
      <c r="H11564" s="18" t="n">
        <v>15.29</v>
      </c>
      <c r="I11564" s="18" t="n">
        <f aca="false">((I11563 + G11564) - H11564)</f>
        <v>56614.3599999999</v>
      </c>
      <c r="J11564" s="18" t="n">
        <v>0</v>
      </c>
      <c r="K11564" s="19" t="n">
        <v>0</v>
      </c>
      <c r="L11564" s="17"/>
    </row>
    <row r="11565" s="11" customFormat="true" ht="10.95" hidden="false" customHeight="true" outlineLevel="0" collapsed="false">
      <c r="A11565" s="16" t="n">
        <v>45412</v>
      </c>
      <c r="B11565" s="17" t="s">
        <v>3861</v>
      </c>
      <c r="C11565" s="17" t="s">
        <v>3752</v>
      </c>
      <c r="D11565" s="17" t="s">
        <v>1407</v>
      </c>
      <c r="E11565" s="17" t="s">
        <v>3767</v>
      </c>
      <c r="F11565" s="17" t="s">
        <v>2781</v>
      </c>
      <c r="G11565" s="18" t="n">
        <v>0</v>
      </c>
      <c r="H11565" s="18" t="n">
        <v>20.63</v>
      </c>
      <c r="I11565" s="18" t="n">
        <f aca="false">((I11564 + G11565) - H11565)</f>
        <v>56593.7299999999</v>
      </c>
      <c r="J11565" s="18" t="n">
        <v>0</v>
      </c>
      <c r="K11565" s="19" t="n">
        <v>0</v>
      </c>
      <c r="L11565" s="17"/>
    </row>
    <row r="11566" s="11" customFormat="true" ht="10.95" hidden="false" customHeight="true" outlineLevel="0" collapsed="false">
      <c r="A11566" s="16" t="n">
        <v>45412</v>
      </c>
      <c r="B11566" s="17" t="s">
        <v>3861</v>
      </c>
      <c r="C11566" s="17" t="s">
        <v>3752</v>
      </c>
      <c r="D11566" s="17" t="s">
        <v>1407</v>
      </c>
      <c r="E11566" s="17" t="s">
        <v>3767</v>
      </c>
      <c r="F11566" s="17" t="s">
        <v>2781</v>
      </c>
      <c r="G11566" s="18" t="n">
        <v>0</v>
      </c>
      <c r="H11566" s="18" t="n">
        <v>21.04</v>
      </c>
      <c r="I11566" s="18" t="n">
        <f aca="false">((I11565 + G11566) - H11566)</f>
        <v>56572.6899999999</v>
      </c>
      <c r="J11566" s="18" t="n">
        <v>0</v>
      </c>
      <c r="K11566" s="19" t="n">
        <v>0</v>
      </c>
      <c r="L11566" s="17"/>
    </row>
    <row r="11567" s="11" customFormat="true" ht="10.95" hidden="false" customHeight="true" outlineLevel="0" collapsed="false">
      <c r="A11567" s="16" t="n">
        <v>45412</v>
      </c>
      <c r="B11567" s="17" t="s">
        <v>3861</v>
      </c>
      <c r="C11567" s="17" t="s">
        <v>3752</v>
      </c>
      <c r="D11567" s="17" t="s">
        <v>1407</v>
      </c>
      <c r="E11567" s="17" t="s">
        <v>3767</v>
      </c>
      <c r="F11567" s="17" t="s">
        <v>2781</v>
      </c>
      <c r="G11567" s="18" t="n">
        <v>0</v>
      </c>
      <c r="H11567" s="18" t="n">
        <v>24.52</v>
      </c>
      <c r="I11567" s="18" t="n">
        <f aca="false">((I11566 + G11567) - H11567)</f>
        <v>56548.1699999999</v>
      </c>
      <c r="J11567" s="18" t="n">
        <v>0</v>
      </c>
      <c r="K11567" s="19" t="n">
        <v>0</v>
      </c>
      <c r="L11567" s="17"/>
    </row>
    <row r="11568" s="11" customFormat="true" ht="10.95" hidden="false" customHeight="true" outlineLevel="0" collapsed="false">
      <c r="A11568" s="16" t="n">
        <v>45412</v>
      </c>
      <c r="B11568" s="17" t="s">
        <v>3861</v>
      </c>
      <c r="C11568" s="17" t="s">
        <v>3752</v>
      </c>
      <c r="D11568" s="17" t="s">
        <v>1407</v>
      </c>
      <c r="E11568" s="17" t="s">
        <v>3767</v>
      </c>
      <c r="F11568" s="17" t="s">
        <v>2781</v>
      </c>
      <c r="G11568" s="18" t="n">
        <v>0</v>
      </c>
      <c r="H11568" s="18" t="n">
        <v>33.43</v>
      </c>
      <c r="I11568" s="18" t="n">
        <f aca="false">((I11567 + G11568) - H11568)</f>
        <v>56514.7399999999</v>
      </c>
      <c r="J11568" s="18" t="n">
        <v>0</v>
      </c>
      <c r="K11568" s="19" t="n">
        <v>0</v>
      </c>
      <c r="L11568" s="17"/>
    </row>
    <row r="11569" s="11" customFormat="true" ht="10.95" hidden="false" customHeight="true" outlineLevel="0" collapsed="false">
      <c r="A11569" s="16" t="n">
        <v>45412</v>
      </c>
      <c r="B11569" s="17" t="s">
        <v>3861</v>
      </c>
      <c r="C11569" s="17" t="s">
        <v>3752</v>
      </c>
      <c r="D11569" s="17" t="s">
        <v>1407</v>
      </c>
      <c r="E11569" s="17" t="s">
        <v>2747</v>
      </c>
      <c r="F11569" s="17"/>
      <c r="G11569" s="18" t="n">
        <v>0</v>
      </c>
      <c r="H11569" s="18" t="n">
        <v>39</v>
      </c>
      <c r="I11569" s="18" t="n">
        <f aca="false">((I11568 + G11569) - H11569)</f>
        <v>56475.7399999999</v>
      </c>
      <c r="J11569" s="18" t="n">
        <v>0</v>
      </c>
      <c r="K11569" s="19" t="n">
        <v>0</v>
      </c>
      <c r="L11569" s="17"/>
    </row>
    <row r="11570" s="11" customFormat="true" ht="10.95" hidden="false" customHeight="true" outlineLevel="0" collapsed="false">
      <c r="A11570" s="16" t="n">
        <v>45412</v>
      </c>
      <c r="B11570" s="17" t="s">
        <v>3861</v>
      </c>
      <c r="C11570" s="17" t="s">
        <v>3752</v>
      </c>
      <c r="D11570" s="17" t="s">
        <v>1407</v>
      </c>
      <c r="E11570" s="17" t="s">
        <v>3967</v>
      </c>
      <c r="F11570" s="17"/>
      <c r="G11570" s="18" t="n">
        <v>0</v>
      </c>
      <c r="H11570" s="18" t="n">
        <v>48</v>
      </c>
      <c r="I11570" s="18" t="n">
        <f aca="false">((I11569 + G11570) - H11570)</f>
        <v>56427.7399999999</v>
      </c>
      <c r="J11570" s="18" t="n">
        <v>0</v>
      </c>
      <c r="K11570" s="19" t="n">
        <v>0</v>
      </c>
      <c r="L11570" s="17"/>
    </row>
    <row r="11571" s="11" customFormat="true" ht="10.95" hidden="false" customHeight="true" outlineLevel="0" collapsed="false">
      <c r="A11571" s="16" t="n">
        <v>45412</v>
      </c>
      <c r="B11571" s="17" t="s">
        <v>3861</v>
      </c>
      <c r="C11571" s="17" t="s">
        <v>3752</v>
      </c>
      <c r="D11571" s="17" t="s">
        <v>1407</v>
      </c>
      <c r="E11571" s="17" t="s">
        <v>4392</v>
      </c>
      <c r="F11571" s="17"/>
      <c r="G11571" s="18" t="n">
        <v>0</v>
      </c>
      <c r="H11571" s="18" t="n">
        <v>49.35</v>
      </c>
      <c r="I11571" s="18" t="n">
        <f aca="false">((I11570 + G11571) - H11571)</f>
        <v>56378.3899999999</v>
      </c>
      <c r="J11571" s="18" t="n">
        <v>0</v>
      </c>
      <c r="K11571" s="19" t="n">
        <v>0</v>
      </c>
      <c r="L11571" s="17"/>
    </row>
    <row r="11572" s="11" customFormat="true" ht="10.95" hidden="false" customHeight="true" outlineLevel="0" collapsed="false">
      <c r="A11572" s="16" t="n">
        <v>45412</v>
      </c>
      <c r="B11572" s="17" t="s">
        <v>3861</v>
      </c>
      <c r="C11572" s="17" t="s">
        <v>3752</v>
      </c>
      <c r="D11572" s="17" t="s">
        <v>2903</v>
      </c>
      <c r="E11572" s="17" t="s">
        <v>3648</v>
      </c>
      <c r="F11572" s="17" t="s">
        <v>2715</v>
      </c>
      <c r="G11572" s="18" t="n">
        <v>0</v>
      </c>
      <c r="H11572" s="18" t="n">
        <v>248.27</v>
      </c>
      <c r="I11572" s="18" t="n">
        <f aca="false">((I11571 + G11572) - H11572)</f>
        <v>56130.1199999999</v>
      </c>
      <c r="J11572" s="18" t="n">
        <v>0</v>
      </c>
      <c r="K11572" s="19" t="n">
        <v>0</v>
      </c>
      <c r="L11572" s="17"/>
    </row>
    <row r="11573" s="11" customFormat="true" ht="10.95" hidden="false" customHeight="true" outlineLevel="0" collapsed="false">
      <c r="A11573" s="16" t="n">
        <v>45412</v>
      </c>
      <c r="B11573" s="17" t="s">
        <v>3861</v>
      </c>
      <c r="C11573" s="17" t="s">
        <v>3752</v>
      </c>
      <c r="D11573" s="17" t="s">
        <v>1407</v>
      </c>
      <c r="E11573" s="17" t="s">
        <v>3976</v>
      </c>
      <c r="F11573" s="17"/>
      <c r="G11573" s="18" t="n">
        <v>0</v>
      </c>
      <c r="H11573" s="18" t="n">
        <v>189.05</v>
      </c>
      <c r="I11573" s="18" t="n">
        <f aca="false">((I11572 + G11573) - H11573)</f>
        <v>55941.0699999999</v>
      </c>
      <c r="J11573" s="18" t="n">
        <v>0</v>
      </c>
      <c r="K11573" s="19" t="n">
        <v>0</v>
      </c>
      <c r="L11573" s="17"/>
    </row>
    <row r="11574" s="11" customFormat="true" ht="10.95" hidden="false" customHeight="true" outlineLevel="0" collapsed="false">
      <c r="A11574" s="16" t="n">
        <v>45412</v>
      </c>
      <c r="B11574" s="17" t="s">
        <v>3861</v>
      </c>
      <c r="C11574" s="17" t="s">
        <v>3752</v>
      </c>
      <c r="D11574" s="17" t="s">
        <v>1407</v>
      </c>
      <c r="E11574" s="17" t="s">
        <v>4389</v>
      </c>
      <c r="F11574" s="17"/>
      <c r="G11574" s="18" t="n">
        <v>0</v>
      </c>
      <c r="H11574" s="18" t="n">
        <v>284.96</v>
      </c>
      <c r="I11574" s="18" t="n">
        <f aca="false">((I11573 + G11574) - H11574)</f>
        <v>55656.1099999999</v>
      </c>
      <c r="J11574" s="18" t="n">
        <v>0</v>
      </c>
      <c r="K11574" s="19" t="n">
        <v>0</v>
      </c>
      <c r="L11574" s="17"/>
    </row>
    <row r="11575" s="11" customFormat="true" ht="10.95" hidden="false" customHeight="true" outlineLevel="0" collapsed="false">
      <c r="A11575" s="16" t="n">
        <v>45412</v>
      </c>
      <c r="B11575" s="17" t="s">
        <v>3861</v>
      </c>
      <c r="C11575" s="17" t="s">
        <v>3752</v>
      </c>
      <c r="D11575" s="17" t="s">
        <v>1407</v>
      </c>
      <c r="E11575" s="17" t="s">
        <v>3878</v>
      </c>
      <c r="F11575" s="17"/>
      <c r="G11575" s="18" t="n">
        <v>0</v>
      </c>
      <c r="H11575" s="18" t="n">
        <v>1417</v>
      </c>
      <c r="I11575" s="18" t="n">
        <f aca="false">((I11574 + G11575) - H11575)</f>
        <v>54239.1099999999</v>
      </c>
      <c r="J11575" s="18" t="n">
        <v>0</v>
      </c>
      <c r="K11575" s="19" t="n">
        <v>0</v>
      </c>
      <c r="L11575" s="17"/>
    </row>
    <row r="11576" s="11" customFormat="true" ht="10.95" hidden="false" customHeight="true" outlineLevel="0" collapsed="false">
      <c r="A11576" s="16" t="n">
        <v>45413</v>
      </c>
      <c r="B11576" s="17" t="s">
        <v>3861</v>
      </c>
      <c r="C11576" s="17" t="s">
        <v>3752</v>
      </c>
      <c r="D11576" s="17" t="s">
        <v>2895</v>
      </c>
      <c r="E11576" s="17" t="s">
        <v>3127</v>
      </c>
      <c r="F11576" s="17" t="s">
        <v>1368</v>
      </c>
      <c r="G11576" s="18" t="n">
        <v>4236.12</v>
      </c>
      <c r="H11576" s="18" t="n">
        <v>0</v>
      </c>
      <c r="I11576" s="18" t="n">
        <f aca="false">((I11575 + G11576) - H11576)</f>
        <v>58475.2299999999</v>
      </c>
      <c r="J11576" s="18" t="n">
        <v>0</v>
      </c>
      <c r="K11576" s="19" t="n">
        <v>0</v>
      </c>
      <c r="L11576" s="17"/>
    </row>
    <row r="11577" s="11" customFormat="true" ht="10.95" hidden="false" customHeight="true" outlineLevel="0" collapsed="false">
      <c r="A11577" s="16" t="n">
        <v>45413</v>
      </c>
      <c r="B11577" s="17" t="s">
        <v>3861</v>
      </c>
      <c r="C11577" s="17" t="s">
        <v>3752</v>
      </c>
      <c r="D11577" s="17" t="s">
        <v>1276</v>
      </c>
      <c r="E11577" s="17" t="s">
        <v>3533</v>
      </c>
      <c r="F11577" s="17" t="s">
        <v>1368</v>
      </c>
      <c r="G11577" s="18" t="n">
        <v>75.64</v>
      </c>
      <c r="H11577" s="18" t="n">
        <v>0</v>
      </c>
      <c r="I11577" s="18" t="n">
        <f aca="false">((I11576 + G11577) - H11577)</f>
        <v>58550.8699999999</v>
      </c>
      <c r="J11577" s="18" t="n">
        <v>0</v>
      </c>
      <c r="K11577" s="19" t="n">
        <v>0</v>
      </c>
      <c r="L11577" s="17"/>
    </row>
    <row r="11578" s="11" customFormat="true" ht="10.95" hidden="false" customHeight="true" outlineLevel="0" collapsed="false">
      <c r="A11578" s="16" t="n">
        <v>45413</v>
      </c>
      <c r="B11578" s="17" t="s">
        <v>3861</v>
      </c>
      <c r="C11578" s="17" t="s">
        <v>3752</v>
      </c>
      <c r="D11578" s="17" t="s">
        <v>1407</v>
      </c>
      <c r="E11578" s="17" t="s">
        <v>3862</v>
      </c>
      <c r="F11578" s="17" t="s">
        <v>1368</v>
      </c>
      <c r="G11578" s="18" t="n">
        <v>0</v>
      </c>
      <c r="H11578" s="18" t="n">
        <v>151.16</v>
      </c>
      <c r="I11578" s="18" t="n">
        <f aca="false">((I11577 + G11578) - H11578)</f>
        <v>58399.7099999999</v>
      </c>
      <c r="J11578" s="18" t="n">
        <v>0</v>
      </c>
      <c r="K11578" s="19" t="n">
        <v>0</v>
      </c>
      <c r="L11578" s="17"/>
    </row>
    <row r="11579" s="11" customFormat="true" ht="10.95" hidden="false" customHeight="true" outlineLevel="0" collapsed="false">
      <c r="A11579" s="16" t="n">
        <v>45413</v>
      </c>
      <c r="B11579" s="17" t="s">
        <v>3861</v>
      </c>
      <c r="C11579" s="17" t="s">
        <v>3752</v>
      </c>
      <c r="D11579" s="17" t="s">
        <v>2895</v>
      </c>
      <c r="E11579" s="17" t="s">
        <v>2896</v>
      </c>
      <c r="F11579" s="17" t="s">
        <v>1370</v>
      </c>
      <c r="G11579" s="18" t="n">
        <v>88.65</v>
      </c>
      <c r="H11579" s="18" t="n">
        <v>0</v>
      </c>
      <c r="I11579" s="18" t="n">
        <f aca="false">((I11578 + G11579) - H11579)</f>
        <v>58488.3599999999</v>
      </c>
      <c r="J11579" s="18" t="n">
        <v>0</v>
      </c>
      <c r="K11579" s="19" t="n">
        <v>0</v>
      </c>
      <c r="L11579" s="17"/>
    </row>
    <row r="11580" s="11" customFormat="true" ht="10.95" hidden="false" customHeight="true" outlineLevel="0" collapsed="false">
      <c r="A11580" s="16" t="n">
        <v>45413</v>
      </c>
      <c r="B11580" s="17" t="s">
        <v>3861</v>
      </c>
      <c r="C11580" s="17" t="s">
        <v>3752</v>
      </c>
      <c r="D11580" s="17" t="s">
        <v>1276</v>
      </c>
      <c r="E11580" s="17" t="s">
        <v>3423</v>
      </c>
      <c r="F11580" s="17" t="s">
        <v>1370</v>
      </c>
      <c r="G11580" s="18" t="n">
        <v>1.58</v>
      </c>
      <c r="H11580" s="18" t="n">
        <v>0</v>
      </c>
      <c r="I11580" s="18" t="n">
        <f aca="false">((I11579 + G11580) - H11580)</f>
        <v>58489.9399999999</v>
      </c>
      <c r="J11580" s="18" t="n">
        <v>0</v>
      </c>
      <c r="K11580" s="19" t="n">
        <v>0</v>
      </c>
      <c r="L11580" s="17"/>
    </row>
    <row r="11581" s="11" customFormat="true" ht="10.95" hidden="false" customHeight="true" outlineLevel="0" collapsed="false">
      <c r="A11581" s="16" t="n">
        <v>45413</v>
      </c>
      <c r="B11581" s="17" t="s">
        <v>3861</v>
      </c>
      <c r="C11581" s="17" t="s">
        <v>3752</v>
      </c>
      <c r="D11581" s="17" t="s">
        <v>1407</v>
      </c>
      <c r="E11581" s="17" t="s">
        <v>3862</v>
      </c>
      <c r="F11581" s="17" t="s">
        <v>1370</v>
      </c>
      <c r="G11581" s="18" t="n">
        <v>0</v>
      </c>
      <c r="H11581" s="18" t="n">
        <v>3.46</v>
      </c>
      <c r="I11581" s="18" t="n">
        <f aca="false">((I11580 + G11581) - H11581)</f>
        <v>58486.4799999999</v>
      </c>
      <c r="J11581" s="18" t="n">
        <v>0</v>
      </c>
      <c r="K11581" s="19" t="n">
        <v>0</v>
      </c>
      <c r="L11581" s="17"/>
    </row>
    <row r="11582" s="11" customFormat="true" ht="10.95" hidden="false" customHeight="true" outlineLevel="0" collapsed="false">
      <c r="A11582" s="16" t="n">
        <v>45413</v>
      </c>
      <c r="B11582" s="17" t="s">
        <v>3861</v>
      </c>
      <c r="C11582" s="17" t="s">
        <v>3752</v>
      </c>
      <c r="D11582" s="17" t="s">
        <v>2895</v>
      </c>
      <c r="E11582" s="17" t="s">
        <v>2900</v>
      </c>
      <c r="F11582" s="17" t="s">
        <v>3128</v>
      </c>
      <c r="G11582" s="18" t="n">
        <v>769.57</v>
      </c>
      <c r="H11582" s="18" t="n">
        <v>0</v>
      </c>
      <c r="I11582" s="18" t="n">
        <f aca="false">((I11581 + G11582) - H11582)</f>
        <v>59256.0499999999</v>
      </c>
      <c r="J11582" s="18" t="n">
        <v>0</v>
      </c>
      <c r="K11582" s="19" t="n">
        <v>0</v>
      </c>
      <c r="L11582" s="17"/>
    </row>
    <row r="11583" s="11" customFormat="true" ht="10.95" hidden="false" customHeight="true" outlineLevel="0" collapsed="false">
      <c r="A11583" s="16" t="n">
        <v>45413</v>
      </c>
      <c r="B11583" s="17" t="s">
        <v>3861</v>
      </c>
      <c r="C11583" s="17" t="s">
        <v>3752</v>
      </c>
      <c r="D11583" s="17" t="s">
        <v>2895</v>
      </c>
      <c r="E11583" s="17" t="s">
        <v>2900</v>
      </c>
      <c r="F11583" s="17" t="s">
        <v>3129</v>
      </c>
      <c r="G11583" s="18" t="n">
        <v>1778.2</v>
      </c>
      <c r="H11583" s="18" t="n">
        <v>0</v>
      </c>
      <c r="I11583" s="18" t="n">
        <f aca="false">((I11582 + G11583) - H11583)</f>
        <v>61034.2499999999</v>
      </c>
      <c r="J11583" s="18" t="n">
        <v>0</v>
      </c>
      <c r="K11583" s="19" t="n">
        <v>0</v>
      </c>
      <c r="L11583" s="17"/>
    </row>
    <row r="11584" s="11" customFormat="true" ht="10.95" hidden="false" customHeight="true" outlineLevel="0" collapsed="false">
      <c r="A11584" s="16" t="n">
        <v>45413</v>
      </c>
      <c r="B11584" s="17" t="s">
        <v>3861</v>
      </c>
      <c r="C11584" s="17" t="s">
        <v>3752</v>
      </c>
      <c r="D11584" s="17" t="s">
        <v>2895</v>
      </c>
      <c r="E11584" s="17" t="s">
        <v>2900</v>
      </c>
      <c r="F11584" s="17" t="s">
        <v>3130</v>
      </c>
      <c r="G11584" s="18" t="n">
        <v>983.56</v>
      </c>
      <c r="H11584" s="18" t="n">
        <v>0</v>
      </c>
      <c r="I11584" s="18" t="n">
        <f aca="false">((I11583 + G11584) - H11584)</f>
        <v>62017.8099999999</v>
      </c>
      <c r="J11584" s="18" t="n">
        <v>0</v>
      </c>
      <c r="K11584" s="19" t="n">
        <v>0</v>
      </c>
      <c r="L11584" s="17"/>
    </row>
    <row r="11585" s="11" customFormat="true" ht="10.95" hidden="false" customHeight="true" outlineLevel="0" collapsed="false">
      <c r="A11585" s="16" t="n">
        <v>45413</v>
      </c>
      <c r="B11585" s="17" t="s">
        <v>3861</v>
      </c>
      <c r="C11585" s="17" t="s">
        <v>3752</v>
      </c>
      <c r="D11585" s="17" t="s">
        <v>2895</v>
      </c>
      <c r="E11585" s="17" t="s">
        <v>2900</v>
      </c>
      <c r="F11585" s="17" t="s">
        <v>3131</v>
      </c>
      <c r="G11585" s="18" t="n">
        <v>257.88</v>
      </c>
      <c r="H11585" s="18" t="n">
        <v>0</v>
      </c>
      <c r="I11585" s="18" t="n">
        <f aca="false">((I11584 + G11585) - H11585)</f>
        <v>62275.6899999999</v>
      </c>
      <c r="J11585" s="18" t="n">
        <v>0</v>
      </c>
      <c r="K11585" s="19" t="n">
        <v>0</v>
      </c>
      <c r="L11585" s="17"/>
    </row>
    <row r="11586" s="11" customFormat="true" ht="10.95" hidden="false" customHeight="true" outlineLevel="0" collapsed="false">
      <c r="A11586" s="16" t="n">
        <v>45413</v>
      </c>
      <c r="B11586" s="17" t="s">
        <v>3861</v>
      </c>
      <c r="C11586" s="17" t="s">
        <v>3752</v>
      </c>
      <c r="D11586" s="17" t="s">
        <v>2895</v>
      </c>
      <c r="E11586" s="17" t="s">
        <v>3534</v>
      </c>
      <c r="F11586" s="17" t="s">
        <v>4400</v>
      </c>
      <c r="G11586" s="18" t="n">
        <v>459.8</v>
      </c>
      <c r="H11586" s="18" t="n">
        <v>0</v>
      </c>
      <c r="I11586" s="18" t="n">
        <f aca="false">((I11585 + G11586) - H11586)</f>
        <v>62735.4899999999</v>
      </c>
      <c r="J11586" s="18" t="n">
        <v>0</v>
      </c>
      <c r="K11586" s="19" t="n">
        <v>0</v>
      </c>
      <c r="L11586" s="17"/>
    </row>
    <row r="11587" s="11" customFormat="true" ht="10.95" hidden="false" customHeight="true" outlineLevel="0" collapsed="false">
      <c r="A11587" s="16" t="n">
        <v>45413</v>
      </c>
      <c r="B11587" s="17" t="s">
        <v>3861</v>
      </c>
      <c r="C11587" s="17" t="s">
        <v>3752</v>
      </c>
      <c r="D11587" s="17" t="s">
        <v>2895</v>
      </c>
      <c r="E11587" s="17" t="s">
        <v>3474</v>
      </c>
      <c r="F11587" s="17" t="s">
        <v>4401</v>
      </c>
      <c r="G11587" s="18" t="n">
        <v>357.5</v>
      </c>
      <c r="H11587" s="18" t="n">
        <v>0</v>
      </c>
      <c r="I11587" s="18" t="n">
        <f aca="false">((I11586 + G11587) - H11587)</f>
        <v>63092.9899999999</v>
      </c>
      <c r="J11587" s="18" t="n">
        <v>0</v>
      </c>
      <c r="K11587" s="19" t="n">
        <v>0</v>
      </c>
      <c r="L11587" s="17"/>
    </row>
    <row r="11588" s="11" customFormat="true" ht="10.95" hidden="false" customHeight="true" outlineLevel="0" collapsed="false">
      <c r="A11588" s="16" t="n">
        <v>45413</v>
      </c>
      <c r="B11588" s="17" t="s">
        <v>3861</v>
      </c>
      <c r="C11588" s="17" t="s">
        <v>3752</v>
      </c>
      <c r="D11588" s="17" t="s">
        <v>2895</v>
      </c>
      <c r="E11588" s="17" t="s">
        <v>3505</v>
      </c>
      <c r="F11588" s="17" t="s">
        <v>4402</v>
      </c>
      <c r="G11588" s="18" t="n">
        <v>157.3</v>
      </c>
      <c r="H11588" s="18" t="n">
        <v>0</v>
      </c>
      <c r="I11588" s="18" t="n">
        <f aca="false">((I11587 + G11588) - H11588)</f>
        <v>63250.2899999999</v>
      </c>
      <c r="J11588" s="18" t="n">
        <v>0</v>
      </c>
      <c r="K11588" s="19" t="n">
        <v>0</v>
      </c>
      <c r="L11588" s="17"/>
    </row>
    <row r="11589" s="11" customFormat="true" ht="10.95" hidden="false" customHeight="true" outlineLevel="0" collapsed="false">
      <c r="A11589" s="16" t="n">
        <v>45413</v>
      </c>
      <c r="B11589" s="17" t="s">
        <v>3861</v>
      </c>
      <c r="C11589" s="17" t="s">
        <v>3752</v>
      </c>
      <c r="D11589" s="17" t="s">
        <v>2895</v>
      </c>
      <c r="E11589" s="17" t="s">
        <v>2898</v>
      </c>
      <c r="F11589" s="17" t="s">
        <v>3132</v>
      </c>
      <c r="G11589" s="18" t="n">
        <v>730.08</v>
      </c>
      <c r="H11589" s="18" t="n">
        <v>0</v>
      </c>
      <c r="I11589" s="18" t="n">
        <f aca="false">((I11588 + G11589) - H11589)</f>
        <v>63980.3699999999</v>
      </c>
      <c r="J11589" s="18" t="n">
        <v>0</v>
      </c>
      <c r="K11589" s="19" t="n">
        <v>0</v>
      </c>
      <c r="L11589" s="17"/>
    </row>
    <row r="11590" s="11" customFormat="true" ht="10.95" hidden="false" customHeight="true" outlineLevel="0" collapsed="false">
      <c r="A11590" s="16" t="n">
        <v>45413</v>
      </c>
      <c r="B11590" s="17" t="s">
        <v>3861</v>
      </c>
      <c r="C11590" s="17" t="s">
        <v>3752</v>
      </c>
      <c r="D11590" s="17" t="s">
        <v>1407</v>
      </c>
      <c r="E11590" s="17" t="s">
        <v>3863</v>
      </c>
      <c r="F11590" s="17"/>
      <c r="G11590" s="18" t="n">
        <v>0</v>
      </c>
      <c r="H11590" s="18" t="n">
        <v>2.29</v>
      </c>
      <c r="I11590" s="18" t="n">
        <f aca="false">((I11589 + G11590) - H11590)</f>
        <v>63978.0799999999</v>
      </c>
      <c r="J11590" s="18" t="n">
        <v>0</v>
      </c>
      <c r="K11590" s="19" t="n">
        <v>0</v>
      </c>
      <c r="L11590" s="17"/>
    </row>
    <row r="11591" s="11" customFormat="true" ht="10.95" hidden="false" customHeight="true" outlineLevel="0" collapsed="false">
      <c r="A11591" s="16" t="n">
        <v>45413</v>
      </c>
      <c r="B11591" s="17" t="s">
        <v>3861</v>
      </c>
      <c r="C11591" s="17" t="s">
        <v>3752</v>
      </c>
      <c r="D11591" s="17" t="s">
        <v>1407</v>
      </c>
      <c r="E11591" s="17" t="s">
        <v>2747</v>
      </c>
      <c r="F11591" s="17"/>
      <c r="G11591" s="18" t="n">
        <v>0</v>
      </c>
      <c r="H11591" s="18" t="n">
        <v>5</v>
      </c>
      <c r="I11591" s="18" t="n">
        <f aca="false">((I11590 + G11591) - H11591)</f>
        <v>63973.0799999999</v>
      </c>
      <c r="J11591" s="18" t="n">
        <v>0</v>
      </c>
      <c r="K11591" s="19" t="n">
        <v>0</v>
      </c>
      <c r="L11591" s="17"/>
    </row>
    <row r="11592" s="11" customFormat="true" ht="10.95" hidden="false" customHeight="true" outlineLevel="0" collapsed="false">
      <c r="A11592" s="16" t="n">
        <v>45413</v>
      </c>
      <c r="B11592" s="17" t="s">
        <v>3861</v>
      </c>
      <c r="C11592" s="17" t="s">
        <v>3752</v>
      </c>
      <c r="D11592" s="17" t="s">
        <v>1407</v>
      </c>
      <c r="E11592" s="17" t="s">
        <v>3863</v>
      </c>
      <c r="F11592" s="17"/>
      <c r="G11592" s="18" t="n">
        <v>0</v>
      </c>
      <c r="H11592" s="18" t="n">
        <v>10</v>
      </c>
      <c r="I11592" s="18" t="n">
        <f aca="false">((I11591 + G11592) - H11592)</f>
        <v>63963.0799999999</v>
      </c>
      <c r="J11592" s="18" t="n">
        <v>0</v>
      </c>
      <c r="K11592" s="19" t="n">
        <v>0</v>
      </c>
      <c r="L11592" s="17"/>
    </row>
    <row r="11593" s="11" customFormat="true" ht="10.95" hidden="false" customHeight="true" outlineLevel="0" collapsed="false">
      <c r="A11593" s="16" t="n">
        <v>45413</v>
      </c>
      <c r="B11593" s="17" t="s">
        <v>3861</v>
      </c>
      <c r="C11593" s="17" t="s">
        <v>3752</v>
      </c>
      <c r="D11593" s="17" t="s">
        <v>2903</v>
      </c>
      <c r="E11593" s="17" t="s">
        <v>3637</v>
      </c>
      <c r="F11593" s="17" t="s">
        <v>2708</v>
      </c>
      <c r="G11593" s="18" t="n">
        <v>0</v>
      </c>
      <c r="H11593" s="18" t="n">
        <v>731.5</v>
      </c>
      <c r="I11593" s="18" t="n">
        <f aca="false">((I11592 + G11593) - H11593)</f>
        <v>63231.5799999999</v>
      </c>
      <c r="J11593" s="18" t="n">
        <v>0</v>
      </c>
      <c r="K11593" s="19" t="n">
        <v>0</v>
      </c>
      <c r="L11593" s="17"/>
    </row>
    <row r="11594" s="11" customFormat="true" ht="10.95" hidden="false" customHeight="true" outlineLevel="0" collapsed="false">
      <c r="A11594" s="16" t="n">
        <v>45413</v>
      </c>
      <c r="B11594" s="17" t="s">
        <v>3861</v>
      </c>
      <c r="C11594" s="17" t="s">
        <v>3752</v>
      </c>
      <c r="D11594" s="17" t="s">
        <v>1407</v>
      </c>
      <c r="E11594" s="17" t="s">
        <v>3881</v>
      </c>
      <c r="F11594" s="17"/>
      <c r="G11594" s="18" t="n">
        <v>0</v>
      </c>
      <c r="H11594" s="18" t="n">
        <v>140</v>
      </c>
      <c r="I11594" s="18" t="n">
        <f aca="false">((I11593 + G11594) - H11594)</f>
        <v>63091.5799999999</v>
      </c>
      <c r="J11594" s="18" t="n">
        <v>0</v>
      </c>
      <c r="K11594" s="19" t="n">
        <v>0</v>
      </c>
      <c r="L11594" s="17"/>
    </row>
    <row r="11595" s="11" customFormat="true" ht="10.95" hidden="false" customHeight="true" outlineLevel="0" collapsed="false">
      <c r="A11595" s="16" t="n">
        <v>45413</v>
      </c>
      <c r="B11595" s="17" t="s">
        <v>3861</v>
      </c>
      <c r="C11595" s="17" t="s">
        <v>3752</v>
      </c>
      <c r="D11595" s="17" t="s">
        <v>1407</v>
      </c>
      <c r="E11595" s="17" t="s">
        <v>3879</v>
      </c>
      <c r="F11595" s="17"/>
      <c r="G11595" s="18" t="n">
        <v>0</v>
      </c>
      <c r="H11595" s="18" t="n">
        <v>1207</v>
      </c>
      <c r="I11595" s="18" t="n">
        <f aca="false">((I11594 + G11595) - H11595)</f>
        <v>61884.5799999999</v>
      </c>
      <c r="J11595" s="18" t="n">
        <v>0</v>
      </c>
      <c r="K11595" s="19" t="n">
        <v>0</v>
      </c>
      <c r="L11595" s="17"/>
    </row>
    <row r="11596" s="11" customFormat="true" ht="10.95" hidden="false" customHeight="true" outlineLevel="0" collapsed="false">
      <c r="A11596" s="16" t="n">
        <v>45413</v>
      </c>
      <c r="B11596" s="17" t="s">
        <v>3861</v>
      </c>
      <c r="C11596" s="17" t="s">
        <v>3752</v>
      </c>
      <c r="D11596" s="17" t="s">
        <v>1407</v>
      </c>
      <c r="E11596" s="17" t="s">
        <v>3880</v>
      </c>
      <c r="F11596" s="17"/>
      <c r="G11596" s="18" t="n">
        <v>0</v>
      </c>
      <c r="H11596" s="18" t="n">
        <v>1207</v>
      </c>
      <c r="I11596" s="18" t="n">
        <f aca="false">((I11595 + G11596) - H11596)</f>
        <v>60677.5799999999</v>
      </c>
      <c r="J11596" s="18" t="n">
        <v>0</v>
      </c>
      <c r="K11596" s="19" t="n">
        <v>0</v>
      </c>
      <c r="L11596" s="17"/>
    </row>
    <row r="11597" s="11" customFormat="true" ht="10.95" hidden="false" customHeight="true" outlineLevel="0" collapsed="false">
      <c r="A11597" s="16" t="n">
        <v>45413</v>
      </c>
      <c r="B11597" s="17" t="s">
        <v>3861</v>
      </c>
      <c r="C11597" s="17" t="s">
        <v>3752</v>
      </c>
      <c r="D11597" s="17" t="s">
        <v>1407</v>
      </c>
      <c r="E11597" s="17" t="s">
        <v>3808</v>
      </c>
      <c r="F11597" s="17"/>
      <c r="G11597" s="18" t="n">
        <v>0</v>
      </c>
      <c r="H11597" s="18" t="n">
        <v>1705.92</v>
      </c>
      <c r="I11597" s="18" t="n">
        <f aca="false">((I11596 + G11597) - H11597)</f>
        <v>58971.6599999999</v>
      </c>
      <c r="J11597" s="18" t="n">
        <v>0</v>
      </c>
      <c r="K11597" s="19" t="n">
        <v>0</v>
      </c>
      <c r="L11597" s="17"/>
    </row>
    <row r="11598" s="11" customFormat="true" ht="10.95" hidden="false" customHeight="true" outlineLevel="0" collapsed="false">
      <c r="A11598" s="16" t="n">
        <v>45413</v>
      </c>
      <c r="B11598" s="17" t="s">
        <v>3861</v>
      </c>
      <c r="C11598" s="17" t="s">
        <v>3752</v>
      </c>
      <c r="D11598" s="17" t="s">
        <v>2903</v>
      </c>
      <c r="E11598" s="17" t="s">
        <v>3616</v>
      </c>
      <c r="F11598" s="17" t="s">
        <v>3316</v>
      </c>
      <c r="G11598" s="18" t="n">
        <v>0</v>
      </c>
      <c r="H11598" s="18" t="n">
        <v>3884.1</v>
      </c>
      <c r="I11598" s="18" t="n">
        <f aca="false">((I11597 + G11598) - H11598)</f>
        <v>55087.5599999999</v>
      </c>
      <c r="J11598" s="18" t="n">
        <v>0</v>
      </c>
      <c r="K11598" s="19" t="n">
        <v>0</v>
      </c>
      <c r="L11598" s="17"/>
    </row>
    <row r="11599" s="11" customFormat="true" ht="10.95" hidden="false" customHeight="true" outlineLevel="0" collapsed="false">
      <c r="A11599" s="16" t="n">
        <v>45413</v>
      </c>
      <c r="B11599" s="17" t="s">
        <v>3861</v>
      </c>
      <c r="C11599" s="17" t="s">
        <v>3752</v>
      </c>
      <c r="D11599" s="17" t="s">
        <v>1407</v>
      </c>
      <c r="E11599" s="17" t="s">
        <v>3865</v>
      </c>
      <c r="F11599" s="17"/>
      <c r="G11599" s="18" t="n">
        <v>0</v>
      </c>
      <c r="H11599" s="18" t="n">
        <v>82.5</v>
      </c>
      <c r="I11599" s="18" t="n">
        <f aca="false">((I11598 + G11599) - H11599)</f>
        <v>55005.0599999999</v>
      </c>
      <c r="J11599" s="18" t="n">
        <v>0</v>
      </c>
      <c r="K11599" s="19" t="n">
        <v>0</v>
      </c>
      <c r="L11599" s="17"/>
    </row>
    <row r="11600" s="11" customFormat="true" ht="10.95" hidden="false" customHeight="true" outlineLevel="0" collapsed="false">
      <c r="A11600" s="16" t="n">
        <v>45413</v>
      </c>
      <c r="B11600" s="17" t="s">
        <v>3861</v>
      </c>
      <c r="C11600" s="17" t="s">
        <v>3752</v>
      </c>
      <c r="D11600" s="17" t="s">
        <v>1407</v>
      </c>
      <c r="E11600" s="17" t="s">
        <v>3864</v>
      </c>
      <c r="F11600" s="17"/>
      <c r="G11600" s="18" t="n">
        <v>0</v>
      </c>
      <c r="H11600" s="18" t="n">
        <v>76.42</v>
      </c>
      <c r="I11600" s="18" t="n">
        <f aca="false">((I11599 + G11600) - H11600)</f>
        <v>54928.6399999999</v>
      </c>
      <c r="J11600" s="18" t="n">
        <v>0</v>
      </c>
      <c r="K11600" s="19" t="n">
        <v>0</v>
      </c>
      <c r="L11600" s="17"/>
    </row>
    <row r="11601" s="11" customFormat="true" ht="10.95" hidden="false" customHeight="true" outlineLevel="0" collapsed="false">
      <c r="A11601" s="16" t="n">
        <v>45414</v>
      </c>
      <c r="B11601" s="17" t="s">
        <v>3861</v>
      </c>
      <c r="C11601" s="17" t="s">
        <v>3752</v>
      </c>
      <c r="D11601" s="17" t="s">
        <v>2895</v>
      </c>
      <c r="E11601" s="17" t="s">
        <v>2922</v>
      </c>
      <c r="F11601" s="17" t="s">
        <v>3133</v>
      </c>
      <c r="G11601" s="18" t="n">
        <v>9646.1</v>
      </c>
      <c r="H11601" s="18" t="n">
        <v>0</v>
      </c>
      <c r="I11601" s="18" t="n">
        <f aca="false">((I11600 + G11601) - H11601)</f>
        <v>64574.7399999999</v>
      </c>
      <c r="J11601" s="18" t="n">
        <v>0</v>
      </c>
      <c r="K11601" s="19" t="n">
        <v>0</v>
      </c>
      <c r="L11601" s="17"/>
    </row>
    <row r="11602" s="11" customFormat="true" ht="10.95" hidden="false" customHeight="true" outlineLevel="0" collapsed="false">
      <c r="A11602" s="16" t="n">
        <v>45414</v>
      </c>
      <c r="B11602" s="17" t="s">
        <v>3861</v>
      </c>
      <c r="C11602" s="17" t="s">
        <v>3752</v>
      </c>
      <c r="D11602" s="17" t="s">
        <v>2895</v>
      </c>
      <c r="E11602" s="17" t="s">
        <v>3456</v>
      </c>
      <c r="F11602" s="17" t="s">
        <v>4403</v>
      </c>
      <c r="G11602" s="18" t="n">
        <v>2244</v>
      </c>
      <c r="H11602" s="18" t="n">
        <v>0</v>
      </c>
      <c r="I11602" s="18" t="n">
        <f aca="false">((I11601 + G11602) - H11602)</f>
        <v>66818.7399999999</v>
      </c>
      <c r="J11602" s="18" t="n">
        <v>0</v>
      </c>
      <c r="K11602" s="19" t="n">
        <v>0</v>
      </c>
      <c r="L11602" s="17"/>
    </row>
    <row r="11603" s="11" customFormat="true" ht="10.95" hidden="false" customHeight="true" outlineLevel="0" collapsed="false">
      <c r="A11603" s="16" t="n">
        <v>45414</v>
      </c>
      <c r="B11603" s="17" t="s">
        <v>3861</v>
      </c>
      <c r="C11603" s="17" t="s">
        <v>3752</v>
      </c>
      <c r="D11603" s="17" t="s">
        <v>2895</v>
      </c>
      <c r="E11603" s="17" t="s">
        <v>3391</v>
      </c>
      <c r="F11603" s="17" t="s">
        <v>4404</v>
      </c>
      <c r="G11603" s="18" t="n">
        <v>1100.06</v>
      </c>
      <c r="H11603" s="18" t="n">
        <v>0</v>
      </c>
      <c r="I11603" s="18" t="n">
        <f aca="false">((I11602 + G11603) - H11603)</f>
        <v>67918.7999999999</v>
      </c>
      <c r="J11603" s="18" t="n">
        <v>0</v>
      </c>
      <c r="K11603" s="19" t="n">
        <v>0</v>
      </c>
      <c r="L11603" s="17"/>
    </row>
    <row r="11604" s="11" customFormat="true" ht="10.95" hidden="false" customHeight="true" outlineLevel="0" collapsed="false">
      <c r="A11604" s="16" t="n">
        <v>45414</v>
      </c>
      <c r="B11604" s="17" t="s">
        <v>3861</v>
      </c>
      <c r="C11604" s="17" t="s">
        <v>3752</v>
      </c>
      <c r="D11604" s="17" t="s">
        <v>2895</v>
      </c>
      <c r="E11604" s="17" t="s">
        <v>3497</v>
      </c>
      <c r="F11604" s="17" t="s">
        <v>4405</v>
      </c>
      <c r="G11604" s="18" t="n">
        <v>913</v>
      </c>
      <c r="H11604" s="18" t="n">
        <v>0</v>
      </c>
      <c r="I11604" s="18" t="n">
        <f aca="false">((I11603 + G11604) - H11604)</f>
        <v>68831.7999999999</v>
      </c>
      <c r="J11604" s="18" t="n">
        <v>0</v>
      </c>
      <c r="K11604" s="19" t="n">
        <v>0</v>
      </c>
      <c r="L11604" s="17"/>
    </row>
    <row r="11605" s="11" customFormat="true" ht="10.95" hidden="false" customHeight="true" outlineLevel="0" collapsed="false">
      <c r="A11605" s="16" t="n">
        <v>45414</v>
      </c>
      <c r="B11605" s="17" t="s">
        <v>3861</v>
      </c>
      <c r="C11605" s="17" t="s">
        <v>3752</v>
      </c>
      <c r="D11605" s="17" t="s">
        <v>2895</v>
      </c>
      <c r="E11605" s="17" t="s">
        <v>3525</v>
      </c>
      <c r="F11605" s="17" t="s">
        <v>4406</v>
      </c>
      <c r="G11605" s="18" t="n">
        <v>712.8</v>
      </c>
      <c r="H11605" s="18" t="n">
        <v>0</v>
      </c>
      <c r="I11605" s="18" t="n">
        <f aca="false">((I11604 + G11605) - H11605)</f>
        <v>69544.5999999999</v>
      </c>
      <c r="J11605" s="18" t="n">
        <v>0</v>
      </c>
      <c r="K11605" s="19" t="n">
        <v>0</v>
      </c>
      <c r="L11605" s="17"/>
    </row>
    <row r="11606" s="11" customFormat="true" ht="10.95" hidden="false" customHeight="true" outlineLevel="0" collapsed="false">
      <c r="A11606" s="16" t="n">
        <v>45414</v>
      </c>
      <c r="B11606" s="17" t="s">
        <v>3861</v>
      </c>
      <c r="C11606" s="17" t="s">
        <v>3752</v>
      </c>
      <c r="D11606" s="17" t="s">
        <v>2895</v>
      </c>
      <c r="E11606" s="17" t="s">
        <v>3525</v>
      </c>
      <c r="F11606" s="17" t="s">
        <v>4407</v>
      </c>
      <c r="G11606" s="18" t="n">
        <v>712.8</v>
      </c>
      <c r="H11606" s="18" t="n">
        <v>0</v>
      </c>
      <c r="I11606" s="18" t="n">
        <f aca="false">((I11605 + G11606) - H11606)</f>
        <v>70257.3999999999</v>
      </c>
      <c r="J11606" s="18" t="n">
        <v>0</v>
      </c>
      <c r="K11606" s="19" t="n">
        <v>0</v>
      </c>
      <c r="L11606" s="17"/>
    </row>
    <row r="11607" s="11" customFormat="true" ht="10.95" hidden="false" customHeight="true" outlineLevel="0" collapsed="false">
      <c r="A11607" s="16" t="n">
        <v>45414</v>
      </c>
      <c r="B11607" s="17" t="s">
        <v>3861</v>
      </c>
      <c r="C11607" s="17" t="s">
        <v>3752</v>
      </c>
      <c r="D11607" s="17" t="s">
        <v>2895</v>
      </c>
      <c r="E11607" s="17" t="s">
        <v>3401</v>
      </c>
      <c r="F11607" s="17" t="s">
        <v>4408</v>
      </c>
      <c r="G11607" s="18" t="n">
        <v>654.5</v>
      </c>
      <c r="H11607" s="18" t="n">
        <v>0</v>
      </c>
      <c r="I11607" s="18" t="n">
        <f aca="false">((I11606 + G11607) - H11607)</f>
        <v>70911.8999999999</v>
      </c>
      <c r="J11607" s="18" t="n">
        <v>0</v>
      </c>
      <c r="K11607" s="19" t="n">
        <v>0</v>
      </c>
      <c r="L11607" s="17"/>
    </row>
    <row r="11608" s="11" customFormat="true" ht="10.95" hidden="false" customHeight="true" outlineLevel="0" collapsed="false">
      <c r="A11608" s="16" t="n">
        <v>45414</v>
      </c>
      <c r="B11608" s="17" t="s">
        <v>3861</v>
      </c>
      <c r="C11608" s="17" t="s">
        <v>3752</v>
      </c>
      <c r="D11608" s="17" t="s">
        <v>1407</v>
      </c>
      <c r="E11608" s="17" t="s">
        <v>3863</v>
      </c>
      <c r="F11608" s="17"/>
      <c r="G11608" s="18" t="n">
        <v>0</v>
      </c>
      <c r="H11608" s="18" t="n">
        <v>1.7</v>
      </c>
      <c r="I11608" s="18" t="n">
        <f aca="false">((I11607 + G11608) - H11608)</f>
        <v>70910.1999999999</v>
      </c>
      <c r="J11608" s="18" t="n">
        <v>0</v>
      </c>
      <c r="K11608" s="19" t="n">
        <v>0</v>
      </c>
      <c r="L11608" s="17"/>
    </row>
    <row r="11609" s="11" customFormat="true" ht="10.95" hidden="false" customHeight="true" outlineLevel="0" collapsed="false">
      <c r="A11609" s="16" t="n">
        <v>45414</v>
      </c>
      <c r="B11609" s="17" t="s">
        <v>3861</v>
      </c>
      <c r="C11609" s="17" t="s">
        <v>3752</v>
      </c>
      <c r="D11609" s="17" t="s">
        <v>1407</v>
      </c>
      <c r="E11609" s="17" t="s">
        <v>2747</v>
      </c>
      <c r="F11609" s="17"/>
      <c r="G11609" s="18" t="n">
        <v>0</v>
      </c>
      <c r="H11609" s="18" t="n">
        <v>5</v>
      </c>
      <c r="I11609" s="18" t="n">
        <f aca="false">((I11608 + G11609) - H11609)</f>
        <v>70905.1999999999</v>
      </c>
      <c r="J11609" s="18" t="n">
        <v>0</v>
      </c>
      <c r="K11609" s="19" t="n">
        <v>0</v>
      </c>
      <c r="L11609" s="17"/>
    </row>
    <row r="11610" s="11" customFormat="true" ht="10.95" hidden="false" customHeight="true" outlineLevel="0" collapsed="false">
      <c r="A11610" s="16" t="n">
        <v>45414</v>
      </c>
      <c r="B11610" s="17" t="s">
        <v>3861</v>
      </c>
      <c r="C11610" s="17" t="s">
        <v>3752</v>
      </c>
      <c r="D11610" s="17" t="s">
        <v>1407</v>
      </c>
      <c r="E11610" s="17" t="s">
        <v>4409</v>
      </c>
      <c r="F11610" s="17"/>
      <c r="G11610" s="18" t="n">
        <v>0</v>
      </c>
      <c r="H11610" s="18" t="n">
        <v>56.51</v>
      </c>
      <c r="I11610" s="18" t="n">
        <f aca="false">((I11609 + G11610) - H11610)</f>
        <v>70848.6899999999</v>
      </c>
      <c r="J11610" s="18" t="n">
        <v>0</v>
      </c>
      <c r="K11610" s="19" t="n">
        <v>0</v>
      </c>
      <c r="L11610" s="17"/>
    </row>
    <row r="11611" s="11" customFormat="true" ht="10.95" hidden="false" customHeight="true" outlineLevel="0" collapsed="false">
      <c r="A11611" s="16" t="n">
        <v>45414</v>
      </c>
      <c r="B11611" s="17" t="s">
        <v>3861</v>
      </c>
      <c r="C11611" s="17" t="s">
        <v>3752</v>
      </c>
      <c r="D11611" s="17" t="s">
        <v>1407</v>
      </c>
      <c r="E11611" s="17" t="s">
        <v>3960</v>
      </c>
      <c r="F11611" s="17"/>
      <c r="G11611" s="18" t="n">
        <v>0</v>
      </c>
      <c r="H11611" s="18" t="n">
        <v>3321.52</v>
      </c>
      <c r="I11611" s="18" t="n">
        <f aca="false">((I11610 + G11611) - H11611)</f>
        <v>67527.1699999999</v>
      </c>
      <c r="J11611" s="18" t="n">
        <v>0</v>
      </c>
      <c r="K11611" s="19" t="n">
        <v>0</v>
      </c>
      <c r="L11611" s="17"/>
    </row>
    <row r="11612" s="11" customFormat="true" ht="10.95" hidden="false" customHeight="true" outlineLevel="0" collapsed="false">
      <c r="A11612" s="16" t="n">
        <v>45414</v>
      </c>
      <c r="B11612" s="17" t="s">
        <v>3861</v>
      </c>
      <c r="C11612" s="17" t="s">
        <v>3752</v>
      </c>
      <c r="D11612" s="17" t="s">
        <v>2903</v>
      </c>
      <c r="E11612" s="17" t="s">
        <v>3657</v>
      </c>
      <c r="F11612" s="17" t="s">
        <v>1553</v>
      </c>
      <c r="G11612" s="18" t="n">
        <v>0</v>
      </c>
      <c r="H11612" s="18" t="n">
        <v>6410.47</v>
      </c>
      <c r="I11612" s="18" t="n">
        <f aca="false">((I11611 + G11612) - H11612)</f>
        <v>61116.6999999999</v>
      </c>
      <c r="J11612" s="18" t="n">
        <v>0</v>
      </c>
      <c r="K11612" s="19" t="n">
        <v>0</v>
      </c>
      <c r="L11612" s="17"/>
    </row>
    <row r="11613" s="11" customFormat="true" ht="10.95" hidden="false" customHeight="true" outlineLevel="0" collapsed="false">
      <c r="A11613" s="16" t="n">
        <v>45414</v>
      </c>
      <c r="B11613" s="17" t="s">
        <v>3861</v>
      </c>
      <c r="C11613" s="17" t="s">
        <v>3752</v>
      </c>
      <c r="D11613" s="17" t="s">
        <v>2895</v>
      </c>
      <c r="E11613" s="17" t="s">
        <v>2925</v>
      </c>
      <c r="F11613" s="17" t="s">
        <v>3134</v>
      </c>
      <c r="G11613" s="18" t="n">
        <v>473.46</v>
      </c>
      <c r="H11613" s="18" t="n">
        <v>0</v>
      </c>
      <c r="I11613" s="18" t="n">
        <f aca="false">((I11612 + G11613) - H11613)</f>
        <v>61590.1599999999</v>
      </c>
      <c r="J11613" s="18" t="n">
        <v>0</v>
      </c>
      <c r="K11613" s="19" t="n">
        <v>0</v>
      </c>
      <c r="L11613" s="17"/>
    </row>
    <row r="11614" s="11" customFormat="true" ht="10.95" hidden="false" customHeight="true" outlineLevel="0" collapsed="false">
      <c r="A11614" s="16" t="n">
        <v>45414</v>
      </c>
      <c r="B11614" s="17" t="s">
        <v>3861</v>
      </c>
      <c r="C11614" s="17" t="s">
        <v>3752</v>
      </c>
      <c r="D11614" s="17" t="s">
        <v>2895</v>
      </c>
      <c r="E11614" s="17" t="s">
        <v>2925</v>
      </c>
      <c r="F11614" s="17" t="s">
        <v>3135</v>
      </c>
      <c r="G11614" s="18" t="n">
        <v>473.46</v>
      </c>
      <c r="H11614" s="18" t="n">
        <v>0</v>
      </c>
      <c r="I11614" s="18" t="n">
        <f aca="false">((I11613 + G11614) - H11614)</f>
        <v>62063.6199999999</v>
      </c>
      <c r="J11614" s="18" t="n">
        <v>0</v>
      </c>
      <c r="K11614" s="19" t="n">
        <v>0</v>
      </c>
      <c r="L11614" s="17"/>
    </row>
    <row r="11615" s="11" customFormat="true" ht="10.95" hidden="false" customHeight="true" outlineLevel="0" collapsed="false">
      <c r="A11615" s="16" t="n">
        <v>45414</v>
      </c>
      <c r="B11615" s="17" t="s">
        <v>3861</v>
      </c>
      <c r="C11615" s="17" t="s">
        <v>3752</v>
      </c>
      <c r="D11615" s="17" t="s">
        <v>2895</v>
      </c>
      <c r="E11615" s="17" t="s">
        <v>2925</v>
      </c>
      <c r="F11615" s="17" t="s">
        <v>3136</v>
      </c>
      <c r="G11615" s="18" t="n">
        <v>473.45</v>
      </c>
      <c r="H11615" s="18" t="n">
        <v>0</v>
      </c>
      <c r="I11615" s="18" t="n">
        <f aca="false">((I11614 + G11615) - H11615)</f>
        <v>62537.0699999999</v>
      </c>
      <c r="J11615" s="18" t="n">
        <v>0</v>
      </c>
      <c r="K11615" s="19" t="n">
        <v>0</v>
      </c>
      <c r="L11615" s="17"/>
    </row>
    <row r="11616" s="11" customFormat="true" ht="10.95" hidden="false" customHeight="true" outlineLevel="0" collapsed="false">
      <c r="A11616" s="16" t="n">
        <v>45415</v>
      </c>
      <c r="B11616" s="17" t="s">
        <v>3861</v>
      </c>
      <c r="C11616" s="17" t="s">
        <v>3752</v>
      </c>
      <c r="D11616" s="17" t="s">
        <v>2895</v>
      </c>
      <c r="E11616" s="17" t="s">
        <v>3399</v>
      </c>
      <c r="F11616" s="17" t="s">
        <v>4410</v>
      </c>
      <c r="G11616" s="18" t="n">
        <v>9438</v>
      </c>
      <c r="H11616" s="18" t="n">
        <v>0</v>
      </c>
      <c r="I11616" s="18" t="n">
        <f aca="false">((I11615 + G11616) - H11616)</f>
        <v>71975.0699999999</v>
      </c>
      <c r="J11616" s="18" t="n">
        <v>0</v>
      </c>
      <c r="K11616" s="19" t="n">
        <v>0</v>
      </c>
      <c r="L11616" s="17"/>
    </row>
    <row r="11617" s="11" customFormat="true" ht="10.95" hidden="false" customHeight="true" outlineLevel="0" collapsed="false">
      <c r="A11617" s="16" t="n">
        <v>45415</v>
      </c>
      <c r="B11617" s="17" t="s">
        <v>3861</v>
      </c>
      <c r="C11617" s="17" t="s">
        <v>3752</v>
      </c>
      <c r="D11617" s="17" t="s">
        <v>2895</v>
      </c>
      <c r="E11617" s="17" t="s">
        <v>3504</v>
      </c>
      <c r="F11617" s="17" t="s">
        <v>4411</v>
      </c>
      <c r="G11617" s="18" t="n">
        <v>1034.55</v>
      </c>
      <c r="H11617" s="18" t="n">
        <v>0</v>
      </c>
      <c r="I11617" s="18" t="n">
        <f aca="false">((I11616 + G11617) - H11617)</f>
        <v>73009.6199999999</v>
      </c>
      <c r="J11617" s="18" t="n">
        <v>0</v>
      </c>
      <c r="K11617" s="19" t="n">
        <v>0</v>
      </c>
      <c r="L11617" s="17"/>
    </row>
    <row r="11618" s="11" customFormat="true" ht="10.95" hidden="false" customHeight="true" outlineLevel="0" collapsed="false">
      <c r="A11618" s="16" t="n">
        <v>45415</v>
      </c>
      <c r="B11618" s="17" t="s">
        <v>3861</v>
      </c>
      <c r="C11618" s="17" t="s">
        <v>3752</v>
      </c>
      <c r="D11618" s="17" t="s">
        <v>2895</v>
      </c>
      <c r="E11618" s="17" t="s">
        <v>3378</v>
      </c>
      <c r="F11618" s="17" t="s">
        <v>4412</v>
      </c>
      <c r="G11618" s="18" t="n">
        <v>413.6</v>
      </c>
      <c r="H11618" s="18" t="n">
        <v>0</v>
      </c>
      <c r="I11618" s="18" t="n">
        <f aca="false">((I11617 + G11618) - H11618)</f>
        <v>73423.2199999999</v>
      </c>
      <c r="J11618" s="18" t="n">
        <v>0</v>
      </c>
      <c r="K11618" s="19" t="n">
        <v>0</v>
      </c>
      <c r="L11618" s="17"/>
    </row>
    <row r="11619" s="11" customFormat="true" ht="10.95" hidden="false" customHeight="true" outlineLevel="0" collapsed="false">
      <c r="A11619" s="16" t="n">
        <v>45415</v>
      </c>
      <c r="B11619" s="17" t="s">
        <v>3861</v>
      </c>
      <c r="C11619" s="17" t="s">
        <v>3752</v>
      </c>
      <c r="D11619" s="17" t="s">
        <v>3814</v>
      </c>
      <c r="E11619" s="17" t="s">
        <v>3815</v>
      </c>
      <c r="F11619" s="17"/>
      <c r="G11619" s="18" t="n">
        <v>0</v>
      </c>
      <c r="H11619" s="18" t="n">
        <v>1.54</v>
      </c>
      <c r="I11619" s="18" t="n">
        <f aca="false">((I11618 + G11619) - H11619)</f>
        <v>73421.6799999999</v>
      </c>
      <c r="J11619" s="18" t="n">
        <v>0</v>
      </c>
      <c r="K11619" s="19" t="n">
        <v>0</v>
      </c>
      <c r="L11619" s="17"/>
    </row>
    <row r="11620" s="11" customFormat="true" ht="10.95" hidden="false" customHeight="true" outlineLevel="0" collapsed="false">
      <c r="A11620" s="16" t="n">
        <v>45415</v>
      </c>
      <c r="B11620" s="17" t="s">
        <v>3861</v>
      </c>
      <c r="C11620" s="17" t="s">
        <v>3752</v>
      </c>
      <c r="D11620" s="17" t="s">
        <v>1407</v>
      </c>
      <c r="E11620" s="17" t="s">
        <v>2747</v>
      </c>
      <c r="F11620" s="17"/>
      <c r="G11620" s="18" t="n">
        <v>0</v>
      </c>
      <c r="H11620" s="18" t="n">
        <v>5</v>
      </c>
      <c r="I11620" s="18" t="n">
        <f aca="false">((I11619 + G11620) - H11620)</f>
        <v>73416.6799999999</v>
      </c>
      <c r="J11620" s="18" t="n">
        <v>0</v>
      </c>
      <c r="K11620" s="19" t="n">
        <v>0</v>
      </c>
      <c r="L11620" s="17"/>
    </row>
    <row r="11621" s="11" customFormat="true" ht="10.95" hidden="false" customHeight="true" outlineLevel="0" collapsed="false">
      <c r="A11621" s="16" t="n">
        <v>45415</v>
      </c>
      <c r="B11621" s="17" t="s">
        <v>3861</v>
      </c>
      <c r="C11621" s="17" t="s">
        <v>3752</v>
      </c>
      <c r="D11621" s="17" t="s">
        <v>1407</v>
      </c>
      <c r="E11621" s="17" t="s">
        <v>3520</v>
      </c>
      <c r="F11621" s="17"/>
      <c r="G11621" s="18" t="n">
        <v>0</v>
      </c>
      <c r="H11621" s="18" t="n">
        <v>24</v>
      </c>
      <c r="I11621" s="18" t="n">
        <f aca="false">((I11620 + G11621) - H11621)</f>
        <v>73392.6799999999</v>
      </c>
      <c r="J11621" s="18" t="n">
        <v>0</v>
      </c>
      <c r="K11621" s="19" t="n">
        <v>0</v>
      </c>
      <c r="L11621" s="17"/>
    </row>
    <row r="11622" s="11" customFormat="true" ht="10.95" hidden="false" customHeight="true" outlineLevel="0" collapsed="false">
      <c r="A11622" s="16" t="n">
        <v>45415</v>
      </c>
      <c r="B11622" s="17" t="s">
        <v>3861</v>
      </c>
      <c r="C11622" s="17" t="s">
        <v>3752</v>
      </c>
      <c r="D11622" s="17" t="s">
        <v>2895</v>
      </c>
      <c r="E11622" s="17" t="s">
        <v>3088</v>
      </c>
      <c r="F11622" s="17" t="s">
        <v>3137</v>
      </c>
      <c r="G11622" s="18" t="n">
        <v>211</v>
      </c>
      <c r="H11622" s="18" t="n">
        <v>0</v>
      </c>
      <c r="I11622" s="18" t="n">
        <f aca="false">((I11621 + G11622) - H11622)</f>
        <v>73603.6799999999</v>
      </c>
      <c r="J11622" s="18" t="n">
        <v>0</v>
      </c>
      <c r="K11622" s="19" t="n">
        <v>0</v>
      </c>
      <c r="L11622" s="17"/>
    </row>
    <row r="11623" s="11" customFormat="true" ht="10.95" hidden="false" customHeight="true" outlineLevel="0" collapsed="false">
      <c r="A11623" s="16" t="n">
        <v>45416</v>
      </c>
      <c r="B11623" s="17" t="s">
        <v>3861</v>
      </c>
      <c r="C11623" s="17" t="s">
        <v>3752</v>
      </c>
      <c r="D11623" s="17" t="s">
        <v>1407</v>
      </c>
      <c r="E11623" s="17" t="s">
        <v>2747</v>
      </c>
      <c r="F11623" s="17"/>
      <c r="G11623" s="18" t="n">
        <v>0</v>
      </c>
      <c r="H11623" s="18" t="n">
        <v>5</v>
      </c>
      <c r="I11623" s="18" t="n">
        <f aca="false">((I11622 + G11623) - H11623)</f>
        <v>73598.6799999999</v>
      </c>
      <c r="J11623" s="18" t="n">
        <v>0</v>
      </c>
      <c r="K11623" s="19" t="n">
        <v>0</v>
      </c>
      <c r="L11623" s="17"/>
    </row>
    <row r="11624" s="11" customFormat="true" ht="10.95" hidden="false" customHeight="true" outlineLevel="0" collapsed="false">
      <c r="A11624" s="16" t="n">
        <v>45416</v>
      </c>
      <c r="B11624" s="17" t="s">
        <v>3861</v>
      </c>
      <c r="C11624" s="17" t="s">
        <v>3752</v>
      </c>
      <c r="D11624" s="17" t="s">
        <v>1407</v>
      </c>
      <c r="E11624" s="17" t="s">
        <v>3863</v>
      </c>
      <c r="F11624" s="17"/>
      <c r="G11624" s="18" t="n">
        <v>0</v>
      </c>
      <c r="H11624" s="18" t="n">
        <v>7.65</v>
      </c>
      <c r="I11624" s="18" t="n">
        <f aca="false">((I11623 + G11624) - H11624)</f>
        <v>73591.0299999999</v>
      </c>
      <c r="J11624" s="18" t="n">
        <v>0</v>
      </c>
      <c r="K11624" s="19" t="n">
        <v>0</v>
      </c>
      <c r="L11624" s="17"/>
    </row>
    <row r="11625" s="11" customFormat="true" ht="10.95" hidden="false" customHeight="true" outlineLevel="0" collapsed="false">
      <c r="A11625" s="16" t="n">
        <v>45416</v>
      </c>
      <c r="B11625" s="17" t="s">
        <v>3861</v>
      </c>
      <c r="C11625" s="17" t="s">
        <v>3752</v>
      </c>
      <c r="D11625" s="17" t="s">
        <v>2903</v>
      </c>
      <c r="E11625" s="17" t="s">
        <v>3652</v>
      </c>
      <c r="F11625" s="17" t="s">
        <v>2558</v>
      </c>
      <c r="G11625" s="18" t="n">
        <v>0</v>
      </c>
      <c r="H11625" s="18" t="n">
        <v>179</v>
      </c>
      <c r="I11625" s="18" t="n">
        <f aca="false">((I11624 + G11625) - H11625)</f>
        <v>73412.0299999999</v>
      </c>
      <c r="J11625" s="18" t="n">
        <v>0</v>
      </c>
      <c r="K11625" s="19" t="n">
        <v>0</v>
      </c>
      <c r="L11625" s="17"/>
    </row>
    <row r="11626" s="11" customFormat="true" ht="10.95" hidden="false" customHeight="true" outlineLevel="0" collapsed="false">
      <c r="A11626" s="16" t="n">
        <v>45416</v>
      </c>
      <c r="B11626" s="17" t="s">
        <v>3861</v>
      </c>
      <c r="C11626" s="17" t="s">
        <v>3752</v>
      </c>
      <c r="D11626" s="17" t="s">
        <v>2903</v>
      </c>
      <c r="E11626" s="17" t="s">
        <v>3652</v>
      </c>
      <c r="F11626" s="17" t="s">
        <v>2556</v>
      </c>
      <c r="G11626" s="18" t="n">
        <v>0</v>
      </c>
      <c r="H11626" s="18" t="n">
        <v>248</v>
      </c>
      <c r="I11626" s="18" t="n">
        <f aca="false">((I11625 + G11626) - H11626)</f>
        <v>73164.0299999999</v>
      </c>
      <c r="J11626" s="18" t="n">
        <v>0</v>
      </c>
      <c r="K11626" s="19" t="n">
        <v>0</v>
      </c>
      <c r="L11626" s="17"/>
    </row>
    <row r="11627" s="11" customFormat="true" ht="10.95" hidden="false" customHeight="true" outlineLevel="0" collapsed="false">
      <c r="A11627" s="16" t="n">
        <v>45416</v>
      </c>
      <c r="B11627" s="17" t="s">
        <v>3861</v>
      </c>
      <c r="C11627" s="17" t="s">
        <v>3752</v>
      </c>
      <c r="D11627" s="17" t="s">
        <v>2903</v>
      </c>
      <c r="E11627" s="17" t="s">
        <v>2969</v>
      </c>
      <c r="F11627" s="17" t="s">
        <v>1559</v>
      </c>
      <c r="G11627" s="18" t="n">
        <v>0</v>
      </c>
      <c r="H11627" s="18" t="n">
        <v>254.95</v>
      </c>
      <c r="I11627" s="18" t="n">
        <f aca="false">((I11626 + G11627) - H11627)</f>
        <v>72909.0799999999</v>
      </c>
      <c r="J11627" s="18" t="n">
        <v>0</v>
      </c>
      <c r="K11627" s="19" t="n">
        <v>0</v>
      </c>
      <c r="L11627" s="17"/>
    </row>
    <row r="11628" s="11" customFormat="true" ht="10.95" hidden="false" customHeight="true" outlineLevel="0" collapsed="false">
      <c r="A11628" s="16" t="n">
        <v>45416</v>
      </c>
      <c r="B11628" s="17" t="s">
        <v>3861</v>
      </c>
      <c r="C11628" s="17" t="s">
        <v>3752</v>
      </c>
      <c r="D11628" s="17" t="s">
        <v>1407</v>
      </c>
      <c r="E11628" s="17" t="s">
        <v>3642</v>
      </c>
      <c r="F11628" s="17"/>
      <c r="G11628" s="18" t="n">
        <v>0</v>
      </c>
      <c r="H11628" s="18" t="n">
        <v>153.1</v>
      </c>
      <c r="I11628" s="18" t="n">
        <f aca="false">((I11627 + G11628) - H11628)</f>
        <v>72755.9799999999</v>
      </c>
      <c r="J11628" s="18" t="n">
        <v>0</v>
      </c>
      <c r="K11628" s="19" t="n">
        <v>0</v>
      </c>
      <c r="L11628" s="17"/>
    </row>
    <row r="11629" s="11" customFormat="true" ht="10.95" hidden="false" customHeight="true" outlineLevel="0" collapsed="false">
      <c r="A11629" s="16" t="n">
        <v>45417</v>
      </c>
      <c r="B11629" s="17" t="s">
        <v>3861</v>
      </c>
      <c r="C11629" s="17" t="s">
        <v>3752</v>
      </c>
      <c r="D11629" s="17" t="s">
        <v>3753</v>
      </c>
      <c r="E11629" s="17" t="s">
        <v>3806</v>
      </c>
      <c r="F11629" s="17" t="s">
        <v>3844</v>
      </c>
      <c r="G11629" s="18" t="n">
        <v>0</v>
      </c>
      <c r="H11629" s="18" t="n">
        <v>17303.47</v>
      </c>
      <c r="I11629" s="18" t="n">
        <f aca="false">((I11628 + G11629) - H11629)</f>
        <v>55452.5099999999</v>
      </c>
      <c r="J11629" s="18" t="n">
        <v>0</v>
      </c>
      <c r="K11629" s="19" t="n">
        <v>0</v>
      </c>
      <c r="L11629" s="17"/>
    </row>
    <row r="11630" s="11" customFormat="true" ht="10.95" hidden="false" customHeight="true" outlineLevel="0" collapsed="false">
      <c r="A11630" s="16" t="n">
        <v>45417</v>
      </c>
      <c r="B11630" s="17" t="s">
        <v>3861</v>
      </c>
      <c r="C11630" s="17" t="s">
        <v>3752</v>
      </c>
      <c r="D11630" s="17" t="s">
        <v>2895</v>
      </c>
      <c r="E11630" s="17" t="s">
        <v>3535</v>
      </c>
      <c r="F11630" s="17" t="s">
        <v>4413</v>
      </c>
      <c r="G11630" s="18" t="n">
        <v>16632</v>
      </c>
      <c r="H11630" s="18" t="n">
        <v>0</v>
      </c>
      <c r="I11630" s="18" t="n">
        <f aca="false">((I11629 + G11630) - H11630)</f>
        <v>72084.5099999999</v>
      </c>
      <c r="J11630" s="18" t="n">
        <v>0</v>
      </c>
      <c r="K11630" s="19" t="n">
        <v>0</v>
      </c>
      <c r="L11630" s="17"/>
    </row>
    <row r="11631" s="11" customFormat="true" ht="10.95" hidden="false" customHeight="true" outlineLevel="0" collapsed="false">
      <c r="A11631" s="16" t="n">
        <v>45417</v>
      </c>
      <c r="B11631" s="17" t="s">
        <v>3861</v>
      </c>
      <c r="C11631" s="17" t="s">
        <v>3752</v>
      </c>
      <c r="D11631" s="17" t="s">
        <v>1407</v>
      </c>
      <c r="E11631" s="17" t="s">
        <v>3742</v>
      </c>
      <c r="F11631" s="17" t="s">
        <v>4414</v>
      </c>
      <c r="G11631" s="18" t="n">
        <v>0</v>
      </c>
      <c r="H11631" s="18" t="n">
        <v>18639</v>
      </c>
      <c r="I11631" s="18" t="n">
        <f aca="false">((I11630 + G11631) - H11631)</f>
        <v>53445.5099999999</v>
      </c>
      <c r="J11631" s="18" t="n">
        <v>0</v>
      </c>
      <c r="K11631" s="19" t="n">
        <v>0</v>
      </c>
      <c r="L11631" s="17"/>
    </row>
    <row r="11632" s="11" customFormat="true" ht="10.95" hidden="false" customHeight="true" outlineLevel="0" collapsed="false">
      <c r="A11632" s="16" t="n">
        <v>45418</v>
      </c>
      <c r="B11632" s="17" t="s">
        <v>3861</v>
      </c>
      <c r="C11632" s="17" t="s">
        <v>3752</v>
      </c>
      <c r="D11632" s="17" t="s">
        <v>2895</v>
      </c>
      <c r="E11632" s="17" t="s">
        <v>3403</v>
      </c>
      <c r="F11632" s="17" t="s">
        <v>4415</v>
      </c>
      <c r="G11632" s="18" t="n">
        <v>206.8</v>
      </c>
      <c r="H11632" s="18" t="n">
        <v>0</v>
      </c>
      <c r="I11632" s="18" t="n">
        <f aca="false">((I11631 + G11632) - H11632)</f>
        <v>53652.3099999999</v>
      </c>
      <c r="J11632" s="18" t="n">
        <v>0</v>
      </c>
      <c r="K11632" s="19" t="n">
        <v>0</v>
      </c>
      <c r="L11632" s="17"/>
    </row>
    <row r="11633" s="11" customFormat="true" ht="10.95" hidden="false" customHeight="true" outlineLevel="0" collapsed="false">
      <c r="A11633" s="16" t="n">
        <v>45418</v>
      </c>
      <c r="B11633" s="17" t="s">
        <v>3861</v>
      </c>
      <c r="C11633" s="17" t="s">
        <v>3752</v>
      </c>
      <c r="D11633" s="17" t="s">
        <v>2895</v>
      </c>
      <c r="E11633" s="17" t="s">
        <v>3403</v>
      </c>
      <c r="F11633" s="17" t="s">
        <v>4416</v>
      </c>
      <c r="G11633" s="18" t="n">
        <v>827.2</v>
      </c>
      <c r="H11633" s="18" t="n">
        <v>0</v>
      </c>
      <c r="I11633" s="18" t="n">
        <f aca="false">((I11632 + G11633) - H11633)</f>
        <v>54479.5099999999</v>
      </c>
      <c r="J11633" s="18" t="n">
        <v>0</v>
      </c>
      <c r="K11633" s="19" t="n">
        <v>0</v>
      </c>
      <c r="L11633" s="17"/>
    </row>
    <row r="11634" s="11" customFormat="true" ht="10.95" hidden="false" customHeight="true" outlineLevel="0" collapsed="false">
      <c r="A11634" s="16" t="n">
        <v>45418</v>
      </c>
      <c r="B11634" s="17" t="s">
        <v>3861</v>
      </c>
      <c r="C11634" s="17" t="s">
        <v>3752</v>
      </c>
      <c r="D11634" s="17" t="s">
        <v>2895</v>
      </c>
      <c r="E11634" s="17" t="s">
        <v>3403</v>
      </c>
      <c r="F11634" s="17" t="s">
        <v>4417</v>
      </c>
      <c r="G11634" s="18" t="n">
        <v>723.8</v>
      </c>
      <c r="H11634" s="18" t="n">
        <v>0</v>
      </c>
      <c r="I11634" s="18" t="n">
        <f aca="false">((I11633 + G11634) - H11634)</f>
        <v>55203.3099999999</v>
      </c>
      <c r="J11634" s="18" t="n">
        <v>0</v>
      </c>
      <c r="K11634" s="19" t="n">
        <v>0</v>
      </c>
      <c r="L11634" s="17"/>
    </row>
    <row r="11635" s="11" customFormat="true" ht="10.95" hidden="false" customHeight="true" outlineLevel="0" collapsed="false">
      <c r="A11635" s="16" t="n">
        <v>45418</v>
      </c>
      <c r="B11635" s="17" t="s">
        <v>3861</v>
      </c>
      <c r="C11635" s="17" t="s">
        <v>3752</v>
      </c>
      <c r="D11635" s="17" t="s">
        <v>2895</v>
      </c>
      <c r="E11635" s="17" t="s">
        <v>3403</v>
      </c>
      <c r="F11635" s="17" t="s">
        <v>4418</v>
      </c>
      <c r="G11635" s="18" t="n">
        <v>1137.4</v>
      </c>
      <c r="H11635" s="18" t="n">
        <v>0</v>
      </c>
      <c r="I11635" s="18" t="n">
        <f aca="false">((I11634 + G11635) - H11635)</f>
        <v>56340.7099999999</v>
      </c>
      <c r="J11635" s="18" t="n">
        <v>0</v>
      </c>
      <c r="K11635" s="19" t="n">
        <v>0</v>
      </c>
      <c r="L11635" s="17"/>
    </row>
    <row r="11636" s="11" customFormat="true" ht="10.95" hidden="false" customHeight="true" outlineLevel="0" collapsed="false">
      <c r="A11636" s="16" t="n">
        <v>45418</v>
      </c>
      <c r="B11636" s="17" t="s">
        <v>3861</v>
      </c>
      <c r="C11636" s="17" t="s">
        <v>3752</v>
      </c>
      <c r="D11636" s="17" t="s">
        <v>2895</v>
      </c>
      <c r="E11636" s="17" t="s">
        <v>3403</v>
      </c>
      <c r="F11636" s="17" t="s">
        <v>4419</v>
      </c>
      <c r="G11636" s="18" t="n">
        <v>1361.8</v>
      </c>
      <c r="H11636" s="18" t="n">
        <v>0</v>
      </c>
      <c r="I11636" s="18" t="n">
        <f aca="false">((I11635 + G11636) - H11636)</f>
        <v>57702.5099999999</v>
      </c>
      <c r="J11636" s="18" t="n">
        <v>0</v>
      </c>
      <c r="K11636" s="19" t="n">
        <v>0</v>
      </c>
      <c r="L11636" s="17"/>
    </row>
    <row r="11637" s="11" customFormat="true" ht="10.95" hidden="false" customHeight="true" outlineLevel="0" collapsed="false">
      <c r="A11637" s="16" t="n">
        <v>45418</v>
      </c>
      <c r="B11637" s="17" t="s">
        <v>3861</v>
      </c>
      <c r="C11637" s="17" t="s">
        <v>3752</v>
      </c>
      <c r="D11637" s="17" t="s">
        <v>2895</v>
      </c>
      <c r="E11637" s="17" t="s">
        <v>3403</v>
      </c>
      <c r="F11637" s="17" t="s">
        <v>4420</v>
      </c>
      <c r="G11637" s="18" t="n">
        <v>316.8</v>
      </c>
      <c r="H11637" s="18" t="n">
        <v>0</v>
      </c>
      <c r="I11637" s="18" t="n">
        <f aca="false">((I11636 + G11637) - H11637)</f>
        <v>58019.3099999999</v>
      </c>
      <c r="J11637" s="18" t="n">
        <v>0</v>
      </c>
      <c r="K11637" s="19" t="n">
        <v>0</v>
      </c>
      <c r="L11637" s="17"/>
    </row>
    <row r="11638" s="11" customFormat="true" ht="10.95" hidden="false" customHeight="true" outlineLevel="0" collapsed="false">
      <c r="A11638" s="16" t="n">
        <v>45418</v>
      </c>
      <c r="B11638" s="17" t="s">
        <v>3861</v>
      </c>
      <c r="C11638" s="17" t="s">
        <v>3752</v>
      </c>
      <c r="D11638" s="17" t="s">
        <v>2895</v>
      </c>
      <c r="E11638" s="17" t="s">
        <v>3403</v>
      </c>
      <c r="F11638" s="17" t="s">
        <v>4421</v>
      </c>
      <c r="G11638" s="18" t="n">
        <v>103.4</v>
      </c>
      <c r="H11638" s="18" t="n">
        <v>0</v>
      </c>
      <c r="I11638" s="18" t="n">
        <f aca="false">((I11637 + G11638) - H11638)</f>
        <v>58122.7099999999</v>
      </c>
      <c r="J11638" s="18" t="n">
        <v>0</v>
      </c>
      <c r="K11638" s="19" t="n">
        <v>0</v>
      </c>
      <c r="L11638" s="17"/>
    </row>
    <row r="11639" s="11" customFormat="true" ht="10.95" hidden="false" customHeight="true" outlineLevel="0" collapsed="false">
      <c r="A11639" s="16" t="n">
        <v>45418</v>
      </c>
      <c r="B11639" s="17" t="s">
        <v>3861</v>
      </c>
      <c r="C11639" s="17" t="s">
        <v>3752</v>
      </c>
      <c r="D11639" s="17" t="s">
        <v>2895</v>
      </c>
      <c r="E11639" s="17" t="s">
        <v>3403</v>
      </c>
      <c r="F11639" s="17" t="s">
        <v>4422</v>
      </c>
      <c r="G11639" s="18" t="n">
        <v>620.4</v>
      </c>
      <c r="H11639" s="18" t="n">
        <v>0</v>
      </c>
      <c r="I11639" s="18" t="n">
        <f aca="false">((I11638 + G11639) - H11639)</f>
        <v>58743.1099999999</v>
      </c>
      <c r="J11639" s="18" t="n">
        <v>0</v>
      </c>
      <c r="K11639" s="19" t="n">
        <v>0</v>
      </c>
      <c r="L11639" s="17"/>
    </row>
    <row r="11640" s="11" customFormat="true" ht="10.95" hidden="false" customHeight="true" outlineLevel="0" collapsed="false">
      <c r="A11640" s="16" t="n">
        <v>45418</v>
      </c>
      <c r="B11640" s="17" t="s">
        <v>3861</v>
      </c>
      <c r="C11640" s="17" t="s">
        <v>3752</v>
      </c>
      <c r="D11640" s="17" t="s">
        <v>2895</v>
      </c>
      <c r="E11640" s="17" t="s">
        <v>3403</v>
      </c>
      <c r="F11640" s="17" t="s">
        <v>4423</v>
      </c>
      <c r="G11640" s="18" t="n">
        <v>310.2</v>
      </c>
      <c r="H11640" s="18" t="n">
        <v>0</v>
      </c>
      <c r="I11640" s="18" t="n">
        <f aca="false">((I11639 + G11640) - H11640)</f>
        <v>59053.3099999999</v>
      </c>
      <c r="J11640" s="18" t="n">
        <v>0</v>
      </c>
      <c r="K11640" s="19" t="n">
        <v>0</v>
      </c>
      <c r="L11640" s="17"/>
    </row>
    <row r="11641" s="11" customFormat="true" ht="10.95" hidden="false" customHeight="true" outlineLevel="0" collapsed="false">
      <c r="A11641" s="16" t="n">
        <v>45418</v>
      </c>
      <c r="B11641" s="17" t="s">
        <v>3861</v>
      </c>
      <c r="C11641" s="17" t="s">
        <v>3752</v>
      </c>
      <c r="D11641" s="17" t="s">
        <v>2895</v>
      </c>
      <c r="E11641" s="17" t="s">
        <v>3403</v>
      </c>
      <c r="F11641" s="17" t="s">
        <v>4424</v>
      </c>
      <c r="G11641" s="18" t="n">
        <v>310.2</v>
      </c>
      <c r="H11641" s="18" t="n">
        <v>0</v>
      </c>
      <c r="I11641" s="18" t="n">
        <f aca="false">((I11640 + G11641) - H11641)</f>
        <v>59363.5099999999</v>
      </c>
      <c r="J11641" s="18" t="n">
        <v>0</v>
      </c>
      <c r="K11641" s="19" t="n">
        <v>0</v>
      </c>
      <c r="L11641" s="17"/>
    </row>
    <row r="11642" s="11" customFormat="true" ht="10.95" hidden="false" customHeight="true" outlineLevel="0" collapsed="false">
      <c r="A11642" s="16" t="n">
        <v>45418</v>
      </c>
      <c r="B11642" s="17" t="s">
        <v>3861</v>
      </c>
      <c r="C11642" s="17" t="s">
        <v>3752</v>
      </c>
      <c r="D11642" s="17" t="s">
        <v>2895</v>
      </c>
      <c r="E11642" s="17" t="s">
        <v>3403</v>
      </c>
      <c r="F11642" s="17" t="s">
        <v>4425</v>
      </c>
      <c r="G11642" s="18" t="n">
        <v>1967.9</v>
      </c>
      <c r="H11642" s="18" t="n">
        <v>0</v>
      </c>
      <c r="I11642" s="18" t="n">
        <f aca="false">((I11641 + G11642) - H11642)</f>
        <v>61331.4099999999</v>
      </c>
      <c r="J11642" s="18" t="n">
        <v>0</v>
      </c>
      <c r="K11642" s="19" t="n">
        <v>0</v>
      </c>
      <c r="L11642" s="17"/>
    </row>
    <row r="11643" s="11" customFormat="true" ht="10.95" hidden="false" customHeight="true" outlineLevel="0" collapsed="false">
      <c r="A11643" s="16" t="n">
        <v>45418</v>
      </c>
      <c r="B11643" s="17" t="s">
        <v>3861</v>
      </c>
      <c r="C11643" s="17" t="s">
        <v>3752</v>
      </c>
      <c r="D11643" s="17" t="s">
        <v>2895</v>
      </c>
      <c r="E11643" s="17" t="s">
        <v>3403</v>
      </c>
      <c r="F11643" s="17" t="s">
        <v>4426</v>
      </c>
      <c r="G11643" s="18" t="n">
        <v>618.75</v>
      </c>
      <c r="H11643" s="18" t="n">
        <v>0</v>
      </c>
      <c r="I11643" s="18" t="n">
        <f aca="false">((I11642 + G11643) - H11643)</f>
        <v>61950.1599999999</v>
      </c>
      <c r="J11643" s="18" t="n">
        <v>0</v>
      </c>
      <c r="K11643" s="19" t="n">
        <v>0</v>
      </c>
      <c r="L11643" s="17"/>
    </row>
    <row r="11644" s="11" customFormat="true" ht="10.95" hidden="false" customHeight="true" outlineLevel="0" collapsed="false">
      <c r="A11644" s="16" t="n">
        <v>45418</v>
      </c>
      <c r="B11644" s="17" t="s">
        <v>3861</v>
      </c>
      <c r="C11644" s="17" t="s">
        <v>3752</v>
      </c>
      <c r="D11644" s="17" t="s">
        <v>2895</v>
      </c>
      <c r="E11644" s="17" t="s">
        <v>3403</v>
      </c>
      <c r="F11644" s="17" t="s">
        <v>4427</v>
      </c>
      <c r="G11644" s="18" t="n">
        <v>229.9</v>
      </c>
      <c r="H11644" s="18" t="n">
        <v>0</v>
      </c>
      <c r="I11644" s="18" t="n">
        <f aca="false">((I11643 + G11644) - H11644)</f>
        <v>62180.0599999999</v>
      </c>
      <c r="J11644" s="18" t="n">
        <v>0</v>
      </c>
      <c r="K11644" s="19" t="n">
        <v>0</v>
      </c>
      <c r="L11644" s="17"/>
    </row>
    <row r="11645" s="11" customFormat="true" ht="10.95" hidden="false" customHeight="true" outlineLevel="0" collapsed="false">
      <c r="A11645" s="16" t="n">
        <v>45418</v>
      </c>
      <c r="B11645" s="17" t="s">
        <v>3861</v>
      </c>
      <c r="C11645" s="17" t="s">
        <v>3752</v>
      </c>
      <c r="D11645" s="17" t="s">
        <v>2895</v>
      </c>
      <c r="E11645" s="17" t="s">
        <v>3403</v>
      </c>
      <c r="F11645" s="17" t="s">
        <v>4428</v>
      </c>
      <c r="G11645" s="18" t="n">
        <v>3063.5</v>
      </c>
      <c r="H11645" s="18" t="n">
        <v>0</v>
      </c>
      <c r="I11645" s="18" t="n">
        <f aca="false">((I11644 + G11645) - H11645)</f>
        <v>65243.5599999999</v>
      </c>
      <c r="J11645" s="18" t="n">
        <v>0</v>
      </c>
      <c r="K11645" s="19" t="n">
        <v>0</v>
      </c>
      <c r="L11645" s="17"/>
    </row>
    <row r="11646" s="11" customFormat="true" ht="10.95" hidden="false" customHeight="true" outlineLevel="0" collapsed="false">
      <c r="A11646" s="16" t="n">
        <v>45418</v>
      </c>
      <c r="B11646" s="17" t="s">
        <v>3861</v>
      </c>
      <c r="C11646" s="17" t="s">
        <v>3752</v>
      </c>
      <c r="D11646" s="17" t="s">
        <v>2895</v>
      </c>
      <c r="E11646" s="17" t="s">
        <v>3403</v>
      </c>
      <c r="F11646" s="17" t="s">
        <v>4429</v>
      </c>
      <c r="G11646" s="18" t="n">
        <v>627</v>
      </c>
      <c r="H11646" s="18" t="n">
        <v>0</v>
      </c>
      <c r="I11646" s="18" t="n">
        <f aca="false">((I11645 + G11646) - H11646)</f>
        <v>65870.5599999999</v>
      </c>
      <c r="J11646" s="18" t="n">
        <v>0</v>
      </c>
      <c r="K11646" s="19" t="n">
        <v>0</v>
      </c>
      <c r="L11646" s="17"/>
    </row>
    <row r="11647" s="11" customFormat="true" ht="10.95" hidden="false" customHeight="true" outlineLevel="0" collapsed="false">
      <c r="A11647" s="16" t="n">
        <v>45418</v>
      </c>
      <c r="B11647" s="17" t="s">
        <v>3861</v>
      </c>
      <c r="C11647" s="17" t="s">
        <v>3752</v>
      </c>
      <c r="D11647" s="17" t="s">
        <v>2895</v>
      </c>
      <c r="E11647" s="17" t="s">
        <v>3403</v>
      </c>
      <c r="F11647" s="17" t="s">
        <v>4430</v>
      </c>
      <c r="G11647" s="18" t="n">
        <v>517</v>
      </c>
      <c r="H11647" s="18" t="n">
        <v>0</v>
      </c>
      <c r="I11647" s="18" t="n">
        <f aca="false">((I11646 + G11647) - H11647)</f>
        <v>66387.5599999999</v>
      </c>
      <c r="J11647" s="18" t="n">
        <v>0</v>
      </c>
      <c r="K11647" s="19" t="n">
        <v>0</v>
      </c>
      <c r="L11647" s="17"/>
    </row>
    <row r="11648" s="11" customFormat="true" ht="10.95" hidden="false" customHeight="true" outlineLevel="0" collapsed="false">
      <c r="A11648" s="16" t="n">
        <v>45418</v>
      </c>
      <c r="B11648" s="17" t="s">
        <v>3861</v>
      </c>
      <c r="C11648" s="17" t="s">
        <v>3752</v>
      </c>
      <c r="D11648" s="17" t="s">
        <v>2895</v>
      </c>
      <c r="E11648" s="17" t="s">
        <v>3403</v>
      </c>
      <c r="F11648" s="17" t="s">
        <v>4431</v>
      </c>
      <c r="G11648" s="18" t="n">
        <v>1792.45</v>
      </c>
      <c r="H11648" s="18" t="n">
        <v>0</v>
      </c>
      <c r="I11648" s="18" t="n">
        <f aca="false">((I11647 + G11648) - H11648)</f>
        <v>68180.0099999999</v>
      </c>
      <c r="J11648" s="18" t="n">
        <v>0</v>
      </c>
      <c r="K11648" s="19" t="n">
        <v>0</v>
      </c>
      <c r="L11648" s="17"/>
    </row>
    <row r="11649" s="11" customFormat="true" ht="10.95" hidden="false" customHeight="true" outlineLevel="0" collapsed="false">
      <c r="A11649" s="16" t="n">
        <v>45418</v>
      </c>
      <c r="B11649" s="17" t="s">
        <v>3861</v>
      </c>
      <c r="C11649" s="17" t="s">
        <v>3752</v>
      </c>
      <c r="D11649" s="17" t="s">
        <v>2895</v>
      </c>
      <c r="E11649" s="17" t="s">
        <v>3403</v>
      </c>
      <c r="F11649" s="17" t="s">
        <v>4432</v>
      </c>
      <c r="G11649" s="18" t="n">
        <v>741.4</v>
      </c>
      <c r="H11649" s="18" t="n">
        <v>0</v>
      </c>
      <c r="I11649" s="18" t="n">
        <f aca="false">((I11648 + G11649) - H11649)</f>
        <v>68921.4099999999</v>
      </c>
      <c r="J11649" s="18" t="n">
        <v>0</v>
      </c>
      <c r="K11649" s="19" t="n">
        <v>0</v>
      </c>
      <c r="L11649" s="17"/>
    </row>
    <row r="11650" s="11" customFormat="true" ht="10.95" hidden="false" customHeight="true" outlineLevel="0" collapsed="false">
      <c r="A11650" s="16" t="n">
        <v>45418</v>
      </c>
      <c r="B11650" s="17" t="s">
        <v>3861</v>
      </c>
      <c r="C11650" s="17" t="s">
        <v>3752</v>
      </c>
      <c r="D11650" s="17" t="s">
        <v>2895</v>
      </c>
      <c r="E11650" s="17" t="s">
        <v>3403</v>
      </c>
      <c r="F11650" s="17" t="s">
        <v>4433</v>
      </c>
      <c r="G11650" s="18" t="n">
        <v>114.95</v>
      </c>
      <c r="H11650" s="18" t="n">
        <v>0</v>
      </c>
      <c r="I11650" s="18" t="n">
        <f aca="false">((I11649 + G11650) - H11650)</f>
        <v>69036.3599999999</v>
      </c>
      <c r="J11650" s="18" t="n">
        <v>0</v>
      </c>
      <c r="K11650" s="19" t="n">
        <v>0</v>
      </c>
      <c r="L11650" s="17"/>
    </row>
    <row r="11651" s="11" customFormat="true" ht="10.95" hidden="false" customHeight="true" outlineLevel="0" collapsed="false">
      <c r="A11651" s="16" t="n">
        <v>45418</v>
      </c>
      <c r="B11651" s="17" t="s">
        <v>3861</v>
      </c>
      <c r="C11651" s="17" t="s">
        <v>3752</v>
      </c>
      <c r="D11651" s="17" t="s">
        <v>2895</v>
      </c>
      <c r="E11651" s="17" t="s">
        <v>2922</v>
      </c>
      <c r="F11651" s="17" t="s">
        <v>3138</v>
      </c>
      <c r="G11651" s="18" t="n">
        <v>9537.81</v>
      </c>
      <c r="H11651" s="18" t="n">
        <v>0</v>
      </c>
      <c r="I11651" s="18" t="n">
        <f aca="false">((I11650 + G11651) - H11651)</f>
        <v>78574.1699999999</v>
      </c>
      <c r="J11651" s="18" t="n">
        <v>0</v>
      </c>
      <c r="K11651" s="19" t="n">
        <v>0</v>
      </c>
      <c r="L11651" s="17"/>
    </row>
    <row r="11652" s="11" customFormat="true" ht="10.95" hidden="false" customHeight="true" outlineLevel="0" collapsed="false">
      <c r="A11652" s="16" t="n">
        <v>45418</v>
      </c>
      <c r="B11652" s="17" t="s">
        <v>3861</v>
      </c>
      <c r="C11652" s="17" t="s">
        <v>3752</v>
      </c>
      <c r="D11652" s="17" t="s">
        <v>2895</v>
      </c>
      <c r="E11652" s="17" t="s">
        <v>2947</v>
      </c>
      <c r="F11652" s="17" t="s">
        <v>3139</v>
      </c>
      <c r="G11652" s="18" t="n">
        <v>1724.91</v>
      </c>
      <c r="H11652" s="18" t="n">
        <v>0</v>
      </c>
      <c r="I11652" s="18" t="n">
        <f aca="false">((I11651 + G11652) - H11652)</f>
        <v>80299.0799999999</v>
      </c>
      <c r="J11652" s="18" t="n">
        <v>0</v>
      </c>
      <c r="K11652" s="19" t="n">
        <v>0</v>
      </c>
      <c r="L11652" s="17"/>
    </row>
    <row r="11653" s="11" customFormat="true" ht="10.95" hidden="false" customHeight="true" outlineLevel="0" collapsed="false">
      <c r="A11653" s="16" t="n">
        <v>45418</v>
      </c>
      <c r="B11653" s="17" t="s">
        <v>3861</v>
      </c>
      <c r="C11653" s="17" t="s">
        <v>3752</v>
      </c>
      <c r="D11653" s="17" t="s">
        <v>2895</v>
      </c>
      <c r="E11653" s="17" t="s">
        <v>3472</v>
      </c>
      <c r="F11653" s="17" t="s">
        <v>4434</v>
      </c>
      <c r="G11653" s="18" t="n">
        <v>1278.2</v>
      </c>
      <c r="H11653" s="18" t="n">
        <v>0</v>
      </c>
      <c r="I11653" s="18" t="n">
        <f aca="false">((I11652 + G11653) - H11653)</f>
        <v>81577.2799999999</v>
      </c>
      <c r="J11653" s="18" t="n">
        <v>0</v>
      </c>
      <c r="K11653" s="19" t="n">
        <v>0</v>
      </c>
      <c r="L11653" s="17"/>
    </row>
    <row r="11654" s="11" customFormat="true" ht="10.95" hidden="false" customHeight="true" outlineLevel="0" collapsed="false">
      <c r="A11654" s="16" t="n">
        <v>45418</v>
      </c>
      <c r="B11654" s="17" t="s">
        <v>3861</v>
      </c>
      <c r="C11654" s="17" t="s">
        <v>3752</v>
      </c>
      <c r="D11654" s="17" t="s">
        <v>1407</v>
      </c>
      <c r="E11654" s="17" t="s">
        <v>3888</v>
      </c>
      <c r="F11654" s="17"/>
      <c r="G11654" s="18" t="n">
        <v>0</v>
      </c>
      <c r="H11654" s="18" t="n">
        <v>2743.01</v>
      </c>
      <c r="I11654" s="18" t="n">
        <f aca="false">((I11653 + G11654) - H11654)</f>
        <v>78834.2699999999</v>
      </c>
      <c r="J11654" s="18" t="n">
        <v>0</v>
      </c>
      <c r="K11654" s="19" t="n">
        <v>0</v>
      </c>
      <c r="L11654" s="17"/>
    </row>
    <row r="11655" s="11" customFormat="true" ht="10.95" hidden="false" customHeight="true" outlineLevel="0" collapsed="false">
      <c r="A11655" s="16" t="n">
        <v>45419</v>
      </c>
      <c r="B11655" s="17" t="s">
        <v>3861</v>
      </c>
      <c r="C11655" s="17" t="s">
        <v>3752</v>
      </c>
      <c r="D11655" s="17" t="s">
        <v>1276</v>
      </c>
      <c r="E11655" s="17" t="s">
        <v>3428</v>
      </c>
      <c r="F11655" s="17" t="s">
        <v>1372</v>
      </c>
      <c r="G11655" s="18" t="n">
        <v>24.25</v>
      </c>
      <c r="H11655" s="18" t="n">
        <v>0</v>
      </c>
      <c r="I11655" s="18" t="n">
        <f aca="false">((I11654 + G11655) - H11655)</f>
        <v>78858.5199999999</v>
      </c>
      <c r="J11655" s="18" t="n">
        <v>0</v>
      </c>
      <c r="K11655" s="19" t="n">
        <v>0</v>
      </c>
      <c r="L11655" s="17"/>
    </row>
    <row r="11656" s="11" customFormat="true" ht="10.95" hidden="false" customHeight="true" outlineLevel="0" collapsed="false">
      <c r="A11656" s="16" t="n">
        <v>45419</v>
      </c>
      <c r="B11656" s="17" t="s">
        <v>3861</v>
      </c>
      <c r="C11656" s="17" t="s">
        <v>3752</v>
      </c>
      <c r="D11656" s="17" t="s">
        <v>1407</v>
      </c>
      <c r="E11656" s="17" t="s">
        <v>3862</v>
      </c>
      <c r="F11656" s="17" t="s">
        <v>1372</v>
      </c>
      <c r="G11656" s="18" t="n">
        <v>0</v>
      </c>
      <c r="H11656" s="18" t="n">
        <v>24.26</v>
      </c>
      <c r="I11656" s="18" t="n">
        <f aca="false">((I11655 + G11656) - H11656)</f>
        <v>78834.2599999999</v>
      </c>
      <c r="J11656" s="18" t="n">
        <v>0</v>
      </c>
      <c r="K11656" s="19" t="n">
        <v>0</v>
      </c>
      <c r="L11656" s="17"/>
    </row>
    <row r="11657" s="11" customFormat="true" ht="10.95" hidden="false" customHeight="true" outlineLevel="0" collapsed="false">
      <c r="A11657" s="16" t="n">
        <v>45419</v>
      </c>
      <c r="B11657" s="17" t="s">
        <v>3861</v>
      </c>
      <c r="C11657" s="17" t="s">
        <v>3752</v>
      </c>
      <c r="D11657" s="17" t="s">
        <v>2895</v>
      </c>
      <c r="E11657" s="17" t="s">
        <v>3467</v>
      </c>
      <c r="F11657" s="17" t="s">
        <v>1372</v>
      </c>
      <c r="G11657" s="18" t="n">
        <v>1385.45</v>
      </c>
      <c r="H11657" s="18" t="n">
        <v>0</v>
      </c>
      <c r="I11657" s="18" t="n">
        <f aca="false">((I11656 + G11657) - H11657)</f>
        <v>80219.7099999999</v>
      </c>
      <c r="J11657" s="18" t="n">
        <v>0</v>
      </c>
      <c r="K11657" s="19" t="n">
        <v>0</v>
      </c>
      <c r="L11657" s="17"/>
    </row>
    <row r="11658" s="11" customFormat="true" ht="10.95" hidden="false" customHeight="true" outlineLevel="0" collapsed="false">
      <c r="A11658" s="16" t="n">
        <v>45419</v>
      </c>
      <c r="B11658" s="17" t="s">
        <v>3861</v>
      </c>
      <c r="C11658" s="17" t="s">
        <v>3752</v>
      </c>
      <c r="D11658" s="17" t="s">
        <v>2895</v>
      </c>
      <c r="E11658" s="17" t="s">
        <v>3482</v>
      </c>
      <c r="F11658" s="17" t="s">
        <v>4435</v>
      </c>
      <c r="G11658" s="18" t="n">
        <v>1861.2</v>
      </c>
      <c r="H11658" s="18" t="n">
        <v>0</v>
      </c>
      <c r="I11658" s="18" t="n">
        <f aca="false">((I11657 + G11658) - H11658)</f>
        <v>82080.9099999999</v>
      </c>
      <c r="J11658" s="18" t="n">
        <v>0</v>
      </c>
      <c r="K11658" s="19" t="n">
        <v>0</v>
      </c>
      <c r="L11658" s="17"/>
    </row>
    <row r="11659" s="11" customFormat="true" ht="10.95" hidden="false" customHeight="true" outlineLevel="0" collapsed="false">
      <c r="A11659" s="16" t="n">
        <v>45419</v>
      </c>
      <c r="B11659" s="17" t="s">
        <v>3861</v>
      </c>
      <c r="C11659" s="17" t="s">
        <v>3752</v>
      </c>
      <c r="D11659" s="17" t="s">
        <v>1407</v>
      </c>
      <c r="E11659" s="17" t="s">
        <v>3863</v>
      </c>
      <c r="F11659" s="17"/>
      <c r="G11659" s="18" t="n">
        <v>0</v>
      </c>
      <c r="H11659" s="18" t="n">
        <v>1.2</v>
      </c>
      <c r="I11659" s="18" t="n">
        <f aca="false">((I11658 + G11659) - H11659)</f>
        <v>82079.7099999999</v>
      </c>
      <c r="J11659" s="18" t="n">
        <v>0</v>
      </c>
      <c r="K11659" s="19" t="n">
        <v>0</v>
      </c>
      <c r="L11659" s="17"/>
    </row>
    <row r="11660" s="11" customFormat="true" ht="10.95" hidden="false" customHeight="true" outlineLevel="0" collapsed="false">
      <c r="A11660" s="16" t="n">
        <v>45419</v>
      </c>
      <c r="B11660" s="17" t="s">
        <v>3861</v>
      </c>
      <c r="C11660" s="17" t="s">
        <v>3752</v>
      </c>
      <c r="D11660" s="17" t="s">
        <v>1407</v>
      </c>
      <c r="E11660" s="17" t="s">
        <v>3767</v>
      </c>
      <c r="F11660" s="17" t="s">
        <v>2781</v>
      </c>
      <c r="G11660" s="18" t="n">
        <v>0</v>
      </c>
      <c r="H11660" s="18" t="n">
        <v>18.89</v>
      </c>
      <c r="I11660" s="18" t="n">
        <f aca="false">((I11659 + G11660) - H11660)</f>
        <v>82060.8199999999</v>
      </c>
      <c r="J11660" s="18" t="n">
        <v>0</v>
      </c>
      <c r="K11660" s="19" t="n">
        <v>0</v>
      </c>
      <c r="L11660" s="17"/>
    </row>
    <row r="11661" s="11" customFormat="true" ht="10.95" hidden="false" customHeight="true" outlineLevel="0" collapsed="false">
      <c r="A11661" s="16" t="n">
        <v>45419</v>
      </c>
      <c r="B11661" s="17" t="s">
        <v>3861</v>
      </c>
      <c r="C11661" s="17" t="s">
        <v>3752</v>
      </c>
      <c r="D11661" s="17" t="s">
        <v>1407</v>
      </c>
      <c r="E11661" s="17" t="s">
        <v>3626</v>
      </c>
      <c r="F11661" s="17"/>
      <c r="G11661" s="18" t="n">
        <v>0</v>
      </c>
      <c r="H11661" s="18" t="n">
        <v>71.5</v>
      </c>
      <c r="I11661" s="18" t="n">
        <f aca="false">((I11660 + G11661) - H11661)</f>
        <v>81989.3199999999</v>
      </c>
      <c r="J11661" s="18" t="n">
        <v>0</v>
      </c>
      <c r="K11661" s="19" t="n">
        <v>0</v>
      </c>
      <c r="L11661" s="17"/>
    </row>
    <row r="11662" s="11" customFormat="true" ht="10.95" hidden="false" customHeight="true" outlineLevel="0" collapsed="false">
      <c r="A11662" s="16" t="n">
        <v>45419</v>
      </c>
      <c r="B11662" s="17" t="s">
        <v>3861</v>
      </c>
      <c r="C11662" s="17" t="s">
        <v>3752</v>
      </c>
      <c r="D11662" s="17" t="s">
        <v>1407</v>
      </c>
      <c r="E11662" s="17" t="s">
        <v>3878</v>
      </c>
      <c r="F11662" s="17"/>
      <c r="G11662" s="18" t="n">
        <v>0</v>
      </c>
      <c r="H11662" s="18" t="n">
        <v>1569.5</v>
      </c>
      <c r="I11662" s="18" t="n">
        <f aca="false">((I11661 + G11662) - H11662)</f>
        <v>80419.8199999999</v>
      </c>
      <c r="J11662" s="18" t="n">
        <v>0</v>
      </c>
      <c r="K11662" s="19" t="n">
        <v>0</v>
      </c>
      <c r="L11662" s="17"/>
    </row>
    <row r="11663" s="11" customFormat="true" ht="10.95" hidden="false" customHeight="true" outlineLevel="0" collapsed="false">
      <c r="A11663" s="16" t="n">
        <v>45419</v>
      </c>
      <c r="B11663" s="17" t="s">
        <v>3861</v>
      </c>
      <c r="C11663" s="17" t="s">
        <v>3752</v>
      </c>
      <c r="D11663" s="17" t="s">
        <v>1407</v>
      </c>
      <c r="E11663" s="17" t="s">
        <v>3642</v>
      </c>
      <c r="F11663" s="17"/>
      <c r="G11663" s="18" t="n">
        <v>0</v>
      </c>
      <c r="H11663" s="18" t="n">
        <v>13.2</v>
      </c>
      <c r="I11663" s="18" t="n">
        <f aca="false">((I11662 + G11663) - H11663)</f>
        <v>80406.6199999999</v>
      </c>
      <c r="J11663" s="18" t="n">
        <v>0</v>
      </c>
      <c r="K11663" s="19" t="n">
        <v>0</v>
      </c>
      <c r="L11663" s="17"/>
    </row>
    <row r="11664" s="11" customFormat="true" ht="10.95" hidden="false" customHeight="true" outlineLevel="0" collapsed="false">
      <c r="A11664" s="16" t="n">
        <v>45419</v>
      </c>
      <c r="B11664" s="17" t="s">
        <v>3861</v>
      </c>
      <c r="C11664" s="17" t="s">
        <v>3752</v>
      </c>
      <c r="D11664" s="17" t="s">
        <v>1407</v>
      </c>
      <c r="E11664" s="17" t="s">
        <v>3642</v>
      </c>
      <c r="F11664" s="17"/>
      <c r="G11664" s="18" t="n">
        <v>0</v>
      </c>
      <c r="H11664" s="18" t="n">
        <v>20.57</v>
      </c>
      <c r="I11664" s="18" t="n">
        <f aca="false">((I11663 + G11664) - H11664)</f>
        <v>80386.0499999999</v>
      </c>
      <c r="J11664" s="18" t="n">
        <v>0</v>
      </c>
      <c r="K11664" s="19" t="n">
        <v>0</v>
      </c>
      <c r="L11664" s="17"/>
    </row>
    <row r="11665" s="11" customFormat="true" ht="10.95" hidden="false" customHeight="true" outlineLevel="0" collapsed="false">
      <c r="A11665" s="16" t="n">
        <v>45419</v>
      </c>
      <c r="B11665" s="17" t="s">
        <v>3861</v>
      </c>
      <c r="C11665" s="17" t="s">
        <v>3752</v>
      </c>
      <c r="D11665" s="17" t="s">
        <v>2903</v>
      </c>
      <c r="E11665" s="17" t="s">
        <v>3035</v>
      </c>
      <c r="F11665" s="17" t="s">
        <v>3140</v>
      </c>
      <c r="G11665" s="18" t="n">
        <v>0</v>
      </c>
      <c r="H11665" s="18" t="n">
        <v>3055.13</v>
      </c>
      <c r="I11665" s="18" t="n">
        <f aca="false">((I11664 + G11665) - H11665)</f>
        <v>77330.9199999999</v>
      </c>
      <c r="J11665" s="18" t="n">
        <v>0</v>
      </c>
      <c r="K11665" s="19" t="n">
        <v>0</v>
      </c>
      <c r="L11665" s="17"/>
    </row>
    <row r="11666" s="11" customFormat="true" ht="10.95" hidden="false" customHeight="true" outlineLevel="0" collapsed="false">
      <c r="A11666" s="16" t="n">
        <v>45419</v>
      </c>
      <c r="B11666" s="17" t="s">
        <v>3861</v>
      </c>
      <c r="C11666" s="17" t="s">
        <v>3752</v>
      </c>
      <c r="D11666" s="17" t="s">
        <v>1407</v>
      </c>
      <c r="E11666" s="17" t="s">
        <v>3906</v>
      </c>
      <c r="F11666" s="17"/>
      <c r="G11666" s="18" t="n">
        <v>0</v>
      </c>
      <c r="H11666" s="18" t="n">
        <v>40</v>
      </c>
      <c r="I11666" s="18" t="n">
        <f aca="false">((I11665 + G11666) - H11666)</f>
        <v>77290.9199999999</v>
      </c>
      <c r="J11666" s="18" t="n">
        <v>0</v>
      </c>
      <c r="K11666" s="19" t="n">
        <v>0</v>
      </c>
      <c r="L11666" s="17"/>
    </row>
    <row r="11667" s="11" customFormat="true" ht="10.95" hidden="false" customHeight="true" outlineLevel="0" collapsed="false">
      <c r="A11667" s="16" t="n">
        <v>45420</v>
      </c>
      <c r="B11667" s="17" t="s">
        <v>3861</v>
      </c>
      <c r="C11667" s="17" t="s">
        <v>3752</v>
      </c>
      <c r="D11667" s="17" t="s">
        <v>2895</v>
      </c>
      <c r="E11667" s="17" t="s">
        <v>3389</v>
      </c>
      <c r="F11667" s="17" t="s">
        <v>4436</v>
      </c>
      <c r="G11667" s="18" t="n">
        <v>4994</v>
      </c>
      <c r="H11667" s="18" t="n">
        <v>0</v>
      </c>
      <c r="I11667" s="18" t="n">
        <f aca="false">((I11666 + G11667) - H11667)</f>
        <v>82284.9199999999</v>
      </c>
      <c r="J11667" s="18" t="n">
        <v>0</v>
      </c>
      <c r="K11667" s="19" t="n">
        <v>0</v>
      </c>
      <c r="L11667" s="17"/>
    </row>
    <row r="11668" s="11" customFormat="true" ht="10.95" hidden="false" customHeight="true" outlineLevel="0" collapsed="false">
      <c r="A11668" s="16" t="n">
        <v>45420</v>
      </c>
      <c r="B11668" s="17" t="s">
        <v>3861</v>
      </c>
      <c r="C11668" s="17" t="s">
        <v>3752</v>
      </c>
      <c r="D11668" s="17" t="s">
        <v>1407</v>
      </c>
      <c r="E11668" s="17" t="s">
        <v>3881</v>
      </c>
      <c r="F11668" s="17"/>
      <c r="G11668" s="18" t="n">
        <v>0</v>
      </c>
      <c r="H11668" s="18" t="n">
        <v>140</v>
      </c>
      <c r="I11668" s="18" t="n">
        <f aca="false">((I11667 + G11668) - H11668)</f>
        <v>82144.9199999999</v>
      </c>
      <c r="J11668" s="18" t="n">
        <v>0</v>
      </c>
      <c r="K11668" s="19" t="n">
        <v>0</v>
      </c>
      <c r="L11668" s="17"/>
    </row>
    <row r="11669" s="11" customFormat="true" ht="10.95" hidden="false" customHeight="true" outlineLevel="0" collapsed="false">
      <c r="A11669" s="16" t="n">
        <v>45420</v>
      </c>
      <c r="B11669" s="17" t="s">
        <v>3861</v>
      </c>
      <c r="C11669" s="17" t="s">
        <v>3752</v>
      </c>
      <c r="D11669" s="17" t="s">
        <v>1407</v>
      </c>
      <c r="E11669" s="17" t="s">
        <v>3879</v>
      </c>
      <c r="F11669" s="17"/>
      <c r="G11669" s="18" t="n">
        <v>0</v>
      </c>
      <c r="H11669" s="18" t="n">
        <v>1571.5</v>
      </c>
      <c r="I11669" s="18" t="n">
        <f aca="false">((I11668 + G11669) - H11669)</f>
        <v>80573.4199999999</v>
      </c>
      <c r="J11669" s="18" t="n">
        <v>0</v>
      </c>
      <c r="K11669" s="19" t="n">
        <v>0</v>
      </c>
      <c r="L11669" s="17"/>
    </row>
    <row r="11670" s="11" customFormat="true" ht="10.95" hidden="false" customHeight="true" outlineLevel="0" collapsed="false">
      <c r="A11670" s="16" t="n">
        <v>45420</v>
      </c>
      <c r="B11670" s="17" t="s">
        <v>3861</v>
      </c>
      <c r="C11670" s="17" t="s">
        <v>3752</v>
      </c>
      <c r="D11670" s="17" t="s">
        <v>1407</v>
      </c>
      <c r="E11670" s="17" t="s">
        <v>3880</v>
      </c>
      <c r="F11670" s="17"/>
      <c r="G11670" s="18" t="n">
        <v>0</v>
      </c>
      <c r="H11670" s="18" t="n">
        <v>1765.5</v>
      </c>
      <c r="I11670" s="18" t="n">
        <f aca="false">((I11669 + G11670) - H11670)</f>
        <v>78807.9199999999</v>
      </c>
      <c r="J11670" s="18" t="n">
        <v>0</v>
      </c>
      <c r="K11670" s="19" t="n">
        <v>0</v>
      </c>
      <c r="L11670" s="17"/>
    </row>
    <row r="11671" s="11" customFormat="true" ht="10.95" hidden="false" customHeight="true" outlineLevel="0" collapsed="false">
      <c r="A11671" s="16" t="n">
        <v>45420</v>
      </c>
      <c r="B11671" s="17" t="s">
        <v>3861</v>
      </c>
      <c r="C11671" s="17" t="s">
        <v>3752</v>
      </c>
      <c r="D11671" s="17" t="s">
        <v>1407</v>
      </c>
      <c r="E11671" s="17" t="s">
        <v>3808</v>
      </c>
      <c r="F11671" s="17"/>
      <c r="G11671" s="18" t="n">
        <v>0</v>
      </c>
      <c r="H11671" s="18" t="n">
        <v>2163.92</v>
      </c>
      <c r="I11671" s="18" t="n">
        <f aca="false">((I11670 + G11671) - H11671)</f>
        <v>76643.9999999999</v>
      </c>
      <c r="J11671" s="18" t="n">
        <v>0</v>
      </c>
      <c r="K11671" s="19" t="n">
        <v>0</v>
      </c>
      <c r="L11671" s="17"/>
    </row>
    <row r="11672" s="11" customFormat="true" ht="10.95" hidden="false" customHeight="true" outlineLevel="0" collapsed="false">
      <c r="A11672" s="16" t="n">
        <v>45421</v>
      </c>
      <c r="B11672" s="17" t="s">
        <v>3861</v>
      </c>
      <c r="C11672" s="17" t="s">
        <v>3752</v>
      </c>
      <c r="D11672" s="17" t="s">
        <v>2903</v>
      </c>
      <c r="E11672" s="17" t="s">
        <v>3643</v>
      </c>
      <c r="F11672" s="17" t="s">
        <v>1561</v>
      </c>
      <c r="G11672" s="18" t="n">
        <v>0</v>
      </c>
      <c r="H11672" s="18" t="n">
        <v>2316.36</v>
      </c>
      <c r="I11672" s="18" t="n">
        <f aca="false">((I11671 + G11672) - H11672)</f>
        <v>74327.6399999999</v>
      </c>
      <c r="J11672" s="18" t="n">
        <v>0</v>
      </c>
      <c r="K11672" s="19" t="n">
        <v>0</v>
      </c>
      <c r="L11672" s="17"/>
    </row>
    <row r="11673" s="11" customFormat="true" ht="10.95" hidden="false" customHeight="true" outlineLevel="0" collapsed="false">
      <c r="A11673" s="16" t="n">
        <v>45422</v>
      </c>
      <c r="B11673" s="17" t="s">
        <v>3861</v>
      </c>
      <c r="C11673" s="17" t="s">
        <v>3752</v>
      </c>
      <c r="D11673" s="17" t="s">
        <v>2895</v>
      </c>
      <c r="E11673" s="17" t="s">
        <v>3373</v>
      </c>
      <c r="F11673" s="17" t="s">
        <v>4437</v>
      </c>
      <c r="G11673" s="18" t="n">
        <v>1512.5</v>
      </c>
      <c r="H11673" s="18" t="n">
        <v>0</v>
      </c>
      <c r="I11673" s="18" t="n">
        <f aca="false">((I11672 + G11673) - H11673)</f>
        <v>75840.1399999999</v>
      </c>
      <c r="J11673" s="18" t="n">
        <v>0</v>
      </c>
      <c r="K11673" s="19" t="n">
        <v>0</v>
      </c>
      <c r="L11673" s="17"/>
    </row>
    <row r="11674" s="11" customFormat="true" ht="10.95" hidden="false" customHeight="true" outlineLevel="0" collapsed="false">
      <c r="A11674" s="16" t="n">
        <v>45422</v>
      </c>
      <c r="B11674" s="17" t="s">
        <v>3861</v>
      </c>
      <c r="C11674" s="17" t="s">
        <v>3752</v>
      </c>
      <c r="D11674" s="17" t="s">
        <v>1407</v>
      </c>
      <c r="E11674" s="17" t="s">
        <v>3896</v>
      </c>
      <c r="F11674" s="17"/>
      <c r="G11674" s="18" t="n">
        <v>0</v>
      </c>
      <c r="H11674" s="18" t="n">
        <v>20.99</v>
      </c>
      <c r="I11674" s="18" t="n">
        <f aca="false">((I11673 + G11674) - H11674)</f>
        <v>75819.1499999999</v>
      </c>
      <c r="J11674" s="18" t="n">
        <v>0</v>
      </c>
      <c r="K11674" s="19" t="n">
        <v>0</v>
      </c>
      <c r="L11674" s="17"/>
    </row>
    <row r="11675" s="11" customFormat="true" ht="10.95" hidden="false" customHeight="true" outlineLevel="0" collapsed="false">
      <c r="A11675" s="16" t="n">
        <v>45425</v>
      </c>
      <c r="B11675" s="17" t="s">
        <v>3861</v>
      </c>
      <c r="C11675" s="17" t="s">
        <v>3752</v>
      </c>
      <c r="D11675" s="17" t="s">
        <v>1407</v>
      </c>
      <c r="E11675" s="17" t="s">
        <v>3880</v>
      </c>
      <c r="F11675" s="17"/>
      <c r="G11675" s="18" t="n">
        <v>0</v>
      </c>
      <c r="H11675" s="18" t="n">
        <v>3120</v>
      </c>
      <c r="I11675" s="18" t="n">
        <f aca="false">((I11674 + G11675) - H11675)</f>
        <v>72699.1499999999</v>
      </c>
      <c r="J11675" s="18" t="n">
        <v>0</v>
      </c>
      <c r="K11675" s="19" t="n">
        <v>0</v>
      </c>
      <c r="L11675" s="17"/>
    </row>
    <row r="11676" s="11" customFormat="true" ht="10.95" hidden="false" customHeight="true" outlineLevel="0" collapsed="false">
      <c r="A11676" s="16" t="n">
        <v>45426</v>
      </c>
      <c r="B11676" s="17" t="s">
        <v>3861</v>
      </c>
      <c r="C11676" s="17" t="s">
        <v>3752</v>
      </c>
      <c r="D11676" s="17" t="s">
        <v>2895</v>
      </c>
      <c r="E11676" s="17" t="s">
        <v>3415</v>
      </c>
      <c r="F11676" s="17" t="s">
        <v>4438</v>
      </c>
      <c r="G11676" s="18" t="n">
        <v>1052.7</v>
      </c>
      <c r="H11676" s="18" t="n">
        <v>0</v>
      </c>
      <c r="I11676" s="18" t="n">
        <f aca="false">((I11675 + G11676) - H11676)</f>
        <v>73751.8499999999</v>
      </c>
      <c r="J11676" s="18" t="n">
        <v>0</v>
      </c>
      <c r="K11676" s="19" t="n">
        <v>0</v>
      </c>
      <c r="L11676" s="17"/>
    </row>
    <row r="11677" s="11" customFormat="true" ht="10.95" hidden="false" customHeight="true" outlineLevel="0" collapsed="false">
      <c r="A11677" s="16" t="n">
        <v>45426</v>
      </c>
      <c r="B11677" s="17" t="s">
        <v>3861</v>
      </c>
      <c r="C11677" s="17" t="s">
        <v>3752</v>
      </c>
      <c r="D11677" s="17" t="s">
        <v>1407</v>
      </c>
      <c r="E11677" s="17" t="s">
        <v>3767</v>
      </c>
      <c r="F11677" s="17" t="s">
        <v>2781</v>
      </c>
      <c r="G11677" s="18" t="n">
        <v>0</v>
      </c>
      <c r="H11677" s="18" t="n">
        <v>10.18</v>
      </c>
      <c r="I11677" s="18" t="n">
        <f aca="false">((I11676 + G11677) - H11677)</f>
        <v>73741.6699999999</v>
      </c>
      <c r="J11677" s="18" t="n">
        <v>0</v>
      </c>
      <c r="K11677" s="19" t="n">
        <v>0</v>
      </c>
      <c r="L11677" s="17"/>
    </row>
    <row r="11678" s="11" customFormat="true" ht="10.95" hidden="false" customHeight="true" outlineLevel="0" collapsed="false">
      <c r="A11678" s="16" t="n">
        <v>45426</v>
      </c>
      <c r="B11678" s="17" t="s">
        <v>3861</v>
      </c>
      <c r="C11678" s="17" t="s">
        <v>3752</v>
      </c>
      <c r="D11678" s="17" t="s">
        <v>1407</v>
      </c>
      <c r="E11678" s="17" t="s">
        <v>3897</v>
      </c>
      <c r="F11678" s="17"/>
      <c r="G11678" s="18" t="n">
        <v>0</v>
      </c>
      <c r="H11678" s="18" t="n">
        <v>30</v>
      </c>
      <c r="I11678" s="18" t="n">
        <f aca="false">((I11677 + G11678) - H11678)</f>
        <v>73711.6699999999</v>
      </c>
      <c r="J11678" s="18" t="n">
        <v>0</v>
      </c>
      <c r="K11678" s="19" t="n">
        <v>0</v>
      </c>
      <c r="L11678" s="17"/>
    </row>
    <row r="11679" s="11" customFormat="true" ht="10.95" hidden="false" customHeight="true" outlineLevel="0" collapsed="false">
      <c r="A11679" s="16" t="n">
        <v>45426</v>
      </c>
      <c r="B11679" s="17" t="s">
        <v>3861</v>
      </c>
      <c r="C11679" s="17" t="s">
        <v>3752</v>
      </c>
      <c r="D11679" s="17" t="s">
        <v>1407</v>
      </c>
      <c r="E11679" s="17" t="s">
        <v>4386</v>
      </c>
      <c r="F11679" s="17"/>
      <c r="G11679" s="18" t="n">
        <v>0</v>
      </c>
      <c r="H11679" s="18" t="n">
        <v>39.99</v>
      </c>
      <c r="I11679" s="18" t="n">
        <f aca="false">((I11678 + G11679) - H11679)</f>
        <v>73671.6799999999</v>
      </c>
      <c r="J11679" s="18" t="n">
        <v>0</v>
      </c>
      <c r="K11679" s="19" t="n">
        <v>0</v>
      </c>
      <c r="L11679" s="17"/>
    </row>
    <row r="11680" s="11" customFormat="true" ht="10.95" hidden="false" customHeight="true" outlineLevel="0" collapsed="false">
      <c r="A11680" s="16" t="n">
        <v>45426</v>
      </c>
      <c r="B11680" s="17" t="s">
        <v>3861</v>
      </c>
      <c r="C11680" s="17" t="s">
        <v>3752</v>
      </c>
      <c r="D11680" s="17" t="s">
        <v>1407</v>
      </c>
      <c r="E11680" s="17" t="s">
        <v>3878</v>
      </c>
      <c r="F11680" s="17"/>
      <c r="G11680" s="18" t="n">
        <v>0</v>
      </c>
      <c r="H11680" s="18" t="n">
        <v>1569.5</v>
      </c>
      <c r="I11680" s="18" t="n">
        <f aca="false">((I11679 + G11680) - H11680)</f>
        <v>72102.1799999999</v>
      </c>
      <c r="J11680" s="18" t="n">
        <v>0</v>
      </c>
      <c r="K11680" s="19" t="n">
        <v>0</v>
      </c>
      <c r="L11680" s="17"/>
    </row>
    <row r="11681" s="11" customFormat="true" ht="10.95" hidden="false" customHeight="true" outlineLevel="0" collapsed="false">
      <c r="A11681" s="16" t="n">
        <v>45427</v>
      </c>
      <c r="B11681" s="17" t="s">
        <v>3861</v>
      </c>
      <c r="C11681" s="17" t="s">
        <v>3752</v>
      </c>
      <c r="D11681" s="17" t="s">
        <v>1276</v>
      </c>
      <c r="E11681" s="17" t="s">
        <v>3880</v>
      </c>
      <c r="F11681" s="17"/>
      <c r="G11681" s="18" t="n">
        <v>3120</v>
      </c>
      <c r="H11681" s="18" t="n">
        <v>0</v>
      </c>
      <c r="I11681" s="18" t="n">
        <f aca="false">((I11680 + G11681) - H11681)</f>
        <v>75222.1799999999</v>
      </c>
      <c r="J11681" s="18" t="n">
        <v>0</v>
      </c>
      <c r="K11681" s="19" t="n">
        <v>0</v>
      </c>
      <c r="L11681" s="17"/>
    </row>
    <row r="11682" s="11" customFormat="true" ht="10.95" hidden="false" customHeight="true" outlineLevel="0" collapsed="false">
      <c r="A11682" s="16" t="n">
        <v>45427</v>
      </c>
      <c r="B11682" s="17" t="s">
        <v>3861</v>
      </c>
      <c r="C11682" s="17" t="s">
        <v>3752</v>
      </c>
      <c r="D11682" s="17" t="s">
        <v>1407</v>
      </c>
      <c r="E11682" s="17" t="s">
        <v>3863</v>
      </c>
      <c r="F11682" s="17"/>
      <c r="G11682" s="18" t="n">
        <v>0</v>
      </c>
      <c r="H11682" s="18" t="n">
        <v>0.45</v>
      </c>
      <c r="I11682" s="18" t="n">
        <f aca="false">((I11681 + G11682) - H11682)</f>
        <v>75221.7299999999</v>
      </c>
      <c r="J11682" s="18" t="n">
        <v>0</v>
      </c>
      <c r="K11682" s="19" t="n">
        <v>0</v>
      </c>
      <c r="L11682" s="17"/>
    </row>
    <row r="11683" s="11" customFormat="true" ht="10.95" hidden="false" customHeight="true" outlineLevel="0" collapsed="false">
      <c r="A11683" s="16" t="n">
        <v>45427</v>
      </c>
      <c r="B11683" s="17" t="s">
        <v>3861</v>
      </c>
      <c r="C11683" s="17" t="s">
        <v>3752</v>
      </c>
      <c r="D11683" s="17" t="s">
        <v>1407</v>
      </c>
      <c r="E11683" s="17" t="s">
        <v>3899</v>
      </c>
      <c r="F11683" s="17"/>
      <c r="G11683" s="18" t="n">
        <v>0</v>
      </c>
      <c r="H11683" s="18" t="n">
        <v>15.15</v>
      </c>
      <c r="I11683" s="18" t="n">
        <f aca="false">((I11682 + G11683) - H11683)</f>
        <v>75206.5799999999</v>
      </c>
      <c r="J11683" s="18" t="n">
        <v>0</v>
      </c>
      <c r="K11683" s="19" t="n">
        <v>0</v>
      </c>
      <c r="L11683" s="17"/>
    </row>
    <row r="11684" s="11" customFormat="true" ht="10.95" hidden="false" customHeight="true" outlineLevel="0" collapsed="false">
      <c r="A11684" s="16" t="n">
        <v>45427</v>
      </c>
      <c r="B11684" s="17" t="s">
        <v>3861</v>
      </c>
      <c r="C11684" s="17" t="s">
        <v>3752</v>
      </c>
      <c r="D11684" s="17" t="s">
        <v>1407</v>
      </c>
      <c r="E11684" s="17" t="s">
        <v>3881</v>
      </c>
      <c r="F11684" s="17"/>
      <c r="G11684" s="18" t="n">
        <v>0</v>
      </c>
      <c r="H11684" s="18" t="n">
        <v>140</v>
      </c>
      <c r="I11684" s="18" t="n">
        <f aca="false">((I11683 + G11684) - H11684)</f>
        <v>75066.5799999999</v>
      </c>
      <c r="J11684" s="18" t="n">
        <v>0</v>
      </c>
      <c r="K11684" s="19" t="n">
        <v>0</v>
      </c>
      <c r="L11684" s="17"/>
    </row>
    <row r="11685" s="11" customFormat="true" ht="10.95" hidden="false" customHeight="true" outlineLevel="0" collapsed="false">
      <c r="A11685" s="16" t="n">
        <v>45427</v>
      </c>
      <c r="B11685" s="17" t="s">
        <v>3861</v>
      </c>
      <c r="C11685" s="17" t="s">
        <v>3752</v>
      </c>
      <c r="D11685" s="17" t="s">
        <v>1407</v>
      </c>
      <c r="E11685" s="17" t="s">
        <v>3879</v>
      </c>
      <c r="F11685" s="17"/>
      <c r="G11685" s="18" t="n">
        <v>0</v>
      </c>
      <c r="H11685" s="18" t="n">
        <v>1571.5</v>
      </c>
      <c r="I11685" s="18" t="n">
        <f aca="false">((I11684 + G11685) - H11685)</f>
        <v>73495.0799999999</v>
      </c>
      <c r="J11685" s="18" t="n">
        <v>0</v>
      </c>
      <c r="K11685" s="19" t="n">
        <v>0</v>
      </c>
      <c r="L11685" s="17"/>
    </row>
    <row r="11686" s="11" customFormat="true" ht="10.95" hidden="false" customHeight="true" outlineLevel="0" collapsed="false">
      <c r="A11686" s="16" t="n">
        <v>45427</v>
      </c>
      <c r="B11686" s="17" t="s">
        <v>3861</v>
      </c>
      <c r="C11686" s="17" t="s">
        <v>3752</v>
      </c>
      <c r="D11686" s="17" t="s">
        <v>1407</v>
      </c>
      <c r="E11686" s="17" t="s">
        <v>3880</v>
      </c>
      <c r="F11686" s="17"/>
      <c r="G11686" s="18" t="n">
        <v>0</v>
      </c>
      <c r="H11686" s="18" t="n">
        <v>1765.5</v>
      </c>
      <c r="I11686" s="18" t="n">
        <f aca="false">((I11685 + G11686) - H11686)</f>
        <v>71729.5799999999</v>
      </c>
      <c r="J11686" s="18" t="n">
        <v>0</v>
      </c>
      <c r="K11686" s="19" t="n">
        <v>0</v>
      </c>
      <c r="L11686" s="17"/>
    </row>
    <row r="11687" s="11" customFormat="true" ht="10.95" hidden="false" customHeight="true" outlineLevel="0" collapsed="false">
      <c r="A11687" s="16" t="n">
        <v>45427</v>
      </c>
      <c r="B11687" s="17" t="s">
        <v>3861</v>
      </c>
      <c r="C11687" s="17" t="s">
        <v>3752</v>
      </c>
      <c r="D11687" s="17" t="s">
        <v>1407</v>
      </c>
      <c r="E11687" s="17" t="s">
        <v>3808</v>
      </c>
      <c r="F11687" s="17"/>
      <c r="G11687" s="18" t="n">
        <v>0</v>
      </c>
      <c r="H11687" s="18" t="n">
        <v>2163.92</v>
      </c>
      <c r="I11687" s="18" t="n">
        <f aca="false">((I11686 + G11687) - H11687)</f>
        <v>69565.6599999999</v>
      </c>
      <c r="J11687" s="18" t="n">
        <v>0</v>
      </c>
      <c r="K11687" s="19" t="n">
        <v>0</v>
      </c>
      <c r="L11687" s="17"/>
    </row>
    <row r="11688" s="11" customFormat="true" ht="10.95" hidden="false" customHeight="true" outlineLevel="0" collapsed="false">
      <c r="A11688" s="16" t="n">
        <v>45427</v>
      </c>
      <c r="B11688" s="17" t="s">
        <v>3861</v>
      </c>
      <c r="C11688" s="17" t="s">
        <v>3752</v>
      </c>
      <c r="D11688" s="17" t="s">
        <v>2895</v>
      </c>
      <c r="E11688" s="17" t="s">
        <v>2900</v>
      </c>
      <c r="F11688" s="17" t="s">
        <v>3141</v>
      </c>
      <c r="G11688" s="18" t="n">
        <v>1079.59</v>
      </c>
      <c r="H11688" s="18" t="n">
        <v>0</v>
      </c>
      <c r="I11688" s="18" t="n">
        <f aca="false">((I11687 + G11688) - H11688)</f>
        <v>70645.2499999999</v>
      </c>
      <c r="J11688" s="18" t="n">
        <v>0</v>
      </c>
      <c r="K11688" s="19" t="n">
        <v>0</v>
      </c>
      <c r="L11688" s="17"/>
    </row>
    <row r="11689" s="11" customFormat="true" ht="10.95" hidden="false" customHeight="true" outlineLevel="0" collapsed="false">
      <c r="A11689" s="16" t="n">
        <v>45427</v>
      </c>
      <c r="B11689" s="17" t="s">
        <v>3861</v>
      </c>
      <c r="C11689" s="17" t="s">
        <v>3752</v>
      </c>
      <c r="D11689" s="17" t="s">
        <v>2895</v>
      </c>
      <c r="E11689" s="17" t="s">
        <v>2900</v>
      </c>
      <c r="F11689" s="17" t="s">
        <v>3142</v>
      </c>
      <c r="G11689" s="18" t="n">
        <v>258.35</v>
      </c>
      <c r="H11689" s="18" t="n">
        <v>0</v>
      </c>
      <c r="I11689" s="18" t="n">
        <f aca="false">((I11688 + G11689) - H11689)</f>
        <v>70903.5999999999</v>
      </c>
      <c r="J11689" s="18" t="n">
        <v>0</v>
      </c>
      <c r="K11689" s="19" t="n">
        <v>0</v>
      </c>
      <c r="L11689" s="17"/>
    </row>
    <row r="11690" s="11" customFormat="true" ht="10.95" hidden="false" customHeight="true" outlineLevel="0" collapsed="false">
      <c r="A11690" s="16" t="n">
        <v>45427</v>
      </c>
      <c r="B11690" s="17" t="s">
        <v>3861</v>
      </c>
      <c r="C11690" s="17" t="s">
        <v>3752</v>
      </c>
      <c r="D11690" s="17" t="s">
        <v>2895</v>
      </c>
      <c r="E11690" s="17" t="s">
        <v>2900</v>
      </c>
      <c r="F11690" s="17" t="s">
        <v>3143</v>
      </c>
      <c r="G11690" s="18" t="n">
        <v>129.17</v>
      </c>
      <c r="H11690" s="18" t="n">
        <v>0</v>
      </c>
      <c r="I11690" s="18" t="n">
        <f aca="false">((I11689 + G11690) - H11690)</f>
        <v>71032.7699999999</v>
      </c>
      <c r="J11690" s="18" t="n">
        <v>0</v>
      </c>
      <c r="K11690" s="19" t="n">
        <v>0</v>
      </c>
      <c r="L11690" s="17"/>
    </row>
    <row r="11691" s="11" customFormat="true" ht="10.95" hidden="false" customHeight="true" outlineLevel="0" collapsed="false">
      <c r="A11691" s="16" t="n">
        <v>45427</v>
      </c>
      <c r="B11691" s="17" t="s">
        <v>3861</v>
      </c>
      <c r="C11691" s="17" t="s">
        <v>3752</v>
      </c>
      <c r="D11691" s="17" t="s">
        <v>2895</v>
      </c>
      <c r="E11691" s="17" t="s">
        <v>2900</v>
      </c>
      <c r="F11691" s="17" t="s">
        <v>3144</v>
      </c>
      <c r="G11691" s="18" t="n">
        <v>1687.33</v>
      </c>
      <c r="H11691" s="18" t="n">
        <v>0</v>
      </c>
      <c r="I11691" s="18" t="n">
        <f aca="false">((I11690 + G11691) - H11691)</f>
        <v>72720.0999999999</v>
      </c>
      <c r="J11691" s="18" t="n">
        <v>0</v>
      </c>
      <c r="K11691" s="19" t="n">
        <v>0</v>
      </c>
      <c r="L11691" s="17"/>
    </row>
    <row r="11692" s="11" customFormat="true" ht="10.95" hidden="false" customHeight="true" outlineLevel="0" collapsed="false">
      <c r="A11692" s="16" t="n">
        <v>45427</v>
      </c>
      <c r="B11692" s="17" t="s">
        <v>3861</v>
      </c>
      <c r="C11692" s="17" t="s">
        <v>3752</v>
      </c>
      <c r="D11692" s="17" t="s">
        <v>2895</v>
      </c>
      <c r="E11692" s="17" t="s">
        <v>2900</v>
      </c>
      <c r="F11692" s="17" t="s">
        <v>3145</v>
      </c>
      <c r="G11692" s="18" t="n">
        <v>2115.22</v>
      </c>
      <c r="H11692" s="18" t="n">
        <v>0</v>
      </c>
      <c r="I11692" s="18" t="n">
        <f aca="false">((I11691 + G11692) - H11692)</f>
        <v>74835.3199999999</v>
      </c>
      <c r="J11692" s="18" t="n">
        <v>0</v>
      </c>
      <c r="K11692" s="19" t="n">
        <v>0</v>
      </c>
      <c r="L11692" s="17"/>
    </row>
    <row r="11693" s="11" customFormat="true" ht="10.95" hidden="false" customHeight="true" outlineLevel="0" collapsed="false">
      <c r="A11693" s="16" t="n">
        <v>45427</v>
      </c>
      <c r="B11693" s="17" t="s">
        <v>3861</v>
      </c>
      <c r="C11693" s="17" t="s">
        <v>3752</v>
      </c>
      <c r="D11693" s="17" t="s">
        <v>1407</v>
      </c>
      <c r="E11693" s="17" t="s">
        <v>3728</v>
      </c>
      <c r="F11693" s="17"/>
      <c r="G11693" s="18" t="n">
        <v>0</v>
      </c>
      <c r="H11693" s="18" t="n">
        <v>3.18</v>
      </c>
      <c r="I11693" s="18" t="n">
        <f aca="false">((I11692 + G11693) - H11693)</f>
        <v>74832.1399999999</v>
      </c>
      <c r="J11693" s="18" t="n">
        <v>0</v>
      </c>
      <c r="K11693" s="19" t="n">
        <v>0</v>
      </c>
      <c r="L11693" s="17"/>
    </row>
    <row r="11694" s="11" customFormat="true" ht="10.95" hidden="false" customHeight="true" outlineLevel="0" collapsed="false">
      <c r="A11694" s="16" t="n">
        <v>45427</v>
      </c>
      <c r="B11694" s="17" t="s">
        <v>3861</v>
      </c>
      <c r="C11694" s="17" t="s">
        <v>3752</v>
      </c>
      <c r="D11694" s="17" t="s">
        <v>2903</v>
      </c>
      <c r="E11694" s="17" t="s">
        <v>3730</v>
      </c>
      <c r="F11694" s="17" t="s">
        <v>2730</v>
      </c>
      <c r="G11694" s="18" t="n">
        <v>0</v>
      </c>
      <c r="H11694" s="18" t="n">
        <v>317.9</v>
      </c>
      <c r="I11694" s="18" t="n">
        <f aca="false">((I11693 + G11694) - H11694)</f>
        <v>74514.24</v>
      </c>
      <c r="J11694" s="18" t="n">
        <v>0</v>
      </c>
      <c r="K11694" s="19" t="n">
        <v>0</v>
      </c>
      <c r="L11694" s="17"/>
    </row>
    <row r="11695" s="11" customFormat="true" ht="10.95" hidden="false" customHeight="true" outlineLevel="0" collapsed="false">
      <c r="A11695" s="16" t="n">
        <v>45427</v>
      </c>
      <c r="B11695" s="17" t="s">
        <v>3861</v>
      </c>
      <c r="C11695" s="17" t="s">
        <v>3752</v>
      </c>
      <c r="D11695" s="17" t="s">
        <v>1407</v>
      </c>
      <c r="E11695" s="17" t="s">
        <v>3728</v>
      </c>
      <c r="F11695" s="17"/>
      <c r="G11695" s="18" t="n">
        <v>0</v>
      </c>
      <c r="H11695" s="18" t="n">
        <v>3.18</v>
      </c>
      <c r="I11695" s="18" t="n">
        <f aca="false">((I11694 + G11695) - H11695)</f>
        <v>74511.06</v>
      </c>
      <c r="J11695" s="18" t="n">
        <v>0</v>
      </c>
      <c r="K11695" s="19" t="n">
        <v>0</v>
      </c>
      <c r="L11695" s="17"/>
    </row>
    <row r="11696" s="11" customFormat="true" ht="10.95" hidden="false" customHeight="true" outlineLevel="0" collapsed="false">
      <c r="A11696" s="16" t="n">
        <v>45427</v>
      </c>
      <c r="B11696" s="17" t="s">
        <v>3861</v>
      </c>
      <c r="C11696" s="17" t="s">
        <v>3752</v>
      </c>
      <c r="D11696" s="17" t="s">
        <v>2903</v>
      </c>
      <c r="E11696" s="17" t="s">
        <v>3730</v>
      </c>
      <c r="F11696" s="17" t="s">
        <v>2727</v>
      </c>
      <c r="G11696" s="18" t="n">
        <v>0</v>
      </c>
      <c r="H11696" s="18" t="n">
        <v>317.9</v>
      </c>
      <c r="I11696" s="18" t="n">
        <f aca="false">((I11695 + G11696) - H11696)</f>
        <v>74193.16</v>
      </c>
      <c r="J11696" s="18" t="n">
        <v>0</v>
      </c>
      <c r="K11696" s="19" t="n">
        <v>0</v>
      </c>
      <c r="L11696" s="17"/>
    </row>
    <row r="11697" s="11" customFormat="true" ht="10.95" hidden="false" customHeight="true" outlineLevel="0" collapsed="false">
      <c r="A11697" s="16" t="n">
        <v>45427</v>
      </c>
      <c r="B11697" s="17" t="s">
        <v>3861</v>
      </c>
      <c r="C11697" s="17" t="s">
        <v>3752</v>
      </c>
      <c r="D11697" s="17" t="s">
        <v>1407</v>
      </c>
      <c r="E11697" s="17" t="s">
        <v>3728</v>
      </c>
      <c r="F11697" s="17"/>
      <c r="G11697" s="18" t="n">
        <v>0</v>
      </c>
      <c r="H11697" s="18" t="n">
        <v>4.82</v>
      </c>
      <c r="I11697" s="18" t="n">
        <f aca="false">((I11696 + G11697) - H11697)</f>
        <v>74188.34</v>
      </c>
      <c r="J11697" s="18" t="n">
        <v>0</v>
      </c>
      <c r="K11697" s="19" t="n">
        <v>0</v>
      </c>
      <c r="L11697" s="17"/>
    </row>
    <row r="11698" s="11" customFormat="true" ht="10.95" hidden="false" customHeight="true" outlineLevel="0" collapsed="false">
      <c r="A11698" s="16" t="n">
        <v>45427</v>
      </c>
      <c r="B11698" s="17" t="s">
        <v>3861</v>
      </c>
      <c r="C11698" s="17" t="s">
        <v>3752</v>
      </c>
      <c r="D11698" s="17" t="s">
        <v>2903</v>
      </c>
      <c r="E11698" s="17" t="s">
        <v>3730</v>
      </c>
      <c r="F11698" s="17" t="s">
        <v>2729</v>
      </c>
      <c r="G11698" s="18" t="n">
        <v>0</v>
      </c>
      <c r="H11698" s="18" t="n">
        <v>481.8</v>
      </c>
      <c r="I11698" s="18" t="n">
        <f aca="false">((I11697 + G11698) - H11698)</f>
        <v>73706.54</v>
      </c>
      <c r="J11698" s="18" t="n">
        <v>0</v>
      </c>
      <c r="K11698" s="19" t="n">
        <v>0</v>
      </c>
      <c r="L11698" s="17"/>
    </row>
    <row r="11699" s="11" customFormat="true" ht="10.95" hidden="false" customHeight="true" outlineLevel="0" collapsed="false">
      <c r="A11699" s="16" t="n">
        <v>45428</v>
      </c>
      <c r="B11699" s="17" t="s">
        <v>3861</v>
      </c>
      <c r="C11699" s="17" t="s">
        <v>3752</v>
      </c>
      <c r="D11699" s="17" t="s">
        <v>2895</v>
      </c>
      <c r="E11699" s="17" t="s">
        <v>3457</v>
      </c>
      <c r="F11699" s="17" t="s">
        <v>4439</v>
      </c>
      <c r="G11699" s="18" t="n">
        <v>10087</v>
      </c>
      <c r="H11699" s="18" t="n">
        <v>0</v>
      </c>
      <c r="I11699" s="18" t="n">
        <f aca="false">((I11698 + G11699) - H11699)</f>
        <v>83793.54</v>
      </c>
      <c r="J11699" s="18" t="n">
        <v>0</v>
      </c>
      <c r="K11699" s="19" t="n">
        <v>0</v>
      </c>
      <c r="L11699" s="17"/>
    </row>
    <row r="11700" s="11" customFormat="true" ht="10.95" hidden="false" customHeight="true" outlineLevel="0" collapsed="false">
      <c r="A11700" s="16" t="n">
        <v>45428</v>
      </c>
      <c r="B11700" s="17" t="s">
        <v>3861</v>
      </c>
      <c r="C11700" s="17" t="s">
        <v>3752</v>
      </c>
      <c r="D11700" s="17" t="s">
        <v>2895</v>
      </c>
      <c r="E11700" s="17" t="s">
        <v>3457</v>
      </c>
      <c r="F11700" s="17" t="s">
        <v>4440</v>
      </c>
      <c r="G11700" s="18" t="n">
        <v>9999</v>
      </c>
      <c r="H11700" s="18" t="n">
        <v>0</v>
      </c>
      <c r="I11700" s="18" t="n">
        <f aca="false">((I11699 + G11700) - H11700)</f>
        <v>93792.54</v>
      </c>
      <c r="J11700" s="18" t="n">
        <v>0</v>
      </c>
      <c r="K11700" s="19" t="n">
        <v>0</v>
      </c>
      <c r="L11700" s="17"/>
    </row>
    <row r="11701" s="11" customFormat="true" ht="10.95" hidden="false" customHeight="true" outlineLevel="0" collapsed="false">
      <c r="A11701" s="16" t="n">
        <v>45428</v>
      </c>
      <c r="B11701" s="17" t="s">
        <v>3861</v>
      </c>
      <c r="C11701" s="17" t="s">
        <v>3752</v>
      </c>
      <c r="D11701" s="17" t="s">
        <v>2895</v>
      </c>
      <c r="E11701" s="17" t="s">
        <v>3410</v>
      </c>
      <c r="F11701" s="17" t="s">
        <v>4441</v>
      </c>
      <c r="G11701" s="18" t="n">
        <v>968</v>
      </c>
      <c r="H11701" s="18" t="n">
        <v>0</v>
      </c>
      <c r="I11701" s="18" t="n">
        <f aca="false">((I11700 + G11701) - H11701)</f>
        <v>94760.54</v>
      </c>
      <c r="J11701" s="18" t="n">
        <v>0</v>
      </c>
      <c r="K11701" s="19" t="n">
        <v>0</v>
      </c>
      <c r="L11701" s="17"/>
    </row>
    <row r="11702" s="11" customFormat="true" ht="10.95" hidden="false" customHeight="true" outlineLevel="0" collapsed="false">
      <c r="A11702" s="16" t="n">
        <v>45428</v>
      </c>
      <c r="B11702" s="17" t="s">
        <v>3861</v>
      </c>
      <c r="C11702" s="17" t="s">
        <v>3752</v>
      </c>
      <c r="D11702" s="17" t="s">
        <v>2903</v>
      </c>
      <c r="E11702" s="17" t="s">
        <v>3146</v>
      </c>
      <c r="F11702" s="17" t="s">
        <v>3147</v>
      </c>
      <c r="G11702" s="18" t="n">
        <v>0</v>
      </c>
      <c r="H11702" s="18" t="n">
        <v>2140.58</v>
      </c>
      <c r="I11702" s="18" t="n">
        <f aca="false">((I11701 + G11702) - H11702)</f>
        <v>92619.96</v>
      </c>
      <c r="J11702" s="18" t="n">
        <v>0</v>
      </c>
      <c r="K11702" s="19" t="n">
        <v>0</v>
      </c>
      <c r="L11702" s="17"/>
    </row>
    <row r="11703" s="11" customFormat="true" ht="10.95" hidden="false" customHeight="true" outlineLevel="0" collapsed="false">
      <c r="A11703" s="16" t="n">
        <v>45429</v>
      </c>
      <c r="B11703" s="17" t="s">
        <v>3861</v>
      </c>
      <c r="C11703" s="17" t="s">
        <v>3752</v>
      </c>
      <c r="D11703" s="17" t="s">
        <v>2895</v>
      </c>
      <c r="E11703" s="17" t="s">
        <v>2906</v>
      </c>
      <c r="F11703" s="17" t="s">
        <v>3148</v>
      </c>
      <c r="G11703" s="18" t="n">
        <v>3017.78</v>
      </c>
      <c r="H11703" s="18" t="n">
        <v>0</v>
      </c>
      <c r="I11703" s="18" t="n">
        <f aca="false">((I11702 + G11703) - H11703)</f>
        <v>95637.74</v>
      </c>
      <c r="J11703" s="18" t="n">
        <v>0</v>
      </c>
      <c r="K11703" s="19" t="n">
        <v>0</v>
      </c>
      <c r="L11703" s="17"/>
    </row>
    <row r="11704" s="11" customFormat="true" ht="10.95" hidden="false" customHeight="true" outlineLevel="0" collapsed="false">
      <c r="A11704" s="16" t="n">
        <v>45429</v>
      </c>
      <c r="B11704" s="17" t="s">
        <v>3861</v>
      </c>
      <c r="C11704" s="17" t="s">
        <v>3752</v>
      </c>
      <c r="D11704" s="17" t="s">
        <v>2895</v>
      </c>
      <c r="E11704" s="17" t="s">
        <v>2925</v>
      </c>
      <c r="F11704" s="17" t="s">
        <v>3149</v>
      </c>
      <c r="G11704" s="18" t="n">
        <v>311.96</v>
      </c>
      <c r="H11704" s="18" t="n">
        <v>0</v>
      </c>
      <c r="I11704" s="18" t="n">
        <f aca="false">((I11703 + G11704) - H11704)</f>
        <v>95949.7</v>
      </c>
      <c r="J11704" s="18" t="n">
        <v>0</v>
      </c>
      <c r="K11704" s="19" t="n">
        <v>0</v>
      </c>
      <c r="L11704" s="17"/>
    </row>
    <row r="11705" s="11" customFormat="true" ht="10.95" hidden="false" customHeight="true" outlineLevel="0" collapsed="false">
      <c r="A11705" s="16" t="n">
        <v>45429</v>
      </c>
      <c r="B11705" s="17" t="s">
        <v>3861</v>
      </c>
      <c r="C11705" s="17" t="s">
        <v>3752</v>
      </c>
      <c r="D11705" s="17" t="s">
        <v>2895</v>
      </c>
      <c r="E11705" s="17" t="s">
        <v>2925</v>
      </c>
      <c r="F11705" s="17" t="s">
        <v>3150</v>
      </c>
      <c r="G11705" s="18" t="n">
        <v>113.98</v>
      </c>
      <c r="H11705" s="18" t="n">
        <v>0</v>
      </c>
      <c r="I11705" s="18" t="n">
        <f aca="false">((I11704 + G11705) - H11705)</f>
        <v>96063.68</v>
      </c>
      <c r="J11705" s="18" t="n">
        <v>0</v>
      </c>
      <c r="K11705" s="19" t="n">
        <v>0</v>
      </c>
      <c r="L11705" s="17"/>
    </row>
    <row r="11706" s="11" customFormat="true" ht="10.95" hidden="false" customHeight="true" outlineLevel="0" collapsed="false">
      <c r="A11706" s="16" t="n">
        <v>45429</v>
      </c>
      <c r="B11706" s="17" t="s">
        <v>3861</v>
      </c>
      <c r="C11706" s="17" t="s">
        <v>3752</v>
      </c>
      <c r="D11706" s="17" t="s">
        <v>3753</v>
      </c>
      <c r="E11706" s="17" t="s">
        <v>4060</v>
      </c>
      <c r="F11706" s="17" t="s">
        <v>4061</v>
      </c>
      <c r="G11706" s="18" t="n">
        <v>0</v>
      </c>
      <c r="H11706" s="18" t="n">
        <v>7658.14</v>
      </c>
      <c r="I11706" s="18" t="n">
        <f aca="false">((I11705 + G11706) - H11706)</f>
        <v>88405.54</v>
      </c>
      <c r="J11706" s="18" t="n">
        <v>0</v>
      </c>
      <c r="K11706" s="19" t="n">
        <v>0</v>
      </c>
      <c r="L11706" s="17"/>
    </row>
    <row r="11707" s="11" customFormat="true" ht="10.95" hidden="false" customHeight="true" outlineLevel="0" collapsed="false">
      <c r="A11707" s="16" t="n">
        <v>45430</v>
      </c>
      <c r="B11707" s="17" t="s">
        <v>3861</v>
      </c>
      <c r="C11707" s="17" t="s">
        <v>3752</v>
      </c>
      <c r="D11707" s="17" t="s">
        <v>2903</v>
      </c>
      <c r="E11707" s="17" t="s">
        <v>3616</v>
      </c>
      <c r="F11707" s="17" t="s">
        <v>3322</v>
      </c>
      <c r="G11707" s="18" t="n">
        <v>0</v>
      </c>
      <c r="H11707" s="18" t="n">
        <v>582.55</v>
      </c>
      <c r="I11707" s="18" t="n">
        <f aca="false">((I11706 + G11707) - H11707)</f>
        <v>87822.99</v>
      </c>
      <c r="J11707" s="18" t="n">
        <v>0</v>
      </c>
      <c r="K11707" s="19" t="n">
        <v>0</v>
      </c>
      <c r="L11707" s="17"/>
    </row>
    <row r="11708" s="11" customFormat="true" ht="10.95" hidden="false" customHeight="true" outlineLevel="0" collapsed="false">
      <c r="A11708" s="16" t="n">
        <v>45430</v>
      </c>
      <c r="B11708" s="17" t="s">
        <v>3861</v>
      </c>
      <c r="C11708" s="17" t="s">
        <v>3752</v>
      </c>
      <c r="D11708" s="17" t="s">
        <v>1407</v>
      </c>
      <c r="E11708" s="17" t="s">
        <v>3900</v>
      </c>
      <c r="F11708" s="17"/>
      <c r="G11708" s="18" t="n">
        <v>0</v>
      </c>
      <c r="H11708" s="18" t="n">
        <v>16.99</v>
      </c>
      <c r="I11708" s="18" t="n">
        <f aca="false">((I11707 + G11708) - H11708)</f>
        <v>87805.9999999999</v>
      </c>
      <c r="J11708" s="18" t="n">
        <v>0</v>
      </c>
      <c r="K11708" s="19" t="n">
        <v>0</v>
      </c>
      <c r="L11708" s="17"/>
    </row>
    <row r="11709" s="11" customFormat="true" ht="10.95" hidden="false" customHeight="true" outlineLevel="0" collapsed="false">
      <c r="A11709" s="16" t="n">
        <v>45430</v>
      </c>
      <c r="B11709" s="17" t="s">
        <v>3861</v>
      </c>
      <c r="C11709" s="17" t="s">
        <v>3752</v>
      </c>
      <c r="D11709" s="17" t="s">
        <v>1407</v>
      </c>
      <c r="E11709" s="17" t="s">
        <v>3901</v>
      </c>
      <c r="F11709" s="17"/>
      <c r="G11709" s="18" t="n">
        <v>0</v>
      </c>
      <c r="H11709" s="18" t="n">
        <v>81.94</v>
      </c>
      <c r="I11709" s="18" t="n">
        <f aca="false">((I11708 + G11709) - H11709)</f>
        <v>87724.0599999999</v>
      </c>
      <c r="J11709" s="18" t="n">
        <v>0</v>
      </c>
      <c r="K11709" s="19" t="n">
        <v>0</v>
      </c>
      <c r="L11709" s="17"/>
    </row>
    <row r="11710" s="11" customFormat="true" ht="10.95" hidden="false" customHeight="true" outlineLevel="0" collapsed="false">
      <c r="A11710" s="16" t="n">
        <v>45430</v>
      </c>
      <c r="B11710" s="17" t="s">
        <v>3861</v>
      </c>
      <c r="C11710" s="17" t="s">
        <v>3752</v>
      </c>
      <c r="D11710" s="17" t="s">
        <v>1407</v>
      </c>
      <c r="E11710" s="17" t="s">
        <v>3902</v>
      </c>
      <c r="F11710" s="17"/>
      <c r="G11710" s="18" t="n">
        <v>0</v>
      </c>
      <c r="H11710" s="18" t="n">
        <v>272.5</v>
      </c>
      <c r="I11710" s="18" t="n">
        <f aca="false">((I11709 + G11710) - H11710)</f>
        <v>87451.5599999999</v>
      </c>
      <c r="J11710" s="18" t="n">
        <v>0</v>
      </c>
      <c r="K11710" s="19" t="n">
        <v>0</v>
      </c>
      <c r="L11710" s="17"/>
    </row>
    <row r="11711" s="11" customFormat="true" ht="10.95" hidden="false" customHeight="true" outlineLevel="0" collapsed="false">
      <c r="A11711" s="16" t="n">
        <v>45431</v>
      </c>
      <c r="B11711" s="17" t="s">
        <v>3861</v>
      </c>
      <c r="C11711" s="17" t="s">
        <v>3752</v>
      </c>
      <c r="D11711" s="17" t="s">
        <v>2903</v>
      </c>
      <c r="E11711" s="17" t="s">
        <v>3616</v>
      </c>
      <c r="F11711" s="17" t="s">
        <v>3324</v>
      </c>
      <c r="G11711" s="18" t="n">
        <v>0</v>
      </c>
      <c r="H11711" s="18" t="n">
        <v>3063.5</v>
      </c>
      <c r="I11711" s="18" t="n">
        <f aca="false">((I11710 + G11711) - H11711)</f>
        <v>84388.0599999999</v>
      </c>
      <c r="J11711" s="18" t="n">
        <v>0</v>
      </c>
      <c r="K11711" s="19" t="n">
        <v>0</v>
      </c>
      <c r="L11711" s="17"/>
    </row>
    <row r="11712" s="11" customFormat="true" ht="10.95" hidden="false" customHeight="true" outlineLevel="0" collapsed="false">
      <c r="A11712" s="16" t="n">
        <v>45432</v>
      </c>
      <c r="B11712" s="17" t="s">
        <v>3861</v>
      </c>
      <c r="C11712" s="17" t="s">
        <v>3752</v>
      </c>
      <c r="D11712" s="17" t="s">
        <v>2903</v>
      </c>
      <c r="E11712" s="17" t="s">
        <v>3645</v>
      </c>
      <c r="F11712" s="17" t="s">
        <v>1557</v>
      </c>
      <c r="G11712" s="18" t="n">
        <v>0</v>
      </c>
      <c r="H11712" s="18" t="n">
        <v>538.76</v>
      </c>
      <c r="I11712" s="18" t="n">
        <f aca="false">((I11711 + G11712) - H11712)</f>
        <v>83849.2999999999</v>
      </c>
      <c r="J11712" s="18" t="n">
        <v>0</v>
      </c>
      <c r="K11712" s="19" t="n">
        <v>0</v>
      </c>
      <c r="L11712" s="17"/>
    </row>
    <row r="11713" s="11" customFormat="true" ht="10.95" hidden="false" customHeight="true" outlineLevel="0" collapsed="false">
      <c r="A11713" s="16" t="n">
        <v>45433</v>
      </c>
      <c r="B11713" s="17" t="s">
        <v>3861</v>
      </c>
      <c r="C11713" s="17" t="s">
        <v>3752</v>
      </c>
      <c r="D11713" s="17" t="s">
        <v>1407</v>
      </c>
      <c r="E11713" s="17" t="s">
        <v>3878</v>
      </c>
      <c r="F11713" s="17"/>
      <c r="G11713" s="18" t="n">
        <v>0</v>
      </c>
      <c r="H11713" s="18" t="n">
        <v>1569.5</v>
      </c>
      <c r="I11713" s="18" t="n">
        <f aca="false">((I11712 + G11713) - H11713)</f>
        <v>82279.7999999999</v>
      </c>
      <c r="J11713" s="18" t="n">
        <v>0</v>
      </c>
      <c r="K11713" s="19" t="n">
        <v>0</v>
      </c>
      <c r="L11713" s="17"/>
    </row>
    <row r="11714" s="11" customFormat="true" ht="10.95" hidden="false" customHeight="true" outlineLevel="0" collapsed="false">
      <c r="A11714" s="16" t="n">
        <v>45434</v>
      </c>
      <c r="B11714" s="17" t="s">
        <v>3861</v>
      </c>
      <c r="C11714" s="17" t="s">
        <v>3752</v>
      </c>
      <c r="D11714" s="17" t="s">
        <v>2903</v>
      </c>
      <c r="E11714" s="17" t="s">
        <v>3644</v>
      </c>
      <c r="F11714" s="17" t="s">
        <v>2571</v>
      </c>
      <c r="G11714" s="18" t="n">
        <v>0</v>
      </c>
      <c r="H11714" s="18" t="n">
        <v>6.6</v>
      </c>
      <c r="I11714" s="18" t="n">
        <f aca="false">((I11713 + G11714) - H11714)</f>
        <v>82273.1999999999</v>
      </c>
      <c r="J11714" s="18" t="n">
        <v>0</v>
      </c>
      <c r="K11714" s="19" t="n">
        <v>0</v>
      </c>
      <c r="L11714" s="17"/>
    </row>
    <row r="11715" s="11" customFormat="true" ht="10.95" hidden="false" customHeight="true" outlineLevel="0" collapsed="false">
      <c r="A11715" s="16" t="n">
        <v>45434</v>
      </c>
      <c r="B11715" s="17" t="s">
        <v>3861</v>
      </c>
      <c r="C11715" s="17" t="s">
        <v>3752</v>
      </c>
      <c r="D11715" s="17" t="s">
        <v>2903</v>
      </c>
      <c r="E11715" s="17" t="s">
        <v>3644</v>
      </c>
      <c r="F11715" s="17" t="s">
        <v>2565</v>
      </c>
      <c r="G11715" s="18" t="n">
        <v>0</v>
      </c>
      <c r="H11715" s="18" t="n">
        <v>24.64</v>
      </c>
      <c r="I11715" s="18" t="n">
        <f aca="false">((I11714 + G11715) - H11715)</f>
        <v>82248.5599999999</v>
      </c>
      <c r="J11715" s="18" t="n">
        <v>0</v>
      </c>
      <c r="K11715" s="19" t="n">
        <v>0</v>
      </c>
      <c r="L11715" s="17"/>
    </row>
    <row r="11716" s="11" customFormat="true" ht="10.95" hidden="false" customHeight="true" outlineLevel="0" collapsed="false">
      <c r="A11716" s="16" t="n">
        <v>45434</v>
      </c>
      <c r="B11716" s="17" t="s">
        <v>3861</v>
      </c>
      <c r="C11716" s="17" t="s">
        <v>3752</v>
      </c>
      <c r="D11716" s="17" t="s">
        <v>2903</v>
      </c>
      <c r="E11716" s="17" t="s">
        <v>3644</v>
      </c>
      <c r="F11716" s="17" t="s">
        <v>2567</v>
      </c>
      <c r="G11716" s="18" t="n">
        <v>0</v>
      </c>
      <c r="H11716" s="18" t="n">
        <v>68.2</v>
      </c>
      <c r="I11716" s="18" t="n">
        <f aca="false">((I11715 + G11716) - H11716)</f>
        <v>82180.3599999999</v>
      </c>
      <c r="J11716" s="18" t="n">
        <v>0</v>
      </c>
      <c r="K11716" s="19" t="n">
        <v>0</v>
      </c>
      <c r="L11716" s="17"/>
    </row>
    <row r="11717" s="11" customFormat="true" ht="10.95" hidden="false" customHeight="true" outlineLevel="0" collapsed="false">
      <c r="A11717" s="16" t="n">
        <v>45434</v>
      </c>
      <c r="B11717" s="17" t="s">
        <v>3861</v>
      </c>
      <c r="C11717" s="17" t="s">
        <v>3752</v>
      </c>
      <c r="D11717" s="17" t="s">
        <v>1407</v>
      </c>
      <c r="E11717" s="17" t="s">
        <v>3881</v>
      </c>
      <c r="F11717" s="17"/>
      <c r="G11717" s="18" t="n">
        <v>0</v>
      </c>
      <c r="H11717" s="18" t="n">
        <v>140</v>
      </c>
      <c r="I11717" s="18" t="n">
        <f aca="false">((I11716 + G11717) - H11717)</f>
        <v>82040.3599999999</v>
      </c>
      <c r="J11717" s="18" t="n">
        <v>0</v>
      </c>
      <c r="K11717" s="19" t="n">
        <v>0</v>
      </c>
      <c r="L11717" s="17"/>
    </row>
    <row r="11718" s="11" customFormat="true" ht="10.95" hidden="false" customHeight="true" outlineLevel="0" collapsed="false">
      <c r="A11718" s="16" t="n">
        <v>45434</v>
      </c>
      <c r="B11718" s="17" t="s">
        <v>3861</v>
      </c>
      <c r="C11718" s="17" t="s">
        <v>3752</v>
      </c>
      <c r="D11718" s="17" t="s">
        <v>2903</v>
      </c>
      <c r="E11718" s="17" t="s">
        <v>3644</v>
      </c>
      <c r="F11718" s="17" t="s">
        <v>2569</v>
      </c>
      <c r="G11718" s="18" t="n">
        <v>0</v>
      </c>
      <c r="H11718" s="18" t="n">
        <v>219.78</v>
      </c>
      <c r="I11718" s="18" t="n">
        <f aca="false">((I11717 + G11718) - H11718)</f>
        <v>81820.5799999999</v>
      </c>
      <c r="J11718" s="18" t="n">
        <v>0</v>
      </c>
      <c r="K11718" s="19" t="n">
        <v>0</v>
      </c>
      <c r="L11718" s="17"/>
    </row>
    <row r="11719" s="11" customFormat="true" ht="10.95" hidden="false" customHeight="true" outlineLevel="0" collapsed="false">
      <c r="A11719" s="16" t="n">
        <v>45434</v>
      </c>
      <c r="B11719" s="17" t="s">
        <v>3861</v>
      </c>
      <c r="C11719" s="17" t="s">
        <v>3752</v>
      </c>
      <c r="D11719" s="17" t="s">
        <v>1407</v>
      </c>
      <c r="E11719" s="17" t="s">
        <v>4442</v>
      </c>
      <c r="F11719" s="17"/>
      <c r="G11719" s="18" t="n">
        <v>0</v>
      </c>
      <c r="H11719" s="18" t="n">
        <v>352.79</v>
      </c>
      <c r="I11719" s="18" t="n">
        <f aca="false">((I11718 + G11719) - H11719)</f>
        <v>81467.79</v>
      </c>
      <c r="J11719" s="18" t="n">
        <v>0</v>
      </c>
      <c r="K11719" s="19" t="n">
        <v>0</v>
      </c>
      <c r="L11719" s="17"/>
    </row>
    <row r="11720" s="11" customFormat="true" ht="10.95" hidden="false" customHeight="true" outlineLevel="0" collapsed="false">
      <c r="A11720" s="16" t="n">
        <v>45434</v>
      </c>
      <c r="B11720" s="17" t="s">
        <v>3861</v>
      </c>
      <c r="C11720" s="17" t="s">
        <v>3752</v>
      </c>
      <c r="D11720" s="17" t="s">
        <v>1407</v>
      </c>
      <c r="E11720" s="17" t="s">
        <v>3879</v>
      </c>
      <c r="F11720" s="17"/>
      <c r="G11720" s="18" t="n">
        <v>0</v>
      </c>
      <c r="H11720" s="18" t="n">
        <v>1571.5</v>
      </c>
      <c r="I11720" s="18" t="n">
        <f aca="false">((I11719 + G11720) - H11720)</f>
        <v>79896.29</v>
      </c>
      <c r="J11720" s="18" t="n">
        <v>0</v>
      </c>
      <c r="K11720" s="19" t="n">
        <v>0</v>
      </c>
      <c r="L11720" s="17"/>
    </row>
    <row r="11721" s="11" customFormat="true" ht="10.95" hidden="false" customHeight="true" outlineLevel="0" collapsed="false">
      <c r="A11721" s="16" t="n">
        <v>45434</v>
      </c>
      <c r="B11721" s="17" t="s">
        <v>3861</v>
      </c>
      <c r="C11721" s="17" t="s">
        <v>3752</v>
      </c>
      <c r="D11721" s="17" t="s">
        <v>1407</v>
      </c>
      <c r="E11721" s="17" t="s">
        <v>3880</v>
      </c>
      <c r="F11721" s="17"/>
      <c r="G11721" s="18" t="n">
        <v>0</v>
      </c>
      <c r="H11721" s="18" t="n">
        <v>1765.5</v>
      </c>
      <c r="I11721" s="18" t="n">
        <f aca="false">((I11720 + G11721) - H11721)</f>
        <v>78130.79</v>
      </c>
      <c r="J11721" s="18" t="n">
        <v>0</v>
      </c>
      <c r="K11721" s="19" t="n">
        <v>0</v>
      </c>
      <c r="L11721" s="17"/>
    </row>
    <row r="11722" s="11" customFormat="true" ht="10.95" hidden="false" customHeight="true" outlineLevel="0" collapsed="false">
      <c r="A11722" s="16" t="n">
        <v>45434</v>
      </c>
      <c r="B11722" s="17" t="s">
        <v>3861</v>
      </c>
      <c r="C11722" s="17" t="s">
        <v>3752</v>
      </c>
      <c r="D11722" s="17" t="s">
        <v>1407</v>
      </c>
      <c r="E11722" s="17" t="s">
        <v>3808</v>
      </c>
      <c r="F11722" s="17"/>
      <c r="G11722" s="18" t="n">
        <v>0</v>
      </c>
      <c r="H11722" s="18" t="n">
        <v>2163.92</v>
      </c>
      <c r="I11722" s="18" t="n">
        <f aca="false">((I11721 + G11722) - H11722)</f>
        <v>75966.87</v>
      </c>
      <c r="J11722" s="18" t="n">
        <v>0</v>
      </c>
      <c r="K11722" s="19" t="n">
        <v>0</v>
      </c>
      <c r="L11722" s="17"/>
    </row>
    <row r="11723" s="11" customFormat="true" ht="10.95" hidden="false" customHeight="true" outlineLevel="0" collapsed="false">
      <c r="A11723" s="16" t="n">
        <v>45435</v>
      </c>
      <c r="B11723" s="17" t="s">
        <v>3861</v>
      </c>
      <c r="C11723" s="17" t="s">
        <v>3752</v>
      </c>
      <c r="D11723" s="17" t="s">
        <v>2895</v>
      </c>
      <c r="E11723" s="17" t="s">
        <v>3088</v>
      </c>
      <c r="F11723" s="17" t="s">
        <v>3151</v>
      </c>
      <c r="G11723" s="18" t="n">
        <v>216.21</v>
      </c>
      <c r="H11723" s="18" t="n">
        <v>0</v>
      </c>
      <c r="I11723" s="18" t="n">
        <f aca="false">((I11722 + G11723) - H11723)</f>
        <v>76183.08</v>
      </c>
      <c r="J11723" s="18" t="n">
        <v>0</v>
      </c>
      <c r="K11723" s="19" t="n">
        <v>0</v>
      </c>
      <c r="L11723" s="17"/>
    </row>
    <row r="11724" s="11" customFormat="true" ht="10.95" hidden="false" customHeight="true" outlineLevel="0" collapsed="false">
      <c r="A11724" s="16" t="n">
        <v>45435</v>
      </c>
      <c r="B11724" s="17" t="s">
        <v>3861</v>
      </c>
      <c r="C11724" s="17" t="s">
        <v>3752</v>
      </c>
      <c r="D11724" s="17" t="s">
        <v>2895</v>
      </c>
      <c r="E11724" s="17" t="s">
        <v>3453</v>
      </c>
      <c r="F11724" s="17" t="s">
        <v>4443</v>
      </c>
      <c r="G11724" s="18" t="n">
        <v>93.5</v>
      </c>
      <c r="H11724" s="18" t="n">
        <v>0</v>
      </c>
      <c r="I11724" s="18" t="n">
        <f aca="false">((I11723 + G11724) - H11724)</f>
        <v>76276.58</v>
      </c>
      <c r="J11724" s="18" t="n">
        <v>0</v>
      </c>
      <c r="K11724" s="19" t="n">
        <v>0</v>
      </c>
      <c r="L11724" s="17"/>
    </row>
    <row r="11725" s="11" customFormat="true" ht="10.95" hidden="false" customHeight="true" outlineLevel="0" collapsed="false">
      <c r="A11725" s="16" t="n">
        <v>45435</v>
      </c>
      <c r="B11725" s="17" t="s">
        <v>3861</v>
      </c>
      <c r="C11725" s="17" t="s">
        <v>3752</v>
      </c>
      <c r="D11725" s="17" t="s">
        <v>1407</v>
      </c>
      <c r="E11725" s="17" t="s">
        <v>3907</v>
      </c>
      <c r="F11725" s="17"/>
      <c r="G11725" s="18" t="n">
        <v>0</v>
      </c>
      <c r="H11725" s="18" t="n">
        <v>19.49</v>
      </c>
      <c r="I11725" s="18" t="n">
        <f aca="false">((I11724 + G11725) - H11725)</f>
        <v>76257.09</v>
      </c>
      <c r="J11725" s="18" t="n">
        <v>0</v>
      </c>
      <c r="K11725" s="19" t="n">
        <v>0</v>
      </c>
      <c r="L11725" s="17"/>
    </row>
    <row r="11726" s="11" customFormat="true" ht="10.95" hidden="false" customHeight="true" outlineLevel="0" collapsed="false">
      <c r="A11726" s="16" t="n">
        <v>45435</v>
      </c>
      <c r="B11726" s="17" t="s">
        <v>3861</v>
      </c>
      <c r="C11726" s="17" t="s">
        <v>3752</v>
      </c>
      <c r="D11726" s="17" t="s">
        <v>2903</v>
      </c>
      <c r="E11726" s="17" t="s">
        <v>3657</v>
      </c>
      <c r="F11726" s="17" t="s">
        <v>2573</v>
      </c>
      <c r="G11726" s="18" t="n">
        <v>0</v>
      </c>
      <c r="H11726" s="18" t="n">
        <v>78.88</v>
      </c>
      <c r="I11726" s="18" t="n">
        <f aca="false">((I11725 + G11726) - H11726)</f>
        <v>76178.21</v>
      </c>
      <c r="J11726" s="18" t="n">
        <v>0</v>
      </c>
      <c r="K11726" s="19" t="n">
        <v>0</v>
      </c>
      <c r="L11726" s="17"/>
    </row>
    <row r="11727" s="11" customFormat="true" ht="10.95" hidden="false" customHeight="true" outlineLevel="0" collapsed="false">
      <c r="A11727" s="16" t="n">
        <v>45436</v>
      </c>
      <c r="B11727" s="17" t="s">
        <v>3861</v>
      </c>
      <c r="C11727" s="17" t="s">
        <v>3752</v>
      </c>
      <c r="D11727" s="17" t="s">
        <v>1407</v>
      </c>
      <c r="E11727" s="17" t="s">
        <v>3862</v>
      </c>
      <c r="F11727" s="17" t="s">
        <v>1374</v>
      </c>
      <c r="G11727" s="18" t="n">
        <v>0</v>
      </c>
      <c r="H11727" s="18" t="n">
        <v>62.16</v>
      </c>
      <c r="I11727" s="18" t="n">
        <f aca="false">((I11726 + G11727) - H11727)</f>
        <v>76116.0499999999</v>
      </c>
      <c r="J11727" s="18" t="n">
        <v>0</v>
      </c>
      <c r="K11727" s="19" t="n">
        <v>0</v>
      </c>
      <c r="L11727" s="17"/>
    </row>
    <row r="11728" s="11" customFormat="true" ht="10.95" hidden="false" customHeight="true" outlineLevel="0" collapsed="false">
      <c r="A11728" s="16" t="n">
        <v>45436</v>
      </c>
      <c r="B11728" s="17" t="s">
        <v>3861</v>
      </c>
      <c r="C11728" s="17" t="s">
        <v>3752</v>
      </c>
      <c r="D11728" s="17" t="s">
        <v>1276</v>
      </c>
      <c r="E11728" s="17" t="s">
        <v>3533</v>
      </c>
      <c r="F11728" s="17" t="s">
        <v>1374</v>
      </c>
      <c r="G11728" s="18" t="n">
        <v>31.01</v>
      </c>
      <c r="H11728" s="18" t="n">
        <v>0</v>
      </c>
      <c r="I11728" s="18" t="n">
        <f aca="false">((I11727 + G11728) - H11728)</f>
        <v>76147.0599999999</v>
      </c>
      <c r="J11728" s="18" t="n">
        <v>0</v>
      </c>
      <c r="K11728" s="19" t="n">
        <v>0</v>
      </c>
      <c r="L11728" s="17"/>
    </row>
    <row r="11729" s="11" customFormat="true" ht="10.95" hidden="false" customHeight="true" outlineLevel="0" collapsed="false">
      <c r="A11729" s="16" t="n">
        <v>45436</v>
      </c>
      <c r="B11729" s="17" t="s">
        <v>3861</v>
      </c>
      <c r="C11729" s="17" t="s">
        <v>3752</v>
      </c>
      <c r="D11729" s="17" t="s">
        <v>2895</v>
      </c>
      <c r="E11729" s="17" t="s">
        <v>3127</v>
      </c>
      <c r="F11729" s="17" t="s">
        <v>1374</v>
      </c>
      <c r="G11729" s="18" t="n">
        <v>1737.05</v>
      </c>
      <c r="H11729" s="18" t="n">
        <v>0</v>
      </c>
      <c r="I11729" s="18" t="n">
        <f aca="false">((I11728 + G11729) - H11729)</f>
        <v>77884.1099999999</v>
      </c>
      <c r="J11729" s="18" t="n">
        <v>0</v>
      </c>
      <c r="K11729" s="19" t="n">
        <v>0</v>
      </c>
      <c r="L11729" s="17"/>
    </row>
    <row r="11730" s="11" customFormat="true" ht="10.95" hidden="false" customHeight="true" outlineLevel="0" collapsed="false">
      <c r="A11730" s="16" t="n">
        <v>45436</v>
      </c>
      <c r="B11730" s="17" t="s">
        <v>3861</v>
      </c>
      <c r="C11730" s="17" t="s">
        <v>3752</v>
      </c>
      <c r="D11730" s="17" t="s">
        <v>2903</v>
      </c>
      <c r="E11730" s="17" t="s">
        <v>3637</v>
      </c>
      <c r="F11730" s="17" t="s">
        <v>2725</v>
      </c>
      <c r="G11730" s="18" t="n">
        <v>0</v>
      </c>
      <c r="H11730" s="18" t="n">
        <v>104.95</v>
      </c>
      <c r="I11730" s="18" t="n">
        <f aca="false">((I11729 + G11730) - H11730)</f>
        <v>77779.16</v>
      </c>
      <c r="J11730" s="18" t="n">
        <v>0</v>
      </c>
      <c r="K11730" s="19" t="n">
        <v>0</v>
      </c>
      <c r="L11730" s="17"/>
    </row>
    <row r="11731" s="11" customFormat="true" ht="10.95" hidden="false" customHeight="true" outlineLevel="0" collapsed="false">
      <c r="A11731" s="16" t="n">
        <v>45436</v>
      </c>
      <c r="B11731" s="17" t="s">
        <v>3861</v>
      </c>
      <c r="C11731" s="17" t="s">
        <v>3752</v>
      </c>
      <c r="D11731" s="17" t="s">
        <v>1407</v>
      </c>
      <c r="E11731" s="17" t="s">
        <v>3642</v>
      </c>
      <c r="F11731" s="17"/>
      <c r="G11731" s="18" t="n">
        <v>0</v>
      </c>
      <c r="H11731" s="18" t="n">
        <v>151.36</v>
      </c>
      <c r="I11731" s="18" t="n">
        <f aca="false">((I11730 + G11731) - H11731)</f>
        <v>77627.7999999999</v>
      </c>
      <c r="J11731" s="18" t="n">
        <v>0</v>
      </c>
      <c r="K11731" s="19" t="n">
        <v>0</v>
      </c>
      <c r="L11731" s="17"/>
    </row>
    <row r="11732" s="11" customFormat="true" ht="10.95" hidden="false" customHeight="true" outlineLevel="0" collapsed="false">
      <c r="A11732" s="16" t="n">
        <v>45436</v>
      </c>
      <c r="B11732" s="17" t="s">
        <v>3861</v>
      </c>
      <c r="C11732" s="17" t="s">
        <v>3752</v>
      </c>
      <c r="D11732" s="17" t="s">
        <v>2903</v>
      </c>
      <c r="E11732" s="17" t="s">
        <v>3732</v>
      </c>
      <c r="F11732" s="17" t="s">
        <v>2734</v>
      </c>
      <c r="G11732" s="18" t="n">
        <v>0</v>
      </c>
      <c r="H11732" s="18" t="n">
        <v>59</v>
      </c>
      <c r="I11732" s="18" t="n">
        <f aca="false">((I11731 + G11732) - H11732)</f>
        <v>77568.7999999999</v>
      </c>
      <c r="J11732" s="18" t="n">
        <v>0</v>
      </c>
      <c r="K11732" s="19" t="n">
        <v>0</v>
      </c>
      <c r="L11732" s="17"/>
    </row>
    <row r="11733" s="11" customFormat="true" ht="10.95" hidden="false" customHeight="true" outlineLevel="0" collapsed="false">
      <c r="A11733" s="16" t="n">
        <v>45437</v>
      </c>
      <c r="B11733" s="17" t="s">
        <v>3861</v>
      </c>
      <c r="C11733" s="17" t="s">
        <v>3752</v>
      </c>
      <c r="D11733" s="17" t="s">
        <v>1407</v>
      </c>
      <c r="E11733" s="17" t="s">
        <v>3770</v>
      </c>
      <c r="F11733" s="17"/>
      <c r="G11733" s="18" t="n">
        <v>0</v>
      </c>
      <c r="H11733" s="18" t="n">
        <v>22.99</v>
      </c>
      <c r="I11733" s="18" t="n">
        <f aca="false">((I11732 + G11733) - H11733)</f>
        <v>77545.8099999999</v>
      </c>
      <c r="J11733" s="18" t="n">
        <v>0</v>
      </c>
      <c r="K11733" s="19" t="n">
        <v>0</v>
      </c>
      <c r="L11733" s="17"/>
    </row>
    <row r="11734" s="11" customFormat="true" ht="10.95" hidden="false" customHeight="true" outlineLevel="0" collapsed="false">
      <c r="A11734" s="16" t="n">
        <v>45437</v>
      </c>
      <c r="B11734" s="17" t="s">
        <v>3861</v>
      </c>
      <c r="C11734" s="17" t="s">
        <v>3752</v>
      </c>
      <c r="D11734" s="17" t="s">
        <v>2903</v>
      </c>
      <c r="E11734" s="17" t="s">
        <v>3157</v>
      </c>
      <c r="F11734" s="17" t="s">
        <v>2575</v>
      </c>
      <c r="G11734" s="18" t="n">
        <v>0</v>
      </c>
      <c r="H11734" s="18" t="n">
        <v>49</v>
      </c>
      <c r="I11734" s="18" t="n">
        <f aca="false">((I11733 + G11734) - H11734)</f>
        <v>77496.8099999999</v>
      </c>
      <c r="J11734" s="18" t="n">
        <v>0</v>
      </c>
      <c r="K11734" s="19" t="n">
        <v>0</v>
      </c>
      <c r="L11734" s="17"/>
    </row>
    <row r="11735" s="11" customFormat="true" ht="10.95" hidden="false" customHeight="true" outlineLevel="0" collapsed="false">
      <c r="A11735" s="16" t="n">
        <v>45437</v>
      </c>
      <c r="B11735" s="17" t="s">
        <v>3861</v>
      </c>
      <c r="C11735" s="17" t="s">
        <v>3752</v>
      </c>
      <c r="D11735" s="17" t="s">
        <v>1407</v>
      </c>
      <c r="E11735" s="17" t="s">
        <v>3720</v>
      </c>
      <c r="F11735" s="17"/>
      <c r="G11735" s="18" t="n">
        <v>0</v>
      </c>
      <c r="H11735" s="18" t="n">
        <v>135</v>
      </c>
      <c r="I11735" s="18" t="n">
        <f aca="false">((I11734 + G11735) - H11735)</f>
        <v>77361.8099999999</v>
      </c>
      <c r="J11735" s="18" t="n">
        <v>0</v>
      </c>
      <c r="K11735" s="19" t="n">
        <v>0</v>
      </c>
      <c r="L11735" s="17"/>
    </row>
    <row r="11736" s="11" customFormat="true" ht="10.95" hidden="false" customHeight="true" outlineLevel="0" collapsed="false">
      <c r="A11736" s="16" t="n">
        <v>45437</v>
      </c>
      <c r="B11736" s="17" t="s">
        <v>3861</v>
      </c>
      <c r="C11736" s="17" t="s">
        <v>3752</v>
      </c>
      <c r="D11736" s="17" t="s">
        <v>1407</v>
      </c>
      <c r="E11736" s="17" t="s">
        <v>4444</v>
      </c>
      <c r="F11736" s="17"/>
      <c r="G11736" s="18" t="n">
        <v>0</v>
      </c>
      <c r="H11736" s="18" t="n">
        <v>153.42</v>
      </c>
      <c r="I11736" s="18" t="n">
        <f aca="false">((I11735 + G11736) - H11736)</f>
        <v>77208.3899999999</v>
      </c>
      <c r="J11736" s="18" t="n">
        <v>0</v>
      </c>
      <c r="K11736" s="19" t="n">
        <v>0</v>
      </c>
      <c r="L11736" s="17"/>
    </row>
    <row r="11737" s="11" customFormat="true" ht="10.95" hidden="false" customHeight="true" outlineLevel="0" collapsed="false">
      <c r="A11737" s="16" t="n">
        <v>45440</v>
      </c>
      <c r="B11737" s="17" t="s">
        <v>3861</v>
      </c>
      <c r="C11737" s="17" t="s">
        <v>3752</v>
      </c>
      <c r="D11737" s="17" t="s">
        <v>2895</v>
      </c>
      <c r="E11737" s="17" t="s">
        <v>3057</v>
      </c>
      <c r="F11737" s="17" t="s">
        <v>3152</v>
      </c>
      <c r="G11737" s="18" t="n">
        <v>2641.35</v>
      </c>
      <c r="H11737" s="18" t="n">
        <v>0</v>
      </c>
      <c r="I11737" s="18" t="n">
        <f aca="false">((I11736 + G11737) - H11737)</f>
        <v>79849.74</v>
      </c>
      <c r="J11737" s="18" t="n">
        <v>0</v>
      </c>
      <c r="K11737" s="19" t="n">
        <v>0</v>
      </c>
      <c r="L11737" s="17"/>
    </row>
    <row r="11738" s="11" customFormat="true" ht="10.95" hidden="false" customHeight="true" outlineLevel="0" collapsed="false">
      <c r="A11738" s="16" t="n">
        <v>45440</v>
      </c>
      <c r="B11738" s="17" t="s">
        <v>3861</v>
      </c>
      <c r="C11738" s="17" t="s">
        <v>3752</v>
      </c>
      <c r="D11738" s="17" t="s">
        <v>2895</v>
      </c>
      <c r="E11738" s="17" t="s">
        <v>3498</v>
      </c>
      <c r="F11738" s="17" t="s">
        <v>4445</v>
      </c>
      <c r="G11738" s="18" t="n">
        <v>561</v>
      </c>
      <c r="H11738" s="18" t="n">
        <v>0</v>
      </c>
      <c r="I11738" s="18" t="n">
        <f aca="false">((I11737 + G11738) - H11738)</f>
        <v>80410.74</v>
      </c>
      <c r="J11738" s="18" t="n">
        <v>0</v>
      </c>
      <c r="K11738" s="19" t="n">
        <v>0</v>
      </c>
      <c r="L11738" s="17"/>
    </row>
    <row r="11739" s="11" customFormat="true" ht="10.95" hidden="false" customHeight="true" outlineLevel="0" collapsed="false">
      <c r="A11739" s="16" t="n">
        <v>45440</v>
      </c>
      <c r="B11739" s="17" t="s">
        <v>3861</v>
      </c>
      <c r="C11739" s="17" t="s">
        <v>3752</v>
      </c>
      <c r="D11739" s="17" t="s">
        <v>3814</v>
      </c>
      <c r="E11739" s="17" t="s">
        <v>3815</v>
      </c>
      <c r="F11739" s="17"/>
      <c r="G11739" s="18" t="n">
        <v>0</v>
      </c>
      <c r="H11739" s="18" t="n">
        <v>0.62</v>
      </c>
      <c r="I11739" s="18" t="n">
        <f aca="false">((I11738 + G11739) - H11739)</f>
        <v>80410.12</v>
      </c>
      <c r="J11739" s="18" t="n">
        <v>0</v>
      </c>
      <c r="K11739" s="19" t="n">
        <v>0</v>
      </c>
      <c r="L11739" s="17"/>
    </row>
    <row r="11740" s="11" customFormat="true" ht="10.95" hidden="false" customHeight="true" outlineLevel="0" collapsed="false">
      <c r="A11740" s="16" t="n">
        <v>45440</v>
      </c>
      <c r="B11740" s="17" t="s">
        <v>3861</v>
      </c>
      <c r="C11740" s="17" t="s">
        <v>3752</v>
      </c>
      <c r="D11740" s="17" t="s">
        <v>1407</v>
      </c>
      <c r="E11740" s="17" t="s">
        <v>2747</v>
      </c>
      <c r="F11740" s="17"/>
      <c r="G11740" s="18" t="n">
        <v>0</v>
      </c>
      <c r="H11740" s="18" t="n">
        <v>39</v>
      </c>
      <c r="I11740" s="18" t="n">
        <f aca="false">((I11739 + G11740) - H11740)</f>
        <v>80371.12</v>
      </c>
      <c r="J11740" s="18" t="n">
        <v>0</v>
      </c>
      <c r="K11740" s="19" t="n">
        <v>0</v>
      </c>
      <c r="L11740" s="17"/>
    </row>
    <row r="11741" s="11" customFormat="true" ht="10.95" hidden="false" customHeight="true" outlineLevel="0" collapsed="false">
      <c r="A11741" s="16" t="n">
        <v>45440</v>
      </c>
      <c r="B11741" s="17" t="s">
        <v>3861</v>
      </c>
      <c r="C11741" s="17" t="s">
        <v>3752</v>
      </c>
      <c r="D11741" s="17" t="s">
        <v>1407</v>
      </c>
      <c r="E11741" s="17" t="s">
        <v>3967</v>
      </c>
      <c r="F11741" s="17"/>
      <c r="G11741" s="18" t="n">
        <v>0</v>
      </c>
      <c r="H11741" s="18" t="n">
        <v>48</v>
      </c>
      <c r="I11741" s="18" t="n">
        <f aca="false">((I11740 + G11741) - H11741)</f>
        <v>80323.12</v>
      </c>
      <c r="J11741" s="18" t="n">
        <v>0</v>
      </c>
      <c r="K11741" s="19" t="n">
        <v>0</v>
      </c>
      <c r="L11741" s="17"/>
    </row>
    <row r="11742" s="11" customFormat="true" ht="10.95" hidden="false" customHeight="true" outlineLevel="0" collapsed="false">
      <c r="A11742" s="16" t="n">
        <v>45440</v>
      </c>
      <c r="B11742" s="17" t="s">
        <v>3861</v>
      </c>
      <c r="C11742" s="17" t="s">
        <v>3752</v>
      </c>
      <c r="D11742" s="17" t="s">
        <v>1407</v>
      </c>
      <c r="E11742" s="17" t="s">
        <v>3976</v>
      </c>
      <c r="F11742" s="17"/>
      <c r="G11742" s="18" t="n">
        <v>0</v>
      </c>
      <c r="H11742" s="18" t="n">
        <v>189.05</v>
      </c>
      <c r="I11742" s="18" t="n">
        <f aca="false">((I11741 + G11742) - H11742)</f>
        <v>80134.07</v>
      </c>
      <c r="J11742" s="18" t="n">
        <v>0</v>
      </c>
      <c r="K11742" s="19" t="n">
        <v>0</v>
      </c>
      <c r="L11742" s="17"/>
    </row>
    <row r="11743" s="11" customFormat="true" ht="10.95" hidden="false" customHeight="true" outlineLevel="0" collapsed="false">
      <c r="A11743" s="16" t="n">
        <v>45440</v>
      </c>
      <c r="B11743" s="17" t="s">
        <v>3861</v>
      </c>
      <c r="C11743" s="17" t="s">
        <v>3752</v>
      </c>
      <c r="D11743" s="17" t="s">
        <v>1407</v>
      </c>
      <c r="E11743" s="17" t="s">
        <v>3878</v>
      </c>
      <c r="F11743" s="17"/>
      <c r="G11743" s="18" t="n">
        <v>0</v>
      </c>
      <c r="H11743" s="18" t="n">
        <v>1569.5</v>
      </c>
      <c r="I11743" s="18" t="n">
        <f aca="false">((I11742 + G11743) - H11743)</f>
        <v>78564.57</v>
      </c>
      <c r="J11743" s="18" t="n">
        <v>0</v>
      </c>
      <c r="K11743" s="19" t="n">
        <v>0</v>
      </c>
      <c r="L11743" s="17"/>
    </row>
    <row r="11744" s="11" customFormat="true" ht="10.95" hidden="false" customHeight="true" outlineLevel="0" collapsed="false">
      <c r="A11744" s="16" t="n">
        <v>45440</v>
      </c>
      <c r="B11744" s="17" t="s">
        <v>3861</v>
      </c>
      <c r="C11744" s="17" t="s">
        <v>3752</v>
      </c>
      <c r="D11744" s="17" t="s">
        <v>2903</v>
      </c>
      <c r="E11744" s="17" t="s">
        <v>3721</v>
      </c>
      <c r="F11744" s="17" t="s">
        <v>2737</v>
      </c>
      <c r="G11744" s="18" t="n">
        <v>0</v>
      </c>
      <c r="H11744" s="18" t="n">
        <v>2190.71</v>
      </c>
      <c r="I11744" s="18" t="n">
        <f aca="false">((I11743 + G11744) - H11744)</f>
        <v>76373.8599999999</v>
      </c>
      <c r="J11744" s="18" t="n">
        <v>0</v>
      </c>
      <c r="K11744" s="19" t="n">
        <v>0</v>
      </c>
      <c r="L11744" s="17"/>
    </row>
    <row r="11745" s="11" customFormat="true" ht="10.95" hidden="false" customHeight="true" outlineLevel="0" collapsed="false">
      <c r="A11745" s="16" t="n">
        <v>45441</v>
      </c>
      <c r="B11745" s="17" t="s">
        <v>3861</v>
      </c>
      <c r="C11745" s="17" t="s">
        <v>3752</v>
      </c>
      <c r="D11745" s="17" t="s">
        <v>2895</v>
      </c>
      <c r="E11745" s="17" t="s">
        <v>3153</v>
      </c>
      <c r="F11745" s="17" t="s">
        <v>3154</v>
      </c>
      <c r="G11745" s="18" t="n">
        <v>10792.57</v>
      </c>
      <c r="H11745" s="18" t="n">
        <v>0</v>
      </c>
      <c r="I11745" s="18" t="n">
        <f aca="false">((I11744 + G11745) - H11745)</f>
        <v>87166.4299999999</v>
      </c>
      <c r="J11745" s="18" t="n">
        <v>0</v>
      </c>
      <c r="K11745" s="19" t="n">
        <v>0</v>
      </c>
      <c r="L11745" s="17"/>
    </row>
    <row r="11746" s="11" customFormat="true" ht="10.95" hidden="false" customHeight="true" outlineLevel="0" collapsed="false">
      <c r="A11746" s="16" t="n">
        <v>45441</v>
      </c>
      <c r="B11746" s="17" t="s">
        <v>3861</v>
      </c>
      <c r="C11746" s="17" t="s">
        <v>3752</v>
      </c>
      <c r="D11746" s="17" t="s">
        <v>2895</v>
      </c>
      <c r="E11746" s="17" t="s">
        <v>3505</v>
      </c>
      <c r="F11746" s="17" t="s">
        <v>4446</v>
      </c>
      <c r="G11746" s="18" t="n">
        <v>157.3</v>
      </c>
      <c r="H11746" s="18" t="n">
        <v>0</v>
      </c>
      <c r="I11746" s="18" t="n">
        <f aca="false">((I11745 + G11746) - H11746)</f>
        <v>87323.7299999999</v>
      </c>
      <c r="J11746" s="18" t="n">
        <v>0</v>
      </c>
      <c r="K11746" s="19" t="n">
        <v>0</v>
      </c>
      <c r="L11746" s="17"/>
    </row>
    <row r="11747" s="11" customFormat="true" ht="10.95" hidden="false" customHeight="true" outlineLevel="0" collapsed="false">
      <c r="A11747" s="16" t="n">
        <v>45441</v>
      </c>
      <c r="B11747" s="17" t="s">
        <v>3861</v>
      </c>
      <c r="C11747" s="17" t="s">
        <v>3752</v>
      </c>
      <c r="D11747" s="17" t="s">
        <v>2895</v>
      </c>
      <c r="E11747" s="17" t="s">
        <v>3155</v>
      </c>
      <c r="F11747" s="17" t="s">
        <v>3156</v>
      </c>
      <c r="G11747" s="18" t="n">
        <v>6096.4</v>
      </c>
      <c r="H11747" s="18" t="n">
        <v>0</v>
      </c>
      <c r="I11747" s="18" t="n">
        <f aca="false">((I11746 + G11747) - H11747)</f>
        <v>93420.1299999999</v>
      </c>
      <c r="J11747" s="18" t="n">
        <v>0</v>
      </c>
      <c r="K11747" s="19" t="n">
        <v>0</v>
      </c>
      <c r="L11747" s="17"/>
    </row>
    <row r="11748" s="11" customFormat="true" ht="10.95" hidden="false" customHeight="true" outlineLevel="0" collapsed="false">
      <c r="A11748" s="16" t="n">
        <v>45441</v>
      </c>
      <c r="B11748" s="17" t="s">
        <v>3861</v>
      </c>
      <c r="C11748" s="17" t="s">
        <v>3752</v>
      </c>
      <c r="D11748" s="17" t="s">
        <v>2895</v>
      </c>
      <c r="E11748" s="17" t="s">
        <v>3534</v>
      </c>
      <c r="F11748" s="17" t="s">
        <v>4447</v>
      </c>
      <c r="G11748" s="18" t="n">
        <v>114.95</v>
      </c>
      <c r="H11748" s="18" t="n">
        <v>0</v>
      </c>
      <c r="I11748" s="18" t="n">
        <f aca="false">((I11747 + G11748) - H11748)</f>
        <v>93535.0799999999</v>
      </c>
      <c r="J11748" s="18" t="n">
        <v>0</v>
      </c>
      <c r="K11748" s="19" t="n">
        <v>0</v>
      </c>
      <c r="L11748" s="17"/>
    </row>
    <row r="11749" s="11" customFormat="true" ht="10.95" hidden="false" customHeight="true" outlineLevel="0" collapsed="false">
      <c r="A11749" s="16" t="n">
        <v>45441</v>
      </c>
      <c r="B11749" s="17" t="s">
        <v>3861</v>
      </c>
      <c r="C11749" s="17" t="s">
        <v>3752</v>
      </c>
      <c r="D11749" s="17" t="s">
        <v>1407</v>
      </c>
      <c r="E11749" s="17" t="s">
        <v>3881</v>
      </c>
      <c r="F11749" s="17"/>
      <c r="G11749" s="18" t="n">
        <v>0</v>
      </c>
      <c r="H11749" s="18" t="n">
        <v>140</v>
      </c>
      <c r="I11749" s="18" t="n">
        <f aca="false">((I11748 + G11749) - H11749)</f>
        <v>93395.0799999999</v>
      </c>
      <c r="J11749" s="18" t="n">
        <v>0</v>
      </c>
      <c r="K11749" s="19" t="n">
        <v>0</v>
      </c>
      <c r="L11749" s="17"/>
    </row>
    <row r="11750" s="11" customFormat="true" ht="10.95" hidden="false" customHeight="true" outlineLevel="0" collapsed="false">
      <c r="A11750" s="16" t="n">
        <v>45441</v>
      </c>
      <c r="B11750" s="17" t="s">
        <v>3861</v>
      </c>
      <c r="C11750" s="17" t="s">
        <v>3752</v>
      </c>
      <c r="D11750" s="17" t="s">
        <v>1407</v>
      </c>
      <c r="E11750" s="17" t="s">
        <v>3879</v>
      </c>
      <c r="F11750" s="17"/>
      <c r="G11750" s="18" t="n">
        <v>0</v>
      </c>
      <c r="H11750" s="18" t="n">
        <v>1571.5</v>
      </c>
      <c r="I11750" s="18" t="n">
        <f aca="false">((I11749 + G11750) - H11750)</f>
        <v>91823.5799999999</v>
      </c>
      <c r="J11750" s="18" t="n">
        <v>0</v>
      </c>
      <c r="K11750" s="19" t="n">
        <v>0</v>
      </c>
      <c r="L11750" s="17"/>
    </row>
    <row r="11751" s="11" customFormat="true" ht="10.95" hidden="false" customHeight="true" outlineLevel="0" collapsed="false">
      <c r="A11751" s="16" t="n">
        <v>45441</v>
      </c>
      <c r="B11751" s="17" t="s">
        <v>3861</v>
      </c>
      <c r="C11751" s="17" t="s">
        <v>3752</v>
      </c>
      <c r="D11751" s="17" t="s">
        <v>1407</v>
      </c>
      <c r="E11751" s="17" t="s">
        <v>3880</v>
      </c>
      <c r="F11751" s="17"/>
      <c r="G11751" s="18" t="n">
        <v>0</v>
      </c>
      <c r="H11751" s="18" t="n">
        <v>1765.5</v>
      </c>
      <c r="I11751" s="18" t="n">
        <f aca="false">((I11750 + G11751) - H11751)</f>
        <v>90058.0799999999</v>
      </c>
      <c r="J11751" s="18" t="n">
        <v>0</v>
      </c>
      <c r="K11751" s="19" t="n">
        <v>0</v>
      </c>
      <c r="L11751" s="17"/>
    </row>
    <row r="11752" s="11" customFormat="true" ht="10.95" hidden="false" customHeight="true" outlineLevel="0" collapsed="false">
      <c r="A11752" s="16" t="n">
        <v>45441</v>
      </c>
      <c r="B11752" s="17" t="s">
        <v>3861</v>
      </c>
      <c r="C11752" s="17" t="s">
        <v>3752</v>
      </c>
      <c r="D11752" s="17" t="s">
        <v>1407</v>
      </c>
      <c r="E11752" s="17" t="s">
        <v>3808</v>
      </c>
      <c r="F11752" s="17"/>
      <c r="G11752" s="18" t="n">
        <v>0</v>
      </c>
      <c r="H11752" s="18" t="n">
        <v>2163.92</v>
      </c>
      <c r="I11752" s="18" t="n">
        <f aca="false">((I11751 + G11752) - H11752)</f>
        <v>87894.1599999999</v>
      </c>
      <c r="J11752" s="18" t="n">
        <v>0</v>
      </c>
      <c r="K11752" s="19" t="n">
        <v>0</v>
      </c>
      <c r="L11752" s="17"/>
    </row>
    <row r="11753" s="11" customFormat="true" ht="10.95" hidden="false" customHeight="true" outlineLevel="0" collapsed="false">
      <c r="A11753" s="16" t="n">
        <v>45441</v>
      </c>
      <c r="B11753" s="17" t="s">
        <v>3861</v>
      </c>
      <c r="C11753" s="17" t="s">
        <v>3752</v>
      </c>
      <c r="D11753" s="17" t="s">
        <v>1407</v>
      </c>
      <c r="E11753" s="17" t="s">
        <v>3960</v>
      </c>
      <c r="F11753" s="17"/>
      <c r="G11753" s="18" t="n">
        <v>0</v>
      </c>
      <c r="H11753" s="18" t="n">
        <v>4481.52</v>
      </c>
      <c r="I11753" s="18" t="n">
        <f aca="false">((I11752 + G11753) - H11753)</f>
        <v>83412.6399999999</v>
      </c>
      <c r="J11753" s="18" t="n">
        <v>0</v>
      </c>
      <c r="K11753" s="19" t="n">
        <v>0</v>
      </c>
      <c r="L11753" s="17"/>
    </row>
    <row r="11754" s="11" customFormat="true" ht="10.95" hidden="false" customHeight="true" outlineLevel="0" collapsed="false">
      <c r="A11754" s="16" t="n">
        <v>45442</v>
      </c>
      <c r="B11754" s="17" t="s">
        <v>3861</v>
      </c>
      <c r="C11754" s="17" t="s">
        <v>3752</v>
      </c>
      <c r="D11754" s="17" t="s">
        <v>2895</v>
      </c>
      <c r="E11754" s="17" t="s">
        <v>3496</v>
      </c>
      <c r="F11754" s="17" t="s">
        <v>4448</v>
      </c>
      <c r="G11754" s="18" t="n">
        <v>5414.1</v>
      </c>
      <c r="H11754" s="18" t="n">
        <v>0</v>
      </c>
      <c r="I11754" s="18" t="n">
        <f aca="false">((I11753 + G11754) - H11754)</f>
        <v>88826.7399999999</v>
      </c>
      <c r="J11754" s="18" t="n">
        <v>0</v>
      </c>
      <c r="K11754" s="19" t="n">
        <v>0</v>
      </c>
      <c r="L11754" s="17"/>
    </row>
    <row r="11755" s="11" customFormat="true" ht="10.95" hidden="false" customHeight="true" outlineLevel="0" collapsed="false">
      <c r="A11755" s="16" t="n">
        <v>45442</v>
      </c>
      <c r="B11755" s="17" t="s">
        <v>3861</v>
      </c>
      <c r="C11755" s="17" t="s">
        <v>3752</v>
      </c>
      <c r="D11755" s="17" t="s">
        <v>2895</v>
      </c>
      <c r="E11755" s="17" t="s">
        <v>3456</v>
      </c>
      <c r="F11755" s="17" t="s">
        <v>4449</v>
      </c>
      <c r="G11755" s="18" t="n">
        <v>2244</v>
      </c>
      <c r="H11755" s="18" t="n">
        <v>0</v>
      </c>
      <c r="I11755" s="18" t="n">
        <f aca="false">((I11754 + G11755) - H11755)</f>
        <v>91070.7399999999</v>
      </c>
      <c r="J11755" s="18" t="n">
        <v>0</v>
      </c>
      <c r="K11755" s="19" t="n">
        <v>0</v>
      </c>
      <c r="L11755" s="17"/>
    </row>
    <row r="11756" s="11" customFormat="true" ht="10.95" hidden="false" customHeight="true" outlineLevel="0" collapsed="false">
      <c r="A11756" s="16" t="n">
        <v>45442</v>
      </c>
      <c r="B11756" s="17" t="s">
        <v>3861</v>
      </c>
      <c r="C11756" s="17" t="s">
        <v>3752</v>
      </c>
      <c r="D11756" s="17" t="s">
        <v>2895</v>
      </c>
      <c r="E11756" s="17" t="s">
        <v>3456</v>
      </c>
      <c r="F11756" s="17" t="s">
        <v>4450</v>
      </c>
      <c r="G11756" s="18" t="n">
        <v>103.5</v>
      </c>
      <c r="H11756" s="18" t="n">
        <v>0</v>
      </c>
      <c r="I11756" s="18" t="n">
        <f aca="false">((I11755 + G11756) - H11756)</f>
        <v>91174.2399999999</v>
      </c>
      <c r="J11756" s="18" t="n">
        <v>0</v>
      </c>
      <c r="K11756" s="19" t="n">
        <v>0</v>
      </c>
      <c r="L11756" s="17"/>
    </row>
    <row r="11757" s="11" customFormat="true" ht="10.95" hidden="false" customHeight="true" outlineLevel="0" collapsed="false">
      <c r="A11757" s="16" t="n">
        <v>45442</v>
      </c>
      <c r="B11757" s="17" t="s">
        <v>3861</v>
      </c>
      <c r="C11757" s="17" t="s">
        <v>3752</v>
      </c>
      <c r="D11757" s="17" t="s">
        <v>2895</v>
      </c>
      <c r="E11757" s="17" t="s">
        <v>3497</v>
      </c>
      <c r="F11757" s="17" t="s">
        <v>4451</v>
      </c>
      <c r="G11757" s="18" t="n">
        <v>913</v>
      </c>
      <c r="H11757" s="18" t="n">
        <v>0</v>
      </c>
      <c r="I11757" s="18" t="n">
        <f aca="false">((I11756 + G11757) - H11757)</f>
        <v>92087.2399999999</v>
      </c>
      <c r="J11757" s="18" t="n">
        <v>0</v>
      </c>
      <c r="K11757" s="19" t="n">
        <v>0</v>
      </c>
      <c r="L11757" s="17"/>
    </row>
    <row r="11758" s="11" customFormat="true" ht="10.95" hidden="false" customHeight="true" outlineLevel="0" collapsed="false">
      <c r="A11758" s="16" t="n">
        <v>45442</v>
      </c>
      <c r="B11758" s="17" t="s">
        <v>3861</v>
      </c>
      <c r="C11758" s="17" t="s">
        <v>3752</v>
      </c>
      <c r="D11758" s="17" t="s">
        <v>2895</v>
      </c>
      <c r="E11758" s="17" t="s">
        <v>3401</v>
      </c>
      <c r="F11758" s="17" t="s">
        <v>4452</v>
      </c>
      <c r="G11758" s="18" t="n">
        <v>654.5</v>
      </c>
      <c r="H11758" s="18" t="n">
        <v>0</v>
      </c>
      <c r="I11758" s="18" t="n">
        <f aca="false">((I11757 + G11758) - H11758)</f>
        <v>92741.7399999999</v>
      </c>
      <c r="J11758" s="18" t="n">
        <v>0</v>
      </c>
      <c r="K11758" s="19" t="n">
        <v>0</v>
      </c>
      <c r="L11758" s="17"/>
    </row>
    <row r="11759" s="11" customFormat="true" ht="10.95" hidden="false" customHeight="true" outlineLevel="0" collapsed="false">
      <c r="A11759" s="16" t="n">
        <v>45442</v>
      </c>
      <c r="B11759" s="17" t="s">
        <v>3861</v>
      </c>
      <c r="C11759" s="17" t="s">
        <v>3752</v>
      </c>
      <c r="D11759" s="17" t="s">
        <v>2895</v>
      </c>
      <c r="E11759" s="17" t="s">
        <v>3466</v>
      </c>
      <c r="F11759" s="17" t="s">
        <v>4453</v>
      </c>
      <c r="G11759" s="18" t="n">
        <v>396</v>
      </c>
      <c r="H11759" s="18" t="n">
        <v>0</v>
      </c>
      <c r="I11759" s="18" t="n">
        <f aca="false">((I11758 + G11759) - H11759)</f>
        <v>93137.7399999999</v>
      </c>
      <c r="J11759" s="18" t="n">
        <v>0</v>
      </c>
      <c r="K11759" s="19" t="n">
        <v>0</v>
      </c>
      <c r="L11759" s="17"/>
    </row>
    <row r="11760" s="11" customFormat="true" ht="10.95" hidden="false" customHeight="true" outlineLevel="0" collapsed="false">
      <c r="A11760" s="16" t="n">
        <v>45442</v>
      </c>
      <c r="B11760" s="17" t="s">
        <v>3861</v>
      </c>
      <c r="C11760" s="17" t="s">
        <v>3752</v>
      </c>
      <c r="D11760" s="17" t="s">
        <v>2895</v>
      </c>
      <c r="E11760" s="17" t="s">
        <v>3480</v>
      </c>
      <c r="F11760" s="17" t="s">
        <v>4454</v>
      </c>
      <c r="G11760" s="18" t="n">
        <v>180</v>
      </c>
      <c r="H11760" s="18" t="n">
        <v>0</v>
      </c>
      <c r="I11760" s="18" t="n">
        <f aca="false">((I11759 + G11760) - H11760)</f>
        <v>93317.7399999999</v>
      </c>
      <c r="J11760" s="18" t="n">
        <v>0</v>
      </c>
      <c r="K11760" s="19" t="n">
        <v>0</v>
      </c>
      <c r="L11760" s="17"/>
    </row>
    <row r="11761" s="11" customFormat="true" ht="10.95" hidden="false" customHeight="true" outlineLevel="0" collapsed="false">
      <c r="A11761" s="16" t="n">
        <v>45442</v>
      </c>
      <c r="B11761" s="17" t="s">
        <v>3861</v>
      </c>
      <c r="C11761" s="17" t="s">
        <v>3752</v>
      </c>
      <c r="D11761" s="17" t="s">
        <v>1407</v>
      </c>
      <c r="E11761" s="17" t="s">
        <v>3863</v>
      </c>
      <c r="F11761" s="17"/>
      <c r="G11761" s="18" t="n">
        <v>0</v>
      </c>
      <c r="H11761" s="18" t="n">
        <v>2.66</v>
      </c>
      <c r="I11761" s="18" t="n">
        <f aca="false">((I11760 + G11761) - H11761)</f>
        <v>93315.0799999999</v>
      </c>
      <c r="J11761" s="18" t="n">
        <v>0</v>
      </c>
      <c r="K11761" s="19" t="n">
        <v>0</v>
      </c>
      <c r="L11761" s="17"/>
    </row>
    <row r="11762" s="11" customFormat="true" ht="10.95" hidden="false" customHeight="true" outlineLevel="0" collapsed="false">
      <c r="A11762" s="16" t="n">
        <v>45442</v>
      </c>
      <c r="B11762" s="17" t="s">
        <v>3861</v>
      </c>
      <c r="C11762" s="17" t="s">
        <v>3752</v>
      </c>
      <c r="D11762" s="17" t="s">
        <v>1407</v>
      </c>
      <c r="E11762" s="17" t="s">
        <v>3864</v>
      </c>
      <c r="F11762" s="17"/>
      <c r="G11762" s="18" t="n">
        <v>0</v>
      </c>
      <c r="H11762" s="18" t="n">
        <v>76.13</v>
      </c>
      <c r="I11762" s="18" t="n">
        <f aca="false">((I11761 + G11762) - H11762)</f>
        <v>93238.9499999999</v>
      </c>
      <c r="J11762" s="18" t="n">
        <v>0</v>
      </c>
      <c r="K11762" s="19" t="n">
        <v>0</v>
      </c>
      <c r="L11762" s="17"/>
    </row>
    <row r="11763" s="11" customFormat="true" ht="10.95" hidden="false" customHeight="true" outlineLevel="0" collapsed="false">
      <c r="A11763" s="16" t="n">
        <v>45442</v>
      </c>
      <c r="B11763" s="17" t="s">
        <v>3861</v>
      </c>
      <c r="C11763" s="17" t="s">
        <v>3752</v>
      </c>
      <c r="D11763" s="17" t="s">
        <v>2903</v>
      </c>
      <c r="E11763" s="17" t="s">
        <v>3648</v>
      </c>
      <c r="F11763" s="17" t="s">
        <v>2732</v>
      </c>
      <c r="G11763" s="18" t="n">
        <v>0</v>
      </c>
      <c r="H11763" s="18" t="n">
        <v>214.54</v>
      </c>
      <c r="I11763" s="18" t="n">
        <f aca="false">((I11762 + G11763) - H11763)</f>
        <v>93024.4099999999</v>
      </c>
      <c r="J11763" s="18" t="n">
        <v>0</v>
      </c>
      <c r="K11763" s="19" t="n">
        <v>0</v>
      </c>
      <c r="L11763" s="17"/>
    </row>
    <row r="11764" s="11" customFormat="true" ht="10.95" hidden="false" customHeight="true" outlineLevel="0" collapsed="false">
      <c r="A11764" s="16" t="n">
        <v>45443</v>
      </c>
      <c r="B11764" s="17" t="s">
        <v>3861</v>
      </c>
      <c r="C11764" s="17" t="s">
        <v>3752</v>
      </c>
      <c r="D11764" s="17" t="s">
        <v>3753</v>
      </c>
      <c r="E11764" s="17" t="s">
        <v>3806</v>
      </c>
      <c r="F11764" s="17" t="s">
        <v>3850</v>
      </c>
      <c r="G11764" s="18" t="n">
        <v>0</v>
      </c>
      <c r="H11764" s="18" t="n">
        <v>18278</v>
      </c>
      <c r="I11764" s="18" t="n">
        <f aca="false">((I11763 + G11764) - H11764)</f>
        <v>74746.4099999999</v>
      </c>
      <c r="J11764" s="18" t="n">
        <v>0</v>
      </c>
      <c r="K11764" s="19" t="n">
        <v>0</v>
      </c>
      <c r="L11764" s="17"/>
    </row>
    <row r="11765" s="11" customFormat="true" ht="10.95" hidden="false" customHeight="true" outlineLevel="0" collapsed="false">
      <c r="A11765" s="16" t="n">
        <v>45443</v>
      </c>
      <c r="B11765" s="17" t="s">
        <v>3861</v>
      </c>
      <c r="C11765" s="17" t="s">
        <v>3752</v>
      </c>
      <c r="D11765" s="17" t="s">
        <v>2895</v>
      </c>
      <c r="E11765" s="17" t="s">
        <v>3382</v>
      </c>
      <c r="F11765" s="17" t="s">
        <v>4455</v>
      </c>
      <c r="G11765" s="18" t="n">
        <v>19683.02</v>
      </c>
      <c r="H11765" s="18" t="n">
        <v>0</v>
      </c>
      <c r="I11765" s="18" t="n">
        <f aca="false">((I11764 + G11765) - H11765)</f>
        <v>94429.4299999999</v>
      </c>
      <c r="J11765" s="18" t="n">
        <v>0</v>
      </c>
      <c r="K11765" s="19" t="n">
        <v>0</v>
      </c>
      <c r="L11765" s="17"/>
    </row>
    <row r="11766" s="11" customFormat="true" ht="10.95" hidden="false" customHeight="true" outlineLevel="0" collapsed="false">
      <c r="A11766" s="16" t="n">
        <v>45443</v>
      </c>
      <c r="B11766" s="17" t="s">
        <v>3861</v>
      </c>
      <c r="C11766" s="17" t="s">
        <v>3752</v>
      </c>
      <c r="D11766" s="17" t="s">
        <v>2895</v>
      </c>
      <c r="E11766" s="17" t="s">
        <v>3465</v>
      </c>
      <c r="F11766" s="17" t="s">
        <v>4456</v>
      </c>
      <c r="G11766" s="18" t="n">
        <v>1094.5</v>
      </c>
      <c r="H11766" s="18" t="n">
        <v>0</v>
      </c>
      <c r="I11766" s="18" t="n">
        <f aca="false">((I11765 + G11766) - H11766)</f>
        <v>95523.9299999999</v>
      </c>
      <c r="J11766" s="18" t="n">
        <v>0</v>
      </c>
      <c r="K11766" s="19" t="n">
        <v>0</v>
      </c>
      <c r="L11766" s="17"/>
    </row>
    <row r="11767" s="11" customFormat="true" ht="10.95" hidden="false" customHeight="true" outlineLevel="0" collapsed="false">
      <c r="A11767" s="16" t="n">
        <v>45443</v>
      </c>
      <c r="B11767" s="17" t="s">
        <v>3861</v>
      </c>
      <c r="C11767" s="17" t="s">
        <v>3752</v>
      </c>
      <c r="D11767" s="17" t="s">
        <v>2895</v>
      </c>
      <c r="E11767" s="17" t="s">
        <v>2934</v>
      </c>
      <c r="F11767" s="17" t="s">
        <v>3159</v>
      </c>
      <c r="G11767" s="18" t="n">
        <v>854.41</v>
      </c>
      <c r="H11767" s="18" t="n">
        <v>0</v>
      </c>
      <c r="I11767" s="18" t="n">
        <f aca="false">((I11766 + G11767) - H11767)</f>
        <v>96378.3399999999</v>
      </c>
      <c r="J11767" s="18" t="n">
        <v>0</v>
      </c>
      <c r="K11767" s="19" t="n">
        <v>0</v>
      </c>
      <c r="L11767" s="17"/>
    </row>
    <row r="11768" s="11" customFormat="true" ht="10.95" hidden="false" customHeight="true" outlineLevel="0" collapsed="false">
      <c r="A11768" s="16" t="n">
        <v>45443</v>
      </c>
      <c r="B11768" s="17" t="s">
        <v>3861</v>
      </c>
      <c r="C11768" s="17" t="s">
        <v>3752</v>
      </c>
      <c r="D11768" s="17" t="s">
        <v>1407</v>
      </c>
      <c r="E11768" s="17" t="s">
        <v>3865</v>
      </c>
      <c r="F11768" s="17"/>
      <c r="G11768" s="18" t="n">
        <v>0</v>
      </c>
      <c r="H11768" s="18" t="n">
        <v>82.5</v>
      </c>
      <c r="I11768" s="18" t="n">
        <f aca="false">((I11767 + G11768) - H11768)</f>
        <v>96295.8399999999</v>
      </c>
      <c r="J11768" s="18" t="n">
        <v>0</v>
      </c>
      <c r="K11768" s="19" t="n">
        <v>0</v>
      </c>
      <c r="L11768" s="17"/>
    </row>
    <row r="11769" s="11" customFormat="true" ht="10.95" hidden="false" customHeight="true" outlineLevel="0" collapsed="false">
      <c r="A11769" s="16" t="n">
        <v>45443</v>
      </c>
      <c r="B11769" s="17" t="s">
        <v>3861</v>
      </c>
      <c r="C11769" s="17" t="s">
        <v>3752</v>
      </c>
      <c r="D11769" s="17" t="s">
        <v>2903</v>
      </c>
      <c r="E11769" s="17" t="s">
        <v>3645</v>
      </c>
      <c r="F11769" s="17" t="s">
        <v>1565</v>
      </c>
      <c r="G11769" s="18" t="n">
        <v>0</v>
      </c>
      <c r="H11769" s="18" t="n">
        <v>27192.44</v>
      </c>
      <c r="I11769" s="18" t="n">
        <f aca="false">((I11768 + G11769) - H11769)</f>
        <v>69103.3999999999</v>
      </c>
      <c r="J11769" s="18" t="n">
        <v>0</v>
      </c>
      <c r="K11769" s="19" t="n">
        <v>0</v>
      </c>
      <c r="L11769" s="17"/>
    </row>
    <row r="11770" s="11" customFormat="true" ht="10.95" hidden="false" customHeight="true" outlineLevel="0" collapsed="false">
      <c r="A11770" s="16" t="n">
        <v>45443</v>
      </c>
      <c r="B11770" s="17" t="s">
        <v>3861</v>
      </c>
      <c r="C11770" s="17" t="s">
        <v>3752</v>
      </c>
      <c r="D11770" s="17" t="s">
        <v>2903</v>
      </c>
      <c r="E11770" s="17" t="s">
        <v>3645</v>
      </c>
      <c r="F11770" s="17" t="s">
        <v>1563</v>
      </c>
      <c r="G11770" s="18" t="n">
        <v>0</v>
      </c>
      <c r="H11770" s="18" t="n">
        <v>2541.48</v>
      </c>
      <c r="I11770" s="18" t="n">
        <f aca="false">((I11769 + G11770) - H11770)</f>
        <v>66561.9199999999</v>
      </c>
      <c r="J11770" s="18" t="n">
        <v>0</v>
      </c>
      <c r="K11770" s="19" t="n">
        <v>0</v>
      </c>
      <c r="L11770" s="17"/>
    </row>
    <row r="11771" s="11" customFormat="true" ht="10.95" hidden="false" customHeight="true" outlineLevel="0" collapsed="false">
      <c r="A11771" s="16" t="n">
        <v>45444</v>
      </c>
      <c r="B11771" s="17" t="s">
        <v>3861</v>
      </c>
      <c r="C11771" s="17" t="s">
        <v>3752</v>
      </c>
      <c r="D11771" s="17" t="s">
        <v>2895</v>
      </c>
      <c r="E11771" s="17" t="s">
        <v>2896</v>
      </c>
      <c r="F11771" s="17" t="s">
        <v>1376</v>
      </c>
      <c r="G11771" s="18" t="n">
        <v>87.21</v>
      </c>
      <c r="H11771" s="18" t="n">
        <v>0</v>
      </c>
      <c r="I11771" s="18" t="n">
        <f aca="false">((I11770 + G11771) - H11771)</f>
        <v>66649.13</v>
      </c>
      <c r="J11771" s="18" t="n">
        <v>0</v>
      </c>
      <c r="K11771" s="19" t="n">
        <v>0</v>
      </c>
      <c r="L11771" s="17"/>
    </row>
    <row r="11772" s="11" customFormat="true" ht="10.95" hidden="false" customHeight="true" outlineLevel="0" collapsed="false">
      <c r="A11772" s="16" t="n">
        <v>45444</v>
      </c>
      <c r="B11772" s="17" t="s">
        <v>3861</v>
      </c>
      <c r="C11772" s="17" t="s">
        <v>3752</v>
      </c>
      <c r="D11772" s="17" t="s">
        <v>1407</v>
      </c>
      <c r="E11772" s="17" t="s">
        <v>3862</v>
      </c>
      <c r="F11772" s="17" t="s">
        <v>1376</v>
      </c>
      <c r="G11772" s="18" t="n">
        <v>0</v>
      </c>
      <c r="H11772" s="18" t="n">
        <v>3.4</v>
      </c>
      <c r="I11772" s="18" t="n">
        <f aca="false">((I11771 + G11772) - H11772)</f>
        <v>66645.73</v>
      </c>
      <c r="J11772" s="18" t="n">
        <v>0</v>
      </c>
      <c r="K11772" s="19" t="n">
        <v>0</v>
      </c>
      <c r="L11772" s="17"/>
    </row>
    <row r="11773" s="11" customFormat="true" ht="10.95" hidden="false" customHeight="true" outlineLevel="0" collapsed="false">
      <c r="A11773" s="16" t="n">
        <v>45444</v>
      </c>
      <c r="B11773" s="17" t="s">
        <v>3861</v>
      </c>
      <c r="C11773" s="17" t="s">
        <v>3752</v>
      </c>
      <c r="D11773" s="17" t="s">
        <v>1276</v>
      </c>
      <c r="E11773" s="17" t="s">
        <v>3423</v>
      </c>
      <c r="F11773" s="17" t="s">
        <v>1376</v>
      </c>
      <c r="G11773" s="18" t="n">
        <v>1.55</v>
      </c>
      <c r="H11773" s="18" t="n">
        <v>0</v>
      </c>
      <c r="I11773" s="18" t="n">
        <f aca="false">((I11772 + G11773) - H11773)</f>
        <v>66647.28</v>
      </c>
      <c r="J11773" s="18" t="n">
        <v>0</v>
      </c>
      <c r="K11773" s="19" t="n">
        <v>0</v>
      </c>
      <c r="L11773" s="17"/>
    </row>
    <row r="11774" s="11" customFormat="true" ht="10.95" hidden="false" customHeight="true" outlineLevel="0" collapsed="false">
      <c r="A11774" s="16" t="n">
        <v>45444</v>
      </c>
      <c r="B11774" s="17" t="s">
        <v>3861</v>
      </c>
      <c r="C11774" s="17" t="s">
        <v>3752</v>
      </c>
      <c r="D11774" s="17" t="s">
        <v>1407</v>
      </c>
      <c r="E11774" s="17" t="s">
        <v>3863</v>
      </c>
      <c r="F11774" s="17"/>
      <c r="G11774" s="18" t="n">
        <v>0</v>
      </c>
      <c r="H11774" s="18" t="n">
        <v>10</v>
      </c>
      <c r="I11774" s="18" t="n">
        <f aca="false">((I11773 + G11774) - H11774)</f>
        <v>66637.28</v>
      </c>
      <c r="J11774" s="18" t="n">
        <v>0</v>
      </c>
      <c r="K11774" s="19" t="n">
        <v>0</v>
      </c>
      <c r="L11774" s="17"/>
    </row>
    <row r="11775" s="11" customFormat="true" ht="10.95" hidden="false" customHeight="true" outlineLevel="0" collapsed="false">
      <c r="A11775" s="16" t="n">
        <v>45444</v>
      </c>
      <c r="B11775" s="17" t="s">
        <v>3861</v>
      </c>
      <c r="C11775" s="17" t="s">
        <v>3752</v>
      </c>
      <c r="D11775" s="17" t="s">
        <v>1407</v>
      </c>
      <c r="E11775" s="17" t="s">
        <v>3863</v>
      </c>
      <c r="F11775" s="17"/>
      <c r="G11775" s="18" t="n">
        <v>0</v>
      </c>
      <c r="H11775" s="18" t="n">
        <v>12.39</v>
      </c>
      <c r="I11775" s="18" t="n">
        <f aca="false">((I11774 + G11775) - H11775)</f>
        <v>66624.89</v>
      </c>
      <c r="J11775" s="18" t="n">
        <v>0</v>
      </c>
      <c r="K11775" s="19" t="n">
        <v>0</v>
      </c>
      <c r="L11775" s="17"/>
    </row>
    <row r="11776" s="11" customFormat="true" ht="10.95" hidden="false" customHeight="true" outlineLevel="0" collapsed="false">
      <c r="A11776" s="16" t="n">
        <v>45444</v>
      </c>
      <c r="B11776" s="17" t="s">
        <v>3861</v>
      </c>
      <c r="C11776" s="17" t="s">
        <v>3752</v>
      </c>
      <c r="D11776" s="17" t="s">
        <v>1407</v>
      </c>
      <c r="E11776" s="17" t="s">
        <v>3863</v>
      </c>
      <c r="F11776" s="17"/>
      <c r="G11776" s="18" t="n">
        <v>0</v>
      </c>
      <c r="H11776" s="18" t="n">
        <v>282.3</v>
      </c>
      <c r="I11776" s="18" t="n">
        <f aca="false">((I11775 + G11776) - H11776)</f>
        <v>66342.59</v>
      </c>
      <c r="J11776" s="18" t="n">
        <v>0</v>
      </c>
      <c r="K11776" s="19" t="n">
        <v>0</v>
      </c>
      <c r="L11776" s="17"/>
    </row>
    <row r="11777" s="11" customFormat="true" ht="10.95" hidden="false" customHeight="true" outlineLevel="0" collapsed="false">
      <c r="A11777" s="16" t="n">
        <v>45444</v>
      </c>
      <c r="B11777" s="17" t="s">
        <v>3861</v>
      </c>
      <c r="C11777" s="17" t="s">
        <v>3752</v>
      </c>
      <c r="D11777" s="17" t="s">
        <v>2903</v>
      </c>
      <c r="E11777" s="17" t="s">
        <v>3616</v>
      </c>
      <c r="F11777" s="17" t="s">
        <v>3326</v>
      </c>
      <c r="G11777" s="18" t="n">
        <v>0</v>
      </c>
      <c r="H11777" s="18" t="n">
        <v>3884.1</v>
      </c>
      <c r="I11777" s="18" t="n">
        <f aca="false">((I11776 + G11777) - H11777)</f>
        <v>62458.49</v>
      </c>
      <c r="J11777" s="18" t="n">
        <v>0</v>
      </c>
      <c r="K11777" s="19" t="n">
        <v>0</v>
      </c>
      <c r="L11777" s="17"/>
    </row>
    <row r="11778" s="11" customFormat="true" ht="10.95" hidden="false" customHeight="true" outlineLevel="0" collapsed="false">
      <c r="A11778" s="16" t="n">
        <v>45444</v>
      </c>
      <c r="B11778" s="17" t="s">
        <v>3861</v>
      </c>
      <c r="C11778" s="17" t="s">
        <v>3752</v>
      </c>
      <c r="D11778" s="17" t="s">
        <v>2903</v>
      </c>
      <c r="E11778" s="17" t="s">
        <v>3160</v>
      </c>
      <c r="F11778" s="17" t="s">
        <v>2560</v>
      </c>
      <c r="G11778" s="18" t="n">
        <v>0</v>
      </c>
      <c r="H11778" s="18" t="n">
        <v>353.86</v>
      </c>
      <c r="I11778" s="18" t="n">
        <f aca="false">((I11777 + G11778) - H11778)</f>
        <v>62104.63</v>
      </c>
      <c r="J11778" s="18" t="n">
        <v>0</v>
      </c>
      <c r="K11778" s="19" t="n">
        <v>0</v>
      </c>
      <c r="L11778" s="17"/>
    </row>
    <row r="11779" s="11" customFormat="true" ht="10.95" hidden="false" customHeight="true" outlineLevel="0" collapsed="false">
      <c r="A11779" s="16" t="n">
        <v>45445</v>
      </c>
      <c r="B11779" s="17" t="s">
        <v>3861</v>
      </c>
      <c r="C11779" s="17" t="s">
        <v>3752</v>
      </c>
      <c r="D11779" s="17" t="s">
        <v>2895</v>
      </c>
      <c r="E11779" s="17" t="s">
        <v>3467</v>
      </c>
      <c r="F11779" s="17" t="s">
        <v>1378</v>
      </c>
      <c r="G11779" s="18" t="n">
        <v>1385.45</v>
      </c>
      <c r="H11779" s="18" t="n">
        <v>0</v>
      </c>
      <c r="I11779" s="18" t="n">
        <f aca="false">((I11778 + G11779) - H11779)</f>
        <v>63490.08</v>
      </c>
      <c r="J11779" s="18" t="n">
        <v>0</v>
      </c>
      <c r="K11779" s="19" t="n">
        <v>0</v>
      </c>
      <c r="L11779" s="17"/>
    </row>
    <row r="11780" s="11" customFormat="true" ht="10.95" hidden="false" customHeight="true" outlineLevel="0" collapsed="false">
      <c r="A11780" s="16" t="n">
        <v>45445</v>
      </c>
      <c r="B11780" s="17" t="s">
        <v>3861</v>
      </c>
      <c r="C11780" s="17" t="s">
        <v>3752</v>
      </c>
      <c r="D11780" s="17" t="s">
        <v>1276</v>
      </c>
      <c r="E11780" s="17" t="s">
        <v>3428</v>
      </c>
      <c r="F11780" s="17" t="s">
        <v>1378</v>
      </c>
      <c r="G11780" s="18" t="n">
        <v>24.25</v>
      </c>
      <c r="H11780" s="18" t="n">
        <v>0</v>
      </c>
      <c r="I11780" s="18" t="n">
        <f aca="false">((I11779 + G11780) - H11780)</f>
        <v>63514.33</v>
      </c>
      <c r="J11780" s="18" t="n">
        <v>0</v>
      </c>
      <c r="K11780" s="19" t="n">
        <v>0</v>
      </c>
      <c r="L11780" s="17"/>
    </row>
    <row r="11781" s="11" customFormat="true" ht="10.95" hidden="false" customHeight="true" outlineLevel="0" collapsed="false">
      <c r="A11781" s="16" t="n">
        <v>45445</v>
      </c>
      <c r="B11781" s="17" t="s">
        <v>3861</v>
      </c>
      <c r="C11781" s="17" t="s">
        <v>3752</v>
      </c>
      <c r="D11781" s="17" t="s">
        <v>1407</v>
      </c>
      <c r="E11781" s="17" t="s">
        <v>3862</v>
      </c>
      <c r="F11781" s="17" t="s">
        <v>1378</v>
      </c>
      <c r="G11781" s="18" t="n">
        <v>0</v>
      </c>
      <c r="H11781" s="18" t="n">
        <v>24.26</v>
      </c>
      <c r="I11781" s="18" t="n">
        <f aca="false">((I11780 + G11781) - H11781)</f>
        <v>63490.07</v>
      </c>
      <c r="J11781" s="18" t="n">
        <v>0</v>
      </c>
      <c r="K11781" s="19" t="n">
        <v>0</v>
      </c>
      <c r="L11781" s="17"/>
    </row>
    <row r="11782" s="11" customFormat="true" ht="10.95" hidden="false" customHeight="true" outlineLevel="0" collapsed="false">
      <c r="A11782" s="16" t="n">
        <v>45446</v>
      </c>
      <c r="B11782" s="17" t="s">
        <v>3861</v>
      </c>
      <c r="C11782" s="17" t="s">
        <v>3752</v>
      </c>
      <c r="D11782" s="17" t="s">
        <v>1276</v>
      </c>
      <c r="E11782" s="17" t="s">
        <v>3424</v>
      </c>
      <c r="F11782" s="17" t="s">
        <v>1380</v>
      </c>
      <c r="G11782" s="18" t="n">
        <v>7.24</v>
      </c>
      <c r="H11782" s="18" t="n">
        <v>0</v>
      </c>
      <c r="I11782" s="18" t="n">
        <f aca="false">((I11781 + G11782) - H11782)</f>
        <v>63497.31</v>
      </c>
      <c r="J11782" s="18" t="n">
        <v>0</v>
      </c>
      <c r="K11782" s="19" t="n">
        <v>0</v>
      </c>
      <c r="L11782" s="17"/>
    </row>
    <row r="11783" s="11" customFormat="true" ht="10.95" hidden="false" customHeight="true" outlineLevel="0" collapsed="false">
      <c r="A11783" s="16" t="n">
        <v>45446</v>
      </c>
      <c r="B11783" s="17" t="s">
        <v>3861</v>
      </c>
      <c r="C11783" s="17" t="s">
        <v>3752</v>
      </c>
      <c r="D11783" s="17" t="s">
        <v>2895</v>
      </c>
      <c r="E11783" s="17" t="s">
        <v>3378</v>
      </c>
      <c r="F11783" s="17" t="s">
        <v>1380</v>
      </c>
      <c r="G11783" s="18" t="n">
        <v>413.6</v>
      </c>
      <c r="H11783" s="18" t="n">
        <v>0</v>
      </c>
      <c r="I11783" s="18" t="n">
        <f aca="false">((I11782 + G11783) - H11783)</f>
        <v>63910.9099999999</v>
      </c>
      <c r="J11783" s="18" t="n">
        <v>0</v>
      </c>
      <c r="K11783" s="19" t="n">
        <v>0</v>
      </c>
      <c r="L11783" s="17"/>
    </row>
    <row r="11784" s="11" customFormat="true" ht="10.95" hidden="false" customHeight="true" outlineLevel="0" collapsed="false">
      <c r="A11784" s="16" t="n">
        <v>45446</v>
      </c>
      <c r="B11784" s="17" t="s">
        <v>3861</v>
      </c>
      <c r="C11784" s="17" t="s">
        <v>3752</v>
      </c>
      <c r="D11784" s="17" t="s">
        <v>1407</v>
      </c>
      <c r="E11784" s="17" t="s">
        <v>3862</v>
      </c>
      <c r="F11784" s="17" t="s">
        <v>1380</v>
      </c>
      <c r="G11784" s="18" t="n">
        <v>0</v>
      </c>
      <c r="H11784" s="18" t="n">
        <v>7.45</v>
      </c>
      <c r="I11784" s="18" t="n">
        <f aca="false">((I11783 + G11784) - H11784)</f>
        <v>63903.46</v>
      </c>
      <c r="J11784" s="18" t="n">
        <v>0</v>
      </c>
      <c r="K11784" s="19" t="n">
        <v>0</v>
      </c>
      <c r="L11784" s="17"/>
    </row>
    <row r="11785" s="11" customFormat="true" ht="10.95" hidden="false" customHeight="true" outlineLevel="0" collapsed="false">
      <c r="A11785" s="16" t="n">
        <v>45446</v>
      </c>
      <c r="B11785" s="17" t="s">
        <v>3861</v>
      </c>
      <c r="C11785" s="17" t="s">
        <v>3752</v>
      </c>
      <c r="D11785" s="17" t="s">
        <v>2895</v>
      </c>
      <c r="E11785" s="17" t="s">
        <v>3403</v>
      </c>
      <c r="F11785" s="17" t="s">
        <v>4457</v>
      </c>
      <c r="G11785" s="18" t="n">
        <v>741.4</v>
      </c>
      <c r="H11785" s="18" t="n">
        <v>0</v>
      </c>
      <c r="I11785" s="18" t="n">
        <f aca="false">((I11784 + G11785) - H11785)</f>
        <v>64644.86</v>
      </c>
      <c r="J11785" s="18" t="n">
        <v>0</v>
      </c>
      <c r="K11785" s="19" t="n">
        <v>0</v>
      </c>
      <c r="L11785" s="17"/>
    </row>
    <row r="11786" s="11" customFormat="true" ht="10.95" hidden="false" customHeight="true" outlineLevel="0" collapsed="false">
      <c r="A11786" s="16" t="n">
        <v>45446</v>
      </c>
      <c r="B11786" s="17" t="s">
        <v>3861</v>
      </c>
      <c r="C11786" s="17" t="s">
        <v>3752</v>
      </c>
      <c r="D11786" s="17" t="s">
        <v>2895</v>
      </c>
      <c r="E11786" s="17" t="s">
        <v>3403</v>
      </c>
      <c r="F11786" s="17" t="s">
        <v>4458</v>
      </c>
      <c r="G11786" s="18" t="n">
        <v>310.2</v>
      </c>
      <c r="H11786" s="18" t="n">
        <v>0</v>
      </c>
      <c r="I11786" s="18" t="n">
        <f aca="false">((I11785 + G11786) - H11786)</f>
        <v>64955.06</v>
      </c>
      <c r="J11786" s="18" t="n">
        <v>0</v>
      </c>
      <c r="K11786" s="19" t="n">
        <v>0</v>
      </c>
      <c r="L11786" s="17"/>
    </row>
    <row r="11787" s="11" customFormat="true" ht="10.95" hidden="false" customHeight="true" outlineLevel="0" collapsed="false">
      <c r="A11787" s="16" t="n">
        <v>45446</v>
      </c>
      <c r="B11787" s="17" t="s">
        <v>3861</v>
      </c>
      <c r="C11787" s="17" t="s">
        <v>3752</v>
      </c>
      <c r="D11787" s="17" t="s">
        <v>2895</v>
      </c>
      <c r="E11787" s="17" t="s">
        <v>3403</v>
      </c>
      <c r="F11787" s="17" t="s">
        <v>4459</v>
      </c>
      <c r="G11787" s="18" t="n">
        <v>1137.4</v>
      </c>
      <c r="H11787" s="18" t="n">
        <v>0</v>
      </c>
      <c r="I11787" s="18" t="n">
        <f aca="false">((I11786 + G11787) - H11787)</f>
        <v>66092.46</v>
      </c>
      <c r="J11787" s="18" t="n">
        <v>0</v>
      </c>
      <c r="K11787" s="19" t="n">
        <v>0</v>
      </c>
      <c r="L11787" s="17"/>
    </row>
    <row r="11788" s="11" customFormat="true" ht="10.95" hidden="false" customHeight="true" outlineLevel="0" collapsed="false">
      <c r="A11788" s="16" t="n">
        <v>45446</v>
      </c>
      <c r="B11788" s="17" t="s">
        <v>3861</v>
      </c>
      <c r="C11788" s="17" t="s">
        <v>3752</v>
      </c>
      <c r="D11788" s="17" t="s">
        <v>2895</v>
      </c>
      <c r="E11788" s="17" t="s">
        <v>3403</v>
      </c>
      <c r="F11788" s="17" t="s">
        <v>4460</v>
      </c>
      <c r="G11788" s="18" t="n">
        <v>206.8</v>
      </c>
      <c r="H11788" s="18" t="n">
        <v>0</v>
      </c>
      <c r="I11788" s="18" t="n">
        <f aca="false">((I11787 + G11788) - H11788)</f>
        <v>66299.26</v>
      </c>
      <c r="J11788" s="18" t="n">
        <v>0</v>
      </c>
      <c r="K11788" s="19" t="n">
        <v>0</v>
      </c>
      <c r="L11788" s="17"/>
    </row>
    <row r="11789" s="11" customFormat="true" ht="10.95" hidden="false" customHeight="true" outlineLevel="0" collapsed="false">
      <c r="A11789" s="16" t="n">
        <v>45446</v>
      </c>
      <c r="B11789" s="17" t="s">
        <v>3861</v>
      </c>
      <c r="C11789" s="17" t="s">
        <v>3752</v>
      </c>
      <c r="D11789" s="17" t="s">
        <v>2895</v>
      </c>
      <c r="E11789" s="17" t="s">
        <v>3403</v>
      </c>
      <c r="F11789" s="17" t="s">
        <v>4461</v>
      </c>
      <c r="G11789" s="18" t="n">
        <v>827.2</v>
      </c>
      <c r="H11789" s="18" t="n">
        <v>0</v>
      </c>
      <c r="I11789" s="18" t="n">
        <f aca="false">((I11788 + G11789) - H11789)</f>
        <v>67126.46</v>
      </c>
      <c r="J11789" s="18" t="n">
        <v>0</v>
      </c>
      <c r="K11789" s="19" t="n">
        <v>0</v>
      </c>
      <c r="L11789" s="17"/>
    </row>
    <row r="11790" s="11" customFormat="true" ht="10.95" hidden="false" customHeight="true" outlineLevel="0" collapsed="false">
      <c r="A11790" s="16" t="n">
        <v>45446</v>
      </c>
      <c r="B11790" s="17" t="s">
        <v>3861</v>
      </c>
      <c r="C11790" s="17" t="s">
        <v>3752</v>
      </c>
      <c r="D11790" s="17" t="s">
        <v>2895</v>
      </c>
      <c r="E11790" s="17" t="s">
        <v>3403</v>
      </c>
      <c r="F11790" s="17" t="s">
        <v>4462</v>
      </c>
      <c r="G11790" s="18" t="n">
        <v>114.95</v>
      </c>
      <c r="H11790" s="18" t="n">
        <v>0</v>
      </c>
      <c r="I11790" s="18" t="n">
        <f aca="false">((I11789 + G11790) - H11790)</f>
        <v>67241.41</v>
      </c>
      <c r="J11790" s="18" t="n">
        <v>0</v>
      </c>
      <c r="K11790" s="19" t="n">
        <v>0</v>
      </c>
      <c r="L11790" s="17"/>
    </row>
    <row r="11791" s="11" customFormat="true" ht="10.95" hidden="false" customHeight="true" outlineLevel="0" collapsed="false">
      <c r="A11791" s="16" t="n">
        <v>45446</v>
      </c>
      <c r="B11791" s="17" t="s">
        <v>3861</v>
      </c>
      <c r="C11791" s="17" t="s">
        <v>3752</v>
      </c>
      <c r="D11791" s="17" t="s">
        <v>2895</v>
      </c>
      <c r="E11791" s="17" t="s">
        <v>3403</v>
      </c>
      <c r="F11791" s="17" t="s">
        <v>4463</v>
      </c>
      <c r="G11791" s="18" t="n">
        <v>310.2</v>
      </c>
      <c r="H11791" s="18" t="n">
        <v>0</v>
      </c>
      <c r="I11791" s="18" t="n">
        <f aca="false">((I11790 + G11791) - H11791)</f>
        <v>67551.6099999999</v>
      </c>
      <c r="J11791" s="18" t="n">
        <v>0</v>
      </c>
      <c r="K11791" s="19" t="n">
        <v>0</v>
      </c>
      <c r="L11791" s="17"/>
    </row>
    <row r="11792" s="11" customFormat="true" ht="10.95" hidden="false" customHeight="true" outlineLevel="0" collapsed="false">
      <c r="A11792" s="16" t="n">
        <v>45446</v>
      </c>
      <c r="B11792" s="17" t="s">
        <v>3861</v>
      </c>
      <c r="C11792" s="17" t="s">
        <v>3752</v>
      </c>
      <c r="D11792" s="17" t="s">
        <v>2895</v>
      </c>
      <c r="E11792" s="17" t="s">
        <v>3403</v>
      </c>
      <c r="F11792" s="17" t="s">
        <v>4464</v>
      </c>
      <c r="G11792" s="18" t="n">
        <v>1361.8</v>
      </c>
      <c r="H11792" s="18" t="n">
        <v>0</v>
      </c>
      <c r="I11792" s="18" t="n">
        <f aca="false">((I11791 + G11792) - H11792)</f>
        <v>68913.41</v>
      </c>
      <c r="J11792" s="18" t="n">
        <v>0</v>
      </c>
      <c r="K11792" s="19" t="n">
        <v>0</v>
      </c>
      <c r="L11792" s="17"/>
    </row>
    <row r="11793" s="11" customFormat="true" ht="10.95" hidden="false" customHeight="true" outlineLevel="0" collapsed="false">
      <c r="A11793" s="16" t="n">
        <v>45446</v>
      </c>
      <c r="B11793" s="17" t="s">
        <v>3861</v>
      </c>
      <c r="C11793" s="17" t="s">
        <v>3752</v>
      </c>
      <c r="D11793" s="17" t="s">
        <v>2895</v>
      </c>
      <c r="E11793" s="17" t="s">
        <v>3403</v>
      </c>
      <c r="F11793" s="17" t="s">
        <v>4465</v>
      </c>
      <c r="G11793" s="18" t="n">
        <v>1967.9</v>
      </c>
      <c r="H11793" s="18" t="n">
        <v>0</v>
      </c>
      <c r="I11793" s="18" t="n">
        <f aca="false">((I11792 + G11793) - H11793)</f>
        <v>70881.3099999999</v>
      </c>
      <c r="J11793" s="18" t="n">
        <v>0</v>
      </c>
      <c r="K11793" s="19" t="n">
        <v>0</v>
      </c>
      <c r="L11793" s="17"/>
    </row>
    <row r="11794" s="11" customFormat="true" ht="10.95" hidden="false" customHeight="true" outlineLevel="0" collapsed="false">
      <c r="A11794" s="16" t="n">
        <v>45446</v>
      </c>
      <c r="B11794" s="17" t="s">
        <v>3861</v>
      </c>
      <c r="C11794" s="17" t="s">
        <v>3752</v>
      </c>
      <c r="D11794" s="17" t="s">
        <v>2895</v>
      </c>
      <c r="E11794" s="17" t="s">
        <v>3403</v>
      </c>
      <c r="F11794" s="17" t="s">
        <v>4466</v>
      </c>
      <c r="G11794" s="18" t="n">
        <v>627</v>
      </c>
      <c r="H11794" s="18" t="n">
        <v>0</v>
      </c>
      <c r="I11794" s="18" t="n">
        <f aca="false">((I11793 + G11794) - H11794)</f>
        <v>71508.3099999999</v>
      </c>
      <c r="J11794" s="18" t="n">
        <v>0</v>
      </c>
      <c r="K11794" s="19" t="n">
        <v>0</v>
      </c>
      <c r="L11794" s="17"/>
    </row>
    <row r="11795" s="11" customFormat="true" ht="10.95" hidden="false" customHeight="true" outlineLevel="0" collapsed="false">
      <c r="A11795" s="16" t="n">
        <v>45446</v>
      </c>
      <c r="B11795" s="17" t="s">
        <v>3861</v>
      </c>
      <c r="C11795" s="17" t="s">
        <v>3752</v>
      </c>
      <c r="D11795" s="17" t="s">
        <v>2895</v>
      </c>
      <c r="E11795" s="17" t="s">
        <v>3403</v>
      </c>
      <c r="F11795" s="17" t="s">
        <v>4467</v>
      </c>
      <c r="G11795" s="18" t="n">
        <v>1792.45</v>
      </c>
      <c r="H11795" s="18" t="n">
        <v>0</v>
      </c>
      <c r="I11795" s="18" t="n">
        <f aca="false">((I11794 + G11795) - H11795)</f>
        <v>73300.7599999999</v>
      </c>
      <c r="J11795" s="18" t="n">
        <v>0</v>
      </c>
      <c r="K11795" s="19" t="n">
        <v>0</v>
      </c>
      <c r="L11795" s="17"/>
    </row>
    <row r="11796" s="11" customFormat="true" ht="10.95" hidden="false" customHeight="true" outlineLevel="0" collapsed="false">
      <c r="A11796" s="16" t="n">
        <v>45446</v>
      </c>
      <c r="B11796" s="17" t="s">
        <v>3861</v>
      </c>
      <c r="C11796" s="17" t="s">
        <v>3752</v>
      </c>
      <c r="D11796" s="17" t="s">
        <v>2895</v>
      </c>
      <c r="E11796" s="17" t="s">
        <v>3403</v>
      </c>
      <c r="F11796" s="17" t="s">
        <v>4468</v>
      </c>
      <c r="G11796" s="18" t="n">
        <v>618.75</v>
      </c>
      <c r="H11796" s="18" t="n">
        <v>0</v>
      </c>
      <c r="I11796" s="18" t="n">
        <f aca="false">((I11795 + G11796) - H11796)</f>
        <v>73919.5099999999</v>
      </c>
      <c r="J11796" s="18" t="n">
        <v>0</v>
      </c>
      <c r="K11796" s="19" t="n">
        <v>0</v>
      </c>
      <c r="L11796" s="17"/>
    </row>
    <row r="11797" s="11" customFormat="true" ht="10.95" hidden="false" customHeight="true" outlineLevel="0" collapsed="false">
      <c r="A11797" s="16" t="n">
        <v>45446</v>
      </c>
      <c r="B11797" s="17" t="s">
        <v>3861</v>
      </c>
      <c r="C11797" s="17" t="s">
        <v>3752</v>
      </c>
      <c r="D11797" s="17" t="s">
        <v>2895</v>
      </c>
      <c r="E11797" s="17" t="s">
        <v>3403</v>
      </c>
      <c r="F11797" s="17" t="s">
        <v>4469</v>
      </c>
      <c r="G11797" s="18" t="n">
        <v>455.4</v>
      </c>
      <c r="H11797" s="18" t="n">
        <v>0</v>
      </c>
      <c r="I11797" s="18" t="n">
        <f aca="false">((I11796 + G11797) - H11797)</f>
        <v>74374.9099999999</v>
      </c>
      <c r="J11797" s="18" t="n">
        <v>0</v>
      </c>
      <c r="K11797" s="19" t="n">
        <v>0</v>
      </c>
      <c r="L11797" s="17"/>
    </row>
    <row r="11798" s="11" customFormat="true" ht="10.95" hidden="false" customHeight="true" outlineLevel="0" collapsed="false">
      <c r="A11798" s="16" t="n">
        <v>45446</v>
      </c>
      <c r="B11798" s="17" t="s">
        <v>3861</v>
      </c>
      <c r="C11798" s="17" t="s">
        <v>3752</v>
      </c>
      <c r="D11798" s="17" t="s">
        <v>2895</v>
      </c>
      <c r="E11798" s="17" t="s">
        <v>2951</v>
      </c>
      <c r="F11798" s="17" t="s">
        <v>3161</v>
      </c>
      <c r="G11798" s="18" t="n">
        <v>1467.25</v>
      </c>
      <c r="H11798" s="18" t="n">
        <v>0</v>
      </c>
      <c r="I11798" s="18" t="n">
        <f aca="false">((I11797 + G11798) - H11798)</f>
        <v>75842.1599999999</v>
      </c>
      <c r="J11798" s="18" t="n">
        <v>0</v>
      </c>
      <c r="K11798" s="19" t="n">
        <v>0</v>
      </c>
      <c r="L11798" s="17"/>
    </row>
    <row r="11799" s="11" customFormat="true" ht="10.95" hidden="false" customHeight="true" outlineLevel="0" collapsed="false">
      <c r="A11799" s="16" t="n">
        <v>45446</v>
      </c>
      <c r="B11799" s="17" t="s">
        <v>3861</v>
      </c>
      <c r="C11799" s="17" t="s">
        <v>3752</v>
      </c>
      <c r="D11799" s="17" t="s">
        <v>2895</v>
      </c>
      <c r="E11799" s="17" t="s">
        <v>2951</v>
      </c>
      <c r="F11799" s="17" t="s">
        <v>3162</v>
      </c>
      <c r="G11799" s="18" t="n">
        <v>1467.25</v>
      </c>
      <c r="H11799" s="18" t="n">
        <v>0</v>
      </c>
      <c r="I11799" s="18" t="n">
        <f aca="false">((I11798 + G11799) - H11799)</f>
        <v>77309.4099999999</v>
      </c>
      <c r="J11799" s="18" t="n">
        <v>0</v>
      </c>
      <c r="K11799" s="19" t="n">
        <v>0</v>
      </c>
      <c r="L11799" s="17"/>
    </row>
    <row r="11800" s="11" customFormat="true" ht="10.95" hidden="false" customHeight="true" outlineLevel="0" collapsed="false">
      <c r="A11800" s="16" t="n">
        <v>45446</v>
      </c>
      <c r="B11800" s="17" t="s">
        <v>3861</v>
      </c>
      <c r="C11800" s="17" t="s">
        <v>3752</v>
      </c>
      <c r="D11800" s="17" t="s">
        <v>2895</v>
      </c>
      <c r="E11800" s="17" t="s">
        <v>2951</v>
      </c>
      <c r="F11800" s="17" t="s">
        <v>3163</v>
      </c>
      <c r="G11800" s="18" t="n">
        <v>1467.26</v>
      </c>
      <c r="H11800" s="18" t="n">
        <v>0</v>
      </c>
      <c r="I11800" s="18" t="n">
        <f aca="false">((I11799 + G11800) - H11800)</f>
        <v>78776.6699999999</v>
      </c>
      <c r="J11800" s="18" t="n">
        <v>0</v>
      </c>
      <c r="K11800" s="19" t="n">
        <v>0</v>
      </c>
      <c r="L11800" s="17"/>
    </row>
    <row r="11801" s="11" customFormat="true" ht="10.95" hidden="false" customHeight="true" outlineLevel="0" collapsed="false">
      <c r="A11801" s="16" t="n">
        <v>45446</v>
      </c>
      <c r="B11801" s="17" t="s">
        <v>3861</v>
      </c>
      <c r="C11801" s="17" t="s">
        <v>3752</v>
      </c>
      <c r="D11801" s="17" t="s">
        <v>2895</v>
      </c>
      <c r="E11801" s="17" t="s">
        <v>3472</v>
      </c>
      <c r="F11801" s="17" t="s">
        <v>4470</v>
      </c>
      <c r="G11801" s="18" t="n">
        <v>1278.2</v>
      </c>
      <c r="H11801" s="18" t="n">
        <v>0</v>
      </c>
      <c r="I11801" s="18" t="n">
        <f aca="false">((I11800 + G11801) - H11801)</f>
        <v>80054.8699999999</v>
      </c>
      <c r="J11801" s="18" t="n">
        <v>0</v>
      </c>
      <c r="K11801" s="19" t="n">
        <v>0</v>
      </c>
      <c r="L11801" s="17"/>
    </row>
    <row r="11802" s="11" customFormat="true" ht="10.95" hidden="false" customHeight="true" outlineLevel="0" collapsed="false">
      <c r="A11802" s="16" t="n">
        <v>45446</v>
      </c>
      <c r="B11802" s="17" t="s">
        <v>3861</v>
      </c>
      <c r="C11802" s="17" t="s">
        <v>3752</v>
      </c>
      <c r="D11802" s="17" t="s">
        <v>2895</v>
      </c>
      <c r="E11802" s="17" t="s">
        <v>3410</v>
      </c>
      <c r="F11802" s="17" t="s">
        <v>4471</v>
      </c>
      <c r="G11802" s="18" t="n">
        <v>968</v>
      </c>
      <c r="H11802" s="18" t="n">
        <v>0</v>
      </c>
      <c r="I11802" s="18" t="n">
        <f aca="false">((I11801 + G11802) - H11802)</f>
        <v>81022.8699999999</v>
      </c>
      <c r="J11802" s="18" t="n">
        <v>0</v>
      </c>
      <c r="K11802" s="19" t="n">
        <v>0</v>
      </c>
      <c r="L11802" s="17"/>
    </row>
    <row r="11803" s="11" customFormat="true" ht="10.95" hidden="false" customHeight="true" outlineLevel="0" collapsed="false">
      <c r="A11803" s="16" t="n">
        <v>45446</v>
      </c>
      <c r="B11803" s="17" t="s">
        <v>3861</v>
      </c>
      <c r="C11803" s="17" t="s">
        <v>3752</v>
      </c>
      <c r="D11803" s="17" t="s">
        <v>2903</v>
      </c>
      <c r="E11803" s="17" t="s">
        <v>3629</v>
      </c>
      <c r="F11803" s="17" t="s">
        <v>3223</v>
      </c>
      <c r="G11803" s="18" t="n">
        <v>0</v>
      </c>
      <c r="H11803" s="18" t="n">
        <v>5010.29</v>
      </c>
      <c r="I11803" s="18" t="n">
        <f aca="false">((I11802 + G11803) - H11803)</f>
        <v>76012.5799999999</v>
      </c>
      <c r="J11803" s="18" t="n">
        <v>0</v>
      </c>
      <c r="K11803" s="19" t="n">
        <v>0</v>
      </c>
      <c r="L11803" s="17"/>
    </row>
    <row r="11804" s="11" customFormat="true" ht="10.95" hidden="false" customHeight="true" outlineLevel="0" collapsed="false">
      <c r="A11804" s="16" t="n">
        <v>45446</v>
      </c>
      <c r="B11804" s="17" t="s">
        <v>3861</v>
      </c>
      <c r="C11804" s="17" t="s">
        <v>3752</v>
      </c>
      <c r="D11804" s="17" t="s">
        <v>2895</v>
      </c>
      <c r="E11804" s="17" t="s">
        <v>2925</v>
      </c>
      <c r="F11804" s="17" t="s">
        <v>3164</v>
      </c>
      <c r="G11804" s="18" t="n">
        <v>113.88</v>
      </c>
      <c r="H11804" s="18" t="n">
        <v>0</v>
      </c>
      <c r="I11804" s="18" t="n">
        <f aca="false">((I11803 + G11804) - H11804)</f>
        <v>76126.4599999999</v>
      </c>
      <c r="J11804" s="18" t="n">
        <v>0</v>
      </c>
      <c r="K11804" s="19" t="n">
        <v>0</v>
      </c>
      <c r="L11804" s="17"/>
    </row>
    <row r="11805" s="11" customFormat="true" ht="10.95" hidden="false" customHeight="true" outlineLevel="0" collapsed="false">
      <c r="A11805" s="16" t="n">
        <v>45446</v>
      </c>
      <c r="B11805" s="17" t="s">
        <v>3861</v>
      </c>
      <c r="C11805" s="17" t="s">
        <v>3752</v>
      </c>
      <c r="D11805" s="17" t="s">
        <v>2903</v>
      </c>
      <c r="E11805" s="17" t="s">
        <v>3629</v>
      </c>
      <c r="F11805" s="17" t="s">
        <v>3225</v>
      </c>
      <c r="G11805" s="18" t="n">
        <v>0</v>
      </c>
      <c r="H11805" s="18" t="n">
        <v>8970.2</v>
      </c>
      <c r="I11805" s="18" t="n">
        <f aca="false">((I11804 + G11805) - H11805)</f>
        <v>67156.2599999999</v>
      </c>
      <c r="J11805" s="18" t="n">
        <v>0</v>
      </c>
      <c r="K11805" s="19" t="n">
        <v>0</v>
      </c>
      <c r="L11805" s="17"/>
    </row>
    <row r="11806" s="11" customFormat="true" ht="10.95" hidden="false" customHeight="true" outlineLevel="0" collapsed="false">
      <c r="A11806" s="16" t="n">
        <v>45447</v>
      </c>
      <c r="B11806" s="17" t="s">
        <v>3861</v>
      </c>
      <c r="C11806" s="17" t="s">
        <v>3752</v>
      </c>
      <c r="D11806" s="17" t="s">
        <v>2895</v>
      </c>
      <c r="E11806" s="17" t="s">
        <v>3389</v>
      </c>
      <c r="F11806" s="17" t="s">
        <v>4472</v>
      </c>
      <c r="G11806" s="18" t="n">
        <v>4994</v>
      </c>
      <c r="H11806" s="18" t="n">
        <v>0</v>
      </c>
      <c r="I11806" s="18" t="n">
        <f aca="false">((I11805 + G11806) - H11806)</f>
        <v>72150.2599999999</v>
      </c>
      <c r="J11806" s="18" t="n">
        <v>0</v>
      </c>
      <c r="K11806" s="19" t="n">
        <v>0</v>
      </c>
      <c r="L11806" s="17"/>
    </row>
    <row r="11807" s="11" customFormat="true" ht="10.95" hidden="false" customHeight="true" outlineLevel="0" collapsed="false">
      <c r="A11807" s="16" t="n">
        <v>45447</v>
      </c>
      <c r="B11807" s="17" t="s">
        <v>3861</v>
      </c>
      <c r="C11807" s="17" t="s">
        <v>3752</v>
      </c>
      <c r="D11807" s="17" t="s">
        <v>2903</v>
      </c>
      <c r="E11807" s="17" t="s">
        <v>3637</v>
      </c>
      <c r="F11807" s="17" t="s">
        <v>2721</v>
      </c>
      <c r="G11807" s="18" t="n">
        <v>0</v>
      </c>
      <c r="H11807" s="18" t="n">
        <v>731.5</v>
      </c>
      <c r="I11807" s="18" t="n">
        <f aca="false">((I11806 + G11807) - H11807)</f>
        <v>71418.7599999999</v>
      </c>
      <c r="J11807" s="18" t="n">
        <v>0</v>
      </c>
      <c r="K11807" s="19" t="n">
        <v>0</v>
      </c>
      <c r="L11807" s="17"/>
    </row>
    <row r="11808" s="11" customFormat="true" ht="10.95" hidden="false" customHeight="true" outlineLevel="0" collapsed="false">
      <c r="A11808" s="16" t="n">
        <v>45447</v>
      </c>
      <c r="B11808" s="17" t="s">
        <v>3861</v>
      </c>
      <c r="C11808" s="17" t="s">
        <v>3752</v>
      </c>
      <c r="D11808" s="17" t="s">
        <v>2895</v>
      </c>
      <c r="E11808" s="17" t="s">
        <v>2925</v>
      </c>
      <c r="F11808" s="17" t="s">
        <v>3165</v>
      </c>
      <c r="G11808" s="18" t="n">
        <v>1400.74</v>
      </c>
      <c r="H11808" s="18" t="n">
        <v>0</v>
      </c>
      <c r="I11808" s="18" t="n">
        <f aca="false">((I11807 + G11808) - H11808)</f>
        <v>72819.4999999999</v>
      </c>
      <c r="J11808" s="18" t="n">
        <v>0</v>
      </c>
      <c r="K11808" s="19" t="n">
        <v>0</v>
      </c>
      <c r="L11808" s="17"/>
    </row>
    <row r="11809" s="11" customFormat="true" ht="10.95" hidden="false" customHeight="true" outlineLevel="0" collapsed="false">
      <c r="A11809" s="16" t="n">
        <v>45447</v>
      </c>
      <c r="B11809" s="17" t="s">
        <v>3861</v>
      </c>
      <c r="C11809" s="17" t="s">
        <v>3752</v>
      </c>
      <c r="D11809" s="17" t="s">
        <v>2895</v>
      </c>
      <c r="E11809" s="17" t="s">
        <v>2900</v>
      </c>
      <c r="F11809" s="17" t="s">
        <v>3166</v>
      </c>
      <c r="G11809" s="18" t="n">
        <v>782.52</v>
      </c>
      <c r="H11809" s="18" t="n">
        <v>0</v>
      </c>
      <c r="I11809" s="18" t="n">
        <f aca="false">((I11808 + G11809) - H11809)</f>
        <v>73602.02</v>
      </c>
      <c r="J11809" s="18" t="n">
        <v>0</v>
      </c>
      <c r="K11809" s="19" t="n">
        <v>0</v>
      </c>
      <c r="L11809" s="17"/>
    </row>
    <row r="11810" s="11" customFormat="true" ht="10.95" hidden="false" customHeight="true" outlineLevel="0" collapsed="false">
      <c r="A11810" s="16" t="n">
        <v>45447</v>
      </c>
      <c r="B11810" s="17" t="s">
        <v>3861</v>
      </c>
      <c r="C11810" s="17" t="s">
        <v>3752</v>
      </c>
      <c r="D11810" s="17" t="s">
        <v>2895</v>
      </c>
      <c r="E11810" s="17" t="s">
        <v>2900</v>
      </c>
      <c r="F11810" s="17" t="s">
        <v>3167</v>
      </c>
      <c r="G11810" s="18" t="n">
        <v>2225.12</v>
      </c>
      <c r="H11810" s="18" t="n">
        <v>0</v>
      </c>
      <c r="I11810" s="18" t="n">
        <f aca="false">((I11809 + G11810) - H11810)</f>
        <v>75827.1399999999</v>
      </c>
      <c r="J11810" s="18" t="n">
        <v>0</v>
      </c>
      <c r="K11810" s="19" t="n">
        <v>0</v>
      </c>
      <c r="L11810" s="17"/>
    </row>
    <row r="11811" s="11" customFormat="true" ht="10.95" hidden="false" customHeight="true" outlineLevel="0" collapsed="false">
      <c r="A11811" s="16" t="n">
        <v>45447</v>
      </c>
      <c r="B11811" s="17" t="s">
        <v>3861</v>
      </c>
      <c r="C11811" s="17" t="s">
        <v>3752</v>
      </c>
      <c r="D11811" s="17" t="s">
        <v>2895</v>
      </c>
      <c r="E11811" s="17" t="s">
        <v>2900</v>
      </c>
      <c r="F11811" s="17" t="s">
        <v>3168</v>
      </c>
      <c r="G11811" s="18" t="n">
        <v>1000.12</v>
      </c>
      <c r="H11811" s="18" t="n">
        <v>0</v>
      </c>
      <c r="I11811" s="18" t="n">
        <f aca="false">((I11810 + G11811) - H11811)</f>
        <v>76827.2599999999</v>
      </c>
      <c r="J11811" s="18" t="n">
        <v>0</v>
      </c>
      <c r="K11811" s="19" t="n">
        <v>0</v>
      </c>
      <c r="L11811" s="17"/>
    </row>
    <row r="11812" s="11" customFormat="true" ht="10.95" hidden="false" customHeight="true" outlineLevel="0" collapsed="false">
      <c r="A11812" s="16" t="n">
        <v>45447</v>
      </c>
      <c r="B11812" s="17" t="s">
        <v>3861</v>
      </c>
      <c r="C11812" s="17" t="s">
        <v>3752</v>
      </c>
      <c r="D11812" s="17" t="s">
        <v>2895</v>
      </c>
      <c r="E11812" s="17" t="s">
        <v>2900</v>
      </c>
      <c r="F11812" s="17" t="s">
        <v>3169</v>
      </c>
      <c r="G11812" s="18" t="n">
        <v>131.1</v>
      </c>
      <c r="H11812" s="18" t="n">
        <v>0</v>
      </c>
      <c r="I11812" s="18" t="n">
        <f aca="false">((I11811 + G11812) - H11812)</f>
        <v>76958.3599999999</v>
      </c>
      <c r="J11812" s="18" t="n">
        <v>0</v>
      </c>
      <c r="K11812" s="19" t="n">
        <v>0</v>
      </c>
      <c r="L11812" s="17"/>
    </row>
    <row r="11813" s="11" customFormat="true" ht="10.95" hidden="false" customHeight="true" outlineLevel="0" collapsed="false">
      <c r="A11813" s="16" t="n">
        <v>45447</v>
      </c>
      <c r="B11813" s="17" t="s">
        <v>3861</v>
      </c>
      <c r="C11813" s="17" t="s">
        <v>3752</v>
      </c>
      <c r="D11813" s="17" t="s">
        <v>2895</v>
      </c>
      <c r="E11813" s="17" t="s">
        <v>2898</v>
      </c>
      <c r="F11813" s="17" t="s">
        <v>3170</v>
      </c>
      <c r="G11813" s="18" t="n">
        <v>743.04</v>
      </c>
      <c r="H11813" s="18" t="n">
        <v>0</v>
      </c>
      <c r="I11813" s="18" t="n">
        <f aca="false">((I11812 + G11813) - H11813)</f>
        <v>77701.3999999999</v>
      </c>
      <c r="J11813" s="18" t="n">
        <v>0</v>
      </c>
      <c r="K11813" s="19" t="n">
        <v>0</v>
      </c>
      <c r="L11813" s="17"/>
    </row>
    <row r="11814" s="11" customFormat="true" ht="10.95" hidden="false" customHeight="true" outlineLevel="0" collapsed="false">
      <c r="A11814" s="16" t="n">
        <v>45447</v>
      </c>
      <c r="B11814" s="17" t="s">
        <v>3861</v>
      </c>
      <c r="C11814" s="17" t="s">
        <v>3752</v>
      </c>
      <c r="D11814" s="17" t="s">
        <v>1407</v>
      </c>
      <c r="E11814" s="17" t="s">
        <v>3863</v>
      </c>
      <c r="F11814" s="17"/>
      <c r="G11814" s="18" t="n">
        <v>0</v>
      </c>
      <c r="H11814" s="18" t="n">
        <v>8.72</v>
      </c>
      <c r="I11814" s="18" t="n">
        <f aca="false">((I11813 + G11814) - H11814)</f>
        <v>77692.6799999999</v>
      </c>
      <c r="J11814" s="18" t="n">
        <v>0</v>
      </c>
      <c r="K11814" s="19" t="n">
        <v>0</v>
      </c>
      <c r="L11814" s="17"/>
    </row>
    <row r="11815" s="11" customFormat="true" ht="10.95" hidden="false" customHeight="true" outlineLevel="0" collapsed="false">
      <c r="A11815" s="16" t="n">
        <v>45447</v>
      </c>
      <c r="B11815" s="17" t="s">
        <v>3861</v>
      </c>
      <c r="C11815" s="17" t="s">
        <v>3752</v>
      </c>
      <c r="D11815" s="17" t="s">
        <v>1407</v>
      </c>
      <c r="E11815" s="17" t="s">
        <v>3878</v>
      </c>
      <c r="F11815" s="17"/>
      <c r="G11815" s="18" t="n">
        <v>0</v>
      </c>
      <c r="H11815" s="18" t="n">
        <v>1569.5</v>
      </c>
      <c r="I11815" s="18" t="n">
        <f aca="false">((I11814 + G11815) - H11815)</f>
        <v>76123.1799999999</v>
      </c>
      <c r="J11815" s="18" t="n">
        <v>0</v>
      </c>
      <c r="K11815" s="19" t="n">
        <v>0</v>
      </c>
      <c r="L11815" s="17"/>
    </row>
    <row r="11816" s="11" customFormat="true" ht="10.95" hidden="false" customHeight="true" outlineLevel="0" collapsed="false">
      <c r="A11816" s="16" t="n">
        <v>45447</v>
      </c>
      <c r="B11816" s="17" t="s">
        <v>3861</v>
      </c>
      <c r="C11816" s="17" t="s">
        <v>3752</v>
      </c>
      <c r="D11816" s="17" t="s">
        <v>1407</v>
      </c>
      <c r="E11816" s="17" t="s">
        <v>3879</v>
      </c>
      <c r="F11816" s="17"/>
      <c r="G11816" s="18" t="n">
        <v>0</v>
      </c>
      <c r="H11816" s="18" t="n">
        <v>5900</v>
      </c>
      <c r="I11816" s="18" t="n">
        <f aca="false">((I11815 + G11816) - H11816)</f>
        <v>70223.1799999999</v>
      </c>
      <c r="J11816" s="18" t="n">
        <v>0</v>
      </c>
      <c r="K11816" s="19" t="n">
        <v>0</v>
      </c>
      <c r="L11816" s="17"/>
    </row>
    <row r="11817" s="11" customFormat="true" ht="10.95" hidden="false" customHeight="true" outlineLevel="0" collapsed="false">
      <c r="A11817" s="16" t="n">
        <v>45447</v>
      </c>
      <c r="B11817" s="17" t="s">
        <v>3861</v>
      </c>
      <c r="C11817" s="17" t="s">
        <v>3752</v>
      </c>
      <c r="D11817" s="17" t="s">
        <v>1407</v>
      </c>
      <c r="E11817" s="17" t="s">
        <v>3880</v>
      </c>
      <c r="F11817" s="17"/>
      <c r="G11817" s="18" t="n">
        <v>0</v>
      </c>
      <c r="H11817" s="18" t="n">
        <v>6550</v>
      </c>
      <c r="I11817" s="18" t="n">
        <f aca="false">((I11816 + G11817) - H11817)</f>
        <v>63673.1799999999</v>
      </c>
      <c r="J11817" s="18" t="n">
        <v>0</v>
      </c>
      <c r="K11817" s="19" t="n">
        <v>0</v>
      </c>
      <c r="L11817" s="17"/>
    </row>
    <row r="11818" s="11" customFormat="true" ht="10.95" hidden="false" customHeight="true" outlineLevel="0" collapsed="false">
      <c r="A11818" s="16" t="n">
        <v>45447</v>
      </c>
      <c r="B11818" s="17" t="s">
        <v>3861</v>
      </c>
      <c r="C11818" s="17" t="s">
        <v>3752</v>
      </c>
      <c r="D11818" s="17" t="s">
        <v>1407</v>
      </c>
      <c r="E11818" s="17" t="s">
        <v>3878</v>
      </c>
      <c r="F11818" s="17"/>
      <c r="G11818" s="18" t="n">
        <v>0</v>
      </c>
      <c r="H11818" s="18" t="n">
        <v>6550</v>
      </c>
      <c r="I11818" s="18" t="n">
        <f aca="false">((I11817 + G11818) - H11818)</f>
        <v>57123.1799999999</v>
      </c>
      <c r="J11818" s="18" t="n">
        <v>0</v>
      </c>
      <c r="K11818" s="19" t="n">
        <v>0</v>
      </c>
      <c r="L11818" s="17"/>
    </row>
    <row r="11819" s="11" customFormat="true" ht="10.95" hidden="false" customHeight="true" outlineLevel="0" collapsed="false">
      <c r="A11819" s="16" t="n">
        <v>45447</v>
      </c>
      <c r="B11819" s="17" t="s">
        <v>3861</v>
      </c>
      <c r="C11819" s="17" t="s">
        <v>3752</v>
      </c>
      <c r="D11819" s="17" t="s">
        <v>2903</v>
      </c>
      <c r="E11819" s="17" t="s">
        <v>3652</v>
      </c>
      <c r="F11819" s="17" t="s">
        <v>2438</v>
      </c>
      <c r="G11819" s="18" t="n">
        <v>0</v>
      </c>
      <c r="H11819" s="18" t="n">
        <v>179</v>
      </c>
      <c r="I11819" s="18" t="n">
        <f aca="false">((I11818 + G11819) - H11819)</f>
        <v>56944.1799999999</v>
      </c>
      <c r="J11819" s="18" t="n">
        <v>0</v>
      </c>
      <c r="K11819" s="19" t="n">
        <v>0</v>
      </c>
      <c r="L11819" s="17"/>
    </row>
    <row r="11820" s="11" customFormat="true" ht="10.95" hidden="false" customHeight="true" outlineLevel="0" collapsed="false">
      <c r="A11820" s="16" t="n">
        <v>45447</v>
      </c>
      <c r="B11820" s="17" t="s">
        <v>3861</v>
      </c>
      <c r="C11820" s="17" t="s">
        <v>3752</v>
      </c>
      <c r="D11820" s="17" t="s">
        <v>2903</v>
      </c>
      <c r="E11820" s="17" t="s">
        <v>3652</v>
      </c>
      <c r="F11820" s="17" t="s">
        <v>2436</v>
      </c>
      <c r="G11820" s="18" t="n">
        <v>0</v>
      </c>
      <c r="H11820" s="18" t="n">
        <v>248</v>
      </c>
      <c r="I11820" s="18" t="n">
        <f aca="false">((I11819 + G11820) - H11820)</f>
        <v>56696.1799999999</v>
      </c>
      <c r="J11820" s="18" t="n">
        <v>0</v>
      </c>
      <c r="K11820" s="19" t="n">
        <v>0</v>
      </c>
      <c r="L11820" s="17"/>
    </row>
    <row r="11821" s="11" customFormat="true" ht="10.95" hidden="false" customHeight="true" outlineLevel="0" collapsed="false">
      <c r="A11821" s="16" t="n">
        <v>45447</v>
      </c>
      <c r="B11821" s="17" t="s">
        <v>3861</v>
      </c>
      <c r="C11821" s="17" t="s">
        <v>3752</v>
      </c>
      <c r="D11821" s="17" t="s">
        <v>2903</v>
      </c>
      <c r="E11821" s="17" t="s">
        <v>2969</v>
      </c>
      <c r="F11821" s="17" t="s">
        <v>1573</v>
      </c>
      <c r="G11821" s="18" t="n">
        <v>0</v>
      </c>
      <c r="H11821" s="18" t="n">
        <v>249.18</v>
      </c>
      <c r="I11821" s="18" t="n">
        <f aca="false">((I11820 + G11821) - H11821)</f>
        <v>56446.9999999999</v>
      </c>
      <c r="J11821" s="18" t="n">
        <v>0</v>
      </c>
      <c r="K11821" s="19" t="n">
        <v>0</v>
      </c>
      <c r="L11821" s="17"/>
    </row>
    <row r="11822" s="11" customFormat="true" ht="10.95" hidden="false" customHeight="true" outlineLevel="0" collapsed="false">
      <c r="A11822" s="16" t="n">
        <v>45448</v>
      </c>
      <c r="B11822" s="17" t="s">
        <v>3861</v>
      </c>
      <c r="C11822" s="17" t="s">
        <v>3752</v>
      </c>
      <c r="D11822" s="17" t="s">
        <v>2895</v>
      </c>
      <c r="E11822" s="17" t="s">
        <v>2947</v>
      </c>
      <c r="F11822" s="17" t="s">
        <v>3171</v>
      </c>
      <c r="G11822" s="18" t="n">
        <v>5571.55</v>
      </c>
      <c r="H11822" s="18" t="n">
        <v>0</v>
      </c>
      <c r="I11822" s="18" t="n">
        <f aca="false">((I11821 + G11822) - H11822)</f>
        <v>62018.5499999999</v>
      </c>
      <c r="J11822" s="18" t="n">
        <v>0</v>
      </c>
      <c r="K11822" s="19" t="n">
        <v>0</v>
      </c>
      <c r="L11822" s="17"/>
    </row>
    <row r="11823" s="11" customFormat="true" ht="10.95" hidden="false" customHeight="true" outlineLevel="0" collapsed="false">
      <c r="A11823" s="16" t="n">
        <v>45448</v>
      </c>
      <c r="B11823" s="17" t="s">
        <v>3861</v>
      </c>
      <c r="C11823" s="17" t="s">
        <v>3752</v>
      </c>
      <c r="D11823" s="17" t="s">
        <v>1407</v>
      </c>
      <c r="E11823" s="17" t="s">
        <v>3767</v>
      </c>
      <c r="F11823" s="17" t="s">
        <v>2781</v>
      </c>
      <c r="G11823" s="18" t="n">
        <v>0</v>
      </c>
      <c r="H11823" s="18" t="n">
        <v>1.02</v>
      </c>
      <c r="I11823" s="18" t="n">
        <f aca="false">((I11822 + G11823) - H11823)</f>
        <v>62017.5299999999</v>
      </c>
      <c r="J11823" s="18" t="n">
        <v>0</v>
      </c>
      <c r="K11823" s="19" t="n">
        <v>0</v>
      </c>
      <c r="L11823" s="17"/>
    </row>
    <row r="11824" s="11" customFormat="true" ht="10.95" hidden="false" customHeight="true" outlineLevel="0" collapsed="false">
      <c r="A11824" s="16" t="n">
        <v>45448</v>
      </c>
      <c r="B11824" s="17" t="s">
        <v>3861</v>
      </c>
      <c r="C11824" s="17" t="s">
        <v>3752</v>
      </c>
      <c r="D11824" s="17" t="s">
        <v>2895</v>
      </c>
      <c r="E11824" s="17" t="s">
        <v>3391</v>
      </c>
      <c r="F11824" s="17" t="s">
        <v>4473</v>
      </c>
      <c r="G11824" s="18" t="n">
        <v>1100.06</v>
      </c>
      <c r="H11824" s="18" t="n">
        <v>0</v>
      </c>
      <c r="I11824" s="18" t="n">
        <f aca="false">((I11823 + G11824) - H11824)</f>
        <v>63117.5899999999</v>
      </c>
      <c r="J11824" s="18" t="n">
        <v>0</v>
      </c>
      <c r="K11824" s="19" t="n">
        <v>0</v>
      </c>
      <c r="L11824" s="17"/>
    </row>
    <row r="11825" s="11" customFormat="true" ht="10.95" hidden="false" customHeight="true" outlineLevel="0" collapsed="false">
      <c r="A11825" s="16" t="n">
        <v>45448</v>
      </c>
      <c r="B11825" s="17" t="s">
        <v>3861</v>
      </c>
      <c r="C11825" s="17" t="s">
        <v>3752</v>
      </c>
      <c r="D11825" s="17" t="s">
        <v>3814</v>
      </c>
      <c r="E11825" s="17" t="s">
        <v>3815</v>
      </c>
      <c r="F11825" s="17"/>
      <c r="G11825" s="18" t="n">
        <v>0</v>
      </c>
      <c r="H11825" s="18" t="n">
        <v>0.02</v>
      </c>
      <c r="I11825" s="18" t="n">
        <f aca="false">((I11824 + G11825) - H11825)</f>
        <v>63117.5699999999</v>
      </c>
      <c r="J11825" s="18" t="n">
        <v>0</v>
      </c>
      <c r="K11825" s="19" t="n">
        <v>0</v>
      </c>
      <c r="L11825" s="17"/>
    </row>
    <row r="11826" s="11" customFormat="true" ht="10.95" hidden="false" customHeight="true" outlineLevel="0" collapsed="false">
      <c r="A11826" s="16" t="n">
        <v>45448</v>
      </c>
      <c r="B11826" s="17" t="s">
        <v>3861</v>
      </c>
      <c r="C11826" s="17" t="s">
        <v>3752</v>
      </c>
      <c r="D11826" s="17" t="s">
        <v>1407</v>
      </c>
      <c r="E11826" s="17" t="s">
        <v>3881</v>
      </c>
      <c r="F11826" s="17"/>
      <c r="G11826" s="18" t="n">
        <v>0</v>
      </c>
      <c r="H11826" s="18" t="n">
        <v>140</v>
      </c>
      <c r="I11826" s="18" t="n">
        <f aca="false">((I11825 + G11826) - H11826)</f>
        <v>62977.5699999999</v>
      </c>
      <c r="J11826" s="18" t="n">
        <v>0</v>
      </c>
      <c r="K11826" s="19" t="n">
        <v>0</v>
      </c>
      <c r="L11826" s="17"/>
    </row>
    <row r="11827" s="11" customFormat="true" ht="10.95" hidden="false" customHeight="true" outlineLevel="0" collapsed="false">
      <c r="A11827" s="16" t="n">
        <v>45448</v>
      </c>
      <c r="B11827" s="17" t="s">
        <v>3861</v>
      </c>
      <c r="C11827" s="17" t="s">
        <v>3752</v>
      </c>
      <c r="D11827" s="17" t="s">
        <v>1407</v>
      </c>
      <c r="E11827" s="17" t="s">
        <v>3888</v>
      </c>
      <c r="F11827" s="17"/>
      <c r="G11827" s="18" t="n">
        <v>0</v>
      </c>
      <c r="H11827" s="18" t="n">
        <v>484.2</v>
      </c>
      <c r="I11827" s="18" t="n">
        <f aca="false">((I11826 + G11827) - H11827)</f>
        <v>62493.3699999999</v>
      </c>
      <c r="J11827" s="18" t="n">
        <v>0</v>
      </c>
      <c r="K11827" s="19" t="n">
        <v>0</v>
      </c>
      <c r="L11827" s="17"/>
    </row>
    <row r="11828" s="11" customFormat="true" ht="10.95" hidden="false" customHeight="true" outlineLevel="0" collapsed="false">
      <c r="A11828" s="16" t="n">
        <v>45448</v>
      </c>
      <c r="B11828" s="17" t="s">
        <v>3861</v>
      </c>
      <c r="C11828" s="17" t="s">
        <v>3752</v>
      </c>
      <c r="D11828" s="17" t="s">
        <v>1407</v>
      </c>
      <c r="E11828" s="17" t="s">
        <v>3879</v>
      </c>
      <c r="F11828" s="17"/>
      <c r="G11828" s="18" t="n">
        <v>0</v>
      </c>
      <c r="H11828" s="18" t="n">
        <v>1571.5</v>
      </c>
      <c r="I11828" s="18" t="n">
        <f aca="false">((I11827 + G11828) - H11828)</f>
        <v>60921.8699999999</v>
      </c>
      <c r="J11828" s="18" t="n">
        <v>0</v>
      </c>
      <c r="K11828" s="19" t="n">
        <v>0</v>
      </c>
      <c r="L11828" s="17"/>
    </row>
    <row r="11829" s="11" customFormat="true" ht="10.95" hidden="false" customHeight="true" outlineLevel="0" collapsed="false">
      <c r="A11829" s="16" t="n">
        <v>45448</v>
      </c>
      <c r="B11829" s="17" t="s">
        <v>3861</v>
      </c>
      <c r="C11829" s="17" t="s">
        <v>3752</v>
      </c>
      <c r="D11829" s="17" t="s">
        <v>1407</v>
      </c>
      <c r="E11829" s="17" t="s">
        <v>3880</v>
      </c>
      <c r="F11829" s="17"/>
      <c r="G11829" s="18" t="n">
        <v>0</v>
      </c>
      <c r="H11829" s="18" t="n">
        <v>1765.5</v>
      </c>
      <c r="I11829" s="18" t="n">
        <f aca="false">((I11828 + G11829) - H11829)</f>
        <v>59156.3699999999</v>
      </c>
      <c r="J11829" s="18" t="n">
        <v>0</v>
      </c>
      <c r="K11829" s="19" t="n">
        <v>0</v>
      </c>
      <c r="L11829" s="17"/>
    </row>
    <row r="11830" s="11" customFormat="true" ht="10.95" hidden="false" customHeight="true" outlineLevel="0" collapsed="false">
      <c r="A11830" s="16" t="n">
        <v>45448</v>
      </c>
      <c r="B11830" s="17" t="s">
        <v>3861</v>
      </c>
      <c r="C11830" s="17" t="s">
        <v>3752</v>
      </c>
      <c r="D11830" s="17" t="s">
        <v>1407</v>
      </c>
      <c r="E11830" s="17" t="s">
        <v>3808</v>
      </c>
      <c r="F11830" s="17"/>
      <c r="G11830" s="18" t="n">
        <v>0</v>
      </c>
      <c r="H11830" s="18" t="n">
        <v>2163.92</v>
      </c>
      <c r="I11830" s="18" t="n">
        <f aca="false">((I11829 + G11830) - H11830)</f>
        <v>56992.4499999999</v>
      </c>
      <c r="J11830" s="18" t="n">
        <v>0</v>
      </c>
      <c r="K11830" s="19" t="n">
        <v>0</v>
      </c>
      <c r="L11830" s="17"/>
    </row>
    <row r="11831" s="11" customFormat="true" ht="10.95" hidden="false" customHeight="true" outlineLevel="0" collapsed="false">
      <c r="A11831" s="16" t="n">
        <v>45448</v>
      </c>
      <c r="B11831" s="17" t="s">
        <v>3861</v>
      </c>
      <c r="C11831" s="17" t="s">
        <v>3752</v>
      </c>
      <c r="D11831" s="17" t="s">
        <v>2903</v>
      </c>
      <c r="E11831" s="17" t="s">
        <v>3657</v>
      </c>
      <c r="F11831" s="17" t="s">
        <v>1567</v>
      </c>
      <c r="G11831" s="18" t="n">
        <v>0</v>
      </c>
      <c r="H11831" s="18" t="n">
        <v>6478.12</v>
      </c>
      <c r="I11831" s="18" t="n">
        <f aca="false">((I11830 + G11831) - H11831)</f>
        <v>50514.3299999999</v>
      </c>
      <c r="J11831" s="18" t="n">
        <v>0</v>
      </c>
      <c r="K11831" s="19" t="n">
        <v>0</v>
      </c>
      <c r="L11831" s="17"/>
    </row>
    <row r="11832" s="11" customFormat="true" ht="10.95" hidden="false" customHeight="true" outlineLevel="0" collapsed="false">
      <c r="A11832" s="16" t="n">
        <v>45449</v>
      </c>
      <c r="B11832" s="17" t="s">
        <v>3861</v>
      </c>
      <c r="C11832" s="17" t="s">
        <v>3752</v>
      </c>
      <c r="D11832" s="17" t="s">
        <v>2895</v>
      </c>
      <c r="E11832" s="17" t="s">
        <v>2922</v>
      </c>
      <c r="F11832" s="17" t="s">
        <v>3172</v>
      </c>
      <c r="G11832" s="18" t="n">
        <v>9302.93</v>
      </c>
      <c r="H11832" s="18" t="n">
        <v>0</v>
      </c>
      <c r="I11832" s="18" t="n">
        <f aca="false">((I11831 + G11832) - H11832)</f>
        <v>59817.2599999999</v>
      </c>
      <c r="J11832" s="18" t="n">
        <v>0</v>
      </c>
      <c r="K11832" s="19" t="n">
        <v>0</v>
      </c>
      <c r="L11832" s="17"/>
    </row>
    <row r="11833" s="11" customFormat="true" ht="10.95" hidden="false" customHeight="true" outlineLevel="0" collapsed="false">
      <c r="A11833" s="16" t="n">
        <v>45449</v>
      </c>
      <c r="B11833" s="17" t="s">
        <v>3861</v>
      </c>
      <c r="C11833" s="17" t="s">
        <v>3752</v>
      </c>
      <c r="D11833" s="17" t="s">
        <v>2903</v>
      </c>
      <c r="E11833" s="17" t="s">
        <v>3735</v>
      </c>
      <c r="F11833" s="17" t="s">
        <v>2577</v>
      </c>
      <c r="G11833" s="18" t="n">
        <v>0</v>
      </c>
      <c r="H11833" s="18" t="n">
        <v>141.68</v>
      </c>
      <c r="I11833" s="18" t="n">
        <f aca="false">((I11832 + G11833) - H11833)</f>
        <v>59675.5799999999</v>
      </c>
      <c r="J11833" s="18" t="n">
        <v>0</v>
      </c>
      <c r="K11833" s="19" t="n">
        <v>0</v>
      </c>
      <c r="L11833" s="17"/>
    </row>
    <row r="11834" s="11" customFormat="true" ht="10.95" hidden="false" customHeight="true" outlineLevel="0" collapsed="false">
      <c r="A11834" s="16" t="n">
        <v>45449</v>
      </c>
      <c r="B11834" s="17" t="s">
        <v>3861</v>
      </c>
      <c r="C11834" s="17" t="s">
        <v>3752</v>
      </c>
      <c r="D11834" s="17" t="s">
        <v>1407</v>
      </c>
      <c r="E11834" s="17" t="s">
        <v>3642</v>
      </c>
      <c r="F11834" s="17"/>
      <c r="G11834" s="18" t="n">
        <v>0</v>
      </c>
      <c r="H11834" s="18" t="n">
        <v>13.2</v>
      </c>
      <c r="I11834" s="18" t="n">
        <f aca="false">((I11833 + G11834) - H11834)</f>
        <v>59662.38</v>
      </c>
      <c r="J11834" s="18" t="n">
        <v>0</v>
      </c>
      <c r="K11834" s="19" t="n">
        <v>0</v>
      </c>
      <c r="L11834" s="17"/>
    </row>
    <row r="11835" s="11" customFormat="true" ht="10.95" hidden="false" customHeight="true" outlineLevel="0" collapsed="false">
      <c r="A11835" s="16" t="n">
        <v>45449</v>
      </c>
      <c r="B11835" s="17" t="s">
        <v>3861</v>
      </c>
      <c r="C11835" s="17" t="s">
        <v>3752</v>
      </c>
      <c r="D11835" s="17" t="s">
        <v>1407</v>
      </c>
      <c r="E11835" s="17" t="s">
        <v>3642</v>
      </c>
      <c r="F11835" s="17"/>
      <c r="G11835" s="18" t="n">
        <v>0</v>
      </c>
      <c r="H11835" s="18" t="n">
        <v>20.57</v>
      </c>
      <c r="I11835" s="18" t="n">
        <f aca="false">((I11834 + G11835) - H11835)</f>
        <v>59641.81</v>
      </c>
      <c r="J11835" s="18" t="n">
        <v>0</v>
      </c>
      <c r="K11835" s="19" t="n">
        <v>0</v>
      </c>
      <c r="L11835" s="17"/>
    </row>
    <row r="11836" s="11" customFormat="true" ht="10.95" hidden="false" customHeight="true" outlineLevel="0" collapsed="false">
      <c r="A11836" s="16" t="n">
        <v>45449</v>
      </c>
      <c r="B11836" s="17" t="s">
        <v>3861</v>
      </c>
      <c r="C11836" s="17" t="s">
        <v>3752</v>
      </c>
      <c r="D11836" s="17" t="s">
        <v>1407</v>
      </c>
      <c r="E11836" s="17" t="s">
        <v>3642</v>
      </c>
      <c r="F11836" s="17"/>
      <c r="G11836" s="18" t="n">
        <v>0</v>
      </c>
      <c r="H11836" s="18" t="n">
        <v>28.6</v>
      </c>
      <c r="I11836" s="18" t="n">
        <f aca="false">((I11835 + G11836) - H11836)</f>
        <v>59613.21</v>
      </c>
      <c r="J11836" s="18" t="n">
        <v>0</v>
      </c>
      <c r="K11836" s="19" t="n">
        <v>0</v>
      </c>
      <c r="L11836" s="17"/>
    </row>
    <row r="11837" s="11" customFormat="true" ht="10.95" hidden="false" customHeight="true" outlineLevel="0" collapsed="false">
      <c r="A11837" s="16" t="n">
        <v>45450</v>
      </c>
      <c r="B11837" s="17" t="s">
        <v>3861</v>
      </c>
      <c r="C11837" s="17" t="s">
        <v>3752</v>
      </c>
      <c r="D11837" s="17" t="s">
        <v>1407</v>
      </c>
      <c r="E11837" s="17" t="s">
        <v>3436</v>
      </c>
      <c r="F11837" s="17"/>
      <c r="G11837" s="18" t="n">
        <v>0</v>
      </c>
      <c r="H11837" s="18" t="n">
        <v>5</v>
      </c>
      <c r="I11837" s="18" t="n">
        <f aca="false">((I11836 + G11837) - H11837)</f>
        <v>59608.21</v>
      </c>
      <c r="J11837" s="18" t="n">
        <v>0</v>
      </c>
      <c r="K11837" s="19" t="n">
        <v>0</v>
      </c>
      <c r="L11837" s="17"/>
    </row>
    <row r="11838" s="11" customFormat="true" ht="10.95" hidden="false" customHeight="true" outlineLevel="0" collapsed="false">
      <c r="A11838" s="16" t="n">
        <v>45450</v>
      </c>
      <c r="B11838" s="17" t="s">
        <v>3861</v>
      </c>
      <c r="C11838" s="17" t="s">
        <v>3752</v>
      </c>
      <c r="D11838" s="17" t="s">
        <v>2895</v>
      </c>
      <c r="E11838" s="17" t="s">
        <v>3384</v>
      </c>
      <c r="F11838" s="17" t="s">
        <v>4474</v>
      </c>
      <c r="G11838" s="18" t="n">
        <v>1672</v>
      </c>
      <c r="H11838" s="18" t="n">
        <v>0</v>
      </c>
      <c r="I11838" s="18" t="n">
        <f aca="false">((I11837 + G11838) - H11838)</f>
        <v>61280.21</v>
      </c>
      <c r="J11838" s="18" t="n">
        <v>0</v>
      </c>
      <c r="K11838" s="19" t="n">
        <v>0</v>
      </c>
      <c r="L11838" s="17"/>
    </row>
    <row r="11839" s="11" customFormat="true" ht="10.95" hidden="false" customHeight="true" outlineLevel="0" collapsed="false">
      <c r="A11839" s="16" t="n">
        <v>45450</v>
      </c>
      <c r="B11839" s="17" t="s">
        <v>3861</v>
      </c>
      <c r="C11839" s="17" t="s">
        <v>3752</v>
      </c>
      <c r="D11839" s="17" t="s">
        <v>2895</v>
      </c>
      <c r="E11839" s="17" t="s">
        <v>3384</v>
      </c>
      <c r="F11839" s="17" t="s">
        <v>4475</v>
      </c>
      <c r="G11839" s="18" t="n">
        <v>1001</v>
      </c>
      <c r="H11839" s="18" t="n">
        <v>0</v>
      </c>
      <c r="I11839" s="18" t="n">
        <f aca="false">((I11838 + G11839) - H11839)</f>
        <v>62281.21</v>
      </c>
      <c r="J11839" s="18" t="n">
        <v>0</v>
      </c>
      <c r="K11839" s="19" t="n">
        <v>0</v>
      </c>
      <c r="L11839" s="17"/>
    </row>
    <row r="11840" s="11" customFormat="true" ht="10.95" hidden="false" customHeight="true" outlineLevel="0" collapsed="false">
      <c r="A11840" s="16" t="n">
        <v>45450</v>
      </c>
      <c r="B11840" s="17" t="s">
        <v>3861</v>
      </c>
      <c r="C11840" s="17" t="s">
        <v>3752</v>
      </c>
      <c r="D11840" s="17" t="s">
        <v>2895</v>
      </c>
      <c r="E11840" s="17" t="s">
        <v>3384</v>
      </c>
      <c r="F11840" s="17" t="s">
        <v>4476</v>
      </c>
      <c r="G11840" s="18" t="n">
        <v>2403.5</v>
      </c>
      <c r="H11840" s="18" t="n">
        <v>0</v>
      </c>
      <c r="I11840" s="18" t="n">
        <f aca="false">((I11839 + G11840) - H11840)</f>
        <v>64684.71</v>
      </c>
      <c r="J11840" s="18" t="n">
        <v>0</v>
      </c>
      <c r="K11840" s="19" t="n">
        <v>0</v>
      </c>
      <c r="L11840" s="17"/>
    </row>
    <row r="11841" s="11" customFormat="true" ht="10.95" hidden="false" customHeight="true" outlineLevel="0" collapsed="false">
      <c r="A11841" s="16" t="n">
        <v>45450</v>
      </c>
      <c r="B11841" s="17" t="s">
        <v>3861</v>
      </c>
      <c r="C11841" s="17" t="s">
        <v>3752</v>
      </c>
      <c r="D11841" s="17" t="s">
        <v>2895</v>
      </c>
      <c r="E11841" s="17" t="s">
        <v>3539</v>
      </c>
      <c r="F11841" s="17" t="s">
        <v>4477</v>
      </c>
      <c r="G11841" s="18" t="n">
        <v>3454</v>
      </c>
      <c r="H11841" s="18" t="n">
        <v>0</v>
      </c>
      <c r="I11841" s="18" t="n">
        <f aca="false">((I11840 + G11841) - H11841)</f>
        <v>68138.71</v>
      </c>
      <c r="J11841" s="18" t="n">
        <v>0</v>
      </c>
      <c r="K11841" s="19" t="n">
        <v>0</v>
      </c>
      <c r="L11841" s="17"/>
    </row>
    <row r="11842" s="11" customFormat="true" ht="10.95" hidden="false" customHeight="true" outlineLevel="0" collapsed="false">
      <c r="A11842" s="16" t="n">
        <v>45450</v>
      </c>
      <c r="B11842" s="17" t="s">
        <v>3861</v>
      </c>
      <c r="C11842" s="17" t="s">
        <v>3752</v>
      </c>
      <c r="D11842" s="17" t="s">
        <v>1407</v>
      </c>
      <c r="E11842" s="17" t="s">
        <v>3626</v>
      </c>
      <c r="F11842" s="17"/>
      <c r="G11842" s="18" t="n">
        <v>0</v>
      </c>
      <c r="H11842" s="18" t="n">
        <v>71.5</v>
      </c>
      <c r="I11842" s="18" t="n">
        <f aca="false">((I11841 + G11842) - H11842)</f>
        <v>68067.21</v>
      </c>
      <c r="J11842" s="18" t="n">
        <v>0</v>
      </c>
      <c r="K11842" s="19" t="n">
        <v>0</v>
      </c>
      <c r="L11842" s="17"/>
    </row>
    <row r="11843" s="11" customFormat="true" ht="10.95" hidden="false" customHeight="true" outlineLevel="0" collapsed="false">
      <c r="A11843" s="16" t="n">
        <v>45450</v>
      </c>
      <c r="B11843" s="17" t="s">
        <v>3861</v>
      </c>
      <c r="C11843" s="17" t="s">
        <v>3752</v>
      </c>
      <c r="D11843" s="17" t="s">
        <v>1407</v>
      </c>
      <c r="E11843" s="17" t="s">
        <v>3888</v>
      </c>
      <c r="F11843" s="17"/>
      <c r="G11843" s="18" t="n">
        <v>0</v>
      </c>
      <c r="H11843" s="18" t="n">
        <v>216.23</v>
      </c>
      <c r="I11843" s="18" t="n">
        <f aca="false">((I11842 + G11843) - H11843)</f>
        <v>67850.98</v>
      </c>
      <c r="J11843" s="18" t="n">
        <v>0</v>
      </c>
      <c r="K11843" s="19" t="n">
        <v>0</v>
      </c>
      <c r="L11843" s="17"/>
    </row>
    <row r="11844" s="11" customFormat="true" ht="10.95" hidden="false" customHeight="true" outlineLevel="0" collapsed="false">
      <c r="A11844" s="16" t="n">
        <v>45450</v>
      </c>
      <c r="B11844" s="17" t="s">
        <v>3861</v>
      </c>
      <c r="C11844" s="17" t="s">
        <v>3752</v>
      </c>
      <c r="D11844" s="17" t="s">
        <v>2903</v>
      </c>
      <c r="E11844" s="17" t="s">
        <v>2909</v>
      </c>
      <c r="F11844" s="17" t="s">
        <v>1595</v>
      </c>
      <c r="G11844" s="18" t="n">
        <v>0</v>
      </c>
      <c r="H11844" s="18" t="n">
        <v>1502.99</v>
      </c>
      <c r="I11844" s="18" t="n">
        <f aca="false">((I11843 + G11844) - H11844)</f>
        <v>66347.99</v>
      </c>
      <c r="J11844" s="18" t="n">
        <v>0</v>
      </c>
      <c r="K11844" s="19" t="n">
        <v>0</v>
      </c>
      <c r="L11844" s="17"/>
    </row>
    <row r="11845" s="11" customFormat="true" ht="10.95" hidden="false" customHeight="true" outlineLevel="0" collapsed="false">
      <c r="A11845" s="16" t="n">
        <v>45451</v>
      </c>
      <c r="B11845" s="17" t="s">
        <v>3861</v>
      </c>
      <c r="C11845" s="17" t="s">
        <v>3752</v>
      </c>
      <c r="D11845" s="17" t="s">
        <v>1407</v>
      </c>
      <c r="E11845" s="17" t="s">
        <v>3880</v>
      </c>
      <c r="F11845" s="17"/>
      <c r="G11845" s="18" t="n">
        <v>0</v>
      </c>
      <c r="H11845" s="18" t="n">
        <v>1700</v>
      </c>
      <c r="I11845" s="18" t="n">
        <f aca="false">((I11844 + G11845) - H11845)</f>
        <v>64647.99</v>
      </c>
      <c r="J11845" s="18" t="n">
        <v>0</v>
      </c>
      <c r="K11845" s="19" t="n">
        <v>0</v>
      </c>
      <c r="L11845" s="17"/>
    </row>
    <row r="11846" s="11" customFormat="true" ht="10.95" hidden="false" customHeight="true" outlineLevel="0" collapsed="false">
      <c r="A11846" s="16" t="n">
        <v>45452</v>
      </c>
      <c r="B11846" s="17" t="s">
        <v>3861</v>
      </c>
      <c r="C11846" s="17" t="s">
        <v>3752</v>
      </c>
      <c r="D11846" s="17" t="s">
        <v>1407</v>
      </c>
      <c r="E11846" s="17" t="s">
        <v>4478</v>
      </c>
      <c r="F11846" s="17"/>
      <c r="G11846" s="18" t="n">
        <v>0</v>
      </c>
      <c r="H11846" s="18" t="n">
        <v>124.8</v>
      </c>
      <c r="I11846" s="18" t="n">
        <f aca="false">((I11845 + G11846) - H11846)</f>
        <v>64523.1899999999</v>
      </c>
      <c r="J11846" s="18" t="n">
        <v>0</v>
      </c>
      <c r="K11846" s="19" t="n">
        <v>0</v>
      </c>
      <c r="L11846" s="17"/>
    </row>
    <row r="11847" s="11" customFormat="true" ht="10.95" hidden="false" customHeight="true" outlineLevel="0" collapsed="false">
      <c r="A11847" s="16" t="n">
        <v>45453</v>
      </c>
      <c r="B11847" s="17" t="s">
        <v>3861</v>
      </c>
      <c r="C11847" s="17" t="s">
        <v>3752</v>
      </c>
      <c r="D11847" s="17" t="s">
        <v>2895</v>
      </c>
      <c r="E11847" s="17" t="s">
        <v>3504</v>
      </c>
      <c r="F11847" s="17" t="s">
        <v>4479</v>
      </c>
      <c r="G11847" s="18" t="n">
        <v>1034.55</v>
      </c>
      <c r="H11847" s="18" t="n">
        <v>0</v>
      </c>
      <c r="I11847" s="18" t="n">
        <f aca="false">((I11846 + G11847) - H11847)</f>
        <v>65557.74</v>
      </c>
      <c r="J11847" s="18" t="n">
        <v>0</v>
      </c>
      <c r="K11847" s="19" t="n">
        <v>0</v>
      </c>
      <c r="L11847" s="17"/>
    </row>
    <row r="11848" s="11" customFormat="true" ht="10.95" hidden="false" customHeight="true" outlineLevel="0" collapsed="false">
      <c r="A11848" s="16" t="n">
        <v>45454</v>
      </c>
      <c r="B11848" s="17" t="s">
        <v>3861</v>
      </c>
      <c r="C11848" s="17" t="s">
        <v>3752</v>
      </c>
      <c r="D11848" s="17" t="s">
        <v>2895</v>
      </c>
      <c r="E11848" s="17" t="s">
        <v>3415</v>
      </c>
      <c r="F11848" s="17" t="s">
        <v>4480</v>
      </c>
      <c r="G11848" s="18" t="n">
        <v>1052.7</v>
      </c>
      <c r="H11848" s="18" t="n">
        <v>0</v>
      </c>
      <c r="I11848" s="18" t="n">
        <f aca="false">((I11847 + G11848) - H11848)</f>
        <v>66610.4399999999</v>
      </c>
      <c r="J11848" s="18" t="n">
        <v>0</v>
      </c>
      <c r="K11848" s="19" t="n">
        <v>0</v>
      </c>
      <c r="L11848" s="17"/>
    </row>
    <row r="11849" s="11" customFormat="true" ht="10.95" hidden="false" customHeight="true" outlineLevel="0" collapsed="false">
      <c r="A11849" s="16" t="n">
        <v>45454</v>
      </c>
      <c r="B11849" s="17" t="s">
        <v>3861</v>
      </c>
      <c r="C11849" s="17" t="s">
        <v>3752</v>
      </c>
      <c r="D11849" s="17" t="s">
        <v>2895</v>
      </c>
      <c r="E11849" s="17" t="s">
        <v>3403</v>
      </c>
      <c r="F11849" s="17" t="s">
        <v>4481</v>
      </c>
      <c r="G11849" s="18" t="n">
        <v>316.8</v>
      </c>
      <c r="H11849" s="18" t="n">
        <v>0</v>
      </c>
      <c r="I11849" s="18" t="n">
        <f aca="false">((I11848 + G11849) - H11849)</f>
        <v>66927.24</v>
      </c>
      <c r="J11849" s="18" t="n">
        <v>0</v>
      </c>
      <c r="K11849" s="19" t="n">
        <v>0</v>
      </c>
      <c r="L11849" s="17"/>
    </row>
    <row r="11850" s="11" customFormat="true" ht="10.95" hidden="false" customHeight="true" outlineLevel="0" collapsed="false">
      <c r="A11850" s="16" t="n">
        <v>45454</v>
      </c>
      <c r="B11850" s="17" t="s">
        <v>3861</v>
      </c>
      <c r="C11850" s="17" t="s">
        <v>3752</v>
      </c>
      <c r="D11850" s="17" t="s">
        <v>2895</v>
      </c>
      <c r="E11850" s="17" t="s">
        <v>3403</v>
      </c>
      <c r="F11850" s="17" t="s">
        <v>4482</v>
      </c>
      <c r="G11850" s="18" t="n">
        <v>723.8</v>
      </c>
      <c r="H11850" s="18" t="n">
        <v>0</v>
      </c>
      <c r="I11850" s="18" t="n">
        <f aca="false">((I11849 + G11850) - H11850)</f>
        <v>67651.04</v>
      </c>
      <c r="J11850" s="18" t="n">
        <v>0</v>
      </c>
      <c r="K11850" s="19" t="n">
        <v>0</v>
      </c>
      <c r="L11850" s="17"/>
    </row>
    <row r="11851" s="11" customFormat="true" ht="10.95" hidden="false" customHeight="true" outlineLevel="0" collapsed="false">
      <c r="A11851" s="16" t="n">
        <v>45454</v>
      </c>
      <c r="B11851" s="17" t="s">
        <v>3861</v>
      </c>
      <c r="C11851" s="17" t="s">
        <v>3752</v>
      </c>
      <c r="D11851" s="17" t="s">
        <v>1407</v>
      </c>
      <c r="E11851" s="17" t="s">
        <v>3863</v>
      </c>
      <c r="F11851" s="17"/>
      <c r="G11851" s="18" t="n">
        <v>0</v>
      </c>
      <c r="H11851" s="18" t="n">
        <v>3</v>
      </c>
      <c r="I11851" s="18" t="n">
        <f aca="false">((I11850 + G11851) - H11851)</f>
        <v>67648.04</v>
      </c>
      <c r="J11851" s="18" t="n">
        <v>0</v>
      </c>
      <c r="K11851" s="19" t="n">
        <v>0</v>
      </c>
      <c r="L11851" s="17"/>
    </row>
    <row r="11852" s="11" customFormat="true" ht="10.95" hidden="false" customHeight="true" outlineLevel="0" collapsed="false">
      <c r="A11852" s="16" t="n">
        <v>45454</v>
      </c>
      <c r="B11852" s="17" t="s">
        <v>3861</v>
      </c>
      <c r="C11852" s="17" t="s">
        <v>3752</v>
      </c>
      <c r="D11852" s="17" t="s">
        <v>1407</v>
      </c>
      <c r="E11852" s="17" t="s">
        <v>3896</v>
      </c>
      <c r="F11852" s="17"/>
      <c r="G11852" s="18" t="n">
        <v>0</v>
      </c>
      <c r="H11852" s="18" t="n">
        <v>23.99</v>
      </c>
      <c r="I11852" s="18" t="n">
        <f aca="false">((I11851 + G11852) - H11852)</f>
        <v>67624.0499999999</v>
      </c>
      <c r="J11852" s="18" t="n">
        <v>0</v>
      </c>
      <c r="K11852" s="19" t="n">
        <v>0</v>
      </c>
      <c r="L11852" s="17"/>
    </row>
    <row r="11853" s="11" customFormat="true" ht="10.95" hidden="false" customHeight="true" outlineLevel="0" collapsed="false">
      <c r="A11853" s="16" t="n">
        <v>45454</v>
      </c>
      <c r="B11853" s="17" t="s">
        <v>3861</v>
      </c>
      <c r="C11853" s="17" t="s">
        <v>3752</v>
      </c>
      <c r="D11853" s="17" t="s">
        <v>1407</v>
      </c>
      <c r="E11853" s="17" t="s">
        <v>4483</v>
      </c>
      <c r="F11853" s="17"/>
      <c r="G11853" s="18" t="n">
        <v>0</v>
      </c>
      <c r="H11853" s="18" t="n">
        <v>409.05</v>
      </c>
      <c r="I11853" s="18" t="n">
        <f aca="false">((I11852 + G11853) - H11853)</f>
        <v>67214.9999999999</v>
      </c>
      <c r="J11853" s="18" t="n">
        <v>0</v>
      </c>
      <c r="K11853" s="19" t="n">
        <v>0</v>
      </c>
      <c r="L11853" s="17"/>
    </row>
    <row r="11854" s="11" customFormat="true" ht="10.95" hidden="false" customHeight="true" outlineLevel="0" collapsed="false">
      <c r="A11854" s="16" t="n">
        <v>45454</v>
      </c>
      <c r="B11854" s="17" t="s">
        <v>3861</v>
      </c>
      <c r="C11854" s="17" t="s">
        <v>3752</v>
      </c>
      <c r="D11854" s="17" t="s">
        <v>1407</v>
      </c>
      <c r="E11854" s="17" t="s">
        <v>3808</v>
      </c>
      <c r="F11854" s="17"/>
      <c r="G11854" s="18" t="n">
        <v>0</v>
      </c>
      <c r="H11854" s="18" t="n">
        <v>1000</v>
      </c>
      <c r="I11854" s="18" t="n">
        <f aca="false">((I11853 + G11854) - H11854)</f>
        <v>66214.9999999999</v>
      </c>
      <c r="J11854" s="18" t="n">
        <v>0</v>
      </c>
      <c r="K11854" s="19" t="n">
        <v>0</v>
      </c>
      <c r="L11854" s="17"/>
    </row>
    <row r="11855" s="11" customFormat="true" ht="10.95" hidden="false" customHeight="true" outlineLevel="0" collapsed="false">
      <c r="A11855" s="16" t="n">
        <v>45454</v>
      </c>
      <c r="B11855" s="17" t="s">
        <v>3861</v>
      </c>
      <c r="C11855" s="17" t="s">
        <v>3752</v>
      </c>
      <c r="D11855" s="17" t="s">
        <v>1407</v>
      </c>
      <c r="E11855" s="17" t="s">
        <v>3878</v>
      </c>
      <c r="F11855" s="17"/>
      <c r="G11855" s="18" t="n">
        <v>0</v>
      </c>
      <c r="H11855" s="18" t="n">
        <v>1569.5</v>
      </c>
      <c r="I11855" s="18" t="n">
        <f aca="false">((I11854 + G11855) - H11855)</f>
        <v>64645.4999999999</v>
      </c>
      <c r="J11855" s="18" t="n">
        <v>0</v>
      </c>
      <c r="K11855" s="19" t="n">
        <v>0</v>
      </c>
      <c r="L11855" s="17"/>
    </row>
    <row r="11856" s="11" customFormat="true" ht="10.95" hidden="false" customHeight="true" outlineLevel="0" collapsed="false">
      <c r="A11856" s="16" t="n">
        <v>45454</v>
      </c>
      <c r="B11856" s="17" t="s">
        <v>3861</v>
      </c>
      <c r="C11856" s="17" t="s">
        <v>3752</v>
      </c>
      <c r="D11856" s="17" t="s">
        <v>2903</v>
      </c>
      <c r="E11856" s="17" t="s">
        <v>3643</v>
      </c>
      <c r="F11856" s="17" t="s">
        <v>1579</v>
      </c>
      <c r="G11856" s="18" t="n">
        <v>0</v>
      </c>
      <c r="H11856" s="18" t="n">
        <v>2316.36</v>
      </c>
      <c r="I11856" s="18" t="n">
        <f aca="false">((I11855 + G11856) - H11856)</f>
        <v>62329.1399999999</v>
      </c>
      <c r="J11856" s="18" t="n">
        <v>0</v>
      </c>
      <c r="K11856" s="19" t="n">
        <v>0</v>
      </c>
      <c r="L11856" s="17"/>
    </row>
    <row r="11857" s="11" customFormat="true" ht="10.95" hidden="false" customHeight="true" outlineLevel="0" collapsed="false">
      <c r="A11857" s="16" t="n">
        <v>45455</v>
      </c>
      <c r="B11857" s="17" t="s">
        <v>3861</v>
      </c>
      <c r="C11857" s="17" t="s">
        <v>3752</v>
      </c>
      <c r="D11857" s="17" t="s">
        <v>1407</v>
      </c>
      <c r="E11857" s="17" t="s">
        <v>3436</v>
      </c>
      <c r="F11857" s="17"/>
      <c r="G11857" s="18" t="n">
        <v>0</v>
      </c>
      <c r="H11857" s="18" t="n">
        <v>5</v>
      </c>
      <c r="I11857" s="18" t="n">
        <f aca="false">((I11856 + G11857) - H11857)</f>
        <v>62324.1399999999</v>
      </c>
      <c r="J11857" s="18" t="n">
        <v>0</v>
      </c>
      <c r="K11857" s="19" t="n">
        <v>0</v>
      </c>
      <c r="L11857" s="17"/>
    </row>
    <row r="11858" s="11" customFormat="true" ht="10.95" hidden="false" customHeight="true" outlineLevel="0" collapsed="false">
      <c r="A11858" s="16" t="n">
        <v>45455</v>
      </c>
      <c r="B11858" s="17" t="s">
        <v>3861</v>
      </c>
      <c r="C11858" s="17" t="s">
        <v>3752</v>
      </c>
      <c r="D11858" s="17" t="s">
        <v>2895</v>
      </c>
      <c r="E11858" s="17" t="s">
        <v>3384</v>
      </c>
      <c r="F11858" s="17" t="s">
        <v>4484</v>
      </c>
      <c r="G11858" s="18" t="n">
        <v>1672</v>
      </c>
      <c r="H11858" s="18" t="n">
        <v>0</v>
      </c>
      <c r="I11858" s="18" t="n">
        <f aca="false">((I11857 + G11858) - H11858)</f>
        <v>63996.1399999999</v>
      </c>
      <c r="J11858" s="18" t="n">
        <v>0</v>
      </c>
      <c r="K11858" s="19" t="n">
        <v>0</v>
      </c>
      <c r="L11858" s="17"/>
    </row>
    <row r="11859" s="11" customFormat="true" ht="10.95" hidden="false" customHeight="true" outlineLevel="0" collapsed="false">
      <c r="A11859" s="16" t="n">
        <v>45455</v>
      </c>
      <c r="B11859" s="17" t="s">
        <v>3861</v>
      </c>
      <c r="C11859" s="17" t="s">
        <v>3752</v>
      </c>
      <c r="D11859" s="17" t="s">
        <v>2895</v>
      </c>
      <c r="E11859" s="17" t="s">
        <v>3384</v>
      </c>
      <c r="F11859" s="17" t="s">
        <v>4485</v>
      </c>
      <c r="G11859" s="18" t="n">
        <v>2403.5</v>
      </c>
      <c r="H11859" s="18" t="n">
        <v>0</v>
      </c>
      <c r="I11859" s="18" t="n">
        <f aca="false">((I11858 + G11859) - H11859)</f>
        <v>66399.6399999999</v>
      </c>
      <c r="J11859" s="18" t="n">
        <v>0</v>
      </c>
      <c r="K11859" s="19" t="n">
        <v>0</v>
      </c>
      <c r="L11859" s="17"/>
    </row>
    <row r="11860" s="11" customFormat="true" ht="10.95" hidden="false" customHeight="true" outlineLevel="0" collapsed="false">
      <c r="A11860" s="16" t="n">
        <v>45455</v>
      </c>
      <c r="B11860" s="17" t="s">
        <v>3861</v>
      </c>
      <c r="C11860" s="17" t="s">
        <v>3752</v>
      </c>
      <c r="D11860" s="17" t="s">
        <v>2895</v>
      </c>
      <c r="E11860" s="17" t="s">
        <v>3384</v>
      </c>
      <c r="F11860" s="17" t="s">
        <v>4486</v>
      </c>
      <c r="G11860" s="18" t="n">
        <v>1001</v>
      </c>
      <c r="H11860" s="18" t="n">
        <v>0</v>
      </c>
      <c r="I11860" s="18" t="n">
        <f aca="false">((I11859 + G11860) - H11860)</f>
        <v>67400.6399999999</v>
      </c>
      <c r="J11860" s="18" t="n">
        <v>0</v>
      </c>
      <c r="K11860" s="19" t="n">
        <v>0</v>
      </c>
      <c r="L11860" s="17"/>
    </row>
    <row r="11861" s="11" customFormat="true" ht="10.95" hidden="false" customHeight="true" outlineLevel="0" collapsed="false">
      <c r="A11861" s="16" t="n">
        <v>45455</v>
      </c>
      <c r="B11861" s="17" t="s">
        <v>3861</v>
      </c>
      <c r="C11861" s="17" t="s">
        <v>3752</v>
      </c>
      <c r="D11861" s="17" t="s">
        <v>2895</v>
      </c>
      <c r="E11861" s="17" t="s">
        <v>2906</v>
      </c>
      <c r="F11861" s="17" t="s">
        <v>3173</v>
      </c>
      <c r="G11861" s="18" t="n">
        <v>3059.55</v>
      </c>
      <c r="H11861" s="18" t="n">
        <v>0</v>
      </c>
      <c r="I11861" s="18" t="n">
        <f aca="false">((I11860 + G11861) - H11861)</f>
        <v>70460.1899999999</v>
      </c>
      <c r="J11861" s="18" t="n">
        <v>0</v>
      </c>
      <c r="K11861" s="19" t="n">
        <v>0</v>
      </c>
      <c r="L11861" s="17"/>
    </row>
    <row r="11862" s="11" customFormat="true" ht="10.95" hidden="false" customHeight="true" outlineLevel="0" collapsed="false">
      <c r="A11862" s="16" t="n">
        <v>45455</v>
      </c>
      <c r="B11862" s="17" t="s">
        <v>3861</v>
      </c>
      <c r="C11862" s="17" t="s">
        <v>3752</v>
      </c>
      <c r="D11862" s="17" t="s">
        <v>1407</v>
      </c>
      <c r="E11862" s="17" t="s">
        <v>3897</v>
      </c>
      <c r="F11862" s="17"/>
      <c r="G11862" s="18" t="n">
        <v>0</v>
      </c>
      <c r="H11862" s="18" t="n">
        <v>30</v>
      </c>
      <c r="I11862" s="18" t="n">
        <f aca="false">((I11861 + G11862) - H11862)</f>
        <v>70430.1899999999</v>
      </c>
      <c r="J11862" s="18" t="n">
        <v>0</v>
      </c>
      <c r="K11862" s="19" t="n">
        <v>0</v>
      </c>
      <c r="L11862" s="17"/>
    </row>
    <row r="11863" s="11" customFormat="true" ht="10.95" hidden="false" customHeight="true" outlineLevel="0" collapsed="false">
      <c r="A11863" s="16" t="n">
        <v>45455</v>
      </c>
      <c r="B11863" s="17" t="s">
        <v>3861</v>
      </c>
      <c r="C11863" s="17" t="s">
        <v>3752</v>
      </c>
      <c r="D11863" s="17" t="s">
        <v>1407</v>
      </c>
      <c r="E11863" s="17" t="s">
        <v>3881</v>
      </c>
      <c r="F11863" s="17"/>
      <c r="G11863" s="18" t="n">
        <v>0</v>
      </c>
      <c r="H11863" s="18" t="n">
        <v>140</v>
      </c>
      <c r="I11863" s="18" t="n">
        <f aca="false">((I11862 + G11863) - H11863)</f>
        <v>70290.1899999999</v>
      </c>
      <c r="J11863" s="18" t="n">
        <v>0</v>
      </c>
      <c r="K11863" s="19" t="n">
        <v>0</v>
      </c>
      <c r="L11863" s="17"/>
    </row>
    <row r="11864" s="11" customFormat="true" ht="10.95" hidden="false" customHeight="true" outlineLevel="0" collapsed="false">
      <c r="A11864" s="16" t="n">
        <v>45455</v>
      </c>
      <c r="B11864" s="17" t="s">
        <v>3861</v>
      </c>
      <c r="C11864" s="17" t="s">
        <v>3752</v>
      </c>
      <c r="D11864" s="17" t="s">
        <v>1407</v>
      </c>
      <c r="E11864" s="17" t="s">
        <v>3879</v>
      </c>
      <c r="F11864" s="17"/>
      <c r="G11864" s="18" t="n">
        <v>0</v>
      </c>
      <c r="H11864" s="18" t="n">
        <v>1571.5</v>
      </c>
      <c r="I11864" s="18" t="n">
        <f aca="false">((I11863 + G11864) - H11864)</f>
        <v>68718.6899999999</v>
      </c>
      <c r="J11864" s="18" t="n">
        <v>0</v>
      </c>
      <c r="K11864" s="19" t="n">
        <v>0</v>
      </c>
      <c r="L11864" s="17"/>
    </row>
    <row r="11865" s="11" customFormat="true" ht="10.95" hidden="false" customHeight="true" outlineLevel="0" collapsed="false">
      <c r="A11865" s="16" t="n">
        <v>45455</v>
      </c>
      <c r="B11865" s="17" t="s">
        <v>3861</v>
      </c>
      <c r="C11865" s="17" t="s">
        <v>3752</v>
      </c>
      <c r="D11865" s="17" t="s">
        <v>1407</v>
      </c>
      <c r="E11865" s="17" t="s">
        <v>3880</v>
      </c>
      <c r="F11865" s="17"/>
      <c r="G11865" s="18" t="n">
        <v>0</v>
      </c>
      <c r="H11865" s="18" t="n">
        <v>1765.5</v>
      </c>
      <c r="I11865" s="18" t="n">
        <f aca="false">((I11864 + G11865) - H11865)</f>
        <v>66953.1899999999</v>
      </c>
      <c r="J11865" s="18" t="n">
        <v>0</v>
      </c>
      <c r="K11865" s="19" t="n">
        <v>0</v>
      </c>
      <c r="L11865" s="17"/>
    </row>
    <row r="11866" s="11" customFormat="true" ht="10.95" hidden="false" customHeight="true" outlineLevel="0" collapsed="false">
      <c r="A11866" s="16" t="n">
        <v>45455</v>
      </c>
      <c r="B11866" s="17" t="s">
        <v>3861</v>
      </c>
      <c r="C11866" s="17" t="s">
        <v>3752</v>
      </c>
      <c r="D11866" s="17" t="s">
        <v>1407</v>
      </c>
      <c r="E11866" s="17" t="s">
        <v>3808</v>
      </c>
      <c r="F11866" s="17"/>
      <c r="G11866" s="18" t="n">
        <v>0</v>
      </c>
      <c r="H11866" s="18" t="n">
        <v>2163.92</v>
      </c>
      <c r="I11866" s="18" t="n">
        <f aca="false">((I11865 + G11866) - H11866)</f>
        <v>64789.2699999999</v>
      </c>
      <c r="J11866" s="18" t="n">
        <v>0</v>
      </c>
      <c r="K11866" s="19" t="n">
        <v>0</v>
      </c>
      <c r="L11866" s="17"/>
    </row>
    <row r="11867" s="11" customFormat="true" ht="10.95" hidden="false" customHeight="true" outlineLevel="0" collapsed="false">
      <c r="A11867" s="16" t="n">
        <v>45456</v>
      </c>
      <c r="B11867" s="17" t="s">
        <v>3861</v>
      </c>
      <c r="C11867" s="17" t="s">
        <v>3752</v>
      </c>
      <c r="D11867" s="17" t="s">
        <v>3753</v>
      </c>
      <c r="E11867" s="17" t="s">
        <v>3806</v>
      </c>
      <c r="F11867" s="17" t="s">
        <v>3853</v>
      </c>
      <c r="G11867" s="18" t="n">
        <v>0</v>
      </c>
      <c r="H11867" s="18" t="n">
        <v>17590.5</v>
      </c>
      <c r="I11867" s="18" t="n">
        <f aca="false">((I11866 + G11867) - H11867)</f>
        <v>47198.7699999999</v>
      </c>
      <c r="J11867" s="18" t="n">
        <v>0</v>
      </c>
      <c r="K11867" s="19" t="n">
        <v>0</v>
      </c>
      <c r="L11867" s="17"/>
    </row>
    <row r="11868" s="11" customFormat="true" ht="10.95" hidden="false" customHeight="true" outlineLevel="0" collapsed="false">
      <c r="A11868" s="16" t="n">
        <v>45456</v>
      </c>
      <c r="B11868" s="17" t="s">
        <v>3861</v>
      </c>
      <c r="C11868" s="17" t="s">
        <v>3752</v>
      </c>
      <c r="D11868" s="17" t="s">
        <v>1407</v>
      </c>
      <c r="E11868" s="17" t="s">
        <v>3805</v>
      </c>
      <c r="F11868" s="17"/>
      <c r="G11868" s="18" t="n">
        <v>0</v>
      </c>
      <c r="H11868" s="18" t="n">
        <v>0.74</v>
      </c>
      <c r="I11868" s="18" t="n">
        <f aca="false">((I11867 + G11868) - H11868)</f>
        <v>47198.03</v>
      </c>
      <c r="J11868" s="18" t="n">
        <v>0</v>
      </c>
      <c r="K11868" s="19" t="n">
        <v>0</v>
      </c>
      <c r="L11868" s="17"/>
    </row>
    <row r="11869" s="11" customFormat="true" ht="10.95" hidden="false" customHeight="true" outlineLevel="0" collapsed="false">
      <c r="A11869" s="16" t="n">
        <v>45456</v>
      </c>
      <c r="B11869" s="17" t="s">
        <v>3861</v>
      </c>
      <c r="C11869" s="17" t="s">
        <v>3752</v>
      </c>
      <c r="D11869" s="17" t="s">
        <v>1407</v>
      </c>
      <c r="E11869" s="17" t="s">
        <v>3902</v>
      </c>
      <c r="F11869" s="17"/>
      <c r="G11869" s="18" t="n">
        <v>0</v>
      </c>
      <c r="H11869" s="18" t="n">
        <v>855</v>
      </c>
      <c r="I11869" s="18" t="n">
        <f aca="false">((I11868 + G11869) - H11869)</f>
        <v>46343.03</v>
      </c>
      <c r="J11869" s="18" t="n">
        <v>0</v>
      </c>
      <c r="K11869" s="19" t="n">
        <v>0</v>
      </c>
      <c r="L11869" s="17"/>
    </row>
    <row r="11870" s="11" customFormat="true" ht="10.95" hidden="false" customHeight="true" outlineLevel="0" collapsed="false">
      <c r="A11870" s="16" t="n">
        <v>45457</v>
      </c>
      <c r="B11870" s="17" t="s">
        <v>3861</v>
      </c>
      <c r="C11870" s="17" t="s">
        <v>3752</v>
      </c>
      <c r="D11870" s="17" t="s">
        <v>2895</v>
      </c>
      <c r="E11870" s="17" t="s">
        <v>3457</v>
      </c>
      <c r="F11870" s="17" t="s">
        <v>4487</v>
      </c>
      <c r="G11870" s="18" t="n">
        <v>9999</v>
      </c>
      <c r="H11870" s="18" t="n">
        <v>0</v>
      </c>
      <c r="I11870" s="18" t="n">
        <f aca="false">((I11869 + G11870) - H11870)</f>
        <v>56342.03</v>
      </c>
      <c r="J11870" s="18" t="n">
        <v>0</v>
      </c>
      <c r="K11870" s="19" t="n">
        <v>0</v>
      </c>
      <c r="L11870" s="17"/>
    </row>
    <row r="11871" s="11" customFormat="true" ht="10.95" hidden="false" customHeight="true" outlineLevel="0" collapsed="false">
      <c r="A11871" s="16" t="n">
        <v>45457</v>
      </c>
      <c r="B11871" s="17" t="s">
        <v>3861</v>
      </c>
      <c r="C11871" s="17" t="s">
        <v>3752</v>
      </c>
      <c r="D11871" s="17" t="s">
        <v>2895</v>
      </c>
      <c r="E11871" s="17" t="s">
        <v>3457</v>
      </c>
      <c r="F11871" s="17" t="s">
        <v>4488</v>
      </c>
      <c r="G11871" s="18" t="n">
        <v>9999</v>
      </c>
      <c r="H11871" s="18" t="n">
        <v>0</v>
      </c>
      <c r="I11871" s="18" t="n">
        <f aca="false">((I11870 + G11871) - H11871)</f>
        <v>66341.0299999999</v>
      </c>
      <c r="J11871" s="18" t="n">
        <v>0</v>
      </c>
      <c r="K11871" s="19" t="n">
        <v>0</v>
      </c>
      <c r="L11871" s="17"/>
    </row>
    <row r="11872" s="11" customFormat="true" ht="10.95" hidden="false" customHeight="true" outlineLevel="0" collapsed="false">
      <c r="A11872" s="16" t="n">
        <v>45457</v>
      </c>
      <c r="B11872" s="17" t="s">
        <v>3861</v>
      </c>
      <c r="C11872" s="17" t="s">
        <v>3752</v>
      </c>
      <c r="D11872" s="17" t="s">
        <v>2903</v>
      </c>
      <c r="E11872" s="17" t="s">
        <v>3616</v>
      </c>
      <c r="F11872" s="17" t="s">
        <v>3339</v>
      </c>
      <c r="G11872" s="18" t="n">
        <v>0</v>
      </c>
      <c r="H11872" s="18" t="n">
        <v>218.9</v>
      </c>
      <c r="I11872" s="18" t="n">
        <f aca="false">((I11871 + G11872) - H11872)</f>
        <v>66122.13</v>
      </c>
      <c r="J11872" s="18" t="n">
        <v>0</v>
      </c>
      <c r="K11872" s="19" t="n">
        <v>0</v>
      </c>
      <c r="L11872" s="17"/>
    </row>
    <row r="11873" s="11" customFormat="true" ht="10.95" hidden="false" customHeight="true" outlineLevel="0" collapsed="false">
      <c r="A11873" s="16" t="n">
        <v>45457</v>
      </c>
      <c r="B11873" s="17" t="s">
        <v>3861</v>
      </c>
      <c r="C11873" s="17" t="s">
        <v>3752</v>
      </c>
      <c r="D11873" s="17" t="s">
        <v>1407</v>
      </c>
      <c r="E11873" s="17" t="s">
        <v>4386</v>
      </c>
      <c r="F11873" s="17"/>
      <c r="G11873" s="18" t="n">
        <v>0</v>
      </c>
      <c r="H11873" s="18" t="n">
        <v>39.99</v>
      </c>
      <c r="I11873" s="18" t="n">
        <f aca="false">((I11872 + G11873) - H11873)</f>
        <v>66082.1399999999</v>
      </c>
      <c r="J11873" s="18" t="n">
        <v>0</v>
      </c>
      <c r="K11873" s="19" t="n">
        <v>0</v>
      </c>
      <c r="L11873" s="17"/>
    </row>
    <row r="11874" s="11" customFormat="true" ht="10.95" hidden="false" customHeight="true" outlineLevel="0" collapsed="false">
      <c r="A11874" s="16" t="n">
        <v>45457</v>
      </c>
      <c r="B11874" s="17" t="s">
        <v>3861</v>
      </c>
      <c r="C11874" s="17" t="s">
        <v>3752</v>
      </c>
      <c r="D11874" s="17" t="s">
        <v>1407</v>
      </c>
      <c r="E11874" s="17" t="s">
        <v>2747</v>
      </c>
      <c r="F11874" s="17"/>
      <c r="G11874" s="18" t="n">
        <v>0</v>
      </c>
      <c r="H11874" s="18" t="n">
        <v>5</v>
      </c>
      <c r="I11874" s="18" t="n">
        <f aca="false">((I11873 + G11874) - H11874)</f>
        <v>66077.1399999999</v>
      </c>
      <c r="J11874" s="18" t="n">
        <v>0</v>
      </c>
      <c r="K11874" s="19" t="n">
        <v>0</v>
      </c>
      <c r="L11874" s="17"/>
    </row>
    <row r="11875" s="11" customFormat="true" ht="10.95" hidden="false" customHeight="true" outlineLevel="0" collapsed="false">
      <c r="A11875" s="16" t="n">
        <v>45458</v>
      </c>
      <c r="B11875" s="17" t="s">
        <v>3861</v>
      </c>
      <c r="C11875" s="17" t="s">
        <v>3752</v>
      </c>
      <c r="D11875" s="17" t="s">
        <v>1407</v>
      </c>
      <c r="E11875" s="17" t="s">
        <v>3863</v>
      </c>
      <c r="F11875" s="17"/>
      <c r="G11875" s="18" t="n">
        <v>0</v>
      </c>
      <c r="H11875" s="18" t="n">
        <v>0.53</v>
      </c>
      <c r="I11875" s="18" t="n">
        <f aca="false">((I11874 + G11875) - H11875)</f>
        <v>66076.6099999999</v>
      </c>
      <c r="J11875" s="18" t="n">
        <v>0</v>
      </c>
      <c r="K11875" s="19" t="n">
        <v>0</v>
      </c>
      <c r="L11875" s="17"/>
    </row>
    <row r="11876" s="11" customFormat="true" ht="10.95" hidden="false" customHeight="true" outlineLevel="0" collapsed="false">
      <c r="A11876" s="16" t="n">
        <v>45458</v>
      </c>
      <c r="B11876" s="17" t="s">
        <v>3861</v>
      </c>
      <c r="C11876" s="17" t="s">
        <v>3752</v>
      </c>
      <c r="D11876" s="17" t="s">
        <v>1407</v>
      </c>
      <c r="E11876" s="17" t="s">
        <v>3805</v>
      </c>
      <c r="F11876" s="17"/>
      <c r="G11876" s="18" t="n">
        <v>0</v>
      </c>
      <c r="H11876" s="18" t="n">
        <v>10.99</v>
      </c>
      <c r="I11876" s="18" t="n">
        <f aca="false">((I11875 + G11876) - H11876)</f>
        <v>66065.6199999999</v>
      </c>
      <c r="J11876" s="18" t="n">
        <v>0</v>
      </c>
      <c r="K11876" s="19" t="n">
        <v>0</v>
      </c>
      <c r="L11876" s="17"/>
    </row>
    <row r="11877" s="11" customFormat="true" ht="10.95" hidden="false" customHeight="true" outlineLevel="0" collapsed="false">
      <c r="A11877" s="16" t="n">
        <v>45458</v>
      </c>
      <c r="B11877" s="17" t="s">
        <v>3861</v>
      </c>
      <c r="C11877" s="17" t="s">
        <v>3752</v>
      </c>
      <c r="D11877" s="17" t="s">
        <v>1407</v>
      </c>
      <c r="E11877" s="17" t="s">
        <v>3899</v>
      </c>
      <c r="F11877" s="17"/>
      <c r="G11877" s="18" t="n">
        <v>0</v>
      </c>
      <c r="H11877" s="18" t="n">
        <v>15.17</v>
      </c>
      <c r="I11877" s="18" t="n">
        <f aca="false">((I11876 + G11877) - H11877)</f>
        <v>66050.4499999999</v>
      </c>
      <c r="J11877" s="18" t="n">
        <v>0</v>
      </c>
      <c r="K11877" s="19" t="n">
        <v>0</v>
      </c>
      <c r="L11877" s="17"/>
    </row>
    <row r="11878" s="11" customFormat="true" ht="10.95" hidden="false" customHeight="true" outlineLevel="0" collapsed="false">
      <c r="A11878" s="16" t="n">
        <v>45459</v>
      </c>
      <c r="B11878" s="17" t="s">
        <v>3861</v>
      </c>
      <c r="C11878" s="17" t="s">
        <v>3752</v>
      </c>
      <c r="D11878" s="17" t="s">
        <v>3753</v>
      </c>
      <c r="E11878" s="17" t="s">
        <v>3806</v>
      </c>
      <c r="F11878" s="17" t="s">
        <v>3855</v>
      </c>
      <c r="G11878" s="18" t="n">
        <v>0</v>
      </c>
      <c r="H11878" s="18" t="n">
        <v>10496.1</v>
      </c>
      <c r="I11878" s="18" t="n">
        <f aca="false">((I11877 + G11878) - H11878)</f>
        <v>55554.3499999999</v>
      </c>
      <c r="J11878" s="18" t="n">
        <v>0</v>
      </c>
      <c r="K11878" s="19" t="n">
        <v>0</v>
      </c>
      <c r="L11878" s="17"/>
    </row>
    <row r="11879" s="11" customFormat="true" ht="10.95" hidden="false" customHeight="true" outlineLevel="0" collapsed="false">
      <c r="A11879" s="16" t="n">
        <v>45459</v>
      </c>
      <c r="B11879" s="17" t="s">
        <v>3861</v>
      </c>
      <c r="C11879" s="17" t="s">
        <v>3752</v>
      </c>
      <c r="D11879" s="17" t="s">
        <v>1407</v>
      </c>
      <c r="E11879" s="17" t="s">
        <v>3863</v>
      </c>
      <c r="F11879" s="17"/>
      <c r="G11879" s="18" t="n">
        <v>0</v>
      </c>
      <c r="H11879" s="18" t="n">
        <v>23.26</v>
      </c>
      <c r="I11879" s="18" t="n">
        <f aca="false">((I11878 + G11879) - H11879)</f>
        <v>55531.0899999999</v>
      </c>
      <c r="J11879" s="18" t="n">
        <v>0</v>
      </c>
      <c r="K11879" s="19" t="n">
        <v>0</v>
      </c>
      <c r="L11879" s="17"/>
    </row>
    <row r="11880" s="11" customFormat="true" ht="10.95" hidden="false" customHeight="true" outlineLevel="0" collapsed="false">
      <c r="A11880" s="16" t="n">
        <v>45459</v>
      </c>
      <c r="B11880" s="17" t="s">
        <v>3861</v>
      </c>
      <c r="C11880" s="17" t="s">
        <v>3752</v>
      </c>
      <c r="D11880" s="17" t="s">
        <v>1407</v>
      </c>
      <c r="E11880" s="17" t="s">
        <v>3808</v>
      </c>
      <c r="F11880" s="17"/>
      <c r="G11880" s="18" t="n">
        <v>0</v>
      </c>
      <c r="H11880" s="18" t="n">
        <v>521.67</v>
      </c>
      <c r="I11880" s="18" t="n">
        <f aca="false">((I11879 + G11880) - H11880)</f>
        <v>55009.4199999999</v>
      </c>
      <c r="J11880" s="18" t="n">
        <v>0</v>
      </c>
      <c r="K11880" s="19" t="n">
        <v>0</v>
      </c>
      <c r="L11880" s="17"/>
    </row>
    <row r="11881" s="11" customFormat="true" ht="10.95" hidden="false" customHeight="true" outlineLevel="0" collapsed="false">
      <c r="A11881" s="16" t="n">
        <v>45460</v>
      </c>
      <c r="B11881" s="17" t="s">
        <v>3861</v>
      </c>
      <c r="C11881" s="17" t="s">
        <v>3752</v>
      </c>
      <c r="D11881" s="17" t="s">
        <v>2895</v>
      </c>
      <c r="E11881" s="17" t="s">
        <v>2934</v>
      </c>
      <c r="F11881" s="17" t="s">
        <v>3174</v>
      </c>
      <c r="G11881" s="18" t="n">
        <v>870.28</v>
      </c>
      <c r="H11881" s="18" t="n">
        <v>0</v>
      </c>
      <c r="I11881" s="18" t="n">
        <f aca="false">((I11880 + G11881) - H11881)</f>
        <v>55879.6999999999</v>
      </c>
      <c r="J11881" s="18" t="n">
        <v>0</v>
      </c>
      <c r="K11881" s="19" t="n">
        <v>0</v>
      </c>
      <c r="L11881" s="17"/>
    </row>
    <row r="11882" s="11" customFormat="true" ht="10.95" hidden="false" customHeight="true" outlineLevel="0" collapsed="false">
      <c r="A11882" s="16" t="n">
        <v>45460</v>
      </c>
      <c r="B11882" s="17" t="s">
        <v>3861</v>
      </c>
      <c r="C11882" s="17" t="s">
        <v>3752</v>
      </c>
      <c r="D11882" s="17" t="s">
        <v>2895</v>
      </c>
      <c r="E11882" s="17" t="s">
        <v>2934</v>
      </c>
      <c r="F11882" s="17" t="s">
        <v>3175</v>
      </c>
      <c r="G11882" s="18" t="n">
        <v>5696.37</v>
      </c>
      <c r="H11882" s="18" t="n">
        <v>0</v>
      </c>
      <c r="I11882" s="18" t="n">
        <f aca="false">((I11881 + G11882) - H11882)</f>
        <v>61576.0699999999</v>
      </c>
      <c r="J11882" s="18" t="n">
        <v>0</v>
      </c>
      <c r="K11882" s="19" t="n">
        <v>0</v>
      </c>
      <c r="L11882" s="17"/>
    </row>
    <row r="11883" s="11" customFormat="true" ht="10.95" hidden="false" customHeight="true" outlineLevel="0" collapsed="false">
      <c r="A11883" s="16" t="n">
        <v>45460</v>
      </c>
      <c r="B11883" s="17" t="s">
        <v>3861</v>
      </c>
      <c r="C11883" s="17" t="s">
        <v>3752</v>
      </c>
      <c r="D11883" s="17" t="s">
        <v>2895</v>
      </c>
      <c r="E11883" s="17" t="s">
        <v>3474</v>
      </c>
      <c r="F11883" s="17" t="s">
        <v>4489</v>
      </c>
      <c r="G11883" s="18" t="n">
        <v>357.5</v>
      </c>
      <c r="H11883" s="18" t="n">
        <v>0</v>
      </c>
      <c r="I11883" s="18" t="n">
        <f aca="false">((I11882 + G11883) - H11883)</f>
        <v>61933.5699999999</v>
      </c>
      <c r="J11883" s="18" t="n">
        <v>0</v>
      </c>
      <c r="K11883" s="19" t="n">
        <v>0</v>
      </c>
      <c r="L11883" s="17"/>
    </row>
    <row r="11884" s="11" customFormat="true" ht="10.95" hidden="false" customHeight="true" outlineLevel="0" collapsed="false">
      <c r="A11884" s="16" t="n">
        <v>45460</v>
      </c>
      <c r="B11884" s="17" t="s">
        <v>3861</v>
      </c>
      <c r="C11884" s="17" t="s">
        <v>3752</v>
      </c>
      <c r="D11884" s="17" t="s">
        <v>2895</v>
      </c>
      <c r="E11884" s="17" t="s">
        <v>2964</v>
      </c>
      <c r="F11884" s="17" t="s">
        <v>3176</v>
      </c>
      <c r="G11884" s="18" t="n">
        <v>660.56</v>
      </c>
      <c r="H11884" s="18" t="n">
        <v>0</v>
      </c>
      <c r="I11884" s="18" t="n">
        <f aca="false">((I11883 + G11884) - H11884)</f>
        <v>62594.1299999999</v>
      </c>
      <c r="J11884" s="18" t="n">
        <v>0</v>
      </c>
      <c r="K11884" s="19" t="n">
        <v>0</v>
      </c>
      <c r="L11884" s="17"/>
    </row>
    <row r="11885" s="11" customFormat="true" ht="10.95" hidden="false" customHeight="true" outlineLevel="0" collapsed="false">
      <c r="A11885" s="16" t="n">
        <v>45460</v>
      </c>
      <c r="B11885" s="17" t="s">
        <v>3861</v>
      </c>
      <c r="C11885" s="17" t="s">
        <v>3752</v>
      </c>
      <c r="D11885" s="17" t="s">
        <v>2895</v>
      </c>
      <c r="E11885" s="17" t="s">
        <v>2964</v>
      </c>
      <c r="F11885" s="17" t="s">
        <v>3177</v>
      </c>
      <c r="G11885" s="18" t="n">
        <v>3302.82</v>
      </c>
      <c r="H11885" s="18" t="n">
        <v>0</v>
      </c>
      <c r="I11885" s="18" t="n">
        <f aca="false">((I11884 + G11885) - H11885)</f>
        <v>65896.9499999999</v>
      </c>
      <c r="J11885" s="18" t="n">
        <v>0</v>
      </c>
      <c r="K11885" s="19" t="n">
        <v>0</v>
      </c>
      <c r="L11885" s="17"/>
    </row>
    <row r="11886" s="11" customFormat="true" ht="10.95" hidden="false" customHeight="true" outlineLevel="0" collapsed="false">
      <c r="A11886" s="16" t="n">
        <v>45460</v>
      </c>
      <c r="B11886" s="17" t="s">
        <v>3861</v>
      </c>
      <c r="C11886" s="17" t="s">
        <v>3752</v>
      </c>
      <c r="D11886" s="17" t="s">
        <v>2895</v>
      </c>
      <c r="E11886" s="17" t="s">
        <v>3403</v>
      </c>
      <c r="F11886" s="17" t="s">
        <v>4490</v>
      </c>
      <c r="G11886" s="18" t="n">
        <v>103.4</v>
      </c>
      <c r="H11886" s="18" t="n">
        <v>0</v>
      </c>
      <c r="I11886" s="18" t="n">
        <f aca="false">((I11885 + G11886) - H11886)</f>
        <v>66000.3499999999</v>
      </c>
      <c r="J11886" s="18" t="n">
        <v>0</v>
      </c>
      <c r="K11886" s="19" t="n">
        <v>0</v>
      </c>
      <c r="L11886" s="17"/>
    </row>
    <row r="11887" s="11" customFormat="true" ht="10.95" hidden="false" customHeight="true" outlineLevel="0" collapsed="false">
      <c r="A11887" s="16" t="n">
        <v>45461</v>
      </c>
      <c r="B11887" s="17" t="s">
        <v>3861</v>
      </c>
      <c r="C11887" s="17" t="s">
        <v>3752</v>
      </c>
      <c r="D11887" s="17" t="s">
        <v>2903</v>
      </c>
      <c r="E11887" s="17" t="s">
        <v>3616</v>
      </c>
      <c r="F11887" s="17" t="s">
        <v>3335</v>
      </c>
      <c r="G11887" s="18" t="n">
        <v>0</v>
      </c>
      <c r="H11887" s="18" t="n">
        <v>595.32</v>
      </c>
      <c r="I11887" s="18" t="n">
        <f aca="false">((I11886 + G11887) - H11887)</f>
        <v>65405.0299999999</v>
      </c>
      <c r="J11887" s="18" t="n">
        <v>0</v>
      </c>
      <c r="K11887" s="19" t="n">
        <v>0</v>
      </c>
      <c r="L11887" s="17"/>
    </row>
    <row r="11888" s="11" customFormat="true" ht="10.95" hidden="false" customHeight="true" outlineLevel="0" collapsed="false">
      <c r="A11888" s="16" t="n">
        <v>45461</v>
      </c>
      <c r="B11888" s="17" t="s">
        <v>3861</v>
      </c>
      <c r="C11888" s="17" t="s">
        <v>3752</v>
      </c>
      <c r="D11888" s="17" t="s">
        <v>1407</v>
      </c>
      <c r="E11888" s="17" t="s">
        <v>3878</v>
      </c>
      <c r="F11888" s="17"/>
      <c r="G11888" s="18" t="n">
        <v>0</v>
      </c>
      <c r="H11888" s="18" t="n">
        <v>1569.5</v>
      </c>
      <c r="I11888" s="18" t="n">
        <f aca="false">((I11887 + G11888) - H11888)</f>
        <v>63835.5299999999</v>
      </c>
      <c r="J11888" s="18" t="n">
        <v>0</v>
      </c>
      <c r="K11888" s="19" t="n">
        <v>0</v>
      </c>
      <c r="L11888" s="17"/>
    </row>
    <row r="11889" s="11" customFormat="true" ht="10.95" hidden="false" customHeight="true" outlineLevel="0" collapsed="false">
      <c r="A11889" s="16" t="n">
        <v>45461</v>
      </c>
      <c r="B11889" s="17" t="s">
        <v>3861</v>
      </c>
      <c r="C11889" s="17" t="s">
        <v>3752</v>
      </c>
      <c r="D11889" s="17" t="s">
        <v>1407</v>
      </c>
      <c r="E11889" s="17" t="s">
        <v>3900</v>
      </c>
      <c r="F11889" s="17"/>
      <c r="G11889" s="18" t="n">
        <v>0</v>
      </c>
      <c r="H11889" s="18" t="n">
        <v>16.99</v>
      </c>
      <c r="I11889" s="18" t="n">
        <f aca="false">((I11888 + G11889) - H11889)</f>
        <v>63818.5399999999</v>
      </c>
      <c r="J11889" s="18" t="n">
        <v>0</v>
      </c>
      <c r="K11889" s="19" t="n">
        <v>0</v>
      </c>
      <c r="L11889" s="17"/>
    </row>
    <row r="11890" s="11" customFormat="true" ht="10.95" hidden="false" customHeight="true" outlineLevel="0" collapsed="false">
      <c r="A11890" s="16" t="n">
        <v>45461</v>
      </c>
      <c r="B11890" s="17" t="s">
        <v>3861</v>
      </c>
      <c r="C11890" s="17" t="s">
        <v>3752</v>
      </c>
      <c r="D11890" s="17" t="s">
        <v>1407</v>
      </c>
      <c r="E11890" s="17" t="s">
        <v>3901</v>
      </c>
      <c r="F11890" s="17"/>
      <c r="G11890" s="18" t="n">
        <v>0</v>
      </c>
      <c r="H11890" s="18" t="n">
        <v>81.79</v>
      </c>
      <c r="I11890" s="18" t="n">
        <f aca="false">((I11889 + G11890) - H11890)</f>
        <v>63736.7499999999</v>
      </c>
      <c r="J11890" s="18" t="n">
        <v>0</v>
      </c>
      <c r="K11890" s="19" t="n">
        <v>0</v>
      </c>
      <c r="L11890" s="17"/>
    </row>
    <row r="11891" s="11" customFormat="true" ht="10.95" hidden="false" customHeight="true" outlineLevel="0" collapsed="false">
      <c r="A11891" s="16" t="n">
        <v>45461</v>
      </c>
      <c r="B11891" s="17" t="s">
        <v>3861</v>
      </c>
      <c r="C11891" s="17" t="s">
        <v>3752</v>
      </c>
      <c r="D11891" s="17" t="s">
        <v>1407</v>
      </c>
      <c r="E11891" s="17" t="s">
        <v>3902</v>
      </c>
      <c r="F11891" s="17"/>
      <c r="G11891" s="18" t="n">
        <v>0</v>
      </c>
      <c r="H11891" s="18" t="n">
        <v>272.5</v>
      </c>
      <c r="I11891" s="18" t="n">
        <f aca="false">((I11890 + G11891) - H11891)</f>
        <v>63464.2499999999</v>
      </c>
      <c r="J11891" s="18" t="n">
        <v>0</v>
      </c>
      <c r="K11891" s="19" t="n">
        <v>0</v>
      </c>
      <c r="L11891" s="17"/>
    </row>
    <row r="11892" s="11" customFormat="true" ht="10.95" hidden="false" customHeight="true" outlineLevel="0" collapsed="false">
      <c r="A11892" s="16" t="n">
        <v>45462</v>
      </c>
      <c r="B11892" s="17" t="s">
        <v>3861</v>
      </c>
      <c r="C11892" s="17" t="s">
        <v>3752</v>
      </c>
      <c r="D11892" s="17" t="s">
        <v>1407</v>
      </c>
      <c r="E11892" s="17" t="s">
        <v>3881</v>
      </c>
      <c r="F11892" s="17"/>
      <c r="G11892" s="18" t="n">
        <v>0</v>
      </c>
      <c r="H11892" s="18" t="n">
        <v>140</v>
      </c>
      <c r="I11892" s="18" t="n">
        <f aca="false">((I11891 + G11892) - H11892)</f>
        <v>63324.2499999999</v>
      </c>
      <c r="J11892" s="18" t="n">
        <v>0</v>
      </c>
      <c r="K11892" s="19" t="n">
        <v>0</v>
      </c>
      <c r="L11892" s="17"/>
    </row>
    <row r="11893" s="11" customFormat="true" ht="10.95" hidden="false" customHeight="true" outlineLevel="0" collapsed="false">
      <c r="A11893" s="16" t="n">
        <v>45462</v>
      </c>
      <c r="B11893" s="17" t="s">
        <v>3861</v>
      </c>
      <c r="C11893" s="17" t="s">
        <v>3752</v>
      </c>
      <c r="D11893" s="17" t="s">
        <v>1407</v>
      </c>
      <c r="E11893" s="17" t="s">
        <v>3879</v>
      </c>
      <c r="F11893" s="17"/>
      <c r="G11893" s="18" t="n">
        <v>0</v>
      </c>
      <c r="H11893" s="18" t="n">
        <v>1571.5</v>
      </c>
      <c r="I11893" s="18" t="n">
        <f aca="false">((I11892 + G11893) - H11893)</f>
        <v>61752.7499999999</v>
      </c>
      <c r="J11893" s="18" t="n">
        <v>0</v>
      </c>
      <c r="K11893" s="19" t="n">
        <v>0</v>
      </c>
      <c r="L11893" s="17"/>
    </row>
    <row r="11894" s="11" customFormat="true" ht="10.95" hidden="false" customHeight="true" outlineLevel="0" collapsed="false">
      <c r="A11894" s="16" t="n">
        <v>45462</v>
      </c>
      <c r="B11894" s="17" t="s">
        <v>3861</v>
      </c>
      <c r="C11894" s="17" t="s">
        <v>3752</v>
      </c>
      <c r="D11894" s="17" t="s">
        <v>1407</v>
      </c>
      <c r="E11894" s="17" t="s">
        <v>3880</v>
      </c>
      <c r="F11894" s="17"/>
      <c r="G11894" s="18" t="n">
        <v>0</v>
      </c>
      <c r="H11894" s="18" t="n">
        <v>1765.5</v>
      </c>
      <c r="I11894" s="18" t="n">
        <f aca="false">((I11893 + G11894) - H11894)</f>
        <v>59987.2499999999</v>
      </c>
      <c r="J11894" s="18" t="n">
        <v>0</v>
      </c>
      <c r="K11894" s="19" t="n">
        <v>0</v>
      </c>
      <c r="L11894" s="17"/>
    </row>
    <row r="11895" s="11" customFormat="true" ht="10.95" hidden="false" customHeight="true" outlineLevel="0" collapsed="false">
      <c r="A11895" s="16" t="n">
        <v>45462</v>
      </c>
      <c r="B11895" s="17" t="s">
        <v>3861</v>
      </c>
      <c r="C11895" s="17" t="s">
        <v>3752</v>
      </c>
      <c r="D11895" s="17" t="s">
        <v>1407</v>
      </c>
      <c r="E11895" s="17" t="s">
        <v>3808</v>
      </c>
      <c r="F11895" s="17"/>
      <c r="G11895" s="18" t="n">
        <v>0</v>
      </c>
      <c r="H11895" s="18" t="n">
        <v>2163.92</v>
      </c>
      <c r="I11895" s="18" t="n">
        <f aca="false">((I11894 + G11895) - H11895)</f>
        <v>57823.3299999999</v>
      </c>
      <c r="J11895" s="18" t="n">
        <v>0</v>
      </c>
      <c r="K11895" s="19" t="n">
        <v>0</v>
      </c>
      <c r="L11895" s="17"/>
    </row>
    <row r="11896" s="11" customFormat="true" ht="10.95" hidden="false" customHeight="true" outlineLevel="0" collapsed="false">
      <c r="A11896" s="16" t="n">
        <v>45462</v>
      </c>
      <c r="B11896" s="17" t="s">
        <v>3861</v>
      </c>
      <c r="C11896" s="17" t="s">
        <v>3752</v>
      </c>
      <c r="D11896" s="17" t="s">
        <v>2903</v>
      </c>
      <c r="E11896" s="17" t="s">
        <v>3616</v>
      </c>
      <c r="F11896" s="17" t="s">
        <v>3337</v>
      </c>
      <c r="G11896" s="18" t="n">
        <v>0</v>
      </c>
      <c r="H11896" s="18" t="n">
        <v>3063.5</v>
      </c>
      <c r="I11896" s="18" t="n">
        <f aca="false">((I11895 + G11896) - H11896)</f>
        <v>54759.8299999999</v>
      </c>
      <c r="J11896" s="18" t="n">
        <v>0</v>
      </c>
      <c r="K11896" s="19" t="n">
        <v>0</v>
      </c>
      <c r="L11896" s="17"/>
    </row>
    <row r="11897" s="11" customFormat="true" ht="10.95" hidden="false" customHeight="true" outlineLevel="0" collapsed="false">
      <c r="A11897" s="16" t="n">
        <v>45462</v>
      </c>
      <c r="B11897" s="17" t="s">
        <v>3861</v>
      </c>
      <c r="C11897" s="17" t="s">
        <v>3752</v>
      </c>
      <c r="D11897" s="17" t="s">
        <v>1407</v>
      </c>
      <c r="E11897" s="17" t="s">
        <v>3666</v>
      </c>
      <c r="F11897" s="17"/>
      <c r="G11897" s="18" t="n">
        <v>0</v>
      </c>
      <c r="H11897" s="18" t="n">
        <v>81.69</v>
      </c>
      <c r="I11897" s="18" t="n">
        <f aca="false">((I11896 + G11897) - H11897)</f>
        <v>54678.1399999999</v>
      </c>
      <c r="J11897" s="18" t="n">
        <v>0</v>
      </c>
      <c r="K11897" s="19" t="n">
        <v>0</v>
      </c>
      <c r="L11897" s="17"/>
    </row>
    <row r="11898" s="11" customFormat="true" ht="10.95" hidden="false" customHeight="true" outlineLevel="0" collapsed="false">
      <c r="A11898" s="16" t="n">
        <v>45463</v>
      </c>
      <c r="B11898" s="17" t="s">
        <v>3861</v>
      </c>
      <c r="C11898" s="17" t="s">
        <v>3752</v>
      </c>
      <c r="D11898" s="17" t="s">
        <v>1407</v>
      </c>
      <c r="E11898" s="17" t="s">
        <v>3632</v>
      </c>
      <c r="F11898" s="17"/>
      <c r="G11898" s="18" t="n">
        <v>0</v>
      </c>
      <c r="H11898" s="18" t="n">
        <v>1650</v>
      </c>
      <c r="I11898" s="18" t="n">
        <f aca="false">((I11897 + G11898) - H11898)</f>
        <v>53028.1399999999</v>
      </c>
      <c r="J11898" s="18" t="n">
        <v>0</v>
      </c>
      <c r="K11898" s="19" t="n">
        <v>0</v>
      </c>
      <c r="L11898" s="17"/>
    </row>
    <row r="11899" s="11" customFormat="true" ht="10.95" hidden="false" customHeight="true" outlineLevel="0" collapsed="false">
      <c r="A11899" s="16" t="n">
        <v>45463</v>
      </c>
      <c r="B11899" s="17" t="s">
        <v>3861</v>
      </c>
      <c r="C11899" s="17" t="s">
        <v>3752</v>
      </c>
      <c r="D11899" s="17" t="s">
        <v>2903</v>
      </c>
      <c r="E11899" s="17" t="s">
        <v>3645</v>
      </c>
      <c r="F11899" s="17" t="s">
        <v>1575</v>
      </c>
      <c r="G11899" s="18" t="n">
        <v>0</v>
      </c>
      <c r="H11899" s="18" t="n">
        <v>27192.44</v>
      </c>
      <c r="I11899" s="18" t="n">
        <f aca="false">((I11898 + G11899) - H11899)</f>
        <v>25835.6999999999</v>
      </c>
      <c r="J11899" s="18" t="n">
        <v>0</v>
      </c>
      <c r="K11899" s="19" t="n">
        <v>0</v>
      </c>
      <c r="L11899" s="17"/>
    </row>
    <row r="11900" s="11" customFormat="true" ht="10.95" hidden="false" customHeight="true" outlineLevel="0" collapsed="false">
      <c r="A11900" s="16" t="n">
        <v>45463</v>
      </c>
      <c r="B11900" s="17" t="s">
        <v>3861</v>
      </c>
      <c r="C11900" s="17" t="s">
        <v>3752</v>
      </c>
      <c r="D11900" s="17" t="s">
        <v>2903</v>
      </c>
      <c r="E11900" s="17" t="s">
        <v>3645</v>
      </c>
      <c r="F11900" s="17" t="s">
        <v>1577</v>
      </c>
      <c r="G11900" s="18" t="n">
        <v>0</v>
      </c>
      <c r="H11900" s="18" t="n">
        <v>2755.65</v>
      </c>
      <c r="I11900" s="18" t="n">
        <f aca="false">((I11899 + G11900) - H11900)</f>
        <v>23080.0499999999</v>
      </c>
      <c r="J11900" s="18" t="n">
        <v>0</v>
      </c>
      <c r="K11900" s="19" t="n">
        <v>0</v>
      </c>
      <c r="L11900" s="17"/>
    </row>
    <row r="11901" s="11" customFormat="true" ht="10.95" hidden="false" customHeight="true" outlineLevel="0" collapsed="false">
      <c r="A11901" s="16" t="n">
        <v>45463</v>
      </c>
      <c r="B11901" s="17" t="s">
        <v>3861</v>
      </c>
      <c r="C11901" s="17" t="s">
        <v>3752</v>
      </c>
      <c r="D11901" s="17" t="s">
        <v>2903</v>
      </c>
      <c r="E11901" s="17" t="s">
        <v>3645</v>
      </c>
      <c r="F11901" s="17" t="s">
        <v>1571</v>
      </c>
      <c r="G11901" s="18" t="n">
        <v>0</v>
      </c>
      <c r="H11901" s="18" t="n">
        <v>538.76</v>
      </c>
      <c r="I11901" s="18" t="n">
        <f aca="false">((I11900 + G11901) - H11901)</f>
        <v>22541.2899999999</v>
      </c>
      <c r="J11901" s="18" t="n">
        <v>0</v>
      </c>
      <c r="K11901" s="19" t="n">
        <v>0</v>
      </c>
      <c r="L11901" s="17"/>
    </row>
    <row r="11902" s="11" customFormat="true" ht="10.95" hidden="false" customHeight="true" outlineLevel="0" collapsed="false">
      <c r="A11902" s="16" t="n">
        <v>45464</v>
      </c>
      <c r="B11902" s="17" t="s">
        <v>3861</v>
      </c>
      <c r="C11902" s="17" t="s">
        <v>3752</v>
      </c>
      <c r="D11902" s="17" t="s">
        <v>2895</v>
      </c>
      <c r="E11902" s="17" t="s">
        <v>3525</v>
      </c>
      <c r="F11902" s="17" t="s">
        <v>4491</v>
      </c>
      <c r="G11902" s="18" t="n">
        <v>712.8</v>
      </c>
      <c r="H11902" s="18" t="n">
        <v>0</v>
      </c>
      <c r="I11902" s="18" t="n">
        <f aca="false">((I11901 + G11902) - H11902)</f>
        <v>23254.0899999999</v>
      </c>
      <c r="J11902" s="18" t="n">
        <v>0</v>
      </c>
      <c r="K11902" s="19" t="n">
        <v>0</v>
      </c>
      <c r="L11902" s="17"/>
    </row>
    <row r="11903" s="11" customFormat="true" ht="10.95" hidden="false" customHeight="true" outlineLevel="0" collapsed="false">
      <c r="A11903" s="16" t="n">
        <v>45464</v>
      </c>
      <c r="B11903" s="17" t="s">
        <v>3861</v>
      </c>
      <c r="C11903" s="17" t="s">
        <v>3752</v>
      </c>
      <c r="D11903" s="17" t="s">
        <v>2895</v>
      </c>
      <c r="E11903" s="17" t="s">
        <v>3378</v>
      </c>
      <c r="F11903" s="17" t="s">
        <v>4492</v>
      </c>
      <c r="G11903" s="18" t="n">
        <v>413.6</v>
      </c>
      <c r="H11903" s="18" t="n">
        <v>0</v>
      </c>
      <c r="I11903" s="18" t="n">
        <f aca="false">((I11902 + G11903) - H11903)</f>
        <v>23667.6899999999</v>
      </c>
      <c r="J11903" s="18" t="n">
        <v>0</v>
      </c>
      <c r="K11903" s="19" t="n">
        <v>0</v>
      </c>
      <c r="L11903" s="17"/>
    </row>
    <row r="11904" s="11" customFormat="true" ht="10.95" hidden="false" customHeight="true" outlineLevel="0" collapsed="false">
      <c r="A11904" s="16" t="n">
        <v>45464</v>
      </c>
      <c r="B11904" s="17" t="s">
        <v>3861</v>
      </c>
      <c r="C11904" s="17" t="s">
        <v>3752</v>
      </c>
      <c r="D11904" s="17" t="s">
        <v>2903</v>
      </c>
      <c r="E11904" s="17" t="s">
        <v>3704</v>
      </c>
      <c r="F11904" s="17" t="s">
        <v>1642</v>
      </c>
      <c r="G11904" s="18" t="n">
        <v>0</v>
      </c>
      <c r="H11904" s="18" t="n">
        <v>51.14</v>
      </c>
      <c r="I11904" s="18" t="n">
        <f aca="false">((I11903 + G11904) - H11904)</f>
        <v>23616.5499999999</v>
      </c>
      <c r="J11904" s="18" t="n">
        <v>0</v>
      </c>
      <c r="K11904" s="19" t="n">
        <v>0</v>
      </c>
      <c r="L11904" s="17"/>
    </row>
    <row r="11905" s="11" customFormat="true" ht="10.95" hidden="false" customHeight="true" outlineLevel="0" collapsed="false">
      <c r="A11905" s="16" t="n">
        <v>45464</v>
      </c>
      <c r="B11905" s="17" t="s">
        <v>3861</v>
      </c>
      <c r="C11905" s="17" t="s">
        <v>3752</v>
      </c>
      <c r="D11905" s="17" t="s">
        <v>2895</v>
      </c>
      <c r="E11905" s="17" t="s">
        <v>2900</v>
      </c>
      <c r="F11905" s="17" t="s">
        <v>3178</v>
      </c>
      <c r="G11905" s="18" t="n">
        <v>1867.17</v>
      </c>
      <c r="H11905" s="18" t="n">
        <v>0</v>
      </c>
      <c r="I11905" s="18" t="n">
        <f aca="false">((I11904 + G11905) - H11905)</f>
        <v>25483.7199999999</v>
      </c>
      <c r="J11905" s="18" t="n">
        <v>0</v>
      </c>
      <c r="K11905" s="19" t="n">
        <v>0</v>
      </c>
      <c r="L11905" s="17"/>
    </row>
    <row r="11906" s="11" customFormat="true" ht="10.95" hidden="false" customHeight="true" outlineLevel="0" collapsed="false">
      <c r="A11906" s="16" t="n">
        <v>45464</v>
      </c>
      <c r="B11906" s="17" t="s">
        <v>3861</v>
      </c>
      <c r="C11906" s="17" t="s">
        <v>3752</v>
      </c>
      <c r="D11906" s="17" t="s">
        <v>2895</v>
      </c>
      <c r="E11906" s="17" t="s">
        <v>2900</v>
      </c>
      <c r="F11906" s="17" t="s">
        <v>3179</v>
      </c>
      <c r="G11906" s="18" t="n">
        <v>771.93</v>
      </c>
      <c r="H11906" s="18" t="n">
        <v>0</v>
      </c>
      <c r="I11906" s="18" t="n">
        <f aca="false">((I11905 + G11906) - H11906)</f>
        <v>26255.6499999999</v>
      </c>
      <c r="J11906" s="18" t="n">
        <v>0</v>
      </c>
      <c r="K11906" s="19" t="n">
        <v>0</v>
      </c>
      <c r="L11906" s="17"/>
    </row>
    <row r="11907" s="11" customFormat="true" ht="10.95" hidden="false" customHeight="true" outlineLevel="0" collapsed="false">
      <c r="A11907" s="16" t="n">
        <v>45464</v>
      </c>
      <c r="B11907" s="17" t="s">
        <v>3861</v>
      </c>
      <c r="C11907" s="17" t="s">
        <v>3752</v>
      </c>
      <c r="D11907" s="17" t="s">
        <v>2895</v>
      </c>
      <c r="E11907" s="17" t="s">
        <v>2900</v>
      </c>
      <c r="F11907" s="17" t="s">
        <v>3180</v>
      </c>
      <c r="G11907" s="18" t="n">
        <v>168.84</v>
      </c>
      <c r="H11907" s="18" t="n">
        <v>0</v>
      </c>
      <c r="I11907" s="18" t="n">
        <f aca="false">((I11906 + G11907) - H11907)</f>
        <v>26424.4899999999</v>
      </c>
      <c r="J11907" s="18" t="n">
        <v>0</v>
      </c>
      <c r="K11907" s="19" t="n">
        <v>0</v>
      </c>
      <c r="L11907" s="17"/>
    </row>
    <row r="11908" s="11" customFormat="true" ht="10.95" hidden="false" customHeight="true" outlineLevel="0" collapsed="false">
      <c r="A11908" s="16" t="n">
        <v>45465</v>
      </c>
      <c r="B11908" s="17" t="s">
        <v>3861</v>
      </c>
      <c r="C11908" s="17" t="s">
        <v>3752</v>
      </c>
      <c r="D11908" s="17" t="s">
        <v>2903</v>
      </c>
      <c r="E11908" s="17" t="s">
        <v>3644</v>
      </c>
      <c r="F11908" s="17" t="s">
        <v>2586</v>
      </c>
      <c r="G11908" s="18" t="n">
        <v>0</v>
      </c>
      <c r="H11908" s="18" t="n">
        <v>6.6</v>
      </c>
      <c r="I11908" s="18" t="n">
        <f aca="false">((I11907 + G11908) - H11908)</f>
        <v>26417.8899999999</v>
      </c>
      <c r="J11908" s="18" t="n">
        <v>0</v>
      </c>
      <c r="K11908" s="19" t="n">
        <v>0</v>
      </c>
      <c r="L11908" s="17"/>
    </row>
    <row r="11909" s="11" customFormat="true" ht="10.95" hidden="false" customHeight="true" outlineLevel="0" collapsed="false">
      <c r="A11909" s="16" t="n">
        <v>45465</v>
      </c>
      <c r="B11909" s="17" t="s">
        <v>3861</v>
      </c>
      <c r="C11909" s="17" t="s">
        <v>3752</v>
      </c>
      <c r="D11909" s="17" t="s">
        <v>2903</v>
      </c>
      <c r="E11909" s="17" t="s">
        <v>3644</v>
      </c>
      <c r="F11909" s="17" t="s">
        <v>2582</v>
      </c>
      <c r="G11909" s="18" t="n">
        <v>0</v>
      </c>
      <c r="H11909" s="18" t="n">
        <v>24.64</v>
      </c>
      <c r="I11909" s="18" t="n">
        <f aca="false">((I11908 + G11909) - H11909)</f>
        <v>26393.2499999999</v>
      </c>
      <c r="J11909" s="18" t="n">
        <v>0</v>
      </c>
      <c r="K11909" s="19" t="n">
        <v>0</v>
      </c>
      <c r="L11909" s="17"/>
    </row>
    <row r="11910" s="11" customFormat="true" ht="10.95" hidden="false" customHeight="true" outlineLevel="0" collapsed="false">
      <c r="A11910" s="16" t="n">
        <v>45465</v>
      </c>
      <c r="B11910" s="17" t="s">
        <v>3861</v>
      </c>
      <c r="C11910" s="17" t="s">
        <v>3752</v>
      </c>
      <c r="D11910" s="17" t="s">
        <v>2903</v>
      </c>
      <c r="E11910" s="17" t="s">
        <v>3644</v>
      </c>
      <c r="F11910" s="17" t="s">
        <v>2584</v>
      </c>
      <c r="G11910" s="18" t="n">
        <v>0</v>
      </c>
      <c r="H11910" s="18" t="n">
        <v>68.2</v>
      </c>
      <c r="I11910" s="18" t="n">
        <f aca="false">((I11909 + G11910) - H11910)</f>
        <v>26325.0499999999</v>
      </c>
      <c r="J11910" s="18" t="n">
        <v>0</v>
      </c>
      <c r="K11910" s="19" t="n">
        <v>0</v>
      </c>
      <c r="L11910" s="17"/>
    </row>
    <row r="11911" s="11" customFormat="true" ht="10.95" hidden="false" customHeight="true" outlineLevel="0" collapsed="false">
      <c r="A11911" s="16" t="n">
        <v>45465</v>
      </c>
      <c r="B11911" s="17" t="s">
        <v>3861</v>
      </c>
      <c r="C11911" s="17" t="s">
        <v>3752</v>
      </c>
      <c r="D11911" s="17" t="s">
        <v>1407</v>
      </c>
      <c r="E11911" s="17" t="s">
        <v>3863</v>
      </c>
      <c r="F11911" s="17"/>
      <c r="G11911" s="18" t="n">
        <v>0</v>
      </c>
      <c r="H11911" s="18" t="n">
        <v>115.11</v>
      </c>
      <c r="I11911" s="18" t="n">
        <f aca="false">((I11910 + G11911) - H11911)</f>
        <v>26209.9399999999</v>
      </c>
      <c r="J11911" s="18" t="n">
        <v>0</v>
      </c>
      <c r="K11911" s="19" t="n">
        <v>0</v>
      </c>
      <c r="L11911" s="17"/>
    </row>
    <row r="11912" s="11" customFormat="true" ht="10.95" hidden="false" customHeight="true" outlineLevel="0" collapsed="false">
      <c r="A11912" s="16" t="n">
        <v>45465</v>
      </c>
      <c r="B11912" s="17" t="s">
        <v>3861</v>
      </c>
      <c r="C11912" s="17" t="s">
        <v>3752</v>
      </c>
      <c r="D11912" s="17" t="s">
        <v>2903</v>
      </c>
      <c r="E11912" s="17" t="s">
        <v>3644</v>
      </c>
      <c r="F11912" s="17" t="s">
        <v>2580</v>
      </c>
      <c r="G11912" s="18" t="n">
        <v>0</v>
      </c>
      <c r="H11912" s="18" t="n">
        <v>219.78</v>
      </c>
      <c r="I11912" s="18" t="n">
        <f aca="false">((I11911 + G11912) - H11912)</f>
        <v>25990.1599999999</v>
      </c>
      <c r="J11912" s="18" t="n">
        <v>0</v>
      </c>
      <c r="K11912" s="19" t="n">
        <v>0</v>
      </c>
      <c r="L11912" s="17"/>
    </row>
    <row r="11913" s="11" customFormat="true" ht="10.95" hidden="false" customHeight="true" outlineLevel="0" collapsed="false">
      <c r="A11913" s="16" t="n">
        <v>45465</v>
      </c>
      <c r="B11913" s="17" t="s">
        <v>3861</v>
      </c>
      <c r="C11913" s="17" t="s">
        <v>3752</v>
      </c>
      <c r="D11913" s="17" t="s">
        <v>1407</v>
      </c>
      <c r="E11913" s="17" t="s">
        <v>3729</v>
      </c>
      <c r="F11913" s="17"/>
      <c r="G11913" s="18" t="n">
        <v>0</v>
      </c>
      <c r="H11913" s="18" t="n">
        <v>14.09</v>
      </c>
      <c r="I11913" s="18" t="n">
        <f aca="false">((I11912 + G11913) - H11913)</f>
        <v>25976.0699999999</v>
      </c>
      <c r="J11913" s="18" t="n">
        <v>0</v>
      </c>
      <c r="K11913" s="19" t="n">
        <v>0</v>
      </c>
      <c r="L11913" s="17"/>
    </row>
    <row r="11914" s="11" customFormat="true" ht="10.95" hidden="false" customHeight="true" outlineLevel="0" collapsed="false">
      <c r="A11914" s="16" t="n">
        <v>45465</v>
      </c>
      <c r="B11914" s="17" t="s">
        <v>3861</v>
      </c>
      <c r="C11914" s="17" t="s">
        <v>3752</v>
      </c>
      <c r="D11914" s="17" t="s">
        <v>2903</v>
      </c>
      <c r="E11914" s="17" t="s">
        <v>3738</v>
      </c>
      <c r="F11914" s="17" t="s">
        <v>1610</v>
      </c>
      <c r="G11914" s="18" t="n">
        <v>0</v>
      </c>
      <c r="H11914" s="18" t="n">
        <v>3274.8</v>
      </c>
      <c r="I11914" s="18" t="n">
        <f aca="false">((I11913 + G11914) - H11914)</f>
        <v>22701.2699999999</v>
      </c>
      <c r="J11914" s="18" t="n">
        <v>0</v>
      </c>
      <c r="K11914" s="19" t="n">
        <v>0</v>
      </c>
      <c r="L11914" s="17"/>
    </row>
    <row r="11915" s="11" customFormat="true" ht="10.95" hidden="false" customHeight="true" outlineLevel="0" collapsed="false">
      <c r="A11915" s="16" t="n">
        <v>45467</v>
      </c>
      <c r="B11915" s="17" t="s">
        <v>3861</v>
      </c>
      <c r="C11915" s="17" t="s">
        <v>3752</v>
      </c>
      <c r="D11915" s="17" t="s">
        <v>2895</v>
      </c>
      <c r="E11915" s="17" t="s">
        <v>3541</v>
      </c>
      <c r="F11915" s="17" t="s">
        <v>4493</v>
      </c>
      <c r="G11915" s="18" t="n">
        <v>1379.4</v>
      </c>
      <c r="H11915" s="18" t="n">
        <v>0</v>
      </c>
      <c r="I11915" s="18" t="n">
        <f aca="false">((I11914 + G11915) - H11915)</f>
        <v>24080.6699999999</v>
      </c>
      <c r="J11915" s="18" t="n">
        <v>0</v>
      </c>
      <c r="K11915" s="19" t="n">
        <v>0</v>
      </c>
      <c r="L11915" s="17"/>
    </row>
    <row r="11916" s="11" customFormat="true" ht="10.95" hidden="false" customHeight="true" outlineLevel="0" collapsed="false">
      <c r="A11916" s="16" t="n">
        <v>45467</v>
      </c>
      <c r="B11916" s="17" t="s">
        <v>3861</v>
      </c>
      <c r="C11916" s="17" t="s">
        <v>3752</v>
      </c>
      <c r="D11916" s="17" t="s">
        <v>2895</v>
      </c>
      <c r="E11916" s="17" t="s">
        <v>3088</v>
      </c>
      <c r="F11916" s="17" t="s">
        <v>3181</v>
      </c>
      <c r="G11916" s="18" t="n">
        <v>213.3</v>
      </c>
      <c r="H11916" s="18" t="n">
        <v>0</v>
      </c>
      <c r="I11916" s="18" t="n">
        <f aca="false">((I11915 + G11916) - H11916)</f>
        <v>24293.9699999999</v>
      </c>
      <c r="J11916" s="18" t="n">
        <v>0</v>
      </c>
      <c r="K11916" s="19" t="n">
        <v>0</v>
      </c>
      <c r="L11916" s="17"/>
    </row>
    <row r="11917" s="11" customFormat="true" ht="10.95" hidden="false" customHeight="true" outlineLevel="0" collapsed="false">
      <c r="A11917" s="16" t="n">
        <v>45467</v>
      </c>
      <c r="B11917" s="17" t="s">
        <v>3861</v>
      </c>
      <c r="C11917" s="17" t="s">
        <v>3752</v>
      </c>
      <c r="D11917" s="17" t="s">
        <v>2903</v>
      </c>
      <c r="E11917" s="17" t="s">
        <v>3035</v>
      </c>
      <c r="F11917" s="17" t="s">
        <v>3182</v>
      </c>
      <c r="G11917" s="18" t="n">
        <v>0</v>
      </c>
      <c r="H11917" s="18" t="n">
        <v>2491.78</v>
      </c>
      <c r="I11917" s="18" t="n">
        <f aca="false">((I11916 + G11917) - H11917)</f>
        <v>21802.1899999999</v>
      </c>
      <c r="J11917" s="18" t="n">
        <v>0</v>
      </c>
      <c r="K11917" s="19" t="n">
        <v>0</v>
      </c>
      <c r="L11917" s="17"/>
    </row>
    <row r="11918" s="11" customFormat="true" ht="10.95" hidden="false" customHeight="true" outlineLevel="0" collapsed="false">
      <c r="A11918" s="16" t="n">
        <v>45467</v>
      </c>
      <c r="B11918" s="17" t="s">
        <v>3861</v>
      </c>
      <c r="C11918" s="17" t="s">
        <v>3752</v>
      </c>
      <c r="D11918" s="17" t="s">
        <v>2895</v>
      </c>
      <c r="E11918" s="17" t="s">
        <v>3403</v>
      </c>
      <c r="F11918" s="17" t="s">
        <v>4494</v>
      </c>
      <c r="G11918" s="18" t="n">
        <v>517</v>
      </c>
      <c r="H11918" s="18" t="n">
        <v>0</v>
      </c>
      <c r="I11918" s="18" t="n">
        <f aca="false">((I11917 + G11918) - H11918)</f>
        <v>22319.1899999999</v>
      </c>
      <c r="J11918" s="18" t="n">
        <v>0</v>
      </c>
      <c r="K11918" s="19" t="n">
        <v>0</v>
      </c>
      <c r="L11918" s="17"/>
    </row>
    <row r="11919" s="11" customFormat="true" ht="10.95" hidden="false" customHeight="true" outlineLevel="0" collapsed="false">
      <c r="A11919" s="16" t="n">
        <v>45467</v>
      </c>
      <c r="B11919" s="17" t="s">
        <v>3861</v>
      </c>
      <c r="C11919" s="17" t="s">
        <v>3752</v>
      </c>
      <c r="D11919" s="17" t="s">
        <v>2895</v>
      </c>
      <c r="E11919" s="17" t="s">
        <v>3403</v>
      </c>
      <c r="F11919" s="17" t="s">
        <v>4495</v>
      </c>
      <c r="G11919" s="18" t="n">
        <v>620.4</v>
      </c>
      <c r="H11919" s="18" t="n">
        <v>0</v>
      </c>
      <c r="I11919" s="18" t="n">
        <f aca="false">((I11918 + G11919) - H11919)</f>
        <v>22939.5899999999</v>
      </c>
      <c r="J11919" s="18" t="n">
        <v>0</v>
      </c>
      <c r="K11919" s="19" t="n">
        <v>0</v>
      </c>
      <c r="L11919" s="17"/>
    </row>
    <row r="11920" s="11" customFormat="true" ht="10.95" hidden="false" customHeight="true" outlineLevel="0" collapsed="false">
      <c r="A11920" s="16" t="n">
        <v>45468</v>
      </c>
      <c r="B11920" s="17" t="s">
        <v>3861</v>
      </c>
      <c r="C11920" s="17" t="s">
        <v>3752</v>
      </c>
      <c r="D11920" s="17" t="s">
        <v>1407</v>
      </c>
      <c r="E11920" s="17" t="s">
        <v>3863</v>
      </c>
      <c r="F11920" s="17"/>
      <c r="G11920" s="18" t="n">
        <v>0</v>
      </c>
      <c r="H11920" s="18" t="n">
        <v>4.21</v>
      </c>
      <c r="I11920" s="18" t="n">
        <f aca="false">((I11919 + G11920) - H11920)</f>
        <v>22935.3799999999</v>
      </c>
      <c r="J11920" s="18" t="n">
        <v>0</v>
      </c>
      <c r="K11920" s="19" t="n">
        <v>0</v>
      </c>
      <c r="L11920" s="17"/>
    </row>
    <row r="11921" s="11" customFormat="true" ht="10.95" hidden="false" customHeight="true" outlineLevel="0" collapsed="false">
      <c r="A11921" s="16" t="n">
        <v>45468</v>
      </c>
      <c r="B11921" s="17" t="s">
        <v>3861</v>
      </c>
      <c r="C11921" s="17" t="s">
        <v>3752</v>
      </c>
      <c r="D11921" s="17" t="s">
        <v>1407</v>
      </c>
      <c r="E11921" s="17" t="s">
        <v>3907</v>
      </c>
      <c r="F11921" s="17"/>
      <c r="G11921" s="18" t="n">
        <v>0</v>
      </c>
      <c r="H11921" s="18" t="n">
        <v>21.49</v>
      </c>
      <c r="I11921" s="18" t="n">
        <f aca="false">((I11920 + G11921) - H11921)</f>
        <v>22913.8899999999</v>
      </c>
      <c r="J11921" s="18" t="n">
        <v>0</v>
      </c>
      <c r="K11921" s="19" t="n">
        <v>0</v>
      </c>
      <c r="L11921" s="17"/>
    </row>
    <row r="11922" s="11" customFormat="true" ht="10.95" hidden="false" customHeight="true" outlineLevel="0" collapsed="false">
      <c r="A11922" s="16" t="n">
        <v>45468</v>
      </c>
      <c r="B11922" s="17" t="s">
        <v>3861</v>
      </c>
      <c r="C11922" s="17" t="s">
        <v>3752</v>
      </c>
      <c r="D11922" s="17" t="s">
        <v>1407</v>
      </c>
      <c r="E11922" s="17" t="s">
        <v>3770</v>
      </c>
      <c r="F11922" s="17"/>
      <c r="G11922" s="18" t="n">
        <v>0</v>
      </c>
      <c r="H11922" s="18" t="n">
        <v>25.99</v>
      </c>
      <c r="I11922" s="18" t="n">
        <f aca="false">((I11921 + G11922) - H11922)</f>
        <v>22887.8999999999</v>
      </c>
      <c r="J11922" s="18" t="n">
        <v>0</v>
      </c>
      <c r="K11922" s="19" t="n">
        <v>0</v>
      </c>
      <c r="L11922" s="17"/>
    </row>
    <row r="11923" s="11" customFormat="true" ht="10.95" hidden="false" customHeight="true" outlineLevel="0" collapsed="false">
      <c r="A11923" s="16" t="n">
        <v>45468</v>
      </c>
      <c r="B11923" s="17" t="s">
        <v>3861</v>
      </c>
      <c r="C11923" s="17" t="s">
        <v>3752</v>
      </c>
      <c r="D11923" s="17" t="s">
        <v>1407</v>
      </c>
      <c r="E11923" s="17" t="s">
        <v>3967</v>
      </c>
      <c r="F11923" s="17"/>
      <c r="G11923" s="18" t="n">
        <v>0</v>
      </c>
      <c r="H11923" s="18" t="n">
        <v>48</v>
      </c>
      <c r="I11923" s="18" t="n">
        <f aca="false">((I11922 + G11923) - H11923)</f>
        <v>22839.8999999999</v>
      </c>
      <c r="J11923" s="18" t="n">
        <v>0</v>
      </c>
      <c r="K11923" s="19" t="n">
        <v>0</v>
      </c>
      <c r="L11923" s="17"/>
    </row>
    <row r="11924" s="11" customFormat="true" ht="10.95" hidden="false" customHeight="true" outlineLevel="0" collapsed="false">
      <c r="A11924" s="16" t="n">
        <v>45468</v>
      </c>
      <c r="B11924" s="17" t="s">
        <v>3861</v>
      </c>
      <c r="C11924" s="17" t="s">
        <v>3752</v>
      </c>
      <c r="D11924" s="17" t="s">
        <v>2903</v>
      </c>
      <c r="E11924" s="17" t="s">
        <v>3616</v>
      </c>
      <c r="F11924" s="17" t="s">
        <v>3341</v>
      </c>
      <c r="G11924" s="18" t="n">
        <v>0</v>
      </c>
      <c r="H11924" s="18" t="n">
        <v>218.9</v>
      </c>
      <c r="I11924" s="18" t="n">
        <f aca="false">((I11923 + G11924) - H11924)</f>
        <v>22620.9999999999</v>
      </c>
      <c r="J11924" s="18" t="n">
        <v>0</v>
      </c>
      <c r="K11924" s="19" t="n">
        <v>0</v>
      </c>
      <c r="L11924" s="17"/>
    </row>
    <row r="11925" s="11" customFormat="true" ht="10.95" hidden="false" customHeight="true" outlineLevel="0" collapsed="false">
      <c r="A11925" s="16" t="n">
        <v>45468</v>
      </c>
      <c r="B11925" s="17" t="s">
        <v>3861</v>
      </c>
      <c r="C11925" s="17" t="s">
        <v>3752</v>
      </c>
      <c r="D11925" s="17" t="s">
        <v>1407</v>
      </c>
      <c r="E11925" s="17" t="s">
        <v>3878</v>
      </c>
      <c r="F11925" s="17"/>
      <c r="G11925" s="18" t="n">
        <v>0</v>
      </c>
      <c r="H11925" s="18" t="n">
        <v>1569.5</v>
      </c>
      <c r="I11925" s="18" t="n">
        <f aca="false">((I11924 + G11925) - H11925)</f>
        <v>21051.4999999999</v>
      </c>
      <c r="J11925" s="18" t="n">
        <v>0</v>
      </c>
      <c r="K11925" s="19" t="n">
        <v>0</v>
      </c>
      <c r="L11925" s="17"/>
    </row>
    <row r="11926" s="11" customFormat="true" ht="10.95" hidden="false" customHeight="true" outlineLevel="0" collapsed="false">
      <c r="A11926" s="16" t="n">
        <v>45468</v>
      </c>
      <c r="B11926" s="17" t="s">
        <v>3861</v>
      </c>
      <c r="C11926" s="17" t="s">
        <v>3752</v>
      </c>
      <c r="D11926" s="17" t="s">
        <v>1407</v>
      </c>
      <c r="E11926" s="17" t="s">
        <v>3621</v>
      </c>
      <c r="F11926" s="17"/>
      <c r="G11926" s="18" t="n">
        <v>0</v>
      </c>
      <c r="H11926" s="18" t="n">
        <v>78.23</v>
      </c>
      <c r="I11926" s="18" t="n">
        <f aca="false">((I11925 + G11926) - H11926)</f>
        <v>20973.2699999999</v>
      </c>
      <c r="J11926" s="18" t="n">
        <v>0</v>
      </c>
      <c r="K11926" s="19" t="n">
        <v>0</v>
      </c>
      <c r="L11926" s="17"/>
    </row>
    <row r="11927" s="11" customFormat="true" ht="10.95" hidden="false" customHeight="true" outlineLevel="0" collapsed="false">
      <c r="A11927" s="16" t="n">
        <v>45468</v>
      </c>
      <c r="B11927" s="17" t="s">
        <v>3861</v>
      </c>
      <c r="C11927" s="17" t="s">
        <v>3752</v>
      </c>
      <c r="D11927" s="17" t="s">
        <v>1407</v>
      </c>
      <c r="E11927" s="17" t="s">
        <v>3911</v>
      </c>
      <c r="F11927" s="17"/>
      <c r="G11927" s="18" t="n">
        <v>0</v>
      </c>
      <c r="H11927" s="18" t="n">
        <v>120.36</v>
      </c>
      <c r="I11927" s="18" t="n">
        <f aca="false">((I11926 + G11927) - H11927)</f>
        <v>20852.9099999999</v>
      </c>
      <c r="J11927" s="18" t="n">
        <v>0</v>
      </c>
      <c r="K11927" s="19" t="n">
        <v>0</v>
      </c>
      <c r="L11927" s="17"/>
    </row>
    <row r="11928" s="11" customFormat="true" ht="10.95" hidden="false" customHeight="true" outlineLevel="0" collapsed="false">
      <c r="A11928" s="16" t="n">
        <v>45468</v>
      </c>
      <c r="B11928" s="17" t="s">
        <v>3861</v>
      </c>
      <c r="C11928" s="17" t="s">
        <v>3752</v>
      </c>
      <c r="D11928" s="17" t="s">
        <v>1407</v>
      </c>
      <c r="E11928" s="17" t="s">
        <v>3642</v>
      </c>
      <c r="F11928" s="17"/>
      <c r="G11928" s="18" t="n">
        <v>0</v>
      </c>
      <c r="H11928" s="18" t="n">
        <v>94.6</v>
      </c>
      <c r="I11928" s="18" t="n">
        <f aca="false">((I11927 + G11928) - H11928)</f>
        <v>20758.3099999999</v>
      </c>
      <c r="J11928" s="18" t="n">
        <v>0</v>
      </c>
      <c r="K11928" s="19" t="n">
        <v>0</v>
      </c>
      <c r="L11928" s="17"/>
    </row>
    <row r="11929" s="11" customFormat="true" ht="10.95" hidden="false" customHeight="true" outlineLevel="0" collapsed="false">
      <c r="A11929" s="16" t="n">
        <v>45468</v>
      </c>
      <c r="B11929" s="17" t="s">
        <v>3861</v>
      </c>
      <c r="C11929" s="17" t="s">
        <v>3752</v>
      </c>
      <c r="D11929" s="17" t="s">
        <v>1407</v>
      </c>
      <c r="E11929" s="17" t="s">
        <v>4496</v>
      </c>
      <c r="F11929" s="17"/>
      <c r="G11929" s="18" t="n">
        <v>0</v>
      </c>
      <c r="H11929" s="18" t="n">
        <v>35</v>
      </c>
      <c r="I11929" s="18" t="n">
        <f aca="false">((I11928 + G11929) - H11929)</f>
        <v>20723.3099999999</v>
      </c>
      <c r="J11929" s="18" t="n">
        <v>0</v>
      </c>
      <c r="K11929" s="19" t="n">
        <v>0</v>
      </c>
      <c r="L11929" s="17"/>
    </row>
    <row r="11930" s="11" customFormat="true" ht="10.95" hidden="false" customHeight="true" outlineLevel="0" collapsed="false">
      <c r="A11930" s="16" t="n">
        <v>45469</v>
      </c>
      <c r="B11930" s="17" t="s">
        <v>3861</v>
      </c>
      <c r="C11930" s="17" t="s">
        <v>3752</v>
      </c>
      <c r="D11930" s="17" t="s">
        <v>2895</v>
      </c>
      <c r="E11930" s="17" t="s">
        <v>3505</v>
      </c>
      <c r="F11930" s="17" t="s">
        <v>4497</v>
      </c>
      <c r="G11930" s="18" t="n">
        <v>157.3</v>
      </c>
      <c r="H11930" s="18" t="n">
        <v>0</v>
      </c>
      <c r="I11930" s="18" t="n">
        <f aca="false">((I11929 + G11930) - H11930)</f>
        <v>20880.6099999999</v>
      </c>
      <c r="J11930" s="18" t="n">
        <v>0</v>
      </c>
      <c r="K11930" s="19" t="n">
        <v>0</v>
      </c>
      <c r="L11930" s="17"/>
    </row>
    <row r="11931" s="11" customFormat="true" ht="10.95" hidden="false" customHeight="true" outlineLevel="0" collapsed="false">
      <c r="A11931" s="16" t="n">
        <v>45469</v>
      </c>
      <c r="B11931" s="17" t="s">
        <v>3861</v>
      </c>
      <c r="C11931" s="17" t="s">
        <v>3752</v>
      </c>
      <c r="D11931" s="17" t="s">
        <v>1407</v>
      </c>
      <c r="E11931" s="17" t="s">
        <v>3881</v>
      </c>
      <c r="F11931" s="17"/>
      <c r="G11931" s="18" t="n">
        <v>0</v>
      </c>
      <c r="H11931" s="18" t="n">
        <v>140</v>
      </c>
      <c r="I11931" s="18" t="n">
        <f aca="false">((I11930 + G11931) - H11931)</f>
        <v>20740.6099999999</v>
      </c>
      <c r="J11931" s="18" t="n">
        <v>0</v>
      </c>
      <c r="K11931" s="19" t="n">
        <v>0</v>
      </c>
      <c r="L11931" s="17"/>
    </row>
    <row r="11932" s="11" customFormat="true" ht="10.95" hidden="false" customHeight="true" outlineLevel="0" collapsed="false">
      <c r="A11932" s="16" t="n">
        <v>45469</v>
      </c>
      <c r="B11932" s="17" t="s">
        <v>3861</v>
      </c>
      <c r="C11932" s="17" t="s">
        <v>3752</v>
      </c>
      <c r="D11932" s="17" t="s">
        <v>1407</v>
      </c>
      <c r="E11932" s="17" t="s">
        <v>3879</v>
      </c>
      <c r="F11932" s="17"/>
      <c r="G11932" s="18" t="n">
        <v>0</v>
      </c>
      <c r="H11932" s="18" t="n">
        <v>1571.5</v>
      </c>
      <c r="I11932" s="18" t="n">
        <f aca="false">((I11931 + G11932) - H11932)</f>
        <v>19169.1099999999</v>
      </c>
      <c r="J11932" s="18" t="n">
        <v>0</v>
      </c>
      <c r="K11932" s="19" t="n">
        <v>0</v>
      </c>
      <c r="L11932" s="17"/>
    </row>
    <row r="11933" s="11" customFormat="true" ht="10.95" hidden="false" customHeight="true" outlineLevel="0" collapsed="false">
      <c r="A11933" s="16" t="n">
        <v>45469</v>
      </c>
      <c r="B11933" s="17" t="s">
        <v>3861</v>
      </c>
      <c r="C11933" s="17" t="s">
        <v>3752</v>
      </c>
      <c r="D11933" s="17" t="s">
        <v>1407</v>
      </c>
      <c r="E11933" s="17" t="s">
        <v>3880</v>
      </c>
      <c r="F11933" s="17"/>
      <c r="G11933" s="18" t="n">
        <v>0</v>
      </c>
      <c r="H11933" s="18" t="n">
        <v>1765.5</v>
      </c>
      <c r="I11933" s="18" t="n">
        <f aca="false">((I11932 + G11933) - H11933)</f>
        <v>17403.6099999999</v>
      </c>
      <c r="J11933" s="18" t="n">
        <v>0</v>
      </c>
      <c r="K11933" s="19" t="n">
        <v>0</v>
      </c>
      <c r="L11933" s="17"/>
    </row>
    <row r="11934" s="11" customFormat="true" ht="10.95" hidden="false" customHeight="true" outlineLevel="0" collapsed="false">
      <c r="A11934" s="16" t="n">
        <v>45469</v>
      </c>
      <c r="B11934" s="17" t="s">
        <v>3861</v>
      </c>
      <c r="C11934" s="17" t="s">
        <v>3752</v>
      </c>
      <c r="D11934" s="17" t="s">
        <v>1407</v>
      </c>
      <c r="E11934" s="17" t="s">
        <v>3808</v>
      </c>
      <c r="F11934" s="17"/>
      <c r="G11934" s="18" t="n">
        <v>0</v>
      </c>
      <c r="H11934" s="18" t="n">
        <v>2163.92</v>
      </c>
      <c r="I11934" s="18" t="n">
        <f aca="false">((I11933 + G11934) - H11934)</f>
        <v>15239.6899999999</v>
      </c>
      <c r="J11934" s="18" t="n">
        <v>0</v>
      </c>
      <c r="K11934" s="19" t="n">
        <v>0</v>
      </c>
      <c r="L11934" s="17"/>
    </row>
    <row r="11935" s="11" customFormat="true" ht="10.95" hidden="false" customHeight="true" outlineLevel="0" collapsed="false">
      <c r="A11935" s="16" t="n">
        <v>45469</v>
      </c>
      <c r="B11935" s="17" t="s">
        <v>3861</v>
      </c>
      <c r="C11935" s="17" t="s">
        <v>3752</v>
      </c>
      <c r="D11935" s="17" t="s">
        <v>1407</v>
      </c>
      <c r="E11935" s="17" t="s">
        <v>3666</v>
      </c>
      <c r="F11935" s="17"/>
      <c r="G11935" s="18" t="n">
        <v>0</v>
      </c>
      <c r="H11935" s="18" t="n">
        <v>544.78</v>
      </c>
      <c r="I11935" s="18" t="n">
        <f aca="false">((I11934 + G11935) - H11935)</f>
        <v>14694.9099999999</v>
      </c>
      <c r="J11935" s="18" t="n">
        <v>0</v>
      </c>
      <c r="K11935" s="19" t="n">
        <v>0</v>
      </c>
      <c r="L11935" s="17"/>
    </row>
    <row r="11936" s="11" customFormat="true" ht="10.95" hidden="false" customHeight="true" outlineLevel="0" collapsed="false">
      <c r="A11936" s="16" t="n">
        <v>45470</v>
      </c>
      <c r="B11936" s="17" t="s">
        <v>3861</v>
      </c>
      <c r="C11936" s="17" t="s">
        <v>3752</v>
      </c>
      <c r="D11936" s="17" t="s">
        <v>2895</v>
      </c>
      <c r="E11936" s="17" t="s">
        <v>3127</v>
      </c>
      <c r="F11936" s="17" t="s">
        <v>1382</v>
      </c>
      <c r="G11936" s="18" t="n">
        <v>1621.34</v>
      </c>
      <c r="H11936" s="18" t="n">
        <v>0</v>
      </c>
      <c r="I11936" s="18" t="n">
        <f aca="false">((I11935 + G11936) - H11936)</f>
        <v>16316.2499999999</v>
      </c>
      <c r="J11936" s="18" t="n">
        <v>0</v>
      </c>
      <c r="K11936" s="19" t="n">
        <v>0</v>
      </c>
      <c r="L11936" s="17"/>
    </row>
    <row r="11937" s="11" customFormat="true" ht="10.95" hidden="false" customHeight="true" outlineLevel="0" collapsed="false">
      <c r="A11937" s="16" t="n">
        <v>45470</v>
      </c>
      <c r="B11937" s="17" t="s">
        <v>3861</v>
      </c>
      <c r="C11937" s="17" t="s">
        <v>3752</v>
      </c>
      <c r="D11937" s="17" t="s">
        <v>1276</v>
      </c>
      <c r="E11937" s="17" t="s">
        <v>3533</v>
      </c>
      <c r="F11937" s="17" t="s">
        <v>1382</v>
      </c>
      <c r="G11937" s="18" t="n">
        <v>28.95</v>
      </c>
      <c r="H11937" s="18" t="n">
        <v>0</v>
      </c>
      <c r="I11937" s="18" t="n">
        <f aca="false">((I11936 + G11937) - H11937)</f>
        <v>16345.1999999999</v>
      </c>
      <c r="J11937" s="18" t="n">
        <v>0</v>
      </c>
      <c r="K11937" s="19" t="n">
        <v>0</v>
      </c>
      <c r="L11937" s="17"/>
    </row>
    <row r="11938" s="11" customFormat="true" ht="10.95" hidden="false" customHeight="true" outlineLevel="0" collapsed="false">
      <c r="A11938" s="16" t="n">
        <v>45470</v>
      </c>
      <c r="B11938" s="17" t="s">
        <v>3861</v>
      </c>
      <c r="C11938" s="17" t="s">
        <v>3752</v>
      </c>
      <c r="D11938" s="17" t="s">
        <v>1407</v>
      </c>
      <c r="E11938" s="17" t="s">
        <v>3862</v>
      </c>
      <c r="F11938" s="17" t="s">
        <v>1382</v>
      </c>
      <c r="G11938" s="18" t="n">
        <v>0</v>
      </c>
      <c r="H11938" s="18" t="n">
        <v>58.04</v>
      </c>
      <c r="I11938" s="18" t="n">
        <f aca="false">((I11937 + G11938) - H11938)</f>
        <v>16287.1599999999</v>
      </c>
      <c r="J11938" s="18" t="n">
        <v>0</v>
      </c>
      <c r="K11938" s="19" t="n">
        <v>0</v>
      </c>
      <c r="L11938" s="17"/>
    </row>
    <row r="11939" s="11" customFormat="true" ht="10.95" hidden="false" customHeight="true" outlineLevel="0" collapsed="false">
      <c r="A11939" s="16" t="n">
        <v>45470</v>
      </c>
      <c r="B11939" s="17" t="s">
        <v>3861</v>
      </c>
      <c r="C11939" s="17" t="s">
        <v>3752</v>
      </c>
      <c r="D11939" s="17" t="s">
        <v>2895</v>
      </c>
      <c r="E11939" s="17" t="s">
        <v>3389</v>
      </c>
      <c r="F11939" s="17" t="s">
        <v>4498</v>
      </c>
      <c r="G11939" s="18" t="n">
        <v>4994</v>
      </c>
      <c r="H11939" s="18" t="n">
        <v>0</v>
      </c>
      <c r="I11939" s="18" t="n">
        <f aca="false">((I11938 + G11939) - H11939)</f>
        <v>21281.1599999999</v>
      </c>
      <c r="J11939" s="18" t="n">
        <v>0</v>
      </c>
      <c r="K11939" s="19" t="n">
        <v>0</v>
      </c>
      <c r="L11939" s="17"/>
    </row>
    <row r="11940" s="11" customFormat="true" ht="10.95" hidden="false" customHeight="true" outlineLevel="0" collapsed="false">
      <c r="A11940" s="16" t="n">
        <v>45470</v>
      </c>
      <c r="B11940" s="17" t="s">
        <v>3861</v>
      </c>
      <c r="C11940" s="17" t="s">
        <v>3752</v>
      </c>
      <c r="D11940" s="17" t="s">
        <v>2895</v>
      </c>
      <c r="E11940" s="17" t="s">
        <v>3456</v>
      </c>
      <c r="F11940" s="17" t="s">
        <v>4499</v>
      </c>
      <c r="G11940" s="18" t="n">
        <v>2244</v>
      </c>
      <c r="H11940" s="18" t="n">
        <v>0</v>
      </c>
      <c r="I11940" s="18" t="n">
        <f aca="false">((I11939 + G11940) - H11940)</f>
        <v>23525.1599999999</v>
      </c>
      <c r="J11940" s="18" t="n">
        <v>0</v>
      </c>
      <c r="K11940" s="19" t="n">
        <v>0</v>
      </c>
      <c r="L11940" s="17"/>
    </row>
    <row r="11941" s="11" customFormat="true" ht="10.95" hidden="false" customHeight="true" outlineLevel="0" collapsed="false">
      <c r="A11941" s="16" t="n">
        <v>45470</v>
      </c>
      <c r="B11941" s="17" t="s">
        <v>3861</v>
      </c>
      <c r="C11941" s="17" t="s">
        <v>3752</v>
      </c>
      <c r="D11941" s="17" t="s">
        <v>2895</v>
      </c>
      <c r="E11941" s="17" t="s">
        <v>3373</v>
      </c>
      <c r="F11941" s="17" t="s">
        <v>4500</v>
      </c>
      <c r="G11941" s="18" t="n">
        <v>1512.5</v>
      </c>
      <c r="H11941" s="18" t="n">
        <v>0</v>
      </c>
      <c r="I11941" s="18" t="n">
        <f aca="false">((I11940 + G11941) - H11941)</f>
        <v>25037.6599999999</v>
      </c>
      <c r="J11941" s="18" t="n">
        <v>0</v>
      </c>
      <c r="K11941" s="19" t="n">
        <v>0</v>
      </c>
      <c r="L11941" s="17"/>
    </row>
    <row r="11942" s="11" customFormat="true" ht="10.95" hidden="false" customHeight="true" outlineLevel="0" collapsed="false">
      <c r="A11942" s="16" t="n">
        <v>45470</v>
      </c>
      <c r="B11942" s="17" t="s">
        <v>3861</v>
      </c>
      <c r="C11942" s="17" t="s">
        <v>3752</v>
      </c>
      <c r="D11942" s="17" t="s">
        <v>2895</v>
      </c>
      <c r="E11942" s="17" t="s">
        <v>3497</v>
      </c>
      <c r="F11942" s="17" t="s">
        <v>4501</v>
      </c>
      <c r="G11942" s="18" t="n">
        <v>913</v>
      </c>
      <c r="H11942" s="18" t="n">
        <v>0</v>
      </c>
      <c r="I11942" s="18" t="n">
        <f aca="false">((I11941 + G11942) - H11942)</f>
        <v>25950.6599999999</v>
      </c>
      <c r="J11942" s="18" t="n">
        <v>0</v>
      </c>
      <c r="K11942" s="19" t="n">
        <v>0</v>
      </c>
      <c r="L11942" s="17"/>
    </row>
    <row r="11943" s="11" customFormat="true" ht="10.95" hidden="false" customHeight="true" outlineLevel="0" collapsed="false">
      <c r="A11943" s="16" t="n">
        <v>45470</v>
      </c>
      <c r="B11943" s="17" t="s">
        <v>3861</v>
      </c>
      <c r="C11943" s="17" t="s">
        <v>3752</v>
      </c>
      <c r="D11943" s="17" t="s">
        <v>2895</v>
      </c>
      <c r="E11943" s="17" t="s">
        <v>3401</v>
      </c>
      <c r="F11943" s="17" t="s">
        <v>4502</v>
      </c>
      <c r="G11943" s="18" t="n">
        <v>654.5</v>
      </c>
      <c r="H11943" s="18" t="n">
        <v>0</v>
      </c>
      <c r="I11943" s="18" t="n">
        <f aca="false">((I11942 + G11943) - H11943)</f>
        <v>26605.1599999999</v>
      </c>
      <c r="J11943" s="18" t="n">
        <v>0</v>
      </c>
      <c r="K11943" s="19" t="n">
        <v>0</v>
      </c>
      <c r="L11943" s="17"/>
    </row>
    <row r="11944" s="11" customFormat="true" ht="10.95" hidden="false" customHeight="true" outlineLevel="0" collapsed="false">
      <c r="A11944" s="16" t="n">
        <v>45470</v>
      </c>
      <c r="B11944" s="17" t="s">
        <v>3861</v>
      </c>
      <c r="C11944" s="17" t="s">
        <v>3752</v>
      </c>
      <c r="D11944" s="17" t="s">
        <v>2895</v>
      </c>
      <c r="E11944" s="17" t="s">
        <v>3466</v>
      </c>
      <c r="F11944" s="17" t="s">
        <v>4503</v>
      </c>
      <c r="G11944" s="18" t="n">
        <v>396</v>
      </c>
      <c r="H11944" s="18" t="n">
        <v>0</v>
      </c>
      <c r="I11944" s="18" t="n">
        <f aca="false">((I11943 + G11944) - H11944)</f>
        <v>27001.1599999999</v>
      </c>
      <c r="J11944" s="18" t="n">
        <v>0</v>
      </c>
      <c r="K11944" s="19" t="n">
        <v>0</v>
      </c>
      <c r="L11944" s="17"/>
    </row>
    <row r="11945" s="11" customFormat="true" ht="10.95" hidden="false" customHeight="true" outlineLevel="0" collapsed="false">
      <c r="A11945" s="16" t="n">
        <v>45470</v>
      </c>
      <c r="B11945" s="17" t="s">
        <v>3861</v>
      </c>
      <c r="C11945" s="17" t="s">
        <v>3752</v>
      </c>
      <c r="D11945" s="17" t="s">
        <v>2895</v>
      </c>
      <c r="E11945" s="17" t="s">
        <v>3480</v>
      </c>
      <c r="F11945" s="17" t="s">
        <v>4504</v>
      </c>
      <c r="G11945" s="18" t="n">
        <v>180</v>
      </c>
      <c r="H11945" s="18" t="n">
        <v>0</v>
      </c>
      <c r="I11945" s="18" t="n">
        <f aca="false">((I11944 + G11945) - H11945)</f>
        <v>27181.1599999999</v>
      </c>
      <c r="J11945" s="18" t="n">
        <v>0</v>
      </c>
      <c r="K11945" s="19" t="n">
        <v>0</v>
      </c>
      <c r="L11945" s="17"/>
    </row>
    <row r="11946" s="11" customFormat="true" ht="10.95" hidden="false" customHeight="true" outlineLevel="0" collapsed="false">
      <c r="A11946" s="16" t="n">
        <v>45470</v>
      </c>
      <c r="B11946" s="17" t="s">
        <v>3861</v>
      </c>
      <c r="C11946" s="17" t="s">
        <v>3752</v>
      </c>
      <c r="D11946" s="17" t="s">
        <v>1407</v>
      </c>
      <c r="E11946" s="17" t="s">
        <v>2747</v>
      </c>
      <c r="F11946" s="17"/>
      <c r="G11946" s="18" t="n">
        <v>0</v>
      </c>
      <c r="H11946" s="18" t="n">
        <v>39</v>
      </c>
      <c r="I11946" s="18" t="n">
        <f aca="false">((I11945 + G11946) - H11946)</f>
        <v>27142.1599999999</v>
      </c>
      <c r="J11946" s="18" t="n">
        <v>0</v>
      </c>
      <c r="K11946" s="19" t="n">
        <v>0</v>
      </c>
      <c r="L11946" s="17"/>
    </row>
    <row r="11947" s="11" customFormat="true" ht="10.95" hidden="false" customHeight="true" outlineLevel="0" collapsed="false">
      <c r="A11947" s="16" t="n">
        <v>45470</v>
      </c>
      <c r="B11947" s="17" t="s">
        <v>3861</v>
      </c>
      <c r="C11947" s="17" t="s">
        <v>3752</v>
      </c>
      <c r="D11947" s="17" t="s">
        <v>1407</v>
      </c>
      <c r="E11947" s="17" t="s">
        <v>1583</v>
      </c>
      <c r="F11947" s="17"/>
      <c r="G11947" s="18" t="n">
        <v>0</v>
      </c>
      <c r="H11947" s="18" t="n">
        <v>49</v>
      </c>
      <c r="I11947" s="18" t="n">
        <f aca="false">((I11946 + G11947) - H11947)</f>
        <v>27093.1599999999</v>
      </c>
      <c r="J11947" s="18" t="n">
        <v>0</v>
      </c>
      <c r="K11947" s="19" t="n">
        <v>0</v>
      </c>
      <c r="L11947" s="17"/>
    </row>
    <row r="11948" s="11" customFormat="true" ht="10.95" hidden="false" customHeight="true" outlineLevel="0" collapsed="false">
      <c r="A11948" s="16" t="n">
        <v>45471</v>
      </c>
      <c r="B11948" s="17" t="s">
        <v>3861</v>
      </c>
      <c r="C11948" s="17" t="s">
        <v>3752</v>
      </c>
      <c r="D11948" s="17" t="s">
        <v>2895</v>
      </c>
      <c r="E11948" s="17" t="s">
        <v>3382</v>
      </c>
      <c r="F11948" s="17" t="s">
        <v>4505</v>
      </c>
      <c r="G11948" s="18" t="n">
        <v>22758.62</v>
      </c>
      <c r="H11948" s="18" t="n">
        <v>0</v>
      </c>
      <c r="I11948" s="18" t="n">
        <f aca="false">((I11947 + G11948) - H11948)</f>
        <v>49851.7799999999</v>
      </c>
      <c r="J11948" s="18" t="n">
        <v>0</v>
      </c>
      <c r="K11948" s="19" t="n">
        <v>0</v>
      </c>
      <c r="L11948" s="17"/>
    </row>
    <row r="11949" s="11" customFormat="true" ht="10.95" hidden="false" customHeight="true" outlineLevel="0" collapsed="false">
      <c r="A11949" s="16" t="n">
        <v>45471</v>
      </c>
      <c r="B11949" s="17" t="s">
        <v>3861</v>
      </c>
      <c r="C11949" s="17" t="s">
        <v>3752</v>
      </c>
      <c r="D11949" s="17" t="s">
        <v>2895</v>
      </c>
      <c r="E11949" s="17" t="s">
        <v>3482</v>
      </c>
      <c r="F11949" s="17" t="s">
        <v>4506</v>
      </c>
      <c r="G11949" s="18" t="n">
        <v>1861.2</v>
      </c>
      <c r="H11949" s="18" t="n">
        <v>0</v>
      </c>
      <c r="I11949" s="18" t="n">
        <f aca="false">((I11948 + G11949) - H11949)</f>
        <v>51712.9799999999</v>
      </c>
      <c r="J11949" s="18" t="n">
        <v>0</v>
      </c>
      <c r="K11949" s="19" t="n">
        <v>0</v>
      </c>
      <c r="L11949" s="17"/>
    </row>
    <row r="11950" s="11" customFormat="true" ht="10.95" hidden="false" customHeight="true" outlineLevel="0" collapsed="false">
      <c r="A11950" s="16" t="n">
        <v>45471</v>
      </c>
      <c r="B11950" s="17" t="s">
        <v>3861</v>
      </c>
      <c r="C11950" s="17" t="s">
        <v>3752</v>
      </c>
      <c r="D11950" s="17" t="s">
        <v>2895</v>
      </c>
      <c r="E11950" s="17" t="s">
        <v>3465</v>
      </c>
      <c r="F11950" s="17" t="s">
        <v>4507</v>
      </c>
      <c r="G11950" s="18" t="n">
        <v>1094.5</v>
      </c>
      <c r="H11950" s="18" t="n">
        <v>0</v>
      </c>
      <c r="I11950" s="18" t="n">
        <f aca="false">((I11949 + G11950) - H11950)</f>
        <v>52807.4799999999</v>
      </c>
      <c r="J11950" s="18" t="n">
        <v>0</v>
      </c>
      <c r="K11950" s="19" t="n">
        <v>0</v>
      </c>
      <c r="L11950" s="17"/>
    </row>
    <row r="11951" s="11" customFormat="true" ht="10.95" hidden="false" customHeight="true" outlineLevel="0" collapsed="false">
      <c r="A11951" s="16" t="n">
        <v>45471</v>
      </c>
      <c r="B11951" s="17" t="s">
        <v>3861</v>
      </c>
      <c r="C11951" s="17" t="s">
        <v>3752</v>
      </c>
      <c r="D11951" s="17" t="s">
        <v>1407</v>
      </c>
      <c r="E11951" s="17" t="s">
        <v>4072</v>
      </c>
      <c r="F11951" s="17"/>
      <c r="G11951" s="18" t="n">
        <v>0</v>
      </c>
      <c r="H11951" s="18" t="n">
        <v>218.87</v>
      </c>
      <c r="I11951" s="18" t="n">
        <f aca="false">((I11950 + G11951) - H11951)</f>
        <v>52588.6099999999</v>
      </c>
      <c r="J11951" s="18" t="n">
        <v>0</v>
      </c>
      <c r="K11951" s="19" t="n">
        <v>0</v>
      </c>
      <c r="L11951" s="17"/>
    </row>
    <row r="11952" s="11" customFormat="true" ht="10.95" hidden="false" customHeight="true" outlineLevel="0" collapsed="false">
      <c r="A11952" s="16" t="n">
        <v>45471</v>
      </c>
      <c r="B11952" s="17" t="s">
        <v>3861</v>
      </c>
      <c r="C11952" s="17" t="s">
        <v>3752</v>
      </c>
      <c r="D11952" s="17" t="s">
        <v>1407</v>
      </c>
      <c r="E11952" s="17" t="s">
        <v>2591</v>
      </c>
      <c r="F11952" s="17"/>
      <c r="G11952" s="18" t="n">
        <v>0</v>
      </c>
      <c r="H11952" s="18" t="n">
        <v>189.05</v>
      </c>
      <c r="I11952" s="18" t="n">
        <f aca="false">((I11951 + G11952) - H11952)</f>
        <v>52399.5599999999</v>
      </c>
      <c r="J11952" s="18" t="n">
        <v>0</v>
      </c>
      <c r="K11952" s="19" t="n">
        <v>0</v>
      </c>
      <c r="L11952" s="17"/>
    </row>
    <row r="11953" s="11" customFormat="true" ht="10.95" hidden="false" customHeight="true" outlineLevel="0" collapsed="false">
      <c r="A11953" s="16" t="n">
        <v>45472</v>
      </c>
      <c r="B11953" s="17" t="s">
        <v>3861</v>
      </c>
      <c r="C11953" s="17" t="s">
        <v>3752</v>
      </c>
      <c r="D11953" s="17" t="s">
        <v>1407</v>
      </c>
      <c r="E11953" s="17" t="s">
        <v>3882</v>
      </c>
      <c r="F11953" s="17"/>
      <c r="G11953" s="18" t="n">
        <v>0</v>
      </c>
      <c r="H11953" s="18" t="n">
        <v>95.8</v>
      </c>
      <c r="I11953" s="18" t="n">
        <f aca="false">((I11952 + G11953) - H11953)</f>
        <v>52303.7599999999</v>
      </c>
      <c r="J11953" s="18" t="n">
        <v>0</v>
      </c>
      <c r="K11953" s="19" t="n">
        <v>0</v>
      </c>
      <c r="L11953" s="17"/>
    </row>
    <row r="11954" s="11" customFormat="true" ht="10.95" hidden="false" customHeight="true" outlineLevel="0" collapsed="false">
      <c r="A11954" s="16" t="n">
        <v>45473</v>
      </c>
      <c r="B11954" s="17" t="s">
        <v>3861</v>
      </c>
      <c r="C11954" s="17" t="s">
        <v>3752</v>
      </c>
      <c r="D11954" s="17" t="s">
        <v>1276</v>
      </c>
      <c r="E11954" s="17" t="s">
        <v>3506</v>
      </c>
      <c r="F11954" s="17" t="s">
        <v>1384</v>
      </c>
      <c r="G11954" s="18" t="n">
        <v>12.33</v>
      </c>
      <c r="H11954" s="18" t="n">
        <v>0</v>
      </c>
      <c r="I11954" s="18" t="n">
        <f aca="false">((I11953 + G11954) - H11954)</f>
        <v>52316.0899999999</v>
      </c>
      <c r="J11954" s="18" t="n">
        <v>0</v>
      </c>
      <c r="K11954" s="19" t="n">
        <v>0</v>
      </c>
      <c r="L11954" s="17"/>
    </row>
    <row r="11955" s="11" customFormat="true" ht="10.95" hidden="false" customHeight="true" outlineLevel="0" collapsed="false">
      <c r="A11955" s="16" t="n">
        <v>45473</v>
      </c>
      <c r="B11955" s="17" t="s">
        <v>3861</v>
      </c>
      <c r="C11955" s="17" t="s">
        <v>3752</v>
      </c>
      <c r="D11955" s="17" t="s">
        <v>2895</v>
      </c>
      <c r="E11955" s="17" t="s">
        <v>2964</v>
      </c>
      <c r="F11955" s="17" t="s">
        <v>1384</v>
      </c>
      <c r="G11955" s="18" t="n">
        <v>691.01</v>
      </c>
      <c r="H11955" s="18" t="n">
        <v>0</v>
      </c>
      <c r="I11955" s="18" t="n">
        <f aca="false">((I11954 + G11955) - H11955)</f>
        <v>53007.0999999999</v>
      </c>
      <c r="J11955" s="18" t="n">
        <v>0</v>
      </c>
      <c r="K11955" s="19" t="n">
        <v>0</v>
      </c>
      <c r="L11955" s="17"/>
    </row>
    <row r="11956" s="11" customFormat="true" ht="10.95" hidden="false" customHeight="true" outlineLevel="0" collapsed="false">
      <c r="A11956" s="16" t="n">
        <v>45473</v>
      </c>
      <c r="B11956" s="17" t="s">
        <v>3861</v>
      </c>
      <c r="C11956" s="17" t="s">
        <v>3752</v>
      </c>
      <c r="D11956" s="17" t="s">
        <v>1407</v>
      </c>
      <c r="E11956" s="17" t="s">
        <v>3862</v>
      </c>
      <c r="F11956" s="17" t="s">
        <v>1384</v>
      </c>
      <c r="G11956" s="18" t="n">
        <v>0</v>
      </c>
      <c r="H11956" s="18" t="n">
        <v>24.92</v>
      </c>
      <c r="I11956" s="18" t="n">
        <f aca="false">((I11955 + G11956) - H11956)</f>
        <v>52982.1799999999</v>
      </c>
      <c r="J11956" s="18" t="n">
        <v>0</v>
      </c>
      <c r="K11956" s="19" t="n">
        <v>0</v>
      </c>
      <c r="L11956" s="17"/>
    </row>
    <row r="11957" s="11" customFormat="true" ht="10.95" hidden="false" customHeight="true" outlineLevel="0" collapsed="false">
      <c r="A11957" s="16" t="n">
        <v>45473</v>
      </c>
      <c r="B11957" s="17" t="s">
        <v>3861</v>
      </c>
      <c r="C11957" s="17" t="s">
        <v>3752</v>
      </c>
      <c r="D11957" s="17" t="s">
        <v>1276</v>
      </c>
      <c r="E11957" s="17" t="s">
        <v>3506</v>
      </c>
      <c r="F11957" s="17" t="s">
        <v>1386</v>
      </c>
      <c r="G11957" s="18" t="n">
        <v>8.22</v>
      </c>
      <c r="H11957" s="18" t="n">
        <v>0</v>
      </c>
      <c r="I11957" s="18" t="n">
        <f aca="false">((I11956 + G11957) - H11957)</f>
        <v>52990.3999999999</v>
      </c>
      <c r="J11957" s="18" t="n">
        <v>0</v>
      </c>
      <c r="K11957" s="19" t="n">
        <v>0</v>
      </c>
      <c r="L11957" s="17"/>
    </row>
    <row r="11958" s="11" customFormat="true" ht="10.95" hidden="false" customHeight="true" outlineLevel="0" collapsed="false">
      <c r="A11958" s="16" t="n">
        <v>45473</v>
      </c>
      <c r="B11958" s="17" t="s">
        <v>3861</v>
      </c>
      <c r="C11958" s="17" t="s">
        <v>3752</v>
      </c>
      <c r="D11958" s="17" t="s">
        <v>2895</v>
      </c>
      <c r="E11958" s="17" t="s">
        <v>2964</v>
      </c>
      <c r="F11958" s="17" t="s">
        <v>1386</v>
      </c>
      <c r="G11958" s="18" t="n">
        <v>460.68</v>
      </c>
      <c r="H11958" s="18" t="n">
        <v>0</v>
      </c>
      <c r="I11958" s="18" t="n">
        <f aca="false">((I11957 + G11958) - H11958)</f>
        <v>53451.0799999999</v>
      </c>
      <c r="J11958" s="18" t="n">
        <v>0</v>
      </c>
      <c r="K11958" s="19" t="n">
        <v>0</v>
      </c>
      <c r="L11958" s="17"/>
    </row>
    <row r="11959" s="11" customFormat="true" ht="10.95" hidden="false" customHeight="true" outlineLevel="0" collapsed="false">
      <c r="A11959" s="16" t="n">
        <v>45473</v>
      </c>
      <c r="B11959" s="17" t="s">
        <v>3861</v>
      </c>
      <c r="C11959" s="17" t="s">
        <v>3752</v>
      </c>
      <c r="D11959" s="17" t="s">
        <v>1407</v>
      </c>
      <c r="E11959" s="17" t="s">
        <v>3862</v>
      </c>
      <c r="F11959" s="17" t="s">
        <v>1386</v>
      </c>
      <c r="G11959" s="18" t="n">
        <v>0</v>
      </c>
      <c r="H11959" s="18" t="n">
        <v>16.71</v>
      </c>
      <c r="I11959" s="18" t="n">
        <f aca="false">((I11958 + G11959) - H11959)</f>
        <v>53434.3699999999</v>
      </c>
      <c r="J11959" s="18" t="n">
        <v>0</v>
      </c>
      <c r="K11959" s="19" t="n">
        <v>0</v>
      </c>
      <c r="L11959" s="17"/>
    </row>
    <row r="11960" s="11" customFormat="true" ht="10.95" hidden="false" customHeight="true" outlineLevel="0" collapsed="false">
      <c r="A11960" s="16" t="n">
        <v>45473</v>
      </c>
      <c r="B11960" s="17" t="s">
        <v>3861</v>
      </c>
      <c r="C11960" s="17" t="s">
        <v>3752</v>
      </c>
      <c r="D11960" s="17" t="s">
        <v>2895</v>
      </c>
      <c r="E11960" s="17" t="s">
        <v>3474</v>
      </c>
      <c r="F11960" s="17" t="s">
        <v>4508</v>
      </c>
      <c r="G11960" s="18" t="n">
        <v>357.5</v>
      </c>
      <c r="H11960" s="18" t="n">
        <v>0</v>
      </c>
      <c r="I11960" s="18" t="n">
        <f aca="false">((I11959 + G11960) - H11960)</f>
        <v>53791.8699999999</v>
      </c>
      <c r="J11960" s="18" t="n">
        <v>0</v>
      </c>
      <c r="K11960" s="19" t="n">
        <v>0</v>
      </c>
      <c r="L11960" s="17"/>
    </row>
    <row r="11961" s="11" customFormat="true" ht="10.95" hidden="false" customHeight="true" outlineLevel="0" collapsed="false">
      <c r="A11961" s="21" t="s">
        <v>4509</v>
      </c>
      <c r="B11961" s="21"/>
      <c r="C11961" s="21"/>
      <c r="D11961" s="21"/>
      <c r="E11961" s="21"/>
      <c r="F11961" s="21"/>
      <c r="G11961" s="22" t="n">
        <f aca="false">SUM(G9265:G11960)</f>
        <v>1756002.56</v>
      </c>
      <c r="H11961" s="22" t="n">
        <f aca="false">SUM(H9265:H11960)</f>
        <v>1781854.97</v>
      </c>
      <c r="I11961" s="22" t="n">
        <f aca="false">I11960</f>
        <v>53791.8699999999</v>
      </c>
      <c r="J11961" s="22" t="n">
        <f aca="false">SUM(J9265:J11960)</f>
        <v>0</v>
      </c>
      <c r="K11961" s="21"/>
      <c r="L11961" s="21"/>
    </row>
    <row r="11962" s="11" customFormat="true" ht="10.95" hidden="false" customHeight="true" outlineLevel="0" collapsed="false">
      <c r="A11962" s="21" t="s">
        <v>784</v>
      </c>
      <c r="B11962" s="21"/>
      <c r="C11962" s="21"/>
      <c r="D11962" s="21"/>
      <c r="E11962" s="21"/>
      <c r="F11962" s="21"/>
      <c r="G11962" s="22" t="n">
        <v>0</v>
      </c>
      <c r="H11962" s="22" t="n">
        <v>25852.41</v>
      </c>
      <c r="I11962" s="22" t="n">
        <v>0</v>
      </c>
      <c r="J11962" s="22" t="n">
        <v>0</v>
      </c>
      <c r="K11962" s="21"/>
      <c r="L11962" s="21"/>
    </row>
    <row r="11963" s="11" customFormat="true" ht="10.95" hidden="false" customHeight="true" outlineLevel="0" collapsed="false">
      <c r="A11963" s="9" t="s">
        <v>785</v>
      </c>
      <c r="B11963" s="9"/>
      <c r="C11963" s="9"/>
      <c r="D11963" s="9"/>
      <c r="E11963" s="9"/>
      <c r="F11963" s="9"/>
      <c r="G11963" s="10" t="n">
        <v>53791.87</v>
      </c>
      <c r="H11963" s="10" t="n">
        <v>0</v>
      </c>
      <c r="I11963" s="10" t="n">
        <f aca="false">I11960</f>
        <v>53791.8699999999</v>
      </c>
      <c r="J11963" s="10" t="n">
        <v>0</v>
      </c>
      <c r="K11963" s="9"/>
      <c r="L11963" s="9"/>
    </row>
    <row r="11964" customFormat="false" ht="13.35" hidden="false" customHeight="true" outlineLevel="0" collapsed="false"/>
    <row r="11965" s="7" customFormat="true" ht="12.1" hidden="false" customHeight="true" outlineLevel="0" collapsed="false">
      <c r="A11965" s="8" t="s">
        <v>4510</v>
      </c>
      <c r="B11965" s="8"/>
      <c r="C11965" s="8"/>
      <c r="D11965" s="8"/>
      <c r="E11965" s="8"/>
      <c r="F11965" s="8"/>
      <c r="G11965" s="8"/>
      <c r="H11965" s="8"/>
      <c r="I11965" s="8"/>
      <c r="J11965" s="8"/>
      <c r="K11965" s="8"/>
      <c r="L11965" s="8"/>
    </row>
    <row r="11966" s="11" customFormat="true" ht="10.95" hidden="false" customHeight="true" outlineLevel="0" collapsed="false">
      <c r="A11966" s="9" t="s">
        <v>16</v>
      </c>
      <c r="B11966" s="9"/>
      <c r="C11966" s="9"/>
      <c r="D11966" s="9"/>
      <c r="E11966" s="9"/>
      <c r="F11966" s="9"/>
      <c r="G11966" s="10" t="n">
        <v>1534.42</v>
      </c>
      <c r="H11966" s="10" t="n">
        <v>0</v>
      </c>
      <c r="I11966" s="10" t="n">
        <f aca="false">(G11966 - H11966)</f>
        <v>1534.42</v>
      </c>
      <c r="J11966" s="10" t="n">
        <v>0</v>
      </c>
      <c r="K11966" s="9"/>
      <c r="L11966" s="9"/>
    </row>
    <row r="11967" s="11" customFormat="true" ht="10.95" hidden="false" customHeight="true" outlineLevel="0" collapsed="false">
      <c r="A11967" s="12" t="n">
        <v>45110</v>
      </c>
      <c r="B11967" s="13" t="s">
        <v>4511</v>
      </c>
      <c r="C11967" s="13" t="s">
        <v>3752</v>
      </c>
      <c r="D11967" s="13" t="s">
        <v>3753</v>
      </c>
      <c r="E11967" s="13" t="s">
        <v>3754</v>
      </c>
      <c r="F11967" s="13" t="s">
        <v>3755</v>
      </c>
      <c r="G11967" s="14" t="n">
        <v>0</v>
      </c>
      <c r="H11967" s="14" t="n">
        <v>164.11</v>
      </c>
      <c r="I11967" s="14" t="n">
        <f aca="false">((I11966 + G11967) - H11967)</f>
        <v>1370.31</v>
      </c>
      <c r="J11967" s="14" t="n">
        <v>0</v>
      </c>
      <c r="K11967" s="15" t="n">
        <v>0</v>
      </c>
      <c r="L11967" s="13"/>
    </row>
    <row r="11968" s="11" customFormat="true" ht="10.95" hidden="false" customHeight="true" outlineLevel="0" collapsed="false">
      <c r="A11968" s="16" t="n">
        <v>45118</v>
      </c>
      <c r="B11968" s="17" t="s">
        <v>4511</v>
      </c>
      <c r="C11968" s="17" t="s">
        <v>3752</v>
      </c>
      <c r="D11968" s="17" t="s">
        <v>3753</v>
      </c>
      <c r="E11968" s="17" t="s">
        <v>3754</v>
      </c>
      <c r="F11968" s="17" t="s">
        <v>3758</v>
      </c>
      <c r="G11968" s="18" t="n">
        <v>0</v>
      </c>
      <c r="H11968" s="18" t="n">
        <v>117.69</v>
      </c>
      <c r="I11968" s="18" t="n">
        <f aca="false">((I11967 + G11968) - H11968)</f>
        <v>1252.62</v>
      </c>
      <c r="J11968" s="18" t="n">
        <v>0</v>
      </c>
      <c r="K11968" s="19" t="n">
        <v>0</v>
      </c>
      <c r="L11968" s="17"/>
    </row>
    <row r="11969" s="11" customFormat="true" ht="10.95" hidden="false" customHeight="true" outlineLevel="0" collapsed="false">
      <c r="A11969" s="16" t="n">
        <v>45128</v>
      </c>
      <c r="B11969" s="17" t="s">
        <v>4511</v>
      </c>
      <c r="C11969" s="17" t="s">
        <v>3752</v>
      </c>
      <c r="D11969" s="17" t="s">
        <v>1407</v>
      </c>
      <c r="E11969" s="17" t="s">
        <v>3882</v>
      </c>
      <c r="F11969" s="17"/>
      <c r="G11969" s="18" t="n">
        <v>0</v>
      </c>
      <c r="H11969" s="18" t="n">
        <v>46.48</v>
      </c>
      <c r="I11969" s="18" t="n">
        <f aca="false">((I11968 + G11969) - H11969)</f>
        <v>1206.14</v>
      </c>
      <c r="J11969" s="18" t="n">
        <v>0</v>
      </c>
      <c r="K11969" s="19" t="n">
        <v>0</v>
      </c>
      <c r="L11969" s="17"/>
    </row>
    <row r="11970" s="11" customFormat="true" ht="10.95" hidden="false" customHeight="true" outlineLevel="0" collapsed="false">
      <c r="A11970" s="16" t="n">
        <v>45132</v>
      </c>
      <c r="B11970" s="17" t="s">
        <v>4511</v>
      </c>
      <c r="C11970" s="17" t="s">
        <v>3752</v>
      </c>
      <c r="D11970" s="17" t="s">
        <v>3753</v>
      </c>
      <c r="E11970" s="17" t="s">
        <v>3754</v>
      </c>
      <c r="F11970" s="17" t="s">
        <v>3758</v>
      </c>
      <c r="G11970" s="18" t="n">
        <v>0</v>
      </c>
      <c r="H11970" s="18" t="n">
        <v>192.28</v>
      </c>
      <c r="I11970" s="18" t="n">
        <f aca="false">((I11969 + G11970) - H11970)</f>
        <v>1013.86</v>
      </c>
      <c r="J11970" s="18" t="n">
        <v>0</v>
      </c>
      <c r="K11970" s="19" t="n">
        <v>0</v>
      </c>
      <c r="L11970" s="17"/>
    </row>
    <row r="11971" s="11" customFormat="true" ht="10.95" hidden="false" customHeight="true" outlineLevel="0" collapsed="false">
      <c r="A11971" s="16" t="n">
        <v>45139</v>
      </c>
      <c r="B11971" s="17" t="s">
        <v>4511</v>
      </c>
      <c r="C11971" s="17" t="s">
        <v>3752</v>
      </c>
      <c r="D11971" s="17" t="s">
        <v>3753</v>
      </c>
      <c r="E11971" s="17" t="s">
        <v>3754</v>
      </c>
      <c r="F11971" s="17" t="s">
        <v>3758</v>
      </c>
      <c r="G11971" s="18" t="n">
        <v>0</v>
      </c>
      <c r="H11971" s="18" t="n">
        <v>100.08</v>
      </c>
      <c r="I11971" s="18" t="n">
        <f aca="false">((I11970 + G11971) - H11971)</f>
        <v>913.78</v>
      </c>
      <c r="J11971" s="18" t="n">
        <v>0</v>
      </c>
      <c r="K11971" s="19" t="n">
        <v>0</v>
      </c>
      <c r="L11971" s="17"/>
    </row>
    <row r="11972" s="11" customFormat="true" ht="10.95" hidden="false" customHeight="true" outlineLevel="0" collapsed="false">
      <c r="A11972" s="16" t="n">
        <v>45159</v>
      </c>
      <c r="B11972" s="17" t="s">
        <v>4511</v>
      </c>
      <c r="C11972" s="17" t="s">
        <v>3752</v>
      </c>
      <c r="D11972" s="17" t="s">
        <v>3753</v>
      </c>
      <c r="E11972" s="17" t="s">
        <v>3754</v>
      </c>
      <c r="F11972" s="17" t="s">
        <v>3761</v>
      </c>
      <c r="G11972" s="18" t="n">
        <v>0</v>
      </c>
      <c r="H11972" s="18" t="n">
        <v>255.43</v>
      </c>
      <c r="I11972" s="18" t="n">
        <f aca="false">((I11971 + G11972) - H11972)</f>
        <v>658.35</v>
      </c>
      <c r="J11972" s="18" t="n">
        <v>0</v>
      </c>
      <c r="K11972" s="19" t="n">
        <v>0</v>
      </c>
      <c r="L11972" s="17"/>
    </row>
    <row r="11973" s="11" customFormat="true" ht="10.95" hidden="false" customHeight="true" outlineLevel="0" collapsed="false">
      <c r="A11973" s="16" t="n">
        <v>45159</v>
      </c>
      <c r="B11973" s="17" t="s">
        <v>4511</v>
      </c>
      <c r="C11973" s="17" t="s">
        <v>3752</v>
      </c>
      <c r="D11973" s="17" t="s">
        <v>1276</v>
      </c>
      <c r="E11973" s="17" t="s">
        <v>4512</v>
      </c>
      <c r="F11973" s="17"/>
      <c r="G11973" s="18" t="n">
        <v>20.27</v>
      </c>
      <c r="H11973" s="18" t="n">
        <v>0</v>
      </c>
      <c r="I11973" s="18" t="n">
        <f aca="false">((I11972 + G11973) - H11973)</f>
        <v>678.62</v>
      </c>
      <c r="J11973" s="18" t="n">
        <v>0</v>
      </c>
      <c r="K11973" s="19" t="n">
        <v>0</v>
      </c>
      <c r="L11973" s="17"/>
    </row>
    <row r="11974" s="11" customFormat="true" ht="10.95" hidden="false" customHeight="true" outlineLevel="0" collapsed="false">
      <c r="A11974" s="16" t="n">
        <v>45169</v>
      </c>
      <c r="B11974" s="17" t="s">
        <v>4511</v>
      </c>
      <c r="C11974" s="17" t="s">
        <v>3752</v>
      </c>
      <c r="D11974" s="17" t="s">
        <v>1407</v>
      </c>
      <c r="E11974" s="17" t="s">
        <v>4512</v>
      </c>
      <c r="F11974" s="17"/>
      <c r="G11974" s="18" t="n">
        <v>0</v>
      </c>
      <c r="H11974" s="18" t="n">
        <v>15.4</v>
      </c>
      <c r="I11974" s="18" t="n">
        <f aca="false">((I11973 + G11974) - H11974)</f>
        <v>663.22</v>
      </c>
      <c r="J11974" s="18" t="n">
        <v>0</v>
      </c>
      <c r="K11974" s="19" t="n">
        <v>0</v>
      </c>
      <c r="L11974" s="17"/>
    </row>
    <row r="11975" s="11" customFormat="true" ht="10.95" hidden="false" customHeight="true" outlineLevel="0" collapsed="false">
      <c r="A11975" s="16" t="n">
        <v>45188</v>
      </c>
      <c r="B11975" s="17" t="s">
        <v>4511</v>
      </c>
      <c r="C11975" s="17" t="s">
        <v>3752</v>
      </c>
      <c r="D11975" s="17" t="s">
        <v>3753</v>
      </c>
      <c r="E11975" s="17" t="s">
        <v>3754</v>
      </c>
      <c r="F11975" s="17" t="s">
        <v>3758</v>
      </c>
      <c r="G11975" s="18" t="n">
        <v>0</v>
      </c>
      <c r="H11975" s="18" t="n">
        <v>449.9</v>
      </c>
      <c r="I11975" s="18" t="n">
        <f aca="false">((I11974 + G11975) - H11975)</f>
        <v>213.32</v>
      </c>
      <c r="J11975" s="18" t="n">
        <v>0</v>
      </c>
      <c r="K11975" s="19" t="n">
        <v>0</v>
      </c>
      <c r="L11975" s="17"/>
    </row>
    <row r="11976" s="11" customFormat="true" ht="10.95" hidden="false" customHeight="true" outlineLevel="0" collapsed="false">
      <c r="A11976" s="16" t="n">
        <v>45198</v>
      </c>
      <c r="B11976" s="17" t="s">
        <v>4511</v>
      </c>
      <c r="C11976" s="17" t="s">
        <v>3752</v>
      </c>
      <c r="D11976" s="17" t="s">
        <v>1407</v>
      </c>
      <c r="E11976" s="17" t="s">
        <v>4512</v>
      </c>
      <c r="F11976" s="17"/>
      <c r="G11976" s="18" t="n">
        <v>0</v>
      </c>
      <c r="H11976" s="18" t="n">
        <v>15.4</v>
      </c>
      <c r="I11976" s="18" t="n">
        <f aca="false">((I11975 + G11976) - H11976)</f>
        <v>197.92</v>
      </c>
      <c r="J11976" s="18" t="n">
        <v>0</v>
      </c>
      <c r="K11976" s="19" t="n">
        <v>0</v>
      </c>
      <c r="L11976" s="17"/>
    </row>
    <row r="11977" s="11" customFormat="true" ht="10.95" hidden="false" customHeight="true" outlineLevel="0" collapsed="false">
      <c r="A11977" s="16" t="n">
        <v>45210</v>
      </c>
      <c r="B11977" s="17" t="s">
        <v>4511</v>
      </c>
      <c r="C11977" s="17" t="s">
        <v>3752</v>
      </c>
      <c r="D11977" s="17" t="s">
        <v>1407</v>
      </c>
      <c r="E11977" s="17" t="s">
        <v>3658</v>
      </c>
      <c r="F11977" s="17"/>
      <c r="G11977" s="18" t="n">
        <v>0</v>
      </c>
      <c r="H11977" s="18" t="n">
        <v>185.5</v>
      </c>
      <c r="I11977" s="18" t="n">
        <f aca="false">((I11976 + G11977) - H11977)</f>
        <v>12.4199999999999</v>
      </c>
      <c r="J11977" s="18" t="n">
        <v>0</v>
      </c>
      <c r="K11977" s="19" t="n">
        <v>0</v>
      </c>
      <c r="L11977" s="17"/>
    </row>
    <row r="11978" s="11" customFormat="true" ht="10.95" hidden="false" customHeight="true" outlineLevel="0" collapsed="false">
      <c r="A11978" s="16" t="n">
        <v>45216</v>
      </c>
      <c r="B11978" s="17" t="s">
        <v>4511</v>
      </c>
      <c r="C11978" s="17" t="s">
        <v>3752</v>
      </c>
      <c r="D11978" s="17" t="s">
        <v>1407</v>
      </c>
      <c r="E11978" s="17" t="s">
        <v>4513</v>
      </c>
      <c r="F11978" s="17"/>
      <c r="G11978" s="18" t="n">
        <v>0</v>
      </c>
      <c r="H11978" s="18" t="n">
        <v>39.3</v>
      </c>
      <c r="I11978" s="18" t="n">
        <f aca="false">((I11977 + G11978) - H11978)</f>
        <v>-26.8800000000001</v>
      </c>
      <c r="J11978" s="18" t="n">
        <v>0</v>
      </c>
      <c r="K11978" s="19" t="n">
        <v>0</v>
      </c>
      <c r="L11978" s="17"/>
    </row>
    <row r="11979" s="11" customFormat="true" ht="10.95" hidden="false" customHeight="true" outlineLevel="0" collapsed="false">
      <c r="A11979" s="16" t="n">
        <v>45217</v>
      </c>
      <c r="B11979" s="17" t="s">
        <v>4511</v>
      </c>
      <c r="C11979" s="17" t="s">
        <v>3752</v>
      </c>
      <c r="D11979" s="17" t="s">
        <v>1407</v>
      </c>
      <c r="E11979" s="17" t="s">
        <v>3882</v>
      </c>
      <c r="F11979" s="17"/>
      <c r="G11979" s="18" t="n">
        <v>0</v>
      </c>
      <c r="H11979" s="18" t="n">
        <v>36.56</v>
      </c>
      <c r="I11979" s="18" t="n">
        <f aca="false">((I11978 + G11979) - H11979)</f>
        <v>-63.4400000000001</v>
      </c>
      <c r="J11979" s="18" t="n">
        <v>0</v>
      </c>
      <c r="K11979" s="19" t="n">
        <v>0</v>
      </c>
      <c r="L11979" s="17"/>
    </row>
    <row r="11980" s="11" customFormat="true" ht="10.95" hidden="false" customHeight="true" outlineLevel="0" collapsed="false">
      <c r="A11980" s="16" t="n">
        <v>45218</v>
      </c>
      <c r="B11980" s="17" t="s">
        <v>4511</v>
      </c>
      <c r="C11980" s="17" t="s">
        <v>3752</v>
      </c>
      <c r="D11980" s="17" t="s">
        <v>1407</v>
      </c>
      <c r="E11980" s="17" t="s">
        <v>4512</v>
      </c>
      <c r="F11980" s="17"/>
      <c r="G11980" s="18" t="n">
        <v>0</v>
      </c>
      <c r="H11980" s="18" t="n">
        <v>55.45</v>
      </c>
      <c r="I11980" s="18" t="n">
        <f aca="false">((I11979 + G11980) - H11980)</f>
        <v>-118.89</v>
      </c>
      <c r="J11980" s="18" t="n">
        <v>0</v>
      </c>
      <c r="K11980" s="19" t="n">
        <v>0</v>
      </c>
      <c r="L11980" s="17"/>
    </row>
    <row r="11981" s="11" customFormat="true" ht="10.95" hidden="false" customHeight="true" outlineLevel="0" collapsed="false">
      <c r="A11981" s="16" t="n">
        <v>45218</v>
      </c>
      <c r="B11981" s="17" t="s">
        <v>4511</v>
      </c>
      <c r="C11981" s="17" t="s">
        <v>3752</v>
      </c>
      <c r="D11981" s="17" t="s">
        <v>3753</v>
      </c>
      <c r="E11981" s="17" t="s">
        <v>4060</v>
      </c>
      <c r="F11981" s="17" t="s">
        <v>4061</v>
      </c>
      <c r="G11981" s="18" t="n">
        <v>1618.12</v>
      </c>
      <c r="H11981" s="18" t="n">
        <v>0</v>
      </c>
      <c r="I11981" s="18" t="n">
        <f aca="false">((I11980 + G11981) - H11981)</f>
        <v>1499.23</v>
      </c>
      <c r="J11981" s="18" t="n">
        <v>0</v>
      </c>
      <c r="K11981" s="19" t="n">
        <v>0</v>
      </c>
      <c r="L11981" s="17"/>
    </row>
    <row r="11982" s="11" customFormat="true" ht="10.95" hidden="false" customHeight="true" outlineLevel="0" collapsed="false">
      <c r="A11982" s="16" t="n">
        <v>45219</v>
      </c>
      <c r="B11982" s="17" t="s">
        <v>4511</v>
      </c>
      <c r="C11982" s="17" t="s">
        <v>3752</v>
      </c>
      <c r="D11982" s="17" t="s">
        <v>1407</v>
      </c>
      <c r="E11982" s="17" t="s">
        <v>4512</v>
      </c>
      <c r="F11982" s="17"/>
      <c r="G11982" s="18" t="n">
        <v>0</v>
      </c>
      <c r="H11982" s="18" t="n">
        <v>23.76</v>
      </c>
      <c r="I11982" s="18" t="n">
        <f aca="false">((I11981 + G11982) - H11982)</f>
        <v>1475.47</v>
      </c>
      <c r="J11982" s="18" t="n">
        <v>0</v>
      </c>
      <c r="K11982" s="19" t="n">
        <v>0</v>
      </c>
      <c r="L11982" s="17"/>
    </row>
    <row r="11983" s="11" customFormat="true" ht="10.95" hidden="false" customHeight="true" outlineLevel="0" collapsed="false">
      <c r="A11983" s="16" t="n">
        <v>45222</v>
      </c>
      <c r="B11983" s="17" t="s">
        <v>4511</v>
      </c>
      <c r="C11983" s="17" t="s">
        <v>3752</v>
      </c>
      <c r="D11983" s="17" t="s">
        <v>3753</v>
      </c>
      <c r="E11983" s="17" t="s">
        <v>3754</v>
      </c>
      <c r="F11983" s="17" t="s">
        <v>3758</v>
      </c>
      <c r="G11983" s="18" t="n">
        <v>0</v>
      </c>
      <c r="H11983" s="18" t="n">
        <v>684.08</v>
      </c>
      <c r="I11983" s="18" t="n">
        <f aca="false">((I11982 + G11983) - H11983)</f>
        <v>791.39</v>
      </c>
      <c r="J11983" s="18" t="n">
        <v>0</v>
      </c>
      <c r="K11983" s="19" t="n">
        <v>0</v>
      </c>
      <c r="L11983" s="17"/>
    </row>
    <row r="11984" s="11" customFormat="true" ht="10.95" hidden="false" customHeight="true" outlineLevel="0" collapsed="false">
      <c r="A11984" s="16" t="n">
        <v>45229</v>
      </c>
      <c r="B11984" s="17" t="s">
        <v>4511</v>
      </c>
      <c r="C11984" s="17" t="s">
        <v>3752</v>
      </c>
      <c r="D11984" s="17" t="s">
        <v>3753</v>
      </c>
      <c r="E11984" s="17" t="s">
        <v>3754</v>
      </c>
      <c r="F11984" s="17" t="s">
        <v>3762</v>
      </c>
      <c r="G11984" s="18" t="n">
        <v>0</v>
      </c>
      <c r="H11984" s="18" t="n">
        <v>100.24</v>
      </c>
      <c r="I11984" s="18" t="n">
        <f aca="false">((I11983 + G11984) - H11984)</f>
        <v>691.15</v>
      </c>
      <c r="J11984" s="18" t="n">
        <v>0</v>
      </c>
      <c r="K11984" s="19" t="n">
        <v>0</v>
      </c>
      <c r="L11984" s="17"/>
    </row>
    <row r="11985" s="11" customFormat="true" ht="10.95" hidden="false" customHeight="true" outlineLevel="0" collapsed="false">
      <c r="A11985" s="16" t="n">
        <v>45230</v>
      </c>
      <c r="B11985" s="17" t="s">
        <v>4511</v>
      </c>
      <c r="C11985" s="17" t="s">
        <v>3752</v>
      </c>
      <c r="D11985" s="17" t="s">
        <v>1407</v>
      </c>
      <c r="E11985" s="17" t="s">
        <v>4512</v>
      </c>
      <c r="F11985" s="17"/>
      <c r="G11985" s="18" t="n">
        <v>0</v>
      </c>
      <c r="H11985" s="18" t="n">
        <v>15.71</v>
      </c>
      <c r="I11985" s="18" t="n">
        <f aca="false">((I11984 + G11985) - H11985)</f>
        <v>675.44</v>
      </c>
      <c r="J11985" s="18" t="n">
        <v>0</v>
      </c>
      <c r="K11985" s="19" t="n">
        <v>0</v>
      </c>
      <c r="L11985" s="17"/>
    </row>
    <row r="11986" s="11" customFormat="true" ht="10.95" hidden="false" customHeight="true" outlineLevel="0" collapsed="false">
      <c r="A11986" s="16" t="n">
        <v>45243</v>
      </c>
      <c r="B11986" s="17" t="s">
        <v>4511</v>
      </c>
      <c r="C11986" s="17" t="s">
        <v>3752</v>
      </c>
      <c r="D11986" s="17" t="s">
        <v>3753</v>
      </c>
      <c r="E11986" s="17" t="s">
        <v>4060</v>
      </c>
      <c r="F11986" s="17" t="s">
        <v>4061</v>
      </c>
      <c r="G11986" s="18" t="n">
        <v>1598.47</v>
      </c>
      <c r="H11986" s="18" t="n">
        <v>0</v>
      </c>
      <c r="I11986" s="18" t="n">
        <f aca="false">((I11985 + G11986) - H11986)</f>
        <v>2273.91</v>
      </c>
      <c r="J11986" s="18" t="n">
        <v>0</v>
      </c>
      <c r="K11986" s="19" t="n">
        <v>0</v>
      </c>
      <c r="L11986" s="17"/>
    </row>
    <row r="11987" s="11" customFormat="true" ht="10.95" hidden="false" customHeight="true" outlineLevel="0" collapsed="false">
      <c r="A11987" s="16" t="n">
        <v>45244</v>
      </c>
      <c r="B11987" s="17" t="s">
        <v>4511</v>
      </c>
      <c r="C11987" s="17" t="s">
        <v>3752</v>
      </c>
      <c r="D11987" s="17" t="s">
        <v>1407</v>
      </c>
      <c r="E11987" s="17" t="s">
        <v>4512</v>
      </c>
      <c r="F11987" s="17"/>
      <c r="G11987" s="18" t="n">
        <v>0</v>
      </c>
      <c r="H11987" s="18" t="n">
        <v>23.55</v>
      </c>
      <c r="I11987" s="18" t="n">
        <f aca="false">((I11986 + G11987) - H11987)</f>
        <v>2250.36</v>
      </c>
      <c r="J11987" s="18" t="n">
        <v>0</v>
      </c>
      <c r="K11987" s="19" t="n">
        <v>0</v>
      </c>
      <c r="L11987" s="17"/>
    </row>
    <row r="11988" s="11" customFormat="true" ht="10.95" hidden="false" customHeight="true" outlineLevel="0" collapsed="false">
      <c r="A11988" s="16" t="n">
        <v>45246</v>
      </c>
      <c r="B11988" s="17" t="s">
        <v>4511</v>
      </c>
      <c r="C11988" s="17" t="s">
        <v>3752</v>
      </c>
      <c r="D11988" s="17" t="s">
        <v>3753</v>
      </c>
      <c r="E11988" s="17" t="s">
        <v>3754</v>
      </c>
      <c r="F11988" s="17" t="s">
        <v>3764</v>
      </c>
      <c r="G11988" s="18" t="n">
        <v>0</v>
      </c>
      <c r="H11988" s="18" t="n">
        <v>716.63</v>
      </c>
      <c r="I11988" s="18" t="n">
        <f aca="false">((I11987 + G11988) - H11988)</f>
        <v>1533.73</v>
      </c>
      <c r="J11988" s="18" t="n">
        <v>0</v>
      </c>
      <c r="K11988" s="19" t="n">
        <v>0</v>
      </c>
      <c r="L11988" s="17"/>
    </row>
    <row r="11989" s="11" customFormat="true" ht="10.95" hidden="false" customHeight="true" outlineLevel="0" collapsed="false">
      <c r="A11989" s="16" t="n">
        <v>45257</v>
      </c>
      <c r="B11989" s="17" t="s">
        <v>4511</v>
      </c>
      <c r="C11989" s="17" t="s">
        <v>3752</v>
      </c>
      <c r="D11989" s="17" t="s">
        <v>3753</v>
      </c>
      <c r="E11989" s="17" t="s">
        <v>3754</v>
      </c>
      <c r="F11989" s="17" t="s">
        <v>3766</v>
      </c>
      <c r="G11989" s="18" t="n">
        <v>0</v>
      </c>
      <c r="H11989" s="18" t="n">
        <v>156.42</v>
      </c>
      <c r="I11989" s="18" t="n">
        <f aca="false">((I11988 + G11989) - H11989)</f>
        <v>1377.31</v>
      </c>
      <c r="J11989" s="18" t="n">
        <v>0</v>
      </c>
      <c r="K11989" s="19" t="n">
        <v>0</v>
      </c>
      <c r="L11989" s="17"/>
    </row>
    <row r="11990" s="11" customFormat="true" ht="10.95" hidden="false" customHeight="true" outlineLevel="0" collapsed="false">
      <c r="A11990" s="16" t="n">
        <v>45260</v>
      </c>
      <c r="B11990" s="17" t="s">
        <v>4511</v>
      </c>
      <c r="C11990" s="17" t="s">
        <v>3752</v>
      </c>
      <c r="D11990" s="17" t="s">
        <v>1407</v>
      </c>
      <c r="E11990" s="17" t="s">
        <v>4512</v>
      </c>
      <c r="F11990" s="17"/>
      <c r="G11990" s="18" t="n">
        <v>0</v>
      </c>
      <c r="H11990" s="18" t="n">
        <v>15.15</v>
      </c>
      <c r="I11990" s="18" t="n">
        <f aca="false">((I11989 + G11990) - H11990)</f>
        <v>1362.16</v>
      </c>
      <c r="J11990" s="18" t="n">
        <v>0</v>
      </c>
      <c r="K11990" s="19" t="n">
        <v>0</v>
      </c>
      <c r="L11990" s="17"/>
    </row>
    <row r="11991" s="11" customFormat="true" ht="10.95" hidden="false" customHeight="true" outlineLevel="0" collapsed="false">
      <c r="A11991" s="16" t="n">
        <v>45271</v>
      </c>
      <c r="B11991" s="17" t="s">
        <v>4511</v>
      </c>
      <c r="C11991" s="17" t="s">
        <v>3752</v>
      </c>
      <c r="D11991" s="17" t="s">
        <v>3753</v>
      </c>
      <c r="E11991" s="17" t="s">
        <v>3754</v>
      </c>
      <c r="F11991" s="17" t="s">
        <v>3768</v>
      </c>
      <c r="G11991" s="18" t="n">
        <v>0</v>
      </c>
      <c r="H11991" s="18" t="n">
        <v>117.92</v>
      </c>
      <c r="I11991" s="18" t="n">
        <f aca="false">((I11990 + G11991) - H11991)</f>
        <v>1244.24</v>
      </c>
      <c r="J11991" s="18" t="n">
        <v>0</v>
      </c>
      <c r="K11991" s="19" t="n">
        <v>0</v>
      </c>
      <c r="L11991" s="17"/>
    </row>
    <row r="11992" s="11" customFormat="true" ht="10.95" hidden="false" customHeight="true" outlineLevel="0" collapsed="false">
      <c r="A11992" s="16" t="n">
        <v>45278</v>
      </c>
      <c r="B11992" s="17" t="s">
        <v>4511</v>
      </c>
      <c r="C11992" s="17" t="s">
        <v>3752</v>
      </c>
      <c r="D11992" s="17" t="s">
        <v>3753</v>
      </c>
      <c r="E11992" s="17" t="s">
        <v>3754</v>
      </c>
      <c r="F11992" s="17" t="s">
        <v>3758</v>
      </c>
      <c r="G11992" s="18" t="n">
        <v>0</v>
      </c>
      <c r="H11992" s="18" t="n">
        <v>37.04</v>
      </c>
      <c r="I11992" s="18" t="n">
        <f aca="false">((I11991 + G11992) - H11992)</f>
        <v>1207.2</v>
      </c>
      <c r="J11992" s="18" t="n">
        <v>0</v>
      </c>
      <c r="K11992" s="19" t="n">
        <v>0</v>
      </c>
      <c r="L11992" s="17"/>
    </row>
    <row r="11993" s="11" customFormat="true" ht="10.95" hidden="false" customHeight="true" outlineLevel="0" collapsed="false">
      <c r="A11993" s="16" t="n">
        <v>45286</v>
      </c>
      <c r="B11993" s="17" t="s">
        <v>4511</v>
      </c>
      <c r="C11993" s="17" t="s">
        <v>3752</v>
      </c>
      <c r="D11993" s="17" t="s">
        <v>3753</v>
      </c>
      <c r="E11993" s="17" t="s">
        <v>3754</v>
      </c>
      <c r="F11993" s="17" t="s">
        <v>3769</v>
      </c>
      <c r="G11993" s="18" t="n">
        <v>0</v>
      </c>
      <c r="H11993" s="18" t="n">
        <v>358.68</v>
      </c>
      <c r="I11993" s="18" t="n">
        <f aca="false">((I11992 + G11993) - H11993)</f>
        <v>848.519999999999</v>
      </c>
      <c r="J11993" s="18" t="n">
        <v>0</v>
      </c>
      <c r="K11993" s="19" t="n">
        <v>0</v>
      </c>
      <c r="L11993" s="17"/>
    </row>
    <row r="11994" s="11" customFormat="true" ht="10.95" hidden="false" customHeight="true" outlineLevel="0" collapsed="false">
      <c r="A11994" s="16" t="n">
        <v>45286</v>
      </c>
      <c r="B11994" s="17" t="s">
        <v>4511</v>
      </c>
      <c r="C11994" s="17" t="s">
        <v>3752</v>
      </c>
      <c r="D11994" s="17" t="s">
        <v>1407</v>
      </c>
      <c r="E11994" s="17" t="s">
        <v>3882</v>
      </c>
      <c r="F11994" s="17"/>
      <c r="G11994" s="18" t="n">
        <v>0</v>
      </c>
      <c r="H11994" s="18" t="n">
        <v>73.04</v>
      </c>
      <c r="I11994" s="18" t="n">
        <f aca="false">((I11993 + G11994) - H11994)</f>
        <v>775.479999999999</v>
      </c>
      <c r="J11994" s="18" t="n">
        <v>0</v>
      </c>
      <c r="K11994" s="19" t="n">
        <v>0</v>
      </c>
      <c r="L11994" s="17"/>
    </row>
    <row r="11995" s="11" customFormat="true" ht="10.95" hidden="false" customHeight="true" outlineLevel="0" collapsed="false">
      <c r="A11995" s="16" t="n">
        <v>45289</v>
      </c>
      <c r="B11995" s="17" t="s">
        <v>4511</v>
      </c>
      <c r="C11995" s="17" t="s">
        <v>3752</v>
      </c>
      <c r="D11995" s="17" t="s">
        <v>1407</v>
      </c>
      <c r="E11995" s="17" t="s">
        <v>4512</v>
      </c>
      <c r="F11995" s="17"/>
      <c r="G11995" s="18" t="n">
        <v>0</v>
      </c>
      <c r="H11995" s="18" t="n">
        <v>14.71</v>
      </c>
      <c r="I11995" s="18" t="n">
        <f aca="false">((I11994 + G11995) - H11995)</f>
        <v>760.769999999999</v>
      </c>
      <c r="J11995" s="18" t="n">
        <v>0</v>
      </c>
      <c r="K11995" s="19" t="n">
        <v>0</v>
      </c>
      <c r="L11995" s="17"/>
    </row>
    <row r="11996" s="11" customFormat="true" ht="10.95" hidden="false" customHeight="true" outlineLevel="0" collapsed="false">
      <c r="A11996" s="16" t="n">
        <v>45289</v>
      </c>
      <c r="B11996" s="17" t="s">
        <v>4511</v>
      </c>
      <c r="C11996" s="17" t="s">
        <v>3752</v>
      </c>
      <c r="D11996" s="17" t="s">
        <v>3753</v>
      </c>
      <c r="E11996" s="17" t="s">
        <v>3754</v>
      </c>
      <c r="F11996" s="17" t="s">
        <v>3758</v>
      </c>
      <c r="G11996" s="18" t="n">
        <v>0</v>
      </c>
      <c r="H11996" s="18" t="n">
        <v>463.78</v>
      </c>
      <c r="I11996" s="18" t="n">
        <f aca="false">((I11995 + G11996) - H11996)</f>
        <v>296.989999999999</v>
      </c>
      <c r="J11996" s="18" t="n">
        <v>0</v>
      </c>
      <c r="K11996" s="19" t="n">
        <v>0</v>
      </c>
      <c r="L11996" s="17"/>
    </row>
    <row r="11997" s="11" customFormat="true" ht="10.95" hidden="false" customHeight="true" outlineLevel="0" collapsed="false">
      <c r="A11997" s="16" t="n">
        <v>45315</v>
      </c>
      <c r="B11997" s="17" t="s">
        <v>4511</v>
      </c>
      <c r="C11997" s="17" t="s">
        <v>3752</v>
      </c>
      <c r="D11997" s="17" t="s">
        <v>1407</v>
      </c>
      <c r="E11997" s="17" t="s">
        <v>4514</v>
      </c>
      <c r="F11997" s="17"/>
      <c r="G11997" s="18" t="n">
        <v>0</v>
      </c>
      <c r="H11997" s="18" t="n">
        <v>177.25</v>
      </c>
      <c r="I11997" s="18" t="n">
        <f aca="false">((I11996 + G11997) - H11997)</f>
        <v>119.739999999999</v>
      </c>
      <c r="J11997" s="18" t="n">
        <v>0</v>
      </c>
      <c r="K11997" s="19" t="n">
        <v>0</v>
      </c>
      <c r="L11997" s="17"/>
    </row>
    <row r="11998" s="11" customFormat="true" ht="10.95" hidden="false" customHeight="true" outlineLevel="0" collapsed="false">
      <c r="A11998" s="16" t="n">
        <v>45316</v>
      </c>
      <c r="B11998" s="17" t="s">
        <v>4511</v>
      </c>
      <c r="C11998" s="17" t="s">
        <v>3752</v>
      </c>
      <c r="D11998" s="17" t="s">
        <v>1407</v>
      </c>
      <c r="E11998" s="17" t="s">
        <v>4512</v>
      </c>
      <c r="F11998" s="17"/>
      <c r="G11998" s="18" t="n">
        <v>0</v>
      </c>
      <c r="H11998" s="18" t="n">
        <v>53.1</v>
      </c>
      <c r="I11998" s="18" t="n">
        <f aca="false">((I11997 + G11998) - H11998)</f>
        <v>66.6399999999993</v>
      </c>
      <c r="J11998" s="18" t="n">
        <v>0</v>
      </c>
      <c r="K11998" s="19" t="n">
        <v>0</v>
      </c>
      <c r="L11998" s="17"/>
    </row>
    <row r="11999" s="11" customFormat="true" ht="10.95" hidden="false" customHeight="true" outlineLevel="0" collapsed="false">
      <c r="A11999" s="16" t="n">
        <v>45316</v>
      </c>
      <c r="B11999" s="17" t="s">
        <v>4511</v>
      </c>
      <c r="C11999" s="17" t="s">
        <v>3752</v>
      </c>
      <c r="D11999" s="17" t="s">
        <v>3753</v>
      </c>
      <c r="E11999" s="17" t="s">
        <v>4060</v>
      </c>
      <c r="F11999" s="17" t="s">
        <v>4061</v>
      </c>
      <c r="G11999" s="18" t="n">
        <v>4646.84</v>
      </c>
      <c r="H11999" s="18" t="n">
        <v>0</v>
      </c>
      <c r="I11999" s="18" t="n">
        <f aca="false">((I11998 + G11999) - H11999)</f>
        <v>4713.48</v>
      </c>
      <c r="J11999" s="18" t="n">
        <v>0</v>
      </c>
      <c r="K11999" s="19" t="n">
        <v>0</v>
      </c>
      <c r="L11999" s="17"/>
    </row>
    <row r="12000" s="11" customFormat="true" ht="10.95" hidden="false" customHeight="true" outlineLevel="0" collapsed="false">
      <c r="A12000" s="16" t="n">
        <v>45320</v>
      </c>
      <c r="B12000" s="17" t="s">
        <v>4511</v>
      </c>
      <c r="C12000" s="17" t="s">
        <v>3752</v>
      </c>
      <c r="D12000" s="17" t="s">
        <v>1407</v>
      </c>
      <c r="E12000" s="17" t="s">
        <v>4512</v>
      </c>
      <c r="F12000" s="17"/>
      <c r="G12000" s="18" t="n">
        <v>0</v>
      </c>
      <c r="H12000" s="18" t="n">
        <v>22.73</v>
      </c>
      <c r="I12000" s="18" t="n">
        <f aca="false">((I11999 + G12000) - H12000)</f>
        <v>4690.75</v>
      </c>
      <c r="J12000" s="18" t="n">
        <v>0</v>
      </c>
      <c r="K12000" s="19" t="n">
        <v>0</v>
      </c>
      <c r="L12000" s="17"/>
    </row>
    <row r="12001" s="11" customFormat="true" ht="10.95" hidden="false" customHeight="true" outlineLevel="0" collapsed="false">
      <c r="A12001" s="16" t="n">
        <v>45320</v>
      </c>
      <c r="B12001" s="17" t="s">
        <v>4511</v>
      </c>
      <c r="C12001" s="17" t="s">
        <v>3752</v>
      </c>
      <c r="D12001" s="17" t="s">
        <v>3753</v>
      </c>
      <c r="E12001" s="17" t="s">
        <v>3754</v>
      </c>
      <c r="F12001" s="17" t="s">
        <v>3758</v>
      </c>
      <c r="G12001" s="18" t="n">
        <v>0</v>
      </c>
      <c r="H12001" s="18" t="n">
        <v>1435.01</v>
      </c>
      <c r="I12001" s="18" t="n">
        <f aca="false">((I12000 + G12001) - H12001)</f>
        <v>3255.74</v>
      </c>
      <c r="J12001" s="18" t="n">
        <v>0</v>
      </c>
      <c r="K12001" s="19" t="n">
        <v>0</v>
      </c>
      <c r="L12001" s="17"/>
    </row>
    <row r="12002" s="11" customFormat="true" ht="10.95" hidden="false" customHeight="true" outlineLevel="0" collapsed="false">
      <c r="A12002" s="16" t="n">
        <v>45322</v>
      </c>
      <c r="B12002" s="17" t="s">
        <v>4511</v>
      </c>
      <c r="C12002" s="17" t="s">
        <v>3752</v>
      </c>
      <c r="D12002" s="17" t="s">
        <v>1407</v>
      </c>
      <c r="E12002" s="17" t="s">
        <v>4512</v>
      </c>
      <c r="F12002" s="17"/>
      <c r="G12002" s="18" t="n">
        <v>0</v>
      </c>
      <c r="H12002" s="18" t="n">
        <v>15.2</v>
      </c>
      <c r="I12002" s="18" t="n">
        <f aca="false">((I12001 + G12002) - H12002)</f>
        <v>3240.54</v>
      </c>
      <c r="J12002" s="18" t="n">
        <v>0</v>
      </c>
      <c r="K12002" s="19" t="n">
        <v>0</v>
      </c>
      <c r="L12002" s="17"/>
    </row>
    <row r="12003" s="11" customFormat="true" ht="10.95" hidden="false" customHeight="true" outlineLevel="0" collapsed="false">
      <c r="A12003" s="16" t="n">
        <v>45338</v>
      </c>
      <c r="B12003" s="17" t="s">
        <v>4511</v>
      </c>
      <c r="C12003" s="17" t="s">
        <v>3752</v>
      </c>
      <c r="D12003" s="17" t="s">
        <v>3753</v>
      </c>
      <c r="E12003" s="17" t="s">
        <v>3754</v>
      </c>
      <c r="F12003" s="17" t="s">
        <v>3773</v>
      </c>
      <c r="G12003" s="18" t="n">
        <v>0</v>
      </c>
      <c r="H12003" s="18" t="n">
        <v>1532.44</v>
      </c>
      <c r="I12003" s="18" t="n">
        <f aca="false">((I12002 + G12003) - H12003)</f>
        <v>1708.1</v>
      </c>
      <c r="J12003" s="18" t="n">
        <v>0</v>
      </c>
      <c r="K12003" s="19" t="n">
        <v>0</v>
      </c>
      <c r="L12003" s="17"/>
    </row>
    <row r="12004" s="11" customFormat="true" ht="10.95" hidden="false" customHeight="true" outlineLevel="0" collapsed="false">
      <c r="A12004" s="16" t="n">
        <v>45358</v>
      </c>
      <c r="B12004" s="17" t="s">
        <v>4511</v>
      </c>
      <c r="C12004" s="17" t="s">
        <v>3752</v>
      </c>
      <c r="D12004" s="17" t="s">
        <v>3753</v>
      </c>
      <c r="E12004" s="17" t="s">
        <v>4060</v>
      </c>
      <c r="F12004" s="17" t="s">
        <v>4061</v>
      </c>
      <c r="G12004" s="18" t="n">
        <v>4649</v>
      </c>
      <c r="H12004" s="18" t="n">
        <v>0</v>
      </c>
      <c r="I12004" s="18" t="n">
        <f aca="false">((I12003 + G12004) - H12004)</f>
        <v>6357.1</v>
      </c>
      <c r="J12004" s="18" t="n">
        <v>0</v>
      </c>
      <c r="K12004" s="19" t="n">
        <v>0</v>
      </c>
      <c r="L12004" s="17"/>
    </row>
    <row r="12005" s="11" customFormat="true" ht="10.95" hidden="false" customHeight="true" outlineLevel="0" collapsed="false">
      <c r="A12005" s="16" t="n">
        <v>45359</v>
      </c>
      <c r="B12005" s="17" t="s">
        <v>4511</v>
      </c>
      <c r="C12005" s="17" t="s">
        <v>3752</v>
      </c>
      <c r="D12005" s="17" t="s">
        <v>1407</v>
      </c>
      <c r="E12005" s="17" t="s">
        <v>4512</v>
      </c>
      <c r="F12005" s="17"/>
      <c r="G12005" s="18" t="n">
        <v>0</v>
      </c>
      <c r="H12005" s="18" t="n">
        <v>22.57</v>
      </c>
      <c r="I12005" s="18" t="n">
        <f aca="false">((I12004 + G12005) - H12005)</f>
        <v>6334.53</v>
      </c>
      <c r="J12005" s="18" t="n">
        <v>0</v>
      </c>
      <c r="K12005" s="19" t="n">
        <v>0</v>
      </c>
      <c r="L12005" s="17"/>
    </row>
    <row r="12006" s="11" customFormat="true" ht="10.95" hidden="false" customHeight="true" outlineLevel="0" collapsed="false">
      <c r="A12006" s="16" t="n">
        <v>45362</v>
      </c>
      <c r="B12006" s="17" t="s">
        <v>4511</v>
      </c>
      <c r="C12006" s="17" t="s">
        <v>3752</v>
      </c>
      <c r="D12006" s="17" t="s">
        <v>3753</v>
      </c>
      <c r="E12006" s="17" t="s">
        <v>3754</v>
      </c>
      <c r="F12006" s="17" t="s">
        <v>3775</v>
      </c>
      <c r="G12006" s="18" t="n">
        <v>0</v>
      </c>
      <c r="H12006" s="18" t="n">
        <v>4534.47</v>
      </c>
      <c r="I12006" s="18" t="n">
        <f aca="false">((I12005 + G12006) - H12006)</f>
        <v>1800.06</v>
      </c>
      <c r="J12006" s="18" t="n">
        <v>0</v>
      </c>
      <c r="K12006" s="19" t="n">
        <v>0</v>
      </c>
      <c r="L12006" s="17"/>
    </row>
    <row r="12007" s="11" customFormat="true" ht="10.95" hidden="false" customHeight="true" outlineLevel="0" collapsed="false">
      <c r="A12007" s="16" t="n">
        <v>45371</v>
      </c>
      <c r="B12007" s="17" t="s">
        <v>4511</v>
      </c>
      <c r="C12007" s="17" t="s">
        <v>3752</v>
      </c>
      <c r="D12007" s="17" t="s">
        <v>1407</v>
      </c>
      <c r="E12007" s="17" t="s">
        <v>4512</v>
      </c>
      <c r="F12007" s="17"/>
      <c r="G12007" s="18" t="n">
        <v>0</v>
      </c>
      <c r="H12007" s="18" t="n">
        <v>23.01</v>
      </c>
      <c r="I12007" s="18" t="n">
        <f aca="false">((I12006 + G12007) - H12007)</f>
        <v>1777.05</v>
      </c>
      <c r="J12007" s="18" t="n">
        <v>0</v>
      </c>
      <c r="K12007" s="19" t="n">
        <v>0</v>
      </c>
      <c r="L12007" s="17"/>
    </row>
    <row r="12008" s="11" customFormat="true" ht="10.95" hidden="false" customHeight="true" outlineLevel="0" collapsed="false">
      <c r="A12008" s="16" t="n">
        <v>45371</v>
      </c>
      <c r="B12008" s="17" t="s">
        <v>4511</v>
      </c>
      <c r="C12008" s="17" t="s">
        <v>3752</v>
      </c>
      <c r="D12008" s="17" t="s">
        <v>3753</v>
      </c>
      <c r="E12008" s="17" t="s">
        <v>4060</v>
      </c>
      <c r="F12008" s="17" t="s">
        <v>4061</v>
      </c>
      <c r="G12008" s="18" t="n">
        <v>6256.84</v>
      </c>
      <c r="H12008" s="18" t="n">
        <v>0</v>
      </c>
      <c r="I12008" s="18" t="n">
        <f aca="false">((I12007 + G12008) - H12008)</f>
        <v>8033.89</v>
      </c>
      <c r="J12008" s="18" t="n">
        <v>0</v>
      </c>
      <c r="K12008" s="19" t="n">
        <v>0</v>
      </c>
      <c r="L12008" s="17"/>
    </row>
    <row r="12009" s="11" customFormat="true" ht="10.95" hidden="false" customHeight="true" outlineLevel="0" collapsed="false">
      <c r="A12009" s="16" t="n">
        <v>45373</v>
      </c>
      <c r="B12009" s="17" t="s">
        <v>4511</v>
      </c>
      <c r="C12009" s="17" t="s">
        <v>3752</v>
      </c>
      <c r="D12009" s="17" t="s">
        <v>3753</v>
      </c>
      <c r="E12009" s="17" t="s">
        <v>3754</v>
      </c>
      <c r="F12009" s="17" t="s">
        <v>3758</v>
      </c>
      <c r="G12009" s="18" t="n">
        <v>0</v>
      </c>
      <c r="H12009" s="18" t="n">
        <v>6053.36</v>
      </c>
      <c r="I12009" s="18" t="n">
        <f aca="false">((I12008 + G12009) - H12009)</f>
        <v>1980.53</v>
      </c>
      <c r="J12009" s="18" t="n">
        <v>0</v>
      </c>
      <c r="K12009" s="19" t="n">
        <v>0</v>
      </c>
      <c r="L12009" s="17"/>
    </row>
    <row r="12010" s="11" customFormat="true" ht="10.95" hidden="false" customHeight="true" outlineLevel="0" collapsed="false">
      <c r="A12010" s="16" t="n">
        <v>45376</v>
      </c>
      <c r="B12010" s="17" t="s">
        <v>4511</v>
      </c>
      <c r="C12010" s="17" t="s">
        <v>3752</v>
      </c>
      <c r="D12010" s="17" t="s">
        <v>3753</v>
      </c>
      <c r="E12010" s="17" t="s">
        <v>3754</v>
      </c>
      <c r="F12010" s="17" t="s">
        <v>3777</v>
      </c>
      <c r="G12010" s="18" t="n">
        <v>0</v>
      </c>
      <c r="H12010" s="18" t="n">
        <v>398.93</v>
      </c>
      <c r="I12010" s="18" t="n">
        <f aca="false">((I12009 + G12010) - H12010)</f>
        <v>1581.6</v>
      </c>
      <c r="J12010" s="18" t="n">
        <v>0</v>
      </c>
      <c r="K12010" s="19" t="n">
        <v>0</v>
      </c>
      <c r="L12010" s="17"/>
    </row>
    <row r="12011" s="11" customFormat="true" ht="10.95" hidden="false" customHeight="true" outlineLevel="0" collapsed="false">
      <c r="A12011" s="16" t="n">
        <v>45394</v>
      </c>
      <c r="B12011" s="17" t="s">
        <v>4511</v>
      </c>
      <c r="C12011" s="17" t="s">
        <v>3752</v>
      </c>
      <c r="D12011" s="17" t="s">
        <v>3753</v>
      </c>
      <c r="E12011" s="17" t="s">
        <v>4060</v>
      </c>
      <c r="F12011" s="17" t="s">
        <v>4061</v>
      </c>
      <c r="G12011" s="18" t="n">
        <v>7821.05</v>
      </c>
      <c r="H12011" s="18" t="n">
        <v>0</v>
      </c>
      <c r="I12011" s="18" t="n">
        <f aca="false">((I12010 + G12011) - H12011)</f>
        <v>9402.65</v>
      </c>
      <c r="J12011" s="18" t="n">
        <v>0</v>
      </c>
      <c r="K12011" s="19" t="n">
        <v>0</v>
      </c>
      <c r="L12011" s="17"/>
    </row>
    <row r="12012" s="11" customFormat="true" ht="10.95" hidden="false" customHeight="true" outlineLevel="0" collapsed="false">
      <c r="A12012" s="16" t="n">
        <v>45397</v>
      </c>
      <c r="B12012" s="17" t="s">
        <v>4511</v>
      </c>
      <c r="C12012" s="17" t="s">
        <v>3752</v>
      </c>
      <c r="D12012" s="17" t="s">
        <v>1407</v>
      </c>
      <c r="E12012" s="17" t="s">
        <v>4512</v>
      </c>
      <c r="F12012" s="17"/>
      <c r="G12012" s="18" t="n">
        <v>0</v>
      </c>
      <c r="H12012" s="18" t="n">
        <v>23.15</v>
      </c>
      <c r="I12012" s="18" t="n">
        <f aca="false">((I12011 + G12012) - H12012)</f>
        <v>9379.5</v>
      </c>
      <c r="J12012" s="18" t="n">
        <v>0</v>
      </c>
      <c r="K12012" s="19" t="n">
        <v>0</v>
      </c>
      <c r="L12012" s="17"/>
    </row>
    <row r="12013" s="11" customFormat="true" ht="10.95" hidden="false" customHeight="true" outlineLevel="0" collapsed="false">
      <c r="A12013" s="16" t="n">
        <v>45398</v>
      </c>
      <c r="B12013" s="17" t="s">
        <v>4511</v>
      </c>
      <c r="C12013" s="17" t="s">
        <v>3752</v>
      </c>
      <c r="D12013" s="17" t="s">
        <v>3753</v>
      </c>
      <c r="E12013" s="17" t="s">
        <v>3754</v>
      </c>
      <c r="F12013" s="17" t="s">
        <v>3790</v>
      </c>
      <c r="G12013" s="18" t="n">
        <v>0</v>
      </c>
      <c r="H12013" s="18" t="n">
        <v>6153.72</v>
      </c>
      <c r="I12013" s="18" t="n">
        <f aca="false">((I12012 + G12013) - H12013)</f>
        <v>3225.78</v>
      </c>
      <c r="J12013" s="18" t="n">
        <v>0</v>
      </c>
      <c r="K12013" s="19" t="n">
        <v>0</v>
      </c>
      <c r="L12013" s="17"/>
    </row>
    <row r="12014" s="11" customFormat="true" ht="10.95" hidden="false" customHeight="true" outlineLevel="0" collapsed="false">
      <c r="A12014" s="16" t="n">
        <v>45399</v>
      </c>
      <c r="B12014" s="17" t="s">
        <v>4511</v>
      </c>
      <c r="C12014" s="17" t="s">
        <v>3752</v>
      </c>
      <c r="D12014" s="17" t="s">
        <v>3753</v>
      </c>
      <c r="E12014" s="17" t="s">
        <v>3754</v>
      </c>
      <c r="F12014" s="17" t="s">
        <v>3792</v>
      </c>
      <c r="G12014" s="18" t="n">
        <v>0</v>
      </c>
      <c r="H12014" s="18" t="n">
        <v>811.19</v>
      </c>
      <c r="I12014" s="18" t="n">
        <f aca="false">((I12013 + G12014) - H12014)</f>
        <v>2414.59</v>
      </c>
      <c r="J12014" s="18" t="n">
        <v>0</v>
      </c>
      <c r="K12014" s="19" t="n">
        <v>0</v>
      </c>
      <c r="L12014" s="17"/>
    </row>
    <row r="12015" s="11" customFormat="true" ht="10.95" hidden="false" customHeight="true" outlineLevel="0" collapsed="false">
      <c r="A12015" s="16" t="n">
        <v>45406</v>
      </c>
      <c r="B12015" s="17" t="s">
        <v>4511</v>
      </c>
      <c r="C12015" s="17" t="s">
        <v>3752</v>
      </c>
      <c r="D12015" s="17" t="s">
        <v>3753</v>
      </c>
      <c r="E12015" s="17" t="s">
        <v>3754</v>
      </c>
      <c r="F12015" s="17" t="s">
        <v>3758</v>
      </c>
      <c r="G12015" s="18" t="n">
        <v>0</v>
      </c>
      <c r="H12015" s="18" t="n">
        <v>618.71</v>
      </c>
      <c r="I12015" s="18" t="n">
        <f aca="false">((I12014 + G12015) - H12015)</f>
        <v>1795.88</v>
      </c>
      <c r="J12015" s="18" t="n">
        <v>0</v>
      </c>
      <c r="K12015" s="19" t="n">
        <v>0</v>
      </c>
      <c r="L12015" s="17"/>
    </row>
    <row r="12016" s="11" customFormat="true" ht="10.95" hidden="false" customHeight="true" outlineLevel="0" collapsed="false">
      <c r="A12016" s="16" t="n">
        <v>45429</v>
      </c>
      <c r="B12016" s="17" t="s">
        <v>4511</v>
      </c>
      <c r="C12016" s="17" t="s">
        <v>3752</v>
      </c>
      <c r="D12016" s="17" t="s">
        <v>3753</v>
      </c>
      <c r="E12016" s="17" t="s">
        <v>4060</v>
      </c>
      <c r="F12016" s="17" t="s">
        <v>4061</v>
      </c>
      <c r="G12016" s="18" t="n">
        <v>7658.14</v>
      </c>
      <c r="H12016" s="18" t="n">
        <v>0</v>
      </c>
      <c r="I12016" s="18" t="n">
        <f aca="false">((I12015 + G12016) - H12016)</f>
        <v>9454.02</v>
      </c>
      <c r="J12016" s="18" t="n">
        <v>0</v>
      </c>
      <c r="K12016" s="19" t="n">
        <v>0</v>
      </c>
      <c r="L12016" s="17"/>
    </row>
    <row r="12017" s="11" customFormat="true" ht="10.95" hidden="false" customHeight="true" outlineLevel="0" collapsed="false">
      <c r="A12017" s="16" t="n">
        <v>45432</v>
      </c>
      <c r="B12017" s="17" t="s">
        <v>4511</v>
      </c>
      <c r="C12017" s="17" t="s">
        <v>3752</v>
      </c>
      <c r="D12017" s="17" t="s">
        <v>1407</v>
      </c>
      <c r="E12017" s="17" t="s">
        <v>4512</v>
      </c>
      <c r="F12017" s="17"/>
      <c r="G12017" s="18" t="n">
        <v>0</v>
      </c>
      <c r="H12017" s="18" t="n">
        <v>22.5</v>
      </c>
      <c r="I12017" s="18" t="n">
        <f aca="false">((I12016 + G12017) - H12017)</f>
        <v>9431.52</v>
      </c>
      <c r="J12017" s="18" t="n">
        <v>0</v>
      </c>
      <c r="K12017" s="19" t="n">
        <v>0</v>
      </c>
      <c r="L12017" s="17"/>
    </row>
    <row r="12018" s="11" customFormat="true" ht="10.95" hidden="false" customHeight="true" outlineLevel="0" collapsed="false">
      <c r="A12018" s="16" t="n">
        <v>45432</v>
      </c>
      <c r="B12018" s="17" t="s">
        <v>4511</v>
      </c>
      <c r="C12018" s="17" t="s">
        <v>3752</v>
      </c>
      <c r="D12018" s="17" t="s">
        <v>3753</v>
      </c>
      <c r="E12018" s="17" t="s">
        <v>3754</v>
      </c>
      <c r="F12018" s="17" t="s">
        <v>3758</v>
      </c>
      <c r="G12018" s="18" t="n">
        <v>0</v>
      </c>
      <c r="H12018" s="18" t="n">
        <v>6196.43</v>
      </c>
      <c r="I12018" s="18" t="n">
        <f aca="false">((I12017 + G12018) - H12018)</f>
        <v>3235.09</v>
      </c>
      <c r="J12018" s="18" t="n">
        <v>0</v>
      </c>
      <c r="K12018" s="19" t="n">
        <v>0</v>
      </c>
      <c r="L12018" s="17"/>
    </row>
    <row r="12019" s="11" customFormat="true" ht="10.95" hidden="false" customHeight="true" outlineLevel="0" collapsed="false">
      <c r="A12019" s="16" t="n">
        <v>45440</v>
      </c>
      <c r="B12019" s="17" t="s">
        <v>4511</v>
      </c>
      <c r="C12019" s="17" t="s">
        <v>3752</v>
      </c>
      <c r="D12019" s="17" t="s">
        <v>1407</v>
      </c>
      <c r="E12019" s="17" t="s">
        <v>4515</v>
      </c>
      <c r="F12019" s="17"/>
      <c r="G12019" s="18" t="n">
        <v>0</v>
      </c>
      <c r="H12019" s="18" t="n">
        <v>261.82</v>
      </c>
      <c r="I12019" s="18" t="n">
        <f aca="false">((I12018 + G12019) - H12019)</f>
        <v>2973.27</v>
      </c>
      <c r="J12019" s="18" t="n">
        <v>0</v>
      </c>
      <c r="K12019" s="19" t="n">
        <v>0</v>
      </c>
      <c r="L12019" s="17"/>
    </row>
    <row r="12020" s="11" customFormat="true" ht="10.95" hidden="false" customHeight="true" outlineLevel="0" collapsed="false">
      <c r="A12020" s="16" t="n">
        <v>45446</v>
      </c>
      <c r="B12020" s="17" t="s">
        <v>4511</v>
      </c>
      <c r="C12020" s="17" t="s">
        <v>3752</v>
      </c>
      <c r="D12020" s="17" t="s">
        <v>3753</v>
      </c>
      <c r="E12020" s="17" t="s">
        <v>3754</v>
      </c>
      <c r="F12020" s="17" t="s">
        <v>3793</v>
      </c>
      <c r="G12020" s="18" t="n">
        <v>0</v>
      </c>
      <c r="H12020" s="18" t="n">
        <v>1500.65</v>
      </c>
      <c r="I12020" s="18" t="n">
        <f aca="false">((I12019 + G12020) - H12020)</f>
        <v>1472.62</v>
      </c>
      <c r="J12020" s="18" t="n">
        <v>0</v>
      </c>
      <c r="K12020" s="19" t="n">
        <v>0</v>
      </c>
      <c r="L12020" s="17"/>
    </row>
    <row r="12021" s="11" customFormat="true" ht="10.95" hidden="false" customHeight="true" outlineLevel="0" collapsed="false">
      <c r="A12021" s="16" t="n">
        <v>45461</v>
      </c>
      <c r="B12021" s="17" t="s">
        <v>4511</v>
      </c>
      <c r="C12021" s="17" t="s">
        <v>3752</v>
      </c>
      <c r="D12021" s="17" t="s">
        <v>1407</v>
      </c>
      <c r="E12021" s="17" t="s">
        <v>3785</v>
      </c>
      <c r="F12021" s="17"/>
      <c r="G12021" s="18" t="n">
        <v>0</v>
      </c>
      <c r="H12021" s="18" t="n">
        <v>190.14</v>
      </c>
      <c r="I12021" s="18" t="n">
        <f aca="false">((I12020 + G12021) - H12021)</f>
        <v>1282.48</v>
      </c>
      <c r="J12021" s="18" t="n">
        <v>0</v>
      </c>
      <c r="K12021" s="19" t="n">
        <v>0</v>
      </c>
      <c r="L12021" s="17"/>
    </row>
    <row r="12022" s="11" customFormat="true" ht="10.95" hidden="false" customHeight="true" outlineLevel="0" collapsed="false">
      <c r="A12022" s="16" t="n">
        <v>45463</v>
      </c>
      <c r="B12022" s="17" t="s">
        <v>4511</v>
      </c>
      <c r="C12022" s="17" t="s">
        <v>3752</v>
      </c>
      <c r="D12022" s="17" t="s">
        <v>1407</v>
      </c>
      <c r="E12022" s="17" t="s">
        <v>3882</v>
      </c>
      <c r="F12022" s="17"/>
      <c r="G12022" s="18" t="n">
        <v>0</v>
      </c>
      <c r="H12022" s="18" t="n">
        <v>24.93</v>
      </c>
      <c r="I12022" s="18" t="n">
        <f aca="false">((I12021 + G12022) - H12022)</f>
        <v>1257.55</v>
      </c>
      <c r="J12022" s="18" t="n">
        <v>0</v>
      </c>
      <c r="K12022" s="19" t="n">
        <v>0</v>
      </c>
      <c r="L12022" s="17"/>
    </row>
    <row r="12023" s="11" customFormat="true" ht="10.95" hidden="false" customHeight="true" outlineLevel="0" collapsed="false">
      <c r="A12023" s="16" t="n">
        <v>45471</v>
      </c>
      <c r="B12023" s="17" t="s">
        <v>4511</v>
      </c>
      <c r="C12023" s="17" t="s">
        <v>3752</v>
      </c>
      <c r="D12023" s="17" t="s">
        <v>1407</v>
      </c>
      <c r="E12023" s="17" t="s">
        <v>4512</v>
      </c>
      <c r="F12023" s="17"/>
      <c r="G12023" s="18" t="n">
        <v>0</v>
      </c>
      <c r="H12023" s="18" t="n">
        <v>15</v>
      </c>
      <c r="I12023" s="18" t="n">
        <f aca="false">((I12022 + G12023) - H12023)</f>
        <v>1242.55</v>
      </c>
      <c r="J12023" s="18" t="n">
        <v>0</v>
      </c>
      <c r="K12023" s="19" t="n">
        <v>0</v>
      </c>
      <c r="L12023" s="17"/>
    </row>
    <row r="12024" s="11" customFormat="true" ht="10.95" hidden="false" customHeight="true" outlineLevel="0" collapsed="false">
      <c r="A12024" s="16" t="n">
        <v>45473</v>
      </c>
      <c r="B12024" s="17" t="s">
        <v>4511</v>
      </c>
      <c r="C12024" s="17" t="s">
        <v>3752</v>
      </c>
      <c r="D12024" s="17"/>
      <c r="E12024" s="17" t="s">
        <v>2888</v>
      </c>
      <c r="F12024" s="17"/>
      <c r="G12024" s="18" t="n">
        <v>0</v>
      </c>
      <c r="H12024" s="18" t="n">
        <v>662.01</v>
      </c>
      <c r="I12024" s="18" t="n">
        <f aca="false">((I12023 + G12024) - H12024)</f>
        <v>580.540000000002</v>
      </c>
      <c r="J12024" s="18" t="n">
        <v>0</v>
      </c>
      <c r="K12024" s="19" t="n">
        <v>0</v>
      </c>
      <c r="L12024" s="17"/>
    </row>
    <row r="12025" s="11" customFormat="true" ht="10.95" hidden="false" customHeight="true" outlineLevel="0" collapsed="false">
      <c r="A12025" s="21" t="s">
        <v>4516</v>
      </c>
      <c r="B12025" s="21"/>
      <c r="C12025" s="21"/>
      <c r="D12025" s="21"/>
      <c r="E12025" s="21"/>
      <c r="F12025" s="21"/>
      <c r="G12025" s="22" t="n">
        <f aca="false">SUM(G11967:G12024)</f>
        <v>34268.73</v>
      </c>
      <c r="H12025" s="22" t="n">
        <f aca="false">SUM(H11967:H12024)</f>
        <v>35222.61</v>
      </c>
      <c r="I12025" s="22" t="n">
        <f aca="false">I12024</f>
        <v>580.540000000002</v>
      </c>
      <c r="J12025" s="22" t="n">
        <f aca="false">SUM(J11967:J12024)</f>
        <v>0</v>
      </c>
      <c r="K12025" s="21"/>
      <c r="L12025" s="21"/>
    </row>
    <row r="12026" s="11" customFormat="true" ht="10.95" hidden="false" customHeight="true" outlineLevel="0" collapsed="false">
      <c r="A12026" s="21" t="s">
        <v>784</v>
      </c>
      <c r="B12026" s="21"/>
      <c r="C12026" s="21"/>
      <c r="D12026" s="21"/>
      <c r="E12026" s="21"/>
      <c r="F12026" s="21"/>
      <c r="G12026" s="22" t="n">
        <v>0</v>
      </c>
      <c r="H12026" s="22" t="n">
        <v>953.88</v>
      </c>
      <c r="I12026" s="22" t="n">
        <v>0</v>
      </c>
      <c r="J12026" s="22" t="n">
        <v>0</v>
      </c>
      <c r="K12026" s="21"/>
      <c r="L12026" s="21"/>
    </row>
    <row r="12027" s="11" customFormat="true" ht="10.95" hidden="false" customHeight="true" outlineLevel="0" collapsed="false">
      <c r="A12027" s="9" t="s">
        <v>785</v>
      </c>
      <c r="B12027" s="9"/>
      <c r="C12027" s="9"/>
      <c r="D12027" s="9"/>
      <c r="E12027" s="9"/>
      <c r="F12027" s="9"/>
      <c r="G12027" s="10" t="n">
        <v>580.54</v>
      </c>
      <c r="H12027" s="10" t="n">
        <v>0</v>
      </c>
      <c r="I12027" s="10" t="n">
        <f aca="false">I12024</f>
        <v>580.540000000002</v>
      </c>
      <c r="J12027" s="10" t="n">
        <v>0</v>
      </c>
      <c r="K12027" s="9"/>
      <c r="L12027" s="9"/>
    </row>
    <row r="12028" customFormat="false" ht="13.35" hidden="false" customHeight="true" outlineLevel="0" collapsed="false"/>
    <row r="12029" s="7" customFormat="true" ht="12.1" hidden="false" customHeight="true" outlineLevel="0" collapsed="false">
      <c r="A12029" s="8" t="s">
        <v>4517</v>
      </c>
      <c r="B12029" s="8"/>
      <c r="C12029" s="8"/>
      <c r="D12029" s="8"/>
      <c r="E12029" s="8"/>
      <c r="F12029" s="8"/>
      <c r="G12029" s="8"/>
      <c r="H12029" s="8"/>
      <c r="I12029" s="8"/>
      <c r="J12029" s="8"/>
      <c r="K12029" s="8"/>
      <c r="L12029" s="8"/>
    </row>
    <row r="12030" s="11" customFormat="true" ht="10.95" hidden="false" customHeight="true" outlineLevel="0" collapsed="false">
      <c r="A12030" s="9" t="s">
        <v>16</v>
      </c>
      <c r="B12030" s="9"/>
      <c r="C12030" s="9"/>
      <c r="D12030" s="9"/>
      <c r="E12030" s="9"/>
      <c r="F12030" s="9"/>
      <c r="G12030" s="10" t="n">
        <v>4231.93</v>
      </c>
      <c r="H12030" s="10" t="n">
        <v>0</v>
      </c>
      <c r="I12030" s="10" t="n">
        <f aca="false">(G12030 - H12030)</f>
        <v>4231.93</v>
      </c>
      <c r="J12030" s="10" t="n">
        <v>0</v>
      </c>
      <c r="K12030" s="9"/>
      <c r="L12030" s="9"/>
    </row>
    <row r="12031" s="11" customFormat="true" ht="10.95" hidden="false" customHeight="true" outlineLevel="0" collapsed="false">
      <c r="A12031" s="12" t="n">
        <v>45108</v>
      </c>
      <c r="B12031" s="13" t="s">
        <v>4518</v>
      </c>
      <c r="C12031" s="13" t="s">
        <v>3614</v>
      </c>
      <c r="D12031" s="13" t="s">
        <v>1396</v>
      </c>
      <c r="E12031" s="13" t="s">
        <v>1397</v>
      </c>
      <c r="F12031" s="13" t="s">
        <v>1398</v>
      </c>
      <c r="G12031" s="14" t="n">
        <v>0</v>
      </c>
      <c r="H12031" s="14" t="n">
        <v>4231.93</v>
      </c>
      <c r="I12031" s="14" t="n">
        <f aca="false">((I12030 + G12031) - H12031)</f>
        <v>0</v>
      </c>
      <c r="J12031" s="14" t="n">
        <v>0</v>
      </c>
      <c r="K12031" s="15" t="n">
        <v>0</v>
      </c>
      <c r="L12031" s="13" t="s">
        <v>1399</v>
      </c>
    </row>
    <row r="12032" s="11" customFormat="true" ht="10.95" hidden="false" customHeight="true" outlineLevel="0" collapsed="false">
      <c r="A12032" s="21" t="s">
        <v>4519</v>
      </c>
      <c r="B12032" s="21"/>
      <c r="C12032" s="21"/>
      <c r="D12032" s="21"/>
      <c r="E12032" s="21"/>
      <c r="F12032" s="21"/>
      <c r="G12032" s="22" t="n">
        <f aca="false">G12031</f>
        <v>0</v>
      </c>
      <c r="H12032" s="22" t="n">
        <f aca="false">H12031</f>
        <v>4231.93</v>
      </c>
      <c r="I12032" s="22" t="n">
        <f aca="false">I12031</f>
        <v>0</v>
      </c>
      <c r="J12032" s="22" t="n">
        <f aca="false">J12031</f>
        <v>0</v>
      </c>
      <c r="K12032" s="21"/>
      <c r="L12032" s="21"/>
    </row>
    <row r="12033" s="11" customFormat="true" ht="10.95" hidden="false" customHeight="true" outlineLevel="0" collapsed="false">
      <c r="A12033" s="21" t="s">
        <v>784</v>
      </c>
      <c r="B12033" s="21"/>
      <c r="C12033" s="21"/>
      <c r="D12033" s="21"/>
      <c r="E12033" s="21"/>
      <c r="F12033" s="21"/>
      <c r="G12033" s="22" t="n">
        <v>0</v>
      </c>
      <c r="H12033" s="22" t="n">
        <v>4231.93</v>
      </c>
      <c r="I12033" s="22" t="n">
        <v>0</v>
      </c>
      <c r="J12033" s="22" t="n">
        <v>0</v>
      </c>
      <c r="K12033" s="21"/>
      <c r="L12033" s="21"/>
    </row>
    <row r="12034" s="11" customFormat="true" ht="10.95" hidden="false" customHeight="true" outlineLevel="0" collapsed="false">
      <c r="A12034" s="9" t="s">
        <v>785</v>
      </c>
      <c r="B12034" s="9"/>
      <c r="C12034" s="9"/>
      <c r="D12034" s="9"/>
      <c r="E12034" s="9"/>
      <c r="F12034" s="9"/>
      <c r="G12034" s="10" t="n">
        <v>0</v>
      </c>
      <c r="H12034" s="10" t="n">
        <v>0</v>
      </c>
      <c r="I12034" s="10" t="n">
        <f aca="false">I12031</f>
        <v>0</v>
      </c>
      <c r="J12034" s="10" t="n">
        <v>0</v>
      </c>
      <c r="K12034" s="9"/>
      <c r="L12034" s="9"/>
    </row>
    <row r="12035" customFormat="false" ht="13.35" hidden="false" customHeight="true" outlineLevel="0" collapsed="false"/>
    <row r="12036" s="7" customFormat="true" ht="12.1" hidden="false" customHeight="true" outlineLevel="0" collapsed="false">
      <c r="A12036" s="8" t="s">
        <v>4520</v>
      </c>
      <c r="B12036" s="8"/>
      <c r="C12036" s="8"/>
      <c r="D12036" s="8"/>
      <c r="E12036" s="8"/>
      <c r="F12036" s="8"/>
      <c r="G12036" s="8"/>
      <c r="H12036" s="8"/>
      <c r="I12036" s="8"/>
      <c r="J12036" s="8"/>
      <c r="K12036" s="8"/>
      <c r="L12036" s="8"/>
    </row>
    <row r="12037" s="11" customFormat="true" ht="10.95" hidden="false" customHeight="true" outlineLevel="0" collapsed="false">
      <c r="A12037" s="9" t="s">
        <v>16</v>
      </c>
      <c r="B12037" s="9"/>
      <c r="C12037" s="9"/>
      <c r="D12037" s="9"/>
      <c r="E12037" s="9"/>
      <c r="F12037" s="9"/>
      <c r="G12037" s="10" t="n">
        <v>2625.95</v>
      </c>
      <c r="H12037" s="10" t="n">
        <v>0</v>
      </c>
      <c r="I12037" s="10" t="n">
        <f aca="false">(G12037 - H12037)</f>
        <v>2625.95</v>
      </c>
      <c r="J12037" s="10" t="n">
        <v>0</v>
      </c>
      <c r="K12037" s="9"/>
      <c r="L12037" s="9"/>
    </row>
    <row r="12038" s="11" customFormat="true" ht="10.95" hidden="false" customHeight="true" outlineLevel="0" collapsed="false">
      <c r="A12038" s="12" t="n">
        <v>45112</v>
      </c>
      <c r="B12038" s="13" t="s">
        <v>4521</v>
      </c>
      <c r="C12038" s="13" t="s">
        <v>3614</v>
      </c>
      <c r="D12038" s="13" t="s">
        <v>1407</v>
      </c>
      <c r="E12038" s="13" t="s">
        <v>2170</v>
      </c>
      <c r="F12038" s="13"/>
      <c r="G12038" s="14" t="n">
        <v>1108</v>
      </c>
      <c r="H12038" s="14" t="n">
        <v>0</v>
      </c>
      <c r="I12038" s="14" t="n">
        <f aca="false">((I12037 + G12038) - H12038)</f>
        <v>3733.95</v>
      </c>
      <c r="J12038" s="14" t="n">
        <v>0</v>
      </c>
      <c r="K12038" s="15" t="n">
        <v>0</v>
      </c>
      <c r="L12038" s="13" t="s">
        <v>1399</v>
      </c>
    </row>
    <row r="12039" s="11" customFormat="true" ht="10.95" hidden="false" customHeight="true" outlineLevel="0" collapsed="false">
      <c r="A12039" s="16" t="n">
        <v>45112</v>
      </c>
      <c r="B12039" s="17" t="s">
        <v>4521</v>
      </c>
      <c r="C12039" s="17" t="s">
        <v>3614</v>
      </c>
      <c r="D12039" s="17" t="s">
        <v>1407</v>
      </c>
      <c r="E12039" s="17" t="s">
        <v>4522</v>
      </c>
      <c r="F12039" s="17"/>
      <c r="G12039" s="18" t="n">
        <v>1114</v>
      </c>
      <c r="H12039" s="18" t="n">
        <v>0</v>
      </c>
      <c r="I12039" s="18" t="n">
        <f aca="false">((I12038 + G12039) - H12039)</f>
        <v>4847.95</v>
      </c>
      <c r="J12039" s="18" t="n">
        <v>0</v>
      </c>
      <c r="K12039" s="19" t="n">
        <v>0</v>
      </c>
      <c r="L12039" s="17" t="s">
        <v>1399</v>
      </c>
    </row>
    <row r="12040" s="11" customFormat="true" ht="10.95" hidden="false" customHeight="true" outlineLevel="0" collapsed="false">
      <c r="A12040" s="16" t="n">
        <v>45112</v>
      </c>
      <c r="B12040" s="17" t="s">
        <v>4521</v>
      </c>
      <c r="C12040" s="17" t="s">
        <v>3614</v>
      </c>
      <c r="D12040" s="17" t="s">
        <v>1407</v>
      </c>
      <c r="E12040" s="17" t="s">
        <v>2169</v>
      </c>
      <c r="F12040" s="17"/>
      <c r="G12040" s="18" t="n">
        <v>1114</v>
      </c>
      <c r="H12040" s="18" t="n">
        <v>0</v>
      </c>
      <c r="I12040" s="18" t="n">
        <f aca="false">((I12039 + G12040) - H12040)</f>
        <v>5961.95</v>
      </c>
      <c r="J12040" s="18" t="n">
        <v>0</v>
      </c>
      <c r="K12040" s="19" t="n">
        <v>0</v>
      </c>
      <c r="L12040" s="17" t="s">
        <v>1399</v>
      </c>
    </row>
    <row r="12041" s="11" customFormat="true" ht="10.95" hidden="false" customHeight="true" outlineLevel="0" collapsed="false">
      <c r="A12041" s="16" t="n">
        <v>45112</v>
      </c>
      <c r="B12041" s="17" t="s">
        <v>4521</v>
      </c>
      <c r="C12041" s="17" t="s">
        <v>3614</v>
      </c>
      <c r="D12041" s="17" t="s">
        <v>1407</v>
      </c>
      <c r="E12041" s="17" t="s">
        <v>4523</v>
      </c>
      <c r="F12041" s="17"/>
      <c r="G12041" s="18" t="n">
        <v>1568.39</v>
      </c>
      <c r="H12041" s="18" t="n">
        <v>0</v>
      </c>
      <c r="I12041" s="18" t="n">
        <f aca="false">((I12040 + G12041) - H12041)</f>
        <v>7530.34</v>
      </c>
      <c r="J12041" s="18" t="n">
        <v>0</v>
      </c>
      <c r="K12041" s="19" t="n">
        <v>0</v>
      </c>
      <c r="L12041" s="17" t="s">
        <v>1399</v>
      </c>
    </row>
    <row r="12042" s="11" customFormat="true" ht="10.95" hidden="false" customHeight="true" outlineLevel="0" collapsed="false">
      <c r="A12042" s="16" t="n">
        <v>45113</v>
      </c>
      <c r="B12042" s="17" t="s">
        <v>4521</v>
      </c>
      <c r="C12042" s="17" t="s">
        <v>3614</v>
      </c>
      <c r="D12042" s="17" t="s">
        <v>2106</v>
      </c>
      <c r="E12042" s="17" t="s">
        <v>4524</v>
      </c>
      <c r="F12042" s="17" t="s">
        <v>2108</v>
      </c>
      <c r="G12042" s="18" t="n">
        <v>0</v>
      </c>
      <c r="H12042" s="18" t="n">
        <v>4920.38</v>
      </c>
      <c r="I12042" s="18" t="n">
        <f aca="false">((I12041 + G12042) - H12042)</f>
        <v>2609.96</v>
      </c>
      <c r="J12042" s="18" t="n">
        <v>0</v>
      </c>
      <c r="K12042" s="19" t="n">
        <v>0</v>
      </c>
      <c r="L12042" s="17" t="s">
        <v>1399</v>
      </c>
    </row>
    <row r="12043" s="11" customFormat="true" ht="10.95" hidden="false" customHeight="true" outlineLevel="0" collapsed="false">
      <c r="A12043" s="16" t="n">
        <v>45119</v>
      </c>
      <c r="B12043" s="17" t="s">
        <v>4521</v>
      </c>
      <c r="C12043" s="17" t="s">
        <v>3614</v>
      </c>
      <c r="D12043" s="17" t="s">
        <v>1407</v>
      </c>
      <c r="E12043" s="17" t="s">
        <v>2170</v>
      </c>
      <c r="F12043" s="17"/>
      <c r="G12043" s="18" t="n">
        <v>1108</v>
      </c>
      <c r="H12043" s="18" t="n">
        <v>0</v>
      </c>
      <c r="I12043" s="18" t="n">
        <f aca="false">((I12042 + G12043) - H12043)</f>
        <v>3717.96</v>
      </c>
      <c r="J12043" s="18" t="n">
        <v>0</v>
      </c>
      <c r="K12043" s="19" t="n">
        <v>0</v>
      </c>
      <c r="L12043" s="17" t="s">
        <v>1399</v>
      </c>
    </row>
    <row r="12044" s="11" customFormat="true" ht="10.95" hidden="false" customHeight="true" outlineLevel="0" collapsed="false">
      <c r="A12044" s="16" t="n">
        <v>45119</v>
      </c>
      <c r="B12044" s="17" t="s">
        <v>4521</v>
      </c>
      <c r="C12044" s="17" t="s">
        <v>3614</v>
      </c>
      <c r="D12044" s="17" t="s">
        <v>1407</v>
      </c>
      <c r="E12044" s="17" t="s">
        <v>4522</v>
      </c>
      <c r="F12044" s="17"/>
      <c r="G12044" s="18" t="n">
        <v>1114</v>
      </c>
      <c r="H12044" s="18" t="n">
        <v>0</v>
      </c>
      <c r="I12044" s="18" t="n">
        <f aca="false">((I12043 + G12044) - H12044)</f>
        <v>4831.96</v>
      </c>
      <c r="J12044" s="18" t="n">
        <v>0</v>
      </c>
      <c r="K12044" s="19" t="n">
        <v>0</v>
      </c>
      <c r="L12044" s="17" t="s">
        <v>1399</v>
      </c>
    </row>
    <row r="12045" s="11" customFormat="true" ht="10.95" hidden="false" customHeight="true" outlineLevel="0" collapsed="false">
      <c r="A12045" s="16" t="n">
        <v>45119</v>
      </c>
      <c r="B12045" s="17" t="s">
        <v>4521</v>
      </c>
      <c r="C12045" s="17" t="s">
        <v>3614</v>
      </c>
      <c r="D12045" s="17" t="s">
        <v>1407</v>
      </c>
      <c r="E12045" s="17" t="s">
        <v>2169</v>
      </c>
      <c r="F12045" s="17"/>
      <c r="G12045" s="18" t="n">
        <v>1114</v>
      </c>
      <c r="H12045" s="18" t="n">
        <v>0</v>
      </c>
      <c r="I12045" s="18" t="n">
        <f aca="false">((I12044 + G12045) - H12045)</f>
        <v>5945.96</v>
      </c>
      <c r="J12045" s="18" t="n">
        <v>0</v>
      </c>
      <c r="K12045" s="19" t="n">
        <v>0</v>
      </c>
      <c r="L12045" s="17" t="s">
        <v>1399</v>
      </c>
    </row>
    <row r="12046" s="11" customFormat="true" ht="10.95" hidden="false" customHeight="true" outlineLevel="0" collapsed="false">
      <c r="A12046" s="16" t="n">
        <v>45119</v>
      </c>
      <c r="B12046" s="17" t="s">
        <v>4521</v>
      </c>
      <c r="C12046" s="17" t="s">
        <v>3614</v>
      </c>
      <c r="D12046" s="17" t="s">
        <v>1407</v>
      </c>
      <c r="E12046" s="17" t="s">
        <v>4523</v>
      </c>
      <c r="F12046" s="17"/>
      <c r="G12046" s="18" t="n">
        <v>1568.39</v>
      </c>
      <c r="H12046" s="18" t="n">
        <v>0</v>
      </c>
      <c r="I12046" s="18" t="n">
        <f aca="false">((I12045 + G12046) - H12046)</f>
        <v>7514.35</v>
      </c>
      <c r="J12046" s="18" t="n">
        <v>0</v>
      </c>
      <c r="K12046" s="19" t="n">
        <v>0</v>
      </c>
      <c r="L12046" s="17" t="s">
        <v>1399</v>
      </c>
    </row>
    <row r="12047" s="11" customFormat="true" ht="10.95" hidden="false" customHeight="true" outlineLevel="0" collapsed="false">
      <c r="A12047" s="16" t="n">
        <v>45120</v>
      </c>
      <c r="B12047" s="17" t="s">
        <v>4521</v>
      </c>
      <c r="C12047" s="17" t="s">
        <v>3614</v>
      </c>
      <c r="D12047" s="17" t="s">
        <v>2106</v>
      </c>
      <c r="E12047" s="17" t="s">
        <v>4524</v>
      </c>
      <c r="F12047" s="17" t="s">
        <v>2110</v>
      </c>
      <c r="G12047" s="18" t="n">
        <v>0</v>
      </c>
      <c r="H12047" s="18" t="n">
        <v>4920.38</v>
      </c>
      <c r="I12047" s="18" t="n">
        <f aca="false">((I12046 + G12047) - H12047)</f>
        <v>2593.97</v>
      </c>
      <c r="J12047" s="18" t="n">
        <v>0</v>
      </c>
      <c r="K12047" s="19" t="n">
        <v>0</v>
      </c>
      <c r="L12047" s="17" t="s">
        <v>1399</v>
      </c>
    </row>
    <row r="12048" s="11" customFormat="true" ht="10.95" hidden="false" customHeight="true" outlineLevel="0" collapsed="false">
      <c r="A12048" s="16" t="n">
        <v>45120</v>
      </c>
      <c r="B12048" s="17" t="s">
        <v>4521</v>
      </c>
      <c r="C12048" s="17" t="s">
        <v>3614</v>
      </c>
      <c r="D12048" s="17" t="s">
        <v>2106</v>
      </c>
      <c r="E12048" s="17" t="s">
        <v>4524</v>
      </c>
      <c r="F12048" s="17" t="s">
        <v>2166</v>
      </c>
      <c r="G12048" s="18" t="n">
        <v>0</v>
      </c>
      <c r="H12048" s="18" t="n">
        <v>480</v>
      </c>
      <c r="I12048" s="18" t="n">
        <f aca="false">((I12047 + G12048) - H12048)</f>
        <v>2113.97</v>
      </c>
      <c r="J12048" s="18" t="n">
        <v>0</v>
      </c>
      <c r="K12048" s="19" t="n">
        <v>0</v>
      </c>
      <c r="L12048" s="17" t="s">
        <v>1399</v>
      </c>
    </row>
    <row r="12049" s="11" customFormat="true" ht="10.95" hidden="false" customHeight="true" outlineLevel="0" collapsed="false">
      <c r="A12049" s="16" t="n">
        <v>45120</v>
      </c>
      <c r="B12049" s="17" t="s">
        <v>4521</v>
      </c>
      <c r="C12049" s="17" t="s">
        <v>3614</v>
      </c>
      <c r="D12049" s="17" t="s">
        <v>1407</v>
      </c>
      <c r="E12049" s="17" t="s">
        <v>4525</v>
      </c>
      <c r="F12049" s="17"/>
      <c r="G12049" s="18" t="n">
        <v>480</v>
      </c>
      <c r="H12049" s="18" t="n">
        <v>0</v>
      </c>
      <c r="I12049" s="18" t="n">
        <f aca="false">((I12048 + G12049) - H12049)</f>
        <v>2593.97</v>
      </c>
      <c r="J12049" s="18" t="n">
        <v>0</v>
      </c>
      <c r="K12049" s="19" t="n">
        <v>0</v>
      </c>
      <c r="L12049" s="17" t="s">
        <v>1399</v>
      </c>
    </row>
    <row r="12050" s="11" customFormat="true" ht="10.95" hidden="false" customHeight="true" outlineLevel="0" collapsed="false">
      <c r="A12050" s="16" t="n">
        <v>45126</v>
      </c>
      <c r="B12050" s="17" t="s">
        <v>4521</v>
      </c>
      <c r="C12050" s="17" t="s">
        <v>3614</v>
      </c>
      <c r="D12050" s="17" t="s">
        <v>1407</v>
      </c>
      <c r="E12050" s="17" t="s">
        <v>2170</v>
      </c>
      <c r="F12050" s="17"/>
      <c r="G12050" s="18" t="n">
        <v>1108</v>
      </c>
      <c r="H12050" s="18" t="n">
        <v>0</v>
      </c>
      <c r="I12050" s="18" t="n">
        <f aca="false">((I12049 + G12050) - H12050)</f>
        <v>3701.97</v>
      </c>
      <c r="J12050" s="18" t="n">
        <v>0</v>
      </c>
      <c r="K12050" s="19" t="n">
        <v>0</v>
      </c>
      <c r="L12050" s="17" t="s">
        <v>1399</v>
      </c>
    </row>
    <row r="12051" s="11" customFormat="true" ht="10.95" hidden="false" customHeight="true" outlineLevel="0" collapsed="false">
      <c r="A12051" s="16" t="n">
        <v>45126</v>
      </c>
      <c r="B12051" s="17" t="s">
        <v>4521</v>
      </c>
      <c r="C12051" s="17" t="s">
        <v>3614</v>
      </c>
      <c r="D12051" s="17" t="s">
        <v>1407</v>
      </c>
      <c r="E12051" s="17" t="s">
        <v>4522</v>
      </c>
      <c r="F12051" s="17"/>
      <c r="G12051" s="18" t="n">
        <v>1114</v>
      </c>
      <c r="H12051" s="18" t="n">
        <v>0</v>
      </c>
      <c r="I12051" s="18" t="n">
        <f aca="false">((I12050 + G12051) - H12051)</f>
        <v>4815.97</v>
      </c>
      <c r="J12051" s="18" t="n">
        <v>0</v>
      </c>
      <c r="K12051" s="19" t="n">
        <v>0</v>
      </c>
      <c r="L12051" s="17" t="s">
        <v>1399</v>
      </c>
    </row>
    <row r="12052" s="11" customFormat="true" ht="10.95" hidden="false" customHeight="true" outlineLevel="0" collapsed="false">
      <c r="A12052" s="16" t="n">
        <v>45126</v>
      </c>
      <c r="B12052" s="17" t="s">
        <v>4521</v>
      </c>
      <c r="C12052" s="17" t="s">
        <v>3614</v>
      </c>
      <c r="D12052" s="17" t="s">
        <v>1407</v>
      </c>
      <c r="E12052" s="17" t="s">
        <v>2169</v>
      </c>
      <c r="F12052" s="17"/>
      <c r="G12052" s="18" t="n">
        <v>1114</v>
      </c>
      <c r="H12052" s="18" t="n">
        <v>0</v>
      </c>
      <c r="I12052" s="18" t="n">
        <f aca="false">((I12051 + G12052) - H12052)</f>
        <v>5929.97</v>
      </c>
      <c r="J12052" s="18" t="n">
        <v>0</v>
      </c>
      <c r="K12052" s="19" t="n">
        <v>0</v>
      </c>
      <c r="L12052" s="17" t="s">
        <v>1399</v>
      </c>
    </row>
    <row r="12053" s="11" customFormat="true" ht="10.95" hidden="false" customHeight="true" outlineLevel="0" collapsed="false">
      <c r="A12053" s="16" t="n">
        <v>45126</v>
      </c>
      <c r="B12053" s="17" t="s">
        <v>4521</v>
      </c>
      <c r="C12053" s="17" t="s">
        <v>3614</v>
      </c>
      <c r="D12053" s="17" t="s">
        <v>1407</v>
      </c>
      <c r="E12053" s="17" t="s">
        <v>4523</v>
      </c>
      <c r="F12053" s="17"/>
      <c r="G12053" s="18" t="n">
        <v>1568.39</v>
      </c>
      <c r="H12053" s="18" t="n">
        <v>0</v>
      </c>
      <c r="I12053" s="18" t="n">
        <f aca="false">((I12052 + G12053) - H12053)</f>
        <v>7498.36</v>
      </c>
      <c r="J12053" s="18" t="n">
        <v>0</v>
      </c>
      <c r="K12053" s="19" t="n">
        <v>0</v>
      </c>
      <c r="L12053" s="17" t="s">
        <v>1399</v>
      </c>
    </row>
    <row r="12054" s="11" customFormat="true" ht="10.95" hidden="false" customHeight="true" outlineLevel="0" collapsed="false">
      <c r="A12054" s="16" t="n">
        <v>45127</v>
      </c>
      <c r="B12054" s="17" t="s">
        <v>4521</v>
      </c>
      <c r="C12054" s="17" t="s">
        <v>3614</v>
      </c>
      <c r="D12054" s="17" t="s">
        <v>2106</v>
      </c>
      <c r="E12054" s="17" t="s">
        <v>4524</v>
      </c>
      <c r="F12054" s="17" t="s">
        <v>2111</v>
      </c>
      <c r="G12054" s="18" t="n">
        <v>0</v>
      </c>
      <c r="H12054" s="18" t="n">
        <v>5060.38</v>
      </c>
      <c r="I12054" s="18" t="n">
        <f aca="false">((I12053 + G12054) - H12054)</f>
        <v>2437.98</v>
      </c>
      <c r="J12054" s="18" t="n">
        <v>0</v>
      </c>
      <c r="K12054" s="19" t="n">
        <v>0</v>
      </c>
      <c r="L12054" s="17" t="s">
        <v>1399</v>
      </c>
    </row>
    <row r="12055" s="11" customFormat="true" ht="10.95" hidden="false" customHeight="true" outlineLevel="0" collapsed="false">
      <c r="A12055" s="16" t="n">
        <v>45127</v>
      </c>
      <c r="B12055" s="17" t="s">
        <v>4521</v>
      </c>
      <c r="C12055" s="17" t="s">
        <v>3614</v>
      </c>
      <c r="D12055" s="17" t="s">
        <v>1407</v>
      </c>
      <c r="E12055" s="17" t="s">
        <v>4526</v>
      </c>
      <c r="F12055" s="17"/>
      <c r="G12055" s="18" t="n">
        <v>140</v>
      </c>
      <c r="H12055" s="18" t="n">
        <v>0</v>
      </c>
      <c r="I12055" s="18" t="n">
        <f aca="false">((I12054 + G12055) - H12055)</f>
        <v>2577.98</v>
      </c>
      <c r="J12055" s="18" t="n">
        <v>0</v>
      </c>
      <c r="K12055" s="19" t="n">
        <v>0</v>
      </c>
      <c r="L12055" s="17" t="s">
        <v>1399</v>
      </c>
    </row>
    <row r="12056" s="11" customFormat="true" ht="10.95" hidden="false" customHeight="true" outlineLevel="0" collapsed="false">
      <c r="A12056" s="16" t="n">
        <v>45133</v>
      </c>
      <c r="B12056" s="17" t="s">
        <v>4521</v>
      </c>
      <c r="C12056" s="17" t="s">
        <v>3614</v>
      </c>
      <c r="D12056" s="17" t="s">
        <v>1407</v>
      </c>
      <c r="E12056" s="17" t="s">
        <v>4526</v>
      </c>
      <c r="F12056" s="17"/>
      <c r="G12056" s="18" t="n">
        <v>140</v>
      </c>
      <c r="H12056" s="18" t="n">
        <v>0</v>
      </c>
      <c r="I12056" s="18" t="n">
        <f aca="false">((I12055 + G12056) - H12056)</f>
        <v>2717.98</v>
      </c>
      <c r="J12056" s="18" t="n">
        <v>0</v>
      </c>
      <c r="K12056" s="19" t="n">
        <v>0</v>
      </c>
      <c r="L12056" s="17" t="s">
        <v>1399</v>
      </c>
    </row>
    <row r="12057" s="11" customFormat="true" ht="10.95" hidden="false" customHeight="true" outlineLevel="0" collapsed="false">
      <c r="A12057" s="16" t="n">
        <v>45133</v>
      </c>
      <c r="B12057" s="17" t="s">
        <v>4521</v>
      </c>
      <c r="C12057" s="17" t="s">
        <v>3614</v>
      </c>
      <c r="D12057" s="17" t="s">
        <v>1407</v>
      </c>
      <c r="E12057" s="17" t="s">
        <v>2170</v>
      </c>
      <c r="F12057" s="17"/>
      <c r="G12057" s="18" t="n">
        <v>1108</v>
      </c>
      <c r="H12057" s="18" t="n">
        <v>0</v>
      </c>
      <c r="I12057" s="18" t="n">
        <f aca="false">((I12056 + G12057) - H12057)</f>
        <v>3825.98</v>
      </c>
      <c r="J12057" s="18" t="n">
        <v>0</v>
      </c>
      <c r="K12057" s="19" t="n">
        <v>0</v>
      </c>
      <c r="L12057" s="17" t="s">
        <v>1399</v>
      </c>
    </row>
    <row r="12058" s="11" customFormat="true" ht="10.95" hidden="false" customHeight="true" outlineLevel="0" collapsed="false">
      <c r="A12058" s="16" t="n">
        <v>45133</v>
      </c>
      <c r="B12058" s="17" t="s">
        <v>4521</v>
      </c>
      <c r="C12058" s="17" t="s">
        <v>3614</v>
      </c>
      <c r="D12058" s="17" t="s">
        <v>1407</v>
      </c>
      <c r="E12058" s="17" t="s">
        <v>4522</v>
      </c>
      <c r="F12058" s="17"/>
      <c r="G12058" s="18" t="n">
        <v>1122</v>
      </c>
      <c r="H12058" s="18" t="n">
        <v>0</v>
      </c>
      <c r="I12058" s="18" t="n">
        <f aca="false">((I12057 + G12058) - H12058)</f>
        <v>4947.98</v>
      </c>
      <c r="J12058" s="18" t="n">
        <v>0</v>
      </c>
      <c r="K12058" s="19" t="n">
        <v>0</v>
      </c>
      <c r="L12058" s="17" t="s">
        <v>1399</v>
      </c>
    </row>
    <row r="12059" s="11" customFormat="true" ht="10.95" hidden="false" customHeight="true" outlineLevel="0" collapsed="false">
      <c r="A12059" s="16" t="n">
        <v>45133</v>
      </c>
      <c r="B12059" s="17" t="s">
        <v>4521</v>
      </c>
      <c r="C12059" s="17" t="s">
        <v>3614</v>
      </c>
      <c r="D12059" s="17" t="s">
        <v>1407</v>
      </c>
      <c r="E12059" s="17" t="s">
        <v>2169</v>
      </c>
      <c r="F12059" s="17"/>
      <c r="G12059" s="18" t="n">
        <v>1122</v>
      </c>
      <c r="H12059" s="18" t="n">
        <v>0</v>
      </c>
      <c r="I12059" s="18" t="n">
        <f aca="false">((I12058 + G12059) - H12059)</f>
        <v>6069.98</v>
      </c>
      <c r="J12059" s="18" t="n">
        <v>0</v>
      </c>
      <c r="K12059" s="19" t="n">
        <v>0</v>
      </c>
      <c r="L12059" s="17" t="s">
        <v>1399</v>
      </c>
    </row>
    <row r="12060" s="11" customFormat="true" ht="10.95" hidden="false" customHeight="true" outlineLevel="0" collapsed="false">
      <c r="A12060" s="16" t="n">
        <v>45133</v>
      </c>
      <c r="B12060" s="17" t="s">
        <v>4521</v>
      </c>
      <c r="C12060" s="17" t="s">
        <v>3614</v>
      </c>
      <c r="D12060" s="17" t="s">
        <v>1407</v>
      </c>
      <c r="E12060" s="17" t="s">
        <v>4523</v>
      </c>
      <c r="F12060" s="17"/>
      <c r="G12060" s="18" t="n">
        <v>1568.38</v>
      </c>
      <c r="H12060" s="18" t="n">
        <v>0</v>
      </c>
      <c r="I12060" s="18" t="n">
        <f aca="false">((I12059 + G12060) - H12060)</f>
        <v>7638.36</v>
      </c>
      <c r="J12060" s="18" t="n">
        <v>0</v>
      </c>
      <c r="K12060" s="19" t="n">
        <v>0</v>
      </c>
      <c r="L12060" s="17" t="s">
        <v>1399</v>
      </c>
    </row>
    <row r="12061" s="11" customFormat="true" ht="10.95" hidden="false" customHeight="true" outlineLevel="0" collapsed="false">
      <c r="A12061" s="16" t="n">
        <v>45134</v>
      </c>
      <c r="B12061" s="17" t="s">
        <v>4521</v>
      </c>
      <c r="C12061" s="17" t="s">
        <v>3614</v>
      </c>
      <c r="D12061" s="17" t="s">
        <v>2106</v>
      </c>
      <c r="E12061" s="17" t="s">
        <v>4524</v>
      </c>
      <c r="F12061" s="17" t="s">
        <v>2112</v>
      </c>
      <c r="G12061" s="18" t="n">
        <v>0</v>
      </c>
      <c r="H12061" s="18" t="n">
        <v>5060.38</v>
      </c>
      <c r="I12061" s="18" t="n">
        <f aca="false">((I12060 + G12061) - H12061)</f>
        <v>2577.98</v>
      </c>
      <c r="J12061" s="18" t="n">
        <v>0</v>
      </c>
      <c r="K12061" s="19" t="n">
        <v>0</v>
      </c>
      <c r="L12061" s="17" t="s">
        <v>1399</v>
      </c>
    </row>
    <row r="12062" s="11" customFormat="true" ht="10.95" hidden="false" customHeight="true" outlineLevel="0" collapsed="false">
      <c r="A12062" s="16" t="n">
        <v>45134</v>
      </c>
      <c r="B12062" s="17" t="s">
        <v>4521</v>
      </c>
      <c r="C12062" s="17" t="s">
        <v>3614</v>
      </c>
      <c r="D12062" s="17" t="s">
        <v>1407</v>
      </c>
      <c r="E12062" s="17" t="s">
        <v>4527</v>
      </c>
      <c r="F12062" s="17"/>
      <c r="G12062" s="18" t="n">
        <v>1100</v>
      </c>
      <c r="H12062" s="18" t="n">
        <v>0</v>
      </c>
      <c r="I12062" s="18" t="n">
        <f aca="false">((I12061 + G12062) - H12062)</f>
        <v>3677.98</v>
      </c>
      <c r="J12062" s="18" t="n">
        <v>0</v>
      </c>
      <c r="K12062" s="19" t="n">
        <v>0</v>
      </c>
      <c r="L12062" s="17" t="s">
        <v>1399</v>
      </c>
    </row>
    <row r="12063" s="11" customFormat="true" ht="10.95" hidden="false" customHeight="true" outlineLevel="0" collapsed="false">
      <c r="A12063" s="16" t="n">
        <v>45139</v>
      </c>
      <c r="B12063" s="17" t="s">
        <v>4521</v>
      </c>
      <c r="C12063" s="17" t="s">
        <v>3614</v>
      </c>
      <c r="D12063" s="17" t="s">
        <v>1407</v>
      </c>
      <c r="E12063" s="17" t="s">
        <v>2170</v>
      </c>
      <c r="F12063" s="17"/>
      <c r="G12063" s="18" t="n">
        <v>1108</v>
      </c>
      <c r="H12063" s="18" t="n">
        <v>0</v>
      </c>
      <c r="I12063" s="18" t="n">
        <f aca="false">((I12062 + G12063) - H12063)</f>
        <v>4785.98</v>
      </c>
      <c r="J12063" s="18" t="n">
        <v>0</v>
      </c>
      <c r="K12063" s="19" t="n">
        <v>0</v>
      </c>
      <c r="L12063" s="17" t="s">
        <v>1399</v>
      </c>
    </row>
    <row r="12064" s="11" customFormat="true" ht="10.95" hidden="false" customHeight="true" outlineLevel="0" collapsed="false">
      <c r="A12064" s="16" t="n">
        <v>45140</v>
      </c>
      <c r="B12064" s="17" t="s">
        <v>4521</v>
      </c>
      <c r="C12064" s="17" t="s">
        <v>3614</v>
      </c>
      <c r="D12064" s="17" t="s">
        <v>1407</v>
      </c>
      <c r="E12064" s="17" t="s">
        <v>4526</v>
      </c>
      <c r="F12064" s="17"/>
      <c r="G12064" s="18" t="n">
        <v>140</v>
      </c>
      <c r="H12064" s="18" t="n">
        <v>0</v>
      </c>
      <c r="I12064" s="18" t="n">
        <f aca="false">((I12063 + G12064) - H12064)</f>
        <v>4925.98</v>
      </c>
      <c r="J12064" s="18" t="n">
        <v>0</v>
      </c>
      <c r="K12064" s="19" t="n">
        <v>0</v>
      </c>
      <c r="L12064" s="17" t="s">
        <v>1399</v>
      </c>
    </row>
    <row r="12065" s="11" customFormat="true" ht="10.95" hidden="false" customHeight="true" outlineLevel="0" collapsed="false">
      <c r="A12065" s="16" t="n">
        <v>45140</v>
      </c>
      <c r="B12065" s="17" t="s">
        <v>4521</v>
      </c>
      <c r="C12065" s="17" t="s">
        <v>3614</v>
      </c>
      <c r="D12065" s="17" t="s">
        <v>1407</v>
      </c>
      <c r="E12065" s="17" t="s">
        <v>2169</v>
      </c>
      <c r="F12065" s="17"/>
      <c r="G12065" s="18" t="n">
        <v>1122</v>
      </c>
      <c r="H12065" s="18" t="n">
        <v>0</v>
      </c>
      <c r="I12065" s="18" t="n">
        <f aca="false">((I12064 + G12065) - H12065)</f>
        <v>6047.98</v>
      </c>
      <c r="J12065" s="18" t="n">
        <v>0</v>
      </c>
      <c r="K12065" s="19" t="n">
        <v>0</v>
      </c>
      <c r="L12065" s="17" t="s">
        <v>1399</v>
      </c>
    </row>
    <row r="12066" s="11" customFormat="true" ht="10.95" hidden="false" customHeight="true" outlineLevel="0" collapsed="false">
      <c r="A12066" s="16" t="n">
        <v>45140</v>
      </c>
      <c r="B12066" s="17" t="s">
        <v>4521</v>
      </c>
      <c r="C12066" s="17" t="s">
        <v>3614</v>
      </c>
      <c r="D12066" s="17" t="s">
        <v>1407</v>
      </c>
      <c r="E12066" s="17" t="s">
        <v>4522</v>
      </c>
      <c r="F12066" s="17"/>
      <c r="G12066" s="18" t="n">
        <v>1122</v>
      </c>
      <c r="H12066" s="18" t="n">
        <v>0</v>
      </c>
      <c r="I12066" s="18" t="n">
        <f aca="false">((I12065 + G12066) - H12066)</f>
        <v>7169.98</v>
      </c>
      <c r="J12066" s="18" t="n">
        <v>0</v>
      </c>
      <c r="K12066" s="19" t="n">
        <v>0</v>
      </c>
      <c r="L12066" s="17" t="s">
        <v>1399</v>
      </c>
    </row>
    <row r="12067" s="11" customFormat="true" ht="10.95" hidden="false" customHeight="true" outlineLevel="0" collapsed="false">
      <c r="A12067" s="16" t="n">
        <v>45140</v>
      </c>
      <c r="B12067" s="17" t="s">
        <v>4521</v>
      </c>
      <c r="C12067" s="17" t="s">
        <v>3614</v>
      </c>
      <c r="D12067" s="17" t="s">
        <v>1407</v>
      </c>
      <c r="E12067" s="17" t="s">
        <v>4523</v>
      </c>
      <c r="F12067" s="17"/>
      <c r="G12067" s="18" t="n">
        <v>1568.38</v>
      </c>
      <c r="H12067" s="18" t="n">
        <v>0</v>
      </c>
      <c r="I12067" s="18" t="n">
        <f aca="false">((I12066 + G12067) - H12067)</f>
        <v>8738.36</v>
      </c>
      <c r="J12067" s="18" t="n">
        <v>0</v>
      </c>
      <c r="K12067" s="19" t="n">
        <v>0</v>
      </c>
      <c r="L12067" s="17" t="s">
        <v>1399</v>
      </c>
    </row>
    <row r="12068" s="11" customFormat="true" ht="10.95" hidden="false" customHeight="true" outlineLevel="0" collapsed="false">
      <c r="A12068" s="16" t="n">
        <v>45141</v>
      </c>
      <c r="B12068" s="17" t="s">
        <v>4521</v>
      </c>
      <c r="C12068" s="17" t="s">
        <v>3614</v>
      </c>
      <c r="D12068" s="17" t="s">
        <v>2106</v>
      </c>
      <c r="E12068" s="17" t="s">
        <v>4524</v>
      </c>
      <c r="F12068" s="17" t="s">
        <v>2113</v>
      </c>
      <c r="G12068" s="18" t="n">
        <v>0</v>
      </c>
      <c r="H12068" s="18" t="n">
        <v>5049.38</v>
      </c>
      <c r="I12068" s="18" t="n">
        <f aca="false">((I12067 + G12068) - H12068)</f>
        <v>3688.98</v>
      </c>
      <c r="J12068" s="18" t="n">
        <v>0</v>
      </c>
      <c r="K12068" s="19" t="n">
        <v>0</v>
      </c>
      <c r="L12068" s="17" t="s">
        <v>1399</v>
      </c>
    </row>
    <row r="12069" s="11" customFormat="true" ht="10.95" hidden="false" customHeight="true" outlineLevel="0" collapsed="false">
      <c r="A12069" s="16" t="n">
        <v>45146</v>
      </c>
      <c r="B12069" s="17" t="s">
        <v>4521</v>
      </c>
      <c r="C12069" s="17" t="s">
        <v>3614</v>
      </c>
      <c r="D12069" s="17" t="s">
        <v>1407</v>
      </c>
      <c r="E12069" s="17" t="s">
        <v>2170</v>
      </c>
      <c r="F12069" s="17"/>
      <c r="G12069" s="18" t="n">
        <v>1108</v>
      </c>
      <c r="H12069" s="18" t="n">
        <v>0</v>
      </c>
      <c r="I12069" s="18" t="n">
        <f aca="false">((I12068 + G12069) - H12069)</f>
        <v>4796.98</v>
      </c>
      <c r="J12069" s="18" t="n">
        <v>0</v>
      </c>
      <c r="K12069" s="19" t="n">
        <v>0</v>
      </c>
      <c r="L12069" s="17" t="s">
        <v>1399</v>
      </c>
    </row>
    <row r="12070" s="11" customFormat="true" ht="10.95" hidden="false" customHeight="true" outlineLevel="0" collapsed="false">
      <c r="A12070" s="16" t="n">
        <v>45147</v>
      </c>
      <c r="B12070" s="17" t="s">
        <v>4521</v>
      </c>
      <c r="C12070" s="17" t="s">
        <v>3614</v>
      </c>
      <c r="D12070" s="17" t="s">
        <v>1407</v>
      </c>
      <c r="E12070" s="17" t="s">
        <v>4526</v>
      </c>
      <c r="F12070" s="17"/>
      <c r="G12070" s="18" t="n">
        <v>140</v>
      </c>
      <c r="H12070" s="18" t="n">
        <v>0</v>
      </c>
      <c r="I12070" s="18" t="n">
        <f aca="false">((I12069 + G12070) - H12070)</f>
        <v>4936.98</v>
      </c>
      <c r="J12070" s="18" t="n">
        <v>0</v>
      </c>
      <c r="K12070" s="19" t="n">
        <v>0</v>
      </c>
      <c r="L12070" s="17" t="s">
        <v>1399</v>
      </c>
    </row>
    <row r="12071" s="11" customFormat="true" ht="10.95" hidden="false" customHeight="true" outlineLevel="0" collapsed="false">
      <c r="A12071" s="16" t="n">
        <v>45147</v>
      </c>
      <c r="B12071" s="17" t="s">
        <v>4521</v>
      </c>
      <c r="C12071" s="17" t="s">
        <v>3614</v>
      </c>
      <c r="D12071" s="17" t="s">
        <v>1407</v>
      </c>
      <c r="E12071" s="17" t="s">
        <v>4522</v>
      </c>
      <c r="F12071" s="17"/>
      <c r="G12071" s="18" t="n">
        <v>1122</v>
      </c>
      <c r="H12071" s="18" t="n">
        <v>0</v>
      </c>
      <c r="I12071" s="18" t="n">
        <f aca="false">((I12070 + G12071) - H12071)</f>
        <v>6058.98</v>
      </c>
      <c r="J12071" s="18" t="n">
        <v>0</v>
      </c>
      <c r="K12071" s="19" t="n">
        <v>0</v>
      </c>
      <c r="L12071" s="17" t="s">
        <v>1399</v>
      </c>
    </row>
    <row r="12072" s="11" customFormat="true" ht="10.95" hidden="false" customHeight="true" outlineLevel="0" collapsed="false">
      <c r="A12072" s="16" t="n">
        <v>45147</v>
      </c>
      <c r="B12072" s="17" t="s">
        <v>4521</v>
      </c>
      <c r="C12072" s="17" t="s">
        <v>3614</v>
      </c>
      <c r="D12072" s="17" t="s">
        <v>1407</v>
      </c>
      <c r="E12072" s="17" t="s">
        <v>2169</v>
      </c>
      <c r="F12072" s="17"/>
      <c r="G12072" s="18" t="n">
        <v>1122</v>
      </c>
      <c r="H12072" s="18" t="n">
        <v>0</v>
      </c>
      <c r="I12072" s="18" t="n">
        <f aca="false">((I12071 + G12072) - H12072)</f>
        <v>7180.98</v>
      </c>
      <c r="J12072" s="18" t="n">
        <v>0</v>
      </c>
      <c r="K12072" s="19" t="n">
        <v>0</v>
      </c>
      <c r="L12072" s="17" t="s">
        <v>1399</v>
      </c>
    </row>
    <row r="12073" s="11" customFormat="true" ht="10.95" hidden="false" customHeight="true" outlineLevel="0" collapsed="false">
      <c r="A12073" s="16" t="n">
        <v>45147</v>
      </c>
      <c r="B12073" s="17" t="s">
        <v>4521</v>
      </c>
      <c r="C12073" s="17" t="s">
        <v>3614</v>
      </c>
      <c r="D12073" s="17" t="s">
        <v>1407</v>
      </c>
      <c r="E12073" s="17" t="s">
        <v>4523</v>
      </c>
      <c r="F12073" s="17"/>
      <c r="G12073" s="18" t="n">
        <v>1568.38</v>
      </c>
      <c r="H12073" s="18" t="n">
        <v>0</v>
      </c>
      <c r="I12073" s="18" t="n">
        <f aca="false">((I12072 + G12073) - H12073)</f>
        <v>8749.36</v>
      </c>
      <c r="J12073" s="18" t="n">
        <v>0</v>
      </c>
      <c r="K12073" s="19" t="n">
        <v>0</v>
      </c>
      <c r="L12073" s="17" t="s">
        <v>1399</v>
      </c>
    </row>
    <row r="12074" s="11" customFormat="true" ht="10.95" hidden="false" customHeight="true" outlineLevel="0" collapsed="false">
      <c r="A12074" s="16" t="n">
        <v>45148</v>
      </c>
      <c r="B12074" s="17" t="s">
        <v>4521</v>
      </c>
      <c r="C12074" s="17" t="s">
        <v>3614</v>
      </c>
      <c r="D12074" s="17" t="s">
        <v>2106</v>
      </c>
      <c r="E12074" s="17" t="s">
        <v>4524</v>
      </c>
      <c r="F12074" s="17" t="s">
        <v>2114</v>
      </c>
      <c r="G12074" s="18" t="n">
        <v>0</v>
      </c>
      <c r="H12074" s="18" t="n">
        <v>5448.12</v>
      </c>
      <c r="I12074" s="18" t="n">
        <f aca="false">((I12073 + G12074) - H12074)</f>
        <v>3301.24</v>
      </c>
      <c r="J12074" s="18" t="n">
        <v>0</v>
      </c>
      <c r="K12074" s="19" t="n">
        <v>0</v>
      </c>
      <c r="L12074" s="17" t="s">
        <v>1399</v>
      </c>
    </row>
    <row r="12075" s="11" customFormat="true" ht="10.95" hidden="false" customHeight="true" outlineLevel="0" collapsed="false">
      <c r="A12075" s="16" t="n">
        <v>45151</v>
      </c>
      <c r="B12075" s="17" t="s">
        <v>4521</v>
      </c>
      <c r="C12075" s="17" t="s">
        <v>3614</v>
      </c>
      <c r="D12075" s="17" t="s">
        <v>1407</v>
      </c>
      <c r="E12075" s="17" t="s">
        <v>4528</v>
      </c>
      <c r="F12075" s="17"/>
      <c r="G12075" s="18" t="n">
        <v>38</v>
      </c>
      <c r="H12075" s="18" t="n">
        <v>0</v>
      </c>
      <c r="I12075" s="18" t="n">
        <f aca="false">((I12074 + G12075) - H12075)</f>
        <v>3339.24</v>
      </c>
      <c r="J12075" s="18" t="n">
        <v>0</v>
      </c>
      <c r="K12075" s="19" t="n">
        <v>0</v>
      </c>
      <c r="L12075" s="17" t="s">
        <v>1399</v>
      </c>
    </row>
    <row r="12076" s="11" customFormat="true" ht="10.95" hidden="false" customHeight="true" outlineLevel="0" collapsed="false">
      <c r="A12076" s="16" t="n">
        <v>45151</v>
      </c>
      <c r="B12076" s="17" t="s">
        <v>4521</v>
      </c>
      <c r="C12076" s="17" t="s">
        <v>3614</v>
      </c>
      <c r="D12076" s="17" t="s">
        <v>1407</v>
      </c>
      <c r="E12076" s="17" t="s">
        <v>4528</v>
      </c>
      <c r="F12076" s="17"/>
      <c r="G12076" s="18" t="n">
        <v>70.2</v>
      </c>
      <c r="H12076" s="18" t="n">
        <v>0</v>
      </c>
      <c r="I12076" s="18" t="n">
        <f aca="false">((I12075 + G12076) - H12076)</f>
        <v>3409.44</v>
      </c>
      <c r="J12076" s="18" t="n">
        <v>0</v>
      </c>
      <c r="K12076" s="19" t="n">
        <v>0</v>
      </c>
      <c r="L12076" s="17" t="s">
        <v>1399</v>
      </c>
    </row>
    <row r="12077" s="11" customFormat="true" ht="10.95" hidden="false" customHeight="true" outlineLevel="0" collapsed="false">
      <c r="A12077" s="16" t="n">
        <v>45151</v>
      </c>
      <c r="B12077" s="17" t="s">
        <v>4521</v>
      </c>
      <c r="C12077" s="17" t="s">
        <v>3614</v>
      </c>
      <c r="D12077" s="17" t="s">
        <v>1407</v>
      </c>
      <c r="E12077" s="17" t="s">
        <v>4529</v>
      </c>
      <c r="F12077" s="17"/>
      <c r="G12077" s="18" t="n">
        <v>85</v>
      </c>
      <c r="H12077" s="18" t="n">
        <v>0</v>
      </c>
      <c r="I12077" s="18" t="n">
        <f aca="false">((I12076 + G12077) - H12077)</f>
        <v>3494.44</v>
      </c>
      <c r="J12077" s="18" t="n">
        <v>0</v>
      </c>
      <c r="K12077" s="19" t="n">
        <v>0</v>
      </c>
      <c r="L12077" s="17" t="s">
        <v>1399</v>
      </c>
    </row>
    <row r="12078" s="11" customFormat="true" ht="10.95" hidden="false" customHeight="true" outlineLevel="0" collapsed="false">
      <c r="A12078" s="16" t="n">
        <v>45151</v>
      </c>
      <c r="B12078" s="17" t="s">
        <v>4521</v>
      </c>
      <c r="C12078" s="17" t="s">
        <v>3614</v>
      </c>
      <c r="D12078" s="17" t="s">
        <v>1407</v>
      </c>
      <c r="E12078" s="17" t="s">
        <v>4530</v>
      </c>
      <c r="F12078" s="17"/>
      <c r="G12078" s="18" t="n">
        <v>85</v>
      </c>
      <c r="H12078" s="18" t="n">
        <v>0</v>
      </c>
      <c r="I12078" s="18" t="n">
        <f aca="false">((I12077 + G12078) - H12078)</f>
        <v>3579.44</v>
      </c>
      <c r="J12078" s="18" t="n">
        <v>0</v>
      </c>
      <c r="K12078" s="19" t="n">
        <v>0</v>
      </c>
      <c r="L12078" s="17" t="s">
        <v>1399</v>
      </c>
    </row>
    <row r="12079" s="11" customFormat="true" ht="10.95" hidden="false" customHeight="true" outlineLevel="0" collapsed="false">
      <c r="A12079" s="16" t="n">
        <v>45151</v>
      </c>
      <c r="B12079" s="17" t="s">
        <v>4521</v>
      </c>
      <c r="C12079" s="17" t="s">
        <v>3614</v>
      </c>
      <c r="D12079" s="17" t="s">
        <v>1407</v>
      </c>
      <c r="E12079" s="17" t="s">
        <v>4531</v>
      </c>
      <c r="F12079" s="17"/>
      <c r="G12079" s="18" t="n">
        <v>137.92</v>
      </c>
      <c r="H12079" s="18" t="n">
        <v>0</v>
      </c>
      <c r="I12079" s="18" t="n">
        <f aca="false">((I12078 + G12079) - H12079)</f>
        <v>3717.36</v>
      </c>
      <c r="J12079" s="18" t="n">
        <v>0</v>
      </c>
      <c r="K12079" s="19" t="n">
        <v>0</v>
      </c>
      <c r="L12079" s="17" t="s">
        <v>1399</v>
      </c>
    </row>
    <row r="12080" s="11" customFormat="true" ht="10.95" hidden="false" customHeight="true" outlineLevel="0" collapsed="false">
      <c r="A12080" s="16" t="n">
        <v>45153</v>
      </c>
      <c r="B12080" s="17" t="s">
        <v>4521</v>
      </c>
      <c r="C12080" s="17" t="s">
        <v>3614</v>
      </c>
      <c r="D12080" s="17" t="s">
        <v>1407</v>
      </c>
      <c r="E12080" s="17" t="s">
        <v>2170</v>
      </c>
      <c r="F12080" s="17"/>
      <c r="G12080" s="18" t="n">
        <v>1188.2</v>
      </c>
      <c r="H12080" s="18" t="n">
        <v>0</v>
      </c>
      <c r="I12080" s="18" t="n">
        <f aca="false">((I12079 + G12080) - H12080)</f>
        <v>4905.56</v>
      </c>
      <c r="J12080" s="18" t="n">
        <v>0</v>
      </c>
      <c r="K12080" s="19" t="n">
        <v>0</v>
      </c>
      <c r="L12080" s="17" t="s">
        <v>1399</v>
      </c>
    </row>
    <row r="12081" s="11" customFormat="true" ht="10.95" hidden="false" customHeight="true" outlineLevel="0" collapsed="false">
      <c r="A12081" s="16" t="n">
        <v>45154</v>
      </c>
      <c r="B12081" s="17" t="s">
        <v>4521</v>
      </c>
      <c r="C12081" s="17" t="s">
        <v>3614</v>
      </c>
      <c r="D12081" s="17" t="s">
        <v>1407</v>
      </c>
      <c r="E12081" s="17" t="s">
        <v>4526</v>
      </c>
      <c r="F12081" s="17"/>
      <c r="G12081" s="18" t="n">
        <v>140</v>
      </c>
      <c r="H12081" s="18" t="n">
        <v>0</v>
      </c>
      <c r="I12081" s="18" t="n">
        <f aca="false">((I12080 + G12081) - H12081)</f>
        <v>5045.56</v>
      </c>
      <c r="J12081" s="18" t="n">
        <v>0</v>
      </c>
      <c r="K12081" s="19" t="n">
        <v>0</v>
      </c>
      <c r="L12081" s="17" t="s">
        <v>1399</v>
      </c>
    </row>
    <row r="12082" s="11" customFormat="true" ht="10.95" hidden="false" customHeight="true" outlineLevel="0" collapsed="false">
      <c r="A12082" s="16" t="n">
        <v>45154</v>
      </c>
      <c r="B12082" s="17" t="s">
        <v>4521</v>
      </c>
      <c r="C12082" s="17" t="s">
        <v>3614</v>
      </c>
      <c r="D12082" s="17" t="s">
        <v>1407</v>
      </c>
      <c r="E12082" s="17" t="s">
        <v>4522</v>
      </c>
      <c r="F12082" s="17"/>
      <c r="G12082" s="18" t="n">
        <v>1207</v>
      </c>
      <c r="H12082" s="18" t="n">
        <v>0</v>
      </c>
      <c r="I12082" s="18" t="n">
        <f aca="false">((I12081 + G12082) - H12082)</f>
        <v>6252.56</v>
      </c>
      <c r="J12082" s="18" t="n">
        <v>0</v>
      </c>
      <c r="K12082" s="19" t="n">
        <v>0</v>
      </c>
      <c r="L12082" s="17" t="s">
        <v>1399</v>
      </c>
    </row>
    <row r="12083" s="11" customFormat="true" ht="10.95" hidden="false" customHeight="true" outlineLevel="0" collapsed="false">
      <c r="A12083" s="16" t="n">
        <v>45154</v>
      </c>
      <c r="B12083" s="17" t="s">
        <v>4521</v>
      </c>
      <c r="C12083" s="17" t="s">
        <v>3614</v>
      </c>
      <c r="D12083" s="17" t="s">
        <v>1407</v>
      </c>
      <c r="E12083" s="17" t="s">
        <v>2169</v>
      </c>
      <c r="F12083" s="17"/>
      <c r="G12083" s="18" t="n">
        <v>1207</v>
      </c>
      <c r="H12083" s="18" t="n">
        <v>0</v>
      </c>
      <c r="I12083" s="18" t="n">
        <f aca="false">((I12082 + G12083) - H12083)</f>
        <v>7459.56</v>
      </c>
      <c r="J12083" s="18" t="n">
        <v>0</v>
      </c>
      <c r="K12083" s="19" t="n">
        <v>0</v>
      </c>
      <c r="L12083" s="17" t="s">
        <v>1399</v>
      </c>
    </row>
    <row r="12084" s="11" customFormat="true" ht="10.95" hidden="false" customHeight="true" outlineLevel="0" collapsed="false">
      <c r="A12084" s="16" t="n">
        <v>45154</v>
      </c>
      <c r="B12084" s="17" t="s">
        <v>4521</v>
      </c>
      <c r="C12084" s="17" t="s">
        <v>3614</v>
      </c>
      <c r="D12084" s="17" t="s">
        <v>1407</v>
      </c>
      <c r="E12084" s="17" t="s">
        <v>4523</v>
      </c>
      <c r="F12084" s="17"/>
      <c r="G12084" s="18" t="n">
        <v>1705.92</v>
      </c>
      <c r="H12084" s="18" t="n">
        <v>0</v>
      </c>
      <c r="I12084" s="18" t="n">
        <f aca="false">((I12083 + G12084) - H12084)</f>
        <v>9165.48</v>
      </c>
      <c r="J12084" s="18" t="n">
        <v>0</v>
      </c>
      <c r="K12084" s="19" t="n">
        <v>0</v>
      </c>
      <c r="L12084" s="17" t="s">
        <v>1399</v>
      </c>
    </row>
    <row r="12085" s="11" customFormat="true" ht="10.95" hidden="false" customHeight="true" outlineLevel="0" collapsed="false">
      <c r="A12085" s="16" t="n">
        <v>45155</v>
      </c>
      <c r="B12085" s="17" t="s">
        <v>4521</v>
      </c>
      <c r="C12085" s="17" t="s">
        <v>3614</v>
      </c>
      <c r="D12085" s="17" t="s">
        <v>2106</v>
      </c>
      <c r="E12085" s="17" t="s">
        <v>4524</v>
      </c>
      <c r="F12085" s="17" t="s">
        <v>2115</v>
      </c>
      <c r="G12085" s="18" t="n">
        <v>0</v>
      </c>
      <c r="H12085" s="18" t="n">
        <v>5448.12</v>
      </c>
      <c r="I12085" s="18" t="n">
        <f aca="false">((I12084 + G12085) - H12085)</f>
        <v>3717.36</v>
      </c>
      <c r="J12085" s="18" t="n">
        <v>0</v>
      </c>
      <c r="K12085" s="19" t="n">
        <v>0</v>
      </c>
      <c r="L12085" s="17" t="s">
        <v>1399</v>
      </c>
    </row>
    <row r="12086" s="11" customFormat="true" ht="10.95" hidden="false" customHeight="true" outlineLevel="0" collapsed="false">
      <c r="A12086" s="16" t="n">
        <v>45160</v>
      </c>
      <c r="B12086" s="17" t="s">
        <v>4521</v>
      </c>
      <c r="C12086" s="17" t="s">
        <v>3614</v>
      </c>
      <c r="D12086" s="17" t="s">
        <v>1407</v>
      </c>
      <c r="E12086" s="17" t="s">
        <v>2170</v>
      </c>
      <c r="F12086" s="17"/>
      <c r="G12086" s="18" t="n">
        <v>1188.2</v>
      </c>
      <c r="H12086" s="18" t="n">
        <v>0</v>
      </c>
      <c r="I12086" s="18" t="n">
        <f aca="false">((I12085 + G12086) - H12086)</f>
        <v>4905.56</v>
      </c>
      <c r="J12086" s="18" t="n">
        <v>0</v>
      </c>
      <c r="K12086" s="19" t="n">
        <v>0</v>
      </c>
      <c r="L12086" s="17" t="s">
        <v>1399</v>
      </c>
    </row>
    <row r="12087" s="11" customFormat="true" ht="10.95" hidden="false" customHeight="true" outlineLevel="0" collapsed="false">
      <c r="A12087" s="16" t="n">
        <v>45161</v>
      </c>
      <c r="B12087" s="17" t="s">
        <v>4521</v>
      </c>
      <c r="C12087" s="17" t="s">
        <v>3614</v>
      </c>
      <c r="D12087" s="17" t="s">
        <v>1407</v>
      </c>
      <c r="E12087" s="17" t="s">
        <v>4526</v>
      </c>
      <c r="F12087" s="17"/>
      <c r="G12087" s="18" t="n">
        <v>140</v>
      </c>
      <c r="H12087" s="18" t="n">
        <v>0</v>
      </c>
      <c r="I12087" s="18" t="n">
        <f aca="false">((I12086 + G12087) - H12087)</f>
        <v>5045.56</v>
      </c>
      <c r="J12087" s="18" t="n">
        <v>0</v>
      </c>
      <c r="K12087" s="19" t="n">
        <v>0</v>
      </c>
      <c r="L12087" s="17" t="s">
        <v>1399</v>
      </c>
    </row>
    <row r="12088" s="11" customFormat="true" ht="10.95" hidden="false" customHeight="true" outlineLevel="0" collapsed="false">
      <c r="A12088" s="16" t="n">
        <v>45161</v>
      </c>
      <c r="B12088" s="17" t="s">
        <v>4521</v>
      </c>
      <c r="C12088" s="17" t="s">
        <v>3614</v>
      </c>
      <c r="D12088" s="17" t="s">
        <v>1407</v>
      </c>
      <c r="E12088" s="17" t="s">
        <v>4522</v>
      </c>
      <c r="F12088" s="17"/>
      <c r="G12088" s="18" t="n">
        <v>1207</v>
      </c>
      <c r="H12088" s="18" t="n">
        <v>0</v>
      </c>
      <c r="I12088" s="18" t="n">
        <f aca="false">((I12087 + G12088) - H12088)</f>
        <v>6252.56</v>
      </c>
      <c r="J12088" s="18" t="n">
        <v>0</v>
      </c>
      <c r="K12088" s="19" t="n">
        <v>0</v>
      </c>
      <c r="L12088" s="17" t="s">
        <v>1399</v>
      </c>
    </row>
    <row r="12089" s="11" customFormat="true" ht="10.95" hidden="false" customHeight="true" outlineLevel="0" collapsed="false">
      <c r="A12089" s="16" t="n">
        <v>45161</v>
      </c>
      <c r="B12089" s="17" t="s">
        <v>4521</v>
      </c>
      <c r="C12089" s="17" t="s">
        <v>3614</v>
      </c>
      <c r="D12089" s="17" t="s">
        <v>1407</v>
      </c>
      <c r="E12089" s="17" t="s">
        <v>2169</v>
      </c>
      <c r="F12089" s="17"/>
      <c r="G12089" s="18" t="n">
        <v>1207</v>
      </c>
      <c r="H12089" s="18" t="n">
        <v>0</v>
      </c>
      <c r="I12089" s="18" t="n">
        <f aca="false">((I12088 + G12089) - H12089)</f>
        <v>7459.56</v>
      </c>
      <c r="J12089" s="18" t="n">
        <v>0</v>
      </c>
      <c r="K12089" s="19" t="n">
        <v>0</v>
      </c>
      <c r="L12089" s="17" t="s">
        <v>1399</v>
      </c>
    </row>
    <row r="12090" s="11" customFormat="true" ht="10.95" hidden="false" customHeight="true" outlineLevel="0" collapsed="false">
      <c r="A12090" s="16" t="n">
        <v>45161</v>
      </c>
      <c r="B12090" s="17" t="s">
        <v>4521</v>
      </c>
      <c r="C12090" s="17" t="s">
        <v>3614</v>
      </c>
      <c r="D12090" s="17" t="s">
        <v>1407</v>
      </c>
      <c r="E12090" s="17" t="s">
        <v>4523</v>
      </c>
      <c r="F12090" s="17"/>
      <c r="G12090" s="18" t="n">
        <v>1705.92</v>
      </c>
      <c r="H12090" s="18" t="n">
        <v>0</v>
      </c>
      <c r="I12090" s="18" t="n">
        <f aca="false">((I12089 + G12090) - H12090)</f>
        <v>9165.48</v>
      </c>
      <c r="J12090" s="18" t="n">
        <v>0</v>
      </c>
      <c r="K12090" s="19" t="n">
        <v>0</v>
      </c>
      <c r="L12090" s="17" t="s">
        <v>1399</v>
      </c>
    </row>
    <row r="12091" s="11" customFormat="true" ht="10.95" hidden="false" customHeight="true" outlineLevel="0" collapsed="false">
      <c r="A12091" s="16" t="n">
        <v>45162</v>
      </c>
      <c r="B12091" s="17" t="s">
        <v>4521</v>
      </c>
      <c r="C12091" s="17" t="s">
        <v>3614</v>
      </c>
      <c r="D12091" s="17" t="s">
        <v>2106</v>
      </c>
      <c r="E12091" s="17" t="s">
        <v>4524</v>
      </c>
      <c r="F12091" s="17" t="s">
        <v>2116</v>
      </c>
      <c r="G12091" s="18" t="n">
        <v>0</v>
      </c>
      <c r="H12091" s="18" t="n">
        <v>5448.12</v>
      </c>
      <c r="I12091" s="18" t="n">
        <f aca="false">((I12090 + G12091) - H12091)</f>
        <v>3717.36</v>
      </c>
      <c r="J12091" s="18" t="n">
        <v>0</v>
      </c>
      <c r="K12091" s="19" t="n">
        <v>0</v>
      </c>
      <c r="L12091" s="17" t="s">
        <v>1399</v>
      </c>
    </row>
    <row r="12092" s="11" customFormat="true" ht="10.95" hidden="false" customHeight="true" outlineLevel="0" collapsed="false">
      <c r="A12092" s="16" t="n">
        <v>45167</v>
      </c>
      <c r="B12092" s="17" t="s">
        <v>4521</v>
      </c>
      <c r="C12092" s="17" t="s">
        <v>3614</v>
      </c>
      <c r="D12092" s="17" t="s">
        <v>1407</v>
      </c>
      <c r="E12092" s="17" t="s">
        <v>2170</v>
      </c>
      <c r="F12092" s="17"/>
      <c r="G12092" s="18" t="n">
        <v>1188.2</v>
      </c>
      <c r="H12092" s="18" t="n">
        <v>0</v>
      </c>
      <c r="I12092" s="18" t="n">
        <f aca="false">((I12091 + G12092) - H12092)</f>
        <v>4905.56</v>
      </c>
      <c r="J12092" s="18" t="n">
        <v>0</v>
      </c>
      <c r="K12092" s="19" t="n">
        <v>0</v>
      </c>
      <c r="L12092" s="17" t="s">
        <v>1399</v>
      </c>
    </row>
    <row r="12093" s="11" customFormat="true" ht="10.95" hidden="false" customHeight="true" outlineLevel="0" collapsed="false">
      <c r="A12093" s="16" t="n">
        <v>45168</v>
      </c>
      <c r="B12093" s="17" t="s">
        <v>4521</v>
      </c>
      <c r="C12093" s="17" t="s">
        <v>3614</v>
      </c>
      <c r="D12093" s="17" t="s">
        <v>1407</v>
      </c>
      <c r="E12093" s="17" t="s">
        <v>4522</v>
      </c>
      <c r="F12093" s="17"/>
      <c r="G12093" s="18" t="n">
        <v>1207</v>
      </c>
      <c r="H12093" s="18" t="n">
        <v>0</v>
      </c>
      <c r="I12093" s="18" t="n">
        <f aca="false">((I12092 + G12093) - H12093)</f>
        <v>6112.56</v>
      </c>
      <c r="J12093" s="18" t="n">
        <v>0</v>
      </c>
      <c r="K12093" s="19" t="n">
        <v>0</v>
      </c>
      <c r="L12093" s="17" t="s">
        <v>1399</v>
      </c>
    </row>
    <row r="12094" s="11" customFormat="true" ht="10.95" hidden="false" customHeight="true" outlineLevel="0" collapsed="false">
      <c r="A12094" s="16" t="n">
        <v>45168</v>
      </c>
      <c r="B12094" s="17" t="s">
        <v>4521</v>
      </c>
      <c r="C12094" s="17" t="s">
        <v>3614</v>
      </c>
      <c r="D12094" s="17" t="s">
        <v>1407</v>
      </c>
      <c r="E12094" s="17" t="s">
        <v>2169</v>
      </c>
      <c r="F12094" s="17"/>
      <c r="G12094" s="18" t="n">
        <v>1207</v>
      </c>
      <c r="H12094" s="18" t="n">
        <v>0</v>
      </c>
      <c r="I12094" s="18" t="n">
        <f aca="false">((I12093 + G12094) - H12094)</f>
        <v>7319.56</v>
      </c>
      <c r="J12094" s="18" t="n">
        <v>0</v>
      </c>
      <c r="K12094" s="19" t="n">
        <v>0</v>
      </c>
      <c r="L12094" s="17" t="s">
        <v>1399</v>
      </c>
    </row>
    <row r="12095" s="11" customFormat="true" ht="10.95" hidden="false" customHeight="true" outlineLevel="0" collapsed="false">
      <c r="A12095" s="16" t="n">
        <v>45168</v>
      </c>
      <c r="B12095" s="17" t="s">
        <v>4521</v>
      </c>
      <c r="C12095" s="17" t="s">
        <v>3614</v>
      </c>
      <c r="D12095" s="17" t="s">
        <v>1407</v>
      </c>
      <c r="E12095" s="17" t="s">
        <v>4523</v>
      </c>
      <c r="F12095" s="17"/>
      <c r="G12095" s="18" t="n">
        <v>1705.92</v>
      </c>
      <c r="H12095" s="18" t="n">
        <v>0</v>
      </c>
      <c r="I12095" s="18" t="n">
        <f aca="false">((I12094 + G12095) - H12095)</f>
        <v>9025.48</v>
      </c>
      <c r="J12095" s="18" t="n">
        <v>0</v>
      </c>
      <c r="K12095" s="19" t="n">
        <v>0</v>
      </c>
      <c r="L12095" s="17" t="s">
        <v>1399</v>
      </c>
    </row>
    <row r="12096" s="11" customFormat="true" ht="10.95" hidden="false" customHeight="true" outlineLevel="0" collapsed="false">
      <c r="A12096" s="16" t="n">
        <v>45168</v>
      </c>
      <c r="B12096" s="17" t="s">
        <v>4521</v>
      </c>
      <c r="C12096" s="17" t="s">
        <v>3614</v>
      </c>
      <c r="D12096" s="17" t="s">
        <v>1407</v>
      </c>
      <c r="E12096" s="17" t="s">
        <v>4526</v>
      </c>
      <c r="F12096" s="17"/>
      <c r="G12096" s="18" t="n">
        <v>140</v>
      </c>
      <c r="H12096" s="18" t="n">
        <v>0</v>
      </c>
      <c r="I12096" s="18" t="n">
        <f aca="false">((I12095 + G12096) - H12096)</f>
        <v>9165.48</v>
      </c>
      <c r="J12096" s="18" t="n">
        <v>0</v>
      </c>
      <c r="K12096" s="19" t="n">
        <v>0</v>
      </c>
      <c r="L12096" s="17" t="s">
        <v>1399</v>
      </c>
    </row>
    <row r="12097" s="11" customFormat="true" ht="10.95" hidden="false" customHeight="true" outlineLevel="0" collapsed="false">
      <c r="A12097" s="16" t="n">
        <v>45169</v>
      </c>
      <c r="B12097" s="17" t="s">
        <v>4521</v>
      </c>
      <c r="C12097" s="17" t="s">
        <v>3614</v>
      </c>
      <c r="D12097" s="17" t="s">
        <v>2106</v>
      </c>
      <c r="E12097" s="17" t="s">
        <v>4524</v>
      </c>
      <c r="F12097" s="17" t="s">
        <v>2117</v>
      </c>
      <c r="G12097" s="18" t="n">
        <v>0</v>
      </c>
      <c r="H12097" s="18" t="n">
        <v>5448.12</v>
      </c>
      <c r="I12097" s="18" t="n">
        <f aca="false">((I12096 + G12097) - H12097)</f>
        <v>3717.36</v>
      </c>
      <c r="J12097" s="18" t="n">
        <v>0</v>
      </c>
      <c r="K12097" s="19" t="n">
        <v>0</v>
      </c>
      <c r="L12097" s="17" t="s">
        <v>1399</v>
      </c>
    </row>
    <row r="12098" s="11" customFormat="true" ht="10.95" hidden="false" customHeight="true" outlineLevel="0" collapsed="false">
      <c r="A12098" s="16" t="n">
        <v>45174</v>
      </c>
      <c r="B12098" s="17" t="s">
        <v>4521</v>
      </c>
      <c r="C12098" s="17" t="s">
        <v>3614</v>
      </c>
      <c r="D12098" s="17" t="s">
        <v>1407</v>
      </c>
      <c r="E12098" s="17" t="s">
        <v>2170</v>
      </c>
      <c r="F12098" s="17"/>
      <c r="G12098" s="18" t="n">
        <v>1188.2</v>
      </c>
      <c r="H12098" s="18" t="n">
        <v>0</v>
      </c>
      <c r="I12098" s="18" t="n">
        <f aca="false">((I12097 + G12098) - H12098)</f>
        <v>4905.56</v>
      </c>
      <c r="J12098" s="18" t="n">
        <v>0</v>
      </c>
      <c r="K12098" s="19" t="n">
        <v>0</v>
      </c>
      <c r="L12098" s="17" t="s">
        <v>1399</v>
      </c>
    </row>
    <row r="12099" s="11" customFormat="true" ht="10.95" hidden="false" customHeight="true" outlineLevel="0" collapsed="false">
      <c r="A12099" s="16" t="n">
        <v>45175</v>
      </c>
      <c r="B12099" s="17" t="s">
        <v>4521</v>
      </c>
      <c r="C12099" s="17" t="s">
        <v>3614</v>
      </c>
      <c r="D12099" s="17" t="s">
        <v>1407</v>
      </c>
      <c r="E12099" s="17" t="s">
        <v>4526</v>
      </c>
      <c r="F12099" s="17"/>
      <c r="G12099" s="18" t="n">
        <v>140</v>
      </c>
      <c r="H12099" s="18" t="n">
        <v>0</v>
      </c>
      <c r="I12099" s="18" t="n">
        <f aca="false">((I12098 + G12099) - H12099)</f>
        <v>5045.56</v>
      </c>
      <c r="J12099" s="18" t="n">
        <v>0</v>
      </c>
      <c r="K12099" s="19" t="n">
        <v>0</v>
      </c>
      <c r="L12099" s="17" t="s">
        <v>1399</v>
      </c>
    </row>
    <row r="12100" s="11" customFormat="true" ht="10.95" hidden="false" customHeight="true" outlineLevel="0" collapsed="false">
      <c r="A12100" s="16" t="n">
        <v>45175</v>
      </c>
      <c r="B12100" s="17" t="s">
        <v>4521</v>
      </c>
      <c r="C12100" s="17" t="s">
        <v>3614</v>
      </c>
      <c r="D12100" s="17" t="s">
        <v>1407</v>
      </c>
      <c r="E12100" s="17" t="s">
        <v>4532</v>
      </c>
      <c r="F12100" s="17"/>
      <c r="G12100" s="18" t="n">
        <v>452</v>
      </c>
      <c r="H12100" s="18" t="n">
        <v>0</v>
      </c>
      <c r="I12100" s="18" t="n">
        <f aca="false">((I12099 + G12100) - H12100)</f>
        <v>5497.56</v>
      </c>
      <c r="J12100" s="18" t="n">
        <v>0</v>
      </c>
      <c r="K12100" s="19" t="n">
        <v>0</v>
      </c>
      <c r="L12100" s="17" t="s">
        <v>1399</v>
      </c>
    </row>
    <row r="12101" s="11" customFormat="true" ht="10.95" hidden="false" customHeight="true" outlineLevel="0" collapsed="false">
      <c r="A12101" s="16" t="n">
        <v>45175</v>
      </c>
      <c r="B12101" s="17" t="s">
        <v>4521</v>
      </c>
      <c r="C12101" s="17" t="s">
        <v>3614</v>
      </c>
      <c r="D12101" s="17" t="s">
        <v>1407</v>
      </c>
      <c r="E12101" s="17" t="s">
        <v>4522</v>
      </c>
      <c r="F12101" s="17"/>
      <c r="G12101" s="18" t="n">
        <v>1207</v>
      </c>
      <c r="H12101" s="18" t="n">
        <v>0</v>
      </c>
      <c r="I12101" s="18" t="n">
        <f aca="false">((I12100 + G12101) - H12101)</f>
        <v>6704.56</v>
      </c>
      <c r="J12101" s="18" t="n">
        <v>0</v>
      </c>
      <c r="K12101" s="19" t="n">
        <v>0</v>
      </c>
      <c r="L12101" s="17" t="s">
        <v>1399</v>
      </c>
    </row>
    <row r="12102" s="11" customFormat="true" ht="10.95" hidden="false" customHeight="true" outlineLevel="0" collapsed="false">
      <c r="A12102" s="16" t="n">
        <v>45175</v>
      </c>
      <c r="B12102" s="17" t="s">
        <v>4521</v>
      </c>
      <c r="C12102" s="17" t="s">
        <v>3614</v>
      </c>
      <c r="D12102" s="17" t="s">
        <v>1407</v>
      </c>
      <c r="E12102" s="17" t="s">
        <v>2169</v>
      </c>
      <c r="F12102" s="17"/>
      <c r="G12102" s="18" t="n">
        <v>1207</v>
      </c>
      <c r="H12102" s="18" t="n">
        <v>0</v>
      </c>
      <c r="I12102" s="18" t="n">
        <f aca="false">((I12101 + G12102) - H12102)</f>
        <v>7911.56</v>
      </c>
      <c r="J12102" s="18" t="n">
        <v>0</v>
      </c>
      <c r="K12102" s="19" t="n">
        <v>0</v>
      </c>
      <c r="L12102" s="17" t="s">
        <v>1399</v>
      </c>
    </row>
    <row r="12103" s="11" customFormat="true" ht="10.95" hidden="false" customHeight="true" outlineLevel="0" collapsed="false">
      <c r="A12103" s="16" t="n">
        <v>45175</v>
      </c>
      <c r="B12103" s="17" t="s">
        <v>4521</v>
      </c>
      <c r="C12103" s="17" t="s">
        <v>3614</v>
      </c>
      <c r="D12103" s="17" t="s">
        <v>1407</v>
      </c>
      <c r="E12103" s="17" t="s">
        <v>4523</v>
      </c>
      <c r="F12103" s="17"/>
      <c r="G12103" s="18" t="n">
        <v>1705.92</v>
      </c>
      <c r="H12103" s="18" t="n">
        <v>0</v>
      </c>
      <c r="I12103" s="18" t="n">
        <f aca="false">((I12102 + G12103) - H12103)</f>
        <v>9617.48</v>
      </c>
      <c r="J12103" s="18" t="n">
        <v>0</v>
      </c>
      <c r="K12103" s="19" t="n">
        <v>0</v>
      </c>
      <c r="L12103" s="17" t="s">
        <v>1399</v>
      </c>
    </row>
    <row r="12104" s="11" customFormat="true" ht="10.95" hidden="false" customHeight="true" outlineLevel="0" collapsed="false">
      <c r="A12104" s="16" t="n">
        <v>45176</v>
      </c>
      <c r="B12104" s="17" t="s">
        <v>4521</v>
      </c>
      <c r="C12104" s="17" t="s">
        <v>3614</v>
      </c>
      <c r="D12104" s="17" t="s">
        <v>2106</v>
      </c>
      <c r="E12104" s="17" t="s">
        <v>4524</v>
      </c>
      <c r="F12104" s="17" t="s">
        <v>2118</v>
      </c>
      <c r="G12104" s="18" t="n">
        <v>0</v>
      </c>
      <c r="H12104" s="18" t="n">
        <v>5900.12</v>
      </c>
      <c r="I12104" s="18" t="n">
        <f aca="false">((I12103 + G12104) - H12104)</f>
        <v>3717.36</v>
      </c>
      <c r="J12104" s="18" t="n">
        <v>0</v>
      </c>
      <c r="K12104" s="19" t="n">
        <v>0</v>
      </c>
      <c r="L12104" s="17" t="s">
        <v>1399</v>
      </c>
    </row>
    <row r="12105" s="11" customFormat="true" ht="10.95" hidden="false" customHeight="true" outlineLevel="0" collapsed="false">
      <c r="A12105" s="16" t="n">
        <v>45181</v>
      </c>
      <c r="B12105" s="17" t="s">
        <v>4521</v>
      </c>
      <c r="C12105" s="17" t="s">
        <v>3614</v>
      </c>
      <c r="D12105" s="17" t="s">
        <v>1407</v>
      </c>
      <c r="E12105" s="17" t="s">
        <v>4533</v>
      </c>
      <c r="F12105" s="17"/>
      <c r="G12105" s="18" t="n">
        <v>400</v>
      </c>
      <c r="H12105" s="18" t="n">
        <v>0</v>
      </c>
      <c r="I12105" s="18" t="n">
        <f aca="false">((I12104 + G12105) - H12105)</f>
        <v>4117.36</v>
      </c>
      <c r="J12105" s="18" t="n">
        <v>0</v>
      </c>
      <c r="K12105" s="19" t="n">
        <v>0</v>
      </c>
      <c r="L12105" s="17" t="s">
        <v>1399</v>
      </c>
    </row>
    <row r="12106" s="11" customFormat="true" ht="10.95" hidden="false" customHeight="true" outlineLevel="0" collapsed="false">
      <c r="A12106" s="16" t="n">
        <v>45181</v>
      </c>
      <c r="B12106" s="17" t="s">
        <v>4521</v>
      </c>
      <c r="C12106" s="17" t="s">
        <v>3614</v>
      </c>
      <c r="D12106" s="17" t="s">
        <v>1407</v>
      </c>
      <c r="E12106" s="17" t="s">
        <v>2170</v>
      </c>
      <c r="F12106" s="17"/>
      <c r="G12106" s="18" t="n">
        <v>1188.2</v>
      </c>
      <c r="H12106" s="18" t="n">
        <v>0</v>
      </c>
      <c r="I12106" s="18" t="n">
        <f aca="false">((I12105 + G12106) - H12106)</f>
        <v>5305.56</v>
      </c>
      <c r="J12106" s="18" t="n">
        <v>0</v>
      </c>
      <c r="K12106" s="19" t="n">
        <v>0</v>
      </c>
      <c r="L12106" s="17" t="s">
        <v>1399</v>
      </c>
    </row>
    <row r="12107" s="11" customFormat="true" ht="10.95" hidden="false" customHeight="true" outlineLevel="0" collapsed="false">
      <c r="A12107" s="16" t="n">
        <v>45182</v>
      </c>
      <c r="B12107" s="17" t="s">
        <v>4521</v>
      </c>
      <c r="C12107" s="17" t="s">
        <v>3614</v>
      </c>
      <c r="D12107" s="17" t="s">
        <v>1407</v>
      </c>
      <c r="E12107" s="17" t="s">
        <v>4526</v>
      </c>
      <c r="F12107" s="17"/>
      <c r="G12107" s="18" t="n">
        <v>140</v>
      </c>
      <c r="H12107" s="18" t="n">
        <v>0</v>
      </c>
      <c r="I12107" s="18" t="n">
        <f aca="false">((I12106 + G12107) - H12107)</f>
        <v>5445.56</v>
      </c>
      <c r="J12107" s="18" t="n">
        <v>0</v>
      </c>
      <c r="K12107" s="19" t="n">
        <v>0</v>
      </c>
      <c r="L12107" s="17" t="s">
        <v>1399</v>
      </c>
    </row>
    <row r="12108" s="11" customFormat="true" ht="10.95" hidden="false" customHeight="true" outlineLevel="0" collapsed="false">
      <c r="A12108" s="16" t="n">
        <v>45182</v>
      </c>
      <c r="B12108" s="17" t="s">
        <v>4521</v>
      </c>
      <c r="C12108" s="17" t="s">
        <v>3614</v>
      </c>
      <c r="D12108" s="17" t="s">
        <v>1407</v>
      </c>
      <c r="E12108" s="17" t="s">
        <v>4522</v>
      </c>
      <c r="F12108" s="17"/>
      <c r="G12108" s="18" t="n">
        <v>1207</v>
      </c>
      <c r="H12108" s="18" t="n">
        <v>0</v>
      </c>
      <c r="I12108" s="18" t="n">
        <f aca="false">((I12107 + G12108) - H12108)</f>
        <v>6652.56</v>
      </c>
      <c r="J12108" s="18" t="n">
        <v>0</v>
      </c>
      <c r="K12108" s="19" t="n">
        <v>0</v>
      </c>
      <c r="L12108" s="17" t="s">
        <v>1399</v>
      </c>
    </row>
    <row r="12109" s="11" customFormat="true" ht="10.95" hidden="false" customHeight="true" outlineLevel="0" collapsed="false">
      <c r="A12109" s="16" t="n">
        <v>45182</v>
      </c>
      <c r="B12109" s="17" t="s">
        <v>4521</v>
      </c>
      <c r="C12109" s="17" t="s">
        <v>3614</v>
      </c>
      <c r="D12109" s="17" t="s">
        <v>1407</v>
      </c>
      <c r="E12109" s="17" t="s">
        <v>2169</v>
      </c>
      <c r="F12109" s="17"/>
      <c r="G12109" s="18" t="n">
        <v>1207</v>
      </c>
      <c r="H12109" s="18" t="n">
        <v>0</v>
      </c>
      <c r="I12109" s="18" t="n">
        <f aca="false">((I12108 + G12109) - H12109)</f>
        <v>7859.56</v>
      </c>
      <c r="J12109" s="18" t="n">
        <v>0</v>
      </c>
      <c r="K12109" s="19" t="n">
        <v>0</v>
      </c>
      <c r="L12109" s="17" t="s">
        <v>1399</v>
      </c>
    </row>
    <row r="12110" s="11" customFormat="true" ht="10.95" hidden="false" customHeight="true" outlineLevel="0" collapsed="false">
      <c r="A12110" s="16" t="n">
        <v>45182</v>
      </c>
      <c r="B12110" s="17" t="s">
        <v>4521</v>
      </c>
      <c r="C12110" s="17" t="s">
        <v>3614</v>
      </c>
      <c r="D12110" s="17" t="s">
        <v>1407</v>
      </c>
      <c r="E12110" s="17" t="s">
        <v>4523</v>
      </c>
      <c r="F12110" s="17"/>
      <c r="G12110" s="18" t="n">
        <v>1705.92</v>
      </c>
      <c r="H12110" s="18" t="n">
        <v>0</v>
      </c>
      <c r="I12110" s="18" t="n">
        <f aca="false">((I12109 + G12110) - H12110)</f>
        <v>9565.48</v>
      </c>
      <c r="J12110" s="18" t="n">
        <v>0</v>
      </c>
      <c r="K12110" s="19" t="n">
        <v>0</v>
      </c>
      <c r="L12110" s="17" t="s">
        <v>1399</v>
      </c>
    </row>
    <row r="12111" s="11" customFormat="true" ht="10.95" hidden="false" customHeight="true" outlineLevel="0" collapsed="false">
      <c r="A12111" s="16" t="n">
        <v>45183</v>
      </c>
      <c r="B12111" s="17" t="s">
        <v>4521</v>
      </c>
      <c r="C12111" s="17" t="s">
        <v>3614</v>
      </c>
      <c r="D12111" s="17" t="s">
        <v>2106</v>
      </c>
      <c r="E12111" s="17" t="s">
        <v>4524</v>
      </c>
      <c r="F12111" s="17" t="s">
        <v>2119</v>
      </c>
      <c r="G12111" s="18" t="n">
        <v>0</v>
      </c>
      <c r="H12111" s="18" t="n">
        <v>5848.12</v>
      </c>
      <c r="I12111" s="18" t="n">
        <f aca="false">((I12110 + G12111) - H12111)</f>
        <v>3717.36</v>
      </c>
      <c r="J12111" s="18" t="n">
        <v>0</v>
      </c>
      <c r="K12111" s="19" t="n">
        <v>0</v>
      </c>
      <c r="L12111" s="17" t="s">
        <v>1399</v>
      </c>
    </row>
    <row r="12112" s="11" customFormat="true" ht="10.95" hidden="false" customHeight="true" outlineLevel="0" collapsed="false">
      <c r="A12112" s="16" t="n">
        <v>45188</v>
      </c>
      <c r="B12112" s="17" t="s">
        <v>4521</v>
      </c>
      <c r="C12112" s="17" t="s">
        <v>3614</v>
      </c>
      <c r="D12112" s="17" t="s">
        <v>1407</v>
      </c>
      <c r="E12112" s="17" t="s">
        <v>2170</v>
      </c>
      <c r="F12112" s="17"/>
      <c r="G12112" s="18" t="n">
        <v>1188.2</v>
      </c>
      <c r="H12112" s="18" t="n">
        <v>0</v>
      </c>
      <c r="I12112" s="18" t="n">
        <f aca="false">((I12111 + G12112) - H12112)</f>
        <v>4905.56</v>
      </c>
      <c r="J12112" s="18" t="n">
        <v>0</v>
      </c>
      <c r="K12112" s="19" t="n">
        <v>0</v>
      </c>
      <c r="L12112" s="17" t="s">
        <v>1399</v>
      </c>
    </row>
    <row r="12113" s="11" customFormat="true" ht="10.95" hidden="false" customHeight="true" outlineLevel="0" collapsed="false">
      <c r="A12113" s="16" t="n">
        <v>45189</v>
      </c>
      <c r="B12113" s="17" t="s">
        <v>4521</v>
      </c>
      <c r="C12113" s="17" t="s">
        <v>3614</v>
      </c>
      <c r="D12113" s="17" t="s">
        <v>1407</v>
      </c>
      <c r="E12113" s="17" t="s">
        <v>4526</v>
      </c>
      <c r="F12113" s="17"/>
      <c r="G12113" s="18" t="n">
        <v>140</v>
      </c>
      <c r="H12113" s="18" t="n">
        <v>0</v>
      </c>
      <c r="I12113" s="18" t="n">
        <f aca="false">((I12112 + G12113) - H12113)</f>
        <v>5045.56</v>
      </c>
      <c r="J12113" s="18" t="n">
        <v>0</v>
      </c>
      <c r="K12113" s="19" t="n">
        <v>0</v>
      </c>
      <c r="L12113" s="17" t="s">
        <v>1399</v>
      </c>
    </row>
    <row r="12114" s="11" customFormat="true" ht="10.95" hidden="false" customHeight="true" outlineLevel="0" collapsed="false">
      <c r="A12114" s="16" t="n">
        <v>45189</v>
      </c>
      <c r="B12114" s="17" t="s">
        <v>4521</v>
      </c>
      <c r="C12114" s="17" t="s">
        <v>3614</v>
      </c>
      <c r="D12114" s="17" t="s">
        <v>1407</v>
      </c>
      <c r="E12114" s="17" t="s">
        <v>4522</v>
      </c>
      <c r="F12114" s="17"/>
      <c r="G12114" s="18" t="n">
        <v>1207</v>
      </c>
      <c r="H12114" s="18" t="n">
        <v>0</v>
      </c>
      <c r="I12114" s="18" t="n">
        <f aca="false">((I12113 + G12114) - H12114)</f>
        <v>6252.56</v>
      </c>
      <c r="J12114" s="18" t="n">
        <v>0</v>
      </c>
      <c r="K12114" s="19" t="n">
        <v>0</v>
      </c>
      <c r="L12114" s="17" t="s">
        <v>1399</v>
      </c>
    </row>
    <row r="12115" s="11" customFormat="true" ht="10.95" hidden="false" customHeight="true" outlineLevel="0" collapsed="false">
      <c r="A12115" s="16" t="n">
        <v>45189</v>
      </c>
      <c r="B12115" s="17" t="s">
        <v>4521</v>
      </c>
      <c r="C12115" s="17" t="s">
        <v>3614</v>
      </c>
      <c r="D12115" s="17" t="s">
        <v>1407</v>
      </c>
      <c r="E12115" s="17" t="s">
        <v>2169</v>
      </c>
      <c r="F12115" s="17"/>
      <c r="G12115" s="18" t="n">
        <v>1207</v>
      </c>
      <c r="H12115" s="18" t="n">
        <v>0</v>
      </c>
      <c r="I12115" s="18" t="n">
        <f aca="false">((I12114 + G12115) - H12115)</f>
        <v>7459.56</v>
      </c>
      <c r="J12115" s="18" t="n">
        <v>0</v>
      </c>
      <c r="K12115" s="19" t="n">
        <v>0</v>
      </c>
      <c r="L12115" s="17" t="s">
        <v>1399</v>
      </c>
    </row>
    <row r="12116" s="11" customFormat="true" ht="10.95" hidden="false" customHeight="true" outlineLevel="0" collapsed="false">
      <c r="A12116" s="16" t="n">
        <v>45189</v>
      </c>
      <c r="B12116" s="17" t="s">
        <v>4521</v>
      </c>
      <c r="C12116" s="17" t="s">
        <v>3614</v>
      </c>
      <c r="D12116" s="17" t="s">
        <v>1407</v>
      </c>
      <c r="E12116" s="17" t="s">
        <v>4523</v>
      </c>
      <c r="F12116" s="17"/>
      <c r="G12116" s="18" t="n">
        <v>1705.92</v>
      </c>
      <c r="H12116" s="18" t="n">
        <v>0</v>
      </c>
      <c r="I12116" s="18" t="n">
        <f aca="false">((I12115 + G12116) - H12116)</f>
        <v>9165.48</v>
      </c>
      <c r="J12116" s="18" t="n">
        <v>0</v>
      </c>
      <c r="K12116" s="19" t="n">
        <v>0</v>
      </c>
      <c r="L12116" s="17" t="s">
        <v>1399</v>
      </c>
    </row>
    <row r="12117" s="11" customFormat="true" ht="10.95" hidden="false" customHeight="true" outlineLevel="0" collapsed="false">
      <c r="A12117" s="16" t="n">
        <v>45190</v>
      </c>
      <c r="B12117" s="17" t="s">
        <v>4521</v>
      </c>
      <c r="C12117" s="17" t="s">
        <v>3614</v>
      </c>
      <c r="D12117" s="17" t="s">
        <v>2106</v>
      </c>
      <c r="E12117" s="17" t="s">
        <v>4524</v>
      </c>
      <c r="F12117" s="17" t="s">
        <v>2120</v>
      </c>
      <c r="G12117" s="18" t="n">
        <v>0</v>
      </c>
      <c r="H12117" s="18" t="n">
        <v>5448.12</v>
      </c>
      <c r="I12117" s="18" t="n">
        <f aca="false">((I12116 + G12117) - H12117)</f>
        <v>3717.36</v>
      </c>
      <c r="J12117" s="18" t="n">
        <v>0</v>
      </c>
      <c r="K12117" s="19" t="n">
        <v>0</v>
      </c>
      <c r="L12117" s="17" t="s">
        <v>1399</v>
      </c>
    </row>
    <row r="12118" s="11" customFormat="true" ht="10.95" hidden="false" customHeight="true" outlineLevel="0" collapsed="false">
      <c r="A12118" s="16" t="n">
        <v>45195</v>
      </c>
      <c r="B12118" s="17" t="s">
        <v>4521</v>
      </c>
      <c r="C12118" s="17" t="s">
        <v>3614</v>
      </c>
      <c r="D12118" s="17" t="s">
        <v>1407</v>
      </c>
      <c r="E12118" s="17" t="s">
        <v>2170</v>
      </c>
      <c r="F12118" s="17"/>
      <c r="G12118" s="18" t="n">
        <v>1188.2</v>
      </c>
      <c r="H12118" s="18" t="n">
        <v>0</v>
      </c>
      <c r="I12118" s="18" t="n">
        <f aca="false">((I12117 + G12118) - H12118)</f>
        <v>4905.56</v>
      </c>
      <c r="J12118" s="18" t="n">
        <v>0</v>
      </c>
      <c r="K12118" s="19" t="n">
        <v>0</v>
      </c>
      <c r="L12118" s="17" t="s">
        <v>1399</v>
      </c>
    </row>
    <row r="12119" s="11" customFormat="true" ht="10.95" hidden="false" customHeight="true" outlineLevel="0" collapsed="false">
      <c r="A12119" s="16" t="n">
        <v>45196</v>
      </c>
      <c r="B12119" s="17" t="s">
        <v>4521</v>
      </c>
      <c r="C12119" s="17" t="s">
        <v>3614</v>
      </c>
      <c r="D12119" s="17" t="s">
        <v>1407</v>
      </c>
      <c r="E12119" s="17" t="s">
        <v>4526</v>
      </c>
      <c r="F12119" s="17"/>
      <c r="G12119" s="18" t="n">
        <v>140</v>
      </c>
      <c r="H12119" s="18" t="n">
        <v>0</v>
      </c>
      <c r="I12119" s="18" t="n">
        <f aca="false">((I12118 + G12119) - H12119)</f>
        <v>5045.56</v>
      </c>
      <c r="J12119" s="18" t="n">
        <v>0</v>
      </c>
      <c r="K12119" s="19" t="n">
        <v>0</v>
      </c>
      <c r="L12119" s="17" t="s">
        <v>1399</v>
      </c>
    </row>
    <row r="12120" s="11" customFormat="true" ht="10.95" hidden="false" customHeight="true" outlineLevel="0" collapsed="false">
      <c r="A12120" s="16" t="n">
        <v>45196</v>
      </c>
      <c r="B12120" s="17" t="s">
        <v>4521</v>
      </c>
      <c r="C12120" s="17" t="s">
        <v>3614</v>
      </c>
      <c r="D12120" s="17" t="s">
        <v>1407</v>
      </c>
      <c r="E12120" s="17" t="s">
        <v>4522</v>
      </c>
      <c r="F12120" s="17"/>
      <c r="G12120" s="18" t="n">
        <v>1207</v>
      </c>
      <c r="H12120" s="18" t="n">
        <v>0</v>
      </c>
      <c r="I12120" s="18" t="n">
        <f aca="false">((I12119 + G12120) - H12120)</f>
        <v>6252.56</v>
      </c>
      <c r="J12120" s="18" t="n">
        <v>0</v>
      </c>
      <c r="K12120" s="19" t="n">
        <v>0</v>
      </c>
      <c r="L12120" s="17" t="s">
        <v>1399</v>
      </c>
    </row>
    <row r="12121" s="11" customFormat="true" ht="10.95" hidden="false" customHeight="true" outlineLevel="0" collapsed="false">
      <c r="A12121" s="16" t="n">
        <v>45196</v>
      </c>
      <c r="B12121" s="17" t="s">
        <v>4521</v>
      </c>
      <c r="C12121" s="17" t="s">
        <v>3614</v>
      </c>
      <c r="D12121" s="17" t="s">
        <v>1407</v>
      </c>
      <c r="E12121" s="17" t="s">
        <v>2169</v>
      </c>
      <c r="F12121" s="17"/>
      <c r="G12121" s="18" t="n">
        <v>1207</v>
      </c>
      <c r="H12121" s="18" t="n">
        <v>0</v>
      </c>
      <c r="I12121" s="18" t="n">
        <f aca="false">((I12120 + G12121) - H12121)</f>
        <v>7459.56</v>
      </c>
      <c r="J12121" s="18" t="n">
        <v>0</v>
      </c>
      <c r="K12121" s="19" t="n">
        <v>0</v>
      </c>
      <c r="L12121" s="17" t="s">
        <v>1399</v>
      </c>
    </row>
    <row r="12122" s="11" customFormat="true" ht="10.95" hidden="false" customHeight="true" outlineLevel="0" collapsed="false">
      <c r="A12122" s="16" t="n">
        <v>45196</v>
      </c>
      <c r="B12122" s="17" t="s">
        <v>4521</v>
      </c>
      <c r="C12122" s="17" t="s">
        <v>3614</v>
      </c>
      <c r="D12122" s="17" t="s">
        <v>1407</v>
      </c>
      <c r="E12122" s="17" t="s">
        <v>4523</v>
      </c>
      <c r="F12122" s="17"/>
      <c r="G12122" s="18" t="n">
        <v>1705.92</v>
      </c>
      <c r="H12122" s="18" t="n">
        <v>0</v>
      </c>
      <c r="I12122" s="18" t="n">
        <f aca="false">((I12121 + G12122) - H12122)</f>
        <v>9165.48</v>
      </c>
      <c r="J12122" s="18" t="n">
        <v>0</v>
      </c>
      <c r="K12122" s="19" t="n">
        <v>0</v>
      </c>
      <c r="L12122" s="17" t="s">
        <v>1399</v>
      </c>
    </row>
    <row r="12123" s="11" customFormat="true" ht="10.95" hidden="false" customHeight="true" outlineLevel="0" collapsed="false">
      <c r="A12123" s="16" t="n">
        <v>45197</v>
      </c>
      <c r="B12123" s="17" t="s">
        <v>4521</v>
      </c>
      <c r="C12123" s="17" t="s">
        <v>3614</v>
      </c>
      <c r="D12123" s="17" t="s">
        <v>2106</v>
      </c>
      <c r="E12123" s="17" t="s">
        <v>4524</v>
      </c>
      <c r="F12123" s="17" t="s">
        <v>2121</v>
      </c>
      <c r="G12123" s="18" t="n">
        <v>0</v>
      </c>
      <c r="H12123" s="18" t="n">
        <v>5448.12</v>
      </c>
      <c r="I12123" s="18" t="n">
        <f aca="false">((I12122 + G12123) - H12123)</f>
        <v>3717.36</v>
      </c>
      <c r="J12123" s="18" t="n">
        <v>0</v>
      </c>
      <c r="K12123" s="19" t="n">
        <v>0</v>
      </c>
      <c r="L12123" s="17" t="s">
        <v>1399</v>
      </c>
    </row>
    <row r="12124" s="11" customFormat="true" ht="10.95" hidden="false" customHeight="true" outlineLevel="0" collapsed="false">
      <c r="A12124" s="16" t="n">
        <v>45202</v>
      </c>
      <c r="B12124" s="17" t="s">
        <v>4521</v>
      </c>
      <c r="C12124" s="17" t="s">
        <v>3614</v>
      </c>
      <c r="D12124" s="17" t="s">
        <v>1407</v>
      </c>
      <c r="E12124" s="17" t="s">
        <v>2170</v>
      </c>
      <c r="F12124" s="17"/>
      <c r="G12124" s="18" t="n">
        <v>1188.2</v>
      </c>
      <c r="H12124" s="18" t="n">
        <v>0</v>
      </c>
      <c r="I12124" s="18" t="n">
        <f aca="false">((I12123 + G12124) - H12124)</f>
        <v>4905.56</v>
      </c>
      <c r="J12124" s="18" t="n">
        <v>0</v>
      </c>
      <c r="K12124" s="19" t="n">
        <v>0</v>
      </c>
      <c r="L12124" s="17" t="s">
        <v>1399</v>
      </c>
    </row>
    <row r="12125" s="11" customFormat="true" ht="10.95" hidden="false" customHeight="true" outlineLevel="0" collapsed="false">
      <c r="A12125" s="16" t="n">
        <v>45203</v>
      </c>
      <c r="B12125" s="17" t="s">
        <v>4521</v>
      </c>
      <c r="C12125" s="17" t="s">
        <v>3614</v>
      </c>
      <c r="D12125" s="17" t="s">
        <v>1407</v>
      </c>
      <c r="E12125" s="17" t="s">
        <v>4526</v>
      </c>
      <c r="F12125" s="17"/>
      <c r="G12125" s="18" t="n">
        <v>140</v>
      </c>
      <c r="H12125" s="18" t="n">
        <v>0</v>
      </c>
      <c r="I12125" s="18" t="n">
        <f aca="false">((I12124 + G12125) - H12125)</f>
        <v>5045.56</v>
      </c>
      <c r="J12125" s="18" t="n">
        <v>0</v>
      </c>
      <c r="K12125" s="19" t="n">
        <v>0</v>
      </c>
      <c r="L12125" s="17" t="s">
        <v>1399</v>
      </c>
    </row>
    <row r="12126" s="11" customFormat="true" ht="10.95" hidden="false" customHeight="true" outlineLevel="0" collapsed="false">
      <c r="A12126" s="16" t="n">
        <v>45203</v>
      </c>
      <c r="B12126" s="17" t="s">
        <v>4521</v>
      </c>
      <c r="C12126" s="17" t="s">
        <v>3614</v>
      </c>
      <c r="D12126" s="17" t="s">
        <v>1407</v>
      </c>
      <c r="E12126" s="17" t="s">
        <v>4522</v>
      </c>
      <c r="F12126" s="17"/>
      <c r="G12126" s="18" t="n">
        <v>1207</v>
      </c>
      <c r="H12126" s="18" t="n">
        <v>0</v>
      </c>
      <c r="I12126" s="18" t="n">
        <f aca="false">((I12125 + G12126) - H12126)</f>
        <v>6252.56</v>
      </c>
      <c r="J12126" s="18" t="n">
        <v>0</v>
      </c>
      <c r="K12126" s="19" t="n">
        <v>0</v>
      </c>
      <c r="L12126" s="17" t="s">
        <v>1399</v>
      </c>
    </row>
    <row r="12127" s="11" customFormat="true" ht="10.95" hidden="false" customHeight="true" outlineLevel="0" collapsed="false">
      <c r="A12127" s="16" t="n">
        <v>45203</v>
      </c>
      <c r="B12127" s="17" t="s">
        <v>4521</v>
      </c>
      <c r="C12127" s="17" t="s">
        <v>3614</v>
      </c>
      <c r="D12127" s="17" t="s">
        <v>1407</v>
      </c>
      <c r="E12127" s="17" t="s">
        <v>2169</v>
      </c>
      <c r="F12127" s="17"/>
      <c r="G12127" s="18" t="n">
        <v>1207</v>
      </c>
      <c r="H12127" s="18" t="n">
        <v>0</v>
      </c>
      <c r="I12127" s="18" t="n">
        <f aca="false">((I12126 + G12127) - H12127)</f>
        <v>7459.56</v>
      </c>
      <c r="J12127" s="18" t="n">
        <v>0</v>
      </c>
      <c r="K12127" s="19" t="n">
        <v>0</v>
      </c>
      <c r="L12127" s="17" t="s">
        <v>1399</v>
      </c>
    </row>
    <row r="12128" s="11" customFormat="true" ht="10.95" hidden="false" customHeight="true" outlineLevel="0" collapsed="false">
      <c r="A12128" s="16" t="n">
        <v>45203</v>
      </c>
      <c r="B12128" s="17" t="s">
        <v>4521</v>
      </c>
      <c r="C12128" s="17" t="s">
        <v>3614</v>
      </c>
      <c r="D12128" s="17" t="s">
        <v>1407</v>
      </c>
      <c r="E12128" s="17" t="s">
        <v>4523</v>
      </c>
      <c r="F12128" s="17"/>
      <c r="G12128" s="18" t="n">
        <v>1705.92</v>
      </c>
      <c r="H12128" s="18" t="n">
        <v>0</v>
      </c>
      <c r="I12128" s="18" t="n">
        <f aca="false">((I12127 + G12128) - H12128)</f>
        <v>9165.48</v>
      </c>
      <c r="J12128" s="18" t="n">
        <v>0</v>
      </c>
      <c r="K12128" s="19" t="n">
        <v>0</v>
      </c>
      <c r="L12128" s="17" t="s">
        <v>1399</v>
      </c>
    </row>
    <row r="12129" s="11" customFormat="true" ht="10.95" hidden="false" customHeight="true" outlineLevel="0" collapsed="false">
      <c r="A12129" s="16" t="n">
        <v>45204</v>
      </c>
      <c r="B12129" s="17" t="s">
        <v>4521</v>
      </c>
      <c r="C12129" s="17" t="s">
        <v>3614</v>
      </c>
      <c r="D12129" s="17" t="s">
        <v>2106</v>
      </c>
      <c r="E12129" s="17" t="s">
        <v>4524</v>
      </c>
      <c r="F12129" s="17" t="s">
        <v>2122</v>
      </c>
      <c r="G12129" s="18" t="n">
        <v>0</v>
      </c>
      <c r="H12129" s="18" t="n">
        <v>5448.12</v>
      </c>
      <c r="I12129" s="18" t="n">
        <f aca="false">((I12128 + G12129) - H12129)</f>
        <v>3717.36</v>
      </c>
      <c r="J12129" s="18" t="n">
        <v>0</v>
      </c>
      <c r="K12129" s="19" t="n">
        <v>0</v>
      </c>
      <c r="L12129" s="17" t="s">
        <v>1399</v>
      </c>
    </row>
    <row r="12130" s="11" customFormat="true" ht="10.95" hidden="false" customHeight="true" outlineLevel="0" collapsed="false">
      <c r="A12130" s="16" t="n">
        <v>45209</v>
      </c>
      <c r="B12130" s="17" t="s">
        <v>4521</v>
      </c>
      <c r="C12130" s="17" t="s">
        <v>3614</v>
      </c>
      <c r="D12130" s="17" t="s">
        <v>1407</v>
      </c>
      <c r="E12130" s="17" t="s">
        <v>2170</v>
      </c>
      <c r="F12130" s="17"/>
      <c r="G12130" s="18" t="n">
        <v>1188.2</v>
      </c>
      <c r="H12130" s="18" t="n">
        <v>0</v>
      </c>
      <c r="I12130" s="18" t="n">
        <f aca="false">((I12129 + G12130) - H12130)</f>
        <v>4905.56</v>
      </c>
      <c r="J12130" s="18" t="n">
        <v>0</v>
      </c>
      <c r="K12130" s="19" t="n">
        <v>0</v>
      </c>
      <c r="L12130" s="17" t="s">
        <v>1399</v>
      </c>
    </row>
    <row r="12131" s="11" customFormat="true" ht="10.95" hidden="false" customHeight="true" outlineLevel="0" collapsed="false">
      <c r="A12131" s="16" t="n">
        <v>45210</v>
      </c>
      <c r="B12131" s="17" t="s">
        <v>4521</v>
      </c>
      <c r="C12131" s="17" t="s">
        <v>3614</v>
      </c>
      <c r="D12131" s="17" t="s">
        <v>1407</v>
      </c>
      <c r="E12131" s="17" t="s">
        <v>4526</v>
      </c>
      <c r="F12131" s="17"/>
      <c r="G12131" s="18" t="n">
        <v>140</v>
      </c>
      <c r="H12131" s="18" t="n">
        <v>0</v>
      </c>
      <c r="I12131" s="18" t="n">
        <f aca="false">((I12130 + G12131) - H12131)</f>
        <v>5045.56</v>
      </c>
      <c r="J12131" s="18" t="n">
        <v>0</v>
      </c>
      <c r="K12131" s="19" t="n">
        <v>0</v>
      </c>
      <c r="L12131" s="17" t="s">
        <v>1399</v>
      </c>
    </row>
    <row r="12132" s="11" customFormat="true" ht="10.95" hidden="false" customHeight="true" outlineLevel="0" collapsed="false">
      <c r="A12132" s="16" t="n">
        <v>45210</v>
      </c>
      <c r="B12132" s="17" t="s">
        <v>4521</v>
      </c>
      <c r="C12132" s="17" t="s">
        <v>3614</v>
      </c>
      <c r="D12132" s="17" t="s">
        <v>1407</v>
      </c>
      <c r="E12132" s="17" t="s">
        <v>4522</v>
      </c>
      <c r="F12132" s="17"/>
      <c r="G12132" s="18" t="n">
        <v>1207</v>
      </c>
      <c r="H12132" s="18" t="n">
        <v>0</v>
      </c>
      <c r="I12132" s="18" t="n">
        <f aca="false">((I12131 + G12132) - H12132)</f>
        <v>6252.56</v>
      </c>
      <c r="J12132" s="18" t="n">
        <v>0</v>
      </c>
      <c r="K12132" s="19" t="n">
        <v>0</v>
      </c>
      <c r="L12132" s="17" t="s">
        <v>1399</v>
      </c>
    </row>
    <row r="12133" s="11" customFormat="true" ht="10.95" hidden="false" customHeight="true" outlineLevel="0" collapsed="false">
      <c r="A12133" s="16" t="n">
        <v>45210</v>
      </c>
      <c r="B12133" s="17" t="s">
        <v>4521</v>
      </c>
      <c r="C12133" s="17" t="s">
        <v>3614</v>
      </c>
      <c r="D12133" s="17" t="s">
        <v>1407</v>
      </c>
      <c r="E12133" s="17" t="s">
        <v>2169</v>
      </c>
      <c r="F12133" s="17"/>
      <c r="G12133" s="18" t="n">
        <v>1207</v>
      </c>
      <c r="H12133" s="18" t="n">
        <v>0</v>
      </c>
      <c r="I12133" s="18" t="n">
        <f aca="false">((I12132 + G12133) - H12133)</f>
        <v>7459.56</v>
      </c>
      <c r="J12133" s="18" t="n">
        <v>0</v>
      </c>
      <c r="K12133" s="19" t="n">
        <v>0</v>
      </c>
      <c r="L12133" s="17" t="s">
        <v>1399</v>
      </c>
    </row>
    <row r="12134" s="11" customFormat="true" ht="10.95" hidden="false" customHeight="true" outlineLevel="0" collapsed="false">
      <c r="A12134" s="16" t="n">
        <v>45210</v>
      </c>
      <c r="B12134" s="17" t="s">
        <v>4521</v>
      </c>
      <c r="C12134" s="17" t="s">
        <v>3614</v>
      </c>
      <c r="D12134" s="17" t="s">
        <v>1407</v>
      </c>
      <c r="E12134" s="17" t="s">
        <v>4523</v>
      </c>
      <c r="F12134" s="17"/>
      <c r="G12134" s="18" t="n">
        <v>1705.92</v>
      </c>
      <c r="H12134" s="18" t="n">
        <v>0</v>
      </c>
      <c r="I12134" s="18" t="n">
        <f aca="false">((I12133 + G12134) - H12134)</f>
        <v>9165.48</v>
      </c>
      <c r="J12134" s="18" t="n">
        <v>0</v>
      </c>
      <c r="K12134" s="19" t="n">
        <v>0</v>
      </c>
      <c r="L12134" s="17" t="s">
        <v>1399</v>
      </c>
    </row>
    <row r="12135" s="11" customFormat="true" ht="10.95" hidden="false" customHeight="true" outlineLevel="0" collapsed="false">
      <c r="A12135" s="16" t="n">
        <v>45211</v>
      </c>
      <c r="B12135" s="17" t="s">
        <v>4521</v>
      </c>
      <c r="C12135" s="17" t="s">
        <v>3614</v>
      </c>
      <c r="D12135" s="17" t="s">
        <v>2106</v>
      </c>
      <c r="E12135" s="17" t="s">
        <v>4524</v>
      </c>
      <c r="F12135" s="17" t="s">
        <v>2123</v>
      </c>
      <c r="G12135" s="18" t="n">
        <v>0</v>
      </c>
      <c r="H12135" s="18" t="n">
        <v>5448.12</v>
      </c>
      <c r="I12135" s="18" t="n">
        <f aca="false">((I12134 + G12135) - H12135)</f>
        <v>3717.36</v>
      </c>
      <c r="J12135" s="18" t="n">
        <v>0</v>
      </c>
      <c r="K12135" s="19" t="n">
        <v>0</v>
      </c>
      <c r="L12135" s="17" t="s">
        <v>1399</v>
      </c>
    </row>
    <row r="12136" s="11" customFormat="true" ht="10.95" hidden="false" customHeight="true" outlineLevel="0" collapsed="false">
      <c r="A12136" s="16" t="n">
        <v>45216</v>
      </c>
      <c r="B12136" s="17" t="s">
        <v>4521</v>
      </c>
      <c r="C12136" s="17" t="s">
        <v>3614</v>
      </c>
      <c r="D12136" s="17" t="s">
        <v>1407</v>
      </c>
      <c r="E12136" s="17" t="s">
        <v>2170</v>
      </c>
      <c r="F12136" s="17"/>
      <c r="G12136" s="18" t="n">
        <v>1188.2</v>
      </c>
      <c r="H12136" s="18" t="n">
        <v>0</v>
      </c>
      <c r="I12136" s="18" t="n">
        <f aca="false">((I12135 + G12136) - H12136)</f>
        <v>4905.56</v>
      </c>
      <c r="J12136" s="18" t="n">
        <v>0</v>
      </c>
      <c r="K12136" s="19" t="n">
        <v>0</v>
      </c>
      <c r="L12136" s="17" t="s">
        <v>1399</v>
      </c>
    </row>
    <row r="12137" s="11" customFormat="true" ht="10.95" hidden="false" customHeight="true" outlineLevel="0" collapsed="false">
      <c r="A12137" s="16" t="n">
        <v>45217</v>
      </c>
      <c r="B12137" s="17" t="s">
        <v>4521</v>
      </c>
      <c r="C12137" s="17" t="s">
        <v>3614</v>
      </c>
      <c r="D12137" s="17" t="s">
        <v>1407</v>
      </c>
      <c r="E12137" s="17" t="s">
        <v>4526</v>
      </c>
      <c r="F12137" s="17"/>
      <c r="G12137" s="18" t="n">
        <v>140</v>
      </c>
      <c r="H12137" s="18" t="n">
        <v>0</v>
      </c>
      <c r="I12137" s="18" t="n">
        <f aca="false">((I12136 + G12137) - H12137)</f>
        <v>5045.56</v>
      </c>
      <c r="J12137" s="18" t="n">
        <v>0</v>
      </c>
      <c r="K12137" s="19" t="n">
        <v>0</v>
      </c>
      <c r="L12137" s="17" t="s">
        <v>1399</v>
      </c>
    </row>
    <row r="12138" s="11" customFormat="true" ht="10.95" hidden="false" customHeight="true" outlineLevel="0" collapsed="false">
      <c r="A12138" s="16" t="n">
        <v>45217</v>
      </c>
      <c r="B12138" s="17" t="s">
        <v>4521</v>
      </c>
      <c r="C12138" s="17" t="s">
        <v>3614</v>
      </c>
      <c r="D12138" s="17" t="s">
        <v>1407</v>
      </c>
      <c r="E12138" s="17" t="s">
        <v>4522</v>
      </c>
      <c r="F12138" s="17"/>
      <c r="G12138" s="18" t="n">
        <v>1207</v>
      </c>
      <c r="H12138" s="18" t="n">
        <v>0</v>
      </c>
      <c r="I12138" s="18" t="n">
        <f aca="false">((I12137 + G12138) - H12138)</f>
        <v>6252.56</v>
      </c>
      <c r="J12138" s="18" t="n">
        <v>0</v>
      </c>
      <c r="K12138" s="19" t="n">
        <v>0</v>
      </c>
      <c r="L12138" s="17" t="s">
        <v>1399</v>
      </c>
    </row>
    <row r="12139" s="11" customFormat="true" ht="10.95" hidden="false" customHeight="true" outlineLevel="0" collapsed="false">
      <c r="A12139" s="16" t="n">
        <v>45217</v>
      </c>
      <c r="B12139" s="17" t="s">
        <v>4521</v>
      </c>
      <c r="C12139" s="17" t="s">
        <v>3614</v>
      </c>
      <c r="D12139" s="17" t="s">
        <v>1407</v>
      </c>
      <c r="E12139" s="17" t="s">
        <v>2169</v>
      </c>
      <c r="F12139" s="17"/>
      <c r="G12139" s="18" t="n">
        <v>1207</v>
      </c>
      <c r="H12139" s="18" t="n">
        <v>0</v>
      </c>
      <c r="I12139" s="18" t="n">
        <f aca="false">((I12138 + G12139) - H12139)</f>
        <v>7459.56</v>
      </c>
      <c r="J12139" s="18" t="n">
        <v>0</v>
      </c>
      <c r="K12139" s="19" t="n">
        <v>0</v>
      </c>
      <c r="L12139" s="17" t="s">
        <v>1399</v>
      </c>
    </row>
    <row r="12140" s="11" customFormat="true" ht="10.95" hidden="false" customHeight="true" outlineLevel="0" collapsed="false">
      <c r="A12140" s="16" t="n">
        <v>45217</v>
      </c>
      <c r="B12140" s="17" t="s">
        <v>4521</v>
      </c>
      <c r="C12140" s="17" t="s">
        <v>3614</v>
      </c>
      <c r="D12140" s="17" t="s">
        <v>1407</v>
      </c>
      <c r="E12140" s="17" t="s">
        <v>4523</v>
      </c>
      <c r="F12140" s="17"/>
      <c r="G12140" s="18" t="n">
        <v>1705.92</v>
      </c>
      <c r="H12140" s="18" t="n">
        <v>0</v>
      </c>
      <c r="I12140" s="18" t="n">
        <f aca="false">((I12139 + G12140) - H12140)</f>
        <v>9165.48</v>
      </c>
      <c r="J12140" s="18" t="n">
        <v>0</v>
      </c>
      <c r="K12140" s="19" t="n">
        <v>0</v>
      </c>
      <c r="L12140" s="17" t="s">
        <v>1399</v>
      </c>
    </row>
    <row r="12141" s="11" customFormat="true" ht="10.95" hidden="false" customHeight="true" outlineLevel="0" collapsed="false">
      <c r="A12141" s="16" t="n">
        <v>45218</v>
      </c>
      <c r="B12141" s="17" t="s">
        <v>4521</v>
      </c>
      <c r="C12141" s="17" t="s">
        <v>3614</v>
      </c>
      <c r="D12141" s="17" t="s">
        <v>2106</v>
      </c>
      <c r="E12141" s="17" t="s">
        <v>4524</v>
      </c>
      <c r="F12141" s="17" t="s">
        <v>2124</v>
      </c>
      <c r="G12141" s="18" t="n">
        <v>0</v>
      </c>
      <c r="H12141" s="18" t="n">
        <v>5448.12</v>
      </c>
      <c r="I12141" s="18" t="n">
        <f aca="false">((I12140 + G12141) - H12141)</f>
        <v>3717.36</v>
      </c>
      <c r="J12141" s="18" t="n">
        <v>0</v>
      </c>
      <c r="K12141" s="19" t="n">
        <v>0</v>
      </c>
      <c r="L12141" s="17" t="s">
        <v>1399</v>
      </c>
    </row>
    <row r="12142" s="11" customFormat="true" ht="10.95" hidden="false" customHeight="true" outlineLevel="0" collapsed="false">
      <c r="A12142" s="16" t="n">
        <v>45223</v>
      </c>
      <c r="B12142" s="17" t="s">
        <v>4521</v>
      </c>
      <c r="C12142" s="17" t="s">
        <v>3614</v>
      </c>
      <c r="D12142" s="17" t="s">
        <v>1407</v>
      </c>
      <c r="E12142" s="17" t="s">
        <v>2170</v>
      </c>
      <c r="F12142" s="17"/>
      <c r="G12142" s="18" t="n">
        <v>1188.2</v>
      </c>
      <c r="H12142" s="18" t="n">
        <v>0</v>
      </c>
      <c r="I12142" s="18" t="n">
        <f aca="false">((I12141 + G12142) - H12142)</f>
        <v>4905.56</v>
      </c>
      <c r="J12142" s="18" t="n">
        <v>0</v>
      </c>
      <c r="K12142" s="19" t="n">
        <v>0</v>
      </c>
      <c r="L12142" s="17" t="s">
        <v>1399</v>
      </c>
    </row>
    <row r="12143" s="11" customFormat="true" ht="10.95" hidden="false" customHeight="true" outlineLevel="0" collapsed="false">
      <c r="A12143" s="16" t="n">
        <v>45224</v>
      </c>
      <c r="B12143" s="17" t="s">
        <v>4521</v>
      </c>
      <c r="C12143" s="17" t="s">
        <v>3614</v>
      </c>
      <c r="D12143" s="17" t="s">
        <v>1407</v>
      </c>
      <c r="E12143" s="17" t="s">
        <v>4526</v>
      </c>
      <c r="F12143" s="17"/>
      <c r="G12143" s="18" t="n">
        <v>140</v>
      </c>
      <c r="H12143" s="18" t="n">
        <v>0</v>
      </c>
      <c r="I12143" s="18" t="n">
        <f aca="false">((I12142 + G12143) - H12143)</f>
        <v>5045.56</v>
      </c>
      <c r="J12143" s="18" t="n">
        <v>0</v>
      </c>
      <c r="K12143" s="19" t="n">
        <v>0</v>
      </c>
      <c r="L12143" s="17" t="s">
        <v>1399</v>
      </c>
    </row>
    <row r="12144" s="11" customFormat="true" ht="10.95" hidden="false" customHeight="true" outlineLevel="0" collapsed="false">
      <c r="A12144" s="16" t="n">
        <v>45224</v>
      </c>
      <c r="B12144" s="17" t="s">
        <v>4521</v>
      </c>
      <c r="C12144" s="17" t="s">
        <v>3614</v>
      </c>
      <c r="D12144" s="17" t="s">
        <v>1407</v>
      </c>
      <c r="E12144" s="17" t="s">
        <v>4522</v>
      </c>
      <c r="F12144" s="17"/>
      <c r="G12144" s="18" t="n">
        <v>1207</v>
      </c>
      <c r="H12144" s="18" t="n">
        <v>0</v>
      </c>
      <c r="I12144" s="18" t="n">
        <f aca="false">((I12143 + G12144) - H12144)</f>
        <v>6252.56</v>
      </c>
      <c r="J12144" s="18" t="n">
        <v>0</v>
      </c>
      <c r="K12144" s="19" t="n">
        <v>0</v>
      </c>
      <c r="L12144" s="17" t="s">
        <v>1399</v>
      </c>
    </row>
    <row r="12145" s="11" customFormat="true" ht="10.95" hidden="false" customHeight="true" outlineLevel="0" collapsed="false">
      <c r="A12145" s="16" t="n">
        <v>45224</v>
      </c>
      <c r="B12145" s="17" t="s">
        <v>4521</v>
      </c>
      <c r="C12145" s="17" t="s">
        <v>3614</v>
      </c>
      <c r="D12145" s="17" t="s">
        <v>1407</v>
      </c>
      <c r="E12145" s="17" t="s">
        <v>2169</v>
      </c>
      <c r="F12145" s="17"/>
      <c r="G12145" s="18" t="n">
        <v>1207</v>
      </c>
      <c r="H12145" s="18" t="n">
        <v>0</v>
      </c>
      <c r="I12145" s="18" t="n">
        <f aca="false">((I12144 + G12145) - H12145)</f>
        <v>7459.56</v>
      </c>
      <c r="J12145" s="18" t="n">
        <v>0</v>
      </c>
      <c r="K12145" s="19" t="n">
        <v>0</v>
      </c>
      <c r="L12145" s="17" t="s">
        <v>1399</v>
      </c>
    </row>
    <row r="12146" s="11" customFormat="true" ht="10.95" hidden="false" customHeight="true" outlineLevel="0" collapsed="false">
      <c r="A12146" s="16" t="n">
        <v>45224</v>
      </c>
      <c r="B12146" s="17" t="s">
        <v>4521</v>
      </c>
      <c r="C12146" s="17" t="s">
        <v>3614</v>
      </c>
      <c r="D12146" s="17" t="s">
        <v>1407</v>
      </c>
      <c r="E12146" s="17" t="s">
        <v>4523</v>
      </c>
      <c r="F12146" s="17"/>
      <c r="G12146" s="18" t="n">
        <v>1705.92</v>
      </c>
      <c r="H12146" s="18" t="n">
        <v>0</v>
      </c>
      <c r="I12146" s="18" t="n">
        <f aca="false">((I12145 + G12146) - H12146)</f>
        <v>9165.48</v>
      </c>
      <c r="J12146" s="18" t="n">
        <v>0</v>
      </c>
      <c r="K12146" s="19" t="n">
        <v>0</v>
      </c>
      <c r="L12146" s="17" t="s">
        <v>1399</v>
      </c>
    </row>
    <row r="12147" s="11" customFormat="true" ht="10.95" hidden="false" customHeight="true" outlineLevel="0" collapsed="false">
      <c r="A12147" s="16" t="n">
        <v>45225</v>
      </c>
      <c r="B12147" s="17" t="s">
        <v>4521</v>
      </c>
      <c r="C12147" s="17" t="s">
        <v>3614</v>
      </c>
      <c r="D12147" s="17" t="s">
        <v>2106</v>
      </c>
      <c r="E12147" s="17" t="s">
        <v>4524</v>
      </c>
      <c r="F12147" s="17" t="s">
        <v>2125</v>
      </c>
      <c r="G12147" s="18" t="n">
        <v>0</v>
      </c>
      <c r="H12147" s="18" t="n">
        <v>5448.12</v>
      </c>
      <c r="I12147" s="18" t="n">
        <f aca="false">((I12146 + G12147) - H12147)</f>
        <v>3717.36</v>
      </c>
      <c r="J12147" s="18" t="n">
        <v>0</v>
      </c>
      <c r="K12147" s="19" t="n">
        <v>0</v>
      </c>
      <c r="L12147" s="17" t="s">
        <v>1399</v>
      </c>
    </row>
    <row r="12148" s="11" customFormat="true" ht="10.95" hidden="false" customHeight="true" outlineLevel="0" collapsed="false">
      <c r="A12148" s="16" t="n">
        <v>45230</v>
      </c>
      <c r="B12148" s="17" t="s">
        <v>4521</v>
      </c>
      <c r="C12148" s="17" t="s">
        <v>3614</v>
      </c>
      <c r="D12148" s="17" t="s">
        <v>1407</v>
      </c>
      <c r="E12148" s="17" t="s">
        <v>2170</v>
      </c>
      <c r="F12148" s="17"/>
      <c r="G12148" s="18" t="n">
        <v>1188.2</v>
      </c>
      <c r="H12148" s="18" t="n">
        <v>0</v>
      </c>
      <c r="I12148" s="18" t="n">
        <f aca="false">((I12147 + G12148) - H12148)</f>
        <v>4905.56</v>
      </c>
      <c r="J12148" s="18" t="n">
        <v>0</v>
      </c>
      <c r="K12148" s="19" t="n">
        <v>0</v>
      </c>
      <c r="L12148" s="17" t="s">
        <v>1399</v>
      </c>
    </row>
    <row r="12149" s="11" customFormat="true" ht="10.95" hidden="false" customHeight="true" outlineLevel="0" collapsed="false">
      <c r="A12149" s="16" t="n">
        <v>45231</v>
      </c>
      <c r="B12149" s="17" t="s">
        <v>4521</v>
      </c>
      <c r="C12149" s="17" t="s">
        <v>3614</v>
      </c>
      <c r="D12149" s="17" t="s">
        <v>1407</v>
      </c>
      <c r="E12149" s="17" t="s">
        <v>4526</v>
      </c>
      <c r="F12149" s="17"/>
      <c r="G12149" s="18" t="n">
        <v>140</v>
      </c>
      <c r="H12149" s="18" t="n">
        <v>0</v>
      </c>
      <c r="I12149" s="18" t="n">
        <f aca="false">((I12148 + G12149) - H12149)</f>
        <v>5045.56</v>
      </c>
      <c r="J12149" s="18" t="n">
        <v>0</v>
      </c>
      <c r="K12149" s="19" t="n">
        <v>0</v>
      </c>
      <c r="L12149" s="17" t="s">
        <v>1399</v>
      </c>
    </row>
    <row r="12150" s="11" customFormat="true" ht="10.95" hidden="false" customHeight="true" outlineLevel="0" collapsed="false">
      <c r="A12150" s="16" t="n">
        <v>45231</v>
      </c>
      <c r="B12150" s="17" t="s">
        <v>4521</v>
      </c>
      <c r="C12150" s="17" t="s">
        <v>3614</v>
      </c>
      <c r="D12150" s="17" t="s">
        <v>1407</v>
      </c>
      <c r="E12150" s="17" t="s">
        <v>4522</v>
      </c>
      <c r="F12150" s="17"/>
      <c r="G12150" s="18" t="n">
        <v>1207</v>
      </c>
      <c r="H12150" s="18" t="n">
        <v>0</v>
      </c>
      <c r="I12150" s="18" t="n">
        <f aca="false">((I12149 + G12150) - H12150)</f>
        <v>6252.56</v>
      </c>
      <c r="J12150" s="18" t="n">
        <v>0</v>
      </c>
      <c r="K12150" s="19" t="n">
        <v>0</v>
      </c>
      <c r="L12150" s="17" t="s">
        <v>1399</v>
      </c>
    </row>
    <row r="12151" s="11" customFormat="true" ht="10.95" hidden="false" customHeight="true" outlineLevel="0" collapsed="false">
      <c r="A12151" s="16" t="n">
        <v>45231</v>
      </c>
      <c r="B12151" s="17" t="s">
        <v>4521</v>
      </c>
      <c r="C12151" s="17" t="s">
        <v>3614</v>
      </c>
      <c r="D12151" s="17" t="s">
        <v>1407</v>
      </c>
      <c r="E12151" s="17" t="s">
        <v>2169</v>
      </c>
      <c r="F12151" s="17"/>
      <c r="G12151" s="18" t="n">
        <v>1207</v>
      </c>
      <c r="H12151" s="18" t="n">
        <v>0</v>
      </c>
      <c r="I12151" s="18" t="n">
        <f aca="false">((I12150 + G12151) - H12151)</f>
        <v>7459.56</v>
      </c>
      <c r="J12151" s="18" t="n">
        <v>0</v>
      </c>
      <c r="K12151" s="19" t="n">
        <v>0</v>
      </c>
      <c r="L12151" s="17" t="s">
        <v>1399</v>
      </c>
    </row>
    <row r="12152" s="11" customFormat="true" ht="10.95" hidden="false" customHeight="true" outlineLevel="0" collapsed="false">
      <c r="A12152" s="16" t="n">
        <v>45231</v>
      </c>
      <c r="B12152" s="17" t="s">
        <v>4521</v>
      </c>
      <c r="C12152" s="17" t="s">
        <v>3614</v>
      </c>
      <c r="D12152" s="17" t="s">
        <v>1407</v>
      </c>
      <c r="E12152" s="17" t="s">
        <v>4523</v>
      </c>
      <c r="F12152" s="17"/>
      <c r="G12152" s="18" t="n">
        <v>1705.92</v>
      </c>
      <c r="H12152" s="18" t="n">
        <v>0</v>
      </c>
      <c r="I12152" s="18" t="n">
        <f aca="false">((I12151 + G12152) - H12152)</f>
        <v>9165.48</v>
      </c>
      <c r="J12152" s="18" t="n">
        <v>0</v>
      </c>
      <c r="K12152" s="19" t="n">
        <v>0</v>
      </c>
      <c r="L12152" s="17" t="s">
        <v>1399</v>
      </c>
    </row>
    <row r="12153" s="11" customFormat="true" ht="10.95" hidden="false" customHeight="true" outlineLevel="0" collapsed="false">
      <c r="A12153" s="16" t="n">
        <v>45232</v>
      </c>
      <c r="B12153" s="17" t="s">
        <v>4521</v>
      </c>
      <c r="C12153" s="17" t="s">
        <v>3614</v>
      </c>
      <c r="D12153" s="17" t="s">
        <v>2106</v>
      </c>
      <c r="E12153" s="17" t="s">
        <v>4524</v>
      </c>
      <c r="F12153" s="17" t="s">
        <v>2126</v>
      </c>
      <c r="G12153" s="18" t="n">
        <v>0</v>
      </c>
      <c r="H12153" s="18" t="n">
        <v>5448.12</v>
      </c>
      <c r="I12153" s="18" t="n">
        <f aca="false">((I12152 + G12153) - H12153)</f>
        <v>3717.36</v>
      </c>
      <c r="J12153" s="18" t="n">
        <v>0</v>
      </c>
      <c r="K12153" s="19" t="n">
        <v>0</v>
      </c>
      <c r="L12153" s="17" t="s">
        <v>1399</v>
      </c>
    </row>
    <row r="12154" s="11" customFormat="true" ht="10.95" hidden="false" customHeight="true" outlineLevel="0" collapsed="false">
      <c r="A12154" s="16" t="n">
        <v>45237</v>
      </c>
      <c r="B12154" s="17" t="s">
        <v>4521</v>
      </c>
      <c r="C12154" s="17" t="s">
        <v>3614</v>
      </c>
      <c r="D12154" s="17" t="s">
        <v>1407</v>
      </c>
      <c r="E12154" s="17" t="s">
        <v>2170</v>
      </c>
      <c r="F12154" s="17"/>
      <c r="G12154" s="18" t="n">
        <v>1188.2</v>
      </c>
      <c r="H12154" s="18" t="n">
        <v>0</v>
      </c>
      <c r="I12154" s="18" t="n">
        <f aca="false">((I12153 + G12154) - H12154)</f>
        <v>4905.56</v>
      </c>
      <c r="J12154" s="18" t="n">
        <v>0</v>
      </c>
      <c r="K12154" s="19" t="n">
        <v>0</v>
      </c>
      <c r="L12154" s="17" t="s">
        <v>1399</v>
      </c>
    </row>
    <row r="12155" s="11" customFormat="true" ht="10.95" hidden="false" customHeight="true" outlineLevel="0" collapsed="false">
      <c r="A12155" s="16" t="n">
        <v>45238</v>
      </c>
      <c r="B12155" s="17" t="s">
        <v>4521</v>
      </c>
      <c r="C12155" s="17" t="s">
        <v>3614</v>
      </c>
      <c r="D12155" s="17" t="s">
        <v>1407</v>
      </c>
      <c r="E12155" s="17" t="s">
        <v>4526</v>
      </c>
      <c r="F12155" s="17"/>
      <c r="G12155" s="18" t="n">
        <v>140</v>
      </c>
      <c r="H12155" s="18" t="n">
        <v>0</v>
      </c>
      <c r="I12155" s="18" t="n">
        <f aca="false">((I12154 + G12155) - H12155)</f>
        <v>5045.56</v>
      </c>
      <c r="J12155" s="18" t="n">
        <v>0</v>
      </c>
      <c r="K12155" s="19" t="n">
        <v>0</v>
      </c>
      <c r="L12155" s="17" t="s">
        <v>1399</v>
      </c>
    </row>
    <row r="12156" s="11" customFormat="true" ht="10.95" hidden="false" customHeight="true" outlineLevel="0" collapsed="false">
      <c r="A12156" s="16" t="n">
        <v>45238</v>
      </c>
      <c r="B12156" s="17" t="s">
        <v>4521</v>
      </c>
      <c r="C12156" s="17" t="s">
        <v>3614</v>
      </c>
      <c r="D12156" s="17" t="s">
        <v>1407</v>
      </c>
      <c r="E12156" s="17" t="s">
        <v>4522</v>
      </c>
      <c r="F12156" s="17"/>
      <c r="G12156" s="18" t="n">
        <v>1207</v>
      </c>
      <c r="H12156" s="18" t="n">
        <v>0</v>
      </c>
      <c r="I12156" s="18" t="n">
        <f aca="false">((I12155 + G12156) - H12156)</f>
        <v>6252.56</v>
      </c>
      <c r="J12156" s="18" t="n">
        <v>0</v>
      </c>
      <c r="K12156" s="19" t="n">
        <v>0</v>
      </c>
      <c r="L12156" s="17" t="s">
        <v>1399</v>
      </c>
    </row>
    <row r="12157" s="11" customFormat="true" ht="10.95" hidden="false" customHeight="true" outlineLevel="0" collapsed="false">
      <c r="A12157" s="16" t="n">
        <v>45238</v>
      </c>
      <c r="B12157" s="17" t="s">
        <v>4521</v>
      </c>
      <c r="C12157" s="17" t="s">
        <v>3614</v>
      </c>
      <c r="D12157" s="17" t="s">
        <v>1407</v>
      </c>
      <c r="E12157" s="17" t="s">
        <v>2169</v>
      </c>
      <c r="F12157" s="17"/>
      <c r="G12157" s="18" t="n">
        <v>1207</v>
      </c>
      <c r="H12157" s="18" t="n">
        <v>0</v>
      </c>
      <c r="I12157" s="18" t="n">
        <f aca="false">((I12156 + G12157) - H12157)</f>
        <v>7459.56</v>
      </c>
      <c r="J12157" s="18" t="n">
        <v>0</v>
      </c>
      <c r="K12157" s="19" t="n">
        <v>0</v>
      </c>
      <c r="L12157" s="17" t="s">
        <v>1399</v>
      </c>
    </row>
    <row r="12158" s="11" customFormat="true" ht="10.95" hidden="false" customHeight="true" outlineLevel="0" collapsed="false">
      <c r="A12158" s="16" t="n">
        <v>45238</v>
      </c>
      <c r="B12158" s="17" t="s">
        <v>4521</v>
      </c>
      <c r="C12158" s="17" t="s">
        <v>3614</v>
      </c>
      <c r="D12158" s="17" t="s">
        <v>1407</v>
      </c>
      <c r="E12158" s="17" t="s">
        <v>4523</v>
      </c>
      <c r="F12158" s="17"/>
      <c r="G12158" s="18" t="n">
        <v>1705.92</v>
      </c>
      <c r="H12158" s="18" t="n">
        <v>0</v>
      </c>
      <c r="I12158" s="18" t="n">
        <f aca="false">((I12157 + G12158) - H12158)</f>
        <v>9165.48</v>
      </c>
      <c r="J12158" s="18" t="n">
        <v>0</v>
      </c>
      <c r="K12158" s="19" t="n">
        <v>0</v>
      </c>
      <c r="L12158" s="17" t="s">
        <v>1399</v>
      </c>
    </row>
    <row r="12159" s="11" customFormat="true" ht="10.95" hidden="false" customHeight="true" outlineLevel="0" collapsed="false">
      <c r="A12159" s="16" t="n">
        <v>45239</v>
      </c>
      <c r="B12159" s="17" t="s">
        <v>4521</v>
      </c>
      <c r="C12159" s="17" t="s">
        <v>3614</v>
      </c>
      <c r="D12159" s="17" t="s">
        <v>2106</v>
      </c>
      <c r="E12159" s="17" t="s">
        <v>4524</v>
      </c>
      <c r="F12159" s="17" t="s">
        <v>2128</v>
      </c>
      <c r="G12159" s="18" t="n">
        <v>0</v>
      </c>
      <c r="H12159" s="18" t="n">
        <v>5448.12</v>
      </c>
      <c r="I12159" s="18" t="n">
        <f aca="false">((I12158 + G12159) - H12159)</f>
        <v>3717.36</v>
      </c>
      <c r="J12159" s="18" t="n">
        <v>0</v>
      </c>
      <c r="K12159" s="19" t="n">
        <v>0</v>
      </c>
      <c r="L12159" s="17" t="s">
        <v>1399</v>
      </c>
    </row>
    <row r="12160" s="11" customFormat="true" ht="10.95" hidden="false" customHeight="true" outlineLevel="0" collapsed="false">
      <c r="A12160" s="16" t="n">
        <v>45244</v>
      </c>
      <c r="B12160" s="17" t="s">
        <v>4521</v>
      </c>
      <c r="C12160" s="17" t="s">
        <v>3614</v>
      </c>
      <c r="D12160" s="17" t="s">
        <v>1407</v>
      </c>
      <c r="E12160" s="17" t="s">
        <v>2170</v>
      </c>
      <c r="F12160" s="17"/>
      <c r="G12160" s="18" t="n">
        <v>1188.2</v>
      </c>
      <c r="H12160" s="18" t="n">
        <v>0</v>
      </c>
      <c r="I12160" s="18" t="n">
        <f aca="false">((I12159 + G12160) - H12160)</f>
        <v>4905.56</v>
      </c>
      <c r="J12160" s="18" t="n">
        <v>0</v>
      </c>
      <c r="K12160" s="19" t="n">
        <v>0</v>
      </c>
      <c r="L12160" s="17" t="s">
        <v>1399</v>
      </c>
    </row>
    <row r="12161" s="11" customFormat="true" ht="10.95" hidden="false" customHeight="true" outlineLevel="0" collapsed="false">
      <c r="A12161" s="16" t="n">
        <v>45245</v>
      </c>
      <c r="B12161" s="17" t="s">
        <v>4521</v>
      </c>
      <c r="C12161" s="17" t="s">
        <v>3614</v>
      </c>
      <c r="D12161" s="17" t="s">
        <v>1407</v>
      </c>
      <c r="E12161" s="17" t="s">
        <v>4526</v>
      </c>
      <c r="F12161" s="17"/>
      <c r="G12161" s="18" t="n">
        <v>140</v>
      </c>
      <c r="H12161" s="18" t="n">
        <v>0</v>
      </c>
      <c r="I12161" s="18" t="n">
        <f aca="false">((I12160 + G12161) - H12161)</f>
        <v>5045.56</v>
      </c>
      <c r="J12161" s="18" t="n">
        <v>0</v>
      </c>
      <c r="K12161" s="19" t="n">
        <v>0</v>
      </c>
      <c r="L12161" s="17" t="s">
        <v>1399</v>
      </c>
    </row>
    <row r="12162" s="11" customFormat="true" ht="10.95" hidden="false" customHeight="true" outlineLevel="0" collapsed="false">
      <c r="A12162" s="16" t="n">
        <v>45245</v>
      </c>
      <c r="B12162" s="17" t="s">
        <v>4521</v>
      </c>
      <c r="C12162" s="17" t="s">
        <v>3614</v>
      </c>
      <c r="D12162" s="17" t="s">
        <v>1407</v>
      </c>
      <c r="E12162" s="17" t="s">
        <v>4522</v>
      </c>
      <c r="F12162" s="17"/>
      <c r="G12162" s="18" t="n">
        <v>1207</v>
      </c>
      <c r="H12162" s="18" t="n">
        <v>0</v>
      </c>
      <c r="I12162" s="18" t="n">
        <f aca="false">((I12161 + G12162) - H12162)</f>
        <v>6252.56</v>
      </c>
      <c r="J12162" s="18" t="n">
        <v>0</v>
      </c>
      <c r="K12162" s="19" t="n">
        <v>0</v>
      </c>
      <c r="L12162" s="17" t="s">
        <v>1399</v>
      </c>
    </row>
    <row r="12163" s="11" customFormat="true" ht="10.95" hidden="false" customHeight="true" outlineLevel="0" collapsed="false">
      <c r="A12163" s="16" t="n">
        <v>45245</v>
      </c>
      <c r="B12163" s="17" t="s">
        <v>4521</v>
      </c>
      <c r="C12163" s="17" t="s">
        <v>3614</v>
      </c>
      <c r="D12163" s="17" t="s">
        <v>1407</v>
      </c>
      <c r="E12163" s="17" t="s">
        <v>4523</v>
      </c>
      <c r="F12163" s="17"/>
      <c r="G12163" s="18" t="n">
        <v>1705.92</v>
      </c>
      <c r="H12163" s="18" t="n">
        <v>0</v>
      </c>
      <c r="I12163" s="18" t="n">
        <f aca="false">((I12162 + G12163) - H12163)</f>
        <v>7958.48</v>
      </c>
      <c r="J12163" s="18" t="n">
        <v>0</v>
      </c>
      <c r="K12163" s="19" t="n">
        <v>0</v>
      </c>
      <c r="L12163" s="17" t="s">
        <v>1399</v>
      </c>
    </row>
    <row r="12164" s="11" customFormat="true" ht="10.95" hidden="false" customHeight="true" outlineLevel="0" collapsed="false">
      <c r="A12164" s="16" t="n">
        <v>45246</v>
      </c>
      <c r="B12164" s="17" t="s">
        <v>4521</v>
      </c>
      <c r="C12164" s="17" t="s">
        <v>3614</v>
      </c>
      <c r="D12164" s="17" t="s">
        <v>2106</v>
      </c>
      <c r="E12164" s="17" t="s">
        <v>4524</v>
      </c>
      <c r="F12164" s="17" t="s">
        <v>2129</v>
      </c>
      <c r="G12164" s="18" t="n">
        <v>0</v>
      </c>
      <c r="H12164" s="18" t="n">
        <v>5448.12</v>
      </c>
      <c r="I12164" s="18" t="n">
        <f aca="false">((I12163 + G12164) - H12164)</f>
        <v>2510.36</v>
      </c>
      <c r="J12164" s="18" t="n">
        <v>0</v>
      </c>
      <c r="K12164" s="19" t="n">
        <v>0</v>
      </c>
      <c r="L12164" s="17" t="s">
        <v>1399</v>
      </c>
    </row>
    <row r="12165" s="11" customFormat="true" ht="10.95" hidden="false" customHeight="true" outlineLevel="0" collapsed="false">
      <c r="A12165" s="16" t="n">
        <v>45251</v>
      </c>
      <c r="B12165" s="17" t="s">
        <v>4521</v>
      </c>
      <c r="C12165" s="17" t="s">
        <v>3614</v>
      </c>
      <c r="D12165" s="17" t="s">
        <v>1407</v>
      </c>
      <c r="E12165" s="17" t="s">
        <v>2170</v>
      </c>
      <c r="F12165" s="17"/>
      <c r="G12165" s="18" t="n">
        <v>1188.2</v>
      </c>
      <c r="H12165" s="18" t="n">
        <v>0</v>
      </c>
      <c r="I12165" s="18" t="n">
        <f aca="false">((I12164 + G12165) - H12165)</f>
        <v>3698.56</v>
      </c>
      <c r="J12165" s="18" t="n">
        <v>0</v>
      </c>
      <c r="K12165" s="19" t="n">
        <v>0</v>
      </c>
      <c r="L12165" s="17" t="s">
        <v>1399</v>
      </c>
    </row>
    <row r="12166" s="11" customFormat="true" ht="10.95" hidden="false" customHeight="true" outlineLevel="0" collapsed="false">
      <c r="A12166" s="16" t="n">
        <v>45252</v>
      </c>
      <c r="B12166" s="17" t="s">
        <v>4521</v>
      </c>
      <c r="C12166" s="17" t="s">
        <v>3614</v>
      </c>
      <c r="D12166" s="17" t="s">
        <v>1407</v>
      </c>
      <c r="E12166" s="17" t="s">
        <v>4526</v>
      </c>
      <c r="F12166" s="17"/>
      <c r="G12166" s="18" t="n">
        <v>140</v>
      </c>
      <c r="H12166" s="18" t="n">
        <v>0</v>
      </c>
      <c r="I12166" s="18" t="n">
        <f aca="false">((I12165 + G12166) - H12166)</f>
        <v>3838.56</v>
      </c>
      <c r="J12166" s="18" t="n">
        <v>0</v>
      </c>
      <c r="K12166" s="19" t="n">
        <v>0</v>
      </c>
      <c r="L12166" s="17" t="s">
        <v>1399</v>
      </c>
    </row>
    <row r="12167" s="11" customFormat="true" ht="10.95" hidden="false" customHeight="true" outlineLevel="0" collapsed="false">
      <c r="A12167" s="16" t="n">
        <v>45252</v>
      </c>
      <c r="B12167" s="17" t="s">
        <v>4521</v>
      </c>
      <c r="C12167" s="17" t="s">
        <v>3614</v>
      </c>
      <c r="D12167" s="17" t="s">
        <v>1407</v>
      </c>
      <c r="E12167" s="17" t="s">
        <v>4522</v>
      </c>
      <c r="F12167" s="17"/>
      <c r="G12167" s="18" t="n">
        <v>1207</v>
      </c>
      <c r="H12167" s="18" t="n">
        <v>0</v>
      </c>
      <c r="I12167" s="18" t="n">
        <f aca="false">((I12166 + G12167) - H12167)</f>
        <v>5045.56</v>
      </c>
      <c r="J12167" s="18" t="n">
        <v>0</v>
      </c>
      <c r="K12167" s="19" t="n">
        <v>0</v>
      </c>
      <c r="L12167" s="17" t="s">
        <v>1399</v>
      </c>
    </row>
    <row r="12168" s="11" customFormat="true" ht="10.95" hidden="false" customHeight="true" outlineLevel="0" collapsed="false">
      <c r="A12168" s="16" t="n">
        <v>45252</v>
      </c>
      <c r="B12168" s="17" t="s">
        <v>4521</v>
      </c>
      <c r="C12168" s="17" t="s">
        <v>3614</v>
      </c>
      <c r="D12168" s="17" t="s">
        <v>1407</v>
      </c>
      <c r="E12168" s="17" t="s">
        <v>2169</v>
      </c>
      <c r="F12168" s="17"/>
      <c r="G12168" s="18" t="n">
        <v>1207</v>
      </c>
      <c r="H12168" s="18" t="n">
        <v>0</v>
      </c>
      <c r="I12168" s="18" t="n">
        <f aca="false">((I12167 + G12168) - H12168)</f>
        <v>6252.56</v>
      </c>
      <c r="J12168" s="18" t="n">
        <v>0</v>
      </c>
      <c r="K12168" s="19" t="n">
        <v>0</v>
      </c>
      <c r="L12168" s="17" t="s">
        <v>1399</v>
      </c>
    </row>
    <row r="12169" s="11" customFormat="true" ht="10.95" hidden="false" customHeight="true" outlineLevel="0" collapsed="false">
      <c r="A12169" s="16" t="n">
        <v>45252</v>
      </c>
      <c r="B12169" s="17" t="s">
        <v>4521</v>
      </c>
      <c r="C12169" s="17" t="s">
        <v>3614</v>
      </c>
      <c r="D12169" s="17" t="s">
        <v>1407</v>
      </c>
      <c r="E12169" s="17" t="s">
        <v>4523</v>
      </c>
      <c r="F12169" s="17"/>
      <c r="G12169" s="18" t="n">
        <v>1705.92</v>
      </c>
      <c r="H12169" s="18" t="n">
        <v>0</v>
      </c>
      <c r="I12169" s="18" t="n">
        <f aca="false">((I12168 + G12169) - H12169)</f>
        <v>7958.48</v>
      </c>
      <c r="J12169" s="18" t="n">
        <v>0</v>
      </c>
      <c r="K12169" s="19" t="n">
        <v>0</v>
      </c>
      <c r="L12169" s="17" t="s">
        <v>1399</v>
      </c>
    </row>
    <row r="12170" s="11" customFormat="true" ht="10.95" hidden="false" customHeight="true" outlineLevel="0" collapsed="false">
      <c r="A12170" s="16" t="n">
        <v>45253</v>
      </c>
      <c r="B12170" s="17" t="s">
        <v>4521</v>
      </c>
      <c r="C12170" s="17" t="s">
        <v>3614</v>
      </c>
      <c r="D12170" s="17" t="s">
        <v>2106</v>
      </c>
      <c r="E12170" s="17" t="s">
        <v>4524</v>
      </c>
      <c r="F12170" s="17" t="s">
        <v>2130</v>
      </c>
      <c r="G12170" s="18" t="n">
        <v>0</v>
      </c>
      <c r="H12170" s="18" t="n">
        <v>5448.12</v>
      </c>
      <c r="I12170" s="18" t="n">
        <f aca="false">((I12169 + G12170) - H12170)</f>
        <v>2510.36</v>
      </c>
      <c r="J12170" s="18" t="n">
        <v>0</v>
      </c>
      <c r="K12170" s="19" t="n">
        <v>0</v>
      </c>
      <c r="L12170" s="17" t="s">
        <v>1399</v>
      </c>
    </row>
    <row r="12171" s="11" customFormat="true" ht="10.95" hidden="false" customHeight="true" outlineLevel="0" collapsed="false">
      <c r="A12171" s="16" t="n">
        <v>45258</v>
      </c>
      <c r="B12171" s="17" t="s">
        <v>4521</v>
      </c>
      <c r="C12171" s="17" t="s">
        <v>3614</v>
      </c>
      <c r="D12171" s="17" t="s">
        <v>1407</v>
      </c>
      <c r="E12171" s="17" t="s">
        <v>4534</v>
      </c>
      <c r="F12171" s="17"/>
      <c r="G12171" s="18" t="n">
        <v>400</v>
      </c>
      <c r="H12171" s="18" t="n">
        <v>0</v>
      </c>
      <c r="I12171" s="18" t="n">
        <f aca="false">((I12170 + G12171) - H12171)</f>
        <v>2910.36</v>
      </c>
      <c r="J12171" s="18" t="n">
        <v>0</v>
      </c>
      <c r="K12171" s="19" t="n">
        <v>0</v>
      </c>
      <c r="L12171" s="17" t="s">
        <v>1399</v>
      </c>
    </row>
    <row r="12172" s="11" customFormat="true" ht="10.95" hidden="false" customHeight="true" outlineLevel="0" collapsed="false">
      <c r="A12172" s="16" t="n">
        <v>45258</v>
      </c>
      <c r="B12172" s="17" t="s">
        <v>4521</v>
      </c>
      <c r="C12172" s="17" t="s">
        <v>3614</v>
      </c>
      <c r="D12172" s="17" t="s">
        <v>1407</v>
      </c>
      <c r="E12172" s="17" t="s">
        <v>4535</v>
      </c>
      <c r="F12172" s="17"/>
      <c r="G12172" s="18" t="n">
        <v>452</v>
      </c>
      <c r="H12172" s="18" t="n">
        <v>0</v>
      </c>
      <c r="I12172" s="18" t="n">
        <f aca="false">((I12171 + G12172) - H12172)</f>
        <v>3362.36</v>
      </c>
      <c r="J12172" s="18" t="n">
        <v>0</v>
      </c>
      <c r="K12172" s="19" t="n">
        <v>0</v>
      </c>
      <c r="L12172" s="17" t="s">
        <v>1399</v>
      </c>
    </row>
    <row r="12173" s="11" customFormat="true" ht="10.95" hidden="false" customHeight="true" outlineLevel="0" collapsed="false">
      <c r="A12173" s="16" t="n">
        <v>45258</v>
      </c>
      <c r="B12173" s="17" t="s">
        <v>4521</v>
      </c>
      <c r="C12173" s="17" t="s">
        <v>3614</v>
      </c>
      <c r="D12173" s="17" t="s">
        <v>1407</v>
      </c>
      <c r="E12173" s="17" t="s">
        <v>2170</v>
      </c>
      <c r="F12173" s="17"/>
      <c r="G12173" s="18" t="n">
        <v>1188.2</v>
      </c>
      <c r="H12173" s="18" t="n">
        <v>0</v>
      </c>
      <c r="I12173" s="18" t="n">
        <f aca="false">((I12172 + G12173) - H12173)</f>
        <v>4550.56</v>
      </c>
      <c r="J12173" s="18" t="n">
        <v>0</v>
      </c>
      <c r="K12173" s="19" t="n">
        <v>0</v>
      </c>
      <c r="L12173" s="17" t="s">
        <v>1399</v>
      </c>
    </row>
    <row r="12174" s="11" customFormat="true" ht="10.95" hidden="false" customHeight="true" outlineLevel="0" collapsed="false">
      <c r="A12174" s="16" t="n">
        <v>45259</v>
      </c>
      <c r="B12174" s="17" t="s">
        <v>4521</v>
      </c>
      <c r="C12174" s="17" t="s">
        <v>3614</v>
      </c>
      <c r="D12174" s="17" t="s">
        <v>1407</v>
      </c>
      <c r="E12174" s="17" t="s">
        <v>4526</v>
      </c>
      <c r="F12174" s="17"/>
      <c r="G12174" s="18" t="n">
        <v>140</v>
      </c>
      <c r="H12174" s="18" t="n">
        <v>0</v>
      </c>
      <c r="I12174" s="18" t="n">
        <f aca="false">((I12173 + G12174) - H12174)</f>
        <v>4690.56</v>
      </c>
      <c r="J12174" s="18" t="n">
        <v>0</v>
      </c>
      <c r="K12174" s="19" t="n">
        <v>0</v>
      </c>
      <c r="L12174" s="17" t="s">
        <v>1399</v>
      </c>
    </row>
    <row r="12175" s="11" customFormat="true" ht="10.95" hidden="false" customHeight="true" outlineLevel="0" collapsed="false">
      <c r="A12175" s="16" t="n">
        <v>45259</v>
      </c>
      <c r="B12175" s="17" t="s">
        <v>4521</v>
      </c>
      <c r="C12175" s="17" t="s">
        <v>3614</v>
      </c>
      <c r="D12175" s="17" t="s">
        <v>1407</v>
      </c>
      <c r="E12175" s="17" t="s">
        <v>4522</v>
      </c>
      <c r="F12175" s="17"/>
      <c r="G12175" s="18" t="n">
        <v>1207</v>
      </c>
      <c r="H12175" s="18" t="n">
        <v>0</v>
      </c>
      <c r="I12175" s="18" t="n">
        <f aca="false">((I12174 + G12175) - H12175)</f>
        <v>5897.56</v>
      </c>
      <c r="J12175" s="18" t="n">
        <v>0</v>
      </c>
      <c r="K12175" s="19" t="n">
        <v>0</v>
      </c>
      <c r="L12175" s="17" t="s">
        <v>1399</v>
      </c>
    </row>
    <row r="12176" s="11" customFormat="true" ht="10.95" hidden="false" customHeight="true" outlineLevel="0" collapsed="false">
      <c r="A12176" s="16" t="n">
        <v>45259</v>
      </c>
      <c r="B12176" s="17" t="s">
        <v>4521</v>
      </c>
      <c r="C12176" s="17" t="s">
        <v>3614</v>
      </c>
      <c r="D12176" s="17" t="s">
        <v>1407</v>
      </c>
      <c r="E12176" s="17" t="s">
        <v>2169</v>
      </c>
      <c r="F12176" s="17"/>
      <c r="G12176" s="18" t="n">
        <v>1207</v>
      </c>
      <c r="H12176" s="18" t="n">
        <v>0</v>
      </c>
      <c r="I12176" s="18" t="n">
        <f aca="false">((I12175 + G12176) - H12176)</f>
        <v>7104.56</v>
      </c>
      <c r="J12176" s="18" t="n">
        <v>0</v>
      </c>
      <c r="K12176" s="19" t="n">
        <v>0</v>
      </c>
      <c r="L12176" s="17" t="s">
        <v>1399</v>
      </c>
    </row>
    <row r="12177" s="11" customFormat="true" ht="10.95" hidden="false" customHeight="true" outlineLevel="0" collapsed="false">
      <c r="A12177" s="16" t="n">
        <v>45259</v>
      </c>
      <c r="B12177" s="17" t="s">
        <v>4521</v>
      </c>
      <c r="C12177" s="17" t="s">
        <v>3614</v>
      </c>
      <c r="D12177" s="17" t="s">
        <v>1407</v>
      </c>
      <c r="E12177" s="17" t="s">
        <v>4523</v>
      </c>
      <c r="F12177" s="17"/>
      <c r="G12177" s="18" t="n">
        <v>1705.92</v>
      </c>
      <c r="H12177" s="18" t="n">
        <v>0</v>
      </c>
      <c r="I12177" s="18" t="n">
        <f aca="false">((I12176 + G12177) - H12177)</f>
        <v>8810.48</v>
      </c>
      <c r="J12177" s="18" t="n">
        <v>0</v>
      </c>
      <c r="K12177" s="19" t="n">
        <v>0</v>
      </c>
      <c r="L12177" s="17" t="s">
        <v>1399</v>
      </c>
    </row>
    <row r="12178" s="11" customFormat="true" ht="10.95" hidden="false" customHeight="true" outlineLevel="0" collapsed="false">
      <c r="A12178" s="16" t="n">
        <v>45260</v>
      </c>
      <c r="B12178" s="17" t="s">
        <v>4521</v>
      </c>
      <c r="C12178" s="17" t="s">
        <v>3614</v>
      </c>
      <c r="D12178" s="17" t="s">
        <v>2106</v>
      </c>
      <c r="E12178" s="17" t="s">
        <v>4524</v>
      </c>
      <c r="F12178" s="17" t="s">
        <v>2131</v>
      </c>
      <c r="G12178" s="18" t="n">
        <v>0</v>
      </c>
      <c r="H12178" s="18" t="n">
        <v>6300.12</v>
      </c>
      <c r="I12178" s="18" t="n">
        <f aca="false">((I12177 + G12178) - H12178)</f>
        <v>2510.36</v>
      </c>
      <c r="J12178" s="18" t="n">
        <v>0</v>
      </c>
      <c r="K12178" s="19" t="n">
        <v>0</v>
      </c>
      <c r="L12178" s="17" t="s">
        <v>1399</v>
      </c>
    </row>
    <row r="12179" s="11" customFormat="true" ht="10.95" hidden="false" customHeight="true" outlineLevel="0" collapsed="false">
      <c r="A12179" s="16" t="n">
        <v>45265</v>
      </c>
      <c r="B12179" s="17" t="s">
        <v>4521</v>
      </c>
      <c r="C12179" s="17" t="s">
        <v>3614</v>
      </c>
      <c r="D12179" s="17" t="s">
        <v>1407</v>
      </c>
      <c r="E12179" s="17" t="s">
        <v>2170</v>
      </c>
      <c r="F12179" s="17"/>
      <c r="G12179" s="18" t="n">
        <v>1188.2</v>
      </c>
      <c r="H12179" s="18" t="n">
        <v>0</v>
      </c>
      <c r="I12179" s="18" t="n">
        <f aca="false">((I12178 + G12179) - H12179)</f>
        <v>3698.56</v>
      </c>
      <c r="J12179" s="18" t="n">
        <v>0</v>
      </c>
      <c r="K12179" s="19" t="n">
        <v>0</v>
      </c>
      <c r="L12179" s="17" t="s">
        <v>1399</v>
      </c>
    </row>
    <row r="12180" s="11" customFormat="true" ht="10.95" hidden="false" customHeight="true" outlineLevel="0" collapsed="false">
      <c r="A12180" s="16" t="n">
        <v>45266</v>
      </c>
      <c r="B12180" s="17" t="s">
        <v>4521</v>
      </c>
      <c r="C12180" s="17" t="s">
        <v>3614</v>
      </c>
      <c r="D12180" s="17" t="s">
        <v>1407</v>
      </c>
      <c r="E12180" s="17" t="s">
        <v>4526</v>
      </c>
      <c r="F12180" s="17"/>
      <c r="G12180" s="18" t="n">
        <v>140</v>
      </c>
      <c r="H12180" s="18" t="n">
        <v>0</v>
      </c>
      <c r="I12180" s="18" t="n">
        <f aca="false">((I12179 + G12180) - H12180)</f>
        <v>3838.56</v>
      </c>
      <c r="J12180" s="18" t="n">
        <v>0</v>
      </c>
      <c r="K12180" s="19" t="n">
        <v>0</v>
      </c>
      <c r="L12180" s="17" t="s">
        <v>1399</v>
      </c>
    </row>
    <row r="12181" s="11" customFormat="true" ht="10.95" hidden="false" customHeight="true" outlineLevel="0" collapsed="false">
      <c r="A12181" s="16" t="n">
        <v>45266</v>
      </c>
      <c r="B12181" s="17" t="s">
        <v>4521</v>
      </c>
      <c r="C12181" s="17" t="s">
        <v>3614</v>
      </c>
      <c r="D12181" s="17" t="s">
        <v>1407</v>
      </c>
      <c r="E12181" s="17" t="s">
        <v>4534</v>
      </c>
      <c r="F12181" s="17"/>
      <c r="G12181" s="18" t="n">
        <v>400</v>
      </c>
      <c r="H12181" s="18" t="n">
        <v>0</v>
      </c>
      <c r="I12181" s="18" t="n">
        <f aca="false">((I12180 + G12181) - H12181)</f>
        <v>4238.56</v>
      </c>
      <c r="J12181" s="18" t="n">
        <v>0</v>
      </c>
      <c r="K12181" s="19" t="n">
        <v>0</v>
      </c>
      <c r="L12181" s="17" t="s">
        <v>1399</v>
      </c>
    </row>
    <row r="12182" s="11" customFormat="true" ht="10.95" hidden="false" customHeight="true" outlineLevel="0" collapsed="false">
      <c r="A12182" s="16" t="n">
        <v>45266</v>
      </c>
      <c r="B12182" s="17" t="s">
        <v>4521</v>
      </c>
      <c r="C12182" s="17" t="s">
        <v>3614</v>
      </c>
      <c r="D12182" s="17" t="s">
        <v>1407</v>
      </c>
      <c r="E12182" s="17" t="s">
        <v>4522</v>
      </c>
      <c r="F12182" s="17"/>
      <c r="G12182" s="18" t="n">
        <v>1207</v>
      </c>
      <c r="H12182" s="18" t="n">
        <v>0</v>
      </c>
      <c r="I12182" s="18" t="n">
        <f aca="false">((I12181 + G12182) - H12182)</f>
        <v>5445.56</v>
      </c>
      <c r="J12182" s="18" t="n">
        <v>0</v>
      </c>
      <c r="K12182" s="19" t="n">
        <v>0</v>
      </c>
      <c r="L12182" s="17" t="s">
        <v>1399</v>
      </c>
    </row>
    <row r="12183" s="11" customFormat="true" ht="10.95" hidden="false" customHeight="true" outlineLevel="0" collapsed="false">
      <c r="A12183" s="16" t="n">
        <v>45266</v>
      </c>
      <c r="B12183" s="17" t="s">
        <v>4521</v>
      </c>
      <c r="C12183" s="17" t="s">
        <v>3614</v>
      </c>
      <c r="D12183" s="17" t="s">
        <v>1407</v>
      </c>
      <c r="E12183" s="17" t="s">
        <v>2169</v>
      </c>
      <c r="F12183" s="17"/>
      <c r="G12183" s="18" t="n">
        <v>1207</v>
      </c>
      <c r="H12183" s="18" t="n">
        <v>0</v>
      </c>
      <c r="I12183" s="18" t="n">
        <f aca="false">((I12182 + G12183) - H12183)</f>
        <v>6652.56</v>
      </c>
      <c r="J12183" s="18" t="n">
        <v>0</v>
      </c>
      <c r="K12183" s="19" t="n">
        <v>0</v>
      </c>
      <c r="L12183" s="17" t="s">
        <v>1399</v>
      </c>
    </row>
    <row r="12184" s="11" customFormat="true" ht="10.95" hidden="false" customHeight="true" outlineLevel="0" collapsed="false">
      <c r="A12184" s="16" t="n">
        <v>45266</v>
      </c>
      <c r="B12184" s="17" t="s">
        <v>4521</v>
      </c>
      <c r="C12184" s="17" t="s">
        <v>3614</v>
      </c>
      <c r="D12184" s="17" t="s">
        <v>1407</v>
      </c>
      <c r="E12184" s="17" t="s">
        <v>4523</v>
      </c>
      <c r="F12184" s="17"/>
      <c r="G12184" s="18" t="n">
        <v>1705.92</v>
      </c>
      <c r="H12184" s="18" t="n">
        <v>0</v>
      </c>
      <c r="I12184" s="18" t="n">
        <f aca="false">((I12183 + G12184) - H12184)</f>
        <v>8358.48</v>
      </c>
      <c r="J12184" s="18" t="n">
        <v>0</v>
      </c>
      <c r="K12184" s="19" t="n">
        <v>0</v>
      </c>
      <c r="L12184" s="17" t="s">
        <v>1399</v>
      </c>
    </row>
    <row r="12185" s="11" customFormat="true" ht="10.95" hidden="false" customHeight="true" outlineLevel="0" collapsed="false">
      <c r="A12185" s="16" t="n">
        <v>45267</v>
      </c>
      <c r="B12185" s="17" t="s">
        <v>4521</v>
      </c>
      <c r="C12185" s="17" t="s">
        <v>3614</v>
      </c>
      <c r="D12185" s="17" t="s">
        <v>2106</v>
      </c>
      <c r="E12185" s="17" t="s">
        <v>4524</v>
      </c>
      <c r="F12185" s="17" t="s">
        <v>2132</v>
      </c>
      <c r="G12185" s="18" t="n">
        <v>0</v>
      </c>
      <c r="H12185" s="18" t="n">
        <v>5848.12</v>
      </c>
      <c r="I12185" s="18" t="n">
        <f aca="false">((I12184 + G12185) - H12185)</f>
        <v>2510.36</v>
      </c>
      <c r="J12185" s="18" t="n">
        <v>0</v>
      </c>
      <c r="K12185" s="19" t="n">
        <v>0</v>
      </c>
      <c r="L12185" s="17" t="s">
        <v>1399</v>
      </c>
    </row>
    <row r="12186" s="11" customFormat="true" ht="10.95" hidden="false" customHeight="true" outlineLevel="0" collapsed="false">
      <c r="A12186" s="16" t="n">
        <v>45272</v>
      </c>
      <c r="B12186" s="17" t="s">
        <v>4521</v>
      </c>
      <c r="C12186" s="17" t="s">
        <v>3614</v>
      </c>
      <c r="D12186" s="17" t="s">
        <v>1407</v>
      </c>
      <c r="E12186" s="17" t="s">
        <v>2170</v>
      </c>
      <c r="F12186" s="17"/>
      <c r="G12186" s="18" t="n">
        <v>1188.2</v>
      </c>
      <c r="H12186" s="18" t="n">
        <v>0</v>
      </c>
      <c r="I12186" s="18" t="n">
        <f aca="false">((I12185 + G12186) - H12186)</f>
        <v>3698.56</v>
      </c>
      <c r="J12186" s="18" t="n">
        <v>0</v>
      </c>
      <c r="K12186" s="19" t="n">
        <v>0</v>
      </c>
      <c r="L12186" s="17" t="s">
        <v>1399</v>
      </c>
    </row>
    <row r="12187" s="11" customFormat="true" ht="10.95" hidden="false" customHeight="true" outlineLevel="0" collapsed="false">
      <c r="A12187" s="16" t="n">
        <v>45273</v>
      </c>
      <c r="B12187" s="17" t="s">
        <v>4521</v>
      </c>
      <c r="C12187" s="17" t="s">
        <v>3614</v>
      </c>
      <c r="D12187" s="17" t="s">
        <v>1407</v>
      </c>
      <c r="E12187" s="17" t="s">
        <v>4526</v>
      </c>
      <c r="F12187" s="17"/>
      <c r="G12187" s="18" t="n">
        <v>140</v>
      </c>
      <c r="H12187" s="18" t="n">
        <v>0</v>
      </c>
      <c r="I12187" s="18" t="n">
        <f aca="false">((I12186 + G12187) - H12187)</f>
        <v>3838.56</v>
      </c>
      <c r="J12187" s="18" t="n">
        <v>0</v>
      </c>
      <c r="K12187" s="19" t="n">
        <v>0</v>
      </c>
      <c r="L12187" s="17" t="s">
        <v>1399</v>
      </c>
    </row>
    <row r="12188" s="11" customFormat="true" ht="10.95" hidden="false" customHeight="true" outlineLevel="0" collapsed="false">
      <c r="A12188" s="16" t="n">
        <v>45273</v>
      </c>
      <c r="B12188" s="17" t="s">
        <v>4521</v>
      </c>
      <c r="C12188" s="17" t="s">
        <v>3614</v>
      </c>
      <c r="D12188" s="17" t="s">
        <v>1407</v>
      </c>
      <c r="E12188" s="17" t="s">
        <v>4522</v>
      </c>
      <c r="F12188" s="17"/>
      <c r="G12188" s="18" t="n">
        <v>1207</v>
      </c>
      <c r="H12188" s="18" t="n">
        <v>0</v>
      </c>
      <c r="I12188" s="18" t="n">
        <f aca="false">((I12187 + G12188) - H12188)</f>
        <v>5045.56</v>
      </c>
      <c r="J12188" s="18" t="n">
        <v>0</v>
      </c>
      <c r="K12188" s="19" t="n">
        <v>0</v>
      </c>
      <c r="L12188" s="17" t="s">
        <v>1399</v>
      </c>
    </row>
    <row r="12189" s="11" customFormat="true" ht="10.95" hidden="false" customHeight="true" outlineLevel="0" collapsed="false">
      <c r="A12189" s="16" t="n">
        <v>45273</v>
      </c>
      <c r="B12189" s="17" t="s">
        <v>4521</v>
      </c>
      <c r="C12189" s="17" t="s">
        <v>3614</v>
      </c>
      <c r="D12189" s="17" t="s">
        <v>1407</v>
      </c>
      <c r="E12189" s="17" t="s">
        <v>2169</v>
      </c>
      <c r="F12189" s="17"/>
      <c r="G12189" s="18" t="n">
        <v>1207</v>
      </c>
      <c r="H12189" s="18" t="n">
        <v>0</v>
      </c>
      <c r="I12189" s="18" t="n">
        <f aca="false">((I12188 + G12189) - H12189)</f>
        <v>6252.56</v>
      </c>
      <c r="J12189" s="18" t="n">
        <v>0</v>
      </c>
      <c r="K12189" s="19" t="n">
        <v>0</v>
      </c>
      <c r="L12189" s="17" t="s">
        <v>1399</v>
      </c>
    </row>
    <row r="12190" s="11" customFormat="true" ht="10.95" hidden="false" customHeight="true" outlineLevel="0" collapsed="false">
      <c r="A12190" s="16" t="n">
        <v>45273</v>
      </c>
      <c r="B12190" s="17" t="s">
        <v>4521</v>
      </c>
      <c r="C12190" s="17" t="s">
        <v>3614</v>
      </c>
      <c r="D12190" s="17" t="s">
        <v>1407</v>
      </c>
      <c r="E12190" s="17" t="s">
        <v>4523</v>
      </c>
      <c r="F12190" s="17"/>
      <c r="G12190" s="18" t="n">
        <v>1705.92</v>
      </c>
      <c r="H12190" s="18" t="n">
        <v>0</v>
      </c>
      <c r="I12190" s="18" t="n">
        <f aca="false">((I12189 + G12190) - H12190)</f>
        <v>7958.48</v>
      </c>
      <c r="J12190" s="18" t="n">
        <v>0</v>
      </c>
      <c r="K12190" s="19" t="n">
        <v>0</v>
      </c>
      <c r="L12190" s="17" t="s">
        <v>1399</v>
      </c>
    </row>
    <row r="12191" s="11" customFormat="true" ht="10.95" hidden="false" customHeight="true" outlineLevel="0" collapsed="false">
      <c r="A12191" s="16" t="n">
        <v>45274</v>
      </c>
      <c r="B12191" s="17" t="s">
        <v>4521</v>
      </c>
      <c r="C12191" s="17" t="s">
        <v>3614</v>
      </c>
      <c r="D12191" s="17" t="s">
        <v>2106</v>
      </c>
      <c r="E12191" s="17" t="s">
        <v>4524</v>
      </c>
      <c r="F12191" s="17" t="s">
        <v>2133</v>
      </c>
      <c r="G12191" s="18" t="n">
        <v>0</v>
      </c>
      <c r="H12191" s="18" t="n">
        <v>5448.12</v>
      </c>
      <c r="I12191" s="18" t="n">
        <f aca="false">((I12190 + G12191) - H12191)</f>
        <v>2510.36</v>
      </c>
      <c r="J12191" s="18" t="n">
        <v>0</v>
      </c>
      <c r="K12191" s="19" t="n">
        <v>0</v>
      </c>
      <c r="L12191" s="17" t="s">
        <v>1399</v>
      </c>
    </row>
    <row r="12192" s="11" customFormat="true" ht="10.95" hidden="false" customHeight="true" outlineLevel="0" collapsed="false">
      <c r="A12192" s="16" t="n">
        <v>45279</v>
      </c>
      <c r="B12192" s="17" t="s">
        <v>4521</v>
      </c>
      <c r="C12192" s="17" t="s">
        <v>3614</v>
      </c>
      <c r="D12192" s="17" t="s">
        <v>1407</v>
      </c>
      <c r="E12192" s="17" t="s">
        <v>2170</v>
      </c>
      <c r="F12192" s="17"/>
      <c r="G12192" s="18" t="n">
        <v>1188.2</v>
      </c>
      <c r="H12192" s="18" t="n">
        <v>0</v>
      </c>
      <c r="I12192" s="18" t="n">
        <f aca="false">((I12191 + G12192) - H12192)</f>
        <v>3698.56</v>
      </c>
      <c r="J12192" s="18" t="n">
        <v>0</v>
      </c>
      <c r="K12192" s="19" t="n">
        <v>0</v>
      </c>
      <c r="L12192" s="17" t="s">
        <v>1399</v>
      </c>
    </row>
    <row r="12193" s="11" customFormat="true" ht="10.95" hidden="false" customHeight="true" outlineLevel="0" collapsed="false">
      <c r="A12193" s="16" t="n">
        <v>45280</v>
      </c>
      <c r="B12193" s="17" t="s">
        <v>4521</v>
      </c>
      <c r="C12193" s="17" t="s">
        <v>3614</v>
      </c>
      <c r="D12193" s="17" t="s">
        <v>1407</v>
      </c>
      <c r="E12193" s="17" t="s">
        <v>4526</v>
      </c>
      <c r="F12193" s="17"/>
      <c r="G12193" s="18" t="n">
        <v>140</v>
      </c>
      <c r="H12193" s="18" t="n">
        <v>0</v>
      </c>
      <c r="I12193" s="18" t="n">
        <f aca="false">((I12192 + G12193) - H12193)</f>
        <v>3838.56</v>
      </c>
      <c r="J12193" s="18" t="n">
        <v>0</v>
      </c>
      <c r="K12193" s="19" t="n">
        <v>0</v>
      </c>
      <c r="L12193" s="17" t="s">
        <v>1399</v>
      </c>
    </row>
    <row r="12194" s="11" customFormat="true" ht="10.95" hidden="false" customHeight="true" outlineLevel="0" collapsed="false">
      <c r="A12194" s="16" t="n">
        <v>45280</v>
      </c>
      <c r="B12194" s="17" t="s">
        <v>4521</v>
      </c>
      <c r="C12194" s="17" t="s">
        <v>3614</v>
      </c>
      <c r="D12194" s="17" t="s">
        <v>1407</v>
      </c>
      <c r="E12194" s="17" t="s">
        <v>4522</v>
      </c>
      <c r="F12194" s="17"/>
      <c r="G12194" s="18" t="n">
        <v>1207</v>
      </c>
      <c r="H12194" s="18" t="n">
        <v>0</v>
      </c>
      <c r="I12194" s="18" t="n">
        <f aca="false">((I12193 + G12194) - H12194)</f>
        <v>5045.56</v>
      </c>
      <c r="J12194" s="18" t="n">
        <v>0</v>
      </c>
      <c r="K12194" s="19" t="n">
        <v>0</v>
      </c>
      <c r="L12194" s="17" t="s">
        <v>1399</v>
      </c>
    </row>
    <row r="12195" s="11" customFormat="true" ht="10.95" hidden="false" customHeight="true" outlineLevel="0" collapsed="false">
      <c r="A12195" s="16" t="n">
        <v>45280</v>
      </c>
      <c r="B12195" s="17" t="s">
        <v>4521</v>
      </c>
      <c r="C12195" s="17" t="s">
        <v>3614</v>
      </c>
      <c r="D12195" s="17" t="s">
        <v>1407</v>
      </c>
      <c r="E12195" s="17" t="s">
        <v>2169</v>
      </c>
      <c r="F12195" s="17"/>
      <c r="G12195" s="18" t="n">
        <v>1207</v>
      </c>
      <c r="H12195" s="18" t="n">
        <v>0</v>
      </c>
      <c r="I12195" s="18" t="n">
        <f aca="false">((I12194 + G12195) - H12195)</f>
        <v>6252.56</v>
      </c>
      <c r="J12195" s="18" t="n">
        <v>0</v>
      </c>
      <c r="K12195" s="19" t="n">
        <v>0</v>
      </c>
      <c r="L12195" s="17" t="s">
        <v>1399</v>
      </c>
    </row>
    <row r="12196" s="11" customFormat="true" ht="10.95" hidden="false" customHeight="true" outlineLevel="0" collapsed="false">
      <c r="A12196" s="16" t="n">
        <v>45280</v>
      </c>
      <c r="B12196" s="17" t="s">
        <v>4521</v>
      </c>
      <c r="C12196" s="17" t="s">
        <v>3614</v>
      </c>
      <c r="D12196" s="17" t="s">
        <v>1407</v>
      </c>
      <c r="E12196" s="17" t="s">
        <v>4523</v>
      </c>
      <c r="F12196" s="17"/>
      <c r="G12196" s="18" t="n">
        <v>1705.92</v>
      </c>
      <c r="H12196" s="18" t="n">
        <v>0</v>
      </c>
      <c r="I12196" s="18" t="n">
        <f aca="false">((I12195 + G12196) - H12196)</f>
        <v>7958.48</v>
      </c>
      <c r="J12196" s="18" t="n">
        <v>0</v>
      </c>
      <c r="K12196" s="19" t="n">
        <v>0</v>
      </c>
      <c r="L12196" s="17" t="s">
        <v>1399</v>
      </c>
    </row>
    <row r="12197" s="11" customFormat="true" ht="10.95" hidden="false" customHeight="true" outlineLevel="0" collapsed="false">
      <c r="A12197" s="16" t="n">
        <v>45281</v>
      </c>
      <c r="B12197" s="17" t="s">
        <v>4521</v>
      </c>
      <c r="C12197" s="17" t="s">
        <v>3614</v>
      </c>
      <c r="D12197" s="17" t="s">
        <v>2106</v>
      </c>
      <c r="E12197" s="17" t="s">
        <v>4524</v>
      </c>
      <c r="F12197" s="17" t="s">
        <v>2134</v>
      </c>
      <c r="G12197" s="18" t="n">
        <v>0</v>
      </c>
      <c r="H12197" s="18" t="n">
        <v>5448.12</v>
      </c>
      <c r="I12197" s="18" t="n">
        <f aca="false">((I12196 + G12197) - H12197)</f>
        <v>2510.36</v>
      </c>
      <c r="J12197" s="18" t="n">
        <v>0</v>
      </c>
      <c r="K12197" s="19" t="n">
        <v>0</v>
      </c>
      <c r="L12197" s="17" t="s">
        <v>1399</v>
      </c>
    </row>
    <row r="12198" s="11" customFormat="true" ht="10.95" hidden="false" customHeight="true" outlineLevel="0" collapsed="false">
      <c r="A12198" s="16" t="n">
        <v>45283</v>
      </c>
      <c r="B12198" s="17" t="s">
        <v>4521</v>
      </c>
      <c r="C12198" s="17" t="s">
        <v>3614</v>
      </c>
      <c r="D12198" s="17" t="s">
        <v>1407</v>
      </c>
      <c r="E12198" s="17" t="s">
        <v>4536</v>
      </c>
      <c r="F12198" s="17"/>
      <c r="G12198" s="18" t="n">
        <v>1000</v>
      </c>
      <c r="H12198" s="18" t="n">
        <v>0</v>
      </c>
      <c r="I12198" s="18" t="n">
        <f aca="false">((I12197 + G12198) - H12198)</f>
        <v>3510.36</v>
      </c>
      <c r="J12198" s="18" t="n">
        <v>0</v>
      </c>
      <c r="K12198" s="19" t="n">
        <v>0</v>
      </c>
      <c r="L12198" s="17" t="s">
        <v>1399</v>
      </c>
    </row>
    <row r="12199" s="11" customFormat="true" ht="10.95" hidden="false" customHeight="true" outlineLevel="0" collapsed="false">
      <c r="A12199" s="16" t="n">
        <v>45283</v>
      </c>
      <c r="B12199" s="17" t="s">
        <v>4521</v>
      </c>
      <c r="C12199" s="17" t="s">
        <v>3614</v>
      </c>
      <c r="D12199" s="17" t="s">
        <v>1407</v>
      </c>
      <c r="E12199" s="17" t="s">
        <v>4537</v>
      </c>
      <c r="F12199" s="17"/>
      <c r="G12199" s="18" t="n">
        <v>1000</v>
      </c>
      <c r="H12199" s="18" t="n">
        <v>0</v>
      </c>
      <c r="I12199" s="18" t="n">
        <f aca="false">((I12198 + G12199) - H12199)</f>
        <v>4510.36</v>
      </c>
      <c r="J12199" s="18" t="n">
        <v>0</v>
      </c>
      <c r="K12199" s="19" t="n">
        <v>0</v>
      </c>
      <c r="L12199" s="17" t="s">
        <v>1399</v>
      </c>
    </row>
    <row r="12200" s="11" customFormat="true" ht="10.95" hidden="false" customHeight="true" outlineLevel="0" collapsed="false">
      <c r="A12200" s="16" t="n">
        <v>45283</v>
      </c>
      <c r="B12200" s="17" t="s">
        <v>4521</v>
      </c>
      <c r="C12200" s="17" t="s">
        <v>3614</v>
      </c>
      <c r="D12200" s="17" t="s">
        <v>1407</v>
      </c>
      <c r="E12200" s="17" t="s">
        <v>4538</v>
      </c>
      <c r="F12200" s="17"/>
      <c r="G12200" s="18" t="n">
        <v>1000</v>
      </c>
      <c r="H12200" s="18" t="n">
        <v>0</v>
      </c>
      <c r="I12200" s="18" t="n">
        <f aca="false">((I12199 + G12200) - H12200)</f>
        <v>5510.36</v>
      </c>
      <c r="J12200" s="18" t="n">
        <v>0</v>
      </c>
      <c r="K12200" s="19" t="n">
        <v>0</v>
      </c>
      <c r="L12200" s="17" t="s">
        <v>1399</v>
      </c>
    </row>
    <row r="12201" s="11" customFormat="true" ht="10.95" hidden="false" customHeight="true" outlineLevel="0" collapsed="false">
      <c r="A12201" s="16" t="n">
        <v>45286</v>
      </c>
      <c r="B12201" s="17" t="s">
        <v>4521</v>
      </c>
      <c r="C12201" s="17" t="s">
        <v>3614</v>
      </c>
      <c r="D12201" s="17" t="s">
        <v>1407</v>
      </c>
      <c r="E12201" s="17" t="s">
        <v>2170</v>
      </c>
      <c r="F12201" s="17"/>
      <c r="G12201" s="18" t="n">
        <v>1188.2</v>
      </c>
      <c r="H12201" s="18" t="n">
        <v>0</v>
      </c>
      <c r="I12201" s="18" t="n">
        <f aca="false">((I12200 + G12201) - H12201)</f>
        <v>6698.56</v>
      </c>
      <c r="J12201" s="18" t="n">
        <v>0</v>
      </c>
      <c r="K12201" s="19" t="n">
        <v>0</v>
      </c>
      <c r="L12201" s="17" t="s">
        <v>1399</v>
      </c>
    </row>
    <row r="12202" s="11" customFormat="true" ht="10.95" hidden="false" customHeight="true" outlineLevel="0" collapsed="false">
      <c r="A12202" s="16" t="n">
        <v>45287</v>
      </c>
      <c r="B12202" s="17" t="s">
        <v>4521</v>
      </c>
      <c r="C12202" s="17" t="s">
        <v>3614</v>
      </c>
      <c r="D12202" s="17" t="s">
        <v>1407</v>
      </c>
      <c r="E12202" s="17" t="s">
        <v>4526</v>
      </c>
      <c r="F12202" s="17"/>
      <c r="G12202" s="18" t="n">
        <v>140</v>
      </c>
      <c r="H12202" s="18" t="n">
        <v>0</v>
      </c>
      <c r="I12202" s="18" t="n">
        <f aca="false">((I12201 + G12202) - H12202)</f>
        <v>6838.56</v>
      </c>
      <c r="J12202" s="18" t="n">
        <v>0</v>
      </c>
      <c r="K12202" s="19" t="n">
        <v>0</v>
      </c>
      <c r="L12202" s="17" t="s">
        <v>1399</v>
      </c>
    </row>
    <row r="12203" s="11" customFormat="true" ht="10.95" hidden="false" customHeight="true" outlineLevel="0" collapsed="false">
      <c r="A12203" s="16" t="n">
        <v>45287</v>
      </c>
      <c r="B12203" s="17" t="s">
        <v>4521</v>
      </c>
      <c r="C12203" s="17" t="s">
        <v>3614</v>
      </c>
      <c r="D12203" s="17" t="s">
        <v>1407</v>
      </c>
      <c r="E12203" s="17" t="s">
        <v>4522</v>
      </c>
      <c r="F12203" s="17"/>
      <c r="G12203" s="18" t="n">
        <v>1207</v>
      </c>
      <c r="H12203" s="18" t="n">
        <v>0</v>
      </c>
      <c r="I12203" s="18" t="n">
        <f aca="false">((I12202 + G12203) - H12203)</f>
        <v>8045.56</v>
      </c>
      <c r="J12203" s="18" t="n">
        <v>0</v>
      </c>
      <c r="K12203" s="19" t="n">
        <v>0</v>
      </c>
      <c r="L12203" s="17" t="s">
        <v>1399</v>
      </c>
    </row>
    <row r="12204" s="11" customFormat="true" ht="10.95" hidden="false" customHeight="true" outlineLevel="0" collapsed="false">
      <c r="A12204" s="16" t="n">
        <v>45287</v>
      </c>
      <c r="B12204" s="17" t="s">
        <v>4521</v>
      </c>
      <c r="C12204" s="17" t="s">
        <v>3614</v>
      </c>
      <c r="D12204" s="17" t="s">
        <v>1407</v>
      </c>
      <c r="E12204" s="17" t="s">
        <v>2169</v>
      </c>
      <c r="F12204" s="17"/>
      <c r="G12204" s="18" t="n">
        <v>1207</v>
      </c>
      <c r="H12204" s="18" t="n">
        <v>0</v>
      </c>
      <c r="I12204" s="18" t="n">
        <f aca="false">((I12203 + G12204) - H12204)</f>
        <v>9252.56</v>
      </c>
      <c r="J12204" s="18" t="n">
        <v>0</v>
      </c>
      <c r="K12204" s="19" t="n">
        <v>0</v>
      </c>
      <c r="L12204" s="17" t="s">
        <v>1399</v>
      </c>
    </row>
    <row r="12205" s="11" customFormat="true" ht="10.95" hidden="false" customHeight="true" outlineLevel="0" collapsed="false">
      <c r="A12205" s="16" t="n">
        <v>45287</v>
      </c>
      <c r="B12205" s="17" t="s">
        <v>4521</v>
      </c>
      <c r="C12205" s="17" t="s">
        <v>3614</v>
      </c>
      <c r="D12205" s="17" t="s">
        <v>1407</v>
      </c>
      <c r="E12205" s="17" t="s">
        <v>4523</v>
      </c>
      <c r="F12205" s="17"/>
      <c r="G12205" s="18" t="n">
        <v>1705.92</v>
      </c>
      <c r="H12205" s="18" t="n">
        <v>0</v>
      </c>
      <c r="I12205" s="18" t="n">
        <f aca="false">((I12204 + G12205) - H12205)</f>
        <v>10958.48</v>
      </c>
      <c r="J12205" s="18" t="n">
        <v>0</v>
      </c>
      <c r="K12205" s="19" t="n">
        <v>0</v>
      </c>
      <c r="L12205" s="17" t="s">
        <v>1399</v>
      </c>
    </row>
    <row r="12206" s="11" customFormat="true" ht="10.95" hidden="false" customHeight="true" outlineLevel="0" collapsed="false">
      <c r="A12206" s="16" t="n">
        <v>45288</v>
      </c>
      <c r="B12206" s="17" t="s">
        <v>4521</v>
      </c>
      <c r="C12206" s="17" t="s">
        <v>3614</v>
      </c>
      <c r="D12206" s="17" t="s">
        <v>2106</v>
      </c>
      <c r="E12206" s="17" t="s">
        <v>4524</v>
      </c>
      <c r="F12206" s="17" t="s">
        <v>2135</v>
      </c>
      <c r="G12206" s="18" t="n">
        <v>0</v>
      </c>
      <c r="H12206" s="18" t="n">
        <v>5448.11</v>
      </c>
      <c r="I12206" s="18" t="n">
        <f aca="false">((I12205 + G12206) - H12206)</f>
        <v>5510.37</v>
      </c>
      <c r="J12206" s="18" t="n">
        <v>0</v>
      </c>
      <c r="K12206" s="19" t="n">
        <v>0</v>
      </c>
      <c r="L12206" s="17" t="s">
        <v>1399</v>
      </c>
    </row>
    <row r="12207" s="11" customFormat="true" ht="10.95" hidden="false" customHeight="true" outlineLevel="0" collapsed="false">
      <c r="A12207" s="16" t="n">
        <v>45293</v>
      </c>
      <c r="B12207" s="17" t="s">
        <v>4521</v>
      </c>
      <c r="C12207" s="17" t="s">
        <v>3614</v>
      </c>
      <c r="D12207" s="17" t="s">
        <v>1407</v>
      </c>
      <c r="E12207" s="17" t="s">
        <v>2170</v>
      </c>
      <c r="F12207" s="17"/>
      <c r="G12207" s="18" t="n">
        <v>1188.2</v>
      </c>
      <c r="H12207" s="18" t="n">
        <v>0</v>
      </c>
      <c r="I12207" s="18" t="n">
        <f aca="false">((I12206 + G12207) - H12207)</f>
        <v>6698.57</v>
      </c>
      <c r="J12207" s="18" t="n">
        <v>0</v>
      </c>
      <c r="K12207" s="19" t="n">
        <v>0</v>
      </c>
      <c r="L12207" s="17" t="s">
        <v>1399</v>
      </c>
    </row>
    <row r="12208" s="11" customFormat="true" ht="10.95" hidden="false" customHeight="true" outlineLevel="0" collapsed="false">
      <c r="A12208" s="16" t="n">
        <v>45294</v>
      </c>
      <c r="B12208" s="17" t="s">
        <v>4521</v>
      </c>
      <c r="C12208" s="17" t="s">
        <v>3614</v>
      </c>
      <c r="D12208" s="17" t="s">
        <v>1407</v>
      </c>
      <c r="E12208" s="17" t="s">
        <v>4526</v>
      </c>
      <c r="F12208" s="17"/>
      <c r="G12208" s="18" t="n">
        <v>140</v>
      </c>
      <c r="H12208" s="18" t="n">
        <v>0</v>
      </c>
      <c r="I12208" s="18" t="n">
        <f aca="false">((I12207 + G12208) - H12208)</f>
        <v>6838.57</v>
      </c>
      <c r="J12208" s="18" t="n">
        <v>0</v>
      </c>
      <c r="K12208" s="19" t="n">
        <v>0</v>
      </c>
      <c r="L12208" s="17" t="s">
        <v>1399</v>
      </c>
    </row>
    <row r="12209" s="11" customFormat="true" ht="10.95" hidden="false" customHeight="true" outlineLevel="0" collapsed="false">
      <c r="A12209" s="16" t="n">
        <v>45294</v>
      </c>
      <c r="B12209" s="17" t="s">
        <v>4521</v>
      </c>
      <c r="C12209" s="17" t="s">
        <v>3614</v>
      </c>
      <c r="D12209" s="17" t="s">
        <v>1407</v>
      </c>
      <c r="E12209" s="17" t="s">
        <v>4522</v>
      </c>
      <c r="F12209" s="17"/>
      <c r="G12209" s="18" t="n">
        <v>1207</v>
      </c>
      <c r="H12209" s="18" t="n">
        <v>0</v>
      </c>
      <c r="I12209" s="18" t="n">
        <f aca="false">((I12208 + G12209) - H12209)</f>
        <v>8045.57</v>
      </c>
      <c r="J12209" s="18" t="n">
        <v>0</v>
      </c>
      <c r="K12209" s="19" t="n">
        <v>0</v>
      </c>
      <c r="L12209" s="17" t="s">
        <v>1399</v>
      </c>
    </row>
    <row r="12210" s="11" customFormat="true" ht="10.95" hidden="false" customHeight="true" outlineLevel="0" collapsed="false">
      <c r="A12210" s="16" t="n">
        <v>45294</v>
      </c>
      <c r="B12210" s="17" t="s">
        <v>4521</v>
      </c>
      <c r="C12210" s="17" t="s">
        <v>3614</v>
      </c>
      <c r="D12210" s="17" t="s">
        <v>1407</v>
      </c>
      <c r="E12210" s="17" t="s">
        <v>2169</v>
      </c>
      <c r="F12210" s="17"/>
      <c r="G12210" s="18" t="n">
        <v>1207</v>
      </c>
      <c r="H12210" s="18" t="n">
        <v>0</v>
      </c>
      <c r="I12210" s="18" t="n">
        <f aca="false">((I12209 + G12210) - H12210)</f>
        <v>9252.57</v>
      </c>
      <c r="J12210" s="18" t="n">
        <v>0</v>
      </c>
      <c r="K12210" s="19" t="n">
        <v>0</v>
      </c>
      <c r="L12210" s="17" t="s">
        <v>1399</v>
      </c>
    </row>
    <row r="12211" s="11" customFormat="true" ht="10.95" hidden="false" customHeight="true" outlineLevel="0" collapsed="false">
      <c r="A12211" s="16" t="n">
        <v>45294</v>
      </c>
      <c r="B12211" s="17" t="s">
        <v>4521</v>
      </c>
      <c r="C12211" s="17" t="s">
        <v>3614</v>
      </c>
      <c r="D12211" s="17" t="s">
        <v>1407</v>
      </c>
      <c r="E12211" s="17" t="s">
        <v>4523</v>
      </c>
      <c r="F12211" s="17"/>
      <c r="G12211" s="18" t="n">
        <v>1705.92</v>
      </c>
      <c r="H12211" s="18" t="n">
        <v>0</v>
      </c>
      <c r="I12211" s="18" t="n">
        <f aca="false">((I12210 + G12211) - H12211)</f>
        <v>10958.49</v>
      </c>
      <c r="J12211" s="18" t="n">
        <v>0</v>
      </c>
      <c r="K12211" s="19" t="n">
        <v>0</v>
      </c>
      <c r="L12211" s="17" t="s">
        <v>1399</v>
      </c>
    </row>
    <row r="12212" s="11" customFormat="true" ht="10.95" hidden="false" customHeight="true" outlineLevel="0" collapsed="false">
      <c r="A12212" s="16" t="n">
        <v>45295</v>
      </c>
      <c r="B12212" s="17" t="s">
        <v>4521</v>
      </c>
      <c r="C12212" s="17" t="s">
        <v>3614</v>
      </c>
      <c r="D12212" s="17" t="s">
        <v>2106</v>
      </c>
      <c r="E12212" s="17" t="s">
        <v>4524</v>
      </c>
      <c r="F12212" s="17" t="s">
        <v>2136</v>
      </c>
      <c r="G12212" s="18" t="n">
        <v>0</v>
      </c>
      <c r="H12212" s="18" t="n">
        <v>5448.12</v>
      </c>
      <c r="I12212" s="18" t="n">
        <f aca="false">((I12211 + G12212) - H12212)</f>
        <v>5510.37</v>
      </c>
      <c r="J12212" s="18" t="n">
        <v>0</v>
      </c>
      <c r="K12212" s="19" t="n">
        <v>0</v>
      </c>
      <c r="L12212" s="17" t="s">
        <v>1399</v>
      </c>
    </row>
    <row r="12213" s="11" customFormat="true" ht="10.95" hidden="false" customHeight="true" outlineLevel="0" collapsed="false">
      <c r="A12213" s="16" t="n">
        <v>45300</v>
      </c>
      <c r="B12213" s="17" t="s">
        <v>4521</v>
      </c>
      <c r="C12213" s="17" t="s">
        <v>3614</v>
      </c>
      <c r="D12213" s="17" t="s">
        <v>1407</v>
      </c>
      <c r="E12213" s="17" t="s">
        <v>2170</v>
      </c>
      <c r="F12213" s="17"/>
      <c r="G12213" s="18" t="n">
        <v>1417</v>
      </c>
      <c r="H12213" s="18" t="n">
        <v>0</v>
      </c>
      <c r="I12213" s="18" t="n">
        <f aca="false">((I12212 + G12213) - H12213)</f>
        <v>6927.37</v>
      </c>
      <c r="J12213" s="18" t="n">
        <v>0</v>
      </c>
      <c r="K12213" s="19" t="n">
        <v>0</v>
      </c>
      <c r="L12213" s="17" t="s">
        <v>1399</v>
      </c>
    </row>
    <row r="12214" s="11" customFormat="true" ht="10.95" hidden="false" customHeight="true" outlineLevel="0" collapsed="false">
      <c r="A12214" s="16" t="n">
        <v>45301</v>
      </c>
      <c r="B12214" s="17" t="s">
        <v>4521</v>
      </c>
      <c r="C12214" s="17" t="s">
        <v>3614</v>
      </c>
      <c r="D12214" s="17" t="s">
        <v>1407</v>
      </c>
      <c r="E12214" s="17" t="s">
        <v>4526</v>
      </c>
      <c r="F12214" s="17"/>
      <c r="G12214" s="18" t="n">
        <v>140</v>
      </c>
      <c r="H12214" s="18" t="n">
        <v>0</v>
      </c>
      <c r="I12214" s="18" t="n">
        <f aca="false">((I12213 + G12214) - H12214)</f>
        <v>7067.37</v>
      </c>
      <c r="J12214" s="18" t="n">
        <v>0</v>
      </c>
      <c r="K12214" s="19" t="n">
        <v>0</v>
      </c>
      <c r="L12214" s="17" t="s">
        <v>1399</v>
      </c>
    </row>
    <row r="12215" s="11" customFormat="true" ht="10.95" hidden="false" customHeight="true" outlineLevel="0" collapsed="false">
      <c r="A12215" s="16" t="n">
        <v>45301</v>
      </c>
      <c r="B12215" s="17" t="s">
        <v>4521</v>
      </c>
      <c r="C12215" s="17" t="s">
        <v>3614</v>
      </c>
      <c r="D12215" s="17" t="s">
        <v>1407</v>
      </c>
      <c r="E12215" s="17" t="s">
        <v>4522</v>
      </c>
      <c r="F12215" s="17"/>
      <c r="G12215" s="18" t="n">
        <v>1207</v>
      </c>
      <c r="H12215" s="18" t="n">
        <v>0</v>
      </c>
      <c r="I12215" s="18" t="n">
        <f aca="false">((I12214 + G12215) - H12215)</f>
        <v>8274.37</v>
      </c>
      <c r="J12215" s="18" t="n">
        <v>0</v>
      </c>
      <c r="K12215" s="19" t="n">
        <v>0</v>
      </c>
      <c r="L12215" s="17" t="s">
        <v>1399</v>
      </c>
    </row>
    <row r="12216" s="11" customFormat="true" ht="10.95" hidden="false" customHeight="true" outlineLevel="0" collapsed="false">
      <c r="A12216" s="16" t="n">
        <v>45301</v>
      </c>
      <c r="B12216" s="17" t="s">
        <v>4521</v>
      </c>
      <c r="C12216" s="17" t="s">
        <v>3614</v>
      </c>
      <c r="D12216" s="17" t="s">
        <v>1407</v>
      </c>
      <c r="E12216" s="17" t="s">
        <v>2169</v>
      </c>
      <c r="F12216" s="17"/>
      <c r="G12216" s="18" t="n">
        <v>1207</v>
      </c>
      <c r="H12216" s="18" t="n">
        <v>0</v>
      </c>
      <c r="I12216" s="18" t="n">
        <f aca="false">((I12215 + G12216) - H12216)</f>
        <v>9481.37</v>
      </c>
      <c r="J12216" s="18" t="n">
        <v>0</v>
      </c>
      <c r="K12216" s="19" t="n">
        <v>0</v>
      </c>
      <c r="L12216" s="17" t="s">
        <v>1399</v>
      </c>
    </row>
    <row r="12217" s="11" customFormat="true" ht="10.95" hidden="false" customHeight="true" outlineLevel="0" collapsed="false">
      <c r="A12217" s="16" t="n">
        <v>45301</v>
      </c>
      <c r="B12217" s="17" t="s">
        <v>4521</v>
      </c>
      <c r="C12217" s="17" t="s">
        <v>3614</v>
      </c>
      <c r="D12217" s="17" t="s">
        <v>1407</v>
      </c>
      <c r="E12217" s="17" t="s">
        <v>4523</v>
      </c>
      <c r="F12217" s="17"/>
      <c r="G12217" s="18" t="n">
        <v>1705.92</v>
      </c>
      <c r="H12217" s="18" t="n">
        <v>0</v>
      </c>
      <c r="I12217" s="18" t="n">
        <f aca="false">((I12216 + G12217) - H12217)</f>
        <v>11187.29</v>
      </c>
      <c r="J12217" s="18" t="n">
        <v>0</v>
      </c>
      <c r="K12217" s="19" t="n">
        <v>0</v>
      </c>
      <c r="L12217" s="17" t="s">
        <v>1399</v>
      </c>
    </row>
    <row r="12218" s="11" customFormat="true" ht="10.95" hidden="false" customHeight="true" outlineLevel="0" collapsed="false">
      <c r="A12218" s="16" t="n">
        <v>45302</v>
      </c>
      <c r="B12218" s="17" t="s">
        <v>4521</v>
      </c>
      <c r="C12218" s="17" t="s">
        <v>3614</v>
      </c>
      <c r="D12218" s="17" t="s">
        <v>2106</v>
      </c>
      <c r="E12218" s="17" t="s">
        <v>4524</v>
      </c>
      <c r="F12218" s="17" t="s">
        <v>2137</v>
      </c>
      <c r="G12218" s="18" t="n">
        <v>0</v>
      </c>
      <c r="H12218" s="18" t="n">
        <v>5676.92</v>
      </c>
      <c r="I12218" s="18" t="n">
        <f aca="false">((I12217 + G12218) - H12218)</f>
        <v>5510.37</v>
      </c>
      <c r="J12218" s="18" t="n">
        <v>0</v>
      </c>
      <c r="K12218" s="19" t="n">
        <v>0</v>
      </c>
      <c r="L12218" s="17" t="s">
        <v>1399</v>
      </c>
    </row>
    <row r="12219" s="11" customFormat="true" ht="10.95" hidden="false" customHeight="true" outlineLevel="0" collapsed="false">
      <c r="A12219" s="16" t="n">
        <v>45307</v>
      </c>
      <c r="B12219" s="17" t="s">
        <v>4521</v>
      </c>
      <c r="C12219" s="17" t="s">
        <v>3614</v>
      </c>
      <c r="D12219" s="17" t="s">
        <v>1407</v>
      </c>
      <c r="E12219" s="17" t="s">
        <v>2170</v>
      </c>
      <c r="F12219" s="17"/>
      <c r="G12219" s="18" t="n">
        <v>1417</v>
      </c>
      <c r="H12219" s="18" t="n">
        <v>0</v>
      </c>
      <c r="I12219" s="18" t="n">
        <f aca="false">((I12218 + G12219) - H12219)</f>
        <v>6927.37</v>
      </c>
      <c r="J12219" s="18" t="n">
        <v>0</v>
      </c>
      <c r="K12219" s="19" t="n">
        <v>0</v>
      </c>
      <c r="L12219" s="17" t="s">
        <v>1399</v>
      </c>
    </row>
    <row r="12220" s="11" customFormat="true" ht="10.95" hidden="false" customHeight="true" outlineLevel="0" collapsed="false">
      <c r="A12220" s="16" t="n">
        <v>45308</v>
      </c>
      <c r="B12220" s="17" t="s">
        <v>4521</v>
      </c>
      <c r="C12220" s="17" t="s">
        <v>3614</v>
      </c>
      <c r="D12220" s="17" t="s">
        <v>1407</v>
      </c>
      <c r="E12220" s="17" t="s">
        <v>4526</v>
      </c>
      <c r="F12220" s="17"/>
      <c r="G12220" s="18" t="n">
        <v>140</v>
      </c>
      <c r="H12220" s="18" t="n">
        <v>0</v>
      </c>
      <c r="I12220" s="18" t="n">
        <f aca="false">((I12219 + G12220) - H12220)</f>
        <v>7067.37</v>
      </c>
      <c r="J12220" s="18" t="n">
        <v>0</v>
      </c>
      <c r="K12220" s="19" t="n">
        <v>0</v>
      </c>
      <c r="L12220" s="17" t="s">
        <v>1399</v>
      </c>
    </row>
    <row r="12221" s="11" customFormat="true" ht="10.95" hidden="false" customHeight="true" outlineLevel="0" collapsed="false">
      <c r="A12221" s="16" t="n">
        <v>45308</v>
      </c>
      <c r="B12221" s="17" t="s">
        <v>4521</v>
      </c>
      <c r="C12221" s="17" t="s">
        <v>3614</v>
      </c>
      <c r="D12221" s="17" t="s">
        <v>1407</v>
      </c>
      <c r="E12221" s="17" t="s">
        <v>4522</v>
      </c>
      <c r="F12221" s="17"/>
      <c r="G12221" s="18" t="n">
        <v>1207</v>
      </c>
      <c r="H12221" s="18" t="n">
        <v>0</v>
      </c>
      <c r="I12221" s="18" t="n">
        <f aca="false">((I12220 + G12221) - H12221)</f>
        <v>8274.37</v>
      </c>
      <c r="J12221" s="18" t="n">
        <v>0</v>
      </c>
      <c r="K12221" s="19" t="n">
        <v>0</v>
      </c>
      <c r="L12221" s="17" t="s">
        <v>1399</v>
      </c>
    </row>
    <row r="12222" s="11" customFormat="true" ht="10.95" hidden="false" customHeight="true" outlineLevel="0" collapsed="false">
      <c r="A12222" s="16" t="n">
        <v>45308</v>
      </c>
      <c r="B12222" s="17" t="s">
        <v>4521</v>
      </c>
      <c r="C12222" s="17" t="s">
        <v>3614</v>
      </c>
      <c r="D12222" s="17" t="s">
        <v>1407</v>
      </c>
      <c r="E12222" s="17" t="s">
        <v>2169</v>
      </c>
      <c r="F12222" s="17"/>
      <c r="G12222" s="18" t="n">
        <v>1207</v>
      </c>
      <c r="H12222" s="18" t="n">
        <v>0</v>
      </c>
      <c r="I12222" s="18" t="n">
        <f aca="false">((I12221 + G12222) - H12222)</f>
        <v>9481.37</v>
      </c>
      <c r="J12222" s="18" t="n">
        <v>0</v>
      </c>
      <c r="K12222" s="19" t="n">
        <v>0</v>
      </c>
      <c r="L12222" s="17" t="s">
        <v>1399</v>
      </c>
    </row>
    <row r="12223" s="11" customFormat="true" ht="10.95" hidden="false" customHeight="true" outlineLevel="0" collapsed="false">
      <c r="A12223" s="16" t="n">
        <v>45308</v>
      </c>
      <c r="B12223" s="17" t="s">
        <v>4521</v>
      </c>
      <c r="C12223" s="17" t="s">
        <v>3614</v>
      </c>
      <c r="D12223" s="17" t="s">
        <v>1407</v>
      </c>
      <c r="E12223" s="17" t="s">
        <v>4523</v>
      </c>
      <c r="F12223" s="17"/>
      <c r="G12223" s="18" t="n">
        <v>1705.92</v>
      </c>
      <c r="H12223" s="18" t="n">
        <v>0</v>
      </c>
      <c r="I12223" s="18" t="n">
        <f aca="false">((I12222 + G12223) - H12223)</f>
        <v>11187.29</v>
      </c>
      <c r="J12223" s="18" t="n">
        <v>0</v>
      </c>
      <c r="K12223" s="19" t="n">
        <v>0</v>
      </c>
      <c r="L12223" s="17" t="s">
        <v>1399</v>
      </c>
    </row>
    <row r="12224" s="11" customFormat="true" ht="10.95" hidden="false" customHeight="true" outlineLevel="0" collapsed="false">
      <c r="A12224" s="16" t="n">
        <v>45309</v>
      </c>
      <c r="B12224" s="17" t="s">
        <v>4521</v>
      </c>
      <c r="C12224" s="17" t="s">
        <v>3614</v>
      </c>
      <c r="D12224" s="17" t="s">
        <v>2106</v>
      </c>
      <c r="E12224" s="17" t="s">
        <v>4524</v>
      </c>
      <c r="F12224" s="17" t="s">
        <v>2138</v>
      </c>
      <c r="G12224" s="18" t="n">
        <v>0</v>
      </c>
      <c r="H12224" s="18" t="n">
        <v>5676.92</v>
      </c>
      <c r="I12224" s="18" t="n">
        <f aca="false">((I12223 + G12224) - H12224)</f>
        <v>5510.37</v>
      </c>
      <c r="J12224" s="18" t="n">
        <v>0</v>
      </c>
      <c r="K12224" s="19" t="n">
        <v>0</v>
      </c>
      <c r="L12224" s="17" t="s">
        <v>1399</v>
      </c>
    </row>
    <row r="12225" s="11" customFormat="true" ht="10.95" hidden="false" customHeight="true" outlineLevel="0" collapsed="false">
      <c r="A12225" s="16" t="n">
        <v>45314</v>
      </c>
      <c r="B12225" s="17" t="s">
        <v>4521</v>
      </c>
      <c r="C12225" s="17" t="s">
        <v>3614</v>
      </c>
      <c r="D12225" s="17" t="s">
        <v>1407</v>
      </c>
      <c r="E12225" s="17" t="s">
        <v>4539</v>
      </c>
      <c r="F12225" s="17"/>
      <c r="G12225" s="18" t="n">
        <v>620</v>
      </c>
      <c r="H12225" s="18" t="n">
        <v>0</v>
      </c>
      <c r="I12225" s="18" t="n">
        <f aca="false">((I12224 + G12225) - H12225)</f>
        <v>6130.37</v>
      </c>
      <c r="J12225" s="18" t="n">
        <v>0</v>
      </c>
      <c r="K12225" s="19" t="n">
        <v>0</v>
      </c>
      <c r="L12225" s="17" t="s">
        <v>1399</v>
      </c>
    </row>
    <row r="12226" s="11" customFormat="true" ht="10.95" hidden="false" customHeight="true" outlineLevel="0" collapsed="false">
      <c r="A12226" s="16" t="n">
        <v>45314</v>
      </c>
      <c r="B12226" s="17" t="s">
        <v>4521</v>
      </c>
      <c r="C12226" s="17" t="s">
        <v>3614</v>
      </c>
      <c r="D12226" s="17" t="s">
        <v>1407</v>
      </c>
      <c r="E12226" s="17" t="s">
        <v>2170</v>
      </c>
      <c r="F12226" s="17"/>
      <c r="G12226" s="18" t="n">
        <v>1417</v>
      </c>
      <c r="H12226" s="18" t="n">
        <v>0</v>
      </c>
      <c r="I12226" s="18" t="n">
        <f aca="false">((I12225 + G12226) - H12226)</f>
        <v>7547.37</v>
      </c>
      <c r="J12226" s="18" t="n">
        <v>0</v>
      </c>
      <c r="K12226" s="19" t="n">
        <v>0</v>
      </c>
      <c r="L12226" s="17" t="s">
        <v>1399</v>
      </c>
    </row>
    <row r="12227" s="11" customFormat="true" ht="10.95" hidden="false" customHeight="true" outlineLevel="0" collapsed="false">
      <c r="A12227" s="16" t="n">
        <v>45315</v>
      </c>
      <c r="B12227" s="17" t="s">
        <v>4521</v>
      </c>
      <c r="C12227" s="17" t="s">
        <v>3614</v>
      </c>
      <c r="D12227" s="17" t="s">
        <v>1407</v>
      </c>
      <c r="E12227" s="17" t="s">
        <v>4526</v>
      </c>
      <c r="F12227" s="17"/>
      <c r="G12227" s="18" t="n">
        <v>140</v>
      </c>
      <c r="H12227" s="18" t="n">
        <v>0</v>
      </c>
      <c r="I12227" s="18" t="n">
        <f aca="false">((I12226 + G12227) - H12227)</f>
        <v>7687.37</v>
      </c>
      <c r="J12227" s="18" t="n">
        <v>0</v>
      </c>
      <c r="K12227" s="19" t="n">
        <v>0</v>
      </c>
      <c r="L12227" s="17" t="s">
        <v>1399</v>
      </c>
    </row>
    <row r="12228" s="11" customFormat="true" ht="10.95" hidden="false" customHeight="true" outlineLevel="0" collapsed="false">
      <c r="A12228" s="16" t="n">
        <v>45315</v>
      </c>
      <c r="B12228" s="17" t="s">
        <v>4521</v>
      </c>
      <c r="C12228" s="17" t="s">
        <v>3614</v>
      </c>
      <c r="D12228" s="17" t="s">
        <v>1407</v>
      </c>
      <c r="E12228" s="17" t="s">
        <v>4539</v>
      </c>
      <c r="F12228" s="17"/>
      <c r="G12228" s="18" t="n">
        <v>180</v>
      </c>
      <c r="H12228" s="18" t="n">
        <v>0</v>
      </c>
      <c r="I12228" s="18" t="n">
        <f aca="false">((I12227 + G12228) - H12228)</f>
        <v>7867.37</v>
      </c>
      <c r="J12228" s="18" t="n">
        <v>0</v>
      </c>
      <c r="K12228" s="19" t="n">
        <v>0</v>
      </c>
      <c r="L12228" s="17" t="s">
        <v>1399</v>
      </c>
    </row>
    <row r="12229" s="11" customFormat="true" ht="10.95" hidden="false" customHeight="true" outlineLevel="0" collapsed="false">
      <c r="A12229" s="16" t="n">
        <v>45315</v>
      </c>
      <c r="B12229" s="17" t="s">
        <v>4521</v>
      </c>
      <c r="C12229" s="17" t="s">
        <v>3614</v>
      </c>
      <c r="D12229" s="17" t="s">
        <v>1407</v>
      </c>
      <c r="E12229" s="17" t="s">
        <v>4522</v>
      </c>
      <c r="F12229" s="17"/>
      <c r="G12229" s="18" t="n">
        <v>1207</v>
      </c>
      <c r="H12229" s="18" t="n">
        <v>0</v>
      </c>
      <c r="I12229" s="18" t="n">
        <f aca="false">((I12228 + G12229) - H12229)</f>
        <v>9074.37</v>
      </c>
      <c r="J12229" s="18" t="n">
        <v>0</v>
      </c>
      <c r="K12229" s="19" t="n">
        <v>0</v>
      </c>
      <c r="L12229" s="17" t="s">
        <v>1399</v>
      </c>
    </row>
    <row r="12230" s="11" customFormat="true" ht="10.95" hidden="false" customHeight="true" outlineLevel="0" collapsed="false">
      <c r="A12230" s="16" t="n">
        <v>45315</v>
      </c>
      <c r="B12230" s="17" t="s">
        <v>4521</v>
      </c>
      <c r="C12230" s="17" t="s">
        <v>3614</v>
      </c>
      <c r="D12230" s="17" t="s">
        <v>1407</v>
      </c>
      <c r="E12230" s="17" t="s">
        <v>2169</v>
      </c>
      <c r="F12230" s="17"/>
      <c r="G12230" s="18" t="n">
        <v>1207</v>
      </c>
      <c r="H12230" s="18" t="n">
        <v>0</v>
      </c>
      <c r="I12230" s="18" t="n">
        <f aca="false">((I12229 + G12230) - H12230)</f>
        <v>10281.37</v>
      </c>
      <c r="J12230" s="18" t="n">
        <v>0</v>
      </c>
      <c r="K12230" s="19" t="n">
        <v>0</v>
      </c>
      <c r="L12230" s="17" t="s">
        <v>1399</v>
      </c>
    </row>
    <row r="12231" s="11" customFormat="true" ht="10.95" hidden="false" customHeight="true" outlineLevel="0" collapsed="false">
      <c r="A12231" s="16" t="n">
        <v>45315</v>
      </c>
      <c r="B12231" s="17" t="s">
        <v>4521</v>
      </c>
      <c r="C12231" s="17" t="s">
        <v>3614</v>
      </c>
      <c r="D12231" s="17" t="s">
        <v>1407</v>
      </c>
      <c r="E12231" s="17" t="s">
        <v>4523</v>
      </c>
      <c r="F12231" s="17"/>
      <c r="G12231" s="18" t="n">
        <v>1705.92</v>
      </c>
      <c r="H12231" s="18" t="n">
        <v>0</v>
      </c>
      <c r="I12231" s="18" t="n">
        <f aca="false">((I12230 + G12231) - H12231)</f>
        <v>11987.29</v>
      </c>
      <c r="J12231" s="18" t="n">
        <v>0</v>
      </c>
      <c r="K12231" s="19" t="n">
        <v>0</v>
      </c>
      <c r="L12231" s="17" t="s">
        <v>1399</v>
      </c>
    </row>
    <row r="12232" s="11" customFormat="true" ht="10.95" hidden="false" customHeight="true" outlineLevel="0" collapsed="false">
      <c r="A12232" s="16" t="n">
        <v>45316</v>
      </c>
      <c r="B12232" s="17" t="s">
        <v>4521</v>
      </c>
      <c r="C12232" s="17" t="s">
        <v>3614</v>
      </c>
      <c r="D12232" s="17" t="s">
        <v>2106</v>
      </c>
      <c r="E12232" s="17" t="s">
        <v>4524</v>
      </c>
      <c r="F12232" s="17" t="s">
        <v>2139</v>
      </c>
      <c r="G12232" s="18" t="n">
        <v>0</v>
      </c>
      <c r="H12232" s="18" t="n">
        <v>6076.92</v>
      </c>
      <c r="I12232" s="18" t="n">
        <f aca="false">((I12231 + G12232) - H12232)</f>
        <v>5910.37</v>
      </c>
      <c r="J12232" s="18" t="n">
        <v>0</v>
      </c>
      <c r="K12232" s="19" t="n">
        <v>0</v>
      </c>
      <c r="L12232" s="17" t="s">
        <v>1399</v>
      </c>
    </row>
    <row r="12233" s="11" customFormat="true" ht="10.95" hidden="false" customHeight="true" outlineLevel="0" collapsed="false">
      <c r="A12233" s="16" t="n">
        <v>45321</v>
      </c>
      <c r="B12233" s="17" t="s">
        <v>4521</v>
      </c>
      <c r="C12233" s="17" t="s">
        <v>3614</v>
      </c>
      <c r="D12233" s="17" t="s">
        <v>1407</v>
      </c>
      <c r="E12233" s="17" t="s">
        <v>2170</v>
      </c>
      <c r="F12233" s="17"/>
      <c r="G12233" s="18" t="n">
        <v>1417</v>
      </c>
      <c r="H12233" s="18" t="n">
        <v>0</v>
      </c>
      <c r="I12233" s="18" t="n">
        <f aca="false">((I12232 + G12233) - H12233)</f>
        <v>7327.37</v>
      </c>
      <c r="J12233" s="18" t="n">
        <v>0</v>
      </c>
      <c r="K12233" s="19" t="n">
        <v>0</v>
      </c>
      <c r="L12233" s="17" t="s">
        <v>1399</v>
      </c>
    </row>
    <row r="12234" s="11" customFormat="true" ht="10.95" hidden="false" customHeight="true" outlineLevel="0" collapsed="false">
      <c r="A12234" s="16" t="n">
        <v>45322</v>
      </c>
      <c r="B12234" s="17" t="s">
        <v>4521</v>
      </c>
      <c r="C12234" s="17" t="s">
        <v>3614</v>
      </c>
      <c r="D12234" s="17" t="s">
        <v>1407</v>
      </c>
      <c r="E12234" s="17" t="s">
        <v>4526</v>
      </c>
      <c r="F12234" s="17"/>
      <c r="G12234" s="18" t="n">
        <v>140</v>
      </c>
      <c r="H12234" s="18" t="n">
        <v>0</v>
      </c>
      <c r="I12234" s="18" t="n">
        <f aca="false">((I12233 + G12234) - H12234)</f>
        <v>7467.37</v>
      </c>
      <c r="J12234" s="18" t="n">
        <v>0</v>
      </c>
      <c r="K12234" s="19" t="n">
        <v>0</v>
      </c>
      <c r="L12234" s="17" t="s">
        <v>1399</v>
      </c>
    </row>
    <row r="12235" s="11" customFormat="true" ht="10.95" hidden="false" customHeight="true" outlineLevel="0" collapsed="false">
      <c r="A12235" s="16" t="n">
        <v>45322</v>
      </c>
      <c r="B12235" s="17" t="s">
        <v>4521</v>
      </c>
      <c r="C12235" s="17" t="s">
        <v>3614</v>
      </c>
      <c r="D12235" s="17" t="s">
        <v>1407</v>
      </c>
      <c r="E12235" s="17" t="s">
        <v>4522</v>
      </c>
      <c r="F12235" s="17"/>
      <c r="G12235" s="18" t="n">
        <v>1207</v>
      </c>
      <c r="H12235" s="18" t="n">
        <v>0</v>
      </c>
      <c r="I12235" s="18" t="n">
        <f aca="false">((I12234 + G12235) - H12235)</f>
        <v>8674.37</v>
      </c>
      <c r="J12235" s="18" t="n">
        <v>0</v>
      </c>
      <c r="K12235" s="19" t="n">
        <v>0</v>
      </c>
      <c r="L12235" s="17" t="s">
        <v>1399</v>
      </c>
    </row>
    <row r="12236" s="11" customFormat="true" ht="10.95" hidden="false" customHeight="true" outlineLevel="0" collapsed="false">
      <c r="A12236" s="16" t="n">
        <v>45322</v>
      </c>
      <c r="B12236" s="17" t="s">
        <v>4521</v>
      </c>
      <c r="C12236" s="17" t="s">
        <v>3614</v>
      </c>
      <c r="D12236" s="17" t="s">
        <v>1407</v>
      </c>
      <c r="E12236" s="17" t="s">
        <v>2169</v>
      </c>
      <c r="F12236" s="17"/>
      <c r="G12236" s="18" t="n">
        <v>1207</v>
      </c>
      <c r="H12236" s="18" t="n">
        <v>0</v>
      </c>
      <c r="I12236" s="18" t="n">
        <f aca="false">((I12235 + G12236) - H12236)</f>
        <v>9881.37</v>
      </c>
      <c r="J12236" s="18" t="n">
        <v>0</v>
      </c>
      <c r="K12236" s="19" t="n">
        <v>0</v>
      </c>
      <c r="L12236" s="17" t="s">
        <v>1399</v>
      </c>
    </row>
    <row r="12237" s="11" customFormat="true" ht="10.95" hidden="false" customHeight="true" outlineLevel="0" collapsed="false">
      <c r="A12237" s="16" t="n">
        <v>45322</v>
      </c>
      <c r="B12237" s="17" t="s">
        <v>4521</v>
      </c>
      <c r="C12237" s="17" t="s">
        <v>3614</v>
      </c>
      <c r="D12237" s="17" t="s">
        <v>1407</v>
      </c>
      <c r="E12237" s="17" t="s">
        <v>4523</v>
      </c>
      <c r="F12237" s="17"/>
      <c r="G12237" s="18" t="n">
        <v>1705.92</v>
      </c>
      <c r="H12237" s="18" t="n">
        <v>0</v>
      </c>
      <c r="I12237" s="18" t="n">
        <f aca="false">((I12236 + G12237) - H12237)</f>
        <v>11587.29</v>
      </c>
      <c r="J12237" s="18" t="n">
        <v>0</v>
      </c>
      <c r="K12237" s="19" t="n">
        <v>0</v>
      </c>
      <c r="L12237" s="17" t="s">
        <v>1399</v>
      </c>
    </row>
    <row r="12238" s="11" customFormat="true" ht="10.95" hidden="false" customHeight="true" outlineLevel="0" collapsed="false">
      <c r="A12238" s="16" t="n">
        <v>45323</v>
      </c>
      <c r="B12238" s="17" t="s">
        <v>4521</v>
      </c>
      <c r="C12238" s="17" t="s">
        <v>3614</v>
      </c>
      <c r="D12238" s="17" t="s">
        <v>2106</v>
      </c>
      <c r="E12238" s="17" t="s">
        <v>4524</v>
      </c>
      <c r="F12238" s="17" t="s">
        <v>2140</v>
      </c>
      <c r="G12238" s="18" t="n">
        <v>0</v>
      </c>
      <c r="H12238" s="18" t="n">
        <v>6026.92</v>
      </c>
      <c r="I12238" s="18" t="n">
        <f aca="false">((I12237 + G12238) - H12238)</f>
        <v>5560.37</v>
      </c>
      <c r="J12238" s="18" t="n">
        <v>0</v>
      </c>
      <c r="K12238" s="19" t="n">
        <v>0</v>
      </c>
      <c r="L12238" s="17" t="s">
        <v>1399</v>
      </c>
    </row>
    <row r="12239" s="11" customFormat="true" ht="10.95" hidden="false" customHeight="true" outlineLevel="0" collapsed="false">
      <c r="A12239" s="16" t="n">
        <v>45328</v>
      </c>
      <c r="B12239" s="17" t="s">
        <v>4521</v>
      </c>
      <c r="C12239" s="17" t="s">
        <v>3614</v>
      </c>
      <c r="D12239" s="17" t="s">
        <v>1407</v>
      </c>
      <c r="E12239" s="17" t="s">
        <v>2170</v>
      </c>
      <c r="F12239" s="17"/>
      <c r="G12239" s="18" t="n">
        <v>1417</v>
      </c>
      <c r="H12239" s="18" t="n">
        <v>0</v>
      </c>
      <c r="I12239" s="18" t="n">
        <f aca="false">((I12238 + G12239) - H12239)</f>
        <v>6977.37</v>
      </c>
      <c r="J12239" s="18" t="n">
        <v>0</v>
      </c>
      <c r="K12239" s="19" t="n">
        <v>0</v>
      </c>
      <c r="L12239" s="17" t="s">
        <v>1399</v>
      </c>
    </row>
    <row r="12240" s="11" customFormat="true" ht="10.95" hidden="false" customHeight="true" outlineLevel="0" collapsed="false">
      <c r="A12240" s="16" t="n">
        <v>45329</v>
      </c>
      <c r="B12240" s="17" t="s">
        <v>4521</v>
      </c>
      <c r="C12240" s="17" t="s">
        <v>3614</v>
      </c>
      <c r="D12240" s="17" t="s">
        <v>1407</v>
      </c>
      <c r="E12240" s="17" t="s">
        <v>4526</v>
      </c>
      <c r="F12240" s="17"/>
      <c r="G12240" s="18" t="n">
        <v>140</v>
      </c>
      <c r="H12240" s="18" t="n">
        <v>0</v>
      </c>
      <c r="I12240" s="18" t="n">
        <f aca="false">((I12239 + G12240) - H12240)</f>
        <v>7117.37</v>
      </c>
      <c r="J12240" s="18" t="n">
        <v>0</v>
      </c>
      <c r="K12240" s="19" t="n">
        <v>0</v>
      </c>
      <c r="L12240" s="17" t="s">
        <v>1399</v>
      </c>
    </row>
    <row r="12241" s="11" customFormat="true" ht="10.95" hidden="false" customHeight="true" outlineLevel="0" collapsed="false">
      <c r="A12241" s="16" t="n">
        <v>45329</v>
      </c>
      <c r="B12241" s="17" t="s">
        <v>4521</v>
      </c>
      <c r="C12241" s="17" t="s">
        <v>3614</v>
      </c>
      <c r="D12241" s="17" t="s">
        <v>1407</v>
      </c>
      <c r="E12241" s="17" t="s">
        <v>4522</v>
      </c>
      <c r="F12241" s="17"/>
      <c r="G12241" s="18" t="n">
        <v>1207</v>
      </c>
      <c r="H12241" s="18" t="n">
        <v>0</v>
      </c>
      <c r="I12241" s="18" t="n">
        <f aca="false">((I12240 + G12241) - H12241)</f>
        <v>8324.37</v>
      </c>
      <c r="J12241" s="18" t="n">
        <v>0</v>
      </c>
      <c r="K12241" s="19" t="n">
        <v>0</v>
      </c>
      <c r="L12241" s="17" t="s">
        <v>1399</v>
      </c>
    </row>
    <row r="12242" s="11" customFormat="true" ht="10.95" hidden="false" customHeight="true" outlineLevel="0" collapsed="false">
      <c r="A12242" s="16" t="n">
        <v>45329</v>
      </c>
      <c r="B12242" s="17" t="s">
        <v>4521</v>
      </c>
      <c r="C12242" s="17" t="s">
        <v>3614</v>
      </c>
      <c r="D12242" s="17" t="s">
        <v>1407</v>
      </c>
      <c r="E12242" s="17" t="s">
        <v>2169</v>
      </c>
      <c r="F12242" s="17"/>
      <c r="G12242" s="18" t="n">
        <v>1207</v>
      </c>
      <c r="H12242" s="18" t="n">
        <v>0</v>
      </c>
      <c r="I12242" s="18" t="n">
        <f aca="false">((I12241 + G12242) - H12242)</f>
        <v>9531.37</v>
      </c>
      <c r="J12242" s="18" t="n">
        <v>0</v>
      </c>
      <c r="K12242" s="19" t="n">
        <v>0</v>
      </c>
      <c r="L12242" s="17" t="s">
        <v>1399</v>
      </c>
    </row>
    <row r="12243" s="11" customFormat="true" ht="10.95" hidden="false" customHeight="true" outlineLevel="0" collapsed="false">
      <c r="A12243" s="16" t="n">
        <v>45329</v>
      </c>
      <c r="B12243" s="17" t="s">
        <v>4521</v>
      </c>
      <c r="C12243" s="17" t="s">
        <v>3614</v>
      </c>
      <c r="D12243" s="17" t="s">
        <v>1407</v>
      </c>
      <c r="E12243" s="17" t="s">
        <v>4523</v>
      </c>
      <c r="F12243" s="17"/>
      <c r="G12243" s="18" t="n">
        <v>1705.92</v>
      </c>
      <c r="H12243" s="18" t="n">
        <v>0</v>
      </c>
      <c r="I12243" s="18" t="n">
        <f aca="false">((I12242 + G12243) - H12243)</f>
        <v>11237.29</v>
      </c>
      <c r="J12243" s="18" t="n">
        <v>0</v>
      </c>
      <c r="K12243" s="19" t="n">
        <v>0</v>
      </c>
      <c r="L12243" s="17" t="s">
        <v>1399</v>
      </c>
    </row>
    <row r="12244" s="11" customFormat="true" ht="10.95" hidden="false" customHeight="true" outlineLevel="0" collapsed="false">
      <c r="A12244" s="16" t="n">
        <v>45330</v>
      </c>
      <c r="B12244" s="17" t="s">
        <v>4521</v>
      </c>
      <c r="C12244" s="17" t="s">
        <v>3614</v>
      </c>
      <c r="D12244" s="17" t="s">
        <v>2106</v>
      </c>
      <c r="E12244" s="17" t="s">
        <v>4524</v>
      </c>
      <c r="F12244" s="17" t="s">
        <v>2141</v>
      </c>
      <c r="G12244" s="18" t="n">
        <v>0</v>
      </c>
      <c r="H12244" s="18" t="n">
        <v>5676.92</v>
      </c>
      <c r="I12244" s="18" t="n">
        <f aca="false">((I12243 + G12244) - H12244)</f>
        <v>5560.37</v>
      </c>
      <c r="J12244" s="18" t="n">
        <v>0</v>
      </c>
      <c r="K12244" s="19" t="n">
        <v>0</v>
      </c>
      <c r="L12244" s="17" t="s">
        <v>1399</v>
      </c>
    </row>
    <row r="12245" s="11" customFormat="true" ht="10.95" hidden="false" customHeight="true" outlineLevel="0" collapsed="false">
      <c r="A12245" s="16" t="n">
        <v>45335</v>
      </c>
      <c r="B12245" s="17" t="s">
        <v>4521</v>
      </c>
      <c r="C12245" s="17" t="s">
        <v>3614</v>
      </c>
      <c r="D12245" s="17" t="s">
        <v>1407</v>
      </c>
      <c r="E12245" s="17" t="s">
        <v>2170</v>
      </c>
      <c r="F12245" s="17"/>
      <c r="G12245" s="18" t="n">
        <v>1417</v>
      </c>
      <c r="H12245" s="18" t="n">
        <v>0</v>
      </c>
      <c r="I12245" s="18" t="n">
        <f aca="false">((I12244 + G12245) - H12245)</f>
        <v>6977.37</v>
      </c>
      <c r="J12245" s="18" t="n">
        <v>0</v>
      </c>
      <c r="K12245" s="19" t="n">
        <v>0</v>
      </c>
      <c r="L12245" s="17" t="s">
        <v>1399</v>
      </c>
    </row>
    <row r="12246" s="11" customFormat="true" ht="10.95" hidden="false" customHeight="true" outlineLevel="0" collapsed="false">
      <c r="A12246" s="16" t="n">
        <v>45336</v>
      </c>
      <c r="B12246" s="17" t="s">
        <v>4521</v>
      </c>
      <c r="C12246" s="17" t="s">
        <v>3614</v>
      </c>
      <c r="D12246" s="17" t="s">
        <v>1407</v>
      </c>
      <c r="E12246" s="17" t="s">
        <v>4526</v>
      </c>
      <c r="F12246" s="17"/>
      <c r="G12246" s="18" t="n">
        <v>140</v>
      </c>
      <c r="H12246" s="18" t="n">
        <v>0</v>
      </c>
      <c r="I12246" s="18" t="n">
        <f aca="false">((I12245 + G12246) - H12246)</f>
        <v>7117.37</v>
      </c>
      <c r="J12246" s="18" t="n">
        <v>0</v>
      </c>
      <c r="K12246" s="19" t="n">
        <v>0</v>
      </c>
      <c r="L12246" s="17" t="s">
        <v>1399</v>
      </c>
    </row>
    <row r="12247" s="11" customFormat="true" ht="10.95" hidden="false" customHeight="true" outlineLevel="0" collapsed="false">
      <c r="A12247" s="16" t="n">
        <v>45336</v>
      </c>
      <c r="B12247" s="17" t="s">
        <v>4521</v>
      </c>
      <c r="C12247" s="17" t="s">
        <v>3614</v>
      </c>
      <c r="D12247" s="17" t="s">
        <v>1407</v>
      </c>
      <c r="E12247" s="17" t="s">
        <v>4522</v>
      </c>
      <c r="F12247" s="17"/>
      <c r="G12247" s="18" t="n">
        <v>1207</v>
      </c>
      <c r="H12247" s="18" t="n">
        <v>0</v>
      </c>
      <c r="I12247" s="18" t="n">
        <f aca="false">((I12246 + G12247) - H12247)</f>
        <v>8324.37</v>
      </c>
      <c r="J12247" s="18" t="n">
        <v>0</v>
      </c>
      <c r="K12247" s="19" t="n">
        <v>0</v>
      </c>
      <c r="L12247" s="17" t="s">
        <v>1399</v>
      </c>
    </row>
    <row r="12248" s="11" customFormat="true" ht="10.95" hidden="false" customHeight="true" outlineLevel="0" collapsed="false">
      <c r="A12248" s="16" t="n">
        <v>45336</v>
      </c>
      <c r="B12248" s="17" t="s">
        <v>4521</v>
      </c>
      <c r="C12248" s="17" t="s">
        <v>3614</v>
      </c>
      <c r="D12248" s="17" t="s">
        <v>1407</v>
      </c>
      <c r="E12248" s="17" t="s">
        <v>2169</v>
      </c>
      <c r="F12248" s="17"/>
      <c r="G12248" s="18" t="n">
        <v>1207</v>
      </c>
      <c r="H12248" s="18" t="n">
        <v>0</v>
      </c>
      <c r="I12248" s="18" t="n">
        <f aca="false">((I12247 + G12248) - H12248)</f>
        <v>9531.37</v>
      </c>
      <c r="J12248" s="18" t="n">
        <v>0</v>
      </c>
      <c r="K12248" s="19" t="n">
        <v>0</v>
      </c>
      <c r="L12248" s="17" t="s">
        <v>1399</v>
      </c>
    </row>
    <row r="12249" s="11" customFormat="true" ht="10.95" hidden="false" customHeight="true" outlineLevel="0" collapsed="false">
      <c r="A12249" s="16" t="n">
        <v>45336</v>
      </c>
      <c r="B12249" s="17" t="s">
        <v>4521</v>
      </c>
      <c r="C12249" s="17" t="s">
        <v>3614</v>
      </c>
      <c r="D12249" s="17" t="s">
        <v>1407</v>
      </c>
      <c r="E12249" s="17" t="s">
        <v>4523</v>
      </c>
      <c r="F12249" s="17"/>
      <c r="G12249" s="18" t="n">
        <v>1705.92</v>
      </c>
      <c r="H12249" s="18" t="n">
        <v>0</v>
      </c>
      <c r="I12249" s="18" t="n">
        <f aca="false">((I12248 + G12249) - H12249)</f>
        <v>11237.29</v>
      </c>
      <c r="J12249" s="18" t="n">
        <v>0</v>
      </c>
      <c r="K12249" s="19" t="n">
        <v>0</v>
      </c>
      <c r="L12249" s="17" t="s">
        <v>1399</v>
      </c>
    </row>
    <row r="12250" s="11" customFormat="true" ht="10.95" hidden="false" customHeight="true" outlineLevel="0" collapsed="false">
      <c r="A12250" s="16" t="n">
        <v>45337</v>
      </c>
      <c r="B12250" s="17" t="s">
        <v>4521</v>
      </c>
      <c r="C12250" s="17" t="s">
        <v>3614</v>
      </c>
      <c r="D12250" s="17" t="s">
        <v>2106</v>
      </c>
      <c r="E12250" s="17" t="s">
        <v>4524</v>
      </c>
      <c r="F12250" s="17" t="s">
        <v>2142</v>
      </c>
      <c r="G12250" s="18" t="n">
        <v>0</v>
      </c>
      <c r="H12250" s="18" t="n">
        <v>5676.92</v>
      </c>
      <c r="I12250" s="18" t="n">
        <f aca="false">((I12249 + G12250) - H12250)</f>
        <v>5560.37</v>
      </c>
      <c r="J12250" s="18" t="n">
        <v>0</v>
      </c>
      <c r="K12250" s="19" t="n">
        <v>0</v>
      </c>
      <c r="L12250" s="17" t="s">
        <v>1399</v>
      </c>
    </row>
    <row r="12251" s="11" customFormat="true" ht="10.95" hidden="false" customHeight="true" outlineLevel="0" collapsed="false">
      <c r="A12251" s="16" t="n">
        <v>45342</v>
      </c>
      <c r="B12251" s="17" t="s">
        <v>4521</v>
      </c>
      <c r="C12251" s="17" t="s">
        <v>3614</v>
      </c>
      <c r="D12251" s="17" t="s">
        <v>1407</v>
      </c>
      <c r="E12251" s="17" t="s">
        <v>2170</v>
      </c>
      <c r="F12251" s="17"/>
      <c r="G12251" s="18" t="n">
        <v>1417</v>
      </c>
      <c r="H12251" s="18" t="n">
        <v>0</v>
      </c>
      <c r="I12251" s="18" t="n">
        <f aca="false">((I12250 + G12251) - H12251)</f>
        <v>6977.37</v>
      </c>
      <c r="J12251" s="18" t="n">
        <v>0</v>
      </c>
      <c r="K12251" s="19" t="n">
        <v>0</v>
      </c>
      <c r="L12251" s="17" t="s">
        <v>1399</v>
      </c>
    </row>
    <row r="12252" s="11" customFormat="true" ht="10.95" hidden="false" customHeight="true" outlineLevel="0" collapsed="false">
      <c r="A12252" s="16" t="n">
        <v>45343</v>
      </c>
      <c r="B12252" s="17" t="s">
        <v>4521</v>
      </c>
      <c r="C12252" s="17" t="s">
        <v>3614</v>
      </c>
      <c r="D12252" s="17" t="s">
        <v>1407</v>
      </c>
      <c r="E12252" s="17" t="s">
        <v>4526</v>
      </c>
      <c r="F12252" s="17"/>
      <c r="G12252" s="18" t="n">
        <v>140</v>
      </c>
      <c r="H12252" s="18" t="n">
        <v>0</v>
      </c>
      <c r="I12252" s="18" t="n">
        <f aca="false">((I12251 + G12252) - H12252)</f>
        <v>7117.37</v>
      </c>
      <c r="J12252" s="18" t="n">
        <v>0</v>
      </c>
      <c r="K12252" s="19" t="n">
        <v>0</v>
      </c>
      <c r="L12252" s="17" t="s">
        <v>1399</v>
      </c>
    </row>
    <row r="12253" s="11" customFormat="true" ht="10.95" hidden="false" customHeight="true" outlineLevel="0" collapsed="false">
      <c r="A12253" s="16" t="n">
        <v>45343</v>
      </c>
      <c r="B12253" s="17" t="s">
        <v>4521</v>
      </c>
      <c r="C12253" s="17" t="s">
        <v>3614</v>
      </c>
      <c r="D12253" s="17" t="s">
        <v>1407</v>
      </c>
      <c r="E12253" s="17" t="s">
        <v>2169</v>
      </c>
      <c r="F12253" s="17"/>
      <c r="G12253" s="18" t="n">
        <v>1207</v>
      </c>
      <c r="H12253" s="18" t="n">
        <v>0</v>
      </c>
      <c r="I12253" s="18" t="n">
        <f aca="false">((I12252 + G12253) - H12253)</f>
        <v>8324.37</v>
      </c>
      <c r="J12253" s="18" t="n">
        <v>0</v>
      </c>
      <c r="K12253" s="19" t="n">
        <v>0</v>
      </c>
      <c r="L12253" s="17" t="s">
        <v>1399</v>
      </c>
    </row>
    <row r="12254" s="11" customFormat="true" ht="10.95" hidden="false" customHeight="true" outlineLevel="0" collapsed="false">
      <c r="A12254" s="16" t="n">
        <v>45343</v>
      </c>
      <c r="B12254" s="17" t="s">
        <v>4521</v>
      </c>
      <c r="C12254" s="17" t="s">
        <v>3614</v>
      </c>
      <c r="D12254" s="17" t="s">
        <v>1407</v>
      </c>
      <c r="E12254" s="17" t="s">
        <v>4522</v>
      </c>
      <c r="F12254" s="17"/>
      <c r="G12254" s="18" t="n">
        <v>1207</v>
      </c>
      <c r="H12254" s="18" t="n">
        <v>0</v>
      </c>
      <c r="I12254" s="18" t="n">
        <f aca="false">((I12253 + G12254) - H12254)</f>
        <v>9531.37</v>
      </c>
      <c r="J12254" s="18" t="n">
        <v>0</v>
      </c>
      <c r="K12254" s="19" t="n">
        <v>0</v>
      </c>
      <c r="L12254" s="17" t="s">
        <v>1399</v>
      </c>
    </row>
    <row r="12255" s="11" customFormat="true" ht="10.95" hidden="false" customHeight="true" outlineLevel="0" collapsed="false">
      <c r="A12255" s="16" t="n">
        <v>45343</v>
      </c>
      <c r="B12255" s="17" t="s">
        <v>4521</v>
      </c>
      <c r="C12255" s="17" t="s">
        <v>3614</v>
      </c>
      <c r="D12255" s="17" t="s">
        <v>1407</v>
      </c>
      <c r="E12255" s="17" t="s">
        <v>4523</v>
      </c>
      <c r="F12255" s="17"/>
      <c r="G12255" s="18" t="n">
        <v>1705.92</v>
      </c>
      <c r="H12255" s="18" t="n">
        <v>0</v>
      </c>
      <c r="I12255" s="18" t="n">
        <f aca="false">((I12254 + G12255) - H12255)</f>
        <v>11237.29</v>
      </c>
      <c r="J12255" s="18" t="n">
        <v>0</v>
      </c>
      <c r="K12255" s="19" t="n">
        <v>0</v>
      </c>
      <c r="L12255" s="17" t="s">
        <v>1399</v>
      </c>
    </row>
    <row r="12256" s="11" customFormat="true" ht="10.95" hidden="false" customHeight="true" outlineLevel="0" collapsed="false">
      <c r="A12256" s="16" t="n">
        <v>45344</v>
      </c>
      <c r="B12256" s="17" t="s">
        <v>4521</v>
      </c>
      <c r="C12256" s="17" t="s">
        <v>3614</v>
      </c>
      <c r="D12256" s="17" t="s">
        <v>2106</v>
      </c>
      <c r="E12256" s="17" t="s">
        <v>4524</v>
      </c>
      <c r="F12256" s="17" t="s">
        <v>2143</v>
      </c>
      <c r="G12256" s="18" t="n">
        <v>0</v>
      </c>
      <c r="H12256" s="18" t="n">
        <v>5676.92</v>
      </c>
      <c r="I12256" s="18" t="n">
        <f aca="false">((I12255 + G12256) - H12256)</f>
        <v>5560.37</v>
      </c>
      <c r="J12256" s="18" t="n">
        <v>0</v>
      </c>
      <c r="K12256" s="19" t="n">
        <v>0</v>
      </c>
      <c r="L12256" s="17" t="s">
        <v>1399</v>
      </c>
    </row>
    <row r="12257" s="11" customFormat="true" ht="10.95" hidden="false" customHeight="true" outlineLevel="0" collapsed="false">
      <c r="A12257" s="16" t="n">
        <v>45349</v>
      </c>
      <c r="B12257" s="17" t="s">
        <v>4521</v>
      </c>
      <c r="C12257" s="17" t="s">
        <v>3614</v>
      </c>
      <c r="D12257" s="17" t="s">
        <v>1407</v>
      </c>
      <c r="E12257" s="17" t="s">
        <v>2170</v>
      </c>
      <c r="F12257" s="17"/>
      <c r="G12257" s="18" t="n">
        <v>1417</v>
      </c>
      <c r="H12257" s="18" t="n">
        <v>0</v>
      </c>
      <c r="I12257" s="18" t="n">
        <f aca="false">((I12256 + G12257) - H12257)</f>
        <v>6977.37</v>
      </c>
      <c r="J12257" s="18" t="n">
        <v>0</v>
      </c>
      <c r="K12257" s="19" t="n">
        <v>0</v>
      </c>
      <c r="L12257" s="17" t="s">
        <v>1399</v>
      </c>
    </row>
    <row r="12258" s="11" customFormat="true" ht="10.95" hidden="false" customHeight="true" outlineLevel="0" collapsed="false">
      <c r="A12258" s="16" t="n">
        <v>45350</v>
      </c>
      <c r="B12258" s="17" t="s">
        <v>4521</v>
      </c>
      <c r="C12258" s="17" t="s">
        <v>3614</v>
      </c>
      <c r="D12258" s="17" t="s">
        <v>1407</v>
      </c>
      <c r="E12258" s="17" t="s">
        <v>4526</v>
      </c>
      <c r="F12258" s="17"/>
      <c r="G12258" s="18" t="n">
        <v>140</v>
      </c>
      <c r="H12258" s="18" t="n">
        <v>0</v>
      </c>
      <c r="I12258" s="18" t="n">
        <f aca="false">((I12257 + G12258) - H12258)</f>
        <v>7117.37</v>
      </c>
      <c r="J12258" s="18" t="n">
        <v>0</v>
      </c>
      <c r="K12258" s="19" t="n">
        <v>0</v>
      </c>
      <c r="L12258" s="17" t="s">
        <v>1399</v>
      </c>
    </row>
    <row r="12259" s="11" customFormat="true" ht="10.95" hidden="false" customHeight="true" outlineLevel="0" collapsed="false">
      <c r="A12259" s="16" t="n">
        <v>45350</v>
      </c>
      <c r="B12259" s="17" t="s">
        <v>4521</v>
      </c>
      <c r="C12259" s="17" t="s">
        <v>3614</v>
      </c>
      <c r="D12259" s="17" t="s">
        <v>1407</v>
      </c>
      <c r="E12259" s="17" t="s">
        <v>4540</v>
      </c>
      <c r="F12259" s="17"/>
      <c r="G12259" s="18" t="n">
        <v>748</v>
      </c>
      <c r="H12259" s="18" t="n">
        <v>0</v>
      </c>
      <c r="I12259" s="18" t="n">
        <f aca="false">((I12258 + G12259) - H12259)</f>
        <v>7865.37</v>
      </c>
      <c r="J12259" s="18" t="n">
        <v>0</v>
      </c>
      <c r="K12259" s="19" t="n">
        <v>0</v>
      </c>
      <c r="L12259" s="17" t="s">
        <v>1399</v>
      </c>
    </row>
    <row r="12260" s="11" customFormat="true" ht="10.95" hidden="false" customHeight="true" outlineLevel="0" collapsed="false">
      <c r="A12260" s="16" t="n">
        <v>45350</v>
      </c>
      <c r="B12260" s="17" t="s">
        <v>4521</v>
      </c>
      <c r="C12260" s="17" t="s">
        <v>3614</v>
      </c>
      <c r="D12260" s="17" t="s">
        <v>1407</v>
      </c>
      <c r="E12260" s="17" t="s">
        <v>4522</v>
      </c>
      <c r="F12260" s="17"/>
      <c r="G12260" s="18" t="n">
        <v>1207</v>
      </c>
      <c r="H12260" s="18" t="n">
        <v>0</v>
      </c>
      <c r="I12260" s="18" t="n">
        <f aca="false">((I12259 + G12260) - H12260)</f>
        <v>9072.37</v>
      </c>
      <c r="J12260" s="18" t="n">
        <v>0</v>
      </c>
      <c r="K12260" s="19" t="n">
        <v>0</v>
      </c>
      <c r="L12260" s="17" t="s">
        <v>1399</v>
      </c>
    </row>
    <row r="12261" s="11" customFormat="true" ht="10.95" hidden="false" customHeight="true" outlineLevel="0" collapsed="false">
      <c r="A12261" s="16" t="n">
        <v>45350</v>
      </c>
      <c r="B12261" s="17" t="s">
        <v>4521</v>
      </c>
      <c r="C12261" s="17" t="s">
        <v>3614</v>
      </c>
      <c r="D12261" s="17" t="s">
        <v>1407</v>
      </c>
      <c r="E12261" s="17" t="s">
        <v>2169</v>
      </c>
      <c r="F12261" s="17"/>
      <c r="G12261" s="18" t="n">
        <v>1207</v>
      </c>
      <c r="H12261" s="18" t="n">
        <v>0</v>
      </c>
      <c r="I12261" s="18" t="n">
        <f aca="false">((I12260 + G12261) - H12261)</f>
        <v>10279.37</v>
      </c>
      <c r="J12261" s="18" t="n">
        <v>0</v>
      </c>
      <c r="K12261" s="19" t="n">
        <v>0</v>
      </c>
      <c r="L12261" s="17" t="s">
        <v>1399</v>
      </c>
    </row>
    <row r="12262" s="11" customFormat="true" ht="10.95" hidden="false" customHeight="true" outlineLevel="0" collapsed="false">
      <c r="A12262" s="16" t="n">
        <v>45350</v>
      </c>
      <c r="B12262" s="17" t="s">
        <v>4521</v>
      </c>
      <c r="C12262" s="17" t="s">
        <v>3614</v>
      </c>
      <c r="D12262" s="17" t="s">
        <v>1407</v>
      </c>
      <c r="E12262" s="17" t="s">
        <v>4523</v>
      </c>
      <c r="F12262" s="17"/>
      <c r="G12262" s="18" t="n">
        <v>1705.92</v>
      </c>
      <c r="H12262" s="18" t="n">
        <v>0</v>
      </c>
      <c r="I12262" s="18" t="n">
        <f aca="false">((I12261 + G12262) - H12262)</f>
        <v>11985.29</v>
      </c>
      <c r="J12262" s="18" t="n">
        <v>0</v>
      </c>
      <c r="K12262" s="19" t="n">
        <v>0</v>
      </c>
      <c r="L12262" s="17" t="s">
        <v>1399</v>
      </c>
    </row>
    <row r="12263" s="11" customFormat="true" ht="10.95" hidden="false" customHeight="true" outlineLevel="0" collapsed="false">
      <c r="A12263" s="16" t="n">
        <v>45351</v>
      </c>
      <c r="B12263" s="17" t="s">
        <v>4521</v>
      </c>
      <c r="C12263" s="17" t="s">
        <v>3614</v>
      </c>
      <c r="D12263" s="17" t="s">
        <v>2106</v>
      </c>
      <c r="E12263" s="17" t="s">
        <v>4524</v>
      </c>
      <c r="F12263" s="17" t="s">
        <v>2144</v>
      </c>
      <c r="G12263" s="18" t="n">
        <v>0</v>
      </c>
      <c r="H12263" s="18" t="n">
        <v>6074.92</v>
      </c>
      <c r="I12263" s="18" t="n">
        <f aca="false">((I12262 + G12263) - H12263)</f>
        <v>5910.37</v>
      </c>
      <c r="J12263" s="18" t="n">
        <v>0</v>
      </c>
      <c r="K12263" s="19" t="n">
        <v>0</v>
      </c>
      <c r="L12263" s="17" t="s">
        <v>1399</v>
      </c>
    </row>
    <row r="12264" s="11" customFormat="true" ht="10.95" hidden="false" customHeight="true" outlineLevel="0" collapsed="false">
      <c r="A12264" s="16" t="n">
        <v>45356</v>
      </c>
      <c r="B12264" s="17" t="s">
        <v>4521</v>
      </c>
      <c r="C12264" s="17" t="s">
        <v>3614</v>
      </c>
      <c r="D12264" s="17" t="s">
        <v>1407</v>
      </c>
      <c r="E12264" s="17" t="s">
        <v>2170</v>
      </c>
      <c r="F12264" s="17"/>
      <c r="G12264" s="18" t="n">
        <v>1417</v>
      </c>
      <c r="H12264" s="18" t="n">
        <v>0</v>
      </c>
      <c r="I12264" s="18" t="n">
        <f aca="false">((I12263 + G12264) - H12264)</f>
        <v>7327.37</v>
      </c>
      <c r="J12264" s="18" t="n">
        <v>0</v>
      </c>
      <c r="K12264" s="19" t="n">
        <v>0</v>
      </c>
      <c r="L12264" s="17" t="s">
        <v>1399</v>
      </c>
    </row>
    <row r="12265" s="11" customFormat="true" ht="10.95" hidden="false" customHeight="true" outlineLevel="0" collapsed="false">
      <c r="A12265" s="16" t="n">
        <v>45357</v>
      </c>
      <c r="B12265" s="17" t="s">
        <v>4521</v>
      </c>
      <c r="C12265" s="17" t="s">
        <v>3614</v>
      </c>
      <c r="D12265" s="17" t="s">
        <v>1407</v>
      </c>
      <c r="E12265" s="17" t="s">
        <v>4526</v>
      </c>
      <c r="F12265" s="17"/>
      <c r="G12265" s="18" t="n">
        <v>140</v>
      </c>
      <c r="H12265" s="18" t="n">
        <v>0</v>
      </c>
      <c r="I12265" s="18" t="n">
        <f aca="false">((I12264 + G12265) - H12265)</f>
        <v>7467.37</v>
      </c>
      <c r="J12265" s="18" t="n">
        <v>0</v>
      </c>
      <c r="K12265" s="19" t="n">
        <v>0</v>
      </c>
      <c r="L12265" s="17" t="s">
        <v>1399</v>
      </c>
    </row>
    <row r="12266" s="11" customFormat="true" ht="10.95" hidden="false" customHeight="true" outlineLevel="0" collapsed="false">
      <c r="A12266" s="16" t="n">
        <v>45357</v>
      </c>
      <c r="B12266" s="17" t="s">
        <v>4521</v>
      </c>
      <c r="C12266" s="17" t="s">
        <v>3614</v>
      </c>
      <c r="D12266" s="17" t="s">
        <v>1407</v>
      </c>
      <c r="E12266" s="17" t="s">
        <v>4522</v>
      </c>
      <c r="F12266" s="17"/>
      <c r="G12266" s="18" t="n">
        <v>1207</v>
      </c>
      <c r="H12266" s="18" t="n">
        <v>0</v>
      </c>
      <c r="I12266" s="18" t="n">
        <f aca="false">((I12265 + G12266) - H12266)</f>
        <v>8674.37</v>
      </c>
      <c r="J12266" s="18" t="n">
        <v>0</v>
      </c>
      <c r="K12266" s="19" t="n">
        <v>0</v>
      </c>
      <c r="L12266" s="17" t="s">
        <v>1399</v>
      </c>
    </row>
    <row r="12267" s="11" customFormat="true" ht="10.95" hidden="false" customHeight="true" outlineLevel="0" collapsed="false">
      <c r="A12267" s="16" t="n">
        <v>45357</v>
      </c>
      <c r="B12267" s="17" t="s">
        <v>4521</v>
      </c>
      <c r="C12267" s="17" t="s">
        <v>3614</v>
      </c>
      <c r="D12267" s="17" t="s">
        <v>1407</v>
      </c>
      <c r="E12267" s="17" t="s">
        <v>2169</v>
      </c>
      <c r="F12267" s="17"/>
      <c r="G12267" s="18" t="n">
        <v>1207</v>
      </c>
      <c r="H12267" s="18" t="n">
        <v>0</v>
      </c>
      <c r="I12267" s="18" t="n">
        <f aca="false">((I12266 + G12267) - H12267)</f>
        <v>9881.37</v>
      </c>
      <c r="J12267" s="18" t="n">
        <v>0</v>
      </c>
      <c r="K12267" s="19" t="n">
        <v>0</v>
      </c>
      <c r="L12267" s="17" t="s">
        <v>1399</v>
      </c>
    </row>
    <row r="12268" s="11" customFormat="true" ht="10.95" hidden="false" customHeight="true" outlineLevel="0" collapsed="false">
      <c r="A12268" s="16" t="n">
        <v>45357</v>
      </c>
      <c r="B12268" s="17" t="s">
        <v>4521</v>
      </c>
      <c r="C12268" s="17" t="s">
        <v>3614</v>
      </c>
      <c r="D12268" s="17" t="s">
        <v>1407</v>
      </c>
      <c r="E12268" s="17" t="s">
        <v>4523</v>
      </c>
      <c r="F12268" s="17"/>
      <c r="G12268" s="18" t="n">
        <v>1705.92</v>
      </c>
      <c r="H12268" s="18" t="n">
        <v>0</v>
      </c>
      <c r="I12268" s="18" t="n">
        <f aca="false">((I12267 + G12268) - H12268)</f>
        <v>11587.29</v>
      </c>
      <c r="J12268" s="18" t="n">
        <v>0</v>
      </c>
      <c r="K12268" s="19" t="n">
        <v>0</v>
      </c>
      <c r="L12268" s="17" t="s">
        <v>1399</v>
      </c>
    </row>
    <row r="12269" s="11" customFormat="true" ht="10.95" hidden="false" customHeight="true" outlineLevel="0" collapsed="false">
      <c r="A12269" s="16" t="n">
        <v>45358</v>
      </c>
      <c r="B12269" s="17" t="s">
        <v>4521</v>
      </c>
      <c r="C12269" s="17" t="s">
        <v>3614</v>
      </c>
      <c r="D12269" s="17" t="s">
        <v>2106</v>
      </c>
      <c r="E12269" s="17" t="s">
        <v>4524</v>
      </c>
      <c r="F12269" s="17" t="s">
        <v>2146</v>
      </c>
      <c r="G12269" s="18" t="n">
        <v>0</v>
      </c>
      <c r="H12269" s="18" t="n">
        <v>6026.92</v>
      </c>
      <c r="I12269" s="18" t="n">
        <f aca="false">((I12268 + G12269) - H12269)</f>
        <v>5560.37</v>
      </c>
      <c r="J12269" s="18" t="n">
        <v>0</v>
      </c>
      <c r="K12269" s="19" t="n">
        <v>0</v>
      </c>
      <c r="L12269" s="17" t="s">
        <v>1399</v>
      </c>
    </row>
    <row r="12270" s="11" customFormat="true" ht="10.95" hidden="false" customHeight="true" outlineLevel="0" collapsed="false">
      <c r="A12270" s="16" t="n">
        <v>45363</v>
      </c>
      <c r="B12270" s="17" t="s">
        <v>4521</v>
      </c>
      <c r="C12270" s="17" t="s">
        <v>3614</v>
      </c>
      <c r="D12270" s="17" t="s">
        <v>1407</v>
      </c>
      <c r="E12270" s="17" t="s">
        <v>2170</v>
      </c>
      <c r="F12270" s="17"/>
      <c r="G12270" s="18" t="n">
        <v>1417</v>
      </c>
      <c r="H12270" s="18" t="n">
        <v>0</v>
      </c>
      <c r="I12270" s="18" t="n">
        <f aca="false">((I12269 + G12270) - H12270)</f>
        <v>6977.37</v>
      </c>
      <c r="J12270" s="18" t="n">
        <v>0</v>
      </c>
      <c r="K12270" s="19" t="n">
        <v>0</v>
      </c>
      <c r="L12270" s="17" t="s">
        <v>1399</v>
      </c>
    </row>
    <row r="12271" s="11" customFormat="true" ht="10.95" hidden="false" customHeight="true" outlineLevel="0" collapsed="false">
      <c r="A12271" s="16" t="n">
        <v>45364</v>
      </c>
      <c r="B12271" s="17" t="s">
        <v>4521</v>
      </c>
      <c r="C12271" s="17" t="s">
        <v>3614</v>
      </c>
      <c r="D12271" s="17" t="s">
        <v>1407</v>
      </c>
      <c r="E12271" s="17" t="s">
        <v>4526</v>
      </c>
      <c r="F12271" s="17"/>
      <c r="G12271" s="18" t="n">
        <v>140</v>
      </c>
      <c r="H12271" s="18" t="n">
        <v>0</v>
      </c>
      <c r="I12271" s="18" t="n">
        <f aca="false">((I12270 + G12271) - H12271)</f>
        <v>7117.37</v>
      </c>
      <c r="J12271" s="18" t="n">
        <v>0</v>
      </c>
      <c r="K12271" s="19" t="n">
        <v>0</v>
      </c>
      <c r="L12271" s="17" t="s">
        <v>1399</v>
      </c>
    </row>
    <row r="12272" s="11" customFormat="true" ht="10.95" hidden="false" customHeight="true" outlineLevel="0" collapsed="false">
      <c r="A12272" s="16" t="n">
        <v>45364</v>
      </c>
      <c r="B12272" s="17" t="s">
        <v>4521</v>
      </c>
      <c r="C12272" s="17" t="s">
        <v>3614</v>
      </c>
      <c r="D12272" s="17" t="s">
        <v>1407</v>
      </c>
      <c r="E12272" s="17" t="s">
        <v>4522</v>
      </c>
      <c r="F12272" s="17"/>
      <c r="G12272" s="18" t="n">
        <v>1207</v>
      </c>
      <c r="H12272" s="18" t="n">
        <v>0</v>
      </c>
      <c r="I12272" s="18" t="n">
        <f aca="false">((I12271 + G12272) - H12272)</f>
        <v>8324.37</v>
      </c>
      <c r="J12272" s="18" t="n">
        <v>0</v>
      </c>
      <c r="K12272" s="19" t="n">
        <v>0</v>
      </c>
      <c r="L12272" s="17" t="s">
        <v>1399</v>
      </c>
    </row>
    <row r="12273" s="11" customFormat="true" ht="10.95" hidden="false" customHeight="true" outlineLevel="0" collapsed="false">
      <c r="A12273" s="16" t="n">
        <v>45364</v>
      </c>
      <c r="B12273" s="17" t="s">
        <v>4521</v>
      </c>
      <c r="C12273" s="17" t="s">
        <v>3614</v>
      </c>
      <c r="D12273" s="17" t="s">
        <v>1407</v>
      </c>
      <c r="E12273" s="17" t="s">
        <v>2169</v>
      </c>
      <c r="F12273" s="17"/>
      <c r="G12273" s="18" t="n">
        <v>1207</v>
      </c>
      <c r="H12273" s="18" t="n">
        <v>0</v>
      </c>
      <c r="I12273" s="18" t="n">
        <f aca="false">((I12272 + G12273) - H12273)</f>
        <v>9531.37</v>
      </c>
      <c r="J12273" s="18" t="n">
        <v>0</v>
      </c>
      <c r="K12273" s="19" t="n">
        <v>0</v>
      </c>
      <c r="L12273" s="17" t="s">
        <v>1399</v>
      </c>
    </row>
    <row r="12274" s="11" customFormat="true" ht="10.95" hidden="false" customHeight="true" outlineLevel="0" collapsed="false">
      <c r="A12274" s="16" t="n">
        <v>45364</v>
      </c>
      <c r="B12274" s="17" t="s">
        <v>4521</v>
      </c>
      <c r="C12274" s="17" t="s">
        <v>3614</v>
      </c>
      <c r="D12274" s="17" t="s">
        <v>1407</v>
      </c>
      <c r="E12274" s="17" t="s">
        <v>4523</v>
      </c>
      <c r="F12274" s="17"/>
      <c r="G12274" s="18" t="n">
        <v>1705.92</v>
      </c>
      <c r="H12274" s="18" t="n">
        <v>0</v>
      </c>
      <c r="I12274" s="18" t="n">
        <f aca="false">((I12273 + G12274) - H12274)</f>
        <v>11237.29</v>
      </c>
      <c r="J12274" s="18" t="n">
        <v>0</v>
      </c>
      <c r="K12274" s="19" t="n">
        <v>0</v>
      </c>
      <c r="L12274" s="17" t="s">
        <v>1399</v>
      </c>
    </row>
    <row r="12275" s="11" customFormat="true" ht="10.95" hidden="false" customHeight="true" outlineLevel="0" collapsed="false">
      <c r="A12275" s="16" t="n">
        <v>45365</v>
      </c>
      <c r="B12275" s="17" t="s">
        <v>4521</v>
      </c>
      <c r="C12275" s="17" t="s">
        <v>3614</v>
      </c>
      <c r="D12275" s="17" t="s">
        <v>2106</v>
      </c>
      <c r="E12275" s="17" t="s">
        <v>4524</v>
      </c>
      <c r="F12275" s="17" t="s">
        <v>2147</v>
      </c>
      <c r="G12275" s="18" t="n">
        <v>0</v>
      </c>
      <c r="H12275" s="18" t="n">
        <v>5676.92</v>
      </c>
      <c r="I12275" s="18" t="n">
        <f aca="false">((I12274 + G12275) - H12275)</f>
        <v>5560.37</v>
      </c>
      <c r="J12275" s="18" t="n">
        <v>0</v>
      </c>
      <c r="K12275" s="19" t="n">
        <v>0</v>
      </c>
      <c r="L12275" s="17" t="s">
        <v>1399</v>
      </c>
    </row>
    <row r="12276" s="11" customFormat="true" ht="10.95" hidden="false" customHeight="true" outlineLevel="0" collapsed="false">
      <c r="A12276" s="16" t="n">
        <v>45370</v>
      </c>
      <c r="B12276" s="17" t="s">
        <v>4521</v>
      </c>
      <c r="C12276" s="17" t="s">
        <v>3614</v>
      </c>
      <c r="D12276" s="17" t="s">
        <v>1407</v>
      </c>
      <c r="E12276" s="17" t="s">
        <v>2170</v>
      </c>
      <c r="F12276" s="17"/>
      <c r="G12276" s="18" t="n">
        <v>1417</v>
      </c>
      <c r="H12276" s="18" t="n">
        <v>0</v>
      </c>
      <c r="I12276" s="18" t="n">
        <f aca="false">((I12275 + G12276) - H12276)</f>
        <v>6977.37</v>
      </c>
      <c r="J12276" s="18" t="n">
        <v>0</v>
      </c>
      <c r="K12276" s="19" t="n">
        <v>0</v>
      </c>
      <c r="L12276" s="17" t="s">
        <v>1399</v>
      </c>
    </row>
    <row r="12277" s="11" customFormat="true" ht="10.95" hidden="false" customHeight="true" outlineLevel="0" collapsed="false">
      <c r="A12277" s="16" t="n">
        <v>45371</v>
      </c>
      <c r="B12277" s="17" t="s">
        <v>4521</v>
      </c>
      <c r="C12277" s="17" t="s">
        <v>3614</v>
      </c>
      <c r="D12277" s="17" t="s">
        <v>1407</v>
      </c>
      <c r="E12277" s="17" t="s">
        <v>4526</v>
      </c>
      <c r="F12277" s="17"/>
      <c r="G12277" s="18" t="n">
        <v>140</v>
      </c>
      <c r="H12277" s="18" t="n">
        <v>0</v>
      </c>
      <c r="I12277" s="18" t="n">
        <f aca="false">((I12276 + G12277) - H12277)</f>
        <v>7117.37</v>
      </c>
      <c r="J12277" s="18" t="n">
        <v>0</v>
      </c>
      <c r="K12277" s="19" t="n">
        <v>0</v>
      </c>
      <c r="L12277" s="17" t="s">
        <v>1399</v>
      </c>
    </row>
    <row r="12278" s="11" customFormat="true" ht="10.95" hidden="false" customHeight="true" outlineLevel="0" collapsed="false">
      <c r="A12278" s="16" t="n">
        <v>45371</v>
      </c>
      <c r="B12278" s="17" t="s">
        <v>4521</v>
      </c>
      <c r="C12278" s="17" t="s">
        <v>3614</v>
      </c>
      <c r="D12278" s="17" t="s">
        <v>1407</v>
      </c>
      <c r="E12278" s="17" t="s">
        <v>4522</v>
      </c>
      <c r="F12278" s="17"/>
      <c r="G12278" s="18" t="n">
        <v>1207</v>
      </c>
      <c r="H12278" s="18" t="n">
        <v>0</v>
      </c>
      <c r="I12278" s="18" t="n">
        <f aca="false">((I12277 + G12278) - H12278)</f>
        <v>8324.37</v>
      </c>
      <c r="J12278" s="18" t="n">
        <v>0</v>
      </c>
      <c r="K12278" s="19" t="n">
        <v>0</v>
      </c>
      <c r="L12278" s="17" t="s">
        <v>1399</v>
      </c>
    </row>
    <row r="12279" s="11" customFormat="true" ht="10.95" hidden="false" customHeight="true" outlineLevel="0" collapsed="false">
      <c r="A12279" s="16" t="n">
        <v>45371</v>
      </c>
      <c r="B12279" s="17" t="s">
        <v>4521</v>
      </c>
      <c r="C12279" s="17" t="s">
        <v>3614</v>
      </c>
      <c r="D12279" s="17" t="s">
        <v>1407</v>
      </c>
      <c r="E12279" s="17" t="s">
        <v>2169</v>
      </c>
      <c r="F12279" s="17"/>
      <c r="G12279" s="18" t="n">
        <v>1207</v>
      </c>
      <c r="H12279" s="18" t="n">
        <v>0</v>
      </c>
      <c r="I12279" s="18" t="n">
        <f aca="false">((I12278 + G12279) - H12279)</f>
        <v>9531.37</v>
      </c>
      <c r="J12279" s="18" t="n">
        <v>0</v>
      </c>
      <c r="K12279" s="19" t="n">
        <v>0</v>
      </c>
      <c r="L12279" s="17" t="s">
        <v>1399</v>
      </c>
    </row>
    <row r="12280" s="11" customFormat="true" ht="10.95" hidden="false" customHeight="true" outlineLevel="0" collapsed="false">
      <c r="A12280" s="16" t="n">
        <v>45371</v>
      </c>
      <c r="B12280" s="17" t="s">
        <v>4521</v>
      </c>
      <c r="C12280" s="17" t="s">
        <v>3614</v>
      </c>
      <c r="D12280" s="17" t="s">
        <v>1407</v>
      </c>
      <c r="E12280" s="17" t="s">
        <v>4523</v>
      </c>
      <c r="F12280" s="17"/>
      <c r="G12280" s="18" t="n">
        <v>1705.92</v>
      </c>
      <c r="H12280" s="18" t="n">
        <v>0</v>
      </c>
      <c r="I12280" s="18" t="n">
        <f aca="false">((I12279 + G12280) - H12280)</f>
        <v>11237.29</v>
      </c>
      <c r="J12280" s="18" t="n">
        <v>0</v>
      </c>
      <c r="K12280" s="19" t="n">
        <v>0</v>
      </c>
      <c r="L12280" s="17" t="s">
        <v>1399</v>
      </c>
    </row>
    <row r="12281" s="11" customFormat="true" ht="10.95" hidden="false" customHeight="true" outlineLevel="0" collapsed="false">
      <c r="A12281" s="16" t="n">
        <v>45372</v>
      </c>
      <c r="B12281" s="17" t="s">
        <v>4521</v>
      </c>
      <c r="C12281" s="17" t="s">
        <v>3614</v>
      </c>
      <c r="D12281" s="17" t="s">
        <v>2106</v>
      </c>
      <c r="E12281" s="17" t="s">
        <v>4524</v>
      </c>
      <c r="F12281" s="17" t="s">
        <v>2148</v>
      </c>
      <c r="G12281" s="18" t="n">
        <v>0</v>
      </c>
      <c r="H12281" s="18" t="n">
        <v>5676.92</v>
      </c>
      <c r="I12281" s="18" t="n">
        <f aca="false">((I12280 + G12281) - H12281)</f>
        <v>5560.37</v>
      </c>
      <c r="J12281" s="18" t="n">
        <v>0</v>
      </c>
      <c r="K12281" s="19" t="n">
        <v>0</v>
      </c>
      <c r="L12281" s="17" t="s">
        <v>1399</v>
      </c>
    </row>
    <row r="12282" s="11" customFormat="true" ht="10.95" hidden="false" customHeight="true" outlineLevel="0" collapsed="false">
      <c r="A12282" s="16" t="n">
        <v>45377</v>
      </c>
      <c r="B12282" s="17" t="s">
        <v>4521</v>
      </c>
      <c r="C12282" s="17" t="s">
        <v>3614</v>
      </c>
      <c r="D12282" s="17" t="s">
        <v>1407</v>
      </c>
      <c r="E12282" s="17" t="s">
        <v>2170</v>
      </c>
      <c r="F12282" s="17"/>
      <c r="G12282" s="18" t="n">
        <v>1417</v>
      </c>
      <c r="H12282" s="18" t="n">
        <v>0</v>
      </c>
      <c r="I12282" s="18" t="n">
        <f aca="false">((I12281 + G12282) - H12282)</f>
        <v>6977.37</v>
      </c>
      <c r="J12282" s="18" t="n">
        <v>0</v>
      </c>
      <c r="K12282" s="19" t="n">
        <v>0</v>
      </c>
      <c r="L12282" s="17" t="s">
        <v>1399</v>
      </c>
    </row>
    <row r="12283" s="11" customFormat="true" ht="10.95" hidden="false" customHeight="true" outlineLevel="0" collapsed="false">
      <c r="A12283" s="16" t="n">
        <v>45378</v>
      </c>
      <c r="B12283" s="17" t="s">
        <v>4521</v>
      </c>
      <c r="C12283" s="17" t="s">
        <v>3614</v>
      </c>
      <c r="D12283" s="17" t="s">
        <v>1407</v>
      </c>
      <c r="E12283" s="17" t="s">
        <v>4526</v>
      </c>
      <c r="F12283" s="17"/>
      <c r="G12283" s="18" t="n">
        <v>140</v>
      </c>
      <c r="H12283" s="18" t="n">
        <v>0</v>
      </c>
      <c r="I12283" s="18" t="n">
        <f aca="false">((I12282 + G12283) - H12283)</f>
        <v>7117.37</v>
      </c>
      <c r="J12283" s="18" t="n">
        <v>0</v>
      </c>
      <c r="K12283" s="19" t="n">
        <v>0</v>
      </c>
      <c r="L12283" s="17" t="s">
        <v>1399</v>
      </c>
    </row>
    <row r="12284" s="11" customFormat="true" ht="10.95" hidden="false" customHeight="true" outlineLevel="0" collapsed="false">
      <c r="A12284" s="16" t="n">
        <v>45378</v>
      </c>
      <c r="B12284" s="17" t="s">
        <v>4521</v>
      </c>
      <c r="C12284" s="17" t="s">
        <v>3614</v>
      </c>
      <c r="D12284" s="17" t="s">
        <v>1407</v>
      </c>
      <c r="E12284" s="17" t="s">
        <v>4522</v>
      </c>
      <c r="F12284" s="17"/>
      <c r="G12284" s="18" t="n">
        <v>1207</v>
      </c>
      <c r="H12284" s="18" t="n">
        <v>0</v>
      </c>
      <c r="I12284" s="18" t="n">
        <f aca="false">((I12283 + G12284) - H12284)</f>
        <v>8324.37</v>
      </c>
      <c r="J12284" s="18" t="n">
        <v>0</v>
      </c>
      <c r="K12284" s="19" t="n">
        <v>0</v>
      </c>
      <c r="L12284" s="17" t="s">
        <v>1399</v>
      </c>
    </row>
    <row r="12285" s="11" customFormat="true" ht="10.95" hidden="false" customHeight="true" outlineLevel="0" collapsed="false">
      <c r="A12285" s="16" t="n">
        <v>45378</v>
      </c>
      <c r="B12285" s="17" t="s">
        <v>4521</v>
      </c>
      <c r="C12285" s="17" t="s">
        <v>3614</v>
      </c>
      <c r="D12285" s="17" t="s">
        <v>1407</v>
      </c>
      <c r="E12285" s="17" t="s">
        <v>2169</v>
      </c>
      <c r="F12285" s="17"/>
      <c r="G12285" s="18" t="n">
        <v>1207</v>
      </c>
      <c r="H12285" s="18" t="n">
        <v>0</v>
      </c>
      <c r="I12285" s="18" t="n">
        <f aca="false">((I12284 + G12285) - H12285)</f>
        <v>9531.37</v>
      </c>
      <c r="J12285" s="18" t="n">
        <v>0</v>
      </c>
      <c r="K12285" s="19" t="n">
        <v>0</v>
      </c>
      <c r="L12285" s="17" t="s">
        <v>1399</v>
      </c>
    </row>
    <row r="12286" s="11" customFormat="true" ht="10.95" hidden="false" customHeight="true" outlineLevel="0" collapsed="false">
      <c r="A12286" s="16" t="n">
        <v>45378</v>
      </c>
      <c r="B12286" s="17" t="s">
        <v>4521</v>
      </c>
      <c r="C12286" s="17" t="s">
        <v>3614</v>
      </c>
      <c r="D12286" s="17" t="s">
        <v>1407</v>
      </c>
      <c r="E12286" s="17" t="s">
        <v>4523</v>
      </c>
      <c r="F12286" s="17"/>
      <c r="G12286" s="18" t="n">
        <v>1705.92</v>
      </c>
      <c r="H12286" s="18" t="n">
        <v>0</v>
      </c>
      <c r="I12286" s="18" t="n">
        <f aca="false">((I12285 + G12286) - H12286)</f>
        <v>11237.29</v>
      </c>
      <c r="J12286" s="18" t="n">
        <v>0</v>
      </c>
      <c r="K12286" s="19" t="n">
        <v>0</v>
      </c>
      <c r="L12286" s="17" t="s">
        <v>1399</v>
      </c>
    </row>
    <row r="12287" s="11" customFormat="true" ht="10.95" hidden="false" customHeight="true" outlineLevel="0" collapsed="false">
      <c r="A12287" s="16" t="n">
        <v>45379</v>
      </c>
      <c r="B12287" s="17" t="s">
        <v>4521</v>
      </c>
      <c r="C12287" s="17" t="s">
        <v>3614</v>
      </c>
      <c r="D12287" s="17" t="s">
        <v>2106</v>
      </c>
      <c r="E12287" s="17" t="s">
        <v>4524</v>
      </c>
      <c r="F12287" s="17" t="s">
        <v>2149</v>
      </c>
      <c r="G12287" s="18" t="n">
        <v>0</v>
      </c>
      <c r="H12287" s="18" t="n">
        <v>5676.92</v>
      </c>
      <c r="I12287" s="18" t="n">
        <f aca="false">((I12286 + G12287) - H12287)</f>
        <v>5560.37</v>
      </c>
      <c r="J12287" s="18" t="n">
        <v>0</v>
      </c>
      <c r="K12287" s="19" t="n">
        <v>0</v>
      </c>
      <c r="L12287" s="17" t="s">
        <v>1399</v>
      </c>
    </row>
    <row r="12288" s="11" customFormat="true" ht="10.95" hidden="false" customHeight="true" outlineLevel="0" collapsed="false">
      <c r="A12288" s="16" t="n">
        <v>45385</v>
      </c>
      <c r="B12288" s="17" t="s">
        <v>4521</v>
      </c>
      <c r="C12288" s="17" t="s">
        <v>3614</v>
      </c>
      <c r="D12288" s="17" t="s">
        <v>1407</v>
      </c>
      <c r="E12288" s="17" t="s">
        <v>4526</v>
      </c>
      <c r="F12288" s="17"/>
      <c r="G12288" s="18" t="n">
        <v>140</v>
      </c>
      <c r="H12288" s="18" t="n">
        <v>0</v>
      </c>
      <c r="I12288" s="18" t="n">
        <f aca="false">((I12287 + G12288) - H12288)</f>
        <v>5700.37</v>
      </c>
      <c r="J12288" s="18" t="n">
        <v>0</v>
      </c>
      <c r="K12288" s="19" t="n">
        <v>0</v>
      </c>
      <c r="L12288" s="17" t="s">
        <v>1399</v>
      </c>
    </row>
    <row r="12289" s="11" customFormat="true" ht="10.95" hidden="false" customHeight="true" outlineLevel="0" collapsed="false">
      <c r="A12289" s="16" t="n">
        <v>45385</v>
      </c>
      <c r="B12289" s="17" t="s">
        <v>4521</v>
      </c>
      <c r="C12289" s="17" t="s">
        <v>3614</v>
      </c>
      <c r="D12289" s="17" t="s">
        <v>1407</v>
      </c>
      <c r="E12289" s="17" t="s">
        <v>4522</v>
      </c>
      <c r="F12289" s="17"/>
      <c r="G12289" s="18" t="n">
        <v>1207</v>
      </c>
      <c r="H12289" s="18" t="n">
        <v>0</v>
      </c>
      <c r="I12289" s="18" t="n">
        <f aca="false">((I12288 + G12289) - H12289)</f>
        <v>6907.37</v>
      </c>
      <c r="J12289" s="18" t="n">
        <v>0</v>
      </c>
      <c r="K12289" s="19" t="n">
        <v>0</v>
      </c>
      <c r="L12289" s="17" t="s">
        <v>1399</v>
      </c>
    </row>
    <row r="12290" s="11" customFormat="true" ht="10.95" hidden="false" customHeight="true" outlineLevel="0" collapsed="false">
      <c r="A12290" s="16" t="n">
        <v>45385</v>
      </c>
      <c r="B12290" s="17" t="s">
        <v>4521</v>
      </c>
      <c r="C12290" s="17" t="s">
        <v>3614</v>
      </c>
      <c r="D12290" s="17" t="s">
        <v>1407</v>
      </c>
      <c r="E12290" s="17" t="s">
        <v>2169</v>
      </c>
      <c r="F12290" s="17"/>
      <c r="G12290" s="18" t="n">
        <v>1207</v>
      </c>
      <c r="H12290" s="18" t="n">
        <v>0</v>
      </c>
      <c r="I12290" s="18" t="n">
        <f aca="false">((I12289 + G12290) - H12290)</f>
        <v>8114.37</v>
      </c>
      <c r="J12290" s="18" t="n">
        <v>0</v>
      </c>
      <c r="K12290" s="19" t="n">
        <v>0</v>
      </c>
      <c r="L12290" s="17" t="s">
        <v>1399</v>
      </c>
    </row>
    <row r="12291" s="11" customFormat="true" ht="10.95" hidden="false" customHeight="true" outlineLevel="0" collapsed="false">
      <c r="A12291" s="16" t="n">
        <v>45385</v>
      </c>
      <c r="B12291" s="17" t="s">
        <v>4521</v>
      </c>
      <c r="C12291" s="17" t="s">
        <v>3614</v>
      </c>
      <c r="D12291" s="17" t="s">
        <v>1407</v>
      </c>
      <c r="E12291" s="17" t="s">
        <v>4523</v>
      </c>
      <c r="F12291" s="17"/>
      <c r="G12291" s="18" t="n">
        <v>1705.92</v>
      </c>
      <c r="H12291" s="18" t="n">
        <v>0</v>
      </c>
      <c r="I12291" s="18" t="n">
        <f aca="false">((I12290 + G12291) - H12291)</f>
        <v>9820.29</v>
      </c>
      <c r="J12291" s="18" t="n">
        <v>0</v>
      </c>
      <c r="K12291" s="19" t="n">
        <v>0</v>
      </c>
      <c r="L12291" s="17" t="s">
        <v>1399</v>
      </c>
    </row>
    <row r="12292" s="11" customFormat="true" ht="10.95" hidden="false" customHeight="true" outlineLevel="0" collapsed="false">
      <c r="A12292" s="16" t="n">
        <v>45386</v>
      </c>
      <c r="B12292" s="17" t="s">
        <v>4521</v>
      </c>
      <c r="C12292" s="17" t="s">
        <v>3614</v>
      </c>
      <c r="D12292" s="17" t="s">
        <v>2106</v>
      </c>
      <c r="E12292" s="17" t="s">
        <v>4524</v>
      </c>
      <c r="F12292" s="17" t="s">
        <v>2150</v>
      </c>
      <c r="G12292" s="18" t="n">
        <v>0</v>
      </c>
      <c r="H12292" s="18" t="n">
        <v>5676.92</v>
      </c>
      <c r="I12292" s="18" t="n">
        <f aca="false">((I12291 + G12292) - H12292)</f>
        <v>4143.37</v>
      </c>
      <c r="J12292" s="18" t="n">
        <v>0</v>
      </c>
      <c r="K12292" s="19" t="n">
        <v>0</v>
      </c>
      <c r="L12292" s="17" t="s">
        <v>1399</v>
      </c>
    </row>
    <row r="12293" s="11" customFormat="true" ht="10.95" hidden="false" customHeight="true" outlineLevel="0" collapsed="false">
      <c r="A12293" s="16" t="n">
        <v>45391</v>
      </c>
      <c r="B12293" s="17" t="s">
        <v>4521</v>
      </c>
      <c r="C12293" s="17" t="s">
        <v>3614</v>
      </c>
      <c r="D12293" s="17" t="s">
        <v>1407</v>
      </c>
      <c r="E12293" s="17" t="s">
        <v>2170</v>
      </c>
      <c r="F12293" s="17"/>
      <c r="G12293" s="18" t="n">
        <v>1417</v>
      </c>
      <c r="H12293" s="18" t="n">
        <v>0</v>
      </c>
      <c r="I12293" s="18" t="n">
        <f aca="false">((I12292 + G12293) - H12293)</f>
        <v>5560.37</v>
      </c>
      <c r="J12293" s="18" t="n">
        <v>0</v>
      </c>
      <c r="K12293" s="19" t="n">
        <v>0</v>
      </c>
      <c r="L12293" s="17" t="s">
        <v>1399</v>
      </c>
    </row>
    <row r="12294" s="11" customFormat="true" ht="10.95" hidden="false" customHeight="true" outlineLevel="0" collapsed="false">
      <c r="A12294" s="16" t="n">
        <v>45392</v>
      </c>
      <c r="B12294" s="17" t="s">
        <v>4521</v>
      </c>
      <c r="C12294" s="17" t="s">
        <v>3614</v>
      </c>
      <c r="D12294" s="17" t="s">
        <v>1407</v>
      </c>
      <c r="E12294" s="17" t="s">
        <v>4526</v>
      </c>
      <c r="F12294" s="17"/>
      <c r="G12294" s="18" t="n">
        <v>140</v>
      </c>
      <c r="H12294" s="18" t="n">
        <v>0</v>
      </c>
      <c r="I12294" s="18" t="n">
        <f aca="false">((I12293 + G12294) - H12294)</f>
        <v>5700.37</v>
      </c>
      <c r="J12294" s="18" t="n">
        <v>0</v>
      </c>
      <c r="K12294" s="19" t="n">
        <v>0</v>
      </c>
      <c r="L12294" s="17" t="s">
        <v>1399</v>
      </c>
    </row>
    <row r="12295" s="11" customFormat="true" ht="10.95" hidden="false" customHeight="true" outlineLevel="0" collapsed="false">
      <c r="A12295" s="16" t="n">
        <v>45392</v>
      </c>
      <c r="B12295" s="17" t="s">
        <v>4521</v>
      </c>
      <c r="C12295" s="17" t="s">
        <v>3614</v>
      </c>
      <c r="D12295" s="17" t="s">
        <v>1407</v>
      </c>
      <c r="E12295" s="17" t="s">
        <v>2169</v>
      </c>
      <c r="F12295" s="17"/>
      <c r="G12295" s="18" t="n">
        <v>1207</v>
      </c>
      <c r="H12295" s="18" t="n">
        <v>0</v>
      </c>
      <c r="I12295" s="18" t="n">
        <f aca="false">((I12294 + G12295) - H12295)</f>
        <v>6907.37</v>
      </c>
      <c r="J12295" s="18" t="n">
        <v>0</v>
      </c>
      <c r="K12295" s="19" t="n">
        <v>0</v>
      </c>
      <c r="L12295" s="17" t="s">
        <v>1399</v>
      </c>
    </row>
    <row r="12296" s="11" customFormat="true" ht="10.95" hidden="false" customHeight="true" outlineLevel="0" collapsed="false">
      <c r="A12296" s="16" t="n">
        <v>45392</v>
      </c>
      <c r="B12296" s="17" t="s">
        <v>4521</v>
      </c>
      <c r="C12296" s="17" t="s">
        <v>3614</v>
      </c>
      <c r="D12296" s="17" t="s">
        <v>1407</v>
      </c>
      <c r="E12296" s="17" t="s">
        <v>4522</v>
      </c>
      <c r="F12296" s="17"/>
      <c r="G12296" s="18" t="n">
        <v>1207</v>
      </c>
      <c r="H12296" s="18" t="n">
        <v>0</v>
      </c>
      <c r="I12296" s="18" t="n">
        <f aca="false">((I12295 + G12296) - H12296)</f>
        <v>8114.37</v>
      </c>
      <c r="J12296" s="18" t="n">
        <v>0</v>
      </c>
      <c r="K12296" s="19" t="n">
        <v>0</v>
      </c>
      <c r="L12296" s="17" t="s">
        <v>1399</v>
      </c>
    </row>
    <row r="12297" s="11" customFormat="true" ht="10.95" hidden="false" customHeight="true" outlineLevel="0" collapsed="false">
      <c r="A12297" s="16" t="n">
        <v>45392</v>
      </c>
      <c r="B12297" s="17" t="s">
        <v>4521</v>
      </c>
      <c r="C12297" s="17" t="s">
        <v>3614</v>
      </c>
      <c r="D12297" s="17" t="s">
        <v>1407</v>
      </c>
      <c r="E12297" s="17" t="s">
        <v>4523</v>
      </c>
      <c r="F12297" s="17"/>
      <c r="G12297" s="18" t="n">
        <v>1705.92</v>
      </c>
      <c r="H12297" s="18" t="n">
        <v>0</v>
      </c>
      <c r="I12297" s="18" t="n">
        <f aca="false">((I12296 + G12297) - H12297)</f>
        <v>9820.29</v>
      </c>
      <c r="J12297" s="18" t="n">
        <v>0</v>
      </c>
      <c r="K12297" s="19" t="n">
        <v>0</v>
      </c>
      <c r="L12297" s="17" t="s">
        <v>1399</v>
      </c>
    </row>
    <row r="12298" s="11" customFormat="true" ht="10.95" hidden="false" customHeight="true" outlineLevel="0" collapsed="false">
      <c r="A12298" s="16" t="n">
        <v>45393</v>
      </c>
      <c r="B12298" s="17" t="s">
        <v>4521</v>
      </c>
      <c r="C12298" s="17" t="s">
        <v>3614</v>
      </c>
      <c r="D12298" s="17" t="s">
        <v>2106</v>
      </c>
      <c r="E12298" s="17" t="s">
        <v>4524</v>
      </c>
      <c r="F12298" s="17" t="s">
        <v>2151</v>
      </c>
      <c r="G12298" s="18" t="n">
        <v>0</v>
      </c>
      <c r="H12298" s="18" t="n">
        <v>5676.92</v>
      </c>
      <c r="I12298" s="18" t="n">
        <f aca="false">((I12297 + G12298) - H12298)</f>
        <v>4143.37</v>
      </c>
      <c r="J12298" s="18" t="n">
        <v>0</v>
      </c>
      <c r="K12298" s="19" t="n">
        <v>0</v>
      </c>
      <c r="L12298" s="17" t="s">
        <v>1399</v>
      </c>
    </row>
    <row r="12299" s="11" customFormat="true" ht="10.95" hidden="false" customHeight="true" outlineLevel="0" collapsed="false">
      <c r="A12299" s="16" t="n">
        <v>45398</v>
      </c>
      <c r="B12299" s="17" t="s">
        <v>4521</v>
      </c>
      <c r="C12299" s="17" t="s">
        <v>3614</v>
      </c>
      <c r="D12299" s="17" t="s">
        <v>1407</v>
      </c>
      <c r="E12299" s="17" t="s">
        <v>2170</v>
      </c>
      <c r="F12299" s="17"/>
      <c r="G12299" s="18" t="n">
        <v>1417</v>
      </c>
      <c r="H12299" s="18" t="n">
        <v>0</v>
      </c>
      <c r="I12299" s="18" t="n">
        <f aca="false">((I12298 + G12299) - H12299)</f>
        <v>5560.37</v>
      </c>
      <c r="J12299" s="18" t="n">
        <v>0</v>
      </c>
      <c r="K12299" s="19" t="n">
        <v>0</v>
      </c>
      <c r="L12299" s="17" t="s">
        <v>1399</v>
      </c>
    </row>
    <row r="12300" s="11" customFormat="true" ht="10.95" hidden="false" customHeight="true" outlineLevel="0" collapsed="false">
      <c r="A12300" s="16" t="n">
        <v>45399</v>
      </c>
      <c r="B12300" s="17" t="s">
        <v>4521</v>
      </c>
      <c r="C12300" s="17" t="s">
        <v>3614</v>
      </c>
      <c r="D12300" s="17" t="s">
        <v>1407</v>
      </c>
      <c r="E12300" s="17" t="s">
        <v>4526</v>
      </c>
      <c r="F12300" s="17"/>
      <c r="G12300" s="18" t="n">
        <v>140</v>
      </c>
      <c r="H12300" s="18" t="n">
        <v>0</v>
      </c>
      <c r="I12300" s="18" t="n">
        <f aca="false">((I12299 + G12300) - H12300)</f>
        <v>5700.37</v>
      </c>
      <c r="J12300" s="18" t="n">
        <v>0</v>
      </c>
      <c r="K12300" s="19" t="n">
        <v>0</v>
      </c>
      <c r="L12300" s="17" t="s">
        <v>1399</v>
      </c>
    </row>
    <row r="12301" s="11" customFormat="true" ht="10.95" hidden="false" customHeight="true" outlineLevel="0" collapsed="false">
      <c r="A12301" s="16" t="n">
        <v>45399</v>
      </c>
      <c r="B12301" s="17" t="s">
        <v>4521</v>
      </c>
      <c r="C12301" s="17" t="s">
        <v>3614</v>
      </c>
      <c r="D12301" s="17" t="s">
        <v>1407</v>
      </c>
      <c r="E12301" s="17" t="s">
        <v>4522</v>
      </c>
      <c r="F12301" s="17"/>
      <c r="G12301" s="18" t="n">
        <v>1207</v>
      </c>
      <c r="H12301" s="18" t="n">
        <v>0</v>
      </c>
      <c r="I12301" s="18" t="n">
        <f aca="false">((I12300 + G12301) - H12301)</f>
        <v>6907.37</v>
      </c>
      <c r="J12301" s="18" t="n">
        <v>0</v>
      </c>
      <c r="K12301" s="19" t="n">
        <v>0</v>
      </c>
      <c r="L12301" s="17" t="s">
        <v>1399</v>
      </c>
    </row>
    <row r="12302" s="11" customFormat="true" ht="10.95" hidden="false" customHeight="true" outlineLevel="0" collapsed="false">
      <c r="A12302" s="16" t="n">
        <v>45399</v>
      </c>
      <c r="B12302" s="17" t="s">
        <v>4521</v>
      </c>
      <c r="C12302" s="17" t="s">
        <v>3614</v>
      </c>
      <c r="D12302" s="17" t="s">
        <v>1407</v>
      </c>
      <c r="E12302" s="17" t="s">
        <v>2169</v>
      </c>
      <c r="F12302" s="17"/>
      <c r="G12302" s="18" t="n">
        <v>1207</v>
      </c>
      <c r="H12302" s="18" t="n">
        <v>0</v>
      </c>
      <c r="I12302" s="18" t="n">
        <f aca="false">((I12301 + G12302) - H12302)</f>
        <v>8114.37</v>
      </c>
      <c r="J12302" s="18" t="n">
        <v>0</v>
      </c>
      <c r="K12302" s="19" t="n">
        <v>0</v>
      </c>
      <c r="L12302" s="17" t="s">
        <v>1399</v>
      </c>
    </row>
    <row r="12303" s="11" customFormat="true" ht="10.95" hidden="false" customHeight="true" outlineLevel="0" collapsed="false">
      <c r="A12303" s="16" t="n">
        <v>45399</v>
      </c>
      <c r="B12303" s="17" t="s">
        <v>4521</v>
      </c>
      <c r="C12303" s="17" t="s">
        <v>3614</v>
      </c>
      <c r="D12303" s="17" t="s">
        <v>1407</v>
      </c>
      <c r="E12303" s="17" t="s">
        <v>4523</v>
      </c>
      <c r="F12303" s="17"/>
      <c r="G12303" s="18" t="n">
        <v>1705.92</v>
      </c>
      <c r="H12303" s="18" t="n">
        <v>0</v>
      </c>
      <c r="I12303" s="18" t="n">
        <f aca="false">((I12302 + G12303) - H12303)</f>
        <v>9820.29</v>
      </c>
      <c r="J12303" s="18" t="n">
        <v>0</v>
      </c>
      <c r="K12303" s="19" t="n">
        <v>0</v>
      </c>
      <c r="L12303" s="17" t="s">
        <v>1399</v>
      </c>
    </row>
    <row r="12304" s="11" customFormat="true" ht="10.95" hidden="false" customHeight="true" outlineLevel="0" collapsed="false">
      <c r="A12304" s="16" t="n">
        <v>45400</v>
      </c>
      <c r="B12304" s="17" t="s">
        <v>4521</v>
      </c>
      <c r="C12304" s="17" t="s">
        <v>3614</v>
      </c>
      <c r="D12304" s="17" t="s">
        <v>2106</v>
      </c>
      <c r="E12304" s="17" t="s">
        <v>4524</v>
      </c>
      <c r="F12304" s="17" t="s">
        <v>2152</v>
      </c>
      <c r="G12304" s="18" t="n">
        <v>0</v>
      </c>
      <c r="H12304" s="18" t="n">
        <v>5676.92</v>
      </c>
      <c r="I12304" s="18" t="n">
        <f aca="false">((I12303 + G12304) - H12304)</f>
        <v>4143.37</v>
      </c>
      <c r="J12304" s="18" t="n">
        <v>0</v>
      </c>
      <c r="K12304" s="19" t="n">
        <v>0</v>
      </c>
      <c r="L12304" s="17" t="s">
        <v>1399</v>
      </c>
    </row>
    <row r="12305" s="11" customFormat="true" ht="10.95" hidden="false" customHeight="true" outlineLevel="0" collapsed="false">
      <c r="A12305" s="16" t="n">
        <v>45405</v>
      </c>
      <c r="B12305" s="17" t="s">
        <v>4521</v>
      </c>
      <c r="C12305" s="17" t="s">
        <v>3614</v>
      </c>
      <c r="D12305" s="17" t="s">
        <v>1407</v>
      </c>
      <c r="E12305" s="17" t="s">
        <v>2170</v>
      </c>
      <c r="F12305" s="17"/>
      <c r="G12305" s="18" t="n">
        <v>1417</v>
      </c>
      <c r="H12305" s="18" t="n">
        <v>0</v>
      </c>
      <c r="I12305" s="18" t="n">
        <f aca="false">((I12304 + G12305) - H12305)</f>
        <v>5560.37</v>
      </c>
      <c r="J12305" s="18" t="n">
        <v>0</v>
      </c>
      <c r="K12305" s="19" t="n">
        <v>0</v>
      </c>
      <c r="L12305" s="17" t="s">
        <v>1399</v>
      </c>
    </row>
    <row r="12306" s="11" customFormat="true" ht="10.95" hidden="false" customHeight="true" outlineLevel="0" collapsed="false">
      <c r="A12306" s="16" t="n">
        <v>45406</v>
      </c>
      <c r="B12306" s="17" t="s">
        <v>4521</v>
      </c>
      <c r="C12306" s="17" t="s">
        <v>3614</v>
      </c>
      <c r="D12306" s="17" t="s">
        <v>1407</v>
      </c>
      <c r="E12306" s="17" t="s">
        <v>4526</v>
      </c>
      <c r="F12306" s="17"/>
      <c r="G12306" s="18" t="n">
        <v>140</v>
      </c>
      <c r="H12306" s="18" t="n">
        <v>0</v>
      </c>
      <c r="I12306" s="18" t="n">
        <f aca="false">((I12305 + G12306) - H12306)</f>
        <v>5700.37</v>
      </c>
      <c r="J12306" s="18" t="n">
        <v>0</v>
      </c>
      <c r="K12306" s="19" t="n">
        <v>0</v>
      </c>
      <c r="L12306" s="17" t="s">
        <v>1399</v>
      </c>
    </row>
    <row r="12307" s="11" customFormat="true" ht="10.95" hidden="false" customHeight="true" outlineLevel="0" collapsed="false">
      <c r="A12307" s="16" t="n">
        <v>45406</v>
      </c>
      <c r="B12307" s="17" t="s">
        <v>4521</v>
      </c>
      <c r="C12307" s="17" t="s">
        <v>3614</v>
      </c>
      <c r="D12307" s="17" t="s">
        <v>1407</v>
      </c>
      <c r="E12307" s="17" t="s">
        <v>2169</v>
      </c>
      <c r="F12307" s="17"/>
      <c r="G12307" s="18" t="n">
        <v>1207</v>
      </c>
      <c r="H12307" s="18" t="n">
        <v>0</v>
      </c>
      <c r="I12307" s="18" t="n">
        <f aca="false">((I12306 + G12307) - H12307)</f>
        <v>6907.37</v>
      </c>
      <c r="J12307" s="18" t="n">
        <v>0</v>
      </c>
      <c r="K12307" s="19" t="n">
        <v>0</v>
      </c>
      <c r="L12307" s="17" t="s">
        <v>1399</v>
      </c>
    </row>
    <row r="12308" s="11" customFormat="true" ht="10.95" hidden="false" customHeight="true" outlineLevel="0" collapsed="false">
      <c r="A12308" s="16" t="n">
        <v>45406</v>
      </c>
      <c r="B12308" s="17" t="s">
        <v>4521</v>
      </c>
      <c r="C12308" s="17" t="s">
        <v>3614</v>
      </c>
      <c r="D12308" s="17" t="s">
        <v>1407</v>
      </c>
      <c r="E12308" s="17" t="s">
        <v>4522</v>
      </c>
      <c r="F12308" s="17"/>
      <c r="G12308" s="18" t="n">
        <v>1207</v>
      </c>
      <c r="H12308" s="18" t="n">
        <v>0</v>
      </c>
      <c r="I12308" s="18" t="n">
        <f aca="false">((I12307 + G12308) - H12308)</f>
        <v>8114.37</v>
      </c>
      <c r="J12308" s="18" t="n">
        <v>0</v>
      </c>
      <c r="K12308" s="19" t="n">
        <v>0</v>
      </c>
      <c r="L12308" s="17" t="s">
        <v>1399</v>
      </c>
    </row>
    <row r="12309" s="11" customFormat="true" ht="10.95" hidden="false" customHeight="true" outlineLevel="0" collapsed="false">
      <c r="A12309" s="16" t="n">
        <v>45406</v>
      </c>
      <c r="B12309" s="17" t="s">
        <v>4521</v>
      </c>
      <c r="C12309" s="17" t="s">
        <v>3614</v>
      </c>
      <c r="D12309" s="17" t="s">
        <v>1407</v>
      </c>
      <c r="E12309" s="17" t="s">
        <v>4523</v>
      </c>
      <c r="F12309" s="17"/>
      <c r="G12309" s="18" t="n">
        <v>1705.92</v>
      </c>
      <c r="H12309" s="18" t="n">
        <v>0</v>
      </c>
      <c r="I12309" s="18" t="n">
        <f aca="false">((I12308 + G12309) - H12309)</f>
        <v>9820.29</v>
      </c>
      <c r="J12309" s="18" t="n">
        <v>0</v>
      </c>
      <c r="K12309" s="19" t="n">
        <v>0</v>
      </c>
      <c r="L12309" s="17" t="s">
        <v>1399</v>
      </c>
    </row>
    <row r="12310" s="11" customFormat="true" ht="10.95" hidden="false" customHeight="true" outlineLevel="0" collapsed="false">
      <c r="A12310" s="16" t="n">
        <v>45407</v>
      </c>
      <c r="B12310" s="17" t="s">
        <v>4521</v>
      </c>
      <c r="C12310" s="17" t="s">
        <v>3614</v>
      </c>
      <c r="D12310" s="17" t="s">
        <v>2106</v>
      </c>
      <c r="E12310" s="17" t="s">
        <v>4524</v>
      </c>
      <c r="F12310" s="17" t="s">
        <v>2153</v>
      </c>
      <c r="G12310" s="18" t="n">
        <v>0</v>
      </c>
      <c r="H12310" s="18" t="n">
        <v>5676.92</v>
      </c>
      <c r="I12310" s="18" t="n">
        <f aca="false">((I12309 + G12310) - H12310)</f>
        <v>4143.37</v>
      </c>
      <c r="J12310" s="18" t="n">
        <v>0</v>
      </c>
      <c r="K12310" s="19" t="n">
        <v>0</v>
      </c>
      <c r="L12310" s="17" t="s">
        <v>1399</v>
      </c>
    </row>
    <row r="12311" s="11" customFormat="true" ht="10.95" hidden="false" customHeight="true" outlineLevel="0" collapsed="false">
      <c r="A12311" s="16" t="n">
        <v>45412</v>
      </c>
      <c r="B12311" s="17" t="s">
        <v>4521</v>
      </c>
      <c r="C12311" s="17" t="s">
        <v>3614</v>
      </c>
      <c r="D12311" s="17" t="s">
        <v>1407</v>
      </c>
      <c r="E12311" s="17" t="s">
        <v>2170</v>
      </c>
      <c r="F12311" s="17"/>
      <c r="G12311" s="18" t="n">
        <v>1417</v>
      </c>
      <c r="H12311" s="18" t="n">
        <v>0</v>
      </c>
      <c r="I12311" s="18" t="n">
        <f aca="false">((I12310 + G12311) - H12311)</f>
        <v>5560.37</v>
      </c>
      <c r="J12311" s="18" t="n">
        <v>0</v>
      </c>
      <c r="K12311" s="19" t="n">
        <v>0</v>
      </c>
      <c r="L12311" s="17" t="s">
        <v>1399</v>
      </c>
    </row>
    <row r="12312" s="11" customFormat="true" ht="10.95" hidden="false" customHeight="true" outlineLevel="0" collapsed="false">
      <c r="A12312" s="16" t="n">
        <v>45413</v>
      </c>
      <c r="B12312" s="17" t="s">
        <v>4521</v>
      </c>
      <c r="C12312" s="17" t="s">
        <v>3614</v>
      </c>
      <c r="D12312" s="17" t="s">
        <v>1407</v>
      </c>
      <c r="E12312" s="17" t="s">
        <v>4526</v>
      </c>
      <c r="F12312" s="17"/>
      <c r="G12312" s="18" t="n">
        <v>140</v>
      </c>
      <c r="H12312" s="18" t="n">
        <v>0</v>
      </c>
      <c r="I12312" s="18" t="n">
        <f aca="false">((I12311 + G12312) - H12312)</f>
        <v>5700.37</v>
      </c>
      <c r="J12312" s="18" t="n">
        <v>0</v>
      </c>
      <c r="K12312" s="19" t="n">
        <v>0</v>
      </c>
      <c r="L12312" s="17" t="s">
        <v>1399</v>
      </c>
    </row>
    <row r="12313" s="11" customFormat="true" ht="10.95" hidden="false" customHeight="true" outlineLevel="0" collapsed="false">
      <c r="A12313" s="16" t="n">
        <v>45413</v>
      </c>
      <c r="B12313" s="17" t="s">
        <v>4521</v>
      </c>
      <c r="C12313" s="17" t="s">
        <v>3614</v>
      </c>
      <c r="D12313" s="17" t="s">
        <v>1407</v>
      </c>
      <c r="E12313" s="17" t="s">
        <v>4522</v>
      </c>
      <c r="F12313" s="17"/>
      <c r="G12313" s="18" t="n">
        <v>1207</v>
      </c>
      <c r="H12313" s="18" t="n">
        <v>0</v>
      </c>
      <c r="I12313" s="18" t="n">
        <f aca="false">((I12312 + G12313) - H12313)</f>
        <v>6907.37</v>
      </c>
      <c r="J12313" s="18" t="n">
        <v>0</v>
      </c>
      <c r="K12313" s="19" t="n">
        <v>0</v>
      </c>
      <c r="L12313" s="17" t="s">
        <v>1399</v>
      </c>
    </row>
    <row r="12314" s="11" customFormat="true" ht="10.95" hidden="false" customHeight="true" outlineLevel="0" collapsed="false">
      <c r="A12314" s="16" t="n">
        <v>45413</v>
      </c>
      <c r="B12314" s="17" t="s">
        <v>4521</v>
      </c>
      <c r="C12314" s="17" t="s">
        <v>3614</v>
      </c>
      <c r="D12314" s="17" t="s">
        <v>1407</v>
      </c>
      <c r="E12314" s="17" t="s">
        <v>2169</v>
      </c>
      <c r="F12314" s="17"/>
      <c r="G12314" s="18" t="n">
        <v>1207</v>
      </c>
      <c r="H12314" s="18" t="n">
        <v>0</v>
      </c>
      <c r="I12314" s="18" t="n">
        <f aca="false">((I12313 + G12314) - H12314)</f>
        <v>8114.37</v>
      </c>
      <c r="J12314" s="18" t="n">
        <v>0</v>
      </c>
      <c r="K12314" s="19" t="n">
        <v>0</v>
      </c>
      <c r="L12314" s="17" t="s">
        <v>1399</v>
      </c>
    </row>
    <row r="12315" s="11" customFormat="true" ht="10.95" hidden="false" customHeight="true" outlineLevel="0" collapsed="false">
      <c r="A12315" s="16" t="n">
        <v>45413</v>
      </c>
      <c r="B12315" s="17" t="s">
        <v>4521</v>
      </c>
      <c r="C12315" s="17" t="s">
        <v>3614</v>
      </c>
      <c r="D12315" s="17" t="s">
        <v>1407</v>
      </c>
      <c r="E12315" s="17" t="s">
        <v>4523</v>
      </c>
      <c r="F12315" s="17"/>
      <c r="G12315" s="18" t="n">
        <v>1705.92</v>
      </c>
      <c r="H12315" s="18" t="n">
        <v>0</v>
      </c>
      <c r="I12315" s="18" t="n">
        <f aca="false">((I12314 + G12315) - H12315)</f>
        <v>9820.29</v>
      </c>
      <c r="J12315" s="18" t="n">
        <v>0</v>
      </c>
      <c r="K12315" s="19" t="n">
        <v>0</v>
      </c>
      <c r="L12315" s="17" t="s">
        <v>1399</v>
      </c>
    </row>
    <row r="12316" s="11" customFormat="true" ht="10.95" hidden="false" customHeight="true" outlineLevel="0" collapsed="false">
      <c r="A12316" s="16" t="n">
        <v>45414</v>
      </c>
      <c r="B12316" s="17" t="s">
        <v>4521</v>
      </c>
      <c r="C12316" s="17" t="s">
        <v>3614</v>
      </c>
      <c r="D12316" s="17" t="s">
        <v>2106</v>
      </c>
      <c r="E12316" s="17" t="s">
        <v>4524</v>
      </c>
      <c r="F12316" s="17" t="s">
        <v>2154</v>
      </c>
      <c r="G12316" s="18" t="n">
        <v>0</v>
      </c>
      <c r="H12316" s="18" t="n">
        <v>5676.92</v>
      </c>
      <c r="I12316" s="18" t="n">
        <f aca="false">((I12315 + G12316) - H12316)</f>
        <v>4143.37</v>
      </c>
      <c r="J12316" s="18" t="n">
        <v>0</v>
      </c>
      <c r="K12316" s="19" t="n">
        <v>0</v>
      </c>
      <c r="L12316" s="17" t="s">
        <v>1399</v>
      </c>
    </row>
    <row r="12317" s="11" customFormat="true" ht="10.95" hidden="false" customHeight="true" outlineLevel="0" collapsed="false">
      <c r="A12317" s="16" t="n">
        <v>45419</v>
      </c>
      <c r="B12317" s="17" t="s">
        <v>4521</v>
      </c>
      <c r="C12317" s="17" t="s">
        <v>3614</v>
      </c>
      <c r="D12317" s="17" t="s">
        <v>1407</v>
      </c>
      <c r="E12317" s="17" t="s">
        <v>2170</v>
      </c>
      <c r="F12317" s="17"/>
      <c r="G12317" s="18" t="n">
        <v>1569.5</v>
      </c>
      <c r="H12317" s="18" t="n">
        <v>0</v>
      </c>
      <c r="I12317" s="18" t="n">
        <f aca="false">((I12316 + G12317) - H12317)</f>
        <v>5712.87</v>
      </c>
      <c r="J12317" s="18" t="n">
        <v>0</v>
      </c>
      <c r="K12317" s="19" t="n">
        <v>0</v>
      </c>
      <c r="L12317" s="17" t="s">
        <v>1399</v>
      </c>
    </row>
    <row r="12318" s="11" customFormat="true" ht="10.95" hidden="false" customHeight="true" outlineLevel="0" collapsed="false">
      <c r="A12318" s="16" t="n">
        <v>45420</v>
      </c>
      <c r="B12318" s="17" t="s">
        <v>4521</v>
      </c>
      <c r="C12318" s="17" t="s">
        <v>3614</v>
      </c>
      <c r="D12318" s="17" t="s">
        <v>1407</v>
      </c>
      <c r="E12318" s="17" t="s">
        <v>4526</v>
      </c>
      <c r="F12318" s="17"/>
      <c r="G12318" s="18" t="n">
        <v>140</v>
      </c>
      <c r="H12318" s="18" t="n">
        <v>0</v>
      </c>
      <c r="I12318" s="18" t="n">
        <f aca="false">((I12317 + G12318) - H12318)</f>
        <v>5852.87</v>
      </c>
      <c r="J12318" s="18" t="n">
        <v>0</v>
      </c>
      <c r="K12318" s="19" t="n">
        <v>0</v>
      </c>
      <c r="L12318" s="17" t="s">
        <v>1399</v>
      </c>
    </row>
    <row r="12319" s="11" customFormat="true" ht="10.95" hidden="false" customHeight="true" outlineLevel="0" collapsed="false">
      <c r="A12319" s="16" t="n">
        <v>45420</v>
      </c>
      <c r="B12319" s="17" t="s">
        <v>4521</v>
      </c>
      <c r="C12319" s="17" t="s">
        <v>3614</v>
      </c>
      <c r="D12319" s="17" t="s">
        <v>1407</v>
      </c>
      <c r="E12319" s="17" t="s">
        <v>4522</v>
      </c>
      <c r="F12319" s="17"/>
      <c r="G12319" s="18" t="n">
        <v>1571.5</v>
      </c>
      <c r="H12319" s="18" t="n">
        <v>0</v>
      </c>
      <c r="I12319" s="18" t="n">
        <f aca="false">((I12318 + G12319) - H12319)</f>
        <v>7424.37</v>
      </c>
      <c r="J12319" s="18" t="n">
        <v>0</v>
      </c>
      <c r="K12319" s="19" t="n">
        <v>0</v>
      </c>
      <c r="L12319" s="17" t="s">
        <v>1399</v>
      </c>
    </row>
    <row r="12320" s="11" customFormat="true" ht="10.95" hidden="false" customHeight="true" outlineLevel="0" collapsed="false">
      <c r="A12320" s="16" t="n">
        <v>45420</v>
      </c>
      <c r="B12320" s="17" t="s">
        <v>4521</v>
      </c>
      <c r="C12320" s="17" t="s">
        <v>3614</v>
      </c>
      <c r="D12320" s="17" t="s">
        <v>1407</v>
      </c>
      <c r="E12320" s="17" t="s">
        <v>2169</v>
      </c>
      <c r="F12320" s="17"/>
      <c r="G12320" s="18" t="n">
        <v>1765.5</v>
      </c>
      <c r="H12320" s="18" t="n">
        <v>0</v>
      </c>
      <c r="I12320" s="18" t="n">
        <f aca="false">((I12319 + G12320) - H12320)</f>
        <v>9189.87</v>
      </c>
      <c r="J12320" s="18" t="n">
        <v>0</v>
      </c>
      <c r="K12320" s="19" t="n">
        <v>0</v>
      </c>
      <c r="L12320" s="17" t="s">
        <v>1399</v>
      </c>
    </row>
    <row r="12321" s="11" customFormat="true" ht="10.95" hidden="false" customHeight="true" outlineLevel="0" collapsed="false">
      <c r="A12321" s="16" t="n">
        <v>45420</v>
      </c>
      <c r="B12321" s="17" t="s">
        <v>4521</v>
      </c>
      <c r="C12321" s="17" t="s">
        <v>3614</v>
      </c>
      <c r="D12321" s="17" t="s">
        <v>1407</v>
      </c>
      <c r="E12321" s="17" t="s">
        <v>4523</v>
      </c>
      <c r="F12321" s="17"/>
      <c r="G12321" s="18" t="n">
        <v>2163.92</v>
      </c>
      <c r="H12321" s="18" t="n">
        <v>0</v>
      </c>
      <c r="I12321" s="18" t="n">
        <f aca="false">((I12320 + G12321) - H12321)</f>
        <v>11353.79</v>
      </c>
      <c r="J12321" s="18" t="n">
        <v>0</v>
      </c>
      <c r="K12321" s="19" t="n">
        <v>0</v>
      </c>
      <c r="L12321" s="17" t="s">
        <v>1399</v>
      </c>
    </row>
    <row r="12322" s="11" customFormat="true" ht="10.95" hidden="false" customHeight="true" outlineLevel="0" collapsed="false">
      <c r="A12322" s="16" t="n">
        <v>45421</v>
      </c>
      <c r="B12322" s="17" t="s">
        <v>4521</v>
      </c>
      <c r="C12322" s="17" t="s">
        <v>3614</v>
      </c>
      <c r="D12322" s="17" t="s">
        <v>2106</v>
      </c>
      <c r="E12322" s="17" t="s">
        <v>4524</v>
      </c>
      <c r="F12322" s="17" t="s">
        <v>2155</v>
      </c>
      <c r="G12322" s="18" t="n">
        <v>0</v>
      </c>
      <c r="H12322" s="18" t="n">
        <v>7335.42</v>
      </c>
      <c r="I12322" s="18" t="n">
        <f aca="false">((I12321 + G12322) - H12322)</f>
        <v>4018.37</v>
      </c>
      <c r="J12322" s="18" t="n">
        <v>0</v>
      </c>
      <c r="K12322" s="19" t="n">
        <v>0</v>
      </c>
      <c r="L12322" s="17" t="s">
        <v>1399</v>
      </c>
    </row>
    <row r="12323" s="11" customFormat="true" ht="10.95" hidden="false" customHeight="true" outlineLevel="0" collapsed="false">
      <c r="A12323" s="16" t="n">
        <v>45426</v>
      </c>
      <c r="B12323" s="17" t="s">
        <v>4521</v>
      </c>
      <c r="C12323" s="17" t="s">
        <v>3614</v>
      </c>
      <c r="D12323" s="17" t="s">
        <v>1407</v>
      </c>
      <c r="E12323" s="17" t="s">
        <v>2170</v>
      </c>
      <c r="F12323" s="17"/>
      <c r="G12323" s="18" t="n">
        <v>1569.5</v>
      </c>
      <c r="H12323" s="18" t="n">
        <v>0</v>
      </c>
      <c r="I12323" s="18" t="n">
        <f aca="false">((I12322 + G12323) - H12323)</f>
        <v>5587.87</v>
      </c>
      <c r="J12323" s="18" t="n">
        <v>0</v>
      </c>
      <c r="K12323" s="19" t="n">
        <v>0</v>
      </c>
      <c r="L12323" s="17" t="s">
        <v>1399</v>
      </c>
    </row>
    <row r="12324" s="11" customFormat="true" ht="10.95" hidden="false" customHeight="true" outlineLevel="0" collapsed="false">
      <c r="A12324" s="16" t="n">
        <v>45427</v>
      </c>
      <c r="B12324" s="17" t="s">
        <v>4521</v>
      </c>
      <c r="C12324" s="17" t="s">
        <v>3614</v>
      </c>
      <c r="D12324" s="17" t="s">
        <v>1407</v>
      </c>
      <c r="E12324" s="17" t="s">
        <v>4526</v>
      </c>
      <c r="F12324" s="17"/>
      <c r="G12324" s="18" t="n">
        <v>140</v>
      </c>
      <c r="H12324" s="18" t="n">
        <v>0</v>
      </c>
      <c r="I12324" s="18" t="n">
        <f aca="false">((I12323 + G12324) - H12324)</f>
        <v>5727.87</v>
      </c>
      <c r="J12324" s="18" t="n">
        <v>0</v>
      </c>
      <c r="K12324" s="19" t="n">
        <v>0</v>
      </c>
      <c r="L12324" s="17" t="s">
        <v>1399</v>
      </c>
    </row>
    <row r="12325" s="11" customFormat="true" ht="10.95" hidden="false" customHeight="true" outlineLevel="0" collapsed="false">
      <c r="A12325" s="16" t="n">
        <v>45427</v>
      </c>
      <c r="B12325" s="17" t="s">
        <v>4521</v>
      </c>
      <c r="C12325" s="17" t="s">
        <v>3614</v>
      </c>
      <c r="D12325" s="17" t="s">
        <v>1407</v>
      </c>
      <c r="E12325" s="17" t="s">
        <v>4522</v>
      </c>
      <c r="F12325" s="17"/>
      <c r="G12325" s="18" t="n">
        <v>1571.5</v>
      </c>
      <c r="H12325" s="18" t="n">
        <v>0</v>
      </c>
      <c r="I12325" s="18" t="n">
        <f aca="false">((I12324 + G12325) - H12325)</f>
        <v>7299.37</v>
      </c>
      <c r="J12325" s="18" t="n">
        <v>0</v>
      </c>
      <c r="K12325" s="19" t="n">
        <v>0</v>
      </c>
      <c r="L12325" s="17" t="s">
        <v>1399</v>
      </c>
    </row>
    <row r="12326" s="11" customFormat="true" ht="10.95" hidden="false" customHeight="true" outlineLevel="0" collapsed="false">
      <c r="A12326" s="16" t="n">
        <v>45427</v>
      </c>
      <c r="B12326" s="17" t="s">
        <v>4521</v>
      </c>
      <c r="C12326" s="17" t="s">
        <v>3614</v>
      </c>
      <c r="D12326" s="17" t="s">
        <v>1407</v>
      </c>
      <c r="E12326" s="17" t="s">
        <v>2169</v>
      </c>
      <c r="F12326" s="17"/>
      <c r="G12326" s="18" t="n">
        <v>1765.5</v>
      </c>
      <c r="H12326" s="18" t="n">
        <v>0</v>
      </c>
      <c r="I12326" s="18" t="n">
        <f aca="false">((I12325 + G12326) - H12326)</f>
        <v>9064.87</v>
      </c>
      <c r="J12326" s="18" t="n">
        <v>0</v>
      </c>
      <c r="K12326" s="19" t="n">
        <v>0</v>
      </c>
      <c r="L12326" s="17" t="s">
        <v>1399</v>
      </c>
    </row>
    <row r="12327" s="11" customFormat="true" ht="10.95" hidden="false" customHeight="true" outlineLevel="0" collapsed="false">
      <c r="A12327" s="16" t="n">
        <v>45427</v>
      </c>
      <c r="B12327" s="17" t="s">
        <v>4521</v>
      </c>
      <c r="C12327" s="17" t="s">
        <v>3614</v>
      </c>
      <c r="D12327" s="17" t="s">
        <v>1407</v>
      </c>
      <c r="E12327" s="17" t="s">
        <v>4523</v>
      </c>
      <c r="F12327" s="17"/>
      <c r="G12327" s="18" t="n">
        <v>2163.92</v>
      </c>
      <c r="H12327" s="18" t="n">
        <v>0</v>
      </c>
      <c r="I12327" s="18" t="n">
        <f aca="false">((I12326 + G12327) - H12327)</f>
        <v>11228.79</v>
      </c>
      <c r="J12327" s="18" t="n">
        <v>0</v>
      </c>
      <c r="K12327" s="19" t="n">
        <v>0</v>
      </c>
      <c r="L12327" s="17" t="s">
        <v>1399</v>
      </c>
    </row>
    <row r="12328" s="11" customFormat="true" ht="10.95" hidden="false" customHeight="true" outlineLevel="0" collapsed="false">
      <c r="A12328" s="16" t="n">
        <v>45428</v>
      </c>
      <c r="B12328" s="17" t="s">
        <v>4521</v>
      </c>
      <c r="C12328" s="17" t="s">
        <v>3614</v>
      </c>
      <c r="D12328" s="17" t="s">
        <v>2106</v>
      </c>
      <c r="E12328" s="17" t="s">
        <v>4524</v>
      </c>
      <c r="F12328" s="17" t="s">
        <v>2171</v>
      </c>
      <c r="G12328" s="18" t="n">
        <v>0</v>
      </c>
      <c r="H12328" s="18" t="n">
        <v>7210.42</v>
      </c>
      <c r="I12328" s="18" t="n">
        <f aca="false">((I12327 + G12328) - H12328)</f>
        <v>4018.37</v>
      </c>
      <c r="J12328" s="18" t="n">
        <v>0</v>
      </c>
      <c r="K12328" s="19" t="n">
        <v>0</v>
      </c>
      <c r="L12328" s="17" t="s">
        <v>1399</v>
      </c>
    </row>
    <row r="12329" s="11" customFormat="true" ht="10.95" hidden="false" customHeight="true" outlineLevel="0" collapsed="false">
      <c r="A12329" s="16" t="n">
        <v>45433</v>
      </c>
      <c r="B12329" s="17" t="s">
        <v>4521</v>
      </c>
      <c r="C12329" s="17" t="s">
        <v>3614</v>
      </c>
      <c r="D12329" s="17" t="s">
        <v>1407</v>
      </c>
      <c r="E12329" s="17" t="s">
        <v>2170</v>
      </c>
      <c r="F12329" s="17"/>
      <c r="G12329" s="18" t="n">
        <v>1569.5</v>
      </c>
      <c r="H12329" s="18" t="n">
        <v>0</v>
      </c>
      <c r="I12329" s="18" t="n">
        <f aca="false">((I12328 + G12329) - H12329)</f>
        <v>5587.87</v>
      </c>
      <c r="J12329" s="18" t="n">
        <v>0</v>
      </c>
      <c r="K12329" s="19" t="n">
        <v>0</v>
      </c>
      <c r="L12329" s="17" t="s">
        <v>1399</v>
      </c>
    </row>
    <row r="12330" s="11" customFormat="true" ht="10.95" hidden="false" customHeight="true" outlineLevel="0" collapsed="false">
      <c r="A12330" s="16" t="n">
        <v>45434</v>
      </c>
      <c r="B12330" s="17" t="s">
        <v>4521</v>
      </c>
      <c r="C12330" s="17" t="s">
        <v>3614</v>
      </c>
      <c r="D12330" s="17" t="s">
        <v>1407</v>
      </c>
      <c r="E12330" s="17" t="s">
        <v>4526</v>
      </c>
      <c r="F12330" s="17"/>
      <c r="G12330" s="18" t="n">
        <v>140</v>
      </c>
      <c r="H12330" s="18" t="n">
        <v>0</v>
      </c>
      <c r="I12330" s="18" t="n">
        <f aca="false">((I12329 + G12330) - H12330)</f>
        <v>5727.87</v>
      </c>
      <c r="J12330" s="18" t="n">
        <v>0</v>
      </c>
      <c r="K12330" s="19" t="n">
        <v>0</v>
      </c>
      <c r="L12330" s="17" t="s">
        <v>1399</v>
      </c>
    </row>
    <row r="12331" s="11" customFormat="true" ht="10.95" hidden="false" customHeight="true" outlineLevel="0" collapsed="false">
      <c r="A12331" s="16" t="n">
        <v>45434</v>
      </c>
      <c r="B12331" s="17" t="s">
        <v>4521</v>
      </c>
      <c r="C12331" s="17" t="s">
        <v>3614</v>
      </c>
      <c r="D12331" s="17" t="s">
        <v>1407</v>
      </c>
      <c r="E12331" s="17" t="s">
        <v>4522</v>
      </c>
      <c r="F12331" s="17"/>
      <c r="G12331" s="18" t="n">
        <v>1571.5</v>
      </c>
      <c r="H12331" s="18" t="n">
        <v>0</v>
      </c>
      <c r="I12331" s="18" t="n">
        <f aca="false">((I12330 + G12331) - H12331)</f>
        <v>7299.37</v>
      </c>
      <c r="J12331" s="18" t="n">
        <v>0</v>
      </c>
      <c r="K12331" s="19" t="n">
        <v>0</v>
      </c>
      <c r="L12331" s="17" t="s">
        <v>1399</v>
      </c>
    </row>
    <row r="12332" s="11" customFormat="true" ht="10.95" hidden="false" customHeight="true" outlineLevel="0" collapsed="false">
      <c r="A12332" s="16" t="n">
        <v>45434</v>
      </c>
      <c r="B12332" s="17" t="s">
        <v>4521</v>
      </c>
      <c r="C12332" s="17" t="s">
        <v>3614</v>
      </c>
      <c r="D12332" s="17" t="s">
        <v>1407</v>
      </c>
      <c r="E12332" s="17" t="s">
        <v>2169</v>
      </c>
      <c r="F12332" s="17"/>
      <c r="G12332" s="18" t="n">
        <v>1765.5</v>
      </c>
      <c r="H12332" s="18" t="n">
        <v>0</v>
      </c>
      <c r="I12332" s="18" t="n">
        <f aca="false">((I12331 + G12332) - H12332)</f>
        <v>9064.87</v>
      </c>
      <c r="J12332" s="18" t="n">
        <v>0</v>
      </c>
      <c r="K12332" s="19" t="n">
        <v>0</v>
      </c>
      <c r="L12332" s="17" t="s">
        <v>1399</v>
      </c>
    </row>
    <row r="12333" s="11" customFormat="true" ht="10.95" hidden="false" customHeight="true" outlineLevel="0" collapsed="false">
      <c r="A12333" s="16" t="n">
        <v>45434</v>
      </c>
      <c r="B12333" s="17" t="s">
        <v>4521</v>
      </c>
      <c r="C12333" s="17" t="s">
        <v>3614</v>
      </c>
      <c r="D12333" s="17" t="s">
        <v>1407</v>
      </c>
      <c r="E12333" s="17" t="s">
        <v>4523</v>
      </c>
      <c r="F12333" s="17"/>
      <c r="G12333" s="18" t="n">
        <v>2163.92</v>
      </c>
      <c r="H12333" s="18" t="n">
        <v>0</v>
      </c>
      <c r="I12333" s="18" t="n">
        <f aca="false">((I12332 + G12333) - H12333)</f>
        <v>11228.79</v>
      </c>
      <c r="J12333" s="18" t="n">
        <v>0</v>
      </c>
      <c r="K12333" s="19" t="n">
        <v>0</v>
      </c>
      <c r="L12333" s="17" t="s">
        <v>1399</v>
      </c>
    </row>
    <row r="12334" s="11" customFormat="true" ht="10.95" hidden="false" customHeight="true" outlineLevel="0" collapsed="false">
      <c r="A12334" s="16" t="n">
        <v>45435</v>
      </c>
      <c r="B12334" s="17" t="s">
        <v>4521</v>
      </c>
      <c r="C12334" s="17" t="s">
        <v>3614</v>
      </c>
      <c r="D12334" s="17" t="s">
        <v>2106</v>
      </c>
      <c r="E12334" s="17" t="s">
        <v>4524</v>
      </c>
      <c r="F12334" s="17" t="s">
        <v>2172</v>
      </c>
      <c r="G12334" s="18" t="n">
        <v>0</v>
      </c>
      <c r="H12334" s="18" t="n">
        <v>7210.42</v>
      </c>
      <c r="I12334" s="18" t="n">
        <f aca="false">((I12333 + G12334) - H12334)</f>
        <v>4018.37</v>
      </c>
      <c r="J12334" s="18" t="n">
        <v>0</v>
      </c>
      <c r="K12334" s="19" t="n">
        <v>0</v>
      </c>
      <c r="L12334" s="17" t="s">
        <v>1399</v>
      </c>
    </row>
    <row r="12335" s="11" customFormat="true" ht="10.95" hidden="false" customHeight="true" outlineLevel="0" collapsed="false">
      <c r="A12335" s="16" t="n">
        <v>45440</v>
      </c>
      <c r="B12335" s="17" t="s">
        <v>4521</v>
      </c>
      <c r="C12335" s="17" t="s">
        <v>3614</v>
      </c>
      <c r="D12335" s="17" t="s">
        <v>1407</v>
      </c>
      <c r="E12335" s="17" t="s">
        <v>2170</v>
      </c>
      <c r="F12335" s="17"/>
      <c r="G12335" s="18" t="n">
        <v>1569.5</v>
      </c>
      <c r="H12335" s="18" t="n">
        <v>0</v>
      </c>
      <c r="I12335" s="18" t="n">
        <f aca="false">((I12334 + G12335) - H12335)</f>
        <v>5587.87</v>
      </c>
      <c r="J12335" s="18" t="n">
        <v>0</v>
      </c>
      <c r="K12335" s="19" t="n">
        <v>0</v>
      </c>
      <c r="L12335" s="17" t="s">
        <v>1399</v>
      </c>
    </row>
    <row r="12336" s="11" customFormat="true" ht="10.95" hidden="false" customHeight="true" outlineLevel="0" collapsed="false">
      <c r="A12336" s="16" t="n">
        <v>45441</v>
      </c>
      <c r="B12336" s="17" t="s">
        <v>4521</v>
      </c>
      <c r="C12336" s="17" t="s">
        <v>3614</v>
      </c>
      <c r="D12336" s="17" t="s">
        <v>1407</v>
      </c>
      <c r="E12336" s="17" t="s">
        <v>4526</v>
      </c>
      <c r="F12336" s="17"/>
      <c r="G12336" s="18" t="n">
        <v>140</v>
      </c>
      <c r="H12336" s="18" t="n">
        <v>0</v>
      </c>
      <c r="I12336" s="18" t="n">
        <f aca="false">((I12335 + G12336) - H12336)</f>
        <v>5727.87</v>
      </c>
      <c r="J12336" s="18" t="n">
        <v>0</v>
      </c>
      <c r="K12336" s="19" t="n">
        <v>0</v>
      </c>
      <c r="L12336" s="17" t="s">
        <v>1399</v>
      </c>
    </row>
    <row r="12337" s="11" customFormat="true" ht="10.95" hidden="false" customHeight="true" outlineLevel="0" collapsed="false">
      <c r="A12337" s="16" t="n">
        <v>45441</v>
      </c>
      <c r="B12337" s="17" t="s">
        <v>4521</v>
      </c>
      <c r="C12337" s="17" t="s">
        <v>3614</v>
      </c>
      <c r="D12337" s="17" t="s">
        <v>1407</v>
      </c>
      <c r="E12337" s="17" t="s">
        <v>4522</v>
      </c>
      <c r="F12337" s="17"/>
      <c r="G12337" s="18" t="n">
        <v>1571.5</v>
      </c>
      <c r="H12337" s="18" t="n">
        <v>0</v>
      </c>
      <c r="I12337" s="18" t="n">
        <f aca="false">((I12336 + G12337) - H12337)</f>
        <v>7299.37</v>
      </c>
      <c r="J12337" s="18" t="n">
        <v>0</v>
      </c>
      <c r="K12337" s="19" t="n">
        <v>0</v>
      </c>
      <c r="L12337" s="17" t="s">
        <v>1399</v>
      </c>
    </row>
    <row r="12338" s="11" customFormat="true" ht="10.95" hidden="false" customHeight="true" outlineLevel="0" collapsed="false">
      <c r="A12338" s="16" t="n">
        <v>45441</v>
      </c>
      <c r="B12338" s="17" t="s">
        <v>4521</v>
      </c>
      <c r="C12338" s="17" t="s">
        <v>3614</v>
      </c>
      <c r="D12338" s="17" t="s">
        <v>1407</v>
      </c>
      <c r="E12338" s="17" t="s">
        <v>2169</v>
      </c>
      <c r="F12338" s="17"/>
      <c r="G12338" s="18" t="n">
        <v>1765.5</v>
      </c>
      <c r="H12338" s="18" t="n">
        <v>0</v>
      </c>
      <c r="I12338" s="18" t="n">
        <f aca="false">((I12337 + G12338) - H12338)</f>
        <v>9064.87</v>
      </c>
      <c r="J12338" s="18" t="n">
        <v>0</v>
      </c>
      <c r="K12338" s="19" t="n">
        <v>0</v>
      </c>
      <c r="L12338" s="17" t="s">
        <v>1399</v>
      </c>
    </row>
    <row r="12339" s="11" customFormat="true" ht="10.95" hidden="false" customHeight="true" outlineLevel="0" collapsed="false">
      <c r="A12339" s="16" t="n">
        <v>45441</v>
      </c>
      <c r="B12339" s="17" t="s">
        <v>4521</v>
      </c>
      <c r="C12339" s="17" t="s">
        <v>3614</v>
      </c>
      <c r="D12339" s="17" t="s">
        <v>1407</v>
      </c>
      <c r="E12339" s="17" t="s">
        <v>4523</v>
      </c>
      <c r="F12339" s="17"/>
      <c r="G12339" s="18" t="n">
        <v>2163.92</v>
      </c>
      <c r="H12339" s="18" t="n">
        <v>0</v>
      </c>
      <c r="I12339" s="18" t="n">
        <f aca="false">((I12338 + G12339) - H12339)</f>
        <v>11228.79</v>
      </c>
      <c r="J12339" s="18" t="n">
        <v>0</v>
      </c>
      <c r="K12339" s="19" t="n">
        <v>0</v>
      </c>
      <c r="L12339" s="17" t="s">
        <v>1399</v>
      </c>
    </row>
    <row r="12340" s="11" customFormat="true" ht="10.95" hidden="false" customHeight="true" outlineLevel="0" collapsed="false">
      <c r="A12340" s="16" t="n">
        <v>45442</v>
      </c>
      <c r="B12340" s="17" t="s">
        <v>4521</v>
      </c>
      <c r="C12340" s="17" t="s">
        <v>3614</v>
      </c>
      <c r="D12340" s="17" t="s">
        <v>2106</v>
      </c>
      <c r="E12340" s="17" t="s">
        <v>4524</v>
      </c>
      <c r="F12340" s="17" t="s">
        <v>2173</v>
      </c>
      <c r="G12340" s="18" t="n">
        <v>0</v>
      </c>
      <c r="H12340" s="18" t="n">
        <v>7210.42</v>
      </c>
      <c r="I12340" s="18" t="n">
        <f aca="false">((I12339 + G12340) - H12340)</f>
        <v>4018.37</v>
      </c>
      <c r="J12340" s="18" t="n">
        <v>0</v>
      </c>
      <c r="K12340" s="19" t="n">
        <v>0</v>
      </c>
      <c r="L12340" s="17" t="s">
        <v>1399</v>
      </c>
    </row>
    <row r="12341" s="11" customFormat="true" ht="10.95" hidden="false" customHeight="true" outlineLevel="0" collapsed="false">
      <c r="A12341" s="16" t="n">
        <v>45447</v>
      </c>
      <c r="B12341" s="17" t="s">
        <v>4521</v>
      </c>
      <c r="C12341" s="17" t="s">
        <v>3614</v>
      </c>
      <c r="D12341" s="17" t="s">
        <v>1407</v>
      </c>
      <c r="E12341" s="17" t="s">
        <v>2170</v>
      </c>
      <c r="F12341" s="17"/>
      <c r="G12341" s="18" t="n">
        <v>1569.5</v>
      </c>
      <c r="H12341" s="18" t="n">
        <v>0</v>
      </c>
      <c r="I12341" s="18" t="n">
        <f aca="false">((I12340 + G12341) - H12341)</f>
        <v>5587.87</v>
      </c>
      <c r="J12341" s="18" t="n">
        <v>0</v>
      </c>
      <c r="K12341" s="19" t="n">
        <v>0</v>
      </c>
      <c r="L12341" s="17" t="s">
        <v>1399</v>
      </c>
    </row>
    <row r="12342" s="11" customFormat="true" ht="10.95" hidden="false" customHeight="true" outlineLevel="0" collapsed="false">
      <c r="A12342" s="16" t="n">
        <v>45447</v>
      </c>
      <c r="B12342" s="17" t="s">
        <v>4521</v>
      </c>
      <c r="C12342" s="17" t="s">
        <v>3614</v>
      </c>
      <c r="D12342" s="17" t="s">
        <v>1407</v>
      </c>
      <c r="E12342" s="17" t="s">
        <v>4541</v>
      </c>
      <c r="F12342" s="17"/>
      <c r="G12342" s="18" t="n">
        <v>5900</v>
      </c>
      <c r="H12342" s="18" t="n">
        <v>0</v>
      </c>
      <c r="I12342" s="18" t="n">
        <f aca="false">((I12341 + G12342) - H12342)</f>
        <v>11487.87</v>
      </c>
      <c r="J12342" s="18" t="n">
        <v>0</v>
      </c>
      <c r="K12342" s="19" t="n">
        <v>0</v>
      </c>
      <c r="L12342" s="17" t="s">
        <v>1399</v>
      </c>
    </row>
    <row r="12343" s="11" customFormat="true" ht="10.95" hidden="false" customHeight="true" outlineLevel="0" collapsed="false">
      <c r="A12343" s="16" t="n">
        <v>45447</v>
      </c>
      <c r="B12343" s="17" t="s">
        <v>4521</v>
      </c>
      <c r="C12343" s="17" t="s">
        <v>3614</v>
      </c>
      <c r="D12343" s="17" t="s">
        <v>1407</v>
      </c>
      <c r="E12343" s="17" t="s">
        <v>4542</v>
      </c>
      <c r="F12343" s="17"/>
      <c r="G12343" s="18" t="n">
        <v>6550</v>
      </c>
      <c r="H12343" s="18" t="n">
        <v>0</v>
      </c>
      <c r="I12343" s="18" t="n">
        <f aca="false">((I12342 + G12343) - H12343)</f>
        <v>18037.87</v>
      </c>
      <c r="J12343" s="18" t="n">
        <v>0</v>
      </c>
      <c r="K12343" s="19" t="n">
        <v>0</v>
      </c>
      <c r="L12343" s="17" t="s">
        <v>1399</v>
      </c>
    </row>
    <row r="12344" s="11" customFormat="true" ht="10.95" hidden="false" customHeight="true" outlineLevel="0" collapsed="false">
      <c r="A12344" s="16" t="n">
        <v>45447</v>
      </c>
      <c r="B12344" s="17" t="s">
        <v>4521</v>
      </c>
      <c r="C12344" s="17" t="s">
        <v>3614</v>
      </c>
      <c r="D12344" s="17" t="s">
        <v>1407</v>
      </c>
      <c r="E12344" s="17" t="s">
        <v>4543</v>
      </c>
      <c r="F12344" s="17"/>
      <c r="G12344" s="18" t="n">
        <v>6550</v>
      </c>
      <c r="H12344" s="18" t="n">
        <v>0</v>
      </c>
      <c r="I12344" s="18" t="n">
        <f aca="false">((I12343 + G12344) - H12344)</f>
        <v>24587.87</v>
      </c>
      <c r="J12344" s="18" t="n">
        <v>0</v>
      </c>
      <c r="K12344" s="19" t="n">
        <v>0</v>
      </c>
      <c r="L12344" s="17" t="s">
        <v>1399</v>
      </c>
    </row>
    <row r="12345" s="11" customFormat="true" ht="10.95" hidden="false" customHeight="true" outlineLevel="0" collapsed="false">
      <c r="A12345" s="16" t="n">
        <v>45448</v>
      </c>
      <c r="B12345" s="17" t="s">
        <v>4521</v>
      </c>
      <c r="C12345" s="17" t="s">
        <v>3614</v>
      </c>
      <c r="D12345" s="17" t="s">
        <v>1407</v>
      </c>
      <c r="E12345" s="17" t="s">
        <v>4526</v>
      </c>
      <c r="F12345" s="17"/>
      <c r="G12345" s="18" t="n">
        <v>140</v>
      </c>
      <c r="H12345" s="18" t="n">
        <v>0</v>
      </c>
      <c r="I12345" s="18" t="n">
        <f aca="false">((I12344 + G12345) - H12345)</f>
        <v>24727.87</v>
      </c>
      <c r="J12345" s="18" t="n">
        <v>0</v>
      </c>
      <c r="K12345" s="19" t="n">
        <v>0</v>
      </c>
      <c r="L12345" s="17" t="s">
        <v>1399</v>
      </c>
    </row>
    <row r="12346" s="11" customFormat="true" ht="10.95" hidden="false" customHeight="true" outlineLevel="0" collapsed="false">
      <c r="A12346" s="16" t="n">
        <v>45448</v>
      </c>
      <c r="B12346" s="17" t="s">
        <v>4521</v>
      </c>
      <c r="C12346" s="17" t="s">
        <v>3614</v>
      </c>
      <c r="D12346" s="17" t="s">
        <v>1407</v>
      </c>
      <c r="E12346" s="17" t="s">
        <v>4522</v>
      </c>
      <c r="F12346" s="17"/>
      <c r="G12346" s="18" t="n">
        <v>1571.5</v>
      </c>
      <c r="H12346" s="18" t="n">
        <v>0</v>
      </c>
      <c r="I12346" s="18" t="n">
        <f aca="false">((I12345 + G12346) - H12346)</f>
        <v>26299.37</v>
      </c>
      <c r="J12346" s="18" t="n">
        <v>0</v>
      </c>
      <c r="K12346" s="19" t="n">
        <v>0</v>
      </c>
      <c r="L12346" s="17" t="s">
        <v>1399</v>
      </c>
    </row>
    <row r="12347" s="11" customFormat="true" ht="10.95" hidden="false" customHeight="true" outlineLevel="0" collapsed="false">
      <c r="A12347" s="16" t="n">
        <v>45448</v>
      </c>
      <c r="B12347" s="17" t="s">
        <v>4521</v>
      </c>
      <c r="C12347" s="17" t="s">
        <v>3614</v>
      </c>
      <c r="D12347" s="17" t="s">
        <v>1407</v>
      </c>
      <c r="E12347" s="17" t="s">
        <v>2169</v>
      </c>
      <c r="F12347" s="17"/>
      <c r="G12347" s="18" t="n">
        <v>1765.5</v>
      </c>
      <c r="H12347" s="18" t="n">
        <v>0</v>
      </c>
      <c r="I12347" s="18" t="n">
        <f aca="false">((I12346 + G12347) - H12347)</f>
        <v>28064.87</v>
      </c>
      <c r="J12347" s="18" t="n">
        <v>0</v>
      </c>
      <c r="K12347" s="19" t="n">
        <v>0</v>
      </c>
      <c r="L12347" s="17" t="s">
        <v>1399</v>
      </c>
    </row>
    <row r="12348" s="11" customFormat="true" ht="10.95" hidden="false" customHeight="true" outlineLevel="0" collapsed="false">
      <c r="A12348" s="16" t="n">
        <v>45448</v>
      </c>
      <c r="B12348" s="17" t="s">
        <v>4521</v>
      </c>
      <c r="C12348" s="17" t="s">
        <v>3614</v>
      </c>
      <c r="D12348" s="17" t="s">
        <v>1407</v>
      </c>
      <c r="E12348" s="17" t="s">
        <v>4523</v>
      </c>
      <c r="F12348" s="17"/>
      <c r="G12348" s="18" t="n">
        <v>2163.92</v>
      </c>
      <c r="H12348" s="18" t="n">
        <v>0</v>
      </c>
      <c r="I12348" s="18" t="n">
        <f aca="false">((I12347 + G12348) - H12348)</f>
        <v>30228.79</v>
      </c>
      <c r="J12348" s="18" t="n">
        <v>0</v>
      </c>
      <c r="K12348" s="19" t="n">
        <v>0</v>
      </c>
      <c r="L12348" s="17" t="s">
        <v>1399</v>
      </c>
    </row>
    <row r="12349" s="11" customFormat="true" ht="10.95" hidden="false" customHeight="true" outlineLevel="0" collapsed="false">
      <c r="A12349" s="16" t="n">
        <v>45449</v>
      </c>
      <c r="B12349" s="17" t="s">
        <v>4521</v>
      </c>
      <c r="C12349" s="17" t="s">
        <v>3614</v>
      </c>
      <c r="D12349" s="17" t="s">
        <v>2106</v>
      </c>
      <c r="E12349" s="17" t="s">
        <v>4524</v>
      </c>
      <c r="F12349" s="17" t="s">
        <v>2174</v>
      </c>
      <c r="G12349" s="18" t="n">
        <v>0</v>
      </c>
      <c r="H12349" s="18" t="n">
        <v>19000</v>
      </c>
      <c r="I12349" s="18" t="n">
        <f aca="false">((I12348 + G12349) - H12349)</f>
        <v>11228.79</v>
      </c>
      <c r="J12349" s="18" t="n">
        <v>0</v>
      </c>
      <c r="K12349" s="19" t="n">
        <v>0</v>
      </c>
      <c r="L12349" s="17" t="s">
        <v>1399</v>
      </c>
    </row>
    <row r="12350" s="11" customFormat="true" ht="10.95" hidden="false" customHeight="true" outlineLevel="0" collapsed="false">
      <c r="A12350" s="16" t="n">
        <v>45449</v>
      </c>
      <c r="B12350" s="17" t="s">
        <v>4521</v>
      </c>
      <c r="C12350" s="17" t="s">
        <v>3614</v>
      </c>
      <c r="D12350" s="17" t="s">
        <v>2106</v>
      </c>
      <c r="E12350" s="17" t="s">
        <v>4524</v>
      </c>
      <c r="F12350" s="17" t="s">
        <v>2175</v>
      </c>
      <c r="G12350" s="18" t="n">
        <v>0</v>
      </c>
      <c r="H12350" s="18" t="n">
        <v>7210.42</v>
      </c>
      <c r="I12350" s="18" t="n">
        <f aca="false">((I12349 + G12350) - H12350)</f>
        <v>4018.37</v>
      </c>
      <c r="J12350" s="18" t="n">
        <v>0</v>
      </c>
      <c r="K12350" s="19" t="n">
        <v>0</v>
      </c>
      <c r="L12350" s="17" t="s">
        <v>1399</v>
      </c>
    </row>
    <row r="12351" s="11" customFormat="true" ht="10.95" hidden="false" customHeight="true" outlineLevel="0" collapsed="false">
      <c r="A12351" s="16" t="n">
        <v>45454</v>
      </c>
      <c r="B12351" s="17" t="s">
        <v>4521</v>
      </c>
      <c r="C12351" s="17" t="s">
        <v>3614</v>
      </c>
      <c r="D12351" s="17" t="s">
        <v>1407</v>
      </c>
      <c r="E12351" s="17" t="s">
        <v>2170</v>
      </c>
      <c r="F12351" s="17"/>
      <c r="G12351" s="18" t="n">
        <v>1569.5</v>
      </c>
      <c r="H12351" s="18" t="n">
        <v>0</v>
      </c>
      <c r="I12351" s="18" t="n">
        <f aca="false">((I12350 + G12351) - H12351)</f>
        <v>5587.87</v>
      </c>
      <c r="J12351" s="18" t="n">
        <v>0</v>
      </c>
      <c r="K12351" s="19" t="n">
        <v>0</v>
      </c>
      <c r="L12351" s="17" t="s">
        <v>1399</v>
      </c>
    </row>
    <row r="12352" s="11" customFormat="true" ht="10.95" hidden="false" customHeight="true" outlineLevel="0" collapsed="false">
      <c r="A12352" s="16" t="n">
        <v>45455</v>
      </c>
      <c r="B12352" s="17" t="s">
        <v>4521</v>
      </c>
      <c r="C12352" s="17" t="s">
        <v>3614</v>
      </c>
      <c r="D12352" s="17" t="s">
        <v>1407</v>
      </c>
      <c r="E12352" s="17" t="s">
        <v>4526</v>
      </c>
      <c r="F12352" s="17"/>
      <c r="G12352" s="18" t="n">
        <v>140</v>
      </c>
      <c r="H12352" s="18" t="n">
        <v>0</v>
      </c>
      <c r="I12352" s="18" t="n">
        <f aca="false">((I12351 + G12352) - H12352)</f>
        <v>5727.87</v>
      </c>
      <c r="J12352" s="18" t="n">
        <v>0</v>
      </c>
      <c r="K12352" s="19" t="n">
        <v>0</v>
      </c>
      <c r="L12352" s="17" t="s">
        <v>1399</v>
      </c>
    </row>
    <row r="12353" s="11" customFormat="true" ht="10.95" hidden="false" customHeight="true" outlineLevel="0" collapsed="false">
      <c r="A12353" s="16" t="n">
        <v>45455</v>
      </c>
      <c r="B12353" s="17" t="s">
        <v>4521</v>
      </c>
      <c r="C12353" s="17" t="s">
        <v>3614</v>
      </c>
      <c r="D12353" s="17" t="s">
        <v>1407</v>
      </c>
      <c r="E12353" s="17" t="s">
        <v>4522</v>
      </c>
      <c r="F12353" s="17"/>
      <c r="G12353" s="18" t="n">
        <v>1571.5</v>
      </c>
      <c r="H12353" s="18" t="n">
        <v>0</v>
      </c>
      <c r="I12353" s="18" t="n">
        <f aca="false">((I12352 + G12353) - H12353)</f>
        <v>7299.37</v>
      </c>
      <c r="J12353" s="18" t="n">
        <v>0</v>
      </c>
      <c r="K12353" s="19" t="n">
        <v>0</v>
      </c>
      <c r="L12353" s="17" t="s">
        <v>1399</v>
      </c>
    </row>
    <row r="12354" s="11" customFormat="true" ht="10.95" hidden="false" customHeight="true" outlineLevel="0" collapsed="false">
      <c r="A12354" s="16" t="n">
        <v>45455</v>
      </c>
      <c r="B12354" s="17" t="s">
        <v>4521</v>
      </c>
      <c r="C12354" s="17" t="s">
        <v>3614</v>
      </c>
      <c r="D12354" s="17" t="s">
        <v>1407</v>
      </c>
      <c r="E12354" s="17" t="s">
        <v>2169</v>
      </c>
      <c r="F12354" s="17"/>
      <c r="G12354" s="18" t="n">
        <v>1765.5</v>
      </c>
      <c r="H12354" s="18" t="n">
        <v>0</v>
      </c>
      <c r="I12354" s="18" t="n">
        <f aca="false">((I12353 + G12354) - H12354)</f>
        <v>9064.87</v>
      </c>
      <c r="J12354" s="18" t="n">
        <v>0</v>
      </c>
      <c r="K12354" s="19" t="n">
        <v>0</v>
      </c>
      <c r="L12354" s="17" t="s">
        <v>1399</v>
      </c>
    </row>
    <row r="12355" s="11" customFormat="true" ht="10.95" hidden="false" customHeight="true" outlineLevel="0" collapsed="false">
      <c r="A12355" s="16" t="n">
        <v>45455</v>
      </c>
      <c r="B12355" s="17" t="s">
        <v>4521</v>
      </c>
      <c r="C12355" s="17" t="s">
        <v>3614</v>
      </c>
      <c r="D12355" s="17" t="s">
        <v>1407</v>
      </c>
      <c r="E12355" s="17" t="s">
        <v>4523</v>
      </c>
      <c r="F12355" s="17"/>
      <c r="G12355" s="18" t="n">
        <v>2163.92</v>
      </c>
      <c r="H12355" s="18" t="n">
        <v>0</v>
      </c>
      <c r="I12355" s="18" t="n">
        <f aca="false">((I12354 + G12355) - H12355)</f>
        <v>11228.79</v>
      </c>
      <c r="J12355" s="18" t="n">
        <v>0</v>
      </c>
      <c r="K12355" s="19" t="n">
        <v>0</v>
      </c>
      <c r="L12355" s="17" t="s">
        <v>1399</v>
      </c>
    </row>
    <row r="12356" s="11" customFormat="true" ht="10.95" hidden="false" customHeight="true" outlineLevel="0" collapsed="false">
      <c r="A12356" s="16" t="n">
        <v>45456</v>
      </c>
      <c r="B12356" s="17" t="s">
        <v>4521</v>
      </c>
      <c r="C12356" s="17" t="s">
        <v>3614</v>
      </c>
      <c r="D12356" s="17" t="s">
        <v>2106</v>
      </c>
      <c r="E12356" s="17" t="s">
        <v>4524</v>
      </c>
      <c r="F12356" s="17" t="s">
        <v>2176</v>
      </c>
      <c r="G12356" s="18" t="n">
        <v>0</v>
      </c>
      <c r="H12356" s="18" t="n">
        <v>7210.42</v>
      </c>
      <c r="I12356" s="18" t="n">
        <f aca="false">((I12355 + G12356) - H12356)</f>
        <v>4018.37</v>
      </c>
      <c r="J12356" s="18" t="n">
        <v>0</v>
      </c>
      <c r="K12356" s="19" t="n">
        <v>0</v>
      </c>
      <c r="L12356" s="17" t="s">
        <v>1399</v>
      </c>
    </row>
    <row r="12357" s="11" customFormat="true" ht="10.95" hidden="false" customHeight="true" outlineLevel="0" collapsed="false">
      <c r="A12357" s="16" t="n">
        <v>45461</v>
      </c>
      <c r="B12357" s="17" t="s">
        <v>4521</v>
      </c>
      <c r="C12357" s="17" t="s">
        <v>3614</v>
      </c>
      <c r="D12357" s="17" t="s">
        <v>1407</v>
      </c>
      <c r="E12357" s="17" t="s">
        <v>2170</v>
      </c>
      <c r="F12357" s="17"/>
      <c r="G12357" s="18" t="n">
        <v>1569.5</v>
      </c>
      <c r="H12357" s="18" t="n">
        <v>0</v>
      </c>
      <c r="I12357" s="18" t="n">
        <f aca="false">((I12356 + G12357) - H12357)</f>
        <v>5587.87</v>
      </c>
      <c r="J12357" s="18" t="n">
        <v>0</v>
      </c>
      <c r="K12357" s="19" t="n">
        <v>0</v>
      </c>
      <c r="L12357" s="17" t="s">
        <v>1399</v>
      </c>
    </row>
    <row r="12358" s="11" customFormat="true" ht="10.95" hidden="false" customHeight="true" outlineLevel="0" collapsed="false">
      <c r="A12358" s="16" t="n">
        <v>45462</v>
      </c>
      <c r="B12358" s="17" t="s">
        <v>4521</v>
      </c>
      <c r="C12358" s="17" t="s">
        <v>3614</v>
      </c>
      <c r="D12358" s="17" t="s">
        <v>1407</v>
      </c>
      <c r="E12358" s="17" t="s">
        <v>4526</v>
      </c>
      <c r="F12358" s="17"/>
      <c r="G12358" s="18" t="n">
        <v>140</v>
      </c>
      <c r="H12358" s="18" t="n">
        <v>0</v>
      </c>
      <c r="I12358" s="18" t="n">
        <f aca="false">((I12357 + G12358) - H12358)</f>
        <v>5727.87</v>
      </c>
      <c r="J12358" s="18" t="n">
        <v>0</v>
      </c>
      <c r="K12358" s="19" t="n">
        <v>0</v>
      </c>
      <c r="L12358" s="17" t="s">
        <v>1399</v>
      </c>
    </row>
    <row r="12359" s="11" customFormat="true" ht="10.95" hidden="false" customHeight="true" outlineLevel="0" collapsed="false">
      <c r="A12359" s="16" t="n">
        <v>45462</v>
      </c>
      <c r="B12359" s="17" t="s">
        <v>4521</v>
      </c>
      <c r="C12359" s="17" t="s">
        <v>3614</v>
      </c>
      <c r="D12359" s="17" t="s">
        <v>1407</v>
      </c>
      <c r="E12359" s="17" t="s">
        <v>4522</v>
      </c>
      <c r="F12359" s="17"/>
      <c r="G12359" s="18" t="n">
        <v>1571.5</v>
      </c>
      <c r="H12359" s="18" t="n">
        <v>0</v>
      </c>
      <c r="I12359" s="18" t="n">
        <f aca="false">((I12358 + G12359) - H12359)</f>
        <v>7299.37</v>
      </c>
      <c r="J12359" s="18" t="n">
        <v>0</v>
      </c>
      <c r="K12359" s="19" t="n">
        <v>0</v>
      </c>
      <c r="L12359" s="17" t="s">
        <v>1399</v>
      </c>
    </row>
    <row r="12360" s="11" customFormat="true" ht="10.95" hidden="false" customHeight="true" outlineLevel="0" collapsed="false">
      <c r="A12360" s="16" t="n">
        <v>45462</v>
      </c>
      <c r="B12360" s="17" t="s">
        <v>4521</v>
      </c>
      <c r="C12360" s="17" t="s">
        <v>3614</v>
      </c>
      <c r="D12360" s="17" t="s">
        <v>1407</v>
      </c>
      <c r="E12360" s="17" t="s">
        <v>2169</v>
      </c>
      <c r="F12360" s="17"/>
      <c r="G12360" s="18" t="n">
        <v>1765.5</v>
      </c>
      <c r="H12360" s="18" t="n">
        <v>0</v>
      </c>
      <c r="I12360" s="18" t="n">
        <f aca="false">((I12359 + G12360) - H12360)</f>
        <v>9064.87</v>
      </c>
      <c r="J12360" s="18" t="n">
        <v>0</v>
      </c>
      <c r="K12360" s="19" t="n">
        <v>0</v>
      </c>
      <c r="L12360" s="17" t="s">
        <v>1399</v>
      </c>
    </row>
    <row r="12361" s="11" customFormat="true" ht="10.95" hidden="false" customHeight="true" outlineLevel="0" collapsed="false">
      <c r="A12361" s="16" t="n">
        <v>45462</v>
      </c>
      <c r="B12361" s="17" t="s">
        <v>4521</v>
      </c>
      <c r="C12361" s="17" t="s">
        <v>3614</v>
      </c>
      <c r="D12361" s="17" t="s">
        <v>1407</v>
      </c>
      <c r="E12361" s="17" t="s">
        <v>4523</v>
      </c>
      <c r="F12361" s="17"/>
      <c r="G12361" s="18" t="n">
        <v>2163.92</v>
      </c>
      <c r="H12361" s="18" t="n">
        <v>0</v>
      </c>
      <c r="I12361" s="18" t="n">
        <f aca="false">((I12360 + G12361) - H12361)</f>
        <v>11228.79</v>
      </c>
      <c r="J12361" s="18" t="n">
        <v>0</v>
      </c>
      <c r="K12361" s="19" t="n">
        <v>0</v>
      </c>
      <c r="L12361" s="17" t="s">
        <v>1399</v>
      </c>
    </row>
    <row r="12362" s="11" customFormat="true" ht="10.95" hidden="false" customHeight="true" outlineLevel="0" collapsed="false">
      <c r="A12362" s="16" t="n">
        <v>45463</v>
      </c>
      <c r="B12362" s="17" t="s">
        <v>4521</v>
      </c>
      <c r="C12362" s="17" t="s">
        <v>3614</v>
      </c>
      <c r="D12362" s="17" t="s">
        <v>2106</v>
      </c>
      <c r="E12362" s="17" t="s">
        <v>4524</v>
      </c>
      <c r="F12362" s="17" t="s">
        <v>2177</v>
      </c>
      <c r="G12362" s="18" t="n">
        <v>0</v>
      </c>
      <c r="H12362" s="18" t="n">
        <v>7210.42</v>
      </c>
      <c r="I12362" s="18" t="n">
        <f aca="false">((I12361 + G12362) - H12362)</f>
        <v>4018.37</v>
      </c>
      <c r="J12362" s="18" t="n">
        <v>0</v>
      </c>
      <c r="K12362" s="19" t="n">
        <v>0</v>
      </c>
      <c r="L12362" s="17" t="s">
        <v>1399</v>
      </c>
    </row>
    <row r="12363" s="11" customFormat="true" ht="10.95" hidden="false" customHeight="true" outlineLevel="0" collapsed="false">
      <c r="A12363" s="16" t="n">
        <v>45463</v>
      </c>
      <c r="B12363" s="17" t="s">
        <v>4521</v>
      </c>
      <c r="C12363" s="17" t="s">
        <v>3614</v>
      </c>
      <c r="D12363" s="17" t="s">
        <v>2106</v>
      </c>
      <c r="E12363" s="17" t="s">
        <v>4524</v>
      </c>
      <c r="F12363" s="17" t="s">
        <v>2178</v>
      </c>
      <c r="G12363" s="18" t="n">
        <v>0</v>
      </c>
      <c r="H12363" s="18" t="n">
        <v>60285.27</v>
      </c>
      <c r="I12363" s="18" t="n">
        <f aca="false">((I12362 + G12363) - H12363)</f>
        <v>-56266.9</v>
      </c>
      <c r="J12363" s="18" t="n">
        <v>0</v>
      </c>
      <c r="K12363" s="19" t="n">
        <v>0</v>
      </c>
      <c r="L12363" s="17" t="s">
        <v>1399</v>
      </c>
    </row>
    <row r="12364" s="11" customFormat="true" ht="10.95" hidden="false" customHeight="true" outlineLevel="0" collapsed="false">
      <c r="A12364" s="16" t="n">
        <v>45468</v>
      </c>
      <c r="B12364" s="17" t="s">
        <v>4521</v>
      </c>
      <c r="C12364" s="17" t="s">
        <v>3614</v>
      </c>
      <c r="D12364" s="17" t="s">
        <v>1407</v>
      </c>
      <c r="E12364" s="17" t="s">
        <v>2170</v>
      </c>
      <c r="F12364" s="17"/>
      <c r="G12364" s="18" t="n">
        <v>1569.5</v>
      </c>
      <c r="H12364" s="18" t="n">
        <v>0</v>
      </c>
      <c r="I12364" s="18" t="n">
        <f aca="false">((I12363 + G12364) - H12364)</f>
        <v>-54697.4</v>
      </c>
      <c r="J12364" s="18" t="n">
        <v>0</v>
      </c>
      <c r="K12364" s="19" t="n">
        <v>0</v>
      </c>
      <c r="L12364" s="17" t="s">
        <v>1399</v>
      </c>
    </row>
    <row r="12365" s="11" customFormat="true" ht="10.95" hidden="false" customHeight="true" outlineLevel="0" collapsed="false">
      <c r="A12365" s="16" t="n">
        <v>45469</v>
      </c>
      <c r="B12365" s="17" t="s">
        <v>4521</v>
      </c>
      <c r="C12365" s="17" t="s">
        <v>3614</v>
      </c>
      <c r="D12365" s="17" t="s">
        <v>1407</v>
      </c>
      <c r="E12365" s="17" t="s">
        <v>4526</v>
      </c>
      <c r="F12365" s="17"/>
      <c r="G12365" s="18" t="n">
        <v>140</v>
      </c>
      <c r="H12365" s="18" t="n">
        <v>0</v>
      </c>
      <c r="I12365" s="18" t="n">
        <f aca="false">((I12364 + G12365) - H12365)</f>
        <v>-54557.4</v>
      </c>
      <c r="J12365" s="18" t="n">
        <v>0</v>
      </c>
      <c r="K12365" s="19" t="n">
        <v>0</v>
      </c>
      <c r="L12365" s="17" t="s">
        <v>1399</v>
      </c>
    </row>
    <row r="12366" s="11" customFormat="true" ht="10.95" hidden="false" customHeight="true" outlineLevel="0" collapsed="false">
      <c r="A12366" s="16" t="n">
        <v>45469</v>
      </c>
      <c r="B12366" s="17" t="s">
        <v>4521</v>
      </c>
      <c r="C12366" s="17" t="s">
        <v>3614</v>
      </c>
      <c r="D12366" s="17" t="s">
        <v>1407</v>
      </c>
      <c r="E12366" s="17" t="s">
        <v>4522</v>
      </c>
      <c r="F12366" s="17"/>
      <c r="G12366" s="18" t="n">
        <v>1571.5</v>
      </c>
      <c r="H12366" s="18" t="n">
        <v>0</v>
      </c>
      <c r="I12366" s="18" t="n">
        <f aca="false">((I12365 + G12366) - H12366)</f>
        <v>-52985.9</v>
      </c>
      <c r="J12366" s="18" t="n">
        <v>0</v>
      </c>
      <c r="K12366" s="19" t="n">
        <v>0</v>
      </c>
      <c r="L12366" s="17" t="s">
        <v>1399</v>
      </c>
    </row>
    <row r="12367" s="11" customFormat="true" ht="10.95" hidden="false" customHeight="true" outlineLevel="0" collapsed="false">
      <c r="A12367" s="16" t="n">
        <v>45469</v>
      </c>
      <c r="B12367" s="17" t="s">
        <v>4521</v>
      </c>
      <c r="C12367" s="17" t="s">
        <v>3614</v>
      </c>
      <c r="D12367" s="17" t="s">
        <v>1407</v>
      </c>
      <c r="E12367" s="17" t="s">
        <v>2169</v>
      </c>
      <c r="F12367" s="17"/>
      <c r="G12367" s="18" t="n">
        <v>1765.5</v>
      </c>
      <c r="H12367" s="18" t="n">
        <v>0</v>
      </c>
      <c r="I12367" s="18" t="n">
        <f aca="false">((I12366 + G12367) - H12367)</f>
        <v>-51220.4</v>
      </c>
      <c r="J12367" s="18" t="n">
        <v>0</v>
      </c>
      <c r="K12367" s="19" t="n">
        <v>0</v>
      </c>
      <c r="L12367" s="17" t="s">
        <v>1399</v>
      </c>
    </row>
    <row r="12368" s="11" customFormat="true" ht="10.95" hidden="false" customHeight="true" outlineLevel="0" collapsed="false">
      <c r="A12368" s="16" t="n">
        <v>45469</v>
      </c>
      <c r="B12368" s="17" t="s">
        <v>4521</v>
      </c>
      <c r="C12368" s="17" t="s">
        <v>3614</v>
      </c>
      <c r="D12368" s="17" t="s">
        <v>1407</v>
      </c>
      <c r="E12368" s="17" t="s">
        <v>4523</v>
      </c>
      <c r="F12368" s="17"/>
      <c r="G12368" s="18" t="n">
        <v>2163.92</v>
      </c>
      <c r="H12368" s="18" t="n">
        <v>0</v>
      </c>
      <c r="I12368" s="18" t="n">
        <f aca="false">((I12367 + G12368) - H12368)</f>
        <v>-49056.48</v>
      </c>
      <c r="J12368" s="18" t="n">
        <v>0</v>
      </c>
      <c r="K12368" s="19" t="n">
        <v>0</v>
      </c>
      <c r="L12368" s="17" t="s">
        <v>1399</v>
      </c>
    </row>
    <row r="12369" s="11" customFormat="true" ht="10.95" hidden="false" customHeight="true" outlineLevel="0" collapsed="false">
      <c r="A12369" s="16" t="n">
        <v>45470</v>
      </c>
      <c r="B12369" s="17" t="s">
        <v>4521</v>
      </c>
      <c r="C12369" s="17" t="s">
        <v>3614</v>
      </c>
      <c r="D12369" s="17" t="s">
        <v>2106</v>
      </c>
      <c r="E12369" s="17" t="s">
        <v>4524</v>
      </c>
      <c r="F12369" s="17" t="s">
        <v>2179</v>
      </c>
      <c r="G12369" s="18" t="n">
        <v>0</v>
      </c>
      <c r="H12369" s="18" t="n">
        <v>7210.42</v>
      </c>
      <c r="I12369" s="18" t="n">
        <f aca="false">((I12368 + G12369) - H12369)</f>
        <v>-56266.9</v>
      </c>
      <c r="J12369" s="18" t="n">
        <v>0</v>
      </c>
      <c r="K12369" s="19" t="n">
        <v>0</v>
      </c>
      <c r="L12369" s="17" t="s">
        <v>1399</v>
      </c>
    </row>
    <row r="12370" s="11" customFormat="true" ht="10.95" hidden="false" customHeight="true" outlineLevel="0" collapsed="false">
      <c r="A12370" s="16" t="n">
        <v>45473</v>
      </c>
      <c r="B12370" s="17" t="s">
        <v>4521</v>
      </c>
      <c r="C12370" s="17" t="s">
        <v>3614</v>
      </c>
      <c r="D12370" s="17" t="s">
        <v>1396</v>
      </c>
      <c r="E12370" s="17" t="s">
        <v>4544</v>
      </c>
      <c r="F12370" s="17" t="s">
        <v>4545</v>
      </c>
      <c r="G12370" s="18" t="n">
        <v>56266.9</v>
      </c>
      <c r="H12370" s="18" t="n">
        <v>0</v>
      </c>
      <c r="I12370" s="18" t="n">
        <f aca="false">((I12369 + G12370) - H12370)</f>
        <v>0</v>
      </c>
      <c r="J12370" s="18" t="n">
        <v>0</v>
      </c>
      <c r="K12370" s="19" t="n">
        <v>0</v>
      </c>
      <c r="L12370" s="17" t="s">
        <v>1399</v>
      </c>
    </row>
    <row r="12371" s="11" customFormat="true" ht="10.95" hidden="false" customHeight="true" outlineLevel="0" collapsed="false">
      <c r="A12371" s="21" t="s">
        <v>4546</v>
      </c>
      <c r="B12371" s="21"/>
      <c r="C12371" s="21"/>
      <c r="D12371" s="21"/>
      <c r="E12371" s="21"/>
      <c r="F12371" s="21"/>
      <c r="G12371" s="22" t="n">
        <f aca="false">SUM(G12038:G12370)</f>
        <v>379926.85</v>
      </c>
      <c r="H12371" s="22" t="n">
        <f aca="false">SUM(H12038:H12370)</f>
        <v>382552.8</v>
      </c>
      <c r="I12371" s="22" t="n">
        <f aca="false">I12370</f>
        <v>0</v>
      </c>
      <c r="J12371" s="22" t="n">
        <f aca="false">SUM(J12038:J12370)</f>
        <v>0</v>
      </c>
      <c r="K12371" s="21"/>
      <c r="L12371" s="21"/>
    </row>
    <row r="12372" s="11" customFormat="true" ht="10.95" hidden="false" customHeight="true" outlineLevel="0" collapsed="false">
      <c r="A12372" s="21" t="s">
        <v>784</v>
      </c>
      <c r="B12372" s="21"/>
      <c r="C12372" s="21"/>
      <c r="D12372" s="21"/>
      <c r="E12372" s="21"/>
      <c r="F12372" s="21"/>
      <c r="G12372" s="22" t="n">
        <v>0</v>
      </c>
      <c r="H12372" s="22" t="n">
        <v>2625.95</v>
      </c>
      <c r="I12372" s="22" t="n">
        <v>0</v>
      </c>
      <c r="J12372" s="22" t="n">
        <v>0</v>
      </c>
      <c r="K12372" s="21"/>
      <c r="L12372" s="21"/>
    </row>
    <row r="12373" s="11" customFormat="true" ht="10.95" hidden="false" customHeight="true" outlineLevel="0" collapsed="false">
      <c r="A12373" s="9" t="s">
        <v>785</v>
      </c>
      <c r="B12373" s="9"/>
      <c r="C12373" s="9"/>
      <c r="D12373" s="9"/>
      <c r="E12373" s="9"/>
      <c r="F12373" s="9"/>
      <c r="G12373" s="10" t="n">
        <v>0</v>
      </c>
      <c r="H12373" s="10" t="n">
        <v>0</v>
      </c>
      <c r="I12373" s="10" t="n">
        <f aca="false">I12370</f>
        <v>0</v>
      </c>
      <c r="J12373" s="10" t="n">
        <v>0</v>
      </c>
      <c r="K12373" s="9"/>
      <c r="L12373" s="9"/>
    </row>
    <row r="12374" customFormat="false" ht="13.35" hidden="false" customHeight="true" outlineLevel="0" collapsed="false"/>
    <row r="12375" s="7" customFormat="true" ht="12.1" hidden="false" customHeight="true" outlineLevel="0" collapsed="false">
      <c r="A12375" s="8" t="s">
        <v>4547</v>
      </c>
      <c r="B12375" s="8"/>
      <c r="C12375" s="8"/>
      <c r="D12375" s="8"/>
      <c r="E12375" s="8"/>
      <c r="F12375" s="8"/>
      <c r="G12375" s="8"/>
      <c r="H12375" s="8"/>
      <c r="I12375" s="8"/>
      <c r="J12375" s="8"/>
      <c r="K12375" s="8"/>
      <c r="L12375" s="8"/>
    </row>
    <row r="12376" s="11" customFormat="true" ht="10.95" hidden="false" customHeight="true" outlineLevel="0" collapsed="false">
      <c r="A12376" s="9" t="s">
        <v>16</v>
      </c>
      <c r="B12376" s="9"/>
      <c r="C12376" s="9"/>
      <c r="D12376" s="9"/>
      <c r="E12376" s="9"/>
      <c r="F12376" s="9"/>
      <c r="G12376" s="10" t="n">
        <v>0</v>
      </c>
      <c r="H12376" s="10" t="n">
        <v>8031</v>
      </c>
      <c r="I12376" s="10" t="n">
        <f aca="false">(G12376 - H12376)</f>
        <v>-8031</v>
      </c>
      <c r="J12376" s="10" t="n">
        <v>0</v>
      </c>
      <c r="K12376" s="9"/>
      <c r="L12376" s="9"/>
    </row>
    <row r="12377" s="11" customFormat="true" ht="10.95" hidden="false" customHeight="true" outlineLevel="0" collapsed="false">
      <c r="A12377" s="12" t="n">
        <v>45108</v>
      </c>
      <c r="B12377" s="13" t="s">
        <v>4548</v>
      </c>
      <c r="C12377" s="13" t="s">
        <v>3614</v>
      </c>
      <c r="D12377" s="13" t="s">
        <v>1391</v>
      </c>
      <c r="E12377" s="13" t="s">
        <v>3615</v>
      </c>
      <c r="F12377" s="13" t="s">
        <v>1393</v>
      </c>
      <c r="G12377" s="14" t="n">
        <v>48.98</v>
      </c>
      <c r="H12377" s="14" t="n">
        <v>0</v>
      </c>
      <c r="I12377" s="14" t="n">
        <f aca="false">((I12376 + G12377) - H12377)</f>
        <v>-7982.02</v>
      </c>
      <c r="J12377" s="14" t="n">
        <v>0</v>
      </c>
      <c r="K12377" s="15" t="n">
        <v>0</v>
      </c>
      <c r="L12377" s="13"/>
    </row>
    <row r="12378" s="11" customFormat="true" ht="10.95" hidden="false" customHeight="true" outlineLevel="0" collapsed="false">
      <c r="A12378" s="16" t="n">
        <v>45108</v>
      </c>
      <c r="B12378" s="17" t="s">
        <v>4548</v>
      </c>
      <c r="C12378" s="17" t="s">
        <v>3614</v>
      </c>
      <c r="D12378" s="17" t="s">
        <v>1407</v>
      </c>
      <c r="E12378" s="17" t="s">
        <v>3865</v>
      </c>
      <c r="F12378" s="17"/>
      <c r="G12378" s="18" t="n">
        <v>7.5</v>
      </c>
      <c r="H12378" s="18" t="n">
        <v>0</v>
      </c>
      <c r="I12378" s="18" t="n">
        <f aca="false">((I12377 + G12378) - H12378)</f>
        <v>-7974.52</v>
      </c>
      <c r="J12378" s="18" t="n">
        <v>0</v>
      </c>
      <c r="K12378" s="19" t="n">
        <v>0</v>
      </c>
      <c r="L12378" s="17"/>
    </row>
    <row r="12379" s="11" customFormat="true" ht="10.95" hidden="false" customHeight="true" outlineLevel="0" collapsed="false">
      <c r="A12379" s="16" t="n">
        <v>45108</v>
      </c>
      <c r="B12379" s="17" t="s">
        <v>4548</v>
      </c>
      <c r="C12379" s="17" t="s">
        <v>3614</v>
      </c>
      <c r="D12379" s="17" t="s">
        <v>1391</v>
      </c>
      <c r="E12379" s="17" t="s">
        <v>3621</v>
      </c>
      <c r="F12379" s="17" t="s">
        <v>2622</v>
      </c>
      <c r="G12379" s="18" t="n">
        <v>70.43</v>
      </c>
      <c r="H12379" s="18" t="n">
        <v>0</v>
      </c>
      <c r="I12379" s="18" t="n">
        <f aca="false">((I12378 + G12379) - H12379)</f>
        <v>-7904.09</v>
      </c>
      <c r="J12379" s="18" t="n">
        <v>0</v>
      </c>
      <c r="K12379" s="19" t="n">
        <v>0</v>
      </c>
      <c r="L12379" s="17"/>
    </row>
    <row r="12380" s="11" customFormat="true" ht="10.95" hidden="false" customHeight="true" outlineLevel="0" collapsed="false">
      <c r="A12380" s="16" t="n">
        <v>45108</v>
      </c>
      <c r="B12380" s="17" t="s">
        <v>4548</v>
      </c>
      <c r="C12380" s="17" t="s">
        <v>3614</v>
      </c>
      <c r="D12380" s="17" t="s">
        <v>1391</v>
      </c>
      <c r="E12380" s="17" t="s">
        <v>3622</v>
      </c>
      <c r="F12380" s="17" t="s">
        <v>1395</v>
      </c>
      <c r="G12380" s="18" t="n">
        <v>159.62</v>
      </c>
      <c r="H12380" s="18" t="n">
        <v>0</v>
      </c>
      <c r="I12380" s="18" t="n">
        <f aca="false">((I12379 + G12380) - H12380)</f>
        <v>-7744.47</v>
      </c>
      <c r="J12380" s="18" t="n">
        <v>0</v>
      </c>
      <c r="K12380" s="19" t="n">
        <v>0</v>
      </c>
      <c r="L12380" s="17"/>
    </row>
    <row r="12381" s="11" customFormat="true" ht="10.95" hidden="false" customHeight="true" outlineLevel="0" collapsed="false">
      <c r="A12381" s="16" t="n">
        <v>45109</v>
      </c>
      <c r="B12381" s="17" t="s">
        <v>4548</v>
      </c>
      <c r="C12381" s="17" t="s">
        <v>3614</v>
      </c>
      <c r="D12381" s="17" t="s">
        <v>1407</v>
      </c>
      <c r="E12381" s="17" t="s">
        <v>3804</v>
      </c>
      <c r="F12381" s="17"/>
      <c r="G12381" s="18" t="n">
        <v>3.64</v>
      </c>
      <c r="H12381" s="18" t="n">
        <v>0</v>
      </c>
      <c r="I12381" s="18" t="n">
        <f aca="false">((I12380 + G12381) - H12381)</f>
        <v>-7740.83</v>
      </c>
      <c r="J12381" s="18" t="n">
        <v>0</v>
      </c>
      <c r="K12381" s="19" t="n">
        <v>0</v>
      </c>
      <c r="L12381" s="17"/>
    </row>
    <row r="12382" s="11" customFormat="true" ht="10.95" hidden="false" customHeight="true" outlineLevel="0" collapsed="false">
      <c r="A12382" s="16" t="n">
        <v>45109</v>
      </c>
      <c r="B12382" s="17" t="s">
        <v>4548</v>
      </c>
      <c r="C12382" s="17" t="s">
        <v>3614</v>
      </c>
      <c r="D12382" s="17" t="s">
        <v>1391</v>
      </c>
      <c r="E12382" s="17" t="s">
        <v>3625</v>
      </c>
      <c r="F12382" s="17" t="s">
        <v>3244</v>
      </c>
      <c r="G12382" s="18" t="n">
        <v>90.08</v>
      </c>
      <c r="H12382" s="18" t="n">
        <v>0</v>
      </c>
      <c r="I12382" s="18" t="n">
        <f aca="false">((I12381 + G12382) - H12382)</f>
        <v>-7650.75</v>
      </c>
      <c r="J12382" s="18" t="n">
        <v>0</v>
      </c>
      <c r="K12382" s="19" t="n">
        <v>0</v>
      </c>
      <c r="L12382" s="17"/>
    </row>
    <row r="12383" s="11" customFormat="true" ht="10.95" hidden="false" customHeight="true" outlineLevel="0" collapsed="false">
      <c r="A12383" s="16" t="n">
        <v>45110</v>
      </c>
      <c r="B12383" s="17" t="s">
        <v>4548</v>
      </c>
      <c r="C12383" s="17" t="s">
        <v>3614</v>
      </c>
      <c r="D12383" s="17" t="s">
        <v>1391</v>
      </c>
      <c r="E12383" s="17" t="s">
        <v>3615</v>
      </c>
      <c r="F12383" s="17" t="s">
        <v>1401</v>
      </c>
      <c r="G12383" s="18" t="n">
        <v>168</v>
      </c>
      <c r="H12383" s="18" t="n">
        <v>0</v>
      </c>
      <c r="I12383" s="18" t="n">
        <f aca="false">((I12382 + G12383) - H12383)</f>
        <v>-7482.75</v>
      </c>
      <c r="J12383" s="18" t="n">
        <v>0</v>
      </c>
      <c r="K12383" s="19" t="n">
        <v>0</v>
      </c>
      <c r="L12383" s="17"/>
    </row>
    <row r="12384" s="11" customFormat="true" ht="10.95" hidden="false" customHeight="true" outlineLevel="0" collapsed="false">
      <c r="A12384" s="16" t="n">
        <v>45110</v>
      </c>
      <c r="B12384" s="17" t="s">
        <v>4548</v>
      </c>
      <c r="C12384" s="17" t="s">
        <v>3614</v>
      </c>
      <c r="D12384" s="17" t="s">
        <v>1391</v>
      </c>
      <c r="E12384" s="17" t="s">
        <v>3626</v>
      </c>
      <c r="F12384" s="17" t="s">
        <v>2203</v>
      </c>
      <c r="G12384" s="18" t="n">
        <v>6.5</v>
      </c>
      <c r="H12384" s="18" t="n">
        <v>0</v>
      </c>
      <c r="I12384" s="18" t="n">
        <f aca="false">((I12383 + G12384) - H12384)</f>
        <v>-7476.25</v>
      </c>
      <c r="J12384" s="18" t="n">
        <v>0</v>
      </c>
      <c r="K12384" s="19" t="n">
        <v>0</v>
      </c>
      <c r="L12384" s="17"/>
    </row>
    <row r="12385" s="11" customFormat="true" ht="10.95" hidden="false" customHeight="true" outlineLevel="0" collapsed="false">
      <c r="A12385" s="16" t="n">
        <v>45111</v>
      </c>
      <c r="B12385" s="17" t="s">
        <v>4548</v>
      </c>
      <c r="C12385" s="17" t="s">
        <v>3614</v>
      </c>
      <c r="D12385" s="17" t="s">
        <v>1407</v>
      </c>
      <c r="E12385" s="17" t="s">
        <v>3870</v>
      </c>
      <c r="F12385" s="17"/>
      <c r="G12385" s="18" t="n">
        <v>9.91</v>
      </c>
      <c r="H12385" s="18" t="n">
        <v>0</v>
      </c>
      <c r="I12385" s="18" t="n">
        <f aca="false">((I12384 + G12385) - H12385)</f>
        <v>-7466.34</v>
      </c>
      <c r="J12385" s="18" t="n">
        <v>0</v>
      </c>
      <c r="K12385" s="19" t="n">
        <v>0</v>
      </c>
      <c r="L12385" s="17"/>
    </row>
    <row r="12386" s="11" customFormat="true" ht="10.95" hidden="false" customHeight="true" outlineLevel="0" collapsed="false">
      <c r="A12386" s="16" t="n">
        <v>45111</v>
      </c>
      <c r="B12386" s="17" t="s">
        <v>4548</v>
      </c>
      <c r="C12386" s="17" t="s">
        <v>3614</v>
      </c>
      <c r="D12386" s="17" t="s">
        <v>1391</v>
      </c>
      <c r="E12386" s="17" t="s">
        <v>3615</v>
      </c>
      <c r="F12386" s="17" t="s">
        <v>1403</v>
      </c>
      <c r="G12386" s="18" t="n">
        <v>1202.13</v>
      </c>
      <c r="H12386" s="18" t="n">
        <v>0</v>
      </c>
      <c r="I12386" s="18" t="n">
        <f aca="false">((I12385 + G12386) - H12386)</f>
        <v>-6264.21</v>
      </c>
      <c r="J12386" s="18" t="n">
        <v>0</v>
      </c>
      <c r="K12386" s="19" t="n">
        <v>0</v>
      </c>
      <c r="L12386" s="17"/>
    </row>
    <row r="12387" s="11" customFormat="true" ht="10.95" hidden="false" customHeight="true" outlineLevel="0" collapsed="false">
      <c r="A12387" s="16" t="n">
        <v>45112</v>
      </c>
      <c r="B12387" s="17" t="s">
        <v>4548</v>
      </c>
      <c r="C12387" s="17" t="s">
        <v>3614</v>
      </c>
      <c r="D12387" s="17" t="s">
        <v>1407</v>
      </c>
      <c r="E12387" s="17" t="s">
        <v>3882</v>
      </c>
      <c r="F12387" s="17"/>
      <c r="G12387" s="18" t="n">
        <v>2</v>
      </c>
      <c r="H12387" s="18" t="n">
        <v>0</v>
      </c>
      <c r="I12387" s="18" t="n">
        <f aca="false">((I12386 + G12387) - H12387)</f>
        <v>-6262.21</v>
      </c>
      <c r="J12387" s="18" t="n">
        <v>0</v>
      </c>
      <c r="K12387" s="19" t="n">
        <v>0</v>
      </c>
      <c r="L12387" s="17"/>
    </row>
    <row r="12388" s="11" customFormat="true" ht="10.95" hidden="false" customHeight="true" outlineLevel="0" collapsed="false">
      <c r="A12388" s="16" t="n">
        <v>45112</v>
      </c>
      <c r="B12388" s="17" t="s">
        <v>4548</v>
      </c>
      <c r="C12388" s="17" t="s">
        <v>3614</v>
      </c>
      <c r="D12388" s="17" t="s">
        <v>1407</v>
      </c>
      <c r="E12388" s="17" t="s">
        <v>4549</v>
      </c>
      <c r="F12388" s="17" t="s">
        <v>3883</v>
      </c>
      <c r="G12388" s="18" t="n">
        <v>8031</v>
      </c>
      <c r="H12388" s="18" t="n">
        <v>0</v>
      </c>
      <c r="I12388" s="18" t="n">
        <f aca="false">((I12387 + G12388) - H12388)</f>
        <v>1768.79</v>
      </c>
      <c r="J12388" s="18" t="n">
        <v>0</v>
      </c>
      <c r="K12388" s="19" t="n">
        <v>0</v>
      </c>
      <c r="L12388" s="17" t="s">
        <v>1399</v>
      </c>
    </row>
    <row r="12389" s="11" customFormat="true" ht="10.95" hidden="false" customHeight="true" outlineLevel="0" collapsed="false">
      <c r="A12389" s="16" t="n">
        <v>45112</v>
      </c>
      <c r="B12389" s="17" t="s">
        <v>4548</v>
      </c>
      <c r="C12389" s="17" t="s">
        <v>3614</v>
      </c>
      <c r="D12389" s="17" t="s">
        <v>1391</v>
      </c>
      <c r="E12389" s="17" t="s">
        <v>3632</v>
      </c>
      <c r="F12389" s="17" t="s">
        <v>2048</v>
      </c>
      <c r="G12389" s="18" t="n">
        <v>101.4</v>
      </c>
      <c r="H12389" s="18" t="n">
        <v>0</v>
      </c>
      <c r="I12389" s="18" t="n">
        <f aca="false">((I12388 + G12389) - H12389)</f>
        <v>1870.19</v>
      </c>
      <c r="J12389" s="18" t="n">
        <v>0</v>
      </c>
      <c r="K12389" s="19" t="n">
        <v>0</v>
      </c>
      <c r="L12389" s="17"/>
    </row>
    <row r="12390" s="11" customFormat="true" ht="10.95" hidden="false" customHeight="true" outlineLevel="0" collapsed="false">
      <c r="A12390" s="16" t="n">
        <v>45113</v>
      </c>
      <c r="B12390" s="17" t="s">
        <v>4548</v>
      </c>
      <c r="C12390" s="17" t="s">
        <v>3614</v>
      </c>
      <c r="D12390" s="17" t="s">
        <v>1407</v>
      </c>
      <c r="E12390" s="17" t="s">
        <v>2747</v>
      </c>
      <c r="F12390" s="17"/>
      <c r="G12390" s="18" t="n">
        <v>0.64</v>
      </c>
      <c r="H12390" s="18" t="n">
        <v>0</v>
      </c>
      <c r="I12390" s="18" t="n">
        <f aca="false">((I12389 + G12390) - H12390)</f>
        <v>1870.83</v>
      </c>
      <c r="J12390" s="18" t="n">
        <v>0</v>
      </c>
      <c r="K12390" s="19" t="n">
        <v>0</v>
      </c>
      <c r="L12390" s="17"/>
    </row>
    <row r="12391" s="11" customFormat="true" ht="10.95" hidden="false" customHeight="true" outlineLevel="0" collapsed="false">
      <c r="A12391" s="16" t="n">
        <v>45113</v>
      </c>
      <c r="B12391" s="17" t="s">
        <v>4548</v>
      </c>
      <c r="C12391" s="17" t="s">
        <v>3614</v>
      </c>
      <c r="D12391" s="17" t="s">
        <v>1407</v>
      </c>
      <c r="E12391" s="17" t="s">
        <v>3888</v>
      </c>
      <c r="F12391" s="17"/>
      <c r="G12391" s="18" t="n">
        <v>292.49</v>
      </c>
      <c r="H12391" s="18" t="n">
        <v>0</v>
      </c>
      <c r="I12391" s="18" t="n">
        <f aca="false">((I12390 + G12391) - H12391)</f>
        <v>2163.32</v>
      </c>
      <c r="J12391" s="18" t="n">
        <v>0</v>
      </c>
      <c r="K12391" s="19" t="n">
        <v>0</v>
      </c>
      <c r="L12391" s="17"/>
    </row>
    <row r="12392" s="11" customFormat="true" ht="10.95" hidden="false" customHeight="true" outlineLevel="0" collapsed="false">
      <c r="A12392" s="16" t="n">
        <v>45113</v>
      </c>
      <c r="B12392" s="17" t="s">
        <v>4548</v>
      </c>
      <c r="C12392" s="17" t="s">
        <v>3614</v>
      </c>
      <c r="D12392" s="17" t="s">
        <v>1407</v>
      </c>
      <c r="E12392" s="17" t="s">
        <v>3642</v>
      </c>
      <c r="F12392" s="17"/>
      <c r="G12392" s="18" t="n">
        <v>1.72</v>
      </c>
      <c r="H12392" s="18" t="n">
        <v>0</v>
      </c>
      <c r="I12392" s="18" t="n">
        <f aca="false">((I12391 + G12392) - H12392)</f>
        <v>2165.04</v>
      </c>
      <c r="J12392" s="18" t="n">
        <v>0</v>
      </c>
      <c r="K12392" s="19" t="n">
        <v>0</v>
      </c>
      <c r="L12392" s="17"/>
    </row>
    <row r="12393" s="11" customFormat="true" ht="10.95" hidden="false" customHeight="true" outlineLevel="0" collapsed="false">
      <c r="A12393" s="16" t="n">
        <v>45113</v>
      </c>
      <c r="B12393" s="17" t="s">
        <v>4548</v>
      </c>
      <c r="C12393" s="17" t="s">
        <v>3614</v>
      </c>
      <c r="D12393" s="17" t="s">
        <v>1407</v>
      </c>
      <c r="E12393" s="17" t="s">
        <v>3642</v>
      </c>
      <c r="F12393" s="17"/>
      <c r="G12393" s="18" t="n">
        <v>3.6</v>
      </c>
      <c r="H12393" s="18" t="n">
        <v>0</v>
      </c>
      <c r="I12393" s="18" t="n">
        <f aca="false">((I12392 + G12393) - H12393)</f>
        <v>2168.64</v>
      </c>
      <c r="J12393" s="18" t="n">
        <v>0</v>
      </c>
      <c r="K12393" s="19" t="n">
        <v>0</v>
      </c>
      <c r="L12393" s="17"/>
    </row>
    <row r="12394" s="11" customFormat="true" ht="10.95" hidden="false" customHeight="true" outlineLevel="0" collapsed="false">
      <c r="A12394" s="16" t="n">
        <v>45113</v>
      </c>
      <c r="B12394" s="17" t="s">
        <v>4548</v>
      </c>
      <c r="C12394" s="17" t="s">
        <v>3614</v>
      </c>
      <c r="D12394" s="17" t="s">
        <v>1407</v>
      </c>
      <c r="E12394" s="17" t="s">
        <v>3642</v>
      </c>
      <c r="F12394" s="17"/>
      <c r="G12394" s="18" t="n">
        <v>1.65</v>
      </c>
      <c r="H12394" s="18" t="n">
        <v>0</v>
      </c>
      <c r="I12394" s="18" t="n">
        <f aca="false">((I12393 + G12394) - H12394)</f>
        <v>2170.29</v>
      </c>
      <c r="J12394" s="18" t="n">
        <v>0</v>
      </c>
      <c r="K12394" s="19" t="n">
        <v>0</v>
      </c>
      <c r="L12394" s="17"/>
    </row>
    <row r="12395" s="11" customFormat="true" ht="10.95" hidden="false" customHeight="true" outlineLevel="0" collapsed="false">
      <c r="A12395" s="16" t="n">
        <v>45114</v>
      </c>
      <c r="B12395" s="17" t="s">
        <v>4548</v>
      </c>
      <c r="C12395" s="17" t="s">
        <v>3614</v>
      </c>
      <c r="D12395" s="17" t="s">
        <v>1391</v>
      </c>
      <c r="E12395" s="17" t="s">
        <v>3636</v>
      </c>
      <c r="F12395" s="17" t="s">
        <v>2628</v>
      </c>
      <c r="G12395" s="18" t="n">
        <v>74.37</v>
      </c>
      <c r="H12395" s="18" t="n">
        <v>0</v>
      </c>
      <c r="I12395" s="18" t="n">
        <f aca="false">((I12394 + G12395) - H12395)</f>
        <v>2244.66</v>
      </c>
      <c r="J12395" s="18" t="n">
        <v>0</v>
      </c>
      <c r="K12395" s="19" t="n">
        <v>0</v>
      </c>
      <c r="L12395" s="17"/>
    </row>
    <row r="12396" s="11" customFormat="true" ht="10.95" hidden="false" customHeight="true" outlineLevel="0" collapsed="false">
      <c r="A12396" s="16" t="n">
        <v>45114</v>
      </c>
      <c r="B12396" s="17" t="s">
        <v>4548</v>
      </c>
      <c r="C12396" s="17" t="s">
        <v>3614</v>
      </c>
      <c r="D12396" s="17" t="s">
        <v>1407</v>
      </c>
      <c r="E12396" s="17" t="s">
        <v>3756</v>
      </c>
      <c r="F12396" s="17"/>
      <c r="G12396" s="18" t="n">
        <v>1.51</v>
      </c>
      <c r="H12396" s="18" t="n">
        <v>0</v>
      </c>
      <c r="I12396" s="18" t="n">
        <f aca="false">((I12395 + G12396) - H12396)</f>
        <v>2246.17</v>
      </c>
      <c r="J12396" s="18" t="n">
        <v>0</v>
      </c>
      <c r="K12396" s="19" t="n">
        <v>0</v>
      </c>
      <c r="L12396" s="17"/>
    </row>
    <row r="12397" s="11" customFormat="true" ht="10.95" hidden="false" customHeight="true" outlineLevel="0" collapsed="false">
      <c r="A12397" s="16" t="n">
        <v>45114</v>
      </c>
      <c r="B12397" s="17" t="s">
        <v>4548</v>
      </c>
      <c r="C12397" s="17" t="s">
        <v>3614</v>
      </c>
      <c r="D12397" s="17" t="s">
        <v>1407</v>
      </c>
      <c r="E12397" s="17" t="s">
        <v>2747</v>
      </c>
      <c r="F12397" s="17"/>
      <c r="G12397" s="18" t="n">
        <v>0.64</v>
      </c>
      <c r="H12397" s="18" t="n">
        <v>0</v>
      </c>
      <c r="I12397" s="18" t="n">
        <f aca="false">((I12396 + G12397) - H12397)</f>
        <v>2246.81</v>
      </c>
      <c r="J12397" s="18" t="n">
        <v>0</v>
      </c>
      <c r="K12397" s="19" t="n">
        <v>0</v>
      </c>
      <c r="L12397" s="17"/>
    </row>
    <row r="12398" s="11" customFormat="true" ht="10.95" hidden="false" customHeight="true" outlineLevel="0" collapsed="false">
      <c r="A12398" s="16" t="n">
        <v>45115</v>
      </c>
      <c r="B12398" s="17" t="s">
        <v>4548</v>
      </c>
      <c r="C12398" s="17" t="s">
        <v>3614</v>
      </c>
      <c r="D12398" s="17" t="s">
        <v>1407</v>
      </c>
      <c r="E12398" s="17" t="s">
        <v>3889</v>
      </c>
      <c r="F12398" s="17"/>
      <c r="G12398" s="18" t="n">
        <v>75</v>
      </c>
      <c r="H12398" s="18" t="n">
        <v>0</v>
      </c>
      <c r="I12398" s="18" t="n">
        <f aca="false">((I12397 + G12398) - H12398)</f>
        <v>2321.81</v>
      </c>
      <c r="J12398" s="18" t="n">
        <v>0</v>
      </c>
      <c r="K12398" s="19" t="n">
        <v>0</v>
      </c>
      <c r="L12398" s="17"/>
    </row>
    <row r="12399" s="11" customFormat="true" ht="10.95" hidden="false" customHeight="true" outlineLevel="0" collapsed="false">
      <c r="A12399" s="16" t="n">
        <v>45116</v>
      </c>
      <c r="B12399" s="17" t="s">
        <v>4548</v>
      </c>
      <c r="C12399" s="17" t="s">
        <v>3614</v>
      </c>
      <c r="D12399" s="17" t="s">
        <v>1391</v>
      </c>
      <c r="E12399" s="17" t="s">
        <v>3638</v>
      </c>
      <c r="F12399" s="17" t="s">
        <v>3246</v>
      </c>
      <c r="G12399" s="18" t="n">
        <v>278.5</v>
      </c>
      <c r="H12399" s="18" t="n">
        <v>0</v>
      </c>
      <c r="I12399" s="18" t="n">
        <f aca="false">((I12398 + G12399) - H12399)</f>
        <v>2600.31</v>
      </c>
      <c r="J12399" s="18" t="n">
        <v>0</v>
      </c>
      <c r="K12399" s="19" t="n">
        <v>0</v>
      </c>
      <c r="L12399" s="17"/>
    </row>
    <row r="12400" s="11" customFormat="true" ht="10.95" hidden="false" customHeight="true" outlineLevel="0" collapsed="false">
      <c r="A12400" s="16" t="n">
        <v>45117</v>
      </c>
      <c r="B12400" s="17" t="s">
        <v>4548</v>
      </c>
      <c r="C12400" s="17" t="s">
        <v>3614</v>
      </c>
      <c r="D12400" s="17" t="s">
        <v>1391</v>
      </c>
      <c r="E12400" s="17" t="s">
        <v>3639</v>
      </c>
      <c r="F12400" s="17" t="s">
        <v>1642</v>
      </c>
      <c r="G12400" s="18" t="n">
        <v>3.64</v>
      </c>
      <c r="H12400" s="18" t="n">
        <v>0</v>
      </c>
      <c r="I12400" s="18" t="n">
        <f aca="false">((I12399 + G12400) - H12400)</f>
        <v>2603.95</v>
      </c>
      <c r="J12400" s="18" t="n">
        <v>0</v>
      </c>
      <c r="K12400" s="19" t="n">
        <v>0</v>
      </c>
      <c r="L12400" s="17"/>
    </row>
    <row r="12401" s="11" customFormat="true" ht="10.95" hidden="false" customHeight="true" outlineLevel="0" collapsed="false">
      <c r="A12401" s="16" t="n">
        <v>45118</v>
      </c>
      <c r="B12401" s="17" t="s">
        <v>4548</v>
      </c>
      <c r="C12401" s="17" t="s">
        <v>3614</v>
      </c>
      <c r="D12401" s="17" t="s">
        <v>1407</v>
      </c>
      <c r="E12401" s="17" t="s">
        <v>3896</v>
      </c>
      <c r="F12401" s="17"/>
      <c r="G12401" s="18" t="n">
        <v>1.73</v>
      </c>
      <c r="H12401" s="18" t="n">
        <v>0</v>
      </c>
      <c r="I12401" s="18" t="n">
        <f aca="false">((I12400 + G12401) - H12401)</f>
        <v>2605.68</v>
      </c>
      <c r="J12401" s="18" t="n">
        <v>0</v>
      </c>
      <c r="K12401" s="19" t="n">
        <v>0</v>
      </c>
      <c r="L12401" s="17"/>
    </row>
    <row r="12402" s="11" customFormat="true" ht="10.95" hidden="false" customHeight="true" outlineLevel="0" collapsed="false">
      <c r="A12402" s="16" t="n">
        <v>45118</v>
      </c>
      <c r="B12402" s="17" t="s">
        <v>4548</v>
      </c>
      <c r="C12402" s="17" t="s">
        <v>3614</v>
      </c>
      <c r="D12402" s="17" t="s">
        <v>1407</v>
      </c>
      <c r="E12402" s="17" t="s">
        <v>3621</v>
      </c>
      <c r="F12402" s="17"/>
      <c r="G12402" s="18" t="n">
        <v>9.54</v>
      </c>
      <c r="H12402" s="18" t="n">
        <v>0</v>
      </c>
      <c r="I12402" s="18" t="n">
        <f aca="false">((I12401 + G12402) - H12402)</f>
        <v>2615.22</v>
      </c>
      <c r="J12402" s="18" t="n">
        <v>0</v>
      </c>
      <c r="K12402" s="19" t="n">
        <v>0</v>
      </c>
      <c r="L12402" s="17"/>
    </row>
    <row r="12403" s="11" customFormat="true" ht="10.95" hidden="false" customHeight="true" outlineLevel="0" collapsed="false">
      <c r="A12403" s="16" t="n">
        <v>45118</v>
      </c>
      <c r="B12403" s="17" t="s">
        <v>4548</v>
      </c>
      <c r="C12403" s="17" t="s">
        <v>3614</v>
      </c>
      <c r="D12403" s="17" t="s">
        <v>1407</v>
      </c>
      <c r="E12403" s="17" t="s">
        <v>3736</v>
      </c>
      <c r="F12403" s="17"/>
      <c r="G12403" s="18" t="n">
        <v>1.18</v>
      </c>
      <c r="H12403" s="18" t="n">
        <v>0</v>
      </c>
      <c r="I12403" s="18" t="n">
        <f aca="false">((I12402 + G12403) - H12403)</f>
        <v>2616.4</v>
      </c>
      <c r="J12403" s="18" t="n">
        <v>0</v>
      </c>
      <c r="K12403" s="19" t="n">
        <v>0</v>
      </c>
      <c r="L12403" s="17"/>
    </row>
    <row r="12404" s="11" customFormat="true" ht="10.95" hidden="false" customHeight="true" outlineLevel="0" collapsed="false">
      <c r="A12404" s="16" t="n">
        <v>45118</v>
      </c>
      <c r="B12404" s="17" t="s">
        <v>4548</v>
      </c>
      <c r="C12404" s="17" t="s">
        <v>3614</v>
      </c>
      <c r="D12404" s="17" t="s">
        <v>1407</v>
      </c>
      <c r="E12404" s="17" t="s">
        <v>3642</v>
      </c>
      <c r="F12404" s="17"/>
      <c r="G12404" s="18" t="n">
        <v>0.82</v>
      </c>
      <c r="H12404" s="18" t="n">
        <v>0</v>
      </c>
      <c r="I12404" s="18" t="n">
        <f aca="false">((I12403 + G12404) - H12404)</f>
        <v>2617.22</v>
      </c>
      <c r="J12404" s="18" t="n">
        <v>0</v>
      </c>
      <c r="K12404" s="19" t="n">
        <v>0</v>
      </c>
      <c r="L12404" s="17"/>
    </row>
    <row r="12405" s="11" customFormat="true" ht="10.95" hidden="false" customHeight="true" outlineLevel="0" collapsed="false">
      <c r="A12405" s="16" t="n">
        <v>45118</v>
      </c>
      <c r="B12405" s="17" t="s">
        <v>4548</v>
      </c>
      <c r="C12405" s="17" t="s">
        <v>3614</v>
      </c>
      <c r="D12405" s="17" t="s">
        <v>1407</v>
      </c>
      <c r="E12405" s="17" t="s">
        <v>3717</v>
      </c>
      <c r="F12405" s="17"/>
      <c r="G12405" s="18" t="n">
        <v>31.64</v>
      </c>
      <c r="H12405" s="18" t="n">
        <v>0</v>
      </c>
      <c r="I12405" s="18" t="n">
        <f aca="false">((I12404 + G12405) - H12405)</f>
        <v>2648.86</v>
      </c>
      <c r="J12405" s="18" t="n">
        <v>0</v>
      </c>
      <c r="K12405" s="19" t="n">
        <v>0</v>
      </c>
      <c r="L12405" s="17"/>
    </row>
    <row r="12406" s="11" customFormat="true" ht="10.95" hidden="false" customHeight="true" outlineLevel="0" collapsed="false">
      <c r="A12406" s="16" t="n">
        <v>45118</v>
      </c>
      <c r="B12406" s="17" t="s">
        <v>4548</v>
      </c>
      <c r="C12406" s="17" t="s">
        <v>3614</v>
      </c>
      <c r="D12406" s="17" t="s">
        <v>1407</v>
      </c>
      <c r="E12406" s="17" t="s">
        <v>3717</v>
      </c>
      <c r="F12406" s="17"/>
      <c r="G12406" s="18" t="n">
        <v>47.01</v>
      </c>
      <c r="H12406" s="18" t="n">
        <v>0</v>
      </c>
      <c r="I12406" s="18" t="n">
        <f aca="false">((I12405 + G12406) - H12406)</f>
        <v>2695.87</v>
      </c>
      <c r="J12406" s="18" t="n">
        <v>0</v>
      </c>
      <c r="K12406" s="19" t="n">
        <v>0</v>
      </c>
      <c r="L12406" s="17"/>
    </row>
    <row r="12407" s="11" customFormat="true" ht="10.95" hidden="false" customHeight="true" outlineLevel="0" collapsed="false">
      <c r="A12407" s="16" t="n">
        <v>45120</v>
      </c>
      <c r="B12407" s="17" t="s">
        <v>4548</v>
      </c>
      <c r="C12407" s="17" t="s">
        <v>3614</v>
      </c>
      <c r="D12407" s="17" t="s">
        <v>1407</v>
      </c>
      <c r="E12407" s="17" t="s">
        <v>2747</v>
      </c>
      <c r="F12407" s="17"/>
      <c r="G12407" s="18" t="n">
        <v>0.64</v>
      </c>
      <c r="H12407" s="18" t="n">
        <v>0</v>
      </c>
      <c r="I12407" s="18" t="n">
        <f aca="false">((I12406 + G12407) - H12407)</f>
        <v>2696.51</v>
      </c>
      <c r="J12407" s="18" t="n">
        <v>0</v>
      </c>
      <c r="K12407" s="19" t="n">
        <v>0</v>
      </c>
      <c r="L12407" s="17"/>
    </row>
    <row r="12408" s="11" customFormat="true" ht="10.95" hidden="false" customHeight="true" outlineLevel="0" collapsed="false">
      <c r="A12408" s="16" t="n">
        <v>45120</v>
      </c>
      <c r="B12408" s="17" t="s">
        <v>4548</v>
      </c>
      <c r="C12408" s="17" t="s">
        <v>3614</v>
      </c>
      <c r="D12408" s="17" t="s">
        <v>1407</v>
      </c>
      <c r="E12408" s="17" t="s">
        <v>3647</v>
      </c>
      <c r="F12408" s="17" t="s">
        <v>1409</v>
      </c>
      <c r="G12408" s="18" t="n">
        <v>123.64</v>
      </c>
      <c r="H12408" s="18" t="n">
        <v>0</v>
      </c>
      <c r="I12408" s="18" t="n">
        <f aca="false">((I12407 + G12408) - H12408)</f>
        <v>2820.15</v>
      </c>
      <c r="J12408" s="18" t="n">
        <v>0</v>
      </c>
      <c r="K12408" s="19" t="n">
        <v>0</v>
      </c>
      <c r="L12408" s="17"/>
    </row>
    <row r="12409" s="11" customFormat="true" ht="10.95" hidden="false" customHeight="true" outlineLevel="0" collapsed="false">
      <c r="A12409" s="16" t="n">
        <v>45121</v>
      </c>
      <c r="B12409" s="17" t="s">
        <v>4548</v>
      </c>
      <c r="C12409" s="17" t="s">
        <v>3614</v>
      </c>
      <c r="D12409" s="17" t="s">
        <v>1407</v>
      </c>
      <c r="E12409" s="17" t="s">
        <v>2747</v>
      </c>
      <c r="F12409" s="17"/>
      <c r="G12409" s="18" t="n">
        <v>0.64</v>
      </c>
      <c r="H12409" s="18" t="n">
        <v>0</v>
      </c>
      <c r="I12409" s="18" t="n">
        <f aca="false">((I12408 + G12409) - H12409)</f>
        <v>2820.79</v>
      </c>
      <c r="J12409" s="18" t="n">
        <v>0</v>
      </c>
      <c r="K12409" s="19" t="n">
        <v>0</v>
      </c>
      <c r="L12409" s="17"/>
    </row>
    <row r="12410" s="11" customFormat="true" ht="10.95" hidden="false" customHeight="true" outlineLevel="0" collapsed="false">
      <c r="A12410" s="16" t="n">
        <v>45121</v>
      </c>
      <c r="B12410" s="17" t="s">
        <v>4548</v>
      </c>
      <c r="C12410" s="17" t="s">
        <v>3614</v>
      </c>
      <c r="D12410" s="17" t="s">
        <v>1391</v>
      </c>
      <c r="E12410" s="17" t="s">
        <v>3641</v>
      </c>
      <c r="F12410" s="17" t="s">
        <v>2632</v>
      </c>
      <c r="G12410" s="18" t="n">
        <v>16.71</v>
      </c>
      <c r="H12410" s="18" t="n">
        <v>0</v>
      </c>
      <c r="I12410" s="18" t="n">
        <f aca="false">((I12409 + G12410) - H12410)</f>
        <v>2837.5</v>
      </c>
      <c r="J12410" s="18" t="n">
        <v>0</v>
      </c>
      <c r="K12410" s="19" t="n">
        <v>0</v>
      </c>
      <c r="L12410" s="17"/>
    </row>
    <row r="12411" s="11" customFormat="true" ht="10.95" hidden="false" customHeight="true" outlineLevel="0" collapsed="false">
      <c r="A12411" s="16" t="n">
        <v>45122</v>
      </c>
      <c r="B12411" s="17" t="s">
        <v>4548</v>
      </c>
      <c r="C12411" s="17" t="s">
        <v>3614</v>
      </c>
      <c r="D12411" s="17" t="s">
        <v>1407</v>
      </c>
      <c r="E12411" s="17" t="s">
        <v>3899</v>
      </c>
      <c r="F12411" s="17"/>
      <c r="G12411" s="18" t="n">
        <v>1.45</v>
      </c>
      <c r="H12411" s="18" t="n">
        <v>0</v>
      </c>
      <c r="I12411" s="18" t="n">
        <f aca="false">((I12410 + G12411) - H12411)</f>
        <v>2838.95</v>
      </c>
      <c r="J12411" s="18" t="n">
        <v>0</v>
      </c>
      <c r="K12411" s="19" t="n">
        <v>0</v>
      </c>
      <c r="L12411" s="17"/>
    </row>
    <row r="12412" s="11" customFormat="true" ht="10.95" hidden="false" customHeight="true" outlineLevel="0" collapsed="false">
      <c r="A12412" s="16" t="n">
        <v>45122</v>
      </c>
      <c r="B12412" s="17" t="s">
        <v>4548</v>
      </c>
      <c r="C12412" s="17" t="s">
        <v>3614</v>
      </c>
      <c r="D12412" s="17" t="s">
        <v>1407</v>
      </c>
      <c r="E12412" s="17" t="s">
        <v>3900</v>
      </c>
      <c r="F12412" s="17"/>
      <c r="G12412" s="18" t="n">
        <v>1.36</v>
      </c>
      <c r="H12412" s="18" t="n">
        <v>0</v>
      </c>
      <c r="I12412" s="18" t="n">
        <f aca="false">((I12411 + G12412) - H12412)</f>
        <v>2840.31</v>
      </c>
      <c r="J12412" s="18" t="n">
        <v>0</v>
      </c>
      <c r="K12412" s="19" t="n">
        <v>0</v>
      </c>
      <c r="L12412" s="17"/>
    </row>
    <row r="12413" s="11" customFormat="true" ht="10.95" hidden="false" customHeight="true" outlineLevel="0" collapsed="false">
      <c r="A12413" s="16" t="n">
        <v>45124</v>
      </c>
      <c r="B12413" s="17" t="s">
        <v>4548</v>
      </c>
      <c r="C12413" s="17" t="s">
        <v>3614</v>
      </c>
      <c r="D12413" s="17" t="s">
        <v>1391</v>
      </c>
      <c r="E12413" s="17" t="s">
        <v>3638</v>
      </c>
      <c r="F12413" s="17" t="s">
        <v>3187</v>
      </c>
      <c r="G12413" s="18" t="n">
        <v>19.9</v>
      </c>
      <c r="H12413" s="18" t="n">
        <v>0</v>
      </c>
      <c r="I12413" s="18" t="n">
        <f aca="false">((I12412 + G12413) - H12413)</f>
        <v>2860.21</v>
      </c>
      <c r="J12413" s="18" t="n">
        <v>0</v>
      </c>
      <c r="K12413" s="19" t="n">
        <v>0</v>
      </c>
      <c r="L12413" s="17"/>
    </row>
    <row r="12414" s="11" customFormat="true" ht="10.95" hidden="false" customHeight="true" outlineLevel="0" collapsed="false">
      <c r="A12414" s="16" t="n">
        <v>45125</v>
      </c>
      <c r="B12414" s="17" t="s">
        <v>4548</v>
      </c>
      <c r="C12414" s="17" t="s">
        <v>3614</v>
      </c>
      <c r="D12414" s="17" t="s">
        <v>1391</v>
      </c>
      <c r="E12414" s="17" t="s">
        <v>3642</v>
      </c>
      <c r="F12414" s="17" t="s">
        <v>2219</v>
      </c>
      <c r="G12414" s="18" t="n">
        <v>6.2</v>
      </c>
      <c r="H12414" s="18" t="n">
        <v>0</v>
      </c>
      <c r="I12414" s="18" t="n">
        <f aca="false">((I12413 + G12414) - H12414)</f>
        <v>2866.41</v>
      </c>
      <c r="J12414" s="18" t="n">
        <v>0</v>
      </c>
      <c r="K12414" s="19" t="n">
        <v>0</v>
      </c>
      <c r="L12414" s="17"/>
    </row>
    <row r="12415" s="11" customFormat="true" ht="10.95" hidden="false" customHeight="true" outlineLevel="0" collapsed="false">
      <c r="A12415" s="16" t="n">
        <v>45125</v>
      </c>
      <c r="B12415" s="17" t="s">
        <v>4548</v>
      </c>
      <c r="C12415" s="17" t="s">
        <v>3614</v>
      </c>
      <c r="D12415" s="17" t="s">
        <v>1391</v>
      </c>
      <c r="E12415" s="17" t="s">
        <v>3642</v>
      </c>
      <c r="F12415" s="17" t="s">
        <v>2221</v>
      </c>
      <c r="G12415" s="18" t="n">
        <v>19.98</v>
      </c>
      <c r="H12415" s="18" t="n">
        <v>0</v>
      </c>
      <c r="I12415" s="18" t="n">
        <f aca="false">((I12414 + G12415) - H12415)</f>
        <v>2886.39</v>
      </c>
      <c r="J12415" s="18" t="n">
        <v>0</v>
      </c>
      <c r="K12415" s="19" t="n">
        <v>0</v>
      </c>
      <c r="L12415" s="17"/>
    </row>
    <row r="12416" s="11" customFormat="true" ht="10.95" hidden="false" customHeight="true" outlineLevel="0" collapsed="false">
      <c r="A12416" s="16" t="n">
        <v>45125</v>
      </c>
      <c r="B12416" s="17" t="s">
        <v>4548</v>
      </c>
      <c r="C12416" s="17" t="s">
        <v>3614</v>
      </c>
      <c r="D12416" s="17" t="s">
        <v>1391</v>
      </c>
      <c r="E12416" s="17" t="s">
        <v>3642</v>
      </c>
      <c r="F12416" s="17" t="s">
        <v>2223</v>
      </c>
      <c r="G12416" s="18" t="n">
        <v>4.12</v>
      </c>
      <c r="H12416" s="18" t="n">
        <v>0</v>
      </c>
      <c r="I12416" s="18" t="n">
        <f aca="false">((I12415 + G12416) - H12416)</f>
        <v>2890.51</v>
      </c>
      <c r="J12416" s="18" t="n">
        <v>0</v>
      </c>
      <c r="K12416" s="19" t="n">
        <v>0</v>
      </c>
      <c r="L12416" s="17"/>
    </row>
    <row r="12417" s="11" customFormat="true" ht="10.95" hidden="false" customHeight="true" outlineLevel="0" collapsed="false">
      <c r="A12417" s="16" t="n">
        <v>45125</v>
      </c>
      <c r="B12417" s="17" t="s">
        <v>4548</v>
      </c>
      <c r="C12417" s="17" t="s">
        <v>3614</v>
      </c>
      <c r="D12417" s="17" t="s">
        <v>1391</v>
      </c>
      <c r="E12417" s="17" t="s">
        <v>3642</v>
      </c>
      <c r="F12417" s="17" t="s">
        <v>2225</v>
      </c>
      <c r="G12417" s="18" t="n">
        <v>3.02</v>
      </c>
      <c r="H12417" s="18" t="n">
        <v>0</v>
      </c>
      <c r="I12417" s="18" t="n">
        <f aca="false">((I12416 + G12417) - H12417)</f>
        <v>2893.53</v>
      </c>
      <c r="J12417" s="18" t="n">
        <v>0</v>
      </c>
      <c r="K12417" s="19" t="n">
        <v>0</v>
      </c>
      <c r="L12417" s="17"/>
    </row>
    <row r="12418" s="11" customFormat="true" ht="10.95" hidden="false" customHeight="true" outlineLevel="0" collapsed="false">
      <c r="A12418" s="16" t="n">
        <v>45125</v>
      </c>
      <c r="B12418" s="17" t="s">
        <v>4548</v>
      </c>
      <c r="C12418" s="17" t="s">
        <v>3614</v>
      </c>
      <c r="D12418" s="17" t="s">
        <v>1391</v>
      </c>
      <c r="E12418" s="17" t="s">
        <v>3642</v>
      </c>
      <c r="F12418" s="17" t="s">
        <v>2227</v>
      </c>
      <c r="G12418" s="18" t="n">
        <v>6.96</v>
      </c>
      <c r="H12418" s="18" t="n">
        <v>0</v>
      </c>
      <c r="I12418" s="18" t="n">
        <f aca="false">((I12417 + G12418) - H12418)</f>
        <v>2900.49</v>
      </c>
      <c r="J12418" s="18" t="n">
        <v>0</v>
      </c>
      <c r="K12418" s="19" t="n">
        <v>0</v>
      </c>
      <c r="L12418" s="17"/>
    </row>
    <row r="12419" s="11" customFormat="true" ht="10.95" hidden="false" customHeight="true" outlineLevel="0" collapsed="false">
      <c r="A12419" s="16" t="n">
        <v>45125</v>
      </c>
      <c r="B12419" s="17" t="s">
        <v>4548</v>
      </c>
      <c r="C12419" s="17" t="s">
        <v>3614</v>
      </c>
      <c r="D12419" s="17" t="s">
        <v>1391</v>
      </c>
      <c r="E12419" s="17" t="s">
        <v>3642</v>
      </c>
      <c r="F12419" s="17" t="s">
        <v>2229</v>
      </c>
      <c r="G12419" s="18" t="n">
        <v>2.2</v>
      </c>
      <c r="H12419" s="18" t="n">
        <v>0</v>
      </c>
      <c r="I12419" s="18" t="n">
        <f aca="false">((I12418 + G12419) - H12419)</f>
        <v>2902.69</v>
      </c>
      <c r="J12419" s="18" t="n">
        <v>0</v>
      </c>
      <c r="K12419" s="19" t="n">
        <v>0</v>
      </c>
      <c r="L12419" s="17"/>
    </row>
    <row r="12420" s="11" customFormat="true" ht="10.95" hidden="false" customHeight="true" outlineLevel="0" collapsed="false">
      <c r="A12420" s="16" t="n">
        <v>45125</v>
      </c>
      <c r="B12420" s="17" t="s">
        <v>4548</v>
      </c>
      <c r="C12420" s="17" t="s">
        <v>3614</v>
      </c>
      <c r="D12420" s="17" t="s">
        <v>1391</v>
      </c>
      <c r="E12420" s="17" t="s">
        <v>3642</v>
      </c>
      <c r="F12420" s="17" t="s">
        <v>2231</v>
      </c>
      <c r="G12420" s="18" t="n">
        <v>0.82</v>
      </c>
      <c r="H12420" s="18" t="n">
        <v>0</v>
      </c>
      <c r="I12420" s="18" t="n">
        <f aca="false">((I12419 + G12420) - H12420)</f>
        <v>2903.51</v>
      </c>
      <c r="J12420" s="18" t="n">
        <v>0</v>
      </c>
      <c r="K12420" s="19" t="n">
        <v>0</v>
      </c>
      <c r="L12420" s="17"/>
    </row>
    <row r="12421" s="11" customFormat="true" ht="10.95" hidden="false" customHeight="true" outlineLevel="0" collapsed="false">
      <c r="A12421" s="16" t="n">
        <v>45125</v>
      </c>
      <c r="B12421" s="17" t="s">
        <v>4548</v>
      </c>
      <c r="C12421" s="17" t="s">
        <v>3614</v>
      </c>
      <c r="D12421" s="17" t="s">
        <v>1391</v>
      </c>
      <c r="E12421" s="17" t="s">
        <v>3642</v>
      </c>
      <c r="F12421" s="17" t="s">
        <v>2233</v>
      </c>
      <c r="G12421" s="18" t="n">
        <v>5.5</v>
      </c>
      <c r="H12421" s="18" t="n">
        <v>0</v>
      </c>
      <c r="I12421" s="18" t="n">
        <f aca="false">((I12420 + G12421) - H12421)</f>
        <v>2909.01</v>
      </c>
      <c r="J12421" s="18" t="n">
        <v>0</v>
      </c>
      <c r="K12421" s="19" t="n">
        <v>0</v>
      </c>
      <c r="L12421" s="17"/>
    </row>
    <row r="12422" s="11" customFormat="true" ht="10.95" hidden="false" customHeight="true" outlineLevel="0" collapsed="false">
      <c r="A12422" s="16" t="n">
        <v>45125</v>
      </c>
      <c r="B12422" s="17" t="s">
        <v>4548</v>
      </c>
      <c r="C12422" s="17" t="s">
        <v>3614</v>
      </c>
      <c r="D12422" s="17" t="s">
        <v>1407</v>
      </c>
      <c r="E12422" s="17" t="s">
        <v>3901</v>
      </c>
      <c r="F12422" s="17"/>
      <c r="G12422" s="18" t="n">
        <v>7.17</v>
      </c>
      <c r="H12422" s="18" t="n">
        <v>0</v>
      </c>
      <c r="I12422" s="18" t="n">
        <f aca="false">((I12421 + G12422) - H12422)</f>
        <v>2916.18</v>
      </c>
      <c r="J12422" s="18" t="n">
        <v>0</v>
      </c>
      <c r="K12422" s="19" t="n">
        <v>0</v>
      </c>
      <c r="L12422" s="17"/>
    </row>
    <row r="12423" s="11" customFormat="true" ht="10.95" hidden="false" customHeight="true" outlineLevel="0" collapsed="false">
      <c r="A12423" s="16" t="n">
        <v>45125</v>
      </c>
      <c r="B12423" s="17" t="s">
        <v>4548</v>
      </c>
      <c r="C12423" s="17" t="s">
        <v>3614</v>
      </c>
      <c r="D12423" s="17" t="s">
        <v>1407</v>
      </c>
      <c r="E12423" s="17" t="s">
        <v>3902</v>
      </c>
      <c r="F12423" s="17"/>
      <c r="G12423" s="18" t="n">
        <v>24.77</v>
      </c>
      <c r="H12423" s="18" t="n">
        <v>0</v>
      </c>
      <c r="I12423" s="18" t="n">
        <f aca="false">((I12422 + G12423) - H12423)</f>
        <v>2940.95</v>
      </c>
      <c r="J12423" s="18" t="n">
        <v>0</v>
      </c>
      <c r="K12423" s="19" t="n">
        <v>0</v>
      </c>
      <c r="L12423" s="17"/>
    </row>
    <row r="12424" s="11" customFormat="true" ht="10.95" hidden="false" customHeight="true" outlineLevel="0" collapsed="false">
      <c r="A12424" s="16" t="n">
        <v>45125</v>
      </c>
      <c r="B12424" s="17" t="s">
        <v>4548</v>
      </c>
      <c r="C12424" s="17" t="s">
        <v>3614</v>
      </c>
      <c r="D12424" s="17" t="s">
        <v>1407</v>
      </c>
      <c r="E12424" s="17" t="s">
        <v>3882</v>
      </c>
      <c r="F12424" s="17"/>
      <c r="G12424" s="18" t="n">
        <v>4.72</v>
      </c>
      <c r="H12424" s="18" t="n">
        <v>0</v>
      </c>
      <c r="I12424" s="18" t="n">
        <f aca="false">((I12423 + G12424) - H12424)</f>
        <v>2945.67</v>
      </c>
      <c r="J12424" s="18" t="n">
        <v>0</v>
      </c>
      <c r="K12424" s="19" t="n">
        <v>0</v>
      </c>
      <c r="L12424" s="17"/>
    </row>
    <row r="12425" s="11" customFormat="true" ht="10.95" hidden="false" customHeight="true" outlineLevel="0" collapsed="false">
      <c r="A12425" s="16" t="n">
        <v>45126</v>
      </c>
      <c r="B12425" s="17" t="s">
        <v>4548</v>
      </c>
      <c r="C12425" s="17" t="s">
        <v>3614</v>
      </c>
      <c r="D12425" s="17" t="s">
        <v>1407</v>
      </c>
      <c r="E12425" s="17" t="s">
        <v>3903</v>
      </c>
      <c r="F12425" s="17"/>
      <c r="G12425" s="18" t="n">
        <v>172</v>
      </c>
      <c r="H12425" s="18" t="n">
        <v>0</v>
      </c>
      <c r="I12425" s="18" t="n">
        <f aca="false">((I12424 + G12425) - H12425)</f>
        <v>3117.67</v>
      </c>
      <c r="J12425" s="18" t="n">
        <v>0</v>
      </c>
      <c r="K12425" s="19" t="n">
        <v>0</v>
      </c>
      <c r="L12425" s="17"/>
    </row>
    <row r="12426" s="11" customFormat="true" ht="10.95" hidden="false" customHeight="true" outlineLevel="0" collapsed="false">
      <c r="A12426" s="16" t="n">
        <v>45126</v>
      </c>
      <c r="B12426" s="17" t="s">
        <v>4548</v>
      </c>
      <c r="C12426" s="17" t="s">
        <v>3614</v>
      </c>
      <c r="D12426" s="17" t="s">
        <v>1407</v>
      </c>
      <c r="E12426" s="17" t="s">
        <v>3904</v>
      </c>
      <c r="F12426" s="17"/>
      <c r="G12426" s="18" t="n">
        <v>8.09</v>
      </c>
      <c r="H12426" s="18" t="n">
        <v>0</v>
      </c>
      <c r="I12426" s="18" t="n">
        <f aca="false">((I12425 + G12426) - H12426)</f>
        <v>3125.76</v>
      </c>
      <c r="J12426" s="18" t="n">
        <v>0</v>
      </c>
      <c r="K12426" s="19" t="n">
        <v>0</v>
      </c>
      <c r="L12426" s="17"/>
    </row>
    <row r="12427" s="11" customFormat="true" ht="10.95" hidden="false" customHeight="true" outlineLevel="0" collapsed="false">
      <c r="A12427" s="16" t="n">
        <v>45127</v>
      </c>
      <c r="B12427" s="17" t="s">
        <v>4548</v>
      </c>
      <c r="C12427" s="17" t="s">
        <v>3614</v>
      </c>
      <c r="D12427" s="17" t="s">
        <v>1407</v>
      </c>
      <c r="E12427" s="17" t="s">
        <v>2747</v>
      </c>
      <c r="F12427" s="17"/>
      <c r="G12427" s="18" t="n">
        <v>0.64</v>
      </c>
      <c r="H12427" s="18" t="n">
        <v>0</v>
      </c>
      <c r="I12427" s="18" t="n">
        <f aca="false">((I12426 + G12427) - H12427)</f>
        <v>3126.4</v>
      </c>
      <c r="J12427" s="18" t="n">
        <v>0</v>
      </c>
      <c r="K12427" s="19" t="n">
        <v>0</v>
      </c>
      <c r="L12427" s="17"/>
    </row>
    <row r="12428" s="11" customFormat="true" ht="10.95" hidden="false" customHeight="true" outlineLevel="0" collapsed="false">
      <c r="A12428" s="16" t="n">
        <v>45128</v>
      </c>
      <c r="B12428" s="17" t="s">
        <v>4548</v>
      </c>
      <c r="C12428" s="17" t="s">
        <v>3614</v>
      </c>
      <c r="D12428" s="17" t="s">
        <v>1407</v>
      </c>
      <c r="E12428" s="17" t="s">
        <v>2747</v>
      </c>
      <c r="F12428" s="17"/>
      <c r="G12428" s="18" t="n">
        <v>0.64</v>
      </c>
      <c r="H12428" s="18" t="n">
        <v>0</v>
      </c>
      <c r="I12428" s="18" t="n">
        <f aca="false">((I12427 + G12428) - H12428)</f>
        <v>3127.04</v>
      </c>
      <c r="J12428" s="18" t="n">
        <v>0</v>
      </c>
      <c r="K12428" s="19" t="n">
        <v>0</v>
      </c>
      <c r="L12428" s="17"/>
    </row>
    <row r="12429" s="11" customFormat="true" ht="10.95" hidden="false" customHeight="true" outlineLevel="0" collapsed="false">
      <c r="A12429" s="16" t="n">
        <v>45128</v>
      </c>
      <c r="B12429" s="17" t="s">
        <v>4548</v>
      </c>
      <c r="C12429" s="17" t="s">
        <v>3614</v>
      </c>
      <c r="D12429" s="17" t="s">
        <v>1407</v>
      </c>
      <c r="E12429" s="17" t="s">
        <v>3907</v>
      </c>
      <c r="F12429" s="17"/>
      <c r="G12429" s="18" t="n">
        <v>5.36</v>
      </c>
      <c r="H12429" s="18" t="n">
        <v>0</v>
      </c>
      <c r="I12429" s="18" t="n">
        <f aca="false">((I12428 + G12429) - H12429)</f>
        <v>3132.4</v>
      </c>
      <c r="J12429" s="18" t="n">
        <v>0</v>
      </c>
      <c r="K12429" s="19" t="n">
        <v>0</v>
      </c>
      <c r="L12429" s="17"/>
    </row>
    <row r="12430" s="11" customFormat="true" ht="10.95" hidden="false" customHeight="true" outlineLevel="0" collapsed="false">
      <c r="A12430" s="16" t="n">
        <v>45128</v>
      </c>
      <c r="B12430" s="17" t="s">
        <v>4548</v>
      </c>
      <c r="C12430" s="17" t="s">
        <v>3614</v>
      </c>
      <c r="D12430" s="17" t="s">
        <v>1407</v>
      </c>
      <c r="E12430" s="17" t="s">
        <v>3708</v>
      </c>
      <c r="F12430" s="17"/>
      <c r="G12430" s="18" t="n">
        <v>54</v>
      </c>
      <c r="H12430" s="18" t="n">
        <v>0</v>
      </c>
      <c r="I12430" s="18" t="n">
        <f aca="false">((I12429 + G12430) - H12430)</f>
        <v>3186.4</v>
      </c>
      <c r="J12430" s="18" t="n">
        <v>0</v>
      </c>
      <c r="K12430" s="19" t="n">
        <v>0</v>
      </c>
      <c r="L12430" s="17"/>
    </row>
    <row r="12431" s="11" customFormat="true" ht="10.95" hidden="false" customHeight="true" outlineLevel="0" collapsed="false">
      <c r="A12431" s="16" t="n">
        <v>45129</v>
      </c>
      <c r="B12431" s="17" t="s">
        <v>4548</v>
      </c>
      <c r="C12431" s="17" t="s">
        <v>3614</v>
      </c>
      <c r="D12431" s="17" t="s">
        <v>1391</v>
      </c>
      <c r="E12431" s="17" t="s">
        <v>3638</v>
      </c>
      <c r="F12431" s="17" t="s">
        <v>3248</v>
      </c>
      <c r="G12431" s="18" t="n">
        <v>264.1</v>
      </c>
      <c r="H12431" s="18" t="n">
        <v>0</v>
      </c>
      <c r="I12431" s="18" t="n">
        <f aca="false">((I12430 + G12431) - H12431)</f>
        <v>3450.5</v>
      </c>
      <c r="J12431" s="18" t="n">
        <v>0</v>
      </c>
      <c r="K12431" s="19" t="n">
        <v>0</v>
      </c>
      <c r="L12431" s="17"/>
    </row>
    <row r="12432" s="11" customFormat="true" ht="10.95" hidden="false" customHeight="true" outlineLevel="0" collapsed="false">
      <c r="A12432" s="16" t="n">
        <v>45130</v>
      </c>
      <c r="B12432" s="17" t="s">
        <v>4548</v>
      </c>
      <c r="C12432" s="17" t="s">
        <v>3614</v>
      </c>
      <c r="D12432" s="17" t="s">
        <v>1407</v>
      </c>
      <c r="E12432" s="17" t="s">
        <v>3804</v>
      </c>
      <c r="F12432" s="17"/>
      <c r="G12432" s="18" t="n">
        <v>3.64</v>
      </c>
      <c r="H12432" s="18" t="n">
        <v>0</v>
      </c>
      <c r="I12432" s="18" t="n">
        <f aca="false">((I12431 + G12432) - H12432)</f>
        <v>3454.14</v>
      </c>
      <c r="J12432" s="18" t="n">
        <v>0</v>
      </c>
      <c r="K12432" s="19" t="n">
        <v>0</v>
      </c>
      <c r="L12432" s="17"/>
    </row>
    <row r="12433" s="11" customFormat="true" ht="10.95" hidden="false" customHeight="true" outlineLevel="0" collapsed="false">
      <c r="A12433" s="16" t="n">
        <v>45132</v>
      </c>
      <c r="B12433" s="17" t="s">
        <v>4548</v>
      </c>
      <c r="C12433" s="17" t="s">
        <v>3614</v>
      </c>
      <c r="D12433" s="17" t="s">
        <v>19</v>
      </c>
      <c r="E12433" s="17" t="s">
        <v>3424</v>
      </c>
      <c r="F12433" s="17" t="s">
        <v>21</v>
      </c>
      <c r="G12433" s="18" t="n">
        <v>0</v>
      </c>
      <c r="H12433" s="18" t="n">
        <v>37.6</v>
      </c>
      <c r="I12433" s="18" t="n">
        <f aca="false">((I12432 + G12433) - H12433)</f>
        <v>3416.54</v>
      </c>
      <c r="J12433" s="18" t="n">
        <v>0</v>
      </c>
      <c r="K12433" s="19" t="n">
        <v>0</v>
      </c>
      <c r="L12433" s="17"/>
    </row>
    <row r="12434" s="11" customFormat="true" ht="10.95" hidden="false" customHeight="true" outlineLevel="0" collapsed="false">
      <c r="A12434" s="16" t="n">
        <v>45132</v>
      </c>
      <c r="B12434" s="17" t="s">
        <v>4548</v>
      </c>
      <c r="C12434" s="17" t="s">
        <v>3614</v>
      </c>
      <c r="D12434" s="17" t="s">
        <v>19</v>
      </c>
      <c r="E12434" s="17" t="s">
        <v>3426</v>
      </c>
      <c r="F12434" s="17" t="s">
        <v>24</v>
      </c>
      <c r="G12434" s="18" t="n">
        <v>0</v>
      </c>
      <c r="H12434" s="18" t="n">
        <v>126</v>
      </c>
      <c r="I12434" s="18" t="n">
        <f aca="false">((I12433 + G12434) - H12434)</f>
        <v>3290.54</v>
      </c>
      <c r="J12434" s="18" t="n">
        <v>0</v>
      </c>
      <c r="K12434" s="19" t="n">
        <v>0</v>
      </c>
      <c r="L12434" s="17"/>
    </row>
    <row r="12435" s="11" customFormat="true" ht="10.95" hidden="false" customHeight="true" outlineLevel="0" collapsed="false">
      <c r="A12435" s="16" t="n">
        <v>45132</v>
      </c>
      <c r="B12435" s="17" t="s">
        <v>4548</v>
      </c>
      <c r="C12435" s="17" t="s">
        <v>3614</v>
      </c>
      <c r="D12435" s="17" t="s">
        <v>19</v>
      </c>
      <c r="E12435" s="17" t="s">
        <v>3427</v>
      </c>
      <c r="F12435" s="17" t="s">
        <v>27</v>
      </c>
      <c r="G12435" s="18" t="n">
        <v>0</v>
      </c>
      <c r="H12435" s="18" t="n">
        <v>51</v>
      </c>
      <c r="I12435" s="18" t="n">
        <f aca="false">((I12434 + G12435) - H12435)</f>
        <v>3239.54</v>
      </c>
      <c r="J12435" s="18" t="n">
        <v>0</v>
      </c>
      <c r="K12435" s="19" t="n">
        <v>0</v>
      </c>
      <c r="L12435" s="17"/>
    </row>
    <row r="12436" s="11" customFormat="true" ht="10.95" hidden="false" customHeight="true" outlineLevel="0" collapsed="false">
      <c r="A12436" s="16" t="n">
        <v>45132</v>
      </c>
      <c r="B12436" s="17" t="s">
        <v>4548</v>
      </c>
      <c r="C12436" s="17" t="s">
        <v>3614</v>
      </c>
      <c r="D12436" s="17" t="s">
        <v>19</v>
      </c>
      <c r="E12436" s="17" t="s">
        <v>3428</v>
      </c>
      <c r="F12436" s="17" t="s">
        <v>29</v>
      </c>
      <c r="G12436" s="18" t="n">
        <v>0</v>
      </c>
      <c r="H12436" s="18" t="n">
        <v>83.6</v>
      </c>
      <c r="I12436" s="18" t="n">
        <f aca="false">((I12435 + G12436) - H12436)</f>
        <v>3155.94</v>
      </c>
      <c r="J12436" s="18" t="n">
        <v>0</v>
      </c>
      <c r="K12436" s="19" t="n">
        <v>0</v>
      </c>
      <c r="L12436" s="17"/>
    </row>
    <row r="12437" s="11" customFormat="true" ht="10.95" hidden="false" customHeight="true" outlineLevel="0" collapsed="false">
      <c r="A12437" s="16" t="n">
        <v>45132</v>
      </c>
      <c r="B12437" s="17" t="s">
        <v>4548</v>
      </c>
      <c r="C12437" s="17" t="s">
        <v>3614</v>
      </c>
      <c r="D12437" s="17" t="s">
        <v>19</v>
      </c>
      <c r="E12437" s="17" t="s">
        <v>3429</v>
      </c>
      <c r="F12437" s="17" t="s">
        <v>31</v>
      </c>
      <c r="G12437" s="18" t="n">
        <v>0</v>
      </c>
      <c r="H12437" s="18" t="n">
        <v>8.5</v>
      </c>
      <c r="I12437" s="18" t="n">
        <f aca="false">((I12436 + G12437) - H12437)</f>
        <v>3147.44</v>
      </c>
      <c r="J12437" s="18" t="n">
        <v>0</v>
      </c>
      <c r="K12437" s="19" t="n">
        <v>0</v>
      </c>
      <c r="L12437" s="17"/>
    </row>
    <row r="12438" s="11" customFormat="true" ht="10.95" hidden="false" customHeight="true" outlineLevel="0" collapsed="false">
      <c r="A12438" s="16" t="n">
        <v>45132</v>
      </c>
      <c r="B12438" s="17" t="s">
        <v>4548</v>
      </c>
      <c r="C12438" s="17" t="s">
        <v>3614</v>
      </c>
      <c r="D12438" s="17" t="s">
        <v>19</v>
      </c>
      <c r="E12438" s="17" t="s">
        <v>3431</v>
      </c>
      <c r="F12438" s="17" t="s">
        <v>33</v>
      </c>
      <c r="G12438" s="18" t="n">
        <v>0</v>
      </c>
      <c r="H12438" s="18" t="n">
        <v>32.5</v>
      </c>
      <c r="I12438" s="18" t="n">
        <f aca="false">((I12437 + G12438) - H12438)</f>
        <v>3114.94</v>
      </c>
      <c r="J12438" s="18" t="n">
        <v>0</v>
      </c>
      <c r="K12438" s="19" t="n">
        <v>0</v>
      </c>
      <c r="L12438" s="17"/>
    </row>
    <row r="12439" s="11" customFormat="true" ht="10.95" hidden="false" customHeight="true" outlineLevel="0" collapsed="false">
      <c r="A12439" s="16" t="n">
        <v>45132</v>
      </c>
      <c r="B12439" s="17" t="s">
        <v>4548</v>
      </c>
      <c r="C12439" s="17" t="s">
        <v>3614</v>
      </c>
      <c r="D12439" s="17" t="s">
        <v>19</v>
      </c>
      <c r="E12439" s="17" t="s">
        <v>3432</v>
      </c>
      <c r="F12439" s="17" t="s">
        <v>37</v>
      </c>
      <c r="G12439" s="18" t="n">
        <v>0</v>
      </c>
      <c r="H12439" s="18" t="n">
        <v>99.5</v>
      </c>
      <c r="I12439" s="18" t="n">
        <f aca="false">((I12438 + G12439) - H12439)</f>
        <v>3015.44</v>
      </c>
      <c r="J12439" s="18" t="n">
        <v>0</v>
      </c>
      <c r="K12439" s="19" t="n">
        <v>0</v>
      </c>
      <c r="L12439" s="17"/>
    </row>
    <row r="12440" s="11" customFormat="true" ht="10.95" hidden="false" customHeight="true" outlineLevel="0" collapsed="false">
      <c r="A12440" s="16" t="n">
        <v>45132</v>
      </c>
      <c r="B12440" s="17" t="s">
        <v>4548</v>
      </c>
      <c r="C12440" s="17" t="s">
        <v>3614</v>
      </c>
      <c r="D12440" s="17" t="s">
        <v>19</v>
      </c>
      <c r="E12440" s="17" t="s">
        <v>3433</v>
      </c>
      <c r="F12440" s="17" t="s">
        <v>41</v>
      </c>
      <c r="G12440" s="18" t="n">
        <v>0</v>
      </c>
      <c r="H12440" s="18" t="n">
        <v>382.5</v>
      </c>
      <c r="I12440" s="18" t="n">
        <f aca="false">((I12439 + G12440) - H12440)</f>
        <v>2632.94</v>
      </c>
      <c r="J12440" s="18" t="n">
        <v>0</v>
      </c>
      <c r="K12440" s="19" t="n">
        <v>0</v>
      </c>
      <c r="L12440" s="17"/>
    </row>
    <row r="12441" s="11" customFormat="true" ht="10.95" hidden="false" customHeight="true" outlineLevel="0" collapsed="false">
      <c r="A12441" s="16" t="n">
        <v>45132</v>
      </c>
      <c r="B12441" s="17" t="s">
        <v>4548</v>
      </c>
      <c r="C12441" s="17" t="s">
        <v>3614</v>
      </c>
      <c r="D12441" s="17" t="s">
        <v>19</v>
      </c>
      <c r="E12441" s="17" t="s">
        <v>3433</v>
      </c>
      <c r="F12441" s="17" t="s">
        <v>43</v>
      </c>
      <c r="G12441" s="18" t="n">
        <v>0</v>
      </c>
      <c r="H12441" s="18" t="n">
        <v>380.2</v>
      </c>
      <c r="I12441" s="18" t="n">
        <f aca="false">((I12440 + G12441) - H12441)</f>
        <v>2252.74</v>
      </c>
      <c r="J12441" s="18" t="n">
        <v>0</v>
      </c>
      <c r="K12441" s="19" t="n">
        <v>0</v>
      </c>
      <c r="L12441" s="17"/>
    </row>
    <row r="12442" s="11" customFormat="true" ht="10.95" hidden="false" customHeight="true" outlineLevel="0" collapsed="false">
      <c r="A12442" s="16" t="n">
        <v>45132</v>
      </c>
      <c r="B12442" s="17" t="s">
        <v>4548</v>
      </c>
      <c r="C12442" s="17" t="s">
        <v>3614</v>
      </c>
      <c r="D12442" s="17" t="s">
        <v>19</v>
      </c>
      <c r="E12442" s="17" t="s">
        <v>3434</v>
      </c>
      <c r="F12442" s="17" t="s">
        <v>48</v>
      </c>
      <c r="G12442" s="18" t="n">
        <v>0</v>
      </c>
      <c r="H12442" s="18" t="n">
        <v>36</v>
      </c>
      <c r="I12442" s="18" t="n">
        <f aca="false">((I12441 + G12442) - H12442)</f>
        <v>2216.74</v>
      </c>
      <c r="J12442" s="18" t="n">
        <v>0</v>
      </c>
      <c r="K12442" s="19" t="n">
        <v>0</v>
      </c>
      <c r="L12442" s="17"/>
    </row>
    <row r="12443" s="11" customFormat="true" ht="10.95" hidden="false" customHeight="true" outlineLevel="0" collapsed="false">
      <c r="A12443" s="16" t="n">
        <v>45132</v>
      </c>
      <c r="B12443" s="17" t="s">
        <v>4548</v>
      </c>
      <c r="C12443" s="17" t="s">
        <v>3614</v>
      </c>
      <c r="D12443" s="17" t="s">
        <v>19</v>
      </c>
      <c r="E12443" s="17" t="s">
        <v>3435</v>
      </c>
      <c r="F12443" s="17" t="s">
        <v>51</v>
      </c>
      <c r="G12443" s="18" t="n">
        <v>0</v>
      </c>
      <c r="H12443" s="18" t="n">
        <v>204</v>
      </c>
      <c r="I12443" s="18" t="n">
        <f aca="false">((I12442 + G12443) - H12443)</f>
        <v>2012.74</v>
      </c>
      <c r="J12443" s="18" t="n">
        <v>0</v>
      </c>
      <c r="K12443" s="19" t="n">
        <v>0</v>
      </c>
      <c r="L12443" s="17"/>
    </row>
    <row r="12444" s="11" customFormat="true" ht="10.95" hidden="false" customHeight="true" outlineLevel="0" collapsed="false">
      <c r="A12444" s="16" t="n">
        <v>45132</v>
      </c>
      <c r="B12444" s="17" t="s">
        <v>4548</v>
      </c>
      <c r="C12444" s="17" t="s">
        <v>3614</v>
      </c>
      <c r="D12444" s="17" t="s">
        <v>19</v>
      </c>
      <c r="E12444" s="17" t="s">
        <v>3437</v>
      </c>
      <c r="F12444" s="17" t="s">
        <v>53</v>
      </c>
      <c r="G12444" s="18" t="n">
        <v>0</v>
      </c>
      <c r="H12444" s="18" t="n">
        <v>100.01</v>
      </c>
      <c r="I12444" s="18" t="n">
        <f aca="false">((I12443 + G12444) - H12444)</f>
        <v>1912.73</v>
      </c>
      <c r="J12444" s="18" t="n">
        <v>0</v>
      </c>
      <c r="K12444" s="19" t="n">
        <v>0</v>
      </c>
      <c r="L12444" s="17"/>
    </row>
    <row r="12445" s="11" customFormat="true" ht="10.95" hidden="false" customHeight="true" outlineLevel="0" collapsed="false">
      <c r="A12445" s="16" t="n">
        <v>45132</v>
      </c>
      <c r="B12445" s="17" t="s">
        <v>4548</v>
      </c>
      <c r="C12445" s="17" t="s">
        <v>3614</v>
      </c>
      <c r="D12445" s="17" t="s">
        <v>19</v>
      </c>
      <c r="E12445" s="17" t="s">
        <v>3439</v>
      </c>
      <c r="F12445" s="17" t="s">
        <v>55</v>
      </c>
      <c r="G12445" s="18" t="n">
        <v>0</v>
      </c>
      <c r="H12445" s="18" t="n">
        <v>95.7</v>
      </c>
      <c r="I12445" s="18" t="n">
        <f aca="false">((I12444 + G12445) - H12445)</f>
        <v>1817.03</v>
      </c>
      <c r="J12445" s="18" t="n">
        <v>0</v>
      </c>
      <c r="K12445" s="19" t="n">
        <v>0</v>
      </c>
      <c r="L12445" s="17"/>
    </row>
    <row r="12446" s="11" customFormat="true" ht="10.95" hidden="false" customHeight="true" outlineLevel="0" collapsed="false">
      <c r="A12446" s="16" t="n">
        <v>45132</v>
      </c>
      <c r="B12446" s="17" t="s">
        <v>4548</v>
      </c>
      <c r="C12446" s="17" t="s">
        <v>3614</v>
      </c>
      <c r="D12446" s="17" t="s">
        <v>19</v>
      </c>
      <c r="E12446" s="17" t="s">
        <v>3442</v>
      </c>
      <c r="F12446" s="17" t="s">
        <v>60</v>
      </c>
      <c r="G12446" s="18" t="n">
        <v>0</v>
      </c>
      <c r="H12446" s="18" t="n">
        <v>854</v>
      </c>
      <c r="I12446" s="18" t="n">
        <f aca="false">((I12445 + G12446) - H12446)</f>
        <v>963.029999999999</v>
      </c>
      <c r="J12446" s="18" t="n">
        <v>0</v>
      </c>
      <c r="K12446" s="19" t="n">
        <v>0</v>
      </c>
      <c r="L12446" s="17"/>
    </row>
    <row r="12447" s="11" customFormat="true" ht="10.95" hidden="false" customHeight="true" outlineLevel="0" collapsed="false">
      <c r="A12447" s="16" t="n">
        <v>45132</v>
      </c>
      <c r="B12447" s="17" t="s">
        <v>4548</v>
      </c>
      <c r="C12447" s="17" t="s">
        <v>3614</v>
      </c>
      <c r="D12447" s="17" t="s">
        <v>19</v>
      </c>
      <c r="E12447" s="17" t="s">
        <v>3443</v>
      </c>
      <c r="F12447" s="17" t="s">
        <v>65</v>
      </c>
      <c r="G12447" s="18" t="n">
        <v>0</v>
      </c>
      <c r="H12447" s="18" t="n">
        <v>410</v>
      </c>
      <c r="I12447" s="18" t="n">
        <f aca="false">((I12446 + G12447) - H12447)</f>
        <v>553.029999999999</v>
      </c>
      <c r="J12447" s="18" t="n">
        <v>0</v>
      </c>
      <c r="K12447" s="19" t="n">
        <v>0</v>
      </c>
      <c r="L12447" s="17"/>
    </row>
    <row r="12448" s="11" customFormat="true" ht="10.95" hidden="false" customHeight="true" outlineLevel="0" collapsed="false">
      <c r="A12448" s="16" t="n">
        <v>45132</v>
      </c>
      <c r="B12448" s="17" t="s">
        <v>4548</v>
      </c>
      <c r="C12448" s="17" t="s">
        <v>3614</v>
      </c>
      <c r="D12448" s="17" t="s">
        <v>19</v>
      </c>
      <c r="E12448" s="17" t="s">
        <v>3444</v>
      </c>
      <c r="F12448" s="17" t="s">
        <v>70</v>
      </c>
      <c r="G12448" s="18" t="n">
        <v>0</v>
      </c>
      <c r="H12448" s="18" t="n">
        <v>88</v>
      </c>
      <c r="I12448" s="18" t="n">
        <f aca="false">((I12447 + G12448) - H12448)</f>
        <v>465.029999999999</v>
      </c>
      <c r="J12448" s="18" t="n">
        <v>0</v>
      </c>
      <c r="K12448" s="19" t="n">
        <v>0</v>
      </c>
      <c r="L12448" s="17"/>
    </row>
    <row r="12449" s="11" customFormat="true" ht="10.95" hidden="false" customHeight="true" outlineLevel="0" collapsed="false">
      <c r="A12449" s="16" t="n">
        <v>45132</v>
      </c>
      <c r="B12449" s="17" t="s">
        <v>4548</v>
      </c>
      <c r="C12449" s="17" t="s">
        <v>3614</v>
      </c>
      <c r="D12449" s="17" t="s">
        <v>19</v>
      </c>
      <c r="E12449" s="17" t="s">
        <v>3445</v>
      </c>
      <c r="F12449" s="17" t="s">
        <v>72</v>
      </c>
      <c r="G12449" s="18" t="n">
        <v>0</v>
      </c>
      <c r="H12449" s="18" t="n">
        <v>162.2</v>
      </c>
      <c r="I12449" s="18" t="n">
        <f aca="false">((I12448 + G12449) - H12449)</f>
        <v>302.829999999999</v>
      </c>
      <c r="J12449" s="18" t="n">
        <v>0</v>
      </c>
      <c r="K12449" s="19" t="n">
        <v>0</v>
      </c>
      <c r="L12449" s="17"/>
    </row>
    <row r="12450" s="11" customFormat="true" ht="10.95" hidden="false" customHeight="true" outlineLevel="0" collapsed="false">
      <c r="A12450" s="16" t="n">
        <v>45132</v>
      </c>
      <c r="B12450" s="17" t="s">
        <v>4548</v>
      </c>
      <c r="C12450" s="17" t="s">
        <v>3614</v>
      </c>
      <c r="D12450" s="17" t="s">
        <v>19</v>
      </c>
      <c r="E12450" s="17" t="s">
        <v>3446</v>
      </c>
      <c r="F12450" s="17" t="s">
        <v>75</v>
      </c>
      <c r="G12450" s="18" t="n">
        <v>0</v>
      </c>
      <c r="H12450" s="18" t="n">
        <v>150.4</v>
      </c>
      <c r="I12450" s="18" t="n">
        <f aca="false">((I12449 + G12450) - H12450)</f>
        <v>152.429999999999</v>
      </c>
      <c r="J12450" s="18" t="n">
        <v>0</v>
      </c>
      <c r="K12450" s="19" t="n">
        <v>0</v>
      </c>
      <c r="L12450" s="17"/>
    </row>
    <row r="12451" s="11" customFormat="true" ht="10.95" hidden="false" customHeight="true" outlineLevel="0" collapsed="false">
      <c r="A12451" s="16" t="n">
        <v>45132</v>
      </c>
      <c r="B12451" s="17" t="s">
        <v>4548</v>
      </c>
      <c r="C12451" s="17" t="s">
        <v>3614</v>
      </c>
      <c r="D12451" s="17" t="s">
        <v>19</v>
      </c>
      <c r="E12451" s="17" t="s">
        <v>3447</v>
      </c>
      <c r="F12451" s="17" t="s">
        <v>77</v>
      </c>
      <c r="G12451" s="18" t="n">
        <v>0</v>
      </c>
      <c r="H12451" s="18" t="n">
        <v>75.2</v>
      </c>
      <c r="I12451" s="18" t="n">
        <f aca="false">((I12450 + G12451) - H12451)</f>
        <v>77.2299999999993</v>
      </c>
      <c r="J12451" s="18" t="n">
        <v>0</v>
      </c>
      <c r="K12451" s="19" t="n">
        <v>0</v>
      </c>
      <c r="L12451" s="17"/>
    </row>
    <row r="12452" s="11" customFormat="true" ht="10.95" hidden="false" customHeight="true" outlineLevel="0" collapsed="false">
      <c r="A12452" s="16" t="n">
        <v>45132</v>
      </c>
      <c r="B12452" s="17" t="s">
        <v>4548</v>
      </c>
      <c r="C12452" s="17" t="s">
        <v>3614</v>
      </c>
      <c r="D12452" s="17" t="s">
        <v>19</v>
      </c>
      <c r="E12452" s="17" t="s">
        <v>3447</v>
      </c>
      <c r="F12452" s="17" t="s">
        <v>79</v>
      </c>
      <c r="G12452" s="18" t="n">
        <v>0</v>
      </c>
      <c r="H12452" s="18" t="n">
        <v>58</v>
      </c>
      <c r="I12452" s="18" t="n">
        <f aca="false">((I12451 + G12452) - H12452)</f>
        <v>19.2299999999993</v>
      </c>
      <c r="J12452" s="18" t="n">
        <v>0</v>
      </c>
      <c r="K12452" s="19" t="n">
        <v>0</v>
      </c>
      <c r="L12452" s="17"/>
    </row>
    <row r="12453" s="11" customFormat="true" ht="10.95" hidden="false" customHeight="true" outlineLevel="0" collapsed="false">
      <c r="A12453" s="16" t="n">
        <v>45132</v>
      </c>
      <c r="B12453" s="17" t="s">
        <v>4548</v>
      </c>
      <c r="C12453" s="17" t="s">
        <v>3614</v>
      </c>
      <c r="D12453" s="17" t="s">
        <v>19</v>
      </c>
      <c r="E12453" s="17" t="s">
        <v>3447</v>
      </c>
      <c r="F12453" s="17" t="s">
        <v>81</v>
      </c>
      <c r="G12453" s="18" t="n">
        <v>0</v>
      </c>
      <c r="H12453" s="18" t="n">
        <v>18.8</v>
      </c>
      <c r="I12453" s="18" t="n">
        <f aca="false">((I12452 + G12453) - H12453)</f>
        <v>0.429999999999293</v>
      </c>
      <c r="J12453" s="18" t="n">
        <v>0</v>
      </c>
      <c r="K12453" s="19" t="n">
        <v>0</v>
      </c>
      <c r="L12453" s="17"/>
    </row>
    <row r="12454" s="11" customFormat="true" ht="10.95" hidden="false" customHeight="true" outlineLevel="0" collapsed="false">
      <c r="A12454" s="16" t="n">
        <v>45132</v>
      </c>
      <c r="B12454" s="17" t="s">
        <v>4548</v>
      </c>
      <c r="C12454" s="17" t="s">
        <v>3614</v>
      </c>
      <c r="D12454" s="17" t="s">
        <v>19</v>
      </c>
      <c r="E12454" s="17" t="s">
        <v>3447</v>
      </c>
      <c r="F12454" s="17" t="s">
        <v>82</v>
      </c>
      <c r="G12454" s="18" t="n">
        <v>0</v>
      </c>
      <c r="H12454" s="18" t="n">
        <v>123.75</v>
      </c>
      <c r="I12454" s="18" t="n">
        <f aca="false">((I12453 + G12454) - H12454)</f>
        <v>-123.320000000001</v>
      </c>
      <c r="J12454" s="18" t="n">
        <v>0</v>
      </c>
      <c r="K12454" s="19" t="n">
        <v>0</v>
      </c>
      <c r="L12454" s="17"/>
    </row>
    <row r="12455" s="11" customFormat="true" ht="10.95" hidden="false" customHeight="true" outlineLevel="0" collapsed="false">
      <c r="A12455" s="16" t="n">
        <v>45132</v>
      </c>
      <c r="B12455" s="17" t="s">
        <v>4548</v>
      </c>
      <c r="C12455" s="17" t="s">
        <v>3614</v>
      </c>
      <c r="D12455" s="17" t="s">
        <v>19</v>
      </c>
      <c r="E12455" s="17" t="s">
        <v>3447</v>
      </c>
      <c r="F12455" s="17" t="s">
        <v>85</v>
      </c>
      <c r="G12455" s="18" t="n">
        <v>0</v>
      </c>
      <c r="H12455" s="18" t="n">
        <v>47</v>
      </c>
      <c r="I12455" s="18" t="n">
        <f aca="false">((I12454 + G12455) - H12455)</f>
        <v>-170.320000000001</v>
      </c>
      <c r="J12455" s="18" t="n">
        <v>0</v>
      </c>
      <c r="K12455" s="19" t="n">
        <v>0</v>
      </c>
      <c r="L12455" s="17"/>
    </row>
    <row r="12456" s="11" customFormat="true" ht="10.95" hidden="false" customHeight="true" outlineLevel="0" collapsed="false">
      <c r="A12456" s="16" t="n">
        <v>45132</v>
      </c>
      <c r="B12456" s="17" t="s">
        <v>4548</v>
      </c>
      <c r="C12456" s="17" t="s">
        <v>3614</v>
      </c>
      <c r="D12456" s="17" t="s">
        <v>19</v>
      </c>
      <c r="E12456" s="17" t="s">
        <v>3447</v>
      </c>
      <c r="F12456" s="17" t="s">
        <v>86</v>
      </c>
      <c r="G12456" s="18" t="n">
        <v>0</v>
      </c>
      <c r="H12456" s="18" t="n">
        <v>18.8</v>
      </c>
      <c r="I12456" s="18" t="n">
        <f aca="false">((I12455 + G12456) - H12456)</f>
        <v>-189.120000000001</v>
      </c>
      <c r="J12456" s="18" t="n">
        <v>0</v>
      </c>
      <c r="K12456" s="19" t="n">
        <v>0</v>
      </c>
      <c r="L12456" s="17"/>
    </row>
    <row r="12457" s="11" customFormat="true" ht="10.95" hidden="false" customHeight="true" outlineLevel="0" collapsed="false">
      <c r="A12457" s="16" t="n">
        <v>45132</v>
      </c>
      <c r="B12457" s="17" t="s">
        <v>4548</v>
      </c>
      <c r="C12457" s="17" t="s">
        <v>3614</v>
      </c>
      <c r="D12457" s="17" t="s">
        <v>19</v>
      </c>
      <c r="E12457" s="17" t="s">
        <v>3447</v>
      </c>
      <c r="F12457" s="17" t="s">
        <v>90</v>
      </c>
      <c r="G12457" s="18" t="n">
        <v>0</v>
      </c>
      <c r="H12457" s="18" t="n">
        <v>47</v>
      </c>
      <c r="I12457" s="18" t="n">
        <f aca="false">((I12456 + G12457) - H12457)</f>
        <v>-236.120000000001</v>
      </c>
      <c r="J12457" s="18" t="n">
        <v>0</v>
      </c>
      <c r="K12457" s="19" t="n">
        <v>0</v>
      </c>
      <c r="L12457" s="17"/>
    </row>
    <row r="12458" s="11" customFormat="true" ht="10.95" hidden="false" customHeight="true" outlineLevel="0" collapsed="false">
      <c r="A12458" s="16" t="n">
        <v>45132</v>
      </c>
      <c r="B12458" s="17" t="s">
        <v>4548</v>
      </c>
      <c r="C12458" s="17" t="s">
        <v>3614</v>
      </c>
      <c r="D12458" s="17" t="s">
        <v>19</v>
      </c>
      <c r="E12458" s="17" t="s">
        <v>3447</v>
      </c>
      <c r="F12458" s="17" t="s">
        <v>92</v>
      </c>
      <c r="G12458" s="18" t="n">
        <v>0</v>
      </c>
      <c r="H12458" s="18" t="n">
        <v>225.9</v>
      </c>
      <c r="I12458" s="18" t="n">
        <f aca="false">((I12457 + G12458) - H12458)</f>
        <v>-462.020000000001</v>
      </c>
      <c r="J12458" s="18" t="n">
        <v>0</v>
      </c>
      <c r="K12458" s="19" t="n">
        <v>0</v>
      </c>
      <c r="L12458" s="17"/>
    </row>
    <row r="12459" s="11" customFormat="true" ht="10.95" hidden="false" customHeight="true" outlineLevel="0" collapsed="false">
      <c r="A12459" s="16" t="n">
        <v>45132</v>
      </c>
      <c r="B12459" s="17" t="s">
        <v>4548</v>
      </c>
      <c r="C12459" s="17" t="s">
        <v>3614</v>
      </c>
      <c r="D12459" s="17" t="s">
        <v>19</v>
      </c>
      <c r="E12459" s="17" t="s">
        <v>3447</v>
      </c>
      <c r="F12459" s="17" t="s">
        <v>96</v>
      </c>
      <c r="G12459" s="18" t="n">
        <v>0</v>
      </c>
      <c r="H12459" s="18" t="n">
        <v>114.4</v>
      </c>
      <c r="I12459" s="18" t="n">
        <f aca="false">((I12458 + G12459) - H12459)</f>
        <v>-576.420000000001</v>
      </c>
      <c r="J12459" s="18" t="n">
        <v>0</v>
      </c>
      <c r="K12459" s="19" t="n">
        <v>0</v>
      </c>
      <c r="L12459" s="17"/>
    </row>
    <row r="12460" s="11" customFormat="true" ht="10.95" hidden="false" customHeight="true" outlineLevel="0" collapsed="false">
      <c r="A12460" s="16" t="n">
        <v>45132</v>
      </c>
      <c r="B12460" s="17" t="s">
        <v>4548</v>
      </c>
      <c r="C12460" s="17" t="s">
        <v>3614</v>
      </c>
      <c r="D12460" s="17" t="s">
        <v>19</v>
      </c>
      <c r="E12460" s="17" t="s">
        <v>3447</v>
      </c>
      <c r="F12460" s="17" t="s">
        <v>99</v>
      </c>
      <c r="G12460" s="18" t="n">
        <v>0</v>
      </c>
      <c r="H12460" s="18" t="n">
        <v>28.2</v>
      </c>
      <c r="I12460" s="18" t="n">
        <f aca="false">((I12459 + G12460) - H12460)</f>
        <v>-604.620000000001</v>
      </c>
      <c r="J12460" s="18" t="n">
        <v>0</v>
      </c>
      <c r="K12460" s="19" t="n">
        <v>0</v>
      </c>
      <c r="L12460" s="17"/>
    </row>
    <row r="12461" s="11" customFormat="true" ht="10.95" hidden="false" customHeight="true" outlineLevel="0" collapsed="false">
      <c r="A12461" s="16" t="n">
        <v>45132</v>
      </c>
      <c r="B12461" s="17" t="s">
        <v>4548</v>
      </c>
      <c r="C12461" s="17" t="s">
        <v>3614</v>
      </c>
      <c r="D12461" s="17" t="s">
        <v>19</v>
      </c>
      <c r="E12461" s="17" t="s">
        <v>3447</v>
      </c>
      <c r="F12461" s="17" t="s">
        <v>101</v>
      </c>
      <c r="G12461" s="18" t="n">
        <v>0</v>
      </c>
      <c r="H12461" s="18" t="n">
        <v>28.2</v>
      </c>
      <c r="I12461" s="18" t="n">
        <f aca="false">((I12460 + G12461) - H12461)</f>
        <v>-632.820000000001</v>
      </c>
      <c r="J12461" s="18" t="n">
        <v>0</v>
      </c>
      <c r="K12461" s="19" t="n">
        <v>0</v>
      </c>
      <c r="L12461" s="17"/>
    </row>
    <row r="12462" s="11" customFormat="true" ht="10.95" hidden="false" customHeight="true" outlineLevel="0" collapsed="false">
      <c r="A12462" s="16" t="n">
        <v>45132</v>
      </c>
      <c r="B12462" s="17" t="s">
        <v>4548</v>
      </c>
      <c r="C12462" s="17" t="s">
        <v>3614</v>
      </c>
      <c r="D12462" s="17" t="s">
        <v>19</v>
      </c>
      <c r="E12462" s="17" t="s">
        <v>3447</v>
      </c>
      <c r="F12462" s="17" t="s">
        <v>103</v>
      </c>
      <c r="G12462" s="18" t="n">
        <v>0</v>
      </c>
      <c r="H12462" s="18" t="n">
        <v>47</v>
      </c>
      <c r="I12462" s="18" t="n">
        <f aca="false">((I12461 + G12462) - H12462)</f>
        <v>-679.820000000001</v>
      </c>
      <c r="J12462" s="18" t="n">
        <v>0</v>
      </c>
      <c r="K12462" s="19" t="n">
        <v>0</v>
      </c>
      <c r="L12462" s="17"/>
    </row>
    <row r="12463" s="11" customFormat="true" ht="10.95" hidden="false" customHeight="true" outlineLevel="0" collapsed="false">
      <c r="A12463" s="16" t="n">
        <v>45132</v>
      </c>
      <c r="B12463" s="17" t="s">
        <v>4548</v>
      </c>
      <c r="C12463" s="17" t="s">
        <v>3614</v>
      </c>
      <c r="D12463" s="17" t="s">
        <v>19</v>
      </c>
      <c r="E12463" s="17" t="s">
        <v>3447</v>
      </c>
      <c r="F12463" s="17" t="s">
        <v>105</v>
      </c>
      <c r="G12463" s="18" t="n">
        <v>0</v>
      </c>
      <c r="H12463" s="18" t="n">
        <v>94</v>
      </c>
      <c r="I12463" s="18" t="n">
        <f aca="false">((I12462 + G12463) - H12463)</f>
        <v>-773.820000000001</v>
      </c>
      <c r="J12463" s="18" t="n">
        <v>0</v>
      </c>
      <c r="K12463" s="19" t="n">
        <v>0</v>
      </c>
      <c r="L12463" s="17"/>
    </row>
    <row r="12464" s="11" customFormat="true" ht="10.95" hidden="false" customHeight="true" outlineLevel="0" collapsed="false">
      <c r="A12464" s="16" t="n">
        <v>45132</v>
      </c>
      <c r="B12464" s="17" t="s">
        <v>4548</v>
      </c>
      <c r="C12464" s="17" t="s">
        <v>3614</v>
      </c>
      <c r="D12464" s="17" t="s">
        <v>19</v>
      </c>
      <c r="E12464" s="17" t="s">
        <v>3447</v>
      </c>
      <c r="F12464" s="17" t="s">
        <v>107</v>
      </c>
      <c r="G12464" s="18" t="n">
        <v>0</v>
      </c>
      <c r="H12464" s="18" t="n">
        <v>28.2</v>
      </c>
      <c r="I12464" s="18" t="n">
        <f aca="false">((I12463 + G12464) - H12464)</f>
        <v>-802.020000000001</v>
      </c>
      <c r="J12464" s="18" t="n">
        <v>0</v>
      </c>
      <c r="K12464" s="19" t="n">
        <v>0</v>
      </c>
      <c r="L12464" s="17"/>
    </row>
    <row r="12465" s="11" customFormat="true" ht="10.95" hidden="false" customHeight="true" outlineLevel="0" collapsed="false">
      <c r="A12465" s="16" t="n">
        <v>45132</v>
      </c>
      <c r="B12465" s="17" t="s">
        <v>4548</v>
      </c>
      <c r="C12465" s="17" t="s">
        <v>3614</v>
      </c>
      <c r="D12465" s="17" t="s">
        <v>19</v>
      </c>
      <c r="E12465" s="17" t="s">
        <v>3447</v>
      </c>
      <c r="F12465" s="17" t="s">
        <v>109</v>
      </c>
      <c r="G12465" s="18" t="n">
        <v>0</v>
      </c>
      <c r="H12465" s="18" t="n">
        <v>84.6</v>
      </c>
      <c r="I12465" s="18" t="n">
        <f aca="false">((I12464 + G12465) - H12465)</f>
        <v>-886.620000000001</v>
      </c>
      <c r="J12465" s="18" t="n">
        <v>0</v>
      </c>
      <c r="K12465" s="19" t="n">
        <v>0</v>
      </c>
      <c r="L12465" s="17"/>
    </row>
    <row r="12466" s="11" customFormat="true" ht="10.95" hidden="false" customHeight="true" outlineLevel="0" collapsed="false">
      <c r="A12466" s="16" t="n">
        <v>45132</v>
      </c>
      <c r="B12466" s="17" t="s">
        <v>4548</v>
      </c>
      <c r="C12466" s="17" t="s">
        <v>3614</v>
      </c>
      <c r="D12466" s="17" t="s">
        <v>19</v>
      </c>
      <c r="E12466" s="17" t="s">
        <v>3448</v>
      </c>
      <c r="F12466" s="17" t="s">
        <v>111</v>
      </c>
      <c r="G12466" s="18" t="n">
        <v>0</v>
      </c>
      <c r="H12466" s="18" t="n">
        <v>43.7</v>
      </c>
      <c r="I12466" s="18" t="n">
        <f aca="false">((I12465 + G12466) - H12466)</f>
        <v>-930.320000000001</v>
      </c>
      <c r="J12466" s="18" t="n">
        <v>0</v>
      </c>
      <c r="K12466" s="19" t="n">
        <v>0</v>
      </c>
      <c r="L12466" s="17"/>
    </row>
    <row r="12467" s="11" customFormat="true" ht="10.95" hidden="false" customHeight="true" outlineLevel="0" collapsed="false">
      <c r="A12467" s="16" t="n">
        <v>45132</v>
      </c>
      <c r="B12467" s="17" t="s">
        <v>4548</v>
      </c>
      <c r="C12467" s="17" t="s">
        <v>3614</v>
      </c>
      <c r="D12467" s="17" t="s">
        <v>19</v>
      </c>
      <c r="E12467" s="17" t="s">
        <v>3448</v>
      </c>
      <c r="F12467" s="17" t="s">
        <v>115</v>
      </c>
      <c r="G12467" s="18" t="n">
        <v>0</v>
      </c>
      <c r="H12467" s="18" t="n">
        <v>25.5</v>
      </c>
      <c r="I12467" s="18" t="n">
        <f aca="false">((I12466 + G12467) - H12467)</f>
        <v>-955.820000000001</v>
      </c>
      <c r="J12467" s="18" t="n">
        <v>0</v>
      </c>
      <c r="K12467" s="19" t="n">
        <v>0</v>
      </c>
      <c r="L12467" s="17"/>
    </row>
    <row r="12468" s="11" customFormat="true" ht="10.95" hidden="false" customHeight="true" outlineLevel="0" collapsed="false">
      <c r="A12468" s="16" t="n">
        <v>45132</v>
      </c>
      <c r="B12468" s="17" t="s">
        <v>4548</v>
      </c>
      <c r="C12468" s="17" t="s">
        <v>3614</v>
      </c>
      <c r="D12468" s="17" t="s">
        <v>19</v>
      </c>
      <c r="E12468" s="17" t="s">
        <v>3451</v>
      </c>
      <c r="F12468" s="17" t="s">
        <v>117</v>
      </c>
      <c r="G12468" s="18" t="n">
        <v>0</v>
      </c>
      <c r="H12468" s="18" t="n">
        <v>127.2</v>
      </c>
      <c r="I12468" s="18" t="n">
        <f aca="false">((I12467 + G12468) - H12468)</f>
        <v>-1083.02</v>
      </c>
      <c r="J12468" s="18" t="n">
        <v>0</v>
      </c>
      <c r="K12468" s="19" t="n">
        <v>0</v>
      </c>
      <c r="L12468" s="17"/>
    </row>
    <row r="12469" s="11" customFormat="true" ht="10.95" hidden="false" customHeight="true" outlineLevel="0" collapsed="false">
      <c r="A12469" s="16" t="n">
        <v>45132</v>
      </c>
      <c r="B12469" s="17" t="s">
        <v>4548</v>
      </c>
      <c r="C12469" s="17" t="s">
        <v>3614</v>
      </c>
      <c r="D12469" s="17" t="s">
        <v>1407</v>
      </c>
      <c r="E12469" s="17" t="s">
        <v>3770</v>
      </c>
      <c r="F12469" s="17"/>
      <c r="G12469" s="18" t="n">
        <v>2.09</v>
      </c>
      <c r="H12469" s="18" t="n">
        <v>0</v>
      </c>
      <c r="I12469" s="18" t="n">
        <f aca="false">((I12468 + G12469) - H12469)</f>
        <v>-1080.93</v>
      </c>
      <c r="J12469" s="18" t="n">
        <v>0</v>
      </c>
      <c r="K12469" s="19" t="n">
        <v>0</v>
      </c>
      <c r="L12469" s="17"/>
    </row>
    <row r="12470" s="11" customFormat="true" ht="10.95" hidden="false" customHeight="true" outlineLevel="0" collapsed="false">
      <c r="A12470" s="16" t="n">
        <v>45132</v>
      </c>
      <c r="B12470" s="17" t="s">
        <v>4548</v>
      </c>
      <c r="C12470" s="17" t="s">
        <v>3614</v>
      </c>
      <c r="D12470" s="17" t="s">
        <v>1407</v>
      </c>
      <c r="E12470" s="17" t="s">
        <v>3910</v>
      </c>
      <c r="F12470" s="17"/>
      <c r="G12470" s="18" t="n">
        <v>4.36</v>
      </c>
      <c r="H12470" s="18" t="n">
        <v>0</v>
      </c>
      <c r="I12470" s="18" t="n">
        <f aca="false">((I12469 + G12470) - H12470)</f>
        <v>-1076.57</v>
      </c>
      <c r="J12470" s="18" t="n">
        <v>0</v>
      </c>
      <c r="K12470" s="19" t="n">
        <v>0</v>
      </c>
      <c r="L12470" s="17"/>
    </row>
    <row r="12471" s="11" customFormat="true" ht="10.95" hidden="false" customHeight="true" outlineLevel="0" collapsed="false">
      <c r="A12471" s="16" t="n">
        <v>45132</v>
      </c>
      <c r="B12471" s="17" t="s">
        <v>4548</v>
      </c>
      <c r="C12471" s="17" t="s">
        <v>3614</v>
      </c>
      <c r="D12471" s="17" t="s">
        <v>1407</v>
      </c>
      <c r="E12471" s="17" t="s">
        <v>3642</v>
      </c>
      <c r="F12471" s="17"/>
      <c r="G12471" s="18" t="n">
        <v>8.6</v>
      </c>
      <c r="H12471" s="18" t="n">
        <v>0</v>
      </c>
      <c r="I12471" s="18" t="n">
        <f aca="false">((I12470 + G12471) - H12471)</f>
        <v>-1067.97</v>
      </c>
      <c r="J12471" s="18" t="n">
        <v>0</v>
      </c>
      <c r="K12471" s="19" t="n">
        <v>0</v>
      </c>
      <c r="L12471" s="17"/>
    </row>
    <row r="12472" s="11" customFormat="true" ht="10.95" hidden="false" customHeight="true" outlineLevel="0" collapsed="false">
      <c r="A12472" s="16" t="n">
        <v>45132</v>
      </c>
      <c r="B12472" s="17" t="s">
        <v>4548</v>
      </c>
      <c r="C12472" s="17" t="s">
        <v>3614</v>
      </c>
      <c r="D12472" s="17" t="s">
        <v>19</v>
      </c>
      <c r="E12472" s="17" t="s">
        <v>3454</v>
      </c>
      <c r="F12472" s="17" t="s">
        <v>120</v>
      </c>
      <c r="G12472" s="18" t="n">
        <v>0</v>
      </c>
      <c r="H12472" s="18" t="n">
        <v>1659.65</v>
      </c>
      <c r="I12472" s="18" t="n">
        <f aca="false">((I12471 + G12472) - H12472)</f>
        <v>-2727.62</v>
      </c>
      <c r="J12472" s="18" t="n">
        <v>0</v>
      </c>
      <c r="K12472" s="19" t="n">
        <v>0</v>
      </c>
      <c r="L12472" s="17"/>
    </row>
    <row r="12473" s="11" customFormat="true" ht="10.95" hidden="false" customHeight="true" outlineLevel="0" collapsed="false">
      <c r="A12473" s="16" t="n">
        <v>45132</v>
      </c>
      <c r="B12473" s="17" t="s">
        <v>4548</v>
      </c>
      <c r="C12473" s="17" t="s">
        <v>3614</v>
      </c>
      <c r="D12473" s="17" t="s">
        <v>1407</v>
      </c>
      <c r="E12473" s="17" t="s">
        <v>3912</v>
      </c>
      <c r="F12473" s="17"/>
      <c r="G12473" s="18" t="n">
        <v>12.73</v>
      </c>
      <c r="H12473" s="18" t="n">
        <v>0</v>
      </c>
      <c r="I12473" s="18" t="n">
        <f aca="false">((I12472 + G12473) - H12473)</f>
        <v>-2714.89</v>
      </c>
      <c r="J12473" s="18" t="n">
        <v>0</v>
      </c>
      <c r="K12473" s="19" t="n">
        <v>0</v>
      </c>
      <c r="L12473" s="17"/>
    </row>
    <row r="12474" s="11" customFormat="true" ht="10.95" hidden="false" customHeight="true" outlineLevel="0" collapsed="false">
      <c r="A12474" s="16" t="n">
        <v>45132</v>
      </c>
      <c r="B12474" s="17" t="s">
        <v>4548</v>
      </c>
      <c r="C12474" s="17" t="s">
        <v>3614</v>
      </c>
      <c r="D12474" s="17" t="s">
        <v>1407</v>
      </c>
      <c r="E12474" s="17" t="s">
        <v>3668</v>
      </c>
      <c r="F12474" s="17"/>
      <c r="G12474" s="18" t="n">
        <v>8.82</v>
      </c>
      <c r="H12474" s="18" t="n">
        <v>0</v>
      </c>
      <c r="I12474" s="18" t="n">
        <f aca="false">((I12473 + G12474) - H12474)</f>
        <v>-2706.07</v>
      </c>
      <c r="J12474" s="18" t="n">
        <v>0</v>
      </c>
      <c r="K12474" s="19" t="n">
        <v>0</v>
      </c>
      <c r="L12474" s="17"/>
    </row>
    <row r="12475" s="11" customFormat="true" ht="10.95" hidden="false" customHeight="true" outlineLevel="0" collapsed="false">
      <c r="A12475" s="16" t="n">
        <v>45132</v>
      </c>
      <c r="B12475" s="17" t="s">
        <v>4548</v>
      </c>
      <c r="C12475" s="17" t="s">
        <v>3614</v>
      </c>
      <c r="D12475" s="17" t="s">
        <v>1407</v>
      </c>
      <c r="E12475" s="17" t="s">
        <v>1536</v>
      </c>
      <c r="F12475" s="17"/>
      <c r="G12475" s="18" t="n">
        <v>25.3</v>
      </c>
      <c r="H12475" s="18" t="n">
        <v>0</v>
      </c>
      <c r="I12475" s="18" t="n">
        <f aca="false">((I12474 + G12475) - H12475)</f>
        <v>-2680.77</v>
      </c>
      <c r="J12475" s="18" t="n">
        <v>0</v>
      </c>
      <c r="K12475" s="19" t="n">
        <v>0</v>
      </c>
      <c r="L12475" s="17"/>
    </row>
    <row r="12476" s="11" customFormat="true" ht="10.95" hidden="false" customHeight="true" outlineLevel="0" collapsed="false">
      <c r="A12476" s="16" t="n">
        <v>45133</v>
      </c>
      <c r="B12476" s="17" t="s">
        <v>4548</v>
      </c>
      <c r="C12476" s="17" t="s">
        <v>3614</v>
      </c>
      <c r="D12476" s="17" t="s">
        <v>1407</v>
      </c>
      <c r="E12476" s="17" t="s">
        <v>3858</v>
      </c>
      <c r="F12476" s="17"/>
      <c r="G12476" s="18" t="n">
        <v>96.18</v>
      </c>
      <c r="H12476" s="18" t="n">
        <v>0</v>
      </c>
      <c r="I12476" s="18" t="n">
        <f aca="false">((I12475 + G12476) - H12476)</f>
        <v>-2584.59</v>
      </c>
      <c r="J12476" s="18" t="n">
        <v>0</v>
      </c>
      <c r="K12476" s="19" t="n">
        <v>0</v>
      </c>
      <c r="L12476" s="17"/>
    </row>
    <row r="12477" s="11" customFormat="true" ht="10.95" hidden="false" customHeight="true" outlineLevel="0" collapsed="false">
      <c r="A12477" s="16" t="n">
        <v>45133</v>
      </c>
      <c r="B12477" s="17" t="s">
        <v>4548</v>
      </c>
      <c r="C12477" s="17" t="s">
        <v>3614</v>
      </c>
      <c r="D12477" s="17" t="s">
        <v>1407</v>
      </c>
      <c r="E12477" s="17" t="s">
        <v>3858</v>
      </c>
      <c r="F12477" s="17"/>
      <c r="G12477" s="18" t="n">
        <v>0.53</v>
      </c>
      <c r="H12477" s="18" t="n">
        <v>0</v>
      </c>
      <c r="I12477" s="18" t="n">
        <f aca="false">((I12476 + G12477) - H12477)</f>
        <v>-2584.06</v>
      </c>
      <c r="J12477" s="18" t="n">
        <v>0</v>
      </c>
      <c r="K12477" s="19" t="n">
        <v>0</v>
      </c>
      <c r="L12477" s="17"/>
    </row>
    <row r="12478" s="11" customFormat="true" ht="10.95" hidden="false" customHeight="true" outlineLevel="0" collapsed="false">
      <c r="A12478" s="16" t="n">
        <v>45134</v>
      </c>
      <c r="B12478" s="17" t="s">
        <v>4548</v>
      </c>
      <c r="C12478" s="17" t="s">
        <v>3614</v>
      </c>
      <c r="D12478" s="17" t="s">
        <v>1407</v>
      </c>
      <c r="E12478" s="17" t="s">
        <v>2747</v>
      </c>
      <c r="F12478" s="17"/>
      <c r="G12478" s="18" t="n">
        <v>0.64</v>
      </c>
      <c r="H12478" s="18" t="n">
        <v>0</v>
      </c>
      <c r="I12478" s="18" t="n">
        <f aca="false">((I12477 + G12478) - H12478)</f>
        <v>-2583.42</v>
      </c>
      <c r="J12478" s="18" t="n">
        <v>0</v>
      </c>
      <c r="K12478" s="19" t="n">
        <v>0</v>
      </c>
      <c r="L12478" s="17"/>
    </row>
    <row r="12479" s="11" customFormat="true" ht="10.95" hidden="false" customHeight="true" outlineLevel="0" collapsed="false">
      <c r="A12479" s="16" t="n">
        <v>45134</v>
      </c>
      <c r="B12479" s="17" t="s">
        <v>4548</v>
      </c>
      <c r="C12479" s="17" t="s">
        <v>3614</v>
      </c>
      <c r="D12479" s="17" t="s">
        <v>1407</v>
      </c>
      <c r="E12479" s="17" t="s">
        <v>3805</v>
      </c>
      <c r="F12479" s="17"/>
      <c r="G12479" s="18" t="n">
        <v>8.45</v>
      </c>
      <c r="H12479" s="18" t="n">
        <v>0</v>
      </c>
      <c r="I12479" s="18" t="n">
        <f aca="false">((I12478 + G12479) - H12479)</f>
        <v>-2574.97</v>
      </c>
      <c r="J12479" s="18" t="n">
        <v>0</v>
      </c>
      <c r="K12479" s="19" t="n">
        <v>0</v>
      </c>
      <c r="L12479" s="17"/>
    </row>
    <row r="12480" s="11" customFormat="true" ht="10.95" hidden="false" customHeight="true" outlineLevel="0" collapsed="false">
      <c r="A12480" s="16" t="n">
        <v>45134</v>
      </c>
      <c r="B12480" s="17" t="s">
        <v>4548</v>
      </c>
      <c r="C12480" s="17" t="s">
        <v>3614</v>
      </c>
      <c r="D12480" s="17" t="s">
        <v>1391</v>
      </c>
      <c r="E12480" s="17" t="s">
        <v>3646</v>
      </c>
      <c r="F12480" s="17" t="s">
        <v>2248</v>
      </c>
      <c r="G12480" s="18" t="n">
        <v>55.45</v>
      </c>
      <c r="H12480" s="18" t="n">
        <v>0</v>
      </c>
      <c r="I12480" s="18" t="n">
        <f aca="false">((I12479 + G12480) - H12480)</f>
        <v>-2519.52</v>
      </c>
      <c r="J12480" s="18" t="n">
        <v>0</v>
      </c>
      <c r="K12480" s="19" t="n">
        <v>0</v>
      </c>
      <c r="L12480" s="17"/>
    </row>
    <row r="12481" s="11" customFormat="true" ht="10.95" hidden="false" customHeight="true" outlineLevel="0" collapsed="false">
      <c r="A12481" s="16" t="n">
        <v>45135</v>
      </c>
      <c r="B12481" s="17" t="s">
        <v>4548</v>
      </c>
      <c r="C12481" s="17" t="s">
        <v>3614</v>
      </c>
      <c r="D12481" s="17" t="s">
        <v>1407</v>
      </c>
      <c r="E12481" s="17" t="s">
        <v>2747</v>
      </c>
      <c r="F12481" s="17"/>
      <c r="G12481" s="18" t="n">
        <v>0.64</v>
      </c>
      <c r="H12481" s="18" t="n">
        <v>0</v>
      </c>
      <c r="I12481" s="18" t="n">
        <f aca="false">((I12480 + G12481) - H12481)</f>
        <v>-2518.88</v>
      </c>
      <c r="J12481" s="18" t="n">
        <v>0</v>
      </c>
      <c r="K12481" s="19" t="n">
        <v>0</v>
      </c>
      <c r="L12481" s="17"/>
    </row>
    <row r="12482" s="11" customFormat="true" ht="10.95" hidden="false" customHeight="true" outlineLevel="0" collapsed="false">
      <c r="A12482" s="16" t="n">
        <v>45135</v>
      </c>
      <c r="B12482" s="17" t="s">
        <v>4548</v>
      </c>
      <c r="C12482" s="17" t="s">
        <v>3614</v>
      </c>
      <c r="D12482" s="17" t="s">
        <v>1407</v>
      </c>
      <c r="E12482" s="17" t="s">
        <v>3642</v>
      </c>
      <c r="F12482" s="17"/>
      <c r="G12482" s="18" t="n">
        <v>3.62</v>
      </c>
      <c r="H12482" s="18" t="n">
        <v>0</v>
      </c>
      <c r="I12482" s="18" t="n">
        <f aca="false">((I12481 + G12482) - H12482)</f>
        <v>-2515.26</v>
      </c>
      <c r="J12482" s="18" t="n">
        <v>0</v>
      </c>
      <c r="K12482" s="19" t="n">
        <v>0</v>
      </c>
      <c r="L12482" s="17"/>
    </row>
    <row r="12483" s="11" customFormat="true" ht="10.95" hidden="false" customHeight="true" outlineLevel="0" collapsed="false">
      <c r="A12483" s="16" t="n">
        <v>45135</v>
      </c>
      <c r="B12483" s="17" t="s">
        <v>4548</v>
      </c>
      <c r="C12483" s="17" t="s">
        <v>3614</v>
      </c>
      <c r="D12483" s="17" t="s">
        <v>1407</v>
      </c>
      <c r="E12483" s="17" t="s">
        <v>2591</v>
      </c>
      <c r="F12483" s="17"/>
      <c r="G12483" s="18" t="n">
        <v>15.37</v>
      </c>
      <c r="H12483" s="18" t="n">
        <v>0</v>
      </c>
      <c r="I12483" s="18" t="n">
        <f aca="false">((I12482 + G12483) - H12483)</f>
        <v>-2499.89</v>
      </c>
      <c r="J12483" s="18" t="n">
        <v>0</v>
      </c>
      <c r="K12483" s="19" t="n">
        <v>0</v>
      </c>
      <c r="L12483" s="17"/>
    </row>
    <row r="12484" s="11" customFormat="true" ht="10.95" hidden="false" customHeight="true" outlineLevel="0" collapsed="false">
      <c r="A12484" s="16" t="n">
        <v>45135</v>
      </c>
      <c r="B12484" s="17" t="s">
        <v>4548</v>
      </c>
      <c r="C12484" s="17" t="s">
        <v>3614</v>
      </c>
      <c r="D12484" s="17" t="s">
        <v>1407</v>
      </c>
      <c r="E12484" s="17" t="s">
        <v>3720</v>
      </c>
      <c r="F12484" s="17"/>
      <c r="G12484" s="18" t="n">
        <v>85.65</v>
      </c>
      <c r="H12484" s="18" t="n">
        <v>0</v>
      </c>
      <c r="I12484" s="18" t="n">
        <f aca="false">((I12483 + G12484) - H12484)</f>
        <v>-2414.24</v>
      </c>
      <c r="J12484" s="18" t="n">
        <v>0</v>
      </c>
      <c r="K12484" s="19" t="n">
        <v>0</v>
      </c>
      <c r="L12484" s="17"/>
    </row>
    <row r="12485" s="11" customFormat="true" ht="10.95" hidden="false" customHeight="true" outlineLevel="0" collapsed="false">
      <c r="A12485" s="16" t="n">
        <v>45135</v>
      </c>
      <c r="B12485" s="17" t="s">
        <v>4548</v>
      </c>
      <c r="C12485" s="17" t="s">
        <v>3614</v>
      </c>
      <c r="D12485" s="17" t="s">
        <v>1407</v>
      </c>
      <c r="E12485" s="17" t="s">
        <v>3918</v>
      </c>
      <c r="F12485" s="17"/>
      <c r="G12485" s="18" t="n">
        <v>369.6</v>
      </c>
      <c r="H12485" s="18" t="n">
        <v>0</v>
      </c>
      <c r="I12485" s="18" t="n">
        <f aca="false">((I12484 + G12485) - H12485)</f>
        <v>-2044.64</v>
      </c>
      <c r="J12485" s="18" t="n">
        <v>0</v>
      </c>
      <c r="K12485" s="19" t="n">
        <v>0</v>
      </c>
      <c r="L12485" s="17"/>
    </row>
    <row r="12486" s="11" customFormat="true" ht="10.95" hidden="false" customHeight="true" outlineLevel="0" collapsed="false">
      <c r="A12486" s="16" t="n">
        <v>45135</v>
      </c>
      <c r="B12486" s="17" t="s">
        <v>4548</v>
      </c>
      <c r="C12486" s="17" t="s">
        <v>3614</v>
      </c>
      <c r="D12486" s="17" t="s">
        <v>1391</v>
      </c>
      <c r="E12486" s="17" t="s">
        <v>3647</v>
      </c>
      <c r="F12486" s="17" t="s">
        <v>1414</v>
      </c>
      <c r="G12486" s="18" t="n">
        <v>378.51</v>
      </c>
      <c r="H12486" s="18" t="n">
        <v>0</v>
      </c>
      <c r="I12486" s="18" t="n">
        <f aca="false">((I12485 + G12486) - H12486)</f>
        <v>-1666.13</v>
      </c>
      <c r="J12486" s="18" t="n">
        <v>0</v>
      </c>
      <c r="K12486" s="19" t="n">
        <v>0</v>
      </c>
      <c r="L12486" s="17"/>
    </row>
    <row r="12487" s="11" customFormat="true" ht="10.95" hidden="false" customHeight="true" outlineLevel="0" collapsed="false">
      <c r="A12487" s="16" t="n">
        <v>45139</v>
      </c>
      <c r="B12487" s="17" t="s">
        <v>4548</v>
      </c>
      <c r="C12487" s="17" t="s">
        <v>3614</v>
      </c>
      <c r="D12487" s="17" t="s">
        <v>1391</v>
      </c>
      <c r="E12487" s="17" t="s">
        <v>3615</v>
      </c>
      <c r="F12487" s="17" t="s">
        <v>1418</v>
      </c>
      <c r="G12487" s="18" t="n">
        <v>48.98</v>
      </c>
      <c r="H12487" s="18" t="n">
        <v>0</v>
      </c>
      <c r="I12487" s="18" t="n">
        <f aca="false">((I12486 + G12487) - H12487)</f>
        <v>-1617.15</v>
      </c>
      <c r="J12487" s="18" t="n">
        <v>0</v>
      </c>
      <c r="K12487" s="19" t="n">
        <v>0</v>
      </c>
      <c r="L12487" s="17"/>
    </row>
    <row r="12488" s="11" customFormat="true" ht="10.95" hidden="false" customHeight="true" outlineLevel="0" collapsed="false">
      <c r="A12488" s="16" t="n">
        <v>45139</v>
      </c>
      <c r="B12488" s="17" t="s">
        <v>4548</v>
      </c>
      <c r="C12488" s="17" t="s">
        <v>3614</v>
      </c>
      <c r="D12488" s="17" t="s">
        <v>1407</v>
      </c>
      <c r="E12488" s="17" t="s">
        <v>3946</v>
      </c>
      <c r="F12488" s="17"/>
      <c r="G12488" s="18" t="n">
        <v>89.65</v>
      </c>
      <c r="H12488" s="18" t="n">
        <v>0</v>
      </c>
      <c r="I12488" s="18" t="n">
        <f aca="false">((I12487 + G12488) - H12488)</f>
        <v>-1527.5</v>
      </c>
      <c r="J12488" s="18" t="n">
        <v>0</v>
      </c>
      <c r="K12488" s="19" t="n">
        <v>0</v>
      </c>
      <c r="L12488" s="17"/>
    </row>
    <row r="12489" s="11" customFormat="true" ht="10.95" hidden="false" customHeight="true" outlineLevel="0" collapsed="false">
      <c r="A12489" s="16" t="n">
        <v>45139</v>
      </c>
      <c r="B12489" s="17" t="s">
        <v>4548</v>
      </c>
      <c r="C12489" s="17" t="s">
        <v>3614</v>
      </c>
      <c r="D12489" s="17" t="s">
        <v>1407</v>
      </c>
      <c r="E12489" s="17" t="s">
        <v>3865</v>
      </c>
      <c r="F12489" s="17"/>
      <c r="G12489" s="18" t="n">
        <v>7.5</v>
      </c>
      <c r="H12489" s="18" t="n">
        <v>0</v>
      </c>
      <c r="I12489" s="18" t="n">
        <f aca="false">((I12488 + G12489) - H12489)</f>
        <v>-1520</v>
      </c>
      <c r="J12489" s="18" t="n">
        <v>0</v>
      </c>
      <c r="K12489" s="19" t="n">
        <v>0</v>
      </c>
      <c r="L12489" s="17"/>
    </row>
    <row r="12490" s="11" customFormat="true" ht="10.95" hidden="false" customHeight="true" outlineLevel="0" collapsed="false">
      <c r="A12490" s="16" t="n">
        <v>45139</v>
      </c>
      <c r="B12490" s="17" t="s">
        <v>4548</v>
      </c>
      <c r="C12490" s="17" t="s">
        <v>3614</v>
      </c>
      <c r="D12490" s="17" t="s">
        <v>1407</v>
      </c>
      <c r="E12490" s="17" t="s">
        <v>3697</v>
      </c>
      <c r="F12490" s="17"/>
      <c r="G12490" s="18" t="n">
        <v>46.62</v>
      </c>
      <c r="H12490" s="18" t="n">
        <v>0</v>
      </c>
      <c r="I12490" s="18" t="n">
        <f aca="false">((I12489 + G12490) - H12490)</f>
        <v>-1473.38</v>
      </c>
      <c r="J12490" s="18" t="n">
        <v>0</v>
      </c>
      <c r="K12490" s="19" t="n">
        <v>0</v>
      </c>
      <c r="L12490" s="17"/>
    </row>
    <row r="12491" s="11" customFormat="true" ht="10.95" hidden="false" customHeight="true" outlineLevel="0" collapsed="false">
      <c r="A12491" s="16" t="n">
        <v>45139</v>
      </c>
      <c r="B12491" s="17" t="s">
        <v>4548</v>
      </c>
      <c r="C12491" s="17" t="s">
        <v>3614</v>
      </c>
      <c r="D12491" s="17" t="s">
        <v>1391</v>
      </c>
      <c r="E12491" s="17" t="s">
        <v>3621</v>
      </c>
      <c r="F12491" s="17" t="s">
        <v>2635</v>
      </c>
      <c r="G12491" s="18" t="n">
        <v>67.81</v>
      </c>
      <c r="H12491" s="18" t="n">
        <v>0</v>
      </c>
      <c r="I12491" s="18" t="n">
        <f aca="false">((I12490 + G12491) - H12491)</f>
        <v>-1405.57</v>
      </c>
      <c r="J12491" s="18" t="n">
        <v>0</v>
      </c>
      <c r="K12491" s="19" t="n">
        <v>0</v>
      </c>
      <c r="L12491" s="17"/>
    </row>
    <row r="12492" s="11" customFormat="true" ht="10.95" hidden="false" customHeight="true" outlineLevel="0" collapsed="false">
      <c r="A12492" s="16" t="n">
        <v>45139</v>
      </c>
      <c r="B12492" s="17" t="s">
        <v>4548</v>
      </c>
      <c r="C12492" s="17" t="s">
        <v>3614</v>
      </c>
      <c r="D12492" s="17" t="s">
        <v>1407</v>
      </c>
      <c r="E12492" s="17" t="s">
        <v>3697</v>
      </c>
      <c r="F12492" s="17"/>
      <c r="G12492" s="18" t="n">
        <v>7</v>
      </c>
      <c r="H12492" s="18" t="n">
        <v>0</v>
      </c>
      <c r="I12492" s="18" t="n">
        <f aca="false">((I12491 + G12492) - H12492)</f>
        <v>-1398.57</v>
      </c>
      <c r="J12492" s="18" t="n">
        <v>0</v>
      </c>
      <c r="K12492" s="19" t="n">
        <v>0</v>
      </c>
      <c r="L12492" s="17"/>
    </row>
    <row r="12493" s="11" customFormat="true" ht="10.95" hidden="false" customHeight="true" outlineLevel="0" collapsed="false">
      <c r="A12493" s="16" t="n">
        <v>45139</v>
      </c>
      <c r="B12493" s="17" t="s">
        <v>4548</v>
      </c>
      <c r="C12493" s="17" t="s">
        <v>3614</v>
      </c>
      <c r="D12493" s="17" t="s">
        <v>1391</v>
      </c>
      <c r="E12493" s="17" t="s">
        <v>3622</v>
      </c>
      <c r="F12493" s="17" t="s">
        <v>1420</v>
      </c>
      <c r="G12493" s="18" t="n">
        <v>169.62</v>
      </c>
      <c r="H12493" s="18" t="n">
        <v>0</v>
      </c>
      <c r="I12493" s="18" t="n">
        <f aca="false">((I12492 + G12493) - H12493)</f>
        <v>-1228.95</v>
      </c>
      <c r="J12493" s="18" t="n">
        <v>0</v>
      </c>
      <c r="K12493" s="19" t="n">
        <v>0</v>
      </c>
      <c r="L12493" s="17"/>
    </row>
    <row r="12494" s="11" customFormat="true" ht="10.95" hidden="false" customHeight="true" outlineLevel="0" collapsed="false">
      <c r="A12494" s="16" t="n">
        <v>45140</v>
      </c>
      <c r="B12494" s="17" t="s">
        <v>4548</v>
      </c>
      <c r="C12494" s="17" t="s">
        <v>3614</v>
      </c>
      <c r="D12494" s="17" t="s">
        <v>1407</v>
      </c>
      <c r="E12494" s="17" t="s">
        <v>2747</v>
      </c>
      <c r="F12494" s="17"/>
      <c r="G12494" s="18" t="n">
        <v>0.64</v>
      </c>
      <c r="H12494" s="18" t="n">
        <v>0</v>
      </c>
      <c r="I12494" s="18" t="n">
        <f aca="false">((I12493 + G12494) - H12494)</f>
        <v>-1228.31</v>
      </c>
      <c r="J12494" s="18" t="n">
        <v>0</v>
      </c>
      <c r="K12494" s="19" t="n">
        <v>0</v>
      </c>
      <c r="L12494" s="17"/>
    </row>
    <row r="12495" s="11" customFormat="true" ht="10.95" hidden="false" customHeight="true" outlineLevel="0" collapsed="false">
      <c r="A12495" s="16" t="n">
        <v>45140</v>
      </c>
      <c r="B12495" s="17" t="s">
        <v>4548</v>
      </c>
      <c r="C12495" s="17" t="s">
        <v>3614</v>
      </c>
      <c r="D12495" s="17" t="s">
        <v>1391</v>
      </c>
      <c r="E12495" s="17" t="s">
        <v>3651</v>
      </c>
      <c r="F12495" s="17" t="s">
        <v>2258</v>
      </c>
      <c r="G12495" s="18" t="n">
        <v>1.81</v>
      </c>
      <c r="H12495" s="18" t="n">
        <v>0</v>
      </c>
      <c r="I12495" s="18" t="n">
        <f aca="false">((I12494 + G12495) - H12495)</f>
        <v>-1226.5</v>
      </c>
      <c r="J12495" s="18" t="n">
        <v>0</v>
      </c>
      <c r="K12495" s="19" t="n">
        <v>0</v>
      </c>
      <c r="L12495" s="17"/>
    </row>
    <row r="12496" s="11" customFormat="true" ht="10.95" hidden="false" customHeight="true" outlineLevel="0" collapsed="false">
      <c r="A12496" s="16" t="n">
        <v>45140</v>
      </c>
      <c r="B12496" s="17" t="s">
        <v>4548</v>
      </c>
      <c r="C12496" s="17" t="s">
        <v>3614</v>
      </c>
      <c r="D12496" s="17" t="s">
        <v>1407</v>
      </c>
      <c r="E12496" s="17" t="s">
        <v>3804</v>
      </c>
      <c r="F12496" s="17"/>
      <c r="G12496" s="18" t="n">
        <v>3.64</v>
      </c>
      <c r="H12496" s="18" t="n">
        <v>0</v>
      </c>
      <c r="I12496" s="18" t="n">
        <f aca="false">((I12495 + G12496) - H12496)</f>
        <v>-1222.86</v>
      </c>
      <c r="J12496" s="18" t="n">
        <v>0</v>
      </c>
      <c r="K12496" s="19" t="n">
        <v>0</v>
      </c>
      <c r="L12496" s="17"/>
    </row>
    <row r="12497" s="11" customFormat="true" ht="10.95" hidden="false" customHeight="true" outlineLevel="0" collapsed="false">
      <c r="A12497" s="16" t="n">
        <v>45141</v>
      </c>
      <c r="B12497" s="17" t="s">
        <v>4548</v>
      </c>
      <c r="C12497" s="17" t="s">
        <v>3614</v>
      </c>
      <c r="D12497" s="17" t="s">
        <v>162</v>
      </c>
      <c r="E12497" s="17" t="s">
        <v>3454</v>
      </c>
      <c r="F12497" s="17" t="s">
        <v>164</v>
      </c>
      <c r="G12497" s="18" t="n">
        <v>35.4</v>
      </c>
      <c r="H12497" s="18" t="n">
        <v>0</v>
      </c>
      <c r="I12497" s="18" t="n">
        <f aca="false">((I12496 + G12497) - H12497)</f>
        <v>-1187.46</v>
      </c>
      <c r="J12497" s="18" t="n">
        <v>0</v>
      </c>
      <c r="K12497" s="19" t="n">
        <v>0</v>
      </c>
      <c r="L12497" s="17"/>
    </row>
    <row r="12498" s="11" customFormat="true" ht="10.95" hidden="false" customHeight="true" outlineLevel="0" collapsed="false">
      <c r="A12498" s="16" t="n">
        <v>45141</v>
      </c>
      <c r="B12498" s="17" t="s">
        <v>4548</v>
      </c>
      <c r="C12498" s="17" t="s">
        <v>3614</v>
      </c>
      <c r="D12498" s="17" t="s">
        <v>1391</v>
      </c>
      <c r="E12498" s="17" t="s">
        <v>3625</v>
      </c>
      <c r="F12498" s="17" t="s">
        <v>3250</v>
      </c>
      <c r="G12498" s="18" t="n">
        <v>90.68</v>
      </c>
      <c r="H12498" s="18" t="n">
        <v>0</v>
      </c>
      <c r="I12498" s="18" t="n">
        <f aca="false">((I12497 + G12498) - H12498)</f>
        <v>-1096.78</v>
      </c>
      <c r="J12498" s="18" t="n">
        <v>0</v>
      </c>
      <c r="K12498" s="19" t="n">
        <v>0</v>
      </c>
      <c r="L12498" s="17"/>
    </row>
    <row r="12499" s="11" customFormat="true" ht="10.95" hidden="false" customHeight="true" outlineLevel="0" collapsed="false">
      <c r="A12499" s="16" t="n">
        <v>45141</v>
      </c>
      <c r="B12499" s="17" t="s">
        <v>4548</v>
      </c>
      <c r="C12499" s="17" t="s">
        <v>3614</v>
      </c>
      <c r="D12499" s="17" t="s">
        <v>1391</v>
      </c>
      <c r="E12499" s="17" t="s">
        <v>3615</v>
      </c>
      <c r="F12499" s="17" t="s">
        <v>1422</v>
      </c>
      <c r="G12499" s="18" t="n">
        <v>163.5</v>
      </c>
      <c r="H12499" s="18" t="n">
        <v>0</v>
      </c>
      <c r="I12499" s="18" t="n">
        <f aca="false">((I12498 + G12499) - H12499)</f>
        <v>-933.280000000001</v>
      </c>
      <c r="J12499" s="18" t="n">
        <v>0</v>
      </c>
      <c r="K12499" s="19" t="n">
        <v>0</v>
      </c>
      <c r="L12499" s="17"/>
    </row>
    <row r="12500" s="11" customFormat="true" ht="10.95" hidden="false" customHeight="true" outlineLevel="0" collapsed="false">
      <c r="A12500" s="16" t="n">
        <v>45141</v>
      </c>
      <c r="B12500" s="17" t="s">
        <v>4548</v>
      </c>
      <c r="C12500" s="17" t="s">
        <v>3614</v>
      </c>
      <c r="D12500" s="17" t="s">
        <v>1407</v>
      </c>
      <c r="E12500" s="17" t="s">
        <v>2747</v>
      </c>
      <c r="F12500" s="17"/>
      <c r="G12500" s="18" t="n">
        <v>0.64</v>
      </c>
      <c r="H12500" s="18" t="n">
        <v>0</v>
      </c>
      <c r="I12500" s="18" t="n">
        <f aca="false">((I12499 + G12500) - H12500)</f>
        <v>-932.640000000001</v>
      </c>
      <c r="J12500" s="18" t="n">
        <v>0</v>
      </c>
      <c r="K12500" s="19" t="n">
        <v>0</v>
      </c>
      <c r="L12500" s="17"/>
    </row>
    <row r="12501" s="11" customFormat="true" ht="10.95" hidden="false" customHeight="true" outlineLevel="0" collapsed="false">
      <c r="A12501" s="16" t="n">
        <v>45142</v>
      </c>
      <c r="B12501" s="17" t="s">
        <v>4548</v>
      </c>
      <c r="C12501" s="17" t="s">
        <v>3614</v>
      </c>
      <c r="D12501" s="17" t="s">
        <v>1407</v>
      </c>
      <c r="E12501" s="17" t="s">
        <v>3946</v>
      </c>
      <c r="F12501" s="17"/>
      <c r="G12501" s="18" t="n">
        <v>0.37</v>
      </c>
      <c r="H12501" s="18" t="n">
        <v>0</v>
      </c>
      <c r="I12501" s="18" t="n">
        <f aca="false">((I12500 + G12501) - H12501)</f>
        <v>-932.270000000001</v>
      </c>
      <c r="J12501" s="18" t="n">
        <v>0</v>
      </c>
      <c r="K12501" s="19" t="n">
        <v>0</v>
      </c>
      <c r="L12501" s="17"/>
    </row>
    <row r="12502" s="11" customFormat="true" ht="10.95" hidden="false" customHeight="true" outlineLevel="0" collapsed="false">
      <c r="A12502" s="16" t="n">
        <v>45142</v>
      </c>
      <c r="B12502" s="17" t="s">
        <v>4548</v>
      </c>
      <c r="C12502" s="17" t="s">
        <v>3614</v>
      </c>
      <c r="D12502" s="17" t="s">
        <v>1407</v>
      </c>
      <c r="E12502" s="17" t="s">
        <v>3946</v>
      </c>
      <c r="F12502" s="17"/>
      <c r="G12502" s="18" t="n">
        <v>0.55</v>
      </c>
      <c r="H12502" s="18" t="n">
        <v>0</v>
      </c>
      <c r="I12502" s="18" t="n">
        <f aca="false">((I12501 + G12502) - H12502)</f>
        <v>-931.720000000001</v>
      </c>
      <c r="J12502" s="18" t="n">
        <v>0</v>
      </c>
      <c r="K12502" s="19" t="n">
        <v>0</v>
      </c>
      <c r="L12502" s="17"/>
    </row>
    <row r="12503" s="11" customFormat="true" ht="10.95" hidden="false" customHeight="true" outlineLevel="0" collapsed="false">
      <c r="A12503" s="16" t="n">
        <v>45142</v>
      </c>
      <c r="B12503" s="17" t="s">
        <v>4548</v>
      </c>
      <c r="C12503" s="17" t="s">
        <v>3614</v>
      </c>
      <c r="D12503" s="17" t="s">
        <v>1407</v>
      </c>
      <c r="E12503" s="17" t="s">
        <v>3954</v>
      </c>
      <c r="F12503" s="17"/>
      <c r="G12503" s="18" t="n">
        <v>27.18</v>
      </c>
      <c r="H12503" s="18" t="n">
        <v>0</v>
      </c>
      <c r="I12503" s="18" t="n">
        <f aca="false">((I12502 + G12503) - H12503)</f>
        <v>-904.540000000001</v>
      </c>
      <c r="J12503" s="18" t="n">
        <v>0</v>
      </c>
      <c r="K12503" s="19" t="n">
        <v>0</v>
      </c>
      <c r="L12503" s="17"/>
    </row>
    <row r="12504" s="11" customFormat="true" ht="10.95" hidden="false" customHeight="true" outlineLevel="0" collapsed="false">
      <c r="A12504" s="16" t="n">
        <v>45142</v>
      </c>
      <c r="B12504" s="17" t="s">
        <v>4548</v>
      </c>
      <c r="C12504" s="17" t="s">
        <v>3614</v>
      </c>
      <c r="D12504" s="17" t="s">
        <v>1407</v>
      </c>
      <c r="E12504" s="17" t="s">
        <v>3632</v>
      </c>
      <c r="F12504" s="17"/>
      <c r="G12504" s="18" t="n">
        <v>150</v>
      </c>
      <c r="H12504" s="18" t="n">
        <v>0</v>
      </c>
      <c r="I12504" s="18" t="n">
        <f aca="false">((I12503 + G12504) - H12504)</f>
        <v>-754.540000000001</v>
      </c>
      <c r="J12504" s="18" t="n">
        <v>0</v>
      </c>
      <c r="K12504" s="19" t="n">
        <v>0</v>
      </c>
      <c r="L12504" s="17"/>
    </row>
    <row r="12505" s="11" customFormat="true" ht="10.95" hidden="false" customHeight="true" outlineLevel="0" collapsed="false">
      <c r="A12505" s="16" t="n">
        <v>45142</v>
      </c>
      <c r="B12505" s="17" t="s">
        <v>4548</v>
      </c>
      <c r="C12505" s="17" t="s">
        <v>3614</v>
      </c>
      <c r="D12505" s="17" t="s">
        <v>1407</v>
      </c>
      <c r="E12505" s="17" t="s">
        <v>3882</v>
      </c>
      <c r="F12505" s="17"/>
      <c r="G12505" s="18" t="n">
        <v>6.99</v>
      </c>
      <c r="H12505" s="18" t="n">
        <v>0</v>
      </c>
      <c r="I12505" s="18" t="n">
        <f aca="false">((I12504 + G12505) - H12505)</f>
        <v>-747.550000000001</v>
      </c>
      <c r="J12505" s="18" t="n">
        <v>0</v>
      </c>
      <c r="K12505" s="19" t="n">
        <v>0</v>
      </c>
      <c r="L12505" s="17"/>
    </row>
    <row r="12506" s="11" customFormat="true" ht="10.95" hidden="false" customHeight="true" outlineLevel="0" collapsed="false">
      <c r="A12506" s="16" t="n">
        <v>45142</v>
      </c>
      <c r="B12506" s="17" t="s">
        <v>4548</v>
      </c>
      <c r="C12506" s="17" t="s">
        <v>3614</v>
      </c>
      <c r="D12506" s="17" t="s">
        <v>1407</v>
      </c>
      <c r="E12506" s="17" t="s">
        <v>3882</v>
      </c>
      <c r="F12506" s="17"/>
      <c r="G12506" s="18" t="n">
        <v>3.99</v>
      </c>
      <c r="H12506" s="18" t="n">
        <v>0</v>
      </c>
      <c r="I12506" s="18" t="n">
        <f aca="false">((I12505 + G12506) - H12506)</f>
        <v>-743.560000000001</v>
      </c>
      <c r="J12506" s="18" t="n">
        <v>0</v>
      </c>
      <c r="K12506" s="19" t="n">
        <v>0</v>
      </c>
      <c r="L12506" s="17"/>
    </row>
    <row r="12507" s="11" customFormat="true" ht="10.95" hidden="false" customHeight="true" outlineLevel="0" collapsed="false">
      <c r="A12507" s="16" t="n">
        <v>45143</v>
      </c>
      <c r="B12507" s="17" t="s">
        <v>4548</v>
      </c>
      <c r="C12507" s="17" t="s">
        <v>3614</v>
      </c>
      <c r="D12507" s="17" t="s">
        <v>1391</v>
      </c>
      <c r="E12507" s="17" t="s">
        <v>3653</v>
      </c>
      <c r="F12507" s="17" t="s">
        <v>1640</v>
      </c>
      <c r="G12507" s="18" t="n">
        <v>540</v>
      </c>
      <c r="H12507" s="18" t="n">
        <v>0</v>
      </c>
      <c r="I12507" s="18" t="n">
        <f aca="false">((I12506 + G12507) - H12507)</f>
        <v>-203.560000000001</v>
      </c>
      <c r="J12507" s="18" t="n">
        <v>0</v>
      </c>
      <c r="K12507" s="19" t="n">
        <v>0</v>
      </c>
      <c r="L12507" s="17"/>
    </row>
    <row r="12508" s="11" customFormat="true" ht="10.95" hidden="false" customHeight="true" outlineLevel="0" collapsed="false">
      <c r="A12508" s="16" t="n">
        <v>45143</v>
      </c>
      <c r="B12508" s="17" t="s">
        <v>4548</v>
      </c>
      <c r="C12508" s="17" t="s">
        <v>3614</v>
      </c>
      <c r="D12508" s="17" t="s">
        <v>1407</v>
      </c>
      <c r="E12508" s="17" t="s">
        <v>3955</v>
      </c>
      <c r="F12508" s="17"/>
      <c r="G12508" s="18" t="n">
        <v>4.32</v>
      </c>
      <c r="H12508" s="18" t="n">
        <v>0</v>
      </c>
      <c r="I12508" s="18" t="n">
        <f aca="false">((I12507 + G12508) - H12508)</f>
        <v>-199.240000000001</v>
      </c>
      <c r="J12508" s="18" t="n">
        <v>0</v>
      </c>
      <c r="K12508" s="19" t="n">
        <v>0</v>
      </c>
      <c r="L12508" s="17"/>
    </row>
    <row r="12509" s="11" customFormat="true" ht="10.95" hidden="false" customHeight="true" outlineLevel="0" collapsed="false">
      <c r="A12509" s="16" t="n">
        <v>45145</v>
      </c>
      <c r="B12509" s="17" t="s">
        <v>4548</v>
      </c>
      <c r="C12509" s="17" t="s">
        <v>3614</v>
      </c>
      <c r="D12509" s="17" t="s">
        <v>1391</v>
      </c>
      <c r="E12509" s="17" t="s">
        <v>3615</v>
      </c>
      <c r="F12509" s="17" t="s">
        <v>1424</v>
      </c>
      <c r="G12509" s="18" t="n">
        <v>1202.13</v>
      </c>
      <c r="H12509" s="18" t="n">
        <v>0</v>
      </c>
      <c r="I12509" s="18" t="n">
        <f aca="false">((I12508 + G12509) - H12509)</f>
        <v>1002.89</v>
      </c>
      <c r="J12509" s="18" t="n">
        <v>0</v>
      </c>
      <c r="K12509" s="19" t="n">
        <v>0</v>
      </c>
      <c r="L12509" s="17"/>
    </row>
    <row r="12510" s="11" customFormat="true" ht="10.95" hidden="false" customHeight="true" outlineLevel="0" collapsed="false">
      <c r="A12510" s="16" t="n">
        <v>45145</v>
      </c>
      <c r="B12510" s="17" t="s">
        <v>4548</v>
      </c>
      <c r="C12510" s="17" t="s">
        <v>3614</v>
      </c>
      <c r="D12510" s="17" t="s">
        <v>1407</v>
      </c>
      <c r="E12510" s="17" t="s">
        <v>3888</v>
      </c>
      <c r="F12510" s="17"/>
      <c r="G12510" s="18" t="n">
        <v>292.49</v>
      </c>
      <c r="H12510" s="18" t="n">
        <v>0</v>
      </c>
      <c r="I12510" s="18" t="n">
        <f aca="false">((I12509 + G12510) - H12510)</f>
        <v>1295.38</v>
      </c>
      <c r="J12510" s="18" t="n">
        <v>0</v>
      </c>
      <c r="K12510" s="19" t="n">
        <v>0</v>
      </c>
      <c r="L12510" s="17"/>
    </row>
    <row r="12511" s="11" customFormat="true" ht="10.95" hidden="false" customHeight="true" outlineLevel="0" collapsed="false">
      <c r="A12511" s="16" t="n">
        <v>45145</v>
      </c>
      <c r="B12511" s="17" t="s">
        <v>4548</v>
      </c>
      <c r="C12511" s="17" t="s">
        <v>3614</v>
      </c>
      <c r="D12511" s="17" t="s">
        <v>1407</v>
      </c>
      <c r="E12511" s="17" t="s">
        <v>3756</v>
      </c>
      <c r="F12511" s="17"/>
      <c r="G12511" s="18" t="n">
        <v>1.5</v>
      </c>
      <c r="H12511" s="18" t="n">
        <v>0</v>
      </c>
      <c r="I12511" s="18" t="n">
        <f aca="false">((I12510 + G12511) - H12511)</f>
        <v>1296.88</v>
      </c>
      <c r="J12511" s="18" t="n">
        <v>0</v>
      </c>
      <c r="K12511" s="19" t="n">
        <v>0</v>
      </c>
      <c r="L12511" s="17"/>
    </row>
    <row r="12512" s="11" customFormat="true" ht="10.95" hidden="false" customHeight="true" outlineLevel="0" collapsed="false">
      <c r="A12512" s="16" t="n">
        <v>45145</v>
      </c>
      <c r="B12512" s="17" t="s">
        <v>4548</v>
      </c>
      <c r="C12512" s="17" t="s">
        <v>3614</v>
      </c>
      <c r="D12512" s="17" t="s">
        <v>1391</v>
      </c>
      <c r="E12512" s="17" t="s">
        <v>3655</v>
      </c>
      <c r="F12512" s="17" t="s">
        <v>1642</v>
      </c>
      <c r="G12512" s="18" t="n">
        <v>11.73</v>
      </c>
      <c r="H12512" s="18" t="n">
        <v>0</v>
      </c>
      <c r="I12512" s="18" t="n">
        <f aca="false">((I12511 + G12512) - H12512)</f>
        <v>1308.61</v>
      </c>
      <c r="J12512" s="18" t="n">
        <v>0</v>
      </c>
      <c r="K12512" s="19" t="n">
        <v>0</v>
      </c>
      <c r="L12512" s="17"/>
    </row>
    <row r="12513" s="11" customFormat="true" ht="10.95" hidden="false" customHeight="true" outlineLevel="0" collapsed="false">
      <c r="A12513" s="16" t="n">
        <v>45146</v>
      </c>
      <c r="B12513" s="17" t="s">
        <v>4548</v>
      </c>
      <c r="C12513" s="17" t="s">
        <v>3614</v>
      </c>
      <c r="D12513" s="17" t="s">
        <v>1407</v>
      </c>
      <c r="E12513" s="17" t="s">
        <v>2747</v>
      </c>
      <c r="F12513" s="17"/>
      <c r="G12513" s="18" t="n">
        <v>0.64</v>
      </c>
      <c r="H12513" s="18" t="n">
        <v>0</v>
      </c>
      <c r="I12513" s="18" t="n">
        <f aca="false">((I12512 + G12513) - H12513)</f>
        <v>1309.25</v>
      </c>
      <c r="J12513" s="18" t="n">
        <v>0</v>
      </c>
      <c r="K12513" s="19" t="n">
        <v>0</v>
      </c>
      <c r="L12513" s="17"/>
    </row>
    <row r="12514" s="11" customFormat="true" ht="10.95" hidden="false" customHeight="true" outlineLevel="0" collapsed="false">
      <c r="A12514" s="16" t="n">
        <v>45146</v>
      </c>
      <c r="B12514" s="17" t="s">
        <v>4548</v>
      </c>
      <c r="C12514" s="17" t="s">
        <v>3614</v>
      </c>
      <c r="D12514" s="17" t="s">
        <v>1407</v>
      </c>
      <c r="E12514" s="17" t="s">
        <v>3642</v>
      </c>
      <c r="F12514" s="17"/>
      <c r="G12514" s="18" t="n">
        <v>0.82</v>
      </c>
      <c r="H12514" s="18" t="n">
        <v>0</v>
      </c>
      <c r="I12514" s="18" t="n">
        <f aca="false">((I12513 + G12514) - H12514)</f>
        <v>1310.07</v>
      </c>
      <c r="J12514" s="18" t="n">
        <v>0</v>
      </c>
      <c r="K12514" s="19" t="n">
        <v>0</v>
      </c>
      <c r="L12514" s="17"/>
    </row>
    <row r="12515" s="11" customFormat="true" ht="10.95" hidden="false" customHeight="true" outlineLevel="0" collapsed="false">
      <c r="A12515" s="16" t="n">
        <v>45146</v>
      </c>
      <c r="B12515" s="17" t="s">
        <v>4548</v>
      </c>
      <c r="C12515" s="17" t="s">
        <v>3614</v>
      </c>
      <c r="D12515" s="17" t="s">
        <v>1407</v>
      </c>
      <c r="E12515" s="17" t="s">
        <v>3736</v>
      </c>
      <c r="F12515" s="17"/>
      <c r="G12515" s="18" t="n">
        <v>1.18</v>
      </c>
      <c r="H12515" s="18" t="n">
        <v>0</v>
      </c>
      <c r="I12515" s="18" t="n">
        <f aca="false">((I12514 + G12515) - H12515)</f>
        <v>1311.25</v>
      </c>
      <c r="J12515" s="18" t="n">
        <v>0</v>
      </c>
      <c r="K12515" s="19" t="n">
        <v>0</v>
      </c>
      <c r="L12515" s="17"/>
    </row>
    <row r="12516" s="11" customFormat="true" ht="10.95" hidden="false" customHeight="true" outlineLevel="0" collapsed="false">
      <c r="A12516" s="16" t="n">
        <v>45146</v>
      </c>
      <c r="B12516" s="17" t="s">
        <v>4548</v>
      </c>
      <c r="C12516" s="17" t="s">
        <v>3614</v>
      </c>
      <c r="D12516" s="17" t="s">
        <v>1407</v>
      </c>
      <c r="E12516" s="17" t="s">
        <v>3642</v>
      </c>
      <c r="F12516" s="17"/>
      <c r="G12516" s="18" t="n">
        <v>1.65</v>
      </c>
      <c r="H12516" s="18" t="n">
        <v>0</v>
      </c>
      <c r="I12516" s="18" t="n">
        <f aca="false">((I12515 + G12516) - H12516)</f>
        <v>1312.9</v>
      </c>
      <c r="J12516" s="18" t="n">
        <v>0</v>
      </c>
      <c r="K12516" s="19" t="n">
        <v>0</v>
      </c>
      <c r="L12516" s="17"/>
    </row>
    <row r="12517" s="11" customFormat="true" ht="10.95" hidden="false" customHeight="true" outlineLevel="0" collapsed="false">
      <c r="A12517" s="16" t="n">
        <v>45146</v>
      </c>
      <c r="B12517" s="17" t="s">
        <v>4548</v>
      </c>
      <c r="C12517" s="17" t="s">
        <v>3614</v>
      </c>
      <c r="D12517" s="17" t="s">
        <v>1407</v>
      </c>
      <c r="E12517" s="17" t="s">
        <v>3642</v>
      </c>
      <c r="F12517" s="17"/>
      <c r="G12517" s="18" t="n">
        <v>1.72</v>
      </c>
      <c r="H12517" s="18" t="n">
        <v>0</v>
      </c>
      <c r="I12517" s="18" t="n">
        <f aca="false">((I12516 + G12517) - H12517)</f>
        <v>1314.62</v>
      </c>
      <c r="J12517" s="18" t="n">
        <v>0</v>
      </c>
      <c r="K12517" s="19" t="n">
        <v>0</v>
      </c>
      <c r="L12517" s="17"/>
    </row>
    <row r="12518" s="11" customFormat="true" ht="10.95" hidden="false" customHeight="true" outlineLevel="0" collapsed="false">
      <c r="A12518" s="16" t="n">
        <v>45146</v>
      </c>
      <c r="B12518" s="17" t="s">
        <v>4548</v>
      </c>
      <c r="C12518" s="17" t="s">
        <v>3614</v>
      </c>
      <c r="D12518" s="17" t="s">
        <v>1407</v>
      </c>
      <c r="E12518" s="17" t="s">
        <v>3626</v>
      </c>
      <c r="F12518" s="17"/>
      <c r="G12518" s="18" t="n">
        <v>6.5</v>
      </c>
      <c r="H12518" s="18" t="n">
        <v>0</v>
      </c>
      <c r="I12518" s="18" t="n">
        <f aca="false">((I12517 + G12518) - H12518)</f>
        <v>1321.12</v>
      </c>
      <c r="J12518" s="18" t="n">
        <v>0</v>
      </c>
      <c r="K12518" s="19" t="n">
        <v>0</v>
      </c>
      <c r="L12518" s="17"/>
    </row>
    <row r="12519" s="11" customFormat="true" ht="10.95" hidden="false" customHeight="true" outlineLevel="0" collapsed="false">
      <c r="A12519" s="16" t="n">
        <v>45146</v>
      </c>
      <c r="B12519" s="17" t="s">
        <v>4548</v>
      </c>
      <c r="C12519" s="17" t="s">
        <v>3614</v>
      </c>
      <c r="D12519" s="17" t="s">
        <v>1407</v>
      </c>
      <c r="E12519" s="17" t="s">
        <v>3958</v>
      </c>
      <c r="F12519" s="17"/>
      <c r="G12519" s="18" t="n">
        <v>40.8</v>
      </c>
      <c r="H12519" s="18" t="n">
        <v>0</v>
      </c>
      <c r="I12519" s="18" t="n">
        <f aca="false">((I12518 + G12519) - H12519)</f>
        <v>1361.92</v>
      </c>
      <c r="J12519" s="18" t="n">
        <v>0</v>
      </c>
      <c r="K12519" s="19" t="n">
        <v>0</v>
      </c>
      <c r="L12519" s="17"/>
    </row>
    <row r="12520" s="11" customFormat="true" ht="10.95" hidden="false" customHeight="true" outlineLevel="0" collapsed="false">
      <c r="A12520" s="16" t="n">
        <v>45147</v>
      </c>
      <c r="B12520" s="17" t="s">
        <v>4548</v>
      </c>
      <c r="C12520" s="17" t="s">
        <v>3614</v>
      </c>
      <c r="D12520" s="17" t="s">
        <v>1391</v>
      </c>
      <c r="E12520" s="17" t="s">
        <v>3639</v>
      </c>
      <c r="F12520" s="17" t="s">
        <v>1642</v>
      </c>
      <c r="G12520" s="18" t="n">
        <v>3.64</v>
      </c>
      <c r="H12520" s="18" t="n">
        <v>0</v>
      </c>
      <c r="I12520" s="18" t="n">
        <f aca="false">((I12519 + G12520) - H12520)</f>
        <v>1365.56</v>
      </c>
      <c r="J12520" s="18" t="n">
        <v>0</v>
      </c>
      <c r="K12520" s="19" t="n">
        <v>0</v>
      </c>
      <c r="L12520" s="17"/>
    </row>
    <row r="12521" s="11" customFormat="true" ht="10.95" hidden="false" customHeight="true" outlineLevel="0" collapsed="false">
      <c r="A12521" s="16" t="n">
        <v>45147</v>
      </c>
      <c r="B12521" s="17" t="s">
        <v>4548</v>
      </c>
      <c r="C12521" s="17" t="s">
        <v>3614</v>
      </c>
      <c r="D12521" s="17" t="s">
        <v>19</v>
      </c>
      <c r="E12521" s="17" t="s">
        <v>3483</v>
      </c>
      <c r="F12521" s="17" t="s">
        <v>166</v>
      </c>
      <c r="G12521" s="18" t="n">
        <v>0</v>
      </c>
      <c r="H12521" s="18" t="n">
        <v>32</v>
      </c>
      <c r="I12521" s="18" t="n">
        <f aca="false">((I12520 + G12521) - H12521)</f>
        <v>1333.56</v>
      </c>
      <c r="J12521" s="18" t="n">
        <v>0</v>
      </c>
      <c r="K12521" s="19" t="n">
        <v>0</v>
      </c>
      <c r="L12521" s="17"/>
    </row>
    <row r="12522" s="11" customFormat="true" ht="10.95" hidden="false" customHeight="true" outlineLevel="0" collapsed="false">
      <c r="A12522" s="16" t="n">
        <v>45147</v>
      </c>
      <c r="B12522" s="17" t="s">
        <v>4548</v>
      </c>
      <c r="C12522" s="17" t="s">
        <v>3614</v>
      </c>
      <c r="D12522" s="17" t="s">
        <v>1407</v>
      </c>
      <c r="E12522" s="17" t="s">
        <v>2747</v>
      </c>
      <c r="F12522" s="17"/>
      <c r="G12522" s="18" t="n">
        <v>0.64</v>
      </c>
      <c r="H12522" s="18" t="n">
        <v>0</v>
      </c>
      <c r="I12522" s="18" t="n">
        <f aca="false">((I12521 + G12522) - H12522)</f>
        <v>1334.2</v>
      </c>
      <c r="J12522" s="18" t="n">
        <v>0</v>
      </c>
      <c r="K12522" s="19" t="n">
        <v>0</v>
      </c>
      <c r="L12522" s="17"/>
    </row>
    <row r="12523" s="11" customFormat="true" ht="10.95" hidden="false" customHeight="true" outlineLevel="0" collapsed="false">
      <c r="A12523" s="16" t="n">
        <v>45147</v>
      </c>
      <c r="B12523" s="17" t="s">
        <v>4548</v>
      </c>
      <c r="C12523" s="17" t="s">
        <v>3614</v>
      </c>
      <c r="D12523" s="17" t="s">
        <v>1407</v>
      </c>
      <c r="E12523" s="17" t="s">
        <v>3666</v>
      </c>
      <c r="F12523" s="17"/>
      <c r="G12523" s="18" t="n">
        <v>38.63</v>
      </c>
      <c r="H12523" s="18" t="n">
        <v>0</v>
      </c>
      <c r="I12523" s="18" t="n">
        <f aca="false">((I12522 + G12523) - H12523)</f>
        <v>1372.83</v>
      </c>
      <c r="J12523" s="18" t="n">
        <v>0</v>
      </c>
      <c r="K12523" s="19" t="n">
        <v>0</v>
      </c>
      <c r="L12523" s="17"/>
    </row>
    <row r="12524" s="11" customFormat="true" ht="10.95" hidden="false" customHeight="true" outlineLevel="0" collapsed="false">
      <c r="A12524" s="16" t="n">
        <v>45147</v>
      </c>
      <c r="B12524" s="17" t="s">
        <v>4548</v>
      </c>
      <c r="C12524" s="17" t="s">
        <v>3614</v>
      </c>
      <c r="D12524" s="17" t="s">
        <v>1391</v>
      </c>
      <c r="E12524" s="17" t="s">
        <v>3655</v>
      </c>
      <c r="F12524" s="17" t="s">
        <v>1642</v>
      </c>
      <c r="G12524" s="18" t="n">
        <v>1.41</v>
      </c>
      <c r="H12524" s="18" t="n">
        <v>0</v>
      </c>
      <c r="I12524" s="18" t="n">
        <f aca="false">((I12523 + G12524) - H12524)</f>
        <v>1374.24</v>
      </c>
      <c r="J12524" s="18" t="n">
        <v>0</v>
      </c>
      <c r="K12524" s="19" t="n">
        <v>0</v>
      </c>
      <c r="L12524" s="17"/>
    </row>
    <row r="12525" s="11" customFormat="true" ht="10.95" hidden="false" customHeight="true" outlineLevel="0" collapsed="false">
      <c r="A12525" s="16" t="n">
        <v>45147</v>
      </c>
      <c r="B12525" s="17" t="s">
        <v>4548</v>
      </c>
      <c r="C12525" s="17" t="s">
        <v>3614</v>
      </c>
      <c r="D12525" s="17" t="s">
        <v>1391</v>
      </c>
      <c r="E12525" s="17" t="s">
        <v>3638</v>
      </c>
      <c r="F12525" s="17" t="s">
        <v>3252</v>
      </c>
      <c r="G12525" s="18" t="n">
        <v>278.5</v>
      </c>
      <c r="H12525" s="18" t="n">
        <v>0</v>
      </c>
      <c r="I12525" s="18" t="n">
        <f aca="false">((I12524 + G12525) - H12525)</f>
        <v>1652.74</v>
      </c>
      <c r="J12525" s="18" t="n">
        <v>0</v>
      </c>
      <c r="K12525" s="19" t="n">
        <v>0</v>
      </c>
      <c r="L12525" s="17"/>
    </row>
    <row r="12526" s="11" customFormat="true" ht="10.95" hidden="false" customHeight="true" outlineLevel="0" collapsed="false">
      <c r="A12526" s="16" t="n">
        <v>45148</v>
      </c>
      <c r="B12526" s="17" t="s">
        <v>4548</v>
      </c>
      <c r="C12526" s="17" t="s">
        <v>3614</v>
      </c>
      <c r="D12526" s="17" t="s">
        <v>1407</v>
      </c>
      <c r="E12526" s="17" t="s">
        <v>3896</v>
      </c>
      <c r="F12526" s="17"/>
      <c r="G12526" s="18" t="n">
        <v>1.73</v>
      </c>
      <c r="H12526" s="18" t="n">
        <v>0</v>
      </c>
      <c r="I12526" s="18" t="n">
        <f aca="false">((I12525 + G12526) - H12526)</f>
        <v>1654.47</v>
      </c>
      <c r="J12526" s="18" t="n">
        <v>0</v>
      </c>
      <c r="K12526" s="19" t="n">
        <v>0</v>
      </c>
      <c r="L12526" s="17"/>
    </row>
    <row r="12527" s="11" customFormat="true" ht="10.95" hidden="false" customHeight="true" outlineLevel="0" collapsed="false">
      <c r="A12527" s="16" t="n">
        <v>45148</v>
      </c>
      <c r="B12527" s="17" t="s">
        <v>4548</v>
      </c>
      <c r="C12527" s="17" t="s">
        <v>3614</v>
      </c>
      <c r="D12527" s="17" t="s">
        <v>1391</v>
      </c>
      <c r="E12527" s="17" t="s">
        <v>3661</v>
      </c>
      <c r="F12527" s="17" t="s">
        <v>1657</v>
      </c>
      <c r="G12527" s="18" t="n">
        <v>300</v>
      </c>
      <c r="H12527" s="18" t="n">
        <v>0</v>
      </c>
      <c r="I12527" s="18" t="n">
        <f aca="false">((I12526 + G12527) - H12527)</f>
        <v>1954.47</v>
      </c>
      <c r="J12527" s="18" t="n">
        <v>0</v>
      </c>
      <c r="K12527" s="19" t="n">
        <v>0</v>
      </c>
      <c r="L12527" s="17"/>
    </row>
    <row r="12528" s="11" customFormat="true" ht="10.95" hidden="false" customHeight="true" outlineLevel="0" collapsed="false">
      <c r="A12528" s="16" t="n">
        <v>45150</v>
      </c>
      <c r="B12528" s="17" t="s">
        <v>4548</v>
      </c>
      <c r="C12528" s="17" t="s">
        <v>3614</v>
      </c>
      <c r="D12528" s="17" t="s">
        <v>1407</v>
      </c>
      <c r="E12528" s="17" t="s">
        <v>3783</v>
      </c>
      <c r="F12528" s="17"/>
      <c r="G12528" s="18" t="n">
        <v>4.39</v>
      </c>
      <c r="H12528" s="18" t="n">
        <v>0</v>
      </c>
      <c r="I12528" s="18" t="n">
        <f aca="false">((I12527 + G12528) - H12528)</f>
        <v>1958.86</v>
      </c>
      <c r="J12528" s="18" t="n">
        <v>0</v>
      </c>
      <c r="K12528" s="19" t="n">
        <v>0</v>
      </c>
      <c r="L12528" s="17"/>
    </row>
    <row r="12529" s="11" customFormat="true" ht="10.95" hidden="false" customHeight="true" outlineLevel="0" collapsed="false">
      <c r="A12529" s="16" t="n">
        <v>45152</v>
      </c>
      <c r="B12529" s="17" t="s">
        <v>4548</v>
      </c>
      <c r="C12529" s="17" t="s">
        <v>3614</v>
      </c>
      <c r="D12529" s="17" t="s">
        <v>1391</v>
      </c>
      <c r="E12529" s="17" t="s">
        <v>3641</v>
      </c>
      <c r="F12529" s="17" t="s">
        <v>2638</v>
      </c>
      <c r="G12529" s="18" t="n">
        <v>16.11</v>
      </c>
      <c r="H12529" s="18" t="n">
        <v>0</v>
      </c>
      <c r="I12529" s="18" t="n">
        <f aca="false">((I12528 + G12529) - H12529)</f>
        <v>1974.97</v>
      </c>
      <c r="J12529" s="18" t="n">
        <v>0</v>
      </c>
      <c r="K12529" s="19" t="n">
        <v>0</v>
      </c>
      <c r="L12529" s="17"/>
    </row>
    <row r="12530" s="11" customFormat="true" ht="10.95" hidden="false" customHeight="true" outlineLevel="0" collapsed="false">
      <c r="A12530" s="16" t="n">
        <v>45152</v>
      </c>
      <c r="B12530" s="17" t="s">
        <v>4548</v>
      </c>
      <c r="C12530" s="17" t="s">
        <v>3614</v>
      </c>
      <c r="D12530" s="17" t="s">
        <v>1391</v>
      </c>
      <c r="E12530" s="17" t="s">
        <v>3664</v>
      </c>
      <c r="F12530" s="17" t="s">
        <v>3254</v>
      </c>
      <c r="G12530" s="18" t="n">
        <v>55</v>
      </c>
      <c r="H12530" s="18" t="n">
        <v>0</v>
      </c>
      <c r="I12530" s="18" t="n">
        <f aca="false">((I12529 + G12530) - H12530)</f>
        <v>2029.97</v>
      </c>
      <c r="J12530" s="18" t="n">
        <v>0</v>
      </c>
      <c r="K12530" s="19" t="n">
        <v>0</v>
      </c>
      <c r="L12530" s="17"/>
    </row>
    <row r="12531" s="11" customFormat="true" ht="10.95" hidden="false" customHeight="true" outlineLevel="0" collapsed="false">
      <c r="A12531" s="16" t="n">
        <v>45153</v>
      </c>
      <c r="B12531" s="17" t="s">
        <v>4548</v>
      </c>
      <c r="C12531" s="17" t="s">
        <v>3614</v>
      </c>
      <c r="D12531" s="17" t="s">
        <v>1407</v>
      </c>
      <c r="E12531" s="17" t="s">
        <v>2747</v>
      </c>
      <c r="F12531" s="17"/>
      <c r="G12531" s="18" t="n">
        <v>0.64</v>
      </c>
      <c r="H12531" s="18" t="n">
        <v>0</v>
      </c>
      <c r="I12531" s="18" t="n">
        <f aca="false">((I12530 + G12531) - H12531)</f>
        <v>2030.61</v>
      </c>
      <c r="J12531" s="18" t="n">
        <v>0</v>
      </c>
      <c r="K12531" s="19" t="n">
        <v>0</v>
      </c>
      <c r="L12531" s="17"/>
    </row>
    <row r="12532" s="11" customFormat="true" ht="10.95" hidden="false" customHeight="true" outlineLevel="0" collapsed="false">
      <c r="A12532" s="16" t="n">
        <v>45154</v>
      </c>
      <c r="B12532" s="17" t="s">
        <v>4548</v>
      </c>
      <c r="C12532" s="17" t="s">
        <v>3614</v>
      </c>
      <c r="D12532" s="17" t="s">
        <v>1407</v>
      </c>
      <c r="E12532" s="17" t="s">
        <v>2747</v>
      </c>
      <c r="F12532" s="17"/>
      <c r="G12532" s="18" t="n">
        <v>0.64</v>
      </c>
      <c r="H12532" s="18" t="n">
        <v>0</v>
      </c>
      <c r="I12532" s="18" t="n">
        <f aca="false">((I12531 + G12532) - H12532)</f>
        <v>2031.25</v>
      </c>
      <c r="J12532" s="18" t="n">
        <v>0</v>
      </c>
      <c r="K12532" s="19" t="n">
        <v>0</v>
      </c>
      <c r="L12532" s="17"/>
    </row>
    <row r="12533" s="11" customFormat="true" ht="10.95" hidden="false" customHeight="true" outlineLevel="0" collapsed="false">
      <c r="A12533" s="16" t="n">
        <v>45154</v>
      </c>
      <c r="B12533" s="17" t="s">
        <v>4548</v>
      </c>
      <c r="C12533" s="17" t="s">
        <v>3614</v>
      </c>
      <c r="D12533" s="17" t="s">
        <v>1407</v>
      </c>
      <c r="E12533" s="17" t="s">
        <v>3900</v>
      </c>
      <c r="F12533" s="17"/>
      <c r="G12533" s="18" t="n">
        <v>1.36</v>
      </c>
      <c r="H12533" s="18" t="n">
        <v>0</v>
      </c>
      <c r="I12533" s="18" t="n">
        <f aca="false">((I12532 + G12533) - H12533)</f>
        <v>2032.61</v>
      </c>
      <c r="J12533" s="18" t="n">
        <v>0</v>
      </c>
      <c r="K12533" s="19" t="n">
        <v>0</v>
      </c>
      <c r="L12533" s="17"/>
    </row>
    <row r="12534" s="11" customFormat="true" ht="10.95" hidden="false" customHeight="true" outlineLevel="0" collapsed="false">
      <c r="A12534" s="16" t="n">
        <v>45154</v>
      </c>
      <c r="B12534" s="17" t="s">
        <v>4548</v>
      </c>
      <c r="C12534" s="17" t="s">
        <v>3614</v>
      </c>
      <c r="D12534" s="17" t="s">
        <v>1407</v>
      </c>
      <c r="E12534" s="17" t="s">
        <v>3899</v>
      </c>
      <c r="F12534" s="17"/>
      <c r="G12534" s="18" t="n">
        <v>1.48</v>
      </c>
      <c r="H12534" s="18" t="n">
        <v>0</v>
      </c>
      <c r="I12534" s="18" t="n">
        <f aca="false">((I12533 + G12534) - H12534)</f>
        <v>2034.09</v>
      </c>
      <c r="J12534" s="18" t="n">
        <v>0</v>
      </c>
      <c r="K12534" s="19" t="n">
        <v>0</v>
      </c>
      <c r="L12534" s="17"/>
    </row>
    <row r="12535" s="11" customFormat="true" ht="10.95" hidden="false" customHeight="true" outlineLevel="0" collapsed="false">
      <c r="A12535" s="16" t="n">
        <v>45155</v>
      </c>
      <c r="B12535" s="17" t="s">
        <v>4548</v>
      </c>
      <c r="C12535" s="17" t="s">
        <v>3614</v>
      </c>
      <c r="D12535" s="17" t="s">
        <v>1407</v>
      </c>
      <c r="E12535" s="17" t="s">
        <v>3904</v>
      </c>
      <c r="F12535" s="17"/>
      <c r="G12535" s="18" t="n">
        <v>8.09</v>
      </c>
      <c r="H12535" s="18" t="n">
        <v>0</v>
      </c>
      <c r="I12535" s="18" t="n">
        <f aca="false">((I12534 + G12535) - H12535)</f>
        <v>2042.18</v>
      </c>
      <c r="J12535" s="18" t="n">
        <v>0</v>
      </c>
      <c r="K12535" s="19" t="n">
        <v>0</v>
      </c>
      <c r="L12535" s="17"/>
    </row>
    <row r="12536" s="11" customFormat="true" ht="10.95" hidden="false" customHeight="true" outlineLevel="0" collapsed="false">
      <c r="A12536" s="16" t="n">
        <v>45155</v>
      </c>
      <c r="B12536" s="17" t="s">
        <v>4548</v>
      </c>
      <c r="C12536" s="17" t="s">
        <v>3614</v>
      </c>
      <c r="D12536" s="17" t="s">
        <v>1391</v>
      </c>
      <c r="E12536" s="17" t="s">
        <v>3666</v>
      </c>
      <c r="F12536" s="17" t="s">
        <v>2640</v>
      </c>
      <c r="G12536" s="18" t="n">
        <v>42.17</v>
      </c>
      <c r="H12536" s="18" t="n">
        <v>0</v>
      </c>
      <c r="I12536" s="18" t="n">
        <f aca="false">((I12535 + G12536) - H12536)</f>
        <v>2084.35</v>
      </c>
      <c r="J12536" s="18" t="n">
        <v>0</v>
      </c>
      <c r="K12536" s="19" t="n">
        <v>0</v>
      </c>
      <c r="L12536" s="17"/>
    </row>
    <row r="12537" s="11" customFormat="true" ht="10.95" hidden="false" customHeight="true" outlineLevel="0" collapsed="false">
      <c r="A12537" s="16" t="n">
        <v>45156</v>
      </c>
      <c r="B12537" s="17" t="s">
        <v>4548</v>
      </c>
      <c r="C12537" s="17" t="s">
        <v>3614</v>
      </c>
      <c r="D12537" s="17" t="s">
        <v>1391</v>
      </c>
      <c r="E12537" s="17" t="s">
        <v>3642</v>
      </c>
      <c r="F12537" s="17" t="s">
        <v>2269</v>
      </c>
      <c r="G12537" s="18" t="n">
        <v>4.12</v>
      </c>
      <c r="H12537" s="18" t="n">
        <v>0</v>
      </c>
      <c r="I12537" s="18" t="n">
        <f aca="false">((I12536 + G12537) - H12537)</f>
        <v>2088.47</v>
      </c>
      <c r="J12537" s="18" t="n">
        <v>0</v>
      </c>
      <c r="K12537" s="19" t="n">
        <v>0</v>
      </c>
      <c r="L12537" s="17"/>
    </row>
    <row r="12538" s="11" customFormat="true" ht="10.95" hidden="false" customHeight="true" outlineLevel="0" collapsed="false">
      <c r="A12538" s="16" t="n">
        <v>45156</v>
      </c>
      <c r="B12538" s="17" t="s">
        <v>4548</v>
      </c>
      <c r="C12538" s="17" t="s">
        <v>3614</v>
      </c>
      <c r="D12538" s="17" t="s">
        <v>1391</v>
      </c>
      <c r="E12538" s="17" t="s">
        <v>3642</v>
      </c>
      <c r="F12538" s="17" t="s">
        <v>2271</v>
      </c>
      <c r="G12538" s="18" t="n">
        <v>3.02</v>
      </c>
      <c r="H12538" s="18" t="n">
        <v>0</v>
      </c>
      <c r="I12538" s="18" t="n">
        <f aca="false">((I12537 + G12538) - H12538)</f>
        <v>2091.49</v>
      </c>
      <c r="J12538" s="18" t="n">
        <v>0</v>
      </c>
      <c r="K12538" s="19" t="n">
        <v>0</v>
      </c>
      <c r="L12538" s="17"/>
    </row>
    <row r="12539" s="11" customFormat="true" ht="10.95" hidden="false" customHeight="true" outlineLevel="0" collapsed="false">
      <c r="A12539" s="16" t="n">
        <v>45156</v>
      </c>
      <c r="B12539" s="17" t="s">
        <v>4548</v>
      </c>
      <c r="C12539" s="17" t="s">
        <v>3614</v>
      </c>
      <c r="D12539" s="17" t="s">
        <v>1391</v>
      </c>
      <c r="E12539" s="17" t="s">
        <v>3642</v>
      </c>
      <c r="F12539" s="17" t="s">
        <v>2273</v>
      </c>
      <c r="G12539" s="18" t="n">
        <v>2.2</v>
      </c>
      <c r="H12539" s="18" t="n">
        <v>0</v>
      </c>
      <c r="I12539" s="18" t="n">
        <f aca="false">((I12538 + G12539) - H12539)</f>
        <v>2093.69</v>
      </c>
      <c r="J12539" s="18" t="n">
        <v>0</v>
      </c>
      <c r="K12539" s="19" t="n">
        <v>0</v>
      </c>
      <c r="L12539" s="17"/>
    </row>
    <row r="12540" s="11" customFormat="true" ht="10.95" hidden="false" customHeight="true" outlineLevel="0" collapsed="false">
      <c r="A12540" s="16" t="n">
        <v>45156</v>
      </c>
      <c r="B12540" s="17" t="s">
        <v>4548</v>
      </c>
      <c r="C12540" s="17" t="s">
        <v>3614</v>
      </c>
      <c r="D12540" s="17" t="s">
        <v>1391</v>
      </c>
      <c r="E12540" s="17" t="s">
        <v>3642</v>
      </c>
      <c r="F12540" s="17" t="s">
        <v>2275</v>
      </c>
      <c r="G12540" s="18" t="n">
        <v>5.5</v>
      </c>
      <c r="H12540" s="18" t="n">
        <v>0</v>
      </c>
      <c r="I12540" s="18" t="n">
        <f aca="false">((I12539 + G12540) - H12540)</f>
        <v>2099.19</v>
      </c>
      <c r="J12540" s="18" t="n">
        <v>0</v>
      </c>
      <c r="K12540" s="19" t="n">
        <v>0</v>
      </c>
      <c r="L12540" s="17"/>
    </row>
    <row r="12541" s="11" customFormat="true" ht="10.95" hidden="false" customHeight="true" outlineLevel="0" collapsed="false">
      <c r="A12541" s="16" t="n">
        <v>45156</v>
      </c>
      <c r="B12541" s="17" t="s">
        <v>4548</v>
      </c>
      <c r="C12541" s="17" t="s">
        <v>3614</v>
      </c>
      <c r="D12541" s="17" t="s">
        <v>1391</v>
      </c>
      <c r="E12541" s="17" t="s">
        <v>3642</v>
      </c>
      <c r="F12541" s="17" t="s">
        <v>2277</v>
      </c>
      <c r="G12541" s="18" t="n">
        <v>6.2</v>
      </c>
      <c r="H12541" s="18" t="n">
        <v>0</v>
      </c>
      <c r="I12541" s="18" t="n">
        <f aca="false">((I12540 + G12541) - H12541)</f>
        <v>2105.39</v>
      </c>
      <c r="J12541" s="18" t="n">
        <v>0</v>
      </c>
      <c r="K12541" s="19" t="n">
        <v>0</v>
      </c>
      <c r="L12541" s="17"/>
    </row>
    <row r="12542" s="11" customFormat="true" ht="10.95" hidden="false" customHeight="true" outlineLevel="0" collapsed="false">
      <c r="A12542" s="16" t="n">
        <v>45156</v>
      </c>
      <c r="B12542" s="17" t="s">
        <v>4548</v>
      </c>
      <c r="C12542" s="17" t="s">
        <v>3614</v>
      </c>
      <c r="D12542" s="17" t="s">
        <v>1391</v>
      </c>
      <c r="E12542" s="17" t="s">
        <v>3642</v>
      </c>
      <c r="F12542" s="17" t="s">
        <v>2279</v>
      </c>
      <c r="G12542" s="18" t="n">
        <v>0.82</v>
      </c>
      <c r="H12542" s="18" t="n">
        <v>0</v>
      </c>
      <c r="I12542" s="18" t="n">
        <f aca="false">((I12541 + G12542) - H12542)</f>
        <v>2106.21</v>
      </c>
      <c r="J12542" s="18" t="n">
        <v>0</v>
      </c>
      <c r="K12542" s="19" t="n">
        <v>0</v>
      </c>
      <c r="L12542" s="17"/>
    </row>
    <row r="12543" s="11" customFormat="true" ht="10.95" hidden="false" customHeight="true" outlineLevel="0" collapsed="false">
      <c r="A12543" s="16" t="n">
        <v>45156</v>
      </c>
      <c r="B12543" s="17" t="s">
        <v>4548</v>
      </c>
      <c r="C12543" s="17" t="s">
        <v>3614</v>
      </c>
      <c r="D12543" s="17" t="s">
        <v>1391</v>
      </c>
      <c r="E12543" s="17" t="s">
        <v>3642</v>
      </c>
      <c r="F12543" s="17" t="s">
        <v>2281</v>
      </c>
      <c r="G12543" s="18" t="n">
        <v>19.98</v>
      </c>
      <c r="H12543" s="18" t="n">
        <v>0</v>
      </c>
      <c r="I12543" s="18" t="n">
        <f aca="false">((I12542 + G12543) - H12543)</f>
        <v>2126.19</v>
      </c>
      <c r="J12543" s="18" t="n">
        <v>0</v>
      </c>
      <c r="K12543" s="19" t="n">
        <v>0</v>
      </c>
      <c r="L12543" s="17"/>
    </row>
    <row r="12544" s="11" customFormat="true" ht="10.95" hidden="false" customHeight="true" outlineLevel="0" collapsed="false">
      <c r="A12544" s="16" t="n">
        <v>45156</v>
      </c>
      <c r="B12544" s="17" t="s">
        <v>4548</v>
      </c>
      <c r="C12544" s="17" t="s">
        <v>3614</v>
      </c>
      <c r="D12544" s="17" t="s">
        <v>1391</v>
      </c>
      <c r="E12544" s="17" t="s">
        <v>3642</v>
      </c>
      <c r="F12544" s="17" t="s">
        <v>2283</v>
      </c>
      <c r="G12544" s="18" t="n">
        <v>6.96</v>
      </c>
      <c r="H12544" s="18" t="n">
        <v>0</v>
      </c>
      <c r="I12544" s="18" t="n">
        <f aca="false">((I12543 + G12544) - H12544)</f>
        <v>2133.15</v>
      </c>
      <c r="J12544" s="18" t="n">
        <v>0</v>
      </c>
      <c r="K12544" s="19" t="n">
        <v>0</v>
      </c>
      <c r="L12544" s="17"/>
    </row>
    <row r="12545" s="11" customFormat="true" ht="10.95" hidden="false" customHeight="true" outlineLevel="0" collapsed="false">
      <c r="A12545" s="16" t="n">
        <v>45156</v>
      </c>
      <c r="B12545" s="17" t="s">
        <v>4548</v>
      </c>
      <c r="C12545" s="17" t="s">
        <v>3614</v>
      </c>
      <c r="D12545" s="17" t="s">
        <v>1407</v>
      </c>
      <c r="E12545" s="17" t="s">
        <v>3901</v>
      </c>
      <c r="F12545" s="17"/>
      <c r="G12545" s="18" t="n">
        <v>7.59</v>
      </c>
      <c r="H12545" s="18" t="n">
        <v>0</v>
      </c>
      <c r="I12545" s="18" t="n">
        <f aca="false">((I12544 + G12545) - H12545)</f>
        <v>2140.74</v>
      </c>
      <c r="J12545" s="18" t="n">
        <v>0</v>
      </c>
      <c r="K12545" s="19" t="n">
        <v>0</v>
      </c>
      <c r="L12545" s="17"/>
    </row>
    <row r="12546" s="11" customFormat="true" ht="10.95" hidden="false" customHeight="true" outlineLevel="0" collapsed="false">
      <c r="A12546" s="16" t="n">
        <v>45156</v>
      </c>
      <c r="B12546" s="17" t="s">
        <v>4548</v>
      </c>
      <c r="C12546" s="17" t="s">
        <v>3614</v>
      </c>
      <c r="D12546" s="17" t="s">
        <v>1407</v>
      </c>
      <c r="E12546" s="17" t="s">
        <v>3902</v>
      </c>
      <c r="F12546" s="17"/>
      <c r="G12546" s="18" t="n">
        <v>24.77</v>
      </c>
      <c r="H12546" s="18" t="n">
        <v>0</v>
      </c>
      <c r="I12546" s="18" t="n">
        <f aca="false">((I12545 + G12546) - H12546)</f>
        <v>2165.51</v>
      </c>
      <c r="J12546" s="18" t="n">
        <v>0</v>
      </c>
      <c r="K12546" s="19" t="n">
        <v>0</v>
      </c>
      <c r="L12546" s="17"/>
    </row>
    <row r="12547" s="11" customFormat="true" ht="10.95" hidden="false" customHeight="true" outlineLevel="0" collapsed="false">
      <c r="A12547" s="16" t="n">
        <v>45156</v>
      </c>
      <c r="B12547" s="17" t="s">
        <v>4548</v>
      </c>
      <c r="C12547" s="17" t="s">
        <v>3614</v>
      </c>
      <c r="D12547" s="17" t="s">
        <v>1407</v>
      </c>
      <c r="E12547" s="17" t="s">
        <v>3825</v>
      </c>
      <c r="F12547" s="17"/>
      <c r="G12547" s="18" t="n">
        <v>7.58</v>
      </c>
      <c r="H12547" s="18" t="n">
        <v>0</v>
      </c>
      <c r="I12547" s="18" t="n">
        <f aca="false">((I12546 + G12547) - H12547)</f>
        <v>2173.09</v>
      </c>
      <c r="J12547" s="18" t="n">
        <v>0</v>
      </c>
      <c r="K12547" s="19" t="n">
        <v>0</v>
      </c>
      <c r="L12547" s="17"/>
    </row>
    <row r="12548" s="11" customFormat="true" ht="10.95" hidden="false" customHeight="true" outlineLevel="0" collapsed="false">
      <c r="A12548" s="16" t="n">
        <v>45156</v>
      </c>
      <c r="B12548" s="17" t="s">
        <v>4548</v>
      </c>
      <c r="C12548" s="17" t="s">
        <v>3614</v>
      </c>
      <c r="D12548" s="17" t="s">
        <v>1391</v>
      </c>
      <c r="E12548" s="17" t="s">
        <v>3666</v>
      </c>
      <c r="F12548" s="17" t="s">
        <v>3579</v>
      </c>
      <c r="G12548" s="18" t="n">
        <v>2.83</v>
      </c>
      <c r="H12548" s="18" t="n">
        <v>0</v>
      </c>
      <c r="I12548" s="18" t="n">
        <f aca="false">((I12547 + G12548) - H12548)</f>
        <v>2175.92</v>
      </c>
      <c r="J12548" s="18" t="n">
        <v>0</v>
      </c>
      <c r="K12548" s="19" t="n">
        <v>0</v>
      </c>
      <c r="L12548" s="17"/>
    </row>
    <row r="12549" s="11" customFormat="true" ht="10.95" hidden="false" customHeight="true" outlineLevel="0" collapsed="false">
      <c r="A12549" s="16" t="n">
        <v>45157</v>
      </c>
      <c r="B12549" s="17" t="s">
        <v>4548</v>
      </c>
      <c r="C12549" s="17" t="s">
        <v>3614</v>
      </c>
      <c r="D12549" s="17" t="s">
        <v>1407</v>
      </c>
      <c r="E12549" s="17" t="s">
        <v>3966</v>
      </c>
      <c r="F12549" s="17"/>
      <c r="G12549" s="18" t="n">
        <v>71.32</v>
      </c>
      <c r="H12549" s="18" t="n">
        <v>0</v>
      </c>
      <c r="I12549" s="18" t="n">
        <f aca="false">((I12548 + G12549) - H12549)</f>
        <v>2247.24</v>
      </c>
      <c r="J12549" s="18" t="n">
        <v>0</v>
      </c>
      <c r="K12549" s="19" t="n">
        <v>0</v>
      </c>
      <c r="L12549" s="17"/>
    </row>
    <row r="12550" s="11" customFormat="true" ht="10.95" hidden="false" customHeight="true" outlineLevel="0" collapsed="false">
      <c r="A12550" s="16" t="n">
        <v>45158</v>
      </c>
      <c r="B12550" s="17" t="s">
        <v>4548</v>
      </c>
      <c r="C12550" s="17" t="s">
        <v>3614</v>
      </c>
      <c r="D12550" s="17" t="s">
        <v>1391</v>
      </c>
      <c r="E12550" s="17" t="s">
        <v>3668</v>
      </c>
      <c r="F12550" s="17" t="s">
        <v>2288</v>
      </c>
      <c r="G12550" s="18" t="n">
        <v>8.82</v>
      </c>
      <c r="H12550" s="18" t="n">
        <v>0</v>
      </c>
      <c r="I12550" s="18" t="n">
        <f aca="false">((I12549 + G12550) - H12550)</f>
        <v>2256.06</v>
      </c>
      <c r="J12550" s="18" t="n">
        <v>0</v>
      </c>
      <c r="K12550" s="19" t="n">
        <v>0</v>
      </c>
      <c r="L12550" s="17"/>
    </row>
    <row r="12551" s="11" customFormat="true" ht="10.95" hidden="false" customHeight="true" outlineLevel="0" collapsed="false">
      <c r="A12551" s="16" t="n">
        <v>45160</v>
      </c>
      <c r="B12551" s="17" t="s">
        <v>4548</v>
      </c>
      <c r="C12551" s="17" t="s">
        <v>3614</v>
      </c>
      <c r="D12551" s="17" t="s">
        <v>1391</v>
      </c>
      <c r="E12551" s="17" t="s">
        <v>3638</v>
      </c>
      <c r="F12551" s="17" t="s">
        <v>3256</v>
      </c>
      <c r="G12551" s="18" t="n">
        <v>264.1</v>
      </c>
      <c r="H12551" s="18" t="n">
        <v>0</v>
      </c>
      <c r="I12551" s="18" t="n">
        <f aca="false">((I12550 + G12551) - H12551)</f>
        <v>2520.16</v>
      </c>
      <c r="J12551" s="18" t="n">
        <v>0</v>
      </c>
      <c r="K12551" s="19" t="n">
        <v>0</v>
      </c>
      <c r="L12551" s="17"/>
    </row>
    <row r="12552" s="11" customFormat="true" ht="10.95" hidden="false" customHeight="true" outlineLevel="0" collapsed="false">
      <c r="A12552" s="16" t="n">
        <v>45160</v>
      </c>
      <c r="B12552" s="17" t="s">
        <v>4548</v>
      </c>
      <c r="C12552" s="17" t="s">
        <v>3614</v>
      </c>
      <c r="D12552" s="17" t="s">
        <v>1407</v>
      </c>
      <c r="E12552" s="17" t="s">
        <v>2747</v>
      </c>
      <c r="F12552" s="17"/>
      <c r="G12552" s="18" t="n">
        <v>0.64</v>
      </c>
      <c r="H12552" s="18" t="n">
        <v>0</v>
      </c>
      <c r="I12552" s="18" t="n">
        <f aca="false">((I12551 + G12552) - H12552)</f>
        <v>2520.8</v>
      </c>
      <c r="J12552" s="18" t="n">
        <v>0</v>
      </c>
      <c r="K12552" s="19" t="n">
        <v>0</v>
      </c>
      <c r="L12552" s="17"/>
    </row>
    <row r="12553" s="11" customFormat="true" ht="10.95" hidden="false" customHeight="true" outlineLevel="0" collapsed="false">
      <c r="A12553" s="16" t="n">
        <v>45160</v>
      </c>
      <c r="B12553" s="17" t="s">
        <v>4548</v>
      </c>
      <c r="C12553" s="17" t="s">
        <v>3614</v>
      </c>
      <c r="D12553" s="17" t="s">
        <v>1407</v>
      </c>
      <c r="E12553" s="17" t="s">
        <v>3968</v>
      </c>
      <c r="F12553" s="17"/>
      <c r="G12553" s="18" t="n">
        <v>59.01</v>
      </c>
      <c r="H12553" s="18" t="n">
        <v>0</v>
      </c>
      <c r="I12553" s="18" t="n">
        <f aca="false">((I12552 + G12553) - H12553)</f>
        <v>2579.81</v>
      </c>
      <c r="J12553" s="18" t="n">
        <v>0</v>
      </c>
      <c r="K12553" s="19" t="n">
        <v>0</v>
      </c>
      <c r="L12553" s="17"/>
    </row>
    <row r="12554" s="11" customFormat="true" ht="10.95" hidden="false" customHeight="true" outlineLevel="0" collapsed="false">
      <c r="A12554" s="16" t="n">
        <v>45160</v>
      </c>
      <c r="B12554" s="17" t="s">
        <v>4548</v>
      </c>
      <c r="C12554" s="17" t="s">
        <v>3614</v>
      </c>
      <c r="D12554" s="17" t="s">
        <v>1391</v>
      </c>
      <c r="E12554" s="17" t="s">
        <v>3670</v>
      </c>
      <c r="F12554" s="17" t="s">
        <v>3360</v>
      </c>
      <c r="G12554" s="18" t="n">
        <v>13.64</v>
      </c>
      <c r="H12554" s="18" t="n">
        <v>0</v>
      </c>
      <c r="I12554" s="18" t="n">
        <f aca="false">((I12553 + G12554) - H12554)</f>
        <v>2593.45</v>
      </c>
      <c r="J12554" s="18" t="n">
        <v>0</v>
      </c>
      <c r="K12554" s="19" t="n">
        <v>0</v>
      </c>
      <c r="L12554" s="17"/>
    </row>
    <row r="12555" s="11" customFormat="true" ht="10.95" hidden="false" customHeight="true" outlineLevel="0" collapsed="false">
      <c r="A12555" s="16" t="n">
        <v>45161</v>
      </c>
      <c r="B12555" s="17" t="s">
        <v>4548</v>
      </c>
      <c r="C12555" s="17" t="s">
        <v>3614</v>
      </c>
      <c r="D12555" s="17" t="s">
        <v>19</v>
      </c>
      <c r="E12555" s="17" t="s">
        <v>3442</v>
      </c>
      <c r="F12555" s="17" t="s">
        <v>168</v>
      </c>
      <c r="G12555" s="18" t="n">
        <v>0</v>
      </c>
      <c r="H12555" s="18" t="n">
        <v>182</v>
      </c>
      <c r="I12555" s="18" t="n">
        <f aca="false">((I12554 + G12555) - H12555)</f>
        <v>2411.45</v>
      </c>
      <c r="J12555" s="18" t="n">
        <v>0</v>
      </c>
      <c r="K12555" s="19" t="n">
        <v>0</v>
      </c>
      <c r="L12555" s="17"/>
    </row>
    <row r="12556" s="11" customFormat="true" ht="10.95" hidden="false" customHeight="true" outlineLevel="0" collapsed="false">
      <c r="A12556" s="16" t="n">
        <v>45161</v>
      </c>
      <c r="B12556" s="17" t="s">
        <v>4548</v>
      </c>
      <c r="C12556" s="17" t="s">
        <v>3614</v>
      </c>
      <c r="D12556" s="17" t="s">
        <v>19</v>
      </c>
      <c r="E12556" s="17" t="s">
        <v>3442</v>
      </c>
      <c r="F12556" s="17" t="s">
        <v>170</v>
      </c>
      <c r="G12556" s="18" t="n">
        <v>0</v>
      </c>
      <c r="H12556" s="18" t="n">
        <v>909</v>
      </c>
      <c r="I12556" s="18" t="n">
        <f aca="false">((I12555 + G12556) - H12556)</f>
        <v>1502.45</v>
      </c>
      <c r="J12556" s="18" t="n">
        <v>0</v>
      </c>
      <c r="K12556" s="19" t="n">
        <v>0</v>
      </c>
      <c r="L12556" s="17"/>
    </row>
    <row r="12557" s="11" customFormat="true" ht="10.95" hidden="false" customHeight="true" outlineLevel="0" collapsed="false">
      <c r="A12557" s="16" t="n">
        <v>45161</v>
      </c>
      <c r="B12557" s="17" t="s">
        <v>4548</v>
      </c>
      <c r="C12557" s="17" t="s">
        <v>3614</v>
      </c>
      <c r="D12557" s="17" t="s">
        <v>19</v>
      </c>
      <c r="E12557" s="17" t="s">
        <v>3490</v>
      </c>
      <c r="F12557" s="17" t="s">
        <v>172</v>
      </c>
      <c r="G12557" s="18" t="n">
        <v>0</v>
      </c>
      <c r="H12557" s="18" t="n">
        <v>282.15</v>
      </c>
      <c r="I12557" s="18" t="n">
        <f aca="false">((I12556 + G12557) - H12557)</f>
        <v>1220.3</v>
      </c>
      <c r="J12557" s="18" t="n">
        <v>0</v>
      </c>
      <c r="K12557" s="19" t="n">
        <v>0</v>
      </c>
      <c r="L12557" s="17"/>
    </row>
    <row r="12558" s="11" customFormat="true" ht="10.95" hidden="false" customHeight="true" outlineLevel="0" collapsed="false">
      <c r="A12558" s="16" t="n">
        <v>45161</v>
      </c>
      <c r="B12558" s="17" t="s">
        <v>4548</v>
      </c>
      <c r="C12558" s="17" t="s">
        <v>3614</v>
      </c>
      <c r="D12558" s="17" t="s">
        <v>19</v>
      </c>
      <c r="E12558" s="17" t="s">
        <v>3424</v>
      </c>
      <c r="F12558" s="17" t="s">
        <v>173</v>
      </c>
      <c r="G12558" s="18" t="n">
        <v>0</v>
      </c>
      <c r="H12558" s="18" t="n">
        <v>37.6</v>
      </c>
      <c r="I12558" s="18" t="n">
        <f aca="false">((I12557 + G12558) - H12558)</f>
        <v>1182.7</v>
      </c>
      <c r="J12558" s="18" t="n">
        <v>0</v>
      </c>
      <c r="K12558" s="19" t="n">
        <v>0</v>
      </c>
      <c r="L12558" s="17"/>
    </row>
    <row r="12559" s="11" customFormat="true" ht="10.95" hidden="false" customHeight="true" outlineLevel="0" collapsed="false">
      <c r="A12559" s="16" t="n">
        <v>45161</v>
      </c>
      <c r="B12559" s="17" t="s">
        <v>4548</v>
      </c>
      <c r="C12559" s="17" t="s">
        <v>3614</v>
      </c>
      <c r="D12559" s="17" t="s">
        <v>19</v>
      </c>
      <c r="E12559" s="17" t="s">
        <v>3426</v>
      </c>
      <c r="F12559" s="17" t="s">
        <v>174</v>
      </c>
      <c r="G12559" s="18" t="n">
        <v>0</v>
      </c>
      <c r="H12559" s="18" t="n">
        <v>126</v>
      </c>
      <c r="I12559" s="18" t="n">
        <f aca="false">((I12558 + G12559) - H12559)</f>
        <v>1056.7</v>
      </c>
      <c r="J12559" s="18" t="n">
        <v>0</v>
      </c>
      <c r="K12559" s="19" t="n">
        <v>0</v>
      </c>
      <c r="L12559" s="17"/>
    </row>
    <row r="12560" s="11" customFormat="true" ht="10.95" hidden="false" customHeight="true" outlineLevel="0" collapsed="false">
      <c r="A12560" s="16" t="n">
        <v>45161</v>
      </c>
      <c r="B12560" s="17" t="s">
        <v>4548</v>
      </c>
      <c r="C12560" s="17" t="s">
        <v>3614</v>
      </c>
      <c r="D12560" s="17" t="s">
        <v>19</v>
      </c>
      <c r="E12560" s="17" t="s">
        <v>3427</v>
      </c>
      <c r="F12560" s="17" t="s">
        <v>175</v>
      </c>
      <c r="G12560" s="18" t="n">
        <v>0</v>
      </c>
      <c r="H12560" s="18" t="n">
        <v>51</v>
      </c>
      <c r="I12560" s="18" t="n">
        <f aca="false">((I12559 + G12560) - H12560)</f>
        <v>1005.7</v>
      </c>
      <c r="J12560" s="18" t="n">
        <v>0</v>
      </c>
      <c r="K12560" s="19" t="n">
        <v>0</v>
      </c>
      <c r="L12560" s="17"/>
    </row>
    <row r="12561" s="11" customFormat="true" ht="10.95" hidden="false" customHeight="true" outlineLevel="0" collapsed="false">
      <c r="A12561" s="16" t="n">
        <v>45161</v>
      </c>
      <c r="B12561" s="17" t="s">
        <v>4548</v>
      </c>
      <c r="C12561" s="17" t="s">
        <v>3614</v>
      </c>
      <c r="D12561" s="17" t="s">
        <v>19</v>
      </c>
      <c r="E12561" s="17" t="s">
        <v>3428</v>
      </c>
      <c r="F12561" s="17" t="s">
        <v>176</v>
      </c>
      <c r="G12561" s="18" t="n">
        <v>0</v>
      </c>
      <c r="H12561" s="18" t="n">
        <v>83.6</v>
      </c>
      <c r="I12561" s="18" t="n">
        <f aca="false">((I12560 + G12561) - H12561)</f>
        <v>922.099999999999</v>
      </c>
      <c r="J12561" s="18" t="n">
        <v>0</v>
      </c>
      <c r="K12561" s="19" t="n">
        <v>0</v>
      </c>
      <c r="L12561" s="17"/>
    </row>
    <row r="12562" s="11" customFormat="true" ht="10.95" hidden="false" customHeight="true" outlineLevel="0" collapsed="false">
      <c r="A12562" s="16" t="n">
        <v>45161</v>
      </c>
      <c r="B12562" s="17" t="s">
        <v>4548</v>
      </c>
      <c r="C12562" s="17" t="s">
        <v>3614</v>
      </c>
      <c r="D12562" s="17" t="s">
        <v>19</v>
      </c>
      <c r="E12562" s="17" t="s">
        <v>3429</v>
      </c>
      <c r="F12562" s="17" t="s">
        <v>177</v>
      </c>
      <c r="G12562" s="18" t="n">
        <v>0</v>
      </c>
      <c r="H12562" s="18" t="n">
        <v>8.5</v>
      </c>
      <c r="I12562" s="18" t="n">
        <f aca="false">((I12561 + G12562) - H12562)</f>
        <v>913.599999999999</v>
      </c>
      <c r="J12562" s="18" t="n">
        <v>0</v>
      </c>
      <c r="K12562" s="19" t="n">
        <v>0</v>
      </c>
      <c r="L12562" s="17"/>
    </row>
    <row r="12563" s="11" customFormat="true" ht="10.95" hidden="false" customHeight="true" outlineLevel="0" collapsed="false">
      <c r="A12563" s="16" t="n">
        <v>45161</v>
      </c>
      <c r="B12563" s="17" t="s">
        <v>4548</v>
      </c>
      <c r="C12563" s="17" t="s">
        <v>3614</v>
      </c>
      <c r="D12563" s="17" t="s">
        <v>19</v>
      </c>
      <c r="E12563" s="17" t="s">
        <v>3492</v>
      </c>
      <c r="F12563" s="17" t="s">
        <v>179</v>
      </c>
      <c r="G12563" s="18" t="n">
        <v>0</v>
      </c>
      <c r="H12563" s="18" t="n">
        <v>475.3</v>
      </c>
      <c r="I12563" s="18" t="n">
        <f aca="false">((I12562 + G12563) - H12563)</f>
        <v>438.299999999999</v>
      </c>
      <c r="J12563" s="18" t="n">
        <v>0</v>
      </c>
      <c r="K12563" s="19" t="n">
        <v>0</v>
      </c>
      <c r="L12563" s="17"/>
    </row>
    <row r="12564" s="11" customFormat="true" ht="10.95" hidden="false" customHeight="true" outlineLevel="0" collapsed="false">
      <c r="A12564" s="16" t="n">
        <v>45161</v>
      </c>
      <c r="B12564" s="17" t="s">
        <v>4548</v>
      </c>
      <c r="C12564" s="17" t="s">
        <v>3614</v>
      </c>
      <c r="D12564" s="17" t="s">
        <v>19</v>
      </c>
      <c r="E12564" s="17" t="s">
        <v>3431</v>
      </c>
      <c r="F12564" s="17" t="s">
        <v>184</v>
      </c>
      <c r="G12564" s="18" t="n">
        <v>0</v>
      </c>
      <c r="H12564" s="18" t="n">
        <v>32.5</v>
      </c>
      <c r="I12564" s="18" t="n">
        <f aca="false">((I12563 + G12564) - H12564)</f>
        <v>405.799999999999</v>
      </c>
      <c r="J12564" s="18" t="n">
        <v>0</v>
      </c>
      <c r="K12564" s="19" t="n">
        <v>0</v>
      </c>
      <c r="L12564" s="17"/>
    </row>
    <row r="12565" s="11" customFormat="true" ht="10.95" hidden="false" customHeight="true" outlineLevel="0" collapsed="false">
      <c r="A12565" s="16" t="n">
        <v>45161</v>
      </c>
      <c r="B12565" s="17" t="s">
        <v>4548</v>
      </c>
      <c r="C12565" s="17" t="s">
        <v>3614</v>
      </c>
      <c r="D12565" s="17" t="s">
        <v>19</v>
      </c>
      <c r="E12565" s="17" t="s">
        <v>3432</v>
      </c>
      <c r="F12565" s="17" t="s">
        <v>185</v>
      </c>
      <c r="G12565" s="18" t="n">
        <v>0</v>
      </c>
      <c r="H12565" s="18" t="n">
        <v>99.5</v>
      </c>
      <c r="I12565" s="18" t="n">
        <f aca="false">((I12564 + G12565) - H12565)</f>
        <v>306.299999999999</v>
      </c>
      <c r="J12565" s="18" t="n">
        <v>0</v>
      </c>
      <c r="K12565" s="19" t="n">
        <v>0</v>
      </c>
      <c r="L12565" s="17"/>
    </row>
    <row r="12566" s="11" customFormat="true" ht="10.95" hidden="false" customHeight="true" outlineLevel="0" collapsed="false">
      <c r="A12566" s="16" t="n">
        <v>45161</v>
      </c>
      <c r="B12566" s="17" t="s">
        <v>4548</v>
      </c>
      <c r="C12566" s="17" t="s">
        <v>3614</v>
      </c>
      <c r="D12566" s="17" t="s">
        <v>19</v>
      </c>
      <c r="E12566" s="17" t="s">
        <v>3433</v>
      </c>
      <c r="F12566" s="17" t="s">
        <v>186</v>
      </c>
      <c r="G12566" s="18" t="n">
        <v>0</v>
      </c>
      <c r="H12566" s="18" t="n">
        <v>382.5</v>
      </c>
      <c r="I12566" s="18" t="n">
        <f aca="false">((I12565 + G12566) - H12566)</f>
        <v>-76.2000000000007</v>
      </c>
      <c r="J12566" s="18" t="n">
        <v>0</v>
      </c>
      <c r="K12566" s="19" t="n">
        <v>0</v>
      </c>
      <c r="L12566" s="17"/>
    </row>
    <row r="12567" s="11" customFormat="true" ht="10.95" hidden="false" customHeight="true" outlineLevel="0" collapsed="false">
      <c r="A12567" s="16" t="n">
        <v>45161</v>
      </c>
      <c r="B12567" s="17" t="s">
        <v>4548</v>
      </c>
      <c r="C12567" s="17" t="s">
        <v>3614</v>
      </c>
      <c r="D12567" s="17" t="s">
        <v>19</v>
      </c>
      <c r="E12567" s="17" t="s">
        <v>3433</v>
      </c>
      <c r="F12567" s="17" t="s">
        <v>187</v>
      </c>
      <c r="G12567" s="18" t="n">
        <v>0</v>
      </c>
      <c r="H12567" s="18" t="n">
        <v>380.2</v>
      </c>
      <c r="I12567" s="18" t="n">
        <f aca="false">((I12566 + G12567) - H12567)</f>
        <v>-456.400000000001</v>
      </c>
      <c r="J12567" s="18" t="n">
        <v>0</v>
      </c>
      <c r="K12567" s="19" t="n">
        <v>0</v>
      </c>
      <c r="L12567" s="17"/>
    </row>
    <row r="12568" s="11" customFormat="true" ht="10.95" hidden="false" customHeight="true" outlineLevel="0" collapsed="false">
      <c r="A12568" s="16" t="n">
        <v>45161</v>
      </c>
      <c r="B12568" s="17" t="s">
        <v>4548</v>
      </c>
      <c r="C12568" s="17" t="s">
        <v>3614</v>
      </c>
      <c r="D12568" s="17" t="s">
        <v>19</v>
      </c>
      <c r="E12568" s="17" t="s">
        <v>3434</v>
      </c>
      <c r="F12568" s="17" t="s">
        <v>188</v>
      </c>
      <c r="G12568" s="18" t="n">
        <v>0</v>
      </c>
      <c r="H12568" s="18" t="n">
        <v>36</v>
      </c>
      <c r="I12568" s="18" t="n">
        <f aca="false">((I12567 + G12568) - H12568)</f>
        <v>-492.400000000001</v>
      </c>
      <c r="J12568" s="18" t="n">
        <v>0</v>
      </c>
      <c r="K12568" s="19" t="n">
        <v>0</v>
      </c>
      <c r="L12568" s="17"/>
    </row>
    <row r="12569" s="11" customFormat="true" ht="10.95" hidden="false" customHeight="true" outlineLevel="0" collapsed="false">
      <c r="A12569" s="16" t="n">
        <v>45161</v>
      </c>
      <c r="B12569" s="17" t="s">
        <v>4548</v>
      </c>
      <c r="C12569" s="17" t="s">
        <v>3614</v>
      </c>
      <c r="D12569" s="17" t="s">
        <v>19</v>
      </c>
      <c r="E12569" s="17" t="s">
        <v>3435</v>
      </c>
      <c r="F12569" s="17" t="s">
        <v>191</v>
      </c>
      <c r="G12569" s="18" t="n">
        <v>0</v>
      </c>
      <c r="H12569" s="18" t="n">
        <v>204</v>
      </c>
      <c r="I12569" s="18" t="n">
        <f aca="false">((I12568 + G12569) - H12569)</f>
        <v>-696.400000000001</v>
      </c>
      <c r="J12569" s="18" t="n">
        <v>0</v>
      </c>
      <c r="K12569" s="19" t="n">
        <v>0</v>
      </c>
      <c r="L12569" s="17"/>
    </row>
    <row r="12570" s="11" customFormat="true" ht="10.95" hidden="false" customHeight="true" outlineLevel="0" collapsed="false">
      <c r="A12570" s="16" t="n">
        <v>45161</v>
      </c>
      <c r="B12570" s="17" t="s">
        <v>4548</v>
      </c>
      <c r="C12570" s="17" t="s">
        <v>3614</v>
      </c>
      <c r="D12570" s="17" t="s">
        <v>19</v>
      </c>
      <c r="E12570" s="17" t="s">
        <v>3493</v>
      </c>
      <c r="F12570" s="17" t="s">
        <v>193</v>
      </c>
      <c r="G12570" s="18" t="n">
        <v>0</v>
      </c>
      <c r="H12570" s="18" t="n">
        <v>51</v>
      </c>
      <c r="I12570" s="18" t="n">
        <f aca="false">((I12569 + G12570) - H12570)</f>
        <v>-747.400000000001</v>
      </c>
      <c r="J12570" s="18" t="n">
        <v>0</v>
      </c>
      <c r="K12570" s="19" t="n">
        <v>0</v>
      </c>
      <c r="L12570" s="17"/>
    </row>
    <row r="12571" s="11" customFormat="true" ht="10.95" hidden="false" customHeight="true" outlineLevel="0" collapsed="false">
      <c r="A12571" s="16" t="n">
        <v>45161</v>
      </c>
      <c r="B12571" s="17" t="s">
        <v>4548</v>
      </c>
      <c r="C12571" s="17" t="s">
        <v>3614</v>
      </c>
      <c r="D12571" s="17" t="s">
        <v>19</v>
      </c>
      <c r="E12571" s="17" t="s">
        <v>3437</v>
      </c>
      <c r="F12571" s="17" t="s">
        <v>194</v>
      </c>
      <c r="G12571" s="18" t="n">
        <v>0</v>
      </c>
      <c r="H12571" s="18" t="n">
        <v>188.9</v>
      </c>
      <c r="I12571" s="18" t="n">
        <f aca="false">((I12570 + G12571) - H12571)</f>
        <v>-936.300000000001</v>
      </c>
      <c r="J12571" s="18" t="n">
        <v>0</v>
      </c>
      <c r="K12571" s="19" t="n">
        <v>0</v>
      </c>
      <c r="L12571" s="17"/>
    </row>
    <row r="12572" s="11" customFormat="true" ht="10.95" hidden="false" customHeight="true" outlineLevel="0" collapsed="false">
      <c r="A12572" s="16" t="n">
        <v>45161</v>
      </c>
      <c r="B12572" s="17" t="s">
        <v>4548</v>
      </c>
      <c r="C12572" s="17" t="s">
        <v>3614</v>
      </c>
      <c r="D12572" s="17" t="s">
        <v>19</v>
      </c>
      <c r="E12572" s="17" t="s">
        <v>3439</v>
      </c>
      <c r="F12572" s="17" t="s">
        <v>197</v>
      </c>
      <c r="G12572" s="18" t="n">
        <v>0</v>
      </c>
      <c r="H12572" s="18" t="n">
        <v>95.7</v>
      </c>
      <c r="I12572" s="18" t="n">
        <f aca="false">((I12571 + G12572) - H12572)</f>
        <v>-1032</v>
      </c>
      <c r="J12572" s="18" t="n">
        <v>0</v>
      </c>
      <c r="K12572" s="19" t="n">
        <v>0</v>
      </c>
      <c r="L12572" s="17"/>
    </row>
    <row r="12573" s="11" customFormat="true" ht="10.95" hidden="false" customHeight="true" outlineLevel="0" collapsed="false">
      <c r="A12573" s="16" t="n">
        <v>45161</v>
      </c>
      <c r="B12573" s="17" t="s">
        <v>4548</v>
      </c>
      <c r="C12573" s="17" t="s">
        <v>3614</v>
      </c>
      <c r="D12573" s="17" t="s">
        <v>19</v>
      </c>
      <c r="E12573" s="17" t="s">
        <v>3443</v>
      </c>
      <c r="F12573" s="17" t="s">
        <v>198</v>
      </c>
      <c r="G12573" s="18" t="n">
        <v>0</v>
      </c>
      <c r="H12573" s="18" t="n">
        <v>509</v>
      </c>
      <c r="I12573" s="18" t="n">
        <f aca="false">((I12572 + G12573) - H12573)</f>
        <v>-1541</v>
      </c>
      <c r="J12573" s="18" t="n">
        <v>0</v>
      </c>
      <c r="K12573" s="19" t="n">
        <v>0</v>
      </c>
      <c r="L12573" s="17"/>
    </row>
    <row r="12574" s="11" customFormat="true" ht="10.95" hidden="false" customHeight="true" outlineLevel="0" collapsed="false">
      <c r="A12574" s="16" t="n">
        <v>45161</v>
      </c>
      <c r="B12574" s="17" t="s">
        <v>4548</v>
      </c>
      <c r="C12574" s="17" t="s">
        <v>3614</v>
      </c>
      <c r="D12574" s="17" t="s">
        <v>19</v>
      </c>
      <c r="E12574" s="17" t="s">
        <v>3444</v>
      </c>
      <c r="F12574" s="17" t="s">
        <v>200</v>
      </c>
      <c r="G12574" s="18" t="n">
        <v>0</v>
      </c>
      <c r="H12574" s="18" t="n">
        <v>88</v>
      </c>
      <c r="I12574" s="18" t="n">
        <f aca="false">((I12573 + G12574) - H12574)</f>
        <v>-1629</v>
      </c>
      <c r="J12574" s="18" t="n">
        <v>0</v>
      </c>
      <c r="K12574" s="19" t="n">
        <v>0</v>
      </c>
      <c r="L12574" s="17"/>
    </row>
    <row r="12575" s="11" customFormat="true" ht="10.95" hidden="false" customHeight="true" outlineLevel="0" collapsed="false">
      <c r="A12575" s="16" t="n">
        <v>45161</v>
      </c>
      <c r="B12575" s="17" t="s">
        <v>4548</v>
      </c>
      <c r="C12575" s="17" t="s">
        <v>3614</v>
      </c>
      <c r="D12575" s="17" t="s">
        <v>19</v>
      </c>
      <c r="E12575" s="17" t="s">
        <v>3494</v>
      </c>
      <c r="F12575" s="17" t="s">
        <v>202</v>
      </c>
      <c r="G12575" s="18" t="n">
        <v>0</v>
      </c>
      <c r="H12575" s="18" t="n">
        <v>162.2</v>
      </c>
      <c r="I12575" s="18" t="n">
        <f aca="false">((I12574 + G12575) - H12575)</f>
        <v>-1791.2</v>
      </c>
      <c r="J12575" s="18" t="n">
        <v>0</v>
      </c>
      <c r="K12575" s="19" t="n">
        <v>0</v>
      </c>
      <c r="L12575" s="17"/>
    </row>
    <row r="12576" s="11" customFormat="true" ht="10.95" hidden="false" customHeight="true" outlineLevel="0" collapsed="false">
      <c r="A12576" s="16" t="n">
        <v>45161</v>
      </c>
      <c r="B12576" s="17" t="s">
        <v>4548</v>
      </c>
      <c r="C12576" s="17" t="s">
        <v>3614</v>
      </c>
      <c r="D12576" s="17" t="s">
        <v>19</v>
      </c>
      <c r="E12576" s="17" t="s">
        <v>3446</v>
      </c>
      <c r="F12576" s="17" t="s">
        <v>204</v>
      </c>
      <c r="G12576" s="18" t="n">
        <v>0</v>
      </c>
      <c r="H12576" s="18" t="n">
        <v>150.4</v>
      </c>
      <c r="I12576" s="18" t="n">
        <f aca="false">((I12575 + G12576) - H12576)</f>
        <v>-1941.6</v>
      </c>
      <c r="J12576" s="18" t="n">
        <v>0</v>
      </c>
      <c r="K12576" s="19" t="n">
        <v>0</v>
      </c>
      <c r="L12576" s="17"/>
    </row>
    <row r="12577" s="11" customFormat="true" ht="10.95" hidden="false" customHeight="true" outlineLevel="0" collapsed="false">
      <c r="A12577" s="16" t="n">
        <v>45161</v>
      </c>
      <c r="B12577" s="17" t="s">
        <v>4548</v>
      </c>
      <c r="C12577" s="17" t="s">
        <v>3614</v>
      </c>
      <c r="D12577" s="17" t="s">
        <v>19</v>
      </c>
      <c r="E12577" s="17" t="s">
        <v>3447</v>
      </c>
      <c r="F12577" s="17" t="s">
        <v>205</v>
      </c>
      <c r="G12577" s="18" t="n">
        <v>0</v>
      </c>
      <c r="H12577" s="18" t="n">
        <v>75.2</v>
      </c>
      <c r="I12577" s="18" t="n">
        <f aca="false">((I12576 + G12577) - H12577)</f>
        <v>-2016.8</v>
      </c>
      <c r="J12577" s="18" t="n">
        <v>0</v>
      </c>
      <c r="K12577" s="19" t="n">
        <v>0</v>
      </c>
      <c r="L12577" s="17"/>
    </row>
    <row r="12578" s="11" customFormat="true" ht="10.95" hidden="false" customHeight="true" outlineLevel="0" collapsed="false">
      <c r="A12578" s="16" t="n">
        <v>45161</v>
      </c>
      <c r="B12578" s="17" t="s">
        <v>4548</v>
      </c>
      <c r="C12578" s="17" t="s">
        <v>3614</v>
      </c>
      <c r="D12578" s="17" t="s">
        <v>19</v>
      </c>
      <c r="E12578" s="17" t="s">
        <v>3447</v>
      </c>
      <c r="F12578" s="17" t="s">
        <v>206</v>
      </c>
      <c r="G12578" s="18" t="n">
        <v>0</v>
      </c>
      <c r="H12578" s="18" t="n">
        <v>58</v>
      </c>
      <c r="I12578" s="18" t="n">
        <f aca="false">((I12577 + G12578) - H12578)</f>
        <v>-2074.8</v>
      </c>
      <c r="J12578" s="18" t="n">
        <v>0</v>
      </c>
      <c r="K12578" s="19" t="n">
        <v>0</v>
      </c>
      <c r="L12578" s="17"/>
    </row>
    <row r="12579" s="11" customFormat="true" ht="10.95" hidden="false" customHeight="true" outlineLevel="0" collapsed="false">
      <c r="A12579" s="16" t="n">
        <v>45161</v>
      </c>
      <c r="B12579" s="17" t="s">
        <v>4548</v>
      </c>
      <c r="C12579" s="17" t="s">
        <v>3614</v>
      </c>
      <c r="D12579" s="17" t="s">
        <v>19</v>
      </c>
      <c r="E12579" s="17" t="s">
        <v>3447</v>
      </c>
      <c r="F12579" s="17" t="s">
        <v>207</v>
      </c>
      <c r="G12579" s="18" t="n">
        <v>0</v>
      </c>
      <c r="H12579" s="18" t="n">
        <v>18.8</v>
      </c>
      <c r="I12579" s="18" t="n">
        <f aca="false">((I12578 + G12579) - H12579)</f>
        <v>-2093.6</v>
      </c>
      <c r="J12579" s="18" t="n">
        <v>0</v>
      </c>
      <c r="K12579" s="19" t="n">
        <v>0</v>
      </c>
      <c r="L12579" s="17"/>
    </row>
    <row r="12580" s="11" customFormat="true" ht="10.95" hidden="false" customHeight="true" outlineLevel="0" collapsed="false">
      <c r="A12580" s="16" t="n">
        <v>45161</v>
      </c>
      <c r="B12580" s="17" t="s">
        <v>4548</v>
      </c>
      <c r="C12580" s="17" t="s">
        <v>3614</v>
      </c>
      <c r="D12580" s="17" t="s">
        <v>19</v>
      </c>
      <c r="E12580" s="17" t="s">
        <v>3447</v>
      </c>
      <c r="F12580" s="17" t="s">
        <v>208</v>
      </c>
      <c r="G12580" s="18" t="n">
        <v>0</v>
      </c>
      <c r="H12580" s="18" t="n">
        <v>123.75</v>
      </c>
      <c r="I12580" s="18" t="n">
        <f aca="false">((I12579 + G12580) - H12580)</f>
        <v>-2217.35</v>
      </c>
      <c r="J12580" s="18" t="n">
        <v>0</v>
      </c>
      <c r="K12580" s="19" t="n">
        <v>0</v>
      </c>
      <c r="L12580" s="17"/>
    </row>
    <row r="12581" s="11" customFormat="true" ht="10.95" hidden="false" customHeight="true" outlineLevel="0" collapsed="false">
      <c r="A12581" s="16" t="n">
        <v>45161</v>
      </c>
      <c r="B12581" s="17" t="s">
        <v>4548</v>
      </c>
      <c r="C12581" s="17" t="s">
        <v>3614</v>
      </c>
      <c r="D12581" s="17" t="s">
        <v>19</v>
      </c>
      <c r="E12581" s="17" t="s">
        <v>3447</v>
      </c>
      <c r="F12581" s="17" t="s">
        <v>209</v>
      </c>
      <c r="G12581" s="18" t="n">
        <v>0</v>
      </c>
      <c r="H12581" s="18" t="n">
        <v>47</v>
      </c>
      <c r="I12581" s="18" t="n">
        <f aca="false">((I12580 + G12581) - H12581)</f>
        <v>-2264.35</v>
      </c>
      <c r="J12581" s="18" t="n">
        <v>0</v>
      </c>
      <c r="K12581" s="19" t="n">
        <v>0</v>
      </c>
      <c r="L12581" s="17"/>
    </row>
    <row r="12582" s="11" customFormat="true" ht="10.95" hidden="false" customHeight="true" outlineLevel="0" collapsed="false">
      <c r="A12582" s="16" t="n">
        <v>45161</v>
      </c>
      <c r="B12582" s="17" t="s">
        <v>4548</v>
      </c>
      <c r="C12582" s="17" t="s">
        <v>3614</v>
      </c>
      <c r="D12582" s="17" t="s">
        <v>19</v>
      </c>
      <c r="E12582" s="17" t="s">
        <v>3447</v>
      </c>
      <c r="F12582" s="17" t="s">
        <v>210</v>
      </c>
      <c r="G12582" s="18" t="n">
        <v>0</v>
      </c>
      <c r="H12582" s="18" t="n">
        <v>18.8</v>
      </c>
      <c r="I12582" s="18" t="n">
        <f aca="false">((I12581 + G12582) - H12582)</f>
        <v>-2283.15</v>
      </c>
      <c r="J12582" s="18" t="n">
        <v>0</v>
      </c>
      <c r="K12582" s="19" t="n">
        <v>0</v>
      </c>
      <c r="L12582" s="17"/>
    </row>
    <row r="12583" s="11" customFormat="true" ht="10.95" hidden="false" customHeight="true" outlineLevel="0" collapsed="false">
      <c r="A12583" s="16" t="n">
        <v>45161</v>
      </c>
      <c r="B12583" s="17" t="s">
        <v>4548</v>
      </c>
      <c r="C12583" s="17" t="s">
        <v>3614</v>
      </c>
      <c r="D12583" s="17" t="s">
        <v>19</v>
      </c>
      <c r="E12583" s="17" t="s">
        <v>3447</v>
      </c>
      <c r="F12583" s="17" t="s">
        <v>211</v>
      </c>
      <c r="G12583" s="18" t="n">
        <v>0</v>
      </c>
      <c r="H12583" s="18" t="n">
        <v>47</v>
      </c>
      <c r="I12583" s="18" t="n">
        <f aca="false">((I12582 + G12583) - H12583)</f>
        <v>-2330.15</v>
      </c>
      <c r="J12583" s="18" t="n">
        <v>0</v>
      </c>
      <c r="K12583" s="19" t="n">
        <v>0</v>
      </c>
      <c r="L12583" s="17"/>
    </row>
    <row r="12584" s="11" customFormat="true" ht="10.95" hidden="false" customHeight="true" outlineLevel="0" collapsed="false">
      <c r="A12584" s="16" t="n">
        <v>45161</v>
      </c>
      <c r="B12584" s="17" t="s">
        <v>4548</v>
      </c>
      <c r="C12584" s="17" t="s">
        <v>3614</v>
      </c>
      <c r="D12584" s="17" t="s">
        <v>19</v>
      </c>
      <c r="E12584" s="17" t="s">
        <v>3447</v>
      </c>
      <c r="F12584" s="17" t="s">
        <v>212</v>
      </c>
      <c r="G12584" s="18" t="n">
        <v>0</v>
      </c>
      <c r="H12584" s="18" t="n">
        <v>225.9</v>
      </c>
      <c r="I12584" s="18" t="n">
        <f aca="false">((I12583 + G12584) - H12584)</f>
        <v>-2556.05</v>
      </c>
      <c r="J12584" s="18" t="n">
        <v>0</v>
      </c>
      <c r="K12584" s="19" t="n">
        <v>0</v>
      </c>
      <c r="L12584" s="17"/>
    </row>
    <row r="12585" s="11" customFormat="true" ht="10.95" hidden="false" customHeight="true" outlineLevel="0" collapsed="false">
      <c r="A12585" s="16" t="n">
        <v>45161</v>
      </c>
      <c r="B12585" s="17" t="s">
        <v>4548</v>
      </c>
      <c r="C12585" s="17" t="s">
        <v>3614</v>
      </c>
      <c r="D12585" s="17" t="s">
        <v>19</v>
      </c>
      <c r="E12585" s="17" t="s">
        <v>3447</v>
      </c>
      <c r="F12585" s="17" t="s">
        <v>213</v>
      </c>
      <c r="G12585" s="18" t="n">
        <v>0</v>
      </c>
      <c r="H12585" s="18" t="n">
        <v>114.4</v>
      </c>
      <c r="I12585" s="18" t="n">
        <f aca="false">((I12584 + G12585) - H12585)</f>
        <v>-2670.45</v>
      </c>
      <c r="J12585" s="18" t="n">
        <v>0</v>
      </c>
      <c r="K12585" s="19" t="n">
        <v>0</v>
      </c>
      <c r="L12585" s="17"/>
    </row>
    <row r="12586" s="11" customFormat="true" ht="10.95" hidden="false" customHeight="true" outlineLevel="0" collapsed="false">
      <c r="A12586" s="16" t="n">
        <v>45161</v>
      </c>
      <c r="B12586" s="17" t="s">
        <v>4548</v>
      </c>
      <c r="C12586" s="17" t="s">
        <v>3614</v>
      </c>
      <c r="D12586" s="17" t="s">
        <v>19</v>
      </c>
      <c r="E12586" s="17" t="s">
        <v>3447</v>
      </c>
      <c r="F12586" s="17" t="s">
        <v>214</v>
      </c>
      <c r="G12586" s="18" t="n">
        <v>0</v>
      </c>
      <c r="H12586" s="18" t="n">
        <v>28.2</v>
      </c>
      <c r="I12586" s="18" t="n">
        <f aca="false">((I12585 + G12586) - H12586)</f>
        <v>-2698.65</v>
      </c>
      <c r="J12586" s="18" t="n">
        <v>0</v>
      </c>
      <c r="K12586" s="19" t="n">
        <v>0</v>
      </c>
      <c r="L12586" s="17"/>
    </row>
    <row r="12587" s="11" customFormat="true" ht="10.95" hidden="false" customHeight="true" outlineLevel="0" collapsed="false">
      <c r="A12587" s="16" t="n">
        <v>45161</v>
      </c>
      <c r="B12587" s="17" t="s">
        <v>4548</v>
      </c>
      <c r="C12587" s="17" t="s">
        <v>3614</v>
      </c>
      <c r="D12587" s="17" t="s">
        <v>19</v>
      </c>
      <c r="E12587" s="17" t="s">
        <v>3447</v>
      </c>
      <c r="F12587" s="17" t="s">
        <v>215</v>
      </c>
      <c r="G12587" s="18" t="n">
        <v>0</v>
      </c>
      <c r="H12587" s="18" t="n">
        <v>28.2</v>
      </c>
      <c r="I12587" s="18" t="n">
        <f aca="false">((I12586 + G12587) - H12587)</f>
        <v>-2726.85</v>
      </c>
      <c r="J12587" s="18" t="n">
        <v>0</v>
      </c>
      <c r="K12587" s="19" t="n">
        <v>0</v>
      </c>
      <c r="L12587" s="17"/>
    </row>
    <row r="12588" s="11" customFormat="true" ht="10.95" hidden="false" customHeight="true" outlineLevel="0" collapsed="false">
      <c r="A12588" s="16" t="n">
        <v>45161</v>
      </c>
      <c r="B12588" s="17" t="s">
        <v>4548</v>
      </c>
      <c r="C12588" s="17" t="s">
        <v>3614</v>
      </c>
      <c r="D12588" s="17" t="s">
        <v>19</v>
      </c>
      <c r="E12588" s="17" t="s">
        <v>3447</v>
      </c>
      <c r="F12588" s="17" t="s">
        <v>216</v>
      </c>
      <c r="G12588" s="18" t="n">
        <v>0</v>
      </c>
      <c r="H12588" s="18" t="n">
        <v>47</v>
      </c>
      <c r="I12588" s="18" t="n">
        <f aca="false">((I12587 + G12588) - H12588)</f>
        <v>-2773.85</v>
      </c>
      <c r="J12588" s="18" t="n">
        <v>0</v>
      </c>
      <c r="K12588" s="19" t="n">
        <v>0</v>
      </c>
      <c r="L12588" s="17"/>
    </row>
    <row r="12589" s="11" customFormat="true" ht="10.95" hidden="false" customHeight="true" outlineLevel="0" collapsed="false">
      <c r="A12589" s="16" t="n">
        <v>45161</v>
      </c>
      <c r="B12589" s="17" t="s">
        <v>4548</v>
      </c>
      <c r="C12589" s="17" t="s">
        <v>3614</v>
      </c>
      <c r="D12589" s="17" t="s">
        <v>19</v>
      </c>
      <c r="E12589" s="17" t="s">
        <v>3447</v>
      </c>
      <c r="F12589" s="17" t="s">
        <v>217</v>
      </c>
      <c r="G12589" s="18" t="n">
        <v>0</v>
      </c>
      <c r="H12589" s="18" t="n">
        <v>94</v>
      </c>
      <c r="I12589" s="18" t="n">
        <f aca="false">((I12588 + G12589) - H12589)</f>
        <v>-2867.85</v>
      </c>
      <c r="J12589" s="18" t="n">
        <v>0</v>
      </c>
      <c r="K12589" s="19" t="n">
        <v>0</v>
      </c>
      <c r="L12589" s="17"/>
    </row>
    <row r="12590" s="11" customFormat="true" ht="10.95" hidden="false" customHeight="true" outlineLevel="0" collapsed="false">
      <c r="A12590" s="16" t="n">
        <v>45161</v>
      </c>
      <c r="B12590" s="17" t="s">
        <v>4548</v>
      </c>
      <c r="C12590" s="17" t="s">
        <v>3614</v>
      </c>
      <c r="D12590" s="17" t="s">
        <v>19</v>
      </c>
      <c r="E12590" s="17" t="s">
        <v>3447</v>
      </c>
      <c r="F12590" s="17" t="s">
        <v>218</v>
      </c>
      <c r="G12590" s="18" t="n">
        <v>0</v>
      </c>
      <c r="H12590" s="18" t="n">
        <v>65.8</v>
      </c>
      <c r="I12590" s="18" t="n">
        <f aca="false">((I12589 + G12590) - H12590)</f>
        <v>-2933.65</v>
      </c>
      <c r="J12590" s="18" t="n">
        <v>0</v>
      </c>
      <c r="K12590" s="19" t="n">
        <v>0</v>
      </c>
      <c r="L12590" s="17"/>
    </row>
    <row r="12591" s="11" customFormat="true" ht="10.95" hidden="false" customHeight="true" outlineLevel="0" collapsed="false">
      <c r="A12591" s="16" t="n">
        <v>45161</v>
      </c>
      <c r="B12591" s="17" t="s">
        <v>4548</v>
      </c>
      <c r="C12591" s="17" t="s">
        <v>3614</v>
      </c>
      <c r="D12591" s="17" t="s">
        <v>19</v>
      </c>
      <c r="E12591" s="17" t="s">
        <v>3448</v>
      </c>
      <c r="F12591" s="17" t="s">
        <v>219</v>
      </c>
      <c r="G12591" s="18" t="n">
        <v>0</v>
      </c>
      <c r="H12591" s="18" t="n">
        <v>43.7</v>
      </c>
      <c r="I12591" s="18" t="n">
        <f aca="false">((I12590 + G12591) - H12591)</f>
        <v>-2977.35</v>
      </c>
      <c r="J12591" s="18" t="n">
        <v>0</v>
      </c>
      <c r="K12591" s="19" t="n">
        <v>0</v>
      </c>
      <c r="L12591" s="17"/>
    </row>
    <row r="12592" s="11" customFormat="true" ht="10.95" hidden="false" customHeight="true" outlineLevel="0" collapsed="false">
      <c r="A12592" s="16" t="n">
        <v>45161</v>
      </c>
      <c r="B12592" s="17" t="s">
        <v>4548</v>
      </c>
      <c r="C12592" s="17" t="s">
        <v>3614</v>
      </c>
      <c r="D12592" s="17" t="s">
        <v>19</v>
      </c>
      <c r="E12592" s="17" t="s">
        <v>3448</v>
      </c>
      <c r="F12592" s="17" t="s">
        <v>220</v>
      </c>
      <c r="G12592" s="18" t="n">
        <v>0</v>
      </c>
      <c r="H12592" s="18" t="n">
        <v>25.5</v>
      </c>
      <c r="I12592" s="18" t="n">
        <f aca="false">((I12591 + G12592) - H12592)</f>
        <v>-3002.85</v>
      </c>
      <c r="J12592" s="18" t="n">
        <v>0</v>
      </c>
      <c r="K12592" s="19" t="n">
        <v>0</v>
      </c>
      <c r="L12592" s="17"/>
    </row>
    <row r="12593" s="11" customFormat="true" ht="10.95" hidden="false" customHeight="true" outlineLevel="0" collapsed="false">
      <c r="A12593" s="16" t="n">
        <v>45161</v>
      </c>
      <c r="B12593" s="17" t="s">
        <v>4548</v>
      </c>
      <c r="C12593" s="17" t="s">
        <v>3614</v>
      </c>
      <c r="D12593" s="17" t="s">
        <v>19</v>
      </c>
      <c r="E12593" s="17" t="s">
        <v>3451</v>
      </c>
      <c r="F12593" s="17" t="s">
        <v>221</v>
      </c>
      <c r="G12593" s="18" t="n">
        <v>0</v>
      </c>
      <c r="H12593" s="18" t="n">
        <v>127.2</v>
      </c>
      <c r="I12593" s="18" t="n">
        <f aca="false">((I12592 + G12593) - H12593)</f>
        <v>-3130.05</v>
      </c>
      <c r="J12593" s="18" t="n">
        <v>0</v>
      </c>
      <c r="K12593" s="19" t="n">
        <v>0</v>
      </c>
      <c r="L12593" s="17"/>
    </row>
    <row r="12594" s="11" customFormat="true" ht="10.95" hidden="false" customHeight="true" outlineLevel="0" collapsed="false">
      <c r="A12594" s="16" t="n">
        <v>45161</v>
      </c>
      <c r="B12594" s="17" t="s">
        <v>4548</v>
      </c>
      <c r="C12594" s="17" t="s">
        <v>3614</v>
      </c>
      <c r="D12594" s="17" t="s">
        <v>19</v>
      </c>
      <c r="E12594" s="17" t="s">
        <v>3454</v>
      </c>
      <c r="F12594" s="17" t="s">
        <v>222</v>
      </c>
      <c r="G12594" s="18" t="n">
        <v>0</v>
      </c>
      <c r="H12594" s="18" t="n">
        <v>1574.85</v>
      </c>
      <c r="I12594" s="18" t="n">
        <f aca="false">((I12593 + G12594) - H12594)</f>
        <v>-4704.9</v>
      </c>
      <c r="J12594" s="18" t="n">
        <v>0</v>
      </c>
      <c r="K12594" s="19" t="n">
        <v>0</v>
      </c>
      <c r="L12594" s="17"/>
    </row>
    <row r="12595" s="11" customFormat="true" ht="10.95" hidden="false" customHeight="true" outlineLevel="0" collapsed="false">
      <c r="A12595" s="16" t="n">
        <v>45161</v>
      </c>
      <c r="B12595" s="17" t="s">
        <v>4548</v>
      </c>
      <c r="C12595" s="17" t="s">
        <v>3614</v>
      </c>
      <c r="D12595" s="17" t="s">
        <v>1407</v>
      </c>
      <c r="E12595" s="17" t="s">
        <v>2747</v>
      </c>
      <c r="F12595" s="17"/>
      <c r="G12595" s="18" t="n">
        <v>0.64</v>
      </c>
      <c r="H12595" s="18" t="n">
        <v>0</v>
      </c>
      <c r="I12595" s="18" t="n">
        <f aca="false">((I12594 + G12595) - H12595)</f>
        <v>-4704.26</v>
      </c>
      <c r="J12595" s="18" t="n">
        <v>0</v>
      </c>
      <c r="K12595" s="19" t="n">
        <v>0</v>
      </c>
      <c r="L12595" s="17"/>
    </row>
    <row r="12596" s="11" customFormat="true" ht="10.95" hidden="false" customHeight="true" outlineLevel="0" collapsed="false">
      <c r="A12596" s="16" t="n">
        <v>45161</v>
      </c>
      <c r="B12596" s="17" t="s">
        <v>4548</v>
      </c>
      <c r="C12596" s="17" t="s">
        <v>3614</v>
      </c>
      <c r="D12596" s="17" t="s">
        <v>1407</v>
      </c>
      <c r="E12596" s="17" t="s">
        <v>3907</v>
      </c>
      <c r="F12596" s="17"/>
      <c r="G12596" s="18" t="n">
        <v>5.36</v>
      </c>
      <c r="H12596" s="18" t="n">
        <v>0</v>
      </c>
      <c r="I12596" s="18" t="n">
        <f aca="false">((I12595 + G12596) - H12596)</f>
        <v>-4698.9</v>
      </c>
      <c r="J12596" s="18" t="n">
        <v>0</v>
      </c>
      <c r="K12596" s="19" t="n">
        <v>0</v>
      </c>
      <c r="L12596" s="17"/>
    </row>
    <row r="12597" s="11" customFormat="true" ht="10.95" hidden="false" customHeight="true" outlineLevel="0" collapsed="false">
      <c r="A12597" s="16" t="n">
        <v>45161</v>
      </c>
      <c r="B12597" s="17" t="s">
        <v>4548</v>
      </c>
      <c r="C12597" s="17" t="s">
        <v>3614</v>
      </c>
      <c r="D12597" s="17" t="s">
        <v>1407</v>
      </c>
      <c r="E12597" s="17" t="s">
        <v>3804</v>
      </c>
      <c r="F12597" s="17"/>
      <c r="G12597" s="18" t="n">
        <v>3.64</v>
      </c>
      <c r="H12597" s="18" t="n">
        <v>0</v>
      </c>
      <c r="I12597" s="18" t="n">
        <f aca="false">((I12596 + G12597) - H12597)</f>
        <v>-4695.26</v>
      </c>
      <c r="J12597" s="18" t="n">
        <v>0</v>
      </c>
      <c r="K12597" s="19" t="n">
        <v>0</v>
      </c>
      <c r="L12597" s="17"/>
    </row>
    <row r="12598" s="11" customFormat="true" ht="10.95" hidden="false" customHeight="true" outlineLevel="0" collapsed="false">
      <c r="A12598" s="16" t="n">
        <v>45161</v>
      </c>
      <c r="B12598" s="17" t="s">
        <v>4548</v>
      </c>
      <c r="C12598" s="17" t="s">
        <v>3614</v>
      </c>
      <c r="D12598" s="17" t="s">
        <v>1407</v>
      </c>
      <c r="E12598" s="17" t="s">
        <v>3968</v>
      </c>
      <c r="F12598" s="17"/>
      <c r="G12598" s="18" t="n">
        <v>3.64</v>
      </c>
      <c r="H12598" s="18" t="n">
        <v>0</v>
      </c>
      <c r="I12598" s="18" t="n">
        <f aca="false">((I12597 + G12598) - H12598)</f>
        <v>-4691.62</v>
      </c>
      <c r="J12598" s="18" t="n">
        <v>0</v>
      </c>
      <c r="K12598" s="19" t="n">
        <v>0</v>
      </c>
      <c r="L12598" s="17"/>
    </row>
    <row r="12599" s="11" customFormat="true" ht="10.95" hidden="false" customHeight="true" outlineLevel="0" collapsed="false">
      <c r="A12599" s="16" t="n">
        <v>45161</v>
      </c>
      <c r="B12599" s="17" t="s">
        <v>4548</v>
      </c>
      <c r="C12599" s="17" t="s">
        <v>3614</v>
      </c>
      <c r="D12599" s="17" t="s">
        <v>19</v>
      </c>
      <c r="E12599" s="17" t="s">
        <v>3447</v>
      </c>
      <c r="F12599" s="17" t="s">
        <v>227</v>
      </c>
      <c r="G12599" s="18" t="n">
        <v>0</v>
      </c>
      <c r="H12599" s="18" t="n">
        <v>9.4</v>
      </c>
      <c r="I12599" s="18" t="n">
        <f aca="false">((I12598 + G12599) - H12599)</f>
        <v>-4701.02</v>
      </c>
      <c r="J12599" s="18" t="n">
        <v>0</v>
      </c>
      <c r="K12599" s="19" t="n">
        <v>0</v>
      </c>
      <c r="L12599" s="17"/>
    </row>
    <row r="12600" s="11" customFormat="true" ht="10.95" hidden="false" customHeight="true" outlineLevel="0" collapsed="false">
      <c r="A12600" s="16" t="n">
        <v>45162</v>
      </c>
      <c r="B12600" s="17" t="s">
        <v>4548</v>
      </c>
      <c r="C12600" s="17" t="s">
        <v>3614</v>
      </c>
      <c r="D12600" s="17" t="s">
        <v>1407</v>
      </c>
      <c r="E12600" s="17" t="s">
        <v>3642</v>
      </c>
      <c r="F12600" s="17"/>
      <c r="G12600" s="18" t="n">
        <v>8.6</v>
      </c>
      <c r="H12600" s="18" t="n">
        <v>0</v>
      </c>
      <c r="I12600" s="18" t="n">
        <f aca="false">((I12599 + G12600) - H12600)</f>
        <v>-4692.42</v>
      </c>
      <c r="J12600" s="18" t="n">
        <v>0</v>
      </c>
      <c r="K12600" s="19" t="n">
        <v>0</v>
      </c>
      <c r="L12600" s="17"/>
    </row>
    <row r="12601" s="11" customFormat="true" ht="10.95" hidden="false" customHeight="true" outlineLevel="0" collapsed="false">
      <c r="A12601" s="16" t="n">
        <v>45162</v>
      </c>
      <c r="B12601" s="17" t="s">
        <v>4548</v>
      </c>
      <c r="C12601" s="17" t="s">
        <v>3614</v>
      </c>
      <c r="D12601" s="17" t="s">
        <v>1407</v>
      </c>
      <c r="E12601" s="17" t="s">
        <v>1536</v>
      </c>
      <c r="F12601" s="17"/>
      <c r="G12601" s="18" t="n">
        <v>26.62</v>
      </c>
      <c r="H12601" s="18" t="n">
        <v>0</v>
      </c>
      <c r="I12601" s="18" t="n">
        <f aca="false">((I12600 + G12601) - H12601)</f>
        <v>-4665.8</v>
      </c>
      <c r="J12601" s="18" t="n">
        <v>0</v>
      </c>
      <c r="K12601" s="19" t="n">
        <v>0</v>
      </c>
      <c r="L12601" s="17"/>
    </row>
    <row r="12602" s="11" customFormat="true" ht="10.95" hidden="false" customHeight="true" outlineLevel="0" collapsed="false">
      <c r="A12602" s="16" t="n">
        <v>45163</v>
      </c>
      <c r="B12602" s="17" t="s">
        <v>4548</v>
      </c>
      <c r="C12602" s="17" t="s">
        <v>3614</v>
      </c>
      <c r="D12602" s="17" t="s">
        <v>1407</v>
      </c>
      <c r="E12602" s="17" t="s">
        <v>3770</v>
      </c>
      <c r="F12602" s="17"/>
      <c r="G12602" s="18" t="n">
        <v>2.09</v>
      </c>
      <c r="H12602" s="18" t="n">
        <v>0</v>
      </c>
      <c r="I12602" s="18" t="n">
        <f aca="false">((I12601 + G12602) - H12602)</f>
        <v>-4663.71</v>
      </c>
      <c r="J12602" s="18" t="n">
        <v>0</v>
      </c>
      <c r="K12602" s="19" t="n">
        <v>0</v>
      </c>
      <c r="L12602" s="17"/>
    </row>
    <row r="12603" s="11" customFormat="true" ht="10.95" hidden="false" customHeight="true" outlineLevel="0" collapsed="false">
      <c r="A12603" s="16" t="n">
        <v>45163</v>
      </c>
      <c r="B12603" s="17" t="s">
        <v>4548</v>
      </c>
      <c r="C12603" s="17" t="s">
        <v>3614</v>
      </c>
      <c r="D12603" s="17" t="s">
        <v>1407</v>
      </c>
      <c r="E12603" s="17" t="s">
        <v>3621</v>
      </c>
      <c r="F12603" s="17"/>
      <c r="G12603" s="18" t="n">
        <v>9.54</v>
      </c>
      <c r="H12603" s="18" t="n">
        <v>0</v>
      </c>
      <c r="I12603" s="18" t="n">
        <f aca="false">((I12602 + G12603) - H12603)</f>
        <v>-4654.17</v>
      </c>
      <c r="J12603" s="18" t="n">
        <v>0</v>
      </c>
      <c r="K12603" s="19" t="n">
        <v>0</v>
      </c>
      <c r="L12603" s="17"/>
    </row>
    <row r="12604" s="11" customFormat="true" ht="10.95" hidden="false" customHeight="true" outlineLevel="0" collapsed="false">
      <c r="A12604" s="16" t="n">
        <v>45163</v>
      </c>
      <c r="B12604" s="17" t="s">
        <v>4548</v>
      </c>
      <c r="C12604" s="17" t="s">
        <v>3614</v>
      </c>
      <c r="D12604" s="17" t="s">
        <v>1407</v>
      </c>
      <c r="E12604" s="17" t="s">
        <v>3975</v>
      </c>
      <c r="F12604" s="17"/>
      <c r="G12604" s="18" t="n">
        <v>3.65</v>
      </c>
      <c r="H12604" s="18" t="n">
        <v>0</v>
      </c>
      <c r="I12604" s="18" t="n">
        <f aca="false">((I12603 + G12604) - H12604)</f>
        <v>-4650.52</v>
      </c>
      <c r="J12604" s="18" t="n">
        <v>0</v>
      </c>
      <c r="K12604" s="19" t="n">
        <v>0</v>
      </c>
      <c r="L12604" s="17"/>
    </row>
    <row r="12605" s="11" customFormat="true" ht="10.95" hidden="false" customHeight="true" outlineLevel="0" collapsed="false">
      <c r="A12605" s="16" t="n">
        <v>45163</v>
      </c>
      <c r="B12605" s="17" t="s">
        <v>4548</v>
      </c>
      <c r="C12605" s="17" t="s">
        <v>3614</v>
      </c>
      <c r="D12605" s="17" t="s">
        <v>1391</v>
      </c>
      <c r="E12605" s="17" t="s">
        <v>3673</v>
      </c>
      <c r="F12605" s="17" t="s">
        <v>3190</v>
      </c>
      <c r="G12605" s="18" t="n">
        <v>2128.82</v>
      </c>
      <c r="H12605" s="18" t="n">
        <v>0</v>
      </c>
      <c r="I12605" s="18" t="n">
        <f aca="false">((I12604 + G12605) - H12605)</f>
        <v>-2521.7</v>
      </c>
      <c r="J12605" s="18" t="n">
        <v>0</v>
      </c>
      <c r="K12605" s="19" t="n">
        <v>0</v>
      </c>
      <c r="L12605" s="17"/>
    </row>
    <row r="12606" s="11" customFormat="true" ht="10.95" hidden="false" customHeight="true" outlineLevel="0" collapsed="false">
      <c r="A12606" s="16" t="n">
        <v>45164</v>
      </c>
      <c r="B12606" s="17" t="s">
        <v>4548</v>
      </c>
      <c r="C12606" s="17" t="s">
        <v>3614</v>
      </c>
      <c r="D12606" s="17" t="s">
        <v>1407</v>
      </c>
      <c r="E12606" s="17" t="s">
        <v>3976</v>
      </c>
      <c r="F12606" s="17"/>
      <c r="G12606" s="18" t="n">
        <v>15.83</v>
      </c>
      <c r="H12606" s="18" t="n">
        <v>0</v>
      </c>
      <c r="I12606" s="18" t="n">
        <f aca="false">((I12605 + G12606) - H12606)</f>
        <v>-2505.87</v>
      </c>
      <c r="J12606" s="18" t="n">
        <v>0</v>
      </c>
      <c r="K12606" s="19" t="n">
        <v>0</v>
      </c>
      <c r="L12606" s="17"/>
    </row>
    <row r="12607" s="11" customFormat="true" ht="10.95" hidden="false" customHeight="true" outlineLevel="0" collapsed="false">
      <c r="A12607" s="16" t="n">
        <v>45165</v>
      </c>
      <c r="B12607" s="17" t="s">
        <v>4548</v>
      </c>
      <c r="C12607" s="17" t="s">
        <v>3614</v>
      </c>
      <c r="D12607" s="17" t="s">
        <v>1407</v>
      </c>
      <c r="E12607" s="17" t="s">
        <v>3805</v>
      </c>
      <c r="F12607" s="17"/>
      <c r="G12607" s="18" t="n">
        <v>8.9</v>
      </c>
      <c r="H12607" s="18" t="n">
        <v>0</v>
      </c>
      <c r="I12607" s="18" t="n">
        <f aca="false">((I12606 + G12607) - H12607)</f>
        <v>-2496.97</v>
      </c>
      <c r="J12607" s="18" t="n">
        <v>0</v>
      </c>
      <c r="K12607" s="19" t="n">
        <v>0</v>
      </c>
      <c r="L12607" s="17"/>
    </row>
    <row r="12608" s="11" customFormat="true" ht="10.95" hidden="false" customHeight="true" outlineLevel="0" collapsed="false">
      <c r="A12608" s="16" t="n">
        <v>45166</v>
      </c>
      <c r="B12608" s="17" t="s">
        <v>4548</v>
      </c>
      <c r="C12608" s="17" t="s">
        <v>3614</v>
      </c>
      <c r="D12608" s="17" t="s">
        <v>162</v>
      </c>
      <c r="E12608" s="17" t="s">
        <v>3490</v>
      </c>
      <c r="F12608" s="17" t="s">
        <v>228</v>
      </c>
      <c r="G12608" s="18" t="n">
        <v>27.3</v>
      </c>
      <c r="H12608" s="18" t="n">
        <v>0</v>
      </c>
      <c r="I12608" s="18" t="n">
        <f aca="false">((I12607 + G12608) - H12608)</f>
        <v>-2469.67</v>
      </c>
      <c r="J12608" s="18" t="n">
        <v>0</v>
      </c>
      <c r="K12608" s="19" t="n">
        <v>0</v>
      </c>
      <c r="L12608" s="17"/>
    </row>
    <row r="12609" s="11" customFormat="true" ht="10.95" hidden="false" customHeight="true" outlineLevel="0" collapsed="false">
      <c r="A12609" s="16" t="n">
        <v>45166</v>
      </c>
      <c r="B12609" s="17" t="s">
        <v>4548</v>
      </c>
      <c r="C12609" s="17" t="s">
        <v>3614</v>
      </c>
      <c r="D12609" s="17" t="s">
        <v>1391</v>
      </c>
      <c r="E12609" s="17" t="s">
        <v>3647</v>
      </c>
      <c r="F12609" s="17" t="s">
        <v>1429</v>
      </c>
      <c r="G12609" s="18" t="n">
        <v>417.62</v>
      </c>
      <c r="H12609" s="18" t="n">
        <v>0</v>
      </c>
      <c r="I12609" s="18" t="n">
        <f aca="false">((I12608 + G12609) - H12609)</f>
        <v>-2052.05</v>
      </c>
      <c r="J12609" s="18" t="n">
        <v>0</v>
      </c>
      <c r="K12609" s="19" t="n">
        <v>0</v>
      </c>
      <c r="L12609" s="17"/>
    </row>
    <row r="12610" s="11" customFormat="true" ht="10.95" hidden="false" customHeight="true" outlineLevel="0" collapsed="false">
      <c r="A12610" s="16" t="n">
        <v>45167</v>
      </c>
      <c r="B12610" s="17" t="s">
        <v>4548</v>
      </c>
      <c r="C12610" s="17" t="s">
        <v>3614</v>
      </c>
      <c r="D12610" s="17" t="s">
        <v>1407</v>
      </c>
      <c r="E12610" s="17" t="s">
        <v>2747</v>
      </c>
      <c r="F12610" s="17"/>
      <c r="G12610" s="18" t="n">
        <v>0.64</v>
      </c>
      <c r="H12610" s="18" t="n">
        <v>0</v>
      </c>
      <c r="I12610" s="18" t="n">
        <f aca="false">((I12609 + G12610) - H12610)</f>
        <v>-2051.41</v>
      </c>
      <c r="J12610" s="18" t="n">
        <v>0</v>
      </c>
      <c r="K12610" s="19" t="n">
        <v>0</v>
      </c>
      <c r="L12610" s="17"/>
    </row>
    <row r="12611" s="11" customFormat="true" ht="10.95" hidden="false" customHeight="true" outlineLevel="0" collapsed="false">
      <c r="A12611" s="16" t="n">
        <v>45167</v>
      </c>
      <c r="B12611" s="17" t="s">
        <v>4548</v>
      </c>
      <c r="C12611" s="17" t="s">
        <v>3614</v>
      </c>
      <c r="D12611" s="17" t="s">
        <v>1407</v>
      </c>
      <c r="E12611" s="17" t="s">
        <v>3642</v>
      </c>
      <c r="F12611" s="17"/>
      <c r="G12611" s="18" t="n">
        <v>3.62</v>
      </c>
      <c r="H12611" s="18" t="n">
        <v>0</v>
      </c>
      <c r="I12611" s="18" t="n">
        <f aca="false">((I12610 + G12611) - H12611)</f>
        <v>-2047.79</v>
      </c>
      <c r="J12611" s="18" t="n">
        <v>0</v>
      </c>
      <c r="K12611" s="19" t="n">
        <v>0</v>
      </c>
      <c r="L12611" s="17"/>
    </row>
    <row r="12612" s="11" customFormat="true" ht="10.95" hidden="false" customHeight="true" outlineLevel="0" collapsed="false">
      <c r="A12612" s="16" t="n">
        <v>45167</v>
      </c>
      <c r="B12612" s="17" t="s">
        <v>4548</v>
      </c>
      <c r="C12612" s="17" t="s">
        <v>3614</v>
      </c>
      <c r="D12612" s="17" t="s">
        <v>1407</v>
      </c>
      <c r="E12612" s="17" t="s">
        <v>3983</v>
      </c>
      <c r="F12612" s="17"/>
      <c r="G12612" s="18" t="n">
        <v>9</v>
      </c>
      <c r="H12612" s="18" t="n">
        <v>0</v>
      </c>
      <c r="I12612" s="18" t="n">
        <f aca="false">((I12611 + G12612) - H12612)</f>
        <v>-2038.79</v>
      </c>
      <c r="J12612" s="18" t="n">
        <v>0</v>
      </c>
      <c r="K12612" s="19" t="n">
        <v>0</v>
      </c>
      <c r="L12612" s="17"/>
    </row>
    <row r="12613" s="11" customFormat="true" ht="10.95" hidden="false" customHeight="true" outlineLevel="0" collapsed="false">
      <c r="A12613" s="16" t="n">
        <v>45168</v>
      </c>
      <c r="B12613" s="17" t="s">
        <v>4548</v>
      </c>
      <c r="C12613" s="17" t="s">
        <v>3614</v>
      </c>
      <c r="D12613" s="17" t="s">
        <v>1407</v>
      </c>
      <c r="E12613" s="17" t="s">
        <v>2747</v>
      </c>
      <c r="F12613" s="17"/>
      <c r="G12613" s="18" t="n">
        <v>0.64</v>
      </c>
      <c r="H12613" s="18" t="n">
        <v>0</v>
      </c>
      <c r="I12613" s="18" t="n">
        <f aca="false">((I12612 + G12613) - H12613)</f>
        <v>-2038.15</v>
      </c>
      <c r="J12613" s="18" t="n">
        <v>0</v>
      </c>
      <c r="K12613" s="19" t="n">
        <v>0</v>
      </c>
      <c r="L12613" s="17"/>
    </row>
    <row r="12614" s="11" customFormat="true" ht="10.95" hidden="false" customHeight="true" outlineLevel="0" collapsed="false">
      <c r="A12614" s="16" t="n">
        <v>45169</v>
      </c>
      <c r="B12614" s="17" t="s">
        <v>4548</v>
      </c>
      <c r="C12614" s="17" t="s">
        <v>3614</v>
      </c>
      <c r="D12614" s="17" t="s">
        <v>1407</v>
      </c>
      <c r="E12614" s="17" t="s">
        <v>3865</v>
      </c>
      <c r="F12614" s="17"/>
      <c r="G12614" s="18" t="n">
        <v>7.5</v>
      </c>
      <c r="H12614" s="18" t="n">
        <v>0</v>
      </c>
      <c r="I12614" s="18" t="n">
        <f aca="false">((I12613 + G12614) - H12614)</f>
        <v>-2030.65</v>
      </c>
      <c r="J12614" s="18" t="n">
        <v>0</v>
      </c>
      <c r="K12614" s="19" t="n">
        <v>0</v>
      </c>
      <c r="L12614" s="17"/>
    </row>
    <row r="12615" s="11" customFormat="true" ht="10.95" hidden="false" customHeight="true" outlineLevel="0" collapsed="false">
      <c r="A12615" s="16" t="n">
        <v>45170</v>
      </c>
      <c r="B12615" s="17" t="s">
        <v>4548</v>
      </c>
      <c r="C12615" s="17" t="s">
        <v>3614</v>
      </c>
      <c r="D12615" s="17" t="s">
        <v>1391</v>
      </c>
      <c r="E12615" s="17" t="s">
        <v>3615</v>
      </c>
      <c r="F12615" s="17" t="s">
        <v>1431</v>
      </c>
      <c r="G12615" s="18" t="n">
        <v>48.98</v>
      </c>
      <c r="H12615" s="18" t="n">
        <v>0</v>
      </c>
      <c r="I12615" s="18" t="n">
        <f aca="false">((I12614 + G12615) - H12615)</f>
        <v>-1981.67</v>
      </c>
      <c r="J12615" s="18" t="n">
        <v>0</v>
      </c>
      <c r="K12615" s="19" t="n">
        <v>0</v>
      </c>
      <c r="L12615" s="17"/>
    </row>
    <row r="12616" s="11" customFormat="true" ht="10.95" hidden="false" customHeight="true" outlineLevel="0" collapsed="false">
      <c r="A12616" s="16" t="n">
        <v>45170</v>
      </c>
      <c r="B12616" s="17" t="s">
        <v>4548</v>
      </c>
      <c r="C12616" s="17" t="s">
        <v>3614</v>
      </c>
      <c r="D12616" s="17" t="s">
        <v>1391</v>
      </c>
      <c r="E12616" s="17" t="s">
        <v>3621</v>
      </c>
      <c r="F12616" s="17" t="s">
        <v>2642</v>
      </c>
      <c r="G12616" s="18" t="n">
        <v>66.5</v>
      </c>
      <c r="H12616" s="18" t="n">
        <v>0</v>
      </c>
      <c r="I12616" s="18" t="n">
        <f aca="false">((I12615 + G12616) - H12616)</f>
        <v>-1915.17</v>
      </c>
      <c r="J12616" s="18" t="n">
        <v>0</v>
      </c>
      <c r="K12616" s="19" t="n">
        <v>0</v>
      </c>
      <c r="L12616" s="17"/>
    </row>
    <row r="12617" s="11" customFormat="true" ht="10.95" hidden="false" customHeight="true" outlineLevel="0" collapsed="false">
      <c r="A12617" s="16" t="n">
        <v>45170</v>
      </c>
      <c r="B12617" s="17" t="s">
        <v>4548</v>
      </c>
      <c r="C12617" s="17" t="s">
        <v>3614</v>
      </c>
      <c r="D12617" s="17" t="s">
        <v>1407</v>
      </c>
      <c r="E12617" s="17" t="s">
        <v>3673</v>
      </c>
      <c r="F12617" s="17"/>
      <c r="G12617" s="18" t="n">
        <v>455.48</v>
      </c>
      <c r="H12617" s="18" t="n">
        <v>0</v>
      </c>
      <c r="I12617" s="18" t="n">
        <f aca="false">((I12616 + G12617) - H12617)</f>
        <v>-1459.69</v>
      </c>
      <c r="J12617" s="18" t="n">
        <v>0</v>
      </c>
      <c r="K12617" s="19" t="n">
        <v>0</v>
      </c>
      <c r="L12617" s="17"/>
    </row>
    <row r="12618" s="11" customFormat="true" ht="10.95" hidden="false" customHeight="true" outlineLevel="0" collapsed="false">
      <c r="A12618" s="16" t="n">
        <v>45171</v>
      </c>
      <c r="B12618" s="17" t="s">
        <v>4548</v>
      </c>
      <c r="C12618" s="17" t="s">
        <v>3614</v>
      </c>
      <c r="D12618" s="17" t="s">
        <v>1407</v>
      </c>
      <c r="E12618" s="17" t="s">
        <v>3996</v>
      </c>
      <c r="F12618" s="17"/>
      <c r="G12618" s="18" t="n">
        <v>881.45</v>
      </c>
      <c r="H12618" s="18" t="n">
        <v>0</v>
      </c>
      <c r="I12618" s="18" t="n">
        <f aca="false">((I12617 + G12618) - H12618)</f>
        <v>-578.24</v>
      </c>
      <c r="J12618" s="18" t="n">
        <v>0</v>
      </c>
      <c r="K12618" s="19" t="n">
        <v>0</v>
      </c>
      <c r="L12618" s="17"/>
    </row>
    <row r="12619" s="11" customFormat="true" ht="10.95" hidden="false" customHeight="true" outlineLevel="0" collapsed="false">
      <c r="A12619" s="16" t="n">
        <v>45171</v>
      </c>
      <c r="B12619" s="17" t="s">
        <v>4548</v>
      </c>
      <c r="C12619" s="17" t="s">
        <v>3614</v>
      </c>
      <c r="D12619" s="17" t="s">
        <v>1407</v>
      </c>
      <c r="E12619" s="17" t="s">
        <v>3804</v>
      </c>
      <c r="F12619" s="17"/>
      <c r="G12619" s="18" t="n">
        <v>3.64</v>
      </c>
      <c r="H12619" s="18" t="n">
        <v>0</v>
      </c>
      <c r="I12619" s="18" t="n">
        <f aca="false">((I12618 + G12619) - H12619)</f>
        <v>-574.6</v>
      </c>
      <c r="J12619" s="18" t="n">
        <v>0</v>
      </c>
      <c r="K12619" s="19" t="n">
        <v>0</v>
      </c>
      <c r="L12619" s="17"/>
    </row>
    <row r="12620" s="11" customFormat="true" ht="10.95" hidden="false" customHeight="true" outlineLevel="0" collapsed="false">
      <c r="A12620" s="16" t="n">
        <v>45172</v>
      </c>
      <c r="B12620" s="17" t="s">
        <v>4548</v>
      </c>
      <c r="C12620" s="17" t="s">
        <v>3614</v>
      </c>
      <c r="D12620" s="17" t="s">
        <v>1391</v>
      </c>
      <c r="E12620" s="17" t="s">
        <v>3625</v>
      </c>
      <c r="F12620" s="17" t="s">
        <v>3258</v>
      </c>
      <c r="G12620" s="18" t="n">
        <v>94.51</v>
      </c>
      <c r="H12620" s="18" t="n">
        <v>0</v>
      </c>
      <c r="I12620" s="18" t="n">
        <f aca="false">((I12619 + G12620) - H12620)</f>
        <v>-480.09</v>
      </c>
      <c r="J12620" s="18" t="n">
        <v>0</v>
      </c>
      <c r="K12620" s="19" t="n">
        <v>0</v>
      </c>
      <c r="L12620" s="17"/>
    </row>
    <row r="12621" s="11" customFormat="true" ht="10.95" hidden="false" customHeight="true" outlineLevel="0" collapsed="false">
      <c r="A12621" s="16" t="n">
        <v>45173</v>
      </c>
      <c r="B12621" s="17" t="s">
        <v>4548</v>
      </c>
      <c r="C12621" s="17" t="s">
        <v>3614</v>
      </c>
      <c r="D12621" s="17" t="s">
        <v>1391</v>
      </c>
      <c r="E12621" s="17" t="s">
        <v>3615</v>
      </c>
      <c r="F12621" s="17" t="s">
        <v>1433</v>
      </c>
      <c r="G12621" s="18" t="n">
        <v>1493.73</v>
      </c>
      <c r="H12621" s="18" t="n">
        <v>0</v>
      </c>
      <c r="I12621" s="18" t="n">
        <f aca="false">((I12620 + G12621) - H12621)</f>
        <v>1013.64</v>
      </c>
      <c r="J12621" s="18" t="n">
        <v>0</v>
      </c>
      <c r="K12621" s="19" t="n">
        <v>0</v>
      </c>
      <c r="L12621" s="17"/>
    </row>
    <row r="12622" s="11" customFormat="true" ht="10.95" hidden="false" customHeight="true" outlineLevel="0" collapsed="false">
      <c r="A12622" s="16" t="n">
        <v>45173</v>
      </c>
      <c r="B12622" s="17" t="s">
        <v>4548</v>
      </c>
      <c r="C12622" s="17" t="s">
        <v>3614</v>
      </c>
      <c r="D12622" s="17" t="s">
        <v>1407</v>
      </c>
      <c r="E12622" s="17" t="s">
        <v>3658</v>
      </c>
      <c r="F12622" s="17"/>
      <c r="G12622" s="18" t="n">
        <v>28.88</v>
      </c>
      <c r="H12622" s="18" t="n">
        <v>0</v>
      </c>
      <c r="I12622" s="18" t="n">
        <f aca="false">((I12621 + G12622) - H12622)</f>
        <v>1042.52</v>
      </c>
      <c r="J12622" s="18" t="n">
        <v>0</v>
      </c>
      <c r="K12622" s="19" t="n">
        <v>0</v>
      </c>
      <c r="L12622" s="17"/>
    </row>
    <row r="12623" s="11" customFormat="true" ht="10.95" hidden="false" customHeight="true" outlineLevel="0" collapsed="false">
      <c r="A12623" s="16" t="n">
        <v>45174</v>
      </c>
      <c r="B12623" s="17" t="s">
        <v>4548</v>
      </c>
      <c r="C12623" s="17" t="s">
        <v>3614</v>
      </c>
      <c r="D12623" s="17" t="s">
        <v>1391</v>
      </c>
      <c r="E12623" s="17" t="s">
        <v>3615</v>
      </c>
      <c r="F12623" s="17" t="s">
        <v>1435</v>
      </c>
      <c r="G12623" s="18" t="n">
        <v>172.5</v>
      </c>
      <c r="H12623" s="18" t="n">
        <v>0</v>
      </c>
      <c r="I12623" s="18" t="n">
        <f aca="false">((I12622 + G12623) - H12623)</f>
        <v>1215.02</v>
      </c>
      <c r="J12623" s="18" t="n">
        <v>0</v>
      </c>
      <c r="K12623" s="19" t="n">
        <v>0</v>
      </c>
      <c r="L12623" s="17"/>
    </row>
    <row r="12624" s="11" customFormat="true" ht="10.95" hidden="false" customHeight="true" outlineLevel="0" collapsed="false">
      <c r="A12624" s="16" t="n">
        <v>45174</v>
      </c>
      <c r="B12624" s="17" t="s">
        <v>4548</v>
      </c>
      <c r="C12624" s="17" t="s">
        <v>3614</v>
      </c>
      <c r="D12624" s="17" t="s">
        <v>1407</v>
      </c>
      <c r="E12624" s="17" t="s">
        <v>2747</v>
      </c>
      <c r="F12624" s="17"/>
      <c r="G12624" s="18" t="n">
        <v>0.64</v>
      </c>
      <c r="H12624" s="18" t="n">
        <v>0</v>
      </c>
      <c r="I12624" s="18" t="n">
        <f aca="false">((I12623 + G12624) - H12624)</f>
        <v>1215.66</v>
      </c>
      <c r="J12624" s="18" t="n">
        <v>0</v>
      </c>
      <c r="K12624" s="19" t="n">
        <v>0</v>
      </c>
      <c r="L12624" s="17"/>
    </row>
    <row r="12625" s="11" customFormat="true" ht="10.95" hidden="false" customHeight="true" outlineLevel="0" collapsed="false">
      <c r="A12625" s="16" t="n">
        <v>45174</v>
      </c>
      <c r="B12625" s="17" t="s">
        <v>4548</v>
      </c>
      <c r="C12625" s="17" t="s">
        <v>3614</v>
      </c>
      <c r="D12625" s="17" t="s">
        <v>1407</v>
      </c>
      <c r="E12625" s="17" t="s">
        <v>3650</v>
      </c>
      <c r="F12625" s="17"/>
      <c r="G12625" s="18" t="n">
        <v>13.83</v>
      </c>
      <c r="H12625" s="18" t="n">
        <v>0</v>
      </c>
      <c r="I12625" s="18" t="n">
        <f aca="false">((I12624 + G12625) - H12625)</f>
        <v>1229.49</v>
      </c>
      <c r="J12625" s="18" t="n">
        <v>0</v>
      </c>
      <c r="K12625" s="19" t="n">
        <v>0</v>
      </c>
      <c r="L12625" s="17"/>
    </row>
    <row r="12626" s="11" customFormat="true" ht="10.95" hidden="false" customHeight="true" outlineLevel="0" collapsed="false">
      <c r="A12626" s="16" t="n">
        <v>45174</v>
      </c>
      <c r="B12626" s="17" t="s">
        <v>4548</v>
      </c>
      <c r="C12626" s="17" t="s">
        <v>3614</v>
      </c>
      <c r="D12626" s="17" t="s">
        <v>1407</v>
      </c>
      <c r="E12626" s="17" t="s">
        <v>3642</v>
      </c>
      <c r="F12626" s="17"/>
      <c r="G12626" s="18" t="n">
        <v>70.91</v>
      </c>
      <c r="H12626" s="18" t="n">
        <v>0</v>
      </c>
      <c r="I12626" s="18" t="n">
        <f aca="false">((I12625 + G12626) - H12626)</f>
        <v>1300.4</v>
      </c>
      <c r="J12626" s="18" t="n">
        <v>0</v>
      </c>
      <c r="K12626" s="19" t="n">
        <v>0</v>
      </c>
      <c r="L12626" s="17"/>
    </row>
    <row r="12627" s="11" customFormat="true" ht="10.95" hidden="false" customHeight="true" outlineLevel="0" collapsed="false">
      <c r="A12627" s="16" t="n">
        <v>45175</v>
      </c>
      <c r="B12627" s="17" t="s">
        <v>4548</v>
      </c>
      <c r="C12627" s="17" t="s">
        <v>3614</v>
      </c>
      <c r="D12627" s="17" t="s">
        <v>1407</v>
      </c>
      <c r="E12627" s="17" t="s">
        <v>2747</v>
      </c>
      <c r="F12627" s="17"/>
      <c r="G12627" s="18" t="n">
        <v>0.64</v>
      </c>
      <c r="H12627" s="18" t="n">
        <v>0</v>
      </c>
      <c r="I12627" s="18" t="n">
        <f aca="false">((I12626 + G12627) - H12627)</f>
        <v>1301.04</v>
      </c>
      <c r="J12627" s="18" t="n">
        <v>0</v>
      </c>
      <c r="K12627" s="19" t="n">
        <v>0</v>
      </c>
      <c r="L12627" s="17"/>
    </row>
    <row r="12628" s="11" customFormat="true" ht="10.95" hidden="false" customHeight="true" outlineLevel="0" collapsed="false">
      <c r="A12628" s="16" t="n">
        <v>45175</v>
      </c>
      <c r="B12628" s="17" t="s">
        <v>4548</v>
      </c>
      <c r="C12628" s="17" t="s">
        <v>3614</v>
      </c>
      <c r="D12628" s="17" t="s">
        <v>1407</v>
      </c>
      <c r="E12628" s="17" t="s">
        <v>3642</v>
      </c>
      <c r="F12628" s="17"/>
      <c r="G12628" s="18" t="n">
        <v>1.65</v>
      </c>
      <c r="H12628" s="18" t="n">
        <v>0</v>
      </c>
      <c r="I12628" s="18" t="n">
        <f aca="false">((I12627 + G12628) - H12628)</f>
        <v>1302.69</v>
      </c>
      <c r="J12628" s="18" t="n">
        <v>0</v>
      </c>
      <c r="K12628" s="19" t="n">
        <v>0</v>
      </c>
      <c r="L12628" s="17"/>
    </row>
    <row r="12629" s="11" customFormat="true" ht="10.95" hidden="false" customHeight="true" outlineLevel="0" collapsed="false">
      <c r="A12629" s="16" t="n">
        <v>45175</v>
      </c>
      <c r="B12629" s="17" t="s">
        <v>4548</v>
      </c>
      <c r="C12629" s="17" t="s">
        <v>3614</v>
      </c>
      <c r="D12629" s="17" t="s">
        <v>1407</v>
      </c>
      <c r="E12629" s="17" t="s">
        <v>3626</v>
      </c>
      <c r="F12629" s="17"/>
      <c r="G12629" s="18" t="n">
        <v>6.5</v>
      </c>
      <c r="H12629" s="18" t="n">
        <v>0</v>
      </c>
      <c r="I12629" s="18" t="n">
        <f aca="false">((I12628 + G12629) - H12629)</f>
        <v>1309.19</v>
      </c>
      <c r="J12629" s="18" t="n">
        <v>0</v>
      </c>
      <c r="K12629" s="19" t="n">
        <v>0</v>
      </c>
      <c r="L12629" s="17"/>
    </row>
    <row r="12630" s="11" customFormat="true" ht="10.95" hidden="false" customHeight="true" outlineLevel="0" collapsed="false">
      <c r="A12630" s="16" t="n">
        <v>45175</v>
      </c>
      <c r="B12630" s="17" t="s">
        <v>4548</v>
      </c>
      <c r="C12630" s="17" t="s">
        <v>3614</v>
      </c>
      <c r="D12630" s="17" t="s">
        <v>1391</v>
      </c>
      <c r="E12630" s="17" t="s">
        <v>3670</v>
      </c>
      <c r="F12630" s="17" t="s">
        <v>3362</v>
      </c>
      <c r="G12630" s="18" t="n">
        <v>13.64</v>
      </c>
      <c r="H12630" s="18" t="n">
        <v>0</v>
      </c>
      <c r="I12630" s="18" t="n">
        <f aca="false">((I12629 + G12630) - H12630)</f>
        <v>1322.83</v>
      </c>
      <c r="J12630" s="18" t="n">
        <v>0</v>
      </c>
      <c r="K12630" s="19" t="n">
        <v>0</v>
      </c>
      <c r="L12630" s="17"/>
    </row>
    <row r="12631" s="11" customFormat="true" ht="10.95" hidden="false" customHeight="true" outlineLevel="0" collapsed="false">
      <c r="A12631" s="16" t="n">
        <v>45175</v>
      </c>
      <c r="B12631" s="17" t="s">
        <v>4548</v>
      </c>
      <c r="C12631" s="17" t="s">
        <v>3614</v>
      </c>
      <c r="D12631" s="17" t="s">
        <v>1407</v>
      </c>
      <c r="E12631" s="17" t="s">
        <v>3888</v>
      </c>
      <c r="F12631" s="17"/>
      <c r="G12631" s="18" t="n">
        <v>292.49</v>
      </c>
      <c r="H12631" s="18" t="n">
        <v>0</v>
      </c>
      <c r="I12631" s="18" t="n">
        <f aca="false">((I12630 + G12631) - H12631)</f>
        <v>1615.32</v>
      </c>
      <c r="J12631" s="18" t="n">
        <v>0</v>
      </c>
      <c r="K12631" s="19" t="n">
        <v>0</v>
      </c>
      <c r="L12631" s="17"/>
    </row>
    <row r="12632" s="11" customFormat="true" ht="10.95" hidden="false" customHeight="true" outlineLevel="0" collapsed="false">
      <c r="A12632" s="16" t="n">
        <v>45175</v>
      </c>
      <c r="B12632" s="17" t="s">
        <v>4548</v>
      </c>
      <c r="C12632" s="17" t="s">
        <v>3614</v>
      </c>
      <c r="D12632" s="17" t="s">
        <v>1407</v>
      </c>
      <c r="E12632" s="17" t="s">
        <v>3996</v>
      </c>
      <c r="F12632" s="17"/>
      <c r="G12632" s="18" t="n">
        <v>400</v>
      </c>
      <c r="H12632" s="18" t="n">
        <v>0</v>
      </c>
      <c r="I12632" s="18" t="n">
        <f aca="false">((I12631 + G12632) - H12632)</f>
        <v>2015.32</v>
      </c>
      <c r="J12632" s="18" t="n">
        <v>0</v>
      </c>
      <c r="K12632" s="19" t="n">
        <v>0</v>
      </c>
      <c r="L12632" s="17"/>
    </row>
    <row r="12633" s="11" customFormat="true" ht="10.95" hidden="false" customHeight="true" outlineLevel="0" collapsed="false">
      <c r="A12633" s="16" t="n">
        <v>45176</v>
      </c>
      <c r="B12633" s="17" t="s">
        <v>4548</v>
      </c>
      <c r="C12633" s="17" t="s">
        <v>3614</v>
      </c>
      <c r="D12633" s="17" t="s">
        <v>1407</v>
      </c>
      <c r="E12633" s="17" t="s">
        <v>3756</v>
      </c>
      <c r="F12633" s="17"/>
      <c r="G12633" s="18" t="n">
        <v>1.52</v>
      </c>
      <c r="H12633" s="18" t="n">
        <v>0</v>
      </c>
      <c r="I12633" s="18" t="n">
        <f aca="false">((I12632 + G12633) - H12633)</f>
        <v>2016.84</v>
      </c>
      <c r="J12633" s="18" t="n">
        <v>0</v>
      </c>
      <c r="K12633" s="19" t="n">
        <v>0</v>
      </c>
      <c r="L12633" s="17"/>
    </row>
    <row r="12634" s="11" customFormat="true" ht="10.95" hidden="false" customHeight="true" outlineLevel="0" collapsed="false">
      <c r="A12634" s="16" t="n">
        <v>45176</v>
      </c>
      <c r="B12634" s="17" t="s">
        <v>4548</v>
      </c>
      <c r="C12634" s="17" t="s">
        <v>3614</v>
      </c>
      <c r="D12634" s="17" t="s">
        <v>1407</v>
      </c>
      <c r="E12634" s="17" t="s">
        <v>3642</v>
      </c>
      <c r="F12634" s="17"/>
      <c r="G12634" s="18" t="n">
        <v>1.72</v>
      </c>
      <c r="H12634" s="18" t="n">
        <v>0</v>
      </c>
      <c r="I12634" s="18" t="n">
        <f aca="false">((I12633 + G12634) - H12634)</f>
        <v>2018.56</v>
      </c>
      <c r="J12634" s="18" t="n">
        <v>0</v>
      </c>
      <c r="K12634" s="19" t="n">
        <v>0</v>
      </c>
      <c r="L12634" s="17"/>
    </row>
    <row r="12635" s="11" customFormat="true" ht="10.95" hidden="false" customHeight="true" outlineLevel="0" collapsed="false">
      <c r="A12635" s="16" t="n">
        <v>45176</v>
      </c>
      <c r="B12635" s="17" t="s">
        <v>4548</v>
      </c>
      <c r="C12635" s="17" t="s">
        <v>3614</v>
      </c>
      <c r="D12635" s="17" t="s">
        <v>1407</v>
      </c>
      <c r="E12635" s="17" t="s">
        <v>3858</v>
      </c>
      <c r="F12635" s="17"/>
      <c r="G12635" s="18" t="n">
        <v>48.09</v>
      </c>
      <c r="H12635" s="18" t="n">
        <v>0</v>
      </c>
      <c r="I12635" s="18" t="n">
        <f aca="false">((I12634 + G12635) - H12635)</f>
        <v>2066.65</v>
      </c>
      <c r="J12635" s="18" t="n">
        <v>0</v>
      </c>
      <c r="K12635" s="19" t="n">
        <v>0</v>
      </c>
      <c r="L12635" s="17"/>
    </row>
    <row r="12636" s="11" customFormat="true" ht="10.95" hidden="false" customHeight="true" outlineLevel="0" collapsed="false">
      <c r="A12636" s="16" t="n">
        <v>45176</v>
      </c>
      <c r="B12636" s="17" t="s">
        <v>4548</v>
      </c>
      <c r="C12636" s="17" t="s">
        <v>3614</v>
      </c>
      <c r="D12636" s="17" t="s">
        <v>1407</v>
      </c>
      <c r="E12636" s="17" t="s">
        <v>3858</v>
      </c>
      <c r="F12636" s="17"/>
      <c r="G12636" s="18" t="n">
        <v>0.26</v>
      </c>
      <c r="H12636" s="18" t="n">
        <v>0</v>
      </c>
      <c r="I12636" s="18" t="n">
        <f aca="false">((I12635 + G12636) - H12636)</f>
        <v>2066.91</v>
      </c>
      <c r="J12636" s="18" t="n">
        <v>0</v>
      </c>
      <c r="K12636" s="19" t="n">
        <v>0</v>
      </c>
      <c r="L12636" s="17"/>
    </row>
    <row r="12637" s="11" customFormat="true" ht="10.95" hidden="false" customHeight="true" outlineLevel="0" collapsed="false">
      <c r="A12637" s="16" t="n">
        <v>45177</v>
      </c>
      <c r="B12637" s="17" t="s">
        <v>4548</v>
      </c>
      <c r="C12637" s="17" t="s">
        <v>3614</v>
      </c>
      <c r="D12637" s="17" t="s">
        <v>1407</v>
      </c>
      <c r="E12637" s="17" t="s">
        <v>3736</v>
      </c>
      <c r="F12637" s="17"/>
      <c r="G12637" s="18" t="n">
        <v>1.18</v>
      </c>
      <c r="H12637" s="18" t="n">
        <v>0</v>
      </c>
      <c r="I12637" s="18" t="n">
        <f aca="false">((I12636 + G12637) - H12637)</f>
        <v>2068.09</v>
      </c>
      <c r="J12637" s="18" t="n">
        <v>0</v>
      </c>
      <c r="K12637" s="19" t="n">
        <v>0</v>
      </c>
      <c r="L12637" s="17"/>
    </row>
    <row r="12638" s="11" customFormat="true" ht="10.95" hidden="false" customHeight="true" outlineLevel="0" collapsed="false">
      <c r="A12638" s="16" t="n">
        <v>45177</v>
      </c>
      <c r="B12638" s="17" t="s">
        <v>4548</v>
      </c>
      <c r="C12638" s="17" t="s">
        <v>3614</v>
      </c>
      <c r="D12638" s="17" t="s">
        <v>1391</v>
      </c>
      <c r="E12638" s="17" t="s">
        <v>3639</v>
      </c>
      <c r="F12638" s="17" t="s">
        <v>1642</v>
      </c>
      <c r="G12638" s="18" t="n">
        <v>3.64</v>
      </c>
      <c r="H12638" s="18" t="n">
        <v>0</v>
      </c>
      <c r="I12638" s="18" t="n">
        <f aca="false">((I12637 + G12638) - H12638)</f>
        <v>2071.73</v>
      </c>
      <c r="J12638" s="18" t="n">
        <v>0</v>
      </c>
      <c r="K12638" s="19" t="n">
        <v>0</v>
      </c>
      <c r="L12638" s="17"/>
    </row>
    <row r="12639" s="11" customFormat="true" ht="10.95" hidden="false" customHeight="true" outlineLevel="0" collapsed="false">
      <c r="A12639" s="16" t="n">
        <v>45177</v>
      </c>
      <c r="B12639" s="17" t="s">
        <v>4548</v>
      </c>
      <c r="C12639" s="17" t="s">
        <v>3614</v>
      </c>
      <c r="D12639" s="17" t="s">
        <v>1391</v>
      </c>
      <c r="E12639" s="17" t="s">
        <v>3621</v>
      </c>
      <c r="F12639" s="17" t="s">
        <v>2645</v>
      </c>
      <c r="G12639" s="18" t="n">
        <v>9.54</v>
      </c>
      <c r="H12639" s="18" t="n">
        <v>0</v>
      </c>
      <c r="I12639" s="18" t="n">
        <f aca="false">((I12638 + G12639) - H12639)</f>
        <v>2081.27</v>
      </c>
      <c r="J12639" s="18" t="n">
        <v>0</v>
      </c>
      <c r="K12639" s="19" t="n">
        <v>0</v>
      </c>
      <c r="L12639" s="17"/>
    </row>
    <row r="12640" s="11" customFormat="true" ht="10.95" hidden="false" customHeight="true" outlineLevel="0" collapsed="false">
      <c r="A12640" s="16" t="n">
        <v>45178</v>
      </c>
      <c r="B12640" s="17" t="s">
        <v>4548</v>
      </c>
      <c r="C12640" s="17" t="s">
        <v>3614</v>
      </c>
      <c r="D12640" s="17" t="s">
        <v>1391</v>
      </c>
      <c r="E12640" s="17" t="s">
        <v>3638</v>
      </c>
      <c r="F12640" s="17" t="s">
        <v>3260</v>
      </c>
      <c r="G12640" s="18" t="n">
        <v>296.1</v>
      </c>
      <c r="H12640" s="18" t="n">
        <v>0</v>
      </c>
      <c r="I12640" s="18" t="n">
        <f aca="false">((I12639 + G12640) - H12640)</f>
        <v>2377.37</v>
      </c>
      <c r="J12640" s="18" t="n">
        <v>0</v>
      </c>
      <c r="K12640" s="19" t="n">
        <v>0</v>
      </c>
      <c r="L12640" s="17"/>
    </row>
    <row r="12641" s="11" customFormat="true" ht="10.95" hidden="false" customHeight="true" outlineLevel="0" collapsed="false">
      <c r="A12641" s="16" t="n">
        <v>45179</v>
      </c>
      <c r="B12641" s="17" t="s">
        <v>4548</v>
      </c>
      <c r="C12641" s="17" t="s">
        <v>3614</v>
      </c>
      <c r="D12641" s="17" t="s">
        <v>1407</v>
      </c>
      <c r="E12641" s="17" t="s">
        <v>3720</v>
      </c>
      <c r="F12641" s="17"/>
      <c r="G12641" s="18" t="n">
        <v>76.93</v>
      </c>
      <c r="H12641" s="18" t="n">
        <v>0</v>
      </c>
      <c r="I12641" s="18" t="n">
        <f aca="false">((I12640 + G12641) - H12641)</f>
        <v>2454.3</v>
      </c>
      <c r="J12641" s="18" t="n">
        <v>0</v>
      </c>
      <c r="K12641" s="19" t="n">
        <v>0</v>
      </c>
      <c r="L12641" s="17"/>
    </row>
    <row r="12642" s="11" customFormat="true" ht="10.95" hidden="false" customHeight="true" outlineLevel="0" collapsed="false">
      <c r="A12642" s="16" t="n">
        <v>45180</v>
      </c>
      <c r="B12642" s="17" t="s">
        <v>4548</v>
      </c>
      <c r="C12642" s="17" t="s">
        <v>3614</v>
      </c>
      <c r="D12642" s="17" t="s">
        <v>1391</v>
      </c>
      <c r="E12642" s="17" t="s">
        <v>3674</v>
      </c>
      <c r="F12642" s="17" t="s">
        <v>3581</v>
      </c>
      <c r="G12642" s="18" t="n">
        <v>101.11</v>
      </c>
      <c r="H12642" s="18" t="n">
        <v>0</v>
      </c>
      <c r="I12642" s="18" t="n">
        <f aca="false">((I12641 + G12642) - H12642)</f>
        <v>2555.41</v>
      </c>
      <c r="J12642" s="18" t="n">
        <v>0</v>
      </c>
      <c r="K12642" s="19" t="n">
        <v>0</v>
      </c>
      <c r="L12642" s="17"/>
    </row>
    <row r="12643" s="11" customFormat="true" ht="10.95" hidden="false" customHeight="true" outlineLevel="0" collapsed="false">
      <c r="A12643" s="16" t="n">
        <v>45181</v>
      </c>
      <c r="B12643" s="17" t="s">
        <v>4548</v>
      </c>
      <c r="C12643" s="17" t="s">
        <v>3614</v>
      </c>
      <c r="D12643" s="17" t="s">
        <v>1407</v>
      </c>
      <c r="E12643" s="17" t="s">
        <v>2747</v>
      </c>
      <c r="F12643" s="17"/>
      <c r="G12643" s="18" t="n">
        <v>0.64</v>
      </c>
      <c r="H12643" s="18" t="n">
        <v>0</v>
      </c>
      <c r="I12643" s="18" t="n">
        <f aca="false">((I12642 + G12643) - H12643)</f>
        <v>2556.05</v>
      </c>
      <c r="J12643" s="18" t="n">
        <v>0</v>
      </c>
      <c r="K12643" s="19" t="n">
        <v>0</v>
      </c>
      <c r="L12643" s="17"/>
    </row>
    <row r="12644" s="11" customFormat="true" ht="10.95" hidden="false" customHeight="true" outlineLevel="0" collapsed="false">
      <c r="A12644" s="16" t="n">
        <v>45181</v>
      </c>
      <c r="B12644" s="17" t="s">
        <v>4548</v>
      </c>
      <c r="C12644" s="17" t="s">
        <v>3614</v>
      </c>
      <c r="D12644" s="17" t="s">
        <v>1407</v>
      </c>
      <c r="E12644" s="17" t="s">
        <v>3896</v>
      </c>
      <c r="F12644" s="17"/>
      <c r="G12644" s="18" t="n">
        <v>1.91</v>
      </c>
      <c r="H12644" s="18" t="n">
        <v>0</v>
      </c>
      <c r="I12644" s="18" t="n">
        <f aca="false">((I12643 + G12644) - H12644)</f>
        <v>2557.96</v>
      </c>
      <c r="J12644" s="18" t="n">
        <v>0</v>
      </c>
      <c r="K12644" s="19" t="n">
        <v>0</v>
      </c>
      <c r="L12644" s="17"/>
    </row>
    <row r="12645" s="11" customFormat="true" ht="10.95" hidden="false" customHeight="true" outlineLevel="0" collapsed="false">
      <c r="A12645" s="16" t="n">
        <v>45181</v>
      </c>
      <c r="B12645" s="17" t="s">
        <v>4548</v>
      </c>
      <c r="C12645" s="17" t="s">
        <v>3614</v>
      </c>
      <c r="D12645" s="17" t="s">
        <v>1407</v>
      </c>
      <c r="E12645" s="17" t="s">
        <v>4005</v>
      </c>
      <c r="F12645" s="17"/>
      <c r="G12645" s="18" t="n">
        <v>47.2</v>
      </c>
      <c r="H12645" s="18" t="n">
        <v>0</v>
      </c>
      <c r="I12645" s="18" t="n">
        <f aca="false">((I12644 + G12645) - H12645)</f>
        <v>2605.16</v>
      </c>
      <c r="J12645" s="18" t="n">
        <v>0</v>
      </c>
      <c r="K12645" s="19" t="n">
        <v>0</v>
      </c>
      <c r="L12645" s="17"/>
    </row>
    <row r="12646" s="11" customFormat="true" ht="10.95" hidden="false" customHeight="true" outlineLevel="0" collapsed="false">
      <c r="A12646" s="16" t="n">
        <v>45181</v>
      </c>
      <c r="B12646" s="17" t="s">
        <v>4548</v>
      </c>
      <c r="C12646" s="17" t="s">
        <v>3614</v>
      </c>
      <c r="D12646" s="17" t="s">
        <v>1407</v>
      </c>
      <c r="E12646" s="17" t="s">
        <v>3858</v>
      </c>
      <c r="F12646" s="17"/>
      <c r="G12646" s="18" t="n">
        <v>54.46</v>
      </c>
      <c r="H12646" s="18" t="n">
        <v>0</v>
      </c>
      <c r="I12646" s="18" t="n">
        <f aca="false">((I12645 + G12646) - H12646)</f>
        <v>2659.62</v>
      </c>
      <c r="J12646" s="18" t="n">
        <v>0</v>
      </c>
      <c r="K12646" s="19" t="n">
        <v>0</v>
      </c>
      <c r="L12646" s="17"/>
    </row>
    <row r="12647" s="11" customFormat="true" ht="10.95" hidden="false" customHeight="true" outlineLevel="0" collapsed="false">
      <c r="A12647" s="16" t="n">
        <v>45181</v>
      </c>
      <c r="B12647" s="17" t="s">
        <v>4548</v>
      </c>
      <c r="C12647" s="17" t="s">
        <v>3614</v>
      </c>
      <c r="D12647" s="17" t="s">
        <v>1407</v>
      </c>
      <c r="E12647" s="17" t="s">
        <v>3858</v>
      </c>
      <c r="F12647" s="17"/>
      <c r="G12647" s="18" t="n">
        <v>0.3</v>
      </c>
      <c r="H12647" s="18" t="n">
        <v>0</v>
      </c>
      <c r="I12647" s="18" t="n">
        <f aca="false">((I12646 + G12647) - H12647)</f>
        <v>2659.92</v>
      </c>
      <c r="J12647" s="18" t="n">
        <v>0</v>
      </c>
      <c r="K12647" s="19" t="n">
        <v>0</v>
      </c>
      <c r="L12647" s="17"/>
    </row>
    <row r="12648" s="11" customFormat="true" ht="10.95" hidden="false" customHeight="true" outlineLevel="0" collapsed="false">
      <c r="A12648" s="16" t="n">
        <v>45182</v>
      </c>
      <c r="B12648" s="17" t="s">
        <v>4548</v>
      </c>
      <c r="C12648" s="17" t="s">
        <v>3614</v>
      </c>
      <c r="D12648" s="17" t="s">
        <v>1407</v>
      </c>
      <c r="E12648" s="17" t="s">
        <v>2747</v>
      </c>
      <c r="F12648" s="17"/>
      <c r="G12648" s="18" t="n">
        <v>0.64</v>
      </c>
      <c r="H12648" s="18" t="n">
        <v>0</v>
      </c>
      <c r="I12648" s="18" t="n">
        <f aca="false">((I12647 + G12648) - H12648)</f>
        <v>2660.56</v>
      </c>
      <c r="J12648" s="18" t="n">
        <v>0</v>
      </c>
      <c r="K12648" s="19" t="n">
        <v>0</v>
      </c>
      <c r="L12648" s="17"/>
    </row>
    <row r="12649" s="11" customFormat="true" ht="10.95" hidden="false" customHeight="true" outlineLevel="0" collapsed="false">
      <c r="A12649" s="16" t="n">
        <v>45182</v>
      </c>
      <c r="B12649" s="17" t="s">
        <v>4548</v>
      </c>
      <c r="C12649" s="17" t="s">
        <v>3614</v>
      </c>
      <c r="D12649" s="17" t="s">
        <v>1407</v>
      </c>
      <c r="E12649" s="17" t="s">
        <v>4006</v>
      </c>
      <c r="F12649" s="17"/>
      <c r="G12649" s="18" t="n">
        <v>16.86</v>
      </c>
      <c r="H12649" s="18" t="n">
        <v>0</v>
      </c>
      <c r="I12649" s="18" t="n">
        <f aca="false">((I12648 + G12649) - H12649)</f>
        <v>2677.42</v>
      </c>
      <c r="J12649" s="18" t="n">
        <v>0</v>
      </c>
      <c r="K12649" s="19" t="n">
        <v>0</v>
      </c>
      <c r="L12649" s="17"/>
    </row>
    <row r="12650" s="11" customFormat="true" ht="10.95" hidden="false" customHeight="true" outlineLevel="0" collapsed="false">
      <c r="A12650" s="16" t="n">
        <v>45183</v>
      </c>
      <c r="B12650" s="17" t="s">
        <v>4548</v>
      </c>
      <c r="C12650" s="17" t="s">
        <v>3614</v>
      </c>
      <c r="D12650" s="17" t="s">
        <v>1391</v>
      </c>
      <c r="E12650" s="17" t="s">
        <v>3641</v>
      </c>
      <c r="F12650" s="17" t="s">
        <v>2647</v>
      </c>
      <c r="G12650" s="18" t="n">
        <v>17.68</v>
      </c>
      <c r="H12650" s="18" t="n">
        <v>0</v>
      </c>
      <c r="I12650" s="18" t="n">
        <f aca="false">((I12649 + G12650) - H12650)</f>
        <v>2695.1</v>
      </c>
      <c r="J12650" s="18" t="n">
        <v>0</v>
      </c>
      <c r="K12650" s="19" t="n">
        <v>0</v>
      </c>
      <c r="L12650" s="17"/>
    </row>
    <row r="12651" s="11" customFormat="true" ht="10.95" hidden="false" customHeight="true" outlineLevel="0" collapsed="false">
      <c r="A12651" s="16" t="n">
        <v>45184</v>
      </c>
      <c r="B12651" s="17" t="s">
        <v>4548</v>
      </c>
      <c r="C12651" s="17" t="s">
        <v>3614</v>
      </c>
      <c r="D12651" s="17" t="s">
        <v>1407</v>
      </c>
      <c r="E12651" s="17" t="s">
        <v>3900</v>
      </c>
      <c r="F12651" s="17"/>
      <c r="G12651" s="18" t="n">
        <v>1.36</v>
      </c>
      <c r="H12651" s="18" t="n">
        <v>0</v>
      </c>
      <c r="I12651" s="18" t="n">
        <f aca="false">((I12650 + G12651) - H12651)</f>
        <v>2696.46</v>
      </c>
      <c r="J12651" s="18" t="n">
        <v>0</v>
      </c>
      <c r="K12651" s="19" t="n">
        <v>0</v>
      </c>
      <c r="L12651" s="17"/>
    </row>
    <row r="12652" s="11" customFormat="true" ht="10.95" hidden="false" customHeight="true" outlineLevel="0" collapsed="false">
      <c r="A12652" s="16" t="n">
        <v>45184</v>
      </c>
      <c r="B12652" s="17" t="s">
        <v>4548</v>
      </c>
      <c r="C12652" s="17" t="s">
        <v>3614</v>
      </c>
      <c r="D12652" s="17" t="s">
        <v>1407</v>
      </c>
      <c r="E12652" s="17" t="s">
        <v>3946</v>
      </c>
      <c r="F12652" s="17"/>
      <c r="G12652" s="18" t="n">
        <v>71.6</v>
      </c>
      <c r="H12652" s="18" t="n">
        <v>0</v>
      </c>
      <c r="I12652" s="18" t="n">
        <f aca="false">((I12651 + G12652) - H12652)</f>
        <v>2768.06</v>
      </c>
      <c r="J12652" s="18" t="n">
        <v>0</v>
      </c>
      <c r="K12652" s="19" t="n">
        <v>0</v>
      </c>
      <c r="L12652" s="17"/>
    </row>
    <row r="12653" s="11" customFormat="true" ht="10.95" hidden="false" customHeight="true" outlineLevel="0" collapsed="false">
      <c r="A12653" s="16" t="n">
        <v>45185</v>
      </c>
      <c r="B12653" s="17" t="s">
        <v>4548</v>
      </c>
      <c r="C12653" s="17" t="s">
        <v>3614</v>
      </c>
      <c r="D12653" s="17" t="s">
        <v>1407</v>
      </c>
      <c r="E12653" s="17" t="s">
        <v>3847</v>
      </c>
      <c r="F12653" s="17"/>
      <c r="G12653" s="18" t="n">
        <v>9.09</v>
      </c>
      <c r="H12653" s="18" t="n">
        <v>0</v>
      </c>
      <c r="I12653" s="18" t="n">
        <f aca="false">((I12652 + G12653) - H12653)</f>
        <v>2777.15</v>
      </c>
      <c r="J12653" s="18" t="n">
        <v>0</v>
      </c>
      <c r="K12653" s="19" t="n">
        <v>0</v>
      </c>
      <c r="L12653" s="17"/>
    </row>
    <row r="12654" s="11" customFormat="true" ht="10.95" hidden="false" customHeight="true" outlineLevel="0" collapsed="false">
      <c r="A12654" s="16" t="n">
        <v>45185</v>
      </c>
      <c r="B12654" s="17" t="s">
        <v>4548</v>
      </c>
      <c r="C12654" s="17" t="s">
        <v>3614</v>
      </c>
      <c r="D12654" s="17" t="s">
        <v>1407</v>
      </c>
      <c r="E12654" s="17" t="s">
        <v>3904</v>
      </c>
      <c r="F12654" s="17"/>
      <c r="G12654" s="18" t="n">
        <v>8.09</v>
      </c>
      <c r="H12654" s="18" t="n">
        <v>0</v>
      </c>
      <c r="I12654" s="18" t="n">
        <f aca="false">((I12653 + G12654) - H12654)</f>
        <v>2785.24</v>
      </c>
      <c r="J12654" s="18" t="n">
        <v>0</v>
      </c>
      <c r="K12654" s="19" t="n">
        <v>0</v>
      </c>
      <c r="L12654" s="17"/>
    </row>
    <row r="12655" s="11" customFormat="true" ht="10.95" hidden="false" customHeight="true" outlineLevel="0" collapsed="false">
      <c r="A12655" s="16" t="n">
        <v>45185</v>
      </c>
      <c r="B12655" s="17" t="s">
        <v>4548</v>
      </c>
      <c r="C12655" s="17" t="s">
        <v>3614</v>
      </c>
      <c r="D12655" s="17" t="s">
        <v>1391</v>
      </c>
      <c r="E12655" s="17" t="s">
        <v>3676</v>
      </c>
      <c r="F12655" s="17" t="s">
        <v>3583</v>
      </c>
      <c r="G12655" s="18" t="n">
        <v>22.64</v>
      </c>
      <c r="H12655" s="18" t="n">
        <v>0</v>
      </c>
      <c r="I12655" s="18" t="n">
        <f aca="false">((I12654 + G12655) - H12655)</f>
        <v>2807.88</v>
      </c>
      <c r="J12655" s="18" t="n">
        <v>0</v>
      </c>
      <c r="K12655" s="19" t="n">
        <v>0</v>
      </c>
      <c r="L12655" s="17"/>
    </row>
    <row r="12656" s="11" customFormat="true" ht="10.95" hidden="false" customHeight="true" outlineLevel="0" collapsed="false">
      <c r="A12656" s="16" t="n">
        <v>45185</v>
      </c>
      <c r="B12656" s="17" t="s">
        <v>4548</v>
      </c>
      <c r="C12656" s="17" t="s">
        <v>3614</v>
      </c>
      <c r="D12656" s="17" t="s">
        <v>1391</v>
      </c>
      <c r="E12656" s="17" t="s">
        <v>3622</v>
      </c>
      <c r="F12656" s="17" t="s">
        <v>1439</v>
      </c>
      <c r="G12656" s="18" t="n">
        <v>107.62</v>
      </c>
      <c r="H12656" s="18" t="n">
        <v>0</v>
      </c>
      <c r="I12656" s="18" t="n">
        <f aca="false">((I12655 + G12656) - H12656)</f>
        <v>2915.5</v>
      </c>
      <c r="J12656" s="18" t="n">
        <v>0</v>
      </c>
      <c r="K12656" s="19" t="n">
        <v>0</v>
      </c>
      <c r="L12656" s="17"/>
    </row>
    <row r="12657" s="11" customFormat="true" ht="10.95" hidden="false" customHeight="true" outlineLevel="0" collapsed="false">
      <c r="A12657" s="16" t="n">
        <v>45186</v>
      </c>
      <c r="B12657" s="17" t="s">
        <v>4548</v>
      </c>
      <c r="C12657" s="17" t="s">
        <v>3614</v>
      </c>
      <c r="D12657" s="17" t="s">
        <v>1407</v>
      </c>
      <c r="E12657" s="17" t="s">
        <v>4008</v>
      </c>
      <c r="F12657" s="17"/>
      <c r="G12657" s="18" t="n">
        <v>8.18</v>
      </c>
      <c r="H12657" s="18" t="n">
        <v>0</v>
      </c>
      <c r="I12657" s="18" t="n">
        <f aca="false">((I12656 + G12657) - H12657)</f>
        <v>2923.68</v>
      </c>
      <c r="J12657" s="18" t="n">
        <v>0</v>
      </c>
      <c r="K12657" s="19" t="n">
        <v>0</v>
      </c>
      <c r="L12657" s="17"/>
    </row>
    <row r="12658" s="11" customFormat="true" ht="10.95" hidden="false" customHeight="true" outlineLevel="0" collapsed="false">
      <c r="A12658" s="16" t="n">
        <v>45187</v>
      </c>
      <c r="B12658" s="17" t="s">
        <v>4548</v>
      </c>
      <c r="C12658" s="17" t="s">
        <v>3614</v>
      </c>
      <c r="D12658" s="17" t="s">
        <v>1391</v>
      </c>
      <c r="E12658" s="17" t="s">
        <v>3642</v>
      </c>
      <c r="F12658" s="17" t="s">
        <v>2302</v>
      </c>
      <c r="G12658" s="18" t="n">
        <v>6.2</v>
      </c>
      <c r="H12658" s="18" t="n">
        <v>0</v>
      </c>
      <c r="I12658" s="18" t="n">
        <f aca="false">((I12657 + G12658) - H12658)</f>
        <v>2929.88</v>
      </c>
      <c r="J12658" s="18" t="n">
        <v>0</v>
      </c>
      <c r="K12658" s="19" t="n">
        <v>0</v>
      </c>
      <c r="L12658" s="17"/>
    </row>
    <row r="12659" s="11" customFormat="true" ht="10.95" hidden="false" customHeight="true" outlineLevel="0" collapsed="false">
      <c r="A12659" s="16" t="n">
        <v>45187</v>
      </c>
      <c r="B12659" s="17" t="s">
        <v>4548</v>
      </c>
      <c r="C12659" s="17" t="s">
        <v>3614</v>
      </c>
      <c r="D12659" s="17" t="s">
        <v>1391</v>
      </c>
      <c r="E12659" s="17" t="s">
        <v>3642</v>
      </c>
      <c r="F12659" s="17" t="s">
        <v>2304</v>
      </c>
      <c r="G12659" s="18" t="n">
        <v>2.2</v>
      </c>
      <c r="H12659" s="18" t="n">
        <v>0</v>
      </c>
      <c r="I12659" s="18" t="n">
        <f aca="false">((I12658 + G12659) - H12659)</f>
        <v>2932.08</v>
      </c>
      <c r="J12659" s="18" t="n">
        <v>0</v>
      </c>
      <c r="K12659" s="19" t="n">
        <v>0</v>
      </c>
      <c r="L12659" s="17"/>
    </row>
    <row r="12660" s="11" customFormat="true" ht="10.95" hidden="false" customHeight="true" outlineLevel="0" collapsed="false">
      <c r="A12660" s="16" t="n">
        <v>45187</v>
      </c>
      <c r="B12660" s="17" t="s">
        <v>4548</v>
      </c>
      <c r="C12660" s="17" t="s">
        <v>3614</v>
      </c>
      <c r="D12660" s="17" t="s">
        <v>1391</v>
      </c>
      <c r="E12660" s="17" t="s">
        <v>3642</v>
      </c>
      <c r="F12660" s="17" t="s">
        <v>2306</v>
      </c>
      <c r="G12660" s="18" t="n">
        <v>19.98</v>
      </c>
      <c r="H12660" s="18" t="n">
        <v>0</v>
      </c>
      <c r="I12660" s="18" t="n">
        <f aca="false">((I12659 + G12660) - H12660)</f>
        <v>2952.06</v>
      </c>
      <c r="J12660" s="18" t="n">
        <v>0</v>
      </c>
      <c r="K12660" s="19" t="n">
        <v>0</v>
      </c>
      <c r="L12660" s="17"/>
    </row>
    <row r="12661" s="11" customFormat="true" ht="10.95" hidden="false" customHeight="true" outlineLevel="0" collapsed="false">
      <c r="A12661" s="16" t="n">
        <v>45187</v>
      </c>
      <c r="B12661" s="17" t="s">
        <v>4548</v>
      </c>
      <c r="C12661" s="17" t="s">
        <v>3614</v>
      </c>
      <c r="D12661" s="17" t="s">
        <v>1391</v>
      </c>
      <c r="E12661" s="17" t="s">
        <v>3642</v>
      </c>
      <c r="F12661" s="17" t="s">
        <v>2308</v>
      </c>
      <c r="G12661" s="18" t="n">
        <v>5.5</v>
      </c>
      <c r="H12661" s="18" t="n">
        <v>0</v>
      </c>
      <c r="I12661" s="18" t="n">
        <f aca="false">((I12660 + G12661) - H12661)</f>
        <v>2957.56</v>
      </c>
      <c r="J12661" s="18" t="n">
        <v>0</v>
      </c>
      <c r="K12661" s="19" t="n">
        <v>0</v>
      </c>
      <c r="L12661" s="17"/>
    </row>
    <row r="12662" s="11" customFormat="true" ht="10.95" hidden="false" customHeight="true" outlineLevel="0" collapsed="false">
      <c r="A12662" s="16" t="n">
        <v>45187</v>
      </c>
      <c r="B12662" s="17" t="s">
        <v>4548</v>
      </c>
      <c r="C12662" s="17" t="s">
        <v>3614</v>
      </c>
      <c r="D12662" s="17" t="s">
        <v>1391</v>
      </c>
      <c r="E12662" s="17" t="s">
        <v>3642</v>
      </c>
      <c r="F12662" s="17" t="s">
        <v>2310</v>
      </c>
      <c r="G12662" s="18" t="n">
        <v>6.96</v>
      </c>
      <c r="H12662" s="18" t="n">
        <v>0</v>
      </c>
      <c r="I12662" s="18" t="n">
        <f aca="false">((I12661 + G12662) - H12662)</f>
        <v>2964.52</v>
      </c>
      <c r="J12662" s="18" t="n">
        <v>0</v>
      </c>
      <c r="K12662" s="19" t="n">
        <v>0</v>
      </c>
      <c r="L12662" s="17"/>
    </row>
    <row r="12663" s="11" customFormat="true" ht="10.95" hidden="false" customHeight="true" outlineLevel="0" collapsed="false">
      <c r="A12663" s="16" t="n">
        <v>45187</v>
      </c>
      <c r="B12663" s="17" t="s">
        <v>4548</v>
      </c>
      <c r="C12663" s="17" t="s">
        <v>3614</v>
      </c>
      <c r="D12663" s="17" t="s">
        <v>1391</v>
      </c>
      <c r="E12663" s="17" t="s">
        <v>3642</v>
      </c>
      <c r="F12663" s="17" t="s">
        <v>2312</v>
      </c>
      <c r="G12663" s="18" t="n">
        <v>4.12</v>
      </c>
      <c r="H12663" s="18" t="n">
        <v>0</v>
      </c>
      <c r="I12663" s="18" t="n">
        <f aca="false">((I12662 + G12663) - H12663)</f>
        <v>2968.64</v>
      </c>
      <c r="J12663" s="18" t="n">
        <v>0</v>
      </c>
      <c r="K12663" s="19" t="n">
        <v>0</v>
      </c>
      <c r="L12663" s="17"/>
    </row>
    <row r="12664" s="11" customFormat="true" ht="10.95" hidden="false" customHeight="true" outlineLevel="0" collapsed="false">
      <c r="A12664" s="16" t="n">
        <v>45187</v>
      </c>
      <c r="B12664" s="17" t="s">
        <v>4548</v>
      </c>
      <c r="C12664" s="17" t="s">
        <v>3614</v>
      </c>
      <c r="D12664" s="17" t="s">
        <v>1391</v>
      </c>
      <c r="E12664" s="17" t="s">
        <v>3642</v>
      </c>
      <c r="F12664" s="17" t="s">
        <v>2314</v>
      </c>
      <c r="G12664" s="18" t="n">
        <v>0.82</v>
      </c>
      <c r="H12664" s="18" t="n">
        <v>0</v>
      </c>
      <c r="I12664" s="18" t="n">
        <f aca="false">((I12663 + G12664) - H12664)</f>
        <v>2969.46</v>
      </c>
      <c r="J12664" s="18" t="n">
        <v>0</v>
      </c>
      <c r="K12664" s="19" t="n">
        <v>0</v>
      </c>
      <c r="L12664" s="17"/>
    </row>
    <row r="12665" s="11" customFormat="true" ht="10.95" hidden="false" customHeight="true" outlineLevel="0" collapsed="false">
      <c r="A12665" s="16" t="n">
        <v>45187</v>
      </c>
      <c r="B12665" s="17" t="s">
        <v>4548</v>
      </c>
      <c r="C12665" s="17" t="s">
        <v>3614</v>
      </c>
      <c r="D12665" s="17" t="s">
        <v>1391</v>
      </c>
      <c r="E12665" s="17" t="s">
        <v>3642</v>
      </c>
      <c r="F12665" s="17" t="s">
        <v>2316</v>
      </c>
      <c r="G12665" s="18" t="n">
        <v>3.02</v>
      </c>
      <c r="H12665" s="18" t="n">
        <v>0</v>
      </c>
      <c r="I12665" s="18" t="n">
        <f aca="false">((I12664 + G12665) - H12665)</f>
        <v>2972.48</v>
      </c>
      <c r="J12665" s="18" t="n">
        <v>0</v>
      </c>
      <c r="K12665" s="19" t="n">
        <v>0</v>
      </c>
      <c r="L12665" s="17"/>
    </row>
    <row r="12666" s="11" customFormat="true" ht="10.95" hidden="false" customHeight="true" outlineLevel="0" collapsed="false">
      <c r="A12666" s="16" t="n">
        <v>45188</v>
      </c>
      <c r="B12666" s="17" t="s">
        <v>4548</v>
      </c>
      <c r="C12666" s="17" t="s">
        <v>3614</v>
      </c>
      <c r="D12666" s="17" t="s">
        <v>1407</v>
      </c>
      <c r="E12666" s="17" t="s">
        <v>3946</v>
      </c>
      <c r="F12666" s="17"/>
      <c r="G12666" s="18" t="n">
        <v>0.37</v>
      </c>
      <c r="H12666" s="18" t="n">
        <v>0</v>
      </c>
      <c r="I12666" s="18" t="n">
        <f aca="false">((I12665 + G12666) - H12666)</f>
        <v>2972.85</v>
      </c>
      <c r="J12666" s="18" t="n">
        <v>0</v>
      </c>
      <c r="K12666" s="19" t="n">
        <v>0</v>
      </c>
      <c r="L12666" s="17"/>
    </row>
    <row r="12667" s="11" customFormat="true" ht="10.95" hidden="false" customHeight="true" outlineLevel="0" collapsed="false">
      <c r="A12667" s="16" t="n">
        <v>45188</v>
      </c>
      <c r="B12667" s="17" t="s">
        <v>4548</v>
      </c>
      <c r="C12667" s="17" t="s">
        <v>3614</v>
      </c>
      <c r="D12667" s="17" t="s">
        <v>1407</v>
      </c>
      <c r="E12667" s="17" t="s">
        <v>2747</v>
      </c>
      <c r="F12667" s="17"/>
      <c r="G12667" s="18" t="n">
        <v>0.64</v>
      </c>
      <c r="H12667" s="18" t="n">
        <v>0</v>
      </c>
      <c r="I12667" s="18" t="n">
        <f aca="false">((I12666 + G12667) - H12667)</f>
        <v>2973.49</v>
      </c>
      <c r="J12667" s="18" t="n">
        <v>0</v>
      </c>
      <c r="K12667" s="19" t="n">
        <v>0</v>
      </c>
      <c r="L12667" s="17"/>
    </row>
    <row r="12668" s="11" customFormat="true" ht="10.95" hidden="false" customHeight="true" outlineLevel="0" collapsed="false">
      <c r="A12668" s="16" t="n">
        <v>45188</v>
      </c>
      <c r="B12668" s="17" t="s">
        <v>4548</v>
      </c>
      <c r="C12668" s="17" t="s">
        <v>3614</v>
      </c>
      <c r="D12668" s="17" t="s">
        <v>1407</v>
      </c>
      <c r="E12668" s="17" t="s">
        <v>3901</v>
      </c>
      <c r="F12668" s="17"/>
      <c r="G12668" s="18" t="n">
        <v>7.64</v>
      </c>
      <c r="H12668" s="18" t="n">
        <v>0</v>
      </c>
      <c r="I12668" s="18" t="n">
        <f aca="false">((I12667 + G12668) - H12668)</f>
        <v>2981.13</v>
      </c>
      <c r="J12668" s="18" t="n">
        <v>0</v>
      </c>
      <c r="K12668" s="19" t="n">
        <v>0</v>
      </c>
      <c r="L12668" s="17"/>
    </row>
    <row r="12669" s="11" customFormat="true" ht="10.95" hidden="false" customHeight="true" outlineLevel="0" collapsed="false">
      <c r="A12669" s="16" t="n">
        <v>45188</v>
      </c>
      <c r="B12669" s="17" t="s">
        <v>4548</v>
      </c>
      <c r="C12669" s="17" t="s">
        <v>3614</v>
      </c>
      <c r="D12669" s="17" t="s">
        <v>1407</v>
      </c>
      <c r="E12669" s="17" t="s">
        <v>3902</v>
      </c>
      <c r="F12669" s="17"/>
      <c r="G12669" s="18" t="n">
        <v>24.77</v>
      </c>
      <c r="H12669" s="18" t="n">
        <v>0</v>
      </c>
      <c r="I12669" s="18" t="n">
        <f aca="false">((I12668 + G12669) - H12669)</f>
        <v>3005.9</v>
      </c>
      <c r="J12669" s="18" t="n">
        <v>0</v>
      </c>
      <c r="K12669" s="19" t="n">
        <v>0</v>
      </c>
      <c r="L12669" s="17"/>
    </row>
    <row r="12670" s="11" customFormat="true" ht="10.95" hidden="false" customHeight="true" outlineLevel="0" collapsed="false">
      <c r="A12670" s="16" t="n">
        <v>45189</v>
      </c>
      <c r="B12670" s="17" t="s">
        <v>4548</v>
      </c>
      <c r="C12670" s="17" t="s">
        <v>3614</v>
      </c>
      <c r="D12670" s="17" t="s">
        <v>1407</v>
      </c>
      <c r="E12670" s="17" t="s">
        <v>2747</v>
      </c>
      <c r="F12670" s="17"/>
      <c r="G12670" s="18" t="n">
        <v>0.64</v>
      </c>
      <c r="H12670" s="18" t="n">
        <v>0</v>
      </c>
      <c r="I12670" s="18" t="n">
        <f aca="false">((I12669 + G12670) - H12670)</f>
        <v>3006.54</v>
      </c>
      <c r="J12670" s="18" t="n">
        <v>0</v>
      </c>
      <c r="K12670" s="19" t="n">
        <v>0</v>
      </c>
      <c r="L12670" s="17"/>
    </row>
    <row r="12671" s="11" customFormat="true" ht="10.95" hidden="false" customHeight="true" outlineLevel="0" collapsed="false">
      <c r="A12671" s="16" t="n">
        <v>45189</v>
      </c>
      <c r="B12671" s="17" t="s">
        <v>4548</v>
      </c>
      <c r="C12671" s="17" t="s">
        <v>3614</v>
      </c>
      <c r="D12671" s="17" t="s">
        <v>1391</v>
      </c>
      <c r="E12671" s="17" t="s">
        <v>3668</v>
      </c>
      <c r="F12671" s="17" t="s">
        <v>2319</v>
      </c>
      <c r="G12671" s="18" t="n">
        <v>8.82</v>
      </c>
      <c r="H12671" s="18" t="n">
        <v>0</v>
      </c>
      <c r="I12671" s="18" t="n">
        <f aca="false">((I12670 + G12671) - H12671)</f>
        <v>3015.36</v>
      </c>
      <c r="J12671" s="18" t="n">
        <v>0</v>
      </c>
      <c r="K12671" s="19" t="n">
        <v>0</v>
      </c>
      <c r="L12671" s="17"/>
    </row>
    <row r="12672" s="11" customFormat="true" ht="10.95" hidden="false" customHeight="true" outlineLevel="0" collapsed="false">
      <c r="A12672" s="16" t="n">
        <v>45190</v>
      </c>
      <c r="B12672" s="17" t="s">
        <v>4548</v>
      </c>
      <c r="C12672" s="17" t="s">
        <v>3614</v>
      </c>
      <c r="D12672" s="17" t="s">
        <v>1391</v>
      </c>
      <c r="E12672" s="17" t="s">
        <v>3638</v>
      </c>
      <c r="F12672" s="17" t="s">
        <v>3262</v>
      </c>
      <c r="G12672" s="18" t="n">
        <v>264.1</v>
      </c>
      <c r="H12672" s="18" t="n">
        <v>0</v>
      </c>
      <c r="I12672" s="18" t="n">
        <f aca="false">((I12671 + G12672) - H12672)</f>
        <v>3279.46</v>
      </c>
      <c r="J12672" s="18" t="n">
        <v>0</v>
      </c>
      <c r="K12672" s="19" t="n">
        <v>0</v>
      </c>
      <c r="L12672" s="17"/>
    </row>
    <row r="12673" s="11" customFormat="true" ht="10.95" hidden="false" customHeight="true" outlineLevel="0" collapsed="false">
      <c r="A12673" s="16" t="n">
        <v>45190</v>
      </c>
      <c r="B12673" s="17" t="s">
        <v>4548</v>
      </c>
      <c r="C12673" s="17" t="s">
        <v>3614</v>
      </c>
      <c r="D12673" s="17" t="s">
        <v>1407</v>
      </c>
      <c r="E12673" s="17" t="s">
        <v>3907</v>
      </c>
      <c r="F12673" s="17"/>
      <c r="G12673" s="18" t="n">
        <v>5.36</v>
      </c>
      <c r="H12673" s="18" t="n">
        <v>0</v>
      </c>
      <c r="I12673" s="18" t="n">
        <f aca="false">((I12672 + G12673) - H12673)</f>
        <v>3284.82</v>
      </c>
      <c r="J12673" s="18" t="n">
        <v>0</v>
      </c>
      <c r="K12673" s="19" t="n">
        <v>0</v>
      </c>
      <c r="L12673" s="17"/>
    </row>
    <row r="12674" s="11" customFormat="true" ht="10.95" hidden="false" customHeight="true" outlineLevel="0" collapsed="false">
      <c r="A12674" s="16" t="n">
        <v>45190</v>
      </c>
      <c r="B12674" s="17" t="s">
        <v>4548</v>
      </c>
      <c r="C12674" s="17" t="s">
        <v>3614</v>
      </c>
      <c r="D12674" s="17" t="s">
        <v>1407</v>
      </c>
      <c r="E12674" s="17" t="s">
        <v>3642</v>
      </c>
      <c r="F12674" s="17"/>
      <c r="G12674" s="18" t="n">
        <v>70.91</v>
      </c>
      <c r="H12674" s="18" t="n">
        <v>0</v>
      </c>
      <c r="I12674" s="18" t="n">
        <f aca="false">((I12673 + G12674) - H12674)</f>
        <v>3355.73</v>
      </c>
      <c r="J12674" s="18" t="n">
        <v>0</v>
      </c>
      <c r="K12674" s="19" t="n">
        <v>0</v>
      </c>
      <c r="L12674" s="17"/>
    </row>
    <row r="12675" s="11" customFormat="true" ht="10.95" hidden="false" customHeight="true" outlineLevel="0" collapsed="false">
      <c r="A12675" s="16" t="n">
        <v>45191</v>
      </c>
      <c r="B12675" s="17" t="s">
        <v>4548</v>
      </c>
      <c r="C12675" s="17" t="s">
        <v>3614</v>
      </c>
      <c r="D12675" s="17" t="s">
        <v>1407</v>
      </c>
      <c r="E12675" s="17" t="s">
        <v>3642</v>
      </c>
      <c r="F12675" s="17"/>
      <c r="G12675" s="18" t="n">
        <v>0.82</v>
      </c>
      <c r="H12675" s="18" t="n">
        <v>0</v>
      </c>
      <c r="I12675" s="18" t="n">
        <f aca="false">((I12674 + G12675) - H12675)</f>
        <v>3356.55</v>
      </c>
      <c r="J12675" s="18" t="n">
        <v>0</v>
      </c>
      <c r="K12675" s="19" t="n">
        <v>0</v>
      </c>
      <c r="L12675" s="17"/>
    </row>
    <row r="12676" s="11" customFormat="true" ht="10.95" hidden="false" customHeight="true" outlineLevel="0" collapsed="false">
      <c r="A12676" s="16" t="n">
        <v>45192</v>
      </c>
      <c r="B12676" s="17" t="s">
        <v>4548</v>
      </c>
      <c r="C12676" s="17" t="s">
        <v>3614</v>
      </c>
      <c r="D12676" s="17" t="s">
        <v>1407</v>
      </c>
      <c r="E12676" s="17" t="s">
        <v>3642</v>
      </c>
      <c r="F12676" s="17"/>
      <c r="G12676" s="18" t="n">
        <v>8.6</v>
      </c>
      <c r="H12676" s="18" t="n">
        <v>0</v>
      </c>
      <c r="I12676" s="18" t="n">
        <f aca="false">((I12675 + G12676) - H12676)</f>
        <v>3365.15</v>
      </c>
      <c r="J12676" s="18" t="n">
        <v>0</v>
      </c>
      <c r="K12676" s="19" t="n">
        <v>0</v>
      </c>
      <c r="L12676" s="17"/>
    </row>
    <row r="12677" s="11" customFormat="true" ht="10.95" hidden="false" customHeight="true" outlineLevel="0" collapsed="false">
      <c r="A12677" s="16" t="n">
        <v>45192</v>
      </c>
      <c r="B12677" s="17" t="s">
        <v>4548</v>
      </c>
      <c r="C12677" s="17" t="s">
        <v>3614</v>
      </c>
      <c r="D12677" s="17" t="s">
        <v>1407</v>
      </c>
      <c r="E12677" s="17" t="s">
        <v>3804</v>
      </c>
      <c r="F12677" s="17"/>
      <c r="G12677" s="18" t="n">
        <v>3.64</v>
      </c>
      <c r="H12677" s="18" t="n">
        <v>0</v>
      </c>
      <c r="I12677" s="18" t="n">
        <f aca="false">((I12676 + G12677) - H12677)</f>
        <v>3368.79</v>
      </c>
      <c r="J12677" s="18" t="n">
        <v>0</v>
      </c>
      <c r="K12677" s="19" t="n">
        <v>0</v>
      </c>
      <c r="L12677" s="17"/>
    </row>
    <row r="12678" s="11" customFormat="true" ht="10.95" hidden="false" customHeight="true" outlineLevel="0" collapsed="false">
      <c r="A12678" s="16" t="n">
        <v>45195</v>
      </c>
      <c r="B12678" s="17" t="s">
        <v>4548</v>
      </c>
      <c r="C12678" s="17" t="s">
        <v>3614</v>
      </c>
      <c r="D12678" s="17" t="s">
        <v>19</v>
      </c>
      <c r="E12678" s="17" t="s">
        <v>3499</v>
      </c>
      <c r="F12678" s="17" t="s">
        <v>230</v>
      </c>
      <c r="G12678" s="18" t="n">
        <v>0</v>
      </c>
      <c r="H12678" s="18" t="n">
        <v>8</v>
      </c>
      <c r="I12678" s="18" t="n">
        <f aca="false">((I12677 + G12678) - H12678)</f>
        <v>3360.79</v>
      </c>
      <c r="J12678" s="18" t="n">
        <v>0</v>
      </c>
      <c r="K12678" s="19" t="n">
        <v>0</v>
      </c>
      <c r="L12678" s="17"/>
    </row>
    <row r="12679" s="11" customFormat="true" ht="10.95" hidden="false" customHeight="true" outlineLevel="0" collapsed="false">
      <c r="A12679" s="16" t="n">
        <v>45195</v>
      </c>
      <c r="B12679" s="17" t="s">
        <v>4548</v>
      </c>
      <c r="C12679" s="17" t="s">
        <v>3614</v>
      </c>
      <c r="D12679" s="17" t="s">
        <v>1407</v>
      </c>
      <c r="E12679" s="17" t="s">
        <v>2747</v>
      </c>
      <c r="F12679" s="17"/>
      <c r="G12679" s="18" t="n">
        <v>0.64</v>
      </c>
      <c r="H12679" s="18" t="n">
        <v>0</v>
      </c>
      <c r="I12679" s="18" t="n">
        <f aca="false">((I12678 + G12679) - H12679)</f>
        <v>3361.43</v>
      </c>
      <c r="J12679" s="18" t="n">
        <v>0</v>
      </c>
      <c r="K12679" s="19" t="n">
        <v>0</v>
      </c>
      <c r="L12679" s="17"/>
    </row>
    <row r="12680" s="11" customFormat="true" ht="10.95" hidden="false" customHeight="true" outlineLevel="0" collapsed="false">
      <c r="A12680" s="16" t="n">
        <v>45195</v>
      </c>
      <c r="B12680" s="17" t="s">
        <v>4548</v>
      </c>
      <c r="C12680" s="17" t="s">
        <v>3614</v>
      </c>
      <c r="D12680" s="17" t="s">
        <v>1407</v>
      </c>
      <c r="E12680" s="17" t="s">
        <v>3770</v>
      </c>
      <c r="F12680" s="17"/>
      <c r="G12680" s="18" t="n">
        <v>2.09</v>
      </c>
      <c r="H12680" s="18" t="n">
        <v>0</v>
      </c>
      <c r="I12680" s="18" t="n">
        <f aca="false">((I12679 + G12680) - H12680)</f>
        <v>3363.52</v>
      </c>
      <c r="J12680" s="18" t="n">
        <v>0</v>
      </c>
      <c r="K12680" s="19" t="n">
        <v>0</v>
      </c>
      <c r="L12680" s="17"/>
    </row>
    <row r="12681" s="11" customFormat="true" ht="10.95" hidden="false" customHeight="true" outlineLevel="0" collapsed="false">
      <c r="A12681" s="16" t="n">
        <v>45195</v>
      </c>
      <c r="B12681" s="17" t="s">
        <v>4548</v>
      </c>
      <c r="C12681" s="17" t="s">
        <v>3614</v>
      </c>
      <c r="D12681" s="17" t="s">
        <v>1407</v>
      </c>
      <c r="E12681" s="17" t="s">
        <v>3976</v>
      </c>
      <c r="F12681" s="17"/>
      <c r="G12681" s="18" t="n">
        <v>16.36</v>
      </c>
      <c r="H12681" s="18" t="n">
        <v>0</v>
      </c>
      <c r="I12681" s="18" t="n">
        <f aca="false">((I12680 + G12681) - H12681)</f>
        <v>3379.88</v>
      </c>
      <c r="J12681" s="18" t="n">
        <v>0</v>
      </c>
      <c r="K12681" s="19" t="n">
        <v>0</v>
      </c>
      <c r="L12681" s="17"/>
    </row>
    <row r="12682" s="11" customFormat="true" ht="10.95" hidden="false" customHeight="true" outlineLevel="0" collapsed="false">
      <c r="A12682" s="16" t="n">
        <v>45195</v>
      </c>
      <c r="B12682" s="17" t="s">
        <v>4548</v>
      </c>
      <c r="C12682" s="17" t="s">
        <v>3614</v>
      </c>
      <c r="D12682" s="17" t="s">
        <v>1407</v>
      </c>
      <c r="E12682" s="17" t="s">
        <v>3804</v>
      </c>
      <c r="F12682" s="17"/>
      <c r="G12682" s="18" t="n">
        <v>27.26</v>
      </c>
      <c r="H12682" s="18" t="n">
        <v>0</v>
      </c>
      <c r="I12682" s="18" t="n">
        <f aca="false">((I12681 + G12682) - H12682)</f>
        <v>3407.14</v>
      </c>
      <c r="J12682" s="18" t="n">
        <v>0</v>
      </c>
      <c r="K12682" s="19" t="n">
        <v>0</v>
      </c>
      <c r="L12682" s="17"/>
    </row>
    <row r="12683" s="11" customFormat="true" ht="10.95" hidden="false" customHeight="true" outlineLevel="0" collapsed="false">
      <c r="A12683" s="16" t="n">
        <v>45195</v>
      </c>
      <c r="B12683" s="17" t="s">
        <v>4548</v>
      </c>
      <c r="C12683" s="17" t="s">
        <v>3614</v>
      </c>
      <c r="D12683" s="17" t="s">
        <v>1407</v>
      </c>
      <c r="E12683" s="17" t="s">
        <v>1536</v>
      </c>
      <c r="F12683" s="17"/>
      <c r="G12683" s="18" t="n">
        <v>26.63</v>
      </c>
      <c r="H12683" s="18" t="n">
        <v>0</v>
      </c>
      <c r="I12683" s="18" t="n">
        <f aca="false">((I12682 + G12683) - H12683)</f>
        <v>3433.77</v>
      </c>
      <c r="J12683" s="18" t="n">
        <v>0</v>
      </c>
      <c r="K12683" s="19" t="n">
        <v>0</v>
      </c>
      <c r="L12683" s="17"/>
    </row>
    <row r="12684" s="11" customFormat="true" ht="10.95" hidden="false" customHeight="true" outlineLevel="0" collapsed="false">
      <c r="A12684" s="16" t="n">
        <v>45196</v>
      </c>
      <c r="B12684" s="17" t="s">
        <v>4548</v>
      </c>
      <c r="C12684" s="17" t="s">
        <v>3614</v>
      </c>
      <c r="D12684" s="17" t="s">
        <v>19</v>
      </c>
      <c r="E12684" s="17" t="s">
        <v>3501</v>
      </c>
      <c r="F12684" s="17" t="s">
        <v>232</v>
      </c>
      <c r="G12684" s="18" t="n">
        <v>0</v>
      </c>
      <c r="H12684" s="18" t="n">
        <v>42.9</v>
      </c>
      <c r="I12684" s="18" t="n">
        <f aca="false">((I12683 + G12684) - H12684)</f>
        <v>3390.87</v>
      </c>
      <c r="J12684" s="18" t="n">
        <v>0</v>
      </c>
      <c r="K12684" s="19" t="n">
        <v>0</v>
      </c>
      <c r="L12684" s="17"/>
    </row>
    <row r="12685" s="11" customFormat="true" ht="10.95" hidden="false" customHeight="true" outlineLevel="0" collapsed="false">
      <c r="A12685" s="16" t="n">
        <v>45196</v>
      </c>
      <c r="B12685" s="17" t="s">
        <v>4548</v>
      </c>
      <c r="C12685" s="17" t="s">
        <v>3614</v>
      </c>
      <c r="D12685" s="17" t="s">
        <v>19</v>
      </c>
      <c r="E12685" s="17" t="s">
        <v>3502</v>
      </c>
      <c r="F12685" s="17" t="s">
        <v>234</v>
      </c>
      <c r="G12685" s="18" t="n">
        <v>0</v>
      </c>
      <c r="H12685" s="18" t="n">
        <v>90.75</v>
      </c>
      <c r="I12685" s="18" t="n">
        <f aca="false">((I12684 + G12685) - H12685)</f>
        <v>3300.12</v>
      </c>
      <c r="J12685" s="18" t="n">
        <v>0</v>
      </c>
      <c r="K12685" s="19" t="n">
        <v>0</v>
      </c>
      <c r="L12685" s="17"/>
    </row>
    <row r="12686" s="11" customFormat="true" ht="10.95" hidden="false" customHeight="true" outlineLevel="0" collapsed="false">
      <c r="A12686" s="16" t="n">
        <v>45196</v>
      </c>
      <c r="B12686" s="17" t="s">
        <v>4548</v>
      </c>
      <c r="C12686" s="17" t="s">
        <v>3614</v>
      </c>
      <c r="D12686" s="17" t="s">
        <v>19</v>
      </c>
      <c r="E12686" s="17" t="s">
        <v>3490</v>
      </c>
      <c r="F12686" s="17" t="s">
        <v>236</v>
      </c>
      <c r="G12686" s="18" t="n">
        <v>0</v>
      </c>
      <c r="H12686" s="18" t="n">
        <v>94.05</v>
      </c>
      <c r="I12686" s="18" t="n">
        <f aca="false">((I12685 + G12686) - H12686)</f>
        <v>3206.07</v>
      </c>
      <c r="J12686" s="18" t="n">
        <v>0</v>
      </c>
      <c r="K12686" s="19" t="n">
        <v>0</v>
      </c>
      <c r="L12686" s="17"/>
    </row>
    <row r="12687" s="11" customFormat="true" ht="10.95" hidden="false" customHeight="true" outlineLevel="0" collapsed="false">
      <c r="A12687" s="16" t="n">
        <v>45196</v>
      </c>
      <c r="B12687" s="17" t="s">
        <v>4548</v>
      </c>
      <c r="C12687" s="17" t="s">
        <v>3614</v>
      </c>
      <c r="D12687" s="17" t="s">
        <v>19</v>
      </c>
      <c r="E12687" s="17" t="s">
        <v>3424</v>
      </c>
      <c r="F12687" s="17" t="s">
        <v>237</v>
      </c>
      <c r="G12687" s="18" t="n">
        <v>0</v>
      </c>
      <c r="H12687" s="18" t="n">
        <v>37.6</v>
      </c>
      <c r="I12687" s="18" t="n">
        <f aca="false">((I12686 + G12687) - H12687)</f>
        <v>3168.47</v>
      </c>
      <c r="J12687" s="18" t="n">
        <v>0</v>
      </c>
      <c r="K12687" s="19" t="n">
        <v>0</v>
      </c>
      <c r="L12687" s="17"/>
    </row>
    <row r="12688" s="11" customFormat="true" ht="10.95" hidden="false" customHeight="true" outlineLevel="0" collapsed="false">
      <c r="A12688" s="16" t="n">
        <v>45196</v>
      </c>
      <c r="B12688" s="17" t="s">
        <v>4548</v>
      </c>
      <c r="C12688" s="17" t="s">
        <v>3614</v>
      </c>
      <c r="D12688" s="17" t="s">
        <v>19</v>
      </c>
      <c r="E12688" s="17" t="s">
        <v>3426</v>
      </c>
      <c r="F12688" s="17" t="s">
        <v>238</v>
      </c>
      <c r="G12688" s="18" t="n">
        <v>0</v>
      </c>
      <c r="H12688" s="18" t="n">
        <v>126</v>
      </c>
      <c r="I12688" s="18" t="n">
        <f aca="false">((I12687 + G12688) - H12688)</f>
        <v>3042.47</v>
      </c>
      <c r="J12688" s="18" t="n">
        <v>0</v>
      </c>
      <c r="K12688" s="19" t="n">
        <v>0</v>
      </c>
      <c r="L12688" s="17"/>
    </row>
    <row r="12689" s="11" customFormat="true" ht="10.95" hidden="false" customHeight="true" outlineLevel="0" collapsed="false">
      <c r="A12689" s="16" t="n">
        <v>45196</v>
      </c>
      <c r="B12689" s="17" t="s">
        <v>4548</v>
      </c>
      <c r="C12689" s="17" t="s">
        <v>3614</v>
      </c>
      <c r="D12689" s="17" t="s">
        <v>19</v>
      </c>
      <c r="E12689" s="17" t="s">
        <v>3427</v>
      </c>
      <c r="F12689" s="17" t="s">
        <v>239</v>
      </c>
      <c r="G12689" s="18" t="n">
        <v>0</v>
      </c>
      <c r="H12689" s="18" t="n">
        <v>51</v>
      </c>
      <c r="I12689" s="18" t="n">
        <f aca="false">((I12688 + G12689) - H12689)</f>
        <v>2991.47</v>
      </c>
      <c r="J12689" s="18" t="n">
        <v>0</v>
      </c>
      <c r="K12689" s="19" t="n">
        <v>0</v>
      </c>
      <c r="L12689" s="17"/>
    </row>
    <row r="12690" s="11" customFormat="true" ht="10.95" hidden="false" customHeight="true" outlineLevel="0" collapsed="false">
      <c r="A12690" s="16" t="n">
        <v>45196</v>
      </c>
      <c r="B12690" s="17" t="s">
        <v>4548</v>
      </c>
      <c r="C12690" s="17" t="s">
        <v>3614</v>
      </c>
      <c r="D12690" s="17" t="s">
        <v>19</v>
      </c>
      <c r="E12690" s="17" t="s">
        <v>3428</v>
      </c>
      <c r="F12690" s="17" t="s">
        <v>240</v>
      </c>
      <c r="G12690" s="18" t="n">
        <v>0</v>
      </c>
      <c r="H12690" s="18" t="n">
        <v>83.6</v>
      </c>
      <c r="I12690" s="18" t="n">
        <f aca="false">((I12689 + G12690) - H12690)</f>
        <v>2907.87</v>
      </c>
      <c r="J12690" s="18" t="n">
        <v>0</v>
      </c>
      <c r="K12690" s="19" t="n">
        <v>0</v>
      </c>
      <c r="L12690" s="17"/>
    </row>
    <row r="12691" s="11" customFormat="true" ht="10.95" hidden="false" customHeight="true" outlineLevel="0" collapsed="false">
      <c r="A12691" s="16" t="n">
        <v>45196</v>
      </c>
      <c r="B12691" s="17" t="s">
        <v>4548</v>
      </c>
      <c r="C12691" s="17" t="s">
        <v>3614</v>
      </c>
      <c r="D12691" s="17" t="s">
        <v>19</v>
      </c>
      <c r="E12691" s="17" t="s">
        <v>3429</v>
      </c>
      <c r="F12691" s="17" t="s">
        <v>241</v>
      </c>
      <c r="G12691" s="18" t="n">
        <v>0</v>
      </c>
      <c r="H12691" s="18" t="n">
        <v>8.5</v>
      </c>
      <c r="I12691" s="18" t="n">
        <f aca="false">((I12690 + G12691) - H12691)</f>
        <v>2899.37</v>
      </c>
      <c r="J12691" s="18" t="n">
        <v>0</v>
      </c>
      <c r="K12691" s="19" t="n">
        <v>0</v>
      </c>
      <c r="L12691" s="17"/>
    </row>
    <row r="12692" s="11" customFormat="true" ht="10.95" hidden="false" customHeight="true" outlineLevel="0" collapsed="false">
      <c r="A12692" s="16" t="n">
        <v>45196</v>
      </c>
      <c r="B12692" s="17" t="s">
        <v>4548</v>
      </c>
      <c r="C12692" s="17" t="s">
        <v>3614</v>
      </c>
      <c r="D12692" s="17" t="s">
        <v>19</v>
      </c>
      <c r="E12692" s="17" t="s">
        <v>3431</v>
      </c>
      <c r="F12692" s="17" t="s">
        <v>242</v>
      </c>
      <c r="G12692" s="18" t="n">
        <v>0</v>
      </c>
      <c r="H12692" s="18" t="n">
        <v>32.5</v>
      </c>
      <c r="I12692" s="18" t="n">
        <f aca="false">((I12691 + G12692) - H12692)</f>
        <v>2866.87</v>
      </c>
      <c r="J12692" s="18" t="n">
        <v>0</v>
      </c>
      <c r="K12692" s="19" t="n">
        <v>0</v>
      </c>
      <c r="L12692" s="17"/>
    </row>
    <row r="12693" s="11" customFormat="true" ht="10.95" hidden="false" customHeight="true" outlineLevel="0" collapsed="false">
      <c r="A12693" s="16" t="n">
        <v>45196</v>
      </c>
      <c r="B12693" s="17" t="s">
        <v>4548</v>
      </c>
      <c r="C12693" s="17" t="s">
        <v>3614</v>
      </c>
      <c r="D12693" s="17" t="s">
        <v>19</v>
      </c>
      <c r="E12693" s="17" t="s">
        <v>3432</v>
      </c>
      <c r="F12693" s="17" t="s">
        <v>243</v>
      </c>
      <c r="G12693" s="18" t="n">
        <v>0</v>
      </c>
      <c r="H12693" s="18" t="n">
        <v>99.5</v>
      </c>
      <c r="I12693" s="18" t="n">
        <f aca="false">((I12692 + G12693) - H12693)</f>
        <v>2767.37</v>
      </c>
      <c r="J12693" s="18" t="n">
        <v>0</v>
      </c>
      <c r="K12693" s="19" t="n">
        <v>0</v>
      </c>
      <c r="L12693" s="17"/>
    </row>
    <row r="12694" s="11" customFormat="true" ht="10.95" hidden="false" customHeight="true" outlineLevel="0" collapsed="false">
      <c r="A12694" s="16" t="n">
        <v>45196</v>
      </c>
      <c r="B12694" s="17" t="s">
        <v>4548</v>
      </c>
      <c r="C12694" s="17" t="s">
        <v>3614</v>
      </c>
      <c r="D12694" s="17" t="s">
        <v>19</v>
      </c>
      <c r="E12694" s="17" t="s">
        <v>3433</v>
      </c>
      <c r="F12694" s="17" t="s">
        <v>244</v>
      </c>
      <c r="G12694" s="18" t="n">
        <v>0</v>
      </c>
      <c r="H12694" s="18" t="n">
        <v>425.2</v>
      </c>
      <c r="I12694" s="18" t="n">
        <f aca="false">((I12693 + G12694) - H12694)</f>
        <v>2342.17</v>
      </c>
      <c r="J12694" s="18" t="n">
        <v>0</v>
      </c>
      <c r="K12694" s="19" t="n">
        <v>0</v>
      </c>
      <c r="L12694" s="17"/>
    </row>
    <row r="12695" s="11" customFormat="true" ht="10.95" hidden="false" customHeight="true" outlineLevel="0" collapsed="false">
      <c r="A12695" s="16" t="n">
        <v>45196</v>
      </c>
      <c r="B12695" s="17" t="s">
        <v>4548</v>
      </c>
      <c r="C12695" s="17" t="s">
        <v>3614</v>
      </c>
      <c r="D12695" s="17" t="s">
        <v>19</v>
      </c>
      <c r="E12695" s="17" t="s">
        <v>3433</v>
      </c>
      <c r="F12695" s="17" t="s">
        <v>246</v>
      </c>
      <c r="G12695" s="18" t="n">
        <v>0</v>
      </c>
      <c r="H12695" s="18" t="n">
        <v>382.5</v>
      </c>
      <c r="I12695" s="18" t="n">
        <f aca="false">((I12694 + G12695) - H12695)</f>
        <v>1959.67</v>
      </c>
      <c r="J12695" s="18" t="n">
        <v>0</v>
      </c>
      <c r="K12695" s="19" t="n">
        <v>0</v>
      </c>
      <c r="L12695" s="17"/>
    </row>
    <row r="12696" s="11" customFormat="true" ht="10.95" hidden="false" customHeight="true" outlineLevel="0" collapsed="false">
      <c r="A12696" s="16" t="n">
        <v>45196</v>
      </c>
      <c r="B12696" s="17" t="s">
        <v>4548</v>
      </c>
      <c r="C12696" s="17" t="s">
        <v>3614</v>
      </c>
      <c r="D12696" s="17" t="s">
        <v>19</v>
      </c>
      <c r="E12696" s="17" t="s">
        <v>3434</v>
      </c>
      <c r="F12696" s="17" t="s">
        <v>247</v>
      </c>
      <c r="G12696" s="18" t="n">
        <v>0</v>
      </c>
      <c r="H12696" s="18" t="n">
        <v>36</v>
      </c>
      <c r="I12696" s="18" t="n">
        <f aca="false">((I12695 + G12696) - H12696)</f>
        <v>1923.67</v>
      </c>
      <c r="J12696" s="18" t="n">
        <v>0</v>
      </c>
      <c r="K12696" s="19" t="n">
        <v>0</v>
      </c>
      <c r="L12696" s="17"/>
    </row>
    <row r="12697" s="11" customFormat="true" ht="10.95" hidden="false" customHeight="true" outlineLevel="0" collapsed="false">
      <c r="A12697" s="16" t="n">
        <v>45196</v>
      </c>
      <c r="B12697" s="17" t="s">
        <v>4548</v>
      </c>
      <c r="C12697" s="17" t="s">
        <v>3614</v>
      </c>
      <c r="D12697" s="17" t="s">
        <v>19</v>
      </c>
      <c r="E12697" s="17" t="s">
        <v>3435</v>
      </c>
      <c r="F12697" s="17" t="s">
        <v>248</v>
      </c>
      <c r="G12697" s="18" t="n">
        <v>0</v>
      </c>
      <c r="H12697" s="18" t="n">
        <v>204</v>
      </c>
      <c r="I12697" s="18" t="n">
        <f aca="false">((I12696 + G12697) - H12697)</f>
        <v>1719.67</v>
      </c>
      <c r="J12697" s="18" t="n">
        <v>0</v>
      </c>
      <c r="K12697" s="19" t="n">
        <v>0</v>
      </c>
      <c r="L12697" s="17"/>
    </row>
    <row r="12698" s="11" customFormat="true" ht="10.95" hidden="false" customHeight="true" outlineLevel="0" collapsed="false">
      <c r="A12698" s="16" t="n">
        <v>45196</v>
      </c>
      <c r="B12698" s="17" t="s">
        <v>4548</v>
      </c>
      <c r="C12698" s="17" t="s">
        <v>3614</v>
      </c>
      <c r="D12698" s="17" t="s">
        <v>19</v>
      </c>
      <c r="E12698" s="17" t="s">
        <v>3437</v>
      </c>
      <c r="F12698" s="17" t="s">
        <v>249</v>
      </c>
      <c r="G12698" s="18" t="n">
        <v>0</v>
      </c>
      <c r="H12698" s="18" t="n">
        <v>100.01</v>
      </c>
      <c r="I12698" s="18" t="n">
        <f aca="false">((I12697 + G12698) - H12698)</f>
        <v>1619.66</v>
      </c>
      <c r="J12698" s="18" t="n">
        <v>0</v>
      </c>
      <c r="K12698" s="19" t="n">
        <v>0</v>
      </c>
      <c r="L12698" s="17"/>
    </row>
    <row r="12699" s="11" customFormat="true" ht="10.95" hidden="false" customHeight="true" outlineLevel="0" collapsed="false">
      <c r="A12699" s="16" t="n">
        <v>45196</v>
      </c>
      <c r="B12699" s="17" t="s">
        <v>4548</v>
      </c>
      <c r="C12699" s="17" t="s">
        <v>3614</v>
      </c>
      <c r="D12699" s="17" t="s">
        <v>19</v>
      </c>
      <c r="E12699" s="17" t="s">
        <v>3439</v>
      </c>
      <c r="F12699" s="17" t="s">
        <v>250</v>
      </c>
      <c r="G12699" s="18" t="n">
        <v>0</v>
      </c>
      <c r="H12699" s="18" t="n">
        <v>95.7</v>
      </c>
      <c r="I12699" s="18" t="n">
        <f aca="false">((I12698 + G12699) - H12699)</f>
        <v>1523.96</v>
      </c>
      <c r="J12699" s="18" t="n">
        <v>0</v>
      </c>
      <c r="K12699" s="19" t="n">
        <v>0</v>
      </c>
      <c r="L12699" s="17"/>
    </row>
    <row r="12700" s="11" customFormat="true" ht="10.95" hidden="false" customHeight="true" outlineLevel="0" collapsed="false">
      <c r="A12700" s="16" t="n">
        <v>45196</v>
      </c>
      <c r="B12700" s="17" t="s">
        <v>4548</v>
      </c>
      <c r="C12700" s="17" t="s">
        <v>3614</v>
      </c>
      <c r="D12700" s="17" t="s">
        <v>19</v>
      </c>
      <c r="E12700" s="17" t="s">
        <v>3442</v>
      </c>
      <c r="F12700" s="17" t="s">
        <v>251</v>
      </c>
      <c r="G12700" s="18" t="n">
        <v>0</v>
      </c>
      <c r="H12700" s="18" t="n">
        <v>909</v>
      </c>
      <c r="I12700" s="18" t="n">
        <f aca="false">((I12699 + G12700) - H12700)</f>
        <v>614.959999999999</v>
      </c>
      <c r="J12700" s="18" t="n">
        <v>0</v>
      </c>
      <c r="K12700" s="19" t="n">
        <v>0</v>
      </c>
      <c r="L12700" s="17"/>
    </row>
    <row r="12701" s="11" customFormat="true" ht="10.95" hidden="false" customHeight="true" outlineLevel="0" collapsed="false">
      <c r="A12701" s="16" t="n">
        <v>45196</v>
      </c>
      <c r="B12701" s="17" t="s">
        <v>4548</v>
      </c>
      <c r="C12701" s="17" t="s">
        <v>3614</v>
      </c>
      <c r="D12701" s="17" t="s">
        <v>19</v>
      </c>
      <c r="E12701" s="17" t="s">
        <v>3443</v>
      </c>
      <c r="F12701" s="17" t="s">
        <v>252</v>
      </c>
      <c r="G12701" s="18" t="n">
        <v>0</v>
      </c>
      <c r="H12701" s="18" t="n">
        <v>443</v>
      </c>
      <c r="I12701" s="18" t="n">
        <f aca="false">((I12700 + G12701) - H12701)</f>
        <v>171.959999999999</v>
      </c>
      <c r="J12701" s="18" t="n">
        <v>0</v>
      </c>
      <c r="K12701" s="19" t="n">
        <v>0</v>
      </c>
      <c r="L12701" s="17"/>
    </row>
    <row r="12702" s="11" customFormat="true" ht="10.95" hidden="false" customHeight="true" outlineLevel="0" collapsed="false">
      <c r="A12702" s="16" t="n">
        <v>45196</v>
      </c>
      <c r="B12702" s="17" t="s">
        <v>4548</v>
      </c>
      <c r="C12702" s="17" t="s">
        <v>3614</v>
      </c>
      <c r="D12702" s="17" t="s">
        <v>19</v>
      </c>
      <c r="E12702" s="17" t="s">
        <v>3444</v>
      </c>
      <c r="F12702" s="17" t="s">
        <v>253</v>
      </c>
      <c r="G12702" s="18" t="n">
        <v>0</v>
      </c>
      <c r="H12702" s="18" t="n">
        <v>88</v>
      </c>
      <c r="I12702" s="18" t="n">
        <f aca="false">((I12701 + G12702) - H12702)</f>
        <v>83.9599999999991</v>
      </c>
      <c r="J12702" s="18" t="n">
        <v>0</v>
      </c>
      <c r="K12702" s="19" t="n">
        <v>0</v>
      </c>
      <c r="L12702" s="17"/>
    </row>
    <row r="12703" s="11" customFormat="true" ht="10.95" hidden="false" customHeight="true" outlineLevel="0" collapsed="false">
      <c r="A12703" s="16" t="n">
        <v>45196</v>
      </c>
      <c r="B12703" s="17" t="s">
        <v>4548</v>
      </c>
      <c r="C12703" s="17" t="s">
        <v>3614</v>
      </c>
      <c r="D12703" s="17" t="s">
        <v>19</v>
      </c>
      <c r="E12703" s="17" t="s">
        <v>3494</v>
      </c>
      <c r="F12703" s="17" t="s">
        <v>254</v>
      </c>
      <c r="G12703" s="18" t="n">
        <v>0</v>
      </c>
      <c r="H12703" s="18" t="n">
        <v>162.2</v>
      </c>
      <c r="I12703" s="18" t="n">
        <f aca="false">((I12702 + G12703) - H12703)</f>
        <v>-78.2400000000009</v>
      </c>
      <c r="J12703" s="18" t="n">
        <v>0</v>
      </c>
      <c r="K12703" s="19" t="n">
        <v>0</v>
      </c>
      <c r="L12703" s="17"/>
    </row>
    <row r="12704" s="11" customFormat="true" ht="10.95" hidden="false" customHeight="true" outlineLevel="0" collapsed="false">
      <c r="A12704" s="16" t="n">
        <v>45196</v>
      </c>
      <c r="B12704" s="17" t="s">
        <v>4548</v>
      </c>
      <c r="C12704" s="17" t="s">
        <v>3614</v>
      </c>
      <c r="D12704" s="17" t="s">
        <v>19</v>
      </c>
      <c r="E12704" s="17" t="s">
        <v>3446</v>
      </c>
      <c r="F12704" s="17" t="s">
        <v>255</v>
      </c>
      <c r="G12704" s="18" t="n">
        <v>0</v>
      </c>
      <c r="H12704" s="18" t="n">
        <v>188</v>
      </c>
      <c r="I12704" s="18" t="n">
        <f aca="false">((I12703 + G12704) - H12704)</f>
        <v>-266.240000000001</v>
      </c>
      <c r="J12704" s="18" t="n">
        <v>0</v>
      </c>
      <c r="K12704" s="19" t="n">
        <v>0</v>
      </c>
      <c r="L12704" s="17"/>
    </row>
    <row r="12705" s="11" customFormat="true" ht="10.95" hidden="false" customHeight="true" outlineLevel="0" collapsed="false">
      <c r="A12705" s="16" t="n">
        <v>45196</v>
      </c>
      <c r="B12705" s="17" t="s">
        <v>4548</v>
      </c>
      <c r="C12705" s="17" t="s">
        <v>3614</v>
      </c>
      <c r="D12705" s="17" t="s">
        <v>19</v>
      </c>
      <c r="E12705" s="17" t="s">
        <v>3447</v>
      </c>
      <c r="F12705" s="17" t="s">
        <v>260</v>
      </c>
      <c r="G12705" s="18" t="n">
        <v>0</v>
      </c>
      <c r="H12705" s="18" t="n">
        <v>332.75</v>
      </c>
      <c r="I12705" s="18" t="n">
        <f aca="false">((I12704 + G12705) - H12705)</f>
        <v>-598.990000000001</v>
      </c>
      <c r="J12705" s="18" t="n">
        <v>0</v>
      </c>
      <c r="K12705" s="19" t="n">
        <v>0</v>
      </c>
      <c r="L12705" s="17"/>
    </row>
    <row r="12706" s="11" customFormat="true" ht="10.95" hidden="false" customHeight="true" outlineLevel="0" collapsed="false">
      <c r="A12706" s="16" t="n">
        <v>45196</v>
      </c>
      <c r="B12706" s="17" t="s">
        <v>4548</v>
      </c>
      <c r="C12706" s="17" t="s">
        <v>3614</v>
      </c>
      <c r="D12706" s="17" t="s">
        <v>19</v>
      </c>
      <c r="E12706" s="17" t="s">
        <v>3447</v>
      </c>
      <c r="F12706" s="17" t="s">
        <v>262</v>
      </c>
      <c r="G12706" s="18" t="n">
        <v>0</v>
      </c>
      <c r="H12706" s="18" t="n">
        <v>75.2</v>
      </c>
      <c r="I12706" s="18" t="n">
        <f aca="false">((I12705 + G12706) - H12706)</f>
        <v>-674.190000000001</v>
      </c>
      <c r="J12706" s="18" t="n">
        <v>0</v>
      </c>
      <c r="K12706" s="19" t="n">
        <v>0</v>
      </c>
      <c r="L12706" s="17"/>
    </row>
    <row r="12707" s="11" customFormat="true" ht="10.95" hidden="false" customHeight="true" outlineLevel="0" collapsed="false">
      <c r="A12707" s="16" t="n">
        <v>45196</v>
      </c>
      <c r="B12707" s="17" t="s">
        <v>4548</v>
      </c>
      <c r="C12707" s="17" t="s">
        <v>3614</v>
      </c>
      <c r="D12707" s="17" t="s">
        <v>19</v>
      </c>
      <c r="E12707" s="17" t="s">
        <v>3447</v>
      </c>
      <c r="F12707" s="17" t="s">
        <v>263</v>
      </c>
      <c r="G12707" s="18" t="n">
        <v>0</v>
      </c>
      <c r="H12707" s="18" t="n">
        <v>58</v>
      </c>
      <c r="I12707" s="18" t="n">
        <f aca="false">((I12706 + G12707) - H12707)</f>
        <v>-732.190000000001</v>
      </c>
      <c r="J12707" s="18" t="n">
        <v>0</v>
      </c>
      <c r="K12707" s="19" t="n">
        <v>0</v>
      </c>
      <c r="L12707" s="17"/>
    </row>
    <row r="12708" s="11" customFormat="true" ht="10.95" hidden="false" customHeight="true" outlineLevel="0" collapsed="false">
      <c r="A12708" s="16" t="n">
        <v>45196</v>
      </c>
      <c r="B12708" s="17" t="s">
        <v>4548</v>
      </c>
      <c r="C12708" s="17" t="s">
        <v>3614</v>
      </c>
      <c r="D12708" s="17" t="s">
        <v>19</v>
      </c>
      <c r="E12708" s="17" t="s">
        <v>3447</v>
      </c>
      <c r="F12708" s="17" t="s">
        <v>264</v>
      </c>
      <c r="G12708" s="18" t="n">
        <v>0</v>
      </c>
      <c r="H12708" s="18" t="n">
        <v>18.8</v>
      </c>
      <c r="I12708" s="18" t="n">
        <f aca="false">((I12707 + G12708) - H12708)</f>
        <v>-750.990000000001</v>
      </c>
      <c r="J12708" s="18" t="n">
        <v>0</v>
      </c>
      <c r="K12708" s="19" t="n">
        <v>0</v>
      </c>
      <c r="L12708" s="17"/>
    </row>
    <row r="12709" s="11" customFormat="true" ht="10.95" hidden="false" customHeight="true" outlineLevel="0" collapsed="false">
      <c r="A12709" s="16" t="n">
        <v>45196</v>
      </c>
      <c r="B12709" s="17" t="s">
        <v>4548</v>
      </c>
      <c r="C12709" s="17" t="s">
        <v>3614</v>
      </c>
      <c r="D12709" s="17" t="s">
        <v>19</v>
      </c>
      <c r="E12709" s="17" t="s">
        <v>3447</v>
      </c>
      <c r="F12709" s="17" t="s">
        <v>265</v>
      </c>
      <c r="G12709" s="18" t="n">
        <v>0</v>
      </c>
      <c r="H12709" s="18" t="n">
        <v>170.75</v>
      </c>
      <c r="I12709" s="18" t="n">
        <f aca="false">((I12708 + G12709) - H12709)</f>
        <v>-921.740000000001</v>
      </c>
      <c r="J12709" s="18" t="n">
        <v>0</v>
      </c>
      <c r="K12709" s="19" t="n">
        <v>0</v>
      </c>
      <c r="L12709" s="17"/>
    </row>
    <row r="12710" s="11" customFormat="true" ht="10.95" hidden="false" customHeight="true" outlineLevel="0" collapsed="false">
      <c r="A12710" s="16" t="n">
        <v>45196</v>
      </c>
      <c r="B12710" s="17" t="s">
        <v>4548</v>
      </c>
      <c r="C12710" s="17" t="s">
        <v>3614</v>
      </c>
      <c r="D12710" s="17" t="s">
        <v>19</v>
      </c>
      <c r="E12710" s="17" t="s">
        <v>3447</v>
      </c>
      <c r="F12710" s="17" t="s">
        <v>270</v>
      </c>
      <c r="G12710" s="18" t="n">
        <v>0</v>
      </c>
      <c r="H12710" s="18" t="n">
        <v>47</v>
      </c>
      <c r="I12710" s="18" t="n">
        <f aca="false">((I12709 + G12710) - H12710)</f>
        <v>-968.740000000001</v>
      </c>
      <c r="J12710" s="18" t="n">
        <v>0</v>
      </c>
      <c r="K12710" s="19" t="n">
        <v>0</v>
      </c>
      <c r="L12710" s="17"/>
    </row>
    <row r="12711" s="11" customFormat="true" ht="10.95" hidden="false" customHeight="true" outlineLevel="0" collapsed="false">
      <c r="A12711" s="16" t="n">
        <v>45196</v>
      </c>
      <c r="B12711" s="17" t="s">
        <v>4548</v>
      </c>
      <c r="C12711" s="17" t="s">
        <v>3614</v>
      </c>
      <c r="D12711" s="17" t="s">
        <v>19</v>
      </c>
      <c r="E12711" s="17" t="s">
        <v>3447</v>
      </c>
      <c r="F12711" s="17" t="s">
        <v>271</v>
      </c>
      <c r="G12711" s="18" t="n">
        <v>0</v>
      </c>
      <c r="H12711" s="18" t="n">
        <v>18.8</v>
      </c>
      <c r="I12711" s="18" t="n">
        <f aca="false">((I12710 + G12711) - H12711)</f>
        <v>-987.540000000001</v>
      </c>
      <c r="J12711" s="18" t="n">
        <v>0</v>
      </c>
      <c r="K12711" s="19" t="n">
        <v>0</v>
      </c>
      <c r="L12711" s="17"/>
    </row>
    <row r="12712" s="11" customFormat="true" ht="10.95" hidden="false" customHeight="true" outlineLevel="0" collapsed="false">
      <c r="A12712" s="16" t="n">
        <v>45196</v>
      </c>
      <c r="B12712" s="17" t="s">
        <v>4548</v>
      </c>
      <c r="C12712" s="17" t="s">
        <v>3614</v>
      </c>
      <c r="D12712" s="17" t="s">
        <v>19</v>
      </c>
      <c r="E12712" s="17" t="s">
        <v>3447</v>
      </c>
      <c r="F12712" s="17" t="s">
        <v>272</v>
      </c>
      <c r="G12712" s="18" t="n">
        <v>0</v>
      </c>
      <c r="H12712" s="18" t="n">
        <v>47</v>
      </c>
      <c r="I12712" s="18" t="n">
        <f aca="false">((I12711 + G12712) - H12712)</f>
        <v>-1034.54</v>
      </c>
      <c r="J12712" s="18" t="n">
        <v>0</v>
      </c>
      <c r="K12712" s="19" t="n">
        <v>0</v>
      </c>
      <c r="L12712" s="17"/>
    </row>
    <row r="12713" s="11" customFormat="true" ht="10.95" hidden="false" customHeight="true" outlineLevel="0" collapsed="false">
      <c r="A12713" s="16" t="n">
        <v>45196</v>
      </c>
      <c r="B12713" s="17" t="s">
        <v>4548</v>
      </c>
      <c r="C12713" s="17" t="s">
        <v>3614</v>
      </c>
      <c r="D12713" s="17" t="s">
        <v>19</v>
      </c>
      <c r="E12713" s="17" t="s">
        <v>3447</v>
      </c>
      <c r="F12713" s="17" t="s">
        <v>273</v>
      </c>
      <c r="G12713" s="18" t="n">
        <v>0</v>
      </c>
      <c r="H12713" s="18" t="n">
        <v>225.9</v>
      </c>
      <c r="I12713" s="18" t="n">
        <f aca="false">((I12712 + G12713) - H12713)</f>
        <v>-1260.44</v>
      </c>
      <c r="J12713" s="18" t="n">
        <v>0</v>
      </c>
      <c r="K12713" s="19" t="n">
        <v>0</v>
      </c>
      <c r="L12713" s="17"/>
    </row>
    <row r="12714" s="11" customFormat="true" ht="10.95" hidden="false" customHeight="true" outlineLevel="0" collapsed="false">
      <c r="A12714" s="16" t="n">
        <v>45196</v>
      </c>
      <c r="B12714" s="17" t="s">
        <v>4548</v>
      </c>
      <c r="C12714" s="17" t="s">
        <v>3614</v>
      </c>
      <c r="D12714" s="17" t="s">
        <v>19</v>
      </c>
      <c r="E12714" s="17" t="s">
        <v>3447</v>
      </c>
      <c r="F12714" s="17" t="s">
        <v>274</v>
      </c>
      <c r="G12714" s="18" t="n">
        <v>0</v>
      </c>
      <c r="H12714" s="18" t="n">
        <v>114.4</v>
      </c>
      <c r="I12714" s="18" t="n">
        <f aca="false">((I12713 + G12714) - H12714)</f>
        <v>-1374.84</v>
      </c>
      <c r="J12714" s="18" t="n">
        <v>0</v>
      </c>
      <c r="K12714" s="19" t="n">
        <v>0</v>
      </c>
      <c r="L12714" s="17"/>
    </row>
    <row r="12715" s="11" customFormat="true" ht="10.95" hidden="false" customHeight="true" outlineLevel="0" collapsed="false">
      <c r="A12715" s="16" t="n">
        <v>45196</v>
      </c>
      <c r="B12715" s="17" t="s">
        <v>4548</v>
      </c>
      <c r="C12715" s="17" t="s">
        <v>3614</v>
      </c>
      <c r="D12715" s="17" t="s">
        <v>19</v>
      </c>
      <c r="E12715" s="17" t="s">
        <v>3447</v>
      </c>
      <c r="F12715" s="17" t="s">
        <v>275</v>
      </c>
      <c r="G12715" s="18" t="n">
        <v>0</v>
      </c>
      <c r="H12715" s="18" t="n">
        <v>28.2</v>
      </c>
      <c r="I12715" s="18" t="n">
        <f aca="false">((I12714 + G12715) - H12715)</f>
        <v>-1403.04</v>
      </c>
      <c r="J12715" s="18" t="n">
        <v>0</v>
      </c>
      <c r="K12715" s="19" t="n">
        <v>0</v>
      </c>
      <c r="L12715" s="17"/>
    </row>
    <row r="12716" s="11" customFormat="true" ht="10.95" hidden="false" customHeight="true" outlineLevel="0" collapsed="false">
      <c r="A12716" s="16" t="n">
        <v>45196</v>
      </c>
      <c r="B12716" s="17" t="s">
        <v>4548</v>
      </c>
      <c r="C12716" s="17" t="s">
        <v>3614</v>
      </c>
      <c r="D12716" s="17" t="s">
        <v>19</v>
      </c>
      <c r="E12716" s="17" t="s">
        <v>3447</v>
      </c>
      <c r="F12716" s="17" t="s">
        <v>276</v>
      </c>
      <c r="G12716" s="18" t="n">
        <v>0</v>
      </c>
      <c r="H12716" s="18" t="n">
        <v>28.2</v>
      </c>
      <c r="I12716" s="18" t="n">
        <f aca="false">((I12715 + G12716) - H12716)</f>
        <v>-1431.24</v>
      </c>
      <c r="J12716" s="18" t="n">
        <v>0</v>
      </c>
      <c r="K12716" s="19" t="n">
        <v>0</v>
      </c>
      <c r="L12716" s="17"/>
    </row>
    <row r="12717" s="11" customFormat="true" ht="10.95" hidden="false" customHeight="true" outlineLevel="0" collapsed="false">
      <c r="A12717" s="16" t="n">
        <v>45196</v>
      </c>
      <c r="B12717" s="17" t="s">
        <v>4548</v>
      </c>
      <c r="C12717" s="17" t="s">
        <v>3614</v>
      </c>
      <c r="D12717" s="17" t="s">
        <v>19</v>
      </c>
      <c r="E12717" s="17" t="s">
        <v>3447</v>
      </c>
      <c r="F12717" s="17" t="s">
        <v>277</v>
      </c>
      <c r="G12717" s="18" t="n">
        <v>0</v>
      </c>
      <c r="H12717" s="18" t="n">
        <v>47</v>
      </c>
      <c r="I12717" s="18" t="n">
        <f aca="false">((I12716 + G12717) - H12717)</f>
        <v>-1478.24</v>
      </c>
      <c r="J12717" s="18" t="n">
        <v>0</v>
      </c>
      <c r="K12717" s="19" t="n">
        <v>0</v>
      </c>
      <c r="L12717" s="17"/>
    </row>
    <row r="12718" s="11" customFormat="true" ht="10.95" hidden="false" customHeight="true" outlineLevel="0" collapsed="false">
      <c r="A12718" s="16" t="n">
        <v>45196</v>
      </c>
      <c r="B12718" s="17" t="s">
        <v>4548</v>
      </c>
      <c r="C12718" s="17" t="s">
        <v>3614</v>
      </c>
      <c r="D12718" s="17" t="s">
        <v>19</v>
      </c>
      <c r="E12718" s="17" t="s">
        <v>3447</v>
      </c>
      <c r="F12718" s="17" t="s">
        <v>278</v>
      </c>
      <c r="G12718" s="18" t="n">
        <v>0</v>
      </c>
      <c r="H12718" s="18" t="n">
        <v>122.2</v>
      </c>
      <c r="I12718" s="18" t="n">
        <f aca="false">((I12717 + G12718) - H12718)</f>
        <v>-1600.44</v>
      </c>
      <c r="J12718" s="18" t="n">
        <v>0</v>
      </c>
      <c r="K12718" s="19" t="n">
        <v>0</v>
      </c>
      <c r="L12718" s="17"/>
    </row>
    <row r="12719" s="11" customFormat="true" ht="10.95" hidden="false" customHeight="true" outlineLevel="0" collapsed="false">
      <c r="A12719" s="16" t="n">
        <v>45196</v>
      </c>
      <c r="B12719" s="17" t="s">
        <v>4548</v>
      </c>
      <c r="C12719" s="17" t="s">
        <v>3614</v>
      </c>
      <c r="D12719" s="17" t="s">
        <v>19</v>
      </c>
      <c r="E12719" s="17" t="s">
        <v>3447</v>
      </c>
      <c r="F12719" s="17" t="s">
        <v>279</v>
      </c>
      <c r="G12719" s="18" t="n">
        <v>0</v>
      </c>
      <c r="H12719" s="18" t="n">
        <v>9.4</v>
      </c>
      <c r="I12719" s="18" t="n">
        <f aca="false">((I12718 + G12719) - H12719)</f>
        <v>-1609.84</v>
      </c>
      <c r="J12719" s="18" t="n">
        <v>0</v>
      </c>
      <c r="K12719" s="19" t="n">
        <v>0</v>
      </c>
      <c r="L12719" s="17"/>
    </row>
    <row r="12720" s="11" customFormat="true" ht="10.95" hidden="false" customHeight="true" outlineLevel="0" collapsed="false">
      <c r="A12720" s="16" t="n">
        <v>45196</v>
      </c>
      <c r="B12720" s="17" t="s">
        <v>4548</v>
      </c>
      <c r="C12720" s="17" t="s">
        <v>3614</v>
      </c>
      <c r="D12720" s="17" t="s">
        <v>19</v>
      </c>
      <c r="E12720" s="17" t="s">
        <v>3447</v>
      </c>
      <c r="F12720" s="17" t="s">
        <v>280</v>
      </c>
      <c r="G12720" s="18" t="n">
        <v>0</v>
      </c>
      <c r="H12720" s="18" t="n">
        <v>65.8</v>
      </c>
      <c r="I12720" s="18" t="n">
        <f aca="false">((I12719 + G12720) - H12720)</f>
        <v>-1675.64</v>
      </c>
      <c r="J12720" s="18" t="n">
        <v>0</v>
      </c>
      <c r="K12720" s="19" t="n">
        <v>0</v>
      </c>
      <c r="L12720" s="17"/>
    </row>
    <row r="12721" s="11" customFormat="true" ht="10.95" hidden="false" customHeight="true" outlineLevel="0" collapsed="false">
      <c r="A12721" s="16" t="n">
        <v>45196</v>
      </c>
      <c r="B12721" s="17" t="s">
        <v>4548</v>
      </c>
      <c r="C12721" s="17" t="s">
        <v>3614</v>
      </c>
      <c r="D12721" s="17" t="s">
        <v>19</v>
      </c>
      <c r="E12721" s="17" t="s">
        <v>3454</v>
      </c>
      <c r="F12721" s="17" t="s">
        <v>281</v>
      </c>
      <c r="G12721" s="18" t="n">
        <v>0</v>
      </c>
      <c r="H12721" s="18" t="n">
        <v>1527.07</v>
      </c>
      <c r="I12721" s="18" t="n">
        <f aca="false">((I12720 + G12721) - H12721)</f>
        <v>-3202.71</v>
      </c>
      <c r="J12721" s="18" t="n">
        <v>0</v>
      </c>
      <c r="K12721" s="19" t="n">
        <v>0</v>
      </c>
      <c r="L12721" s="17"/>
    </row>
    <row r="12722" s="11" customFormat="true" ht="10.95" hidden="false" customHeight="true" outlineLevel="0" collapsed="false">
      <c r="A12722" s="16" t="n">
        <v>45196</v>
      </c>
      <c r="B12722" s="17" t="s">
        <v>4548</v>
      </c>
      <c r="C12722" s="17" t="s">
        <v>3614</v>
      </c>
      <c r="D12722" s="17" t="s">
        <v>1407</v>
      </c>
      <c r="E12722" s="17" t="s">
        <v>3805</v>
      </c>
      <c r="F12722" s="17"/>
      <c r="G12722" s="18" t="n">
        <v>8.93</v>
      </c>
      <c r="H12722" s="18" t="n">
        <v>0</v>
      </c>
      <c r="I12722" s="18" t="n">
        <f aca="false">((I12721 + G12722) - H12722)</f>
        <v>-3193.78</v>
      </c>
      <c r="J12722" s="18" t="n">
        <v>0</v>
      </c>
      <c r="K12722" s="19" t="n">
        <v>0</v>
      </c>
      <c r="L12722" s="17"/>
    </row>
    <row r="12723" s="11" customFormat="true" ht="10.95" hidden="false" customHeight="true" outlineLevel="0" collapsed="false">
      <c r="A12723" s="16" t="n">
        <v>45196</v>
      </c>
      <c r="B12723" s="17" t="s">
        <v>4548</v>
      </c>
      <c r="C12723" s="17" t="s">
        <v>3614</v>
      </c>
      <c r="D12723" s="17" t="s">
        <v>19</v>
      </c>
      <c r="E12723" s="17" t="s">
        <v>3451</v>
      </c>
      <c r="F12723" s="17" t="s">
        <v>285</v>
      </c>
      <c r="G12723" s="18" t="n">
        <v>0</v>
      </c>
      <c r="H12723" s="18" t="n">
        <v>116.2</v>
      </c>
      <c r="I12723" s="18" t="n">
        <f aca="false">((I12722 + G12723) - H12723)</f>
        <v>-3309.98</v>
      </c>
      <c r="J12723" s="18" t="n">
        <v>0</v>
      </c>
      <c r="K12723" s="19" t="n">
        <v>0</v>
      </c>
      <c r="L12723" s="17"/>
    </row>
    <row r="12724" s="11" customFormat="true" ht="10.95" hidden="false" customHeight="true" outlineLevel="0" collapsed="false">
      <c r="A12724" s="16" t="n">
        <v>45197</v>
      </c>
      <c r="B12724" s="17" t="s">
        <v>4548</v>
      </c>
      <c r="C12724" s="17" t="s">
        <v>3614</v>
      </c>
      <c r="D12724" s="17" t="s">
        <v>1391</v>
      </c>
      <c r="E12724" s="17" t="s">
        <v>3647</v>
      </c>
      <c r="F12724" s="17" t="s">
        <v>1444</v>
      </c>
      <c r="G12724" s="18" t="n">
        <v>433.85</v>
      </c>
      <c r="H12724" s="18" t="n">
        <v>0</v>
      </c>
      <c r="I12724" s="18" t="n">
        <f aca="false">((I12723 + G12724) - H12724)</f>
        <v>-2876.13</v>
      </c>
      <c r="J12724" s="18" t="n">
        <v>0</v>
      </c>
      <c r="K12724" s="19" t="n">
        <v>0</v>
      </c>
      <c r="L12724" s="17"/>
    </row>
    <row r="12725" s="11" customFormat="true" ht="10.95" hidden="false" customHeight="true" outlineLevel="0" collapsed="false">
      <c r="A12725" s="16" t="n">
        <v>45198</v>
      </c>
      <c r="B12725" s="17" t="s">
        <v>4548</v>
      </c>
      <c r="C12725" s="17" t="s">
        <v>3614</v>
      </c>
      <c r="D12725" s="17" t="s">
        <v>1407</v>
      </c>
      <c r="E12725" s="17" t="s">
        <v>3642</v>
      </c>
      <c r="F12725" s="17"/>
      <c r="G12725" s="18" t="n">
        <v>3.95</v>
      </c>
      <c r="H12725" s="18" t="n">
        <v>0</v>
      </c>
      <c r="I12725" s="18" t="n">
        <f aca="false">((I12724 + G12725) - H12725)</f>
        <v>-2872.18</v>
      </c>
      <c r="J12725" s="18" t="n">
        <v>0</v>
      </c>
      <c r="K12725" s="19" t="n">
        <v>0</v>
      </c>
      <c r="L12725" s="17"/>
    </row>
    <row r="12726" s="11" customFormat="true" ht="10.95" hidden="false" customHeight="true" outlineLevel="0" collapsed="false">
      <c r="A12726" s="16" t="n">
        <v>45198</v>
      </c>
      <c r="B12726" s="17" t="s">
        <v>4548</v>
      </c>
      <c r="C12726" s="17" t="s">
        <v>3614</v>
      </c>
      <c r="D12726" s="17" t="s">
        <v>1391</v>
      </c>
      <c r="E12726" s="17" t="s">
        <v>3678</v>
      </c>
      <c r="F12726" s="17" t="s">
        <v>2041</v>
      </c>
      <c r="G12726" s="18" t="n">
        <v>216.45</v>
      </c>
      <c r="H12726" s="18" t="n">
        <v>0</v>
      </c>
      <c r="I12726" s="18" t="n">
        <f aca="false">((I12725 + G12726) - H12726)</f>
        <v>-2655.73</v>
      </c>
      <c r="J12726" s="18" t="n">
        <v>0</v>
      </c>
      <c r="K12726" s="19" t="n">
        <v>0</v>
      </c>
      <c r="L12726" s="17"/>
    </row>
    <row r="12727" s="11" customFormat="true" ht="10.95" hidden="false" customHeight="true" outlineLevel="0" collapsed="false">
      <c r="A12727" s="16" t="n">
        <v>45200</v>
      </c>
      <c r="B12727" s="17" t="s">
        <v>4548</v>
      </c>
      <c r="C12727" s="17" t="s">
        <v>3614</v>
      </c>
      <c r="D12727" s="17" t="s">
        <v>1391</v>
      </c>
      <c r="E12727" s="17" t="s">
        <v>3615</v>
      </c>
      <c r="F12727" s="17" t="s">
        <v>1448</v>
      </c>
      <c r="G12727" s="18" t="n">
        <v>48.98</v>
      </c>
      <c r="H12727" s="18" t="n">
        <v>0</v>
      </c>
      <c r="I12727" s="18" t="n">
        <f aca="false">((I12726 + G12727) - H12727)</f>
        <v>-2606.75</v>
      </c>
      <c r="J12727" s="18" t="n">
        <v>0</v>
      </c>
      <c r="K12727" s="19" t="n">
        <v>0</v>
      </c>
      <c r="L12727" s="17"/>
    </row>
    <row r="12728" s="11" customFormat="true" ht="10.95" hidden="false" customHeight="true" outlineLevel="0" collapsed="false">
      <c r="A12728" s="16" t="n">
        <v>45201</v>
      </c>
      <c r="B12728" s="17" t="s">
        <v>4548</v>
      </c>
      <c r="C12728" s="17" t="s">
        <v>3614</v>
      </c>
      <c r="D12728" s="17" t="s">
        <v>1391</v>
      </c>
      <c r="E12728" s="17" t="s">
        <v>3615</v>
      </c>
      <c r="F12728" s="17" t="s">
        <v>1450</v>
      </c>
      <c r="G12728" s="18" t="n">
        <v>1628.62</v>
      </c>
      <c r="H12728" s="18" t="n">
        <v>0</v>
      </c>
      <c r="I12728" s="18" t="n">
        <f aca="false">((I12727 + G12728) - H12728)</f>
        <v>-978.130000000002</v>
      </c>
      <c r="J12728" s="18" t="n">
        <v>0</v>
      </c>
      <c r="K12728" s="19" t="n">
        <v>0</v>
      </c>
      <c r="L12728" s="17"/>
    </row>
    <row r="12729" s="11" customFormat="true" ht="10.95" hidden="false" customHeight="true" outlineLevel="0" collapsed="false">
      <c r="A12729" s="16" t="n">
        <v>45201</v>
      </c>
      <c r="B12729" s="17" t="s">
        <v>4548</v>
      </c>
      <c r="C12729" s="17" t="s">
        <v>3614</v>
      </c>
      <c r="D12729" s="17" t="s">
        <v>1407</v>
      </c>
      <c r="E12729" s="17" t="s">
        <v>3804</v>
      </c>
      <c r="F12729" s="17"/>
      <c r="G12729" s="18" t="n">
        <v>3.64</v>
      </c>
      <c r="H12729" s="18" t="n">
        <v>0</v>
      </c>
      <c r="I12729" s="18" t="n">
        <f aca="false">((I12728 + G12729) - H12729)</f>
        <v>-974.490000000002</v>
      </c>
      <c r="J12729" s="18" t="n">
        <v>0</v>
      </c>
      <c r="K12729" s="19" t="n">
        <v>0</v>
      </c>
      <c r="L12729" s="17"/>
    </row>
    <row r="12730" s="11" customFormat="true" ht="10.95" hidden="false" customHeight="true" outlineLevel="0" collapsed="false">
      <c r="A12730" s="16" t="n">
        <v>45201</v>
      </c>
      <c r="B12730" s="17" t="s">
        <v>4548</v>
      </c>
      <c r="C12730" s="17" t="s">
        <v>3614</v>
      </c>
      <c r="D12730" s="17" t="s">
        <v>1391</v>
      </c>
      <c r="E12730" s="17" t="s">
        <v>3625</v>
      </c>
      <c r="F12730" s="17" t="s">
        <v>3264</v>
      </c>
      <c r="G12730" s="18" t="n">
        <v>93.06</v>
      </c>
      <c r="H12730" s="18" t="n">
        <v>0</v>
      </c>
      <c r="I12730" s="18" t="n">
        <f aca="false">((I12729 + G12730) - H12730)</f>
        <v>-881.430000000001</v>
      </c>
      <c r="J12730" s="18" t="n">
        <v>0</v>
      </c>
      <c r="K12730" s="19" t="n">
        <v>0</v>
      </c>
      <c r="L12730" s="17"/>
    </row>
    <row r="12731" s="11" customFormat="true" ht="10.95" hidden="false" customHeight="true" outlineLevel="0" collapsed="false">
      <c r="A12731" s="16" t="n">
        <v>45202</v>
      </c>
      <c r="B12731" s="17" t="s">
        <v>4548</v>
      </c>
      <c r="C12731" s="17" t="s">
        <v>3614</v>
      </c>
      <c r="D12731" s="17" t="s">
        <v>1391</v>
      </c>
      <c r="E12731" s="17" t="s">
        <v>3615</v>
      </c>
      <c r="F12731" s="17" t="s">
        <v>1452</v>
      </c>
      <c r="G12731" s="18" t="n">
        <v>181.5</v>
      </c>
      <c r="H12731" s="18" t="n">
        <v>0</v>
      </c>
      <c r="I12731" s="18" t="n">
        <f aca="false">((I12730 + G12731) - H12731)</f>
        <v>-699.930000000001</v>
      </c>
      <c r="J12731" s="18" t="n">
        <v>0</v>
      </c>
      <c r="K12731" s="19" t="n">
        <v>0</v>
      </c>
      <c r="L12731" s="17"/>
    </row>
    <row r="12732" s="11" customFormat="true" ht="10.95" hidden="false" customHeight="true" outlineLevel="0" collapsed="false">
      <c r="A12732" s="16" t="n">
        <v>45202</v>
      </c>
      <c r="B12732" s="17" t="s">
        <v>4548</v>
      </c>
      <c r="C12732" s="17" t="s">
        <v>3614</v>
      </c>
      <c r="D12732" s="17" t="s">
        <v>1407</v>
      </c>
      <c r="E12732" s="17" t="s">
        <v>3865</v>
      </c>
      <c r="F12732" s="17"/>
      <c r="G12732" s="18" t="n">
        <v>7.5</v>
      </c>
      <c r="H12732" s="18" t="n">
        <v>0</v>
      </c>
      <c r="I12732" s="18" t="n">
        <f aca="false">((I12731 + G12732) - H12732)</f>
        <v>-692.430000000001</v>
      </c>
      <c r="J12732" s="18" t="n">
        <v>0</v>
      </c>
      <c r="K12732" s="19" t="n">
        <v>0</v>
      </c>
      <c r="L12732" s="17"/>
    </row>
    <row r="12733" s="11" customFormat="true" ht="10.95" hidden="false" customHeight="true" outlineLevel="0" collapsed="false">
      <c r="A12733" s="16" t="n">
        <v>45202</v>
      </c>
      <c r="B12733" s="17" t="s">
        <v>4548</v>
      </c>
      <c r="C12733" s="17" t="s">
        <v>3614</v>
      </c>
      <c r="D12733" s="17" t="s">
        <v>1407</v>
      </c>
      <c r="E12733" s="17" t="s">
        <v>4043</v>
      </c>
      <c r="F12733" s="17"/>
      <c r="G12733" s="18" t="n">
        <v>118.18</v>
      </c>
      <c r="H12733" s="18" t="n">
        <v>0</v>
      </c>
      <c r="I12733" s="18" t="n">
        <f aca="false">((I12732 + G12733) - H12733)</f>
        <v>-574.250000000001</v>
      </c>
      <c r="J12733" s="18" t="n">
        <v>0</v>
      </c>
      <c r="K12733" s="19" t="n">
        <v>0</v>
      </c>
      <c r="L12733" s="17"/>
    </row>
    <row r="12734" s="11" customFormat="true" ht="10.95" hidden="false" customHeight="true" outlineLevel="0" collapsed="false">
      <c r="A12734" s="16" t="n">
        <v>45203</v>
      </c>
      <c r="B12734" s="17" t="s">
        <v>4548</v>
      </c>
      <c r="C12734" s="17" t="s">
        <v>3614</v>
      </c>
      <c r="D12734" s="17" t="s">
        <v>1391</v>
      </c>
      <c r="E12734" s="17" t="s">
        <v>3626</v>
      </c>
      <c r="F12734" s="17" t="s">
        <v>2329</v>
      </c>
      <c r="G12734" s="18" t="n">
        <v>6.5</v>
      </c>
      <c r="H12734" s="18" t="n">
        <v>0</v>
      </c>
      <c r="I12734" s="18" t="n">
        <f aca="false">((I12733 + G12734) - H12734)</f>
        <v>-567.750000000001</v>
      </c>
      <c r="J12734" s="18" t="n">
        <v>0</v>
      </c>
      <c r="K12734" s="19" t="n">
        <v>0</v>
      </c>
      <c r="L12734" s="17"/>
    </row>
    <row r="12735" s="11" customFormat="true" ht="10.95" hidden="false" customHeight="true" outlineLevel="0" collapsed="false">
      <c r="A12735" s="16" t="n">
        <v>45203</v>
      </c>
      <c r="B12735" s="17" t="s">
        <v>4548</v>
      </c>
      <c r="C12735" s="17" t="s">
        <v>3614</v>
      </c>
      <c r="D12735" s="17" t="s">
        <v>1391</v>
      </c>
      <c r="E12735" s="17" t="s">
        <v>3638</v>
      </c>
      <c r="F12735" s="17" t="s">
        <v>3266</v>
      </c>
      <c r="G12735" s="18" t="n">
        <v>19.9</v>
      </c>
      <c r="H12735" s="18" t="n">
        <v>0</v>
      </c>
      <c r="I12735" s="18" t="n">
        <f aca="false">((I12734 + G12735) - H12735)</f>
        <v>-547.850000000001</v>
      </c>
      <c r="J12735" s="18" t="n">
        <v>0</v>
      </c>
      <c r="K12735" s="19" t="n">
        <v>0</v>
      </c>
      <c r="L12735" s="17"/>
    </row>
    <row r="12736" s="11" customFormat="true" ht="10.95" hidden="false" customHeight="true" outlineLevel="0" collapsed="false">
      <c r="A12736" s="16" t="n">
        <v>45204</v>
      </c>
      <c r="B12736" s="17" t="s">
        <v>4548</v>
      </c>
      <c r="C12736" s="17" t="s">
        <v>3614</v>
      </c>
      <c r="D12736" s="17" t="s">
        <v>1407</v>
      </c>
      <c r="E12736" s="17" t="s">
        <v>3642</v>
      </c>
      <c r="F12736" s="17"/>
      <c r="G12736" s="18" t="n">
        <v>1.72</v>
      </c>
      <c r="H12736" s="18" t="n">
        <v>0</v>
      </c>
      <c r="I12736" s="18" t="n">
        <f aca="false">((I12735 + G12736) - H12736)</f>
        <v>-546.130000000001</v>
      </c>
      <c r="J12736" s="18" t="n">
        <v>0</v>
      </c>
      <c r="K12736" s="19" t="n">
        <v>0</v>
      </c>
      <c r="L12736" s="17"/>
    </row>
    <row r="12737" s="11" customFormat="true" ht="10.95" hidden="false" customHeight="true" outlineLevel="0" collapsed="false">
      <c r="A12737" s="16" t="n">
        <v>45205</v>
      </c>
      <c r="B12737" s="17" t="s">
        <v>4548</v>
      </c>
      <c r="C12737" s="17" t="s">
        <v>3614</v>
      </c>
      <c r="D12737" s="17" t="s">
        <v>1407</v>
      </c>
      <c r="E12737" s="17" t="s">
        <v>3642</v>
      </c>
      <c r="F12737" s="17"/>
      <c r="G12737" s="18" t="n">
        <v>1.65</v>
      </c>
      <c r="H12737" s="18" t="n">
        <v>0</v>
      </c>
      <c r="I12737" s="18" t="n">
        <f aca="false">((I12736 + G12737) - H12737)</f>
        <v>-544.480000000001</v>
      </c>
      <c r="J12737" s="18" t="n">
        <v>0</v>
      </c>
      <c r="K12737" s="19" t="n">
        <v>0</v>
      </c>
      <c r="L12737" s="17"/>
    </row>
    <row r="12738" s="11" customFormat="true" ht="10.95" hidden="false" customHeight="true" outlineLevel="0" collapsed="false">
      <c r="A12738" s="16" t="n">
        <v>45205</v>
      </c>
      <c r="B12738" s="17" t="s">
        <v>4548</v>
      </c>
      <c r="C12738" s="17" t="s">
        <v>3614</v>
      </c>
      <c r="D12738" s="17" t="s">
        <v>1407</v>
      </c>
      <c r="E12738" s="17" t="s">
        <v>3888</v>
      </c>
      <c r="F12738" s="17"/>
      <c r="G12738" s="18" t="n">
        <v>292.49</v>
      </c>
      <c r="H12738" s="18" t="n">
        <v>0</v>
      </c>
      <c r="I12738" s="18" t="n">
        <f aca="false">((I12737 + G12738) - H12738)</f>
        <v>-251.990000000001</v>
      </c>
      <c r="J12738" s="18" t="n">
        <v>0</v>
      </c>
      <c r="K12738" s="19" t="n">
        <v>0</v>
      </c>
      <c r="L12738" s="17"/>
    </row>
    <row r="12739" s="11" customFormat="true" ht="10.95" hidden="false" customHeight="true" outlineLevel="0" collapsed="false">
      <c r="A12739" s="16" t="n">
        <v>45205</v>
      </c>
      <c r="B12739" s="17" t="s">
        <v>4548</v>
      </c>
      <c r="C12739" s="17" t="s">
        <v>3614</v>
      </c>
      <c r="D12739" s="17" t="s">
        <v>1276</v>
      </c>
      <c r="E12739" s="17" t="s">
        <v>3642</v>
      </c>
      <c r="F12739" s="17"/>
      <c r="G12739" s="18" t="n">
        <v>0</v>
      </c>
      <c r="H12739" s="18" t="n">
        <v>70.91</v>
      </c>
      <c r="I12739" s="18" t="n">
        <f aca="false">((I12738 + G12739) - H12739)</f>
        <v>-322.900000000001</v>
      </c>
      <c r="J12739" s="18" t="n">
        <v>0</v>
      </c>
      <c r="K12739" s="19" t="n">
        <v>0</v>
      </c>
      <c r="L12739" s="17"/>
    </row>
    <row r="12740" s="11" customFormat="true" ht="10.95" hidden="false" customHeight="true" outlineLevel="0" collapsed="false">
      <c r="A12740" s="16" t="n">
        <v>45206</v>
      </c>
      <c r="B12740" s="17" t="s">
        <v>4548</v>
      </c>
      <c r="C12740" s="17" t="s">
        <v>3614</v>
      </c>
      <c r="D12740" s="17" t="s">
        <v>1407</v>
      </c>
      <c r="E12740" s="17" t="s">
        <v>3756</v>
      </c>
      <c r="F12740" s="17"/>
      <c r="G12740" s="18" t="n">
        <v>1.49</v>
      </c>
      <c r="H12740" s="18" t="n">
        <v>0</v>
      </c>
      <c r="I12740" s="18" t="n">
        <f aca="false">((I12739 + G12740) - H12740)</f>
        <v>-321.410000000001</v>
      </c>
      <c r="J12740" s="18" t="n">
        <v>0</v>
      </c>
      <c r="K12740" s="19" t="n">
        <v>0</v>
      </c>
      <c r="L12740" s="17"/>
    </row>
    <row r="12741" s="11" customFormat="true" ht="10.95" hidden="false" customHeight="true" outlineLevel="0" collapsed="false">
      <c r="A12741" s="16" t="n">
        <v>45207</v>
      </c>
      <c r="B12741" s="17" t="s">
        <v>4548</v>
      </c>
      <c r="C12741" s="17" t="s">
        <v>3614</v>
      </c>
      <c r="D12741" s="17" t="s">
        <v>1391</v>
      </c>
      <c r="E12741" s="17" t="s">
        <v>3621</v>
      </c>
      <c r="F12741" s="17" t="s">
        <v>2651</v>
      </c>
      <c r="G12741" s="18" t="n">
        <v>9.54</v>
      </c>
      <c r="H12741" s="18" t="n">
        <v>0</v>
      </c>
      <c r="I12741" s="18" t="n">
        <f aca="false">((I12740 + G12741) - H12741)</f>
        <v>-311.870000000001</v>
      </c>
      <c r="J12741" s="18" t="n">
        <v>0</v>
      </c>
      <c r="K12741" s="19" t="n">
        <v>0</v>
      </c>
      <c r="L12741" s="17"/>
    </row>
    <row r="12742" s="11" customFormat="true" ht="10.95" hidden="false" customHeight="true" outlineLevel="0" collapsed="false">
      <c r="A12742" s="16" t="n">
        <v>45207</v>
      </c>
      <c r="B12742" s="17" t="s">
        <v>4548</v>
      </c>
      <c r="C12742" s="17" t="s">
        <v>3614</v>
      </c>
      <c r="D12742" s="17" t="s">
        <v>1391</v>
      </c>
      <c r="E12742" s="17" t="s">
        <v>3514</v>
      </c>
      <c r="F12742" s="17" t="s">
        <v>3586</v>
      </c>
      <c r="G12742" s="18" t="n">
        <v>275</v>
      </c>
      <c r="H12742" s="18" t="n">
        <v>0</v>
      </c>
      <c r="I12742" s="18" t="n">
        <f aca="false">((I12741 + G12742) - H12742)</f>
        <v>-36.8700000000013</v>
      </c>
      <c r="J12742" s="18" t="n">
        <v>0</v>
      </c>
      <c r="K12742" s="19" t="n">
        <v>0</v>
      </c>
      <c r="L12742" s="17"/>
    </row>
    <row r="12743" s="11" customFormat="true" ht="10.95" hidden="false" customHeight="true" outlineLevel="0" collapsed="false">
      <c r="A12743" s="16" t="n">
        <v>45208</v>
      </c>
      <c r="B12743" s="17" t="s">
        <v>4548</v>
      </c>
      <c r="C12743" s="17" t="s">
        <v>3614</v>
      </c>
      <c r="D12743" s="17" t="s">
        <v>1391</v>
      </c>
      <c r="E12743" s="17" t="s">
        <v>3639</v>
      </c>
      <c r="F12743" s="17" t="s">
        <v>1642</v>
      </c>
      <c r="G12743" s="18" t="n">
        <v>5.91</v>
      </c>
      <c r="H12743" s="18" t="n">
        <v>0</v>
      </c>
      <c r="I12743" s="18" t="n">
        <f aca="false">((I12742 + G12743) - H12743)</f>
        <v>-30.9600000000013</v>
      </c>
      <c r="J12743" s="18" t="n">
        <v>0</v>
      </c>
      <c r="K12743" s="19" t="n">
        <v>0</v>
      </c>
      <c r="L12743" s="17"/>
    </row>
    <row r="12744" s="11" customFormat="true" ht="10.95" hidden="false" customHeight="true" outlineLevel="0" collapsed="false">
      <c r="A12744" s="16" t="n">
        <v>45208</v>
      </c>
      <c r="B12744" s="17" t="s">
        <v>4548</v>
      </c>
      <c r="C12744" s="17" t="s">
        <v>3614</v>
      </c>
      <c r="D12744" s="17" t="s">
        <v>1391</v>
      </c>
      <c r="E12744" s="17" t="s">
        <v>3670</v>
      </c>
      <c r="F12744" s="17" t="s">
        <v>3364</v>
      </c>
      <c r="G12744" s="18" t="n">
        <v>13.64</v>
      </c>
      <c r="H12744" s="18" t="n">
        <v>0</v>
      </c>
      <c r="I12744" s="18" t="n">
        <f aca="false">((I12743 + G12744) - H12744)</f>
        <v>-17.3200000000013</v>
      </c>
      <c r="J12744" s="18" t="n">
        <v>0</v>
      </c>
      <c r="K12744" s="19" t="n">
        <v>0</v>
      </c>
      <c r="L12744" s="17"/>
    </row>
    <row r="12745" s="11" customFormat="true" ht="10.95" hidden="false" customHeight="true" outlineLevel="0" collapsed="false">
      <c r="A12745" s="16" t="n">
        <v>45208</v>
      </c>
      <c r="B12745" s="17" t="s">
        <v>4548</v>
      </c>
      <c r="C12745" s="17" t="s">
        <v>3614</v>
      </c>
      <c r="D12745" s="17" t="s">
        <v>1391</v>
      </c>
      <c r="E12745" s="17" t="s">
        <v>3638</v>
      </c>
      <c r="F12745" s="17" t="s">
        <v>3268</v>
      </c>
      <c r="G12745" s="18" t="n">
        <v>278.5</v>
      </c>
      <c r="H12745" s="18" t="n">
        <v>0</v>
      </c>
      <c r="I12745" s="18" t="n">
        <f aca="false">((I12744 + G12745) - H12745)</f>
        <v>261.179999999999</v>
      </c>
      <c r="J12745" s="18" t="n">
        <v>0</v>
      </c>
      <c r="K12745" s="19" t="n">
        <v>0</v>
      </c>
      <c r="L12745" s="17"/>
    </row>
    <row r="12746" s="11" customFormat="true" ht="10.95" hidden="false" customHeight="true" outlineLevel="0" collapsed="false">
      <c r="A12746" s="16" t="n">
        <v>45208</v>
      </c>
      <c r="B12746" s="17" t="s">
        <v>4548</v>
      </c>
      <c r="C12746" s="17" t="s">
        <v>3614</v>
      </c>
      <c r="D12746" s="17" t="s">
        <v>1391</v>
      </c>
      <c r="E12746" s="17" t="s">
        <v>3622</v>
      </c>
      <c r="F12746" s="17" t="s">
        <v>1454</v>
      </c>
      <c r="G12746" s="18" t="n">
        <v>157.62</v>
      </c>
      <c r="H12746" s="18" t="n">
        <v>0</v>
      </c>
      <c r="I12746" s="18" t="n">
        <f aca="false">((I12745 + G12746) - H12746)</f>
        <v>418.799999999999</v>
      </c>
      <c r="J12746" s="18" t="n">
        <v>0</v>
      </c>
      <c r="K12746" s="19" t="n">
        <v>0</v>
      </c>
      <c r="L12746" s="17"/>
    </row>
    <row r="12747" s="11" customFormat="true" ht="10.95" hidden="false" customHeight="true" outlineLevel="0" collapsed="false">
      <c r="A12747" s="16" t="n">
        <v>45209</v>
      </c>
      <c r="B12747" s="17" t="s">
        <v>4548</v>
      </c>
      <c r="C12747" s="17" t="s">
        <v>3614</v>
      </c>
      <c r="D12747" s="17" t="s">
        <v>1455</v>
      </c>
      <c r="E12747" s="17" t="s">
        <v>3622</v>
      </c>
      <c r="F12747" s="17" t="s">
        <v>1420</v>
      </c>
      <c r="G12747" s="18" t="n">
        <v>0</v>
      </c>
      <c r="H12747" s="18" t="n">
        <v>50</v>
      </c>
      <c r="I12747" s="18" t="n">
        <f aca="false">((I12746 + G12747) - H12747)</f>
        <v>368.799999999999</v>
      </c>
      <c r="J12747" s="18" t="n">
        <v>0</v>
      </c>
      <c r="K12747" s="19" t="n">
        <v>0</v>
      </c>
      <c r="L12747" s="17"/>
    </row>
    <row r="12748" s="11" customFormat="true" ht="10.95" hidden="false" customHeight="true" outlineLevel="0" collapsed="false">
      <c r="A12748" s="16" t="n">
        <v>45209</v>
      </c>
      <c r="B12748" s="17" t="s">
        <v>4548</v>
      </c>
      <c r="C12748" s="17" t="s">
        <v>3614</v>
      </c>
      <c r="D12748" s="17" t="s">
        <v>19</v>
      </c>
      <c r="E12748" s="17" t="s">
        <v>3447</v>
      </c>
      <c r="F12748" s="17" t="s">
        <v>287</v>
      </c>
      <c r="G12748" s="18" t="n">
        <v>0</v>
      </c>
      <c r="H12748" s="18" t="n">
        <v>13.05</v>
      </c>
      <c r="I12748" s="18" t="n">
        <f aca="false">((I12747 + G12748) - H12748)</f>
        <v>355.749999999999</v>
      </c>
      <c r="J12748" s="18" t="n">
        <v>0</v>
      </c>
      <c r="K12748" s="19" t="n">
        <v>0</v>
      </c>
      <c r="L12748" s="17"/>
    </row>
    <row r="12749" s="11" customFormat="true" ht="10.95" hidden="false" customHeight="true" outlineLevel="0" collapsed="false">
      <c r="A12749" s="16" t="n">
        <v>45209</v>
      </c>
      <c r="B12749" s="17" t="s">
        <v>4548</v>
      </c>
      <c r="C12749" s="17" t="s">
        <v>3614</v>
      </c>
      <c r="D12749" s="17" t="s">
        <v>162</v>
      </c>
      <c r="E12749" s="17" t="s">
        <v>3451</v>
      </c>
      <c r="F12749" s="17" t="s">
        <v>289</v>
      </c>
      <c r="G12749" s="18" t="n">
        <v>22</v>
      </c>
      <c r="H12749" s="18" t="n">
        <v>0</v>
      </c>
      <c r="I12749" s="18" t="n">
        <f aca="false">((I12748 + G12749) - H12749)</f>
        <v>377.749999999999</v>
      </c>
      <c r="J12749" s="18" t="n">
        <v>0</v>
      </c>
      <c r="K12749" s="19" t="n">
        <v>0</v>
      </c>
      <c r="L12749" s="17"/>
    </row>
    <row r="12750" s="11" customFormat="true" ht="10.95" hidden="false" customHeight="true" outlineLevel="0" collapsed="false">
      <c r="A12750" s="16" t="n">
        <v>45209</v>
      </c>
      <c r="B12750" s="17" t="s">
        <v>4548</v>
      </c>
      <c r="C12750" s="17" t="s">
        <v>3614</v>
      </c>
      <c r="D12750" s="17" t="s">
        <v>1407</v>
      </c>
      <c r="E12750" s="17" t="s">
        <v>3642</v>
      </c>
      <c r="F12750" s="17"/>
      <c r="G12750" s="18" t="n">
        <v>0.82</v>
      </c>
      <c r="H12750" s="18" t="n">
        <v>0</v>
      </c>
      <c r="I12750" s="18" t="n">
        <f aca="false">((I12749 + G12750) - H12750)</f>
        <v>378.569999999999</v>
      </c>
      <c r="J12750" s="18" t="n">
        <v>0</v>
      </c>
      <c r="K12750" s="19" t="n">
        <v>0</v>
      </c>
      <c r="L12750" s="17"/>
    </row>
    <row r="12751" s="11" customFormat="true" ht="10.95" hidden="false" customHeight="true" outlineLevel="0" collapsed="false">
      <c r="A12751" s="16" t="n">
        <v>45209</v>
      </c>
      <c r="B12751" s="17" t="s">
        <v>4548</v>
      </c>
      <c r="C12751" s="17" t="s">
        <v>3614</v>
      </c>
      <c r="D12751" s="17" t="s">
        <v>1407</v>
      </c>
      <c r="E12751" s="17" t="s">
        <v>3896</v>
      </c>
      <c r="F12751" s="17"/>
      <c r="G12751" s="18" t="n">
        <v>1.91</v>
      </c>
      <c r="H12751" s="18" t="n">
        <v>0</v>
      </c>
      <c r="I12751" s="18" t="n">
        <f aca="false">((I12750 + G12751) - H12751)</f>
        <v>380.479999999999</v>
      </c>
      <c r="J12751" s="18" t="n">
        <v>0</v>
      </c>
      <c r="K12751" s="19" t="n">
        <v>0</v>
      </c>
      <c r="L12751" s="17"/>
    </row>
    <row r="12752" s="11" customFormat="true" ht="10.95" hidden="false" customHeight="true" outlineLevel="0" collapsed="false">
      <c r="A12752" s="16" t="n">
        <v>45213</v>
      </c>
      <c r="B12752" s="17" t="s">
        <v>4548</v>
      </c>
      <c r="C12752" s="17" t="s">
        <v>3614</v>
      </c>
      <c r="D12752" s="17" t="s">
        <v>1391</v>
      </c>
      <c r="E12752" s="17" t="s">
        <v>3641</v>
      </c>
      <c r="F12752" s="17" t="s">
        <v>2654</v>
      </c>
      <c r="G12752" s="18" t="n">
        <v>20.29</v>
      </c>
      <c r="H12752" s="18" t="n">
        <v>0</v>
      </c>
      <c r="I12752" s="18" t="n">
        <f aca="false">((I12751 + G12752) - H12752)</f>
        <v>400.769999999999</v>
      </c>
      <c r="J12752" s="18" t="n">
        <v>0</v>
      </c>
      <c r="K12752" s="19" t="n">
        <v>0</v>
      </c>
      <c r="L12752" s="17"/>
    </row>
    <row r="12753" s="11" customFormat="true" ht="10.95" hidden="false" customHeight="true" outlineLevel="0" collapsed="false">
      <c r="A12753" s="16" t="n">
        <v>45215</v>
      </c>
      <c r="B12753" s="17" t="s">
        <v>4548</v>
      </c>
      <c r="C12753" s="17" t="s">
        <v>3614</v>
      </c>
      <c r="D12753" s="17" t="s">
        <v>1391</v>
      </c>
      <c r="E12753" s="17" t="s">
        <v>3684</v>
      </c>
      <c r="F12753" s="17" t="s">
        <v>2334</v>
      </c>
      <c r="G12753" s="18" t="n">
        <v>92.91</v>
      </c>
      <c r="H12753" s="18" t="n">
        <v>0</v>
      </c>
      <c r="I12753" s="18" t="n">
        <f aca="false">((I12752 + G12753) - H12753)</f>
        <v>493.679999999999</v>
      </c>
      <c r="J12753" s="18" t="n">
        <v>0</v>
      </c>
      <c r="K12753" s="19" t="n">
        <v>0</v>
      </c>
      <c r="L12753" s="17"/>
    </row>
    <row r="12754" s="11" customFormat="true" ht="10.95" hidden="false" customHeight="true" outlineLevel="0" collapsed="false">
      <c r="A12754" s="16" t="n">
        <v>45215</v>
      </c>
      <c r="B12754" s="17" t="s">
        <v>4548</v>
      </c>
      <c r="C12754" s="17" t="s">
        <v>3614</v>
      </c>
      <c r="D12754" s="17" t="s">
        <v>1391</v>
      </c>
      <c r="E12754" s="17" t="s">
        <v>3678</v>
      </c>
      <c r="F12754" s="17" t="s">
        <v>2043</v>
      </c>
      <c r="G12754" s="18" t="n">
        <v>604.43</v>
      </c>
      <c r="H12754" s="18" t="n">
        <v>0</v>
      </c>
      <c r="I12754" s="18" t="n">
        <f aca="false">((I12753 + G12754) - H12754)</f>
        <v>1098.11</v>
      </c>
      <c r="J12754" s="18" t="n">
        <v>0</v>
      </c>
      <c r="K12754" s="19" t="n">
        <v>0</v>
      </c>
      <c r="L12754" s="17"/>
    </row>
    <row r="12755" s="11" customFormat="true" ht="10.95" hidden="false" customHeight="true" outlineLevel="0" collapsed="false">
      <c r="A12755" s="16" t="n">
        <v>45216</v>
      </c>
      <c r="B12755" s="17" t="s">
        <v>4548</v>
      </c>
      <c r="C12755" s="17" t="s">
        <v>3614</v>
      </c>
      <c r="D12755" s="17" t="s">
        <v>1407</v>
      </c>
      <c r="E12755" s="17" t="s">
        <v>3975</v>
      </c>
      <c r="F12755" s="17"/>
      <c r="G12755" s="18" t="n">
        <v>7.44</v>
      </c>
      <c r="H12755" s="18" t="n">
        <v>0</v>
      </c>
      <c r="I12755" s="18" t="n">
        <f aca="false">((I12754 + G12755) - H12755)</f>
        <v>1105.55</v>
      </c>
      <c r="J12755" s="18" t="n">
        <v>0</v>
      </c>
      <c r="K12755" s="19" t="n">
        <v>0</v>
      </c>
      <c r="L12755" s="17"/>
    </row>
    <row r="12756" s="11" customFormat="true" ht="10.95" hidden="false" customHeight="true" outlineLevel="0" collapsed="false">
      <c r="A12756" s="16" t="n">
        <v>45217</v>
      </c>
      <c r="B12756" s="17" t="s">
        <v>4548</v>
      </c>
      <c r="C12756" s="17" t="s">
        <v>3614</v>
      </c>
      <c r="D12756" s="17" t="s">
        <v>1407</v>
      </c>
      <c r="E12756" s="17" t="s">
        <v>3900</v>
      </c>
      <c r="F12756" s="17"/>
      <c r="G12756" s="18" t="n">
        <v>1.36</v>
      </c>
      <c r="H12756" s="18" t="n">
        <v>0</v>
      </c>
      <c r="I12756" s="18" t="n">
        <f aca="false">((I12755 + G12756) - H12756)</f>
        <v>1106.91</v>
      </c>
      <c r="J12756" s="18" t="n">
        <v>0</v>
      </c>
      <c r="K12756" s="19" t="n">
        <v>0</v>
      </c>
      <c r="L12756" s="17"/>
    </row>
    <row r="12757" s="11" customFormat="true" ht="10.95" hidden="false" customHeight="true" outlineLevel="0" collapsed="false">
      <c r="A12757" s="16" t="n">
        <v>45217</v>
      </c>
      <c r="B12757" s="17" t="s">
        <v>4548</v>
      </c>
      <c r="C12757" s="17" t="s">
        <v>3614</v>
      </c>
      <c r="D12757" s="17" t="s">
        <v>1407</v>
      </c>
      <c r="E12757" s="17" t="s">
        <v>3901</v>
      </c>
      <c r="F12757" s="17"/>
      <c r="G12757" s="18" t="n">
        <v>7.8</v>
      </c>
      <c r="H12757" s="18" t="n">
        <v>0</v>
      </c>
      <c r="I12757" s="18" t="n">
        <f aca="false">((I12756 + G12757) - H12757)</f>
        <v>1114.71</v>
      </c>
      <c r="J12757" s="18" t="n">
        <v>0</v>
      </c>
      <c r="K12757" s="19" t="n">
        <v>0</v>
      </c>
      <c r="L12757" s="17"/>
    </row>
    <row r="12758" s="11" customFormat="true" ht="10.95" hidden="false" customHeight="true" outlineLevel="0" collapsed="false">
      <c r="A12758" s="16" t="n">
        <v>45217</v>
      </c>
      <c r="B12758" s="17" t="s">
        <v>4548</v>
      </c>
      <c r="C12758" s="17" t="s">
        <v>3614</v>
      </c>
      <c r="D12758" s="17" t="s">
        <v>1407</v>
      </c>
      <c r="E12758" s="17" t="s">
        <v>3900</v>
      </c>
      <c r="F12758" s="17"/>
      <c r="G12758" s="18" t="n">
        <v>9.09</v>
      </c>
      <c r="H12758" s="18" t="n">
        <v>0</v>
      </c>
      <c r="I12758" s="18" t="n">
        <f aca="false">((I12757 + G12758) - H12758)</f>
        <v>1123.8</v>
      </c>
      <c r="J12758" s="18" t="n">
        <v>0</v>
      </c>
      <c r="K12758" s="19" t="n">
        <v>0</v>
      </c>
      <c r="L12758" s="17"/>
    </row>
    <row r="12759" s="11" customFormat="true" ht="10.95" hidden="false" customHeight="true" outlineLevel="0" collapsed="false">
      <c r="A12759" s="16" t="n">
        <v>45217</v>
      </c>
      <c r="B12759" s="17" t="s">
        <v>4548</v>
      </c>
      <c r="C12759" s="17" t="s">
        <v>3614</v>
      </c>
      <c r="D12759" s="17" t="s">
        <v>1407</v>
      </c>
      <c r="E12759" s="17" t="s">
        <v>2747</v>
      </c>
      <c r="F12759" s="17"/>
      <c r="G12759" s="18" t="n">
        <v>2.73</v>
      </c>
      <c r="H12759" s="18" t="n">
        <v>0</v>
      </c>
      <c r="I12759" s="18" t="n">
        <f aca="false">((I12758 + G12759) - H12759)</f>
        <v>1126.53</v>
      </c>
      <c r="J12759" s="18" t="n">
        <v>0</v>
      </c>
      <c r="K12759" s="19" t="n">
        <v>0</v>
      </c>
      <c r="L12759" s="17"/>
    </row>
    <row r="12760" s="11" customFormat="true" ht="10.95" hidden="false" customHeight="true" outlineLevel="0" collapsed="false">
      <c r="A12760" s="16" t="n">
        <v>45217</v>
      </c>
      <c r="B12760" s="17" t="s">
        <v>4548</v>
      </c>
      <c r="C12760" s="17" t="s">
        <v>3614</v>
      </c>
      <c r="D12760" s="17" t="s">
        <v>1391</v>
      </c>
      <c r="E12760" s="17" t="s">
        <v>3642</v>
      </c>
      <c r="F12760" s="17" t="s">
        <v>2338</v>
      </c>
      <c r="G12760" s="18" t="n">
        <v>2.2</v>
      </c>
      <c r="H12760" s="18" t="n">
        <v>0</v>
      </c>
      <c r="I12760" s="18" t="n">
        <f aca="false">((I12759 + G12760) - H12760)</f>
        <v>1128.73</v>
      </c>
      <c r="J12760" s="18" t="n">
        <v>0</v>
      </c>
      <c r="K12760" s="19" t="n">
        <v>0</v>
      </c>
      <c r="L12760" s="17"/>
    </row>
    <row r="12761" s="11" customFormat="true" ht="10.95" hidden="false" customHeight="true" outlineLevel="0" collapsed="false">
      <c r="A12761" s="16" t="n">
        <v>45217</v>
      </c>
      <c r="B12761" s="17" t="s">
        <v>4548</v>
      </c>
      <c r="C12761" s="17" t="s">
        <v>3614</v>
      </c>
      <c r="D12761" s="17" t="s">
        <v>1391</v>
      </c>
      <c r="E12761" s="17" t="s">
        <v>3642</v>
      </c>
      <c r="F12761" s="17" t="s">
        <v>2340</v>
      </c>
      <c r="G12761" s="18" t="n">
        <v>0.82</v>
      </c>
      <c r="H12761" s="18" t="n">
        <v>0</v>
      </c>
      <c r="I12761" s="18" t="n">
        <f aca="false">((I12760 + G12761) - H12761)</f>
        <v>1129.55</v>
      </c>
      <c r="J12761" s="18" t="n">
        <v>0</v>
      </c>
      <c r="K12761" s="19" t="n">
        <v>0</v>
      </c>
      <c r="L12761" s="17"/>
    </row>
    <row r="12762" s="11" customFormat="true" ht="10.95" hidden="false" customHeight="true" outlineLevel="0" collapsed="false">
      <c r="A12762" s="16" t="n">
        <v>45217</v>
      </c>
      <c r="B12762" s="17" t="s">
        <v>4548</v>
      </c>
      <c r="C12762" s="17" t="s">
        <v>3614</v>
      </c>
      <c r="D12762" s="17" t="s">
        <v>1391</v>
      </c>
      <c r="E12762" s="17" t="s">
        <v>3642</v>
      </c>
      <c r="F12762" s="17" t="s">
        <v>2342</v>
      </c>
      <c r="G12762" s="18" t="n">
        <v>6.2</v>
      </c>
      <c r="H12762" s="18" t="n">
        <v>0</v>
      </c>
      <c r="I12762" s="18" t="n">
        <f aca="false">((I12761 + G12762) - H12762)</f>
        <v>1135.75</v>
      </c>
      <c r="J12762" s="18" t="n">
        <v>0</v>
      </c>
      <c r="K12762" s="19" t="n">
        <v>0</v>
      </c>
      <c r="L12762" s="17"/>
    </row>
    <row r="12763" s="11" customFormat="true" ht="10.95" hidden="false" customHeight="true" outlineLevel="0" collapsed="false">
      <c r="A12763" s="16" t="n">
        <v>45217</v>
      </c>
      <c r="B12763" s="17" t="s">
        <v>4548</v>
      </c>
      <c r="C12763" s="17" t="s">
        <v>3614</v>
      </c>
      <c r="D12763" s="17" t="s">
        <v>1391</v>
      </c>
      <c r="E12763" s="17" t="s">
        <v>3642</v>
      </c>
      <c r="F12763" s="17" t="s">
        <v>2344</v>
      </c>
      <c r="G12763" s="18" t="n">
        <v>5.5</v>
      </c>
      <c r="H12763" s="18" t="n">
        <v>0</v>
      </c>
      <c r="I12763" s="18" t="n">
        <f aca="false">((I12762 + G12763) - H12763)</f>
        <v>1141.25</v>
      </c>
      <c r="J12763" s="18" t="n">
        <v>0</v>
      </c>
      <c r="K12763" s="19" t="n">
        <v>0</v>
      </c>
      <c r="L12763" s="17"/>
    </row>
    <row r="12764" s="11" customFormat="true" ht="10.95" hidden="false" customHeight="true" outlineLevel="0" collapsed="false">
      <c r="A12764" s="16" t="n">
        <v>45217</v>
      </c>
      <c r="B12764" s="17" t="s">
        <v>4548</v>
      </c>
      <c r="C12764" s="17" t="s">
        <v>3614</v>
      </c>
      <c r="D12764" s="17" t="s">
        <v>1391</v>
      </c>
      <c r="E12764" s="17" t="s">
        <v>3642</v>
      </c>
      <c r="F12764" s="17" t="s">
        <v>2346</v>
      </c>
      <c r="G12764" s="18" t="n">
        <v>19.98</v>
      </c>
      <c r="H12764" s="18" t="n">
        <v>0</v>
      </c>
      <c r="I12764" s="18" t="n">
        <f aca="false">((I12763 + G12764) - H12764)</f>
        <v>1161.23</v>
      </c>
      <c r="J12764" s="18" t="n">
        <v>0</v>
      </c>
      <c r="K12764" s="19" t="n">
        <v>0</v>
      </c>
      <c r="L12764" s="17"/>
    </row>
    <row r="12765" s="11" customFormat="true" ht="10.95" hidden="false" customHeight="true" outlineLevel="0" collapsed="false">
      <c r="A12765" s="16" t="n">
        <v>45217</v>
      </c>
      <c r="B12765" s="17" t="s">
        <v>4548</v>
      </c>
      <c r="C12765" s="17" t="s">
        <v>3614</v>
      </c>
      <c r="D12765" s="17" t="s">
        <v>1391</v>
      </c>
      <c r="E12765" s="17" t="s">
        <v>3642</v>
      </c>
      <c r="F12765" s="17" t="s">
        <v>2348</v>
      </c>
      <c r="G12765" s="18" t="n">
        <v>6.96</v>
      </c>
      <c r="H12765" s="18" t="n">
        <v>0</v>
      </c>
      <c r="I12765" s="18" t="n">
        <f aca="false">((I12764 + G12765) - H12765)</f>
        <v>1168.19</v>
      </c>
      <c r="J12765" s="18" t="n">
        <v>0</v>
      </c>
      <c r="K12765" s="19" t="n">
        <v>0</v>
      </c>
      <c r="L12765" s="17"/>
    </row>
    <row r="12766" s="11" customFormat="true" ht="10.95" hidden="false" customHeight="true" outlineLevel="0" collapsed="false">
      <c r="A12766" s="16" t="n">
        <v>45217</v>
      </c>
      <c r="B12766" s="17" t="s">
        <v>4548</v>
      </c>
      <c r="C12766" s="17" t="s">
        <v>3614</v>
      </c>
      <c r="D12766" s="17" t="s">
        <v>1391</v>
      </c>
      <c r="E12766" s="17" t="s">
        <v>3642</v>
      </c>
      <c r="F12766" s="17" t="s">
        <v>2350</v>
      </c>
      <c r="G12766" s="18" t="n">
        <v>4.12</v>
      </c>
      <c r="H12766" s="18" t="n">
        <v>0</v>
      </c>
      <c r="I12766" s="18" t="n">
        <f aca="false">((I12765 + G12766) - H12766)</f>
        <v>1172.31</v>
      </c>
      <c r="J12766" s="18" t="n">
        <v>0</v>
      </c>
      <c r="K12766" s="19" t="n">
        <v>0</v>
      </c>
      <c r="L12766" s="17"/>
    </row>
    <row r="12767" s="11" customFormat="true" ht="10.95" hidden="false" customHeight="true" outlineLevel="0" collapsed="false">
      <c r="A12767" s="16" t="n">
        <v>45217</v>
      </c>
      <c r="B12767" s="17" t="s">
        <v>4548</v>
      </c>
      <c r="C12767" s="17" t="s">
        <v>3614</v>
      </c>
      <c r="D12767" s="17" t="s">
        <v>1391</v>
      </c>
      <c r="E12767" s="17" t="s">
        <v>3642</v>
      </c>
      <c r="F12767" s="17" t="s">
        <v>2352</v>
      </c>
      <c r="G12767" s="18" t="n">
        <v>3.02</v>
      </c>
      <c r="H12767" s="18" t="n">
        <v>0</v>
      </c>
      <c r="I12767" s="18" t="n">
        <f aca="false">((I12766 + G12767) - H12767)</f>
        <v>1175.33</v>
      </c>
      <c r="J12767" s="18" t="n">
        <v>0</v>
      </c>
      <c r="K12767" s="19" t="n">
        <v>0</v>
      </c>
      <c r="L12767" s="17"/>
    </row>
    <row r="12768" s="11" customFormat="true" ht="10.95" hidden="false" customHeight="true" outlineLevel="0" collapsed="false">
      <c r="A12768" s="16" t="n">
        <v>45217</v>
      </c>
      <c r="B12768" s="17" t="s">
        <v>4548</v>
      </c>
      <c r="C12768" s="17" t="s">
        <v>3614</v>
      </c>
      <c r="D12768" s="17" t="s">
        <v>1407</v>
      </c>
      <c r="E12768" s="17" t="s">
        <v>3882</v>
      </c>
      <c r="F12768" s="17"/>
      <c r="G12768" s="18" t="n">
        <v>3.33</v>
      </c>
      <c r="H12768" s="18" t="n">
        <v>0</v>
      </c>
      <c r="I12768" s="18" t="n">
        <f aca="false">((I12767 + G12768) - H12768)</f>
        <v>1178.66</v>
      </c>
      <c r="J12768" s="18" t="n">
        <v>0</v>
      </c>
      <c r="K12768" s="19" t="n">
        <v>0</v>
      </c>
      <c r="L12768" s="17"/>
    </row>
    <row r="12769" s="11" customFormat="true" ht="10.95" hidden="false" customHeight="true" outlineLevel="0" collapsed="false">
      <c r="A12769" s="16" t="n">
        <v>45218</v>
      </c>
      <c r="B12769" s="17" t="s">
        <v>4548</v>
      </c>
      <c r="C12769" s="17" t="s">
        <v>3614</v>
      </c>
      <c r="D12769" s="17" t="s">
        <v>1407</v>
      </c>
      <c r="E12769" s="17" t="s">
        <v>3902</v>
      </c>
      <c r="F12769" s="17"/>
      <c r="G12769" s="18" t="n">
        <v>24.77</v>
      </c>
      <c r="H12769" s="18" t="n">
        <v>0</v>
      </c>
      <c r="I12769" s="18" t="n">
        <f aca="false">((I12768 + G12769) - H12769)</f>
        <v>1203.43</v>
      </c>
      <c r="J12769" s="18" t="n">
        <v>0</v>
      </c>
      <c r="K12769" s="19" t="n">
        <v>0</v>
      </c>
      <c r="L12769" s="17"/>
    </row>
    <row r="12770" s="11" customFormat="true" ht="10.95" hidden="false" customHeight="true" outlineLevel="0" collapsed="false">
      <c r="A12770" s="16" t="n">
        <v>45219</v>
      </c>
      <c r="B12770" s="17" t="s">
        <v>4548</v>
      </c>
      <c r="C12770" s="17" t="s">
        <v>3614</v>
      </c>
      <c r="D12770" s="17" t="s">
        <v>1276</v>
      </c>
      <c r="E12770" s="17" t="s">
        <v>3642</v>
      </c>
      <c r="F12770" s="17"/>
      <c r="G12770" s="18" t="n">
        <v>0</v>
      </c>
      <c r="H12770" s="18" t="n">
        <v>70.91</v>
      </c>
      <c r="I12770" s="18" t="n">
        <f aca="false">((I12769 + G12770) - H12770)</f>
        <v>1132.52</v>
      </c>
      <c r="J12770" s="18" t="n">
        <v>0</v>
      </c>
      <c r="K12770" s="19" t="n">
        <v>0</v>
      </c>
      <c r="L12770" s="17"/>
    </row>
    <row r="12771" s="11" customFormat="true" ht="10.95" hidden="false" customHeight="true" outlineLevel="0" collapsed="false">
      <c r="A12771" s="16" t="n">
        <v>45219</v>
      </c>
      <c r="B12771" s="17" t="s">
        <v>4548</v>
      </c>
      <c r="C12771" s="17" t="s">
        <v>3614</v>
      </c>
      <c r="D12771" s="17" t="s">
        <v>1391</v>
      </c>
      <c r="E12771" s="17" t="s">
        <v>3668</v>
      </c>
      <c r="F12771" s="17" t="s">
        <v>2355</v>
      </c>
      <c r="G12771" s="18" t="n">
        <v>8.82</v>
      </c>
      <c r="H12771" s="18" t="n">
        <v>0</v>
      </c>
      <c r="I12771" s="18" t="n">
        <f aca="false">((I12770 + G12771) - H12771)</f>
        <v>1141.34</v>
      </c>
      <c r="J12771" s="18" t="n">
        <v>0</v>
      </c>
      <c r="K12771" s="19" t="n">
        <v>0</v>
      </c>
      <c r="L12771" s="17"/>
    </row>
    <row r="12772" s="11" customFormat="true" ht="10.95" hidden="false" customHeight="true" outlineLevel="0" collapsed="false">
      <c r="A12772" s="16" t="n">
        <v>45221</v>
      </c>
      <c r="B12772" s="17" t="s">
        <v>4548</v>
      </c>
      <c r="C12772" s="17" t="s">
        <v>3614</v>
      </c>
      <c r="D12772" s="17" t="s">
        <v>1391</v>
      </c>
      <c r="E12772" s="17" t="s">
        <v>3638</v>
      </c>
      <c r="F12772" s="17" t="s">
        <v>3270</v>
      </c>
      <c r="G12772" s="18" t="n">
        <v>264.1</v>
      </c>
      <c r="H12772" s="18" t="n">
        <v>0</v>
      </c>
      <c r="I12772" s="18" t="n">
        <f aca="false">((I12771 + G12772) - H12772)</f>
        <v>1405.44</v>
      </c>
      <c r="J12772" s="18" t="n">
        <v>0</v>
      </c>
      <c r="K12772" s="19" t="n">
        <v>0</v>
      </c>
      <c r="L12772" s="17"/>
    </row>
    <row r="12773" s="11" customFormat="true" ht="10.95" hidden="false" customHeight="true" outlineLevel="0" collapsed="false">
      <c r="A12773" s="16" t="n">
        <v>45221</v>
      </c>
      <c r="B12773" s="17" t="s">
        <v>4548</v>
      </c>
      <c r="C12773" s="17" t="s">
        <v>3614</v>
      </c>
      <c r="D12773" s="17" t="s">
        <v>1391</v>
      </c>
      <c r="E12773" s="17" t="s">
        <v>1536</v>
      </c>
      <c r="F12773" s="17" t="s">
        <v>2357</v>
      </c>
      <c r="G12773" s="18" t="n">
        <v>26.93</v>
      </c>
      <c r="H12773" s="18" t="n">
        <v>0</v>
      </c>
      <c r="I12773" s="18" t="n">
        <f aca="false">((I12772 + G12773) - H12773)</f>
        <v>1432.37</v>
      </c>
      <c r="J12773" s="18" t="n">
        <v>0</v>
      </c>
      <c r="K12773" s="19" t="n">
        <v>0</v>
      </c>
      <c r="L12773" s="17"/>
    </row>
    <row r="12774" s="11" customFormat="true" ht="10.95" hidden="false" customHeight="true" outlineLevel="0" collapsed="false">
      <c r="A12774" s="16" t="n">
        <v>45222</v>
      </c>
      <c r="B12774" s="17" t="s">
        <v>4548</v>
      </c>
      <c r="C12774" s="17" t="s">
        <v>3614</v>
      </c>
      <c r="D12774" s="17" t="s">
        <v>19</v>
      </c>
      <c r="E12774" s="17" t="s">
        <v>3501</v>
      </c>
      <c r="F12774" s="17" t="s">
        <v>290</v>
      </c>
      <c r="G12774" s="18" t="n">
        <v>0</v>
      </c>
      <c r="H12774" s="18" t="n">
        <v>14.3</v>
      </c>
      <c r="I12774" s="18" t="n">
        <f aca="false">((I12773 + G12774) - H12774)</f>
        <v>1418.07</v>
      </c>
      <c r="J12774" s="18" t="n">
        <v>0</v>
      </c>
      <c r="K12774" s="19" t="n">
        <v>0</v>
      </c>
      <c r="L12774" s="17"/>
    </row>
    <row r="12775" s="11" customFormat="true" ht="10.95" hidden="false" customHeight="true" outlineLevel="0" collapsed="false">
      <c r="A12775" s="16" t="n">
        <v>45222</v>
      </c>
      <c r="B12775" s="17" t="s">
        <v>4548</v>
      </c>
      <c r="C12775" s="17" t="s">
        <v>3614</v>
      </c>
      <c r="D12775" s="17" t="s">
        <v>19</v>
      </c>
      <c r="E12775" s="17" t="s">
        <v>3502</v>
      </c>
      <c r="F12775" s="17" t="s">
        <v>291</v>
      </c>
      <c r="G12775" s="18" t="n">
        <v>0</v>
      </c>
      <c r="H12775" s="18" t="n">
        <v>18.15</v>
      </c>
      <c r="I12775" s="18" t="n">
        <f aca="false">((I12774 + G12775) - H12775)</f>
        <v>1399.92</v>
      </c>
      <c r="J12775" s="18" t="n">
        <v>0</v>
      </c>
      <c r="K12775" s="19" t="n">
        <v>0</v>
      </c>
      <c r="L12775" s="17"/>
    </row>
    <row r="12776" s="11" customFormat="true" ht="10.95" hidden="false" customHeight="true" outlineLevel="0" collapsed="false">
      <c r="A12776" s="16" t="n">
        <v>45222</v>
      </c>
      <c r="B12776" s="17" t="s">
        <v>4548</v>
      </c>
      <c r="C12776" s="17" t="s">
        <v>3614</v>
      </c>
      <c r="D12776" s="17" t="s">
        <v>19</v>
      </c>
      <c r="E12776" s="17" t="s">
        <v>3490</v>
      </c>
      <c r="F12776" s="17" t="s">
        <v>292</v>
      </c>
      <c r="G12776" s="18" t="n">
        <v>0</v>
      </c>
      <c r="H12776" s="18" t="n">
        <v>94.05</v>
      </c>
      <c r="I12776" s="18" t="n">
        <f aca="false">((I12775 + G12776) - H12776)</f>
        <v>1305.87</v>
      </c>
      <c r="J12776" s="18" t="n">
        <v>0</v>
      </c>
      <c r="K12776" s="19" t="n">
        <v>0</v>
      </c>
      <c r="L12776" s="17"/>
    </row>
    <row r="12777" s="11" customFormat="true" ht="10.95" hidden="false" customHeight="true" outlineLevel="0" collapsed="false">
      <c r="A12777" s="16" t="n">
        <v>45222</v>
      </c>
      <c r="B12777" s="17" t="s">
        <v>4548</v>
      </c>
      <c r="C12777" s="17" t="s">
        <v>3614</v>
      </c>
      <c r="D12777" s="17" t="s">
        <v>19</v>
      </c>
      <c r="E12777" s="17" t="s">
        <v>3424</v>
      </c>
      <c r="F12777" s="17" t="s">
        <v>293</v>
      </c>
      <c r="G12777" s="18" t="n">
        <v>0</v>
      </c>
      <c r="H12777" s="18" t="n">
        <v>37.6</v>
      </c>
      <c r="I12777" s="18" t="n">
        <f aca="false">((I12776 + G12777) - H12777)</f>
        <v>1268.27</v>
      </c>
      <c r="J12777" s="18" t="n">
        <v>0</v>
      </c>
      <c r="K12777" s="19" t="n">
        <v>0</v>
      </c>
      <c r="L12777" s="17"/>
    </row>
    <row r="12778" s="11" customFormat="true" ht="10.95" hidden="false" customHeight="true" outlineLevel="0" collapsed="false">
      <c r="A12778" s="16" t="n">
        <v>45222</v>
      </c>
      <c r="B12778" s="17" t="s">
        <v>4548</v>
      </c>
      <c r="C12778" s="17" t="s">
        <v>3614</v>
      </c>
      <c r="D12778" s="17" t="s">
        <v>19</v>
      </c>
      <c r="E12778" s="17" t="s">
        <v>3426</v>
      </c>
      <c r="F12778" s="17" t="s">
        <v>294</v>
      </c>
      <c r="G12778" s="18" t="n">
        <v>0</v>
      </c>
      <c r="H12778" s="18" t="n">
        <v>126</v>
      </c>
      <c r="I12778" s="18" t="n">
        <f aca="false">((I12777 + G12778) - H12778)</f>
        <v>1142.27</v>
      </c>
      <c r="J12778" s="18" t="n">
        <v>0</v>
      </c>
      <c r="K12778" s="19" t="n">
        <v>0</v>
      </c>
      <c r="L12778" s="17"/>
    </row>
    <row r="12779" s="11" customFormat="true" ht="10.95" hidden="false" customHeight="true" outlineLevel="0" collapsed="false">
      <c r="A12779" s="16" t="n">
        <v>45222</v>
      </c>
      <c r="B12779" s="17" t="s">
        <v>4548</v>
      </c>
      <c r="C12779" s="17" t="s">
        <v>3614</v>
      </c>
      <c r="D12779" s="17" t="s">
        <v>19</v>
      </c>
      <c r="E12779" s="17" t="s">
        <v>3427</v>
      </c>
      <c r="F12779" s="17" t="s">
        <v>295</v>
      </c>
      <c r="G12779" s="18" t="n">
        <v>0</v>
      </c>
      <c r="H12779" s="18" t="n">
        <v>51</v>
      </c>
      <c r="I12779" s="18" t="n">
        <f aca="false">((I12778 + G12779) - H12779)</f>
        <v>1091.27</v>
      </c>
      <c r="J12779" s="18" t="n">
        <v>0</v>
      </c>
      <c r="K12779" s="19" t="n">
        <v>0</v>
      </c>
      <c r="L12779" s="17"/>
    </row>
    <row r="12780" s="11" customFormat="true" ht="10.95" hidden="false" customHeight="true" outlineLevel="0" collapsed="false">
      <c r="A12780" s="16" t="n">
        <v>45222</v>
      </c>
      <c r="B12780" s="17" t="s">
        <v>4548</v>
      </c>
      <c r="C12780" s="17" t="s">
        <v>3614</v>
      </c>
      <c r="D12780" s="17" t="s">
        <v>19</v>
      </c>
      <c r="E12780" s="17" t="s">
        <v>3428</v>
      </c>
      <c r="F12780" s="17" t="s">
        <v>296</v>
      </c>
      <c r="G12780" s="18" t="n">
        <v>0</v>
      </c>
      <c r="H12780" s="18" t="n">
        <v>83.6</v>
      </c>
      <c r="I12780" s="18" t="n">
        <f aca="false">((I12779 + G12780) - H12780)</f>
        <v>1007.67</v>
      </c>
      <c r="J12780" s="18" t="n">
        <v>0</v>
      </c>
      <c r="K12780" s="19" t="n">
        <v>0</v>
      </c>
      <c r="L12780" s="17"/>
    </row>
    <row r="12781" s="11" customFormat="true" ht="10.95" hidden="false" customHeight="true" outlineLevel="0" collapsed="false">
      <c r="A12781" s="16" t="n">
        <v>45222</v>
      </c>
      <c r="B12781" s="17" t="s">
        <v>4548</v>
      </c>
      <c r="C12781" s="17" t="s">
        <v>3614</v>
      </c>
      <c r="D12781" s="17" t="s">
        <v>19</v>
      </c>
      <c r="E12781" s="17" t="s">
        <v>3429</v>
      </c>
      <c r="F12781" s="17" t="s">
        <v>297</v>
      </c>
      <c r="G12781" s="18" t="n">
        <v>0</v>
      </c>
      <c r="H12781" s="18" t="n">
        <v>8.5</v>
      </c>
      <c r="I12781" s="18" t="n">
        <f aca="false">((I12780 + G12781) - H12781)</f>
        <v>999.169999999998</v>
      </c>
      <c r="J12781" s="18" t="n">
        <v>0</v>
      </c>
      <c r="K12781" s="19" t="n">
        <v>0</v>
      </c>
      <c r="L12781" s="17"/>
    </row>
    <row r="12782" s="11" customFormat="true" ht="10.95" hidden="false" customHeight="true" outlineLevel="0" collapsed="false">
      <c r="A12782" s="16" t="n">
        <v>45222</v>
      </c>
      <c r="B12782" s="17" t="s">
        <v>4548</v>
      </c>
      <c r="C12782" s="17" t="s">
        <v>3614</v>
      </c>
      <c r="D12782" s="17" t="s">
        <v>19</v>
      </c>
      <c r="E12782" s="17" t="s">
        <v>3431</v>
      </c>
      <c r="F12782" s="17" t="s">
        <v>298</v>
      </c>
      <c r="G12782" s="18" t="n">
        <v>0</v>
      </c>
      <c r="H12782" s="18" t="n">
        <v>32.5</v>
      </c>
      <c r="I12782" s="18" t="n">
        <f aca="false">((I12781 + G12782) - H12782)</f>
        <v>966.669999999998</v>
      </c>
      <c r="J12782" s="18" t="n">
        <v>0</v>
      </c>
      <c r="K12782" s="19" t="n">
        <v>0</v>
      </c>
      <c r="L12782" s="17"/>
    </row>
    <row r="12783" s="11" customFormat="true" ht="10.95" hidden="false" customHeight="true" outlineLevel="0" collapsed="false">
      <c r="A12783" s="16" t="n">
        <v>45222</v>
      </c>
      <c r="B12783" s="17" t="s">
        <v>4548</v>
      </c>
      <c r="C12783" s="17" t="s">
        <v>3614</v>
      </c>
      <c r="D12783" s="17" t="s">
        <v>19</v>
      </c>
      <c r="E12783" s="17" t="s">
        <v>3432</v>
      </c>
      <c r="F12783" s="17" t="s">
        <v>299</v>
      </c>
      <c r="G12783" s="18" t="n">
        <v>0</v>
      </c>
      <c r="H12783" s="18" t="n">
        <v>99.5</v>
      </c>
      <c r="I12783" s="18" t="n">
        <f aca="false">((I12782 + G12783) - H12783)</f>
        <v>867.169999999998</v>
      </c>
      <c r="J12783" s="18" t="n">
        <v>0</v>
      </c>
      <c r="K12783" s="19" t="n">
        <v>0</v>
      </c>
      <c r="L12783" s="17"/>
    </row>
    <row r="12784" s="11" customFormat="true" ht="10.95" hidden="false" customHeight="true" outlineLevel="0" collapsed="false">
      <c r="A12784" s="16" t="n">
        <v>45222</v>
      </c>
      <c r="B12784" s="17" t="s">
        <v>4548</v>
      </c>
      <c r="C12784" s="17" t="s">
        <v>3614</v>
      </c>
      <c r="D12784" s="17" t="s">
        <v>19</v>
      </c>
      <c r="E12784" s="17" t="s">
        <v>3433</v>
      </c>
      <c r="F12784" s="17" t="s">
        <v>300</v>
      </c>
      <c r="G12784" s="18" t="n">
        <v>0</v>
      </c>
      <c r="H12784" s="18" t="n">
        <v>382.5</v>
      </c>
      <c r="I12784" s="18" t="n">
        <f aca="false">((I12783 + G12784) - H12784)</f>
        <v>484.669999999998</v>
      </c>
      <c r="J12784" s="18" t="n">
        <v>0</v>
      </c>
      <c r="K12784" s="19" t="n">
        <v>0</v>
      </c>
      <c r="L12784" s="17"/>
    </row>
    <row r="12785" s="11" customFormat="true" ht="10.95" hidden="false" customHeight="true" outlineLevel="0" collapsed="false">
      <c r="A12785" s="16" t="n">
        <v>45222</v>
      </c>
      <c r="B12785" s="17" t="s">
        <v>4548</v>
      </c>
      <c r="C12785" s="17" t="s">
        <v>3614</v>
      </c>
      <c r="D12785" s="17" t="s">
        <v>19</v>
      </c>
      <c r="E12785" s="17" t="s">
        <v>3433</v>
      </c>
      <c r="F12785" s="17" t="s">
        <v>301</v>
      </c>
      <c r="G12785" s="18" t="n">
        <v>0</v>
      </c>
      <c r="H12785" s="18" t="n">
        <v>380.2</v>
      </c>
      <c r="I12785" s="18" t="n">
        <f aca="false">((I12784 + G12785) - H12785)</f>
        <v>104.469999999998</v>
      </c>
      <c r="J12785" s="18" t="n">
        <v>0</v>
      </c>
      <c r="K12785" s="19" t="n">
        <v>0</v>
      </c>
      <c r="L12785" s="17"/>
    </row>
    <row r="12786" s="11" customFormat="true" ht="10.95" hidden="false" customHeight="true" outlineLevel="0" collapsed="false">
      <c r="A12786" s="16" t="n">
        <v>45222</v>
      </c>
      <c r="B12786" s="17" t="s">
        <v>4548</v>
      </c>
      <c r="C12786" s="17" t="s">
        <v>3614</v>
      </c>
      <c r="D12786" s="17" t="s">
        <v>19</v>
      </c>
      <c r="E12786" s="17" t="s">
        <v>3434</v>
      </c>
      <c r="F12786" s="17" t="s">
        <v>302</v>
      </c>
      <c r="G12786" s="18" t="n">
        <v>0</v>
      </c>
      <c r="H12786" s="18" t="n">
        <v>36</v>
      </c>
      <c r="I12786" s="18" t="n">
        <f aca="false">((I12785 + G12786) - H12786)</f>
        <v>68.4699999999984</v>
      </c>
      <c r="J12786" s="18" t="n">
        <v>0</v>
      </c>
      <c r="K12786" s="19" t="n">
        <v>0</v>
      </c>
      <c r="L12786" s="17"/>
    </row>
    <row r="12787" s="11" customFormat="true" ht="10.95" hidden="false" customHeight="true" outlineLevel="0" collapsed="false">
      <c r="A12787" s="16" t="n">
        <v>45222</v>
      </c>
      <c r="B12787" s="17" t="s">
        <v>4548</v>
      </c>
      <c r="C12787" s="17" t="s">
        <v>3614</v>
      </c>
      <c r="D12787" s="17" t="s">
        <v>19</v>
      </c>
      <c r="E12787" s="17" t="s">
        <v>3435</v>
      </c>
      <c r="F12787" s="17" t="s">
        <v>303</v>
      </c>
      <c r="G12787" s="18" t="n">
        <v>0</v>
      </c>
      <c r="H12787" s="18" t="n">
        <v>204</v>
      </c>
      <c r="I12787" s="18" t="n">
        <f aca="false">((I12786 + G12787) - H12787)</f>
        <v>-135.530000000002</v>
      </c>
      <c r="J12787" s="18" t="n">
        <v>0</v>
      </c>
      <c r="K12787" s="19" t="n">
        <v>0</v>
      </c>
      <c r="L12787" s="17"/>
    </row>
    <row r="12788" s="11" customFormat="true" ht="10.95" hidden="false" customHeight="true" outlineLevel="0" collapsed="false">
      <c r="A12788" s="16" t="n">
        <v>45222</v>
      </c>
      <c r="B12788" s="17" t="s">
        <v>4548</v>
      </c>
      <c r="C12788" s="17" t="s">
        <v>3614</v>
      </c>
      <c r="D12788" s="17" t="s">
        <v>19</v>
      </c>
      <c r="E12788" s="17" t="s">
        <v>3437</v>
      </c>
      <c r="F12788" s="17" t="s">
        <v>304</v>
      </c>
      <c r="G12788" s="18" t="n">
        <v>0</v>
      </c>
      <c r="H12788" s="18" t="n">
        <v>100.01</v>
      </c>
      <c r="I12788" s="18" t="n">
        <f aca="false">((I12787 + G12788) - H12788)</f>
        <v>-235.540000000002</v>
      </c>
      <c r="J12788" s="18" t="n">
        <v>0</v>
      </c>
      <c r="K12788" s="19" t="n">
        <v>0</v>
      </c>
      <c r="L12788" s="17"/>
    </row>
    <row r="12789" s="11" customFormat="true" ht="10.95" hidden="false" customHeight="true" outlineLevel="0" collapsed="false">
      <c r="A12789" s="16" t="n">
        <v>45222</v>
      </c>
      <c r="B12789" s="17" t="s">
        <v>4548</v>
      </c>
      <c r="C12789" s="17" t="s">
        <v>3614</v>
      </c>
      <c r="D12789" s="17" t="s">
        <v>19</v>
      </c>
      <c r="E12789" s="17" t="s">
        <v>3439</v>
      </c>
      <c r="F12789" s="17" t="s">
        <v>305</v>
      </c>
      <c r="G12789" s="18" t="n">
        <v>0</v>
      </c>
      <c r="H12789" s="18" t="n">
        <v>95.7</v>
      </c>
      <c r="I12789" s="18" t="n">
        <f aca="false">((I12788 + G12789) - H12789)</f>
        <v>-331.240000000002</v>
      </c>
      <c r="J12789" s="18" t="n">
        <v>0</v>
      </c>
      <c r="K12789" s="19" t="n">
        <v>0</v>
      </c>
      <c r="L12789" s="17"/>
    </row>
    <row r="12790" s="11" customFormat="true" ht="10.95" hidden="false" customHeight="true" outlineLevel="0" collapsed="false">
      <c r="A12790" s="16" t="n">
        <v>45222</v>
      </c>
      <c r="B12790" s="17" t="s">
        <v>4548</v>
      </c>
      <c r="C12790" s="17" t="s">
        <v>3614</v>
      </c>
      <c r="D12790" s="17" t="s">
        <v>19</v>
      </c>
      <c r="E12790" s="17" t="s">
        <v>3442</v>
      </c>
      <c r="F12790" s="17" t="s">
        <v>306</v>
      </c>
      <c r="G12790" s="18" t="n">
        <v>0</v>
      </c>
      <c r="H12790" s="18" t="n">
        <v>909</v>
      </c>
      <c r="I12790" s="18" t="n">
        <f aca="false">((I12789 + G12790) - H12790)</f>
        <v>-1240.24</v>
      </c>
      <c r="J12790" s="18" t="n">
        <v>0</v>
      </c>
      <c r="K12790" s="19" t="n">
        <v>0</v>
      </c>
      <c r="L12790" s="17"/>
    </row>
    <row r="12791" s="11" customFormat="true" ht="10.95" hidden="false" customHeight="true" outlineLevel="0" collapsed="false">
      <c r="A12791" s="16" t="n">
        <v>45222</v>
      </c>
      <c r="B12791" s="17" t="s">
        <v>4548</v>
      </c>
      <c r="C12791" s="17" t="s">
        <v>3614</v>
      </c>
      <c r="D12791" s="17" t="s">
        <v>19</v>
      </c>
      <c r="E12791" s="17" t="s">
        <v>3443</v>
      </c>
      <c r="F12791" s="17" t="s">
        <v>307</v>
      </c>
      <c r="G12791" s="18" t="n">
        <v>0</v>
      </c>
      <c r="H12791" s="18" t="n">
        <v>443</v>
      </c>
      <c r="I12791" s="18" t="n">
        <f aca="false">((I12790 + G12791) - H12791)</f>
        <v>-1683.24</v>
      </c>
      <c r="J12791" s="18" t="n">
        <v>0</v>
      </c>
      <c r="K12791" s="19" t="n">
        <v>0</v>
      </c>
      <c r="L12791" s="17"/>
    </row>
    <row r="12792" s="11" customFormat="true" ht="10.95" hidden="false" customHeight="true" outlineLevel="0" collapsed="false">
      <c r="A12792" s="16" t="n">
        <v>45222</v>
      </c>
      <c r="B12792" s="17" t="s">
        <v>4548</v>
      </c>
      <c r="C12792" s="17" t="s">
        <v>3614</v>
      </c>
      <c r="D12792" s="17" t="s">
        <v>19</v>
      </c>
      <c r="E12792" s="17" t="s">
        <v>3444</v>
      </c>
      <c r="F12792" s="17" t="s">
        <v>308</v>
      </c>
      <c r="G12792" s="18" t="n">
        <v>0</v>
      </c>
      <c r="H12792" s="18" t="n">
        <v>88</v>
      </c>
      <c r="I12792" s="18" t="n">
        <f aca="false">((I12791 + G12792) - H12792)</f>
        <v>-1771.24</v>
      </c>
      <c r="J12792" s="18" t="n">
        <v>0</v>
      </c>
      <c r="K12792" s="19" t="n">
        <v>0</v>
      </c>
      <c r="L12792" s="17"/>
    </row>
    <row r="12793" s="11" customFormat="true" ht="10.95" hidden="false" customHeight="true" outlineLevel="0" collapsed="false">
      <c r="A12793" s="16" t="n">
        <v>45222</v>
      </c>
      <c r="B12793" s="17" t="s">
        <v>4548</v>
      </c>
      <c r="C12793" s="17" t="s">
        <v>3614</v>
      </c>
      <c r="D12793" s="17" t="s">
        <v>19</v>
      </c>
      <c r="E12793" s="17" t="s">
        <v>3446</v>
      </c>
      <c r="F12793" s="17" t="s">
        <v>309</v>
      </c>
      <c r="G12793" s="18" t="n">
        <v>0</v>
      </c>
      <c r="H12793" s="18" t="n">
        <v>188</v>
      </c>
      <c r="I12793" s="18" t="n">
        <f aca="false">((I12792 + G12793) - H12793)</f>
        <v>-1959.24</v>
      </c>
      <c r="J12793" s="18" t="n">
        <v>0</v>
      </c>
      <c r="K12793" s="19" t="n">
        <v>0</v>
      </c>
      <c r="L12793" s="17"/>
    </row>
    <row r="12794" s="11" customFormat="true" ht="10.95" hidden="false" customHeight="true" outlineLevel="0" collapsed="false">
      <c r="A12794" s="16" t="n">
        <v>45222</v>
      </c>
      <c r="B12794" s="17" t="s">
        <v>4548</v>
      </c>
      <c r="C12794" s="17" t="s">
        <v>3614</v>
      </c>
      <c r="D12794" s="17" t="s">
        <v>19</v>
      </c>
      <c r="E12794" s="17" t="s">
        <v>3508</v>
      </c>
      <c r="F12794" s="17" t="s">
        <v>311</v>
      </c>
      <c r="G12794" s="18" t="n">
        <v>0</v>
      </c>
      <c r="H12794" s="18" t="n">
        <v>24</v>
      </c>
      <c r="I12794" s="18" t="n">
        <f aca="false">((I12793 + G12794) - H12794)</f>
        <v>-1983.24</v>
      </c>
      <c r="J12794" s="18" t="n">
        <v>0</v>
      </c>
      <c r="K12794" s="19" t="n">
        <v>0</v>
      </c>
      <c r="L12794" s="17"/>
    </row>
    <row r="12795" s="11" customFormat="true" ht="10.95" hidden="false" customHeight="true" outlineLevel="0" collapsed="false">
      <c r="A12795" s="16" t="n">
        <v>45222</v>
      </c>
      <c r="B12795" s="17" t="s">
        <v>4548</v>
      </c>
      <c r="C12795" s="17" t="s">
        <v>3614</v>
      </c>
      <c r="D12795" s="17" t="s">
        <v>19</v>
      </c>
      <c r="E12795" s="17" t="s">
        <v>3447</v>
      </c>
      <c r="F12795" s="17" t="s">
        <v>312</v>
      </c>
      <c r="G12795" s="18" t="n">
        <v>0</v>
      </c>
      <c r="H12795" s="18" t="n">
        <v>52.75</v>
      </c>
      <c r="I12795" s="18" t="n">
        <f aca="false">((I12794 + G12795) - H12795)</f>
        <v>-2035.99</v>
      </c>
      <c r="J12795" s="18" t="n">
        <v>0</v>
      </c>
      <c r="K12795" s="19" t="n">
        <v>0</v>
      </c>
      <c r="L12795" s="17"/>
    </row>
    <row r="12796" s="11" customFormat="true" ht="10.95" hidden="false" customHeight="true" outlineLevel="0" collapsed="false">
      <c r="A12796" s="16" t="n">
        <v>45222</v>
      </c>
      <c r="B12796" s="17" t="s">
        <v>4548</v>
      </c>
      <c r="C12796" s="17" t="s">
        <v>3614</v>
      </c>
      <c r="D12796" s="17" t="s">
        <v>19</v>
      </c>
      <c r="E12796" s="17" t="s">
        <v>3447</v>
      </c>
      <c r="F12796" s="17" t="s">
        <v>313</v>
      </c>
      <c r="G12796" s="18" t="n">
        <v>0</v>
      </c>
      <c r="H12796" s="18" t="n">
        <v>75.2</v>
      </c>
      <c r="I12796" s="18" t="n">
        <f aca="false">((I12795 + G12796) - H12796)</f>
        <v>-2111.19</v>
      </c>
      <c r="J12796" s="18" t="n">
        <v>0</v>
      </c>
      <c r="K12796" s="19" t="n">
        <v>0</v>
      </c>
      <c r="L12796" s="17"/>
    </row>
    <row r="12797" s="11" customFormat="true" ht="10.95" hidden="false" customHeight="true" outlineLevel="0" collapsed="false">
      <c r="A12797" s="16" t="n">
        <v>45222</v>
      </c>
      <c r="B12797" s="17" t="s">
        <v>4548</v>
      </c>
      <c r="C12797" s="17" t="s">
        <v>3614</v>
      </c>
      <c r="D12797" s="17" t="s">
        <v>19</v>
      </c>
      <c r="E12797" s="17" t="s">
        <v>3447</v>
      </c>
      <c r="F12797" s="17" t="s">
        <v>314</v>
      </c>
      <c r="G12797" s="18" t="n">
        <v>0</v>
      </c>
      <c r="H12797" s="18" t="n">
        <v>58</v>
      </c>
      <c r="I12797" s="18" t="n">
        <f aca="false">((I12796 + G12797) - H12797)</f>
        <v>-2169.19</v>
      </c>
      <c r="J12797" s="18" t="n">
        <v>0</v>
      </c>
      <c r="K12797" s="19" t="n">
        <v>0</v>
      </c>
      <c r="L12797" s="17"/>
    </row>
    <row r="12798" s="11" customFormat="true" ht="10.95" hidden="false" customHeight="true" outlineLevel="0" collapsed="false">
      <c r="A12798" s="16" t="n">
        <v>45222</v>
      </c>
      <c r="B12798" s="17" t="s">
        <v>4548</v>
      </c>
      <c r="C12798" s="17" t="s">
        <v>3614</v>
      </c>
      <c r="D12798" s="17" t="s">
        <v>19</v>
      </c>
      <c r="E12798" s="17" t="s">
        <v>3447</v>
      </c>
      <c r="F12798" s="17" t="s">
        <v>315</v>
      </c>
      <c r="G12798" s="18" t="n">
        <v>0</v>
      </c>
      <c r="H12798" s="18" t="n">
        <v>18.8</v>
      </c>
      <c r="I12798" s="18" t="n">
        <f aca="false">((I12797 + G12798) - H12798)</f>
        <v>-2187.99</v>
      </c>
      <c r="J12798" s="18" t="n">
        <v>0</v>
      </c>
      <c r="K12798" s="19" t="n">
        <v>0</v>
      </c>
      <c r="L12798" s="17"/>
    </row>
    <row r="12799" s="11" customFormat="true" ht="10.95" hidden="false" customHeight="true" outlineLevel="0" collapsed="false">
      <c r="A12799" s="16" t="n">
        <v>45222</v>
      </c>
      <c r="B12799" s="17" t="s">
        <v>4548</v>
      </c>
      <c r="C12799" s="17" t="s">
        <v>3614</v>
      </c>
      <c r="D12799" s="17" t="s">
        <v>19</v>
      </c>
      <c r="E12799" s="17" t="s">
        <v>3447</v>
      </c>
      <c r="F12799" s="17" t="s">
        <v>316</v>
      </c>
      <c r="G12799" s="18" t="n">
        <v>0</v>
      </c>
      <c r="H12799" s="18" t="n">
        <v>133.15</v>
      </c>
      <c r="I12799" s="18" t="n">
        <f aca="false">((I12798 + G12799) - H12799)</f>
        <v>-2321.14</v>
      </c>
      <c r="J12799" s="18" t="n">
        <v>0</v>
      </c>
      <c r="K12799" s="19" t="n">
        <v>0</v>
      </c>
      <c r="L12799" s="17"/>
    </row>
    <row r="12800" s="11" customFormat="true" ht="10.95" hidden="false" customHeight="true" outlineLevel="0" collapsed="false">
      <c r="A12800" s="16" t="n">
        <v>45222</v>
      </c>
      <c r="B12800" s="17" t="s">
        <v>4548</v>
      </c>
      <c r="C12800" s="17" t="s">
        <v>3614</v>
      </c>
      <c r="D12800" s="17" t="s">
        <v>19</v>
      </c>
      <c r="E12800" s="17" t="s">
        <v>3447</v>
      </c>
      <c r="F12800" s="17" t="s">
        <v>317</v>
      </c>
      <c r="G12800" s="18" t="n">
        <v>0</v>
      </c>
      <c r="H12800" s="18" t="n">
        <v>47</v>
      </c>
      <c r="I12800" s="18" t="n">
        <f aca="false">((I12799 + G12800) - H12800)</f>
        <v>-2368.14</v>
      </c>
      <c r="J12800" s="18" t="n">
        <v>0</v>
      </c>
      <c r="K12800" s="19" t="n">
        <v>0</v>
      </c>
      <c r="L12800" s="17"/>
    </row>
    <row r="12801" s="11" customFormat="true" ht="10.95" hidden="false" customHeight="true" outlineLevel="0" collapsed="false">
      <c r="A12801" s="16" t="n">
        <v>45222</v>
      </c>
      <c r="B12801" s="17" t="s">
        <v>4548</v>
      </c>
      <c r="C12801" s="17" t="s">
        <v>3614</v>
      </c>
      <c r="D12801" s="17" t="s">
        <v>19</v>
      </c>
      <c r="E12801" s="17" t="s">
        <v>3447</v>
      </c>
      <c r="F12801" s="17" t="s">
        <v>318</v>
      </c>
      <c r="G12801" s="18" t="n">
        <v>0</v>
      </c>
      <c r="H12801" s="18" t="n">
        <v>18.8</v>
      </c>
      <c r="I12801" s="18" t="n">
        <f aca="false">((I12800 + G12801) - H12801)</f>
        <v>-2386.94</v>
      </c>
      <c r="J12801" s="18" t="n">
        <v>0</v>
      </c>
      <c r="K12801" s="19" t="n">
        <v>0</v>
      </c>
      <c r="L12801" s="17"/>
    </row>
    <row r="12802" s="11" customFormat="true" ht="10.95" hidden="false" customHeight="true" outlineLevel="0" collapsed="false">
      <c r="A12802" s="16" t="n">
        <v>45222</v>
      </c>
      <c r="B12802" s="17" t="s">
        <v>4548</v>
      </c>
      <c r="C12802" s="17" t="s">
        <v>3614</v>
      </c>
      <c r="D12802" s="17" t="s">
        <v>19</v>
      </c>
      <c r="E12802" s="17" t="s">
        <v>3447</v>
      </c>
      <c r="F12802" s="17" t="s">
        <v>319</v>
      </c>
      <c r="G12802" s="18" t="n">
        <v>0</v>
      </c>
      <c r="H12802" s="18" t="n">
        <v>47</v>
      </c>
      <c r="I12802" s="18" t="n">
        <f aca="false">((I12801 + G12802) - H12802)</f>
        <v>-2433.94</v>
      </c>
      <c r="J12802" s="18" t="n">
        <v>0</v>
      </c>
      <c r="K12802" s="19" t="n">
        <v>0</v>
      </c>
      <c r="L12802" s="17"/>
    </row>
    <row r="12803" s="11" customFormat="true" ht="10.95" hidden="false" customHeight="true" outlineLevel="0" collapsed="false">
      <c r="A12803" s="16" t="n">
        <v>45222</v>
      </c>
      <c r="B12803" s="17" t="s">
        <v>4548</v>
      </c>
      <c r="C12803" s="17" t="s">
        <v>3614</v>
      </c>
      <c r="D12803" s="17" t="s">
        <v>19</v>
      </c>
      <c r="E12803" s="17" t="s">
        <v>3447</v>
      </c>
      <c r="F12803" s="17" t="s">
        <v>320</v>
      </c>
      <c r="G12803" s="18" t="n">
        <v>0</v>
      </c>
      <c r="H12803" s="18" t="n">
        <v>225.9</v>
      </c>
      <c r="I12803" s="18" t="n">
        <f aca="false">((I12802 + G12803) - H12803)</f>
        <v>-2659.84</v>
      </c>
      <c r="J12803" s="18" t="n">
        <v>0</v>
      </c>
      <c r="K12803" s="19" t="n">
        <v>0</v>
      </c>
      <c r="L12803" s="17"/>
    </row>
    <row r="12804" s="11" customFormat="true" ht="10.95" hidden="false" customHeight="true" outlineLevel="0" collapsed="false">
      <c r="A12804" s="16" t="n">
        <v>45222</v>
      </c>
      <c r="B12804" s="17" t="s">
        <v>4548</v>
      </c>
      <c r="C12804" s="17" t="s">
        <v>3614</v>
      </c>
      <c r="D12804" s="17" t="s">
        <v>19</v>
      </c>
      <c r="E12804" s="17" t="s">
        <v>3447</v>
      </c>
      <c r="F12804" s="17" t="s">
        <v>321</v>
      </c>
      <c r="G12804" s="18" t="n">
        <v>0</v>
      </c>
      <c r="H12804" s="18" t="n">
        <v>114.4</v>
      </c>
      <c r="I12804" s="18" t="n">
        <f aca="false">((I12803 + G12804) - H12804)</f>
        <v>-2774.24</v>
      </c>
      <c r="J12804" s="18" t="n">
        <v>0</v>
      </c>
      <c r="K12804" s="19" t="n">
        <v>0</v>
      </c>
      <c r="L12804" s="17"/>
    </row>
    <row r="12805" s="11" customFormat="true" ht="10.95" hidden="false" customHeight="true" outlineLevel="0" collapsed="false">
      <c r="A12805" s="16" t="n">
        <v>45222</v>
      </c>
      <c r="B12805" s="17" t="s">
        <v>4548</v>
      </c>
      <c r="C12805" s="17" t="s">
        <v>3614</v>
      </c>
      <c r="D12805" s="17" t="s">
        <v>19</v>
      </c>
      <c r="E12805" s="17" t="s">
        <v>3447</v>
      </c>
      <c r="F12805" s="17" t="s">
        <v>322</v>
      </c>
      <c r="G12805" s="18" t="n">
        <v>0</v>
      </c>
      <c r="H12805" s="18" t="n">
        <v>28.2</v>
      </c>
      <c r="I12805" s="18" t="n">
        <f aca="false">((I12804 + G12805) - H12805)</f>
        <v>-2802.44</v>
      </c>
      <c r="J12805" s="18" t="n">
        <v>0</v>
      </c>
      <c r="K12805" s="19" t="n">
        <v>0</v>
      </c>
      <c r="L12805" s="17"/>
    </row>
    <row r="12806" s="11" customFormat="true" ht="10.95" hidden="false" customHeight="true" outlineLevel="0" collapsed="false">
      <c r="A12806" s="16" t="n">
        <v>45222</v>
      </c>
      <c r="B12806" s="17" t="s">
        <v>4548</v>
      </c>
      <c r="C12806" s="17" t="s">
        <v>3614</v>
      </c>
      <c r="D12806" s="17" t="s">
        <v>19</v>
      </c>
      <c r="E12806" s="17" t="s">
        <v>3447</v>
      </c>
      <c r="F12806" s="17" t="s">
        <v>323</v>
      </c>
      <c r="G12806" s="18" t="n">
        <v>0</v>
      </c>
      <c r="H12806" s="18" t="n">
        <v>28.2</v>
      </c>
      <c r="I12806" s="18" t="n">
        <f aca="false">((I12805 + G12806) - H12806)</f>
        <v>-2830.64</v>
      </c>
      <c r="J12806" s="18" t="n">
        <v>0</v>
      </c>
      <c r="K12806" s="19" t="n">
        <v>0</v>
      </c>
      <c r="L12806" s="17"/>
    </row>
    <row r="12807" s="11" customFormat="true" ht="10.95" hidden="false" customHeight="true" outlineLevel="0" collapsed="false">
      <c r="A12807" s="16" t="n">
        <v>45222</v>
      </c>
      <c r="B12807" s="17" t="s">
        <v>4548</v>
      </c>
      <c r="C12807" s="17" t="s">
        <v>3614</v>
      </c>
      <c r="D12807" s="17" t="s">
        <v>19</v>
      </c>
      <c r="E12807" s="17" t="s">
        <v>3447</v>
      </c>
      <c r="F12807" s="17" t="s">
        <v>324</v>
      </c>
      <c r="G12807" s="18" t="n">
        <v>0</v>
      </c>
      <c r="H12807" s="18" t="n">
        <v>75.2</v>
      </c>
      <c r="I12807" s="18" t="n">
        <f aca="false">((I12806 + G12807) - H12807)</f>
        <v>-2905.84</v>
      </c>
      <c r="J12807" s="18" t="n">
        <v>0</v>
      </c>
      <c r="K12807" s="19" t="n">
        <v>0</v>
      </c>
      <c r="L12807" s="17"/>
    </row>
    <row r="12808" s="11" customFormat="true" ht="10.95" hidden="false" customHeight="true" outlineLevel="0" collapsed="false">
      <c r="A12808" s="16" t="n">
        <v>45222</v>
      </c>
      <c r="B12808" s="17" t="s">
        <v>4548</v>
      </c>
      <c r="C12808" s="17" t="s">
        <v>3614</v>
      </c>
      <c r="D12808" s="17" t="s">
        <v>19</v>
      </c>
      <c r="E12808" s="17" t="s">
        <v>3447</v>
      </c>
      <c r="F12808" s="17" t="s">
        <v>325</v>
      </c>
      <c r="G12808" s="18" t="n">
        <v>0</v>
      </c>
      <c r="H12808" s="18" t="n">
        <v>103.4</v>
      </c>
      <c r="I12808" s="18" t="n">
        <f aca="false">((I12807 + G12808) - H12808)</f>
        <v>-3009.24</v>
      </c>
      <c r="J12808" s="18" t="n">
        <v>0</v>
      </c>
      <c r="K12808" s="19" t="n">
        <v>0</v>
      </c>
      <c r="L12808" s="17"/>
    </row>
    <row r="12809" s="11" customFormat="true" ht="10.95" hidden="false" customHeight="true" outlineLevel="0" collapsed="false">
      <c r="A12809" s="16" t="n">
        <v>45222</v>
      </c>
      <c r="B12809" s="17" t="s">
        <v>4548</v>
      </c>
      <c r="C12809" s="17" t="s">
        <v>3614</v>
      </c>
      <c r="D12809" s="17" t="s">
        <v>19</v>
      </c>
      <c r="E12809" s="17" t="s">
        <v>3447</v>
      </c>
      <c r="F12809" s="17" t="s">
        <v>326</v>
      </c>
      <c r="G12809" s="18" t="n">
        <v>0</v>
      </c>
      <c r="H12809" s="18" t="n">
        <v>9.4</v>
      </c>
      <c r="I12809" s="18" t="n">
        <f aca="false">((I12808 + G12809) - H12809)</f>
        <v>-3018.64</v>
      </c>
      <c r="J12809" s="18" t="n">
        <v>0</v>
      </c>
      <c r="K12809" s="19" t="n">
        <v>0</v>
      </c>
      <c r="L12809" s="17"/>
    </row>
    <row r="12810" s="11" customFormat="true" ht="10.95" hidden="false" customHeight="true" outlineLevel="0" collapsed="false">
      <c r="A12810" s="16" t="n">
        <v>45222</v>
      </c>
      <c r="B12810" s="17" t="s">
        <v>4548</v>
      </c>
      <c r="C12810" s="17" t="s">
        <v>3614</v>
      </c>
      <c r="D12810" s="17" t="s">
        <v>19</v>
      </c>
      <c r="E12810" s="17" t="s">
        <v>3447</v>
      </c>
      <c r="F12810" s="17" t="s">
        <v>327</v>
      </c>
      <c r="G12810" s="18" t="n">
        <v>0</v>
      </c>
      <c r="H12810" s="18" t="n">
        <v>65.8</v>
      </c>
      <c r="I12810" s="18" t="n">
        <f aca="false">((I12809 + G12810) - H12810)</f>
        <v>-3084.44</v>
      </c>
      <c r="J12810" s="18" t="n">
        <v>0</v>
      </c>
      <c r="K12810" s="19" t="n">
        <v>0</v>
      </c>
      <c r="L12810" s="17"/>
    </row>
    <row r="12811" s="11" customFormat="true" ht="10.95" hidden="false" customHeight="true" outlineLevel="0" collapsed="false">
      <c r="A12811" s="16" t="n">
        <v>45222</v>
      </c>
      <c r="B12811" s="17" t="s">
        <v>4548</v>
      </c>
      <c r="C12811" s="17" t="s">
        <v>3614</v>
      </c>
      <c r="D12811" s="17" t="s">
        <v>19</v>
      </c>
      <c r="E12811" s="17" t="s">
        <v>3451</v>
      </c>
      <c r="F12811" s="17" t="s">
        <v>328</v>
      </c>
      <c r="G12811" s="18" t="n">
        <v>0</v>
      </c>
      <c r="H12811" s="18" t="n">
        <v>116.2</v>
      </c>
      <c r="I12811" s="18" t="n">
        <f aca="false">((I12810 + G12811) - H12811)</f>
        <v>-3200.64</v>
      </c>
      <c r="J12811" s="18" t="n">
        <v>0</v>
      </c>
      <c r="K12811" s="19" t="n">
        <v>0</v>
      </c>
      <c r="L12811" s="17"/>
    </row>
    <row r="12812" s="11" customFormat="true" ht="10.95" hidden="false" customHeight="true" outlineLevel="0" collapsed="false">
      <c r="A12812" s="16" t="n">
        <v>45222</v>
      </c>
      <c r="B12812" s="17" t="s">
        <v>4548</v>
      </c>
      <c r="C12812" s="17" t="s">
        <v>3614</v>
      </c>
      <c r="D12812" s="17" t="s">
        <v>19</v>
      </c>
      <c r="E12812" s="17" t="s">
        <v>3494</v>
      </c>
      <c r="F12812" s="17" t="s">
        <v>329</v>
      </c>
      <c r="G12812" s="18" t="n">
        <v>0</v>
      </c>
      <c r="H12812" s="18" t="n">
        <v>97.4</v>
      </c>
      <c r="I12812" s="18" t="n">
        <f aca="false">((I12811 + G12812) - H12812)</f>
        <v>-3298.04</v>
      </c>
      <c r="J12812" s="18" t="n">
        <v>0</v>
      </c>
      <c r="K12812" s="19" t="n">
        <v>0</v>
      </c>
      <c r="L12812" s="17"/>
    </row>
    <row r="12813" s="11" customFormat="true" ht="10.95" hidden="false" customHeight="true" outlineLevel="0" collapsed="false">
      <c r="A12813" s="16" t="n">
        <v>45222</v>
      </c>
      <c r="B12813" s="17" t="s">
        <v>4548</v>
      </c>
      <c r="C12813" s="17" t="s">
        <v>3614</v>
      </c>
      <c r="D12813" s="17" t="s">
        <v>1407</v>
      </c>
      <c r="E12813" s="17" t="s">
        <v>3804</v>
      </c>
      <c r="F12813" s="17"/>
      <c r="G12813" s="18" t="n">
        <v>3.64</v>
      </c>
      <c r="H12813" s="18" t="n">
        <v>0</v>
      </c>
      <c r="I12813" s="18" t="n">
        <f aca="false">((I12812 + G12813) - H12813)</f>
        <v>-3294.4</v>
      </c>
      <c r="J12813" s="18" t="n">
        <v>0</v>
      </c>
      <c r="K12813" s="19" t="n">
        <v>0</v>
      </c>
      <c r="L12813" s="17"/>
    </row>
    <row r="12814" s="11" customFormat="true" ht="10.95" hidden="false" customHeight="true" outlineLevel="0" collapsed="false">
      <c r="A12814" s="16" t="n">
        <v>45222</v>
      </c>
      <c r="B12814" s="17" t="s">
        <v>4548</v>
      </c>
      <c r="C12814" s="17" t="s">
        <v>3614</v>
      </c>
      <c r="D12814" s="17" t="s">
        <v>19</v>
      </c>
      <c r="E12814" s="17" t="s">
        <v>3454</v>
      </c>
      <c r="F12814" s="17" t="s">
        <v>330</v>
      </c>
      <c r="G12814" s="18" t="n">
        <v>0</v>
      </c>
      <c r="H12814" s="18" t="n">
        <v>1483.27</v>
      </c>
      <c r="I12814" s="18" t="n">
        <f aca="false">((I12813 + G12814) - H12814)</f>
        <v>-4777.67</v>
      </c>
      <c r="J12814" s="18" t="n">
        <v>0</v>
      </c>
      <c r="K12814" s="19" t="n">
        <v>0</v>
      </c>
      <c r="L12814" s="17"/>
    </row>
    <row r="12815" s="11" customFormat="true" ht="10.95" hidden="false" customHeight="true" outlineLevel="0" collapsed="false">
      <c r="A12815" s="16" t="n">
        <v>45223</v>
      </c>
      <c r="B12815" s="17" t="s">
        <v>4548</v>
      </c>
      <c r="C12815" s="17" t="s">
        <v>3614</v>
      </c>
      <c r="D12815" s="17" t="s">
        <v>1407</v>
      </c>
      <c r="E12815" s="17" t="s">
        <v>3907</v>
      </c>
      <c r="F12815" s="17"/>
      <c r="G12815" s="18" t="n">
        <v>0.79</v>
      </c>
      <c r="H12815" s="18" t="n">
        <v>0</v>
      </c>
      <c r="I12815" s="18" t="n">
        <f aca="false">((I12814 + G12815) - H12815)</f>
        <v>-4776.88</v>
      </c>
      <c r="J12815" s="18" t="n">
        <v>0</v>
      </c>
      <c r="K12815" s="19" t="n">
        <v>0</v>
      </c>
      <c r="L12815" s="17"/>
    </row>
    <row r="12816" s="11" customFormat="true" ht="10.95" hidden="false" customHeight="true" outlineLevel="0" collapsed="false">
      <c r="A12816" s="16" t="n">
        <v>45224</v>
      </c>
      <c r="B12816" s="17" t="s">
        <v>4548</v>
      </c>
      <c r="C12816" s="17" t="s">
        <v>3614</v>
      </c>
      <c r="D12816" s="17" t="s">
        <v>1407</v>
      </c>
      <c r="E12816" s="17" t="s">
        <v>3770</v>
      </c>
      <c r="F12816" s="17"/>
      <c r="G12816" s="18" t="n">
        <v>2.09</v>
      </c>
      <c r="H12816" s="18" t="n">
        <v>0</v>
      </c>
      <c r="I12816" s="18" t="n">
        <f aca="false">((I12815 + G12816) - H12816)</f>
        <v>-4774.79</v>
      </c>
      <c r="J12816" s="18" t="n">
        <v>0</v>
      </c>
      <c r="K12816" s="19" t="n">
        <v>0</v>
      </c>
      <c r="L12816" s="17"/>
    </row>
    <row r="12817" s="11" customFormat="true" ht="10.95" hidden="false" customHeight="true" outlineLevel="0" collapsed="false">
      <c r="A12817" s="16" t="n">
        <v>45225</v>
      </c>
      <c r="B12817" s="17" t="s">
        <v>4548</v>
      </c>
      <c r="C12817" s="17" t="s">
        <v>3614</v>
      </c>
      <c r="D12817" s="17" t="s">
        <v>1407</v>
      </c>
      <c r="E12817" s="17" t="s">
        <v>3759</v>
      </c>
      <c r="F12817" s="17"/>
      <c r="G12817" s="18" t="n">
        <v>30.89</v>
      </c>
      <c r="H12817" s="18" t="n">
        <v>0</v>
      </c>
      <c r="I12817" s="18" t="n">
        <f aca="false">((I12816 + G12817) - H12817)</f>
        <v>-4743.9</v>
      </c>
      <c r="J12817" s="18" t="n">
        <v>0</v>
      </c>
      <c r="K12817" s="19" t="n">
        <v>0</v>
      </c>
      <c r="L12817" s="17"/>
    </row>
    <row r="12818" s="11" customFormat="true" ht="10.95" hidden="false" customHeight="true" outlineLevel="0" collapsed="false">
      <c r="A12818" s="16" t="n">
        <v>45225</v>
      </c>
      <c r="B12818" s="17" t="s">
        <v>4548</v>
      </c>
      <c r="C12818" s="17" t="s">
        <v>3614</v>
      </c>
      <c r="D12818" s="17" t="s">
        <v>1391</v>
      </c>
      <c r="E12818" s="17" t="s">
        <v>3673</v>
      </c>
      <c r="F12818" s="17" t="s">
        <v>3193</v>
      </c>
      <c r="G12818" s="18" t="n">
        <v>815.47</v>
      </c>
      <c r="H12818" s="18" t="n">
        <v>0</v>
      </c>
      <c r="I12818" s="18" t="n">
        <f aca="false">((I12817 + G12818) - H12818)</f>
        <v>-3928.43</v>
      </c>
      <c r="J12818" s="18" t="n">
        <v>0</v>
      </c>
      <c r="K12818" s="19" t="n">
        <v>0</v>
      </c>
      <c r="L12818" s="17"/>
    </row>
    <row r="12819" s="11" customFormat="true" ht="10.95" hidden="false" customHeight="true" outlineLevel="0" collapsed="false">
      <c r="A12819" s="16" t="n">
        <v>45225</v>
      </c>
      <c r="B12819" s="17" t="s">
        <v>4548</v>
      </c>
      <c r="C12819" s="17" t="s">
        <v>3614</v>
      </c>
      <c r="D12819" s="17" t="s">
        <v>1391</v>
      </c>
      <c r="E12819" s="17" t="s">
        <v>3673</v>
      </c>
      <c r="F12819" s="17" t="s">
        <v>3195</v>
      </c>
      <c r="G12819" s="18" t="n">
        <v>455.48</v>
      </c>
      <c r="H12819" s="18" t="n">
        <v>0</v>
      </c>
      <c r="I12819" s="18" t="n">
        <f aca="false">((I12818 + G12819) - H12819)</f>
        <v>-3472.95</v>
      </c>
      <c r="J12819" s="18" t="n">
        <v>0</v>
      </c>
      <c r="K12819" s="19" t="n">
        <v>0</v>
      </c>
      <c r="L12819" s="17"/>
    </row>
    <row r="12820" s="11" customFormat="true" ht="10.95" hidden="false" customHeight="true" outlineLevel="0" collapsed="false">
      <c r="A12820" s="16" t="n">
        <v>45226</v>
      </c>
      <c r="B12820" s="17" t="s">
        <v>4548</v>
      </c>
      <c r="C12820" s="17" t="s">
        <v>3614</v>
      </c>
      <c r="D12820" s="17" t="s">
        <v>1407</v>
      </c>
      <c r="E12820" s="17" t="s">
        <v>3858</v>
      </c>
      <c r="F12820" s="17"/>
      <c r="G12820" s="18" t="n">
        <v>96.69</v>
      </c>
      <c r="H12820" s="18" t="n">
        <v>0</v>
      </c>
      <c r="I12820" s="18" t="n">
        <f aca="false">((I12819 + G12820) - H12820)</f>
        <v>-3376.26</v>
      </c>
      <c r="J12820" s="18" t="n">
        <v>0</v>
      </c>
      <c r="K12820" s="19" t="n">
        <v>0</v>
      </c>
      <c r="L12820" s="17"/>
    </row>
    <row r="12821" s="11" customFormat="true" ht="10.95" hidden="false" customHeight="true" outlineLevel="0" collapsed="false">
      <c r="A12821" s="16" t="n">
        <v>45226</v>
      </c>
      <c r="B12821" s="17" t="s">
        <v>4548</v>
      </c>
      <c r="C12821" s="17" t="s">
        <v>3614</v>
      </c>
      <c r="D12821" s="17" t="s">
        <v>1407</v>
      </c>
      <c r="E12821" s="17" t="s">
        <v>3720</v>
      </c>
      <c r="F12821" s="17"/>
      <c r="G12821" s="18" t="n">
        <v>122.26</v>
      </c>
      <c r="H12821" s="18" t="n">
        <v>0</v>
      </c>
      <c r="I12821" s="18" t="n">
        <f aca="false">((I12820 + G12821) - H12821)</f>
        <v>-3254</v>
      </c>
      <c r="J12821" s="18" t="n">
        <v>0</v>
      </c>
      <c r="K12821" s="19" t="n">
        <v>0</v>
      </c>
      <c r="L12821" s="17"/>
    </row>
    <row r="12822" s="11" customFormat="true" ht="10.95" hidden="false" customHeight="true" outlineLevel="0" collapsed="false">
      <c r="A12822" s="16" t="n">
        <v>45226</v>
      </c>
      <c r="B12822" s="17" t="s">
        <v>4548</v>
      </c>
      <c r="C12822" s="17" t="s">
        <v>3614</v>
      </c>
      <c r="D12822" s="17" t="s">
        <v>1407</v>
      </c>
      <c r="E12822" s="17" t="s">
        <v>3805</v>
      </c>
      <c r="F12822" s="17"/>
      <c r="G12822" s="18" t="n">
        <v>8.97</v>
      </c>
      <c r="H12822" s="18" t="n">
        <v>0</v>
      </c>
      <c r="I12822" s="18" t="n">
        <f aca="false">((I12821 + G12822) - H12822)</f>
        <v>-3245.03</v>
      </c>
      <c r="J12822" s="18" t="n">
        <v>0</v>
      </c>
      <c r="K12822" s="19" t="n">
        <v>0</v>
      </c>
      <c r="L12822" s="17"/>
    </row>
    <row r="12823" s="11" customFormat="true" ht="10.95" hidden="false" customHeight="true" outlineLevel="0" collapsed="false">
      <c r="A12823" s="16" t="n">
        <v>45227</v>
      </c>
      <c r="B12823" s="17" t="s">
        <v>4548</v>
      </c>
      <c r="C12823" s="17" t="s">
        <v>3614</v>
      </c>
      <c r="D12823" s="17" t="s">
        <v>1407</v>
      </c>
      <c r="E12823" s="17" t="s">
        <v>4072</v>
      </c>
      <c r="F12823" s="17"/>
      <c r="G12823" s="18" t="n">
        <v>28.91</v>
      </c>
      <c r="H12823" s="18" t="n">
        <v>0</v>
      </c>
      <c r="I12823" s="18" t="n">
        <f aca="false">((I12822 + G12823) - H12823)</f>
        <v>-3216.12</v>
      </c>
      <c r="J12823" s="18" t="n">
        <v>0</v>
      </c>
      <c r="K12823" s="19" t="n">
        <v>0</v>
      </c>
      <c r="L12823" s="17"/>
    </row>
    <row r="12824" s="11" customFormat="true" ht="10.95" hidden="false" customHeight="true" outlineLevel="0" collapsed="false">
      <c r="A12824" s="16" t="n">
        <v>45227</v>
      </c>
      <c r="B12824" s="17" t="s">
        <v>4548</v>
      </c>
      <c r="C12824" s="17" t="s">
        <v>3614</v>
      </c>
      <c r="D12824" s="17" t="s">
        <v>1407</v>
      </c>
      <c r="E12824" s="17" t="s">
        <v>3976</v>
      </c>
      <c r="F12824" s="17"/>
      <c r="G12824" s="18" t="n">
        <v>17.19</v>
      </c>
      <c r="H12824" s="18" t="n">
        <v>0</v>
      </c>
      <c r="I12824" s="18" t="n">
        <f aca="false">((I12823 + G12824) - H12824)</f>
        <v>-3198.93</v>
      </c>
      <c r="J12824" s="18" t="n">
        <v>0</v>
      </c>
      <c r="K12824" s="19" t="n">
        <v>0</v>
      </c>
      <c r="L12824" s="17"/>
    </row>
    <row r="12825" s="11" customFormat="true" ht="10.95" hidden="false" customHeight="true" outlineLevel="0" collapsed="false">
      <c r="A12825" s="16" t="n">
        <v>45230</v>
      </c>
      <c r="B12825" s="17" t="s">
        <v>4548</v>
      </c>
      <c r="C12825" s="17" t="s">
        <v>3614</v>
      </c>
      <c r="D12825" s="17" t="s">
        <v>1391</v>
      </c>
      <c r="E12825" s="17" t="s">
        <v>3670</v>
      </c>
      <c r="F12825" s="17" t="s">
        <v>3366</v>
      </c>
      <c r="G12825" s="18" t="n">
        <v>13.64</v>
      </c>
      <c r="H12825" s="18" t="n">
        <v>0</v>
      </c>
      <c r="I12825" s="18" t="n">
        <f aca="false">((I12824 + G12825) - H12825)</f>
        <v>-3185.29</v>
      </c>
      <c r="J12825" s="18" t="n">
        <v>0</v>
      </c>
      <c r="K12825" s="19" t="n">
        <v>0</v>
      </c>
      <c r="L12825" s="17"/>
    </row>
    <row r="12826" s="11" customFormat="true" ht="10.95" hidden="false" customHeight="true" outlineLevel="0" collapsed="false">
      <c r="A12826" s="16" t="n">
        <v>45230</v>
      </c>
      <c r="B12826" s="17" t="s">
        <v>4548</v>
      </c>
      <c r="C12826" s="17" t="s">
        <v>3614</v>
      </c>
      <c r="D12826" s="17" t="s">
        <v>1407</v>
      </c>
      <c r="E12826" s="17" t="s">
        <v>3865</v>
      </c>
      <c r="F12826" s="17"/>
      <c r="G12826" s="18" t="n">
        <v>7.5</v>
      </c>
      <c r="H12826" s="18" t="n">
        <v>0</v>
      </c>
      <c r="I12826" s="18" t="n">
        <f aca="false">((I12825 + G12826) - H12826)</f>
        <v>-3177.79</v>
      </c>
      <c r="J12826" s="18" t="n">
        <v>0</v>
      </c>
      <c r="K12826" s="19" t="n">
        <v>0</v>
      </c>
      <c r="L12826" s="17"/>
    </row>
    <row r="12827" s="11" customFormat="true" ht="10.95" hidden="false" customHeight="true" outlineLevel="0" collapsed="false">
      <c r="A12827" s="16" t="n">
        <v>45230</v>
      </c>
      <c r="B12827" s="17" t="s">
        <v>4548</v>
      </c>
      <c r="C12827" s="17" t="s">
        <v>3614</v>
      </c>
      <c r="D12827" s="17" t="s">
        <v>1407</v>
      </c>
      <c r="E12827" s="17" t="s">
        <v>3759</v>
      </c>
      <c r="F12827" s="17"/>
      <c r="G12827" s="18" t="n">
        <v>14.48</v>
      </c>
      <c r="H12827" s="18" t="n">
        <v>0</v>
      </c>
      <c r="I12827" s="18" t="n">
        <f aca="false">((I12826 + G12827) - H12827)</f>
        <v>-3163.31</v>
      </c>
      <c r="J12827" s="18" t="n">
        <v>0</v>
      </c>
      <c r="K12827" s="19" t="n">
        <v>0</v>
      </c>
      <c r="L12827" s="17"/>
    </row>
    <row r="12828" s="11" customFormat="true" ht="10.95" hidden="false" customHeight="true" outlineLevel="0" collapsed="false">
      <c r="A12828" s="16" t="n">
        <v>45230</v>
      </c>
      <c r="B12828" s="17" t="s">
        <v>4548</v>
      </c>
      <c r="C12828" s="17" t="s">
        <v>3614</v>
      </c>
      <c r="D12828" s="17" t="s">
        <v>1391</v>
      </c>
      <c r="E12828" s="17" t="s">
        <v>3647</v>
      </c>
      <c r="F12828" s="17" t="s">
        <v>1459</v>
      </c>
      <c r="G12828" s="18" t="n">
        <v>450.18</v>
      </c>
      <c r="H12828" s="18" t="n">
        <v>0</v>
      </c>
      <c r="I12828" s="18" t="n">
        <f aca="false">((I12827 + G12828) - H12828)</f>
        <v>-2713.13</v>
      </c>
      <c r="J12828" s="18" t="n">
        <v>0</v>
      </c>
      <c r="K12828" s="19" t="n">
        <v>0</v>
      </c>
      <c r="L12828" s="17"/>
    </row>
    <row r="12829" s="11" customFormat="true" ht="10.95" hidden="false" customHeight="true" outlineLevel="0" collapsed="false">
      <c r="A12829" s="16" t="n">
        <v>45231</v>
      </c>
      <c r="B12829" s="17" t="s">
        <v>4548</v>
      </c>
      <c r="C12829" s="17" t="s">
        <v>3614</v>
      </c>
      <c r="D12829" s="17" t="s">
        <v>19</v>
      </c>
      <c r="E12829" s="17" t="s">
        <v>3511</v>
      </c>
      <c r="F12829" s="17" t="s">
        <v>332</v>
      </c>
      <c r="G12829" s="18" t="n">
        <v>0</v>
      </c>
      <c r="H12829" s="18" t="n">
        <v>70</v>
      </c>
      <c r="I12829" s="18" t="n">
        <f aca="false">((I12828 + G12829) - H12829)</f>
        <v>-2783.13</v>
      </c>
      <c r="J12829" s="18" t="n">
        <v>0</v>
      </c>
      <c r="K12829" s="19" t="n">
        <v>0</v>
      </c>
      <c r="L12829" s="17"/>
    </row>
    <row r="12830" s="11" customFormat="true" ht="10.95" hidden="false" customHeight="true" outlineLevel="0" collapsed="false">
      <c r="A12830" s="16" t="n">
        <v>45231</v>
      </c>
      <c r="B12830" s="17" t="s">
        <v>4548</v>
      </c>
      <c r="C12830" s="17" t="s">
        <v>3614</v>
      </c>
      <c r="D12830" s="17" t="s">
        <v>1407</v>
      </c>
      <c r="E12830" s="17" t="s">
        <v>3946</v>
      </c>
      <c r="F12830" s="17"/>
      <c r="G12830" s="18" t="n">
        <v>71.79</v>
      </c>
      <c r="H12830" s="18" t="n">
        <v>0</v>
      </c>
      <c r="I12830" s="18" t="n">
        <f aca="false">((I12829 + G12830) - H12830)</f>
        <v>-2711.34</v>
      </c>
      <c r="J12830" s="18" t="n">
        <v>0</v>
      </c>
      <c r="K12830" s="19" t="n">
        <v>0</v>
      </c>
      <c r="L12830" s="17"/>
    </row>
    <row r="12831" s="11" customFormat="true" ht="10.95" hidden="false" customHeight="true" outlineLevel="0" collapsed="false">
      <c r="A12831" s="16" t="n">
        <v>45231</v>
      </c>
      <c r="B12831" s="17" t="s">
        <v>4548</v>
      </c>
      <c r="C12831" s="17" t="s">
        <v>3614</v>
      </c>
      <c r="D12831" s="17" t="s">
        <v>1391</v>
      </c>
      <c r="E12831" s="17" t="s">
        <v>3615</v>
      </c>
      <c r="F12831" s="17" t="s">
        <v>1461</v>
      </c>
      <c r="G12831" s="18" t="n">
        <v>48.98</v>
      </c>
      <c r="H12831" s="18" t="n">
        <v>0</v>
      </c>
      <c r="I12831" s="18" t="n">
        <f aca="false">((I12830 + G12831) - H12831)</f>
        <v>-2662.36</v>
      </c>
      <c r="J12831" s="18" t="n">
        <v>0</v>
      </c>
      <c r="K12831" s="19" t="n">
        <v>0</v>
      </c>
      <c r="L12831" s="17"/>
    </row>
    <row r="12832" s="11" customFormat="true" ht="10.95" hidden="false" customHeight="true" outlineLevel="0" collapsed="false">
      <c r="A12832" s="16" t="n">
        <v>45232</v>
      </c>
      <c r="B12832" s="17" t="s">
        <v>4548</v>
      </c>
      <c r="C12832" s="17" t="s">
        <v>3614</v>
      </c>
      <c r="D12832" s="17" t="s">
        <v>1407</v>
      </c>
      <c r="E12832" s="17" t="s">
        <v>3804</v>
      </c>
      <c r="F12832" s="17"/>
      <c r="G12832" s="18" t="n">
        <v>3.64</v>
      </c>
      <c r="H12832" s="18" t="n">
        <v>0</v>
      </c>
      <c r="I12832" s="18" t="n">
        <f aca="false">((I12831 + G12832) - H12832)</f>
        <v>-2658.72</v>
      </c>
      <c r="J12832" s="18" t="n">
        <v>0</v>
      </c>
      <c r="K12832" s="19" t="n">
        <v>0</v>
      </c>
      <c r="L12832" s="17"/>
    </row>
    <row r="12833" s="11" customFormat="true" ht="10.95" hidden="false" customHeight="true" outlineLevel="0" collapsed="false">
      <c r="A12833" s="16" t="n">
        <v>45233</v>
      </c>
      <c r="B12833" s="17" t="s">
        <v>4548</v>
      </c>
      <c r="C12833" s="17" t="s">
        <v>3614</v>
      </c>
      <c r="D12833" s="17" t="s">
        <v>1407</v>
      </c>
      <c r="E12833" s="17" t="s">
        <v>3763</v>
      </c>
      <c r="F12833" s="17"/>
      <c r="G12833" s="18" t="n">
        <v>20.23</v>
      </c>
      <c r="H12833" s="18" t="n">
        <v>0</v>
      </c>
      <c r="I12833" s="18" t="n">
        <f aca="false">((I12832 + G12833) - H12833)</f>
        <v>-2638.49</v>
      </c>
      <c r="J12833" s="18" t="n">
        <v>0</v>
      </c>
      <c r="K12833" s="19" t="n">
        <v>0</v>
      </c>
      <c r="L12833" s="17"/>
    </row>
    <row r="12834" s="11" customFormat="true" ht="10.95" hidden="false" customHeight="true" outlineLevel="0" collapsed="false">
      <c r="A12834" s="16" t="n">
        <v>45233</v>
      </c>
      <c r="B12834" s="17" t="s">
        <v>4548</v>
      </c>
      <c r="C12834" s="17" t="s">
        <v>3614</v>
      </c>
      <c r="D12834" s="17" t="s">
        <v>1407</v>
      </c>
      <c r="E12834" s="17" t="s">
        <v>3946</v>
      </c>
      <c r="F12834" s="17"/>
      <c r="G12834" s="18" t="n">
        <v>12.36</v>
      </c>
      <c r="H12834" s="18" t="n">
        <v>0</v>
      </c>
      <c r="I12834" s="18" t="n">
        <f aca="false">((I12833 + G12834) - H12834)</f>
        <v>-2626.13</v>
      </c>
      <c r="J12834" s="18" t="n">
        <v>0</v>
      </c>
      <c r="K12834" s="19" t="n">
        <v>0</v>
      </c>
      <c r="L12834" s="17"/>
    </row>
    <row r="12835" s="11" customFormat="true" ht="10.95" hidden="false" customHeight="true" outlineLevel="0" collapsed="false">
      <c r="A12835" s="16" t="n">
        <v>45233</v>
      </c>
      <c r="B12835" s="17" t="s">
        <v>4548</v>
      </c>
      <c r="C12835" s="17" t="s">
        <v>3614</v>
      </c>
      <c r="D12835" s="17" t="s">
        <v>1407</v>
      </c>
      <c r="E12835" s="17" t="s">
        <v>4093</v>
      </c>
      <c r="F12835" s="17"/>
      <c r="G12835" s="18" t="n">
        <v>4.55</v>
      </c>
      <c r="H12835" s="18" t="n">
        <v>0</v>
      </c>
      <c r="I12835" s="18" t="n">
        <f aca="false">((I12834 + G12835) - H12835)</f>
        <v>-2621.58</v>
      </c>
      <c r="J12835" s="18" t="n">
        <v>0</v>
      </c>
      <c r="K12835" s="19" t="n">
        <v>0</v>
      </c>
      <c r="L12835" s="17"/>
    </row>
    <row r="12836" s="11" customFormat="true" ht="10.95" hidden="false" customHeight="true" outlineLevel="0" collapsed="false">
      <c r="A12836" s="16" t="n">
        <v>45233</v>
      </c>
      <c r="B12836" s="17" t="s">
        <v>4548</v>
      </c>
      <c r="C12836" s="17" t="s">
        <v>3614</v>
      </c>
      <c r="D12836" s="17" t="s">
        <v>1391</v>
      </c>
      <c r="E12836" s="17" t="s">
        <v>3625</v>
      </c>
      <c r="F12836" s="17" t="s">
        <v>3272</v>
      </c>
      <c r="G12836" s="18" t="n">
        <v>96.29</v>
      </c>
      <c r="H12836" s="18" t="n">
        <v>0</v>
      </c>
      <c r="I12836" s="18" t="n">
        <f aca="false">((I12835 + G12836) - H12836)</f>
        <v>-2525.29</v>
      </c>
      <c r="J12836" s="18" t="n">
        <v>0</v>
      </c>
      <c r="K12836" s="19" t="n">
        <v>0</v>
      </c>
      <c r="L12836" s="17"/>
    </row>
    <row r="12837" s="11" customFormat="true" ht="10.95" hidden="false" customHeight="true" outlineLevel="0" collapsed="false">
      <c r="A12837" s="16" t="n">
        <v>45236</v>
      </c>
      <c r="B12837" s="17" t="s">
        <v>4548</v>
      </c>
      <c r="C12837" s="17" t="s">
        <v>3614</v>
      </c>
      <c r="D12837" s="17" t="s">
        <v>1407</v>
      </c>
      <c r="E12837" s="17" t="s">
        <v>3888</v>
      </c>
      <c r="F12837" s="17"/>
      <c r="G12837" s="18" t="n">
        <v>292.49</v>
      </c>
      <c r="H12837" s="18" t="n">
        <v>0</v>
      </c>
      <c r="I12837" s="18" t="n">
        <f aca="false">((I12836 + G12837) - H12837)</f>
        <v>-2232.8</v>
      </c>
      <c r="J12837" s="18" t="n">
        <v>0</v>
      </c>
      <c r="K12837" s="19" t="n">
        <v>0</v>
      </c>
      <c r="L12837" s="17"/>
    </row>
    <row r="12838" s="11" customFormat="true" ht="10.95" hidden="false" customHeight="true" outlineLevel="0" collapsed="false">
      <c r="A12838" s="16" t="n">
        <v>45236</v>
      </c>
      <c r="B12838" s="17" t="s">
        <v>4548</v>
      </c>
      <c r="C12838" s="17" t="s">
        <v>3614</v>
      </c>
      <c r="D12838" s="17" t="s">
        <v>1391</v>
      </c>
      <c r="E12838" s="17" t="s">
        <v>3686</v>
      </c>
      <c r="F12838" s="17" t="s">
        <v>3561</v>
      </c>
      <c r="G12838" s="18" t="n">
        <v>34.77</v>
      </c>
      <c r="H12838" s="18" t="n">
        <v>0</v>
      </c>
      <c r="I12838" s="18" t="n">
        <f aca="false">((I12837 + G12838) - H12838)</f>
        <v>-2198.03</v>
      </c>
      <c r="J12838" s="18" t="n">
        <v>0</v>
      </c>
      <c r="K12838" s="19" t="n">
        <v>0</v>
      </c>
      <c r="L12838" s="17"/>
    </row>
    <row r="12839" s="11" customFormat="true" ht="10.95" hidden="false" customHeight="true" outlineLevel="0" collapsed="false">
      <c r="A12839" s="16" t="n">
        <v>45237</v>
      </c>
      <c r="B12839" s="17" t="s">
        <v>4548</v>
      </c>
      <c r="C12839" s="17" t="s">
        <v>3614</v>
      </c>
      <c r="D12839" s="17" t="s">
        <v>1391</v>
      </c>
      <c r="E12839" s="17" t="s">
        <v>3639</v>
      </c>
      <c r="F12839" s="17" t="s">
        <v>1642</v>
      </c>
      <c r="G12839" s="18" t="n">
        <v>3.64</v>
      </c>
      <c r="H12839" s="18" t="n">
        <v>0</v>
      </c>
      <c r="I12839" s="18" t="n">
        <f aca="false">((I12838 + G12839) - H12839)</f>
        <v>-2194.39</v>
      </c>
      <c r="J12839" s="18" t="n">
        <v>0</v>
      </c>
      <c r="K12839" s="19" t="n">
        <v>0</v>
      </c>
      <c r="L12839" s="17"/>
    </row>
    <row r="12840" s="11" customFormat="true" ht="10.95" hidden="false" customHeight="true" outlineLevel="0" collapsed="false">
      <c r="A12840" s="16" t="n">
        <v>45237</v>
      </c>
      <c r="B12840" s="17" t="s">
        <v>4548</v>
      </c>
      <c r="C12840" s="17" t="s">
        <v>3614</v>
      </c>
      <c r="D12840" s="17" t="s">
        <v>1407</v>
      </c>
      <c r="E12840" s="17" t="s">
        <v>3756</v>
      </c>
      <c r="F12840" s="17"/>
      <c r="G12840" s="18" t="n">
        <v>1.53</v>
      </c>
      <c r="H12840" s="18" t="n">
        <v>0</v>
      </c>
      <c r="I12840" s="18" t="n">
        <f aca="false">((I12839 + G12840) - H12840)</f>
        <v>-2192.86</v>
      </c>
      <c r="J12840" s="18" t="n">
        <v>0</v>
      </c>
      <c r="K12840" s="19" t="n">
        <v>0</v>
      </c>
      <c r="L12840" s="17"/>
    </row>
    <row r="12841" s="11" customFormat="true" ht="10.95" hidden="false" customHeight="true" outlineLevel="0" collapsed="false">
      <c r="A12841" s="16" t="n">
        <v>45237</v>
      </c>
      <c r="B12841" s="17" t="s">
        <v>4548</v>
      </c>
      <c r="C12841" s="17" t="s">
        <v>3614</v>
      </c>
      <c r="D12841" s="17" t="s">
        <v>1391</v>
      </c>
      <c r="E12841" s="17" t="s">
        <v>3615</v>
      </c>
      <c r="F12841" s="17" t="s">
        <v>1463</v>
      </c>
      <c r="G12841" s="18" t="n">
        <v>1628.62</v>
      </c>
      <c r="H12841" s="18" t="n">
        <v>0</v>
      </c>
      <c r="I12841" s="18" t="n">
        <f aca="false">((I12840 + G12841) - H12841)</f>
        <v>-564.240000000001</v>
      </c>
      <c r="J12841" s="18" t="n">
        <v>0</v>
      </c>
      <c r="K12841" s="19" t="n">
        <v>0</v>
      </c>
      <c r="L12841" s="17"/>
    </row>
    <row r="12842" s="11" customFormat="true" ht="10.95" hidden="false" customHeight="true" outlineLevel="0" collapsed="false">
      <c r="A12842" s="16" t="n">
        <v>45237</v>
      </c>
      <c r="B12842" s="17" t="s">
        <v>4548</v>
      </c>
      <c r="C12842" s="17" t="s">
        <v>3614</v>
      </c>
      <c r="D12842" s="17" t="s">
        <v>1407</v>
      </c>
      <c r="E12842" s="17" t="s">
        <v>3626</v>
      </c>
      <c r="F12842" s="17"/>
      <c r="G12842" s="18" t="n">
        <v>6.5</v>
      </c>
      <c r="H12842" s="18" t="n">
        <v>0</v>
      </c>
      <c r="I12842" s="18" t="n">
        <f aca="false">((I12841 + G12842) - H12842)</f>
        <v>-557.740000000001</v>
      </c>
      <c r="J12842" s="18" t="n">
        <v>0</v>
      </c>
      <c r="K12842" s="19" t="n">
        <v>0</v>
      </c>
      <c r="L12842" s="17"/>
    </row>
    <row r="12843" s="11" customFormat="true" ht="10.95" hidden="false" customHeight="true" outlineLevel="0" collapsed="false">
      <c r="A12843" s="16" t="n">
        <v>45237</v>
      </c>
      <c r="B12843" s="17" t="s">
        <v>4548</v>
      </c>
      <c r="C12843" s="17" t="s">
        <v>3614</v>
      </c>
      <c r="D12843" s="17" t="s">
        <v>1391</v>
      </c>
      <c r="E12843" s="17" t="s">
        <v>3666</v>
      </c>
      <c r="F12843" s="17" t="s">
        <v>3588</v>
      </c>
      <c r="G12843" s="18" t="n">
        <v>204.1</v>
      </c>
      <c r="H12843" s="18" t="n">
        <v>0</v>
      </c>
      <c r="I12843" s="18" t="n">
        <f aca="false">((I12842 + G12843) - H12843)</f>
        <v>-353.640000000001</v>
      </c>
      <c r="J12843" s="18" t="n">
        <v>0</v>
      </c>
      <c r="K12843" s="19" t="n">
        <v>0</v>
      </c>
      <c r="L12843" s="17"/>
    </row>
    <row r="12844" s="11" customFormat="true" ht="10.95" hidden="false" customHeight="true" outlineLevel="0" collapsed="false">
      <c r="A12844" s="16" t="n">
        <v>45237</v>
      </c>
      <c r="B12844" s="17" t="s">
        <v>4548</v>
      </c>
      <c r="C12844" s="17" t="s">
        <v>3614</v>
      </c>
      <c r="D12844" s="17" t="s">
        <v>1391</v>
      </c>
      <c r="E12844" s="17" t="s">
        <v>3622</v>
      </c>
      <c r="F12844" s="17" t="s">
        <v>1465</v>
      </c>
      <c r="G12844" s="18" t="n">
        <v>220.53</v>
      </c>
      <c r="H12844" s="18" t="n">
        <v>0</v>
      </c>
      <c r="I12844" s="18" t="n">
        <f aca="false">((I12843 + G12844) - H12844)</f>
        <v>-133.110000000001</v>
      </c>
      <c r="J12844" s="18" t="n">
        <v>0</v>
      </c>
      <c r="K12844" s="19" t="n">
        <v>0</v>
      </c>
      <c r="L12844" s="17"/>
    </row>
    <row r="12845" s="11" customFormat="true" ht="10.95" hidden="false" customHeight="true" outlineLevel="0" collapsed="false">
      <c r="A12845" s="16" t="n">
        <v>45237</v>
      </c>
      <c r="B12845" s="17" t="s">
        <v>4548</v>
      </c>
      <c r="C12845" s="17" t="s">
        <v>3614</v>
      </c>
      <c r="D12845" s="17" t="s">
        <v>1407</v>
      </c>
      <c r="E12845" s="17" t="s">
        <v>3642</v>
      </c>
      <c r="F12845" s="17"/>
      <c r="G12845" s="18" t="n">
        <v>40</v>
      </c>
      <c r="H12845" s="18" t="n">
        <v>0</v>
      </c>
      <c r="I12845" s="18" t="n">
        <f aca="false">((I12844 + G12845) - H12845)</f>
        <v>-93.1100000000011</v>
      </c>
      <c r="J12845" s="18" t="n">
        <v>0</v>
      </c>
      <c r="K12845" s="19" t="n">
        <v>0</v>
      </c>
      <c r="L12845" s="17"/>
    </row>
    <row r="12846" s="11" customFormat="true" ht="10.95" hidden="false" customHeight="true" outlineLevel="0" collapsed="false">
      <c r="A12846" s="16" t="n">
        <v>45238</v>
      </c>
      <c r="B12846" s="17" t="s">
        <v>4548</v>
      </c>
      <c r="C12846" s="17" t="s">
        <v>3614</v>
      </c>
      <c r="D12846" s="17" t="s">
        <v>1391</v>
      </c>
      <c r="E12846" s="17" t="s">
        <v>3621</v>
      </c>
      <c r="F12846" s="17" t="s">
        <v>2659</v>
      </c>
      <c r="G12846" s="18" t="n">
        <v>9.54</v>
      </c>
      <c r="H12846" s="18" t="n">
        <v>0</v>
      </c>
      <c r="I12846" s="18" t="n">
        <f aca="false">((I12845 + G12846) - H12846)</f>
        <v>-83.5700000000011</v>
      </c>
      <c r="J12846" s="18" t="n">
        <v>0</v>
      </c>
      <c r="K12846" s="19" t="n">
        <v>0</v>
      </c>
      <c r="L12846" s="17"/>
    </row>
    <row r="12847" s="11" customFormat="true" ht="10.95" hidden="false" customHeight="true" outlineLevel="0" collapsed="false">
      <c r="A12847" s="16" t="n">
        <v>45238</v>
      </c>
      <c r="B12847" s="17" t="s">
        <v>4548</v>
      </c>
      <c r="C12847" s="17" t="s">
        <v>3614</v>
      </c>
      <c r="D12847" s="17" t="s">
        <v>1391</v>
      </c>
      <c r="E12847" s="17" t="s">
        <v>3615</v>
      </c>
      <c r="F12847" s="17" t="s">
        <v>1467</v>
      </c>
      <c r="G12847" s="18" t="n">
        <v>181.5</v>
      </c>
      <c r="H12847" s="18" t="n">
        <v>0</v>
      </c>
      <c r="I12847" s="18" t="n">
        <f aca="false">((I12846 + G12847) - H12847)</f>
        <v>97.9299999999989</v>
      </c>
      <c r="J12847" s="18" t="n">
        <v>0</v>
      </c>
      <c r="K12847" s="19" t="n">
        <v>0</v>
      </c>
      <c r="L12847" s="17"/>
    </row>
    <row r="12848" s="11" customFormat="true" ht="10.95" hidden="false" customHeight="true" outlineLevel="0" collapsed="false">
      <c r="A12848" s="16" t="n">
        <v>45238</v>
      </c>
      <c r="B12848" s="17" t="s">
        <v>4548</v>
      </c>
      <c r="C12848" s="17" t="s">
        <v>3614</v>
      </c>
      <c r="D12848" s="17" t="s">
        <v>1407</v>
      </c>
      <c r="E12848" s="17" t="s">
        <v>3621</v>
      </c>
      <c r="F12848" s="17"/>
      <c r="G12848" s="18" t="n">
        <v>66.5</v>
      </c>
      <c r="H12848" s="18" t="n">
        <v>0</v>
      </c>
      <c r="I12848" s="18" t="n">
        <f aca="false">((I12847 + G12848) - H12848)</f>
        <v>164.429999999999</v>
      </c>
      <c r="J12848" s="18" t="n">
        <v>0</v>
      </c>
      <c r="K12848" s="19" t="n">
        <v>0</v>
      </c>
      <c r="L12848" s="17"/>
    </row>
    <row r="12849" s="11" customFormat="true" ht="10.95" hidden="false" customHeight="true" outlineLevel="0" collapsed="false">
      <c r="A12849" s="16" t="n">
        <v>45239</v>
      </c>
      <c r="B12849" s="17" t="s">
        <v>4548</v>
      </c>
      <c r="C12849" s="17" t="s">
        <v>3614</v>
      </c>
      <c r="D12849" s="17" t="s">
        <v>1391</v>
      </c>
      <c r="E12849" s="17" t="s">
        <v>3638</v>
      </c>
      <c r="F12849" s="17" t="s">
        <v>3274</v>
      </c>
      <c r="G12849" s="18" t="n">
        <v>278.5</v>
      </c>
      <c r="H12849" s="18" t="n">
        <v>0</v>
      </c>
      <c r="I12849" s="18" t="n">
        <f aca="false">((I12848 + G12849) - H12849)</f>
        <v>442.929999999999</v>
      </c>
      <c r="J12849" s="18" t="n">
        <v>0</v>
      </c>
      <c r="K12849" s="19" t="n">
        <v>0</v>
      </c>
      <c r="L12849" s="17"/>
    </row>
    <row r="12850" s="11" customFormat="true" ht="10.95" hidden="false" customHeight="true" outlineLevel="0" collapsed="false">
      <c r="A12850" s="16" t="n">
        <v>45240</v>
      </c>
      <c r="B12850" s="17" t="s">
        <v>4548</v>
      </c>
      <c r="C12850" s="17" t="s">
        <v>3614</v>
      </c>
      <c r="D12850" s="17" t="s">
        <v>1407</v>
      </c>
      <c r="E12850" s="17" t="s">
        <v>3896</v>
      </c>
      <c r="F12850" s="17"/>
      <c r="G12850" s="18" t="n">
        <v>1.91</v>
      </c>
      <c r="H12850" s="18" t="n">
        <v>0</v>
      </c>
      <c r="I12850" s="18" t="n">
        <f aca="false">((I12849 + G12850) - H12850)</f>
        <v>444.839999999999</v>
      </c>
      <c r="J12850" s="18" t="n">
        <v>0</v>
      </c>
      <c r="K12850" s="19" t="n">
        <v>0</v>
      </c>
      <c r="L12850" s="17"/>
    </row>
    <row r="12851" s="11" customFormat="true" ht="10.95" hidden="false" customHeight="true" outlineLevel="0" collapsed="false">
      <c r="A12851" s="16" t="n">
        <v>45240</v>
      </c>
      <c r="B12851" s="17" t="s">
        <v>4548</v>
      </c>
      <c r="C12851" s="17" t="s">
        <v>3614</v>
      </c>
      <c r="D12851" s="17" t="s">
        <v>1407</v>
      </c>
      <c r="E12851" s="17" t="s">
        <v>4096</v>
      </c>
      <c r="F12851" s="17"/>
      <c r="G12851" s="18" t="n">
        <v>68.82</v>
      </c>
      <c r="H12851" s="18" t="n">
        <v>0</v>
      </c>
      <c r="I12851" s="18" t="n">
        <f aca="false">((I12850 + G12851) - H12851)</f>
        <v>513.659999999999</v>
      </c>
      <c r="J12851" s="18" t="n">
        <v>0</v>
      </c>
      <c r="K12851" s="19" t="n">
        <v>0</v>
      </c>
      <c r="L12851" s="17"/>
    </row>
    <row r="12852" s="11" customFormat="true" ht="10.95" hidden="false" customHeight="true" outlineLevel="0" collapsed="false">
      <c r="A12852" s="16" t="n">
        <v>45240</v>
      </c>
      <c r="B12852" s="17" t="s">
        <v>4548</v>
      </c>
      <c r="C12852" s="17" t="s">
        <v>3614</v>
      </c>
      <c r="D12852" s="17" t="s">
        <v>1407</v>
      </c>
      <c r="E12852" s="17" t="s">
        <v>2747</v>
      </c>
      <c r="F12852" s="17"/>
      <c r="G12852" s="18" t="n">
        <v>29.09</v>
      </c>
      <c r="H12852" s="18" t="n">
        <v>0</v>
      </c>
      <c r="I12852" s="18" t="n">
        <f aca="false">((I12851 + G12852) - H12852)</f>
        <v>542.749999999999</v>
      </c>
      <c r="J12852" s="18" t="n">
        <v>0</v>
      </c>
      <c r="K12852" s="19" t="n">
        <v>0</v>
      </c>
      <c r="L12852" s="17"/>
    </row>
    <row r="12853" s="11" customFormat="true" ht="10.95" hidden="false" customHeight="true" outlineLevel="0" collapsed="false">
      <c r="A12853" s="16" t="n">
        <v>45240</v>
      </c>
      <c r="B12853" s="17" t="s">
        <v>4548</v>
      </c>
      <c r="C12853" s="17" t="s">
        <v>3614</v>
      </c>
      <c r="D12853" s="17" t="s">
        <v>1407</v>
      </c>
      <c r="E12853" s="17" t="s">
        <v>3720</v>
      </c>
      <c r="F12853" s="17"/>
      <c r="G12853" s="18" t="n">
        <v>180.2</v>
      </c>
      <c r="H12853" s="18" t="n">
        <v>0</v>
      </c>
      <c r="I12853" s="18" t="n">
        <f aca="false">((I12852 + G12853) - H12853)</f>
        <v>722.949999999999</v>
      </c>
      <c r="J12853" s="18" t="n">
        <v>0</v>
      </c>
      <c r="K12853" s="19" t="n">
        <v>0</v>
      </c>
      <c r="L12853" s="17"/>
    </row>
    <row r="12854" s="11" customFormat="true" ht="10.95" hidden="false" customHeight="true" outlineLevel="0" collapsed="false">
      <c r="A12854" s="16" t="n">
        <v>45240</v>
      </c>
      <c r="B12854" s="17" t="s">
        <v>4548</v>
      </c>
      <c r="C12854" s="17" t="s">
        <v>3614</v>
      </c>
      <c r="D12854" s="17" t="s">
        <v>1391</v>
      </c>
      <c r="E12854" s="17" t="s">
        <v>3666</v>
      </c>
      <c r="F12854" s="17" t="s">
        <v>3590</v>
      </c>
      <c r="G12854" s="18" t="n">
        <v>57.2</v>
      </c>
      <c r="H12854" s="18" t="n">
        <v>0</v>
      </c>
      <c r="I12854" s="18" t="n">
        <f aca="false">((I12853 + G12854) - H12854)</f>
        <v>780.149999999999</v>
      </c>
      <c r="J12854" s="18" t="n">
        <v>0</v>
      </c>
      <c r="K12854" s="19" t="n">
        <v>0</v>
      </c>
      <c r="L12854" s="17"/>
    </row>
    <row r="12855" s="11" customFormat="true" ht="10.95" hidden="false" customHeight="true" outlineLevel="0" collapsed="false">
      <c r="A12855" s="16" t="n">
        <v>45241</v>
      </c>
      <c r="B12855" s="17" t="s">
        <v>4548</v>
      </c>
      <c r="C12855" s="17" t="s">
        <v>3614</v>
      </c>
      <c r="D12855" s="17" t="s">
        <v>1407</v>
      </c>
      <c r="E12855" s="17" t="s">
        <v>4097</v>
      </c>
      <c r="F12855" s="17"/>
      <c r="G12855" s="18" t="n">
        <v>32.46</v>
      </c>
      <c r="H12855" s="18" t="n">
        <v>0</v>
      </c>
      <c r="I12855" s="18" t="n">
        <f aca="false">((I12854 + G12855) - H12855)</f>
        <v>812.609999999999</v>
      </c>
      <c r="J12855" s="18" t="n">
        <v>0</v>
      </c>
      <c r="K12855" s="19" t="n">
        <v>0</v>
      </c>
      <c r="L12855" s="17"/>
    </row>
    <row r="12856" s="11" customFormat="true" ht="10.95" hidden="false" customHeight="true" outlineLevel="0" collapsed="false">
      <c r="A12856" s="16" t="n">
        <v>45244</v>
      </c>
      <c r="B12856" s="17" t="s">
        <v>4548</v>
      </c>
      <c r="C12856" s="17" t="s">
        <v>3614</v>
      </c>
      <c r="D12856" s="17" t="s">
        <v>1391</v>
      </c>
      <c r="E12856" s="17" t="s">
        <v>3641</v>
      </c>
      <c r="F12856" s="17" t="s">
        <v>2664</v>
      </c>
      <c r="G12856" s="18" t="n">
        <v>16.76</v>
      </c>
      <c r="H12856" s="18" t="n">
        <v>0</v>
      </c>
      <c r="I12856" s="18" t="n">
        <f aca="false">((I12855 + G12856) - H12856)</f>
        <v>829.369999999999</v>
      </c>
      <c r="J12856" s="18" t="n">
        <v>0</v>
      </c>
      <c r="K12856" s="19" t="n">
        <v>0</v>
      </c>
      <c r="L12856" s="17"/>
    </row>
    <row r="12857" s="11" customFormat="true" ht="10.95" hidden="false" customHeight="true" outlineLevel="0" collapsed="false">
      <c r="A12857" s="16" t="n">
        <v>45246</v>
      </c>
      <c r="B12857" s="17" t="s">
        <v>4548</v>
      </c>
      <c r="C12857" s="17" t="s">
        <v>3614</v>
      </c>
      <c r="D12857" s="17" t="s">
        <v>1407</v>
      </c>
      <c r="E12857" s="17" t="s">
        <v>3642</v>
      </c>
      <c r="F12857" s="17"/>
      <c r="G12857" s="18" t="n">
        <v>1.65</v>
      </c>
      <c r="H12857" s="18" t="n">
        <v>0</v>
      </c>
      <c r="I12857" s="18" t="n">
        <f aca="false">((I12856 + G12857) - H12857)</f>
        <v>831.019999999999</v>
      </c>
      <c r="J12857" s="18" t="n">
        <v>0</v>
      </c>
      <c r="K12857" s="19" t="n">
        <v>0</v>
      </c>
      <c r="L12857" s="17"/>
    </row>
    <row r="12858" s="11" customFormat="true" ht="10.95" hidden="false" customHeight="true" outlineLevel="0" collapsed="false">
      <c r="A12858" s="16" t="n">
        <v>45246</v>
      </c>
      <c r="B12858" s="17" t="s">
        <v>4548</v>
      </c>
      <c r="C12858" s="17" t="s">
        <v>3614</v>
      </c>
      <c r="D12858" s="17" t="s">
        <v>1407</v>
      </c>
      <c r="E12858" s="17" t="s">
        <v>3642</v>
      </c>
      <c r="F12858" s="17"/>
      <c r="G12858" s="18" t="n">
        <v>1.72</v>
      </c>
      <c r="H12858" s="18" t="n">
        <v>0</v>
      </c>
      <c r="I12858" s="18" t="n">
        <f aca="false">((I12857 + G12858) - H12858)</f>
        <v>832.739999999999</v>
      </c>
      <c r="J12858" s="18" t="n">
        <v>0</v>
      </c>
      <c r="K12858" s="19" t="n">
        <v>0</v>
      </c>
      <c r="L12858" s="17"/>
    </row>
    <row r="12859" s="11" customFormat="true" ht="10.95" hidden="false" customHeight="true" outlineLevel="0" collapsed="false">
      <c r="A12859" s="16" t="n">
        <v>45248</v>
      </c>
      <c r="B12859" s="17" t="s">
        <v>4548</v>
      </c>
      <c r="C12859" s="17" t="s">
        <v>3614</v>
      </c>
      <c r="D12859" s="17" t="s">
        <v>1391</v>
      </c>
      <c r="E12859" s="17" t="s">
        <v>3642</v>
      </c>
      <c r="F12859" s="17" t="s">
        <v>2372</v>
      </c>
      <c r="G12859" s="18" t="n">
        <v>2.2</v>
      </c>
      <c r="H12859" s="18" t="n">
        <v>0</v>
      </c>
      <c r="I12859" s="18" t="n">
        <f aca="false">((I12858 + G12859) - H12859)</f>
        <v>834.939999999999</v>
      </c>
      <c r="J12859" s="18" t="n">
        <v>0</v>
      </c>
      <c r="K12859" s="19" t="n">
        <v>0</v>
      </c>
      <c r="L12859" s="17"/>
    </row>
    <row r="12860" s="11" customFormat="true" ht="10.95" hidden="false" customHeight="true" outlineLevel="0" collapsed="false">
      <c r="A12860" s="16" t="n">
        <v>45248</v>
      </c>
      <c r="B12860" s="17" t="s">
        <v>4548</v>
      </c>
      <c r="C12860" s="17" t="s">
        <v>3614</v>
      </c>
      <c r="D12860" s="17" t="s">
        <v>1391</v>
      </c>
      <c r="E12860" s="17" t="s">
        <v>3642</v>
      </c>
      <c r="F12860" s="17" t="s">
        <v>2374</v>
      </c>
      <c r="G12860" s="18" t="n">
        <v>6.96</v>
      </c>
      <c r="H12860" s="18" t="n">
        <v>0</v>
      </c>
      <c r="I12860" s="18" t="n">
        <f aca="false">((I12859 + G12860) - H12860)</f>
        <v>841.899999999999</v>
      </c>
      <c r="J12860" s="18" t="n">
        <v>0</v>
      </c>
      <c r="K12860" s="19" t="n">
        <v>0</v>
      </c>
      <c r="L12860" s="17"/>
    </row>
    <row r="12861" s="11" customFormat="true" ht="10.95" hidden="false" customHeight="true" outlineLevel="0" collapsed="false">
      <c r="A12861" s="16" t="n">
        <v>45248</v>
      </c>
      <c r="B12861" s="17" t="s">
        <v>4548</v>
      </c>
      <c r="C12861" s="17" t="s">
        <v>3614</v>
      </c>
      <c r="D12861" s="17" t="s">
        <v>1391</v>
      </c>
      <c r="E12861" s="17" t="s">
        <v>3642</v>
      </c>
      <c r="F12861" s="17" t="s">
        <v>2376</v>
      </c>
      <c r="G12861" s="18" t="n">
        <v>4.12</v>
      </c>
      <c r="H12861" s="18" t="n">
        <v>0</v>
      </c>
      <c r="I12861" s="18" t="n">
        <f aca="false">((I12860 + G12861) - H12861)</f>
        <v>846.019999999999</v>
      </c>
      <c r="J12861" s="18" t="n">
        <v>0</v>
      </c>
      <c r="K12861" s="19" t="n">
        <v>0</v>
      </c>
      <c r="L12861" s="17"/>
    </row>
    <row r="12862" s="11" customFormat="true" ht="10.95" hidden="false" customHeight="true" outlineLevel="0" collapsed="false">
      <c r="A12862" s="16" t="n">
        <v>45248</v>
      </c>
      <c r="B12862" s="17" t="s">
        <v>4548</v>
      </c>
      <c r="C12862" s="17" t="s">
        <v>3614</v>
      </c>
      <c r="D12862" s="17" t="s">
        <v>1391</v>
      </c>
      <c r="E12862" s="17" t="s">
        <v>3642</v>
      </c>
      <c r="F12862" s="17" t="s">
        <v>2378</v>
      </c>
      <c r="G12862" s="18" t="n">
        <v>0.82</v>
      </c>
      <c r="H12862" s="18" t="n">
        <v>0</v>
      </c>
      <c r="I12862" s="18" t="n">
        <f aca="false">((I12861 + G12862) - H12862)</f>
        <v>846.839999999999</v>
      </c>
      <c r="J12862" s="18" t="n">
        <v>0</v>
      </c>
      <c r="K12862" s="19" t="n">
        <v>0</v>
      </c>
      <c r="L12862" s="17"/>
    </row>
    <row r="12863" s="11" customFormat="true" ht="10.95" hidden="false" customHeight="true" outlineLevel="0" collapsed="false">
      <c r="A12863" s="16" t="n">
        <v>45248</v>
      </c>
      <c r="B12863" s="17" t="s">
        <v>4548</v>
      </c>
      <c r="C12863" s="17" t="s">
        <v>3614</v>
      </c>
      <c r="D12863" s="17" t="s">
        <v>1391</v>
      </c>
      <c r="E12863" s="17" t="s">
        <v>3642</v>
      </c>
      <c r="F12863" s="17" t="s">
        <v>2380</v>
      </c>
      <c r="G12863" s="18" t="n">
        <v>3.02</v>
      </c>
      <c r="H12863" s="18" t="n">
        <v>0</v>
      </c>
      <c r="I12863" s="18" t="n">
        <f aca="false">((I12862 + G12863) - H12863)</f>
        <v>849.859999999999</v>
      </c>
      <c r="J12863" s="18" t="n">
        <v>0</v>
      </c>
      <c r="K12863" s="19" t="n">
        <v>0</v>
      </c>
      <c r="L12863" s="17"/>
    </row>
    <row r="12864" s="11" customFormat="true" ht="10.95" hidden="false" customHeight="true" outlineLevel="0" collapsed="false">
      <c r="A12864" s="16" t="n">
        <v>45248</v>
      </c>
      <c r="B12864" s="17" t="s">
        <v>4548</v>
      </c>
      <c r="C12864" s="17" t="s">
        <v>3614</v>
      </c>
      <c r="D12864" s="17" t="s">
        <v>1391</v>
      </c>
      <c r="E12864" s="17" t="s">
        <v>3642</v>
      </c>
      <c r="F12864" s="17" t="s">
        <v>2382</v>
      </c>
      <c r="G12864" s="18" t="n">
        <v>6.2</v>
      </c>
      <c r="H12864" s="18" t="n">
        <v>0</v>
      </c>
      <c r="I12864" s="18" t="n">
        <f aca="false">((I12863 + G12864) - H12864)</f>
        <v>856.059999999999</v>
      </c>
      <c r="J12864" s="18" t="n">
        <v>0</v>
      </c>
      <c r="K12864" s="19" t="n">
        <v>0</v>
      </c>
      <c r="L12864" s="17"/>
    </row>
    <row r="12865" s="11" customFormat="true" ht="10.95" hidden="false" customHeight="true" outlineLevel="0" collapsed="false">
      <c r="A12865" s="16" t="n">
        <v>45248</v>
      </c>
      <c r="B12865" s="17" t="s">
        <v>4548</v>
      </c>
      <c r="C12865" s="17" t="s">
        <v>3614</v>
      </c>
      <c r="D12865" s="17" t="s">
        <v>1391</v>
      </c>
      <c r="E12865" s="17" t="s">
        <v>3642</v>
      </c>
      <c r="F12865" s="17" t="s">
        <v>2384</v>
      </c>
      <c r="G12865" s="18" t="n">
        <v>19.98</v>
      </c>
      <c r="H12865" s="18" t="n">
        <v>0</v>
      </c>
      <c r="I12865" s="18" t="n">
        <f aca="false">((I12864 + G12865) - H12865)</f>
        <v>876.039999999999</v>
      </c>
      <c r="J12865" s="18" t="n">
        <v>0</v>
      </c>
      <c r="K12865" s="19" t="n">
        <v>0</v>
      </c>
      <c r="L12865" s="17"/>
    </row>
    <row r="12866" s="11" customFormat="true" ht="10.95" hidden="false" customHeight="true" outlineLevel="0" collapsed="false">
      <c r="A12866" s="16" t="n">
        <v>45248</v>
      </c>
      <c r="B12866" s="17" t="s">
        <v>4548</v>
      </c>
      <c r="C12866" s="17" t="s">
        <v>3614</v>
      </c>
      <c r="D12866" s="17" t="s">
        <v>1391</v>
      </c>
      <c r="E12866" s="17" t="s">
        <v>3642</v>
      </c>
      <c r="F12866" s="17" t="s">
        <v>2386</v>
      </c>
      <c r="G12866" s="18" t="n">
        <v>5.5</v>
      </c>
      <c r="H12866" s="18" t="n">
        <v>0</v>
      </c>
      <c r="I12866" s="18" t="n">
        <f aca="false">((I12865 + G12866) - H12866)</f>
        <v>881.539999999999</v>
      </c>
      <c r="J12866" s="18" t="n">
        <v>0</v>
      </c>
      <c r="K12866" s="19" t="n">
        <v>0</v>
      </c>
      <c r="L12866" s="17"/>
    </row>
    <row r="12867" s="11" customFormat="true" ht="10.95" hidden="false" customHeight="true" outlineLevel="0" collapsed="false">
      <c r="A12867" s="16" t="n">
        <v>45248</v>
      </c>
      <c r="B12867" s="17" t="s">
        <v>4548</v>
      </c>
      <c r="C12867" s="17" t="s">
        <v>3614</v>
      </c>
      <c r="D12867" s="17" t="s">
        <v>1407</v>
      </c>
      <c r="E12867" s="17" t="s">
        <v>3900</v>
      </c>
      <c r="F12867" s="17"/>
      <c r="G12867" s="18" t="n">
        <v>1.36</v>
      </c>
      <c r="H12867" s="18" t="n">
        <v>0</v>
      </c>
      <c r="I12867" s="18" t="n">
        <f aca="false">((I12866 + G12867) - H12867)</f>
        <v>882.899999999999</v>
      </c>
      <c r="J12867" s="18" t="n">
        <v>0</v>
      </c>
      <c r="K12867" s="19" t="n">
        <v>0</v>
      </c>
      <c r="L12867" s="17"/>
    </row>
    <row r="12868" s="11" customFormat="true" ht="10.95" hidden="false" customHeight="true" outlineLevel="0" collapsed="false">
      <c r="A12868" s="16" t="n">
        <v>45248</v>
      </c>
      <c r="B12868" s="17" t="s">
        <v>4548</v>
      </c>
      <c r="C12868" s="17" t="s">
        <v>3614</v>
      </c>
      <c r="D12868" s="17" t="s">
        <v>1407</v>
      </c>
      <c r="E12868" s="17" t="s">
        <v>3901</v>
      </c>
      <c r="F12868" s="17"/>
      <c r="G12868" s="18" t="n">
        <v>7.71</v>
      </c>
      <c r="H12868" s="18" t="n">
        <v>0</v>
      </c>
      <c r="I12868" s="18" t="n">
        <f aca="false">((I12867 + G12868) - H12868)</f>
        <v>890.609999999999</v>
      </c>
      <c r="J12868" s="18" t="n">
        <v>0</v>
      </c>
      <c r="K12868" s="19" t="n">
        <v>0</v>
      </c>
      <c r="L12868" s="17"/>
    </row>
    <row r="12869" s="11" customFormat="true" ht="10.95" hidden="false" customHeight="true" outlineLevel="0" collapsed="false">
      <c r="A12869" s="16" t="n">
        <v>45248</v>
      </c>
      <c r="B12869" s="17" t="s">
        <v>4548</v>
      </c>
      <c r="C12869" s="17" t="s">
        <v>3614</v>
      </c>
      <c r="D12869" s="17" t="s">
        <v>1407</v>
      </c>
      <c r="E12869" s="17" t="s">
        <v>3902</v>
      </c>
      <c r="F12869" s="17"/>
      <c r="G12869" s="18" t="n">
        <v>24.77</v>
      </c>
      <c r="H12869" s="18" t="n">
        <v>0</v>
      </c>
      <c r="I12869" s="18" t="n">
        <f aca="false">((I12868 + G12869) - H12869)</f>
        <v>915.379999999999</v>
      </c>
      <c r="J12869" s="18" t="n">
        <v>0</v>
      </c>
      <c r="K12869" s="19" t="n">
        <v>0</v>
      </c>
      <c r="L12869" s="17"/>
    </row>
    <row r="12870" s="11" customFormat="true" ht="10.95" hidden="false" customHeight="true" outlineLevel="0" collapsed="false">
      <c r="A12870" s="16" t="n">
        <v>45248</v>
      </c>
      <c r="B12870" s="17" t="s">
        <v>4548</v>
      </c>
      <c r="C12870" s="17" t="s">
        <v>3614</v>
      </c>
      <c r="D12870" s="17" t="s">
        <v>1407</v>
      </c>
      <c r="E12870" s="17" t="s">
        <v>3621</v>
      </c>
      <c r="F12870" s="17"/>
      <c r="G12870" s="18" t="n">
        <v>69.12</v>
      </c>
      <c r="H12870" s="18" t="n">
        <v>0</v>
      </c>
      <c r="I12870" s="18" t="n">
        <f aca="false">((I12869 + G12870) - H12870)</f>
        <v>984.499999999999</v>
      </c>
      <c r="J12870" s="18" t="n">
        <v>0</v>
      </c>
      <c r="K12870" s="19" t="n">
        <v>0</v>
      </c>
      <c r="L12870" s="17"/>
    </row>
    <row r="12871" s="11" customFormat="true" ht="10.95" hidden="false" customHeight="true" outlineLevel="0" collapsed="false">
      <c r="A12871" s="16" t="n">
        <v>45248</v>
      </c>
      <c r="B12871" s="17" t="s">
        <v>4548</v>
      </c>
      <c r="C12871" s="17" t="s">
        <v>3614</v>
      </c>
      <c r="D12871" s="17" t="s">
        <v>1407</v>
      </c>
      <c r="E12871" s="17" t="s">
        <v>4111</v>
      </c>
      <c r="F12871" s="17"/>
      <c r="G12871" s="18" t="n">
        <v>5.54</v>
      </c>
      <c r="H12871" s="18" t="n">
        <v>0</v>
      </c>
      <c r="I12871" s="18" t="n">
        <f aca="false">((I12870 + G12871) - H12871)</f>
        <v>990.039999999999</v>
      </c>
      <c r="J12871" s="18" t="n">
        <v>0</v>
      </c>
      <c r="K12871" s="19" t="n">
        <v>0</v>
      </c>
      <c r="L12871" s="17"/>
    </row>
    <row r="12872" s="11" customFormat="true" ht="10.95" hidden="false" customHeight="true" outlineLevel="0" collapsed="false">
      <c r="A12872" s="16" t="n">
        <v>45249</v>
      </c>
      <c r="B12872" s="17" t="s">
        <v>4548</v>
      </c>
      <c r="C12872" s="17" t="s">
        <v>3614</v>
      </c>
      <c r="D12872" s="17" t="s">
        <v>1407</v>
      </c>
      <c r="E12872" s="17" t="s">
        <v>3810</v>
      </c>
      <c r="F12872" s="17"/>
      <c r="G12872" s="18" t="n">
        <v>176.86</v>
      </c>
      <c r="H12872" s="18" t="n">
        <v>0</v>
      </c>
      <c r="I12872" s="18" t="n">
        <f aca="false">((I12871 + G12872) - H12872)</f>
        <v>1166.9</v>
      </c>
      <c r="J12872" s="18" t="n">
        <v>0</v>
      </c>
      <c r="K12872" s="19" t="n">
        <v>0</v>
      </c>
      <c r="L12872" s="17"/>
    </row>
    <row r="12873" s="11" customFormat="true" ht="10.95" hidden="false" customHeight="true" outlineLevel="0" collapsed="false">
      <c r="A12873" s="16" t="n">
        <v>45250</v>
      </c>
      <c r="B12873" s="17" t="s">
        <v>4548</v>
      </c>
      <c r="C12873" s="17" t="s">
        <v>3614</v>
      </c>
      <c r="D12873" s="17" t="s">
        <v>1407</v>
      </c>
      <c r="E12873" s="17" t="s">
        <v>3810</v>
      </c>
      <c r="F12873" s="17"/>
      <c r="G12873" s="18" t="n">
        <v>915.36</v>
      </c>
      <c r="H12873" s="18" t="n">
        <v>0</v>
      </c>
      <c r="I12873" s="18" t="n">
        <f aca="false">((I12872 + G12873) - H12873)</f>
        <v>2082.26</v>
      </c>
      <c r="J12873" s="18" t="n">
        <v>0</v>
      </c>
      <c r="K12873" s="19" t="n">
        <v>0</v>
      </c>
      <c r="L12873" s="17"/>
    </row>
    <row r="12874" s="11" customFormat="true" ht="10.95" hidden="false" customHeight="true" outlineLevel="0" collapsed="false">
      <c r="A12874" s="16" t="n">
        <v>45251</v>
      </c>
      <c r="B12874" s="17" t="s">
        <v>4548</v>
      </c>
      <c r="C12874" s="17" t="s">
        <v>3614</v>
      </c>
      <c r="D12874" s="17" t="s">
        <v>1455</v>
      </c>
      <c r="E12874" s="17" t="s">
        <v>3622</v>
      </c>
      <c r="F12874" s="17" t="s">
        <v>1465</v>
      </c>
      <c r="G12874" s="18" t="n">
        <v>0</v>
      </c>
      <c r="H12874" s="18" t="n">
        <v>28.03</v>
      </c>
      <c r="I12874" s="18" t="n">
        <f aca="false">((I12873 + G12874) - H12874)</f>
        <v>2054.23</v>
      </c>
      <c r="J12874" s="18" t="n">
        <v>0</v>
      </c>
      <c r="K12874" s="19" t="n">
        <v>0</v>
      </c>
      <c r="L12874" s="17"/>
    </row>
    <row r="12875" s="11" customFormat="true" ht="10.95" hidden="false" customHeight="true" outlineLevel="0" collapsed="false">
      <c r="A12875" s="16" t="n">
        <v>45251</v>
      </c>
      <c r="B12875" s="17" t="s">
        <v>4548</v>
      </c>
      <c r="C12875" s="17" t="s">
        <v>3614</v>
      </c>
      <c r="D12875" s="17" t="s">
        <v>1407</v>
      </c>
      <c r="E12875" s="17" t="s">
        <v>3865</v>
      </c>
      <c r="F12875" s="17"/>
      <c r="G12875" s="18" t="n">
        <v>16.79</v>
      </c>
      <c r="H12875" s="18" t="n">
        <v>0</v>
      </c>
      <c r="I12875" s="18" t="n">
        <f aca="false">((I12874 + G12875) - H12875)</f>
        <v>2071.02</v>
      </c>
      <c r="J12875" s="18" t="n">
        <v>0</v>
      </c>
      <c r="K12875" s="19" t="n">
        <v>0</v>
      </c>
      <c r="L12875" s="17"/>
    </row>
    <row r="12876" s="11" customFormat="true" ht="10.95" hidden="false" customHeight="true" outlineLevel="0" collapsed="false">
      <c r="A12876" s="16" t="n">
        <v>45251</v>
      </c>
      <c r="B12876" s="17" t="s">
        <v>4548</v>
      </c>
      <c r="C12876" s="17" t="s">
        <v>3614</v>
      </c>
      <c r="D12876" s="17" t="s">
        <v>1391</v>
      </c>
      <c r="E12876" s="17" t="s">
        <v>3638</v>
      </c>
      <c r="F12876" s="17" t="s">
        <v>3276</v>
      </c>
      <c r="G12876" s="18" t="n">
        <v>264.1</v>
      </c>
      <c r="H12876" s="18" t="n">
        <v>0</v>
      </c>
      <c r="I12876" s="18" t="n">
        <f aca="false">((I12875 + G12876) - H12876)</f>
        <v>2335.12</v>
      </c>
      <c r="J12876" s="18" t="n">
        <v>0</v>
      </c>
      <c r="K12876" s="19" t="n">
        <v>0</v>
      </c>
      <c r="L12876" s="17"/>
    </row>
    <row r="12877" s="11" customFormat="true" ht="10.95" hidden="false" customHeight="true" outlineLevel="0" collapsed="false">
      <c r="A12877" s="16" t="n">
        <v>45251</v>
      </c>
      <c r="B12877" s="17" t="s">
        <v>4548</v>
      </c>
      <c r="C12877" s="17" t="s">
        <v>3614</v>
      </c>
      <c r="D12877" s="17" t="s">
        <v>1407</v>
      </c>
      <c r="E12877" s="17" t="s">
        <v>2747</v>
      </c>
      <c r="F12877" s="17"/>
      <c r="G12877" s="18" t="n">
        <v>2.73</v>
      </c>
      <c r="H12877" s="18" t="n">
        <v>0</v>
      </c>
      <c r="I12877" s="18" t="n">
        <f aca="false">((I12876 + G12877) - H12877)</f>
        <v>2337.85</v>
      </c>
      <c r="J12877" s="18" t="n">
        <v>0</v>
      </c>
      <c r="K12877" s="19" t="n">
        <v>0</v>
      </c>
      <c r="L12877" s="17"/>
    </row>
    <row r="12878" s="11" customFormat="true" ht="10.95" hidden="false" customHeight="true" outlineLevel="0" collapsed="false">
      <c r="A12878" s="16" t="n">
        <v>45252</v>
      </c>
      <c r="B12878" s="17" t="s">
        <v>4548</v>
      </c>
      <c r="C12878" s="17" t="s">
        <v>3614</v>
      </c>
      <c r="D12878" s="17" t="s">
        <v>1407</v>
      </c>
      <c r="E12878" s="17" t="s">
        <v>4111</v>
      </c>
      <c r="F12878" s="17"/>
      <c r="G12878" s="18" t="n">
        <v>27.36</v>
      </c>
      <c r="H12878" s="18" t="n">
        <v>0</v>
      </c>
      <c r="I12878" s="18" t="n">
        <f aca="false">((I12877 + G12878) - H12878)</f>
        <v>2365.21</v>
      </c>
      <c r="J12878" s="18" t="n">
        <v>0</v>
      </c>
      <c r="K12878" s="19" t="n">
        <v>0</v>
      </c>
      <c r="L12878" s="17"/>
    </row>
    <row r="12879" s="11" customFormat="true" ht="10.95" hidden="false" customHeight="true" outlineLevel="0" collapsed="false">
      <c r="A12879" s="16" t="n">
        <v>45253</v>
      </c>
      <c r="B12879" s="17" t="s">
        <v>4548</v>
      </c>
      <c r="C12879" s="17" t="s">
        <v>3614</v>
      </c>
      <c r="D12879" s="17" t="s">
        <v>19</v>
      </c>
      <c r="E12879" s="17" t="s">
        <v>3501</v>
      </c>
      <c r="F12879" s="17" t="s">
        <v>333</v>
      </c>
      <c r="G12879" s="18" t="n">
        <v>0</v>
      </c>
      <c r="H12879" s="18" t="n">
        <v>14.3</v>
      </c>
      <c r="I12879" s="18" t="n">
        <f aca="false">((I12878 + G12879) - H12879)</f>
        <v>2350.91</v>
      </c>
      <c r="J12879" s="18" t="n">
        <v>0</v>
      </c>
      <c r="K12879" s="19" t="n">
        <v>0</v>
      </c>
      <c r="L12879" s="17"/>
    </row>
    <row r="12880" s="11" customFormat="true" ht="10.95" hidden="false" customHeight="true" outlineLevel="0" collapsed="false">
      <c r="A12880" s="16" t="n">
        <v>45253</v>
      </c>
      <c r="B12880" s="17" t="s">
        <v>4548</v>
      </c>
      <c r="C12880" s="17" t="s">
        <v>3614</v>
      </c>
      <c r="D12880" s="17" t="s">
        <v>19</v>
      </c>
      <c r="E12880" s="17" t="s">
        <v>3502</v>
      </c>
      <c r="F12880" s="17" t="s">
        <v>334</v>
      </c>
      <c r="G12880" s="18" t="n">
        <v>0</v>
      </c>
      <c r="H12880" s="18" t="n">
        <v>18.15</v>
      </c>
      <c r="I12880" s="18" t="n">
        <f aca="false">((I12879 + G12880) - H12880)</f>
        <v>2332.76</v>
      </c>
      <c r="J12880" s="18" t="n">
        <v>0</v>
      </c>
      <c r="K12880" s="19" t="n">
        <v>0</v>
      </c>
      <c r="L12880" s="17"/>
    </row>
    <row r="12881" s="11" customFormat="true" ht="10.95" hidden="false" customHeight="true" outlineLevel="0" collapsed="false">
      <c r="A12881" s="16" t="n">
        <v>45253</v>
      </c>
      <c r="B12881" s="17" t="s">
        <v>4548</v>
      </c>
      <c r="C12881" s="17" t="s">
        <v>3614</v>
      </c>
      <c r="D12881" s="17" t="s">
        <v>19</v>
      </c>
      <c r="E12881" s="17" t="s">
        <v>3490</v>
      </c>
      <c r="F12881" s="17" t="s">
        <v>335</v>
      </c>
      <c r="G12881" s="18" t="n">
        <v>0</v>
      </c>
      <c r="H12881" s="18" t="n">
        <v>94.05</v>
      </c>
      <c r="I12881" s="18" t="n">
        <f aca="false">((I12880 + G12881) - H12881)</f>
        <v>2238.71</v>
      </c>
      <c r="J12881" s="18" t="n">
        <v>0</v>
      </c>
      <c r="K12881" s="19" t="n">
        <v>0</v>
      </c>
      <c r="L12881" s="17"/>
    </row>
    <row r="12882" s="11" customFormat="true" ht="10.95" hidden="false" customHeight="true" outlineLevel="0" collapsed="false">
      <c r="A12882" s="16" t="n">
        <v>45253</v>
      </c>
      <c r="B12882" s="17" t="s">
        <v>4548</v>
      </c>
      <c r="C12882" s="17" t="s">
        <v>3614</v>
      </c>
      <c r="D12882" s="17" t="s">
        <v>19</v>
      </c>
      <c r="E12882" s="17" t="s">
        <v>3424</v>
      </c>
      <c r="F12882" s="17" t="s">
        <v>336</v>
      </c>
      <c r="G12882" s="18" t="n">
        <v>0</v>
      </c>
      <c r="H12882" s="18" t="n">
        <v>37.6</v>
      </c>
      <c r="I12882" s="18" t="n">
        <f aca="false">((I12881 + G12882) - H12882)</f>
        <v>2201.11</v>
      </c>
      <c r="J12882" s="18" t="n">
        <v>0</v>
      </c>
      <c r="K12882" s="19" t="n">
        <v>0</v>
      </c>
      <c r="L12882" s="17"/>
    </row>
    <row r="12883" s="11" customFormat="true" ht="10.95" hidden="false" customHeight="true" outlineLevel="0" collapsed="false">
      <c r="A12883" s="16" t="n">
        <v>45253</v>
      </c>
      <c r="B12883" s="17" t="s">
        <v>4548</v>
      </c>
      <c r="C12883" s="17" t="s">
        <v>3614</v>
      </c>
      <c r="D12883" s="17" t="s">
        <v>19</v>
      </c>
      <c r="E12883" s="17" t="s">
        <v>3426</v>
      </c>
      <c r="F12883" s="17" t="s">
        <v>337</v>
      </c>
      <c r="G12883" s="18" t="n">
        <v>0</v>
      </c>
      <c r="H12883" s="18" t="n">
        <v>126</v>
      </c>
      <c r="I12883" s="18" t="n">
        <f aca="false">((I12882 + G12883) - H12883)</f>
        <v>2075.11</v>
      </c>
      <c r="J12883" s="18" t="n">
        <v>0</v>
      </c>
      <c r="K12883" s="19" t="n">
        <v>0</v>
      </c>
      <c r="L12883" s="17"/>
    </row>
    <row r="12884" s="11" customFormat="true" ht="10.95" hidden="false" customHeight="true" outlineLevel="0" collapsed="false">
      <c r="A12884" s="16" t="n">
        <v>45253</v>
      </c>
      <c r="B12884" s="17" t="s">
        <v>4548</v>
      </c>
      <c r="C12884" s="17" t="s">
        <v>3614</v>
      </c>
      <c r="D12884" s="17" t="s">
        <v>19</v>
      </c>
      <c r="E12884" s="17" t="s">
        <v>3427</v>
      </c>
      <c r="F12884" s="17" t="s">
        <v>338</v>
      </c>
      <c r="G12884" s="18" t="n">
        <v>0</v>
      </c>
      <c r="H12884" s="18" t="n">
        <v>51</v>
      </c>
      <c r="I12884" s="18" t="n">
        <f aca="false">((I12883 + G12884) - H12884)</f>
        <v>2024.11</v>
      </c>
      <c r="J12884" s="18" t="n">
        <v>0</v>
      </c>
      <c r="K12884" s="19" t="n">
        <v>0</v>
      </c>
      <c r="L12884" s="17"/>
    </row>
    <row r="12885" s="11" customFormat="true" ht="10.95" hidden="false" customHeight="true" outlineLevel="0" collapsed="false">
      <c r="A12885" s="16" t="n">
        <v>45253</v>
      </c>
      <c r="B12885" s="17" t="s">
        <v>4548</v>
      </c>
      <c r="C12885" s="17" t="s">
        <v>3614</v>
      </c>
      <c r="D12885" s="17" t="s">
        <v>19</v>
      </c>
      <c r="E12885" s="17" t="s">
        <v>3428</v>
      </c>
      <c r="F12885" s="17" t="s">
        <v>339</v>
      </c>
      <c r="G12885" s="18" t="n">
        <v>0</v>
      </c>
      <c r="H12885" s="18" t="n">
        <v>83.6</v>
      </c>
      <c r="I12885" s="18" t="n">
        <f aca="false">((I12884 + G12885) - H12885)</f>
        <v>1940.51</v>
      </c>
      <c r="J12885" s="18" t="n">
        <v>0</v>
      </c>
      <c r="K12885" s="19" t="n">
        <v>0</v>
      </c>
      <c r="L12885" s="17"/>
    </row>
    <row r="12886" s="11" customFormat="true" ht="10.95" hidden="false" customHeight="true" outlineLevel="0" collapsed="false">
      <c r="A12886" s="16" t="n">
        <v>45253</v>
      </c>
      <c r="B12886" s="17" t="s">
        <v>4548</v>
      </c>
      <c r="C12886" s="17" t="s">
        <v>3614</v>
      </c>
      <c r="D12886" s="17" t="s">
        <v>19</v>
      </c>
      <c r="E12886" s="17" t="s">
        <v>3429</v>
      </c>
      <c r="F12886" s="17" t="s">
        <v>340</v>
      </c>
      <c r="G12886" s="18" t="n">
        <v>0</v>
      </c>
      <c r="H12886" s="18" t="n">
        <v>8.5</v>
      </c>
      <c r="I12886" s="18" t="n">
        <f aca="false">((I12885 + G12886) - H12886)</f>
        <v>1932.01</v>
      </c>
      <c r="J12886" s="18" t="n">
        <v>0</v>
      </c>
      <c r="K12886" s="19" t="n">
        <v>0</v>
      </c>
      <c r="L12886" s="17"/>
    </row>
    <row r="12887" s="11" customFormat="true" ht="10.95" hidden="false" customHeight="true" outlineLevel="0" collapsed="false">
      <c r="A12887" s="16" t="n">
        <v>45253</v>
      </c>
      <c r="B12887" s="17" t="s">
        <v>4548</v>
      </c>
      <c r="C12887" s="17" t="s">
        <v>3614</v>
      </c>
      <c r="D12887" s="17" t="s">
        <v>19</v>
      </c>
      <c r="E12887" s="17" t="s">
        <v>3513</v>
      </c>
      <c r="F12887" s="17" t="s">
        <v>342</v>
      </c>
      <c r="G12887" s="18" t="n">
        <v>0</v>
      </c>
      <c r="H12887" s="18" t="n">
        <v>231.66</v>
      </c>
      <c r="I12887" s="18" t="n">
        <f aca="false">((I12886 + G12887) - H12887)</f>
        <v>1700.35</v>
      </c>
      <c r="J12887" s="18" t="n">
        <v>0</v>
      </c>
      <c r="K12887" s="19" t="n">
        <v>0</v>
      </c>
      <c r="L12887" s="17"/>
    </row>
    <row r="12888" s="11" customFormat="true" ht="10.95" hidden="false" customHeight="true" outlineLevel="0" collapsed="false">
      <c r="A12888" s="16" t="n">
        <v>45253</v>
      </c>
      <c r="B12888" s="17" t="s">
        <v>4548</v>
      </c>
      <c r="C12888" s="17" t="s">
        <v>3614</v>
      </c>
      <c r="D12888" s="17" t="s">
        <v>19</v>
      </c>
      <c r="E12888" s="17" t="s">
        <v>3492</v>
      </c>
      <c r="F12888" s="17" t="s">
        <v>343</v>
      </c>
      <c r="G12888" s="18" t="n">
        <v>0</v>
      </c>
      <c r="H12888" s="18" t="n">
        <v>471.3</v>
      </c>
      <c r="I12888" s="18" t="n">
        <f aca="false">((I12887 + G12888) - H12888)</f>
        <v>1229.05</v>
      </c>
      <c r="J12888" s="18" t="n">
        <v>0</v>
      </c>
      <c r="K12888" s="19" t="n">
        <v>0</v>
      </c>
      <c r="L12888" s="17"/>
    </row>
    <row r="12889" s="11" customFormat="true" ht="10.95" hidden="false" customHeight="true" outlineLevel="0" collapsed="false">
      <c r="A12889" s="16" t="n">
        <v>45253</v>
      </c>
      <c r="B12889" s="17" t="s">
        <v>4548</v>
      </c>
      <c r="C12889" s="17" t="s">
        <v>3614</v>
      </c>
      <c r="D12889" s="17" t="s">
        <v>19</v>
      </c>
      <c r="E12889" s="17" t="s">
        <v>3431</v>
      </c>
      <c r="F12889" s="17" t="s">
        <v>344</v>
      </c>
      <c r="G12889" s="18" t="n">
        <v>0</v>
      </c>
      <c r="H12889" s="18" t="n">
        <v>32.5</v>
      </c>
      <c r="I12889" s="18" t="n">
        <f aca="false">((I12888 + G12889) - H12889)</f>
        <v>1196.55</v>
      </c>
      <c r="J12889" s="18" t="n">
        <v>0</v>
      </c>
      <c r="K12889" s="19" t="n">
        <v>0</v>
      </c>
      <c r="L12889" s="17"/>
    </row>
    <row r="12890" s="11" customFormat="true" ht="10.95" hidden="false" customHeight="true" outlineLevel="0" collapsed="false">
      <c r="A12890" s="16" t="n">
        <v>45253</v>
      </c>
      <c r="B12890" s="17" t="s">
        <v>4548</v>
      </c>
      <c r="C12890" s="17" t="s">
        <v>3614</v>
      </c>
      <c r="D12890" s="17" t="s">
        <v>19</v>
      </c>
      <c r="E12890" s="17" t="s">
        <v>3432</v>
      </c>
      <c r="F12890" s="17" t="s">
        <v>345</v>
      </c>
      <c r="G12890" s="18" t="n">
        <v>0</v>
      </c>
      <c r="H12890" s="18" t="n">
        <v>99.5</v>
      </c>
      <c r="I12890" s="18" t="n">
        <f aca="false">((I12889 + G12890) - H12890)</f>
        <v>1097.05</v>
      </c>
      <c r="J12890" s="18" t="n">
        <v>0</v>
      </c>
      <c r="K12890" s="19" t="n">
        <v>0</v>
      </c>
      <c r="L12890" s="17"/>
    </row>
    <row r="12891" s="11" customFormat="true" ht="10.95" hidden="false" customHeight="true" outlineLevel="0" collapsed="false">
      <c r="A12891" s="16" t="n">
        <v>45253</v>
      </c>
      <c r="B12891" s="17" t="s">
        <v>4548</v>
      </c>
      <c r="C12891" s="17" t="s">
        <v>3614</v>
      </c>
      <c r="D12891" s="17" t="s">
        <v>19</v>
      </c>
      <c r="E12891" s="17" t="s">
        <v>3434</v>
      </c>
      <c r="F12891" s="17" t="s">
        <v>346</v>
      </c>
      <c r="G12891" s="18" t="n">
        <v>0</v>
      </c>
      <c r="H12891" s="18" t="n">
        <v>36</v>
      </c>
      <c r="I12891" s="18" t="n">
        <f aca="false">((I12890 + G12891) - H12891)</f>
        <v>1061.05</v>
      </c>
      <c r="J12891" s="18" t="n">
        <v>0</v>
      </c>
      <c r="K12891" s="19" t="n">
        <v>0</v>
      </c>
      <c r="L12891" s="17"/>
    </row>
    <row r="12892" s="11" customFormat="true" ht="10.95" hidden="false" customHeight="true" outlineLevel="0" collapsed="false">
      <c r="A12892" s="16" t="n">
        <v>45253</v>
      </c>
      <c r="B12892" s="17" t="s">
        <v>4548</v>
      </c>
      <c r="C12892" s="17" t="s">
        <v>3614</v>
      </c>
      <c r="D12892" s="17" t="s">
        <v>19</v>
      </c>
      <c r="E12892" s="17" t="s">
        <v>3435</v>
      </c>
      <c r="F12892" s="17" t="s">
        <v>348</v>
      </c>
      <c r="G12892" s="18" t="n">
        <v>0</v>
      </c>
      <c r="H12892" s="18" t="n">
        <v>3.15</v>
      </c>
      <c r="I12892" s="18" t="n">
        <f aca="false">((I12891 + G12892) - H12892)</f>
        <v>1057.9</v>
      </c>
      <c r="J12892" s="18" t="n">
        <v>0</v>
      </c>
      <c r="K12892" s="19" t="n">
        <v>0</v>
      </c>
      <c r="L12892" s="17"/>
    </row>
    <row r="12893" s="11" customFormat="true" ht="10.95" hidden="false" customHeight="true" outlineLevel="0" collapsed="false">
      <c r="A12893" s="16" t="n">
        <v>45253</v>
      </c>
      <c r="B12893" s="17" t="s">
        <v>4548</v>
      </c>
      <c r="C12893" s="17" t="s">
        <v>3614</v>
      </c>
      <c r="D12893" s="17" t="s">
        <v>19</v>
      </c>
      <c r="E12893" s="17" t="s">
        <v>3435</v>
      </c>
      <c r="F12893" s="17" t="s">
        <v>349</v>
      </c>
      <c r="G12893" s="18" t="n">
        <v>0</v>
      </c>
      <c r="H12893" s="18" t="n">
        <v>204</v>
      </c>
      <c r="I12893" s="18" t="n">
        <f aca="false">((I12892 + G12893) - H12893)</f>
        <v>853.899999999999</v>
      </c>
      <c r="J12893" s="18" t="n">
        <v>0</v>
      </c>
      <c r="K12893" s="19" t="n">
        <v>0</v>
      </c>
      <c r="L12893" s="17"/>
    </row>
    <row r="12894" s="11" customFormat="true" ht="10.95" hidden="false" customHeight="true" outlineLevel="0" collapsed="false">
      <c r="A12894" s="16" t="n">
        <v>45253</v>
      </c>
      <c r="B12894" s="17" t="s">
        <v>4548</v>
      </c>
      <c r="C12894" s="17" t="s">
        <v>3614</v>
      </c>
      <c r="D12894" s="17" t="s">
        <v>19</v>
      </c>
      <c r="E12894" s="17" t="s">
        <v>3493</v>
      </c>
      <c r="F12894" s="17" t="s">
        <v>350</v>
      </c>
      <c r="G12894" s="18" t="n">
        <v>0</v>
      </c>
      <c r="H12894" s="18" t="n">
        <v>51</v>
      </c>
      <c r="I12894" s="18" t="n">
        <f aca="false">((I12893 + G12894) - H12894)</f>
        <v>802.899999999999</v>
      </c>
      <c r="J12894" s="18" t="n">
        <v>0</v>
      </c>
      <c r="K12894" s="19" t="n">
        <v>0</v>
      </c>
      <c r="L12894" s="17"/>
    </row>
    <row r="12895" s="11" customFormat="true" ht="10.95" hidden="false" customHeight="true" outlineLevel="0" collapsed="false">
      <c r="A12895" s="16" t="n">
        <v>45253</v>
      </c>
      <c r="B12895" s="17" t="s">
        <v>4548</v>
      </c>
      <c r="C12895" s="17" t="s">
        <v>3614</v>
      </c>
      <c r="D12895" s="17" t="s">
        <v>19</v>
      </c>
      <c r="E12895" s="17" t="s">
        <v>3437</v>
      </c>
      <c r="F12895" s="17" t="s">
        <v>351</v>
      </c>
      <c r="G12895" s="18" t="n">
        <v>0</v>
      </c>
      <c r="H12895" s="18" t="n">
        <v>100.01</v>
      </c>
      <c r="I12895" s="18" t="n">
        <f aca="false">((I12894 + G12895) - H12895)</f>
        <v>702.889999999999</v>
      </c>
      <c r="J12895" s="18" t="n">
        <v>0</v>
      </c>
      <c r="K12895" s="19" t="n">
        <v>0</v>
      </c>
      <c r="L12895" s="17"/>
    </row>
    <row r="12896" s="11" customFormat="true" ht="10.95" hidden="false" customHeight="true" outlineLevel="0" collapsed="false">
      <c r="A12896" s="16" t="n">
        <v>45253</v>
      </c>
      <c r="B12896" s="17" t="s">
        <v>4548</v>
      </c>
      <c r="C12896" s="17" t="s">
        <v>3614</v>
      </c>
      <c r="D12896" s="17" t="s">
        <v>19</v>
      </c>
      <c r="E12896" s="17" t="s">
        <v>3439</v>
      </c>
      <c r="F12896" s="17" t="s">
        <v>352</v>
      </c>
      <c r="G12896" s="18" t="n">
        <v>0</v>
      </c>
      <c r="H12896" s="18" t="n">
        <v>95.7</v>
      </c>
      <c r="I12896" s="18" t="n">
        <f aca="false">((I12895 + G12896) - H12896)</f>
        <v>607.189999999999</v>
      </c>
      <c r="J12896" s="18" t="n">
        <v>0</v>
      </c>
      <c r="K12896" s="19" t="n">
        <v>0</v>
      </c>
      <c r="L12896" s="17"/>
    </row>
    <row r="12897" s="11" customFormat="true" ht="10.95" hidden="false" customHeight="true" outlineLevel="0" collapsed="false">
      <c r="A12897" s="16" t="n">
        <v>45253</v>
      </c>
      <c r="B12897" s="17" t="s">
        <v>4548</v>
      </c>
      <c r="C12897" s="17" t="s">
        <v>3614</v>
      </c>
      <c r="D12897" s="17" t="s">
        <v>19</v>
      </c>
      <c r="E12897" s="17" t="s">
        <v>3443</v>
      </c>
      <c r="F12897" s="17" t="s">
        <v>353</v>
      </c>
      <c r="G12897" s="18" t="n">
        <v>0</v>
      </c>
      <c r="H12897" s="18" t="n">
        <v>476</v>
      </c>
      <c r="I12897" s="18" t="n">
        <f aca="false">((I12896 + G12897) - H12897)</f>
        <v>131.189999999999</v>
      </c>
      <c r="J12897" s="18" t="n">
        <v>0</v>
      </c>
      <c r="K12897" s="19" t="n">
        <v>0</v>
      </c>
      <c r="L12897" s="17"/>
    </row>
    <row r="12898" s="11" customFormat="true" ht="10.95" hidden="false" customHeight="true" outlineLevel="0" collapsed="false">
      <c r="A12898" s="16" t="n">
        <v>45253</v>
      </c>
      <c r="B12898" s="17" t="s">
        <v>4548</v>
      </c>
      <c r="C12898" s="17" t="s">
        <v>3614</v>
      </c>
      <c r="D12898" s="17" t="s">
        <v>19</v>
      </c>
      <c r="E12898" s="17" t="s">
        <v>3444</v>
      </c>
      <c r="F12898" s="17" t="s">
        <v>354</v>
      </c>
      <c r="G12898" s="18" t="n">
        <v>0</v>
      </c>
      <c r="H12898" s="18" t="n">
        <v>88</v>
      </c>
      <c r="I12898" s="18" t="n">
        <f aca="false">((I12897 + G12898) - H12898)</f>
        <v>43.1899999999987</v>
      </c>
      <c r="J12898" s="18" t="n">
        <v>0</v>
      </c>
      <c r="K12898" s="19" t="n">
        <v>0</v>
      </c>
      <c r="L12898" s="17"/>
    </row>
    <row r="12899" s="11" customFormat="true" ht="10.95" hidden="false" customHeight="true" outlineLevel="0" collapsed="false">
      <c r="A12899" s="16" t="n">
        <v>45253</v>
      </c>
      <c r="B12899" s="17" t="s">
        <v>4548</v>
      </c>
      <c r="C12899" s="17" t="s">
        <v>3614</v>
      </c>
      <c r="D12899" s="17" t="s">
        <v>19</v>
      </c>
      <c r="E12899" s="17" t="s">
        <v>3494</v>
      </c>
      <c r="F12899" s="17" t="s">
        <v>355</v>
      </c>
      <c r="G12899" s="18" t="n">
        <v>0</v>
      </c>
      <c r="H12899" s="18" t="n">
        <v>97.4</v>
      </c>
      <c r="I12899" s="18" t="n">
        <f aca="false">((I12898 + G12899) - H12899)</f>
        <v>-54.2100000000013</v>
      </c>
      <c r="J12899" s="18" t="n">
        <v>0</v>
      </c>
      <c r="K12899" s="19" t="n">
        <v>0</v>
      </c>
      <c r="L12899" s="17"/>
    </row>
    <row r="12900" s="11" customFormat="true" ht="10.95" hidden="false" customHeight="true" outlineLevel="0" collapsed="false">
      <c r="A12900" s="16" t="n">
        <v>45253</v>
      </c>
      <c r="B12900" s="17" t="s">
        <v>4548</v>
      </c>
      <c r="C12900" s="17" t="s">
        <v>3614</v>
      </c>
      <c r="D12900" s="17" t="s">
        <v>19</v>
      </c>
      <c r="E12900" s="17" t="s">
        <v>3446</v>
      </c>
      <c r="F12900" s="17" t="s">
        <v>356</v>
      </c>
      <c r="G12900" s="18" t="n">
        <v>0</v>
      </c>
      <c r="H12900" s="18" t="n">
        <v>169.2</v>
      </c>
      <c r="I12900" s="18" t="n">
        <f aca="false">((I12899 + G12900) - H12900)</f>
        <v>-223.410000000001</v>
      </c>
      <c r="J12900" s="18" t="n">
        <v>0</v>
      </c>
      <c r="K12900" s="19" t="n">
        <v>0</v>
      </c>
      <c r="L12900" s="17"/>
    </row>
    <row r="12901" s="11" customFormat="true" ht="10.95" hidden="false" customHeight="true" outlineLevel="0" collapsed="false">
      <c r="A12901" s="16" t="n">
        <v>45253</v>
      </c>
      <c r="B12901" s="17" t="s">
        <v>4548</v>
      </c>
      <c r="C12901" s="17" t="s">
        <v>3614</v>
      </c>
      <c r="D12901" s="17" t="s">
        <v>19</v>
      </c>
      <c r="E12901" s="17" t="s">
        <v>3447</v>
      </c>
      <c r="F12901" s="17" t="s">
        <v>357</v>
      </c>
      <c r="G12901" s="18" t="n">
        <v>0</v>
      </c>
      <c r="H12901" s="18" t="n">
        <v>52.75</v>
      </c>
      <c r="I12901" s="18" t="n">
        <f aca="false">((I12900 + G12901) - H12901)</f>
        <v>-276.160000000001</v>
      </c>
      <c r="J12901" s="18" t="n">
        <v>0</v>
      </c>
      <c r="K12901" s="19" t="n">
        <v>0</v>
      </c>
      <c r="L12901" s="17"/>
    </row>
    <row r="12902" s="11" customFormat="true" ht="10.95" hidden="false" customHeight="true" outlineLevel="0" collapsed="false">
      <c r="A12902" s="16" t="n">
        <v>45253</v>
      </c>
      <c r="B12902" s="17" t="s">
        <v>4548</v>
      </c>
      <c r="C12902" s="17" t="s">
        <v>3614</v>
      </c>
      <c r="D12902" s="17" t="s">
        <v>19</v>
      </c>
      <c r="E12902" s="17" t="s">
        <v>3447</v>
      </c>
      <c r="F12902" s="17" t="s">
        <v>358</v>
      </c>
      <c r="G12902" s="18" t="n">
        <v>0</v>
      </c>
      <c r="H12902" s="18" t="n">
        <v>75.2</v>
      </c>
      <c r="I12902" s="18" t="n">
        <f aca="false">((I12901 + G12902) - H12902)</f>
        <v>-351.360000000001</v>
      </c>
      <c r="J12902" s="18" t="n">
        <v>0</v>
      </c>
      <c r="K12902" s="19" t="n">
        <v>0</v>
      </c>
      <c r="L12902" s="17"/>
    </row>
    <row r="12903" s="11" customFormat="true" ht="10.95" hidden="false" customHeight="true" outlineLevel="0" collapsed="false">
      <c r="A12903" s="16" t="n">
        <v>45253</v>
      </c>
      <c r="B12903" s="17" t="s">
        <v>4548</v>
      </c>
      <c r="C12903" s="17" t="s">
        <v>3614</v>
      </c>
      <c r="D12903" s="17" t="s">
        <v>19</v>
      </c>
      <c r="E12903" s="17" t="s">
        <v>3447</v>
      </c>
      <c r="F12903" s="17" t="s">
        <v>359</v>
      </c>
      <c r="G12903" s="18" t="n">
        <v>0</v>
      </c>
      <c r="H12903" s="18" t="n">
        <v>58</v>
      </c>
      <c r="I12903" s="18" t="n">
        <f aca="false">((I12902 + G12903) - H12903)</f>
        <v>-409.360000000001</v>
      </c>
      <c r="J12903" s="18" t="n">
        <v>0</v>
      </c>
      <c r="K12903" s="19" t="n">
        <v>0</v>
      </c>
      <c r="L12903" s="17"/>
    </row>
    <row r="12904" s="11" customFormat="true" ht="10.95" hidden="false" customHeight="true" outlineLevel="0" collapsed="false">
      <c r="A12904" s="16" t="n">
        <v>45253</v>
      </c>
      <c r="B12904" s="17" t="s">
        <v>4548</v>
      </c>
      <c r="C12904" s="17" t="s">
        <v>3614</v>
      </c>
      <c r="D12904" s="17" t="s">
        <v>19</v>
      </c>
      <c r="E12904" s="17" t="s">
        <v>3447</v>
      </c>
      <c r="F12904" s="17" t="s">
        <v>360</v>
      </c>
      <c r="G12904" s="18" t="n">
        <v>0</v>
      </c>
      <c r="H12904" s="18" t="n">
        <v>18.8</v>
      </c>
      <c r="I12904" s="18" t="n">
        <f aca="false">((I12903 + G12904) - H12904)</f>
        <v>-428.160000000001</v>
      </c>
      <c r="J12904" s="18" t="n">
        <v>0</v>
      </c>
      <c r="K12904" s="19" t="n">
        <v>0</v>
      </c>
      <c r="L12904" s="17"/>
    </row>
    <row r="12905" s="11" customFormat="true" ht="10.95" hidden="false" customHeight="true" outlineLevel="0" collapsed="false">
      <c r="A12905" s="16" t="n">
        <v>45253</v>
      </c>
      <c r="B12905" s="17" t="s">
        <v>4548</v>
      </c>
      <c r="C12905" s="17" t="s">
        <v>3614</v>
      </c>
      <c r="D12905" s="17" t="s">
        <v>19</v>
      </c>
      <c r="E12905" s="17" t="s">
        <v>3447</v>
      </c>
      <c r="F12905" s="17" t="s">
        <v>361</v>
      </c>
      <c r="G12905" s="18" t="n">
        <v>0</v>
      </c>
      <c r="H12905" s="18" t="n">
        <v>47</v>
      </c>
      <c r="I12905" s="18" t="n">
        <f aca="false">((I12904 + G12905) - H12905)</f>
        <v>-475.160000000001</v>
      </c>
      <c r="J12905" s="18" t="n">
        <v>0</v>
      </c>
      <c r="K12905" s="19" t="n">
        <v>0</v>
      </c>
      <c r="L12905" s="17"/>
    </row>
    <row r="12906" s="11" customFormat="true" ht="10.95" hidden="false" customHeight="true" outlineLevel="0" collapsed="false">
      <c r="A12906" s="16" t="n">
        <v>45253</v>
      </c>
      <c r="B12906" s="17" t="s">
        <v>4548</v>
      </c>
      <c r="C12906" s="17" t="s">
        <v>3614</v>
      </c>
      <c r="D12906" s="17" t="s">
        <v>19</v>
      </c>
      <c r="E12906" s="17" t="s">
        <v>3447</v>
      </c>
      <c r="F12906" s="17" t="s">
        <v>362</v>
      </c>
      <c r="G12906" s="18" t="n">
        <v>0</v>
      </c>
      <c r="H12906" s="18" t="n">
        <v>18.8</v>
      </c>
      <c r="I12906" s="18" t="n">
        <f aca="false">((I12905 + G12906) - H12906)</f>
        <v>-493.960000000001</v>
      </c>
      <c r="J12906" s="18" t="n">
        <v>0</v>
      </c>
      <c r="K12906" s="19" t="n">
        <v>0</v>
      </c>
      <c r="L12906" s="17"/>
    </row>
    <row r="12907" s="11" customFormat="true" ht="10.95" hidden="false" customHeight="true" outlineLevel="0" collapsed="false">
      <c r="A12907" s="16" t="n">
        <v>45253</v>
      </c>
      <c r="B12907" s="17" t="s">
        <v>4548</v>
      </c>
      <c r="C12907" s="17" t="s">
        <v>3614</v>
      </c>
      <c r="D12907" s="17" t="s">
        <v>19</v>
      </c>
      <c r="E12907" s="17" t="s">
        <v>3447</v>
      </c>
      <c r="F12907" s="17" t="s">
        <v>363</v>
      </c>
      <c r="G12907" s="18" t="n">
        <v>0</v>
      </c>
      <c r="H12907" s="18" t="n">
        <v>47</v>
      </c>
      <c r="I12907" s="18" t="n">
        <f aca="false">((I12906 + G12907) - H12907)</f>
        <v>-540.960000000001</v>
      </c>
      <c r="J12907" s="18" t="n">
        <v>0</v>
      </c>
      <c r="K12907" s="19" t="n">
        <v>0</v>
      </c>
      <c r="L12907" s="17"/>
    </row>
    <row r="12908" s="11" customFormat="true" ht="10.95" hidden="false" customHeight="true" outlineLevel="0" collapsed="false">
      <c r="A12908" s="16" t="n">
        <v>45253</v>
      </c>
      <c r="B12908" s="17" t="s">
        <v>4548</v>
      </c>
      <c r="C12908" s="17" t="s">
        <v>3614</v>
      </c>
      <c r="D12908" s="17" t="s">
        <v>19</v>
      </c>
      <c r="E12908" s="17" t="s">
        <v>3447</v>
      </c>
      <c r="F12908" s="17" t="s">
        <v>364</v>
      </c>
      <c r="G12908" s="18" t="n">
        <v>0</v>
      </c>
      <c r="H12908" s="18" t="n">
        <v>114.4</v>
      </c>
      <c r="I12908" s="18" t="n">
        <f aca="false">((I12907 + G12908) - H12908)</f>
        <v>-655.360000000001</v>
      </c>
      <c r="J12908" s="18" t="n">
        <v>0</v>
      </c>
      <c r="K12908" s="19" t="n">
        <v>0</v>
      </c>
      <c r="L12908" s="17"/>
    </row>
    <row r="12909" s="11" customFormat="true" ht="10.95" hidden="false" customHeight="true" outlineLevel="0" collapsed="false">
      <c r="A12909" s="16" t="n">
        <v>45253</v>
      </c>
      <c r="B12909" s="17" t="s">
        <v>4548</v>
      </c>
      <c r="C12909" s="17" t="s">
        <v>3614</v>
      </c>
      <c r="D12909" s="17" t="s">
        <v>19</v>
      </c>
      <c r="E12909" s="17" t="s">
        <v>3447</v>
      </c>
      <c r="F12909" s="17" t="s">
        <v>365</v>
      </c>
      <c r="G12909" s="18" t="n">
        <v>0</v>
      </c>
      <c r="H12909" s="18" t="n">
        <v>28.2</v>
      </c>
      <c r="I12909" s="18" t="n">
        <f aca="false">((I12908 + G12909) - H12909)</f>
        <v>-683.560000000001</v>
      </c>
      <c r="J12909" s="18" t="n">
        <v>0</v>
      </c>
      <c r="K12909" s="19" t="n">
        <v>0</v>
      </c>
      <c r="L12909" s="17"/>
    </row>
    <row r="12910" s="11" customFormat="true" ht="10.95" hidden="false" customHeight="true" outlineLevel="0" collapsed="false">
      <c r="A12910" s="16" t="n">
        <v>45253</v>
      </c>
      <c r="B12910" s="17" t="s">
        <v>4548</v>
      </c>
      <c r="C12910" s="17" t="s">
        <v>3614</v>
      </c>
      <c r="D12910" s="17" t="s">
        <v>19</v>
      </c>
      <c r="E12910" s="17" t="s">
        <v>3447</v>
      </c>
      <c r="F12910" s="17" t="s">
        <v>366</v>
      </c>
      <c r="G12910" s="18" t="n">
        <v>0</v>
      </c>
      <c r="H12910" s="18" t="n">
        <v>28.2</v>
      </c>
      <c r="I12910" s="18" t="n">
        <f aca="false">((I12909 + G12910) - H12910)</f>
        <v>-711.760000000002</v>
      </c>
      <c r="J12910" s="18" t="n">
        <v>0</v>
      </c>
      <c r="K12910" s="19" t="n">
        <v>0</v>
      </c>
      <c r="L12910" s="17"/>
    </row>
    <row r="12911" s="11" customFormat="true" ht="10.95" hidden="false" customHeight="true" outlineLevel="0" collapsed="false">
      <c r="A12911" s="16" t="n">
        <v>45253</v>
      </c>
      <c r="B12911" s="17" t="s">
        <v>4548</v>
      </c>
      <c r="C12911" s="17" t="s">
        <v>3614</v>
      </c>
      <c r="D12911" s="17" t="s">
        <v>19</v>
      </c>
      <c r="E12911" s="17" t="s">
        <v>3447</v>
      </c>
      <c r="F12911" s="17" t="s">
        <v>367</v>
      </c>
      <c r="G12911" s="18" t="n">
        <v>0</v>
      </c>
      <c r="H12911" s="18" t="n">
        <v>56.4</v>
      </c>
      <c r="I12911" s="18" t="n">
        <f aca="false">((I12910 + G12911) - H12911)</f>
        <v>-768.160000000001</v>
      </c>
      <c r="J12911" s="18" t="n">
        <v>0</v>
      </c>
      <c r="K12911" s="19" t="n">
        <v>0</v>
      </c>
      <c r="L12911" s="17"/>
    </row>
    <row r="12912" s="11" customFormat="true" ht="10.95" hidden="false" customHeight="true" outlineLevel="0" collapsed="false">
      <c r="A12912" s="16" t="n">
        <v>45253</v>
      </c>
      <c r="B12912" s="17" t="s">
        <v>4548</v>
      </c>
      <c r="C12912" s="17" t="s">
        <v>3614</v>
      </c>
      <c r="D12912" s="17" t="s">
        <v>19</v>
      </c>
      <c r="E12912" s="17" t="s">
        <v>3447</v>
      </c>
      <c r="F12912" s="17" t="s">
        <v>368</v>
      </c>
      <c r="G12912" s="18" t="n">
        <v>0</v>
      </c>
      <c r="H12912" s="18" t="n">
        <v>103.4</v>
      </c>
      <c r="I12912" s="18" t="n">
        <f aca="false">((I12911 + G12912) - H12912)</f>
        <v>-871.560000000001</v>
      </c>
      <c r="J12912" s="18" t="n">
        <v>0</v>
      </c>
      <c r="K12912" s="19" t="n">
        <v>0</v>
      </c>
      <c r="L12912" s="17"/>
    </row>
    <row r="12913" s="11" customFormat="true" ht="10.95" hidden="false" customHeight="true" outlineLevel="0" collapsed="false">
      <c r="A12913" s="16" t="n">
        <v>45253</v>
      </c>
      <c r="B12913" s="17" t="s">
        <v>4548</v>
      </c>
      <c r="C12913" s="17" t="s">
        <v>3614</v>
      </c>
      <c r="D12913" s="17" t="s">
        <v>19</v>
      </c>
      <c r="E12913" s="17" t="s">
        <v>3447</v>
      </c>
      <c r="F12913" s="17" t="s">
        <v>369</v>
      </c>
      <c r="G12913" s="18" t="n">
        <v>0</v>
      </c>
      <c r="H12913" s="18" t="n">
        <v>9.4</v>
      </c>
      <c r="I12913" s="18" t="n">
        <f aca="false">((I12912 + G12913) - H12913)</f>
        <v>-880.960000000001</v>
      </c>
      <c r="J12913" s="18" t="n">
        <v>0</v>
      </c>
      <c r="K12913" s="19" t="n">
        <v>0</v>
      </c>
      <c r="L12913" s="17"/>
    </row>
    <row r="12914" s="11" customFormat="true" ht="10.95" hidden="false" customHeight="true" outlineLevel="0" collapsed="false">
      <c r="A12914" s="16" t="n">
        <v>45253</v>
      </c>
      <c r="B12914" s="17" t="s">
        <v>4548</v>
      </c>
      <c r="C12914" s="17" t="s">
        <v>3614</v>
      </c>
      <c r="D12914" s="17" t="s">
        <v>19</v>
      </c>
      <c r="E12914" s="17" t="s">
        <v>3447</v>
      </c>
      <c r="F12914" s="17" t="s">
        <v>370</v>
      </c>
      <c r="G12914" s="18" t="n">
        <v>0</v>
      </c>
      <c r="H12914" s="18" t="n">
        <v>65.8</v>
      </c>
      <c r="I12914" s="18" t="n">
        <f aca="false">((I12913 + G12914) - H12914)</f>
        <v>-946.760000000001</v>
      </c>
      <c r="J12914" s="18" t="n">
        <v>0</v>
      </c>
      <c r="K12914" s="19" t="n">
        <v>0</v>
      </c>
      <c r="L12914" s="17"/>
    </row>
    <row r="12915" s="11" customFormat="true" ht="10.95" hidden="false" customHeight="true" outlineLevel="0" collapsed="false">
      <c r="A12915" s="16" t="n">
        <v>45253</v>
      </c>
      <c r="B12915" s="17" t="s">
        <v>4548</v>
      </c>
      <c r="C12915" s="17" t="s">
        <v>3614</v>
      </c>
      <c r="D12915" s="17" t="s">
        <v>19</v>
      </c>
      <c r="E12915" s="17" t="s">
        <v>3451</v>
      </c>
      <c r="F12915" s="17" t="s">
        <v>371</v>
      </c>
      <c r="G12915" s="18" t="n">
        <v>0</v>
      </c>
      <c r="H12915" s="18" t="n">
        <v>116.2</v>
      </c>
      <c r="I12915" s="18" t="n">
        <f aca="false">((I12914 + G12915) - H12915)</f>
        <v>-1062.96</v>
      </c>
      <c r="J12915" s="18" t="n">
        <v>0</v>
      </c>
      <c r="K12915" s="19" t="n">
        <v>0</v>
      </c>
      <c r="L12915" s="17"/>
    </row>
    <row r="12916" s="11" customFormat="true" ht="10.95" hidden="false" customHeight="true" outlineLevel="0" collapsed="false">
      <c r="A12916" s="16" t="n">
        <v>45253</v>
      </c>
      <c r="B12916" s="17" t="s">
        <v>4548</v>
      </c>
      <c r="C12916" s="17" t="s">
        <v>3614</v>
      </c>
      <c r="D12916" s="17" t="s">
        <v>19</v>
      </c>
      <c r="E12916" s="17" t="s">
        <v>3454</v>
      </c>
      <c r="F12916" s="17" t="s">
        <v>372</v>
      </c>
      <c r="G12916" s="18" t="n">
        <v>0</v>
      </c>
      <c r="H12916" s="18" t="n">
        <v>1646.62</v>
      </c>
      <c r="I12916" s="18" t="n">
        <f aca="false">((I12915 + G12916) - H12916)</f>
        <v>-2709.58</v>
      </c>
      <c r="J12916" s="18" t="n">
        <v>0</v>
      </c>
      <c r="K12916" s="19" t="n">
        <v>0</v>
      </c>
      <c r="L12916" s="17"/>
    </row>
    <row r="12917" s="11" customFormat="true" ht="10.95" hidden="false" customHeight="true" outlineLevel="0" collapsed="false">
      <c r="A12917" s="16" t="n">
        <v>45253</v>
      </c>
      <c r="B12917" s="17" t="s">
        <v>4548</v>
      </c>
      <c r="C12917" s="17" t="s">
        <v>3614</v>
      </c>
      <c r="D12917" s="17" t="s">
        <v>19</v>
      </c>
      <c r="E12917" s="17" t="s">
        <v>3442</v>
      </c>
      <c r="F12917" s="17" t="s">
        <v>376</v>
      </c>
      <c r="G12917" s="18" t="n">
        <v>0</v>
      </c>
      <c r="H12917" s="18" t="n">
        <v>909</v>
      </c>
      <c r="I12917" s="18" t="n">
        <f aca="false">((I12916 + G12917) - H12917)</f>
        <v>-3618.58</v>
      </c>
      <c r="J12917" s="18" t="n">
        <v>0</v>
      </c>
      <c r="K12917" s="19" t="n">
        <v>0</v>
      </c>
      <c r="L12917" s="17"/>
    </row>
    <row r="12918" s="11" customFormat="true" ht="10.95" hidden="false" customHeight="true" outlineLevel="0" collapsed="false">
      <c r="A12918" s="16" t="n">
        <v>45253</v>
      </c>
      <c r="B12918" s="17" t="s">
        <v>4548</v>
      </c>
      <c r="C12918" s="17" t="s">
        <v>3614</v>
      </c>
      <c r="D12918" s="17" t="s">
        <v>1407</v>
      </c>
      <c r="E12918" s="17" t="s">
        <v>3804</v>
      </c>
      <c r="F12918" s="17"/>
      <c r="G12918" s="18" t="n">
        <v>3.64</v>
      </c>
      <c r="H12918" s="18" t="n">
        <v>0</v>
      </c>
      <c r="I12918" s="18" t="n">
        <f aca="false">((I12917 + G12918) - H12918)</f>
        <v>-3614.94</v>
      </c>
      <c r="J12918" s="18" t="n">
        <v>0</v>
      </c>
      <c r="K12918" s="19" t="n">
        <v>0</v>
      </c>
      <c r="L12918" s="17"/>
    </row>
    <row r="12919" s="11" customFormat="true" ht="10.95" hidden="false" customHeight="true" outlineLevel="0" collapsed="false">
      <c r="A12919" s="16" t="n">
        <v>45253</v>
      </c>
      <c r="B12919" s="17" t="s">
        <v>4548</v>
      </c>
      <c r="C12919" s="17" t="s">
        <v>3614</v>
      </c>
      <c r="D12919" s="17" t="s">
        <v>1391</v>
      </c>
      <c r="E12919" s="17" t="s">
        <v>3688</v>
      </c>
      <c r="F12919" s="17" t="s">
        <v>1622</v>
      </c>
      <c r="G12919" s="18" t="n">
        <v>170</v>
      </c>
      <c r="H12919" s="18" t="n">
        <v>0</v>
      </c>
      <c r="I12919" s="18" t="n">
        <f aca="false">((I12918 + G12919) - H12919)</f>
        <v>-3444.94</v>
      </c>
      <c r="J12919" s="18" t="n">
        <v>0</v>
      </c>
      <c r="K12919" s="19" t="n">
        <v>0</v>
      </c>
      <c r="L12919" s="17"/>
    </row>
    <row r="12920" s="11" customFormat="true" ht="10.95" hidden="false" customHeight="true" outlineLevel="0" collapsed="false">
      <c r="A12920" s="16" t="n">
        <v>45253</v>
      </c>
      <c r="B12920" s="17" t="s">
        <v>4548</v>
      </c>
      <c r="C12920" s="17" t="s">
        <v>3614</v>
      </c>
      <c r="D12920" s="17" t="s">
        <v>1407</v>
      </c>
      <c r="E12920" s="17" t="s">
        <v>3668</v>
      </c>
      <c r="F12920" s="17"/>
      <c r="G12920" s="18" t="n">
        <v>8.82</v>
      </c>
      <c r="H12920" s="18" t="n">
        <v>0</v>
      </c>
      <c r="I12920" s="18" t="n">
        <f aca="false">((I12919 + G12920) - H12920)</f>
        <v>-3436.12</v>
      </c>
      <c r="J12920" s="18" t="n">
        <v>0</v>
      </c>
      <c r="K12920" s="19" t="n">
        <v>0</v>
      </c>
      <c r="L12920" s="17"/>
    </row>
    <row r="12921" s="11" customFormat="true" ht="10.95" hidden="false" customHeight="true" outlineLevel="0" collapsed="false">
      <c r="A12921" s="16" t="n">
        <v>45253</v>
      </c>
      <c r="B12921" s="17" t="s">
        <v>4548</v>
      </c>
      <c r="C12921" s="17" t="s">
        <v>3614</v>
      </c>
      <c r="D12921" s="17" t="s">
        <v>1407</v>
      </c>
      <c r="E12921" s="17" t="s">
        <v>3907</v>
      </c>
      <c r="F12921" s="17"/>
      <c r="G12921" s="18" t="n">
        <v>0.79</v>
      </c>
      <c r="H12921" s="18" t="n">
        <v>0</v>
      </c>
      <c r="I12921" s="18" t="n">
        <f aca="false">((I12920 + G12921) - H12921)</f>
        <v>-3435.33</v>
      </c>
      <c r="J12921" s="18" t="n">
        <v>0</v>
      </c>
      <c r="K12921" s="19" t="n">
        <v>0</v>
      </c>
      <c r="L12921" s="17"/>
    </row>
    <row r="12922" s="11" customFormat="true" ht="10.95" hidden="false" customHeight="true" outlineLevel="0" collapsed="false">
      <c r="A12922" s="16" t="n">
        <v>45253</v>
      </c>
      <c r="B12922" s="17" t="s">
        <v>4548</v>
      </c>
      <c r="C12922" s="17" t="s">
        <v>3614</v>
      </c>
      <c r="D12922" s="17" t="s">
        <v>19</v>
      </c>
      <c r="E12922" s="17" t="s">
        <v>3447</v>
      </c>
      <c r="F12922" s="17" t="s">
        <v>377</v>
      </c>
      <c r="G12922" s="18" t="n">
        <v>0</v>
      </c>
      <c r="H12922" s="18" t="n">
        <v>178.9</v>
      </c>
      <c r="I12922" s="18" t="n">
        <f aca="false">((I12921 + G12922) - H12922)</f>
        <v>-3614.23</v>
      </c>
      <c r="J12922" s="18" t="n">
        <v>0</v>
      </c>
      <c r="K12922" s="19" t="n">
        <v>0</v>
      </c>
      <c r="L12922" s="17"/>
    </row>
    <row r="12923" s="11" customFormat="true" ht="10.95" hidden="false" customHeight="true" outlineLevel="0" collapsed="false">
      <c r="A12923" s="16" t="n">
        <v>45253</v>
      </c>
      <c r="B12923" s="17" t="s">
        <v>4548</v>
      </c>
      <c r="C12923" s="17" t="s">
        <v>3614</v>
      </c>
      <c r="D12923" s="17" t="s">
        <v>19</v>
      </c>
      <c r="E12923" s="17" t="s">
        <v>3447</v>
      </c>
      <c r="F12923" s="17" t="s">
        <v>378</v>
      </c>
      <c r="G12923" s="18" t="n">
        <v>0</v>
      </c>
      <c r="H12923" s="18" t="n">
        <v>142.55</v>
      </c>
      <c r="I12923" s="18" t="n">
        <f aca="false">((I12922 + G12923) - H12923)</f>
        <v>-3756.78</v>
      </c>
      <c r="J12923" s="18" t="n">
        <v>0</v>
      </c>
      <c r="K12923" s="19" t="n">
        <v>0</v>
      </c>
      <c r="L12923" s="17"/>
    </row>
    <row r="12924" s="11" customFormat="true" ht="10.95" hidden="false" customHeight="true" outlineLevel="0" collapsed="false">
      <c r="A12924" s="16" t="n">
        <v>45254</v>
      </c>
      <c r="B12924" s="17" t="s">
        <v>4548</v>
      </c>
      <c r="C12924" s="17" t="s">
        <v>3614</v>
      </c>
      <c r="D12924" s="17" t="s">
        <v>1407</v>
      </c>
      <c r="E12924" s="17" t="s">
        <v>4114</v>
      </c>
      <c r="F12924" s="17"/>
      <c r="G12924" s="18" t="n">
        <v>22.55</v>
      </c>
      <c r="H12924" s="18" t="n">
        <v>0</v>
      </c>
      <c r="I12924" s="18" t="n">
        <f aca="false">((I12923 + G12924) - H12924)</f>
        <v>-3734.23</v>
      </c>
      <c r="J12924" s="18" t="n">
        <v>0</v>
      </c>
      <c r="K12924" s="19" t="n">
        <v>0</v>
      </c>
      <c r="L12924" s="17"/>
    </row>
    <row r="12925" s="11" customFormat="true" ht="10.95" hidden="false" customHeight="true" outlineLevel="0" collapsed="false">
      <c r="A12925" s="16" t="n">
        <v>45254</v>
      </c>
      <c r="B12925" s="17" t="s">
        <v>4548</v>
      </c>
      <c r="C12925" s="17" t="s">
        <v>3614</v>
      </c>
      <c r="D12925" s="17" t="s">
        <v>1391</v>
      </c>
      <c r="E12925" s="17" t="s">
        <v>3673</v>
      </c>
      <c r="F12925" s="17" t="s">
        <v>3197</v>
      </c>
      <c r="G12925" s="18" t="n">
        <v>2128.82</v>
      </c>
      <c r="H12925" s="18" t="n">
        <v>0</v>
      </c>
      <c r="I12925" s="18" t="n">
        <f aca="false">((I12924 + G12925) - H12925)</f>
        <v>-1605.41</v>
      </c>
      <c r="J12925" s="18" t="n">
        <v>0</v>
      </c>
      <c r="K12925" s="19" t="n">
        <v>0</v>
      </c>
      <c r="L12925" s="17"/>
    </row>
    <row r="12926" s="11" customFormat="true" ht="10.95" hidden="false" customHeight="true" outlineLevel="0" collapsed="false">
      <c r="A12926" s="16" t="n">
        <v>45255</v>
      </c>
      <c r="B12926" s="17" t="s">
        <v>4548</v>
      </c>
      <c r="C12926" s="17" t="s">
        <v>3614</v>
      </c>
      <c r="D12926" s="17" t="s">
        <v>1407</v>
      </c>
      <c r="E12926" s="17" t="s">
        <v>3770</v>
      </c>
      <c r="F12926" s="17"/>
      <c r="G12926" s="18" t="n">
        <v>2.09</v>
      </c>
      <c r="H12926" s="18" t="n">
        <v>0</v>
      </c>
      <c r="I12926" s="18" t="n">
        <f aca="false">((I12925 + G12926) - H12926)</f>
        <v>-1603.32</v>
      </c>
      <c r="J12926" s="18" t="n">
        <v>0</v>
      </c>
      <c r="K12926" s="19" t="n">
        <v>0</v>
      </c>
      <c r="L12926" s="17"/>
    </row>
    <row r="12927" s="11" customFormat="true" ht="10.95" hidden="false" customHeight="true" outlineLevel="0" collapsed="false">
      <c r="A12927" s="16" t="n">
        <v>45257</v>
      </c>
      <c r="B12927" s="17" t="s">
        <v>4548</v>
      </c>
      <c r="C12927" s="17" t="s">
        <v>3614</v>
      </c>
      <c r="D12927" s="17" t="s">
        <v>1407</v>
      </c>
      <c r="E12927" s="17" t="s">
        <v>3805</v>
      </c>
      <c r="F12927" s="17"/>
      <c r="G12927" s="18" t="n">
        <v>8.62</v>
      </c>
      <c r="H12927" s="18" t="n">
        <v>0</v>
      </c>
      <c r="I12927" s="18" t="n">
        <f aca="false">((I12926 + G12927) - H12927)</f>
        <v>-1594.7</v>
      </c>
      <c r="J12927" s="18" t="n">
        <v>0</v>
      </c>
      <c r="K12927" s="19" t="n">
        <v>0</v>
      </c>
      <c r="L12927" s="17"/>
    </row>
    <row r="12928" s="11" customFormat="true" ht="10.95" hidden="false" customHeight="true" outlineLevel="0" collapsed="false">
      <c r="A12928" s="16" t="n">
        <v>45258</v>
      </c>
      <c r="B12928" s="17" t="s">
        <v>4548</v>
      </c>
      <c r="C12928" s="17" t="s">
        <v>3614</v>
      </c>
      <c r="D12928" s="17" t="s">
        <v>1407</v>
      </c>
      <c r="E12928" s="17" t="s">
        <v>3976</v>
      </c>
      <c r="F12928" s="17"/>
      <c r="G12928" s="18" t="n">
        <v>17.19</v>
      </c>
      <c r="H12928" s="18" t="n">
        <v>0</v>
      </c>
      <c r="I12928" s="18" t="n">
        <f aca="false">((I12927 + G12928) - H12928)</f>
        <v>-1577.51</v>
      </c>
      <c r="J12928" s="18" t="n">
        <v>0</v>
      </c>
      <c r="K12928" s="19" t="n">
        <v>0</v>
      </c>
      <c r="L12928" s="17"/>
    </row>
    <row r="12929" s="11" customFormat="true" ht="10.95" hidden="false" customHeight="true" outlineLevel="0" collapsed="false">
      <c r="A12929" s="16" t="n">
        <v>45260</v>
      </c>
      <c r="B12929" s="17" t="s">
        <v>4548</v>
      </c>
      <c r="C12929" s="17" t="s">
        <v>3614</v>
      </c>
      <c r="D12929" s="17" t="s">
        <v>1391</v>
      </c>
      <c r="E12929" s="17" t="s">
        <v>3647</v>
      </c>
      <c r="F12929" s="17" t="s">
        <v>1470</v>
      </c>
      <c r="G12929" s="18" t="n">
        <v>448.15</v>
      </c>
      <c r="H12929" s="18" t="n">
        <v>0</v>
      </c>
      <c r="I12929" s="18" t="n">
        <f aca="false">((I12928 + G12929) - H12929)</f>
        <v>-1129.36</v>
      </c>
      <c r="J12929" s="18" t="n">
        <v>0</v>
      </c>
      <c r="K12929" s="19" t="n">
        <v>0</v>
      </c>
      <c r="L12929" s="17"/>
    </row>
    <row r="12930" s="11" customFormat="true" ht="10.95" hidden="false" customHeight="true" outlineLevel="0" collapsed="false">
      <c r="A12930" s="16" t="n">
        <v>45261</v>
      </c>
      <c r="B12930" s="17" t="s">
        <v>4548</v>
      </c>
      <c r="C12930" s="17" t="s">
        <v>3614</v>
      </c>
      <c r="D12930" s="17" t="s">
        <v>1391</v>
      </c>
      <c r="E12930" s="17" t="s">
        <v>3615</v>
      </c>
      <c r="F12930" s="17" t="s">
        <v>1474</v>
      </c>
      <c r="G12930" s="18" t="n">
        <v>48.98</v>
      </c>
      <c r="H12930" s="18" t="n">
        <v>0</v>
      </c>
      <c r="I12930" s="18" t="n">
        <f aca="false">((I12929 + G12930) - H12930)</f>
        <v>-1080.38</v>
      </c>
      <c r="J12930" s="18" t="n">
        <v>0</v>
      </c>
      <c r="K12930" s="19" t="n">
        <v>0</v>
      </c>
      <c r="L12930" s="17"/>
    </row>
    <row r="12931" s="11" customFormat="true" ht="10.95" hidden="false" customHeight="true" outlineLevel="0" collapsed="false">
      <c r="A12931" s="16" t="n">
        <v>45261</v>
      </c>
      <c r="B12931" s="17" t="s">
        <v>4548</v>
      </c>
      <c r="C12931" s="17" t="s">
        <v>3614</v>
      </c>
      <c r="D12931" s="17" t="s">
        <v>1407</v>
      </c>
      <c r="E12931" s="17" t="s">
        <v>3865</v>
      </c>
      <c r="F12931" s="17"/>
      <c r="G12931" s="18" t="n">
        <v>7.5</v>
      </c>
      <c r="H12931" s="18" t="n">
        <v>0</v>
      </c>
      <c r="I12931" s="18" t="n">
        <f aca="false">((I12930 + G12931) - H12931)</f>
        <v>-1072.88</v>
      </c>
      <c r="J12931" s="18" t="n">
        <v>0</v>
      </c>
      <c r="K12931" s="19" t="n">
        <v>0</v>
      </c>
      <c r="L12931" s="17"/>
    </row>
    <row r="12932" s="11" customFormat="true" ht="10.95" hidden="false" customHeight="true" outlineLevel="0" collapsed="false">
      <c r="A12932" s="16" t="n">
        <v>45261</v>
      </c>
      <c r="B12932" s="17" t="s">
        <v>4548</v>
      </c>
      <c r="C12932" s="17" t="s">
        <v>3614</v>
      </c>
      <c r="D12932" s="17" t="s">
        <v>1391</v>
      </c>
      <c r="E12932" s="17" t="s">
        <v>3621</v>
      </c>
      <c r="F12932" s="17" t="s">
        <v>2670</v>
      </c>
      <c r="G12932" s="18" t="n">
        <v>69.12</v>
      </c>
      <c r="H12932" s="18" t="n">
        <v>0</v>
      </c>
      <c r="I12932" s="18" t="n">
        <f aca="false">((I12931 + G12932) - H12932)</f>
        <v>-1003.76</v>
      </c>
      <c r="J12932" s="18" t="n">
        <v>0</v>
      </c>
      <c r="K12932" s="19" t="n">
        <v>0</v>
      </c>
      <c r="L12932" s="17"/>
    </row>
    <row r="12933" s="11" customFormat="true" ht="10.95" hidden="false" customHeight="true" outlineLevel="0" collapsed="false">
      <c r="A12933" s="16" t="n">
        <v>45261</v>
      </c>
      <c r="B12933" s="17" t="s">
        <v>4548</v>
      </c>
      <c r="C12933" s="17" t="s">
        <v>3614</v>
      </c>
      <c r="D12933" s="17" t="s">
        <v>1407</v>
      </c>
      <c r="E12933" s="17" t="s">
        <v>3642</v>
      </c>
      <c r="F12933" s="17"/>
      <c r="G12933" s="18" t="n">
        <v>0.53</v>
      </c>
      <c r="H12933" s="18" t="n">
        <v>0</v>
      </c>
      <c r="I12933" s="18" t="n">
        <f aca="false">((I12932 + G12933) - H12933)</f>
        <v>-1003.23</v>
      </c>
      <c r="J12933" s="18" t="n">
        <v>0</v>
      </c>
      <c r="K12933" s="19" t="n">
        <v>0</v>
      </c>
      <c r="L12933" s="17"/>
    </row>
    <row r="12934" s="11" customFormat="true" ht="10.95" hidden="false" customHeight="true" outlineLevel="0" collapsed="false">
      <c r="A12934" s="16" t="n">
        <v>45262</v>
      </c>
      <c r="B12934" s="17" t="s">
        <v>4548</v>
      </c>
      <c r="C12934" s="17" t="s">
        <v>3614</v>
      </c>
      <c r="D12934" s="17" t="s">
        <v>1407</v>
      </c>
      <c r="E12934" s="17" t="s">
        <v>3804</v>
      </c>
      <c r="F12934" s="17"/>
      <c r="G12934" s="18" t="n">
        <v>3.64</v>
      </c>
      <c r="H12934" s="18" t="n">
        <v>0</v>
      </c>
      <c r="I12934" s="18" t="n">
        <f aca="false">((I12933 + G12934) - H12934)</f>
        <v>-999.590000000002</v>
      </c>
      <c r="J12934" s="18" t="n">
        <v>0</v>
      </c>
      <c r="K12934" s="19" t="n">
        <v>0</v>
      </c>
      <c r="L12934" s="17"/>
    </row>
    <row r="12935" s="11" customFormat="true" ht="10.95" hidden="false" customHeight="true" outlineLevel="0" collapsed="false">
      <c r="A12935" s="16" t="n">
        <v>45263</v>
      </c>
      <c r="B12935" s="17" t="s">
        <v>4548</v>
      </c>
      <c r="C12935" s="17" t="s">
        <v>3614</v>
      </c>
      <c r="D12935" s="17" t="s">
        <v>1391</v>
      </c>
      <c r="E12935" s="17" t="s">
        <v>3625</v>
      </c>
      <c r="F12935" s="17" t="s">
        <v>3278</v>
      </c>
      <c r="G12935" s="18" t="n">
        <v>91.68</v>
      </c>
      <c r="H12935" s="18" t="n">
        <v>0</v>
      </c>
      <c r="I12935" s="18" t="n">
        <f aca="false">((I12934 + G12935) - H12935)</f>
        <v>-907.910000000001</v>
      </c>
      <c r="J12935" s="18" t="n">
        <v>0</v>
      </c>
      <c r="K12935" s="19" t="n">
        <v>0</v>
      </c>
      <c r="L12935" s="17"/>
    </row>
    <row r="12936" s="11" customFormat="true" ht="10.95" hidden="false" customHeight="true" outlineLevel="0" collapsed="false">
      <c r="A12936" s="16" t="n">
        <v>45263</v>
      </c>
      <c r="B12936" s="17" t="s">
        <v>4548</v>
      </c>
      <c r="C12936" s="17" t="s">
        <v>3614</v>
      </c>
      <c r="D12936" s="17" t="s">
        <v>1391</v>
      </c>
      <c r="E12936" s="17" t="s">
        <v>3689</v>
      </c>
      <c r="F12936" s="17" t="s">
        <v>3594</v>
      </c>
      <c r="G12936" s="18" t="n">
        <v>1597.09</v>
      </c>
      <c r="H12936" s="18" t="n">
        <v>0</v>
      </c>
      <c r="I12936" s="18" t="n">
        <f aca="false">((I12935 + G12936) - H12936)</f>
        <v>689.179999999999</v>
      </c>
      <c r="J12936" s="18" t="n">
        <v>0</v>
      </c>
      <c r="K12936" s="19" t="n">
        <v>0</v>
      </c>
      <c r="L12936" s="17"/>
    </row>
    <row r="12937" s="11" customFormat="true" ht="10.95" hidden="false" customHeight="true" outlineLevel="0" collapsed="false">
      <c r="A12937" s="16" t="n">
        <v>45264</v>
      </c>
      <c r="B12937" s="17" t="s">
        <v>4548</v>
      </c>
      <c r="C12937" s="17" t="s">
        <v>3614</v>
      </c>
      <c r="D12937" s="17" t="s">
        <v>19</v>
      </c>
      <c r="E12937" s="17" t="s">
        <v>3433</v>
      </c>
      <c r="F12937" s="17" t="s">
        <v>379</v>
      </c>
      <c r="G12937" s="18" t="n">
        <v>0</v>
      </c>
      <c r="H12937" s="18" t="n">
        <v>382.5</v>
      </c>
      <c r="I12937" s="18" t="n">
        <f aca="false">((I12936 + G12937) - H12937)</f>
        <v>306.679999999999</v>
      </c>
      <c r="J12937" s="18" t="n">
        <v>0</v>
      </c>
      <c r="K12937" s="19" t="n">
        <v>0</v>
      </c>
      <c r="L12937" s="17"/>
    </row>
    <row r="12938" s="11" customFormat="true" ht="10.95" hidden="false" customHeight="true" outlineLevel="0" collapsed="false">
      <c r="A12938" s="16" t="n">
        <v>45264</v>
      </c>
      <c r="B12938" s="17" t="s">
        <v>4548</v>
      </c>
      <c r="C12938" s="17" t="s">
        <v>3614</v>
      </c>
      <c r="D12938" s="17" t="s">
        <v>19</v>
      </c>
      <c r="E12938" s="17" t="s">
        <v>3433</v>
      </c>
      <c r="F12938" s="17" t="s">
        <v>380</v>
      </c>
      <c r="G12938" s="18" t="n">
        <v>0</v>
      </c>
      <c r="H12938" s="18" t="n">
        <v>380.2</v>
      </c>
      <c r="I12938" s="18" t="n">
        <f aca="false">((I12937 + G12938) - H12938)</f>
        <v>-73.5200000000015</v>
      </c>
      <c r="J12938" s="18" t="n">
        <v>0</v>
      </c>
      <c r="K12938" s="19" t="n">
        <v>0</v>
      </c>
      <c r="L12938" s="17"/>
    </row>
    <row r="12939" s="11" customFormat="true" ht="10.95" hidden="false" customHeight="true" outlineLevel="0" collapsed="false">
      <c r="A12939" s="16" t="n">
        <v>45264</v>
      </c>
      <c r="B12939" s="17" t="s">
        <v>4548</v>
      </c>
      <c r="C12939" s="17" t="s">
        <v>3614</v>
      </c>
      <c r="D12939" s="17" t="s">
        <v>19</v>
      </c>
      <c r="E12939" s="17" t="s">
        <v>3514</v>
      </c>
      <c r="F12939" s="17" t="s">
        <v>382</v>
      </c>
      <c r="G12939" s="18" t="n">
        <v>0</v>
      </c>
      <c r="H12939" s="18" t="n">
        <v>250</v>
      </c>
      <c r="I12939" s="18" t="n">
        <f aca="false">((I12938 + G12939) - H12939)</f>
        <v>-323.520000000002</v>
      </c>
      <c r="J12939" s="18" t="n">
        <v>0</v>
      </c>
      <c r="K12939" s="19" t="n">
        <v>0</v>
      </c>
      <c r="L12939" s="17"/>
    </row>
    <row r="12940" s="11" customFormat="true" ht="10.95" hidden="false" customHeight="true" outlineLevel="0" collapsed="false">
      <c r="A12940" s="16" t="n">
        <v>45264</v>
      </c>
      <c r="B12940" s="17" t="s">
        <v>4548</v>
      </c>
      <c r="C12940" s="17" t="s">
        <v>3614</v>
      </c>
      <c r="D12940" s="17" t="s">
        <v>1407</v>
      </c>
      <c r="E12940" s="17" t="s">
        <v>4550</v>
      </c>
      <c r="F12940" s="17" t="s">
        <v>1691</v>
      </c>
      <c r="G12940" s="18" t="n">
        <v>2576</v>
      </c>
      <c r="H12940" s="18" t="n">
        <v>0</v>
      </c>
      <c r="I12940" s="18" t="n">
        <f aca="false">((I12939 + G12940) - H12940)</f>
        <v>2252.48</v>
      </c>
      <c r="J12940" s="18" t="n">
        <v>0</v>
      </c>
      <c r="K12940" s="19" t="n">
        <v>0</v>
      </c>
      <c r="L12940" s="17" t="s">
        <v>1399</v>
      </c>
    </row>
    <row r="12941" s="11" customFormat="true" ht="10.95" hidden="false" customHeight="true" outlineLevel="0" collapsed="false">
      <c r="A12941" s="16" t="n">
        <v>45265</v>
      </c>
      <c r="B12941" s="17" t="s">
        <v>4548</v>
      </c>
      <c r="C12941" s="17" t="s">
        <v>3614</v>
      </c>
      <c r="D12941" s="17" t="s">
        <v>1391</v>
      </c>
      <c r="E12941" s="17" t="s">
        <v>3647</v>
      </c>
      <c r="F12941" s="17" t="s">
        <v>2396</v>
      </c>
      <c r="G12941" s="18" t="n">
        <v>7.1</v>
      </c>
      <c r="H12941" s="18" t="n">
        <v>0</v>
      </c>
      <c r="I12941" s="18" t="n">
        <f aca="false">((I12940 + G12941) - H12941)</f>
        <v>2259.58</v>
      </c>
      <c r="J12941" s="18" t="n">
        <v>0</v>
      </c>
      <c r="K12941" s="19" t="n">
        <v>0</v>
      </c>
      <c r="L12941" s="17"/>
    </row>
    <row r="12942" s="11" customFormat="true" ht="10.95" hidden="false" customHeight="true" outlineLevel="0" collapsed="false">
      <c r="A12942" s="16" t="n">
        <v>45266</v>
      </c>
      <c r="B12942" s="17" t="s">
        <v>4548</v>
      </c>
      <c r="C12942" s="17" t="s">
        <v>3614</v>
      </c>
      <c r="D12942" s="17" t="s">
        <v>1391</v>
      </c>
      <c r="E12942" s="17" t="s">
        <v>3639</v>
      </c>
      <c r="F12942" s="17" t="s">
        <v>1642</v>
      </c>
      <c r="G12942" s="18" t="n">
        <v>3.64</v>
      </c>
      <c r="H12942" s="18" t="n">
        <v>0</v>
      </c>
      <c r="I12942" s="18" t="n">
        <f aca="false">((I12941 + G12942) - H12942)</f>
        <v>2263.22</v>
      </c>
      <c r="J12942" s="18" t="n">
        <v>0</v>
      </c>
      <c r="K12942" s="19" t="n">
        <v>0</v>
      </c>
      <c r="L12942" s="17"/>
    </row>
    <row r="12943" s="11" customFormat="true" ht="10.95" hidden="false" customHeight="true" outlineLevel="0" collapsed="false">
      <c r="A12943" s="16" t="n">
        <v>45266</v>
      </c>
      <c r="B12943" s="17" t="s">
        <v>4548</v>
      </c>
      <c r="C12943" s="17" t="s">
        <v>3614</v>
      </c>
      <c r="D12943" s="17" t="s">
        <v>1407</v>
      </c>
      <c r="E12943" s="17" t="s">
        <v>3888</v>
      </c>
      <c r="F12943" s="17"/>
      <c r="G12943" s="18" t="n">
        <v>292.49</v>
      </c>
      <c r="H12943" s="18" t="n">
        <v>0</v>
      </c>
      <c r="I12943" s="18" t="n">
        <f aca="false">((I12942 + G12943) - H12943)</f>
        <v>2555.71</v>
      </c>
      <c r="J12943" s="18" t="n">
        <v>0</v>
      </c>
      <c r="K12943" s="19" t="n">
        <v>0</v>
      </c>
      <c r="L12943" s="17"/>
    </row>
    <row r="12944" s="11" customFormat="true" ht="10.95" hidden="false" customHeight="true" outlineLevel="0" collapsed="false">
      <c r="A12944" s="16" t="n">
        <v>45266</v>
      </c>
      <c r="B12944" s="17" t="s">
        <v>4548</v>
      </c>
      <c r="C12944" s="17" t="s">
        <v>3614</v>
      </c>
      <c r="D12944" s="17" t="s">
        <v>1407</v>
      </c>
      <c r="E12944" s="17" t="s">
        <v>3642</v>
      </c>
      <c r="F12944" s="17"/>
      <c r="G12944" s="18" t="n">
        <v>1.87</v>
      </c>
      <c r="H12944" s="18" t="n">
        <v>0</v>
      </c>
      <c r="I12944" s="18" t="n">
        <f aca="false">((I12943 + G12944) - H12944)</f>
        <v>2557.58</v>
      </c>
      <c r="J12944" s="18" t="n">
        <v>0</v>
      </c>
      <c r="K12944" s="19" t="n">
        <v>0</v>
      </c>
      <c r="L12944" s="17"/>
    </row>
    <row r="12945" s="11" customFormat="true" ht="10.95" hidden="false" customHeight="true" outlineLevel="0" collapsed="false">
      <c r="A12945" s="16" t="n">
        <v>45267</v>
      </c>
      <c r="B12945" s="17" t="s">
        <v>4548</v>
      </c>
      <c r="C12945" s="17" t="s">
        <v>3614</v>
      </c>
      <c r="D12945" s="17" t="s">
        <v>1407</v>
      </c>
      <c r="E12945" s="17" t="s">
        <v>3756</v>
      </c>
      <c r="F12945" s="17"/>
      <c r="G12945" s="18" t="n">
        <v>1.52</v>
      </c>
      <c r="H12945" s="18" t="n">
        <v>0</v>
      </c>
      <c r="I12945" s="18" t="n">
        <f aca="false">((I12944 + G12945) - H12945)</f>
        <v>2559.1</v>
      </c>
      <c r="J12945" s="18" t="n">
        <v>0</v>
      </c>
      <c r="K12945" s="19" t="n">
        <v>0</v>
      </c>
      <c r="L12945" s="17"/>
    </row>
    <row r="12946" s="11" customFormat="true" ht="10.95" hidden="false" customHeight="true" outlineLevel="0" collapsed="false">
      <c r="A12946" s="16" t="n">
        <v>45267</v>
      </c>
      <c r="B12946" s="17" t="s">
        <v>4548</v>
      </c>
      <c r="C12946" s="17" t="s">
        <v>3614</v>
      </c>
      <c r="D12946" s="17" t="s">
        <v>1407</v>
      </c>
      <c r="E12946" s="17" t="s">
        <v>3626</v>
      </c>
      <c r="F12946" s="17"/>
      <c r="G12946" s="18" t="n">
        <v>6.5</v>
      </c>
      <c r="H12946" s="18" t="n">
        <v>0</v>
      </c>
      <c r="I12946" s="18" t="n">
        <f aca="false">((I12945 + G12946) - H12946)</f>
        <v>2565.6</v>
      </c>
      <c r="J12946" s="18" t="n">
        <v>0</v>
      </c>
      <c r="K12946" s="19" t="n">
        <v>0</v>
      </c>
      <c r="L12946" s="17"/>
    </row>
    <row r="12947" s="11" customFormat="true" ht="10.95" hidden="false" customHeight="true" outlineLevel="0" collapsed="false">
      <c r="A12947" s="16" t="n">
        <v>45267</v>
      </c>
      <c r="B12947" s="17" t="s">
        <v>4548</v>
      </c>
      <c r="C12947" s="17" t="s">
        <v>3614</v>
      </c>
      <c r="D12947" s="17" t="s">
        <v>1407</v>
      </c>
      <c r="E12947" s="17" t="s">
        <v>3642</v>
      </c>
      <c r="F12947" s="17"/>
      <c r="G12947" s="18" t="n">
        <v>1.65</v>
      </c>
      <c r="H12947" s="18" t="n">
        <v>0</v>
      </c>
      <c r="I12947" s="18" t="n">
        <f aca="false">((I12946 + G12947) - H12947)</f>
        <v>2567.25</v>
      </c>
      <c r="J12947" s="18" t="n">
        <v>0</v>
      </c>
      <c r="K12947" s="19" t="n">
        <v>0</v>
      </c>
      <c r="L12947" s="17"/>
    </row>
    <row r="12948" s="11" customFormat="true" ht="10.95" hidden="false" customHeight="true" outlineLevel="0" collapsed="false">
      <c r="A12948" s="16" t="n">
        <v>45267</v>
      </c>
      <c r="B12948" s="17" t="s">
        <v>4548</v>
      </c>
      <c r="C12948" s="17" t="s">
        <v>3614</v>
      </c>
      <c r="D12948" s="17" t="s">
        <v>1391</v>
      </c>
      <c r="E12948" s="17" t="s">
        <v>3622</v>
      </c>
      <c r="F12948" s="17" t="s">
        <v>1476</v>
      </c>
      <c r="G12948" s="18" t="n">
        <v>221.46</v>
      </c>
      <c r="H12948" s="18" t="n">
        <v>0</v>
      </c>
      <c r="I12948" s="18" t="n">
        <f aca="false">((I12947 + G12948) - H12948)</f>
        <v>2788.71</v>
      </c>
      <c r="J12948" s="18" t="n">
        <v>0</v>
      </c>
      <c r="K12948" s="19" t="n">
        <v>0</v>
      </c>
      <c r="L12948" s="17"/>
    </row>
    <row r="12949" s="11" customFormat="true" ht="10.95" hidden="false" customHeight="true" outlineLevel="0" collapsed="false">
      <c r="A12949" s="16" t="n">
        <v>45269</v>
      </c>
      <c r="B12949" s="17" t="s">
        <v>4548</v>
      </c>
      <c r="C12949" s="17" t="s">
        <v>3614</v>
      </c>
      <c r="D12949" s="17" t="s">
        <v>1391</v>
      </c>
      <c r="E12949" s="17" t="s">
        <v>3638</v>
      </c>
      <c r="F12949" s="17" t="s">
        <v>3280</v>
      </c>
      <c r="G12949" s="18" t="n">
        <v>278.5</v>
      </c>
      <c r="H12949" s="18" t="n">
        <v>0</v>
      </c>
      <c r="I12949" s="18" t="n">
        <f aca="false">((I12948 + G12949) - H12949)</f>
        <v>3067.21</v>
      </c>
      <c r="J12949" s="18" t="n">
        <v>0</v>
      </c>
      <c r="K12949" s="19" t="n">
        <v>0</v>
      </c>
      <c r="L12949" s="17"/>
    </row>
    <row r="12950" s="11" customFormat="true" ht="10.95" hidden="false" customHeight="true" outlineLevel="0" collapsed="false">
      <c r="A12950" s="16" t="n">
        <v>45271</v>
      </c>
      <c r="B12950" s="17" t="s">
        <v>4548</v>
      </c>
      <c r="C12950" s="17" t="s">
        <v>3614</v>
      </c>
      <c r="D12950" s="17" t="s">
        <v>19</v>
      </c>
      <c r="E12950" s="17" t="s">
        <v>3434</v>
      </c>
      <c r="F12950" s="17" t="s">
        <v>383</v>
      </c>
      <c r="G12950" s="18" t="n">
        <v>0</v>
      </c>
      <c r="H12950" s="18" t="n">
        <v>36</v>
      </c>
      <c r="I12950" s="18" t="n">
        <f aca="false">((I12949 + G12950) - H12950)</f>
        <v>3031.21</v>
      </c>
      <c r="J12950" s="18" t="n">
        <v>0</v>
      </c>
      <c r="K12950" s="19" t="n">
        <v>0</v>
      </c>
      <c r="L12950" s="17"/>
    </row>
    <row r="12951" s="11" customFormat="true" ht="10.95" hidden="false" customHeight="true" outlineLevel="0" collapsed="false">
      <c r="A12951" s="16" t="n">
        <v>45271</v>
      </c>
      <c r="B12951" s="17" t="s">
        <v>4548</v>
      </c>
      <c r="C12951" s="17" t="s">
        <v>3614</v>
      </c>
      <c r="D12951" s="17" t="s">
        <v>1391</v>
      </c>
      <c r="E12951" s="17" t="s">
        <v>3615</v>
      </c>
      <c r="F12951" s="17" t="s">
        <v>1478</v>
      </c>
      <c r="G12951" s="18" t="n">
        <v>183</v>
      </c>
      <c r="H12951" s="18" t="n">
        <v>0</v>
      </c>
      <c r="I12951" s="18" t="n">
        <f aca="false">((I12950 + G12951) - H12951)</f>
        <v>3214.21</v>
      </c>
      <c r="J12951" s="18" t="n">
        <v>0</v>
      </c>
      <c r="K12951" s="19" t="n">
        <v>0</v>
      </c>
      <c r="L12951" s="17"/>
    </row>
    <row r="12952" s="11" customFormat="true" ht="10.95" hidden="false" customHeight="true" outlineLevel="0" collapsed="false">
      <c r="A12952" s="16" t="n">
        <v>45271</v>
      </c>
      <c r="B12952" s="17" t="s">
        <v>4548</v>
      </c>
      <c r="C12952" s="17" t="s">
        <v>3614</v>
      </c>
      <c r="D12952" s="17" t="s">
        <v>1391</v>
      </c>
      <c r="E12952" s="17" t="s">
        <v>3615</v>
      </c>
      <c r="F12952" s="17" t="s">
        <v>1480</v>
      </c>
      <c r="G12952" s="18" t="n">
        <v>1628.62</v>
      </c>
      <c r="H12952" s="18" t="n">
        <v>0</v>
      </c>
      <c r="I12952" s="18" t="n">
        <f aca="false">((I12951 + G12952) - H12952)</f>
        <v>4842.83</v>
      </c>
      <c r="J12952" s="18" t="n">
        <v>0</v>
      </c>
      <c r="K12952" s="19" t="n">
        <v>0</v>
      </c>
      <c r="L12952" s="17"/>
    </row>
    <row r="12953" s="11" customFormat="true" ht="10.95" hidden="false" customHeight="true" outlineLevel="0" collapsed="false">
      <c r="A12953" s="16" t="n">
        <v>45271</v>
      </c>
      <c r="B12953" s="17" t="s">
        <v>4548</v>
      </c>
      <c r="C12953" s="17" t="s">
        <v>3614</v>
      </c>
      <c r="D12953" s="17" t="s">
        <v>1391</v>
      </c>
      <c r="E12953" s="17" t="s">
        <v>3647</v>
      </c>
      <c r="F12953" s="17" t="s">
        <v>1482</v>
      </c>
      <c r="G12953" s="18" t="n">
        <v>7.1</v>
      </c>
      <c r="H12953" s="18" t="n">
        <v>0</v>
      </c>
      <c r="I12953" s="18" t="n">
        <f aca="false">((I12952 + G12953) - H12953)</f>
        <v>4849.93</v>
      </c>
      <c r="J12953" s="18" t="n">
        <v>0</v>
      </c>
      <c r="K12953" s="19" t="n">
        <v>0</v>
      </c>
      <c r="L12953" s="17"/>
    </row>
    <row r="12954" s="11" customFormat="true" ht="10.95" hidden="false" customHeight="true" outlineLevel="0" collapsed="false">
      <c r="A12954" s="16" t="n">
        <v>45271</v>
      </c>
      <c r="B12954" s="17" t="s">
        <v>4548</v>
      </c>
      <c r="C12954" s="17" t="s">
        <v>3614</v>
      </c>
      <c r="D12954" s="17" t="s">
        <v>1391</v>
      </c>
      <c r="E12954" s="17" t="s">
        <v>3691</v>
      </c>
      <c r="F12954" s="17" t="s">
        <v>3199</v>
      </c>
      <c r="G12954" s="18" t="n">
        <v>1800</v>
      </c>
      <c r="H12954" s="18" t="n">
        <v>0</v>
      </c>
      <c r="I12954" s="18" t="n">
        <f aca="false">((I12953 + G12954) - H12954)</f>
        <v>6649.93</v>
      </c>
      <c r="J12954" s="18" t="n">
        <v>0</v>
      </c>
      <c r="K12954" s="19" t="n">
        <v>0</v>
      </c>
      <c r="L12954" s="17"/>
    </row>
    <row r="12955" s="11" customFormat="true" ht="10.95" hidden="false" customHeight="true" outlineLevel="0" collapsed="false">
      <c r="A12955" s="16" t="n">
        <v>45272</v>
      </c>
      <c r="B12955" s="17" t="s">
        <v>4548</v>
      </c>
      <c r="C12955" s="17" t="s">
        <v>3614</v>
      </c>
      <c r="D12955" s="17" t="s">
        <v>1407</v>
      </c>
      <c r="E12955" s="17" t="s">
        <v>3896</v>
      </c>
      <c r="F12955" s="17"/>
      <c r="G12955" s="18" t="n">
        <v>1.91</v>
      </c>
      <c r="H12955" s="18" t="n">
        <v>0</v>
      </c>
      <c r="I12955" s="18" t="n">
        <f aca="false">((I12954 + G12955) - H12955)</f>
        <v>6651.84</v>
      </c>
      <c r="J12955" s="18" t="n">
        <v>0</v>
      </c>
      <c r="K12955" s="19" t="n">
        <v>0</v>
      </c>
      <c r="L12955" s="17"/>
    </row>
    <row r="12956" s="11" customFormat="true" ht="10.95" hidden="false" customHeight="true" outlineLevel="0" collapsed="false">
      <c r="A12956" s="16" t="n">
        <v>45272</v>
      </c>
      <c r="B12956" s="17" t="s">
        <v>4548</v>
      </c>
      <c r="C12956" s="17" t="s">
        <v>3614</v>
      </c>
      <c r="D12956" s="17" t="s">
        <v>1407</v>
      </c>
      <c r="E12956" s="17" t="s">
        <v>3858</v>
      </c>
      <c r="F12956" s="17"/>
      <c r="G12956" s="18" t="n">
        <v>26.23</v>
      </c>
      <c r="H12956" s="18" t="n">
        <v>0</v>
      </c>
      <c r="I12956" s="18" t="n">
        <f aca="false">((I12955 + G12956) - H12956)</f>
        <v>6678.07</v>
      </c>
      <c r="J12956" s="18" t="n">
        <v>0</v>
      </c>
      <c r="K12956" s="19" t="n">
        <v>0</v>
      </c>
      <c r="L12956" s="17"/>
    </row>
    <row r="12957" s="11" customFormat="true" ht="10.95" hidden="false" customHeight="true" outlineLevel="0" collapsed="false">
      <c r="A12957" s="16" t="n">
        <v>45272</v>
      </c>
      <c r="B12957" s="17" t="s">
        <v>4548</v>
      </c>
      <c r="C12957" s="17" t="s">
        <v>3614</v>
      </c>
      <c r="D12957" s="17" t="s">
        <v>1407</v>
      </c>
      <c r="E12957" s="17" t="s">
        <v>3955</v>
      </c>
      <c r="F12957" s="17"/>
      <c r="G12957" s="18" t="n">
        <v>32.87</v>
      </c>
      <c r="H12957" s="18" t="n">
        <v>0</v>
      </c>
      <c r="I12957" s="18" t="n">
        <f aca="false">((I12956 + G12957) - H12957)</f>
        <v>6710.94</v>
      </c>
      <c r="J12957" s="18" t="n">
        <v>0</v>
      </c>
      <c r="K12957" s="19" t="n">
        <v>0</v>
      </c>
      <c r="L12957" s="17"/>
    </row>
    <row r="12958" s="11" customFormat="true" ht="10.95" hidden="false" customHeight="true" outlineLevel="0" collapsed="false">
      <c r="A12958" s="16" t="n">
        <v>45272</v>
      </c>
      <c r="B12958" s="17" t="s">
        <v>4548</v>
      </c>
      <c r="C12958" s="17" t="s">
        <v>3614</v>
      </c>
      <c r="D12958" s="17" t="s">
        <v>1407</v>
      </c>
      <c r="E12958" s="17" t="s">
        <v>4145</v>
      </c>
      <c r="F12958" s="17"/>
      <c r="G12958" s="18" t="n">
        <v>83.77</v>
      </c>
      <c r="H12958" s="18" t="n">
        <v>0</v>
      </c>
      <c r="I12958" s="18" t="n">
        <f aca="false">((I12957 + G12958) - H12958)</f>
        <v>6794.71</v>
      </c>
      <c r="J12958" s="18" t="n">
        <v>0</v>
      </c>
      <c r="K12958" s="19" t="n">
        <v>0</v>
      </c>
      <c r="L12958" s="17"/>
    </row>
    <row r="12959" s="11" customFormat="true" ht="10.95" hidden="false" customHeight="true" outlineLevel="0" collapsed="false">
      <c r="A12959" s="16" t="n">
        <v>45272</v>
      </c>
      <c r="B12959" s="17" t="s">
        <v>4548</v>
      </c>
      <c r="C12959" s="17" t="s">
        <v>3614</v>
      </c>
      <c r="D12959" s="17" t="s">
        <v>1407</v>
      </c>
      <c r="E12959" s="17" t="s">
        <v>3858</v>
      </c>
      <c r="F12959" s="17"/>
      <c r="G12959" s="18" t="n">
        <v>99.62</v>
      </c>
      <c r="H12959" s="18" t="n">
        <v>0</v>
      </c>
      <c r="I12959" s="18" t="n">
        <f aca="false">((I12958 + G12959) - H12959)</f>
        <v>6894.33</v>
      </c>
      <c r="J12959" s="18" t="n">
        <v>0</v>
      </c>
      <c r="K12959" s="19" t="n">
        <v>0</v>
      </c>
      <c r="L12959" s="17"/>
    </row>
    <row r="12960" s="11" customFormat="true" ht="10.95" hidden="false" customHeight="true" outlineLevel="0" collapsed="false">
      <c r="A12960" s="16" t="n">
        <v>45274</v>
      </c>
      <c r="B12960" s="17" t="s">
        <v>4548</v>
      </c>
      <c r="C12960" s="17" t="s">
        <v>3614</v>
      </c>
      <c r="D12960" s="17" t="s">
        <v>1391</v>
      </c>
      <c r="E12960" s="17" t="s">
        <v>3641</v>
      </c>
      <c r="F12960" s="17" t="s">
        <v>2673</v>
      </c>
      <c r="G12960" s="18" t="n">
        <v>30.11</v>
      </c>
      <c r="H12960" s="18" t="n">
        <v>0</v>
      </c>
      <c r="I12960" s="18" t="n">
        <f aca="false">((I12959 + G12960) - H12960)</f>
        <v>6924.44</v>
      </c>
      <c r="J12960" s="18" t="n">
        <v>0</v>
      </c>
      <c r="K12960" s="19" t="n">
        <v>0</v>
      </c>
      <c r="L12960" s="17"/>
    </row>
    <row r="12961" s="11" customFormat="true" ht="10.95" hidden="false" customHeight="true" outlineLevel="0" collapsed="false">
      <c r="A12961" s="16" t="n">
        <v>45274</v>
      </c>
      <c r="B12961" s="17" t="s">
        <v>4548</v>
      </c>
      <c r="C12961" s="17" t="s">
        <v>3614</v>
      </c>
      <c r="D12961" s="17" t="s">
        <v>1391</v>
      </c>
      <c r="E12961" s="17" t="s">
        <v>3692</v>
      </c>
      <c r="F12961" s="17" t="s">
        <v>3201</v>
      </c>
      <c r="G12961" s="18" t="n">
        <v>38.85</v>
      </c>
      <c r="H12961" s="18" t="n">
        <v>0</v>
      </c>
      <c r="I12961" s="18" t="n">
        <f aca="false">((I12960 + G12961) - H12961)</f>
        <v>6963.29</v>
      </c>
      <c r="J12961" s="18" t="n">
        <v>0</v>
      </c>
      <c r="K12961" s="19" t="n">
        <v>0</v>
      </c>
      <c r="L12961" s="17"/>
    </row>
    <row r="12962" s="11" customFormat="true" ht="10.95" hidden="false" customHeight="true" outlineLevel="0" collapsed="false">
      <c r="A12962" s="16" t="n">
        <v>45274</v>
      </c>
      <c r="B12962" s="17" t="s">
        <v>4548</v>
      </c>
      <c r="C12962" s="17" t="s">
        <v>3614</v>
      </c>
      <c r="D12962" s="17" t="s">
        <v>1407</v>
      </c>
      <c r="E12962" s="17" t="s">
        <v>3642</v>
      </c>
      <c r="F12962" s="17"/>
      <c r="G12962" s="18" t="n">
        <v>6.37</v>
      </c>
      <c r="H12962" s="18" t="n">
        <v>0</v>
      </c>
      <c r="I12962" s="18" t="n">
        <f aca="false">((I12961 + G12962) - H12962)</f>
        <v>6969.66</v>
      </c>
      <c r="J12962" s="18" t="n">
        <v>0</v>
      </c>
      <c r="K12962" s="19" t="n">
        <v>0</v>
      </c>
      <c r="L12962" s="17"/>
    </row>
    <row r="12963" s="11" customFormat="true" ht="10.95" hidden="false" customHeight="true" outlineLevel="0" collapsed="false">
      <c r="A12963" s="16" t="n">
        <v>45274</v>
      </c>
      <c r="B12963" s="17" t="s">
        <v>4548</v>
      </c>
      <c r="C12963" s="17" t="s">
        <v>3614</v>
      </c>
      <c r="D12963" s="17" t="s">
        <v>1391</v>
      </c>
      <c r="E12963" s="17" t="s">
        <v>3693</v>
      </c>
      <c r="F12963" s="17" t="s">
        <v>2402</v>
      </c>
      <c r="G12963" s="18" t="n">
        <v>17.93</v>
      </c>
      <c r="H12963" s="18" t="n">
        <v>0</v>
      </c>
      <c r="I12963" s="18" t="n">
        <f aca="false">((I12962 + G12963) - H12963)</f>
        <v>6987.59</v>
      </c>
      <c r="J12963" s="18" t="n">
        <v>0</v>
      </c>
      <c r="K12963" s="19" t="n">
        <v>0</v>
      </c>
      <c r="L12963" s="17"/>
    </row>
    <row r="12964" s="11" customFormat="true" ht="10.95" hidden="false" customHeight="true" outlineLevel="0" collapsed="false">
      <c r="A12964" s="16" t="n">
        <v>45276</v>
      </c>
      <c r="B12964" s="17" t="s">
        <v>4548</v>
      </c>
      <c r="C12964" s="17" t="s">
        <v>3614</v>
      </c>
      <c r="D12964" s="17" t="s">
        <v>1407</v>
      </c>
      <c r="E12964" s="17" t="s">
        <v>3697</v>
      </c>
      <c r="F12964" s="17"/>
      <c r="G12964" s="18" t="n">
        <v>166.12</v>
      </c>
      <c r="H12964" s="18" t="n">
        <v>0</v>
      </c>
      <c r="I12964" s="18" t="n">
        <f aca="false">((I12963 + G12964) - H12964)</f>
        <v>7153.71</v>
      </c>
      <c r="J12964" s="18" t="n">
        <v>0</v>
      </c>
      <c r="K12964" s="19" t="n">
        <v>0</v>
      </c>
      <c r="L12964" s="17"/>
    </row>
    <row r="12965" s="11" customFormat="true" ht="10.95" hidden="false" customHeight="true" outlineLevel="0" collapsed="false">
      <c r="A12965" s="16" t="n">
        <v>45277</v>
      </c>
      <c r="B12965" s="17" t="s">
        <v>4548</v>
      </c>
      <c r="C12965" s="17" t="s">
        <v>3614</v>
      </c>
      <c r="D12965" s="17" t="s">
        <v>1407</v>
      </c>
      <c r="E12965" s="17" t="s">
        <v>2747</v>
      </c>
      <c r="F12965" s="17"/>
      <c r="G12965" s="18" t="n">
        <v>2.73</v>
      </c>
      <c r="H12965" s="18" t="n">
        <v>0</v>
      </c>
      <c r="I12965" s="18" t="n">
        <f aca="false">((I12964 + G12965) - H12965)</f>
        <v>7156.44</v>
      </c>
      <c r="J12965" s="18" t="n">
        <v>0</v>
      </c>
      <c r="K12965" s="19" t="n">
        <v>0</v>
      </c>
      <c r="L12965" s="17"/>
    </row>
    <row r="12966" s="11" customFormat="true" ht="10.95" hidden="false" customHeight="true" outlineLevel="0" collapsed="false">
      <c r="A12966" s="16" t="n">
        <v>45277</v>
      </c>
      <c r="B12966" s="17" t="s">
        <v>4548</v>
      </c>
      <c r="C12966" s="17" t="s">
        <v>3614</v>
      </c>
      <c r="D12966" s="17" t="s">
        <v>1407</v>
      </c>
      <c r="E12966" s="17" t="s">
        <v>4164</v>
      </c>
      <c r="F12966" s="17"/>
      <c r="G12966" s="18" t="n">
        <v>4.54</v>
      </c>
      <c r="H12966" s="18" t="n">
        <v>0</v>
      </c>
      <c r="I12966" s="18" t="n">
        <f aca="false">((I12965 + G12966) - H12966)</f>
        <v>7160.98</v>
      </c>
      <c r="J12966" s="18" t="n">
        <v>0</v>
      </c>
      <c r="K12966" s="19" t="n">
        <v>0</v>
      </c>
      <c r="L12966" s="17"/>
    </row>
    <row r="12967" s="11" customFormat="true" ht="10.95" hidden="false" customHeight="true" outlineLevel="0" collapsed="false">
      <c r="A12967" s="16" t="n">
        <v>45278</v>
      </c>
      <c r="B12967" s="17" t="s">
        <v>4548</v>
      </c>
      <c r="C12967" s="17" t="s">
        <v>3614</v>
      </c>
      <c r="D12967" s="17" t="s">
        <v>1391</v>
      </c>
      <c r="E12967" s="17" t="s">
        <v>3642</v>
      </c>
      <c r="F12967" s="17" t="s">
        <v>2406</v>
      </c>
      <c r="G12967" s="18" t="n">
        <v>6.2</v>
      </c>
      <c r="H12967" s="18" t="n">
        <v>0</v>
      </c>
      <c r="I12967" s="18" t="n">
        <f aca="false">((I12966 + G12967) - H12967)</f>
        <v>7167.18</v>
      </c>
      <c r="J12967" s="18" t="n">
        <v>0</v>
      </c>
      <c r="K12967" s="19" t="n">
        <v>0</v>
      </c>
      <c r="L12967" s="17"/>
    </row>
    <row r="12968" s="11" customFormat="true" ht="10.95" hidden="false" customHeight="true" outlineLevel="0" collapsed="false">
      <c r="A12968" s="16" t="n">
        <v>45278</v>
      </c>
      <c r="B12968" s="17" t="s">
        <v>4548</v>
      </c>
      <c r="C12968" s="17" t="s">
        <v>3614</v>
      </c>
      <c r="D12968" s="17" t="s">
        <v>1391</v>
      </c>
      <c r="E12968" s="17" t="s">
        <v>3642</v>
      </c>
      <c r="F12968" s="17" t="s">
        <v>2408</v>
      </c>
      <c r="G12968" s="18" t="n">
        <v>4.12</v>
      </c>
      <c r="H12968" s="18" t="n">
        <v>0</v>
      </c>
      <c r="I12968" s="18" t="n">
        <f aca="false">((I12967 + G12968) - H12968)</f>
        <v>7171.3</v>
      </c>
      <c r="J12968" s="18" t="n">
        <v>0</v>
      </c>
      <c r="K12968" s="19" t="n">
        <v>0</v>
      </c>
      <c r="L12968" s="17"/>
    </row>
    <row r="12969" s="11" customFormat="true" ht="10.95" hidden="false" customHeight="true" outlineLevel="0" collapsed="false">
      <c r="A12969" s="16" t="n">
        <v>45278</v>
      </c>
      <c r="B12969" s="17" t="s">
        <v>4548</v>
      </c>
      <c r="C12969" s="17" t="s">
        <v>3614</v>
      </c>
      <c r="D12969" s="17" t="s">
        <v>1391</v>
      </c>
      <c r="E12969" s="17" t="s">
        <v>3642</v>
      </c>
      <c r="F12969" s="17" t="s">
        <v>2410</v>
      </c>
      <c r="G12969" s="18" t="n">
        <v>3.29</v>
      </c>
      <c r="H12969" s="18" t="n">
        <v>0</v>
      </c>
      <c r="I12969" s="18" t="n">
        <f aca="false">((I12968 + G12969) - H12969)</f>
        <v>7174.59</v>
      </c>
      <c r="J12969" s="18" t="n">
        <v>0</v>
      </c>
      <c r="K12969" s="19" t="n">
        <v>0</v>
      </c>
      <c r="L12969" s="17"/>
    </row>
    <row r="12970" s="11" customFormat="true" ht="10.95" hidden="false" customHeight="true" outlineLevel="0" collapsed="false">
      <c r="A12970" s="16" t="n">
        <v>45278</v>
      </c>
      <c r="B12970" s="17" t="s">
        <v>4548</v>
      </c>
      <c r="C12970" s="17" t="s">
        <v>3614</v>
      </c>
      <c r="D12970" s="17" t="s">
        <v>1391</v>
      </c>
      <c r="E12970" s="17" t="s">
        <v>3642</v>
      </c>
      <c r="F12970" s="17" t="s">
        <v>2412</v>
      </c>
      <c r="G12970" s="18" t="n">
        <v>6.96</v>
      </c>
      <c r="H12970" s="18" t="n">
        <v>0</v>
      </c>
      <c r="I12970" s="18" t="n">
        <f aca="false">((I12969 + G12970) - H12970)</f>
        <v>7181.55</v>
      </c>
      <c r="J12970" s="18" t="n">
        <v>0</v>
      </c>
      <c r="K12970" s="19" t="n">
        <v>0</v>
      </c>
      <c r="L12970" s="17"/>
    </row>
    <row r="12971" s="11" customFormat="true" ht="10.95" hidden="false" customHeight="true" outlineLevel="0" collapsed="false">
      <c r="A12971" s="16" t="n">
        <v>45278</v>
      </c>
      <c r="B12971" s="17" t="s">
        <v>4548</v>
      </c>
      <c r="C12971" s="17" t="s">
        <v>3614</v>
      </c>
      <c r="D12971" s="17" t="s">
        <v>1391</v>
      </c>
      <c r="E12971" s="17" t="s">
        <v>3642</v>
      </c>
      <c r="F12971" s="17" t="s">
        <v>2414</v>
      </c>
      <c r="G12971" s="18" t="n">
        <v>19.98</v>
      </c>
      <c r="H12971" s="18" t="n">
        <v>0</v>
      </c>
      <c r="I12971" s="18" t="n">
        <f aca="false">((I12970 + G12971) - H12971)</f>
        <v>7201.53</v>
      </c>
      <c r="J12971" s="18" t="n">
        <v>0</v>
      </c>
      <c r="K12971" s="19" t="n">
        <v>0</v>
      </c>
      <c r="L12971" s="17"/>
    </row>
    <row r="12972" s="11" customFormat="true" ht="10.95" hidden="false" customHeight="true" outlineLevel="0" collapsed="false">
      <c r="A12972" s="16" t="n">
        <v>45278</v>
      </c>
      <c r="B12972" s="17" t="s">
        <v>4548</v>
      </c>
      <c r="C12972" s="17" t="s">
        <v>3614</v>
      </c>
      <c r="D12972" s="17" t="s">
        <v>1391</v>
      </c>
      <c r="E12972" s="17" t="s">
        <v>3642</v>
      </c>
      <c r="F12972" s="17" t="s">
        <v>2416</v>
      </c>
      <c r="G12972" s="18" t="n">
        <v>0.82</v>
      </c>
      <c r="H12972" s="18" t="n">
        <v>0</v>
      </c>
      <c r="I12972" s="18" t="n">
        <f aca="false">((I12971 + G12972) - H12972)</f>
        <v>7202.35</v>
      </c>
      <c r="J12972" s="18" t="n">
        <v>0</v>
      </c>
      <c r="K12972" s="19" t="n">
        <v>0</v>
      </c>
      <c r="L12972" s="17"/>
    </row>
    <row r="12973" s="11" customFormat="true" ht="10.95" hidden="false" customHeight="true" outlineLevel="0" collapsed="false">
      <c r="A12973" s="16" t="n">
        <v>45278</v>
      </c>
      <c r="B12973" s="17" t="s">
        <v>4548</v>
      </c>
      <c r="C12973" s="17" t="s">
        <v>3614</v>
      </c>
      <c r="D12973" s="17" t="s">
        <v>1391</v>
      </c>
      <c r="E12973" s="17" t="s">
        <v>3642</v>
      </c>
      <c r="F12973" s="17" t="s">
        <v>2418</v>
      </c>
      <c r="G12973" s="18" t="n">
        <v>2.2</v>
      </c>
      <c r="H12973" s="18" t="n">
        <v>0</v>
      </c>
      <c r="I12973" s="18" t="n">
        <f aca="false">((I12972 + G12973) - H12973)</f>
        <v>7204.55</v>
      </c>
      <c r="J12973" s="18" t="n">
        <v>0</v>
      </c>
      <c r="K12973" s="19" t="n">
        <v>0</v>
      </c>
      <c r="L12973" s="17"/>
    </row>
    <row r="12974" s="11" customFormat="true" ht="10.95" hidden="false" customHeight="true" outlineLevel="0" collapsed="false">
      <c r="A12974" s="16" t="n">
        <v>45278</v>
      </c>
      <c r="B12974" s="17" t="s">
        <v>4548</v>
      </c>
      <c r="C12974" s="17" t="s">
        <v>3614</v>
      </c>
      <c r="D12974" s="17" t="s">
        <v>1391</v>
      </c>
      <c r="E12974" s="17" t="s">
        <v>3642</v>
      </c>
      <c r="F12974" s="17" t="s">
        <v>2420</v>
      </c>
      <c r="G12974" s="18" t="n">
        <v>5.5</v>
      </c>
      <c r="H12974" s="18" t="n">
        <v>0</v>
      </c>
      <c r="I12974" s="18" t="n">
        <f aca="false">((I12973 + G12974) - H12974)</f>
        <v>7210.05</v>
      </c>
      <c r="J12974" s="18" t="n">
        <v>0</v>
      </c>
      <c r="K12974" s="19" t="n">
        <v>0</v>
      </c>
      <c r="L12974" s="17"/>
    </row>
    <row r="12975" s="11" customFormat="true" ht="10.95" hidden="false" customHeight="true" outlineLevel="0" collapsed="false">
      <c r="A12975" s="16" t="n">
        <v>45278</v>
      </c>
      <c r="B12975" s="17" t="s">
        <v>4548</v>
      </c>
      <c r="C12975" s="17" t="s">
        <v>3614</v>
      </c>
      <c r="D12975" s="17" t="s">
        <v>1407</v>
      </c>
      <c r="E12975" s="17" t="s">
        <v>4165</v>
      </c>
      <c r="F12975" s="17"/>
      <c r="G12975" s="18" t="n">
        <v>4.3</v>
      </c>
      <c r="H12975" s="18" t="n">
        <v>0</v>
      </c>
      <c r="I12975" s="18" t="n">
        <f aca="false">((I12974 + G12975) - H12975)</f>
        <v>7214.35</v>
      </c>
      <c r="J12975" s="18" t="n">
        <v>0</v>
      </c>
      <c r="K12975" s="19" t="n">
        <v>0</v>
      </c>
      <c r="L12975" s="17"/>
    </row>
    <row r="12976" s="11" customFormat="true" ht="10.95" hidden="false" customHeight="true" outlineLevel="0" collapsed="false">
      <c r="A12976" s="16" t="n">
        <v>45279</v>
      </c>
      <c r="B12976" s="17" t="s">
        <v>4548</v>
      </c>
      <c r="C12976" s="17" t="s">
        <v>3614</v>
      </c>
      <c r="D12976" s="17" t="s">
        <v>1407</v>
      </c>
      <c r="E12976" s="17" t="s">
        <v>3900</v>
      </c>
      <c r="F12976" s="17"/>
      <c r="G12976" s="18" t="n">
        <v>1.54</v>
      </c>
      <c r="H12976" s="18" t="n">
        <v>0</v>
      </c>
      <c r="I12976" s="18" t="n">
        <f aca="false">((I12975 + G12976) - H12976)</f>
        <v>7215.89</v>
      </c>
      <c r="J12976" s="18" t="n">
        <v>0</v>
      </c>
      <c r="K12976" s="19" t="n">
        <v>0</v>
      </c>
      <c r="L12976" s="17"/>
    </row>
    <row r="12977" s="11" customFormat="true" ht="10.95" hidden="false" customHeight="true" outlineLevel="0" collapsed="false">
      <c r="A12977" s="16" t="n">
        <v>45279</v>
      </c>
      <c r="B12977" s="17" t="s">
        <v>4548</v>
      </c>
      <c r="C12977" s="17" t="s">
        <v>3614</v>
      </c>
      <c r="D12977" s="17" t="s">
        <v>1407</v>
      </c>
      <c r="E12977" s="17" t="s">
        <v>3901</v>
      </c>
      <c r="F12977" s="17"/>
      <c r="G12977" s="18" t="n">
        <v>7.37</v>
      </c>
      <c r="H12977" s="18" t="n">
        <v>0</v>
      </c>
      <c r="I12977" s="18" t="n">
        <f aca="false">((I12976 + G12977) - H12977)</f>
        <v>7223.26</v>
      </c>
      <c r="J12977" s="18" t="n">
        <v>0</v>
      </c>
      <c r="K12977" s="19" t="n">
        <v>0</v>
      </c>
      <c r="L12977" s="17"/>
    </row>
    <row r="12978" s="11" customFormat="true" ht="10.95" hidden="false" customHeight="true" outlineLevel="0" collapsed="false">
      <c r="A12978" s="16" t="n">
        <v>45279</v>
      </c>
      <c r="B12978" s="17" t="s">
        <v>4548</v>
      </c>
      <c r="C12978" s="17" t="s">
        <v>3614</v>
      </c>
      <c r="D12978" s="17" t="s">
        <v>1407</v>
      </c>
      <c r="E12978" s="17" t="s">
        <v>3902</v>
      </c>
      <c r="F12978" s="17"/>
      <c r="G12978" s="18" t="n">
        <v>24.77</v>
      </c>
      <c r="H12978" s="18" t="n">
        <v>0</v>
      </c>
      <c r="I12978" s="18" t="n">
        <f aca="false">((I12977 + G12978) - H12978)</f>
        <v>7248.03</v>
      </c>
      <c r="J12978" s="18" t="n">
        <v>0</v>
      </c>
      <c r="K12978" s="19" t="n">
        <v>0</v>
      </c>
      <c r="L12978" s="17"/>
    </row>
    <row r="12979" s="11" customFormat="true" ht="10.95" hidden="false" customHeight="true" outlineLevel="0" collapsed="false">
      <c r="A12979" s="16" t="n">
        <v>45279</v>
      </c>
      <c r="B12979" s="17" t="s">
        <v>4548</v>
      </c>
      <c r="C12979" s="17" t="s">
        <v>3614</v>
      </c>
      <c r="D12979" s="17" t="s">
        <v>1407</v>
      </c>
      <c r="E12979" s="17" t="s">
        <v>4166</v>
      </c>
      <c r="F12979" s="17"/>
      <c r="G12979" s="18" t="n">
        <v>32.73</v>
      </c>
      <c r="H12979" s="18" t="n">
        <v>0</v>
      </c>
      <c r="I12979" s="18" t="n">
        <f aca="false">((I12978 + G12979) - H12979)</f>
        <v>7280.76</v>
      </c>
      <c r="J12979" s="18" t="n">
        <v>0</v>
      </c>
      <c r="K12979" s="19" t="n">
        <v>0</v>
      </c>
      <c r="L12979" s="17"/>
    </row>
    <row r="12980" s="11" customFormat="true" ht="10.95" hidden="false" customHeight="true" outlineLevel="0" collapsed="false">
      <c r="A12980" s="16" t="n">
        <v>45280</v>
      </c>
      <c r="B12980" s="17" t="s">
        <v>4548</v>
      </c>
      <c r="C12980" s="17" t="s">
        <v>3614</v>
      </c>
      <c r="D12980" s="17" t="s">
        <v>19</v>
      </c>
      <c r="E12980" s="17" t="s">
        <v>3501</v>
      </c>
      <c r="F12980" s="17" t="s">
        <v>384</v>
      </c>
      <c r="G12980" s="18" t="n">
        <v>0</v>
      </c>
      <c r="H12980" s="18" t="n">
        <v>14.3</v>
      </c>
      <c r="I12980" s="18" t="n">
        <f aca="false">((I12979 + G12980) - H12980)</f>
        <v>7266.46</v>
      </c>
      <c r="J12980" s="18" t="n">
        <v>0</v>
      </c>
      <c r="K12980" s="19" t="n">
        <v>0</v>
      </c>
      <c r="L12980" s="17"/>
    </row>
    <row r="12981" s="11" customFormat="true" ht="10.95" hidden="false" customHeight="true" outlineLevel="0" collapsed="false">
      <c r="A12981" s="16" t="n">
        <v>45280</v>
      </c>
      <c r="B12981" s="17" t="s">
        <v>4548</v>
      </c>
      <c r="C12981" s="17" t="s">
        <v>3614</v>
      </c>
      <c r="D12981" s="17" t="s">
        <v>19</v>
      </c>
      <c r="E12981" s="17" t="s">
        <v>3502</v>
      </c>
      <c r="F12981" s="17" t="s">
        <v>385</v>
      </c>
      <c r="G12981" s="18" t="n">
        <v>0</v>
      </c>
      <c r="H12981" s="18" t="n">
        <v>18.15</v>
      </c>
      <c r="I12981" s="18" t="n">
        <f aca="false">((I12980 + G12981) - H12981)</f>
        <v>7248.31</v>
      </c>
      <c r="J12981" s="18" t="n">
        <v>0</v>
      </c>
      <c r="K12981" s="19" t="n">
        <v>0</v>
      </c>
      <c r="L12981" s="17"/>
    </row>
    <row r="12982" s="11" customFormat="true" ht="10.95" hidden="false" customHeight="true" outlineLevel="0" collapsed="false">
      <c r="A12982" s="16" t="n">
        <v>45280</v>
      </c>
      <c r="B12982" s="17" t="s">
        <v>4548</v>
      </c>
      <c r="C12982" s="17" t="s">
        <v>3614</v>
      </c>
      <c r="D12982" s="17" t="s">
        <v>19</v>
      </c>
      <c r="E12982" s="17" t="s">
        <v>3490</v>
      </c>
      <c r="F12982" s="17" t="s">
        <v>386</v>
      </c>
      <c r="G12982" s="18" t="n">
        <v>0</v>
      </c>
      <c r="H12982" s="18" t="n">
        <v>94.05</v>
      </c>
      <c r="I12982" s="18" t="n">
        <f aca="false">((I12981 + G12982) - H12982)</f>
        <v>7154.26</v>
      </c>
      <c r="J12982" s="18" t="n">
        <v>0</v>
      </c>
      <c r="K12982" s="19" t="n">
        <v>0</v>
      </c>
      <c r="L12982" s="17"/>
    </row>
    <row r="12983" s="11" customFormat="true" ht="10.95" hidden="false" customHeight="true" outlineLevel="0" collapsed="false">
      <c r="A12983" s="16" t="n">
        <v>45280</v>
      </c>
      <c r="B12983" s="17" t="s">
        <v>4548</v>
      </c>
      <c r="C12983" s="17" t="s">
        <v>3614</v>
      </c>
      <c r="D12983" s="17" t="s">
        <v>19</v>
      </c>
      <c r="E12983" s="17" t="s">
        <v>3424</v>
      </c>
      <c r="F12983" s="17" t="s">
        <v>387</v>
      </c>
      <c r="G12983" s="18" t="n">
        <v>0</v>
      </c>
      <c r="H12983" s="18" t="n">
        <v>37.6</v>
      </c>
      <c r="I12983" s="18" t="n">
        <f aca="false">((I12982 + G12983) - H12983)</f>
        <v>7116.66</v>
      </c>
      <c r="J12983" s="18" t="n">
        <v>0</v>
      </c>
      <c r="K12983" s="19" t="n">
        <v>0</v>
      </c>
      <c r="L12983" s="17"/>
    </row>
    <row r="12984" s="11" customFormat="true" ht="10.95" hidden="false" customHeight="true" outlineLevel="0" collapsed="false">
      <c r="A12984" s="16" t="n">
        <v>45280</v>
      </c>
      <c r="B12984" s="17" t="s">
        <v>4548</v>
      </c>
      <c r="C12984" s="17" t="s">
        <v>3614</v>
      </c>
      <c r="D12984" s="17" t="s">
        <v>19</v>
      </c>
      <c r="E12984" s="17" t="s">
        <v>3426</v>
      </c>
      <c r="F12984" s="17" t="s">
        <v>388</v>
      </c>
      <c r="G12984" s="18" t="n">
        <v>0</v>
      </c>
      <c r="H12984" s="18" t="n">
        <v>126</v>
      </c>
      <c r="I12984" s="18" t="n">
        <f aca="false">((I12983 + G12984) - H12984)</f>
        <v>6990.66</v>
      </c>
      <c r="J12984" s="18" t="n">
        <v>0</v>
      </c>
      <c r="K12984" s="19" t="n">
        <v>0</v>
      </c>
      <c r="L12984" s="17"/>
    </row>
    <row r="12985" s="11" customFormat="true" ht="10.95" hidden="false" customHeight="true" outlineLevel="0" collapsed="false">
      <c r="A12985" s="16" t="n">
        <v>45280</v>
      </c>
      <c r="B12985" s="17" t="s">
        <v>4548</v>
      </c>
      <c r="C12985" s="17" t="s">
        <v>3614</v>
      </c>
      <c r="D12985" s="17" t="s">
        <v>19</v>
      </c>
      <c r="E12985" s="17" t="s">
        <v>3427</v>
      </c>
      <c r="F12985" s="17" t="s">
        <v>389</v>
      </c>
      <c r="G12985" s="18" t="n">
        <v>0</v>
      </c>
      <c r="H12985" s="18" t="n">
        <v>51</v>
      </c>
      <c r="I12985" s="18" t="n">
        <f aca="false">((I12984 + G12985) - H12985)</f>
        <v>6939.66</v>
      </c>
      <c r="J12985" s="18" t="n">
        <v>0</v>
      </c>
      <c r="K12985" s="19" t="n">
        <v>0</v>
      </c>
      <c r="L12985" s="17"/>
    </row>
    <row r="12986" s="11" customFormat="true" ht="10.95" hidden="false" customHeight="true" outlineLevel="0" collapsed="false">
      <c r="A12986" s="16" t="n">
        <v>45280</v>
      </c>
      <c r="B12986" s="17" t="s">
        <v>4548</v>
      </c>
      <c r="C12986" s="17" t="s">
        <v>3614</v>
      </c>
      <c r="D12986" s="17" t="s">
        <v>19</v>
      </c>
      <c r="E12986" s="17" t="s">
        <v>3429</v>
      </c>
      <c r="F12986" s="17" t="s">
        <v>390</v>
      </c>
      <c r="G12986" s="18" t="n">
        <v>0</v>
      </c>
      <c r="H12986" s="18" t="n">
        <v>8.5</v>
      </c>
      <c r="I12986" s="18" t="n">
        <f aca="false">((I12985 + G12986) - H12986)</f>
        <v>6931.16</v>
      </c>
      <c r="J12986" s="18" t="n">
        <v>0</v>
      </c>
      <c r="K12986" s="19" t="n">
        <v>0</v>
      </c>
      <c r="L12986" s="17"/>
    </row>
    <row r="12987" s="11" customFormat="true" ht="10.95" hidden="false" customHeight="true" outlineLevel="0" collapsed="false">
      <c r="A12987" s="16" t="n">
        <v>45280</v>
      </c>
      <c r="B12987" s="17" t="s">
        <v>4548</v>
      </c>
      <c r="C12987" s="17" t="s">
        <v>3614</v>
      </c>
      <c r="D12987" s="17" t="s">
        <v>19</v>
      </c>
      <c r="E12987" s="17" t="s">
        <v>3431</v>
      </c>
      <c r="F12987" s="17" t="s">
        <v>391</v>
      </c>
      <c r="G12987" s="18" t="n">
        <v>0</v>
      </c>
      <c r="H12987" s="18" t="n">
        <v>32.5</v>
      </c>
      <c r="I12987" s="18" t="n">
        <f aca="false">((I12986 + G12987) - H12987)</f>
        <v>6898.66</v>
      </c>
      <c r="J12987" s="18" t="n">
        <v>0</v>
      </c>
      <c r="K12987" s="19" t="n">
        <v>0</v>
      </c>
      <c r="L12987" s="17"/>
    </row>
    <row r="12988" s="11" customFormat="true" ht="10.95" hidden="false" customHeight="true" outlineLevel="0" collapsed="false">
      <c r="A12988" s="16" t="n">
        <v>45280</v>
      </c>
      <c r="B12988" s="17" t="s">
        <v>4548</v>
      </c>
      <c r="C12988" s="17" t="s">
        <v>3614</v>
      </c>
      <c r="D12988" s="17" t="s">
        <v>19</v>
      </c>
      <c r="E12988" s="17" t="s">
        <v>3432</v>
      </c>
      <c r="F12988" s="17" t="s">
        <v>392</v>
      </c>
      <c r="G12988" s="18" t="n">
        <v>0</v>
      </c>
      <c r="H12988" s="18" t="n">
        <v>99.5</v>
      </c>
      <c r="I12988" s="18" t="n">
        <f aca="false">((I12987 + G12988) - H12988)</f>
        <v>6799.16</v>
      </c>
      <c r="J12988" s="18" t="n">
        <v>0</v>
      </c>
      <c r="K12988" s="19" t="n">
        <v>0</v>
      </c>
      <c r="L12988" s="17"/>
    </row>
    <row r="12989" s="11" customFormat="true" ht="10.95" hidden="false" customHeight="true" outlineLevel="0" collapsed="false">
      <c r="A12989" s="16" t="n">
        <v>45280</v>
      </c>
      <c r="B12989" s="17" t="s">
        <v>4548</v>
      </c>
      <c r="C12989" s="17" t="s">
        <v>3614</v>
      </c>
      <c r="D12989" s="17" t="s">
        <v>19</v>
      </c>
      <c r="E12989" s="17" t="s">
        <v>3433</v>
      </c>
      <c r="F12989" s="17" t="s">
        <v>393</v>
      </c>
      <c r="G12989" s="18" t="n">
        <v>0</v>
      </c>
      <c r="H12989" s="18" t="n">
        <v>382.5</v>
      </c>
      <c r="I12989" s="18" t="n">
        <f aca="false">((I12988 + G12989) - H12989)</f>
        <v>6416.66</v>
      </c>
      <c r="J12989" s="18" t="n">
        <v>0</v>
      </c>
      <c r="K12989" s="19" t="n">
        <v>0</v>
      </c>
      <c r="L12989" s="17"/>
    </row>
    <row r="12990" s="11" customFormat="true" ht="10.95" hidden="false" customHeight="true" outlineLevel="0" collapsed="false">
      <c r="A12990" s="16" t="n">
        <v>45280</v>
      </c>
      <c r="B12990" s="17" t="s">
        <v>4548</v>
      </c>
      <c r="C12990" s="17" t="s">
        <v>3614</v>
      </c>
      <c r="D12990" s="17" t="s">
        <v>19</v>
      </c>
      <c r="E12990" s="17" t="s">
        <v>3433</v>
      </c>
      <c r="F12990" s="17" t="s">
        <v>394</v>
      </c>
      <c r="G12990" s="18" t="n">
        <v>0</v>
      </c>
      <c r="H12990" s="18" t="n">
        <v>380.2</v>
      </c>
      <c r="I12990" s="18" t="n">
        <f aca="false">((I12989 + G12990) - H12990)</f>
        <v>6036.46</v>
      </c>
      <c r="J12990" s="18" t="n">
        <v>0</v>
      </c>
      <c r="K12990" s="19" t="n">
        <v>0</v>
      </c>
      <c r="L12990" s="17"/>
    </row>
    <row r="12991" s="11" customFormat="true" ht="10.95" hidden="false" customHeight="true" outlineLevel="0" collapsed="false">
      <c r="A12991" s="16" t="n">
        <v>45280</v>
      </c>
      <c r="B12991" s="17" t="s">
        <v>4548</v>
      </c>
      <c r="C12991" s="17" t="s">
        <v>3614</v>
      </c>
      <c r="D12991" s="17" t="s">
        <v>19</v>
      </c>
      <c r="E12991" s="17" t="s">
        <v>3435</v>
      </c>
      <c r="F12991" s="17" t="s">
        <v>396</v>
      </c>
      <c r="G12991" s="18" t="n">
        <v>0</v>
      </c>
      <c r="H12991" s="18" t="n">
        <v>2592.48</v>
      </c>
      <c r="I12991" s="18" t="n">
        <f aca="false">((I12990 + G12991) - H12991)</f>
        <v>3443.98</v>
      </c>
      <c r="J12991" s="18" t="n">
        <v>0</v>
      </c>
      <c r="K12991" s="19" t="n">
        <v>0</v>
      </c>
      <c r="L12991" s="17"/>
    </row>
    <row r="12992" s="11" customFormat="true" ht="10.95" hidden="false" customHeight="true" outlineLevel="0" collapsed="false">
      <c r="A12992" s="16" t="n">
        <v>45280</v>
      </c>
      <c r="B12992" s="17" t="s">
        <v>4548</v>
      </c>
      <c r="C12992" s="17" t="s">
        <v>3614</v>
      </c>
      <c r="D12992" s="17" t="s">
        <v>19</v>
      </c>
      <c r="E12992" s="17" t="s">
        <v>3435</v>
      </c>
      <c r="F12992" s="17" t="s">
        <v>398</v>
      </c>
      <c r="G12992" s="18" t="n">
        <v>0</v>
      </c>
      <c r="H12992" s="18" t="n">
        <v>204</v>
      </c>
      <c r="I12992" s="18" t="n">
        <f aca="false">((I12991 + G12992) - H12992)</f>
        <v>3239.98</v>
      </c>
      <c r="J12992" s="18" t="n">
        <v>0</v>
      </c>
      <c r="K12992" s="19" t="n">
        <v>0</v>
      </c>
      <c r="L12992" s="17"/>
    </row>
    <row r="12993" s="11" customFormat="true" ht="10.95" hidden="false" customHeight="true" outlineLevel="0" collapsed="false">
      <c r="A12993" s="16" t="n">
        <v>45280</v>
      </c>
      <c r="B12993" s="17" t="s">
        <v>4548</v>
      </c>
      <c r="C12993" s="17" t="s">
        <v>3614</v>
      </c>
      <c r="D12993" s="17" t="s">
        <v>19</v>
      </c>
      <c r="E12993" s="17" t="s">
        <v>3437</v>
      </c>
      <c r="F12993" s="17" t="s">
        <v>399</v>
      </c>
      <c r="G12993" s="18" t="n">
        <v>0</v>
      </c>
      <c r="H12993" s="18" t="n">
        <v>100.01</v>
      </c>
      <c r="I12993" s="18" t="n">
        <f aca="false">((I12992 + G12993) - H12993)</f>
        <v>3139.97</v>
      </c>
      <c r="J12993" s="18" t="n">
        <v>0</v>
      </c>
      <c r="K12993" s="19" t="n">
        <v>0</v>
      </c>
      <c r="L12993" s="17"/>
    </row>
    <row r="12994" s="11" customFormat="true" ht="10.95" hidden="false" customHeight="true" outlineLevel="0" collapsed="false">
      <c r="A12994" s="16" t="n">
        <v>45280</v>
      </c>
      <c r="B12994" s="17" t="s">
        <v>4548</v>
      </c>
      <c r="C12994" s="17" t="s">
        <v>3614</v>
      </c>
      <c r="D12994" s="17" t="s">
        <v>19</v>
      </c>
      <c r="E12994" s="17" t="s">
        <v>3439</v>
      </c>
      <c r="F12994" s="17" t="s">
        <v>400</v>
      </c>
      <c r="G12994" s="18" t="n">
        <v>0</v>
      </c>
      <c r="H12994" s="18" t="n">
        <v>95.7</v>
      </c>
      <c r="I12994" s="18" t="n">
        <f aca="false">((I12993 + G12994) - H12994)</f>
        <v>3044.27</v>
      </c>
      <c r="J12994" s="18" t="n">
        <v>0</v>
      </c>
      <c r="K12994" s="19" t="n">
        <v>0</v>
      </c>
      <c r="L12994" s="17"/>
    </row>
    <row r="12995" s="11" customFormat="true" ht="10.95" hidden="false" customHeight="true" outlineLevel="0" collapsed="false">
      <c r="A12995" s="16" t="n">
        <v>45280</v>
      </c>
      <c r="B12995" s="17" t="s">
        <v>4548</v>
      </c>
      <c r="C12995" s="17" t="s">
        <v>3614</v>
      </c>
      <c r="D12995" s="17" t="s">
        <v>19</v>
      </c>
      <c r="E12995" s="17" t="s">
        <v>3442</v>
      </c>
      <c r="F12995" s="17" t="s">
        <v>401</v>
      </c>
      <c r="G12995" s="18" t="n">
        <v>0</v>
      </c>
      <c r="H12995" s="18" t="n">
        <v>909</v>
      </c>
      <c r="I12995" s="18" t="n">
        <f aca="false">((I12994 + G12995) - H12995)</f>
        <v>2135.27</v>
      </c>
      <c r="J12995" s="18" t="n">
        <v>0</v>
      </c>
      <c r="K12995" s="19" t="n">
        <v>0</v>
      </c>
      <c r="L12995" s="17"/>
    </row>
    <row r="12996" s="11" customFormat="true" ht="10.95" hidden="false" customHeight="true" outlineLevel="0" collapsed="false">
      <c r="A12996" s="16" t="n">
        <v>45280</v>
      </c>
      <c r="B12996" s="17" t="s">
        <v>4548</v>
      </c>
      <c r="C12996" s="17" t="s">
        <v>3614</v>
      </c>
      <c r="D12996" s="17" t="s">
        <v>19</v>
      </c>
      <c r="E12996" s="17" t="s">
        <v>3443</v>
      </c>
      <c r="F12996" s="17" t="s">
        <v>402</v>
      </c>
      <c r="G12996" s="18" t="n">
        <v>0</v>
      </c>
      <c r="H12996" s="18" t="n">
        <v>454</v>
      </c>
      <c r="I12996" s="18" t="n">
        <f aca="false">((I12995 + G12996) - H12996)</f>
        <v>1681.27</v>
      </c>
      <c r="J12996" s="18" t="n">
        <v>0</v>
      </c>
      <c r="K12996" s="19" t="n">
        <v>0</v>
      </c>
      <c r="L12996" s="17"/>
    </row>
    <row r="12997" s="11" customFormat="true" ht="10.95" hidden="false" customHeight="true" outlineLevel="0" collapsed="false">
      <c r="A12997" s="16" t="n">
        <v>45280</v>
      </c>
      <c r="B12997" s="17" t="s">
        <v>4548</v>
      </c>
      <c r="C12997" s="17" t="s">
        <v>3614</v>
      </c>
      <c r="D12997" s="17" t="s">
        <v>19</v>
      </c>
      <c r="E12997" s="17" t="s">
        <v>3444</v>
      </c>
      <c r="F12997" s="17" t="s">
        <v>403</v>
      </c>
      <c r="G12997" s="18" t="n">
        <v>0</v>
      </c>
      <c r="H12997" s="18" t="n">
        <v>88</v>
      </c>
      <c r="I12997" s="18" t="n">
        <f aca="false">((I12996 + G12997) - H12997)</f>
        <v>1593.27</v>
      </c>
      <c r="J12997" s="18" t="n">
        <v>0</v>
      </c>
      <c r="K12997" s="19" t="n">
        <v>0</v>
      </c>
      <c r="L12997" s="17"/>
    </row>
    <row r="12998" s="11" customFormat="true" ht="10.95" hidden="false" customHeight="true" outlineLevel="0" collapsed="false">
      <c r="A12998" s="16" t="n">
        <v>45280</v>
      </c>
      <c r="B12998" s="17" t="s">
        <v>4548</v>
      </c>
      <c r="C12998" s="17" t="s">
        <v>3614</v>
      </c>
      <c r="D12998" s="17" t="s">
        <v>19</v>
      </c>
      <c r="E12998" s="17" t="s">
        <v>3494</v>
      </c>
      <c r="F12998" s="17" t="s">
        <v>404</v>
      </c>
      <c r="G12998" s="18" t="n">
        <v>0</v>
      </c>
      <c r="H12998" s="18" t="n">
        <v>97.4</v>
      </c>
      <c r="I12998" s="18" t="n">
        <f aca="false">((I12997 + G12998) - H12998)</f>
        <v>1495.87</v>
      </c>
      <c r="J12998" s="18" t="n">
        <v>0</v>
      </c>
      <c r="K12998" s="19" t="n">
        <v>0</v>
      </c>
      <c r="L12998" s="17"/>
    </row>
    <row r="12999" s="11" customFormat="true" ht="10.95" hidden="false" customHeight="true" outlineLevel="0" collapsed="false">
      <c r="A12999" s="16" t="n">
        <v>45280</v>
      </c>
      <c r="B12999" s="17" t="s">
        <v>4548</v>
      </c>
      <c r="C12999" s="17" t="s">
        <v>3614</v>
      </c>
      <c r="D12999" s="17" t="s">
        <v>19</v>
      </c>
      <c r="E12999" s="17" t="s">
        <v>3446</v>
      </c>
      <c r="F12999" s="17" t="s">
        <v>405</v>
      </c>
      <c r="G12999" s="18" t="n">
        <v>0</v>
      </c>
      <c r="H12999" s="18" t="n">
        <v>169.2</v>
      </c>
      <c r="I12999" s="18" t="n">
        <f aca="false">((I12998 + G12999) - H12999)</f>
        <v>1326.67</v>
      </c>
      <c r="J12999" s="18" t="n">
        <v>0</v>
      </c>
      <c r="K12999" s="19" t="n">
        <v>0</v>
      </c>
      <c r="L12999" s="17"/>
    </row>
    <row r="13000" s="11" customFormat="true" ht="10.95" hidden="false" customHeight="true" outlineLevel="0" collapsed="false">
      <c r="A13000" s="16" t="n">
        <v>45280</v>
      </c>
      <c r="B13000" s="17" t="s">
        <v>4548</v>
      </c>
      <c r="C13000" s="17" t="s">
        <v>3614</v>
      </c>
      <c r="D13000" s="17" t="s">
        <v>19</v>
      </c>
      <c r="E13000" s="17" t="s">
        <v>3447</v>
      </c>
      <c r="F13000" s="17" t="s">
        <v>406</v>
      </c>
      <c r="G13000" s="18" t="n">
        <v>0</v>
      </c>
      <c r="H13000" s="18" t="n">
        <v>52.75</v>
      </c>
      <c r="I13000" s="18" t="n">
        <f aca="false">((I12999 + G13000) - H13000)</f>
        <v>1273.92</v>
      </c>
      <c r="J13000" s="18" t="n">
        <v>0</v>
      </c>
      <c r="K13000" s="19" t="n">
        <v>0</v>
      </c>
      <c r="L13000" s="17"/>
    </row>
    <row r="13001" s="11" customFormat="true" ht="10.95" hidden="false" customHeight="true" outlineLevel="0" collapsed="false">
      <c r="A13001" s="16" t="n">
        <v>45280</v>
      </c>
      <c r="B13001" s="17" t="s">
        <v>4548</v>
      </c>
      <c r="C13001" s="17" t="s">
        <v>3614</v>
      </c>
      <c r="D13001" s="17" t="s">
        <v>19</v>
      </c>
      <c r="E13001" s="17" t="s">
        <v>3447</v>
      </c>
      <c r="F13001" s="17" t="s">
        <v>407</v>
      </c>
      <c r="G13001" s="18" t="n">
        <v>0</v>
      </c>
      <c r="H13001" s="18" t="n">
        <v>75.2</v>
      </c>
      <c r="I13001" s="18" t="n">
        <f aca="false">((I13000 + G13001) - H13001)</f>
        <v>1198.72</v>
      </c>
      <c r="J13001" s="18" t="n">
        <v>0</v>
      </c>
      <c r="K13001" s="19" t="n">
        <v>0</v>
      </c>
      <c r="L13001" s="17"/>
    </row>
    <row r="13002" s="11" customFormat="true" ht="10.95" hidden="false" customHeight="true" outlineLevel="0" collapsed="false">
      <c r="A13002" s="16" t="n">
        <v>45280</v>
      </c>
      <c r="B13002" s="17" t="s">
        <v>4548</v>
      </c>
      <c r="C13002" s="17" t="s">
        <v>3614</v>
      </c>
      <c r="D13002" s="17" t="s">
        <v>19</v>
      </c>
      <c r="E13002" s="17" t="s">
        <v>3447</v>
      </c>
      <c r="F13002" s="17" t="s">
        <v>408</v>
      </c>
      <c r="G13002" s="18" t="n">
        <v>0</v>
      </c>
      <c r="H13002" s="18" t="n">
        <v>58</v>
      </c>
      <c r="I13002" s="18" t="n">
        <f aca="false">((I13001 + G13002) - H13002)</f>
        <v>1140.72</v>
      </c>
      <c r="J13002" s="18" t="n">
        <v>0</v>
      </c>
      <c r="K13002" s="19" t="n">
        <v>0</v>
      </c>
      <c r="L13002" s="17"/>
    </row>
    <row r="13003" s="11" customFormat="true" ht="10.95" hidden="false" customHeight="true" outlineLevel="0" collapsed="false">
      <c r="A13003" s="16" t="n">
        <v>45280</v>
      </c>
      <c r="B13003" s="17" t="s">
        <v>4548</v>
      </c>
      <c r="C13003" s="17" t="s">
        <v>3614</v>
      </c>
      <c r="D13003" s="17" t="s">
        <v>19</v>
      </c>
      <c r="E13003" s="17" t="s">
        <v>3447</v>
      </c>
      <c r="F13003" s="17" t="s">
        <v>409</v>
      </c>
      <c r="G13003" s="18" t="n">
        <v>0</v>
      </c>
      <c r="H13003" s="18" t="n">
        <v>18.8</v>
      </c>
      <c r="I13003" s="18" t="n">
        <f aca="false">((I13002 + G13003) - H13003)</f>
        <v>1121.92</v>
      </c>
      <c r="J13003" s="18" t="n">
        <v>0</v>
      </c>
      <c r="K13003" s="19" t="n">
        <v>0</v>
      </c>
      <c r="L13003" s="17"/>
    </row>
    <row r="13004" s="11" customFormat="true" ht="10.95" hidden="false" customHeight="true" outlineLevel="0" collapsed="false">
      <c r="A13004" s="16" t="n">
        <v>45280</v>
      </c>
      <c r="B13004" s="17" t="s">
        <v>4548</v>
      </c>
      <c r="C13004" s="17" t="s">
        <v>3614</v>
      </c>
      <c r="D13004" s="17" t="s">
        <v>19</v>
      </c>
      <c r="E13004" s="17" t="s">
        <v>3447</v>
      </c>
      <c r="F13004" s="17" t="s">
        <v>410</v>
      </c>
      <c r="G13004" s="18" t="n">
        <v>0</v>
      </c>
      <c r="H13004" s="18" t="n">
        <v>142.55</v>
      </c>
      <c r="I13004" s="18" t="n">
        <f aca="false">((I13003 + G13004) - H13004)</f>
        <v>979.369999999996</v>
      </c>
      <c r="J13004" s="18" t="n">
        <v>0</v>
      </c>
      <c r="K13004" s="19" t="n">
        <v>0</v>
      </c>
      <c r="L13004" s="17"/>
    </row>
    <row r="13005" s="11" customFormat="true" ht="10.95" hidden="false" customHeight="true" outlineLevel="0" collapsed="false">
      <c r="A13005" s="16" t="n">
        <v>45280</v>
      </c>
      <c r="B13005" s="17" t="s">
        <v>4548</v>
      </c>
      <c r="C13005" s="17" t="s">
        <v>3614</v>
      </c>
      <c r="D13005" s="17" t="s">
        <v>19</v>
      </c>
      <c r="E13005" s="17" t="s">
        <v>3447</v>
      </c>
      <c r="F13005" s="17" t="s">
        <v>411</v>
      </c>
      <c r="G13005" s="18" t="n">
        <v>0</v>
      </c>
      <c r="H13005" s="18" t="n">
        <v>47</v>
      </c>
      <c r="I13005" s="18" t="n">
        <f aca="false">((I13004 + G13005) - H13005)</f>
        <v>932.369999999996</v>
      </c>
      <c r="J13005" s="18" t="n">
        <v>0</v>
      </c>
      <c r="K13005" s="19" t="n">
        <v>0</v>
      </c>
      <c r="L13005" s="17"/>
    </row>
    <row r="13006" s="11" customFormat="true" ht="10.95" hidden="false" customHeight="true" outlineLevel="0" collapsed="false">
      <c r="A13006" s="16" t="n">
        <v>45280</v>
      </c>
      <c r="B13006" s="17" t="s">
        <v>4548</v>
      </c>
      <c r="C13006" s="17" t="s">
        <v>3614</v>
      </c>
      <c r="D13006" s="17" t="s">
        <v>19</v>
      </c>
      <c r="E13006" s="17" t="s">
        <v>3447</v>
      </c>
      <c r="F13006" s="17" t="s">
        <v>412</v>
      </c>
      <c r="G13006" s="18" t="n">
        <v>0</v>
      </c>
      <c r="H13006" s="18" t="n">
        <v>18.8</v>
      </c>
      <c r="I13006" s="18" t="n">
        <f aca="false">((I13005 + G13006) - H13006)</f>
        <v>913.569999999996</v>
      </c>
      <c r="J13006" s="18" t="n">
        <v>0</v>
      </c>
      <c r="K13006" s="19" t="n">
        <v>0</v>
      </c>
      <c r="L13006" s="17"/>
    </row>
    <row r="13007" s="11" customFormat="true" ht="10.95" hidden="false" customHeight="true" outlineLevel="0" collapsed="false">
      <c r="A13007" s="16" t="n">
        <v>45280</v>
      </c>
      <c r="B13007" s="17" t="s">
        <v>4548</v>
      </c>
      <c r="C13007" s="17" t="s">
        <v>3614</v>
      </c>
      <c r="D13007" s="17" t="s">
        <v>19</v>
      </c>
      <c r="E13007" s="17" t="s">
        <v>3447</v>
      </c>
      <c r="F13007" s="17" t="s">
        <v>413</v>
      </c>
      <c r="G13007" s="18" t="n">
        <v>0</v>
      </c>
      <c r="H13007" s="18" t="n">
        <v>47</v>
      </c>
      <c r="I13007" s="18" t="n">
        <f aca="false">((I13006 + G13007) - H13007)</f>
        <v>866.569999999996</v>
      </c>
      <c r="J13007" s="18" t="n">
        <v>0</v>
      </c>
      <c r="K13007" s="19" t="n">
        <v>0</v>
      </c>
      <c r="L13007" s="17"/>
    </row>
    <row r="13008" s="11" customFormat="true" ht="10.95" hidden="false" customHeight="true" outlineLevel="0" collapsed="false">
      <c r="A13008" s="16" t="n">
        <v>45280</v>
      </c>
      <c r="B13008" s="17" t="s">
        <v>4548</v>
      </c>
      <c r="C13008" s="17" t="s">
        <v>3614</v>
      </c>
      <c r="D13008" s="17" t="s">
        <v>19</v>
      </c>
      <c r="E13008" s="17" t="s">
        <v>3447</v>
      </c>
      <c r="F13008" s="17" t="s">
        <v>414</v>
      </c>
      <c r="G13008" s="18" t="n">
        <v>0</v>
      </c>
      <c r="H13008" s="18" t="n">
        <v>178.9</v>
      </c>
      <c r="I13008" s="18" t="n">
        <f aca="false">((I13007 + G13008) - H13008)</f>
        <v>687.669999999996</v>
      </c>
      <c r="J13008" s="18" t="n">
        <v>0</v>
      </c>
      <c r="K13008" s="19" t="n">
        <v>0</v>
      </c>
      <c r="L13008" s="17"/>
    </row>
    <row r="13009" s="11" customFormat="true" ht="10.95" hidden="false" customHeight="true" outlineLevel="0" collapsed="false">
      <c r="A13009" s="16" t="n">
        <v>45280</v>
      </c>
      <c r="B13009" s="17" t="s">
        <v>4548</v>
      </c>
      <c r="C13009" s="17" t="s">
        <v>3614</v>
      </c>
      <c r="D13009" s="17" t="s">
        <v>19</v>
      </c>
      <c r="E13009" s="17" t="s">
        <v>3447</v>
      </c>
      <c r="F13009" s="17" t="s">
        <v>415</v>
      </c>
      <c r="G13009" s="18" t="n">
        <v>0</v>
      </c>
      <c r="H13009" s="18" t="n">
        <v>114.4</v>
      </c>
      <c r="I13009" s="18" t="n">
        <f aca="false">((I13008 + G13009) - H13009)</f>
        <v>573.269999999996</v>
      </c>
      <c r="J13009" s="18" t="n">
        <v>0</v>
      </c>
      <c r="K13009" s="19" t="n">
        <v>0</v>
      </c>
      <c r="L13009" s="17"/>
    </row>
    <row r="13010" s="11" customFormat="true" ht="10.95" hidden="false" customHeight="true" outlineLevel="0" collapsed="false">
      <c r="A13010" s="16" t="n">
        <v>45280</v>
      </c>
      <c r="B13010" s="17" t="s">
        <v>4548</v>
      </c>
      <c r="C13010" s="17" t="s">
        <v>3614</v>
      </c>
      <c r="D13010" s="17" t="s">
        <v>19</v>
      </c>
      <c r="E13010" s="17" t="s">
        <v>3447</v>
      </c>
      <c r="F13010" s="17" t="s">
        <v>416</v>
      </c>
      <c r="G13010" s="18" t="n">
        <v>0</v>
      </c>
      <c r="H13010" s="18" t="n">
        <v>28.2</v>
      </c>
      <c r="I13010" s="18" t="n">
        <f aca="false">((I13009 + G13010) - H13010)</f>
        <v>545.069999999996</v>
      </c>
      <c r="J13010" s="18" t="n">
        <v>0</v>
      </c>
      <c r="K13010" s="19" t="n">
        <v>0</v>
      </c>
      <c r="L13010" s="17"/>
    </row>
    <row r="13011" s="11" customFormat="true" ht="10.95" hidden="false" customHeight="true" outlineLevel="0" collapsed="false">
      <c r="A13011" s="16" t="n">
        <v>45280</v>
      </c>
      <c r="B13011" s="17" t="s">
        <v>4548</v>
      </c>
      <c r="C13011" s="17" t="s">
        <v>3614</v>
      </c>
      <c r="D13011" s="17" t="s">
        <v>19</v>
      </c>
      <c r="E13011" s="17" t="s">
        <v>3447</v>
      </c>
      <c r="F13011" s="17" t="s">
        <v>417</v>
      </c>
      <c r="G13011" s="18" t="n">
        <v>0</v>
      </c>
      <c r="H13011" s="18" t="n">
        <v>28.2</v>
      </c>
      <c r="I13011" s="18" t="n">
        <f aca="false">((I13010 + G13011) - H13011)</f>
        <v>516.869999999996</v>
      </c>
      <c r="J13011" s="18" t="n">
        <v>0</v>
      </c>
      <c r="K13011" s="19" t="n">
        <v>0</v>
      </c>
      <c r="L13011" s="17"/>
    </row>
    <row r="13012" s="11" customFormat="true" ht="10.95" hidden="false" customHeight="true" outlineLevel="0" collapsed="false">
      <c r="A13012" s="16" t="n">
        <v>45280</v>
      </c>
      <c r="B13012" s="17" t="s">
        <v>4548</v>
      </c>
      <c r="C13012" s="17" t="s">
        <v>3614</v>
      </c>
      <c r="D13012" s="17" t="s">
        <v>19</v>
      </c>
      <c r="E13012" s="17" t="s">
        <v>3447</v>
      </c>
      <c r="F13012" s="17" t="s">
        <v>418</v>
      </c>
      <c r="G13012" s="18" t="n">
        <v>0</v>
      </c>
      <c r="H13012" s="18" t="n">
        <v>56.4</v>
      </c>
      <c r="I13012" s="18" t="n">
        <f aca="false">((I13011 + G13012) - H13012)</f>
        <v>460.469999999996</v>
      </c>
      <c r="J13012" s="18" t="n">
        <v>0</v>
      </c>
      <c r="K13012" s="19" t="n">
        <v>0</v>
      </c>
      <c r="L13012" s="17"/>
    </row>
    <row r="13013" s="11" customFormat="true" ht="10.95" hidden="false" customHeight="true" outlineLevel="0" collapsed="false">
      <c r="A13013" s="16" t="n">
        <v>45280</v>
      </c>
      <c r="B13013" s="17" t="s">
        <v>4548</v>
      </c>
      <c r="C13013" s="17" t="s">
        <v>3614</v>
      </c>
      <c r="D13013" s="17" t="s">
        <v>19</v>
      </c>
      <c r="E13013" s="17" t="s">
        <v>3447</v>
      </c>
      <c r="F13013" s="17" t="s">
        <v>419</v>
      </c>
      <c r="G13013" s="18" t="n">
        <v>0</v>
      </c>
      <c r="H13013" s="18" t="n">
        <v>103.4</v>
      </c>
      <c r="I13013" s="18" t="n">
        <f aca="false">((I13012 + G13013) - H13013)</f>
        <v>357.069999999996</v>
      </c>
      <c r="J13013" s="18" t="n">
        <v>0</v>
      </c>
      <c r="K13013" s="19" t="n">
        <v>0</v>
      </c>
      <c r="L13013" s="17"/>
    </row>
    <row r="13014" s="11" customFormat="true" ht="10.95" hidden="false" customHeight="true" outlineLevel="0" collapsed="false">
      <c r="A13014" s="16" t="n">
        <v>45280</v>
      </c>
      <c r="B13014" s="17" t="s">
        <v>4548</v>
      </c>
      <c r="C13014" s="17" t="s">
        <v>3614</v>
      </c>
      <c r="D13014" s="17" t="s">
        <v>19</v>
      </c>
      <c r="E13014" s="17" t="s">
        <v>3447</v>
      </c>
      <c r="F13014" s="17" t="s">
        <v>420</v>
      </c>
      <c r="G13014" s="18" t="n">
        <v>0</v>
      </c>
      <c r="H13014" s="18" t="n">
        <v>9.4</v>
      </c>
      <c r="I13014" s="18" t="n">
        <f aca="false">((I13013 + G13014) - H13014)</f>
        <v>347.669999999996</v>
      </c>
      <c r="J13014" s="18" t="n">
        <v>0</v>
      </c>
      <c r="K13014" s="19" t="n">
        <v>0</v>
      </c>
      <c r="L13014" s="17"/>
    </row>
    <row r="13015" s="11" customFormat="true" ht="10.95" hidden="false" customHeight="true" outlineLevel="0" collapsed="false">
      <c r="A13015" s="16" t="n">
        <v>45280</v>
      </c>
      <c r="B13015" s="17" t="s">
        <v>4548</v>
      </c>
      <c r="C13015" s="17" t="s">
        <v>3614</v>
      </c>
      <c r="D13015" s="17" t="s">
        <v>19</v>
      </c>
      <c r="E13015" s="17" t="s">
        <v>3447</v>
      </c>
      <c r="F13015" s="17" t="s">
        <v>421</v>
      </c>
      <c r="G13015" s="18" t="n">
        <v>0</v>
      </c>
      <c r="H13015" s="18" t="n">
        <v>65.8</v>
      </c>
      <c r="I13015" s="18" t="n">
        <f aca="false">((I13014 + G13015) - H13015)</f>
        <v>281.869999999996</v>
      </c>
      <c r="J13015" s="18" t="n">
        <v>0</v>
      </c>
      <c r="K13015" s="19" t="n">
        <v>0</v>
      </c>
      <c r="L13015" s="17"/>
    </row>
    <row r="13016" s="11" customFormat="true" ht="10.95" hidden="false" customHeight="true" outlineLevel="0" collapsed="false">
      <c r="A13016" s="16" t="n">
        <v>45280</v>
      </c>
      <c r="B13016" s="17" t="s">
        <v>4548</v>
      </c>
      <c r="C13016" s="17" t="s">
        <v>3614</v>
      </c>
      <c r="D13016" s="17" t="s">
        <v>19</v>
      </c>
      <c r="E13016" s="17" t="s">
        <v>3451</v>
      </c>
      <c r="F13016" s="17" t="s">
        <v>422</v>
      </c>
      <c r="G13016" s="18" t="n">
        <v>0</v>
      </c>
      <c r="H13016" s="18" t="n">
        <v>116.2</v>
      </c>
      <c r="I13016" s="18" t="n">
        <f aca="false">((I13015 + G13016) - H13016)</f>
        <v>165.669999999996</v>
      </c>
      <c r="J13016" s="18" t="n">
        <v>0</v>
      </c>
      <c r="K13016" s="19" t="n">
        <v>0</v>
      </c>
      <c r="L13016" s="17"/>
    </row>
    <row r="13017" s="11" customFormat="true" ht="10.95" hidden="false" customHeight="true" outlineLevel="0" collapsed="false">
      <c r="A13017" s="16" t="n">
        <v>45280</v>
      </c>
      <c r="B13017" s="17" t="s">
        <v>4548</v>
      </c>
      <c r="C13017" s="17" t="s">
        <v>3614</v>
      </c>
      <c r="D13017" s="17" t="s">
        <v>19</v>
      </c>
      <c r="E13017" s="17" t="s">
        <v>3428</v>
      </c>
      <c r="F13017" s="17" t="s">
        <v>423</v>
      </c>
      <c r="G13017" s="18" t="n">
        <v>0</v>
      </c>
      <c r="H13017" s="18" t="n">
        <v>177.65</v>
      </c>
      <c r="I13017" s="18" t="n">
        <f aca="false">((I13016 + G13017) - H13017)</f>
        <v>-11.9800000000037</v>
      </c>
      <c r="J13017" s="18" t="n">
        <v>0</v>
      </c>
      <c r="K13017" s="19" t="n">
        <v>0</v>
      </c>
      <c r="L13017" s="17"/>
    </row>
    <row r="13018" s="11" customFormat="true" ht="10.95" hidden="false" customHeight="true" outlineLevel="0" collapsed="false">
      <c r="A13018" s="16" t="n">
        <v>45280</v>
      </c>
      <c r="B13018" s="17" t="s">
        <v>4548</v>
      </c>
      <c r="C13018" s="17" t="s">
        <v>3614</v>
      </c>
      <c r="D13018" s="17" t="s">
        <v>19</v>
      </c>
      <c r="E13018" s="17" t="s">
        <v>3454</v>
      </c>
      <c r="F13018" s="17" t="s">
        <v>426</v>
      </c>
      <c r="G13018" s="18" t="n">
        <v>0</v>
      </c>
      <c r="H13018" s="18" t="n">
        <v>1709.17</v>
      </c>
      <c r="I13018" s="18" t="n">
        <f aca="false">((I13017 + G13018) - H13018)</f>
        <v>-1721.15</v>
      </c>
      <c r="J13018" s="18" t="n">
        <v>0</v>
      </c>
      <c r="K13018" s="19" t="n">
        <v>0</v>
      </c>
      <c r="L13018" s="17"/>
    </row>
    <row r="13019" s="11" customFormat="true" ht="10.95" hidden="false" customHeight="true" outlineLevel="0" collapsed="false">
      <c r="A13019" s="16" t="n">
        <v>45280</v>
      </c>
      <c r="B13019" s="17" t="s">
        <v>4548</v>
      </c>
      <c r="C13019" s="17" t="s">
        <v>3614</v>
      </c>
      <c r="D13019" s="17" t="s">
        <v>1407</v>
      </c>
      <c r="E13019" s="17" t="s">
        <v>3955</v>
      </c>
      <c r="F13019" s="17"/>
      <c r="G13019" s="18" t="n">
        <v>46.77</v>
      </c>
      <c r="H13019" s="18" t="n">
        <v>0</v>
      </c>
      <c r="I13019" s="18" t="n">
        <f aca="false">((I13018 + G13019) - H13019)</f>
        <v>-1674.38</v>
      </c>
      <c r="J13019" s="18" t="n">
        <v>0</v>
      </c>
      <c r="K13019" s="19" t="n">
        <v>0</v>
      </c>
      <c r="L13019" s="17"/>
    </row>
    <row r="13020" s="11" customFormat="true" ht="10.95" hidden="false" customHeight="true" outlineLevel="0" collapsed="false">
      <c r="A13020" s="16" t="n">
        <v>45280</v>
      </c>
      <c r="B13020" s="17" t="s">
        <v>4548</v>
      </c>
      <c r="C13020" s="17" t="s">
        <v>3614</v>
      </c>
      <c r="D13020" s="17" t="s">
        <v>1391</v>
      </c>
      <c r="E13020" s="17" t="s">
        <v>3668</v>
      </c>
      <c r="F13020" s="17" t="s">
        <v>2423</v>
      </c>
      <c r="G13020" s="18" t="n">
        <v>8.82</v>
      </c>
      <c r="H13020" s="18" t="n">
        <v>0</v>
      </c>
      <c r="I13020" s="18" t="n">
        <f aca="false">((I13019 + G13020) - H13020)</f>
        <v>-1665.56</v>
      </c>
      <c r="J13020" s="18" t="n">
        <v>0</v>
      </c>
      <c r="K13020" s="19" t="n">
        <v>0</v>
      </c>
      <c r="L13020" s="17"/>
    </row>
    <row r="13021" s="11" customFormat="true" ht="10.95" hidden="false" customHeight="true" outlineLevel="0" collapsed="false">
      <c r="A13021" s="16" t="n">
        <v>45281</v>
      </c>
      <c r="B13021" s="17" t="s">
        <v>4548</v>
      </c>
      <c r="C13021" s="17" t="s">
        <v>3614</v>
      </c>
      <c r="D13021" s="17" t="s">
        <v>1391</v>
      </c>
      <c r="E13021" s="17" t="s">
        <v>3697</v>
      </c>
      <c r="F13021" s="17" t="s">
        <v>3597</v>
      </c>
      <c r="G13021" s="18" t="n">
        <v>568.34</v>
      </c>
      <c r="H13021" s="18" t="n">
        <v>0</v>
      </c>
      <c r="I13021" s="18" t="n">
        <f aca="false">((I13020 + G13021) - H13021)</f>
        <v>-1097.22</v>
      </c>
      <c r="J13021" s="18" t="n">
        <v>0</v>
      </c>
      <c r="K13021" s="19" t="n">
        <v>0</v>
      </c>
      <c r="L13021" s="17"/>
    </row>
    <row r="13022" s="11" customFormat="true" ht="10.95" hidden="false" customHeight="true" outlineLevel="0" collapsed="false">
      <c r="A13022" s="16" t="n">
        <v>45281</v>
      </c>
      <c r="B13022" s="17" t="s">
        <v>4548</v>
      </c>
      <c r="C13022" s="17" t="s">
        <v>3614</v>
      </c>
      <c r="D13022" s="17" t="s">
        <v>1407</v>
      </c>
      <c r="E13022" s="17" t="s">
        <v>3810</v>
      </c>
      <c r="F13022" s="17"/>
      <c r="G13022" s="18" t="n">
        <v>910.46</v>
      </c>
      <c r="H13022" s="18" t="n">
        <v>0</v>
      </c>
      <c r="I13022" s="18" t="n">
        <f aca="false">((I13021 + G13022) - H13022)</f>
        <v>-186.760000000004</v>
      </c>
      <c r="J13022" s="18" t="n">
        <v>0</v>
      </c>
      <c r="K13022" s="19" t="n">
        <v>0</v>
      </c>
      <c r="L13022" s="17"/>
    </row>
    <row r="13023" s="11" customFormat="true" ht="10.95" hidden="false" customHeight="true" outlineLevel="0" collapsed="false">
      <c r="A13023" s="16" t="n">
        <v>45282</v>
      </c>
      <c r="B13023" s="17" t="s">
        <v>4548</v>
      </c>
      <c r="C13023" s="17" t="s">
        <v>3614</v>
      </c>
      <c r="D13023" s="17" t="s">
        <v>1391</v>
      </c>
      <c r="E13023" s="17" t="s">
        <v>3638</v>
      </c>
      <c r="F13023" s="17" t="s">
        <v>3282</v>
      </c>
      <c r="G13023" s="18" t="n">
        <v>264.1</v>
      </c>
      <c r="H13023" s="18" t="n">
        <v>0</v>
      </c>
      <c r="I13023" s="18" t="n">
        <f aca="false">((I13022 + G13023) - H13023)</f>
        <v>77.3399999999962</v>
      </c>
      <c r="J13023" s="18" t="n">
        <v>0</v>
      </c>
      <c r="K13023" s="19" t="n">
        <v>0</v>
      </c>
      <c r="L13023" s="17"/>
    </row>
    <row r="13024" s="11" customFormat="true" ht="10.95" hidden="false" customHeight="true" outlineLevel="0" collapsed="false">
      <c r="A13024" s="16" t="n">
        <v>45282</v>
      </c>
      <c r="B13024" s="17" t="s">
        <v>4548</v>
      </c>
      <c r="C13024" s="17" t="s">
        <v>3614</v>
      </c>
      <c r="D13024" s="17" t="s">
        <v>1407</v>
      </c>
      <c r="E13024" s="17" t="s">
        <v>3642</v>
      </c>
      <c r="F13024" s="17"/>
      <c r="G13024" s="18" t="n">
        <v>6.96</v>
      </c>
      <c r="H13024" s="18" t="n">
        <v>0</v>
      </c>
      <c r="I13024" s="18" t="n">
        <f aca="false">((I13023 + G13024) - H13024)</f>
        <v>84.2999999999962</v>
      </c>
      <c r="J13024" s="18" t="n">
        <v>0</v>
      </c>
      <c r="K13024" s="19" t="n">
        <v>0</v>
      </c>
      <c r="L13024" s="17"/>
    </row>
    <row r="13025" s="11" customFormat="true" ht="10.95" hidden="false" customHeight="true" outlineLevel="0" collapsed="false">
      <c r="A13025" s="16" t="n">
        <v>45283</v>
      </c>
      <c r="B13025" s="17" t="s">
        <v>4548</v>
      </c>
      <c r="C13025" s="17" t="s">
        <v>3614</v>
      </c>
      <c r="D13025" s="17" t="s">
        <v>1407</v>
      </c>
      <c r="E13025" s="17" t="s">
        <v>3804</v>
      </c>
      <c r="F13025" s="17"/>
      <c r="G13025" s="18" t="n">
        <v>3.64</v>
      </c>
      <c r="H13025" s="18" t="n">
        <v>0</v>
      </c>
      <c r="I13025" s="18" t="n">
        <f aca="false">((I13024 + G13025) - H13025)</f>
        <v>87.9399999999962</v>
      </c>
      <c r="J13025" s="18" t="n">
        <v>0</v>
      </c>
      <c r="K13025" s="19" t="n">
        <v>0</v>
      </c>
      <c r="L13025" s="17"/>
    </row>
    <row r="13026" s="11" customFormat="true" ht="10.95" hidden="false" customHeight="true" outlineLevel="0" collapsed="false">
      <c r="A13026" s="16" t="n">
        <v>45283</v>
      </c>
      <c r="B13026" s="17" t="s">
        <v>4548</v>
      </c>
      <c r="C13026" s="17" t="s">
        <v>3614</v>
      </c>
      <c r="D13026" s="17" t="s">
        <v>1407</v>
      </c>
      <c r="E13026" s="17" t="s">
        <v>3907</v>
      </c>
      <c r="F13026" s="17"/>
      <c r="G13026" s="18" t="n">
        <v>0.79</v>
      </c>
      <c r="H13026" s="18" t="n">
        <v>0</v>
      </c>
      <c r="I13026" s="18" t="n">
        <f aca="false">((I13025 + G13026) - H13026)</f>
        <v>88.7299999999962</v>
      </c>
      <c r="J13026" s="18" t="n">
        <v>0</v>
      </c>
      <c r="K13026" s="19" t="n">
        <v>0</v>
      </c>
      <c r="L13026" s="17"/>
    </row>
    <row r="13027" s="11" customFormat="true" ht="10.95" hidden="false" customHeight="true" outlineLevel="0" collapsed="false">
      <c r="A13027" s="16" t="n">
        <v>45286</v>
      </c>
      <c r="B13027" s="17" t="s">
        <v>4548</v>
      </c>
      <c r="C13027" s="17" t="s">
        <v>3614</v>
      </c>
      <c r="D13027" s="17" t="s">
        <v>1407</v>
      </c>
      <c r="E13027" s="17" t="s">
        <v>3882</v>
      </c>
      <c r="F13027" s="17"/>
      <c r="G13027" s="18" t="n">
        <v>6.64</v>
      </c>
      <c r="H13027" s="18" t="n">
        <v>0</v>
      </c>
      <c r="I13027" s="18" t="n">
        <f aca="false">((I13026 + G13027) - H13027)</f>
        <v>95.3699999999962</v>
      </c>
      <c r="J13027" s="18" t="n">
        <v>0</v>
      </c>
      <c r="K13027" s="19" t="n">
        <v>0</v>
      </c>
      <c r="L13027" s="17"/>
    </row>
    <row r="13028" s="11" customFormat="true" ht="10.95" hidden="false" customHeight="true" outlineLevel="0" collapsed="false">
      <c r="A13028" s="16" t="n">
        <v>45287</v>
      </c>
      <c r="B13028" s="17" t="s">
        <v>4548</v>
      </c>
      <c r="C13028" s="17" t="s">
        <v>3614</v>
      </c>
      <c r="D13028" s="17" t="s">
        <v>1407</v>
      </c>
      <c r="E13028" s="17" t="s">
        <v>3805</v>
      </c>
      <c r="F13028" s="17"/>
      <c r="G13028" s="18" t="n">
        <v>8.32</v>
      </c>
      <c r="H13028" s="18" t="n">
        <v>0</v>
      </c>
      <c r="I13028" s="18" t="n">
        <f aca="false">((I13027 + G13028) - H13028)</f>
        <v>103.689999999996</v>
      </c>
      <c r="J13028" s="18" t="n">
        <v>0</v>
      </c>
      <c r="K13028" s="19" t="n">
        <v>0</v>
      </c>
      <c r="L13028" s="17"/>
    </row>
    <row r="13029" s="11" customFormat="true" ht="10.95" hidden="false" customHeight="true" outlineLevel="0" collapsed="false">
      <c r="A13029" s="16" t="n">
        <v>45287</v>
      </c>
      <c r="B13029" s="17" t="s">
        <v>4548</v>
      </c>
      <c r="C13029" s="17" t="s">
        <v>3614</v>
      </c>
      <c r="D13029" s="17" t="s">
        <v>1407</v>
      </c>
      <c r="E13029" s="17" t="s">
        <v>3720</v>
      </c>
      <c r="F13029" s="17"/>
      <c r="G13029" s="18" t="n">
        <v>28.82</v>
      </c>
      <c r="H13029" s="18" t="n">
        <v>0</v>
      </c>
      <c r="I13029" s="18" t="n">
        <f aca="false">((I13028 + G13029) - H13029)</f>
        <v>132.509999999996</v>
      </c>
      <c r="J13029" s="18" t="n">
        <v>0</v>
      </c>
      <c r="K13029" s="19" t="n">
        <v>0</v>
      </c>
      <c r="L13029" s="17"/>
    </row>
    <row r="13030" s="11" customFormat="true" ht="10.95" hidden="false" customHeight="true" outlineLevel="0" collapsed="false">
      <c r="A13030" s="16" t="n">
        <v>45288</v>
      </c>
      <c r="B13030" s="17" t="s">
        <v>4548</v>
      </c>
      <c r="C13030" s="17" t="s">
        <v>3614</v>
      </c>
      <c r="D13030" s="17" t="s">
        <v>1407</v>
      </c>
      <c r="E13030" s="17" t="s">
        <v>3770</v>
      </c>
      <c r="F13030" s="17"/>
      <c r="G13030" s="18" t="n">
        <v>2.09</v>
      </c>
      <c r="H13030" s="18" t="n">
        <v>0</v>
      </c>
      <c r="I13030" s="18" t="n">
        <f aca="false">((I13029 + G13030) - H13030)</f>
        <v>134.599999999996</v>
      </c>
      <c r="J13030" s="18" t="n">
        <v>0</v>
      </c>
      <c r="K13030" s="19" t="n">
        <v>0</v>
      </c>
      <c r="L13030" s="17"/>
    </row>
    <row r="13031" s="11" customFormat="true" ht="10.95" hidden="false" customHeight="true" outlineLevel="0" collapsed="false">
      <c r="A13031" s="16" t="n">
        <v>45288</v>
      </c>
      <c r="B13031" s="17" t="s">
        <v>4548</v>
      </c>
      <c r="C13031" s="17" t="s">
        <v>3614</v>
      </c>
      <c r="D13031" s="17" t="s">
        <v>1407</v>
      </c>
      <c r="E13031" s="17" t="s">
        <v>3955</v>
      </c>
      <c r="F13031" s="17"/>
      <c r="G13031" s="18" t="n">
        <v>11.26</v>
      </c>
      <c r="H13031" s="18" t="n">
        <v>0</v>
      </c>
      <c r="I13031" s="18" t="n">
        <f aca="false">((I13030 + G13031) - H13031)</f>
        <v>145.859999999996</v>
      </c>
      <c r="J13031" s="18" t="n">
        <v>0</v>
      </c>
      <c r="K13031" s="19" t="n">
        <v>0</v>
      </c>
      <c r="L13031" s="17"/>
    </row>
    <row r="13032" s="11" customFormat="true" ht="10.95" hidden="false" customHeight="true" outlineLevel="0" collapsed="false">
      <c r="A13032" s="16" t="n">
        <v>45288</v>
      </c>
      <c r="B13032" s="17" t="s">
        <v>4548</v>
      </c>
      <c r="C13032" s="17" t="s">
        <v>3614</v>
      </c>
      <c r="D13032" s="17" t="s">
        <v>1407</v>
      </c>
      <c r="E13032" s="17" t="s">
        <v>3976</v>
      </c>
      <c r="F13032" s="17"/>
      <c r="G13032" s="18" t="n">
        <v>17.19</v>
      </c>
      <c r="H13032" s="18" t="n">
        <v>0</v>
      </c>
      <c r="I13032" s="18" t="n">
        <f aca="false">((I13031 + G13032) - H13032)</f>
        <v>163.049999999996</v>
      </c>
      <c r="J13032" s="18" t="n">
        <v>0</v>
      </c>
      <c r="K13032" s="19" t="n">
        <v>0</v>
      </c>
      <c r="L13032" s="17"/>
    </row>
    <row r="13033" s="11" customFormat="true" ht="10.95" hidden="false" customHeight="true" outlineLevel="0" collapsed="false">
      <c r="A13033" s="16" t="n">
        <v>45288</v>
      </c>
      <c r="B13033" s="17" t="s">
        <v>4548</v>
      </c>
      <c r="C13033" s="17" t="s">
        <v>3614</v>
      </c>
      <c r="D13033" s="17" t="s">
        <v>1407</v>
      </c>
      <c r="E13033" s="17" t="s">
        <v>3955</v>
      </c>
      <c r="F13033" s="17"/>
      <c r="G13033" s="18" t="n">
        <v>18.9</v>
      </c>
      <c r="H13033" s="18" t="n">
        <v>0</v>
      </c>
      <c r="I13033" s="18" t="n">
        <f aca="false">((I13032 + G13033) - H13033)</f>
        <v>181.949999999996</v>
      </c>
      <c r="J13033" s="18" t="n">
        <v>0</v>
      </c>
      <c r="K13033" s="19" t="n">
        <v>0</v>
      </c>
      <c r="L13033" s="17"/>
    </row>
    <row r="13034" s="11" customFormat="true" ht="10.95" hidden="false" customHeight="true" outlineLevel="0" collapsed="false">
      <c r="A13034" s="16" t="n">
        <v>45288</v>
      </c>
      <c r="B13034" s="17" t="s">
        <v>4548</v>
      </c>
      <c r="C13034" s="17" t="s">
        <v>3614</v>
      </c>
      <c r="D13034" s="17" t="s">
        <v>1407</v>
      </c>
      <c r="E13034" s="17" t="s">
        <v>3621</v>
      </c>
      <c r="F13034" s="17"/>
      <c r="G13034" s="18" t="n">
        <v>9.54</v>
      </c>
      <c r="H13034" s="18" t="n">
        <v>0</v>
      </c>
      <c r="I13034" s="18" t="n">
        <f aca="false">((I13033 + G13034) - H13034)</f>
        <v>191.489999999996</v>
      </c>
      <c r="J13034" s="18" t="n">
        <v>0</v>
      </c>
      <c r="K13034" s="19" t="n">
        <v>0</v>
      </c>
      <c r="L13034" s="17"/>
    </row>
    <row r="13035" s="11" customFormat="true" ht="10.95" hidden="false" customHeight="true" outlineLevel="0" collapsed="false">
      <c r="A13035" s="16" t="n">
        <v>45288</v>
      </c>
      <c r="B13035" s="17" t="s">
        <v>4548</v>
      </c>
      <c r="C13035" s="17" t="s">
        <v>3614</v>
      </c>
      <c r="D13035" s="17" t="s">
        <v>1407</v>
      </c>
      <c r="E13035" s="17" t="s">
        <v>4179</v>
      </c>
      <c r="F13035" s="17"/>
      <c r="G13035" s="18" t="n">
        <v>9.09</v>
      </c>
      <c r="H13035" s="18" t="n">
        <v>0</v>
      </c>
      <c r="I13035" s="18" t="n">
        <f aca="false">((I13034 + G13035) - H13035)</f>
        <v>200.579999999996</v>
      </c>
      <c r="J13035" s="18" t="n">
        <v>0</v>
      </c>
      <c r="K13035" s="19" t="n">
        <v>0</v>
      </c>
      <c r="L13035" s="17"/>
    </row>
    <row r="13036" s="11" customFormat="true" ht="10.95" hidden="false" customHeight="true" outlineLevel="0" collapsed="false">
      <c r="A13036" s="16" t="n">
        <v>45288</v>
      </c>
      <c r="B13036" s="17" t="s">
        <v>4548</v>
      </c>
      <c r="C13036" s="17" t="s">
        <v>3614</v>
      </c>
      <c r="D13036" s="17" t="s">
        <v>1407</v>
      </c>
      <c r="E13036" s="17" t="s">
        <v>3759</v>
      </c>
      <c r="F13036" s="17"/>
      <c r="G13036" s="18" t="n">
        <v>25.37</v>
      </c>
      <c r="H13036" s="18" t="n">
        <v>0</v>
      </c>
      <c r="I13036" s="18" t="n">
        <f aca="false">((I13035 + G13036) - H13036)</f>
        <v>225.949999999996</v>
      </c>
      <c r="J13036" s="18" t="n">
        <v>0</v>
      </c>
      <c r="K13036" s="19" t="n">
        <v>0</v>
      </c>
      <c r="L13036" s="17"/>
    </row>
    <row r="13037" s="11" customFormat="true" ht="10.95" hidden="false" customHeight="true" outlineLevel="0" collapsed="false">
      <c r="A13037" s="16" t="n">
        <v>45288</v>
      </c>
      <c r="B13037" s="17" t="s">
        <v>4548</v>
      </c>
      <c r="C13037" s="17" t="s">
        <v>3614</v>
      </c>
      <c r="D13037" s="17" t="s">
        <v>1407</v>
      </c>
      <c r="E13037" s="17" t="s">
        <v>2747</v>
      </c>
      <c r="F13037" s="17"/>
      <c r="G13037" s="18" t="n">
        <v>3.55</v>
      </c>
      <c r="H13037" s="18" t="n">
        <v>0</v>
      </c>
      <c r="I13037" s="18" t="n">
        <f aca="false">((I13036 + G13037) - H13037)</f>
        <v>229.499999999996</v>
      </c>
      <c r="J13037" s="18" t="n">
        <v>0</v>
      </c>
      <c r="K13037" s="19" t="n">
        <v>0</v>
      </c>
      <c r="L13037" s="17"/>
    </row>
    <row r="13038" s="11" customFormat="true" ht="10.95" hidden="false" customHeight="true" outlineLevel="0" collapsed="false">
      <c r="A13038" s="16" t="n">
        <v>45289</v>
      </c>
      <c r="B13038" s="17" t="s">
        <v>4548</v>
      </c>
      <c r="C13038" s="17" t="s">
        <v>3614</v>
      </c>
      <c r="D13038" s="17" t="s">
        <v>1391</v>
      </c>
      <c r="E13038" s="17" t="s">
        <v>3647</v>
      </c>
      <c r="F13038" s="17" t="s">
        <v>1484</v>
      </c>
      <c r="G13038" s="18" t="n">
        <v>451.97</v>
      </c>
      <c r="H13038" s="18" t="n">
        <v>0</v>
      </c>
      <c r="I13038" s="18" t="n">
        <f aca="false">((I13037 + G13038) - H13038)</f>
        <v>681.469999999996</v>
      </c>
      <c r="J13038" s="18" t="n">
        <v>0</v>
      </c>
      <c r="K13038" s="19" t="n">
        <v>0</v>
      </c>
      <c r="L13038" s="17"/>
    </row>
    <row r="13039" s="11" customFormat="true" ht="10.95" hidden="false" customHeight="true" outlineLevel="0" collapsed="false">
      <c r="A13039" s="16" t="n">
        <v>45289</v>
      </c>
      <c r="B13039" s="17" t="s">
        <v>4548</v>
      </c>
      <c r="C13039" s="17" t="s">
        <v>3614</v>
      </c>
      <c r="D13039" s="17" t="s">
        <v>1407</v>
      </c>
      <c r="E13039" s="17" t="s">
        <v>3642</v>
      </c>
      <c r="F13039" s="17"/>
      <c r="G13039" s="18" t="n">
        <v>6.36</v>
      </c>
      <c r="H13039" s="18" t="n">
        <v>0</v>
      </c>
      <c r="I13039" s="18" t="n">
        <f aca="false">((I13038 + G13039) - H13039)</f>
        <v>687.829999999996</v>
      </c>
      <c r="J13039" s="18" t="n">
        <v>0</v>
      </c>
      <c r="K13039" s="19" t="n">
        <v>0</v>
      </c>
      <c r="L13039" s="17"/>
    </row>
    <row r="13040" s="11" customFormat="true" ht="10.95" hidden="false" customHeight="true" outlineLevel="0" collapsed="false">
      <c r="A13040" s="16" t="n">
        <v>45292</v>
      </c>
      <c r="B13040" s="17" t="s">
        <v>4548</v>
      </c>
      <c r="C13040" s="17" t="s">
        <v>3614</v>
      </c>
      <c r="D13040" s="17" t="s">
        <v>1391</v>
      </c>
      <c r="E13040" s="17" t="s">
        <v>3615</v>
      </c>
      <c r="F13040" s="17" t="s">
        <v>1488</v>
      </c>
      <c r="G13040" s="18" t="n">
        <v>48.98</v>
      </c>
      <c r="H13040" s="18" t="n">
        <v>0</v>
      </c>
      <c r="I13040" s="18" t="n">
        <f aca="false">((I13039 + G13040) - H13040)</f>
        <v>736.809999999996</v>
      </c>
      <c r="J13040" s="18" t="n">
        <v>0</v>
      </c>
      <c r="K13040" s="19" t="n">
        <v>0</v>
      </c>
      <c r="L13040" s="17"/>
    </row>
    <row r="13041" s="11" customFormat="true" ht="10.95" hidden="false" customHeight="true" outlineLevel="0" collapsed="false">
      <c r="A13041" s="16" t="n">
        <v>45292</v>
      </c>
      <c r="B13041" s="17" t="s">
        <v>4548</v>
      </c>
      <c r="C13041" s="17" t="s">
        <v>3614</v>
      </c>
      <c r="D13041" s="17" t="s">
        <v>1391</v>
      </c>
      <c r="E13041" s="17" t="s">
        <v>3621</v>
      </c>
      <c r="F13041" s="17" t="s">
        <v>2679</v>
      </c>
      <c r="G13041" s="18" t="n">
        <v>66.5</v>
      </c>
      <c r="H13041" s="18" t="n">
        <v>0</v>
      </c>
      <c r="I13041" s="18" t="n">
        <f aca="false">((I13040 + G13041) - H13041)</f>
        <v>803.309999999996</v>
      </c>
      <c r="J13041" s="18" t="n">
        <v>0</v>
      </c>
      <c r="K13041" s="19" t="n">
        <v>0</v>
      </c>
      <c r="L13041" s="17"/>
    </row>
    <row r="13042" s="11" customFormat="true" ht="10.95" hidden="false" customHeight="true" outlineLevel="0" collapsed="false">
      <c r="A13042" s="16" t="n">
        <v>45293</v>
      </c>
      <c r="B13042" s="17" t="s">
        <v>4548</v>
      </c>
      <c r="C13042" s="17" t="s">
        <v>3614</v>
      </c>
      <c r="D13042" s="17" t="s">
        <v>1391</v>
      </c>
      <c r="E13042" s="17" t="s">
        <v>3615</v>
      </c>
      <c r="F13042" s="17" t="s">
        <v>1490</v>
      </c>
      <c r="G13042" s="18" t="n">
        <v>177</v>
      </c>
      <c r="H13042" s="18" t="n">
        <v>0</v>
      </c>
      <c r="I13042" s="18" t="n">
        <f aca="false">((I13041 + G13042) - H13042)</f>
        <v>980.309999999996</v>
      </c>
      <c r="J13042" s="18" t="n">
        <v>0</v>
      </c>
      <c r="K13042" s="19" t="n">
        <v>0</v>
      </c>
      <c r="L13042" s="17"/>
    </row>
    <row r="13043" s="11" customFormat="true" ht="10.95" hidden="false" customHeight="true" outlineLevel="0" collapsed="false">
      <c r="A13043" s="16" t="n">
        <v>45293</v>
      </c>
      <c r="B13043" s="17" t="s">
        <v>4548</v>
      </c>
      <c r="C13043" s="17" t="s">
        <v>3614</v>
      </c>
      <c r="D13043" s="17" t="s">
        <v>1391</v>
      </c>
      <c r="E13043" s="17" t="s">
        <v>3615</v>
      </c>
      <c r="F13043" s="17" t="s">
        <v>1492</v>
      </c>
      <c r="G13043" s="18" t="n">
        <v>1628.62</v>
      </c>
      <c r="H13043" s="18" t="n">
        <v>0</v>
      </c>
      <c r="I13043" s="18" t="n">
        <f aca="false">((I13042 + G13043) - H13043)</f>
        <v>2608.93</v>
      </c>
      <c r="J13043" s="18" t="n">
        <v>0</v>
      </c>
      <c r="K13043" s="19" t="n">
        <v>0</v>
      </c>
      <c r="L13043" s="17"/>
    </row>
    <row r="13044" s="11" customFormat="true" ht="10.95" hidden="false" customHeight="true" outlineLevel="0" collapsed="false">
      <c r="A13044" s="16" t="n">
        <v>45293</v>
      </c>
      <c r="B13044" s="17" t="s">
        <v>4548</v>
      </c>
      <c r="C13044" s="17" t="s">
        <v>3614</v>
      </c>
      <c r="D13044" s="17" t="s">
        <v>1391</v>
      </c>
      <c r="E13044" s="17" t="s">
        <v>3699</v>
      </c>
      <c r="F13044" s="17"/>
      <c r="G13044" s="18" t="n">
        <v>15.49</v>
      </c>
      <c r="H13044" s="18" t="n">
        <v>0</v>
      </c>
      <c r="I13044" s="18" t="n">
        <f aca="false">((I13043 + G13044) - H13044)</f>
        <v>2624.42</v>
      </c>
      <c r="J13044" s="18" t="n">
        <v>0</v>
      </c>
      <c r="K13044" s="19" t="n">
        <v>0</v>
      </c>
      <c r="L13044" s="17"/>
    </row>
    <row r="13045" s="11" customFormat="true" ht="10.95" hidden="false" customHeight="true" outlineLevel="0" collapsed="false">
      <c r="A13045" s="16" t="n">
        <v>45293</v>
      </c>
      <c r="B13045" s="17" t="s">
        <v>4548</v>
      </c>
      <c r="C13045" s="17" t="s">
        <v>3614</v>
      </c>
      <c r="D13045" s="17" t="s">
        <v>1407</v>
      </c>
      <c r="E13045" s="17" t="s">
        <v>3804</v>
      </c>
      <c r="F13045" s="17"/>
      <c r="G13045" s="18" t="n">
        <v>3.64</v>
      </c>
      <c r="H13045" s="18" t="n">
        <v>0</v>
      </c>
      <c r="I13045" s="18" t="n">
        <f aca="false">((I13044 + G13045) - H13045)</f>
        <v>2628.06</v>
      </c>
      <c r="J13045" s="18" t="n">
        <v>0</v>
      </c>
      <c r="K13045" s="19" t="n">
        <v>0</v>
      </c>
      <c r="L13045" s="17"/>
    </row>
    <row r="13046" s="11" customFormat="true" ht="10.95" hidden="false" customHeight="true" outlineLevel="0" collapsed="false">
      <c r="A13046" s="16" t="n">
        <v>45294</v>
      </c>
      <c r="B13046" s="17" t="s">
        <v>4548</v>
      </c>
      <c r="C13046" s="17" t="s">
        <v>3614</v>
      </c>
      <c r="D13046" s="17" t="s">
        <v>1407</v>
      </c>
      <c r="E13046" s="17" t="s">
        <v>3865</v>
      </c>
      <c r="F13046" s="17"/>
      <c r="G13046" s="18" t="n">
        <v>7.5</v>
      </c>
      <c r="H13046" s="18" t="n">
        <v>0</v>
      </c>
      <c r="I13046" s="18" t="n">
        <f aca="false">((I13045 + G13046) - H13046)</f>
        <v>2635.56</v>
      </c>
      <c r="J13046" s="18" t="n">
        <v>0</v>
      </c>
      <c r="K13046" s="19" t="n">
        <v>0</v>
      </c>
      <c r="L13046" s="17"/>
    </row>
    <row r="13047" s="11" customFormat="true" ht="10.95" hidden="false" customHeight="true" outlineLevel="0" collapsed="false">
      <c r="A13047" s="16" t="n">
        <v>45294</v>
      </c>
      <c r="B13047" s="17" t="s">
        <v>4548</v>
      </c>
      <c r="C13047" s="17" t="s">
        <v>3614</v>
      </c>
      <c r="D13047" s="17" t="s">
        <v>1391</v>
      </c>
      <c r="E13047" s="17" t="s">
        <v>3625</v>
      </c>
      <c r="F13047" s="17" t="s">
        <v>3284</v>
      </c>
      <c r="G13047" s="18" t="n">
        <v>91.07</v>
      </c>
      <c r="H13047" s="18" t="n">
        <v>0</v>
      </c>
      <c r="I13047" s="18" t="n">
        <f aca="false">((I13046 + G13047) - H13047)</f>
        <v>2726.63</v>
      </c>
      <c r="J13047" s="18" t="n">
        <v>0</v>
      </c>
      <c r="K13047" s="19" t="n">
        <v>0</v>
      </c>
      <c r="L13047" s="17"/>
    </row>
    <row r="13048" s="11" customFormat="true" ht="10.95" hidden="false" customHeight="true" outlineLevel="0" collapsed="false">
      <c r="A13048" s="16" t="n">
        <v>45295</v>
      </c>
      <c r="B13048" s="17" t="s">
        <v>4548</v>
      </c>
      <c r="C13048" s="17" t="s">
        <v>3614</v>
      </c>
      <c r="D13048" s="17" t="s">
        <v>1407</v>
      </c>
      <c r="E13048" s="17" t="s">
        <v>3810</v>
      </c>
      <c r="F13048" s="17" t="s">
        <v>1707</v>
      </c>
      <c r="G13048" s="18" t="n">
        <v>72.18</v>
      </c>
      <c r="H13048" s="18" t="n">
        <v>0</v>
      </c>
      <c r="I13048" s="18" t="n">
        <f aca="false">((I13047 + G13048) - H13048)</f>
        <v>2798.81</v>
      </c>
      <c r="J13048" s="18" t="n">
        <v>0</v>
      </c>
      <c r="K13048" s="19" t="n">
        <v>0</v>
      </c>
      <c r="L13048" s="17"/>
    </row>
    <row r="13049" s="11" customFormat="true" ht="10.95" hidden="false" customHeight="true" outlineLevel="0" collapsed="false">
      <c r="A13049" s="16" t="n">
        <v>45296</v>
      </c>
      <c r="B13049" s="17" t="s">
        <v>4548</v>
      </c>
      <c r="C13049" s="17" t="s">
        <v>3614</v>
      </c>
      <c r="D13049" s="17" t="s">
        <v>1407</v>
      </c>
      <c r="E13049" s="17" t="s">
        <v>3642</v>
      </c>
      <c r="F13049" s="17"/>
      <c r="G13049" s="18" t="n">
        <v>1.06</v>
      </c>
      <c r="H13049" s="18" t="n">
        <v>0</v>
      </c>
      <c r="I13049" s="18" t="n">
        <f aca="false">((I13048 + G13049) - H13049)</f>
        <v>2799.87</v>
      </c>
      <c r="J13049" s="18" t="n">
        <v>0</v>
      </c>
      <c r="K13049" s="19" t="n">
        <v>0</v>
      </c>
      <c r="L13049" s="17"/>
    </row>
    <row r="13050" s="11" customFormat="true" ht="10.95" hidden="false" customHeight="true" outlineLevel="0" collapsed="false">
      <c r="A13050" s="16" t="n">
        <v>45296</v>
      </c>
      <c r="B13050" s="17" t="s">
        <v>4548</v>
      </c>
      <c r="C13050" s="17" t="s">
        <v>3614</v>
      </c>
      <c r="D13050" s="17" t="s">
        <v>1407</v>
      </c>
      <c r="E13050" s="17" t="s">
        <v>3810</v>
      </c>
      <c r="F13050" s="17"/>
      <c r="G13050" s="18" t="n">
        <v>1681.03</v>
      </c>
      <c r="H13050" s="18" t="n">
        <v>0</v>
      </c>
      <c r="I13050" s="18" t="n">
        <f aca="false">((I13049 + G13050) - H13050)</f>
        <v>4480.9</v>
      </c>
      <c r="J13050" s="18" t="n">
        <v>0</v>
      </c>
      <c r="K13050" s="19" t="n">
        <v>0</v>
      </c>
      <c r="L13050" s="17"/>
    </row>
    <row r="13051" s="11" customFormat="true" ht="10.95" hidden="false" customHeight="true" outlineLevel="0" collapsed="false">
      <c r="A13051" s="16" t="n">
        <v>45297</v>
      </c>
      <c r="B13051" s="17" t="s">
        <v>4548</v>
      </c>
      <c r="C13051" s="17" t="s">
        <v>3614</v>
      </c>
      <c r="D13051" s="17" t="s">
        <v>1407</v>
      </c>
      <c r="E13051" s="17" t="s">
        <v>3642</v>
      </c>
      <c r="F13051" s="17"/>
      <c r="G13051" s="18" t="n">
        <v>1.87</v>
      </c>
      <c r="H13051" s="18" t="n">
        <v>0</v>
      </c>
      <c r="I13051" s="18" t="n">
        <f aca="false">((I13050 + G13051) - H13051)</f>
        <v>4482.77</v>
      </c>
      <c r="J13051" s="18" t="n">
        <v>0</v>
      </c>
      <c r="K13051" s="19" t="n">
        <v>0</v>
      </c>
      <c r="L13051" s="17"/>
    </row>
    <row r="13052" s="11" customFormat="true" ht="10.95" hidden="false" customHeight="true" outlineLevel="0" collapsed="false">
      <c r="A13052" s="16" t="n">
        <v>45297</v>
      </c>
      <c r="B13052" s="17" t="s">
        <v>4548</v>
      </c>
      <c r="C13052" s="17" t="s">
        <v>3614</v>
      </c>
      <c r="D13052" s="17" t="s">
        <v>1407</v>
      </c>
      <c r="E13052" s="17" t="s">
        <v>4023</v>
      </c>
      <c r="F13052" s="17"/>
      <c r="G13052" s="18" t="n">
        <v>4.4</v>
      </c>
      <c r="H13052" s="18" t="n">
        <v>0</v>
      </c>
      <c r="I13052" s="18" t="n">
        <f aca="false">((I13051 + G13052) - H13052)</f>
        <v>4487.17</v>
      </c>
      <c r="J13052" s="18" t="n">
        <v>0</v>
      </c>
      <c r="K13052" s="19" t="n">
        <v>0</v>
      </c>
      <c r="L13052" s="17"/>
    </row>
    <row r="13053" s="11" customFormat="true" ht="10.95" hidden="false" customHeight="true" outlineLevel="0" collapsed="false">
      <c r="A13053" s="16" t="n">
        <v>45297</v>
      </c>
      <c r="B13053" s="17" t="s">
        <v>4548</v>
      </c>
      <c r="C13053" s="17" t="s">
        <v>3614</v>
      </c>
      <c r="D13053" s="17" t="s">
        <v>1391</v>
      </c>
      <c r="E13053" s="17" t="s">
        <v>3650</v>
      </c>
      <c r="F13053" s="17" t="s">
        <v>2436</v>
      </c>
      <c r="G13053" s="18" t="n">
        <v>22.55</v>
      </c>
      <c r="H13053" s="18" t="n">
        <v>0</v>
      </c>
      <c r="I13053" s="18" t="n">
        <f aca="false">((I13052 + G13053) - H13053)</f>
        <v>4509.72</v>
      </c>
      <c r="J13053" s="18" t="n">
        <v>0</v>
      </c>
      <c r="K13053" s="19" t="n">
        <v>0</v>
      </c>
      <c r="L13053" s="17"/>
    </row>
    <row r="13054" s="11" customFormat="true" ht="10.95" hidden="false" customHeight="true" outlineLevel="0" collapsed="false">
      <c r="A13054" s="16" t="n">
        <v>45297</v>
      </c>
      <c r="B13054" s="17" t="s">
        <v>4548</v>
      </c>
      <c r="C13054" s="17" t="s">
        <v>3614</v>
      </c>
      <c r="D13054" s="17" t="s">
        <v>1391</v>
      </c>
      <c r="E13054" s="17" t="s">
        <v>3650</v>
      </c>
      <c r="F13054" s="17" t="s">
        <v>2438</v>
      </c>
      <c r="G13054" s="18" t="n">
        <v>16.27</v>
      </c>
      <c r="H13054" s="18" t="n">
        <v>0</v>
      </c>
      <c r="I13054" s="18" t="n">
        <f aca="false">((I13053 + G13054) - H13054)</f>
        <v>4525.99</v>
      </c>
      <c r="J13054" s="18" t="n">
        <v>0</v>
      </c>
      <c r="K13054" s="19" t="n">
        <v>0</v>
      </c>
      <c r="L13054" s="17"/>
    </row>
    <row r="13055" s="11" customFormat="true" ht="10.95" hidden="false" customHeight="true" outlineLevel="0" collapsed="false">
      <c r="A13055" s="16" t="n">
        <v>45298</v>
      </c>
      <c r="B13055" s="17" t="s">
        <v>4548</v>
      </c>
      <c r="C13055" s="17" t="s">
        <v>3614</v>
      </c>
      <c r="D13055" s="17" t="s">
        <v>1391</v>
      </c>
      <c r="E13055" s="17" t="s">
        <v>3673</v>
      </c>
      <c r="F13055" s="17" t="s">
        <v>3206</v>
      </c>
      <c r="G13055" s="18" t="n">
        <v>1092.7</v>
      </c>
      <c r="H13055" s="18" t="n">
        <v>0</v>
      </c>
      <c r="I13055" s="18" t="n">
        <f aca="false">((I13054 + G13055) - H13055)</f>
        <v>5618.69</v>
      </c>
      <c r="J13055" s="18" t="n">
        <v>0</v>
      </c>
      <c r="K13055" s="19" t="n">
        <v>0</v>
      </c>
      <c r="L13055" s="17"/>
    </row>
    <row r="13056" s="11" customFormat="true" ht="10.95" hidden="false" customHeight="true" outlineLevel="0" collapsed="false">
      <c r="A13056" s="16" t="n">
        <v>45298</v>
      </c>
      <c r="B13056" s="17" t="s">
        <v>4548</v>
      </c>
      <c r="C13056" s="17" t="s">
        <v>3614</v>
      </c>
      <c r="D13056" s="17" t="s">
        <v>1391</v>
      </c>
      <c r="E13056" s="17" t="s">
        <v>3622</v>
      </c>
      <c r="F13056" s="17" t="s">
        <v>1495</v>
      </c>
      <c r="G13056" s="18" t="n">
        <v>214.46</v>
      </c>
      <c r="H13056" s="18" t="n">
        <v>0</v>
      </c>
      <c r="I13056" s="18" t="n">
        <f aca="false">((I13055 + G13056) - H13056)</f>
        <v>5833.15</v>
      </c>
      <c r="J13056" s="18" t="n">
        <v>0</v>
      </c>
      <c r="K13056" s="19" t="n">
        <v>0</v>
      </c>
      <c r="L13056" s="17"/>
    </row>
    <row r="13057" s="11" customFormat="true" ht="10.95" hidden="false" customHeight="true" outlineLevel="0" collapsed="false">
      <c r="A13057" s="16" t="n">
        <v>45299</v>
      </c>
      <c r="B13057" s="17" t="s">
        <v>4548</v>
      </c>
      <c r="C13057" s="17" t="s">
        <v>3614</v>
      </c>
      <c r="D13057" s="17" t="s">
        <v>1407</v>
      </c>
      <c r="E13057" s="17" t="s">
        <v>3888</v>
      </c>
      <c r="F13057" s="17"/>
      <c r="G13057" s="18" t="n">
        <v>292.49</v>
      </c>
      <c r="H13057" s="18" t="n">
        <v>0</v>
      </c>
      <c r="I13057" s="18" t="n">
        <f aca="false">((I13056 + G13057) - H13057)</f>
        <v>6125.64</v>
      </c>
      <c r="J13057" s="18" t="n">
        <v>0</v>
      </c>
      <c r="K13057" s="19" t="n">
        <v>0</v>
      </c>
      <c r="L13057" s="17"/>
    </row>
    <row r="13058" s="11" customFormat="true" ht="10.95" hidden="false" customHeight="true" outlineLevel="0" collapsed="false">
      <c r="A13058" s="16" t="n">
        <v>45299</v>
      </c>
      <c r="B13058" s="17" t="s">
        <v>4548</v>
      </c>
      <c r="C13058" s="17" t="s">
        <v>3614</v>
      </c>
      <c r="D13058" s="17" t="s">
        <v>1407</v>
      </c>
      <c r="E13058" s="17" t="s">
        <v>3756</v>
      </c>
      <c r="F13058" s="17"/>
      <c r="G13058" s="18" t="n">
        <v>1.51</v>
      </c>
      <c r="H13058" s="18" t="n">
        <v>0</v>
      </c>
      <c r="I13058" s="18" t="n">
        <f aca="false">((I13057 + G13058) - H13058)</f>
        <v>6127.15</v>
      </c>
      <c r="J13058" s="18" t="n">
        <v>0</v>
      </c>
      <c r="K13058" s="19" t="n">
        <v>0</v>
      </c>
      <c r="L13058" s="17"/>
    </row>
    <row r="13059" s="11" customFormat="true" ht="10.95" hidden="false" customHeight="true" outlineLevel="0" collapsed="false">
      <c r="A13059" s="16" t="n">
        <v>45300</v>
      </c>
      <c r="B13059" s="17" t="s">
        <v>4548</v>
      </c>
      <c r="C13059" s="17" t="s">
        <v>3614</v>
      </c>
      <c r="D13059" s="17" t="s">
        <v>1391</v>
      </c>
      <c r="E13059" s="17" t="s">
        <v>3639</v>
      </c>
      <c r="F13059" s="17" t="s">
        <v>1642</v>
      </c>
      <c r="G13059" s="18" t="n">
        <v>3.64</v>
      </c>
      <c r="H13059" s="18" t="n">
        <v>0</v>
      </c>
      <c r="I13059" s="18" t="n">
        <f aca="false">((I13058 + G13059) - H13059)</f>
        <v>6130.79</v>
      </c>
      <c r="J13059" s="18" t="n">
        <v>0</v>
      </c>
      <c r="K13059" s="19" t="n">
        <v>0</v>
      </c>
      <c r="L13059" s="17"/>
    </row>
    <row r="13060" s="11" customFormat="true" ht="10.95" hidden="false" customHeight="true" outlineLevel="0" collapsed="false">
      <c r="A13060" s="16" t="n">
        <v>45300</v>
      </c>
      <c r="B13060" s="17" t="s">
        <v>4548</v>
      </c>
      <c r="C13060" s="17" t="s">
        <v>3614</v>
      </c>
      <c r="D13060" s="17" t="s">
        <v>1407</v>
      </c>
      <c r="E13060" s="17" t="s">
        <v>3626</v>
      </c>
      <c r="F13060" s="17"/>
      <c r="G13060" s="18" t="n">
        <v>6.5</v>
      </c>
      <c r="H13060" s="18" t="n">
        <v>0</v>
      </c>
      <c r="I13060" s="18" t="n">
        <f aca="false">((I13059 + G13060) - H13060)</f>
        <v>6137.29</v>
      </c>
      <c r="J13060" s="18" t="n">
        <v>0</v>
      </c>
      <c r="K13060" s="19" t="n">
        <v>0</v>
      </c>
      <c r="L13060" s="17"/>
    </row>
    <row r="13061" s="11" customFormat="true" ht="10.95" hidden="false" customHeight="true" outlineLevel="0" collapsed="false">
      <c r="A13061" s="16" t="n">
        <v>45300</v>
      </c>
      <c r="B13061" s="17" t="s">
        <v>4548</v>
      </c>
      <c r="C13061" s="17" t="s">
        <v>3614</v>
      </c>
      <c r="D13061" s="17" t="s">
        <v>1407</v>
      </c>
      <c r="E13061" s="17" t="s">
        <v>4197</v>
      </c>
      <c r="F13061" s="17"/>
      <c r="G13061" s="18" t="n">
        <v>14.55</v>
      </c>
      <c r="H13061" s="18" t="n">
        <v>0</v>
      </c>
      <c r="I13061" s="18" t="n">
        <f aca="false">((I13060 + G13061) - H13061)</f>
        <v>6151.84</v>
      </c>
      <c r="J13061" s="18" t="n">
        <v>0</v>
      </c>
      <c r="K13061" s="19" t="n">
        <v>0</v>
      </c>
      <c r="L13061" s="17"/>
    </row>
    <row r="13062" s="11" customFormat="true" ht="10.95" hidden="false" customHeight="true" outlineLevel="0" collapsed="false">
      <c r="A13062" s="16" t="n">
        <v>45300</v>
      </c>
      <c r="B13062" s="17" t="s">
        <v>4548</v>
      </c>
      <c r="C13062" s="17" t="s">
        <v>3614</v>
      </c>
      <c r="D13062" s="17" t="s">
        <v>1391</v>
      </c>
      <c r="E13062" s="17" t="s">
        <v>3638</v>
      </c>
      <c r="F13062" s="17" t="s">
        <v>3288</v>
      </c>
      <c r="G13062" s="18" t="n">
        <v>384.3</v>
      </c>
      <c r="H13062" s="18" t="n">
        <v>0</v>
      </c>
      <c r="I13062" s="18" t="n">
        <f aca="false">((I13061 + G13062) - H13062)</f>
        <v>6536.14</v>
      </c>
      <c r="J13062" s="18" t="n">
        <v>0</v>
      </c>
      <c r="K13062" s="19" t="n">
        <v>0</v>
      </c>
      <c r="L13062" s="17"/>
    </row>
    <row r="13063" s="11" customFormat="true" ht="10.95" hidden="false" customHeight="true" outlineLevel="0" collapsed="false">
      <c r="A13063" s="16" t="n">
        <v>45300</v>
      </c>
      <c r="B13063" s="17" t="s">
        <v>4548</v>
      </c>
      <c r="C13063" s="17" t="s">
        <v>3614</v>
      </c>
      <c r="D13063" s="17" t="s">
        <v>1391</v>
      </c>
      <c r="E13063" s="17" t="s">
        <v>3647</v>
      </c>
      <c r="F13063" s="17" t="s">
        <v>1497</v>
      </c>
      <c r="G13063" s="18" t="n">
        <v>7.1</v>
      </c>
      <c r="H13063" s="18" t="n">
        <v>0</v>
      </c>
      <c r="I13063" s="18" t="n">
        <f aca="false">((I13062 + G13063) - H13063)</f>
        <v>6543.24</v>
      </c>
      <c r="J13063" s="18" t="n">
        <v>0</v>
      </c>
      <c r="K13063" s="19" t="n">
        <v>0</v>
      </c>
      <c r="L13063" s="17"/>
    </row>
    <row r="13064" s="11" customFormat="true" ht="10.95" hidden="false" customHeight="true" outlineLevel="0" collapsed="false">
      <c r="A13064" s="16" t="n">
        <v>45300</v>
      </c>
      <c r="B13064" s="17" t="s">
        <v>4548</v>
      </c>
      <c r="C13064" s="17" t="s">
        <v>3614</v>
      </c>
      <c r="D13064" s="17" t="s">
        <v>1391</v>
      </c>
      <c r="E13064" s="17" t="s">
        <v>3647</v>
      </c>
      <c r="F13064" s="17" t="s">
        <v>3208</v>
      </c>
      <c r="G13064" s="18" t="n">
        <v>294.5</v>
      </c>
      <c r="H13064" s="18" t="n">
        <v>0</v>
      </c>
      <c r="I13064" s="18" t="n">
        <f aca="false">((I13063 + G13064) - H13064)</f>
        <v>6837.74</v>
      </c>
      <c r="J13064" s="18" t="n">
        <v>0</v>
      </c>
      <c r="K13064" s="19" t="n">
        <v>0</v>
      </c>
      <c r="L13064" s="17"/>
    </row>
    <row r="13065" s="11" customFormat="true" ht="10.95" hidden="false" customHeight="true" outlineLevel="0" collapsed="false">
      <c r="A13065" s="16" t="n">
        <v>45300</v>
      </c>
      <c r="B13065" s="17" t="s">
        <v>4548</v>
      </c>
      <c r="C13065" s="17" t="s">
        <v>3614</v>
      </c>
      <c r="D13065" s="17" t="s">
        <v>1391</v>
      </c>
      <c r="E13065" s="17" t="s">
        <v>3674</v>
      </c>
      <c r="F13065" s="17" t="s">
        <v>3210</v>
      </c>
      <c r="G13065" s="18" t="n">
        <v>351.62</v>
      </c>
      <c r="H13065" s="18" t="n">
        <v>0</v>
      </c>
      <c r="I13065" s="18" t="n">
        <f aca="false">((I13064 + G13065) - H13065)</f>
        <v>7189.36</v>
      </c>
      <c r="J13065" s="18" t="n">
        <v>0</v>
      </c>
      <c r="K13065" s="19" t="n">
        <v>0</v>
      </c>
      <c r="L13065" s="17"/>
    </row>
    <row r="13066" s="11" customFormat="true" ht="10.95" hidden="false" customHeight="true" outlineLevel="0" collapsed="false">
      <c r="A13066" s="16" t="n">
        <v>45301</v>
      </c>
      <c r="B13066" s="17" t="s">
        <v>4548</v>
      </c>
      <c r="C13066" s="17" t="s">
        <v>3614</v>
      </c>
      <c r="D13066" s="17" t="s">
        <v>1407</v>
      </c>
      <c r="E13066" s="17" t="s">
        <v>3896</v>
      </c>
      <c r="F13066" s="17"/>
      <c r="G13066" s="18" t="n">
        <v>1.91</v>
      </c>
      <c r="H13066" s="18" t="n">
        <v>0</v>
      </c>
      <c r="I13066" s="18" t="n">
        <f aca="false">((I13065 + G13066) - H13066)</f>
        <v>7191.27</v>
      </c>
      <c r="J13066" s="18" t="n">
        <v>0</v>
      </c>
      <c r="K13066" s="19" t="n">
        <v>0</v>
      </c>
      <c r="L13066" s="17"/>
    </row>
    <row r="13067" s="11" customFormat="true" ht="10.95" hidden="false" customHeight="true" outlineLevel="0" collapsed="false">
      <c r="A13067" s="16" t="n">
        <v>45305</v>
      </c>
      <c r="B13067" s="17" t="s">
        <v>4548</v>
      </c>
      <c r="C13067" s="17" t="s">
        <v>3614</v>
      </c>
      <c r="D13067" s="17" t="s">
        <v>1391</v>
      </c>
      <c r="E13067" s="17" t="s">
        <v>3641</v>
      </c>
      <c r="F13067" s="17" t="s">
        <v>2682</v>
      </c>
      <c r="G13067" s="18" t="n">
        <v>14.74</v>
      </c>
      <c r="H13067" s="18" t="n">
        <v>0</v>
      </c>
      <c r="I13067" s="18" t="n">
        <f aca="false">((I13066 + G13067) - H13067)</f>
        <v>7206.01</v>
      </c>
      <c r="J13067" s="18" t="n">
        <v>0</v>
      </c>
      <c r="K13067" s="19" t="n">
        <v>0</v>
      </c>
      <c r="L13067" s="17"/>
    </row>
    <row r="13068" s="11" customFormat="true" ht="10.95" hidden="false" customHeight="true" outlineLevel="0" collapsed="false">
      <c r="A13068" s="16" t="n">
        <v>45306</v>
      </c>
      <c r="B13068" s="17" t="s">
        <v>4548</v>
      </c>
      <c r="C13068" s="17" t="s">
        <v>3614</v>
      </c>
      <c r="D13068" s="17" t="s">
        <v>1391</v>
      </c>
      <c r="E13068" s="17" t="s">
        <v>3703</v>
      </c>
      <c r="F13068" s="17" t="s">
        <v>1642</v>
      </c>
      <c r="G13068" s="18" t="n">
        <v>6.5</v>
      </c>
      <c r="H13068" s="18" t="n">
        <v>0</v>
      </c>
      <c r="I13068" s="18" t="n">
        <f aca="false">((I13067 + G13068) - H13068)</f>
        <v>7212.51</v>
      </c>
      <c r="J13068" s="18" t="n">
        <v>0</v>
      </c>
      <c r="K13068" s="19" t="n">
        <v>0</v>
      </c>
      <c r="L13068" s="17"/>
    </row>
    <row r="13069" s="11" customFormat="true" ht="10.95" hidden="false" customHeight="true" outlineLevel="0" collapsed="false">
      <c r="A13069" s="16" t="n">
        <v>45307</v>
      </c>
      <c r="B13069" s="17" t="s">
        <v>4548</v>
      </c>
      <c r="C13069" s="17" t="s">
        <v>3614</v>
      </c>
      <c r="D13069" s="17" t="s">
        <v>1407</v>
      </c>
      <c r="E13069" s="17" t="s">
        <v>3899</v>
      </c>
      <c r="F13069" s="17"/>
      <c r="G13069" s="18" t="n">
        <v>1.44</v>
      </c>
      <c r="H13069" s="18" t="n">
        <v>0</v>
      </c>
      <c r="I13069" s="18" t="n">
        <f aca="false">((I13068 + G13069) - H13069)</f>
        <v>7213.95</v>
      </c>
      <c r="J13069" s="18" t="n">
        <v>0</v>
      </c>
      <c r="K13069" s="19" t="n">
        <v>0</v>
      </c>
      <c r="L13069" s="17"/>
    </row>
    <row r="13070" s="11" customFormat="true" ht="10.95" hidden="false" customHeight="true" outlineLevel="0" collapsed="false">
      <c r="A13070" s="16" t="n">
        <v>45307</v>
      </c>
      <c r="B13070" s="17" t="s">
        <v>4548</v>
      </c>
      <c r="C13070" s="17" t="s">
        <v>3614</v>
      </c>
      <c r="D13070" s="17" t="s">
        <v>1407</v>
      </c>
      <c r="E13070" s="17" t="s">
        <v>3882</v>
      </c>
      <c r="F13070" s="17"/>
      <c r="G13070" s="18" t="n">
        <v>20.7</v>
      </c>
      <c r="H13070" s="18" t="n">
        <v>0</v>
      </c>
      <c r="I13070" s="18" t="n">
        <f aca="false">((I13069 + G13070) - H13070)</f>
        <v>7234.65</v>
      </c>
      <c r="J13070" s="18" t="n">
        <v>0</v>
      </c>
      <c r="K13070" s="19" t="n">
        <v>0</v>
      </c>
      <c r="L13070" s="17"/>
    </row>
    <row r="13071" s="11" customFormat="true" ht="10.95" hidden="false" customHeight="true" outlineLevel="0" collapsed="false">
      <c r="A13071" s="16" t="n">
        <v>45308</v>
      </c>
      <c r="B13071" s="17" t="s">
        <v>4548</v>
      </c>
      <c r="C13071" s="17" t="s">
        <v>3614</v>
      </c>
      <c r="D13071" s="17" t="s">
        <v>1391</v>
      </c>
      <c r="E13071" s="17" t="s">
        <v>3638</v>
      </c>
      <c r="F13071" s="17" t="s">
        <v>3213</v>
      </c>
      <c r="G13071" s="18" t="n">
        <v>19.9</v>
      </c>
      <c r="H13071" s="18" t="n">
        <v>0</v>
      </c>
      <c r="I13071" s="18" t="n">
        <f aca="false">((I13070 + G13071) - H13071)</f>
        <v>7254.55</v>
      </c>
      <c r="J13071" s="18" t="n">
        <v>0</v>
      </c>
      <c r="K13071" s="19" t="n">
        <v>0</v>
      </c>
      <c r="L13071" s="17"/>
    </row>
    <row r="13072" s="11" customFormat="true" ht="10.95" hidden="false" customHeight="true" outlineLevel="0" collapsed="false">
      <c r="A13072" s="16" t="n">
        <v>45309</v>
      </c>
      <c r="B13072" s="17" t="s">
        <v>4548</v>
      </c>
      <c r="C13072" s="17" t="s">
        <v>3614</v>
      </c>
      <c r="D13072" s="17" t="s">
        <v>1391</v>
      </c>
      <c r="E13072" s="17" t="s">
        <v>3642</v>
      </c>
      <c r="F13072" s="17" t="s">
        <v>2443</v>
      </c>
      <c r="G13072" s="18" t="n">
        <v>19.98</v>
      </c>
      <c r="H13072" s="18" t="n">
        <v>0</v>
      </c>
      <c r="I13072" s="18" t="n">
        <f aca="false">((I13071 + G13072) - H13072)</f>
        <v>7274.53</v>
      </c>
      <c r="J13072" s="18" t="n">
        <v>0</v>
      </c>
      <c r="K13072" s="19" t="n">
        <v>0</v>
      </c>
      <c r="L13072" s="17"/>
    </row>
    <row r="13073" s="11" customFormat="true" ht="10.95" hidden="false" customHeight="true" outlineLevel="0" collapsed="false">
      <c r="A13073" s="16" t="n">
        <v>45309</v>
      </c>
      <c r="B13073" s="17" t="s">
        <v>4548</v>
      </c>
      <c r="C13073" s="17" t="s">
        <v>3614</v>
      </c>
      <c r="D13073" s="17" t="s">
        <v>1391</v>
      </c>
      <c r="E13073" s="17" t="s">
        <v>3642</v>
      </c>
      <c r="F13073" s="17" t="s">
        <v>2445</v>
      </c>
      <c r="G13073" s="18" t="n">
        <v>5.5</v>
      </c>
      <c r="H13073" s="18" t="n">
        <v>0</v>
      </c>
      <c r="I13073" s="18" t="n">
        <f aca="false">((I13072 + G13073) - H13073)</f>
        <v>7280.03</v>
      </c>
      <c r="J13073" s="18" t="n">
        <v>0</v>
      </c>
      <c r="K13073" s="19" t="n">
        <v>0</v>
      </c>
      <c r="L13073" s="17"/>
    </row>
    <row r="13074" s="11" customFormat="true" ht="10.95" hidden="false" customHeight="true" outlineLevel="0" collapsed="false">
      <c r="A13074" s="16" t="n">
        <v>45309</v>
      </c>
      <c r="B13074" s="17" t="s">
        <v>4548</v>
      </c>
      <c r="C13074" s="17" t="s">
        <v>3614</v>
      </c>
      <c r="D13074" s="17" t="s">
        <v>1391</v>
      </c>
      <c r="E13074" s="17" t="s">
        <v>3642</v>
      </c>
      <c r="F13074" s="17" t="s">
        <v>2447</v>
      </c>
      <c r="G13074" s="18" t="n">
        <v>7.6</v>
      </c>
      <c r="H13074" s="18" t="n">
        <v>0</v>
      </c>
      <c r="I13074" s="18" t="n">
        <f aca="false">((I13073 + G13074) - H13074)</f>
        <v>7287.63</v>
      </c>
      <c r="J13074" s="18" t="n">
        <v>0</v>
      </c>
      <c r="K13074" s="19" t="n">
        <v>0</v>
      </c>
      <c r="L13074" s="17"/>
    </row>
    <row r="13075" s="11" customFormat="true" ht="10.95" hidden="false" customHeight="true" outlineLevel="0" collapsed="false">
      <c r="A13075" s="16" t="n">
        <v>45309</v>
      </c>
      <c r="B13075" s="17" t="s">
        <v>4548</v>
      </c>
      <c r="C13075" s="17" t="s">
        <v>3614</v>
      </c>
      <c r="D13075" s="17" t="s">
        <v>1391</v>
      </c>
      <c r="E13075" s="17" t="s">
        <v>3642</v>
      </c>
      <c r="F13075" s="17" t="s">
        <v>2449</v>
      </c>
      <c r="G13075" s="18" t="n">
        <v>4.12</v>
      </c>
      <c r="H13075" s="18" t="n">
        <v>0</v>
      </c>
      <c r="I13075" s="18" t="n">
        <f aca="false">((I13074 + G13075) - H13075)</f>
        <v>7291.75</v>
      </c>
      <c r="J13075" s="18" t="n">
        <v>0</v>
      </c>
      <c r="K13075" s="19" t="n">
        <v>0</v>
      </c>
      <c r="L13075" s="17"/>
    </row>
    <row r="13076" s="11" customFormat="true" ht="10.95" hidden="false" customHeight="true" outlineLevel="0" collapsed="false">
      <c r="A13076" s="16" t="n">
        <v>45309</v>
      </c>
      <c r="B13076" s="17" t="s">
        <v>4548</v>
      </c>
      <c r="C13076" s="17" t="s">
        <v>3614</v>
      </c>
      <c r="D13076" s="17" t="s">
        <v>1391</v>
      </c>
      <c r="E13076" s="17" t="s">
        <v>3642</v>
      </c>
      <c r="F13076" s="17" t="s">
        <v>2451</v>
      </c>
      <c r="G13076" s="18" t="n">
        <v>0.82</v>
      </c>
      <c r="H13076" s="18" t="n">
        <v>0</v>
      </c>
      <c r="I13076" s="18" t="n">
        <f aca="false">((I13075 + G13076) - H13076)</f>
        <v>7292.57</v>
      </c>
      <c r="J13076" s="18" t="n">
        <v>0</v>
      </c>
      <c r="K13076" s="19" t="n">
        <v>0</v>
      </c>
      <c r="L13076" s="17"/>
    </row>
    <row r="13077" s="11" customFormat="true" ht="10.95" hidden="false" customHeight="true" outlineLevel="0" collapsed="false">
      <c r="A13077" s="16" t="n">
        <v>45309</v>
      </c>
      <c r="B13077" s="17" t="s">
        <v>4548</v>
      </c>
      <c r="C13077" s="17" t="s">
        <v>3614</v>
      </c>
      <c r="D13077" s="17" t="s">
        <v>1391</v>
      </c>
      <c r="E13077" s="17" t="s">
        <v>3642</v>
      </c>
      <c r="F13077" s="17" t="s">
        <v>2453</v>
      </c>
      <c r="G13077" s="18" t="n">
        <v>3.29</v>
      </c>
      <c r="H13077" s="18" t="n">
        <v>0</v>
      </c>
      <c r="I13077" s="18" t="n">
        <f aca="false">((I13076 + G13077) - H13077)</f>
        <v>7295.86</v>
      </c>
      <c r="J13077" s="18" t="n">
        <v>0</v>
      </c>
      <c r="K13077" s="19" t="n">
        <v>0</v>
      </c>
      <c r="L13077" s="17"/>
    </row>
    <row r="13078" s="11" customFormat="true" ht="10.95" hidden="false" customHeight="true" outlineLevel="0" collapsed="false">
      <c r="A13078" s="16" t="n">
        <v>45309</v>
      </c>
      <c r="B13078" s="17" t="s">
        <v>4548</v>
      </c>
      <c r="C13078" s="17" t="s">
        <v>3614</v>
      </c>
      <c r="D13078" s="17" t="s">
        <v>1391</v>
      </c>
      <c r="E13078" s="17" t="s">
        <v>3642</v>
      </c>
      <c r="F13078" s="17" t="s">
        <v>2455</v>
      </c>
      <c r="G13078" s="18" t="n">
        <v>6.2</v>
      </c>
      <c r="H13078" s="18" t="n">
        <v>0</v>
      </c>
      <c r="I13078" s="18" t="n">
        <f aca="false">((I13077 + G13078) - H13078)</f>
        <v>7302.06</v>
      </c>
      <c r="J13078" s="18" t="n">
        <v>0</v>
      </c>
      <c r="K13078" s="19" t="n">
        <v>0</v>
      </c>
      <c r="L13078" s="17"/>
    </row>
    <row r="13079" s="11" customFormat="true" ht="10.95" hidden="false" customHeight="true" outlineLevel="0" collapsed="false">
      <c r="A13079" s="16" t="n">
        <v>45309</v>
      </c>
      <c r="B13079" s="17" t="s">
        <v>4548</v>
      </c>
      <c r="C13079" s="17" t="s">
        <v>3614</v>
      </c>
      <c r="D13079" s="17" t="s">
        <v>1391</v>
      </c>
      <c r="E13079" s="17" t="s">
        <v>3642</v>
      </c>
      <c r="F13079" s="17" t="s">
        <v>2457</v>
      </c>
      <c r="G13079" s="18" t="n">
        <v>2.2</v>
      </c>
      <c r="H13079" s="18" t="n">
        <v>0</v>
      </c>
      <c r="I13079" s="18" t="n">
        <f aca="false">((I13078 + G13079) - H13079)</f>
        <v>7304.26</v>
      </c>
      <c r="J13079" s="18" t="n">
        <v>0</v>
      </c>
      <c r="K13079" s="19" t="n">
        <v>0</v>
      </c>
      <c r="L13079" s="17"/>
    </row>
    <row r="13080" s="11" customFormat="true" ht="10.95" hidden="false" customHeight="true" outlineLevel="0" collapsed="false">
      <c r="A13080" s="16" t="n">
        <v>45309</v>
      </c>
      <c r="B13080" s="17" t="s">
        <v>4548</v>
      </c>
      <c r="C13080" s="17" t="s">
        <v>3614</v>
      </c>
      <c r="D13080" s="17" t="s">
        <v>1407</v>
      </c>
      <c r="E13080" s="17" t="s">
        <v>3900</v>
      </c>
      <c r="F13080" s="17"/>
      <c r="G13080" s="18" t="n">
        <v>1.54</v>
      </c>
      <c r="H13080" s="18" t="n">
        <v>0</v>
      </c>
      <c r="I13080" s="18" t="n">
        <f aca="false">((I13079 + G13080) - H13080)</f>
        <v>7305.8</v>
      </c>
      <c r="J13080" s="18" t="n">
        <v>0</v>
      </c>
      <c r="K13080" s="19" t="n">
        <v>0</v>
      </c>
      <c r="L13080" s="17"/>
    </row>
    <row r="13081" s="11" customFormat="true" ht="10.95" hidden="false" customHeight="true" outlineLevel="0" collapsed="false">
      <c r="A13081" s="16" t="n">
        <v>45309</v>
      </c>
      <c r="B13081" s="17" t="s">
        <v>4548</v>
      </c>
      <c r="C13081" s="17" t="s">
        <v>3614</v>
      </c>
      <c r="D13081" s="17" t="s">
        <v>1407</v>
      </c>
      <c r="E13081" s="17" t="s">
        <v>3901</v>
      </c>
      <c r="F13081" s="17"/>
      <c r="G13081" s="18" t="n">
        <v>7.34</v>
      </c>
      <c r="H13081" s="18" t="n">
        <v>0</v>
      </c>
      <c r="I13081" s="18" t="n">
        <f aca="false">((I13080 + G13081) - H13081)</f>
        <v>7313.14</v>
      </c>
      <c r="J13081" s="18" t="n">
        <v>0</v>
      </c>
      <c r="K13081" s="19" t="n">
        <v>0</v>
      </c>
      <c r="L13081" s="17"/>
    </row>
    <row r="13082" s="11" customFormat="true" ht="10.95" hidden="false" customHeight="true" outlineLevel="0" collapsed="false">
      <c r="A13082" s="16" t="n">
        <v>45309</v>
      </c>
      <c r="B13082" s="17" t="s">
        <v>4548</v>
      </c>
      <c r="C13082" s="17" t="s">
        <v>3614</v>
      </c>
      <c r="D13082" s="17" t="s">
        <v>1407</v>
      </c>
      <c r="E13082" s="17" t="s">
        <v>3902</v>
      </c>
      <c r="F13082" s="17"/>
      <c r="G13082" s="18" t="n">
        <v>24.77</v>
      </c>
      <c r="H13082" s="18" t="n">
        <v>0</v>
      </c>
      <c r="I13082" s="18" t="n">
        <f aca="false">((I13081 + G13082) - H13082)</f>
        <v>7337.91</v>
      </c>
      <c r="J13082" s="18" t="n">
        <v>0</v>
      </c>
      <c r="K13082" s="19" t="n">
        <v>0</v>
      </c>
      <c r="L13082" s="17"/>
    </row>
    <row r="13083" s="11" customFormat="true" ht="10.95" hidden="false" customHeight="true" outlineLevel="0" collapsed="false">
      <c r="A13083" s="16" t="n">
        <v>45311</v>
      </c>
      <c r="B13083" s="17" t="s">
        <v>4548</v>
      </c>
      <c r="C13083" s="17" t="s">
        <v>3614</v>
      </c>
      <c r="D13083" s="17" t="s">
        <v>1391</v>
      </c>
      <c r="E13083" s="17" t="s">
        <v>3668</v>
      </c>
      <c r="F13083" s="17" t="s">
        <v>2459</v>
      </c>
      <c r="G13083" s="18" t="n">
        <v>8.82</v>
      </c>
      <c r="H13083" s="18" t="n">
        <v>0</v>
      </c>
      <c r="I13083" s="18" t="n">
        <f aca="false">((I13082 + G13083) - H13083)</f>
        <v>7346.73</v>
      </c>
      <c r="J13083" s="18" t="n">
        <v>0</v>
      </c>
      <c r="K13083" s="19" t="n">
        <v>0</v>
      </c>
      <c r="L13083" s="17"/>
    </row>
    <row r="13084" s="11" customFormat="true" ht="10.95" hidden="false" customHeight="true" outlineLevel="0" collapsed="false">
      <c r="A13084" s="16" t="n">
        <v>45312</v>
      </c>
      <c r="B13084" s="17" t="s">
        <v>4548</v>
      </c>
      <c r="C13084" s="17" t="s">
        <v>3614</v>
      </c>
      <c r="D13084" s="17" t="s">
        <v>1276</v>
      </c>
      <c r="E13084" s="17" t="s">
        <v>3810</v>
      </c>
      <c r="F13084" s="17"/>
      <c r="G13084" s="18" t="n">
        <v>0</v>
      </c>
      <c r="H13084" s="18" t="n">
        <v>885.36</v>
      </c>
      <c r="I13084" s="18" t="n">
        <f aca="false">((I13083 + G13084) - H13084)</f>
        <v>6461.37</v>
      </c>
      <c r="J13084" s="18" t="n">
        <v>0</v>
      </c>
      <c r="K13084" s="19" t="n">
        <v>0</v>
      </c>
      <c r="L13084" s="17"/>
    </row>
    <row r="13085" s="11" customFormat="true" ht="10.95" hidden="false" customHeight="true" outlineLevel="0" collapsed="false">
      <c r="A13085" s="16" t="n">
        <v>45313</v>
      </c>
      <c r="B13085" s="17" t="s">
        <v>4548</v>
      </c>
      <c r="C13085" s="17" t="s">
        <v>3614</v>
      </c>
      <c r="D13085" s="17" t="s">
        <v>1391</v>
      </c>
      <c r="E13085" s="17" t="s">
        <v>3638</v>
      </c>
      <c r="F13085" s="17" t="s">
        <v>3291</v>
      </c>
      <c r="G13085" s="18" t="n">
        <v>264.1</v>
      </c>
      <c r="H13085" s="18" t="n">
        <v>0</v>
      </c>
      <c r="I13085" s="18" t="n">
        <f aca="false">((I13084 + G13085) - H13085)</f>
        <v>6725.47</v>
      </c>
      <c r="J13085" s="18" t="n">
        <v>0</v>
      </c>
      <c r="K13085" s="19" t="n">
        <v>0</v>
      </c>
      <c r="L13085" s="17"/>
    </row>
    <row r="13086" s="11" customFormat="true" ht="10.95" hidden="false" customHeight="true" outlineLevel="0" collapsed="false">
      <c r="A13086" s="16" t="n">
        <v>45313</v>
      </c>
      <c r="B13086" s="17" t="s">
        <v>4548</v>
      </c>
      <c r="C13086" s="17" t="s">
        <v>3614</v>
      </c>
      <c r="D13086" s="17" t="s">
        <v>1391</v>
      </c>
      <c r="E13086" s="17" t="s">
        <v>1536</v>
      </c>
      <c r="F13086" s="17" t="s">
        <v>2461</v>
      </c>
      <c r="G13086" s="18" t="n">
        <v>25.79</v>
      </c>
      <c r="H13086" s="18" t="n">
        <v>0</v>
      </c>
      <c r="I13086" s="18" t="n">
        <f aca="false">((I13085 + G13086) - H13086)</f>
        <v>6751.26</v>
      </c>
      <c r="J13086" s="18" t="n">
        <v>0</v>
      </c>
      <c r="K13086" s="19" t="n">
        <v>0</v>
      </c>
      <c r="L13086" s="17"/>
    </row>
    <row r="13087" s="11" customFormat="true" ht="10.95" hidden="false" customHeight="true" outlineLevel="0" collapsed="false">
      <c r="A13087" s="16" t="n">
        <v>45314</v>
      </c>
      <c r="B13087" s="17" t="s">
        <v>4548</v>
      </c>
      <c r="C13087" s="17" t="s">
        <v>3614</v>
      </c>
      <c r="D13087" s="17" t="s">
        <v>1407</v>
      </c>
      <c r="E13087" s="17" t="s">
        <v>3804</v>
      </c>
      <c r="F13087" s="17"/>
      <c r="G13087" s="18" t="n">
        <v>3.64</v>
      </c>
      <c r="H13087" s="18" t="n">
        <v>0</v>
      </c>
      <c r="I13087" s="18" t="n">
        <f aca="false">((I13086 + G13087) - H13087)</f>
        <v>6754.9</v>
      </c>
      <c r="J13087" s="18" t="n">
        <v>0</v>
      </c>
      <c r="K13087" s="19" t="n">
        <v>0</v>
      </c>
      <c r="L13087" s="17"/>
    </row>
    <row r="13088" s="11" customFormat="true" ht="10.95" hidden="false" customHeight="true" outlineLevel="0" collapsed="false">
      <c r="A13088" s="16" t="n">
        <v>45315</v>
      </c>
      <c r="B13088" s="17" t="s">
        <v>4548</v>
      </c>
      <c r="C13088" s="17" t="s">
        <v>3614</v>
      </c>
      <c r="D13088" s="17" t="s">
        <v>1407</v>
      </c>
      <c r="E13088" s="17" t="s">
        <v>3621</v>
      </c>
      <c r="F13088" s="17"/>
      <c r="G13088" s="18" t="n">
        <v>9.54</v>
      </c>
      <c r="H13088" s="18" t="n">
        <v>0</v>
      </c>
      <c r="I13088" s="18" t="n">
        <f aca="false">((I13087 + G13088) - H13088)</f>
        <v>6764.44</v>
      </c>
      <c r="J13088" s="18" t="n">
        <v>0</v>
      </c>
      <c r="K13088" s="19" t="n">
        <v>0</v>
      </c>
      <c r="L13088" s="17"/>
    </row>
    <row r="13089" s="11" customFormat="true" ht="10.95" hidden="false" customHeight="true" outlineLevel="0" collapsed="false">
      <c r="A13089" s="16" t="n">
        <v>45315</v>
      </c>
      <c r="B13089" s="17" t="s">
        <v>4548</v>
      </c>
      <c r="C13089" s="17" t="s">
        <v>3614</v>
      </c>
      <c r="D13089" s="17" t="s">
        <v>1407</v>
      </c>
      <c r="E13089" s="17" t="s">
        <v>3907</v>
      </c>
      <c r="F13089" s="17"/>
      <c r="G13089" s="18" t="n">
        <v>1.77</v>
      </c>
      <c r="H13089" s="18" t="n">
        <v>0</v>
      </c>
      <c r="I13089" s="18" t="n">
        <f aca="false">((I13088 + G13089) - H13089)</f>
        <v>6766.21</v>
      </c>
      <c r="J13089" s="18" t="n">
        <v>0</v>
      </c>
      <c r="K13089" s="19" t="n">
        <v>0</v>
      </c>
      <c r="L13089" s="17"/>
    </row>
    <row r="13090" s="11" customFormat="true" ht="10.95" hidden="false" customHeight="true" outlineLevel="0" collapsed="false">
      <c r="A13090" s="16" t="n">
        <v>45316</v>
      </c>
      <c r="B13090" s="17" t="s">
        <v>4548</v>
      </c>
      <c r="C13090" s="17" t="s">
        <v>3614</v>
      </c>
      <c r="D13090" s="17" t="s">
        <v>19</v>
      </c>
      <c r="E13090" s="17" t="s">
        <v>3501</v>
      </c>
      <c r="F13090" s="17" t="s">
        <v>433</v>
      </c>
      <c r="G13090" s="18" t="n">
        <v>0</v>
      </c>
      <c r="H13090" s="18" t="n">
        <v>14.3</v>
      </c>
      <c r="I13090" s="18" t="n">
        <f aca="false">((I13089 + G13090) - H13090)</f>
        <v>6751.91</v>
      </c>
      <c r="J13090" s="18" t="n">
        <v>0</v>
      </c>
      <c r="K13090" s="19" t="n">
        <v>0</v>
      </c>
      <c r="L13090" s="17"/>
    </row>
    <row r="13091" s="11" customFormat="true" ht="10.95" hidden="false" customHeight="true" outlineLevel="0" collapsed="false">
      <c r="A13091" s="16" t="n">
        <v>45316</v>
      </c>
      <c r="B13091" s="17" t="s">
        <v>4548</v>
      </c>
      <c r="C13091" s="17" t="s">
        <v>3614</v>
      </c>
      <c r="D13091" s="17" t="s">
        <v>19</v>
      </c>
      <c r="E13091" s="17" t="s">
        <v>3502</v>
      </c>
      <c r="F13091" s="17" t="s">
        <v>434</v>
      </c>
      <c r="G13091" s="18" t="n">
        <v>0</v>
      </c>
      <c r="H13091" s="18" t="n">
        <v>18.15</v>
      </c>
      <c r="I13091" s="18" t="n">
        <f aca="false">((I13090 + G13091) - H13091)</f>
        <v>6733.76</v>
      </c>
      <c r="J13091" s="18" t="n">
        <v>0</v>
      </c>
      <c r="K13091" s="19" t="n">
        <v>0</v>
      </c>
      <c r="L13091" s="17"/>
    </row>
    <row r="13092" s="11" customFormat="true" ht="10.95" hidden="false" customHeight="true" outlineLevel="0" collapsed="false">
      <c r="A13092" s="16" t="n">
        <v>45316</v>
      </c>
      <c r="B13092" s="17" t="s">
        <v>4548</v>
      </c>
      <c r="C13092" s="17" t="s">
        <v>3614</v>
      </c>
      <c r="D13092" s="17" t="s">
        <v>19</v>
      </c>
      <c r="E13092" s="17" t="s">
        <v>3490</v>
      </c>
      <c r="F13092" s="17" t="s">
        <v>435</v>
      </c>
      <c r="G13092" s="18" t="n">
        <v>0</v>
      </c>
      <c r="H13092" s="18" t="n">
        <v>94.05</v>
      </c>
      <c r="I13092" s="18" t="n">
        <f aca="false">((I13091 + G13092) - H13092)</f>
        <v>6639.71</v>
      </c>
      <c r="J13092" s="18" t="n">
        <v>0</v>
      </c>
      <c r="K13092" s="19" t="n">
        <v>0</v>
      </c>
      <c r="L13092" s="17"/>
    </row>
    <row r="13093" s="11" customFormat="true" ht="10.95" hidden="false" customHeight="true" outlineLevel="0" collapsed="false">
      <c r="A13093" s="16" t="n">
        <v>45316</v>
      </c>
      <c r="B13093" s="17" t="s">
        <v>4548</v>
      </c>
      <c r="C13093" s="17" t="s">
        <v>3614</v>
      </c>
      <c r="D13093" s="17" t="s">
        <v>19</v>
      </c>
      <c r="E13093" s="17" t="s">
        <v>3424</v>
      </c>
      <c r="F13093" s="17" t="s">
        <v>436</v>
      </c>
      <c r="G13093" s="18" t="n">
        <v>0</v>
      </c>
      <c r="H13093" s="18" t="n">
        <v>37.6</v>
      </c>
      <c r="I13093" s="18" t="n">
        <f aca="false">((I13092 + G13093) - H13093)</f>
        <v>6602.11</v>
      </c>
      <c r="J13093" s="18" t="n">
        <v>0</v>
      </c>
      <c r="K13093" s="19" t="n">
        <v>0</v>
      </c>
      <c r="L13093" s="17"/>
    </row>
    <row r="13094" s="11" customFormat="true" ht="10.95" hidden="false" customHeight="true" outlineLevel="0" collapsed="false">
      <c r="A13094" s="16" t="n">
        <v>45316</v>
      </c>
      <c r="B13094" s="17" t="s">
        <v>4548</v>
      </c>
      <c r="C13094" s="17" t="s">
        <v>3614</v>
      </c>
      <c r="D13094" s="17" t="s">
        <v>19</v>
      </c>
      <c r="E13094" s="17" t="s">
        <v>3426</v>
      </c>
      <c r="F13094" s="17" t="s">
        <v>437</v>
      </c>
      <c r="G13094" s="18" t="n">
        <v>0</v>
      </c>
      <c r="H13094" s="18" t="n">
        <v>126</v>
      </c>
      <c r="I13094" s="18" t="n">
        <f aca="false">((I13093 + G13094) - H13094)</f>
        <v>6476.11</v>
      </c>
      <c r="J13094" s="18" t="n">
        <v>0</v>
      </c>
      <c r="K13094" s="19" t="n">
        <v>0</v>
      </c>
      <c r="L13094" s="17"/>
    </row>
    <row r="13095" s="11" customFormat="true" ht="10.95" hidden="false" customHeight="true" outlineLevel="0" collapsed="false">
      <c r="A13095" s="16" t="n">
        <v>45316</v>
      </c>
      <c r="B13095" s="17" t="s">
        <v>4548</v>
      </c>
      <c r="C13095" s="17" t="s">
        <v>3614</v>
      </c>
      <c r="D13095" s="17" t="s">
        <v>19</v>
      </c>
      <c r="E13095" s="17" t="s">
        <v>3427</v>
      </c>
      <c r="F13095" s="17" t="s">
        <v>438</v>
      </c>
      <c r="G13095" s="18" t="n">
        <v>0</v>
      </c>
      <c r="H13095" s="18" t="n">
        <v>51</v>
      </c>
      <c r="I13095" s="18" t="n">
        <f aca="false">((I13094 + G13095) - H13095)</f>
        <v>6425.11</v>
      </c>
      <c r="J13095" s="18" t="n">
        <v>0</v>
      </c>
      <c r="K13095" s="19" t="n">
        <v>0</v>
      </c>
      <c r="L13095" s="17"/>
    </row>
    <row r="13096" s="11" customFormat="true" ht="10.95" hidden="false" customHeight="true" outlineLevel="0" collapsed="false">
      <c r="A13096" s="16" t="n">
        <v>45316</v>
      </c>
      <c r="B13096" s="17" t="s">
        <v>4548</v>
      </c>
      <c r="C13096" s="17" t="s">
        <v>3614</v>
      </c>
      <c r="D13096" s="17" t="s">
        <v>19</v>
      </c>
      <c r="E13096" s="17" t="s">
        <v>3428</v>
      </c>
      <c r="F13096" s="17" t="s">
        <v>439</v>
      </c>
      <c r="G13096" s="18" t="n">
        <v>0</v>
      </c>
      <c r="H13096" s="18" t="n">
        <v>114.95</v>
      </c>
      <c r="I13096" s="18" t="n">
        <f aca="false">((I13095 + G13096) - H13096)</f>
        <v>6310.16</v>
      </c>
      <c r="J13096" s="18" t="n">
        <v>0</v>
      </c>
      <c r="K13096" s="19" t="n">
        <v>0</v>
      </c>
      <c r="L13096" s="17"/>
    </row>
    <row r="13097" s="11" customFormat="true" ht="10.95" hidden="false" customHeight="true" outlineLevel="0" collapsed="false">
      <c r="A13097" s="16" t="n">
        <v>45316</v>
      </c>
      <c r="B13097" s="17" t="s">
        <v>4548</v>
      </c>
      <c r="C13097" s="17" t="s">
        <v>3614</v>
      </c>
      <c r="D13097" s="17" t="s">
        <v>19</v>
      </c>
      <c r="E13097" s="17" t="s">
        <v>3429</v>
      </c>
      <c r="F13097" s="17" t="s">
        <v>440</v>
      </c>
      <c r="G13097" s="18" t="n">
        <v>0</v>
      </c>
      <c r="H13097" s="18" t="n">
        <v>8.5</v>
      </c>
      <c r="I13097" s="18" t="n">
        <f aca="false">((I13096 + G13097) - H13097)</f>
        <v>6301.66</v>
      </c>
      <c r="J13097" s="18" t="n">
        <v>0</v>
      </c>
      <c r="K13097" s="19" t="n">
        <v>0</v>
      </c>
      <c r="L13097" s="17"/>
    </row>
    <row r="13098" s="11" customFormat="true" ht="10.95" hidden="false" customHeight="true" outlineLevel="0" collapsed="false">
      <c r="A13098" s="16" t="n">
        <v>45316</v>
      </c>
      <c r="B13098" s="17" t="s">
        <v>4548</v>
      </c>
      <c r="C13098" s="17" t="s">
        <v>3614</v>
      </c>
      <c r="D13098" s="17" t="s">
        <v>19</v>
      </c>
      <c r="E13098" s="17" t="s">
        <v>3431</v>
      </c>
      <c r="F13098" s="17" t="s">
        <v>441</v>
      </c>
      <c r="G13098" s="18" t="n">
        <v>0</v>
      </c>
      <c r="H13098" s="18" t="n">
        <v>32.5</v>
      </c>
      <c r="I13098" s="18" t="n">
        <f aca="false">((I13097 + G13098) - H13098)</f>
        <v>6269.16</v>
      </c>
      <c r="J13098" s="18" t="n">
        <v>0</v>
      </c>
      <c r="K13098" s="19" t="n">
        <v>0</v>
      </c>
      <c r="L13098" s="17"/>
    </row>
    <row r="13099" s="11" customFormat="true" ht="10.95" hidden="false" customHeight="true" outlineLevel="0" collapsed="false">
      <c r="A13099" s="16" t="n">
        <v>45316</v>
      </c>
      <c r="B13099" s="17" t="s">
        <v>4548</v>
      </c>
      <c r="C13099" s="17" t="s">
        <v>3614</v>
      </c>
      <c r="D13099" s="17" t="s">
        <v>19</v>
      </c>
      <c r="E13099" s="17" t="s">
        <v>3432</v>
      </c>
      <c r="F13099" s="17" t="s">
        <v>442</v>
      </c>
      <c r="G13099" s="18" t="n">
        <v>0</v>
      </c>
      <c r="H13099" s="18" t="n">
        <v>99.5</v>
      </c>
      <c r="I13099" s="18" t="n">
        <f aca="false">((I13098 + G13099) - H13099)</f>
        <v>6169.66</v>
      </c>
      <c r="J13099" s="18" t="n">
        <v>0</v>
      </c>
      <c r="K13099" s="19" t="n">
        <v>0</v>
      </c>
      <c r="L13099" s="17"/>
    </row>
    <row r="13100" s="11" customFormat="true" ht="10.95" hidden="false" customHeight="true" outlineLevel="0" collapsed="false">
      <c r="A13100" s="16" t="n">
        <v>45316</v>
      </c>
      <c r="B13100" s="17" t="s">
        <v>4548</v>
      </c>
      <c r="C13100" s="17" t="s">
        <v>3614</v>
      </c>
      <c r="D13100" s="17" t="s">
        <v>19</v>
      </c>
      <c r="E13100" s="17" t="s">
        <v>3434</v>
      </c>
      <c r="F13100" s="17" t="s">
        <v>443</v>
      </c>
      <c r="G13100" s="18" t="n">
        <v>0</v>
      </c>
      <c r="H13100" s="18" t="n">
        <v>36</v>
      </c>
      <c r="I13100" s="18" t="n">
        <f aca="false">((I13099 + G13100) - H13100)</f>
        <v>6133.66</v>
      </c>
      <c r="J13100" s="18" t="n">
        <v>0</v>
      </c>
      <c r="K13100" s="19" t="n">
        <v>0</v>
      </c>
      <c r="L13100" s="17"/>
    </row>
    <row r="13101" s="11" customFormat="true" ht="10.95" hidden="false" customHeight="true" outlineLevel="0" collapsed="false">
      <c r="A13101" s="16" t="n">
        <v>45316</v>
      </c>
      <c r="B13101" s="17" t="s">
        <v>4548</v>
      </c>
      <c r="C13101" s="17" t="s">
        <v>3614</v>
      </c>
      <c r="D13101" s="17" t="s">
        <v>19</v>
      </c>
      <c r="E13101" s="17" t="s">
        <v>3435</v>
      </c>
      <c r="F13101" s="17" t="s">
        <v>444</v>
      </c>
      <c r="G13101" s="18" t="n">
        <v>0</v>
      </c>
      <c r="H13101" s="18" t="n">
        <v>204</v>
      </c>
      <c r="I13101" s="18" t="n">
        <f aca="false">((I13100 + G13101) - H13101)</f>
        <v>5929.66</v>
      </c>
      <c r="J13101" s="18" t="n">
        <v>0</v>
      </c>
      <c r="K13101" s="19" t="n">
        <v>0</v>
      </c>
      <c r="L13101" s="17"/>
    </row>
    <row r="13102" s="11" customFormat="true" ht="10.95" hidden="false" customHeight="true" outlineLevel="0" collapsed="false">
      <c r="A13102" s="16" t="n">
        <v>45316</v>
      </c>
      <c r="B13102" s="17" t="s">
        <v>4548</v>
      </c>
      <c r="C13102" s="17" t="s">
        <v>3614</v>
      </c>
      <c r="D13102" s="17" t="s">
        <v>19</v>
      </c>
      <c r="E13102" s="17" t="s">
        <v>3437</v>
      </c>
      <c r="F13102" s="17" t="s">
        <v>445</v>
      </c>
      <c r="G13102" s="18" t="n">
        <v>0</v>
      </c>
      <c r="H13102" s="18" t="n">
        <v>100.01</v>
      </c>
      <c r="I13102" s="18" t="n">
        <f aca="false">((I13101 + G13102) - H13102)</f>
        <v>5829.65</v>
      </c>
      <c r="J13102" s="18" t="n">
        <v>0</v>
      </c>
      <c r="K13102" s="19" t="n">
        <v>0</v>
      </c>
      <c r="L13102" s="17"/>
    </row>
    <row r="13103" s="11" customFormat="true" ht="10.95" hidden="false" customHeight="true" outlineLevel="0" collapsed="false">
      <c r="A13103" s="16" t="n">
        <v>45316</v>
      </c>
      <c r="B13103" s="17" t="s">
        <v>4548</v>
      </c>
      <c r="C13103" s="17" t="s">
        <v>3614</v>
      </c>
      <c r="D13103" s="17" t="s">
        <v>19</v>
      </c>
      <c r="E13103" s="17" t="s">
        <v>3439</v>
      </c>
      <c r="F13103" s="17" t="s">
        <v>446</v>
      </c>
      <c r="G13103" s="18" t="n">
        <v>0</v>
      </c>
      <c r="H13103" s="18" t="n">
        <v>95.7</v>
      </c>
      <c r="I13103" s="18" t="n">
        <f aca="false">((I13102 + G13103) - H13103)</f>
        <v>5733.95</v>
      </c>
      <c r="J13103" s="18" t="n">
        <v>0</v>
      </c>
      <c r="K13103" s="19" t="n">
        <v>0</v>
      </c>
      <c r="L13103" s="17"/>
    </row>
    <row r="13104" s="11" customFormat="true" ht="10.95" hidden="false" customHeight="true" outlineLevel="0" collapsed="false">
      <c r="A13104" s="16" t="n">
        <v>45316</v>
      </c>
      <c r="B13104" s="17" t="s">
        <v>4548</v>
      </c>
      <c r="C13104" s="17" t="s">
        <v>3614</v>
      </c>
      <c r="D13104" s="17" t="s">
        <v>19</v>
      </c>
      <c r="E13104" s="17" t="s">
        <v>3442</v>
      </c>
      <c r="F13104" s="17" t="s">
        <v>447</v>
      </c>
      <c r="G13104" s="18" t="n">
        <v>0</v>
      </c>
      <c r="H13104" s="18" t="n">
        <v>909</v>
      </c>
      <c r="I13104" s="18" t="n">
        <f aca="false">((I13103 + G13104) - H13104)</f>
        <v>4824.95</v>
      </c>
      <c r="J13104" s="18" t="n">
        <v>0</v>
      </c>
      <c r="K13104" s="19" t="n">
        <v>0</v>
      </c>
      <c r="L13104" s="17"/>
    </row>
    <row r="13105" s="11" customFormat="true" ht="10.95" hidden="false" customHeight="true" outlineLevel="0" collapsed="false">
      <c r="A13105" s="16" t="n">
        <v>45316</v>
      </c>
      <c r="B13105" s="17" t="s">
        <v>4548</v>
      </c>
      <c r="C13105" s="17" t="s">
        <v>3614</v>
      </c>
      <c r="D13105" s="17" t="s">
        <v>19</v>
      </c>
      <c r="E13105" s="17" t="s">
        <v>3443</v>
      </c>
      <c r="F13105" s="17" t="s">
        <v>448</v>
      </c>
      <c r="G13105" s="18" t="n">
        <v>0</v>
      </c>
      <c r="H13105" s="18" t="n">
        <v>454</v>
      </c>
      <c r="I13105" s="18" t="n">
        <f aca="false">((I13104 + G13105) - H13105)</f>
        <v>4370.95</v>
      </c>
      <c r="J13105" s="18" t="n">
        <v>0</v>
      </c>
      <c r="K13105" s="19" t="n">
        <v>0</v>
      </c>
      <c r="L13105" s="17"/>
    </row>
    <row r="13106" s="11" customFormat="true" ht="10.95" hidden="false" customHeight="true" outlineLevel="0" collapsed="false">
      <c r="A13106" s="16" t="n">
        <v>45316</v>
      </c>
      <c r="B13106" s="17" t="s">
        <v>4548</v>
      </c>
      <c r="C13106" s="17" t="s">
        <v>3614</v>
      </c>
      <c r="D13106" s="17" t="s">
        <v>19</v>
      </c>
      <c r="E13106" s="17" t="s">
        <v>3444</v>
      </c>
      <c r="F13106" s="17" t="s">
        <v>449</v>
      </c>
      <c r="G13106" s="18" t="n">
        <v>0</v>
      </c>
      <c r="H13106" s="18" t="n">
        <v>88</v>
      </c>
      <c r="I13106" s="18" t="n">
        <f aca="false">((I13105 + G13106) - H13106)</f>
        <v>4282.95</v>
      </c>
      <c r="J13106" s="18" t="n">
        <v>0</v>
      </c>
      <c r="K13106" s="19" t="n">
        <v>0</v>
      </c>
      <c r="L13106" s="17"/>
    </row>
    <row r="13107" s="11" customFormat="true" ht="10.95" hidden="false" customHeight="true" outlineLevel="0" collapsed="false">
      <c r="A13107" s="16" t="n">
        <v>45316</v>
      </c>
      <c r="B13107" s="17" t="s">
        <v>4548</v>
      </c>
      <c r="C13107" s="17" t="s">
        <v>3614</v>
      </c>
      <c r="D13107" s="17" t="s">
        <v>19</v>
      </c>
      <c r="E13107" s="17" t="s">
        <v>3494</v>
      </c>
      <c r="F13107" s="17" t="s">
        <v>450</v>
      </c>
      <c r="G13107" s="18" t="n">
        <v>0</v>
      </c>
      <c r="H13107" s="18" t="n">
        <v>97.4</v>
      </c>
      <c r="I13107" s="18" t="n">
        <f aca="false">((I13106 + G13107) - H13107)</f>
        <v>4185.55</v>
      </c>
      <c r="J13107" s="18" t="n">
        <v>0</v>
      </c>
      <c r="K13107" s="19" t="n">
        <v>0</v>
      </c>
      <c r="L13107" s="17"/>
    </row>
    <row r="13108" s="11" customFormat="true" ht="10.95" hidden="false" customHeight="true" outlineLevel="0" collapsed="false">
      <c r="A13108" s="16" t="n">
        <v>45316</v>
      </c>
      <c r="B13108" s="17" t="s">
        <v>4548</v>
      </c>
      <c r="C13108" s="17" t="s">
        <v>3614</v>
      </c>
      <c r="D13108" s="17" t="s">
        <v>19</v>
      </c>
      <c r="E13108" s="17" t="s">
        <v>3446</v>
      </c>
      <c r="F13108" s="17" t="s">
        <v>451</v>
      </c>
      <c r="G13108" s="18" t="n">
        <v>0</v>
      </c>
      <c r="H13108" s="18" t="n">
        <v>169.2</v>
      </c>
      <c r="I13108" s="18" t="n">
        <f aca="false">((I13107 + G13108) - H13108)</f>
        <v>4016.35</v>
      </c>
      <c r="J13108" s="18" t="n">
        <v>0</v>
      </c>
      <c r="K13108" s="19" t="n">
        <v>0</v>
      </c>
      <c r="L13108" s="17"/>
    </row>
    <row r="13109" s="11" customFormat="true" ht="10.95" hidden="false" customHeight="true" outlineLevel="0" collapsed="false">
      <c r="A13109" s="16" t="n">
        <v>45316</v>
      </c>
      <c r="B13109" s="17" t="s">
        <v>4548</v>
      </c>
      <c r="C13109" s="17" t="s">
        <v>3614</v>
      </c>
      <c r="D13109" s="17" t="s">
        <v>19</v>
      </c>
      <c r="E13109" s="17" t="s">
        <v>3447</v>
      </c>
      <c r="F13109" s="17" t="s">
        <v>452</v>
      </c>
      <c r="G13109" s="18" t="n">
        <v>0</v>
      </c>
      <c r="H13109" s="18" t="n">
        <v>52.75</v>
      </c>
      <c r="I13109" s="18" t="n">
        <f aca="false">((I13108 + G13109) - H13109)</f>
        <v>3963.6</v>
      </c>
      <c r="J13109" s="18" t="n">
        <v>0</v>
      </c>
      <c r="K13109" s="19" t="n">
        <v>0</v>
      </c>
      <c r="L13109" s="17"/>
    </row>
    <row r="13110" s="11" customFormat="true" ht="10.95" hidden="false" customHeight="true" outlineLevel="0" collapsed="false">
      <c r="A13110" s="16" t="n">
        <v>45316</v>
      </c>
      <c r="B13110" s="17" t="s">
        <v>4548</v>
      </c>
      <c r="C13110" s="17" t="s">
        <v>3614</v>
      </c>
      <c r="D13110" s="17" t="s">
        <v>19</v>
      </c>
      <c r="E13110" s="17" t="s">
        <v>3447</v>
      </c>
      <c r="F13110" s="17" t="s">
        <v>453</v>
      </c>
      <c r="G13110" s="18" t="n">
        <v>0</v>
      </c>
      <c r="H13110" s="18" t="n">
        <v>75.2</v>
      </c>
      <c r="I13110" s="18" t="n">
        <f aca="false">((I13109 + G13110) - H13110)</f>
        <v>3888.4</v>
      </c>
      <c r="J13110" s="18" t="n">
        <v>0</v>
      </c>
      <c r="K13110" s="19" t="n">
        <v>0</v>
      </c>
      <c r="L13110" s="17"/>
    </row>
    <row r="13111" s="11" customFormat="true" ht="10.95" hidden="false" customHeight="true" outlineLevel="0" collapsed="false">
      <c r="A13111" s="16" t="n">
        <v>45316</v>
      </c>
      <c r="B13111" s="17" t="s">
        <v>4548</v>
      </c>
      <c r="C13111" s="17" t="s">
        <v>3614</v>
      </c>
      <c r="D13111" s="17" t="s">
        <v>19</v>
      </c>
      <c r="E13111" s="17" t="s">
        <v>3447</v>
      </c>
      <c r="F13111" s="17" t="s">
        <v>454</v>
      </c>
      <c r="G13111" s="18" t="n">
        <v>0</v>
      </c>
      <c r="H13111" s="18" t="n">
        <v>86.2</v>
      </c>
      <c r="I13111" s="18" t="n">
        <f aca="false">((I13110 + G13111) - H13111)</f>
        <v>3802.2</v>
      </c>
      <c r="J13111" s="18" t="n">
        <v>0</v>
      </c>
      <c r="K13111" s="19" t="n">
        <v>0</v>
      </c>
      <c r="L13111" s="17"/>
    </row>
    <row r="13112" s="11" customFormat="true" ht="10.95" hidden="false" customHeight="true" outlineLevel="0" collapsed="false">
      <c r="A13112" s="16" t="n">
        <v>45316</v>
      </c>
      <c r="B13112" s="17" t="s">
        <v>4548</v>
      </c>
      <c r="C13112" s="17" t="s">
        <v>3614</v>
      </c>
      <c r="D13112" s="17" t="s">
        <v>19</v>
      </c>
      <c r="E13112" s="17" t="s">
        <v>3447</v>
      </c>
      <c r="F13112" s="17" t="s">
        <v>456</v>
      </c>
      <c r="G13112" s="18" t="n">
        <v>0</v>
      </c>
      <c r="H13112" s="18" t="n">
        <v>18.8</v>
      </c>
      <c r="I13112" s="18" t="n">
        <f aca="false">((I13111 + G13112) - H13112)</f>
        <v>3783.4</v>
      </c>
      <c r="J13112" s="18" t="n">
        <v>0</v>
      </c>
      <c r="K13112" s="19" t="n">
        <v>0</v>
      </c>
      <c r="L13112" s="17"/>
    </row>
    <row r="13113" s="11" customFormat="true" ht="10.95" hidden="false" customHeight="true" outlineLevel="0" collapsed="false">
      <c r="A13113" s="16" t="n">
        <v>45316</v>
      </c>
      <c r="B13113" s="17" t="s">
        <v>4548</v>
      </c>
      <c r="C13113" s="17" t="s">
        <v>3614</v>
      </c>
      <c r="D13113" s="17" t="s">
        <v>19</v>
      </c>
      <c r="E13113" s="17" t="s">
        <v>3447</v>
      </c>
      <c r="F13113" s="17" t="s">
        <v>457</v>
      </c>
      <c r="G13113" s="18" t="n">
        <v>0</v>
      </c>
      <c r="H13113" s="18" t="n">
        <v>142.55</v>
      </c>
      <c r="I13113" s="18" t="n">
        <f aca="false">((I13112 + G13113) - H13113)</f>
        <v>3640.85</v>
      </c>
      <c r="J13113" s="18" t="n">
        <v>0</v>
      </c>
      <c r="K13113" s="19" t="n">
        <v>0</v>
      </c>
      <c r="L13113" s="17"/>
    </row>
    <row r="13114" s="11" customFormat="true" ht="10.95" hidden="false" customHeight="true" outlineLevel="0" collapsed="false">
      <c r="A13114" s="16" t="n">
        <v>45316</v>
      </c>
      <c r="B13114" s="17" t="s">
        <v>4548</v>
      </c>
      <c r="C13114" s="17" t="s">
        <v>3614</v>
      </c>
      <c r="D13114" s="17" t="s">
        <v>19</v>
      </c>
      <c r="E13114" s="17" t="s">
        <v>3447</v>
      </c>
      <c r="F13114" s="17" t="s">
        <v>458</v>
      </c>
      <c r="G13114" s="18" t="n">
        <v>0</v>
      </c>
      <c r="H13114" s="18" t="n">
        <v>47</v>
      </c>
      <c r="I13114" s="18" t="n">
        <f aca="false">((I13113 + G13114) - H13114)</f>
        <v>3593.85</v>
      </c>
      <c r="J13114" s="18" t="n">
        <v>0</v>
      </c>
      <c r="K13114" s="19" t="n">
        <v>0</v>
      </c>
      <c r="L13114" s="17"/>
    </row>
    <row r="13115" s="11" customFormat="true" ht="10.95" hidden="false" customHeight="true" outlineLevel="0" collapsed="false">
      <c r="A13115" s="16" t="n">
        <v>45316</v>
      </c>
      <c r="B13115" s="17" t="s">
        <v>4548</v>
      </c>
      <c r="C13115" s="17" t="s">
        <v>3614</v>
      </c>
      <c r="D13115" s="17" t="s">
        <v>19</v>
      </c>
      <c r="E13115" s="17" t="s">
        <v>3447</v>
      </c>
      <c r="F13115" s="17" t="s">
        <v>459</v>
      </c>
      <c r="G13115" s="18" t="n">
        <v>0</v>
      </c>
      <c r="H13115" s="18" t="n">
        <v>18.8</v>
      </c>
      <c r="I13115" s="18" t="n">
        <f aca="false">((I13114 + G13115) - H13115)</f>
        <v>3575.05</v>
      </c>
      <c r="J13115" s="18" t="n">
        <v>0</v>
      </c>
      <c r="K13115" s="19" t="n">
        <v>0</v>
      </c>
      <c r="L13115" s="17"/>
    </row>
    <row r="13116" s="11" customFormat="true" ht="10.95" hidden="false" customHeight="true" outlineLevel="0" collapsed="false">
      <c r="A13116" s="16" t="n">
        <v>45316</v>
      </c>
      <c r="B13116" s="17" t="s">
        <v>4548</v>
      </c>
      <c r="C13116" s="17" t="s">
        <v>3614</v>
      </c>
      <c r="D13116" s="17" t="s">
        <v>19</v>
      </c>
      <c r="E13116" s="17" t="s">
        <v>3447</v>
      </c>
      <c r="F13116" s="17" t="s">
        <v>460</v>
      </c>
      <c r="G13116" s="18" t="n">
        <v>0</v>
      </c>
      <c r="H13116" s="18" t="n">
        <v>47</v>
      </c>
      <c r="I13116" s="18" t="n">
        <f aca="false">((I13115 + G13116) - H13116)</f>
        <v>3528.05</v>
      </c>
      <c r="J13116" s="18" t="n">
        <v>0</v>
      </c>
      <c r="K13116" s="19" t="n">
        <v>0</v>
      </c>
      <c r="L13116" s="17"/>
    </row>
    <row r="13117" s="11" customFormat="true" ht="10.95" hidden="false" customHeight="true" outlineLevel="0" collapsed="false">
      <c r="A13117" s="16" t="n">
        <v>45316</v>
      </c>
      <c r="B13117" s="17" t="s">
        <v>4548</v>
      </c>
      <c r="C13117" s="17" t="s">
        <v>3614</v>
      </c>
      <c r="D13117" s="17" t="s">
        <v>19</v>
      </c>
      <c r="E13117" s="17" t="s">
        <v>3447</v>
      </c>
      <c r="F13117" s="17" t="s">
        <v>461</v>
      </c>
      <c r="G13117" s="18" t="n">
        <v>0</v>
      </c>
      <c r="H13117" s="18" t="n">
        <v>178.9</v>
      </c>
      <c r="I13117" s="18" t="n">
        <f aca="false">((I13116 + G13117) - H13117)</f>
        <v>3349.15</v>
      </c>
      <c r="J13117" s="18" t="n">
        <v>0</v>
      </c>
      <c r="K13117" s="19" t="n">
        <v>0</v>
      </c>
      <c r="L13117" s="17"/>
    </row>
    <row r="13118" s="11" customFormat="true" ht="10.95" hidden="false" customHeight="true" outlineLevel="0" collapsed="false">
      <c r="A13118" s="16" t="n">
        <v>45316</v>
      </c>
      <c r="B13118" s="17" t="s">
        <v>4548</v>
      </c>
      <c r="C13118" s="17" t="s">
        <v>3614</v>
      </c>
      <c r="D13118" s="17" t="s">
        <v>19</v>
      </c>
      <c r="E13118" s="17" t="s">
        <v>3447</v>
      </c>
      <c r="F13118" s="17" t="s">
        <v>462</v>
      </c>
      <c r="G13118" s="18" t="n">
        <v>0</v>
      </c>
      <c r="H13118" s="18" t="n">
        <v>114.4</v>
      </c>
      <c r="I13118" s="18" t="n">
        <f aca="false">((I13117 + G13118) - H13118)</f>
        <v>3234.75</v>
      </c>
      <c r="J13118" s="18" t="n">
        <v>0</v>
      </c>
      <c r="K13118" s="19" t="n">
        <v>0</v>
      </c>
      <c r="L13118" s="17"/>
    </row>
    <row r="13119" s="11" customFormat="true" ht="10.95" hidden="false" customHeight="true" outlineLevel="0" collapsed="false">
      <c r="A13119" s="16" t="n">
        <v>45316</v>
      </c>
      <c r="B13119" s="17" t="s">
        <v>4548</v>
      </c>
      <c r="C13119" s="17" t="s">
        <v>3614</v>
      </c>
      <c r="D13119" s="17" t="s">
        <v>19</v>
      </c>
      <c r="E13119" s="17" t="s">
        <v>3447</v>
      </c>
      <c r="F13119" s="17" t="s">
        <v>463</v>
      </c>
      <c r="G13119" s="18" t="n">
        <v>0</v>
      </c>
      <c r="H13119" s="18" t="n">
        <v>28.2</v>
      </c>
      <c r="I13119" s="18" t="n">
        <f aca="false">((I13118 + G13119) - H13119)</f>
        <v>3206.55</v>
      </c>
      <c r="J13119" s="18" t="n">
        <v>0</v>
      </c>
      <c r="K13119" s="19" t="n">
        <v>0</v>
      </c>
      <c r="L13119" s="17"/>
    </row>
    <row r="13120" s="11" customFormat="true" ht="10.95" hidden="false" customHeight="true" outlineLevel="0" collapsed="false">
      <c r="A13120" s="16" t="n">
        <v>45316</v>
      </c>
      <c r="B13120" s="17" t="s">
        <v>4548</v>
      </c>
      <c r="C13120" s="17" t="s">
        <v>3614</v>
      </c>
      <c r="D13120" s="17" t="s">
        <v>19</v>
      </c>
      <c r="E13120" s="17" t="s">
        <v>3447</v>
      </c>
      <c r="F13120" s="17" t="s">
        <v>464</v>
      </c>
      <c r="G13120" s="18" t="n">
        <v>0</v>
      </c>
      <c r="H13120" s="18" t="n">
        <v>28.2</v>
      </c>
      <c r="I13120" s="18" t="n">
        <f aca="false">((I13119 + G13120) - H13120)</f>
        <v>3178.35</v>
      </c>
      <c r="J13120" s="18" t="n">
        <v>0</v>
      </c>
      <c r="K13120" s="19" t="n">
        <v>0</v>
      </c>
      <c r="L13120" s="17"/>
    </row>
    <row r="13121" s="11" customFormat="true" ht="10.95" hidden="false" customHeight="true" outlineLevel="0" collapsed="false">
      <c r="A13121" s="16" t="n">
        <v>45316</v>
      </c>
      <c r="B13121" s="17" t="s">
        <v>4548</v>
      </c>
      <c r="C13121" s="17" t="s">
        <v>3614</v>
      </c>
      <c r="D13121" s="17" t="s">
        <v>19</v>
      </c>
      <c r="E13121" s="17" t="s">
        <v>3447</v>
      </c>
      <c r="F13121" s="17" t="s">
        <v>465</v>
      </c>
      <c r="G13121" s="18" t="n">
        <v>0</v>
      </c>
      <c r="H13121" s="18" t="n">
        <v>56.4</v>
      </c>
      <c r="I13121" s="18" t="n">
        <f aca="false">((I13120 + G13121) - H13121)</f>
        <v>3121.95</v>
      </c>
      <c r="J13121" s="18" t="n">
        <v>0</v>
      </c>
      <c r="K13121" s="19" t="n">
        <v>0</v>
      </c>
      <c r="L13121" s="17"/>
    </row>
    <row r="13122" s="11" customFormat="true" ht="10.95" hidden="false" customHeight="true" outlineLevel="0" collapsed="false">
      <c r="A13122" s="16" t="n">
        <v>45316</v>
      </c>
      <c r="B13122" s="17" t="s">
        <v>4548</v>
      </c>
      <c r="C13122" s="17" t="s">
        <v>3614</v>
      </c>
      <c r="D13122" s="17" t="s">
        <v>19</v>
      </c>
      <c r="E13122" s="17" t="s">
        <v>3447</v>
      </c>
      <c r="F13122" s="17" t="s">
        <v>466</v>
      </c>
      <c r="G13122" s="18" t="n">
        <v>0</v>
      </c>
      <c r="H13122" s="18" t="n">
        <v>103.4</v>
      </c>
      <c r="I13122" s="18" t="n">
        <f aca="false">((I13121 + G13122) - H13122)</f>
        <v>3018.55</v>
      </c>
      <c r="J13122" s="18" t="n">
        <v>0</v>
      </c>
      <c r="K13122" s="19" t="n">
        <v>0</v>
      </c>
      <c r="L13122" s="17"/>
    </row>
    <row r="13123" s="11" customFormat="true" ht="10.95" hidden="false" customHeight="true" outlineLevel="0" collapsed="false">
      <c r="A13123" s="16" t="n">
        <v>45316</v>
      </c>
      <c r="B13123" s="17" t="s">
        <v>4548</v>
      </c>
      <c r="C13123" s="17" t="s">
        <v>3614</v>
      </c>
      <c r="D13123" s="17" t="s">
        <v>19</v>
      </c>
      <c r="E13123" s="17" t="s">
        <v>3447</v>
      </c>
      <c r="F13123" s="17" t="s">
        <v>467</v>
      </c>
      <c r="G13123" s="18" t="n">
        <v>0</v>
      </c>
      <c r="H13123" s="18" t="n">
        <v>9.4</v>
      </c>
      <c r="I13123" s="18" t="n">
        <f aca="false">((I13122 + G13123) - H13123)</f>
        <v>3009.15</v>
      </c>
      <c r="J13123" s="18" t="n">
        <v>0</v>
      </c>
      <c r="K13123" s="19" t="n">
        <v>0</v>
      </c>
      <c r="L13123" s="17"/>
    </row>
    <row r="13124" s="11" customFormat="true" ht="10.95" hidden="false" customHeight="true" outlineLevel="0" collapsed="false">
      <c r="A13124" s="16" t="n">
        <v>45316</v>
      </c>
      <c r="B13124" s="17" t="s">
        <v>4548</v>
      </c>
      <c r="C13124" s="17" t="s">
        <v>3614</v>
      </c>
      <c r="D13124" s="17" t="s">
        <v>19</v>
      </c>
      <c r="E13124" s="17" t="s">
        <v>3447</v>
      </c>
      <c r="F13124" s="17" t="s">
        <v>468</v>
      </c>
      <c r="G13124" s="18" t="n">
        <v>0</v>
      </c>
      <c r="H13124" s="18" t="n">
        <v>65.8</v>
      </c>
      <c r="I13124" s="18" t="n">
        <f aca="false">((I13123 + G13124) - H13124)</f>
        <v>2943.35</v>
      </c>
      <c r="J13124" s="18" t="n">
        <v>0</v>
      </c>
      <c r="K13124" s="19" t="n">
        <v>0</v>
      </c>
      <c r="L13124" s="17"/>
    </row>
    <row r="13125" s="11" customFormat="true" ht="10.95" hidden="false" customHeight="true" outlineLevel="0" collapsed="false">
      <c r="A13125" s="16" t="n">
        <v>45316</v>
      </c>
      <c r="B13125" s="17" t="s">
        <v>4548</v>
      </c>
      <c r="C13125" s="17" t="s">
        <v>3614</v>
      </c>
      <c r="D13125" s="17" t="s">
        <v>19</v>
      </c>
      <c r="E13125" s="17" t="s">
        <v>3451</v>
      </c>
      <c r="F13125" s="17" t="s">
        <v>469</v>
      </c>
      <c r="G13125" s="18" t="n">
        <v>0</v>
      </c>
      <c r="H13125" s="18" t="n">
        <v>116.2</v>
      </c>
      <c r="I13125" s="18" t="n">
        <f aca="false">((I13124 + G13125) - H13125)</f>
        <v>2827.15</v>
      </c>
      <c r="J13125" s="18" t="n">
        <v>0</v>
      </c>
      <c r="K13125" s="19" t="n">
        <v>0</v>
      </c>
      <c r="L13125" s="17"/>
    </row>
    <row r="13126" s="11" customFormat="true" ht="10.95" hidden="false" customHeight="true" outlineLevel="0" collapsed="false">
      <c r="A13126" s="16" t="n">
        <v>45316</v>
      </c>
      <c r="B13126" s="17" t="s">
        <v>4548</v>
      </c>
      <c r="C13126" s="17" t="s">
        <v>3614</v>
      </c>
      <c r="D13126" s="17" t="s">
        <v>1407</v>
      </c>
      <c r="E13126" s="17" t="s">
        <v>3770</v>
      </c>
      <c r="F13126" s="17"/>
      <c r="G13126" s="18" t="n">
        <v>2.09</v>
      </c>
      <c r="H13126" s="18" t="n">
        <v>0</v>
      </c>
      <c r="I13126" s="18" t="n">
        <f aca="false">((I13125 + G13126) - H13126)</f>
        <v>2829.24</v>
      </c>
      <c r="J13126" s="18" t="n">
        <v>0</v>
      </c>
      <c r="K13126" s="19" t="n">
        <v>0</v>
      </c>
      <c r="L13126" s="17"/>
    </row>
    <row r="13127" s="11" customFormat="true" ht="10.95" hidden="false" customHeight="true" outlineLevel="0" collapsed="false">
      <c r="A13127" s="16" t="n">
        <v>45316</v>
      </c>
      <c r="B13127" s="17" t="s">
        <v>4548</v>
      </c>
      <c r="C13127" s="17" t="s">
        <v>3614</v>
      </c>
      <c r="D13127" s="17" t="s">
        <v>1391</v>
      </c>
      <c r="E13127" s="17" t="s">
        <v>3673</v>
      </c>
      <c r="F13127" s="17" t="s">
        <v>3215</v>
      </c>
      <c r="G13127" s="18" t="n">
        <v>815.47</v>
      </c>
      <c r="H13127" s="18" t="n">
        <v>0</v>
      </c>
      <c r="I13127" s="18" t="n">
        <f aca="false">((I13126 + G13127) - H13127)</f>
        <v>3644.71</v>
      </c>
      <c r="J13127" s="18" t="n">
        <v>0</v>
      </c>
      <c r="K13127" s="19" t="n">
        <v>0</v>
      </c>
      <c r="L13127" s="17"/>
    </row>
    <row r="13128" s="11" customFormat="true" ht="10.95" hidden="false" customHeight="true" outlineLevel="0" collapsed="false">
      <c r="A13128" s="16" t="n">
        <v>45316</v>
      </c>
      <c r="B13128" s="17" t="s">
        <v>4548</v>
      </c>
      <c r="C13128" s="17" t="s">
        <v>3614</v>
      </c>
      <c r="D13128" s="17" t="s">
        <v>19</v>
      </c>
      <c r="E13128" s="17" t="s">
        <v>3454</v>
      </c>
      <c r="F13128" s="17" t="s">
        <v>470</v>
      </c>
      <c r="G13128" s="18" t="n">
        <v>0</v>
      </c>
      <c r="H13128" s="18" t="n">
        <v>1555.07</v>
      </c>
      <c r="I13128" s="18" t="n">
        <f aca="false">((I13127 + G13128) - H13128)</f>
        <v>2089.64</v>
      </c>
      <c r="J13128" s="18" t="n">
        <v>0</v>
      </c>
      <c r="K13128" s="19" t="n">
        <v>0</v>
      </c>
      <c r="L13128" s="17"/>
    </row>
    <row r="13129" s="11" customFormat="true" ht="10.95" hidden="false" customHeight="true" outlineLevel="0" collapsed="false">
      <c r="A13129" s="16" t="n">
        <v>45318</v>
      </c>
      <c r="B13129" s="17" t="s">
        <v>4548</v>
      </c>
      <c r="C13129" s="17" t="s">
        <v>3614</v>
      </c>
      <c r="D13129" s="17" t="s">
        <v>1407</v>
      </c>
      <c r="E13129" s="17" t="s">
        <v>3805</v>
      </c>
      <c r="F13129" s="17"/>
      <c r="G13129" s="18" t="n">
        <v>8.63</v>
      </c>
      <c r="H13129" s="18" t="n">
        <v>0</v>
      </c>
      <c r="I13129" s="18" t="n">
        <f aca="false">((I13128 + G13129) - H13129)</f>
        <v>2098.27</v>
      </c>
      <c r="J13129" s="18" t="n">
        <v>0</v>
      </c>
      <c r="K13129" s="19" t="n">
        <v>0</v>
      </c>
      <c r="L13129" s="17"/>
    </row>
    <row r="13130" s="11" customFormat="true" ht="10.95" hidden="false" customHeight="true" outlineLevel="0" collapsed="false">
      <c r="A13130" s="16" t="n">
        <v>45319</v>
      </c>
      <c r="B13130" s="17" t="s">
        <v>4548</v>
      </c>
      <c r="C13130" s="17" t="s">
        <v>3614</v>
      </c>
      <c r="D13130" s="17" t="s">
        <v>1407</v>
      </c>
      <c r="E13130" s="17" t="s">
        <v>3880</v>
      </c>
      <c r="F13130" s="17"/>
      <c r="G13130" s="18" t="n">
        <v>18.18</v>
      </c>
      <c r="H13130" s="18" t="n">
        <v>0</v>
      </c>
      <c r="I13130" s="18" t="n">
        <f aca="false">((I13129 + G13130) - H13130)</f>
        <v>2116.45</v>
      </c>
      <c r="J13130" s="18" t="n">
        <v>0</v>
      </c>
      <c r="K13130" s="19" t="n">
        <v>0</v>
      </c>
      <c r="L13130" s="17"/>
    </row>
    <row r="13131" s="11" customFormat="true" ht="10.95" hidden="false" customHeight="true" outlineLevel="0" collapsed="false">
      <c r="A13131" s="16" t="n">
        <v>45320</v>
      </c>
      <c r="B13131" s="17" t="s">
        <v>4548</v>
      </c>
      <c r="C13131" s="17" t="s">
        <v>3614</v>
      </c>
      <c r="D13131" s="17" t="s">
        <v>1407</v>
      </c>
      <c r="E13131" s="17" t="s">
        <v>4242</v>
      </c>
      <c r="F13131" s="17"/>
      <c r="G13131" s="18" t="n">
        <v>5.48</v>
      </c>
      <c r="H13131" s="18" t="n">
        <v>0</v>
      </c>
      <c r="I13131" s="18" t="n">
        <f aca="false">((I13130 + G13131) - H13131)</f>
        <v>2121.93</v>
      </c>
      <c r="J13131" s="18" t="n">
        <v>0</v>
      </c>
      <c r="K13131" s="19" t="n">
        <v>0</v>
      </c>
      <c r="L13131" s="17"/>
    </row>
    <row r="13132" s="11" customFormat="true" ht="10.95" hidden="false" customHeight="true" outlineLevel="0" collapsed="false">
      <c r="A13132" s="16" t="n">
        <v>45321</v>
      </c>
      <c r="B13132" s="17" t="s">
        <v>4548</v>
      </c>
      <c r="C13132" s="17" t="s">
        <v>3614</v>
      </c>
      <c r="D13132" s="17" t="s">
        <v>1391</v>
      </c>
      <c r="E13132" s="17" t="s">
        <v>3638</v>
      </c>
      <c r="F13132" s="17" t="s">
        <v>3217</v>
      </c>
      <c r="G13132" s="18" t="n">
        <v>19.9</v>
      </c>
      <c r="H13132" s="18" t="n">
        <v>0</v>
      </c>
      <c r="I13132" s="18" t="n">
        <f aca="false">((I13131 + G13132) - H13132)</f>
        <v>2141.83</v>
      </c>
      <c r="J13132" s="18" t="n">
        <v>0</v>
      </c>
      <c r="K13132" s="19" t="n">
        <v>0</v>
      </c>
      <c r="L13132" s="17"/>
    </row>
    <row r="13133" s="11" customFormat="true" ht="10.95" hidden="false" customHeight="true" outlineLevel="0" collapsed="false">
      <c r="A13133" s="16" t="n">
        <v>45321</v>
      </c>
      <c r="B13133" s="17" t="s">
        <v>4548</v>
      </c>
      <c r="C13133" s="17" t="s">
        <v>3614</v>
      </c>
      <c r="D13133" s="17" t="s">
        <v>1407</v>
      </c>
      <c r="E13133" s="17" t="s">
        <v>2747</v>
      </c>
      <c r="F13133" s="17"/>
      <c r="G13133" s="18" t="n">
        <v>3.55</v>
      </c>
      <c r="H13133" s="18" t="n">
        <v>0</v>
      </c>
      <c r="I13133" s="18" t="n">
        <f aca="false">((I13132 + G13133) - H13133)</f>
        <v>2145.38</v>
      </c>
      <c r="J13133" s="18" t="n">
        <v>0</v>
      </c>
      <c r="K13133" s="19" t="n">
        <v>0</v>
      </c>
      <c r="L13133" s="17"/>
    </row>
    <row r="13134" s="11" customFormat="true" ht="10.95" hidden="false" customHeight="true" outlineLevel="0" collapsed="false">
      <c r="A13134" s="16" t="n">
        <v>45321</v>
      </c>
      <c r="B13134" s="17" t="s">
        <v>4548</v>
      </c>
      <c r="C13134" s="17" t="s">
        <v>3614</v>
      </c>
      <c r="D13134" s="17" t="s">
        <v>1407</v>
      </c>
      <c r="E13134" s="17" t="s">
        <v>3976</v>
      </c>
      <c r="F13134" s="17"/>
      <c r="G13134" s="18" t="n">
        <v>17.64</v>
      </c>
      <c r="H13134" s="18" t="n">
        <v>0</v>
      </c>
      <c r="I13134" s="18" t="n">
        <f aca="false">((I13133 + G13134) - H13134)</f>
        <v>2163.02</v>
      </c>
      <c r="J13134" s="18" t="n">
        <v>0</v>
      </c>
      <c r="K13134" s="19" t="n">
        <v>0</v>
      </c>
      <c r="L13134" s="17"/>
    </row>
    <row r="13135" s="11" customFormat="true" ht="10.95" hidden="false" customHeight="true" outlineLevel="0" collapsed="false">
      <c r="A13135" s="16" t="n">
        <v>45322</v>
      </c>
      <c r="B13135" s="17" t="s">
        <v>4548</v>
      </c>
      <c r="C13135" s="17" t="s">
        <v>3614</v>
      </c>
      <c r="D13135" s="17" t="s">
        <v>1407</v>
      </c>
      <c r="E13135" s="17" t="s">
        <v>3865</v>
      </c>
      <c r="F13135" s="17"/>
      <c r="G13135" s="18" t="n">
        <v>7.5</v>
      </c>
      <c r="H13135" s="18" t="n">
        <v>0</v>
      </c>
      <c r="I13135" s="18" t="n">
        <f aca="false">((I13134 + G13135) - H13135)</f>
        <v>2170.52</v>
      </c>
      <c r="J13135" s="18" t="n">
        <v>0</v>
      </c>
      <c r="K13135" s="19" t="n">
        <v>0</v>
      </c>
      <c r="L13135" s="17"/>
    </row>
    <row r="13136" s="11" customFormat="true" ht="10.95" hidden="false" customHeight="true" outlineLevel="0" collapsed="false">
      <c r="A13136" s="16" t="n">
        <v>45322</v>
      </c>
      <c r="B13136" s="17" t="s">
        <v>4548</v>
      </c>
      <c r="C13136" s="17" t="s">
        <v>3614</v>
      </c>
      <c r="D13136" s="17" t="s">
        <v>1391</v>
      </c>
      <c r="E13136" s="17" t="s">
        <v>3647</v>
      </c>
      <c r="F13136" s="17" t="s">
        <v>1505</v>
      </c>
      <c r="G13136" s="18" t="n">
        <v>523.87</v>
      </c>
      <c r="H13136" s="18" t="n">
        <v>0</v>
      </c>
      <c r="I13136" s="18" t="n">
        <f aca="false">((I13135 + G13136) - H13136)</f>
        <v>2694.39</v>
      </c>
      <c r="J13136" s="18" t="n">
        <v>0</v>
      </c>
      <c r="K13136" s="19" t="n">
        <v>0</v>
      </c>
      <c r="L13136" s="17"/>
    </row>
    <row r="13137" s="11" customFormat="true" ht="10.95" hidden="false" customHeight="true" outlineLevel="0" collapsed="false">
      <c r="A13137" s="16" t="n">
        <v>45323</v>
      </c>
      <c r="B13137" s="17" t="s">
        <v>4548</v>
      </c>
      <c r="C13137" s="17" t="s">
        <v>3614</v>
      </c>
      <c r="D13137" s="17" t="s">
        <v>1391</v>
      </c>
      <c r="E13137" s="17" t="s">
        <v>3615</v>
      </c>
      <c r="F13137" s="17" t="s">
        <v>1509</v>
      </c>
      <c r="G13137" s="18" t="n">
        <v>48.98</v>
      </c>
      <c r="H13137" s="18" t="n">
        <v>0</v>
      </c>
      <c r="I13137" s="18" t="n">
        <f aca="false">((I13136 + G13137) - H13137)</f>
        <v>2743.37</v>
      </c>
      <c r="J13137" s="18" t="n">
        <v>0</v>
      </c>
      <c r="K13137" s="19" t="n">
        <v>0</v>
      </c>
      <c r="L13137" s="17"/>
    </row>
    <row r="13138" s="11" customFormat="true" ht="10.95" hidden="false" customHeight="true" outlineLevel="0" collapsed="false">
      <c r="A13138" s="16" t="n">
        <v>45323</v>
      </c>
      <c r="B13138" s="17" t="s">
        <v>4548</v>
      </c>
      <c r="C13138" s="17" t="s">
        <v>3614</v>
      </c>
      <c r="D13138" s="17" t="s">
        <v>1391</v>
      </c>
      <c r="E13138" s="17" t="s">
        <v>3621</v>
      </c>
      <c r="F13138" s="17" t="s">
        <v>2689</v>
      </c>
      <c r="G13138" s="18" t="n">
        <v>67.81</v>
      </c>
      <c r="H13138" s="18" t="n">
        <v>0</v>
      </c>
      <c r="I13138" s="18" t="n">
        <f aca="false">((I13137 + G13138) - H13138)</f>
        <v>2811.18</v>
      </c>
      <c r="J13138" s="18" t="n">
        <v>0</v>
      </c>
      <c r="K13138" s="19" t="n">
        <v>0</v>
      </c>
      <c r="L13138" s="17"/>
    </row>
    <row r="13139" s="11" customFormat="true" ht="10.95" hidden="false" customHeight="true" outlineLevel="0" collapsed="false">
      <c r="A13139" s="16" t="n">
        <v>45324</v>
      </c>
      <c r="B13139" s="17" t="s">
        <v>4548</v>
      </c>
      <c r="C13139" s="17" t="s">
        <v>3614</v>
      </c>
      <c r="D13139" s="17" t="s">
        <v>1391</v>
      </c>
      <c r="E13139" s="17" t="s">
        <v>3625</v>
      </c>
      <c r="F13139" s="17" t="s">
        <v>3294</v>
      </c>
      <c r="G13139" s="18" t="n">
        <v>92.03</v>
      </c>
      <c r="H13139" s="18" t="n">
        <v>0</v>
      </c>
      <c r="I13139" s="18" t="n">
        <f aca="false">((I13138 + G13139) - H13139)</f>
        <v>2903.21</v>
      </c>
      <c r="J13139" s="18" t="n">
        <v>0</v>
      </c>
      <c r="K13139" s="19" t="n">
        <v>0</v>
      </c>
      <c r="L13139" s="17"/>
    </row>
    <row r="13140" s="11" customFormat="true" ht="10.95" hidden="false" customHeight="true" outlineLevel="0" collapsed="false">
      <c r="A13140" s="16" t="n">
        <v>45324</v>
      </c>
      <c r="B13140" s="17" t="s">
        <v>4548</v>
      </c>
      <c r="C13140" s="17" t="s">
        <v>3614</v>
      </c>
      <c r="D13140" s="17" t="s">
        <v>1391</v>
      </c>
      <c r="E13140" s="17" t="s">
        <v>3647</v>
      </c>
      <c r="F13140" s="17" t="s">
        <v>2470</v>
      </c>
      <c r="G13140" s="18" t="n">
        <v>7.28</v>
      </c>
      <c r="H13140" s="18" t="n">
        <v>0</v>
      </c>
      <c r="I13140" s="18" t="n">
        <f aca="false">((I13139 + G13140) - H13140)</f>
        <v>2910.49</v>
      </c>
      <c r="J13140" s="18" t="n">
        <v>0</v>
      </c>
      <c r="K13140" s="19" t="n">
        <v>0</v>
      </c>
      <c r="L13140" s="17"/>
    </row>
    <row r="13141" s="11" customFormat="true" ht="10.95" hidden="false" customHeight="true" outlineLevel="0" collapsed="false">
      <c r="A13141" s="16" t="n">
        <v>45325</v>
      </c>
      <c r="B13141" s="17" t="s">
        <v>4548</v>
      </c>
      <c r="C13141" s="17" t="s">
        <v>3614</v>
      </c>
      <c r="D13141" s="17" t="s">
        <v>1407</v>
      </c>
      <c r="E13141" s="17" t="s">
        <v>3804</v>
      </c>
      <c r="F13141" s="17"/>
      <c r="G13141" s="18" t="n">
        <v>3.64</v>
      </c>
      <c r="H13141" s="18" t="n">
        <v>0</v>
      </c>
      <c r="I13141" s="18" t="n">
        <f aca="false">((I13140 + G13141) - H13141)</f>
        <v>2914.13</v>
      </c>
      <c r="J13141" s="18" t="n">
        <v>0</v>
      </c>
      <c r="K13141" s="19" t="n">
        <v>0</v>
      </c>
      <c r="L13141" s="17"/>
    </row>
    <row r="13142" s="11" customFormat="true" ht="10.95" hidden="false" customHeight="true" outlineLevel="0" collapsed="false">
      <c r="A13142" s="16" t="n">
        <v>45325</v>
      </c>
      <c r="B13142" s="17" t="s">
        <v>4548</v>
      </c>
      <c r="C13142" s="17" t="s">
        <v>3614</v>
      </c>
      <c r="D13142" s="17" t="s">
        <v>1407</v>
      </c>
      <c r="E13142" s="17" t="s">
        <v>3717</v>
      </c>
      <c r="F13142" s="17"/>
      <c r="G13142" s="18" t="n">
        <v>114.09</v>
      </c>
      <c r="H13142" s="18" t="n">
        <v>0</v>
      </c>
      <c r="I13142" s="18" t="n">
        <f aca="false">((I13141 + G13142) - H13142)</f>
        <v>3028.22</v>
      </c>
      <c r="J13142" s="18" t="n">
        <v>0</v>
      </c>
      <c r="K13142" s="19" t="n">
        <v>0</v>
      </c>
      <c r="L13142" s="17"/>
    </row>
    <row r="13143" s="11" customFormat="true" ht="10.95" hidden="false" customHeight="true" outlineLevel="0" collapsed="false">
      <c r="A13143" s="16" t="n">
        <v>45327</v>
      </c>
      <c r="B13143" s="17" t="s">
        <v>4548</v>
      </c>
      <c r="C13143" s="17" t="s">
        <v>3614</v>
      </c>
      <c r="D13143" s="17" t="s">
        <v>1391</v>
      </c>
      <c r="E13143" s="17" t="s">
        <v>3615</v>
      </c>
      <c r="F13143" s="17" t="s">
        <v>1512</v>
      </c>
      <c r="G13143" s="18" t="n">
        <v>1932.5</v>
      </c>
      <c r="H13143" s="18" t="n">
        <v>0</v>
      </c>
      <c r="I13143" s="18" t="n">
        <f aca="false">((I13142 + G13143) - H13143)</f>
        <v>4960.72</v>
      </c>
      <c r="J13143" s="18" t="n">
        <v>0</v>
      </c>
      <c r="K13143" s="19" t="n">
        <v>0</v>
      </c>
      <c r="L13143" s="17"/>
    </row>
    <row r="13144" s="11" customFormat="true" ht="10.95" hidden="false" customHeight="true" outlineLevel="0" collapsed="false">
      <c r="A13144" s="16" t="n">
        <v>45328</v>
      </c>
      <c r="B13144" s="17" t="s">
        <v>4548</v>
      </c>
      <c r="C13144" s="17" t="s">
        <v>3614</v>
      </c>
      <c r="D13144" s="17" t="s">
        <v>1391</v>
      </c>
      <c r="E13144" s="17" t="s">
        <v>3615</v>
      </c>
      <c r="F13144" s="17" t="s">
        <v>1514</v>
      </c>
      <c r="G13144" s="18" t="n">
        <v>194.37</v>
      </c>
      <c r="H13144" s="18" t="n">
        <v>0</v>
      </c>
      <c r="I13144" s="18" t="n">
        <f aca="false">((I13143 + G13144) - H13144)</f>
        <v>5155.09</v>
      </c>
      <c r="J13144" s="18" t="n">
        <v>0</v>
      </c>
      <c r="K13144" s="19" t="n">
        <v>0</v>
      </c>
      <c r="L13144" s="17"/>
    </row>
    <row r="13145" s="11" customFormat="true" ht="10.95" hidden="false" customHeight="true" outlineLevel="0" collapsed="false">
      <c r="A13145" s="16" t="n">
        <v>45328</v>
      </c>
      <c r="B13145" s="17" t="s">
        <v>4548</v>
      </c>
      <c r="C13145" s="17" t="s">
        <v>3614</v>
      </c>
      <c r="D13145" s="17" t="s">
        <v>1407</v>
      </c>
      <c r="E13145" s="17" t="s">
        <v>3888</v>
      </c>
      <c r="F13145" s="17"/>
      <c r="G13145" s="18" t="n">
        <v>292.49</v>
      </c>
      <c r="H13145" s="18" t="n">
        <v>0</v>
      </c>
      <c r="I13145" s="18" t="n">
        <f aca="false">((I13144 + G13145) - H13145)</f>
        <v>5447.58</v>
      </c>
      <c r="J13145" s="18" t="n">
        <v>0</v>
      </c>
      <c r="K13145" s="19" t="n">
        <v>0</v>
      </c>
      <c r="L13145" s="17"/>
    </row>
    <row r="13146" s="11" customFormat="true" ht="10.95" hidden="false" customHeight="true" outlineLevel="0" collapsed="false">
      <c r="A13146" s="16" t="n">
        <v>45328</v>
      </c>
      <c r="B13146" s="17" t="s">
        <v>4548</v>
      </c>
      <c r="C13146" s="17" t="s">
        <v>3614</v>
      </c>
      <c r="D13146" s="17" t="s">
        <v>1407</v>
      </c>
      <c r="E13146" s="17" t="s">
        <v>3642</v>
      </c>
      <c r="F13146" s="17"/>
      <c r="G13146" s="18" t="n">
        <v>1.1</v>
      </c>
      <c r="H13146" s="18" t="n">
        <v>0</v>
      </c>
      <c r="I13146" s="18" t="n">
        <f aca="false">((I13145 + G13146) - H13146)</f>
        <v>5448.68</v>
      </c>
      <c r="J13146" s="18" t="n">
        <v>0</v>
      </c>
      <c r="K13146" s="19" t="n">
        <v>0</v>
      </c>
      <c r="L13146" s="17"/>
    </row>
    <row r="13147" s="11" customFormat="true" ht="10.95" hidden="false" customHeight="true" outlineLevel="0" collapsed="false">
      <c r="A13147" s="16" t="n">
        <v>45328</v>
      </c>
      <c r="B13147" s="17" t="s">
        <v>4548</v>
      </c>
      <c r="C13147" s="17" t="s">
        <v>3614</v>
      </c>
      <c r="D13147" s="17" t="s">
        <v>1407</v>
      </c>
      <c r="E13147" s="17" t="s">
        <v>3642</v>
      </c>
      <c r="F13147" s="17"/>
      <c r="G13147" s="18" t="n">
        <v>1.87</v>
      </c>
      <c r="H13147" s="18" t="n">
        <v>0</v>
      </c>
      <c r="I13147" s="18" t="n">
        <f aca="false">((I13146 + G13147) - H13147)</f>
        <v>5450.55</v>
      </c>
      <c r="J13147" s="18" t="n">
        <v>0</v>
      </c>
      <c r="K13147" s="19" t="n">
        <v>0</v>
      </c>
      <c r="L13147" s="17"/>
    </row>
    <row r="13148" s="11" customFormat="true" ht="10.95" hidden="false" customHeight="true" outlineLevel="0" collapsed="false">
      <c r="A13148" s="16" t="n">
        <v>45328</v>
      </c>
      <c r="B13148" s="17" t="s">
        <v>4548</v>
      </c>
      <c r="C13148" s="17" t="s">
        <v>3614</v>
      </c>
      <c r="D13148" s="17" t="s">
        <v>1391</v>
      </c>
      <c r="E13148" s="17" t="s">
        <v>3622</v>
      </c>
      <c r="F13148" s="17" t="s">
        <v>1517</v>
      </c>
      <c r="G13148" s="18" t="n">
        <v>220.8</v>
      </c>
      <c r="H13148" s="18" t="n">
        <v>0</v>
      </c>
      <c r="I13148" s="18" t="n">
        <f aca="false">((I13147 + G13148) - H13148)</f>
        <v>5671.35</v>
      </c>
      <c r="J13148" s="18" t="n">
        <v>0</v>
      </c>
      <c r="K13148" s="19" t="n">
        <v>0</v>
      </c>
      <c r="L13148" s="17"/>
    </row>
    <row r="13149" s="11" customFormat="true" ht="10.95" hidden="false" customHeight="true" outlineLevel="0" collapsed="false">
      <c r="A13149" s="16" t="n">
        <v>45329</v>
      </c>
      <c r="B13149" s="17" t="s">
        <v>4548</v>
      </c>
      <c r="C13149" s="17" t="s">
        <v>3614</v>
      </c>
      <c r="D13149" s="17" t="s">
        <v>1391</v>
      </c>
      <c r="E13149" s="17" t="s">
        <v>3639</v>
      </c>
      <c r="F13149" s="17" t="s">
        <v>1642</v>
      </c>
      <c r="G13149" s="18" t="n">
        <v>3.64</v>
      </c>
      <c r="H13149" s="18" t="n">
        <v>0</v>
      </c>
      <c r="I13149" s="18" t="n">
        <f aca="false">((I13148 + G13149) - H13149)</f>
        <v>5674.99</v>
      </c>
      <c r="J13149" s="18" t="n">
        <v>0</v>
      </c>
      <c r="K13149" s="19" t="n">
        <v>0</v>
      </c>
      <c r="L13149" s="17"/>
    </row>
    <row r="13150" s="11" customFormat="true" ht="10.95" hidden="false" customHeight="true" outlineLevel="0" collapsed="false">
      <c r="A13150" s="16" t="n">
        <v>45329</v>
      </c>
      <c r="B13150" s="17" t="s">
        <v>4548</v>
      </c>
      <c r="C13150" s="17" t="s">
        <v>3614</v>
      </c>
      <c r="D13150" s="17" t="s">
        <v>1407</v>
      </c>
      <c r="E13150" s="17" t="s">
        <v>3756</v>
      </c>
      <c r="F13150" s="17"/>
      <c r="G13150" s="18" t="n">
        <v>1.52</v>
      </c>
      <c r="H13150" s="18" t="n">
        <v>0</v>
      </c>
      <c r="I13150" s="18" t="n">
        <f aca="false">((I13149 + G13150) - H13150)</f>
        <v>5676.51</v>
      </c>
      <c r="J13150" s="18" t="n">
        <v>0</v>
      </c>
      <c r="K13150" s="19" t="n">
        <v>0</v>
      </c>
      <c r="L13150" s="17"/>
    </row>
    <row r="13151" s="11" customFormat="true" ht="10.95" hidden="false" customHeight="true" outlineLevel="0" collapsed="false">
      <c r="A13151" s="16" t="n">
        <v>45329</v>
      </c>
      <c r="B13151" s="17" t="s">
        <v>4548</v>
      </c>
      <c r="C13151" s="17" t="s">
        <v>3614</v>
      </c>
      <c r="D13151" s="17" t="s">
        <v>1407</v>
      </c>
      <c r="E13151" s="17" t="s">
        <v>3626</v>
      </c>
      <c r="F13151" s="17"/>
      <c r="G13151" s="18" t="n">
        <v>6.5</v>
      </c>
      <c r="H13151" s="18" t="n">
        <v>0</v>
      </c>
      <c r="I13151" s="18" t="n">
        <f aca="false">((I13150 + G13151) - H13151)</f>
        <v>5683.01</v>
      </c>
      <c r="J13151" s="18" t="n">
        <v>0</v>
      </c>
      <c r="K13151" s="19" t="n">
        <v>0</v>
      </c>
      <c r="L13151" s="17"/>
    </row>
    <row r="13152" s="11" customFormat="true" ht="10.95" hidden="false" customHeight="true" outlineLevel="0" collapsed="false">
      <c r="A13152" s="16" t="n">
        <v>45329</v>
      </c>
      <c r="B13152" s="17" t="s">
        <v>4548</v>
      </c>
      <c r="C13152" s="17" t="s">
        <v>3614</v>
      </c>
      <c r="D13152" s="17" t="s">
        <v>1391</v>
      </c>
      <c r="E13152" s="17" t="s">
        <v>3703</v>
      </c>
      <c r="F13152" s="17" t="s">
        <v>1642</v>
      </c>
      <c r="G13152" s="18" t="n">
        <v>2.56</v>
      </c>
      <c r="H13152" s="18" t="n">
        <v>0</v>
      </c>
      <c r="I13152" s="18" t="n">
        <f aca="false">((I13151 + G13152) - H13152)</f>
        <v>5685.57</v>
      </c>
      <c r="J13152" s="18" t="n">
        <v>0</v>
      </c>
      <c r="K13152" s="19" t="n">
        <v>0</v>
      </c>
      <c r="L13152" s="17"/>
    </row>
    <row r="13153" s="11" customFormat="true" ht="10.95" hidden="false" customHeight="true" outlineLevel="0" collapsed="false">
      <c r="A13153" s="16" t="n">
        <v>45329</v>
      </c>
      <c r="B13153" s="17" t="s">
        <v>4548</v>
      </c>
      <c r="C13153" s="17" t="s">
        <v>3614</v>
      </c>
      <c r="D13153" s="17" t="s">
        <v>1391</v>
      </c>
      <c r="E13153" s="17" t="s">
        <v>3703</v>
      </c>
      <c r="F13153" s="17" t="s">
        <v>1642</v>
      </c>
      <c r="G13153" s="18" t="n">
        <v>3.21</v>
      </c>
      <c r="H13153" s="18" t="n">
        <v>0</v>
      </c>
      <c r="I13153" s="18" t="n">
        <f aca="false">((I13152 + G13153) - H13153)</f>
        <v>5688.78</v>
      </c>
      <c r="J13153" s="18" t="n">
        <v>0</v>
      </c>
      <c r="K13153" s="19" t="n">
        <v>0</v>
      </c>
      <c r="L13153" s="17"/>
    </row>
    <row r="13154" s="11" customFormat="true" ht="10.95" hidden="false" customHeight="true" outlineLevel="0" collapsed="false">
      <c r="A13154" s="16" t="n">
        <v>45331</v>
      </c>
      <c r="B13154" s="17" t="s">
        <v>4548</v>
      </c>
      <c r="C13154" s="17" t="s">
        <v>3614</v>
      </c>
      <c r="D13154" s="17" t="s">
        <v>1391</v>
      </c>
      <c r="E13154" s="17" t="s">
        <v>3638</v>
      </c>
      <c r="F13154" s="17" t="s">
        <v>3296</v>
      </c>
      <c r="G13154" s="18" t="n">
        <v>278.5</v>
      </c>
      <c r="H13154" s="18" t="n">
        <v>0</v>
      </c>
      <c r="I13154" s="18" t="n">
        <f aca="false">((I13153 + G13154) - H13154)</f>
        <v>5967.28</v>
      </c>
      <c r="J13154" s="18" t="n">
        <v>0</v>
      </c>
      <c r="K13154" s="19" t="n">
        <v>0</v>
      </c>
      <c r="L13154" s="17"/>
    </row>
    <row r="13155" s="11" customFormat="true" ht="10.95" hidden="false" customHeight="true" outlineLevel="0" collapsed="false">
      <c r="A13155" s="16" t="n">
        <v>45331</v>
      </c>
      <c r="B13155" s="17" t="s">
        <v>4548</v>
      </c>
      <c r="C13155" s="17" t="s">
        <v>3614</v>
      </c>
      <c r="D13155" s="17" t="s">
        <v>1407</v>
      </c>
      <c r="E13155" s="17" t="s">
        <v>4281</v>
      </c>
      <c r="F13155" s="17"/>
      <c r="G13155" s="18" t="n">
        <v>22.73</v>
      </c>
      <c r="H13155" s="18" t="n">
        <v>0</v>
      </c>
      <c r="I13155" s="18" t="n">
        <f aca="false">((I13154 + G13155) - H13155)</f>
        <v>5990.01</v>
      </c>
      <c r="J13155" s="18" t="n">
        <v>0</v>
      </c>
      <c r="K13155" s="19" t="n">
        <v>0</v>
      </c>
      <c r="L13155" s="17"/>
    </row>
    <row r="13156" s="11" customFormat="true" ht="10.95" hidden="false" customHeight="true" outlineLevel="0" collapsed="false">
      <c r="A13156" s="16" t="n">
        <v>45332</v>
      </c>
      <c r="B13156" s="17" t="s">
        <v>4548</v>
      </c>
      <c r="C13156" s="17" t="s">
        <v>3614</v>
      </c>
      <c r="D13156" s="17" t="s">
        <v>1407</v>
      </c>
      <c r="E13156" s="17" t="s">
        <v>3896</v>
      </c>
      <c r="F13156" s="17"/>
      <c r="G13156" s="18" t="n">
        <v>1.91</v>
      </c>
      <c r="H13156" s="18" t="n">
        <v>0</v>
      </c>
      <c r="I13156" s="18" t="n">
        <f aca="false">((I13155 + G13156) - H13156)</f>
        <v>5991.92</v>
      </c>
      <c r="J13156" s="18" t="n">
        <v>0</v>
      </c>
      <c r="K13156" s="19" t="n">
        <v>0</v>
      </c>
      <c r="L13156" s="17"/>
    </row>
    <row r="13157" s="11" customFormat="true" ht="10.95" hidden="false" customHeight="true" outlineLevel="0" collapsed="false">
      <c r="A13157" s="16" t="n">
        <v>45336</v>
      </c>
      <c r="B13157" s="17" t="s">
        <v>4548</v>
      </c>
      <c r="C13157" s="17" t="s">
        <v>3614</v>
      </c>
      <c r="D13157" s="17" t="s">
        <v>1391</v>
      </c>
      <c r="E13157" s="17" t="s">
        <v>3641</v>
      </c>
      <c r="F13157" s="17" t="s">
        <v>2693</v>
      </c>
      <c r="G13157" s="18" t="n">
        <v>22.65</v>
      </c>
      <c r="H13157" s="18" t="n">
        <v>0</v>
      </c>
      <c r="I13157" s="18" t="n">
        <f aca="false">((I13156 + G13157) - H13157)</f>
        <v>6014.57</v>
      </c>
      <c r="J13157" s="18" t="n">
        <v>0</v>
      </c>
      <c r="K13157" s="19" t="n">
        <v>0</v>
      </c>
      <c r="L13157" s="17"/>
    </row>
    <row r="13158" s="11" customFormat="true" ht="10.95" hidden="false" customHeight="true" outlineLevel="0" collapsed="false">
      <c r="A13158" s="16" t="n">
        <v>45336</v>
      </c>
      <c r="B13158" s="17" t="s">
        <v>4548</v>
      </c>
      <c r="C13158" s="17" t="s">
        <v>3614</v>
      </c>
      <c r="D13158" s="17" t="s">
        <v>1276</v>
      </c>
      <c r="E13158" s="17" t="s">
        <v>3805</v>
      </c>
      <c r="F13158" s="17"/>
      <c r="G13158" s="18" t="n">
        <v>0</v>
      </c>
      <c r="H13158" s="18" t="n">
        <v>8.47</v>
      </c>
      <c r="I13158" s="18" t="n">
        <f aca="false">((I13157 + G13158) - H13158)</f>
        <v>6006.1</v>
      </c>
      <c r="J13158" s="18" t="n">
        <v>0</v>
      </c>
      <c r="K13158" s="19" t="n">
        <v>0</v>
      </c>
      <c r="L13158" s="17"/>
    </row>
    <row r="13159" s="11" customFormat="true" ht="10.95" hidden="false" customHeight="true" outlineLevel="0" collapsed="false">
      <c r="A13159" s="16" t="n">
        <v>45336</v>
      </c>
      <c r="B13159" s="17" t="s">
        <v>4548</v>
      </c>
      <c r="C13159" s="17" t="s">
        <v>3614</v>
      </c>
      <c r="D13159" s="17" t="s">
        <v>1276</v>
      </c>
      <c r="E13159" s="17" t="s">
        <v>3805</v>
      </c>
      <c r="F13159" s="17"/>
      <c r="G13159" s="18" t="n">
        <v>0</v>
      </c>
      <c r="H13159" s="18" t="n">
        <v>8.16</v>
      </c>
      <c r="I13159" s="18" t="n">
        <f aca="false">((I13158 + G13159) - H13159)</f>
        <v>5997.94</v>
      </c>
      <c r="J13159" s="18" t="n">
        <v>0</v>
      </c>
      <c r="K13159" s="19" t="n">
        <v>0</v>
      </c>
      <c r="L13159" s="17"/>
    </row>
    <row r="13160" s="11" customFormat="true" ht="10.95" hidden="false" customHeight="true" outlineLevel="0" collapsed="false">
      <c r="A13160" s="16" t="n">
        <v>45336</v>
      </c>
      <c r="B13160" s="17" t="s">
        <v>4548</v>
      </c>
      <c r="C13160" s="17" t="s">
        <v>3614</v>
      </c>
      <c r="D13160" s="17" t="s">
        <v>1276</v>
      </c>
      <c r="E13160" s="17" t="s">
        <v>3805</v>
      </c>
      <c r="F13160" s="17"/>
      <c r="G13160" s="18" t="n">
        <v>0</v>
      </c>
      <c r="H13160" s="18" t="n">
        <v>8.16</v>
      </c>
      <c r="I13160" s="18" t="n">
        <f aca="false">((I13159 + G13160) - H13160)</f>
        <v>5989.78</v>
      </c>
      <c r="J13160" s="18" t="n">
        <v>0</v>
      </c>
      <c r="K13160" s="19" t="n">
        <v>0</v>
      </c>
      <c r="L13160" s="17"/>
    </row>
    <row r="13161" s="11" customFormat="true" ht="10.95" hidden="false" customHeight="true" outlineLevel="0" collapsed="false">
      <c r="A13161" s="16" t="n">
        <v>45336</v>
      </c>
      <c r="B13161" s="17" t="s">
        <v>4548</v>
      </c>
      <c r="C13161" s="17" t="s">
        <v>3614</v>
      </c>
      <c r="D13161" s="17" t="s">
        <v>1276</v>
      </c>
      <c r="E13161" s="17" t="s">
        <v>3805</v>
      </c>
      <c r="F13161" s="17"/>
      <c r="G13161" s="18" t="n">
        <v>0</v>
      </c>
      <c r="H13161" s="18" t="n">
        <v>8.47</v>
      </c>
      <c r="I13161" s="18" t="n">
        <f aca="false">((I13160 + G13161) - H13161)</f>
        <v>5981.31</v>
      </c>
      <c r="J13161" s="18" t="n">
        <v>0</v>
      </c>
      <c r="K13161" s="19" t="n">
        <v>0</v>
      </c>
      <c r="L13161" s="17"/>
    </row>
    <row r="13162" s="11" customFormat="true" ht="10.95" hidden="false" customHeight="true" outlineLevel="0" collapsed="false">
      <c r="A13162" s="16" t="n">
        <v>45336</v>
      </c>
      <c r="B13162" s="17" t="s">
        <v>4548</v>
      </c>
      <c r="C13162" s="17" t="s">
        <v>3614</v>
      </c>
      <c r="D13162" s="17" t="s">
        <v>1276</v>
      </c>
      <c r="E13162" s="17" t="s">
        <v>3805</v>
      </c>
      <c r="F13162" s="17"/>
      <c r="G13162" s="18" t="n">
        <v>0</v>
      </c>
      <c r="H13162" s="18" t="n">
        <v>8.47</v>
      </c>
      <c r="I13162" s="18" t="n">
        <f aca="false">((I13161 + G13162) - H13162)</f>
        <v>5972.84</v>
      </c>
      <c r="J13162" s="18" t="n">
        <v>0</v>
      </c>
      <c r="K13162" s="19" t="n">
        <v>0</v>
      </c>
      <c r="L13162" s="17"/>
    </row>
    <row r="13163" s="11" customFormat="true" ht="10.95" hidden="false" customHeight="true" outlineLevel="0" collapsed="false">
      <c r="A13163" s="16" t="n">
        <v>45336</v>
      </c>
      <c r="B13163" s="17" t="s">
        <v>4548</v>
      </c>
      <c r="C13163" s="17" t="s">
        <v>3614</v>
      </c>
      <c r="D13163" s="17" t="s">
        <v>1276</v>
      </c>
      <c r="E13163" s="17" t="s">
        <v>3805</v>
      </c>
      <c r="F13163" s="17"/>
      <c r="G13163" s="18" t="n">
        <v>0</v>
      </c>
      <c r="H13163" s="18" t="n">
        <v>8.47</v>
      </c>
      <c r="I13163" s="18" t="n">
        <f aca="false">((I13162 + G13163) - H13163)</f>
        <v>5964.37</v>
      </c>
      <c r="J13163" s="18" t="n">
        <v>0</v>
      </c>
      <c r="K13163" s="19" t="n">
        <v>0</v>
      </c>
      <c r="L13163" s="17"/>
    </row>
    <row r="13164" s="11" customFormat="true" ht="10.95" hidden="false" customHeight="true" outlineLevel="0" collapsed="false">
      <c r="A13164" s="16" t="n">
        <v>45336</v>
      </c>
      <c r="B13164" s="17" t="s">
        <v>4548</v>
      </c>
      <c r="C13164" s="17" t="s">
        <v>3614</v>
      </c>
      <c r="D13164" s="17" t="s">
        <v>1276</v>
      </c>
      <c r="E13164" s="17" t="s">
        <v>3805</v>
      </c>
      <c r="F13164" s="17"/>
      <c r="G13164" s="18" t="n">
        <v>0</v>
      </c>
      <c r="H13164" s="18" t="n">
        <v>8.47</v>
      </c>
      <c r="I13164" s="18" t="n">
        <f aca="false">((I13163 + G13164) - H13164)</f>
        <v>5955.9</v>
      </c>
      <c r="J13164" s="18" t="n">
        <v>0</v>
      </c>
      <c r="K13164" s="19" t="n">
        <v>0</v>
      </c>
      <c r="L13164" s="17"/>
    </row>
    <row r="13165" s="11" customFormat="true" ht="10.95" hidden="false" customHeight="true" outlineLevel="0" collapsed="false">
      <c r="A13165" s="16" t="n">
        <v>45336</v>
      </c>
      <c r="B13165" s="17" t="s">
        <v>4548</v>
      </c>
      <c r="C13165" s="17" t="s">
        <v>3614</v>
      </c>
      <c r="D13165" s="17" t="s">
        <v>1276</v>
      </c>
      <c r="E13165" s="17" t="s">
        <v>3805</v>
      </c>
      <c r="F13165" s="17"/>
      <c r="G13165" s="18" t="n">
        <v>0</v>
      </c>
      <c r="H13165" s="18" t="n">
        <v>8.47</v>
      </c>
      <c r="I13165" s="18" t="n">
        <f aca="false">((I13164 + G13165) - H13165)</f>
        <v>5947.43</v>
      </c>
      <c r="J13165" s="18" t="n">
        <v>0</v>
      </c>
      <c r="K13165" s="19" t="n">
        <v>0</v>
      </c>
      <c r="L13165" s="17"/>
    </row>
    <row r="13166" s="11" customFormat="true" ht="10.95" hidden="false" customHeight="true" outlineLevel="0" collapsed="false">
      <c r="A13166" s="16" t="n">
        <v>45336</v>
      </c>
      <c r="B13166" s="17" t="s">
        <v>4548</v>
      </c>
      <c r="C13166" s="17" t="s">
        <v>3614</v>
      </c>
      <c r="D13166" s="17" t="s">
        <v>1407</v>
      </c>
      <c r="E13166" s="17" t="s">
        <v>3824</v>
      </c>
      <c r="F13166" s="17"/>
      <c r="G13166" s="18" t="n">
        <v>79.67</v>
      </c>
      <c r="H13166" s="18" t="n">
        <v>0</v>
      </c>
      <c r="I13166" s="18" t="n">
        <f aca="false">((I13165 + G13166) - H13166)</f>
        <v>6027.1</v>
      </c>
      <c r="J13166" s="18" t="n">
        <v>0</v>
      </c>
      <c r="K13166" s="19" t="n">
        <v>0</v>
      </c>
      <c r="L13166" s="17"/>
    </row>
    <row r="13167" s="11" customFormat="true" ht="10.95" hidden="false" customHeight="true" outlineLevel="0" collapsed="false">
      <c r="A13167" s="16" t="n">
        <v>45336</v>
      </c>
      <c r="B13167" s="17" t="s">
        <v>4548</v>
      </c>
      <c r="C13167" s="17" t="s">
        <v>3614</v>
      </c>
      <c r="D13167" s="17" t="s">
        <v>1407</v>
      </c>
      <c r="E13167" s="17" t="s">
        <v>3825</v>
      </c>
      <c r="F13167" s="17"/>
      <c r="G13167" s="18" t="n">
        <v>1.81</v>
      </c>
      <c r="H13167" s="18" t="n">
        <v>0</v>
      </c>
      <c r="I13167" s="18" t="n">
        <f aca="false">((I13166 + G13167) - H13167)</f>
        <v>6028.91</v>
      </c>
      <c r="J13167" s="18" t="n">
        <v>0</v>
      </c>
      <c r="K13167" s="19" t="n">
        <v>0</v>
      </c>
      <c r="L13167" s="17"/>
    </row>
    <row r="13168" s="11" customFormat="true" ht="10.95" hidden="false" customHeight="true" outlineLevel="0" collapsed="false">
      <c r="A13168" s="16" t="n">
        <v>45337</v>
      </c>
      <c r="B13168" s="17" t="s">
        <v>4548</v>
      </c>
      <c r="C13168" s="17" t="s">
        <v>3614</v>
      </c>
      <c r="D13168" s="17" t="s">
        <v>1276</v>
      </c>
      <c r="E13168" s="17" t="s">
        <v>3805</v>
      </c>
      <c r="F13168" s="17"/>
      <c r="G13168" s="18" t="n">
        <v>0</v>
      </c>
      <c r="H13168" s="18" t="n">
        <v>8.23</v>
      </c>
      <c r="I13168" s="18" t="n">
        <f aca="false">((I13167 + G13168) - H13168)</f>
        <v>6020.68</v>
      </c>
      <c r="J13168" s="18" t="n">
        <v>0</v>
      </c>
      <c r="K13168" s="19" t="n">
        <v>0</v>
      </c>
      <c r="L13168" s="17"/>
    </row>
    <row r="13169" s="11" customFormat="true" ht="10.95" hidden="false" customHeight="true" outlineLevel="0" collapsed="false">
      <c r="A13169" s="16" t="n">
        <v>45337</v>
      </c>
      <c r="B13169" s="17" t="s">
        <v>4548</v>
      </c>
      <c r="C13169" s="17" t="s">
        <v>3614</v>
      </c>
      <c r="D13169" s="17" t="s">
        <v>1276</v>
      </c>
      <c r="E13169" s="17" t="s">
        <v>3805</v>
      </c>
      <c r="F13169" s="17"/>
      <c r="G13169" s="18" t="n">
        <v>0</v>
      </c>
      <c r="H13169" s="18" t="n">
        <v>8.23</v>
      </c>
      <c r="I13169" s="18" t="n">
        <f aca="false">((I13168 + G13169) - H13169)</f>
        <v>6012.45</v>
      </c>
      <c r="J13169" s="18" t="n">
        <v>0</v>
      </c>
      <c r="K13169" s="19" t="n">
        <v>0</v>
      </c>
      <c r="L13169" s="17"/>
    </row>
    <row r="13170" s="11" customFormat="true" ht="10.95" hidden="false" customHeight="true" outlineLevel="0" collapsed="false">
      <c r="A13170" s="16" t="n">
        <v>45337</v>
      </c>
      <c r="B13170" s="17" t="s">
        <v>4548</v>
      </c>
      <c r="C13170" s="17" t="s">
        <v>3614</v>
      </c>
      <c r="D13170" s="17" t="s">
        <v>1276</v>
      </c>
      <c r="E13170" s="17" t="s">
        <v>3805</v>
      </c>
      <c r="F13170" s="17"/>
      <c r="G13170" s="18" t="n">
        <v>0</v>
      </c>
      <c r="H13170" s="18" t="n">
        <v>8.23</v>
      </c>
      <c r="I13170" s="18" t="n">
        <f aca="false">((I13169 + G13170) - H13170)</f>
        <v>6004.22</v>
      </c>
      <c r="J13170" s="18" t="n">
        <v>0</v>
      </c>
      <c r="K13170" s="19" t="n">
        <v>0</v>
      </c>
      <c r="L13170" s="17"/>
    </row>
    <row r="13171" s="11" customFormat="true" ht="10.95" hidden="false" customHeight="true" outlineLevel="0" collapsed="false">
      <c r="A13171" s="16" t="n">
        <v>45337</v>
      </c>
      <c r="B13171" s="17" t="s">
        <v>4548</v>
      </c>
      <c r="C13171" s="17" t="s">
        <v>3614</v>
      </c>
      <c r="D13171" s="17" t="s">
        <v>1276</v>
      </c>
      <c r="E13171" s="17" t="s">
        <v>3805</v>
      </c>
      <c r="F13171" s="17"/>
      <c r="G13171" s="18" t="n">
        <v>0</v>
      </c>
      <c r="H13171" s="18" t="n">
        <v>8.23</v>
      </c>
      <c r="I13171" s="18" t="n">
        <f aca="false">((I13170 + G13171) - H13171)</f>
        <v>5995.99</v>
      </c>
      <c r="J13171" s="18" t="n">
        <v>0</v>
      </c>
      <c r="K13171" s="19" t="n">
        <v>0</v>
      </c>
      <c r="L13171" s="17"/>
    </row>
    <row r="13172" s="11" customFormat="true" ht="10.95" hidden="false" customHeight="true" outlineLevel="0" collapsed="false">
      <c r="A13172" s="16" t="n">
        <v>45337</v>
      </c>
      <c r="B13172" s="17" t="s">
        <v>4548</v>
      </c>
      <c r="C13172" s="17" t="s">
        <v>3614</v>
      </c>
      <c r="D13172" s="17" t="s">
        <v>1276</v>
      </c>
      <c r="E13172" s="17" t="s">
        <v>3805</v>
      </c>
      <c r="F13172" s="17"/>
      <c r="G13172" s="18" t="n">
        <v>0</v>
      </c>
      <c r="H13172" s="18" t="n">
        <v>8.23</v>
      </c>
      <c r="I13172" s="18" t="n">
        <f aca="false">((I13171 + G13172) - H13172)</f>
        <v>5987.76</v>
      </c>
      <c r="J13172" s="18" t="n">
        <v>0</v>
      </c>
      <c r="K13172" s="19" t="n">
        <v>0</v>
      </c>
      <c r="L13172" s="17"/>
    </row>
    <row r="13173" s="11" customFormat="true" ht="10.95" hidden="false" customHeight="true" outlineLevel="0" collapsed="false">
      <c r="A13173" s="16" t="n">
        <v>45337</v>
      </c>
      <c r="B13173" s="17" t="s">
        <v>4548</v>
      </c>
      <c r="C13173" s="17" t="s">
        <v>3614</v>
      </c>
      <c r="D13173" s="17" t="s">
        <v>1276</v>
      </c>
      <c r="E13173" s="17" t="s">
        <v>3805</v>
      </c>
      <c r="F13173" s="17"/>
      <c r="G13173" s="18" t="n">
        <v>0</v>
      </c>
      <c r="H13173" s="18" t="n">
        <v>8.23</v>
      </c>
      <c r="I13173" s="18" t="n">
        <f aca="false">((I13172 + G13173) - H13173)</f>
        <v>5979.53</v>
      </c>
      <c r="J13173" s="18" t="n">
        <v>0</v>
      </c>
      <c r="K13173" s="19" t="n">
        <v>0</v>
      </c>
      <c r="L13173" s="17"/>
    </row>
    <row r="13174" s="11" customFormat="true" ht="10.95" hidden="false" customHeight="true" outlineLevel="0" collapsed="false">
      <c r="A13174" s="16" t="n">
        <v>45337</v>
      </c>
      <c r="B13174" s="17" t="s">
        <v>4548</v>
      </c>
      <c r="C13174" s="17" t="s">
        <v>3614</v>
      </c>
      <c r="D13174" s="17" t="s">
        <v>1276</v>
      </c>
      <c r="E13174" s="17" t="s">
        <v>3805</v>
      </c>
      <c r="F13174" s="17"/>
      <c r="G13174" s="18" t="n">
        <v>0</v>
      </c>
      <c r="H13174" s="18" t="n">
        <v>8.23</v>
      </c>
      <c r="I13174" s="18" t="n">
        <f aca="false">((I13173 + G13174) - H13174)</f>
        <v>5971.3</v>
      </c>
      <c r="J13174" s="18" t="n">
        <v>0</v>
      </c>
      <c r="K13174" s="19" t="n">
        <v>0</v>
      </c>
      <c r="L13174" s="17"/>
    </row>
    <row r="13175" s="11" customFormat="true" ht="10.95" hidden="false" customHeight="true" outlineLevel="0" collapsed="false">
      <c r="A13175" s="16" t="n">
        <v>45337</v>
      </c>
      <c r="B13175" s="17" t="s">
        <v>4548</v>
      </c>
      <c r="C13175" s="17" t="s">
        <v>3614</v>
      </c>
      <c r="D13175" s="17" t="s">
        <v>1276</v>
      </c>
      <c r="E13175" s="17" t="s">
        <v>3805</v>
      </c>
      <c r="F13175" s="17"/>
      <c r="G13175" s="18" t="n">
        <v>0</v>
      </c>
      <c r="H13175" s="18" t="n">
        <v>8.23</v>
      </c>
      <c r="I13175" s="18" t="n">
        <f aca="false">((I13174 + G13175) - H13175)</f>
        <v>5963.07</v>
      </c>
      <c r="J13175" s="18" t="n">
        <v>0</v>
      </c>
      <c r="K13175" s="19" t="n">
        <v>0</v>
      </c>
      <c r="L13175" s="17"/>
    </row>
    <row r="13176" s="11" customFormat="true" ht="10.95" hidden="false" customHeight="true" outlineLevel="0" collapsed="false">
      <c r="A13176" s="16" t="n">
        <v>45337</v>
      </c>
      <c r="B13176" s="17" t="s">
        <v>4548</v>
      </c>
      <c r="C13176" s="17" t="s">
        <v>3614</v>
      </c>
      <c r="D13176" s="17" t="s">
        <v>1276</v>
      </c>
      <c r="E13176" s="17" t="s">
        <v>3805</v>
      </c>
      <c r="F13176" s="17"/>
      <c r="G13176" s="18" t="n">
        <v>0</v>
      </c>
      <c r="H13176" s="18" t="n">
        <v>8.23</v>
      </c>
      <c r="I13176" s="18" t="n">
        <f aca="false">((I13175 + G13176) - H13176)</f>
        <v>5954.84</v>
      </c>
      <c r="J13176" s="18" t="n">
        <v>0</v>
      </c>
      <c r="K13176" s="19" t="n">
        <v>0</v>
      </c>
      <c r="L13176" s="17"/>
    </row>
    <row r="13177" s="11" customFormat="true" ht="10.95" hidden="false" customHeight="true" outlineLevel="0" collapsed="false">
      <c r="A13177" s="16" t="n">
        <v>45337</v>
      </c>
      <c r="B13177" s="17" t="s">
        <v>4548</v>
      </c>
      <c r="C13177" s="17" t="s">
        <v>3614</v>
      </c>
      <c r="D13177" s="17" t="s">
        <v>1276</v>
      </c>
      <c r="E13177" s="17" t="s">
        <v>3805</v>
      </c>
      <c r="F13177" s="17"/>
      <c r="G13177" s="18" t="n">
        <v>0</v>
      </c>
      <c r="H13177" s="18" t="n">
        <v>8.23</v>
      </c>
      <c r="I13177" s="18" t="n">
        <f aca="false">((I13176 + G13177) - H13177)</f>
        <v>5946.61</v>
      </c>
      <c r="J13177" s="18" t="n">
        <v>0</v>
      </c>
      <c r="K13177" s="19" t="n">
        <v>0</v>
      </c>
      <c r="L13177" s="17"/>
    </row>
    <row r="13178" s="11" customFormat="true" ht="10.95" hidden="false" customHeight="true" outlineLevel="0" collapsed="false">
      <c r="A13178" s="16" t="n">
        <v>45337</v>
      </c>
      <c r="B13178" s="17" t="s">
        <v>4548</v>
      </c>
      <c r="C13178" s="17" t="s">
        <v>3614</v>
      </c>
      <c r="D13178" s="17" t="s">
        <v>1276</v>
      </c>
      <c r="E13178" s="17" t="s">
        <v>3805</v>
      </c>
      <c r="F13178" s="17"/>
      <c r="G13178" s="18" t="n">
        <v>0</v>
      </c>
      <c r="H13178" s="18" t="n">
        <v>8.23</v>
      </c>
      <c r="I13178" s="18" t="n">
        <f aca="false">((I13177 + G13178) - H13178)</f>
        <v>5938.38</v>
      </c>
      <c r="J13178" s="18" t="n">
        <v>0</v>
      </c>
      <c r="K13178" s="19" t="n">
        <v>0</v>
      </c>
      <c r="L13178" s="17"/>
    </row>
    <row r="13179" s="11" customFormat="true" ht="10.95" hidden="false" customHeight="true" outlineLevel="0" collapsed="false">
      <c r="A13179" s="16" t="n">
        <v>45337</v>
      </c>
      <c r="B13179" s="17" t="s">
        <v>4548</v>
      </c>
      <c r="C13179" s="17" t="s">
        <v>3614</v>
      </c>
      <c r="D13179" s="17" t="s">
        <v>1276</v>
      </c>
      <c r="E13179" s="17" t="s">
        <v>3805</v>
      </c>
      <c r="F13179" s="17"/>
      <c r="G13179" s="18" t="n">
        <v>0</v>
      </c>
      <c r="H13179" s="18" t="n">
        <v>8.23</v>
      </c>
      <c r="I13179" s="18" t="n">
        <f aca="false">((I13178 + G13179) - H13179)</f>
        <v>5930.15</v>
      </c>
      <c r="J13179" s="18" t="n">
        <v>0</v>
      </c>
      <c r="K13179" s="19" t="n">
        <v>0</v>
      </c>
      <c r="L13179" s="17"/>
    </row>
    <row r="13180" s="11" customFormat="true" ht="10.95" hidden="false" customHeight="true" outlineLevel="0" collapsed="false">
      <c r="A13180" s="16" t="n">
        <v>45337</v>
      </c>
      <c r="B13180" s="17" t="s">
        <v>4548</v>
      </c>
      <c r="C13180" s="17" t="s">
        <v>3614</v>
      </c>
      <c r="D13180" s="17" t="s">
        <v>1276</v>
      </c>
      <c r="E13180" s="17" t="s">
        <v>3805</v>
      </c>
      <c r="F13180" s="17"/>
      <c r="G13180" s="18" t="n">
        <v>0</v>
      </c>
      <c r="H13180" s="18" t="n">
        <v>8.23</v>
      </c>
      <c r="I13180" s="18" t="n">
        <f aca="false">((I13179 + G13180) - H13180)</f>
        <v>5921.92</v>
      </c>
      <c r="J13180" s="18" t="n">
        <v>0</v>
      </c>
      <c r="K13180" s="19" t="n">
        <v>0</v>
      </c>
      <c r="L13180" s="17"/>
    </row>
    <row r="13181" s="11" customFormat="true" ht="10.95" hidden="false" customHeight="true" outlineLevel="0" collapsed="false">
      <c r="A13181" s="16" t="n">
        <v>45337</v>
      </c>
      <c r="B13181" s="17" t="s">
        <v>4548</v>
      </c>
      <c r="C13181" s="17" t="s">
        <v>3614</v>
      </c>
      <c r="D13181" s="17" t="s">
        <v>1276</v>
      </c>
      <c r="E13181" s="17" t="s">
        <v>3805</v>
      </c>
      <c r="F13181" s="17"/>
      <c r="G13181" s="18" t="n">
        <v>0</v>
      </c>
      <c r="H13181" s="18" t="n">
        <v>8.23</v>
      </c>
      <c r="I13181" s="18" t="n">
        <f aca="false">((I13180 + G13181) - H13181)</f>
        <v>5913.69</v>
      </c>
      <c r="J13181" s="18" t="n">
        <v>0</v>
      </c>
      <c r="K13181" s="19" t="n">
        <v>0</v>
      </c>
      <c r="L13181" s="17"/>
    </row>
    <row r="13182" s="11" customFormat="true" ht="10.95" hidden="false" customHeight="true" outlineLevel="0" collapsed="false">
      <c r="A13182" s="16" t="n">
        <v>45337</v>
      </c>
      <c r="B13182" s="17" t="s">
        <v>4548</v>
      </c>
      <c r="C13182" s="17" t="s">
        <v>3614</v>
      </c>
      <c r="D13182" s="17" t="s">
        <v>1276</v>
      </c>
      <c r="E13182" s="17" t="s">
        <v>3805</v>
      </c>
      <c r="F13182" s="17"/>
      <c r="G13182" s="18" t="n">
        <v>0</v>
      </c>
      <c r="H13182" s="18" t="n">
        <v>8.23</v>
      </c>
      <c r="I13182" s="18" t="n">
        <f aca="false">((I13181 + G13182) - H13182)</f>
        <v>5905.46</v>
      </c>
      <c r="J13182" s="18" t="n">
        <v>0</v>
      </c>
      <c r="K13182" s="19" t="n">
        <v>0</v>
      </c>
      <c r="L13182" s="17"/>
    </row>
    <row r="13183" s="11" customFormat="true" ht="10.95" hidden="false" customHeight="true" outlineLevel="0" collapsed="false">
      <c r="A13183" s="16" t="n">
        <v>45337</v>
      </c>
      <c r="B13183" s="17" t="s">
        <v>4548</v>
      </c>
      <c r="C13183" s="17" t="s">
        <v>3614</v>
      </c>
      <c r="D13183" s="17" t="s">
        <v>1276</v>
      </c>
      <c r="E13183" s="17" t="s">
        <v>3805</v>
      </c>
      <c r="F13183" s="17"/>
      <c r="G13183" s="18" t="n">
        <v>0</v>
      </c>
      <c r="H13183" s="18" t="n">
        <v>8.23</v>
      </c>
      <c r="I13183" s="18" t="n">
        <f aca="false">((I13182 + G13183) - H13183)</f>
        <v>5897.23</v>
      </c>
      <c r="J13183" s="18" t="n">
        <v>0</v>
      </c>
      <c r="K13183" s="19" t="n">
        <v>0</v>
      </c>
      <c r="L13183" s="17"/>
    </row>
    <row r="13184" s="11" customFormat="true" ht="10.95" hidden="false" customHeight="true" outlineLevel="0" collapsed="false">
      <c r="A13184" s="16" t="n">
        <v>45337</v>
      </c>
      <c r="B13184" s="17" t="s">
        <v>4548</v>
      </c>
      <c r="C13184" s="17" t="s">
        <v>3614</v>
      </c>
      <c r="D13184" s="17" t="s">
        <v>1276</v>
      </c>
      <c r="E13184" s="17" t="s">
        <v>3805</v>
      </c>
      <c r="F13184" s="17"/>
      <c r="G13184" s="18" t="n">
        <v>0</v>
      </c>
      <c r="H13184" s="18" t="n">
        <v>8.23</v>
      </c>
      <c r="I13184" s="18" t="n">
        <f aca="false">((I13183 + G13184) - H13184)</f>
        <v>5889.00000000001</v>
      </c>
      <c r="J13184" s="18" t="n">
        <v>0</v>
      </c>
      <c r="K13184" s="19" t="n">
        <v>0</v>
      </c>
      <c r="L13184" s="17"/>
    </row>
    <row r="13185" s="11" customFormat="true" ht="10.95" hidden="false" customHeight="true" outlineLevel="0" collapsed="false">
      <c r="A13185" s="16" t="n">
        <v>45337</v>
      </c>
      <c r="B13185" s="17" t="s">
        <v>4548</v>
      </c>
      <c r="C13185" s="17" t="s">
        <v>3614</v>
      </c>
      <c r="D13185" s="17" t="s">
        <v>1276</v>
      </c>
      <c r="E13185" s="17" t="s">
        <v>3805</v>
      </c>
      <c r="F13185" s="17"/>
      <c r="G13185" s="18" t="n">
        <v>0</v>
      </c>
      <c r="H13185" s="18" t="n">
        <v>8.23</v>
      </c>
      <c r="I13185" s="18" t="n">
        <f aca="false">((I13184 + G13185) - H13185)</f>
        <v>5880.77000000001</v>
      </c>
      <c r="J13185" s="18" t="n">
        <v>0</v>
      </c>
      <c r="K13185" s="19" t="n">
        <v>0</v>
      </c>
      <c r="L13185" s="17"/>
    </row>
    <row r="13186" s="11" customFormat="true" ht="10.95" hidden="false" customHeight="true" outlineLevel="0" collapsed="false">
      <c r="A13186" s="16" t="n">
        <v>45337</v>
      </c>
      <c r="B13186" s="17" t="s">
        <v>4548</v>
      </c>
      <c r="C13186" s="17" t="s">
        <v>3614</v>
      </c>
      <c r="D13186" s="17" t="s">
        <v>1276</v>
      </c>
      <c r="E13186" s="17" t="s">
        <v>3805</v>
      </c>
      <c r="F13186" s="17"/>
      <c r="G13186" s="18" t="n">
        <v>0</v>
      </c>
      <c r="H13186" s="18" t="n">
        <v>8.23</v>
      </c>
      <c r="I13186" s="18" t="n">
        <f aca="false">((I13185 + G13186) - H13186)</f>
        <v>5872.54000000001</v>
      </c>
      <c r="J13186" s="18" t="n">
        <v>0</v>
      </c>
      <c r="K13186" s="19" t="n">
        <v>0</v>
      </c>
      <c r="L13186" s="17"/>
    </row>
    <row r="13187" s="11" customFormat="true" ht="10.95" hidden="false" customHeight="true" outlineLevel="0" collapsed="false">
      <c r="A13187" s="16" t="n">
        <v>45337</v>
      </c>
      <c r="B13187" s="17" t="s">
        <v>4548</v>
      </c>
      <c r="C13187" s="17" t="s">
        <v>3614</v>
      </c>
      <c r="D13187" s="17" t="s">
        <v>1276</v>
      </c>
      <c r="E13187" s="17" t="s">
        <v>3805</v>
      </c>
      <c r="F13187" s="17"/>
      <c r="G13187" s="18" t="n">
        <v>0</v>
      </c>
      <c r="H13187" s="18" t="n">
        <v>8.23</v>
      </c>
      <c r="I13187" s="18" t="n">
        <f aca="false">((I13186 + G13187) - H13187)</f>
        <v>5864.31000000001</v>
      </c>
      <c r="J13187" s="18" t="n">
        <v>0</v>
      </c>
      <c r="K13187" s="19" t="n">
        <v>0</v>
      </c>
      <c r="L13187" s="17"/>
    </row>
    <row r="13188" s="11" customFormat="true" ht="10.95" hidden="false" customHeight="true" outlineLevel="0" collapsed="false">
      <c r="A13188" s="16" t="n">
        <v>45337</v>
      </c>
      <c r="B13188" s="17" t="s">
        <v>4548</v>
      </c>
      <c r="C13188" s="17" t="s">
        <v>3614</v>
      </c>
      <c r="D13188" s="17" t="s">
        <v>1276</v>
      </c>
      <c r="E13188" s="17" t="s">
        <v>3805</v>
      </c>
      <c r="F13188" s="17"/>
      <c r="G13188" s="18" t="n">
        <v>0</v>
      </c>
      <c r="H13188" s="18" t="n">
        <v>8.23</v>
      </c>
      <c r="I13188" s="18" t="n">
        <f aca="false">((I13187 + G13188) - H13188)</f>
        <v>5856.08000000001</v>
      </c>
      <c r="J13188" s="18" t="n">
        <v>0</v>
      </c>
      <c r="K13188" s="19" t="n">
        <v>0</v>
      </c>
      <c r="L13188" s="17"/>
    </row>
    <row r="13189" s="11" customFormat="true" ht="10.95" hidden="false" customHeight="true" outlineLevel="0" collapsed="false">
      <c r="A13189" s="16" t="n">
        <v>45337</v>
      </c>
      <c r="B13189" s="17" t="s">
        <v>4548</v>
      </c>
      <c r="C13189" s="17" t="s">
        <v>3614</v>
      </c>
      <c r="D13189" s="17" t="s">
        <v>1276</v>
      </c>
      <c r="E13189" s="17" t="s">
        <v>3805</v>
      </c>
      <c r="F13189" s="17"/>
      <c r="G13189" s="18" t="n">
        <v>0</v>
      </c>
      <c r="H13189" s="18" t="n">
        <v>8.23</v>
      </c>
      <c r="I13189" s="18" t="n">
        <f aca="false">((I13188 + G13189) - H13189)</f>
        <v>5847.85000000001</v>
      </c>
      <c r="J13189" s="18" t="n">
        <v>0</v>
      </c>
      <c r="K13189" s="19" t="n">
        <v>0</v>
      </c>
      <c r="L13189" s="17"/>
    </row>
    <row r="13190" s="11" customFormat="true" ht="10.95" hidden="false" customHeight="true" outlineLevel="0" collapsed="false">
      <c r="A13190" s="16" t="n">
        <v>45340</v>
      </c>
      <c r="B13190" s="17" t="s">
        <v>4548</v>
      </c>
      <c r="C13190" s="17" t="s">
        <v>3614</v>
      </c>
      <c r="D13190" s="17" t="s">
        <v>1391</v>
      </c>
      <c r="E13190" s="17" t="s">
        <v>3642</v>
      </c>
      <c r="F13190" s="17" t="s">
        <v>2481</v>
      </c>
      <c r="G13190" s="18" t="n">
        <v>6.2</v>
      </c>
      <c r="H13190" s="18" t="n">
        <v>0</v>
      </c>
      <c r="I13190" s="18" t="n">
        <f aca="false">((I13189 + G13190) - H13190)</f>
        <v>5854.05000000001</v>
      </c>
      <c r="J13190" s="18" t="n">
        <v>0</v>
      </c>
      <c r="K13190" s="19" t="n">
        <v>0</v>
      </c>
      <c r="L13190" s="17"/>
    </row>
    <row r="13191" s="11" customFormat="true" ht="10.95" hidden="false" customHeight="true" outlineLevel="0" collapsed="false">
      <c r="A13191" s="16" t="n">
        <v>45340</v>
      </c>
      <c r="B13191" s="17" t="s">
        <v>4548</v>
      </c>
      <c r="C13191" s="17" t="s">
        <v>3614</v>
      </c>
      <c r="D13191" s="17" t="s">
        <v>1391</v>
      </c>
      <c r="E13191" s="17" t="s">
        <v>3642</v>
      </c>
      <c r="F13191" s="17" t="s">
        <v>2483</v>
      </c>
      <c r="G13191" s="18" t="n">
        <v>7.6</v>
      </c>
      <c r="H13191" s="18" t="n">
        <v>0</v>
      </c>
      <c r="I13191" s="18" t="n">
        <f aca="false">((I13190 + G13191) - H13191)</f>
        <v>5861.65000000001</v>
      </c>
      <c r="J13191" s="18" t="n">
        <v>0</v>
      </c>
      <c r="K13191" s="19" t="n">
        <v>0</v>
      </c>
      <c r="L13191" s="17"/>
    </row>
    <row r="13192" s="11" customFormat="true" ht="10.95" hidden="false" customHeight="true" outlineLevel="0" collapsed="false">
      <c r="A13192" s="16" t="n">
        <v>45340</v>
      </c>
      <c r="B13192" s="17" t="s">
        <v>4548</v>
      </c>
      <c r="C13192" s="17" t="s">
        <v>3614</v>
      </c>
      <c r="D13192" s="17" t="s">
        <v>1391</v>
      </c>
      <c r="E13192" s="17" t="s">
        <v>3642</v>
      </c>
      <c r="F13192" s="17" t="s">
        <v>2485</v>
      </c>
      <c r="G13192" s="18" t="n">
        <v>2.2</v>
      </c>
      <c r="H13192" s="18" t="n">
        <v>0</v>
      </c>
      <c r="I13192" s="18" t="n">
        <f aca="false">((I13191 + G13192) - H13192)</f>
        <v>5863.85000000001</v>
      </c>
      <c r="J13192" s="18" t="n">
        <v>0</v>
      </c>
      <c r="K13192" s="19" t="n">
        <v>0</v>
      </c>
      <c r="L13192" s="17"/>
    </row>
    <row r="13193" s="11" customFormat="true" ht="10.95" hidden="false" customHeight="true" outlineLevel="0" collapsed="false">
      <c r="A13193" s="16" t="n">
        <v>45340</v>
      </c>
      <c r="B13193" s="17" t="s">
        <v>4548</v>
      </c>
      <c r="C13193" s="17" t="s">
        <v>3614</v>
      </c>
      <c r="D13193" s="17" t="s">
        <v>1391</v>
      </c>
      <c r="E13193" s="17" t="s">
        <v>3642</v>
      </c>
      <c r="F13193" s="17" t="s">
        <v>2487</v>
      </c>
      <c r="G13193" s="18" t="n">
        <v>19.98</v>
      </c>
      <c r="H13193" s="18" t="n">
        <v>0</v>
      </c>
      <c r="I13193" s="18" t="n">
        <f aca="false">((I13192 + G13193) - H13193)</f>
        <v>5883.83000000001</v>
      </c>
      <c r="J13193" s="18" t="n">
        <v>0</v>
      </c>
      <c r="K13193" s="19" t="n">
        <v>0</v>
      </c>
      <c r="L13193" s="17"/>
    </row>
    <row r="13194" s="11" customFormat="true" ht="10.95" hidden="false" customHeight="true" outlineLevel="0" collapsed="false">
      <c r="A13194" s="16" t="n">
        <v>45340</v>
      </c>
      <c r="B13194" s="17" t="s">
        <v>4548</v>
      </c>
      <c r="C13194" s="17" t="s">
        <v>3614</v>
      </c>
      <c r="D13194" s="17" t="s">
        <v>1391</v>
      </c>
      <c r="E13194" s="17" t="s">
        <v>3642</v>
      </c>
      <c r="F13194" s="17" t="s">
        <v>2489</v>
      </c>
      <c r="G13194" s="18" t="n">
        <v>5.5</v>
      </c>
      <c r="H13194" s="18" t="n">
        <v>0</v>
      </c>
      <c r="I13194" s="18" t="n">
        <f aca="false">((I13193 + G13194) - H13194)</f>
        <v>5889.33000000001</v>
      </c>
      <c r="J13194" s="18" t="n">
        <v>0</v>
      </c>
      <c r="K13194" s="19" t="n">
        <v>0</v>
      </c>
      <c r="L13194" s="17"/>
    </row>
    <row r="13195" s="11" customFormat="true" ht="10.95" hidden="false" customHeight="true" outlineLevel="0" collapsed="false">
      <c r="A13195" s="16" t="n">
        <v>45340</v>
      </c>
      <c r="B13195" s="17" t="s">
        <v>4548</v>
      </c>
      <c r="C13195" s="17" t="s">
        <v>3614</v>
      </c>
      <c r="D13195" s="17" t="s">
        <v>1391</v>
      </c>
      <c r="E13195" s="17" t="s">
        <v>3642</v>
      </c>
      <c r="F13195" s="17" t="s">
        <v>2491</v>
      </c>
      <c r="G13195" s="18" t="n">
        <v>4.48</v>
      </c>
      <c r="H13195" s="18" t="n">
        <v>0</v>
      </c>
      <c r="I13195" s="18" t="n">
        <f aca="false">((I13194 + G13195) - H13195)</f>
        <v>5893.81000000001</v>
      </c>
      <c r="J13195" s="18" t="n">
        <v>0</v>
      </c>
      <c r="K13195" s="19" t="n">
        <v>0</v>
      </c>
      <c r="L13195" s="17"/>
    </row>
    <row r="13196" s="11" customFormat="true" ht="10.95" hidden="false" customHeight="true" outlineLevel="0" collapsed="false">
      <c r="A13196" s="16" t="n">
        <v>45340</v>
      </c>
      <c r="B13196" s="17" t="s">
        <v>4548</v>
      </c>
      <c r="C13196" s="17" t="s">
        <v>3614</v>
      </c>
      <c r="D13196" s="17" t="s">
        <v>1391</v>
      </c>
      <c r="E13196" s="17" t="s">
        <v>3642</v>
      </c>
      <c r="F13196" s="17" t="s">
        <v>2493</v>
      </c>
      <c r="G13196" s="18" t="n">
        <v>0.9</v>
      </c>
      <c r="H13196" s="18" t="n">
        <v>0</v>
      </c>
      <c r="I13196" s="18" t="n">
        <f aca="false">((I13195 + G13196) - H13196)</f>
        <v>5894.71000000001</v>
      </c>
      <c r="J13196" s="18" t="n">
        <v>0</v>
      </c>
      <c r="K13196" s="19" t="n">
        <v>0</v>
      </c>
      <c r="L13196" s="17"/>
    </row>
    <row r="13197" s="11" customFormat="true" ht="10.95" hidden="false" customHeight="true" outlineLevel="0" collapsed="false">
      <c r="A13197" s="16" t="n">
        <v>45340</v>
      </c>
      <c r="B13197" s="17" t="s">
        <v>4548</v>
      </c>
      <c r="C13197" s="17" t="s">
        <v>3614</v>
      </c>
      <c r="D13197" s="17" t="s">
        <v>1391</v>
      </c>
      <c r="E13197" s="17" t="s">
        <v>3642</v>
      </c>
      <c r="F13197" s="17" t="s">
        <v>2495</v>
      </c>
      <c r="G13197" s="18" t="n">
        <v>3.29</v>
      </c>
      <c r="H13197" s="18" t="n">
        <v>0</v>
      </c>
      <c r="I13197" s="18" t="n">
        <f aca="false">((I13196 + G13197) - H13197)</f>
        <v>5898.00000000001</v>
      </c>
      <c r="J13197" s="18" t="n">
        <v>0</v>
      </c>
      <c r="K13197" s="19" t="n">
        <v>0</v>
      </c>
      <c r="L13197" s="17"/>
    </row>
    <row r="13198" s="11" customFormat="true" ht="10.95" hidden="false" customHeight="true" outlineLevel="0" collapsed="false">
      <c r="A13198" s="16" t="n">
        <v>45342</v>
      </c>
      <c r="B13198" s="17" t="s">
        <v>4548</v>
      </c>
      <c r="C13198" s="17" t="s">
        <v>3614</v>
      </c>
      <c r="D13198" s="17" t="s">
        <v>1391</v>
      </c>
      <c r="E13198" s="17" t="s">
        <v>3638</v>
      </c>
      <c r="F13198" s="17" t="s">
        <v>3298</v>
      </c>
      <c r="G13198" s="18" t="n">
        <v>343.6</v>
      </c>
      <c r="H13198" s="18" t="n">
        <v>0</v>
      </c>
      <c r="I13198" s="18" t="n">
        <f aca="false">((I13197 + G13198) - H13198)</f>
        <v>6241.60000000001</v>
      </c>
      <c r="J13198" s="18" t="n">
        <v>0</v>
      </c>
      <c r="K13198" s="19" t="n">
        <v>0</v>
      </c>
      <c r="L13198" s="17"/>
    </row>
    <row r="13199" s="11" customFormat="true" ht="10.95" hidden="false" customHeight="true" outlineLevel="0" collapsed="false">
      <c r="A13199" s="16" t="n">
        <v>45342</v>
      </c>
      <c r="B13199" s="17" t="s">
        <v>4548</v>
      </c>
      <c r="C13199" s="17" t="s">
        <v>3614</v>
      </c>
      <c r="D13199" s="17" t="s">
        <v>1391</v>
      </c>
      <c r="E13199" s="17" t="s">
        <v>3638</v>
      </c>
      <c r="F13199" s="17" t="s">
        <v>3300</v>
      </c>
      <c r="G13199" s="18" t="n">
        <v>30.5</v>
      </c>
      <c r="H13199" s="18" t="n">
        <v>0</v>
      </c>
      <c r="I13199" s="18" t="n">
        <f aca="false">((I13198 + G13199) - H13199)</f>
        <v>6272.10000000001</v>
      </c>
      <c r="J13199" s="18" t="n">
        <v>0</v>
      </c>
      <c r="K13199" s="19" t="n">
        <v>0</v>
      </c>
      <c r="L13199" s="17"/>
    </row>
    <row r="13200" s="11" customFormat="true" ht="10.95" hidden="false" customHeight="true" outlineLevel="0" collapsed="false">
      <c r="A13200" s="16" t="n">
        <v>45342</v>
      </c>
      <c r="B13200" s="17" t="s">
        <v>4548</v>
      </c>
      <c r="C13200" s="17" t="s">
        <v>3614</v>
      </c>
      <c r="D13200" s="17" t="s">
        <v>1407</v>
      </c>
      <c r="E13200" s="17" t="s">
        <v>3900</v>
      </c>
      <c r="F13200" s="17"/>
      <c r="G13200" s="18" t="n">
        <v>1.54</v>
      </c>
      <c r="H13200" s="18" t="n">
        <v>0</v>
      </c>
      <c r="I13200" s="18" t="n">
        <f aca="false">((I13199 + G13200) - H13200)</f>
        <v>6273.64000000001</v>
      </c>
      <c r="J13200" s="18" t="n">
        <v>0</v>
      </c>
      <c r="K13200" s="19" t="n">
        <v>0</v>
      </c>
      <c r="L13200" s="17"/>
    </row>
    <row r="13201" s="11" customFormat="true" ht="10.95" hidden="false" customHeight="true" outlineLevel="0" collapsed="false">
      <c r="A13201" s="16" t="n">
        <v>45342</v>
      </c>
      <c r="B13201" s="17" t="s">
        <v>4548</v>
      </c>
      <c r="C13201" s="17" t="s">
        <v>3614</v>
      </c>
      <c r="D13201" s="17" t="s">
        <v>1407</v>
      </c>
      <c r="E13201" s="17" t="s">
        <v>3901</v>
      </c>
      <c r="F13201" s="17"/>
      <c r="G13201" s="18" t="n">
        <v>7.6</v>
      </c>
      <c r="H13201" s="18" t="n">
        <v>0</v>
      </c>
      <c r="I13201" s="18" t="n">
        <f aca="false">((I13200 + G13201) - H13201)</f>
        <v>6281.24000000001</v>
      </c>
      <c r="J13201" s="18" t="n">
        <v>0</v>
      </c>
      <c r="K13201" s="19" t="n">
        <v>0</v>
      </c>
      <c r="L13201" s="17"/>
    </row>
    <row r="13202" s="11" customFormat="true" ht="10.95" hidden="false" customHeight="true" outlineLevel="0" collapsed="false">
      <c r="A13202" s="16" t="n">
        <v>45342</v>
      </c>
      <c r="B13202" s="17" t="s">
        <v>4548</v>
      </c>
      <c r="C13202" s="17" t="s">
        <v>3614</v>
      </c>
      <c r="D13202" s="17" t="s">
        <v>1407</v>
      </c>
      <c r="E13202" s="17" t="s">
        <v>3902</v>
      </c>
      <c r="F13202" s="17"/>
      <c r="G13202" s="18" t="n">
        <v>24.77</v>
      </c>
      <c r="H13202" s="18" t="n">
        <v>0</v>
      </c>
      <c r="I13202" s="18" t="n">
        <f aca="false">((I13201 + G13202) - H13202)</f>
        <v>6306.01000000001</v>
      </c>
      <c r="J13202" s="18" t="n">
        <v>0</v>
      </c>
      <c r="K13202" s="19" t="n">
        <v>0</v>
      </c>
      <c r="L13202" s="17"/>
    </row>
    <row r="13203" s="11" customFormat="true" ht="10.95" hidden="false" customHeight="true" outlineLevel="0" collapsed="false">
      <c r="A13203" s="16" t="n">
        <v>45342</v>
      </c>
      <c r="B13203" s="17" t="s">
        <v>4548</v>
      </c>
      <c r="C13203" s="17" t="s">
        <v>3614</v>
      </c>
      <c r="D13203" s="17" t="s">
        <v>1391</v>
      </c>
      <c r="E13203" s="17" t="s">
        <v>3668</v>
      </c>
      <c r="F13203" s="17" t="s">
        <v>2497</v>
      </c>
      <c r="G13203" s="18" t="n">
        <v>8.82</v>
      </c>
      <c r="H13203" s="18" t="n">
        <v>0</v>
      </c>
      <c r="I13203" s="18" t="n">
        <f aca="false">((I13202 + G13203) - H13203)</f>
        <v>6314.83000000001</v>
      </c>
      <c r="J13203" s="18" t="n">
        <v>0</v>
      </c>
      <c r="K13203" s="19" t="n">
        <v>0</v>
      </c>
      <c r="L13203" s="17"/>
    </row>
    <row r="13204" s="11" customFormat="true" ht="10.95" hidden="false" customHeight="true" outlineLevel="0" collapsed="false">
      <c r="A13204" s="16" t="n">
        <v>45342</v>
      </c>
      <c r="B13204" s="17" t="s">
        <v>4548</v>
      </c>
      <c r="C13204" s="17" t="s">
        <v>3614</v>
      </c>
      <c r="D13204" s="17" t="s">
        <v>1407</v>
      </c>
      <c r="E13204" s="17" t="s">
        <v>3882</v>
      </c>
      <c r="F13204" s="17"/>
      <c r="G13204" s="18" t="n">
        <v>32.8</v>
      </c>
      <c r="H13204" s="18" t="n">
        <v>0</v>
      </c>
      <c r="I13204" s="18" t="n">
        <f aca="false">((I13203 + G13204) - H13204)</f>
        <v>6347.63000000001</v>
      </c>
      <c r="J13204" s="18" t="n">
        <v>0</v>
      </c>
      <c r="K13204" s="19" t="n">
        <v>0</v>
      </c>
      <c r="L13204" s="17"/>
    </row>
    <row r="13205" s="11" customFormat="true" ht="10.95" hidden="false" customHeight="true" outlineLevel="0" collapsed="false">
      <c r="A13205" s="16" t="n">
        <v>45342</v>
      </c>
      <c r="B13205" s="17" t="s">
        <v>4548</v>
      </c>
      <c r="C13205" s="17" t="s">
        <v>3614</v>
      </c>
      <c r="D13205" s="17" t="s">
        <v>1407</v>
      </c>
      <c r="E13205" s="17" t="s">
        <v>3882</v>
      </c>
      <c r="F13205" s="17"/>
      <c r="G13205" s="18" t="n">
        <v>30.99</v>
      </c>
      <c r="H13205" s="18" t="n">
        <v>0</v>
      </c>
      <c r="I13205" s="18" t="n">
        <f aca="false">((I13204 + G13205) - H13205)</f>
        <v>6378.62000000001</v>
      </c>
      <c r="J13205" s="18" t="n">
        <v>0</v>
      </c>
      <c r="K13205" s="19" t="n">
        <v>0</v>
      </c>
      <c r="L13205" s="17"/>
    </row>
    <row r="13206" s="11" customFormat="true" ht="10.95" hidden="false" customHeight="true" outlineLevel="0" collapsed="false">
      <c r="A13206" s="16" t="n">
        <v>45342</v>
      </c>
      <c r="B13206" s="17" t="s">
        <v>4548</v>
      </c>
      <c r="C13206" s="17" t="s">
        <v>3614</v>
      </c>
      <c r="D13206" s="17" t="s">
        <v>1407</v>
      </c>
      <c r="E13206" s="17" t="s">
        <v>4023</v>
      </c>
      <c r="F13206" s="17"/>
      <c r="G13206" s="18" t="n">
        <v>15.24</v>
      </c>
      <c r="H13206" s="18" t="n">
        <v>0</v>
      </c>
      <c r="I13206" s="18" t="n">
        <f aca="false">((I13205 + G13206) - H13206)</f>
        <v>6393.86000000001</v>
      </c>
      <c r="J13206" s="18" t="n">
        <v>0</v>
      </c>
      <c r="K13206" s="19" t="n">
        <v>0</v>
      </c>
      <c r="L13206" s="17"/>
    </row>
    <row r="13207" s="11" customFormat="true" ht="10.95" hidden="false" customHeight="true" outlineLevel="0" collapsed="false">
      <c r="A13207" s="16" t="n">
        <v>45342</v>
      </c>
      <c r="B13207" s="17" t="s">
        <v>4548</v>
      </c>
      <c r="C13207" s="17" t="s">
        <v>3614</v>
      </c>
      <c r="D13207" s="17" t="s">
        <v>1391</v>
      </c>
      <c r="E13207" s="17" t="s">
        <v>3707</v>
      </c>
      <c r="F13207" s="17" t="s">
        <v>1519</v>
      </c>
      <c r="G13207" s="18" t="n">
        <v>179.7</v>
      </c>
      <c r="H13207" s="18" t="n">
        <v>0</v>
      </c>
      <c r="I13207" s="18" t="n">
        <f aca="false">((I13206 + G13207) - H13207)</f>
        <v>6573.56000000001</v>
      </c>
      <c r="J13207" s="18" t="n">
        <v>0</v>
      </c>
      <c r="K13207" s="19" t="n">
        <v>0</v>
      </c>
      <c r="L13207" s="17"/>
    </row>
    <row r="13208" s="11" customFormat="true" ht="10.95" hidden="false" customHeight="true" outlineLevel="0" collapsed="false">
      <c r="A13208" s="16" t="n">
        <v>45343</v>
      </c>
      <c r="B13208" s="17" t="s">
        <v>4548</v>
      </c>
      <c r="C13208" s="17" t="s">
        <v>3614</v>
      </c>
      <c r="D13208" s="17" t="s">
        <v>162</v>
      </c>
      <c r="E13208" s="17" t="s">
        <v>3502</v>
      </c>
      <c r="F13208" s="17" t="s">
        <v>473</v>
      </c>
      <c r="G13208" s="18" t="n">
        <v>99</v>
      </c>
      <c r="H13208" s="18" t="n">
        <v>0</v>
      </c>
      <c r="I13208" s="18" t="n">
        <f aca="false">((I13207 + G13208) - H13208)</f>
        <v>6672.56000000001</v>
      </c>
      <c r="J13208" s="18" t="n">
        <v>0</v>
      </c>
      <c r="K13208" s="19" t="n">
        <v>0</v>
      </c>
      <c r="L13208" s="17"/>
    </row>
    <row r="13209" s="11" customFormat="true" ht="10.95" hidden="false" customHeight="true" outlineLevel="0" collapsed="false">
      <c r="A13209" s="16" t="n">
        <v>45343</v>
      </c>
      <c r="B13209" s="17" t="s">
        <v>4548</v>
      </c>
      <c r="C13209" s="17" t="s">
        <v>3614</v>
      </c>
      <c r="D13209" s="17" t="s">
        <v>19</v>
      </c>
      <c r="E13209" s="17" t="s">
        <v>3414</v>
      </c>
      <c r="F13209" s="17" t="s">
        <v>475</v>
      </c>
      <c r="G13209" s="18" t="n">
        <v>0</v>
      </c>
      <c r="H13209" s="18" t="n">
        <v>30.44</v>
      </c>
      <c r="I13209" s="18" t="n">
        <f aca="false">((I13208 + G13209) - H13209)</f>
        <v>6642.12000000001</v>
      </c>
      <c r="J13209" s="18" t="n">
        <v>0</v>
      </c>
      <c r="K13209" s="19" t="n">
        <v>0</v>
      </c>
      <c r="L13209" s="17"/>
    </row>
    <row r="13210" s="11" customFormat="true" ht="10.95" hidden="false" customHeight="true" outlineLevel="0" collapsed="false">
      <c r="A13210" s="16" t="n">
        <v>45343</v>
      </c>
      <c r="B13210" s="17" t="s">
        <v>4548</v>
      </c>
      <c r="C13210" s="17" t="s">
        <v>3614</v>
      </c>
      <c r="D13210" s="17" t="s">
        <v>19</v>
      </c>
      <c r="E13210" s="17" t="s">
        <v>3501</v>
      </c>
      <c r="F13210" s="17" t="s">
        <v>476</v>
      </c>
      <c r="G13210" s="18" t="n">
        <v>0</v>
      </c>
      <c r="H13210" s="18" t="n">
        <v>14.3</v>
      </c>
      <c r="I13210" s="18" t="n">
        <f aca="false">((I13209 + G13210) - H13210)</f>
        <v>6627.82000000001</v>
      </c>
      <c r="J13210" s="18" t="n">
        <v>0</v>
      </c>
      <c r="K13210" s="19" t="n">
        <v>0</v>
      </c>
      <c r="L13210" s="17"/>
    </row>
    <row r="13211" s="11" customFormat="true" ht="10.95" hidden="false" customHeight="true" outlineLevel="0" collapsed="false">
      <c r="A13211" s="16" t="n">
        <v>45343</v>
      </c>
      <c r="B13211" s="17" t="s">
        <v>4548</v>
      </c>
      <c r="C13211" s="17" t="s">
        <v>3614</v>
      </c>
      <c r="D13211" s="17" t="s">
        <v>19</v>
      </c>
      <c r="E13211" s="17" t="s">
        <v>3490</v>
      </c>
      <c r="F13211" s="17" t="s">
        <v>477</v>
      </c>
      <c r="G13211" s="18" t="n">
        <v>0</v>
      </c>
      <c r="H13211" s="18" t="n">
        <v>94.05</v>
      </c>
      <c r="I13211" s="18" t="n">
        <f aca="false">((I13210 + G13211) - H13211)</f>
        <v>6533.77000000001</v>
      </c>
      <c r="J13211" s="18" t="n">
        <v>0</v>
      </c>
      <c r="K13211" s="19" t="n">
        <v>0</v>
      </c>
      <c r="L13211" s="17"/>
    </row>
    <row r="13212" s="11" customFormat="true" ht="10.95" hidden="false" customHeight="true" outlineLevel="0" collapsed="false">
      <c r="A13212" s="16" t="n">
        <v>45343</v>
      </c>
      <c r="B13212" s="17" t="s">
        <v>4548</v>
      </c>
      <c r="C13212" s="17" t="s">
        <v>3614</v>
      </c>
      <c r="D13212" s="17" t="s">
        <v>19</v>
      </c>
      <c r="E13212" s="17" t="s">
        <v>3424</v>
      </c>
      <c r="F13212" s="17" t="s">
        <v>478</v>
      </c>
      <c r="G13212" s="18" t="n">
        <v>0</v>
      </c>
      <c r="H13212" s="18" t="n">
        <v>37.6</v>
      </c>
      <c r="I13212" s="18" t="n">
        <f aca="false">((I13211 + G13212) - H13212)</f>
        <v>6496.17000000001</v>
      </c>
      <c r="J13212" s="18" t="n">
        <v>0</v>
      </c>
      <c r="K13212" s="19" t="n">
        <v>0</v>
      </c>
      <c r="L13212" s="17"/>
    </row>
    <row r="13213" s="11" customFormat="true" ht="10.95" hidden="false" customHeight="true" outlineLevel="0" collapsed="false">
      <c r="A13213" s="16" t="n">
        <v>45343</v>
      </c>
      <c r="B13213" s="17" t="s">
        <v>4548</v>
      </c>
      <c r="C13213" s="17" t="s">
        <v>3614</v>
      </c>
      <c r="D13213" s="17" t="s">
        <v>19</v>
      </c>
      <c r="E13213" s="17" t="s">
        <v>3426</v>
      </c>
      <c r="F13213" s="17" t="s">
        <v>479</v>
      </c>
      <c r="G13213" s="18" t="n">
        <v>0</v>
      </c>
      <c r="H13213" s="18" t="n">
        <v>160.5</v>
      </c>
      <c r="I13213" s="18" t="n">
        <f aca="false">((I13212 + G13213) - H13213)</f>
        <v>6335.67000000001</v>
      </c>
      <c r="J13213" s="18" t="n">
        <v>0</v>
      </c>
      <c r="K13213" s="19" t="n">
        <v>0</v>
      </c>
      <c r="L13213" s="17"/>
    </row>
    <row r="13214" s="11" customFormat="true" ht="10.95" hidden="false" customHeight="true" outlineLevel="0" collapsed="false">
      <c r="A13214" s="16" t="n">
        <v>45343</v>
      </c>
      <c r="B13214" s="17" t="s">
        <v>4548</v>
      </c>
      <c r="C13214" s="17" t="s">
        <v>3614</v>
      </c>
      <c r="D13214" s="17" t="s">
        <v>19</v>
      </c>
      <c r="E13214" s="17" t="s">
        <v>3428</v>
      </c>
      <c r="F13214" s="17" t="s">
        <v>481</v>
      </c>
      <c r="G13214" s="18" t="n">
        <v>0</v>
      </c>
      <c r="H13214" s="18" t="n">
        <v>169.95</v>
      </c>
      <c r="I13214" s="18" t="n">
        <f aca="false">((I13213 + G13214) - H13214)</f>
        <v>6165.72000000001</v>
      </c>
      <c r="J13214" s="18" t="n">
        <v>0</v>
      </c>
      <c r="K13214" s="19" t="n">
        <v>0</v>
      </c>
      <c r="L13214" s="17"/>
    </row>
    <row r="13215" s="11" customFormat="true" ht="10.95" hidden="false" customHeight="true" outlineLevel="0" collapsed="false">
      <c r="A13215" s="16" t="n">
        <v>45343</v>
      </c>
      <c r="B13215" s="17" t="s">
        <v>4548</v>
      </c>
      <c r="C13215" s="17" t="s">
        <v>3614</v>
      </c>
      <c r="D13215" s="17" t="s">
        <v>19</v>
      </c>
      <c r="E13215" s="17" t="s">
        <v>3492</v>
      </c>
      <c r="F13215" s="17" t="s">
        <v>484</v>
      </c>
      <c r="G13215" s="18" t="n">
        <v>0</v>
      </c>
      <c r="H13215" s="18" t="n">
        <v>471.3</v>
      </c>
      <c r="I13215" s="18" t="n">
        <f aca="false">((I13214 + G13215) - H13215)</f>
        <v>5694.42000000001</v>
      </c>
      <c r="J13215" s="18" t="n">
        <v>0</v>
      </c>
      <c r="K13215" s="19" t="n">
        <v>0</v>
      </c>
      <c r="L13215" s="17"/>
    </row>
    <row r="13216" s="11" customFormat="true" ht="10.95" hidden="false" customHeight="true" outlineLevel="0" collapsed="false">
      <c r="A13216" s="16" t="n">
        <v>45343</v>
      </c>
      <c r="B13216" s="17" t="s">
        <v>4548</v>
      </c>
      <c r="C13216" s="17" t="s">
        <v>3614</v>
      </c>
      <c r="D13216" s="17" t="s">
        <v>19</v>
      </c>
      <c r="E13216" s="17" t="s">
        <v>3431</v>
      </c>
      <c r="F13216" s="17" t="s">
        <v>485</v>
      </c>
      <c r="G13216" s="18" t="n">
        <v>0</v>
      </c>
      <c r="H13216" s="18" t="n">
        <v>32.5</v>
      </c>
      <c r="I13216" s="18" t="n">
        <f aca="false">((I13215 + G13216) - H13216)</f>
        <v>5661.92000000001</v>
      </c>
      <c r="J13216" s="18" t="n">
        <v>0</v>
      </c>
      <c r="K13216" s="19" t="n">
        <v>0</v>
      </c>
      <c r="L13216" s="17"/>
    </row>
    <row r="13217" s="11" customFormat="true" ht="10.95" hidden="false" customHeight="true" outlineLevel="0" collapsed="false">
      <c r="A13217" s="16" t="n">
        <v>45343</v>
      </c>
      <c r="B13217" s="17" t="s">
        <v>4548</v>
      </c>
      <c r="C13217" s="17" t="s">
        <v>3614</v>
      </c>
      <c r="D13217" s="17" t="s">
        <v>19</v>
      </c>
      <c r="E13217" s="17" t="s">
        <v>3432</v>
      </c>
      <c r="F13217" s="17" t="s">
        <v>487</v>
      </c>
      <c r="G13217" s="18" t="n">
        <v>0</v>
      </c>
      <c r="H13217" s="18" t="n">
        <v>99.5</v>
      </c>
      <c r="I13217" s="18" t="n">
        <f aca="false">((I13216 + G13217) - H13217)</f>
        <v>5562.42000000001</v>
      </c>
      <c r="J13217" s="18" t="n">
        <v>0</v>
      </c>
      <c r="K13217" s="19" t="n">
        <v>0</v>
      </c>
      <c r="L13217" s="17"/>
    </row>
    <row r="13218" s="11" customFormat="true" ht="10.95" hidden="false" customHeight="true" outlineLevel="0" collapsed="false">
      <c r="A13218" s="16" t="n">
        <v>45343</v>
      </c>
      <c r="B13218" s="17" t="s">
        <v>4548</v>
      </c>
      <c r="C13218" s="17" t="s">
        <v>3614</v>
      </c>
      <c r="D13218" s="17" t="s">
        <v>19</v>
      </c>
      <c r="E13218" s="17" t="s">
        <v>3434</v>
      </c>
      <c r="F13218" s="17" t="s">
        <v>488</v>
      </c>
      <c r="G13218" s="18" t="n">
        <v>0</v>
      </c>
      <c r="H13218" s="18" t="n">
        <v>36</v>
      </c>
      <c r="I13218" s="18" t="n">
        <f aca="false">((I13217 + G13218) - H13218)</f>
        <v>5526.42000000001</v>
      </c>
      <c r="J13218" s="18" t="n">
        <v>0</v>
      </c>
      <c r="K13218" s="19" t="n">
        <v>0</v>
      </c>
      <c r="L13218" s="17"/>
    </row>
    <row r="13219" s="11" customFormat="true" ht="10.95" hidden="false" customHeight="true" outlineLevel="0" collapsed="false">
      <c r="A13219" s="16" t="n">
        <v>45343</v>
      </c>
      <c r="B13219" s="17" t="s">
        <v>4548</v>
      </c>
      <c r="C13219" s="17" t="s">
        <v>3614</v>
      </c>
      <c r="D13219" s="17" t="s">
        <v>19</v>
      </c>
      <c r="E13219" s="17" t="s">
        <v>3435</v>
      </c>
      <c r="F13219" s="17" t="s">
        <v>489</v>
      </c>
      <c r="G13219" s="18" t="n">
        <v>0</v>
      </c>
      <c r="H13219" s="18" t="n">
        <v>204</v>
      </c>
      <c r="I13219" s="18" t="n">
        <f aca="false">((I13218 + G13219) - H13219)</f>
        <v>5322.42000000001</v>
      </c>
      <c r="J13219" s="18" t="n">
        <v>0</v>
      </c>
      <c r="K13219" s="19" t="n">
        <v>0</v>
      </c>
      <c r="L13219" s="17"/>
    </row>
    <row r="13220" s="11" customFormat="true" ht="10.95" hidden="false" customHeight="true" outlineLevel="0" collapsed="false">
      <c r="A13220" s="16" t="n">
        <v>45343</v>
      </c>
      <c r="B13220" s="17" t="s">
        <v>4548</v>
      </c>
      <c r="C13220" s="17" t="s">
        <v>3614</v>
      </c>
      <c r="D13220" s="17" t="s">
        <v>19</v>
      </c>
      <c r="E13220" s="17" t="s">
        <v>3493</v>
      </c>
      <c r="F13220" s="17" t="s">
        <v>490</v>
      </c>
      <c r="G13220" s="18" t="n">
        <v>0</v>
      </c>
      <c r="H13220" s="18" t="n">
        <v>51</v>
      </c>
      <c r="I13220" s="18" t="n">
        <f aca="false">((I13219 + G13220) - H13220)</f>
        <v>5271.42000000001</v>
      </c>
      <c r="J13220" s="18" t="n">
        <v>0</v>
      </c>
      <c r="K13220" s="19" t="n">
        <v>0</v>
      </c>
      <c r="L13220" s="17"/>
    </row>
    <row r="13221" s="11" customFormat="true" ht="10.95" hidden="false" customHeight="true" outlineLevel="0" collapsed="false">
      <c r="A13221" s="16" t="n">
        <v>45343</v>
      </c>
      <c r="B13221" s="17" t="s">
        <v>4548</v>
      </c>
      <c r="C13221" s="17" t="s">
        <v>3614</v>
      </c>
      <c r="D13221" s="17" t="s">
        <v>19</v>
      </c>
      <c r="E13221" s="17" t="s">
        <v>3439</v>
      </c>
      <c r="F13221" s="17" t="s">
        <v>492</v>
      </c>
      <c r="G13221" s="18" t="n">
        <v>0</v>
      </c>
      <c r="H13221" s="18" t="n">
        <v>95.7</v>
      </c>
      <c r="I13221" s="18" t="n">
        <f aca="false">((I13220 + G13221) - H13221)</f>
        <v>5175.72000000001</v>
      </c>
      <c r="J13221" s="18" t="n">
        <v>0</v>
      </c>
      <c r="K13221" s="19" t="n">
        <v>0</v>
      </c>
      <c r="L13221" s="17"/>
    </row>
    <row r="13222" s="11" customFormat="true" ht="10.95" hidden="false" customHeight="true" outlineLevel="0" collapsed="false">
      <c r="A13222" s="16" t="n">
        <v>45343</v>
      </c>
      <c r="B13222" s="17" t="s">
        <v>4548</v>
      </c>
      <c r="C13222" s="17" t="s">
        <v>3614</v>
      </c>
      <c r="D13222" s="17" t="s">
        <v>19</v>
      </c>
      <c r="E13222" s="17" t="s">
        <v>3442</v>
      </c>
      <c r="F13222" s="17" t="s">
        <v>494</v>
      </c>
      <c r="G13222" s="18" t="n">
        <v>0</v>
      </c>
      <c r="H13222" s="18" t="n">
        <v>909</v>
      </c>
      <c r="I13222" s="18" t="n">
        <f aca="false">((I13221 + G13222) - H13222)</f>
        <v>4266.72000000001</v>
      </c>
      <c r="J13222" s="18" t="n">
        <v>0</v>
      </c>
      <c r="K13222" s="19" t="n">
        <v>0</v>
      </c>
      <c r="L13222" s="17"/>
    </row>
    <row r="13223" s="11" customFormat="true" ht="10.95" hidden="false" customHeight="true" outlineLevel="0" collapsed="false">
      <c r="A13223" s="16" t="n">
        <v>45343</v>
      </c>
      <c r="B13223" s="17" t="s">
        <v>4548</v>
      </c>
      <c r="C13223" s="17" t="s">
        <v>3614</v>
      </c>
      <c r="D13223" s="17" t="s">
        <v>19</v>
      </c>
      <c r="E13223" s="17" t="s">
        <v>3443</v>
      </c>
      <c r="F13223" s="17" t="s">
        <v>495</v>
      </c>
      <c r="G13223" s="18" t="n">
        <v>0</v>
      </c>
      <c r="H13223" s="18" t="n">
        <v>454</v>
      </c>
      <c r="I13223" s="18" t="n">
        <f aca="false">((I13222 + G13223) - H13223)</f>
        <v>3812.72000000001</v>
      </c>
      <c r="J13223" s="18" t="n">
        <v>0</v>
      </c>
      <c r="K13223" s="19" t="n">
        <v>0</v>
      </c>
      <c r="L13223" s="17"/>
    </row>
    <row r="13224" s="11" customFormat="true" ht="10.95" hidden="false" customHeight="true" outlineLevel="0" collapsed="false">
      <c r="A13224" s="16" t="n">
        <v>45343</v>
      </c>
      <c r="B13224" s="17" t="s">
        <v>4548</v>
      </c>
      <c r="C13224" s="17" t="s">
        <v>3614</v>
      </c>
      <c r="D13224" s="17" t="s">
        <v>19</v>
      </c>
      <c r="E13224" s="17" t="s">
        <v>3444</v>
      </c>
      <c r="F13224" s="17" t="s">
        <v>496</v>
      </c>
      <c r="G13224" s="18" t="n">
        <v>0</v>
      </c>
      <c r="H13224" s="18" t="n">
        <v>88</v>
      </c>
      <c r="I13224" s="18" t="n">
        <f aca="false">((I13223 + G13224) - H13224)</f>
        <v>3724.72000000001</v>
      </c>
      <c r="J13224" s="18" t="n">
        <v>0</v>
      </c>
      <c r="K13224" s="19" t="n">
        <v>0</v>
      </c>
      <c r="L13224" s="17"/>
    </row>
    <row r="13225" s="11" customFormat="true" ht="10.95" hidden="false" customHeight="true" outlineLevel="0" collapsed="false">
      <c r="A13225" s="16" t="n">
        <v>45343</v>
      </c>
      <c r="B13225" s="17" t="s">
        <v>4548</v>
      </c>
      <c r="C13225" s="17" t="s">
        <v>3614</v>
      </c>
      <c r="D13225" s="17" t="s">
        <v>19</v>
      </c>
      <c r="E13225" s="17" t="s">
        <v>3494</v>
      </c>
      <c r="F13225" s="17" t="s">
        <v>497</v>
      </c>
      <c r="G13225" s="18" t="n">
        <v>0</v>
      </c>
      <c r="H13225" s="18" t="n">
        <v>83</v>
      </c>
      <c r="I13225" s="18" t="n">
        <f aca="false">((I13224 + G13225) - H13225)</f>
        <v>3641.72000000001</v>
      </c>
      <c r="J13225" s="18" t="n">
        <v>0</v>
      </c>
      <c r="K13225" s="19" t="n">
        <v>0</v>
      </c>
      <c r="L13225" s="17"/>
    </row>
    <row r="13226" s="11" customFormat="true" ht="10.95" hidden="false" customHeight="true" outlineLevel="0" collapsed="false">
      <c r="A13226" s="16" t="n">
        <v>45343</v>
      </c>
      <c r="B13226" s="17" t="s">
        <v>4548</v>
      </c>
      <c r="C13226" s="17" t="s">
        <v>3614</v>
      </c>
      <c r="D13226" s="17" t="s">
        <v>19</v>
      </c>
      <c r="E13226" s="17" t="s">
        <v>3446</v>
      </c>
      <c r="F13226" s="17" t="s">
        <v>498</v>
      </c>
      <c r="G13226" s="18" t="n">
        <v>0</v>
      </c>
      <c r="H13226" s="18" t="n">
        <v>169.2</v>
      </c>
      <c r="I13226" s="18" t="n">
        <f aca="false">((I13225 + G13226) - H13226)</f>
        <v>3472.52000000001</v>
      </c>
      <c r="J13226" s="18" t="n">
        <v>0</v>
      </c>
      <c r="K13226" s="19" t="n">
        <v>0</v>
      </c>
      <c r="L13226" s="17"/>
    </row>
    <row r="13227" s="11" customFormat="true" ht="10.95" hidden="false" customHeight="true" outlineLevel="0" collapsed="false">
      <c r="A13227" s="16" t="n">
        <v>45343</v>
      </c>
      <c r="B13227" s="17" t="s">
        <v>4548</v>
      </c>
      <c r="C13227" s="17" t="s">
        <v>3614</v>
      </c>
      <c r="D13227" s="17" t="s">
        <v>19</v>
      </c>
      <c r="E13227" s="17" t="s">
        <v>3447</v>
      </c>
      <c r="F13227" s="17" t="s">
        <v>500</v>
      </c>
      <c r="G13227" s="18" t="n">
        <v>0</v>
      </c>
      <c r="H13227" s="18" t="n">
        <v>62.7</v>
      </c>
      <c r="I13227" s="18" t="n">
        <f aca="false">((I13226 + G13227) - H13227)</f>
        <v>3409.82000000001</v>
      </c>
      <c r="J13227" s="18" t="n">
        <v>0</v>
      </c>
      <c r="K13227" s="19" t="n">
        <v>0</v>
      </c>
      <c r="L13227" s="17"/>
    </row>
    <row r="13228" s="11" customFormat="true" ht="10.95" hidden="false" customHeight="true" outlineLevel="0" collapsed="false">
      <c r="A13228" s="16" t="n">
        <v>45343</v>
      </c>
      <c r="B13228" s="17" t="s">
        <v>4548</v>
      </c>
      <c r="C13228" s="17" t="s">
        <v>3614</v>
      </c>
      <c r="D13228" s="17" t="s">
        <v>19</v>
      </c>
      <c r="E13228" s="17" t="s">
        <v>3447</v>
      </c>
      <c r="F13228" s="17" t="s">
        <v>504</v>
      </c>
      <c r="G13228" s="18" t="n">
        <v>0</v>
      </c>
      <c r="H13228" s="18" t="n">
        <v>31.35</v>
      </c>
      <c r="I13228" s="18" t="n">
        <f aca="false">((I13227 + G13228) - H13228)</f>
        <v>3378.47000000001</v>
      </c>
      <c r="J13228" s="18" t="n">
        <v>0</v>
      </c>
      <c r="K13228" s="19" t="n">
        <v>0</v>
      </c>
      <c r="L13228" s="17"/>
    </row>
    <row r="13229" s="11" customFormat="true" ht="10.95" hidden="false" customHeight="true" outlineLevel="0" collapsed="false">
      <c r="A13229" s="16" t="n">
        <v>45343</v>
      </c>
      <c r="B13229" s="17" t="s">
        <v>4548</v>
      </c>
      <c r="C13229" s="17" t="s">
        <v>3614</v>
      </c>
      <c r="D13229" s="17" t="s">
        <v>19</v>
      </c>
      <c r="E13229" s="17" t="s">
        <v>3447</v>
      </c>
      <c r="F13229" s="17" t="s">
        <v>507</v>
      </c>
      <c r="G13229" s="18" t="n">
        <v>0</v>
      </c>
      <c r="H13229" s="18" t="n">
        <v>52.75</v>
      </c>
      <c r="I13229" s="18" t="n">
        <f aca="false">((I13228 + G13229) - H13229)</f>
        <v>3325.72000000001</v>
      </c>
      <c r="J13229" s="18" t="n">
        <v>0</v>
      </c>
      <c r="K13229" s="19" t="n">
        <v>0</v>
      </c>
      <c r="L13229" s="17"/>
    </row>
    <row r="13230" s="11" customFormat="true" ht="10.95" hidden="false" customHeight="true" outlineLevel="0" collapsed="false">
      <c r="A13230" s="16" t="n">
        <v>45343</v>
      </c>
      <c r="B13230" s="17" t="s">
        <v>4548</v>
      </c>
      <c r="C13230" s="17" t="s">
        <v>3614</v>
      </c>
      <c r="D13230" s="17" t="s">
        <v>19</v>
      </c>
      <c r="E13230" s="17" t="s">
        <v>3447</v>
      </c>
      <c r="F13230" s="17" t="s">
        <v>508</v>
      </c>
      <c r="G13230" s="18" t="n">
        <v>0</v>
      </c>
      <c r="H13230" s="18" t="n">
        <v>75.2</v>
      </c>
      <c r="I13230" s="18" t="n">
        <f aca="false">((I13229 + G13230) - H13230)</f>
        <v>3250.52000000001</v>
      </c>
      <c r="J13230" s="18" t="n">
        <v>0</v>
      </c>
      <c r="K13230" s="19" t="n">
        <v>0</v>
      </c>
      <c r="L13230" s="17"/>
    </row>
    <row r="13231" s="11" customFormat="true" ht="10.95" hidden="false" customHeight="true" outlineLevel="0" collapsed="false">
      <c r="A13231" s="16" t="n">
        <v>45343</v>
      </c>
      <c r="B13231" s="17" t="s">
        <v>4548</v>
      </c>
      <c r="C13231" s="17" t="s">
        <v>3614</v>
      </c>
      <c r="D13231" s="17" t="s">
        <v>19</v>
      </c>
      <c r="E13231" s="17" t="s">
        <v>3447</v>
      </c>
      <c r="F13231" s="17" t="s">
        <v>509</v>
      </c>
      <c r="G13231" s="18" t="n">
        <v>0</v>
      </c>
      <c r="H13231" s="18" t="n">
        <v>67.4</v>
      </c>
      <c r="I13231" s="18" t="n">
        <f aca="false">((I13230 + G13231) - H13231)</f>
        <v>3183.12000000001</v>
      </c>
      <c r="J13231" s="18" t="n">
        <v>0</v>
      </c>
      <c r="K13231" s="19" t="n">
        <v>0</v>
      </c>
      <c r="L13231" s="17"/>
    </row>
    <row r="13232" s="11" customFormat="true" ht="10.95" hidden="false" customHeight="true" outlineLevel="0" collapsed="false">
      <c r="A13232" s="16" t="n">
        <v>45343</v>
      </c>
      <c r="B13232" s="17" t="s">
        <v>4548</v>
      </c>
      <c r="C13232" s="17" t="s">
        <v>3614</v>
      </c>
      <c r="D13232" s="17" t="s">
        <v>19</v>
      </c>
      <c r="E13232" s="17" t="s">
        <v>3447</v>
      </c>
      <c r="F13232" s="17" t="s">
        <v>510</v>
      </c>
      <c r="G13232" s="18" t="n">
        <v>0</v>
      </c>
      <c r="H13232" s="18" t="n">
        <v>18.8</v>
      </c>
      <c r="I13232" s="18" t="n">
        <f aca="false">((I13231 + G13232) - H13232)</f>
        <v>3164.32000000001</v>
      </c>
      <c r="J13232" s="18" t="n">
        <v>0</v>
      </c>
      <c r="K13232" s="19" t="n">
        <v>0</v>
      </c>
      <c r="L13232" s="17"/>
    </row>
    <row r="13233" s="11" customFormat="true" ht="10.95" hidden="false" customHeight="true" outlineLevel="0" collapsed="false">
      <c r="A13233" s="16" t="n">
        <v>45343</v>
      </c>
      <c r="B13233" s="17" t="s">
        <v>4548</v>
      </c>
      <c r="C13233" s="17" t="s">
        <v>3614</v>
      </c>
      <c r="D13233" s="17" t="s">
        <v>19</v>
      </c>
      <c r="E13233" s="17" t="s">
        <v>3447</v>
      </c>
      <c r="F13233" s="17" t="s">
        <v>511</v>
      </c>
      <c r="G13233" s="18" t="n">
        <v>0</v>
      </c>
      <c r="H13233" s="18" t="n">
        <v>280.75</v>
      </c>
      <c r="I13233" s="18" t="n">
        <f aca="false">((I13232 + G13233) - H13233)</f>
        <v>2883.57000000001</v>
      </c>
      <c r="J13233" s="18" t="n">
        <v>0</v>
      </c>
      <c r="K13233" s="19" t="n">
        <v>0</v>
      </c>
      <c r="L13233" s="17"/>
    </row>
    <row r="13234" s="11" customFormat="true" ht="10.95" hidden="false" customHeight="true" outlineLevel="0" collapsed="false">
      <c r="A13234" s="16" t="n">
        <v>45343</v>
      </c>
      <c r="B13234" s="17" t="s">
        <v>4548</v>
      </c>
      <c r="C13234" s="17" t="s">
        <v>3614</v>
      </c>
      <c r="D13234" s="17" t="s">
        <v>19</v>
      </c>
      <c r="E13234" s="17" t="s">
        <v>3447</v>
      </c>
      <c r="F13234" s="17" t="s">
        <v>514</v>
      </c>
      <c r="G13234" s="18" t="n">
        <v>0</v>
      </c>
      <c r="H13234" s="18" t="n">
        <v>47</v>
      </c>
      <c r="I13234" s="18" t="n">
        <f aca="false">((I13233 + G13234) - H13234)</f>
        <v>2836.57000000001</v>
      </c>
      <c r="J13234" s="18" t="n">
        <v>0</v>
      </c>
      <c r="K13234" s="19" t="n">
        <v>0</v>
      </c>
      <c r="L13234" s="17"/>
    </row>
    <row r="13235" s="11" customFormat="true" ht="10.95" hidden="false" customHeight="true" outlineLevel="0" collapsed="false">
      <c r="A13235" s="16" t="n">
        <v>45343</v>
      </c>
      <c r="B13235" s="17" t="s">
        <v>4548</v>
      </c>
      <c r="C13235" s="17" t="s">
        <v>3614</v>
      </c>
      <c r="D13235" s="17" t="s">
        <v>19</v>
      </c>
      <c r="E13235" s="17" t="s">
        <v>3447</v>
      </c>
      <c r="F13235" s="17" t="s">
        <v>515</v>
      </c>
      <c r="G13235" s="18" t="n">
        <v>0</v>
      </c>
      <c r="H13235" s="18" t="n">
        <v>18.8</v>
      </c>
      <c r="I13235" s="18" t="n">
        <f aca="false">((I13234 + G13235) - H13235)</f>
        <v>2817.77000000001</v>
      </c>
      <c r="J13235" s="18" t="n">
        <v>0</v>
      </c>
      <c r="K13235" s="19" t="n">
        <v>0</v>
      </c>
      <c r="L13235" s="17"/>
    </row>
    <row r="13236" s="11" customFormat="true" ht="10.95" hidden="false" customHeight="true" outlineLevel="0" collapsed="false">
      <c r="A13236" s="16" t="n">
        <v>45343</v>
      </c>
      <c r="B13236" s="17" t="s">
        <v>4548</v>
      </c>
      <c r="C13236" s="17" t="s">
        <v>3614</v>
      </c>
      <c r="D13236" s="17" t="s">
        <v>19</v>
      </c>
      <c r="E13236" s="17" t="s">
        <v>3447</v>
      </c>
      <c r="F13236" s="17" t="s">
        <v>516</v>
      </c>
      <c r="G13236" s="18" t="n">
        <v>0</v>
      </c>
      <c r="H13236" s="18" t="n">
        <v>47</v>
      </c>
      <c r="I13236" s="18" t="n">
        <f aca="false">((I13235 + G13236) - H13236)</f>
        <v>2770.77000000001</v>
      </c>
      <c r="J13236" s="18" t="n">
        <v>0</v>
      </c>
      <c r="K13236" s="19" t="n">
        <v>0</v>
      </c>
      <c r="L13236" s="17"/>
    </row>
    <row r="13237" s="11" customFormat="true" ht="10.95" hidden="false" customHeight="true" outlineLevel="0" collapsed="false">
      <c r="A13237" s="16" t="n">
        <v>45343</v>
      </c>
      <c r="B13237" s="17" t="s">
        <v>4548</v>
      </c>
      <c r="C13237" s="17" t="s">
        <v>3614</v>
      </c>
      <c r="D13237" s="17" t="s">
        <v>19</v>
      </c>
      <c r="E13237" s="17" t="s">
        <v>3447</v>
      </c>
      <c r="F13237" s="17" t="s">
        <v>517</v>
      </c>
      <c r="G13237" s="18" t="n">
        <v>0</v>
      </c>
      <c r="H13237" s="18" t="n">
        <v>178.9</v>
      </c>
      <c r="I13237" s="18" t="n">
        <f aca="false">((I13236 + G13237) - H13237)</f>
        <v>2591.87000000001</v>
      </c>
      <c r="J13237" s="18" t="n">
        <v>0</v>
      </c>
      <c r="K13237" s="19" t="n">
        <v>0</v>
      </c>
      <c r="L13237" s="17"/>
    </row>
    <row r="13238" s="11" customFormat="true" ht="10.95" hidden="false" customHeight="true" outlineLevel="0" collapsed="false">
      <c r="A13238" s="16" t="n">
        <v>45343</v>
      </c>
      <c r="B13238" s="17" t="s">
        <v>4548</v>
      </c>
      <c r="C13238" s="17" t="s">
        <v>3614</v>
      </c>
      <c r="D13238" s="17" t="s">
        <v>19</v>
      </c>
      <c r="E13238" s="17" t="s">
        <v>3447</v>
      </c>
      <c r="F13238" s="17" t="s">
        <v>518</v>
      </c>
      <c r="G13238" s="18" t="n">
        <v>0</v>
      </c>
      <c r="H13238" s="18" t="n">
        <v>114.4</v>
      </c>
      <c r="I13238" s="18" t="n">
        <f aca="false">((I13237 + G13238) - H13238)</f>
        <v>2477.47000000001</v>
      </c>
      <c r="J13238" s="18" t="n">
        <v>0</v>
      </c>
      <c r="K13238" s="19" t="n">
        <v>0</v>
      </c>
      <c r="L13238" s="17"/>
    </row>
    <row r="13239" s="11" customFormat="true" ht="10.95" hidden="false" customHeight="true" outlineLevel="0" collapsed="false">
      <c r="A13239" s="16" t="n">
        <v>45343</v>
      </c>
      <c r="B13239" s="17" t="s">
        <v>4548</v>
      </c>
      <c r="C13239" s="17" t="s">
        <v>3614</v>
      </c>
      <c r="D13239" s="17" t="s">
        <v>19</v>
      </c>
      <c r="E13239" s="17" t="s">
        <v>3447</v>
      </c>
      <c r="F13239" s="17" t="s">
        <v>519</v>
      </c>
      <c r="G13239" s="18" t="n">
        <v>0</v>
      </c>
      <c r="H13239" s="18" t="n">
        <v>28.2</v>
      </c>
      <c r="I13239" s="18" t="n">
        <f aca="false">((I13238 + G13239) - H13239)</f>
        <v>2449.27000000001</v>
      </c>
      <c r="J13239" s="18" t="n">
        <v>0</v>
      </c>
      <c r="K13239" s="19" t="n">
        <v>0</v>
      </c>
      <c r="L13239" s="17"/>
    </row>
    <row r="13240" s="11" customFormat="true" ht="10.95" hidden="false" customHeight="true" outlineLevel="0" collapsed="false">
      <c r="A13240" s="16" t="n">
        <v>45343</v>
      </c>
      <c r="B13240" s="17" t="s">
        <v>4548</v>
      </c>
      <c r="C13240" s="17" t="s">
        <v>3614</v>
      </c>
      <c r="D13240" s="17" t="s">
        <v>19</v>
      </c>
      <c r="E13240" s="17" t="s">
        <v>3447</v>
      </c>
      <c r="F13240" s="17" t="s">
        <v>520</v>
      </c>
      <c r="G13240" s="18" t="n">
        <v>0</v>
      </c>
      <c r="H13240" s="18" t="n">
        <v>28.2</v>
      </c>
      <c r="I13240" s="18" t="n">
        <f aca="false">((I13239 + G13240) - H13240)</f>
        <v>2421.07000000001</v>
      </c>
      <c r="J13240" s="18" t="n">
        <v>0</v>
      </c>
      <c r="K13240" s="19" t="n">
        <v>0</v>
      </c>
      <c r="L13240" s="17"/>
    </row>
    <row r="13241" s="11" customFormat="true" ht="10.95" hidden="false" customHeight="true" outlineLevel="0" collapsed="false">
      <c r="A13241" s="16" t="n">
        <v>45343</v>
      </c>
      <c r="B13241" s="17" t="s">
        <v>4548</v>
      </c>
      <c r="C13241" s="17" t="s">
        <v>3614</v>
      </c>
      <c r="D13241" s="17" t="s">
        <v>19</v>
      </c>
      <c r="E13241" s="17" t="s">
        <v>3447</v>
      </c>
      <c r="F13241" s="17" t="s">
        <v>521</v>
      </c>
      <c r="G13241" s="18" t="n">
        <v>0</v>
      </c>
      <c r="H13241" s="18" t="n">
        <v>56.4</v>
      </c>
      <c r="I13241" s="18" t="n">
        <f aca="false">((I13240 + G13241) - H13241)</f>
        <v>2364.67000000001</v>
      </c>
      <c r="J13241" s="18" t="n">
        <v>0</v>
      </c>
      <c r="K13241" s="19" t="n">
        <v>0</v>
      </c>
      <c r="L13241" s="17"/>
    </row>
    <row r="13242" s="11" customFormat="true" ht="10.95" hidden="false" customHeight="true" outlineLevel="0" collapsed="false">
      <c r="A13242" s="16" t="n">
        <v>45343</v>
      </c>
      <c r="B13242" s="17" t="s">
        <v>4548</v>
      </c>
      <c r="C13242" s="17" t="s">
        <v>3614</v>
      </c>
      <c r="D13242" s="17" t="s">
        <v>19</v>
      </c>
      <c r="E13242" s="17" t="s">
        <v>3447</v>
      </c>
      <c r="F13242" s="17" t="s">
        <v>522</v>
      </c>
      <c r="G13242" s="18" t="n">
        <v>0</v>
      </c>
      <c r="H13242" s="18" t="n">
        <v>103.4</v>
      </c>
      <c r="I13242" s="18" t="n">
        <f aca="false">((I13241 + G13242) - H13242)</f>
        <v>2261.27000000001</v>
      </c>
      <c r="J13242" s="18" t="n">
        <v>0</v>
      </c>
      <c r="K13242" s="19" t="n">
        <v>0</v>
      </c>
      <c r="L13242" s="17"/>
    </row>
    <row r="13243" s="11" customFormat="true" ht="10.95" hidden="false" customHeight="true" outlineLevel="0" collapsed="false">
      <c r="A13243" s="16" t="n">
        <v>45343</v>
      </c>
      <c r="B13243" s="17" t="s">
        <v>4548</v>
      </c>
      <c r="C13243" s="17" t="s">
        <v>3614</v>
      </c>
      <c r="D13243" s="17" t="s">
        <v>19</v>
      </c>
      <c r="E13243" s="17" t="s">
        <v>3447</v>
      </c>
      <c r="F13243" s="17" t="s">
        <v>523</v>
      </c>
      <c r="G13243" s="18" t="n">
        <v>0</v>
      </c>
      <c r="H13243" s="18" t="n">
        <v>9.4</v>
      </c>
      <c r="I13243" s="18" t="n">
        <f aca="false">((I13242 + G13243) - H13243)</f>
        <v>2251.87000000001</v>
      </c>
      <c r="J13243" s="18" t="n">
        <v>0</v>
      </c>
      <c r="K13243" s="19" t="n">
        <v>0</v>
      </c>
      <c r="L13243" s="17"/>
    </row>
    <row r="13244" s="11" customFormat="true" ht="10.95" hidden="false" customHeight="true" outlineLevel="0" collapsed="false">
      <c r="A13244" s="16" t="n">
        <v>45343</v>
      </c>
      <c r="B13244" s="17" t="s">
        <v>4548</v>
      </c>
      <c r="C13244" s="17" t="s">
        <v>3614</v>
      </c>
      <c r="D13244" s="17" t="s">
        <v>19</v>
      </c>
      <c r="E13244" s="17" t="s">
        <v>3447</v>
      </c>
      <c r="F13244" s="17" t="s">
        <v>524</v>
      </c>
      <c r="G13244" s="18" t="n">
        <v>0</v>
      </c>
      <c r="H13244" s="18" t="n">
        <v>65.8</v>
      </c>
      <c r="I13244" s="18" t="n">
        <f aca="false">((I13243 + G13244) - H13244)</f>
        <v>2186.07000000001</v>
      </c>
      <c r="J13244" s="18" t="n">
        <v>0</v>
      </c>
      <c r="K13244" s="19" t="n">
        <v>0</v>
      </c>
      <c r="L13244" s="17"/>
    </row>
    <row r="13245" s="11" customFormat="true" ht="10.95" hidden="false" customHeight="true" outlineLevel="0" collapsed="false">
      <c r="A13245" s="16" t="n">
        <v>45343</v>
      </c>
      <c r="B13245" s="17" t="s">
        <v>4548</v>
      </c>
      <c r="C13245" s="17" t="s">
        <v>3614</v>
      </c>
      <c r="D13245" s="17" t="s">
        <v>19</v>
      </c>
      <c r="E13245" s="17" t="s">
        <v>3451</v>
      </c>
      <c r="F13245" s="17" t="s">
        <v>525</v>
      </c>
      <c r="G13245" s="18" t="n">
        <v>0</v>
      </c>
      <c r="H13245" s="18" t="n">
        <v>116.2</v>
      </c>
      <c r="I13245" s="18" t="n">
        <f aca="false">((I13244 + G13245) - H13245)</f>
        <v>2069.87000000001</v>
      </c>
      <c r="J13245" s="18" t="n">
        <v>0</v>
      </c>
      <c r="K13245" s="19" t="n">
        <v>0</v>
      </c>
      <c r="L13245" s="17"/>
    </row>
    <row r="13246" s="11" customFormat="true" ht="10.95" hidden="false" customHeight="true" outlineLevel="0" collapsed="false">
      <c r="A13246" s="16" t="n">
        <v>45343</v>
      </c>
      <c r="B13246" s="17" t="s">
        <v>4548</v>
      </c>
      <c r="C13246" s="17" t="s">
        <v>3614</v>
      </c>
      <c r="D13246" s="17" t="s">
        <v>19</v>
      </c>
      <c r="E13246" s="17" t="s">
        <v>3502</v>
      </c>
      <c r="F13246" s="17" t="s">
        <v>526</v>
      </c>
      <c r="G13246" s="18" t="n">
        <v>0</v>
      </c>
      <c r="H13246" s="18" t="n">
        <v>7.15</v>
      </c>
      <c r="I13246" s="18" t="n">
        <f aca="false">((I13245 + G13246) - H13246)</f>
        <v>2062.72000000001</v>
      </c>
      <c r="J13246" s="18" t="n">
        <v>0</v>
      </c>
      <c r="K13246" s="19" t="n">
        <v>0</v>
      </c>
      <c r="L13246" s="17"/>
    </row>
    <row r="13247" s="11" customFormat="true" ht="10.95" hidden="false" customHeight="true" outlineLevel="0" collapsed="false">
      <c r="A13247" s="16" t="n">
        <v>45343</v>
      </c>
      <c r="B13247" s="17" t="s">
        <v>4548</v>
      </c>
      <c r="C13247" s="17" t="s">
        <v>3614</v>
      </c>
      <c r="D13247" s="17" t="s">
        <v>19</v>
      </c>
      <c r="E13247" s="17" t="s">
        <v>3437</v>
      </c>
      <c r="F13247" s="17" t="s">
        <v>527</v>
      </c>
      <c r="G13247" s="18" t="n">
        <v>0</v>
      </c>
      <c r="H13247" s="18" t="n">
        <v>108.01</v>
      </c>
      <c r="I13247" s="18" t="n">
        <f aca="false">((I13246 + G13247) - H13247)</f>
        <v>1954.71000000001</v>
      </c>
      <c r="J13247" s="18" t="n">
        <v>0</v>
      </c>
      <c r="K13247" s="19" t="n">
        <v>0</v>
      </c>
      <c r="L13247" s="17"/>
    </row>
    <row r="13248" s="11" customFormat="true" ht="10.95" hidden="false" customHeight="true" outlineLevel="0" collapsed="false">
      <c r="A13248" s="16" t="n">
        <v>45343</v>
      </c>
      <c r="B13248" s="17" t="s">
        <v>4548</v>
      </c>
      <c r="C13248" s="17" t="s">
        <v>3614</v>
      </c>
      <c r="D13248" s="17" t="s">
        <v>19</v>
      </c>
      <c r="E13248" s="17" t="s">
        <v>3427</v>
      </c>
      <c r="F13248" s="17" t="s">
        <v>529</v>
      </c>
      <c r="G13248" s="18" t="n">
        <v>0</v>
      </c>
      <c r="H13248" s="18" t="n">
        <v>68</v>
      </c>
      <c r="I13248" s="18" t="n">
        <f aca="false">((I13247 + G13248) - H13248)</f>
        <v>1886.71000000001</v>
      </c>
      <c r="J13248" s="18" t="n">
        <v>0</v>
      </c>
      <c r="K13248" s="19" t="n">
        <v>0</v>
      </c>
      <c r="L13248" s="17"/>
    </row>
    <row r="13249" s="11" customFormat="true" ht="10.95" hidden="false" customHeight="true" outlineLevel="0" collapsed="false">
      <c r="A13249" s="16" t="n">
        <v>45343</v>
      </c>
      <c r="B13249" s="17" t="s">
        <v>4548</v>
      </c>
      <c r="C13249" s="17" t="s">
        <v>3614</v>
      </c>
      <c r="D13249" s="17" t="s">
        <v>19</v>
      </c>
      <c r="E13249" s="17" t="s">
        <v>3454</v>
      </c>
      <c r="F13249" s="17" t="s">
        <v>531</v>
      </c>
      <c r="G13249" s="18" t="n">
        <v>0</v>
      </c>
      <c r="H13249" s="18" t="n">
        <v>1674.72</v>
      </c>
      <c r="I13249" s="18" t="n">
        <f aca="false">((I13248 + G13249) - H13249)</f>
        <v>211.990000000006</v>
      </c>
      <c r="J13249" s="18" t="n">
        <v>0</v>
      </c>
      <c r="K13249" s="19" t="n">
        <v>0</v>
      </c>
      <c r="L13249" s="17"/>
    </row>
    <row r="13250" s="11" customFormat="true" ht="10.95" hidden="false" customHeight="true" outlineLevel="0" collapsed="false">
      <c r="A13250" s="16" t="n">
        <v>45343</v>
      </c>
      <c r="B13250" s="17" t="s">
        <v>4548</v>
      </c>
      <c r="C13250" s="17" t="s">
        <v>3614</v>
      </c>
      <c r="D13250" s="17" t="s">
        <v>19</v>
      </c>
      <c r="E13250" s="17" t="s">
        <v>3429</v>
      </c>
      <c r="F13250" s="17" t="s">
        <v>536</v>
      </c>
      <c r="G13250" s="18" t="n">
        <v>0</v>
      </c>
      <c r="H13250" s="18" t="n">
        <v>8.5</v>
      </c>
      <c r="I13250" s="18" t="n">
        <f aca="false">((I13249 + G13250) - H13250)</f>
        <v>203.490000000006</v>
      </c>
      <c r="J13250" s="18" t="n">
        <v>0</v>
      </c>
      <c r="K13250" s="19" t="n">
        <v>0</v>
      </c>
      <c r="L13250" s="17"/>
    </row>
    <row r="13251" s="11" customFormat="true" ht="10.95" hidden="false" customHeight="true" outlineLevel="0" collapsed="false">
      <c r="A13251" s="16" t="n">
        <v>45344</v>
      </c>
      <c r="B13251" s="17" t="s">
        <v>4548</v>
      </c>
      <c r="C13251" s="17" t="s">
        <v>3614</v>
      </c>
      <c r="D13251" s="17" t="s">
        <v>19</v>
      </c>
      <c r="E13251" s="17" t="s">
        <v>3442</v>
      </c>
      <c r="F13251" s="17" t="s">
        <v>537</v>
      </c>
      <c r="G13251" s="18" t="n">
        <v>0</v>
      </c>
      <c r="H13251" s="18" t="n">
        <v>1818</v>
      </c>
      <c r="I13251" s="18" t="n">
        <f aca="false">((I13250 + G13251) - H13251)</f>
        <v>-1614.50999999999</v>
      </c>
      <c r="J13251" s="18" t="n">
        <v>0</v>
      </c>
      <c r="K13251" s="19" t="n">
        <v>0</v>
      </c>
      <c r="L13251" s="17"/>
    </row>
    <row r="13252" s="11" customFormat="true" ht="10.95" hidden="false" customHeight="true" outlineLevel="0" collapsed="false">
      <c r="A13252" s="16" t="n">
        <v>45344</v>
      </c>
      <c r="B13252" s="17" t="s">
        <v>4548</v>
      </c>
      <c r="C13252" s="17" t="s">
        <v>3614</v>
      </c>
      <c r="D13252" s="17" t="s">
        <v>1391</v>
      </c>
      <c r="E13252" s="17" t="s">
        <v>1536</v>
      </c>
      <c r="F13252" s="17" t="s">
        <v>2501</v>
      </c>
      <c r="G13252" s="18" t="n">
        <v>25.83</v>
      </c>
      <c r="H13252" s="18" t="n">
        <v>0</v>
      </c>
      <c r="I13252" s="18" t="n">
        <f aca="false">((I13251 + G13252) - H13252)</f>
        <v>-1588.67999999999</v>
      </c>
      <c r="J13252" s="18" t="n">
        <v>0</v>
      </c>
      <c r="K13252" s="19" t="n">
        <v>0</v>
      </c>
      <c r="L13252" s="17"/>
    </row>
    <row r="13253" s="11" customFormat="true" ht="10.95" hidden="false" customHeight="true" outlineLevel="0" collapsed="false">
      <c r="A13253" s="16" t="n">
        <v>45345</v>
      </c>
      <c r="B13253" s="17" t="s">
        <v>4548</v>
      </c>
      <c r="C13253" s="17" t="s">
        <v>3614</v>
      </c>
      <c r="D13253" s="17" t="s">
        <v>1407</v>
      </c>
      <c r="E13253" s="17" t="s">
        <v>3804</v>
      </c>
      <c r="F13253" s="17"/>
      <c r="G13253" s="18" t="n">
        <v>3.64</v>
      </c>
      <c r="H13253" s="18" t="n">
        <v>0</v>
      </c>
      <c r="I13253" s="18" t="n">
        <f aca="false">((I13252 + G13253) - H13253)</f>
        <v>-1585.03999999999</v>
      </c>
      <c r="J13253" s="18" t="n">
        <v>0</v>
      </c>
      <c r="K13253" s="19" t="n">
        <v>0</v>
      </c>
      <c r="L13253" s="17"/>
    </row>
    <row r="13254" s="11" customFormat="true" ht="10.95" hidden="false" customHeight="true" outlineLevel="0" collapsed="false">
      <c r="A13254" s="16" t="n">
        <v>45345</v>
      </c>
      <c r="B13254" s="17" t="s">
        <v>4548</v>
      </c>
      <c r="C13254" s="17" t="s">
        <v>3614</v>
      </c>
      <c r="D13254" s="17" t="s">
        <v>1407</v>
      </c>
      <c r="E13254" s="17" t="s">
        <v>3907</v>
      </c>
      <c r="F13254" s="17"/>
      <c r="G13254" s="18" t="n">
        <v>1.77</v>
      </c>
      <c r="H13254" s="18" t="n">
        <v>0</v>
      </c>
      <c r="I13254" s="18" t="n">
        <f aca="false">((I13253 + G13254) - H13254)</f>
        <v>-1583.26999999999</v>
      </c>
      <c r="J13254" s="18" t="n">
        <v>0</v>
      </c>
      <c r="K13254" s="19" t="n">
        <v>0</v>
      </c>
      <c r="L13254" s="17"/>
    </row>
    <row r="13255" s="11" customFormat="true" ht="10.95" hidden="false" customHeight="true" outlineLevel="0" collapsed="false">
      <c r="A13255" s="16" t="n">
        <v>45346</v>
      </c>
      <c r="B13255" s="17" t="s">
        <v>4548</v>
      </c>
      <c r="C13255" s="17" t="s">
        <v>3614</v>
      </c>
      <c r="D13255" s="17" t="s">
        <v>1407</v>
      </c>
      <c r="E13255" s="17" t="s">
        <v>3621</v>
      </c>
      <c r="F13255" s="17"/>
      <c r="G13255" s="18" t="n">
        <v>9.54</v>
      </c>
      <c r="H13255" s="18" t="n">
        <v>0</v>
      </c>
      <c r="I13255" s="18" t="n">
        <f aca="false">((I13254 + G13255) - H13255)</f>
        <v>-1573.72999999999</v>
      </c>
      <c r="J13255" s="18" t="n">
        <v>0</v>
      </c>
      <c r="K13255" s="19" t="n">
        <v>0</v>
      </c>
      <c r="L13255" s="17"/>
    </row>
    <row r="13256" s="11" customFormat="true" ht="10.95" hidden="false" customHeight="true" outlineLevel="0" collapsed="false">
      <c r="A13256" s="16" t="n">
        <v>45346</v>
      </c>
      <c r="B13256" s="17" t="s">
        <v>4548</v>
      </c>
      <c r="C13256" s="17" t="s">
        <v>3614</v>
      </c>
      <c r="D13256" s="17" t="s">
        <v>1391</v>
      </c>
      <c r="E13256" s="17" t="s">
        <v>3708</v>
      </c>
      <c r="F13256" s="17" t="s">
        <v>2503</v>
      </c>
      <c r="G13256" s="18" t="n">
        <v>54</v>
      </c>
      <c r="H13256" s="18" t="n">
        <v>0</v>
      </c>
      <c r="I13256" s="18" t="n">
        <f aca="false">((I13255 + G13256) - H13256)</f>
        <v>-1519.72999999999</v>
      </c>
      <c r="J13256" s="18" t="n">
        <v>0</v>
      </c>
      <c r="K13256" s="19" t="n">
        <v>0</v>
      </c>
      <c r="L13256" s="17"/>
    </row>
    <row r="13257" s="11" customFormat="true" ht="10.95" hidden="false" customHeight="true" outlineLevel="0" collapsed="false">
      <c r="A13257" s="16" t="n">
        <v>45347</v>
      </c>
      <c r="B13257" s="17" t="s">
        <v>4548</v>
      </c>
      <c r="C13257" s="17" t="s">
        <v>3614</v>
      </c>
      <c r="D13257" s="17" t="s">
        <v>1391</v>
      </c>
      <c r="E13257" s="17" t="s">
        <v>1583</v>
      </c>
      <c r="F13257" s="17" t="s">
        <v>2505</v>
      </c>
      <c r="G13257" s="18" t="n">
        <v>4.45</v>
      </c>
      <c r="H13257" s="18" t="n">
        <v>0</v>
      </c>
      <c r="I13257" s="18" t="n">
        <f aca="false">((I13256 + G13257) - H13257)</f>
        <v>-1515.27999999999</v>
      </c>
      <c r="J13257" s="18" t="n">
        <v>0</v>
      </c>
      <c r="K13257" s="19" t="n">
        <v>0</v>
      </c>
      <c r="L13257" s="17"/>
    </row>
    <row r="13258" s="11" customFormat="true" ht="10.95" hidden="false" customHeight="true" outlineLevel="0" collapsed="false">
      <c r="A13258" s="16" t="n">
        <v>45349</v>
      </c>
      <c r="B13258" s="17" t="s">
        <v>4548</v>
      </c>
      <c r="C13258" s="17" t="s">
        <v>3614</v>
      </c>
      <c r="D13258" s="17" t="s">
        <v>1407</v>
      </c>
      <c r="E13258" s="17" t="s">
        <v>3770</v>
      </c>
      <c r="F13258" s="17"/>
      <c r="G13258" s="18" t="n">
        <v>2.09</v>
      </c>
      <c r="H13258" s="18" t="n">
        <v>0</v>
      </c>
      <c r="I13258" s="18" t="n">
        <f aca="false">((I13257 + G13258) - H13258)</f>
        <v>-1513.18999999999</v>
      </c>
      <c r="J13258" s="18" t="n">
        <v>0</v>
      </c>
      <c r="K13258" s="19" t="n">
        <v>0</v>
      </c>
      <c r="L13258" s="17"/>
    </row>
    <row r="13259" s="11" customFormat="true" ht="10.95" hidden="false" customHeight="true" outlineLevel="0" collapsed="false">
      <c r="A13259" s="16" t="n">
        <v>45349</v>
      </c>
      <c r="B13259" s="17" t="s">
        <v>4548</v>
      </c>
      <c r="C13259" s="17" t="s">
        <v>3614</v>
      </c>
      <c r="D13259" s="17" t="s">
        <v>1407</v>
      </c>
      <c r="E13259" s="17" t="s">
        <v>3826</v>
      </c>
      <c r="F13259" s="17"/>
      <c r="G13259" s="18" t="n">
        <v>61.82</v>
      </c>
      <c r="H13259" s="18" t="n">
        <v>0</v>
      </c>
      <c r="I13259" s="18" t="n">
        <f aca="false">((I13258 + G13259) - H13259)</f>
        <v>-1451.36999999999</v>
      </c>
      <c r="J13259" s="18" t="n">
        <v>0</v>
      </c>
      <c r="K13259" s="19" t="n">
        <v>0</v>
      </c>
      <c r="L13259" s="17"/>
    </row>
    <row r="13260" s="11" customFormat="true" ht="10.95" hidden="false" customHeight="true" outlineLevel="0" collapsed="false">
      <c r="A13260" s="16" t="n">
        <v>45349</v>
      </c>
      <c r="B13260" s="17" t="s">
        <v>4548</v>
      </c>
      <c r="C13260" s="17" t="s">
        <v>3614</v>
      </c>
      <c r="D13260" s="17" t="s">
        <v>1391</v>
      </c>
      <c r="E13260" s="17" t="s">
        <v>3647</v>
      </c>
      <c r="F13260" s="17" t="s">
        <v>1521</v>
      </c>
      <c r="G13260" s="18" t="n">
        <v>536.45</v>
      </c>
      <c r="H13260" s="18" t="n">
        <v>0</v>
      </c>
      <c r="I13260" s="18" t="n">
        <f aca="false">((I13259 + G13260) - H13260)</f>
        <v>-914.919999999994</v>
      </c>
      <c r="J13260" s="18" t="n">
        <v>0</v>
      </c>
      <c r="K13260" s="19" t="n">
        <v>0</v>
      </c>
      <c r="L13260" s="17"/>
    </row>
    <row r="13261" s="11" customFormat="true" ht="10.95" hidden="false" customHeight="true" outlineLevel="0" collapsed="false">
      <c r="A13261" s="16" t="n">
        <v>45350</v>
      </c>
      <c r="B13261" s="17" t="s">
        <v>4548</v>
      </c>
      <c r="C13261" s="17" t="s">
        <v>3614</v>
      </c>
      <c r="D13261" s="17" t="s">
        <v>1407</v>
      </c>
      <c r="E13261" s="17" t="s">
        <v>2747</v>
      </c>
      <c r="F13261" s="17"/>
      <c r="G13261" s="18" t="n">
        <v>3.55</v>
      </c>
      <c r="H13261" s="18" t="n">
        <v>0</v>
      </c>
      <c r="I13261" s="18" t="n">
        <f aca="false">((I13260 + G13261) - H13261)</f>
        <v>-911.369999999994</v>
      </c>
      <c r="J13261" s="18" t="n">
        <v>0</v>
      </c>
      <c r="K13261" s="19" t="n">
        <v>0</v>
      </c>
      <c r="L13261" s="17"/>
    </row>
    <row r="13262" s="11" customFormat="true" ht="10.95" hidden="false" customHeight="true" outlineLevel="0" collapsed="false">
      <c r="A13262" s="16" t="n">
        <v>45350</v>
      </c>
      <c r="B13262" s="17" t="s">
        <v>4548</v>
      </c>
      <c r="C13262" s="17" t="s">
        <v>3614</v>
      </c>
      <c r="D13262" s="17" t="s">
        <v>1407</v>
      </c>
      <c r="E13262" s="17" t="s">
        <v>3976</v>
      </c>
      <c r="F13262" s="17"/>
      <c r="G13262" s="18" t="n">
        <v>17.64</v>
      </c>
      <c r="H13262" s="18" t="n">
        <v>0</v>
      </c>
      <c r="I13262" s="18" t="n">
        <f aca="false">((I13261 + G13262) - H13262)</f>
        <v>-893.729999999994</v>
      </c>
      <c r="J13262" s="18" t="n">
        <v>0</v>
      </c>
      <c r="K13262" s="19" t="n">
        <v>0</v>
      </c>
      <c r="L13262" s="17"/>
    </row>
    <row r="13263" s="11" customFormat="true" ht="10.95" hidden="false" customHeight="true" outlineLevel="0" collapsed="false">
      <c r="A13263" s="16" t="n">
        <v>45352</v>
      </c>
      <c r="B13263" s="17" t="s">
        <v>4548</v>
      </c>
      <c r="C13263" s="17" t="s">
        <v>3614</v>
      </c>
      <c r="D13263" s="17" t="s">
        <v>1391</v>
      </c>
      <c r="E13263" s="17" t="s">
        <v>3615</v>
      </c>
      <c r="F13263" s="17" t="s">
        <v>1525</v>
      </c>
      <c r="G13263" s="18" t="n">
        <v>48.98</v>
      </c>
      <c r="H13263" s="18" t="n">
        <v>0</v>
      </c>
      <c r="I13263" s="18" t="n">
        <f aca="false">((I13262 + G13263) - H13263)</f>
        <v>-844.749999999994</v>
      </c>
      <c r="J13263" s="18" t="n">
        <v>0</v>
      </c>
      <c r="K13263" s="19" t="n">
        <v>0</v>
      </c>
      <c r="L13263" s="17"/>
    </row>
    <row r="13264" s="11" customFormat="true" ht="10.95" hidden="false" customHeight="true" outlineLevel="0" collapsed="false">
      <c r="A13264" s="16" t="n">
        <v>45352</v>
      </c>
      <c r="B13264" s="17" t="s">
        <v>4548</v>
      </c>
      <c r="C13264" s="17" t="s">
        <v>3614</v>
      </c>
      <c r="D13264" s="17" t="s">
        <v>1407</v>
      </c>
      <c r="E13264" s="17" t="s">
        <v>3673</v>
      </c>
      <c r="F13264" s="17"/>
      <c r="G13264" s="18" t="n">
        <v>455.48</v>
      </c>
      <c r="H13264" s="18" t="n">
        <v>0</v>
      </c>
      <c r="I13264" s="18" t="n">
        <f aca="false">((I13263 + G13264) - H13264)</f>
        <v>-389.269999999994</v>
      </c>
      <c r="J13264" s="18" t="n">
        <v>0</v>
      </c>
      <c r="K13264" s="19" t="n">
        <v>0</v>
      </c>
      <c r="L13264" s="17"/>
    </row>
    <row r="13265" s="11" customFormat="true" ht="10.95" hidden="false" customHeight="true" outlineLevel="0" collapsed="false">
      <c r="A13265" s="16" t="n">
        <v>45352</v>
      </c>
      <c r="B13265" s="17" t="s">
        <v>4548</v>
      </c>
      <c r="C13265" s="17" t="s">
        <v>3614</v>
      </c>
      <c r="D13265" s="17" t="s">
        <v>1391</v>
      </c>
      <c r="E13265" s="17" t="s">
        <v>3621</v>
      </c>
      <c r="F13265" s="17" t="s">
        <v>2696</v>
      </c>
      <c r="G13265" s="18" t="n">
        <v>66.5</v>
      </c>
      <c r="H13265" s="18" t="n">
        <v>0</v>
      </c>
      <c r="I13265" s="18" t="n">
        <f aca="false">((I13264 + G13265) - H13265)</f>
        <v>-322.769999999994</v>
      </c>
      <c r="J13265" s="18" t="n">
        <v>0</v>
      </c>
      <c r="K13265" s="19" t="n">
        <v>0</v>
      </c>
      <c r="L13265" s="17"/>
    </row>
    <row r="13266" s="11" customFormat="true" ht="10.95" hidden="false" customHeight="true" outlineLevel="0" collapsed="false">
      <c r="A13266" s="16" t="n">
        <v>45353</v>
      </c>
      <c r="B13266" s="17" t="s">
        <v>4548</v>
      </c>
      <c r="C13266" s="17" t="s">
        <v>3614</v>
      </c>
      <c r="D13266" s="17" t="s">
        <v>1407</v>
      </c>
      <c r="E13266" s="17" t="s">
        <v>3865</v>
      </c>
      <c r="F13266" s="17"/>
      <c r="G13266" s="18" t="n">
        <v>7.5</v>
      </c>
      <c r="H13266" s="18" t="n">
        <v>0</v>
      </c>
      <c r="I13266" s="18" t="n">
        <f aca="false">((I13265 + G13266) - H13266)</f>
        <v>-315.269999999994</v>
      </c>
      <c r="J13266" s="18" t="n">
        <v>0</v>
      </c>
      <c r="K13266" s="19" t="n">
        <v>0</v>
      </c>
      <c r="L13266" s="17"/>
    </row>
    <row r="13267" s="11" customFormat="true" ht="10.95" hidden="false" customHeight="true" outlineLevel="0" collapsed="false">
      <c r="A13267" s="16" t="n">
        <v>45353</v>
      </c>
      <c r="B13267" s="17" t="s">
        <v>4548</v>
      </c>
      <c r="C13267" s="17" t="s">
        <v>3614</v>
      </c>
      <c r="D13267" s="17" t="s">
        <v>1391</v>
      </c>
      <c r="E13267" s="17" t="s">
        <v>3625</v>
      </c>
      <c r="F13267" s="17" t="s">
        <v>3303</v>
      </c>
      <c r="G13267" s="18" t="n">
        <v>152.48</v>
      </c>
      <c r="H13267" s="18" t="n">
        <v>0</v>
      </c>
      <c r="I13267" s="18" t="n">
        <f aca="false">((I13266 + G13267) - H13267)</f>
        <v>-162.789999999994</v>
      </c>
      <c r="J13267" s="18" t="n">
        <v>0</v>
      </c>
      <c r="K13267" s="19" t="n">
        <v>0</v>
      </c>
      <c r="L13267" s="17"/>
    </row>
    <row r="13268" s="11" customFormat="true" ht="10.95" hidden="false" customHeight="true" outlineLevel="0" collapsed="false">
      <c r="A13268" s="16" t="n">
        <v>45353</v>
      </c>
      <c r="B13268" s="17" t="s">
        <v>4548</v>
      </c>
      <c r="C13268" s="17" t="s">
        <v>3614</v>
      </c>
      <c r="D13268" s="17" t="s">
        <v>1407</v>
      </c>
      <c r="E13268" s="17" t="s">
        <v>3680</v>
      </c>
      <c r="F13268" s="17"/>
      <c r="G13268" s="18" t="n">
        <v>16.18</v>
      </c>
      <c r="H13268" s="18" t="n">
        <v>0</v>
      </c>
      <c r="I13268" s="18" t="n">
        <f aca="false">((I13267 + G13268) - H13268)</f>
        <v>-146.609999999994</v>
      </c>
      <c r="J13268" s="18" t="n">
        <v>0</v>
      </c>
      <c r="K13268" s="19" t="n">
        <v>0</v>
      </c>
      <c r="L13268" s="17"/>
    </row>
    <row r="13269" s="11" customFormat="true" ht="10.95" hidden="false" customHeight="true" outlineLevel="0" collapsed="false">
      <c r="A13269" s="16" t="n">
        <v>45354</v>
      </c>
      <c r="B13269" s="17" t="s">
        <v>4548</v>
      </c>
      <c r="C13269" s="17" t="s">
        <v>3614</v>
      </c>
      <c r="D13269" s="17" t="s">
        <v>1407</v>
      </c>
      <c r="E13269" s="17" t="s">
        <v>3804</v>
      </c>
      <c r="F13269" s="17"/>
      <c r="G13269" s="18" t="n">
        <v>3.64</v>
      </c>
      <c r="H13269" s="18" t="n">
        <v>0</v>
      </c>
      <c r="I13269" s="18" t="n">
        <f aca="false">((I13268 + G13269) - H13269)</f>
        <v>-142.969999999994</v>
      </c>
      <c r="J13269" s="18" t="n">
        <v>0</v>
      </c>
      <c r="K13269" s="19" t="n">
        <v>0</v>
      </c>
      <c r="L13269" s="17"/>
    </row>
    <row r="13270" s="11" customFormat="true" ht="10.95" hidden="false" customHeight="true" outlineLevel="0" collapsed="false">
      <c r="A13270" s="16" t="n">
        <v>45355</v>
      </c>
      <c r="B13270" s="17" t="s">
        <v>4548</v>
      </c>
      <c r="C13270" s="17" t="s">
        <v>3614</v>
      </c>
      <c r="D13270" s="17" t="s">
        <v>19</v>
      </c>
      <c r="E13270" s="17" t="s">
        <v>3521</v>
      </c>
      <c r="F13270" s="17" t="s">
        <v>539</v>
      </c>
      <c r="G13270" s="18" t="n">
        <v>0</v>
      </c>
      <c r="H13270" s="18" t="n">
        <v>194.4</v>
      </c>
      <c r="I13270" s="18" t="n">
        <f aca="false">((I13269 + G13270) - H13270)</f>
        <v>-337.369999999994</v>
      </c>
      <c r="J13270" s="18" t="n">
        <v>0</v>
      </c>
      <c r="K13270" s="19" t="n">
        <v>0</v>
      </c>
      <c r="L13270" s="17"/>
    </row>
    <row r="13271" s="11" customFormat="true" ht="10.95" hidden="false" customHeight="true" outlineLevel="0" collapsed="false">
      <c r="A13271" s="16" t="n">
        <v>45355</v>
      </c>
      <c r="B13271" s="17" t="s">
        <v>4548</v>
      </c>
      <c r="C13271" s="17" t="s">
        <v>3614</v>
      </c>
      <c r="D13271" s="17" t="s">
        <v>1407</v>
      </c>
      <c r="E13271" s="17" t="s">
        <v>3759</v>
      </c>
      <c r="F13271" s="17"/>
      <c r="G13271" s="18" t="n">
        <v>33.15</v>
      </c>
      <c r="H13271" s="18" t="n">
        <v>0</v>
      </c>
      <c r="I13271" s="18" t="n">
        <f aca="false">((I13270 + G13271) - H13271)</f>
        <v>-304.219999999994</v>
      </c>
      <c r="J13271" s="18" t="n">
        <v>0</v>
      </c>
      <c r="K13271" s="19" t="n">
        <v>0</v>
      </c>
      <c r="L13271" s="17"/>
    </row>
    <row r="13272" s="11" customFormat="true" ht="10.95" hidden="false" customHeight="true" outlineLevel="0" collapsed="false">
      <c r="A13272" s="16" t="n">
        <v>45356</v>
      </c>
      <c r="B13272" s="17" t="s">
        <v>4548</v>
      </c>
      <c r="C13272" s="17" t="s">
        <v>3614</v>
      </c>
      <c r="D13272" s="17" t="s">
        <v>19</v>
      </c>
      <c r="E13272" s="17" t="s">
        <v>3522</v>
      </c>
      <c r="F13272" s="17" t="s">
        <v>543</v>
      </c>
      <c r="G13272" s="18" t="n">
        <v>0</v>
      </c>
      <c r="H13272" s="18" t="n">
        <v>620.6</v>
      </c>
      <c r="I13272" s="18" t="n">
        <f aca="false">((I13271 + G13272) - H13272)</f>
        <v>-924.819999999995</v>
      </c>
      <c r="J13272" s="18" t="n">
        <v>0</v>
      </c>
      <c r="K13272" s="19" t="n">
        <v>0</v>
      </c>
      <c r="L13272" s="17"/>
    </row>
    <row r="13273" s="11" customFormat="true" ht="10.95" hidden="false" customHeight="true" outlineLevel="0" collapsed="false">
      <c r="A13273" s="16" t="n">
        <v>45356</v>
      </c>
      <c r="B13273" s="17" t="s">
        <v>4548</v>
      </c>
      <c r="C13273" s="17" t="s">
        <v>3614</v>
      </c>
      <c r="D13273" s="17" t="s">
        <v>1391</v>
      </c>
      <c r="E13273" s="17" t="s">
        <v>3647</v>
      </c>
      <c r="F13273" s="17" t="s">
        <v>1527</v>
      </c>
      <c r="G13273" s="18" t="n">
        <v>7.28</v>
      </c>
      <c r="H13273" s="18" t="n">
        <v>0</v>
      </c>
      <c r="I13273" s="18" t="n">
        <f aca="false">((I13272 + G13273) - H13273)</f>
        <v>-917.539999999995</v>
      </c>
      <c r="J13273" s="18" t="n">
        <v>0</v>
      </c>
      <c r="K13273" s="19" t="n">
        <v>0</v>
      </c>
      <c r="L13273" s="17"/>
    </row>
    <row r="13274" s="11" customFormat="true" ht="10.95" hidden="false" customHeight="true" outlineLevel="0" collapsed="false">
      <c r="A13274" s="16" t="n">
        <v>45356</v>
      </c>
      <c r="B13274" s="17" t="s">
        <v>4548</v>
      </c>
      <c r="C13274" s="17" t="s">
        <v>3614</v>
      </c>
      <c r="D13274" s="17" t="s">
        <v>1391</v>
      </c>
      <c r="E13274" s="17" t="s">
        <v>3709</v>
      </c>
      <c r="F13274" s="17" t="s">
        <v>2699</v>
      </c>
      <c r="G13274" s="18" t="n">
        <v>71.82</v>
      </c>
      <c r="H13274" s="18" t="n">
        <v>0</v>
      </c>
      <c r="I13274" s="18" t="n">
        <f aca="false">((I13273 + G13274) - H13274)</f>
        <v>-845.719999999995</v>
      </c>
      <c r="J13274" s="18" t="n">
        <v>0</v>
      </c>
      <c r="K13274" s="19" t="n">
        <v>0</v>
      </c>
      <c r="L13274" s="17"/>
    </row>
    <row r="13275" s="11" customFormat="true" ht="10.95" hidden="false" customHeight="true" outlineLevel="0" collapsed="false">
      <c r="A13275" s="16" t="n">
        <v>45356</v>
      </c>
      <c r="B13275" s="17" t="s">
        <v>4548</v>
      </c>
      <c r="C13275" s="17" t="s">
        <v>3614</v>
      </c>
      <c r="D13275" s="17" t="s">
        <v>1391</v>
      </c>
      <c r="E13275" s="17" t="s">
        <v>3622</v>
      </c>
      <c r="F13275" s="17" t="s">
        <v>1529</v>
      </c>
      <c r="G13275" s="18" t="n">
        <v>210.24</v>
      </c>
      <c r="H13275" s="18" t="n">
        <v>0</v>
      </c>
      <c r="I13275" s="18" t="n">
        <f aca="false">((I13274 + G13275) - H13275)</f>
        <v>-635.479999999995</v>
      </c>
      <c r="J13275" s="18" t="n">
        <v>0</v>
      </c>
      <c r="K13275" s="19" t="n">
        <v>0</v>
      </c>
      <c r="L13275" s="17"/>
    </row>
    <row r="13276" s="11" customFormat="true" ht="10.95" hidden="false" customHeight="true" outlineLevel="0" collapsed="false">
      <c r="A13276" s="16" t="n">
        <v>45356</v>
      </c>
      <c r="B13276" s="17" t="s">
        <v>4548</v>
      </c>
      <c r="C13276" s="17" t="s">
        <v>3614</v>
      </c>
      <c r="D13276" s="17" t="s">
        <v>1407</v>
      </c>
      <c r="E13276" s="17" t="s">
        <v>4023</v>
      </c>
      <c r="F13276" s="17"/>
      <c r="G13276" s="18" t="n">
        <v>18.34</v>
      </c>
      <c r="H13276" s="18" t="n">
        <v>0</v>
      </c>
      <c r="I13276" s="18" t="n">
        <f aca="false">((I13275 + G13276) - H13276)</f>
        <v>-617.139999999995</v>
      </c>
      <c r="J13276" s="18" t="n">
        <v>0</v>
      </c>
      <c r="K13276" s="19" t="n">
        <v>0</v>
      </c>
      <c r="L13276" s="17"/>
    </row>
    <row r="13277" s="11" customFormat="true" ht="10.95" hidden="false" customHeight="true" outlineLevel="0" collapsed="false">
      <c r="A13277" s="16" t="n">
        <v>45356</v>
      </c>
      <c r="B13277" s="17" t="s">
        <v>4548</v>
      </c>
      <c r="C13277" s="17" t="s">
        <v>3614</v>
      </c>
      <c r="D13277" s="17" t="s">
        <v>1407</v>
      </c>
      <c r="E13277" s="17" t="s">
        <v>4023</v>
      </c>
      <c r="F13277" s="17"/>
      <c r="G13277" s="18" t="n">
        <v>12.18</v>
      </c>
      <c r="H13277" s="18" t="n">
        <v>0</v>
      </c>
      <c r="I13277" s="18" t="n">
        <f aca="false">((I13276 + G13277) - H13277)</f>
        <v>-604.959999999995</v>
      </c>
      <c r="J13277" s="18" t="n">
        <v>0</v>
      </c>
      <c r="K13277" s="19" t="n">
        <v>0</v>
      </c>
      <c r="L13277" s="17"/>
    </row>
    <row r="13278" s="11" customFormat="true" ht="10.95" hidden="false" customHeight="true" outlineLevel="0" collapsed="false">
      <c r="A13278" s="16" t="n">
        <v>45357</v>
      </c>
      <c r="B13278" s="17" t="s">
        <v>4548</v>
      </c>
      <c r="C13278" s="17" t="s">
        <v>3614</v>
      </c>
      <c r="D13278" s="17" t="s">
        <v>1407</v>
      </c>
      <c r="E13278" s="17" t="s">
        <v>3642</v>
      </c>
      <c r="F13278" s="17"/>
      <c r="G13278" s="18" t="n">
        <v>1.1</v>
      </c>
      <c r="H13278" s="18" t="n">
        <v>0</v>
      </c>
      <c r="I13278" s="18" t="n">
        <f aca="false">((I13277 + G13278) - H13278)</f>
        <v>-603.859999999995</v>
      </c>
      <c r="J13278" s="18" t="n">
        <v>0</v>
      </c>
      <c r="K13278" s="19" t="n">
        <v>0</v>
      </c>
      <c r="L13278" s="17"/>
    </row>
    <row r="13279" s="11" customFormat="true" ht="10.95" hidden="false" customHeight="true" outlineLevel="0" collapsed="false">
      <c r="A13279" s="16" t="n">
        <v>45357</v>
      </c>
      <c r="B13279" s="17" t="s">
        <v>4548</v>
      </c>
      <c r="C13279" s="17" t="s">
        <v>3614</v>
      </c>
      <c r="D13279" s="17" t="s">
        <v>1407</v>
      </c>
      <c r="E13279" s="17" t="s">
        <v>3642</v>
      </c>
      <c r="F13279" s="17"/>
      <c r="G13279" s="18" t="n">
        <v>1.87</v>
      </c>
      <c r="H13279" s="18" t="n">
        <v>0</v>
      </c>
      <c r="I13279" s="18" t="n">
        <f aca="false">((I13278 + G13279) - H13279)</f>
        <v>-601.989999999995</v>
      </c>
      <c r="J13279" s="18" t="n">
        <v>0</v>
      </c>
      <c r="K13279" s="19" t="n">
        <v>0</v>
      </c>
      <c r="L13279" s="17"/>
    </row>
    <row r="13280" s="11" customFormat="true" ht="10.95" hidden="false" customHeight="true" outlineLevel="0" collapsed="false">
      <c r="A13280" s="16" t="n">
        <v>45357</v>
      </c>
      <c r="B13280" s="17" t="s">
        <v>4548</v>
      </c>
      <c r="C13280" s="17" t="s">
        <v>3614</v>
      </c>
      <c r="D13280" s="17" t="s">
        <v>1407</v>
      </c>
      <c r="E13280" s="17" t="s">
        <v>3888</v>
      </c>
      <c r="F13280" s="17"/>
      <c r="G13280" s="18" t="n">
        <v>292.49</v>
      </c>
      <c r="H13280" s="18" t="n">
        <v>0</v>
      </c>
      <c r="I13280" s="18" t="n">
        <f aca="false">((I13279 + G13280) - H13280)</f>
        <v>-309.499999999995</v>
      </c>
      <c r="J13280" s="18" t="n">
        <v>0</v>
      </c>
      <c r="K13280" s="19" t="n">
        <v>0</v>
      </c>
      <c r="L13280" s="17"/>
    </row>
    <row r="13281" s="11" customFormat="true" ht="10.95" hidden="false" customHeight="true" outlineLevel="0" collapsed="false">
      <c r="A13281" s="16" t="n">
        <v>45357</v>
      </c>
      <c r="B13281" s="17" t="s">
        <v>4548</v>
      </c>
      <c r="C13281" s="17" t="s">
        <v>3614</v>
      </c>
      <c r="D13281" s="17" t="s">
        <v>1407</v>
      </c>
      <c r="E13281" s="17" t="s">
        <v>4309</v>
      </c>
      <c r="F13281" s="17"/>
      <c r="G13281" s="18" t="n">
        <v>9</v>
      </c>
      <c r="H13281" s="18" t="n">
        <v>0</v>
      </c>
      <c r="I13281" s="18" t="n">
        <f aca="false">((I13280 + G13281) - H13281)</f>
        <v>-300.499999999995</v>
      </c>
      <c r="J13281" s="18" t="n">
        <v>0</v>
      </c>
      <c r="K13281" s="19" t="n">
        <v>0</v>
      </c>
      <c r="L13281" s="17"/>
    </row>
    <row r="13282" s="11" customFormat="true" ht="10.95" hidden="false" customHeight="true" outlineLevel="0" collapsed="false">
      <c r="A13282" s="16" t="n">
        <v>45358</v>
      </c>
      <c r="B13282" s="17" t="s">
        <v>4548</v>
      </c>
      <c r="C13282" s="17" t="s">
        <v>3614</v>
      </c>
      <c r="D13282" s="17" t="s">
        <v>1391</v>
      </c>
      <c r="E13282" s="17" t="s">
        <v>3615</v>
      </c>
      <c r="F13282" s="17" t="s">
        <v>1531</v>
      </c>
      <c r="G13282" s="18" t="n">
        <v>1932.5</v>
      </c>
      <c r="H13282" s="18" t="n">
        <v>0</v>
      </c>
      <c r="I13282" s="18" t="n">
        <f aca="false">((I13281 + G13282) - H13282)</f>
        <v>1632.00000000001</v>
      </c>
      <c r="J13282" s="18" t="n">
        <v>0</v>
      </c>
      <c r="K13282" s="19" t="n">
        <v>0</v>
      </c>
      <c r="L13282" s="17"/>
    </row>
    <row r="13283" s="11" customFormat="true" ht="10.95" hidden="false" customHeight="true" outlineLevel="0" collapsed="false">
      <c r="A13283" s="16" t="n">
        <v>45358</v>
      </c>
      <c r="B13283" s="17" t="s">
        <v>4548</v>
      </c>
      <c r="C13283" s="17" t="s">
        <v>3614</v>
      </c>
      <c r="D13283" s="17" t="s">
        <v>1407</v>
      </c>
      <c r="E13283" s="17" t="s">
        <v>3626</v>
      </c>
      <c r="F13283" s="17"/>
      <c r="G13283" s="18" t="n">
        <v>6.5</v>
      </c>
      <c r="H13283" s="18" t="n">
        <v>0</v>
      </c>
      <c r="I13283" s="18" t="n">
        <f aca="false">((I13282 + G13283) - H13283)</f>
        <v>1638.50000000001</v>
      </c>
      <c r="J13283" s="18" t="n">
        <v>0</v>
      </c>
      <c r="K13283" s="19" t="n">
        <v>0</v>
      </c>
      <c r="L13283" s="17"/>
    </row>
    <row r="13284" s="11" customFormat="true" ht="10.95" hidden="false" customHeight="true" outlineLevel="0" collapsed="false">
      <c r="A13284" s="16" t="n">
        <v>45358</v>
      </c>
      <c r="B13284" s="17" t="s">
        <v>4548</v>
      </c>
      <c r="C13284" s="17" t="s">
        <v>3614</v>
      </c>
      <c r="D13284" s="17" t="s">
        <v>1391</v>
      </c>
      <c r="E13284" s="17" t="s">
        <v>3711</v>
      </c>
      <c r="F13284" s="17" t="s">
        <v>1633</v>
      </c>
      <c r="G13284" s="18" t="n">
        <v>56.82</v>
      </c>
      <c r="H13284" s="18" t="n">
        <v>0</v>
      </c>
      <c r="I13284" s="18" t="n">
        <f aca="false">((I13283 + G13284) - H13284)</f>
        <v>1695.32000000001</v>
      </c>
      <c r="J13284" s="18" t="n">
        <v>0</v>
      </c>
      <c r="K13284" s="19" t="n">
        <v>0</v>
      </c>
      <c r="L13284" s="17"/>
    </row>
    <row r="13285" s="11" customFormat="true" ht="10.95" hidden="false" customHeight="true" outlineLevel="0" collapsed="false">
      <c r="A13285" s="16" t="n">
        <v>45358</v>
      </c>
      <c r="B13285" s="17" t="s">
        <v>4548</v>
      </c>
      <c r="C13285" s="17" t="s">
        <v>3614</v>
      </c>
      <c r="D13285" s="17" t="s">
        <v>1407</v>
      </c>
      <c r="E13285" s="17" t="s">
        <v>3756</v>
      </c>
      <c r="F13285" s="17"/>
      <c r="G13285" s="18" t="n">
        <v>1.48</v>
      </c>
      <c r="H13285" s="18" t="n">
        <v>0</v>
      </c>
      <c r="I13285" s="18" t="n">
        <f aca="false">((I13284 + G13285) - H13285)</f>
        <v>1696.80000000001</v>
      </c>
      <c r="J13285" s="18" t="n">
        <v>0</v>
      </c>
      <c r="K13285" s="19" t="n">
        <v>0</v>
      </c>
      <c r="L13285" s="17"/>
    </row>
    <row r="13286" s="11" customFormat="true" ht="10.95" hidden="false" customHeight="true" outlineLevel="0" collapsed="false">
      <c r="A13286" s="16" t="n">
        <v>45359</v>
      </c>
      <c r="B13286" s="17" t="s">
        <v>4548</v>
      </c>
      <c r="C13286" s="17" t="s">
        <v>3614</v>
      </c>
      <c r="D13286" s="17" t="s">
        <v>1391</v>
      </c>
      <c r="E13286" s="17" t="s">
        <v>3655</v>
      </c>
      <c r="F13286" s="17" t="s">
        <v>1642</v>
      </c>
      <c r="G13286" s="18" t="n">
        <v>14.64</v>
      </c>
      <c r="H13286" s="18" t="n">
        <v>0</v>
      </c>
      <c r="I13286" s="18" t="n">
        <f aca="false">((I13285 + G13286) - H13286)</f>
        <v>1711.44000000001</v>
      </c>
      <c r="J13286" s="18" t="n">
        <v>0</v>
      </c>
      <c r="K13286" s="19" t="n">
        <v>0</v>
      </c>
      <c r="L13286" s="17"/>
    </row>
    <row r="13287" s="11" customFormat="true" ht="10.95" hidden="false" customHeight="true" outlineLevel="0" collapsed="false">
      <c r="A13287" s="16" t="n">
        <v>45359</v>
      </c>
      <c r="B13287" s="17" t="s">
        <v>4548</v>
      </c>
      <c r="C13287" s="17" t="s">
        <v>3614</v>
      </c>
      <c r="D13287" s="17" t="s">
        <v>1391</v>
      </c>
      <c r="E13287" s="17" t="s">
        <v>3639</v>
      </c>
      <c r="F13287" s="17" t="s">
        <v>1642</v>
      </c>
      <c r="G13287" s="18" t="n">
        <v>3.64</v>
      </c>
      <c r="H13287" s="18" t="n">
        <v>0</v>
      </c>
      <c r="I13287" s="18" t="n">
        <f aca="false">((I13286 + G13287) - H13287)</f>
        <v>1715.08000000001</v>
      </c>
      <c r="J13287" s="18" t="n">
        <v>0</v>
      </c>
      <c r="K13287" s="19" t="n">
        <v>0</v>
      </c>
      <c r="L13287" s="17"/>
    </row>
    <row r="13288" s="11" customFormat="true" ht="10.95" hidden="false" customHeight="true" outlineLevel="0" collapsed="false">
      <c r="A13288" s="16" t="n">
        <v>45359</v>
      </c>
      <c r="B13288" s="17" t="s">
        <v>4548</v>
      </c>
      <c r="C13288" s="17" t="s">
        <v>3614</v>
      </c>
      <c r="D13288" s="17" t="s">
        <v>1391</v>
      </c>
      <c r="E13288" s="17" t="s">
        <v>3621</v>
      </c>
      <c r="F13288" s="17" t="s">
        <v>2702</v>
      </c>
      <c r="G13288" s="18" t="n">
        <v>9.54</v>
      </c>
      <c r="H13288" s="18" t="n">
        <v>0</v>
      </c>
      <c r="I13288" s="18" t="n">
        <f aca="false">((I13287 + G13288) - H13288)</f>
        <v>1724.62000000001</v>
      </c>
      <c r="J13288" s="18" t="n">
        <v>0</v>
      </c>
      <c r="K13288" s="19" t="n">
        <v>0</v>
      </c>
      <c r="L13288" s="17"/>
    </row>
    <row r="13289" s="11" customFormat="true" ht="10.95" hidden="false" customHeight="true" outlineLevel="0" collapsed="false">
      <c r="A13289" s="16" t="n">
        <v>45359</v>
      </c>
      <c r="B13289" s="17" t="s">
        <v>4548</v>
      </c>
      <c r="C13289" s="17" t="s">
        <v>3614</v>
      </c>
      <c r="D13289" s="17" t="s">
        <v>1391</v>
      </c>
      <c r="E13289" s="17" t="s">
        <v>3615</v>
      </c>
      <c r="F13289" s="17" t="s">
        <v>1533</v>
      </c>
      <c r="G13289" s="18" t="n">
        <v>200.66</v>
      </c>
      <c r="H13289" s="18" t="n">
        <v>0</v>
      </c>
      <c r="I13289" s="18" t="n">
        <f aca="false">((I13288 + G13289) - H13289)</f>
        <v>1925.28000000001</v>
      </c>
      <c r="J13289" s="18" t="n">
        <v>0</v>
      </c>
      <c r="K13289" s="19" t="n">
        <v>0</v>
      </c>
      <c r="L13289" s="17"/>
    </row>
    <row r="13290" s="11" customFormat="true" ht="10.95" hidden="false" customHeight="true" outlineLevel="0" collapsed="false">
      <c r="A13290" s="16" t="n">
        <v>45359</v>
      </c>
      <c r="B13290" s="17" t="s">
        <v>4548</v>
      </c>
      <c r="C13290" s="17" t="s">
        <v>3614</v>
      </c>
      <c r="D13290" s="17" t="s">
        <v>1407</v>
      </c>
      <c r="E13290" s="17" t="s">
        <v>4310</v>
      </c>
      <c r="F13290" s="17"/>
      <c r="G13290" s="18" t="n">
        <v>15.69</v>
      </c>
      <c r="H13290" s="18" t="n">
        <v>0</v>
      </c>
      <c r="I13290" s="18" t="n">
        <f aca="false">((I13289 + G13290) - H13290)</f>
        <v>1940.97000000001</v>
      </c>
      <c r="J13290" s="18" t="n">
        <v>0</v>
      </c>
      <c r="K13290" s="19" t="n">
        <v>0</v>
      </c>
      <c r="L13290" s="17"/>
    </row>
    <row r="13291" s="11" customFormat="true" ht="10.95" hidden="false" customHeight="true" outlineLevel="0" collapsed="false">
      <c r="A13291" s="16" t="n">
        <v>45360</v>
      </c>
      <c r="B13291" s="17" t="s">
        <v>4548</v>
      </c>
      <c r="C13291" s="17" t="s">
        <v>3614</v>
      </c>
      <c r="D13291" s="17" t="s">
        <v>1391</v>
      </c>
      <c r="E13291" s="17" t="s">
        <v>3638</v>
      </c>
      <c r="F13291" s="17" t="s">
        <v>3305</v>
      </c>
      <c r="G13291" s="18" t="n">
        <v>365.76</v>
      </c>
      <c r="H13291" s="18" t="n">
        <v>0</v>
      </c>
      <c r="I13291" s="18" t="n">
        <f aca="false">((I13290 + G13291) - H13291)</f>
        <v>2306.73000000001</v>
      </c>
      <c r="J13291" s="18" t="n">
        <v>0</v>
      </c>
      <c r="K13291" s="19" t="n">
        <v>0</v>
      </c>
      <c r="L13291" s="17"/>
    </row>
    <row r="13292" s="11" customFormat="true" ht="10.95" hidden="false" customHeight="true" outlineLevel="0" collapsed="false">
      <c r="A13292" s="16" t="n">
        <v>45360</v>
      </c>
      <c r="B13292" s="17" t="s">
        <v>4548</v>
      </c>
      <c r="C13292" s="17" t="s">
        <v>3614</v>
      </c>
      <c r="D13292" s="17" t="s">
        <v>1407</v>
      </c>
      <c r="E13292" s="17" t="s">
        <v>4311</v>
      </c>
      <c r="F13292" s="17"/>
      <c r="G13292" s="18" t="n">
        <v>20.36</v>
      </c>
      <c r="H13292" s="18" t="n">
        <v>0</v>
      </c>
      <c r="I13292" s="18" t="n">
        <f aca="false">((I13291 + G13292) - H13292)</f>
        <v>2327.09000000001</v>
      </c>
      <c r="J13292" s="18" t="n">
        <v>0</v>
      </c>
      <c r="K13292" s="19" t="n">
        <v>0</v>
      </c>
      <c r="L13292" s="17"/>
    </row>
    <row r="13293" s="11" customFormat="true" ht="10.95" hidden="false" customHeight="true" outlineLevel="0" collapsed="false">
      <c r="A13293" s="16" t="n">
        <v>45360</v>
      </c>
      <c r="B13293" s="17" t="s">
        <v>4548</v>
      </c>
      <c r="C13293" s="17" t="s">
        <v>3614</v>
      </c>
      <c r="D13293" s="17" t="s">
        <v>1407</v>
      </c>
      <c r="E13293" s="17" t="s">
        <v>4312</v>
      </c>
      <c r="F13293" s="17"/>
      <c r="G13293" s="18" t="n">
        <v>22.31</v>
      </c>
      <c r="H13293" s="18" t="n">
        <v>0</v>
      </c>
      <c r="I13293" s="18" t="n">
        <f aca="false">((I13292 + G13293) - H13293)</f>
        <v>2349.40000000001</v>
      </c>
      <c r="J13293" s="18" t="n">
        <v>0</v>
      </c>
      <c r="K13293" s="19" t="n">
        <v>0</v>
      </c>
      <c r="L13293" s="17"/>
    </row>
    <row r="13294" s="11" customFormat="true" ht="10.95" hidden="false" customHeight="true" outlineLevel="0" collapsed="false">
      <c r="A13294" s="16" t="n">
        <v>45360</v>
      </c>
      <c r="B13294" s="17" t="s">
        <v>4548</v>
      </c>
      <c r="C13294" s="17" t="s">
        <v>3614</v>
      </c>
      <c r="D13294" s="17" t="s">
        <v>1407</v>
      </c>
      <c r="E13294" s="17" t="s">
        <v>4313</v>
      </c>
      <c r="F13294" s="17"/>
      <c r="G13294" s="18" t="n">
        <v>37.64</v>
      </c>
      <c r="H13294" s="18" t="n">
        <v>0</v>
      </c>
      <c r="I13294" s="18" t="n">
        <f aca="false">((I13293 + G13294) - H13294)</f>
        <v>2387.04000000001</v>
      </c>
      <c r="J13294" s="18" t="n">
        <v>0</v>
      </c>
      <c r="K13294" s="19" t="n">
        <v>0</v>
      </c>
      <c r="L13294" s="17"/>
    </row>
    <row r="13295" s="11" customFormat="true" ht="10.95" hidden="false" customHeight="true" outlineLevel="0" collapsed="false">
      <c r="A13295" s="16" t="n">
        <v>45362</v>
      </c>
      <c r="B13295" s="17" t="s">
        <v>4548</v>
      </c>
      <c r="C13295" s="17" t="s">
        <v>3614</v>
      </c>
      <c r="D13295" s="17" t="s">
        <v>1391</v>
      </c>
      <c r="E13295" s="17" t="s">
        <v>3698</v>
      </c>
      <c r="F13295" s="17" t="s">
        <v>1606</v>
      </c>
      <c r="G13295" s="18" t="n">
        <v>131</v>
      </c>
      <c r="H13295" s="18" t="n">
        <v>0</v>
      </c>
      <c r="I13295" s="18" t="n">
        <f aca="false">((I13294 + G13295) - H13295)</f>
        <v>2518.04000000001</v>
      </c>
      <c r="J13295" s="18" t="n">
        <v>0</v>
      </c>
      <c r="K13295" s="19" t="n">
        <v>0</v>
      </c>
      <c r="L13295" s="17"/>
    </row>
    <row r="13296" s="11" customFormat="true" ht="10.95" hidden="false" customHeight="true" outlineLevel="0" collapsed="false">
      <c r="A13296" s="16" t="n">
        <v>45363</v>
      </c>
      <c r="B13296" s="17" t="s">
        <v>4548</v>
      </c>
      <c r="C13296" s="17" t="s">
        <v>3614</v>
      </c>
      <c r="D13296" s="17" t="s">
        <v>1407</v>
      </c>
      <c r="E13296" s="17" t="s">
        <v>3896</v>
      </c>
      <c r="F13296" s="17"/>
      <c r="G13296" s="18" t="n">
        <v>1.91</v>
      </c>
      <c r="H13296" s="18" t="n">
        <v>0</v>
      </c>
      <c r="I13296" s="18" t="n">
        <f aca="false">((I13295 + G13296) - H13296)</f>
        <v>2519.95000000001</v>
      </c>
      <c r="J13296" s="18" t="n">
        <v>0</v>
      </c>
      <c r="K13296" s="19" t="n">
        <v>0</v>
      </c>
      <c r="L13296" s="17"/>
    </row>
    <row r="13297" s="11" customFormat="true" ht="10.95" hidden="false" customHeight="true" outlineLevel="0" collapsed="false">
      <c r="A13297" s="16" t="n">
        <v>45363</v>
      </c>
      <c r="B13297" s="17" t="s">
        <v>4548</v>
      </c>
      <c r="C13297" s="17" t="s">
        <v>3614</v>
      </c>
      <c r="D13297" s="17" t="s">
        <v>1407</v>
      </c>
      <c r="E13297" s="17" t="s">
        <v>3854</v>
      </c>
      <c r="F13297" s="17"/>
      <c r="G13297" s="18" t="n">
        <v>7.36</v>
      </c>
      <c r="H13297" s="18" t="n">
        <v>0</v>
      </c>
      <c r="I13297" s="18" t="n">
        <f aca="false">((I13296 + G13297) - H13297)</f>
        <v>2527.31000000001</v>
      </c>
      <c r="J13297" s="18" t="n">
        <v>0</v>
      </c>
      <c r="K13297" s="19" t="n">
        <v>0</v>
      </c>
      <c r="L13297" s="17"/>
    </row>
    <row r="13298" s="11" customFormat="true" ht="10.95" hidden="false" customHeight="true" outlineLevel="0" collapsed="false">
      <c r="A13298" s="16" t="n">
        <v>45363</v>
      </c>
      <c r="B13298" s="17" t="s">
        <v>4548</v>
      </c>
      <c r="C13298" s="17" t="s">
        <v>3614</v>
      </c>
      <c r="D13298" s="17" t="s">
        <v>1391</v>
      </c>
      <c r="E13298" s="17" t="s">
        <v>3713</v>
      </c>
      <c r="F13298" s="17" t="s">
        <v>3565</v>
      </c>
      <c r="G13298" s="18" t="n">
        <v>315.15</v>
      </c>
      <c r="H13298" s="18" t="n">
        <v>0</v>
      </c>
      <c r="I13298" s="18" t="n">
        <f aca="false">((I13297 + G13298) - H13298)</f>
        <v>2842.46000000001</v>
      </c>
      <c r="J13298" s="18" t="n">
        <v>0</v>
      </c>
      <c r="K13298" s="19" t="n">
        <v>0</v>
      </c>
      <c r="L13298" s="17"/>
    </row>
    <row r="13299" s="11" customFormat="true" ht="10.95" hidden="false" customHeight="true" outlineLevel="0" collapsed="false">
      <c r="A13299" s="16" t="n">
        <v>45363</v>
      </c>
      <c r="B13299" s="17" t="s">
        <v>4548</v>
      </c>
      <c r="C13299" s="17" t="s">
        <v>3614</v>
      </c>
      <c r="D13299" s="17" t="s">
        <v>1407</v>
      </c>
      <c r="E13299" s="17" t="s">
        <v>3882</v>
      </c>
      <c r="F13299" s="17"/>
      <c r="G13299" s="18" t="n">
        <v>4.36</v>
      </c>
      <c r="H13299" s="18" t="n">
        <v>0</v>
      </c>
      <c r="I13299" s="18" t="n">
        <f aca="false">((I13298 + G13299) - H13299)</f>
        <v>2846.82000000001</v>
      </c>
      <c r="J13299" s="18" t="n">
        <v>0</v>
      </c>
      <c r="K13299" s="19" t="n">
        <v>0</v>
      </c>
      <c r="L13299" s="17"/>
    </row>
    <row r="13300" s="11" customFormat="true" ht="10.95" hidden="false" customHeight="true" outlineLevel="0" collapsed="false">
      <c r="A13300" s="16" t="n">
        <v>45364</v>
      </c>
      <c r="B13300" s="17" t="s">
        <v>4548</v>
      </c>
      <c r="C13300" s="17" t="s">
        <v>3614</v>
      </c>
      <c r="D13300" s="17" t="s">
        <v>1391</v>
      </c>
      <c r="E13300" s="17" t="s">
        <v>3703</v>
      </c>
      <c r="F13300" s="17" t="s">
        <v>1642</v>
      </c>
      <c r="G13300" s="18" t="n">
        <v>4.3</v>
      </c>
      <c r="H13300" s="18" t="n">
        <v>0</v>
      </c>
      <c r="I13300" s="18" t="n">
        <f aca="false">((I13299 + G13300) - H13300)</f>
        <v>2851.12000000001</v>
      </c>
      <c r="J13300" s="18" t="n">
        <v>0</v>
      </c>
      <c r="K13300" s="19" t="n">
        <v>0</v>
      </c>
      <c r="L13300" s="17"/>
    </row>
    <row r="13301" s="11" customFormat="true" ht="10.95" hidden="false" customHeight="true" outlineLevel="0" collapsed="false">
      <c r="A13301" s="16" t="n">
        <v>45365</v>
      </c>
      <c r="B13301" s="17" t="s">
        <v>4548</v>
      </c>
      <c r="C13301" s="17" t="s">
        <v>3614</v>
      </c>
      <c r="D13301" s="17" t="s">
        <v>1391</v>
      </c>
      <c r="E13301" s="17" t="s">
        <v>3641</v>
      </c>
      <c r="F13301" s="17" t="s">
        <v>2704</v>
      </c>
      <c r="G13301" s="18" t="n">
        <v>15.32</v>
      </c>
      <c r="H13301" s="18" t="n">
        <v>0</v>
      </c>
      <c r="I13301" s="18" t="n">
        <f aca="false">((I13300 + G13301) - H13301)</f>
        <v>2866.44000000001</v>
      </c>
      <c r="J13301" s="18" t="n">
        <v>0</v>
      </c>
      <c r="K13301" s="19" t="n">
        <v>0</v>
      </c>
      <c r="L13301" s="17"/>
    </row>
    <row r="13302" s="11" customFormat="true" ht="10.95" hidden="false" customHeight="true" outlineLevel="0" collapsed="false">
      <c r="A13302" s="16" t="n">
        <v>45366</v>
      </c>
      <c r="B13302" s="17" t="s">
        <v>4548</v>
      </c>
      <c r="C13302" s="17" t="s">
        <v>3614</v>
      </c>
      <c r="D13302" s="17" t="s">
        <v>1391</v>
      </c>
      <c r="E13302" s="17" t="s">
        <v>3703</v>
      </c>
      <c r="F13302" s="17" t="s">
        <v>1642</v>
      </c>
      <c r="G13302" s="18" t="n">
        <v>1.31</v>
      </c>
      <c r="H13302" s="18" t="n">
        <v>0</v>
      </c>
      <c r="I13302" s="18" t="n">
        <f aca="false">((I13301 + G13302) - H13302)</f>
        <v>2867.75000000001</v>
      </c>
      <c r="J13302" s="18" t="n">
        <v>0</v>
      </c>
      <c r="K13302" s="19" t="n">
        <v>0</v>
      </c>
      <c r="L13302" s="17"/>
    </row>
    <row r="13303" s="11" customFormat="true" ht="10.95" hidden="false" customHeight="true" outlineLevel="0" collapsed="false">
      <c r="A13303" s="16" t="n">
        <v>45367</v>
      </c>
      <c r="B13303" s="17" t="s">
        <v>4548</v>
      </c>
      <c r="C13303" s="17" t="s">
        <v>3614</v>
      </c>
      <c r="D13303" s="17" t="s">
        <v>1407</v>
      </c>
      <c r="E13303" s="17" t="s">
        <v>3829</v>
      </c>
      <c r="F13303" s="17"/>
      <c r="G13303" s="18" t="n">
        <v>8.15</v>
      </c>
      <c r="H13303" s="18" t="n">
        <v>0</v>
      </c>
      <c r="I13303" s="18" t="n">
        <f aca="false">((I13302 + G13303) - H13303)</f>
        <v>2875.90000000001</v>
      </c>
      <c r="J13303" s="18" t="n">
        <v>0</v>
      </c>
      <c r="K13303" s="19" t="n">
        <v>0</v>
      </c>
      <c r="L13303" s="17"/>
    </row>
    <row r="13304" s="11" customFormat="true" ht="10.95" hidden="false" customHeight="true" outlineLevel="0" collapsed="false">
      <c r="A13304" s="16" t="n">
        <v>45368</v>
      </c>
      <c r="B13304" s="17" t="s">
        <v>4548</v>
      </c>
      <c r="C13304" s="17" t="s">
        <v>3614</v>
      </c>
      <c r="D13304" s="17" t="s">
        <v>1407</v>
      </c>
      <c r="E13304" s="17" t="s">
        <v>3830</v>
      </c>
      <c r="F13304" s="17"/>
      <c r="G13304" s="18" t="n">
        <v>182.89</v>
      </c>
      <c r="H13304" s="18" t="n">
        <v>0</v>
      </c>
      <c r="I13304" s="18" t="n">
        <f aca="false">((I13303 + G13304) - H13304)</f>
        <v>3058.79000000001</v>
      </c>
      <c r="J13304" s="18" t="n">
        <v>0</v>
      </c>
      <c r="K13304" s="19" t="n">
        <v>0</v>
      </c>
      <c r="L13304" s="17"/>
    </row>
    <row r="13305" s="11" customFormat="true" ht="10.95" hidden="false" customHeight="true" outlineLevel="0" collapsed="false">
      <c r="A13305" s="16" t="n">
        <v>45369</v>
      </c>
      <c r="B13305" s="17" t="s">
        <v>4548</v>
      </c>
      <c r="C13305" s="17" t="s">
        <v>3614</v>
      </c>
      <c r="D13305" s="17" t="s">
        <v>1391</v>
      </c>
      <c r="E13305" s="17" t="s">
        <v>3642</v>
      </c>
      <c r="F13305" s="17" t="s">
        <v>2508</v>
      </c>
      <c r="G13305" s="18" t="n">
        <v>19.98</v>
      </c>
      <c r="H13305" s="18" t="n">
        <v>0</v>
      </c>
      <c r="I13305" s="18" t="n">
        <f aca="false">((I13304 + G13305) - H13305)</f>
        <v>3078.77000000001</v>
      </c>
      <c r="J13305" s="18" t="n">
        <v>0</v>
      </c>
      <c r="K13305" s="19" t="n">
        <v>0</v>
      </c>
      <c r="L13305" s="17"/>
    </row>
    <row r="13306" s="11" customFormat="true" ht="10.95" hidden="false" customHeight="true" outlineLevel="0" collapsed="false">
      <c r="A13306" s="16" t="n">
        <v>45369</v>
      </c>
      <c r="B13306" s="17" t="s">
        <v>4548</v>
      </c>
      <c r="C13306" s="17" t="s">
        <v>3614</v>
      </c>
      <c r="D13306" s="17" t="s">
        <v>1391</v>
      </c>
      <c r="E13306" s="17" t="s">
        <v>3642</v>
      </c>
      <c r="F13306" s="17" t="s">
        <v>2510</v>
      </c>
      <c r="G13306" s="18" t="n">
        <v>6.2</v>
      </c>
      <c r="H13306" s="18" t="n">
        <v>0</v>
      </c>
      <c r="I13306" s="18" t="n">
        <f aca="false">((I13305 + G13306) - H13306)</f>
        <v>3084.97000000001</v>
      </c>
      <c r="J13306" s="18" t="n">
        <v>0</v>
      </c>
      <c r="K13306" s="19" t="n">
        <v>0</v>
      </c>
      <c r="L13306" s="17"/>
    </row>
    <row r="13307" s="11" customFormat="true" ht="10.95" hidden="false" customHeight="true" outlineLevel="0" collapsed="false">
      <c r="A13307" s="16" t="n">
        <v>45369</v>
      </c>
      <c r="B13307" s="17" t="s">
        <v>4548</v>
      </c>
      <c r="C13307" s="17" t="s">
        <v>3614</v>
      </c>
      <c r="D13307" s="17" t="s">
        <v>1391</v>
      </c>
      <c r="E13307" s="17" t="s">
        <v>3642</v>
      </c>
      <c r="F13307" s="17" t="s">
        <v>2512</v>
      </c>
      <c r="G13307" s="18" t="n">
        <v>4.48</v>
      </c>
      <c r="H13307" s="18" t="n">
        <v>0</v>
      </c>
      <c r="I13307" s="18" t="n">
        <f aca="false">((I13306 + G13307) - H13307)</f>
        <v>3089.45000000001</v>
      </c>
      <c r="J13307" s="18" t="n">
        <v>0</v>
      </c>
      <c r="K13307" s="19" t="n">
        <v>0</v>
      </c>
      <c r="L13307" s="17"/>
    </row>
    <row r="13308" s="11" customFormat="true" ht="10.95" hidden="false" customHeight="true" outlineLevel="0" collapsed="false">
      <c r="A13308" s="16" t="n">
        <v>45369</v>
      </c>
      <c r="B13308" s="17" t="s">
        <v>4548</v>
      </c>
      <c r="C13308" s="17" t="s">
        <v>3614</v>
      </c>
      <c r="D13308" s="17" t="s">
        <v>1391</v>
      </c>
      <c r="E13308" s="17" t="s">
        <v>3642</v>
      </c>
      <c r="F13308" s="17" t="s">
        <v>2514</v>
      </c>
      <c r="G13308" s="18" t="n">
        <v>0.9</v>
      </c>
      <c r="H13308" s="18" t="n">
        <v>0</v>
      </c>
      <c r="I13308" s="18" t="n">
        <f aca="false">((I13307 + G13308) - H13308)</f>
        <v>3090.35000000001</v>
      </c>
      <c r="J13308" s="18" t="n">
        <v>0</v>
      </c>
      <c r="K13308" s="19" t="n">
        <v>0</v>
      </c>
      <c r="L13308" s="17"/>
    </row>
    <row r="13309" s="11" customFormat="true" ht="10.95" hidden="false" customHeight="true" outlineLevel="0" collapsed="false">
      <c r="A13309" s="16" t="n">
        <v>45369</v>
      </c>
      <c r="B13309" s="17" t="s">
        <v>4548</v>
      </c>
      <c r="C13309" s="17" t="s">
        <v>3614</v>
      </c>
      <c r="D13309" s="17" t="s">
        <v>1391</v>
      </c>
      <c r="E13309" s="17" t="s">
        <v>3642</v>
      </c>
      <c r="F13309" s="17" t="s">
        <v>2516</v>
      </c>
      <c r="G13309" s="18" t="n">
        <v>2.2</v>
      </c>
      <c r="H13309" s="18" t="n">
        <v>0</v>
      </c>
      <c r="I13309" s="18" t="n">
        <f aca="false">((I13308 + G13309) - H13309)</f>
        <v>3092.55000000001</v>
      </c>
      <c r="J13309" s="18" t="n">
        <v>0</v>
      </c>
      <c r="K13309" s="19" t="n">
        <v>0</v>
      </c>
      <c r="L13309" s="17"/>
    </row>
    <row r="13310" s="11" customFormat="true" ht="10.95" hidden="false" customHeight="true" outlineLevel="0" collapsed="false">
      <c r="A13310" s="16" t="n">
        <v>45369</v>
      </c>
      <c r="B13310" s="17" t="s">
        <v>4548</v>
      </c>
      <c r="C13310" s="17" t="s">
        <v>3614</v>
      </c>
      <c r="D13310" s="17" t="s">
        <v>1391</v>
      </c>
      <c r="E13310" s="17" t="s">
        <v>3642</v>
      </c>
      <c r="F13310" s="17" t="s">
        <v>2518</v>
      </c>
      <c r="G13310" s="18" t="n">
        <v>5.5</v>
      </c>
      <c r="H13310" s="18" t="n">
        <v>0</v>
      </c>
      <c r="I13310" s="18" t="n">
        <f aca="false">((I13309 + G13310) - H13310)</f>
        <v>3098.05000000001</v>
      </c>
      <c r="J13310" s="18" t="n">
        <v>0</v>
      </c>
      <c r="K13310" s="19" t="n">
        <v>0</v>
      </c>
      <c r="L13310" s="17"/>
    </row>
    <row r="13311" s="11" customFormat="true" ht="10.95" hidden="false" customHeight="true" outlineLevel="0" collapsed="false">
      <c r="A13311" s="16" t="n">
        <v>45369</v>
      </c>
      <c r="B13311" s="17" t="s">
        <v>4548</v>
      </c>
      <c r="C13311" s="17" t="s">
        <v>3614</v>
      </c>
      <c r="D13311" s="17" t="s">
        <v>1391</v>
      </c>
      <c r="E13311" s="17" t="s">
        <v>3642</v>
      </c>
      <c r="F13311" s="17" t="s">
        <v>2520</v>
      </c>
      <c r="G13311" s="18" t="n">
        <v>3.29</v>
      </c>
      <c r="H13311" s="18" t="n">
        <v>0</v>
      </c>
      <c r="I13311" s="18" t="n">
        <f aca="false">((I13310 + G13311) - H13311)</f>
        <v>3101.34000000001</v>
      </c>
      <c r="J13311" s="18" t="n">
        <v>0</v>
      </c>
      <c r="K13311" s="19" t="n">
        <v>0</v>
      </c>
      <c r="L13311" s="17"/>
    </row>
    <row r="13312" s="11" customFormat="true" ht="10.95" hidden="false" customHeight="true" outlineLevel="0" collapsed="false">
      <c r="A13312" s="16" t="n">
        <v>45369</v>
      </c>
      <c r="B13312" s="17" t="s">
        <v>4548</v>
      </c>
      <c r="C13312" s="17" t="s">
        <v>3614</v>
      </c>
      <c r="D13312" s="17" t="s">
        <v>1391</v>
      </c>
      <c r="E13312" s="17" t="s">
        <v>3642</v>
      </c>
      <c r="F13312" s="17" t="s">
        <v>2522</v>
      </c>
      <c r="G13312" s="18" t="n">
        <v>7.6</v>
      </c>
      <c r="H13312" s="18" t="n">
        <v>0</v>
      </c>
      <c r="I13312" s="18" t="n">
        <f aca="false">((I13311 + G13312) - H13312)</f>
        <v>3108.94000000001</v>
      </c>
      <c r="J13312" s="18" t="n">
        <v>0</v>
      </c>
      <c r="K13312" s="19" t="n">
        <v>0</v>
      </c>
      <c r="L13312" s="17"/>
    </row>
    <row r="13313" s="11" customFormat="true" ht="10.95" hidden="false" customHeight="true" outlineLevel="0" collapsed="false">
      <c r="A13313" s="16" t="n">
        <v>45370</v>
      </c>
      <c r="B13313" s="17" t="s">
        <v>4548</v>
      </c>
      <c r="C13313" s="17" t="s">
        <v>3614</v>
      </c>
      <c r="D13313" s="17" t="s">
        <v>1407</v>
      </c>
      <c r="E13313" s="17" t="s">
        <v>3900</v>
      </c>
      <c r="F13313" s="17"/>
      <c r="G13313" s="18" t="n">
        <v>1.54</v>
      </c>
      <c r="H13313" s="18" t="n">
        <v>0</v>
      </c>
      <c r="I13313" s="18" t="n">
        <f aca="false">((I13312 + G13313) - H13313)</f>
        <v>3110.48000000001</v>
      </c>
      <c r="J13313" s="18" t="n">
        <v>0</v>
      </c>
      <c r="K13313" s="19" t="n">
        <v>0</v>
      </c>
      <c r="L13313" s="17"/>
    </row>
    <row r="13314" s="11" customFormat="true" ht="10.95" hidden="false" customHeight="true" outlineLevel="0" collapsed="false">
      <c r="A13314" s="16" t="n">
        <v>45370</v>
      </c>
      <c r="B13314" s="17" t="s">
        <v>4548</v>
      </c>
      <c r="C13314" s="17" t="s">
        <v>3614</v>
      </c>
      <c r="D13314" s="17" t="s">
        <v>1407</v>
      </c>
      <c r="E13314" s="17" t="s">
        <v>3901</v>
      </c>
      <c r="F13314" s="17"/>
      <c r="G13314" s="18" t="n">
        <v>7.46</v>
      </c>
      <c r="H13314" s="18" t="n">
        <v>0</v>
      </c>
      <c r="I13314" s="18" t="n">
        <f aca="false">((I13313 + G13314) - H13314)</f>
        <v>3117.94000000001</v>
      </c>
      <c r="J13314" s="18" t="n">
        <v>0</v>
      </c>
      <c r="K13314" s="19" t="n">
        <v>0</v>
      </c>
      <c r="L13314" s="17"/>
    </row>
    <row r="13315" s="11" customFormat="true" ht="10.95" hidden="false" customHeight="true" outlineLevel="0" collapsed="false">
      <c r="A13315" s="16" t="n">
        <v>45370</v>
      </c>
      <c r="B13315" s="17" t="s">
        <v>4548</v>
      </c>
      <c r="C13315" s="17" t="s">
        <v>3614</v>
      </c>
      <c r="D13315" s="17" t="s">
        <v>1407</v>
      </c>
      <c r="E13315" s="17" t="s">
        <v>3902</v>
      </c>
      <c r="F13315" s="17"/>
      <c r="G13315" s="18" t="n">
        <v>24.77</v>
      </c>
      <c r="H13315" s="18" t="n">
        <v>0</v>
      </c>
      <c r="I13315" s="18" t="n">
        <f aca="false">((I13314 + G13315) - H13315)</f>
        <v>3142.71000000001</v>
      </c>
      <c r="J13315" s="18" t="n">
        <v>0</v>
      </c>
      <c r="K13315" s="19" t="n">
        <v>0</v>
      </c>
      <c r="L13315" s="17"/>
    </row>
    <row r="13316" s="11" customFormat="true" ht="10.95" hidden="false" customHeight="true" outlineLevel="0" collapsed="false">
      <c r="A13316" s="16" t="n">
        <v>45370</v>
      </c>
      <c r="B13316" s="17" t="s">
        <v>4548</v>
      </c>
      <c r="C13316" s="17" t="s">
        <v>3614</v>
      </c>
      <c r="D13316" s="17" t="s">
        <v>1407</v>
      </c>
      <c r="E13316" s="17" t="s">
        <v>3813</v>
      </c>
      <c r="F13316" s="17"/>
      <c r="G13316" s="18" t="n">
        <v>58.67</v>
      </c>
      <c r="H13316" s="18" t="n">
        <v>0</v>
      </c>
      <c r="I13316" s="18" t="n">
        <f aca="false">((I13315 + G13316) - H13316)</f>
        <v>3201.38000000001</v>
      </c>
      <c r="J13316" s="18" t="n">
        <v>0</v>
      </c>
      <c r="K13316" s="19" t="n">
        <v>0</v>
      </c>
      <c r="L13316" s="17"/>
    </row>
    <row r="13317" s="11" customFormat="true" ht="10.95" hidden="false" customHeight="true" outlineLevel="0" collapsed="false">
      <c r="A13317" s="16" t="n">
        <v>45370</v>
      </c>
      <c r="B13317" s="17" t="s">
        <v>4548</v>
      </c>
      <c r="C13317" s="17" t="s">
        <v>3614</v>
      </c>
      <c r="D13317" s="17" t="s">
        <v>1407</v>
      </c>
      <c r="E13317" s="17" t="s">
        <v>3813</v>
      </c>
      <c r="F13317" s="17"/>
      <c r="G13317" s="18" t="n">
        <v>60.05</v>
      </c>
      <c r="H13317" s="18" t="n">
        <v>0</v>
      </c>
      <c r="I13317" s="18" t="n">
        <f aca="false">((I13316 + G13317) - H13317)</f>
        <v>3261.43000000001</v>
      </c>
      <c r="J13317" s="18" t="n">
        <v>0</v>
      </c>
      <c r="K13317" s="19" t="n">
        <v>0</v>
      </c>
      <c r="L13317" s="17"/>
    </row>
    <row r="13318" s="11" customFormat="true" ht="10.95" hidden="false" customHeight="true" outlineLevel="0" collapsed="false">
      <c r="A13318" s="16" t="n">
        <v>45370</v>
      </c>
      <c r="B13318" s="17" t="s">
        <v>4548</v>
      </c>
      <c r="C13318" s="17" t="s">
        <v>3614</v>
      </c>
      <c r="D13318" s="17" t="s">
        <v>1407</v>
      </c>
      <c r="E13318" s="17" t="s">
        <v>3813</v>
      </c>
      <c r="F13318" s="17"/>
      <c r="G13318" s="18" t="n">
        <v>70.21</v>
      </c>
      <c r="H13318" s="18" t="n">
        <v>0</v>
      </c>
      <c r="I13318" s="18" t="n">
        <f aca="false">((I13317 + G13318) - H13318)</f>
        <v>3331.64000000001</v>
      </c>
      <c r="J13318" s="18" t="n">
        <v>0</v>
      </c>
      <c r="K13318" s="19" t="n">
        <v>0</v>
      </c>
      <c r="L13318" s="17"/>
    </row>
    <row r="13319" s="11" customFormat="true" ht="10.95" hidden="false" customHeight="true" outlineLevel="0" collapsed="false">
      <c r="A13319" s="16" t="n">
        <v>45370</v>
      </c>
      <c r="B13319" s="17" t="s">
        <v>4548</v>
      </c>
      <c r="C13319" s="17" t="s">
        <v>3614</v>
      </c>
      <c r="D13319" s="17" t="s">
        <v>1407</v>
      </c>
      <c r="E13319" s="17" t="s">
        <v>3813</v>
      </c>
      <c r="F13319" s="17"/>
      <c r="G13319" s="18" t="n">
        <v>62.95</v>
      </c>
      <c r="H13319" s="18" t="n">
        <v>0</v>
      </c>
      <c r="I13319" s="18" t="n">
        <f aca="false">((I13318 + G13319) - H13319)</f>
        <v>3394.59000000001</v>
      </c>
      <c r="J13319" s="18" t="n">
        <v>0</v>
      </c>
      <c r="K13319" s="19" t="n">
        <v>0</v>
      </c>
      <c r="L13319" s="17"/>
    </row>
    <row r="13320" s="11" customFormat="true" ht="10.95" hidden="false" customHeight="true" outlineLevel="0" collapsed="false">
      <c r="A13320" s="16" t="n">
        <v>45371</v>
      </c>
      <c r="B13320" s="17" t="s">
        <v>4548</v>
      </c>
      <c r="C13320" s="17" t="s">
        <v>3614</v>
      </c>
      <c r="D13320" s="17" t="s">
        <v>1391</v>
      </c>
      <c r="E13320" s="17" t="s">
        <v>3668</v>
      </c>
      <c r="F13320" s="17" t="s">
        <v>2526</v>
      </c>
      <c r="G13320" s="18" t="n">
        <v>8.82</v>
      </c>
      <c r="H13320" s="18" t="n">
        <v>0</v>
      </c>
      <c r="I13320" s="18" t="n">
        <f aca="false">((I13319 + G13320) - H13320)</f>
        <v>3403.41000000001</v>
      </c>
      <c r="J13320" s="18" t="n">
        <v>0</v>
      </c>
      <c r="K13320" s="19" t="n">
        <v>0</v>
      </c>
      <c r="L13320" s="17"/>
    </row>
    <row r="13321" s="11" customFormat="true" ht="10.95" hidden="false" customHeight="true" outlineLevel="0" collapsed="false">
      <c r="A13321" s="16" t="n">
        <v>45372</v>
      </c>
      <c r="B13321" s="17" t="s">
        <v>4548</v>
      </c>
      <c r="C13321" s="17" t="s">
        <v>3614</v>
      </c>
      <c r="D13321" s="17" t="s">
        <v>19</v>
      </c>
      <c r="E13321" s="17" t="s">
        <v>3502</v>
      </c>
      <c r="F13321" s="17" t="s">
        <v>544</v>
      </c>
      <c r="G13321" s="18" t="n">
        <v>0</v>
      </c>
      <c r="H13321" s="18" t="n">
        <v>7.15</v>
      </c>
      <c r="I13321" s="18" t="n">
        <f aca="false">((I13320 + G13321) - H13321)</f>
        <v>3396.26000000001</v>
      </c>
      <c r="J13321" s="18" t="n">
        <v>0</v>
      </c>
      <c r="K13321" s="19" t="n">
        <v>0</v>
      </c>
      <c r="L13321" s="17"/>
    </row>
    <row r="13322" s="11" customFormat="true" ht="10.95" hidden="false" customHeight="true" outlineLevel="0" collapsed="false">
      <c r="A13322" s="16" t="n">
        <v>45372</v>
      </c>
      <c r="B13322" s="17" t="s">
        <v>4548</v>
      </c>
      <c r="C13322" s="17" t="s">
        <v>3614</v>
      </c>
      <c r="D13322" s="17" t="s">
        <v>19</v>
      </c>
      <c r="E13322" s="17" t="s">
        <v>3521</v>
      </c>
      <c r="F13322" s="17" t="s">
        <v>546</v>
      </c>
      <c r="G13322" s="18" t="n">
        <v>0</v>
      </c>
      <c r="H13322" s="18" t="n">
        <v>64.8</v>
      </c>
      <c r="I13322" s="18" t="n">
        <f aca="false">((I13321 + G13322) - H13322)</f>
        <v>3331.46000000001</v>
      </c>
      <c r="J13322" s="18" t="n">
        <v>0</v>
      </c>
      <c r="K13322" s="19" t="n">
        <v>0</v>
      </c>
      <c r="L13322" s="17"/>
    </row>
    <row r="13323" s="11" customFormat="true" ht="10.95" hidden="false" customHeight="true" outlineLevel="0" collapsed="false">
      <c r="A13323" s="16" t="n">
        <v>45372</v>
      </c>
      <c r="B13323" s="17" t="s">
        <v>4548</v>
      </c>
      <c r="C13323" s="17" t="s">
        <v>3614</v>
      </c>
      <c r="D13323" s="17" t="s">
        <v>19</v>
      </c>
      <c r="E13323" s="17" t="s">
        <v>3501</v>
      </c>
      <c r="F13323" s="17" t="s">
        <v>547</v>
      </c>
      <c r="G13323" s="18" t="n">
        <v>0</v>
      </c>
      <c r="H13323" s="18" t="n">
        <v>14.3</v>
      </c>
      <c r="I13323" s="18" t="n">
        <f aca="false">((I13322 + G13323) - H13323)</f>
        <v>3317.16000000001</v>
      </c>
      <c r="J13323" s="18" t="n">
        <v>0</v>
      </c>
      <c r="K13323" s="19" t="n">
        <v>0</v>
      </c>
      <c r="L13323" s="17"/>
    </row>
    <row r="13324" s="11" customFormat="true" ht="10.95" hidden="false" customHeight="true" outlineLevel="0" collapsed="false">
      <c r="A13324" s="16" t="n">
        <v>45372</v>
      </c>
      <c r="B13324" s="17" t="s">
        <v>4548</v>
      </c>
      <c r="C13324" s="17" t="s">
        <v>3614</v>
      </c>
      <c r="D13324" s="17" t="s">
        <v>19</v>
      </c>
      <c r="E13324" s="17" t="s">
        <v>3490</v>
      </c>
      <c r="F13324" s="17" t="s">
        <v>548</v>
      </c>
      <c r="G13324" s="18" t="n">
        <v>0</v>
      </c>
      <c r="H13324" s="18" t="n">
        <v>94.05</v>
      </c>
      <c r="I13324" s="18" t="n">
        <f aca="false">((I13323 + G13324) - H13324)</f>
        <v>3223.11000000001</v>
      </c>
      <c r="J13324" s="18" t="n">
        <v>0</v>
      </c>
      <c r="K13324" s="19" t="n">
        <v>0</v>
      </c>
      <c r="L13324" s="17"/>
    </row>
    <row r="13325" s="11" customFormat="true" ht="10.95" hidden="false" customHeight="true" outlineLevel="0" collapsed="false">
      <c r="A13325" s="16" t="n">
        <v>45372</v>
      </c>
      <c r="B13325" s="17" t="s">
        <v>4548</v>
      </c>
      <c r="C13325" s="17" t="s">
        <v>3614</v>
      </c>
      <c r="D13325" s="17" t="s">
        <v>19</v>
      </c>
      <c r="E13325" s="17" t="s">
        <v>3424</v>
      </c>
      <c r="F13325" s="17" t="s">
        <v>549</v>
      </c>
      <c r="G13325" s="18" t="n">
        <v>0</v>
      </c>
      <c r="H13325" s="18" t="n">
        <v>37.6</v>
      </c>
      <c r="I13325" s="18" t="n">
        <f aca="false">((I13324 + G13325) - H13325)</f>
        <v>3185.51000000001</v>
      </c>
      <c r="J13325" s="18" t="n">
        <v>0</v>
      </c>
      <c r="K13325" s="19" t="n">
        <v>0</v>
      </c>
      <c r="L13325" s="17"/>
    </row>
    <row r="13326" s="11" customFormat="true" ht="10.95" hidden="false" customHeight="true" outlineLevel="0" collapsed="false">
      <c r="A13326" s="16" t="n">
        <v>45372</v>
      </c>
      <c r="B13326" s="17" t="s">
        <v>4548</v>
      </c>
      <c r="C13326" s="17" t="s">
        <v>3614</v>
      </c>
      <c r="D13326" s="17" t="s">
        <v>19</v>
      </c>
      <c r="E13326" s="17" t="s">
        <v>3426</v>
      </c>
      <c r="F13326" s="17" t="s">
        <v>550</v>
      </c>
      <c r="G13326" s="18" t="n">
        <v>0</v>
      </c>
      <c r="H13326" s="18" t="n">
        <v>137.5</v>
      </c>
      <c r="I13326" s="18" t="n">
        <f aca="false">((I13325 + G13326) - H13326)</f>
        <v>3048.01000000001</v>
      </c>
      <c r="J13326" s="18" t="n">
        <v>0</v>
      </c>
      <c r="K13326" s="19" t="n">
        <v>0</v>
      </c>
      <c r="L13326" s="17"/>
    </row>
    <row r="13327" s="11" customFormat="true" ht="10.95" hidden="false" customHeight="true" outlineLevel="0" collapsed="false">
      <c r="A13327" s="16" t="n">
        <v>45372</v>
      </c>
      <c r="B13327" s="17" t="s">
        <v>4548</v>
      </c>
      <c r="C13327" s="17" t="s">
        <v>3614</v>
      </c>
      <c r="D13327" s="17" t="s">
        <v>19</v>
      </c>
      <c r="E13327" s="17" t="s">
        <v>3427</v>
      </c>
      <c r="F13327" s="17" t="s">
        <v>551</v>
      </c>
      <c r="G13327" s="18" t="n">
        <v>0</v>
      </c>
      <c r="H13327" s="18" t="n">
        <v>59.5</v>
      </c>
      <c r="I13327" s="18" t="n">
        <f aca="false">((I13326 + G13327) - H13327)</f>
        <v>2988.51000000001</v>
      </c>
      <c r="J13327" s="18" t="n">
        <v>0</v>
      </c>
      <c r="K13327" s="19" t="n">
        <v>0</v>
      </c>
      <c r="L13327" s="17"/>
    </row>
    <row r="13328" s="11" customFormat="true" ht="10.95" hidden="false" customHeight="true" outlineLevel="0" collapsed="false">
      <c r="A13328" s="16" t="n">
        <v>45372</v>
      </c>
      <c r="B13328" s="17" t="s">
        <v>4548</v>
      </c>
      <c r="C13328" s="17" t="s">
        <v>3614</v>
      </c>
      <c r="D13328" s="17" t="s">
        <v>19</v>
      </c>
      <c r="E13328" s="17" t="s">
        <v>3428</v>
      </c>
      <c r="F13328" s="17" t="s">
        <v>552</v>
      </c>
      <c r="G13328" s="18" t="n">
        <v>0</v>
      </c>
      <c r="H13328" s="18" t="n">
        <v>125.95</v>
      </c>
      <c r="I13328" s="18" t="n">
        <f aca="false">((I13327 + G13328) - H13328)</f>
        <v>2862.56000000001</v>
      </c>
      <c r="J13328" s="18" t="n">
        <v>0</v>
      </c>
      <c r="K13328" s="19" t="n">
        <v>0</v>
      </c>
      <c r="L13328" s="17"/>
    </row>
    <row r="13329" s="11" customFormat="true" ht="10.95" hidden="false" customHeight="true" outlineLevel="0" collapsed="false">
      <c r="A13329" s="16" t="n">
        <v>45372</v>
      </c>
      <c r="B13329" s="17" t="s">
        <v>4548</v>
      </c>
      <c r="C13329" s="17" t="s">
        <v>3614</v>
      </c>
      <c r="D13329" s="17" t="s">
        <v>19</v>
      </c>
      <c r="E13329" s="17" t="s">
        <v>3429</v>
      </c>
      <c r="F13329" s="17" t="s">
        <v>553</v>
      </c>
      <c r="G13329" s="18" t="n">
        <v>0</v>
      </c>
      <c r="H13329" s="18" t="n">
        <v>8.5</v>
      </c>
      <c r="I13329" s="18" t="n">
        <f aca="false">((I13328 + G13329) - H13329)</f>
        <v>2854.06000000001</v>
      </c>
      <c r="J13329" s="18" t="n">
        <v>0</v>
      </c>
      <c r="K13329" s="19" t="n">
        <v>0</v>
      </c>
      <c r="L13329" s="17"/>
    </row>
    <row r="13330" s="11" customFormat="true" ht="10.95" hidden="false" customHeight="true" outlineLevel="0" collapsed="false">
      <c r="A13330" s="16" t="n">
        <v>45372</v>
      </c>
      <c r="B13330" s="17" t="s">
        <v>4548</v>
      </c>
      <c r="C13330" s="17" t="s">
        <v>3614</v>
      </c>
      <c r="D13330" s="17" t="s">
        <v>19</v>
      </c>
      <c r="E13330" s="17" t="s">
        <v>3431</v>
      </c>
      <c r="F13330" s="17" t="s">
        <v>554</v>
      </c>
      <c r="G13330" s="18" t="n">
        <v>0</v>
      </c>
      <c r="H13330" s="18" t="n">
        <v>32.5</v>
      </c>
      <c r="I13330" s="18" t="n">
        <f aca="false">((I13329 + G13330) - H13330)</f>
        <v>2821.56000000001</v>
      </c>
      <c r="J13330" s="18" t="n">
        <v>0</v>
      </c>
      <c r="K13330" s="19" t="n">
        <v>0</v>
      </c>
      <c r="L13330" s="17"/>
    </row>
    <row r="13331" s="11" customFormat="true" ht="10.95" hidden="false" customHeight="true" outlineLevel="0" collapsed="false">
      <c r="A13331" s="16" t="n">
        <v>45372</v>
      </c>
      <c r="B13331" s="17" t="s">
        <v>4548</v>
      </c>
      <c r="C13331" s="17" t="s">
        <v>3614</v>
      </c>
      <c r="D13331" s="17" t="s">
        <v>19</v>
      </c>
      <c r="E13331" s="17" t="s">
        <v>3432</v>
      </c>
      <c r="F13331" s="17" t="s">
        <v>555</v>
      </c>
      <c r="G13331" s="18" t="n">
        <v>0</v>
      </c>
      <c r="H13331" s="18" t="n">
        <v>99.5</v>
      </c>
      <c r="I13331" s="18" t="n">
        <f aca="false">((I13330 + G13331) - H13331)</f>
        <v>2722.06000000001</v>
      </c>
      <c r="J13331" s="18" t="n">
        <v>0</v>
      </c>
      <c r="K13331" s="19" t="n">
        <v>0</v>
      </c>
      <c r="L13331" s="17"/>
    </row>
    <row r="13332" s="11" customFormat="true" ht="10.95" hidden="false" customHeight="true" outlineLevel="0" collapsed="false">
      <c r="A13332" s="16" t="n">
        <v>45372</v>
      </c>
      <c r="B13332" s="17" t="s">
        <v>4548</v>
      </c>
      <c r="C13332" s="17" t="s">
        <v>3614</v>
      </c>
      <c r="D13332" s="17" t="s">
        <v>19</v>
      </c>
      <c r="E13332" s="17" t="s">
        <v>3434</v>
      </c>
      <c r="F13332" s="17" t="s">
        <v>556</v>
      </c>
      <c r="G13332" s="18" t="n">
        <v>0</v>
      </c>
      <c r="H13332" s="18" t="n">
        <v>36</v>
      </c>
      <c r="I13332" s="18" t="n">
        <f aca="false">((I13331 + G13332) - H13332)</f>
        <v>2686.06000000001</v>
      </c>
      <c r="J13332" s="18" t="n">
        <v>0</v>
      </c>
      <c r="K13332" s="19" t="n">
        <v>0</v>
      </c>
      <c r="L13332" s="17"/>
    </row>
    <row r="13333" s="11" customFormat="true" ht="10.95" hidden="false" customHeight="true" outlineLevel="0" collapsed="false">
      <c r="A13333" s="16" t="n">
        <v>45372</v>
      </c>
      <c r="B13333" s="17" t="s">
        <v>4548</v>
      </c>
      <c r="C13333" s="17" t="s">
        <v>3614</v>
      </c>
      <c r="D13333" s="17" t="s">
        <v>19</v>
      </c>
      <c r="E13333" s="17" t="s">
        <v>3435</v>
      </c>
      <c r="F13333" s="17" t="s">
        <v>557</v>
      </c>
      <c r="G13333" s="18" t="n">
        <v>0</v>
      </c>
      <c r="H13333" s="18" t="n">
        <v>204</v>
      </c>
      <c r="I13333" s="18" t="n">
        <f aca="false">((I13332 + G13333) - H13333)</f>
        <v>2482.06000000001</v>
      </c>
      <c r="J13333" s="18" t="n">
        <v>0</v>
      </c>
      <c r="K13333" s="19" t="n">
        <v>0</v>
      </c>
      <c r="L13333" s="17"/>
    </row>
    <row r="13334" s="11" customFormat="true" ht="10.95" hidden="false" customHeight="true" outlineLevel="0" collapsed="false">
      <c r="A13334" s="16" t="n">
        <v>45372</v>
      </c>
      <c r="B13334" s="17" t="s">
        <v>4548</v>
      </c>
      <c r="C13334" s="17" t="s">
        <v>3614</v>
      </c>
      <c r="D13334" s="17" t="s">
        <v>19</v>
      </c>
      <c r="E13334" s="17" t="s">
        <v>3437</v>
      </c>
      <c r="F13334" s="17" t="s">
        <v>558</v>
      </c>
      <c r="G13334" s="18" t="n">
        <v>0</v>
      </c>
      <c r="H13334" s="18" t="n">
        <v>100.01</v>
      </c>
      <c r="I13334" s="18" t="n">
        <f aca="false">((I13333 + G13334) - H13334)</f>
        <v>2382.05000000001</v>
      </c>
      <c r="J13334" s="18" t="n">
        <v>0</v>
      </c>
      <c r="K13334" s="19" t="n">
        <v>0</v>
      </c>
      <c r="L13334" s="17"/>
    </row>
    <row r="13335" s="11" customFormat="true" ht="10.95" hidden="false" customHeight="true" outlineLevel="0" collapsed="false">
      <c r="A13335" s="16" t="n">
        <v>45372</v>
      </c>
      <c r="B13335" s="17" t="s">
        <v>4548</v>
      </c>
      <c r="C13335" s="17" t="s">
        <v>3614</v>
      </c>
      <c r="D13335" s="17" t="s">
        <v>19</v>
      </c>
      <c r="E13335" s="17" t="s">
        <v>3439</v>
      </c>
      <c r="F13335" s="17" t="s">
        <v>559</v>
      </c>
      <c r="G13335" s="18" t="n">
        <v>0</v>
      </c>
      <c r="H13335" s="18" t="n">
        <v>95.7</v>
      </c>
      <c r="I13335" s="18" t="n">
        <f aca="false">((I13334 + G13335) - H13335)</f>
        <v>2286.35000000001</v>
      </c>
      <c r="J13335" s="18" t="n">
        <v>0</v>
      </c>
      <c r="K13335" s="19" t="n">
        <v>0</v>
      </c>
      <c r="L13335" s="17"/>
    </row>
    <row r="13336" s="11" customFormat="true" ht="10.95" hidden="false" customHeight="true" outlineLevel="0" collapsed="false">
      <c r="A13336" s="16" t="n">
        <v>45372</v>
      </c>
      <c r="B13336" s="17" t="s">
        <v>4548</v>
      </c>
      <c r="C13336" s="17" t="s">
        <v>3614</v>
      </c>
      <c r="D13336" s="17" t="s">
        <v>19</v>
      </c>
      <c r="E13336" s="17" t="s">
        <v>3442</v>
      </c>
      <c r="F13336" s="17" t="s">
        <v>560</v>
      </c>
      <c r="G13336" s="18" t="n">
        <v>0</v>
      </c>
      <c r="H13336" s="18" t="n">
        <v>909</v>
      </c>
      <c r="I13336" s="18" t="n">
        <f aca="false">((I13335 + G13336) - H13336)</f>
        <v>1377.35000000001</v>
      </c>
      <c r="J13336" s="18" t="n">
        <v>0</v>
      </c>
      <c r="K13336" s="19" t="n">
        <v>0</v>
      </c>
      <c r="L13336" s="17"/>
    </row>
    <row r="13337" s="11" customFormat="true" ht="10.95" hidden="false" customHeight="true" outlineLevel="0" collapsed="false">
      <c r="A13337" s="16" t="n">
        <v>45372</v>
      </c>
      <c r="B13337" s="17" t="s">
        <v>4548</v>
      </c>
      <c r="C13337" s="17" t="s">
        <v>3614</v>
      </c>
      <c r="D13337" s="17" t="s">
        <v>19</v>
      </c>
      <c r="E13337" s="17" t="s">
        <v>3442</v>
      </c>
      <c r="F13337" s="17" t="s">
        <v>561</v>
      </c>
      <c r="G13337" s="18" t="n">
        <v>0</v>
      </c>
      <c r="H13337" s="18" t="n">
        <v>909</v>
      </c>
      <c r="I13337" s="18" t="n">
        <f aca="false">((I13336 + G13337) - H13337)</f>
        <v>468.350000000006</v>
      </c>
      <c r="J13337" s="18" t="n">
        <v>0</v>
      </c>
      <c r="K13337" s="19" t="n">
        <v>0</v>
      </c>
      <c r="L13337" s="17"/>
    </row>
    <row r="13338" s="11" customFormat="true" ht="10.95" hidden="false" customHeight="true" outlineLevel="0" collapsed="false">
      <c r="A13338" s="16" t="n">
        <v>45372</v>
      </c>
      <c r="B13338" s="17" t="s">
        <v>4548</v>
      </c>
      <c r="C13338" s="17" t="s">
        <v>3614</v>
      </c>
      <c r="D13338" s="17" t="s">
        <v>19</v>
      </c>
      <c r="E13338" s="17" t="s">
        <v>3443</v>
      </c>
      <c r="F13338" s="17" t="s">
        <v>562</v>
      </c>
      <c r="G13338" s="18" t="n">
        <v>0</v>
      </c>
      <c r="H13338" s="18" t="n">
        <v>454</v>
      </c>
      <c r="I13338" s="18" t="n">
        <f aca="false">((I13337 + G13338) - H13338)</f>
        <v>14.3500000000058</v>
      </c>
      <c r="J13338" s="18" t="n">
        <v>0</v>
      </c>
      <c r="K13338" s="19" t="n">
        <v>0</v>
      </c>
      <c r="L13338" s="17"/>
    </row>
    <row r="13339" s="11" customFormat="true" ht="10.95" hidden="false" customHeight="true" outlineLevel="0" collapsed="false">
      <c r="A13339" s="16" t="n">
        <v>45372</v>
      </c>
      <c r="B13339" s="17" t="s">
        <v>4548</v>
      </c>
      <c r="C13339" s="17" t="s">
        <v>3614</v>
      </c>
      <c r="D13339" s="17" t="s">
        <v>19</v>
      </c>
      <c r="E13339" s="17" t="s">
        <v>3444</v>
      </c>
      <c r="F13339" s="17" t="s">
        <v>563</v>
      </c>
      <c r="G13339" s="18" t="n">
        <v>0</v>
      </c>
      <c r="H13339" s="18" t="n">
        <v>88</v>
      </c>
      <c r="I13339" s="18" t="n">
        <f aca="false">((I13338 + G13339) - H13339)</f>
        <v>-73.6499999999942</v>
      </c>
      <c r="J13339" s="18" t="n">
        <v>0</v>
      </c>
      <c r="K13339" s="19" t="n">
        <v>0</v>
      </c>
      <c r="L13339" s="17"/>
    </row>
    <row r="13340" s="11" customFormat="true" ht="10.95" hidden="false" customHeight="true" outlineLevel="0" collapsed="false">
      <c r="A13340" s="16" t="n">
        <v>45372</v>
      </c>
      <c r="B13340" s="17" t="s">
        <v>4548</v>
      </c>
      <c r="C13340" s="17" t="s">
        <v>3614</v>
      </c>
      <c r="D13340" s="17" t="s">
        <v>19</v>
      </c>
      <c r="E13340" s="17" t="s">
        <v>3494</v>
      </c>
      <c r="F13340" s="17" t="s">
        <v>564</v>
      </c>
      <c r="G13340" s="18" t="n">
        <v>0</v>
      </c>
      <c r="H13340" s="18" t="n">
        <v>83</v>
      </c>
      <c r="I13340" s="18" t="n">
        <f aca="false">((I13339 + G13340) - H13340)</f>
        <v>-156.649999999994</v>
      </c>
      <c r="J13340" s="18" t="n">
        <v>0</v>
      </c>
      <c r="K13340" s="19" t="n">
        <v>0</v>
      </c>
      <c r="L13340" s="17"/>
    </row>
    <row r="13341" s="11" customFormat="true" ht="10.95" hidden="false" customHeight="true" outlineLevel="0" collapsed="false">
      <c r="A13341" s="16" t="n">
        <v>45372</v>
      </c>
      <c r="B13341" s="17" t="s">
        <v>4548</v>
      </c>
      <c r="C13341" s="17" t="s">
        <v>3614</v>
      </c>
      <c r="D13341" s="17" t="s">
        <v>19</v>
      </c>
      <c r="E13341" s="17" t="s">
        <v>3446</v>
      </c>
      <c r="F13341" s="17" t="s">
        <v>565</v>
      </c>
      <c r="G13341" s="18" t="n">
        <v>0</v>
      </c>
      <c r="H13341" s="18" t="n">
        <v>169.2</v>
      </c>
      <c r="I13341" s="18" t="n">
        <f aca="false">((I13340 + G13341) - H13341)</f>
        <v>-325.849999999994</v>
      </c>
      <c r="J13341" s="18" t="n">
        <v>0</v>
      </c>
      <c r="K13341" s="19" t="n">
        <v>0</v>
      </c>
      <c r="L13341" s="17"/>
    </row>
    <row r="13342" s="11" customFormat="true" ht="10.95" hidden="false" customHeight="true" outlineLevel="0" collapsed="false">
      <c r="A13342" s="16" t="n">
        <v>45372</v>
      </c>
      <c r="B13342" s="17" t="s">
        <v>4548</v>
      </c>
      <c r="C13342" s="17" t="s">
        <v>3614</v>
      </c>
      <c r="D13342" s="17" t="s">
        <v>19</v>
      </c>
      <c r="E13342" s="17" t="s">
        <v>3447</v>
      </c>
      <c r="F13342" s="17" t="s">
        <v>567</v>
      </c>
      <c r="G13342" s="18" t="n">
        <v>0</v>
      </c>
      <c r="H13342" s="18" t="n">
        <v>20.9</v>
      </c>
      <c r="I13342" s="18" t="n">
        <f aca="false">((I13341 + G13342) - H13342)</f>
        <v>-346.749999999994</v>
      </c>
      <c r="J13342" s="18" t="n">
        <v>0</v>
      </c>
      <c r="K13342" s="19" t="n">
        <v>0</v>
      </c>
      <c r="L13342" s="17"/>
    </row>
    <row r="13343" s="11" customFormat="true" ht="10.95" hidden="false" customHeight="true" outlineLevel="0" collapsed="false">
      <c r="A13343" s="16" t="n">
        <v>45372</v>
      </c>
      <c r="B13343" s="17" t="s">
        <v>4548</v>
      </c>
      <c r="C13343" s="17" t="s">
        <v>3614</v>
      </c>
      <c r="D13343" s="17" t="s">
        <v>19</v>
      </c>
      <c r="E13343" s="17" t="s">
        <v>3447</v>
      </c>
      <c r="F13343" s="17" t="s">
        <v>568</v>
      </c>
      <c r="G13343" s="18" t="n">
        <v>0</v>
      </c>
      <c r="H13343" s="18" t="n">
        <v>10.45</v>
      </c>
      <c r="I13343" s="18" t="n">
        <f aca="false">((I13342 + G13343) - H13343)</f>
        <v>-357.199999999994</v>
      </c>
      <c r="J13343" s="18" t="n">
        <v>0</v>
      </c>
      <c r="K13343" s="19" t="n">
        <v>0</v>
      </c>
      <c r="L13343" s="17"/>
    </row>
    <row r="13344" s="11" customFormat="true" ht="10.95" hidden="false" customHeight="true" outlineLevel="0" collapsed="false">
      <c r="A13344" s="16" t="n">
        <v>45372</v>
      </c>
      <c r="B13344" s="17" t="s">
        <v>4548</v>
      </c>
      <c r="C13344" s="17" t="s">
        <v>3614</v>
      </c>
      <c r="D13344" s="17" t="s">
        <v>19</v>
      </c>
      <c r="E13344" s="17" t="s">
        <v>3447</v>
      </c>
      <c r="F13344" s="17" t="s">
        <v>569</v>
      </c>
      <c r="G13344" s="18" t="n">
        <v>0</v>
      </c>
      <c r="H13344" s="18" t="n">
        <v>52.75</v>
      </c>
      <c r="I13344" s="18" t="n">
        <f aca="false">((I13343 + G13344) - H13344)</f>
        <v>-409.949999999994</v>
      </c>
      <c r="J13344" s="18" t="n">
        <v>0</v>
      </c>
      <c r="K13344" s="19" t="n">
        <v>0</v>
      </c>
      <c r="L13344" s="17"/>
    </row>
    <row r="13345" s="11" customFormat="true" ht="10.95" hidden="false" customHeight="true" outlineLevel="0" collapsed="false">
      <c r="A13345" s="16" t="n">
        <v>45372</v>
      </c>
      <c r="B13345" s="17" t="s">
        <v>4548</v>
      </c>
      <c r="C13345" s="17" t="s">
        <v>3614</v>
      </c>
      <c r="D13345" s="17" t="s">
        <v>19</v>
      </c>
      <c r="E13345" s="17" t="s">
        <v>3447</v>
      </c>
      <c r="F13345" s="17" t="s">
        <v>570</v>
      </c>
      <c r="G13345" s="18" t="n">
        <v>0</v>
      </c>
      <c r="H13345" s="18" t="n">
        <v>75.2</v>
      </c>
      <c r="I13345" s="18" t="n">
        <f aca="false">((I13344 + G13345) - H13345)</f>
        <v>-485.149999999994</v>
      </c>
      <c r="J13345" s="18" t="n">
        <v>0</v>
      </c>
      <c r="K13345" s="19" t="n">
        <v>0</v>
      </c>
      <c r="L13345" s="17"/>
    </row>
    <row r="13346" s="11" customFormat="true" ht="10.95" hidden="false" customHeight="true" outlineLevel="0" collapsed="false">
      <c r="A13346" s="16" t="n">
        <v>45372</v>
      </c>
      <c r="B13346" s="17" t="s">
        <v>4548</v>
      </c>
      <c r="C13346" s="17" t="s">
        <v>3614</v>
      </c>
      <c r="D13346" s="17" t="s">
        <v>19</v>
      </c>
      <c r="E13346" s="17" t="s">
        <v>3447</v>
      </c>
      <c r="F13346" s="17" t="s">
        <v>571</v>
      </c>
      <c r="G13346" s="18" t="n">
        <v>0</v>
      </c>
      <c r="H13346" s="18" t="n">
        <v>18.8</v>
      </c>
      <c r="I13346" s="18" t="n">
        <f aca="false">((I13345 + G13346) - H13346)</f>
        <v>-503.949999999994</v>
      </c>
      <c r="J13346" s="18" t="n">
        <v>0</v>
      </c>
      <c r="K13346" s="19" t="n">
        <v>0</v>
      </c>
      <c r="L13346" s="17"/>
    </row>
    <row r="13347" s="11" customFormat="true" ht="10.95" hidden="false" customHeight="true" outlineLevel="0" collapsed="false">
      <c r="A13347" s="16" t="n">
        <v>45372</v>
      </c>
      <c r="B13347" s="17" t="s">
        <v>4548</v>
      </c>
      <c r="C13347" s="17" t="s">
        <v>3614</v>
      </c>
      <c r="D13347" s="17" t="s">
        <v>19</v>
      </c>
      <c r="E13347" s="17" t="s">
        <v>3447</v>
      </c>
      <c r="F13347" s="17" t="s">
        <v>572</v>
      </c>
      <c r="G13347" s="18" t="n">
        <v>0</v>
      </c>
      <c r="H13347" s="18" t="n">
        <v>162.95</v>
      </c>
      <c r="I13347" s="18" t="n">
        <f aca="false">((I13346 + G13347) - H13347)</f>
        <v>-666.899999999994</v>
      </c>
      <c r="J13347" s="18" t="n">
        <v>0</v>
      </c>
      <c r="K13347" s="19" t="n">
        <v>0</v>
      </c>
      <c r="L13347" s="17"/>
    </row>
    <row r="13348" s="11" customFormat="true" ht="10.95" hidden="false" customHeight="true" outlineLevel="0" collapsed="false">
      <c r="A13348" s="16" t="n">
        <v>45372</v>
      </c>
      <c r="B13348" s="17" t="s">
        <v>4548</v>
      </c>
      <c r="C13348" s="17" t="s">
        <v>3614</v>
      </c>
      <c r="D13348" s="17" t="s">
        <v>19</v>
      </c>
      <c r="E13348" s="17" t="s">
        <v>3447</v>
      </c>
      <c r="F13348" s="17" t="s">
        <v>573</v>
      </c>
      <c r="G13348" s="18" t="n">
        <v>0</v>
      </c>
      <c r="H13348" s="18" t="n">
        <v>47</v>
      </c>
      <c r="I13348" s="18" t="n">
        <f aca="false">((I13347 + G13348) - H13348)</f>
        <v>-713.899999999994</v>
      </c>
      <c r="J13348" s="18" t="n">
        <v>0</v>
      </c>
      <c r="K13348" s="19" t="n">
        <v>0</v>
      </c>
      <c r="L13348" s="17"/>
    </row>
    <row r="13349" s="11" customFormat="true" ht="10.95" hidden="false" customHeight="true" outlineLevel="0" collapsed="false">
      <c r="A13349" s="16" t="n">
        <v>45372</v>
      </c>
      <c r="B13349" s="17" t="s">
        <v>4548</v>
      </c>
      <c r="C13349" s="17" t="s">
        <v>3614</v>
      </c>
      <c r="D13349" s="17" t="s">
        <v>19</v>
      </c>
      <c r="E13349" s="17" t="s">
        <v>3447</v>
      </c>
      <c r="F13349" s="17" t="s">
        <v>574</v>
      </c>
      <c r="G13349" s="18" t="n">
        <v>0</v>
      </c>
      <c r="H13349" s="18" t="n">
        <v>18.8</v>
      </c>
      <c r="I13349" s="18" t="n">
        <f aca="false">((I13348 + G13349) - H13349)</f>
        <v>-732.699999999994</v>
      </c>
      <c r="J13349" s="18" t="n">
        <v>0</v>
      </c>
      <c r="K13349" s="19" t="n">
        <v>0</v>
      </c>
      <c r="L13349" s="17"/>
    </row>
    <row r="13350" s="11" customFormat="true" ht="10.95" hidden="false" customHeight="true" outlineLevel="0" collapsed="false">
      <c r="A13350" s="16" t="n">
        <v>45372</v>
      </c>
      <c r="B13350" s="17" t="s">
        <v>4548</v>
      </c>
      <c r="C13350" s="17" t="s">
        <v>3614</v>
      </c>
      <c r="D13350" s="17" t="s">
        <v>19</v>
      </c>
      <c r="E13350" s="17" t="s">
        <v>3447</v>
      </c>
      <c r="F13350" s="17" t="s">
        <v>575</v>
      </c>
      <c r="G13350" s="18" t="n">
        <v>0</v>
      </c>
      <c r="H13350" s="18" t="n">
        <v>47</v>
      </c>
      <c r="I13350" s="18" t="n">
        <f aca="false">((I13349 + G13350) - H13350)</f>
        <v>-779.699999999994</v>
      </c>
      <c r="J13350" s="18" t="n">
        <v>0</v>
      </c>
      <c r="K13350" s="19" t="n">
        <v>0</v>
      </c>
      <c r="L13350" s="17"/>
    </row>
    <row r="13351" s="11" customFormat="true" ht="10.95" hidden="false" customHeight="true" outlineLevel="0" collapsed="false">
      <c r="A13351" s="16" t="n">
        <v>45372</v>
      </c>
      <c r="B13351" s="17" t="s">
        <v>4548</v>
      </c>
      <c r="C13351" s="17" t="s">
        <v>3614</v>
      </c>
      <c r="D13351" s="17" t="s">
        <v>19</v>
      </c>
      <c r="E13351" s="17" t="s">
        <v>3447</v>
      </c>
      <c r="F13351" s="17" t="s">
        <v>576</v>
      </c>
      <c r="G13351" s="18" t="n">
        <v>0</v>
      </c>
      <c r="H13351" s="18" t="n">
        <v>178.9</v>
      </c>
      <c r="I13351" s="18" t="n">
        <f aca="false">((I13350 + G13351) - H13351)</f>
        <v>-958.599999999994</v>
      </c>
      <c r="J13351" s="18" t="n">
        <v>0</v>
      </c>
      <c r="K13351" s="19" t="n">
        <v>0</v>
      </c>
      <c r="L13351" s="17"/>
    </row>
    <row r="13352" s="11" customFormat="true" ht="10.95" hidden="false" customHeight="true" outlineLevel="0" collapsed="false">
      <c r="A13352" s="16" t="n">
        <v>45372</v>
      </c>
      <c r="B13352" s="17" t="s">
        <v>4548</v>
      </c>
      <c r="C13352" s="17" t="s">
        <v>3614</v>
      </c>
      <c r="D13352" s="17" t="s">
        <v>19</v>
      </c>
      <c r="E13352" s="17" t="s">
        <v>3447</v>
      </c>
      <c r="F13352" s="17" t="s">
        <v>577</v>
      </c>
      <c r="G13352" s="18" t="n">
        <v>0</v>
      </c>
      <c r="H13352" s="18" t="n">
        <v>142.6</v>
      </c>
      <c r="I13352" s="18" t="n">
        <f aca="false">((I13351 + G13352) - H13352)</f>
        <v>-1101.19999999999</v>
      </c>
      <c r="J13352" s="18" t="n">
        <v>0</v>
      </c>
      <c r="K13352" s="19" t="n">
        <v>0</v>
      </c>
      <c r="L13352" s="17"/>
    </row>
    <row r="13353" s="11" customFormat="true" ht="10.95" hidden="false" customHeight="true" outlineLevel="0" collapsed="false">
      <c r="A13353" s="16" t="n">
        <v>45372</v>
      </c>
      <c r="B13353" s="17" t="s">
        <v>4548</v>
      </c>
      <c r="C13353" s="17" t="s">
        <v>3614</v>
      </c>
      <c r="D13353" s="17" t="s">
        <v>19</v>
      </c>
      <c r="E13353" s="17" t="s">
        <v>3447</v>
      </c>
      <c r="F13353" s="17" t="s">
        <v>579</v>
      </c>
      <c r="G13353" s="18" t="n">
        <v>0</v>
      </c>
      <c r="H13353" s="18" t="n">
        <v>28.2</v>
      </c>
      <c r="I13353" s="18" t="n">
        <f aca="false">((I13352 + G13353) - H13353)</f>
        <v>-1129.39999999999</v>
      </c>
      <c r="J13353" s="18" t="n">
        <v>0</v>
      </c>
      <c r="K13353" s="19" t="n">
        <v>0</v>
      </c>
      <c r="L13353" s="17"/>
    </row>
    <row r="13354" s="11" customFormat="true" ht="10.95" hidden="false" customHeight="true" outlineLevel="0" collapsed="false">
      <c r="A13354" s="16" t="n">
        <v>45372</v>
      </c>
      <c r="B13354" s="17" t="s">
        <v>4548</v>
      </c>
      <c r="C13354" s="17" t="s">
        <v>3614</v>
      </c>
      <c r="D13354" s="17" t="s">
        <v>19</v>
      </c>
      <c r="E13354" s="17" t="s">
        <v>3447</v>
      </c>
      <c r="F13354" s="17" t="s">
        <v>580</v>
      </c>
      <c r="G13354" s="18" t="n">
        <v>0</v>
      </c>
      <c r="H13354" s="18" t="n">
        <v>28.2</v>
      </c>
      <c r="I13354" s="18" t="n">
        <f aca="false">((I13353 + G13354) - H13354)</f>
        <v>-1157.59999999999</v>
      </c>
      <c r="J13354" s="18" t="n">
        <v>0</v>
      </c>
      <c r="K13354" s="19" t="n">
        <v>0</v>
      </c>
      <c r="L13354" s="17"/>
    </row>
    <row r="13355" s="11" customFormat="true" ht="10.95" hidden="false" customHeight="true" outlineLevel="0" collapsed="false">
      <c r="A13355" s="16" t="n">
        <v>45372</v>
      </c>
      <c r="B13355" s="17" t="s">
        <v>4548</v>
      </c>
      <c r="C13355" s="17" t="s">
        <v>3614</v>
      </c>
      <c r="D13355" s="17" t="s">
        <v>19</v>
      </c>
      <c r="E13355" s="17" t="s">
        <v>3447</v>
      </c>
      <c r="F13355" s="17" t="s">
        <v>581</v>
      </c>
      <c r="G13355" s="18" t="n">
        <v>0</v>
      </c>
      <c r="H13355" s="18" t="n">
        <v>56.4</v>
      </c>
      <c r="I13355" s="18" t="n">
        <f aca="false">((I13354 + G13355) - H13355)</f>
        <v>-1213.99999999999</v>
      </c>
      <c r="J13355" s="18" t="n">
        <v>0</v>
      </c>
      <c r="K13355" s="19" t="n">
        <v>0</v>
      </c>
      <c r="L13355" s="17"/>
    </row>
    <row r="13356" s="11" customFormat="true" ht="10.95" hidden="false" customHeight="true" outlineLevel="0" collapsed="false">
      <c r="A13356" s="16" t="n">
        <v>45372</v>
      </c>
      <c r="B13356" s="17" t="s">
        <v>4548</v>
      </c>
      <c r="C13356" s="17" t="s">
        <v>3614</v>
      </c>
      <c r="D13356" s="17" t="s">
        <v>19</v>
      </c>
      <c r="E13356" s="17" t="s">
        <v>3447</v>
      </c>
      <c r="F13356" s="17" t="s">
        <v>582</v>
      </c>
      <c r="G13356" s="18" t="n">
        <v>0</v>
      </c>
      <c r="H13356" s="18" t="n">
        <v>103.4</v>
      </c>
      <c r="I13356" s="18" t="n">
        <f aca="false">((I13355 + G13356) - H13356)</f>
        <v>-1317.39999999999</v>
      </c>
      <c r="J13356" s="18" t="n">
        <v>0</v>
      </c>
      <c r="K13356" s="19" t="n">
        <v>0</v>
      </c>
      <c r="L13356" s="17"/>
    </row>
    <row r="13357" s="11" customFormat="true" ht="10.95" hidden="false" customHeight="true" outlineLevel="0" collapsed="false">
      <c r="A13357" s="16" t="n">
        <v>45372</v>
      </c>
      <c r="B13357" s="17" t="s">
        <v>4548</v>
      </c>
      <c r="C13357" s="17" t="s">
        <v>3614</v>
      </c>
      <c r="D13357" s="17" t="s">
        <v>19</v>
      </c>
      <c r="E13357" s="17" t="s">
        <v>3447</v>
      </c>
      <c r="F13357" s="17" t="s">
        <v>583</v>
      </c>
      <c r="G13357" s="18" t="n">
        <v>0</v>
      </c>
      <c r="H13357" s="18" t="n">
        <v>9.4</v>
      </c>
      <c r="I13357" s="18" t="n">
        <f aca="false">((I13356 + G13357) - H13357)</f>
        <v>-1326.79999999999</v>
      </c>
      <c r="J13357" s="18" t="n">
        <v>0</v>
      </c>
      <c r="K13357" s="19" t="n">
        <v>0</v>
      </c>
      <c r="L13357" s="17"/>
    </row>
    <row r="13358" s="11" customFormat="true" ht="10.95" hidden="false" customHeight="true" outlineLevel="0" collapsed="false">
      <c r="A13358" s="16" t="n">
        <v>45372</v>
      </c>
      <c r="B13358" s="17" t="s">
        <v>4548</v>
      </c>
      <c r="C13358" s="17" t="s">
        <v>3614</v>
      </c>
      <c r="D13358" s="17" t="s">
        <v>19</v>
      </c>
      <c r="E13358" s="17" t="s">
        <v>3447</v>
      </c>
      <c r="F13358" s="17" t="s">
        <v>584</v>
      </c>
      <c r="G13358" s="18" t="n">
        <v>0</v>
      </c>
      <c r="H13358" s="18" t="n">
        <v>65.8</v>
      </c>
      <c r="I13358" s="18" t="n">
        <f aca="false">((I13357 + G13358) - H13358)</f>
        <v>-1392.59999999999</v>
      </c>
      <c r="J13358" s="18" t="n">
        <v>0</v>
      </c>
      <c r="K13358" s="19" t="n">
        <v>0</v>
      </c>
      <c r="L13358" s="17"/>
    </row>
    <row r="13359" s="11" customFormat="true" ht="10.95" hidden="false" customHeight="true" outlineLevel="0" collapsed="false">
      <c r="A13359" s="16" t="n">
        <v>45372</v>
      </c>
      <c r="B13359" s="17" t="s">
        <v>4548</v>
      </c>
      <c r="C13359" s="17" t="s">
        <v>3614</v>
      </c>
      <c r="D13359" s="17" t="s">
        <v>19</v>
      </c>
      <c r="E13359" s="17" t="s">
        <v>3451</v>
      </c>
      <c r="F13359" s="17" t="s">
        <v>585</v>
      </c>
      <c r="G13359" s="18" t="n">
        <v>0</v>
      </c>
      <c r="H13359" s="18" t="n">
        <v>116.2</v>
      </c>
      <c r="I13359" s="18" t="n">
        <f aca="false">((I13358 + G13359) - H13359)</f>
        <v>-1508.79999999999</v>
      </c>
      <c r="J13359" s="18" t="n">
        <v>0</v>
      </c>
      <c r="K13359" s="19" t="n">
        <v>0</v>
      </c>
      <c r="L13359" s="17"/>
    </row>
    <row r="13360" s="11" customFormat="true" ht="10.95" hidden="false" customHeight="true" outlineLevel="0" collapsed="false">
      <c r="A13360" s="16" t="n">
        <v>45372</v>
      </c>
      <c r="B13360" s="17" t="s">
        <v>4548</v>
      </c>
      <c r="C13360" s="17" t="s">
        <v>3614</v>
      </c>
      <c r="D13360" s="17" t="s">
        <v>19</v>
      </c>
      <c r="E13360" s="17" t="s">
        <v>3454</v>
      </c>
      <c r="F13360" s="17" t="s">
        <v>586</v>
      </c>
      <c r="G13360" s="18" t="n">
        <v>0</v>
      </c>
      <c r="H13360" s="18" t="n">
        <v>1667.77</v>
      </c>
      <c r="I13360" s="18" t="n">
        <f aca="false">((I13359 + G13360) - H13360)</f>
        <v>-3176.56999999999</v>
      </c>
      <c r="J13360" s="18" t="n">
        <v>0</v>
      </c>
      <c r="K13360" s="19" t="n">
        <v>0</v>
      </c>
      <c r="L13360" s="17"/>
    </row>
    <row r="13361" s="11" customFormat="true" ht="10.95" hidden="false" customHeight="true" outlineLevel="0" collapsed="false">
      <c r="A13361" s="16" t="n">
        <v>45372</v>
      </c>
      <c r="B13361" s="17" t="s">
        <v>4548</v>
      </c>
      <c r="C13361" s="17" t="s">
        <v>3614</v>
      </c>
      <c r="D13361" s="17" t="s">
        <v>1407</v>
      </c>
      <c r="E13361" s="17" t="s">
        <v>3691</v>
      </c>
      <c r="F13361" s="17"/>
      <c r="G13361" s="18" t="n">
        <v>1640</v>
      </c>
      <c r="H13361" s="18" t="n">
        <v>0</v>
      </c>
      <c r="I13361" s="18" t="n">
        <f aca="false">((I13360 + G13361) - H13361)</f>
        <v>-1536.56999999999</v>
      </c>
      <c r="J13361" s="18" t="n">
        <v>0</v>
      </c>
      <c r="K13361" s="19" t="n">
        <v>0</v>
      </c>
      <c r="L13361" s="17"/>
    </row>
    <row r="13362" s="11" customFormat="true" ht="10.95" hidden="false" customHeight="true" outlineLevel="0" collapsed="false">
      <c r="A13362" s="16" t="n">
        <v>45372</v>
      </c>
      <c r="B13362" s="17" t="s">
        <v>4548</v>
      </c>
      <c r="C13362" s="17" t="s">
        <v>3614</v>
      </c>
      <c r="D13362" s="17" t="s">
        <v>1407</v>
      </c>
      <c r="E13362" s="17" t="s">
        <v>3832</v>
      </c>
      <c r="F13362" s="17"/>
      <c r="G13362" s="18" t="n">
        <v>8.63</v>
      </c>
      <c r="H13362" s="18" t="n">
        <v>0</v>
      </c>
      <c r="I13362" s="18" t="n">
        <f aca="false">((I13361 + G13362) - H13362)</f>
        <v>-1527.93999999999</v>
      </c>
      <c r="J13362" s="18" t="n">
        <v>0</v>
      </c>
      <c r="K13362" s="19" t="n">
        <v>0</v>
      </c>
      <c r="L13362" s="17"/>
    </row>
    <row r="13363" s="11" customFormat="true" ht="10.95" hidden="false" customHeight="true" outlineLevel="0" collapsed="false">
      <c r="A13363" s="16" t="n">
        <v>45372</v>
      </c>
      <c r="B13363" s="17" t="s">
        <v>4548</v>
      </c>
      <c r="C13363" s="17" t="s">
        <v>3614</v>
      </c>
      <c r="D13363" s="17" t="s">
        <v>19</v>
      </c>
      <c r="E13363" s="17" t="s">
        <v>3447</v>
      </c>
      <c r="F13363" s="17" t="s">
        <v>590</v>
      </c>
      <c r="G13363" s="18" t="n">
        <v>0</v>
      </c>
      <c r="H13363" s="18" t="n">
        <v>67.4</v>
      </c>
      <c r="I13363" s="18" t="n">
        <f aca="false">((I13362 + G13363) - H13363)</f>
        <v>-1595.33999999999</v>
      </c>
      <c r="J13363" s="18" t="n">
        <v>0</v>
      </c>
      <c r="K13363" s="19" t="n">
        <v>0</v>
      </c>
      <c r="L13363" s="17"/>
    </row>
    <row r="13364" s="11" customFormat="true" ht="10.95" hidden="false" customHeight="true" outlineLevel="0" collapsed="false">
      <c r="A13364" s="16" t="n">
        <v>45373</v>
      </c>
      <c r="B13364" s="17" t="s">
        <v>4548</v>
      </c>
      <c r="C13364" s="17" t="s">
        <v>3614</v>
      </c>
      <c r="D13364" s="17" t="s">
        <v>1391</v>
      </c>
      <c r="E13364" s="17" t="s">
        <v>3638</v>
      </c>
      <c r="F13364" s="17" t="s">
        <v>3307</v>
      </c>
      <c r="G13364" s="18" t="n">
        <v>256.34</v>
      </c>
      <c r="H13364" s="18" t="n">
        <v>0</v>
      </c>
      <c r="I13364" s="18" t="n">
        <f aca="false">((I13363 + G13364) - H13364)</f>
        <v>-1338.99999999999</v>
      </c>
      <c r="J13364" s="18" t="n">
        <v>0</v>
      </c>
      <c r="K13364" s="19" t="n">
        <v>0</v>
      </c>
      <c r="L13364" s="17"/>
    </row>
    <row r="13365" s="11" customFormat="true" ht="10.95" hidden="false" customHeight="true" outlineLevel="0" collapsed="false">
      <c r="A13365" s="16" t="n">
        <v>45374</v>
      </c>
      <c r="B13365" s="17" t="s">
        <v>4548</v>
      </c>
      <c r="C13365" s="17" t="s">
        <v>3614</v>
      </c>
      <c r="D13365" s="17" t="s">
        <v>1391</v>
      </c>
      <c r="E13365" s="17" t="s">
        <v>3717</v>
      </c>
      <c r="F13365" s="17" t="s">
        <v>3601</v>
      </c>
      <c r="G13365" s="18" t="n">
        <v>133.1</v>
      </c>
      <c r="H13365" s="18" t="n">
        <v>0</v>
      </c>
      <c r="I13365" s="18" t="n">
        <f aca="false">((I13364 + G13365) - H13365)</f>
        <v>-1205.89999999999</v>
      </c>
      <c r="J13365" s="18" t="n">
        <v>0</v>
      </c>
      <c r="K13365" s="19" t="n">
        <v>0</v>
      </c>
      <c r="L13365" s="17"/>
    </row>
    <row r="13366" s="11" customFormat="true" ht="10.95" hidden="false" customHeight="true" outlineLevel="0" collapsed="false">
      <c r="A13366" s="16" t="n">
        <v>45374</v>
      </c>
      <c r="B13366" s="17" t="s">
        <v>4548</v>
      </c>
      <c r="C13366" s="17" t="s">
        <v>3614</v>
      </c>
      <c r="D13366" s="17" t="s">
        <v>1407</v>
      </c>
      <c r="E13366" s="17" t="s">
        <v>3907</v>
      </c>
      <c r="F13366" s="17"/>
      <c r="G13366" s="18" t="n">
        <v>1.77</v>
      </c>
      <c r="H13366" s="18" t="n">
        <v>0</v>
      </c>
      <c r="I13366" s="18" t="n">
        <f aca="false">((I13365 + G13366) - H13366)</f>
        <v>-1204.12999999999</v>
      </c>
      <c r="J13366" s="18" t="n">
        <v>0</v>
      </c>
      <c r="K13366" s="19" t="n">
        <v>0</v>
      </c>
      <c r="L13366" s="17"/>
    </row>
    <row r="13367" s="11" customFormat="true" ht="10.95" hidden="false" customHeight="true" outlineLevel="0" collapsed="false">
      <c r="A13367" s="16" t="n">
        <v>45375</v>
      </c>
      <c r="B13367" s="17" t="s">
        <v>4548</v>
      </c>
      <c r="C13367" s="17" t="s">
        <v>3614</v>
      </c>
      <c r="D13367" s="17" t="s">
        <v>1407</v>
      </c>
      <c r="E13367" s="17" t="s">
        <v>3804</v>
      </c>
      <c r="F13367" s="17"/>
      <c r="G13367" s="18" t="n">
        <v>3.64</v>
      </c>
      <c r="H13367" s="18" t="n">
        <v>0</v>
      </c>
      <c r="I13367" s="18" t="n">
        <f aca="false">((I13366 + G13367) - H13367)</f>
        <v>-1200.48999999999</v>
      </c>
      <c r="J13367" s="18" t="n">
        <v>0</v>
      </c>
      <c r="K13367" s="19" t="n">
        <v>0</v>
      </c>
      <c r="L13367" s="17"/>
    </row>
    <row r="13368" s="11" customFormat="true" ht="10.95" hidden="false" customHeight="true" outlineLevel="0" collapsed="false">
      <c r="A13368" s="16" t="n">
        <v>45376</v>
      </c>
      <c r="B13368" s="17" t="s">
        <v>4548</v>
      </c>
      <c r="C13368" s="17" t="s">
        <v>3614</v>
      </c>
      <c r="D13368" s="17" t="s">
        <v>1407</v>
      </c>
      <c r="E13368" s="17" t="s">
        <v>1583</v>
      </c>
      <c r="F13368" s="17"/>
      <c r="G13368" s="18" t="n">
        <v>4.45</v>
      </c>
      <c r="H13368" s="18" t="n">
        <v>0</v>
      </c>
      <c r="I13368" s="18" t="n">
        <f aca="false">((I13367 + G13368) - H13368)</f>
        <v>-1196.03999999999</v>
      </c>
      <c r="J13368" s="18" t="n">
        <v>0</v>
      </c>
      <c r="K13368" s="19" t="n">
        <v>0</v>
      </c>
      <c r="L13368" s="17"/>
    </row>
    <row r="13369" s="11" customFormat="true" ht="10.95" hidden="false" customHeight="true" outlineLevel="0" collapsed="false">
      <c r="A13369" s="16" t="n">
        <v>45376</v>
      </c>
      <c r="B13369" s="17" t="s">
        <v>4548</v>
      </c>
      <c r="C13369" s="17" t="s">
        <v>3614</v>
      </c>
      <c r="D13369" s="17" t="s">
        <v>1391</v>
      </c>
      <c r="E13369" s="17" t="s">
        <v>3717</v>
      </c>
      <c r="F13369" s="17" t="s">
        <v>3603</v>
      </c>
      <c r="G13369" s="18" t="n">
        <v>9.82</v>
      </c>
      <c r="H13369" s="18" t="n">
        <v>0</v>
      </c>
      <c r="I13369" s="18" t="n">
        <f aca="false">((I13368 + G13369) - H13369)</f>
        <v>-1186.21999999999</v>
      </c>
      <c r="J13369" s="18" t="n">
        <v>0</v>
      </c>
      <c r="K13369" s="19" t="n">
        <v>0</v>
      </c>
      <c r="L13369" s="17"/>
    </row>
    <row r="13370" s="11" customFormat="true" ht="10.95" hidden="false" customHeight="true" outlineLevel="0" collapsed="false">
      <c r="A13370" s="16" t="n">
        <v>45377</v>
      </c>
      <c r="B13370" s="17" t="s">
        <v>4548</v>
      </c>
      <c r="C13370" s="17" t="s">
        <v>3614</v>
      </c>
      <c r="D13370" s="17" t="s">
        <v>1407</v>
      </c>
      <c r="E13370" s="17" t="s">
        <v>3770</v>
      </c>
      <c r="F13370" s="17"/>
      <c r="G13370" s="18" t="n">
        <v>2.09</v>
      </c>
      <c r="H13370" s="18" t="n">
        <v>0</v>
      </c>
      <c r="I13370" s="18" t="n">
        <f aca="false">((I13369 + G13370) - H13370)</f>
        <v>-1184.12999999999</v>
      </c>
      <c r="J13370" s="18" t="n">
        <v>0</v>
      </c>
      <c r="K13370" s="19" t="n">
        <v>0</v>
      </c>
      <c r="L13370" s="17"/>
    </row>
    <row r="13371" s="11" customFormat="true" ht="10.95" hidden="false" customHeight="true" outlineLevel="0" collapsed="false">
      <c r="A13371" s="16" t="n">
        <v>45378</v>
      </c>
      <c r="B13371" s="17" t="s">
        <v>4548</v>
      </c>
      <c r="C13371" s="17" t="s">
        <v>3614</v>
      </c>
      <c r="D13371" s="17" t="s">
        <v>1407</v>
      </c>
      <c r="E13371" s="17" t="s">
        <v>2747</v>
      </c>
      <c r="F13371" s="17"/>
      <c r="G13371" s="18" t="n">
        <v>3.55</v>
      </c>
      <c r="H13371" s="18" t="n">
        <v>0</v>
      </c>
      <c r="I13371" s="18" t="n">
        <f aca="false">((I13370 + G13371) - H13371)</f>
        <v>-1180.57999999999</v>
      </c>
      <c r="J13371" s="18" t="n">
        <v>0</v>
      </c>
      <c r="K13371" s="19" t="n">
        <v>0</v>
      </c>
      <c r="L13371" s="17"/>
    </row>
    <row r="13372" s="11" customFormat="true" ht="10.95" hidden="false" customHeight="true" outlineLevel="0" collapsed="false">
      <c r="A13372" s="16" t="n">
        <v>45378</v>
      </c>
      <c r="B13372" s="17" t="s">
        <v>4548</v>
      </c>
      <c r="C13372" s="17" t="s">
        <v>3614</v>
      </c>
      <c r="D13372" s="17" t="s">
        <v>1391</v>
      </c>
      <c r="E13372" s="17" t="s">
        <v>3720</v>
      </c>
      <c r="F13372" s="17" t="s">
        <v>2706</v>
      </c>
      <c r="G13372" s="18" t="n">
        <v>200.62</v>
      </c>
      <c r="H13372" s="18" t="n">
        <v>0</v>
      </c>
      <c r="I13372" s="18" t="n">
        <f aca="false">((I13371 + G13372) - H13372)</f>
        <v>-979.959999999995</v>
      </c>
      <c r="J13372" s="18" t="n">
        <v>0</v>
      </c>
      <c r="K13372" s="19" t="n">
        <v>0</v>
      </c>
      <c r="L13372" s="17"/>
    </row>
    <row r="13373" s="11" customFormat="true" ht="10.95" hidden="false" customHeight="true" outlineLevel="0" collapsed="false">
      <c r="A13373" s="16" t="n">
        <v>45378</v>
      </c>
      <c r="B13373" s="17" t="s">
        <v>4548</v>
      </c>
      <c r="C13373" s="17" t="s">
        <v>3614</v>
      </c>
      <c r="D13373" s="17" t="s">
        <v>1407</v>
      </c>
      <c r="E13373" s="17" t="s">
        <v>4343</v>
      </c>
      <c r="F13373" s="17"/>
      <c r="G13373" s="18" t="n">
        <v>25.55</v>
      </c>
      <c r="H13373" s="18" t="n">
        <v>0</v>
      </c>
      <c r="I13373" s="18" t="n">
        <f aca="false">((I13372 + G13373) - H13373)</f>
        <v>-954.409999999995</v>
      </c>
      <c r="J13373" s="18" t="n">
        <v>0</v>
      </c>
      <c r="K13373" s="19" t="n">
        <v>0</v>
      </c>
      <c r="L13373" s="17"/>
    </row>
    <row r="13374" s="11" customFormat="true" ht="10.95" hidden="false" customHeight="true" outlineLevel="0" collapsed="false">
      <c r="A13374" s="16" t="n">
        <v>45379</v>
      </c>
      <c r="B13374" s="17" t="s">
        <v>4548</v>
      </c>
      <c r="C13374" s="17" t="s">
        <v>3614</v>
      </c>
      <c r="D13374" s="17" t="s">
        <v>1407</v>
      </c>
      <c r="E13374" s="17" t="s">
        <v>3976</v>
      </c>
      <c r="F13374" s="17"/>
      <c r="G13374" s="18" t="n">
        <v>18.1</v>
      </c>
      <c r="H13374" s="18" t="n">
        <v>0</v>
      </c>
      <c r="I13374" s="18" t="n">
        <f aca="false">((I13373 + G13374) - H13374)</f>
        <v>-936.309999999995</v>
      </c>
      <c r="J13374" s="18" t="n">
        <v>0</v>
      </c>
      <c r="K13374" s="19" t="n">
        <v>0</v>
      </c>
      <c r="L13374" s="17"/>
    </row>
    <row r="13375" s="11" customFormat="true" ht="10.95" hidden="false" customHeight="true" outlineLevel="0" collapsed="false">
      <c r="A13375" s="16" t="n">
        <v>45381</v>
      </c>
      <c r="B13375" s="17" t="s">
        <v>4548</v>
      </c>
      <c r="C13375" s="17" t="s">
        <v>3614</v>
      </c>
      <c r="D13375" s="17" t="s">
        <v>1391</v>
      </c>
      <c r="E13375" s="17" t="s">
        <v>3647</v>
      </c>
      <c r="F13375" s="17" t="s">
        <v>1538</v>
      </c>
      <c r="G13375" s="18" t="n">
        <v>562.41</v>
      </c>
      <c r="H13375" s="18" t="n">
        <v>0</v>
      </c>
      <c r="I13375" s="18" t="n">
        <f aca="false">((I13374 + G13375) - H13375)</f>
        <v>-373.899999999995</v>
      </c>
      <c r="J13375" s="18" t="n">
        <v>0</v>
      </c>
      <c r="K13375" s="19" t="n">
        <v>0</v>
      </c>
      <c r="L13375" s="17"/>
    </row>
    <row r="13376" s="11" customFormat="true" ht="10.95" hidden="false" customHeight="true" outlineLevel="0" collapsed="false">
      <c r="A13376" s="16" t="n">
        <v>45383</v>
      </c>
      <c r="B13376" s="17" t="s">
        <v>4548</v>
      </c>
      <c r="C13376" s="17" t="s">
        <v>3614</v>
      </c>
      <c r="D13376" s="17" t="s">
        <v>1391</v>
      </c>
      <c r="E13376" s="17" t="s">
        <v>3615</v>
      </c>
      <c r="F13376" s="17" t="s">
        <v>1542</v>
      </c>
      <c r="G13376" s="18" t="n">
        <v>48.98</v>
      </c>
      <c r="H13376" s="18" t="n">
        <v>0</v>
      </c>
      <c r="I13376" s="18" t="n">
        <f aca="false">((I13375 + G13376) - H13376)</f>
        <v>-324.919999999995</v>
      </c>
      <c r="J13376" s="18" t="n">
        <v>0</v>
      </c>
      <c r="K13376" s="19" t="n">
        <v>0</v>
      </c>
      <c r="L13376" s="17"/>
    </row>
    <row r="13377" s="11" customFormat="true" ht="10.95" hidden="false" customHeight="true" outlineLevel="0" collapsed="false">
      <c r="A13377" s="16" t="n">
        <v>45383</v>
      </c>
      <c r="B13377" s="17" t="s">
        <v>4548</v>
      </c>
      <c r="C13377" s="17" t="s">
        <v>3614</v>
      </c>
      <c r="D13377" s="17" t="s">
        <v>1391</v>
      </c>
      <c r="E13377" s="17" t="s">
        <v>3621</v>
      </c>
      <c r="F13377" s="17" t="s">
        <v>2708</v>
      </c>
      <c r="G13377" s="18" t="n">
        <v>66.5</v>
      </c>
      <c r="H13377" s="18" t="n">
        <v>0</v>
      </c>
      <c r="I13377" s="18" t="n">
        <f aca="false">((I13376 + G13377) - H13377)</f>
        <v>-258.419999999995</v>
      </c>
      <c r="J13377" s="18" t="n">
        <v>0</v>
      </c>
      <c r="K13377" s="19" t="n">
        <v>0</v>
      </c>
      <c r="L13377" s="17"/>
    </row>
    <row r="13378" s="11" customFormat="true" ht="10.95" hidden="false" customHeight="true" outlineLevel="0" collapsed="false">
      <c r="A13378" s="16" t="n">
        <v>45384</v>
      </c>
      <c r="B13378" s="17" t="s">
        <v>4548</v>
      </c>
      <c r="C13378" s="17" t="s">
        <v>3614</v>
      </c>
      <c r="D13378" s="17" t="s">
        <v>19</v>
      </c>
      <c r="E13378" s="17" t="s">
        <v>3527</v>
      </c>
      <c r="F13378" s="17" t="s">
        <v>592</v>
      </c>
      <c r="G13378" s="18" t="n">
        <v>0</v>
      </c>
      <c r="H13378" s="18" t="n">
        <v>16</v>
      </c>
      <c r="I13378" s="18" t="n">
        <f aca="false">((I13377 + G13378) - H13378)</f>
        <v>-274.419999999995</v>
      </c>
      <c r="J13378" s="18" t="n">
        <v>0</v>
      </c>
      <c r="K13378" s="19" t="n">
        <v>0</v>
      </c>
      <c r="L13378" s="17"/>
    </row>
    <row r="13379" s="11" customFormat="true" ht="10.95" hidden="false" customHeight="true" outlineLevel="0" collapsed="false">
      <c r="A13379" s="16" t="n">
        <v>45384</v>
      </c>
      <c r="B13379" s="17" t="s">
        <v>4548</v>
      </c>
      <c r="C13379" s="17" t="s">
        <v>3614</v>
      </c>
      <c r="D13379" s="17" t="s">
        <v>1391</v>
      </c>
      <c r="E13379" s="17" t="s">
        <v>3615</v>
      </c>
      <c r="F13379" s="17" t="s">
        <v>1546</v>
      </c>
      <c r="G13379" s="18" t="n">
        <v>2352.89</v>
      </c>
      <c r="H13379" s="18" t="n">
        <v>0</v>
      </c>
      <c r="I13379" s="18" t="n">
        <f aca="false">((I13378 + G13379) - H13379)</f>
        <v>2078.47000000001</v>
      </c>
      <c r="J13379" s="18" t="n">
        <v>0</v>
      </c>
      <c r="K13379" s="19" t="n">
        <v>0</v>
      </c>
      <c r="L13379" s="17"/>
    </row>
    <row r="13380" s="11" customFormat="true" ht="10.95" hidden="false" customHeight="true" outlineLevel="0" collapsed="false">
      <c r="A13380" s="16" t="n">
        <v>45384</v>
      </c>
      <c r="B13380" s="17" t="s">
        <v>4548</v>
      </c>
      <c r="C13380" s="17" t="s">
        <v>3614</v>
      </c>
      <c r="D13380" s="17" t="s">
        <v>1407</v>
      </c>
      <c r="E13380" s="17" t="s">
        <v>3673</v>
      </c>
      <c r="F13380" s="17"/>
      <c r="G13380" s="18" t="n">
        <v>2128.82</v>
      </c>
      <c r="H13380" s="18" t="n">
        <v>0</v>
      </c>
      <c r="I13380" s="18" t="n">
        <f aca="false">((I13379 + G13380) - H13380)</f>
        <v>4207.29000000001</v>
      </c>
      <c r="J13380" s="18" t="n">
        <v>0</v>
      </c>
      <c r="K13380" s="19" t="n">
        <v>0</v>
      </c>
      <c r="L13380" s="17"/>
    </row>
    <row r="13381" s="11" customFormat="true" ht="10.95" hidden="false" customHeight="true" outlineLevel="0" collapsed="false">
      <c r="A13381" s="16" t="n">
        <v>45385</v>
      </c>
      <c r="B13381" s="17" t="s">
        <v>4548</v>
      </c>
      <c r="C13381" s="17" t="s">
        <v>3614</v>
      </c>
      <c r="D13381" s="17" t="s">
        <v>1407</v>
      </c>
      <c r="E13381" s="17" t="s">
        <v>3804</v>
      </c>
      <c r="F13381" s="17"/>
      <c r="G13381" s="18" t="n">
        <v>3.64</v>
      </c>
      <c r="H13381" s="18" t="n">
        <v>0</v>
      </c>
      <c r="I13381" s="18" t="n">
        <f aca="false">((I13380 + G13381) - H13381)</f>
        <v>4210.93000000001</v>
      </c>
      <c r="J13381" s="18" t="n">
        <v>0</v>
      </c>
      <c r="K13381" s="19" t="n">
        <v>0</v>
      </c>
      <c r="L13381" s="17"/>
    </row>
    <row r="13382" s="11" customFormat="true" ht="10.95" hidden="false" customHeight="true" outlineLevel="0" collapsed="false">
      <c r="A13382" s="16" t="n">
        <v>45385</v>
      </c>
      <c r="B13382" s="17" t="s">
        <v>4548</v>
      </c>
      <c r="C13382" s="17" t="s">
        <v>3614</v>
      </c>
      <c r="D13382" s="17" t="s">
        <v>1407</v>
      </c>
      <c r="E13382" s="17" t="s">
        <v>3865</v>
      </c>
      <c r="F13382" s="17"/>
      <c r="G13382" s="18" t="n">
        <v>7.5</v>
      </c>
      <c r="H13382" s="18" t="n">
        <v>0</v>
      </c>
      <c r="I13382" s="18" t="n">
        <f aca="false">((I13381 + G13382) - H13382)</f>
        <v>4218.43000000001</v>
      </c>
      <c r="J13382" s="18" t="n">
        <v>0</v>
      </c>
      <c r="K13382" s="19" t="n">
        <v>0</v>
      </c>
      <c r="L13382" s="17"/>
    </row>
    <row r="13383" s="11" customFormat="true" ht="10.95" hidden="false" customHeight="true" outlineLevel="0" collapsed="false">
      <c r="A13383" s="16" t="n">
        <v>45385</v>
      </c>
      <c r="B13383" s="17" t="s">
        <v>4548</v>
      </c>
      <c r="C13383" s="17" t="s">
        <v>3614</v>
      </c>
      <c r="D13383" s="17" t="s">
        <v>1407</v>
      </c>
      <c r="E13383" s="17" t="s">
        <v>3882</v>
      </c>
      <c r="F13383" s="17"/>
      <c r="G13383" s="18" t="n">
        <v>5.17</v>
      </c>
      <c r="H13383" s="18" t="n">
        <v>0</v>
      </c>
      <c r="I13383" s="18" t="n">
        <f aca="false">((I13382 + G13383) - H13383)</f>
        <v>4223.60000000001</v>
      </c>
      <c r="J13383" s="18" t="n">
        <v>0</v>
      </c>
      <c r="K13383" s="19" t="n">
        <v>0</v>
      </c>
      <c r="L13383" s="17"/>
    </row>
    <row r="13384" s="11" customFormat="true" ht="10.95" hidden="false" customHeight="true" outlineLevel="0" collapsed="false">
      <c r="A13384" s="16" t="n">
        <v>45385</v>
      </c>
      <c r="B13384" s="17" t="s">
        <v>4548</v>
      </c>
      <c r="C13384" s="17" t="s">
        <v>3614</v>
      </c>
      <c r="D13384" s="17" t="s">
        <v>1391</v>
      </c>
      <c r="E13384" s="17" t="s">
        <v>3625</v>
      </c>
      <c r="F13384" s="17" t="s">
        <v>3310</v>
      </c>
      <c r="G13384" s="18" t="n">
        <v>89.14</v>
      </c>
      <c r="H13384" s="18" t="n">
        <v>0</v>
      </c>
      <c r="I13384" s="18" t="n">
        <f aca="false">((I13383 + G13384) - H13384)</f>
        <v>4312.74000000001</v>
      </c>
      <c r="J13384" s="18" t="n">
        <v>0</v>
      </c>
      <c r="K13384" s="19" t="n">
        <v>0</v>
      </c>
      <c r="L13384" s="17"/>
    </row>
    <row r="13385" s="11" customFormat="true" ht="10.95" hidden="false" customHeight="true" outlineLevel="0" collapsed="false">
      <c r="A13385" s="16" t="n">
        <v>45386</v>
      </c>
      <c r="B13385" s="17" t="s">
        <v>4548</v>
      </c>
      <c r="C13385" s="17" t="s">
        <v>3614</v>
      </c>
      <c r="D13385" s="17" t="s">
        <v>1407</v>
      </c>
      <c r="E13385" s="17" t="s">
        <v>3734</v>
      </c>
      <c r="F13385" s="17"/>
      <c r="G13385" s="18" t="n">
        <v>3.36</v>
      </c>
      <c r="H13385" s="18" t="n">
        <v>0</v>
      </c>
      <c r="I13385" s="18" t="n">
        <f aca="false">((I13384 + G13385) - H13385)</f>
        <v>4316.10000000001</v>
      </c>
      <c r="J13385" s="18" t="n">
        <v>0</v>
      </c>
      <c r="K13385" s="19" t="n">
        <v>0</v>
      </c>
      <c r="L13385" s="17"/>
    </row>
    <row r="13386" s="11" customFormat="true" ht="10.95" hidden="false" customHeight="true" outlineLevel="0" collapsed="false">
      <c r="A13386" s="16" t="n">
        <v>45386</v>
      </c>
      <c r="B13386" s="17" t="s">
        <v>4548</v>
      </c>
      <c r="C13386" s="17" t="s">
        <v>3614</v>
      </c>
      <c r="D13386" s="17" t="s">
        <v>1391</v>
      </c>
      <c r="E13386" s="17" t="s">
        <v>3615</v>
      </c>
      <c r="F13386" s="17" t="s">
        <v>1548</v>
      </c>
      <c r="G13386" s="18" t="n">
        <v>229.09</v>
      </c>
      <c r="H13386" s="18" t="n">
        <v>0</v>
      </c>
      <c r="I13386" s="18" t="n">
        <f aca="false">((I13385 + G13386) - H13386)</f>
        <v>4545.19000000001</v>
      </c>
      <c r="J13386" s="18" t="n">
        <v>0</v>
      </c>
      <c r="K13386" s="19" t="n">
        <v>0</v>
      </c>
      <c r="L13386" s="17"/>
    </row>
    <row r="13387" s="11" customFormat="true" ht="10.95" hidden="false" customHeight="true" outlineLevel="0" collapsed="false">
      <c r="A13387" s="16" t="n">
        <v>45386</v>
      </c>
      <c r="B13387" s="17" t="s">
        <v>4548</v>
      </c>
      <c r="C13387" s="17" t="s">
        <v>3614</v>
      </c>
      <c r="D13387" s="17" t="s">
        <v>1391</v>
      </c>
      <c r="E13387" s="17" t="s">
        <v>3622</v>
      </c>
      <c r="F13387" s="17" t="s">
        <v>1550</v>
      </c>
      <c r="G13387" s="18" t="n">
        <v>210.58</v>
      </c>
      <c r="H13387" s="18" t="n">
        <v>0</v>
      </c>
      <c r="I13387" s="18" t="n">
        <f aca="false">((I13386 + G13387) - H13387)</f>
        <v>4755.77000000001</v>
      </c>
      <c r="J13387" s="18" t="n">
        <v>0</v>
      </c>
      <c r="K13387" s="19" t="n">
        <v>0</v>
      </c>
      <c r="L13387" s="17"/>
    </row>
    <row r="13388" s="11" customFormat="true" ht="10.95" hidden="false" customHeight="true" outlineLevel="0" collapsed="false">
      <c r="A13388" s="16" t="n">
        <v>45387</v>
      </c>
      <c r="B13388" s="17" t="s">
        <v>4548</v>
      </c>
      <c r="C13388" s="17" t="s">
        <v>3614</v>
      </c>
      <c r="D13388" s="17" t="s">
        <v>1407</v>
      </c>
      <c r="E13388" s="17" t="s">
        <v>3647</v>
      </c>
      <c r="F13388" s="17"/>
      <c r="G13388" s="18" t="n">
        <v>7.17</v>
      </c>
      <c r="H13388" s="18" t="n">
        <v>0</v>
      </c>
      <c r="I13388" s="18" t="n">
        <f aca="false">((I13387 + G13388) - H13388)</f>
        <v>4762.94000000001</v>
      </c>
      <c r="J13388" s="18" t="n">
        <v>0</v>
      </c>
      <c r="K13388" s="19" t="n">
        <v>0</v>
      </c>
      <c r="L13388" s="17"/>
    </row>
    <row r="13389" s="11" customFormat="true" ht="10.95" hidden="false" customHeight="true" outlineLevel="0" collapsed="false">
      <c r="A13389" s="16" t="n">
        <v>45388</v>
      </c>
      <c r="B13389" s="17" t="s">
        <v>4548</v>
      </c>
      <c r="C13389" s="17" t="s">
        <v>3614</v>
      </c>
      <c r="D13389" s="17" t="s">
        <v>1407</v>
      </c>
      <c r="E13389" s="17" t="s">
        <v>3642</v>
      </c>
      <c r="F13389" s="17"/>
      <c r="G13389" s="18" t="n">
        <v>1.2</v>
      </c>
      <c r="H13389" s="18" t="n">
        <v>0</v>
      </c>
      <c r="I13389" s="18" t="n">
        <f aca="false">((I13388 + G13389) - H13389)</f>
        <v>4764.14000000001</v>
      </c>
      <c r="J13389" s="18" t="n">
        <v>0</v>
      </c>
      <c r="K13389" s="19" t="n">
        <v>0</v>
      </c>
      <c r="L13389" s="17"/>
    </row>
    <row r="13390" s="11" customFormat="true" ht="10.95" hidden="false" customHeight="true" outlineLevel="0" collapsed="false">
      <c r="A13390" s="16" t="n">
        <v>45388</v>
      </c>
      <c r="B13390" s="17" t="s">
        <v>4548</v>
      </c>
      <c r="C13390" s="17" t="s">
        <v>3614</v>
      </c>
      <c r="D13390" s="17" t="s">
        <v>1407</v>
      </c>
      <c r="E13390" s="17" t="s">
        <v>3642</v>
      </c>
      <c r="F13390" s="17"/>
      <c r="G13390" s="18" t="n">
        <v>1.87</v>
      </c>
      <c r="H13390" s="18" t="n">
        <v>0</v>
      </c>
      <c r="I13390" s="18" t="n">
        <f aca="false">((I13389 + G13390) - H13390)</f>
        <v>4766.01000000001</v>
      </c>
      <c r="J13390" s="18" t="n">
        <v>0</v>
      </c>
      <c r="K13390" s="19" t="n">
        <v>0</v>
      </c>
      <c r="L13390" s="17"/>
    </row>
    <row r="13391" s="11" customFormat="true" ht="10.95" hidden="false" customHeight="true" outlineLevel="0" collapsed="false">
      <c r="A13391" s="16" t="n">
        <v>45389</v>
      </c>
      <c r="B13391" s="17" t="s">
        <v>4548</v>
      </c>
      <c r="C13391" s="17" t="s">
        <v>3614</v>
      </c>
      <c r="D13391" s="17" t="s">
        <v>1407</v>
      </c>
      <c r="E13391" s="17" t="s">
        <v>2747</v>
      </c>
      <c r="F13391" s="17"/>
      <c r="G13391" s="18" t="n">
        <v>3.18</v>
      </c>
      <c r="H13391" s="18" t="n">
        <v>0</v>
      </c>
      <c r="I13391" s="18" t="n">
        <f aca="false">((I13390 + G13391) - H13391)</f>
        <v>4769.19000000001</v>
      </c>
      <c r="J13391" s="18" t="n">
        <v>0</v>
      </c>
      <c r="K13391" s="19" t="n">
        <v>0</v>
      </c>
      <c r="L13391" s="17"/>
    </row>
    <row r="13392" s="11" customFormat="true" ht="10.95" hidden="false" customHeight="true" outlineLevel="0" collapsed="false">
      <c r="A13392" s="16" t="n">
        <v>45390</v>
      </c>
      <c r="B13392" s="17" t="s">
        <v>4548</v>
      </c>
      <c r="C13392" s="17" t="s">
        <v>3614</v>
      </c>
      <c r="D13392" s="17" t="s">
        <v>1407</v>
      </c>
      <c r="E13392" s="17" t="s">
        <v>3888</v>
      </c>
      <c r="F13392" s="17"/>
      <c r="G13392" s="18" t="n">
        <v>292.49</v>
      </c>
      <c r="H13392" s="18" t="n">
        <v>0</v>
      </c>
      <c r="I13392" s="18" t="n">
        <f aca="false">((I13391 + G13392) - H13392)</f>
        <v>5061.68000000001</v>
      </c>
      <c r="J13392" s="18" t="n">
        <v>0</v>
      </c>
      <c r="K13392" s="19" t="n">
        <v>0</v>
      </c>
      <c r="L13392" s="17"/>
    </row>
    <row r="13393" s="11" customFormat="true" ht="10.95" hidden="false" customHeight="true" outlineLevel="0" collapsed="false">
      <c r="A13393" s="16" t="n">
        <v>45390</v>
      </c>
      <c r="B13393" s="17" t="s">
        <v>4548</v>
      </c>
      <c r="C13393" s="17" t="s">
        <v>3614</v>
      </c>
      <c r="D13393" s="17" t="s">
        <v>1391</v>
      </c>
      <c r="E13393" s="17" t="s">
        <v>3621</v>
      </c>
      <c r="F13393" s="17" t="s">
        <v>2712</v>
      </c>
      <c r="G13393" s="18" t="n">
        <v>9.54</v>
      </c>
      <c r="H13393" s="18" t="n">
        <v>0</v>
      </c>
      <c r="I13393" s="18" t="n">
        <f aca="false">((I13392 + G13393) - H13393)</f>
        <v>5071.22000000001</v>
      </c>
      <c r="J13393" s="18" t="n">
        <v>0</v>
      </c>
      <c r="K13393" s="19" t="n">
        <v>0</v>
      </c>
      <c r="L13393" s="17"/>
    </row>
    <row r="13394" s="11" customFormat="true" ht="10.95" hidden="false" customHeight="true" outlineLevel="0" collapsed="false">
      <c r="A13394" s="16" t="n">
        <v>45390</v>
      </c>
      <c r="B13394" s="17" t="s">
        <v>4548</v>
      </c>
      <c r="C13394" s="17" t="s">
        <v>3614</v>
      </c>
      <c r="D13394" s="17" t="s">
        <v>1391</v>
      </c>
      <c r="E13394" s="17" t="s">
        <v>3638</v>
      </c>
      <c r="F13394" s="17" t="s">
        <v>3312</v>
      </c>
      <c r="G13394" s="18" t="n">
        <v>59.73</v>
      </c>
      <c r="H13394" s="18" t="n">
        <v>0</v>
      </c>
      <c r="I13394" s="18" t="n">
        <f aca="false">((I13393 + G13394) - H13394)</f>
        <v>5130.95000000001</v>
      </c>
      <c r="J13394" s="18" t="n">
        <v>0</v>
      </c>
      <c r="K13394" s="19" t="n">
        <v>0</v>
      </c>
      <c r="L13394" s="17"/>
    </row>
    <row r="13395" s="11" customFormat="true" ht="10.95" hidden="false" customHeight="true" outlineLevel="0" collapsed="false">
      <c r="A13395" s="16" t="n">
        <v>45390</v>
      </c>
      <c r="B13395" s="17" t="s">
        <v>4548</v>
      </c>
      <c r="C13395" s="17" t="s">
        <v>3614</v>
      </c>
      <c r="D13395" s="17" t="s">
        <v>1407</v>
      </c>
      <c r="E13395" s="17" t="s">
        <v>3756</v>
      </c>
      <c r="F13395" s="17"/>
      <c r="G13395" s="18" t="n">
        <v>1.5</v>
      </c>
      <c r="H13395" s="18" t="n">
        <v>0</v>
      </c>
      <c r="I13395" s="18" t="n">
        <f aca="false">((I13394 + G13395) - H13395)</f>
        <v>5132.45000000001</v>
      </c>
      <c r="J13395" s="18" t="n">
        <v>0</v>
      </c>
      <c r="K13395" s="19" t="n">
        <v>0</v>
      </c>
      <c r="L13395" s="17"/>
    </row>
    <row r="13396" s="11" customFormat="true" ht="10.95" hidden="false" customHeight="true" outlineLevel="0" collapsed="false">
      <c r="A13396" s="16" t="n">
        <v>45390</v>
      </c>
      <c r="B13396" s="17" t="s">
        <v>4548</v>
      </c>
      <c r="C13396" s="17" t="s">
        <v>3614</v>
      </c>
      <c r="D13396" s="17" t="s">
        <v>1407</v>
      </c>
      <c r="E13396" s="17" t="s">
        <v>3825</v>
      </c>
      <c r="F13396" s="17"/>
      <c r="G13396" s="18" t="n">
        <v>15.64</v>
      </c>
      <c r="H13396" s="18" t="n">
        <v>0</v>
      </c>
      <c r="I13396" s="18" t="n">
        <f aca="false">((I13395 + G13396) - H13396)</f>
        <v>5148.09000000001</v>
      </c>
      <c r="J13396" s="18" t="n">
        <v>0</v>
      </c>
      <c r="K13396" s="19" t="n">
        <v>0</v>
      </c>
      <c r="L13396" s="17"/>
    </row>
    <row r="13397" s="11" customFormat="true" ht="10.95" hidden="false" customHeight="true" outlineLevel="0" collapsed="false">
      <c r="A13397" s="16" t="n">
        <v>45391</v>
      </c>
      <c r="B13397" s="17" t="s">
        <v>4548</v>
      </c>
      <c r="C13397" s="17" t="s">
        <v>3614</v>
      </c>
      <c r="D13397" s="17" t="s">
        <v>1407</v>
      </c>
      <c r="E13397" s="17" t="s">
        <v>3626</v>
      </c>
      <c r="F13397" s="17"/>
      <c r="G13397" s="18" t="n">
        <v>6.5</v>
      </c>
      <c r="H13397" s="18" t="n">
        <v>0</v>
      </c>
      <c r="I13397" s="18" t="n">
        <f aca="false">((I13396 + G13397) - H13397)</f>
        <v>5154.59000000001</v>
      </c>
      <c r="J13397" s="18" t="n">
        <v>0</v>
      </c>
      <c r="K13397" s="19" t="n">
        <v>0</v>
      </c>
      <c r="L13397" s="17"/>
    </row>
    <row r="13398" s="11" customFormat="true" ht="10.95" hidden="false" customHeight="true" outlineLevel="0" collapsed="false">
      <c r="A13398" s="16" t="n">
        <v>45391</v>
      </c>
      <c r="B13398" s="17" t="s">
        <v>4548</v>
      </c>
      <c r="C13398" s="17" t="s">
        <v>3614</v>
      </c>
      <c r="D13398" s="17" t="s">
        <v>1391</v>
      </c>
      <c r="E13398" s="17" t="s">
        <v>3638</v>
      </c>
      <c r="F13398" s="17" t="s">
        <v>3314</v>
      </c>
      <c r="G13398" s="18" t="n">
        <v>278.5</v>
      </c>
      <c r="H13398" s="18" t="n">
        <v>0</v>
      </c>
      <c r="I13398" s="18" t="n">
        <f aca="false">((I13397 + G13398) - H13398)</f>
        <v>5433.09000000001</v>
      </c>
      <c r="J13398" s="18" t="n">
        <v>0</v>
      </c>
      <c r="K13398" s="19" t="n">
        <v>0</v>
      </c>
      <c r="L13398" s="17"/>
    </row>
    <row r="13399" s="11" customFormat="true" ht="10.95" hidden="false" customHeight="true" outlineLevel="0" collapsed="false">
      <c r="A13399" s="16" t="n">
        <v>45392</v>
      </c>
      <c r="B13399" s="17" t="s">
        <v>4548</v>
      </c>
      <c r="C13399" s="17" t="s">
        <v>3614</v>
      </c>
      <c r="D13399" s="17" t="s">
        <v>1407</v>
      </c>
      <c r="E13399" s="17" t="s">
        <v>3896</v>
      </c>
      <c r="F13399" s="17"/>
      <c r="G13399" s="18" t="n">
        <v>1.91</v>
      </c>
      <c r="H13399" s="18" t="n">
        <v>0</v>
      </c>
      <c r="I13399" s="18" t="n">
        <f aca="false">((I13398 + G13399) - H13399)</f>
        <v>5435.00000000001</v>
      </c>
      <c r="J13399" s="18" t="n">
        <v>0</v>
      </c>
      <c r="K13399" s="19" t="n">
        <v>0</v>
      </c>
      <c r="L13399" s="17"/>
    </row>
    <row r="13400" s="11" customFormat="true" ht="10.95" hidden="false" customHeight="true" outlineLevel="0" collapsed="false">
      <c r="A13400" s="16" t="n">
        <v>45392</v>
      </c>
      <c r="B13400" s="17" t="s">
        <v>4548</v>
      </c>
      <c r="C13400" s="17" t="s">
        <v>3614</v>
      </c>
      <c r="D13400" s="17" t="s">
        <v>1407</v>
      </c>
      <c r="E13400" s="17" t="s">
        <v>3880</v>
      </c>
      <c r="F13400" s="17"/>
      <c r="G13400" s="18" t="n">
        <v>32.73</v>
      </c>
      <c r="H13400" s="18" t="n">
        <v>0</v>
      </c>
      <c r="I13400" s="18" t="n">
        <f aca="false">((I13399 + G13400) - H13400)</f>
        <v>5467.73000000001</v>
      </c>
      <c r="J13400" s="18" t="n">
        <v>0</v>
      </c>
      <c r="K13400" s="19" t="n">
        <v>0</v>
      </c>
      <c r="L13400" s="17"/>
    </row>
    <row r="13401" s="11" customFormat="true" ht="10.95" hidden="false" customHeight="true" outlineLevel="0" collapsed="false">
      <c r="A13401" s="16" t="n">
        <v>45392</v>
      </c>
      <c r="B13401" s="17" t="s">
        <v>4548</v>
      </c>
      <c r="C13401" s="17" t="s">
        <v>3614</v>
      </c>
      <c r="D13401" s="17" t="s">
        <v>1407</v>
      </c>
      <c r="E13401" s="17" t="s">
        <v>3825</v>
      </c>
      <c r="F13401" s="17"/>
      <c r="G13401" s="18" t="n">
        <v>13.11</v>
      </c>
      <c r="H13401" s="18" t="n">
        <v>0</v>
      </c>
      <c r="I13401" s="18" t="n">
        <f aca="false">((I13400 + G13401) - H13401)</f>
        <v>5480.84000000001</v>
      </c>
      <c r="J13401" s="18" t="n">
        <v>0</v>
      </c>
      <c r="K13401" s="19" t="n">
        <v>0</v>
      </c>
      <c r="L13401" s="17"/>
    </row>
    <row r="13402" s="11" customFormat="true" ht="10.95" hidden="false" customHeight="true" outlineLevel="0" collapsed="false">
      <c r="A13402" s="16" t="n">
        <v>45393</v>
      </c>
      <c r="B13402" s="17" t="s">
        <v>4548</v>
      </c>
      <c r="C13402" s="17" t="s">
        <v>3614</v>
      </c>
      <c r="D13402" s="17" t="s">
        <v>1407</v>
      </c>
      <c r="E13402" s="17" t="s">
        <v>3810</v>
      </c>
      <c r="F13402" s="17"/>
      <c r="G13402" s="18" t="n">
        <v>820.97</v>
      </c>
      <c r="H13402" s="18" t="n">
        <v>0</v>
      </c>
      <c r="I13402" s="18" t="n">
        <f aca="false">((I13401 + G13402) - H13402)</f>
        <v>6301.81000000001</v>
      </c>
      <c r="J13402" s="18" t="n">
        <v>0</v>
      </c>
      <c r="K13402" s="19" t="n">
        <v>0</v>
      </c>
      <c r="L13402" s="17"/>
    </row>
    <row r="13403" s="11" customFormat="true" ht="10.95" hidden="false" customHeight="true" outlineLevel="0" collapsed="false">
      <c r="A13403" s="16" t="n">
        <v>45396</v>
      </c>
      <c r="B13403" s="17" t="s">
        <v>4548</v>
      </c>
      <c r="C13403" s="17" t="s">
        <v>3614</v>
      </c>
      <c r="D13403" s="17" t="s">
        <v>1391</v>
      </c>
      <c r="E13403" s="17" t="s">
        <v>3641</v>
      </c>
      <c r="F13403" s="17" t="s">
        <v>2715</v>
      </c>
      <c r="G13403" s="18" t="n">
        <v>22.57</v>
      </c>
      <c r="H13403" s="18" t="n">
        <v>0</v>
      </c>
      <c r="I13403" s="18" t="n">
        <f aca="false">((I13402 + G13403) - H13403)</f>
        <v>6324.38000000001</v>
      </c>
      <c r="J13403" s="18" t="n">
        <v>0</v>
      </c>
      <c r="K13403" s="19" t="n">
        <v>0</v>
      </c>
      <c r="L13403" s="17"/>
    </row>
    <row r="13404" s="11" customFormat="true" ht="10.95" hidden="false" customHeight="true" outlineLevel="0" collapsed="false">
      <c r="A13404" s="16" t="n">
        <v>45396</v>
      </c>
      <c r="B13404" s="17" t="s">
        <v>4548</v>
      </c>
      <c r="C13404" s="17" t="s">
        <v>3614</v>
      </c>
      <c r="D13404" s="17" t="s">
        <v>1407</v>
      </c>
      <c r="E13404" s="17" t="s">
        <v>4386</v>
      </c>
      <c r="F13404" s="17"/>
      <c r="G13404" s="18" t="n">
        <v>3.64</v>
      </c>
      <c r="H13404" s="18" t="n">
        <v>0</v>
      </c>
      <c r="I13404" s="18" t="n">
        <f aca="false">((I13403 + G13404) - H13404)</f>
        <v>6328.02000000001</v>
      </c>
      <c r="J13404" s="18" t="n">
        <v>0</v>
      </c>
      <c r="K13404" s="19" t="n">
        <v>0</v>
      </c>
      <c r="L13404" s="17"/>
    </row>
    <row r="13405" s="11" customFormat="true" ht="10.95" hidden="false" customHeight="true" outlineLevel="0" collapsed="false">
      <c r="A13405" s="16" t="n">
        <v>45397</v>
      </c>
      <c r="B13405" s="17" t="s">
        <v>4548</v>
      </c>
      <c r="C13405" s="17" t="s">
        <v>3614</v>
      </c>
      <c r="D13405" s="17" t="s">
        <v>1407</v>
      </c>
      <c r="E13405" s="17" t="s">
        <v>3789</v>
      </c>
      <c r="F13405" s="17"/>
      <c r="G13405" s="18" t="n">
        <v>5.62</v>
      </c>
      <c r="H13405" s="18" t="n">
        <v>0</v>
      </c>
      <c r="I13405" s="18" t="n">
        <f aca="false">((I13404 + G13405) - H13405)</f>
        <v>6333.64000000001</v>
      </c>
      <c r="J13405" s="18" t="n">
        <v>0</v>
      </c>
      <c r="K13405" s="19" t="n">
        <v>0</v>
      </c>
      <c r="L13405" s="17"/>
    </row>
    <row r="13406" s="11" customFormat="true" ht="10.95" hidden="false" customHeight="true" outlineLevel="0" collapsed="false">
      <c r="A13406" s="16" t="n">
        <v>45400</v>
      </c>
      <c r="B13406" s="17" t="s">
        <v>4548</v>
      </c>
      <c r="C13406" s="17" t="s">
        <v>3614</v>
      </c>
      <c r="D13406" s="17" t="s">
        <v>1391</v>
      </c>
      <c r="E13406" s="17" t="s">
        <v>3642</v>
      </c>
      <c r="F13406" s="17" t="s">
        <v>2544</v>
      </c>
      <c r="G13406" s="18" t="n">
        <v>19.98</v>
      </c>
      <c r="H13406" s="18" t="n">
        <v>0</v>
      </c>
      <c r="I13406" s="18" t="n">
        <f aca="false">((I13405 + G13406) - H13406)</f>
        <v>6353.62</v>
      </c>
      <c r="J13406" s="18" t="n">
        <v>0</v>
      </c>
      <c r="K13406" s="19" t="n">
        <v>0</v>
      </c>
      <c r="L13406" s="17"/>
    </row>
    <row r="13407" s="11" customFormat="true" ht="10.95" hidden="false" customHeight="true" outlineLevel="0" collapsed="false">
      <c r="A13407" s="16" t="n">
        <v>45400</v>
      </c>
      <c r="B13407" s="17" t="s">
        <v>4548</v>
      </c>
      <c r="C13407" s="17" t="s">
        <v>3614</v>
      </c>
      <c r="D13407" s="17" t="s">
        <v>1391</v>
      </c>
      <c r="E13407" s="17" t="s">
        <v>3642</v>
      </c>
      <c r="F13407" s="17" t="s">
        <v>2546</v>
      </c>
      <c r="G13407" s="18" t="n">
        <v>0.6</v>
      </c>
      <c r="H13407" s="18" t="n">
        <v>0</v>
      </c>
      <c r="I13407" s="18" t="n">
        <f aca="false">((I13406 + G13407) - H13407)</f>
        <v>6354.22000000001</v>
      </c>
      <c r="J13407" s="18" t="n">
        <v>0</v>
      </c>
      <c r="K13407" s="19" t="n">
        <v>0</v>
      </c>
      <c r="L13407" s="17"/>
    </row>
    <row r="13408" s="11" customFormat="true" ht="10.95" hidden="false" customHeight="true" outlineLevel="0" collapsed="false">
      <c r="A13408" s="16" t="n">
        <v>45400</v>
      </c>
      <c r="B13408" s="17" t="s">
        <v>4548</v>
      </c>
      <c r="C13408" s="17" t="s">
        <v>3614</v>
      </c>
      <c r="D13408" s="17" t="s">
        <v>1391</v>
      </c>
      <c r="E13408" s="17" t="s">
        <v>3642</v>
      </c>
      <c r="F13408" s="17" t="s">
        <v>2548</v>
      </c>
      <c r="G13408" s="18" t="n">
        <v>6.2</v>
      </c>
      <c r="H13408" s="18" t="n">
        <v>0</v>
      </c>
      <c r="I13408" s="18" t="n">
        <f aca="false">((I13407 + G13408) - H13408)</f>
        <v>6360.42000000001</v>
      </c>
      <c r="J13408" s="18" t="n">
        <v>0</v>
      </c>
      <c r="K13408" s="19" t="n">
        <v>0</v>
      </c>
      <c r="L13408" s="17"/>
    </row>
    <row r="13409" s="11" customFormat="true" ht="10.95" hidden="false" customHeight="true" outlineLevel="0" collapsed="false">
      <c r="A13409" s="16" t="n">
        <v>45400</v>
      </c>
      <c r="B13409" s="17" t="s">
        <v>4548</v>
      </c>
      <c r="C13409" s="17" t="s">
        <v>3614</v>
      </c>
      <c r="D13409" s="17" t="s">
        <v>1391</v>
      </c>
      <c r="E13409" s="17" t="s">
        <v>3642</v>
      </c>
      <c r="F13409" s="17" t="s">
        <v>2550</v>
      </c>
      <c r="G13409" s="18" t="n">
        <v>0.8</v>
      </c>
      <c r="H13409" s="18" t="n">
        <v>0</v>
      </c>
      <c r="I13409" s="18" t="n">
        <f aca="false">((I13408 + G13409) - H13409)</f>
        <v>6361.22000000001</v>
      </c>
      <c r="J13409" s="18" t="n">
        <v>0</v>
      </c>
      <c r="K13409" s="19" t="n">
        <v>0</v>
      </c>
      <c r="L13409" s="17"/>
    </row>
    <row r="13410" s="11" customFormat="true" ht="10.95" hidden="false" customHeight="true" outlineLevel="0" collapsed="false">
      <c r="A13410" s="16" t="n">
        <v>45400</v>
      </c>
      <c r="B13410" s="17" t="s">
        <v>4548</v>
      </c>
      <c r="C13410" s="17" t="s">
        <v>3614</v>
      </c>
      <c r="D13410" s="17" t="s">
        <v>1407</v>
      </c>
      <c r="E13410" s="17" t="s">
        <v>3900</v>
      </c>
      <c r="F13410" s="17"/>
      <c r="G13410" s="18" t="n">
        <v>1.54</v>
      </c>
      <c r="H13410" s="18" t="n">
        <v>0</v>
      </c>
      <c r="I13410" s="18" t="n">
        <f aca="false">((I13409 + G13410) - H13410)</f>
        <v>6362.76000000001</v>
      </c>
      <c r="J13410" s="18" t="n">
        <v>0</v>
      </c>
      <c r="K13410" s="19" t="n">
        <v>0</v>
      </c>
      <c r="L13410" s="17"/>
    </row>
    <row r="13411" s="11" customFormat="true" ht="10.95" hidden="false" customHeight="true" outlineLevel="0" collapsed="false">
      <c r="A13411" s="16" t="n">
        <v>45400</v>
      </c>
      <c r="B13411" s="17" t="s">
        <v>4548</v>
      </c>
      <c r="C13411" s="17" t="s">
        <v>3614</v>
      </c>
      <c r="D13411" s="17" t="s">
        <v>1407</v>
      </c>
      <c r="E13411" s="17" t="s">
        <v>3901</v>
      </c>
      <c r="F13411" s="17"/>
      <c r="G13411" s="18" t="n">
        <v>7.59</v>
      </c>
      <c r="H13411" s="18" t="n">
        <v>0</v>
      </c>
      <c r="I13411" s="18" t="n">
        <f aca="false">((I13410 + G13411) - H13411)</f>
        <v>6370.35000000001</v>
      </c>
      <c r="J13411" s="18" t="n">
        <v>0</v>
      </c>
      <c r="K13411" s="19" t="n">
        <v>0</v>
      </c>
      <c r="L13411" s="17"/>
    </row>
    <row r="13412" s="11" customFormat="true" ht="10.95" hidden="false" customHeight="true" outlineLevel="0" collapsed="false">
      <c r="A13412" s="16" t="n">
        <v>45400</v>
      </c>
      <c r="B13412" s="17" t="s">
        <v>4548</v>
      </c>
      <c r="C13412" s="17" t="s">
        <v>3614</v>
      </c>
      <c r="D13412" s="17" t="s">
        <v>1407</v>
      </c>
      <c r="E13412" s="17" t="s">
        <v>3902</v>
      </c>
      <c r="F13412" s="17"/>
      <c r="G13412" s="18" t="n">
        <v>24.77</v>
      </c>
      <c r="H13412" s="18" t="n">
        <v>0</v>
      </c>
      <c r="I13412" s="18" t="n">
        <f aca="false">((I13411 + G13412) - H13412)</f>
        <v>6395.12000000001</v>
      </c>
      <c r="J13412" s="18" t="n">
        <v>0</v>
      </c>
      <c r="K13412" s="19" t="n">
        <v>0</v>
      </c>
      <c r="L13412" s="17"/>
    </row>
    <row r="13413" s="11" customFormat="true" ht="10.95" hidden="false" customHeight="true" outlineLevel="0" collapsed="false">
      <c r="A13413" s="16" t="n">
        <v>45401</v>
      </c>
      <c r="B13413" s="17" t="s">
        <v>4548</v>
      </c>
      <c r="C13413" s="17" t="s">
        <v>3614</v>
      </c>
      <c r="D13413" s="17" t="s">
        <v>1391</v>
      </c>
      <c r="E13413" s="17" t="s">
        <v>3703</v>
      </c>
      <c r="F13413" s="17" t="s">
        <v>1642</v>
      </c>
      <c r="G13413" s="18" t="n">
        <v>5.89</v>
      </c>
      <c r="H13413" s="18" t="n">
        <v>0</v>
      </c>
      <c r="I13413" s="18" t="n">
        <f aca="false">((I13412 + G13413) - H13413)</f>
        <v>6401.01000000001</v>
      </c>
      <c r="J13413" s="18" t="n">
        <v>0</v>
      </c>
      <c r="K13413" s="19" t="n">
        <v>0</v>
      </c>
      <c r="L13413" s="17"/>
    </row>
    <row r="13414" s="11" customFormat="true" ht="10.95" hidden="false" customHeight="true" outlineLevel="0" collapsed="false">
      <c r="A13414" s="16" t="n">
        <v>45403</v>
      </c>
      <c r="B13414" s="17" t="s">
        <v>4548</v>
      </c>
      <c r="C13414" s="17" t="s">
        <v>3614</v>
      </c>
      <c r="D13414" s="17" t="s">
        <v>1391</v>
      </c>
      <c r="E13414" s="17" t="s">
        <v>3638</v>
      </c>
      <c r="F13414" s="17" t="s">
        <v>3316</v>
      </c>
      <c r="G13414" s="18" t="n">
        <v>353.1</v>
      </c>
      <c r="H13414" s="18" t="n">
        <v>0</v>
      </c>
      <c r="I13414" s="18" t="n">
        <f aca="false">((I13413 + G13414) - H13414)</f>
        <v>6754.11000000001</v>
      </c>
      <c r="J13414" s="18" t="n">
        <v>0</v>
      </c>
      <c r="K13414" s="19" t="n">
        <v>0</v>
      </c>
      <c r="L13414" s="17"/>
    </row>
    <row r="13415" s="11" customFormat="true" ht="10.95" hidden="false" customHeight="true" outlineLevel="0" collapsed="false">
      <c r="A13415" s="16" t="n">
        <v>45403</v>
      </c>
      <c r="B13415" s="17" t="s">
        <v>4548</v>
      </c>
      <c r="C13415" s="17" t="s">
        <v>3614</v>
      </c>
      <c r="D13415" s="17" t="s">
        <v>1407</v>
      </c>
      <c r="E13415" s="17" t="s">
        <v>3804</v>
      </c>
      <c r="F13415" s="17"/>
      <c r="G13415" s="18" t="n">
        <v>9.09</v>
      </c>
      <c r="H13415" s="18" t="n">
        <v>0</v>
      </c>
      <c r="I13415" s="18" t="n">
        <f aca="false">((I13414 + G13415) - H13415)</f>
        <v>6763.20000000001</v>
      </c>
      <c r="J13415" s="18" t="n">
        <v>0</v>
      </c>
      <c r="K13415" s="19" t="n">
        <v>0</v>
      </c>
      <c r="L13415" s="17"/>
    </row>
    <row r="13416" s="11" customFormat="true" ht="10.95" hidden="false" customHeight="true" outlineLevel="0" collapsed="false">
      <c r="A13416" s="16" t="n">
        <v>45405</v>
      </c>
      <c r="B13416" s="17" t="s">
        <v>4548</v>
      </c>
      <c r="C13416" s="17" t="s">
        <v>3614</v>
      </c>
      <c r="D13416" s="17" t="s">
        <v>1407</v>
      </c>
      <c r="E13416" s="17" t="s">
        <v>3804</v>
      </c>
      <c r="F13416" s="17"/>
      <c r="G13416" s="18" t="n">
        <v>3.64</v>
      </c>
      <c r="H13416" s="18" t="n">
        <v>0</v>
      </c>
      <c r="I13416" s="18" t="n">
        <f aca="false">((I13415 + G13416) - H13416)</f>
        <v>6766.84000000001</v>
      </c>
      <c r="J13416" s="18" t="n">
        <v>0</v>
      </c>
      <c r="K13416" s="19" t="n">
        <v>0</v>
      </c>
      <c r="L13416" s="17"/>
    </row>
    <row r="13417" s="11" customFormat="true" ht="10.95" hidden="false" customHeight="true" outlineLevel="0" collapsed="false">
      <c r="A13417" s="16" t="n">
        <v>45405</v>
      </c>
      <c r="B13417" s="17" t="s">
        <v>4548</v>
      </c>
      <c r="C13417" s="17" t="s">
        <v>3614</v>
      </c>
      <c r="D13417" s="17" t="s">
        <v>1276</v>
      </c>
      <c r="E13417" s="17" t="s">
        <v>3642</v>
      </c>
      <c r="F13417" s="17"/>
      <c r="G13417" s="18" t="n">
        <v>0</v>
      </c>
      <c r="H13417" s="18" t="n">
        <v>3.19</v>
      </c>
      <c r="I13417" s="18" t="n">
        <f aca="false">((I13416 + G13417) - H13417)</f>
        <v>6763.65000000001</v>
      </c>
      <c r="J13417" s="18" t="n">
        <v>0</v>
      </c>
      <c r="K13417" s="19" t="n">
        <v>0</v>
      </c>
      <c r="L13417" s="17"/>
    </row>
    <row r="13418" s="11" customFormat="true" ht="10.95" hidden="false" customHeight="true" outlineLevel="0" collapsed="false">
      <c r="A13418" s="16" t="n">
        <v>45405</v>
      </c>
      <c r="B13418" s="17" t="s">
        <v>4548</v>
      </c>
      <c r="C13418" s="17" t="s">
        <v>3614</v>
      </c>
      <c r="D13418" s="17" t="s">
        <v>1276</v>
      </c>
      <c r="E13418" s="17" t="s">
        <v>3642</v>
      </c>
      <c r="F13418" s="17"/>
      <c r="G13418" s="18" t="n">
        <v>0</v>
      </c>
      <c r="H13418" s="18" t="n">
        <v>1.91</v>
      </c>
      <c r="I13418" s="18" t="n">
        <f aca="false">((I13417 + G13418) - H13418)</f>
        <v>6761.74000000001</v>
      </c>
      <c r="J13418" s="18" t="n">
        <v>0</v>
      </c>
      <c r="K13418" s="19" t="n">
        <v>0</v>
      </c>
      <c r="L13418" s="17"/>
    </row>
    <row r="13419" s="11" customFormat="true" ht="10.95" hidden="false" customHeight="true" outlineLevel="0" collapsed="false">
      <c r="A13419" s="16" t="n">
        <v>45405</v>
      </c>
      <c r="B13419" s="17" t="s">
        <v>4548</v>
      </c>
      <c r="C13419" s="17" t="s">
        <v>3614</v>
      </c>
      <c r="D13419" s="17" t="s">
        <v>1276</v>
      </c>
      <c r="E13419" s="17" t="s">
        <v>3642</v>
      </c>
      <c r="F13419" s="17"/>
      <c r="G13419" s="18" t="n">
        <v>0</v>
      </c>
      <c r="H13419" s="18" t="n">
        <v>1.14</v>
      </c>
      <c r="I13419" s="18" t="n">
        <f aca="false">((I13418 + G13419) - H13419)</f>
        <v>6760.60000000001</v>
      </c>
      <c r="J13419" s="18" t="n">
        <v>0</v>
      </c>
      <c r="K13419" s="19" t="n">
        <v>0</v>
      </c>
      <c r="L13419" s="17"/>
    </row>
    <row r="13420" s="11" customFormat="true" ht="10.95" hidden="false" customHeight="true" outlineLevel="0" collapsed="false">
      <c r="A13420" s="16" t="n">
        <v>45405</v>
      </c>
      <c r="B13420" s="17" t="s">
        <v>4548</v>
      </c>
      <c r="C13420" s="17" t="s">
        <v>3614</v>
      </c>
      <c r="D13420" s="17" t="s">
        <v>1276</v>
      </c>
      <c r="E13420" s="17" t="s">
        <v>3642</v>
      </c>
      <c r="F13420" s="17"/>
      <c r="G13420" s="18" t="n">
        <v>0</v>
      </c>
      <c r="H13420" s="18" t="n">
        <v>0.44</v>
      </c>
      <c r="I13420" s="18" t="n">
        <f aca="false">((I13419 + G13420) - H13420)</f>
        <v>6760.16000000001</v>
      </c>
      <c r="J13420" s="18" t="n">
        <v>0</v>
      </c>
      <c r="K13420" s="19" t="n">
        <v>0</v>
      </c>
      <c r="L13420" s="17"/>
    </row>
    <row r="13421" s="11" customFormat="true" ht="10.95" hidden="false" customHeight="true" outlineLevel="0" collapsed="false">
      <c r="A13421" s="16" t="n">
        <v>45406</v>
      </c>
      <c r="B13421" s="17" t="s">
        <v>4548</v>
      </c>
      <c r="C13421" s="17" t="s">
        <v>3614</v>
      </c>
      <c r="D13421" s="17" t="s">
        <v>1407</v>
      </c>
      <c r="E13421" s="17" t="s">
        <v>3907</v>
      </c>
      <c r="F13421" s="17"/>
      <c r="G13421" s="18" t="n">
        <v>1.77</v>
      </c>
      <c r="H13421" s="18" t="n">
        <v>0</v>
      </c>
      <c r="I13421" s="18" t="n">
        <f aca="false">((I13420 + G13421) - H13421)</f>
        <v>6761.93000000001</v>
      </c>
      <c r="J13421" s="18" t="n">
        <v>0</v>
      </c>
      <c r="K13421" s="19" t="n">
        <v>0</v>
      </c>
      <c r="L13421" s="17"/>
    </row>
    <row r="13422" s="11" customFormat="true" ht="10.95" hidden="false" customHeight="true" outlineLevel="0" collapsed="false">
      <c r="A13422" s="16" t="n">
        <v>45407</v>
      </c>
      <c r="B13422" s="17" t="s">
        <v>4548</v>
      </c>
      <c r="C13422" s="17" t="s">
        <v>3614</v>
      </c>
      <c r="D13422" s="17" t="s">
        <v>1407</v>
      </c>
      <c r="E13422" s="17" t="s">
        <v>3770</v>
      </c>
      <c r="F13422" s="17"/>
      <c r="G13422" s="18" t="n">
        <v>2.09</v>
      </c>
      <c r="H13422" s="18" t="n">
        <v>0</v>
      </c>
      <c r="I13422" s="18" t="n">
        <f aca="false">((I13421 + G13422) - H13422)</f>
        <v>6764.02000000001</v>
      </c>
      <c r="J13422" s="18" t="n">
        <v>0</v>
      </c>
      <c r="K13422" s="19" t="n">
        <v>0</v>
      </c>
      <c r="L13422" s="17"/>
    </row>
    <row r="13423" s="11" customFormat="true" ht="10.95" hidden="false" customHeight="true" outlineLevel="0" collapsed="false">
      <c r="A13423" s="16" t="n">
        <v>45407</v>
      </c>
      <c r="B13423" s="17" t="s">
        <v>4548</v>
      </c>
      <c r="C13423" s="17" t="s">
        <v>3614</v>
      </c>
      <c r="D13423" s="17" t="s">
        <v>1407</v>
      </c>
      <c r="E13423" s="17" t="s">
        <v>1583</v>
      </c>
      <c r="F13423" s="17"/>
      <c r="G13423" s="18" t="n">
        <v>4.45</v>
      </c>
      <c r="H13423" s="18" t="n">
        <v>0</v>
      </c>
      <c r="I13423" s="18" t="n">
        <f aca="false">((I13422 + G13423) - H13423)</f>
        <v>6768.47000000001</v>
      </c>
      <c r="J13423" s="18" t="n">
        <v>0</v>
      </c>
      <c r="K13423" s="19" t="n">
        <v>0</v>
      </c>
      <c r="L13423" s="17"/>
    </row>
    <row r="13424" s="11" customFormat="true" ht="10.95" hidden="false" customHeight="true" outlineLevel="0" collapsed="false">
      <c r="A13424" s="16" t="n">
        <v>45407</v>
      </c>
      <c r="B13424" s="17" t="s">
        <v>4548</v>
      </c>
      <c r="C13424" s="17" t="s">
        <v>3614</v>
      </c>
      <c r="D13424" s="17" t="s">
        <v>1391</v>
      </c>
      <c r="E13424" s="17" t="s">
        <v>3673</v>
      </c>
      <c r="F13424" s="17" t="s">
        <v>3223</v>
      </c>
      <c r="G13424" s="18" t="n">
        <v>455.48</v>
      </c>
      <c r="H13424" s="18" t="n">
        <v>0</v>
      </c>
      <c r="I13424" s="18" t="n">
        <f aca="false">((I13423 + G13424) - H13424)</f>
        <v>7223.95000000001</v>
      </c>
      <c r="J13424" s="18" t="n">
        <v>0</v>
      </c>
      <c r="K13424" s="19" t="n">
        <v>0</v>
      </c>
      <c r="L13424" s="17"/>
    </row>
    <row r="13425" s="11" customFormat="true" ht="10.95" hidden="false" customHeight="true" outlineLevel="0" collapsed="false">
      <c r="A13425" s="16" t="n">
        <v>45407</v>
      </c>
      <c r="B13425" s="17" t="s">
        <v>4548</v>
      </c>
      <c r="C13425" s="17" t="s">
        <v>3614</v>
      </c>
      <c r="D13425" s="17" t="s">
        <v>1391</v>
      </c>
      <c r="E13425" s="17" t="s">
        <v>3673</v>
      </c>
      <c r="F13425" s="17" t="s">
        <v>3225</v>
      </c>
      <c r="G13425" s="18" t="n">
        <v>815.47</v>
      </c>
      <c r="H13425" s="18" t="n">
        <v>0</v>
      </c>
      <c r="I13425" s="18" t="n">
        <f aca="false">((I13424 + G13425) - H13425)</f>
        <v>8039.42000000001</v>
      </c>
      <c r="J13425" s="18" t="n">
        <v>0</v>
      </c>
      <c r="K13425" s="19" t="n">
        <v>0</v>
      </c>
      <c r="L13425" s="17"/>
    </row>
    <row r="13426" s="11" customFormat="true" ht="10.95" hidden="false" customHeight="true" outlineLevel="0" collapsed="false">
      <c r="A13426" s="16" t="n">
        <v>45408</v>
      </c>
      <c r="B13426" s="17" t="s">
        <v>4548</v>
      </c>
      <c r="C13426" s="17" t="s">
        <v>3614</v>
      </c>
      <c r="D13426" s="17" t="s">
        <v>19</v>
      </c>
      <c r="E13426" s="17" t="s">
        <v>3502</v>
      </c>
      <c r="F13426" s="17" t="s">
        <v>593</v>
      </c>
      <c r="G13426" s="18" t="n">
        <v>0</v>
      </c>
      <c r="H13426" s="18" t="n">
        <v>7.15</v>
      </c>
      <c r="I13426" s="18" t="n">
        <f aca="false">((I13425 + G13426) - H13426)</f>
        <v>8032.27000000001</v>
      </c>
      <c r="J13426" s="18" t="n">
        <v>0</v>
      </c>
      <c r="K13426" s="19" t="n">
        <v>0</v>
      </c>
      <c r="L13426" s="17"/>
    </row>
    <row r="13427" s="11" customFormat="true" ht="10.95" hidden="false" customHeight="true" outlineLevel="0" collapsed="false">
      <c r="A13427" s="16" t="n">
        <v>45408</v>
      </c>
      <c r="B13427" s="17" t="s">
        <v>4548</v>
      </c>
      <c r="C13427" s="17" t="s">
        <v>3614</v>
      </c>
      <c r="D13427" s="17" t="s">
        <v>19</v>
      </c>
      <c r="E13427" s="17" t="s">
        <v>3530</v>
      </c>
      <c r="F13427" s="17" t="s">
        <v>595</v>
      </c>
      <c r="G13427" s="18" t="n">
        <v>0</v>
      </c>
      <c r="H13427" s="18" t="n">
        <v>41.8</v>
      </c>
      <c r="I13427" s="18" t="n">
        <f aca="false">((I13426 + G13427) - H13427)</f>
        <v>7990.47000000001</v>
      </c>
      <c r="J13427" s="18" t="n">
        <v>0</v>
      </c>
      <c r="K13427" s="19" t="n">
        <v>0</v>
      </c>
      <c r="L13427" s="17"/>
    </row>
    <row r="13428" s="11" customFormat="true" ht="10.95" hidden="false" customHeight="true" outlineLevel="0" collapsed="false">
      <c r="A13428" s="16" t="n">
        <v>45408</v>
      </c>
      <c r="B13428" s="17" t="s">
        <v>4548</v>
      </c>
      <c r="C13428" s="17" t="s">
        <v>3614</v>
      </c>
      <c r="D13428" s="17" t="s">
        <v>19</v>
      </c>
      <c r="E13428" s="17" t="s">
        <v>3521</v>
      </c>
      <c r="F13428" s="17" t="s">
        <v>599</v>
      </c>
      <c r="G13428" s="18" t="n">
        <v>0</v>
      </c>
      <c r="H13428" s="18" t="n">
        <v>64.8</v>
      </c>
      <c r="I13428" s="18" t="n">
        <f aca="false">((I13427 + G13428) - H13428)</f>
        <v>7925.67000000001</v>
      </c>
      <c r="J13428" s="18" t="n">
        <v>0</v>
      </c>
      <c r="K13428" s="19" t="n">
        <v>0</v>
      </c>
      <c r="L13428" s="17"/>
    </row>
    <row r="13429" s="11" customFormat="true" ht="10.95" hidden="false" customHeight="true" outlineLevel="0" collapsed="false">
      <c r="A13429" s="16" t="n">
        <v>45408</v>
      </c>
      <c r="B13429" s="17" t="s">
        <v>4548</v>
      </c>
      <c r="C13429" s="17" t="s">
        <v>3614</v>
      </c>
      <c r="D13429" s="17" t="s">
        <v>19</v>
      </c>
      <c r="E13429" s="17" t="s">
        <v>3501</v>
      </c>
      <c r="F13429" s="17" t="s">
        <v>600</v>
      </c>
      <c r="G13429" s="18" t="n">
        <v>0</v>
      </c>
      <c r="H13429" s="18" t="n">
        <v>14.3</v>
      </c>
      <c r="I13429" s="18" t="n">
        <f aca="false">((I13428 + G13429) - H13429)</f>
        <v>7911.37000000001</v>
      </c>
      <c r="J13429" s="18" t="n">
        <v>0</v>
      </c>
      <c r="K13429" s="19" t="n">
        <v>0</v>
      </c>
      <c r="L13429" s="17"/>
    </row>
    <row r="13430" s="11" customFormat="true" ht="10.95" hidden="false" customHeight="true" outlineLevel="0" collapsed="false">
      <c r="A13430" s="16" t="n">
        <v>45408</v>
      </c>
      <c r="B13430" s="17" t="s">
        <v>4548</v>
      </c>
      <c r="C13430" s="17" t="s">
        <v>3614</v>
      </c>
      <c r="D13430" s="17" t="s">
        <v>19</v>
      </c>
      <c r="E13430" s="17" t="s">
        <v>3490</v>
      </c>
      <c r="F13430" s="17" t="s">
        <v>601</v>
      </c>
      <c r="G13430" s="18" t="n">
        <v>0</v>
      </c>
      <c r="H13430" s="18" t="n">
        <v>94.05</v>
      </c>
      <c r="I13430" s="18" t="n">
        <f aca="false">((I13429 + G13430) - H13430)</f>
        <v>7817.32000000001</v>
      </c>
      <c r="J13430" s="18" t="n">
        <v>0</v>
      </c>
      <c r="K13430" s="19" t="n">
        <v>0</v>
      </c>
      <c r="L13430" s="17"/>
    </row>
    <row r="13431" s="11" customFormat="true" ht="10.95" hidden="false" customHeight="true" outlineLevel="0" collapsed="false">
      <c r="A13431" s="16" t="n">
        <v>45408</v>
      </c>
      <c r="B13431" s="17" t="s">
        <v>4548</v>
      </c>
      <c r="C13431" s="17" t="s">
        <v>3614</v>
      </c>
      <c r="D13431" s="17" t="s">
        <v>19</v>
      </c>
      <c r="E13431" s="17" t="s">
        <v>3424</v>
      </c>
      <c r="F13431" s="17" t="s">
        <v>602</v>
      </c>
      <c r="G13431" s="18" t="n">
        <v>0</v>
      </c>
      <c r="H13431" s="18" t="n">
        <v>37.6</v>
      </c>
      <c r="I13431" s="18" t="n">
        <f aca="false">((I13430 + G13431) - H13431)</f>
        <v>7779.72000000001</v>
      </c>
      <c r="J13431" s="18" t="n">
        <v>0</v>
      </c>
      <c r="K13431" s="19" t="n">
        <v>0</v>
      </c>
      <c r="L13431" s="17"/>
    </row>
    <row r="13432" s="11" customFormat="true" ht="10.95" hidden="false" customHeight="true" outlineLevel="0" collapsed="false">
      <c r="A13432" s="16" t="n">
        <v>45408</v>
      </c>
      <c r="B13432" s="17" t="s">
        <v>4548</v>
      </c>
      <c r="C13432" s="17" t="s">
        <v>3614</v>
      </c>
      <c r="D13432" s="17" t="s">
        <v>19</v>
      </c>
      <c r="E13432" s="17" t="s">
        <v>3426</v>
      </c>
      <c r="F13432" s="17" t="s">
        <v>603</v>
      </c>
      <c r="G13432" s="18" t="n">
        <v>0</v>
      </c>
      <c r="H13432" s="18" t="n">
        <v>137.5</v>
      </c>
      <c r="I13432" s="18" t="n">
        <f aca="false">((I13431 + G13432) - H13432)</f>
        <v>7642.22000000001</v>
      </c>
      <c r="J13432" s="18" t="n">
        <v>0</v>
      </c>
      <c r="K13432" s="19" t="n">
        <v>0</v>
      </c>
      <c r="L13432" s="17"/>
    </row>
    <row r="13433" s="11" customFormat="true" ht="10.95" hidden="false" customHeight="true" outlineLevel="0" collapsed="false">
      <c r="A13433" s="16" t="n">
        <v>45408</v>
      </c>
      <c r="B13433" s="17" t="s">
        <v>4548</v>
      </c>
      <c r="C13433" s="17" t="s">
        <v>3614</v>
      </c>
      <c r="D13433" s="17" t="s">
        <v>19</v>
      </c>
      <c r="E13433" s="17" t="s">
        <v>3427</v>
      </c>
      <c r="F13433" s="17" t="s">
        <v>604</v>
      </c>
      <c r="G13433" s="18" t="n">
        <v>0</v>
      </c>
      <c r="H13433" s="18" t="n">
        <v>59.5</v>
      </c>
      <c r="I13433" s="18" t="n">
        <f aca="false">((I13432 + G13433) - H13433)</f>
        <v>7582.72000000001</v>
      </c>
      <c r="J13433" s="18" t="n">
        <v>0</v>
      </c>
      <c r="K13433" s="19" t="n">
        <v>0</v>
      </c>
      <c r="L13433" s="17"/>
    </row>
    <row r="13434" s="11" customFormat="true" ht="10.95" hidden="false" customHeight="true" outlineLevel="0" collapsed="false">
      <c r="A13434" s="16" t="n">
        <v>45408</v>
      </c>
      <c r="B13434" s="17" t="s">
        <v>4548</v>
      </c>
      <c r="C13434" s="17" t="s">
        <v>3614</v>
      </c>
      <c r="D13434" s="17" t="s">
        <v>19</v>
      </c>
      <c r="E13434" s="17" t="s">
        <v>3428</v>
      </c>
      <c r="F13434" s="17" t="s">
        <v>605</v>
      </c>
      <c r="G13434" s="18" t="n">
        <v>0</v>
      </c>
      <c r="H13434" s="18" t="n">
        <v>125.95</v>
      </c>
      <c r="I13434" s="18" t="n">
        <f aca="false">((I13433 + G13434) - H13434)</f>
        <v>7456.77000000001</v>
      </c>
      <c r="J13434" s="18" t="n">
        <v>0</v>
      </c>
      <c r="K13434" s="19" t="n">
        <v>0</v>
      </c>
      <c r="L13434" s="17"/>
    </row>
    <row r="13435" s="11" customFormat="true" ht="10.95" hidden="false" customHeight="true" outlineLevel="0" collapsed="false">
      <c r="A13435" s="16" t="n">
        <v>45408</v>
      </c>
      <c r="B13435" s="17" t="s">
        <v>4548</v>
      </c>
      <c r="C13435" s="17" t="s">
        <v>3614</v>
      </c>
      <c r="D13435" s="17" t="s">
        <v>19</v>
      </c>
      <c r="E13435" s="17" t="s">
        <v>3429</v>
      </c>
      <c r="F13435" s="17" t="s">
        <v>606</v>
      </c>
      <c r="G13435" s="18" t="n">
        <v>0</v>
      </c>
      <c r="H13435" s="18" t="n">
        <v>8.5</v>
      </c>
      <c r="I13435" s="18" t="n">
        <f aca="false">((I13434 + G13435) - H13435)</f>
        <v>7448.27000000001</v>
      </c>
      <c r="J13435" s="18" t="n">
        <v>0</v>
      </c>
      <c r="K13435" s="19" t="n">
        <v>0</v>
      </c>
      <c r="L13435" s="17"/>
    </row>
    <row r="13436" s="11" customFormat="true" ht="10.95" hidden="false" customHeight="true" outlineLevel="0" collapsed="false">
      <c r="A13436" s="16" t="n">
        <v>45408</v>
      </c>
      <c r="B13436" s="17" t="s">
        <v>4548</v>
      </c>
      <c r="C13436" s="17" t="s">
        <v>3614</v>
      </c>
      <c r="D13436" s="17" t="s">
        <v>19</v>
      </c>
      <c r="E13436" s="17" t="s">
        <v>3531</v>
      </c>
      <c r="F13436" s="17" t="s">
        <v>608</v>
      </c>
      <c r="G13436" s="18" t="n">
        <v>0</v>
      </c>
      <c r="H13436" s="18" t="n">
        <v>858</v>
      </c>
      <c r="I13436" s="18" t="n">
        <f aca="false">((I13435 + G13436) - H13436)</f>
        <v>6590.27000000001</v>
      </c>
      <c r="J13436" s="18" t="n">
        <v>0</v>
      </c>
      <c r="K13436" s="19" t="n">
        <v>0</v>
      </c>
      <c r="L13436" s="17"/>
    </row>
    <row r="13437" s="11" customFormat="true" ht="10.95" hidden="false" customHeight="true" outlineLevel="0" collapsed="false">
      <c r="A13437" s="16" t="n">
        <v>45408</v>
      </c>
      <c r="B13437" s="17" t="s">
        <v>4548</v>
      </c>
      <c r="C13437" s="17" t="s">
        <v>3614</v>
      </c>
      <c r="D13437" s="17" t="s">
        <v>19</v>
      </c>
      <c r="E13437" s="17" t="s">
        <v>3431</v>
      </c>
      <c r="F13437" s="17" t="s">
        <v>609</v>
      </c>
      <c r="G13437" s="18" t="n">
        <v>0</v>
      </c>
      <c r="H13437" s="18" t="n">
        <v>32.5</v>
      </c>
      <c r="I13437" s="18" t="n">
        <f aca="false">((I13436 + G13437) - H13437)</f>
        <v>6557.77000000001</v>
      </c>
      <c r="J13437" s="18" t="n">
        <v>0</v>
      </c>
      <c r="K13437" s="19" t="n">
        <v>0</v>
      </c>
      <c r="L13437" s="17"/>
    </row>
    <row r="13438" s="11" customFormat="true" ht="10.95" hidden="false" customHeight="true" outlineLevel="0" collapsed="false">
      <c r="A13438" s="16" t="n">
        <v>45408</v>
      </c>
      <c r="B13438" s="17" t="s">
        <v>4548</v>
      </c>
      <c r="C13438" s="17" t="s">
        <v>3614</v>
      </c>
      <c r="D13438" s="17" t="s">
        <v>19</v>
      </c>
      <c r="E13438" s="17" t="s">
        <v>3432</v>
      </c>
      <c r="F13438" s="17" t="s">
        <v>610</v>
      </c>
      <c r="G13438" s="18" t="n">
        <v>0</v>
      </c>
      <c r="H13438" s="18" t="n">
        <v>99.5</v>
      </c>
      <c r="I13438" s="18" t="n">
        <f aca="false">((I13437 + G13438) - H13438)</f>
        <v>6458.27000000001</v>
      </c>
      <c r="J13438" s="18" t="n">
        <v>0</v>
      </c>
      <c r="K13438" s="19" t="n">
        <v>0</v>
      </c>
      <c r="L13438" s="17"/>
    </row>
    <row r="13439" s="11" customFormat="true" ht="10.95" hidden="false" customHeight="true" outlineLevel="0" collapsed="false">
      <c r="A13439" s="16" t="n">
        <v>45408</v>
      </c>
      <c r="B13439" s="17" t="s">
        <v>4548</v>
      </c>
      <c r="C13439" s="17" t="s">
        <v>3614</v>
      </c>
      <c r="D13439" s="17" t="s">
        <v>19</v>
      </c>
      <c r="E13439" s="17" t="s">
        <v>3434</v>
      </c>
      <c r="F13439" s="17" t="s">
        <v>611</v>
      </c>
      <c r="G13439" s="18" t="n">
        <v>0</v>
      </c>
      <c r="H13439" s="18" t="n">
        <v>36</v>
      </c>
      <c r="I13439" s="18" t="n">
        <f aca="false">((I13438 + G13439) - H13439)</f>
        <v>6422.27000000001</v>
      </c>
      <c r="J13439" s="18" t="n">
        <v>0</v>
      </c>
      <c r="K13439" s="19" t="n">
        <v>0</v>
      </c>
      <c r="L13439" s="17"/>
    </row>
    <row r="13440" s="11" customFormat="true" ht="10.95" hidden="false" customHeight="true" outlineLevel="0" collapsed="false">
      <c r="A13440" s="16" t="n">
        <v>45408</v>
      </c>
      <c r="B13440" s="17" t="s">
        <v>4548</v>
      </c>
      <c r="C13440" s="17" t="s">
        <v>3614</v>
      </c>
      <c r="D13440" s="17" t="s">
        <v>19</v>
      </c>
      <c r="E13440" s="17" t="s">
        <v>3435</v>
      </c>
      <c r="F13440" s="17" t="s">
        <v>612</v>
      </c>
      <c r="G13440" s="18" t="n">
        <v>0</v>
      </c>
      <c r="H13440" s="18" t="n">
        <v>204</v>
      </c>
      <c r="I13440" s="18" t="n">
        <f aca="false">((I13439 + G13440) - H13440)</f>
        <v>6218.27000000001</v>
      </c>
      <c r="J13440" s="18" t="n">
        <v>0</v>
      </c>
      <c r="K13440" s="19" t="n">
        <v>0</v>
      </c>
      <c r="L13440" s="17"/>
    </row>
    <row r="13441" s="11" customFormat="true" ht="10.95" hidden="false" customHeight="true" outlineLevel="0" collapsed="false">
      <c r="A13441" s="16" t="n">
        <v>45408</v>
      </c>
      <c r="B13441" s="17" t="s">
        <v>4548</v>
      </c>
      <c r="C13441" s="17" t="s">
        <v>3614</v>
      </c>
      <c r="D13441" s="17" t="s">
        <v>19</v>
      </c>
      <c r="E13441" s="17" t="s">
        <v>3437</v>
      </c>
      <c r="F13441" s="17" t="s">
        <v>613</v>
      </c>
      <c r="G13441" s="18" t="n">
        <v>0</v>
      </c>
      <c r="H13441" s="18" t="n">
        <v>100.01</v>
      </c>
      <c r="I13441" s="18" t="n">
        <f aca="false">((I13440 + G13441) - H13441)</f>
        <v>6118.26000000001</v>
      </c>
      <c r="J13441" s="18" t="n">
        <v>0</v>
      </c>
      <c r="K13441" s="19" t="n">
        <v>0</v>
      </c>
      <c r="L13441" s="17"/>
    </row>
    <row r="13442" s="11" customFormat="true" ht="10.95" hidden="false" customHeight="true" outlineLevel="0" collapsed="false">
      <c r="A13442" s="16" t="n">
        <v>45408</v>
      </c>
      <c r="B13442" s="17" t="s">
        <v>4548</v>
      </c>
      <c r="C13442" s="17" t="s">
        <v>3614</v>
      </c>
      <c r="D13442" s="17" t="s">
        <v>19</v>
      </c>
      <c r="E13442" s="17" t="s">
        <v>3439</v>
      </c>
      <c r="F13442" s="17" t="s">
        <v>614</v>
      </c>
      <c r="G13442" s="18" t="n">
        <v>0</v>
      </c>
      <c r="H13442" s="18" t="n">
        <v>95.7</v>
      </c>
      <c r="I13442" s="18" t="n">
        <f aca="false">((I13441 + G13442) - H13442)</f>
        <v>6022.56000000001</v>
      </c>
      <c r="J13442" s="18" t="n">
        <v>0</v>
      </c>
      <c r="K13442" s="19" t="n">
        <v>0</v>
      </c>
      <c r="L13442" s="17"/>
    </row>
    <row r="13443" s="11" customFormat="true" ht="10.95" hidden="false" customHeight="true" outlineLevel="0" collapsed="false">
      <c r="A13443" s="16" t="n">
        <v>45408</v>
      </c>
      <c r="B13443" s="17" t="s">
        <v>4548</v>
      </c>
      <c r="C13443" s="17" t="s">
        <v>3614</v>
      </c>
      <c r="D13443" s="17" t="s">
        <v>19</v>
      </c>
      <c r="E13443" s="17" t="s">
        <v>3442</v>
      </c>
      <c r="F13443" s="17" t="s">
        <v>615</v>
      </c>
      <c r="G13443" s="18" t="n">
        <v>0</v>
      </c>
      <c r="H13443" s="18" t="n">
        <v>909</v>
      </c>
      <c r="I13443" s="18" t="n">
        <f aca="false">((I13442 + G13443) - H13443)</f>
        <v>5113.56000000001</v>
      </c>
      <c r="J13443" s="18" t="n">
        <v>0</v>
      </c>
      <c r="K13443" s="19" t="n">
        <v>0</v>
      </c>
      <c r="L13443" s="17"/>
    </row>
    <row r="13444" s="11" customFormat="true" ht="10.95" hidden="false" customHeight="true" outlineLevel="0" collapsed="false">
      <c r="A13444" s="16" t="n">
        <v>45408</v>
      </c>
      <c r="B13444" s="17" t="s">
        <v>4548</v>
      </c>
      <c r="C13444" s="17" t="s">
        <v>3614</v>
      </c>
      <c r="D13444" s="17" t="s">
        <v>19</v>
      </c>
      <c r="E13444" s="17" t="s">
        <v>3442</v>
      </c>
      <c r="F13444" s="17" t="s">
        <v>616</v>
      </c>
      <c r="G13444" s="18" t="n">
        <v>0</v>
      </c>
      <c r="H13444" s="18" t="n">
        <v>917</v>
      </c>
      <c r="I13444" s="18" t="n">
        <f aca="false">((I13443 + G13444) - H13444)</f>
        <v>4196.56000000001</v>
      </c>
      <c r="J13444" s="18" t="n">
        <v>0</v>
      </c>
      <c r="K13444" s="19" t="n">
        <v>0</v>
      </c>
      <c r="L13444" s="17"/>
    </row>
    <row r="13445" s="11" customFormat="true" ht="10.95" hidden="false" customHeight="true" outlineLevel="0" collapsed="false">
      <c r="A13445" s="16" t="n">
        <v>45408</v>
      </c>
      <c r="B13445" s="17" t="s">
        <v>4548</v>
      </c>
      <c r="C13445" s="17" t="s">
        <v>3614</v>
      </c>
      <c r="D13445" s="17" t="s">
        <v>19</v>
      </c>
      <c r="E13445" s="17" t="s">
        <v>3443</v>
      </c>
      <c r="F13445" s="17" t="s">
        <v>618</v>
      </c>
      <c r="G13445" s="18" t="n">
        <v>0</v>
      </c>
      <c r="H13445" s="18" t="n">
        <v>454</v>
      </c>
      <c r="I13445" s="18" t="n">
        <f aca="false">((I13444 + G13445) - H13445)</f>
        <v>3742.56000000001</v>
      </c>
      <c r="J13445" s="18" t="n">
        <v>0</v>
      </c>
      <c r="K13445" s="19" t="n">
        <v>0</v>
      </c>
      <c r="L13445" s="17"/>
    </row>
    <row r="13446" s="11" customFormat="true" ht="10.95" hidden="false" customHeight="true" outlineLevel="0" collapsed="false">
      <c r="A13446" s="16" t="n">
        <v>45408</v>
      </c>
      <c r="B13446" s="17" t="s">
        <v>4548</v>
      </c>
      <c r="C13446" s="17" t="s">
        <v>3614</v>
      </c>
      <c r="D13446" s="17" t="s">
        <v>19</v>
      </c>
      <c r="E13446" s="17" t="s">
        <v>3444</v>
      </c>
      <c r="F13446" s="17" t="s">
        <v>619</v>
      </c>
      <c r="G13446" s="18" t="n">
        <v>0</v>
      </c>
      <c r="H13446" s="18" t="n">
        <v>88</v>
      </c>
      <c r="I13446" s="18" t="n">
        <f aca="false">((I13445 + G13446) - H13446)</f>
        <v>3654.56000000001</v>
      </c>
      <c r="J13446" s="18" t="n">
        <v>0</v>
      </c>
      <c r="K13446" s="19" t="n">
        <v>0</v>
      </c>
      <c r="L13446" s="17"/>
    </row>
    <row r="13447" s="11" customFormat="true" ht="10.95" hidden="false" customHeight="true" outlineLevel="0" collapsed="false">
      <c r="A13447" s="16" t="n">
        <v>45408</v>
      </c>
      <c r="B13447" s="17" t="s">
        <v>4548</v>
      </c>
      <c r="C13447" s="17" t="s">
        <v>3614</v>
      </c>
      <c r="D13447" s="17" t="s">
        <v>19</v>
      </c>
      <c r="E13447" s="17" t="s">
        <v>3494</v>
      </c>
      <c r="F13447" s="17" t="s">
        <v>620</v>
      </c>
      <c r="G13447" s="18" t="n">
        <v>0</v>
      </c>
      <c r="H13447" s="18" t="n">
        <v>83</v>
      </c>
      <c r="I13447" s="18" t="n">
        <f aca="false">((I13446 + G13447) - H13447)</f>
        <v>3571.56000000001</v>
      </c>
      <c r="J13447" s="18" t="n">
        <v>0</v>
      </c>
      <c r="K13447" s="19" t="n">
        <v>0</v>
      </c>
      <c r="L13447" s="17"/>
    </row>
    <row r="13448" s="11" customFormat="true" ht="10.95" hidden="false" customHeight="true" outlineLevel="0" collapsed="false">
      <c r="A13448" s="16" t="n">
        <v>45408</v>
      </c>
      <c r="B13448" s="17" t="s">
        <v>4548</v>
      </c>
      <c r="C13448" s="17" t="s">
        <v>3614</v>
      </c>
      <c r="D13448" s="17" t="s">
        <v>19</v>
      </c>
      <c r="E13448" s="17" t="s">
        <v>3446</v>
      </c>
      <c r="F13448" s="17" t="s">
        <v>621</v>
      </c>
      <c r="G13448" s="18" t="n">
        <v>0</v>
      </c>
      <c r="H13448" s="18" t="n">
        <v>169.2</v>
      </c>
      <c r="I13448" s="18" t="n">
        <f aca="false">((I13447 + G13448) - H13448)</f>
        <v>3402.36000000001</v>
      </c>
      <c r="J13448" s="18" t="n">
        <v>0</v>
      </c>
      <c r="K13448" s="19" t="n">
        <v>0</v>
      </c>
      <c r="L13448" s="17"/>
    </row>
    <row r="13449" s="11" customFormat="true" ht="10.95" hidden="false" customHeight="true" outlineLevel="0" collapsed="false">
      <c r="A13449" s="16" t="n">
        <v>45408</v>
      </c>
      <c r="B13449" s="17" t="s">
        <v>4548</v>
      </c>
      <c r="C13449" s="17" t="s">
        <v>3614</v>
      </c>
      <c r="D13449" s="17" t="s">
        <v>19</v>
      </c>
      <c r="E13449" s="17" t="s">
        <v>3447</v>
      </c>
      <c r="F13449" s="17" t="s">
        <v>622</v>
      </c>
      <c r="G13449" s="18" t="n">
        <v>0</v>
      </c>
      <c r="H13449" s="18" t="n">
        <v>20.9</v>
      </c>
      <c r="I13449" s="18" t="n">
        <f aca="false">((I13448 + G13449) - H13449)</f>
        <v>3381.46000000001</v>
      </c>
      <c r="J13449" s="18" t="n">
        <v>0</v>
      </c>
      <c r="K13449" s="19" t="n">
        <v>0</v>
      </c>
      <c r="L13449" s="17"/>
    </row>
    <row r="13450" s="11" customFormat="true" ht="10.95" hidden="false" customHeight="true" outlineLevel="0" collapsed="false">
      <c r="A13450" s="16" t="n">
        <v>45408</v>
      </c>
      <c r="B13450" s="17" t="s">
        <v>4548</v>
      </c>
      <c r="C13450" s="17" t="s">
        <v>3614</v>
      </c>
      <c r="D13450" s="17" t="s">
        <v>19</v>
      </c>
      <c r="E13450" s="17" t="s">
        <v>3447</v>
      </c>
      <c r="F13450" s="17" t="s">
        <v>623</v>
      </c>
      <c r="G13450" s="18" t="n">
        <v>0</v>
      </c>
      <c r="H13450" s="18" t="n">
        <v>10.45</v>
      </c>
      <c r="I13450" s="18" t="n">
        <f aca="false">((I13449 + G13450) - H13450)</f>
        <v>3371.01000000001</v>
      </c>
      <c r="J13450" s="18" t="n">
        <v>0</v>
      </c>
      <c r="K13450" s="19" t="n">
        <v>0</v>
      </c>
      <c r="L13450" s="17"/>
    </row>
    <row r="13451" s="11" customFormat="true" ht="10.95" hidden="false" customHeight="true" outlineLevel="0" collapsed="false">
      <c r="A13451" s="16" t="n">
        <v>45408</v>
      </c>
      <c r="B13451" s="17" t="s">
        <v>4548</v>
      </c>
      <c r="C13451" s="17" t="s">
        <v>3614</v>
      </c>
      <c r="D13451" s="17" t="s">
        <v>19</v>
      </c>
      <c r="E13451" s="17" t="s">
        <v>3447</v>
      </c>
      <c r="F13451" s="17" t="s">
        <v>624</v>
      </c>
      <c r="G13451" s="18" t="n">
        <v>0</v>
      </c>
      <c r="H13451" s="18" t="n">
        <v>52.75</v>
      </c>
      <c r="I13451" s="18" t="n">
        <f aca="false">((I13450 + G13451) - H13451)</f>
        <v>3318.26000000001</v>
      </c>
      <c r="J13451" s="18" t="n">
        <v>0</v>
      </c>
      <c r="K13451" s="19" t="n">
        <v>0</v>
      </c>
      <c r="L13451" s="17"/>
    </row>
    <row r="13452" s="11" customFormat="true" ht="10.95" hidden="false" customHeight="true" outlineLevel="0" collapsed="false">
      <c r="A13452" s="16" t="n">
        <v>45408</v>
      </c>
      <c r="B13452" s="17" t="s">
        <v>4548</v>
      </c>
      <c r="C13452" s="17" t="s">
        <v>3614</v>
      </c>
      <c r="D13452" s="17" t="s">
        <v>19</v>
      </c>
      <c r="E13452" s="17" t="s">
        <v>3447</v>
      </c>
      <c r="F13452" s="17" t="s">
        <v>625</v>
      </c>
      <c r="G13452" s="18" t="n">
        <v>0</v>
      </c>
      <c r="H13452" s="18" t="n">
        <v>75.2</v>
      </c>
      <c r="I13452" s="18" t="n">
        <f aca="false">((I13451 + G13452) - H13452)</f>
        <v>3243.06000000001</v>
      </c>
      <c r="J13452" s="18" t="n">
        <v>0</v>
      </c>
      <c r="K13452" s="19" t="n">
        <v>0</v>
      </c>
      <c r="L13452" s="17"/>
    </row>
    <row r="13453" s="11" customFormat="true" ht="10.95" hidden="false" customHeight="true" outlineLevel="0" collapsed="false">
      <c r="A13453" s="16" t="n">
        <v>45408</v>
      </c>
      <c r="B13453" s="17" t="s">
        <v>4548</v>
      </c>
      <c r="C13453" s="17" t="s">
        <v>3614</v>
      </c>
      <c r="D13453" s="17" t="s">
        <v>19</v>
      </c>
      <c r="E13453" s="17" t="s">
        <v>3447</v>
      </c>
      <c r="F13453" s="17" t="s">
        <v>626</v>
      </c>
      <c r="G13453" s="18" t="n">
        <v>0</v>
      </c>
      <c r="H13453" s="18" t="n">
        <v>67.4</v>
      </c>
      <c r="I13453" s="18" t="n">
        <f aca="false">((I13452 + G13453) - H13453)</f>
        <v>3175.66000000001</v>
      </c>
      <c r="J13453" s="18" t="n">
        <v>0</v>
      </c>
      <c r="K13453" s="19" t="n">
        <v>0</v>
      </c>
      <c r="L13453" s="17"/>
    </row>
    <row r="13454" s="11" customFormat="true" ht="10.95" hidden="false" customHeight="true" outlineLevel="0" collapsed="false">
      <c r="A13454" s="16" t="n">
        <v>45408</v>
      </c>
      <c r="B13454" s="17" t="s">
        <v>4548</v>
      </c>
      <c r="C13454" s="17" t="s">
        <v>3614</v>
      </c>
      <c r="D13454" s="17" t="s">
        <v>19</v>
      </c>
      <c r="E13454" s="17" t="s">
        <v>3447</v>
      </c>
      <c r="F13454" s="17" t="s">
        <v>627</v>
      </c>
      <c r="G13454" s="18" t="n">
        <v>0</v>
      </c>
      <c r="H13454" s="18" t="n">
        <v>18.8</v>
      </c>
      <c r="I13454" s="18" t="n">
        <f aca="false">((I13453 + G13454) - H13454)</f>
        <v>3156.86000000001</v>
      </c>
      <c r="J13454" s="18" t="n">
        <v>0</v>
      </c>
      <c r="K13454" s="19" t="n">
        <v>0</v>
      </c>
      <c r="L13454" s="17"/>
    </row>
    <row r="13455" s="11" customFormat="true" ht="10.95" hidden="false" customHeight="true" outlineLevel="0" collapsed="false">
      <c r="A13455" s="16" t="n">
        <v>45408</v>
      </c>
      <c r="B13455" s="17" t="s">
        <v>4548</v>
      </c>
      <c r="C13455" s="17" t="s">
        <v>3614</v>
      </c>
      <c r="D13455" s="17" t="s">
        <v>19</v>
      </c>
      <c r="E13455" s="17" t="s">
        <v>3447</v>
      </c>
      <c r="F13455" s="17" t="s">
        <v>628</v>
      </c>
      <c r="G13455" s="18" t="n">
        <v>0</v>
      </c>
      <c r="H13455" s="18" t="n">
        <v>162.95</v>
      </c>
      <c r="I13455" s="18" t="n">
        <f aca="false">((I13454 + G13455) - H13455)</f>
        <v>2993.91000000001</v>
      </c>
      <c r="J13455" s="18" t="n">
        <v>0</v>
      </c>
      <c r="K13455" s="19" t="n">
        <v>0</v>
      </c>
      <c r="L13455" s="17"/>
    </row>
    <row r="13456" s="11" customFormat="true" ht="10.95" hidden="false" customHeight="true" outlineLevel="0" collapsed="false">
      <c r="A13456" s="16" t="n">
        <v>45408</v>
      </c>
      <c r="B13456" s="17" t="s">
        <v>4548</v>
      </c>
      <c r="C13456" s="17" t="s">
        <v>3614</v>
      </c>
      <c r="D13456" s="17" t="s">
        <v>19</v>
      </c>
      <c r="E13456" s="17" t="s">
        <v>3447</v>
      </c>
      <c r="F13456" s="17" t="s">
        <v>629</v>
      </c>
      <c r="G13456" s="18" t="n">
        <v>0</v>
      </c>
      <c r="H13456" s="18" t="n">
        <v>47</v>
      </c>
      <c r="I13456" s="18" t="n">
        <f aca="false">((I13455 + G13456) - H13456)</f>
        <v>2946.91000000001</v>
      </c>
      <c r="J13456" s="18" t="n">
        <v>0</v>
      </c>
      <c r="K13456" s="19" t="n">
        <v>0</v>
      </c>
      <c r="L13456" s="17"/>
    </row>
    <row r="13457" s="11" customFormat="true" ht="10.95" hidden="false" customHeight="true" outlineLevel="0" collapsed="false">
      <c r="A13457" s="16" t="n">
        <v>45408</v>
      </c>
      <c r="B13457" s="17" t="s">
        <v>4548</v>
      </c>
      <c r="C13457" s="17" t="s">
        <v>3614</v>
      </c>
      <c r="D13457" s="17" t="s">
        <v>19</v>
      </c>
      <c r="E13457" s="17" t="s">
        <v>3447</v>
      </c>
      <c r="F13457" s="17" t="s">
        <v>630</v>
      </c>
      <c r="G13457" s="18" t="n">
        <v>0</v>
      </c>
      <c r="H13457" s="18" t="n">
        <v>18.8</v>
      </c>
      <c r="I13457" s="18" t="n">
        <f aca="false">((I13456 + G13457) - H13457)</f>
        <v>2928.11000000001</v>
      </c>
      <c r="J13457" s="18" t="n">
        <v>0</v>
      </c>
      <c r="K13457" s="19" t="n">
        <v>0</v>
      </c>
      <c r="L13457" s="17"/>
    </row>
    <row r="13458" s="11" customFormat="true" ht="10.95" hidden="false" customHeight="true" outlineLevel="0" collapsed="false">
      <c r="A13458" s="16" t="n">
        <v>45408</v>
      </c>
      <c r="B13458" s="17" t="s">
        <v>4548</v>
      </c>
      <c r="C13458" s="17" t="s">
        <v>3614</v>
      </c>
      <c r="D13458" s="17" t="s">
        <v>19</v>
      </c>
      <c r="E13458" s="17" t="s">
        <v>3447</v>
      </c>
      <c r="F13458" s="17" t="s">
        <v>631</v>
      </c>
      <c r="G13458" s="18" t="n">
        <v>0</v>
      </c>
      <c r="H13458" s="18" t="n">
        <v>47</v>
      </c>
      <c r="I13458" s="18" t="n">
        <f aca="false">((I13457 + G13458) - H13458)</f>
        <v>2881.11000000001</v>
      </c>
      <c r="J13458" s="18" t="n">
        <v>0</v>
      </c>
      <c r="K13458" s="19" t="n">
        <v>0</v>
      </c>
      <c r="L13458" s="17"/>
    </row>
    <row r="13459" s="11" customFormat="true" ht="10.95" hidden="false" customHeight="true" outlineLevel="0" collapsed="false">
      <c r="A13459" s="16" t="n">
        <v>45408</v>
      </c>
      <c r="B13459" s="17" t="s">
        <v>4548</v>
      </c>
      <c r="C13459" s="17" t="s">
        <v>3614</v>
      </c>
      <c r="D13459" s="17" t="s">
        <v>19</v>
      </c>
      <c r="E13459" s="17" t="s">
        <v>3447</v>
      </c>
      <c r="F13459" s="17" t="s">
        <v>632</v>
      </c>
      <c r="G13459" s="18" t="n">
        <v>0</v>
      </c>
      <c r="H13459" s="18" t="n">
        <v>178.9</v>
      </c>
      <c r="I13459" s="18" t="n">
        <f aca="false">((I13458 + G13459) - H13459)</f>
        <v>2702.21000000001</v>
      </c>
      <c r="J13459" s="18" t="n">
        <v>0</v>
      </c>
      <c r="K13459" s="19" t="n">
        <v>0</v>
      </c>
      <c r="L13459" s="17"/>
    </row>
    <row r="13460" s="11" customFormat="true" ht="10.95" hidden="false" customHeight="true" outlineLevel="0" collapsed="false">
      <c r="A13460" s="16" t="n">
        <v>45408</v>
      </c>
      <c r="B13460" s="17" t="s">
        <v>4548</v>
      </c>
      <c r="C13460" s="17" t="s">
        <v>3614</v>
      </c>
      <c r="D13460" s="17" t="s">
        <v>19</v>
      </c>
      <c r="E13460" s="17" t="s">
        <v>3447</v>
      </c>
      <c r="F13460" s="17" t="s">
        <v>633</v>
      </c>
      <c r="G13460" s="18" t="n">
        <v>0</v>
      </c>
      <c r="H13460" s="18" t="n">
        <v>123.8</v>
      </c>
      <c r="I13460" s="18" t="n">
        <f aca="false">((I13459 + G13460) - H13460)</f>
        <v>2578.41000000001</v>
      </c>
      <c r="J13460" s="18" t="n">
        <v>0</v>
      </c>
      <c r="K13460" s="19" t="n">
        <v>0</v>
      </c>
      <c r="L13460" s="17"/>
    </row>
    <row r="13461" s="11" customFormat="true" ht="10.95" hidden="false" customHeight="true" outlineLevel="0" collapsed="false">
      <c r="A13461" s="16" t="n">
        <v>45408</v>
      </c>
      <c r="B13461" s="17" t="s">
        <v>4548</v>
      </c>
      <c r="C13461" s="17" t="s">
        <v>3614</v>
      </c>
      <c r="D13461" s="17" t="s">
        <v>19</v>
      </c>
      <c r="E13461" s="17" t="s">
        <v>3447</v>
      </c>
      <c r="F13461" s="17" t="s">
        <v>634</v>
      </c>
      <c r="G13461" s="18" t="n">
        <v>0</v>
      </c>
      <c r="H13461" s="18" t="n">
        <v>28.2</v>
      </c>
      <c r="I13461" s="18" t="n">
        <f aca="false">((I13460 + G13461) - H13461)</f>
        <v>2550.21000000001</v>
      </c>
      <c r="J13461" s="18" t="n">
        <v>0</v>
      </c>
      <c r="K13461" s="19" t="n">
        <v>0</v>
      </c>
      <c r="L13461" s="17"/>
    </row>
    <row r="13462" s="11" customFormat="true" ht="10.95" hidden="false" customHeight="true" outlineLevel="0" collapsed="false">
      <c r="A13462" s="16" t="n">
        <v>45408</v>
      </c>
      <c r="B13462" s="17" t="s">
        <v>4548</v>
      </c>
      <c r="C13462" s="17" t="s">
        <v>3614</v>
      </c>
      <c r="D13462" s="17" t="s">
        <v>19</v>
      </c>
      <c r="E13462" s="17" t="s">
        <v>3447</v>
      </c>
      <c r="F13462" s="17" t="s">
        <v>635</v>
      </c>
      <c r="G13462" s="18" t="n">
        <v>0</v>
      </c>
      <c r="H13462" s="18" t="n">
        <v>28.2</v>
      </c>
      <c r="I13462" s="18" t="n">
        <f aca="false">((I13461 + G13462) - H13462)</f>
        <v>2522.01000000001</v>
      </c>
      <c r="J13462" s="18" t="n">
        <v>0</v>
      </c>
      <c r="K13462" s="19" t="n">
        <v>0</v>
      </c>
      <c r="L13462" s="17"/>
    </row>
    <row r="13463" s="11" customFormat="true" ht="10.95" hidden="false" customHeight="true" outlineLevel="0" collapsed="false">
      <c r="A13463" s="16" t="n">
        <v>45408</v>
      </c>
      <c r="B13463" s="17" t="s">
        <v>4548</v>
      </c>
      <c r="C13463" s="17" t="s">
        <v>3614</v>
      </c>
      <c r="D13463" s="17" t="s">
        <v>19</v>
      </c>
      <c r="E13463" s="17" t="s">
        <v>3447</v>
      </c>
      <c r="F13463" s="17" t="s">
        <v>636</v>
      </c>
      <c r="G13463" s="18" t="n">
        <v>0</v>
      </c>
      <c r="H13463" s="18" t="n">
        <v>56.4</v>
      </c>
      <c r="I13463" s="18" t="n">
        <f aca="false">((I13462 + G13463) - H13463)</f>
        <v>2465.61000000001</v>
      </c>
      <c r="J13463" s="18" t="n">
        <v>0</v>
      </c>
      <c r="K13463" s="19" t="n">
        <v>0</v>
      </c>
      <c r="L13463" s="17"/>
    </row>
    <row r="13464" s="11" customFormat="true" ht="10.95" hidden="false" customHeight="true" outlineLevel="0" collapsed="false">
      <c r="A13464" s="16" t="n">
        <v>45408</v>
      </c>
      <c r="B13464" s="17" t="s">
        <v>4548</v>
      </c>
      <c r="C13464" s="17" t="s">
        <v>3614</v>
      </c>
      <c r="D13464" s="17" t="s">
        <v>19</v>
      </c>
      <c r="E13464" s="17" t="s">
        <v>3447</v>
      </c>
      <c r="F13464" s="17" t="s">
        <v>637</v>
      </c>
      <c r="G13464" s="18" t="n">
        <v>0</v>
      </c>
      <c r="H13464" s="18" t="n">
        <v>103.4</v>
      </c>
      <c r="I13464" s="18" t="n">
        <f aca="false">((I13463 + G13464) - H13464)</f>
        <v>2362.21000000001</v>
      </c>
      <c r="J13464" s="18" t="n">
        <v>0</v>
      </c>
      <c r="K13464" s="19" t="n">
        <v>0</v>
      </c>
      <c r="L13464" s="17"/>
    </row>
    <row r="13465" s="11" customFormat="true" ht="10.95" hidden="false" customHeight="true" outlineLevel="0" collapsed="false">
      <c r="A13465" s="16" t="n">
        <v>45408</v>
      </c>
      <c r="B13465" s="17" t="s">
        <v>4548</v>
      </c>
      <c r="C13465" s="17" t="s">
        <v>3614</v>
      </c>
      <c r="D13465" s="17" t="s">
        <v>19</v>
      </c>
      <c r="E13465" s="17" t="s">
        <v>3447</v>
      </c>
      <c r="F13465" s="17" t="s">
        <v>638</v>
      </c>
      <c r="G13465" s="18" t="n">
        <v>0</v>
      </c>
      <c r="H13465" s="18" t="n">
        <v>9.4</v>
      </c>
      <c r="I13465" s="18" t="n">
        <f aca="false">((I13464 + G13465) - H13465)</f>
        <v>2352.81000000001</v>
      </c>
      <c r="J13465" s="18" t="n">
        <v>0</v>
      </c>
      <c r="K13465" s="19" t="n">
        <v>0</v>
      </c>
      <c r="L13465" s="17"/>
    </row>
    <row r="13466" s="11" customFormat="true" ht="10.95" hidden="false" customHeight="true" outlineLevel="0" collapsed="false">
      <c r="A13466" s="16" t="n">
        <v>45408</v>
      </c>
      <c r="B13466" s="17" t="s">
        <v>4548</v>
      </c>
      <c r="C13466" s="17" t="s">
        <v>3614</v>
      </c>
      <c r="D13466" s="17" t="s">
        <v>19</v>
      </c>
      <c r="E13466" s="17" t="s">
        <v>3447</v>
      </c>
      <c r="F13466" s="17" t="s">
        <v>639</v>
      </c>
      <c r="G13466" s="18" t="n">
        <v>0</v>
      </c>
      <c r="H13466" s="18" t="n">
        <v>65.8</v>
      </c>
      <c r="I13466" s="18" t="n">
        <f aca="false">((I13465 + G13466) - H13466)</f>
        <v>2287.01000000001</v>
      </c>
      <c r="J13466" s="18" t="n">
        <v>0</v>
      </c>
      <c r="K13466" s="19" t="n">
        <v>0</v>
      </c>
      <c r="L13466" s="17"/>
    </row>
    <row r="13467" s="11" customFormat="true" ht="10.95" hidden="false" customHeight="true" outlineLevel="0" collapsed="false">
      <c r="A13467" s="16" t="n">
        <v>45408</v>
      </c>
      <c r="B13467" s="17" t="s">
        <v>4548</v>
      </c>
      <c r="C13467" s="17" t="s">
        <v>3614</v>
      </c>
      <c r="D13467" s="17" t="s">
        <v>19</v>
      </c>
      <c r="E13467" s="17" t="s">
        <v>3532</v>
      </c>
      <c r="F13467" s="17" t="s">
        <v>641</v>
      </c>
      <c r="G13467" s="18" t="n">
        <v>0</v>
      </c>
      <c r="H13467" s="18" t="n">
        <v>1512</v>
      </c>
      <c r="I13467" s="18" t="n">
        <f aca="false">((I13466 + G13467) - H13467)</f>
        <v>775.010000000008</v>
      </c>
      <c r="J13467" s="18" t="n">
        <v>0</v>
      </c>
      <c r="K13467" s="19" t="n">
        <v>0</v>
      </c>
      <c r="L13467" s="17"/>
    </row>
    <row r="13468" s="11" customFormat="true" ht="10.95" hidden="false" customHeight="true" outlineLevel="0" collapsed="false">
      <c r="A13468" s="16" t="n">
        <v>45408</v>
      </c>
      <c r="B13468" s="17" t="s">
        <v>4548</v>
      </c>
      <c r="C13468" s="17" t="s">
        <v>3614</v>
      </c>
      <c r="D13468" s="17" t="s">
        <v>19</v>
      </c>
      <c r="E13468" s="17" t="s">
        <v>3451</v>
      </c>
      <c r="F13468" s="17" t="s">
        <v>643</v>
      </c>
      <c r="G13468" s="18" t="n">
        <v>0</v>
      </c>
      <c r="H13468" s="18" t="n">
        <v>116.2</v>
      </c>
      <c r="I13468" s="18" t="n">
        <f aca="false">((I13467 + G13468) - H13468)</f>
        <v>658.810000000007</v>
      </c>
      <c r="J13468" s="18" t="n">
        <v>0</v>
      </c>
      <c r="K13468" s="19" t="n">
        <v>0</v>
      </c>
      <c r="L13468" s="17"/>
    </row>
    <row r="13469" s="11" customFormat="true" ht="10.95" hidden="false" customHeight="true" outlineLevel="0" collapsed="false">
      <c r="A13469" s="16" t="n">
        <v>45408</v>
      </c>
      <c r="B13469" s="17" t="s">
        <v>4548</v>
      </c>
      <c r="C13469" s="17" t="s">
        <v>3614</v>
      </c>
      <c r="D13469" s="17" t="s">
        <v>19</v>
      </c>
      <c r="E13469" s="17" t="s">
        <v>3454</v>
      </c>
      <c r="F13469" s="17" t="s">
        <v>644</v>
      </c>
      <c r="G13469" s="18" t="n">
        <v>0</v>
      </c>
      <c r="H13469" s="18" t="n">
        <v>1789.37</v>
      </c>
      <c r="I13469" s="18" t="n">
        <f aca="false">((I13468 + G13469) - H13469)</f>
        <v>-1130.55999999999</v>
      </c>
      <c r="J13469" s="18" t="n">
        <v>0</v>
      </c>
      <c r="K13469" s="19" t="n">
        <v>0</v>
      </c>
      <c r="L13469" s="17"/>
    </row>
    <row r="13470" s="11" customFormat="true" ht="10.95" hidden="false" customHeight="true" outlineLevel="0" collapsed="false">
      <c r="A13470" s="16" t="n">
        <v>45411</v>
      </c>
      <c r="B13470" s="17" t="s">
        <v>4548</v>
      </c>
      <c r="C13470" s="17" t="s">
        <v>3614</v>
      </c>
      <c r="D13470" s="17" t="s">
        <v>19</v>
      </c>
      <c r="E13470" s="17" t="s">
        <v>3447</v>
      </c>
      <c r="F13470" s="17" t="s">
        <v>656</v>
      </c>
      <c r="G13470" s="18" t="n">
        <v>0</v>
      </c>
      <c r="H13470" s="18" t="n">
        <v>261</v>
      </c>
      <c r="I13470" s="18" t="n">
        <f aca="false">((I13469 + G13470) - H13470)</f>
        <v>-1391.55999999999</v>
      </c>
      <c r="J13470" s="18" t="n">
        <v>0</v>
      </c>
      <c r="K13470" s="19" t="n">
        <v>0</v>
      </c>
      <c r="L13470" s="17"/>
    </row>
    <row r="13471" s="11" customFormat="true" ht="10.95" hidden="false" customHeight="true" outlineLevel="0" collapsed="false">
      <c r="A13471" s="16" t="n">
        <v>45411</v>
      </c>
      <c r="B13471" s="17" t="s">
        <v>4548</v>
      </c>
      <c r="C13471" s="17" t="s">
        <v>3614</v>
      </c>
      <c r="D13471" s="17" t="s">
        <v>19</v>
      </c>
      <c r="E13471" s="17" t="s">
        <v>3514</v>
      </c>
      <c r="F13471" s="17" t="s">
        <v>658</v>
      </c>
      <c r="G13471" s="18" t="n">
        <v>0</v>
      </c>
      <c r="H13471" s="18" t="n">
        <v>54</v>
      </c>
      <c r="I13471" s="18" t="n">
        <f aca="false">((I13470 + G13471) - H13471)</f>
        <v>-1445.55999999999</v>
      </c>
      <c r="J13471" s="18" t="n">
        <v>0</v>
      </c>
      <c r="K13471" s="19" t="n">
        <v>0</v>
      </c>
      <c r="L13471" s="17"/>
    </row>
    <row r="13472" s="11" customFormat="true" ht="10.95" hidden="false" customHeight="true" outlineLevel="0" collapsed="false">
      <c r="A13472" s="16" t="n">
        <v>45412</v>
      </c>
      <c r="B13472" s="17" t="s">
        <v>4548</v>
      </c>
      <c r="C13472" s="17" t="s">
        <v>3614</v>
      </c>
      <c r="D13472" s="17" t="s">
        <v>1391</v>
      </c>
      <c r="E13472" s="17" t="s">
        <v>3647</v>
      </c>
      <c r="F13472" s="17" t="s">
        <v>1553</v>
      </c>
      <c r="G13472" s="18" t="n">
        <v>582.77</v>
      </c>
      <c r="H13472" s="18" t="n">
        <v>0</v>
      </c>
      <c r="I13472" s="18" t="n">
        <f aca="false">((I13471 + G13472) - H13472)</f>
        <v>-862.789999999993</v>
      </c>
      <c r="J13472" s="18" t="n">
        <v>0</v>
      </c>
      <c r="K13472" s="19" t="n">
        <v>0</v>
      </c>
      <c r="L13472" s="17"/>
    </row>
    <row r="13473" s="11" customFormat="true" ht="10.95" hidden="false" customHeight="true" outlineLevel="0" collapsed="false">
      <c r="A13473" s="16" t="n">
        <v>45412</v>
      </c>
      <c r="B13473" s="17" t="s">
        <v>4548</v>
      </c>
      <c r="C13473" s="17" t="s">
        <v>3614</v>
      </c>
      <c r="D13473" s="17" t="s">
        <v>1407</v>
      </c>
      <c r="E13473" s="17" t="s">
        <v>2747</v>
      </c>
      <c r="F13473" s="17"/>
      <c r="G13473" s="18" t="n">
        <v>0.45</v>
      </c>
      <c r="H13473" s="18" t="n">
        <v>0</v>
      </c>
      <c r="I13473" s="18" t="n">
        <f aca="false">((I13472 + G13473) - H13473)</f>
        <v>-862.339999999992</v>
      </c>
      <c r="J13473" s="18" t="n">
        <v>0</v>
      </c>
      <c r="K13473" s="19" t="n">
        <v>0</v>
      </c>
      <c r="L13473" s="17"/>
    </row>
    <row r="13474" s="11" customFormat="true" ht="10.95" hidden="false" customHeight="true" outlineLevel="0" collapsed="false">
      <c r="A13474" s="16" t="n">
        <v>45412</v>
      </c>
      <c r="B13474" s="17" t="s">
        <v>4548</v>
      </c>
      <c r="C13474" s="17" t="s">
        <v>3614</v>
      </c>
      <c r="D13474" s="17" t="s">
        <v>1407</v>
      </c>
      <c r="E13474" s="17" t="s">
        <v>2747</v>
      </c>
      <c r="F13474" s="17"/>
      <c r="G13474" s="18" t="n">
        <v>3.55</v>
      </c>
      <c r="H13474" s="18" t="n">
        <v>0</v>
      </c>
      <c r="I13474" s="18" t="n">
        <f aca="false">((I13473 + G13474) - H13474)</f>
        <v>-858.789999999993</v>
      </c>
      <c r="J13474" s="18" t="n">
        <v>0</v>
      </c>
      <c r="K13474" s="19" t="n">
        <v>0</v>
      </c>
      <c r="L13474" s="17"/>
    </row>
    <row r="13475" s="11" customFormat="true" ht="10.95" hidden="false" customHeight="true" outlineLevel="0" collapsed="false">
      <c r="A13475" s="16" t="n">
        <v>45412</v>
      </c>
      <c r="B13475" s="17" t="s">
        <v>4548</v>
      </c>
      <c r="C13475" s="17" t="s">
        <v>3614</v>
      </c>
      <c r="D13475" s="17" t="s">
        <v>1407</v>
      </c>
      <c r="E13475" s="17" t="s">
        <v>3967</v>
      </c>
      <c r="F13475" s="17"/>
      <c r="G13475" s="18" t="n">
        <v>4.36</v>
      </c>
      <c r="H13475" s="18" t="n">
        <v>0</v>
      </c>
      <c r="I13475" s="18" t="n">
        <f aca="false">((I13474 + G13475) - H13475)</f>
        <v>-854.429999999992</v>
      </c>
      <c r="J13475" s="18" t="n">
        <v>0</v>
      </c>
      <c r="K13475" s="19" t="n">
        <v>0</v>
      </c>
      <c r="L13475" s="17"/>
    </row>
    <row r="13476" s="11" customFormat="true" ht="10.95" hidden="false" customHeight="true" outlineLevel="0" collapsed="false">
      <c r="A13476" s="16" t="n">
        <v>45412</v>
      </c>
      <c r="B13476" s="17" t="s">
        <v>4548</v>
      </c>
      <c r="C13476" s="17" t="s">
        <v>3614</v>
      </c>
      <c r="D13476" s="17" t="s">
        <v>1407</v>
      </c>
      <c r="E13476" s="17" t="s">
        <v>3976</v>
      </c>
      <c r="F13476" s="17"/>
      <c r="G13476" s="18" t="n">
        <v>17.19</v>
      </c>
      <c r="H13476" s="18" t="n">
        <v>0</v>
      </c>
      <c r="I13476" s="18" t="n">
        <f aca="false">((I13475 + G13476) - H13476)</f>
        <v>-837.239999999992</v>
      </c>
      <c r="J13476" s="18" t="n">
        <v>0</v>
      </c>
      <c r="K13476" s="19" t="n">
        <v>0</v>
      </c>
      <c r="L13476" s="17"/>
    </row>
    <row r="13477" s="11" customFormat="true" ht="10.95" hidden="false" customHeight="true" outlineLevel="0" collapsed="false">
      <c r="A13477" s="16" t="n">
        <v>45413</v>
      </c>
      <c r="B13477" s="17" t="s">
        <v>4548</v>
      </c>
      <c r="C13477" s="17" t="s">
        <v>3614</v>
      </c>
      <c r="D13477" s="17" t="s">
        <v>1391</v>
      </c>
      <c r="E13477" s="17" t="s">
        <v>3615</v>
      </c>
      <c r="F13477" s="17" t="s">
        <v>1557</v>
      </c>
      <c r="G13477" s="18" t="n">
        <v>48.98</v>
      </c>
      <c r="H13477" s="18" t="n">
        <v>0</v>
      </c>
      <c r="I13477" s="18" t="n">
        <f aca="false">((I13476 + G13477) - H13477)</f>
        <v>-788.259999999992</v>
      </c>
      <c r="J13477" s="18" t="n">
        <v>0</v>
      </c>
      <c r="K13477" s="19" t="n">
        <v>0</v>
      </c>
      <c r="L13477" s="17"/>
    </row>
    <row r="13478" s="11" customFormat="true" ht="10.95" hidden="false" customHeight="true" outlineLevel="0" collapsed="false">
      <c r="A13478" s="16" t="n">
        <v>45413</v>
      </c>
      <c r="B13478" s="17" t="s">
        <v>4548</v>
      </c>
      <c r="C13478" s="17" t="s">
        <v>3614</v>
      </c>
      <c r="D13478" s="17" t="s">
        <v>1407</v>
      </c>
      <c r="E13478" s="17" t="s">
        <v>2747</v>
      </c>
      <c r="F13478" s="17"/>
      <c r="G13478" s="18" t="n">
        <v>0.45</v>
      </c>
      <c r="H13478" s="18" t="n">
        <v>0</v>
      </c>
      <c r="I13478" s="18" t="n">
        <f aca="false">((I13477 + G13478) - H13478)</f>
        <v>-787.809999999992</v>
      </c>
      <c r="J13478" s="18" t="n">
        <v>0</v>
      </c>
      <c r="K13478" s="19" t="n">
        <v>0</v>
      </c>
      <c r="L13478" s="17"/>
    </row>
    <row r="13479" s="11" customFormat="true" ht="10.95" hidden="false" customHeight="true" outlineLevel="0" collapsed="false">
      <c r="A13479" s="16" t="n">
        <v>45413</v>
      </c>
      <c r="B13479" s="17" t="s">
        <v>4548</v>
      </c>
      <c r="C13479" s="17" t="s">
        <v>3614</v>
      </c>
      <c r="D13479" s="17" t="s">
        <v>1407</v>
      </c>
      <c r="E13479" s="17" t="s">
        <v>3865</v>
      </c>
      <c r="F13479" s="17"/>
      <c r="G13479" s="18" t="n">
        <v>7.5</v>
      </c>
      <c r="H13479" s="18" t="n">
        <v>0</v>
      </c>
      <c r="I13479" s="18" t="n">
        <f aca="false">((I13478 + G13479) - H13479)</f>
        <v>-780.309999999992</v>
      </c>
      <c r="J13479" s="18" t="n">
        <v>0</v>
      </c>
      <c r="K13479" s="19" t="n">
        <v>0</v>
      </c>
      <c r="L13479" s="17"/>
    </row>
    <row r="13480" s="11" customFormat="true" ht="10.95" hidden="false" customHeight="true" outlineLevel="0" collapsed="false">
      <c r="A13480" s="16" t="n">
        <v>45413</v>
      </c>
      <c r="B13480" s="17" t="s">
        <v>4548</v>
      </c>
      <c r="C13480" s="17" t="s">
        <v>3614</v>
      </c>
      <c r="D13480" s="17" t="s">
        <v>1391</v>
      </c>
      <c r="E13480" s="17" t="s">
        <v>3621</v>
      </c>
      <c r="F13480" s="17" t="s">
        <v>2721</v>
      </c>
      <c r="G13480" s="18" t="n">
        <v>66.5</v>
      </c>
      <c r="H13480" s="18" t="n">
        <v>0</v>
      </c>
      <c r="I13480" s="18" t="n">
        <f aca="false">((I13479 + G13480) - H13480)</f>
        <v>-713.809999999992</v>
      </c>
      <c r="J13480" s="18" t="n">
        <v>0</v>
      </c>
      <c r="K13480" s="19" t="n">
        <v>0</v>
      </c>
      <c r="L13480" s="17"/>
    </row>
    <row r="13481" s="11" customFormat="true" ht="10.95" hidden="false" customHeight="true" outlineLevel="0" collapsed="false">
      <c r="A13481" s="16" t="n">
        <v>45414</v>
      </c>
      <c r="B13481" s="17" t="s">
        <v>4548</v>
      </c>
      <c r="C13481" s="17" t="s">
        <v>3614</v>
      </c>
      <c r="D13481" s="17" t="s">
        <v>1407</v>
      </c>
      <c r="E13481" s="17" t="s">
        <v>2747</v>
      </c>
      <c r="F13481" s="17"/>
      <c r="G13481" s="18" t="n">
        <v>0.45</v>
      </c>
      <c r="H13481" s="18" t="n">
        <v>0</v>
      </c>
      <c r="I13481" s="18" t="n">
        <f aca="false">((I13480 + G13481) - H13481)</f>
        <v>-713.359999999992</v>
      </c>
      <c r="J13481" s="18" t="n">
        <v>0</v>
      </c>
      <c r="K13481" s="19" t="n">
        <v>0</v>
      </c>
      <c r="L13481" s="17"/>
    </row>
    <row r="13482" s="11" customFormat="true" ht="10.95" hidden="false" customHeight="true" outlineLevel="0" collapsed="false">
      <c r="A13482" s="16" t="n">
        <v>45414</v>
      </c>
      <c r="B13482" s="17" t="s">
        <v>4548</v>
      </c>
      <c r="C13482" s="17" t="s">
        <v>3614</v>
      </c>
      <c r="D13482" s="17" t="s">
        <v>1391</v>
      </c>
      <c r="E13482" s="17" t="s">
        <v>3625</v>
      </c>
      <c r="F13482" s="17" t="s">
        <v>3320</v>
      </c>
      <c r="G13482" s="18" t="n">
        <v>15.41</v>
      </c>
      <c r="H13482" s="18" t="n">
        <v>0</v>
      </c>
      <c r="I13482" s="18" t="n">
        <f aca="false">((I13481 + G13482) - H13482)</f>
        <v>-697.949999999992</v>
      </c>
      <c r="J13482" s="18" t="n">
        <v>0</v>
      </c>
      <c r="K13482" s="19" t="n">
        <v>0</v>
      </c>
      <c r="L13482" s="17"/>
    </row>
    <row r="13483" s="11" customFormat="true" ht="10.95" hidden="false" customHeight="true" outlineLevel="0" collapsed="false">
      <c r="A13483" s="16" t="n">
        <v>45415</v>
      </c>
      <c r="B13483" s="17" t="s">
        <v>4548</v>
      </c>
      <c r="C13483" s="17" t="s">
        <v>3614</v>
      </c>
      <c r="D13483" s="17" t="s">
        <v>1407</v>
      </c>
      <c r="E13483" s="17" t="s">
        <v>3804</v>
      </c>
      <c r="F13483" s="17"/>
      <c r="G13483" s="18" t="n">
        <v>3.64</v>
      </c>
      <c r="H13483" s="18" t="n">
        <v>0</v>
      </c>
      <c r="I13483" s="18" t="n">
        <f aca="false">((I13482 + G13483) - H13483)</f>
        <v>-694.309999999992</v>
      </c>
      <c r="J13483" s="18" t="n">
        <v>0</v>
      </c>
      <c r="K13483" s="19" t="n">
        <v>0</v>
      </c>
      <c r="L13483" s="17"/>
    </row>
    <row r="13484" s="11" customFormat="true" ht="10.95" hidden="false" customHeight="true" outlineLevel="0" collapsed="false">
      <c r="A13484" s="16" t="n">
        <v>45415</v>
      </c>
      <c r="B13484" s="17" t="s">
        <v>4548</v>
      </c>
      <c r="C13484" s="17" t="s">
        <v>3614</v>
      </c>
      <c r="D13484" s="17" t="s">
        <v>1407</v>
      </c>
      <c r="E13484" s="17" t="s">
        <v>2747</v>
      </c>
      <c r="F13484" s="17"/>
      <c r="G13484" s="18" t="n">
        <v>0.45</v>
      </c>
      <c r="H13484" s="18" t="n">
        <v>0</v>
      </c>
      <c r="I13484" s="18" t="n">
        <f aca="false">((I13483 + G13484) - H13484)</f>
        <v>-693.859999999992</v>
      </c>
      <c r="J13484" s="18" t="n">
        <v>0</v>
      </c>
      <c r="K13484" s="19" t="n">
        <v>0</v>
      </c>
      <c r="L13484" s="17"/>
    </row>
    <row r="13485" s="11" customFormat="true" ht="10.95" hidden="false" customHeight="true" outlineLevel="0" collapsed="false">
      <c r="A13485" s="16" t="n">
        <v>45416</v>
      </c>
      <c r="B13485" s="17" t="s">
        <v>4548</v>
      </c>
      <c r="C13485" s="17" t="s">
        <v>3614</v>
      </c>
      <c r="D13485" s="17" t="s">
        <v>1407</v>
      </c>
      <c r="E13485" s="17" t="s">
        <v>2747</v>
      </c>
      <c r="F13485" s="17"/>
      <c r="G13485" s="18" t="n">
        <v>0.45</v>
      </c>
      <c r="H13485" s="18" t="n">
        <v>0</v>
      </c>
      <c r="I13485" s="18" t="n">
        <f aca="false">((I13484 + G13485) - H13485)</f>
        <v>-693.409999999992</v>
      </c>
      <c r="J13485" s="18" t="n">
        <v>0</v>
      </c>
      <c r="K13485" s="19" t="n">
        <v>0</v>
      </c>
      <c r="L13485" s="17"/>
    </row>
    <row r="13486" s="11" customFormat="true" ht="10.95" hidden="false" customHeight="true" outlineLevel="0" collapsed="false">
      <c r="A13486" s="16" t="n">
        <v>45416</v>
      </c>
      <c r="B13486" s="17" t="s">
        <v>4548</v>
      </c>
      <c r="C13486" s="17" t="s">
        <v>3614</v>
      </c>
      <c r="D13486" s="17" t="s">
        <v>1407</v>
      </c>
      <c r="E13486" s="17" t="s">
        <v>3642</v>
      </c>
      <c r="F13486" s="17"/>
      <c r="G13486" s="18" t="n">
        <v>13.92</v>
      </c>
      <c r="H13486" s="18" t="n">
        <v>0</v>
      </c>
      <c r="I13486" s="18" t="n">
        <f aca="false">((I13485 + G13486) - H13486)</f>
        <v>-679.489999999992</v>
      </c>
      <c r="J13486" s="18" t="n">
        <v>0</v>
      </c>
      <c r="K13486" s="19" t="n">
        <v>0</v>
      </c>
      <c r="L13486" s="17"/>
    </row>
    <row r="13487" s="11" customFormat="true" ht="10.95" hidden="false" customHeight="true" outlineLevel="0" collapsed="false">
      <c r="A13487" s="16" t="n">
        <v>45416</v>
      </c>
      <c r="B13487" s="17" t="s">
        <v>4548</v>
      </c>
      <c r="C13487" s="17" t="s">
        <v>3614</v>
      </c>
      <c r="D13487" s="17" t="s">
        <v>1391</v>
      </c>
      <c r="E13487" s="17" t="s">
        <v>3622</v>
      </c>
      <c r="F13487" s="17" t="s">
        <v>1561</v>
      </c>
      <c r="G13487" s="18" t="n">
        <v>210.58</v>
      </c>
      <c r="H13487" s="18" t="n">
        <v>0</v>
      </c>
      <c r="I13487" s="18" t="n">
        <f aca="false">((I13486 + G13487) - H13487)</f>
        <v>-468.909999999992</v>
      </c>
      <c r="J13487" s="18" t="n">
        <v>0</v>
      </c>
      <c r="K13487" s="19" t="n">
        <v>0</v>
      </c>
      <c r="L13487" s="17"/>
    </row>
    <row r="13488" s="11" customFormat="true" ht="10.95" hidden="false" customHeight="true" outlineLevel="0" collapsed="false">
      <c r="A13488" s="16" t="n">
        <v>45417</v>
      </c>
      <c r="B13488" s="17" t="s">
        <v>4548</v>
      </c>
      <c r="C13488" s="17" t="s">
        <v>3614</v>
      </c>
      <c r="D13488" s="17" t="s">
        <v>1407</v>
      </c>
      <c r="E13488" s="17" t="s">
        <v>4551</v>
      </c>
      <c r="F13488" s="17" t="s">
        <v>4414</v>
      </c>
      <c r="G13488" s="18" t="n">
        <v>2353</v>
      </c>
      <c r="H13488" s="18" t="n">
        <v>0</v>
      </c>
      <c r="I13488" s="18" t="n">
        <f aca="false">((I13487 + G13488) - H13488)</f>
        <v>1884.09000000001</v>
      </c>
      <c r="J13488" s="18" t="n">
        <v>0</v>
      </c>
      <c r="K13488" s="19" t="n">
        <v>0</v>
      </c>
      <c r="L13488" s="17" t="s">
        <v>1399</v>
      </c>
    </row>
    <row r="13489" s="11" customFormat="true" ht="10.95" hidden="false" customHeight="true" outlineLevel="0" collapsed="false">
      <c r="A13489" s="16" t="n">
        <v>45418</v>
      </c>
      <c r="B13489" s="17" t="s">
        <v>4548</v>
      </c>
      <c r="C13489" s="17" t="s">
        <v>3614</v>
      </c>
      <c r="D13489" s="17" t="s">
        <v>1407</v>
      </c>
      <c r="E13489" s="17" t="s">
        <v>3888</v>
      </c>
      <c r="F13489" s="17"/>
      <c r="G13489" s="18" t="n">
        <v>249.36</v>
      </c>
      <c r="H13489" s="18" t="n">
        <v>0</v>
      </c>
      <c r="I13489" s="18" t="n">
        <f aca="false">((I13488 + G13489) - H13489)</f>
        <v>2133.45000000001</v>
      </c>
      <c r="J13489" s="18" t="n">
        <v>0</v>
      </c>
      <c r="K13489" s="19" t="n">
        <v>0</v>
      </c>
      <c r="L13489" s="17"/>
    </row>
    <row r="13490" s="11" customFormat="true" ht="10.95" hidden="false" customHeight="true" outlineLevel="0" collapsed="false">
      <c r="A13490" s="16" t="n">
        <v>45419</v>
      </c>
      <c r="B13490" s="17" t="s">
        <v>4548</v>
      </c>
      <c r="C13490" s="17" t="s">
        <v>3614</v>
      </c>
      <c r="D13490" s="17" t="s">
        <v>1391</v>
      </c>
      <c r="E13490" s="17" t="s">
        <v>3615</v>
      </c>
      <c r="F13490" s="17" t="s">
        <v>1563</v>
      </c>
      <c r="G13490" s="18" t="n">
        <v>231.04</v>
      </c>
      <c r="H13490" s="18" t="n">
        <v>0</v>
      </c>
      <c r="I13490" s="18" t="n">
        <f aca="false">((I13489 + G13490) - H13490)</f>
        <v>2364.49000000001</v>
      </c>
      <c r="J13490" s="18" t="n">
        <v>0</v>
      </c>
      <c r="K13490" s="19" t="n">
        <v>0</v>
      </c>
      <c r="L13490" s="17"/>
    </row>
    <row r="13491" s="11" customFormat="true" ht="10.95" hidden="false" customHeight="true" outlineLevel="0" collapsed="false">
      <c r="A13491" s="16" t="n">
        <v>45419</v>
      </c>
      <c r="B13491" s="17" t="s">
        <v>4548</v>
      </c>
      <c r="C13491" s="17" t="s">
        <v>3614</v>
      </c>
      <c r="D13491" s="17" t="s">
        <v>1391</v>
      </c>
      <c r="E13491" s="17" t="s">
        <v>3615</v>
      </c>
      <c r="F13491" s="17" t="s">
        <v>1565</v>
      </c>
      <c r="G13491" s="18" t="n">
        <v>2472.04</v>
      </c>
      <c r="H13491" s="18" t="n">
        <v>0</v>
      </c>
      <c r="I13491" s="18" t="n">
        <f aca="false">((I13490 + G13491) - H13491)</f>
        <v>4836.53000000001</v>
      </c>
      <c r="J13491" s="18" t="n">
        <v>0</v>
      </c>
      <c r="K13491" s="19" t="n">
        <v>0</v>
      </c>
      <c r="L13491" s="17"/>
    </row>
    <row r="13492" s="11" customFormat="true" ht="10.95" hidden="false" customHeight="true" outlineLevel="0" collapsed="false">
      <c r="A13492" s="16" t="n">
        <v>45419</v>
      </c>
      <c r="B13492" s="17" t="s">
        <v>4548</v>
      </c>
      <c r="C13492" s="17" t="s">
        <v>3614</v>
      </c>
      <c r="D13492" s="17" t="s">
        <v>1407</v>
      </c>
      <c r="E13492" s="17" t="s">
        <v>3626</v>
      </c>
      <c r="F13492" s="17"/>
      <c r="G13492" s="18" t="n">
        <v>6.5</v>
      </c>
      <c r="H13492" s="18" t="n">
        <v>0</v>
      </c>
      <c r="I13492" s="18" t="n">
        <f aca="false">((I13491 + G13492) - H13492)</f>
        <v>4843.03000000001</v>
      </c>
      <c r="J13492" s="18" t="n">
        <v>0</v>
      </c>
      <c r="K13492" s="19" t="n">
        <v>0</v>
      </c>
      <c r="L13492" s="17"/>
    </row>
    <row r="13493" s="11" customFormat="true" ht="10.95" hidden="false" customHeight="true" outlineLevel="0" collapsed="false">
      <c r="A13493" s="16" t="n">
        <v>45419</v>
      </c>
      <c r="B13493" s="17" t="s">
        <v>4548</v>
      </c>
      <c r="C13493" s="17" t="s">
        <v>3614</v>
      </c>
      <c r="D13493" s="17" t="s">
        <v>1407</v>
      </c>
      <c r="E13493" s="17" t="s">
        <v>3642</v>
      </c>
      <c r="F13493" s="17"/>
      <c r="G13493" s="18" t="n">
        <v>1.2</v>
      </c>
      <c r="H13493" s="18" t="n">
        <v>0</v>
      </c>
      <c r="I13493" s="18" t="n">
        <f aca="false">((I13492 + G13493) - H13493)</f>
        <v>4844.23000000001</v>
      </c>
      <c r="J13493" s="18" t="n">
        <v>0</v>
      </c>
      <c r="K13493" s="19" t="n">
        <v>0</v>
      </c>
      <c r="L13493" s="17"/>
    </row>
    <row r="13494" s="11" customFormat="true" ht="10.95" hidden="false" customHeight="true" outlineLevel="0" collapsed="false">
      <c r="A13494" s="16" t="n">
        <v>45419</v>
      </c>
      <c r="B13494" s="17" t="s">
        <v>4548</v>
      </c>
      <c r="C13494" s="17" t="s">
        <v>3614</v>
      </c>
      <c r="D13494" s="17" t="s">
        <v>1407</v>
      </c>
      <c r="E13494" s="17" t="s">
        <v>3642</v>
      </c>
      <c r="F13494" s="17"/>
      <c r="G13494" s="18" t="n">
        <v>1.87</v>
      </c>
      <c r="H13494" s="18" t="n">
        <v>0</v>
      </c>
      <c r="I13494" s="18" t="n">
        <f aca="false">((I13493 + G13494) - H13494)</f>
        <v>4846.10000000001</v>
      </c>
      <c r="J13494" s="18" t="n">
        <v>0</v>
      </c>
      <c r="K13494" s="19" t="n">
        <v>0</v>
      </c>
      <c r="L13494" s="17"/>
    </row>
    <row r="13495" s="11" customFormat="true" ht="10.95" hidden="false" customHeight="true" outlineLevel="0" collapsed="false">
      <c r="A13495" s="16" t="n">
        <v>45419</v>
      </c>
      <c r="B13495" s="17" t="s">
        <v>4548</v>
      </c>
      <c r="C13495" s="17" t="s">
        <v>3614</v>
      </c>
      <c r="D13495" s="17" t="s">
        <v>1407</v>
      </c>
      <c r="E13495" s="17" t="s">
        <v>3756</v>
      </c>
      <c r="F13495" s="17"/>
      <c r="G13495" s="18" t="n">
        <v>1.5</v>
      </c>
      <c r="H13495" s="18" t="n">
        <v>0</v>
      </c>
      <c r="I13495" s="18" t="n">
        <f aca="false">((I13494 + G13495) - H13495)</f>
        <v>4847.60000000001</v>
      </c>
      <c r="J13495" s="18" t="n">
        <v>0</v>
      </c>
      <c r="K13495" s="19" t="n">
        <v>0</v>
      </c>
      <c r="L13495" s="17"/>
    </row>
    <row r="13496" s="11" customFormat="true" ht="10.95" hidden="false" customHeight="true" outlineLevel="0" collapsed="false">
      <c r="A13496" s="16" t="n">
        <v>45420</v>
      </c>
      <c r="B13496" s="17" t="s">
        <v>4548</v>
      </c>
      <c r="C13496" s="17" t="s">
        <v>3614</v>
      </c>
      <c r="D13496" s="17" t="s">
        <v>1391</v>
      </c>
      <c r="E13496" s="17" t="s">
        <v>3621</v>
      </c>
      <c r="F13496" s="17" t="s">
        <v>2725</v>
      </c>
      <c r="G13496" s="18" t="n">
        <v>9.54</v>
      </c>
      <c r="H13496" s="18" t="n">
        <v>0</v>
      </c>
      <c r="I13496" s="18" t="n">
        <f aca="false">((I13495 + G13496) - H13496)</f>
        <v>4857.14000000001</v>
      </c>
      <c r="J13496" s="18" t="n">
        <v>0</v>
      </c>
      <c r="K13496" s="19" t="n">
        <v>0</v>
      </c>
      <c r="L13496" s="17"/>
    </row>
    <row r="13497" s="11" customFormat="true" ht="10.95" hidden="false" customHeight="true" outlineLevel="0" collapsed="false">
      <c r="A13497" s="16" t="n">
        <v>45420</v>
      </c>
      <c r="B13497" s="17" t="s">
        <v>4548</v>
      </c>
      <c r="C13497" s="17" t="s">
        <v>3614</v>
      </c>
      <c r="D13497" s="17" t="s">
        <v>1391</v>
      </c>
      <c r="E13497" s="17" t="s">
        <v>3638</v>
      </c>
      <c r="F13497" s="17" t="s">
        <v>3322</v>
      </c>
      <c r="G13497" s="18" t="n">
        <v>52.96</v>
      </c>
      <c r="H13497" s="18" t="n">
        <v>0</v>
      </c>
      <c r="I13497" s="18" t="n">
        <f aca="false">((I13496 + G13497) - H13497)</f>
        <v>4910.10000000001</v>
      </c>
      <c r="J13497" s="18" t="n">
        <v>0</v>
      </c>
      <c r="K13497" s="19" t="n">
        <v>0</v>
      </c>
      <c r="L13497" s="17"/>
    </row>
    <row r="13498" s="11" customFormat="true" ht="10.95" hidden="false" customHeight="true" outlineLevel="0" collapsed="false">
      <c r="A13498" s="16" t="n">
        <v>45421</v>
      </c>
      <c r="B13498" s="17" t="s">
        <v>4548</v>
      </c>
      <c r="C13498" s="17" t="s">
        <v>3614</v>
      </c>
      <c r="D13498" s="17" t="s">
        <v>1391</v>
      </c>
      <c r="E13498" s="17" t="s">
        <v>3638</v>
      </c>
      <c r="F13498" s="17" t="s">
        <v>3324</v>
      </c>
      <c r="G13498" s="18" t="n">
        <v>278.5</v>
      </c>
      <c r="H13498" s="18" t="n">
        <v>0</v>
      </c>
      <c r="I13498" s="18" t="n">
        <f aca="false">((I13497 + G13498) - H13498)</f>
        <v>5188.60000000001</v>
      </c>
      <c r="J13498" s="18" t="n">
        <v>0</v>
      </c>
      <c r="K13498" s="19" t="n">
        <v>0</v>
      </c>
      <c r="L13498" s="17"/>
    </row>
    <row r="13499" s="11" customFormat="true" ht="10.95" hidden="false" customHeight="true" outlineLevel="0" collapsed="false">
      <c r="A13499" s="16" t="n">
        <v>45422</v>
      </c>
      <c r="B13499" s="17" t="s">
        <v>4548</v>
      </c>
      <c r="C13499" s="17" t="s">
        <v>3614</v>
      </c>
      <c r="D13499" s="17" t="s">
        <v>1407</v>
      </c>
      <c r="E13499" s="17" t="s">
        <v>3896</v>
      </c>
      <c r="F13499" s="17"/>
      <c r="G13499" s="18" t="n">
        <v>1.91</v>
      </c>
      <c r="H13499" s="18" t="n">
        <v>0</v>
      </c>
      <c r="I13499" s="18" t="n">
        <f aca="false">((I13498 + G13499) - H13499)</f>
        <v>5190.51000000001</v>
      </c>
      <c r="J13499" s="18" t="n">
        <v>0</v>
      </c>
      <c r="K13499" s="19" t="n">
        <v>0</v>
      </c>
      <c r="L13499" s="17"/>
    </row>
    <row r="13500" s="11" customFormat="true" ht="10.95" hidden="false" customHeight="true" outlineLevel="0" collapsed="false">
      <c r="A13500" s="16" t="n">
        <v>45425</v>
      </c>
      <c r="B13500" s="17" t="s">
        <v>4548</v>
      </c>
      <c r="C13500" s="17" t="s">
        <v>3614</v>
      </c>
      <c r="D13500" s="17" t="s">
        <v>1391</v>
      </c>
      <c r="E13500" s="17" t="s">
        <v>3728</v>
      </c>
      <c r="F13500" s="17" t="s">
        <v>2727</v>
      </c>
      <c r="G13500" s="18" t="n">
        <v>28.9</v>
      </c>
      <c r="H13500" s="18" t="n">
        <v>0</v>
      </c>
      <c r="I13500" s="18" t="n">
        <f aca="false">((I13499 + G13500) - H13500)</f>
        <v>5219.41000000001</v>
      </c>
      <c r="J13500" s="18" t="n">
        <v>0</v>
      </c>
      <c r="K13500" s="19" t="n">
        <v>0</v>
      </c>
      <c r="L13500" s="17"/>
    </row>
    <row r="13501" s="11" customFormat="true" ht="10.95" hidden="false" customHeight="true" outlineLevel="0" collapsed="false">
      <c r="A13501" s="16" t="n">
        <v>45425</v>
      </c>
      <c r="B13501" s="17" t="s">
        <v>4548</v>
      </c>
      <c r="C13501" s="17" t="s">
        <v>3614</v>
      </c>
      <c r="D13501" s="17" t="s">
        <v>1391</v>
      </c>
      <c r="E13501" s="17" t="s">
        <v>3728</v>
      </c>
      <c r="F13501" s="17" t="s">
        <v>2729</v>
      </c>
      <c r="G13501" s="18" t="n">
        <v>43.8</v>
      </c>
      <c r="H13501" s="18" t="n">
        <v>0</v>
      </c>
      <c r="I13501" s="18" t="n">
        <f aca="false">((I13500 + G13501) - H13501)</f>
        <v>5263.21000000001</v>
      </c>
      <c r="J13501" s="18" t="n">
        <v>0</v>
      </c>
      <c r="K13501" s="19" t="n">
        <v>0</v>
      </c>
      <c r="L13501" s="17"/>
    </row>
    <row r="13502" s="11" customFormat="true" ht="10.95" hidden="false" customHeight="true" outlineLevel="0" collapsed="false">
      <c r="A13502" s="16" t="n">
        <v>45425</v>
      </c>
      <c r="B13502" s="17" t="s">
        <v>4548</v>
      </c>
      <c r="C13502" s="17" t="s">
        <v>3614</v>
      </c>
      <c r="D13502" s="17" t="s">
        <v>1391</v>
      </c>
      <c r="E13502" s="17" t="s">
        <v>3728</v>
      </c>
      <c r="F13502" s="17" t="s">
        <v>2730</v>
      </c>
      <c r="G13502" s="18" t="n">
        <v>28.9</v>
      </c>
      <c r="H13502" s="18" t="n">
        <v>0</v>
      </c>
      <c r="I13502" s="18" t="n">
        <f aca="false">((I13501 + G13502) - H13502)</f>
        <v>5292.11000000001</v>
      </c>
      <c r="J13502" s="18" t="n">
        <v>0</v>
      </c>
      <c r="K13502" s="19" t="n">
        <v>0</v>
      </c>
      <c r="L13502" s="17"/>
    </row>
    <row r="13503" s="11" customFormat="true" ht="10.95" hidden="false" customHeight="true" outlineLevel="0" collapsed="false">
      <c r="A13503" s="16" t="n">
        <v>45425</v>
      </c>
      <c r="B13503" s="17" t="s">
        <v>4548</v>
      </c>
      <c r="C13503" s="17" t="s">
        <v>3614</v>
      </c>
      <c r="D13503" s="17" t="s">
        <v>1391</v>
      </c>
      <c r="E13503" s="17" t="s">
        <v>3729</v>
      </c>
      <c r="F13503" s="17" t="s">
        <v>1610</v>
      </c>
      <c r="G13503" s="18" t="n">
        <v>297.71</v>
      </c>
      <c r="H13503" s="18" t="n">
        <v>0</v>
      </c>
      <c r="I13503" s="18" t="n">
        <f aca="false">((I13502 + G13503) - H13503)</f>
        <v>5589.82000000001</v>
      </c>
      <c r="J13503" s="18" t="n">
        <v>0</v>
      </c>
      <c r="K13503" s="19" t="n">
        <v>0</v>
      </c>
      <c r="L13503" s="17"/>
    </row>
    <row r="13504" s="11" customFormat="true" ht="10.95" hidden="false" customHeight="true" outlineLevel="0" collapsed="false">
      <c r="A13504" s="16" t="n">
        <v>45426</v>
      </c>
      <c r="B13504" s="17" t="s">
        <v>4548</v>
      </c>
      <c r="C13504" s="17" t="s">
        <v>3614</v>
      </c>
      <c r="D13504" s="17" t="s">
        <v>1391</v>
      </c>
      <c r="E13504" s="17" t="s">
        <v>3641</v>
      </c>
      <c r="F13504" s="17" t="s">
        <v>2732</v>
      </c>
      <c r="G13504" s="18" t="n">
        <v>19.5</v>
      </c>
      <c r="H13504" s="18" t="n">
        <v>0</v>
      </c>
      <c r="I13504" s="18" t="n">
        <f aca="false">((I13503 + G13504) - H13504)</f>
        <v>5609.32000000001</v>
      </c>
      <c r="J13504" s="18" t="n">
        <v>0</v>
      </c>
      <c r="K13504" s="19" t="n">
        <v>0</v>
      </c>
      <c r="L13504" s="17"/>
    </row>
    <row r="13505" s="11" customFormat="true" ht="10.95" hidden="false" customHeight="true" outlineLevel="0" collapsed="false">
      <c r="A13505" s="16" t="n">
        <v>45426</v>
      </c>
      <c r="B13505" s="17" t="s">
        <v>4548</v>
      </c>
      <c r="C13505" s="17" t="s">
        <v>3614</v>
      </c>
      <c r="D13505" s="17" t="s">
        <v>1407</v>
      </c>
      <c r="E13505" s="17" t="s">
        <v>4386</v>
      </c>
      <c r="F13505" s="17"/>
      <c r="G13505" s="18" t="n">
        <v>3.64</v>
      </c>
      <c r="H13505" s="18" t="n">
        <v>0</v>
      </c>
      <c r="I13505" s="18" t="n">
        <f aca="false">((I13504 + G13505) - H13505)</f>
        <v>5612.96000000001</v>
      </c>
      <c r="J13505" s="18" t="n">
        <v>0</v>
      </c>
      <c r="K13505" s="19" t="n">
        <v>0</v>
      </c>
      <c r="L13505" s="17"/>
    </row>
    <row r="13506" s="11" customFormat="true" ht="10.95" hidden="false" customHeight="true" outlineLevel="0" collapsed="false">
      <c r="A13506" s="16" t="n">
        <v>45430</v>
      </c>
      <c r="B13506" s="17" t="s">
        <v>4548</v>
      </c>
      <c r="C13506" s="17" t="s">
        <v>3614</v>
      </c>
      <c r="D13506" s="17" t="s">
        <v>1391</v>
      </c>
      <c r="E13506" s="17" t="s">
        <v>3642</v>
      </c>
      <c r="F13506" s="17" t="s">
        <v>2565</v>
      </c>
      <c r="G13506" s="18" t="n">
        <v>2.24</v>
      </c>
      <c r="H13506" s="18" t="n">
        <v>0</v>
      </c>
      <c r="I13506" s="18" t="n">
        <f aca="false">((I13505 + G13506) - H13506)</f>
        <v>5615.20000000001</v>
      </c>
      <c r="J13506" s="18" t="n">
        <v>0</v>
      </c>
      <c r="K13506" s="19" t="n">
        <v>0</v>
      </c>
      <c r="L13506" s="17"/>
    </row>
    <row r="13507" s="11" customFormat="true" ht="10.95" hidden="false" customHeight="true" outlineLevel="0" collapsed="false">
      <c r="A13507" s="16" t="n">
        <v>45430</v>
      </c>
      <c r="B13507" s="17" t="s">
        <v>4548</v>
      </c>
      <c r="C13507" s="17" t="s">
        <v>3614</v>
      </c>
      <c r="D13507" s="17" t="s">
        <v>1391</v>
      </c>
      <c r="E13507" s="17" t="s">
        <v>3642</v>
      </c>
      <c r="F13507" s="17" t="s">
        <v>2567</v>
      </c>
      <c r="G13507" s="18" t="n">
        <v>6.2</v>
      </c>
      <c r="H13507" s="18" t="n">
        <v>0</v>
      </c>
      <c r="I13507" s="18" t="n">
        <f aca="false">((I13506 + G13507) - H13507)</f>
        <v>5621.40000000001</v>
      </c>
      <c r="J13507" s="18" t="n">
        <v>0</v>
      </c>
      <c r="K13507" s="19" t="n">
        <v>0</v>
      </c>
      <c r="L13507" s="17"/>
    </row>
    <row r="13508" s="11" customFormat="true" ht="10.95" hidden="false" customHeight="true" outlineLevel="0" collapsed="false">
      <c r="A13508" s="16" t="n">
        <v>45430</v>
      </c>
      <c r="B13508" s="17" t="s">
        <v>4548</v>
      </c>
      <c r="C13508" s="17" t="s">
        <v>3614</v>
      </c>
      <c r="D13508" s="17" t="s">
        <v>1391</v>
      </c>
      <c r="E13508" s="17" t="s">
        <v>3642</v>
      </c>
      <c r="F13508" s="17" t="s">
        <v>2569</v>
      </c>
      <c r="G13508" s="18" t="n">
        <v>19.98</v>
      </c>
      <c r="H13508" s="18" t="n">
        <v>0</v>
      </c>
      <c r="I13508" s="18" t="n">
        <f aca="false">((I13507 + G13508) - H13508)</f>
        <v>5641.38000000001</v>
      </c>
      <c r="J13508" s="18" t="n">
        <v>0</v>
      </c>
      <c r="K13508" s="19" t="n">
        <v>0</v>
      </c>
      <c r="L13508" s="17"/>
    </row>
    <row r="13509" s="11" customFormat="true" ht="10.95" hidden="false" customHeight="true" outlineLevel="0" collapsed="false">
      <c r="A13509" s="16" t="n">
        <v>45430</v>
      </c>
      <c r="B13509" s="17" t="s">
        <v>4548</v>
      </c>
      <c r="C13509" s="17" t="s">
        <v>3614</v>
      </c>
      <c r="D13509" s="17" t="s">
        <v>1391</v>
      </c>
      <c r="E13509" s="17" t="s">
        <v>3642</v>
      </c>
      <c r="F13509" s="17" t="s">
        <v>2571</v>
      </c>
      <c r="G13509" s="18" t="n">
        <v>0.6</v>
      </c>
      <c r="H13509" s="18" t="n">
        <v>0</v>
      </c>
      <c r="I13509" s="18" t="n">
        <f aca="false">((I13508 + G13509) - H13509)</f>
        <v>5641.98000000001</v>
      </c>
      <c r="J13509" s="18" t="n">
        <v>0</v>
      </c>
      <c r="K13509" s="19" t="n">
        <v>0</v>
      </c>
      <c r="L13509" s="17"/>
    </row>
    <row r="13510" s="11" customFormat="true" ht="10.95" hidden="false" customHeight="true" outlineLevel="0" collapsed="false">
      <c r="A13510" s="16" t="n">
        <v>45430</v>
      </c>
      <c r="B13510" s="17" t="s">
        <v>4548</v>
      </c>
      <c r="C13510" s="17" t="s">
        <v>3614</v>
      </c>
      <c r="D13510" s="17" t="s">
        <v>1407</v>
      </c>
      <c r="E13510" s="17" t="s">
        <v>3900</v>
      </c>
      <c r="F13510" s="17"/>
      <c r="G13510" s="18" t="n">
        <v>1.54</v>
      </c>
      <c r="H13510" s="18" t="n">
        <v>0</v>
      </c>
      <c r="I13510" s="18" t="n">
        <f aca="false">((I13509 + G13510) - H13510)</f>
        <v>5643.52000000001</v>
      </c>
      <c r="J13510" s="18" t="n">
        <v>0</v>
      </c>
      <c r="K13510" s="19" t="n">
        <v>0</v>
      </c>
      <c r="L13510" s="17"/>
    </row>
    <row r="13511" s="11" customFormat="true" ht="10.95" hidden="false" customHeight="true" outlineLevel="0" collapsed="false">
      <c r="A13511" s="16" t="n">
        <v>45430</v>
      </c>
      <c r="B13511" s="17" t="s">
        <v>4548</v>
      </c>
      <c r="C13511" s="17" t="s">
        <v>3614</v>
      </c>
      <c r="D13511" s="17" t="s">
        <v>1407</v>
      </c>
      <c r="E13511" s="17" t="s">
        <v>3901</v>
      </c>
      <c r="F13511" s="17"/>
      <c r="G13511" s="18" t="n">
        <v>7.45</v>
      </c>
      <c r="H13511" s="18" t="n">
        <v>0</v>
      </c>
      <c r="I13511" s="18" t="n">
        <f aca="false">((I13510 + G13511) - H13511)</f>
        <v>5650.97000000001</v>
      </c>
      <c r="J13511" s="18" t="n">
        <v>0</v>
      </c>
      <c r="K13511" s="19" t="n">
        <v>0</v>
      </c>
      <c r="L13511" s="17"/>
    </row>
    <row r="13512" s="11" customFormat="true" ht="10.95" hidden="false" customHeight="true" outlineLevel="0" collapsed="false">
      <c r="A13512" s="16" t="n">
        <v>45430</v>
      </c>
      <c r="B13512" s="17" t="s">
        <v>4548</v>
      </c>
      <c r="C13512" s="17" t="s">
        <v>3614</v>
      </c>
      <c r="D13512" s="17" t="s">
        <v>1407</v>
      </c>
      <c r="E13512" s="17" t="s">
        <v>3902</v>
      </c>
      <c r="F13512" s="17"/>
      <c r="G13512" s="18" t="n">
        <v>24.77</v>
      </c>
      <c r="H13512" s="18" t="n">
        <v>0</v>
      </c>
      <c r="I13512" s="18" t="n">
        <f aca="false">((I13511 + G13512) - H13512)</f>
        <v>5675.74000000001</v>
      </c>
      <c r="J13512" s="18" t="n">
        <v>0</v>
      </c>
      <c r="K13512" s="19" t="n">
        <v>0</v>
      </c>
      <c r="L13512" s="17"/>
    </row>
    <row r="13513" s="11" customFormat="true" ht="10.95" hidden="false" customHeight="true" outlineLevel="0" collapsed="false">
      <c r="A13513" s="16" t="n">
        <v>45433</v>
      </c>
      <c r="B13513" s="17" t="s">
        <v>4548</v>
      </c>
      <c r="C13513" s="17" t="s">
        <v>3614</v>
      </c>
      <c r="D13513" s="17" t="s">
        <v>1407</v>
      </c>
      <c r="E13513" s="17" t="s">
        <v>3804</v>
      </c>
      <c r="F13513" s="17"/>
      <c r="G13513" s="18" t="n">
        <v>9.09</v>
      </c>
      <c r="H13513" s="18" t="n">
        <v>0</v>
      </c>
      <c r="I13513" s="18" t="n">
        <f aca="false">((I13512 + G13513) - H13513)</f>
        <v>5684.83000000001</v>
      </c>
      <c r="J13513" s="18" t="n">
        <v>0</v>
      </c>
      <c r="K13513" s="19" t="n">
        <v>0</v>
      </c>
      <c r="L13513" s="17"/>
    </row>
    <row r="13514" s="11" customFormat="true" ht="10.95" hidden="false" customHeight="true" outlineLevel="0" collapsed="false">
      <c r="A13514" s="16" t="n">
        <v>45434</v>
      </c>
      <c r="B13514" s="17" t="s">
        <v>4548</v>
      </c>
      <c r="C13514" s="17" t="s">
        <v>3614</v>
      </c>
      <c r="D13514" s="17" t="s">
        <v>1391</v>
      </c>
      <c r="E13514" s="17" t="s">
        <v>3638</v>
      </c>
      <c r="F13514" s="17" t="s">
        <v>3326</v>
      </c>
      <c r="G13514" s="18" t="n">
        <v>353.1</v>
      </c>
      <c r="H13514" s="18" t="n">
        <v>0</v>
      </c>
      <c r="I13514" s="18" t="n">
        <f aca="false">((I13513 + G13514) - H13514)</f>
        <v>6037.93000000001</v>
      </c>
      <c r="J13514" s="18" t="n">
        <v>0</v>
      </c>
      <c r="K13514" s="19" t="n">
        <v>0</v>
      </c>
      <c r="L13514" s="17"/>
    </row>
    <row r="13515" s="11" customFormat="true" ht="10.95" hidden="false" customHeight="true" outlineLevel="0" collapsed="false">
      <c r="A13515" s="16" t="n">
        <v>45434</v>
      </c>
      <c r="B13515" s="17" t="s">
        <v>4548</v>
      </c>
      <c r="C13515" s="17" t="s">
        <v>3614</v>
      </c>
      <c r="D13515" s="17" t="s">
        <v>1407</v>
      </c>
      <c r="E13515" s="17" t="s">
        <v>4442</v>
      </c>
      <c r="F13515" s="17"/>
      <c r="G13515" s="18" t="n">
        <v>32.07</v>
      </c>
      <c r="H13515" s="18" t="n">
        <v>0</v>
      </c>
      <c r="I13515" s="18" t="n">
        <f aca="false">((I13514 + G13515) - H13515)</f>
        <v>6070.00000000001</v>
      </c>
      <c r="J13515" s="18" t="n">
        <v>0</v>
      </c>
      <c r="K13515" s="19" t="n">
        <v>0</v>
      </c>
      <c r="L13515" s="17"/>
    </row>
    <row r="13516" s="11" customFormat="true" ht="10.95" hidden="false" customHeight="true" outlineLevel="0" collapsed="false">
      <c r="A13516" s="16" t="n">
        <v>45434</v>
      </c>
      <c r="B13516" s="17" t="s">
        <v>4548</v>
      </c>
      <c r="C13516" s="17" t="s">
        <v>3614</v>
      </c>
      <c r="D13516" s="17" t="s">
        <v>1391</v>
      </c>
      <c r="E13516" s="17" t="s">
        <v>3647</v>
      </c>
      <c r="F13516" s="17" t="s">
        <v>2573</v>
      </c>
      <c r="G13516" s="18" t="n">
        <v>7.17</v>
      </c>
      <c r="H13516" s="18" t="n">
        <v>0</v>
      </c>
      <c r="I13516" s="18" t="n">
        <f aca="false">((I13515 + G13516) - H13516)</f>
        <v>6077.17000000001</v>
      </c>
      <c r="J13516" s="18" t="n">
        <v>0</v>
      </c>
      <c r="K13516" s="19" t="n">
        <v>0</v>
      </c>
      <c r="L13516" s="17"/>
    </row>
    <row r="13517" s="11" customFormat="true" ht="10.95" hidden="false" customHeight="true" outlineLevel="0" collapsed="false">
      <c r="A13517" s="16" t="n">
        <v>45435</v>
      </c>
      <c r="B13517" s="17" t="s">
        <v>4548</v>
      </c>
      <c r="C13517" s="17" t="s">
        <v>3614</v>
      </c>
      <c r="D13517" s="17" t="s">
        <v>19</v>
      </c>
      <c r="E13517" s="17" t="s">
        <v>3536</v>
      </c>
      <c r="F13517" s="17" t="s">
        <v>660</v>
      </c>
      <c r="G13517" s="18" t="n">
        <v>0</v>
      </c>
      <c r="H13517" s="18" t="n">
        <v>314</v>
      </c>
      <c r="I13517" s="18" t="n">
        <f aca="false">((I13516 + G13517) - H13517)</f>
        <v>5763.17000000001</v>
      </c>
      <c r="J13517" s="18" t="n">
        <v>0</v>
      </c>
      <c r="K13517" s="19" t="n">
        <v>0</v>
      </c>
      <c r="L13517" s="17"/>
    </row>
    <row r="13518" s="11" customFormat="true" ht="10.95" hidden="false" customHeight="true" outlineLevel="0" collapsed="false">
      <c r="A13518" s="16" t="n">
        <v>45435</v>
      </c>
      <c r="B13518" s="17" t="s">
        <v>4548</v>
      </c>
      <c r="C13518" s="17" t="s">
        <v>3614</v>
      </c>
      <c r="D13518" s="17" t="s">
        <v>19</v>
      </c>
      <c r="E13518" s="17" t="s">
        <v>3530</v>
      </c>
      <c r="F13518" s="17" t="s">
        <v>666</v>
      </c>
      <c r="G13518" s="18" t="n">
        <v>0</v>
      </c>
      <c r="H13518" s="18" t="n">
        <v>10.45</v>
      </c>
      <c r="I13518" s="18" t="n">
        <f aca="false">((I13517 + G13518) - H13518)</f>
        <v>5752.72000000001</v>
      </c>
      <c r="J13518" s="18" t="n">
        <v>0</v>
      </c>
      <c r="K13518" s="19" t="n">
        <v>0</v>
      </c>
      <c r="L13518" s="17"/>
    </row>
    <row r="13519" s="11" customFormat="true" ht="10.95" hidden="false" customHeight="true" outlineLevel="0" collapsed="false">
      <c r="A13519" s="16" t="n">
        <v>45435</v>
      </c>
      <c r="B13519" s="17" t="s">
        <v>4548</v>
      </c>
      <c r="C13519" s="17" t="s">
        <v>3614</v>
      </c>
      <c r="D13519" s="17" t="s">
        <v>19</v>
      </c>
      <c r="E13519" s="17" t="s">
        <v>3521</v>
      </c>
      <c r="F13519" s="17" t="s">
        <v>667</v>
      </c>
      <c r="G13519" s="18" t="n">
        <v>0</v>
      </c>
      <c r="H13519" s="18" t="n">
        <v>64.8</v>
      </c>
      <c r="I13519" s="18" t="n">
        <f aca="false">((I13518 + G13519) - H13519)</f>
        <v>5687.92000000001</v>
      </c>
      <c r="J13519" s="18" t="n">
        <v>0</v>
      </c>
      <c r="K13519" s="19" t="n">
        <v>0</v>
      </c>
      <c r="L13519" s="17"/>
    </row>
    <row r="13520" s="11" customFormat="true" ht="10.95" hidden="false" customHeight="true" outlineLevel="0" collapsed="false">
      <c r="A13520" s="16" t="n">
        <v>45435</v>
      </c>
      <c r="B13520" s="17" t="s">
        <v>4548</v>
      </c>
      <c r="C13520" s="17" t="s">
        <v>3614</v>
      </c>
      <c r="D13520" s="17" t="s">
        <v>19</v>
      </c>
      <c r="E13520" s="17" t="s">
        <v>3501</v>
      </c>
      <c r="F13520" s="17" t="s">
        <v>668</v>
      </c>
      <c r="G13520" s="18" t="n">
        <v>0</v>
      </c>
      <c r="H13520" s="18" t="n">
        <v>14.3</v>
      </c>
      <c r="I13520" s="18" t="n">
        <f aca="false">((I13519 + G13520) - H13520)</f>
        <v>5673.62000000001</v>
      </c>
      <c r="J13520" s="18" t="n">
        <v>0</v>
      </c>
      <c r="K13520" s="19" t="n">
        <v>0</v>
      </c>
      <c r="L13520" s="17"/>
    </row>
    <row r="13521" s="11" customFormat="true" ht="10.95" hidden="false" customHeight="true" outlineLevel="0" collapsed="false">
      <c r="A13521" s="16" t="n">
        <v>45435</v>
      </c>
      <c r="B13521" s="17" t="s">
        <v>4548</v>
      </c>
      <c r="C13521" s="17" t="s">
        <v>3614</v>
      </c>
      <c r="D13521" s="17" t="s">
        <v>19</v>
      </c>
      <c r="E13521" s="17" t="s">
        <v>3490</v>
      </c>
      <c r="F13521" s="17" t="s">
        <v>669</v>
      </c>
      <c r="G13521" s="18" t="n">
        <v>0</v>
      </c>
      <c r="H13521" s="18" t="n">
        <v>94.05</v>
      </c>
      <c r="I13521" s="18" t="n">
        <f aca="false">((I13520 + G13521) - H13521)</f>
        <v>5579.57000000001</v>
      </c>
      <c r="J13521" s="18" t="n">
        <v>0</v>
      </c>
      <c r="K13521" s="19" t="n">
        <v>0</v>
      </c>
      <c r="L13521" s="17"/>
    </row>
    <row r="13522" s="11" customFormat="true" ht="10.95" hidden="false" customHeight="true" outlineLevel="0" collapsed="false">
      <c r="A13522" s="16" t="n">
        <v>45435</v>
      </c>
      <c r="B13522" s="17" t="s">
        <v>4548</v>
      </c>
      <c r="C13522" s="17" t="s">
        <v>3614</v>
      </c>
      <c r="D13522" s="17" t="s">
        <v>19</v>
      </c>
      <c r="E13522" s="17" t="s">
        <v>3537</v>
      </c>
      <c r="F13522" s="17" t="s">
        <v>671</v>
      </c>
      <c r="G13522" s="18" t="n">
        <v>0</v>
      </c>
      <c r="H13522" s="18" t="n">
        <v>617.76</v>
      </c>
      <c r="I13522" s="18" t="n">
        <f aca="false">((I13521 + G13522) - H13522)</f>
        <v>4961.81000000001</v>
      </c>
      <c r="J13522" s="18" t="n">
        <v>0</v>
      </c>
      <c r="K13522" s="19" t="n">
        <v>0</v>
      </c>
      <c r="L13522" s="17"/>
    </row>
    <row r="13523" s="11" customFormat="true" ht="10.95" hidden="false" customHeight="true" outlineLevel="0" collapsed="false">
      <c r="A13523" s="16" t="n">
        <v>45435</v>
      </c>
      <c r="B13523" s="17" t="s">
        <v>4548</v>
      </c>
      <c r="C13523" s="17" t="s">
        <v>3614</v>
      </c>
      <c r="D13523" s="17" t="s">
        <v>19</v>
      </c>
      <c r="E13523" s="17" t="s">
        <v>3424</v>
      </c>
      <c r="F13523" s="17" t="s">
        <v>672</v>
      </c>
      <c r="G13523" s="18" t="n">
        <v>0</v>
      </c>
      <c r="H13523" s="18" t="n">
        <v>37.6</v>
      </c>
      <c r="I13523" s="18" t="n">
        <f aca="false">((I13522 + G13523) - H13523)</f>
        <v>4924.21000000001</v>
      </c>
      <c r="J13523" s="18" t="n">
        <v>0</v>
      </c>
      <c r="K13523" s="19" t="n">
        <v>0</v>
      </c>
      <c r="L13523" s="17"/>
    </row>
    <row r="13524" s="11" customFormat="true" ht="10.95" hidden="false" customHeight="true" outlineLevel="0" collapsed="false">
      <c r="A13524" s="16" t="n">
        <v>45435</v>
      </c>
      <c r="B13524" s="17" t="s">
        <v>4548</v>
      </c>
      <c r="C13524" s="17" t="s">
        <v>3614</v>
      </c>
      <c r="D13524" s="17" t="s">
        <v>19</v>
      </c>
      <c r="E13524" s="17" t="s">
        <v>3426</v>
      </c>
      <c r="F13524" s="17" t="s">
        <v>673</v>
      </c>
      <c r="G13524" s="18" t="n">
        <v>0</v>
      </c>
      <c r="H13524" s="18" t="n">
        <v>137.5</v>
      </c>
      <c r="I13524" s="18" t="n">
        <f aca="false">((I13523 + G13524) - H13524)</f>
        <v>4786.71000000001</v>
      </c>
      <c r="J13524" s="18" t="n">
        <v>0</v>
      </c>
      <c r="K13524" s="19" t="n">
        <v>0</v>
      </c>
      <c r="L13524" s="17"/>
    </row>
    <row r="13525" s="11" customFormat="true" ht="10.95" hidden="false" customHeight="true" outlineLevel="0" collapsed="false">
      <c r="A13525" s="16" t="n">
        <v>45435</v>
      </c>
      <c r="B13525" s="17" t="s">
        <v>4548</v>
      </c>
      <c r="C13525" s="17" t="s">
        <v>3614</v>
      </c>
      <c r="D13525" s="17" t="s">
        <v>19</v>
      </c>
      <c r="E13525" s="17" t="s">
        <v>3427</v>
      </c>
      <c r="F13525" s="17" t="s">
        <v>674</v>
      </c>
      <c r="G13525" s="18" t="n">
        <v>0</v>
      </c>
      <c r="H13525" s="18" t="n">
        <v>59.5</v>
      </c>
      <c r="I13525" s="18" t="n">
        <f aca="false">((I13524 + G13525) - H13525)</f>
        <v>4727.21000000001</v>
      </c>
      <c r="J13525" s="18" t="n">
        <v>0</v>
      </c>
      <c r="K13525" s="19" t="n">
        <v>0</v>
      </c>
      <c r="L13525" s="17"/>
    </row>
    <row r="13526" s="11" customFormat="true" ht="10.95" hidden="false" customHeight="true" outlineLevel="0" collapsed="false">
      <c r="A13526" s="16" t="n">
        <v>45435</v>
      </c>
      <c r="B13526" s="17" t="s">
        <v>4548</v>
      </c>
      <c r="C13526" s="17" t="s">
        <v>3614</v>
      </c>
      <c r="D13526" s="17" t="s">
        <v>19</v>
      </c>
      <c r="E13526" s="17" t="s">
        <v>3428</v>
      </c>
      <c r="F13526" s="17" t="s">
        <v>675</v>
      </c>
      <c r="G13526" s="18" t="n">
        <v>0</v>
      </c>
      <c r="H13526" s="18" t="n">
        <v>125.95</v>
      </c>
      <c r="I13526" s="18" t="n">
        <f aca="false">((I13525 + G13526) - H13526)</f>
        <v>4601.26000000001</v>
      </c>
      <c r="J13526" s="18" t="n">
        <v>0</v>
      </c>
      <c r="K13526" s="19" t="n">
        <v>0</v>
      </c>
      <c r="L13526" s="17"/>
    </row>
    <row r="13527" s="11" customFormat="true" ht="10.95" hidden="false" customHeight="true" outlineLevel="0" collapsed="false">
      <c r="A13527" s="16" t="n">
        <v>45435</v>
      </c>
      <c r="B13527" s="17" t="s">
        <v>4548</v>
      </c>
      <c r="C13527" s="17" t="s">
        <v>3614</v>
      </c>
      <c r="D13527" s="17" t="s">
        <v>19</v>
      </c>
      <c r="E13527" s="17" t="s">
        <v>3429</v>
      </c>
      <c r="F13527" s="17" t="s">
        <v>676</v>
      </c>
      <c r="G13527" s="18" t="n">
        <v>0</v>
      </c>
      <c r="H13527" s="18" t="n">
        <v>8.5</v>
      </c>
      <c r="I13527" s="18" t="n">
        <f aca="false">((I13526 + G13527) - H13527)</f>
        <v>4592.76000000001</v>
      </c>
      <c r="J13527" s="18" t="n">
        <v>0</v>
      </c>
      <c r="K13527" s="19" t="n">
        <v>0</v>
      </c>
      <c r="L13527" s="17"/>
    </row>
    <row r="13528" s="11" customFormat="true" ht="10.95" hidden="false" customHeight="true" outlineLevel="0" collapsed="false">
      <c r="A13528" s="16" t="n">
        <v>45435</v>
      </c>
      <c r="B13528" s="17" t="s">
        <v>4548</v>
      </c>
      <c r="C13528" s="17" t="s">
        <v>3614</v>
      </c>
      <c r="D13528" s="17" t="s">
        <v>19</v>
      </c>
      <c r="E13528" s="17" t="s">
        <v>3492</v>
      </c>
      <c r="F13528" s="17" t="s">
        <v>677</v>
      </c>
      <c r="G13528" s="18" t="n">
        <v>0</v>
      </c>
      <c r="H13528" s="18" t="n">
        <v>492.19</v>
      </c>
      <c r="I13528" s="18" t="n">
        <f aca="false">((I13527 + G13528) - H13528)</f>
        <v>4100.57000000001</v>
      </c>
      <c r="J13528" s="18" t="n">
        <v>0</v>
      </c>
      <c r="K13528" s="19" t="n">
        <v>0</v>
      </c>
      <c r="L13528" s="17"/>
    </row>
    <row r="13529" s="11" customFormat="true" ht="10.95" hidden="false" customHeight="true" outlineLevel="0" collapsed="false">
      <c r="A13529" s="16" t="n">
        <v>45435</v>
      </c>
      <c r="B13529" s="17" t="s">
        <v>4548</v>
      </c>
      <c r="C13529" s="17" t="s">
        <v>3614</v>
      </c>
      <c r="D13529" s="17" t="s">
        <v>19</v>
      </c>
      <c r="E13529" s="17" t="s">
        <v>3431</v>
      </c>
      <c r="F13529" s="17" t="s">
        <v>680</v>
      </c>
      <c r="G13529" s="18" t="n">
        <v>0</v>
      </c>
      <c r="H13529" s="18" t="n">
        <v>32.5</v>
      </c>
      <c r="I13529" s="18" t="n">
        <f aca="false">((I13528 + G13529) - H13529)</f>
        <v>4068.07000000001</v>
      </c>
      <c r="J13529" s="18" t="n">
        <v>0</v>
      </c>
      <c r="K13529" s="19" t="n">
        <v>0</v>
      </c>
      <c r="L13529" s="17"/>
    </row>
    <row r="13530" s="11" customFormat="true" ht="10.95" hidden="false" customHeight="true" outlineLevel="0" collapsed="false">
      <c r="A13530" s="16" t="n">
        <v>45435</v>
      </c>
      <c r="B13530" s="17" t="s">
        <v>4548</v>
      </c>
      <c r="C13530" s="17" t="s">
        <v>3614</v>
      </c>
      <c r="D13530" s="17" t="s">
        <v>19</v>
      </c>
      <c r="E13530" s="17" t="s">
        <v>3432</v>
      </c>
      <c r="F13530" s="17" t="s">
        <v>681</v>
      </c>
      <c r="G13530" s="18" t="n">
        <v>0</v>
      </c>
      <c r="H13530" s="18" t="n">
        <v>99.5</v>
      </c>
      <c r="I13530" s="18" t="n">
        <f aca="false">((I13529 + G13530) - H13530)</f>
        <v>3968.57000000001</v>
      </c>
      <c r="J13530" s="18" t="n">
        <v>0</v>
      </c>
      <c r="K13530" s="19" t="n">
        <v>0</v>
      </c>
      <c r="L13530" s="17"/>
    </row>
    <row r="13531" s="11" customFormat="true" ht="10.95" hidden="false" customHeight="true" outlineLevel="0" collapsed="false">
      <c r="A13531" s="16" t="n">
        <v>45435</v>
      </c>
      <c r="B13531" s="17" t="s">
        <v>4548</v>
      </c>
      <c r="C13531" s="17" t="s">
        <v>3614</v>
      </c>
      <c r="D13531" s="17" t="s">
        <v>19</v>
      </c>
      <c r="E13531" s="17" t="s">
        <v>3434</v>
      </c>
      <c r="F13531" s="17" t="s">
        <v>682</v>
      </c>
      <c r="G13531" s="18" t="n">
        <v>0</v>
      </c>
      <c r="H13531" s="18" t="n">
        <v>36</v>
      </c>
      <c r="I13531" s="18" t="n">
        <f aca="false">((I13530 + G13531) - H13531)</f>
        <v>3932.57000000001</v>
      </c>
      <c r="J13531" s="18" t="n">
        <v>0</v>
      </c>
      <c r="K13531" s="19" t="n">
        <v>0</v>
      </c>
      <c r="L13531" s="17"/>
    </row>
    <row r="13532" s="11" customFormat="true" ht="10.95" hidden="false" customHeight="true" outlineLevel="0" collapsed="false">
      <c r="A13532" s="16" t="n">
        <v>45435</v>
      </c>
      <c r="B13532" s="17" t="s">
        <v>4548</v>
      </c>
      <c r="C13532" s="17" t="s">
        <v>3614</v>
      </c>
      <c r="D13532" s="17" t="s">
        <v>19</v>
      </c>
      <c r="E13532" s="17" t="s">
        <v>3435</v>
      </c>
      <c r="F13532" s="17" t="s">
        <v>683</v>
      </c>
      <c r="G13532" s="18" t="n">
        <v>0</v>
      </c>
      <c r="H13532" s="18" t="n">
        <v>9.45</v>
      </c>
      <c r="I13532" s="18" t="n">
        <f aca="false">((I13531 + G13532) - H13532)</f>
        <v>3923.12000000001</v>
      </c>
      <c r="J13532" s="18" t="n">
        <v>0</v>
      </c>
      <c r="K13532" s="19" t="n">
        <v>0</v>
      </c>
      <c r="L13532" s="17"/>
    </row>
    <row r="13533" s="11" customFormat="true" ht="10.95" hidden="false" customHeight="true" outlineLevel="0" collapsed="false">
      <c r="A13533" s="16" t="n">
        <v>45435</v>
      </c>
      <c r="B13533" s="17" t="s">
        <v>4548</v>
      </c>
      <c r="C13533" s="17" t="s">
        <v>3614</v>
      </c>
      <c r="D13533" s="17" t="s">
        <v>19</v>
      </c>
      <c r="E13533" s="17" t="s">
        <v>3435</v>
      </c>
      <c r="F13533" s="17" t="s">
        <v>684</v>
      </c>
      <c r="G13533" s="18" t="n">
        <v>0</v>
      </c>
      <c r="H13533" s="18" t="n">
        <v>204</v>
      </c>
      <c r="I13533" s="18" t="n">
        <f aca="false">((I13532 + G13533) - H13533)</f>
        <v>3719.12000000001</v>
      </c>
      <c r="J13533" s="18" t="n">
        <v>0</v>
      </c>
      <c r="K13533" s="19" t="n">
        <v>0</v>
      </c>
      <c r="L13533" s="17"/>
    </row>
    <row r="13534" s="11" customFormat="true" ht="10.95" hidden="false" customHeight="true" outlineLevel="0" collapsed="false">
      <c r="A13534" s="16" t="n">
        <v>45435</v>
      </c>
      <c r="B13534" s="17" t="s">
        <v>4548</v>
      </c>
      <c r="C13534" s="17" t="s">
        <v>3614</v>
      </c>
      <c r="D13534" s="17" t="s">
        <v>19</v>
      </c>
      <c r="E13534" s="17" t="s">
        <v>3493</v>
      </c>
      <c r="F13534" s="17" t="s">
        <v>685</v>
      </c>
      <c r="G13534" s="18" t="n">
        <v>0</v>
      </c>
      <c r="H13534" s="18" t="n">
        <v>51</v>
      </c>
      <c r="I13534" s="18" t="n">
        <f aca="false">((I13533 + G13534) - H13534)</f>
        <v>3668.12000000001</v>
      </c>
      <c r="J13534" s="18" t="n">
        <v>0</v>
      </c>
      <c r="K13534" s="19" t="n">
        <v>0</v>
      </c>
      <c r="L13534" s="17"/>
    </row>
    <row r="13535" s="11" customFormat="true" ht="10.95" hidden="false" customHeight="true" outlineLevel="0" collapsed="false">
      <c r="A13535" s="16" t="n">
        <v>45435</v>
      </c>
      <c r="B13535" s="17" t="s">
        <v>4548</v>
      </c>
      <c r="C13535" s="17" t="s">
        <v>3614</v>
      </c>
      <c r="D13535" s="17" t="s">
        <v>19</v>
      </c>
      <c r="E13535" s="17" t="s">
        <v>3437</v>
      </c>
      <c r="F13535" s="17" t="s">
        <v>686</v>
      </c>
      <c r="G13535" s="18" t="n">
        <v>0</v>
      </c>
      <c r="H13535" s="18" t="n">
        <v>100.01</v>
      </c>
      <c r="I13535" s="18" t="n">
        <f aca="false">((I13534 + G13535) - H13535)</f>
        <v>3568.11000000001</v>
      </c>
      <c r="J13535" s="18" t="n">
        <v>0</v>
      </c>
      <c r="K13535" s="19" t="n">
        <v>0</v>
      </c>
      <c r="L13535" s="17"/>
    </row>
    <row r="13536" s="11" customFormat="true" ht="10.95" hidden="false" customHeight="true" outlineLevel="0" collapsed="false">
      <c r="A13536" s="16" t="n">
        <v>45435</v>
      </c>
      <c r="B13536" s="17" t="s">
        <v>4548</v>
      </c>
      <c r="C13536" s="17" t="s">
        <v>3614</v>
      </c>
      <c r="D13536" s="17" t="s">
        <v>19</v>
      </c>
      <c r="E13536" s="17" t="s">
        <v>3439</v>
      </c>
      <c r="F13536" s="17" t="s">
        <v>687</v>
      </c>
      <c r="G13536" s="18" t="n">
        <v>0</v>
      </c>
      <c r="H13536" s="18" t="n">
        <v>95.7</v>
      </c>
      <c r="I13536" s="18" t="n">
        <f aca="false">((I13535 + G13536) - H13536)</f>
        <v>3472.41000000001</v>
      </c>
      <c r="J13536" s="18" t="n">
        <v>0</v>
      </c>
      <c r="K13536" s="19" t="n">
        <v>0</v>
      </c>
      <c r="L13536" s="17"/>
    </row>
    <row r="13537" s="11" customFormat="true" ht="10.95" hidden="false" customHeight="true" outlineLevel="0" collapsed="false">
      <c r="A13537" s="16" t="n">
        <v>45435</v>
      </c>
      <c r="B13537" s="17" t="s">
        <v>4548</v>
      </c>
      <c r="C13537" s="17" t="s">
        <v>3614</v>
      </c>
      <c r="D13537" s="17" t="s">
        <v>19</v>
      </c>
      <c r="E13537" s="17" t="s">
        <v>3442</v>
      </c>
      <c r="F13537" s="17" t="s">
        <v>688</v>
      </c>
      <c r="G13537" s="18" t="n">
        <v>0</v>
      </c>
      <c r="H13537" s="18" t="n">
        <v>909</v>
      </c>
      <c r="I13537" s="18" t="n">
        <f aca="false">((I13536 + G13537) - H13537)</f>
        <v>2563.41000000001</v>
      </c>
      <c r="J13537" s="18" t="n">
        <v>0</v>
      </c>
      <c r="K13537" s="19" t="n">
        <v>0</v>
      </c>
      <c r="L13537" s="17"/>
    </row>
    <row r="13538" s="11" customFormat="true" ht="10.95" hidden="false" customHeight="true" outlineLevel="0" collapsed="false">
      <c r="A13538" s="16" t="n">
        <v>45435</v>
      </c>
      <c r="B13538" s="17" t="s">
        <v>4548</v>
      </c>
      <c r="C13538" s="17" t="s">
        <v>3614</v>
      </c>
      <c r="D13538" s="17" t="s">
        <v>19</v>
      </c>
      <c r="E13538" s="17" t="s">
        <v>3442</v>
      </c>
      <c r="F13538" s="17" t="s">
        <v>689</v>
      </c>
      <c r="G13538" s="18" t="n">
        <v>0</v>
      </c>
      <c r="H13538" s="18" t="n">
        <v>909</v>
      </c>
      <c r="I13538" s="18" t="n">
        <f aca="false">((I13537 + G13538) - H13538)</f>
        <v>1654.41000000001</v>
      </c>
      <c r="J13538" s="18" t="n">
        <v>0</v>
      </c>
      <c r="K13538" s="19" t="n">
        <v>0</v>
      </c>
      <c r="L13538" s="17"/>
    </row>
    <row r="13539" s="11" customFormat="true" ht="10.95" hidden="false" customHeight="true" outlineLevel="0" collapsed="false">
      <c r="A13539" s="16" t="n">
        <v>45435</v>
      </c>
      <c r="B13539" s="17" t="s">
        <v>4548</v>
      </c>
      <c r="C13539" s="17" t="s">
        <v>3614</v>
      </c>
      <c r="D13539" s="17" t="s">
        <v>19</v>
      </c>
      <c r="E13539" s="17" t="s">
        <v>3443</v>
      </c>
      <c r="F13539" s="17" t="s">
        <v>690</v>
      </c>
      <c r="G13539" s="18" t="n">
        <v>0</v>
      </c>
      <c r="H13539" s="18" t="n">
        <v>454</v>
      </c>
      <c r="I13539" s="18" t="n">
        <f aca="false">((I13538 + G13539) - H13539)</f>
        <v>1200.41000000001</v>
      </c>
      <c r="J13539" s="18" t="n">
        <v>0</v>
      </c>
      <c r="K13539" s="19" t="n">
        <v>0</v>
      </c>
      <c r="L13539" s="17"/>
    </row>
    <row r="13540" s="11" customFormat="true" ht="10.95" hidden="false" customHeight="true" outlineLevel="0" collapsed="false">
      <c r="A13540" s="16" t="n">
        <v>45435</v>
      </c>
      <c r="B13540" s="17" t="s">
        <v>4548</v>
      </c>
      <c r="C13540" s="17" t="s">
        <v>3614</v>
      </c>
      <c r="D13540" s="17" t="s">
        <v>19</v>
      </c>
      <c r="E13540" s="17" t="s">
        <v>3444</v>
      </c>
      <c r="F13540" s="17" t="s">
        <v>691</v>
      </c>
      <c r="G13540" s="18" t="n">
        <v>0</v>
      </c>
      <c r="H13540" s="18" t="n">
        <v>88</v>
      </c>
      <c r="I13540" s="18" t="n">
        <f aca="false">((I13539 + G13540) - H13540)</f>
        <v>1112.41000000001</v>
      </c>
      <c r="J13540" s="18" t="n">
        <v>0</v>
      </c>
      <c r="K13540" s="19" t="n">
        <v>0</v>
      </c>
      <c r="L13540" s="17"/>
    </row>
    <row r="13541" s="11" customFormat="true" ht="10.95" hidden="false" customHeight="true" outlineLevel="0" collapsed="false">
      <c r="A13541" s="16" t="n">
        <v>45435</v>
      </c>
      <c r="B13541" s="17" t="s">
        <v>4548</v>
      </c>
      <c r="C13541" s="17" t="s">
        <v>3614</v>
      </c>
      <c r="D13541" s="17" t="s">
        <v>19</v>
      </c>
      <c r="E13541" s="17" t="s">
        <v>3494</v>
      </c>
      <c r="F13541" s="17" t="s">
        <v>692</v>
      </c>
      <c r="G13541" s="18" t="n">
        <v>0</v>
      </c>
      <c r="H13541" s="18" t="n">
        <v>83</v>
      </c>
      <c r="I13541" s="18" t="n">
        <f aca="false">((I13540 + G13541) - H13541)</f>
        <v>1029.41000000001</v>
      </c>
      <c r="J13541" s="18" t="n">
        <v>0</v>
      </c>
      <c r="K13541" s="19" t="n">
        <v>0</v>
      </c>
      <c r="L13541" s="17"/>
    </row>
    <row r="13542" s="11" customFormat="true" ht="10.95" hidden="false" customHeight="true" outlineLevel="0" collapsed="false">
      <c r="A13542" s="16" t="n">
        <v>45435</v>
      </c>
      <c r="B13542" s="17" t="s">
        <v>4548</v>
      </c>
      <c r="C13542" s="17" t="s">
        <v>3614</v>
      </c>
      <c r="D13542" s="17" t="s">
        <v>19</v>
      </c>
      <c r="E13542" s="17" t="s">
        <v>3446</v>
      </c>
      <c r="F13542" s="17" t="s">
        <v>693</v>
      </c>
      <c r="G13542" s="18" t="n">
        <v>0</v>
      </c>
      <c r="H13542" s="18" t="n">
        <v>169.2</v>
      </c>
      <c r="I13542" s="18" t="n">
        <f aca="false">((I13541 + G13542) - H13542)</f>
        <v>860.210000000007</v>
      </c>
      <c r="J13542" s="18" t="n">
        <v>0</v>
      </c>
      <c r="K13542" s="19" t="n">
        <v>0</v>
      </c>
      <c r="L13542" s="17"/>
    </row>
    <row r="13543" s="11" customFormat="true" ht="10.95" hidden="false" customHeight="true" outlineLevel="0" collapsed="false">
      <c r="A13543" s="16" t="n">
        <v>45435</v>
      </c>
      <c r="B13543" s="17" t="s">
        <v>4548</v>
      </c>
      <c r="C13543" s="17" t="s">
        <v>3614</v>
      </c>
      <c r="D13543" s="17" t="s">
        <v>19</v>
      </c>
      <c r="E13543" s="17" t="s">
        <v>3447</v>
      </c>
      <c r="F13543" s="17" t="s">
        <v>694</v>
      </c>
      <c r="G13543" s="18" t="n">
        <v>0</v>
      </c>
      <c r="H13543" s="18" t="n">
        <v>10.45</v>
      </c>
      <c r="I13543" s="18" t="n">
        <f aca="false">((I13542 + G13543) - H13543)</f>
        <v>849.760000000007</v>
      </c>
      <c r="J13543" s="18" t="n">
        <v>0</v>
      </c>
      <c r="K13543" s="19" t="n">
        <v>0</v>
      </c>
      <c r="L13543" s="17"/>
    </row>
    <row r="13544" s="11" customFormat="true" ht="10.95" hidden="false" customHeight="true" outlineLevel="0" collapsed="false">
      <c r="A13544" s="16" t="n">
        <v>45435</v>
      </c>
      <c r="B13544" s="17" t="s">
        <v>4548</v>
      </c>
      <c r="C13544" s="17" t="s">
        <v>3614</v>
      </c>
      <c r="D13544" s="17" t="s">
        <v>19</v>
      </c>
      <c r="E13544" s="17" t="s">
        <v>3447</v>
      </c>
      <c r="F13544" s="17" t="s">
        <v>695</v>
      </c>
      <c r="G13544" s="18" t="n">
        <v>0</v>
      </c>
      <c r="H13544" s="18" t="n">
        <v>52.75</v>
      </c>
      <c r="I13544" s="18" t="n">
        <f aca="false">((I13543 + G13544) - H13544)</f>
        <v>797.010000000007</v>
      </c>
      <c r="J13544" s="18" t="n">
        <v>0</v>
      </c>
      <c r="K13544" s="19" t="n">
        <v>0</v>
      </c>
      <c r="L13544" s="17"/>
    </row>
    <row r="13545" s="11" customFormat="true" ht="10.95" hidden="false" customHeight="true" outlineLevel="0" collapsed="false">
      <c r="A13545" s="16" t="n">
        <v>45435</v>
      </c>
      <c r="B13545" s="17" t="s">
        <v>4548</v>
      </c>
      <c r="C13545" s="17" t="s">
        <v>3614</v>
      </c>
      <c r="D13545" s="17" t="s">
        <v>19</v>
      </c>
      <c r="E13545" s="17" t="s">
        <v>3447</v>
      </c>
      <c r="F13545" s="17" t="s">
        <v>696</v>
      </c>
      <c r="G13545" s="18" t="n">
        <v>0</v>
      </c>
      <c r="H13545" s="18" t="n">
        <v>75.2</v>
      </c>
      <c r="I13545" s="18" t="n">
        <f aca="false">((I13544 + G13545) - H13545)</f>
        <v>721.810000000007</v>
      </c>
      <c r="J13545" s="18" t="n">
        <v>0</v>
      </c>
      <c r="K13545" s="19" t="n">
        <v>0</v>
      </c>
      <c r="L13545" s="17"/>
    </row>
    <row r="13546" s="11" customFormat="true" ht="10.95" hidden="false" customHeight="true" outlineLevel="0" collapsed="false">
      <c r="A13546" s="16" t="n">
        <v>45435</v>
      </c>
      <c r="B13546" s="17" t="s">
        <v>4548</v>
      </c>
      <c r="C13546" s="17" t="s">
        <v>3614</v>
      </c>
      <c r="D13546" s="17" t="s">
        <v>19</v>
      </c>
      <c r="E13546" s="17" t="s">
        <v>3447</v>
      </c>
      <c r="F13546" s="17" t="s">
        <v>697</v>
      </c>
      <c r="G13546" s="18" t="n">
        <v>0</v>
      </c>
      <c r="H13546" s="18" t="n">
        <v>67.4</v>
      </c>
      <c r="I13546" s="18" t="n">
        <f aca="false">((I13545 + G13546) - H13546)</f>
        <v>654.410000000007</v>
      </c>
      <c r="J13546" s="18" t="n">
        <v>0</v>
      </c>
      <c r="K13546" s="19" t="n">
        <v>0</v>
      </c>
      <c r="L13546" s="17"/>
    </row>
    <row r="13547" s="11" customFormat="true" ht="10.95" hidden="false" customHeight="true" outlineLevel="0" collapsed="false">
      <c r="A13547" s="16" t="n">
        <v>45435</v>
      </c>
      <c r="B13547" s="17" t="s">
        <v>4548</v>
      </c>
      <c r="C13547" s="17" t="s">
        <v>3614</v>
      </c>
      <c r="D13547" s="17" t="s">
        <v>19</v>
      </c>
      <c r="E13547" s="17" t="s">
        <v>3447</v>
      </c>
      <c r="F13547" s="17" t="s">
        <v>698</v>
      </c>
      <c r="G13547" s="18" t="n">
        <v>0</v>
      </c>
      <c r="H13547" s="18" t="n">
        <v>18.8</v>
      </c>
      <c r="I13547" s="18" t="n">
        <f aca="false">((I13546 + G13547) - H13547)</f>
        <v>635.610000000007</v>
      </c>
      <c r="J13547" s="18" t="n">
        <v>0</v>
      </c>
      <c r="K13547" s="19" t="n">
        <v>0</v>
      </c>
      <c r="L13547" s="17"/>
    </row>
    <row r="13548" s="11" customFormat="true" ht="10.95" hidden="false" customHeight="true" outlineLevel="0" collapsed="false">
      <c r="A13548" s="16" t="n">
        <v>45435</v>
      </c>
      <c r="B13548" s="17" t="s">
        <v>4548</v>
      </c>
      <c r="C13548" s="17" t="s">
        <v>3614</v>
      </c>
      <c r="D13548" s="17" t="s">
        <v>19</v>
      </c>
      <c r="E13548" s="17" t="s">
        <v>3447</v>
      </c>
      <c r="F13548" s="17" t="s">
        <v>699</v>
      </c>
      <c r="G13548" s="18" t="n">
        <v>0</v>
      </c>
      <c r="H13548" s="18" t="n">
        <v>162.95</v>
      </c>
      <c r="I13548" s="18" t="n">
        <f aca="false">((I13547 + G13548) - H13548)</f>
        <v>472.660000000007</v>
      </c>
      <c r="J13548" s="18" t="n">
        <v>0</v>
      </c>
      <c r="K13548" s="19" t="n">
        <v>0</v>
      </c>
      <c r="L13548" s="17"/>
    </row>
    <row r="13549" s="11" customFormat="true" ht="10.95" hidden="false" customHeight="true" outlineLevel="0" collapsed="false">
      <c r="A13549" s="16" t="n">
        <v>45435</v>
      </c>
      <c r="B13549" s="17" t="s">
        <v>4548</v>
      </c>
      <c r="C13549" s="17" t="s">
        <v>3614</v>
      </c>
      <c r="D13549" s="17" t="s">
        <v>19</v>
      </c>
      <c r="E13549" s="17" t="s">
        <v>3447</v>
      </c>
      <c r="F13549" s="17" t="s">
        <v>700</v>
      </c>
      <c r="G13549" s="18" t="n">
        <v>0</v>
      </c>
      <c r="H13549" s="18" t="n">
        <v>47</v>
      </c>
      <c r="I13549" s="18" t="n">
        <f aca="false">((I13548 + G13549) - H13549)</f>
        <v>425.660000000007</v>
      </c>
      <c r="J13549" s="18" t="n">
        <v>0</v>
      </c>
      <c r="K13549" s="19" t="n">
        <v>0</v>
      </c>
      <c r="L13549" s="17"/>
    </row>
    <row r="13550" s="11" customFormat="true" ht="10.95" hidden="false" customHeight="true" outlineLevel="0" collapsed="false">
      <c r="A13550" s="16" t="n">
        <v>45435</v>
      </c>
      <c r="B13550" s="17" t="s">
        <v>4548</v>
      </c>
      <c r="C13550" s="17" t="s">
        <v>3614</v>
      </c>
      <c r="D13550" s="17" t="s">
        <v>19</v>
      </c>
      <c r="E13550" s="17" t="s">
        <v>3447</v>
      </c>
      <c r="F13550" s="17" t="s">
        <v>701</v>
      </c>
      <c r="G13550" s="18" t="n">
        <v>0</v>
      </c>
      <c r="H13550" s="18" t="n">
        <v>18.8</v>
      </c>
      <c r="I13550" s="18" t="n">
        <f aca="false">((I13549 + G13550) - H13550)</f>
        <v>406.860000000007</v>
      </c>
      <c r="J13550" s="18" t="n">
        <v>0</v>
      </c>
      <c r="K13550" s="19" t="n">
        <v>0</v>
      </c>
      <c r="L13550" s="17"/>
    </row>
    <row r="13551" s="11" customFormat="true" ht="10.95" hidden="false" customHeight="true" outlineLevel="0" collapsed="false">
      <c r="A13551" s="16" t="n">
        <v>45435</v>
      </c>
      <c r="B13551" s="17" t="s">
        <v>4548</v>
      </c>
      <c r="C13551" s="17" t="s">
        <v>3614</v>
      </c>
      <c r="D13551" s="17" t="s">
        <v>19</v>
      </c>
      <c r="E13551" s="17" t="s">
        <v>3447</v>
      </c>
      <c r="F13551" s="17" t="s">
        <v>702</v>
      </c>
      <c r="G13551" s="18" t="n">
        <v>0</v>
      </c>
      <c r="H13551" s="18" t="n">
        <v>47</v>
      </c>
      <c r="I13551" s="18" t="n">
        <f aca="false">((I13550 + G13551) - H13551)</f>
        <v>359.860000000007</v>
      </c>
      <c r="J13551" s="18" t="n">
        <v>0</v>
      </c>
      <c r="K13551" s="19" t="n">
        <v>0</v>
      </c>
      <c r="L13551" s="17"/>
    </row>
    <row r="13552" s="11" customFormat="true" ht="10.95" hidden="false" customHeight="true" outlineLevel="0" collapsed="false">
      <c r="A13552" s="16" t="n">
        <v>45435</v>
      </c>
      <c r="B13552" s="17" t="s">
        <v>4548</v>
      </c>
      <c r="C13552" s="17" t="s">
        <v>3614</v>
      </c>
      <c r="D13552" s="17" t="s">
        <v>19</v>
      </c>
      <c r="E13552" s="17" t="s">
        <v>3447</v>
      </c>
      <c r="F13552" s="17" t="s">
        <v>703</v>
      </c>
      <c r="G13552" s="18" t="n">
        <v>0</v>
      </c>
      <c r="H13552" s="18" t="n">
        <v>178.9</v>
      </c>
      <c r="I13552" s="18" t="n">
        <f aca="false">((I13551 + G13552) - H13552)</f>
        <v>180.960000000007</v>
      </c>
      <c r="J13552" s="18" t="n">
        <v>0</v>
      </c>
      <c r="K13552" s="19" t="n">
        <v>0</v>
      </c>
      <c r="L13552" s="17"/>
    </row>
    <row r="13553" s="11" customFormat="true" ht="10.95" hidden="false" customHeight="true" outlineLevel="0" collapsed="false">
      <c r="A13553" s="16" t="n">
        <v>45435</v>
      </c>
      <c r="B13553" s="17" t="s">
        <v>4548</v>
      </c>
      <c r="C13553" s="17" t="s">
        <v>3614</v>
      </c>
      <c r="D13553" s="17" t="s">
        <v>19</v>
      </c>
      <c r="E13553" s="17" t="s">
        <v>3447</v>
      </c>
      <c r="F13553" s="17" t="s">
        <v>704</v>
      </c>
      <c r="G13553" s="18" t="n">
        <v>0</v>
      </c>
      <c r="H13553" s="18" t="n">
        <v>123.8</v>
      </c>
      <c r="I13553" s="18" t="n">
        <f aca="false">((I13552 + G13553) - H13553)</f>
        <v>57.1600000000071</v>
      </c>
      <c r="J13553" s="18" t="n">
        <v>0</v>
      </c>
      <c r="K13553" s="19" t="n">
        <v>0</v>
      </c>
      <c r="L13553" s="17"/>
    </row>
    <row r="13554" s="11" customFormat="true" ht="10.95" hidden="false" customHeight="true" outlineLevel="0" collapsed="false">
      <c r="A13554" s="16" t="n">
        <v>45435</v>
      </c>
      <c r="B13554" s="17" t="s">
        <v>4548</v>
      </c>
      <c r="C13554" s="17" t="s">
        <v>3614</v>
      </c>
      <c r="D13554" s="17" t="s">
        <v>19</v>
      </c>
      <c r="E13554" s="17" t="s">
        <v>3447</v>
      </c>
      <c r="F13554" s="17" t="s">
        <v>705</v>
      </c>
      <c r="G13554" s="18" t="n">
        <v>0</v>
      </c>
      <c r="H13554" s="18" t="n">
        <v>28.2</v>
      </c>
      <c r="I13554" s="18" t="n">
        <f aca="false">((I13553 + G13554) - H13554)</f>
        <v>28.9600000000071</v>
      </c>
      <c r="J13554" s="18" t="n">
        <v>0</v>
      </c>
      <c r="K13554" s="19" t="n">
        <v>0</v>
      </c>
      <c r="L13554" s="17"/>
    </row>
    <row r="13555" s="11" customFormat="true" ht="10.95" hidden="false" customHeight="true" outlineLevel="0" collapsed="false">
      <c r="A13555" s="16" t="n">
        <v>45435</v>
      </c>
      <c r="B13555" s="17" t="s">
        <v>4548</v>
      </c>
      <c r="C13555" s="17" t="s">
        <v>3614</v>
      </c>
      <c r="D13555" s="17" t="s">
        <v>19</v>
      </c>
      <c r="E13555" s="17" t="s">
        <v>3447</v>
      </c>
      <c r="F13555" s="17" t="s">
        <v>706</v>
      </c>
      <c r="G13555" s="18" t="n">
        <v>0</v>
      </c>
      <c r="H13555" s="18" t="n">
        <v>28.2</v>
      </c>
      <c r="I13555" s="18" t="n">
        <f aca="false">((I13554 + G13555) - H13555)</f>
        <v>0.760000000007061</v>
      </c>
      <c r="J13555" s="18" t="n">
        <v>0</v>
      </c>
      <c r="K13555" s="19" t="n">
        <v>0</v>
      </c>
      <c r="L13555" s="17"/>
    </row>
    <row r="13556" s="11" customFormat="true" ht="10.95" hidden="false" customHeight="true" outlineLevel="0" collapsed="false">
      <c r="A13556" s="16" t="n">
        <v>45435</v>
      </c>
      <c r="B13556" s="17" t="s">
        <v>4548</v>
      </c>
      <c r="C13556" s="17" t="s">
        <v>3614</v>
      </c>
      <c r="D13556" s="17" t="s">
        <v>19</v>
      </c>
      <c r="E13556" s="17" t="s">
        <v>3447</v>
      </c>
      <c r="F13556" s="17" t="s">
        <v>707</v>
      </c>
      <c r="G13556" s="18" t="n">
        <v>0</v>
      </c>
      <c r="H13556" s="18" t="n">
        <v>56.4</v>
      </c>
      <c r="I13556" s="18" t="n">
        <f aca="false">((I13555 + G13556) - H13556)</f>
        <v>-55.6399999999929</v>
      </c>
      <c r="J13556" s="18" t="n">
        <v>0</v>
      </c>
      <c r="K13556" s="19" t="n">
        <v>0</v>
      </c>
      <c r="L13556" s="17"/>
    </row>
    <row r="13557" s="11" customFormat="true" ht="10.95" hidden="false" customHeight="true" outlineLevel="0" collapsed="false">
      <c r="A13557" s="16" t="n">
        <v>45435</v>
      </c>
      <c r="B13557" s="17" t="s">
        <v>4548</v>
      </c>
      <c r="C13557" s="17" t="s">
        <v>3614</v>
      </c>
      <c r="D13557" s="17" t="s">
        <v>19</v>
      </c>
      <c r="E13557" s="17" t="s">
        <v>3447</v>
      </c>
      <c r="F13557" s="17" t="s">
        <v>708</v>
      </c>
      <c r="G13557" s="18" t="n">
        <v>0</v>
      </c>
      <c r="H13557" s="18" t="n">
        <v>103.4</v>
      </c>
      <c r="I13557" s="18" t="n">
        <f aca="false">((I13556 + G13557) - H13557)</f>
        <v>-159.039999999993</v>
      </c>
      <c r="J13557" s="18" t="n">
        <v>0</v>
      </c>
      <c r="K13557" s="19" t="n">
        <v>0</v>
      </c>
      <c r="L13557" s="17"/>
    </row>
    <row r="13558" s="11" customFormat="true" ht="10.95" hidden="false" customHeight="true" outlineLevel="0" collapsed="false">
      <c r="A13558" s="16" t="n">
        <v>45435</v>
      </c>
      <c r="B13558" s="17" t="s">
        <v>4548</v>
      </c>
      <c r="C13558" s="17" t="s">
        <v>3614</v>
      </c>
      <c r="D13558" s="17" t="s">
        <v>19</v>
      </c>
      <c r="E13558" s="17" t="s">
        <v>3447</v>
      </c>
      <c r="F13558" s="17" t="s">
        <v>709</v>
      </c>
      <c r="G13558" s="18" t="n">
        <v>0</v>
      </c>
      <c r="H13558" s="18" t="n">
        <v>9.4</v>
      </c>
      <c r="I13558" s="18" t="n">
        <f aca="false">((I13557 + G13558) - H13558)</f>
        <v>-168.439999999993</v>
      </c>
      <c r="J13558" s="18" t="n">
        <v>0</v>
      </c>
      <c r="K13558" s="19" t="n">
        <v>0</v>
      </c>
      <c r="L13558" s="17"/>
    </row>
    <row r="13559" s="11" customFormat="true" ht="10.95" hidden="false" customHeight="true" outlineLevel="0" collapsed="false">
      <c r="A13559" s="16" t="n">
        <v>45435</v>
      </c>
      <c r="B13559" s="17" t="s">
        <v>4548</v>
      </c>
      <c r="C13559" s="17" t="s">
        <v>3614</v>
      </c>
      <c r="D13559" s="17" t="s">
        <v>19</v>
      </c>
      <c r="E13559" s="17" t="s">
        <v>3447</v>
      </c>
      <c r="F13559" s="17" t="s">
        <v>710</v>
      </c>
      <c r="G13559" s="18" t="n">
        <v>0</v>
      </c>
      <c r="H13559" s="18" t="n">
        <v>65.8</v>
      </c>
      <c r="I13559" s="18" t="n">
        <f aca="false">((I13558 + G13559) - H13559)</f>
        <v>-234.239999999993</v>
      </c>
      <c r="J13559" s="18" t="n">
        <v>0</v>
      </c>
      <c r="K13559" s="19" t="n">
        <v>0</v>
      </c>
      <c r="L13559" s="17"/>
    </row>
    <row r="13560" s="11" customFormat="true" ht="10.95" hidden="false" customHeight="true" outlineLevel="0" collapsed="false">
      <c r="A13560" s="16" t="n">
        <v>45435</v>
      </c>
      <c r="B13560" s="17" t="s">
        <v>4548</v>
      </c>
      <c r="C13560" s="17" t="s">
        <v>3614</v>
      </c>
      <c r="D13560" s="17" t="s">
        <v>19</v>
      </c>
      <c r="E13560" s="17" t="s">
        <v>3451</v>
      </c>
      <c r="F13560" s="17" t="s">
        <v>711</v>
      </c>
      <c r="G13560" s="18" t="n">
        <v>0</v>
      </c>
      <c r="H13560" s="18" t="n">
        <v>116.2</v>
      </c>
      <c r="I13560" s="18" t="n">
        <f aca="false">((I13559 + G13560) - H13560)</f>
        <v>-350.439999999993</v>
      </c>
      <c r="J13560" s="18" t="n">
        <v>0</v>
      </c>
      <c r="K13560" s="19" t="n">
        <v>0</v>
      </c>
      <c r="L13560" s="17"/>
    </row>
    <row r="13561" s="11" customFormat="true" ht="10.95" hidden="false" customHeight="true" outlineLevel="0" collapsed="false">
      <c r="A13561" s="16" t="n">
        <v>45435</v>
      </c>
      <c r="B13561" s="17" t="s">
        <v>4548</v>
      </c>
      <c r="C13561" s="17" t="s">
        <v>3614</v>
      </c>
      <c r="D13561" s="17" t="s">
        <v>19</v>
      </c>
      <c r="E13561" s="17" t="s">
        <v>3454</v>
      </c>
      <c r="F13561" s="17" t="s">
        <v>712</v>
      </c>
      <c r="G13561" s="18" t="n">
        <v>0</v>
      </c>
      <c r="H13561" s="18" t="n">
        <v>2068.97</v>
      </c>
      <c r="I13561" s="18" t="n">
        <f aca="false">((I13560 + G13561) - H13561)</f>
        <v>-2419.40999999999</v>
      </c>
      <c r="J13561" s="18" t="n">
        <v>0</v>
      </c>
      <c r="K13561" s="19" t="n">
        <v>0</v>
      </c>
      <c r="L13561" s="17"/>
    </row>
    <row r="13562" s="11" customFormat="true" ht="10.95" hidden="false" customHeight="true" outlineLevel="0" collapsed="false">
      <c r="A13562" s="16" t="n">
        <v>45435</v>
      </c>
      <c r="B13562" s="17" t="s">
        <v>4548</v>
      </c>
      <c r="C13562" s="17" t="s">
        <v>3614</v>
      </c>
      <c r="D13562" s="17" t="s">
        <v>19</v>
      </c>
      <c r="E13562" s="17" t="s">
        <v>3502</v>
      </c>
      <c r="F13562" s="17" t="s">
        <v>719</v>
      </c>
      <c r="G13562" s="18" t="n">
        <v>0</v>
      </c>
      <c r="H13562" s="18" t="n">
        <v>7.15</v>
      </c>
      <c r="I13562" s="18" t="n">
        <f aca="false">((I13561 + G13562) - H13562)</f>
        <v>-2426.55999999999</v>
      </c>
      <c r="J13562" s="18" t="n">
        <v>0</v>
      </c>
      <c r="K13562" s="19" t="n">
        <v>0</v>
      </c>
      <c r="L13562" s="17"/>
    </row>
    <row r="13563" s="11" customFormat="true" ht="10.95" hidden="false" customHeight="true" outlineLevel="0" collapsed="false">
      <c r="A13563" s="16" t="n">
        <v>45435</v>
      </c>
      <c r="B13563" s="17" t="s">
        <v>4548</v>
      </c>
      <c r="C13563" s="17" t="s">
        <v>3614</v>
      </c>
      <c r="D13563" s="17" t="s">
        <v>1407</v>
      </c>
      <c r="E13563" s="17" t="s">
        <v>3804</v>
      </c>
      <c r="F13563" s="17"/>
      <c r="G13563" s="18" t="n">
        <v>3.64</v>
      </c>
      <c r="H13563" s="18" t="n">
        <v>0</v>
      </c>
      <c r="I13563" s="18" t="n">
        <f aca="false">((I13562 + G13563) - H13563)</f>
        <v>-2422.91999999999</v>
      </c>
      <c r="J13563" s="18" t="n">
        <v>0</v>
      </c>
      <c r="K13563" s="19" t="n">
        <v>0</v>
      </c>
      <c r="L13563" s="17"/>
    </row>
    <row r="13564" s="11" customFormat="true" ht="10.95" hidden="false" customHeight="true" outlineLevel="0" collapsed="false">
      <c r="A13564" s="16" t="n">
        <v>45435</v>
      </c>
      <c r="B13564" s="17" t="s">
        <v>4548</v>
      </c>
      <c r="C13564" s="17" t="s">
        <v>3614</v>
      </c>
      <c r="D13564" s="17" t="s">
        <v>1407</v>
      </c>
      <c r="E13564" s="17" t="s">
        <v>3907</v>
      </c>
      <c r="F13564" s="17"/>
      <c r="G13564" s="18" t="n">
        <v>1.77</v>
      </c>
      <c r="H13564" s="18" t="n">
        <v>0</v>
      </c>
      <c r="I13564" s="18" t="n">
        <f aca="false">((I13563 + G13564) - H13564)</f>
        <v>-2421.14999999999</v>
      </c>
      <c r="J13564" s="18" t="n">
        <v>0</v>
      </c>
      <c r="K13564" s="19" t="n">
        <v>0</v>
      </c>
      <c r="L13564" s="17"/>
    </row>
    <row r="13565" s="11" customFormat="true" ht="10.95" hidden="false" customHeight="true" outlineLevel="0" collapsed="false">
      <c r="A13565" s="16" t="n">
        <v>45435</v>
      </c>
      <c r="B13565" s="17" t="s">
        <v>4548</v>
      </c>
      <c r="C13565" s="17" t="s">
        <v>3614</v>
      </c>
      <c r="D13565" s="17" t="s">
        <v>19</v>
      </c>
      <c r="E13565" s="17" t="s">
        <v>3447</v>
      </c>
      <c r="F13565" s="17" t="s">
        <v>720</v>
      </c>
      <c r="G13565" s="18" t="n">
        <v>0</v>
      </c>
      <c r="H13565" s="18" t="n">
        <v>37.9</v>
      </c>
      <c r="I13565" s="18" t="n">
        <f aca="false">((I13564 + G13565) - H13565)</f>
        <v>-2459.04999999999</v>
      </c>
      <c r="J13565" s="18" t="n">
        <v>0</v>
      </c>
      <c r="K13565" s="19" t="n">
        <v>0</v>
      </c>
      <c r="L13565" s="17"/>
    </row>
    <row r="13566" s="11" customFormat="true" ht="10.95" hidden="false" customHeight="true" outlineLevel="0" collapsed="false">
      <c r="A13566" s="16" t="n">
        <v>45435</v>
      </c>
      <c r="B13566" s="17" t="s">
        <v>4548</v>
      </c>
      <c r="C13566" s="17" t="s">
        <v>3614</v>
      </c>
      <c r="D13566" s="17" t="s">
        <v>1391</v>
      </c>
      <c r="E13566" s="17" t="s">
        <v>3731</v>
      </c>
      <c r="F13566" s="17" t="s">
        <v>2734</v>
      </c>
      <c r="G13566" s="18" t="n">
        <v>5.36</v>
      </c>
      <c r="H13566" s="18" t="n">
        <v>0</v>
      </c>
      <c r="I13566" s="18" t="n">
        <f aca="false">((I13565 + G13566) - H13566)</f>
        <v>-2453.68999999999</v>
      </c>
      <c r="J13566" s="18" t="n">
        <v>0</v>
      </c>
      <c r="K13566" s="19" t="n">
        <v>0</v>
      </c>
      <c r="L13566" s="17"/>
    </row>
    <row r="13567" s="11" customFormat="true" ht="10.95" hidden="false" customHeight="true" outlineLevel="0" collapsed="false">
      <c r="A13567" s="16" t="n">
        <v>45436</v>
      </c>
      <c r="B13567" s="17" t="s">
        <v>4548</v>
      </c>
      <c r="C13567" s="17" t="s">
        <v>3614</v>
      </c>
      <c r="D13567" s="17" t="s">
        <v>1407</v>
      </c>
      <c r="E13567" s="17" t="s">
        <v>3642</v>
      </c>
      <c r="F13567" s="17"/>
      <c r="G13567" s="18" t="n">
        <v>13.76</v>
      </c>
      <c r="H13567" s="18" t="n">
        <v>0</v>
      </c>
      <c r="I13567" s="18" t="n">
        <f aca="false">((I13566 + G13567) - H13567)</f>
        <v>-2439.92999999999</v>
      </c>
      <c r="J13567" s="18" t="n">
        <v>0</v>
      </c>
      <c r="K13567" s="19" t="n">
        <v>0</v>
      </c>
      <c r="L13567" s="17"/>
    </row>
    <row r="13568" s="11" customFormat="true" ht="10.95" hidden="false" customHeight="true" outlineLevel="0" collapsed="false">
      <c r="A13568" s="16" t="n">
        <v>45436</v>
      </c>
      <c r="B13568" s="17" t="s">
        <v>4548</v>
      </c>
      <c r="C13568" s="17" t="s">
        <v>3614</v>
      </c>
      <c r="D13568" s="17" t="s">
        <v>1391</v>
      </c>
      <c r="E13568" s="17" t="s">
        <v>3673</v>
      </c>
      <c r="F13568" s="17" t="s">
        <v>3227</v>
      </c>
      <c r="G13568" s="18" t="n">
        <v>2128.82</v>
      </c>
      <c r="H13568" s="18" t="n">
        <v>0</v>
      </c>
      <c r="I13568" s="18" t="n">
        <f aca="false">((I13567 + G13568) - H13568)</f>
        <v>-311.109999999992</v>
      </c>
      <c r="J13568" s="18" t="n">
        <v>0</v>
      </c>
      <c r="K13568" s="19" t="n">
        <v>0</v>
      </c>
      <c r="L13568" s="17"/>
    </row>
    <row r="13569" s="11" customFormat="true" ht="10.95" hidden="false" customHeight="true" outlineLevel="0" collapsed="false">
      <c r="A13569" s="16" t="n">
        <v>45437</v>
      </c>
      <c r="B13569" s="17" t="s">
        <v>4548</v>
      </c>
      <c r="C13569" s="17" t="s">
        <v>3614</v>
      </c>
      <c r="D13569" s="17" t="s">
        <v>1407</v>
      </c>
      <c r="E13569" s="17" t="s">
        <v>3770</v>
      </c>
      <c r="F13569" s="17"/>
      <c r="G13569" s="18" t="n">
        <v>2.09</v>
      </c>
      <c r="H13569" s="18" t="n">
        <v>0</v>
      </c>
      <c r="I13569" s="18" t="n">
        <f aca="false">((I13568 + G13569) - H13569)</f>
        <v>-309.019999999992</v>
      </c>
      <c r="J13569" s="18" t="n">
        <v>0</v>
      </c>
      <c r="K13569" s="19" t="n">
        <v>0</v>
      </c>
      <c r="L13569" s="17"/>
    </row>
    <row r="13570" s="11" customFormat="true" ht="10.95" hidden="false" customHeight="true" outlineLevel="0" collapsed="false">
      <c r="A13570" s="16" t="n">
        <v>45437</v>
      </c>
      <c r="B13570" s="17" t="s">
        <v>4548</v>
      </c>
      <c r="C13570" s="17" t="s">
        <v>3614</v>
      </c>
      <c r="D13570" s="17" t="s">
        <v>1391</v>
      </c>
      <c r="E13570" s="17" t="s">
        <v>1583</v>
      </c>
      <c r="F13570" s="17" t="s">
        <v>2575</v>
      </c>
      <c r="G13570" s="18" t="n">
        <v>4.45</v>
      </c>
      <c r="H13570" s="18" t="n">
        <v>0</v>
      </c>
      <c r="I13570" s="18" t="n">
        <f aca="false">((I13569 + G13570) - H13570)</f>
        <v>-304.569999999992</v>
      </c>
      <c r="J13570" s="18" t="n">
        <v>0</v>
      </c>
      <c r="K13570" s="19" t="n">
        <v>0</v>
      </c>
      <c r="L13570" s="17"/>
    </row>
    <row r="13571" s="11" customFormat="true" ht="10.95" hidden="false" customHeight="true" outlineLevel="0" collapsed="false">
      <c r="A13571" s="16" t="n">
        <v>45437</v>
      </c>
      <c r="B13571" s="17" t="s">
        <v>4548</v>
      </c>
      <c r="C13571" s="17" t="s">
        <v>3614</v>
      </c>
      <c r="D13571" s="17" t="s">
        <v>1407</v>
      </c>
      <c r="E13571" s="17" t="s">
        <v>3720</v>
      </c>
      <c r="F13571" s="17"/>
      <c r="G13571" s="18" t="n">
        <v>12.27</v>
      </c>
      <c r="H13571" s="18" t="n">
        <v>0</v>
      </c>
      <c r="I13571" s="18" t="n">
        <f aca="false">((I13570 + G13571) - H13571)</f>
        <v>-292.299999999992</v>
      </c>
      <c r="J13571" s="18" t="n">
        <v>0</v>
      </c>
      <c r="K13571" s="19" t="n">
        <v>0</v>
      </c>
      <c r="L13571" s="17"/>
    </row>
    <row r="13572" s="11" customFormat="true" ht="10.95" hidden="false" customHeight="true" outlineLevel="0" collapsed="false">
      <c r="A13572" s="16" t="n">
        <v>45439</v>
      </c>
      <c r="B13572" s="17" t="s">
        <v>4548</v>
      </c>
      <c r="C13572" s="17" t="s">
        <v>3614</v>
      </c>
      <c r="D13572" s="17" t="s">
        <v>1407</v>
      </c>
      <c r="E13572" s="17" t="s">
        <v>3832</v>
      </c>
      <c r="F13572" s="17"/>
      <c r="G13572" s="18" t="n">
        <v>12.35</v>
      </c>
      <c r="H13572" s="18" t="n">
        <v>0</v>
      </c>
      <c r="I13572" s="18" t="n">
        <f aca="false">((I13571 + G13572) - H13572)</f>
        <v>-279.949999999992</v>
      </c>
      <c r="J13572" s="18" t="n">
        <v>0</v>
      </c>
      <c r="K13572" s="19" t="n">
        <v>0</v>
      </c>
      <c r="L13572" s="17"/>
    </row>
    <row r="13573" s="11" customFormat="true" ht="10.95" hidden="false" customHeight="true" outlineLevel="0" collapsed="false">
      <c r="A13573" s="16" t="n">
        <v>45439</v>
      </c>
      <c r="B13573" s="17" t="s">
        <v>4548</v>
      </c>
      <c r="C13573" s="17" t="s">
        <v>3614</v>
      </c>
      <c r="D13573" s="17" t="s">
        <v>1391</v>
      </c>
      <c r="E13573" s="17" t="s">
        <v>3720</v>
      </c>
      <c r="F13573" s="17" t="s">
        <v>2737</v>
      </c>
      <c r="G13573" s="18" t="n">
        <v>199.16</v>
      </c>
      <c r="H13573" s="18" t="n">
        <v>0</v>
      </c>
      <c r="I13573" s="18" t="n">
        <f aca="false">((I13572 + G13573) - H13573)</f>
        <v>-80.7899999999924</v>
      </c>
      <c r="J13573" s="18" t="n">
        <v>0</v>
      </c>
      <c r="K13573" s="19" t="n">
        <v>0</v>
      </c>
      <c r="L13573" s="17"/>
    </row>
    <row r="13574" s="11" customFormat="true" ht="10.95" hidden="false" customHeight="true" outlineLevel="0" collapsed="false">
      <c r="A13574" s="16" t="n">
        <v>45440</v>
      </c>
      <c r="B13574" s="17" t="s">
        <v>4548</v>
      </c>
      <c r="C13574" s="17" t="s">
        <v>3614</v>
      </c>
      <c r="D13574" s="17" t="s">
        <v>1407</v>
      </c>
      <c r="E13574" s="17" t="s">
        <v>2747</v>
      </c>
      <c r="F13574" s="17"/>
      <c r="G13574" s="18" t="n">
        <v>3.55</v>
      </c>
      <c r="H13574" s="18" t="n">
        <v>0</v>
      </c>
      <c r="I13574" s="18" t="n">
        <f aca="false">((I13573 + G13574) - H13574)</f>
        <v>-77.2399999999924</v>
      </c>
      <c r="J13574" s="18" t="n">
        <v>0</v>
      </c>
      <c r="K13574" s="19" t="n">
        <v>0</v>
      </c>
      <c r="L13574" s="17"/>
    </row>
    <row r="13575" s="11" customFormat="true" ht="10.95" hidden="false" customHeight="true" outlineLevel="0" collapsed="false">
      <c r="A13575" s="16" t="n">
        <v>45440</v>
      </c>
      <c r="B13575" s="17" t="s">
        <v>4548</v>
      </c>
      <c r="C13575" s="17" t="s">
        <v>3614</v>
      </c>
      <c r="D13575" s="17" t="s">
        <v>1407</v>
      </c>
      <c r="E13575" s="17" t="s">
        <v>3967</v>
      </c>
      <c r="F13575" s="17"/>
      <c r="G13575" s="18" t="n">
        <v>4.36</v>
      </c>
      <c r="H13575" s="18" t="n">
        <v>0</v>
      </c>
      <c r="I13575" s="18" t="n">
        <f aca="false">((I13574 + G13575) - H13575)</f>
        <v>-72.8799999999924</v>
      </c>
      <c r="J13575" s="18" t="n">
        <v>0</v>
      </c>
      <c r="K13575" s="19" t="n">
        <v>0</v>
      </c>
      <c r="L13575" s="17"/>
    </row>
    <row r="13576" s="11" customFormat="true" ht="10.95" hidden="false" customHeight="true" outlineLevel="0" collapsed="false">
      <c r="A13576" s="16" t="n">
        <v>45440</v>
      </c>
      <c r="B13576" s="17" t="s">
        <v>4548</v>
      </c>
      <c r="C13576" s="17" t="s">
        <v>3614</v>
      </c>
      <c r="D13576" s="17" t="s">
        <v>1407</v>
      </c>
      <c r="E13576" s="17" t="s">
        <v>3976</v>
      </c>
      <c r="F13576" s="17"/>
      <c r="G13576" s="18" t="n">
        <v>17.19</v>
      </c>
      <c r="H13576" s="18" t="n">
        <v>0</v>
      </c>
      <c r="I13576" s="18" t="n">
        <f aca="false">((I13575 + G13576) - H13576)</f>
        <v>-55.6899999999924</v>
      </c>
      <c r="J13576" s="18" t="n">
        <v>0</v>
      </c>
      <c r="K13576" s="19" t="n">
        <v>0</v>
      </c>
      <c r="L13576" s="17"/>
    </row>
    <row r="13577" s="11" customFormat="true" ht="10.95" hidden="false" customHeight="true" outlineLevel="0" collapsed="false">
      <c r="A13577" s="16" t="n">
        <v>45440</v>
      </c>
      <c r="B13577" s="17" t="s">
        <v>4548</v>
      </c>
      <c r="C13577" s="17" t="s">
        <v>3614</v>
      </c>
      <c r="D13577" s="17" t="s">
        <v>1391</v>
      </c>
      <c r="E13577" s="17" t="s">
        <v>3647</v>
      </c>
      <c r="F13577" s="17" t="s">
        <v>1567</v>
      </c>
      <c r="G13577" s="18" t="n">
        <v>588.92</v>
      </c>
      <c r="H13577" s="18" t="n">
        <v>0</v>
      </c>
      <c r="I13577" s="18" t="n">
        <f aca="false">((I13576 + G13577) - H13577)</f>
        <v>533.230000000008</v>
      </c>
      <c r="J13577" s="18" t="n">
        <v>0</v>
      </c>
      <c r="K13577" s="19" t="n">
        <v>0</v>
      </c>
      <c r="L13577" s="17"/>
    </row>
    <row r="13578" s="11" customFormat="true" ht="10.95" hidden="false" customHeight="true" outlineLevel="0" collapsed="false">
      <c r="A13578" s="16" t="n">
        <v>45441</v>
      </c>
      <c r="B13578" s="17" t="s">
        <v>4548</v>
      </c>
      <c r="C13578" s="17" t="s">
        <v>3614</v>
      </c>
      <c r="D13578" s="17" t="s">
        <v>1391</v>
      </c>
      <c r="E13578" s="17" t="s">
        <v>3661</v>
      </c>
      <c r="F13578" s="17" t="s">
        <v>1764</v>
      </c>
      <c r="G13578" s="18" t="n">
        <v>120</v>
      </c>
      <c r="H13578" s="18" t="n">
        <v>0</v>
      </c>
      <c r="I13578" s="18" t="n">
        <f aca="false">((I13577 + G13578) - H13578)</f>
        <v>653.230000000008</v>
      </c>
      <c r="J13578" s="18" t="n">
        <v>0</v>
      </c>
      <c r="K13578" s="19" t="n">
        <v>0</v>
      </c>
      <c r="L13578" s="17"/>
    </row>
    <row r="13579" s="11" customFormat="true" ht="10.95" hidden="false" customHeight="true" outlineLevel="0" collapsed="false">
      <c r="A13579" s="16" t="n">
        <v>45443</v>
      </c>
      <c r="B13579" s="17" t="s">
        <v>4548</v>
      </c>
      <c r="C13579" s="17" t="s">
        <v>3614</v>
      </c>
      <c r="D13579" s="17" t="s">
        <v>1407</v>
      </c>
      <c r="E13579" s="17" t="s">
        <v>3865</v>
      </c>
      <c r="F13579" s="17"/>
      <c r="G13579" s="18" t="n">
        <v>7.5</v>
      </c>
      <c r="H13579" s="18" t="n">
        <v>0</v>
      </c>
      <c r="I13579" s="18" t="n">
        <f aca="false">((I13578 + G13579) - H13579)</f>
        <v>660.730000000008</v>
      </c>
      <c r="J13579" s="18" t="n">
        <v>0</v>
      </c>
      <c r="K13579" s="19" t="n">
        <v>0</v>
      </c>
      <c r="L13579" s="17"/>
    </row>
    <row r="13580" s="11" customFormat="true" ht="10.95" hidden="false" customHeight="true" outlineLevel="0" collapsed="false">
      <c r="A13580" s="16" t="n">
        <v>45444</v>
      </c>
      <c r="B13580" s="17" t="s">
        <v>4548</v>
      </c>
      <c r="C13580" s="17" t="s">
        <v>3614</v>
      </c>
      <c r="D13580" s="17" t="s">
        <v>1391</v>
      </c>
      <c r="E13580" s="17" t="s">
        <v>3615</v>
      </c>
      <c r="F13580" s="17" t="s">
        <v>1571</v>
      </c>
      <c r="G13580" s="18" t="n">
        <v>48.98</v>
      </c>
      <c r="H13580" s="18" t="n">
        <v>0</v>
      </c>
      <c r="I13580" s="18" t="n">
        <f aca="false">((I13579 + G13580) - H13580)</f>
        <v>709.710000000008</v>
      </c>
      <c r="J13580" s="18" t="n">
        <v>0</v>
      </c>
      <c r="K13580" s="19" t="n">
        <v>0</v>
      </c>
      <c r="L13580" s="17"/>
    </row>
    <row r="13581" s="11" customFormat="true" ht="10.95" hidden="false" customHeight="true" outlineLevel="0" collapsed="false">
      <c r="A13581" s="16" t="n">
        <v>45444</v>
      </c>
      <c r="B13581" s="17" t="s">
        <v>4548</v>
      </c>
      <c r="C13581" s="17" t="s">
        <v>3614</v>
      </c>
      <c r="D13581" s="17" t="s">
        <v>1391</v>
      </c>
      <c r="E13581" s="17" t="s">
        <v>3621</v>
      </c>
      <c r="F13581" s="17" t="s">
        <v>2741</v>
      </c>
      <c r="G13581" s="18" t="n">
        <v>66.5</v>
      </c>
      <c r="H13581" s="18" t="n">
        <v>0</v>
      </c>
      <c r="I13581" s="18" t="n">
        <f aca="false">((I13580 + G13581) - H13581)</f>
        <v>776.210000000008</v>
      </c>
      <c r="J13581" s="18" t="n">
        <v>0</v>
      </c>
      <c r="K13581" s="19" t="n">
        <v>0</v>
      </c>
      <c r="L13581" s="17"/>
    </row>
    <row r="13582" s="11" customFormat="true" ht="10.95" hidden="false" customHeight="true" outlineLevel="0" collapsed="false">
      <c r="A13582" s="16" t="n">
        <v>45445</v>
      </c>
      <c r="B13582" s="17" t="s">
        <v>4548</v>
      </c>
      <c r="C13582" s="17" t="s">
        <v>3614</v>
      </c>
      <c r="D13582" s="17" t="s">
        <v>1391</v>
      </c>
      <c r="E13582" s="17" t="s">
        <v>3625</v>
      </c>
      <c r="F13582" s="17" t="s">
        <v>3333</v>
      </c>
      <c r="G13582" s="18" t="n">
        <v>17.33</v>
      </c>
      <c r="H13582" s="18" t="n">
        <v>0</v>
      </c>
      <c r="I13582" s="18" t="n">
        <f aca="false">((I13581 + G13582) - H13582)</f>
        <v>793.540000000008</v>
      </c>
      <c r="J13582" s="18" t="n">
        <v>0</v>
      </c>
      <c r="K13582" s="19" t="n">
        <v>0</v>
      </c>
      <c r="L13582" s="17"/>
    </row>
    <row r="13583" s="11" customFormat="true" ht="10.95" hidden="false" customHeight="true" outlineLevel="0" collapsed="false">
      <c r="A13583" s="16" t="n">
        <v>45445</v>
      </c>
      <c r="B13583" s="17" t="s">
        <v>4548</v>
      </c>
      <c r="C13583" s="17" t="s">
        <v>3614</v>
      </c>
      <c r="D13583" s="17" t="s">
        <v>1391</v>
      </c>
      <c r="E13583" s="17" t="s">
        <v>3733</v>
      </c>
      <c r="F13583" s="17" t="s">
        <v>2093</v>
      </c>
      <c r="G13583" s="18" t="n">
        <v>85</v>
      </c>
      <c r="H13583" s="18" t="n">
        <v>0</v>
      </c>
      <c r="I13583" s="18" t="n">
        <f aca="false">((I13582 + G13583) - H13583)</f>
        <v>878.540000000008</v>
      </c>
      <c r="J13583" s="18" t="n">
        <v>0</v>
      </c>
      <c r="K13583" s="19" t="n">
        <v>0</v>
      </c>
      <c r="L13583" s="17"/>
    </row>
    <row r="13584" s="11" customFormat="true" ht="10.95" hidden="false" customHeight="true" outlineLevel="0" collapsed="false">
      <c r="A13584" s="16" t="n">
        <v>45446</v>
      </c>
      <c r="B13584" s="17" t="s">
        <v>4548</v>
      </c>
      <c r="C13584" s="17" t="s">
        <v>3614</v>
      </c>
      <c r="D13584" s="17" t="s">
        <v>1407</v>
      </c>
      <c r="E13584" s="17" t="s">
        <v>3804</v>
      </c>
      <c r="F13584" s="17"/>
      <c r="G13584" s="18" t="n">
        <v>3.64</v>
      </c>
      <c r="H13584" s="18" t="n">
        <v>0</v>
      </c>
      <c r="I13584" s="18" t="n">
        <f aca="false">((I13583 + G13584) - H13584)</f>
        <v>882.180000000008</v>
      </c>
      <c r="J13584" s="18" t="n">
        <v>0</v>
      </c>
      <c r="K13584" s="19" t="n">
        <v>0</v>
      </c>
      <c r="L13584" s="17"/>
    </row>
    <row r="13585" s="11" customFormat="true" ht="10.95" hidden="false" customHeight="true" outlineLevel="0" collapsed="false">
      <c r="A13585" s="16" t="n">
        <v>45446</v>
      </c>
      <c r="B13585" s="17" t="s">
        <v>4548</v>
      </c>
      <c r="C13585" s="17" t="s">
        <v>3614</v>
      </c>
      <c r="D13585" s="17" t="s">
        <v>1391</v>
      </c>
      <c r="E13585" s="17" t="s">
        <v>3734</v>
      </c>
      <c r="F13585" s="17" t="s">
        <v>2577</v>
      </c>
      <c r="G13585" s="18" t="n">
        <v>12.88</v>
      </c>
      <c r="H13585" s="18" t="n">
        <v>0</v>
      </c>
      <c r="I13585" s="18" t="n">
        <f aca="false">((I13584 + G13585) - H13585)</f>
        <v>895.060000000008</v>
      </c>
      <c r="J13585" s="18" t="n">
        <v>0</v>
      </c>
      <c r="K13585" s="19" t="n">
        <v>0</v>
      </c>
      <c r="L13585" s="17"/>
    </row>
    <row r="13586" s="11" customFormat="true" ht="10.95" hidden="false" customHeight="true" outlineLevel="0" collapsed="false">
      <c r="A13586" s="16" t="n">
        <v>45447</v>
      </c>
      <c r="B13586" s="17" t="s">
        <v>4548</v>
      </c>
      <c r="C13586" s="17" t="s">
        <v>3614</v>
      </c>
      <c r="D13586" s="17" t="s">
        <v>1391</v>
      </c>
      <c r="E13586" s="17" t="s">
        <v>3615</v>
      </c>
      <c r="F13586" s="17" t="s">
        <v>1575</v>
      </c>
      <c r="G13586" s="18" t="n">
        <v>2472.04</v>
      </c>
      <c r="H13586" s="18" t="n">
        <v>0</v>
      </c>
      <c r="I13586" s="18" t="n">
        <f aca="false">((I13585 + G13586) - H13586)</f>
        <v>3367.10000000001</v>
      </c>
      <c r="J13586" s="18" t="n">
        <v>0</v>
      </c>
      <c r="K13586" s="19" t="n">
        <v>0</v>
      </c>
      <c r="L13586" s="17"/>
    </row>
    <row r="13587" s="11" customFormat="true" ht="10.95" hidden="false" customHeight="true" outlineLevel="0" collapsed="false">
      <c r="A13587" s="16" t="n">
        <v>45447</v>
      </c>
      <c r="B13587" s="17" t="s">
        <v>4548</v>
      </c>
      <c r="C13587" s="17" t="s">
        <v>3614</v>
      </c>
      <c r="D13587" s="17" t="s">
        <v>1391</v>
      </c>
      <c r="E13587" s="17" t="s">
        <v>3615</v>
      </c>
      <c r="F13587" s="17" t="s">
        <v>1577</v>
      </c>
      <c r="G13587" s="18" t="n">
        <v>250.51</v>
      </c>
      <c r="H13587" s="18" t="n">
        <v>0</v>
      </c>
      <c r="I13587" s="18" t="n">
        <f aca="false">((I13586 + G13587) - H13587)</f>
        <v>3617.61000000001</v>
      </c>
      <c r="J13587" s="18" t="n">
        <v>0</v>
      </c>
      <c r="K13587" s="19" t="n">
        <v>0</v>
      </c>
      <c r="L13587" s="17"/>
    </row>
    <row r="13588" s="11" customFormat="true" ht="10.95" hidden="false" customHeight="true" outlineLevel="0" collapsed="false">
      <c r="A13588" s="16" t="n">
        <v>45447</v>
      </c>
      <c r="B13588" s="17" t="s">
        <v>4548</v>
      </c>
      <c r="C13588" s="17" t="s">
        <v>3614</v>
      </c>
      <c r="D13588" s="17" t="s">
        <v>1391</v>
      </c>
      <c r="E13588" s="17" t="s">
        <v>3622</v>
      </c>
      <c r="F13588" s="17" t="s">
        <v>1579</v>
      </c>
      <c r="G13588" s="18" t="n">
        <v>210.58</v>
      </c>
      <c r="H13588" s="18" t="n">
        <v>0</v>
      </c>
      <c r="I13588" s="18" t="n">
        <f aca="false">((I13587 + G13588) - H13588)</f>
        <v>3828.19000000001</v>
      </c>
      <c r="J13588" s="18" t="n">
        <v>0</v>
      </c>
      <c r="K13588" s="19" t="n">
        <v>0</v>
      </c>
      <c r="L13588" s="17"/>
    </row>
    <row r="13589" s="11" customFormat="true" ht="10.95" hidden="false" customHeight="true" outlineLevel="0" collapsed="false">
      <c r="A13589" s="16" t="n">
        <v>45448</v>
      </c>
      <c r="B13589" s="17" t="s">
        <v>4548</v>
      </c>
      <c r="C13589" s="17" t="s">
        <v>3614</v>
      </c>
      <c r="D13589" s="17" t="s">
        <v>1407</v>
      </c>
      <c r="E13589" s="17" t="s">
        <v>3888</v>
      </c>
      <c r="F13589" s="17"/>
      <c r="G13589" s="18" t="n">
        <v>44.02</v>
      </c>
      <c r="H13589" s="18" t="n">
        <v>0</v>
      </c>
      <c r="I13589" s="18" t="n">
        <f aca="false">((I13588 + G13589) - H13589)</f>
        <v>3872.21000000001</v>
      </c>
      <c r="J13589" s="18" t="n">
        <v>0</v>
      </c>
      <c r="K13589" s="19" t="n">
        <v>0</v>
      </c>
      <c r="L13589" s="17"/>
    </row>
    <row r="13590" s="11" customFormat="true" ht="10.95" hidden="false" customHeight="true" outlineLevel="0" collapsed="false">
      <c r="A13590" s="16" t="n">
        <v>45449</v>
      </c>
      <c r="B13590" s="17" t="s">
        <v>4548</v>
      </c>
      <c r="C13590" s="17" t="s">
        <v>3614</v>
      </c>
      <c r="D13590" s="17" t="s">
        <v>1391</v>
      </c>
      <c r="E13590" s="17" t="s">
        <v>3647</v>
      </c>
      <c r="F13590" s="17" t="s">
        <v>3230</v>
      </c>
      <c r="G13590" s="18" t="n">
        <v>385.81</v>
      </c>
      <c r="H13590" s="18" t="n">
        <v>0</v>
      </c>
      <c r="I13590" s="18" t="n">
        <f aca="false">((I13589 + G13590) - H13590)</f>
        <v>4258.02000000001</v>
      </c>
      <c r="J13590" s="18" t="n">
        <v>0</v>
      </c>
      <c r="K13590" s="19" t="n">
        <v>0</v>
      </c>
      <c r="L13590" s="17"/>
    </row>
    <row r="13591" s="11" customFormat="true" ht="10.95" hidden="false" customHeight="true" outlineLevel="0" collapsed="false">
      <c r="A13591" s="16" t="n">
        <v>45449</v>
      </c>
      <c r="B13591" s="17" t="s">
        <v>4548</v>
      </c>
      <c r="C13591" s="17" t="s">
        <v>3614</v>
      </c>
      <c r="D13591" s="17" t="s">
        <v>1391</v>
      </c>
      <c r="E13591" s="17" t="s">
        <v>3647</v>
      </c>
      <c r="F13591" s="17" t="s">
        <v>3232</v>
      </c>
      <c r="G13591" s="18" t="n">
        <v>459.39</v>
      </c>
      <c r="H13591" s="18" t="n">
        <v>0</v>
      </c>
      <c r="I13591" s="18" t="n">
        <f aca="false">((I13590 + G13591) - H13591)</f>
        <v>4717.41000000001</v>
      </c>
      <c r="J13591" s="18" t="n">
        <v>0</v>
      </c>
      <c r="K13591" s="19" t="n">
        <v>0</v>
      </c>
      <c r="L13591" s="17"/>
    </row>
    <row r="13592" s="11" customFormat="true" ht="10.95" hidden="false" customHeight="true" outlineLevel="0" collapsed="false">
      <c r="A13592" s="16" t="n">
        <v>45449</v>
      </c>
      <c r="B13592" s="17" t="s">
        <v>4548</v>
      </c>
      <c r="C13592" s="17" t="s">
        <v>3614</v>
      </c>
      <c r="D13592" s="17" t="s">
        <v>1407</v>
      </c>
      <c r="E13592" s="17" t="s">
        <v>3642</v>
      </c>
      <c r="F13592" s="17"/>
      <c r="G13592" s="18" t="n">
        <v>1.2</v>
      </c>
      <c r="H13592" s="18" t="n">
        <v>0</v>
      </c>
      <c r="I13592" s="18" t="n">
        <f aca="false">((I13591 + G13592) - H13592)</f>
        <v>4718.61000000001</v>
      </c>
      <c r="J13592" s="18" t="n">
        <v>0</v>
      </c>
      <c r="K13592" s="19" t="n">
        <v>0</v>
      </c>
      <c r="L13592" s="17"/>
    </row>
    <row r="13593" s="11" customFormat="true" ht="10.95" hidden="false" customHeight="true" outlineLevel="0" collapsed="false">
      <c r="A13593" s="16" t="n">
        <v>45449</v>
      </c>
      <c r="B13593" s="17" t="s">
        <v>4548</v>
      </c>
      <c r="C13593" s="17" t="s">
        <v>3614</v>
      </c>
      <c r="D13593" s="17" t="s">
        <v>1407</v>
      </c>
      <c r="E13593" s="17" t="s">
        <v>3642</v>
      </c>
      <c r="F13593" s="17"/>
      <c r="G13593" s="18" t="n">
        <v>1.87</v>
      </c>
      <c r="H13593" s="18" t="n">
        <v>0</v>
      </c>
      <c r="I13593" s="18" t="n">
        <f aca="false">((I13592 + G13593) - H13593)</f>
        <v>4720.48000000001</v>
      </c>
      <c r="J13593" s="18" t="n">
        <v>0</v>
      </c>
      <c r="K13593" s="19" t="n">
        <v>0</v>
      </c>
      <c r="L13593" s="17"/>
    </row>
    <row r="13594" s="11" customFormat="true" ht="10.95" hidden="false" customHeight="true" outlineLevel="0" collapsed="false">
      <c r="A13594" s="16" t="n">
        <v>45449</v>
      </c>
      <c r="B13594" s="17" t="s">
        <v>4548</v>
      </c>
      <c r="C13594" s="17" t="s">
        <v>3614</v>
      </c>
      <c r="D13594" s="17" t="s">
        <v>1407</v>
      </c>
      <c r="E13594" s="17" t="s">
        <v>3642</v>
      </c>
      <c r="F13594" s="17"/>
      <c r="G13594" s="18" t="n">
        <v>2.6</v>
      </c>
      <c r="H13594" s="18" t="n">
        <v>0</v>
      </c>
      <c r="I13594" s="18" t="n">
        <f aca="false">((I13593 + G13594) - H13594)</f>
        <v>4723.08000000001</v>
      </c>
      <c r="J13594" s="18" t="n">
        <v>0</v>
      </c>
      <c r="K13594" s="19" t="n">
        <v>0</v>
      </c>
      <c r="L13594" s="17"/>
    </row>
    <row r="13595" s="11" customFormat="true" ht="10.95" hidden="false" customHeight="true" outlineLevel="0" collapsed="false">
      <c r="A13595" s="16" t="n">
        <v>45450</v>
      </c>
      <c r="B13595" s="17" t="s">
        <v>4548</v>
      </c>
      <c r="C13595" s="17" t="s">
        <v>3614</v>
      </c>
      <c r="D13595" s="17" t="s">
        <v>1407</v>
      </c>
      <c r="E13595" s="17" t="s">
        <v>3626</v>
      </c>
      <c r="F13595" s="17"/>
      <c r="G13595" s="18" t="n">
        <v>6.5</v>
      </c>
      <c r="H13595" s="18" t="n">
        <v>0</v>
      </c>
      <c r="I13595" s="18" t="n">
        <f aca="false">((I13594 + G13595) - H13595)</f>
        <v>4729.58000000001</v>
      </c>
      <c r="J13595" s="18" t="n">
        <v>0</v>
      </c>
      <c r="K13595" s="19" t="n">
        <v>0</v>
      </c>
      <c r="L13595" s="17"/>
    </row>
    <row r="13596" s="11" customFormat="true" ht="10.95" hidden="false" customHeight="true" outlineLevel="0" collapsed="false">
      <c r="A13596" s="16" t="n">
        <v>45450</v>
      </c>
      <c r="B13596" s="17" t="s">
        <v>4548</v>
      </c>
      <c r="C13596" s="17" t="s">
        <v>3614</v>
      </c>
      <c r="D13596" s="17" t="s">
        <v>1407</v>
      </c>
      <c r="E13596" s="17" t="s">
        <v>3888</v>
      </c>
      <c r="F13596" s="17"/>
      <c r="G13596" s="18" t="n">
        <v>19.66</v>
      </c>
      <c r="H13596" s="18" t="n">
        <v>0</v>
      </c>
      <c r="I13596" s="18" t="n">
        <f aca="false">((I13595 + G13596) - H13596)</f>
        <v>4749.24000000001</v>
      </c>
      <c r="J13596" s="18" t="n">
        <v>0</v>
      </c>
      <c r="K13596" s="19" t="n">
        <v>0</v>
      </c>
      <c r="L13596" s="17"/>
    </row>
    <row r="13597" s="11" customFormat="true" ht="10.95" hidden="false" customHeight="true" outlineLevel="0" collapsed="false">
      <c r="A13597" s="16" t="n">
        <v>45450</v>
      </c>
      <c r="B13597" s="17" t="s">
        <v>4548</v>
      </c>
      <c r="C13597" s="17" t="s">
        <v>3614</v>
      </c>
      <c r="D13597" s="17" t="s">
        <v>1407</v>
      </c>
      <c r="E13597" s="17" t="s">
        <v>3756</v>
      </c>
      <c r="F13597" s="17"/>
      <c r="G13597" s="18" t="n">
        <v>1.51</v>
      </c>
      <c r="H13597" s="18" t="n">
        <v>0</v>
      </c>
      <c r="I13597" s="18" t="n">
        <f aca="false">((I13596 + G13597) - H13597)</f>
        <v>4750.75000000001</v>
      </c>
      <c r="J13597" s="18" t="n">
        <v>0</v>
      </c>
      <c r="K13597" s="19" t="n">
        <v>0</v>
      </c>
      <c r="L13597" s="17"/>
    </row>
    <row r="13598" s="11" customFormat="true" ht="10.95" hidden="false" customHeight="true" outlineLevel="0" collapsed="false">
      <c r="A13598" s="16" t="n">
        <v>45451</v>
      </c>
      <c r="B13598" s="17" t="s">
        <v>4548</v>
      </c>
      <c r="C13598" s="17" t="s">
        <v>3614</v>
      </c>
      <c r="D13598" s="17" t="s">
        <v>1407</v>
      </c>
      <c r="E13598" s="17" t="s">
        <v>3880</v>
      </c>
      <c r="F13598" s="17"/>
      <c r="G13598" s="18" t="n">
        <v>154.55</v>
      </c>
      <c r="H13598" s="18" t="n">
        <v>0</v>
      </c>
      <c r="I13598" s="18" t="n">
        <f aca="false">((I13597 + G13598) - H13598)</f>
        <v>4905.30000000001</v>
      </c>
      <c r="J13598" s="18" t="n">
        <v>0</v>
      </c>
      <c r="K13598" s="19" t="n">
        <v>0</v>
      </c>
      <c r="L13598" s="17"/>
    </row>
    <row r="13599" s="11" customFormat="true" ht="10.95" hidden="false" customHeight="true" outlineLevel="0" collapsed="false">
      <c r="A13599" s="16" t="n">
        <v>45451</v>
      </c>
      <c r="B13599" s="17" t="s">
        <v>4548</v>
      </c>
      <c r="C13599" s="17" t="s">
        <v>3614</v>
      </c>
      <c r="D13599" s="17" t="s">
        <v>1391</v>
      </c>
      <c r="E13599" s="17" t="s">
        <v>3638</v>
      </c>
      <c r="F13599" s="17" t="s">
        <v>3335</v>
      </c>
      <c r="G13599" s="18" t="n">
        <v>54.12</v>
      </c>
      <c r="H13599" s="18" t="n">
        <v>0</v>
      </c>
      <c r="I13599" s="18" t="n">
        <f aca="false">((I13598 + G13599) - H13599)</f>
        <v>4959.42000000001</v>
      </c>
      <c r="J13599" s="18" t="n">
        <v>0</v>
      </c>
      <c r="K13599" s="19" t="n">
        <v>0</v>
      </c>
      <c r="L13599" s="17"/>
    </row>
    <row r="13600" s="11" customFormat="true" ht="10.95" hidden="false" customHeight="true" outlineLevel="0" collapsed="false">
      <c r="A13600" s="16" t="n">
        <v>45451</v>
      </c>
      <c r="B13600" s="17" t="s">
        <v>4548</v>
      </c>
      <c r="C13600" s="17" t="s">
        <v>3614</v>
      </c>
      <c r="D13600" s="17" t="s">
        <v>1391</v>
      </c>
      <c r="E13600" s="17" t="s">
        <v>3736</v>
      </c>
      <c r="F13600" s="17" t="s">
        <v>3605</v>
      </c>
      <c r="G13600" s="18" t="n">
        <v>241.64</v>
      </c>
      <c r="H13600" s="18" t="n">
        <v>0</v>
      </c>
      <c r="I13600" s="18" t="n">
        <f aca="false">((I13599 + G13600) - H13600)</f>
        <v>5201.06000000001</v>
      </c>
      <c r="J13600" s="18" t="n">
        <v>0</v>
      </c>
      <c r="K13600" s="19" t="n">
        <v>0</v>
      </c>
      <c r="L13600" s="17"/>
    </row>
    <row r="13601" s="11" customFormat="true" ht="10.95" hidden="false" customHeight="true" outlineLevel="0" collapsed="false">
      <c r="A13601" s="16" t="n">
        <v>45452</v>
      </c>
      <c r="B13601" s="17" t="s">
        <v>4548</v>
      </c>
      <c r="C13601" s="17" t="s">
        <v>3614</v>
      </c>
      <c r="D13601" s="17" t="s">
        <v>1391</v>
      </c>
      <c r="E13601" s="17" t="s">
        <v>3638</v>
      </c>
      <c r="F13601" s="17" t="s">
        <v>3337</v>
      </c>
      <c r="G13601" s="18" t="n">
        <v>278.5</v>
      </c>
      <c r="H13601" s="18" t="n">
        <v>0</v>
      </c>
      <c r="I13601" s="18" t="n">
        <f aca="false">((I13600 + G13601) - H13601)</f>
        <v>5479.56000000001</v>
      </c>
      <c r="J13601" s="18" t="n">
        <v>0</v>
      </c>
      <c r="K13601" s="19" t="n">
        <v>0</v>
      </c>
      <c r="L13601" s="17"/>
    </row>
    <row r="13602" s="11" customFormat="true" ht="10.95" hidden="false" customHeight="true" outlineLevel="0" collapsed="false">
      <c r="A13602" s="16" t="n">
        <v>45452</v>
      </c>
      <c r="B13602" s="17" t="s">
        <v>4548</v>
      </c>
      <c r="C13602" s="17" t="s">
        <v>3614</v>
      </c>
      <c r="D13602" s="17" t="s">
        <v>1407</v>
      </c>
      <c r="E13602" s="17" t="s">
        <v>4478</v>
      </c>
      <c r="F13602" s="17"/>
      <c r="G13602" s="18" t="n">
        <v>11.35</v>
      </c>
      <c r="H13602" s="18" t="n">
        <v>0</v>
      </c>
      <c r="I13602" s="18" t="n">
        <f aca="false">((I13601 + G13602) - H13602)</f>
        <v>5490.91000000001</v>
      </c>
      <c r="J13602" s="18" t="n">
        <v>0</v>
      </c>
      <c r="K13602" s="19" t="n">
        <v>0</v>
      </c>
      <c r="L13602" s="17"/>
    </row>
    <row r="13603" s="11" customFormat="true" ht="10.95" hidden="false" customHeight="true" outlineLevel="0" collapsed="false">
      <c r="A13603" s="16" t="n">
        <v>45454</v>
      </c>
      <c r="B13603" s="17" t="s">
        <v>4548</v>
      </c>
      <c r="C13603" s="17" t="s">
        <v>3614</v>
      </c>
      <c r="D13603" s="17" t="s">
        <v>1407</v>
      </c>
      <c r="E13603" s="17" t="s">
        <v>3896</v>
      </c>
      <c r="F13603" s="17"/>
      <c r="G13603" s="18" t="n">
        <v>2.18</v>
      </c>
      <c r="H13603" s="18" t="n">
        <v>0</v>
      </c>
      <c r="I13603" s="18" t="n">
        <f aca="false">((I13602 + G13603) - H13603)</f>
        <v>5493.09000000001</v>
      </c>
      <c r="J13603" s="18" t="n">
        <v>0</v>
      </c>
      <c r="K13603" s="19" t="n">
        <v>0</v>
      </c>
      <c r="L13603" s="17"/>
    </row>
    <row r="13604" s="11" customFormat="true" ht="10.95" hidden="false" customHeight="true" outlineLevel="0" collapsed="false">
      <c r="A13604" s="16" t="n">
        <v>45454</v>
      </c>
      <c r="B13604" s="17" t="s">
        <v>4548</v>
      </c>
      <c r="C13604" s="17" t="s">
        <v>3614</v>
      </c>
      <c r="D13604" s="17" t="s">
        <v>1407</v>
      </c>
      <c r="E13604" s="17" t="s">
        <v>4483</v>
      </c>
      <c r="F13604" s="17"/>
      <c r="G13604" s="18" t="n">
        <v>37.19</v>
      </c>
      <c r="H13604" s="18" t="n">
        <v>0</v>
      </c>
      <c r="I13604" s="18" t="n">
        <f aca="false">((I13603 + G13604) - H13604)</f>
        <v>5530.28000000001</v>
      </c>
      <c r="J13604" s="18" t="n">
        <v>0</v>
      </c>
      <c r="K13604" s="19" t="n">
        <v>0</v>
      </c>
      <c r="L13604" s="17"/>
    </row>
    <row r="13605" s="11" customFormat="true" ht="10.95" hidden="false" customHeight="true" outlineLevel="0" collapsed="false">
      <c r="A13605" s="16" t="n">
        <v>45455</v>
      </c>
      <c r="B13605" s="17" t="s">
        <v>4548</v>
      </c>
      <c r="C13605" s="17" t="s">
        <v>3614</v>
      </c>
      <c r="D13605" s="17" t="s">
        <v>1407</v>
      </c>
      <c r="E13605" s="17" t="s">
        <v>3736</v>
      </c>
      <c r="F13605" s="17"/>
      <c r="G13605" s="18" t="n">
        <v>19.91</v>
      </c>
      <c r="H13605" s="18" t="n">
        <v>0</v>
      </c>
      <c r="I13605" s="18" t="n">
        <f aca="false">((I13604 + G13605) - H13605)</f>
        <v>5550.19000000001</v>
      </c>
      <c r="J13605" s="18" t="n">
        <v>0</v>
      </c>
      <c r="K13605" s="19" t="n">
        <v>0</v>
      </c>
      <c r="L13605" s="17"/>
    </row>
    <row r="13606" s="11" customFormat="true" ht="10.95" hidden="false" customHeight="true" outlineLevel="0" collapsed="false">
      <c r="A13606" s="16" t="n">
        <v>45456</v>
      </c>
      <c r="B13606" s="17" t="s">
        <v>4548</v>
      </c>
      <c r="C13606" s="17" t="s">
        <v>3614</v>
      </c>
      <c r="D13606" s="17" t="s">
        <v>1407</v>
      </c>
      <c r="E13606" s="17" t="s">
        <v>3805</v>
      </c>
      <c r="F13606" s="17"/>
      <c r="G13606" s="18" t="n">
        <v>0.07</v>
      </c>
      <c r="H13606" s="18" t="n">
        <v>0</v>
      </c>
      <c r="I13606" s="18" t="n">
        <f aca="false">((I13605 + G13606) - H13606)</f>
        <v>5550.26000000001</v>
      </c>
      <c r="J13606" s="18" t="n">
        <v>0</v>
      </c>
      <c r="K13606" s="19" t="n">
        <v>0</v>
      </c>
      <c r="L13606" s="17"/>
    </row>
    <row r="13607" s="11" customFormat="true" ht="10.95" hidden="false" customHeight="true" outlineLevel="0" collapsed="false">
      <c r="A13607" s="16" t="n">
        <v>45456</v>
      </c>
      <c r="B13607" s="17" t="s">
        <v>4548</v>
      </c>
      <c r="C13607" s="17" t="s">
        <v>3614</v>
      </c>
      <c r="D13607" s="17" t="s">
        <v>1407</v>
      </c>
      <c r="E13607" s="17" t="s">
        <v>3902</v>
      </c>
      <c r="F13607" s="17"/>
      <c r="G13607" s="18" t="n">
        <v>77.73</v>
      </c>
      <c r="H13607" s="18" t="n">
        <v>0</v>
      </c>
      <c r="I13607" s="18" t="n">
        <f aca="false">((I13606 + G13607) - H13607)</f>
        <v>5627.99000000001</v>
      </c>
      <c r="J13607" s="18" t="n">
        <v>0</v>
      </c>
      <c r="K13607" s="19" t="n">
        <v>0</v>
      </c>
      <c r="L13607" s="17"/>
    </row>
    <row r="13608" s="11" customFormat="true" ht="10.95" hidden="false" customHeight="true" outlineLevel="0" collapsed="false">
      <c r="A13608" s="16" t="n">
        <v>45456</v>
      </c>
      <c r="B13608" s="17" t="s">
        <v>4548</v>
      </c>
      <c r="C13608" s="17" t="s">
        <v>3614</v>
      </c>
      <c r="D13608" s="17" t="s">
        <v>1391</v>
      </c>
      <c r="E13608" s="17" t="s">
        <v>3703</v>
      </c>
      <c r="F13608" s="17" t="s">
        <v>1642</v>
      </c>
      <c r="G13608" s="18" t="n">
        <v>4.65</v>
      </c>
      <c r="H13608" s="18" t="n">
        <v>0</v>
      </c>
      <c r="I13608" s="18" t="n">
        <f aca="false">((I13607 + G13608) - H13608)</f>
        <v>5632.64000000001</v>
      </c>
      <c r="J13608" s="18" t="n">
        <v>0</v>
      </c>
      <c r="K13608" s="19" t="n">
        <v>0</v>
      </c>
      <c r="L13608" s="17"/>
    </row>
    <row r="13609" s="11" customFormat="true" ht="10.95" hidden="false" customHeight="true" outlineLevel="0" collapsed="false">
      <c r="A13609" s="16" t="n">
        <v>45457</v>
      </c>
      <c r="B13609" s="17" t="s">
        <v>4548</v>
      </c>
      <c r="C13609" s="17" t="s">
        <v>3614</v>
      </c>
      <c r="D13609" s="17" t="s">
        <v>1391</v>
      </c>
      <c r="E13609" s="17" t="s">
        <v>3638</v>
      </c>
      <c r="F13609" s="17" t="s">
        <v>3339</v>
      </c>
      <c r="G13609" s="18" t="n">
        <v>19.9</v>
      </c>
      <c r="H13609" s="18" t="n">
        <v>0</v>
      </c>
      <c r="I13609" s="18" t="n">
        <f aca="false">((I13608 + G13609) - H13609)</f>
        <v>5652.54000000001</v>
      </c>
      <c r="J13609" s="18" t="n">
        <v>0</v>
      </c>
      <c r="K13609" s="19" t="n">
        <v>0</v>
      </c>
      <c r="L13609" s="17"/>
    </row>
    <row r="13610" s="11" customFormat="true" ht="10.95" hidden="false" customHeight="true" outlineLevel="0" collapsed="false">
      <c r="A13610" s="16" t="n">
        <v>45457</v>
      </c>
      <c r="B13610" s="17" t="s">
        <v>4548</v>
      </c>
      <c r="C13610" s="17" t="s">
        <v>3614</v>
      </c>
      <c r="D13610" s="17" t="s">
        <v>1391</v>
      </c>
      <c r="E13610" s="17" t="s">
        <v>3641</v>
      </c>
      <c r="F13610" s="17" t="s">
        <v>2744</v>
      </c>
      <c r="G13610" s="18" t="n">
        <v>26.49</v>
      </c>
      <c r="H13610" s="18" t="n">
        <v>0</v>
      </c>
      <c r="I13610" s="18" t="n">
        <f aca="false">((I13609 + G13610) - H13610)</f>
        <v>5679.03000000001</v>
      </c>
      <c r="J13610" s="18" t="n">
        <v>0</v>
      </c>
      <c r="K13610" s="19" t="n">
        <v>0</v>
      </c>
      <c r="L13610" s="17"/>
    </row>
    <row r="13611" s="11" customFormat="true" ht="10.95" hidden="false" customHeight="true" outlineLevel="0" collapsed="false">
      <c r="A13611" s="16" t="n">
        <v>45457</v>
      </c>
      <c r="B13611" s="17" t="s">
        <v>4548</v>
      </c>
      <c r="C13611" s="17" t="s">
        <v>3614</v>
      </c>
      <c r="D13611" s="17" t="s">
        <v>1407</v>
      </c>
      <c r="E13611" s="17" t="s">
        <v>4386</v>
      </c>
      <c r="F13611" s="17"/>
      <c r="G13611" s="18" t="n">
        <v>3.64</v>
      </c>
      <c r="H13611" s="18" t="n">
        <v>0</v>
      </c>
      <c r="I13611" s="18" t="n">
        <f aca="false">((I13610 + G13611) - H13611)</f>
        <v>5682.67000000001</v>
      </c>
      <c r="J13611" s="18" t="n">
        <v>0</v>
      </c>
      <c r="K13611" s="19" t="n">
        <v>0</v>
      </c>
      <c r="L13611" s="17"/>
    </row>
    <row r="13612" s="11" customFormat="true" ht="10.95" hidden="false" customHeight="true" outlineLevel="0" collapsed="false">
      <c r="A13612" s="16" t="n">
        <v>45457</v>
      </c>
      <c r="B13612" s="17" t="s">
        <v>4548</v>
      </c>
      <c r="C13612" s="17" t="s">
        <v>3614</v>
      </c>
      <c r="D13612" s="17" t="s">
        <v>1407</v>
      </c>
      <c r="E13612" s="17" t="s">
        <v>2747</v>
      </c>
      <c r="F13612" s="17"/>
      <c r="G13612" s="18" t="n">
        <v>0.45</v>
      </c>
      <c r="H13612" s="18" t="n">
        <v>0</v>
      </c>
      <c r="I13612" s="18" t="n">
        <f aca="false">((I13611 + G13612) - H13612)</f>
        <v>5683.12000000001</v>
      </c>
      <c r="J13612" s="18" t="n">
        <v>0</v>
      </c>
      <c r="K13612" s="19" t="n">
        <v>0</v>
      </c>
      <c r="L13612" s="17"/>
    </row>
    <row r="13613" s="11" customFormat="true" ht="10.95" hidden="false" customHeight="true" outlineLevel="0" collapsed="false">
      <c r="A13613" s="16" t="n">
        <v>45457</v>
      </c>
      <c r="B13613" s="17" t="s">
        <v>4548</v>
      </c>
      <c r="C13613" s="17" t="s">
        <v>3614</v>
      </c>
      <c r="D13613" s="17" t="s">
        <v>1407</v>
      </c>
      <c r="E13613" s="17" t="s">
        <v>1583</v>
      </c>
      <c r="F13613" s="17"/>
      <c r="G13613" s="18" t="n">
        <v>20.81</v>
      </c>
      <c r="H13613" s="18" t="n">
        <v>0</v>
      </c>
      <c r="I13613" s="18" t="n">
        <f aca="false">((I13612 + G13613) - H13613)</f>
        <v>5703.93000000001</v>
      </c>
      <c r="J13613" s="18" t="n">
        <v>0</v>
      </c>
      <c r="K13613" s="19" t="n">
        <v>0</v>
      </c>
      <c r="L13613" s="17"/>
    </row>
    <row r="13614" s="11" customFormat="true" ht="10.95" hidden="false" customHeight="true" outlineLevel="0" collapsed="false">
      <c r="A13614" s="16" t="n">
        <v>45457</v>
      </c>
      <c r="B13614" s="17" t="s">
        <v>4548</v>
      </c>
      <c r="C13614" s="17" t="s">
        <v>3614</v>
      </c>
      <c r="D13614" s="17" t="s">
        <v>1407</v>
      </c>
      <c r="E13614" s="17" t="s">
        <v>1583</v>
      </c>
      <c r="F13614" s="17"/>
      <c r="G13614" s="18" t="n">
        <v>28.38</v>
      </c>
      <c r="H13614" s="18" t="n">
        <v>0</v>
      </c>
      <c r="I13614" s="18" t="n">
        <f aca="false">((I13613 + G13614) - H13614)</f>
        <v>5732.31000000001</v>
      </c>
      <c r="J13614" s="18" t="n">
        <v>0</v>
      </c>
      <c r="K13614" s="19" t="n">
        <v>0</v>
      </c>
      <c r="L13614" s="17"/>
    </row>
    <row r="13615" s="11" customFormat="true" ht="10.95" hidden="false" customHeight="true" outlineLevel="0" collapsed="false">
      <c r="A13615" s="16" t="n">
        <v>45458</v>
      </c>
      <c r="B13615" s="17" t="s">
        <v>4548</v>
      </c>
      <c r="C13615" s="17" t="s">
        <v>3614</v>
      </c>
      <c r="D13615" s="17" t="s">
        <v>1407</v>
      </c>
      <c r="E13615" s="17" t="s">
        <v>3805</v>
      </c>
      <c r="F13615" s="17"/>
      <c r="G13615" s="18" t="n">
        <v>1</v>
      </c>
      <c r="H13615" s="18" t="n">
        <v>0</v>
      </c>
      <c r="I13615" s="18" t="n">
        <f aca="false">((I13614 + G13615) - H13615)</f>
        <v>5733.31000000001</v>
      </c>
      <c r="J13615" s="18" t="n">
        <v>0</v>
      </c>
      <c r="K13615" s="19" t="n">
        <v>0</v>
      </c>
      <c r="L13615" s="17"/>
    </row>
    <row r="13616" s="11" customFormat="true" ht="10.95" hidden="false" customHeight="true" outlineLevel="0" collapsed="false">
      <c r="A13616" s="16" t="n">
        <v>45458</v>
      </c>
      <c r="B13616" s="17" t="s">
        <v>4548</v>
      </c>
      <c r="C13616" s="17" t="s">
        <v>3614</v>
      </c>
      <c r="D13616" s="17" t="s">
        <v>1407</v>
      </c>
      <c r="E13616" s="17" t="s">
        <v>3899</v>
      </c>
      <c r="F13616" s="17"/>
      <c r="G13616" s="18" t="n">
        <v>1.38</v>
      </c>
      <c r="H13616" s="18" t="n">
        <v>0</v>
      </c>
      <c r="I13616" s="18" t="n">
        <f aca="false">((I13615 + G13616) - H13616)</f>
        <v>5734.69000000001</v>
      </c>
      <c r="J13616" s="18" t="n">
        <v>0</v>
      </c>
      <c r="K13616" s="19" t="n">
        <v>0</v>
      </c>
      <c r="L13616" s="17"/>
    </row>
    <row r="13617" s="11" customFormat="true" ht="10.95" hidden="false" customHeight="true" outlineLevel="0" collapsed="false">
      <c r="A13617" s="16" t="n">
        <v>45459</v>
      </c>
      <c r="B13617" s="17" t="s">
        <v>4548</v>
      </c>
      <c r="C13617" s="17" t="s">
        <v>3614</v>
      </c>
      <c r="D13617" s="17" t="s">
        <v>1391</v>
      </c>
      <c r="E13617" s="17" t="s">
        <v>3638</v>
      </c>
      <c r="F13617" s="17" t="s">
        <v>3341</v>
      </c>
      <c r="G13617" s="18" t="n">
        <v>19.9</v>
      </c>
      <c r="H13617" s="18" t="n">
        <v>0</v>
      </c>
      <c r="I13617" s="18" t="n">
        <f aca="false">((I13616 + G13617) - H13617)</f>
        <v>5754.59000000001</v>
      </c>
      <c r="J13617" s="18" t="n">
        <v>0</v>
      </c>
      <c r="K13617" s="19" t="n">
        <v>0</v>
      </c>
      <c r="L13617" s="17"/>
    </row>
    <row r="13618" s="11" customFormat="true" ht="10.95" hidden="false" customHeight="true" outlineLevel="0" collapsed="false">
      <c r="A13618" s="16" t="n">
        <v>45460</v>
      </c>
      <c r="B13618" s="17" t="s">
        <v>4548</v>
      </c>
      <c r="C13618" s="17" t="s">
        <v>3614</v>
      </c>
      <c r="D13618" s="17" t="s">
        <v>1407</v>
      </c>
      <c r="E13618" s="17" t="s">
        <v>3691</v>
      </c>
      <c r="F13618" s="17"/>
      <c r="G13618" s="18" t="n">
        <v>3300</v>
      </c>
      <c r="H13618" s="18" t="n">
        <v>0</v>
      </c>
      <c r="I13618" s="18" t="n">
        <f aca="false">((I13617 + G13618) - H13618)</f>
        <v>9054.59000000001</v>
      </c>
      <c r="J13618" s="18" t="n">
        <v>0</v>
      </c>
      <c r="K13618" s="19" t="n">
        <v>0</v>
      </c>
      <c r="L13618" s="17"/>
    </row>
    <row r="13619" s="11" customFormat="true" ht="10.95" hidden="false" customHeight="true" outlineLevel="0" collapsed="false">
      <c r="A13619" s="16" t="n">
        <v>45461</v>
      </c>
      <c r="B13619" s="17" t="s">
        <v>4548</v>
      </c>
      <c r="C13619" s="17" t="s">
        <v>3614</v>
      </c>
      <c r="D13619" s="17" t="s">
        <v>1391</v>
      </c>
      <c r="E13619" s="17" t="s">
        <v>3642</v>
      </c>
      <c r="F13619" s="17" t="s">
        <v>2580</v>
      </c>
      <c r="G13619" s="18" t="n">
        <v>19.98</v>
      </c>
      <c r="H13619" s="18" t="n">
        <v>0</v>
      </c>
      <c r="I13619" s="18" t="n">
        <f aca="false">((I13618 + G13619) - H13619)</f>
        <v>9074.57000000001</v>
      </c>
      <c r="J13619" s="18" t="n">
        <v>0</v>
      </c>
      <c r="K13619" s="19" t="n">
        <v>0</v>
      </c>
      <c r="L13619" s="17"/>
    </row>
    <row r="13620" s="11" customFormat="true" ht="10.95" hidden="false" customHeight="true" outlineLevel="0" collapsed="false">
      <c r="A13620" s="16" t="n">
        <v>45461</v>
      </c>
      <c r="B13620" s="17" t="s">
        <v>4548</v>
      </c>
      <c r="C13620" s="17" t="s">
        <v>3614</v>
      </c>
      <c r="D13620" s="17" t="s">
        <v>1391</v>
      </c>
      <c r="E13620" s="17" t="s">
        <v>3642</v>
      </c>
      <c r="F13620" s="17" t="s">
        <v>2582</v>
      </c>
      <c r="G13620" s="18" t="n">
        <v>2.24</v>
      </c>
      <c r="H13620" s="18" t="n">
        <v>0</v>
      </c>
      <c r="I13620" s="18" t="n">
        <f aca="false">((I13619 + G13620) - H13620)</f>
        <v>9076.81000000001</v>
      </c>
      <c r="J13620" s="18" t="n">
        <v>0</v>
      </c>
      <c r="K13620" s="19" t="n">
        <v>0</v>
      </c>
      <c r="L13620" s="17"/>
    </row>
    <row r="13621" s="11" customFormat="true" ht="10.95" hidden="false" customHeight="true" outlineLevel="0" collapsed="false">
      <c r="A13621" s="16" t="n">
        <v>45461</v>
      </c>
      <c r="B13621" s="17" t="s">
        <v>4548</v>
      </c>
      <c r="C13621" s="17" t="s">
        <v>3614</v>
      </c>
      <c r="D13621" s="17" t="s">
        <v>1391</v>
      </c>
      <c r="E13621" s="17" t="s">
        <v>3642</v>
      </c>
      <c r="F13621" s="17" t="s">
        <v>2584</v>
      </c>
      <c r="G13621" s="18" t="n">
        <v>6.2</v>
      </c>
      <c r="H13621" s="18" t="n">
        <v>0</v>
      </c>
      <c r="I13621" s="18" t="n">
        <f aca="false">((I13620 + G13621) - H13621)</f>
        <v>9083.01000000001</v>
      </c>
      <c r="J13621" s="18" t="n">
        <v>0</v>
      </c>
      <c r="K13621" s="19" t="n">
        <v>0</v>
      </c>
      <c r="L13621" s="17"/>
    </row>
    <row r="13622" s="11" customFormat="true" ht="10.95" hidden="false" customHeight="true" outlineLevel="0" collapsed="false">
      <c r="A13622" s="16" t="n">
        <v>45461</v>
      </c>
      <c r="B13622" s="17" t="s">
        <v>4548</v>
      </c>
      <c r="C13622" s="17" t="s">
        <v>3614</v>
      </c>
      <c r="D13622" s="17" t="s">
        <v>1391</v>
      </c>
      <c r="E13622" s="17" t="s">
        <v>3642</v>
      </c>
      <c r="F13622" s="17" t="s">
        <v>2586</v>
      </c>
      <c r="G13622" s="18" t="n">
        <v>0.6</v>
      </c>
      <c r="H13622" s="18" t="n">
        <v>0</v>
      </c>
      <c r="I13622" s="18" t="n">
        <f aca="false">((I13621 + G13622) - H13622)</f>
        <v>9083.61000000001</v>
      </c>
      <c r="J13622" s="18" t="n">
        <v>0</v>
      </c>
      <c r="K13622" s="19" t="n">
        <v>0</v>
      </c>
      <c r="L13622" s="17"/>
    </row>
    <row r="13623" s="11" customFormat="true" ht="10.95" hidden="false" customHeight="true" outlineLevel="0" collapsed="false">
      <c r="A13623" s="16" t="n">
        <v>45461</v>
      </c>
      <c r="B13623" s="17" t="s">
        <v>4548</v>
      </c>
      <c r="C13623" s="17" t="s">
        <v>3614</v>
      </c>
      <c r="D13623" s="17" t="s">
        <v>1407</v>
      </c>
      <c r="E13623" s="17" t="s">
        <v>3900</v>
      </c>
      <c r="F13623" s="17"/>
      <c r="G13623" s="18" t="n">
        <v>1.54</v>
      </c>
      <c r="H13623" s="18" t="n">
        <v>0</v>
      </c>
      <c r="I13623" s="18" t="n">
        <f aca="false">((I13622 + G13623) - H13623)</f>
        <v>9085.15000000001</v>
      </c>
      <c r="J13623" s="18" t="n">
        <v>0</v>
      </c>
      <c r="K13623" s="19" t="n">
        <v>0</v>
      </c>
      <c r="L13623" s="17"/>
    </row>
    <row r="13624" s="11" customFormat="true" ht="10.95" hidden="false" customHeight="true" outlineLevel="0" collapsed="false">
      <c r="A13624" s="16" t="n">
        <v>45461</v>
      </c>
      <c r="B13624" s="17" t="s">
        <v>4548</v>
      </c>
      <c r="C13624" s="17" t="s">
        <v>3614</v>
      </c>
      <c r="D13624" s="17" t="s">
        <v>1407</v>
      </c>
      <c r="E13624" s="17" t="s">
        <v>3901</v>
      </c>
      <c r="F13624" s="17"/>
      <c r="G13624" s="18" t="n">
        <v>7.44</v>
      </c>
      <c r="H13624" s="18" t="n">
        <v>0</v>
      </c>
      <c r="I13624" s="18" t="n">
        <f aca="false">((I13623 + G13624) - H13624)</f>
        <v>9092.59000000001</v>
      </c>
      <c r="J13624" s="18" t="n">
        <v>0</v>
      </c>
      <c r="K13624" s="19" t="n">
        <v>0</v>
      </c>
      <c r="L13624" s="17"/>
    </row>
    <row r="13625" s="11" customFormat="true" ht="10.95" hidden="false" customHeight="true" outlineLevel="0" collapsed="false">
      <c r="A13625" s="16" t="n">
        <v>45461</v>
      </c>
      <c r="B13625" s="17" t="s">
        <v>4548</v>
      </c>
      <c r="C13625" s="17" t="s">
        <v>3614</v>
      </c>
      <c r="D13625" s="17" t="s">
        <v>1407</v>
      </c>
      <c r="E13625" s="17" t="s">
        <v>3902</v>
      </c>
      <c r="F13625" s="17"/>
      <c r="G13625" s="18" t="n">
        <v>24.77</v>
      </c>
      <c r="H13625" s="18" t="n">
        <v>0</v>
      </c>
      <c r="I13625" s="18" t="n">
        <f aca="false">((I13624 + G13625) - H13625)</f>
        <v>9117.36000000001</v>
      </c>
      <c r="J13625" s="18" t="n">
        <v>0</v>
      </c>
      <c r="K13625" s="19" t="n">
        <v>0</v>
      </c>
      <c r="L13625" s="17"/>
    </row>
    <row r="13626" s="11" customFormat="true" ht="10.95" hidden="false" customHeight="true" outlineLevel="0" collapsed="false">
      <c r="A13626" s="16" t="n">
        <v>45462</v>
      </c>
      <c r="B13626" s="17" t="s">
        <v>4548</v>
      </c>
      <c r="C13626" s="17" t="s">
        <v>3614</v>
      </c>
      <c r="D13626" s="17" t="s">
        <v>19</v>
      </c>
      <c r="E13626" s="17" t="s">
        <v>3502</v>
      </c>
      <c r="F13626" s="17" t="s">
        <v>721</v>
      </c>
      <c r="G13626" s="18" t="n">
        <v>0</v>
      </c>
      <c r="H13626" s="18" t="n">
        <v>7.15</v>
      </c>
      <c r="I13626" s="18" t="n">
        <f aca="false">((I13625 + G13626) - H13626)</f>
        <v>9110.21000000001</v>
      </c>
      <c r="J13626" s="18" t="n">
        <v>0</v>
      </c>
      <c r="K13626" s="19" t="n">
        <v>0</v>
      </c>
      <c r="L13626" s="17"/>
    </row>
    <row r="13627" s="11" customFormat="true" ht="10.95" hidden="false" customHeight="true" outlineLevel="0" collapsed="false">
      <c r="A13627" s="16" t="n">
        <v>45462</v>
      </c>
      <c r="B13627" s="17" t="s">
        <v>4548</v>
      </c>
      <c r="C13627" s="17" t="s">
        <v>3614</v>
      </c>
      <c r="D13627" s="17" t="s">
        <v>1407</v>
      </c>
      <c r="E13627" s="17" t="s">
        <v>3666</v>
      </c>
      <c r="F13627" s="17"/>
      <c r="G13627" s="18" t="n">
        <v>7.43</v>
      </c>
      <c r="H13627" s="18" t="n">
        <v>0</v>
      </c>
      <c r="I13627" s="18" t="n">
        <f aca="false">((I13626 + G13627) - H13627)</f>
        <v>9117.64000000001</v>
      </c>
      <c r="J13627" s="18" t="n">
        <v>0</v>
      </c>
      <c r="K13627" s="19" t="n">
        <v>0</v>
      </c>
      <c r="L13627" s="17"/>
    </row>
    <row r="13628" s="11" customFormat="true" ht="10.95" hidden="false" customHeight="true" outlineLevel="0" collapsed="false">
      <c r="A13628" s="16" t="n">
        <v>45462</v>
      </c>
      <c r="B13628" s="17" t="s">
        <v>4548</v>
      </c>
      <c r="C13628" s="17" t="s">
        <v>3614</v>
      </c>
      <c r="D13628" s="17" t="s">
        <v>19</v>
      </c>
      <c r="E13628" s="17" t="s">
        <v>3454</v>
      </c>
      <c r="F13628" s="17" t="s">
        <v>722</v>
      </c>
      <c r="G13628" s="18" t="n">
        <v>0</v>
      </c>
      <c r="H13628" s="18" t="n">
        <v>1902.22</v>
      </c>
      <c r="I13628" s="18" t="n">
        <f aca="false">((I13627 + G13628) - H13628)</f>
        <v>7215.42000000001</v>
      </c>
      <c r="J13628" s="18" t="n">
        <v>0</v>
      </c>
      <c r="K13628" s="19" t="n">
        <v>0</v>
      </c>
      <c r="L13628" s="17"/>
    </row>
    <row r="13629" s="11" customFormat="true" ht="10.95" hidden="false" customHeight="true" outlineLevel="0" collapsed="false">
      <c r="A13629" s="16" t="n">
        <v>45462</v>
      </c>
      <c r="B13629" s="17" t="s">
        <v>4548</v>
      </c>
      <c r="C13629" s="17" t="s">
        <v>3614</v>
      </c>
      <c r="D13629" s="17" t="s">
        <v>19</v>
      </c>
      <c r="E13629" s="17" t="s">
        <v>3536</v>
      </c>
      <c r="F13629" s="17" t="s">
        <v>730</v>
      </c>
      <c r="G13629" s="18" t="n">
        <v>0</v>
      </c>
      <c r="H13629" s="18" t="n">
        <v>76.5</v>
      </c>
      <c r="I13629" s="18" t="n">
        <f aca="false">((I13628 + G13629) - H13629)</f>
        <v>7138.92000000001</v>
      </c>
      <c r="J13629" s="18" t="n">
        <v>0</v>
      </c>
      <c r="K13629" s="19" t="n">
        <v>0</v>
      </c>
      <c r="L13629" s="17"/>
    </row>
    <row r="13630" s="11" customFormat="true" ht="10.95" hidden="false" customHeight="true" outlineLevel="0" collapsed="false">
      <c r="A13630" s="16" t="n">
        <v>45462</v>
      </c>
      <c r="B13630" s="17" t="s">
        <v>4548</v>
      </c>
      <c r="C13630" s="17" t="s">
        <v>3614</v>
      </c>
      <c r="D13630" s="17" t="s">
        <v>19</v>
      </c>
      <c r="E13630" s="17" t="s">
        <v>3530</v>
      </c>
      <c r="F13630" s="17" t="s">
        <v>731</v>
      </c>
      <c r="G13630" s="18" t="n">
        <v>0</v>
      </c>
      <c r="H13630" s="18" t="n">
        <v>10.45</v>
      </c>
      <c r="I13630" s="18" t="n">
        <f aca="false">((I13629 + G13630) - H13630)</f>
        <v>7128.47000000001</v>
      </c>
      <c r="J13630" s="18" t="n">
        <v>0</v>
      </c>
      <c r="K13630" s="19" t="n">
        <v>0</v>
      </c>
      <c r="L13630" s="17"/>
    </row>
    <row r="13631" s="11" customFormat="true" ht="10.95" hidden="false" customHeight="true" outlineLevel="0" collapsed="false">
      <c r="A13631" s="16" t="n">
        <v>45462</v>
      </c>
      <c r="B13631" s="17" t="s">
        <v>4548</v>
      </c>
      <c r="C13631" s="17" t="s">
        <v>3614</v>
      </c>
      <c r="D13631" s="17" t="s">
        <v>19</v>
      </c>
      <c r="E13631" s="17" t="s">
        <v>3521</v>
      </c>
      <c r="F13631" s="17" t="s">
        <v>732</v>
      </c>
      <c r="G13631" s="18" t="n">
        <v>0</v>
      </c>
      <c r="H13631" s="18" t="n">
        <v>64.8</v>
      </c>
      <c r="I13631" s="18" t="n">
        <f aca="false">((I13630 + G13631) - H13631)</f>
        <v>7063.67000000001</v>
      </c>
      <c r="J13631" s="18" t="n">
        <v>0</v>
      </c>
      <c r="K13631" s="19" t="n">
        <v>0</v>
      </c>
      <c r="L13631" s="17"/>
    </row>
    <row r="13632" s="11" customFormat="true" ht="10.95" hidden="false" customHeight="true" outlineLevel="0" collapsed="false">
      <c r="A13632" s="16" t="n">
        <v>45462</v>
      </c>
      <c r="B13632" s="17" t="s">
        <v>4548</v>
      </c>
      <c r="C13632" s="17" t="s">
        <v>3614</v>
      </c>
      <c r="D13632" s="17" t="s">
        <v>19</v>
      </c>
      <c r="E13632" s="17" t="s">
        <v>3501</v>
      </c>
      <c r="F13632" s="17" t="s">
        <v>733</v>
      </c>
      <c r="G13632" s="18" t="n">
        <v>0</v>
      </c>
      <c r="H13632" s="18" t="n">
        <v>14.3</v>
      </c>
      <c r="I13632" s="18" t="n">
        <f aca="false">((I13631 + G13632) - H13632)</f>
        <v>7049.37000000001</v>
      </c>
      <c r="J13632" s="18" t="n">
        <v>0</v>
      </c>
      <c r="K13632" s="19" t="n">
        <v>0</v>
      </c>
      <c r="L13632" s="17"/>
    </row>
    <row r="13633" s="11" customFormat="true" ht="10.95" hidden="false" customHeight="true" outlineLevel="0" collapsed="false">
      <c r="A13633" s="16" t="n">
        <v>45462</v>
      </c>
      <c r="B13633" s="17" t="s">
        <v>4548</v>
      </c>
      <c r="C13633" s="17" t="s">
        <v>3614</v>
      </c>
      <c r="D13633" s="17" t="s">
        <v>19</v>
      </c>
      <c r="E13633" s="17" t="s">
        <v>3490</v>
      </c>
      <c r="F13633" s="17" t="s">
        <v>734</v>
      </c>
      <c r="G13633" s="18" t="n">
        <v>0</v>
      </c>
      <c r="H13633" s="18" t="n">
        <v>94.05</v>
      </c>
      <c r="I13633" s="18" t="n">
        <f aca="false">((I13632 + G13633) - H13633)</f>
        <v>6955.32000000001</v>
      </c>
      <c r="J13633" s="18" t="n">
        <v>0</v>
      </c>
      <c r="K13633" s="19" t="n">
        <v>0</v>
      </c>
      <c r="L13633" s="17"/>
    </row>
    <row r="13634" s="11" customFormat="true" ht="10.95" hidden="false" customHeight="true" outlineLevel="0" collapsed="false">
      <c r="A13634" s="16" t="n">
        <v>45462</v>
      </c>
      <c r="B13634" s="17" t="s">
        <v>4548</v>
      </c>
      <c r="C13634" s="17" t="s">
        <v>3614</v>
      </c>
      <c r="D13634" s="17" t="s">
        <v>19</v>
      </c>
      <c r="E13634" s="17" t="s">
        <v>3424</v>
      </c>
      <c r="F13634" s="17" t="s">
        <v>735</v>
      </c>
      <c r="G13634" s="18" t="n">
        <v>0</v>
      </c>
      <c r="H13634" s="18" t="n">
        <v>37.6</v>
      </c>
      <c r="I13634" s="18" t="n">
        <f aca="false">((I13633 + G13634) - H13634)</f>
        <v>6917.72000000001</v>
      </c>
      <c r="J13634" s="18" t="n">
        <v>0</v>
      </c>
      <c r="K13634" s="19" t="n">
        <v>0</v>
      </c>
      <c r="L13634" s="17"/>
    </row>
    <row r="13635" s="11" customFormat="true" ht="10.95" hidden="false" customHeight="true" outlineLevel="0" collapsed="false">
      <c r="A13635" s="16" t="n">
        <v>45462</v>
      </c>
      <c r="B13635" s="17" t="s">
        <v>4548</v>
      </c>
      <c r="C13635" s="17" t="s">
        <v>3614</v>
      </c>
      <c r="D13635" s="17" t="s">
        <v>19</v>
      </c>
      <c r="E13635" s="17" t="s">
        <v>3426</v>
      </c>
      <c r="F13635" s="17" t="s">
        <v>736</v>
      </c>
      <c r="G13635" s="18" t="n">
        <v>0</v>
      </c>
      <c r="H13635" s="18" t="n">
        <v>137.5</v>
      </c>
      <c r="I13635" s="18" t="n">
        <f aca="false">((I13634 + G13635) - H13635)</f>
        <v>6780.22000000001</v>
      </c>
      <c r="J13635" s="18" t="n">
        <v>0</v>
      </c>
      <c r="K13635" s="19" t="n">
        <v>0</v>
      </c>
      <c r="L13635" s="17"/>
    </row>
    <row r="13636" s="11" customFormat="true" ht="10.95" hidden="false" customHeight="true" outlineLevel="0" collapsed="false">
      <c r="A13636" s="16" t="n">
        <v>45462</v>
      </c>
      <c r="B13636" s="17" t="s">
        <v>4548</v>
      </c>
      <c r="C13636" s="17" t="s">
        <v>3614</v>
      </c>
      <c r="D13636" s="17" t="s">
        <v>19</v>
      </c>
      <c r="E13636" s="17" t="s">
        <v>3427</v>
      </c>
      <c r="F13636" s="17" t="s">
        <v>737</v>
      </c>
      <c r="G13636" s="18" t="n">
        <v>0</v>
      </c>
      <c r="H13636" s="18" t="n">
        <v>59.5</v>
      </c>
      <c r="I13636" s="18" t="n">
        <f aca="false">((I13635 + G13636) - H13636)</f>
        <v>6720.72000000001</v>
      </c>
      <c r="J13636" s="18" t="n">
        <v>0</v>
      </c>
      <c r="K13636" s="19" t="n">
        <v>0</v>
      </c>
      <c r="L13636" s="17"/>
    </row>
    <row r="13637" s="11" customFormat="true" ht="10.95" hidden="false" customHeight="true" outlineLevel="0" collapsed="false">
      <c r="A13637" s="16" t="n">
        <v>45462</v>
      </c>
      <c r="B13637" s="17" t="s">
        <v>4548</v>
      </c>
      <c r="C13637" s="17" t="s">
        <v>3614</v>
      </c>
      <c r="D13637" s="17" t="s">
        <v>19</v>
      </c>
      <c r="E13637" s="17" t="s">
        <v>3428</v>
      </c>
      <c r="F13637" s="17" t="s">
        <v>738</v>
      </c>
      <c r="G13637" s="18" t="n">
        <v>0</v>
      </c>
      <c r="H13637" s="18" t="n">
        <v>125.95</v>
      </c>
      <c r="I13637" s="18" t="n">
        <f aca="false">((I13636 + G13637) - H13637)</f>
        <v>6594.77000000001</v>
      </c>
      <c r="J13637" s="18" t="n">
        <v>0</v>
      </c>
      <c r="K13637" s="19" t="n">
        <v>0</v>
      </c>
      <c r="L13637" s="17"/>
    </row>
    <row r="13638" s="11" customFormat="true" ht="10.95" hidden="false" customHeight="true" outlineLevel="0" collapsed="false">
      <c r="A13638" s="16" t="n">
        <v>45462</v>
      </c>
      <c r="B13638" s="17" t="s">
        <v>4548</v>
      </c>
      <c r="C13638" s="17" t="s">
        <v>3614</v>
      </c>
      <c r="D13638" s="17" t="s">
        <v>19</v>
      </c>
      <c r="E13638" s="17" t="s">
        <v>3540</v>
      </c>
      <c r="F13638" s="17" t="s">
        <v>740</v>
      </c>
      <c r="G13638" s="18" t="n">
        <v>0</v>
      </c>
      <c r="H13638" s="18" t="n">
        <v>125.4</v>
      </c>
      <c r="I13638" s="18" t="n">
        <f aca="false">((I13637 + G13638) - H13638)</f>
        <v>6469.37000000001</v>
      </c>
      <c r="J13638" s="18" t="n">
        <v>0</v>
      </c>
      <c r="K13638" s="19" t="n">
        <v>0</v>
      </c>
      <c r="L13638" s="17"/>
    </row>
    <row r="13639" s="11" customFormat="true" ht="10.95" hidden="false" customHeight="true" outlineLevel="0" collapsed="false">
      <c r="A13639" s="16" t="n">
        <v>45462</v>
      </c>
      <c r="B13639" s="17" t="s">
        <v>4548</v>
      </c>
      <c r="C13639" s="17" t="s">
        <v>3614</v>
      </c>
      <c r="D13639" s="17" t="s">
        <v>19</v>
      </c>
      <c r="E13639" s="17" t="s">
        <v>3431</v>
      </c>
      <c r="F13639" s="17" t="s">
        <v>752</v>
      </c>
      <c r="G13639" s="18" t="n">
        <v>0</v>
      </c>
      <c r="H13639" s="18" t="n">
        <v>32.5</v>
      </c>
      <c r="I13639" s="18" t="n">
        <f aca="false">((I13638 + G13639) - H13639)</f>
        <v>6436.87000000001</v>
      </c>
      <c r="J13639" s="18" t="n">
        <v>0</v>
      </c>
      <c r="K13639" s="19" t="n">
        <v>0</v>
      </c>
      <c r="L13639" s="17"/>
    </row>
    <row r="13640" s="11" customFormat="true" ht="10.95" hidden="false" customHeight="true" outlineLevel="0" collapsed="false">
      <c r="A13640" s="16" t="n">
        <v>45462</v>
      </c>
      <c r="B13640" s="17" t="s">
        <v>4548</v>
      </c>
      <c r="C13640" s="17" t="s">
        <v>3614</v>
      </c>
      <c r="D13640" s="17" t="s">
        <v>19</v>
      </c>
      <c r="E13640" s="17" t="s">
        <v>3432</v>
      </c>
      <c r="F13640" s="17" t="s">
        <v>753</v>
      </c>
      <c r="G13640" s="18" t="n">
        <v>0</v>
      </c>
      <c r="H13640" s="18" t="n">
        <v>99.5</v>
      </c>
      <c r="I13640" s="18" t="n">
        <f aca="false">((I13639 + G13640) - H13640)</f>
        <v>6337.37000000001</v>
      </c>
      <c r="J13640" s="18" t="n">
        <v>0</v>
      </c>
      <c r="K13640" s="19" t="n">
        <v>0</v>
      </c>
      <c r="L13640" s="17"/>
    </row>
    <row r="13641" s="11" customFormat="true" ht="10.95" hidden="false" customHeight="true" outlineLevel="0" collapsed="false">
      <c r="A13641" s="16" t="n">
        <v>45462</v>
      </c>
      <c r="B13641" s="17" t="s">
        <v>4548</v>
      </c>
      <c r="C13641" s="17" t="s">
        <v>3614</v>
      </c>
      <c r="D13641" s="17" t="s">
        <v>19</v>
      </c>
      <c r="E13641" s="17" t="s">
        <v>3434</v>
      </c>
      <c r="F13641" s="17" t="s">
        <v>754</v>
      </c>
      <c r="G13641" s="18" t="n">
        <v>0</v>
      </c>
      <c r="H13641" s="18" t="n">
        <v>36</v>
      </c>
      <c r="I13641" s="18" t="n">
        <f aca="false">((I13640 + G13641) - H13641)</f>
        <v>6301.37000000001</v>
      </c>
      <c r="J13641" s="18" t="n">
        <v>0</v>
      </c>
      <c r="K13641" s="19" t="n">
        <v>0</v>
      </c>
      <c r="L13641" s="17"/>
    </row>
    <row r="13642" s="11" customFormat="true" ht="10.95" hidden="false" customHeight="true" outlineLevel="0" collapsed="false">
      <c r="A13642" s="16" t="n">
        <v>45462</v>
      </c>
      <c r="B13642" s="17" t="s">
        <v>4548</v>
      </c>
      <c r="C13642" s="17" t="s">
        <v>3614</v>
      </c>
      <c r="D13642" s="17" t="s">
        <v>19</v>
      </c>
      <c r="E13642" s="17" t="s">
        <v>3435</v>
      </c>
      <c r="F13642" s="17" t="s">
        <v>755</v>
      </c>
      <c r="G13642" s="18" t="n">
        <v>0</v>
      </c>
      <c r="H13642" s="18" t="n">
        <v>204</v>
      </c>
      <c r="I13642" s="18" t="n">
        <f aca="false">((I13641 + G13642) - H13642)</f>
        <v>6097.37000000001</v>
      </c>
      <c r="J13642" s="18" t="n">
        <v>0</v>
      </c>
      <c r="K13642" s="19" t="n">
        <v>0</v>
      </c>
      <c r="L13642" s="17"/>
    </row>
    <row r="13643" s="11" customFormat="true" ht="10.95" hidden="false" customHeight="true" outlineLevel="0" collapsed="false">
      <c r="A13643" s="16" t="n">
        <v>45462</v>
      </c>
      <c r="B13643" s="17" t="s">
        <v>4548</v>
      </c>
      <c r="C13643" s="17" t="s">
        <v>3614</v>
      </c>
      <c r="D13643" s="17" t="s">
        <v>19</v>
      </c>
      <c r="E13643" s="17" t="s">
        <v>3437</v>
      </c>
      <c r="F13643" s="17" t="s">
        <v>756</v>
      </c>
      <c r="G13643" s="18" t="n">
        <v>0</v>
      </c>
      <c r="H13643" s="18" t="n">
        <v>100.01</v>
      </c>
      <c r="I13643" s="18" t="n">
        <f aca="false">((I13642 + G13643) - H13643)</f>
        <v>5997.36000000001</v>
      </c>
      <c r="J13643" s="18" t="n">
        <v>0</v>
      </c>
      <c r="K13643" s="19" t="n">
        <v>0</v>
      </c>
      <c r="L13643" s="17"/>
    </row>
    <row r="13644" s="11" customFormat="true" ht="10.95" hidden="false" customHeight="true" outlineLevel="0" collapsed="false">
      <c r="A13644" s="16" t="n">
        <v>45462</v>
      </c>
      <c r="B13644" s="17" t="s">
        <v>4548</v>
      </c>
      <c r="C13644" s="17" t="s">
        <v>3614</v>
      </c>
      <c r="D13644" s="17" t="s">
        <v>19</v>
      </c>
      <c r="E13644" s="17" t="s">
        <v>3439</v>
      </c>
      <c r="F13644" s="17" t="s">
        <v>757</v>
      </c>
      <c r="G13644" s="18" t="n">
        <v>0</v>
      </c>
      <c r="H13644" s="18" t="n">
        <v>95.7</v>
      </c>
      <c r="I13644" s="18" t="n">
        <f aca="false">((I13643 + G13644) - H13644)</f>
        <v>5901.66000000001</v>
      </c>
      <c r="J13644" s="18" t="n">
        <v>0</v>
      </c>
      <c r="K13644" s="19" t="n">
        <v>0</v>
      </c>
      <c r="L13644" s="17"/>
    </row>
    <row r="13645" s="11" customFormat="true" ht="10.95" hidden="false" customHeight="true" outlineLevel="0" collapsed="false">
      <c r="A13645" s="16" t="n">
        <v>45462</v>
      </c>
      <c r="B13645" s="17" t="s">
        <v>4548</v>
      </c>
      <c r="C13645" s="17" t="s">
        <v>3614</v>
      </c>
      <c r="D13645" s="17" t="s">
        <v>19</v>
      </c>
      <c r="E13645" s="17" t="s">
        <v>3442</v>
      </c>
      <c r="F13645" s="17" t="s">
        <v>758</v>
      </c>
      <c r="G13645" s="18" t="n">
        <v>0</v>
      </c>
      <c r="H13645" s="18" t="n">
        <v>909</v>
      </c>
      <c r="I13645" s="18" t="n">
        <f aca="false">((I13644 + G13645) - H13645)</f>
        <v>4992.66000000001</v>
      </c>
      <c r="J13645" s="18" t="n">
        <v>0</v>
      </c>
      <c r="K13645" s="19" t="n">
        <v>0</v>
      </c>
      <c r="L13645" s="17"/>
    </row>
    <row r="13646" s="11" customFormat="true" ht="10.95" hidden="false" customHeight="true" outlineLevel="0" collapsed="false">
      <c r="A13646" s="16" t="n">
        <v>45462</v>
      </c>
      <c r="B13646" s="17" t="s">
        <v>4548</v>
      </c>
      <c r="C13646" s="17" t="s">
        <v>3614</v>
      </c>
      <c r="D13646" s="17" t="s">
        <v>19</v>
      </c>
      <c r="E13646" s="17" t="s">
        <v>3442</v>
      </c>
      <c r="F13646" s="17" t="s">
        <v>759</v>
      </c>
      <c r="G13646" s="18" t="n">
        <v>0</v>
      </c>
      <c r="H13646" s="18" t="n">
        <v>909</v>
      </c>
      <c r="I13646" s="18" t="n">
        <f aca="false">((I13645 + G13646) - H13646)</f>
        <v>4083.66000000001</v>
      </c>
      <c r="J13646" s="18" t="n">
        <v>0</v>
      </c>
      <c r="K13646" s="19" t="n">
        <v>0</v>
      </c>
      <c r="L13646" s="17"/>
    </row>
    <row r="13647" s="11" customFormat="true" ht="10.95" hidden="false" customHeight="true" outlineLevel="0" collapsed="false">
      <c r="A13647" s="16" t="n">
        <v>45462</v>
      </c>
      <c r="B13647" s="17" t="s">
        <v>4548</v>
      </c>
      <c r="C13647" s="17" t="s">
        <v>3614</v>
      </c>
      <c r="D13647" s="17" t="s">
        <v>19</v>
      </c>
      <c r="E13647" s="17" t="s">
        <v>3443</v>
      </c>
      <c r="F13647" s="17" t="s">
        <v>760</v>
      </c>
      <c r="G13647" s="18" t="n">
        <v>0</v>
      </c>
      <c r="H13647" s="18" t="n">
        <v>454</v>
      </c>
      <c r="I13647" s="18" t="n">
        <f aca="false">((I13646 + G13647) - H13647)</f>
        <v>3629.66000000001</v>
      </c>
      <c r="J13647" s="18" t="n">
        <v>0</v>
      </c>
      <c r="K13647" s="19" t="n">
        <v>0</v>
      </c>
      <c r="L13647" s="17"/>
    </row>
    <row r="13648" s="11" customFormat="true" ht="10.95" hidden="false" customHeight="true" outlineLevel="0" collapsed="false">
      <c r="A13648" s="16" t="n">
        <v>45462</v>
      </c>
      <c r="B13648" s="17" t="s">
        <v>4548</v>
      </c>
      <c r="C13648" s="17" t="s">
        <v>3614</v>
      </c>
      <c r="D13648" s="17" t="s">
        <v>19</v>
      </c>
      <c r="E13648" s="17" t="s">
        <v>3444</v>
      </c>
      <c r="F13648" s="17" t="s">
        <v>761</v>
      </c>
      <c r="G13648" s="18" t="n">
        <v>0</v>
      </c>
      <c r="H13648" s="18" t="n">
        <v>88</v>
      </c>
      <c r="I13648" s="18" t="n">
        <f aca="false">((I13647 + G13648) - H13648)</f>
        <v>3541.66000000001</v>
      </c>
      <c r="J13648" s="18" t="n">
        <v>0</v>
      </c>
      <c r="K13648" s="19" t="n">
        <v>0</v>
      </c>
      <c r="L13648" s="17"/>
    </row>
    <row r="13649" s="11" customFormat="true" ht="10.95" hidden="false" customHeight="true" outlineLevel="0" collapsed="false">
      <c r="A13649" s="16" t="n">
        <v>45462</v>
      </c>
      <c r="B13649" s="17" t="s">
        <v>4548</v>
      </c>
      <c r="C13649" s="17" t="s">
        <v>3614</v>
      </c>
      <c r="D13649" s="17" t="s">
        <v>19</v>
      </c>
      <c r="E13649" s="17" t="s">
        <v>3494</v>
      </c>
      <c r="F13649" s="17" t="s">
        <v>762</v>
      </c>
      <c r="G13649" s="18" t="n">
        <v>0</v>
      </c>
      <c r="H13649" s="18" t="n">
        <v>83</v>
      </c>
      <c r="I13649" s="18" t="n">
        <f aca="false">((I13648 + G13649) - H13649)</f>
        <v>3458.66000000001</v>
      </c>
      <c r="J13649" s="18" t="n">
        <v>0</v>
      </c>
      <c r="K13649" s="19" t="n">
        <v>0</v>
      </c>
      <c r="L13649" s="17"/>
    </row>
    <row r="13650" s="11" customFormat="true" ht="10.95" hidden="false" customHeight="true" outlineLevel="0" collapsed="false">
      <c r="A13650" s="16" t="n">
        <v>45462</v>
      </c>
      <c r="B13650" s="17" t="s">
        <v>4548</v>
      </c>
      <c r="C13650" s="17" t="s">
        <v>3614</v>
      </c>
      <c r="D13650" s="17" t="s">
        <v>19</v>
      </c>
      <c r="E13650" s="17" t="s">
        <v>3446</v>
      </c>
      <c r="F13650" s="17" t="s">
        <v>763</v>
      </c>
      <c r="G13650" s="18" t="n">
        <v>0</v>
      </c>
      <c r="H13650" s="18" t="n">
        <v>169.2</v>
      </c>
      <c r="I13650" s="18" t="n">
        <f aca="false">((I13649 + G13650) - H13650)</f>
        <v>3289.46000000001</v>
      </c>
      <c r="J13650" s="18" t="n">
        <v>0</v>
      </c>
      <c r="K13650" s="19" t="n">
        <v>0</v>
      </c>
      <c r="L13650" s="17"/>
    </row>
    <row r="13651" s="11" customFormat="true" ht="10.95" hidden="false" customHeight="true" outlineLevel="0" collapsed="false">
      <c r="A13651" s="16" t="n">
        <v>45462</v>
      </c>
      <c r="B13651" s="17" t="s">
        <v>4548</v>
      </c>
      <c r="C13651" s="17" t="s">
        <v>3614</v>
      </c>
      <c r="D13651" s="17" t="s">
        <v>19</v>
      </c>
      <c r="E13651" s="17" t="s">
        <v>3447</v>
      </c>
      <c r="F13651" s="17" t="s">
        <v>764</v>
      </c>
      <c r="G13651" s="18" t="n">
        <v>0</v>
      </c>
      <c r="H13651" s="18" t="n">
        <v>37.9</v>
      </c>
      <c r="I13651" s="18" t="n">
        <f aca="false">((I13650 + G13651) - H13651)</f>
        <v>3251.56000000001</v>
      </c>
      <c r="J13651" s="18" t="n">
        <v>0</v>
      </c>
      <c r="K13651" s="19" t="n">
        <v>0</v>
      </c>
      <c r="L13651" s="17"/>
    </row>
    <row r="13652" s="11" customFormat="true" ht="10.95" hidden="false" customHeight="true" outlineLevel="0" collapsed="false">
      <c r="A13652" s="16" t="n">
        <v>45462</v>
      </c>
      <c r="B13652" s="17" t="s">
        <v>4548</v>
      </c>
      <c r="C13652" s="17" t="s">
        <v>3614</v>
      </c>
      <c r="D13652" s="17" t="s">
        <v>19</v>
      </c>
      <c r="E13652" s="17" t="s">
        <v>3447</v>
      </c>
      <c r="F13652" s="17" t="s">
        <v>765</v>
      </c>
      <c r="G13652" s="18" t="n">
        <v>0</v>
      </c>
      <c r="H13652" s="18" t="n">
        <v>10.45</v>
      </c>
      <c r="I13652" s="18" t="n">
        <f aca="false">((I13651 + G13652) - H13652)</f>
        <v>3241.11000000001</v>
      </c>
      <c r="J13652" s="18" t="n">
        <v>0</v>
      </c>
      <c r="K13652" s="19" t="n">
        <v>0</v>
      </c>
      <c r="L13652" s="17"/>
    </row>
    <row r="13653" s="11" customFormat="true" ht="10.95" hidden="false" customHeight="true" outlineLevel="0" collapsed="false">
      <c r="A13653" s="16" t="n">
        <v>45462</v>
      </c>
      <c r="B13653" s="17" t="s">
        <v>4548</v>
      </c>
      <c r="C13653" s="17" t="s">
        <v>3614</v>
      </c>
      <c r="D13653" s="17" t="s">
        <v>19</v>
      </c>
      <c r="E13653" s="17" t="s">
        <v>3447</v>
      </c>
      <c r="F13653" s="17" t="s">
        <v>766</v>
      </c>
      <c r="G13653" s="18" t="n">
        <v>0</v>
      </c>
      <c r="H13653" s="18" t="n">
        <v>52.75</v>
      </c>
      <c r="I13653" s="18" t="n">
        <f aca="false">((I13652 + G13653) - H13653)</f>
        <v>3188.36000000001</v>
      </c>
      <c r="J13653" s="18" t="n">
        <v>0</v>
      </c>
      <c r="K13653" s="19" t="n">
        <v>0</v>
      </c>
      <c r="L13653" s="17"/>
    </row>
    <row r="13654" s="11" customFormat="true" ht="10.95" hidden="false" customHeight="true" outlineLevel="0" collapsed="false">
      <c r="A13654" s="16" t="n">
        <v>45462</v>
      </c>
      <c r="B13654" s="17" t="s">
        <v>4548</v>
      </c>
      <c r="C13654" s="17" t="s">
        <v>3614</v>
      </c>
      <c r="D13654" s="17" t="s">
        <v>19</v>
      </c>
      <c r="E13654" s="17" t="s">
        <v>3447</v>
      </c>
      <c r="F13654" s="17" t="s">
        <v>767</v>
      </c>
      <c r="G13654" s="18" t="n">
        <v>0</v>
      </c>
      <c r="H13654" s="18" t="n">
        <v>75.2</v>
      </c>
      <c r="I13654" s="18" t="n">
        <f aca="false">((I13653 + G13654) - H13654)</f>
        <v>3113.16000000001</v>
      </c>
      <c r="J13654" s="18" t="n">
        <v>0</v>
      </c>
      <c r="K13654" s="19" t="n">
        <v>0</v>
      </c>
      <c r="L13654" s="17"/>
    </row>
    <row r="13655" s="11" customFormat="true" ht="10.95" hidden="false" customHeight="true" outlineLevel="0" collapsed="false">
      <c r="A13655" s="16" t="n">
        <v>45462</v>
      </c>
      <c r="B13655" s="17" t="s">
        <v>4548</v>
      </c>
      <c r="C13655" s="17" t="s">
        <v>3614</v>
      </c>
      <c r="D13655" s="17" t="s">
        <v>19</v>
      </c>
      <c r="E13655" s="17" t="s">
        <v>3447</v>
      </c>
      <c r="F13655" s="17" t="s">
        <v>768</v>
      </c>
      <c r="G13655" s="18" t="n">
        <v>0</v>
      </c>
      <c r="H13655" s="18" t="n">
        <v>67.4</v>
      </c>
      <c r="I13655" s="18" t="n">
        <f aca="false">((I13654 + G13655) - H13655)</f>
        <v>3045.76000000001</v>
      </c>
      <c r="J13655" s="18" t="n">
        <v>0</v>
      </c>
      <c r="K13655" s="19" t="n">
        <v>0</v>
      </c>
      <c r="L13655" s="17"/>
    </row>
    <row r="13656" s="11" customFormat="true" ht="10.95" hidden="false" customHeight="true" outlineLevel="0" collapsed="false">
      <c r="A13656" s="16" t="n">
        <v>45462</v>
      </c>
      <c r="B13656" s="17" t="s">
        <v>4548</v>
      </c>
      <c r="C13656" s="17" t="s">
        <v>3614</v>
      </c>
      <c r="D13656" s="17" t="s">
        <v>19</v>
      </c>
      <c r="E13656" s="17" t="s">
        <v>3447</v>
      </c>
      <c r="F13656" s="17" t="s">
        <v>769</v>
      </c>
      <c r="G13656" s="18" t="n">
        <v>0</v>
      </c>
      <c r="H13656" s="18" t="n">
        <v>18.8</v>
      </c>
      <c r="I13656" s="18" t="n">
        <f aca="false">((I13655 + G13656) - H13656)</f>
        <v>3026.96000000001</v>
      </c>
      <c r="J13656" s="18" t="n">
        <v>0</v>
      </c>
      <c r="K13656" s="19" t="n">
        <v>0</v>
      </c>
      <c r="L13656" s="17"/>
    </row>
    <row r="13657" s="11" customFormat="true" ht="10.95" hidden="false" customHeight="true" outlineLevel="0" collapsed="false">
      <c r="A13657" s="16" t="n">
        <v>45462</v>
      </c>
      <c r="B13657" s="17" t="s">
        <v>4548</v>
      </c>
      <c r="C13657" s="17" t="s">
        <v>3614</v>
      </c>
      <c r="D13657" s="17" t="s">
        <v>19</v>
      </c>
      <c r="E13657" s="17" t="s">
        <v>3447</v>
      </c>
      <c r="F13657" s="17" t="s">
        <v>770</v>
      </c>
      <c r="G13657" s="18" t="n">
        <v>0</v>
      </c>
      <c r="H13657" s="18" t="n">
        <v>162.95</v>
      </c>
      <c r="I13657" s="18" t="n">
        <f aca="false">((I13656 + G13657) - H13657)</f>
        <v>2864.01000000001</v>
      </c>
      <c r="J13657" s="18" t="n">
        <v>0</v>
      </c>
      <c r="K13657" s="19" t="n">
        <v>0</v>
      </c>
      <c r="L13657" s="17"/>
    </row>
    <row r="13658" s="11" customFormat="true" ht="10.95" hidden="false" customHeight="true" outlineLevel="0" collapsed="false">
      <c r="A13658" s="16" t="n">
        <v>45462</v>
      </c>
      <c r="B13658" s="17" t="s">
        <v>4548</v>
      </c>
      <c r="C13658" s="17" t="s">
        <v>3614</v>
      </c>
      <c r="D13658" s="17" t="s">
        <v>19</v>
      </c>
      <c r="E13658" s="17" t="s">
        <v>3447</v>
      </c>
      <c r="F13658" s="17" t="s">
        <v>771</v>
      </c>
      <c r="G13658" s="18" t="n">
        <v>0</v>
      </c>
      <c r="H13658" s="18" t="n">
        <v>47</v>
      </c>
      <c r="I13658" s="18" t="n">
        <f aca="false">((I13657 + G13658) - H13658)</f>
        <v>2817.01000000001</v>
      </c>
      <c r="J13658" s="18" t="n">
        <v>0</v>
      </c>
      <c r="K13658" s="19" t="n">
        <v>0</v>
      </c>
      <c r="L13658" s="17"/>
    </row>
    <row r="13659" s="11" customFormat="true" ht="10.95" hidden="false" customHeight="true" outlineLevel="0" collapsed="false">
      <c r="A13659" s="16" t="n">
        <v>45462</v>
      </c>
      <c r="B13659" s="17" t="s">
        <v>4548</v>
      </c>
      <c r="C13659" s="17" t="s">
        <v>3614</v>
      </c>
      <c r="D13659" s="17" t="s">
        <v>19</v>
      </c>
      <c r="E13659" s="17" t="s">
        <v>3447</v>
      </c>
      <c r="F13659" s="17" t="s">
        <v>772</v>
      </c>
      <c r="G13659" s="18" t="n">
        <v>0</v>
      </c>
      <c r="H13659" s="18" t="n">
        <v>18.8</v>
      </c>
      <c r="I13659" s="18" t="n">
        <f aca="false">((I13658 + G13659) - H13659)</f>
        <v>2798.21000000001</v>
      </c>
      <c r="J13659" s="18" t="n">
        <v>0</v>
      </c>
      <c r="K13659" s="19" t="n">
        <v>0</v>
      </c>
      <c r="L13659" s="17"/>
    </row>
    <row r="13660" s="11" customFormat="true" ht="10.95" hidden="false" customHeight="true" outlineLevel="0" collapsed="false">
      <c r="A13660" s="16" t="n">
        <v>45462</v>
      </c>
      <c r="B13660" s="17" t="s">
        <v>4548</v>
      </c>
      <c r="C13660" s="17" t="s">
        <v>3614</v>
      </c>
      <c r="D13660" s="17" t="s">
        <v>19</v>
      </c>
      <c r="E13660" s="17" t="s">
        <v>3447</v>
      </c>
      <c r="F13660" s="17" t="s">
        <v>773</v>
      </c>
      <c r="G13660" s="18" t="n">
        <v>0</v>
      </c>
      <c r="H13660" s="18" t="n">
        <v>47</v>
      </c>
      <c r="I13660" s="18" t="n">
        <f aca="false">((I13659 + G13660) - H13660)</f>
        <v>2751.21000000001</v>
      </c>
      <c r="J13660" s="18" t="n">
        <v>0</v>
      </c>
      <c r="K13660" s="19" t="n">
        <v>0</v>
      </c>
      <c r="L13660" s="17"/>
    </row>
    <row r="13661" s="11" customFormat="true" ht="10.95" hidden="false" customHeight="true" outlineLevel="0" collapsed="false">
      <c r="A13661" s="16" t="n">
        <v>45462</v>
      </c>
      <c r="B13661" s="17" t="s">
        <v>4548</v>
      </c>
      <c r="C13661" s="17" t="s">
        <v>3614</v>
      </c>
      <c r="D13661" s="17" t="s">
        <v>19</v>
      </c>
      <c r="E13661" s="17" t="s">
        <v>3447</v>
      </c>
      <c r="F13661" s="17" t="s">
        <v>774</v>
      </c>
      <c r="G13661" s="18" t="n">
        <v>0</v>
      </c>
      <c r="H13661" s="18" t="n">
        <v>178.9</v>
      </c>
      <c r="I13661" s="18" t="n">
        <f aca="false">((I13660 + G13661) - H13661)</f>
        <v>2572.31000000001</v>
      </c>
      <c r="J13661" s="18" t="n">
        <v>0</v>
      </c>
      <c r="K13661" s="19" t="n">
        <v>0</v>
      </c>
      <c r="L13661" s="17"/>
    </row>
    <row r="13662" s="11" customFormat="true" ht="10.95" hidden="false" customHeight="true" outlineLevel="0" collapsed="false">
      <c r="A13662" s="16" t="n">
        <v>45462</v>
      </c>
      <c r="B13662" s="17" t="s">
        <v>4548</v>
      </c>
      <c r="C13662" s="17" t="s">
        <v>3614</v>
      </c>
      <c r="D13662" s="17" t="s">
        <v>19</v>
      </c>
      <c r="E13662" s="17" t="s">
        <v>3447</v>
      </c>
      <c r="F13662" s="17" t="s">
        <v>775</v>
      </c>
      <c r="G13662" s="18" t="n">
        <v>0</v>
      </c>
      <c r="H13662" s="18" t="n">
        <v>123.8</v>
      </c>
      <c r="I13662" s="18" t="n">
        <f aca="false">((I13661 + G13662) - H13662)</f>
        <v>2448.51000000001</v>
      </c>
      <c r="J13662" s="18" t="n">
        <v>0</v>
      </c>
      <c r="K13662" s="19" t="n">
        <v>0</v>
      </c>
      <c r="L13662" s="17"/>
    </row>
    <row r="13663" s="11" customFormat="true" ht="10.95" hidden="false" customHeight="true" outlineLevel="0" collapsed="false">
      <c r="A13663" s="16" t="n">
        <v>45462</v>
      </c>
      <c r="B13663" s="17" t="s">
        <v>4548</v>
      </c>
      <c r="C13663" s="17" t="s">
        <v>3614</v>
      </c>
      <c r="D13663" s="17" t="s">
        <v>19</v>
      </c>
      <c r="E13663" s="17" t="s">
        <v>3447</v>
      </c>
      <c r="F13663" s="17" t="s">
        <v>776</v>
      </c>
      <c r="G13663" s="18" t="n">
        <v>0</v>
      </c>
      <c r="H13663" s="18" t="n">
        <v>28.2</v>
      </c>
      <c r="I13663" s="18" t="n">
        <f aca="false">((I13662 + G13663) - H13663)</f>
        <v>2420.31000000001</v>
      </c>
      <c r="J13663" s="18" t="n">
        <v>0</v>
      </c>
      <c r="K13663" s="19" t="n">
        <v>0</v>
      </c>
      <c r="L13663" s="17"/>
    </row>
    <row r="13664" s="11" customFormat="true" ht="10.95" hidden="false" customHeight="true" outlineLevel="0" collapsed="false">
      <c r="A13664" s="16" t="n">
        <v>45462</v>
      </c>
      <c r="B13664" s="17" t="s">
        <v>4548</v>
      </c>
      <c r="C13664" s="17" t="s">
        <v>3614</v>
      </c>
      <c r="D13664" s="17" t="s">
        <v>19</v>
      </c>
      <c r="E13664" s="17" t="s">
        <v>3447</v>
      </c>
      <c r="F13664" s="17" t="s">
        <v>777</v>
      </c>
      <c r="G13664" s="18" t="n">
        <v>0</v>
      </c>
      <c r="H13664" s="18" t="n">
        <v>28.2</v>
      </c>
      <c r="I13664" s="18" t="n">
        <f aca="false">((I13663 + G13664) - H13664)</f>
        <v>2392.11000000001</v>
      </c>
      <c r="J13664" s="18" t="n">
        <v>0</v>
      </c>
      <c r="K13664" s="19" t="n">
        <v>0</v>
      </c>
      <c r="L13664" s="17"/>
    </row>
    <row r="13665" s="11" customFormat="true" ht="10.95" hidden="false" customHeight="true" outlineLevel="0" collapsed="false">
      <c r="A13665" s="16" t="n">
        <v>45462</v>
      </c>
      <c r="B13665" s="17" t="s">
        <v>4548</v>
      </c>
      <c r="C13665" s="17" t="s">
        <v>3614</v>
      </c>
      <c r="D13665" s="17" t="s">
        <v>19</v>
      </c>
      <c r="E13665" s="17" t="s">
        <v>3447</v>
      </c>
      <c r="F13665" s="17" t="s">
        <v>778</v>
      </c>
      <c r="G13665" s="18" t="n">
        <v>0</v>
      </c>
      <c r="H13665" s="18" t="n">
        <v>56.4</v>
      </c>
      <c r="I13665" s="18" t="n">
        <f aca="false">((I13664 + G13665) - H13665)</f>
        <v>2335.71000000001</v>
      </c>
      <c r="J13665" s="18" t="n">
        <v>0</v>
      </c>
      <c r="K13665" s="19" t="n">
        <v>0</v>
      </c>
      <c r="L13665" s="17"/>
    </row>
    <row r="13666" s="11" customFormat="true" ht="10.95" hidden="false" customHeight="true" outlineLevel="0" collapsed="false">
      <c r="A13666" s="16" t="n">
        <v>45462</v>
      </c>
      <c r="B13666" s="17" t="s">
        <v>4548</v>
      </c>
      <c r="C13666" s="17" t="s">
        <v>3614</v>
      </c>
      <c r="D13666" s="17" t="s">
        <v>19</v>
      </c>
      <c r="E13666" s="17" t="s">
        <v>3447</v>
      </c>
      <c r="F13666" s="17" t="s">
        <v>779</v>
      </c>
      <c r="G13666" s="18" t="n">
        <v>0</v>
      </c>
      <c r="H13666" s="18" t="n">
        <v>103.4</v>
      </c>
      <c r="I13666" s="18" t="n">
        <f aca="false">((I13665 + G13666) - H13666)</f>
        <v>2232.31000000001</v>
      </c>
      <c r="J13666" s="18" t="n">
        <v>0</v>
      </c>
      <c r="K13666" s="19" t="n">
        <v>0</v>
      </c>
      <c r="L13666" s="17"/>
    </row>
    <row r="13667" s="11" customFormat="true" ht="10.95" hidden="false" customHeight="true" outlineLevel="0" collapsed="false">
      <c r="A13667" s="16" t="n">
        <v>45462</v>
      </c>
      <c r="B13667" s="17" t="s">
        <v>4548</v>
      </c>
      <c r="C13667" s="17" t="s">
        <v>3614</v>
      </c>
      <c r="D13667" s="17" t="s">
        <v>19</v>
      </c>
      <c r="E13667" s="17" t="s">
        <v>3447</v>
      </c>
      <c r="F13667" s="17" t="s">
        <v>780</v>
      </c>
      <c r="G13667" s="18" t="n">
        <v>0</v>
      </c>
      <c r="H13667" s="18" t="n">
        <v>9.4</v>
      </c>
      <c r="I13667" s="18" t="n">
        <f aca="false">((I13666 + G13667) - H13667)</f>
        <v>2222.91000000001</v>
      </c>
      <c r="J13667" s="18" t="n">
        <v>0</v>
      </c>
      <c r="K13667" s="19" t="n">
        <v>0</v>
      </c>
      <c r="L13667" s="17"/>
    </row>
    <row r="13668" s="11" customFormat="true" ht="10.95" hidden="false" customHeight="true" outlineLevel="0" collapsed="false">
      <c r="A13668" s="16" t="n">
        <v>45462</v>
      </c>
      <c r="B13668" s="17" t="s">
        <v>4548</v>
      </c>
      <c r="C13668" s="17" t="s">
        <v>3614</v>
      </c>
      <c r="D13668" s="17" t="s">
        <v>19</v>
      </c>
      <c r="E13668" s="17" t="s">
        <v>3447</v>
      </c>
      <c r="F13668" s="17" t="s">
        <v>781</v>
      </c>
      <c r="G13668" s="18" t="n">
        <v>0</v>
      </c>
      <c r="H13668" s="18" t="n">
        <v>65.8</v>
      </c>
      <c r="I13668" s="18" t="n">
        <f aca="false">((I13667 + G13668) - H13668)</f>
        <v>2157.11000000001</v>
      </c>
      <c r="J13668" s="18" t="n">
        <v>0</v>
      </c>
      <c r="K13668" s="19" t="n">
        <v>0</v>
      </c>
      <c r="L13668" s="17"/>
    </row>
    <row r="13669" s="11" customFormat="true" ht="10.95" hidden="false" customHeight="true" outlineLevel="0" collapsed="false">
      <c r="A13669" s="16" t="n">
        <v>45462</v>
      </c>
      <c r="B13669" s="17" t="s">
        <v>4548</v>
      </c>
      <c r="C13669" s="17" t="s">
        <v>3614</v>
      </c>
      <c r="D13669" s="17" t="s">
        <v>19</v>
      </c>
      <c r="E13669" s="17" t="s">
        <v>3451</v>
      </c>
      <c r="F13669" s="17" t="s">
        <v>782</v>
      </c>
      <c r="G13669" s="18" t="n">
        <v>0</v>
      </c>
      <c r="H13669" s="18" t="n">
        <v>116.2</v>
      </c>
      <c r="I13669" s="18" t="n">
        <f aca="false">((I13668 + G13669) - H13669)</f>
        <v>2040.91000000001</v>
      </c>
      <c r="J13669" s="18" t="n">
        <v>0</v>
      </c>
      <c r="K13669" s="19" t="n">
        <v>0</v>
      </c>
      <c r="L13669" s="17"/>
    </row>
    <row r="13670" s="11" customFormat="true" ht="10.95" hidden="false" customHeight="true" outlineLevel="0" collapsed="false">
      <c r="A13670" s="16" t="n">
        <v>45463</v>
      </c>
      <c r="B13670" s="17" t="s">
        <v>4548</v>
      </c>
      <c r="C13670" s="17" t="s">
        <v>3614</v>
      </c>
      <c r="D13670" s="17" t="s">
        <v>1407</v>
      </c>
      <c r="E13670" s="17" t="s">
        <v>3632</v>
      </c>
      <c r="F13670" s="17"/>
      <c r="G13670" s="18" t="n">
        <v>150</v>
      </c>
      <c r="H13670" s="18" t="n">
        <v>0</v>
      </c>
      <c r="I13670" s="18" t="n">
        <f aca="false">((I13669 + G13670) - H13670)</f>
        <v>2190.91000000001</v>
      </c>
      <c r="J13670" s="18" t="n">
        <v>0</v>
      </c>
      <c r="K13670" s="19" t="n">
        <v>0</v>
      </c>
      <c r="L13670" s="17"/>
    </row>
    <row r="13671" s="11" customFormat="true" ht="10.95" hidden="false" customHeight="true" outlineLevel="0" collapsed="false">
      <c r="A13671" s="16" t="n">
        <v>45463</v>
      </c>
      <c r="B13671" s="17" t="s">
        <v>4548</v>
      </c>
      <c r="C13671" s="17" t="s">
        <v>3614</v>
      </c>
      <c r="D13671" s="17" t="s">
        <v>1407</v>
      </c>
      <c r="E13671" s="17" t="s">
        <v>3882</v>
      </c>
      <c r="F13671" s="17"/>
      <c r="G13671" s="18" t="n">
        <v>2.27</v>
      </c>
      <c r="H13671" s="18" t="n">
        <v>0</v>
      </c>
      <c r="I13671" s="18" t="n">
        <f aca="false">((I13670 + G13671) - H13671)</f>
        <v>2193.18000000001</v>
      </c>
      <c r="J13671" s="18" t="n">
        <v>0</v>
      </c>
      <c r="K13671" s="19" t="n">
        <v>0</v>
      </c>
      <c r="L13671" s="17"/>
    </row>
    <row r="13672" s="11" customFormat="true" ht="10.95" hidden="false" customHeight="true" outlineLevel="0" collapsed="false">
      <c r="A13672" s="16" t="n">
        <v>45464</v>
      </c>
      <c r="B13672" s="17" t="s">
        <v>4548</v>
      </c>
      <c r="C13672" s="17" t="s">
        <v>3614</v>
      </c>
      <c r="D13672" s="17" t="s">
        <v>1407</v>
      </c>
      <c r="E13672" s="17" t="s">
        <v>3804</v>
      </c>
      <c r="F13672" s="17"/>
      <c r="G13672" s="18" t="n">
        <v>9.09</v>
      </c>
      <c r="H13672" s="18" t="n">
        <v>0</v>
      </c>
      <c r="I13672" s="18" t="n">
        <f aca="false">((I13671 + G13672) - H13672)</f>
        <v>2202.27000000001</v>
      </c>
      <c r="J13672" s="18" t="n">
        <v>0</v>
      </c>
      <c r="K13672" s="19" t="n">
        <v>0</v>
      </c>
      <c r="L13672" s="17"/>
    </row>
    <row r="13673" s="11" customFormat="true" ht="10.95" hidden="false" customHeight="true" outlineLevel="0" collapsed="false">
      <c r="A13673" s="16" t="n">
        <v>45464</v>
      </c>
      <c r="B13673" s="17" t="s">
        <v>4548</v>
      </c>
      <c r="C13673" s="17" t="s">
        <v>3614</v>
      </c>
      <c r="D13673" s="17" t="s">
        <v>1391</v>
      </c>
      <c r="E13673" s="17" t="s">
        <v>3638</v>
      </c>
      <c r="F13673" s="17" t="s">
        <v>3343</v>
      </c>
      <c r="G13673" s="18" t="n">
        <v>353.1</v>
      </c>
      <c r="H13673" s="18" t="n">
        <v>0</v>
      </c>
      <c r="I13673" s="18" t="n">
        <f aca="false">((I13672 + G13673) - H13673)</f>
        <v>2555.37000000001</v>
      </c>
      <c r="J13673" s="18" t="n">
        <v>0</v>
      </c>
      <c r="K13673" s="19" t="n">
        <v>0</v>
      </c>
      <c r="L13673" s="17"/>
    </row>
    <row r="13674" s="11" customFormat="true" ht="10.95" hidden="false" customHeight="true" outlineLevel="0" collapsed="false">
      <c r="A13674" s="16" t="n">
        <v>45466</v>
      </c>
      <c r="B13674" s="17" t="s">
        <v>4548</v>
      </c>
      <c r="C13674" s="17" t="s">
        <v>3614</v>
      </c>
      <c r="D13674" s="17" t="s">
        <v>1407</v>
      </c>
      <c r="E13674" s="17" t="s">
        <v>3804</v>
      </c>
      <c r="F13674" s="17"/>
      <c r="G13674" s="18" t="n">
        <v>3.64</v>
      </c>
      <c r="H13674" s="18" t="n">
        <v>0</v>
      </c>
      <c r="I13674" s="18" t="n">
        <f aca="false">((I13673 + G13674) - H13674)</f>
        <v>2559.01000000001</v>
      </c>
      <c r="J13674" s="18" t="n">
        <v>0</v>
      </c>
      <c r="K13674" s="19" t="n">
        <v>0</v>
      </c>
      <c r="L13674" s="17"/>
    </row>
    <row r="13675" s="11" customFormat="true" ht="10.95" hidden="false" customHeight="true" outlineLevel="0" collapsed="false">
      <c r="A13675" s="16" t="n">
        <v>45468</v>
      </c>
      <c r="B13675" s="17" t="s">
        <v>4548</v>
      </c>
      <c r="C13675" s="17" t="s">
        <v>3614</v>
      </c>
      <c r="D13675" s="17" t="s">
        <v>1407</v>
      </c>
      <c r="E13675" s="17" t="s">
        <v>3907</v>
      </c>
      <c r="F13675" s="17"/>
      <c r="G13675" s="18" t="n">
        <v>1.95</v>
      </c>
      <c r="H13675" s="18" t="n">
        <v>0</v>
      </c>
      <c r="I13675" s="18" t="n">
        <f aca="false">((I13674 + G13675) - H13675)</f>
        <v>2560.96000000001</v>
      </c>
      <c r="J13675" s="18" t="n">
        <v>0</v>
      </c>
      <c r="K13675" s="19" t="n">
        <v>0</v>
      </c>
      <c r="L13675" s="17"/>
    </row>
    <row r="13676" s="11" customFormat="true" ht="10.95" hidden="false" customHeight="true" outlineLevel="0" collapsed="false">
      <c r="A13676" s="16" t="n">
        <v>45468</v>
      </c>
      <c r="B13676" s="17" t="s">
        <v>4548</v>
      </c>
      <c r="C13676" s="17" t="s">
        <v>3614</v>
      </c>
      <c r="D13676" s="17" t="s">
        <v>1407</v>
      </c>
      <c r="E13676" s="17" t="s">
        <v>3770</v>
      </c>
      <c r="F13676" s="17"/>
      <c r="G13676" s="18" t="n">
        <v>2.36</v>
      </c>
      <c r="H13676" s="18" t="n">
        <v>0</v>
      </c>
      <c r="I13676" s="18" t="n">
        <f aca="false">((I13675 + G13676) - H13676)</f>
        <v>2563.32000000001</v>
      </c>
      <c r="J13676" s="18" t="n">
        <v>0</v>
      </c>
      <c r="K13676" s="19" t="n">
        <v>0</v>
      </c>
      <c r="L13676" s="17"/>
    </row>
    <row r="13677" s="11" customFormat="true" ht="10.95" hidden="false" customHeight="true" outlineLevel="0" collapsed="false">
      <c r="A13677" s="16" t="n">
        <v>45468</v>
      </c>
      <c r="B13677" s="17" t="s">
        <v>4548</v>
      </c>
      <c r="C13677" s="17" t="s">
        <v>3614</v>
      </c>
      <c r="D13677" s="17" t="s">
        <v>1407</v>
      </c>
      <c r="E13677" s="17" t="s">
        <v>3967</v>
      </c>
      <c r="F13677" s="17"/>
      <c r="G13677" s="18" t="n">
        <v>4.36</v>
      </c>
      <c r="H13677" s="18" t="n">
        <v>0</v>
      </c>
      <c r="I13677" s="18" t="n">
        <f aca="false">((I13676 + G13677) - H13677)</f>
        <v>2567.68000000001</v>
      </c>
      <c r="J13677" s="18" t="n">
        <v>0</v>
      </c>
      <c r="K13677" s="19" t="n">
        <v>0</v>
      </c>
      <c r="L13677" s="17"/>
    </row>
    <row r="13678" s="11" customFormat="true" ht="10.95" hidden="false" customHeight="true" outlineLevel="0" collapsed="false">
      <c r="A13678" s="16" t="n">
        <v>45468</v>
      </c>
      <c r="B13678" s="17" t="s">
        <v>4548</v>
      </c>
      <c r="C13678" s="17" t="s">
        <v>3614</v>
      </c>
      <c r="D13678" s="17" t="s">
        <v>1407</v>
      </c>
      <c r="E13678" s="17" t="s">
        <v>3621</v>
      </c>
      <c r="F13678" s="17"/>
      <c r="G13678" s="18" t="n">
        <v>7.11</v>
      </c>
      <c r="H13678" s="18" t="n">
        <v>0</v>
      </c>
      <c r="I13678" s="18" t="n">
        <f aca="false">((I13677 + G13678) - H13678)</f>
        <v>2574.79000000001</v>
      </c>
      <c r="J13678" s="18" t="n">
        <v>0</v>
      </c>
      <c r="K13678" s="19" t="n">
        <v>0</v>
      </c>
      <c r="L13678" s="17"/>
    </row>
    <row r="13679" s="11" customFormat="true" ht="10.95" hidden="false" customHeight="true" outlineLevel="0" collapsed="false">
      <c r="A13679" s="16" t="n">
        <v>45468</v>
      </c>
      <c r="B13679" s="17" t="s">
        <v>4548</v>
      </c>
      <c r="C13679" s="17" t="s">
        <v>3614</v>
      </c>
      <c r="D13679" s="17" t="s">
        <v>1407</v>
      </c>
      <c r="E13679" s="17" t="s">
        <v>3642</v>
      </c>
      <c r="F13679" s="17"/>
      <c r="G13679" s="18" t="n">
        <v>8.6</v>
      </c>
      <c r="H13679" s="18" t="n">
        <v>0</v>
      </c>
      <c r="I13679" s="18" t="n">
        <f aca="false">((I13678 + G13679) - H13679)</f>
        <v>2583.39000000001</v>
      </c>
      <c r="J13679" s="18" t="n">
        <v>0</v>
      </c>
      <c r="K13679" s="19" t="n">
        <v>0</v>
      </c>
      <c r="L13679" s="17"/>
    </row>
    <row r="13680" s="11" customFormat="true" ht="10.95" hidden="false" customHeight="true" outlineLevel="0" collapsed="false">
      <c r="A13680" s="16" t="n">
        <v>45468</v>
      </c>
      <c r="B13680" s="17" t="s">
        <v>4548</v>
      </c>
      <c r="C13680" s="17" t="s">
        <v>3614</v>
      </c>
      <c r="D13680" s="17" t="s">
        <v>1407</v>
      </c>
      <c r="E13680" s="17" t="s">
        <v>4496</v>
      </c>
      <c r="F13680" s="17"/>
      <c r="G13680" s="18" t="n">
        <v>3.18</v>
      </c>
      <c r="H13680" s="18" t="n">
        <v>0</v>
      </c>
      <c r="I13680" s="18" t="n">
        <f aca="false">((I13679 + G13680) - H13680)</f>
        <v>2586.57000000001</v>
      </c>
      <c r="J13680" s="18" t="n">
        <v>0</v>
      </c>
      <c r="K13680" s="19" t="n">
        <v>0</v>
      </c>
      <c r="L13680" s="17"/>
    </row>
    <row r="13681" s="11" customFormat="true" ht="10.95" hidden="false" customHeight="true" outlineLevel="0" collapsed="false">
      <c r="A13681" s="16" t="n">
        <v>45468</v>
      </c>
      <c r="B13681" s="17" t="s">
        <v>4548</v>
      </c>
      <c r="C13681" s="17" t="s">
        <v>3614</v>
      </c>
      <c r="D13681" s="17" t="s">
        <v>1391</v>
      </c>
      <c r="E13681" s="17" t="s">
        <v>3647</v>
      </c>
      <c r="F13681" s="17" t="s">
        <v>1582</v>
      </c>
      <c r="G13681" s="18" t="n">
        <v>591.78</v>
      </c>
      <c r="H13681" s="18" t="n">
        <v>0</v>
      </c>
      <c r="I13681" s="18" t="n">
        <f aca="false">((I13680 + G13681) - H13681)</f>
        <v>3178.35000000001</v>
      </c>
      <c r="J13681" s="18" t="n">
        <v>0</v>
      </c>
      <c r="K13681" s="19" t="n">
        <v>0</v>
      </c>
      <c r="L13681" s="17"/>
    </row>
    <row r="13682" s="11" customFormat="true" ht="10.95" hidden="false" customHeight="true" outlineLevel="0" collapsed="false">
      <c r="A13682" s="16" t="n">
        <v>45469</v>
      </c>
      <c r="B13682" s="17" t="s">
        <v>4548</v>
      </c>
      <c r="C13682" s="17" t="s">
        <v>3614</v>
      </c>
      <c r="D13682" s="17" t="s">
        <v>1407</v>
      </c>
      <c r="E13682" s="17" t="s">
        <v>3666</v>
      </c>
      <c r="F13682" s="17"/>
      <c r="G13682" s="18" t="n">
        <v>49.53</v>
      </c>
      <c r="H13682" s="18" t="n">
        <v>0</v>
      </c>
      <c r="I13682" s="18" t="n">
        <f aca="false">((I13681 + G13682) - H13682)</f>
        <v>3227.88000000001</v>
      </c>
      <c r="J13682" s="18" t="n">
        <v>0</v>
      </c>
      <c r="K13682" s="19" t="n">
        <v>0</v>
      </c>
      <c r="L13682" s="17"/>
    </row>
    <row r="13683" s="11" customFormat="true" ht="10.95" hidden="false" customHeight="true" outlineLevel="0" collapsed="false">
      <c r="A13683" s="16" t="n">
        <v>45470</v>
      </c>
      <c r="B13683" s="17" t="s">
        <v>4548</v>
      </c>
      <c r="C13683" s="17" t="s">
        <v>3614</v>
      </c>
      <c r="D13683" s="17" t="s">
        <v>1407</v>
      </c>
      <c r="E13683" s="17" t="s">
        <v>2747</v>
      </c>
      <c r="F13683" s="17"/>
      <c r="G13683" s="18" t="n">
        <v>3.55</v>
      </c>
      <c r="H13683" s="18" t="n">
        <v>0</v>
      </c>
      <c r="I13683" s="18" t="n">
        <f aca="false">((I13682 + G13683) - H13683)</f>
        <v>3231.43000000001</v>
      </c>
      <c r="J13683" s="18" t="n">
        <v>0</v>
      </c>
      <c r="K13683" s="19" t="n">
        <v>0</v>
      </c>
      <c r="L13683" s="17"/>
    </row>
    <row r="13684" s="11" customFormat="true" ht="10.95" hidden="false" customHeight="true" outlineLevel="0" collapsed="false">
      <c r="A13684" s="16" t="n">
        <v>45470</v>
      </c>
      <c r="B13684" s="17" t="s">
        <v>4548</v>
      </c>
      <c r="C13684" s="17" t="s">
        <v>3614</v>
      </c>
      <c r="D13684" s="17" t="s">
        <v>1407</v>
      </c>
      <c r="E13684" s="17" t="s">
        <v>1583</v>
      </c>
      <c r="F13684" s="17"/>
      <c r="G13684" s="18" t="n">
        <v>4.45</v>
      </c>
      <c r="H13684" s="18" t="n">
        <v>0</v>
      </c>
      <c r="I13684" s="18" t="n">
        <f aca="false">((I13683 + G13684) - H13684)</f>
        <v>3235.88000000001</v>
      </c>
      <c r="J13684" s="18" t="n">
        <v>0</v>
      </c>
      <c r="K13684" s="19" t="n">
        <v>0</v>
      </c>
      <c r="L13684" s="17"/>
    </row>
    <row r="13685" s="11" customFormat="true" ht="10.95" hidden="false" customHeight="true" outlineLevel="0" collapsed="false">
      <c r="A13685" s="16" t="n">
        <v>45470</v>
      </c>
      <c r="B13685" s="17" t="s">
        <v>4548</v>
      </c>
      <c r="C13685" s="17" t="s">
        <v>3614</v>
      </c>
      <c r="D13685" s="17" t="s">
        <v>1391</v>
      </c>
      <c r="E13685" s="17" t="s">
        <v>3740</v>
      </c>
      <c r="F13685" s="17" t="s">
        <v>1768</v>
      </c>
      <c r="G13685" s="18" t="n">
        <v>80</v>
      </c>
      <c r="H13685" s="18" t="n">
        <v>0</v>
      </c>
      <c r="I13685" s="18" t="n">
        <f aca="false">((I13684 + G13685) - H13685)</f>
        <v>3315.88000000001</v>
      </c>
      <c r="J13685" s="18" t="n">
        <v>0</v>
      </c>
      <c r="K13685" s="19" t="n">
        <v>0</v>
      </c>
      <c r="L13685" s="17"/>
    </row>
    <row r="13686" s="11" customFormat="true" ht="10.95" hidden="false" customHeight="true" outlineLevel="0" collapsed="false">
      <c r="A13686" s="16" t="n">
        <v>45471</v>
      </c>
      <c r="B13686" s="17" t="s">
        <v>4548</v>
      </c>
      <c r="C13686" s="17" t="s">
        <v>3614</v>
      </c>
      <c r="D13686" s="17" t="s">
        <v>1407</v>
      </c>
      <c r="E13686" s="17" t="s">
        <v>4072</v>
      </c>
      <c r="F13686" s="17"/>
      <c r="G13686" s="18" t="n">
        <v>19.9</v>
      </c>
      <c r="H13686" s="18" t="n">
        <v>0</v>
      </c>
      <c r="I13686" s="18" t="n">
        <f aca="false">((I13685 + G13686) - H13686)</f>
        <v>3335.78000000001</v>
      </c>
      <c r="J13686" s="18" t="n">
        <v>0</v>
      </c>
      <c r="K13686" s="19" t="n">
        <v>0</v>
      </c>
      <c r="L13686" s="17"/>
    </row>
    <row r="13687" s="11" customFormat="true" ht="10.95" hidden="false" customHeight="true" outlineLevel="0" collapsed="false">
      <c r="A13687" s="16" t="n">
        <v>45471</v>
      </c>
      <c r="B13687" s="17" t="s">
        <v>4548</v>
      </c>
      <c r="C13687" s="17" t="s">
        <v>3614</v>
      </c>
      <c r="D13687" s="17" t="s">
        <v>1407</v>
      </c>
      <c r="E13687" s="17" t="s">
        <v>2591</v>
      </c>
      <c r="F13687" s="17"/>
      <c r="G13687" s="18" t="n">
        <v>17.19</v>
      </c>
      <c r="H13687" s="18" t="n">
        <v>0</v>
      </c>
      <c r="I13687" s="18" t="n">
        <f aca="false">((I13686 + G13687) - H13687)</f>
        <v>3352.97000000001</v>
      </c>
      <c r="J13687" s="18" t="n">
        <v>0</v>
      </c>
      <c r="K13687" s="19" t="n">
        <v>0</v>
      </c>
      <c r="L13687" s="17"/>
    </row>
    <row r="13688" s="11" customFormat="true" ht="10.95" hidden="false" customHeight="true" outlineLevel="0" collapsed="false">
      <c r="A13688" s="16" t="n">
        <v>45471</v>
      </c>
      <c r="B13688" s="17" t="s">
        <v>4548</v>
      </c>
      <c r="C13688" s="17" t="s">
        <v>3614</v>
      </c>
      <c r="D13688" s="17" t="s">
        <v>1391</v>
      </c>
      <c r="E13688" s="17" t="s">
        <v>3666</v>
      </c>
      <c r="F13688" s="17" t="s">
        <v>3239</v>
      </c>
      <c r="G13688" s="18" t="n">
        <v>103.2</v>
      </c>
      <c r="H13688" s="18" t="n">
        <v>0</v>
      </c>
      <c r="I13688" s="18" t="n">
        <f aca="false">((I13687 + G13688) - H13688)</f>
        <v>3456.17000000001</v>
      </c>
      <c r="J13688" s="18" t="n">
        <v>0</v>
      </c>
      <c r="K13688" s="19" t="n">
        <v>0</v>
      </c>
      <c r="L13688" s="17"/>
    </row>
    <row r="13689" s="11" customFormat="true" ht="10.95" hidden="false" customHeight="true" outlineLevel="0" collapsed="false">
      <c r="A13689" s="16" t="n">
        <v>45472</v>
      </c>
      <c r="B13689" s="17" t="s">
        <v>4548</v>
      </c>
      <c r="C13689" s="17" t="s">
        <v>3614</v>
      </c>
      <c r="D13689" s="17" t="s">
        <v>1407</v>
      </c>
      <c r="E13689" s="17" t="s">
        <v>3858</v>
      </c>
      <c r="F13689" s="17"/>
      <c r="G13689" s="18" t="n">
        <v>122.36</v>
      </c>
      <c r="H13689" s="18" t="n">
        <v>0</v>
      </c>
      <c r="I13689" s="18" t="n">
        <f aca="false">((I13688 + G13689) - H13689)</f>
        <v>3578.53000000001</v>
      </c>
      <c r="J13689" s="18" t="n">
        <v>0</v>
      </c>
      <c r="K13689" s="19" t="n">
        <v>0</v>
      </c>
      <c r="L13689" s="17"/>
    </row>
    <row r="13690" s="11" customFormat="true" ht="10.95" hidden="false" customHeight="true" outlineLevel="0" collapsed="false">
      <c r="A13690" s="16" t="n">
        <v>45472</v>
      </c>
      <c r="B13690" s="17" t="s">
        <v>4548</v>
      </c>
      <c r="C13690" s="17" t="s">
        <v>3614</v>
      </c>
      <c r="D13690" s="17" t="s">
        <v>1407</v>
      </c>
      <c r="E13690" s="17" t="s">
        <v>3858</v>
      </c>
      <c r="F13690" s="17"/>
      <c r="G13690" s="18" t="n">
        <v>1.2</v>
      </c>
      <c r="H13690" s="18" t="n">
        <v>0</v>
      </c>
      <c r="I13690" s="18" t="n">
        <f aca="false">((I13689 + G13690) - H13690)</f>
        <v>3579.73000000001</v>
      </c>
      <c r="J13690" s="18" t="n">
        <v>0</v>
      </c>
      <c r="K13690" s="19" t="n">
        <v>0</v>
      </c>
      <c r="L13690" s="17"/>
    </row>
    <row r="13691" s="11" customFormat="true" ht="10.95" hidden="false" customHeight="true" outlineLevel="0" collapsed="false">
      <c r="A13691" s="16" t="n">
        <v>45472</v>
      </c>
      <c r="B13691" s="17" t="s">
        <v>4548</v>
      </c>
      <c r="C13691" s="17" t="s">
        <v>3614</v>
      </c>
      <c r="D13691" s="17" t="s">
        <v>1407</v>
      </c>
      <c r="E13691" s="17" t="s">
        <v>3882</v>
      </c>
      <c r="F13691" s="17"/>
      <c r="G13691" s="18" t="n">
        <v>8.71</v>
      </c>
      <c r="H13691" s="18" t="n">
        <v>0</v>
      </c>
      <c r="I13691" s="18" t="n">
        <f aca="false">((I13690 + G13691) - H13691)</f>
        <v>3588.44000000001</v>
      </c>
      <c r="J13691" s="18" t="n">
        <v>0</v>
      </c>
      <c r="K13691" s="19" t="n">
        <v>0</v>
      </c>
      <c r="L13691" s="17"/>
    </row>
    <row r="13692" s="11" customFormat="true" ht="10.95" hidden="false" customHeight="true" outlineLevel="0" collapsed="false">
      <c r="A13692" s="16" t="n">
        <v>45473</v>
      </c>
      <c r="B13692" s="17" t="s">
        <v>4548</v>
      </c>
      <c r="C13692" s="17" t="s">
        <v>3614</v>
      </c>
      <c r="D13692" s="17" t="s">
        <v>1391</v>
      </c>
      <c r="E13692" s="17" t="s">
        <v>4552</v>
      </c>
      <c r="F13692" s="17" t="s">
        <v>3743</v>
      </c>
      <c r="G13692" s="18" t="n">
        <v>0</v>
      </c>
      <c r="H13692" s="18" t="n">
        <v>924</v>
      </c>
      <c r="I13692" s="18" t="n">
        <f aca="false">((I13691 + G13692) - H13692)</f>
        <v>2664.44000000001</v>
      </c>
      <c r="J13692" s="18" t="n">
        <v>0</v>
      </c>
      <c r="K13692" s="19" t="n">
        <v>0</v>
      </c>
      <c r="L13692" s="17" t="s">
        <v>1399</v>
      </c>
    </row>
    <row r="13693" s="11" customFormat="true" ht="10.95" hidden="false" customHeight="true" outlineLevel="0" collapsed="false">
      <c r="A13693" s="16" t="n">
        <v>45473</v>
      </c>
      <c r="B13693" s="17" t="s">
        <v>4548</v>
      </c>
      <c r="C13693" s="17" t="s">
        <v>3614</v>
      </c>
      <c r="D13693" s="17" t="s">
        <v>1396</v>
      </c>
      <c r="E13693" s="17" t="s">
        <v>3747</v>
      </c>
      <c r="F13693" s="17" t="s">
        <v>3748</v>
      </c>
      <c r="G13693" s="18" t="n">
        <v>0</v>
      </c>
      <c r="H13693" s="18" t="n">
        <v>698.44</v>
      </c>
      <c r="I13693" s="18" t="n">
        <f aca="false">((I13692 + G13693) - H13693)</f>
        <v>1966.00000000001</v>
      </c>
      <c r="J13693" s="18" t="n">
        <v>0</v>
      </c>
      <c r="K13693" s="19" t="n">
        <v>0</v>
      </c>
      <c r="L13693" s="17" t="s">
        <v>1399</v>
      </c>
    </row>
    <row r="13694" s="11" customFormat="true" ht="10.95" hidden="false" customHeight="true" outlineLevel="0" collapsed="false">
      <c r="A13694" s="16" t="n">
        <v>45473</v>
      </c>
      <c r="B13694" s="17" t="s">
        <v>4548</v>
      </c>
      <c r="C13694" s="17" t="s">
        <v>3614</v>
      </c>
      <c r="D13694" s="17" t="s">
        <v>1396</v>
      </c>
      <c r="E13694" s="17" t="s">
        <v>4553</v>
      </c>
      <c r="F13694" s="17" t="s">
        <v>4554</v>
      </c>
      <c r="G13694" s="18" t="n">
        <v>0</v>
      </c>
      <c r="H13694" s="18" t="n">
        <v>1966</v>
      </c>
      <c r="I13694" s="18" t="n">
        <f aca="false">((I13693 + G13694) - H13694)</f>
        <v>9.54969436861575E-012</v>
      </c>
      <c r="J13694" s="18" t="n">
        <v>0</v>
      </c>
      <c r="K13694" s="19" t="n">
        <v>0</v>
      </c>
      <c r="L13694" s="17" t="s">
        <v>1399</v>
      </c>
    </row>
    <row r="13695" customFormat="false" ht="10.95" hidden="false" customHeight="true" outlineLevel="0" collapsed="false">
      <c r="A13695" s="16" t="n">
        <v>45565</v>
      </c>
      <c r="B13695" s="17" t="s">
        <v>4548</v>
      </c>
      <c r="C13695" s="17" t="s">
        <v>3614</v>
      </c>
      <c r="D13695" s="17" t="s">
        <v>1396</v>
      </c>
      <c r="E13695" s="17" t="s">
        <v>3747</v>
      </c>
      <c r="F13695" s="17" t="s">
        <v>3748</v>
      </c>
      <c r="G13695" s="18" t="n">
        <v>0</v>
      </c>
      <c r="H13695" s="18" t="n">
        <v>500</v>
      </c>
      <c r="I13695" s="18" t="n">
        <f aca="false">((I13694 + G13695) - H13695)</f>
        <v>-499.99999999999</v>
      </c>
      <c r="J13695" s="18" t="n">
        <v>0</v>
      </c>
      <c r="K13695" s="19" t="n">
        <v>0</v>
      </c>
      <c r="L13695" s="17" t="s">
        <v>1399</v>
      </c>
    </row>
    <row r="13696" customFormat="false" ht="10.95" hidden="false" customHeight="true" outlineLevel="0" collapsed="false">
      <c r="A13696" s="16" t="n">
        <v>45656</v>
      </c>
      <c r="B13696" s="17" t="s">
        <v>4548</v>
      </c>
      <c r="C13696" s="17" t="s">
        <v>3614</v>
      </c>
      <c r="D13696" s="17" t="s">
        <v>1396</v>
      </c>
      <c r="E13696" s="17" t="s">
        <v>4553</v>
      </c>
      <c r="F13696" s="17" t="s">
        <v>4554</v>
      </c>
      <c r="G13696" s="18" t="n">
        <v>0</v>
      </c>
      <c r="H13696" s="18" t="n">
        <v>2000</v>
      </c>
      <c r="I13696" s="18" t="n">
        <f aca="false">((I13695 + G13696) - H13696)</f>
        <v>-2499.99999999999</v>
      </c>
      <c r="J13696" s="18" t="n">
        <v>0</v>
      </c>
      <c r="K13696" s="19" t="n">
        <v>0</v>
      </c>
      <c r="L13696" s="17" t="s">
        <v>1399</v>
      </c>
    </row>
    <row r="13697" customFormat="false" ht="10.95" hidden="false" customHeight="true" outlineLevel="0" collapsed="false">
      <c r="A13697" s="21" t="s">
        <v>4555</v>
      </c>
      <c r="B13697" s="21"/>
      <c r="C13697" s="21"/>
      <c r="D13697" s="21"/>
      <c r="E13697" s="21"/>
      <c r="F13697" s="21"/>
      <c r="G13697" s="22" t="n">
        <f aca="false">SUM(G12377:G13694)</f>
        <v>102299.42</v>
      </c>
      <c r="H13697" s="22" t="n">
        <f aca="false">SUM(H12377:H13694)</f>
        <v>94268.42</v>
      </c>
      <c r="I13697" s="22" t="n">
        <f aca="false">I13694</f>
        <v>9.54969436861575E-012</v>
      </c>
      <c r="J13697" s="22" t="n">
        <f aca="false">SUM(J12377:J13694)</f>
        <v>0</v>
      </c>
      <c r="K13697" s="21"/>
      <c r="L13697" s="21"/>
    </row>
    <row r="13698" s="11" customFormat="true" ht="10.95" hidden="false" customHeight="true" outlineLevel="0" collapsed="false">
      <c r="A13698" s="21" t="s">
        <v>784</v>
      </c>
      <c r="B13698" s="21"/>
      <c r="C13698" s="21"/>
      <c r="D13698" s="21"/>
      <c r="E13698" s="21"/>
      <c r="F13698" s="21"/>
      <c r="G13698" s="22" t="n">
        <v>8031</v>
      </c>
      <c r="H13698" s="22" t="n">
        <v>0</v>
      </c>
      <c r="I13698" s="22" t="n">
        <v>0</v>
      </c>
      <c r="J13698" s="22" t="n">
        <v>0</v>
      </c>
      <c r="K13698" s="21"/>
      <c r="L13698" s="21"/>
    </row>
    <row r="13699" s="11" customFormat="true" ht="10.95" hidden="false" customHeight="true" outlineLevel="0" collapsed="false">
      <c r="A13699" s="9" t="s">
        <v>785</v>
      </c>
      <c r="B13699" s="9"/>
      <c r="C13699" s="9"/>
      <c r="D13699" s="9"/>
      <c r="E13699" s="9"/>
      <c r="F13699" s="9"/>
      <c r="G13699" s="10" t="n">
        <v>0</v>
      </c>
      <c r="H13699" s="10" t="n">
        <v>0</v>
      </c>
      <c r="I13699" s="10" t="n">
        <f aca="false">I13694</f>
        <v>9.54969436861575E-012</v>
      </c>
      <c r="J13699" s="10" t="n">
        <v>0</v>
      </c>
      <c r="K13699" s="9"/>
      <c r="L13699" s="9"/>
    </row>
    <row r="13700" customFormat="false" ht="13.35" hidden="false" customHeight="true" outlineLevel="0" collapsed="false"/>
    <row r="13701" s="7" customFormat="true" ht="12.1" hidden="false" customHeight="true" outlineLevel="0" collapsed="false">
      <c r="A13701" s="8" t="s">
        <v>4556</v>
      </c>
      <c r="B13701" s="8"/>
      <c r="C13701" s="8"/>
      <c r="D13701" s="8"/>
      <c r="E13701" s="8"/>
      <c r="F13701" s="8"/>
      <c r="G13701" s="8"/>
      <c r="H13701" s="8"/>
      <c r="I13701" s="8"/>
      <c r="J13701" s="8"/>
      <c r="K13701" s="8"/>
      <c r="L13701" s="8"/>
    </row>
    <row r="13702" s="11" customFormat="true" ht="10.95" hidden="false" customHeight="true" outlineLevel="0" collapsed="false">
      <c r="A13702" s="9" t="s">
        <v>16</v>
      </c>
      <c r="B13702" s="9"/>
      <c r="C13702" s="9"/>
      <c r="D13702" s="9"/>
      <c r="E13702" s="9"/>
      <c r="F13702" s="9"/>
      <c r="G13702" s="10" t="n">
        <v>1056.61</v>
      </c>
      <c r="H13702" s="10" t="n">
        <v>0</v>
      </c>
      <c r="I13702" s="10" t="n">
        <f aca="false">(G13702 - H13702)</f>
        <v>1056.61</v>
      </c>
      <c r="J13702" s="10" t="n">
        <v>0</v>
      </c>
      <c r="K13702" s="9"/>
      <c r="L13702" s="9"/>
    </row>
    <row r="13703" s="11" customFormat="true" ht="10.95" hidden="false" customHeight="true" outlineLevel="0" collapsed="false">
      <c r="A13703" s="12" t="n">
        <v>45473</v>
      </c>
      <c r="B13703" s="13" t="s">
        <v>4557</v>
      </c>
      <c r="C13703" s="13" t="s">
        <v>3614</v>
      </c>
      <c r="D13703" s="13" t="s">
        <v>1396</v>
      </c>
      <c r="E13703" s="13" t="s">
        <v>2003</v>
      </c>
      <c r="F13703" s="13" t="s">
        <v>2004</v>
      </c>
      <c r="G13703" s="14" t="n">
        <v>0</v>
      </c>
      <c r="H13703" s="14" t="n">
        <v>437.13</v>
      </c>
      <c r="I13703" s="14" t="n">
        <f aca="false">((I13702 + G13703) - H13703)</f>
        <v>619.48</v>
      </c>
      <c r="J13703" s="14" t="n">
        <v>0</v>
      </c>
      <c r="K13703" s="15" t="n">
        <v>0</v>
      </c>
      <c r="L13703" s="13" t="s">
        <v>1399</v>
      </c>
    </row>
    <row r="13704" s="11" customFormat="true" ht="10.95" hidden="false" customHeight="true" outlineLevel="0" collapsed="false">
      <c r="A13704" s="16" t="n">
        <v>45473</v>
      </c>
      <c r="B13704" s="17" t="s">
        <v>4557</v>
      </c>
      <c r="C13704" s="17" t="s">
        <v>3614</v>
      </c>
      <c r="D13704" s="17" t="s">
        <v>1396</v>
      </c>
      <c r="E13704" s="17" t="s">
        <v>3747</v>
      </c>
      <c r="F13704" s="17" t="s">
        <v>3748</v>
      </c>
      <c r="G13704" s="18" t="n">
        <v>698.44</v>
      </c>
      <c r="H13704" s="18" t="n">
        <v>0</v>
      </c>
      <c r="I13704" s="18" t="n">
        <f aca="false">((I13703 + G13704) - H13704)</f>
        <v>1317.92</v>
      </c>
      <c r="J13704" s="18" t="n">
        <v>0</v>
      </c>
      <c r="K13704" s="19" t="n">
        <v>0</v>
      </c>
      <c r="L13704" s="17" t="s">
        <v>1399</v>
      </c>
    </row>
    <row r="13705" s="11" customFormat="true" ht="10.95" hidden="false" customHeight="true" outlineLevel="0" collapsed="false">
      <c r="A13705" s="16" t="n">
        <v>45473</v>
      </c>
      <c r="B13705" s="17" t="s">
        <v>4557</v>
      </c>
      <c r="C13705" s="17" t="s">
        <v>3614</v>
      </c>
      <c r="D13705" s="17" t="s">
        <v>1396</v>
      </c>
      <c r="E13705" s="17" t="s">
        <v>1746</v>
      </c>
      <c r="F13705" s="17" t="s">
        <v>1747</v>
      </c>
      <c r="G13705" s="18" t="n">
        <v>0.08</v>
      </c>
      <c r="H13705" s="18" t="n">
        <v>0</v>
      </c>
      <c r="I13705" s="18" t="n">
        <f aca="false">((I13704 + G13705) - H13705)</f>
        <v>1318</v>
      </c>
      <c r="J13705" s="18" t="n">
        <v>0</v>
      </c>
      <c r="K13705" s="19" t="n">
        <v>0</v>
      </c>
      <c r="L13705" s="17" t="s">
        <v>1399</v>
      </c>
    </row>
    <row r="13706" s="11" customFormat="true" ht="10.95" hidden="false" customHeight="true" outlineLevel="0" collapsed="false">
      <c r="A13706" s="16" t="n">
        <v>45473</v>
      </c>
      <c r="B13706" s="17" t="s">
        <v>4557</v>
      </c>
      <c r="C13706" s="17" t="s">
        <v>3614</v>
      </c>
      <c r="D13706" s="17" t="s">
        <v>1396</v>
      </c>
      <c r="E13706" s="17" t="s">
        <v>1748</v>
      </c>
      <c r="F13706" s="17" t="s">
        <v>1749</v>
      </c>
      <c r="G13706" s="18" t="n">
        <v>0</v>
      </c>
      <c r="H13706" s="18" t="n">
        <v>0.51</v>
      </c>
      <c r="I13706" s="18" t="n">
        <f aca="false">((I13705 + G13706) - H13706)</f>
        <v>1317.49</v>
      </c>
      <c r="J13706" s="18" t="n">
        <v>0</v>
      </c>
      <c r="K13706" s="19" t="n">
        <v>0</v>
      </c>
      <c r="L13706" s="17" t="s">
        <v>1399</v>
      </c>
    </row>
    <row r="13707" s="11" customFormat="true" ht="10.95" hidden="false" customHeight="true" outlineLevel="0" collapsed="false">
      <c r="A13707" s="21" t="s">
        <v>4558</v>
      </c>
      <c r="B13707" s="21"/>
      <c r="C13707" s="21"/>
      <c r="D13707" s="21"/>
      <c r="E13707" s="21"/>
      <c r="F13707" s="21"/>
      <c r="G13707" s="22" t="n">
        <f aca="false">SUM(G13703:G13706)</f>
        <v>698.52</v>
      </c>
      <c r="H13707" s="22" t="n">
        <f aca="false">SUM(H13703:H13706)</f>
        <v>437.64</v>
      </c>
      <c r="I13707" s="22" t="n">
        <f aca="false">I13706</f>
        <v>1317.49</v>
      </c>
      <c r="J13707" s="22" t="n">
        <f aca="false">SUM(J13703:J13706)</f>
        <v>0</v>
      </c>
      <c r="K13707" s="21"/>
      <c r="L13707" s="21"/>
    </row>
    <row r="13708" s="11" customFormat="true" ht="10.95" hidden="false" customHeight="true" outlineLevel="0" collapsed="false">
      <c r="A13708" s="21" t="s">
        <v>784</v>
      </c>
      <c r="B13708" s="21"/>
      <c r="C13708" s="21"/>
      <c r="D13708" s="21"/>
      <c r="E13708" s="21"/>
      <c r="F13708" s="21"/>
      <c r="G13708" s="22" t="n">
        <v>260.88</v>
      </c>
      <c r="H13708" s="22" t="n">
        <v>0</v>
      </c>
      <c r="I13708" s="22" t="n">
        <v>0</v>
      </c>
      <c r="J13708" s="22" t="n">
        <v>0</v>
      </c>
      <c r="K13708" s="21"/>
      <c r="L13708" s="21"/>
    </row>
    <row r="13709" s="11" customFormat="true" ht="10.95" hidden="false" customHeight="true" outlineLevel="0" collapsed="false">
      <c r="A13709" s="9" t="s">
        <v>785</v>
      </c>
      <c r="B13709" s="9"/>
      <c r="C13709" s="9"/>
      <c r="D13709" s="9"/>
      <c r="E13709" s="9"/>
      <c r="F13709" s="9"/>
      <c r="G13709" s="10" t="n">
        <v>1317.49</v>
      </c>
      <c r="H13709" s="10" t="n">
        <v>0</v>
      </c>
      <c r="I13709" s="10" t="n">
        <f aca="false">I13706</f>
        <v>1317.49</v>
      </c>
      <c r="J13709" s="10" t="n">
        <v>0</v>
      </c>
      <c r="K13709" s="9"/>
      <c r="L13709" s="9"/>
    </row>
    <row r="13710" customFormat="false" ht="13.35" hidden="false" customHeight="true" outlineLevel="0" collapsed="false"/>
    <row r="13711" s="7" customFormat="true" ht="12.1" hidden="false" customHeight="true" outlineLevel="0" collapsed="false">
      <c r="A13711" s="8" t="s">
        <v>4559</v>
      </c>
      <c r="B13711" s="8"/>
      <c r="C13711" s="8"/>
      <c r="D13711" s="8"/>
      <c r="E13711" s="8"/>
      <c r="F13711" s="8"/>
      <c r="G13711" s="8"/>
      <c r="H13711" s="8"/>
      <c r="I13711" s="8"/>
      <c r="J13711" s="8"/>
      <c r="K13711" s="8"/>
      <c r="L13711" s="8"/>
    </row>
    <row r="13712" s="11" customFormat="true" ht="10.95" hidden="false" customHeight="true" outlineLevel="0" collapsed="false">
      <c r="A13712" s="9" t="s">
        <v>16</v>
      </c>
      <c r="B13712" s="9"/>
      <c r="C13712" s="9"/>
      <c r="D13712" s="9"/>
      <c r="E13712" s="9"/>
      <c r="F13712" s="9"/>
      <c r="G13712" s="10" t="n">
        <v>0</v>
      </c>
      <c r="H13712" s="10" t="n">
        <v>28837.75</v>
      </c>
      <c r="I13712" s="10" t="n">
        <f aca="false">(G13712 - H13712)</f>
        <v>-28837.75</v>
      </c>
      <c r="J13712" s="10" t="n">
        <v>0</v>
      </c>
      <c r="K13712" s="9"/>
      <c r="L13712" s="9"/>
    </row>
    <row r="13713" s="11" customFormat="true" ht="10.95" hidden="false" customHeight="true" outlineLevel="0" collapsed="false">
      <c r="A13713" s="12" t="n">
        <v>45112</v>
      </c>
      <c r="B13713" s="13" t="s">
        <v>4560</v>
      </c>
      <c r="C13713" s="13" t="s">
        <v>3614</v>
      </c>
      <c r="D13713" s="13" t="s">
        <v>1407</v>
      </c>
      <c r="E13713" s="13" t="s">
        <v>4561</v>
      </c>
      <c r="F13713" s="13" t="s">
        <v>3883</v>
      </c>
      <c r="G13713" s="14" t="n">
        <v>28205</v>
      </c>
      <c r="H13713" s="14" t="n">
        <v>0</v>
      </c>
      <c r="I13713" s="14" t="n">
        <f aca="false">((I13712 + G13713) - H13713)</f>
        <v>-632.75</v>
      </c>
      <c r="J13713" s="14" t="n">
        <v>0</v>
      </c>
      <c r="K13713" s="15" t="n">
        <v>0</v>
      </c>
      <c r="L13713" s="13" t="s">
        <v>1399</v>
      </c>
    </row>
    <row r="13714" s="11" customFormat="true" ht="10.95" hidden="false" customHeight="true" outlineLevel="0" collapsed="false">
      <c r="A13714" s="16" t="n">
        <v>45113</v>
      </c>
      <c r="B13714" s="17" t="s">
        <v>4560</v>
      </c>
      <c r="C13714" s="17" t="s">
        <v>3614</v>
      </c>
      <c r="D13714" s="17" t="s">
        <v>2106</v>
      </c>
      <c r="E13714" s="17" t="s">
        <v>4562</v>
      </c>
      <c r="F13714" s="17" t="s">
        <v>2108</v>
      </c>
      <c r="G13714" s="18" t="n">
        <v>0</v>
      </c>
      <c r="H13714" s="18" t="n">
        <v>1625</v>
      </c>
      <c r="I13714" s="18" t="n">
        <f aca="false">((I13713 + G13714) - H13714)</f>
        <v>-2257.75</v>
      </c>
      <c r="J13714" s="18" t="n">
        <v>0</v>
      </c>
      <c r="K13714" s="19" t="n">
        <v>0</v>
      </c>
      <c r="L13714" s="17" t="s">
        <v>1399</v>
      </c>
    </row>
    <row r="13715" s="11" customFormat="true" ht="10.95" hidden="false" customHeight="true" outlineLevel="0" collapsed="false">
      <c r="A13715" s="16" t="n">
        <v>45120</v>
      </c>
      <c r="B13715" s="17" t="s">
        <v>4560</v>
      </c>
      <c r="C13715" s="17" t="s">
        <v>3614</v>
      </c>
      <c r="D13715" s="17" t="s">
        <v>2106</v>
      </c>
      <c r="E13715" s="17" t="s">
        <v>4562</v>
      </c>
      <c r="F13715" s="17" t="s">
        <v>2110</v>
      </c>
      <c r="G13715" s="18" t="n">
        <v>0</v>
      </c>
      <c r="H13715" s="18" t="n">
        <v>1625</v>
      </c>
      <c r="I13715" s="18" t="n">
        <f aca="false">((I13714 + G13715) - H13715)</f>
        <v>-3882.75</v>
      </c>
      <c r="J13715" s="18" t="n">
        <v>0</v>
      </c>
      <c r="K13715" s="19" t="n">
        <v>0</v>
      </c>
      <c r="L13715" s="17" t="s">
        <v>1399</v>
      </c>
    </row>
    <row r="13716" s="11" customFormat="true" ht="10.95" hidden="false" customHeight="true" outlineLevel="0" collapsed="false">
      <c r="A13716" s="16" t="n">
        <v>45127</v>
      </c>
      <c r="B13716" s="17" t="s">
        <v>4560</v>
      </c>
      <c r="C13716" s="17" t="s">
        <v>3614</v>
      </c>
      <c r="D13716" s="17" t="s">
        <v>2106</v>
      </c>
      <c r="E13716" s="17" t="s">
        <v>4562</v>
      </c>
      <c r="F13716" s="17" t="s">
        <v>2111</v>
      </c>
      <c r="G13716" s="18" t="n">
        <v>0</v>
      </c>
      <c r="H13716" s="18" t="n">
        <v>1625</v>
      </c>
      <c r="I13716" s="18" t="n">
        <f aca="false">((I13715 + G13716) - H13716)</f>
        <v>-5507.75</v>
      </c>
      <c r="J13716" s="18" t="n">
        <v>0</v>
      </c>
      <c r="K13716" s="19" t="n">
        <v>0</v>
      </c>
      <c r="L13716" s="17" t="s">
        <v>1399</v>
      </c>
    </row>
    <row r="13717" s="11" customFormat="true" ht="10.95" hidden="false" customHeight="true" outlineLevel="0" collapsed="false">
      <c r="A13717" s="16" t="n">
        <v>45134</v>
      </c>
      <c r="B13717" s="17" t="s">
        <v>4560</v>
      </c>
      <c r="C13717" s="17" t="s">
        <v>3614</v>
      </c>
      <c r="D13717" s="17" t="s">
        <v>2106</v>
      </c>
      <c r="E13717" s="17" t="s">
        <v>4562</v>
      </c>
      <c r="F13717" s="17" t="s">
        <v>2112</v>
      </c>
      <c r="G13717" s="18" t="n">
        <v>0</v>
      </c>
      <c r="H13717" s="18" t="n">
        <v>1625</v>
      </c>
      <c r="I13717" s="18" t="n">
        <f aca="false">((I13716 + G13717) - H13717)</f>
        <v>-7132.75</v>
      </c>
      <c r="J13717" s="18" t="n">
        <v>0</v>
      </c>
      <c r="K13717" s="19" t="n">
        <v>0</v>
      </c>
      <c r="L13717" s="17" t="s">
        <v>1399</v>
      </c>
    </row>
    <row r="13718" s="11" customFormat="true" ht="10.95" hidden="false" customHeight="true" outlineLevel="0" collapsed="false">
      <c r="A13718" s="16" t="n">
        <v>45141</v>
      </c>
      <c r="B13718" s="17" t="s">
        <v>4560</v>
      </c>
      <c r="C13718" s="17" t="s">
        <v>3614</v>
      </c>
      <c r="D13718" s="17" t="s">
        <v>2106</v>
      </c>
      <c r="E13718" s="17" t="s">
        <v>4562</v>
      </c>
      <c r="F13718" s="17" t="s">
        <v>2113</v>
      </c>
      <c r="G13718" s="18" t="n">
        <v>0</v>
      </c>
      <c r="H13718" s="18" t="n">
        <v>1620</v>
      </c>
      <c r="I13718" s="18" t="n">
        <f aca="false">((I13717 + G13718) - H13718)</f>
        <v>-8752.75</v>
      </c>
      <c r="J13718" s="18" t="n">
        <v>0</v>
      </c>
      <c r="K13718" s="19" t="n">
        <v>0</v>
      </c>
      <c r="L13718" s="17" t="s">
        <v>1399</v>
      </c>
    </row>
    <row r="13719" s="11" customFormat="true" ht="10.95" hidden="false" customHeight="true" outlineLevel="0" collapsed="false">
      <c r="A13719" s="16" t="n">
        <v>45148</v>
      </c>
      <c r="B13719" s="17" t="s">
        <v>4560</v>
      </c>
      <c r="C13719" s="17" t="s">
        <v>3614</v>
      </c>
      <c r="D13719" s="17" t="s">
        <v>2106</v>
      </c>
      <c r="E13719" s="17" t="s">
        <v>4562</v>
      </c>
      <c r="F13719" s="17" t="s">
        <v>2114</v>
      </c>
      <c r="G13719" s="18" t="n">
        <v>0</v>
      </c>
      <c r="H13719" s="18" t="n">
        <v>1880</v>
      </c>
      <c r="I13719" s="18" t="n">
        <f aca="false">((I13718 + G13719) - H13719)</f>
        <v>-10632.75</v>
      </c>
      <c r="J13719" s="18" t="n">
        <v>0</v>
      </c>
      <c r="K13719" s="19" t="n">
        <v>0</v>
      </c>
      <c r="L13719" s="17" t="s">
        <v>1399</v>
      </c>
    </row>
    <row r="13720" s="11" customFormat="true" ht="10.95" hidden="false" customHeight="true" outlineLevel="0" collapsed="false">
      <c r="A13720" s="16" t="n">
        <v>45154</v>
      </c>
      <c r="B13720" s="17" t="s">
        <v>4560</v>
      </c>
      <c r="C13720" s="17" t="s">
        <v>3614</v>
      </c>
      <c r="D13720" s="17" t="s">
        <v>1407</v>
      </c>
      <c r="E13720" s="17" t="s">
        <v>4563</v>
      </c>
      <c r="F13720" s="17"/>
      <c r="G13720" s="18" t="n">
        <v>6500</v>
      </c>
      <c r="H13720" s="18" t="n">
        <v>0</v>
      </c>
      <c r="I13720" s="18" t="n">
        <f aca="false">((I13719 + G13720) - H13720)</f>
        <v>-4132.75</v>
      </c>
      <c r="J13720" s="18" t="n">
        <v>0</v>
      </c>
      <c r="K13720" s="19" t="n">
        <v>0</v>
      </c>
      <c r="L13720" s="17" t="s">
        <v>1399</v>
      </c>
    </row>
    <row r="13721" s="11" customFormat="true" ht="10.95" hidden="false" customHeight="true" outlineLevel="0" collapsed="false">
      <c r="A13721" s="16" t="n">
        <v>45155</v>
      </c>
      <c r="B13721" s="17" t="s">
        <v>4560</v>
      </c>
      <c r="C13721" s="17" t="s">
        <v>3614</v>
      </c>
      <c r="D13721" s="17" t="s">
        <v>2106</v>
      </c>
      <c r="E13721" s="17" t="s">
        <v>4562</v>
      </c>
      <c r="F13721" s="17" t="s">
        <v>2115</v>
      </c>
      <c r="G13721" s="18" t="n">
        <v>0</v>
      </c>
      <c r="H13721" s="18" t="n">
        <v>1880</v>
      </c>
      <c r="I13721" s="18" t="n">
        <f aca="false">((I13720 + G13721) - H13721)</f>
        <v>-6012.75</v>
      </c>
      <c r="J13721" s="18" t="n">
        <v>0</v>
      </c>
      <c r="K13721" s="19" t="n">
        <v>0</v>
      </c>
      <c r="L13721" s="17" t="s">
        <v>1399</v>
      </c>
    </row>
    <row r="13722" s="11" customFormat="true" ht="10.95" hidden="false" customHeight="true" outlineLevel="0" collapsed="false">
      <c r="A13722" s="16" t="n">
        <v>45162</v>
      </c>
      <c r="B13722" s="17" t="s">
        <v>4560</v>
      </c>
      <c r="C13722" s="17" t="s">
        <v>3614</v>
      </c>
      <c r="D13722" s="17" t="s">
        <v>2106</v>
      </c>
      <c r="E13722" s="17" t="s">
        <v>4562</v>
      </c>
      <c r="F13722" s="17" t="s">
        <v>2116</v>
      </c>
      <c r="G13722" s="18" t="n">
        <v>0</v>
      </c>
      <c r="H13722" s="18" t="n">
        <v>1880</v>
      </c>
      <c r="I13722" s="18" t="n">
        <f aca="false">((I13721 + G13722) - H13722)</f>
        <v>-7892.75</v>
      </c>
      <c r="J13722" s="18" t="n">
        <v>0</v>
      </c>
      <c r="K13722" s="19" t="n">
        <v>0</v>
      </c>
      <c r="L13722" s="17" t="s">
        <v>1399</v>
      </c>
    </row>
    <row r="13723" s="11" customFormat="true" ht="10.95" hidden="false" customHeight="true" outlineLevel="0" collapsed="false">
      <c r="A13723" s="16" t="n">
        <v>45169</v>
      </c>
      <c r="B13723" s="17" t="s">
        <v>4560</v>
      </c>
      <c r="C13723" s="17" t="s">
        <v>3614</v>
      </c>
      <c r="D13723" s="17" t="s">
        <v>2106</v>
      </c>
      <c r="E13723" s="17" t="s">
        <v>4562</v>
      </c>
      <c r="F13723" s="17" t="s">
        <v>2117</v>
      </c>
      <c r="G13723" s="18" t="n">
        <v>0</v>
      </c>
      <c r="H13723" s="18" t="n">
        <v>1880</v>
      </c>
      <c r="I13723" s="18" t="n">
        <f aca="false">((I13722 + G13723) - H13723)</f>
        <v>-9772.75</v>
      </c>
      <c r="J13723" s="18" t="n">
        <v>0</v>
      </c>
      <c r="K13723" s="19" t="n">
        <v>0</v>
      </c>
      <c r="L13723" s="17" t="s">
        <v>1399</v>
      </c>
    </row>
    <row r="13724" s="11" customFormat="true" ht="10.95" hidden="false" customHeight="true" outlineLevel="0" collapsed="false">
      <c r="A13724" s="16" t="n">
        <v>45176</v>
      </c>
      <c r="B13724" s="17" t="s">
        <v>4560</v>
      </c>
      <c r="C13724" s="17" t="s">
        <v>3614</v>
      </c>
      <c r="D13724" s="17" t="s">
        <v>2106</v>
      </c>
      <c r="E13724" s="17" t="s">
        <v>4562</v>
      </c>
      <c r="F13724" s="17" t="s">
        <v>2118</v>
      </c>
      <c r="G13724" s="18" t="n">
        <v>0</v>
      </c>
      <c r="H13724" s="18" t="n">
        <v>2088</v>
      </c>
      <c r="I13724" s="18" t="n">
        <f aca="false">((I13723 + G13724) - H13724)</f>
        <v>-11860.75</v>
      </c>
      <c r="J13724" s="18" t="n">
        <v>0</v>
      </c>
      <c r="K13724" s="19" t="n">
        <v>0</v>
      </c>
      <c r="L13724" s="17" t="s">
        <v>1399</v>
      </c>
    </row>
    <row r="13725" s="11" customFormat="true" ht="10.95" hidden="false" customHeight="true" outlineLevel="0" collapsed="false">
      <c r="A13725" s="16" t="n">
        <v>45183</v>
      </c>
      <c r="B13725" s="17" t="s">
        <v>4560</v>
      </c>
      <c r="C13725" s="17" t="s">
        <v>3614</v>
      </c>
      <c r="D13725" s="17" t="s">
        <v>2106</v>
      </c>
      <c r="E13725" s="17" t="s">
        <v>4562</v>
      </c>
      <c r="F13725" s="17" t="s">
        <v>2119</v>
      </c>
      <c r="G13725" s="18" t="n">
        <v>0</v>
      </c>
      <c r="H13725" s="18" t="n">
        <v>2140</v>
      </c>
      <c r="I13725" s="18" t="n">
        <f aca="false">((I13724 + G13725) - H13725)</f>
        <v>-14000.75</v>
      </c>
      <c r="J13725" s="18" t="n">
        <v>0</v>
      </c>
      <c r="K13725" s="19" t="n">
        <v>0</v>
      </c>
      <c r="L13725" s="17" t="s">
        <v>1399</v>
      </c>
    </row>
    <row r="13726" s="11" customFormat="true" ht="10.95" hidden="false" customHeight="true" outlineLevel="0" collapsed="false">
      <c r="A13726" s="16" t="n">
        <v>45190</v>
      </c>
      <c r="B13726" s="17" t="s">
        <v>4560</v>
      </c>
      <c r="C13726" s="17" t="s">
        <v>3614</v>
      </c>
      <c r="D13726" s="17" t="s">
        <v>2106</v>
      </c>
      <c r="E13726" s="17" t="s">
        <v>4562</v>
      </c>
      <c r="F13726" s="17" t="s">
        <v>2120</v>
      </c>
      <c r="G13726" s="18" t="n">
        <v>0</v>
      </c>
      <c r="H13726" s="18" t="n">
        <v>1880</v>
      </c>
      <c r="I13726" s="18" t="n">
        <f aca="false">((I13725 + G13726) - H13726)</f>
        <v>-15880.75</v>
      </c>
      <c r="J13726" s="18" t="n">
        <v>0</v>
      </c>
      <c r="K13726" s="19" t="n">
        <v>0</v>
      </c>
      <c r="L13726" s="17" t="s">
        <v>1399</v>
      </c>
    </row>
    <row r="13727" s="11" customFormat="true" ht="10.95" hidden="false" customHeight="true" outlineLevel="0" collapsed="false">
      <c r="A13727" s="16" t="n">
        <v>45196</v>
      </c>
      <c r="B13727" s="17" t="s">
        <v>4560</v>
      </c>
      <c r="C13727" s="17" t="s">
        <v>3614</v>
      </c>
      <c r="D13727" s="17" t="s">
        <v>1407</v>
      </c>
      <c r="E13727" s="17" t="s">
        <v>4564</v>
      </c>
      <c r="F13727" s="17"/>
      <c r="G13727" s="18" t="n">
        <v>9140</v>
      </c>
      <c r="H13727" s="18" t="n">
        <v>0</v>
      </c>
      <c r="I13727" s="18" t="n">
        <f aca="false">((I13726 + G13727) - H13727)</f>
        <v>-6740.75</v>
      </c>
      <c r="J13727" s="18" t="n">
        <v>0</v>
      </c>
      <c r="K13727" s="19" t="n">
        <v>0</v>
      </c>
      <c r="L13727" s="17" t="s">
        <v>1399</v>
      </c>
    </row>
    <row r="13728" s="11" customFormat="true" ht="10.95" hidden="false" customHeight="true" outlineLevel="0" collapsed="false">
      <c r="A13728" s="16" t="n">
        <v>45197</v>
      </c>
      <c r="B13728" s="17" t="s">
        <v>4560</v>
      </c>
      <c r="C13728" s="17" t="s">
        <v>3614</v>
      </c>
      <c r="D13728" s="17" t="s">
        <v>2106</v>
      </c>
      <c r="E13728" s="17" t="s">
        <v>4562</v>
      </c>
      <c r="F13728" s="17" t="s">
        <v>2121</v>
      </c>
      <c r="G13728" s="18" t="n">
        <v>0</v>
      </c>
      <c r="H13728" s="18" t="n">
        <v>1880</v>
      </c>
      <c r="I13728" s="18" t="n">
        <f aca="false">((I13727 + G13728) - H13728)</f>
        <v>-8620.75</v>
      </c>
      <c r="J13728" s="18" t="n">
        <v>0</v>
      </c>
      <c r="K13728" s="19" t="n">
        <v>0</v>
      </c>
      <c r="L13728" s="17" t="s">
        <v>1399</v>
      </c>
    </row>
    <row r="13729" s="11" customFormat="true" ht="10.95" hidden="false" customHeight="true" outlineLevel="0" collapsed="false">
      <c r="A13729" s="16" t="n">
        <v>45204</v>
      </c>
      <c r="B13729" s="17" t="s">
        <v>4560</v>
      </c>
      <c r="C13729" s="17" t="s">
        <v>3614</v>
      </c>
      <c r="D13729" s="17" t="s">
        <v>2106</v>
      </c>
      <c r="E13729" s="17" t="s">
        <v>4562</v>
      </c>
      <c r="F13729" s="17" t="s">
        <v>2122</v>
      </c>
      <c r="G13729" s="18" t="n">
        <v>0</v>
      </c>
      <c r="H13729" s="18" t="n">
        <v>1880</v>
      </c>
      <c r="I13729" s="18" t="n">
        <f aca="false">((I13728 + G13729) - H13729)</f>
        <v>-10500.75</v>
      </c>
      <c r="J13729" s="18" t="n">
        <v>0</v>
      </c>
      <c r="K13729" s="19" t="n">
        <v>0</v>
      </c>
      <c r="L13729" s="17" t="s">
        <v>1399</v>
      </c>
    </row>
    <row r="13730" s="11" customFormat="true" ht="10.95" hidden="false" customHeight="true" outlineLevel="0" collapsed="false">
      <c r="A13730" s="16" t="n">
        <v>45211</v>
      </c>
      <c r="B13730" s="17" t="s">
        <v>4560</v>
      </c>
      <c r="C13730" s="17" t="s">
        <v>3614</v>
      </c>
      <c r="D13730" s="17" t="s">
        <v>2106</v>
      </c>
      <c r="E13730" s="17" t="s">
        <v>4562</v>
      </c>
      <c r="F13730" s="17" t="s">
        <v>2123</v>
      </c>
      <c r="G13730" s="18" t="n">
        <v>0</v>
      </c>
      <c r="H13730" s="18" t="n">
        <v>1880</v>
      </c>
      <c r="I13730" s="18" t="n">
        <f aca="false">((I13729 + G13730) - H13730)</f>
        <v>-12380.75</v>
      </c>
      <c r="J13730" s="18" t="n">
        <v>0</v>
      </c>
      <c r="K13730" s="19" t="n">
        <v>0</v>
      </c>
      <c r="L13730" s="17" t="s">
        <v>1399</v>
      </c>
    </row>
    <row r="13731" s="11" customFormat="true" ht="10.95" hidden="false" customHeight="true" outlineLevel="0" collapsed="false">
      <c r="A13731" s="16" t="n">
        <v>45218</v>
      </c>
      <c r="B13731" s="17" t="s">
        <v>4560</v>
      </c>
      <c r="C13731" s="17" t="s">
        <v>3614</v>
      </c>
      <c r="D13731" s="17" t="s">
        <v>2106</v>
      </c>
      <c r="E13731" s="17" t="s">
        <v>4562</v>
      </c>
      <c r="F13731" s="17" t="s">
        <v>2124</v>
      </c>
      <c r="G13731" s="18" t="n">
        <v>0</v>
      </c>
      <c r="H13731" s="18" t="n">
        <v>1880</v>
      </c>
      <c r="I13731" s="18" t="n">
        <f aca="false">((I13730 + G13731) - H13731)</f>
        <v>-14260.75</v>
      </c>
      <c r="J13731" s="18" t="n">
        <v>0</v>
      </c>
      <c r="K13731" s="19" t="n">
        <v>0</v>
      </c>
      <c r="L13731" s="17" t="s">
        <v>1399</v>
      </c>
    </row>
    <row r="13732" s="11" customFormat="true" ht="10.95" hidden="false" customHeight="true" outlineLevel="0" collapsed="false">
      <c r="A13732" s="16" t="n">
        <v>45225</v>
      </c>
      <c r="B13732" s="17" t="s">
        <v>4560</v>
      </c>
      <c r="C13732" s="17" t="s">
        <v>3614</v>
      </c>
      <c r="D13732" s="17" t="s">
        <v>2106</v>
      </c>
      <c r="E13732" s="17" t="s">
        <v>4562</v>
      </c>
      <c r="F13732" s="17" t="s">
        <v>2125</v>
      </c>
      <c r="G13732" s="18" t="n">
        <v>0</v>
      </c>
      <c r="H13732" s="18" t="n">
        <v>1880</v>
      </c>
      <c r="I13732" s="18" t="n">
        <f aca="false">((I13731 + G13732) - H13732)</f>
        <v>-16140.75</v>
      </c>
      <c r="J13732" s="18" t="n">
        <v>0</v>
      </c>
      <c r="K13732" s="19" t="n">
        <v>0</v>
      </c>
      <c r="L13732" s="17" t="s">
        <v>1399</v>
      </c>
    </row>
    <row r="13733" s="11" customFormat="true" ht="10.95" hidden="false" customHeight="true" outlineLevel="0" collapsed="false">
      <c r="A13733" s="16" t="n">
        <v>45232</v>
      </c>
      <c r="B13733" s="17" t="s">
        <v>4560</v>
      </c>
      <c r="C13733" s="17" t="s">
        <v>3614</v>
      </c>
      <c r="D13733" s="17" t="s">
        <v>2106</v>
      </c>
      <c r="E13733" s="17" t="s">
        <v>4562</v>
      </c>
      <c r="F13733" s="17" t="s">
        <v>2126</v>
      </c>
      <c r="G13733" s="18" t="n">
        <v>0</v>
      </c>
      <c r="H13733" s="18" t="n">
        <v>1880</v>
      </c>
      <c r="I13733" s="18" t="n">
        <f aca="false">((I13732 + G13733) - H13733)</f>
        <v>-18020.75</v>
      </c>
      <c r="J13733" s="18" t="n">
        <v>0</v>
      </c>
      <c r="K13733" s="19" t="n">
        <v>0</v>
      </c>
      <c r="L13733" s="17" t="s">
        <v>1399</v>
      </c>
    </row>
    <row r="13734" s="11" customFormat="true" ht="10.95" hidden="false" customHeight="true" outlineLevel="0" collapsed="false">
      <c r="A13734" s="16" t="n">
        <v>45237</v>
      </c>
      <c r="B13734" s="17" t="s">
        <v>4560</v>
      </c>
      <c r="C13734" s="17" t="s">
        <v>3614</v>
      </c>
      <c r="D13734" s="17" t="s">
        <v>1407</v>
      </c>
      <c r="E13734" s="17" t="s">
        <v>4565</v>
      </c>
      <c r="F13734" s="17"/>
      <c r="G13734" s="18" t="n">
        <v>7550.08</v>
      </c>
      <c r="H13734" s="18" t="n">
        <v>0</v>
      </c>
      <c r="I13734" s="18" t="n">
        <f aca="false">((I13733 + G13734) - H13734)</f>
        <v>-10470.67</v>
      </c>
      <c r="J13734" s="18" t="n">
        <v>0</v>
      </c>
      <c r="K13734" s="19" t="n">
        <v>0</v>
      </c>
      <c r="L13734" s="17" t="s">
        <v>1399</v>
      </c>
    </row>
    <row r="13735" s="11" customFormat="true" ht="10.95" hidden="false" customHeight="true" outlineLevel="0" collapsed="false">
      <c r="A13735" s="16" t="n">
        <v>45239</v>
      </c>
      <c r="B13735" s="17" t="s">
        <v>4560</v>
      </c>
      <c r="C13735" s="17" t="s">
        <v>3614</v>
      </c>
      <c r="D13735" s="17" t="s">
        <v>2106</v>
      </c>
      <c r="E13735" s="17" t="s">
        <v>4562</v>
      </c>
      <c r="F13735" s="17" t="s">
        <v>2128</v>
      </c>
      <c r="G13735" s="18" t="n">
        <v>0</v>
      </c>
      <c r="H13735" s="18" t="n">
        <v>1880</v>
      </c>
      <c r="I13735" s="18" t="n">
        <f aca="false">((I13734 + G13735) - H13735)</f>
        <v>-12350.67</v>
      </c>
      <c r="J13735" s="18" t="n">
        <v>0</v>
      </c>
      <c r="K13735" s="19" t="n">
        <v>0</v>
      </c>
      <c r="L13735" s="17" t="s">
        <v>1399</v>
      </c>
    </row>
    <row r="13736" s="11" customFormat="true" ht="10.95" hidden="false" customHeight="true" outlineLevel="0" collapsed="false">
      <c r="A13736" s="16" t="n">
        <v>45246</v>
      </c>
      <c r="B13736" s="17" t="s">
        <v>4560</v>
      </c>
      <c r="C13736" s="17" t="s">
        <v>3614</v>
      </c>
      <c r="D13736" s="17" t="s">
        <v>2106</v>
      </c>
      <c r="E13736" s="17" t="s">
        <v>4562</v>
      </c>
      <c r="F13736" s="17" t="s">
        <v>2129</v>
      </c>
      <c r="G13736" s="18" t="n">
        <v>0</v>
      </c>
      <c r="H13736" s="18" t="n">
        <v>1880</v>
      </c>
      <c r="I13736" s="18" t="n">
        <f aca="false">((I13735 + G13736) - H13736)</f>
        <v>-14230.67</v>
      </c>
      <c r="J13736" s="18" t="n">
        <v>0</v>
      </c>
      <c r="K13736" s="19" t="n">
        <v>0</v>
      </c>
      <c r="L13736" s="17" t="s">
        <v>1399</v>
      </c>
    </row>
    <row r="13737" s="11" customFormat="true" ht="10.95" hidden="false" customHeight="true" outlineLevel="0" collapsed="false">
      <c r="A13737" s="16" t="n">
        <v>45253</v>
      </c>
      <c r="B13737" s="17" t="s">
        <v>4560</v>
      </c>
      <c r="C13737" s="17" t="s">
        <v>3614</v>
      </c>
      <c r="D13737" s="17" t="s">
        <v>2106</v>
      </c>
      <c r="E13737" s="17" t="s">
        <v>4562</v>
      </c>
      <c r="F13737" s="17" t="s">
        <v>2130</v>
      </c>
      <c r="G13737" s="18" t="n">
        <v>0</v>
      </c>
      <c r="H13737" s="18" t="n">
        <v>1880</v>
      </c>
      <c r="I13737" s="18" t="n">
        <f aca="false">((I13736 + G13737) - H13737)</f>
        <v>-16110.67</v>
      </c>
      <c r="J13737" s="18" t="n">
        <v>0</v>
      </c>
      <c r="K13737" s="19" t="n">
        <v>0</v>
      </c>
      <c r="L13737" s="17" t="s">
        <v>1399</v>
      </c>
    </row>
    <row r="13738" s="11" customFormat="true" ht="10.95" hidden="false" customHeight="true" outlineLevel="0" collapsed="false">
      <c r="A13738" s="16" t="n">
        <v>45260</v>
      </c>
      <c r="B13738" s="17" t="s">
        <v>4560</v>
      </c>
      <c r="C13738" s="17" t="s">
        <v>3614</v>
      </c>
      <c r="D13738" s="17" t="s">
        <v>2106</v>
      </c>
      <c r="E13738" s="17" t="s">
        <v>4562</v>
      </c>
      <c r="F13738" s="17" t="s">
        <v>2131</v>
      </c>
      <c r="G13738" s="18" t="n">
        <v>0</v>
      </c>
      <c r="H13738" s="18" t="n">
        <v>2348</v>
      </c>
      <c r="I13738" s="18" t="n">
        <f aca="false">((I13737 + G13738) - H13738)</f>
        <v>-18458.67</v>
      </c>
      <c r="J13738" s="18" t="n">
        <v>0</v>
      </c>
      <c r="K13738" s="19" t="n">
        <v>0</v>
      </c>
      <c r="L13738" s="17" t="s">
        <v>1399</v>
      </c>
    </row>
    <row r="13739" s="11" customFormat="true" ht="10.95" hidden="false" customHeight="true" outlineLevel="0" collapsed="false">
      <c r="A13739" s="16" t="n">
        <v>45264</v>
      </c>
      <c r="B13739" s="17" t="s">
        <v>4560</v>
      </c>
      <c r="C13739" s="17" t="s">
        <v>3614</v>
      </c>
      <c r="D13739" s="17" t="s">
        <v>1407</v>
      </c>
      <c r="E13739" s="17" t="s">
        <v>4566</v>
      </c>
      <c r="F13739" s="17" t="s">
        <v>1691</v>
      </c>
      <c r="G13739" s="18" t="n">
        <v>7988</v>
      </c>
      <c r="H13739" s="18" t="n">
        <v>0</v>
      </c>
      <c r="I13739" s="18" t="n">
        <f aca="false">((I13738 + G13739) - H13739)</f>
        <v>-10470.67</v>
      </c>
      <c r="J13739" s="18" t="n">
        <v>0</v>
      </c>
      <c r="K13739" s="19" t="n">
        <v>0</v>
      </c>
      <c r="L13739" s="17" t="s">
        <v>1399</v>
      </c>
    </row>
    <row r="13740" s="11" customFormat="true" ht="10.95" hidden="false" customHeight="true" outlineLevel="0" collapsed="false">
      <c r="A13740" s="16" t="n">
        <v>45267</v>
      </c>
      <c r="B13740" s="17" t="s">
        <v>4560</v>
      </c>
      <c r="C13740" s="17" t="s">
        <v>3614</v>
      </c>
      <c r="D13740" s="17" t="s">
        <v>2106</v>
      </c>
      <c r="E13740" s="17" t="s">
        <v>4562</v>
      </c>
      <c r="F13740" s="17" t="s">
        <v>2132</v>
      </c>
      <c r="G13740" s="18" t="n">
        <v>0</v>
      </c>
      <c r="H13740" s="18" t="n">
        <v>2140</v>
      </c>
      <c r="I13740" s="18" t="n">
        <f aca="false">((I13739 + G13740) - H13740)</f>
        <v>-12610.67</v>
      </c>
      <c r="J13740" s="18" t="n">
        <v>0</v>
      </c>
      <c r="K13740" s="19" t="n">
        <v>0</v>
      </c>
      <c r="L13740" s="17" t="s">
        <v>1399</v>
      </c>
    </row>
    <row r="13741" s="11" customFormat="true" ht="10.95" hidden="false" customHeight="true" outlineLevel="0" collapsed="false">
      <c r="A13741" s="16" t="n">
        <v>45274</v>
      </c>
      <c r="B13741" s="17" t="s">
        <v>4560</v>
      </c>
      <c r="C13741" s="17" t="s">
        <v>3614</v>
      </c>
      <c r="D13741" s="17" t="s">
        <v>2106</v>
      </c>
      <c r="E13741" s="17" t="s">
        <v>4562</v>
      </c>
      <c r="F13741" s="17" t="s">
        <v>2133</v>
      </c>
      <c r="G13741" s="18" t="n">
        <v>0</v>
      </c>
      <c r="H13741" s="18" t="n">
        <v>1880</v>
      </c>
      <c r="I13741" s="18" t="n">
        <f aca="false">((I13740 + G13741) - H13741)</f>
        <v>-14490.67</v>
      </c>
      <c r="J13741" s="18" t="n">
        <v>0</v>
      </c>
      <c r="K13741" s="19" t="n">
        <v>0</v>
      </c>
      <c r="L13741" s="17" t="s">
        <v>1399</v>
      </c>
    </row>
    <row r="13742" s="11" customFormat="true" ht="10.95" hidden="false" customHeight="true" outlineLevel="0" collapsed="false">
      <c r="A13742" s="16" t="n">
        <v>45279</v>
      </c>
      <c r="B13742" s="17" t="s">
        <v>4560</v>
      </c>
      <c r="C13742" s="17" t="s">
        <v>3614</v>
      </c>
      <c r="D13742" s="17" t="s">
        <v>1407</v>
      </c>
      <c r="E13742" s="17" t="s">
        <v>4567</v>
      </c>
      <c r="F13742" s="17" t="s">
        <v>1700</v>
      </c>
      <c r="G13742" s="18" t="n">
        <v>9868</v>
      </c>
      <c r="H13742" s="18" t="n">
        <v>0</v>
      </c>
      <c r="I13742" s="18" t="n">
        <f aca="false">((I13741 + G13742) - H13742)</f>
        <v>-4622.67</v>
      </c>
      <c r="J13742" s="18" t="n">
        <v>0</v>
      </c>
      <c r="K13742" s="19" t="n">
        <v>0</v>
      </c>
      <c r="L13742" s="17" t="s">
        <v>1399</v>
      </c>
    </row>
    <row r="13743" s="11" customFormat="true" ht="10.95" hidden="false" customHeight="true" outlineLevel="0" collapsed="false">
      <c r="A13743" s="16" t="n">
        <v>45281</v>
      </c>
      <c r="B13743" s="17" t="s">
        <v>4560</v>
      </c>
      <c r="C13743" s="17" t="s">
        <v>3614</v>
      </c>
      <c r="D13743" s="17" t="s">
        <v>2106</v>
      </c>
      <c r="E13743" s="17" t="s">
        <v>4562</v>
      </c>
      <c r="F13743" s="17" t="s">
        <v>2134</v>
      </c>
      <c r="G13743" s="18" t="n">
        <v>0</v>
      </c>
      <c r="H13743" s="18" t="n">
        <v>1880</v>
      </c>
      <c r="I13743" s="18" t="n">
        <f aca="false">((I13742 + G13743) - H13743)</f>
        <v>-6502.67</v>
      </c>
      <c r="J13743" s="18" t="n">
        <v>0</v>
      </c>
      <c r="K13743" s="19" t="n">
        <v>0</v>
      </c>
      <c r="L13743" s="17" t="s">
        <v>1399</v>
      </c>
    </row>
    <row r="13744" s="11" customFormat="true" ht="10.95" hidden="false" customHeight="true" outlineLevel="0" collapsed="false">
      <c r="A13744" s="16" t="n">
        <v>45288</v>
      </c>
      <c r="B13744" s="17" t="s">
        <v>4560</v>
      </c>
      <c r="C13744" s="17" t="s">
        <v>3614</v>
      </c>
      <c r="D13744" s="17" t="s">
        <v>2106</v>
      </c>
      <c r="E13744" s="17" t="s">
        <v>4562</v>
      </c>
      <c r="F13744" s="17" t="s">
        <v>2135</v>
      </c>
      <c r="G13744" s="18" t="n">
        <v>0</v>
      </c>
      <c r="H13744" s="18" t="n">
        <v>1880</v>
      </c>
      <c r="I13744" s="18" t="n">
        <f aca="false">((I13743 + G13744) - H13744)</f>
        <v>-8382.67</v>
      </c>
      <c r="J13744" s="18" t="n">
        <v>0</v>
      </c>
      <c r="K13744" s="19" t="n">
        <v>0</v>
      </c>
      <c r="L13744" s="17" t="s">
        <v>1399</v>
      </c>
    </row>
    <row r="13745" s="11" customFormat="true" ht="10.95" hidden="false" customHeight="true" outlineLevel="0" collapsed="false">
      <c r="A13745" s="16" t="n">
        <v>45295</v>
      </c>
      <c r="B13745" s="17" t="s">
        <v>4560</v>
      </c>
      <c r="C13745" s="17" t="s">
        <v>3614</v>
      </c>
      <c r="D13745" s="17" t="s">
        <v>2106</v>
      </c>
      <c r="E13745" s="17" t="s">
        <v>4562</v>
      </c>
      <c r="F13745" s="17" t="s">
        <v>2136</v>
      </c>
      <c r="G13745" s="18" t="n">
        <v>0</v>
      </c>
      <c r="H13745" s="18" t="n">
        <v>1880</v>
      </c>
      <c r="I13745" s="18" t="n">
        <f aca="false">((I13744 + G13745) - H13745)</f>
        <v>-10262.67</v>
      </c>
      <c r="J13745" s="18" t="n">
        <v>0</v>
      </c>
      <c r="K13745" s="19" t="n">
        <v>0</v>
      </c>
      <c r="L13745" s="17" t="s">
        <v>1399</v>
      </c>
    </row>
    <row r="13746" s="11" customFormat="true" ht="10.95" hidden="false" customHeight="true" outlineLevel="0" collapsed="false">
      <c r="A13746" s="16" t="n">
        <v>45302</v>
      </c>
      <c r="B13746" s="17" t="s">
        <v>4560</v>
      </c>
      <c r="C13746" s="17" t="s">
        <v>3614</v>
      </c>
      <c r="D13746" s="17" t="s">
        <v>2106</v>
      </c>
      <c r="E13746" s="17" t="s">
        <v>4562</v>
      </c>
      <c r="F13746" s="17" t="s">
        <v>2137</v>
      </c>
      <c r="G13746" s="18" t="n">
        <v>0</v>
      </c>
      <c r="H13746" s="18" t="n">
        <v>1997</v>
      </c>
      <c r="I13746" s="18" t="n">
        <f aca="false">((I13745 + G13746) - H13746)</f>
        <v>-12259.67</v>
      </c>
      <c r="J13746" s="18" t="n">
        <v>0</v>
      </c>
      <c r="K13746" s="19" t="n">
        <v>0</v>
      </c>
      <c r="L13746" s="17" t="s">
        <v>1399</v>
      </c>
    </row>
    <row r="13747" s="11" customFormat="true" ht="10.95" hidden="false" customHeight="true" outlineLevel="0" collapsed="false">
      <c r="A13747" s="16" t="n">
        <v>45309</v>
      </c>
      <c r="B13747" s="17" t="s">
        <v>4560</v>
      </c>
      <c r="C13747" s="17" t="s">
        <v>3614</v>
      </c>
      <c r="D13747" s="17" t="s">
        <v>2106</v>
      </c>
      <c r="E13747" s="17" t="s">
        <v>4562</v>
      </c>
      <c r="F13747" s="17" t="s">
        <v>2138</v>
      </c>
      <c r="G13747" s="18" t="n">
        <v>0</v>
      </c>
      <c r="H13747" s="18" t="n">
        <v>1997</v>
      </c>
      <c r="I13747" s="18" t="n">
        <f aca="false">((I13746 + G13747) - H13747)</f>
        <v>-14256.67</v>
      </c>
      <c r="J13747" s="18" t="n">
        <v>0</v>
      </c>
      <c r="K13747" s="19" t="n">
        <v>0</v>
      </c>
      <c r="L13747" s="17" t="s">
        <v>1399</v>
      </c>
    </row>
    <row r="13748" s="11" customFormat="true" ht="10.95" hidden="false" customHeight="true" outlineLevel="0" collapsed="false">
      <c r="A13748" s="16" t="n">
        <v>45316</v>
      </c>
      <c r="B13748" s="17" t="s">
        <v>4560</v>
      </c>
      <c r="C13748" s="17" t="s">
        <v>3614</v>
      </c>
      <c r="D13748" s="17" t="s">
        <v>2106</v>
      </c>
      <c r="E13748" s="17" t="s">
        <v>4562</v>
      </c>
      <c r="F13748" s="17" t="s">
        <v>2139</v>
      </c>
      <c r="G13748" s="18" t="n">
        <v>0</v>
      </c>
      <c r="H13748" s="18" t="n">
        <v>2257</v>
      </c>
      <c r="I13748" s="18" t="n">
        <f aca="false">((I13747 + G13748) - H13748)</f>
        <v>-16513.67</v>
      </c>
      <c r="J13748" s="18" t="n">
        <v>0</v>
      </c>
      <c r="K13748" s="19" t="n">
        <v>0</v>
      </c>
      <c r="L13748" s="17" t="s">
        <v>1399</v>
      </c>
    </row>
    <row r="13749" s="11" customFormat="true" ht="10.95" hidden="false" customHeight="true" outlineLevel="0" collapsed="false">
      <c r="A13749" s="16" t="n">
        <v>45323</v>
      </c>
      <c r="B13749" s="17" t="s">
        <v>4560</v>
      </c>
      <c r="C13749" s="17" t="s">
        <v>3614</v>
      </c>
      <c r="D13749" s="17" t="s">
        <v>2106</v>
      </c>
      <c r="E13749" s="17" t="s">
        <v>4562</v>
      </c>
      <c r="F13749" s="17" t="s">
        <v>2140</v>
      </c>
      <c r="G13749" s="18" t="n">
        <v>0</v>
      </c>
      <c r="H13749" s="18" t="n">
        <v>2307</v>
      </c>
      <c r="I13749" s="18" t="n">
        <f aca="false">((I13748 + G13749) - H13749)</f>
        <v>-18820.67</v>
      </c>
      <c r="J13749" s="18" t="n">
        <v>0</v>
      </c>
      <c r="K13749" s="19" t="n">
        <v>0</v>
      </c>
      <c r="L13749" s="17" t="s">
        <v>1399</v>
      </c>
    </row>
    <row r="13750" s="11" customFormat="true" ht="10.95" hidden="false" customHeight="true" outlineLevel="0" collapsed="false">
      <c r="A13750" s="16" t="n">
        <v>45330</v>
      </c>
      <c r="B13750" s="17" t="s">
        <v>4560</v>
      </c>
      <c r="C13750" s="17" t="s">
        <v>3614</v>
      </c>
      <c r="D13750" s="17" t="s">
        <v>2106</v>
      </c>
      <c r="E13750" s="17" t="s">
        <v>4562</v>
      </c>
      <c r="F13750" s="17" t="s">
        <v>2141</v>
      </c>
      <c r="G13750" s="18" t="n">
        <v>0</v>
      </c>
      <c r="H13750" s="18" t="n">
        <v>1997</v>
      </c>
      <c r="I13750" s="18" t="n">
        <f aca="false">((I13749 + G13750) - H13750)</f>
        <v>-20817.67</v>
      </c>
      <c r="J13750" s="18" t="n">
        <v>0</v>
      </c>
      <c r="K13750" s="19" t="n">
        <v>0</v>
      </c>
      <c r="L13750" s="17" t="s">
        <v>1399</v>
      </c>
    </row>
    <row r="13751" s="11" customFormat="true" ht="10.95" hidden="false" customHeight="true" outlineLevel="0" collapsed="false">
      <c r="A13751" s="16" t="n">
        <v>45337</v>
      </c>
      <c r="B13751" s="17" t="s">
        <v>4560</v>
      </c>
      <c r="C13751" s="17" t="s">
        <v>3614</v>
      </c>
      <c r="D13751" s="17" t="s">
        <v>2106</v>
      </c>
      <c r="E13751" s="17" t="s">
        <v>4562</v>
      </c>
      <c r="F13751" s="17" t="s">
        <v>2142</v>
      </c>
      <c r="G13751" s="18" t="n">
        <v>0</v>
      </c>
      <c r="H13751" s="18" t="n">
        <v>1997</v>
      </c>
      <c r="I13751" s="18" t="n">
        <f aca="false">((I13750 + G13751) - H13751)</f>
        <v>-22814.67</v>
      </c>
      <c r="J13751" s="18" t="n">
        <v>0</v>
      </c>
      <c r="K13751" s="19" t="n">
        <v>0</v>
      </c>
      <c r="L13751" s="17" t="s">
        <v>1399</v>
      </c>
    </row>
    <row r="13752" s="11" customFormat="true" ht="10.95" hidden="false" customHeight="true" outlineLevel="0" collapsed="false">
      <c r="A13752" s="16" t="n">
        <v>45338</v>
      </c>
      <c r="B13752" s="17" t="s">
        <v>4560</v>
      </c>
      <c r="C13752" s="17" t="s">
        <v>3614</v>
      </c>
      <c r="D13752" s="17" t="s">
        <v>1407</v>
      </c>
      <c r="E13752" s="17" t="s">
        <v>4568</v>
      </c>
      <c r="F13752" s="17"/>
      <c r="G13752" s="18" t="n">
        <v>13945</v>
      </c>
      <c r="H13752" s="18" t="n">
        <v>0</v>
      </c>
      <c r="I13752" s="18" t="n">
        <f aca="false">((I13751 + G13752) - H13752)</f>
        <v>-8869.67</v>
      </c>
      <c r="J13752" s="18" t="n">
        <v>0</v>
      </c>
      <c r="K13752" s="19" t="n">
        <v>0</v>
      </c>
      <c r="L13752" s="17" t="s">
        <v>1399</v>
      </c>
    </row>
    <row r="13753" s="11" customFormat="true" ht="10.95" hidden="false" customHeight="true" outlineLevel="0" collapsed="false">
      <c r="A13753" s="16" t="n">
        <v>45344</v>
      </c>
      <c r="B13753" s="17" t="s">
        <v>4560</v>
      </c>
      <c r="C13753" s="17" t="s">
        <v>3614</v>
      </c>
      <c r="D13753" s="17" t="s">
        <v>2106</v>
      </c>
      <c r="E13753" s="17" t="s">
        <v>4562</v>
      </c>
      <c r="F13753" s="17" t="s">
        <v>2143</v>
      </c>
      <c r="G13753" s="18" t="n">
        <v>0</v>
      </c>
      <c r="H13753" s="18" t="n">
        <v>1997</v>
      </c>
      <c r="I13753" s="18" t="n">
        <f aca="false">((I13752 + G13753) - H13753)</f>
        <v>-10866.67</v>
      </c>
      <c r="J13753" s="18" t="n">
        <v>0</v>
      </c>
      <c r="K13753" s="19" t="n">
        <v>0</v>
      </c>
      <c r="L13753" s="17" t="s">
        <v>1399</v>
      </c>
    </row>
    <row r="13754" s="11" customFormat="true" ht="10.95" hidden="false" customHeight="true" outlineLevel="0" collapsed="false">
      <c r="A13754" s="16" t="n">
        <v>45351</v>
      </c>
      <c r="B13754" s="17" t="s">
        <v>4560</v>
      </c>
      <c r="C13754" s="17" t="s">
        <v>3614</v>
      </c>
      <c r="D13754" s="17" t="s">
        <v>2106</v>
      </c>
      <c r="E13754" s="17" t="s">
        <v>4562</v>
      </c>
      <c r="F13754" s="17" t="s">
        <v>2144</v>
      </c>
      <c r="G13754" s="18" t="n">
        <v>0</v>
      </c>
      <c r="H13754" s="18" t="n">
        <v>2259</v>
      </c>
      <c r="I13754" s="18" t="n">
        <f aca="false">((I13753 + G13754) - H13754)</f>
        <v>-13125.67</v>
      </c>
      <c r="J13754" s="18" t="n">
        <v>0</v>
      </c>
      <c r="K13754" s="19" t="n">
        <v>0</v>
      </c>
      <c r="L13754" s="17" t="s">
        <v>1399</v>
      </c>
    </row>
    <row r="13755" s="11" customFormat="true" ht="10.95" hidden="false" customHeight="true" outlineLevel="0" collapsed="false">
      <c r="A13755" s="16" t="n">
        <v>45358</v>
      </c>
      <c r="B13755" s="17" t="s">
        <v>4560</v>
      </c>
      <c r="C13755" s="17" t="s">
        <v>3614</v>
      </c>
      <c r="D13755" s="17" t="s">
        <v>2106</v>
      </c>
      <c r="E13755" s="17" t="s">
        <v>4562</v>
      </c>
      <c r="F13755" s="17" t="s">
        <v>2146</v>
      </c>
      <c r="G13755" s="18" t="n">
        <v>0</v>
      </c>
      <c r="H13755" s="18" t="n">
        <v>2307</v>
      </c>
      <c r="I13755" s="18" t="n">
        <f aca="false">((I13754 + G13755) - H13755)</f>
        <v>-15432.67</v>
      </c>
      <c r="J13755" s="18" t="n">
        <v>0</v>
      </c>
      <c r="K13755" s="19" t="n">
        <v>0</v>
      </c>
      <c r="L13755" s="17" t="s">
        <v>1399</v>
      </c>
    </row>
    <row r="13756" s="11" customFormat="true" ht="10.95" hidden="false" customHeight="true" outlineLevel="0" collapsed="false">
      <c r="A13756" s="16" t="n">
        <v>45365</v>
      </c>
      <c r="B13756" s="17" t="s">
        <v>4560</v>
      </c>
      <c r="C13756" s="17" t="s">
        <v>3614</v>
      </c>
      <c r="D13756" s="17" t="s">
        <v>2106</v>
      </c>
      <c r="E13756" s="17" t="s">
        <v>4562</v>
      </c>
      <c r="F13756" s="17" t="s">
        <v>2147</v>
      </c>
      <c r="G13756" s="18" t="n">
        <v>0</v>
      </c>
      <c r="H13756" s="18" t="n">
        <v>1997</v>
      </c>
      <c r="I13756" s="18" t="n">
        <f aca="false">((I13755 + G13756) - H13756)</f>
        <v>-17429.67</v>
      </c>
      <c r="J13756" s="18" t="n">
        <v>0</v>
      </c>
      <c r="K13756" s="19" t="n">
        <v>0</v>
      </c>
      <c r="L13756" s="17" t="s">
        <v>1399</v>
      </c>
    </row>
    <row r="13757" s="11" customFormat="true" ht="10.95" hidden="false" customHeight="true" outlineLevel="0" collapsed="false">
      <c r="A13757" s="16" t="n">
        <v>45369</v>
      </c>
      <c r="B13757" s="17" t="s">
        <v>4560</v>
      </c>
      <c r="C13757" s="17" t="s">
        <v>3614</v>
      </c>
      <c r="D13757" s="17" t="s">
        <v>1407</v>
      </c>
      <c r="E13757" s="17" t="s">
        <v>4569</v>
      </c>
      <c r="F13757" s="17"/>
      <c r="G13757" s="18" t="n">
        <v>10557</v>
      </c>
      <c r="H13757" s="18" t="n">
        <v>0</v>
      </c>
      <c r="I13757" s="18" t="n">
        <f aca="false">((I13756 + G13757) - H13757)</f>
        <v>-6872.67</v>
      </c>
      <c r="J13757" s="18" t="n">
        <v>0</v>
      </c>
      <c r="K13757" s="19" t="n">
        <v>0</v>
      </c>
      <c r="L13757" s="17" t="s">
        <v>1399</v>
      </c>
    </row>
    <row r="13758" s="11" customFormat="true" ht="10.95" hidden="false" customHeight="true" outlineLevel="0" collapsed="false">
      <c r="A13758" s="16" t="n">
        <v>45372</v>
      </c>
      <c r="B13758" s="17" t="s">
        <v>4560</v>
      </c>
      <c r="C13758" s="17" t="s">
        <v>3614</v>
      </c>
      <c r="D13758" s="17" t="s">
        <v>2106</v>
      </c>
      <c r="E13758" s="17" t="s">
        <v>4562</v>
      </c>
      <c r="F13758" s="17" t="s">
        <v>2148</v>
      </c>
      <c r="G13758" s="18" t="n">
        <v>0</v>
      </c>
      <c r="H13758" s="18" t="n">
        <v>1997</v>
      </c>
      <c r="I13758" s="18" t="n">
        <f aca="false">((I13757 + G13758) - H13758)</f>
        <v>-8869.67</v>
      </c>
      <c r="J13758" s="18" t="n">
        <v>0</v>
      </c>
      <c r="K13758" s="19" t="n">
        <v>0</v>
      </c>
      <c r="L13758" s="17" t="s">
        <v>1399</v>
      </c>
    </row>
    <row r="13759" s="11" customFormat="true" ht="10.95" hidden="false" customHeight="true" outlineLevel="0" collapsed="false">
      <c r="A13759" s="16" t="n">
        <v>45379</v>
      </c>
      <c r="B13759" s="17" t="s">
        <v>4560</v>
      </c>
      <c r="C13759" s="17" t="s">
        <v>3614</v>
      </c>
      <c r="D13759" s="17" t="s">
        <v>2106</v>
      </c>
      <c r="E13759" s="17" t="s">
        <v>4562</v>
      </c>
      <c r="F13759" s="17" t="s">
        <v>2149</v>
      </c>
      <c r="G13759" s="18" t="n">
        <v>0</v>
      </c>
      <c r="H13759" s="18" t="n">
        <v>1997</v>
      </c>
      <c r="I13759" s="18" t="n">
        <f aca="false">((I13758 + G13759) - H13759)</f>
        <v>-10866.67</v>
      </c>
      <c r="J13759" s="18" t="n">
        <v>0</v>
      </c>
      <c r="K13759" s="19" t="n">
        <v>0</v>
      </c>
      <c r="L13759" s="17" t="s">
        <v>1399</v>
      </c>
    </row>
    <row r="13760" s="11" customFormat="true" ht="10.95" hidden="false" customHeight="true" outlineLevel="0" collapsed="false">
      <c r="A13760" s="16" t="n">
        <v>45386</v>
      </c>
      <c r="B13760" s="17" t="s">
        <v>4560</v>
      </c>
      <c r="C13760" s="17" t="s">
        <v>3614</v>
      </c>
      <c r="D13760" s="17" t="s">
        <v>2106</v>
      </c>
      <c r="E13760" s="17" t="s">
        <v>4562</v>
      </c>
      <c r="F13760" s="17" t="s">
        <v>2150</v>
      </c>
      <c r="G13760" s="18" t="n">
        <v>0</v>
      </c>
      <c r="H13760" s="18" t="n">
        <v>1997</v>
      </c>
      <c r="I13760" s="18" t="n">
        <f aca="false">((I13759 + G13760) - H13760)</f>
        <v>-12863.67</v>
      </c>
      <c r="J13760" s="18" t="n">
        <v>0</v>
      </c>
      <c r="K13760" s="19" t="n">
        <v>0</v>
      </c>
      <c r="L13760" s="17" t="s">
        <v>1399</v>
      </c>
    </row>
    <row r="13761" s="11" customFormat="true" ht="10.95" hidden="false" customHeight="true" outlineLevel="0" collapsed="false">
      <c r="A13761" s="16" t="n">
        <v>45393</v>
      </c>
      <c r="B13761" s="17" t="s">
        <v>4560</v>
      </c>
      <c r="C13761" s="17" t="s">
        <v>3614</v>
      </c>
      <c r="D13761" s="17" t="s">
        <v>2106</v>
      </c>
      <c r="E13761" s="17" t="s">
        <v>4562</v>
      </c>
      <c r="F13761" s="17" t="s">
        <v>2151</v>
      </c>
      <c r="G13761" s="18" t="n">
        <v>0</v>
      </c>
      <c r="H13761" s="18" t="n">
        <v>1997</v>
      </c>
      <c r="I13761" s="18" t="n">
        <f aca="false">((I13760 + G13761) - H13761)</f>
        <v>-14860.67</v>
      </c>
      <c r="J13761" s="18" t="n">
        <v>0</v>
      </c>
      <c r="K13761" s="19" t="n">
        <v>0</v>
      </c>
      <c r="L13761" s="17" t="s">
        <v>1399</v>
      </c>
    </row>
    <row r="13762" s="11" customFormat="true" ht="10.95" hidden="false" customHeight="true" outlineLevel="0" collapsed="false">
      <c r="A13762" s="16" t="n">
        <v>45400</v>
      </c>
      <c r="B13762" s="17" t="s">
        <v>4560</v>
      </c>
      <c r="C13762" s="17" t="s">
        <v>3614</v>
      </c>
      <c r="D13762" s="17" t="s">
        <v>2106</v>
      </c>
      <c r="E13762" s="17" t="s">
        <v>4562</v>
      </c>
      <c r="F13762" s="17" t="s">
        <v>2152</v>
      </c>
      <c r="G13762" s="18" t="n">
        <v>0</v>
      </c>
      <c r="H13762" s="18" t="n">
        <v>1997</v>
      </c>
      <c r="I13762" s="18" t="n">
        <f aca="false">((I13761 + G13762) - H13762)</f>
        <v>-16857.67</v>
      </c>
      <c r="J13762" s="18" t="n">
        <v>0</v>
      </c>
      <c r="K13762" s="19" t="n">
        <v>0</v>
      </c>
      <c r="L13762" s="17" t="s">
        <v>1399</v>
      </c>
    </row>
    <row r="13763" s="11" customFormat="true" ht="10.95" hidden="false" customHeight="true" outlineLevel="0" collapsed="false">
      <c r="A13763" s="16" t="n">
        <v>45407</v>
      </c>
      <c r="B13763" s="17" t="s">
        <v>4560</v>
      </c>
      <c r="C13763" s="17" t="s">
        <v>3614</v>
      </c>
      <c r="D13763" s="17" t="s">
        <v>2106</v>
      </c>
      <c r="E13763" s="17" t="s">
        <v>4562</v>
      </c>
      <c r="F13763" s="17" t="s">
        <v>2153</v>
      </c>
      <c r="G13763" s="18" t="n">
        <v>0</v>
      </c>
      <c r="H13763" s="18" t="n">
        <v>1997</v>
      </c>
      <c r="I13763" s="18" t="n">
        <f aca="false">((I13762 + G13763) - H13763)</f>
        <v>-18854.67</v>
      </c>
      <c r="J13763" s="18" t="n">
        <v>0</v>
      </c>
      <c r="K13763" s="19" t="n">
        <v>0</v>
      </c>
      <c r="L13763" s="17" t="s">
        <v>1399</v>
      </c>
    </row>
    <row r="13764" s="11" customFormat="true" ht="10.95" hidden="false" customHeight="true" outlineLevel="0" collapsed="false">
      <c r="A13764" s="16" t="n">
        <v>45414</v>
      </c>
      <c r="B13764" s="17" t="s">
        <v>4560</v>
      </c>
      <c r="C13764" s="17" t="s">
        <v>3614</v>
      </c>
      <c r="D13764" s="17" t="s">
        <v>2106</v>
      </c>
      <c r="E13764" s="17" t="s">
        <v>4562</v>
      </c>
      <c r="F13764" s="17" t="s">
        <v>2154</v>
      </c>
      <c r="G13764" s="18" t="n">
        <v>0</v>
      </c>
      <c r="H13764" s="18" t="n">
        <v>1997</v>
      </c>
      <c r="I13764" s="18" t="n">
        <f aca="false">((I13763 + G13764) - H13764)</f>
        <v>-20851.67</v>
      </c>
      <c r="J13764" s="18" t="n">
        <v>0</v>
      </c>
      <c r="K13764" s="19" t="n">
        <v>0</v>
      </c>
      <c r="L13764" s="17" t="s">
        <v>1399</v>
      </c>
    </row>
    <row r="13765" s="11" customFormat="true" ht="10.95" hidden="false" customHeight="true" outlineLevel="0" collapsed="false">
      <c r="A13765" s="16" t="n">
        <v>45417</v>
      </c>
      <c r="B13765" s="17" t="s">
        <v>4560</v>
      </c>
      <c r="C13765" s="17" t="s">
        <v>3614</v>
      </c>
      <c r="D13765" s="17" t="s">
        <v>1407</v>
      </c>
      <c r="E13765" s="17" t="s">
        <v>4570</v>
      </c>
      <c r="F13765" s="17" t="s">
        <v>4414</v>
      </c>
      <c r="G13765" s="18" t="n">
        <v>8298</v>
      </c>
      <c r="H13765" s="18" t="n">
        <v>0</v>
      </c>
      <c r="I13765" s="18" t="n">
        <f aca="false">((I13764 + G13765) - H13765)</f>
        <v>-12553.67</v>
      </c>
      <c r="J13765" s="18" t="n">
        <v>0</v>
      </c>
      <c r="K13765" s="19" t="n">
        <v>0</v>
      </c>
      <c r="L13765" s="17" t="s">
        <v>1399</v>
      </c>
    </row>
    <row r="13766" s="11" customFormat="true" ht="10.95" hidden="false" customHeight="true" outlineLevel="0" collapsed="false">
      <c r="A13766" s="16" t="n">
        <v>45417</v>
      </c>
      <c r="B13766" s="17" t="s">
        <v>4560</v>
      </c>
      <c r="C13766" s="17" t="s">
        <v>3614</v>
      </c>
      <c r="D13766" s="17" t="s">
        <v>1407</v>
      </c>
      <c r="E13766" s="17" t="s">
        <v>4571</v>
      </c>
      <c r="F13766" s="17" t="s">
        <v>4414</v>
      </c>
      <c r="G13766" s="18" t="n">
        <v>7988</v>
      </c>
      <c r="H13766" s="18" t="n">
        <v>0</v>
      </c>
      <c r="I13766" s="18" t="n">
        <f aca="false">((I13765 + G13766) - H13766)</f>
        <v>-4565.67</v>
      </c>
      <c r="J13766" s="18" t="n">
        <v>0</v>
      </c>
      <c r="K13766" s="19" t="n">
        <v>0</v>
      </c>
      <c r="L13766" s="17" t="s">
        <v>1399</v>
      </c>
    </row>
    <row r="13767" s="11" customFormat="true" ht="10.95" hidden="false" customHeight="true" outlineLevel="0" collapsed="false">
      <c r="A13767" s="16" t="n">
        <v>45421</v>
      </c>
      <c r="B13767" s="17" t="s">
        <v>4560</v>
      </c>
      <c r="C13767" s="17" t="s">
        <v>3614</v>
      </c>
      <c r="D13767" s="17" t="s">
        <v>2106</v>
      </c>
      <c r="E13767" s="17" t="s">
        <v>4562</v>
      </c>
      <c r="F13767" s="17" t="s">
        <v>2155</v>
      </c>
      <c r="G13767" s="18" t="n">
        <v>0</v>
      </c>
      <c r="H13767" s="18" t="n">
        <v>2975</v>
      </c>
      <c r="I13767" s="18" t="n">
        <f aca="false">((I13766 + G13767) - H13767)</f>
        <v>-7540.67</v>
      </c>
      <c r="J13767" s="18" t="n">
        <v>0</v>
      </c>
      <c r="K13767" s="19" t="n">
        <v>0</v>
      </c>
      <c r="L13767" s="17" t="s">
        <v>1399</v>
      </c>
    </row>
    <row r="13768" s="11" customFormat="true" ht="10.95" hidden="false" customHeight="true" outlineLevel="0" collapsed="false">
      <c r="A13768" s="16" t="n">
        <v>45428</v>
      </c>
      <c r="B13768" s="17" t="s">
        <v>4560</v>
      </c>
      <c r="C13768" s="17" t="s">
        <v>3614</v>
      </c>
      <c r="D13768" s="17" t="s">
        <v>2106</v>
      </c>
      <c r="E13768" s="17" t="s">
        <v>4562</v>
      </c>
      <c r="F13768" s="17" t="s">
        <v>2171</v>
      </c>
      <c r="G13768" s="18" t="n">
        <v>0</v>
      </c>
      <c r="H13768" s="18" t="n">
        <v>2975</v>
      </c>
      <c r="I13768" s="18" t="n">
        <f aca="false">((I13767 + G13768) - H13768)</f>
        <v>-10515.67</v>
      </c>
      <c r="J13768" s="18" t="n">
        <v>0</v>
      </c>
      <c r="K13768" s="19" t="n">
        <v>0</v>
      </c>
      <c r="L13768" s="17" t="s">
        <v>1399</v>
      </c>
    </row>
    <row r="13769" s="11" customFormat="true" ht="10.95" hidden="false" customHeight="true" outlineLevel="0" collapsed="false">
      <c r="A13769" s="16" t="n">
        <v>45435</v>
      </c>
      <c r="B13769" s="17" t="s">
        <v>4560</v>
      </c>
      <c r="C13769" s="17" t="s">
        <v>3614</v>
      </c>
      <c r="D13769" s="17" t="s">
        <v>2106</v>
      </c>
      <c r="E13769" s="17" t="s">
        <v>4562</v>
      </c>
      <c r="F13769" s="17" t="s">
        <v>2172</v>
      </c>
      <c r="G13769" s="18" t="n">
        <v>0</v>
      </c>
      <c r="H13769" s="18" t="n">
        <v>2975</v>
      </c>
      <c r="I13769" s="18" t="n">
        <f aca="false">((I13768 + G13769) - H13769)</f>
        <v>-13490.67</v>
      </c>
      <c r="J13769" s="18" t="n">
        <v>0</v>
      </c>
      <c r="K13769" s="19" t="n">
        <v>0</v>
      </c>
      <c r="L13769" s="17" t="s">
        <v>1399</v>
      </c>
    </row>
    <row r="13770" s="11" customFormat="true" ht="10.95" hidden="false" customHeight="true" outlineLevel="0" collapsed="false">
      <c r="A13770" s="16" t="n">
        <v>45442</v>
      </c>
      <c r="B13770" s="17" t="s">
        <v>4560</v>
      </c>
      <c r="C13770" s="17" t="s">
        <v>3614</v>
      </c>
      <c r="D13770" s="17" t="s">
        <v>2106</v>
      </c>
      <c r="E13770" s="17" t="s">
        <v>4562</v>
      </c>
      <c r="F13770" s="17" t="s">
        <v>2173</v>
      </c>
      <c r="G13770" s="18" t="n">
        <v>0</v>
      </c>
      <c r="H13770" s="18" t="n">
        <v>2975</v>
      </c>
      <c r="I13770" s="18" t="n">
        <f aca="false">((I13769 + G13770) - H13770)</f>
        <v>-16465.67</v>
      </c>
      <c r="J13770" s="18" t="n">
        <v>0</v>
      </c>
      <c r="K13770" s="19" t="n">
        <v>0</v>
      </c>
      <c r="L13770" s="17" t="s">
        <v>1399</v>
      </c>
    </row>
    <row r="13771" s="11" customFormat="true" ht="10.95" hidden="false" customHeight="true" outlineLevel="0" collapsed="false">
      <c r="A13771" s="16" t="n">
        <v>45449</v>
      </c>
      <c r="B13771" s="17" t="s">
        <v>4560</v>
      </c>
      <c r="C13771" s="17" t="s">
        <v>3614</v>
      </c>
      <c r="D13771" s="17" t="s">
        <v>2106</v>
      </c>
      <c r="E13771" s="17" t="s">
        <v>4562</v>
      </c>
      <c r="F13771" s="17" t="s">
        <v>2174</v>
      </c>
      <c r="G13771" s="18" t="n">
        <v>0</v>
      </c>
      <c r="H13771" s="18" t="n">
        <v>11000</v>
      </c>
      <c r="I13771" s="18" t="n">
        <f aca="false">((I13770 + G13771) - H13771)</f>
        <v>-27465.67</v>
      </c>
      <c r="J13771" s="18" t="n">
        <v>0</v>
      </c>
      <c r="K13771" s="19" t="n">
        <v>0</v>
      </c>
      <c r="L13771" s="17" t="s">
        <v>1399</v>
      </c>
    </row>
    <row r="13772" s="11" customFormat="true" ht="10.95" hidden="false" customHeight="true" outlineLevel="0" collapsed="false">
      <c r="A13772" s="16" t="n">
        <v>45449</v>
      </c>
      <c r="B13772" s="17" t="s">
        <v>4560</v>
      </c>
      <c r="C13772" s="17" t="s">
        <v>3614</v>
      </c>
      <c r="D13772" s="17" t="s">
        <v>2106</v>
      </c>
      <c r="E13772" s="17" t="s">
        <v>4562</v>
      </c>
      <c r="F13772" s="17" t="s">
        <v>2175</v>
      </c>
      <c r="G13772" s="18" t="n">
        <v>0</v>
      </c>
      <c r="H13772" s="18" t="n">
        <v>2975</v>
      </c>
      <c r="I13772" s="18" t="n">
        <f aca="false">((I13771 + G13772) - H13772)</f>
        <v>-30440.67</v>
      </c>
      <c r="J13772" s="18" t="n">
        <v>0</v>
      </c>
      <c r="K13772" s="19" t="n">
        <v>0</v>
      </c>
      <c r="L13772" s="17" t="s">
        <v>1399</v>
      </c>
    </row>
    <row r="13773" s="11" customFormat="true" ht="10.95" hidden="false" customHeight="true" outlineLevel="0" collapsed="false">
      <c r="A13773" s="16" t="n">
        <v>45456</v>
      </c>
      <c r="B13773" s="17" t="s">
        <v>4560</v>
      </c>
      <c r="C13773" s="17" t="s">
        <v>3614</v>
      </c>
      <c r="D13773" s="17" t="s">
        <v>2106</v>
      </c>
      <c r="E13773" s="17" t="s">
        <v>4562</v>
      </c>
      <c r="F13773" s="17" t="s">
        <v>2176</v>
      </c>
      <c r="G13773" s="18" t="n">
        <v>0</v>
      </c>
      <c r="H13773" s="18" t="n">
        <v>2975</v>
      </c>
      <c r="I13773" s="18" t="n">
        <f aca="false">((I13772 + G13773) - H13773)</f>
        <v>-33415.67</v>
      </c>
      <c r="J13773" s="18" t="n">
        <v>0</v>
      </c>
      <c r="K13773" s="19" t="n">
        <v>0</v>
      </c>
      <c r="L13773" s="17" t="s">
        <v>1399</v>
      </c>
    </row>
    <row r="13774" s="11" customFormat="true" ht="10.95" hidden="false" customHeight="true" outlineLevel="0" collapsed="false">
      <c r="A13774" s="16" t="n">
        <v>45463</v>
      </c>
      <c r="B13774" s="17" t="s">
        <v>4560</v>
      </c>
      <c r="C13774" s="17" t="s">
        <v>3614</v>
      </c>
      <c r="D13774" s="17" t="s">
        <v>2106</v>
      </c>
      <c r="E13774" s="17" t="s">
        <v>4562</v>
      </c>
      <c r="F13774" s="17" t="s">
        <v>2177</v>
      </c>
      <c r="G13774" s="18" t="n">
        <v>0</v>
      </c>
      <c r="H13774" s="18" t="n">
        <v>2975</v>
      </c>
      <c r="I13774" s="18" t="n">
        <f aca="false">((I13773 + G13774) - H13774)</f>
        <v>-36390.67</v>
      </c>
      <c r="J13774" s="18" t="n">
        <v>0</v>
      </c>
      <c r="K13774" s="19" t="n">
        <v>0</v>
      </c>
      <c r="L13774" s="17" t="s">
        <v>1399</v>
      </c>
    </row>
    <row r="13775" s="11" customFormat="true" ht="10.95" hidden="false" customHeight="true" outlineLevel="0" collapsed="false">
      <c r="A13775" s="16" t="n">
        <v>45463</v>
      </c>
      <c r="B13775" s="17" t="s">
        <v>4560</v>
      </c>
      <c r="C13775" s="17" t="s">
        <v>3614</v>
      </c>
      <c r="D13775" s="17" t="s">
        <v>2106</v>
      </c>
      <c r="E13775" s="17" t="s">
        <v>4562</v>
      </c>
      <c r="F13775" s="17" t="s">
        <v>2178</v>
      </c>
      <c r="G13775" s="18" t="n">
        <v>0</v>
      </c>
      <c r="H13775" s="18" t="n">
        <v>33188.29</v>
      </c>
      <c r="I13775" s="18" t="n">
        <f aca="false">((I13774 + G13775) - H13775)</f>
        <v>-69578.96</v>
      </c>
      <c r="J13775" s="18" t="n">
        <v>0</v>
      </c>
      <c r="K13775" s="19" t="n">
        <v>0</v>
      </c>
      <c r="L13775" s="17" t="s">
        <v>1399</v>
      </c>
    </row>
    <row r="13776" s="11" customFormat="true" ht="10.95" hidden="false" customHeight="true" outlineLevel="0" collapsed="false">
      <c r="A13776" s="16" t="n">
        <v>45470</v>
      </c>
      <c r="B13776" s="17" t="s">
        <v>4560</v>
      </c>
      <c r="C13776" s="17" t="s">
        <v>3614</v>
      </c>
      <c r="D13776" s="17" t="s">
        <v>2106</v>
      </c>
      <c r="E13776" s="17" t="s">
        <v>4562</v>
      </c>
      <c r="F13776" s="17" t="s">
        <v>2179</v>
      </c>
      <c r="G13776" s="18" t="n">
        <v>0</v>
      </c>
      <c r="H13776" s="18" t="n">
        <v>2975</v>
      </c>
      <c r="I13776" s="18" t="n">
        <f aca="false">((I13775 + G13776) - H13776)</f>
        <v>-72553.96</v>
      </c>
      <c r="J13776" s="18" t="n">
        <v>0</v>
      </c>
      <c r="K13776" s="19" t="n">
        <v>0</v>
      </c>
      <c r="L13776" s="17" t="s">
        <v>1399</v>
      </c>
    </row>
    <row r="13777" s="11" customFormat="true" ht="10.95" hidden="false" customHeight="true" outlineLevel="0" collapsed="false">
      <c r="A13777" s="16" t="n">
        <v>45473</v>
      </c>
      <c r="B13777" s="17" t="s">
        <v>4560</v>
      </c>
      <c r="C13777" s="17" t="s">
        <v>3614</v>
      </c>
      <c r="D13777" s="17" t="s">
        <v>1391</v>
      </c>
      <c r="E13777" s="17" t="s">
        <v>4572</v>
      </c>
      <c r="F13777" s="17" t="s">
        <v>3743</v>
      </c>
      <c r="G13777" s="18" t="n">
        <v>56088</v>
      </c>
      <c r="H13777" s="18" t="n">
        <v>0</v>
      </c>
      <c r="I13777" s="18" t="n">
        <f aca="false">((I13776 + G13777) - H13777)</f>
        <v>-16465.96</v>
      </c>
      <c r="J13777" s="18" t="n">
        <v>0</v>
      </c>
      <c r="K13777" s="19" t="n">
        <v>0</v>
      </c>
      <c r="L13777" s="17" t="s">
        <v>1399</v>
      </c>
    </row>
    <row r="13778" s="11" customFormat="true" ht="10.95" hidden="false" customHeight="true" outlineLevel="0" collapsed="false">
      <c r="A13778" s="16" t="n">
        <v>45473</v>
      </c>
      <c r="B13778" s="17" t="s">
        <v>4560</v>
      </c>
      <c r="C13778" s="17" t="s">
        <v>3614</v>
      </c>
      <c r="D13778" s="17" t="s">
        <v>1396</v>
      </c>
      <c r="E13778" s="17" t="s">
        <v>3747</v>
      </c>
      <c r="F13778" s="17" t="s">
        <v>3748</v>
      </c>
      <c r="G13778" s="18" t="n">
        <v>13897</v>
      </c>
      <c r="H13778" s="18" t="n">
        <v>0</v>
      </c>
      <c r="I13778" s="18" t="n">
        <f aca="false">((I13777 + G13778) - H13778)</f>
        <v>-2568.95999999999</v>
      </c>
      <c r="J13778" s="18" t="n">
        <v>0</v>
      </c>
      <c r="K13778" s="19" t="n">
        <v>0</v>
      </c>
      <c r="L13778" s="17" t="s">
        <v>1399</v>
      </c>
    </row>
    <row r="13779" s="11" customFormat="true" ht="10.95" hidden="false" customHeight="true" outlineLevel="0" collapsed="false">
      <c r="A13779" s="16" t="n">
        <v>45473</v>
      </c>
      <c r="B13779" s="17" t="s">
        <v>4560</v>
      </c>
      <c r="C13779" s="17" t="s">
        <v>3614</v>
      </c>
      <c r="D13779" s="17" t="s">
        <v>1396</v>
      </c>
      <c r="E13779" s="17" t="s">
        <v>4553</v>
      </c>
      <c r="F13779" s="17" t="s">
        <v>4554</v>
      </c>
      <c r="G13779" s="18" t="n">
        <v>1966</v>
      </c>
      <c r="H13779" s="18" t="n">
        <v>0</v>
      </c>
      <c r="I13779" s="18" t="n">
        <f aca="false">((I13778 + G13779) - H13779)</f>
        <v>-602.959999999992</v>
      </c>
      <c r="J13779" s="18" t="n">
        <v>0</v>
      </c>
      <c r="K13779" s="19" t="n">
        <v>0</v>
      </c>
      <c r="L13779" s="17" t="s">
        <v>1399</v>
      </c>
    </row>
    <row r="13780" s="11" customFormat="true" ht="10.95" hidden="false" customHeight="true" outlineLevel="0" collapsed="false">
      <c r="A13780" s="21" t="s">
        <v>4573</v>
      </c>
      <c r="B13780" s="21"/>
      <c r="C13780" s="21"/>
      <c r="D13780" s="21"/>
      <c r="E13780" s="21"/>
      <c r="F13780" s="21"/>
      <c r="G13780" s="22" t="n">
        <f aca="false">SUM(G13713:G13779)</f>
        <v>181990.08</v>
      </c>
      <c r="H13780" s="22" t="n">
        <f aca="false">SUM(H13713:H13779)</f>
        <v>153755.29</v>
      </c>
      <c r="I13780" s="22" t="n">
        <f aca="false">I13779</f>
        <v>-602.959999999992</v>
      </c>
      <c r="J13780" s="22" t="n">
        <f aca="false">SUM(J13713:J13779)</f>
        <v>0</v>
      </c>
      <c r="K13780" s="21"/>
      <c r="L13780" s="21"/>
    </row>
    <row r="13781" s="11" customFormat="true" ht="10.95" hidden="false" customHeight="true" outlineLevel="0" collapsed="false">
      <c r="A13781" s="21" t="s">
        <v>784</v>
      </c>
      <c r="B13781" s="21"/>
      <c r="C13781" s="21"/>
      <c r="D13781" s="21"/>
      <c r="E13781" s="21"/>
      <c r="F13781" s="21"/>
      <c r="G13781" s="22" t="n">
        <v>28234.79</v>
      </c>
      <c r="H13781" s="22" t="n">
        <v>0</v>
      </c>
      <c r="I13781" s="22" t="n">
        <v>0</v>
      </c>
      <c r="J13781" s="22" t="n">
        <v>0</v>
      </c>
      <c r="K13781" s="21"/>
      <c r="L13781" s="21"/>
    </row>
    <row r="13782" s="11" customFormat="true" ht="10.95" hidden="false" customHeight="true" outlineLevel="0" collapsed="false">
      <c r="A13782" s="9" t="s">
        <v>785</v>
      </c>
      <c r="B13782" s="9"/>
      <c r="C13782" s="9"/>
      <c r="D13782" s="9"/>
      <c r="E13782" s="9"/>
      <c r="F13782" s="9"/>
      <c r="G13782" s="10" t="n">
        <v>0</v>
      </c>
      <c r="H13782" s="10" t="n">
        <v>602.96</v>
      </c>
      <c r="I13782" s="10" t="n">
        <f aca="false">I13779</f>
        <v>-602.959999999992</v>
      </c>
      <c r="J13782" s="10" t="n">
        <v>0</v>
      </c>
      <c r="K13782" s="9"/>
      <c r="L13782" s="9"/>
    </row>
    <row r="13783" customFormat="false" ht="13.35" hidden="false" customHeight="true" outlineLevel="0" collapsed="false"/>
    <row r="13784" s="7" customFormat="true" ht="12.1" hidden="false" customHeight="true" outlineLevel="0" collapsed="false">
      <c r="A13784" s="8" t="s">
        <v>4574</v>
      </c>
      <c r="B13784" s="8"/>
      <c r="C13784" s="8"/>
      <c r="D13784" s="8"/>
      <c r="E13784" s="8"/>
      <c r="F13784" s="8"/>
      <c r="G13784" s="8"/>
      <c r="H13784" s="8"/>
      <c r="I13784" s="8"/>
      <c r="J13784" s="8"/>
      <c r="K13784" s="8"/>
      <c r="L13784" s="8"/>
    </row>
    <row r="13785" s="11" customFormat="true" ht="10.95" hidden="false" customHeight="true" outlineLevel="0" collapsed="false">
      <c r="A13785" s="9" t="s">
        <v>16</v>
      </c>
      <c r="B13785" s="9"/>
      <c r="C13785" s="9"/>
      <c r="D13785" s="9"/>
      <c r="E13785" s="9"/>
      <c r="F13785" s="9"/>
      <c r="G13785" s="10" t="n">
        <v>0</v>
      </c>
      <c r="H13785" s="10" t="n">
        <v>3422.68</v>
      </c>
      <c r="I13785" s="10" t="n">
        <f aca="false">(G13785 - H13785)</f>
        <v>-3422.68</v>
      </c>
      <c r="J13785" s="10" t="n">
        <v>0</v>
      </c>
      <c r="K13785" s="9"/>
      <c r="L13785" s="9"/>
    </row>
    <row r="13786" s="11" customFormat="true" ht="10.95" hidden="false" customHeight="true" outlineLevel="0" collapsed="false">
      <c r="A13786" s="12" t="n">
        <v>45108</v>
      </c>
      <c r="B13786" s="13" t="s">
        <v>4575</v>
      </c>
      <c r="C13786" s="13" t="s">
        <v>3614</v>
      </c>
      <c r="D13786" s="13" t="s">
        <v>1396</v>
      </c>
      <c r="E13786" s="13" t="s">
        <v>2187</v>
      </c>
      <c r="F13786" s="13" t="s">
        <v>2188</v>
      </c>
      <c r="G13786" s="14" t="n">
        <v>3422.68</v>
      </c>
      <c r="H13786" s="14" t="n">
        <v>0</v>
      </c>
      <c r="I13786" s="14" t="n">
        <f aca="false">((I13785 + G13786) - H13786)</f>
        <v>0</v>
      </c>
      <c r="J13786" s="14" t="n">
        <v>0</v>
      </c>
      <c r="K13786" s="15" t="n">
        <v>0</v>
      </c>
      <c r="L13786" s="13" t="s">
        <v>1399</v>
      </c>
    </row>
    <row r="13787" s="11" customFormat="true" ht="10.95" hidden="false" customHeight="true" outlineLevel="0" collapsed="false">
      <c r="A13787" s="16" t="n">
        <v>45113</v>
      </c>
      <c r="B13787" s="17" t="s">
        <v>4575</v>
      </c>
      <c r="C13787" s="17" t="s">
        <v>3614</v>
      </c>
      <c r="D13787" s="17" t="s">
        <v>2106</v>
      </c>
      <c r="E13787" s="17" t="s">
        <v>4576</v>
      </c>
      <c r="F13787" s="17" t="s">
        <v>2108</v>
      </c>
      <c r="G13787" s="18" t="n">
        <v>0</v>
      </c>
      <c r="H13787" s="18" t="n">
        <v>707.01</v>
      </c>
      <c r="I13787" s="18" t="n">
        <f aca="false">((I13786 + G13787) - H13787)</f>
        <v>-707.01</v>
      </c>
      <c r="J13787" s="18" t="n">
        <v>0</v>
      </c>
      <c r="K13787" s="19" t="n">
        <v>0</v>
      </c>
      <c r="L13787" s="17" t="s">
        <v>1399</v>
      </c>
    </row>
    <row r="13788" s="11" customFormat="true" ht="10.95" hidden="false" customHeight="true" outlineLevel="0" collapsed="false">
      <c r="A13788" s="16" t="n">
        <v>45120</v>
      </c>
      <c r="B13788" s="17" t="s">
        <v>4575</v>
      </c>
      <c r="C13788" s="17" t="s">
        <v>3614</v>
      </c>
      <c r="D13788" s="17" t="s">
        <v>2106</v>
      </c>
      <c r="E13788" s="17" t="s">
        <v>4576</v>
      </c>
      <c r="F13788" s="17" t="s">
        <v>2110</v>
      </c>
      <c r="G13788" s="18" t="n">
        <v>0</v>
      </c>
      <c r="H13788" s="18" t="n">
        <v>707.01</v>
      </c>
      <c r="I13788" s="18" t="n">
        <f aca="false">((I13787 + G13788) - H13788)</f>
        <v>-1414.02</v>
      </c>
      <c r="J13788" s="18" t="n">
        <v>0</v>
      </c>
      <c r="K13788" s="19" t="n">
        <v>0</v>
      </c>
      <c r="L13788" s="17" t="s">
        <v>1399</v>
      </c>
    </row>
    <row r="13789" s="11" customFormat="true" ht="10.95" hidden="false" customHeight="true" outlineLevel="0" collapsed="false">
      <c r="A13789" s="16" t="n">
        <v>45120</v>
      </c>
      <c r="B13789" s="17" t="s">
        <v>4575</v>
      </c>
      <c r="C13789" s="17" t="s">
        <v>3614</v>
      </c>
      <c r="D13789" s="17" t="s">
        <v>2106</v>
      </c>
      <c r="E13789" s="17" t="s">
        <v>4576</v>
      </c>
      <c r="F13789" s="17" t="s">
        <v>2166</v>
      </c>
      <c r="G13789" s="18" t="n">
        <v>0</v>
      </c>
      <c r="H13789" s="18" t="n">
        <v>52.8</v>
      </c>
      <c r="I13789" s="18" t="n">
        <f aca="false">((I13788 + G13789) - H13789)</f>
        <v>-1466.82</v>
      </c>
      <c r="J13789" s="18" t="n">
        <v>0</v>
      </c>
      <c r="K13789" s="19" t="n">
        <v>0</v>
      </c>
      <c r="L13789" s="17" t="s">
        <v>1399</v>
      </c>
    </row>
    <row r="13790" s="11" customFormat="true" ht="10.95" hidden="false" customHeight="true" outlineLevel="0" collapsed="false">
      <c r="A13790" s="16" t="n">
        <v>45127</v>
      </c>
      <c r="B13790" s="17" t="s">
        <v>4575</v>
      </c>
      <c r="C13790" s="17" t="s">
        <v>3614</v>
      </c>
      <c r="D13790" s="17" t="s">
        <v>2106</v>
      </c>
      <c r="E13790" s="17" t="s">
        <v>4576</v>
      </c>
      <c r="F13790" s="17" t="s">
        <v>2111</v>
      </c>
      <c r="G13790" s="18" t="n">
        <v>0</v>
      </c>
      <c r="H13790" s="18" t="n">
        <v>722.41</v>
      </c>
      <c r="I13790" s="18" t="n">
        <f aca="false">((I13789 + G13790) - H13790)</f>
        <v>-2189.23</v>
      </c>
      <c r="J13790" s="18" t="n">
        <v>0</v>
      </c>
      <c r="K13790" s="19" t="n">
        <v>0</v>
      </c>
      <c r="L13790" s="17" t="s">
        <v>1399</v>
      </c>
    </row>
    <row r="13791" s="11" customFormat="true" ht="10.95" hidden="false" customHeight="true" outlineLevel="0" collapsed="false">
      <c r="A13791" s="16" t="n">
        <v>45134</v>
      </c>
      <c r="B13791" s="17" t="s">
        <v>4575</v>
      </c>
      <c r="C13791" s="17" t="s">
        <v>3614</v>
      </c>
      <c r="D13791" s="17" t="s">
        <v>2106</v>
      </c>
      <c r="E13791" s="17" t="s">
        <v>4576</v>
      </c>
      <c r="F13791" s="17" t="s">
        <v>2112</v>
      </c>
      <c r="G13791" s="18" t="n">
        <v>0</v>
      </c>
      <c r="H13791" s="18" t="n">
        <v>722.41</v>
      </c>
      <c r="I13791" s="18" t="n">
        <f aca="false">((I13790 + G13791) - H13791)</f>
        <v>-2911.64</v>
      </c>
      <c r="J13791" s="18" t="n">
        <v>0</v>
      </c>
      <c r="K13791" s="19" t="n">
        <v>0</v>
      </c>
      <c r="L13791" s="17" t="s">
        <v>1399</v>
      </c>
    </row>
    <row r="13792" s="11" customFormat="true" ht="10.95" hidden="false" customHeight="true" outlineLevel="0" collapsed="false">
      <c r="A13792" s="16" t="n">
        <v>45141</v>
      </c>
      <c r="B13792" s="17" t="s">
        <v>4575</v>
      </c>
      <c r="C13792" s="17" t="s">
        <v>3614</v>
      </c>
      <c r="D13792" s="17" t="s">
        <v>2106</v>
      </c>
      <c r="E13792" s="17" t="s">
        <v>4576</v>
      </c>
      <c r="F13792" s="17" t="s">
        <v>2113</v>
      </c>
      <c r="G13792" s="18" t="n">
        <v>0</v>
      </c>
      <c r="H13792" s="18" t="n">
        <v>720.65</v>
      </c>
      <c r="I13792" s="18" t="n">
        <f aca="false">((I13791 + G13792) - H13792)</f>
        <v>-3632.29</v>
      </c>
      <c r="J13792" s="18" t="n">
        <v>0</v>
      </c>
      <c r="K13792" s="19" t="n">
        <v>0</v>
      </c>
      <c r="L13792" s="17" t="s">
        <v>1399</v>
      </c>
    </row>
    <row r="13793" s="11" customFormat="true" ht="10.95" hidden="false" customHeight="true" outlineLevel="0" collapsed="false">
      <c r="A13793" s="16" t="n">
        <v>45148</v>
      </c>
      <c r="B13793" s="17" t="s">
        <v>4575</v>
      </c>
      <c r="C13793" s="17" t="s">
        <v>3614</v>
      </c>
      <c r="D13793" s="17" t="s">
        <v>2106</v>
      </c>
      <c r="E13793" s="17" t="s">
        <v>4576</v>
      </c>
      <c r="F13793" s="17" t="s">
        <v>2114</v>
      </c>
      <c r="G13793" s="18" t="n">
        <v>0</v>
      </c>
      <c r="H13793" s="18" t="n">
        <v>793.11</v>
      </c>
      <c r="I13793" s="18" t="n">
        <f aca="false">((I13792 + G13793) - H13793)</f>
        <v>-4425.4</v>
      </c>
      <c r="J13793" s="18" t="n">
        <v>0</v>
      </c>
      <c r="K13793" s="19" t="n">
        <v>0</v>
      </c>
      <c r="L13793" s="17" t="s">
        <v>1399</v>
      </c>
    </row>
    <row r="13794" s="11" customFormat="true" ht="10.95" hidden="false" customHeight="true" outlineLevel="0" collapsed="false">
      <c r="A13794" s="16" t="n">
        <v>45148</v>
      </c>
      <c r="B13794" s="17" t="s">
        <v>4575</v>
      </c>
      <c r="C13794" s="17" t="s">
        <v>3614</v>
      </c>
      <c r="D13794" s="17" t="s">
        <v>1407</v>
      </c>
      <c r="E13794" s="17" t="s">
        <v>4577</v>
      </c>
      <c r="F13794" s="17"/>
      <c r="G13794" s="18" t="n">
        <v>3632.29</v>
      </c>
      <c r="H13794" s="18" t="n">
        <v>0</v>
      </c>
      <c r="I13794" s="18" t="n">
        <f aca="false">((I13793 + G13794) - H13794)</f>
        <v>-793.11</v>
      </c>
      <c r="J13794" s="18" t="n">
        <v>0</v>
      </c>
      <c r="K13794" s="19" t="n">
        <v>0</v>
      </c>
      <c r="L13794" s="17" t="s">
        <v>1399</v>
      </c>
    </row>
    <row r="13795" s="11" customFormat="true" ht="10.95" hidden="false" customHeight="true" outlineLevel="0" collapsed="false">
      <c r="A13795" s="16" t="n">
        <v>45155</v>
      </c>
      <c r="B13795" s="17" t="s">
        <v>4575</v>
      </c>
      <c r="C13795" s="17" t="s">
        <v>3614</v>
      </c>
      <c r="D13795" s="17" t="s">
        <v>2106</v>
      </c>
      <c r="E13795" s="17" t="s">
        <v>4576</v>
      </c>
      <c r="F13795" s="17" t="s">
        <v>2115</v>
      </c>
      <c r="G13795" s="18" t="n">
        <v>0</v>
      </c>
      <c r="H13795" s="18" t="n">
        <v>793.11</v>
      </c>
      <c r="I13795" s="18" t="n">
        <f aca="false">((I13794 + G13795) - H13795)</f>
        <v>-1586.22</v>
      </c>
      <c r="J13795" s="18" t="n">
        <v>0</v>
      </c>
      <c r="K13795" s="19" t="n">
        <v>0</v>
      </c>
      <c r="L13795" s="17" t="s">
        <v>1399</v>
      </c>
    </row>
    <row r="13796" s="11" customFormat="true" ht="10.95" hidden="false" customHeight="true" outlineLevel="0" collapsed="false">
      <c r="A13796" s="16" t="n">
        <v>45162</v>
      </c>
      <c r="B13796" s="17" t="s">
        <v>4575</v>
      </c>
      <c r="C13796" s="17" t="s">
        <v>3614</v>
      </c>
      <c r="D13796" s="17" t="s">
        <v>2106</v>
      </c>
      <c r="E13796" s="17" t="s">
        <v>4576</v>
      </c>
      <c r="F13796" s="17" t="s">
        <v>2116</v>
      </c>
      <c r="G13796" s="18" t="n">
        <v>0</v>
      </c>
      <c r="H13796" s="18" t="n">
        <v>793.11</v>
      </c>
      <c r="I13796" s="18" t="n">
        <f aca="false">((I13795 + G13796) - H13796)</f>
        <v>-2379.33</v>
      </c>
      <c r="J13796" s="18" t="n">
        <v>0</v>
      </c>
      <c r="K13796" s="19" t="n">
        <v>0</v>
      </c>
      <c r="L13796" s="17" t="s">
        <v>1399</v>
      </c>
    </row>
    <row r="13797" s="11" customFormat="true" ht="10.95" hidden="false" customHeight="true" outlineLevel="0" collapsed="false">
      <c r="A13797" s="16" t="n">
        <v>45169</v>
      </c>
      <c r="B13797" s="17" t="s">
        <v>4575</v>
      </c>
      <c r="C13797" s="17" t="s">
        <v>3614</v>
      </c>
      <c r="D13797" s="17" t="s">
        <v>2106</v>
      </c>
      <c r="E13797" s="17" t="s">
        <v>4576</v>
      </c>
      <c r="F13797" s="17" t="s">
        <v>2117</v>
      </c>
      <c r="G13797" s="18" t="n">
        <v>0</v>
      </c>
      <c r="H13797" s="18" t="n">
        <v>793.11</v>
      </c>
      <c r="I13797" s="18" t="n">
        <f aca="false">((I13796 + G13797) - H13797)</f>
        <v>-3172.44</v>
      </c>
      <c r="J13797" s="18" t="n">
        <v>0</v>
      </c>
      <c r="K13797" s="19" t="n">
        <v>0</v>
      </c>
      <c r="L13797" s="17" t="s">
        <v>1399</v>
      </c>
    </row>
    <row r="13798" s="11" customFormat="true" ht="10.95" hidden="false" customHeight="true" outlineLevel="0" collapsed="false">
      <c r="A13798" s="16" t="n">
        <v>45173</v>
      </c>
      <c r="B13798" s="17" t="s">
        <v>4575</v>
      </c>
      <c r="C13798" s="17" t="s">
        <v>3614</v>
      </c>
      <c r="D13798" s="17" t="s">
        <v>1407</v>
      </c>
      <c r="E13798" s="17" t="s">
        <v>4578</v>
      </c>
      <c r="F13798" s="17"/>
      <c r="G13798" s="18" t="n">
        <v>3172.44</v>
      </c>
      <c r="H13798" s="18" t="n">
        <v>0</v>
      </c>
      <c r="I13798" s="18" t="n">
        <f aca="false">((I13797 + G13798) - H13798)</f>
        <v>0</v>
      </c>
      <c r="J13798" s="18" t="n">
        <v>0</v>
      </c>
      <c r="K13798" s="19" t="n">
        <v>0</v>
      </c>
      <c r="L13798" s="17" t="s">
        <v>1399</v>
      </c>
    </row>
    <row r="13799" s="11" customFormat="true" ht="10.95" hidden="false" customHeight="true" outlineLevel="0" collapsed="false">
      <c r="A13799" s="16" t="n">
        <v>45176</v>
      </c>
      <c r="B13799" s="17" t="s">
        <v>4575</v>
      </c>
      <c r="C13799" s="17" t="s">
        <v>3614</v>
      </c>
      <c r="D13799" s="17" t="s">
        <v>2106</v>
      </c>
      <c r="E13799" s="17" t="s">
        <v>4576</v>
      </c>
      <c r="F13799" s="17" t="s">
        <v>2118</v>
      </c>
      <c r="G13799" s="18" t="n">
        <v>0</v>
      </c>
      <c r="H13799" s="18" t="n">
        <v>865.71</v>
      </c>
      <c r="I13799" s="18" t="n">
        <f aca="false">((I13798 + G13799) - H13799)</f>
        <v>-865.71</v>
      </c>
      <c r="J13799" s="18" t="n">
        <v>0</v>
      </c>
      <c r="K13799" s="19" t="n">
        <v>0</v>
      </c>
      <c r="L13799" s="17" t="s">
        <v>1399</v>
      </c>
    </row>
    <row r="13800" s="11" customFormat="true" ht="10.95" hidden="false" customHeight="true" outlineLevel="0" collapsed="false">
      <c r="A13800" s="16" t="n">
        <v>45183</v>
      </c>
      <c r="B13800" s="17" t="s">
        <v>4575</v>
      </c>
      <c r="C13800" s="17" t="s">
        <v>3614</v>
      </c>
      <c r="D13800" s="17" t="s">
        <v>2106</v>
      </c>
      <c r="E13800" s="17" t="s">
        <v>4576</v>
      </c>
      <c r="F13800" s="17" t="s">
        <v>2119</v>
      </c>
      <c r="G13800" s="18" t="n">
        <v>0</v>
      </c>
      <c r="H13800" s="18" t="n">
        <v>865.71</v>
      </c>
      <c r="I13800" s="18" t="n">
        <f aca="false">((I13799 + G13800) - H13800)</f>
        <v>-1731.42</v>
      </c>
      <c r="J13800" s="18" t="n">
        <v>0</v>
      </c>
      <c r="K13800" s="19" t="n">
        <v>0</v>
      </c>
      <c r="L13800" s="17" t="s">
        <v>1399</v>
      </c>
    </row>
    <row r="13801" s="11" customFormat="true" ht="10.95" hidden="false" customHeight="true" outlineLevel="0" collapsed="false">
      <c r="A13801" s="16" t="n">
        <v>45190</v>
      </c>
      <c r="B13801" s="17" t="s">
        <v>4575</v>
      </c>
      <c r="C13801" s="17" t="s">
        <v>3614</v>
      </c>
      <c r="D13801" s="17" t="s">
        <v>2106</v>
      </c>
      <c r="E13801" s="17" t="s">
        <v>4576</v>
      </c>
      <c r="F13801" s="17" t="s">
        <v>2120</v>
      </c>
      <c r="G13801" s="18" t="n">
        <v>0</v>
      </c>
      <c r="H13801" s="18" t="n">
        <v>793.11</v>
      </c>
      <c r="I13801" s="18" t="n">
        <f aca="false">((I13800 + G13801) - H13801)</f>
        <v>-2524.53</v>
      </c>
      <c r="J13801" s="18" t="n">
        <v>0</v>
      </c>
      <c r="K13801" s="19" t="n">
        <v>0</v>
      </c>
      <c r="L13801" s="17" t="s">
        <v>1399</v>
      </c>
    </row>
    <row r="13802" s="11" customFormat="true" ht="10.95" hidden="false" customHeight="true" outlineLevel="0" collapsed="false">
      <c r="A13802" s="16" t="n">
        <v>45197</v>
      </c>
      <c r="B13802" s="17" t="s">
        <v>4575</v>
      </c>
      <c r="C13802" s="17" t="s">
        <v>3614</v>
      </c>
      <c r="D13802" s="17" t="s">
        <v>2106</v>
      </c>
      <c r="E13802" s="17" t="s">
        <v>4576</v>
      </c>
      <c r="F13802" s="17" t="s">
        <v>2121</v>
      </c>
      <c r="G13802" s="18" t="n">
        <v>0</v>
      </c>
      <c r="H13802" s="18" t="n">
        <v>793.11</v>
      </c>
      <c r="I13802" s="18" t="n">
        <f aca="false">((I13801 + G13802) - H13802)</f>
        <v>-3317.64</v>
      </c>
      <c r="J13802" s="18" t="n">
        <v>0</v>
      </c>
      <c r="K13802" s="19" t="n">
        <v>0</v>
      </c>
      <c r="L13802" s="17" t="s">
        <v>1399</v>
      </c>
    </row>
    <row r="13803" s="11" customFormat="true" ht="10.95" hidden="false" customHeight="true" outlineLevel="0" collapsed="false">
      <c r="A13803" s="16" t="n">
        <v>45204</v>
      </c>
      <c r="B13803" s="17" t="s">
        <v>4575</v>
      </c>
      <c r="C13803" s="17" t="s">
        <v>3614</v>
      </c>
      <c r="D13803" s="17" t="s">
        <v>2106</v>
      </c>
      <c r="E13803" s="17" t="s">
        <v>4576</v>
      </c>
      <c r="F13803" s="17" t="s">
        <v>2122</v>
      </c>
      <c r="G13803" s="18" t="n">
        <v>0</v>
      </c>
      <c r="H13803" s="18" t="n">
        <v>793.11</v>
      </c>
      <c r="I13803" s="18" t="n">
        <f aca="false">((I13802 + G13803) - H13803)</f>
        <v>-4110.75</v>
      </c>
      <c r="J13803" s="18" t="n">
        <v>0</v>
      </c>
      <c r="K13803" s="19" t="n">
        <v>0</v>
      </c>
      <c r="L13803" s="17" t="s">
        <v>1399</v>
      </c>
    </row>
    <row r="13804" s="11" customFormat="true" ht="10.95" hidden="false" customHeight="true" outlineLevel="0" collapsed="false">
      <c r="A13804" s="16" t="n">
        <v>45204</v>
      </c>
      <c r="B13804" s="17" t="s">
        <v>4575</v>
      </c>
      <c r="C13804" s="17" t="s">
        <v>3614</v>
      </c>
      <c r="D13804" s="17" t="s">
        <v>1407</v>
      </c>
      <c r="E13804" s="17" t="s">
        <v>4579</v>
      </c>
      <c r="F13804" s="17"/>
      <c r="G13804" s="18" t="n">
        <v>4110.75</v>
      </c>
      <c r="H13804" s="18" t="n">
        <v>0</v>
      </c>
      <c r="I13804" s="18" t="n">
        <f aca="false">((I13803 + G13804) - H13804)</f>
        <v>0</v>
      </c>
      <c r="J13804" s="18" t="n">
        <v>0</v>
      </c>
      <c r="K13804" s="19" t="n">
        <v>0</v>
      </c>
      <c r="L13804" s="17" t="s">
        <v>1399</v>
      </c>
    </row>
    <row r="13805" s="11" customFormat="true" ht="10.95" hidden="false" customHeight="true" outlineLevel="0" collapsed="false">
      <c r="A13805" s="16" t="n">
        <v>45211</v>
      </c>
      <c r="B13805" s="17" t="s">
        <v>4575</v>
      </c>
      <c r="C13805" s="17" t="s">
        <v>3614</v>
      </c>
      <c r="D13805" s="17" t="s">
        <v>2106</v>
      </c>
      <c r="E13805" s="17" t="s">
        <v>4576</v>
      </c>
      <c r="F13805" s="17" t="s">
        <v>2123</v>
      </c>
      <c r="G13805" s="18" t="n">
        <v>0</v>
      </c>
      <c r="H13805" s="18" t="n">
        <v>793.11</v>
      </c>
      <c r="I13805" s="18" t="n">
        <f aca="false">((I13804 + G13805) - H13805)</f>
        <v>-793.11</v>
      </c>
      <c r="J13805" s="18" t="n">
        <v>0</v>
      </c>
      <c r="K13805" s="19" t="n">
        <v>0</v>
      </c>
      <c r="L13805" s="17" t="s">
        <v>1399</v>
      </c>
    </row>
    <row r="13806" s="11" customFormat="true" ht="10.95" hidden="false" customHeight="true" outlineLevel="0" collapsed="false">
      <c r="A13806" s="16" t="n">
        <v>45218</v>
      </c>
      <c r="B13806" s="17" t="s">
        <v>4575</v>
      </c>
      <c r="C13806" s="17" t="s">
        <v>3614</v>
      </c>
      <c r="D13806" s="17" t="s">
        <v>2106</v>
      </c>
      <c r="E13806" s="17" t="s">
        <v>4576</v>
      </c>
      <c r="F13806" s="17" t="s">
        <v>2124</v>
      </c>
      <c r="G13806" s="18" t="n">
        <v>0</v>
      </c>
      <c r="H13806" s="18" t="n">
        <v>793.11</v>
      </c>
      <c r="I13806" s="18" t="n">
        <f aca="false">((I13805 + G13806) - H13806)</f>
        <v>-1586.22</v>
      </c>
      <c r="J13806" s="18" t="n">
        <v>0</v>
      </c>
      <c r="K13806" s="19" t="n">
        <v>0</v>
      </c>
      <c r="L13806" s="17" t="s">
        <v>1399</v>
      </c>
    </row>
    <row r="13807" s="11" customFormat="true" ht="10.95" hidden="false" customHeight="true" outlineLevel="0" collapsed="false">
      <c r="A13807" s="16" t="n">
        <v>45225</v>
      </c>
      <c r="B13807" s="17" t="s">
        <v>4575</v>
      </c>
      <c r="C13807" s="17" t="s">
        <v>3614</v>
      </c>
      <c r="D13807" s="17" t="s">
        <v>2106</v>
      </c>
      <c r="E13807" s="17" t="s">
        <v>4576</v>
      </c>
      <c r="F13807" s="17" t="s">
        <v>2125</v>
      </c>
      <c r="G13807" s="18" t="n">
        <v>0</v>
      </c>
      <c r="H13807" s="18" t="n">
        <v>793.11</v>
      </c>
      <c r="I13807" s="18" t="n">
        <f aca="false">((I13806 + G13807) - H13807)</f>
        <v>-2379.33</v>
      </c>
      <c r="J13807" s="18" t="n">
        <v>0</v>
      </c>
      <c r="K13807" s="19" t="n">
        <v>0</v>
      </c>
      <c r="L13807" s="17" t="s">
        <v>1399</v>
      </c>
    </row>
    <row r="13808" s="11" customFormat="true" ht="10.95" hidden="false" customHeight="true" outlineLevel="0" collapsed="false">
      <c r="A13808" s="16" t="n">
        <v>45232</v>
      </c>
      <c r="B13808" s="17" t="s">
        <v>4575</v>
      </c>
      <c r="C13808" s="17" t="s">
        <v>3614</v>
      </c>
      <c r="D13808" s="17" t="s">
        <v>2106</v>
      </c>
      <c r="E13808" s="17" t="s">
        <v>4576</v>
      </c>
      <c r="F13808" s="17" t="s">
        <v>2126</v>
      </c>
      <c r="G13808" s="18" t="n">
        <v>0</v>
      </c>
      <c r="H13808" s="18" t="n">
        <v>793.11</v>
      </c>
      <c r="I13808" s="18" t="n">
        <f aca="false">((I13807 + G13808) - H13808)</f>
        <v>-3172.44</v>
      </c>
      <c r="J13808" s="18" t="n">
        <v>0</v>
      </c>
      <c r="K13808" s="19" t="n">
        <v>0</v>
      </c>
      <c r="L13808" s="17" t="s">
        <v>1399</v>
      </c>
    </row>
    <row r="13809" s="11" customFormat="true" ht="10.95" hidden="false" customHeight="true" outlineLevel="0" collapsed="false">
      <c r="A13809" s="16" t="n">
        <v>45236</v>
      </c>
      <c r="B13809" s="17" t="s">
        <v>4575</v>
      </c>
      <c r="C13809" s="17" t="s">
        <v>3614</v>
      </c>
      <c r="D13809" s="17" t="s">
        <v>1407</v>
      </c>
      <c r="E13809" s="17" t="s">
        <v>4580</v>
      </c>
      <c r="F13809" s="17"/>
      <c r="G13809" s="18" t="n">
        <v>3172.44</v>
      </c>
      <c r="H13809" s="18" t="n">
        <v>0</v>
      </c>
      <c r="I13809" s="18" t="n">
        <f aca="false">((I13808 + G13809) - H13809)</f>
        <v>0</v>
      </c>
      <c r="J13809" s="18" t="n">
        <v>0</v>
      </c>
      <c r="K13809" s="19" t="n">
        <v>0</v>
      </c>
      <c r="L13809" s="17" t="s">
        <v>1399</v>
      </c>
    </row>
    <row r="13810" s="11" customFormat="true" ht="10.95" hidden="false" customHeight="true" outlineLevel="0" collapsed="false">
      <c r="A13810" s="16" t="n">
        <v>45239</v>
      </c>
      <c r="B13810" s="17" t="s">
        <v>4575</v>
      </c>
      <c r="C13810" s="17" t="s">
        <v>3614</v>
      </c>
      <c r="D13810" s="17" t="s">
        <v>2106</v>
      </c>
      <c r="E13810" s="17" t="s">
        <v>4576</v>
      </c>
      <c r="F13810" s="17" t="s">
        <v>2128</v>
      </c>
      <c r="G13810" s="18" t="n">
        <v>0</v>
      </c>
      <c r="H13810" s="18" t="n">
        <v>793.11</v>
      </c>
      <c r="I13810" s="18" t="n">
        <f aca="false">((I13809 + G13810) - H13810)</f>
        <v>-793.11</v>
      </c>
      <c r="J13810" s="18" t="n">
        <v>0</v>
      </c>
      <c r="K13810" s="19" t="n">
        <v>0</v>
      </c>
      <c r="L13810" s="17" t="s">
        <v>1399</v>
      </c>
    </row>
    <row r="13811" s="11" customFormat="true" ht="10.95" hidden="false" customHeight="true" outlineLevel="0" collapsed="false">
      <c r="A13811" s="16" t="n">
        <v>45246</v>
      </c>
      <c r="B13811" s="17" t="s">
        <v>4575</v>
      </c>
      <c r="C13811" s="17" t="s">
        <v>3614</v>
      </c>
      <c r="D13811" s="17" t="s">
        <v>2106</v>
      </c>
      <c r="E13811" s="17" t="s">
        <v>4576</v>
      </c>
      <c r="F13811" s="17" t="s">
        <v>2129</v>
      </c>
      <c r="G13811" s="18" t="n">
        <v>0</v>
      </c>
      <c r="H13811" s="18" t="n">
        <v>793.11</v>
      </c>
      <c r="I13811" s="18" t="n">
        <f aca="false">((I13810 + G13811) - H13811)</f>
        <v>-1586.22</v>
      </c>
      <c r="J13811" s="18" t="n">
        <v>0</v>
      </c>
      <c r="K13811" s="19" t="n">
        <v>0</v>
      </c>
      <c r="L13811" s="17" t="s">
        <v>1399</v>
      </c>
    </row>
    <row r="13812" s="11" customFormat="true" ht="10.95" hidden="false" customHeight="true" outlineLevel="0" collapsed="false">
      <c r="A13812" s="16" t="n">
        <v>45253</v>
      </c>
      <c r="B13812" s="17" t="s">
        <v>4575</v>
      </c>
      <c r="C13812" s="17" t="s">
        <v>3614</v>
      </c>
      <c r="D13812" s="17" t="s">
        <v>2106</v>
      </c>
      <c r="E13812" s="17" t="s">
        <v>4576</v>
      </c>
      <c r="F13812" s="17" t="s">
        <v>2130</v>
      </c>
      <c r="G13812" s="18" t="n">
        <v>0</v>
      </c>
      <c r="H13812" s="18" t="n">
        <v>793.11</v>
      </c>
      <c r="I13812" s="18" t="n">
        <f aca="false">((I13811 + G13812) - H13812)</f>
        <v>-2379.33</v>
      </c>
      <c r="J13812" s="18" t="n">
        <v>0</v>
      </c>
      <c r="K13812" s="19" t="n">
        <v>0</v>
      </c>
      <c r="L13812" s="17" t="s">
        <v>1399</v>
      </c>
    </row>
    <row r="13813" s="11" customFormat="true" ht="10.95" hidden="false" customHeight="true" outlineLevel="0" collapsed="false">
      <c r="A13813" s="16" t="n">
        <v>45260</v>
      </c>
      <c r="B13813" s="17" t="s">
        <v>4575</v>
      </c>
      <c r="C13813" s="17" t="s">
        <v>3614</v>
      </c>
      <c r="D13813" s="17" t="s">
        <v>2106</v>
      </c>
      <c r="E13813" s="17" t="s">
        <v>4576</v>
      </c>
      <c r="F13813" s="17" t="s">
        <v>2131</v>
      </c>
      <c r="G13813" s="18" t="n">
        <v>0</v>
      </c>
      <c r="H13813" s="18" t="n">
        <v>938.31</v>
      </c>
      <c r="I13813" s="18" t="n">
        <f aca="false">((I13812 + G13813) - H13813)</f>
        <v>-3317.64</v>
      </c>
      <c r="J13813" s="18" t="n">
        <v>0</v>
      </c>
      <c r="K13813" s="19" t="n">
        <v>0</v>
      </c>
      <c r="L13813" s="17" t="s">
        <v>1399</v>
      </c>
    </row>
    <row r="13814" s="11" customFormat="true" ht="10.95" hidden="false" customHeight="true" outlineLevel="0" collapsed="false">
      <c r="A13814" s="16" t="n">
        <v>45264</v>
      </c>
      <c r="B13814" s="17" t="s">
        <v>4575</v>
      </c>
      <c r="C13814" s="17" t="s">
        <v>3614</v>
      </c>
      <c r="D13814" s="17" t="s">
        <v>1407</v>
      </c>
      <c r="E13814" s="17" t="s">
        <v>4581</v>
      </c>
      <c r="F13814" s="17"/>
      <c r="G13814" s="18" t="n">
        <v>3317.64</v>
      </c>
      <c r="H13814" s="18" t="n">
        <v>0</v>
      </c>
      <c r="I13814" s="18" t="n">
        <f aca="false">((I13813 + G13814) - H13814)</f>
        <v>0</v>
      </c>
      <c r="J13814" s="18" t="n">
        <v>0</v>
      </c>
      <c r="K13814" s="19" t="n">
        <v>0</v>
      </c>
      <c r="L13814" s="17" t="s">
        <v>1399</v>
      </c>
    </row>
    <row r="13815" s="11" customFormat="true" ht="10.95" hidden="false" customHeight="true" outlineLevel="0" collapsed="false">
      <c r="A13815" s="16" t="n">
        <v>45267</v>
      </c>
      <c r="B13815" s="17" t="s">
        <v>4575</v>
      </c>
      <c r="C13815" s="17" t="s">
        <v>3614</v>
      </c>
      <c r="D13815" s="17" t="s">
        <v>2106</v>
      </c>
      <c r="E13815" s="17" t="s">
        <v>4576</v>
      </c>
      <c r="F13815" s="17" t="s">
        <v>2132</v>
      </c>
      <c r="G13815" s="18" t="n">
        <v>0</v>
      </c>
      <c r="H13815" s="18" t="n">
        <v>865.71</v>
      </c>
      <c r="I13815" s="18" t="n">
        <f aca="false">((I13814 + G13815) - H13815)</f>
        <v>-865.71</v>
      </c>
      <c r="J13815" s="18" t="n">
        <v>0</v>
      </c>
      <c r="K13815" s="19" t="n">
        <v>0</v>
      </c>
      <c r="L13815" s="17" t="s">
        <v>1399</v>
      </c>
    </row>
    <row r="13816" s="11" customFormat="true" ht="10.95" hidden="false" customHeight="true" outlineLevel="0" collapsed="false">
      <c r="A13816" s="16" t="n">
        <v>45274</v>
      </c>
      <c r="B13816" s="17" t="s">
        <v>4575</v>
      </c>
      <c r="C13816" s="17" t="s">
        <v>3614</v>
      </c>
      <c r="D13816" s="17" t="s">
        <v>2106</v>
      </c>
      <c r="E13816" s="17" t="s">
        <v>4576</v>
      </c>
      <c r="F13816" s="17" t="s">
        <v>2133</v>
      </c>
      <c r="G13816" s="18" t="n">
        <v>0</v>
      </c>
      <c r="H13816" s="18" t="n">
        <v>793.11</v>
      </c>
      <c r="I13816" s="18" t="n">
        <f aca="false">((I13815 + G13816) - H13816)</f>
        <v>-1658.82</v>
      </c>
      <c r="J13816" s="18" t="n">
        <v>0</v>
      </c>
      <c r="K13816" s="19" t="n">
        <v>0</v>
      </c>
      <c r="L13816" s="17" t="s">
        <v>1399</v>
      </c>
    </row>
    <row r="13817" s="11" customFormat="true" ht="10.95" hidden="false" customHeight="true" outlineLevel="0" collapsed="false">
      <c r="A13817" s="16" t="n">
        <v>45281</v>
      </c>
      <c r="B13817" s="17" t="s">
        <v>4575</v>
      </c>
      <c r="C13817" s="17" t="s">
        <v>3614</v>
      </c>
      <c r="D13817" s="17" t="s">
        <v>2106</v>
      </c>
      <c r="E13817" s="17" t="s">
        <v>4576</v>
      </c>
      <c r="F13817" s="17" t="s">
        <v>2134</v>
      </c>
      <c r="G13817" s="18" t="n">
        <v>0</v>
      </c>
      <c r="H13817" s="18" t="n">
        <v>793.11</v>
      </c>
      <c r="I13817" s="18" t="n">
        <f aca="false">((I13816 + G13817) - H13817)</f>
        <v>-2451.93</v>
      </c>
      <c r="J13817" s="18" t="n">
        <v>0</v>
      </c>
      <c r="K13817" s="19" t="n">
        <v>0</v>
      </c>
      <c r="L13817" s="17" t="s">
        <v>1399</v>
      </c>
    </row>
    <row r="13818" s="11" customFormat="true" ht="10.95" hidden="false" customHeight="true" outlineLevel="0" collapsed="false">
      <c r="A13818" s="16" t="n">
        <v>45288</v>
      </c>
      <c r="B13818" s="17" t="s">
        <v>4575</v>
      </c>
      <c r="C13818" s="17" t="s">
        <v>3614</v>
      </c>
      <c r="D13818" s="17" t="s">
        <v>2106</v>
      </c>
      <c r="E13818" s="17" t="s">
        <v>4576</v>
      </c>
      <c r="F13818" s="17" t="s">
        <v>2135</v>
      </c>
      <c r="G13818" s="18" t="n">
        <v>0</v>
      </c>
      <c r="H13818" s="18" t="n">
        <v>793.11</v>
      </c>
      <c r="I13818" s="18" t="n">
        <f aca="false">((I13817 + G13818) - H13818)</f>
        <v>-3245.04</v>
      </c>
      <c r="J13818" s="18" t="n">
        <v>0</v>
      </c>
      <c r="K13818" s="19" t="n">
        <v>0</v>
      </c>
      <c r="L13818" s="17" t="s">
        <v>1399</v>
      </c>
    </row>
    <row r="13819" s="11" customFormat="true" ht="10.95" hidden="false" customHeight="true" outlineLevel="0" collapsed="false">
      <c r="A13819" s="16" t="n">
        <v>45295</v>
      </c>
      <c r="B13819" s="17" t="s">
        <v>4575</v>
      </c>
      <c r="C13819" s="17" t="s">
        <v>3614</v>
      </c>
      <c r="D13819" s="17" t="s">
        <v>2106</v>
      </c>
      <c r="E13819" s="17" t="s">
        <v>4576</v>
      </c>
      <c r="F13819" s="17" t="s">
        <v>2136</v>
      </c>
      <c r="G13819" s="18" t="n">
        <v>0</v>
      </c>
      <c r="H13819" s="18" t="n">
        <v>793.11</v>
      </c>
      <c r="I13819" s="18" t="n">
        <f aca="false">((I13818 + G13819) - H13819)</f>
        <v>-4038.15</v>
      </c>
      <c r="J13819" s="18" t="n">
        <v>0</v>
      </c>
      <c r="K13819" s="19" t="n">
        <v>0</v>
      </c>
      <c r="L13819" s="17" t="s">
        <v>1399</v>
      </c>
    </row>
    <row r="13820" s="11" customFormat="true" ht="10.95" hidden="false" customHeight="true" outlineLevel="0" collapsed="false">
      <c r="A13820" s="16" t="n">
        <v>45296</v>
      </c>
      <c r="B13820" s="17" t="s">
        <v>4575</v>
      </c>
      <c r="C13820" s="17" t="s">
        <v>3614</v>
      </c>
      <c r="D13820" s="17" t="s">
        <v>1407</v>
      </c>
      <c r="E13820" s="17" t="s">
        <v>4582</v>
      </c>
      <c r="F13820" s="17"/>
      <c r="G13820" s="18" t="n">
        <v>4038.15</v>
      </c>
      <c r="H13820" s="18" t="n">
        <v>0</v>
      </c>
      <c r="I13820" s="18" t="n">
        <f aca="false">((I13819 + G13820) - H13820)</f>
        <v>0</v>
      </c>
      <c r="J13820" s="18" t="n">
        <v>0</v>
      </c>
      <c r="K13820" s="19" t="n">
        <v>0</v>
      </c>
      <c r="L13820" s="17" t="s">
        <v>1399</v>
      </c>
    </row>
    <row r="13821" s="11" customFormat="true" ht="10.95" hidden="false" customHeight="true" outlineLevel="0" collapsed="false">
      <c r="A13821" s="16" t="n">
        <v>45302</v>
      </c>
      <c r="B13821" s="17" t="s">
        <v>4575</v>
      </c>
      <c r="C13821" s="17" t="s">
        <v>3614</v>
      </c>
      <c r="D13821" s="17" t="s">
        <v>2106</v>
      </c>
      <c r="E13821" s="17" t="s">
        <v>4576</v>
      </c>
      <c r="F13821" s="17" t="s">
        <v>2137</v>
      </c>
      <c r="G13821" s="18" t="n">
        <v>0</v>
      </c>
      <c r="H13821" s="18" t="n">
        <v>830.38</v>
      </c>
      <c r="I13821" s="18" t="n">
        <f aca="false">((I13820 + G13821) - H13821)</f>
        <v>-830.38</v>
      </c>
      <c r="J13821" s="18" t="n">
        <v>0</v>
      </c>
      <c r="K13821" s="19" t="n">
        <v>0</v>
      </c>
      <c r="L13821" s="17" t="s">
        <v>1399</v>
      </c>
    </row>
    <row r="13822" s="11" customFormat="true" ht="10.95" hidden="false" customHeight="true" outlineLevel="0" collapsed="false">
      <c r="A13822" s="16" t="n">
        <v>45309</v>
      </c>
      <c r="B13822" s="17" t="s">
        <v>4575</v>
      </c>
      <c r="C13822" s="17" t="s">
        <v>3614</v>
      </c>
      <c r="D13822" s="17" t="s">
        <v>2106</v>
      </c>
      <c r="E13822" s="17" t="s">
        <v>4576</v>
      </c>
      <c r="F13822" s="17" t="s">
        <v>2138</v>
      </c>
      <c r="G13822" s="18" t="n">
        <v>0</v>
      </c>
      <c r="H13822" s="18" t="n">
        <v>830.38</v>
      </c>
      <c r="I13822" s="18" t="n">
        <f aca="false">((I13821 + G13822) - H13822)</f>
        <v>-1660.76</v>
      </c>
      <c r="J13822" s="18" t="n">
        <v>0</v>
      </c>
      <c r="K13822" s="19" t="n">
        <v>0</v>
      </c>
      <c r="L13822" s="17" t="s">
        <v>1399</v>
      </c>
    </row>
    <row r="13823" s="11" customFormat="true" ht="10.95" hidden="false" customHeight="true" outlineLevel="0" collapsed="false">
      <c r="A13823" s="16" t="n">
        <v>45316</v>
      </c>
      <c r="B13823" s="17" t="s">
        <v>4575</v>
      </c>
      <c r="C13823" s="17" t="s">
        <v>3614</v>
      </c>
      <c r="D13823" s="17" t="s">
        <v>2106</v>
      </c>
      <c r="E13823" s="17" t="s">
        <v>4576</v>
      </c>
      <c r="F13823" s="17" t="s">
        <v>2139</v>
      </c>
      <c r="G13823" s="18" t="n">
        <v>0</v>
      </c>
      <c r="H13823" s="18" t="n">
        <v>902.98</v>
      </c>
      <c r="I13823" s="18" t="n">
        <f aca="false">((I13822 + G13823) - H13823)</f>
        <v>-2563.74</v>
      </c>
      <c r="J13823" s="18" t="n">
        <v>0</v>
      </c>
      <c r="K13823" s="19" t="n">
        <v>0</v>
      </c>
      <c r="L13823" s="17" t="s">
        <v>1399</v>
      </c>
    </row>
    <row r="13824" s="11" customFormat="true" ht="10.95" hidden="false" customHeight="true" outlineLevel="0" collapsed="false">
      <c r="A13824" s="16" t="n">
        <v>45322</v>
      </c>
      <c r="B13824" s="17" t="s">
        <v>4575</v>
      </c>
      <c r="C13824" s="17" t="s">
        <v>3614</v>
      </c>
      <c r="D13824" s="17" t="s">
        <v>1407</v>
      </c>
      <c r="E13824" s="17" t="s">
        <v>4583</v>
      </c>
      <c r="F13824" s="17"/>
      <c r="G13824" s="18" t="n">
        <v>3466.72</v>
      </c>
      <c r="H13824" s="18" t="n">
        <v>0</v>
      </c>
      <c r="I13824" s="18" t="n">
        <f aca="false">((I13823 + G13824) - H13824)</f>
        <v>902.98</v>
      </c>
      <c r="J13824" s="18" t="n">
        <v>0</v>
      </c>
      <c r="K13824" s="19" t="n">
        <v>0</v>
      </c>
      <c r="L13824" s="17" t="s">
        <v>1399</v>
      </c>
    </row>
    <row r="13825" s="11" customFormat="true" ht="10.95" hidden="false" customHeight="true" outlineLevel="0" collapsed="false">
      <c r="A13825" s="16" t="n">
        <v>45323</v>
      </c>
      <c r="B13825" s="17" t="s">
        <v>4575</v>
      </c>
      <c r="C13825" s="17" t="s">
        <v>3614</v>
      </c>
      <c r="D13825" s="17" t="s">
        <v>2106</v>
      </c>
      <c r="E13825" s="17" t="s">
        <v>4576</v>
      </c>
      <c r="F13825" s="17" t="s">
        <v>2140</v>
      </c>
      <c r="G13825" s="18" t="n">
        <v>0</v>
      </c>
      <c r="H13825" s="18" t="n">
        <v>902.98</v>
      </c>
      <c r="I13825" s="18" t="n">
        <f aca="false">((I13824 + G13825) - H13825)</f>
        <v>0</v>
      </c>
      <c r="J13825" s="18" t="n">
        <v>0</v>
      </c>
      <c r="K13825" s="19" t="n">
        <v>0</v>
      </c>
      <c r="L13825" s="17" t="s">
        <v>1399</v>
      </c>
    </row>
    <row r="13826" s="11" customFormat="true" ht="10.95" hidden="false" customHeight="true" outlineLevel="0" collapsed="false">
      <c r="A13826" s="16" t="n">
        <v>45330</v>
      </c>
      <c r="B13826" s="17" t="s">
        <v>4575</v>
      </c>
      <c r="C13826" s="17" t="s">
        <v>3614</v>
      </c>
      <c r="D13826" s="17" t="s">
        <v>2106</v>
      </c>
      <c r="E13826" s="17" t="s">
        <v>4576</v>
      </c>
      <c r="F13826" s="17" t="s">
        <v>2141</v>
      </c>
      <c r="G13826" s="18" t="n">
        <v>0</v>
      </c>
      <c r="H13826" s="18" t="n">
        <v>830.38</v>
      </c>
      <c r="I13826" s="18" t="n">
        <f aca="false">((I13825 + G13826) - H13826)</f>
        <v>-830.38</v>
      </c>
      <c r="J13826" s="18" t="n">
        <v>0</v>
      </c>
      <c r="K13826" s="19" t="n">
        <v>0</v>
      </c>
      <c r="L13826" s="17" t="s">
        <v>1399</v>
      </c>
    </row>
    <row r="13827" s="11" customFormat="true" ht="10.95" hidden="false" customHeight="true" outlineLevel="0" collapsed="false">
      <c r="A13827" s="16" t="n">
        <v>45337</v>
      </c>
      <c r="B13827" s="17" t="s">
        <v>4575</v>
      </c>
      <c r="C13827" s="17" t="s">
        <v>3614</v>
      </c>
      <c r="D13827" s="17" t="s">
        <v>2106</v>
      </c>
      <c r="E13827" s="17" t="s">
        <v>4576</v>
      </c>
      <c r="F13827" s="17" t="s">
        <v>2142</v>
      </c>
      <c r="G13827" s="18" t="n">
        <v>0</v>
      </c>
      <c r="H13827" s="18" t="n">
        <v>830.38</v>
      </c>
      <c r="I13827" s="18" t="n">
        <f aca="false">((I13826 + G13827) - H13827)</f>
        <v>-1660.76</v>
      </c>
      <c r="J13827" s="18" t="n">
        <v>0</v>
      </c>
      <c r="K13827" s="19" t="n">
        <v>0</v>
      </c>
      <c r="L13827" s="17" t="s">
        <v>1399</v>
      </c>
    </row>
    <row r="13828" s="11" customFormat="true" ht="10.95" hidden="false" customHeight="true" outlineLevel="0" collapsed="false">
      <c r="A13828" s="16" t="n">
        <v>45344</v>
      </c>
      <c r="B13828" s="17" t="s">
        <v>4575</v>
      </c>
      <c r="C13828" s="17" t="s">
        <v>3614</v>
      </c>
      <c r="D13828" s="17" t="s">
        <v>2106</v>
      </c>
      <c r="E13828" s="17" t="s">
        <v>4576</v>
      </c>
      <c r="F13828" s="17" t="s">
        <v>2143</v>
      </c>
      <c r="G13828" s="18" t="n">
        <v>0</v>
      </c>
      <c r="H13828" s="18" t="n">
        <v>830.38</v>
      </c>
      <c r="I13828" s="18" t="n">
        <f aca="false">((I13827 + G13828) - H13828)</f>
        <v>-2491.14</v>
      </c>
      <c r="J13828" s="18" t="n">
        <v>0</v>
      </c>
      <c r="K13828" s="19" t="n">
        <v>0</v>
      </c>
      <c r="L13828" s="17" t="s">
        <v>1399</v>
      </c>
    </row>
    <row r="13829" s="11" customFormat="true" ht="10.95" hidden="false" customHeight="true" outlineLevel="0" collapsed="false">
      <c r="A13829" s="16" t="n">
        <v>45351</v>
      </c>
      <c r="B13829" s="17" t="s">
        <v>4575</v>
      </c>
      <c r="C13829" s="17" t="s">
        <v>3614</v>
      </c>
      <c r="D13829" s="17" t="s">
        <v>2106</v>
      </c>
      <c r="E13829" s="17" t="s">
        <v>4576</v>
      </c>
      <c r="F13829" s="17" t="s">
        <v>2144</v>
      </c>
      <c r="G13829" s="18" t="n">
        <v>0</v>
      </c>
      <c r="H13829" s="18" t="n">
        <v>902.98</v>
      </c>
      <c r="I13829" s="18" t="n">
        <f aca="false">((I13828 + G13829) - H13829)</f>
        <v>-3394.12</v>
      </c>
      <c r="J13829" s="18" t="n">
        <v>0</v>
      </c>
      <c r="K13829" s="19" t="n">
        <v>0</v>
      </c>
      <c r="L13829" s="17" t="s">
        <v>1399</v>
      </c>
    </row>
    <row r="13830" s="11" customFormat="true" ht="10.95" hidden="false" customHeight="true" outlineLevel="0" collapsed="false">
      <c r="A13830" s="16" t="n">
        <v>45356</v>
      </c>
      <c r="B13830" s="17" t="s">
        <v>4575</v>
      </c>
      <c r="C13830" s="17" t="s">
        <v>3614</v>
      </c>
      <c r="D13830" s="17" t="s">
        <v>1407</v>
      </c>
      <c r="E13830" s="17" t="s">
        <v>4584</v>
      </c>
      <c r="F13830" s="17"/>
      <c r="G13830" s="18" t="n">
        <v>3394.12</v>
      </c>
      <c r="H13830" s="18" t="n">
        <v>0</v>
      </c>
      <c r="I13830" s="18" t="n">
        <f aca="false">((I13829 + G13830) - H13830)</f>
        <v>0</v>
      </c>
      <c r="J13830" s="18" t="n">
        <v>0</v>
      </c>
      <c r="K13830" s="19" t="n">
        <v>0</v>
      </c>
      <c r="L13830" s="17" t="s">
        <v>1399</v>
      </c>
    </row>
    <row r="13831" s="11" customFormat="true" ht="10.95" hidden="false" customHeight="true" outlineLevel="0" collapsed="false">
      <c r="A13831" s="16" t="n">
        <v>45358</v>
      </c>
      <c r="B13831" s="17" t="s">
        <v>4575</v>
      </c>
      <c r="C13831" s="17" t="s">
        <v>3614</v>
      </c>
      <c r="D13831" s="17" t="s">
        <v>2106</v>
      </c>
      <c r="E13831" s="17" t="s">
        <v>4576</v>
      </c>
      <c r="F13831" s="17" t="s">
        <v>2146</v>
      </c>
      <c r="G13831" s="18" t="n">
        <v>0</v>
      </c>
      <c r="H13831" s="18" t="n">
        <v>902.98</v>
      </c>
      <c r="I13831" s="18" t="n">
        <f aca="false">((I13830 + G13831) - H13831)</f>
        <v>-902.98</v>
      </c>
      <c r="J13831" s="18" t="n">
        <v>0</v>
      </c>
      <c r="K13831" s="19" t="n">
        <v>0</v>
      </c>
      <c r="L13831" s="17" t="s">
        <v>1399</v>
      </c>
    </row>
    <row r="13832" s="11" customFormat="true" ht="10.95" hidden="false" customHeight="true" outlineLevel="0" collapsed="false">
      <c r="A13832" s="16" t="n">
        <v>45365</v>
      </c>
      <c r="B13832" s="17" t="s">
        <v>4575</v>
      </c>
      <c r="C13832" s="17" t="s">
        <v>3614</v>
      </c>
      <c r="D13832" s="17" t="s">
        <v>2106</v>
      </c>
      <c r="E13832" s="17" t="s">
        <v>4576</v>
      </c>
      <c r="F13832" s="17" t="s">
        <v>2147</v>
      </c>
      <c r="G13832" s="18" t="n">
        <v>0</v>
      </c>
      <c r="H13832" s="18" t="n">
        <v>830.38</v>
      </c>
      <c r="I13832" s="18" t="n">
        <f aca="false">((I13831 + G13832) - H13832)</f>
        <v>-1733.36</v>
      </c>
      <c r="J13832" s="18" t="n">
        <v>0</v>
      </c>
      <c r="K13832" s="19" t="n">
        <v>0</v>
      </c>
      <c r="L13832" s="17" t="s">
        <v>1399</v>
      </c>
    </row>
    <row r="13833" s="11" customFormat="true" ht="10.95" hidden="false" customHeight="true" outlineLevel="0" collapsed="false">
      <c r="A13833" s="16" t="n">
        <v>45372</v>
      </c>
      <c r="B13833" s="17" t="s">
        <v>4575</v>
      </c>
      <c r="C13833" s="17" t="s">
        <v>3614</v>
      </c>
      <c r="D13833" s="17" t="s">
        <v>2106</v>
      </c>
      <c r="E13833" s="17" t="s">
        <v>4576</v>
      </c>
      <c r="F13833" s="17" t="s">
        <v>2148</v>
      </c>
      <c r="G13833" s="18" t="n">
        <v>0</v>
      </c>
      <c r="H13833" s="18" t="n">
        <v>830.38</v>
      </c>
      <c r="I13833" s="18" t="n">
        <f aca="false">((I13832 + G13833) - H13833)</f>
        <v>-2563.74</v>
      </c>
      <c r="J13833" s="18" t="n">
        <v>0</v>
      </c>
      <c r="K13833" s="19" t="n">
        <v>0</v>
      </c>
      <c r="L13833" s="17" t="s">
        <v>1399</v>
      </c>
    </row>
    <row r="13834" s="11" customFormat="true" ht="10.95" hidden="false" customHeight="true" outlineLevel="0" collapsed="false">
      <c r="A13834" s="16" t="n">
        <v>45379</v>
      </c>
      <c r="B13834" s="17" t="s">
        <v>4575</v>
      </c>
      <c r="C13834" s="17" t="s">
        <v>3614</v>
      </c>
      <c r="D13834" s="17" t="s">
        <v>2106</v>
      </c>
      <c r="E13834" s="17" t="s">
        <v>4576</v>
      </c>
      <c r="F13834" s="17" t="s">
        <v>2149</v>
      </c>
      <c r="G13834" s="18" t="n">
        <v>0</v>
      </c>
      <c r="H13834" s="18" t="n">
        <v>830.38</v>
      </c>
      <c r="I13834" s="18" t="n">
        <f aca="false">((I13833 + G13834) - H13834)</f>
        <v>-3394.12</v>
      </c>
      <c r="J13834" s="18" t="n">
        <v>0</v>
      </c>
      <c r="K13834" s="19" t="n">
        <v>0</v>
      </c>
      <c r="L13834" s="17" t="s">
        <v>1399</v>
      </c>
    </row>
    <row r="13835" s="11" customFormat="true" ht="10.95" hidden="false" customHeight="true" outlineLevel="0" collapsed="false">
      <c r="A13835" s="16" t="n">
        <v>45386</v>
      </c>
      <c r="B13835" s="17" t="s">
        <v>4575</v>
      </c>
      <c r="C13835" s="17" t="s">
        <v>3614</v>
      </c>
      <c r="D13835" s="17" t="s">
        <v>2106</v>
      </c>
      <c r="E13835" s="17" t="s">
        <v>4576</v>
      </c>
      <c r="F13835" s="17" t="s">
        <v>2150</v>
      </c>
      <c r="G13835" s="18" t="n">
        <v>0</v>
      </c>
      <c r="H13835" s="18" t="n">
        <v>830.38</v>
      </c>
      <c r="I13835" s="18" t="n">
        <f aca="false">((I13834 + G13835) - H13835)</f>
        <v>-4224.5</v>
      </c>
      <c r="J13835" s="18" t="n">
        <v>0</v>
      </c>
      <c r="K13835" s="19" t="n">
        <v>0</v>
      </c>
      <c r="L13835" s="17" t="s">
        <v>1399</v>
      </c>
    </row>
    <row r="13836" s="11" customFormat="true" ht="10.95" hidden="false" customHeight="true" outlineLevel="0" collapsed="false">
      <c r="A13836" s="16" t="n">
        <v>45387</v>
      </c>
      <c r="B13836" s="17" t="s">
        <v>4575</v>
      </c>
      <c r="C13836" s="17" t="s">
        <v>3614</v>
      </c>
      <c r="D13836" s="17" t="s">
        <v>1407</v>
      </c>
      <c r="E13836" s="17" t="s">
        <v>4585</v>
      </c>
      <c r="F13836" s="17"/>
      <c r="G13836" s="18" t="n">
        <v>4224.5</v>
      </c>
      <c r="H13836" s="18" t="n">
        <v>0</v>
      </c>
      <c r="I13836" s="18" t="n">
        <f aca="false">((I13835 + G13836) - H13836)</f>
        <v>0</v>
      </c>
      <c r="J13836" s="18" t="n">
        <v>0</v>
      </c>
      <c r="K13836" s="19" t="n">
        <v>0</v>
      </c>
      <c r="L13836" s="17" t="s">
        <v>1399</v>
      </c>
    </row>
    <row r="13837" s="11" customFormat="true" ht="10.95" hidden="false" customHeight="true" outlineLevel="0" collapsed="false">
      <c r="A13837" s="16" t="n">
        <v>45393</v>
      </c>
      <c r="B13837" s="17" t="s">
        <v>4575</v>
      </c>
      <c r="C13837" s="17" t="s">
        <v>3614</v>
      </c>
      <c r="D13837" s="17" t="s">
        <v>2106</v>
      </c>
      <c r="E13837" s="17" t="s">
        <v>4576</v>
      </c>
      <c r="F13837" s="17" t="s">
        <v>2151</v>
      </c>
      <c r="G13837" s="18" t="n">
        <v>0</v>
      </c>
      <c r="H13837" s="18" t="n">
        <v>830.38</v>
      </c>
      <c r="I13837" s="18" t="n">
        <f aca="false">((I13836 + G13837) - H13837)</f>
        <v>-830.38</v>
      </c>
      <c r="J13837" s="18" t="n">
        <v>0</v>
      </c>
      <c r="K13837" s="19" t="n">
        <v>0</v>
      </c>
      <c r="L13837" s="17" t="s">
        <v>1399</v>
      </c>
    </row>
    <row r="13838" s="11" customFormat="true" ht="10.95" hidden="false" customHeight="true" outlineLevel="0" collapsed="false">
      <c r="A13838" s="16" t="n">
        <v>45400</v>
      </c>
      <c r="B13838" s="17" t="s">
        <v>4575</v>
      </c>
      <c r="C13838" s="17" t="s">
        <v>3614</v>
      </c>
      <c r="D13838" s="17" t="s">
        <v>2106</v>
      </c>
      <c r="E13838" s="17" t="s">
        <v>4576</v>
      </c>
      <c r="F13838" s="17" t="s">
        <v>2152</v>
      </c>
      <c r="G13838" s="18" t="n">
        <v>0</v>
      </c>
      <c r="H13838" s="18" t="n">
        <v>830.38</v>
      </c>
      <c r="I13838" s="18" t="n">
        <f aca="false">((I13837 + G13838) - H13838)</f>
        <v>-1660.76</v>
      </c>
      <c r="J13838" s="18" t="n">
        <v>0</v>
      </c>
      <c r="K13838" s="19" t="n">
        <v>0</v>
      </c>
      <c r="L13838" s="17" t="s">
        <v>1399</v>
      </c>
    </row>
    <row r="13839" s="11" customFormat="true" ht="10.95" hidden="false" customHeight="true" outlineLevel="0" collapsed="false">
      <c r="A13839" s="16" t="n">
        <v>45407</v>
      </c>
      <c r="B13839" s="17" t="s">
        <v>4575</v>
      </c>
      <c r="C13839" s="17" t="s">
        <v>3614</v>
      </c>
      <c r="D13839" s="17" t="s">
        <v>2106</v>
      </c>
      <c r="E13839" s="17" t="s">
        <v>4576</v>
      </c>
      <c r="F13839" s="17" t="s">
        <v>2153</v>
      </c>
      <c r="G13839" s="18" t="n">
        <v>0</v>
      </c>
      <c r="H13839" s="18" t="n">
        <v>830.38</v>
      </c>
      <c r="I13839" s="18" t="n">
        <f aca="false">((I13838 + G13839) - H13839)</f>
        <v>-2491.14</v>
      </c>
      <c r="J13839" s="18" t="n">
        <v>0</v>
      </c>
      <c r="K13839" s="19" t="n">
        <v>0</v>
      </c>
      <c r="L13839" s="17" t="s">
        <v>1399</v>
      </c>
    </row>
    <row r="13840" s="11" customFormat="true" ht="10.95" hidden="false" customHeight="true" outlineLevel="0" collapsed="false">
      <c r="A13840" s="16" t="n">
        <v>45414</v>
      </c>
      <c r="B13840" s="17" t="s">
        <v>4575</v>
      </c>
      <c r="C13840" s="17" t="s">
        <v>3614</v>
      </c>
      <c r="D13840" s="17" t="s">
        <v>2106</v>
      </c>
      <c r="E13840" s="17" t="s">
        <v>4576</v>
      </c>
      <c r="F13840" s="17" t="s">
        <v>2154</v>
      </c>
      <c r="G13840" s="18" t="n">
        <v>0</v>
      </c>
      <c r="H13840" s="18" t="n">
        <v>830.38</v>
      </c>
      <c r="I13840" s="18" t="n">
        <f aca="false">((I13839 + G13840) - H13840)</f>
        <v>-3321.52</v>
      </c>
      <c r="J13840" s="18" t="n">
        <v>0</v>
      </c>
      <c r="K13840" s="19" t="n">
        <v>0</v>
      </c>
      <c r="L13840" s="17" t="s">
        <v>1399</v>
      </c>
    </row>
    <row r="13841" s="11" customFormat="true" ht="10.95" hidden="false" customHeight="true" outlineLevel="0" collapsed="false">
      <c r="A13841" s="16" t="n">
        <v>45414</v>
      </c>
      <c r="B13841" s="17" t="s">
        <v>4575</v>
      </c>
      <c r="C13841" s="17" t="s">
        <v>3614</v>
      </c>
      <c r="D13841" s="17" t="s">
        <v>1407</v>
      </c>
      <c r="E13841" s="17" t="s">
        <v>4586</v>
      </c>
      <c r="F13841" s="17"/>
      <c r="G13841" s="18" t="n">
        <v>3321.52</v>
      </c>
      <c r="H13841" s="18" t="n">
        <v>0</v>
      </c>
      <c r="I13841" s="18" t="n">
        <f aca="false">((I13840 + G13841) - H13841)</f>
        <v>0</v>
      </c>
      <c r="J13841" s="18" t="n">
        <v>0</v>
      </c>
      <c r="K13841" s="19" t="n">
        <v>0</v>
      </c>
      <c r="L13841" s="17" t="s">
        <v>1399</v>
      </c>
    </row>
    <row r="13842" s="11" customFormat="true" ht="10.95" hidden="false" customHeight="true" outlineLevel="0" collapsed="false">
      <c r="A13842" s="16" t="n">
        <v>45421</v>
      </c>
      <c r="B13842" s="17" t="s">
        <v>4575</v>
      </c>
      <c r="C13842" s="17" t="s">
        <v>3614</v>
      </c>
      <c r="D13842" s="17" t="s">
        <v>2106</v>
      </c>
      <c r="E13842" s="17" t="s">
        <v>4576</v>
      </c>
      <c r="F13842" s="17" t="s">
        <v>2155</v>
      </c>
      <c r="G13842" s="18" t="n">
        <v>0</v>
      </c>
      <c r="H13842" s="18" t="n">
        <v>1120.38</v>
      </c>
      <c r="I13842" s="18" t="n">
        <f aca="false">((I13841 + G13842) - H13842)</f>
        <v>-1120.38</v>
      </c>
      <c r="J13842" s="18" t="n">
        <v>0</v>
      </c>
      <c r="K13842" s="19" t="n">
        <v>0</v>
      </c>
      <c r="L13842" s="17" t="s">
        <v>1399</v>
      </c>
    </row>
    <row r="13843" s="11" customFormat="true" ht="10.95" hidden="false" customHeight="true" outlineLevel="0" collapsed="false">
      <c r="A13843" s="16" t="n">
        <v>45428</v>
      </c>
      <c r="B13843" s="17" t="s">
        <v>4575</v>
      </c>
      <c r="C13843" s="17" t="s">
        <v>3614</v>
      </c>
      <c r="D13843" s="17" t="s">
        <v>2106</v>
      </c>
      <c r="E13843" s="17" t="s">
        <v>4576</v>
      </c>
      <c r="F13843" s="17" t="s">
        <v>2171</v>
      </c>
      <c r="G13843" s="18" t="n">
        <v>0</v>
      </c>
      <c r="H13843" s="18" t="n">
        <v>1120.38</v>
      </c>
      <c r="I13843" s="18" t="n">
        <f aca="false">((I13842 + G13843) - H13843)</f>
        <v>-2240.76</v>
      </c>
      <c r="J13843" s="18" t="n">
        <v>0</v>
      </c>
      <c r="K13843" s="19" t="n">
        <v>0</v>
      </c>
      <c r="L13843" s="17" t="s">
        <v>1399</v>
      </c>
    </row>
    <row r="13844" s="11" customFormat="true" ht="10.95" hidden="false" customHeight="true" outlineLevel="0" collapsed="false">
      <c r="A13844" s="16" t="n">
        <v>45435</v>
      </c>
      <c r="B13844" s="17" t="s">
        <v>4575</v>
      </c>
      <c r="C13844" s="17" t="s">
        <v>3614</v>
      </c>
      <c r="D13844" s="17" t="s">
        <v>2106</v>
      </c>
      <c r="E13844" s="17" t="s">
        <v>4576</v>
      </c>
      <c r="F13844" s="17" t="s">
        <v>2172</v>
      </c>
      <c r="G13844" s="18" t="n">
        <v>0</v>
      </c>
      <c r="H13844" s="18" t="n">
        <v>1120.38</v>
      </c>
      <c r="I13844" s="18" t="n">
        <f aca="false">((I13843 + G13844) - H13844)</f>
        <v>-3361.14</v>
      </c>
      <c r="J13844" s="18" t="n">
        <v>0</v>
      </c>
      <c r="K13844" s="19" t="n">
        <v>0</v>
      </c>
      <c r="L13844" s="17" t="s">
        <v>1399</v>
      </c>
    </row>
    <row r="13845" s="11" customFormat="true" ht="10.95" hidden="false" customHeight="true" outlineLevel="0" collapsed="false">
      <c r="A13845" s="16" t="n">
        <v>45441</v>
      </c>
      <c r="B13845" s="17" t="s">
        <v>4575</v>
      </c>
      <c r="C13845" s="17" t="s">
        <v>3614</v>
      </c>
      <c r="D13845" s="17" t="s">
        <v>1407</v>
      </c>
      <c r="E13845" s="17" t="s">
        <v>4587</v>
      </c>
      <c r="F13845" s="17"/>
      <c r="G13845" s="18" t="n">
        <v>4481.52</v>
      </c>
      <c r="H13845" s="18" t="n">
        <v>0</v>
      </c>
      <c r="I13845" s="18" t="n">
        <f aca="false">((I13844 + G13845) - H13845)</f>
        <v>1120.38</v>
      </c>
      <c r="J13845" s="18" t="n">
        <v>0</v>
      </c>
      <c r="K13845" s="19" t="n">
        <v>0</v>
      </c>
      <c r="L13845" s="17" t="s">
        <v>1399</v>
      </c>
    </row>
    <row r="13846" s="11" customFormat="true" ht="10.95" hidden="false" customHeight="true" outlineLevel="0" collapsed="false">
      <c r="A13846" s="16" t="n">
        <v>45442</v>
      </c>
      <c r="B13846" s="17" t="s">
        <v>4575</v>
      </c>
      <c r="C13846" s="17" t="s">
        <v>3614</v>
      </c>
      <c r="D13846" s="17" t="s">
        <v>2106</v>
      </c>
      <c r="E13846" s="17" t="s">
        <v>4576</v>
      </c>
      <c r="F13846" s="17" t="s">
        <v>2173</v>
      </c>
      <c r="G13846" s="18" t="n">
        <v>0</v>
      </c>
      <c r="H13846" s="18" t="n">
        <v>1120.38</v>
      </c>
      <c r="I13846" s="18" t="n">
        <f aca="false">((I13845 + G13846) - H13846)</f>
        <v>0</v>
      </c>
      <c r="J13846" s="18" t="n">
        <v>0</v>
      </c>
      <c r="K13846" s="19" t="n">
        <v>0</v>
      </c>
      <c r="L13846" s="17" t="s">
        <v>1399</v>
      </c>
    </row>
    <row r="13847" s="11" customFormat="true" ht="10.95" hidden="false" customHeight="true" outlineLevel="0" collapsed="false">
      <c r="A13847" s="16" t="n">
        <v>45449</v>
      </c>
      <c r="B13847" s="17" t="s">
        <v>4575</v>
      </c>
      <c r="C13847" s="17" t="s">
        <v>3614</v>
      </c>
      <c r="D13847" s="17" t="s">
        <v>2106</v>
      </c>
      <c r="E13847" s="17" t="s">
        <v>4576</v>
      </c>
      <c r="F13847" s="17" t="s">
        <v>2174</v>
      </c>
      <c r="G13847" s="18" t="n">
        <v>0</v>
      </c>
      <c r="H13847" s="18" t="n">
        <v>3300</v>
      </c>
      <c r="I13847" s="18" t="n">
        <f aca="false">((I13846 + G13847) - H13847)</f>
        <v>-3300</v>
      </c>
      <c r="J13847" s="18" t="n">
        <v>0</v>
      </c>
      <c r="K13847" s="19" t="n">
        <v>0</v>
      </c>
      <c r="L13847" s="17" t="s">
        <v>1399</v>
      </c>
    </row>
    <row r="13848" s="11" customFormat="true" ht="10.95" hidden="false" customHeight="true" outlineLevel="0" collapsed="false">
      <c r="A13848" s="16" t="n">
        <v>45449</v>
      </c>
      <c r="B13848" s="17" t="s">
        <v>4575</v>
      </c>
      <c r="C13848" s="17" t="s">
        <v>3614</v>
      </c>
      <c r="D13848" s="17" t="s">
        <v>2106</v>
      </c>
      <c r="E13848" s="17" t="s">
        <v>4576</v>
      </c>
      <c r="F13848" s="17" t="s">
        <v>2175</v>
      </c>
      <c r="G13848" s="18" t="n">
        <v>0</v>
      </c>
      <c r="H13848" s="18" t="n">
        <v>1120.38</v>
      </c>
      <c r="I13848" s="18" t="n">
        <f aca="false">((I13847 + G13848) - H13848)</f>
        <v>-4420.38</v>
      </c>
      <c r="J13848" s="18" t="n">
        <v>0</v>
      </c>
      <c r="K13848" s="19" t="n">
        <v>0</v>
      </c>
      <c r="L13848" s="17" t="s">
        <v>1399</v>
      </c>
    </row>
    <row r="13849" s="11" customFormat="true" ht="10.95" hidden="false" customHeight="true" outlineLevel="0" collapsed="false">
      <c r="A13849" s="16" t="n">
        <v>45456</v>
      </c>
      <c r="B13849" s="17" t="s">
        <v>4575</v>
      </c>
      <c r="C13849" s="17" t="s">
        <v>3614</v>
      </c>
      <c r="D13849" s="17" t="s">
        <v>2106</v>
      </c>
      <c r="E13849" s="17" t="s">
        <v>4576</v>
      </c>
      <c r="F13849" s="17" t="s">
        <v>2176</v>
      </c>
      <c r="G13849" s="18" t="n">
        <v>0</v>
      </c>
      <c r="H13849" s="18" t="n">
        <v>1120.38</v>
      </c>
      <c r="I13849" s="18" t="n">
        <f aca="false">((I13848 + G13849) - H13849)</f>
        <v>-5540.76</v>
      </c>
      <c r="J13849" s="18" t="n">
        <v>0</v>
      </c>
      <c r="K13849" s="19" t="n">
        <v>0</v>
      </c>
      <c r="L13849" s="17" t="s">
        <v>1399</v>
      </c>
    </row>
    <row r="13850" s="11" customFormat="true" ht="10.95" hidden="false" customHeight="true" outlineLevel="0" collapsed="false">
      <c r="A13850" s="16" t="n">
        <v>45463</v>
      </c>
      <c r="B13850" s="17" t="s">
        <v>4575</v>
      </c>
      <c r="C13850" s="17" t="s">
        <v>3614</v>
      </c>
      <c r="D13850" s="17" t="s">
        <v>2106</v>
      </c>
      <c r="E13850" s="17" t="s">
        <v>4576</v>
      </c>
      <c r="F13850" s="17" t="s">
        <v>2177</v>
      </c>
      <c r="G13850" s="18" t="n">
        <v>0</v>
      </c>
      <c r="H13850" s="18" t="n">
        <v>1120.38</v>
      </c>
      <c r="I13850" s="18" t="n">
        <f aca="false">((I13849 + G13850) - H13850)</f>
        <v>-6661.14</v>
      </c>
      <c r="J13850" s="18" t="n">
        <v>0</v>
      </c>
      <c r="K13850" s="19" t="n">
        <v>0</v>
      </c>
      <c r="L13850" s="17" t="s">
        <v>1399</v>
      </c>
    </row>
    <row r="13851" s="11" customFormat="true" ht="10.95" hidden="false" customHeight="true" outlineLevel="0" collapsed="false">
      <c r="A13851" s="16" t="n">
        <v>45463</v>
      </c>
      <c r="B13851" s="17" t="s">
        <v>4575</v>
      </c>
      <c r="C13851" s="17" t="s">
        <v>3614</v>
      </c>
      <c r="D13851" s="17" t="s">
        <v>2106</v>
      </c>
      <c r="E13851" s="17" t="s">
        <v>4576</v>
      </c>
      <c r="F13851" s="17" t="s">
        <v>2178</v>
      </c>
      <c r="G13851" s="18" t="n">
        <v>0</v>
      </c>
      <c r="H13851" s="18" t="n">
        <v>10282.09</v>
      </c>
      <c r="I13851" s="18" t="n">
        <f aca="false">((I13850 + G13851) - H13851)</f>
        <v>-16943.23</v>
      </c>
      <c r="J13851" s="18" t="n">
        <v>0</v>
      </c>
      <c r="K13851" s="19" t="n">
        <v>0</v>
      </c>
      <c r="L13851" s="17" t="s">
        <v>1399</v>
      </c>
    </row>
    <row r="13852" s="11" customFormat="true" ht="10.95" hidden="false" customHeight="true" outlineLevel="0" collapsed="false">
      <c r="A13852" s="16" t="n">
        <v>45470</v>
      </c>
      <c r="B13852" s="17" t="s">
        <v>4575</v>
      </c>
      <c r="C13852" s="17" t="s">
        <v>3614</v>
      </c>
      <c r="D13852" s="17" t="s">
        <v>2106</v>
      </c>
      <c r="E13852" s="17" t="s">
        <v>4576</v>
      </c>
      <c r="F13852" s="17" t="s">
        <v>2179</v>
      </c>
      <c r="G13852" s="18" t="n">
        <v>0</v>
      </c>
      <c r="H13852" s="18" t="n">
        <v>1120.38</v>
      </c>
      <c r="I13852" s="18" t="n">
        <f aca="false">((I13851 + G13852) - H13852)</f>
        <v>-18063.61</v>
      </c>
      <c r="J13852" s="18" t="n">
        <v>0</v>
      </c>
      <c r="K13852" s="19" t="n">
        <v>0</v>
      </c>
      <c r="L13852" s="17" t="s">
        <v>1399</v>
      </c>
    </row>
    <row r="13853" s="11" customFormat="true" ht="10.95" hidden="false" customHeight="true" outlineLevel="0" collapsed="false">
      <c r="A13853" s="21" t="s">
        <v>4588</v>
      </c>
      <c r="B13853" s="21"/>
      <c r="C13853" s="21"/>
      <c r="D13853" s="21"/>
      <c r="E13853" s="21"/>
      <c r="F13853" s="21"/>
      <c r="G13853" s="22" t="n">
        <f aca="false">SUM(G13786:G13852)</f>
        <v>43754.77</v>
      </c>
      <c r="H13853" s="22" t="n">
        <f aca="false">SUM(H13786:H13852)</f>
        <v>58395.7</v>
      </c>
      <c r="I13853" s="22" t="n">
        <f aca="false">I13852</f>
        <v>-18063.61</v>
      </c>
      <c r="J13853" s="22" t="n">
        <f aca="false">SUM(J13786:J13852)</f>
        <v>0</v>
      </c>
      <c r="K13853" s="21"/>
      <c r="L13853" s="21"/>
    </row>
    <row r="13854" s="11" customFormat="true" ht="10.95" hidden="false" customHeight="true" outlineLevel="0" collapsed="false">
      <c r="A13854" s="21" t="s">
        <v>784</v>
      </c>
      <c r="B13854" s="21"/>
      <c r="C13854" s="21"/>
      <c r="D13854" s="21"/>
      <c r="E13854" s="21"/>
      <c r="F13854" s="21"/>
      <c r="G13854" s="22" t="n">
        <v>0</v>
      </c>
      <c r="H13854" s="22" t="n">
        <v>14640.93</v>
      </c>
      <c r="I13854" s="22" t="n">
        <v>0</v>
      </c>
      <c r="J13854" s="22" t="n">
        <v>0</v>
      </c>
      <c r="K13854" s="21"/>
      <c r="L13854" s="21"/>
    </row>
    <row r="13855" s="11" customFormat="true" ht="10.95" hidden="false" customHeight="true" outlineLevel="0" collapsed="false">
      <c r="A13855" s="9" t="s">
        <v>785</v>
      </c>
      <c r="B13855" s="9"/>
      <c r="C13855" s="9"/>
      <c r="D13855" s="9"/>
      <c r="E13855" s="9"/>
      <c r="F13855" s="9"/>
      <c r="G13855" s="10" t="n">
        <v>0</v>
      </c>
      <c r="H13855" s="10" t="n">
        <v>18063.61</v>
      </c>
      <c r="I13855" s="10" t="n">
        <f aca="false">I13852</f>
        <v>-18063.61</v>
      </c>
      <c r="J13855" s="10" t="n">
        <v>0</v>
      </c>
      <c r="K13855" s="9"/>
      <c r="L13855" s="9"/>
    </row>
    <row r="13856" customFormat="false" ht="13.35" hidden="false" customHeight="true" outlineLevel="0" collapsed="false"/>
    <row r="13857" s="7" customFormat="true" ht="12.1" hidden="false" customHeight="true" outlineLevel="0" collapsed="false">
      <c r="A13857" s="8" t="s">
        <v>4589</v>
      </c>
      <c r="B13857" s="8"/>
      <c r="C13857" s="8"/>
      <c r="D13857" s="8"/>
      <c r="E13857" s="8"/>
      <c r="F13857" s="8"/>
      <c r="G13857" s="8"/>
      <c r="H13857" s="8"/>
      <c r="I13857" s="8"/>
      <c r="J13857" s="8"/>
      <c r="K13857" s="8"/>
      <c r="L13857" s="8"/>
    </row>
    <row r="13858" s="11" customFormat="true" ht="10.95" hidden="false" customHeight="true" outlineLevel="0" collapsed="false">
      <c r="A13858" s="9" t="s">
        <v>16</v>
      </c>
      <c r="B13858" s="9"/>
      <c r="C13858" s="9"/>
      <c r="D13858" s="9"/>
      <c r="E13858" s="9"/>
      <c r="F13858" s="9"/>
      <c r="G13858" s="10" t="n">
        <v>0</v>
      </c>
      <c r="H13858" s="10" t="n">
        <v>0</v>
      </c>
      <c r="I13858" s="10" t="n">
        <f aca="false">(G13858 - H13858)</f>
        <v>0</v>
      </c>
      <c r="J13858" s="10" t="n">
        <v>0</v>
      </c>
      <c r="K13858" s="9"/>
      <c r="L13858" s="9"/>
    </row>
    <row r="13859" s="11" customFormat="true" ht="10.95" hidden="false" customHeight="true" outlineLevel="0" collapsed="false">
      <c r="A13859" s="12" t="n">
        <v>45473</v>
      </c>
      <c r="B13859" s="13" t="s">
        <v>4590</v>
      </c>
      <c r="C13859" s="13" t="s">
        <v>3614</v>
      </c>
      <c r="D13859" s="13" t="s">
        <v>1396</v>
      </c>
      <c r="E13859" s="13" t="s">
        <v>3747</v>
      </c>
      <c r="F13859" s="13" t="s">
        <v>3748</v>
      </c>
      <c r="G13859" s="14" t="n">
        <v>0</v>
      </c>
      <c r="H13859" s="14" t="n">
        <v>55164</v>
      </c>
      <c r="I13859" s="14" t="n">
        <f aca="false">((I13858 + G13859) - H13859)</f>
        <v>-55164</v>
      </c>
      <c r="J13859" s="14" t="n">
        <v>0</v>
      </c>
      <c r="K13859" s="15" t="n">
        <v>0</v>
      </c>
      <c r="L13859" s="13" t="s">
        <v>1399</v>
      </c>
    </row>
    <row r="13860" s="11" customFormat="true" ht="10.95" hidden="false" customHeight="true" outlineLevel="0" collapsed="false">
      <c r="A13860" s="16" t="n">
        <v>45473</v>
      </c>
      <c r="B13860" s="17" t="s">
        <v>4590</v>
      </c>
      <c r="C13860" s="17" t="s">
        <v>3614</v>
      </c>
      <c r="D13860" s="17" t="s">
        <v>1396</v>
      </c>
      <c r="E13860" s="17" t="s">
        <v>3747</v>
      </c>
      <c r="F13860" s="17" t="s">
        <v>3748</v>
      </c>
      <c r="G13860" s="18" t="n">
        <v>0</v>
      </c>
      <c r="H13860" s="18" t="n">
        <v>13897</v>
      </c>
      <c r="I13860" s="18" t="n">
        <f aca="false">((I13859 + G13860) - H13860)</f>
        <v>-69061</v>
      </c>
      <c r="J13860" s="18" t="n">
        <v>0</v>
      </c>
      <c r="K13860" s="19" t="n">
        <v>0</v>
      </c>
      <c r="L13860" s="17" t="s">
        <v>1399</v>
      </c>
    </row>
    <row r="13861" s="11" customFormat="true" ht="10.95" hidden="false" customHeight="true" outlineLevel="0" collapsed="false">
      <c r="A13861" s="21" t="s">
        <v>4591</v>
      </c>
      <c r="B13861" s="21"/>
      <c r="C13861" s="21"/>
      <c r="D13861" s="21"/>
      <c r="E13861" s="21"/>
      <c r="F13861" s="21"/>
      <c r="G13861" s="22" t="n">
        <f aca="false">SUM(G13859:G13860)</f>
        <v>0</v>
      </c>
      <c r="H13861" s="22" t="n">
        <f aca="false">SUM(H13859:H13860)</f>
        <v>69061</v>
      </c>
      <c r="I13861" s="22" t="n">
        <f aca="false">I13860</f>
        <v>-69061</v>
      </c>
      <c r="J13861" s="22" t="n">
        <f aca="false">SUM(J13859:J13860)</f>
        <v>0</v>
      </c>
      <c r="K13861" s="21"/>
      <c r="L13861" s="21"/>
    </row>
    <row r="13862" s="11" customFormat="true" ht="10.95" hidden="false" customHeight="true" outlineLevel="0" collapsed="false">
      <c r="A13862" s="21" t="s">
        <v>784</v>
      </c>
      <c r="B13862" s="21"/>
      <c r="C13862" s="21"/>
      <c r="D13862" s="21"/>
      <c r="E13862" s="21"/>
      <c r="F13862" s="21"/>
      <c r="G13862" s="22" t="n">
        <v>0</v>
      </c>
      <c r="H13862" s="22" t="n">
        <v>69061</v>
      </c>
      <c r="I13862" s="22" t="n">
        <v>0</v>
      </c>
      <c r="J13862" s="22" t="n">
        <v>0</v>
      </c>
      <c r="K13862" s="21"/>
      <c r="L13862" s="21"/>
    </row>
    <row r="13863" s="11" customFormat="true" ht="10.95" hidden="false" customHeight="true" outlineLevel="0" collapsed="false">
      <c r="A13863" s="9" t="s">
        <v>785</v>
      </c>
      <c r="B13863" s="9"/>
      <c r="C13863" s="9"/>
      <c r="D13863" s="9"/>
      <c r="E13863" s="9"/>
      <c r="F13863" s="9"/>
      <c r="G13863" s="10" t="n">
        <v>0</v>
      </c>
      <c r="H13863" s="10" t="n">
        <v>69061</v>
      </c>
      <c r="I13863" s="10" t="n">
        <f aca="false">I13860</f>
        <v>-69061</v>
      </c>
      <c r="J13863" s="10" t="n">
        <v>0</v>
      </c>
      <c r="K13863" s="9"/>
      <c r="L13863" s="9"/>
    </row>
    <row r="13864" customFormat="false" ht="13.35" hidden="false" customHeight="true" outlineLevel="0" collapsed="false"/>
    <row r="13865" s="7" customFormat="true" ht="12.1" hidden="false" customHeight="true" outlineLevel="0" collapsed="false">
      <c r="A13865" s="8" t="s">
        <v>4592</v>
      </c>
      <c r="B13865" s="8"/>
      <c r="C13865" s="8"/>
      <c r="D13865" s="8"/>
      <c r="E13865" s="8"/>
      <c r="F13865" s="8"/>
      <c r="G13865" s="8"/>
      <c r="H13865" s="8"/>
      <c r="I13865" s="8"/>
      <c r="J13865" s="8"/>
      <c r="K13865" s="8"/>
      <c r="L13865" s="8"/>
    </row>
    <row r="13866" s="11" customFormat="true" ht="10.95" hidden="false" customHeight="true" outlineLevel="0" collapsed="false">
      <c r="A13866" s="9" t="s">
        <v>16</v>
      </c>
      <c r="B13866" s="9"/>
      <c r="C13866" s="9"/>
      <c r="D13866" s="9"/>
      <c r="E13866" s="9"/>
      <c r="F13866" s="9"/>
      <c r="G13866" s="10" t="n">
        <v>0.01</v>
      </c>
      <c r="H13866" s="10" t="n">
        <v>0</v>
      </c>
      <c r="I13866" s="10" t="n">
        <f aca="false">(G13866 - H13866)</f>
        <v>0.01</v>
      </c>
      <c r="J13866" s="10" t="n">
        <v>0</v>
      </c>
      <c r="K13866" s="9"/>
      <c r="L13866" s="9"/>
    </row>
    <row r="13867" s="11" customFormat="true" ht="10.95" hidden="false" customHeight="true" outlineLevel="0" collapsed="false">
      <c r="A13867" s="12" t="n">
        <v>45473</v>
      </c>
      <c r="B13867" s="13" t="s">
        <v>4593</v>
      </c>
      <c r="C13867" s="13" t="s">
        <v>3614</v>
      </c>
      <c r="D13867" s="13" t="s">
        <v>1396</v>
      </c>
      <c r="E13867" s="13" t="s">
        <v>1744</v>
      </c>
      <c r="F13867" s="13" t="s">
        <v>1745</v>
      </c>
      <c r="G13867" s="14" t="n">
        <v>0</v>
      </c>
      <c r="H13867" s="14" t="n">
        <v>0.01</v>
      </c>
      <c r="I13867" s="14" t="n">
        <f aca="false">((I13866 + G13867) - H13867)</f>
        <v>0</v>
      </c>
      <c r="J13867" s="14" t="n">
        <v>0</v>
      </c>
      <c r="K13867" s="15" t="n">
        <v>0</v>
      </c>
      <c r="L13867" s="13" t="s">
        <v>1399</v>
      </c>
    </row>
    <row r="13868" s="11" customFormat="true" ht="10.95" hidden="false" customHeight="true" outlineLevel="0" collapsed="false">
      <c r="A13868" s="21" t="s">
        <v>4594</v>
      </c>
      <c r="B13868" s="21"/>
      <c r="C13868" s="21"/>
      <c r="D13868" s="21"/>
      <c r="E13868" s="21"/>
      <c r="F13868" s="21"/>
      <c r="G13868" s="22" t="n">
        <f aca="false">G13867</f>
        <v>0</v>
      </c>
      <c r="H13868" s="22" t="n">
        <f aca="false">H13867</f>
        <v>0.01</v>
      </c>
      <c r="I13868" s="22" t="n">
        <f aca="false">I13867</f>
        <v>0</v>
      </c>
      <c r="J13868" s="22" t="n">
        <f aca="false">J13867</f>
        <v>0</v>
      </c>
      <c r="K13868" s="21"/>
      <c r="L13868" s="21"/>
    </row>
    <row r="13869" s="11" customFormat="true" ht="10.95" hidden="false" customHeight="true" outlineLevel="0" collapsed="false">
      <c r="A13869" s="21" t="s">
        <v>784</v>
      </c>
      <c r="B13869" s="21"/>
      <c r="C13869" s="21"/>
      <c r="D13869" s="21"/>
      <c r="E13869" s="21"/>
      <c r="F13869" s="21"/>
      <c r="G13869" s="22" t="n">
        <v>0</v>
      </c>
      <c r="H13869" s="22" t="n">
        <v>0.01</v>
      </c>
      <c r="I13869" s="22" t="n">
        <v>0</v>
      </c>
      <c r="J13869" s="22" t="n">
        <v>0</v>
      </c>
      <c r="K13869" s="21"/>
      <c r="L13869" s="21"/>
    </row>
    <row r="13870" s="11" customFormat="true" ht="10.95" hidden="false" customHeight="true" outlineLevel="0" collapsed="false">
      <c r="A13870" s="9" t="s">
        <v>785</v>
      </c>
      <c r="B13870" s="9"/>
      <c r="C13870" s="9"/>
      <c r="D13870" s="9"/>
      <c r="E13870" s="9"/>
      <c r="F13870" s="9"/>
      <c r="G13870" s="10" t="n">
        <v>0</v>
      </c>
      <c r="H13870" s="10" t="n">
        <v>0</v>
      </c>
      <c r="I13870" s="10" t="n">
        <f aca="false">I13867</f>
        <v>0</v>
      </c>
      <c r="J13870" s="10" t="n">
        <v>0</v>
      </c>
      <c r="K13870" s="9"/>
      <c r="L13870" s="9"/>
    </row>
    <row r="13871" customFormat="false" ht="13.35" hidden="false" customHeight="true" outlineLevel="0" collapsed="false"/>
    <row r="13872" s="7" customFormat="true" ht="12.1" hidden="false" customHeight="true" outlineLevel="0" collapsed="false">
      <c r="A13872" s="8" t="s">
        <v>4595</v>
      </c>
      <c r="B13872" s="8"/>
      <c r="C13872" s="8"/>
      <c r="D13872" s="8"/>
      <c r="E13872" s="8"/>
      <c r="F13872" s="8"/>
      <c r="G13872" s="8"/>
      <c r="H13872" s="8"/>
      <c r="I13872" s="8"/>
      <c r="J13872" s="8"/>
      <c r="K13872" s="8"/>
      <c r="L13872" s="8"/>
    </row>
    <row r="13873" s="11" customFormat="true" ht="10.95" hidden="false" customHeight="true" outlineLevel="0" collapsed="false">
      <c r="A13873" s="9" t="s">
        <v>16</v>
      </c>
      <c r="B13873" s="9"/>
      <c r="C13873" s="9"/>
      <c r="D13873" s="9"/>
      <c r="E13873" s="9"/>
      <c r="F13873" s="9"/>
      <c r="G13873" s="10" t="n">
        <v>0</v>
      </c>
      <c r="H13873" s="10" t="n">
        <v>0</v>
      </c>
      <c r="I13873" s="10" t="n">
        <f aca="false">(G13873 - H13873)</f>
        <v>0</v>
      </c>
      <c r="J13873" s="10" t="n">
        <v>0</v>
      </c>
      <c r="K13873" s="9"/>
      <c r="L13873" s="9"/>
    </row>
    <row r="13874" s="11" customFormat="true" ht="10.95" hidden="false" customHeight="true" outlineLevel="0" collapsed="false">
      <c r="A13874" s="12" t="n">
        <v>45133</v>
      </c>
      <c r="B13874" s="13" t="s">
        <v>4596</v>
      </c>
      <c r="C13874" s="13" t="s">
        <v>3614</v>
      </c>
      <c r="D13874" s="13" t="s">
        <v>1407</v>
      </c>
      <c r="E13874" s="13" t="s">
        <v>4597</v>
      </c>
      <c r="F13874" s="13"/>
      <c r="G13874" s="14" t="n">
        <v>712.8</v>
      </c>
      <c r="H13874" s="14" t="n">
        <v>0</v>
      </c>
      <c r="I13874" s="14" t="n">
        <f aca="false">((I13873 + G13874) - H13874)</f>
        <v>712.8</v>
      </c>
      <c r="J13874" s="14" t="n">
        <v>0</v>
      </c>
      <c r="K13874" s="15" t="n">
        <v>0</v>
      </c>
      <c r="L13874" s="13" t="s">
        <v>1399</v>
      </c>
    </row>
    <row r="13875" s="11" customFormat="true" ht="10.95" hidden="false" customHeight="true" outlineLevel="0" collapsed="false">
      <c r="A13875" s="16" t="n">
        <v>45143</v>
      </c>
      <c r="B13875" s="17" t="s">
        <v>4596</v>
      </c>
      <c r="C13875" s="17" t="s">
        <v>3614</v>
      </c>
      <c r="D13875" s="17" t="s">
        <v>1407</v>
      </c>
      <c r="E13875" s="17" t="s">
        <v>4598</v>
      </c>
      <c r="F13875" s="17"/>
      <c r="G13875" s="18" t="n">
        <v>282.18</v>
      </c>
      <c r="H13875" s="18" t="n">
        <v>0</v>
      </c>
      <c r="I13875" s="18" t="n">
        <f aca="false">((I13874 + G13875) - H13875)</f>
        <v>994.98</v>
      </c>
      <c r="J13875" s="18" t="n">
        <v>0</v>
      </c>
      <c r="K13875" s="19" t="n">
        <v>0</v>
      </c>
      <c r="L13875" s="17" t="s">
        <v>1399</v>
      </c>
    </row>
    <row r="13876" s="11" customFormat="true" ht="10.95" hidden="false" customHeight="true" outlineLevel="0" collapsed="false">
      <c r="A13876" s="16" t="n">
        <v>45146</v>
      </c>
      <c r="B13876" s="17" t="s">
        <v>4596</v>
      </c>
      <c r="C13876" s="17" t="s">
        <v>3614</v>
      </c>
      <c r="D13876" s="17" t="s">
        <v>1276</v>
      </c>
      <c r="E13876" s="17" t="s">
        <v>4598</v>
      </c>
      <c r="F13876" s="17"/>
      <c r="G13876" s="18" t="n">
        <v>0</v>
      </c>
      <c r="H13876" s="18" t="n">
        <v>282.42</v>
      </c>
      <c r="I13876" s="18" t="n">
        <f aca="false">((I13875 + G13876) - H13876)</f>
        <v>712.56</v>
      </c>
      <c r="J13876" s="18" t="n">
        <v>0</v>
      </c>
      <c r="K13876" s="19" t="n">
        <v>0</v>
      </c>
      <c r="L13876" s="17" t="s">
        <v>1399</v>
      </c>
    </row>
    <row r="13877" s="11" customFormat="true" ht="10.95" hidden="false" customHeight="true" outlineLevel="0" collapsed="false">
      <c r="A13877" s="16" t="n">
        <v>45149</v>
      </c>
      <c r="B13877" s="17" t="s">
        <v>4596</v>
      </c>
      <c r="C13877" s="17" t="s">
        <v>3614</v>
      </c>
      <c r="D13877" s="17" t="s">
        <v>1276</v>
      </c>
      <c r="E13877" s="17" t="s">
        <v>4599</v>
      </c>
      <c r="F13877" s="17"/>
      <c r="G13877" s="18" t="n">
        <v>0</v>
      </c>
      <c r="H13877" s="18" t="n">
        <v>712.8</v>
      </c>
      <c r="I13877" s="18" t="n">
        <f aca="false">((I13876 + G13877) - H13877)</f>
        <v>-0.240000000000009</v>
      </c>
      <c r="J13877" s="18" t="n">
        <v>0</v>
      </c>
      <c r="K13877" s="19" t="n">
        <v>0</v>
      </c>
      <c r="L13877" s="17" t="s">
        <v>1399</v>
      </c>
    </row>
    <row r="13878" s="11" customFormat="true" ht="10.95" hidden="false" customHeight="true" outlineLevel="0" collapsed="false">
      <c r="A13878" s="16" t="n">
        <v>45279</v>
      </c>
      <c r="B13878" s="17" t="s">
        <v>4596</v>
      </c>
      <c r="C13878" s="17" t="s">
        <v>3614</v>
      </c>
      <c r="D13878" s="17" t="s">
        <v>1407</v>
      </c>
      <c r="E13878" s="17" t="s">
        <v>4600</v>
      </c>
      <c r="F13878" s="17"/>
      <c r="G13878" s="18" t="n">
        <v>83</v>
      </c>
      <c r="H13878" s="18" t="n">
        <v>0</v>
      </c>
      <c r="I13878" s="18" t="n">
        <f aca="false">((I13877 + G13878) - H13878)</f>
        <v>82.76</v>
      </c>
      <c r="J13878" s="18" t="n">
        <v>0</v>
      </c>
      <c r="K13878" s="19" t="n">
        <v>0</v>
      </c>
      <c r="L13878" s="17" t="s">
        <v>1399</v>
      </c>
    </row>
    <row r="13879" s="11" customFormat="true" ht="10.95" hidden="false" customHeight="true" outlineLevel="0" collapsed="false">
      <c r="A13879" s="16" t="n">
        <v>45282</v>
      </c>
      <c r="B13879" s="17" t="s">
        <v>4596</v>
      </c>
      <c r="C13879" s="17" t="s">
        <v>3614</v>
      </c>
      <c r="D13879" s="17" t="s">
        <v>1276</v>
      </c>
      <c r="E13879" s="17" t="s">
        <v>4601</v>
      </c>
      <c r="F13879" s="17"/>
      <c r="G13879" s="18" t="n">
        <v>0</v>
      </c>
      <c r="H13879" s="18" t="n">
        <v>83</v>
      </c>
      <c r="I13879" s="18" t="n">
        <f aca="false">((I13878 + G13879) - H13879)</f>
        <v>-0.240000000000009</v>
      </c>
      <c r="J13879" s="18" t="n">
        <v>0</v>
      </c>
      <c r="K13879" s="19" t="n">
        <v>0</v>
      </c>
      <c r="L13879" s="17" t="s">
        <v>1399</v>
      </c>
    </row>
    <row r="13880" s="11" customFormat="true" ht="10.95" hidden="false" customHeight="true" outlineLevel="0" collapsed="false">
      <c r="A13880" s="16" t="n">
        <v>45288</v>
      </c>
      <c r="B13880" s="17" t="s">
        <v>4596</v>
      </c>
      <c r="C13880" s="17" t="s">
        <v>3614</v>
      </c>
      <c r="D13880" s="17" t="s">
        <v>1407</v>
      </c>
      <c r="E13880" s="17" t="s">
        <v>4602</v>
      </c>
      <c r="F13880" s="17"/>
      <c r="G13880" s="18" t="n">
        <v>99.72</v>
      </c>
      <c r="H13880" s="18" t="n">
        <v>0</v>
      </c>
      <c r="I13880" s="18" t="n">
        <f aca="false">((I13879 + G13880) - H13880)</f>
        <v>99.48</v>
      </c>
      <c r="J13880" s="18" t="n">
        <v>0</v>
      </c>
      <c r="K13880" s="19" t="n">
        <v>0</v>
      </c>
      <c r="L13880" s="17" t="s">
        <v>1399</v>
      </c>
    </row>
    <row r="13881" s="11" customFormat="true" ht="10.95" hidden="false" customHeight="true" outlineLevel="0" collapsed="false">
      <c r="A13881" s="16" t="n">
        <v>45290</v>
      </c>
      <c r="B13881" s="17" t="s">
        <v>4596</v>
      </c>
      <c r="C13881" s="17" t="s">
        <v>3614</v>
      </c>
      <c r="D13881" s="17" t="s">
        <v>1276</v>
      </c>
      <c r="E13881" s="17" t="s">
        <v>4603</v>
      </c>
      <c r="F13881" s="17"/>
      <c r="G13881" s="18" t="n">
        <v>0</v>
      </c>
      <c r="H13881" s="18" t="n">
        <v>98.96</v>
      </c>
      <c r="I13881" s="18" t="n">
        <f aca="false">((I13880 + G13881) - H13881)</f>
        <v>0.519999999999996</v>
      </c>
      <c r="J13881" s="18" t="n">
        <v>0</v>
      </c>
      <c r="K13881" s="19" t="n">
        <v>0</v>
      </c>
      <c r="L13881" s="17" t="s">
        <v>1399</v>
      </c>
    </row>
    <row r="13882" s="11" customFormat="true" ht="10.95" hidden="false" customHeight="true" outlineLevel="0" collapsed="false">
      <c r="A13882" s="16" t="n">
        <v>45324</v>
      </c>
      <c r="B13882" s="17" t="s">
        <v>4596</v>
      </c>
      <c r="C13882" s="17" t="s">
        <v>3614</v>
      </c>
      <c r="D13882" s="17" t="s">
        <v>1407</v>
      </c>
      <c r="E13882" s="17" t="s">
        <v>4604</v>
      </c>
      <c r="F13882" s="17"/>
      <c r="G13882" s="18" t="n">
        <v>0</v>
      </c>
      <c r="H13882" s="18" t="n">
        <v>9905.94</v>
      </c>
      <c r="I13882" s="18" t="n">
        <f aca="false">((I13881 + G13882) - H13882)</f>
        <v>-9905.42</v>
      </c>
      <c r="J13882" s="18" t="n">
        <v>0</v>
      </c>
      <c r="K13882" s="19" t="n">
        <v>0</v>
      </c>
      <c r="L13882" s="17" t="s">
        <v>1399</v>
      </c>
    </row>
    <row r="13883" s="11" customFormat="true" ht="10.95" hidden="false" customHeight="true" outlineLevel="0" collapsed="false">
      <c r="A13883" s="16" t="n">
        <v>45325</v>
      </c>
      <c r="B13883" s="17" t="s">
        <v>4596</v>
      </c>
      <c r="C13883" s="17" t="s">
        <v>3614</v>
      </c>
      <c r="D13883" s="17" t="s">
        <v>1407</v>
      </c>
      <c r="E13883" s="17" t="s">
        <v>4604</v>
      </c>
      <c r="F13883" s="17"/>
      <c r="G13883" s="18" t="n">
        <v>9905.94</v>
      </c>
      <c r="H13883" s="18" t="n">
        <v>0</v>
      </c>
      <c r="I13883" s="18" t="n">
        <f aca="false">((I13882 + G13883) - H13883)</f>
        <v>0.520000000000437</v>
      </c>
      <c r="J13883" s="18" t="n">
        <v>0</v>
      </c>
      <c r="K13883" s="19" t="n">
        <v>0</v>
      </c>
      <c r="L13883" s="17" t="s">
        <v>1399</v>
      </c>
    </row>
    <row r="13884" s="11" customFormat="true" ht="10.95" hidden="false" customHeight="true" outlineLevel="0" collapsed="false">
      <c r="A13884" s="16" t="n">
        <v>45425</v>
      </c>
      <c r="B13884" s="17" t="s">
        <v>4596</v>
      </c>
      <c r="C13884" s="17" t="s">
        <v>3614</v>
      </c>
      <c r="D13884" s="17" t="s">
        <v>1407</v>
      </c>
      <c r="E13884" s="17" t="s">
        <v>4605</v>
      </c>
      <c r="F13884" s="17"/>
      <c r="G13884" s="18" t="n">
        <v>3120</v>
      </c>
      <c r="H13884" s="18" t="n">
        <v>0</v>
      </c>
      <c r="I13884" s="18" t="n">
        <f aca="false">((I13883 + G13884) - H13884)</f>
        <v>3120.52</v>
      </c>
      <c r="J13884" s="18" t="n">
        <v>0</v>
      </c>
      <c r="K13884" s="19" t="n">
        <v>0</v>
      </c>
      <c r="L13884" s="17" t="s">
        <v>1399</v>
      </c>
    </row>
    <row r="13885" s="11" customFormat="true" ht="10.95" hidden="false" customHeight="true" outlineLevel="0" collapsed="false">
      <c r="A13885" s="16" t="n">
        <v>45427</v>
      </c>
      <c r="B13885" s="17" t="s">
        <v>4596</v>
      </c>
      <c r="C13885" s="17" t="s">
        <v>3614</v>
      </c>
      <c r="D13885" s="17" t="s">
        <v>1276</v>
      </c>
      <c r="E13885" s="17" t="s">
        <v>4605</v>
      </c>
      <c r="F13885" s="17"/>
      <c r="G13885" s="18" t="n">
        <v>0</v>
      </c>
      <c r="H13885" s="18" t="n">
        <v>3120</v>
      </c>
      <c r="I13885" s="18" t="n">
        <f aca="false">((I13884 + G13885) - H13885)</f>
        <v>0.520000000000437</v>
      </c>
      <c r="J13885" s="18" t="n">
        <v>0</v>
      </c>
      <c r="K13885" s="19" t="n">
        <v>0</v>
      </c>
      <c r="L13885" s="17" t="s">
        <v>1399</v>
      </c>
    </row>
    <row r="13886" s="11" customFormat="true" ht="10.95" hidden="false" customHeight="true" outlineLevel="0" collapsed="false">
      <c r="A13886" s="16" t="n">
        <v>45473</v>
      </c>
      <c r="B13886" s="17" t="s">
        <v>4596</v>
      </c>
      <c r="C13886" s="17" t="s">
        <v>3614</v>
      </c>
      <c r="D13886" s="17" t="s">
        <v>1396</v>
      </c>
      <c r="E13886" s="17" t="s">
        <v>2883</v>
      </c>
      <c r="F13886" s="17" t="s">
        <v>2884</v>
      </c>
      <c r="G13886" s="18" t="n">
        <v>0</v>
      </c>
      <c r="H13886" s="18" t="n">
        <v>0.52</v>
      </c>
      <c r="I13886" s="18" t="n">
        <f aca="false">((I13885 + G13886) - H13886)</f>
        <v>4.36539693282612E-013</v>
      </c>
      <c r="J13886" s="18" t="n">
        <v>0</v>
      </c>
      <c r="K13886" s="19" t="n">
        <v>0</v>
      </c>
      <c r="L13886" s="17" t="s">
        <v>1399</v>
      </c>
    </row>
    <row r="13887" s="11" customFormat="true" ht="10.95" hidden="false" customHeight="true" outlineLevel="0" collapsed="false">
      <c r="A13887" s="21" t="s">
        <v>4606</v>
      </c>
      <c r="B13887" s="21"/>
      <c r="C13887" s="21"/>
      <c r="D13887" s="21"/>
      <c r="E13887" s="21"/>
      <c r="F13887" s="21"/>
      <c r="G13887" s="22" t="n">
        <f aca="false">SUM(G13874:G13886)</f>
        <v>14203.64</v>
      </c>
      <c r="H13887" s="22" t="n">
        <f aca="false">SUM(H13874:H13886)</f>
        <v>14203.64</v>
      </c>
      <c r="I13887" s="22" t="n">
        <f aca="false">I13886</f>
        <v>4.36539693282612E-013</v>
      </c>
      <c r="J13887" s="22" t="n">
        <f aca="false">SUM(J13874:J13886)</f>
        <v>0</v>
      </c>
      <c r="K13887" s="21"/>
      <c r="L13887" s="21"/>
    </row>
    <row r="13888" s="11" customFormat="true" ht="10.95" hidden="false" customHeight="true" outlineLevel="0" collapsed="false">
      <c r="A13888" s="21" t="s">
        <v>784</v>
      </c>
      <c r="B13888" s="21"/>
      <c r="C13888" s="21"/>
      <c r="D13888" s="21"/>
      <c r="E13888" s="21"/>
      <c r="F13888" s="21"/>
      <c r="G13888" s="22" t="n">
        <v>0</v>
      </c>
      <c r="H13888" s="22" t="n">
        <v>0</v>
      </c>
      <c r="I13888" s="22" t="n">
        <v>0</v>
      </c>
      <c r="J13888" s="22" t="n">
        <v>0</v>
      </c>
      <c r="K13888" s="21"/>
      <c r="L13888" s="21"/>
    </row>
    <row r="13889" s="11" customFormat="true" ht="10.95" hidden="false" customHeight="true" outlineLevel="0" collapsed="false">
      <c r="A13889" s="9" t="s">
        <v>785</v>
      </c>
      <c r="B13889" s="9"/>
      <c r="C13889" s="9"/>
      <c r="D13889" s="9"/>
      <c r="E13889" s="9"/>
      <c r="F13889" s="9"/>
      <c r="G13889" s="10" t="n">
        <v>0</v>
      </c>
      <c r="H13889" s="10" t="n">
        <v>0</v>
      </c>
      <c r="I13889" s="10" t="n">
        <f aca="false">I13886</f>
        <v>4.36539693282612E-013</v>
      </c>
      <c r="J13889" s="10" t="n">
        <v>0</v>
      </c>
      <c r="K13889" s="9"/>
      <c r="L13889" s="9"/>
    </row>
    <row r="13890" customFormat="false" ht="13.35" hidden="false" customHeight="true" outlineLevel="0" collapsed="false"/>
    <row r="13891" s="7" customFormat="true" ht="12.1" hidden="false" customHeight="true" outlineLevel="0" collapsed="false">
      <c r="A13891" s="8" t="s">
        <v>4607</v>
      </c>
      <c r="B13891" s="8"/>
      <c r="C13891" s="8"/>
      <c r="D13891" s="8"/>
      <c r="E13891" s="8"/>
      <c r="F13891" s="8"/>
      <c r="G13891" s="8"/>
      <c r="H13891" s="8"/>
      <c r="I13891" s="8"/>
      <c r="J13891" s="8"/>
      <c r="K13891" s="8"/>
      <c r="L13891" s="8"/>
    </row>
    <row r="13892" s="11" customFormat="true" ht="10.95" hidden="false" customHeight="true" outlineLevel="0" collapsed="false">
      <c r="A13892" s="9" t="s">
        <v>16</v>
      </c>
      <c r="B13892" s="9"/>
      <c r="C13892" s="9"/>
      <c r="D13892" s="9"/>
      <c r="E13892" s="9"/>
      <c r="F13892" s="9"/>
      <c r="G13892" s="10" t="n">
        <v>0</v>
      </c>
      <c r="H13892" s="10" t="n">
        <v>0</v>
      </c>
      <c r="I13892" s="10" t="n">
        <f aca="false">(G13892 - H13892)</f>
        <v>0</v>
      </c>
      <c r="J13892" s="10" t="n">
        <v>0</v>
      </c>
      <c r="K13892" s="9"/>
      <c r="L13892" s="9"/>
    </row>
    <row r="13893" s="11" customFormat="true" ht="10.95" hidden="false" customHeight="true" outlineLevel="0" collapsed="false">
      <c r="A13893" s="12" t="n">
        <v>45109</v>
      </c>
      <c r="B13893" s="13" t="s">
        <v>4608</v>
      </c>
      <c r="C13893" s="13" t="s">
        <v>3614</v>
      </c>
      <c r="D13893" s="13" t="s">
        <v>3814</v>
      </c>
      <c r="E13893" s="13" t="s">
        <v>3815</v>
      </c>
      <c r="F13893" s="13"/>
      <c r="G13893" s="14" t="n">
        <v>0</v>
      </c>
      <c r="H13893" s="14" t="n">
        <v>4.02</v>
      </c>
      <c r="I13893" s="14" t="n">
        <f aca="false">((I13892 + G13893) - H13893)</f>
        <v>-4.02</v>
      </c>
      <c r="J13893" s="14" t="n">
        <v>0</v>
      </c>
      <c r="K13893" s="15" t="n">
        <v>0</v>
      </c>
      <c r="L13893" s="13"/>
    </row>
    <row r="13894" s="11" customFormat="true" ht="10.95" hidden="false" customHeight="true" outlineLevel="0" collapsed="false">
      <c r="A13894" s="16" t="n">
        <v>45112</v>
      </c>
      <c r="B13894" s="17" t="s">
        <v>4608</v>
      </c>
      <c r="C13894" s="17" t="s">
        <v>3614</v>
      </c>
      <c r="D13894" s="17" t="s">
        <v>3814</v>
      </c>
      <c r="E13894" s="17" t="s">
        <v>3815</v>
      </c>
      <c r="F13894" s="17"/>
      <c r="G13894" s="18" t="n">
        <v>0.24</v>
      </c>
      <c r="H13894" s="18" t="n">
        <v>0</v>
      </c>
      <c r="I13894" s="18" t="n">
        <f aca="false">((I13893 + G13894) - H13894)</f>
        <v>-3.78</v>
      </c>
      <c r="J13894" s="18" t="n">
        <v>0</v>
      </c>
      <c r="K13894" s="19" t="n">
        <v>0</v>
      </c>
      <c r="L13894" s="17"/>
    </row>
    <row r="13895" s="11" customFormat="true" ht="10.95" hidden="false" customHeight="true" outlineLevel="0" collapsed="false">
      <c r="A13895" s="16" t="n">
        <v>45126</v>
      </c>
      <c r="B13895" s="17" t="s">
        <v>4608</v>
      </c>
      <c r="C13895" s="17" t="s">
        <v>3614</v>
      </c>
      <c r="D13895" s="17" t="s">
        <v>3814</v>
      </c>
      <c r="E13895" s="17" t="s">
        <v>3815</v>
      </c>
      <c r="F13895" s="17"/>
      <c r="G13895" s="18" t="n">
        <v>0.66</v>
      </c>
      <c r="H13895" s="18" t="n">
        <v>0</v>
      </c>
      <c r="I13895" s="18" t="n">
        <f aca="false">((I13894 + G13895) - H13895)</f>
        <v>-3.12</v>
      </c>
      <c r="J13895" s="18" t="n">
        <v>0</v>
      </c>
      <c r="K13895" s="19" t="n">
        <v>0</v>
      </c>
      <c r="L13895" s="17"/>
    </row>
    <row r="13896" s="11" customFormat="true" ht="10.95" hidden="false" customHeight="true" outlineLevel="0" collapsed="false">
      <c r="A13896" s="16" t="n">
        <v>45128</v>
      </c>
      <c r="B13896" s="17" t="s">
        <v>4608</v>
      </c>
      <c r="C13896" s="17" t="s">
        <v>3614</v>
      </c>
      <c r="D13896" s="17" t="s">
        <v>3814</v>
      </c>
      <c r="E13896" s="17" t="s">
        <v>3815</v>
      </c>
      <c r="F13896" s="17"/>
      <c r="G13896" s="18" t="n">
        <v>1.74</v>
      </c>
      <c r="H13896" s="18" t="n">
        <v>0</v>
      </c>
      <c r="I13896" s="18" t="n">
        <f aca="false">((I13895 + G13896) - H13896)</f>
        <v>-1.38</v>
      </c>
      <c r="J13896" s="18" t="n">
        <v>0</v>
      </c>
      <c r="K13896" s="19" t="n">
        <v>0</v>
      </c>
      <c r="L13896" s="17"/>
    </row>
    <row r="13897" s="11" customFormat="true" ht="10.95" hidden="false" customHeight="true" outlineLevel="0" collapsed="false">
      <c r="A13897" s="16" t="n">
        <v>45138</v>
      </c>
      <c r="B13897" s="17" t="s">
        <v>4608</v>
      </c>
      <c r="C13897" s="17" t="s">
        <v>3614</v>
      </c>
      <c r="D13897" s="17" t="s">
        <v>3814</v>
      </c>
      <c r="E13897" s="17" t="s">
        <v>3815</v>
      </c>
      <c r="F13897" s="17"/>
      <c r="G13897" s="18" t="n">
        <v>5</v>
      </c>
      <c r="H13897" s="18" t="n">
        <v>0</v>
      </c>
      <c r="I13897" s="18" t="n">
        <f aca="false">((I13896 + G13897) - H13897)</f>
        <v>3.62</v>
      </c>
      <c r="J13897" s="18" t="n">
        <v>0</v>
      </c>
      <c r="K13897" s="19" t="n">
        <v>0</v>
      </c>
      <c r="L13897" s="17"/>
    </row>
    <row r="13898" s="11" customFormat="true" ht="10.95" hidden="false" customHeight="true" outlineLevel="0" collapsed="false">
      <c r="A13898" s="16" t="n">
        <v>45142</v>
      </c>
      <c r="B13898" s="17" t="s">
        <v>4608</v>
      </c>
      <c r="C13898" s="17" t="s">
        <v>3614</v>
      </c>
      <c r="D13898" s="17" t="s">
        <v>3814</v>
      </c>
      <c r="E13898" s="17" t="s">
        <v>3815</v>
      </c>
      <c r="F13898" s="17"/>
      <c r="G13898" s="18" t="n">
        <v>0.24</v>
      </c>
      <c r="H13898" s="18" t="n">
        <v>0</v>
      </c>
      <c r="I13898" s="18" t="n">
        <f aca="false">((I13897 + G13898) - H13898)</f>
        <v>3.86</v>
      </c>
      <c r="J13898" s="18" t="n">
        <v>0</v>
      </c>
      <c r="K13898" s="19" t="n">
        <v>0</v>
      </c>
      <c r="L13898" s="17"/>
    </row>
    <row r="13899" s="11" customFormat="true" ht="10.95" hidden="false" customHeight="true" outlineLevel="0" collapsed="false">
      <c r="A13899" s="16" t="n">
        <v>45155</v>
      </c>
      <c r="B13899" s="17" t="s">
        <v>4608</v>
      </c>
      <c r="C13899" s="17" t="s">
        <v>3614</v>
      </c>
      <c r="D13899" s="17" t="s">
        <v>3814</v>
      </c>
      <c r="E13899" s="17" t="s">
        <v>3815</v>
      </c>
      <c r="F13899" s="17"/>
      <c r="G13899" s="18" t="n">
        <v>0.03</v>
      </c>
      <c r="H13899" s="18" t="n">
        <v>0</v>
      </c>
      <c r="I13899" s="18" t="n">
        <f aca="false">((I13898 + G13899) - H13899)</f>
        <v>3.89</v>
      </c>
      <c r="J13899" s="18" t="n">
        <v>0</v>
      </c>
      <c r="K13899" s="19" t="n">
        <v>0</v>
      </c>
      <c r="L13899" s="17"/>
    </row>
    <row r="13900" s="11" customFormat="true" ht="10.95" hidden="false" customHeight="true" outlineLevel="0" collapsed="false">
      <c r="A13900" s="16" t="n">
        <v>45170</v>
      </c>
      <c r="B13900" s="17" t="s">
        <v>4608</v>
      </c>
      <c r="C13900" s="17" t="s">
        <v>3614</v>
      </c>
      <c r="D13900" s="17" t="s">
        <v>3814</v>
      </c>
      <c r="E13900" s="17" t="s">
        <v>3815</v>
      </c>
      <c r="F13900" s="17"/>
      <c r="G13900" s="18" t="n">
        <v>0.37</v>
      </c>
      <c r="H13900" s="18" t="n">
        <v>0</v>
      </c>
      <c r="I13900" s="18" t="n">
        <f aca="false">((I13899 + G13900) - H13900)</f>
        <v>4.26</v>
      </c>
      <c r="J13900" s="18" t="n">
        <v>0</v>
      </c>
      <c r="K13900" s="19" t="n">
        <v>0</v>
      </c>
      <c r="L13900" s="17"/>
    </row>
    <row r="13901" s="11" customFormat="true" ht="10.95" hidden="false" customHeight="true" outlineLevel="0" collapsed="false">
      <c r="A13901" s="16" t="n">
        <v>45174</v>
      </c>
      <c r="B13901" s="17" t="s">
        <v>4608</v>
      </c>
      <c r="C13901" s="17" t="s">
        <v>3614</v>
      </c>
      <c r="D13901" s="17" t="s">
        <v>3814</v>
      </c>
      <c r="E13901" s="17" t="s">
        <v>3815</v>
      </c>
      <c r="F13901" s="17"/>
      <c r="G13901" s="18" t="n">
        <v>0.03</v>
      </c>
      <c r="H13901" s="18" t="n">
        <v>0</v>
      </c>
      <c r="I13901" s="18" t="n">
        <f aca="false">((I13900 + G13901) - H13901)</f>
        <v>4.29</v>
      </c>
      <c r="J13901" s="18" t="n">
        <v>0</v>
      </c>
      <c r="K13901" s="19" t="n">
        <v>0</v>
      </c>
      <c r="L13901" s="17"/>
    </row>
    <row r="13902" s="11" customFormat="true" ht="10.95" hidden="false" customHeight="true" outlineLevel="0" collapsed="false">
      <c r="A13902" s="16" t="n">
        <v>45175</v>
      </c>
      <c r="B13902" s="17" t="s">
        <v>4608</v>
      </c>
      <c r="C13902" s="17" t="s">
        <v>3614</v>
      </c>
      <c r="D13902" s="17" t="s">
        <v>3814</v>
      </c>
      <c r="E13902" s="17" t="s">
        <v>3815</v>
      </c>
      <c r="F13902" s="17"/>
      <c r="G13902" s="18" t="n">
        <v>0.22</v>
      </c>
      <c r="H13902" s="18" t="n">
        <v>0</v>
      </c>
      <c r="I13902" s="18" t="n">
        <f aca="false">((I13901 + G13902) - H13902)</f>
        <v>4.51</v>
      </c>
      <c r="J13902" s="18" t="n">
        <v>0</v>
      </c>
      <c r="K13902" s="19" t="n">
        <v>0</v>
      </c>
      <c r="L13902" s="17"/>
    </row>
    <row r="13903" s="11" customFormat="true" ht="10.95" hidden="false" customHeight="true" outlineLevel="0" collapsed="false">
      <c r="A13903" s="16" t="n">
        <v>45202</v>
      </c>
      <c r="B13903" s="17" t="s">
        <v>4608</v>
      </c>
      <c r="C13903" s="17" t="s">
        <v>3614</v>
      </c>
      <c r="D13903" s="17" t="s">
        <v>3814</v>
      </c>
      <c r="E13903" s="17" t="s">
        <v>3815</v>
      </c>
      <c r="F13903" s="17"/>
      <c r="G13903" s="18" t="n">
        <v>5</v>
      </c>
      <c r="H13903" s="18" t="n">
        <v>0</v>
      </c>
      <c r="I13903" s="18" t="n">
        <f aca="false">((I13902 + G13903) - H13903)</f>
        <v>9.51</v>
      </c>
      <c r="J13903" s="18" t="n">
        <v>0</v>
      </c>
      <c r="K13903" s="19" t="n">
        <v>0</v>
      </c>
      <c r="L13903" s="17"/>
    </row>
    <row r="13904" s="11" customFormat="true" ht="10.95" hidden="false" customHeight="true" outlineLevel="0" collapsed="false">
      <c r="A13904" s="16" t="n">
        <v>45203</v>
      </c>
      <c r="B13904" s="17" t="s">
        <v>4608</v>
      </c>
      <c r="C13904" s="17" t="s">
        <v>3614</v>
      </c>
      <c r="D13904" s="17" t="s">
        <v>3814</v>
      </c>
      <c r="E13904" s="17" t="s">
        <v>3815</v>
      </c>
      <c r="F13904" s="17"/>
      <c r="G13904" s="18" t="n">
        <v>0.24</v>
      </c>
      <c r="H13904" s="18" t="n">
        <v>0</v>
      </c>
      <c r="I13904" s="18" t="n">
        <f aca="false">((I13903 + G13904) - H13904)</f>
        <v>9.75</v>
      </c>
      <c r="J13904" s="18" t="n">
        <v>0</v>
      </c>
      <c r="K13904" s="19" t="n">
        <v>0</v>
      </c>
      <c r="L13904" s="17"/>
    </row>
    <row r="13905" s="11" customFormat="true" ht="10.95" hidden="false" customHeight="true" outlineLevel="0" collapsed="false">
      <c r="A13905" s="16" t="n">
        <v>45210</v>
      </c>
      <c r="B13905" s="17" t="s">
        <v>4608</v>
      </c>
      <c r="C13905" s="17" t="s">
        <v>3614</v>
      </c>
      <c r="D13905" s="17" t="s">
        <v>3814</v>
      </c>
      <c r="E13905" s="17" t="s">
        <v>3815</v>
      </c>
      <c r="F13905" s="17"/>
      <c r="G13905" s="18" t="n">
        <v>0.5</v>
      </c>
      <c r="H13905" s="18" t="n">
        <v>0</v>
      </c>
      <c r="I13905" s="18" t="n">
        <f aca="false">((I13904 + G13905) - H13905)</f>
        <v>10.25</v>
      </c>
      <c r="J13905" s="18" t="n">
        <v>0</v>
      </c>
      <c r="K13905" s="19" t="n">
        <v>0</v>
      </c>
      <c r="L13905" s="17"/>
    </row>
    <row r="13906" s="11" customFormat="true" ht="10.95" hidden="false" customHeight="true" outlineLevel="0" collapsed="false">
      <c r="A13906" s="16" t="n">
        <v>45233</v>
      </c>
      <c r="B13906" s="17" t="s">
        <v>4608</v>
      </c>
      <c r="C13906" s="17" t="s">
        <v>3614</v>
      </c>
      <c r="D13906" s="17" t="s">
        <v>3814</v>
      </c>
      <c r="E13906" s="17" t="s">
        <v>3815</v>
      </c>
      <c r="F13906" s="17"/>
      <c r="G13906" s="18" t="n">
        <v>5</v>
      </c>
      <c r="H13906" s="18" t="n">
        <v>0</v>
      </c>
      <c r="I13906" s="18" t="n">
        <f aca="false">((I13905 + G13906) - H13906)</f>
        <v>15.25</v>
      </c>
      <c r="J13906" s="18" t="n">
        <v>0</v>
      </c>
      <c r="K13906" s="19" t="n">
        <v>0</v>
      </c>
      <c r="L13906" s="17"/>
    </row>
    <row r="13907" s="11" customFormat="true" ht="10.95" hidden="false" customHeight="true" outlineLevel="0" collapsed="false">
      <c r="A13907" s="16" t="n">
        <v>45233</v>
      </c>
      <c r="B13907" s="17" t="s">
        <v>4608</v>
      </c>
      <c r="C13907" s="17" t="s">
        <v>3614</v>
      </c>
      <c r="D13907" s="17" t="s">
        <v>3814</v>
      </c>
      <c r="E13907" s="17" t="s">
        <v>3815</v>
      </c>
      <c r="F13907" s="17"/>
      <c r="G13907" s="18" t="n">
        <v>0.71</v>
      </c>
      <c r="H13907" s="18" t="n">
        <v>0</v>
      </c>
      <c r="I13907" s="18" t="n">
        <f aca="false">((I13906 + G13907) - H13907)</f>
        <v>15.96</v>
      </c>
      <c r="J13907" s="18" t="n">
        <v>0</v>
      </c>
      <c r="K13907" s="19" t="n">
        <v>0</v>
      </c>
      <c r="L13907" s="17"/>
    </row>
    <row r="13908" s="11" customFormat="true" ht="10.95" hidden="false" customHeight="true" outlineLevel="0" collapsed="false">
      <c r="A13908" s="16" t="n">
        <v>45265</v>
      </c>
      <c r="B13908" s="17" t="s">
        <v>4608</v>
      </c>
      <c r="C13908" s="17" t="s">
        <v>3614</v>
      </c>
      <c r="D13908" s="17" t="s">
        <v>3814</v>
      </c>
      <c r="E13908" s="17" t="s">
        <v>3815</v>
      </c>
      <c r="F13908" s="17"/>
      <c r="G13908" s="18" t="n">
        <v>0.45</v>
      </c>
      <c r="H13908" s="18" t="n">
        <v>0</v>
      </c>
      <c r="I13908" s="18" t="n">
        <f aca="false">((I13907 + G13908) - H13908)</f>
        <v>16.41</v>
      </c>
      <c r="J13908" s="18" t="n">
        <v>0</v>
      </c>
      <c r="K13908" s="19" t="n">
        <v>0</v>
      </c>
      <c r="L13908" s="17"/>
    </row>
    <row r="13909" s="11" customFormat="true" ht="10.95" hidden="false" customHeight="true" outlineLevel="0" collapsed="false">
      <c r="A13909" s="16" t="n">
        <v>45275</v>
      </c>
      <c r="B13909" s="17" t="s">
        <v>4608</v>
      </c>
      <c r="C13909" s="17" t="s">
        <v>3614</v>
      </c>
      <c r="D13909" s="17" t="s">
        <v>3814</v>
      </c>
      <c r="E13909" s="17" t="s">
        <v>3815</v>
      </c>
      <c r="F13909" s="17"/>
      <c r="G13909" s="18" t="n">
        <v>0.3</v>
      </c>
      <c r="H13909" s="18" t="n">
        <v>0</v>
      </c>
      <c r="I13909" s="18" t="n">
        <f aca="false">((I13908 + G13909) - H13909)</f>
        <v>16.71</v>
      </c>
      <c r="J13909" s="18" t="n">
        <v>0</v>
      </c>
      <c r="K13909" s="19" t="n">
        <v>0</v>
      </c>
      <c r="L13909" s="17"/>
    </row>
    <row r="13910" s="11" customFormat="true" ht="10.95" hidden="false" customHeight="true" outlineLevel="0" collapsed="false">
      <c r="A13910" s="16" t="n">
        <v>45279</v>
      </c>
      <c r="B13910" s="17" t="s">
        <v>4608</v>
      </c>
      <c r="C13910" s="17" t="s">
        <v>3614</v>
      </c>
      <c r="D13910" s="17" t="s">
        <v>3814</v>
      </c>
      <c r="E13910" s="17" t="s">
        <v>3815</v>
      </c>
      <c r="F13910" s="17"/>
      <c r="G13910" s="18" t="n">
        <v>6.13</v>
      </c>
      <c r="H13910" s="18" t="n">
        <v>0</v>
      </c>
      <c r="I13910" s="18" t="n">
        <f aca="false">((I13909 + G13910) - H13910)</f>
        <v>22.84</v>
      </c>
      <c r="J13910" s="18" t="n">
        <v>0</v>
      </c>
      <c r="K13910" s="19" t="n">
        <v>0</v>
      </c>
      <c r="L13910" s="17"/>
    </row>
    <row r="13911" s="11" customFormat="true" ht="10.95" hidden="false" customHeight="true" outlineLevel="0" collapsed="false">
      <c r="A13911" s="16" t="n">
        <v>45281</v>
      </c>
      <c r="B13911" s="17" t="s">
        <v>4608</v>
      </c>
      <c r="C13911" s="17" t="s">
        <v>3614</v>
      </c>
      <c r="D13911" s="17" t="s">
        <v>3814</v>
      </c>
      <c r="E13911" s="17" t="s">
        <v>3815</v>
      </c>
      <c r="F13911" s="17"/>
      <c r="G13911" s="18" t="n">
        <v>5</v>
      </c>
      <c r="H13911" s="18" t="n">
        <v>0</v>
      </c>
      <c r="I13911" s="18" t="n">
        <f aca="false">((I13910 + G13911) - H13911)</f>
        <v>27.84</v>
      </c>
      <c r="J13911" s="18" t="n">
        <v>0</v>
      </c>
      <c r="K13911" s="19" t="n">
        <v>0</v>
      </c>
      <c r="L13911" s="17"/>
    </row>
    <row r="13912" s="11" customFormat="true" ht="10.95" hidden="false" customHeight="true" outlineLevel="0" collapsed="false">
      <c r="A13912" s="16" t="n">
        <v>45293</v>
      </c>
      <c r="B13912" s="17" t="s">
        <v>4608</v>
      </c>
      <c r="C13912" s="17" t="s">
        <v>3614</v>
      </c>
      <c r="D13912" s="17" t="s">
        <v>3814</v>
      </c>
      <c r="E13912" s="17" t="s">
        <v>3815</v>
      </c>
      <c r="F13912" s="17"/>
      <c r="G13912" s="18" t="n">
        <v>5</v>
      </c>
      <c r="H13912" s="18" t="n">
        <v>0</v>
      </c>
      <c r="I13912" s="18" t="n">
        <f aca="false">((I13911 + G13912) - H13912)</f>
        <v>32.84</v>
      </c>
      <c r="J13912" s="18" t="n">
        <v>0</v>
      </c>
      <c r="K13912" s="19" t="n">
        <v>0</v>
      </c>
      <c r="L13912" s="17"/>
    </row>
    <row r="13913" s="11" customFormat="true" ht="10.95" hidden="false" customHeight="true" outlineLevel="0" collapsed="false">
      <c r="A13913" s="16" t="n">
        <v>45295</v>
      </c>
      <c r="B13913" s="17" t="s">
        <v>4608</v>
      </c>
      <c r="C13913" s="17" t="s">
        <v>3614</v>
      </c>
      <c r="D13913" s="17" t="s">
        <v>3814</v>
      </c>
      <c r="E13913" s="17" t="s">
        <v>3815</v>
      </c>
      <c r="F13913" s="17"/>
      <c r="G13913" s="18" t="n">
        <v>1.37</v>
      </c>
      <c r="H13913" s="18" t="n">
        <v>0</v>
      </c>
      <c r="I13913" s="18" t="n">
        <f aca="false">((I13912 + G13913) - H13913)</f>
        <v>34.21</v>
      </c>
      <c r="J13913" s="18" t="n">
        <v>0</v>
      </c>
      <c r="K13913" s="19" t="n">
        <v>0</v>
      </c>
      <c r="L13913" s="17"/>
    </row>
    <row r="13914" s="11" customFormat="true" ht="10.95" hidden="false" customHeight="true" outlineLevel="0" collapsed="false">
      <c r="A13914" s="16" t="n">
        <v>45299</v>
      </c>
      <c r="B13914" s="17" t="s">
        <v>4608</v>
      </c>
      <c r="C13914" s="17" t="s">
        <v>3614</v>
      </c>
      <c r="D13914" s="17" t="s">
        <v>3814</v>
      </c>
      <c r="E13914" s="17" t="s">
        <v>3815</v>
      </c>
      <c r="F13914" s="17"/>
      <c r="G13914" s="18" t="n">
        <v>0.24</v>
      </c>
      <c r="H13914" s="18" t="n">
        <v>0</v>
      </c>
      <c r="I13914" s="18" t="n">
        <f aca="false">((I13913 + G13914) - H13914)</f>
        <v>34.45</v>
      </c>
      <c r="J13914" s="18" t="n">
        <v>0</v>
      </c>
      <c r="K13914" s="19" t="n">
        <v>0</v>
      </c>
      <c r="L13914" s="17"/>
    </row>
    <row r="13915" s="11" customFormat="true" ht="10.95" hidden="false" customHeight="true" outlineLevel="0" collapsed="false">
      <c r="A13915" s="16" t="n">
        <v>45300</v>
      </c>
      <c r="B13915" s="17" t="s">
        <v>4608</v>
      </c>
      <c r="C13915" s="17" t="s">
        <v>3614</v>
      </c>
      <c r="D13915" s="17" t="s">
        <v>3814</v>
      </c>
      <c r="E13915" s="17" t="s">
        <v>3815</v>
      </c>
      <c r="F13915" s="17"/>
      <c r="G13915" s="18" t="n">
        <v>0.01</v>
      </c>
      <c r="H13915" s="18" t="n">
        <v>0</v>
      </c>
      <c r="I13915" s="18" t="n">
        <f aca="false">((I13914 + G13915) - H13915)</f>
        <v>34.46</v>
      </c>
      <c r="J13915" s="18" t="n">
        <v>0</v>
      </c>
      <c r="K13915" s="19" t="n">
        <v>0</v>
      </c>
      <c r="L13915" s="17"/>
    </row>
    <row r="13916" s="11" customFormat="true" ht="10.95" hidden="false" customHeight="true" outlineLevel="0" collapsed="false">
      <c r="A13916" s="16" t="n">
        <v>45327</v>
      </c>
      <c r="B13916" s="17" t="s">
        <v>4608</v>
      </c>
      <c r="C13916" s="17" t="s">
        <v>3614</v>
      </c>
      <c r="D13916" s="17" t="s">
        <v>3814</v>
      </c>
      <c r="E13916" s="17" t="s">
        <v>3815</v>
      </c>
      <c r="F13916" s="17"/>
      <c r="G13916" s="18" t="n">
        <v>0.18</v>
      </c>
      <c r="H13916" s="18" t="n">
        <v>0</v>
      </c>
      <c r="I13916" s="18" t="n">
        <f aca="false">((I13915 + G13916) - H13916)</f>
        <v>34.64</v>
      </c>
      <c r="J13916" s="18" t="n">
        <v>0</v>
      </c>
      <c r="K13916" s="19" t="n">
        <v>0</v>
      </c>
      <c r="L13916" s="17"/>
    </row>
    <row r="13917" s="11" customFormat="true" ht="10.95" hidden="false" customHeight="true" outlineLevel="0" collapsed="false">
      <c r="A13917" s="16" t="n">
        <v>45350</v>
      </c>
      <c r="B13917" s="17" t="s">
        <v>4608</v>
      </c>
      <c r="C13917" s="17" t="s">
        <v>3614</v>
      </c>
      <c r="D13917" s="17" t="s">
        <v>3814</v>
      </c>
      <c r="E13917" s="17" t="s">
        <v>3815</v>
      </c>
      <c r="F13917" s="17"/>
      <c r="G13917" s="18" t="n">
        <v>0.64</v>
      </c>
      <c r="H13917" s="18" t="n">
        <v>0</v>
      </c>
      <c r="I13917" s="18" t="n">
        <f aca="false">((I13916 + G13917) - H13917)</f>
        <v>35.28</v>
      </c>
      <c r="J13917" s="18" t="n">
        <v>0</v>
      </c>
      <c r="K13917" s="19" t="n">
        <v>0</v>
      </c>
      <c r="L13917" s="17"/>
    </row>
    <row r="13918" s="11" customFormat="true" ht="10.95" hidden="false" customHeight="true" outlineLevel="0" collapsed="false">
      <c r="A13918" s="16" t="n">
        <v>45356</v>
      </c>
      <c r="B13918" s="17" t="s">
        <v>4608</v>
      </c>
      <c r="C13918" s="17" t="s">
        <v>3614</v>
      </c>
      <c r="D13918" s="17" t="s">
        <v>3814</v>
      </c>
      <c r="E13918" s="17" t="s">
        <v>3815</v>
      </c>
      <c r="F13918" s="17"/>
      <c r="G13918" s="18" t="n">
        <v>0.62</v>
      </c>
      <c r="H13918" s="18" t="n">
        <v>0</v>
      </c>
      <c r="I13918" s="18" t="n">
        <f aca="false">((I13917 + G13918) - H13918)</f>
        <v>35.9</v>
      </c>
      <c r="J13918" s="18" t="n">
        <v>0</v>
      </c>
      <c r="K13918" s="19" t="n">
        <v>0</v>
      </c>
      <c r="L13918" s="17"/>
    </row>
    <row r="13919" s="11" customFormat="true" ht="10.95" hidden="false" customHeight="true" outlineLevel="0" collapsed="false">
      <c r="A13919" s="16" t="n">
        <v>45415</v>
      </c>
      <c r="B13919" s="17" t="s">
        <v>4608</v>
      </c>
      <c r="C13919" s="17" t="s">
        <v>3614</v>
      </c>
      <c r="D13919" s="17" t="s">
        <v>3814</v>
      </c>
      <c r="E13919" s="17" t="s">
        <v>3815</v>
      </c>
      <c r="F13919" s="17"/>
      <c r="G13919" s="18" t="n">
        <v>1.54</v>
      </c>
      <c r="H13919" s="18" t="n">
        <v>0</v>
      </c>
      <c r="I13919" s="18" t="n">
        <f aca="false">((I13918 + G13919) - H13919)</f>
        <v>37.44</v>
      </c>
      <c r="J13919" s="18" t="n">
        <v>0</v>
      </c>
      <c r="K13919" s="19" t="n">
        <v>0</v>
      </c>
      <c r="L13919" s="17"/>
    </row>
    <row r="13920" s="11" customFormat="true" ht="10.95" hidden="false" customHeight="true" outlineLevel="0" collapsed="false">
      <c r="A13920" s="16" t="n">
        <v>45440</v>
      </c>
      <c r="B13920" s="17" t="s">
        <v>4608</v>
      </c>
      <c r="C13920" s="17" t="s">
        <v>3614</v>
      </c>
      <c r="D13920" s="17" t="s">
        <v>3814</v>
      </c>
      <c r="E13920" s="17" t="s">
        <v>3815</v>
      </c>
      <c r="F13920" s="17"/>
      <c r="G13920" s="18" t="n">
        <v>0.62</v>
      </c>
      <c r="H13920" s="18" t="n">
        <v>0</v>
      </c>
      <c r="I13920" s="18" t="n">
        <f aca="false">((I13919 + G13920) - H13920)</f>
        <v>38.06</v>
      </c>
      <c r="J13920" s="18" t="n">
        <v>0</v>
      </c>
      <c r="K13920" s="19" t="n">
        <v>0</v>
      </c>
      <c r="L13920" s="17"/>
    </row>
    <row r="13921" s="11" customFormat="true" ht="10.95" hidden="false" customHeight="true" outlineLevel="0" collapsed="false">
      <c r="A13921" s="16" t="n">
        <v>45448</v>
      </c>
      <c r="B13921" s="17" t="s">
        <v>4608</v>
      </c>
      <c r="C13921" s="17" t="s">
        <v>3614</v>
      </c>
      <c r="D13921" s="17" t="s">
        <v>3814</v>
      </c>
      <c r="E13921" s="17" t="s">
        <v>3815</v>
      </c>
      <c r="F13921" s="17"/>
      <c r="G13921" s="18" t="n">
        <v>0.02</v>
      </c>
      <c r="H13921" s="18" t="n">
        <v>0</v>
      </c>
      <c r="I13921" s="18" t="n">
        <f aca="false">((I13920 + G13921) - H13921)</f>
        <v>38.08</v>
      </c>
      <c r="J13921" s="18" t="n">
        <v>0</v>
      </c>
      <c r="K13921" s="19" t="n">
        <v>0</v>
      </c>
      <c r="L13921" s="17"/>
    </row>
    <row r="13922" s="11" customFormat="true" ht="10.95" hidden="false" customHeight="true" outlineLevel="0" collapsed="false">
      <c r="A13922" s="16" t="n">
        <v>45473</v>
      </c>
      <c r="B13922" s="17" t="s">
        <v>4608</v>
      </c>
      <c r="C13922" s="17" t="s">
        <v>3614</v>
      </c>
      <c r="D13922" s="17" t="s">
        <v>1396</v>
      </c>
      <c r="E13922" s="17" t="s">
        <v>1742</v>
      </c>
      <c r="F13922" s="17" t="s">
        <v>1743</v>
      </c>
      <c r="G13922" s="18" t="n">
        <v>0</v>
      </c>
      <c r="H13922" s="18" t="n">
        <v>38.08</v>
      </c>
      <c r="I13922" s="18" t="n">
        <f aca="false">((I13921 + G13922) - H13922)</f>
        <v>0</v>
      </c>
      <c r="J13922" s="18" t="n">
        <v>0</v>
      </c>
      <c r="K13922" s="19" t="n">
        <v>0</v>
      </c>
      <c r="L13922" s="17" t="s">
        <v>1399</v>
      </c>
    </row>
    <row r="13923" s="11" customFormat="true" ht="10.95" hidden="false" customHeight="true" outlineLevel="0" collapsed="false">
      <c r="A13923" s="21" t="s">
        <v>4609</v>
      </c>
      <c r="B13923" s="21"/>
      <c r="C13923" s="21"/>
      <c r="D13923" s="21"/>
      <c r="E13923" s="21"/>
      <c r="F13923" s="21"/>
      <c r="G13923" s="22" t="n">
        <f aca="false">SUM(G13893:G13922)</f>
        <v>42.1</v>
      </c>
      <c r="H13923" s="22" t="n">
        <f aca="false">SUM(H13893:H13922)</f>
        <v>42.1</v>
      </c>
      <c r="I13923" s="22" t="n">
        <f aca="false">I13922</f>
        <v>0</v>
      </c>
      <c r="J13923" s="22" t="n">
        <f aca="false">SUM(J13893:J13922)</f>
        <v>0</v>
      </c>
      <c r="K13923" s="21"/>
      <c r="L13923" s="21"/>
    </row>
    <row r="13924" s="11" customFormat="true" ht="10.95" hidden="false" customHeight="true" outlineLevel="0" collapsed="false">
      <c r="A13924" s="21" t="s">
        <v>784</v>
      </c>
      <c r="B13924" s="21"/>
      <c r="C13924" s="21"/>
      <c r="D13924" s="21"/>
      <c r="E13924" s="21"/>
      <c r="F13924" s="21"/>
      <c r="G13924" s="22" t="n">
        <v>0</v>
      </c>
      <c r="H13924" s="22" t="n">
        <v>0</v>
      </c>
      <c r="I13924" s="22" t="n">
        <v>0</v>
      </c>
      <c r="J13924" s="22" t="n">
        <v>0</v>
      </c>
      <c r="K13924" s="21"/>
      <c r="L13924" s="21"/>
    </row>
    <row r="13925" s="11" customFormat="true" ht="10.95" hidden="false" customHeight="true" outlineLevel="0" collapsed="false">
      <c r="A13925" s="9" t="s">
        <v>785</v>
      </c>
      <c r="B13925" s="9"/>
      <c r="C13925" s="9"/>
      <c r="D13925" s="9"/>
      <c r="E13925" s="9"/>
      <c r="F13925" s="9"/>
      <c r="G13925" s="10" t="n">
        <v>0</v>
      </c>
      <c r="H13925" s="10" t="n">
        <v>0</v>
      </c>
      <c r="I13925" s="10" t="n">
        <f aca="false">I13922</f>
        <v>0</v>
      </c>
      <c r="J13925" s="10" t="n">
        <v>0</v>
      </c>
      <c r="K13925" s="9"/>
      <c r="L13925" s="9"/>
    </row>
    <row r="13926" customFormat="false" ht="13.35" hidden="false" customHeight="true" outlineLevel="0" collapsed="false"/>
    <row r="13927" s="7" customFormat="true" ht="12.1" hidden="false" customHeight="true" outlineLevel="0" collapsed="false">
      <c r="A13927" s="8" t="s">
        <v>4610</v>
      </c>
      <c r="B13927" s="8"/>
      <c r="C13927" s="8"/>
      <c r="D13927" s="8"/>
      <c r="E13927" s="8"/>
      <c r="F13927" s="8"/>
      <c r="G13927" s="8"/>
      <c r="H13927" s="8"/>
      <c r="I13927" s="8"/>
      <c r="J13927" s="8"/>
      <c r="K13927" s="8"/>
      <c r="L13927" s="8"/>
    </row>
    <row r="13928" s="11" customFormat="true" ht="10.95" hidden="false" customHeight="true" outlineLevel="0" collapsed="false">
      <c r="A13928" s="9" t="s">
        <v>16</v>
      </c>
      <c r="B13928" s="9"/>
      <c r="C13928" s="9"/>
      <c r="D13928" s="9"/>
      <c r="E13928" s="9"/>
      <c r="F13928" s="9"/>
      <c r="G13928" s="10" t="n">
        <v>8902.33</v>
      </c>
      <c r="H13928" s="10" t="n">
        <v>0</v>
      </c>
      <c r="I13928" s="10" t="n">
        <f aca="false">(G13928 - H13928)</f>
        <v>8902.33</v>
      </c>
      <c r="J13928" s="10" t="n">
        <v>0</v>
      </c>
      <c r="K13928" s="9"/>
      <c r="L13928" s="9"/>
    </row>
    <row r="13929" s="11" customFormat="true" ht="10.95" hidden="false" customHeight="true" outlineLevel="0" collapsed="false">
      <c r="A13929" s="12" t="n">
        <v>45473</v>
      </c>
      <c r="B13929" s="13" t="s">
        <v>4611</v>
      </c>
      <c r="C13929" s="13" t="s">
        <v>3614</v>
      </c>
      <c r="D13929" s="13" t="s">
        <v>1396</v>
      </c>
      <c r="E13929" s="13" t="s">
        <v>4612</v>
      </c>
      <c r="F13929" s="13" t="s">
        <v>4613</v>
      </c>
      <c r="G13929" s="14" t="n">
        <v>0</v>
      </c>
      <c r="H13929" s="14" t="n">
        <v>8902.33</v>
      </c>
      <c r="I13929" s="14" t="n">
        <f aca="false">((I13928 + G13929) - H13929)</f>
        <v>0</v>
      </c>
      <c r="J13929" s="14" t="n">
        <v>0</v>
      </c>
      <c r="K13929" s="15" t="n">
        <v>0</v>
      </c>
      <c r="L13929" s="13" t="s">
        <v>1399</v>
      </c>
    </row>
    <row r="13930" s="11" customFormat="true" ht="10.95" hidden="false" customHeight="true" outlineLevel="0" collapsed="false">
      <c r="A13930" s="21" t="s">
        <v>4614</v>
      </c>
      <c r="B13930" s="21"/>
      <c r="C13930" s="21"/>
      <c r="D13930" s="21"/>
      <c r="E13930" s="21"/>
      <c r="F13930" s="21"/>
      <c r="G13930" s="22" t="n">
        <f aca="false">G13929</f>
        <v>0</v>
      </c>
      <c r="H13930" s="22" t="n">
        <f aca="false">H13929</f>
        <v>8902.33</v>
      </c>
      <c r="I13930" s="22" t="n">
        <f aca="false">I13929</f>
        <v>0</v>
      </c>
      <c r="J13930" s="22" t="n">
        <f aca="false">J13929</f>
        <v>0</v>
      </c>
      <c r="K13930" s="21"/>
      <c r="L13930" s="21"/>
    </row>
    <row r="13931" s="11" customFormat="true" ht="10.95" hidden="false" customHeight="true" outlineLevel="0" collapsed="false">
      <c r="A13931" s="21" t="s">
        <v>784</v>
      </c>
      <c r="B13931" s="21"/>
      <c r="C13931" s="21"/>
      <c r="D13931" s="21"/>
      <c r="E13931" s="21"/>
      <c r="F13931" s="21"/>
      <c r="G13931" s="22" t="n">
        <v>0</v>
      </c>
      <c r="H13931" s="22" t="n">
        <v>8902.33</v>
      </c>
      <c r="I13931" s="22" t="n">
        <v>0</v>
      </c>
      <c r="J13931" s="22" t="n">
        <v>0</v>
      </c>
      <c r="K13931" s="21"/>
      <c r="L13931" s="21"/>
    </row>
    <row r="13932" s="11" customFormat="true" ht="10.95" hidden="false" customHeight="true" outlineLevel="0" collapsed="false">
      <c r="A13932" s="9" t="s">
        <v>785</v>
      </c>
      <c r="B13932" s="9"/>
      <c r="C13932" s="9"/>
      <c r="D13932" s="9"/>
      <c r="E13932" s="9"/>
      <c r="F13932" s="9"/>
      <c r="G13932" s="10" t="n">
        <v>0</v>
      </c>
      <c r="H13932" s="10" t="n">
        <v>0</v>
      </c>
      <c r="I13932" s="10" t="n">
        <f aca="false">I13929</f>
        <v>0</v>
      </c>
      <c r="J13932" s="10" t="n">
        <v>0</v>
      </c>
      <c r="K13932" s="9"/>
      <c r="L13932" s="9"/>
    </row>
    <row r="13933" customFormat="false" ht="13.35" hidden="false" customHeight="true" outlineLevel="0" collapsed="false"/>
    <row r="13934" s="7" customFormat="true" ht="12.1" hidden="false" customHeight="true" outlineLevel="0" collapsed="false">
      <c r="A13934" s="8" t="s">
        <v>4615</v>
      </c>
      <c r="B13934" s="8"/>
      <c r="C13934" s="8"/>
      <c r="D13934" s="8"/>
      <c r="E13934" s="8"/>
      <c r="F13934" s="8"/>
      <c r="G13934" s="8"/>
      <c r="H13934" s="8"/>
      <c r="I13934" s="8"/>
      <c r="J13934" s="8"/>
      <c r="K13934" s="8"/>
      <c r="L13934" s="8"/>
    </row>
    <row r="13935" s="11" customFormat="true" ht="10.95" hidden="false" customHeight="true" outlineLevel="0" collapsed="false">
      <c r="A13935" s="9" t="s">
        <v>16</v>
      </c>
      <c r="B13935" s="9"/>
      <c r="C13935" s="9"/>
      <c r="D13935" s="9"/>
      <c r="E13935" s="9"/>
      <c r="F13935" s="9"/>
      <c r="G13935" s="10" t="n">
        <v>21232.16</v>
      </c>
      <c r="H13935" s="10" t="n">
        <v>0</v>
      </c>
      <c r="I13935" s="10" t="n">
        <f aca="false">(G13935 - H13935)</f>
        <v>21232.16</v>
      </c>
      <c r="J13935" s="10" t="n">
        <v>0</v>
      </c>
      <c r="K13935" s="9"/>
      <c r="L13935" s="9"/>
    </row>
    <row r="13936" s="11" customFormat="true" ht="10.95" hidden="false" customHeight="true" outlineLevel="0" collapsed="false">
      <c r="A13936" s="12" t="n">
        <v>45112</v>
      </c>
      <c r="B13936" s="13" t="s">
        <v>4616</v>
      </c>
      <c r="C13936" s="13" t="s">
        <v>4617</v>
      </c>
      <c r="D13936" s="13" t="s">
        <v>1407</v>
      </c>
      <c r="E13936" s="13" t="s">
        <v>4618</v>
      </c>
      <c r="F13936" s="13"/>
      <c r="G13936" s="14" t="n">
        <v>1000</v>
      </c>
      <c r="H13936" s="14" t="n">
        <v>0</v>
      </c>
      <c r="I13936" s="14" t="n">
        <f aca="false">((I13935 + G13936) - H13936)</f>
        <v>22232.16</v>
      </c>
      <c r="J13936" s="14" t="n">
        <v>0</v>
      </c>
      <c r="K13936" s="15" t="n">
        <v>0</v>
      </c>
      <c r="L13936" s="13" t="s">
        <v>1399</v>
      </c>
    </row>
    <row r="13937" s="11" customFormat="true" ht="10.95" hidden="false" customHeight="true" outlineLevel="0" collapsed="false">
      <c r="A13937" s="16" t="n">
        <v>45143</v>
      </c>
      <c r="B13937" s="17" t="s">
        <v>4616</v>
      </c>
      <c r="C13937" s="17" t="s">
        <v>4617</v>
      </c>
      <c r="D13937" s="17" t="s">
        <v>1407</v>
      </c>
      <c r="E13937" s="17" t="s">
        <v>4618</v>
      </c>
      <c r="F13937" s="17"/>
      <c r="G13937" s="18" t="n">
        <v>1000</v>
      </c>
      <c r="H13937" s="18" t="n">
        <v>0</v>
      </c>
      <c r="I13937" s="18" t="n">
        <f aca="false">((I13936 + G13937) - H13937)</f>
        <v>23232.16</v>
      </c>
      <c r="J13937" s="18" t="n">
        <v>0</v>
      </c>
      <c r="K13937" s="19" t="n">
        <v>0</v>
      </c>
      <c r="L13937" s="17" t="s">
        <v>1399</v>
      </c>
    </row>
    <row r="13938" s="11" customFormat="true" ht="10.95" hidden="false" customHeight="true" outlineLevel="0" collapsed="false">
      <c r="A13938" s="16" t="n">
        <v>45174</v>
      </c>
      <c r="B13938" s="17" t="s">
        <v>4616</v>
      </c>
      <c r="C13938" s="17" t="s">
        <v>4617</v>
      </c>
      <c r="D13938" s="17" t="s">
        <v>1407</v>
      </c>
      <c r="E13938" s="17" t="s">
        <v>4618</v>
      </c>
      <c r="F13938" s="17"/>
      <c r="G13938" s="18" t="n">
        <v>1000</v>
      </c>
      <c r="H13938" s="18" t="n">
        <v>0</v>
      </c>
      <c r="I13938" s="18" t="n">
        <f aca="false">((I13937 + G13938) - H13938)</f>
        <v>24232.16</v>
      </c>
      <c r="J13938" s="18" t="n">
        <v>0</v>
      </c>
      <c r="K13938" s="19" t="n">
        <v>0</v>
      </c>
      <c r="L13938" s="17" t="s">
        <v>1399</v>
      </c>
    </row>
    <row r="13939" s="11" customFormat="true" ht="10.95" hidden="false" customHeight="true" outlineLevel="0" collapsed="false">
      <c r="A13939" s="16" t="n">
        <v>45204</v>
      </c>
      <c r="B13939" s="17" t="s">
        <v>4616</v>
      </c>
      <c r="C13939" s="17" t="s">
        <v>4617</v>
      </c>
      <c r="D13939" s="17" t="s">
        <v>1407</v>
      </c>
      <c r="E13939" s="17" t="s">
        <v>4618</v>
      </c>
      <c r="F13939" s="17"/>
      <c r="G13939" s="18" t="n">
        <v>1000</v>
      </c>
      <c r="H13939" s="18" t="n">
        <v>0</v>
      </c>
      <c r="I13939" s="18" t="n">
        <f aca="false">((I13938 + G13939) - H13939)</f>
        <v>25232.16</v>
      </c>
      <c r="J13939" s="18" t="n">
        <v>0</v>
      </c>
      <c r="K13939" s="19" t="n">
        <v>0</v>
      </c>
      <c r="L13939" s="17" t="s">
        <v>1399</v>
      </c>
    </row>
    <row r="13940" s="11" customFormat="true" ht="10.95" hidden="false" customHeight="true" outlineLevel="0" collapsed="false">
      <c r="A13940" s="16" t="n">
        <v>45235</v>
      </c>
      <c r="B13940" s="17" t="s">
        <v>4616</v>
      </c>
      <c r="C13940" s="17" t="s">
        <v>4617</v>
      </c>
      <c r="D13940" s="17" t="s">
        <v>1407</v>
      </c>
      <c r="E13940" s="17" t="s">
        <v>4619</v>
      </c>
      <c r="F13940" s="17"/>
      <c r="G13940" s="18" t="n">
        <v>1000</v>
      </c>
      <c r="H13940" s="18" t="n">
        <v>0</v>
      </c>
      <c r="I13940" s="18" t="n">
        <f aca="false">((I13939 + G13940) - H13940)</f>
        <v>26232.16</v>
      </c>
      <c r="J13940" s="18" t="n">
        <v>0</v>
      </c>
      <c r="K13940" s="19" t="n">
        <v>0</v>
      </c>
      <c r="L13940" s="17" t="s">
        <v>1399</v>
      </c>
    </row>
    <row r="13941" s="11" customFormat="true" ht="10.95" hidden="false" customHeight="true" outlineLevel="0" collapsed="false">
      <c r="A13941" s="16" t="n">
        <v>45265</v>
      </c>
      <c r="B13941" s="17" t="s">
        <v>4616</v>
      </c>
      <c r="C13941" s="17" t="s">
        <v>4617</v>
      </c>
      <c r="D13941" s="17" t="s">
        <v>1407</v>
      </c>
      <c r="E13941" s="17" t="s">
        <v>4619</v>
      </c>
      <c r="F13941" s="17"/>
      <c r="G13941" s="18" t="n">
        <v>1000</v>
      </c>
      <c r="H13941" s="18" t="n">
        <v>0</v>
      </c>
      <c r="I13941" s="18" t="n">
        <f aca="false">((I13940 + G13941) - H13941)</f>
        <v>27232.16</v>
      </c>
      <c r="J13941" s="18" t="n">
        <v>0</v>
      </c>
      <c r="K13941" s="19" t="n">
        <v>0</v>
      </c>
      <c r="L13941" s="17" t="s">
        <v>1399</v>
      </c>
    </row>
    <row r="13942" s="11" customFormat="true" ht="10.95" hidden="false" customHeight="true" outlineLevel="0" collapsed="false">
      <c r="A13942" s="16" t="n">
        <v>45279</v>
      </c>
      <c r="B13942" s="17" t="s">
        <v>4616</v>
      </c>
      <c r="C13942" s="17" t="s">
        <v>4617</v>
      </c>
      <c r="D13942" s="17" t="s">
        <v>1407</v>
      </c>
      <c r="E13942" s="17" t="s">
        <v>4620</v>
      </c>
      <c r="F13942" s="17"/>
      <c r="G13942" s="18" t="n">
        <v>9461.09</v>
      </c>
      <c r="H13942" s="18" t="n">
        <v>0</v>
      </c>
      <c r="I13942" s="18" t="n">
        <f aca="false">((I13941 + G13942) - H13942)</f>
        <v>36693.25</v>
      </c>
      <c r="J13942" s="18" t="n">
        <v>0</v>
      </c>
      <c r="K13942" s="19" t="n">
        <v>0</v>
      </c>
      <c r="L13942" s="17" t="s">
        <v>1399</v>
      </c>
    </row>
    <row r="13943" s="11" customFormat="true" ht="10.95" hidden="false" customHeight="true" outlineLevel="0" collapsed="false">
      <c r="A13943" s="16" t="n">
        <v>45296</v>
      </c>
      <c r="B13943" s="17" t="s">
        <v>4616</v>
      </c>
      <c r="C13943" s="17" t="s">
        <v>4617</v>
      </c>
      <c r="D13943" s="17" t="s">
        <v>1407</v>
      </c>
      <c r="E13943" s="17" t="s">
        <v>4619</v>
      </c>
      <c r="F13943" s="17"/>
      <c r="G13943" s="18" t="n">
        <v>1000</v>
      </c>
      <c r="H13943" s="18" t="n">
        <v>0</v>
      </c>
      <c r="I13943" s="18" t="n">
        <f aca="false">((I13942 + G13943) - H13943)</f>
        <v>37693.25</v>
      </c>
      <c r="J13943" s="18" t="n">
        <v>0</v>
      </c>
      <c r="K13943" s="19" t="n">
        <v>0</v>
      </c>
      <c r="L13943" s="17" t="s">
        <v>1399</v>
      </c>
    </row>
    <row r="13944" s="11" customFormat="true" ht="10.95" hidden="false" customHeight="true" outlineLevel="0" collapsed="false">
      <c r="A13944" s="16" t="n">
        <v>45327</v>
      </c>
      <c r="B13944" s="17" t="s">
        <v>4616</v>
      </c>
      <c r="C13944" s="17" t="s">
        <v>4617</v>
      </c>
      <c r="D13944" s="17" t="s">
        <v>1407</v>
      </c>
      <c r="E13944" s="17" t="s">
        <v>4619</v>
      </c>
      <c r="F13944" s="17"/>
      <c r="G13944" s="18" t="n">
        <v>1000</v>
      </c>
      <c r="H13944" s="18" t="n">
        <v>0</v>
      </c>
      <c r="I13944" s="18" t="n">
        <f aca="false">((I13943 + G13944) - H13944)</f>
        <v>38693.25</v>
      </c>
      <c r="J13944" s="18" t="n">
        <v>0</v>
      </c>
      <c r="K13944" s="19" t="n">
        <v>0</v>
      </c>
      <c r="L13944" s="17" t="s">
        <v>1399</v>
      </c>
    </row>
    <row r="13945" s="11" customFormat="true" ht="10.95" hidden="false" customHeight="true" outlineLevel="0" collapsed="false">
      <c r="A13945" s="16" t="n">
        <v>45336</v>
      </c>
      <c r="B13945" s="17" t="s">
        <v>4616</v>
      </c>
      <c r="C13945" s="17" t="s">
        <v>4617</v>
      </c>
      <c r="D13945" s="17" t="s">
        <v>1407</v>
      </c>
      <c r="E13945" s="17" t="s">
        <v>4621</v>
      </c>
      <c r="F13945" s="17"/>
      <c r="G13945" s="18" t="n">
        <v>2784</v>
      </c>
      <c r="H13945" s="18" t="n">
        <v>0</v>
      </c>
      <c r="I13945" s="18" t="n">
        <f aca="false">((I13944 + G13945) - H13945)</f>
        <v>41477.25</v>
      </c>
      <c r="J13945" s="18" t="n">
        <v>0</v>
      </c>
      <c r="K13945" s="19" t="n">
        <v>0</v>
      </c>
      <c r="L13945" s="17" t="s">
        <v>1399</v>
      </c>
    </row>
    <row r="13946" s="11" customFormat="true" ht="10.95" hidden="false" customHeight="true" outlineLevel="0" collapsed="false">
      <c r="A13946" s="16" t="n">
        <v>45419</v>
      </c>
      <c r="B13946" s="17" t="s">
        <v>4616</v>
      </c>
      <c r="C13946" s="17" t="s">
        <v>4617</v>
      </c>
      <c r="D13946" s="17" t="s">
        <v>1407</v>
      </c>
      <c r="E13946" s="17" t="s">
        <v>4622</v>
      </c>
      <c r="F13946" s="17"/>
      <c r="G13946" s="18" t="n">
        <v>12790</v>
      </c>
      <c r="H13946" s="18" t="n">
        <v>0</v>
      </c>
      <c r="I13946" s="18" t="n">
        <f aca="false">((I13945 + G13946) - H13946)</f>
        <v>54267.25</v>
      </c>
      <c r="J13946" s="18" t="n">
        <v>0</v>
      </c>
      <c r="K13946" s="19" t="n">
        <v>0</v>
      </c>
      <c r="L13946" s="17" t="s">
        <v>1399</v>
      </c>
    </row>
    <row r="13947" s="11" customFormat="true" ht="10.95" hidden="false" customHeight="true" outlineLevel="0" collapsed="false">
      <c r="A13947" s="16" t="n">
        <v>45473</v>
      </c>
      <c r="B13947" s="17" t="s">
        <v>4616</v>
      </c>
      <c r="C13947" s="17" t="s">
        <v>4617</v>
      </c>
      <c r="D13947" s="17" t="s">
        <v>1396</v>
      </c>
      <c r="E13947" s="17" t="s">
        <v>2180</v>
      </c>
      <c r="F13947" s="17" t="s">
        <v>2181</v>
      </c>
      <c r="G13947" s="18" t="n">
        <v>3128.89</v>
      </c>
      <c r="H13947" s="18" t="n">
        <v>0</v>
      </c>
      <c r="I13947" s="18" t="n">
        <f aca="false">((I13946 + G13947) - H13947)</f>
        <v>57396.14</v>
      </c>
      <c r="J13947" s="18" t="n">
        <v>0</v>
      </c>
      <c r="K13947" s="19" t="n">
        <v>0</v>
      </c>
      <c r="L13947" s="17" t="s">
        <v>1399</v>
      </c>
    </row>
    <row r="13948" s="11" customFormat="true" ht="10.95" hidden="false" customHeight="true" outlineLevel="0" collapsed="false">
      <c r="A13948" s="16" t="n">
        <v>45473</v>
      </c>
      <c r="B13948" s="17" t="s">
        <v>4616</v>
      </c>
      <c r="C13948" s="17" t="s">
        <v>4617</v>
      </c>
      <c r="D13948" s="17" t="s">
        <v>1396</v>
      </c>
      <c r="E13948" s="17" t="s">
        <v>2182</v>
      </c>
      <c r="F13948" s="17" t="s">
        <v>2183</v>
      </c>
      <c r="G13948" s="18" t="n">
        <v>2624</v>
      </c>
      <c r="H13948" s="18" t="n">
        <v>0</v>
      </c>
      <c r="I13948" s="18" t="n">
        <f aca="false">((I13947 + G13948) - H13948)</f>
        <v>60020.14</v>
      </c>
      <c r="J13948" s="18" t="n">
        <v>0</v>
      </c>
      <c r="K13948" s="19" t="n">
        <v>0</v>
      </c>
      <c r="L13948" s="17" t="s">
        <v>1399</v>
      </c>
    </row>
    <row r="13949" s="11" customFormat="true" ht="10.95" hidden="false" customHeight="true" outlineLevel="0" collapsed="false">
      <c r="A13949" s="16" t="n">
        <v>45473</v>
      </c>
      <c r="B13949" s="17" t="s">
        <v>4616</v>
      </c>
      <c r="C13949" s="17" t="s">
        <v>4617</v>
      </c>
      <c r="D13949" s="17" t="s">
        <v>1396</v>
      </c>
      <c r="E13949" s="17" t="s">
        <v>4612</v>
      </c>
      <c r="F13949" s="17" t="s">
        <v>4613</v>
      </c>
      <c r="G13949" s="18" t="n">
        <v>0</v>
      </c>
      <c r="H13949" s="18" t="n">
        <v>509.05</v>
      </c>
      <c r="I13949" s="18" t="n">
        <f aca="false">((I13948 + G13949) - H13949)</f>
        <v>59511.09</v>
      </c>
      <c r="J13949" s="18" t="n">
        <v>0</v>
      </c>
      <c r="K13949" s="19" t="n">
        <v>0</v>
      </c>
      <c r="L13949" s="17" t="s">
        <v>1399</v>
      </c>
    </row>
    <row r="13950" s="11" customFormat="true" ht="10.95" hidden="false" customHeight="true" outlineLevel="0" collapsed="false">
      <c r="A13950" s="16" t="n">
        <v>45473</v>
      </c>
      <c r="B13950" s="17" t="s">
        <v>4616</v>
      </c>
      <c r="C13950" s="17" t="s">
        <v>4617</v>
      </c>
      <c r="D13950" s="17" t="s">
        <v>1396</v>
      </c>
      <c r="E13950" s="17" t="s">
        <v>4544</v>
      </c>
      <c r="F13950" s="17" t="s">
        <v>4545</v>
      </c>
      <c r="G13950" s="18" t="n">
        <v>0</v>
      </c>
      <c r="H13950" s="18" t="n">
        <v>56266.9</v>
      </c>
      <c r="I13950" s="18" t="n">
        <f aca="false">((I13949 + G13950) - H13950)</f>
        <v>3244.19</v>
      </c>
      <c r="J13950" s="18" t="n">
        <v>0</v>
      </c>
      <c r="K13950" s="19" t="n">
        <v>0</v>
      </c>
      <c r="L13950" s="17" t="s">
        <v>1399</v>
      </c>
    </row>
    <row r="13951" s="11" customFormat="true" ht="10.95" hidden="false" customHeight="true" outlineLevel="0" collapsed="false">
      <c r="A13951" s="21" t="s">
        <v>4623</v>
      </c>
      <c r="B13951" s="21"/>
      <c r="C13951" s="21"/>
      <c r="D13951" s="21"/>
      <c r="E13951" s="21"/>
      <c r="F13951" s="21"/>
      <c r="G13951" s="22" t="n">
        <f aca="false">SUM(G13936:G13950)</f>
        <v>38787.98</v>
      </c>
      <c r="H13951" s="22" t="n">
        <f aca="false">SUM(H13936:H13950)</f>
        <v>56775.95</v>
      </c>
      <c r="I13951" s="22" t="n">
        <f aca="false">I13950</f>
        <v>3244.19</v>
      </c>
      <c r="J13951" s="22" t="n">
        <f aca="false">SUM(J13936:J13950)</f>
        <v>0</v>
      </c>
      <c r="K13951" s="21"/>
      <c r="L13951" s="21"/>
    </row>
    <row r="13952" s="11" customFormat="true" ht="10.95" hidden="false" customHeight="true" outlineLevel="0" collapsed="false">
      <c r="A13952" s="21" t="s">
        <v>784</v>
      </c>
      <c r="B13952" s="21"/>
      <c r="C13952" s="21"/>
      <c r="D13952" s="21"/>
      <c r="E13952" s="21"/>
      <c r="F13952" s="21"/>
      <c r="G13952" s="22" t="n">
        <v>0</v>
      </c>
      <c r="H13952" s="22" t="n">
        <v>17987.97</v>
      </c>
      <c r="I13952" s="22" t="n">
        <v>0</v>
      </c>
      <c r="J13952" s="22" t="n">
        <v>0</v>
      </c>
      <c r="K13952" s="21"/>
      <c r="L13952" s="21"/>
    </row>
    <row r="13953" s="11" customFormat="true" ht="10.95" hidden="false" customHeight="true" outlineLevel="0" collapsed="false">
      <c r="A13953" s="9" t="s">
        <v>785</v>
      </c>
      <c r="B13953" s="9"/>
      <c r="C13953" s="9"/>
      <c r="D13953" s="9"/>
      <c r="E13953" s="9"/>
      <c r="F13953" s="9"/>
      <c r="G13953" s="10" t="n">
        <v>3244.19</v>
      </c>
      <c r="H13953" s="10" t="n">
        <v>0</v>
      </c>
      <c r="I13953" s="10" t="n">
        <f aca="false">I13950</f>
        <v>3244.19</v>
      </c>
      <c r="J13953" s="10" t="n">
        <v>0</v>
      </c>
      <c r="K13953" s="9"/>
      <c r="L13953" s="9"/>
    </row>
    <row r="13954" customFormat="false" ht="13.35" hidden="false" customHeight="true" outlineLevel="0" collapsed="false"/>
    <row r="13955" s="7" customFormat="true" ht="12.1" hidden="false" customHeight="true" outlineLevel="0" collapsed="false">
      <c r="A13955" s="8" t="s">
        <v>4624</v>
      </c>
      <c r="B13955" s="8"/>
      <c r="C13955" s="8"/>
      <c r="D13955" s="8"/>
      <c r="E13955" s="8"/>
      <c r="F13955" s="8"/>
      <c r="G13955" s="8"/>
      <c r="H13955" s="8"/>
      <c r="I13955" s="8"/>
      <c r="J13955" s="8"/>
      <c r="K13955" s="8"/>
      <c r="L13955" s="8"/>
    </row>
    <row r="13956" s="11" customFormat="true" ht="10.95" hidden="false" customHeight="true" outlineLevel="0" collapsed="false">
      <c r="A13956" s="9" t="s">
        <v>16</v>
      </c>
      <c r="B13956" s="9"/>
      <c r="C13956" s="9"/>
      <c r="D13956" s="9"/>
      <c r="E13956" s="9"/>
      <c r="F13956" s="9"/>
      <c r="G13956" s="10" t="n">
        <v>0</v>
      </c>
      <c r="H13956" s="10" t="n">
        <v>8902.33</v>
      </c>
      <c r="I13956" s="10" t="n">
        <f aca="false">(G13956 - H13956)</f>
        <v>-8902.33</v>
      </c>
      <c r="J13956" s="10" t="n">
        <v>0</v>
      </c>
      <c r="K13956" s="9"/>
      <c r="L13956" s="9"/>
    </row>
    <row r="13957" s="11" customFormat="true" ht="10.95" hidden="false" customHeight="true" outlineLevel="0" collapsed="false">
      <c r="A13957" s="12" t="n">
        <v>45209</v>
      </c>
      <c r="B13957" s="13" t="s">
        <v>4625</v>
      </c>
      <c r="C13957" s="13" t="s">
        <v>4617</v>
      </c>
      <c r="D13957" s="13" t="s">
        <v>1407</v>
      </c>
      <c r="E13957" s="13" t="s">
        <v>4626</v>
      </c>
      <c r="F13957" s="13"/>
      <c r="G13957" s="14" t="n">
        <v>24184.44</v>
      </c>
      <c r="H13957" s="14" t="n">
        <v>0</v>
      </c>
      <c r="I13957" s="14" t="n">
        <f aca="false">((I13956 + G13957) - H13957)</f>
        <v>15282.11</v>
      </c>
      <c r="J13957" s="14" t="n">
        <v>0</v>
      </c>
      <c r="K13957" s="15" t="n">
        <v>0</v>
      </c>
      <c r="L13957" s="13" t="s">
        <v>1399</v>
      </c>
    </row>
    <row r="13958" s="11" customFormat="true" ht="10.95" hidden="false" customHeight="true" outlineLevel="0" collapsed="false">
      <c r="A13958" s="16" t="n">
        <v>45250</v>
      </c>
      <c r="B13958" s="17" t="s">
        <v>4625</v>
      </c>
      <c r="C13958" s="17" t="s">
        <v>4617</v>
      </c>
      <c r="D13958" s="17" t="s">
        <v>1276</v>
      </c>
      <c r="E13958" s="17" t="s">
        <v>4627</v>
      </c>
      <c r="F13958" s="17"/>
      <c r="G13958" s="18" t="n">
        <v>0</v>
      </c>
      <c r="H13958" s="18" t="n">
        <v>24693.49</v>
      </c>
      <c r="I13958" s="18" t="n">
        <f aca="false">((I13957 + G13958) - H13958)</f>
        <v>-9411.38</v>
      </c>
      <c r="J13958" s="18" t="n">
        <v>0</v>
      </c>
      <c r="K13958" s="19" t="n">
        <v>0</v>
      </c>
      <c r="L13958" s="17" t="s">
        <v>1399</v>
      </c>
    </row>
    <row r="13959" s="11" customFormat="true" ht="10.95" hidden="false" customHeight="true" outlineLevel="0" collapsed="false">
      <c r="A13959" s="16" t="n">
        <v>45473</v>
      </c>
      <c r="B13959" s="17" t="s">
        <v>4625</v>
      </c>
      <c r="C13959" s="17" t="s">
        <v>4617</v>
      </c>
      <c r="D13959" s="17" t="s">
        <v>1396</v>
      </c>
      <c r="E13959" s="17" t="s">
        <v>4612</v>
      </c>
      <c r="F13959" s="17" t="s">
        <v>4613</v>
      </c>
      <c r="G13959" s="18" t="n">
        <v>9411.38</v>
      </c>
      <c r="H13959" s="18" t="n">
        <v>0</v>
      </c>
      <c r="I13959" s="18" t="n">
        <f aca="false">((I13958 + G13959) - H13959)</f>
        <v>0</v>
      </c>
      <c r="J13959" s="18" t="n">
        <v>0</v>
      </c>
      <c r="K13959" s="19" t="n">
        <v>0</v>
      </c>
      <c r="L13959" s="17" t="s">
        <v>1399</v>
      </c>
    </row>
    <row r="13960" s="11" customFormat="true" ht="10.95" hidden="false" customHeight="true" outlineLevel="0" collapsed="false">
      <c r="A13960" s="21" t="s">
        <v>4628</v>
      </c>
      <c r="B13960" s="21"/>
      <c r="C13960" s="21"/>
      <c r="D13960" s="21"/>
      <c r="E13960" s="21"/>
      <c r="F13960" s="21"/>
      <c r="G13960" s="22" t="n">
        <f aca="false">SUM(G13957:G13959)</f>
        <v>33595.82</v>
      </c>
      <c r="H13960" s="22" t="n">
        <f aca="false">SUM(H13957:H13959)</f>
        <v>24693.49</v>
      </c>
      <c r="I13960" s="22" t="n">
        <f aca="false">I13959</f>
        <v>0</v>
      </c>
      <c r="J13960" s="22" t="n">
        <f aca="false">SUM(J13957:J13959)</f>
        <v>0</v>
      </c>
      <c r="K13960" s="21"/>
      <c r="L13960" s="21"/>
    </row>
    <row r="13961" s="11" customFormat="true" ht="10.95" hidden="false" customHeight="true" outlineLevel="0" collapsed="false">
      <c r="A13961" s="21" t="s">
        <v>784</v>
      </c>
      <c r="B13961" s="21"/>
      <c r="C13961" s="21"/>
      <c r="D13961" s="21"/>
      <c r="E13961" s="21"/>
      <c r="F13961" s="21"/>
      <c r="G13961" s="22" t="n">
        <v>8902.33</v>
      </c>
      <c r="H13961" s="22" t="n">
        <v>0</v>
      </c>
      <c r="I13961" s="22" t="n">
        <v>0</v>
      </c>
      <c r="J13961" s="22" t="n">
        <v>0</v>
      </c>
      <c r="K13961" s="21"/>
      <c r="L13961" s="21"/>
    </row>
    <row r="13962" s="11" customFormat="true" ht="10.95" hidden="false" customHeight="true" outlineLevel="0" collapsed="false">
      <c r="A13962" s="9" t="s">
        <v>785</v>
      </c>
      <c r="B13962" s="9"/>
      <c r="C13962" s="9"/>
      <c r="D13962" s="9"/>
      <c r="E13962" s="9"/>
      <c r="F13962" s="9"/>
      <c r="G13962" s="10" t="n">
        <v>0</v>
      </c>
      <c r="H13962" s="10" t="n">
        <v>0</v>
      </c>
      <c r="I13962" s="10" t="n">
        <f aca="false">I13959</f>
        <v>0</v>
      </c>
      <c r="J13962" s="10" t="n">
        <v>0</v>
      </c>
      <c r="K13962" s="9"/>
      <c r="L13962" s="9"/>
    </row>
    <row r="13963" customFormat="false" ht="13.35" hidden="false" customHeight="true" outlineLevel="0" collapsed="false"/>
    <row r="13964" s="7" customFormat="true" ht="12.1" hidden="false" customHeight="true" outlineLevel="0" collapsed="false">
      <c r="A13964" s="8" t="s">
        <v>4629</v>
      </c>
      <c r="B13964" s="8"/>
      <c r="C13964" s="8"/>
      <c r="D13964" s="8"/>
      <c r="E13964" s="8"/>
      <c r="F13964" s="8"/>
      <c r="G13964" s="8"/>
      <c r="H13964" s="8"/>
      <c r="I13964" s="8"/>
      <c r="J13964" s="8"/>
      <c r="K13964" s="8"/>
      <c r="L13964" s="8"/>
    </row>
    <row r="13965" s="11" customFormat="true" ht="10.95" hidden="false" customHeight="true" outlineLevel="0" collapsed="false">
      <c r="A13965" s="9" t="s">
        <v>16</v>
      </c>
      <c r="B13965" s="9"/>
      <c r="C13965" s="9"/>
      <c r="D13965" s="9"/>
      <c r="E13965" s="9"/>
      <c r="F13965" s="9"/>
      <c r="G13965" s="10" t="n">
        <v>0</v>
      </c>
      <c r="H13965" s="10" t="n">
        <v>0</v>
      </c>
      <c r="I13965" s="10" t="n">
        <f aca="false">(G13965 - H13965)</f>
        <v>0</v>
      </c>
      <c r="J13965" s="10" t="n">
        <v>0</v>
      </c>
      <c r="K13965" s="9"/>
      <c r="L13965" s="9"/>
    </row>
    <row r="13966" s="11" customFormat="true" ht="10.95" hidden="false" customHeight="true" outlineLevel="0" collapsed="false">
      <c r="A13966" s="12" t="n">
        <v>45437</v>
      </c>
      <c r="B13966" s="13" t="s">
        <v>4630</v>
      </c>
      <c r="C13966" s="13" t="s">
        <v>3370</v>
      </c>
      <c r="D13966" s="13" t="s">
        <v>1407</v>
      </c>
      <c r="E13966" s="13" t="s">
        <v>4631</v>
      </c>
      <c r="F13966" s="13"/>
      <c r="G13966" s="14" t="n">
        <v>153.42</v>
      </c>
      <c r="H13966" s="14" t="n">
        <v>0</v>
      </c>
      <c r="I13966" s="14" t="n">
        <f aca="false">((I13965 + G13966) - H13966)</f>
        <v>153.42</v>
      </c>
      <c r="J13966" s="14" t="n">
        <v>0</v>
      </c>
      <c r="K13966" s="15" t="n">
        <v>0</v>
      </c>
      <c r="L13966" s="13" t="s">
        <v>1399</v>
      </c>
    </row>
    <row r="13967" s="11" customFormat="true" ht="10.95" hidden="false" customHeight="true" outlineLevel="0" collapsed="false">
      <c r="A13967" s="16" t="n">
        <v>45438</v>
      </c>
      <c r="B13967" s="17" t="s">
        <v>4630</v>
      </c>
      <c r="C13967" s="17" t="s">
        <v>3370</v>
      </c>
      <c r="D13967" s="17" t="s">
        <v>1407</v>
      </c>
      <c r="E13967" s="17" t="s">
        <v>4632</v>
      </c>
      <c r="F13967" s="17"/>
      <c r="G13967" s="18" t="n">
        <v>42.47</v>
      </c>
      <c r="H13967" s="18" t="n">
        <v>0</v>
      </c>
      <c r="I13967" s="18" t="n">
        <f aca="false">((I13966 + G13967) - H13967)</f>
        <v>195.89</v>
      </c>
      <c r="J13967" s="18" t="n">
        <v>0</v>
      </c>
      <c r="K13967" s="19" t="n">
        <v>0</v>
      </c>
      <c r="L13967" s="17" t="s">
        <v>1399</v>
      </c>
    </row>
    <row r="13968" s="11" customFormat="true" ht="10.95" hidden="false" customHeight="true" outlineLevel="0" collapsed="false">
      <c r="A13968" s="16" t="n">
        <v>45438</v>
      </c>
      <c r="B13968" s="17" t="s">
        <v>4630</v>
      </c>
      <c r="C13968" s="17" t="s">
        <v>3370</v>
      </c>
      <c r="D13968" s="17" t="s">
        <v>1407</v>
      </c>
      <c r="E13968" s="17" t="s">
        <v>4632</v>
      </c>
      <c r="F13968" s="17"/>
      <c r="G13968" s="18" t="n">
        <v>74</v>
      </c>
      <c r="H13968" s="18" t="n">
        <v>0</v>
      </c>
      <c r="I13968" s="18" t="n">
        <f aca="false">((I13967 + G13968) - H13968)</f>
        <v>269.89</v>
      </c>
      <c r="J13968" s="18" t="n">
        <v>0</v>
      </c>
      <c r="K13968" s="19" t="n">
        <v>0</v>
      </c>
      <c r="L13968" s="17" t="s">
        <v>1399</v>
      </c>
    </row>
    <row r="13969" s="11" customFormat="true" ht="10.95" hidden="false" customHeight="true" outlineLevel="0" collapsed="false">
      <c r="A13969" s="16" t="n">
        <v>45438</v>
      </c>
      <c r="B13969" s="17" t="s">
        <v>4630</v>
      </c>
      <c r="C13969" s="17" t="s">
        <v>3370</v>
      </c>
      <c r="D13969" s="17" t="s">
        <v>1407</v>
      </c>
      <c r="E13969" s="17" t="s">
        <v>4633</v>
      </c>
      <c r="F13969" s="17"/>
      <c r="G13969" s="18" t="n">
        <v>100.27</v>
      </c>
      <c r="H13969" s="18" t="n">
        <v>0</v>
      </c>
      <c r="I13969" s="18" t="n">
        <f aca="false">((I13968 + G13969) - H13969)</f>
        <v>370.16</v>
      </c>
      <c r="J13969" s="18" t="n">
        <v>0</v>
      </c>
      <c r="K13969" s="19" t="n">
        <v>0</v>
      </c>
      <c r="L13969" s="17" t="s">
        <v>1399</v>
      </c>
    </row>
    <row r="13970" s="11" customFormat="true" ht="10.95" hidden="false" customHeight="true" outlineLevel="0" collapsed="false">
      <c r="A13970" s="16" t="n">
        <v>45438</v>
      </c>
      <c r="B13970" s="17" t="s">
        <v>4630</v>
      </c>
      <c r="C13970" s="17" t="s">
        <v>3370</v>
      </c>
      <c r="D13970" s="17" t="s">
        <v>1407</v>
      </c>
      <c r="E13970" s="17" t="s">
        <v>4634</v>
      </c>
      <c r="F13970" s="17"/>
      <c r="G13970" s="18" t="n">
        <v>35</v>
      </c>
      <c r="H13970" s="18" t="n">
        <v>0</v>
      </c>
      <c r="I13970" s="18" t="n">
        <f aca="false">((I13969 + G13970) - H13970)</f>
        <v>405.16</v>
      </c>
      <c r="J13970" s="18" t="n">
        <v>0</v>
      </c>
      <c r="K13970" s="19" t="n">
        <v>0</v>
      </c>
      <c r="L13970" s="17" t="s">
        <v>1399</v>
      </c>
    </row>
    <row r="13971" s="11" customFormat="true" ht="10.95" hidden="false" customHeight="true" outlineLevel="0" collapsed="false">
      <c r="A13971" s="16" t="n">
        <v>45438</v>
      </c>
      <c r="B13971" s="17" t="s">
        <v>4630</v>
      </c>
      <c r="C13971" s="17" t="s">
        <v>3370</v>
      </c>
      <c r="D13971" s="17" t="s">
        <v>1407</v>
      </c>
      <c r="E13971" s="17" t="s">
        <v>4635</v>
      </c>
      <c r="F13971" s="17"/>
      <c r="G13971" s="18" t="n">
        <v>36.94</v>
      </c>
      <c r="H13971" s="18" t="n">
        <v>0</v>
      </c>
      <c r="I13971" s="18" t="n">
        <f aca="false">((I13970 + G13971) - H13971)</f>
        <v>442.1</v>
      </c>
      <c r="J13971" s="18" t="n">
        <v>0</v>
      </c>
      <c r="K13971" s="19" t="n">
        <v>0</v>
      </c>
      <c r="L13971" s="17" t="s">
        <v>1399</v>
      </c>
    </row>
    <row r="13972" s="11" customFormat="true" ht="10.95" hidden="false" customHeight="true" outlineLevel="0" collapsed="false">
      <c r="A13972" s="16" t="n">
        <v>45438</v>
      </c>
      <c r="B13972" s="17" t="s">
        <v>4630</v>
      </c>
      <c r="C13972" s="17" t="s">
        <v>3370</v>
      </c>
      <c r="D13972" s="17" t="s">
        <v>1407</v>
      </c>
      <c r="E13972" s="17" t="s">
        <v>4636</v>
      </c>
      <c r="F13972" s="17"/>
      <c r="G13972" s="18" t="n">
        <v>9.9</v>
      </c>
      <c r="H13972" s="18" t="n">
        <v>0</v>
      </c>
      <c r="I13972" s="18" t="n">
        <f aca="false">((I13971 + G13972) - H13972)</f>
        <v>452</v>
      </c>
      <c r="J13972" s="18" t="n">
        <v>0</v>
      </c>
      <c r="K13972" s="19" t="n">
        <v>0</v>
      </c>
      <c r="L13972" s="17" t="s">
        <v>1399</v>
      </c>
    </row>
    <row r="13973" s="11" customFormat="true" ht="10.95" hidden="false" customHeight="true" outlineLevel="0" collapsed="false">
      <c r="A13973" s="16" t="n">
        <v>45439</v>
      </c>
      <c r="B13973" s="17" t="s">
        <v>4630</v>
      </c>
      <c r="C13973" s="17" t="s">
        <v>3370</v>
      </c>
      <c r="D13973" s="17" t="s">
        <v>1407</v>
      </c>
      <c r="E13973" s="17" t="s">
        <v>4637</v>
      </c>
      <c r="F13973" s="17"/>
      <c r="G13973" s="18" t="n">
        <v>74.48</v>
      </c>
      <c r="H13973" s="18" t="n">
        <v>0</v>
      </c>
      <c r="I13973" s="18" t="n">
        <f aca="false">((I13972 + G13973) - H13973)</f>
        <v>526.48</v>
      </c>
      <c r="J13973" s="18" t="n">
        <v>0</v>
      </c>
      <c r="K13973" s="19" t="n">
        <v>0</v>
      </c>
      <c r="L13973" s="17" t="s">
        <v>1399</v>
      </c>
    </row>
    <row r="13974" s="11" customFormat="true" ht="10.95" hidden="false" customHeight="true" outlineLevel="0" collapsed="false">
      <c r="A13974" s="16" t="n">
        <v>45440</v>
      </c>
      <c r="B13974" s="17" t="s">
        <v>4630</v>
      </c>
      <c r="C13974" s="17" t="s">
        <v>3370</v>
      </c>
      <c r="D13974" s="17" t="s">
        <v>1407</v>
      </c>
      <c r="E13974" s="17" t="s">
        <v>4638</v>
      </c>
      <c r="F13974" s="17"/>
      <c r="G13974" s="18" t="n">
        <v>261.82</v>
      </c>
      <c r="H13974" s="18" t="n">
        <v>0</v>
      </c>
      <c r="I13974" s="18" t="n">
        <f aca="false">((I13973 + G13974) - H13974)</f>
        <v>788.3</v>
      </c>
      <c r="J13974" s="18" t="n">
        <v>0</v>
      </c>
      <c r="K13974" s="19" t="n">
        <v>0</v>
      </c>
      <c r="L13974" s="17" t="s">
        <v>1399</v>
      </c>
    </row>
    <row r="13975" s="11" customFormat="true" ht="10.95" hidden="false" customHeight="true" outlineLevel="0" collapsed="false">
      <c r="A13975" s="21" t="s">
        <v>4639</v>
      </c>
      <c r="B13975" s="21"/>
      <c r="C13975" s="21"/>
      <c r="D13975" s="21"/>
      <c r="E13975" s="21"/>
      <c r="F13975" s="21"/>
      <c r="G13975" s="22" t="n">
        <f aca="false">SUM(G13966:G13974)</f>
        <v>788.3</v>
      </c>
      <c r="H13975" s="22" t="n">
        <f aca="false">SUM(H13966:H13974)</f>
        <v>0</v>
      </c>
      <c r="I13975" s="22" t="n">
        <f aca="false">I13974</f>
        <v>788.3</v>
      </c>
      <c r="J13975" s="22" t="n">
        <f aca="false">SUM(J13966:J13974)</f>
        <v>0</v>
      </c>
      <c r="K13975" s="21"/>
      <c r="L13975" s="21"/>
    </row>
    <row r="13976" s="11" customFormat="true" ht="10.95" hidden="false" customHeight="true" outlineLevel="0" collapsed="false">
      <c r="A13976" s="21" t="s">
        <v>784</v>
      </c>
      <c r="B13976" s="21"/>
      <c r="C13976" s="21"/>
      <c r="D13976" s="21"/>
      <c r="E13976" s="21"/>
      <c r="F13976" s="21"/>
      <c r="G13976" s="22" t="n">
        <v>788.3</v>
      </c>
      <c r="H13976" s="22" t="n">
        <v>0</v>
      </c>
      <c r="I13976" s="22" t="n">
        <v>0</v>
      </c>
      <c r="J13976" s="22" t="n">
        <v>0</v>
      </c>
      <c r="K13976" s="21"/>
      <c r="L13976" s="21"/>
    </row>
    <row r="13977" s="11" customFormat="true" ht="10.95" hidden="false" customHeight="true" outlineLevel="0" collapsed="false">
      <c r="A13977" s="9" t="s">
        <v>785</v>
      </c>
      <c r="B13977" s="9"/>
      <c r="C13977" s="9"/>
      <c r="D13977" s="9"/>
      <c r="E13977" s="9"/>
      <c r="F13977" s="9"/>
      <c r="G13977" s="10" t="n">
        <v>788.3</v>
      </c>
      <c r="H13977" s="10" t="n">
        <v>0</v>
      </c>
      <c r="I13977" s="10" t="n">
        <f aca="false">I13974</f>
        <v>788.3</v>
      </c>
      <c r="J13977" s="10" t="n">
        <v>0</v>
      </c>
      <c r="K13977" s="9"/>
      <c r="L13977" s="9"/>
    </row>
    <row r="13978" customFormat="false" ht="13.35" hidden="false" customHeight="true" outlineLevel="0" collapsed="false"/>
    <row r="13979" s="7" customFormat="true" ht="12.1" hidden="false" customHeight="true" outlineLevel="0" collapsed="false">
      <c r="A13979" s="8" t="s">
        <v>4640</v>
      </c>
      <c r="B13979" s="8"/>
      <c r="C13979" s="8"/>
      <c r="D13979" s="8"/>
      <c r="E13979" s="8"/>
      <c r="F13979" s="8"/>
      <c r="G13979" s="8"/>
      <c r="H13979" s="8"/>
      <c r="I13979" s="8"/>
      <c r="J13979" s="8"/>
      <c r="K13979" s="8"/>
      <c r="L13979" s="8"/>
    </row>
    <row r="13980" s="11" customFormat="true" ht="10.95" hidden="false" customHeight="true" outlineLevel="0" collapsed="false">
      <c r="A13980" s="9" t="s">
        <v>16</v>
      </c>
      <c r="B13980" s="9"/>
      <c r="C13980" s="9"/>
      <c r="D13980" s="9"/>
      <c r="E13980" s="9"/>
      <c r="F13980" s="9"/>
      <c r="G13980" s="10" t="n">
        <v>0</v>
      </c>
      <c r="H13980" s="10" t="n">
        <v>200000</v>
      </c>
      <c r="I13980" s="10" t="n">
        <f aca="false">(G13980 - H13980)</f>
        <v>-200000</v>
      </c>
      <c r="J13980" s="10" t="n">
        <v>0</v>
      </c>
      <c r="K13980" s="9"/>
      <c r="L13980" s="9"/>
    </row>
    <row r="13981" s="11" customFormat="true" ht="10.95" hidden="false" customHeight="true" outlineLevel="0" collapsed="false">
      <c r="A13981" s="12" t="n">
        <v>45139</v>
      </c>
      <c r="B13981" s="13" t="s">
        <v>4641</v>
      </c>
      <c r="C13981" s="13" t="s">
        <v>4617</v>
      </c>
      <c r="D13981" s="13" t="s">
        <v>1407</v>
      </c>
      <c r="E13981" s="13" t="s">
        <v>4642</v>
      </c>
      <c r="F13981" s="13"/>
      <c r="G13981" s="14" t="n">
        <v>60622.13</v>
      </c>
      <c r="H13981" s="14" t="n">
        <v>0</v>
      </c>
      <c r="I13981" s="14" t="n">
        <f aca="false">((I13980 + G13981) - H13981)</f>
        <v>-139377.87</v>
      </c>
      <c r="J13981" s="14" t="n">
        <v>0</v>
      </c>
      <c r="K13981" s="15" t="n">
        <v>0</v>
      </c>
      <c r="L13981" s="13" t="s">
        <v>1399</v>
      </c>
    </row>
    <row r="13982" s="11" customFormat="true" ht="10.95" hidden="false" customHeight="true" outlineLevel="0" collapsed="false">
      <c r="A13982" s="21" t="s">
        <v>4643</v>
      </c>
      <c r="B13982" s="21"/>
      <c r="C13982" s="21"/>
      <c r="D13982" s="21"/>
      <c r="E13982" s="21"/>
      <c r="F13982" s="21"/>
      <c r="G13982" s="22" t="n">
        <f aca="false">G13981</f>
        <v>60622.13</v>
      </c>
      <c r="H13982" s="22" t="n">
        <f aca="false">H13981</f>
        <v>0</v>
      </c>
      <c r="I13982" s="22" t="n">
        <f aca="false">I13981</f>
        <v>-139377.87</v>
      </c>
      <c r="J13982" s="22" t="n">
        <f aca="false">J13981</f>
        <v>0</v>
      </c>
      <c r="K13982" s="21"/>
      <c r="L13982" s="21"/>
    </row>
    <row r="13983" s="11" customFormat="true" ht="10.95" hidden="false" customHeight="true" outlineLevel="0" collapsed="false">
      <c r="A13983" s="21" t="s">
        <v>784</v>
      </c>
      <c r="B13983" s="21"/>
      <c r="C13983" s="21"/>
      <c r="D13983" s="21"/>
      <c r="E13983" s="21"/>
      <c r="F13983" s="21"/>
      <c r="G13983" s="22" t="n">
        <v>60622.13</v>
      </c>
      <c r="H13983" s="22" t="n">
        <v>0</v>
      </c>
      <c r="I13983" s="22" t="n">
        <v>0</v>
      </c>
      <c r="J13983" s="22" t="n">
        <v>0</v>
      </c>
      <c r="K13983" s="21"/>
      <c r="L13983" s="21"/>
    </row>
    <row r="13984" s="11" customFormat="true" ht="10.95" hidden="false" customHeight="true" outlineLevel="0" collapsed="false">
      <c r="A13984" s="9" t="s">
        <v>785</v>
      </c>
      <c r="B13984" s="9"/>
      <c r="C13984" s="9"/>
      <c r="D13984" s="9"/>
      <c r="E13984" s="9"/>
      <c r="F13984" s="9"/>
      <c r="G13984" s="10" t="n">
        <v>0</v>
      </c>
      <c r="H13984" s="10" t="n">
        <v>139377.87</v>
      </c>
      <c r="I13984" s="10" t="n">
        <f aca="false">I13981</f>
        <v>-139377.87</v>
      </c>
      <c r="J13984" s="10" t="n">
        <v>0</v>
      </c>
      <c r="K13984" s="9"/>
      <c r="L13984" s="9"/>
    </row>
    <row r="13985" customFormat="false" ht="13.35" hidden="false" customHeight="true" outlineLevel="0" collapsed="false"/>
    <row r="13986" s="7" customFormat="true" ht="12.1" hidden="false" customHeight="true" outlineLevel="0" collapsed="false">
      <c r="A13986" s="8" t="s">
        <v>4644</v>
      </c>
      <c r="B13986" s="8"/>
      <c r="C13986" s="8"/>
      <c r="D13986" s="8"/>
      <c r="E13986" s="8"/>
      <c r="F13986" s="8"/>
      <c r="G13986" s="8"/>
      <c r="H13986" s="8"/>
      <c r="I13986" s="8"/>
      <c r="J13986" s="8"/>
      <c r="K13986" s="8"/>
      <c r="L13986" s="8"/>
    </row>
    <row r="13987" s="11" customFormat="true" ht="10.95" hidden="false" customHeight="true" outlineLevel="0" collapsed="false">
      <c r="A13987" s="9" t="s">
        <v>16</v>
      </c>
      <c r="B13987" s="9"/>
      <c r="C13987" s="9"/>
      <c r="D13987" s="9"/>
      <c r="E13987" s="9"/>
      <c r="F13987" s="9"/>
      <c r="G13987" s="10" t="n">
        <v>0</v>
      </c>
      <c r="H13987" s="10" t="n">
        <v>33796.23</v>
      </c>
      <c r="I13987" s="10" t="n">
        <f aca="false">(G13987 - H13987)</f>
        <v>-33796.23</v>
      </c>
      <c r="J13987" s="10" t="n">
        <v>0</v>
      </c>
      <c r="K13987" s="9"/>
      <c r="L13987" s="9"/>
    </row>
    <row r="13988" s="11" customFormat="true" ht="10.95" hidden="false" customHeight="true" outlineLevel="0" collapsed="false">
      <c r="A13988" s="13"/>
      <c r="B13988" s="13" t="s">
        <v>4645</v>
      </c>
      <c r="C13988" s="13" t="s">
        <v>4646</v>
      </c>
      <c r="D13988" s="13"/>
      <c r="E13988" s="13" t="s">
        <v>3546</v>
      </c>
      <c r="F13988" s="13"/>
      <c r="G13988" s="14" t="n">
        <v>0</v>
      </c>
      <c r="H13988" s="14" t="n">
        <v>0</v>
      </c>
      <c r="I13988" s="14" t="n">
        <f aca="false">((I13987 + G13988) - H13988)</f>
        <v>-33796.23</v>
      </c>
      <c r="J13988" s="14" t="n">
        <v>0</v>
      </c>
      <c r="K13988" s="15" t="n">
        <v>0</v>
      </c>
      <c r="L13988" s="13"/>
    </row>
    <row r="13989" s="11" customFormat="true" ht="10.95" hidden="false" customHeight="true" outlineLevel="0" collapsed="false">
      <c r="A13989" s="21" t="s">
        <v>4647</v>
      </c>
      <c r="B13989" s="21"/>
      <c r="C13989" s="21"/>
      <c r="D13989" s="21"/>
      <c r="E13989" s="21"/>
      <c r="F13989" s="21"/>
      <c r="G13989" s="22" t="n">
        <f aca="false">G13988</f>
        <v>0</v>
      </c>
      <c r="H13989" s="22" t="n">
        <f aca="false">H13988</f>
        <v>0</v>
      </c>
      <c r="I13989" s="22" t="n">
        <f aca="false">I13988</f>
        <v>-33796.23</v>
      </c>
      <c r="J13989" s="22" t="n">
        <f aca="false">J13988</f>
        <v>0</v>
      </c>
      <c r="K13989" s="21"/>
      <c r="L13989" s="21"/>
    </row>
    <row r="13990" s="11" customFormat="true" ht="10.95" hidden="false" customHeight="true" outlineLevel="0" collapsed="false">
      <c r="A13990" s="21" t="s">
        <v>784</v>
      </c>
      <c r="B13990" s="21"/>
      <c r="C13990" s="21"/>
      <c r="D13990" s="21"/>
      <c r="E13990" s="21"/>
      <c r="F13990" s="21"/>
      <c r="G13990" s="22" t="n">
        <v>0</v>
      </c>
      <c r="H13990" s="22" t="n">
        <v>0</v>
      </c>
      <c r="I13990" s="22" t="n">
        <v>0</v>
      </c>
      <c r="J13990" s="22" t="n">
        <v>0</v>
      </c>
      <c r="K13990" s="21"/>
      <c r="L13990" s="21"/>
    </row>
    <row r="13991" s="11" customFormat="true" ht="10.95" hidden="false" customHeight="true" outlineLevel="0" collapsed="false">
      <c r="A13991" s="9" t="s">
        <v>785</v>
      </c>
      <c r="B13991" s="9"/>
      <c r="C13991" s="9"/>
      <c r="D13991" s="9"/>
      <c r="E13991" s="9"/>
      <c r="F13991" s="9"/>
      <c r="G13991" s="10" t="n">
        <v>0</v>
      </c>
      <c r="H13991" s="10" t="n">
        <v>33796.23</v>
      </c>
      <c r="I13991" s="10" t="n">
        <f aca="false">I13988</f>
        <v>-33796.23</v>
      </c>
      <c r="J13991" s="10" t="n">
        <v>0</v>
      </c>
      <c r="K13991" s="9"/>
      <c r="L13991" s="9"/>
    </row>
    <row r="13992" customFormat="false" ht="13.35" hidden="false" customHeight="true" outlineLevel="0" collapsed="false"/>
    <row r="13993" s="7" customFormat="true" ht="12.1" hidden="false" customHeight="true" outlineLevel="0" collapsed="false">
      <c r="A13993" s="8" t="s">
        <v>4648</v>
      </c>
      <c r="B13993" s="8"/>
      <c r="C13993" s="8"/>
      <c r="D13993" s="8"/>
      <c r="E13993" s="8"/>
      <c r="F13993" s="8"/>
      <c r="G13993" s="8"/>
      <c r="H13993" s="8"/>
      <c r="I13993" s="8"/>
      <c r="J13993" s="8"/>
      <c r="K13993" s="8"/>
      <c r="L13993" s="8"/>
    </row>
    <row r="13994" s="11" customFormat="true" ht="10.95" hidden="false" customHeight="true" outlineLevel="0" collapsed="false">
      <c r="A13994" s="9" t="s">
        <v>16</v>
      </c>
      <c r="B13994" s="9"/>
      <c r="C13994" s="9"/>
      <c r="D13994" s="9"/>
      <c r="E13994" s="9"/>
      <c r="F13994" s="9"/>
      <c r="G13994" s="10" t="n">
        <v>2901.15</v>
      </c>
      <c r="H13994" s="10" t="n">
        <v>0</v>
      </c>
      <c r="I13994" s="10" t="n">
        <f aca="false">(G13994 - H13994)</f>
        <v>2901.15</v>
      </c>
      <c r="J13994" s="10" t="n">
        <v>0</v>
      </c>
      <c r="K13994" s="9"/>
      <c r="L13994" s="9"/>
    </row>
    <row r="13995" s="11" customFormat="true" ht="10.95" hidden="false" customHeight="true" outlineLevel="0" collapsed="false">
      <c r="A13995" s="13"/>
      <c r="B13995" s="13" t="s">
        <v>4649</v>
      </c>
      <c r="C13995" s="13" t="s">
        <v>4646</v>
      </c>
      <c r="D13995" s="13"/>
      <c r="E13995" s="13" t="s">
        <v>3546</v>
      </c>
      <c r="F13995" s="13"/>
      <c r="G13995" s="14" t="n">
        <v>0</v>
      </c>
      <c r="H13995" s="14" t="n">
        <v>0</v>
      </c>
      <c r="I13995" s="14" t="n">
        <f aca="false">((I13994 + G13995) - H13995)</f>
        <v>2901.15</v>
      </c>
      <c r="J13995" s="14" t="n">
        <v>0</v>
      </c>
      <c r="K13995" s="15" t="n">
        <v>0</v>
      </c>
      <c r="L13995" s="13"/>
    </row>
    <row r="13996" s="11" customFormat="true" ht="10.95" hidden="false" customHeight="true" outlineLevel="0" collapsed="false">
      <c r="A13996" s="21" t="s">
        <v>4650</v>
      </c>
      <c r="B13996" s="21"/>
      <c r="C13996" s="21"/>
      <c r="D13996" s="21"/>
      <c r="E13996" s="21"/>
      <c r="F13996" s="21"/>
      <c r="G13996" s="22" t="n">
        <f aca="false">G13995</f>
        <v>0</v>
      </c>
      <c r="H13996" s="22" t="n">
        <f aca="false">H13995</f>
        <v>0</v>
      </c>
      <c r="I13996" s="22" t="n">
        <f aca="false">I13995</f>
        <v>2901.15</v>
      </c>
      <c r="J13996" s="22" t="n">
        <f aca="false">J13995</f>
        <v>0</v>
      </c>
      <c r="K13996" s="21"/>
      <c r="L13996" s="21"/>
    </row>
    <row r="13997" s="11" customFormat="true" ht="10.95" hidden="false" customHeight="true" outlineLevel="0" collapsed="false">
      <c r="A13997" s="21" t="s">
        <v>784</v>
      </c>
      <c r="B13997" s="21"/>
      <c r="C13997" s="21"/>
      <c r="D13997" s="21"/>
      <c r="E13997" s="21"/>
      <c r="F13997" s="21"/>
      <c r="G13997" s="22" t="n">
        <v>0</v>
      </c>
      <c r="H13997" s="22" t="n">
        <v>0</v>
      </c>
      <c r="I13997" s="22" t="n">
        <v>0</v>
      </c>
      <c r="J13997" s="22" t="n">
        <v>0</v>
      </c>
      <c r="K13997" s="21"/>
      <c r="L13997" s="21"/>
    </row>
    <row r="13998" s="11" customFormat="true" ht="10.95" hidden="false" customHeight="true" outlineLevel="0" collapsed="false">
      <c r="A13998" s="9" t="s">
        <v>785</v>
      </c>
      <c r="B13998" s="9"/>
      <c r="C13998" s="9"/>
      <c r="D13998" s="9"/>
      <c r="E13998" s="9"/>
      <c r="F13998" s="9"/>
      <c r="G13998" s="10" t="n">
        <v>2901.15</v>
      </c>
      <c r="H13998" s="10" t="n">
        <v>0</v>
      </c>
      <c r="I13998" s="10" t="n">
        <f aca="false">I13995</f>
        <v>2901.15</v>
      </c>
      <c r="J13998" s="10" t="n">
        <v>0</v>
      </c>
      <c r="K13998" s="9"/>
      <c r="L13998" s="9"/>
    </row>
    <row r="13999" customFormat="false" ht="13.35" hidden="false" customHeight="true" outlineLevel="0" collapsed="false"/>
    <row r="14000" s="11" customFormat="true" ht="10.95" hidden="false" customHeight="true" outlineLevel="0" collapsed="false">
      <c r="A14000" s="23" t="s">
        <v>4651</v>
      </c>
      <c r="B14000" s="23"/>
      <c r="C14000" s="23"/>
      <c r="D14000" s="23"/>
      <c r="E14000" s="23"/>
      <c r="F14000" s="23"/>
      <c r="G14000" s="24" t="n">
        <f aca="false">SUM(G1625,G2023,G2392,G2978,G3039,G3155,G3162,G3169,G3181,G3199,G3207,G3610,G3618,G3636,G3651,G3850,G3876,G3884,G3916,G3925,G3933,G3942,G3951,G3958,G3967,G3974,G3993,G4007,G4015,G4080,G4087,G4154,G4216,G4887,G5010,G5142,G5188,G5403,G5410,G5417,G5765,G5808,G5869,G5899,G5909,G7608,G7615,G7624,G7644,G7704,G7732,G7877,G8722,G8731,G9051,G9058,G9259,G11961,G12025,G12032,G12371,G13697,G13707,G13780,G13853,G13861,G13868,G13887,G13923,G13930,G13951,G13960,G13975,G13982,G13989,G13996)</f>
        <v>7834357.04</v>
      </c>
      <c r="H14000" s="24" t="n">
        <f aca="false">SUM(H1625,H2023,H2392,H2978,H3039,H3155,H3162,H3169,H3181,H3199,H3207,H3610,H3618,H3636,H3651,H3850,H3876,H3884,H3916,H3925,H3933,H3942,H3951,H3958,H3967,H3974,H3993,H4007,H4015,H4080,H4087,H4154,H4216,H4887,H5010,H5142,H5188,H5403,H5410,H5417,H5765,H5808,H5869,H5899,H5909,H7608,H7615,H7624,H7644,H7704,H7732,H7877,H8722,H8731,H9051,H9058,H9259,H11961,H12025,H12032,H12371,H13697,H13707,H13780,H13853,H13861,H13868,H13887,H13923,H13930,H13951,H13960,H13975,H13982,H13989,H13996)</f>
        <v>7834357.04</v>
      </c>
      <c r="I14000" s="24" t="n">
        <f aca="false">(G14000 - H14000)</f>
        <v>0</v>
      </c>
      <c r="J14000" s="24" t="n">
        <f aca="false">SUM(J1625,J2023,J2392,J2978,J3039,J3155,J3162,J3169,J3181,J3199,J3207,J3610,J3618,J3636,J3651,J3850,J3876,J3884,J3916,J3925,J3933,J3942,J3951,J3958,J3967,J3974,J3993,J4007,J4015,J4080,J4087,J4154,J4216,J4887,J5010,J5142,J5188,J5403,J5410,J5417,J5765,J5808,J5869,J5899,J5909,J7608,J7615,J7624,J7644,J7704,J7732,J7877,J8722,J8731,J9051,J9058,J9259,J11961,J12025,J12032,J12371,J13697,J13707,J13780,J13853,J13861,J13868,J13887,J13923,J13930,J13951,J13960,J13975,J13982,J13989,J13996)</f>
        <v>-1340.56</v>
      </c>
      <c r="K14000" s="23"/>
      <c r="L14000" s="2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2025-12-14T02:41:02Z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